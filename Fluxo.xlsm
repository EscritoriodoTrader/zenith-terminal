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Indicador\FOOTPRINT\"/>
    </mc:Choice>
  </mc:AlternateContent>
  <xr:revisionPtr revIDLastSave="0" documentId="13_ncr:1_{884297AA-AC43-48B6-9394-F553F8E15811}" xr6:coauthVersionLast="47" xr6:coauthVersionMax="47" xr10:uidLastSave="{00000000-0000-0000-0000-000000000000}"/>
  <bookViews>
    <workbookView xWindow="-120" yWindow="-120" windowWidth="19440" windowHeight="11040" xr2:uid="{FBEDCDFC-DFFC-467B-B42F-D5DB61730DB4}"/>
  </bookViews>
  <sheets>
    <sheet name="Dados_RTD" sheetId="1" r:id="rId1"/>
    <sheet name="Historico" sheetId="6" r:id="rId2"/>
  </sheets>
  <definedNames>
    <definedName name="_xlnm._FilterDatabase" localSheetId="1" hidden="1">Historico!$L$288:$S$380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2" i="6" l="1"/>
  <c r="B2" i="1"/>
  <c r="C2" i="1"/>
  <c r="D2" i="1"/>
  <c r="E2" i="1"/>
  <c r="F2" i="1"/>
  <c r="G2" i="1"/>
  <c r="H2" i="1"/>
  <c r="I2" i="1"/>
  <c r="J2" i="1"/>
  <c r="K2" i="1"/>
  <c r="A6" i="1"/>
  <c r="B6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C51" i="1"/>
  <c r="D51" i="1"/>
  <c r="A52" i="1"/>
  <c r="B52" i="1"/>
  <c r="C52" i="1"/>
  <c r="D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B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B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B223" i="1"/>
  <c r="C223" i="1"/>
  <c r="D223" i="1"/>
  <c r="A224" i="1"/>
  <c r="B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A278" i="1"/>
  <c r="B278" i="1"/>
  <c r="C278" i="1"/>
  <c r="D278" i="1"/>
  <c r="A279" i="1"/>
  <c r="B279" i="1"/>
  <c r="C279" i="1"/>
  <c r="D279" i="1"/>
  <c r="A280" i="1"/>
  <c r="B280" i="1"/>
  <c r="C280" i="1"/>
  <c r="D280" i="1"/>
  <c r="A281" i="1"/>
  <c r="B281" i="1"/>
  <c r="C281" i="1"/>
  <c r="D281" i="1"/>
  <c r="A282" i="1"/>
  <c r="B282" i="1"/>
  <c r="C282" i="1"/>
  <c r="D282" i="1"/>
  <c r="A283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C367" i="1"/>
  <c r="D367" i="1"/>
  <c r="A368" i="1"/>
  <c r="B368" i="1"/>
  <c r="C368" i="1"/>
  <c r="D368" i="1"/>
  <c r="A369" i="1"/>
  <c r="B369" i="1"/>
  <c r="C369" i="1"/>
  <c r="D369" i="1"/>
  <c r="A370" i="1"/>
  <c r="B370" i="1"/>
  <c r="C370" i="1"/>
  <c r="D370" i="1"/>
  <c r="A371" i="1"/>
  <c r="B371" i="1"/>
  <c r="C371" i="1"/>
  <c r="D371" i="1"/>
  <c r="A372" i="1"/>
  <c r="B372" i="1"/>
  <c r="C372" i="1"/>
  <c r="D372" i="1"/>
  <c r="A373" i="1"/>
  <c r="B373" i="1"/>
  <c r="C373" i="1"/>
  <c r="D373" i="1"/>
  <c r="A374" i="1"/>
  <c r="B374" i="1"/>
  <c r="C374" i="1"/>
  <c r="D374" i="1"/>
  <c r="A375" i="1"/>
  <c r="B375" i="1"/>
  <c r="C375" i="1"/>
  <c r="D375" i="1"/>
  <c r="A376" i="1"/>
  <c r="B376" i="1"/>
  <c r="C376" i="1"/>
  <c r="D376" i="1"/>
  <c r="A377" i="1"/>
  <c r="B377" i="1"/>
  <c r="C377" i="1"/>
  <c r="D377" i="1"/>
  <c r="A378" i="1"/>
  <c r="B378" i="1"/>
  <c r="C378" i="1"/>
  <c r="D378" i="1"/>
  <c r="A379" i="1"/>
  <c r="B379" i="1"/>
  <c r="C379" i="1"/>
  <c r="D379" i="1"/>
  <c r="A380" i="1"/>
  <c r="B380" i="1"/>
  <c r="C380" i="1"/>
  <c r="D380" i="1"/>
  <c r="A381" i="1"/>
  <c r="B381" i="1"/>
  <c r="C381" i="1"/>
  <c r="D381" i="1"/>
  <c r="A382" i="1"/>
  <c r="B382" i="1"/>
  <c r="C382" i="1"/>
  <c r="D382" i="1"/>
  <c r="A383" i="1"/>
  <c r="B383" i="1"/>
  <c r="C383" i="1"/>
  <c r="D383" i="1"/>
  <c r="A384" i="1"/>
  <c r="B384" i="1"/>
  <c r="C384" i="1"/>
  <c r="D384" i="1"/>
  <c r="A385" i="1"/>
  <c r="B385" i="1"/>
  <c r="C385" i="1"/>
  <c r="D385" i="1"/>
  <c r="A386" i="1"/>
  <c r="B386" i="1"/>
  <c r="C386" i="1"/>
  <c r="D386" i="1"/>
  <c r="A387" i="1"/>
  <c r="B387" i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C393" i="1"/>
  <c r="D393" i="1"/>
  <c r="A394" i="1"/>
  <c r="B394" i="1"/>
  <c r="C394" i="1"/>
  <c r="D394" i="1"/>
  <c r="A395" i="1"/>
  <c r="B395" i="1"/>
  <c r="C395" i="1"/>
  <c r="D395" i="1"/>
  <c r="A396" i="1"/>
  <c r="B396" i="1"/>
  <c r="C396" i="1"/>
  <c r="D396" i="1"/>
  <c r="A397" i="1"/>
  <c r="B397" i="1"/>
  <c r="C397" i="1"/>
  <c r="D397" i="1"/>
  <c r="A398" i="1"/>
  <c r="B398" i="1"/>
  <c r="C398" i="1"/>
  <c r="D398" i="1"/>
  <c r="A399" i="1"/>
  <c r="B399" i="1"/>
  <c r="C399" i="1"/>
  <c r="D399" i="1"/>
  <c r="A400" i="1"/>
  <c r="B400" i="1"/>
  <c r="C400" i="1"/>
  <c r="D400" i="1"/>
  <c r="A401" i="1"/>
  <c r="B401" i="1"/>
  <c r="C401" i="1"/>
  <c r="D401" i="1"/>
  <c r="A402" i="1"/>
  <c r="B402" i="1"/>
  <c r="C402" i="1"/>
  <c r="D402" i="1"/>
  <c r="A403" i="1"/>
  <c r="B403" i="1"/>
  <c r="C403" i="1"/>
  <c r="D403" i="1"/>
  <c r="A404" i="1"/>
  <c r="B404" i="1"/>
  <c r="C404" i="1"/>
  <c r="D404" i="1"/>
  <c r="A405" i="1"/>
  <c r="B405" i="1"/>
  <c r="C405" i="1"/>
  <c r="D405" i="1"/>
  <c r="A406" i="1"/>
  <c r="B406" i="1"/>
  <c r="C406" i="1"/>
  <c r="D406" i="1"/>
  <c r="A407" i="1"/>
  <c r="B407" i="1"/>
  <c r="C407" i="1"/>
  <c r="D407" i="1"/>
  <c r="A408" i="1"/>
  <c r="B408" i="1"/>
  <c r="C408" i="1"/>
  <c r="D408" i="1"/>
  <c r="A409" i="1"/>
  <c r="B409" i="1"/>
  <c r="C409" i="1"/>
  <c r="D409" i="1"/>
  <c r="A410" i="1"/>
  <c r="B410" i="1"/>
  <c r="C410" i="1"/>
  <c r="D410" i="1"/>
  <c r="A411" i="1"/>
  <c r="B411" i="1"/>
  <c r="C411" i="1"/>
  <c r="D411" i="1"/>
  <c r="A412" i="1"/>
  <c r="B412" i="1"/>
  <c r="C412" i="1"/>
  <c r="D412" i="1"/>
  <c r="A413" i="1"/>
  <c r="B413" i="1"/>
  <c r="C413" i="1"/>
  <c r="D413" i="1"/>
  <c r="A414" i="1"/>
  <c r="B414" i="1"/>
  <c r="C414" i="1"/>
  <c r="D414" i="1"/>
  <c r="A415" i="1"/>
  <c r="B415" i="1"/>
  <c r="C415" i="1"/>
  <c r="D415" i="1"/>
  <c r="A416" i="1"/>
  <c r="B416" i="1"/>
  <c r="C416" i="1"/>
  <c r="D416" i="1"/>
  <c r="A417" i="1"/>
  <c r="B417" i="1"/>
  <c r="C417" i="1"/>
  <c r="D417" i="1"/>
  <c r="A418" i="1"/>
  <c r="B418" i="1"/>
  <c r="C418" i="1"/>
  <c r="D418" i="1"/>
  <c r="A419" i="1"/>
  <c r="B419" i="1"/>
  <c r="C419" i="1"/>
  <c r="D419" i="1"/>
  <c r="A420" i="1"/>
  <c r="B420" i="1"/>
  <c r="C420" i="1"/>
  <c r="D420" i="1"/>
  <c r="A421" i="1"/>
  <c r="B421" i="1"/>
  <c r="C421" i="1"/>
  <c r="D421" i="1"/>
  <c r="A422" i="1"/>
  <c r="B422" i="1"/>
  <c r="C422" i="1"/>
  <c r="D422" i="1"/>
  <c r="A423" i="1"/>
  <c r="B423" i="1"/>
  <c r="C423" i="1"/>
  <c r="D423" i="1"/>
  <c r="A424" i="1"/>
  <c r="B424" i="1"/>
  <c r="C424" i="1"/>
  <c r="D424" i="1"/>
  <c r="A425" i="1"/>
  <c r="B425" i="1"/>
  <c r="C425" i="1"/>
  <c r="D425" i="1"/>
  <c r="A426" i="1"/>
  <c r="B426" i="1"/>
  <c r="C426" i="1"/>
  <c r="D426" i="1"/>
  <c r="A427" i="1"/>
  <c r="B427" i="1"/>
  <c r="C427" i="1"/>
  <c r="D427" i="1"/>
  <c r="A428" i="1"/>
  <c r="B428" i="1"/>
  <c r="C428" i="1"/>
  <c r="D428" i="1"/>
  <c r="A429" i="1"/>
  <c r="B429" i="1"/>
  <c r="C429" i="1"/>
  <c r="D429" i="1"/>
  <c r="A430" i="1"/>
  <c r="B430" i="1"/>
  <c r="C430" i="1"/>
  <c r="D430" i="1"/>
  <c r="A431" i="1"/>
  <c r="B431" i="1"/>
  <c r="C431" i="1"/>
  <c r="D431" i="1"/>
  <c r="A432" i="1"/>
  <c r="B432" i="1"/>
  <c r="C432" i="1"/>
  <c r="D432" i="1"/>
  <c r="A433" i="1"/>
  <c r="B433" i="1"/>
  <c r="C433" i="1"/>
  <c r="D433" i="1"/>
  <c r="A434" i="1"/>
  <c r="B434" i="1"/>
  <c r="C434" i="1"/>
  <c r="D434" i="1"/>
  <c r="A435" i="1"/>
  <c r="B435" i="1"/>
  <c r="C435" i="1"/>
  <c r="D435" i="1"/>
  <c r="A436" i="1"/>
  <c r="B436" i="1"/>
  <c r="C436" i="1"/>
  <c r="D436" i="1"/>
  <c r="A437" i="1"/>
  <c r="B437" i="1"/>
  <c r="C437" i="1"/>
  <c r="D437" i="1"/>
  <c r="A438" i="1"/>
  <c r="B438" i="1"/>
  <c r="C438" i="1"/>
  <c r="D438" i="1"/>
  <c r="A439" i="1"/>
  <c r="B439" i="1"/>
  <c r="C439" i="1"/>
  <c r="D439" i="1"/>
  <c r="A440" i="1"/>
  <c r="B440" i="1"/>
  <c r="C440" i="1"/>
  <c r="D440" i="1"/>
  <c r="A441" i="1"/>
  <c r="B441" i="1"/>
  <c r="C441" i="1"/>
  <c r="D441" i="1"/>
  <c r="A442" i="1"/>
  <c r="B442" i="1"/>
  <c r="C442" i="1"/>
  <c r="D442" i="1"/>
  <c r="A443" i="1"/>
  <c r="B443" i="1"/>
  <c r="C443" i="1"/>
  <c r="D443" i="1"/>
  <c r="A444" i="1"/>
  <c r="B444" i="1"/>
  <c r="C444" i="1"/>
  <c r="D444" i="1"/>
  <c r="A445" i="1"/>
  <c r="B445" i="1"/>
  <c r="C445" i="1"/>
  <c r="D445" i="1"/>
  <c r="A446" i="1"/>
  <c r="B446" i="1"/>
  <c r="C446" i="1"/>
  <c r="D446" i="1"/>
  <c r="A447" i="1"/>
  <c r="B447" i="1"/>
  <c r="C447" i="1"/>
  <c r="D447" i="1"/>
  <c r="A448" i="1"/>
  <c r="B448" i="1"/>
  <c r="C448" i="1"/>
  <c r="D448" i="1"/>
  <c r="A449" i="1"/>
  <c r="B449" i="1"/>
  <c r="C449" i="1"/>
  <c r="D449" i="1"/>
  <c r="A450" i="1"/>
  <c r="B450" i="1"/>
  <c r="C450" i="1"/>
  <c r="D450" i="1"/>
  <c r="A451" i="1"/>
  <c r="B451" i="1"/>
  <c r="C451" i="1"/>
  <c r="D451" i="1"/>
  <c r="A452" i="1"/>
  <c r="B452" i="1"/>
  <c r="C452" i="1"/>
  <c r="D452" i="1"/>
  <c r="A453" i="1"/>
  <c r="B453" i="1"/>
  <c r="C453" i="1"/>
  <c r="D453" i="1"/>
  <c r="A454" i="1"/>
  <c r="B454" i="1"/>
  <c r="C454" i="1"/>
  <c r="D454" i="1"/>
  <c r="A455" i="1"/>
  <c r="B455" i="1"/>
  <c r="C455" i="1"/>
  <c r="D455" i="1"/>
  <c r="A456" i="1"/>
  <c r="B456" i="1"/>
  <c r="C456" i="1"/>
  <c r="D456" i="1"/>
  <c r="A457" i="1"/>
  <c r="B457" i="1"/>
  <c r="C457" i="1"/>
  <c r="D457" i="1"/>
  <c r="A458" i="1"/>
  <c r="B458" i="1"/>
  <c r="C458" i="1"/>
  <c r="D458" i="1"/>
  <c r="A459" i="1"/>
  <c r="B459" i="1"/>
  <c r="C459" i="1"/>
  <c r="D459" i="1"/>
  <c r="A460" i="1"/>
  <c r="B460" i="1"/>
  <c r="C460" i="1"/>
  <c r="D460" i="1"/>
  <c r="A461" i="1"/>
  <c r="B461" i="1"/>
  <c r="C461" i="1"/>
  <c r="D461" i="1"/>
  <c r="A462" i="1"/>
  <c r="B462" i="1"/>
  <c r="C462" i="1"/>
  <c r="D462" i="1"/>
  <c r="A463" i="1"/>
  <c r="B463" i="1"/>
  <c r="C463" i="1"/>
  <c r="D463" i="1"/>
  <c r="A464" i="1"/>
  <c r="B464" i="1"/>
  <c r="C464" i="1"/>
  <c r="D464" i="1"/>
  <c r="A465" i="1"/>
  <c r="B465" i="1"/>
  <c r="C465" i="1"/>
  <c r="D465" i="1"/>
  <c r="A466" i="1"/>
  <c r="B466" i="1"/>
  <c r="C466" i="1"/>
  <c r="D466" i="1"/>
  <c r="A467" i="1"/>
  <c r="B467" i="1"/>
  <c r="C467" i="1"/>
  <c r="D467" i="1"/>
  <c r="A468" i="1"/>
  <c r="B468" i="1"/>
  <c r="C468" i="1"/>
  <c r="D468" i="1"/>
  <c r="A469" i="1"/>
  <c r="B469" i="1"/>
  <c r="C469" i="1"/>
  <c r="D469" i="1"/>
  <c r="A470" i="1"/>
  <c r="B470" i="1"/>
  <c r="C470" i="1"/>
  <c r="D470" i="1"/>
  <c r="A471" i="1"/>
  <c r="B471" i="1"/>
  <c r="C471" i="1"/>
  <c r="D471" i="1"/>
  <c r="A472" i="1"/>
  <c r="B472" i="1"/>
  <c r="C472" i="1"/>
  <c r="D472" i="1"/>
  <c r="A473" i="1"/>
  <c r="B473" i="1"/>
  <c r="C473" i="1"/>
  <c r="D473" i="1"/>
  <c r="A474" i="1"/>
  <c r="B474" i="1"/>
  <c r="C474" i="1"/>
  <c r="D474" i="1"/>
  <c r="A475" i="1"/>
  <c r="B475" i="1"/>
  <c r="C475" i="1"/>
  <c r="D475" i="1"/>
  <c r="A476" i="1"/>
  <c r="B476" i="1"/>
  <c r="C476" i="1"/>
  <c r="D476" i="1"/>
  <c r="A477" i="1"/>
  <c r="B477" i="1"/>
  <c r="C477" i="1"/>
  <c r="D477" i="1"/>
  <c r="A478" i="1"/>
  <c r="B478" i="1"/>
  <c r="C478" i="1"/>
  <c r="D478" i="1"/>
  <c r="A479" i="1"/>
  <c r="B479" i="1"/>
  <c r="C479" i="1"/>
  <c r="D479" i="1"/>
  <c r="A480" i="1"/>
  <c r="B480" i="1"/>
  <c r="C480" i="1"/>
  <c r="D480" i="1"/>
  <c r="A481" i="1"/>
  <c r="B481" i="1"/>
  <c r="C481" i="1"/>
  <c r="D481" i="1"/>
  <c r="A482" i="1"/>
  <c r="B482" i="1"/>
  <c r="C482" i="1"/>
  <c r="D482" i="1"/>
  <c r="A483" i="1"/>
  <c r="B483" i="1"/>
  <c r="C483" i="1"/>
  <c r="D483" i="1"/>
  <c r="A484" i="1"/>
  <c r="B484" i="1"/>
  <c r="C484" i="1"/>
  <c r="D484" i="1"/>
  <c r="A485" i="1"/>
  <c r="B485" i="1"/>
  <c r="C485" i="1"/>
  <c r="D485" i="1"/>
  <c r="A486" i="1"/>
  <c r="B486" i="1"/>
  <c r="C486" i="1"/>
  <c r="D486" i="1"/>
  <c r="A487" i="1"/>
  <c r="B487" i="1"/>
  <c r="C487" i="1"/>
  <c r="D487" i="1"/>
  <c r="A488" i="1"/>
  <c r="B488" i="1"/>
  <c r="C488" i="1"/>
  <c r="D488" i="1"/>
  <c r="A489" i="1"/>
  <c r="B489" i="1"/>
  <c r="C489" i="1"/>
  <c r="D489" i="1"/>
  <c r="A490" i="1"/>
  <c r="B490" i="1"/>
  <c r="C490" i="1"/>
  <c r="D490" i="1"/>
  <c r="A491" i="1"/>
  <c r="B491" i="1"/>
  <c r="C491" i="1"/>
  <c r="D491" i="1"/>
  <c r="A492" i="1"/>
  <c r="B492" i="1"/>
  <c r="C492" i="1"/>
  <c r="D492" i="1"/>
  <c r="A493" i="1"/>
  <c r="B493" i="1"/>
  <c r="C493" i="1"/>
  <c r="D493" i="1"/>
  <c r="A494" i="1"/>
  <c r="B494" i="1"/>
  <c r="C494" i="1"/>
  <c r="D494" i="1"/>
  <c r="A495" i="1"/>
  <c r="B495" i="1"/>
  <c r="C495" i="1"/>
  <c r="D495" i="1"/>
  <c r="A496" i="1"/>
  <c r="B496" i="1"/>
  <c r="C496" i="1"/>
  <c r="D496" i="1"/>
  <c r="A497" i="1"/>
  <c r="B497" i="1"/>
  <c r="C497" i="1"/>
  <c r="D497" i="1"/>
  <c r="A498" i="1"/>
  <c r="B498" i="1"/>
  <c r="C498" i="1"/>
  <c r="D498" i="1"/>
  <c r="A499" i="1"/>
  <c r="B499" i="1"/>
  <c r="C499" i="1"/>
  <c r="D499" i="1"/>
  <c r="A500" i="1"/>
  <c r="B500" i="1"/>
  <c r="C500" i="1"/>
  <c r="D500" i="1"/>
  <c r="A501" i="1"/>
  <c r="B501" i="1"/>
  <c r="C501" i="1"/>
  <c r="D501" i="1"/>
  <c r="A502" i="1"/>
  <c r="B502" i="1"/>
  <c r="C502" i="1"/>
  <c r="D502" i="1"/>
  <c r="A503" i="1"/>
  <c r="B503" i="1"/>
  <c r="C503" i="1"/>
  <c r="D503" i="1"/>
  <c r="A504" i="1"/>
  <c r="B504" i="1"/>
  <c r="C504" i="1"/>
  <c r="D504" i="1"/>
  <c r="A505" i="1"/>
  <c r="B505" i="1"/>
  <c r="C505" i="1"/>
  <c r="D505" i="1"/>
  <c r="A506" i="1"/>
  <c r="B506" i="1"/>
  <c r="C506" i="1"/>
  <c r="D506" i="1"/>
  <c r="A507" i="1"/>
  <c r="B507" i="1"/>
  <c r="C507" i="1"/>
  <c r="D507" i="1"/>
  <c r="G6" i="1"/>
  <c r="H6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G23" i="1"/>
  <c r="H23" i="1"/>
  <c r="I23" i="1"/>
  <c r="J23" i="1"/>
  <c r="G24" i="1"/>
  <c r="H24" i="1"/>
  <c r="I24" i="1"/>
  <c r="J24" i="1"/>
  <c r="G25" i="1"/>
  <c r="H25" i="1"/>
  <c r="I25" i="1"/>
  <c r="J25" i="1"/>
  <c r="G26" i="1"/>
  <c r="H26" i="1"/>
  <c r="I26" i="1"/>
  <c r="J26" i="1"/>
  <c r="G27" i="1"/>
  <c r="H27" i="1"/>
  <c r="I27" i="1"/>
  <c r="J27" i="1"/>
  <c r="G28" i="1"/>
  <c r="H28" i="1"/>
  <c r="I28" i="1"/>
  <c r="J28" i="1"/>
  <c r="G29" i="1"/>
  <c r="H29" i="1"/>
  <c r="I29" i="1"/>
  <c r="J29" i="1"/>
  <c r="G30" i="1"/>
  <c r="H30" i="1"/>
  <c r="I30" i="1"/>
  <c r="J30" i="1"/>
  <c r="G31" i="1"/>
  <c r="H31" i="1"/>
  <c r="I31" i="1"/>
  <c r="J31" i="1"/>
  <c r="G32" i="1"/>
  <c r="H32" i="1"/>
  <c r="I32" i="1"/>
  <c r="J32" i="1"/>
  <c r="G33" i="1"/>
  <c r="H33" i="1"/>
  <c r="I33" i="1"/>
  <c r="J33" i="1"/>
  <c r="G34" i="1"/>
  <c r="H34" i="1"/>
  <c r="I34" i="1"/>
  <c r="J34" i="1"/>
  <c r="G35" i="1"/>
  <c r="H35" i="1"/>
  <c r="I35" i="1"/>
  <c r="J35" i="1"/>
  <c r="G36" i="1"/>
  <c r="H36" i="1"/>
  <c r="I36" i="1"/>
  <c r="J36" i="1"/>
  <c r="G37" i="1"/>
  <c r="H37" i="1"/>
  <c r="I37" i="1"/>
  <c r="J37" i="1"/>
  <c r="G38" i="1"/>
  <c r="H38" i="1"/>
  <c r="I38" i="1"/>
  <c r="J38" i="1"/>
  <c r="G39" i="1"/>
  <c r="H39" i="1"/>
  <c r="I39" i="1"/>
  <c r="J39" i="1"/>
  <c r="G40" i="1"/>
  <c r="H40" i="1"/>
  <c r="I40" i="1"/>
  <c r="J40" i="1"/>
  <c r="G41" i="1"/>
  <c r="H41" i="1"/>
  <c r="I41" i="1"/>
  <c r="J41" i="1"/>
  <c r="G42" i="1"/>
  <c r="H42" i="1"/>
  <c r="I42" i="1"/>
  <c r="J42" i="1"/>
  <c r="G43" i="1"/>
  <c r="H43" i="1"/>
  <c r="I43" i="1"/>
  <c r="J43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G52" i="1"/>
  <c r="H52" i="1"/>
  <c r="I52" i="1"/>
  <c r="J52" i="1"/>
  <c r="G53" i="1"/>
  <c r="H53" i="1"/>
  <c r="I53" i="1"/>
  <c r="J53" i="1"/>
  <c r="G54" i="1"/>
  <c r="H54" i="1"/>
  <c r="I54" i="1"/>
  <c r="J54" i="1"/>
  <c r="G55" i="1"/>
  <c r="H55" i="1"/>
  <c r="I55" i="1"/>
  <c r="J55" i="1"/>
  <c r="G56" i="1"/>
  <c r="H56" i="1"/>
  <c r="I56" i="1"/>
  <c r="J56" i="1"/>
  <c r="G57" i="1"/>
  <c r="H57" i="1"/>
  <c r="I57" i="1"/>
  <c r="J57" i="1"/>
  <c r="G58" i="1"/>
  <c r="H58" i="1"/>
  <c r="I58" i="1"/>
  <c r="J58" i="1"/>
  <c r="G59" i="1"/>
  <c r="H59" i="1"/>
  <c r="I59" i="1"/>
  <c r="J59" i="1"/>
  <c r="G60" i="1"/>
  <c r="H60" i="1"/>
  <c r="I60" i="1"/>
  <c r="J60" i="1"/>
  <c r="G61" i="1"/>
  <c r="H61" i="1"/>
  <c r="I61" i="1"/>
  <c r="J61" i="1"/>
  <c r="G62" i="1"/>
  <c r="H62" i="1"/>
  <c r="I62" i="1"/>
  <c r="J62" i="1"/>
  <c r="G63" i="1"/>
  <c r="H63" i="1"/>
  <c r="I63" i="1"/>
  <c r="J63" i="1"/>
  <c r="G64" i="1"/>
  <c r="H64" i="1"/>
  <c r="I64" i="1"/>
  <c r="J64" i="1"/>
  <c r="G65" i="1"/>
  <c r="H65" i="1"/>
  <c r="I65" i="1"/>
  <c r="J65" i="1"/>
  <c r="G66" i="1"/>
  <c r="H66" i="1"/>
  <c r="I66" i="1"/>
  <c r="J66" i="1"/>
  <c r="G67" i="1"/>
  <c r="H67" i="1"/>
  <c r="I67" i="1"/>
  <c r="J67" i="1"/>
  <c r="G68" i="1"/>
  <c r="H68" i="1"/>
  <c r="I68" i="1"/>
  <c r="J68" i="1"/>
  <c r="G69" i="1"/>
  <c r="H69" i="1"/>
  <c r="I69" i="1"/>
  <c r="J69" i="1"/>
  <c r="G70" i="1"/>
  <c r="H70" i="1"/>
  <c r="I70" i="1"/>
  <c r="J70" i="1"/>
  <c r="G71" i="1"/>
  <c r="H71" i="1"/>
  <c r="I71" i="1"/>
  <c r="J71" i="1"/>
  <c r="G72" i="1"/>
  <c r="H72" i="1"/>
  <c r="I72" i="1"/>
  <c r="J72" i="1"/>
  <c r="G73" i="1"/>
  <c r="H73" i="1"/>
  <c r="I73" i="1"/>
  <c r="J73" i="1"/>
  <c r="G74" i="1"/>
  <c r="H74" i="1"/>
  <c r="I74" i="1"/>
  <c r="J74" i="1"/>
  <c r="G75" i="1"/>
  <c r="H75" i="1"/>
  <c r="I75" i="1"/>
  <c r="J75" i="1"/>
  <c r="G76" i="1"/>
  <c r="H76" i="1"/>
  <c r="I76" i="1"/>
  <c r="J76" i="1"/>
  <c r="G77" i="1"/>
  <c r="H77" i="1"/>
  <c r="I77" i="1"/>
  <c r="J77" i="1"/>
  <c r="G78" i="1"/>
  <c r="H78" i="1"/>
  <c r="I78" i="1"/>
  <c r="J78" i="1"/>
  <c r="G79" i="1"/>
  <c r="H79" i="1"/>
  <c r="I79" i="1"/>
  <c r="J79" i="1"/>
  <c r="G80" i="1"/>
  <c r="H80" i="1"/>
  <c r="I80" i="1"/>
  <c r="J80" i="1"/>
  <c r="G81" i="1"/>
  <c r="H81" i="1"/>
  <c r="I81" i="1"/>
  <c r="J81" i="1"/>
  <c r="G82" i="1"/>
  <c r="H82" i="1"/>
  <c r="I82" i="1"/>
  <c r="J82" i="1"/>
  <c r="G83" i="1"/>
  <c r="H83" i="1"/>
  <c r="I83" i="1"/>
  <c r="J83" i="1"/>
  <c r="G84" i="1"/>
  <c r="H84" i="1"/>
  <c r="I84" i="1"/>
  <c r="J84" i="1"/>
  <c r="G85" i="1"/>
  <c r="H85" i="1"/>
  <c r="I85" i="1"/>
  <c r="J85" i="1"/>
  <c r="G86" i="1"/>
  <c r="H86" i="1"/>
  <c r="I86" i="1"/>
  <c r="J86" i="1"/>
  <c r="G87" i="1"/>
  <c r="H87" i="1"/>
  <c r="I87" i="1"/>
  <c r="J87" i="1"/>
  <c r="G88" i="1"/>
  <c r="H88" i="1"/>
  <c r="I88" i="1"/>
  <c r="J88" i="1"/>
  <c r="G89" i="1"/>
  <c r="H89" i="1"/>
  <c r="I89" i="1"/>
  <c r="J89" i="1"/>
  <c r="G90" i="1"/>
  <c r="H90" i="1"/>
  <c r="I90" i="1"/>
  <c r="J90" i="1"/>
  <c r="G91" i="1"/>
  <c r="H91" i="1"/>
  <c r="I91" i="1"/>
  <c r="J91" i="1"/>
  <c r="G92" i="1"/>
  <c r="H92" i="1"/>
  <c r="I92" i="1"/>
  <c r="J92" i="1"/>
  <c r="G93" i="1"/>
  <c r="H93" i="1"/>
  <c r="I93" i="1"/>
  <c r="J93" i="1"/>
  <c r="G94" i="1"/>
  <c r="H94" i="1"/>
  <c r="I94" i="1"/>
  <c r="J94" i="1"/>
  <c r="G95" i="1"/>
  <c r="H95" i="1"/>
  <c r="I95" i="1"/>
  <c r="J95" i="1"/>
  <c r="G96" i="1"/>
  <c r="H96" i="1"/>
  <c r="I96" i="1"/>
  <c r="J96" i="1"/>
  <c r="G97" i="1"/>
  <c r="H97" i="1"/>
  <c r="I97" i="1"/>
  <c r="J97" i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2" i="1"/>
  <c r="H102" i="1"/>
  <c r="I102" i="1"/>
  <c r="J102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4" i="1"/>
  <c r="H134" i="1"/>
  <c r="I134" i="1"/>
  <c r="J134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</calcChain>
</file>

<file path=xl/sharedStrings.xml><?xml version="1.0" encoding="utf-8"?>
<sst xmlns="http://schemas.openxmlformats.org/spreadsheetml/2006/main" count="27" uniqueCount="21">
  <si>
    <t>Data</t>
  </si>
  <si>
    <t>Valor</t>
  </si>
  <si>
    <t>Quantidade</t>
  </si>
  <si>
    <t>Agressor</t>
  </si>
  <si>
    <t>Asset</t>
  </si>
  <si>
    <t>Último</t>
  </si>
  <si>
    <t>Abertura</t>
  </si>
  <si>
    <t>Máximo</t>
  </si>
  <si>
    <t>Mínimo</t>
  </si>
  <si>
    <t>Fechamento Anterior</t>
  </si>
  <si>
    <t>Variação</t>
  </si>
  <si>
    <t>Aj. Anterior</t>
  </si>
  <si>
    <t>TR - Volume de Agressão - Saldo</t>
  </si>
  <si>
    <t>VWAP</t>
  </si>
  <si>
    <t>Calculo</t>
  </si>
  <si>
    <t>Times - Compra - RTD</t>
  </si>
  <si>
    <t>Times - Venda -RTD</t>
  </si>
  <si>
    <t>10:36:05.616|7155,5|1|Vendedor||10:36:05.598|7155,5|1|Vendedor||10:36:05.598|7155,5|5|Vendedor||10:36:05.597|7155,5|2|Vendedor</t>
  </si>
  <si>
    <t>10:36:05.676|7155,5|1|Comprador||10:36:05.602|7155,5|1|Comprador||10:36:05.600|7155,5|1|Comprador||10:36:05.591|7155,5|6|Comprador</t>
  </si>
  <si>
    <t>03/05/2026 19:00:00.000</t>
  </si>
  <si>
    <t>NQM6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</si>
</sst>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h:mm:ss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1C1"/>
        <bgColor indexed="64"/>
      </patternFill>
    </fill>
  </fills>
  <borders count="21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/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 style="medium">
        <color rgb="FFFA0000"/>
      </left>
      <right/>
      <top style="medium">
        <color rgb="FFFA0000"/>
      </top>
      <bottom style="medium">
        <color rgb="FFFA0000"/>
      </bottom>
      <diagonal/>
    </border>
    <border>
      <left/>
      <right/>
      <top style="medium">
        <color rgb="FFFA0000"/>
      </top>
      <bottom style="medium">
        <color rgb="FFFA0000"/>
      </bottom>
      <diagonal/>
    </border>
    <border>
      <left/>
      <right style="medium">
        <color rgb="FFFA0000"/>
      </right>
      <top style="medium">
        <color rgb="FFFA0000"/>
      </top>
      <bottom style="medium">
        <color rgb="FFFA0000"/>
      </bottom>
      <diagonal/>
    </border>
    <border>
      <left style="medium">
        <color rgb="FFFA0000"/>
      </left>
      <right/>
      <top/>
      <bottom/>
      <diagonal/>
    </border>
    <border>
      <left/>
      <right style="medium">
        <color rgb="FFFA0000"/>
      </right>
      <top/>
      <bottom/>
      <diagonal/>
    </border>
    <border>
      <left style="medium">
        <color rgb="FFFA0000"/>
      </left>
      <right/>
      <top/>
      <bottom style="medium">
        <color rgb="FFFA0000"/>
      </bottom>
      <diagonal/>
    </border>
    <border>
      <left/>
      <right/>
      <top/>
      <bottom style="medium">
        <color rgb="FFFA0000"/>
      </bottom>
      <diagonal/>
    </border>
    <border>
      <left/>
      <right style="medium">
        <color rgb="FFFA0000"/>
      </right>
      <top/>
      <bottom style="medium">
        <color rgb="FFFA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2" borderId="0" xfId="0" applyFill="1"/>
    <xf numFmtId="22" fontId="0" fillId="0" borderId="0" xfId="0" applyNumberFormat="1" applyAlignment="1">
      <alignment horizontal="center"/>
    </xf>
    <xf numFmtId="47" fontId="0" fillId="0" borderId="0" xfId="0" applyNumberFormat="1"/>
    <xf numFmtId="0" fontId="2" fillId="0" borderId="2" xfId="0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" fontId="0" fillId="3" borderId="5" xfId="0" applyNumberFormat="1" applyFont="1" applyFill="1" applyBorder="1" applyAlignment="1">
      <alignment horizontal="center"/>
    </xf>
    <xf numFmtId="4" fontId="0" fillId="4" borderId="5" xfId="0" applyNumberFormat="1" applyFont="1" applyFill="1" applyBorder="1" applyAlignment="1">
      <alignment horizontal="center"/>
    </xf>
    <xf numFmtId="4" fontId="0" fillId="5" borderId="5" xfId="0" applyNumberFormat="1" applyFont="1" applyFill="1" applyBorder="1" applyAlignment="1">
      <alignment horizontal="center"/>
    </xf>
    <xf numFmtId="4" fontId="0" fillId="0" borderId="5" xfId="0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4" fontId="0" fillId="6" borderId="5" xfId="0" applyNumberFormat="1" applyFont="1" applyFill="1" applyBorder="1" applyAlignment="1">
      <alignment horizontal="center"/>
    </xf>
    <xf numFmtId="4" fontId="0" fillId="7" borderId="6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0" fillId="0" borderId="0" xfId="0" applyFill="1"/>
    <xf numFmtId="165" fontId="0" fillId="0" borderId="0" xfId="0" applyNumberFormat="1"/>
    <xf numFmtId="0" fontId="0" fillId="0" borderId="0" xfId="0" applyAlignment="1"/>
    <xf numFmtId="165" fontId="0" fillId="0" borderId="0" xfId="0" applyNumberFormat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0" fillId="0" borderId="0" xfId="0" applyNumberFormat="1" applyFill="1"/>
    <xf numFmtId="0" fontId="2" fillId="9" borderId="10" xfId="0" applyFont="1" applyFill="1" applyBorder="1"/>
    <xf numFmtId="0" fontId="2" fillId="9" borderId="0" xfId="0" applyFont="1" applyFill="1" applyBorder="1"/>
    <xf numFmtId="0" fontId="2" fillId="9" borderId="10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4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12" xfId="0" applyNumberForma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2" fillId="10" borderId="16" xfId="0" applyFont="1" applyFill="1" applyBorder="1"/>
    <xf numFmtId="0" fontId="2" fillId="10" borderId="0" xfId="0" applyFont="1" applyFill="1" applyBorder="1"/>
    <xf numFmtId="165" fontId="2" fillId="10" borderId="16" xfId="0" applyNumberFormat="1" applyFont="1" applyFill="1" applyBorder="1" applyAlignment="1">
      <alignment horizontal="center"/>
    </xf>
    <xf numFmtId="0" fontId="2" fillId="10" borderId="17" xfId="0" applyFont="1" applyFill="1" applyBorder="1" applyAlignment="1">
      <alignment horizontal="center"/>
    </xf>
    <xf numFmtId="165" fontId="0" fillId="10" borderId="16" xfId="0" applyNumberFormat="1" applyFill="1" applyBorder="1" applyAlignment="1">
      <alignment horizontal="center"/>
    </xf>
    <xf numFmtId="4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4" fontId="0" fillId="10" borderId="19" xfId="0" applyNumberFormat="1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21" fontId="0" fillId="9" borderId="10" xfId="0" applyNumberFormat="1" applyFill="1" applyBorder="1" applyAlignment="1">
      <alignment horizontal="center"/>
    </xf>
    <xf numFmtId="21" fontId="0" fillId="9" borderId="11" xfId="0" applyNumberFormat="1" applyFill="1" applyBorder="1" applyAlignment="1">
      <alignment horizontal="center"/>
    </xf>
    <xf numFmtId="0" fontId="2" fillId="10" borderId="17" xfId="0" applyFont="1" applyFill="1" applyBorder="1"/>
    <xf numFmtId="164" fontId="0" fillId="0" borderId="0" xfId="0" applyNumberFormat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A0000"/>
      <color rgb="FFFFC1C1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A janela foi fechada</v>
        <stp/>
        <stp>T&amp;T1</stp>
        <stp>DAT</stp>
        <stp>8</stp>
        <tr r="G16" s="1"/>
      </tp>
      <tp t="s">
        <v>A janela foi fechada</v>
        <stp/>
        <stp>T&amp;T1</stp>
        <stp>DAT</stp>
        <stp>9</stp>
        <tr r="G17" s="1"/>
      </tp>
      <tp t="s">
        <v>A janela foi fechada</v>
        <stp/>
        <stp>T&amp;T1</stp>
        <stp>DAT</stp>
        <stp>6</stp>
        <tr r="G14" s="1"/>
      </tp>
      <tp t="s">
        <v>A janela foi fechada</v>
        <stp/>
        <stp>T&amp;T1</stp>
        <stp>DAT</stp>
        <stp>7</stp>
        <tr r="G15" s="1"/>
      </tp>
      <tp t="s">
        <v>A janela foi fechada</v>
        <stp/>
        <stp>T&amp;T1</stp>
        <stp>DAT</stp>
        <stp>4</stp>
        <tr r="G12" s="1"/>
      </tp>
      <tp t="s">
        <v>A janela foi fechada</v>
        <stp/>
        <stp>T&amp;T1</stp>
        <stp>DAT</stp>
        <stp>5</stp>
        <tr r="G13" s="1"/>
      </tp>
      <tp t="s">
        <v>A janela foi fechada</v>
        <stp/>
        <stp>T&amp;T1</stp>
        <stp>DAT</stp>
        <stp>2</stp>
        <tr r="G10" s="1"/>
      </tp>
      <tp t="s">
        <v>A janela foi fechada</v>
        <stp/>
        <stp>T&amp;T1</stp>
        <stp>DAT</stp>
        <stp>3</stp>
        <tr r="G11" s="1"/>
      </tp>
      <tp t="s">
        <v>A janela foi fechada</v>
        <stp/>
        <stp>T&amp;T1</stp>
        <stp>DAT</stp>
        <stp>0</stp>
        <tr r="G8" s="1"/>
      </tp>
      <tp t="s">
        <v>A janela foi fechada</v>
        <stp/>
        <stp>T&amp;T1</stp>
        <stp>DAT</stp>
        <stp>1</stp>
        <tr r="G9" s="1"/>
      </tp>
      <tp t="s">
        <v>A janela foi fechada</v>
        <stp/>
        <stp>T&amp;T2</stp>
        <stp>DAT</stp>
        <stp>8</stp>
        <tr r="A16" s="1"/>
      </tp>
      <tp t="s">
        <v>A janela foi fechada</v>
        <stp/>
        <stp>T&amp;T2</stp>
        <stp>DAT</stp>
        <stp>9</stp>
        <tr r="A17" s="1"/>
      </tp>
      <tp t="s">
        <v>A janela foi fechada</v>
        <stp/>
        <stp>T&amp;T2</stp>
        <stp>DAT</stp>
        <stp>6</stp>
        <tr r="A14" s="1"/>
      </tp>
      <tp t="s">
        <v>A janela foi fechada</v>
        <stp/>
        <stp>T&amp;T2</stp>
        <stp>DAT</stp>
        <stp>7</stp>
        <tr r="A15" s="1"/>
      </tp>
      <tp t="s">
        <v>A janela foi fechada</v>
        <stp/>
        <stp>T&amp;T2</stp>
        <stp>DAT</stp>
        <stp>4</stp>
        <tr r="A12" s="1"/>
      </tp>
      <tp t="s">
        <v>A janela foi fechada</v>
        <stp/>
        <stp>T&amp;T2</stp>
        <stp>DAT</stp>
        <stp>5</stp>
        <tr r="A13" s="1"/>
      </tp>
      <tp t="s">
        <v>A janela foi fechada</v>
        <stp/>
        <stp>T&amp;T2</stp>
        <stp>DAT</stp>
        <stp>2</stp>
        <tr r="A10" s="1"/>
      </tp>
      <tp t="s">
        <v>A janela foi fechada</v>
        <stp/>
        <stp>T&amp;T2</stp>
        <stp>DAT</stp>
        <stp>3</stp>
        <tr r="A11" s="1"/>
      </tp>
      <tp t="s">
        <v>A janela foi fechada</v>
        <stp/>
        <stp>T&amp;T2</stp>
        <stp>DAT</stp>
        <stp>0</stp>
        <tr r="A8" s="1"/>
      </tp>
      <tp t="s">
        <v>A janela foi fechada</v>
        <stp/>
        <stp>T&amp;T2</stp>
        <stp>DAT</stp>
        <stp>1</stp>
        <tr r="A9" s="1"/>
      </tp>
      <tp t="s">
        <v>A janela foi fechada</v>
        <stp/>
        <stp>T&amp;T2</stp>
        <stp>AGR</stp>
        <stp>9</stp>
        <tr r="D17" s="1"/>
      </tp>
      <tp t="s">
        <v>A janela foi fechada</v>
        <stp/>
        <stp>T&amp;T2</stp>
        <stp>AGR</stp>
        <stp>8</stp>
        <tr r="D16" s="1"/>
      </tp>
      <tp t="s">
        <v>A janela foi fechada</v>
        <stp/>
        <stp>T&amp;T2</stp>
        <stp>AGR</stp>
        <stp>3</stp>
        <tr r="D11" s="1"/>
      </tp>
      <tp t="s">
        <v>A janela foi fechada</v>
        <stp/>
        <stp>T&amp;T2</stp>
        <stp>AGR</stp>
        <stp>2</stp>
        <tr r="D10" s="1"/>
      </tp>
      <tp t="s">
        <v>A janela foi fechada</v>
        <stp/>
        <stp>T&amp;T2</stp>
        <stp>AGR</stp>
        <stp>1</stp>
        <tr r="D9" s="1"/>
      </tp>
      <tp t="s">
        <v>A janela foi fechada</v>
        <stp/>
        <stp>T&amp;T2</stp>
        <stp>AGR</stp>
        <stp>0</stp>
        <tr r="D8" s="1"/>
      </tp>
      <tp t="s">
        <v>A janela foi fechada</v>
        <stp/>
        <stp>T&amp;T2</stp>
        <stp>AGR</stp>
        <stp>7</stp>
        <tr r="D15" s="1"/>
      </tp>
      <tp t="s">
        <v>A janela foi fechada</v>
        <stp/>
        <stp>T&amp;T2</stp>
        <stp>AGR</stp>
        <stp>6</stp>
        <tr r="D14" s="1"/>
      </tp>
      <tp t="s">
        <v>A janela foi fechada</v>
        <stp/>
        <stp>T&amp;T2</stp>
        <stp>AGR</stp>
        <stp>5</stp>
        <tr r="D13" s="1"/>
      </tp>
      <tp t="s">
        <v>A janela foi fechada</v>
        <stp/>
        <stp>T&amp;T2</stp>
        <stp>AGR</stp>
        <stp>4</stp>
        <tr r="D12" s="1"/>
      </tp>
      <tp t="s">
        <v>A janela foi fechada</v>
        <stp/>
        <stp>T&amp;T1</stp>
        <stp>AGR</stp>
        <stp>9</stp>
        <tr r="J17" s="1"/>
      </tp>
      <tp t="s">
        <v>A janela foi fechada</v>
        <stp/>
        <stp>T&amp;T1</stp>
        <stp>AGR</stp>
        <stp>8</stp>
        <tr r="J16" s="1"/>
      </tp>
      <tp t="s">
        <v>A janela foi fechada</v>
        <stp/>
        <stp>T&amp;T1</stp>
        <stp>AGR</stp>
        <stp>3</stp>
        <tr r="J11" s="1"/>
      </tp>
      <tp t="s">
        <v>A janela foi fechada</v>
        <stp/>
        <stp>T&amp;T1</stp>
        <stp>AGR</stp>
        <stp>2</stp>
        <tr r="J10" s="1"/>
      </tp>
      <tp t="s">
        <v>A janela foi fechada</v>
        <stp/>
        <stp>T&amp;T1</stp>
        <stp>AGR</stp>
        <stp>1</stp>
        <tr r="J9" s="1"/>
      </tp>
      <tp t="s">
        <v>A janela foi fechada</v>
        <stp/>
        <stp>T&amp;T1</stp>
        <stp>AGR</stp>
        <stp>0</stp>
        <tr r="J8" s="1"/>
      </tp>
      <tp t="s">
        <v>A janela foi fechada</v>
        <stp/>
        <stp>T&amp;T1</stp>
        <stp>AGR</stp>
        <stp>7</stp>
        <tr r="J15" s="1"/>
      </tp>
      <tp t="s">
        <v>A janela foi fechada</v>
        <stp/>
        <stp>T&amp;T1</stp>
        <stp>AGR</stp>
        <stp>6</stp>
        <tr r="J14" s="1"/>
      </tp>
      <tp t="s">
        <v>A janela foi fechada</v>
        <stp/>
        <stp>T&amp;T1</stp>
        <stp>AGR</stp>
        <stp>5</stp>
        <tr r="J13" s="1"/>
      </tp>
      <tp t="s">
        <v>A janela foi fechada</v>
        <stp/>
        <stp>T&amp;T1</stp>
        <stp>AGR</stp>
        <stp>4</stp>
        <tr r="J12" s="1"/>
      </tp>
      <tp t="s">
        <v>A janela foi fechada</v>
        <stp/>
        <stp>T&amp;T1</stp>
        <stp>PRE</stp>
        <stp>8</stp>
        <tr r="H16" s="1"/>
      </tp>
      <tp t="s">
        <v>A janela foi fechada</v>
        <stp/>
        <stp>T&amp;T1</stp>
        <stp>PRE</stp>
        <stp>9</stp>
        <tr r="H17" s="1"/>
      </tp>
      <tp t="s">
        <v>A janela foi fechada</v>
        <stp/>
        <stp>T&amp;T1</stp>
        <stp>PRE</stp>
        <stp>2</stp>
        <tr r="H10" s="1"/>
      </tp>
      <tp t="s">
        <v>A janela foi fechada</v>
        <stp/>
        <stp>T&amp;T1</stp>
        <stp>PRE</stp>
        <stp>3</stp>
        <tr r="H11" s="1"/>
      </tp>
      <tp t="s">
        <v>A janela foi fechada</v>
        <stp/>
        <stp>T&amp;T1</stp>
        <stp>PRE</stp>
        <stp>0</stp>
        <tr r="H8" s="1"/>
      </tp>
      <tp t="s">
        <v>A janela foi fechada</v>
        <stp/>
        <stp>T&amp;T1</stp>
        <stp>PRE</stp>
        <stp>1</stp>
        <tr r="H9" s="1"/>
      </tp>
      <tp t="s">
        <v>A janela foi fechada</v>
        <stp/>
        <stp>T&amp;T1</stp>
        <stp>PRE</stp>
        <stp>6</stp>
        <tr r="H14" s="1"/>
      </tp>
      <tp t="s">
        <v>A janela foi fechada</v>
        <stp/>
        <stp>T&amp;T1</stp>
        <stp>PRE</stp>
        <stp>7</stp>
        <tr r="H15" s="1"/>
      </tp>
      <tp t="s">
        <v>A janela foi fechada</v>
        <stp/>
        <stp>T&amp;T1</stp>
        <stp>PRE</stp>
        <stp>4</stp>
        <tr r="H12" s="1"/>
      </tp>
      <tp t="s">
        <v>A janela foi fechada</v>
        <stp/>
        <stp>T&amp;T1</stp>
        <stp>PRE</stp>
        <stp>5</stp>
        <tr r="H13" s="1"/>
      </tp>
      <tp t="s">
        <v>A janela foi fechada</v>
        <stp/>
        <stp>T&amp;T2</stp>
        <stp>PRE</stp>
        <stp>8</stp>
        <tr r="B16" s="1"/>
      </tp>
      <tp t="s">
        <v>A janela foi fechada</v>
        <stp/>
        <stp>T&amp;T2</stp>
        <stp>PRE</stp>
        <stp>9</stp>
        <tr r="B17" s="1"/>
      </tp>
      <tp t="s">
        <v>A janela foi fechada</v>
        <stp/>
        <stp>T&amp;T2</stp>
        <stp>PRE</stp>
        <stp>2</stp>
        <tr r="B10" s="1"/>
      </tp>
      <tp t="s">
        <v>A janela foi fechada</v>
        <stp/>
        <stp>T&amp;T2</stp>
        <stp>PRE</stp>
        <stp>3</stp>
        <tr r="B11" s="1"/>
      </tp>
      <tp t="s">
        <v>A janela foi fechada</v>
        <stp/>
        <stp>T&amp;T2</stp>
        <stp>PRE</stp>
        <stp>0</stp>
        <tr r="B8" s="1"/>
      </tp>
      <tp t="s">
        <v>A janela foi fechada</v>
        <stp/>
        <stp>T&amp;T2</stp>
        <stp>PRE</stp>
        <stp>1</stp>
        <tr r="B9" s="1"/>
      </tp>
      <tp t="s">
        <v>A janela foi fechada</v>
        <stp/>
        <stp>T&amp;T2</stp>
        <stp>PRE</stp>
        <stp>6</stp>
        <tr r="B14" s="1"/>
      </tp>
      <tp t="s">
        <v>A janela foi fechada</v>
        <stp/>
        <stp>T&amp;T2</stp>
        <stp>PRE</stp>
        <stp>7</stp>
        <tr r="B15" s="1"/>
      </tp>
      <tp t="s">
        <v>A janela foi fechada</v>
        <stp/>
        <stp>T&amp;T2</stp>
        <stp>PRE</stp>
        <stp>4</stp>
        <tr r="B12" s="1"/>
      </tp>
      <tp t="s">
        <v>A janela foi fechada</v>
        <stp/>
        <stp>T&amp;T2</stp>
        <stp>PRE</stp>
        <stp>5</stp>
        <tr r="B13" s="1"/>
      </tp>
      <tp t="s">
        <v>A janela foi fechada</v>
        <stp/>
        <stp>T&amp;T1</stp>
        <stp>QUL</stp>
        <stp>9</stp>
        <tr r="I17" s="1"/>
      </tp>
      <tp t="s">
        <v>A janela foi fechada</v>
        <stp/>
        <stp>T&amp;T1</stp>
        <stp>QUL</stp>
        <stp>8</stp>
        <tr r="I16" s="1"/>
      </tp>
      <tp t="s">
        <v>A janela foi fechada</v>
        <stp/>
        <stp>T&amp;T1</stp>
        <stp>QUL</stp>
        <stp>3</stp>
        <tr r="I11" s="1"/>
      </tp>
      <tp t="s">
        <v>A janela foi fechada</v>
        <stp/>
        <stp>T&amp;T1</stp>
        <stp>QUL</stp>
        <stp>2</stp>
        <tr r="I10" s="1"/>
      </tp>
      <tp t="s">
        <v>A janela foi fechada</v>
        <stp/>
        <stp>T&amp;T1</stp>
        <stp>QUL</stp>
        <stp>1</stp>
        <tr r="I9" s="1"/>
      </tp>
      <tp t="s">
        <v>A janela foi fechada</v>
        <stp/>
        <stp>T&amp;T1</stp>
        <stp>QUL</stp>
        <stp>0</stp>
        <tr r="I8" s="1"/>
      </tp>
      <tp t="s">
        <v>A janela foi fechada</v>
        <stp/>
        <stp>T&amp;T1</stp>
        <stp>QUL</stp>
        <stp>7</stp>
        <tr r="I15" s="1"/>
      </tp>
      <tp t="s">
        <v>A janela foi fechada</v>
        <stp/>
        <stp>T&amp;T1</stp>
        <stp>QUL</stp>
        <stp>6</stp>
        <tr r="I14" s="1"/>
      </tp>
      <tp t="s">
        <v>A janela foi fechada</v>
        <stp/>
        <stp>T&amp;T1</stp>
        <stp>QUL</stp>
        <stp>5</stp>
        <tr r="I13" s="1"/>
      </tp>
      <tp t="s">
        <v>A janela foi fechada</v>
        <stp/>
        <stp>T&amp;T1</stp>
        <stp>QUL</stp>
        <stp>4</stp>
        <tr r="I12" s="1"/>
      </tp>
      <tp t="s">
        <v>A janela foi fechada</v>
        <stp/>
        <stp>T&amp;T2</stp>
        <stp>QUL</stp>
        <stp>9</stp>
        <tr r="C17" s="1"/>
      </tp>
      <tp t="s">
        <v>A janela foi fechada</v>
        <stp/>
        <stp>T&amp;T2</stp>
        <stp>QUL</stp>
        <stp>8</stp>
        <tr r="C16" s="1"/>
      </tp>
      <tp t="s">
        <v>A janela foi fechada</v>
        <stp/>
        <stp>T&amp;T2</stp>
        <stp>QUL</stp>
        <stp>3</stp>
        <tr r="C11" s="1"/>
      </tp>
      <tp t="s">
        <v>A janela foi fechada</v>
        <stp/>
        <stp>T&amp;T2</stp>
        <stp>QUL</stp>
        <stp>2</stp>
        <tr r="C10" s="1"/>
      </tp>
      <tp t="s">
        <v>A janela foi fechada</v>
        <stp/>
        <stp>T&amp;T2</stp>
        <stp>QUL</stp>
        <stp>1</stp>
        <tr r="C9" s="1"/>
      </tp>
      <tp t="s">
        <v>A janela foi fechada</v>
        <stp/>
        <stp>T&amp;T2</stp>
        <stp>QUL</stp>
        <stp>0</stp>
        <tr r="C8" s="1"/>
      </tp>
      <tp t="s">
        <v>A janela foi fechada</v>
        <stp/>
        <stp>T&amp;T2</stp>
        <stp>QUL</stp>
        <stp>7</stp>
        <tr r="C15" s="1"/>
      </tp>
      <tp t="s">
        <v>A janela foi fechada</v>
        <stp/>
        <stp>T&amp;T2</stp>
        <stp>QUL</stp>
        <stp>6</stp>
        <tr r="C14" s="1"/>
      </tp>
      <tp t="s">
        <v>A janela foi fechada</v>
        <stp/>
        <stp>T&amp;T2</stp>
        <stp>QUL</stp>
        <stp>5</stp>
        <tr r="C13" s="1"/>
      </tp>
      <tp t="s">
        <v>A janela foi fechada</v>
        <stp/>
        <stp>T&amp;T2</stp>
        <stp>QUL</stp>
        <stp>4</stp>
        <tr r="C12" s="1"/>
      </tp>
      <tp>
        <v>28282.5</v>
        <stp/>
        <stp>NQM6_M_0</stp>
        <stp>ULT</stp>
        <tr r="C2" s="1"/>
      </tp>
      <tp>
        <v>0.26677538576075299</v>
        <stp/>
        <stp>NQM6_M_0</stp>
        <stp>VAR</stp>
        <tr r="H2" s="1"/>
      </tp>
      <tp t="s">
        <v>A janela foi fechada</v>
        <stp/>
        <stp>T&amp;T2</stp>
        <stp>INFO</stp>
        <stp>TAB</stp>
        <tr r="B6" s="1"/>
      </tp>
      <tp t="s">
        <v>A janela foi fechada</v>
        <stp/>
        <stp>T&amp;T1</stp>
        <stp>INFO</stp>
        <stp>TAB</stp>
        <tr r="H6" s="1"/>
      </tp>
      <tp t="s">
        <v>A janela foi fechada</v>
        <stp/>
        <stp>T&amp;T1</stp>
        <stp>QUL</stp>
        <stp>399</stp>
        <tr r="I407" s="1"/>
      </tp>
      <tp t="s">
        <v>A janela foi fechada</v>
        <stp/>
        <stp>T&amp;T1</stp>
        <stp>QUL</stp>
        <stp>398</stp>
        <tr r="I406" s="1"/>
      </tp>
      <tp t="s">
        <v>A janela foi fechada</v>
        <stp/>
        <stp>T&amp;T2</stp>
        <stp>QUL</stp>
        <stp>398</stp>
        <tr r="C406" s="1"/>
      </tp>
      <tp t="s">
        <v>A janela foi fechada</v>
        <stp/>
        <stp>T&amp;T2</stp>
        <stp>QUL</stp>
        <stp>399</stp>
        <tr r="C407" s="1"/>
      </tp>
      <tp t="s">
        <v>A janela foi fechada</v>
        <stp/>
        <stp>T&amp;T1</stp>
        <stp>QUL</stp>
        <stp>391</stp>
        <tr r="I399" s="1"/>
      </tp>
      <tp t="s">
        <v>A janela foi fechada</v>
        <stp/>
        <stp>T&amp;T2</stp>
        <stp>QUL</stp>
        <stp>392</stp>
        <tr r="C400" s="1"/>
      </tp>
      <tp t="s">
        <v>A janela foi fechada</v>
        <stp/>
        <stp>T&amp;T1</stp>
        <stp>QUL</stp>
        <stp>390</stp>
        <tr r="I398" s="1"/>
      </tp>
      <tp t="s">
        <v>A janela foi fechada</v>
        <stp/>
        <stp>T&amp;T2</stp>
        <stp>QUL</stp>
        <stp>393</stp>
        <tr r="C401" s="1"/>
      </tp>
      <tp t="s">
        <v>A janela foi fechada</v>
        <stp/>
        <stp>T&amp;T1</stp>
        <stp>QUL</stp>
        <stp>393</stp>
        <tr r="I401" s="1"/>
      </tp>
      <tp t="s">
        <v>A janela foi fechada</v>
        <stp/>
        <stp>T&amp;T2</stp>
        <stp>QUL</stp>
        <stp>390</stp>
        <tr r="C398" s="1"/>
      </tp>
      <tp t="s">
        <v>A janela foi fechada</v>
        <stp/>
        <stp>T&amp;T1</stp>
        <stp>QUL</stp>
        <stp>392</stp>
        <tr r="I400" s="1"/>
      </tp>
      <tp t="s">
        <v>A janela foi fechada</v>
        <stp/>
        <stp>T&amp;T2</stp>
        <stp>QUL</stp>
        <stp>391</stp>
        <tr r="C399" s="1"/>
      </tp>
      <tp t="s">
        <v>A janela foi fechada</v>
        <stp/>
        <stp>T&amp;T1</stp>
        <stp>QUL</stp>
        <stp>395</stp>
        <tr r="I403" s="1"/>
      </tp>
      <tp t="s">
        <v>A janela foi fechada</v>
        <stp/>
        <stp>T&amp;T2</stp>
        <stp>QUL</stp>
        <stp>396</stp>
        <tr r="C404" s="1"/>
      </tp>
      <tp t="s">
        <v>A janela foi fechada</v>
        <stp/>
        <stp>T&amp;T1</stp>
        <stp>QUL</stp>
        <stp>394</stp>
        <tr r="I402" s="1"/>
      </tp>
      <tp t="s">
        <v>A janela foi fechada</v>
        <stp/>
        <stp>T&amp;T2</stp>
        <stp>QUL</stp>
        <stp>397</stp>
        <tr r="C405" s="1"/>
      </tp>
      <tp t="s">
        <v>A janela foi fechada</v>
        <stp/>
        <stp>T&amp;T1</stp>
        <stp>QUL</stp>
        <stp>397</stp>
        <tr r="I405" s="1"/>
      </tp>
      <tp t="s">
        <v>A janela foi fechada</v>
        <stp/>
        <stp>T&amp;T2</stp>
        <stp>QUL</stp>
        <stp>394</stp>
        <tr r="C402" s="1"/>
      </tp>
      <tp t="s">
        <v>A janela foi fechada</v>
        <stp/>
        <stp>T&amp;T1</stp>
        <stp>QUL</stp>
        <stp>396</stp>
        <tr r="I404" s="1"/>
      </tp>
      <tp t="s">
        <v>A janela foi fechada</v>
        <stp/>
        <stp>T&amp;T2</stp>
        <stp>QUL</stp>
        <stp>395</stp>
        <tr r="C403" s="1"/>
      </tp>
      <tp t="s">
        <v>A janela foi fechada</v>
        <stp/>
        <stp>T&amp;T1</stp>
        <stp>QUL</stp>
        <stp>389</stp>
        <tr r="I397" s="1"/>
      </tp>
      <tp t="s">
        <v>A janela foi fechada</v>
        <stp/>
        <stp>T&amp;T1</stp>
        <stp>QUL</stp>
        <stp>388</stp>
        <tr r="I396" s="1"/>
      </tp>
      <tp t="s">
        <v>A janela foi fechada</v>
        <stp/>
        <stp>T&amp;T2</stp>
        <stp>QUL</stp>
        <stp>388</stp>
        <tr r="C396" s="1"/>
      </tp>
      <tp t="s">
        <v>A janela foi fechada</v>
        <stp/>
        <stp>T&amp;T2</stp>
        <stp>QUL</stp>
        <stp>389</stp>
        <tr r="C397" s="1"/>
      </tp>
      <tp t="s">
        <v>A janela foi fechada</v>
        <stp/>
        <stp>T&amp;T1</stp>
        <stp>QUL</stp>
        <stp>381</stp>
        <tr r="I389" s="1"/>
      </tp>
      <tp t="s">
        <v>A janela foi fechada</v>
        <stp/>
        <stp>T&amp;T2</stp>
        <stp>QUL</stp>
        <stp>382</stp>
        <tr r="C390" s="1"/>
      </tp>
      <tp t="s">
        <v>A janela foi fechada</v>
        <stp/>
        <stp>T&amp;T1</stp>
        <stp>QUL</stp>
        <stp>380</stp>
        <tr r="I388" s="1"/>
      </tp>
      <tp t="s">
        <v>A janela foi fechada</v>
        <stp/>
        <stp>T&amp;T2</stp>
        <stp>QUL</stp>
        <stp>383</stp>
        <tr r="C391" s="1"/>
      </tp>
      <tp t="s">
        <v>A janela foi fechada</v>
        <stp/>
        <stp>T&amp;T1</stp>
        <stp>QUL</stp>
        <stp>383</stp>
        <tr r="I391" s="1"/>
      </tp>
      <tp t="s">
        <v>A janela foi fechada</v>
        <stp/>
        <stp>T&amp;T2</stp>
        <stp>QUL</stp>
        <stp>380</stp>
        <tr r="C388" s="1"/>
      </tp>
      <tp t="s">
        <v>A janela foi fechada</v>
        <stp/>
        <stp>T&amp;T1</stp>
        <stp>QUL</stp>
        <stp>382</stp>
        <tr r="I390" s="1"/>
      </tp>
      <tp t="s">
        <v>A janela foi fechada</v>
        <stp/>
        <stp>T&amp;T2</stp>
        <stp>QUL</stp>
        <stp>381</stp>
        <tr r="C389" s="1"/>
      </tp>
      <tp t="s">
        <v>A janela foi fechada</v>
        <stp/>
        <stp>T&amp;T1</stp>
        <stp>QUL</stp>
        <stp>385</stp>
        <tr r="I393" s="1"/>
      </tp>
      <tp t="s">
        <v>A janela foi fechada</v>
        <stp/>
        <stp>T&amp;T2</stp>
        <stp>QUL</stp>
        <stp>386</stp>
        <tr r="C394" s="1"/>
      </tp>
      <tp t="s">
        <v>A janela foi fechada</v>
        <stp/>
        <stp>T&amp;T1</stp>
        <stp>QUL</stp>
        <stp>384</stp>
        <tr r="I392" s="1"/>
      </tp>
      <tp t="s">
        <v>A janela foi fechada</v>
        <stp/>
        <stp>T&amp;T2</stp>
        <stp>QUL</stp>
        <stp>387</stp>
        <tr r="C395" s="1"/>
      </tp>
      <tp t="s">
        <v>A janela foi fechada</v>
        <stp/>
        <stp>T&amp;T1</stp>
        <stp>QUL</stp>
        <stp>387</stp>
        <tr r="I395" s="1"/>
      </tp>
      <tp t="s">
        <v>A janela foi fechada</v>
        <stp/>
        <stp>T&amp;T2</stp>
        <stp>QUL</stp>
        <stp>384</stp>
        <tr r="C392" s="1"/>
      </tp>
      <tp t="s">
        <v>A janela foi fechada</v>
        <stp/>
        <stp>T&amp;T1</stp>
        <stp>QUL</stp>
        <stp>386</stp>
        <tr r="I394" s="1"/>
      </tp>
      <tp t="s">
        <v>A janela foi fechada</v>
        <stp/>
        <stp>T&amp;T2</stp>
        <stp>QUL</stp>
        <stp>385</stp>
        <tr r="C393" s="1"/>
      </tp>
      <tp t="s">
        <v>A janela foi fechada</v>
        <stp/>
        <stp>T&amp;T1</stp>
        <stp>PRE</stp>
        <stp>280</stp>
        <tr r="H288" s="1"/>
      </tp>
      <tp t="s">
        <v>A janela foi fechada</v>
        <stp/>
        <stp>T&amp;T2</stp>
        <stp>PRE</stp>
        <stp>283</stp>
        <tr r="B291" s="1"/>
      </tp>
      <tp t="s">
        <v>A janela foi fechada</v>
        <stp/>
        <stp>T&amp;T1</stp>
        <stp>PRE</stp>
        <stp>281</stp>
        <tr r="H289" s="1"/>
      </tp>
      <tp t="s">
        <v>A janela foi fechada</v>
        <stp/>
        <stp>T&amp;T2</stp>
        <stp>PRE</stp>
        <stp>282</stp>
        <tr r="B290" s="1"/>
      </tp>
      <tp t="s">
        <v>A janela foi fechada</v>
        <stp/>
        <stp>T&amp;T1</stp>
        <stp>PRE</stp>
        <stp>282</stp>
        <tr r="H290" s="1"/>
      </tp>
      <tp t="s">
        <v>A janela foi fechada</v>
        <stp/>
        <stp>T&amp;T2</stp>
        <stp>PRE</stp>
        <stp>281</stp>
        <tr r="B289" s="1"/>
      </tp>
      <tp t="s">
        <v>A janela foi fechada</v>
        <stp/>
        <stp>T&amp;T1</stp>
        <stp>PRE</stp>
        <stp>283</stp>
        <tr r="H291" s="1"/>
      </tp>
      <tp t="s">
        <v>A janela foi fechada</v>
        <stp/>
        <stp>T&amp;T2</stp>
        <stp>PRE</stp>
        <stp>280</stp>
        <tr r="B288" s="1"/>
      </tp>
      <tp t="s">
        <v>A janela foi fechada</v>
        <stp/>
        <stp>T&amp;T1</stp>
        <stp>PRE</stp>
        <stp>284</stp>
        <tr r="H292" s="1"/>
      </tp>
      <tp t="s">
        <v>A janela foi fechada</v>
        <stp/>
        <stp>T&amp;T2</stp>
        <stp>PRE</stp>
        <stp>287</stp>
        <tr r="B295" s="1"/>
      </tp>
      <tp t="s">
        <v>A janela foi fechada</v>
        <stp/>
        <stp>T&amp;T1</stp>
        <stp>PRE</stp>
        <stp>285</stp>
        <tr r="H293" s="1"/>
      </tp>
      <tp t="s">
        <v>A janela foi fechada</v>
        <stp/>
        <stp>T&amp;T2</stp>
        <stp>PRE</stp>
        <stp>286</stp>
        <tr r="B294" s="1"/>
      </tp>
      <tp t="s">
        <v>A janela foi fechada</v>
        <stp/>
        <stp>T&amp;T1</stp>
        <stp>PRE</stp>
        <stp>286</stp>
        <tr r="H294" s="1"/>
      </tp>
      <tp t="s">
        <v>A janela foi fechada</v>
        <stp/>
        <stp>T&amp;T2</stp>
        <stp>PRE</stp>
        <stp>285</stp>
        <tr r="B293" s="1"/>
      </tp>
      <tp t="s">
        <v>A janela foi fechada</v>
        <stp/>
        <stp>T&amp;T1</stp>
        <stp>PRE</stp>
        <stp>287</stp>
        <tr r="H295" s="1"/>
      </tp>
      <tp t="s">
        <v>A janela foi fechada</v>
        <stp/>
        <stp>T&amp;T2</stp>
        <stp>PRE</stp>
        <stp>284</stp>
        <tr r="B292" s="1"/>
      </tp>
      <tp t="s">
        <v>A janela foi fechada</v>
        <stp/>
        <stp>T&amp;T1</stp>
        <stp>PRE</stp>
        <stp>288</stp>
        <tr r="H296" s="1"/>
      </tp>
      <tp t="s">
        <v>A janela foi fechada</v>
        <stp/>
        <stp>T&amp;T1</stp>
        <stp>PRE</stp>
        <stp>289</stp>
        <tr r="H297" s="1"/>
      </tp>
      <tp t="s">
        <v>A janela foi fechada</v>
        <stp/>
        <stp>T&amp;T2</stp>
        <stp>PRE</stp>
        <stp>289</stp>
        <tr r="B297" s="1"/>
      </tp>
      <tp t="s">
        <v>A janela foi fechada</v>
        <stp/>
        <stp>T&amp;T2</stp>
        <stp>PRE</stp>
        <stp>288</stp>
        <tr r="B296" s="1"/>
      </tp>
      <tp t="s">
        <v>A janela foi fechada</v>
        <stp/>
        <stp>T&amp;T1</stp>
        <stp>PRE</stp>
        <stp>290</stp>
        <tr r="H298" s="1"/>
      </tp>
      <tp t="s">
        <v>A janela foi fechada</v>
        <stp/>
        <stp>T&amp;T2</stp>
        <stp>PRE</stp>
        <stp>293</stp>
        <tr r="B301" s="1"/>
      </tp>
      <tp t="s">
        <v>A janela foi fechada</v>
        <stp/>
        <stp>T&amp;T1</stp>
        <stp>PRE</stp>
        <stp>291</stp>
        <tr r="H299" s="1"/>
      </tp>
      <tp t="s">
        <v>A janela foi fechada</v>
        <stp/>
        <stp>T&amp;T2</stp>
        <stp>PRE</stp>
        <stp>292</stp>
        <tr r="B300" s="1"/>
      </tp>
      <tp t="s">
        <v>A janela foi fechada</v>
        <stp/>
        <stp>T&amp;T1</stp>
        <stp>PRE</stp>
        <stp>292</stp>
        <tr r="H300" s="1"/>
      </tp>
      <tp t="s">
        <v>A janela foi fechada</v>
        <stp/>
        <stp>T&amp;T2</stp>
        <stp>PRE</stp>
        <stp>291</stp>
        <tr r="B299" s="1"/>
      </tp>
      <tp t="s">
        <v>A janela foi fechada</v>
        <stp/>
        <stp>T&amp;T1</stp>
        <stp>PRE</stp>
        <stp>293</stp>
        <tr r="H301" s="1"/>
      </tp>
      <tp t="s">
        <v>A janela foi fechada</v>
        <stp/>
        <stp>T&amp;T2</stp>
        <stp>PRE</stp>
        <stp>290</stp>
        <tr r="B298" s="1"/>
      </tp>
      <tp t="s">
        <v>A janela foi fechada</v>
        <stp/>
        <stp>T&amp;T1</stp>
        <stp>PRE</stp>
        <stp>294</stp>
        <tr r="H302" s="1"/>
      </tp>
      <tp t="s">
        <v>A janela foi fechada</v>
        <stp/>
        <stp>T&amp;T2</stp>
        <stp>PRE</stp>
        <stp>297</stp>
        <tr r="B305" s="1"/>
      </tp>
      <tp t="s">
        <v>A janela foi fechada</v>
        <stp/>
        <stp>T&amp;T1</stp>
        <stp>PRE</stp>
        <stp>295</stp>
        <tr r="H303" s="1"/>
      </tp>
      <tp t="s">
        <v>A janela foi fechada</v>
        <stp/>
        <stp>T&amp;T2</stp>
        <stp>PRE</stp>
        <stp>296</stp>
        <tr r="B304" s="1"/>
      </tp>
      <tp t="s">
        <v>A janela foi fechada</v>
        <stp/>
        <stp>T&amp;T1</stp>
        <stp>PRE</stp>
        <stp>296</stp>
        <tr r="H304" s="1"/>
      </tp>
      <tp t="s">
        <v>A janela foi fechada</v>
        <stp/>
        <stp>T&amp;T2</stp>
        <stp>PRE</stp>
        <stp>295</stp>
        <tr r="B303" s="1"/>
      </tp>
      <tp t="s">
        <v>A janela foi fechada</v>
        <stp/>
        <stp>T&amp;T1</stp>
        <stp>PRE</stp>
        <stp>297</stp>
        <tr r="H305" s="1"/>
      </tp>
      <tp t="s">
        <v>A janela foi fechada</v>
        <stp/>
        <stp>T&amp;T2</stp>
        <stp>PRE</stp>
        <stp>294</stp>
        <tr r="B302" s="1"/>
      </tp>
      <tp t="s">
        <v>A janela foi fechada</v>
        <stp/>
        <stp>T&amp;T1</stp>
        <stp>PRE</stp>
        <stp>298</stp>
        <tr r="H306" s="1"/>
      </tp>
      <tp t="s">
        <v>A janela foi fechada</v>
        <stp/>
        <stp>T&amp;T1</stp>
        <stp>PRE</stp>
        <stp>299</stp>
        <tr r="H307" s="1"/>
      </tp>
      <tp t="s">
        <v>A janela foi fechada</v>
        <stp/>
        <stp>T&amp;T2</stp>
        <stp>PRE</stp>
        <stp>299</stp>
        <tr r="B307" s="1"/>
      </tp>
      <tp t="s">
        <v>A janela foi fechada</v>
        <stp/>
        <stp>T&amp;T2</stp>
        <stp>PRE</stp>
        <stp>298</stp>
        <tr r="B306" s="1"/>
      </tp>
      <tp t="s">
        <v>A janela foi fechada</v>
        <stp/>
        <stp>T&amp;T1</stp>
        <stp>PRE</stp>
        <stp>260</stp>
        <tr r="H268" s="1"/>
      </tp>
      <tp t="s">
        <v>A janela foi fechada</v>
        <stp/>
        <stp>T&amp;T1</stp>
        <stp>QUL</stp>
        <stp>319</stp>
        <tr r="I327" s="1"/>
      </tp>
      <tp t="s">
        <v>A janela foi fechada</v>
        <stp/>
        <stp>T&amp;T2</stp>
        <stp>PRE</stp>
        <stp>263</stp>
        <tr r="B271" s="1"/>
      </tp>
      <tp t="s">
        <v>A janela foi fechada</v>
        <stp/>
        <stp>T&amp;T1</stp>
        <stp>PRE</stp>
        <stp>261</stp>
        <tr r="H269" s="1"/>
      </tp>
      <tp t="s">
        <v>A janela foi fechada</v>
        <stp/>
        <stp>T&amp;T1</stp>
        <stp>QUL</stp>
        <stp>318</stp>
        <tr r="I326" s="1"/>
      </tp>
      <tp t="s">
        <v>A janela foi fechada</v>
        <stp/>
        <stp>T&amp;T2</stp>
        <stp>PRE</stp>
        <stp>262</stp>
        <tr r="B270" s="1"/>
      </tp>
      <tp t="s">
        <v>A janela foi fechada</v>
        <stp/>
        <stp>T&amp;T1</stp>
        <stp>PRE</stp>
        <stp>262</stp>
        <tr r="H270" s="1"/>
      </tp>
      <tp t="s">
        <v>A janela foi fechada</v>
        <stp/>
        <stp>T&amp;T2</stp>
        <stp>PRE</stp>
        <stp>261</stp>
        <tr r="B269" s="1"/>
      </tp>
      <tp t="s">
        <v>A janela foi fechada</v>
        <stp/>
        <stp>T&amp;T2</stp>
        <stp>QUL</stp>
        <stp>318</stp>
        <tr r="C326" s="1"/>
      </tp>
      <tp t="s">
        <v>A janela foi fechada</v>
        <stp/>
        <stp>T&amp;T1</stp>
        <stp>PRE</stp>
        <stp>263</stp>
        <tr r="H271" s="1"/>
      </tp>
      <tp t="s">
        <v>A janela foi fechada</v>
        <stp/>
        <stp>T&amp;T2</stp>
        <stp>PRE</stp>
        <stp>260</stp>
        <tr r="B268" s="1"/>
      </tp>
      <tp t="s">
        <v>A janela foi fechada</v>
        <stp/>
        <stp>T&amp;T2</stp>
        <stp>QUL</stp>
        <stp>319</stp>
        <tr r="C327" s="1"/>
      </tp>
      <tp t="s">
        <v>A janela foi fechada</v>
        <stp/>
        <stp>T&amp;T1</stp>
        <stp>PRE</stp>
        <stp>264</stp>
        <tr r="H272" s="1"/>
      </tp>
      <tp t="s">
        <v>A janela foi fechada</v>
        <stp/>
        <stp>T&amp;T2</stp>
        <stp>PRE</stp>
        <stp>267</stp>
        <tr r="B275" s="1"/>
      </tp>
      <tp t="s">
        <v>A janela foi fechada</v>
        <stp/>
        <stp>T&amp;T1</stp>
        <stp>PRE</stp>
        <stp>265</stp>
        <tr r="H273" s="1"/>
      </tp>
      <tp t="s">
        <v>A janela foi fechada</v>
        <stp/>
        <stp>T&amp;T2</stp>
        <stp>PRE</stp>
        <stp>266</stp>
        <tr r="B274" s="1"/>
      </tp>
      <tp t="s">
        <v>A janela foi fechada</v>
        <stp/>
        <stp>T&amp;T1</stp>
        <stp>PRE</stp>
        <stp>266</stp>
        <tr r="H274" s="1"/>
      </tp>
      <tp t="s">
        <v>A janela foi fechada</v>
        <stp/>
        <stp>T&amp;T2</stp>
        <stp>PRE</stp>
        <stp>265</stp>
        <tr r="B273" s="1"/>
      </tp>
      <tp t="s">
        <v>A janela foi fechada</v>
        <stp/>
        <stp>T&amp;T1</stp>
        <stp>PRE</stp>
        <stp>267</stp>
        <tr r="H275" s="1"/>
      </tp>
      <tp t="s">
        <v>A janela foi fechada</v>
        <stp/>
        <stp>T&amp;T2</stp>
        <stp>PRE</stp>
        <stp>264</stp>
        <tr r="B272" s="1"/>
      </tp>
      <tp t="s">
        <v>A janela foi fechada</v>
        <stp/>
        <stp>T&amp;T1</stp>
        <stp>PRE</stp>
        <stp>268</stp>
        <tr r="H276" s="1"/>
      </tp>
      <tp t="s">
        <v>A janela foi fechada</v>
        <stp/>
        <stp>T&amp;T1</stp>
        <stp>QUL</stp>
        <stp>311</stp>
        <tr r="I319" s="1"/>
      </tp>
      <tp t="s">
        <v>A janela foi fechada</v>
        <stp/>
        <stp>T&amp;T2</stp>
        <stp>QUL</stp>
        <stp>312</stp>
        <tr r="C320" s="1"/>
      </tp>
      <tp t="s">
        <v>A janela foi fechada</v>
        <stp/>
        <stp>T&amp;T1</stp>
        <stp>PRE</stp>
        <stp>269</stp>
        <tr r="H277" s="1"/>
      </tp>
      <tp t="s">
        <v>A janela foi fechada</v>
        <stp/>
        <stp>T&amp;T1</stp>
        <stp>QUL</stp>
        <stp>310</stp>
        <tr r="I318" s="1"/>
      </tp>
      <tp t="s">
        <v>A janela foi fechada</v>
        <stp/>
        <stp>T&amp;T2</stp>
        <stp>QUL</stp>
        <stp>313</stp>
        <tr r="C321" s="1"/>
      </tp>
      <tp t="s">
        <v>A janela foi fechada</v>
        <stp/>
        <stp>T&amp;T1</stp>
        <stp>QUL</stp>
        <stp>313</stp>
        <tr r="I321" s="1"/>
      </tp>
      <tp t="s">
        <v>A janela foi fechada</v>
        <stp/>
        <stp>T&amp;T2</stp>
        <stp>PRE</stp>
        <stp>269</stp>
        <tr r="B277" s="1"/>
      </tp>
      <tp t="s">
        <v>A janela foi fechada</v>
        <stp/>
        <stp>T&amp;T2</stp>
        <stp>QUL</stp>
        <stp>310</stp>
        <tr r="C318" s="1"/>
      </tp>
      <tp t="s">
        <v>A janela foi fechada</v>
        <stp/>
        <stp>T&amp;T1</stp>
        <stp>QUL</stp>
        <stp>312</stp>
        <tr r="I320" s="1"/>
      </tp>
      <tp t="s">
        <v>A janela foi fechada</v>
        <stp/>
        <stp>T&amp;T2</stp>
        <stp>PRE</stp>
        <stp>268</stp>
        <tr r="B276" s="1"/>
      </tp>
      <tp t="s">
        <v>A janela foi fechada</v>
        <stp/>
        <stp>T&amp;T2</stp>
        <stp>QUL</stp>
        <stp>311</stp>
        <tr r="C319" s="1"/>
      </tp>
      <tp t="s">
        <v>A janela foi fechada</v>
        <stp/>
        <stp>T&amp;T1</stp>
        <stp>QUL</stp>
        <stp>315</stp>
        <tr r="I323" s="1"/>
      </tp>
      <tp t="s">
        <v>A janela foi fechada</v>
        <stp/>
        <stp>T&amp;T2</stp>
        <stp>QUL</stp>
        <stp>316</stp>
        <tr r="C324" s="1"/>
      </tp>
      <tp t="s">
        <v>A janela foi fechada</v>
        <stp/>
        <stp>T&amp;T1</stp>
        <stp>QUL</stp>
        <stp>314</stp>
        <tr r="I322" s="1"/>
      </tp>
      <tp t="s">
        <v>A janela foi fechada</v>
        <stp/>
        <stp>T&amp;T2</stp>
        <stp>QUL</stp>
        <stp>317</stp>
        <tr r="C325" s="1"/>
      </tp>
      <tp t="s">
        <v>A janela foi fechada</v>
        <stp/>
        <stp>T&amp;T1</stp>
        <stp>QUL</stp>
        <stp>317</stp>
        <tr r="I325" s="1"/>
      </tp>
      <tp t="s">
        <v>A janela foi fechada</v>
        <stp/>
        <stp>T&amp;T2</stp>
        <stp>QUL</stp>
        <stp>314</stp>
        <tr r="C322" s="1"/>
      </tp>
      <tp t="s">
        <v>A janela foi fechada</v>
        <stp/>
        <stp>T&amp;T1</stp>
        <stp>QUL</stp>
        <stp>316</stp>
        <tr r="I324" s="1"/>
      </tp>
      <tp t="s">
        <v>A janela foi fechada</v>
        <stp/>
        <stp>T&amp;T2</stp>
        <stp>QUL</stp>
        <stp>315</stp>
        <tr r="C323" s="1"/>
      </tp>
      <tp t="s">
        <v>A janela foi fechada</v>
        <stp/>
        <stp>T&amp;T1</stp>
        <stp>PRE</stp>
        <stp>270</stp>
        <tr r="H278" s="1"/>
      </tp>
      <tp t="s">
        <v>A janela foi fechada</v>
        <stp/>
        <stp>T&amp;T1</stp>
        <stp>QUL</stp>
        <stp>309</stp>
        <tr r="I317" s="1"/>
      </tp>
      <tp t="s">
        <v>A janela foi fechada</v>
        <stp/>
        <stp>T&amp;T2</stp>
        <stp>PRE</stp>
        <stp>273</stp>
        <tr r="B281" s="1"/>
      </tp>
      <tp t="s">
        <v>A janela foi fechada</v>
        <stp/>
        <stp>T&amp;T1</stp>
        <stp>PRE</stp>
        <stp>271</stp>
        <tr r="H279" s="1"/>
      </tp>
      <tp t="s">
        <v>A janela foi fechada</v>
        <stp/>
        <stp>T&amp;T1</stp>
        <stp>QUL</stp>
        <stp>308</stp>
        <tr r="I316" s="1"/>
      </tp>
      <tp t="s">
        <v>A janela foi fechada</v>
        <stp/>
        <stp>T&amp;T2</stp>
        <stp>PRE</stp>
        <stp>272</stp>
        <tr r="B280" s="1"/>
      </tp>
      <tp t="s">
        <v>A janela foi fechada</v>
        <stp/>
        <stp>T&amp;T1</stp>
        <stp>PRE</stp>
        <stp>272</stp>
        <tr r="H280" s="1"/>
      </tp>
      <tp t="s">
        <v>A janela foi fechada</v>
        <stp/>
        <stp>T&amp;T2</stp>
        <stp>PRE</stp>
        <stp>271</stp>
        <tr r="B279" s="1"/>
      </tp>
      <tp t="s">
        <v>A janela foi fechada</v>
        <stp/>
        <stp>T&amp;T2</stp>
        <stp>QUL</stp>
        <stp>308</stp>
        <tr r="C316" s="1"/>
      </tp>
      <tp t="s">
        <v>A janela foi fechada</v>
        <stp/>
        <stp>T&amp;T1</stp>
        <stp>PRE</stp>
        <stp>273</stp>
        <tr r="H281" s="1"/>
      </tp>
      <tp t="s">
        <v>A janela foi fechada</v>
        <stp/>
        <stp>T&amp;T2</stp>
        <stp>PRE</stp>
        <stp>270</stp>
        <tr r="B278" s="1"/>
      </tp>
      <tp t="s">
        <v>A janela foi fechada</v>
        <stp/>
        <stp>T&amp;T2</stp>
        <stp>QUL</stp>
        <stp>309</stp>
        <tr r="C317" s="1"/>
      </tp>
      <tp t="s">
        <v>A janela foi fechada</v>
        <stp/>
        <stp>T&amp;T1</stp>
        <stp>PRE</stp>
        <stp>274</stp>
        <tr r="H282" s="1"/>
      </tp>
      <tp t="s">
        <v>A janela foi fechada</v>
        <stp/>
        <stp>T&amp;T2</stp>
        <stp>PRE</stp>
        <stp>277</stp>
        <tr r="B285" s="1"/>
      </tp>
      <tp t="s">
        <v>A janela foi fechada</v>
        <stp/>
        <stp>T&amp;T1</stp>
        <stp>PRE</stp>
        <stp>275</stp>
        <tr r="H283" s="1"/>
      </tp>
      <tp t="s">
        <v>A janela foi fechada</v>
        <stp/>
        <stp>T&amp;T2</stp>
        <stp>PRE</stp>
        <stp>276</stp>
        <tr r="B284" s="1"/>
      </tp>
      <tp t="s">
        <v>A janela foi fechada</v>
        <stp/>
        <stp>T&amp;T1</stp>
        <stp>PRE</stp>
        <stp>276</stp>
        <tr r="H284" s="1"/>
      </tp>
      <tp t="s">
        <v>A janela foi fechada</v>
        <stp/>
        <stp>T&amp;T2</stp>
        <stp>PRE</stp>
        <stp>275</stp>
        <tr r="B283" s="1"/>
      </tp>
      <tp t="s">
        <v>A janela foi fechada</v>
        <stp/>
        <stp>T&amp;T1</stp>
        <stp>PRE</stp>
        <stp>277</stp>
        <tr r="H285" s="1"/>
      </tp>
      <tp t="s">
        <v>A janela foi fechada</v>
        <stp/>
        <stp>T&amp;T2</stp>
        <stp>PRE</stp>
        <stp>274</stp>
        <tr r="B282" s="1"/>
      </tp>
      <tp t="s">
        <v>A janela foi fechada</v>
        <stp/>
        <stp>T&amp;T1</stp>
        <stp>PRE</stp>
        <stp>278</stp>
        <tr r="H286" s="1"/>
      </tp>
      <tp t="s">
        <v>A janela foi fechada</v>
        <stp/>
        <stp>T&amp;T1</stp>
        <stp>QUL</stp>
        <stp>301</stp>
        <tr r="I309" s="1"/>
      </tp>
      <tp t="s">
        <v>A janela foi fechada</v>
        <stp/>
        <stp>T&amp;T2</stp>
        <stp>QUL</stp>
        <stp>302</stp>
        <tr r="C310" s="1"/>
      </tp>
      <tp t="s">
        <v>A janela foi fechada</v>
        <stp/>
        <stp>T&amp;T1</stp>
        <stp>PRE</stp>
        <stp>279</stp>
        <tr r="H287" s="1"/>
      </tp>
      <tp t="s">
        <v>A janela foi fechada</v>
        <stp/>
        <stp>T&amp;T1</stp>
        <stp>QUL</stp>
        <stp>300</stp>
        <tr r="I308" s="1"/>
      </tp>
      <tp t="s">
        <v>A janela foi fechada</v>
        <stp/>
        <stp>T&amp;T2</stp>
        <stp>QUL</stp>
        <stp>303</stp>
        <tr r="C311" s="1"/>
      </tp>
      <tp t="s">
        <v>A janela foi fechada</v>
        <stp/>
        <stp>T&amp;T1</stp>
        <stp>QUL</stp>
        <stp>303</stp>
        <tr r="I311" s="1"/>
      </tp>
      <tp t="s">
        <v>A janela foi fechada</v>
        <stp/>
        <stp>T&amp;T2</stp>
        <stp>PRE</stp>
        <stp>279</stp>
        <tr r="B287" s="1"/>
      </tp>
      <tp t="s">
        <v>A janela foi fechada</v>
        <stp/>
        <stp>T&amp;T2</stp>
        <stp>QUL</stp>
        <stp>300</stp>
        <tr r="C308" s="1"/>
      </tp>
      <tp t="s">
        <v>A janela foi fechada</v>
        <stp/>
        <stp>T&amp;T1</stp>
        <stp>QUL</stp>
        <stp>302</stp>
        <tr r="I310" s="1"/>
      </tp>
      <tp t="s">
        <v>A janela foi fechada</v>
        <stp/>
        <stp>T&amp;T2</stp>
        <stp>PRE</stp>
        <stp>278</stp>
        <tr r="B286" s="1"/>
      </tp>
      <tp t="s">
        <v>A janela foi fechada</v>
        <stp/>
        <stp>T&amp;T2</stp>
        <stp>QUL</stp>
        <stp>301</stp>
        <tr r="C309" s="1"/>
      </tp>
      <tp t="s">
        <v>A janela foi fechada</v>
        <stp/>
        <stp>T&amp;T1</stp>
        <stp>QUL</stp>
        <stp>305</stp>
        <tr r="I313" s="1"/>
      </tp>
      <tp t="s">
        <v>A janela foi fechada</v>
        <stp/>
        <stp>T&amp;T2</stp>
        <stp>QUL</stp>
        <stp>306</stp>
        <tr r="C314" s="1"/>
      </tp>
      <tp t="s">
        <v>A janela foi fechada</v>
        <stp/>
        <stp>T&amp;T1</stp>
        <stp>QUL</stp>
        <stp>304</stp>
        <tr r="I312" s="1"/>
      </tp>
      <tp t="s">
        <v>A janela foi fechada</v>
        <stp/>
        <stp>T&amp;T2</stp>
        <stp>QUL</stp>
        <stp>307</stp>
        <tr r="C315" s="1"/>
      </tp>
      <tp t="s">
        <v>A janela foi fechada</v>
        <stp/>
        <stp>T&amp;T1</stp>
        <stp>QUL</stp>
        <stp>307</stp>
        <tr r="I315" s="1"/>
      </tp>
      <tp t="s">
        <v>A janela foi fechada</v>
        <stp/>
        <stp>T&amp;T2</stp>
        <stp>QUL</stp>
        <stp>304</stp>
        <tr r="C312" s="1"/>
      </tp>
      <tp t="s">
        <v>A janela foi fechada</v>
        <stp/>
        <stp>T&amp;T1</stp>
        <stp>QUL</stp>
        <stp>306</stp>
        <tr r="I314" s="1"/>
      </tp>
      <tp t="s">
        <v>A janela foi fechada</v>
        <stp/>
        <stp>T&amp;T2</stp>
        <stp>QUL</stp>
        <stp>305</stp>
        <tr r="C313" s="1"/>
      </tp>
      <tp t="s">
        <v>A janela foi fechada</v>
        <stp/>
        <stp>T&amp;T1</stp>
        <stp>PRE</stp>
        <stp>240</stp>
        <tr r="H248" s="1"/>
      </tp>
      <tp t="s">
        <v>A janela foi fechada</v>
        <stp/>
        <stp>T&amp;T1</stp>
        <stp>QUL</stp>
        <stp>339</stp>
        <tr r="I347" s="1"/>
      </tp>
      <tp t="s">
        <v>A janela foi fechada</v>
        <stp/>
        <stp>T&amp;T2</stp>
        <stp>PRE</stp>
        <stp>243</stp>
        <tr r="B251" s="1"/>
      </tp>
      <tp t="s">
        <v>A janela foi fechada</v>
        <stp/>
        <stp>T&amp;T1</stp>
        <stp>PRE</stp>
        <stp>241</stp>
        <tr r="H249" s="1"/>
      </tp>
      <tp t="s">
        <v>A janela foi fechada</v>
        <stp/>
        <stp>T&amp;T1</stp>
        <stp>QUL</stp>
        <stp>338</stp>
        <tr r="I346" s="1"/>
      </tp>
      <tp t="s">
        <v>A janela foi fechada</v>
        <stp/>
        <stp>T&amp;T2</stp>
        <stp>PRE</stp>
        <stp>242</stp>
        <tr r="B250" s="1"/>
      </tp>
      <tp t="s">
        <v>A janela foi fechada</v>
        <stp/>
        <stp>T&amp;T1</stp>
        <stp>PRE</stp>
        <stp>242</stp>
        <tr r="H250" s="1"/>
      </tp>
      <tp t="s">
        <v>A janela foi fechada</v>
        <stp/>
        <stp>T&amp;T2</stp>
        <stp>PRE</stp>
        <stp>241</stp>
        <tr r="B249" s="1"/>
      </tp>
      <tp t="s">
        <v>A janela foi fechada</v>
        <stp/>
        <stp>T&amp;T2</stp>
        <stp>QUL</stp>
        <stp>338</stp>
        <tr r="C346" s="1"/>
      </tp>
      <tp t="s">
        <v>A janela foi fechada</v>
        <stp/>
        <stp>T&amp;T1</stp>
        <stp>PRE</stp>
        <stp>243</stp>
        <tr r="H251" s="1"/>
      </tp>
      <tp t="s">
        <v>A janela foi fechada</v>
        <stp/>
        <stp>T&amp;T2</stp>
        <stp>PRE</stp>
        <stp>240</stp>
        <tr r="B248" s="1"/>
      </tp>
      <tp t="s">
        <v>A janela foi fechada</v>
        <stp/>
        <stp>T&amp;T2</stp>
        <stp>QUL</stp>
        <stp>339</stp>
        <tr r="C347" s="1"/>
      </tp>
      <tp t="s">
        <v>A janela foi fechada</v>
        <stp/>
        <stp>T&amp;T1</stp>
        <stp>PRE</stp>
        <stp>244</stp>
        <tr r="H252" s="1"/>
      </tp>
      <tp t="s">
        <v>A janela foi fechada</v>
        <stp/>
        <stp>T&amp;T2</stp>
        <stp>PRE</stp>
        <stp>247</stp>
        <tr r="B255" s="1"/>
      </tp>
      <tp t="s">
        <v>A janela foi fechada</v>
        <stp/>
        <stp>T&amp;T1</stp>
        <stp>PRE</stp>
        <stp>245</stp>
        <tr r="H253" s="1"/>
      </tp>
      <tp t="s">
        <v>A janela foi fechada</v>
        <stp/>
        <stp>T&amp;T2</stp>
        <stp>PRE</stp>
        <stp>246</stp>
        <tr r="B254" s="1"/>
      </tp>
      <tp t="s">
        <v>A janela foi fechada</v>
        <stp/>
        <stp>T&amp;T1</stp>
        <stp>PRE</stp>
        <stp>246</stp>
        <tr r="H254" s="1"/>
      </tp>
      <tp t="s">
        <v>A janela foi fechada</v>
        <stp/>
        <stp>T&amp;T2</stp>
        <stp>PRE</stp>
        <stp>245</stp>
        <tr r="B253" s="1"/>
      </tp>
      <tp t="s">
        <v>A janela foi fechada</v>
        <stp/>
        <stp>T&amp;T1</stp>
        <stp>PRE</stp>
        <stp>247</stp>
        <tr r="H255" s="1"/>
      </tp>
      <tp t="s">
        <v>A janela foi fechada</v>
        <stp/>
        <stp>T&amp;T2</stp>
        <stp>PRE</stp>
        <stp>244</stp>
        <tr r="B252" s="1"/>
      </tp>
      <tp t="s">
        <v>A janela foi fechada</v>
        <stp/>
        <stp>T&amp;T1</stp>
        <stp>PRE</stp>
        <stp>248</stp>
        <tr r="H256" s="1"/>
      </tp>
      <tp t="s">
        <v>A janela foi fechada</v>
        <stp/>
        <stp>T&amp;T1</stp>
        <stp>QUL</stp>
        <stp>331</stp>
        <tr r="I339" s="1"/>
      </tp>
      <tp t="s">
        <v>A janela foi fechada</v>
        <stp/>
        <stp>T&amp;T2</stp>
        <stp>QUL</stp>
        <stp>332</stp>
        <tr r="C340" s="1"/>
      </tp>
      <tp t="s">
        <v>A janela foi fechada</v>
        <stp/>
        <stp>T&amp;T1</stp>
        <stp>PRE</stp>
        <stp>249</stp>
        <tr r="H257" s="1"/>
      </tp>
      <tp t="s">
        <v>A janela foi fechada</v>
        <stp/>
        <stp>T&amp;T1</stp>
        <stp>QUL</stp>
        <stp>330</stp>
        <tr r="I338" s="1"/>
      </tp>
      <tp t="s">
        <v>A janela foi fechada</v>
        <stp/>
        <stp>T&amp;T2</stp>
        <stp>QUL</stp>
        <stp>333</stp>
        <tr r="C341" s="1"/>
      </tp>
      <tp t="s">
        <v>A janela foi fechada</v>
        <stp/>
        <stp>T&amp;T1</stp>
        <stp>QUL</stp>
        <stp>333</stp>
        <tr r="I341" s="1"/>
      </tp>
      <tp t="s">
        <v>A janela foi fechada</v>
        <stp/>
        <stp>T&amp;T2</stp>
        <stp>PRE</stp>
        <stp>249</stp>
        <tr r="B257" s="1"/>
      </tp>
      <tp t="s">
        <v>A janela foi fechada</v>
        <stp/>
        <stp>T&amp;T2</stp>
        <stp>QUL</stp>
        <stp>330</stp>
        <tr r="C338" s="1"/>
      </tp>
      <tp t="s">
        <v>A janela foi fechada</v>
        <stp/>
        <stp>T&amp;T1</stp>
        <stp>QUL</stp>
        <stp>332</stp>
        <tr r="I340" s="1"/>
      </tp>
      <tp t="s">
        <v>A janela foi fechada</v>
        <stp/>
        <stp>T&amp;T2</stp>
        <stp>PRE</stp>
        <stp>248</stp>
        <tr r="B256" s="1"/>
      </tp>
      <tp t="s">
        <v>A janela foi fechada</v>
        <stp/>
        <stp>T&amp;T2</stp>
        <stp>QUL</stp>
        <stp>331</stp>
        <tr r="C339" s="1"/>
      </tp>
      <tp t="s">
        <v>A janela foi fechada</v>
        <stp/>
        <stp>T&amp;T1</stp>
        <stp>QUL</stp>
        <stp>335</stp>
        <tr r="I343" s="1"/>
      </tp>
      <tp t="s">
        <v>A janela foi fechada</v>
        <stp/>
        <stp>T&amp;T2</stp>
        <stp>QUL</stp>
        <stp>336</stp>
        <tr r="C344" s="1"/>
      </tp>
      <tp t="s">
        <v>A janela foi fechada</v>
        <stp/>
        <stp>T&amp;T1</stp>
        <stp>QUL</stp>
        <stp>334</stp>
        <tr r="I342" s="1"/>
      </tp>
      <tp t="s">
        <v>A janela foi fechada</v>
        <stp/>
        <stp>T&amp;T2</stp>
        <stp>QUL</stp>
        <stp>337</stp>
        <tr r="C345" s="1"/>
      </tp>
      <tp t="s">
        <v>A janela foi fechada</v>
        <stp/>
        <stp>T&amp;T1</stp>
        <stp>QUL</stp>
        <stp>337</stp>
        <tr r="I345" s="1"/>
      </tp>
      <tp t="s">
        <v>A janela foi fechada</v>
        <stp/>
        <stp>T&amp;T2</stp>
        <stp>QUL</stp>
        <stp>334</stp>
        <tr r="C342" s="1"/>
      </tp>
      <tp t="s">
        <v>A janela foi fechada</v>
        <stp/>
        <stp>T&amp;T1</stp>
        <stp>QUL</stp>
        <stp>336</stp>
        <tr r="I344" s="1"/>
      </tp>
      <tp t="s">
        <v>A janela foi fechada</v>
        <stp/>
        <stp>T&amp;T2</stp>
        <stp>QUL</stp>
        <stp>335</stp>
        <tr r="C343" s="1"/>
      </tp>
      <tp t="s">
        <v>A janela foi fechada</v>
        <stp/>
        <stp>T&amp;T1</stp>
        <stp>PRE</stp>
        <stp>250</stp>
        <tr r="H258" s="1"/>
      </tp>
      <tp t="s">
        <v>A janela foi fechada</v>
        <stp/>
        <stp>T&amp;T1</stp>
        <stp>QUL</stp>
        <stp>329</stp>
        <tr r="I337" s="1"/>
      </tp>
      <tp t="s">
        <v>A janela foi fechada</v>
        <stp/>
        <stp>T&amp;T2</stp>
        <stp>PRE</stp>
        <stp>253</stp>
        <tr r="B261" s="1"/>
      </tp>
      <tp t="s">
        <v>A janela foi fechada</v>
        <stp/>
        <stp>T&amp;T1</stp>
        <stp>PRE</stp>
        <stp>251</stp>
        <tr r="H259" s="1"/>
      </tp>
      <tp t="s">
        <v>A janela foi fechada</v>
        <stp/>
        <stp>T&amp;T1</stp>
        <stp>QUL</stp>
        <stp>328</stp>
        <tr r="I336" s="1"/>
      </tp>
      <tp t="s">
        <v>A janela foi fechada</v>
        <stp/>
        <stp>T&amp;T2</stp>
        <stp>PRE</stp>
        <stp>252</stp>
        <tr r="B260" s="1"/>
      </tp>
      <tp t="s">
        <v>A janela foi fechada</v>
        <stp/>
        <stp>T&amp;T1</stp>
        <stp>PRE</stp>
        <stp>252</stp>
        <tr r="H260" s="1"/>
      </tp>
      <tp t="s">
        <v>A janela foi fechada</v>
        <stp/>
        <stp>T&amp;T2</stp>
        <stp>PRE</stp>
        <stp>251</stp>
        <tr r="B259" s="1"/>
      </tp>
      <tp t="s">
        <v>A janela foi fechada</v>
        <stp/>
        <stp>T&amp;T2</stp>
        <stp>QUL</stp>
        <stp>328</stp>
        <tr r="C336" s="1"/>
      </tp>
      <tp t="s">
        <v>A janela foi fechada</v>
        <stp/>
        <stp>T&amp;T1</stp>
        <stp>PRE</stp>
        <stp>253</stp>
        <tr r="H261" s="1"/>
      </tp>
      <tp t="s">
        <v>A janela foi fechada</v>
        <stp/>
        <stp>T&amp;T2</stp>
        <stp>PRE</stp>
        <stp>250</stp>
        <tr r="B258" s="1"/>
      </tp>
      <tp t="s">
        <v>A janela foi fechada</v>
        <stp/>
        <stp>T&amp;T2</stp>
        <stp>QUL</stp>
        <stp>329</stp>
        <tr r="C337" s="1"/>
      </tp>
      <tp t="s">
        <v>A janela foi fechada</v>
        <stp/>
        <stp>T&amp;T1</stp>
        <stp>PRE</stp>
        <stp>254</stp>
        <tr r="H262" s="1"/>
      </tp>
      <tp t="s">
        <v>A janela foi fechada</v>
        <stp/>
        <stp>T&amp;T2</stp>
        <stp>PRE</stp>
        <stp>257</stp>
        <tr r="B265" s="1"/>
      </tp>
      <tp t="s">
        <v>A janela foi fechada</v>
        <stp/>
        <stp>T&amp;T1</stp>
        <stp>PRE</stp>
        <stp>255</stp>
        <tr r="H263" s="1"/>
      </tp>
      <tp t="s">
        <v>A janela foi fechada</v>
        <stp/>
        <stp>T&amp;T2</stp>
        <stp>PRE</stp>
        <stp>256</stp>
        <tr r="B264" s="1"/>
      </tp>
      <tp t="s">
        <v>A janela foi fechada</v>
        <stp/>
        <stp>T&amp;T1</stp>
        <stp>PRE</stp>
        <stp>256</stp>
        <tr r="H264" s="1"/>
      </tp>
      <tp t="s">
        <v>A janela foi fechada</v>
        <stp/>
        <stp>T&amp;T2</stp>
        <stp>PRE</stp>
        <stp>255</stp>
        <tr r="B263" s="1"/>
      </tp>
      <tp t="s">
        <v>A janela foi fechada</v>
        <stp/>
        <stp>T&amp;T1</stp>
        <stp>PRE</stp>
        <stp>257</stp>
        <tr r="H265" s="1"/>
      </tp>
      <tp t="s">
        <v>A janela foi fechada</v>
        <stp/>
        <stp>T&amp;T2</stp>
        <stp>PRE</stp>
        <stp>254</stp>
        <tr r="B262" s="1"/>
      </tp>
      <tp t="s">
        <v>A janela foi fechada</v>
        <stp/>
        <stp>T&amp;T1</stp>
        <stp>PRE</stp>
        <stp>258</stp>
        <tr r="H266" s="1"/>
      </tp>
      <tp t="s">
        <v>A janela foi fechada</v>
        <stp/>
        <stp>T&amp;T1</stp>
        <stp>QUL</stp>
        <stp>321</stp>
        <tr r="I329" s="1"/>
      </tp>
      <tp t="s">
        <v>A janela foi fechada</v>
        <stp/>
        <stp>T&amp;T2</stp>
        <stp>QUL</stp>
        <stp>322</stp>
        <tr r="C330" s="1"/>
      </tp>
      <tp t="s">
        <v>A janela foi fechada</v>
        <stp/>
        <stp>T&amp;T1</stp>
        <stp>PRE</stp>
        <stp>259</stp>
        <tr r="H267" s="1"/>
      </tp>
      <tp t="s">
        <v>A janela foi fechada</v>
        <stp/>
        <stp>T&amp;T1</stp>
        <stp>QUL</stp>
        <stp>320</stp>
        <tr r="I328" s="1"/>
      </tp>
      <tp t="s">
        <v>A janela foi fechada</v>
        <stp/>
        <stp>T&amp;T2</stp>
        <stp>QUL</stp>
        <stp>323</stp>
        <tr r="C331" s="1"/>
      </tp>
      <tp t="s">
        <v>A janela foi fechada</v>
        <stp/>
        <stp>T&amp;T1</stp>
        <stp>QUL</stp>
        <stp>323</stp>
        <tr r="I331" s="1"/>
      </tp>
      <tp t="s">
        <v>A janela foi fechada</v>
        <stp/>
        <stp>T&amp;T2</stp>
        <stp>PRE</stp>
        <stp>259</stp>
        <tr r="B267" s="1"/>
      </tp>
      <tp t="s">
        <v>A janela foi fechada</v>
        <stp/>
        <stp>T&amp;T2</stp>
        <stp>QUL</stp>
        <stp>320</stp>
        <tr r="C328" s="1"/>
      </tp>
      <tp t="s">
        <v>A janela foi fechada</v>
        <stp/>
        <stp>T&amp;T1</stp>
        <stp>QUL</stp>
        <stp>322</stp>
        <tr r="I330" s="1"/>
      </tp>
      <tp t="s">
        <v>A janela foi fechada</v>
        <stp/>
        <stp>T&amp;T2</stp>
        <stp>PRE</stp>
        <stp>258</stp>
        <tr r="B266" s="1"/>
      </tp>
      <tp t="s">
        <v>A janela foi fechada</v>
        <stp/>
        <stp>T&amp;T2</stp>
        <stp>QUL</stp>
        <stp>321</stp>
        <tr r="C329" s="1"/>
      </tp>
      <tp t="s">
        <v>A janela foi fechada</v>
        <stp/>
        <stp>T&amp;T1</stp>
        <stp>QUL</stp>
        <stp>325</stp>
        <tr r="I333" s="1"/>
      </tp>
      <tp t="s">
        <v>A janela foi fechada</v>
        <stp/>
        <stp>T&amp;T2</stp>
        <stp>QUL</stp>
        <stp>326</stp>
        <tr r="C334" s="1"/>
      </tp>
      <tp t="s">
        <v>A janela foi fechada</v>
        <stp/>
        <stp>T&amp;T1</stp>
        <stp>QUL</stp>
        <stp>324</stp>
        <tr r="I332" s="1"/>
      </tp>
      <tp t="s">
        <v>A janela foi fechada</v>
        <stp/>
        <stp>T&amp;T2</stp>
        <stp>QUL</stp>
        <stp>327</stp>
        <tr r="C335" s="1"/>
      </tp>
      <tp t="s">
        <v>A janela foi fechada</v>
        <stp/>
        <stp>T&amp;T1</stp>
        <stp>QUL</stp>
        <stp>327</stp>
        <tr r="I335" s="1"/>
      </tp>
      <tp t="s">
        <v>A janela foi fechada</v>
        <stp/>
        <stp>T&amp;T2</stp>
        <stp>QUL</stp>
        <stp>324</stp>
        <tr r="C332" s="1"/>
      </tp>
      <tp t="s">
        <v>A janela foi fechada</v>
        <stp/>
        <stp>T&amp;T1</stp>
        <stp>QUL</stp>
        <stp>326</stp>
        <tr r="I334" s="1"/>
      </tp>
      <tp t="s">
        <v>A janela foi fechada</v>
        <stp/>
        <stp>T&amp;T2</stp>
        <stp>QUL</stp>
        <stp>325</stp>
        <tr r="C333" s="1"/>
      </tp>
      <tp t="s">
        <v>A janela foi fechada</v>
        <stp/>
        <stp>T&amp;T1</stp>
        <stp>PRE</stp>
        <stp>220</stp>
        <tr r="H228" s="1"/>
      </tp>
      <tp t="s">
        <v>A janela foi fechada</v>
        <stp/>
        <stp>T&amp;T1</stp>
        <stp>QUL</stp>
        <stp>359</stp>
        <tr r="I367" s="1"/>
      </tp>
      <tp t="s">
        <v>A janela foi fechada</v>
        <stp/>
        <stp>T&amp;T2</stp>
        <stp>PRE</stp>
        <stp>223</stp>
        <tr r="B231" s="1"/>
      </tp>
      <tp t="s">
        <v>A janela foi fechada</v>
        <stp/>
        <stp>T&amp;T1</stp>
        <stp>PRE</stp>
        <stp>221</stp>
        <tr r="H229" s="1"/>
      </tp>
      <tp t="s">
        <v>A janela foi fechada</v>
        <stp/>
        <stp>T&amp;T1</stp>
        <stp>QUL</stp>
        <stp>358</stp>
        <tr r="I366" s="1"/>
      </tp>
      <tp t="s">
        <v>A janela foi fechada</v>
        <stp/>
        <stp>T&amp;T2</stp>
        <stp>PRE</stp>
        <stp>222</stp>
        <tr r="B230" s="1"/>
      </tp>
      <tp t="s">
        <v>A janela foi fechada</v>
        <stp/>
        <stp>T&amp;T1</stp>
        <stp>PRE</stp>
        <stp>222</stp>
        <tr r="H230" s="1"/>
      </tp>
      <tp t="s">
        <v>A janela foi fechada</v>
        <stp/>
        <stp>T&amp;T2</stp>
        <stp>PRE</stp>
        <stp>221</stp>
        <tr r="B229" s="1"/>
      </tp>
      <tp t="s">
        <v>A janela foi fechada</v>
        <stp/>
        <stp>T&amp;T2</stp>
        <stp>QUL</stp>
        <stp>358</stp>
        <tr r="C366" s="1"/>
      </tp>
      <tp t="s">
        <v>A janela foi fechada</v>
        <stp/>
        <stp>T&amp;T1</stp>
        <stp>PRE</stp>
        <stp>223</stp>
        <tr r="H231" s="1"/>
      </tp>
      <tp t="s">
        <v>A janela foi fechada</v>
        <stp/>
        <stp>T&amp;T2</stp>
        <stp>PRE</stp>
        <stp>220</stp>
        <tr r="B228" s="1"/>
      </tp>
      <tp t="s">
        <v>A janela foi fechada</v>
        <stp/>
        <stp>T&amp;T2</stp>
        <stp>QUL</stp>
        <stp>359</stp>
        <tr r="C367" s="1"/>
      </tp>
      <tp t="s">
        <v>A janela foi fechada</v>
        <stp/>
        <stp>T&amp;T1</stp>
        <stp>PRE</stp>
        <stp>224</stp>
        <tr r="H232" s="1"/>
      </tp>
      <tp t="s">
        <v>A janela foi fechada</v>
        <stp/>
        <stp>T&amp;T2</stp>
        <stp>PRE</stp>
        <stp>227</stp>
        <tr r="B235" s="1"/>
      </tp>
      <tp t="s">
        <v>A janela foi fechada</v>
        <stp/>
        <stp>T&amp;T1</stp>
        <stp>PRE</stp>
        <stp>225</stp>
        <tr r="H233" s="1"/>
      </tp>
      <tp t="s">
        <v>A janela foi fechada</v>
        <stp/>
        <stp>T&amp;T2</stp>
        <stp>PRE</stp>
        <stp>226</stp>
        <tr r="B234" s="1"/>
      </tp>
      <tp t="s">
        <v>A janela foi fechada</v>
        <stp/>
        <stp>T&amp;T1</stp>
        <stp>PRE</stp>
        <stp>226</stp>
        <tr r="H234" s="1"/>
      </tp>
      <tp t="s">
        <v>A janela foi fechada</v>
        <stp/>
        <stp>T&amp;T2</stp>
        <stp>PRE</stp>
        <stp>225</stp>
        <tr r="B233" s="1"/>
      </tp>
      <tp t="s">
        <v>A janela foi fechada</v>
        <stp/>
        <stp>T&amp;T1</stp>
        <stp>PRE</stp>
        <stp>227</stp>
        <tr r="H235" s="1"/>
      </tp>
      <tp t="s">
        <v>A janela foi fechada</v>
        <stp/>
        <stp>T&amp;T2</stp>
        <stp>PRE</stp>
        <stp>224</stp>
        <tr r="B232" s="1"/>
      </tp>
      <tp t="s">
        <v>A janela foi fechada</v>
        <stp/>
        <stp>T&amp;T1</stp>
        <stp>PRE</stp>
        <stp>228</stp>
        <tr r="H236" s="1"/>
      </tp>
      <tp t="s">
        <v>A janela foi fechada</v>
        <stp/>
        <stp>T&amp;T1</stp>
        <stp>QUL</stp>
        <stp>351</stp>
        <tr r="I359" s="1"/>
      </tp>
      <tp t="s">
        <v>A janela foi fechada</v>
        <stp/>
        <stp>T&amp;T2</stp>
        <stp>QUL</stp>
        <stp>352</stp>
        <tr r="C360" s="1"/>
      </tp>
      <tp t="s">
        <v>A janela foi fechada</v>
        <stp/>
        <stp>T&amp;T1</stp>
        <stp>PRE</stp>
        <stp>229</stp>
        <tr r="H237" s="1"/>
      </tp>
      <tp t="s">
        <v>A janela foi fechada</v>
        <stp/>
        <stp>T&amp;T1</stp>
        <stp>QUL</stp>
        <stp>350</stp>
        <tr r="I358" s="1"/>
      </tp>
      <tp t="s">
        <v>A janela foi fechada</v>
        <stp/>
        <stp>T&amp;T2</stp>
        <stp>QUL</stp>
        <stp>353</stp>
        <tr r="C361" s="1"/>
      </tp>
      <tp t="s">
        <v>A janela foi fechada</v>
        <stp/>
        <stp>T&amp;T1</stp>
        <stp>QUL</stp>
        <stp>353</stp>
        <tr r="I361" s="1"/>
      </tp>
      <tp t="s">
        <v>A janela foi fechada</v>
        <stp/>
        <stp>T&amp;T2</stp>
        <stp>PRE</stp>
        <stp>229</stp>
        <tr r="B237" s="1"/>
      </tp>
      <tp t="s">
        <v>A janela foi fechada</v>
        <stp/>
        <stp>T&amp;T2</stp>
        <stp>QUL</stp>
        <stp>350</stp>
        <tr r="C358" s="1"/>
      </tp>
      <tp t="s">
        <v>A janela foi fechada</v>
        <stp/>
        <stp>T&amp;T1</stp>
        <stp>QUL</stp>
        <stp>352</stp>
        <tr r="I360" s="1"/>
      </tp>
      <tp t="s">
        <v>A janela foi fechada</v>
        <stp/>
        <stp>T&amp;T2</stp>
        <stp>PRE</stp>
        <stp>228</stp>
        <tr r="B236" s="1"/>
      </tp>
      <tp t="s">
        <v>A janela foi fechada</v>
        <stp/>
        <stp>T&amp;T2</stp>
        <stp>QUL</stp>
        <stp>351</stp>
        <tr r="C359" s="1"/>
      </tp>
      <tp t="s">
        <v>A janela foi fechada</v>
        <stp/>
        <stp>T&amp;T1</stp>
        <stp>QUL</stp>
        <stp>355</stp>
        <tr r="I363" s="1"/>
      </tp>
      <tp t="s">
        <v>A janela foi fechada</v>
        <stp/>
        <stp>T&amp;T2</stp>
        <stp>QUL</stp>
        <stp>356</stp>
        <tr r="C364" s="1"/>
      </tp>
      <tp t="s">
        <v>A janela foi fechada</v>
        <stp/>
        <stp>T&amp;T1</stp>
        <stp>QUL</stp>
        <stp>354</stp>
        <tr r="I362" s="1"/>
      </tp>
      <tp t="s">
        <v>A janela foi fechada</v>
        <stp/>
        <stp>T&amp;T2</stp>
        <stp>QUL</stp>
        <stp>357</stp>
        <tr r="C365" s="1"/>
      </tp>
      <tp t="s">
        <v>A janela foi fechada</v>
        <stp/>
        <stp>T&amp;T1</stp>
        <stp>QUL</stp>
        <stp>357</stp>
        <tr r="I365" s="1"/>
      </tp>
      <tp t="s">
        <v>A janela foi fechada</v>
        <stp/>
        <stp>T&amp;T2</stp>
        <stp>QUL</stp>
        <stp>354</stp>
        <tr r="C362" s="1"/>
      </tp>
      <tp t="s">
        <v>A janela foi fechada</v>
        <stp/>
        <stp>T&amp;T1</stp>
        <stp>QUL</stp>
        <stp>356</stp>
        <tr r="I364" s="1"/>
      </tp>
      <tp t="s">
        <v>A janela foi fechada</v>
        <stp/>
        <stp>T&amp;T2</stp>
        <stp>QUL</stp>
        <stp>355</stp>
        <tr r="C363" s="1"/>
      </tp>
      <tp t="s">
        <v>A janela foi fechada</v>
        <stp/>
        <stp>T&amp;T1</stp>
        <stp>PRE</stp>
        <stp>230</stp>
        <tr r="H238" s="1"/>
      </tp>
      <tp t="s">
        <v>A janela foi fechada</v>
        <stp/>
        <stp>T&amp;T1</stp>
        <stp>QUL</stp>
        <stp>349</stp>
        <tr r="I357" s="1"/>
      </tp>
      <tp t="s">
        <v>A janela foi fechada</v>
        <stp/>
        <stp>T&amp;T2</stp>
        <stp>PRE</stp>
        <stp>233</stp>
        <tr r="B241" s="1"/>
      </tp>
      <tp t="s">
        <v>A janela foi fechada</v>
        <stp/>
        <stp>T&amp;T1</stp>
        <stp>PRE</stp>
        <stp>231</stp>
        <tr r="H239" s="1"/>
      </tp>
      <tp t="s">
        <v>A janela foi fechada</v>
        <stp/>
        <stp>T&amp;T1</stp>
        <stp>QUL</stp>
        <stp>348</stp>
        <tr r="I356" s="1"/>
      </tp>
      <tp t="s">
        <v>A janela foi fechada</v>
        <stp/>
        <stp>T&amp;T2</stp>
        <stp>PRE</stp>
        <stp>232</stp>
        <tr r="B240" s="1"/>
      </tp>
      <tp t="s">
        <v>A janela foi fechada</v>
        <stp/>
        <stp>T&amp;T1</stp>
        <stp>PRE</stp>
        <stp>232</stp>
        <tr r="H240" s="1"/>
      </tp>
      <tp t="s">
        <v>A janela foi fechada</v>
        <stp/>
        <stp>T&amp;T2</stp>
        <stp>PRE</stp>
        <stp>231</stp>
        <tr r="B239" s="1"/>
      </tp>
      <tp t="s">
        <v>A janela foi fechada</v>
        <stp/>
        <stp>T&amp;T2</stp>
        <stp>QUL</stp>
        <stp>348</stp>
        <tr r="C356" s="1"/>
      </tp>
      <tp t="s">
        <v>A janela foi fechada</v>
        <stp/>
        <stp>T&amp;T1</stp>
        <stp>PRE</stp>
        <stp>233</stp>
        <tr r="H241" s="1"/>
      </tp>
      <tp t="s">
        <v>A janela foi fechada</v>
        <stp/>
        <stp>T&amp;T2</stp>
        <stp>PRE</stp>
        <stp>230</stp>
        <tr r="B238" s="1"/>
      </tp>
      <tp t="s">
        <v>A janela foi fechada</v>
        <stp/>
        <stp>T&amp;T2</stp>
        <stp>QUL</stp>
        <stp>349</stp>
        <tr r="C357" s="1"/>
      </tp>
      <tp t="s">
        <v>A janela foi fechada</v>
        <stp/>
        <stp>T&amp;T1</stp>
        <stp>PRE</stp>
        <stp>234</stp>
        <tr r="H242" s="1"/>
      </tp>
      <tp t="s">
        <v>A janela foi fechada</v>
        <stp/>
        <stp>T&amp;T2</stp>
        <stp>PRE</stp>
        <stp>237</stp>
        <tr r="B245" s="1"/>
      </tp>
      <tp t="s">
        <v>A janela foi fechada</v>
        <stp/>
        <stp>T&amp;T1</stp>
        <stp>PRE</stp>
        <stp>235</stp>
        <tr r="H243" s="1"/>
      </tp>
      <tp t="s">
        <v>A janela foi fechada</v>
        <stp/>
        <stp>T&amp;T2</stp>
        <stp>PRE</stp>
        <stp>236</stp>
        <tr r="B244" s="1"/>
      </tp>
      <tp t="s">
        <v>A janela foi fechada</v>
        <stp/>
        <stp>T&amp;T1</stp>
        <stp>PRE</stp>
        <stp>236</stp>
        <tr r="H244" s="1"/>
      </tp>
      <tp t="s">
        <v>A janela foi fechada</v>
        <stp/>
        <stp>T&amp;T2</stp>
        <stp>PRE</stp>
        <stp>235</stp>
        <tr r="B243" s="1"/>
      </tp>
      <tp t="s">
        <v>A janela foi fechada</v>
        <stp/>
        <stp>T&amp;T1</stp>
        <stp>PRE</stp>
        <stp>237</stp>
        <tr r="H245" s="1"/>
      </tp>
      <tp t="s">
        <v>A janela foi fechada</v>
        <stp/>
        <stp>T&amp;T2</stp>
        <stp>PRE</stp>
        <stp>234</stp>
        <tr r="B242" s="1"/>
      </tp>
      <tp t="s">
        <v>A janela foi fechada</v>
        <stp/>
        <stp>T&amp;T1</stp>
        <stp>PRE</stp>
        <stp>238</stp>
        <tr r="H246" s="1"/>
      </tp>
      <tp t="s">
        <v>A janela foi fechada</v>
        <stp/>
        <stp>T&amp;T1</stp>
        <stp>QUL</stp>
        <stp>341</stp>
        <tr r="I349" s="1"/>
      </tp>
      <tp t="s">
        <v>A janela foi fechada</v>
        <stp/>
        <stp>T&amp;T2</stp>
        <stp>QUL</stp>
        <stp>342</stp>
        <tr r="C350" s="1"/>
      </tp>
      <tp t="s">
        <v>A janela foi fechada</v>
        <stp/>
        <stp>T&amp;T1</stp>
        <stp>PRE</stp>
        <stp>239</stp>
        <tr r="H247" s="1"/>
      </tp>
      <tp t="s">
        <v>A janela foi fechada</v>
        <stp/>
        <stp>T&amp;T1</stp>
        <stp>QUL</stp>
        <stp>340</stp>
        <tr r="I348" s="1"/>
      </tp>
      <tp t="s">
        <v>A janela foi fechada</v>
        <stp/>
        <stp>T&amp;T2</stp>
        <stp>QUL</stp>
        <stp>343</stp>
        <tr r="C351" s="1"/>
      </tp>
      <tp t="s">
        <v>A janela foi fechada</v>
        <stp/>
        <stp>T&amp;T1</stp>
        <stp>QUL</stp>
        <stp>343</stp>
        <tr r="I351" s="1"/>
      </tp>
      <tp t="s">
        <v>A janela foi fechada</v>
        <stp/>
        <stp>T&amp;T2</stp>
        <stp>PRE</stp>
        <stp>239</stp>
        <tr r="B247" s="1"/>
      </tp>
      <tp t="s">
        <v>A janela foi fechada</v>
        <stp/>
        <stp>T&amp;T2</stp>
        <stp>QUL</stp>
        <stp>340</stp>
        <tr r="C348" s="1"/>
      </tp>
      <tp t="s">
        <v>A janela foi fechada</v>
        <stp/>
        <stp>T&amp;T1</stp>
        <stp>QUL</stp>
        <stp>342</stp>
        <tr r="I350" s="1"/>
      </tp>
      <tp t="s">
        <v>A janela foi fechada</v>
        <stp/>
        <stp>T&amp;T2</stp>
        <stp>PRE</stp>
        <stp>238</stp>
        <tr r="B246" s="1"/>
      </tp>
      <tp t="s">
        <v>A janela foi fechada</v>
        <stp/>
        <stp>T&amp;T2</stp>
        <stp>QUL</stp>
        <stp>341</stp>
        <tr r="C349" s="1"/>
      </tp>
      <tp t="s">
        <v>A janela foi fechada</v>
        <stp/>
        <stp>T&amp;T1</stp>
        <stp>QUL</stp>
        <stp>345</stp>
        <tr r="I353" s="1"/>
      </tp>
      <tp t="s">
        <v>A janela foi fechada</v>
        <stp/>
        <stp>T&amp;T2</stp>
        <stp>QUL</stp>
        <stp>346</stp>
        <tr r="C354" s="1"/>
      </tp>
      <tp t="s">
        <v>A janela foi fechada</v>
        <stp/>
        <stp>T&amp;T1</stp>
        <stp>QUL</stp>
        <stp>344</stp>
        <tr r="I352" s="1"/>
      </tp>
      <tp t="s">
        <v>A janela foi fechada</v>
        <stp/>
        <stp>T&amp;T2</stp>
        <stp>QUL</stp>
        <stp>347</stp>
        <tr r="C355" s="1"/>
      </tp>
      <tp t="s">
        <v>A janela foi fechada</v>
        <stp/>
        <stp>T&amp;T1</stp>
        <stp>QUL</stp>
        <stp>347</stp>
        <tr r="I355" s="1"/>
      </tp>
      <tp t="s">
        <v>A janela foi fechada</v>
        <stp/>
        <stp>T&amp;T2</stp>
        <stp>QUL</stp>
        <stp>344</stp>
        <tr r="C352" s="1"/>
      </tp>
      <tp t="s">
        <v>A janela foi fechada</v>
        <stp/>
        <stp>T&amp;T1</stp>
        <stp>QUL</stp>
        <stp>346</stp>
        <tr r="I354" s="1"/>
      </tp>
      <tp t="s">
        <v>A janela foi fechada</v>
        <stp/>
        <stp>T&amp;T2</stp>
        <stp>QUL</stp>
        <stp>345</stp>
        <tr r="C353" s="1"/>
      </tp>
      <tp t="s">
        <v>A janela foi fechada</v>
        <stp/>
        <stp>T&amp;T1</stp>
        <stp>PRE</stp>
        <stp>200</stp>
        <tr r="H208" s="1"/>
      </tp>
      <tp t="s">
        <v>A janela foi fechada</v>
        <stp/>
        <stp>T&amp;T1</stp>
        <stp>QUL</stp>
        <stp>379</stp>
        <tr r="I387" s="1"/>
      </tp>
      <tp t="s">
        <v>A janela foi fechada</v>
        <stp/>
        <stp>T&amp;T2</stp>
        <stp>PRE</stp>
        <stp>203</stp>
        <tr r="B211" s="1"/>
      </tp>
      <tp t="s">
        <v>A janela foi fechada</v>
        <stp/>
        <stp>T&amp;T1</stp>
        <stp>PRE</stp>
        <stp>201</stp>
        <tr r="H209" s="1"/>
      </tp>
      <tp t="s">
        <v>A janela foi fechada</v>
        <stp/>
        <stp>T&amp;T1</stp>
        <stp>QUL</stp>
        <stp>378</stp>
        <tr r="I386" s="1"/>
      </tp>
      <tp t="s">
        <v>A janela foi fechada</v>
        <stp/>
        <stp>T&amp;T2</stp>
        <stp>PRE</stp>
        <stp>202</stp>
        <tr r="B210" s="1"/>
      </tp>
      <tp t="s">
        <v>A janela foi fechada</v>
        <stp/>
        <stp>T&amp;T1</stp>
        <stp>PRE</stp>
        <stp>202</stp>
        <tr r="H210" s="1"/>
      </tp>
      <tp t="s">
        <v>A janela foi fechada</v>
        <stp/>
        <stp>T&amp;T2</stp>
        <stp>PRE</stp>
        <stp>201</stp>
        <tr r="B209" s="1"/>
      </tp>
      <tp t="s">
        <v>A janela foi fechada</v>
        <stp/>
        <stp>T&amp;T2</stp>
        <stp>QUL</stp>
        <stp>378</stp>
        <tr r="C386" s="1"/>
      </tp>
      <tp t="s">
        <v>A janela foi fechada</v>
        <stp/>
        <stp>T&amp;T1</stp>
        <stp>PRE</stp>
        <stp>203</stp>
        <tr r="H211" s="1"/>
      </tp>
      <tp t="s">
        <v>A janela foi fechada</v>
        <stp/>
        <stp>T&amp;T2</stp>
        <stp>PRE</stp>
        <stp>200</stp>
        <tr r="B208" s="1"/>
      </tp>
      <tp t="s">
        <v>A janela foi fechada</v>
        <stp/>
        <stp>T&amp;T2</stp>
        <stp>QUL</stp>
        <stp>379</stp>
        <tr r="C387" s="1"/>
      </tp>
      <tp t="s">
        <v>A janela foi fechada</v>
        <stp/>
        <stp>T&amp;T1</stp>
        <stp>PRE</stp>
        <stp>204</stp>
        <tr r="H212" s="1"/>
      </tp>
      <tp t="s">
        <v>A janela foi fechada</v>
        <stp/>
        <stp>T&amp;T2</stp>
        <stp>PRE</stp>
        <stp>207</stp>
        <tr r="B215" s="1"/>
      </tp>
      <tp t="s">
        <v>A janela foi fechada</v>
        <stp/>
        <stp>T&amp;T1</stp>
        <stp>PRE</stp>
        <stp>205</stp>
        <tr r="H213" s="1"/>
      </tp>
      <tp t="s">
        <v>A janela foi fechada</v>
        <stp/>
        <stp>T&amp;T2</stp>
        <stp>PRE</stp>
        <stp>206</stp>
        <tr r="B214" s="1"/>
      </tp>
      <tp t="s">
        <v>A janela foi fechada</v>
        <stp/>
        <stp>T&amp;T1</stp>
        <stp>PRE</stp>
        <stp>206</stp>
        <tr r="H214" s="1"/>
      </tp>
      <tp t="s">
        <v>A janela foi fechada</v>
        <stp/>
        <stp>T&amp;T2</stp>
        <stp>PRE</stp>
        <stp>205</stp>
        <tr r="B213" s="1"/>
      </tp>
      <tp t="s">
        <v>A janela foi fechada</v>
        <stp/>
        <stp>T&amp;T1</stp>
        <stp>PRE</stp>
        <stp>207</stp>
        <tr r="H215" s="1"/>
      </tp>
      <tp t="s">
        <v>A janela foi fechada</v>
        <stp/>
        <stp>T&amp;T2</stp>
        <stp>PRE</stp>
        <stp>204</stp>
        <tr r="B212" s="1"/>
      </tp>
      <tp t="s">
        <v>A janela foi fechada</v>
        <stp/>
        <stp>T&amp;T1</stp>
        <stp>PRE</stp>
        <stp>208</stp>
        <tr r="H216" s="1"/>
      </tp>
      <tp t="s">
        <v>A janela foi fechada</v>
        <stp/>
        <stp>T&amp;T1</stp>
        <stp>QUL</stp>
        <stp>371</stp>
        <tr r="I379" s="1"/>
      </tp>
      <tp t="s">
        <v>A janela foi fechada</v>
        <stp/>
        <stp>T&amp;T2</stp>
        <stp>QUL</stp>
        <stp>372</stp>
        <tr r="C380" s="1"/>
      </tp>
      <tp t="s">
        <v>A janela foi fechada</v>
        <stp/>
        <stp>T&amp;T1</stp>
        <stp>PRE</stp>
        <stp>209</stp>
        <tr r="H217" s="1"/>
      </tp>
      <tp t="s">
        <v>A janela foi fechada</v>
        <stp/>
        <stp>T&amp;T1</stp>
        <stp>QUL</stp>
        <stp>370</stp>
        <tr r="I378" s="1"/>
      </tp>
      <tp t="s">
        <v>A janela foi fechada</v>
        <stp/>
        <stp>T&amp;T2</stp>
        <stp>QUL</stp>
        <stp>373</stp>
        <tr r="C381" s="1"/>
      </tp>
      <tp t="s">
        <v>A janela foi fechada</v>
        <stp/>
        <stp>T&amp;T1</stp>
        <stp>QUL</stp>
        <stp>373</stp>
        <tr r="I381" s="1"/>
      </tp>
      <tp t="s">
        <v>A janela foi fechada</v>
        <stp/>
        <stp>T&amp;T2</stp>
        <stp>PRE</stp>
        <stp>209</stp>
        <tr r="B217" s="1"/>
      </tp>
      <tp t="s">
        <v>A janela foi fechada</v>
        <stp/>
        <stp>T&amp;T2</stp>
        <stp>QUL</stp>
        <stp>370</stp>
        <tr r="C378" s="1"/>
      </tp>
      <tp t="s">
        <v>A janela foi fechada</v>
        <stp/>
        <stp>T&amp;T1</stp>
        <stp>QUL</stp>
        <stp>372</stp>
        <tr r="I380" s="1"/>
      </tp>
      <tp t="s">
        <v>A janela foi fechada</v>
        <stp/>
        <stp>T&amp;T2</stp>
        <stp>PRE</stp>
        <stp>208</stp>
        <tr r="B216" s="1"/>
      </tp>
      <tp t="s">
        <v>A janela foi fechada</v>
        <stp/>
        <stp>T&amp;T2</stp>
        <stp>QUL</stp>
        <stp>371</stp>
        <tr r="C379" s="1"/>
      </tp>
      <tp t="s">
        <v>A janela foi fechada</v>
        <stp/>
        <stp>T&amp;T1</stp>
        <stp>QUL</stp>
        <stp>375</stp>
        <tr r="I383" s="1"/>
      </tp>
      <tp t="s">
        <v>A janela foi fechada</v>
        <stp/>
        <stp>T&amp;T2</stp>
        <stp>QUL</stp>
        <stp>376</stp>
        <tr r="C384" s="1"/>
      </tp>
      <tp t="s">
        <v>A janela foi fechada</v>
        <stp/>
        <stp>T&amp;T1</stp>
        <stp>QUL</stp>
        <stp>374</stp>
        <tr r="I382" s="1"/>
      </tp>
      <tp t="s">
        <v>A janela foi fechada</v>
        <stp/>
        <stp>T&amp;T2</stp>
        <stp>QUL</stp>
        <stp>377</stp>
        <tr r="C385" s="1"/>
      </tp>
      <tp t="s">
        <v>A janela foi fechada</v>
        <stp/>
        <stp>T&amp;T1</stp>
        <stp>QUL</stp>
        <stp>377</stp>
        <tr r="I385" s="1"/>
      </tp>
      <tp t="s">
        <v>A janela foi fechada</v>
        <stp/>
        <stp>T&amp;T2</stp>
        <stp>QUL</stp>
        <stp>374</stp>
        <tr r="C382" s="1"/>
      </tp>
      <tp t="s">
        <v>A janela foi fechada</v>
        <stp/>
        <stp>T&amp;T1</stp>
        <stp>QUL</stp>
        <stp>376</stp>
        <tr r="I384" s="1"/>
      </tp>
      <tp t="s">
        <v>A janela foi fechada</v>
        <stp/>
        <stp>T&amp;T2</stp>
        <stp>QUL</stp>
        <stp>375</stp>
        <tr r="C383" s="1"/>
      </tp>
      <tp t="s">
        <v>A janela foi fechada</v>
        <stp/>
        <stp>T&amp;T1</stp>
        <stp>PRE</stp>
        <stp>210</stp>
        <tr r="H218" s="1"/>
      </tp>
      <tp t="s">
        <v>A janela foi fechada</v>
        <stp/>
        <stp>T&amp;T1</stp>
        <stp>QUL</stp>
        <stp>369</stp>
        <tr r="I377" s="1"/>
      </tp>
      <tp t="s">
        <v>A janela foi fechada</v>
        <stp/>
        <stp>T&amp;T2</stp>
        <stp>PRE</stp>
        <stp>213</stp>
        <tr r="B221" s="1"/>
      </tp>
      <tp t="s">
        <v>A janela foi fechada</v>
        <stp/>
        <stp>T&amp;T1</stp>
        <stp>PRE</stp>
        <stp>211</stp>
        <tr r="H219" s="1"/>
      </tp>
      <tp t="s">
        <v>A janela foi fechada</v>
        <stp/>
        <stp>T&amp;T1</stp>
        <stp>QUL</stp>
        <stp>368</stp>
        <tr r="I376" s="1"/>
      </tp>
      <tp t="s">
        <v>A janela foi fechada</v>
        <stp/>
        <stp>T&amp;T2</stp>
        <stp>PRE</stp>
        <stp>212</stp>
        <tr r="B220" s="1"/>
      </tp>
      <tp t="s">
        <v>A janela foi fechada</v>
        <stp/>
        <stp>T&amp;T1</stp>
        <stp>PRE</stp>
        <stp>212</stp>
        <tr r="H220" s="1"/>
      </tp>
      <tp t="s">
        <v>A janela foi fechada</v>
        <stp/>
        <stp>T&amp;T2</stp>
        <stp>PRE</stp>
        <stp>211</stp>
        <tr r="B219" s="1"/>
      </tp>
      <tp t="s">
        <v>A janela foi fechada</v>
        <stp/>
        <stp>T&amp;T2</stp>
        <stp>QUL</stp>
        <stp>368</stp>
        <tr r="C376" s="1"/>
      </tp>
      <tp t="s">
        <v>A janela foi fechada</v>
        <stp/>
        <stp>T&amp;T1</stp>
        <stp>PRE</stp>
        <stp>213</stp>
        <tr r="H221" s="1"/>
      </tp>
      <tp t="s">
        <v>A janela foi fechada</v>
        <stp/>
        <stp>T&amp;T2</stp>
        <stp>PRE</stp>
        <stp>210</stp>
        <tr r="B218" s="1"/>
      </tp>
      <tp t="s">
        <v>A janela foi fechada</v>
        <stp/>
        <stp>T&amp;T2</stp>
        <stp>QUL</stp>
        <stp>369</stp>
        <tr r="C377" s="1"/>
      </tp>
      <tp t="s">
        <v>A janela foi fechada</v>
        <stp/>
        <stp>T&amp;T1</stp>
        <stp>PRE</stp>
        <stp>214</stp>
        <tr r="H222" s="1"/>
      </tp>
      <tp t="s">
        <v>A janela foi fechada</v>
        <stp/>
        <stp>T&amp;T2</stp>
        <stp>PRE</stp>
        <stp>217</stp>
        <tr r="B225" s="1"/>
      </tp>
      <tp t="s">
        <v>A janela foi fechada</v>
        <stp/>
        <stp>T&amp;T1</stp>
        <stp>PRE</stp>
        <stp>215</stp>
        <tr r="H223" s="1"/>
      </tp>
      <tp t="s">
        <v>A janela foi fechada</v>
        <stp/>
        <stp>T&amp;T2</stp>
        <stp>PRE</stp>
        <stp>216</stp>
        <tr r="B224" s="1"/>
      </tp>
      <tp t="s">
        <v>A janela foi fechada</v>
        <stp/>
        <stp>T&amp;T1</stp>
        <stp>PRE</stp>
        <stp>216</stp>
        <tr r="H224" s="1"/>
      </tp>
      <tp t="s">
        <v>A janela foi fechada</v>
        <stp/>
        <stp>T&amp;T2</stp>
        <stp>PRE</stp>
        <stp>215</stp>
        <tr r="B223" s="1"/>
      </tp>
      <tp t="s">
        <v>A janela foi fechada</v>
        <stp/>
        <stp>T&amp;T1</stp>
        <stp>PRE</stp>
        <stp>217</stp>
        <tr r="H225" s="1"/>
      </tp>
      <tp t="s">
        <v>A janela foi fechada</v>
        <stp/>
        <stp>T&amp;T2</stp>
        <stp>PRE</stp>
        <stp>214</stp>
        <tr r="B222" s="1"/>
      </tp>
      <tp t="s">
        <v>A janela foi fechada</v>
        <stp/>
        <stp>T&amp;T1</stp>
        <stp>PRE</stp>
        <stp>218</stp>
        <tr r="H226" s="1"/>
      </tp>
      <tp t="s">
        <v>A janela foi fechada</v>
        <stp/>
        <stp>T&amp;T1</stp>
        <stp>QUL</stp>
        <stp>361</stp>
        <tr r="I369" s="1"/>
      </tp>
      <tp t="s">
        <v>A janela foi fechada</v>
        <stp/>
        <stp>T&amp;T2</stp>
        <stp>QUL</stp>
        <stp>362</stp>
        <tr r="C370" s="1"/>
      </tp>
      <tp t="s">
        <v>A janela foi fechada</v>
        <stp/>
        <stp>T&amp;T1</stp>
        <stp>PRE</stp>
        <stp>219</stp>
        <tr r="H227" s="1"/>
      </tp>
      <tp t="s">
        <v>A janela foi fechada</v>
        <stp/>
        <stp>T&amp;T1</stp>
        <stp>QUL</stp>
        <stp>360</stp>
        <tr r="I368" s="1"/>
      </tp>
      <tp t="s">
        <v>A janela foi fechada</v>
        <stp/>
        <stp>T&amp;T2</stp>
        <stp>QUL</stp>
        <stp>363</stp>
        <tr r="C371" s="1"/>
      </tp>
      <tp t="s">
        <v>A janela foi fechada</v>
        <stp/>
        <stp>T&amp;T1</stp>
        <stp>QUL</stp>
        <stp>363</stp>
        <tr r="I371" s="1"/>
      </tp>
      <tp t="s">
        <v>A janela foi fechada</v>
        <stp/>
        <stp>T&amp;T2</stp>
        <stp>PRE</stp>
        <stp>219</stp>
        <tr r="B227" s="1"/>
      </tp>
      <tp t="s">
        <v>A janela foi fechada</v>
        <stp/>
        <stp>T&amp;T2</stp>
        <stp>QUL</stp>
        <stp>360</stp>
        <tr r="C368" s="1"/>
      </tp>
      <tp t="s">
        <v>A janela foi fechada</v>
        <stp/>
        <stp>T&amp;T1</stp>
        <stp>QUL</stp>
        <stp>362</stp>
        <tr r="I370" s="1"/>
      </tp>
      <tp t="s">
        <v>A janela foi fechada</v>
        <stp/>
        <stp>T&amp;T2</stp>
        <stp>PRE</stp>
        <stp>218</stp>
        <tr r="B226" s="1"/>
      </tp>
      <tp t="s">
        <v>A janela foi fechada</v>
        <stp/>
        <stp>T&amp;T2</stp>
        <stp>QUL</stp>
        <stp>361</stp>
        <tr r="C369" s="1"/>
      </tp>
      <tp t="s">
        <v>A janela foi fechada</v>
        <stp/>
        <stp>T&amp;T1</stp>
        <stp>QUL</stp>
        <stp>365</stp>
        <tr r="I373" s="1"/>
      </tp>
      <tp t="s">
        <v>A janela foi fechada</v>
        <stp/>
        <stp>T&amp;T2</stp>
        <stp>QUL</stp>
        <stp>366</stp>
        <tr r="C374" s="1"/>
      </tp>
      <tp t="s">
        <v>A janela foi fechada</v>
        <stp/>
        <stp>T&amp;T1</stp>
        <stp>QUL</stp>
        <stp>364</stp>
        <tr r="I372" s="1"/>
      </tp>
      <tp t="s">
        <v>A janela foi fechada</v>
        <stp/>
        <stp>T&amp;T2</stp>
        <stp>QUL</stp>
        <stp>367</stp>
        <tr r="C375" s="1"/>
      </tp>
      <tp t="s">
        <v>A janela foi fechada</v>
        <stp/>
        <stp>T&amp;T1</stp>
        <stp>QUL</stp>
        <stp>367</stp>
        <tr r="I375" s="1"/>
      </tp>
      <tp t="s">
        <v>A janela foi fechada</v>
        <stp/>
        <stp>T&amp;T2</stp>
        <stp>QUL</stp>
        <stp>364</stp>
        <tr r="C372" s="1"/>
      </tp>
      <tp t="s">
        <v>A janela foi fechada</v>
        <stp/>
        <stp>T&amp;T1</stp>
        <stp>QUL</stp>
        <stp>366</stp>
        <tr r="I374" s="1"/>
      </tp>
      <tp t="s">
        <v>A janela foi fechada</v>
        <stp/>
        <stp>T&amp;T2</stp>
        <stp>QUL</stp>
        <stp>365</stp>
        <tr r="C373" s="1"/>
      </tp>
      <tp t="s">
        <v>A janela foi fechada</v>
        <stp/>
        <stp>T&amp;T1</stp>
        <stp>QUL</stp>
        <stp>299</stp>
        <tr r="I307" s="1"/>
      </tp>
      <tp t="s">
        <v>A janela foi fechada</v>
        <stp/>
        <stp>T&amp;T1</stp>
        <stp>QUL</stp>
        <stp>298</stp>
        <tr r="I306" s="1"/>
      </tp>
      <tp t="s">
        <v>A janela foi fechada</v>
        <stp/>
        <stp>T&amp;T2</stp>
        <stp>QUL</stp>
        <stp>298</stp>
        <tr r="C306" s="1"/>
      </tp>
      <tp t="s">
        <v>A janela foi fechada</v>
        <stp/>
        <stp>T&amp;T2</stp>
        <stp>QUL</stp>
        <stp>299</stp>
        <tr r="C307" s="1"/>
      </tp>
      <tp t="s">
        <v>A janela foi fechada</v>
        <stp/>
        <stp>T&amp;T1</stp>
        <stp>QUL</stp>
        <stp>291</stp>
        <tr r="I299" s="1"/>
      </tp>
      <tp t="s">
        <v>A janela foi fechada</v>
        <stp/>
        <stp>T&amp;T2</stp>
        <stp>QUL</stp>
        <stp>292</stp>
        <tr r="C300" s="1"/>
      </tp>
      <tp t="s">
        <v>A janela foi fechada</v>
        <stp/>
        <stp>T&amp;T1</stp>
        <stp>QUL</stp>
        <stp>290</stp>
        <tr r="I298" s="1"/>
      </tp>
      <tp t="s">
        <v>A janela foi fechada</v>
        <stp/>
        <stp>T&amp;T2</stp>
        <stp>QUL</stp>
        <stp>293</stp>
        <tr r="C301" s="1"/>
      </tp>
      <tp t="s">
        <v>A janela foi fechada</v>
        <stp/>
        <stp>T&amp;T1</stp>
        <stp>QUL</stp>
        <stp>293</stp>
        <tr r="I301" s="1"/>
      </tp>
      <tp t="s">
        <v>A janela foi fechada</v>
        <stp/>
        <stp>T&amp;T2</stp>
        <stp>QUL</stp>
        <stp>290</stp>
        <tr r="C298" s="1"/>
      </tp>
      <tp t="s">
        <v>A janela foi fechada</v>
        <stp/>
        <stp>T&amp;T1</stp>
        <stp>QUL</stp>
        <stp>292</stp>
        <tr r="I300" s="1"/>
      </tp>
      <tp t="s">
        <v>A janela foi fechada</v>
        <stp/>
        <stp>T&amp;T2</stp>
        <stp>QUL</stp>
        <stp>291</stp>
        <tr r="C299" s="1"/>
      </tp>
      <tp t="s">
        <v>A janela foi fechada</v>
        <stp/>
        <stp>T&amp;T1</stp>
        <stp>QUL</stp>
        <stp>295</stp>
        <tr r="I303" s="1"/>
      </tp>
      <tp t="s">
        <v>A janela foi fechada</v>
        <stp/>
        <stp>T&amp;T2</stp>
        <stp>QUL</stp>
        <stp>296</stp>
        <tr r="C304" s="1"/>
      </tp>
      <tp t="s">
        <v>A janela foi fechada</v>
        <stp/>
        <stp>T&amp;T1</stp>
        <stp>QUL</stp>
        <stp>294</stp>
        <tr r="I302" s="1"/>
      </tp>
      <tp t="s">
        <v>A janela foi fechada</v>
        <stp/>
        <stp>T&amp;T2</stp>
        <stp>QUL</stp>
        <stp>297</stp>
        <tr r="C305" s="1"/>
      </tp>
      <tp t="s">
        <v>A janela foi fechada</v>
        <stp/>
        <stp>T&amp;T1</stp>
        <stp>QUL</stp>
        <stp>297</stp>
        <tr r="I305" s="1"/>
      </tp>
      <tp t="s">
        <v>A janela foi fechada</v>
        <stp/>
        <stp>T&amp;T2</stp>
        <stp>QUL</stp>
        <stp>294</stp>
        <tr r="C302" s="1"/>
      </tp>
      <tp t="s">
        <v>A janela foi fechada</v>
        <stp/>
        <stp>T&amp;T1</stp>
        <stp>QUL</stp>
        <stp>296</stp>
        <tr r="I304" s="1"/>
      </tp>
      <tp t="s">
        <v>A janela foi fechada</v>
        <stp/>
        <stp>T&amp;T2</stp>
        <stp>QUL</stp>
        <stp>295</stp>
        <tr r="C303" s="1"/>
      </tp>
      <tp t="s">
        <v>A janela foi fechada</v>
        <stp/>
        <stp>T&amp;T1</stp>
        <stp>QUL</stp>
        <stp>289</stp>
        <tr r="I297" s="1"/>
      </tp>
      <tp t="s">
        <v>A janela foi fechada</v>
        <stp/>
        <stp>T&amp;T1</stp>
        <stp>QUL</stp>
        <stp>288</stp>
        <tr r="I296" s="1"/>
      </tp>
      <tp t="s">
        <v>A janela foi fechada</v>
        <stp/>
        <stp>T&amp;T2</stp>
        <stp>QUL</stp>
        <stp>288</stp>
        <tr r="C296" s="1"/>
      </tp>
      <tp t="s">
        <v>A janela foi fechada</v>
        <stp/>
        <stp>T&amp;T2</stp>
        <stp>QUL</stp>
        <stp>289</stp>
        <tr r="C297" s="1"/>
      </tp>
      <tp t="s">
        <v>A janela foi fechada</v>
        <stp/>
        <stp>T&amp;T1</stp>
        <stp>QUL</stp>
        <stp>281</stp>
        <tr r="I289" s="1"/>
      </tp>
      <tp t="s">
        <v>A janela foi fechada</v>
        <stp/>
        <stp>T&amp;T2</stp>
        <stp>QUL</stp>
        <stp>282</stp>
        <tr r="C290" s="1"/>
      </tp>
      <tp t="s">
        <v>A janela foi fechada</v>
        <stp/>
        <stp>T&amp;T1</stp>
        <stp>QUL</stp>
        <stp>280</stp>
        <tr r="I288" s="1"/>
      </tp>
      <tp t="s">
        <v>A janela foi fechada</v>
        <stp/>
        <stp>T&amp;T2</stp>
        <stp>QUL</stp>
        <stp>283</stp>
        <tr r="C291" s="1"/>
      </tp>
      <tp t="s">
        <v>A janela foi fechada</v>
        <stp/>
        <stp>T&amp;T1</stp>
        <stp>QUL</stp>
        <stp>283</stp>
        <tr r="I291" s="1"/>
      </tp>
      <tp t="s">
        <v>A janela foi fechada</v>
        <stp/>
        <stp>T&amp;T2</stp>
        <stp>QUL</stp>
        <stp>280</stp>
        <tr r="C288" s="1"/>
      </tp>
      <tp t="s">
        <v>A janela foi fechada</v>
        <stp/>
        <stp>T&amp;T1</stp>
        <stp>QUL</stp>
        <stp>282</stp>
        <tr r="I290" s="1"/>
      </tp>
      <tp t="s">
        <v>A janela foi fechada</v>
        <stp/>
        <stp>T&amp;T2</stp>
        <stp>QUL</stp>
        <stp>281</stp>
        <tr r="C289" s="1"/>
      </tp>
      <tp t="s">
        <v>A janela foi fechada</v>
        <stp/>
        <stp>T&amp;T1</stp>
        <stp>QUL</stp>
        <stp>285</stp>
        <tr r="I293" s="1"/>
      </tp>
      <tp t="s">
        <v>A janela foi fechada</v>
        <stp/>
        <stp>T&amp;T2</stp>
        <stp>QUL</stp>
        <stp>286</stp>
        <tr r="C294" s="1"/>
      </tp>
      <tp t="s">
        <v>A janela foi fechada</v>
        <stp/>
        <stp>T&amp;T1</stp>
        <stp>QUL</stp>
        <stp>284</stp>
        <tr r="I292" s="1"/>
      </tp>
      <tp t="s">
        <v>A janela foi fechada</v>
        <stp/>
        <stp>T&amp;T2</stp>
        <stp>QUL</stp>
        <stp>287</stp>
        <tr r="C295" s="1"/>
      </tp>
      <tp t="s">
        <v>A janela foi fechada</v>
        <stp/>
        <stp>T&amp;T1</stp>
        <stp>QUL</stp>
        <stp>287</stp>
        <tr r="I295" s="1"/>
      </tp>
      <tp t="s">
        <v>A janela foi fechada</v>
        <stp/>
        <stp>T&amp;T2</stp>
        <stp>QUL</stp>
        <stp>284</stp>
        <tr r="C292" s="1"/>
      </tp>
      <tp t="s">
        <v>A janela foi fechada</v>
        <stp/>
        <stp>T&amp;T1</stp>
        <stp>QUL</stp>
        <stp>286</stp>
        <tr r="I294" s="1"/>
      </tp>
      <tp t="s">
        <v>A janela foi fechada</v>
        <stp/>
        <stp>T&amp;T2</stp>
        <stp>QUL</stp>
        <stp>285</stp>
        <tr r="C293" s="1"/>
      </tp>
      <tp t="s">
        <v>A janela foi fechada</v>
        <stp/>
        <stp>T&amp;T1</stp>
        <stp>PRE</stp>
        <stp>380</stp>
        <tr r="H388" s="1"/>
      </tp>
      <tp t="s">
        <v>A janela foi fechada</v>
        <stp/>
        <stp>T&amp;T2</stp>
        <stp>PRE</stp>
        <stp>383</stp>
        <tr r="B391" s="1"/>
      </tp>
      <tp t="s">
        <v>A janela foi fechada</v>
        <stp/>
        <stp>T&amp;T1</stp>
        <stp>PRE</stp>
        <stp>381</stp>
        <tr r="H389" s="1"/>
      </tp>
      <tp t="s">
        <v>A janela foi fechada</v>
        <stp/>
        <stp>T&amp;T2</stp>
        <stp>PRE</stp>
        <stp>382</stp>
        <tr r="B390" s="1"/>
      </tp>
      <tp t="s">
        <v>A janela foi fechada</v>
        <stp/>
        <stp>T&amp;T1</stp>
        <stp>PRE</stp>
        <stp>382</stp>
        <tr r="H390" s="1"/>
      </tp>
      <tp t="s">
        <v>A janela foi fechada</v>
        <stp/>
        <stp>T&amp;T2</stp>
        <stp>PRE</stp>
        <stp>381</stp>
        <tr r="B389" s="1"/>
      </tp>
      <tp t="s">
        <v>A janela foi fechada</v>
        <stp/>
        <stp>T&amp;T1</stp>
        <stp>PRE</stp>
        <stp>383</stp>
        <tr r="H391" s="1"/>
      </tp>
      <tp t="s">
        <v>A janela foi fechada</v>
        <stp/>
        <stp>T&amp;T2</stp>
        <stp>PRE</stp>
        <stp>380</stp>
        <tr r="B388" s="1"/>
      </tp>
      <tp t="s">
        <v>A janela foi fechada</v>
        <stp/>
        <stp>T&amp;T1</stp>
        <stp>PRE</stp>
        <stp>384</stp>
        <tr r="H392" s="1"/>
      </tp>
      <tp t="s">
        <v>A janela foi fechada</v>
        <stp/>
        <stp>T&amp;T2</stp>
        <stp>PRE</stp>
        <stp>387</stp>
        <tr r="B395" s="1"/>
      </tp>
      <tp t="s">
        <v>A janela foi fechada</v>
        <stp/>
        <stp>T&amp;T1</stp>
        <stp>PRE</stp>
        <stp>385</stp>
        <tr r="H393" s="1"/>
      </tp>
      <tp t="s">
        <v>A janela foi fechada</v>
        <stp/>
        <stp>T&amp;T2</stp>
        <stp>PRE</stp>
        <stp>386</stp>
        <tr r="B394" s="1"/>
      </tp>
      <tp t="s">
        <v>A janela foi fechada</v>
        <stp/>
        <stp>T&amp;T1</stp>
        <stp>PRE</stp>
        <stp>386</stp>
        <tr r="H394" s="1"/>
      </tp>
      <tp t="s">
        <v>A janela foi fechada</v>
        <stp/>
        <stp>T&amp;T2</stp>
        <stp>PRE</stp>
        <stp>385</stp>
        <tr r="B393" s="1"/>
      </tp>
      <tp t="s">
        <v>A janela foi fechada</v>
        <stp/>
        <stp>T&amp;T1</stp>
        <stp>PRE</stp>
        <stp>387</stp>
        <tr r="H395" s="1"/>
      </tp>
      <tp t="s">
        <v>A janela foi fechada</v>
        <stp/>
        <stp>T&amp;T2</stp>
        <stp>PRE</stp>
        <stp>384</stp>
        <tr r="B392" s="1"/>
      </tp>
      <tp t="s">
        <v>A janela foi fechada</v>
        <stp/>
        <stp>T&amp;T1</stp>
        <stp>PRE</stp>
        <stp>388</stp>
        <tr r="H396" s="1"/>
      </tp>
      <tp t="s">
        <v>A janela foi fechada</v>
        <stp/>
        <stp>T&amp;T1</stp>
        <stp>PRE</stp>
        <stp>389</stp>
        <tr r="H397" s="1"/>
      </tp>
      <tp t="s">
        <v>A janela foi fechada</v>
        <stp/>
        <stp>T&amp;T2</stp>
        <stp>PRE</stp>
        <stp>389</stp>
        <tr r="B397" s="1"/>
      </tp>
      <tp t="s">
        <v>A janela foi fechada</v>
        <stp/>
        <stp>T&amp;T2</stp>
        <stp>PRE</stp>
        <stp>388</stp>
        <tr r="B396" s="1"/>
      </tp>
      <tp t="s">
        <v>A janela foi fechada</v>
        <stp/>
        <stp>T&amp;T1</stp>
        <stp>PRE</stp>
        <stp>390</stp>
        <tr r="H398" s="1"/>
      </tp>
      <tp t="s">
        <v>A janela foi fechada</v>
        <stp/>
        <stp>T&amp;T2</stp>
        <stp>PRE</stp>
        <stp>393</stp>
        <tr r="B401" s="1"/>
      </tp>
      <tp t="s">
        <v>A janela foi fechada</v>
        <stp/>
        <stp>T&amp;T1</stp>
        <stp>PRE</stp>
        <stp>391</stp>
        <tr r="H399" s="1"/>
      </tp>
      <tp t="s">
        <v>A janela foi fechada</v>
        <stp/>
        <stp>T&amp;T2</stp>
        <stp>PRE</stp>
        <stp>392</stp>
        <tr r="B400" s="1"/>
      </tp>
      <tp t="s">
        <v>A janela foi fechada</v>
        <stp/>
        <stp>T&amp;T1</stp>
        <stp>PRE</stp>
        <stp>392</stp>
        <tr r="H400" s="1"/>
      </tp>
      <tp t="s">
        <v>A janela foi fechada</v>
        <stp/>
        <stp>T&amp;T2</stp>
        <stp>PRE</stp>
        <stp>391</stp>
        <tr r="B399" s="1"/>
      </tp>
      <tp t="s">
        <v>A janela foi fechada</v>
        <stp/>
        <stp>T&amp;T1</stp>
        <stp>PRE</stp>
        <stp>393</stp>
        <tr r="H401" s="1"/>
      </tp>
      <tp t="s">
        <v>A janela foi fechada</v>
        <stp/>
        <stp>T&amp;T2</stp>
        <stp>PRE</stp>
        <stp>390</stp>
        <tr r="B398" s="1"/>
      </tp>
      <tp t="s">
        <v>A janela foi fechada</v>
        <stp/>
        <stp>T&amp;T1</stp>
        <stp>PRE</stp>
        <stp>394</stp>
        <tr r="H402" s="1"/>
      </tp>
      <tp t="s">
        <v>A janela foi fechada</v>
        <stp/>
        <stp>T&amp;T2</stp>
        <stp>PRE</stp>
        <stp>397</stp>
        <tr r="B405" s="1"/>
      </tp>
      <tp t="s">
        <v>A janela foi fechada</v>
        <stp/>
        <stp>T&amp;T1</stp>
        <stp>PRE</stp>
        <stp>395</stp>
        <tr r="H403" s="1"/>
      </tp>
      <tp t="s">
        <v>A janela foi fechada</v>
        <stp/>
        <stp>T&amp;T2</stp>
        <stp>PRE</stp>
        <stp>396</stp>
        <tr r="B404" s="1"/>
      </tp>
      <tp t="s">
        <v>A janela foi fechada</v>
        <stp/>
        <stp>T&amp;T1</stp>
        <stp>PRE</stp>
        <stp>396</stp>
        <tr r="H404" s="1"/>
      </tp>
      <tp t="s">
        <v>A janela foi fechada</v>
        <stp/>
        <stp>T&amp;T2</stp>
        <stp>PRE</stp>
        <stp>395</stp>
        <tr r="B403" s="1"/>
      </tp>
      <tp t="s">
        <v>A janela foi fechada</v>
        <stp/>
        <stp>T&amp;T1</stp>
        <stp>PRE</stp>
        <stp>397</stp>
        <tr r="H405" s="1"/>
      </tp>
      <tp t="s">
        <v>A janela foi fechada</v>
        <stp/>
        <stp>T&amp;T2</stp>
        <stp>PRE</stp>
        <stp>394</stp>
        <tr r="B402" s="1"/>
      </tp>
      <tp t="s">
        <v>A janela foi fechada</v>
        <stp/>
        <stp>T&amp;T1</stp>
        <stp>PRE</stp>
        <stp>398</stp>
        <tr r="H406" s="1"/>
      </tp>
      <tp t="s">
        <v>A janela foi fechada</v>
        <stp/>
        <stp>T&amp;T1</stp>
        <stp>PRE</stp>
        <stp>399</stp>
        <tr r="H407" s="1"/>
      </tp>
      <tp t="s">
        <v>A janela foi fechada</v>
        <stp/>
        <stp>T&amp;T2</stp>
        <stp>PRE</stp>
        <stp>399</stp>
        <tr r="B407" s="1"/>
      </tp>
      <tp t="s">
        <v>A janela foi fechada</v>
        <stp/>
        <stp>T&amp;T2</stp>
        <stp>PRE</stp>
        <stp>398</stp>
        <tr r="B406" s="1"/>
      </tp>
      <tp t="s">
        <v>A janela foi fechada</v>
        <stp/>
        <stp>T&amp;T1</stp>
        <stp>PRE</stp>
        <stp>360</stp>
        <tr r="H368" s="1"/>
      </tp>
      <tp t="s">
        <v>A janela foi fechada</v>
        <stp/>
        <stp>T&amp;T1</stp>
        <stp>QUL</stp>
        <stp>219</stp>
        <tr r="I227" s="1"/>
      </tp>
      <tp t="s">
        <v>A janela foi fechada</v>
        <stp/>
        <stp>T&amp;T2</stp>
        <stp>PRE</stp>
        <stp>363</stp>
        <tr r="B371" s="1"/>
      </tp>
      <tp t="s">
        <v>A janela foi fechada</v>
        <stp/>
        <stp>T&amp;T1</stp>
        <stp>PRE</stp>
        <stp>361</stp>
        <tr r="H369" s="1"/>
      </tp>
      <tp t="s">
        <v>A janela foi fechada</v>
        <stp/>
        <stp>T&amp;T1</stp>
        <stp>QUL</stp>
        <stp>218</stp>
        <tr r="I226" s="1"/>
      </tp>
      <tp t="s">
        <v>A janela foi fechada</v>
        <stp/>
        <stp>T&amp;T2</stp>
        <stp>PRE</stp>
        <stp>362</stp>
        <tr r="B370" s="1"/>
      </tp>
      <tp t="s">
        <v>A janela foi fechada</v>
        <stp/>
        <stp>T&amp;T1</stp>
        <stp>PRE</stp>
        <stp>362</stp>
        <tr r="H370" s="1"/>
      </tp>
      <tp t="s">
        <v>A janela foi fechada</v>
        <stp/>
        <stp>T&amp;T2</stp>
        <stp>PRE</stp>
        <stp>361</stp>
        <tr r="B369" s="1"/>
      </tp>
      <tp t="s">
        <v>A janela foi fechada</v>
        <stp/>
        <stp>T&amp;T2</stp>
        <stp>QUL</stp>
        <stp>218</stp>
        <tr r="C226" s="1"/>
      </tp>
      <tp t="s">
        <v>A janela foi fechada</v>
        <stp/>
        <stp>T&amp;T1</stp>
        <stp>PRE</stp>
        <stp>363</stp>
        <tr r="H371" s="1"/>
      </tp>
      <tp t="s">
        <v>A janela foi fechada</v>
        <stp/>
        <stp>T&amp;T2</stp>
        <stp>PRE</stp>
        <stp>360</stp>
        <tr r="B368" s="1"/>
      </tp>
      <tp t="s">
        <v>A janela foi fechada</v>
        <stp/>
        <stp>T&amp;T2</stp>
        <stp>QUL</stp>
        <stp>219</stp>
        <tr r="C227" s="1"/>
      </tp>
      <tp t="s">
        <v>A janela foi fechada</v>
        <stp/>
        <stp>T&amp;T1</stp>
        <stp>PRE</stp>
        <stp>364</stp>
        <tr r="H372" s="1"/>
      </tp>
      <tp t="s">
        <v>A janela foi fechada</v>
        <stp/>
        <stp>T&amp;T2</stp>
        <stp>PRE</stp>
        <stp>367</stp>
        <tr r="B375" s="1"/>
      </tp>
      <tp t="s">
        <v>A janela foi fechada</v>
        <stp/>
        <stp>T&amp;T1</stp>
        <stp>PRE</stp>
        <stp>365</stp>
        <tr r="H373" s="1"/>
      </tp>
      <tp t="s">
        <v>A janela foi fechada</v>
        <stp/>
        <stp>T&amp;T2</stp>
        <stp>PRE</stp>
        <stp>366</stp>
        <tr r="B374" s="1"/>
      </tp>
      <tp t="s">
        <v>A janela foi fechada</v>
        <stp/>
        <stp>T&amp;T1</stp>
        <stp>PRE</stp>
        <stp>366</stp>
        <tr r="H374" s="1"/>
      </tp>
      <tp t="s">
        <v>A janela foi fechada</v>
        <stp/>
        <stp>T&amp;T2</stp>
        <stp>PRE</stp>
        <stp>365</stp>
        <tr r="B373" s="1"/>
      </tp>
      <tp t="s">
        <v>A janela foi fechada</v>
        <stp/>
        <stp>T&amp;T1</stp>
        <stp>PRE</stp>
        <stp>367</stp>
        <tr r="H375" s="1"/>
      </tp>
      <tp t="s">
        <v>A janela foi fechada</v>
        <stp/>
        <stp>T&amp;T2</stp>
        <stp>PRE</stp>
        <stp>364</stp>
        <tr r="B372" s="1"/>
      </tp>
      <tp t="s">
        <v>A janela foi fechada</v>
        <stp/>
        <stp>T&amp;T1</stp>
        <stp>PRE</stp>
        <stp>368</stp>
        <tr r="H376" s="1"/>
      </tp>
      <tp t="s">
        <v>A janela foi fechada</v>
        <stp/>
        <stp>T&amp;T1</stp>
        <stp>QUL</stp>
        <stp>211</stp>
        <tr r="I219" s="1"/>
      </tp>
      <tp t="s">
        <v>A janela foi fechada</v>
        <stp/>
        <stp>T&amp;T2</stp>
        <stp>QUL</stp>
        <stp>212</stp>
        <tr r="C220" s="1"/>
      </tp>
      <tp t="s">
        <v>A janela foi fechada</v>
        <stp/>
        <stp>T&amp;T1</stp>
        <stp>PRE</stp>
        <stp>369</stp>
        <tr r="H377" s="1"/>
      </tp>
      <tp t="s">
        <v>A janela foi fechada</v>
        <stp/>
        <stp>T&amp;T1</stp>
        <stp>QUL</stp>
        <stp>210</stp>
        <tr r="I218" s="1"/>
      </tp>
      <tp t="s">
        <v>A janela foi fechada</v>
        <stp/>
        <stp>T&amp;T2</stp>
        <stp>QUL</stp>
        <stp>213</stp>
        <tr r="C221" s="1"/>
      </tp>
      <tp t="s">
        <v>A janela foi fechada</v>
        <stp/>
        <stp>T&amp;T1</stp>
        <stp>QUL</stp>
        <stp>213</stp>
        <tr r="I221" s="1"/>
      </tp>
      <tp t="s">
        <v>A janela foi fechada</v>
        <stp/>
        <stp>T&amp;T2</stp>
        <stp>PRE</stp>
        <stp>369</stp>
        <tr r="B377" s="1"/>
      </tp>
      <tp t="s">
        <v>A janela foi fechada</v>
        <stp/>
        <stp>T&amp;T2</stp>
        <stp>QUL</stp>
        <stp>210</stp>
        <tr r="C218" s="1"/>
      </tp>
      <tp t="s">
        <v>A janela foi fechada</v>
        <stp/>
        <stp>T&amp;T1</stp>
        <stp>QUL</stp>
        <stp>212</stp>
        <tr r="I220" s="1"/>
      </tp>
      <tp t="s">
        <v>A janela foi fechada</v>
        <stp/>
        <stp>T&amp;T2</stp>
        <stp>PRE</stp>
        <stp>368</stp>
        <tr r="B376" s="1"/>
      </tp>
      <tp t="s">
        <v>A janela foi fechada</v>
        <stp/>
        <stp>T&amp;T2</stp>
        <stp>QUL</stp>
        <stp>211</stp>
        <tr r="C219" s="1"/>
      </tp>
      <tp t="s">
        <v>A janela foi fechada</v>
        <stp/>
        <stp>T&amp;T1</stp>
        <stp>QUL</stp>
        <stp>215</stp>
        <tr r="I223" s="1"/>
      </tp>
      <tp t="s">
        <v>A janela foi fechada</v>
        <stp/>
        <stp>T&amp;T2</stp>
        <stp>QUL</stp>
        <stp>216</stp>
        <tr r="C224" s="1"/>
      </tp>
      <tp t="s">
        <v>A janela foi fechada</v>
        <stp/>
        <stp>T&amp;T1</stp>
        <stp>QUL</stp>
        <stp>214</stp>
        <tr r="I222" s="1"/>
      </tp>
      <tp t="s">
        <v>A janela foi fechada</v>
        <stp/>
        <stp>T&amp;T2</stp>
        <stp>QUL</stp>
        <stp>217</stp>
        <tr r="C225" s="1"/>
      </tp>
      <tp t="s">
        <v>A janela foi fechada</v>
        <stp/>
        <stp>T&amp;T1</stp>
        <stp>QUL</stp>
        <stp>217</stp>
        <tr r="I225" s="1"/>
      </tp>
      <tp t="s">
        <v>A janela foi fechada</v>
        <stp/>
        <stp>T&amp;T2</stp>
        <stp>QUL</stp>
        <stp>214</stp>
        <tr r="C222" s="1"/>
      </tp>
      <tp t="s">
        <v>A janela foi fechada</v>
        <stp/>
        <stp>T&amp;T1</stp>
        <stp>QUL</stp>
        <stp>216</stp>
        <tr r="I224" s="1"/>
      </tp>
      <tp t="s">
        <v>A janela foi fechada</v>
        <stp/>
        <stp>T&amp;T2</stp>
        <stp>QUL</stp>
        <stp>215</stp>
        <tr r="C223" s="1"/>
      </tp>
      <tp t="s">
        <v>A janela foi fechada</v>
        <stp/>
        <stp>T&amp;T1</stp>
        <stp>PRE</stp>
        <stp>370</stp>
        <tr r="H378" s="1"/>
      </tp>
      <tp t="s">
        <v>A janela foi fechada</v>
        <stp/>
        <stp>T&amp;T1</stp>
        <stp>QUL</stp>
        <stp>209</stp>
        <tr r="I217" s="1"/>
      </tp>
      <tp t="s">
        <v>A janela foi fechada</v>
        <stp/>
        <stp>T&amp;T2</stp>
        <stp>PRE</stp>
        <stp>373</stp>
        <tr r="B381" s="1"/>
      </tp>
      <tp t="s">
        <v>A janela foi fechada</v>
        <stp/>
        <stp>T&amp;T1</stp>
        <stp>PRE</stp>
        <stp>371</stp>
        <tr r="H379" s="1"/>
      </tp>
      <tp t="s">
        <v>A janela foi fechada</v>
        <stp/>
        <stp>T&amp;T1</stp>
        <stp>QUL</stp>
        <stp>208</stp>
        <tr r="I216" s="1"/>
      </tp>
      <tp t="s">
        <v>A janela foi fechada</v>
        <stp/>
        <stp>T&amp;T2</stp>
        <stp>PRE</stp>
        <stp>372</stp>
        <tr r="B380" s="1"/>
      </tp>
      <tp t="s">
        <v>A janela foi fechada</v>
        <stp/>
        <stp>T&amp;T1</stp>
        <stp>PRE</stp>
        <stp>372</stp>
        <tr r="H380" s="1"/>
      </tp>
      <tp t="s">
        <v>A janela foi fechada</v>
        <stp/>
        <stp>T&amp;T2</stp>
        <stp>PRE</stp>
        <stp>371</stp>
        <tr r="B379" s="1"/>
      </tp>
      <tp t="s">
        <v>A janela foi fechada</v>
        <stp/>
        <stp>T&amp;T2</stp>
        <stp>QUL</stp>
        <stp>208</stp>
        <tr r="C216" s="1"/>
      </tp>
      <tp t="s">
        <v>A janela foi fechada</v>
        <stp/>
        <stp>T&amp;T1</stp>
        <stp>PRE</stp>
        <stp>373</stp>
        <tr r="H381" s="1"/>
      </tp>
      <tp t="s">
        <v>A janela foi fechada</v>
        <stp/>
        <stp>T&amp;T2</stp>
        <stp>PRE</stp>
        <stp>370</stp>
        <tr r="B378" s="1"/>
      </tp>
      <tp t="s">
        <v>A janela foi fechada</v>
        <stp/>
        <stp>T&amp;T2</stp>
        <stp>QUL</stp>
        <stp>209</stp>
        <tr r="C217" s="1"/>
      </tp>
      <tp t="s">
        <v>A janela foi fechada</v>
        <stp/>
        <stp>T&amp;T1</stp>
        <stp>PRE</stp>
        <stp>374</stp>
        <tr r="H382" s="1"/>
      </tp>
      <tp t="s">
        <v>A janela foi fechada</v>
        <stp/>
        <stp>T&amp;T2</stp>
        <stp>PRE</stp>
        <stp>377</stp>
        <tr r="B385" s="1"/>
      </tp>
      <tp t="s">
        <v>A janela foi fechada</v>
        <stp/>
        <stp>T&amp;T1</stp>
        <stp>PRE</stp>
        <stp>375</stp>
        <tr r="H383" s="1"/>
      </tp>
      <tp t="s">
        <v>A janela foi fechada</v>
        <stp/>
        <stp>T&amp;T2</stp>
        <stp>PRE</stp>
        <stp>376</stp>
        <tr r="B384" s="1"/>
      </tp>
      <tp t="s">
        <v>A janela foi fechada</v>
        <stp/>
        <stp>T&amp;T1</stp>
        <stp>PRE</stp>
        <stp>376</stp>
        <tr r="H384" s="1"/>
      </tp>
      <tp t="s">
        <v>A janela foi fechada</v>
        <stp/>
        <stp>T&amp;T2</stp>
        <stp>PRE</stp>
        <stp>375</stp>
        <tr r="B383" s="1"/>
      </tp>
      <tp t="s">
        <v>A janela foi fechada</v>
        <stp/>
        <stp>T&amp;T1</stp>
        <stp>PRE</stp>
        <stp>377</stp>
        <tr r="H385" s="1"/>
      </tp>
      <tp t="s">
        <v>A janela foi fechada</v>
        <stp/>
        <stp>T&amp;T2</stp>
        <stp>PRE</stp>
        <stp>374</stp>
        <tr r="B382" s="1"/>
      </tp>
      <tp t="s">
        <v>A janela foi fechada</v>
        <stp/>
        <stp>T&amp;T1</stp>
        <stp>PRE</stp>
        <stp>378</stp>
        <tr r="H386" s="1"/>
      </tp>
      <tp t="s">
        <v>A janela foi fechada</v>
        <stp/>
        <stp>T&amp;T1</stp>
        <stp>QUL</stp>
        <stp>201</stp>
        <tr r="I209" s="1"/>
      </tp>
      <tp t="s">
        <v>A janela foi fechada</v>
        <stp/>
        <stp>T&amp;T2</stp>
        <stp>QUL</stp>
        <stp>202</stp>
        <tr r="C210" s="1"/>
      </tp>
      <tp t="s">
        <v>A janela foi fechada</v>
        <stp/>
        <stp>T&amp;T1</stp>
        <stp>PRE</stp>
        <stp>379</stp>
        <tr r="H387" s="1"/>
      </tp>
      <tp t="s">
        <v>A janela foi fechada</v>
        <stp/>
        <stp>T&amp;T1</stp>
        <stp>QUL</stp>
        <stp>200</stp>
        <tr r="I208" s="1"/>
      </tp>
      <tp t="s">
        <v>A janela foi fechada</v>
        <stp/>
        <stp>T&amp;T2</stp>
        <stp>QUL</stp>
        <stp>203</stp>
        <tr r="C211" s="1"/>
      </tp>
      <tp t="s">
        <v>A janela foi fechada</v>
        <stp/>
        <stp>T&amp;T1</stp>
        <stp>QUL</stp>
        <stp>203</stp>
        <tr r="I211" s="1"/>
      </tp>
      <tp t="s">
        <v>A janela foi fechada</v>
        <stp/>
        <stp>T&amp;T2</stp>
        <stp>PRE</stp>
        <stp>379</stp>
        <tr r="B387" s="1"/>
      </tp>
      <tp t="s">
        <v>A janela foi fechada</v>
        <stp/>
        <stp>T&amp;T2</stp>
        <stp>QUL</stp>
        <stp>200</stp>
        <tr r="C208" s="1"/>
      </tp>
      <tp t="s">
        <v>A janela foi fechada</v>
        <stp/>
        <stp>T&amp;T1</stp>
        <stp>QUL</stp>
        <stp>202</stp>
        <tr r="I210" s="1"/>
      </tp>
      <tp t="s">
        <v>A janela foi fechada</v>
        <stp/>
        <stp>T&amp;T2</stp>
        <stp>PRE</stp>
        <stp>378</stp>
        <tr r="B386" s="1"/>
      </tp>
      <tp t="s">
        <v>A janela foi fechada</v>
        <stp/>
        <stp>T&amp;T2</stp>
        <stp>QUL</stp>
        <stp>201</stp>
        <tr r="C209" s="1"/>
      </tp>
      <tp t="s">
        <v>A janela foi fechada</v>
        <stp/>
        <stp>T&amp;T1</stp>
        <stp>QUL</stp>
        <stp>205</stp>
        <tr r="I213" s="1"/>
      </tp>
      <tp t="s">
        <v>A janela foi fechada</v>
        <stp/>
        <stp>T&amp;T2</stp>
        <stp>QUL</stp>
        <stp>206</stp>
        <tr r="C214" s="1"/>
      </tp>
      <tp t="s">
        <v>A janela foi fechada</v>
        <stp/>
        <stp>T&amp;T1</stp>
        <stp>QUL</stp>
        <stp>204</stp>
        <tr r="I212" s="1"/>
      </tp>
      <tp t="s">
        <v>A janela foi fechada</v>
        <stp/>
        <stp>T&amp;T2</stp>
        <stp>QUL</stp>
        <stp>207</stp>
        <tr r="C215" s="1"/>
      </tp>
      <tp t="s">
        <v>A janela foi fechada</v>
        <stp/>
        <stp>T&amp;T1</stp>
        <stp>QUL</stp>
        <stp>207</stp>
        <tr r="I215" s="1"/>
      </tp>
      <tp t="s">
        <v>A janela foi fechada</v>
        <stp/>
        <stp>T&amp;T2</stp>
        <stp>QUL</stp>
        <stp>204</stp>
        <tr r="C212" s="1"/>
      </tp>
      <tp t="s">
        <v>A janela foi fechada</v>
        <stp/>
        <stp>T&amp;T1</stp>
        <stp>QUL</stp>
        <stp>206</stp>
        <tr r="I214" s="1"/>
      </tp>
      <tp t="s">
        <v>A janela foi fechada</v>
        <stp/>
        <stp>T&amp;T2</stp>
        <stp>QUL</stp>
        <stp>205</stp>
        <tr r="C213" s="1"/>
      </tp>
      <tp t="s">
        <v>A janela foi fechada</v>
        <stp/>
        <stp>T&amp;T1</stp>
        <stp>PRE</stp>
        <stp>340</stp>
        <tr r="H348" s="1"/>
      </tp>
      <tp t="s">
        <v>A janela foi fechada</v>
        <stp/>
        <stp>T&amp;T1</stp>
        <stp>QUL</stp>
        <stp>239</stp>
        <tr r="I247" s="1"/>
      </tp>
      <tp t="s">
        <v>A janela foi fechada</v>
        <stp/>
        <stp>T&amp;T2</stp>
        <stp>PRE</stp>
        <stp>343</stp>
        <tr r="B351" s="1"/>
      </tp>
      <tp t="s">
        <v>A janela foi fechada</v>
        <stp/>
        <stp>T&amp;T1</stp>
        <stp>PRE</stp>
        <stp>341</stp>
        <tr r="H349" s="1"/>
      </tp>
      <tp t="s">
        <v>A janela foi fechada</v>
        <stp/>
        <stp>T&amp;T1</stp>
        <stp>QUL</stp>
        <stp>238</stp>
        <tr r="I246" s="1"/>
      </tp>
      <tp t="s">
        <v>A janela foi fechada</v>
        <stp/>
        <stp>T&amp;T2</stp>
        <stp>PRE</stp>
        <stp>342</stp>
        <tr r="B350" s="1"/>
      </tp>
      <tp t="s">
        <v>A janela foi fechada</v>
        <stp/>
        <stp>T&amp;T1</stp>
        <stp>PRE</stp>
        <stp>342</stp>
        <tr r="H350" s="1"/>
      </tp>
      <tp t="s">
        <v>A janela foi fechada</v>
        <stp/>
        <stp>T&amp;T2</stp>
        <stp>PRE</stp>
        <stp>341</stp>
        <tr r="B349" s="1"/>
      </tp>
      <tp t="s">
        <v>A janela foi fechada</v>
        <stp/>
        <stp>T&amp;T2</stp>
        <stp>QUL</stp>
        <stp>238</stp>
        <tr r="C246" s="1"/>
      </tp>
      <tp t="s">
        <v>A janela foi fechada</v>
        <stp/>
        <stp>T&amp;T1</stp>
        <stp>PRE</stp>
        <stp>343</stp>
        <tr r="H351" s="1"/>
      </tp>
      <tp t="s">
        <v>A janela foi fechada</v>
        <stp/>
        <stp>T&amp;T2</stp>
        <stp>PRE</stp>
        <stp>340</stp>
        <tr r="B348" s="1"/>
      </tp>
      <tp t="s">
        <v>A janela foi fechada</v>
        <stp/>
        <stp>T&amp;T2</stp>
        <stp>QUL</stp>
        <stp>239</stp>
        <tr r="C247" s="1"/>
      </tp>
      <tp t="s">
        <v>A janela foi fechada</v>
        <stp/>
        <stp>T&amp;T1</stp>
        <stp>PRE</stp>
        <stp>344</stp>
        <tr r="H352" s="1"/>
      </tp>
      <tp t="s">
        <v>A janela foi fechada</v>
        <stp/>
        <stp>T&amp;T2</stp>
        <stp>PRE</stp>
        <stp>347</stp>
        <tr r="B355" s="1"/>
      </tp>
      <tp t="s">
        <v>A janela foi fechada</v>
        <stp/>
        <stp>T&amp;T1</stp>
        <stp>PRE</stp>
        <stp>345</stp>
        <tr r="H353" s="1"/>
      </tp>
      <tp t="s">
        <v>A janela foi fechada</v>
        <stp/>
        <stp>T&amp;T2</stp>
        <stp>PRE</stp>
        <stp>346</stp>
        <tr r="B354" s="1"/>
      </tp>
      <tp t="s">
        <v>A janela foi fechada</v>
        <stp/>
        <stp>T&amp;T1</stp>
        <stp>PRE</stp>
        <stp>346</stp>
        <tr r="H354" s="1"/>
      </tp>
      <tp t="s">
        <v>A janela foi fechada</v>
        <stp/>
        <stp>T&amp;T2</stp>
        <stp>PRE</stp>
        <stp>345</stp>
        <tr r="B353" s="1"/>
      </tp>
      <tp t="s">
        <v>A janela foi fechada</v>
        <stp/>
        <stp>T&amp;T1</stp>
        <stp>PRE</stp>
        <stp>347</stp>
        <tr r="H355" s="1"/>
      </tp>
      <tp t="s">
        <v>A janela foi fechada</v>
        <stp/>
        <stp>T&amp;T2</stp>
        <stp>PRE</stp>
        <stp>344</stp>
        <tr r="B352" s="1"/>
      </tp>
      <tp t="s">
        <v>A janela foi fechada</v>
        <stp/>
        <stp>T&amp;T1</stp>
        <stp>PRE</stp>
        <stp>348</stp>
        <tr r="H356" s="1"/>
      </tp>
      <tp t="s">
        <v>A janela foi fechada</v>
        <stp/>
        <stp>T&amp;T1</stp>
        <stp>QUL</stp>
        <stp>231</stp>
        <tr r="I239" s="1"/>
      </tp>
      <tp t="s">
        <v>A janela foi fechada</v>
        <stp/>
        <stp>T&amp;T2</stp>
        <stp>QUL</stp>
        <stp>232</stp>
        <tr r="C240" s="1"/>
      </tp>
      <tp t="s">
        <v>A janela foi fechada</v>
        <stp/>
        <stp>T&amp;T1</stp>
        <stp>PRE</stp>
        <stp>349</stp>
        <tr r="H357" s="1"/>
      </tp>
      <tp t="s">
        <v>A janela foi fechada</v>
        <stp/>
        <stp>T&amp;T1</stp>
        <stp>QUL</stp>
        <stp>230</stp>
        <tr r="I238" s="1"/>
      </tp>
      <tp t="s">
        <v>A janela foi fechada</v>
        <stp/>
        <stp>T&amp;T2</stp>
        <stp>QUL</stp>
        <stp>233</stp>
        <tr r="C241" s="1"/>
      </tp>
      <tp t="s">
        <v>A janela foi fechada</v>
        <stp/>
        <stp>T&amp;T1</stp>
        <stp>QUL</stp>
        <stp>233</stp>
        <tr r="I241" s="1"/>
      </tp>
      <tp t="s">
        <v>A janela foi fechada</v>
        <stp/>
        <stp>T&amp;T2</stp>
        <stp>PRE</stp>
        <stp>349</stp>
        <tr r="B357" s="1"/>
      </tp>
      <tp t="s">
        <v>A janela foi fechada</v>
        <stp/>
        <stp>T&amp;T2</stp>
        <stp>QUL</stp>
        <stp>230</stp>
        <tr r="C238" s="1"/>
      </tp>
      <tp t="s">
        <v>A janela foi fechada</v>
        <stp/>
        <stp>T&amp;T1</stp>
        <stp>QUL</stp>
        <stp>232</stp>
        <tr r="I240" s="1"/>
      </tp>
      <tp t="s">
        <v>A janela foi fechada</v>
        <stp/>
        <stp>T&amp;T2</stp>
        <stp>PRE</stp>
        <stp>348</stp>
        <tr r="B356" s="1"/>
      </tp>
      <tp t="s">
        <v>A janela foi fechada</v>
        <stp/>
        <stp>T&amp;T2</stp>
        <stp>QUL</stp>
        <stp>231</stp>
        <tr r="C239" s="1"/>
      </tp>
      <tp t="s">
        <v>A janela foi fechada</v>
        <stp/>
        <stp>T&amp;T1</stp>
        <stp>QUL</stp>
        <stp>235</stp>
        <tr r="I243" s="1"/>
      </tp>
      <tp t="s">
        <v>A janela foi fechada</v>
        <stp/>
        <stp>T&amp;T2</stp>
        <stp>QUL</stp>
        <stp>236</stp>
        <tr r="C244" s="1"/>
      </tp>
      <tp t="s">
        <v>A janela foi fechada</v>
        <stp/>
        <stp>T&amp;T1</stp>
        <stp>QUL</stp>
        <stp>234</stp>
        <tr r="I242" s="1"/>
      </tp>
      <tp t="s">
        <v>A janela foi fechada</v>
        <stp/>
        <stp>T&amp;T2</stp>
        <stp>QUL</stp>
        <stp>237</stp>
        <tr r="C245" s="1"/>
      </tp>
      <tp t="s">
        <v>A janela foi fechada</v>
        <stp/>
        <stp>T&amp;T1</stp>
        <stp>QUL</stp>
        <stp>237</stp>
        <tr r="I245" s="1"/>
      </tp>
      <tp t="s">
        <v>A janela foi fechada</v>
        <stp/>
        <stp>T&amp;T2</stp>
        <stp>QUL</stp>
        <stp>234</stp>
        <tr r="C242" s="1"/>
      </tp>
      <tp t="s">
        <v>A janela foi fechada</v>
        <stp/>
        <stp>T&amp;T1</stp>
        <stp>QUL</stp>
        <stp>236</stp>
        <tr r="I244" s="1"/>
      </tp>
      <tp t="s">
        <v>A janela foi fechada</v>
        <stp/>
        <stp>T&amp;T2</stp>
        <stp>QUL</stp>
        <stp>235</stp>
        <tr r="C243" s="1"/>
      </tp>
      <tp t="s">
        <v>A janela foi fechada</v>
        <stp/>
        <stp>T&amp;T1</stp>
        <stp>PRE</stp>
        <stp>350</stp>
        <tr r="H358" s="1"/>
      </tp>
      <tp t="s">
        <v>A janela foi fechada</v>
        <stp/>
        <stp>T&amp;T1</stp>
        <stp>QUL</stp>
        <stp>229</stp>
        <tr r="I237" s="1"/>
      </tp>
      <tp t="s">
        <v>A janela foi fechada</v>
        <stp/>
        <stp>T&amp;T2</stp>
        <stp>PRE</stp>
        <stp>353</stp>
        <tr r="B361" s="1"/>
      </tp>
      <tp t="s">
        <v>A janela foi fechada</v>
        <stp/>
        <stp>T&amp;T1</stp>
        <stp>PRE</stp>
        <stp>351</stp>
        <tr r="H359" s="1"/>
      </tp>
      <tp t="s">
        <v>A janela foi fechada</v>
        <stp/>
        <stp>T&amp;T1</stp>
        <stp>QUL</stp>
        <stp>228</stp>
        <tr r="I236" s="1"/>
      </tp>
      <tp t="s">
        <v>A janela foi fechada</v>
        <stp/>
        <stp>T&amp;T2</stp>
        <stp>PRE</stp>
        <stp>352</stp>
        <tr r="B360" s="1"/>
      </tp>
      <tp t="s">
        <v>A janela foi fechada</v>
        <stp/>
        <stp>T&amp;T1</stp>
        <stp>PRE</stp>
        <stp>352</stp>
        <tr r="H360" s="1"/>
      </tp>
      <tp t="s">
        <v>A janela foi fechada</v>
        <stp/>
        <stp>T&amp;T2</stp>
        <stp>PRE</stp>
        <stp>351</stp>
        <tr r="B359" s="1"/>
      </tp>
      <tp t="s">
        <v>A janela foi fechada</v>
        <stp/>
        <stp>T&amp;T2</stp>
        <stp>QUL</stp>
        <stp>228</stp>
        <tr r="C236" s="1"/>
      </tp>
      <tp t="s">
        <v>A janela foi fechada</v>
        <stp/>
        <stp>T&amp;T1</stp>
        <stp>PRE</stp>
        <stp>353</stp>
        <tr r="H361" s="1"/>
      </tp>
      <tp t="s">
        <v>A janela foi fechada</v>
        <stp/>
        <stp>T&amp;T2</stp>
        <stp>PRE</stp>
        <stp>350</stp>
        <tr r="B358" s="1"/>
      </tp>
      <tp t="s">
        <v>A janela foi fechada</v>
        <stp/>
        <stp>T&amp;T2</stp>
        <stp>QUL</stp>
        <stp>229</stp>
        <tr r="C237" s="1"/>
      </tp>
      <tp t="s">
        <v>A janela foi fechada</v>
        <stp/>
        <stp>T&amp;T1</stp>
        <stp>PRE</stp>
        <stp>354</stp>
        <tr r="H362" s="1"/>
      </tp>
      <tp t="s">
        <v>A janela foi fechada</v>
        <stp/>
        <stp>T&amp;T2</stp>
        <stp>PRE</stp>
        <stp>357</stp>
        <tr r="B365" s="1"/>
      </tp>
      <tp t="s">
        <v>A janela foi fechada</v>
        <stp/>
        <stp>T&amp;T1</stp>
        <stp>PRE</stp>
        <stp>355</stp>
        <tr r="H363" s="1"/>
      </tp>
      <tp t="s">
        <v>A janela foi fechada</v>
        <stp/>
        <stp>T&amp;T2</stp>
        <stp>PRE</stp>
        <stp>356</stp>
        <tr r="B364" s="1"/>
      </tp>
      <tp t="s">
        <v>A janela foi fechada</v>
        <stp/>
        <stp>T&amp;T1</stp>
        <stp>PRE</stp>
        <stp>356</stp>
        <tr r="H364" s="1"/>
      </tp>
      <tp t="s">
        <v>A janela foi fechada</v>
        <stp/>
        <stp>T&amp;T2</stp>
        <stp>PRE</stp>
        <stp>355</stp>
        <tr r="B363" s="1"/>
      </tp>
      <tp t="s">
        <v>A janela foi fechada</v>
        <stp/>
        <stp>T&amp;T1</stp>
        <stp>PRE</stp>
        <stp>357</stp>
        <tr r="H365" s="1"/>
      </tp>
      <tp t="s">
        <v>A janela foi fechada</v>
        <stp/>
        <stp>T&amp;T2</stp>
        <stp>PRE</stp>
        <stp>354</stp>
        <tr r="B362" s="1"/>
      </tp>
      <tp t="s">
        <v>A janela foi fechada</v>
        <stp/>
        <stp>T&amp;T1</stp>
        <stp>PRE</stp>
        <stp>358</stp>
        <tr r="H366" s="1"/>
      </tp>
      <tp t="s">
        <v>A janela foi fechada</v>
        <stp/>
        <stp>T&amp;T1</stp>
        <stp>QUL</stp>
        <stp>221</stp>
        <tr r="I229" s="1"/>
      </tp>
      <tp t="s">
        <v>A janela foi fechada</v>
        <stp/>
        <stp>T&amp;T2</stp>
        <stp>QUL</stp>
        <stp>222</stp>
        <tr r="C230" s="1"/>
      </tp>
      <tp t="s">
        <v>A janela foi fechada</v>
        <stp/>
        <stp>T&amp;T1</stp>
        <stp>PRE</stp>
        <stp>359</stp>
        <tr r="H367" s="1"/>
      </tp>
      <tp t="s">
        <v>A janela foi fechada</v>
        <stp/>
        <stp>T&amp;T1</stp>
        <stp>QUL</stp>
        <stp>220</stp>
        <tr r="I228" s="1"/>
      </tp>
      <tp t="s">
        <v>A janela foi fechada</v>
        <stp/>
        <stp>T&amp;T2</stp>
        <stp>QUL</stp>
        <stp>223</stp>
        <tr r="C231" s="1"/>
      </tp>
      <tp t="s">
        <v>A janela foi fechada</v>
        <stp/>
        <stp>T&amp;T1</stp>
        <stp>QUL</stp>
        <stp>223</stp>
        <tr r="I231" s="1"/>
      </tp>
      <tp t="s">
        <v>A janela foi fechada</v>
        <stp/>
        <stp>T&amp;T2</stp>
        <stp>PRE</stp>
        <stp>359</stp>
        <tr r="B367" s="1"/>
      </tp>
      <tp t="s">
        <v>A janela foi fechada</v>
        <stp/>
        <stp>T&amp;T2</stp>
        <stp>QUL</stp>
        <stp>220</stp>
        <tr r="C228" s="1"/>
      </tp>
      <tp t="s">
        <v>A janela foi fechada</v>
        <stp/>
        <stp>T&amp;T1</stp>
        <stp>QUL</stp>
        <stp>222</stp>
        <tr r="I230" s="1"/>
      </tp>
      <tp t="s">
        <v>A janela foi fechada</v>
        <stp/>
        <stp>T&amp;T2</stp>
        <stp>PRE</stp>
        <stp>358</stp>
        <tr r="B366" s="1"/>
      </tp>
      <tp t="s">
        <v>A janela foi fechada</v>
        <stp/>
        <stp>T&amp;T2</stp>
        <stp>QUL</stp>
        <stp>221</stp>
        <tr r="C229" s="1"/>
      </tp>
      <tp t="s">
        <v>A janela foi fechada</v>
        <stp/>
        <stp>T&amp;T1</stp>
        <stp>QUL</stp>
        <stp>225</stp>
        <tr r="I233" s="1"/>
      </tp>
      <tp t="s">
        <v>A janela foi fechada</v>
        <stp/>
        <stp>T&amp;T2</stp>
        <stp>QUL</stp>
        <stp>226</stp>
        <tr r="C234" s="1"/>
      </tp>
      <tp t="s">
        <v>A janela foi fechada</v>
        <stp/>
        <stp>T&amp;T1</stp>
        <stp>QUL</stp>
        <stp>224</stp>
        <tr r="I232" s="1"/>
      </tp>
      <tp t="s">
        <v>A janela foi fechada</v>
        <stp/>
        <stp>T&amp;T2</stp>
        <stp>QUL</stp>
        <stp>227</stp>
        <tr r="C235" s="1"/>
      </tp>
      <tp t="s">
        <v>A janela foi fechada</v>
        <stp/>
        <stp>T&amp;T1</stp>
        <stp>QUL</stp>
        <stp>227</stp>
        <tr r="I235" s="1"/>
      </tp>
      <tp t="s">
        <v>A janela foi fechada</v>
        <stp/>
        <stp>T&amp;T2</stp>
        <stp>QUL</stp>
        <stp>224</stp>
        <tr r="C232" s="1"/>
      </tp>
      <tp t="s">
        <v>A janela foi fechada</v>
        <stp/>
        <stp>T&amp;T1</stp>
        <stp>QUL</stp>
        <stp>226</stp>
        <tr r="I234" s="1"/>
      </tp>
      <tp t="s">
        <v>A janela foi fechada</v>
        <stp/>
        <stp>T&amp;T2</stp>
        <stp>QUL</stp>
        <stp>225</stp>
        <tr r="C233" s="1"/>
      </tp>
      <tp t="s">
        <v>A janela foi fechada</v>
        <stp/>
        <stp>T&amp;T1</stp>
        <stp>PRE</stp>
        <stp>320</stp>
        <tr r="H328" s="1"/>
      </tp>
      <tp t="s">
        <v>A janela foi fechada</v>
        <stp/>
        <stp>T&amp;T1</stp>
        <stp>QUL</stp>
        <stp>259</stp>
        <tr r="I267" s="1"/>
      </tp>
      <tp t="s">
        <v>A janela foi fechada</v>
        <stp/>
        <stp>T&amp;T2</stp>
        <stp>PRE</stp>
        <stp>323</stp>
        <tr r="B331" s="1"/>
      </tp>
      <tp t="s">
        <v>A janela foi fechada</v>
        <stp/>
        <stp>T&amp;T1</stp>
        <stp>PRE</stp>
        <stp>321</stp>
        <tr r="H329" s="1"/>
      </tp>
      <tp t="s">
        <v>A janela foi fechada</v>
        <stp/>
        <stp>T&amp;T1</stp>
        <stp>QUL</stp>
        <stp>258</stp>
        <tr r="I266" s="1"/>
      </tp>
      <tp t="s">
        <v>A janela foi fechada</v>
        <stp/>
        <stp>T&amp;T2</stp>
        <stp>PRE</stp>
        <stp>322</stp>
        <tr r="B330" s="1"/>
      </tp>
      <tp t="s">
        <v>A janela foi fechada</v>
        <stp/>
        <stp>T&amp;T1</stp>
        <stp>PRE</stp>
        <stp>322</stp>
        <tr r="H330" s="1"/>
      </tp>
      <tp t="s">
        <v>A janela foi fechada</v>
        <stp/>
        <stp>T&amp;T2</stp>
        <stp>PRE</stp>
        <stp>321</stp>
        <tr r="B329" s="1"/>
      </tp>
      <tp t="s">
        <v>A janela foi fechada</v>
        <stp/>
        <stp>T&amp;T2</stp>
        <stp>QUL</stp>
        <stp>258</stp>
        <tr r="C266" s="1"/>
      </tp>
      <tp t="s">
        <v>A janela foi fechada</v>
        <stp/>
        <stp>T&amp;T1</stp>
        <stp>PRE</stp>
        <stp>323</stp>
        <tr r="H331" s="1"/>
      </tp>
      <tp t="s">
        <v>A janela foi fechada</v>
        <stp/>
        <stp>T&amp;T2</stp>
        <stp>PRE</stp>
        <stp>320</stp>
        <tr r="B328" s="1"/>
      </tp>
      <tp t="s">
        <v>A janela foi fechada</v>
        <stp/>
        <stp>T&amp;T2</stp>
        <stp>QUL</stp>
        <stp>259</stp>
        <tr r="C267" s="1"/>
      </tp>
      <tp t="s">
        <v>A janela foi fechada</v>
        <stp/>
        <stp>T&amp;T1</stp>
        <stp>PRE</stp>
        <stp>324</stp>
        <tr r="H332" s="1"/>
      </tp>
      <tp t="s">
        <v>A janela foi fechada</v>
        <stp/>
        <stp>T&amp;T2</stp>
        <stp>PRE</stp>
        <stp>327</stp>
        <tr r="B335" s="1"/>
      </tp>
      <tp t="s">
        <v>A janela foi fechada</v>
        <stp/>
        <stp>T&amp;T1</stp>
        <stp>PRE</stp>
        <stp>325</stp>
        <tr r="H333" s="1"/>
      </tp>
      <tp t="s">
        <v>A janela foi fechada</v>
        <stp/>
        <stp>T&amp;T2</stp>
        <stp>PRE</stp>
        <stp>326</stp>
        <tr r="B334" s="1"/>
      </tp>
      <tp t="s">
        <v>A janela foi fechada</v>
        <stp/>
        <stp>T&amp;T1</stp>
        <stp>PRE</stp>
        <stp>326</stp>
        <tr r="H334" s="1"/>
      </tp>
      <tp t="s">
        <v>A janela foi fechada</v>
        <stp/>
        <stp>T&amp;T2</stp>
        <stp>PRE</stp>
        <stp>325</stp>
        <tr r="B333" s="1"/>
      </tp>
      <tp t="s">
        <v>A janela foi fechada</v>
        <stp/>
        <stp>T&amp;T1</stp>
        <stp>PRE</stp>
        <stp>327</stp>
        <tr r="H335" s="1"/>
      </tp>
      <tp t="s">
        <v>A janela foi fechada</v>
        <stp/>
        <stp>T&amp;T2</stp>
        <stp>PRE</stp>
        <stp>324</stp>
        <tr r="B332" s="1"/>
      </tp>
      <tp t="s">
        <v>A janela foi fechada</v>
        <stp/>
        <stp>T&amp;T1</stp>
        <stp>PRE</stp>
        <stp>328</stp>
        <tr r="H336" s="1"/>
      </tp>
      <tp t="s">
        <v>A janela foi fechada</v>
        <stp/>
        <stp>T&amp;T1</stp>
        <stp>QUL</stp>
        <stp>251</stp>
        <tr r="I259" s="1"/>
      </tp>
      <tp t="s">
        <v>A janela foi fechada</v>
        <stp/>
        <stp>T&amp;T2</stp>
        <stp>QUL</stp>
        <stp>252</stp>
        <tr r="C260" s="1"/>
      </tp>
      <tp t="s">
        <v>A janela foi fechada</v>
        <stp/>
        <stp>T&amp;T1</stp>
        <stp>PRE</stp>
        <stp>329</stp>
        <tr r="H337" s="1"/>
      </tp>
      <tp t="s">
        <v>A janela foi fechada</v>
        <stp/>
        <stp>T&amp;T1</stp>
        <stp>QUL</stp>
        <stp>250</stp>
        <tr r="I258" s="1"/>
      </tp>
      <tp t="s">
        <v>A janela foi fechada</v>
        <stp/>
        <stp>T&amp;T2</stp>
        <stp>QUL</stp>
        <stp>253</stp>
        <tr r="C261" s="1"/>
      </tp>
      <tp t="s">
        <v>A janela foi fechada</v>
        <stp/>
        <stp>T&amp;T1</stp>
        <stp>QUL</stp>
        <stp>253</stp>
        <tr r="I261" s="1"/>
      </tp>
      <tp t="s">
        <v>A janela foi fechada</v>
        <stp/>
        <stp>T&amp;T2</stp>
        <stp>PRE</stp>
        <stp>329</stp>
        <tr r="B337" s="1"/>
      </tp>
      <tp t="s">
        <v>A janela foi fechada</v>
        <stp/>
        <stp>T&amp;T2</stp>
        <stp>QUL</stp>
        <stp>250</stp>
        <tr r="C258" s="1"/>
      </tp>
      <tp t="s">
        <v>A janela foi fechada</v>
        <stp/>
        <stp>T&amp;T1</stp>
        <stp>QUL</stp>
        <stp>252</stp>
        <tr r="I260" s="1"/>
      </tp>
      <tp t="s">
        <v>A janela foi fechada</v>
        <stp/>
        <stp>T&amp;T2</stp>
        <stp>PRE</stp>
        <stp>328</stp>
        <tr r="B336" s="1"/>
      </tp>
      <tp t="s">
        <v>A janela foi fechada</v>
        <stp/>
        <stp>T&amp;T2</stp>
        <stp>QUL</stp>
        <stp>251</stp>
        <tr r="C259" s="1"/>
      </tp>
      <tp t="s">
        <v>A janela foi fechada</v>
        <stp/>
        <stp>T&amp;T1</stp>
        <stp>QUL</stp>
        <stp>255</stp>
        <tr r="I263" s="1"/>
      </tp>
      <tp t="s">
        <v>A janela foi fechada</v>
        <stp/>
        <stp>T&amp;T2</stp>
        <stp>QUL</stp>
        <stp>256</stp>
        <tr r="C264" s="1"/>
      </tp>
      <tp t="s">
        <v>A janela foi fechada</v>
        <stp/>
        <stp>T&amp;T1</stp>
        <stp>QUL</stp>
        <stp>254</stp>
        <tr r="I262" s="1"/>
      </tp>
      <tp t="s">
        <v>A janela foi fechada</v>
        <stp/>
        <stp>T&amp;T2</stp>
        <stp>QUL</stp>
        <stp>257</stp>
        <tr r="C265" s="1"/>
      </tp>
      <tp t="s">
        <v>A janela foi fechada</v>
        <stp/>
        <stp>T&amp;T1</stp>
        <stp>QUL</stp>
        <stp>257</stp>
        <tr r="I265" s="1"/>
      </tp>
      <tp t="s">
        <v>A janela foi fechada</v>
        <stp/>
        <stp>T&amp;T2</stp>
        <stp>QUL</stp>
        <stp>254</stp>
        <tr r="C262" s="1"/>
      </tp>
      <tp t="s">
        <v>A janela foi fechada</v>
        <stp/>
        <stp>T&amp;T1</stp>
        <stp>QUL</stp>
        <stp>256</stp>
        <tr r="I264" s="1"/>
      </tp>
      <tp t="s">
        <v>A janela foi fechada</v>
        <stp/>
        <stp>T&amp;T2</stp>
        <stp>QUL</stp>
        <stp>255</stp>
        <tr r="C263" s="1"/>
      </tp>
      <tp t="s">
        <v>A janela foi fechada</v>
        <stp/>
        <stp>T&amp;T1</stp>
        <stp>PRE</stp>
        <stp>330</stp>
        <tr r="H338" s="1"/>
      </tp>
      <tp t="s">
        <v>A janela foi fechada</v>
        <stp/>
        <stp>T&amp;T1</stp>
        <stp>QUL</stp>
        <stp>249</stp>
        <tr r="I257" s="1"/>
      </tp>
      <tp t="s">
        <v>A janela foi fechada</v>
        <stp/>
        <stp>T&amp;T2</stp>
        <stp>PRE</stp>
        <stp>333</stp>
        <tr r="B341" s="1"/>
      </tp>
      <tp t="s">
        <v>A janela foi fechada</v>
        <stp/>
        <stp>T&amp;T1</stp>
        <stp>PRE</stp>
        <stp>331</stp>
        <tr r="H339" s="1"/>
      </tp>
      <tp t="s">
        <v>A janela foi fechada</v>
        <stp/>
        <stp>T&amp;T1</stp>
        <stp>QUL</stp>
        <stp>248</stp>
        <tr r="I256" s="1"/>
      </tp>
      <tp t="s">
        <v>A janela foi fechada</v>
        <stp/>
        <stp>T&amp;T2</stp>
        <stp>PRE</stp>
        <stp>332</stp>
        <tr r="B340" s="1"/>
      </tp>
      <tp t="s">
        <v>A janela foi fechada</v>
        <stp/>
        <stp>T&amp;T1</stp>
        <stp>PRE</stp>
        <stp>332</stp>
        <tr r="H340" s="1"/>
      </tp>
      <tp t="s">
        <v>A janela foi fechada</v>
        <stp/>
        <stp>T&amp;T2</stp>
        <stp>PRE</stp>
        <stp>331</stp>
        <tr r="B339" s="1"/>
      </tp>
      <tp t="s">
        <v>A janela foi fechada</v>
        <stp/>
        <stp>T&amp;T2</stp>
        <stp>QUL</stp>
        <stp>248</stp>
        <tr r="C256" s="1"/>
      </tp>
      <tp t="s">
        <v>A janela foi fechada</v>
        <stp/>
        <stp>T&amp;T1</stp>
        <stp>PRE</stp>
        <stp>333</stp>
        <tr r="H341" s="1"/>
      </tp>
      <tp t="s">
        <v>A janela foi fechada</v>
        <stp/>
        <stp>T&amp;T2</stp>
        <stp>PRE</stp>
        <stp>330</stp>
        <tr r="B338" s="1"/>
      </tp>
      <tp t="s">
        <v>A janela foi fechada</v>
        <stp/>
        <stp>T&amp;T2</stp>
        <stp>QUL</stp>
        <stp>249</stp>
        <tr r="C257" s="1"/>
      </tp>
      <tp t="s">
        <v>A janela foi fechada</v>
        <stp/>
        <stp>T&amp;T1</stp>
        <stp>PRE</stp>
        <stp>334</stp>
        <tr r="H342" s="1"/>
      </tp>
      <tp t="s">
        <v>A janela foi fechada</v>
        <stp/>
        <stp>T&amp;T2</stp>
        <stp>PRE</stp>
        <stp>337</stp>
        <tr r="B345" s="1"/>
      </tp>
      <tp t="s">
        <v>A janela foi fechada</v>
        <stp/>
        <stp>T&amp;T1</stp>
        <stp>PRE</stp>
        <stp>335</stp>
        <tr r="H343" s="1"/>
      </tp>
      <tp t="s">
        <v>A janela foi fechada</v>
        <stp/>
        <stp>T&amp;T2</stp>
        <stp>PRE</stp>
        <stp>336</stp>
        <tr r="B344" s="1"/>
      </tp>
      <tp t="s">
        <v>A janela foi fechada</v>
        <stp/>
        <stp>T&amp;T1</stp>
        <stp>PRE</stp>
        <stp>336</stp>
        <tr r="H344" s="1"/>
      </tp>
      <tp t="s">
        <v>A janela foi fechada</v>
        <stp/>
        <stp>T&amp;T2</stp>
        <stp>PRE</stp>
        <stp>335</stp>
        <tr r="B343" s="1"/>
      </tp>
      <tp t="s">
        <v>A janela foi fechada</v>
        <stp/>
        <stp>T&amp;T1</stp>
        <stp>PRE</stp>
        <stp>337</stp>
        <tr r="H345" s="1"/>
      </tp>
      <tp t="s">
        <v>A janela foi fechada</v>
        <stp/>
        <stp>T&amp;T2</stp>
        <stp>PRE</stp>
        <stp>334</stp>
        <tr r="B342" s="1"/>
      </tp>
      <tp t="s">
        <v>A janela foi fechada</v>
        <stp/>
        <stp>T&amp;T1</stp>
        <stp>PRE</stp>
        <stp>338</stp>
        <tr r="H346" s="1"/>
      </tp>
      <tp t="s">
        <v>A janela foi fechada</v>
        <stp/>
        <stp>T&amp;T1</stp>
        <stp>QUL</stp>
        <stp>241</stp>
        <tr r="I249" s="1"/>
      </tp>
      <tp t="s">
        <v>A janela foi fechada</v>
        <stp/>
        <stp>T&amp;T2</stp>
        <stp>QUL</stp>
        <stp>242</stp>
        <tr r="C250" s="1"/>
      </tp>
      <tp t="s">
        <v>A janela foi fechada</v>
        <stp/>
        <stp>T&amp;T1</stp>
        <stp>PRE</stp>
        <stp>339</stp>
        <tr r="H347" s="1"/>
      </tp>
      <tp t="s">
        <v>A janela foi fechada</v>
        <stp/>
        <stp>T&amp;T1</stp>
        <stp>QUL</stp>
        <stp>240</stp>
        <tr r="I248" s="1"/>
      </tp>
      <tp t="s">
        <v>A janela foi fechada</v>
        <stp/>
        <stp>T&amp;T2</stp>
        <stp>QUL</stp>
        <stp>243</stp>
        <tr r="C251" s="1"/>
      </tp>
      <tp t="s">
        <v>A janela foi fechada</v>
        <stp/>
        <stp>T&amp;T1</stp>
        <stp>QUL</stp>
        <stp>243</stp>
        <tr r="I251" s="1"/>
      </tp>
      <tp t="s">
        <v>A janela foi fechada</v>
        <stp/>
        <stp>T&amp;T2</stp>
        <stp>PRE</stp>
        <stp>339</stp>
        <tr r="B347" s="1"/>
      </tp>
      <tp t="s">
        <v>A janela foi fechada</v>
        <stp/>
        <stp>T&amp;T2</stp>
        <stp>QUL</stp>
        <stp>240</stp>
        <tr r="C248" s="1"/>
      </tp>
      <tp t="s">
        <v>A janela foi fechada</v>
        <stp/>
        <stp>T&amp;T1</stp>
        <stp>QUL</stp>
        <stp>242</stp>
        <tr r="I250" s="1"/>
      </tp>
      <tp t="s">
        <v>A janela foi fechada</v>
        <stp/>
        <stp>T&amp;T2</stp>
        <stp>PRE</stp>
        <stp>338</stp>
        <tr r="B346" s="1"/>
      </tp>
      <tp t="s">
        <v>A janela foi fechada</v>
        <stp/>
        <stp>T&amp;T2</stp>
        <stp>QUL</stp>
        <stp>241</stp>
        <tr r="C249" s="1"/>
      </tp>
      <tp t="s">
        <v>A janela foi fechada</v>
        <stp/>
        <stp>T&amp;T1</stp>
        <stp>QUL</stp>
        <stp>245</stp>
        <tr r="I253" s="1"/>
      </tp>
      <tp t="s">
        <v>A janela foi fechada</v>
        <stp/>
        <stp>T&amp;T2</stp>
        <stp>QUL</stp>
        <stp>246</stp>
        <tr r="C254" s="1"/>
      </tp>
      <tp t="s">
        <v>A janela foi fechada</v>
        <stp/>
        <stp>T&amp;T1</stp>
        <stp>QUL</stp>
        <stp>244</stp>
        <tr r="I252" s="1"/>
      </tp>
      <tp t="s">
        <v>A janela foi fechada</v>
        <stp/>
        <stp>T&amp;T2</stp>
        <stp>QUL</stp>
        <stp>247</stp>
        <tr r="C255" s="1"/>
      </tp>
      <tp t="s">
        <v>A janela foi fechada</v>
        <stp/>
        <stp>T&amp;T1</stp>
        <stp>QUL</stp>
        <stp>247</stp>
        <tr r="I255" s="1"/>
      </tp>
      <tp t="s">
        <v>A janela foi fechada</v>
        <stp/>
        <stp>T&amp;T2</stp>
        <stp>QUL</stp>
        <stp>244</stp>
        <tr r="C252" s="1"/>
      </tp>
      <tp t="s">
        <v>A janela foi fechada</v>
        <stp/>
        <stp>T&amp;T1</stp>
        <stp>QUL</stp>
        <stp>246</stp>
        <tr r="I254" s="1"/>
      </tp>
      <tp t="s">
        <v>A janela foi fechada</v>
        <stp/>
        <stp>T&amp;T2</stp>
        <stp>QUL</stp>
        <stp>245</stp>
        <tr r="C253" s="1"/>
      </tp>
      <tp t="s">
        <v>A janela foi fechada</v>
        <stp/>
        <stp>T&amp;T1</stp>
        <stp>PRE</stp>
        <stp>300</stp>
        <tr r="H308" s="1"/>
      </tp>
      <tp t="s">
        <v>A janela foi fechada</v>
        <stp/>
        <stp>T&amp;T1</stp>
        <stp>QUL</stp>
        <stp>279</stp>
        <tr r="I287" s="1"/>
      </tp>
      <tp t="s">
        <v>A janela foi fechada</v>
        <stp/>
        <stp>T&amp;T2</stp>
        <stp>PRE</stp>
        <stp>303</stp>
        <tr r="B311" s="1"/>
      </tp>
      <tp t="s">
        <v>A janela foi fechada</v>
        <stp/>
        <stp>T&amp;T1</stp>
        <stp>PRE</stp>
        <stp>301</stp>
        <tr r="H309" s="1"/>
      </tp>
      <tp t="s">
        <v>A janela foi fechada</v>
        <stp/>
        <stp>T&amp;T1</stp>
        <stp>QUL</stp>
        <stp>278</stp>
        <tr r="I286" s="1"/>
      </tp>
      <tp t="s">
        <v>A janela foi fechada</v>
        <stp/>
        <stp>T&amp;T2</stp>
        <stp>PRE</stp>
        <stp>302</stp>
        <tr r="B310" s="1"/>
      </tp>
      <tp t="s">
        <v>A janela foi fechada</v>
        <stp/>
        <stp>T&amp;T1</stp>
        <stp>PRE</stp>
        <stp>302</stp>
        <tr r="H310" s="1"/>
      </tp>
      <tp t="s">
        <v>A janela foi fechada</v>
        <stp/>
        <stp>T&amp;T2</stp>
        <stp>PRE</stp>
        <stp>301</stp>
        <tr r="B309" s="1"/>
      </tp>
      <tp t="s">
        <v>A janela foi fechada</v>
        <stp/>
        <stp>T&amp;T2</stp>
        <stp>QUL</stp>
        <stp>278</stp>
        <tr r="C286" s="1"/>
      </tp>
      <tp t="s">
        <v>A janela foi fechada</v>
        <stp/>
        <stp>T&amp;T1</stp>
        <stp>PRE</stp>
        <stp>303</stp>
        <tr r="H311" s="1"/>
      </tp>
      <tp t="s">
        <v>A janela foi fechada</v>
        <stp/>
        <stp>T&amp;T2</stp>
        <stp>PRE</stp>
        <stp>300</stp>
        <tr r="B308" s="1"/>
      </tp>
      <tp t="s">
        <v>A janela foi fechada</v>
        <stp/>
        <stp>T&amp;T2</stp>
        <stp>QUL</stp>
        <stp>279</stp>
        <tr r="C287" s="1"/>
      </tp>
      <tp t="s">
        <v>A janela foi fechada</v>
        <stp/>
        <stp>T&amp;T1</stp>
        <stp>PRE</stp>
        <stp>304</stp>
        <tr r="H312" s="1"/>
      </tp>
      <tp t="s">
        <v>A janela foi fechada</v>
        <stp/>
        <stp>T&amp;T2</stp>
        <stp>PRE</stp>
        <stp>307</stp>
        <tr r="B315" s="1"/>
      </tp>
      <tp t="s">
        <v>A janela foi fechada</v>
        <stp/>
        <stp>T&amp;T1</stp>
        <stp>PRE</stp>
        <stp>305</stp>
        <tr r="H313" s="1"/>
      </tp>
      <tp t="s">
        <v>A janela foi fechada</v>
        <stp/>
        <stp>T&amp;T2</stp>
        <stp>PRE</stp>
        <stp>306</stp>
        <tr r="B314" s="1"/>
      </tp>
      <tp t="s">
        <v>A janela foi fechada</v>
        <stp/>
        <stp>T&amp;T1</stp>
        <stp>PRE</stp>
        <stp>306</stp>
        <tr r="H314" s="1"/>
      </tp>
      <tp t="s">
        <v>A janela foi fechada</v>
        <stp/>
        <stp>T&amp;T2</stp>
        <stp>PRE</stp>
        <stp>305</stp>
        <tr r="B313" s="1"/>
      </tp>
      <tp t="s">
        <v>A janela foi fechada</v>
        <stp/>
        <stp>T&amp;T1</stp>
        <stp>PRE</stp>
        <stp>307</stp>
        <tr r="H315" s="1"/>
      </tp>
      <tp t="s">
        <v>A janela foi fechada</v>
        <stp/>
        <stp>T&amp;T2</stp>
        <stp>PRE</stp>
        <stp>304</stp>
        <tr r="B312" s="1"/>
      </tp>
      <tp t="s">
        <v>A janela foi fechada</v>
        <stp/>
        <stp>T&amp;T1</stp>
        <stp>PRE</stp>
        <stp>308</stp>
        <tr r="H316" s="1"/>
      </tp>
      <tp t="s">
        <v>A janela foi fechada</v>
        <stp/>
        <stp>T&amp;T1</stp>
        <stp>QUL</stp>
        <stp>271</stp>
        <tr r="I279" s="1"/>
      </tp>
      <tp t="s">
        <v>A janela foi fechada</v>
        <stp/>
        <stp>T&amp;T2</stp>
        <stp>QUL</stp>
        <stp>272</stp>
        <tr r="C280" s="1"/>
      </tp>
      <tp t="s">
        <v>A janela foi fechada</v>
        <stp/>
        <stp>T&amp;T1</stp>
        <stp>PRE</stp>
        <stp>309</stp>
        <tr r="H317" s="1"/>
      </tp>
      <tp t="s">
        <v>A janela foi fechada</v>
        <stp/>
        <stp>T&amp;T1</stp>
        <stp>QUL</stp>
        <stp>270</stp>
        <tr r="I278" s="1"/>
      </tp>
      <tp t="s">
        <v>A janela foi fechada</v>
        <stp/>
        <stp>T&amp;T2</stp>
        <stp>QUL</stp>
        <stp>273</stp>
        <tr r="C281" s="1"/>
      </tp>
      <tp t="s">
        <v>A janela foi fechada</v>
        <stp/>
        <stp>T&amp;T1</stp>
        <stp>QUL</stp>
        <stp>273</stp>
        <tr r="I281" s="1"/>
      </tp>
      <tp t="s">
        <v>A janela foi fechada</v>
        <stp/>
        <stp>T&amp;T2</stp>
        <stp>PRE</stp>
        <stp>309</stp>
        <tr r="B317" s="1"/>
      </tp>
      <tp t="s">
        <v>A janela foi fechada</v>
        <stp/>
        <stp>T&amp;T2</stp>
        <stp>QUL</stp>
        <stp>270</stp>
        <tr r="C278" s="1"/>
      </tp>
      <tp t="s">
        <v>A janela foi fechada</v>
        <stp/>
        <stp>T&amp;T1</stp>
        <stp>QUL</stp>
        <stp>272</stp>
        <tr r="I280" s="1"/>
      </tp>
      <tp t="s">
        <v>A janela foi fechada</v>
        <stp/>
        <stp>T&amp;T2</stp>
        <stp>PRE</stp>
        <stp>308</stp>
        <tr r="B316" s="1"/>
      </tp>
      <tp t="s">
        <v>A janela foi fechada</v>
        <stp/>
        <stp>T&amp;T2</stp>
        <stp>QUL</stp>
        <stp>271</stp>
        <tr r="C279" s="1"/>
      </tp>
      <tp t="s">
        <v>A janela foi fechada</v>
        <stp/>
        <stp>T&amp;T1</stp>
        <stp>QUL</stp>
        <stp>275</stp>
        <tr r="I283" s="1"/>
      </tp>
      <tp t="s">
        <v>A janela foi fechada</v>
        <stp/>
        <stp>T&amp;T2</stp>
        <stp>QUL</stp>
        <stp>276</stp>
        <tr r="C284" s="1"/>
      </tp>
      <tp t="s">
        <v>A janela foi fechada</v>
        <stp/>
        <stp>T&amp;T1</stp>
        <stp>QUL</stp>
        <stp>274</stp>
        <tr r="I282" s="1"/>
      </tp>
      <tp t="s">
        <v>A janela foi fechada</v>
        <stp/>
        <stp>T&amp;T2</stp>
        <stp>QUL</stp>
        <stp>277</stp>
        <tr r="C285" s="1"/>
      </tp>
      <tp t="s">
        <v>A janela foi fechada</v>
        <stp/>
        <stp>T&amp;T1</stp>
        <stp>QUL</stp>
        <stp>277</stp>
        <tr r="I285" s="1"/>
      </tp>
      <tp t="s">
        <v>A janela foi fechada</v>
        <stp/>
        <stp>T&amp;T2</stp>
        <stp>QUL</stp>
        <stp>274</stp>
        <tr r="C282" s="1"/>
      </tp>
      <tp t="s">
        <v>A janela foi fechada</v>
        <stp/>
        <stp>T&amp;T1</stp>
        <stp>QUL</stp>
        <stp>276</stp>
        <tr r="I284" s="1"/>
      </tp>
      <tp t="s">
        <v>A janela foi fechada</v>
        <stp/>
        <stp>T&amp;T2</stp>
        <stp>QUL</stp>
        <stp>275</stp>
        <tr r="C283" s="1"/>
      </tp>
      <tp t="s">
        <v>A janela foi fechada</v>
        <stp/>
        <stp>T&amp;T1</stp>
        <stp>PRE</stp>
        <stp>310</stp>
        <tr r="H318" s="1"/>
      </tp>
      <tp t="s">
        <v>A janela foi fechada</v>
        <stp/>
        <stp>T&amp;T1</stp>
        <stp>QUL</stp>
        <stp>269</stp>
        <tr r="I277" s="1"/>
      </tp>
      <tp t="s">
        <v>A janela foi fechada</v>
        <stp/>
        <stp>T&amp;T2</stp>
        <stp>PRE</stp>
        <stp>313</stp>
        <tr r="B321" s="1"/>
      </tp>
      <tp t="s">
        <v>A janela foi fechada</v>
        <stp/>
        <stp>T&amp;T1</stp>
        <stp>PRE</stp>
        <stp>311</stp>
        <tr r="H319" s="1"/>
      </tp>
      <tp t="s">
        <v>A janela foi fechada</v>
        <stp/>
        <stp>T&amp;T1</stp>
        <stp>QUL</stp>
        <stp>268</stp>
        <tr r="I276" s="1"/>
      </tp>
      <tp t="s">
        <v>A janela foi fechada</v>
        <stp/>
        <stp>T&amp;T2</stp>
        <stp>PRE</stp>
        <stp>312</stp>
        <tr r="B320" s="1"/>
      </tp>
      <tp t="s">
        <v>A janela foi fechada</v>
        <stp/>
        <stp>T&amp;T1</stp>
        <stp>PRE</stp>
        <stp>312</stp>
        <tr r="H320" s="1"/>
      </tp>
      <tp t="s">
        <v>A janela foi fechada</v>
        <stp/>
        <stp>T&amp;T2</stp>
        <stp>PRE</stp>
        <stp>311</stp>
        <tr r="B319" s="1"/>
      </tp>
      <tp t="s">
        <v>A janela foi fechada</v>
        <stp/>
        <stp>T&amp;T2</stp>
        <stp>QUL</stp>
        <stp>268</stp>
        <tr r="C276" s="1"/>
      </tp>
      <tp t="s">
        <v>A janela foi fechada</v>
        <stp/>
        <stp>T&amp;T1</stp>
        <stp>PRE</stp>
        <stp>313</stp>
        <tr r="H321" s="1"/>
      </tp>
      <tp t="s">
        <v>A janela foi fechada</v>
        <stp/>
        <stp>T&amp;T2</stp>
        <stp>PRE</stp>
        <stp>310</stp>
        <tr r="B318" s="1"/>
      </tp>
      <tp t="s">
        <v>A janela foi fechada</v>
        <stp/>
        <stp>T&amp;T2</stp>
        <stp>QUL</stp>
        <stp>269</stp>
        <tr r="C277" s="1"/>
      </tp>
      <tp t="s">
        <v>A janela foi fechada</v>
        <stp/>
        <stp>T&amp;T1</stp>
        <stp>PRE</stp>
        <stp>314</stp>
        <tr r="H322" s="1"/>
      </tp>
      <tp t="s">
        <v>A janela foi fechada</v>
        <stp/>
        <stp>T&amp;T2</stp>
        <stp>PRE</stp>
        <stp>317</stp>
        <tr r="B325" s="1"/>
      </tp>
      <tp t="s">
        <v>A janela foi fechada</v>
        <stp/>
        <stp>T&amp;T1</stp>
        <stp>PRE</stp>
        <stp>315</stp>
        <tr r="H323" s="1"/>
      </tp>
      <tp t="s">
        <v>A janela foi fechada</v>
        <stp/>
        <stp>T&amp;T2</stp>
        <stp>PRE</stp>
        <stp>316</stp>
        <tr r="B324" s="1"/>
      </tp>
      <tp t="s">
        <v>A janela foi fechada</v>
        <stp/>
        <stp>T&amp;T1</stp>
        <stp>PRE</stp>
        <stp>316</stp>
        <tr r="H324" s="1"/>
      </tp>
      <tp t="s">
        <v>A janela foi fechada</v>
        <stp/>
        <stp>T&amp;T2</stp>
        <stp>PRE</stp>
        <stp>315</stp>
        <tr r="B323" s="1"/>
      </tp>
      <tp t="s">
        <v>A janela foi fechada</v>
        <stp/>
        <stp>T&amp;T1</stp>
        <stp>PRE</stp>
        <stp>317</stp>
        <tr r="H325" s="1"/>
      </tp>
      <tp t="s">
        <v>A janela foi fechada</v>
        <stp/>
        <stp>T&amp;T2</stp>
        <stp>PRE</stp>
        <stp>314</stp>
        <tr r="B322" s="1"/>
      </tp>
      <tp t="s">
        <v>A janela foi fechada</v>
        <stp/>
        <stp>T&amp;T1</stp>
        <stp>PRE</stp>
        <stp>318</stp>
        <tr r="H326" s="1"/>
      </tp>
      <tp t="s">
        <v>A janela foi fechada</v>
        <stp/>
        <stp>T&amp;T1</stp>
        <stp>QUL</stp>
        <stp>261</stp>
        <tr r="I269" s="1"/>
      </tp>
      <tp t="s">
        <v>A janela foi fechada</v>
        <stp/>
        <stp>T&amp;T2</stp>
        <stp>QUL</stp>
        <stp>262</stp>
        <tr r="C270" s="1"/>
      </tp>
      <tp t="s">
        <v>A janela foi fechada</v>
        <stp/>
        <stp>T&amp;T1</stp>
        <stp>PRE</stp>
        <stp>319</stp>
        <tr r="H327" s="1"/>
      </tp>
      <tp t="s">
        <v>A janela foi fechada</v>
        <stp/>
        <stp>T&amp;T1</stp>
        <stp>QUL</stp>
        <stp>260</stp>
        <tr r="I268" s="1"/>
      </tp>
      <tp t="s">
        <v>A janela foi fechada</v>
        <stp/>
        <stp>T&amp;T2</stp>
        <stp>QUL</stp>
        <stp>263</stp>
        <tr r="C271" s="1"/>
      </tp>
      <tp t="s">
        <v>A janela foi fechada</v>
        <stp/>
        <stp>T&amp;T1</stp>
        <stp>QUL</stp>
        <stp>263</stp>
        <tr r="I271" s="1"/>
      </tp>
      <tp t="s">
        <v>A janela foi fechada</v>
        <stp/>
        <stp>T&amp;T2</stp>
        <stp>PRE</stp>
        <stp>319</stp>
        <tr r="B327" s="1"/>
      </tp>
      <tp t="s">
        <v>A janela foi fechada</v>
        <stp/>
        <stp>T&amp;T2</stp>
        <stp>QUL</stp>
        <stp>260</stp>
        <tr r="C268" s="1"/>
      </tp>
      <tp t="s">
        <v>A janela foi fechada</v>
        <stp/>
        <stp>T&amp;T1</stp>
        <stp>QUL</stp>
        <stp>262</stp>
        <tr r="I270" s="1"/>
      </tp>
      <tp t="s">
        <v>A janela foi fechada</v>
        <stp/>
        <stp>T&amp;T2</stp>
        <stp>PRE</stp>
        <stp>318</stp>
        <tr r="B326" s="1"/>
      </tp>
      <tp t="s">
        <v>A janela foi fechada</v>
        <stp/>
        <stp>T&amp;T2</stp>
        <stp>QUL</stp>
        <stp>261</stp>
        <tr r="C269" s="1"/>
      </tp>
      <tp t="s">
        <v>A janela foi fechada</v>
        <stp/>
        <stp>T&amp;T1</stp>
        <stp>QUL</stp>
        <stp>265</stp>
        <tr r="I273" s="1"/>
      </tp>
      <tp t="s">
        <v>A janela foi fechada</v>
        <stp/>
        <stp>T&amp;T2</stp>
        <stp>QUL</stp>
        <stp>266</stp>
        <tr r="C274" s="1"/>
      </tp>
      <tp t="s">
        <v>A janela foi fechada</v>
        <stp/>
        <stp>T&amp;T1</stp>
        <stp>QUL</stp>
        <stp>264</stp>
        <tr r="I272" s="1"/>
      </tp>
      <tp t="s">
        <v>A janela foi fechada</v>
        <stp/>
        <stp>T&amp;T2</stp>
        <stp>QUL</stp>
        <stp>267</stp>
        <tr r="C275" s="1"/>
      </tp>
      <tp t="s">
        <v>A janela foi fechada</v>
        <stp/>
        <stp>T&amp;T1</stp>
        <stp>QUL</stp>
        <stp>267</stp>
        <tr r="I275" s="1"/>
      </tp>
      <tp t="s">
        <v>A janela foi fechada</v>
        <stp/>
        <stp>T&amp;T2</stp>
        <stp>QUL</stp>
        <stp>264</stp>
        <tr r="C272" s="1"/>
      </tp>
      <tp t="s">
        <v>A janela foi fechada</v>
        <stp/>
        <stp>T&amp;T1</stp>
        <stp>QUL</stp>
        <stp>266</stp>
        <tr r="I274" s="1"/>
      </tp>
      <tp t="s">
        <v>A janela foi fechada</v>
        <stp/>
        <stp>T&amp;T2</stp>
        <stp>QUL</stp>
        <stp>265</stp>
        <tr r="C273" s="1"/>
      </tp>
      <tp t="s">
        <v>A janela foi fechada</v>
        <stp/>
        <stp>T&amp;T1</stp>
        <stp>QUL</stp>
        <stp>199</stp>
        <tr r="I207" s="1"/>
      </tp>
      <tp t="s">
        <v>A janela foi fechada</v>
        <stp/>
        <stp>T&amp;T1</stp>
        <stp>QUL</stp>
        <stp>198</stp>
        <tr r="I206" s="1"/>
      </tp>
      <tp t="s">
        <v>A janela foi fechada</v>
        <stp/>
        <stp>T&amp;T2</stp>
        <stp>QUL</stp>
        <stp>198</stp>
        <tr r="C206" s="1"/>
      </tp>
      <tp t="s">
        <v>A janela foi fechada</v>
        <stp/>
        <stp>T&amp;T2</stp>
        <stp>QUL</stp>
        <stp>199</stp>
        <tr r="C207" s="1"/>
      </tp>
      <tp t="s">
        <v>A janela foi fechada</v>
        <stp/>
        <stp>T&amp;T1</stp>
        <stp>QUL</stp>
        <stp>191</stp>
        <tr r="I199" s="1"/>
      </tp>
      <tp t="s">
        <v>A janela foi fechada</v>
        <stp/>
        <stp>T&amp;T2</stp>
        <stp>QUL</stp>
        <stp>192</stp>
        <tr r="C200" s="1"/>
      </tp>
      <tp t="s">
        <v>A janela foi fechada</v>
        <stp/>
        <stp>T&amp;T1</stp>
        <stp>QUL</stp>
        <stp>190</stp>
        <tr r="I198" s="1"/>
      </tp>
      <tp t="s">
        <v>A janela foi fechada</v>
        <stp/>
        <stp>T&amp;T2</stp>
        <stp>QUL</stp>
        <stp>193</stp>
        <tr r="C201" s="1"/>
      </tp>
      <tp t="s">
        <v>A janela foi fechada</v>
        <stp/>
        <stp>T&amp;T1</stp>
        <stp>QUL</stp>
        <stp>193</stp>
        <tr r="I201" s="1"/>
      </tp>
      <tp t="s">
        <v>A janela foi fechada</v>
        <stp/>
        <stp>T&amp;T2</stp>
        <stp>QUL</stp>
        <stp>190</stp>
        <tr r="C198" s="1"/>
      </tp>
      <tp t="s">
        <v>A janela foi fechada</v>
        <stp/>
        <stp>T&amp;T1</stp>
        <stp>QUL</stp>
        <stp>192</stp>
        <tr r="I200" s="1"/>
      </tp>
      <tp t="s">
        <v>A janela foi fechada</v>
        <stp/>
        <stp>T&amp;T2</stp>
        <stp>QUL</stp>
        <stp>191</stp>
        <tr r="C199" s="1"/>
      </tp>
      <tp t="s">
        <v>A janela foi fechada</v>
        <stp/>
        <stp>T&amp;T1</stp>
        <stp>QUL</stp>
        <stp>195</stp>
        <tr r="I203" s="1"/>
      </tp>
      <tp t="s">
        <v>A janela foi fechada</v>
        <stp/>
        <stp>T&amp;T2</stp>
        <stp>QUL</stp>
        <stp>196</stp>
        <tr r="C204" s="1"/>
      </tp>
      <tp t="s">
        <v>A janela foi fechada</v>
        <stp/>
        <stp>T&amp;T1</stp>
        <stp>QUL</stp>
        <stp>194</stp>
        <tr r="I202" s="1"/>
      </tp>
      <tp t="s">
        <v>A janela foi fechada</v>
        <stp/>
        <stp>T&amp;T2</stp>
        <stp>QUL</stp>
        <stp>197</stp>
        <tr r="C205" s="1"/>
      </tp>
      <tp t="s">
        <v>A janela foi fechada</v>
        <stp/>
        <stp>T&amp;T1</stp>
        <stp>QUL</stp>
        <stp>197</stp>
        <tr r="I205" s="1"/>
      </tp>
      <tp t="s">
        <v>A janela foi fechada</v>
        <stp/>
        <stp>T&amp;T2</stp>
        <stp>QUL</stp>
        <stp>194</stp>
        <tr r="C202" s="1"/>
      </tp>
      <tp t="s">
        <v>A janela foi fechada</v>
        <stp/>
        <stp>T&amp;T1</stp>
        <stp>QUL</stp>
        <stp>196</stp>
        <tr r="I204" s="1"/>
      </tp>
      <tp t="s">
        <v>A janela foi fechada</v>
        <stp/>
        <stp>T&amp;T2</stp>
        <stp>QUL</stp>
        <stp>195</stp>
        <tr r="C203" s="1"/>
      </tp>
      <tp t="s">
        <v>A janela foi fechada</v>
        <stp/>
        <stp>T&amp;T1</stp>
        <stp>QUL</stp>
        <stp>189</stp>
        <tr r="I197" s="1"/>
      </tp>
      <tp t="s">
        <v>A janela foi fechada</v>
        <stp/>
        <stp>T&amp;T1</stp>
        <stp>QUL</stp>
        <stp>188</stp>
        <tr r="I196" s="1"/>
      </tp>
      <tp t="s">
        <v>A janela foi fechada</v>
        <stp/>
        <stp>T&amp;T2</stp>
        <stp>QUL</stp>
        <stp>188</stp>
        <tr r="C196" s="1"/>
      </tp>
      <tp t="s">
        <v>A janela foi fechada</v>
        <stp/>
        <stp>T&amp;T2</stp>
        <stp>QUL</stp>
        <stp>189</stp>
        <tr r="C197" s="1"/>
      </tp>
      <tp t="s">
        <v>A janela foi fechada</v>
        <stp/>
        <stp>T&amp;T1</stp>
        <stp>QUL</stp>
        <stp>181</stp>
        <tr r="I189" s="1"/>
      </tp>
      <tp t="s">
        <v>A janela foi fechada</v>
        <stp/>
        <stp>T&amp;T2</stp>
        <stp>QUL</stp>
        <stp>182</stp>
        <tr r="C190" s="1"/>
      </tp>
      <tp t="s">
        <v>A janela foi fechada</v>
        <stp/>
        <stp>T&amp;T1</stp>
        <stp>QUL</stp>
        <stp>180</stp>
        <tr r="I188" s="1"/>
      </tp>
      <tp t="s">
        <v>A janela foi fechada</v>
        <stp/>
        <stp>T&amp;T2</stp>
        <stp>QUL</stp>
        <stp>183</stp>
        <tr r="C191" s="1"/>
      </tp>
      <tp t="s">
        <v>A janela foi fechada</v>
        <stp/>
        <stp>T&amp;T1</stp>
        <stp>QUL</stp>
        <stp>183</stp>
        <tr r="I191" s="1"/>
      </tp>
      <tp t="s">
        <v>A janela foi fechada</v>
        <stp/>
        <stp>T&amp;T2</stp>
        <stp>QUL</stp>
        <stp>180</stp>
        <tr r="C188" s="1"/>
      </tp>
      <tp t="s">
        <v>A janela foi fechada</v>
        <stp/>
        <stp>T&amp;T1</stp>
        <stp>QUL</stp>
        <stp>182</stp>
        <tr r="I190" s="1"/>
      </tp>
      <tp t="s">
        <v>A janela foi fechada</v>
        <stp/>
        <stp>T&amp;T2</stp>
        <stp>QUL</stp>
        <stp>181</stp>
        <tr r="C189" s="1"/>
      </tp>
      <tp t="s">
        <v>A janela foi fechada</v>
        <stp/>
        <stp>T&amp;T1</stp>
        <stp>QUL</stp>
        <stp>185</stp>
        <tr r="I193" s="1"/>
      </tp>
      <tp t="s">
        <v>A janela foi fechada</v>
        <stp/>
        <stp>T&amp;T2</stp>
        <stp>QUL</stp>
        <stp>186</stp>
        <tr r="C194" s="1"/>
      </tp>
      <tp t="s">
        <v>A janela foi fechada</v>
        <stp/>
        <stp>T&amp;T1</stp>
        <stp>QUL</stp>
        <stp>184</stp>
        <tr r="I192" s="1"/>
      </tp>
      <tp t="s">
        <v>A janela foi fechada</v>
        <stp/>
        <stp>T&amp;T2</stp>
        <stp>QUL</stp>
        <stp>187</stp>
        <tr r="C195" s="1"/>
      </tp>
      <tp t="s">
        <v>A janela foi fechada</v>
        <stp/>
        <stp>T&amp;T1</stp>
        <stp>QUL</stp>
        <stp>187</stp>
        <tr r="I195" s="1"/>
      </tp>
      <tp t="s">
        <v>A janela foi fechada</v>
        <stp/>
        <stp>T&amp;T2</stp>
        <stp>QUL</stp>
        <stp>184</stp>
        <tr r="C192" s="1"/>
      </tp>
      <tp t="s">
        <v>A janela foi fechada</v>
        <stp/>
        <stp>T&amp;T1</stp>
        <stp>QUL</stp>
        <stp>186</stp>
        <tr r="I194" s="1"/>
      </tp>
      <tp t="s">
        <v>A janela foi fechada</v>
        <stp/>
        <stp>T&amp;T2</stp>
        <stp>QUL</stp>
        <stp>185</stp>
        <tr r="C193" s="1"/>
      </tp>
      <tp t="s">
        <v>A janela foi fechada</v>
        <stp/>
        <stp>T&amp;T1</stp>
        <stp>QUL</stp>
        <stp>119</stp>
        <tr r="I127" s="1"/>
      </tp>
      <tp t="s">
        <v>A janela foi fechada</v>
        <stp/>
        <stp>T&amp;T1</stp>
        <stp>QUL</stp>
        <stp>118</stp>
        <tr r="I126" s="1"/>
      </tp>
      <tp t="s">
        <v>A janela foi fechada</v>
        <stp/>
        <stp>T&amp;T2</stp>
        <stp>QUL</stp>
        <stp>118</stp>
        <tr r="C126" s="1"/>
      </tp>
      <tp t="s">
        <v>A janela foi fechada</v>
        <stp/>
        <stp>T&amp;T2</stp>
        <stp>QUL</stp>
        <stp>119</stp>
        <tr r="C127" s="1"/>
      </tp>
      <tp t="s">
        <v>A janela foi fechada</v>
        <stp/>
        <stp>T&amp;T1</stp>
        <stp>QUL</stp>
        <stp>111</stp>
        <tr r="I119" s="1"/>
      </tp>
      <tp t="s">
        <v>A janela foi fechada</v>
        <stp/>
        <stp>T&amp;T2</stp>
        <stp>QUL</stp>
        <stp>112</stp>
        <tr r="C120" s="1"/>
      </tp>
      <tp t="s">
        <v>A janela foi fechada</v>
        <stp/>
        <stp>T&amp;T1</stp>
        <stp>QUL</stp>
        <stp>110</stp>
        <tr r="I118" s="1"/>
      </tp>
      <tp t="s">
        <v>A janela foi fechada</v>
        <stp/>
        <stp>T&amp;T2</stp>
        <stp>QUL</stp>
        <stp>113</stp>
        <tr r="C121" s="1"/>
      </tp>
      <tp t="s">
        <v>A janela foi fechada</v>
        <stp/>
        <stp>T&amp;T1</stp>
        <stp>QUL</stp>
        <stp>113</stp>
        <tr r="I121" s="1"/>
      </tp>
      <tp t="s">
        <v>A janela foi fechada</v>
        <stp/>
        <stp>T&amp;T2</stp>
        <stp>QUL</stp>
        <stp>110</stp>
        <tr r="C118" s="1"/>
      </tp>
      <tp t="s">
        <v>A janela foi fechada</v>
        <stp/>
        <stp>T&amp;T1</stp>
        <stp>QUL</stp>
        <stp>112</stp>
        <tr r="I120" s="1"/>
      </tp>
      <tp t="s">
        <v>A janela foi fechada</v>
        <stp/>
        <stp>T&amp;T2</stp>
        <stp>QUL</stp>
        <stp>111</stp>
        <tr r="C119" s="1"/>
      </tp>
      <tp t="s">
        <v>A janela foi fechada</v>
        <stp/>
        <stp>T&amp;T1</stp>
        <stp>QUL</stp>
        <stp>115</stp>
        <tr r="I123" s="1"/>
      </tp>
      <tp t="s">
        <v>A janela foi fechada</v>
        <stp/>
        <stp>T&amp;T2</stp>
        <stp>QUL</stp>
        <stp>116</stp>
        <tr r="C124" s="1"/>
      </tp>
      <tp t="s">
        <v>A janela foi fechada</v>
        <stp/>
        <stp>T&amp;T1</stp>
        <stp>QUL</stp>
        <stp>114</stp>
        <tr r="I122" s="1"/>
      </tp>
      <tp t="s">
        <v>A janela foi fechada</v>
        <stp/>
        <stp>T&amp;T2</stp>
        <stp>QUL</stp>
        <stp>117</stp>
        <tr r="C125" s="1"/>
      </tp>
      <tp t="s">
        <v>A janela foi fechada</v>
        <stp/>
        <stp>T&amp;T1</stp>
        <stp>QUL</stp>
        <stp>117</stp>
        <tr r="I125" s="1"/>
      </tp>
      <tp t="s">
        <v>A janela foi fechada</v>
        <stp/>
        <stp>T&amp;T2</stp>
        <stp>QUL</stp>
        <stp>114</stp>
        <tr r="C122" s="1"/>
      </tp>
      <tp t="s">
        <v>A janela foi fechada</v>
        <stp/>
        <stp>T&amp;T1</stp>
        <stp>QUL</stp>
        <stp>116</stp>
        <tr r="I124" s="1"/>
      </tp>
      <tp t="s">
        <v>A janela foi fechada</v>
        <stp/>
        <stp>T&amp;T2</stp>
        <stp>QUL</stp>
        <stp>115</stp>
        <tr r="C123" s="1"/>
      </tp>
      <tp t="s">
        <v>A janela foi fechada</v>
        <stp/>
        <stp>T&amp;T1</stp>
        <stp>QUL</stp>
        <stp>109</stp>
        <tr r="I117" s="1"/>
      </tp>
      <tp t="s">
        <v>A janela foi fechada</v>
        <stp/>
        <stp>T&amp;T1</stp>
        <stp>QUL</stp>
        <stp>108</stp>
        <tr r="I116" s="1"/>
      </tp>
      <tp t="s">
        <v>A janela foi fechada</v>
        <stp/>
        <stp>T&amp;T2</stp>
        <stp>QUL</stp>
        <stp>108</stp>
        <tr r="C116" s="1"/>
      </tp>
      <tp t="s">
        <v>A janela foi fechada</v>
        <stp/>
        <stp>T&amp;T2</stp>
        <stp>QUL</stp>
        <stp>109</stp>
        <tr r="C117" s="1"/>
      </tp>
      <tp t="s">
        <v>A janela foi fechada</v>
        <stp/>
        <stp>T&amp;T1</stp>
        <stp>QUL</stp>
        <stp>101</stp>
        <tr r="I109" s="1"/>
      </tp>
      <tp t="s">
        <v>A janela foi fechada</v>
        <stp/>
        <stp>T&amp;T2</stp>
        <stp>QUL</stp>
        <stp>102</stp>
        <tr r="C110" s="1"/>
      </tp>
      <tp t="s">
        <v>A janela foi fechada</v>
        <stp/>
        <stp>T&amp;T1</stp>
        <stp>QUL</stp>
        <stp>100</stp>
        <tr r="I108" s="1"/>
      </tp>
      <tp t="s">
        <v>A janela foi fechada</v>
        <stp/>
        <stp>T&amp;T2</stp>
        <stp>QUL</stp>
        <stp>103</stp>
        <tr r="C111" s="1"/>
      </tp>
      <tp t="s">
        <v>A janela foi fechada</v>
        <stp/>
        <stp>T&amp;T1</stp>
        <stp>QUL</stp>
        <stp>103</stp>
        <tr r="I111" s="1"/>
      </tp>
      <tp t="s">
        <v>A janela foi fechada</v>
        <stp/>
        <stp>T&amp;T2</stp>
        <stp>QUL</stp>
        <stp>100</stp>
        <tr r="C108" s="1"/>
      </tp>
      <tp t="s">
        <v>A janela foi fechada</v>
        <stp/>
        <stp>T&amp;T1</stp>
        <stp>QUL</stp>
        <stp>102</stp>
        <tr r="I110" s="1"/>
      </tp>
      <tp t="s">
        <v>A janela foi fechada</v>
        <stp/>
        <stp>T&amp;T2</stp>
        <stp>QUL</stp>
        <stp>101</stp>
        <tr r="C109" s="1"/>
      </tp>
      <tp t="s">
        <v>A janela foi fechada</v>
        <stp/>
        <stp>T&amp;T1</stp>
        <stp>QUL</stp>
        <stp>105</stp>
        <tr r="I113" s="1"/>
      </tp>
      <tp t="s">
        <v>A janela foi fechada</v>
        <stp/>
        <stp>T&amp;T2</stp>
        <stp>QUL</stp>
        <stp>106</stp>
        <tr r="C114" s="1"/>
      </tp>
      <tp t="s">
        <v>A janela foi fechada</v>
        <stp/>
        <stp>T&amp;T1</stp>
        <stp>QUL</stp>
        <stp>104</stp>
        <tr r="I112" s="1"/>
      </tp>
      <tp t="s">
        <v>A janela foi fechada</v>
        <stp/>
        <stp>T&amp;T2</stp>
        <stp>QUL</stp>
        <stp>107</stp>
        <tr r="C115" s="1"/>
      </tp>
      <tp t="s">
        <v>A janela foi fechada</v>
        <stp/>
        <stp>T&amp;T1</stp>
        <stp>QUL</stp>
        <stp>107</stp>
        <tr r="I115" s="1"/>
      </tp>
      <tp t="s">
        <v>A janela foi fechada</v>
        <stp/>
        <stp>T&amp;T2</stp>
        <stp>QUL</stp>
        <stp>104</stp>
        <tr r="C112" s="1"/>
      </tp>
      <tp t="s">
        <v>A janela foi fechada</v>
        <stp/>
        <stp>T&amp;T1</stp>
        <stp>QUL</stp>
        <stp>106</stp>
        <tr r="I114" s="1"/>
      </tp>
      <tp t="s">
        <v>A janela foi fechada</v>
        <stp/>
        <stp>T&amp;T2</stp>
        <stp>QUL</stp>
        <stp>105</stp>
        <tr r="C113" s="1"/>
      </tp>
      <tp t="s">
        <v>A janela foi fechada</v>
        <stp/>
        <stp>T&amp;T1</stp>
        <stp>QUL</stp>
        <stp>139</stp>
        <tr r="I147" s="1"/>
      </tp>
      <tp t="s">
        <v>A janela foi fechada</v>
        <stp/>
        <stp>T&amp;T1</stp>
        <stp>QUL</stp>
        <stp>138</stp>
        <tr r="I146" s="1"/>
      </tp>
      <tp t="s">
        <v>A janela foi fechada</v>
        <stp/>
        <stp>T&amp;T2</stp>
        <stp>QUL</stp>
        <stp>138</stp>
        <tr r="C146" s="1"/>
      </tp>
      <tp t="s">
        <v>A janela foi fechada</v>
        <stp/>
        <stp>T&amp;T2</stp>
        <stp>QUL</stp>
        <stp>139</stp>
        <tr r="C147" s="1"/>
      </tp>
      <tp t="s">
        <v>A janela foi fechada</v>
        <stp/>
        <stp>T&amp;T1</stp>
        <stp>QUL</stp>
        <stp>131</stp>
        <tr r="I139" s="1"/>
      </tp>
      <tp t="s">
        <v>A janela foi fechada</v>
        <stp/>
        <stp>T&amp;T2</stp>
        <stp>QUL</stp>
        <stp>132</stp>
        <tr r="C140" s="1"/>
      </tp>
      <tp t="s">
        <v>A janela foi fechada</v>
        <stp/>
        <stp>T&amp;T1</stp>
        <stp>QUL</stp>
        <stp>130</stp>
        <tr r="I138" s="1"/>
      </tp>
      <tp t="s">
        <v>A janela foi fechada</v>
        <stp/>
        <stp>T&amp;T2</stp>
        <stp>QUL</stp>
        <stp>133</stp>
        <tr r="C141" s="1"/>
      </tp>
      <tp t="s">
        <v>A janela foi fechada</v>
        <stp/>
        <stp>T&amp;T1</stp>
        <stp>QUL</stp>
        <stp>133</stp>
        <tr r="I141" s="1"/>
      </tp>
      <tp t="s">
        <v>A janela foi fechada</v>
        <stp/>
        <stp>T&amp;T2</stp>
        <stp>QUL</stp>
        <stp>130</stp>
        <tr r="C138" s="1"/>
      </tp>
      <tp t="s">
        <v>A janela foi fechada</v>
        <stp/>
        <stp>T&amp;T1</stp>
        <stp>QUL</stp>
        <stp>132</stp>
        <tr r="I140" s="1"/>
      </tp>
      <tp t="s">
        <v>A janela foi fechada</v>
        <stp/>
        <stp>T&amp;T2</stp>
        <stp>QUL</stp>
        <stp>131</stp>
        <tr r="C139" s="1"/>
      </tp>
      <tp t="s">
        <v>A janela foi fechada</v>
        <stp/>
        <stp>T&amp;T1</stp>
        <stp>QUL</stp>
        <stp>135</stp>
        <tr r="I143" s="1"/>
      </tp>
      <tp t="s">
        <v>A janela foi fechada</v>
        <stp/>
        <stp>T&amp;T2</stp>
        <stp>QUL</stp>
        <stp>136</stp>
        <tr r="C144" s="1"/>
      </tp>
      <tp t="s">
        <v>A janela foi fechada</v>
        <stp/>
        <stp>T&amp;T1</stp>
        <stp>QUL</stp>
        <stp>134</stp>
        <tr r="I142" s="1"/>
      </tp>
      <tp t="s">
        <v>A janela foi fechada</v>
        <stp/>
        <stp>T&amp;T2</stp>
        <stp>QUL</stp>
        <stp>137</stp>
        <tr r="C145" s="1"/>
      </tp>
      <tp t="s">
        <v>A janela foi fechada</v>
        <stp/>
        <stp>T&amp;T1</stp>
        <stp>QUL</stp>
        <stp>137</stp>
        <tr r="I145" s="1"/>
      </tp>
      <tp t="s">
        <v>A janela foi fechada</v>
        <stp/>
        <stp>T&amp;T2</stp>
        <stp>QUL</stp>
        <stp>134</stp>
        <tr r="C142" s="1"/>
      </tp>
      <tp t="s">
        <v>A janela foi fechada</v>
        <stp/>
        <stp>T&amp;T1</stp>
        <stp>QUL</stp>
        <stp>136</stp>
        <tr r="I144" s="1"/>
      </tp>
      <tp t="s">
        <v>A janela foi fechada</v>
        <stp/>
        <stp>T&amp;T2</stp>
        <stp>QUL</stp>
        <stp>135</stp>
        <tr r="C143" s="1"/>
      </tp>
      <tp t="s">
        <v>A janela foi fechada</v>
        <stp/>
        <stp>T&amp;T1</stp>
        <stp>QUL</stp>
        <stp>129</stp>
        <tr r="I137" s="1"/>
      </tp>
      <tp t="s">
        <v>A janela foi fechada</v>
        <stp/>
        <stp>T&amp;T1</stp>
        <stp>QUL</stp>
        <stp>128</stp>
        <tr r="I136" s="1"/>
      </tp>
      <tp t="s">
        <v>A janela foi fechada</v>
        <stp/>
        <stp>T&amp;T2</stp>
        <stp>QUL</stp>
        <stp>128</stp>
        <tr r="C136" s="1"/>
      </tp>
      <tp t="s">
        <v>A janela foi fechada</v>
        <stp/>
        <stp>T&amp;T2</stp>
        <stp>QUL</stp>
        <stp>129</stp>
        <tr r="C137" s="1"/>
      </tp>
      <tp t="s">
        <v>A janela foi fechada</v>
        <stp/>
        <stp>T&amp;T1</stp>
        <stp>QUL</stp>
        <stp>121</stp>
        <tr r="I129" s="1"/>
      </tp>
      <tp t="s">
        <v>A janela foi fechada</v>
        <stp/>
        <stp>T&amp;T2</stp>
        <stp>QUL</stp>
        <stp>122</stp>
        <tr r="C130" s="1"/>
      </tp>
      <tp t="s">
        <v>A janela foi fechada</v>
        <stp/>
        <stp>T&amp;T1</stp>
        <stp>QUL</stp>
        <stp>120</stp>
        <tr r="I128" s="1"/>
      </tp>
      <tp t="s">
        <v>A janela foi fechada</v>
        <stp/>
        <stp>T&amp;T2</stp>
        <stp>QUL</stp>
        <stp>123</stp>
        <tr r="C131" s="1"/>
      </tp>
      <tp t="s">
        <v>A janela foi fechada</v>
        <stp/>
        <stp>T&amp;T1</stp>
        <stp>QUL</stp>
        <stp>123</stp>
        <tr r="I131" s="1"/>
      </tp>
      <tp t="s">
        <v>A janela foi fechada</v>
        <stp/>
        <stp>T&amp;T2</stp>
        <stp>QUL</stp>
        <stp>120</stp>
        <tr r="C128" s="1"/>
      </tp>
      <tp t="s">
        <v>A janela foi fechada</v>
        <stp/>
        <stp>T&amp;T1</stp>
        <stp>QUL</stp>
        <stp>122</stp>
        <tr r="I130" s="1"/>
      </tp>
      <tp t="s">
        <v>A janela foi fechada</v>
        <stp/>
        <stp>T&amp;T2</stp>
        <stp>QUL</stp>
        <stp>121</stp>
        <tr r="C129" s="1"/>
      </tp>
      <tp t="s">
        <v>A janela foi fechada</v>
        <stp/>
        <stp>T&amp;T1</stp>
        <stp>QUL</stp>
        <stp>125</stp>
        <tr r="I133" s="1"/>
      </tp>
      <tp t="s">
        <v>A janela foi fechada</v>
        <stp/>
        <stp>T&amp;T2</stp>
        <stp>QUL</stp>
        <stp>126</stp>
        <tr r="C134" s="1"/>
      </tp>
      <tp t="s">
        <v>A janela foi fechada</v>
        <stp/>
        <stp>T&amp;T1</stp>
        <stp>QUL</stp>
        <stp>124</stp>
        <tr r="I132" s="1"/>
      </tp>
      <tp t="s">
        <v>A janela foi fechada</v>
        <stp/>
        <stp>T&amp;T2</stp>
        <stp>QUL</stp>
        <stp>127</stp>
        <tr r="C135" s="1"/>
      </tp>
      <tp t="s">
        <v>A janela foi fechada</v>
        <stp/>
        <stp>T&amp;T1</stp>
        <stp>QUL</stp>
        <stp>127</stp>
        <tr r="I135" s="1"/>
      </tp>
      <tp t="s">
        <v>A janela foi fechada</v>
        <stp/>
        <stp>T&amp;T2</stp>
        <stp>QUL</stp>
        <stp>124</stp>
        <tr r="C132" s="1"/>
      </tp>
      <tp t="s">
        <v>A janela foi fechada</v>
        <stp/>
        <stp>T&amp;T1</stp>
        <stp>QUL</stp>
        <stp>126</stp>
        <tr r="I134" s="1"/>
      </tp>
      <tp t="s">
        <v>A janela foi fechada</v>
        <stp/>
        <stp>T&amp;T2</stp>
        <stp>QUL</stp>
        <stp>125</stp>
        <tr r="C133" s="1"/>
      </tp>
      <tp t="s">
        <v>A janela foi fechada</v>
        <stp/>
        <stp>T&amp;T1</stp>
        <stp>QUL</stp>
        <stp>159</stp>
        <tr r="I167" s="1"/>
      </tp>
      <tp t="s">
        <v>A janela foi fechada</v>
        <stp/>
        <stp>T&amp;T1</stp>
        <stp>QUL</stp>
        <stp>158</stp>
        <tr r="I166" s="1"/>
      </tp>
      <tp t="s">
        <v>A janela foi fechada</v>
        <stp/>
        <stp>T&amp;T2</stp>
        <stp>QUL</stp>
        <stp>158</stp>
        <tr r="C166" s="1"/>
      </tp>
      <tp t="s">
        <v>A janela foi fechada</v>
        <stp/>
        <stp>T&amp;T2</stp>
        <stp>QUL</stp>
        <stp>159</stp>
        <tr r="C167" s="1"/>
      </tp>
      <tp t="s">
        <v>A janela foi fechada</v>
        <stp/>
        <stp>T&amp;T1</stp>
        <stp>QUL</stp>
        <stp>151</stp>
        <tr r="I159" s="1"/>
      </tp>
      <tp t="s">
        <v>A janela foi fechada</v>
        <stp/>
        <stp>T&amp;T2</stp>
        <stp>QUL</stp>
        <stp>152</stp>
        <tr r="C160" s="1"/>
      </tp>
      <tp t="s">
        <v>A janela foi fechada</v>
        <stp/>
        <stp>T&amp;T1</stp>
        <stp>QUL</stp>
        <stp>150</stp>
        <tr r="I158" s="1"/>
      </tp>
      <tp t="s">
        <v>A janela foi fechada</v>
        <stp/>
        <stp>T&amp;T2</stp>
        <stp>QUL</stp>
        <stp>153</stp>
        <tr r="C161" s="1"/>
      </tp>
      <tp t="s">
        <v>A janela foi fechada</v>
        <stp/>
        <stp>T&amp;T1</stp>
        <stp>QUL</stp>
        <stp>153</stp>
        <tr r="I161" s="1"/>
      </tp>
      <tp t="s">
        <v>A janela foi fechada</v>
        <stp/>
        <stp>T&amp;T2</stp>
        <stp>QUL</stp>
        <stp>150</stp>
        <tr r="C158" s="1"/>
      </tp>
      <tp t="s">
        <v>A janela foi fechada</v>
        <stp/>
        <stp>T&amp;T1</stp>
        <stp>QUL</stp>
        <stp>152</stp>
        <tr r="I160" s="1"/>
      </tp>
      <tp t="s">
        <v>A janela foi fechada</v>
        <stp/>
        <stp>T&amp;T2</stp>
        <stp>QUL</stp>
        <stp>151</stp>
        <tr r="C159" s="1"/>
      </tp>
      <tp t="s">
        <v>A janela foi fechada</v>
        <stp/>
        <stp>T&amp;T1</stp>
        <stp>QUL</stp>
        <stp>155</stp>
        <tr r="I163" s="1"/>
      </tp>
      <tp t="s">
        <v>A janela foi fechada</v>
        <stp/>
        <stp>T&amp;T2</stp>
        <stp>QUL</stp>
        <stp>156</stp>
        <tr r="C164" s="1"/>
      </tp>
      <tp t="s">
        <v>A janela foi fechada</v>
        <stp/>
        <stp>T&amp;T1</stp>
        <stp>QUL</stp>
        <stp>154</stp>
        <tr r="I162" s="1"/>
      </tp>
      <tp t="s">
        <v>A janela foi fechada</v>
        <stp/>
        <stp>T&amp;T2</stp>
        <stp>QUL</stp>
        <stp>157</stp>
        <tr r="C165" s="1"/>
      </tp>
      <tp t="s">
        <v>A janela foi fechada</v>
        <stp/>
        <stp>T&amp;T1</stp>
        <stp>QUL</stp>
        <stp>157</stp>
        <tr r="I165" s="1"/>
      </tp>
      <tp t="s">
        <v>A janela foi fechada</v>
        <stp/>
        <stp>T&amp;T2</stp>
        <stp>QUL</stp>
        <stp>154</stp>
        <tr r="C162" s="1"/>
      </tp>
      <tp t="s">
        <v>A janela foi fechada</v>
        <stp/>
        <stp>T&amp;T1</stp>
        <stp>QUL</stp>
        <stp>156</stp>
        <tr r="I164" s="1"/>
      </tp>
      <tp t="s">
        <v>A janela foi fechada</v>
        <stp/>
        <stp>T&amp;T2</stp>
        <stp>QUL</stp>
        <stp>155</stp>
        <tr r="C163" s="1"/>
      </tp>
      <tp t="s">
        <v>A janela foi fechada</v>
        <stp/>
        <stp>T&amp;T1</stp>
        <stp>QUL</stp>
        <stp>149</stp>
        <tr r="I157" s="1"/>
      </tp>
      <tp t="s">
        <v>A janela foi fechada</v>
        <stp/>
        <stp>T&amp;T1</stp>
        <stp>QUL</stp>
        <stp>148</stp>
        <tr r="I156" s="1"/>
      </tp>
      <tp t="s">
        <v>A janela foi fechada</v>
        <stp/>
        <stp>T&amp;T2</stp>
        <stp>QUL</stp>
        <stp>148</stp>
        <tr r="C156" s="1"/>
      </tp>
      <tp t="s">
        <v>A janela foi fechada</v>
        <stp/>
        <stp>T&amp;T2</stp>
        <stp>QUL</stp>
        <stp>149</stp>
        <tr r="C157" s="1"/>
      </tp>
      <tp t="s">
        <v>A janela foi fechada</v>
        <stp/>
        <stp>T&amp;T1</stp>
        <stp>QUL</stp>
        <stp>141</stp>
        <tr r="I149" s="1"/>
      </tp>
      <tp t="s">
        <v>A janela foi fechada</v>
        <stp/>
        <stp>T&amp;T2</stp>
        <stp>QUL</stp>
        <stp>142</stp>
        <tr r="C150" s="1"/>
      </tp>
      <tp t="s">
        <v>A janela foi fechada</v>
        <stp/>
        <stp>T&amp;T1</stp>
        <stp>QUL</stp>
        <stp>140</stp>
        <tr r="I148" s="1"/>
      </tp>
      <tp t="s">
        <v>A janela foi fechada</v>
        <stp/>
        <stp>T&amp;T2</stp>
        <stp>QUL</stp>
        <stp>143</stp>
        <tr r="C151" s="1"/>
      </tp>
      <tp t="s">
        <v>A janela foi fechada</v>
        <stp/>
        <stp>T&amp;T1</stp>
        <stp>QUL</stp>
        <stp>143</stp>
        <tr r="I151" s="1"/>
      </tp>
      <tp t="s">
        <v>A janela foi fechada</v>
        <stp/>
        <stp>T&amp;T2</stp>
        <stp>QUL</stp>
        <stp>140</stp>
        <tr r="C148" s="1"/>
      </tp>
      <tp t="s">
        <v>A janela foi fechada</v>
        <stp/>
        <stp>T&amp;T1</stp>
        <stp>QUL</stp>
        <stp>142</stp>
        <tr r="I150" s="1"/>
      </tp>
      <tp t="s">
        <v>A janela foi fechada</v>
        <stp/>
        <stp>T&amp;T2</stp>
        <stp>QUL</stp>
        <stp>141</stp>
        <tr r="C149" s="1"/>
      </tp>
      <tp t="s">
        <v>A janela foi fechada</v>
        <stp/>
        <stp>T&amp;T1</stp>
        <stp>QUL</stp>
        <stp>145</stp>
        <tr r="I153" s="1"/>
      </tp>
      <tp t="s">
        <v>A janela foi fechada</v>
        <stp/>
        <stp>T&amp;T2</stp>
        <stp>QUL</stp>
        <stp>146</stp>
        <tr r="C154" s="1"/>
      </tp>
      <tp t="s">
        <v>A janela foi fechada</v>
        <stp/>
        <stp>T&amp;T1</stp>
        <stp>QUL</stp>
        <stp>144</stp>
        <tr r="I152" s="1"/>
      </tp>
      <tp t="s">
        <v>A janela foi fechada</v>
        <stp/>
        <stp>T&amp;T2</stp>
        <stp>QUL</stp>
        <stp>147</stp>
        <tr r="C155" s="1"/>
      </tp>
      <tp t="s">
        <v>A janela foi fechada</v>
        <stp/>
        <stp>T&amp;T1</stp>
        <stp>QUL</stp>
        <stp>147</stp>
        <tr r="I155" s="1"/>
      </tp>
      <tp t="s">
        <v>A janela foi fechada</v>
        <stp/>
        <stp>T&amp;T2</stp>
        <stp>QUL</stp>
        <stp>144</stp>
        <tr r="C152" s="1"/>
      </tp>
      <tp t="s">
        <v>A janela foi fechada</v>
        <stp/>
        <stp>T&amp;T1</stp>
        <stp>QUL</stp>
        <stp>146</stp>
        <tr r="I154" s="1"/>
      </tp>
      <tp t="s">
        <v>A janela foi fechada</v>
        <stp/>
        <stp>T&amp;T2</stp>
        <stp>QUL</stp>
        <stp>145</stp>
        <tr r="C153" s="1"/>
      </tp>
      <tp t="s">
        <v>A janela foi fechada</v>
        <stp/>
        <stp>T&amp;T1</stp>
        <stp>QUL</stp>
        <stp>179</stp>
        <tr r="I187" s="1"/>
      </tp>
      <tp t="s">
        <v>A janela foi fechada</v>
        <stp/>
        <stp>T&amp;T1</stp>
        <stp>QUL</stp>
        <stp>178</stp>
        <tr r="I186" s="1"/>
      </tp>
      <tp t="s">
        <v>A janela foi fechada</v>
        <stp/>
        <stp>T&amp;T2</stp>
        <stp>QUL</stp>
        <stp>178</stp>
        <tr r="C186" s="1"/>
      </tp>
      <tp t="s">
        <v>A janela foi fechada</v>
        <stp/>
        <stp>T&amp;T2</stp>
        <stp>QUL</stp>
        <stp>179</stp>
        <tr r="C187" s="1"/>
      </tp>
      <tp t="s">
        <v>A janela foi fechada</v>
        <stp/>
        <stp>T&amp;T1</stp>
        <stp>QUL</stp>
        <stp>171</stp>
        <tr r="I179" s="1"/>
      </tp>
      <tp t="s">
        <v>A janela foi fechada</v>
        <stp/>
        <stp>T&amp;T2</stp>
        <stp>QUL</stp>
        <stp>172</stp>
        <tr r="C180" s="1"/>
      </tp>
      <tp t="s">
        <v>A janela foi fechada</v>
        <stp/>
        <stp>T&amp;T1</stp>
        <stp>QUL</stp>
        <stp>170</stp>
        <tr r="I178" s="1"/>
      </tp>
      <tp t="s">
        <v>A janela foi fechada</v>
        <stp/>
        <stp>T&amp;T2</stp>
        <stp>QUL</stp>
        <stp>173</stp>
        <tr r="C181" s="1"/>
      </tp>
      <tp t="s">
        <v>A janela foi fechada</v>
        <stp/>
        <stp>T&amp;T1</stp>
        <stp>QUL</stp>
        <stp>173</stp>
        <tr r="I181" s="1"/>
      </tp>
      <tp t="s">
        <v>A janela foi fechada</v>
        <stp/>
        <stp>T&amp;T2</stp>
        <stp>QUL</stp>
        <stp>170</stp>
        <tr r="C178" s="1"/>
      </tp>
      <tp t="s">
        <v>A janela foi fechada</v>
        <stp/>
        <stp>T&amp;T1</stp>
        <stp>QUL</stp>
        <stp>172</stp>
        <tr r="I180" s="1"/>
      </tp>
      <tp t="s">
        <v>A janela foi fechada</v>
        <stp/>
        <stp>T&amp;T2</stp>
        <stp>QUL</stp>
        <stp>171</stp>
        <tr r="C179" s="1"/>
      </tp>
      <tp t="s">
        <v>A janela foi fechada</v>
        <stp/>
        <stp>T&amp;T1</stp>
        <stp>QUL</stp>
        <stp>175</stp>
        <tr r="I183" s="1"/>
      </tp>
      <tp t="s">
        <v>A janela foi fechada</v>
        <stp/>
        <stp>T&amp;T2</stp>
        <stp>QUL</stp>
        <stp>176</stp>
        <tr r="C184" s="1"/>
      </tp>
      <tp t="s">
        <v>A janela foi fechada</v>
        <stp/>
        <stp>T&amp;T1</stp>
        <stp>QUL</stp>
        <stp>174</stp>
        <tr r="I182" s="1"/>
      </tp>
      <tp t="s">
        <v>A janela foi fechada</v>
        <stp/>
        <stp>T&amp;T2</stp>
        <stp>QUL</stp>
        <stp>177</stp>
        <tr r="C185" s="1"/>
      </tp>
      <tp t="s">
        <v>A janela foi fechada</v>
        <stp/>
        <stp>T&amp;T1</stp>
        <stp>QUL</stp>
        <stp>177</stp>
        <tr r="I185" s="1"/>
      </tp>
      <tp t="s">
        <v>A janela foi fechada</v>
        <stp/>
        <stp>T&amp;T2</stp>
        <stp>QUL</stp>
        <stp>174</stp>
        <tr r="C182" s="1"/>
      </tp>
      <tp t="s">
        <v>A janela foi fechada</v>
        <stp/>
        <stp>T&amp;T1</stp>
        <stp>QUL</stp>
        <stp>176</stp>
        <tr r="I184" s="1"/>
      </tp>
      <tp t="s">
        <v>A janela foi fechada</v>
        <stp/>
        <stp>T&amp;T2</stp>
        <stp>QUL</stp>
        <stp>175</stp>
        <tr r="C183" s="1"/>
      </tp>
      <tp t="s">
        <v>A janela foi fechada</v>
        <stp/>
        <stp>T&amp;T1</stp>
        <stp>QUL</stp>
        <stp>169</stp>
        <tr r="I177" s="1"/>
      </tp>
      <tp t="s">
        <v>A janela foi fechada</v>
        <stp/>
        <stp>T&amp;T1</stp>
        <stp>QUL</stp>
        <stp>168</stp>
        <tr r="I176" s="1"/>
      </tp>
      <tp t="s">
        <v>A janela foi fechada</v>
        <stp/>
        <stp>T&amp;T2</stp>
        <stp>QUL</stp>
        <stp>168</stp>
        <tr r="C176" s="1"/>
      </tp>
      <tp t="s">
        <v>A janela foi fechada</v>
        <stp/>
        <stp>T&amp;T2</stp>
        <stp>QUL</stp>
        <stp>169</stp>
        <tr r="C177" s="1"/>
      </tp>
      <tp t="s">
        <v>A janela foi fechada</v>
        <stp/>
        <stp>T&amp;T1</stp>
        <stp>QUL</stp>
        <stp>161</stp>
        <tr r="I169" s="1"/>
      </tp>
      <tp t="s">
        <v>A janela foi fechada</v>
        <stp/>
        <stp>T&amp;T2</stp>
        <stp>QUL</stp>
        <stp>162</stp>
        <tr r="C170" s="1"/>
      </tp>
      <tp t="s">
        <v>A janela foi fechada</v>
        <stp/>
        <stp>T&amp;T1</stp>
        <stp>QUL</stp>
        <stp>160</stp>
        <tr r="I168" s="1"/>
      </tp>
      <tp t="s">
        <v>A janela foi fechada</v>
        <stp/>
        <stp>T&amp;T2</stp>
        <stp>QUL</stp>
        <stp>163</stp>
        <tr r="C171" s="1"/>
      </tp>
      <tp t="s">
        <v>A janela foi fechada</v>
        <stp/>
        <stp>T&amp;T1</stp>
        <stp>QUL</stp>
        <stp>163</stp>
        <tr r="I171" s="1"/>
      </tp>
      <tp t="s">
        <v>A janela foi fechada</v>
        <stp/>
        <stp>T&amp;T2</stp>
        <stp>QUL</stp>
        <stp>160</stp>
        <tr r="C168" s="1"/>
      </tp>
      <tp t="s">
        <v>A janela foi fechada</v>
        <stp/>
        <stp>T&amp;T1</stp>
        <stp>QUL</stp>
        <stp>162</stp>
        <tr r="I170" s="1"/>
      </tp>
      <tp t="s">
        <v>A janela foi fechada</v>
        <stp/>
        <stp>T&amp;T2</stp>
        <stp>QUL</stp>
        <stp>161</stp>
        <tr r="C169" s="1"/>
      </tp>
      <tp t="s">
        <v>A janela foi fechada</v>
        <stp/>
        <stp>T&amp;T1</stp>
        <stp>QUL</stp>
        <stp>165</stp>
        <tr r="I173" s="1"/>
      </tp>
      <tp t="s">
        <v>A janela foi fechada</v>
        <stp/>
        <stp>T&amp;T2</stp>
        <stp>QUL</stp>
        <stp>166</stp>
        <tr r="C174" s="1"/>
      </tp>
      <tp t="s">
        <v>A janela foi fechada</v>
        <stp/>
        <stp>T&amp;T1</stp>
        <stp>QUL</stp>
        <stp>164</stp>
        <tr r="I172" s="1"/>
      </tp>
      <tp t="s">
        <v>A janela foi fechada</v>
        <stp/>
        <stp>T&amp;T2</stp>
        <stp>QUL</stp>
        <stp>167</stp>
        <tr r="C175" s="1"/>
      </tp>
      <tp t="s">
        <v>A janela foi fechada</v>
        <stp/>
        <stp>T&amp;T1</stp>
        <stp>QUL</stp>
        <stp>167</stp>
        <tr r="I175" s="1"/>
      </tp>
      <tp t="s">
        <v>A janela foi fechada</v>
        <stp/>
        <stp>T&amp;T2</stp>
        <stp>QUL</stp>
        <stp>164</stp>
        <tr r="C172" s="1"/>
      </tp>
      <tp t="s">
        <v>A janela foi fechada</v>
        <stp/>
        <stp>T&amp;T1</stp>
        <stp>QUL</stp>
        <stp>166</stp>
        <tr r="I174" s="1"/>
      </tp>
      <tp t="s">
        <v>A janela foi fechada</v>
        <stp/>
        <stp>T&amp;T2</stp>
        <stp>QUL</stp>
        <stp>165</stp>
        <tr r="C173" s="1"/>
      </tp>
      <tp t="s">
        <v>28.315,83</v>
        <stp/>
        <stp>NQM6_M_0</stp>
        <stp>67</stp>
        <tr r="K2" s="1"/>
      </tp>
      <tp t="s">
        <v>A janela foi fechada</v>
        <stp/>
        <stp>T&amp;T1</stp>
        <stp>PRE</stp>
        <stp>180</stp>
        <tr r="H188" s="1"/>
      </tp>
      <tp t="s">
        <v>A janela foi fechada</v>
        <stp/>
        <stp>T&amp;T2</stp>
        <stp>PRE</stp>
        <stp>183</stp>
        <tr r="B191" s="1"/>
      </tp>
      <tp t="s">
        <v>A janela foi fechada</v>
        <stp/>
        <stp>T&amp;T1</stp>
        <stp>PRE</stp>
        <stp>181</stp>
        <tr r="H189" s="1"/>
      </tp>
      <tp t="s">
        <v>A janela foi fechada</v>
        <stp/>
        <stp>T&amp;T2</stp>
        <stp>PRE</stp>
        <stp>182</stp>
        <tr r="B190" s="1"/>
      </tp>
      <tp t="s">
        <v>A janela foi fechada</v>
        <stp/>
        <stp>T&amp;T1</stp>
        <stp>PRE</stp>
        <stp>182</stp>
        <tr r="H190" s="1"/>
      </tp>
      <tp t="s">
        <v>A janela foi fechada</v>
        <stp/>
        <stp>T&amp;T2</stp>
        <stp>PRE</stp>
        <stp>181</stp>
        <tr r="B189" s="1"/>
      </tp>
      <tp t="s">
        <v>A janela foi fechada</v>
        <stp/>
        <stp>T&amp;T1</stp>
        <stp>PRE</stp>
        <stp>183</stp>
        <tr r="H191" s="1"/>
      </tp>
      <tp t="s">
        <v>A janela foi fechada</v>
        <stp/>
        <stp>T&amp;T2</stp>
        <stp>PRE</stp>
        <stp>180</stp>
        <tr r="B188" s="1"/>
      </tp>
      <tp t="s">
        <v>A janela foi fechada</v>
        <stp/>
        <stp>T&amp;T1</stp>
        <stp>PRE</stp>
        <stp>184</stp>
        <tr r="H192" s="1"/>
      </tp>
      <tp t="s">
        <v>A janela foi fechada</v>
        <stp/>
        <stp>T&amp;T2</stp>
        <stp>PRE</stp>
        <stp>187</stp>
        <tr r="B195" s="1"/>
      </tp>
      <tp t="s">
        <v>A janela foi fechada</v>
        <stp/>
        <stp>T&amp;T1</stp>
        <stp>PRE</stp>
        <stp>185</stp>
        <tr r="H193" s="1"/>
      </tp>
      <tp t="s">
        <v>A janela foi fechada</v>
        <stp/>
        <stp>T&amp;T2</stp>
        <stp>PRE</stp>
        <stp>186</stp>
        <tr r="B194" s="1"/>
      </tp>
      <tp t="s">
        <v>A janela foi fechada</v>
        <stp/>
        <stp>T&amp;T1</stp>
        <stp>PRE</stp>
        <stp>186</stp>
        <tr r="H194" s="1"/>
      </tp>
      <tp t="s">
        <v>A janela foi fechada</v>
        <stp/>
        <stp>T&amp;T2</stp>
        <stp>PRE</stp>
        <stp>185</stp>
        <tr r="B193" s="1"/>
      </tp>
      <tp t="s">
        <v>A janela foi fechada</v>
        <stp/>
        <stp>T&amp;T1</stp>
        <stp>PRE</stp>
        <stp>187</stp>
        <tr r="H195" s="1"/>
      </tp>
      <tp t="s">
        <v>A janela foi fechada</v>
        <stp/>
        <stp>T&amp;T2</stp>
        <stp>PRE</stp>
        <stp>184</stp>
        <tr r="B192" s="1"/>
      </tp>
      <tp t="s">
        <v>A janela foi fechada</v>
        <stp/>
        <stp>T&amp;T1</stp>
        <stp>PRE</stp>
        <stp>188</stp>
        <tr r="H196" s="1"/>
      </tp>
      <tp t="s">
        <v>A janela foi fechada</v>
        <stp/>
        <stp>T&amp;T1</stp>
        <stp>PRE</stp>
        <stp>189</stp>
        <tr r="H197" s="1"/>
      </tp>
      <tp t="s">
        <v>A janela foi fechada</v>
        <stp/>
        <stp>T&amp;T2</stp>
        <stp>PRE</stp>
        <stp>189</stp>
        <tr r="B197" s="1"/>
      </tp>
      <tp t="s">
        <v>A janela foi fechada</v>
        <stp/>
        <stp>T&amp;T2</stp>
        <stp>PRE</stp>
        <stp>188</stp>
        <tr r="B196" s="1"/>
      </tp>
      <tp t="s">
        <v>A janela foi fechada</v>
        <stp/>
        <stp>T&amp;T1</stp>
        <stp>PRE</stp>
        <stp>190</stp>
        <tr r="H198" s="1"/>
      </tp>
      <tp t="s">
        <v>A janela foi fechada</v>
        <stp/>
        <stp>T&amp;T2</stp>
        <stp>PRE</stp>
        <stp>193</stp>
        <tr r="B201" s="1"/>
      </tp>
      <tp t="s">
        <v>A janela foi fechada</v>
        <stp/>
        <stp>T&amp;T1</stp>
        <stp>PRE</stp>
        <stp>191</stp>
        <tr r="H199" s="1"/>
      </tp>
      <tp t="s">
        <v>A janela foi fechada</v>
        <stp/>
        <stp>T&amp;T2</stp>
        <stp>PRE</stp>
        <stp>192</stp>
        <tr r="B200" s="1"/>
      </tp>
      <tp t="s">
        <v>A janela foi fechada</v>
        <stp/>
        <stp>T&amp;T1</stp>
        <stp>PRE</stp>
        <stp>192</stp>
        <tr r="H200" s="1"/>
      </tp>
      <tp t="s">
        <v>A janela foi fechada</v>
        <stp/>
        <stp>T&amp;T2</stp>
        <stp>PRE</stp>
        <stp>191</stp>
        <tr r="B199" s="1"/>
      </tp>
      <tp t="s">
        <v>A janela foi fechada</v>
        <stp/>
        <stp>T&amp;T1</stp>
        <stp>PRE</stp>
        <stp>193</stp>
        <tr r="H201" s="1"/>
      </tp>
      <tp t="s">
        <v>A janela foi fechada</v>
        <stp/>
        <stp>T&amp;T2</stp>
        <stp>PRE</stp>
        <stp>190</stp>
        <tr r="B198" s="1"/>
      </tp>
      <tp t="s">
        <v>A janela foi fechada</v>
        <stp/>
        <stp>T&amp;T1</stp>
        <stp>PRE</stp>
        <stp>194</stp>
        <tr r="H202" s="1"/>
      </tp>
      <tp t="s">
        <v>A janela foi fechada</v>
        <stp/>
        <stp>T&amp;T2</stp>
        <stp>PRE</stp>
        <stp>197</stp>
        <tr r="B205" s="1"/>
      </tp>
      <tp t="s">
        <v>A janela foi fechada</v>
        <stp/>
        <stp>T&amp;T1</stp>
        <stp>PRE</stp>
        <stp>195</stp>
        <tr r="H203" s="1"/>
      </tp>
      <tp t="s">
        <v>A janela foi fechada</v>
        <stp/>
        <stp>T&amp;T2</stp>
        <stp>PRE</stp>
        <stp>196</stp>
        <tr r="B204" s="1"/>
      </tp>
      <tp t="s">
        <v>A janela foi fechada</v>
        <stp/>
        <stp>T&amp;T1</stp>
        <stp>PRE</stp>
        <stp>196</stp>
        <tr r="H204" s="1"/>
      </tp>
      <tp t="s">
        <v>A janela foi fechada</v>
        <stp/>
        <stp>T&amp;T2</stp>
        <stp>PRE</stp>
        <stp>195</stp>
        <tr r="B203" s="1"/>
      </tp>
      <tp t="s">
        <v>A janela foi fechada</v>
        <stp/>
        <stp>T&amp;T1</stp>
        <stp>PRE</stp>
        <stp>197</stp>
        <tr r="H205" s="1"/>
      </tp>
      <tp t="s">
        <v>A janela foi fechada</v>
        <stp/>
        <stp>T&amp;T2</stp>
        <stp>PRE</stp>
        <stp>194</stp>
        <tr r="B202" s="1"/>
      </tp>
      <tp t="s">
        <v>A janela foi fechada</v>
        <stp/>
        <stp>T&amp;T1</stp>
        <stp>PRE</stp>
        <stp>198</stp>
        <tr r="H206" s="1"/>
      </tp>
      <tp t="s">
        <v>A janela foi fechada</v>
        <stp/>
        <stp>T&amp;T1</stp>
        <stp>PRE</stp>
        <stp>199</stp>
        <tr r="H207" s="1"/>
      </tp>
      <tp t="s">
        <v>A janela foi fechada</v>
        <stp/>
        <stp>T&amp;T2</stp>
        <stp>PRE</stp>
        <stp>199</stp>
        <tr r="B207" s="1"/>
      </tp>
      <tp t="s">
        <v>A janela foi fechada</v>
        <stp/>
        <stp>T&amp;T2</stp>
        <stp>PRE</stp>
        <stp>198</stp>
        <tr r="B206" s="1"/>
      </tp>
      <tp t="s">
        <v>A janela foi fechada</v>
        <stp/>
        <stp>T&amp;T1</stp>
        <stp>PRE</stp>
        <stp>160</stp>
        <tr r="H168" s="1"/>
      </tp>
      <tp t="s">
        <v>A janela foi fechada</v>
        <stp/>
        <stp>T&amp;T2</stp>
        <stp>PRE</stp>
        <stp>163</stp>
        <tr r="B171" s="1"/>
      </tp>
      <tp t="s">
        <v>A janela foi fechada</v>
        <stp/>
        <stp>T&amp;T1</stp>
        <stp>PRE</stp>
        <stp>161</stp>
        <tr r="H169" s="1"/>
      </tp>
      <tp t="s">
        <v>A janela foi fechada</v>
        <stp/>
        <stp>T&amp;T2</stp>
        <stp>PRE</stp>
        <stp>162</stp>
        <tr r="B170" s="1"/>
      </tp>
      <tp t="s">
        <v>A janela foi fechada</v>
        <stp/>
        <stp>T&amp;T1</stp>
        <stp>PRE</stp>
        <stp>162</stp>
        <tr r="H170" s="1"/>
      </tp>
      <tp t="s">
        <v>A janela foi fechada</v>
        <stp/>
        <stp>T&amp;T2</stp>
        <stp>PRE</stp>
        <stp>161</stp>
        <tr r="B169" s="1"/>
      </tp>
      <tp t="s">
        <v>A janela foi fechada</v>
        <stp/>
        <stp>T&amp;T1</stp>
        <stp>PRE</stp>
        <stp>163</stp>
        <tr r="H171" s="1"/>
      </tp>
      <tp t="s">
        <v>A janela foi fechada</v>
        <stp/>
        <stp>T&amp;T2</stp>
        <stp>PRE</stp>
        <stp>160</stp>
        <tr r="B168" s="1"/>
      </tp>
      <tp t="s">
        <v>A janela foi fechada</v>
        <stp/>
        <stp>T&amp;T1</stp>
        <stp>PRE</stp>
        <stp>164</stp>
        <tr r="H172" s="1"/>
      </tp>
      <tp t="s">
        <v>A janela foi fechada</v>
        <stp/>
        <stp>T&amp;T2</stp>
        <stp>PRE</stp>
        <stp>167</stp>
        <tr r="B175" s="1"/>
      </tp>
      <tp t="s">
        <v>A janela foi fechada</v>
        <stp/>
        <stp>T&amp;T1</stp>
        <stp>PRE</stp>
        <stp>165</stp>
        <tr r="H173" s="1"/>
      </tp>
      <tp t="s">
        <v>A janela foi fechada</v>
        <stp/>
        <stp>T&amp;T2</stp>
        <stp>PRE</stp>
        <stp>166</stp>
        <tr r="B174" s="1"/>
      </tp>
      <tp t="s">
        <v>A janela foi fechada</v>
        <stp/>
        <stp>T&amp;T1</stp>
        <stp>PRE</stp>
        <stp>166</stp>
        <tr r="H174" s="1"/>
      </tp>
      <tp t="s">
        <v>A janela foi fechada</v>
        <stp/>
        <stp>T&amp;T2</stp>
        <stp>PRE</stp>
        <stp>165</stp>
        <tr r="B173" s="1"/>
      </tp>
      <tp t="s">
        <v>A janela foi fechada</v>
        <stp/>
        <stp>T&amp;T1</stp>
        <stp>PRE</stp>
        <stp>167</stp>
        <tr r="H175" s="1"/>
      </tp>
      <tp t="s">
        <v>A janela foi fechada</v>
        <stp/>
        <stp>T&amp;T2</stp>
        <stp>PRE</stp>
        <stp>164</stp>
        <tr r="B172" s="1"/>
      </tp>
      <tp t="s">
        <v>A janela foi fechada</v>
        <stp/>
        <stp>T&amp;T1</stp>
        <stp>PRE</stp>
        <stp>168</stp>
        <tr r="H176" s="1"/>
      </tp>
      <tp t="s">
        <v>A janela foi fechada</v>
        <stp/>
        <stp>T&amp;T1</stp>
        <stp>PRE</stp>
        <stp>169</stp>
        <tr r="H177" s="1"/>
      </tp>
      <tp t="s">
        <v>A janela foi fechada</v>
        <stp/>
        <stp>T&amp;T2</stp>
        <stp>PRE</stp>
        <stp>169</stp>
        <tr r="B177" s="1"/>
      </tp>
      <tp t="s">
        <v>A janela foi fechada</v>
        <stp/>
        <stp>T&amp;T2</stp>
        <stp>PRE</stp>
        <stp>168</stp>
        <tr r="B176" s="1"/>
      </tp>
      <tp t="s">
        <v>A janela foi fechada</v>
        <stp/>
        <stp>T&amp;T1</stp>
        <stp>PRE</stp>
        <stp>170</stp>
        <tr r="H178" s="1"/>
      </tp>
      <tp t="s">
        <v>A janela foi fechada</v>
        <stp/>
        <stp>T&amp;T2</stp>
        <stp>PRE</stp>
        <stp>173</stp>
        <tr r="B181" s="1"/>
      </tp>
      <tp t="s">
        <v>A janela foi fechada</v>
        <stp/>
        <stp>T&amp;T1</stp>
        <stp>PRE</stp>
        <stp>171</stp>
        <tr r="H179" s="1"/>
      </tp>
      <tp t="s">
        <v>A janela foi fechada</v>
        <stp/>
        <stp>T&amp;T2</stp>
        <stp>PRE</stp>
        <stp>172</stp>
        <tr r="B180" s="1"/>
      </tp>
      <tp t="s">
        <v>A janela foi fechada</v>
        <stp/>
        <stp>T&amp;T1</stp>
        <stp>PRE</stp>
        <stp>172</stp>
        <tr r="H180" s="1"/>
      </tp>
      <tp t="s">
        <v>A janela foi fechada</v>
        <stp/>
        <stp>T&amp;T2</stp>
        <stp>PRE</stp>
        <stp>171</stp>
        <tr r="B179" s="1"/>
      </tp>
      <tp t="s">
        <v>A janela foi fechada</v>
        <stp/>
        <stp>T&amp;T1</stp>
        <stp>PRE</stp>
        <stp>173</stp>
        <tr r="H181" s="1"/>
      </tp>
      <tp t="s">
        <v>A janela foi fechada</v>
        <stp/>
        <stp>T&amp;T2</stp>
        <stp>PRE</stp>
        <stp>170</stp>
        <tr r="B178" s="1"/>
      </tp>
      <tp t="s">
        <v>A janela foi fechada</v>
        <stp/>
        <stp>T&amp;T1</stp>
        <stp>PRE</stp>
        <stp>174</stp>
        <tr r="H182" s="1"/>
      </tp>
      <tp t="s">
        <v>A janela foi fechada</v>
        <stp/>
        <stp>T&amp;T2</stp>
        <stp>PRE</stp>
        <stp>177</stp>
        <tr r="B185" s="1"/>
      </tp>
      <tp t="s">
        <v>A janela foi fechada</v>
        <stp/>
        <stp>T&amp;T1</stp>
        <stp>PRE</stp>
        <stp>175</stp>
        <tr r="H183" s="1"/>
      </tp>
      <tp t="s">
        <v>A janela foi fechada</v>
        <stp/>
        <stp>T&amp;T2</stp>
        <stp>PRE</stp>
        <stp>176</stp>
        <tr r="B184" s="1"/>
      </tp>
      <tp t="s">
        <v>A janela foi fechada</v>
        <stp/>
        <stp>T&amp;T1</stp>
        <stp>PRE</stp>
        <stp>176</stp>
        <tr r="H184" s="1"/>
      </tp>
      <tp t="s">
        <v>A janela foi fechada</v>
        <stp/>
        <stp>T&amp;T2</stp>
        <stp>PRE</stp>
        <stp>175</stp>
        <tr r="B183" s="1"/>
      </tp>
      <tp t="s">
        <v>A janela foi fechada</v>
        <stp/>
        <stp>T&amp;T1</stp>
        <stp>PRE</stp>
        <stp>177</stp>
        <tr r="H185" s="1"/>
      </tp>
      <tp t="s">
        <v>A janela foi fechada</v>
        <stp/>
        <stp>T&amp;T2</stp>
        <stp>PRE</stp>
        <stp>174</stp>
        <tr r="B182" s="1"/>
      </tp>
      <tp t="s">
        <v>A janela foi fechada</v>
        <stp/>
        <stp>T&amp;T1</stp>
        <stp>PRE</stp>
        <stp>178</stp>
        <tr r="H186" s="1"/>
      </tp>
      <tp t="s">
        <v>A janela foi fechada</v>
        <stp/>
        <stp>T&amp;T1</stp>
        <stp>PRE</stp>
        <stp>179</stp>
        <tr r="H187" s="1"/>
      </tp>
      <tp t="s">
        <v>A janela foi fechada</v>
        <stp/>
        <stp>T&amp;T2</stp>
        <stp>PRE</stp>
        <stp>179</stp>
        <tr r="B187" s="1"/>
      </tp>
      <tp t="s">
        <v>A janela foi fechada</v>
        <stp/>
        <stp>T&amp;T2</stp>
        <stp>PRE</stp>
        <stp>178</stp>
        <tr r="B186" s="1"/>
      </tp>
      <tp t="s">
        <v>A janela foi fechada</v>
        <stp/>
        <stp>T&amp;T1</stp>
        <stp>PRE</stp>
        <stp>140</stp>
        <tr r="H148" s="1"/>
      </tp>
      <tp t="s">
        <v>A janela foi fechada</v>
        <stp/>
        <stp>T&amp;T2</stp>
        <stp>PRE</stp>
        <stp>143</stp>
        <tr r="B151" s="1"/>
      </tp>
      <tp t="s">
        <v>A janela foi fechada</v>
        <stp/>
        <stp>T&amp;T1</stp>
        <stp>PRE</stp>
        <stp>141</stp>
        <tr r="H149" s="1"/>
      </tp>
      <tp t="s">
        <v>A janela foi fechada</v>
        <stp/>
        <stp>T&amp;T2</stp>
        <stp>PRE</stp>
        <stp>142</stp>
        <tr r="B150" s="1"/>
      </tp>
      <tp t="s">
        <v>A janela foi fechada</v>
        <stp/>
        <stp>T&amp;T1</stp>
        <stp>PRE</stp>
        <stp>142</stp>
        <tr r="H150" s="1"/>
      </tp>
      <tp t="s">
        <v>A janela foi fechada</v>
        <stp/>
        <stp>T&amp;T2</stp>
        <stp>PRE</stp>
        <stp>141</stp>
        <tr r="B149" s="1"/>
      </tp>
      <tp t="s">
        <v>A janela foi fechada</v>
        <stp/>
        <stp>T&amp;T1</stp>
        <stp>PRE</stp>
        <stp>143</stp>
        <tr r="H151" s="1"/>
      </tp>
      <tp t="s">
        <v>A janela foi fechada</v>
        <stp/>
        <stp>T&amp;T2</stp>
        <stp>PRE</stp>
        <stp>140</stp>
        <tr r="B148" s="1"/>
      </tp>
      <tp t="s">
        <v>A janela foi fechada</v>
        <stp/>
        <stp>T&amp;T1</stp>
        <stp>PRE</stp>
        <stp>144</stp>
        <tr r="H152" s="1"/>
      </tp>
      <tp t="s">
        <v>A janela foi fechada</v>
        <stp/>
        <stp>T&amp;T2</stp>
        <stp>PRE</stp>
        <stp>147</stp>
        <tr r="B155" s="1"/>
      </tp>
      <tp t="s">
        <v>A janela foi fechada</v>
        <stp/>
        <stp>T&amp;T1</stp>
        <stp>PRE</stp>
        <stp>145</stp>
        <tr r="H153" s="1"/>
      </tp>
      <tp t="s">
        <v>A janela foi fechada</v>
        <stp/>
        <stp>T&amp;T2</stp>
        <stp>PRE</stp>
        <stp>146</stp>
        <tr r="B154" s="1"/>
      </tp>
      <tp t="s">
        <v>A janela foi fechada</v>
        <stp/>
        <stp>T&amp;T1</stp>
        <stp>PRE</stp>
        <stp>146</stp>
        <tr r="H154" s="1"/>
      </tp>
      <tp t="s">
        <v>A janela foi fechada</v>
        <stp/>
        <stp>T&amp;T2</stp>
        <stp>PRE</stp>
        <stp>145</stp>
        <tr r="B153" s="1"/>
      </tp>
      <tp t="s">
        <v>A janela foi fechada</v>
        <stp/>
        <stp>T&amp;T1</stp>
        <stp>PRE</stp>
        <stp>147</stp>
        <tr r="H155" s="1"/>
      </tp>
      <tp t="s">
        <v>A janela foi fechada</v>
        <stp/>
        <stp>T&amp;T2</stp>
        <stp>PRE</stp>
        <stp>144</stp>
        <tr r="B152" s="1"/>
      </tp>
      <tp t="s">
        <v>A janela foi fechada</v>
        <stp/>
        <stp>T&amp;T1</stp>
        <stp>PRE</stp>
        <stp>148</stp>
        <tr r="H156" s="1"/>
      </tp>
      <tp t="s">
        <v>A janela foi fechada</v>
        <stp/>
        <stp>T&amp;T1</stp>
        <stp>PRE</stp>
        <stp>149</stp>
        <tr r="H157" s="1"/>
      </tp>
      <tp t="s">
        <v>A janela foi fechada</v>
        <stp/>
        <stp>T&amp;T2</stp>
        <stp>PRE</stp>
        <stp>149</stp>
        <tr r="B157" s="1"/>
      </tp>
      <tp t="s">
        <v>A janela foi fechada</v>
        <stp/>
        <stp>T&amp;T2</stp>
        <stp>PRE</stp>
        <stp>148</stp>
        <tr r="B156" s="1"/>
      </tp>
      <tp t="s">
        <v>A janela foi fechada</v>
        <stp/>
        <stp>T&amp;T1</stp>
        <stp>PRE</stp>
        <stp>150</stp>
        <tr r="H158" s="1"/>
      </tp>
      <tp t="s">
        <v>A janela foi fechada</v>
        <stp/>
        <stp>T&amp;T2</stp>
        <stp>PRE</stp>
        <stp>153</stp>
        <tr r="B161" s="1"/>
      </tp>
      <tp t="s">
        <v>A janela foi fechada</v>
        <stp/>
        <stp>T&amp;T1</stp>
        <stp>PRE</stp>
        <stp>151</stp>
        <tr r="H159" s="1"/>
      </tp>
      <tp t="s">
        <v>A janela foi fechada</v>
        <stp/>
        <stp>T&amp;T2</stp>
        <stp>PRE</stp>
        <stp>152</stp>
        <tr r="B160" s="1"/>
      </tp>
      <tp t="s">
        <v>A janela foi fechada</v>
        <stp/>
        <stp>T&amp;T1</stp>
        <stp>PRE</stp>
        <stp>152</stp>
        <tr r="H160" s="1"/>
      </tp>
      <tp t="s">
        <v>A janela foi fechada</v>
        <stp/>
        <stp>T&amp;T2</stp>
        <stp>PRE</stp>
        <stp>151</stp>
        <tr r="B159" s="1"/>
      </tp>
      <tp t="s">
        <v>A janela foi fechada</v>
        <stp/>
        <stp>T&amp;T1</stp>
        <stp>PRE</stp>
        <stp>153</stp>
        <tr r="H161" s="1"/>
      </tp>
      <tp t="s">
        <v>A janela foi fechada</v>
        <stp/>
        <stp>T&amp;T2</stp>
        <stp>PRE</stp>
        <stp>150</stp>
        <tr r="B158" s="1"/>
      </tp>
      <tp t="s">
        <v>A janela foi fechada</v>
        <stp/>
        <stp>T&amp;T1</stp>
        <stp>PRE</stp>
        <stp>154</stp>
        <tr r="H162" s="1"/>
      </tp>
      <tp t="s">
        <v>A janela foi fechada</v>
        <stp/>
        <stp>T&amp;T2</stp>
        <stp>PRE</stp>
        <stp>157</stp>
        <tr r="B165" s="1"/>
      </tp>
      <tp t="s">
        <v>A janela foi fechada</v>
        <stp/>
        <stp>T&amp;T1</stp>
        <stp>PRE</stp>
        <stp>155</stp>
        <tr r="H163" s="1"/>
      </tp>
      <tp t="s">
        <v>A janela foi fechada</v>
        <stp/>
        <stp>T&amp;T2</stp>
        <stp>PRE</stp>
        <stp>156</stp>
        <tr r="B164" s="1"/>
      </tp>
      <tp t="s">
        <v>A janela foi fechada</v>
        <stp/>
        <stp>T&amp;T1</stp>
        <stp>PRE</stp>
        <stp>156</stp>
        <tr r="H164" s="1"/>
      </tp>
      <tp t="s">
        <v>A janela foi fechada</v>
        <stp/>
        <stp>T&amp;T2</stp>
        <stp>PRE</stp>
        <stp>155</stp>
        <tr r="B163" s="1"/>
      </tp>
      <tp t="s">
        <v>A janela foi fechada</v>
        <stp/>
        <stp>T&amp;T1</stp>
        <stp>PRE</stp>
        <stp>157</stp>
        <tr r="H165" s="1"/>
      </tp>
      <tp t="s">
        <v>A janela foi fechada</v>
        <stp/>
        <stp>T&amp;T2</stp>
        <stp>PRE</stp>
        <stp>154</stp>
        <tr r="B162" s="1"/>
      </tp>
      <tp t="s">
        <v>A janela foi fechada</v>
        <stp/>
        <stp>T&amp;T1</stp>
        <stp>PRE</stp>
        <stp>158</stp>
        <tr r="H166" s="1"/>
      </tp>
      <tp t="s">
        <v>A janela foi fechada</v>
        <stp/>
        <stp>T&amp;T1</stp>
        <stp>PRE</stp>
        <stp>159</stp>
        <tr r="H167" s="1"/>
      </tp>
      <tp t="s">
        <v>A janela foi fechada</v>
        <stp/>
        <stp>T&amp;T2</stp>
        <stp>PRE</stp>
        <stp>159</stp>
        <tr r="B167" s="1"/>
      </tp>
      <tp t="s">
        <v>A janela foi fechada</v>
        <stp/>
        <stp>T&amp;T2</stp>
        <stp>PRE</stp>
        <stp>158</stp>
        <tr r="B166" s="1"/>
      </tp>
      <tp t="s">
        <v>A janela foi fechada</v>
        <stp/>
        <stp>T&amp;T1</stp>
        <stp>PRE</stp>
        <stp>120</stp>
        <tr r="H128" s="1"/>
      </tp>
      <tp t="s">
        <v>A janela foi fechada</v>
        <stp/>
        <stp>T&amp;T2</stp>
        <stp>PRE</stp>
        <stp>123</stp>
        <tr r="B131" s="1"/>
      </tp>
      <tp t="s">
        <v>A janela foi fechada</v>
        <stp/>
        <stp>T&amp;T1</stp>
        <stp>PRE</stp>
        <stp>121</stp>
        <tr r="H129" s="1"/>
      </tp>
      <tp t="s">
        <v>A janela foi fechada</v>
        <stp/>
        <stp>T&amp;T2</stp>
        <stp>PRE</stp>
        <stp>122</stp>
        <tr r="B130" s="1"/>
      </tp>
      <tp t="s">
        <v>A janela foi fechada</v>
        <stp/>
        <stp>T&amp;T1</stp>
        <stp>PRE</stp>
        <stp>122</stp>
        <tr r="H130" s="1"/>
      </tp>
      <tp t="s">
        <v>A janela foi fechada</v>
        <stp/>
        <stp>T&amp;T2</stp>
        <stp>PRE</stp>
        <stp>121</stp>
        <tr r="B129" s="1"/>
      </tp>
      <tp t="s">
        <v>A janela foi fechada</v>
        <stp/>
        <stp>T&amp;T1</stp>
        <stp>PRE</stp>
        <stp>123</stp>
        <tr r="H131" s="1"/>
      </tp>
      <tp t="s">
        <v>A janela foi fechada</v>
        <stp/>
        <stp>T&amp;T2</stp>
        <stp>PRE</stp>
        <stp>120</stp>
        <tr r="B128" s="1"/>
      </tp>
      <tp t="s">
        <v>A janela foi fechada</v>
        <stp/>
        <stp>T&amp;T1</stp>
        <stp>PRE</stp>
        <stp>124</stp>
        <tr r="H132" s="1"/>
      </tp>
      <tp t="s">
        <v>A janela foi fechada</v>
        <stp/>
        <stp>T&amp;T2</stp>
        <stp>PRE</stp>
        <stp>127</stp>
        <tr r="B135" s="1"/>
      </tp>
      <tp t="s">
        <v>A janela foi fechada</v>
        <stp/>
        <stp>T&amp;T1</stp>
        <stp>PRE</stp>
        <stp>125</stp>
        <tr r="H133" s="1"/>
      </tp>
      <tp t="s">
        <v>A janela foi fechada</v>
        <stp/>
        <stp>T&amp;T2</stp>
        <stp>PRE</stp>
        <stp>126</stp>
        <tr r="B134" s="1"/>
      </tp>
      <tp t="s">
        <v>A janela foi fechada</v>
        <stp/>
        <stp>T&amp;T1</stp>
        <stp>PRE</stp>
        <stp>126</stp>
        <tr r="H134" s="1"/>
      </tp>
      <tp t="s">
        <v>A janela foi fechada</v>
        <stp/>
        <stp>T&amp;T2</stp>
        <stp>PRE</stp>
        <stp>125</stp>
        <tr r="B133" s="1"/>
      </tp>
      <tp t="s">
        <v>A janela foi fechada</v>
        <stp/>
        <stp>T&amp;T1</stp>
        <stp>PRE</stp>
        <stp>127</stp>
        <tr r="H135" s="1"/>
      </tp>
      <tp t="s">
        <v>A janela foi fechada</v>
        <stp/>
        <stp>T&amp;T2</stp>
        <stp>PRE</stp>
        <stp>124</stp>
        <tr r="B132" s="1"/>
      </tp>
      <tp t="s">
        <v>A janela foi fechada</v>
        <stp/>
        <stp>T&amp;T1</stp>
        <stp>PRE</stp>
        <stp>128</stp>
        <tr r="H136" s="1"/>
      </tp>
      <tp t="s">
        <v>A janela foi fechada</v>
        <stp/>
        <stp>T&amp;T1</stp>
        <stp>PRE</stp>
        <stp>129</stp>
        <tr r="H137" s="1"/>
      </tp>
      <tp t="s">
        <v>A janela foi fechada</v>
        <stp/>
        <stp>T&amp;T2</stp>
        <stp>PRE</stp>
        <stp>129</stp>
        <tr r="B137" s="1"/>
      </tp>
      <tp t="s">
        <v>A janela foi fechada</v>
        <stp/>
        <stp>T&amp;T2</stp>
        <stp>PRE</stp>
        <stp>128</stp>
        <tr r="B136" s="1"/>
      </tp>
      <tp t="s">
        <v>A janela foi fechada</v>
        <stp/>
        <stp>T&amp;T1</stp>
        <stp>PRE</stp>
        <stp>130</stp>
        <tr r="H138" s="1"/>
      </tp>
      <tp t="s">
        <v>A janela foi fechada</v>
        <stp/>
        <stp>T&amp;T2</stp>
        <stp>PRE</stp>
        <stp>133</stp>
        <tr r="B141" s="1"/>
      </tp>
      <tp t="s">
        <v>A janela foi fechada</v>
        <stp/>
        <stp>T&amp;T1</stp>
        <stp>PRE</stp>
        <stp>131</stp>
        <tr r="H139" s="1"/>
      </tp>
      <tp t="s">
        <v>A janela foi fechada</v>
        <stp/>
        <stp>T&amp;T2</stp>
        <stp>PRE</stp>
        <stp>132</stp>
        <tr r="B140" s="1"/>
      </tp>
      <tp t="s">
        <v>A janela foi fechada</v>
        <stp/>
        <stp>T&amp;T1</stp>
        <stp>PRE</stp>
        <stp>132</stp>
        <tr r="H140" s="1"/>
      </tp>
      <tp t="s">
        <v>A janela foi fechada</v>
        <stp/>
        <stp>T&amp;T2</stp>
        <stp>PRE</stp>
        <stp>131</stp>
        <tr r="B139" s="1"/>
      </tp>
      <tp t="s">
        <v>A janela foi fechada</v>
        <stp/>
        <stp>T&amp;T1</stp>
        <stp>PRE</stp>
        <stp>133</stp>
        <tr r="H141" s="1"/>
      </tp>
      <tp t="s">
        <v>A janela foi fechada</v>
        <stp/>
        <stp>T&amp;T2</stp>
        <stp>PRE</stp>
        <stp>130</stp>
        <tr r="B138" s="1"/>
      </tp>
      <tp t="s">
        <v>A janela foi fechada</v>
        <stp/>
        <stp>T&amp;T1</stp>
        <stp>PRE</stp>
        <stp>134</stp>
        <tr r="H142" s="1"/>
      </tp>
      <tp t="s">
        <v>A janela foi fechada</v>
        <stp/>
        <stp>T&amp;T2</stp>
        <stp>PRE</stp>
        <stp>137</stp>
        <tr r="B145" s="1"/>
      </tp>
      <tp t="s">
        <v>A janela foi fechada</v>
        <stp/>
        <stp>T&amp;T1</stp>
        <stp>PRE</stp>
        <stp>135</stp>
        <tr r="H143" s="1"/>
      </tp>
      <tp t="s">
        <v>A janela foi fechada</v>
        <stp/>
        <stp>T&amp;T2</stp>
        <stp>PRE</stp>
        <stp>136</stp>
        <tr r="B144" s="1"/>
      </tp>
      <tp t="s">
        <v>A janela foi fechada</v>
        <stp/>
        <stp>T&amp;T1</stp>
        <stp>PRE</stp>
        <stp>136</stp>
        <tr r="H144" s="1"/>
      </tp>
      <tp t="s">
        <v>A janela foi fechada</v>
        <stp/>
        <stp>T&amp;T2</stp>
        <stp>PRE</stp>
        <stp>135</stp>
        <tr r="B143" s="1"/>
      </tp>
      <tp t="s">
        <v>A janela foi fechada</v>
        <stp/>
        <stp>T&amp;T1</stp>
        <stp>PRE</stp>
        <stp>137</stp>
        <tr r="H145" s="1"/>
      </tp>
      <tp t="s">
        <v>A janela foi fechada</v>
        <stp/>
        <stp>T&amp;T2</stp>
        <stp>PRE</stp>
        <stp>134</stp>
        <tr r="B142" s="1"/>
      </tp>
      <tp t="s">
        <v>A janela foi fechada</v>
        <stp/>
        <stp>T&amp;T1</stp>
        <stp>PRE</stp>
        <stp>138</stp>
        <tr r="H146" s="1"/>
      </tp>
      <tp t="s">
        <v>A janela foi fechada</v>
        <stp/>
        <stp>T&amp;T1</stp>
        <stp>PRE</stp>
        <stp>139</stp>
        <tr r="H147" s="1"/>
      </tp>
      <tp t="s">
        <v>A janela foi fechada</v>
        <stp/>
        <stp>T&amp;T2</stp>
        <stp>PRE</stp>
        <stp>139</stp>
        <tr r="B147" s="1"/>
      </tp>
      <tp t="s">
        <v>A janela foi fechada</v>
        <stp/>
        <stp>T&amp;T2</stp>
        <stp>PRE</stp>
        <stp>138</stp>
        <tr r="B146" s="1"/>
      </tp>
      <tp t="s">
        <v>A janela foi fechada</v>
        <stp/>
        <stp>T&amp;T1</stp>
        <stp>PRE</stp>
        <stp>100</stp>
        <tr r="H108" s="1"/>
      </tp>
      <tp t="s">
        <v>A janela foi fechada</v>
        <stp/>
        <stp>T&amp;T2</stp>
        <stp>PRE</stp>
        <stp>103</stp>
        <tr r="B111" s="1"/>
      </tp>
      <tp t="s">
        <v>A janela foi fechada</v>
        <stp/>
        <stp>T&amp;T1</stp>
        <stp>PRE</stp>
        <stp>101</stp>
        <tr r="H109" s="1"/>
      </tp>
      <tp t="s">
        <v>A janela foi fechada</v>
        <stp/>
        <stp>T&amp;T2</stp>
        <stp>PRE</stp>
        <stp>102</stp>
        <tr r="B110" s="1"/>
      </tp>
      <tp t="s">
        <v>A janela foi fechada</v>
        <stp/>
        <stp>T&amp;T1</stp>
        <stp>PRE</stp>
        <stp>102</stp>
        <tr r="H110" s="1"/>
      </tp>
      <tp t="s">
        <v>A janela foi fechada</v>
        <stp/>
        <stp>T&amp;T2</stp>
        <stp>PRE</stp>
        <stp>101</stp>
        <tr r="B109" s="1"/>
      </tp>
      <tp t="s">
        <v>A janela foi fechada</v>
        <stp/>
        <stp>T&amp;T1</stp>
        <stp>PRE</stp>
        <stp>103</stp>
        <tr r="H111" s="1"/>
      </tp>
      <tp t="s">
        <v>A janela foi fechada</v>
        <stp/>
        <stp>T&amp;T2</stp>
        <stp>PRE</stp>
        <stp>100</stp>
        <tr r="B108" s="1"/>
      </tp>
      <tp t="s">
        <v>A janela foi fechada</v>
        <stp/>
        <stp>T&amp;T1</stp>
        <stp>PRE</stp>
        <stp>104</stp>
        <tr r="H112" s="1"/>
      </tp>
      <tp t="s">
        <v>A janela foi fechada</v>
        <stp/>
        <stp>T&amp;T2</stp>
        <stp>PRE</stp>
        <stp>107</stp>
        <tr r="B115" s="1"/>
      </tp>
      <tp t="s">
        <v>A janela foi fechada</v>
        <stp/>
        <stp>T&amp;T1</stp>
        <stp>PRE</stp>
        <stp>105</stp>
        <tr r="H113" s="1"/>
      </tp>
      <tp t="s">
        <v>A janela foi fechada</v>
        <stp/>
        <stp>T&amp;T2</stp>
        <stp>PRE</stp>
        <stp>106</stp>
        <tr r="B114" s="1"/>
      </tp>
      <tp t="s">
        <v>A janela foi fechada</v>
        <stp/>
        <stp>T&amp;T1</stp>
        <stp>PRE</stp>
        <stp>106</stp>
        <tr r="H114" s="1"/>
      </tp>
      <tp t="s">
        <v>A janela foi fechada</v>
        <stp/>
        <stp>T&amp;T2</stp>
        <stp>PRE</stp>
        <stp>105</stp>
        <tr r="B113" s="1"/>
      </tp>
      <tp t="s">
        <v>A janela foi fechada</v>
        <stp/>
        <stp>T&amp;T1</stp>
        <stp>PRE</stp>
        <stp>107</stp>
        <tr r="H115" s="1"/>
      </tp>
      <tp t="s">
        <v>A janela foi fechada</v>
        <stp/>
        <stp>T&amp;T2</stp>
        <stp>PRE</stp>
        <stp>104</stp>
        <tr r="B112" s="1"/>
      </tp>
      <tp t="s">
        <v>A janela foi fechada</v>
        <stp/>
        <stp>T&amp;T1</stp>
        <stp>PRE</stp>
        <stp>108</stp>
        <tr r="H116" s="1"/>
      </tp>
      <tp t="s">
        <v>A janela foi fechada</v>
        <stp/>
        <stp>T&amp;T1</stp>
        <stp>PRE</stp>
        <stp>109</stp>
        <tr r="H117" s="1"/>
      </tp>
      <tp t="s">
        <v>A janela foi fechada</v>
        <stp/>
        <stp>T&amp;T2</stp>
        <stp>PRE</stp>
        <stp>109</stp>
        <tr r="B117" s="1"/>
      </tp>
      <tp t="s">
        <v>A janela foi fechada</v>
        <stp/>
        <stp>T&amp;T2</stp>
        <stp>PRE</stp>
        <stp>108</stp>
        <tr r="B116" s="1"/>
      </tp>
      <tp t="s">
        <v>A janela foi fechada</v>
        <stp/>
        <stp>T&amp;T1</stp>
        <stp>PRE</stp>
        <stp>110</stp>
        <tr r="H118" s="1"/>
      </tp>
      <tp t="s">
        <v>A janela foi fechada</v>
        <stp/>
        <stp>T&amp;T2</stp>
        <stp>PRE</stp>
        <stp>113</stp>
        <tr r="B121" s="1"/>
      </tp>
      <tp t="s">
        <v>A janela foi fechada</v>
        <stp/>
        <stp>T&amp;T1</stp>
        <stp>PRE</stp>
        <stp>111</stp>
        <tr r="H119" s="1"/>
      </tp>
      <tp t="s">
        <v>A janela foi fechada</v>
        <stp/>
        <stp>T&amp;T2</stp>
        <stp>PRE</stp>
        <stp>112</stp>
        <tr r="B120" s="1"/>
      </tp>
      <tp t="s">
        <v>A janela foi fechada</v>
        <stp/>
        <stp>T&amp;T1</stp>
        <stp>PRE</stp>
        <stp>112</stp>
        <tr r="H120" s="1"/>
      </tp>
      <tp t="s">
        <v>A janela foi fechada</v>
        <stp/>
        <stp>T&amp;T2</stp>
        <stp>PRE</stp>
        <stp>111</stp>
        <tr r="B119" s="1"/>
      </tp>
      <tp t="s">
        <v>A janela foi fechada</v>
        <stp/>
        <stp>T&amp;T1</stp>
        <stp>PRE</stp>
        <stp>113</stp>
        <tr r="H121" s="1"/>
      </tp>
      <tp t="s">
        <v>A janela foi fechada</v>
        <stp/>
        <stp>T&amp;T2</stp>
        <stp>PRE</stp>
        <stp>110</stp>
        <tr r="B118" s="1"/>
      </tp>
      <tp t="s">
        <v>A janela foi fechada</v>
        <stp/>
        <stp>T&amp;T1</stp>
        <stp>PRE</stp>
        <stp>114</stp>
        <tr r="H122" s="1"/>
      </tp>
      <tp t="s">
        <v>A janela foi fechada</v>
        <stp/>
        <stp>T&amp;T2</stp>
        <stp>PRE</stp>
        <stp>117</stp>
        <tr r="B125" s="1"/>
      </tp>
      <tp t="s">
        <v>A janela foi fechada</v>
        <stp/>
        <stp>T&amp;T1</stp>
        <stp>PRE</stp>
        <stp>115</stp>
        <tr r="H123" s="1"/>
      </tp>
      <tp t="s">
        <v>A janela foi fechada</v>
        <stp/>
        <stp>T&amp;T2</stp>
        <stp>PRE</stp>
        <stp>116</stp>
        <tr r="B124" s="1"/>
      </tp>
      <tp t="s">
        <v>A janela foi fechada</v>
        <stp/>
        <stp>T&amp;T1</stp>
        <stp>PRE</stp>
        <stp>116</stp>
        <tr r="H124" s="1"/>
      </tp>
      <tp t="s">
        <v>A janela foi fechada</v>
        <stp/>
        <stp>T&amp;T2</stp>
        <stp>PRE</stp>
        <stp>115</stp>
        <tr r="B123" s="1"/>
      </tp>
      <tp t="s">
        <v>A janela foi fechada</v>
        <stp/>
        <stp>T&amp;T1</stp>
        <stp>PRE</stp>
        <stp>117</stp>
        <tr r="H125" s="1"/>
      </tp>
      <tp t="s">
        <v>A janela foi fechada</v>
        <stp/>
        <stp>T&amp;T2</stp>
        <stp>PRE</stp>
        <stp>114</stp>
        <tr r="B122" s="1"/>
      </tp>
      <tp t="s">
        <v>A janela foi fechada</v>
        <stp/>
        <stp>T&amp;T1</stp>
        <stp>PRE</stp>
        <stp>118</stp>
        <tr r="H126" s="1"/>
      </tp>
      <tp t="s">
        <v>A janela foi fechada</v>
        <stp/>
        <stp>T&amp;T1</stp>
        <stp>PRE</stp>
        <stp>119</stp>
        <tr r="H127" s="1"/>
      </tp>
      <tp t="s">
        <v>A janela foi fechada</v>
        <stp/>
        <stp>T&amp;T2</stp>
        <stp>PRE</stp>
        <stp>119</stp>
        <tr r="B127" s="1"/>
      </tp>
      <tp t="s">
        <v>A janela foi fechada</v>
        <stp/>
        <stp>T&amp;T2</stp>
        <stp>PRE</stp>
        <stp>118</stp>
        <tr r="B126" s="1"/>
      </tp>
      <tp t="s">
        <v>A janela foi fechada</v>
        <stp/>
        <stp>T&amp;T1</stp>
        <stp>PRE</stp>
        <stp>480</stp>
        <tr r="H488" s="1"/>
      </tp>
      <tp t="s">
        <v>A janela foi fechada</v>
        <stp/>
        <stp>T&amp;T2</stp>
        <stp>PRE</stp>
        <stp>483</stp>
        <tr r="B491" s="1"/>
      </tp>
      <tp t="s">
        <v>A janela foi fechada</v>
        <stp/>
        <stp>T&amp;T1</stp>
        <stp>PRE</stp>
        <stp>481</stp>
        <tr r="H489" s="1"/>
      </tp>
      <tp t="s">
        <v>A janela foi fechada</v>
        <stp/>
        <stp>T&amp;T2</stp>
        <stp>PRE</stp>
        <stp>482</stp>
        <tr r="B490" s="1"/>
      </tp>
      <tp t="s">
        <v>A janela foi fechada</v>
        <stp/>
        <stp>T&amp;T1</stp>
        <stp>PRE</stp>
        <stp>482</stp>
        <tr r="H490" s="1"/>
      </tp>
      <tp t="s">
        <v>A janela foi fechada</v>
        <stp/>
        <stp>T&amp;T2</stp>
        <stp>PRE</stp>
        <stp>481</stp>
        <tr r="B489" s="1"/>
      </tp>
      <tp t="s">
        <v>A janela foi fechada</v>
        <stp/>
        <stp>T&amp;T1</stp>
        <stp>PRE</stp>
        <stp>483</stp>
        <tr r="H491" s="1"/>
      </tp>
      <tp t="s">
        <v>A janela foi fechada</v>
        <stp/>
        <stp>T&amp;T2</stp>
        <stp>PRE</stp>
        <stp>480</stp>
        <tr r="B488" s="1"/>
      </tp>
      <tp t="s">
        <v>A janela foi fechada</v>
        <stp/>
        <stp>T&amp;T1</stp>
        <stp>PRE</stp>
        <stp>484</stp>
        <tr r="H492" s="1"/>
      </tp>
      <tp t="s">
        <v>A janela foi fechada</v>
        <stp/>
        <stp>T&amp;T2</stp>
        <stp>PRE</stp>
        <stp>487</stp>
        <tr r="B495" s="1"/>
      </tp>
      <tp t="s">
        <v>A janela foi fechada</v>
        <stp/>
        <stp>T&amp;T1</stp>
        <stp>PRE</stp>
        <stp>485</stp>
        <tr r="H493" s="1"/>
      </tp>
      <tp t="s">
        <v>A janela foi fechada</v>
        <stp/>
        <stp>T&amp;T2</stp>
        <stp>PRE</stp>
        <stp>486</stp>
        <tr r="B494" s="1"/>
      </tp>
      <tp t="s">
        <v>A janela foi fechada</v>
        <stp/>
        <stp>T&amp;T1</stp>
        <stp>PRE</stp>
        <stp>486</stp>
        <tr r="H494" s="1"/>
      </tp>
      <tp t="s">
        <v>A janela foi fechada</v>
        <stp/>
        <stp>T&amp;T2</stp>
        <stp>PRE</stp>
        <stp>485</stp>
        <tr r="B493" s="1"/>
      </tp>
      <tp t="s">
        <v>A janela foi fechada</v>
        <stp/>
        <stp>T&amp;T1</stp>
        <stp>PRE</stp>
        <stp>487</stp>
        <tr r="H495" s="1"/>
      </tp>
      <tp t="s">
        <v>A janela foi fechada</v>
        <stp/>
        <stp>T&amp;T2</stp>
        <stp>PRE</stp>
        <stp>484</stp>
        <tr r="B492" s="1"/>
      </tp>
      <tp t="s">
        <v>A janela foi fechada</v>
        <stp/>
        <stp>T&amp;T1</stp>
        <stp>PRE</stp>
        <stp>488</stp>
        <tr r="H496" s="1"/>
      </tp>
      <tp t="s">
        <v>A janela foi fechada</v>
        <stp/>
        <stp>T&amp;T1</stp>
        <stp>PRE</stp>
        <stp>489</stp>
        <tr r="H497" s="1"/>
      </tp>
      <tp t="s">
        <v>A janela foi fechada</v>
        <stp/>
        <stp>T&amp;T2</stp>
        <stp>PRE</stp>
        <stp>489</stp>
        <tr r="B497" s="1"/>
      </tp>
      <tp t="s">
        <v>A janela foi fechada</v>
        <stp/>
        <stp>T&amp;T2</stp>
        <stp>PRE</stp>
        <stp>488</stp>
        <tr r="B496" s="1"/>
      </tp>
      <tp t="s">
        <v>A janela foi fechada</v>
        <stp/>
        <stp>T&amp;T1</stp>
        <stp>PRE</stp>
        <stp>490</stp>
        <tr r="H498" s="1"/>
      </tp>
      <tp t="s">
        <v>A janela foi fechada</v>
        <stp/>
        <stp>T&amp;T2</stp>
        <stp>PRE</stp>
        <stp>493</stp>
        <tr r="B501" s="1"/>
      </tp>
      <tp t="s">
        <v>A janela foi fechada</v>
        <stp/>
        <stp>T&amp;T1</stp>
        <stp>PRE</stp>
        <stp>491</stp>
        <tr r="H499" s="1"/>
      </tp>
      <tp t="s">
        <v>A janela foi fechada</v>
        <stp/>
        <stp>T&amp;T2</stp>
        <stp>PRE</stp>
        <stp>492</stp>
        <tr r="B500" s="1"/>
      </tp>
      <tp t="s">
        <v>A janela foi fechada</v>
        <stp/>
        <stp>T&amp;T1</stp>
        <stp>PRE</stp>
        <stp>492</stp>
        <tr r="H500" s="1"/>
      </tp>
      <tp t="s">
        <v>A janela foi fechada</v>
        <stp/>
        <stp>T&amp;T2</stp>
        <stp>PRE</stp>
        <stp>491</stp>
        <tr r="B499" s="1"/>
      </tp>
      <tp t="s">
        <v>A janela foi fechada</v>
        <stp/>
        <stp>T&amp;T1</stp>
        <stp>PRE</stp>
        <stp>493</stp>
        <tr r="H501" s="1"/>
      </tp>
      <tp t="s">
        <v>A janela foi fechada</v>
        <stp/>
        <stp>T&amp;T2</stp>
        <stp>PRE</stp>
        <stp>490</stp>
        <tr r="B498" s="1"/>
      </tp>
      <tp t="s">
        <v>A janela foi fechada</v>
        <stp/>
        <stp>T&amp;T1</stp>
        <stp>PRE</stp>
        <stp>494</stp>
        <tr r="H502" s="1"/>
      </tp>
      <tp t="s">
        <v>A janela foi fechada</v>
        <stp/>
        <stp>T&amp;T2</stp>
        <stp>PRE</stp>
        <stp>497</stp>
        <tr r="B505" s="1"/>
      </tp>
      <tp t="s">
        <v>A janela foi fechada</v>
        <stp/>
        <stp>T&amp;T1</stp>
        <stp>PRE</stp>
        <stp>495</stp>
        <tr r="H503" s="1"/>
      </tp>
      <tp t="s">
        <v>A janela foi fechada</v>
        <stp/>
        <stp>T&amp;T2</stp>
        <stp>PRE</stp>
        <stp>496</stp>
        <tr r="B504" s="1"/>
      </tp>
      <tp t="s">
        <v>A janela foi fechada</v>
        <stp/>
        <stp>T&amp;T1</stp>
        <stp>PRE</stp>
        <stp>496</stp>
        <tr r="H504" s="1"/>
      </tp>
      <tp t="s">
        <v>A janela foi fechada</v>
        <stp/>
        <stp>T&amp;T2</stp>
        <stp>PRE</stp>
        <stp>495</stp>
        <tr r="B503" s="1"/>
      </tp>
      <tp t="s">
        <v>A janela foi fechada</v>
        <stp/>
        <stp>T&amp;T1</stp>
        <stp>PRE</stp>
        <stp>497</stp>
        <tr r="H505" s="1"/>
      </tp>
      <tp t="s">
        <v>A janela foi fechada</v>
        <stp/>
        <stp>T&amp;T2</stp>
        <stp>PRE</stp>
        <stp>494</stp>
        <tr r="B502" s="1"/>
      </tp>
      <tp t="s">
        <v>A janela foi fechada</v>
        <stp/>
        <stp>T&amp;T1</stp>
        <stp>PRE</stp>
        <stp>498</stp>
        <tr r="H506" s="1"/>
      </tp>
      <tp t="s">
        <v>A janela foi fechada</v>
        <stp/>
        <stp>T&amp;T1</stp>
        <stp>PRE</stp>
        <stp>499</stp>
        <tr r="H507" s="1"/>
      </tp>
      <tp t="s">
        <v>A janela foi fechada</v>
        <stp/>
        <stp>T&amp;T2</stp>
        <stp>PRE</stp>
        <stp>499</stp>
        <tr r="B507" s="1"/>
      </tp>
      <tp t="s">
        <v>A janela foi fechada</v>
        <stp/>
        <stp>T&amp;T2</stp>
        <stp>PRE</stp>
        <stp>498</stp>
        <tr r="B506" s="1"/>
      </tp>
      <tp t="s">
        <v>A janela foi fechada</v>
        <stp/>
        <stp>T&amp;T1</stp>
        <stp>PRE</stp>
        <stp>460</stp>
        <tr r="H468" s="1"/>
      </tp>
      <tp t="s">
        <v>A janela foi fechada</v>
        <stp/>
        <stp>T&amp;T2</stp>
        <stp>PRE</stp>
        <stp>463</stp>
        <tr r="B471" s="1"/>
      </tp>
      <tp t="s">
        <v>A janela foi fechada</v>
        <stp/>
        <stp>T&amp;T1</stp>
        <stp>PRE</stp>
        <stp>461</stp>
        <tr r="H469" s="1"/>
      </tp>
      <tp t="s">
        <v>A janela foi fechada</v>
        <stp/>
        <stp>T&amp;T2</stp>
        <stp>PRE</stp>
        <stp>462</stp>
        <tr r="B470" s="1"/>
      </tp>
      <tp t="s">
        <v>A janela foi fechada</v>
        <stp/>
        <stp>T&amp;T1</stp>
        <stp>PRE</stp>
        <stp>462</stp>
        <tr r="H470" s="1"/>
      </tp>
      <tp t="s">
        <v>A janela foi fechada</v>
        <stp/>
        <stp>T&amp;T2</stp>
        <stp>PRE</stp>
        <stp>461</stp>
        <tr r="B469" s="1"/>
      </tp>
      <tp t="s">
        <v>A janela foi fechada</v>
        <stp/>
        <stp>T&amp;T1</stp>
        <stp>PRE</stp>
        <stp>463</stp>
        <tr r="H471" s="1"/>
      </tp>
      <tp t="s">
        <v>A janela foi fechada</v>
        <stp/>
        <stp>T&amp;T2</stp>
        <stp>PRE</stp>
        <stp>460</stp>
        <tr r="B468" s="1"/>
      </tp>
      <tp t="s">
        <v>A janela foi fechada</v>
        <stp/>
        <stp>T&amp;T1</stp>
        <stp>PRE</stp>
        <stp>464</stp>
        <tr r="H472" s="1"/>
      </tp>
      <tp t="s">
        <v>A janela foi fechada</v>
        <stp/>
        <stp>T&amp;T2</stp>
        <stp>PRE</stp>
        <stp>467</stp>
        <tr r="B475" s="1"/>
      </tp>
      <tp t="s">
        <v>A janela foi fechada</v>
        <stp/>
        <stp>T&amp;T1</stp>
        <stp>PRE</stp>
        <stp>465</stp>
        <tr r="H473" s="1"/>
      </tp>
      <tp t="s">
        <v>A janela foi fechada</v>
        <stp/>
        <stp>T&amp;T2</stp>
        <stp>PRE</stp>
        <stp>466</stp>
        <tr r="B474" s="1"/>
      </tp>
      <tp t="s">
        <v>A janela foi fechada</v>
        <stp/>
        <stp>T&amp;T1</stp>
        <stp>PRE</stp>
        <stp>466</stp>
        <tr r="H474" s="1"/>
      </tp>
      <tp t="s">
        <v>A janela foi fechada</v>
        <stp/>
        <stp>T&amp;T2</stp>
        <stp>PRE</stp>
        <stp>465</stp>
        <tr r="B473" s="1"/>
      </tp>
      <tp t="s">
        <v>A janela foi fechada</v>
        <stp/>
        <stp>T&amp;T1</stp>
        <stp>PRE</stp>
        <stp>467</stp>
        <tr r="H475" s="1"/>
      </tp>
      <tp t="s">
        <v>A janela foi fechada</v>
        <stp/>
        <stp>T&amp;T2</stp>
        <stp>PRE</stp>
        <stp>464</stp>
        <tr r="B472" s="1"/>
      </tp>
      <tp t="s">
        <v>A janela foi fechada</v>
        <stp/>
        <stp>T&amp;T1</stp>
        <stp>PRE</stp>
        <stp>468</stp>
        <tr r="H476" s="1"/>
      </tp>
      <tp t="s">
        <v>A janela foi fechada</v>
        <stp/>
        <stp>T&amp;T1</stp>
        <stp>PRE</stp>
        <stp>469</stp>
        <tr r="H477" s="1"/>
      </tp>
      <tp t="s">
        <v>A janela foi fechada</v>
        <stp/>
        <stp>T&amp;T2</stp>
        <stp>PRE</stp>
        <stp>469</stp>
        <tr r="B477" s="1"/>
      </tp>
      <tp t="s">
        <v>A janela foi fechada</v>
        <stp/>
        <stp>T&amp;T2</stp>
        <stp>PRE</stp>
        <stp>468</stp>
        <tr r="B476" s="1"/>
      </tp>
      <tp t="s">
        <v>A janela foi fechada</v>
        <stp/>
        <stp>T&amp;T1</stp>
        <stp>PRE</stp>
        <stp>470</stp>
        <tr r="H478" s="1"/>
      </tp>
      <tp t="s">
        <v>A janela foi fechada</v>
        <stp/>
        <stp>T&amp;T2</stp>
        <stp>PRE</stp>
        <stp>473</stp>
        <tr r="B481" s="1"/>
      </tp>
      <tp t="s">
        <v>A janela foi fechada</v>
        <stp/>
        <stp>T&amp;T1</stp>
        <stp>PRE</stp>
        <stp>471</stp>
        <tr r="H479" s="1"/>
      </tp>
      <tp t="s">
        <v>A janela foi fechada</v>
        <stp/>
        <stp>T&amp;T2</stp>
        <stp>PRE</stp>
        <stp>472</stp>
        <tr r="B480" s="1"/>
      </tp>
      <tp t="s">
        <v>A janela foi fechada</v>
        <stp/>
        <stp>T&amp;T1</stp>
        <stp>PRE</stp>
        <stp>472</stp>
        <tr r="H480" s="1"/>
      </tp>
      <tp t="s">
        <v>A janela foi fechada</v>
        <stp/>
        <stp>T&amp;T2</stp>
        <stp>PRE</stp>
        <stp>471</stp>
        <tr r="B479" s="1"/>
      </tp>
      <tp t="s">
        <v>A janela foi fechada</v>
        <stp/>
        <stp>T&amp;T1</stp>
        <stp>PRE</stp>
        <stp>473</stp>
        <tr r="H481" s="1"/>
      </tp>
      <tp t="s">
        <v>A janela foi fechada</v>
        <stp/>
        <stp>T&amp;T2</stp>
        <stp>PRE</stp>
        <stp>470</stp>
        <tr r="B478" s="1"/>
      </tp>
      <tp t="s">
        <v>A janela foi fechada</v>
        <stp/>
        <stp>T&amp;T1</stp>
        <stp>PRE</stp>
        <stp>474</stp>
        <tr r="H482" s="1"/>
      </tp>
      <tp t="s">
        <v>A janela foi fechada</v>
        <stp/>
        <stp>T&amp;T2</stp>
        <stp>PRE</stp>
        <stp>477</stp>
        <tr r="B485" s="1"/>
      </tp>
      <tp t="s">
        <v>A janela foi fechada</v>
        <stp/>
        <stp>T&amp;T1</stp>
        <stp>PRE</stp>
        <stp>475</stp>
        <tr r="H483" s="1"/>
      </tp>
      <tp t="s">
        <v>A janela foi fechada</v>
        <stp/>
        <stp>T&amp;T2</stp>
        <stp>PRE</stp>
        <stp>476</stp>
        <tr r="B484" s="1"/>
      </tp>
      <tp t="s">
        <v>A janela foi fechada</v>
        <stp/>
        <stp>T&amp;T1</stp>
        <stp>PRE</stp>
        <stp>476</stp>
        <tr r="H484" s="1"/>
      </tp>
      <tp t="s">
        <v>A janela foi fechada</v>
        <stp/>
        <stp>T&amp;T2</stp>
        <stp>PRE</stp>
        <stp>475</stp>
        <tr r="B483" s="1"/>
      </tp>
      <tp t="s">
        <v>A janela foi fechada</v>
        <stp/>
        <stp>T&amp;T1</stp>
        <stp>PRE</stp>
        <stp>477</stp>
        <tr r="H485" s="1"/>
      </tp>
      <tp t="s">
        <v>A janela foi fechada</v>
        <stp/>
        <stp>T&amp;T2</stp>
        <stp>PRE</stp>
        <stp>474</stp>
        <tr r="B482" s="1"/>
      </tp>
      <tp t="s">
        <v>A janela foi fechada</v>
        <stp/>
        <stp>T&amp;T1</stp>
        <stp>PRE</stp>
        <stp>478</stp>
        <tr r="H486" s="1"/>
      </tp>
      <tp t="s">
        <v>A janela foi fechada</v>
        <stp/>
        <stp>T&amp;T1</stp>
        <stp>PRE</stp>
        <stp>479</stp>
        <tr r="H487" s="1"/>
      </tp>
      <tp t="s">
        <v>A janela foi fechada</v>
        <stp/>
        <stp>T&amp;T2</stp>
        <stp>PRE</stp>
        <stp>479</stp>
        <tr r="B487" s="1"/>
      </tp>
      <tp t="s">
        <v>A janela foi fechada</v>
        <stp/>
        <stp>T&amp;T2</stp>
        <stp>PRE</stp>
        <stp>478</stp>
        <tr r="B486" s="1"/>
      </tp>
      <tp t="s">
        <v>A janela foi fechada</v>
        <stp/>
        <stp>T&amp;T1</stp>
        <stp>PRE</stp>
        <stp>440</stp>
        <tr r="H448" s="1"/>
      </tp>
      <tp t="s">
        <v>A janela foi fechada</v>
        <stp/>
        <stp>T&amp;T2</stp>
        <stp>PRE</stp>
        <stp>443</stp>
        <tr r="B451" s="1"/>
      </tp>
      <tp t="s">
        <v>A janela foi fechada</v>
        <stp/>
        <stp>T&amp;T1</stp>
        <stp>PRE</stp>
        <stp>441</stp>
        <tr r="H449" s="1"/>
      </tp>
      <tp t="s">
        <v>A janela foi fechada</v>
        <stp/>
        <stp>T&amp;T2</stp>
        <stp>PRE</stp>
        <stp>442</stp>
        <tr r="B450" s="1"/>
      </tp>
      <tp t="s">
        <v>A janela foi fechada</v>
        <stp/>
        <stp>T&amp;T1</stp>
        <stp>PRE</stp>
        <stp>442</stp>
        <tr r="H450" s="1"/>
      </tp>
      <tp t="s">
        <v>A janela foi fechada</v>
        <stp/>
        <stp>T&amp;T2</stp>
        <stp>PRE</stp>
        <stp>441</stp>
        <tr r="B449" s="1"/>
      </tp>
      <tp t="s">
        <v>A janela foi fechada</v>
        <stp/>
        <stp>T&amp;T1</stp>
        <stp>PRE</stp>
        <stp>443</stp>
        <tr r="H451" s="1"/>
      </tp>
      <tp t="s">
        <v>A janela foi fechada</v>
        <stp/>
        <stp>T&amp;T2</stp>
        <stp>PRE</stp>
        <stp>440</stp>
        <tr r="B448" s="1"/>
      </tp>
      <tp t="s">
        <v>A janela foi fechada</v>
        <stp/>
        <stp>T&amp;T1</stp>
        <stp>PRE</stp>
        <stp>444</stp>
        <tr r="H452" s="1"/>
      </tp>
      <tp t="s">
        <v>A janela foi fechada</v>
        <stp/>
        <stp>T&amp;T2</stp>
        <stp>PRE</stp>
        <stp>447</stp>
        <tr r="B455" s="1"/>
      </tp>
      <tp t="s">
        <v>A janela foi fechada</v>
        <stp/>
        <stp>T&amp;T1</stp>
        <stp>PRE</stp>
        <stp>445</stp>
        <tr r="H453" s="1"/>
      </tp>
      <tp t="s">
        <v>A janela foi fechada</v>
        <stp/>
        <stp>T&amp;T2</stp>
        <stp>PRE</stp>
        <stp>446</stp>
        <tr r="B454" s="1"/>
      </tp>
      <tp t="s">
        <v>A janela foi fechada</v>
        <stp/>
        <stp>T&amp;T1</stp>
        <stp>PRE</stp>
        <stp>446</stp>
        <tr r="H454" s="1"/>
      </tp>
      <tp t="s">
        <v>A janela foi fechada</v>
        <stp/>
        <stp>T&amp;T2</stp>
        <stp>PRE</stp>
        <stp>445</stp>
        <tr r="B453" s="1"/>
      </tp>
      <tp t="s">
        <v>A janela foi fechada</v>
        <stp/>
        <stp>T&amp;T1</stp>
        <stp>PRE</stp>
        <stp>447</stp>
        <tr r="H455" s="1"/>
      </tp>
      <tp t="s">
        <v>A janela foi fechada</v>
        <stp/>
        <stp>T&amp;T2</stp>
        <stp>PRE</stp>
        <stp>444</stp>
        <tr r="B452" s="1"/>
      </tp>
      <tp t="s">
        <v>A janela foi fechada</v>
        <stp/>
        <stp>T&amp;T1</stp>
        <stp>PRE</stp>
        <stp>448</stp>
        <tr r="H456" s="1"/>
      </tp>
      <tp t="s">
        <v>A janela foi fechada</v>
        <stp/>
        <stp>T&amp;T1</stp>
        <stp>PRE</stp>
        <stp>449</stp>
        <tr r="H457" s="1"/>
      </tp>
      <tp t="s">
        <v>A janela foi fechada</v>
        <stp/>
        <stp>T&amp;T2</stp>
        <stp>PRE</stp>
        <stp>449</stp>
        <tr r="B457" s="1"/>
      </tp>
      <tp t="s">
        <v>A janela foi fechada</v>
        <stp/>
        <stp>T&amp;T2</stp>
        <stp>PRE</stp>
        <stp>448</stp>
        <tr r="B456" s="1"/>
      </tp>
      <tp t="s">
        <v>A janela foi fechada</v>
        <stp/>
        <stp>T&amp;T1</stp>
        <stp>PRE</stp>
        <stp>450</stp>
        <tr r="H458" s="1"/>
      </tp>
      <tp t="s">
        <v>A janela foi fechada</v>
        <stp/>
        <stp>T&amp;T2</stp>
        <stp>PRE</stp>
        <stp>453</stp>
        <tr r="B461" s="1"/>
      </tp>
      <tp t="s">
        <v>A janela foi fechada</v>
        <stp/>
        <stp>T&amp;T1</stp>
        <stp>PRE</stp>
        <stp>451</stp>
        <tr r="H459" s="1"/>
      </tp>
      <tp t="s">
        <v>A janela foi fechada</v>
        <stp/>
        <stp>T&amp;T2</stp>
        <stp>PRE</stp>
        <stp>452</stp>
        <tr r="B460" s="1"/>
      </tp>
      <tp t="s">
        <v>A janela foi fechada</v>
        <stp/>
        <stp>T&amp;T1</stp>
        <stp>PRE</stp>
        <stp>452</stp>
        <tr r="H460" s="1"/>
      </tp>
      <tp t="s">
        <v>A janela foi fechada</v>
        <stp/>
        <stp>T&amp;T2</stp>
        <stp>PRE</stp>
        <stp>451</stp>
        <tr r="B459" s="1"/>
      </tp>
      <tp t="s">
        <v>A janela foi fechada</v>
        <stp/>
        <stp>T&amp;T1</stp>
        <stp>PRE</stp>
        <stp>453</stp>
        <tr r="H461" s="1"/>
      </tp>
      <tp t="s">
        <v>A janela foi fechada</v>
        <stp/>
        <stp>T&amp;T2</stp>
        <stp>PRE</stp>
        <stp>450</stp>
        <tr r="B458" s="1"/>
      </tp>
      <tp t="s">
        <v>A janela foi fechada</v>
        <stp/>
        <stp>T&amp;T1</stp>
        <stp>PRE</stp>
        <stp>454</stp>
        <tr r="H462" s="1"/>
      </tp>
      <tp t="s">
        <v>A janela foi fechada</v>
        <stp/>
        <stp>T&amp;T2</stp>
        <stp>PRE</stp>
        <stp>457</stp>
        <tr r="B465" s="1"/>
      </tp>
      <tp t="s">
        <v>A janela foi fechada</v>
        <stp/>
        <stp>T&amp;T1</stp>
        <stp>PRE</stp>
        <stp>455</stp>
        <tr r="H463" s="1"/>
      </tp>
      <tp t="s">
        <v>A janela foi fechada</v>
        <stp/>
        <stp>T&amp;T2</stp>
        <stp>PRE</stp>
        <stp>456</stp>
        <tr r="B464" s="1"/>
      </tp>
      <tp t="s">
        <v>A janela foi fechada</v>
        <stp/>
        <stp>T&amp;T1</stp>
        <stp>PRE</stp>
        <stp>456</stp>
        <tr r="H464" s="1"/>
      </tp>
      <tp t="s">
        <v>A janela foi fechada</v>
        <stp/>
        <stp>T&amp;T2</stp>
        <stp>PRE</stp>
        <stp>455</stp>
        <tr r="B463" s="1"/>
      </tp>
      <tp t="s">
        <v>A janela foi fechada</v>
        <stp/>
        <stp>T&amp;T1</stp>
        <stp>PRE</stp>
        <stp>457</stp>
        <tr r="H465" s="1"/>
      </tp>
      <tp t="s">
        <v>A janela foi fechada</v>
        <stp/>
        <stp>T&amp;T2</stp>
        <stp>PRE</stp>
        <stp>454</stp>
        <tr r="B462" s="1"/>
      </tp>
      <tp t="s">
        <v>A janela foi fechada</v>
        <stp/>
        <stp>T&amp;T1</stp>
        <stp>PRE</stp>
        <stp>458</stp>
        <tr r="H466" s="1"/>
      </tp>
      <tp t="s">
        <v>A janela foi fechada</v>
        <stp/>
        <stp>T&amp;T1</stp>
        <stp>PRE</stp>
        <stp>459</stp>
        <tr r="H467" s="1"/>
      </tp>
      <tp t="s">
        <v>A janela foi fechada</v>
        <stp/>
        <stp>T&amp;T2</stp>
        <stp>PRE</stp>
        <stp>459</stp>
        <tr r="B467" s="1"/>
      </tp>
      <tp t="s">
        <v>A janela foi fechada</v>
        <stp/>
        <stp>T&amp;T2</stp>
        <stp>PRE</stp>
        <stp>458</stp>
        <tr r="B466" s="1"/>
      </tp>
      <tp t="s">
        <v>A janela foi fechada</v>
        <stp/>
        <stp>T&amp;T1</stp>
        <stp>PRE</stp>
        <stp>420</stp>
        <tr r="H428" s="1"/>
      </tp>
      <tp t="s">
        <v>A janela foi fechada</v>
        <stp/>
        <stp>T&amp;T2</stp>
        <stp>PRE</stp>
        <stp>423</stp>
        <tr r="B431" s="1"/>
      </tp>
      <tp t="s">
        <v>A janela foi fechada</v>
        <stp/>
        <stp>T&amp;T1</stp>
        <stp>PRE</stp>
        <stp>421</stp>
        <tr r="H429" s="1"/>
      </tp>
      <tp t="s">
        <v>A janela foi fechada</v>
        <stp/>
        <stp>T&amp;T2</stp>
        <stp>PRE</stp>
        <stp>422</stp>
        <tr r="B430" s="1"/>
      </tp>
      <tp t="s">
        <v>A janela foi fechada</v>
        <stp/>
        <stp>T&amp;T1</stp>
        <stp>PRE</stp>
        <stp>422</stp>
        <tr r="H430" s="1"/>
      </tp>
      <tp t="s">
        <v>A janela foi fechada</v>
        <stp/>
        <stp>T&amp;T2</stp>
        <stp>PRE</stp>
        <stp>421</stp>
        <tr r="B429" s="1"/>
      </tp>
      <tp t="s">
        <v>A janela foi fechada</v>
        <stp/>
        <stp>T&amp;T1</stp>
        <stp>PRE</stp>
        <stp>423</stp>
        <tr r="H431" s="1"/>
      </tp>
      <tp t="s">
        <v>A janela foi fechada</v>
        <stp/>
        <stp>T&amp;T2</stp>
        <stp>PRE</stp>
        <stp>420</stp>
        <tr r="B428" s="1"/>
      </tp>
      <tp t="s">
        <v>A janela foi fechada</v>
        <stp/>
        <stp>T&amp;T1</stp>
        <stp>PRE</stp>
        <stp>424</stp>
        <tr r="H432" s="1"/>
      </tp>
      <tp t="s">
        <v>A janela foi fechada</v>
        <stp/>
        <stp>T&amp;T2</stp>
        <stp>PRE</stp>
        <stp>427</stp>
        <tr r="B435" s="1"/>
      </tp>
      <tp t="s">
        <v>A janela foi fechada</v>
        <stp/>
        <stp>T&amp;T1</stp>
        <stp>PRE</stp>
        <stp>425</stp>
        <tr r="H433" s="1"/>
      </tp>
      <tp t="s">
        <v>A janela foi fechada</v>
        <stp/>
        <stp>T&amp;T2</stp>
        <stp>PRE</stp>
        <stp>426</stp>
        <tr r="B434" s="1"/>
      </tp>
      <tp t="s">
        <v>A janela foi fechada</v>
        <stp/>
        <stp>T&amp;T1</stp>
        <stp>PRE</stp>
        <stp>426</stp>
        <tr r="H434" s="1"/>
      </tp>
      <tp t="s">
        <v>A janela foi fechada</v>
        <stp/>
        <stp>T&amp;T2</stp>
        <stp>PRE</stp>
        <stp>425</stp>
        <tr r="B433" s="1"/>
      </tp>
      <tp t="s">
        <v>A janela foi fechada</v>
        <stp/>
        <stp>T&amp;T1</stp>
        <stp>PRE</stp>
        <stp>427</stp>
        <tr r="H435" s="1"/>
      </tp>
      <tp t="s">
        <v>A janela foi fechada</v>
        <stp/>
        <stp>T&amp;T2</stp>
        <stp>PRE</stp>
        <stp>424</stp>
        <tr r="B432" s="1"/>
      </tp>
      <tp t="s">
        <v>A janela foi fechada</v>
        <stp/>
        <stp>T&amp;T1</stp>
        <stp>PRE</stp>
        <stp>428</stp>
        <tr r="H436" s="1"/>
      </tp>
      <tp t="s">
        <v>A janela foi fechada</v>
        <stp/>
        <stp>T&amp;T1</stp>
        <stp>PRE</stp>
        <stp>429</stp>
        <tr r="H437" s="1"/>
      </tp>
      <tp t="s">
        <v>A janela foi fechada</v>
        <stp/>
        <stp>T&amp;T2</stp>
        <stp>PRE</stp>
        <stp>429</stp>
        <tr r="B437" s="1"/>
      </tp>
      <tp t="s">
        <v>A janela foi fechada</v>
        <stp/>
        <stp>T&amp;T2</stp>
        <stp>PRE</stp>
        <stp>428</stp>
        <tr r="B436" s="1"/>
      </tp>
      <tp t="s">
        <v>A janela foi fechada</v>
        <stp/>
        <stp>T&amp;T1</stp>
        <stp>PRE</stp>
        <stp>430</stp>
        <tr r="H438" s="1"/>
      </tp>
      <tp t="s">
        <v>A janela foi fechada</v>
        <stp/>
        <stp>T&amp;T2</stp>
        <stp>PRE</stp>
        <stp>433</stp>
        <tr r="B441" s="1"/>
      </tp>
      <tp t="s">
        <v>A janela foi fechada</v>
        <stp/>
        <stp>T&amp;T1</stp>
        <stp>PRE</stp>
        <stp>431</stp>
        <tr r="H439" s="1"/>
      </tp>
      <tp t="s">
        <v>A janela foi fechada</v>
        <stp/>
        <stp>T&amp;T2</stp>
        <stp>PRE</stp>
        <stp>432</stp>
        <tr r="B440" s="1"/>
      </tp>
      <tp t="s">
        <v>A janela foi fechada</v>
        <stp/>
        <stp>T&amp;T1</stp>
        <stp>PRE</stp>
        <stp>432</stp>
        <tr r="H440" s="1"/>
      </tp>
      <tp t="s">
        <v>A janela foi fechada</v>
        <stp/>
        <stp>T&amp;T2</stp>
        <stp>PRE</stp>
        <stp>431</stp>
        <tr r="B439" s="1"/>
      </tp>
      <tp t="s">
        <v>A janela foi fechada</v>
        <stp/>
        <stp>T&amp;T1</stp>
        <stp>PRE</stp>
        <stp>433</stp>
        <tr r="H441" s="1"/>
      </tp>
      <tp t="s">
        <v>A janela foi fechada</v>
        <stp/>
        <stp>T&amp;T2</stp>
        <stp>PRE</stp>
        <stp>430</stp>
        <tr r="B438" s="1"/>
      </tp>
      <tp t="s">
        <v>A janela foi fechada</v>
        <stp/>
        <stp>T&amp;T1</stp>
        <stp>PRE</stp>
        <stp>434</stp>
        <tr r="H442" s="1"/>
      </tp>
      <tp t="s">
        <v>A janela foi fechada</v>
        <stp/>
        <stp>T&amp;T2</stp>
        <stp>PRE</stp>
        <stp>437</stp>
        <tr r="B445" s="1"/>
      </tp>
      <tp t="s">
        <v>A janela foi fechada</v>
        <stp/>
        <stp>T&amp;T1</stp>
        <stp>PRE</stp>
        <stp>435</stp>
        <tr r="H443" s="1"/>
      </tp>
      <tp t="s">
        <v>A janela foi fechada</v>
        <stp/>
        <stp>T&amp;T2</stp>
        <stp>PRE</stp>
        <stp>436</stp>
        <tr r="B444" s="1"/>
      </tp>
      <tp t="s">
        <v>A janela foi fechada</v>
        <stp/>
        <stp>T&amp;T1</stp>
        <stp>PRE</stp>
        <stp>436</stp>
        <tr r="H444" s="1"/>
      </tp>
      <tp t="s">
        <v>A janela foi fechada</v>
        <stp/>
        <stp>T&amp;T2</stp>
        <stp>PRE</stp>
        <stp>435</stp>
        <tr r="B443" s="1"/>
      </tp>
      <tp t="s">
        <v>A janela foi fechada</v>
        <stp/>
        <stp>T&amp;T1</stp>
        <stp>PRE</stp>
        <stp>437</stp>
        <tr r="H445" s="1"/>
      </tp>
      <tp t="s">
        <v>A janela foi fechada</v>
        <stp/>
        <stp>T&amp;T2</stp>
        <stp>PRE</stp>
        <stp>434</stp>
        <tr r="B442" s="1"/>
      </tp>
      <tp t="s">
        <v>A janela foi fechada</v>
        <stp/>
        <stp>T&amp;T1</stp>
        <stp>PRE</stp>
        <stp>438</stp>
        <tr r="H446" s="1"/>
      </tp>
      <tp t="s">
        <v>A janela foi fechada</v>
        <stp/>
        <stp>T&amp;T1</stp>
        <stp>PRE</stp>
        <stp>439</stp>
        <tr r="H447" s="1"/>
      </tp>
      <tp t="s">
        <v>A janela foi fechada</v>
        <stp/>
        <stp>T&amp;T2</stp>
        <stp>PRE</stp>
        <stp>439</stp>
        <tr r="B447" s="1"/>
      </tp>
      <tp t="s">
        <v>A janela foi fechada</v>
        <stp/>
        <stp>T&amp;T2</stp>
        <stp>PRE</stp>
        <stp>438</stp>
        <tr r="B446" s="1"/>
      </tp>
      <tp t="s">
        <v>A janela foi fechada</v>
        <stp/>
        <stp>T&amp;T1</stp>
        <stp>PRE</stp>
        <stp>400</stp>
        <tr r="H408" s="1"/>
      </tp>
      <tp t="s">
        <v>A janela foi fechada</v>
        <stp/>
        <stp>T&amp;T2</stp>
        <stp>PRE</stp>
        <stp>403</stp>
        <tr r="B411" s="1"/>
      </tp>
      <tp t="s">
        <v>A janela foi fechada</v>
        <stp/>
        <stp>T&amp;T1</stp>
        <stp>PRE</stp>
        <stp>401</stp>
        <tr r="H409" s="1"/>
      </tp>
      <tp t="s">
        <v>A janela foi fechada</v>
        <stp/>
        <stp>T&amp;T2</stp>
        <stp>PRE</stp>
        <stp>402</stp>
        <tr r="B410" s="1"/>
      </tp>
      <tp t="s">
        <v>A janela foi fechada</v>
        <stp/>
        <stp>T&amp;T1</stp>
        <stp>PRE</stp>
        <stp>402</stp>
        <tr r="H410" s="1"/>
      </tp>
      <tp t="s">
        <v>A janela foi fechada</v>
        <stp/>
        <stp>T&amp;T2</stp>
        <stp>PRE</stp>
        <stp>401</stp>
        <tr r="B409" s="1"/>
      </tp>
      <tp t="s">
        <v>A janela foi fechada</v>
        <stp/>
        <stp>T&amp;T1</stp>
        <stp>PRE</stp>
        <stp>403</stp>
        <tr r="H411" s="1"/>
      </tp>
      <tp t="s">
        <v>A janela foi fechada</v>
        <stp/>
        <stp>T&amp;T2</stp>
        <stp>PRE</stp>
        <stp>400</stp>
        <tr r="B408" s="1"/>
      </tp>
      <tp t="s">
        <v>A janela foi fechada</v>
        <stp/>
        <stp>T&amp;T1</stp>
        <stp>PRE</stp>
        <stp>404</stp>
        <tr r="H412" s="1"/>
      </tp>
      <tp t="s">
        <v>A janela foi fechada</v>
        <stp/>
        <stp>T&amp;T2</stp>
        <stp>PRE</stp>
        <stp>407</stp>
        <tr r="B415" s="1"/>
      </tp>
      <tp t="s">
        <v>A janela foi fechada</v>
        <stp/>
        <stp>T&amp;T1</stp>
        <stp>PRE</stp>
        <stp>405</stp>
        <tr r="H413" s="1"/>
      </tp>
      <tp t="s">
        <v>A janela foi fechada</v>
        <stp/>
        <stp>T&amp;T2</stp>
        <stp>PRE</stp>
        <stp>406</stp>
        <tr r="B414" s="1"/>
      </tp>
      <tp t="s">
        <v>A janela foi fechada</v>
        <stp/>
        <stp>T&amp;T1</stp>
        <stp>PRE</stp>
        <stp>406</stp>
        <tr r="H414" s="1"/>
      </tp>
      <tp t="s">
        <v>A janela foi fechada</v>
        <stp/>
        <stp>T&amp;T2</stp>
        <stp>PRE</stp>
        <stp>405</stp>
        <tr r="B413" s="1"/>
      </tp>
      <tp t="s">
        <v>A janela foi fechada</v>
        <stp/>
        <stp>T&amp;T1</stp>
        <stp>PRE</stp>
        <stp>407</stp>
        <tr r="H415" s="1"/>
      </tp>
      <tp t="s">
        <v>A janela foi fechada</v>
        <stp/>
        <stp>T&amp;T2</stp>
        <stp>PRE</stp>
        <stp>404</stp>
        <tr r="B412" s="1"/>
      </tp>
      <tp t="s">
        <v>A janela foi fechada</v>
        <stp/>
        <stp>T&amp;T1</stp>
        <stp>PRE</stp>
        <stp>408</stp>
        <tr r="H416" s="1"/>
      </tp>
      <tp t="s">
        <v>A janela foi fechada</v>
        <stp/>
        <stp>T&amp;T1</stp>
        <stp>PRE</stp>
        <stp>409</stp>
        <tr r="H417" s="1"/>
      </tp>
      <tp t="s">
        <v>A janela foi fechada</v>
        <stp/>
        <stp>T&amp;T2</stp>
        <stp>PRE</stp>
        <stp>409</stp>
        <tr r="B417" s="1"/>
      </tp>
      <tp t="s">
        <v>A janela foi fechada</v>
        <stp/>
        <stp>T&amp;T2</stp>
        <stp>PRE</stp>
        <stp>408</stp>
        <tr r="B416" s="1"/>
      </tp>
      <tp t="s">
        <v>A janela foi fechada</v>
        <stp/>
        <stp>T&amp;T1</stp>
        <stp>PRE</stp>
        <stp>410</stp>
        <tr r="H418" s="1"/>
      </tp>
      <tp t="s">
        <v>A janela foi fechada</v>
        <stp/>
        <stp>T&amp;T2</stp>
        <stp>PRE</stp>
        <stp>413</stp>
        <tr r="B421" s="1"/>
      </tp>
      <tp t="s">
        <v>A janela foi fechada</v>
        <stp/>
        <stp>T&amp;T1</stp>
        <stp>PRE</stp>
        <stp>411</stp>
        <tr r="H419" s="1"/>
      </tp>
      <tp t="s">
        <v>A janela foi fechada</v>
        <stp/>
        <stp>T&amp;T2</stp>
        <stp>PRE</stp>
        <stp>412</stp>
        <tr r="B420" s="1"/>
      </tp>
      <tp t="s">
        <v>A janela foi fechada</v>
        <stp/>
        <stp>T&amp;T1</stp>
        <stp>PRE</stp>
        <stp>412</stp>
        <tr r="H420" s="1"/>
      </tp>
      <tp t="s">
        <v>A janela foi fechada</v>
        <stp/>
        <stp>T&amp;T2</stp>
        <stp>PRE</stp>
        <stp>411</stp>
        <tr r="B419" s="1"/>
      </tp>
      <tp t="s">
        <v>A janela foi fechada</v>
        <stp/>
        <stp>T&amp;T1</stp>
        <stp>PRE</stp>
        <stp>413</stp>
        <tr r="H421" s="1"/>
      </tp>
      <tp t="s">
        <v>A janela foi fechada</v>
        <stp/>
        <stp>T&amp;T2</stp>
        <stp>PRE</stp>
        <stp>410</stp>
        <tr r="B418" s="1"/>
      </tp>
      <tp t="s">
        <v>A janela foi fechada</v>
        <stp/>
        <stp>T&amp;T1</stp>
        <stp>PRE</stp>
        <stp>414</stp>
        <tr r="H422" s="1"/>
      </tp>
      <tp t="s">
        <v>A janela foi fechada</v>
        <stp/>
        <stp>T&amp;T2</stp>
        <stp>PRE</stp>
        <stp>417</stp>
        <tr r="B425" s="1"/>
      </tp>
      <tp t="s">
        <v>A janela foi fechada</v>
        <stp/>
        <stp>T&amp;T1</stp>
        <stp>PRE</stp>
        <stp>415</stp>
        <tr r="H423" s="1"/>
      </tp>
      <tp t="s">
        <v>A janela foi fechada</v>
        <stp/>
        <stp>T&amp;T2</stp>
        <stp>PRE</stp>
        <stp>416</stp>
        <tr r="B424" s="1"/>
      </tp>
      <tp t="s">
        <v>A janela foi fechada</v>
        <stp/>
        <stp>T&amp;T1</stp>
        <stp>PRE</stp>
        <stp>416</stp>
        <tr r="H424" s="1"/>
      </tp>
      <tp t="s">
        <v>A janela foi fechada</v>
        <stp/>
        <stp>T&amp;T2</stp>
        <stp>PRE</stp>
        <stp>415</stp>
        <tr r="B423" s="1"/>
      </tp>
      <tp t="s">
        <v>A janela foi fechada</v>
        <stp/>
        <stp>T&amp;T1</stp>
        <stp>PRE</stp>
        <stp>417</stp>
        <tr r="H425" s="1"/>
      </tp>
      <tp t="s">
        <v>A janela foi fechada</v>
        <stp/>
        <stp>T&amp;T2</stp>
        <stp>PRE</stp>
        <stp>414</stp>
        <tr r="B422" s="1"/>
      </tp>
      <tp t="s">
        <v>A janela foi fechada</v>
        <stp/>
        <stp>T&amp;T1</stp>
        <stp>PRE</stp>
        <stp>418</stp>
        <tr r="H426" s="1"/>
      </tp>
      <tp t="s">
        <v>A janela foi fechada</v>
        <stp/>
        <stp>T&amp;T1</stp>
        <stp>PRE</stp>
        <stp>419</stp>
        <tr r="H427" s="1"/>
      </tp>
      <tp t="s">
        <v>A janela foi fechada</v>
        <stp/>
        <stp>T&amp;T2</stp>
        <stp>PRE</stp>
        <stp>419</stp>
        <tr r="B427" s="1"/>
      </tp>
      <tp t="s">
        <v>A janela foi fechada</v>
        <stp/>
        <stp>T&amp;T2</stp>
        <stp>PRE</stp>
        <stp>418</stp>
        <tr r="B426" s="1"/>
      </tp>
      <tp t="s">
        <v>A janela foi fechada</v>
        <stp/>
        <stp>T&amp;T1</stp>
        <stp>QUL</stp>
        <stp>499</stp>
        <tr r="I507" s="1"/>
      </tp>
      <tp t="s">
        <v>A janela foi fechada</v>
        <stp/>
        <stp>T&amp;T1</stp>
        <stp>QUL</stp>
        <stp>498</stp>
        <tr r="I506" s="1"/>
      </tp>
      <tp t="s">
        <v>A janela foi fechada</v>
        <stp/>
        <stp>T&amp;T2</stp>
        <stp>QUL</stp>
        <stp>498</stp>
        <tr r="C506" s="1"/>
      </tp>
      <tp t="s">
        <v>A janela foi fechada</v>
        <stp/>
        <stp>T&amp;T2</stp>
        <stp>QUL</stp>
        <stp>499</stp>
        <tr r="C507" s="1"/>
      </tp>
      <tp t="s">
        <v>A janela foi fechada</v>
        <stp/>
        <stp>T&amp;T1</stp>
        <stp>QUL</stp>
        <stp>491</stp>
        <tr r="I499" s="1"/>
      </tp>
      <tp t="s">
        <v>A janela foi fechada</v>
        <stp/>
        <stp>T&amp;T2</stp>
        <stp>QUL</stp>
        <stp>492</stp>
        <tr r="C500" s="1"/>
      </tp>
      <tp t="s">
        <v>A janela foi fechada</v>
        <stp/>
        <stp>T&amp;T1</stp>
        <stp>QUL</stp>
        <stp>490</stp>
        <tr r="I498" s="1"/>
      </tp>
      <tp t="s">
        <v>A janela foi fechada</v>
        <stp/>
        <stp>T&amp;T2</stp>
        <stp>QUL</stp>
        <stp>493</stp>
        <tr r="C501" s="1"/>
      </tp>
      <tp t="s">
        <v>A janela foi fechada</v>
        <stp/>
        <stp>T&amp;T1</stp>
        <stp>QUL</stp>
        <stp>493</stp>
        <tr r="I501" s="1"/>
      </tp>
      <tp t="s">
        <v>A janela foi fechada</v>
        <stp/>
        <stp>T&amp;T2</stp>
        <stp>QUL</stp>
        <stp>490</stp>
        <tr r="C498" s="1"/>
      </tp>
      <tp t="s">
        <v>A janela foi fechada</v>
        <stp/>
        <stp>T&amp;T1</stp>
        <stp>QUL</stp>
        <stp>492</stp>
        <tr r="I500" s="1"/>
      </tp>
      <tp t="s">
        <v>A janela foi fechada</v>
        <stp/>
        <stp>T&amp;T2</stp>
        <stp>QUL</stp>
        <stp>491</stp>
        <tr r="C499" s="1"/>
      </tp>
      <tp t="s">
        <v>A janela foi fechada</v>
        <stp/>
        <stp>T&amp;T1</stp>
        <stp>QUL</stp>
        <stp>495</stp>
        <tr r="I503" s="1"/>
      </tp>
      <tp t="s">
        <v>A janela foi fechada</v>
        <stp/>
        <stp>T&amp;T2</stp>
        <stp>QUL</stp>
        <stp>496</stp>
        <tr r="C504" s="1"/>
      </tp>
      <tp t="s">
        <v>A janela foi fechada</v>
        <stp/>
        <stp>T&amp;T1</stp>
        <stp>QUL</stp>
        <stp>494</stp>
        <tr r="I502" s="1"/>
      </tp>
      <tp t="s">
        <v>A janela foi fechada</v>
        <stp/>
        <stp>T&amp;T2</stp>
        <stp>QUL</stp>
        <stp>497</stp>
        <tr r="C505" s="1"/>
      </tp>
      <tp t="s">
        <v>A janela foi fechada</v>
        <stp/>
        <stp>T&amp;T1</stp>
        <stp>QUL</stp>
        <stp>497</stp>
        <tr r="I505" s="1"/>
      </tp>
      <tp t="s">
        <v>A janela foi fechada</v>
        <stp/>
        <stp>T&amp;T2</stp>
        <stp>QUL</stp>
        <stp>494</stp>
        <tr r="C502" s="1"/>
      </tp>
      <tp t="s">
        <v>A janela foi fechada</v>
        <stp/>
        <stp>T&amp;T1</stp>
        <stp>QUL</stp>
        <stp>496</stp>
        <tr r="I504" s="1"/>
      </tp>
      <tp t="s">
        <v>A janela foi fechada</v>
        <stp/>
        <stp>T&amp;T2</stp>
        <stp>QUL</stp>
        <stp>495</stp>
        <tr r="C503" s="1"/>
      </tp>
      <tp t="s">
        <v>A janela foi fechada</v>
        <stp/>
        <stp>T&amp;T1</stp>
        <stp>QUL</stp>
        <stp>489</stp>
        <tr r="I497" s="1"/>
      </tp>
      <tp t="s">
        <v>A janela foi fechada</v>
        <stp/>
        <stp>T&amp;T1</stp>
        <stp>QUL</stp>
        <stp>488</stp>
        <tr r="I496" s="1"/>
      </tp>
      <tp t="s">
        <v>A janela foi fechada</v>
        <stp/>
        <stp>T&amp;T2</stp>
        <stp>QUL</stp>
        <stp>488</stp>
        <tr r="C496" s="1"/>
      </tp>
      <tp t="s">
        <v>A janela foi fechada</v>
        <stp/>
        <stp>T&amp;T2</stp>
        <stp>QUL</stp>
        <stp>489</stp>
        <tr r="C497" s="1"/>
      </tp>
      <tp t="s">
        <v>A janela foi fechada</v>
        <stp/>
        <stp>T&amp;T1</stp>
        <stp>QUL</stp>
        <stp>481</stp>
        <tr r="I489" s="1"/>
      </tp>
      <tp t="s">
        <v>A janela foi fechada</v>
        <stp/>
        <stp>T&amp;T2</stp>
        <stp>QUL</stp>
        <stp>482</stp>
        <tr r="C490" s="1"/>
      </tp>
      <tp t="s">
        <v>A janela foi fechada</v>
        <stp/>
        <stp>T&amp;T1</stp>
        <stp>QUL</stp>
        <stp>480</stp>
        <tr r="I488" s="1"/>
      </tp>
      <tp t="s">
        <v>A janela foi fechada</v>
        <stp/>
        <stp>T&amp;T2</stp>
        <stp>QUL</stp>
        <stp>483</stp>
        <tr r="C491" s="1"/>
      </tp>
      <tp t="s">
        <v>A janela foi fechada</v>
        <stp/>
        <stp>T&amp;T1</stp>
        <stp>QUL</stp>
        <stp>483</stp>
        <tr r="I491" s="1"/>
      </tp>
      <tp t="s">
        <v>A janela foi fechada</v>
        <stp/>
        <stp>T&amp;T2</stp>
        <stp>QUL</stp>
        <stp>480</stp>
        <tr r="C488" s="1"/>
      </tp>
      <tp t="s">
        <v>A janela foi fechada</v>
        <stp/>
        <stp>T&amp;T1</stp>
        <stp>QUL</stp>
        <stp>482</stp>
        <tr r="I490" s="1"/>
      </tp>
      <tp t="s">
        <v>A janela foi fechada</v>
        <stp/>
        <stp>T&amp;T2</stp>
        <stp>QUL</stp>
        <stp>481</stp>
        <tr r="C489" s="1"/>
      </tp>
      <tp t="s">
        <v>A janela foi fechada</v>
        <stp/>
        <stp>T&amp;T1</stp>
        <stp>QUL</stp>
        <stp>485</stp>
        <tr r="I493" s="1"/>
      </tp>
      <tp t="s">
        <v>A janela foi fechada</v>
        <stp/>
        <stp>T&amp;T2</stp>
        <stp>QUL</stp>
        <stp>486</stp>
        <tr r="C494" s="1"/>
      </tp>
      <tp t="s">
        <v>A janela foi fechada</v>
        <stp/>
        <stp>T&amp;T1</stp>
        <stp>QUL</stp>
        <stp>484</stp>
        <tr r="I492" s="1"/>
      </tp>
      <tp t="s">
        <v>A janela foi fechada</v>
        <stp/>
        <stp>T&amp;T2</stp>
        <stp>QUL</stp>
        <stp>487</stp>
        <tr r="C495" s="1"/>
      </tp>
      <tp t="s">
        <v>A janela foi fechada</v>
        <stp/>
        <stp>T&amp;T1</stp>
        <stp>QUL</stp>
        <stp>487</stp>
        <tr r="I495" s="1"/>
      </tp>
      <tp t="s">
        <v>A janela foi fechada</v>
        <stp/>
        <stp>T&amp;T2</stp>
        <stp>QUL</stp>
        <stp>484</stp>
        <tr r="C492" s="1"/>
      </tp>
      <tp t="s">
        <v>A janela foi fechada</v>
        <stp/>
        <stp>T&amp;T1</stp>
        <stp>QUL</stp>
        <stp>486</stp>
        <tr r="I494" s="1"/>
      </tp>
      <tp t="s">
        <v>A janela foi fechada</v>
        <stp/>
        <stp>T&amp;T2</stp>
        <stp>QUL</stp>
        <stp>485</stp>
        <tr r="C493" s="1"/>
      </tp>
      <tp t="s">
        <v>A janela foi fechada</v>
        <stp/>
        <stp>T&amp;T1</stp>
        <stp>QUL</stp>
        <stp>419</stp>
        <tr r="I427" s="1"/>
      </tp>
      <tp t="s">
        <v>A janela foi fechada</v>
        <stp/>
        <stp>T&amp;T1</stp>
        <stp>QUL</stp>
        <stp>418</stp>
        <tr r="I426" s="1"/>
      </tp>
      <tp t="s">
        <v>A janela foi fechada</v>
        <stp/>
        <stp>T&amp;T2</stp>
        <stp>QUL</stp>
        <stp>418</stp>
        <tr r="C426" s="1"/>
      </tp>
      <tp t="s">
        <v>A janela foi fechada</v>
        <stp/>
        <stp>T&amp;T2</stp>
        <stp>QUL</stp>
        <stp>419</stp>
        <tr r="C427" s="1"/>
      </tp>
      <tp t="s">
        <v>A janela foi fechada</v>
        <stp/>
        <stp>T&amp;T1</stp>
        <stp>QUL</stp>
        <stp>411</stp>
        <tr r="I419" s="1"/>
      </tp>
      <tp t="s">
        <v>A janela foi fechada</v>
        <stp/>
        <stp>T&amp;T2</stp>
        <stp>QUL</stp>
        <stp>412</stp>
        <tr r="C420" s="1"/>
      </tp>
      <tp t="s">
        <v>A janela foi fechada</v>
        <stp/>
        <stp>T&amp;T1</stp>
        <stp>QUL</stp>
        <stp>410</stp>
        <tr r="I418" s="1"/>
      </tp>
      <tp t="s">
        <v>A janela foi fechada</v>
        <stp/>
        <stp>T&amp;T2</stp>
        <stp>QUL</stp>
        <stp>413</stp>
        <tr r="C421" s="1"/>
      </tp>
      <tp t="s">
        <v>A janela foi fechada</v>
        <stp/>
        <stp>T&amp;T1</stp>
        <stp>QUL</stp>
        <stp>413</stp>
        <tr r="I421" s="1"/>
      </tp>
      <tp t="s">
        <v>A janela foi fechada</v>
        <stp/>
        <stp>T&amp;T2</stp>
        <stp>QUL</stp>
        <stp>410</stp>
        <tr r="C418" s="1"/>
      </tp>
      <tp t="s">
        <v>A janela foi fechada</v>
        <stp/>
        <stp>T&amp;T1</stp>
        <stp>QUL</stp>
        <stp>412</stp>
        <tr r="I420" s="1"/>
      </tp>
      <tp t="s">
        <v>A janela foi fechada</v>
        <stp/>
        <stp>T&amp;T2</stp>
        <stp>QUL</stp>
        <stp>411</stp>
        <tr r="C419" s="1"/>
      </tp>
      <tp t="s">
        <v>A janela foi fechada</v>
        <stp/>
        <stp>T&amp;T1</stp>
        <stp>QUL</stp>
        <stp>415</stp>
        <tr r="I423" s="1"/>
      </tp>
      <tp t="s">
        <v>A janela foi fechada</v>
        <stp/>
        <stp>T&amp;T2</stp>
        <stp>QUL</stp>
        <stp>416</stp>
        <tr r="C424" s="1"/>
      </tp>
      <tp t="s">
        <v>A janela foi fechada</v>
        <stp/>
        <stp>T&amp;T1</stp>
        <stp>QUL</stp>
        <stp>414</stp>
        <tr r="I422" s="1"/>
      </tp>
      <tp t="s">
        <v>A janela foi fechada</v>
        <stp/>
        <stp>T&amp;T2</stp>
        <stp>QUL</stp>
        <stp>417</stp>
        <tr r="C425" s="1"/>
      </tp>
      <tp t="s">
        <v>A janela foi fechada</v>
        <stp/>
        <stp>T&amp;T1</stp>
        <stp>QUL</stp>
        <stp>417</stp>
        <tr r="I425" s="1"/>
      </tp>
      <tp t="s">
        <v>A janela foi fechada</v>
        <stp/>
        <stp>T&amp;T2</stp>
        <stp>QUL</stp>
        <stp>414</stp>
        <tr r="C422" s="1"/>
      </tp>
      <tp t="s">
        <v>A janela foi fechada</v>
        <stp/>
        <stp>T&amp;T1</stp>
        <stp>QUL</stp>
        <stp>416</stp>
        <tr r="I424" s="1"/>
      </tp>
      <tp t="s">
        <v>A janela foi fechada</v>
        <stp/>
        <stp>T&amp;T2</stp>
        <stp>QUL</stp>
        <stp>415</stp>
        <tr r="C423" s="1"/>
      </tp>
      <tp t="s">
        <v>A janela foi fechada</v>
        <stp/>
        <stp>T&amp;T1</stp>
        <stp>QUL</stp>
        <stp>409</stp>
        <tr r="I417" s="1"/>
      </tp>
      <tp t="s">
        <v>A janela foi fechada</v>
        <stp/>
        <stp>T&amp;T1</stp>
        <stp>QUL</stp>
        <stp>408</stp>
        <tr r="I416" s="1"/>
      </tp>
      <tp t="s">
        <v>A janela foi fechada</v>
        <stp/>
        <stp>T&amp;T2</stp>
        <stp>QUL</stp>
        <stp>408</stp>
        <tr r="C416" s="1"/>
      </tp>
      <tp t="s">
        <v>A janela foi fechada</v>
        <stp/>
        <stp>T&amp;T2</stp>
        <stp>QUL</stp>
        <stp>409</stp>
        <tr r="C417" s="1"/>
      </tp>
      <tp t="s">
        <v>A janela foi fechada</v>
        <stp/>
        <stp>T&amp;T1</stp>
        <stp>QUL</stp>
        <stp>401</stp>
        <tr r="I409" s="1"/>
      </tp>
      <tp t="s">
        <v>A janela foi fechada</v>
        <stp/>
        <stp>T&amp;T2</stp>
        <stp>QUL</stp>
        <stp>402</stp>
        <tr r="C410" s="1"/>
      </tp>
      <tp t="s">
        <v>A janela foi fechada</v>
        <stp/>
        <stp>T&amp;T1</stp>
        <stp>QUL</stp>
        <stp>400</stp>
        <tr r="I408" s="1"/>
      </tp>
      <tp t="s">
        <v>A janela foi fechada</v>
        <stp/>
        <stp>T&amp;T2</stp>
        <stp>QUL</stp>
        <stp>403</stp>
        <tr r="C411" s="1"/>
      </tp>
      <tp t="s">
        <v>A janela foi fechada</v>
        <stp/>
        <stp>T&amp;T1</stp>
        <stp>QUL</stp>
        <stp>403</stp>
        <tr r="I411" s="1"/>
      </tp>
      <tp t="s">
        <v>A janela foi fechada</v>
        <stp/>
        <stp>T&amp;T2</stp>
        <stp>QUL</stp>
        <stp>400</stp>
        <tr r="C408" s="1"/>
      </tp>
      <tp t="s">
        <v>A janela foi fechada</v>
        <stp/>
        <stp>T&amp;T1</stp>
        <stp>QUL</stp>
        <stp>402</stp>
        <tr r="I410" s="1"/>
      </tp>
      <tp t="s">
        <v>A janela foi fechada</v>
        <stp/>
        <stp>T&amp;T2</stp>
        <stp>QUL</stp>
        <stp>401</stp>
        <tr r="C409" s="1"/>
      </tp>
      <tp t="s">
        <v>A janela foi fechada</v>
        <stp/>
        <stp>T&amp;T1</stp>
        <stp>QUL</stp>
        <stp>405</stp>
        <tr r="I413" s="1"/>
      </tp>
      <tp t="s">
        <v>A janela foi fechada</v>
        <stp/>
        <stp>T&amp;T2</stp>
        <stp>QUL</stp>
        <stp>406</stp>
        <tr r="C414" s="1"/>
      </tp>
      <tp t="s">
        <v>A janela foi fechada</v>
        <stp/>
        <stp>T&amp;T1</stp>
        <stp>QUL</stp>
        <stp>404</stp>
        <tr r="I412" s="1"/>
      </tp>
      <tp t="s">
        <v>A janela foi fechada</v>
        <stp/>
        <stp>T&amp;T2</stp>
        <stp>QUL</stp>
        <stp>407</stp>
        <tr r="C415" s="1"/>
      </tp>
      <tp t="s">
        <v>A janela foi fechada</v>
        <stp/>
        <stp>T&amp;T1</stp>
        <stp>QUL</stp>
        <stp>407</stp>
        <tr r="I415" s="1"/>
      </tp>
      <tp t="s">
        <v>A janela foi fechada</v>
        <stp/>
        <stp>T&amp;T2</stp>
        <stp>QUL</stp>
        <stp>404</stp>
        <tr r="C412" s="1"/>
      </tp>
      <tp t="s">
        <v>A janela foi fechada</v>
        <stp/>
        <stp>T&amp;T1</stp>
        <stp>QUL</stp>
        <stp>406</stp>
        <tr r="I414" s="1"/>
      </tp>
      <tp t="s">
        <v>A janela foi fechada</v>
        <stp/>
        <stp>T&amp;T2</stp>
        <stp>QUL</stp>
        <stp>405</stp>
        <tr r="C413" s="1"/>
      </tp>
      <tp t="s">
        <v>A janela foi fechada</v>
        <stp/>
        <stp>T&amp;T1</stp>
        <stp>QUL</stp>
        <stp>439</stp>
        <tr r="I447" s="1"/>
      </tp>
      <tp t="s">
        <v>A janela foi fechada</v>
        <stp/>
        <stp>T&amp;T1</stp>
        <stp>QUL</stp>
        <stp>438</stp>
        <tr r="I446" s="1"/>
      </tp>
      <tp t="s">
        <v>A janela foi fechada</v>
        <stp/>
        <stp>T&amp;T2</stp>
        <stp>QUL</stp>
        <stp>438</stp>
        <tr r="C446" s="1"/>
      </tp>
      <tp t="s">
        <v>A janela foi fechada</v>
        <stp/>
        <stp>T&amp;T2</stp>
        <stp>QUL</stp>
        <stp>439</stp>
        <tr r="C447" s="1"/>
      </tp>
      <tp t="s">
        <v>A janela foi fechada</v>
        <stp/>
        <stp>T&amp;T1</stp>
        <stp>QUL</stp>
        <stp>431</stp>
        <tr r="I439" s="1"/>
      </tp>
      <tp t="s">
        <v>A janela foi fechada</v>
        <stp/>
        <stp>T&amp;T2</stp>
        <stp>QUL</stp>
        <stp>432</stp>
        <tr r="C440" s="1"/>
      </tp>
      <tp t="s">
        <v>A janela foi fechada</v>
        <stp/>
        <stp>T&amp;T1</stp>
        <stp>QUL</stp>
        <stp>430</stp>
        <tr r="I438" s="1"/>
      </tp>
      <tp t="s">
        <v>A janela foi fechada</v>
        <stp/>
        <stp>T&amp;T2</stp>
        <stp>QUL</stp>
        <stp>433</stp>
        <tr r="C441" s="1"/>
      </tp>
      <tp t="s">
        <v>A janela foi fechada</v>
        <stp/>
        <stp>T&amp;T1</stp>
        <stp>QUL</stp>
        <stp>433</stp>
        <tr r="I441" s="1"/>
      </tp>
      <tp t="s">
        <v>A janela foi fechada</v>
        <stp/>
        <stp>T&amp;T2</stp>
        <stp>QUL</stp>
        <stp>430</stp>
        <tr r="C438" s="1"/>
      </tp>
      <tp t="s">
        <v>A janela foi fechada</v>
        <stp/>
        <stp>T&amp;T1</stp>
        <stp>QUL</stp>
        <stp>432</stp>
        <tr r="I440" s="1"/>
      </tp>
      <tp t="s">
        <v>A janela foi fechada</v>
        <stp/>
        <stp>T&amp;T2</stp>
        <stp>QUL</stp>
        <stp>431</stp>
        <tr r="C439" s="1"/>
      </tp>
      <tp t="s">
        <v>A janela foi fechada</v>
        <stp/>
        <stp>T&amp;T1</stp>
        <stp>QUL</stp>
        <stp>435</stp>
        <tr r="I443" s="1"/>
      </tp>
      <tp t="s">
        <v>A janela foi fechada</v>
        <stp/>
        <stp>T&amp;T2</stp>
        <stp>QUL</stp>
        <stp>436</stp>
        <tr r="C444" s="1"/>
      </tp>
      <tp t="s">
        <v>A janela foi fechada</v>
        <stp/>
        <stp>T&amp;T1</stp>
        <stp>QUL</stp>
        <stp>434</stp>
        <tr r="I442" s="1"/>
      </tp>
      <tp t="s">
        <v>A janela foi fechada</v>
        <stp/>
        <stp>T&amp;T2</stp>
        <stp>QUL</stp>
        <stp>437</stp>
        <tr r="C445" s="1"/>
      </tp>
      <tp t="s">
        <v>A janela foi fechada</v>
        <stp/>
        <stp>T&amp;T1</stp>
        <stp>QUL</stp>
        <stp>437</stp>
        <tr r="I445" s="1"/>
      </tp>
      <tp t="s">
        <v>A janela foi fechada</v>
        <stp/>
        <stp>T&amp;T2</stp>
        <stp>QUL</stp>
        <stp>434</stp>
        <tr r="C442" s="1"/>
      </tp>
      <tp t="s">
        <v>A janela foi fechada</v>
        <stp/>
        <stp>T&amp;T1</stp>
        <stp>QUL</stp>
        <stp>436</stp>
        <tr r="I444" s="1"/>
      </tp>
      <tp t="s">
        <v>A janela foi fechada</v>
        <stp/>
        <stp>T&amp;T2</stp>
        <stp>QUL</stp>
        <stp>435</stp>
        <tr r="C443" s="1"/>
      </tp>
      <tp t="s">
        <v>A janela foi fechada</v>
        <stp/>
        <stp>T&amp;T1</stp>
        <stp>QUL</stp>
        <stp>429</stp>
        <tr r="I437" s="1"/>
      </tp>
      <tp t="s">
        <v>A janela foi fechada</v>
        <stp/>
        <stp>T&amp;T1</stp>
        <stp>QUL</stp>
        <stp>428</stp>
        <tr r="I436" s="1"/>
      </tp>
      <tp t="s">
        <v>A janela foi fechada</v>
        <stp/>
        <stp>T&amp;T2</stp>
        <stp>QUL</stp>
        <stp>428</stp>
        <tr r="C436" s="1"/>
      </tp>
      <tp t="s">
        <v>A janela foi fechada</v>
        <stp/>
        <stp>T&amp;T2</stp>
        <stp>QUL</stp>
        <stp>429</stp>
        <tr r="C437" s="1"/>
      </tp>
      <tp t="s">
        <v>A janela foi fechada</v>
        <stp/>
        <stp>T&amp;T1</stp>
        <stp>QUL</stp>
        <stp>421</stp>
        <tr r="I429" s="1"/>
      </tp>
      <tp t="s">
        <v>A janela foi fechada</v>
        <stp/>
        <stp>T&amp;T2</stp>
        <stp>QUL</stp>
        <stp>422</stp>
        <tr r="C430" s="1"/>
      </tp>
      <tp t="s">
        <v>A janela foi fechada</v>
        <stp/>
        <stp>T&amp;T1</stp>
        <stp>QUL</stp>
        <stp>420</stp>
        <tr r="I428" s="1"/>
      </tp>
      <tp t="s">
        <v>A janela foi fechada</v>
        <stp/>
        <stp>T&amp;T2</stp>
        <stp>QUL</stp>
        <stp>423</stp>
        <tr r="C431" s="1"/>
      </tp>
      <tp t="s">
        <v>A janela foi fechada</v>
        <stp/>
        <stp>T&amp;T1</stp>
        <stp>QUL</stp>
        <stp>423</stp>
        <tr r="I431" s="1"/>
      </tp>
      <tp t="s">
        <v>A janela foi fechada</v>
        <stp/>
        <stp>T&amp;T2</stp>
        <stp>QUL</stp>
        <stp>420</stp>
        <tr r="C428" s="1"/>
      </tp>
      <tp t="s">
        <v>A janela foi fechada</v>
        <stp/>
        <stp>T&amp;T1</stp>
        <stp>QUL</stp>
        <stp>422</stp>
        <tr r="I430" s="1"/>
      </tp>
      <tp t="s">
        <v>A janela foi fechada</v>
        <stp/>
        <stp>T&amp;T2</stp>
        <stp>QUL</stp>
        <stp>421</stp>
        <tr r="C429" s="1"/>
      </tp>
      <tp t="s">
        <v>A janela foi fechada</v>
        <stp/>
        <stp>T&amp;T1</stp>
        <stp>QUL</stp>
        <stp>425</stp>
        <tr r="I433" s="1"/>
      </tp>
      <tp t="s">
        <v>A janela foi fechada</v>
        <stp/>
        <stp>T&amp;T2</stp>
        <stp>QUL</stp>
        <stp>426</stp>
        <tr r="C434" s="1"/>
      </tp>
      <tp t="s">
        <v>A janela foi fechada</v>
        <stp/>
        <stp>T&amp;T1</stp>
        <stp>QUL</stp>
        <stp>424</stp>
        <tr r="I432" s="1"/>
      </tp>
      <tp t="s">
        <v>A janela foi fechada</v>
        <stp/>
        <stp>T&amp;T2</stp>
        <stp>QUL</stp>
        <stp>427</stp>
        <tr r="C435" s="1"/>
      </tp>
      <tp t="s">
        <v>A janela foi fechada</v>
        <stp/>
        <stp>T&amp;T1</stp>
        <stp>QUL</stp>
        <stp>427</stp>
        <tr r="I435" s="1"/>
      </tp>
      <tp t="s">
        <v>A janela foi fechada</v>
        <stp/>
        <stp>T&amp;T2</stp>
        <stp>QUL</stp>
        <stp>424</stp>
        <tr r="C432" s="1"/>
      </tp>
      <tp t="s">
        <v>A janela foi fechada</v>
        <stp/>
        <stp>T&amp;T1</stp>
        <stp>QUL</stp>
        <stp>426</stp>
        <tr r="I434" s="1"/>
      </tp>
      <tp t="s">
        <v>A janela foi fechada</v>
        <stp/>
        <stp>T&amp;T2</stp>
        <stp>QUL</stp>
        <stp>425</stp>
        <tr r="C433" s="1"/>
      </tp>
      <tp t="s">
        <v>A janela foi fechada</v>
        <stp/>
        <stp>T&amp;T1</stp>
        <stp>QUL</stp>
        <stp>459</stp>
        <tr r="I467" s="1"/>
      </tp>
      <tp t="s">
        <v>A janela foi fechada</v>
        <stp/>
        <stp>T&amp;T1</stp>
        <stp>QUL</stp>
        <stp>458</stp>
        <tr r="I466" s="1"/>
      </tp>
      <tp t="s">
        <v>A janela foi fechada</v>
        <stp/>
        <stp>T&amp;T2</stp>
        <stp>QUL</stp>
        <stp>458</stp>
        <tr r="C466" s="1"/>
      </tp>
      <tp t="s">
        <v>A janela foi fechada</v>
        <stp/>
        <stp>T&amp;T2</stp>
        <stp>QUL</stp>
        <stp>459</stp>
        <tr r="C467" s="1"/>
      </tp>
      <tp t="s">
        <v>A janela foi fechada</v>
        <stp/>
        <stp>T&amp;T1</stp>
        <stp>QUL</stp>
        <stp>451</stp>
        <tr r="I459" s="1"/>
      </tp>
      <tp t="s">
        <v>A janela foi fechada</v>
        <stp/>
        <stp>T&amp;T2</stp>
        <stp>QUL</stp>
        <stp>452</stp>
        <tr r="C460" s="1"/>
      </tp>
      <tp t="s">
        <v>A janela foi fechada</v>
        <stp/>
        <stp>T&amp;T1</stp>
        <stp>QUL</stp>
        <stp>450</stp>
        <tr r="I458" s="1"/>
      </tp>
      <tp t="s">
        <v>A janela foi fechada</v>
        <stp/>
        <stp>T&amp;T2</stp>
        <stp>QUL</stp>
        <stp>453</stp>
        <tr r="C461" s="1"/>
      </tp>
      <tp t="s">
        <v>A janela foi fechada</v>
        <stp/>
        <stp>T&amp;T1</stp>
        <stp>QUL</stp>
        <stp>453</stp>
        <tr r="I461" s="1"/>
      </tp>
      <tp t="s">
        <v>A janela foi fechada</v>
        <stp/>
        <stp>T&amp;T2</stp>
        <stp>QUL</stp>
        <stp>450</stp>
        <tr r="C458" s="1"/>
      </tp>
      <tp t="s">
        <v>A janela foi fechada</v>
        <stp/>
        <stp>T&amp;T1</stp>
        <stp>QUL</stp>
        <stp>452</stp>
        <tr r="I460" s="1"/>
      </tp>
      <tp t="s">
        <v>A janela foi fechada</v>
        <stp/>
        <stp>T&amp;T2</stp>
        <stp>QUL</stp>
        <stp>451</stp>
        <tr r="C459" s="1"/>
      </tp>
      <tp t="s">
        <v>A janela foi fechada</v>
        <stp/>
        <stp>T&amp;T1</stp>
        <stp>QUL</stp>
        <stp>455</stp>
        <tr r="I463" s="1"/>
      </tp>
      <tp t="s">
        <v>A janela foi fechada</v>
        <stp/>
        <stp>T&amp;T2</stp>
        <stp>QUL</stp>
        <stp>456</stp>
        <tr r="C464" s="1"/>
      </tp>
      <tp t="s">
        <v>A janela foi fechada</v>
        <stp/>
        <stp>T&amp;T1</stp>
        <stp>QUL</stp>
        <stp>454</stp>
        <tr r="I462" s="1"/>
      </tp>
      <tp t="s">
        <v>A janela foi fechada</v>
        <stp/>
        <stp>T&amp;T2</stp>
        <stp>QUL</stp>
        <stp>457</stp>
        <tr r="C465" s="1"/>
      </tp>
      <tp t="s">
        <v>A janela foi fechada</v>
        <stp/>
        <stp>T&amp;T1</stp>
        <stp>QUL</stp>
        <stp>457</stp>
        <tr r="I465" s="1"/>
      </tp>
      <tp t="s">
        <v>A janela foi fechada</v>
        <stp/>
        <stp>T&amp;T2</stp>
        <stp>QUL</stp>
        <stp>454</stp>
        <tr r="C462" s="1"/>
      </tp>
      <tp t="s">
        <v>A janela foi fechada</v>
        <stp/>
        <stp>T&amp;T1</stp>
        <stp>QUL</stp>
        <stp>456</stp>
        <tr r="I464" s="1"/>
      </tp>
      <tp t="s">
        <v>A janela foi fechada</v>
        <stp/>
        <stp>T&amp;T2</stp>
        <stp>QUL</stp>
        <stp>455</stp>
        <tr r="C463" s="1"/>
      </tp>
      <tp t="s">
        <v>A janela foi fechada</v>
        <stp/>
        <stp>T&amp;T1</stp>
        <stp>QUL</stp>
        <stp>449</stp>
        <tr r="I457" s="1"/>
      </tp>
      <tp t="s">
        <v>A janela foi fechada</v>
        <stp/>
        <stp>T&amp;T1</stp>
        <stp>QUL</stp>
        <stp>448</stp>
        <tr r="I456" s="1"/>
      </tp>
      <tp t="s">
        <v>A janela foi fechada</v>
        <stp/>
        <stp>T&amp;T2</stp>
        <stp>QUL</stp>
        <stp>448</stp>
        <tr r="C456" s="1"/>
      </tp>
      <tp t="s">
        <v>A janela foi fechada</v>
        <stp/>
        <stp>T&amp;T2</stp>
        <stp>QUL</stp>
        <stp>449</stp>
        <tr r="C457" s="1"/>
      </tp>
      <tp t="s">
        <v>A janela foi fechada</v>
        <stp/>
        <stp>T&amp;T1</stp>
        <stp>QUL</stp>
        <stp>441</stp>
        <tr r="I449" s="1"/>
      </tp>
      <tp t="s">
        <v>A janela foi fechada</v>
        <stp/>
        <stp>T&amp;T2</stp>
        <stp>QUL</stp>
        <stp>442</stp>
        <tr r="C450" s="1"/>
      </tp>
      <tp t="s">
        <v>A janela foi fechada</v>
        <stp/>
        <stp>T&amp;T1</stp>
        <stp>QUL</stp>
        <stp>440</stp>
        <tr r="I448" s="1"/>
      </tp>
      <tp t="s">
        <v>A janela foi fechada</v>
        <stp/>
        <stp>T&amp;T2</stp>
        <stp>QUL</stp>
        <stp>443</stp>
        <tr r="C451" s="1"/>
      </tp>
      <tp t="s">
        <v>A janela foi fechada</v>
        <stp/>
        <stp>T&amp;T1</stp>
        <stp>QUL</stp>
        <stp>443</stp>
        <tr r="I451" s="1"/>
      </tp>
      <tp t="s">
        <v>A janela foi fechada</v>
        <stp/>
        <stp>T&amp;T2</stp>
        <stp>QUL</stp>
        <stp>440</stp>
        <tr r="C448" s="1"/>
      </tp>
      <tp t="s">
        <v>A janela foi fechada</v>
        <stp/>
        <stp>T&amp;T1</stp>
        <stp>QUL</stp>
        <stp>442</stp>
        <tr r="I450" s="1"/>
      </tp>
      <tp t="s">
        <v>A janela foi fechada</v>
        <stp/>
        <stp>T&amp;T2</stp>
        <stp>QUL</stp>
        <stp>441</stp>
        <tr r="C449" s="1"/>
      </tp>
      <tp t="s">
        <v>A janela foi fechada</v>
        <stp/>
        <stp>T&amp;T1</stp>
        <stp>QUL</stp>
        <stp>445</stp>
        <tr r="I453" s="1"/>
      </tp>
      <tp t="s">
        <v>A janela foi fechada</v>
        <stp/>
        <stp>T&amp;T2</stp>
        <stp>QUL</stp>
        <stp>446</stp>
        <tr r="C454" s="1"/>
      </tp>
      <tp t="s">
        <v>A janela foi fechada</v>
        <stp/>
        <stp>T&amp;T1</stp>
        <stp>QUL</stp>
        <stp>444</stp>
        <tr r="I452" s="1"/>
      </tp>
      <tp t="s">
        <v>A janela foi fechada</v>
        <stp/>
        <stp>T&amp;T2</stp>
        <stp>QUL</stp>
        <stp>447</stp>
        <tr r="C455" s="1"/>
      </tp>
      <tp t="s">
        <v>A janela foi fechada</v>
        <stp/>
        <stp>T&amp;T1</stp>
        <stp>QUL</stp>
        <stp>447</stp>
        <tr r="I455" s="1"/>
      </tp>
      <tp t="s">
        <v>A janela foi fechada</v>
        <stp/>
        <stp>T&amp;T2</stp>
        <stp>QUL</stp>
        <stp>444</stp>
        <tr r="C452" s="1"/>
      </tp>
      <tp t="s">
        <v>A janela foi fechada</v>
        <stp/>
        <stp>T&amp;T1</stp>
        <stp>QUL</stp>
        <stp>446</stp>
        <tr r="I454" s="1"/>
      </tp>
      <tp t="s">
        <v>A janela foi fechada</v>
        <stp/>
        <stp>T&amp;T2</stp>
        <stp>QUL</stp>
        <stp>445</stp>
        <tr r="C453" s="1"/>
      </tp>
      <tp t="s">
        <v>A janela foi fechada</v>
        <stp/>
        <stp>T&amp;T1</stp>
        <stp>QUL</stp>
        <stp>479</stp>
        <tr r="I487" s="1"/>
      </tp>
      <tp t="s">
        <v>A janela foi fechada</v>
        <stp/>
        <stp>T&amp;T1</stp>
        <stp>QUL</stp>
        <stp>478</stp>
        <tr r="I486" s="1"/>
      </tp>
      <tp t="s">
        <v>A janela foi fechada</v>
        <stp/>
        <stp>T&amp;T2</stp>
        <stp>QUL</stp>
        <stp>478</stp>
        <tr r="C486" s="1"/>
      </tp>
      <tp t="s">
        <v>A janela foi fechada</v>
        <stp/>
        <stp>T&amp;T2</stp>
        <stp>QUL</stp>
        <stp>479</stp>
        <tr r="C487" s="1"/>
      </tp>
      <tp t="s">
        <v>A janela foi fechada</v>
        <stp/>
        <stp>T&amp;T1</stp>
        <stp>QUL</stp>
        <stp>471</stp>
        <tr r="I479" s="1"/>
      </tp>
      <tp t="s">
        <v>A janela foi fechada</v>
        <stp/>
        <stp>T&amp;T2</stp>
        <stp>QUL</stp>
        <stp>472</stp>
        <tr r="C480" s="1"/>
      </tp>
      <tp t="s">
        <v>A janela foi fechada</v>
        <stp/>
        <stp>T&amp;T1</stp>
        <stp>QUL</stp>
        <stp>470</stp>
        <tr r="I478" s="1"/>
      </tp>
      <tp t="s">
        <v>A janela foi fechada</v>
        <stp/>
        <stp>T&amp;T2</stp>
        <stp>QUL</stp>
        <stp>473</stp>
        <tr r="C481" s="1"/>
      </tp>
      <tp t="s">
        <v>A janela foi fechada</v>
        <stp/>
        <stp>T&amp;T1</stp>
        <stp>QUL</stp>
        <stp>473</stp>
        <tr r="I481" s="1"/>
      </tp>
      <tp t="s">
        <v>A janela foi fechada</v>
        <stp/>
        <stp>T&amp;T2</stp>
        <stp>QUL</stp>
        <stp>470</stp>
        <tr r="C478" s="1"/>
      </tp>
      <tp t="s">
        <v>A janela foi fechada</v>
        <stp/>
        <stp>T&amp;T1</stp>
        <stp>QUL</stp>
        <stp>472</stp>
        <tr r="I480" s="1"/>
      </tp>
      <tp t="s">
        <v>A janela foi fechada</v>
        <stp/>
        <stp>T&amp;T2</stp>
        <stp>QUL</stp>
        <stp>471</stp>
        <tr r="C479" s="1"/>
      </tp>
      <tp t="s">
        <v>A janela foi fechada</v>
        <stp/>
        <stp>T&amp;T1</stp>
        <stp>QUL</stp>
        <stp>475</stp>
        <tr r="I483" s="1"/>
      </tp>
      <tp t="s">
        <v>A janela foi fechada</v>
        <stp/>
        <stp>T&amp;T2</stp>
        <stp>QUL</stp>
        <stp>476</stp>
        <tr r="C484" s="1"/>
      </tp>
      <tp t="s">
        <v>A janela foi fechada</v>
        <stp/>
        <stp>T&amp;T1</stp>
        <stp>QUL</stp>
        <stp>474</stp>
        <tr r="I482" s="1"/>
      </tp>
      <tp t="s">
        <v>A janela foi fechada</v>
        <stp/>
        <stp>T&amp;T2</stp>
        <stp>QUL</stp>
        <stp>477</stp>
        <tr r="C485" s="1"/>
      </tp>
      <tp t="s">
        <v>A janela foi fechada</v>
        <stp/>
        <stp>T&amp;T1</stp>
        <stp>QUL</stp>
        <stp>477</stp>
        <tr r="I485" s="1"/>
      </tp>
      <tp t="s">
        <v>A janela foi fechada</v>
        <stp/>
        <stp>T&amp;T2</stp>
        <stp>QUL</stp>
        <stp>474</stp>
        <tr r="C482" s="1"/>
      </tp>
      <tp t="s">
        <v>A janela foi fechada</v>
        <stp/>
        <stp>T&amp;T1</stp>
        <stp>QUL</stp>
        <stp>476</stp>
        <tr r="I484" s="1"/>
      </tp>
      <tp t="s">
        <v>A janela foi fechada</v>
        <stp/>
        <stp>T&amp;T2</stp>
        <stp>QUL</stp>
        <stp>475</stp>
        <tr r="C483" s="1"/>
      </tp>
      <tp t="s">
        <v>A janela foi fechada</v>
        <stp/>
        <stp>T&amp;T1</stp>
        <stp>QUL</stp>
        <stp>469</stp>
        <tr r="I477" s="1"/>
      </tp>
      <tp t="s">
        <v>A janela foi fechada</v>
        <stp/>
        <stp>T&amp;T1</stp>
        <stp>QUL</stp>
        <stp>468</stp>
        <tr r="I476" s="1"/>
      </tp>
      <tp t="s">
        <v>A janela foi fechada</v>
        <stp/>
        <stp>T&amp;T2</stp>
        <stp>QUL</stp>
        <stp>468</stp>
        <tr r="C476" s="1"/>
      </tp>
      <tp t="s">
        <v>A janela foi fechada</v>
        <stp/>
        <stp>T&amp;T2</stp>
        <stp>QUL</stp>
        <stp>469</stp>
        <tr r="C477" s="1"/>
      </tp>
      <tp t="s">
        <v>A janela foi fechada</v>
        <stp/>
        <stp>T&amp;T1</stp>
        <stp>QUL</stp>
        <stp>461</stp>
        <tr r="I469" s="1"/>
      </tp>
      <tp t="s">
        <v>A janela foi fechada</v>
        <stp/>
        <stp>T&amp;T2</stp>
        <stp>QUL</stp>
        <stp>462</stp>
        <tr r="C470" s="1"/>
      </tp>
      <tp t="s">
        <v>A janela foi fechada</v>
        <stp/>
        <stp>T&amp;T1</stp>
        <stp>QUL</stp>
        <stp>460</stp>
        <tr r="I468" s="1"/>
      </tp>
      <tp t="s">
        <v>A janela foi fechada</v>
        <stp/>
        <stp>T&amp;T2</stp>
        <stp>QUL</stp>
        <stp>463</stp>
        <tr r="C471" s="1"/>
      </tp>
      <tp t="s">
        <v>A janela foi fechada</v>
        <stp/>
        <stp>T&amp;T1</stp>
        <stp>QUL</stp>
        <stp>463</stp>
        <tr r="I471" s="1"/>
      </tp>
      <tp t="s">
        <v>A janela foi fechada</v>
        <stp/>
        <stp>T&amp;T2</stp>
        <stp>QUL</stp>
        <stp>460</stp>
        <tr r="C468" s="1"/>
      </tp>
      <tp t="s">
        <v>A janela foi fechada</v>
        <stp/>
        <stp>T&amp;T1</stp>
        <stp>QUL</stp>
        <stp>462</stp>
        <tr r="I470" s="1"/>
      </tp>
      <tp t="s">
        <v>A janela foi fechada</v>
        <stp/>
        <stp>T&amp;T2</stp>
        <stp>QUL</stp>
        <stp>461</stp>
        <tr r="C469" s="1"/>
      </tp>
      <tp t="s">
        <v>A janela foi fechada</v>
        <stp/>
        <stp>T&amp;T1</stp>
        <stp>QUL</stp>
        <stp>465</stp>
        <tr r="I473" s="1"/>
      </tp>
      <tp t="s">
        <v>A janela foi fechada</v>
        <stp/>
        <stp>T&amp;T2</stp>
        <stp>QUL</stp>
        <stp>466</stp>
        <tr r="C474" s="1"/>
      </tp>
      <tp t="s">
        <v>A janela foi fechada</v>
        <stp/>
        <stp>T&amp;T1</stp>
        <stp>QUL</stp>
        <stp>464</stp>
        <tr r="I472" s="1"/>
      </tp>
      <tp t="s">
        <v>A janela foi fechada</v>
        <stp/>
        <stp>T&amp;T2</stp>
        <stp>QUL</stp>
        <stp>467</stp>
        <tr r="C475" s="1"/>
      </tp>
      <tp t="s">
        <v>A janela foi fechada</v>
        <stp/>
        <stp>T&amp;T1</stp>
        <stp>QUL</stp>
        <stp>467</stp>
        <tr r="I475" s="1"/>
      </tp>
      <tp t="s">
        <v>A janela foi fechada</v>
        <stp/>
        <stp>T&amp;T2</stp>
        <stp>QUL</stp>
        <stp>464</stp>
        <tr r="C472" s="1"/>
      </tp>
      <tp t="s">
        <v>A janela foi fechada</v>
        <stp/>
        <stp>T&amp;T1</stp>
        <stp>QUL</stp>
        <stp>466</stp>
        <tr r="I474" s="1"/>
      </tp>
      <tp t="s">
        <v>A janela foi fechada</v>
        <stp/>
        <stp>T&amp;T2</stp>
        <stp>QUL</stp>
        <stp>465</stp>
        <tr r="C473" s="1"/>
      </tp>
      <tp>
        <v>28136</v>
        <stp/>
        <stp>NQM6_M_0</stp>
        <stp>AJA</stp>
        <tr r="I2" s="1"/>
      </tp>
      <tp>
        <v>28250</v>
        <stp/>
        <stp>NQM6_M_0</stp>
        <stp>ABE</stp>
        <tr r="D2" s="1"/>
      </tp>
      <tp t="s">
        <v>A janela foi fechada</v>
        <stp/>
        <stp>T&amp;T2</stp>
        <stp>INFO</stp>
        <stp>ATV</stp>
        <tr r="A6" s="1"/>
      </tp>
      <tp t="s">
        <v>A janela foi fechada</v>
        <stp/>
        <stp>T&amp;T1</stp>
        <stp>INFO</stp>
        <stp>ATV</stp>
        <tr r="G6" s="1"/>
      </tp>
      <tp t="s">
        <v>05/05/2026</v>
        <stp/>
        <stp>NQM6_M_0</stp>
        <stp>DAT</stp>
        <tr r="B2" s="1"/>
      </tp>
      <tp>
        <v>28207.25</v>
        <stp/>
        <stp>NQM6_M_0</stp>
        <stp>FEC</stp>
        <tr r="G2" s="1"/>
      </tp>
      <tp t="s">
        <v>A janela foi fechada</v>
        <stp/>
        <stp>T&amp;T1</stp>
        <stp>AGR</stp>
        <stp>397</stp>
        <tr r="J405" s="1"/>
      </tp>
      <tp t="s">
        <v>A janela foi fechada</v>
        <stp/>
        <stp>T&amp;T2</stp>
        <stp>AGR</stp>
        <stp>394</stp>
        <tr r="D402" s="1"/>
      </tp>
      <tp t="s">
        <v>A janela foi fechada</v>
        <stp/>
        <stp>T&amp;T1</stp>
        <stp>AGR</stp>
        <stp>396</stp>
        <tr r="J404" s="1"/>
      </tp>
      <tp t="s">
        <v>A janela foi fechada</v>
        <stp/>
        <stp>T&amp;T2</stp>
        <stp>AGR</stp>
        <stp>395</stp>
        <tr r="D403" s="1"/>
      </tp>
      <tp t="s">
        <v>A janela foi fechada</v>
        <stp/>
        <stp>T&amp;T1</stp>
        <stp>AGR</stp>
        <stp>395</stp>
        <tr r="J403" s="1"/>
      </tp>
      <tp t="s">
        <v>A janela foi fechada</v>
        <stp/>
        <stp>T&amp;T2</stp>
        <stp>AGR</stp>
        <stp>396</stp>
        <tr r="D404" s="1"/>
      </tp>
      <tp t="s">
        <v>A janela foi fechada</v>
        <stp/>
        <stp>T&amp;T1</stp>
        <stp>AGR</stp>
        <stp>394</stp>
        <tr r="J402" s="1"/>
      </tp>
      <tp t="s">
        <v>A janela foi fechada</v>
        <stp/>
        <stp>T&amp;T2</stp>
        <stp>AGR</stp>
        <stp>397</stp>
        <tr r="D405" s="1"/>
      </tp>
      <tp t="s">
        <v>A janela foi fechada</v>
        <stp/>
        <stp>T&amp;T1</stp>
        <stp>AGR</stp>
        <stp>393</stp>
        <tr r="J401" s="1"/>
      </tp>
      <tp t="s">
        <v>A janela foi fechada</v>
        <stp/>
        <stp>T&amp;T2</stp>
        <stp>AGR</stp>
        <stp>390</stp>
        <tr r="D398" s="1"/>
      </tp>
      <tp t="s">
        <v>A janela foi fechada</v>
        <stp/>
        <stp>T&amp;T1</stp>
        <stp>AGR</stp>
        <stp>392</stp>
        <tr r="J400" s="1"/>
      </tp>
      <tp t="s">
        <v>A janela foi fechada</v>
        <stp/>
        <stp>T&amp;T2</stp>
        <stp>AGR</stp>
        <stp>391</stp>
        <tr r="D399" s="1"/>
      </tp>
      <tp t="s">
        <v>A janela foi fechada</v>
        <stp/>
        <stp>T&amp;T1</stp>
        <stp>AGR</stp>
        <stp>391</stp>
        <tr r="J399" s="1"/>
      </tp>
      <tp t="s">
        <v>A janela foi fechada</v>
        <stp/>
        <stp>T&amp;T2</stp>
        <stp>AGR</stp>
        <stp>392</stp>
        <tr r="D400" s="1"/>
      </tp>
      <tp t="s">
        <v>A janela foi fechada</v>
        <stp/>
        <stp>T&amp;T1</stp>
        <stp>AGR</stp>
        <stp>390</stp>
        <tr r="J398" s="1"/>
      </tp>
      <tp t="s">
        <v>A janela foi fechada</v>
        <stp/>
        <stp>T&amp;T2</stp>
        <stp>AGR</stp>
        <stp>393</stp>
        <tr r="D401" s="1"/>
      </tp>
      <tp t="s">
        <v>A janela foi fechada</v>
        <stp/>
        <stp>T&amp;T2</stp>
        <stp>AGR</stp>
        <stp>398</stp>
        <tr r="D406" s="1"/>
      </tp>
      <tp t="s">
        <v>A janela foi fechada</v>
        <stp/>
        <stp>T&amp;T2</stp>
        <stp>AGR</stp>
        <stp>399</stp>
        <tr r="D407" s="1"/>
      </tp>
      <tp t="s">
        <v>A janela foi fechada</v>
        <stp/>
        <stp>T&amp;T1</stp>
        <stp>AGR</stp>
        <stp>399</stp>
        <tr r="J407" s="1"/>
      </tp>
      <tp t="s">
        <v>A janela foi fechada</v>
        <stp/>
        <stp>T&amp;T1</stp>
        <stp>AGR</stp>
        <stp>398</stp>
        <tr r="J406" s="1"/>
      </tp>
      <tp t="s">
        <v>A janela foi fechada</v>
        <stp/>
        <stp>T&amp;T1</stp>
        <stp>AGR</stp>
        <stp>387</stp>
        <tr r="J395" s="1"/>
      </tp>
      <tp t="s">
        <v>A janela foi fechada</v>
        <stp/>
        <stp>T&amp;T2</stp>
        <stp>AGR</stp>
        <stp>384</stp>
        <tr r="D392" s="1"/>
      </tp>
      <tp t="s">
        <v>A janela foi fechada</v>
        <stp/>
        <stp>T&amp;T1</stp>
        <stp>AGR</stp>
        <stp>386</stp>
        <tr r="J394" s="1"/>
      </tp>
      <tp t="s">
        <v>A janela foi fechada</v>
        <stp/>
        <stp>T&amp;T2</stp>
        <stp>AGR</stp>
        <stp>385</stp>
        <tr r="D393" s="1"/>
      </tp>
      <tp t="s">
        <v>A janela foi fechada</v>
        <stp/>
        <stp>T&amp;T1</stp>
        <stp>AGR</stp>
        <stp>385</stp>
        <tr r="J393" s="1"/>
      </tp>
      <tp t="s">
        <v>A janela foi fechada</v>
        <stp/>
        <stp>T&amp;T2</stp>
        <stp>AGR</stp>
        <stp>386</stp>
        <tr r="D394" s="1"/>
      </tp>
      <tp t="s">
        <v>A janela foi fechada</v>
        <stp/>
        <stp>T&amp;T1</stp>
        <stp>AGR</stp>
        <stp>384</stp>
        <tr r="J392" s="1"/>
      </tp>
      <tp t="s">
        <v>A janela foi fechada</v>
        <stp/>
        <stp>T&amp;T2</stp>
        <stp>AGR</stp>
        <stp>387</stp>
        <tr r="D395" s="1"/>
      </tp>
      <tp t="s">
        <v>A janela foi fechada</v>
        <stp/>
        <stp>T&amp;T1</stp>
        <stp>AGR</stp>
        <stp>383</stp>
        <tr r="J391" s="1"/>
      </tp>
      <tp t="s">
        <v>A janela foi fechada</v>
        <stp/>
        <stp>T&amp;T2</stp>
        <stp>AGR</stp>
        <stp>380</stp>
        <tr r="D388" s="1"/>
      </tp>
      <tp t="s">
        <v>A janela foi fechada</v>
        <stp/>
        <stp>T&amp;T1</stp>
        <stp>AGR</stp>
        <stp>382</stp>
        <tr r="J390" s="1"/>
      </tp>
      <tp t="s">
        <v>A janela foi fechada</v>
        <stp/>
        <stp>T&amp;T2</stp>
        <stp>AGR</stp>
        <stp>381</stp>
        <tr r="D389" s="1"/>
      </tp>
      <tp t="s">
        <v>A janela foi fechada</v>
        <stp/>
        <stp>T&amp;T1</stp>
        <stp>AGR</stp>
        <stp>381</stp>
        <tr r="J389" s="1"/>
      </tp>
      <tp t="s">
        <v>A janela foi fechada</v>
        <stp/>
        <stp>T&amp;T2</stp>
        <stp>AGR</stp>
        <stp>382</stp>
        <tr r="D390" s="1"/>
      </tp>
      <tp t="s">
        <v>A janela foi fechada</v>
        <stp/>
        <stp>T&amp;T1</stp>
        <stp>AGR</stp>
        <stp>380</stp>
        <tr r="J388" s="1"/>
      </tp>
      <tp t="s">
        <v>A janela foi fechada</v>
        <stp/>
        <stp>T&amp;T2</stp>
        <stp>AGR</stp>
        <stp>383</stp>
        <tr r="D391" s="1"/>
      </tp>
      <tp t="s">
        <v>A janela foi fechada</v>
        <stp/>
        <stp>T&amp;T2</stp>
        <stp>AGR</stp>
        <stp>388</stp>
        <tr r="D396" s="1"/>
      </tp>
      <tp t="s">
        <v>A janela foi fechada</v>
        <stp/>
        <stp>T&amp;T2</stp>
        <stp>AGR</stp>
        <stp>389</stp>
        <tr r="D397" s="1"/>
      </tp>
      <tp t="s">
        <v>A janela foi fechada</v>
        <stp/>
        <stp>T&amp;T1</stp>
        <stp>AGR</stp>
        <stp>389</stp>
        <tr r="J397" s="1"/>
      </tp>
      <tp t="s">
        <v>A janela foi fechada</v>
        <stp/>
        <stp>T&amp;T1</stp>
        <stp>AGR</stp>
        <stp>388</stp>
        <tr r="J396" s="1"/>
      </tp>
      <tp t="s">
        <v>A janela foi fechada</v>
        <stp/>
        <stp>T&amp;T1</stp>
        <stp>AGR</stp>
        <stp>337</stp>
        <tr r="J345" s="1"/>
      </tp>
      <tp t="s">
        <v>A janela foi fechada</v>
        <stp/>
        <stp>T&amp;T2</stp>
        <stp>AGR</stp>
        <stp>334</stp>
        <tr r="D342" s="1"/>
      </tp>
      <tp t="s">
        <v>A janela foi fechada</v>
        <stp/>
        <stp>T&amp;T1</stp>
        <stp>AGR</stp>
        <stp>336</stp>
        <tr r="J344" s="1"/>
      </tp>
      <tp t="s">
        <v>A janela foi fechada</v>
        <stp/>
        <stp>T&amp;T2</stp>
        <stp>AGR</stp>
        <stp>335</stp>
        <tr r="D343" s="1"/>
      </tp>
      <tp t="s">
        <v>A janela foi fechada</v>
        <stp/>
        <stp>T&amp;T1</stp>
        <stp>AGR</stp>
        <stp>335</stp>
        <tr r="J343" s="1"/>
      </tp>
      <tp t="s">
        <v>A janela foi fechada</v>
        <stp/>
        <stp>T&amp;T2</stp>
        <stp>AGR</stp>
        <stp>336</stp>
        <tr r="D344" s="1"/>
      </tp>
      <tp t="s">
        <v>A janela foi fechada</v>
        <stp/>
        <stp>T&amp;T1</stp>
        <stp>AGR</stp>
        <stp>334</stp>
        <tr r="J342" s="1"/>
      </tp>
      <tp t="s">
        <v>A janela foi fechada</v>
        <stp/>
        <stp>T&amp;T2</stp>
        <stp>AGR</stp>
        <stp>337</stp>
        <tr r="D345" s="1"/>
      </tp>
      <tp t="s">
        <v>A janela foi fechada</v>
        <stp/>
        <stp>T&amp;T1</stp>
        <stp>AGR</stp>
        <stp>333</stp>
        <tr r="J341" s="1"/>
      </tp>
      <tp t="s">
        <v>A janela foi fechada</v>
        <stp/>
        <stp>T&amp;T2</stp>
        <stp>AGR</stp>
        <stp>330</stp>
        <tr r="D338" s="1"/>
      </tp>
      <tp t="s">
        <v>A janela foi fechada</v>
        <stp/>
        <stp>T&amp;T1</stp>
        <stp>AGR</stp>
        <stp>332</stp>
        <tr r="J340" s="1"/>
      </tp>
      <tp t="s">
        <v>A janela foi fechada</v>
        <stp/>
        <stp>T&amp;T2</stp>
        <stp>AGR</stp>
        <stp>331</stp>
        <tr r="D339" s="1"/>
      </tp>
      <tp t="s">
        <v>A janela foi fechada</v>
        <stp/>
        <stp>T&amp;T1</stp>
        <stp>AGR</stp>
        <stp>331</stp>
        <tr r="J339" s="1"/>
      </tp>
      <tp t="s">
        <v>A janela foi fechada</v>
        <stp/>
        <stp>T&amp;T2</stp>
        <stp>AGR</stp>
        <stp>332</stp>
        <tr r="D340" s="1"/>
      </tp>
      <tp t="s">
        <v>A janela foi fechada</v>
        <stp/>
        <stp>T&amp;T1</stp>
        <stp>AGR</stp>
        <stp>330</stp>
        <tr r="J338" s="1"/>
      </tp>
      <tp t="s">
        <v>A janela foi fechada</v>
        <stp/>
        <stp>T&amp;T2</stp>
        <stp>AGR</stp>
        <stp>333</stp>
        <tr r="D341" s="1"/>
      </tp>
      <tp t="s">
        <v>A janela foi fechada</v>
        <stp/>
        <stp>T&amp;T2</stp>
        <stp>AGR</stp>
        <stp>338</stp>
        <tr r="D346" s="1"/>
      </tp>
      <tp t="s">
        <v>A janela foi fechada</v>
        <stp/>
        <stp>T&amp;T2</stp>
        <stp>AGR</stp>
        <stp>339</stp>
        <tr r="D347" s="1"/>
      </tp>
      <tp t="s">
        <v>A janela foi fechada</v>
        <stp/>
        <stp>T&amp;T1</stp>
        <stp>AGR</stp>
        <stp>339</stp>
        <tr r="J347" s="1"/>
      </tp>
      <tp t="s">
        <v>A janela foi fechada</v>
        <stp/>
        <stp>T&amp;T1</stp>
        <stp>AGR</stp>
        <stp>338</stp>
        <tr r="J346" s="1"/>
      </tp>
      <tp t="s">
        <v>A janela foi fechada</v>
        <stp/>
        <stp>T&amp;T1</stp>
        <stp>AGR</stp>
        <stp>327</stp>
        <tr r="J335" s="1"/>
      </tp>
      <tp t="s">
        <v>A janela foi fechada</v>
        <stp/>
        <stp>T&amp;T2</stp>
        <stp>AGR</stp>
        <stp>324</stp>
        <tr r="D332" s="1"/>
      </tp>
      <tp t="s">
        <v>A janela foi fechada</v>
        <stp/>
        <stp>T&amp;T1</stp>
        <stp>AGR</stp>
        <stp>326</stp>
        <tr r="J334" s="1"/>
      </tp>
      <tp t="s">
        <v>A janela foi fechada</v>
        <stp/>
        <stp>T&amp;T2</stp>
        <stp>AGR</stp>
        <stp>325</stp>
        <tr r="D333" s="1"/>
      </tp>
      <tp t="s">
        <v>A janela foi fechada</v>
        <stp/>
        <stp>T&amp;T1</stp>
        <stp>AGR</stp>
        <stp>325</stp>
        <tr r="J333" s="1"/>
      </tp>
      <tp t="s">
        <v>A janela foi fechada</v>
        <stp/>
        <stp>T&amp;T2</stp>
        <stp>AGR</stp>
        <stp>326</stp>
        <tr r="D334" s="1"/>
      </tp>
      <tp t="s">
        <v>A janela foi fechada</v>
        <stp/>
        <stp>T&amp;T1</stp>
        <stp>AGR</stp>
        <stp>324</stp>
        <tr r="J332" s="1"/>
      </tp>
      <tp t="s">
        <v>A janela foi fechada</v>
        <stp/>
        <stp>T&amp;T2</stp>
        <stp>AGR</stp>
        <stp>327</stp>
        <tr r="D335" s="1"/>
      </tp>
      <tp t="s">
        <v>A janela foi fechada</v>
        <stp/>
        <stp>T&amp;T1</stp>
        <stp>AGR</stp>
        <stp>323</stp>
        <tr r="J331" s="1"/>
      </tp>
      <tp t="s">
        <v>A janela foi fechada</v>
        <stp/>
        <stp>T&amp;T2</stp>
        <stp>AGR</stp>
        <stp>320</stp>
        <tr r="D328" s="1"/>
      </tp>
      <tp t="s">
        <v>A janela foi fechada</v>
        <stp/>
        <stp>T&amp;T1</stp>
        <stp>AGR</stp>
        <stp>322</stp>
        <tr r="J330" s="1"/>
      </tp>
      <tp t="s">
        <v>A janela foi fechada</v>
        <stp/>
        <stp>T&amp;T2</stp>
        <stp>AGR</stp>
        <stp>321</stp>
        <tr r="D329" s="1"/>
      </tp>
      <tp t="s">
        <v>A janela foi fechada</v>
        <stp/>
        <stp>T&amp;T1</stp>
        <stp>AGR</stp>
        <stp>321</stp>
        <tr r="J329" s="1"/>
      </tp>
      <tp t="s">
        <v>A janela foi fechada</v>
        <stp/>
        <stp>T&amp;T2</stp>
        <stp>AGR</stp>
        <stp>322</stp>
        <tr r="D330" s="1"/>
      </tp>
      <tp t="s">
        <v>A janela foi fechada</v>
        <stp/>
        <stp>T&amp;T1</stp>
        <stp>AGR</stp>
        <stp>320</stp>
        <tr r="J328" s="1"/>
      </tp>
      <tp t="s">
        <v>A janela foi fechada</v>
        <stp/>
        <stp>T&amp;T2</stp>
        <stp>AGR</stp>
        <stp>323</stp>
        <tr r="D331" s="1"/>
      </tp>
      <tp t="s">
        <v>A janela foi fechada</v>
        <stp/>
        <stp>T&amp;T2</stp>
        <stp>AGR</stp>
        <stp>328</stp>
        <tr r="D336" s="1"/>
      </tp>
      <tp t="s">
        <v>A janela foi fechada</v>
        <stp/>
        <stp>T&amp;T2</stp>
        <stp>AGR</stp>
        <stp>329</stp>
        <tr r="D337" s="1"/>
      </tp>
      <tp t="s">
        <v>A janela foi fechada</v>
        <stp/>
        <stp>T&amp;T1</stp>
        <stp>AGR</stp>
        <stp>329</stp>
        <tr r="J337" s="1"/>
      </tp>
      <tp t="s">
        <v>A janela foi fechada</v>
        <stp/>
        <stp>T&amp;T1</stp>
        <stp>AGR</stp>
        <stp>328</stp>
        <tr r="J336" s="1"/>
      </tp>
      <tp t="s">
        <v>A janela foi fechada</v>
        <stp/>
        <stp>T&amp;T1</stp>
        <stp>AGR</stp>
        <stp>317</stp>
        <tr r="J325" s="1"/>
      </tp>
      <tp t="s">
        <v>A janela foi fechada</v>
        <stp/>
        <stp>T&amp;T2</stp>
        <stp>AGR</stp>
        <stp>314</stp>
        <tr r="D322" s="1"/>
      </tp>
      <tp t="s">
        <v>A janela foi fechada</v>
        <stp/>
        <stp>T&amp;T1</stp>
        <stp>AGR</stp>
        <stp>316</stp>
        <tr r="J324" s="1"/>
      </tp>
      <tp t="s">
        <v>A janela foi fechada</v>
        <stp/>
        <stp>T&amp;T2</stp>
        <stp>AGR</stp>
        <stp>315</stp>
        <tr r="D323" s="1"/>
      </tp>
      <tp t="s">
        <v>A janela foi fechada</v>
        <stp/>
        <stp>T&amp;T1</stp>
        <stp>AGR</stp>
        <stp>315</stp>
        <tr r="J323" s="1"/>
      </tp>
      <tp t="s">
        <v>A janela foi fechada</v>
        <stp/>
        <stp>T&amp;T2</stp>
        <stp>AGR</stp>
        <stp>316</stp>
        <tr r="D324" s="1"/>
      </tp>
      <tp t="s">
        <v>A janela foi fechada</v>
        <stp/>
        <stp>T&amp;T1</stp>
        <stp>AGR</stp>
        <stp>314</stp>
        <tr r="J322" s="1"/>
      </tp>
      <tp t="s">
        <v>A janela foi fechada</v>
        <stp/>
        <stp>T&amp;T2</stp>
        <stp>AGR</stp>
        <stp>317</stp>
        <tr r="D325" s="1"/>
      </tp>
      <tp t="s">
        <v>A janela foi fechada</v>
        <stp/>
        <stp>T&amp;T1</stp>
        <stp>AGR</stp>
        <stp>313</stp>
        <tr r="J321" s="1"/>
      </tp>
      <tp t="s">
        <v>A janela foi fechada</v>
        <stp/>
        <stp>T&amp;T2</stp>
        <stp>AGR</stp>
        <stp>310</stp>
        <tr r="D318" s="1"/>
      </tp>
      <tp t="s">
        <v>A janela foi fechada</v>
        <stp/>
        <stp>T&amp;T1</stp>
        <stp>AGR</stp>
        <stp>312</stp>
        <tr r="J320" s="1"/>
      </tp>
      <tp t="s">
        <v>A janela foi fechada</v>
        <stp/>
        <stp>T&amp;T2</stp>
        <stp>AGR</stp>
        <stp>311</stp>
        <tr r="D319" s="1"/>
      </tp>
      <tp t="s">
        <v>A janela foi fechada</v>
        <stp/>
        <stp>T&amp;T1</stp>
        <stp>AGR</stp>
        <stp>311</stp>
        <tr r="J319" s="1"/>
      </tp>
      <tp t="s">
        <v>A janela foi fechada</v>
        <stp/>
        <stp>T&amp;T2</stp>
        <stp>AGR</stp>
        <stp>312</stp>
        <tr r="D320" s="1"/>
      </tp>
      <tp t="s">
        <v>A janela foi fechada</v>
        <stp/>
        <stp>T&amp;T1</stp>
        <stp>AGR</stp>
        <stp>310</stp>
        <tr r="J318" s="1"/>
      </tp>
      <tp t="s">
        <v>A janela foi fechada</v>
        <stp/>
        <stp>T&amp;T2</stp>
        <stp>AGR</stp>
        <stp>313</stp>
        <tr r="D321" s="1"/>
      </tp>
      <tp t="s">
        <v>A janela foi fechada</v>
        <stp/>
        <stp>T&amp;T2</stp>
        <stp>AGR</stp>
        <stp>318</stp>
        <tr r="D326" s="1"/>
      </tp>
      <tp t="s">
        <v>A janela foi fechada</v>
        <stp/>
        <stp>T&amp;T2</stp>
        <stp>AGR</stp>
        <stp>319</stp>
        <tr r="D327" s="1"/>
      </tp>
      <tp t="s">
        <v>A janela foi fechada</v>
        <stp/>
        <stp>T&amp;T1</stp>
        <stp>AGR</stp>
        <stp>319</stp>
        <tr r="J327" s="1"/>
      </tp>
      <tp t="s">
        <v>A janela foi fechada</v>
        <stp/>
        <stp>T&amp;T1</stp>
        <stp>AGR</stp>
        <stp>318</stp>
        <tr r="J326" s="1"/>
      </tp>
      <tp t="s">
        <v>A janela foi fechada</v>
        <stp/>
        <stp>T&amp;T1</stp>
        <stp>AGR</stp>
        <stp>307</stp>
        <tr r="J315" s="1"/>
      </tp>
      <tp t="s">
        <v>A janela foi fechada</v>
        <stp/>
        <stp>T&amp;T2</stp>
        <stp>AGR</stp>
        <stp>304</stp>
        <tr r="D312" s="1"/>
      </tp>
      <tp t="s">
        <v>A janela foi fechada</v>
        <stp/>
        <stp>T&amp;T1</stp>
        <stp>AGR</stp>
        <stp>306</stp>
        <tr r="J314" s="1"/>
      </tp>
      <tp t="s">
        <v>A janela foi fechada</v>
        <stp/>
        <stp>T&amp;T2</stp>
        <stp>AGR</stp>
        <stp>305</stp>
        <tr r="D313" s="1"/>
      </tp>
      <tp t="s">
        <v>A janela foi fechada</v>
        <stp/>
        <stp>T&amp;T1</stp>
        <stp>AGR</stp>
        <stp>305</stp>
        <tr r="J313" s="1"/>
      </tp>
      <tp t="s">
        <v>A janela foi fechada</v>
        <stp/>
        <stp>T&amp;T2</stp>
        <stp>AGR</stp>
        <stp>306</stp>
        <tr r="D314" s="1"/>
      </tp>
      <tp t="s">
        <v>A janela foi fechada</v>
        <stp/>
        <stp>T&amp;T1</stp>
        <stp>AGR</stp>
        <stp>304</stp>
        <tr r="J312" s="1"/>
      </tp>
      <tp t="s">
        <v>A janela foi fechada</v>
        <stp/>
        <stp>T&amp;T2</stp>
        <stp>AGR</stp>
        <stp>307</stp>
        <tr r="D315" s="1"/>
      </tp>
      <tp t="s">
        <v>A janela foi fechada</v>
        <stp/>
        <stp>T&amp;T1</stp>
        <stp>AGR</stp>
        <stp>303</stp>
        <tr r="J311" s="1"/>
      </tp>
      <tp t="s">
        <v>A janela foi fechada</v>
        <stp/>
        <stp>T&amp;T2</stp>
        <stp>AGR</stp>
        <stp>300</stp>
        <tr r="D308" s="1"/>
      </tp>
      <tp t="s">
        <v>A janela foi fechada</v>
        <stp/>
        <stp>T&amp;T1</stp>
        <stp>AGR</stp>
        <stp>302</stp>
        <tr r="J310" s="1"/>
      </tp>
      <tp t="s">
        <v>A janela foi fechada</v>
        <stp/>
        <stp>T&amp;T2</stp>
        <stp>AGR</stp>
        <stp>301</stp>
        <tr r="D309" s="1"/>
      </tp>
      <tp t="s">
        <v>A janela foi fechada</v>
        <stp/>
        <stp>T&amp;T1</stp>
        <stp>AGR</stp>
        <stp>301</stp>
        <tr r="J309" s="1"/>
      </tp>
      <tp t="s">
        <v>A janela foi fechada</v>
        <stp/>
        <stp>T&amp;T2</stp>
        <stp>AGR</stp>
        <stp>302</stp>
        <tr r="D310" s="1"/>
      </tp>
      <tp t="s">
        <v>A janela foi fechada</v>
        <stp/>
        <stp>T&amp;T1</stp>
        <stp>AGR</stp>
        <stp>300</stp>
        <tr r="J308" s="1"/>
      </tp>
      <tp t="s">
        <v>A janela foi fechada</v>
        <stp/>
        <stp>T&amp;T2</stp>
        <stp>AGR</stp>
        <stp>303</stp>
        <tr r="D311" s="1"/>
      </tp>
      <tp t="s">
        <v>A janela foi fechada</v>
        <stp/>
        <stp>T&amp;T2</stp>
        <stp>AGR</stp>
        <stp>308</stp>
        <tr r="D316" s="1"/>
      </tp>
      <tp t="s">
        <v>A janela foi fechada</v>
        <stp/>
        <stp>T&amp;T2</stp>
        <stp>AGR</stp>
        <stp>309</stp>
        <tr r="D317" s="1"/>
      </tp>
      <tp t="s">
        <v>A janela foi fechada</v>
        <stp/>
        <stp>T&amp;T1</stp>
        <stp>AGR</stp>
        <stp>309</stp>
        <tr r="J317" s="1"/>
      </tp>
      <tp t="s">
        <v>A janela foi fechada</v>
        <stp/>
        <stp>T&amp;T1</stp>
        <stp>AGR</stp>
        <stp>308</stp>
        <tr r="J316" s="1"/>
      </tp>
      <tp t="s">
        <v>A janela foi fechada</v>
        <stp/>
        <stp>T&amp;T1</stp>
        <stp>AGR</stp>
        <stp>377</stp>
        <tr r="J385" s="1"/>
      </tp>
      <tp t="s">
        <v>A janela foi fechada</v>
        <stp/>
        <stp>T&amp;T2</stp>
        <stp>AGR</stp>
        <stp>374</stp>
        <tr r="D382" s="1"/>
      </tp>
      <tp t="s">
        <v>A janela foi fechada</v>
        <stp/>
        <stp>T&amp;T1</stp>
        <stp>AGR</stp>
        <stp>376</stp>
        <tr r="J384" s="1"/>
      </tp>
      <tp t="s">
        <v>A janela foi fechada</v>
        <stp/>
        <stp>T&amp;T2</stp>
        <stp>AGR</stp>
        <stp>375</stp>
        <tr r="D383" s="1"/>
      </tp>
      <tp t="s">
        <v>A janela foi fechada</v>
        <stp/>
        <stp>T&amp;T1</stp>
        <stp>AGR</stp>
        <stp>375</stp>
        <tr r="J383" s="1"/>
      </tp>
      <tp t="s">
        <v>A janela foi fechada</v>
        <stp/>
        <stp>T&amp;T2</stp>
        <stp>AGR</stp>
        <stp>376</stp>
        <tr r="D384" s="1"/>
      </tp>
      <tp t="s">
        <v>A janela foi fechada</v>
        <stp/>
        <stp>T&amp;T1</stp>
        <stp>AGR</stp>
        <stp>374</stp>
        <tr r="J382" s="1"/>
      </tp>
      <tp t="s">
        <v>A janela foi fechada</v>
        <stp/>
        <stp>T&amp;T2</stp>
        <stp>AGR</stp>
        <stp>377</stp>
        <tr r="D385" s="1"/>
      </tp>
      <tp t="s">
        <v>A janela foi fechada</v>
        <stp/>
        <stp>T&amp;T1</stp>
        <stp>AGR</stp>
        <stp>373</stp>
        <tr r="J381" s="1"/>
      </tp>
      <tp t="s">
        <v>A janela foi fechada</v>
        <stp/>
        <stp>T&amp;T2</stp>
        <stp>AGR</stp>
        <stp>370</stp>
        <tr r="D378" s="1"/>
      </tp>
      <tp t="s">
        <v>A janela foi fechada</v>
        <stp/>
        <stp>T&amp;T1</stp>
        <stp>AGR</stp>
        <stp>372</stp>
        <tr r="J380" s="1"/>
      </tp>
      <tp t="s">
        <v>A janela foi fechada</v>
        <stp/>
        <stp>T&amp;T2</stp>
        <stp>AGR</stp>
        <stp>371</stp>
        <tr r="D379" s="1"/>
      </tp>
      <tp t="s">
        <v>A janela foi fechada</v>
        <stp/>
        <stp>T&amp;T1</stp>
        <stp>AGR</stp>
        <stp>371</stp>
        <tr r="J379" s="1"/>
      </tp>
      <tp t="s">
        <v>A janela foi fechada</v>
        <stp/>
        <stp>T&amp;T2</stp>
        <stp>AGR</stp>
        <stp>372</stp>
        <tr r="D380" s="1"/>
      </tp>
      <tp t="s">
        <v>A janela foi fechada</v>
        <stp/>
        <stp>T&amp;T1</stp>
        <stp>AGR</stp>
        <stp>370</stp>
        <tr r="J378" s="1"/>
      </tp>
      <tp t="s">
        <v>A janela foi fechada</v>
        <stp/>
        <stp>T&amp;T2</stp>
        <stp>AGR</stp>
        <stp>373</stp>
        <tr r="D381" s="1"/>
      </tp>
      <tp t="s">
        <v>A janela foi fechada</v>
        <stp/>
        <stp>T&amp;T2</stp>
        <stp>AGR</stp>
        <stp>378</stp>
        <tr r="D386" s="1"/>
      </tp>
      <tp t="s">
        <v>A janela foi fechada</v>
        <stp/>
        <stp>T&amp;T2</stp>
        <stp>AGR</stp>
        <stp>379</stp>
        <tr r="D387" s="1"/>
      </tp>
      <tp t="s">
        <v>A janela foi fechada</v>
        <stp/>
        <stp>T&amp;T1</stp>
        <stp>AGR</stp>
        <stp>379</stp>
        <tr r="J387" s="1"/>
      </tp>
      <tp t="s">
        <v>A janela foi fechada</v>
        <stp/>
        <stp>T&amp;T1</stp>
        <stp>AGR</stp>
        <stp>378</stp>
        <tr r="J386" s="1"/>
      </tp>
      <tp t="s">
        <v>A janela foi fechada</v>
        <stp/>
        <stp>T&amp;T1</stp>
        <stp>AGR</stp>
        <stp>367</stp>
        <tr r="J375" s="1"/>
      </tp>
      <tp t="s">
        <v>A janela foi fechada</v>
        <stp/>
        <stp>T&amp;T2</stp>
        <stp>AGR</stp>
        <stp>364</stp>
        <tr r="D372" s="1"/>
      </tp>
      <tp t="s">
        <v>A janela foi fechada</v>
        <stp/>
        <stp>T&amp;T1</stp>
        <stp>AGR</stp>
        <stp>366</stp>
        <tr r="J374" s="1"/>
      </tp>
      <tp t="s">
        <v>A janela foi fechada</v>
        <stp/>
        <stp>T&amp;T2</stp>
        <stp>AGR</stp>
        <stp>365</stp>
        <tr r="D373" s="1"/>
      </tp>
      <tp t="s">
        <v>A janela foi fechada</v>
        <stp/>
        <stp>T&amp;T1</stp>
        <stp>AGR</stp>
        <stp>365</stp>
        <tr r="J373" s="1"/>
      </tp>
      <tp t="s">
        <v>A janela foi fechada</v>
        <stp/>
        <stp>T&amp;T2</stp>
        <stp>AGR</stp>
        <stp>366</stp>
        <tr r="D374" s="1"/>
      </tp>
      <tp t="s">
        <v>A janela foi fechada</v>
        <stp/>
        <stp>T&amp;T1</stp>
        <stp>AGR</stp>
        <stp>364</stp>
        <tr r="J372" s="1"/>
      </tp>
      <tp t="s">
        <v>A janela foi fechada</v>
        <stp/>
        <stp>T&amp;T2</stp>
        <stp>AGR</stp>
        <stp>367</stp>
        <tr r="D375" s="1"/>
      </tp>
      <tp t="s">
        <v>A janela foi fechada</v>
        <stp/>
        <stp>T&amp;T1</stp>
        <stp>AGR</stp>
        <stp>363</stp>
        <tr r="J371" s="1"/>
      </tp>
      <tp t="s">
        <v>A janela foi fechada</v>
        <stp/>
        <stp>T&amp;T2</stp>
        <stp>AGR</stp>
        <stp>360</stp>
        <tr r="D368" s="1"/>
      </tp>
      <tp t="s">
        <v>A janela foi fechada</v>
        <stp/>
        <stp>T&amp;T1</stp>
        <stp>AGR</stp>
        <stp>362</stp>
        <tr r="J370" s="1"/>
      </tp>
      <tp t="s">
        <v>A janela foi fechada</v>
        <stp/>
        <stp>T&amp;T2</stp>
        <stp>AGR</stp>
        <stp>361</stp>
        <tr r="D369" s="1"/>
      </tp>
      <tp t="s">
        <v>A janela foi fechada</v>
        <stp/>
        <stp>T&amp;T1</stp>
        <stp>AGR</stp>
        <stp>361</stp>
        <tr r="J369" s="1"/>
      </tp>
      <tp t="s">
        <v>A janela foi fechada</v>
        <stp/>
        <stp>T&amp;T2</stp>
        <stp>AGR</stp>
        <stp>362</stp>
        <tr r="D370" s="1"/>
      </tp>
      <tp t="s">
        <v>A janela foi fechada</v>
        <stp/>
        <stp>T&amp;T1</stp>
        <stp>AGR</stp>
        <stp>360</stp>
        <tr r="J368" s="1"/>
      </tp>
      <tp t="s">
        <v>A janela foi fechada</v>
        <stp/>
        <stp>T&amp;T2</stp>
        <stp>AGR</stp>
        <stp>363</stp>
        <tr r="D371" s="1"/>
      </tp>
      <tp t="s">
        <v>A janela foi fechada</v>
        <stp/>
        <stp>T&amp;T2</stp>
        <stp>AGR</stp>
        <stp>368</stp>
        <tr r="D376" s="1"/>
      </tp>
      <tp t="s">
        <v>A janela foi fechada</v>
        <stp/>
        <stp>T&amp;T2</stp>
        <stp>AGR</stp>
        <stp>369</stp>
        <tr r="D377" s="1"/>
      </tp>
      <tp t="s">
        <v>A janela foi fechada</v>
        <stp/>
        <stp>T&amp;T1</stp>
        <stp>AGR</stp>
        <stp>369</stp>
        <tr r="J377" s="1"/>
      </tp>
      <tp t="s">
        <v>A janela foi fechada</v>
        <stp/>
        <stp>T&amp;T1</stp>
        <stp>AGR</stp>
        <stp>368</stp>
        <tr r="J376" s="1"/>
      </tp>
      <tp t="s">
        <v>A janela foi fechada</v>
        <stp/>
        <stp>T&amp;T1</stp>
        <stp>AGR</stp>
        <stp>357</stp>
        <tr r="J365" s="1"/>
      </tp>
      <tp t="s">
        <v>A janela foi fechada</v>
        <stp/>
        <stp>T&amp;T2</stp>
        <stp>AGR</stp>
        <stp>354</stp>
        <tr r="D362" s="1"/>
      </tp>
      <tp t="s">
        <v>A janela foi fechada</v>
        <stp/>
        <stp>T&amp;T1</stp>
        <stp>AGR</stp>
        <stp>356</stp>
        <tr r="J364" s="1"/>
      </tp>
      <tp t="s">
        <v>A janela foi fechada</v>
        <stp/>
        <stp>T&amp;T2</stp>
        <stp>AGR</stp>
        <stp>355</stp>
        <tr r="D363" s="1"/>
      </tp>
      <tp t="s">
        <v>A janela foi fechada</v>
        <stp/>
        <stp>T&amp;T1</stp>
        <stp>AGR</stp>
        <stp>355</stp>
        <tr r="J363" s="1"/>
      </tp>
      <tp t="s">
        <v>A janela foi fechada</v>
        <stp/>
        <stp>T&amp;T2</stp>
        <stp>AGR</stp>
        <stp>356</stp>
        <tr r="D364" s="1"/>
      </tp>
      <tp t="s">
        <v>A janela foi fechada</v>
        <stp/>
        <stp>T&amp;T1</stp>
        <stp>AGR</stp>
        <stp>354</stp>
        <tr r="J362" s="1"/>
      </tp>
      <tp t="s">
        <v>A janela foi fechada</v>
        <stp/>
        <stp>T&amp;T2</stp>
        <stp>AGR</stp>
        <stp>357</stp>
        <tr r="D365" s="1"/>
      </tp>
      <tp t="s">
        <v>A janela foi fechada</v>
        <stp/>
        <stp>T&amp;T1</stp>
        <stp>AGR</stp>
        <stp>353</stp>
        <tr r="J361" s="1"/>
      </tp>
      <tp t="s">
        <v>A janela foi fechada</v>
        <stp/>
        <stp>T&amp;T2</stp>
        <stp>AGR</stp>
        <stp>350</stp>
        <tr r="D358" s="1"/>
      </tp>
      <tp t="s">
        <v>A janela foi fechada</v>
        <stp/>
        <stp>T&amp;T1</stp>
        <stp>AGR</stp>
        <stp>352</stp>
        <tr r="J360" s="1"/>
      </tp>
      <tp t="s">
        <v>A janela foi fechada</v>
        <stp/>
        <stp>T&amp;T2</stp>
        <stp>AGR</stp>
        <stp>351</stp>
        <tr r="D359" s="1"/>
      </tp>
      <tp t="s">
        <v>A janela foi fechada</v>
        <stp/>
        <stp>T&amp;T1</stp>
        <stp>AGR</stp>
        <stp>351</stp>
        <tr r="J359" s="1"/>
      </tp>
      <tp t="s">
        <v>A janela foi fechada</v>
        <stp/>
        <stp>T&amp;T2</stp>
        <stp>AGR</stp>
        <stp>352</stp>
        <tr r="D360" s="1"/>
      </tp>
      <tp t="s">
        <v>A janela foi fechada</v>
        <stp/>
        <stp>T&amp;T1</stp>
        <stp>AGR</stp>
        <stp>350</stp>
        <tr r="J358" s="1"/>
      </tp>
      <tp t="s">
        <v>A janela foi fechada</v>
        <stp/>
        <stp>T&amp;T2</stp>
        <stp>AGR</stp>
        <stp>353</stp>
        <tr r="D361" s="1"/>
      </tp>
      <tp t="s">
        <v>A janela foi fechada</v>
        <stp/>
        <stp>T&amp;T2</stp>
        <stp>AGR</stp>
        <stp>358</stp>
        <tr r="D366" s="1"/>
      </tp>
      <tp t="s">
        <v>A janela foi fechada</v>
        <stp/>
        <stp>T&amp;T2</stp>
        <stp>AGR</stp>
        <stp>359</stp>
        <tr r="D367" s="1"/>
      </tp>
      <tp t="s">
        <v>A janela foi fechada</v>
        <stp/>
        <stp>T&amp;T1</stp>
        <stp>AGR</stp>
        <stp>359</stp>
        <tr r="J367" s="1"/>
      </tp>
      <tp t="s">
        <v>A janela foi fechada</v>
        <stp/>
        <stp>T&amp;T1</stp>
        <stp>AGR</stp>
        <stp>358</stp>
        <tr r="J366" s="1"/>
      </tp>
      <tp t="s">
        <v>A janela foi fechada</v>
        <stp/>
        <stp>T&amp;T1</stp>
        <stp>AGR</stp>
        <stp>347</stp>
        <tr r="J355" s="1"/>
      </tp>
      <tp t="s">
        <v>A janela foi fechada</v>
        <stp/>
        <stp>T&amp;T2</stp>
        <stp>AGR</stp>
        <stp>344</stp>
        <tr r="D352" s="1"/>
      </tp>
      <tp t="s">
        <v>A janela foi fechada</v>
        <stp/>
        <stp>T&amp;T1</stp>
        <stp>AGR</stp>
        <stp>346</stp>
        <tr r="J354" s="1"/>
      </tp>
      <tp t="s">
        <v>A janela foi fechada</v>
        <stp/>
        <stp>T&amp;T2</stp>
        <stp>AGR</stp>
        <stp>345</stp>
        <tr r="D353" s="1"/>
      </tp>
      <tp t="s">
        <v>A janela foi fechada</v>
        <stp/>
        <stp>T&amp;T1</stp>
        <stp>AGR</stp>
        <stp>345</stp>
        <tr r="J353" s="1"/>
      </tp>
      <tp t="s">
        <v>A janela foi fechada</v>
        <stp/>
        <stp>T&amp;T2</stp>
        <stp>AGR</stp>
        <stp>346</stp>
        <tr r="D354" s="1"/>
      </tp>
      <tp t="s">
        <v>A janela foi fechada</v>
        <stp/>
        <stp>T&amp;T1</stp>
        <stp>AGR</stp>
        <stp>344</stp>
        <tr r="J352" s="1"/>
      </tp>
      <tp t="s">
        <v>A janela foi fechada</v>
        <stp/>
        <stp>T&amp;T2</stp>
        <stp>AGR</stp>
        <stp>347</stp>
        <tr r="D355" s="1"/>
      </tp>
      <tp t="s">
        <v>A janela foi fechada</v>
        <stp/>
        <stp>T&amp;T1</stp>
        <stp>AGR</stp>
        <stp>343</stp>
        <tr r="J351" s="1"/>
      </tp>
      <tp t="s">
        <v>A janela foi fechada</v>
        <stp/>
        <stp>T&amp;T2</stp>
        <stp>AGR</stp>
        <stp>340</stp>
        <tr r="D348" s="1"/>
      </tp>
      <tp t="s">
        <v>A janela foi fechada</v>
        <stp/>
        <stp>T&amp;T1</stp>
        <stp>AGR</stp>
        <stp>342</stp>
        <tr r="J350" s="1"/>
      </tp>
      <tp t="s">
        <v>A janela foi fechada</v>
        <stp/>
        <stp>T&amp;T2</stp>
        <stp>AGR</stp>
        <stp>341</stp>
        <tr r="D349" s="1"/>
      </tp>
      <tp t="s">
        <v>A janela foi fechada</v>
        <stp/>
        <stp>T&amp;T1</stp>
        <stp>AGR</stp>
        <stp>341</stp>
        <tr r="J349" s="1"/>
      </tp>
      <tp t="s">
        <v>A janela foi fechada</v>
        <stp/>
        <stp>T&amp;T2</stp>
        <stp>AGR</stp>
        <stp>342</stp>
        <tr r="D350" s="1"/>
      </tp>
      <tp t="s">
        <v>A janela foi fechada</v>
        <stp/>
        <stp>T&amp;T1</stp>
        <stp>AGR</stp>
        <stp>340</stp>
        <tr r="J348" s="1"/>
      </tp>
      <tp t="s">
        <v>A janela foi fechada</v>
        <stp/>
        <stp>T&amp;T2</stp>
        <stp>AGR</stp>
        <stp>343</stp>
        <tr r="D351" s="1"/>
      </tp>
      <tp t="s">
        <v>A janela foi fechada</v>
        <stp/>
        <stp>T&amp;T2</stp>
        <stp>AGR</stp>
        <stp>348</stp>
        <tr r="D356" s="1"/>
      </tp>
      <tp t="s">
        <v>A janela foi fechada</v>
        <stp/>
        <stp>T&amp;T2</stp>
        <stp>AGR</stp>
        <stp>349</stp>
        <tr r="D357" s="1"/>
      </tp>
      <tp t="s">
        <v>A janela foi fechada</v>
        <stp/>
        <stp>T&amp;T1</stp>
        <stp>AGR</stp>
        <stp>349</stp>
        <tr r="J357" s="1"/>
      </tp>
      <tp t="s">
        <v>A janela foi fechada</v>
        <stp/>
        <stp>T&amp;T1</stp>
        <stp>AGR</stp>
        <stp>348</stp>
        <tr r="J356" s="1"/>
      </tp>
      <tp t="s">
        <v>A janela foi fechada</v>
        <stp/>
        <stp>T&amp;T1</stp>
        <stp>AGR</stp>
        <stp>297</stp>
        <tr r="J305" s="1"/>
      </tp>
      <tp t="s">
        <v>A janela foi fechada</v>
        <stp/>
        <stp>T&amp;T2</stp>
        <stp>AGR</stp>
        <stp>294</stp>
        <tr r="D302" s="1"/>
      </tp>
      <tp t="s">
        <v>A janela foi fechada</v>
        <stp/>
        <stp>T&amp;T1</stp>
        <stp>AGR</stp>
        <stp>296</stp>
        <tr r="J304" s="1"/>
      </tp>
      <tp t="s">
        <v>A janela foi fechada</v>
        <stp/>
        <stp>T&amp;T2</stp>
        <stp>AGR</stp>
        <stp>295</stp>
        <tr r="D303" s="1"/>
      </tp>
      <tp t="s">
        <v>A janela foi fechada</v>
        <stp/>
        <stp>T&amp;T1</stp>
        <stp>AGR</stp>
        <stp>295</stp>
        <tr r="J303" s="1"/>
      </tp>
      <tp t="s">
        <v>A janela foi fechada</v>
        <stp/>
        <stp>T&amp;T2</stp>
        <stp>AGR</stp>
        <stp>296</stp>
        <tr r="D304" s="1"/>
      </tp>
      <tp t="s">
        <v>A janela foi fechada</v>
        <stp/>
        <stp>T&amp;T1</stp>
        <stp>AGR</stp>
        <stp>294</stp>
        <tr r="J302" s="1"/>
      </tp>
      <tp t="s">
        <v>A janela foi fechada</v>
        <stp/>
        <stp>T&amp;T2</stp>
        <stp>AGR</stp>
        <stp>297</stp>
        <tr r="D305" s="1"/>
      </tp>
      <tp t="s">
        <v>A janela foi fechada</v>
        <stp/>
        <stp>T&amp;T1</stp>
        <stp>AGR</stp>
        <stp>293</stp>
        <tr r="J301" s="1"/>
      </tp>
      <tp t="s">
        <v>A janela foi fechada</v>
        <stp/>
        <stp>T&amp;T2</stp>
        <stp>AGR</stp>
        <stp>290</stp>
        <tr r="D298" s="1"/>
      </tp>
      <tp t="s">
        <v>A janela foi fechada</v>
        <stp/>
        <stp>T&amp;T1</stp>
        <stp>AGR</stp>
        <stp>292</stp>
        <tr r="J300" s="1"/>
      </tp>
      <tp t="s">
        <v>A janela foi fechada</v>
        <stp/>
        <stp>T&amp;T2</stp>
        <stp>AGR</stp>
        <stp>291</stp>
        <tr r="D299" s="1"/>
      </tp>
      <tp t="s">
        <v>A janela foi fechada</v>
        <stp/>
        <stp>T&amp;T1</stp>
        <stp>AGR</stp>
        <stp>291</stp>
        <tr r="J299" s="1"/>
      </tp>
      <tp t="s">
        <v>A janela foi fechada</v>
        <stp/>
        <stp>T&amp;T2</stp>
        <stp>AGR</stp>
        <stp>292</stp>
        <tr r="D300" s="1"/>
      </tp>
      <tp t="s">
        <v>A janela foi fechada</v>
        <stp/>
        <stp>T&amp;T1</stp>
        <stp>AGR</stp>
        <stp>290</stp>
        <tr r="J298" s="1"/>
      </tp>
      <tp t="s">
        <v>A janela foi fechada</v>
        <stp/>
        <stp>T&amp;T2</stp>
        <stp>AGR</stp>
        <stp>293</stp>
        <tr r="D301" s="1"/>
      </tp>
      <tp t="s">
        <v>A janela foi fechada</v>
        <stp/>
        <stp>T&amp;T2</stp>
        <stp>AGR</stp>
        <stp>298</stp>
        <tr r="D306" s="1"/>
      </tp>
      <tp t="s">
        <v>A janela foi fechada</v>
        <stp/>
        <stp>T&amp;T2</stp>
        <stp>AGR</stp>
        <stp>299</stp>
        <tr r="D307" s="1"/>
      </tp>
      <tp t="s">
        <v>A janela foi fechada</v>
        <stp/>
        <stp>T&amp;T1</stp>
        <stp>AGR</stp>
        <stp>299</stp>
        <tr r="J307" s="1"/>
      </tp>
      <tp t="s">
        <v>A janela foi fechada</v>
        <stp/>
        <stp>T&amp;T1</stp>
        <stp>AGR</stp>
        <stp>298</stp>
        <tr r="J306" s="1"/>
      </tp>
      <tp t="s">
        <v>A janela foi fechada</v>
        <stp/>
        <stp>T&amp;T1</stp>
        <stp>AGR</stp>
        <stp>287</stp>
        <tr r="J295" s="1"/>
      </tp>
      <tp t="s">
        <v>A janela foi fechada</v>
        <stp/>
        <stp>T&amp;T2</stp>
        <stp>AGR</stp>
        <stp>284</stp>
        <tr r="D292" s="1"/>
      </tp>
      <tp t="s">
        <v>A janela foi fechada</v>
        <stp/>
        <stp>T&amp;T1</stp>
        <stp>AGR</stp>
        <stp>286</stp>
        <tr r="J294" s="1"/>
      </tp>
      <tp t="s">
        <v>A janela foi fechada</v>
        <stp/>
        <stp>T&amp;T2</stp>
        <stp>AGR</stp>
        <stp>285</stp>
        <tr r="D293" s="1"/>
      </tp>
      <tp t="s">
        <v>A janela foi fechada</v>
        <stp/>
        <stp>T&amp;T1</stp>
        <stp>AGR</stp>
        <stp>285</stp>
        <tr r="J293" s="1"/>
      </tp>
      <tp t="s">
        <v>A janela foi fechada</v>
        <stp/>
        <stp>T&amp;T2</stp>
        <stp>AGR</stp>
        <stp>286</stp>
        <tr r="D294" s="1"/>
      </tp>
      <tp t="s">
        <v>A janela foi fechada</v>
        <stp/>
        <stp>T&amp;T1</stp>
        <stp>AGR</stp>
        <stp>284</stp>
        <tr r="J292" s="1"/>
      </tp>
      <tp t="s">
        <v>A janela foi fechada</v>
        <stp/>
        <stp>T&amp;T2</stp>
        <stp>AGR</stp>
        <stp>287</stp>
        <tr r="D295" s="1"/>
      </tp>
      <tp t="s">
        <v>A janela foi fechada</v>
        <stp/>
        <stp>T&amp;T1</stp>
        <stp>AGR</stp>
        <stp>283</stp>
        <tr r="J291" s="1"/>
      </tp>
      <tp t="s">
        <v>A janela foi fechada</v>
        <stp/>
        <stp>T&amp;T2</stp>
        <stp>AGR</stp>
        <stp>280</stp>
        <tr r="D288" s="1"/>
      </tp>
      <tp t="s">
        <v>A janela foi fechada</v>
        <stp/>
        <stp>T&amp;T1</stp>
        <stp>AGR</stp>
        <stp>282</stp>
        <tr r="J290" s="1"/>
      </tp>
      <tp t="s">
        <v>A janela foi fechada</v>
        <stp/>
        <stp>T&amp;T2</stp>
        <stp>AGR</stp>
        <stp>281</stp>
        <tr r="D289" s="1"/>
      </tp>
      <tp t="s">
        <v>A janela foi fechada</v>
        <stp/>
        <stp>T&amp;T1</stp>
        <stp>AGR</stp>
        <stp>281</stp>
        <tr r="J289" s="1"/>
      </tp>
      <tp t="s">
        <v>A janela foi fechada</v>
        <stp/>
        <stp>T&amp;T2</stp>
        <stp>AGR</stp>
        <stp>282</stp>
        <tr r="D290" s="1"/>
      </tp>
      <tp t="s">
        <v>A janela foi fechada</v>
        <stp/>
        <stp>T&amp;T1</stp>
        <stp>AGR</stp>
        <stp>280</stp>
        <tr r="J288" s="1"/>
      </tp>
      <tp t="s">
        <v>A janela foi fechada</v>
        <stp/>
        <stp>T&amp;T2</stp>
        <stp>AGR</stp>
        <stp>283</stp>
        <tr r="D291" s="1"/>
      </tp>
      <tp t="s">
        <v>A janela foi fechada</v>
        <stp/>
        <stp>T&amp;T2</stp>
        <stp>AGR</stp>
        <stp>288</stp>
        <tr r="D296" s="1"/>
      </tp>
      <tp t="s">
        <v>A janela foi fechada</v>
        <stp/>
        <stp>T&amp;T2</stp>
        <stp>AGR</stp>
        <stp>289</stp>
        <tr r="D297" s="1"/>
      </tp>
      <tp t="s">
        <v>A janela foi fechada</v>
        <stp/>
        <stp>T&amp;T1</stp>
        <stp>AGR</stp>
        <stp>289</stp>
        <tr r="J297" s="1"/>
      </tp>
      <tp t="s">
        <v>A janela foi fechada</v>
        <stp/>
        <stp>T&amp;T1</stp>
        <stp>AGR</stp>
        <stp>288</stp>
        <tr r="J296" s="1"/>
      </tp>
      <tp t="s">
        <v>A janela foi fechada</v>
        <stp/>
        <stp>T&amp;T1</stp>
        <stp>AGR</stp>
        <stp>237</stp>
        <tr r="J245" s="1"/>
      </tp>
      <tp t="s">
        <v>A janela foi fechada</v>
        <stp/>
        <stp>T&amp;T2</stp>
        <stp>AGR</stp>
        <stp>234</stp>
        <tr r="D242" s="1"/>
      </tp>
      <tp t="s">
        <v>A janela foi fechada</v>
        <stp/>
        <stp>T&amp;T1</stp>
        <stp>AGR</stp>
        <stp>236</stp>
        <tr r="J244" s="1"/>
      </tp>
      <tp t="s">
        <v>A janela foi fechada</v>
        <stp/>
        <stp>T&amp;T2</stp>
        <stp>AGR</stp>
        <stp>235</stp>
        <tr r="D243" s="1"/>
      </tp>
      <tp t="s">
        <v>A janela foi fechada</v>
        <stp/>
        <stp>T&amp;T1</stp>
        <stp>AGR</stp>
        <stp>235</stp>
        <tr r="J243" s="1"/>
      </tp>
      <tp t="s">
        <v>A janela foi fechada</v>
        <stp/>
        <stp>T&amp;T2</stp>
        <stp>AGR</stp>
        <stp>236</stp>
        <tr r="D244" s="1"/>
      </tp>
      <tp t="s">
        <v>A janela foi fechada</v>
        <stp/>
        <stp>T&amp;T1</stp>
        <stp>AGR</stp>
        <stp>234</stp>
        <tr r="J242" s="1"/>
      </tp>
      <tp t="s">
        <v>A janela foi fechada</v>
        <stp/>
        <stp>T&amp;T2</stp>
        <stp>AGR</stp>
        <stp>237</stp>
        <tr r="D245" s="1"/>
      </tp>
      <tp t="s">
        <v>A janela foi fechada</v>
        <stp/>
        <stp>T&amp;T1</stp>
        <stp>AGR</stp>
        <stp>233</stp>
        <tr r="J241" s="1"/>
      </tp>
      <tp t="s">
        <v>A janela foi fechada</v>
        <stp/>
        <stp>T&amp;T2</stp>
        <stp>AGR</stp>
        <stp>230</stp>
        <tr r="D238" s="1"/>
      </tp>
      <tp t="s">
        <v>A janela foi fechada</v>
        <stp/>
        <stp>T&amp;T1</stp>
        <stp>AGR</stp>
        <stp>232</stp>
        <tr r="J240" s="1"/>
      </tp>
      <tp t="s">
        <v>A janela foi fechada</v>
        <stp/>
        <stp>T&amp;T2</stp>
        <stp>AGR</stp>
        <stp>231</stp>
        <tr r="D239" s="1"/>
      </tp>
      <tp t="s">
        <v>A janela foi fechada</v>
        <stp/>
        <stp>T&amp;T1</stp>
        <stp>AGR</stp>
        <stp>231</stp>
        <tr r="J239" s="1"/>
      </tp>
      <tp t="s">
        <v>A janela foi fechada</v>
        <stp/>
        <stp>T&amp;T2</stp>
        <stp>AGR</stp>
        <stp>232</stp>
        <tr r="D240" s="1"/>
      </tp>
      <tp t="s">
        <v>A janela foi fechada</v>
        <stp/>
        <stp>T&amp;T1</stp>
        <stp>AGR</stp>
        <stp>230</stp>
        <tr r="J238" s="1"/>
      </tp>
      <tp t="s">
        <v>A janela foi fechada</v>
        <stp/>
        <stp>T&amp;T2</stp>
        <stp>AGR</stp>
        <stp>233</stp>
        <tr r="D241" s="1"/>
      </tp>
      <tp t="s">
        <v>A janela foi fechada</v>
        <stp/>
        <stp>T&amp;T2</stp>
        <stp>AGR</stp>
        <stp>238</stp>
        <tr r="D246" s="1"/>
      </tp>
      <tp t="s">
        <v>A janela foi fechada</v>
        <stp/>
        <stp>T&amp;T2</stp>
        <stp>AGR</stp>
        <stp>239</stp>
        <tr r="D247" s="1"/>
      </tp>
      <tp t="s">
        <v>A janela foi fechada</v>
        <stp/>
        <stp>T&amp;T1</stp>
        <stp>AGR</stp>
        <stp>239</stp>
        <tr r="J247" s="1"/>
      </tp>
      <tp t="s">
        <v>A janela foi fechada</v>
        <stp/>
        <stp>T&amp;T1</stp>
        <stp>AGR</stp>
        <stp>238</stp>
        <tr r="J246" s="1"/>
      </tp>
      <tp t="s">
        <v>A janela foi fechada</v>
        <stp/>
        <stp>T&amp;T1</stp>
        <stp>AGR</stp>
        <stp>227</stp>
        <tr r="J235" s="1"/>
      </tp>
      <tp t="s">
        <v>A janela foi fechada</v>
        <stp/>
        <stp>T&amp;T2</stp>
        <stp>AGR</stp>
        <stp>224</stp>
        <tr r="D232" s="1"/>
      </tp>
      <tp t="s">
        <v>A janela foi fechada</v>
        <stp/>
        <stp>T&amp;T1</stp>
        <stp>AGR</stp>
        <stp>226</stp>
        <tr r="J234" s="1"/>
      </tp>
      <tp t="s">
        <v>A janela foi fechada</v>
        <stp/>
        <stp>T&amp;T2</stp>
        <stp>AGR</stp>
        <stp>225</stp>
        <tr r="D233" s="1"/>
      </tp>
      <tp t="s">
        <v>A janela foi fechada</v>
        <stp/>
        <stp>T&amp;T1</stp>
        <stp>AGR</stp>
        <stp>225</stp>
        <tr r="J233" s="1"/>
      </tp>
      <tp t="s">
        <v>A janela foi fechada</v>
        <stp/>
        <stp>T&amp;T2</stp>
        <stp>AGR</stp>
        <stp>226</stp>
        <tr r="D234" s="1"/>
      </tp>
      <tp t="s">
        <v>A janela foi fechada</v>
        <stp/>
        <stp>T&amp;T1</stp>
        <stp>AGR</stp>
        <stp>224</stp>
        <tr r="J232" s="1"/>
      </tp>
      <tp t="s">
        <v>A janela foi fechada</v>
        <stp/>
        <stp>T&amp;T2</stp>
        <stp>AGR</stp>
        <stp>227</stp>
        <tr r="D235" s="1"/>
      </tp>
      <tp t="s">
        <v>A janela foi fechada</v>
        <stp/>
        <stp>T&amp;T1</stp>
        <stp>AGR</stp>
        <stp>223</stp>
        <tr r="J231" s="1"/>
      </tp>
      <tp t="s">
        <v>A janela foi fechada</v>
        <stp/>
        <stp>T&amp;T2</stp>
        <stp>AGR</stp>
        <stp>220</stp>
        <tr r="D228" s="1"/>
      </tp>
      <tp t="s">
        <v>A janela foi fechada</v>
        <stp/>
        <stp>T&amp;T1</stp>
        <stp>AGR</stp>
        <stp>222</stp>
        <tr r="J230" s="1"/>
      </tp>
      <tp t="s">
        <v>A janela foi fechada</v>
        <stp/>
        <stp>T&amp;T2</stp>
        <stp>AGR</stp>
        <stp>221</stp>
        <tr r="D229" s="1"/>
      </tp>
      <tp t="s">
        <v>A janela foi fechada</v>
        <stp/>
        <stp>T&amp;T1</stp>
        <stp>AGR</stp>
        <stp>221</stp>
        <tr r="J229" s="1"/>
      </tp>
      <tp t="s">
        <v>A janela foi fechada</v>
        <stp/>
        <stp>T&amp;T2</stp>
        <stp>AGR</stp>
        <stp>222</stp>
        <tr r="D230" s="1"/>
      </tp>
      <tp t="s">
        <v>A janela foi fechada</v>
        <stp/>
        <stp>T&amp;T1</stp>
        <stp>AGR</stp>
        <stp>220</stp>
        <tr r="J228" s="1"/>
      </tp>
      <tp t="s">
        <v>A janela foi fechada</v>
        <stp/>
        <stp>T&amp;T2</stp>
        <stp>AGR</stp>
        <stp>223</stp>
        <tr r="D231" s="1"/>
      </tp>
      <tp t="s">
        <v>A janela foi fechada</v>
        <stp/>
        <stp>T&amp;T2</stp>
        <stp>AGR</stp>
        <stp>228</stp>
        <tr r="D236" s="1"/>
      </tp>
      <tp t="s">
        <v>A janela foi fechada</v>
        <stp/>
        <stp>T&amp;T2</stp>
        <stp>AGR</stp>
        <stp>229</stp>
        <tr r="D237" s="1"/>
      </tp>
      <tp t="s">
        <v>A janela foi fechada</v>
        <stp/>
        <stp>T&amp;T1</stp>
        <stp>AGR</stp>
        <stp>229</stp>
        <tr r="J237" s="1"/>
      </tp>
      <tp t="s">
        <v>A janela foi fechada</v>
        <stp/>
        <stp>T&amp;T1</stp>
        <stp>AGR</stp>
        <stp>228</stp>
        <tr r="J236" s="1"/>
      </tp>
      <tp t="s">
        <v>A janela foi fechada</v>
        <stp/>
        <stp>T&amp;T1</stp>
        <stp>AGR</stp>
        <stp>217</stp>
        <tr r="J225" s="1"/>
      </tp>
      <tp t="s">
        <v>A janela foi fechada</v>
        <stp/>
        <stp>T&amp;T2</stp>
        <stp>AGR</stp>
        <stp>214</stp>
        <tr r="D222" s="1"/>
      </tp>
      <tp t="s">
        <v>A janela foi fechada</v>
        <stp/>
        <stp>T&amp;T1</stp>
        <stp>AGR</stp>
        <stp>216</stp>
        <tr r="J224" s="1"/>
      </tp>
      <tp t="s">
        <v>A janela foi fechada</v>
        <stp/>
        <stp>T&amp;T2</stp>
        <stp>AGR</stp>
        <stp>215</stp>
        <tr r="D223" s="1"/>
      </tp>
      <tp t="s">
        <v>A janela foi fechada</v>
        <stp/>
        <stp>T&amp;T1</stp>
        <stp>AGR</stp>
        <stp>215</stp>
        <tr r="J223" s="1"/>
      </tp>
      <tp t="s">
        <v>A janela foi fechada</v>
        <stp/>
        <stp>T&amp;T2</stp>
        <stp>AGR</stp>
        <stp>216</stp>
        <tr r="D224" s="1"/>
      </tp>
      <tp t="s">
        <v>A janela foi fechada</v>
        <stp/>
        <stp>T&amp;T1</stp>
        <stp>AGR</stp>
        <stp>214</stp>
        <tr r="J222" s="1"/>
      </tp>
      <tp t="s">
        <v>A janela foi fechada</v>
        <stp/>
        <stp>T&amp;T2</stp>
        <stp>AGR</stp>
        <stp>217</stp>
        <tr r="D225" s="1"/>
      </tp>
      <tp t="s">
        <v>A janela foi fechada</v>
        <stp/>
        <stp>T&amp;T1</stp>
        <stp>AGR</stp>
        <stp>213</stp>
        <tr r="J221" s="1"/>
      </tp>
      <tp t="s">
        <v>A janela foi fechada</v>
        <stp/>
        <stp>T&amp;T2</stp>
        <stp>AGR</stp>
        <stp>210</stp>
        <tr r="D218" s="1"/>
      </tp>
      <tp t="s">
        <v>A janela foi fechada</v>
        <stp/>
        <stp>T&amp;T1</stp>
        <stp>AGR</stp>
        <stp>212</stp>
        <tr r="J220" s="1"/>
      </tp>
      <tp t="s">
        <v>A janela foi fechada</v>
        <stp/>
        <stp>T&amp;T2</stp>
        <stp>AGR</stp>
        <stp>211</stp>
        <tr r="D219" s="1"/>
      </tp>
      <tp t="s">
        <v>A janela foi fechada</v>
        <stp/>
        <stp>T&amp;T1</stp>
        <stp>AGR</stp>
        <stp>211</stp>
        <tr r="J219" s="1"/>
      </tp>
      <tp t="s">
        <v>A janela foi fechada</v>
        <stp/>
        <stp>T&amp;T2</stp>
        <stp>AGR</stp>
        <stp>212</stp>
        <tr r="D220" s="1"/>
      </tp>
      <tp t="s">
        <v>A janela foi fechada</v>
        <stp/>
        <stp>T&amp;T1</stp>
        <stp>AGR</stp>
        <stp>210</stp>
        <tr r="J218" s="1"/>
      </tp>
      <tp t="s">
        <v>A janela foi fechada</v>
        <stp/>
        <stp>T&amp;T2</stp>
        <stp>AGR</stp>
        <stp>213</stp>
        <tr r="D221" s="1"/>
      </tp>
      <tp t="s">
        <v>A janela foi fechada</v>
        <stp/>
        <stp>T&amp;T2</stp>
        <stp>AGR</stp>
        <stp>218</stp>
        <tr r="D226" s="1"/>
      </tp>
      <tp t="s">
        <v>A janela foi fechada</v>
        <stp/>
        <stp>T&amp;T2</stp>
        <stp>AGR</stp>
        <stp>219</stp>
        <tr r="D227" s="1"/>
      </tp>
      <tp t="s">
        <v>A janela foi fechada</v>
        <stp/>
        <stp>T&amp;T1</stp>
        <stp>AGR</stp>
        <stp>219</stp>
        <tr r="J227" s="1"/>
      </tp>
      <tp t="s">
        <v>A janela foi fechada</v>
        <stp/>
        <stp>T&amp;T1</stp>
        <stp>AGR</stp>
        <stp>218</stp>
        <tr r="J226" s="1"/>
      </tp>
      <tp t="s">
        <v>A janela foi fechada</v>
        <stp/>
        <stp>T&amp;T1</stp>
        <stp>AGR</stp>
        <stp>207</stp>
        <tr r="J215" s="1"/>
      </tp>
      <tp t="s">
        <v>A janela foi fechada</v>
        <stp/>
        <stp>T&amp;T2</stp>
        <stp>AGR</stp>
        <stp>204</stp>
        <tr r="D212" s="1"/>
      </tp>
      <tp t="s">
        <v>A janela foi fechada</v>
        <stp/>
        <stp>T&amp;T1</stp>
        <stp>AGR</stp>
        <stp>206</stp>
        <tr r="J214" s="1"/>
      </tp>
      <tp t="s">
        <v>A janela foi fechada</v>
        <stp/>
        <stp>T&amp;T2</stp>
        <stp>AGR</stp>
        <stp>205</stp>
        <tr r="D213" s="1"/>
      </tp>
      <tp t="s">
        <v>A janela foi fechada</v>
        <stp/>
        <stp>T&amp;T1</stp>
        <stp>AGR</stp>
        <stp>205</stp>
        <tr r="J213" s="1"/>
      </tp>
      <tp t="s">
        <v>A janela foi fechada</v>
        <stp/>
        <stp>T&amp;T2</stp>
        <stp>AGR</stp>
        <stp>206</stp>
        <tr r="D214" s="1"/>
      </tp>
      <tp t="s">
        <v>A janela foi fechada</v>
        <stp/>
        <stp>T&amp;T1</stp>
        <stp>AGR</stp>
        <stp>204</stp>
        <tr r="J212" s="1"/>
      </tp>
      <tp t="s">
        <v>A janela foi fechada</v>
        <stp/>
        <stp>T&amp;T2</stp>
        <stp>AGR</stp>
        <stp>207</stp>
        <tr r="D215" s="1"/>
      </tp>
      <tp t="s">
        <v>A janela foi fechada</v>
        <stp/>
        <stp>T&amp;T1</stp>
        <stp>AGR</stp>
        <stp>203</stp>
        <tr r="J211" s="1"/>
      </tp>
      <tp t="s">
        <v>A janela foi fechada</v>
        <stp/>
        <stp>T&amp;T2</stp>
        <stp>AGR</stp>
        <stp>200</stp>
        <tr r="D208" s="1"/>
      </tp>
      <tp t="s">
        <v>A janela foi fechada</v>
        <stp/>
        <stp>T&amp;T1</stp>
        <stp>AGR</stp>
        <stp>202</stp>
        <tr r="J210" s="1"/>
      </tp>
      <tp t="s">
        <v>A janela foi fechada</v>
        <stp/>
        <stp>T&amp;T2</stp>
        <stp>AGR</stp>
        <stp>201</stp>
        <tr r="D209" s="1"/>
      </tp>
      <tp t="s">
        <v>A janela foi fechada</v>
        <stp/>
        <stp>T&amp;T1</stp>
        <stp>AGR</stp>
        <stp>201</stp>
        <tr r="J209" s="1"/>
      </tp>
      <tp t="s">
        <v>A janela foi fechada</v>
        <stp/>
        <stp>T&amp;T2</stp>
        <stp>AGR</stp>
        <stp>202</stp>
        <tr r="D210" s="1"/>
      </tp>
      <tp t="s">
        <v>A janela foi fechada</v>
        <stp/>
        <stp>T&amp;T1</stp>
        <stp>AGR</stp>
        <stp>200</stp>
        <tr r="J208" s="1"/>
      </tp>
      <tp t="s">
        <v>A janela foi fechada</v>
        <stp/>
        <stp>T&amp;T2</stp>
        <stp>AGR</stp>
        <stp>203</stp>
        <tr r="D211" s="1"/>
      </tp>
      <tp t="s">
        <v>A janela foi fechada</v>
        <stp/>
        <stp>T&amp;T2</stp>
        <stp>AGR</stp>
        <stp>208</stp>
        <tr r="D216" s="1"/>
      </tp>
      <tp t="s">
        <v>A janela foi fechada</v>
        <stp/>
        <stp>T&amp;T2</stp>
        <stp>AGR</stp>
        <stp>209</stp>
        <tr r="D217" s="1"/>
      </tp>
      <tp t="s">
        <v>A janela foi fechada</v>
        <stp/>
        <stp>T&amp;T1</stp>
        <stp>AGR</stp>
        <stp>209</stp>
        <tr r="J217" s="1"/>
      </tp>
      <tp t="s">
        <v>A janela foi fechada</v>
        <stp/>
        <stp>T&amp;T1</stp>
        <stp>AGR</stp>
        <stp>208</stp>
        <tr r="J216" s="1"/>
      </tp>
      <tp t="s">
        <v>A janela foi fechada</v>
        <stp/>
        <stp>T&amp;T1</stp>
        <stp>AGR</stp>
        <stp>277</stp>
        <tr r="J285" s="1"/>
      </tp>
      <tp t="s">
        <v>A janela foi fechada</v>
        <stp/>
        <stp>T&amp;T2</stp>
        <stp>AGR</stp>
        <stp>274</stp>
        <tr r="D282" s="1"/>
      </tp>
      <tp t="s">
        <v>A janela foi fechada</v>
        <stp/>
        <stp>T&amp;T1</stp>
        <stp>AGR</stp>
        <stp>276</stp>
        <tr r="J284" s="1"/>
      </tp>
      <tp t="s">
        <v>A janela foi fechada</v>
        <stp/>
        <stp>T&amp;T2</stp>
        <stp>AGR</stp>
        <stp>275</stp>
        <tr r="D283" s="1"/>
      </tp>
      <tp t="s">
        <v>A janela foi fechada</v>
        <stp/>
        <stp>T&amp;T1</stp>
        <stp>AGR</stp>
        <stp>275</stp>
        <tr r="J283" s="1"/>
      </tp>
      <tp t="s">
        <v>A janela foi fechada</v>
        <stp/>
        <stp>T&amp;T2</stp>
        <stp>AGR</stp>
        <stp>276</stp>
        <tr r="D284" s="1"/>
      </tp>
      <tp t="s">
        <v>A janela foi fechada</v>
        <stp/>
        <stp>T&amp;T1</stp>
        <stp>AGR</stp>
        <stp>274</stp>
        <tr r="J282" s="1"/>
      </tp>
      <tp t="s">
        <v>A janela foi fechada</v>
        <stp/>
        <stp>T&amp;T2</stp>
        <stp>AGR</stp>
        <stp>277</stp>
        <tr r="D285" s="1"/>
      </tp>
      <tp t="s">
        <v>A janela foi fechada</v>
        <stp/>
        <stp>T&amp;T1</stp>
        <stp>AGR</stp>
        <stp>273</stp>
        <tr r="J281" s="1"/>
      </tp>
      <tp t="s">
        <v>A janela foi fechada</v>
        <stp/>
        <stp>T&amp;T2</stp>
        <stp>AGR</stp>
        <stp>270</stp>
        <tr r="D278" s="1"/>
      </tp>
      <tp t="s">
        <v>A janela foi fechada</v>
        <stp/>
        <stp>T&amp;T1</stp>
        <stp>AGR</stp>
        <stp>272</stp>
        <tr r="J280" s="1"/>
      </tp>
      <tp t="s">
        <v>A janela foi fechada</v>
        <stp/>
        <stp>T&amp;T2</stp>
        <stp>AGR</stp>
        <stp>271</stp>
        <tr r="D279" s="1"/>
      </tp>
      <tp t="s">
        <v>A janela foi fechada</v>
        <stp/>
        <stp>T&amp;T1</stp>
        <stp>AGR</stp>
        <stp>271</stp>
        <tr r="J279" s="1"/>
      </tp>
      <tp t="s">
        <v>A janela foi fechada</v>
        <stp/>
        <stp>T&amp;T2</stp>
        <stp>AGR</stp>
        <stp>272</stp>
        <tr r="D280" s="1"/>
      </tp>
      <tp t="s">
        <v>A janela foi fechada</v>
        <stp/>
        <stp>T&amp;T1</stp>
        <stp>AGR</stp>
        <stp>270</stp>
        <tr r="J278" s="1"/>
      </tp>
      <tp t="s">
        <v>A janela foi fechada</v>
        <stp/>
        <stp>T&amp;T2</stp>
        <stp>AGR</stp>
        <stp>273</stp>
        <tr r="D281" s="1"/>
      </tp>
      <tp t="s">
        <v>A janela foi fechada</v>
        <stp/>
        <stp>T&amp;T2</stp>
        <stp>AGR</stp>
        <stp>278</stp>
        <tr r="D286" s="1"/>
      </tp>
      <tp t="s">
        <v>A janela foi fechada</v>
        <stp/>
        <stp>T&amp;T2</stp>
        <stp>AGR</stp>
        <stp>279</stp>
        <tr r="D287" s="1"/>
      </tp>
      <tp t="s">
        <v>A janela foi fechada</v>
        <stp/>
        <stp>T&amp;T1</stp>
        <stp>AGR</stp>
        <stp>279</stp>
        <tr r="J287" s="1"/>
      </tp>
      <tp t="s">
        <v>A janela foi fechada</v>
        <stp/>
        <stp>T&amp;T1</stp>
        <stp>AGR</stp>
        <stp>278</stp>
        <tr r="J286" s="1"/>
      </tp>
      <tp t="s">
        <v>A janela foi fechada</v>
        <stp/>
        <stp>T&amp;T1</stp>
        <stp>AGR</stp>
        <stp>267</stp>
        <tr r="J275" s="1"/>
      </tp>
      <tp t="s">
        <v>A janela foi fechada</v>
        <stp/>
        <stp>T&amp;T2</stp>
        <stp>AGR</stp>
        <stp>264</stp>
        <tr r="D272" s="1"/>
      </tp>
      <tp t="s">
        <v>A janela foi fechada</v>
        <stp/>
        <stp>T&amp;T1</stp>
        <stp>AGR</stp>
        <stp>266</stp>
        <tr r="J274" s="1"/>
      </tp>
      <tp t="s">
        <v>A janela foi fechada</v>
        <stp/>
        <stp>T&amp;T2</stp>
        <stp>AGR</stp>
        <stp>265</stp>
        <tr r="D273" s="1"/>
      </tp>
      <tp t="s">
        <v>A janela foi fechada</v>
        <stp/>
        <stp>T&amp;T1</stp>
        <stp>AGR</stp>
        <stp>265</stp>
        <tr r="J273" s="1"/>
      </tp>
      <tp t="s">
        <v>A janela foi fechada</v>
        <stp/>
        <stp>T&amp;T2</stp>
        <stp>AGR</stp>
        <stp>266</stp>
        <tr r="D274" s="1"/>
      </tp>
      <tp t="s">
        <v>A janela foi fechada</v>
        <stp/>
        <stp>T&amp;T1</stp>
        <stp>AGR</stp>
        <stp>264</stp>
        <tr r="J272" s="1"/>
      </tp>
      <tp t="s">
        <v>A janela foi fechada</v>
        <stp/>
        <stp>T&amp;T2</stp>
        <stp>AGR</stp>
        <stp>267</stp>
        <tr r="D275" s="1"/>
      </tp>
      <tp t="s">
        <v>A janela foi fechada</v>
        <stp/>
        <stp>T&amp;T1</stp>
        <stp>AGR</stp>
        <stp>263</stp>
        <tr r="J271" s="1"/>
      </tp>
      <tp t="s">
        <v>A janela foi fechada</v>
        <stp/>
        <stp>T&amp;T2</stp>
        <stp>AGR</stp>
        <stp>260</stp>
        <tr r="D268" s="1"/>
      </tp>
      <tp t="s">
        <v>A janela foi fechada</v>
        <stp/>
        <stp>T&amp;T1</stp>
        <stp>AGR</stp>
        <stp>262</stp>
        <tr r="J270" s="1"/>
      </tp>
      <tp t="s">
        <v>A janela foi fechada</v>
        <stp/>
        <stp>T&amp;T2</stp>
        <stp>AGR</stp>
        <stp>261</stp>
        <tr r="D269" s="1"/>
      </tp>
      <tp t="s">
        <v>A janela foi fechada</v>
        <stp/>
        <stp>T&amp;T1</stp>
        <stp>AGR</stp>
        <stp>261</stp>
        <tr r="J269" s="1"/>
      </tp>
      <tp t="s">
        <v>A janela foi fechada</v>
        <stp/>
        <stp>T&amp;T2</stp>
        <stp>AGR</stp>
        <stp>262</stp>
        <tr r="D270" s="1"/>
      </tp>
      <tp t="s">
        <v>A janela foi fechada</v>
        <stp/>
        <stp>T&amp;T1</stp>
        <stp>AGR</stp>
        <stp>260</stp>
        <tr r="J268" s="1"/>
      </tp>
      <tp t="s">
        <v>A janela foi fechada</v>
        <stp/>
        <stp>T&amp;T2</stp>
        <stp>AGR</stp>
        <stp>263</stp>
        <tr r="D271" s="1"/>
      </tp>
      <tp t="s">
        <v>A janela foi fechada</v>
        <stp/>
        <stp>T&amp;T2</stp>
        <stp>AGR</stp>
        <stp>268</stp>
        <tr r="D276" s="1"/>
      </tp>
      <tp t="s">
        <v>A janela foi fechada</v>
        <stp/>
        <stp>T&amp;T2</stp>
        <stp>AGR</stp>
        <stp>269</stp>
        <tr r="D277" s="1"/>
      </tp>
      <tp t="s">
        <v>A janela foi fechada</v>
        <stp/>
        <stp>T&amp;T1</stp>
        <stp>AGR</stp>
        <stp>269</stp>
        <tr r="J277" s="1"/>
      </tp>
      <tp t="s">
        <v>A janela foi fechada</v>
        <stp/>
        <stp>T&amp;T1</stp>
        <stp>AGR</stp>
        <stp>268</stp>
        <tr r="J276" s="1"/>
      </tp>
      <tp t="s">
        <v>A janela foi fechada</v>
        <stp/>
        <stp>T&amp;T1</stp>
        <stp>AGR</stp>
        <stp>257</stp>
        <tr r="J265" s="1"/>
      </tp>
      <tp t="s">
        <v>A janela foi fechada</v>
        <stp/>
        <stp>T&amp;T2</stp>
        <stp>AGR</stp>
        <stp>254</stp>
        <tr r="D262" s="1"/>
      </tp>
      <tp t="s">
        <v>A janela foi fechada</v>
        <stp/>
        <stp>T&amp;T1</stp>
        <stp>AGR</stp>
        <stp>256</stp>
        <tr r="J264" s="1"/>
      </tp>
      <tp t="s">
        <v>A janela foi fechada</v>
        <stp/>
        <stp>T&amp;T2</stp>
        <stp>AGR</stp>
        <stp>255</stp>
        <tr r="D263" s="1"/>
      </tp>
      <tp t="s">
        <v>A janela foi fechada</v>
        <stp/>
        <stp>T&amp;T1</stp>
        <stp>AGR</stp>
        <stp>255</stp>
        <tr r="J263" s="1"/>
      </tp>
      <tp t="s">
        <v>A janela foi fechada</v>
        <stp/>
        <stp>T&amp;T2</stp>
        <stp>AGR</stp>
        <stp>256</stp>
        <tr r="D264" s="1"/>
      </tp>
      <tp t="s">
        <v>A janela foi fechada</v>
        <stp/>
        <stp>T&amp;T1</stp>
        <stp>AGR</stp>
        <stp>254</stp>
        <tr r="J262" s="1"/>
      </tp>
      <tp t="s">
        <v>A janela foi fechada</v>
        <stp/>
        <stp>T&amp;T2</stp>
        <stp>AGR</stp>
        <stp>257</stp>
        <tr r="D265" s="1"/>
      </tp>
      <tp t="s">
        <v>A janela foi fechada</v>
        <stp/>
        <stp>T&amp;T1</stp>
        <stp>AGR</stp>
        <stp>253</stp>
        <tr r="J261" s="1"/>
      </tp>
      <tp t="s">
        <v>A janela foi fechada</v>
        <stp/>
        <stp>T&amp;T2</stp>
        <stp>AGR</stp>
        <stp>250</stp>
        <tr r="D258" s="1"/>
      </tp>
      <tp t="s">
        <v>A janela foi fechada</v>
        <stp/>
        <stp>T&amp;T1</stp>
        <stp>AGR</stp>
        <stp>252</stp>
        <tr r="J260" s="1"/>
      </tp>
      <tp t="s">
        <v>A janela foi fechada</v>
        <stp/>
        <stp>T&amp;T2</stp>
        <stp>AGR</stp>
        <stp>251</stp>
        <tr r="D259" s="1"/>
      </tp>
      <tp t="s">
        <v>A janela foi fechada</v>
        <stp/>
        <stp>T&amp;T1</stp>
        <stp>AGR</stp>
        <stp>251</stp>
        <tr r="J259" s="1"/>
      </tp>
      <tp t="s">
        <v>A janela foi fechada</v>
        <stp/>
        <stp>T&amp;T2</stp>
        <stp>AGR</stp>
        <stp>252</stp>
        <tr r="D260" s="1"/>
      </tp>
      <tp t="s">
        <v>A janela foi fechada</v>
        <stp/>
        <stp>T&amp;T1</stp>
        <stp>AGR</stp>
        <stp>250</stp>
        <tr r="J258" s="1"/>
      </tp>
      <tp t="s">
        <v>A janela foi fechada</v>
        <stp/>
        <stp>T&amp;T2</stp>
        <stp>AGR</stp>
        <stp>253</stp>
        <tr r="D261" s="1"/>
      </tp>
      <tp t="s">
        <v>A janela foi fechada</v>
        <stp/>
        <stp>T&amp;T2</stp>
        <stp>AGR</stp>
        <stp>258</stp>
        <tr r="D266" s="1"/>
      </tp>
      <tp t="s">
        <v>A janela foi fechada</v>
        <stp/>
        <stp>T&amp;T2</stp>
        <stp>AGR</stp>
        <stp>259</stp>
        <tr r="D267" s="1"/>
      </tp>
      <tp t="s">
        <v>A janela foi fechada</v>
        <stp/>
        <stp>T&amp;T1</stp>
        <stp>AGR</stp>
        <stp>259</stp>
        <tr r="J267" s="1"/>
      </tp>
      <tp t="s">
        <v>A janela foi fechada</v>
        <stp/>
        <stp>T&amp;T1</stp>
        <stp>AGR</stp>
        <stp>258</stp>
        <tr r="J266" s="1"/>
      </tp>
      <tp t="s">
        <v>A janela foi fechada</v>
        <stp/>
        <stp>T&amp;T1</stp>
        <stp>AGR</stp>
        <stp>247</stp>
        <tr r="J255" s="1"/>
      </tp>
      <tp t="s">
        <v>A janela foi fechada</v>
        <stp/>
        <stp>T&amp;T2</stp>
        <stp>AGR</stp>
        <stp>244</stp>
        <tr r="D252" s="1"/>
      </tp>
      <tp t="s">
        <v>A janela foi fechada</v>
        <stp/>
        <stp>T&amp;T1</stp>
        <stp>AGR</stp>
        <stp>246</stp>
        <tr r="J254" s="1"/>
      </tp>
      <tp t="s">
        <v>A janela foi fechada</v>
        <stp/>
        <stp>T&amp;T2</stp>
        <stp>AGR</stp>
        <stp>245</stp>
        <tr r="D253" s="1"/>
      </tp>
      <tp t="s">
        <v>A janela foi fechada</v>
        <stp/>
        <stp>T&amp;T1</stp>
        <stp>AGR</stp>
        <stp>245</stp>
        <tr r="J253" s="1"/>
      </tp>
      <tp t="s">
        <v>A janela foi fechada</v>
        <stp/>
        <stp>T&amp;T2</stp>
        <stp>AGR</stp>
        <stp>246</stp>
        <tr r="D254" s="1"/>
      </tp>
      <tp t="s">
        <v>A janela foi fechada</v>
        <stp/>
        <stp>T&amp;T1</stp>
        <stp>AGR</stp>
        <stp>244</stp>
        <tr r="J252" s="1"/>
      </tp>
      <tp t="s">
        <v>A janela foi fechada</v>
        <stp/>
        <stp>T&amp;T2</stp>
        <stp>AGR</stp>
        <stp>247</stp>
        <tr r="D255" s="1"/>
      </tp>
      <tp t="s">
        <v>A janela foi fechada</v>
        <stp/>
        <stp>T&amp;T1</stp>
        <stp>AGR</stp>
        <stp>243</stp>
        <tr r="J251" s="1"/>
      </tp>
      <tp t="s">
        <v>A janela foi fechada</v>
        <stp/>
        <stp>T&amp;T2</stp>
        <stp>AGR</stp>
        <stp>240</stp>
        <tr r="D248" s="1"/>
      </tp>
      <tp t="s">
        <v>A janela foi fechada</v>
        <stp/>
        <stp>T&amp;T1</stp>
        <stp>AGR</stp>
        <stp>242</stp>
        <tr r="J250" s="1"/>
      </tp>
      <tp t="s">
        <v>A janela foi fechada</v>
        <stp/>
        <stp>T&amp;T2</stp>
        <stp>AGR</stp>
        <stp>241</stp>
        <tr r="D249" s="1"/>
      </tp>
      <tp t="s">
        <v>A janela foi fechada</v>
        <stp/>
        <stp>T&amp;T1</stp>
        <stp>AGR</stp>
        <stp>241</stp>
        <tr r="J249" s="1"/>
      </tp>
      <tp t="s">
        <v>A janela foi fechada</v>
        <stp/>
        <stp>T&amp;T2</stp>
        <stp>AGR</stp>
        <stp>242</stp>
        <tr r="D250" s="1"/>
      </tp>
      <tp t="s">
        <v>A janela foi fechada</v>
        <stp/>
        <stp>T&amp;T1</stp>
        <stp>AGR</stp>
        <stp>240</stp>
        <tr r="J248" s="1"/>
      </tp>
      <tp t="s">
        <v>A janela foi fechada</v>
        <stp/>
        <stp>T&amp;T2</stp>
        <stp>AGR</stp>
        <stp>243</stp>
        <tr r="D251" s="1"/>
      </tp>
      <tp t="s">
        <v>A janela foi fechada</v>
        <stp/>
        <stp>T&amp;T2</stp>
        <stp>AGR</stp>
        <stp>248</stp>
        <tr r="D256" s="1"/>
      </tp>
      <tp t="s">
        <v>A janela foi fechada</v>
        <stp/>
        <stp>T&amp;T2</stp>
        <stp>AGR</stp>
        <stp>249</stp>
        <tr r="D257" s="1"/>
      </tp>
      <tp t="s">
        <v>A janela foi fechada</v>
        <stp/>
        <stp>T&amp;T1</stp>
        <stp>AGR</stp>
        <stp>249</stp>
        <tr r="J257" s="1"/>
      </tp>
      <tp t="s">
        <v>A janela foi fechada</v>
        <stp/>
        <stp>T&amp;T1</stp>
        <stp>AGR</stp>
        <stp>248</stp>
        <tr r="J256" s="1"/>
      </tp>
      <tp t="s">
        <v>A janela foi fechada</v>
        <stp/>
        <stp>T&amp;T1</stp>
        <stp>AGR</stp>
        <stp>197</stp>
        <tr r="J205" s="1"/>
      </tp>
      <tp t="s">
        <v>A janela foi fechada</v>
        <stp/>
        <stp>T&amp;T2</stp>
        <stp>AGR</stp>
        <stp>194</stp>
        <tr r="D202" s="1"/>
      </tp>
      <tp t="s">
        <v>A janela foi fechada</v>
        <stp/>
        <stp>T&amp;T1</stp>
        <stp>AGR</stp>
        <stp>196</stp>
        <tr r="J204" s="1"/>
      </tp>
      <tp t="s">
        <v>A janela foi fechada</v>
        <stp/>
        <stp>T&amp;T2</stp>
        <stp>AGR</stp>
        <stp>195</stp>
        <tr r="D203" s="1"/>
      </tp>
      <tp t="s">
        <v>A janela foi fechada</v>
        <stp/>
        <stp>T&amp;T1</stp>
        <stp>AGR</stp>
        <stp>195</stp>
        <tr r="J203" s="1"/>
      </tp>
      <tp t="s">
        <v>A janela foi fechada</v>
        <stp/>
        <stp>T&amp;T2</stp>
        <stp>AGR</stp>
        <stp>196</stp>
        <tr r="D204" s="1"/>
      </tp>
      <tp t="s">
        <v>A janela foi fechada</v>
        <stp/>
        <stp>T&amp;T1</stp>
        <stp>AGR</stp>
        <stp>194</stp>
        <tr r="J202" s="1"/>
      </tp>
      <tp t="s">
        <v>A janela foi fechada</v>
        <stp/>
        <stp>T&amp;T2</stp>
        <stp>AGR</stp>
        <stp>197</stp>
        <tr r="D205" s="1"/>
      </tp>
      <tp t="s">
        <v>A janela foi fechada</v>
        <stp/>
        <stp>T&amp;T1</stp>
        <stp>AGR</stp>
        <stp>193</stp>
        <tr r="J201" s="1"/>
      </tp>
      <tp t="s">
        <v>A janela foi fechada</v>
        <stp/>
        <stp>T&amp;T2</stp>
        <stp>AGR</stp>
        <stp>190</stp>
        <tr r="D198" s="1"/>
      </tp>
      <tp t="s">
        <v>A janela foi fechada</v>
        <stp/>
        <stp>T&amp;T1</stp>
        <stp>AGR</stp>
        <stp>192</stp>
        <tr r="J200" s="1"/>
      </tp>
      <tp t="s">
        <v>A janela foi fechada</v>
        <stp/>
        <stp>T&amp;T2</stp>
        <stp>AGR</stp>
        <stp>191</stp>
        <tr r="D199" s="1"/>
      </tp>
      <tp t="s">
        <v>A janela foi fechada</v>
        <stp/>
        <stp>T&amp;T1</stp>
        <stp>AGR</stp>
        <stp>191</stp>
        <tr r="J199" s="1"/>
      </tp>
      <tp t="s">
        <v>A janela foi fechada</v>
        <stp/>
        <stp>T&amp;T2</stp>
        <stp>AGR</stp>
        <stp>192</stp>
        <tr r="D200" s="1"/>
      </tp>
      <tp t="s">
        <v>A janela foi fechada</v>
        <stp/>
        <stp>T&amp;T1</stp>
        <stp>AGR</stp>
        <stp>190</stp>
        <tr r="J198" s="1"/>
      </tp>
      <tp t="s">
        <v>A janela foi fechada</v>
        <stp/>
        <stp>T&amp;T2</stp>
        <stp>AGR</stp>
        <stp>193</stp>
        <tr r="D201" s="1"/>
      </tp>
      <tp t="s">
        <v>A janela foi fechada</v>
        <stp/>
        <stp>T&amp;T2</stp>
        <stp>AGR</stp>
        <stp>198</stp>
        <tr r="D206" s="1"/>
      </tp>
      <tp t="s">
        <v>A janela foi fechada</v>
        <stp/>
        <stp>T&amp;T2</stp>
        <stp>AGR</stp>
        <stp>199</stp>
        <tr r="D207" s="1"/>
      </tp>
      <tp t="s">
        <v>A janela foi fechada</v>
        <stp/>
        <stp>T&amp;T1</stp>
        <stp>AGR</stp>
        <stp>199</stp>
        <tr r="J207" s="1"/>
      </tp>
      <tp t="s">
        <v>A janela foi fechada</v>
        <stp/>
        <stp>T&amp;T1</stp>
        <stp>AGR</stp>
        <stp>198</stp>
        <tr r="J206" s="1"/>
      </tp>
      <tp t="s">
        <v>A janela foi fechada</v>
        <stp/>
        <stp>T&amp;T1</stp>
        <stp>AGR</stp>
        <stp>187</stp>
        <tr r="J195" s="1"/>
      </tp>
      <tp t="s">
        <v>A janela foi fechada</v>
        <stp/>
        <stp>T&amp;T2</stp>
        <stp>AGR</stp>
        <stp>184</stp>
        <tr r="D192" s="1"/>
      </tp>
      <tp t="s">
        <v>A janela foi fechada</v>
        <stp/>
        <stp>T&amp;T1</stp>
        <stp>AGR</stp>
        <stp>186</stp>
        <tr r="J194" s="1"/>
      </tp>
      <tp t="s">
        <v>A janela foi fechada</v>
        <stp/>
        <stp>T&amp;T2</stp>
        <stp>AGR</stp>
        <stp>185</stp>
        <tr r="D193" s="1"/>
      </tp>
      <tp t="s">
        <v>A janela foi fechada</v>
        <stp/>
        <stp>T&amp;T1</stp>
        <stp>AGR</stp>
        <stp>185</stp>
        <tr r="J193" s="1"/>
      </tp>
      <tp t="s">
        <v>A janela foi fechada</v>
        <stp/>
        <stp>T&amp;T2</stp>
        <stp>AGR</stp>
        <stp>186</stp>
        <tr r="D194" s="1"/>
      </tp>
      <tp t="s">
        <v>A janela foi fechada</v>
        <stp/>
        <stp>T&amp;T1</stp>
        <stp>AGR</stp>
        <stp>184</stp>
        <tr r="J192" s="1"/>
      </tp>
      <tp t="s">
        <v>A janela foi fechada</v>
        <stp/>
        <stp>T&amp;T2</stp>
        <stp>AGR</stp>
        <stp>187</stp>
        <tr r="D195" s="1"/>
      </tp>
      <tp t="s">
        <v>A janela foi fechada</v>
        <stp/>
        <stp>T&amp;T1</stp>
        <stp>AGR</stp>
        <stp>183</stp>
        <tr r="J191" s="1"/>
      </tp>
      <tp t="s">
        <v>A janela foi fechada</v>
        <stp/>
        <stp>T&amp;T2</stp>
        <stp>AGR</stp>
        <stp>180</stp>
        <tr r="D188" s="1"/>
      </tp>
      <tp t="s">
        <v>A janela foi fechada</v>
        <stp/>
        <stp>T&amp;T1</stp>
        <stp>AGR</stp>
        <stp>182</stp>
        <tr r="J190" s="1"/>
      </tp>
      <tp t="s">
        <v>A janela foi fechada</v>
        <stp/>
        <stp>T&amp;T2</stp>
        <stp>AGR</stp>
        <stp>181</stp>
        <tr r="D189" s="1"/>
      </tp>
      <tp t="s">
        <v>A janela foi fechada</v>
        <stp/>
        <stp>T&amp;T1</stp>
        <stp>AGR</stp>
        <stp>181</stp>
        <tr r="J189" s="1"/>
      </tp>
      <tp t="s">
        <v>A janela foi fechada</v>
        <stp/>
        <stp>T&amp;T2</stp>
        <stp>AGR</stp>
        <stp>182</stp>
        <tr r="D190" s="1"/>
      </tp>
      <tp t="s">
        <v>A janela foi fechada</v>
        <stp/>
        <stp>T&amp;T1</stp>
        <stp>AGR</stp>
        <stp>180</stp>
        <tr r="J188" s="1"/>
      </tp>
      <tp t="s">
        <v>A janela foi fechada</v>
        <stp/>
        <stp>T&amp;T2</stp>
        <stp>AGR</stp>
        <stp>183</stp>
        <tr r="D191" s="1"/>
      </tp>
      <tp t="s">
        <v>A janela foi fechada</v>
        <stp/>
        <stp>T&amp;T2</stp>
        <stp>AGR</stp>
        <stp>188</stp>
        <tr r="D196" s="1"/>
      </tp>
      <tp t="s">
        <v>A janela foi fechada</v>
        <stp/>
        <stp>T&amp;T2</stp>
        <stp>AGR</stp>
        <stp>189</stp>
        <tr r="D197" s="1"/>
      </tp>
      <tp t="s">
        <v>A janela foi fechada</v>
        <stp/>
        <stp>T&amp;T1</stp>
        <stp>AGR</stp>
        <stp>189</stp>
        <tr r="J197" s="1"/>
      </tp>
      <tp t="s">
        <v>A janela foi fechada</v>
        <stp/>
        <stp>T&amp;T1</stp>
        <stp>AGR</stp>
        <stp>188</stp>
        <tr r="J196" s="1"/>
      </tp>
      <tp t="s">
        <v>A janela foi fechada</v>
        <stp/>
        <stp>T&amp;T1</stp>
        <stp>DAT</stp>
        <stp>491</stp>
        <tr r="G499" s="1"/>
      </tp>
      <tp t="s">
        <v>A janela foi fechada</v>
        <stp/>
        <stp>T&amp;T2</stp>
        <stp>DAT</stp>
        <stp>492</stp>
        <tr r="A500" s="1"/>
      </tp>
      <tp t="s">
        <v>A janela foi fechada</v>
        <stp/>
        <stp>T&amp;T1</stp>
        <stp>DAT</stp>
        <stp>490</stp>
        <tr r="G498" s="1"/>
      </tp>
      <tp t="s">
        <v>A janela foi fechada</v>
        <stp/>
        <stp>T&amp;T2</stp>
        <stp>DAT</stp>
        <stp>493</stp>
        <tr r="A501" s="1"/>
      </tp>
      <tp t="s">
        <v>A janela foi fechada</v>
        <stp/>
        <stp>T&amp;T1</stp>
        <stp>DAT</stp>
        <stp>493</stp>
        <tr r="G501" s="1"/>
      </tp>
      <tp t="s">
        <v>A janela foi fechada</v>
        <stp/>
        <stp>T&amp;T2</stp>
        <stp>DAT</stp>
        <stp>490</stp>
        <tr r="A498" s="1"/>
      </tp>
      <tp t="s">
        <v>A janela foi fechada</v>
        <stp/>
        <stp>T&amp;T1</stp>
        <stp>DAT</stp>
        <stp>492</stp>
        <tr r="G500" s="1"/>
      </tp>
      <tp t="s">
        <v>A janela foi fechada</v>
        <stp/>
        <stp>T&amp;T2</stp>
        <stp>DAT</stp>
        <stp>491</stp>
        <tr r="A499" s="1"/>
      </tp>
      <tp t="s">
        <v>A janela foi fechada</v>
        <stp/>
        <stp>T&amp;T1</stp>
        <stp>DAT</stp>
        <stp>495</stp>
        <tr r="G503" s="1"/>
      </tp>
      <tp t="s">
        <v>A janela foi fechada</v>
        <stp/>
        <stp>T&amp;T2</stp>
        <stp>DAT</stp>
        <stp>496</stp>
        <tr r="A504" s="1"/>
      </tp>
      <tp t="s">
        <v>A janela foi fechada</v>
        <stp/>
        <stp>T&amp;T1</stp>
        <stp>DAT</stp>
        <stp>494</stp>
        <tr r="G502" s="1"/>
      </tp>
      <tp t="s">
        <v>A janela foi fechada</v>
        <stp/>
        <stp>T&amp;T2</stp>
        <stp>DAT</stp>
        <stp>497</stp>
        <tr r="A505" s="1"/>
      </tp>
      <tp t="s">
        <v>A janela foi fechada</v>
        <stp/>
        <stp>T&amp;T1</stp>
        <stp>DAT</stp>
        <stp>497</stp>
        <tr r="G505" s="1"/>
      </tp>
      <tp t="s">
        <v>A janela foi fechada</v>
        <stp/>
        <stp>T&amp;T2</stp>
        <stp>DAT</stp>
        <stp>494</stp>
        <tr r="A502" s="1"/>
      </tp>
      <tp t="s">
        <v>A janela foi fechada</v>
        <stp/>
        <stp>T&amp;T1</stp>
        <stp>DAT</stp>
        <stp>496</stp>
        <tr r="G504" s="1"/>
      </tp>
      <tp t="s">
        <v>A janela foi fechada</v>
        <stp/>
        <stp>T&amp;T2</stp>
        <stp>DAT</stp>
        <stp>495</stp>
        <tr r="A503" s="1"/>
      </tp>
      <tp t="s">
        <v>A janela foi fechada</v>
        <stp/>
        <stp>T&amp;T1</stp>
        <stp>DAT</stp>
        <stp>499</stp>
        <tr r="G507" s="1"/>
      </tp>
      <tp t="s">
        <v>A janela foi fechada</v>
        <stp/>
        <stp>T&amp;T1</stp>
        <stp>DAT</stp>
        <stp>498</stp>
        <tr r="G506" s="1"/>
      </tp>
      <tp t="s">
        <v>A janela foi fechada</v>
        <stp/>
        <stp>T&amp;T2</stp>
        <stp>DAT</stp>
        <stp>498</stp>
        <tr r="A506" s="1"/>
      </tp>
      <tp t="s">
        <v>A janela foi fechada</v>
        <stp/>
        <stp>T&amp;T2</stp>
        <stp>DAT</stp>
        <stp>499</stp>
        <tr r="A507" s="1"/>
      </tp>
      <tp t="s">
        <v>A janela foi fechada</v>
        <stp/>
        <stp>T&amp;T1</stp>
        <stp>DAT</stp>
        <stp>481</stp>
        <tr r="G489" s="1"/>
      </tp>
      <tp t="s">
        <v>A janela foi fechada</v>
        <stp/>
        <stp>T&amp;T2</stp>
        <stp>DAT</stp>
        <stp>482</stp>
        <tr r="A490" s="1"/>
      </tp>
      <tp t="s">
        <v>A janela foi fechada</v>
        <stp/>
        <stp>T&amp;T1</stp>
        <stp>DAT</stp>
        <stp>480</stp>
        <tr r="G488" s="1"/>
      </tp>
      <tp t="s">
        <v>A janela foi fechada</v>
        <stp/>
        <stp>T&amp;T2</stp>
        <stp>DAT</stp>
        <stp>483</stp>
        <tr r="A491" s="1"/>
      </tp>
      <tp t="s">
        <v>A janela foi fechada</v>
        <stp/>
        <stp>T&amp;T1</stp>
        <stp>DAT</stp>
        <stp>483</stp>
        <tr r="G491" s="1"/>
      </tp>
      <tp t="s">
        <v>A janela foi fechada</v>
        <stp/>
        <stp>T&amp;T2</stp>
        <stp>DAT</stp>
        <stp>480</stp>
        <tr r="A488" s="1"/>
      </tp>
      <tp t="s">
        <v>A janela foi fechada</v>
        <stp/>
        <stp>T&amp;T1</stp>
        <stp>DAT</stp>
        <stp>482</stp>
        <tr r="G490" s="1"/>
      </tp>
      <tp t="s">
        <v>A janela foi fechada</v>
        <stp/>
        <stp>T&amp;T2</stp>
        <stp>DAT</stp>
        <stp>481</stp>
        <tr r="A489" s="1"/>
      </tp>
      <tp t="s">
        <v>A janela foi fechada</v>
        <stp/>
        <stp>T&amp;T1</stp>
        <stp>DAT</stp>
        <stp>485</stp>
        <tr r="G493" s="1"/>
      </tp>
      <tp t="s">
        <v>A janela foi fechada</v>
        <stp/>
        <stp>T&amp;T2</stp>
        <stp>DAT</stp>
        <stp>486</stp>
        <tr r="A494" s="1"/>
      </tp>
      <tp t="s">
        <v>A janela foi fechada</v>
        <stp/>
        <stp>T&amp;T1</stp>
        <stp>DAT</stp>
        <stp>484</stp>
        <tr r="G492" s="1"/>
      </tp>
      <tp t="s">
        <v>A janela foi fechada</v>
        <stp/>
        <stp>T&amp;T2</stp>
        <stp>DAT</stp>
        <stp>487</stp>
        <tr r="A495" s="1"/>
      </tp>
      <tp t="s">
        <v>A janela foi fechada</v>
        <stp/>
        <stp>T&amp;T1</stp>
        <stp>DAT</stp>
        <stp>487</stp>
        <tr r="G495" s="1"/>
      </tp>
      <tp t="s">
        <v>A janela foi fechada</v>
        <stp/>
        <stp>T&amp;T2</stp>
        <stp>DAT</stp>
        <stp>484</stp>
        <tr r="A492" s="1"/>
      </tp>
      <tp t="s">
        <v>A janela foi fechada</v>
        <stp/>
        <stp>T&amp;T1</stp>
        <stp>DAT</stp>
        <stp>486</stp>
        <tr r="G494" s="1"/>
      </tp>
      <tp t="s">
        <v>A janela foi fechada</v>
        <stp/>
        <stp>T&amp;T2</stp>
        <stp>DAT</stp>
        <stp>485</stp>
        <tr r="A493" s="1"/>
      </tp>
      <tp t="s">
        <v>A janela foi fechada</v>
        <stp/>
        <stp>T&amp;T1</stp>
        <stp>DAT</stp>
        <stp>489</stp>
        <tr r="G497" s="1"/>
      </tp>
      <tp t="s">
        <v>A janela foi fechada</v>
        <stp/>
        <stp>T&amp;T1</stp>
        <stp>DAT</stp>
        <stp>488</stp>
        <tr r="G496" s="1"/>
      </tp>
      <tp t="s">
        <v>A janela foi fechada</v>
        <stp/>
        <stp>T&amp;T2</stp>
        <stp>DAT</stp>
        <stp>488</stp>
        <tr r="A496" s="1"/>
      </tp>
      <tp t="s">
        <v>A janela foi fechada</v>
        <stp/>
        <stp>T&amp;T2</stp>
        <stp>DAT</stp>
        <stp>489</stp>
        <tr r="A497" s="1"/>
      </tp>
      <tp t="s">
        <v>A janela foi fechada</v>
        <stp/>
        <stp>T&amp;T1</stp>
        <stp>AGR</stp>
        <stp>137</stp>
        <tr r="J145" s="1"/>
      </tp>
      <tp t="s">
        <v>A janela foi fechada</v>
        <stp/>
        <stp>T&amp;T1</stp>
        <stp>DAT</stp>
        <stp>451</stp>
        <tr r="G459" s="1"/>
      </tp>
      <tp t="s">
        <v>A janela foi fechada</v>
        <stp/>
        <stp>T&amp;T2</stp>
        <stp>AGR</stp>
        <stp>134</stp>
        <tr r="D142" s="1"/>
      </tp>
      <tp t="s">
        <v>A janela foi fechada</v>
        <stp/>
        <stp>T&amp;T2</stp>
        <stp>DAT</stp>
        <stp>452</stp>
        <tr r="A460" s="1"/>
      </tp>
      <tp t="s">
        <v>A janela foi fechada</v>
        <stp/>
        <stp>T&amp;T1</stp>
        <stp>AGR</stp>
        <stp>136</stp>
        <tr r="J144" s="1"/>
      </tp>
      <tp t="s">
        <v>A janela foi fechada</v>
        <stp/>
        <stp>T&amp;T1</stp>
        <stp>DAT</stp>
        <stp>450</stp>
        <tr r="G458" s="1"/>
      </tp>
      <tp t="s">
        <v>A janela foi fechada</v>
        <stp/>
        <stp>T&amp;T2</stp>
        <stp>AGR</stp>
        <stp>135</stp>
        <tr r="D143" s="1"/>
      </tp>
      <tp t="s">
        <v>A janela foi fechada</v>
        <stp/>
        <stp>T&amp;T2</stp>
        <stp>DAT</stp>
        <stp>453</stp>
        <tr r="A461" s="1"/>
      </tp>
      <tp t="s">
        <v>A janela foi fechada</v>
        <stp/>
        <stp>T&amp;T1</stp>
        <stp>AGR</stp>
        <stp>135</stp>
        <tr r="J143" s="1"/>
      </tp>
      <tp t="s">
        <v>A janela foi fechada</v>
        <stp/>
        <stp>T&amp;T1</stp>
        <stp>DAT</stp>
        <stp>453</stp>
        <tr r="G461" s="1"/>
      </tp>
      <tp t="s">
        <v>A janela foi fechada</v>
        <stp/>
        <stp>T&amp;T2</stp>
        <stp>AGR</stp>
        <stp>136</stp>
        <tr r="D144" s="1"/>
      </tp>
      <tp t="s">
        <v>A janela foi fechada</v>
        <stp/>
        <stp>T&amp;T2</stp>
        <stp>DAT</stp>
        <stp>450</stp>
        <tr r="A458" s="1"/>
      </tp>
      <tp t="s">
        <v>A janela foi fechada</v>
        <stp/>
        <stp>T&amp;T1</stp>
        <stp>AGR</stp>
        <stp>134</stp>
        <tr r="J142" s="1"/>
      </tp>
      <tp t="s">
        <v>A janela foi fechada</v>
        <stp/>
        <stp>T&amp;T1</stp>
        <stp>DAT</stp>
        <stp>452</stp>
        <tr r="G460" s="1"/>
      </tp>
      <tp t="s">
        <v>A janela foi fechada</v>
        <stp/>
        <stp>T&amp;T2</stp>
        <stp>AGR</stp>
        <stp>137</stp>
        <tr r="D145" s="1"/>
      </tp>
      <tp t="s">
        <v>A janela foi fechada</v>
        <stp/>
        <stp>T&amp;T2</stp>
        <stp>DAT</stp>
        <stp>451</stp>
        <tr r="A459" s="1"/>
      </tp>
      <tp t="s">
        <v>A janela foi fechada</v>
        <stp/>
        <stp>T&amp;T1</stp>
        <stp>AGR</stp>
        <stp>133</stp>
        <tr r="J141" s="1"/>
      </tp>
      <tp t="s">
        <v>A janela foi fechada</v>
        <stp/>
        <stp>T&amp;T1</stp>
        <stp>DAT</stp>
        <stp>455</stp>
        <tr r="G463" s="1"/>
      </tp>
      <tp t="s">
        <v>A janela foi fechada</v>
        <stp/>
        <stp>T&amp;T2</stp>
        <stp>AGR</stp>
        <stp>130</stp>
        <tr r="D138" s="1"/>
      </tp>
      <tp t="s">
        <v>A janela foi fechada</v>
        <stp/>
        <stp>T&amp;T2</stp>
        <stp>DAT</stp>
        <stp>456</stp>
        <tr r="A464" s="1"/>
      </tp>
      <tp t="s">
        <v>A janela foi fechada</v>
        <stp/>
        <stp>T&amp;T1</stp>
        <stp>AGR</stp>
        <stp>132</stp>
        <tr r="J140" s="1"/>
      </tp>
      <tp t="s">
        <v>A janela foi fechada</v>
        <stp/>
        <stp>T&amp;T1</stp>
        <stp>DAT</stp>
        <stp>454</stp>
        <tr r="G462" s="1"/>
      </tp>
      <tp t="s">
        <v>A janela foi fechada</v>
        <stp/>
        <stp>T&amp;T2</stp>
        <stp>AGR</stp>
        <stp>131</stp>
        <tr r="D139" s="1"/>
      </tp>
      <tp t="s">
        <v>A janela foi fechada</v>
        <stp/>
        <stp>T&amp;T2</stp>
        <stp>DAT</stp>
        <stp>457</stp>
        <tr r="A465" s="1"/>
      </tp>
      <tp t="s">
        <v>A janela foi fechada</v>
        <stp/>
        <stp>T&amp;T1</stp>
        <stp>AGR</stp>
        <stp>131</stp>
        <tr r="J139" s="1"/>
      </tp>
      <tp t="s">
        <v>A janela foi fechada</v>
        <stp/>
        <stp>T&amp;T1</stp>
        <stp>DAT</stp>
        <stp>457</stp>
        <tr r="G465" s="1"/>
      </tp>
      <tp t="s">
        <v>A janela foi fechada</v>
        <stp/>
        <stp>T&amp;T2</stp>
        <stp>AGR</stp>
        <stp>132</stp>
        <tr r="D140" s="1"/>
      </tp>
      <tp t="s">
        <v>A janela foi fechada</v>
        <stp/>
        <stp>T&amp;T2</stp>
        <stp>DAT</stp>
        <stp>454</stp>
        <tr r="A462" s="1"/>
      </tp>
      <tp t="s">
        <v>A janela foi fechada</v>
        <stp/>
        <stp>T&amp;T1</stp>
        <stp>AGR</stp>
        <stp>130</stp>
        <tr r="J138" s="1"/>
      </tp>
      <tp t="s">
        <v>A janela foi fechada</v>
        <stp/>
        <stp>T&amp;T1</stp>
        <stp>DAT</stp>
        <stp>456</stp>
        <tr r="G464" s="1"/>
      </tp>
      <tp t="s">
        <v>A janela foi fechada</v>
        <stp/>
        <stp>T&amp;T2</stp>
        <stp>AGR</stp>
        <stp>133</stp>
        <tr r="D141" s="1"/>
      </tp>
      <tp t="s">
        <v>A janela foi fechada</v>
        <stp/>
        <stp>T&amp;T2</stp>
        <stp>DAT</stp>
        <stp>455</stp>
        <tr r="A463" s="1"/>
      </tp>
      <tp t="s">
        <v>A janela foi fechada</v>
        <stp/>
        <stp>T&amp;T1</stp>
        <stp>DAT</stp>
        <stp>459</stp>
        <tr r="G467" s="1"/>
      </tp>
      <tp t="s">
        <v>A janela foi fechada</v>
        <stp/>
        <stp>T&amp;T1</stp>
        <stp>DAT</stp>
        <stp>458</stp>
        <tr r="G466" s="1"/>
      </tp>
      <tp t="s">
        <v>A janela foi fechada</v>
        <stp/>
        <stp>T&amp;T2</stp>
        <stp>DAT</stp>
        <stp>458</stp>
        <tr r="A466" s="1"/>
      </tp>
      <tp t="s">
        <v>A janela foi fechada</v>
        <stp/>
        <stp>T&amp;T2</stp>
        <stp>DAT</stp>
        <stp>459</stp>
        <tr r="A467" s="1"/>
      </tp>
      <tp t="s">
        <v>A janela foi fechada</v>
        <stp/>
        <stp>T&amp;T2</stp>
        <stp>AGR</stp>
        <stp>138</stp>
        <tr r="D146" s="1"/>
      </tp>
      <tp t="s">
        <v>A janela foi fechada</v>
        <stp/>
        <stp>T&amp;T2</stp>
        <stp>AGR</stp>
        <stp>139</stp>
        <tr r="D147" s="1"/>
      </tp>
      <tp t="s">
        <v>A janela foi fechada</v>
        <stp/>
        <stp>T&amp;T1</stp>
        <stp>AGR</stp>
        <stp>139</stp>
        <tr r="J147" s="1"/>
      </tp>
      <tp t="s">
        <v>A janela foi fechada</v>
        <stp/>
        <stp>T&amp;T1</stp>
        <stp>AGR</stp>
        <stp>138</stp>
        <tr r="J146" s="1"/>
      </tp>
      <tp t="s">
        <v>A janela foi fechada</v>
        <stp/>
        <stp>T&amp;T1</stp>
        <stp>AGR</stp>
        <stp>127</stp>
        <tr r="J135" s="1"/>
      </tp>
      <tp t="s">
        <v>A janela foi fechada</v>
        <stp/>
        <stp>T&amp;T1</stp>
        <stp>DAT</stp>
        <stp>441</stp>
        <tr r="G449" s="1"/>
      </tp>
      <tp t="s">
        <v>A janela foi fechada</v>
        <stp/>
        <stp>T&amp;T2</stp>
        <stp>AGR</stp>
        <stp>124</stp>
        <tr r="D132" s="1"/>
      </tp>
      <tp t="s">
        <v>A janela foi fechada</v>
        <stp/>
        <stp>T&amp;T2</stp>
        <stp>DAT</stp>
        <stp>442</stp>
        <tr r="A450" s="1"/>
      </tp>
      <tp t="s">
        <v>A janela foi fechada</v>
        <stp/>
        <stp>T&amp;T1</stp>
        <stp>AGR</stp>
        <stp>126</stp>
        <tr r="J134" s="1"/>
      </tp>
      <tp t="s">
        <v>A janela foi fechada</v>
        <stp/>
        <stp>T&amp;T1</stp>
        <stp>DAT</stp>
        <stp>440</stp>
        <tr r="G448" s="1"/>
      </tp>
      <tp t="s">
        <v>A janela foi fechada</v>
        <stp/>
        <stp>T&amp;T2</stp>
        <stp>AGR</stp>
        <stp>125</stp>
        <tr r="D133" s="1"/>
      </tp>
      <tp t="s">
        <v>A janela foi fechada</v>
        <stp/>
        <stp>T&amp;T2</stp>
        <stp>DAT</stp>
        <stp>443</stp>
        <tr r="A451" s="1"/>
      </tp>
      <tp t="s">
        <v>A janela foi fechada</v>
        <stp/>
        <stp>T&amp;T1</stp>
        <stp>AGR</stp>
        <stp>125</stp>
        <tr r="J133" s="1"/>
      </tp>
      <tp t="s">
        <v>A janela foi fechada</v>
        <stp/>
        <stp>T&amp;T1</stp>
        <stp>DAT</stp>
        <stp>443</stp>
        <tr r="G451" s="1"/>
      </tp>
      <tp t="s">
        <v>A janela foi fechada</v>
        <stp/>
        <stp>T&amp;T2</stp>
        <stp>AGR</stp>
        <stp>126</stp>
        <tr r="D134" s="1"/>
      </tp>
      <tp t="s">
        <v>A janela foi fechada</v>
        <stp/>
        <stp>T&amp;T2</stp>
        <stp>DAT</stp>
        <stp>440</stp>
        <tr r="A448" s="1"/>
      </tp>
      <tp t="s">
        <v>A janela foi fechada</v>
        <stp/>
        <stp>T&amp;T1</stp>
        <stp>AGR</stp>
        <stp>124</stp>
        <tr r="J132" s="1"/>
      </tp>
      <tp t="s">
        <v>A janela foi fechada</v>
        <stp/>
        <stp>T&amp;T1</stp>
        <stp>DAT</stp>
        <stp>442</stp>
        <tr r="G450" s="1"/>
      </tp>
      <tp t="s">
        <v>A janela foi fechada</v>
        <stp/>
        <stp>T&amp;T2</stp>
        <stp>AGR</stp>
        <stp>127</stp>
        <tr r="D135" s="1"/>
      </tp>
      <tp t="s">
        <v>A janela foi fechada</v>
        <stp/>
        <stp>T&amp;T2</stp>
        <stp>DAT</stp>
        <stp>441</stp>
        <tr r="A449" s="1"/>
      </tp>
      <tp t="s">
        <v>A janela foi fechada</v>
        <stp/>
        <stp>T&amp;T1</stp>
        <stp>AGR</stp>
        <stp>123</stp>
        <tr r="J131" s="1"/>
      </tp>
      <tp t="s">
        <v>A janela foi fechada</v>
        <stp/>
        <stp>T&amp;T1</stp>
        <stp>DAT</stp>
        <stp>445</stp>
        <tr r="G453" s="1"/>
      </tp>
      <tp t="s">
        <v>A janela foi fechada</v>
        <stp/>
        <stp>T&amp;T2</stp>
        <stp>AGR</stp>
        <stp>120</stp>
        <tr r="D128" s="1"/>
      </tp>
      <tp t="s">
        <v>A janela foi fechada</v>
        <stp/>
        <stp>T&amp;T2</stp>
        <stp>DAT</stp>
        <stp>446</stp>
        <tr r="A454" s="1"/>
      </tp>
      <tp t="s">
        <v>A janela foi fechada</v>
        <stp/>
        <stp>T&amp;T1</stp>
        <stp>AGR</stp>
        <stp>122</stp>
        <tr r="J130" s="1"/>
      </tp>
      <tp t="s">
        <v>A janela foi fechada</v>
        <stp/>
        <stp>T&amp;T1</stp>
        <stp>DAT</stp>
        <stp>444</stp>
        <tr r="G452" s="1"/>
      </tp>
      <tp t="s">
        <v>A janela foi fechada</v>
        <stp/>
        <stp>T&amp;T2</stp>
        <stp>AGR</stp>
        <stp>121</stp>
        <tr r="D129" s="1"/>
      </tp>
      <tp t="s">
        <v>A janela foi fechada</v>
        <stp/>
        <stp>T&amp;T2</stp>
        <stp>DAT</stp>
        <stp>447</stp>
        <tr r="A455" s="1"/>
      </tp>
      <tp t="s">
        <v>A janela foi fechada</v>
        <stp/>
        <stp>T&amp;T1</stp>
        <stp>AGR</stp>
        <stp>121</stp>
        <tr r="J129" s="1"/>
      </tp>
      <tp t="s">
        <v>A janela foi fechada</v>
        <stp/>
        <stp>T&amp;T1</stp>
        <stp>DAT</stp>
        <stp>447</stp>
        <tr r="G455" s="1"/>
      </tp>
      <tp t="s">
        <v>A janela foi fechada</v>
        <stp/>
        <stp>T&amp;T2</stp>
        <stp>AGR</stp>
        <stp>122</stp>
        <tr r="D130" s="1"/>
      </tp>
      <tp t="s">
        <v>A janela foi fechada</v>
        <stp/>
        <stp>T&amp;T2</stp>
        <stp>DAT</stp>
        <stp>444</stp>
        <tr r="A452" s="1"/>
      </tp>
      <tp t="s">
        <v>A janela foi fechada</v>
        <stp/>
        <stp>T&amp;T1</stp>
        <stp>AGR</stp>
        <stp>120</stp>
        <tr r="J128" s="1"/>
      </tp>
      <tp t="s">
        <v>A janela foi fechada</v>
        <stp/>
        <stp>T&amp;T1</stp>
        <stp>DAT</stp>
        <stp>446</stp>
        <tr r="G454" s="1"/>
      </tp>
      <tp t="s">
        <v>A janela foi fechada</v>
        <stp/>
        <stp>T&amp;T2</stp>
        <stp>AGR</stp>
        <stp>123</stp>
        <tr r="D131" s="1"/>
      </tp>
      <tp t="s">
        <v>A janela foi fechada</v>
        <stp/>
        <stp>T&amp;T2</stp>
        <stp>DAT</stp>
        <stp>445</stp>
        <tr r="A453" s="1"/>
      </tp>
      <tp t="s">
        <v>A janela foi fechada</v>
        <stp/>
        <stp>T&amp;T1</stp>
        <stp>DAT</stp>
        <stp>449</stp>
        <tr r="G457" s="1"/>
      </tp>
      <tp t="s">
        <v>A janela foi fechada</v>
        <stp/>
        <stp>T&amp;T1</stp>
        <stp>DAT</stp>
        <stp>448</stp>
        <tr r="G456" s="1"/>
      </tp>
      <tp t="s">
        <v>A janela foi fechada</v>
        <stp/>
        <stp>T&amp;T2</stp>
        <stp>DAT</stp>
        <stp>448</stp>
        <tr r="A456" s="1"/>
      </tp>
      <tp t="s">
        <v>A janela foi fechada</v>
        <stp/>
        <stp>T&amp;T2</stp>
        <stp>DAT</stp>
        <stp>449</stp>
        <tr r="A457" s="1"/>
      </tp>
      <tp t="s">
        <v>A janela foi fechada</v>
        <stp/>
        <stp>T&amp;T2</stp>
        <stp>AGR</stp>
        <stp>128</stp>
        <tr r="D136" s="1"/>
      </tp>
      <tp t="s">
        <v>A janela foi fechada</v>
        <stp/>
        <stp>T&amp;T2</stp>
        <stp>AGR</stp>
        <stp>129</stp>
        <tr r="D137" s="1"/>
      </tp>
      <tp t="s">
        <v>A janela foi fechada</v>
        <stp/>
        <stp>T&amp;T1</stp>
        <stp>AGR</stp>
        <stp>129</stp>
        <tr r="J137" s="1"/>
      </tp>
      <tp t="s">
        <v>A janela foi fechada</v>
        <stp/>
        <stp>T&amp;T1</stp>
        <stp>AGR</stp>
        <stp>128</stp>
        <tr r="J136" s="1"/>
      </tp>
      <tp t="s">
        <v>A janela foi fechada</v>
        <stp/>
        <stp>T&amp;T1</stp>
        <stp>AGR</stp>
        <stp>117</stp>
        <tr r="J125" s="1"/>
      </tp>
      <tp t="s">
        <v>A janela foi fechada</v>
        <stp/>
        <stp>T&amp;T1</stp>
        <stp>DAT</stp>
        <stp>471</stp>
        <tr r="G479" s="1"/>
      </tp>
      <tp t="s">
        <v>A janela foi fechada</v>
        <stp/>
        <stp>T&amp;T2</stp>
        <stp>AGR</stp>
        <stp>114</stp>
        <tr r="D122" s="1"/>
      </tp>
      <tp t="s">
        <v>A janela foi fechada</v>
        <stp/>
        <stp>T&amp;T2</stp>
        <stp>DAT</stp>
        <stp>472</stp>
        <tr r="A480" s="1"/>
      </tp>
      <tp t="s">
        <v>A janela foi fechada</v>
        <stp/>
        <stp>T&amp;T1</stp>
        <stp>AGR</stp>
        <stp>116</stp>
        <tr r="J124" s="1"/>
      </tp>
      <tp t="s">
        <v>A janela foi fechada</v>
        <stp/>
        <stp>T&amp;T1</stp>
        <stp>DAT</stp>
        <stp>470</stp>
        <tr r="G478" s="1"/>
      </tp>
      <tp t="s">
        <v>A janela foi fechada</v>
        <stp/>
        <stp>T&amp;T2</stp>
        <stp>AGR</stp>
        <stp>115</stp>
        <tr r="D123" s="1"/>
      </tp>
      <tp t="s">
        <v>A janela foi fechada</v>
        <stp/>
        <stp>T&amp;T2</stp>
        <stp>DAT</stp>
        <stp>473</stp>
        <tr r="A481" s="1"/>
      </tp>
      <tp t="s">
        <v>A janela foi fechada</v>
        <stp/>
        <stp>T&amp;T1</stp>
        <stp>AGR</stp>
        <stp>115</stp>
        <tr r="J123" s="1"/>
      </tp>
      <tp t="s">
        <v>A janela foi fechada</v>
        <stp/>
        <stp>T&amp;T1</stp>
        <stp>DAT</stp>
        <stp>473</stp>
        <tr r="G481" s="1"/>
      </tp>
      <tp t="s">
        <v>A janela foi fechada</v>
        <stp/>
        <stp>T&amp;T2</stp>
        <stp>AGR</stp>
        <stp>116</stp>
        <tr r="D124" s="1"/>
      </tp>
      <tp t="s">
        <v>A janela foi fechada</v>
        <stp/>
        <stp>T&amp;T2</stp>
        <stp>DAT</stp>
        <stp>470</stp>
        <tr r="A478" s="1"/>
      </tp>
      <tp t="s">
        <v>A janela foi fechada</v>
        <stp/>
        <stp>T&amp;T1</stp>
        <stp>AGR</stp>
        <stp>114</stp>
        <tr r="J122" s="1"/>
      </tp>
      <tp t="s">
        <v>A janela foi fechada</v>
        <stp/>
        <stp>T&amp;T1</stp>
        <stp>DAT</stp>
        <stp>472</stp>
        <tr r="G480" s="1"/>
      </tp>
      <tp t="s">
        <v>A janela foi fechada</v>
        <stp/>
        <stp>T&amp;T2</stp>
        <stp>AGR</stp>
        <stp>117</stp>
        <tr r="D125" s="1"/>
      </tp>
      <tp t="s">
        <v>A janela foi fechada</v>
        <stp/>
        <stp>T&amp;T2</stp>
        <stp>DAT</stp>
        <stp>471</stp>
        <tr r="A479" s="1"/>
      </tp>
      <tp t="s">
        <v>A janela foi fechada</v>
        <stp/>
        <stp>T&amp;T1</stp>
        <stp>AGR</stp>
        <stp>113</stp>
        <tr r="J121" s="1"/>
      </tp>
      <tp t="s">
        <v>A janela foi fechada</v>
        <stp/>
        <stp>T&amp;T1</stp>
        <stp>DAT</stp>
        <stp>475</stp>
        <tr r="G483" s="1"/>
      </tp>
      <tp t="s">
        <v>A janela foi fechada</v>
        <stp/>
        <stp>T&amp;T2</stp>
        <stp>AGR</stp>
        <stp>110</stp>
        <tr r="D118" s="1"/>
      </tp>
      <tp t="s">
        <v>A janela foi fechada</v>
        <stp/>
        <stp>T&amp;T2</stp>
        <stp>DAT</stp>
        <stp>476</stp>
        <tr r="A484" s="1"/>
      </tp>
      <tp t="s">
        <v>A janela foi fechada</v>
        <stp/>
        <stp>T&amp;T1</stp>
        <stp>AGR</stp>
        <stp>112</stp>
        <tr r="J120" s="1"/>
      </tp>
      <tp t="s">
        <v>A janela foi fechada</v>
        <stp/>
        <stp>T&amp;T1</stp>
        <stp>DAT</stp>
        <stp>474</stp>
        <tr r="G482" s="1"/>
      </tp>
      <tp t="s">
        <v>A janela foi fechada</v>
        <stp/>
        <stp>T&amp;T2</stp>
        <stp>AGR</stp>
        <stp>111</stp>
        <tr r="D119" s="1"/>
      </tp>
      <tp t="s">
        <v>A janela foi fechada</v>
        <stp/>
        <stp>T&amp;T2</stp>
        <stp>DAT</stp>
        <stp>477</stp>
        <tr r="A485" s="1"/>
      </tp>
      <tp t="s">
        <v>A janela foi fechada</v>
        <stp/>
        <stp>T&amp;T1</stp>
        <stp>AGR</stp>
        <stp>111</stp>
        <tr r="J119" s="1"/>
      </tp>
      <tp t="s">
        <v>A janela foi fechada</v>
        <stp/>
        <stp>T&amp;T1</stp>
        <stp>DAT</stp>
        <stp>477</stp>
        <tr r="G485" s="1"/>
      </tp>
      <tp t="s">
        <v>A janela foi fechada</v>
        <stp/>
        <stp>T&amp;T2</stp>
        <stp>AGR</stp>
        <stp>112</stp>
        <tr r="D120" s="1"/>
      </tp>
      <tp t="s">
        <v>A janela foi fechada</v>
        <stp/>
        <stp>T&amp;T2</stp>
        <stp>DAT</stp>
        <stp>474</stp>
        <tr r="A482" s="1"/>
      </tp>
      <tp t="s">
        <v>A janela foi fechada</v>
        <stp/>
        <stp>T&amp;T1</stp>
        <stp>AGR</stp>
        <stp>110</stp>
        <tr r="J118" s="1"/>
      </tp>
      <tp t="s">
        <v>A janela foi fechada</v>
        <stp/>
        <stp>T&amp;T1</stp>
        <stp>DAT</stp>
        <stp>476</stp>
        <tr r="G484" s="1"/>
      </tp>
      <tp t="s">
        <v>A janela foi fechada</v>
        <stp/>
        <stp>T&amp;T2</stp>
        <stp>AGR</stp>
        <stp>113</stp>
        <tr r="D121" s="1"/>
      </tp>
      <tp t="s">
        <v>A janela foi fechada</v>
        <stp/>
        <stp>T&amp;T2</stp>
        <stp>DAT</stp>
        <stp>475</stp>
        <tr r="A483" s="1"/>
      </tp>
      <tp t="s">
        <v>A janela foi fechada</v>
        <stp/>
        <stp>T&amp;T1</stp>
        <stp>DAT</stp>
        <stp>479</stp>
        <tr r="G487" s="1"/>
      </tp>
      <tp t="s">
        <v>A janela foi fechada</v>
        <stp/>
        <stp>T&amp;T1</stp>
        <stp>DAT</stp>
        <stp>478</stp>
        <tr r="G486" s="1"/>
      </tp>
      <tp t="s">
        <v>A janela foi fechada</v>
        <stp/>
        <stp>T&amp;T2</stp>
        <stp>DAT</stp>
        <stp>478</stp>
        <tr r="A486" s="1"/>
      </tp>
      <tp t="s">
        <v>A janela foi fechada</v>
        <stp/>
        <stp>T&amp;T2</stp>
        <stp>DAT</stp>
        <stp>479</stp>
        <tr r="A487" s="1"/>
      </tp>
      <tp t="s">
        <v>A janela foi fechada</v>
        <stp/>
        <stp>T&amp;T2</stp>
        <stp>AGR</stp>
        <stp>118</stp>
        <tr r="D126" s="1"/>
      </tp>
      <tp t="s">
        <v>A janela foi fechada</v>
        <stp/>
        <stp>T&amp;T2</stp>
        <stp>AGR</stp>
        <stp>119</stp>
        <tr r="D127" s="1"/>
      </tp>
      <tp t="s">
        <v>A janela foi fechada</v>
        <stp/>
        <stp>T&amp;T1</stp>
        <stp>AGR</stp>
        <stp>119</stp>
        <tr r="J127" s="1"/>
      </tp>
      <tp t="s">
        <v>A janela foi fechada</v>
        <stp/>
        <stp>T&amp;T1</stp>
        <stp>AGR</stp>
        <stp>118</stp>
        <tr r="J126" s="1"/>
      </tp>
      <tp t="s">
        <v>A janela foi fechada</v>
        <stp/>
        <stp>T&amp;T1</stp>
        <stp>AGR</stp>
        <stp>107</stp>
        <tr r="J115" s="1"/>
      </tp>
      <tp t="s">
        <v>A janela foi fechada</v>
        <stp/>
        <stp>T&amp;T1</stp>
        <stp>DAT</stp>
        <stp>461</stp>
        <tr r="G469" s="1"/>
      </tp>
      <tp t="s">
        <v>A janela foi fechada</v>
        <stp/>
        <stp>T&amp;T2</stp>
        <stp>AGR</stp>
        <stp>104</stp>
        <tr r="D112" s="1"/>
      </tp>
      <tp t="s">
        <v>A janela foi fechada</v>
        <stp/>
        <stp>T&amp;T2</stp>
        <stp>DAT</stp>
        <stp>462</stp>
        <tr r="A470" s="1"/>
      </tp>
      <tp t="s">
        <v>A janela foi fechada</v>
        <stp/>
        <stp>T&amp;T1</stp>
        <stp>AGR</stp>
        <stp>106</stp>
        <tr r="J114" s="1"/>
      </tp>
      <tp t="s">
        <v>A janela foi fechada</v>
        <stp/>
        <stp>T&amp;T1</stp>
        <stp>DAT</stp>
        <stp>460</stp>
        <tr r="G468" s="1"/>
      </tp>
      <tp t="s">
        <v>A janela foi fechada</v>
        <stp/>
        <stp>T&amp;T2</stp>
        <stp>AGR</stp>
        <stp>105</stp>
        <tr r="D113" s="1"/>
      </tp>
      <tp t="s">
        <v>A janela foi fechada</v>
        <stp/>
        <stp>T&amp;T2</stp>
        <stp>DAT</stp>
        <stp>463</stp>
        <tr r="A471" s="1"/>
      </tp>
      <tp t="s">
        <v>A janela foi fechada</v>
        <stp/>
        <stp>T&amp;T1</stp>
        <stp>AGR</stp>
        <stp>105</stp>
        <tr r="J113" s="1"/>
      </tp>
      <tp t="s">
        <v>A janela foi fechada</v>
        <stp/>
        <stp>T&amp;T1</stp>
        <stp>DAT</stp>
        <stp>463</stp>
        <tr r="G471" s="1"/>
      </tp>
      <tp t="s">
        <v>A janela foi fechada</v>
        <stp/>
        <stp>T&amp;T2</stp>
        <stp>AGR</stp>
        <stp>106</stp>
        <tr r="D114" s="1"/>
      </tp>
      <tp t="s">
        <v>A janela foi fechada</v>
        <stp/>
        <stp>T&amp;T2</stp>
        <stp>DAT</stp>
        <stp>460</stp>
        <tr r="A468" s="1"/>
      </tp>
      <tp t="s">
        <v>A janela foi fechada</v>
        <stp/>
        <stp>T&amp;T1</stp>
        <stp>AGR</stp>
        <stp>104</stp>
        <tr r="J112" s="1"/>
      </tp>
      <tp t="s">
        <v>A janela foi fechada</v>
        <stp/>
        <stp>T&amp;T1</stp>
        <stp>DAT</stp>
        <stp>462</stp>
        <tr r="G470" s="1"/>
      </tp>
      <tp t="s">
        <v>A janela foi fechada</v>
        <stp/>
        <stp>T&amp;T2</stp>
        <stp>AGR</stp>
        <stp>107</stp>
        <tr r="D115" s="1"/>
      </tp>
      <tp t="s">
        <v>A janela foi fechada</v>
        <stp/>
        <stp>T&amp;T2</stp>
        <stp>DAT</stp>
        <stp>461</stp>
        <tr r="A469" s="1"/>
      </tp>
      <tp t="s">
        <v>A janela foi fechada</v>
        <stp/>
        <stp>T&amp;T1</stp>
        <stp>AGR</stp>
        <stp>103</stp>
        <tr r="J111" s="1"/>
      </tp>
      <tp t="s">
        <v>A janela foi fechada</v>
        <stp/>
        <stp>T&amp;T1</stp>
        <stp>DAT</stp>
        <stp>465</stp>
        <tr r="G473" s="1"/>
      </tp>
      <tp t="s">
        <v>A janela foi fechada</v>
        <stp/>
        <stp>T&amp;T2</stp>
        <stp>AGR</stp>
        <stp>100</stp>
        <tr r="D108" s="1"/>
      </tp>
      <tp t="s">
        <v>A janela foi fechada</v>
        <stp/>
        <stp>T&amp;T2</stp>
        <stp>DAT</stp>
        <stp>466</stp>
        <tr r="A474" s="1"/>
      </tp>
      <tp t="s">
        <v>A janela foi fechada</v>
        <stp/>
        <stp>T&amp;T1</stp>
        <stp>AGR</stp>
        <stp>102</stp>
        <tr r="J110" s="1"/>
      </tp>
      <tp t="s">
        <v>A janela foi fechada</v>
        <stp/>
        <stp>T&amp;T1</stp>
        <stp>DAT</stp>
        <stp>464</stp>
        <tr r="G472" s="1"/>
      </tp>
      <tp t="s">
        <v>A janela foi fechada</v>
        <stp/>
        <stp>T&amp;T2</stp>
        <stp>AGR</stp>
        <stp>101</stp>
        <tr r="D109" s="1"/>
      </tp>
      <tp t="s">
        <v>A janela foi fechada</v>
        <stp/>
        <stp>T&amp;T2</stp>
        <stp>DAT</stp>
        <stp>467</stp>
        <tr r="A475" s="1"/>
      </tp>
      <tp t="s">
        <v>A janela foi fechada</v>
        <stp/>
        <stp>T&amp;T1</stp>
        <stp>AGR</stp>
        <stp>101</stp>
        <tr r="J109" s="1"/>
      </tp>
      <tp t="s">
        <v>A janela foi fechada</v>
        <stp/>
        <stp>T&amp;T1</stp>
        <stp>DAT</stp>
        <stp>467</stp>
        <tr r="G475" s="1"/>
      </tp>
      <tp t="s">
        <v>A janela foi fechada</v>
        <stp/>
        <stp>T&amp;T2</stp>
        <stp>AGR</stp>
        <stp>102</stp>
        <tr r="D110" s="1"/>
      </tp>
      <tp t="s">
        <v>A janela foi fechada</v>
        <stp/>
        <stp>T&amp;T2</stp>
        <stp>DAT</stp>
        <stp>464</stp>
        <tr r="A472" s="1"/>
      </tp>
      <tp t="s">
        <v>A janela foi fechada</v>
        <stp/>
        <stp>T&amp;T1</stp>
        <stp>AGR</stp>
        <stp>100</stp>
        <tr r="J108" s="1"/>
      </tp>
      <tp t="s">
        <v>A janela foi fechada</v>
        <stp/>
        <stp>T&amp;T1</stp>
        <stp>DAT</stp>
        <stp>466</stp>
        <tr r="G474" s="1"/>
      </tp>
      <tp t="s">
        <v>A janela foi fechada</v>
        <stp/>
        <stp>T&amp;T2</stp>
        <stp>AGR</stp>
        <stp>103</stp>
        <tr r="D111" s="1"/>
      </tp>
      <tp t="s">
        <v>A janela foi fechada</v>
        <stp/>
        <stp>T&amp;T2</stp>
        <stp>DAT</stp>
        <stp>465</stp>
        <tr r="A473" s="1"/>
      </tp>
      <tp t="s">
        <v>A janela foi fechada</v>
        <stp/>
        <stp>T&amp;T1</stp>
        <stp>DAT</stp>
        <stp>469</stp>
        <tr r="G477" s="1"/>
      </tp>
      <tp t="s">
        <v>A janela foi fechada</v>
        <stp/>
        <stp>T&amp;T1</stp>
        <stp>DAT</stp>
        <stp>468</stp>
        <tr r="G476" s="1"/>
      </tp>
      <tp t="s">
        <v>A janela foi fechada</v>
        <stp/>
        <stp>T&amp;T2</stp>
        <stp>DAT</stp>
        <stp>468</stp>
        <tr r="A476" s="1"/>
      </tp>
      <tp t="s">
        <v>A janela foi fechada</v>
        <stp/>
        <stp>T&amp;T2</stp>
        <stp>DAT</stp>
        <stp>469</stp>
        <tr r="A477" s="1"/>
      </tp>
      <tp t="s">
        <v>A janela foi fechada</v>
        <stp/>
        <stp>T&amp;T2</stp>
        <stp>AGR</stp>
        <stp>108</stp>
        <tr r="D116" s="1"/>
      </tp>
      <tp t="s">
        <v>A janela foi fechada</v>
        <stp/>
        <stp>T&amp;T2</stp>
        <stp>AGR</stp>
        <stp>109</stp>
        <tr r="D117" s="1"/>
      </tp>
      <tp t="s">
        <v>A janela foi fechada</v>
        <stp/>
        <stp>T&amp;T1</stp>
        <stp>AGR</stp>
        <stp>109</stp>
        <tr r="J117" s="1"/>
      </tp>
      <tp t="s">
        <v>A janela foi fechada</v>
        <stp/>
        <stp>T&amp;T1</stp>
        <stp>AGR</stp>
        <stp>108</stp>
        <tr r="J116" s="1"/>
      </tp>
      <tp t="s">
        <v>A janela foi fechada</v>
        <stp/>
        <stp>T&amp;T1</stp>
        <stp>AGR</stp>
        <stp>177</stp>
        <tr r="J185" s="1"/>
      </tp>
      <tp t="s">
        <v>A janela foi fechada</v>
        <stp/>
        <stp>T&amp;T1</stp>
        <stp>DAT</stp>
        <stp>411</stp>
        <tr r="G419" s="1"/>
      </tp>
      <tp t="s">
        <v>A janela foi fechada</v>
        <stp/>
        <stp>T&amp;T2</stp>
        <stp>AGR</stp>
        <stp>174</stp>
        <tr r="D182" s="1"/>
      </tp>
      <tp t="s">
        <v>A janela foi fechada</v>
        <stp/>
        <stp>T&amp;T2</stp>
        <stp>DAT</stp>
        <stp>412</stp>
        <tr r="A420" s="1"/>
      </tp>
      <tp t="s">
        <v>A janela foi fechada</v>
        <stp/>
        <stp>T&amp;T1</stp>
        <stp>AGR</stp>
        <stp>176</stp>
        <tr r="J184" s="1"/>
      </tp>
      <tp t="s">
        <v>A janela foi fechada</v>
        <stp/>
        <stp>T&amp;T1</stp>
        <stp>DAT</stp>
        <stp>410</stp>
        <tr r="G418" s="1"/>
      </tp>
      <tp t="s">
        <v>A janela foi fechada</v>
        <stp/>
        <stp>T&amp;T2</stp>
        <stp>AGR</stp>
        <stp>175</stp>
        <tr r="D183" s="1"/>
      </tp>
      <tp t="s">
        <v>A janela foi fechada</v>
        <stp/>
        <stp>T&amp;T2</stp>
        <stp>DAT</stp>
        <stp>413</stp>
        <tr r="A421" s="1"/>
      </tp>
      <tp t="s">
        <v>A janela foi fechada</v>
        <stp/>
        <stp>T&amp;T1</stp>
        <stp>AGR</stp>
        <stp>175</stp>
        <tr r="J183" s="1"/>
      </tp>
      <tp t="s">
        <v>A janela foi fechada</v>
        <stp/>
        <stp>T&amp;T1</stp>
        <stp>DAT</stp>
        <stp>413</stp>
        <tr r="G421" s="1"/>
      </tp>
      <tp t="s">
        <v>A janela foi fechada</v>
        <stp/>
        <stp>T&amp;T2</stp>
        <stp>AGR</stp>
        <stp>176</stp>
        <tr r="D184" s="1"/>
      </tp>
      <tp t="s">
        <v>A janela foi fechada</v>
        <stp/>
        <stp>T&amp;T2</stp>
        <stp>DAT</stp>
        <stp>410</stp>
        <tr r="A418" s="1"/>
      </tp>
      <tp t="s">
        <v>A janela foi fechada</v>
        <stp/>
        <stp>T&amp;T1</stp>
        <stp>AGR</stp>
        <stp>174</stp>
        <tr r="J182" s="1"/>
      </tp>
      <tp t="s">
        <v>A janela foi fechada</v>
        <stp/>
        <stp>T&amp;T1</stp>
        <stp>DAT</stp>
        <stp>412</stp>
        <tr r="G420" s="1"/>
      </tp>
      <tp t="s">
        <v>A janela foi fechada</v>
        <stp/>
        <stp>T&amp;T2</stp>
        <stp>AGR</stp>
        <stp>177</stp>
        <tr r="D185" s="1"/>
      </tp>
      <tp t="s">
        <v>A janela foi fechada</v>
        <stp/>
        <stp>T&amp;T2</stp>
        <stp>DAT</stp>
        <stp>411</stp>
        <tr r="A419" s="1"/>
      </tp>
      <tp t="s">
        <v>A janela foi fechada</v>
        <stp/>
        <stp>T&amp;T1</stp>
        <stp>AGR</stp>
        <stp>173</stp>
        <tr r="J181" s="1"/>
      </tp>
      <tp t="s">
        <v>A janela foi fechada</v>
        <stp/>
        <stp>T&amp;T1</stp>
        <stp>DAT</stp>
        <stp>415</stp>
        <tr r="G423" s="1"/>
      </tp>
      <tp t="s">
        <v>A janela foi fechada</v>
        <stp/>
        <stp>T&amp;T2</stp>
        <stp>AGR</stp>
        <stp>170</stp>
        <tr r="D178" s="1"/>
      </tp>
      <tp t="s">
        <v>A janela foi fechada</v>
        <stp/>
        <stp>T&amp;T2</stp>
        <stp>DAT</stp>
        <stp>416</stp>
        <tr r="A424" s="1"/>
      </tp>
      <tp t="s">
        <v>A janela foi fechada</v>
        <stp/>
        <stp>T&amp;T1</stp>
        <stp>AGR</stp>
        <stp>172</stp>
        <tr r="J180" s="1"/>
      </tp>
      <tp t="s">
        <v>A janela foi fechada</v>
        <stp/>
        <stp>T&amp;T1</stp>
        <stp>DAT</stp>
        <stp>414</stp>
        <tr r="G422" s="1"/>
      </tp>
      <tp t="s">
        <v>A janela foi fechada</v>
        <stp/>
        <stp>T&amp;T2</stp>
        <stp>AGR</stp>
        <stp>171</stp>
        <tr r="D179" s="1"/>
      </tp>
      <tp t="s">
        <v>A janela foi fechada</v>
        <stp/>
        <stp>T&amp;T2</stp>
        <stp>DAT</stp>
        <stp>417</stp>
        <tr r="A425" s="1"/>
      </tp>
      <tp t="s">
        <v>A janela foi fechada</v>
        <stp/>
        <stp>T&amp;T1</stp>
        <stp>AGR</stp>
        <stp>171</stp>
        <tr r="J179" s="1"/>
      </tp>
      <tp t="s">
        <v>A janela foi fechada</v>
        <stp/>
        <stp>T&amp;T1</stp>
        <stp>DAT</stp>
        <stp>417</stp>
        <tr r="G425" s="1"/>
      </tp>
      <tp t="s">
        <v>A janela foi fechada</v>
        <stp/>
        <stp>T&amp;T2</stp>
        <stp>AGR</stp>
        <stp>172</stp>
        <tr r="D180" s="1"/>
      </tp>
      <tp t="s">
        <v>A janela foi fechada</v>
        <stp/>
        <stp>T&amp;T2</stp>
        <stp>DAT</stp>
        <stp>414</stp>
        <tr r="A422" s="1"/>
      </tp>
      <tp t="s">
        <v>A janela foi fechada</v>
        <stp/>
        <stp>T&amp;T1</stp>
        <stp>AGR</stp>
        <stp>170</stp>
        <tr r="J178" s="1"/>
      </tp>
      <tp t="s">
        <v>A janela foi fechada</v>
        <stp/>
        <stp>T&amp;T1</stp>
        <stp>DAT</stp>
        <stp>416</stp>
        <tr r="G424" s="1"/>
      </tp>
      <tp t="s">
        <v>A janela foi fechada</v>
        <stp/>
        <stp>T&amp;T2</stp>
        <stp>AGR</stp>
        <stp>173</stp>
        <tr r="D181" s="1"/>
      </tp>
      <tp t="s">
        <v>A janela foi fechada</v>
        <stp/>
        <stp>T&amp;T2</stp>
        <stp>DAT</stp>
        <stp>415</stp>
        <tr r="A423" s="1"/>
      </tp>
      <tp t="s">
        <v>A janela foi fechada</v>
        <stp/>
        <stp>T&amp;T1</stp>
        <stp>DAT</stp>
        <stp>419</stp>
        <tr r="G427" s="1"/>
      </tp>
      <tp t="s">
        <v>A janela foi fechada</v>
        <stp/>
        <stp>T&amp;T1</stp>
        <stp>DAT</stp>
        <stp>418</stp>
        <tr r="G426" s="1"/>
      </tp>
      <tp t="s">
        <v>A janela foi fechada</v>
        <stp/>
        <stp>T&amp;T2</stp>
        <stp>DAT</stp>
        <stp>418</stp>
        <tr r="A426" s="1"/>
      </tp>
      <tp t="s">
        <v>A janela foi fechada</v>
        <stp/>
        <stp>T&amp;T2</stp>
        <stp>DAT</stp>
        <stp>419</stp>
        <tr r="A427" s="1"/>
      </tp>
      <tp t="s">
        <v>A janela foi fechada</v>
        <stp/>
        <stp>T&amp;T2</stp>
        <stp>AGR</stp>
        <stp>178</stp>
        <tr r="D186" s="1"/>
      </tp>
      <tp t="s">
        <v>A janela foi fechada</v>
        <stp/>
        <stp>T&amp;T2</stp>
        <stp>AGR</stp>
        <stp>179</stp>
        <tr r="D187" s="1"/>
      </tp>
      <tp t="s">
        <v>A janela foi fechada</v>
        <stp/>
        <stp>T&amp;T1</stp>
        <stp>AGR</stp>
        <stp>179</stp>
        <tr r="J187" s="1"/>
      </tp>
      <tp t="s">
        <v>A janela foi fechada</v>
        <stp/>
        <stp>T&amp;T1</stp>
        <stp>AGR</stp>
        <stp>178</stp>
        <tr r="J186" s="1"/>
      </tp>
      <tp t="s">
        <v>A janela foi fechada</v>
        <stp/>
        <stp>T&amp;T1</stp>
        <stp>AGR</stp>
        <stp>167</stp>
        <tr r="J175" s="1"/>
      </tp>
      <tp t="s">
        <v>A janela foi fechada</v>
        <stp/>
        <stp>T&amp;T1</stp>
        <stp>DAT</stp>
        <stp>401</stp>
        <tr r="G409" s="1"/>
      </tp>
      <tp t="s">
        <v>A janela foi fechada</v>
        <stp/>
        <stp>T&amp;T2</stp>
        <stp>AGR</stp>
        <stp>164</stp>
        <tr r="D172" s="1"/>
      </tp>
      <tp t="s">
        <v>A janela foi fechada</v>
        <stp/>
        <stp>T&amp;T2</stp>
        <stp>DAT</stp>
        <stp>402</stp>
        <tr r="A410" s="1"/>
      </tp>
      <tp t="s">
        <v>A janela foi fechada</v>
        <stp/>
        <stp>T&amp;T1</stp>
        <stp>AGR</stp>
        <stp>166</stp>
        <tr r="J174" s="1"/>
      </tp>
      <tp t="s">
        <v>A janela foi fechada</v>
        <stp/>
        <stp>T&amp;T1</stp>
        <stp>DAT</stp>
        <stp>400</stp>
        <tr r="G408" s="1"/>
      </tp>
      <tp t="s">
        <v>A janela foi fechada</v>
        <stp/>
        <stp>T&amp;T2</stp>
        <stp>AGR</stp>
        <stp>165</stp>
        <tr r="D173" s="1"/>
      </tp>
      <tp t="s">
        <v>A janela foi fechada</v>
        <stp/>
        <stp>T&amp;T2</stp>
        <stp>DAT</stp>
        <stp>403</stp>
        <tr r="A411" s="1"/>
      </tp>
      <tp t="s">
        <v>A janela foi fechada</v>
        <stp/>
        <stp>T&amp;T1</stp>
        <stp>AGR</stp>
        <stp>165</stp>
        <tr r="J173" s="1"/>
      </tp>
      <tp t="s">
        <v>A janela foi fechada</v>
        <stp/>
        <stp>T&amp;T1</stp>
        <stp>DAT</stp>
        <stp>403</stp>
        <tr r="G411" s="1"/>
      </tp>
      <tp t="s">
        <v>A janela foi fechada</v>
        <stp/>
        <stp>T&amp;T2</stp>
        <stp>AGR</stp>
        <stp>166</stp>
        <tr r="D174" s="1"/>
      </tp>
      <tp t="s">
        <v>A janela foi fechada</v>
        <stp/>
        <stp>T&amp;T2</stp>
        <stp>DAT</stp>
        <stp>400</stp>
        <tr r="A408" s="1"/>
      </tp>
      <tp t="s">
        <v>A janela foi fechada</v>
        <stp/>
        <stp>T&amp;T1</stp>
        <stp>AGR</stp>
        <stp>164</stp>
        <tr r="J172" s="1"/>
      </tp>
      <tp t="s">
        <v>A janela foi fechada</v>
        <stp/>
        <stp>T&amp;T1</stp>
        <stp>DAT</stp>
        <stp>402</stp>
        <tr r="G410" s="1"/>
      </tp>
      <tp t="s">
        <v>A janela foi fechada</v>
        <stp/>
        <stp>T&amp;T2</stp>
        <stp>AGR</stp>
        <stp>167</stp>
        <tr r="D175" s="1"/>
      </tp>
      <tp t="s">
        <v>A janela foi fechada</v>
        <stp/>
        <stp>T&amp;T2</stp>
        <stp>DAT</stp>
        <stp>401</stp>
        <tr r="A409" s="1"/>
      </tp>
      <tp t="s">
        <v>A janela foi fechada</v>
        <stp/>
        <stp>T&amp;T1</stp>
        <stp>AGR</stp>
        <stp>163</stp>
        <tr r="J171" s="1"/>
      </tp>
      <tp t="s">
        <v>A janela foi fechada</v>
        <stp/>
        <stp>T&amp;T1</stp>
        <stp>DAT</stp>
        <stp>405</stp>
        <tr r="G413" s="1"/>
      </tp>
      <tp t="s">
        <v>A janela foi fechada</v>
        <stp/>
        <stp>T&amp;T2</stp>
        <stp>AGR</stp>
        <stp>160</stp>
        <tr r="D168" s="1"/>
      </tp>
      <tp t="s">
        <v>A janela foi fechada</v>
        <stp/>
        <stp>T&amp;T2</stp>
        <stp>DAT</stp>
        <stp>406</stp>
        <tr r="A414" s="1"/>
      </tp>
      <tp t="s">
        <v>A janela foi fechada</v>
        <stp/>
        <stp>T&amp;T1</stp>
        <stp>AGR</stp>
        <stp>162</stp>
        <tr r="J170" s="1"/>
      </tp>
      <tp t="s">
        <v>A janela foi fechada</v>
        <stp/>
        <stp>T&amp;T1</stp>
        <stp>DAT</stp>
        <stp>404</stp>
        <tr r="G412" s="1"/>
      </tp>
      <tp t="s">
        <v>A janela foi fechada</v>
        <stp/>
        <stp>T&amp;T2</stp>
        <stp>AGR</stp>
        <stp>161</stp>
        <tr r="D169" s="1"/>
      </tp>
      <tp t="s">
        <v>A janela foi fechada</v>
        <stp/>
        <stp>T&amp;T2</stp>
        <stp>DAT</stp>
        <stp>407</stp>
        <tr r="A415" s="1"/>
      </tp>
      <tp t="s">
        <v>A janela foi fechada</v>
        <stp/>
        <stp>T&amp;T1</stp>
        <stp>AGR</stp>
        <stp>161</stp>
        <tr r="J169" s="1"/>
      </tp>
      <tp t="s">
        <v>A janela foi fechada</v>
        <stp/>
        <stp>T&amp;T1</stp>
        <stp>DAT</stp>
        <stp>407</stp>
        <tr r="G415" s="1"/>
      </tp>
      <tp t="s">
        <v>A janela foi fechada</v>
        <stp/>
        <stp>T&amp;T2</stp>
        <stp>AGR</stp>
        <stp>162</stp>
        <tr r="D170" s="1"/>
      </tp>
      <tp t="s">
        <v>A janela foi fechada</v>
        <stp/>
        <stp>T&amp;T2</stp>
        <stp>DAT</stp>
        <stp>404</stp>
        <tr r="A412" s="1"/>
      </tp>
      <tp t="s">
        <v>A janela foi fechada</v>
        <stp/>
        <stp>T&amp;T1</stp>
        <stp>AGR</stp>
        <stp>160</stp>
        <tr r="J168" s="1"/>
      </tp>
      <tp t="s">
        <v>A janela foi fechada</v>
        <stp/>
        <stp>T&amp;T1</stp>
        <stp>DAT</stp>
        <stp>406</stp>
        <tr r="G414" s="1"/>
      </tp>
      <tp t="s">
        <v>A janela foi fechada</v>
        <stp/>
        <stp>T&amp;T2</stp>
        <stp>AGR</stp>
        <stp>163</stp>
        <tr r="D171" s="1"/>
      </tp>
      <tp t="s">
        <v>A janela foi fechada</v>
        <stp/>
        <stp>T&amp;T2</stp>
        <stp>DAT</stp>
        <stp>405</stp>
        <tr r="A413" s="1"/>
      </tp>
      <tp t="s">
        <v>A janela foi fechada</v>
        <stp/>
        <stp>T&amp;T1</stp>
        <stp>DAT</stp>
        <stp>409</stp>
        <tr r="G417" s="1"/>
      </tp>
      <tp t="s">
        <v>A janela foi fechada</v>
        <stp/>
        <stp>T&amp;T1</stp>
        <stp>DAT</stp>
        <stp>408</stp>
        <tr r="G416" s="1"/>
      </tp>
      <tp t="s">
        <v>A janela foi fechada</v>
        <stp/>
        <stp>T&amp;T2</stp>
        <stp>DAT</stp>
        <stp>408</stp>
        <tr r="A416" s="1"/>
      </tp>
      <tp t="s">
        <v>A janela foi fechada</v>
        <stp/>
        <stp>T&amp;T2</stp>
        <stp>DAT</stp>
        <stp>409</stp>
        <tr r="A417" s="1"/>
      </tp>
      <tp t="s">
        <v>A janela foi fechada</v>
        <stp/>
        <stp>T&amp;T2</stp>
        <stp>AGR</stp>
        <stp>168</stp>
        <tr r="D176" s="1"/>
      </tp>
      <tp t="s">
        <v>A janela foi fechada</v>
        <stp/>
        <stp>T&amp;T2</stp>
        <stp>AGR</stp>
        <stp>169</stp>
        <tr r="D177" s="1"/>
      </tp>
      <tp t="s">
        <v>A janela foi fechada</v>
        <stp/>
        <stp>T&amp;T1</stp>
        <stp>AGR</stp>
        <stp>169</stp>
        <tr r="J177" s="1"/>
      </tp>
      <tp t="s">
        <v>A janela foi fechada</v>
        <stp/>
        <stp>T&amp;T1</stp>
        <stp>AGR</stp>
        <stp>168</stp>
        <tr r="J176" s="1"/>
      </tp>
      <tp t="s">
        <v>A janela foi fechada</v>
        <stp/>
        <stp>T&amp;T1</stp>
        <stp>AGR</stp>
        <stp>157</stp>
        <tr r="J165" s="1"/>
      </tp>
      <tp t="s">
        <v>A janela foi fechada</v>
        <stp/>
        <stp>T&amp;T1</stp>
        <stp>DAT</stp>
        <stp>431</stp>
        <tr r="G439" s="1"/>
      </tp>
      <tp t="s">
        <v>A janela foi fechada</v>
        <stp/>
        <stp>T&amp;T2</stp>
        <stp>AGR</stp>
        <stp>154</stp>
        <tr r="D162" s="1"/>
      </tp>
      <tp t="s">
        <v>A janela foi fechada</v>
        <stp/>
        <stp>T&amp;T2</stp>
        <stp>DAT</stp>
        <stp>432</stp>
        <tr r="A440" s="1"/>
      </tp>
      <tp t="s">
        <v>A janela foi fechada</v>
        <stp/>
        <stp>T&amp;T1</stp>
        <stp>AGR</stp>
        <stp>156</stp>
        <tr r="J164" s="1"/>
      </tp>
      <tp t="s">
        <v>A janela foi fechada</v>
        <stp/>
        <stp>T&amp;T1</stp>
        <stp>DAT</stp>
        <stp>430</stp>
        <tr r="G438" s="1"/>
      </tp>
      <tp t="s">
        <v>A janela foi fechada</v>
        <stp/>
        <stp>T&amp;T2</stp>
        <stp>AGR</stp>
        <stp>155</stp>
        <tr r="D163" s="1"/>
      </tp>
      <tp t="s">
        <v>A janela foi fechada</v>
        <stp/>
        <stp>T&amp;T2</stp>
        <stp>DAT</stp>
        <stp>433</stp>
        <tr r="A441" s="1"/>
      </tp>
      <tp t="s">
        <v>A janela foi fechada</v>
        <stp/>
        <stp>T&amp;T1</stp>
        <stp>AGR</stp>
        <stp>155</stp>
        <tr r="J163" s="1"/>
      </tp>
      <tp t="s">
        <v>A janela foi fechada</v>
        <stp/>
        <stp>T&amp;T1</stp>
        <stp>DAT</stp>
        <stp>433</stp>
        <tr r="G441" s="1"/>
      </tp>
      <tp t="s">
        <v>A janela foi fechada</v>
        <stp/>
        <stp>T&amp;T2</stp>
        <stp>AGR</stp>
        <stp>156</stp>
        <tr r="D164" s="1"/>
      </tp>
      <tp t="s">
        <v>A janela foi fechada</v>
        <stp/>
        <stp>T&amp;T2</stp>
        <stp>DAT</stp>
        <stp>430</stp>
        <tr r="A438" s="1"/>
      </tp>
      <tp t="s">
        <v>A janela foi fechada</v>
        <stp/>
        <stp>T&amp;T1</stp>
        <stp>AGR</stp>
        <stp>154</stp>
        <tr r="J162" s="1"/>
      </tp>
      <tp t="s">
        <v>A janela foi fechada</v>
        <stp/>
        <stp>T&amp;T1</stp>
        <stp>DAT</stp>
        <stp>432</stp>
        <tr r="G440" s="1"/>
      </tp>
      <tp t="s">
        <v>A janela foi fechada</v>
        <stp/>
        <stp>T&amp;T2</stp>
        <stp>AGR</stp>
        <stp>157</stp>
        <tr r="D165" s="1"/>
      </tp>
      <tp t="s">
        <v>A janela foi fechada</v>
        <stp/>
        <stp>T&amp;T2</stp>
        <stp>DAT</stp>
        <stp>431</stp>
        <tr r="A439" s="1"/>
      </tp>
      <tp t="s">
        <v>A janela foi fechada</v>
        <stp/>
        <stp>T&amp;T1</stp>
        <stp>AGR</stp>
        <stp>153</stp>
        <tr r="J161" s="1"/>
      </tp>
      <tp t="s">
        <v>A janela foi fechada</v>
        <stp/>
        <stp>T&amp;T1</stp>
        <stp>DAT</stp>
        <stp>435</stp>
        <tr r="G443" s="1"/>
      </tp>
      <tp t="s">
        <v>A janela foi fechada</v>
        <stp/>
        <stp>T&amp;T2</stp>
        <stp>AGR</stp>
        <stp>150</stp>
        <tr r="D158" s="1"/>
      </tp>
      <tp t="s">
        <v>A janela foi fechada</v>
        <stp/>
        <stp>T&amp;T2</stp>
        <stp>DAT</stp>
        <stp>436</stp>
        <tr r="A444" s="1"/>
      </tp>
      <tp t="s">
        <v>A janela foi fechada</v>
        <stp/>
        <stp>T&amp;T1</stp>
        <stp>AGR</stp>
        <stp>152</stp>
        <tr r="J160" s="1"/>
      </tp>
      <tp t="s">
        <v>A janela foi fechada</v>
        <stp/>
        <stp>T&amp;T1</stp>
        <stp>DAT</stp>
        <stp>434</stp>
        <tr r="G442" s="1"/>
      </tp>
      <tp t="s">
        <v>A janela foi fechada</v>
        <stp/>
        <stp>T&amp;T2</stp>
        <stp>AGR</stp>
        <stp>151</stp>
        <tr r="D159" s="1"/>
      </tp>
      <tp t="s">
        <v>A janela foi fechada</v>
        <stp/>
        <stp>T&amp;T2</stp>
        <stp>DAT</stp>
        <stp>437</stp>
        <tr r="A445" s="1"/>
      </tp>
      <tp t="s">
        <v>A janela foi fechada</v>
        <stp/>
        <stp>T&amp;T1</stp>
        <stp>AGR</stp>
        <stp>151</stp>
        <tr r="J159" s="1"/>
      </tp>
      <tp t="s">
        <v>A janela foi fechada</v>
        <stp/>
        <stp>T&amp;T1</stp>
        <stp>DAT</stp>
        <stp>437</stp>
        <tr r="G445" s="1"/>
      </tp>
      <tp t="s">
        <v>A janela foi fechada</v>
        <stp/>
        <stp>T&amp;T2</stp>
        <stp>AGR</stp>
        <stp>152</stp>
        <tr r="D160" s="1"/>
      </tp>
      <tp t="s">
        <v>A janela foi fechada</v>
        <stp/>
        <stp>T&amp;T2</stp>
        <stp>DAT</stp>
        <stp>434</stp>
        <tr r="A442" s="1"/>
      </tp>
      <tp t="s">
        <v>A janela foi fechada</v>
        <stp/>
        <stp>T&amp;T1</stp>
        <stp>AGR</stp>
        <stp>150</stp>
        <tr r="J158" s="1"/>
      </tp>
      <tp t="s">
        <v>A janela foi fechada</v>
        <stp/>
        <stp>T&amp;T1</stp>
        <stp>DAT</stp>
        <stp>436</stp>
        <tr r="G444" s="1"/>
      </tp>
      <tp t="s">
        <v>A janela foi fechada</v>
        <stp/>
        <stp>T&amp;T2</stp>
        <stp>AGR</stp>
        <stp>153</stp>
        <tr r="D161" s="1"/>
      </tp>
      <tp t="s">
        <v>A janela foi fechada</v>
        <stp/>
        <stp>T&amp;T2</stp>
        <stp>DAT</stp>
        <stp>435</stp>
        <tr r="A443" s="1"/>
      </tp>
      <tp t="s">
        <v>A janela foi fechada</v>
        <stp/>
        <stp>T&amp;T1</stp>
        <stp>DAT</stp>
        <stp>439</stp>
        <tr r="G447" s="1"/>
      </tp>
      <tp t="s">
        <v>A janela foi fechada</v>
        <stp/>
        <stp>T&amp;T1</stp>
        <stp>DAT</stp>
        <stp>438</stp>
        <tr r="G446" s="1"/>
      </tp>
      <tp t="s">
        <v>A janela foi fechada</v>
        <stp/>
        <stp>T&amp;T2</stp>
        <stp>DAT</stp>
        <stp>438</stp>
        <tr r="A446" s="1"/>
      </tp>
      <tp t="s">
        <v>A janela foi fechada</v>
        <stp/>
        <stp>T&amp;T2</stp>
        <stp>DAT</stp>
        <stp>439</stp>
        <tr r="A447" s="1"/>
      </tp>
      <tp t="s">
        <v>A janela foi fechada</v>
        <stp/>
        <stp>T&amp;T2</stp>
        <stp>AGR</stp>
        <stp>158</stp>
        <tr r="D166" s="1"/>
      </tp>
      <tp t="s">
        <v>A janela foi fechada</v>
        <stp/>
        <stp>T&amp;T2</stp>
        <stp>AGR</stp>
        <stp>159</stp>
        <tr r="D167" s="1"/>
      </tp>
      <tp t="s">
        <v>A janela foi fechada</v>
        <stp/>
        <stp>T&amp;T1</stp>
        <stp>AGR</stp>
        <stp>159</stp>
        <tr r="J167" s="1"/>
      </tp>
      <tp t="s">
        <v>A janela foi fechada</v>
        <stp/>
        <stp>T&amp;T1</stp>
        <stp>AGR</stp>
        <stp>158</stp>
        <tr r="J166" s="1"/>
      </tp>
      <tp t="s">
        <v>A janela foi fechada</v>
        <stp/>
        <stp>T&amp;T1</stp>
        <stp>AGR</stp>
        <stp>147</stp>
        <tr r="J155" s="1"/>
      </tp>
      <tp t="s">
        <v>A janela foi fechada</v>
        <stp/>
        <stp>T&amp;T1</stp>
        <stp>DAT</stp>
        <stp>421</stp>
        <tr r="G429" s="1"/>
      </tp>
      <tp t="s">
        <v>A janela foi fechada</v>
        <stp/>
        <stp>T&amp;T2</stp>
        <stp>AGR</stp>
        <stp>144</stp>
        <tr r="D152" s="1"/>
      </tp>
      <tp t="s">
        <v>A janela foi fechada</v>
        <stp/>
        <stp>T&amp;T2</stp>
        <stp>DAT</stp>
        <stp>422</stp>
        <tr r="A430" s="1"/>
      </tp>
      <tp t="s">
        <v>A janela foi fechada</v>
        <stp/>
        <stp>T&amp;T1</stp>
        <stp>AGR</stp>
        <stp>146</stp>
        <tr r="J154" s="1"/>
      </tp>
      <tp t="s">
        <v>A janela foi fechada</v>
        <stp/>
        <stp>T&amp;T1</stp>
        <stp>DAT</stp>
        <stp>420</stp>
        <tr r="G428" s="1"/>
      </tp>
      <tp t="s">
        <v>A janela foi fechada</v>
        <stp/>
        <stp>T&amp;T2</stp>
        <stp>AGR</stp>
        <stp>145</stp>
        <tr r="D153" s="1"/>
      </tp>
      <tp t="s">
        <v>A janela foi fechada</v>
        <stp/>
        <stp>T&amp;T2</stp>
        <stp>DAT</stp>
        <stp>423</stp>
        <tr r="A431" s="1"/>
      </tp>
      <tp t="s">
        <v>A janela foi fechada</v>
        <stp/>
        <stp>T&amp;T1</stp>
        <stp>AGR</stp>
        <stp>145</stp>
        <tr r="J153" s="1"/>
      </tp>
      <tp t="s">
        <v>A janela foi fechada</v>
        <stp/>
        <stp>T&amp;T1</stp>
        <stp>DAT</stp>
        <stp>423</stp>
        <tr r="G431" s="1"/>
      </tp>
      <tp t="s">
        <v>A janela foi fechada</v>
        <stp/>
        <stp>T&amp;T2</stp>
        <stp>AGR</stp>
        <stp>146</stp>
        <tr r="D154" s="1"/>
      </tp>
      <tp t="s">
        <v>A janela foi fechada</v>
        <stp/>
        <stp>T&amp;T2</stp>
        <stp>DAT</stp>
        <stp>420</stp>
        <tr r="A428" s="1"/>
      </tp>
      <tp t="s">
        <v>A janela foi fechada</v>
        <stp/>
        <stp>T&amp;T1</stp>
        <stp>AGR</stp>
        <stp>144</stp>
        <tr r="J152" s="1"/>
      </tp>
      <tp t="s">
        <v>A janela foi fechada</v>
        <stp/>
        <stp>T&amp;T1</stp>
        <stp>DAT</stp>
        <stp>422</stp>
        <tr r="G430" s="1"/>
      </tp>
      <tp t="s">
        <v>A janela foi fechada</v>
        <stp/>
        <stp>T&amp;T2</stp>
        <stp>AGR</stp>
        <stp>147</stp>
        <tr r="D155" s="1"/>
      </tp>
      <tp t="s">
        <v>A janela foi fechada</v>
        <stp/>
        <stp>T&amp;T2</stp>
        <stp>DAT</stp>
        <stp>421</stp>
        <tr r="A429" s="1"/>
      </tp>
      <tp t="s">
        <v>A janela foi fechada</v>
        <stp/>
        <stp>T&amp;T1</stp>
        <stp>AGR</stp>
        <stp>143</stp>
        <tr r="J151" s="1"/>
      </tp>
      <tp t="s">
        <v>A janela foi fechada</v>
        <stp/>
        <stp>T&amp;T1</stp>
        <stp>DAT</stp>
        <stp>425</stp>
        <tr r="G433" s="1"/>
      </tp>
      <tp t="s">
        <v>A janela foi fechada</v>
        <stp/>
        <stp>T&amp;T2</stp>
        <stp>AGR</stp>
        <stp>140</stp>
        <tr r="D148" s="1"/>
      </tp>
      <tp t="s">
        <v>A janela foi fechada</v>
        <stp/>
        <stp>T&amp;T2</stp>
        <stp>DAT</stp>
        <stp>426</stp>
        <tr r="A434" s="1"/>
      </tp>
      <tp t="s">
        <v>A janela foi fechada</v>
        <stp/>
        <stp>T&amp;T1</stp>
        <stp>AGR</stp>
        <stp>142</stp>
        <tr r="J150" s="1"/>
      </tp>
      <tp t="s">
        <v>A janela foi fechada</v>
        <stp/>
        <stp>T&amp;T1</stp>
        <stp>DAT</stp>
        <stp>424</stp>
        <tr r="G432" s="1"/>
      </tp>
      <tp t="s">
        <v>A janela foi fechada</v>
        <stp/>
        <stp>T&amp;T2</stp>
        <stp>AGR</stp>
        <stp>141</stp>
        <tr r="D149" s="1"/>
      </tp>
      <tp t="s">
        <v>A janela foi fechada</v>
        <stp/>
        <stp>T&amp;T2</stp>
        <stp>DAT</stp>
        <stp>427</stp>
        <tr r="A435" s="1"/>
      </tp>
      <tp t="s">
        <v>A janela foi fechada</v>
        <stp/>
        <stp>T&amp;T1</stp>
        <stp>AGR</stp>
        <stp>141</stp>
        <tr r="J149" s="1"/>
      </tp>
      <tp t="s">
        <v>A janela foi fechada</v>
        <stp/>
        <stp>T&amp;T1</stp>
        <stp>DAT</stp>
        <stp>427</stp>
        <tr r="G435" s="1"/>
      </tp>
      <tp t="s">
        <v>A janela foi fechada</v>
        <stp/>
        <stp>T&amp;T2</stp>
        <stp>AGR</stp>
        <stp>142</stp>
        <tr r="D150" s="1"/>
      </tp>
      <tp t="s">
        <v>A janela foi fechada</v>
        <stp/>
        <stp>T&amp;T2</stp>
        <stp>DAT</stp>
        <stp>424</stp>
        <tr r="A432" s="1"/>
      </tp>
      <tp t="s">
        <v>A janela foi fechada</v>
        <stp/>
        <stp>T&amp;T1</stp>
        <stp>AGR</stp>
        <stp>140</stp>
        <tr r="J148" s="1"/>
      </tp>
      <tp t="s">
        <v>A janela foi fechada</v>
        <stp/>
        <stp>T&amp;T1</stp>
        <stp>DAT</stp>
        <stp>426</stp>
        <tr r="G434" s="1"/>
      </tp>
      <tp t="s">
        <v>A janela foi fechada</v>
        <stp/>
        <stp>T&amp;T2</stp>
        <stp>AGR</stp>
        <stp>143</stp>
        <tr r="D151" s="1"/>
      </tp>
      <tp t="s">
        <v>A janela foi fechada</v>
        <stp/>
        <stp>T&amp;T2</stp>
        <stp>DAT</stp>
        <stp>425</stp>
        <tr r="A433" s="1"/>
      </tp>
      <tp t="s">
        <v>A janela foi fechada</v>
        <stp/>
        <stp>T&amp;T1</stp>
        <stp>DAT</stp>
        <stp>429</stp>
        <tr r="G437" s="1"/>
      </tp>
      <tp t="s">
        <v>A janela foi fechada</v>
        <stp/>
        <stp>T&amp;T1</stp>
        <stp>DAT</stp>
        <stp>428</stp>
        <tr r="G436" s="1"/>
      </tp>
      <tp t="s">
        <v>A janela foi fechada</v>
        <stp/>
        <stp>T&amp;T2</stp>
        <stp>DAT</stp>
        <stp>428</stp>
        <tr r="A436" s="1"/>
      </tp>
      <tp t="s">
        <v>A janela foi fechada</v>
        <stp/>
        <stp>T&amp;T2</stp>
        <stp>DAT</stp>
        <stp>429</stp>
        <tr r="A437" s="1"/>
      </tp>
      <tp t="s">
        <v>A janela foi fechada</v>
        <stp/>
        <stp>T&amp;T2</stp>
        <stp>AGR</stp>
        <stp>148</stp>
        <tr r="D156" s="1"/>
      </tp>
      <tp t="s">
        <v>A janela foi fechada</v>
        <stp/>
        <stp>T&amp;T2</stp>
        <stp>AGR</stp>
        <stp>149</stp>
        <tr r="D157" s="1"/>
      </tp>
      <tp t="s">
        <v>A janela foi fechada</v>
        <stp/>
        <stp>T&amp;T1</stp>
        <stp>AGR</stp>
        <stp>149</stp>
        <tr r="J157" s="1"/>
      </tp>
      <tp t="s">
        <v>A janela foi fechada</v>
        <stp/>
        <stp>T&amp;T1</stp>
        <stp>AGR</stp>
        <stp>148</stp>
        <tr r="J156" s="1"/>
      </tp>
      <tp t="s">
        <v>A janela foi fechada</v>
        <stp/>
        <stp>T&amp;T1</stp>
        <stp>DAT</stp>
        <stp>291</stp>
        <tr r="G299" s="1"/>
      </tp>
      <tp t="s">
        <v>A janela foi fechada</v>
        <stp/>
        <stp>T&amp;T2</stp>
        <stp>DAT</stp>
        <stp>292</stp>
        <tr r="A300" s="1"/>
      </tp>
      <tp t="s">
        <v>A janela foi fechada</v>
        <stp/>
        <stp>T&amp;T1</stp>
        <stp>DAT</stp>
        <stp>290</stp>
        <tr r="G298" s="1"/>
      </tp>
      <tp t="s">
        <v>A janela foi fechada</v>
        <stp/>
        <stp>T&amp;T2</stp>
        <stp>DAT</stp>
        <stp>293</stp>
        <tr r="A301" s="1"/>
      </tp>
      <tp t="s">
        <v>A janela foi fechada</v>
        <stp/>
        <stp>T&amp;T1</stp>
        <stp>DAT</stp>
        <stp>293</stp>
        <tr r="G301" s="1"/>
      </tp>
      <tp t="s">
        <v>A janela foi fechada</v>
        <stp/>
        <stp>T&amp;T2</stp>
        <stp>DAT</stp>
        <stp>290</stp>
        <tr r="A298" s="1"/>
      </tp>
      <tp t="s">
        <v>A janela foi fechada</v>
        <stp/>
        <stp>T&amp;T1</stp>
        <stp>DAT</stp>
        <stp>292</stp>
        <tr r="G300" s="1"/>
      </tp>
      <tp t="s">
        <v>A janela foi fechada</v>
        <stp/>
        <stp>T&amp;T2</stp>
        <stp>DAT</stp>
        <stp>291</stp>
        <tr r="A299" s="1"/>
      </tp>
      <tp t="s">
        <v>A janela foi fechada</v>
        <stp/>
        <stp>T&amp;T1</stp>
        <stp>DAT</stp>
        <stp>295</stp>
        <tr r="G303" s="1"/>
      </tp>
      <tp t="s">
        <v>A janela foi fechada</v>
        <stp/>
        <stp>T&amp;T2</stp>
        <stp>DAT</stp>
        <stp>296</stp>
        <tr r="A304" s="1"/>
      </tp>
      <tp t="s">
        <v>A janela foi fechada</v>
        <stp/>
        <stp>T&amp;T1</stp>
        <stp>DAT</stp>
        <stp>294</stp>
        <tr r="G302" s="1"/>
      </tp>
      <tp t="s">
        <v>A janela foi fechada</v>
        <stp/>
        <stp>T&amp;T2</stp>
        <stp>DAT</stp>
        <stp>297</stp>
        <tr r="A305" s="1"/>
      </tp>
      <tp t="s">
        <v>A janela foi fechada</v>
        <stp/>
        <stp>T&amp;T1</stp>
        <stp>DAT</stp>
        <stp>297</stp>
        <tr r="G305" s="1"/>
      </tp>
      <tp t="s">
        <v>A janela foi fechada</v>
        <stp/>
        <stp>T&amp;T2</stp>
        <stp>DAT</stp>
        <stp>294</stp>
        <tr r="A302" s="1"/>
      </tp>
      <tp t="s">
        <v>A janela foi fechada</v>
        <stp/>
        <stp>T&amp;T1</stp>
        <stp>DAT</stp>
        <stp>296</stp>
        <tr r="G304" s="1"/>
      </tp>
      <tp t="s">
        <v>A janela foi fechada</v>
        <stp/>
        <stp>T&amp;T2</stp>
        <stp>DAT</stp>
        <stp>295</stp>
        <tr r="A303" s="1"/>
      </tp>
      <tp t="s">
        <v>A janela foi fechada</v>
        <stp/>
        <stp>T&amp;T1</stp>
        <stp>DAT</stp>
        <stp>299</stp>
        <tr r="G307" s="1"/>
      </tp>
      <tp t="s">
        <v>A janela foi fechada</v>
        <stp/>
        <stp>T&amp;T1</stp>
        <stp>DAT</stp>
        <stp>298</stp>
        <tr r="G306" s="1"/>
      </tp>
      <tp t="s">
        <v>A janela foi fechada</v>
        <stp/>
        <stp>T&amp;T2</stp>
        <stp>DAT</stp>
        <stp>298</stp>
        <tr r="A306" s="1"/>
      </tp>
      <tp t="s">
        <v>A janela foi fechada</v>
        <stp/>
        <stp>T&amp;T2</stp>
        <stp>DAT</stp>
        <stp>299</stp>
        <tr r="A307" s="1"/>
      </tp>
      <tp t="s">
        <v>A janela foi fechada</v>
        <stp/>
        <stp>T&amp;T1</stp>
        <stp>DAT</stp>
        <stp>281</stp>
        <tr r="G289" s="1"/>
      </tp>
      <tp t="s">
        <v>A janela foi fechada</v>
        <stp/>
        <stp>T&amp;T2</stp>
        <stp>DAT</stp>
        <stp>282</stp>
        <tr r="A290" s="1"/>
      </tp>
      <tp t="s">
        <v>A janela foi fechada</v>
        <stp/>
        <stp>T&amp;T1</stp>
        <stp>DAT</stp>
        <stp>280</stp>
        <tr r="G288" s="1"/>
      </tp>
      <tp t="s">
        <v>A janela foi fechada</v>
        <stp/>
        <stp>T&amp;T2</stp>
        <stp>DAT</stp>
        <stp>283</stp>
        <tr r="A291" s="1"/>
      </tp>
      <tp t="s">
        <v>A janela foi fechada</v>
        <stp/>
        <stp>T&amp;T1</stp>
        <stp>DAT</stp>
        <stp>283</stp>
        <tr r="G291" s="1"/>
      </tp>
      <tp t="s">
        <v>A janela foi fechada</v>
        <stp/>
        <stp>T&amp;T2</stp>
        <stp>DAT</stp>
        <stp>280</stp>
        <tr r="A288" s="1"/>
      </tp>
      <tp t="s">
        <v>A janela foi fechada</v>
        <stp/>
        <stp>T&amp;T1</stp>
        <stp>DAT</stp>
        <stp>282</stp>
        <tr r="G290" s="1"/>
      </tp>
      <tp t="s">
        <v>A janela foi fechada</v>
        <stp/>
        <stp>T&amp;T2</stp>
        <stp>DAT</stp>
        <stp>281</stp>
        <tr r="A289" s="1"/>
      </tp>
      <tp t="s">
        <v>A janela foi fechada</v>
        <stp/>
        <stp>T&amp;T1</stp>
        <stp>DAT</stp>
        <stp>285</stp>
        <tr r="G293" s="1"/>
      </tp>
      <tp t="s">
        <v>A janela foi fechada</v>
        <stp/>
        <stp>T&amp;T2</stp>
        <stp>DAT</stp>
        <stp>286</stp>
        <tr r="A294" s="1"/>
      </tp>
      <tp t="s">
        <v>A janela foi fechada</v>
        <stp/>
        <stp>T&amp;T1</stp>
        <stp>DAT</stp>
        <stp>284</stp>
        <tr r="G292" s="1"/>
      </tp>
      <tp t="s">
        <v>A janela foi fechada</v>
        <stp/>
        <stp>T&amp;T2</stp>
        <stp>DAT</stp>
        <stp>287</stp>
        <tr r="A295" s="1"/>
      </tp>
      <tp t="s">
        <v>A janela foi fechada</v>
        <stp/>
        <stp>T&amp;T1</stp>
        <stp>DAT</stp>
        <stp>287</stp>
        <tr r="G295" s="1"/>
      </tp>
      <tp t="s">
        <v>A janela foi fechada</v>
        <stp/>
        <stp>T&amp;T2</stp>
        <stp>DAT</stp>
        <stp>284</stp>
        <tr r="A292" s="1"/>
      </tp>
      <tp t="s">
        <v>A janela foi fechada</v>
        <stp/>
        <stp>T&amp;T1</stp>
        <stp>DAT</stp>
        <stp>286</stp>
        <tr r="G294" s="1"/>
      </tp>
      <tp t="s">
        <v>A janela foi fechada</v>
        <stp/>
        <stp>T&amp;T2</stp>
        <stp>DAT</stp>
        <stp>285</stp>
        <tr r="A293" s="1"/>
      </tp>
      <tp t="s">
        <v>A janela foi fechada</v>
        <stp/>
        <stp>T&amp;T1</stp>
        <stp>DAT</stp>
        <stp>289</stp>
        <tr r="G297" s="1"/>
      </tp>
      <tp t="s">
        <v>A janela foi fechada</v>
        <stp/>
        <stp>T&amp;T1</stp>
        <stp>DAT</stp>
        <stp>288</stp>
        <tr r="G296" s="1"/>
      </tp>
      <tp t="s">
        <v>A janela foi fechada</v>
        <stp/>
        <stp>T&amp;T2</stp>
        <stp>DAT</stp>
        <stp>288</stp>
        <tr r="A296" s="1"/>
      </tp>
      <tp t="s">
        <v>A janela foi fechada</v>
        <stp/>
        <stp>T&amp;T2</stp>
        <stp>DAT</stp>
        <stp>289</stp>
        <tr r="A297" s="1"/>
      </tp>
      <tp t="s">
        <v>A janela foi fechada</v>
        <stp/>
        <stp>T&amp;T1</stp>
        <stp>DAT</stp>
        <stp>251</stp>
        <tr r="G259" s="1"/>
      </tp>
      <tp t="s">
        <v>A janela foi fechada</v>
        <stp/>
        <stp>T&amp;T2</stp>
        <stp>DAT</stp>
        <stp>252</stp>
        <tr r="A260" s="1"/>
      </tp>
      <tp t="s">
        <v>A janela foi fechada</v>
        <stp/>
        <stp>T&amp;T1</stp>
        <stp>DAT</stp>
        <stp>250</stp>
        <tr r="G258" s="1"/>
      </tp>
      <tp t="s">
        <v>A janela foi fechada</v>
        <stp/>
        <stp>T&amp;T2</stp>
        <stp>DAT</stp>
        <stp>253</stp>
        <tr r="A261" s="1"/>
      </tp>
      <tp t="s">
        <v>A janela foi fechada</v>
        <stp/>
        <stp>T&amp;T1</stp>
        <stp>DAT</stp>
        <stp>253</stp>
        <tr r="G261" s="1"/>
      </tp>
      <tp t="s">
        <v>A janela foi fechada</v>
        <stp/>
        <stp>T&amp;T2</stp>
        <stp>DAT</stp>
        <stp>250</stp>
        <tr r="A258" s="1"/>
      </tp>
      <tp t="s">
        <v>A janela foi fechada</v>
        <stp/>
        <stp>T&amp;T1</stp>
        <stp>DAT</stp>
        <stp>252</stp>
        <tr r="G260" s="1"/>
      </tp>
      <tp t="s">
        <v>A janela foi fechada</v>
        <stp/>
        <stp>T&amp;T2</stp>
        <stp>DAT</stp>
        <stp>251</stp>
        <tr r="A259" s="1"/>
      </tp>
      <tp t="s">
        <v>A janela foi fechada</v>
        <stp/>
        <stp>T&amp;T1</stp>
        <stp>DAT</stp>
        <stp>255</stp>
        <tr r="G263" s="1"/>
      </tp>
      <tp t="s">
        <v>A janela foi fechada</v>
        <stp/>
        <stp>T&amp;T2</stp>
        <stp>DAT</stp>
        <stp>256</stp>
        <tr r="A264" s="1"/>
      </tp>
      <tp t="s">
        <v>A janela foi fechada</v>
        <stp/>
        <stp>T&amp;T1</stp>
        <stp>DAT</stp>
        <stp>254</stp>
        <tr r="G262" s="1"/>
      </tp>
      <tp t="s">
        <v>A janela foi fechada</v>
        <stp/>
        <stp>T&amp;T2</stp>
        <stp>DAT</stp>
        <stp>257</stp>
        <tr r="A265" s="1"/>
      </tp>
      <tp t="s">
        <v>A janela foi fechada</v>
        <stp/>
        <stp>T&amp;T1</stp>
        <stp>DAT</stp>
        <stp>257</stp>
        <tr r="G265" s="1"/>
      </tp>
      <tp t="s">
        <v>A janela foi fechada</v>
        <stp/>
        <stp>T&amp;T2</stp>
        <stp>DAT</stp>
        <stp>254</stp>
        <tr r="A262" s="1"/>
      </tp>
      <tp t="s">
        <v>A janela foi fechada</v>
        <stp/>
        <stp>T&amp;T1</stp>
        <stp>DAT</stp>
        <stp>256</stp>
        <tr r="G264" s="1"/>
      </tp>
      <tp t="s">
        <v>A janela foi fechada</v>
        <stp/>
        <stp>T&amp;T2</stp>
        <stp>DAT</stp>
        <stp>255</stp>
        <tr r="A263" s="1"/>
      </tp>
      <tp t="s">
        <v>A janela foi fechada</v>
        <stp/>
        <stp>T&amp;T1</stp>
        <stp>DAT</stp>
        <stp>259</stp>
        <tr r="G267" s="1"/>
      </tp>
      <tp t="s">
        <v>A janela foi fechada</v>
        <stp/>
        <stp>T&amp;T1</stp>
        <stp>DAT</stp>
        <stp>258</stp>
        <tr r="G266" s="1"/>
      </tp>
      <tp t="s">
        <v>A janela foi fechada</v>
        <stp/>
        <stp>T&amp;T2</stp>
        <stp>DAT</stp>
        <stp>258</stp>
        <tr r="A266" s="1"/>
      </tp>
      <tp t="s">
        <v>A janela foi fechada</v>
        <stp/>
        <stp>T&amp;T2</stp>
        <stp>DAT</stp>
        <stp>259</stp>
        <tr r="A267" s="1"/>
      </tp>
      <tp t="s">
        <v>A janela foi fechada</v>
        <stp/>
        <stp>T&amp;T1</stp>
        <stp>DAT</stp>
        <stp>241</stp>
        <tr r="G249" s="1"/>
      </tp>
      <tp t="s">
        <v>A janela foi fechada</v>
        <stp/>
        <stp>T&amp;T2</stp>
        <stp>DAT</stp>
        <stp>242</stp>
        <tr r="A250" s="1"/>
      </tp>
      <tp t="s">
        <v>A janela foi fechada</v>
        <stp/>
        <stp>T&amp;T1</stp>
        <stp>DAT</stp>
        <stp>240</stp>
        <tr r="G248" s="1"/>
      </tp>
      <tp t="s">
        <v>A janela foi fechada</v>
        <stp/>
        <stp>T&amp;T2</stp>
        <stp>DAT</stp>
        <stp>243</stp>
        <tr r="A251" s="1"/>
      </tp>
      <tp t="s">
        <v>A janela foi fechada</v>
        <stp/>
        <stp>T&amp;T1</stp>
        <stp>DAT</stp>
        <stp>243</stp>
        <tr r="G251" s="1"/>
      </tp>
      <tp t="s">
        <v>A janela foi fechada</v>
        <stp/>
        <stp>T&amp;T2</stp>
        <stp>DAT</stp>
        <stp>240</stp>
        <tr r="A248" s="1"/>
      </tp>
      <tp t="s">
        <v>A janela foi fechada</v>
        <stp/>
        <stp>T&amp;T1</stp>
        <stp>DAT</stp>
        <stp>242</stp>
        <tr r="G250" s="1"/>
      </tp>
      <tp t="s">
        <v>A janela foi fechada</v>
        <stp/>
        <stp>T&amp;T2</stp>
        <stp>DAT</stp>
        <stp>241</stp>
        <tr r="A249" s="1"/>
      </tp>
      <tp t="s">
        <v>A janela foi fechada</v>
        <stp/>
        <stp>T&amp;T1</stp>
        <stp>DAT</stp>
        <stp>245</stp>
        <tr r="G253" s="1"/>
      </tp>
      <tp t="s">
        <v>A janela foi fechada</v>
        <stp/>
        <stp>T&amp;T2</stp>
        <stp>DAT</stp>
        <stp>246</stp>
        <tr r="A254" s="1"/>
      </tp>
      <tp t="s">
        <v>A janela foi fechada</v>
        <stp/>
        <stp>T&amp;T1</stp>
        <stp>DAT</stp>
        <stp>244</stp>
        <tr r="G252" s="1"/>
      </tp>
      <tp t="s">
        <v>A janela foi fechada</v>
        <stp/>
        <stp>T&amp;T2</stp>
        <stp>DAT</stp>
        <stp>247</stp>
        <tr r="A255" s="1"/>
      </tp>
      <tp t="s">
        <v>A janela foi fechada</v>
        <stp/>
        <stp>T&amp;T1</stp>
        <stp>DAT</stp>
        <stp>247</stp>
        <tr r="G255" s="1"/>
      </tp>
      <tp t="s">
        <v>A janela foi fechada</v>
        <stp/>
        <stp>T&amp;T2</stp>
        <stp>DAT</stp>
        <stp>244</stp>
        <tr r="A252" s="1"/>
      </tp>
      <tp t="s">
        <v>A janela foi fechada</v>
        <stp/>
        <stp>T&amp;T1</stp>
        <stp>DAT</stp>
        <stp>246</stp>
        <tr r="G254" s="1"/>
      </tp>
      <tp t="s">
        <v>A janela foi fechada</v>
        <stp/>
        <stp>T&amp;T2</stp>
        <stp>DAT</stp>
        <stp>245</stp>
        <tr r="A253" s="1"/>
      </tp>
      <tp t="s">
        <v>A janela foi fechada</v>
        <stp/>
        <stp>T&amp;T1</stp>
        <stp>DAT</stp>
        <stp>249</stp>
        <tr r="G257" s="1"/>
      </tp>
      <tp t="s">
        <v>A janela foi fechada</v>
        <stp/>
        <stp>T&amp;T1</stp>
        <stp>DAT</stp>
        <stp>248</stp>
        <tr r="G256" s="1"/>
      </tp>
      <tp t="s">
        <v>A janela foi fechada</v>
        <stp/>
        <stp>T&amp;T2</stp>
        <stp>DAT</stp>
        <stp>248</stp>
        <tr r="A256" s="1"/>
      </tp>
      <tp t="s">
        <v>A janela foi fechada</v>
        <stp/>
        <stp>T&amp;T2</stp>
        <stp>DAT</stp>
        <stp>249</stp>
        <tr r="A257" s="1"/>
      </tp>
      <tp t="s">
        <v>A janela foi fechada</v>
        <stp/>
        <stp>T&amp;T1</stp>
        <stp>DAT</stp>
        <stp>271</stp>
        <tr r="G279" s="1"/>
      </tp>
      <tp t="s">
        <v>A janela foi fechada</v>
        <stp/>
        <stp>T&amp;T2</stp>
        <stp>DAT</stp>
        <stp>272</stp>
        <tr r="A280" s="1"/>
      </tp>
      <tp t="s">
        <v>A janela foi fechada</v>
        <stp/>
        <stp>T&amp;T1</stp>
        <stp>DAT</stp>
        <stp>270</stp>
        <tr r="G278" s="1"/>
      </tp>
      <tp t="s">
        <v>A janela foi fechada</v>
        <stp/>
        <stp>T&amp;T2</stp>
        <stp>DAT</stp>
        <stp>273</stp>
        <tr r="A281" s="1"/>
      </tp>
      <tp t="s">
        <v>A janela foi fechada</v>
        <stp/>
        <stp>T&amp;T1</stp>
        <stp>DAT</stp>
        <stp>273</stp>
        <tr r="G281" s="1"/>
      </tp>
      <tp t="s">
        <v>A janela foi fechada</v>
        <stp/>
        <stp>T&amp;T2</stp>
        <stp>DAT</stp>
        <stp>270</stp>
        <tr r="A278" s="1"/>
      </tp>
      <tp t="s">
        <v>A janela foi fechada</v>
        <stp/>
        <stp>T&amp;T1</stp>
        <stp>DAT</stp>
        <stp>272</stp>
        <tr r="G280" s="1"/>
      </tp>
      <tp t="s">
        <v>A janela foi fechada</v>
        <stp/>
        <stp>T&amp;T2</stp>
        <stp>DAT</stp>
        <stp>271</stp>
        <tr r="A279" s="1"/>
      </tp>
      <tp t="s">
        <v>A janela foi fechada</v>
        <stp/>
        <stp>T&amp;T1</stp>
        <stp>DAT</stp>
        <stp>275</stp>
        <tr r="G283" s="1"/>
      </tp>
      <tp t="s">
        <v>A janela foi fechada</v>
        <stp/>
        <stp>T&amp;T2</stp>
        <stp>DAT</stp>
        <stp>276</stp>
        <tr r="A284" s="1"/>
      </tp>
      <tp t="s">
        <v>A janela foi fechada</v>
        <stp/>
        <stp>T&amp;T1</stp>
        <stp>DAT</stp>
        <stp>274</stp>
        <tr r="G282" s="1"/>
      </tp>
      <tp t="s">
        <v>A janela foi fechada</v>
        <stp/>
        <stp>T&amp;T2</stp>
        <stp>DAT</stp>
        <stp>277</stp>
        <tr r="A285" s="1"/>
      </tp>
      <tp t="s">
        <v>A janela foi fechada</v>
        <stp/>
        <stp>T&amp;T1</stp>
        <stp>DAT</stp>
        <stp>277</stp>
        <tr r="G285" s="1"/>
      </tp>
      <tp t="s">
        <v>A janela foi fechada</v>
        <stp/>
        <stp>T&amp;T2</stp>
        <stp>DAT</stp>
        <stp>274</stp>
        <tr r="A282" s="1"/>
      </tp>
      <tp t="s">
        <v>A janela foi fechada</v>
        <stp/>
        <stp>T&amp;T1</stp>
        <stp>DAT</stp>
        <stp>276</stp>
        <tr r="G284" s="1"/>
      </tp>
      <tp t="s">
        <v>A janela foi fechada</v>
        <stp/>
        <stp>T&amp;T2</stp>
        <stp>DAT</stp>
        <stp>275</stp>
        <tr r="A283" s="1"/>
      </tp>
      <tp t="s">
        <v>A janela foi fechada</v>
        <stp/>
        <stp>T&amp;T1</stp>
        <stp>DAT</stp>
        <stp>279</stp>
        <tr r="G287" s="1"/>
      </tp>
      <tp t="s">
        <v>A janela foi fechada</v>
        <stp/>
        <stp>T&amp;T1</stp>
        <stp>DAT</stp>
        <stp>278</stp>
        <tr r="G286" s="1"/>
      </tp>
      <tp t="s">
        <v>A janela foi fechada</v>
        <stp/>
        <stp>T&amp;T2</stp>
        <stp>DAT</stp>
        <stp>278</stp>
        <tr r="A286" s="1"/>
      </tp>
      <tp t="s">
        <v>A janela foi fechada</v>
        <stp/>
        <stp>T&amp;T2</stp>
        <stp>DAT</stp>
        <stp>279</stp>
        <tr r="A287" s="1"/>
      </tp>
      <tp t="s">
        <v>A janela foi fechada</v>
        <stp/>
        <stp>T&amp;T1</stp>
        <stp>DAT</stp>
        <stp>261</stp>
        <tr r="G269" s="1"/>
      </tp>
      <tp t="s">
        <v>A janela foi fechada</v>
        <stp/>
        <stp>T&amp;T2</stp>
        <stp>DAT</stp>
        <stp>262</stp>
        <tr r="A270" s="1"/>
      </tp>
      <tp t="s">
        <v>A janela foi fechada</v>
        <stp/>
        <stp>T&amp;T1</stp>
        <stp>DAT</stp>
        <stp>260</stp>
        <tr r="G268" s="1"/>
      </tp>
      <tp t="s">
        <v>A janela foi fechada</v>
        <stp/>
        <stp>T&amp;T2</stp>
        <stp>DAT</stp>
        <stp>263</stp>
        <tr r="A271" s="1"/>
      </tp>
      <tp t="s">
        <v>A janela foi fechada</v>
        <stp/>
        <stp>T&amp;T1</stp>
        <stp>DAT</stp>
        <stp>263</stp>
        <tr r="G271" s="1"/>
      </tp>
      <tp t="s">
        <v>A janela foi fechada</v>
        <stp/>
        <stp>T&amp;T2</stp>
        <stp>DAT</stp>
        <stp>260</stp>
        <tr r="A268" s="1"/>
      </tp>
      <tp t="s">
        <v>A janela foi fechada</v>
        <stp/>
        <stp>T&amp;T1</stp>
        <stp>DAT</stp>
        <stp>262</stp>
        <tr r="G270" s="1"/>
      </tp>
      <tp t="s">
        <v>A janela foi fechada</v>
        <stp/>
        <stp>T&amp;T2</stp>
        <stp>DAT</stp>
        <stp>261</stp>
        <tr r="A269" s="1"/>
      </tp>
      <tp t="s">
        <v>A janela foi fechada</v>
        <stp/>
        <stp>T&amp;T1</stp>
        <stp>DAT</stp>
        <stp>265</stp>
        <tr r="G273" s="1"/>
      </tp>
      <tp t="s">
        <v>A janela foi fechada</v>
        <stp/>
        <stp>T&amp;T2</stp>
        <stp>DAT</stp>
        <stp>266</stp>
        <tr r="A274" s="1"/>
      </tp>
      <tp t="s">
        <v>A janela foi fechada</v>
        <stp/>
        <stp>T&amp;T1</stp>
        <stp>DAT</stp>
        <stp>264</stp>
        <tr r="G272" s="1"/>
      </tp>
      <tp t="s">
        <v>A janela foi fechada</v>
        <stp/>
        <stp>T&amp;T2</stp>
        <stp>DAT</stp>
        <stp>267</stp>
        <tr r="A275" s="1"/>
      </tp>
      <tp t="s">
        <v>A janela foi fechada</v>
        <stp/>
        <stp>T&amp;T1</stp>
        <stp>DAT</stp>
        <stp>267</stp>
        <tr r="G275" s="1"/>
      </tp>
      <tp t="s">
        <v>A janela foi fechada</v>
        <stp/>
        <stp>T&amp;T2</stp>
        <stp>DAT</stp>
        <stp>264</stp>
        <tr r="A272" s="1"/>
      </tp>
      <tp t="s">
        <v>A janela foi fechada</v>
        <stp/>
        <stp>T&amp;T1</stp>
        <stp>DAT</stp>
        <stp>266</stp>
        <tr r="G274" s="1"/>
      </tp>
      <tp t="s">
        <v>A janela foi fechada</v>
        <stp/>
        <stp>T&amp;T2</stp>
        <stp>DAT</stp>
        <stp>265</stp>
        <tr r="A273" s="1"/>
      </tp>
      <tp t="s">
        <v>A janela foi fechada</v>
        <stp/>
        <stp>T&amp;T1</stp>
        <stp>DAT</stp>
        <stp>269</stp>
        <tr r="G277" s="1"/>
      </tp>
      <tp t="s">
        <v>A janela foi fechada</v>
        <stp/>
        <stp>T&amp;T1</stp>
        <stp>DAT</stp>
        <stp>268</stp>
        <tr r="G276" s="1"/>
      </tp>
      <tp t="s">
        <v>A janela foi fechada</v>
        <stp/>
        <stp>T&amp;T2</stp>
        <stp>DAT</stp>
        <stp>268</stp>
        <tr r="A276" s="1"/>
      </tp>
      <tp t="s">
        <v>A janela foi fechada</v>
        <stp/>
        <stp>T&amp;T2</stp>
        <stp>DAT</stp>
        <stp>269</stp>
        <tr r="A277" s="1"/>
      </tp>
      <tp t="s">
        <v>A janela foi fechada</v>
        <stp/>
        <stp>T&amp;T1</stp>
        <stp>DAT</stp>
        <stp>211</stp>
        <tr r="G219" s="1"/>
      </tp>
      <tp t="s">
        <v>A janela foi fechada</v>
        <stp/>
        <stp>T&amp;T2</stp>
        <stp>DAT</stp>
        <stp>212</stp>
        <tr r="A220" s="1"/>
      </tp>
      <tp t="s">
        <v>A janela foi fechada</v>
        <stp/>
        <stp>T&amp;T1</stp>
        <stp>DAT</stp>
        <stp>210</stp>
        <tr r="G218" s="1"/>
      </tp>
      <tp t="s">
        <v>A janela foi fechada</v>
        <stp/>
        <stp>T&amp;T2</stp>
        <stp>DAT</stp>
        <stp>213</stp>
        <tr r="A221" s="1"/>
      </tp>
      <tp t="s">
        <v>A janela foi fechada</v>
        <stp/>
        <stp>T&amp;T1</stp>
        <stp>DAT</stp>
        <stp>213</stp>
        <tr r="G221" s="1"/>
      </tp>
      <tp t="s">
        <v>A janela foi fechada</v>
        <stp/>
        <stp>T&amp;T2</stp>
        <stp>DAT</stp>
        <stp>210</stp>
        <tr r="A218" s="1"/>
      </tp>
      <tp t="s">
        <v>A janela foi fechada</v>
        <stp/>
        <stp>T&amp;T1</stp>
        <stp>DAT</stp>
        <stp>212</stp>
        <tr r="G220" s="1"/>
      </tp>
      <tp t="s">
        <v>A janela foi fechada</v>
        <stp/>
        <stp>T&amp;T2</stp>
        <stp>DAT</stp>
        <stp>211</stp>
        <tr r="A219" s="1"/>
      </tp>
      <tp t="s">
        <v>A janela foi fechada</v>
        <stp/>
        <stp>T&amp;T1</stp>
        <stp>DAT</stp>
        <stp>215</stp>
        <tr r="G223" s="1"/>
      </tp>
      <tp t="s">
        <v>A janela foi fechada</v>
        <stp/>
        <stp>T&amp;T2</stp>
        <stp>DAT</stp>
        <stp>216</stp>
        <tr r="A224" s="1"/>
      </tp>
      <tp t="s">
        <v>A janela foi fechada</v>
        <stp/>
        <stp>T&amp;T1</stp>
        <stp>DAT</stp>
        <stp>214</stp>
        <tr r="G222" s="1"/>
      </tp>
      <tp t="s">
        <v>A janela foi fechada</v>
        <stp/>
        <stp>T&amp;T2</stp>
        <stp>DAT</stp>
        <stp>217</stp>
        <tr r="A225" s="1"/>
      </tp>
      <tp t="s">
        <v>A janela foi fechada</v>
        <stp/>
        <stp>T&amp;T1</stp>
        <stp>DAT</stp>
        <stp>217</stp>
        <tr r="G225" s="1"/>
      </tp>
      <tp t="s">
        <v>A janela foi fechada</v>
        <stp/>
        <stp>T&amp;T2</stp>
        <stp>DAT</stp>
        <stp>214</stp>
        <tr r="A222" s="1"/>
      </tp>
      <tp t="s">
        <v>A janela foi fechada</v>
        <stp/>
        <stp>T&amp;T1</stp>
        <stp>DAT</stp>
        <stp>216</stp>
        <tr r="G224" s="1"/>
      </tp>
      <tp t="s">
        <v>A janela foi fechada</v>
        <stp/>
        <stp>T&amp;T2</stp>
        <stp>DAT</stp>
        <stp>215</stp>
        <tr r="A223" s="1"/>
      </tp>
      <tp t="s">
        <v>A janela foi fechada</v>
        <stp/>
        <stp>T&amp;T1</stp>
        <stp>DAT</stp>
        <stp>219</stp>
        <tr r="G227" s="1"/>
      </tp>
      <tp t="s">
        <v>A janela foi fechada</v>
        <stp/>
        <stp>T&amp;T1</stp>
        <stp>DAT</stp>
        <stp>218</stp>
        <tr r="G226" s="1"/>
      </tp>
      <tp t="s">
        <v>A janela foi fechada</v>
        <stp/>
        <stp>T&amp;T2</stp>
        <stp>DAT</stp>
        <stp>218</stp>
        <tr r="A226" s="1"/>
      </tp>
      <tp t="s">
        <v>A janela foi fechada</v>
        <stp/>
        <stp>T&amp;T2</stp>
        <stp>DAT</stp>
        <stp>219</stp>
        <tr r="A227" s="1"/>
      </tp>
      <tp t="s">
        <v>A janela foi fechada</v>
        <stp/>
        <stp>T&amp;T1</stp>
        <stp>DAT</stp>
        <stp>201</stp>
        <tr r="G209" s="1"/>
      </tp>
      <tp t="s">
        <v>A janela foi fechada</v>
        <stp/>
        <stp>T&amp;T2</stp>
        <stp>DAT</stp>
        <stp>202</stp>
        <tr r="A210" s="1"/>
      </tp>
      <tp t="s">
        <v>A janela foi fechada</v>
        <stp/>
        <stp>T&amp;T1</stp>
        <stp>DAT</stp>
        <stp>200</stp>
        <tr r="G208" s="1"/>
      </tp>
      <tp t="s">
        <v>A janela foi fechada</v>
        <stp/>
        <stp>T&amp;T2</stp>
        <stp>DAT</stp>
        <stp>203</stp>
        <tr r="A211" s="1"/>
      </tp>
      <tp t="s">
        <v>A janela foi fechada</v>
        <stp/>
        <stp>T&amp;T1</stp>
        <stp>DAT</stp>
        <stp>203</stp>
        <tr r="G211" s="1"/>
      </tp>
      <tp t="s">
        <v>A janela foi fechada</v>
        <stp/>
        <stp>T&amp;T2</stp>
        <stp>DAT</stp>
        <stp>200</stp>
        <tr r="A208" s="1"/>
      </tp>
      <tp t="s">
        <v>A janela foi fechada</v>
        <stp/>
        <stp>T&amp;T1</stp>
        <stp>DAT</stp>
        <stp>202</stp>
        <tr r="G210" s="1"/>
      </tp>
      <tp t="s">
        <v>A janela foi fechada</v>
        <stp/>
        <stp>T&amp;T2</stp>
        <stp>DAT</stp>
        <stp>201</stp>
        <tr r="A209" s="1"/>
      </tp>
      <tp t="s">
        <v>A janela foi fechada</v>
        <stp/>
        <stp>T&amp;T1</stp>
        <stp>DAT</stp>
        <stp>205</stp>
        <tr r="G213" s="1"/>
      </tp>
      <tp t="s">
        <v>A janela foi fechada</v>
        <stp/>
        <stp>T&amp;T2</stp>
        <stp>DAT</stp>
        <stp>206</stp>
        <tr r="A214" s="1"/>
      </tp>
      <tp t="s">
        <v>A janela foi fechada</v>
        <stp/>
        <stp>T&amp;T1</stp>
        <stp>DAT</stp>
        <stp>204</stp>
        <tr r="G212" s="1"/>
      </tp>
      <tp t="s">
        <v>A janela foi fechada</v>
        <stp/>
        <stp>T&amp;T2</stp>
        <stp>DAT</stp>
        <stp>207</stp>
        <tr r="A215" s="1"/>
      </tp>
      <tp t="s">
        <v>A janela foi fechada</v>
        <stp/>
        <stp>T&amp;T1</stp>
        <stp>DAT</stp>
        <stp>207</stp>
        <tr r="G215" s="1"/>
      </tp>
      <tp t="s">
        <v>A janela foi fechada</v>
        <stp/>
        <stp>T&amp;T2</stp>
        <stp>DAT</stp>
        <stp>204</stp>
        <tr r="A212" s="1"/>
      </tp>
      <tp t="s">
        <v>A janela foi fechada</v>
        <stp/>
        <stp>T&amp;T1</stp>
        <stp>DAT</stp>
        <stp>206</stp>
        <tr r="G214" s="1"/>
      </tp>
      <tp t="s">
        <v>A janela foi fechada</v>
        <stp/>
        <stp>T&amp;T2</stp>
        <stp>DAT</stp>
        <stp>205</stp>
        <tr r="A213" s="1"/>
      </tp>
      <tp t="s">
        <v>A janela foi fechada</v>
        <stp/>
        <stp>T&amp;T1</stp>
        <stp>DAT</stp>
        <stp>209</stp>
        <tr r="G217" s="1"/>
      </tp>
      <tp t="s">
        <v>A janela foi fechada</v>
        <stp/>
        <stp>T&amp;T1</stp>
        <stp>DAT</stp>
        <stp>208</stp>
        <tr r="G216" s="1"/>
      </tp>
      <tp t="s">
        <v>A janela foi fechada</v>
        <stp/>
        <stp>T&amp;T2</stp>
        <stp>DAT</stp>
        <stp>208</stp>
        <tr r="A216" s="1"/>
      </tp>
      <tp t="s">
        <v>A janela foi fechada</v>
        <stp/>
        <stp>T&amp;T2</stp>
        <stp>DAT</stp>
        <stp>209</stp>
        <tr r="A217" s="1"/>
      </tp>
      <tp t="s">
        <v>A janela foi fechada</v>
        <stp/>
        <stp>T&amp;T1</stp>
        <stp>DAT</stp>
        <stp>231</stp>
        <tr r="G239" s="1"/>
      </tp>
      <tp t="s">
        <v>A janela foi fechada</v>
        <stp/>
        <stp>T&amp;T2</stp>
        <stp>DAT</stp>
        <stp>232</stp>
        <tr r="A240" s="1"/>
      </tp>
      <tp t="s">
        <v>A janela foi fechada</v>
        <stp/>
        <stp>T&amp;T1</stp>
        <stp>DAT</stp>
        <stp>230</stp>
        <tr r="G238" s="1"/>
      </tp>
      <tp t="s">
        <v>A janela foi fechada</v>
        <stp/>
        <stp>T&amp;T2</stp>
        <stp>DAT</stp>
        <stp>233</stp>
        <tr r="A241" s="1"/>
      </tp>
      <tp t="s">
        <v>A janela foi fechada</v>
        <stp/>
        <stp>T&amp;T1</stp>
        <stp>DAT</stp>
        <stp>233</stp>
        <tr r="G241" s="1"/>
      </tp>
      <tp t="s">
        <v>A janela foi fechada</v>
        <stp/>
        <stp>T&amp;T2</stp>
        <stp>DAT</stp>
        <stp>230</stp>
        <tr r="A238" s="1"/>
      </tp>
      <tp t="s">
        <v>A janela foi fechada</v>
        <stp/>
        <stp>T&amp;T1</stp>
        <stp>DAT</stp>
        <stp>232</stp>
        <tr r="G240" s="1"/>
      </tp>
      <tp t="s">
        <v>A janela foi fechada</v>
        <stp/>
        <stp>T&amp;T2</stp>
        <stp>DAT</stp>
        <stp>231</stp>
        <tr r="A239" s="1"/>
      </tp>
      <tp t="s">
        <v>A janela foi fechada</v>
        <stp/>
        <stp>T&amp;T1</stp>
        <stp>DAT</stp>
        <stp>235</stp>
        <tr r="G243" s="1"/>
      </tp>
      <tp t="s">
        <v>A janela foi fechada</v>
        <stp/>
        <stp>T&amp;T2</stp>
        <stp>DAT</stp>
        <stp>236</stp>
        <tr r="A244" s="1"/>
      </tp>
      <tp t="s">
        <v>A janela foi fechada</v>
        <stp/>
        <stp>T&amp;T1</stp>
        <stp>DAT</stp>
        <stp>234</stp>
        <tr r="G242" s="1"/>
      </tp>
      <tp t="s">
        <v>A janela foi fechada</v>
        <stp/>
        <stp>T&amp;T2</stp>
        <stp>DAT</stp>
        <stp>237</stp>
        <tr r="A245" s="1"/>
      </tp>
      <tp t="s">
        <v>A janela foi fechada</v>
        <stp/>
        <stp>T&amp;T1</stp>
        <stp>DAT</stp>
        <stp>237</stp>
        <tr r="G245" s="1"/>
      </tp>
      <tp t="s">
        <v>A janela foi fechada</v>
        <stp/>
        <stp>T&amp;T2</stp>
        <stp>DAT</stp>
        <stp>234</stp>
        <tr r="A242" s="1"/>
      </tp>
      <tp t="s">
        <v>A janela foi fechada</v>
        <stp/>
        <stp>T&amp;T1</stp>
        <stp>DAT</stp>
        <stp>236</stp>
        <tr r="G244" s="1"/>
      </tp>
      <tp t="s">
        <v>A janela foi fechada</v>
        <stp/>
        <stp>T&amp;T2</stp>
        <stp>DAT</stp>
        <stp>235</stp>
        <tr r="A243" s="1"/>
      </tp>
      <tp t="s">
        <v>A janela foi fechada</v>
        <stp/>
        <stp>T&amp;T1</stp>
        <stp>DAT</stp>
        <stp>239</stp>
        <tr r="G247" s="1"/>
      </tp>
      <tp t="s">
        <v>A janela foi fechada</v>
        <stp/>
        <stp>T&amp;T1</stp>
        <stp>DAT</stp>
        <stp>238</stp>
        <tr r="G246" s="1"/>
      </tp>
      <tp t="s">
        <v>A janela foi fechada</v>
        <stp/>
        <stp>T&amp;T2</stp>
        <stp>DAT</stp>
        <stp>238</stp>
        <tr r="A246" s="1"/>
      </tp>
      <tp t="s">
        <v>A janela foi fechada</v>
        <stp/>
        <stp>T&amp;T2</stp>
        <stp>DAT</stp>
        <stp>239</stp>
        <tr r="A247" s="1"/>
      </tp>
      <tp t="s">
        <v>A janela foi fechada</v>
        <stp/>
        <stp>T&amp;T1</stp>
        <stp>DAT</stp>
        <stp>221</stp>
        <tr r="G229" s="1"/>
      </tp>
      <tp t="s">
        <v>A janela foi fechada</v>
        <stp/>
        <stp>T&amp;T2</stp>
        <stp>DAT</stp>
        <stp>222</stp>
        <tr r="A230" s="1"/>
      </tp>
      <tp t="s">
        <v>A janela foi fechada</v>
        <stp/>
        <stp>T&amp;T1</stp>
        <stp>DAT</stp>
        <stp>220</stp>
        <tr r="G228" s="1"/>
      </tp>
      <tp t="s">
        <v>A janela foi fechada</v>
        <stp/>
        <stp>T&amp;T2</stp>
        <stp>DAT</stp>
        <stp>223</stp>
        <tr r="A231" s="1"/>
      </tp>
      <tp t="s">
        <v>A janela foi fechada</v>
        <stp/>
        <stp>T&amp;T1</stp>
        <stp>DAT</stp>
        <stp>223</stp>
        <tr r="G231" s="1"/>
      </tp>
      <tp t="s">
        <v>A janela foi fechada</v>
        <stp/>
        <stp>T&amp;T2</stp>
        <stp>DAT</stp>
        <stp>220</stp>
        <tr r="A228" s="1"/>
      </tp>
      <tp t="s">
        <v>A janela foi fechada</v>
        <stp/>
        <stp>T&amp;T1</stp>
        <stp>DAT</stp>
        <stp>222</stp>
        <tr r="G230" s="1"/>
      </tp>
      <tp t="s">
        <v>A janela foi fechada</v>
        <stp/>
        <stp>T&amp;T2</stp>
        <stp>DAT</stp>
        <stp>221</stp>
        <tr r="A229" s="1"/>
      </tp>
      <tp t="s">
        <v>A janela foi fechada</v>
        <stp/>
        <stp>T&amp;T1</stp>
        <stp>DAT</stp>
        <stp>225</stp>
        <tr r="G233" s="1"/>
      </tp>
      <tp t="s">
        <v>A janela foi fechada</v>
        <stp/>
        <stp>T&amp;T2</stp>
        <stp>DAT</stp>
        <stp>226</stp>
        <tr r="A234" s="1"/>
      </tp>
      <tp t="s">
        <v>A janela foi fechada</v>
        <stp/>
        <stp>T&amp;T1</stp>
        <stp>DAT</stp>
        <stp>224</stp>
        <tr r="G232" s="1"/>
      </tp>
      <tp t="s">
        <v>A janela foi fechada</v>
        <stp/>
        <stp>T&amp;T2</stp>
        <stp>DAT</stp>
        <stp>227</stp>
        <tr r="A235" s="1"/>
      </tp>
      <tp t="s">
        <v>A janela foi fechada</v>
        <stp/>
        <stp>T&amp;T1</stp>
        <stp>DAT</stp>
        <stp>227</stp>
        <tr r="G235" s="1"/>
      </tp>
      <tp t="s">
        <v>A janela foi fechada</v>
        <stp/>
        <stp>T&amp;T2</stp>
        <stp>DAT</stp>
        <stp>224</stp>
        <tr r="A232" s="1"/>
      </tp>
      <tp t="s">
        <v>A janela foi fechada</v>
        <stp/>
        <stp>T&amp;T1</stp>
        <stp>DAT</stp>
        <stp>226</stp>
        <tr r="G234" s="1"/>
      </tp>
      <tp t="s">
        <v>A janela foi fechada</v>
        <stp/>
        <stp>T&amp;T2</stp>
        <stp>DAT</stp>
        <stp>225</stp>
        <tr r="A233" s="1"/>
      </tp>
      <tp t="s">
        <v>A janela foi fechada</v>
        <stp/>
        <stp>T&amp;T1</stp>
        <stp>DAT</stp>
        <stp>229</stp>
        <tr r="G237" s="1"/>
      </tp>
      <tp t="s">
        <v>A janela foi fechada</v>
        <stp/>
        <stp>T&amp;T1</stp>
        <stp>DAT</stp>
        <stp>228</stp>
        <tr r="G236" s="1"/>
      </tp>
      <tp t="s">
        <v>A janela foi fechada</v>
        <stp/>
        <stp>T&amp;T2</stp>
        <stp>DAT</stp>
        <stp>228</stp>
        <tr r="A236" s="1"/>
      </tp>
      <tp t="s">
        <v>A janela foi fechada</v>
        <stp/>
        <stp>T&amp;T2</stp>
        <stp>DAT</stp>
        <stp>229</stp>
        <tr r="A237" s="1"/>
      </tp>
      <tp>
        <v>28243</v>
        <stp/>
        <stp>NQM6_M_0</stp>
        <stp>MIN</stp>
        <tr r="F2" s="1"/>
      </tp>
      <tp>
        <v>28422</v>
        <stp/>
        <stp>NQM6_M_0</stp>
        <stp>MAX</stp>
        <tr r="E2" s="1"/>
      </tp>
      <tp t="s">
        <v>A janela foi fechada</v>
        <stp/>
        <stp>T&amp;T1</stp>
        <stp>DAT</stp>
        <stp>391</stp>
        <tr r="G399" s="1"/>
      </tp>
      <tp t="s">
        <v>A janela foi fechada</v>
        <stp/>
        <stp>T&amp;T2</stp>
        <stp>DAT</stp>
        <stp>392</stp>
        <tr r="A400" s="1"/>
      </tp>
      <tp t="s">
        <v>A janela foi fechada</v>
        <stp/>
        <stp>T&amp;T1</stp>
        <stp>DAT</stp>
        <stp>390</stp>
        <tr r="G398" s="1"/>
      </tp>
      <tp t="s">
        <v>A janela foi fechada</v>
        <stp/>
        <stp>T&amp;T2</stp>
        <stp>DAT</stp>
        <stp>393</stp>
        <tr r="A401" s="1"/>
      </tp>
      <tp t="s">
        <v>A janela foi fechada</v>
        <stp/>
        <stp>T&amp;T1</stp>
        <stp>DAT</stp>
        <stp>393</stp>
        <tr r="G401" s="1"/>
      </tp>
      <tp t="s">
        <v>A janela foi fechada</v>
        <stp/>
        <stp>T&amp;T2</stp>
        <stp>DAT</stp>
        <stp>390</stp>
        <tr r="A398" s="1"/>
      </tp>
      <tp t="s">
        <v>A janela foi fechada</v>
        <stp/>
        <stp>T&amp;T1</stp>
        <stp>DAT</stp>
        <stp>392</stp>
        <tr r="G400" s="1"/>
      </tp>
      <tp t="s">
        <v>A janela foi fechada</v>
        <stp/>
        <stp>T&amp;T2</stp>
        <stp>DAT</stp>
        <stp>391</stp>
        <tr r="A399" s="1"/>
      </tp>
      <tp t="s">
        <v>A janela foi fechada</v>
        <stp/>
        <stp>T&amp;T1</stp>
        <stp>DAT</stp>
        <stp>395</stp>
        <tr r="G403" s="1"/>
      </tp>
      <tp t="s">
        <v>A janela foi fechada</v>
        <stp/>
        <stp>T&amp;T2</stp>
        <stp>DAT</stp>
        <stp>396</stp>
        <tr r="A404" s="1"/>
      </tp>
      <tp t="s">
        <v>A janela foi fechada</v>
        <stp/>
        <stp>T&amp;T1</stp>
        <stp>DAT</stp>
        <stp>394</stp>
        <tr r="G402" s="1"/>
      </tp>
      <tp t="s">
        <v>A janela foi fechada</v>
        <stp/>
        <stp>T&amp;T2</stp>
        <stp>DAT</stp>
        <stp>397</stp>
        <tr r="A405" s="1"/>
      </tp>
      <tp t="s">
        <v>A janela foi fechada</v>
        <stp/>
        <stp>T&amp;T1</stp>
        <stp>DAT</stp>
        <stp>397</stp>
        <tr r="G405" s="1"/>
      </tp>
      <tp t="s">
        <v>A janela foi fechada</v>
        <stp/>
        <stp>T&amp;T2</stp>
        <stp>DAT</stp>
        <stp>394</stp>
        <tr r="A402" s="1"/>
      </tp>
      <tp t="s">
        <v>A janela foi fechada</v>
        <stp/>
        <stp>T&amp;T1</stp>
        <stp>DAT</stp>
        <stp>396</stp>
        <tr r="G404" s="1"/>
      </tp>
      <tp t="s">
        <v>A janela foi fechada</v>
        <stp/>
        <stp>T&amp;T2</stp>
        <stp>DAT</stp>
        <stp>395</stp>
        <tr r="A403" s="1"/>
      </tp>
      <tp t="s">
        <v>A janela foi fechada</v>
        <stp/>
        <stp>T&amp;T1</stp>
        <stp>DAT</stp>
        <stp>399</stp>
        <tr r="G407" s="1"/>
      </tp>
      <tp t="s">
        <v>A janela foi fechada</v>
        <stp/>
        <stp>T&amp;T1</stp>
        <stp>DAT</stp>
        <stp>398</stp>
        <tr r="G406" s="1"/>
      </tp>
      <tp t="s">
        <v>A janela foi fechada</v>
        <stp/>
        <stp>T&amp;T2</stp>
        <stp>DAT</stp>
        <stp>398</stp>
        <tr r="A406" s="1"/>
      </tp>
      <tp t="s">
        <v>A janela foi fechada</v>
        <stp/>
        <stp>T&amp;T2</stp>
        <stp>DAT</stp>
        <stp>399</stp>
        <tr r="A407" s="1"/>
      </tp>
      <tp t="s">
        <v>A janela foi fechada</v>
        <stp/>
        <stp>T&amp;T1</stp>
        <stp>DAT</stp>
        <stp>381</stp>
        <tr r="G389" s="1"/>
      </tp>
      <tp t="s">
        <v>A janela foi fechada</v>
        <stp/>
        <stp>T&amp;T2</stp>
        <stp>DAT</stp>
        <stp>382</stp>
        <tr r="A390" s="1"/>
      </tp>
      <tp t="s">
        <v>A janela foi fechada</v>
        <stp/>
        <stp>T&amp;T1</stp>
        <stp>DAT</stp>
        <stp>380</stp>
        <tr r="G388" s="1"/>
      </tp>
      <tp t="s">
        <v>A janela foi fechada</v>
        <stp/>
        <stp>T&amp;T2</stp>
        <stp>DAT</stp>
        <stp>383</stp>
        <tr r="A391" s="1"/>
      </tp>
      <tp t="s">
        <v>A janela foi fechada</v>
        <stp/>
        <stp>T&amp;T1</stp>
        <stp>DAT</stp>
        <stp>383</stp>
        <tr r="G391" s="1"/>
      </tp>
      <tp t="s">
        <v>A janela foi fechada</v>
        <stp/>
        <stp>T&amp;T2</stp>
        <stp>DAT</stp>
        <stp>380</stp>
        <tr r="A388" s="1"/>
      </tp>
      <tp t="s">
        <v>A janela foi fechada</v>
        <stp/>
        <stp>T&amp;T1</stp>
        <stp>DAT</stp>
        <stp>382</stp>
        <tr r="G390" s="1"/>
      </tp>
      <tp t="s">
        <v>A janela foi fechada</v>
        <stp/>
        <stp>T&amp;T2</stp>
        <stp>DAT</stp>
        <stp>381</stp>
        <tr r="A389" s="1"/>
      </tp>
      <tp t="s">
        <v>A janela foi fechada</v>
        <stp/>
        <stp>T&amp;T1</stp>
        <stp>DAT</stp>
        <stp>385</stp>
        <tr r="G393" s="1"/>
      </tp>
      <tp t="s">
        <v>A janela foi fechada</v>
        <stp/>
        <stp>T&amp;T2</stp>
        <stp>DAT</stp>
        <stp>386</stp>
        <tr r="A394" s="1"/>
      </tp>
      <tp t="s">
        <v>A janela foi fechada</v>
        <stp/>
        <stp>T&amp;T1</stp>
        <stp>DAT</stp>
        <stp>384</stp>
        <tr r="G392" s="1"/>
      </tp>
      <tp t="s">
        <v>A janela foi fechada</v>
        <stp/>
        <stp>T&amp;T2</stp>
        <stp>DAT</stp>
        <stp>387</stp>
        <tr r="A395" s="1"/>
      </tp>
      <tp t="s">
        <v>A janela foi fechada</v>
        <stp/>
        <stp>T&amp;T1</stp>
        <stp>DAT</stp>
        <stp>387</stp>
        <tr r="G395" s="1"/>
      </tp>
      <tp t="s">
        <v>A janela foi fechada</v>
        <stp/>
        <stp>T&amp;T2</stp>
        <stp>DAT</stp>
        <stp>384</stp>
        <tr r="A392" s="1"/>
      </tp>
      <tp t="s">
        <v>A janela foi fechada</v>
        <stp/>
        <stp>T&amp;T1</stp>
        <stp>DAT</stp>
        <stp>386</stp>
        <tr r="G394" s="1"/>
      </tp>
      <tp t="s">
        <v>A janela foi fechada</v>
        <stp/>
        <stp>T&amp;T2</stp>
        <stp>DAT</stp>
        <stp>385</stp>
        <tr r="A393" s="1"/>
      </tp>
      <tp t="s">
        <v>A janela foi fechada</v>
        <stp/>
        <stp>T&amp;T1</stp>
        <stp>DAT</stp>
        <stp>389</stp>
        <tr r="G397" s="1"/>
      </tp>
      <tp t="s">
        <v>A janela foi fechada</v>
        <stp/>
        <stp>T&amp;T1</stp>
        <stp>DAT</stp>
        <stp>388</stp>
        <tr r="G396" s="1"/>
      </tp>
      <tp t="s">
        <v>A janela foi fechada</v>
        <stp/>
        <stp>T&amp;T2</stp>
        <stp>DAT</stp>
        <stp>388</stp>
        <tr r="A396" s="1"/>
      </tp>
      <tp t="s">
        <v>A janela foi fechada</v>
        <stp/>
        <stp>T&amp;T2</stp>
        <stp>DAT</stp>
        <stp>389</stp>
        <tr r="A397" s="1"/>
      </tp>
      <tp t="s">
        <v>A janela foi fechada</v>
        <stp/>
        <stp>T&amp;T1</stp>
        <stp>DAT</stp>
        <stp>351</stp>
        <tr r="G359" s="1"/>
      </tp>
      <tp t="s">
        <v>A janela foi fechada</v>
        <stp/>
        <stp>T&amp;T2</stp>
        <stp>DAT</stp>
        <stp>352</stp>
        <tr r="A360" s="1"/>
      </tp>
      <tp t="s">
        <v>A janela foi fechada</v>
        <stp/>
        <stp>T&amp;T1</stp>
        <stp>DAT</stp>
        <stp>350</stp>
        <tr r="G358" s="1"/>
      </tp>
      <tp t="s">
        <v>A janela foi fechada</v>
        <stp/>
        <stp>T&amp;T2</stp>
        <stp>DAT</stp>
        <stp>353</stp>
        <tr r="A361" s="1"/>
      </tp>
      <tp t="s">
        <v>A janela foi fechada</v>
        <stp/>
        <stp>T&amp;T1</stp>
        <stp>DAT</stp>
        <stp>353</stp>
        <tr r="G361" s="1"/>
      </tp>
      <tp t="s">
        <v>A janela foi fechada</v>
        <stp/>
        <stp>T&amp;T2</stp>
        <stp>DAT</stp>
        <stp>350</stp>
        <tr r="A358" s="1"/>
      </tp>
      <tp t="s">
        <v>A janela foi fechada</v>
        <stp/>
        <stp>T&amp;T1</stp>
        <stp>DAT</stp>
        <stp>352</stp>
        <tr r="G360" s="1"/>
      </tp>
      <tp t="s">
        <v>A janela foi fechada</v>
        <stp/>
        <stp>T&amp;T2</stp>
        <stp>DAT</stp>
        <stp>351</stp>
        <tr r="A359" s="1"/>
      </tp>
      <tp t="s">
        <v>A janela foi fechada</v>
        <stp/>
        <stp>T&amp;T1</stp>
        <stp>DAT</stp>
        <stp>355</stp>
        <tr r="G363" s="1"/>
      </tp>
      <tp t="s">
        <v>A janela foi fechada</v>
        <stp/>
        <stp>T&amp;T2</stp>
        <stp>DAT</stp>
        <stp>356</stp>
        <tr r="A364" s="1"/>
      </tp>
      <tp t="s">
        <v>A janela foi fechada</v>
        <stp/>
        <stp>T&amp;T1</stp>
        <stp>DAT</stp>
        <stp>354</stp>
        <tr r="G362" s="1"/>
      </tp>
      <tp t="s">
        <v>A janela foi fechada</v>
        <stp/>
        <stp>T&amp;T2</stp>
        <stp>DAT</stp>
        <stp>357</stp>
        <tr r="A365" s="1"/>
      </tp>
      <tp t="s">
        <v>A janela foi fechada</v>
        <stp/>
        <stp>T&amp;T1</stp>
        <stp>DAT</stp>
        <stp>357</stp>
        <tr r="G365" s="1"/>
      </tp>
      <tp t="s">
        <v>A janela foi fechada</v>
        <stp/>
        <stp>T&amp;T2</stp>
        <stp>DAT</stp>
        <stp>354</stp>
        <tr r="A362" s="1"/>
      </tp>
      <tp t="s">
        <v>A janela foi fechada</v>
        <stp/>
        <stp>T&amp;T1</stp>
        <stp>DAT</stp>
        <stp>356</stp>
        <tr r="G364" s="1"/>
      </tp>
      <tp t="s">
        <v>A janela foi fechada</v>
        <stp/>
        <stp>T&amp;T2</stp>
        <stp>DAT</stp>
        <stp>355</stp>
        <tr r="A363" s="1"/>
      </tp>
      <tp t="s">
        <v>A janela foi fechada</v>
        <stp/>
        <stp>T&amp;T1</stp>
        <stp>DAT</stp>
        <stp>359</stp>
        <tr r="G367" s="1"/>
      </tp>
      <tp t="s">
        <v>A janela foi fechada</v>
        <stp/>
        <stp>T&amp;T1</stp>
        <stp>DAT</stp>
        <stp>358</stp>
        <tr r="G366" s="1"/>
      </tp>
      <tp t="s">
        <v>A janela foi fechada</v>
        <stp/>
        <stp>T&amp;T2</stp>
        <stp>DAT</stp>
        <stp>358</stp>
        <tr r="A366" s="1"/>
      </tp>
      <tp t="s">
        <v>A janela foi fechada</v>
        <stp/>
        <stp>T&amp;T2</stp>
        <stp>DAT</stp>
        <stp>359</stp>
        <tr r="A367" s="1"/>
      </tp>
      <tp t="s">
        <v>A janela foi fechada</v>
        <stp/>
        <stp>T&amp;T1</stp>
        <stp>DAT</stp>
        <stp>341</stp>
        <tr r="G349" s="1"/>
      </tp>
      <tp t="s">
        <v>A janela foi fechada</v>
        <stp/>
        <stp>T&amp;T2</stp>
        <stp>DAT</stp>
        <stp>342</stp>
        <tr r="A350" s="1"/>
      </tp>
      <tp t="s">
        <v>A janela foi fechada</v>
        <stp/>
        <stp>T&amp;T1</stp>
        <stp>DAT</stp>
        <stp>340</stp>
        <tr r="G348" s="1"/>
      </tp>
      <tp t="s">
        <v>A janela foi fechada</v>
        <stp/>
        <stp>T&amp;T2</stp>
        <stp>DAT</stp>
        <stp>343</stp>
        <tr r="A351" s="1"/>
      </tp>
      <tp t="s">
        <v>A janela foi fechada</v>
        <stp/>
        <stp>T&amp;T1</stp>
        <stp>DAT</stp>
        <stp>343</stp>
        <tr r="G351" s="1"/>
      </tp>
      <tp t="s">
        <v>A janela foi fechada</v>
        <stp/>
        <stp>T&amp;T2</stp>
        <stp>DAT</stp>
        <stp>340</stp>
        <tr r="A348" s="1"/>
      </tp>
      <tp t="s">
        <v>A janela foi fechada</v>
        <stp/>
        <stp>T&amp;T1</stp>
        <stp>DAT</stp>
        <stp>342</stp>
        <tr r="G350" s="1"/>
      </tp>
      <tp t="s">
        <v>A janela foi fechada</v>
        <stp/>
        <stp>T&amp;T2</stp>
        <stp>DAT</stp>
        <stp>341</stp>
        <tr r="A349" s="1"/>
      </tp>
      <tp t="s">
        <v>A janela foi fechada</v>
        <stp/>
        <stp>T&amp;T1</stp>
        <stp>DAT</stp>
        <stp>345</stp>
        <tr r="G353" s="1"/>
      </tp>
      <tp t="s">
        <v>A janela foi fechada</v>
        <stp/>
        <stp>T&amp;T2</stp>
        <stp>DAT</stp>
        <stp>346</stp>
        <tr r="A354" s="1"/>
      </tp>
      <tp t="s">
        <v>A janela foi fechada</v>
        <stp/>
        <stp>T&amp;T1</stp>
        <stp>DAT</stp>
        <stp>344</stp>
        <tr r="G352" s="1"/>
      </tp>
      <tp t="s">
        <v>A janela foi fechada</v>
        <stp/>
        <stp>T&amp;T2</stp>
        <stp>DAT</stp>
        <stp>347</stp>
        <tr r="A355" s="1"/>
      </tp>
      <tp t="s">
        <v>A janela foi fechada</v>
        <stp/>
        <stp>T&amp;T1</stp>
        <stp>DAT</stp>
        <stp>347</stp>
        <tr r="G355" s="1"/>
      </tp>
      <tp t="s">
        <v>A janela foi fechada</v>
        <stp/>
        <stp>T&amp;T2</stp>
        <stp>DAT</stp>
        <stp>344</stp>
        <tr r="A352" s="1"/>
      </tp>
      <tp t="s">
        <v>A janela foi fechada</v>
        <stp/>
        <stp>T&amp;T1</stp>
        <stp>DAT</stp>
        <stp>346</stp>
        <tr r="G354" s="1"/>
      </tp>
      <tp t="s">
        <v>A janela foi fechada</v>
        <stp/>
        <stp>T&amp;T2</stp>
        <stp>DAT</stp>
        <stp>345</stp>
        <tr r="A353" s="1"/>
      </tp>
      <tp t="s">
        <v>A janela foi fechada</v>
        <stp/>
        <stp>T&amp;T1</stp>
        <stp>DAT</stp>
        <stp>349</stp>
        <tr r="G357" s="1"/>
      </tp>
      <tp t="s">
        <v>A janela foi fechada</v>
        <stp/>
        <stp>T&amp;T1</stp>
        <stp>DAT</stp>
        <stp>348</stp>
        <tr r="G356" s="1"/>
      </tp>
      <tp t="s">
        <v>A janela foi fechada</v>
        <stp/>
        <stp>T&amp;T2</stp>
        <stp>DAT</stp>
        <stp>348</stp>
        <tr r="A356" s="1"/>
      </tp>
      <tp t="s">
        <v>A janela foi fechada</v>
        <stp/>
        <stp>T&amp;T2</stp>
        <stp>DAT</stp>
        <stp>349</stp>
        <tr r="A357" s="1"/>
      </tp>
      <tp t="s">
        <v>A janela foi fechada</v>
        <stp/>
        <stp>T&amp;T1</stp>
        <stp>DAT</stp>
        <stp>371</stp>
        <tr r="G379" s="1"/>
      </tp>
      <tp t="s">
        <v>A janela foi fechada</v>
        <stp/>
        <stp>T&amp;T2</stp>
        <stp>DAT</stp>
        <stp>372</stp>
        <tr r="A380" s="1"/>
      </tp>
      <tp t="s">
        <v>A janela foi fechada</v>
        <stp/>
        <stp>T&amp;T1</stp>
        <stp>DAT</stp>
        <stp>370</stp>
        <tr r="G378" s="1"/>
      </tp>
      <tp t="s">
        <v>A janela foi fechada</v>
        <stp/>
        <stp>T&amp;T2</stp>
        <stp>DAT</stp>
        <stp>373</stp>
        <tr r="A381" s="1"/>
      </tp>
      <tp t="s">
        <v>A janela foi fechada</v>
        <stp/>
        <stp>T&amp;T1</stp>
        <stp>DAT</stp>
        <stp>373</stp>
        <tr r="G381" s="1"/>
      </tp>
      <tp t="s">
        <v>A janela foi fechada</v>
        <stp/>
        <stp>T&amp;T2</stp>
        <stp>DAT</stp>
        <stp>370</stp>
        <tr r="A378" s="1"/>
      </tp>
      <tp t="s">
        <v>A janela foi fechada</v>
        <stp/>
        <stp>T&amp;T1</stp>
        <stp>DAT</stp>
        <stp>372</stp>
        <tr r="G380" s="1"/>
      </tp>
      <tp t="s">
        <v>A janela foi fechada</v>
        <stp/>
        <stp>T&amp;T2</stp>
        <stp>DAT</stp>
        <stp>371</stp>
        <tr r="A379" s="1"/>
      </tp>
      <tp t="s">
        <v>A janela foi fechada</v>
        <stp/>
        <stp>T&amp;T1</stp>
        <stp>DAT</stp>
        <stp>375</stp>
        <tr r="G383" s="1"/>
      </tp>
      <tp t="s">
        <v>A janela foi fechada</v>
        <stp/>
        <stp>T&amp;T2</stp>
        <stp>DAT</stp>
        <stp>376</stp>
        <tr r="A384" s="1"/>
      </tp>
      <tp t="s">
        <v>A janela foi fechada</v>
        <stp/>
        <stp>T&amp;T1</stp>
        <stp>DAT</stp>
        <stp>374</stp>
        <tr r="G382" s="1"/>
      </tp>
      <tp t="s">
        <v>A janela foi fechada</v>
        <stp/>
        <stp>T&amp;T2</stp>
        <stp>DAT</stp>
        <stp>377</stp>
        <tr r="A385" s="1"/>
      </tp>
      <tp t="s">
        <v>A janela foi fechada</v>
        <stp/>
        <stp>T&amp;T1</stp>
        <stp>DAT</stp>
        <stp>377</stp>
        <tr r="G385" s="1"/>
      </tp>
      <tp t="s">
        <v>A janela foi fechada</v>
        <stp/>
        <stp>T&amp;T2</stp>
        <stp>DAT</stp>
        <stp>374</stp>
        <tr r="A382" s="1"/>
      </tp>
      <tp t="s">
        <v>A janela foi fechada</v>
        <stp/>
        <stp>T&amp;T1</stp>
        <stp>DAT</stp>
        <stp>376</stp>
        <tr r="G384" s="1"/>
      </tp>
      <tp t="s">
        <v>A janela foi fechada</v>
        <stp/>
        <stp>T&amp;T2</stp>
        <stp>DAT</stp>
        <stp>375</stp>
        <tr r="A383" s="1"/>
      </tp>
      <tp t="s">
        <v>A janela foi fechada</v>
        <stp/>
        <stp>T&amp;T1</stp>
        <stp>DAT</stp>
        <stp>379</stp>
        <tr r="G387" s="1"/>
      </tp>
      <tp t="s">
        <v>A janela foi fechada</v>
        <stp/>
        <stp>T&amp;T1</stp>
        <stp>DAT</stp>
        <stp>378</stp>
        <tr r="G386" s="1"/>
      </tp>
      <tp t="s">
        <v>A janela foi fechada</v>
        <stp/>
        <stp>T&amp;T2</stp>
        <stp>DAT</stp>
        <stp>378</stp>
        <tr r="A386" s="1"/>
      </tp>
      <tp t="s">
        <v>A janela foi fechada</v>
        <stp/>
        <stp>T&amp;T2</stp>
        <stp>DAT</stp>
        <stp>379</stp>
        <tr r="A387" s="1"/>
      </tp>
      <tp t="s">
        <v>A janela foi fechada</v>
        <stp/>
        <stp>T&amp;T1</stp>
        <stp>DAT</stp>
        <stp>361</stp>
        <tr r="G369" s="1"/>
      </tp>
      <tp t="s">
        <v>A janela foi fechada</v>
        <stp/>
        <stp>T&amp;T2</stp>
        <stp>DAT</stp>
        <stp>362</stp>
        <tr r="A370" s="1"/>
      </tp>
      <tp t="s">
        <v>A janela foi fechada</v>
        <stp/>
        <stp>T&amp;T1</stp>
        <stp>DAT</stp>
        <stp>360</stp>
        <tr r="G368" s="1"/>
      </tp>
      <tp t="s">
        <v>A janela foi fechada</v>
        <stp/>
        <stp>T&amp;T2</stp>
        <stp>DAT</stp>
        <stp>363</stp>
        <tr r="A371" s="1"/>
      </tp>
      <tp t="s">
        <v>A janela foi fechada</v>
        <stp/>
        <stp>T&amp;T1</stp>
        <stp>DAT</stp>
        <stp>363</stp>
        <tr r="G371" s="1"/>
      </tp>
      <tp t="s">
        <v>A janela foi fechada</v>
        <stp/>
        <stp>T&amp;T2</stp>
        <stp>DAT</stp>
        <stp>360</stp>
        <tr r="A368" s="1"/>
      </tp>
      <tp t="s">
        <v>A janela foi fechada</v>
        <stp/>
        <stp>T&amp;T1</stp>
        <stp>DAT</stp>
        <stp>362</stp>
        <tr r="G370" s="1"/>
      </tp>
      <tp t="s">
        <v>A janela foi fechada</v>
        <stp/>
        <stp>T&amp;T2</stp>
        <stp>DAT</stp>
        <stp>361</stp>
        <tr r="A369" s="1"/>
      </tp>
      <tp t="s">
        <v>A janela foi fechada</v>
        <stp/>
        <stp>T&amp;T1</stp>
        <stp>DAT</stp>
        <stp>365</stp>
        <tr r="G373" s="1"/>
      </tp>
      <tp t="s">
        <v>A janela foi fechada</v>
        <stp/>
        <stp>T&amp;T2</stp>
        <stp>DAT</stp>
        <stp>366</stp>
        <tr r="A374" s="1"/>
      </tp>
      <tp t="s">
        <v>A janela foi fechada</v>
        <stp/>
        <stp>T&amp;T1</stp>
        <stp>DAT</stp>
        <stp>364</stp>
        <tr r="G372" s="1"/>
      </tp>
      <tp t="s">
        <v>A janela foi fechada</v>
        <stp/>
        <stp>T&amp;T2</stp>
        <stp>DAT</stp>
        <stp>367</stp>
        <tr r="A375" s="1"/>
      </tp>
      <tp t="s">
        <v>A janela foi fechada</v>
        <stp/>
        <stp>T&amp;T1</stp>
        <stp>DAT</stp>
        <stp>367</stp>
        <tr r="G375" s="1"/>
      </tp>
      <tp t="s">
        <v>A janela foi fechada</v>
        <stp/>
        <stp>T&amp;T2</stp>
        <stp>DAT</stp>
        <stp>364</stp>
        <tr r="A372" s="1"/>
      </tp>
      <tp t="s">
        <v>A janela foi fechada</v>
        <stp/>
        <stp>T&amp;T1</stp>
        <stp>DAT</stp>
        <stp>366</stp>
        <tr r="G374" s="1"/>
      </tp>
      <tp t="s">
        <v>A janela foi fechada</v>
        <stp/>
        <stp>T&amp;T2</stp>
        <stp>DAT</stp>
        <stp>365</stp>
        <tr r="A373" s="1"/>
      </tp>
      <tp t="s">
        <v>A janela foi fechada</v>
        <stp/>
        <stp>T&amp;T1</stp>
        <stp>DAT</stp>
        <stp>369</stp>
        <tr r="G377" s="1"/>
      </tp>
      <tp t="s">
        <v>A janela foi fechada</v>
        <stp/>
        <stp>T&amp;T1</stp>
        <stp>DAT</stp>
        <stp>368</stp>
        <tr r="G376" s="1"/>
      </tp>
      <tp t="s">
        <v>A janela foi fechada</v>
        <stp/>
        <stp>T&amp;T2</stp>
        <stp>DAT</stp>
        <stp>368</stp>
        <tr r="A376" s="1"/>
      </tp>
      <tp t="s">
        <v>A janela foi fechada</v>
        <stp/>
        <stp>T&amp;T2</stp>
        <stp>DAT</stp>
        <stp>369</stp>
        <tr r="A377" s="1"/>
      </tp>
      <tp t="s">
        <v>A janela foi fechada</v>
        <stp/>
        <stp>T&amp;T1</stp>
        <stp>DAT</stp>
        <stp>311</stp>
        <tr r="G319" s="1"/>
      </tp>
      <tp t="s">
        <v>A janela foi fechada</v>
        <stp/>
        <stp>T&amp;T2</stp>
        <stp>DAT</stp>
        <stp>312</stp>
        <tr r="A320" s="1"/>
      </tp>
      <tp t="s">
        <v>A janela foi fechada</v>
        <stp/>
        <stp>T&amp;T1</stp>
        <stp>DAT</stp>
        <stp>310</stp>
        <tr r="G318" s="1"/>
      </tp>
      <tp t="s">
        <v>A janela foi fechada</v>
        <stp/>
        <stp>T&amp;T2</stp>
        <stp>DAT</stp>
        <stp>313</stp>
        <tr r="A321" s="1"/>
      </tp>
      <tp t="s">
        <v>A janela foi fechada</v>
        <stp/>
        <stp>T&amp;T1</stp>
        <stp>DAT</stp>
        <stp>313</stp>
        <tr r="G321" s="1"/>
      </tp>
      <tp t="s">
        <v>A janela foi fechada</v>
        <stp/>
        <stp>T&amp;T2</stp>
        <stp>DAT</stp>
        <stp>310</stp>
        <tr r="A318" s="1"/>
      </tp>
      <tp t="s">
        <v>A janela foi fechada</v>
        <stp/>
        <stp>T&amp;T1</stp>
        <stp>DAT</stp>
        <stp>312</stp>
        <tr r="G320" s="1"/>
      </tp>
      <tp t="s">
        <v>A janela foi fechada</v>
        <stp/>
        <stp>T&amp;T2</stp>
        <stp>DAT</stp>
        <stp>311</stp>
        <tr r="A319" s="1"/>
      </tp>
      <tp t="s">
        <v>A janela foi fechada</v>
        <stp/>
        <stp>T&amp;T1</stp>
        <stp>DAT</stp>
        <stp>315</stp>
        <tr r="G323" s="1"/>
      </tp>
      <tp t="s">
        <v>A janela foi fechada</v>
        <stp/>
        <stp>T&amp;T2</stp>
        <stp>DAT</stp>
        <stp>316</stp>
        <tr r="A324" s="1"/>
      </tp>
      <tp t="s">
        <v>A janela foi fechada</v>
        <stp/>
        <stp>T&amp;T1</stp>
        <stp>DAT</stp>
        <stp>314</stp>
        <tr r="G322" s="1"/>
      </tp>
      <tp t="s">
        <v>A janela foi fechada</v>
        <stp/>
        <stp>T&amp;T2</stp>
        <stp>DAT</stp>
        <stp>317</stp>
        <tr r="A325" s="1"/>
      </tp>
      <tp t="s">
        <v>A janela foi fechada</v>
        <stp/>
        <stp>T&amp;T1</stp>
        <stp>DAT</stp>
        <stp>317</stp>
        <tr r="G325" s="1"/>
      </tp>
      <tp t="s">
        <v>A janela foi fechada</v>
        <stp/>
        <stp>T&amp;T2</stp>
        <stp>DAT</stp>
        <stp>314</stp>
        <tr r="A322" s="1"/>
      </tp>
      <tp t="s">
        <v>A janela foi fechada</v>
        <stp/>
        <stp>T&amp;T1</stp>
        <stp>DAT</stp>
        <stp>316</stp>
        <tr r="G324" s="1"/>
      </tp>
      <tp t="s">
        <v>A janela foi fechada</v>
        <stp/>
        <stp>T&amp;T2</stp>
        <stp>DAT</stp>
        <stp>315</stp>
        <tr r="A323" s="1"/>
      </tp>
      <tp t="s">
        <v>A janela foi fechada</v>
        <stp/>
        <stp>T&amp;T1</stp>
        <stp>DAT</stp>
        <stp>319</stp>
        <tr r="G327" s="1"/>
      </tp>
      <tp t="s">
        <v>A janela foi fechada</v>
        <stp/>
        <stp>T&amp;T1</stp>
        <stp>DAT</stp>
        <stp>318</stp>
        <tr r="G326" s="1"/>
      </tp>
      <tp t="s">
        <v>A janela foi fechada</v>
        <stp/>
        <stp>T&amp;T2</stp>
        <stp>DAT</stp>
        <stp>318</stp>
        <tr r="A326" s="1"/>
      </tp>
      <tp t="s">
        <v>A janela foi fechada</v>
        <stp/>
        <stp>T&amp;T2</stp>
        <stp>DAT</stp>
        <stp>319</stp>
        <tr r="A327" s="1"/>
      </tp>
      <tp t="s">
        <v>A janela foi fechada</v>
        <stp/>
        <stp>T&amp;T1</stp>
        <stp>DAT</stp>
        <stp>301</stp>
        <tr r="G309" s="1"/>
      </tp>
      <tp t="s">
        <v>A janela foi fechada</v>
        <stp/>
        <stp>T&amp;T2</stp>
        <stp>DAT</stp>
        <stp>302</stp>
        <tr r="A310" s="1"/>
      </tp>
      <tp t="s">
        <v>A janela foi fechada</v>
        <stp/>
        <stp>T&amp;T1</stp>
        <stp>DAT</stp>
        <stp>300</stp>
        <tr r="G308" s="1"/>
      </tp>
      <tp t="s">
        <v>A janela foi fechada</v>
        <stp/>
        <stp>T&amp;T2</stp>
        <stp>DAT</stp>
        <stp>303</stp>
        <tr r="A311" s="1"/>
      </tp>
      <tp t="s">
        <v>A janela foi fechada</v>
        <stp/>
        <stp>T&amp;T1</stp>
        <stp>DAT</stp>
        <stp>303</stp>
        <tr r="G311" s="1"/>
      </tp>
      <tp t="s">
        <v>A janela foi fechada</v>
        <stp/>
        <stp>T&amp;T2</stp>
        <stp>DAT</stp>
        <stp>300</stp>
        <tr r="A308" s="1"/>
      </tp>
      <tp t="s">
        <v>A janela foi fechada</v>
        <stp/>
        <stp>T&amp;T1</stp>
        <stp>DAT</stp>
        <stp>302</stp>
        <tr r="G310" s="1"/>
      </tp>
      <tp t="s">
        <v>A janela foi fechada</v>
        <stp/>
        <stp>T&amp;T2</stp>
        <stp>DAT</stp>
        <stp>301</stp>
        <tr r="A309" s="1"/>
      </tp>
      <tp t="s">
        <v>A janela foi fechada</v>
        <stp/>
        <stp>T&amp;T1</stp>
        <stp>DAT</stp>
        <stp>305</stp>
        <tr r="G313" s="1"/>
      </tp>
      <tp t="s">
        <v>A janela foi fechada</v>
        <stp/>
        <stp>T&amp;T2</stp>
        <stp>DAT</stp>
        <stp>306</stp>
        <tr r="A314" s="1"/>
      </tp>
      <tp t="s">
        <v>A janela foi fechada</v>
        <stp/>
        <stp>T&amp;T1</stp>
        <stp>DAT</stp>
        <stp>304</stp>
        <tr r="G312" s="1"/>
      </tp>
      <tp t="s">
        <v>A janela foi fechada</v>
        <stp/>
        <stp>T&amp;T2</stp>
        <stp>DAT</stp>
        <stp>307</stp>
        <tr r="A315" s="1"/>
      </tp>
      <tp t="s">
        <v>A janela foi fechada</v>
        <stp/>
        <stp>T&amp;T1</stp>
        <stp>DAT</stp>
        <stp>307</stp>
        <tr r="G315" s="1"/>
      </tp>
      <tp t="s">
        <v>A janela foi fechada</v>
        <stp/>
        <stp>T&amp;T2</stp>
        <stp>DAT</stp>
        <stp>304</stp>
        <tr r="A312" s="1"/>
      </tp>
      <tp t="s">
        <v>A janela foi fechada</v>
        <stp/>
        <stp>T&amp;T1</stp>
        <stp>DAT</stp>
        <stp>306</stp>
        <tr r="G314" s="1"/>
      </tp>
      <tp t="s">
        <v>A janela foi fechada</v>
        <stp/>
        <stp>T&amp;T2</stp>
        <stp>DAT</stp>
        <stp>305</stp>
        <tr r="A313" s="1"/>
      </tp>
      <tp t="s">
        <v>A janela foi fechada</v>
        <stp/>
        <stp>T&amp;T1</stp>
        <stp>DAT</stp>
        <stp>309</stp>
        <tr r="G317" s="1"/>
      </tp>
      <tp t="s">
        <v>A janela foi fechada</v>
        <stp/>
        <stp>T&amp;T1</stp>
        <stp>DAT</stp>
        <stp>308</stp>
        <tr r="G316" s="1"/>
      </tp>
      <tp t="s">
        <v>A janela foi fechada</v>
        <stp/>
        <stp>T&amp;T2</stp>
        <stp>DAT</stp>
        <stp>308</stp>
        <tr r="A316" s="1"/>
      </tp>
      <tp t="s">
        <v>A janela foi fechada</v>
        <stp/>
        <stp>T&amp;T2</stp>
        <stp>DAT</stp>
        <stp>309</stp>
        <tr r="A317" s="1"/>
      </tp>
      <tp t="s">
        <v>A janela foi fechada</v>
        <stp/>
        <stp>T&amp;T1</stp>
        <stp>DAT</stp>
        <stp>331</stp>
        <tr r="G339" s="1"/>
      </tp>
      <tp t="s">
        <v>A janela foi fechada</v>
        <stp/>
        <stp>T&amp;T2</stp>
        <stp>DAT</stp>
        <stp>332</stp>
        <tr r="A340" s="1"/>
      </tp>
      <tp t="s">
        <v>A janela foi fechada</v>
        <stp/>
        <stp>T&amp;T1</stp>
        <stp>DAT</stp>
        <stp>330</stp>
        <tr r="G338" s="1"/>
      </tp>
      <tp t="s">
        <v>A janela foi fechada</v>
        <stp/>
        <stp>T&amp;T2</stp>
        <stp>DAT</stp>
        <stp>333</stp>
        <tr r="A341" s="1"/>
      </tp>
      <tp t="s">
        <v>A janela foi fechada</v>
        <stp/>
        <stp>T&amp;T1</stp>
        <stp>DAT</stp>
        <stp>333</stp>
        <tr r="G341" s="1"/>
      </tp>
      <tp t="s">
        <v>A janela foi fechada</v>
        <stp/>
        <stp>T&amp;T2</stp>
        <stp>DAT</stp>
        <stp>330</stp>
        <tr r="A338" s="1"/>
      </tp>
      <tp t="s">
        <v>A janela foi fechada</v>
        <stp/>
        <stp>T&amp;T1</stp>
        <stp>DAT</stp>
        <stp>332</stp>
        <tr r="G340" s="1"/>
      </tp>
      <tp t="s">
        <v>A janela foi fechada</v>
        <stp/>
        <stp>T&amp;T2</stp>
        <stp>DAT</stp>
        <stp>331</stp>
        <tr r="A339" s="1"/>
      </tp>
      <tp t="s">
        <v>A janela foi fechada</v>
        <stp/>
        <stp>T&amp;T1</stp>
        <stp>DAT</stp>
        <stp>335</stp>
        <tr r="G343" s="1"/>
      </tp>
      <tp t="s">
        <v>A janela foi fechada</v>
        <stp/>
        <stp>T&amp;T2</stp>
        <stp>DAT</stp>
        <stp>336</stp>
        <tr r="A344" s="1"/>
      </tp>
      <tp t="s">
        <v>A janela foi fechada</v>
        <stp/>
        <stp>T&amp;T1</stp>
        <stp>DAT</stp>
        <stp>334</stp>
        <tr r="G342" s="1"/>
      </tp>
      <tp t="s">
        <v>A janela foi fechada</v>
        <stp/>
        <stp>T&amp;T2</stp>
        <stp>DAT</stp>
        <stp>337</stp>
        <tr r="A345" s="1"/>
      </tp>
      <tp t="s">
        <v>A janela foi fechada</v>
        <stp/>
        <stp>T&amp;T1</stp>
        <stp>DAT</stp>
        <stp>337</stp>
        <tr r="G345" s="1"/>
      </tp>
      <tp t="s">
        <v>A janela foi fechada</v>
        <stp/>
        <stp>T&amp;T2</stp>
        <stp>DAT</stp>
        <stp>334</stp>
        <tr r="A342" s="1"/>
      </tp>
      <tp t="s">
        <v>A janela foi fechada</v>
        <stp/>
        <stp>T&amp;T1</stp>
        <stp>DAT</stp>
        <stp>336</stp>
        <tr r="G344" s="1"/>
      </tp>
      <tp t="s">
        <v>A janela foi fechada</v>
        <stp/>
        <stp>T&amp;T2</stp>
        <stp>DAT</stp>
        <stp>335</stp>
        <tr r="A343" s="1"/>
      </tp>
      <tp t="s">
        <v>A janela foi fechada</v>
        <stp/>
        <stp>T&amp;T1</stp>
        <stp>DAT</stp>
        <stp>339</stp>
        <tr r="G347" s="1"/>
      </tp>
      <tp t="s">
        <v>A janela foi fechada</v>
        <stp/>
        <stp>T&amp;T1</stp>
        <stp>DAT</stp>
        <stp>338</stp>
        <tr r="G346" s="1"/>
      </tp>
      <tp t="s">
        <v>A janela foi fechada</v>
        <stp/>
        <stp>T&amp;T2</stp>
        <stp>DAT</stp>
        <stp>338</stp>
        <tr r="A346" s="1"/>
      </tp>
      <tp t="s">
        <v>A janela foi fechada</v>
        <stp/>
        <stp>T&amp;T2</stp>
        <stp>DAT</stp>
        <stp>339</stp>
        <tr r="A347" s="1"/>
      </tp>
      <tp t="s">
        <v>A janela foi fechada</v>
        <stp/>
        <stp>T&amp;T1</stp>
        <stp>DAT</stp>
        <stp>321</stp>
        <tr r="G329" s="1"/>
      </tp>
      <tp t="s">
        <v>A janela foi fechada</v>
        <stp/>
        <stp>T&amp;T2</stp>
        <stp>DAT</stp>
        <stp>322</stp>
        <tr r="A330" s="1"/>
      </tp>
      <tp t="s">
        <v>A janela foi fechada</v>
        <stp/>
        <stp>T&amp;T1</stp>
        <stp>DAT</stp>
        <stp>320</stp>
        <tr r="G328" s="1"/>
      </tp>
      <tp t="s">
        <v>A janela foi fechada</v>
        <stp/>
        <stp>T&amp;T2</stp>
        <stp>DAT</stp>
        <stp>323</stp>
        <tr r="A331" s="1"/>
      </tp>
      <tp t="s">
        <v>A janela foi fechada</v>
        <stp/>
        <stp>T&amp;T1</stp>
        <stp>DAT</stp>
        <stp>323</stp>
        <tr r="G331" s="1"/>
      </tp>
      <tp t="s">
        <v>A janela foi fechada</v>
        <stp/>
        <stp>T&amp;T2</stp>
        <stp>DAT</stp>
        <stp>320</stp>
        <tr r="A328" s="1"/>
      </tp>
      <tp t="s">
        <v>A janela foi fechada</v>
        <stp/>
        <stp>T&amp;T1</stp>
        <stp>DAT</stp>
        <stp>322</stp>
        <tr r="G330" s="1"/>
      </tp>
      <tp t="s">
        <v>A janela foi fechada</v>
        <stp/>
        <stp>T&amp;T2</stp>
        <stp>DAT</stp>
        <stp>321</stp>
        <tr r="A329" s="1"/>
      </tp>
      <tp t="s">
        <v>A janela foi fechada</v>
        <stp/>
        <stp>T&amp;T1</stp>
        <stp>DAT</stp>
        <stp>325</stp>
        <tr r="G333" s="1"/>
      </tp>
      <tp t="s">
        <v>A janela foi fechada</v>
        <stp/>
        <stp>T&amp;T2</stp>
        <stp>DAT</stp>
        <stp>326</stp>
        <tr r="A334" s="1"/>
      </tp>
      <tp t="s">
        <v>A janela foi fechada</v>
        <stp/>
        <stp>T&amp;T1</stp>
        <stp>DAT</stp>
        <stp>324</stp>
        <tr r="G332" s="1"/>
      </tp>
      <tp t="s">
        <v>A janela foi fechada</v>
        <stp/>
        <stp>T&amp;T2</stp>
        <stp>DAT</stp>
        <stp>327</stp>
        <tr r="A335" s="1"/>
      </tp>
      <tp t="s">
        <v>A janela foi fechada</v>
        <stp/>
        <stp>T&amp;T1</stp>
        <stp>DAT</stp>
        <stp>327</stp>
        <tr r="G335" s="1"/>
      </tp>
      <tp t="s">
        <v>A janela foi fechada</v>
        <stp/>
        <stp>T&amp;T2</stp>
        <stp>DAT</stp>
        <stp>324</stp>
        <tr r="A332" s="1"/>
      </tp>
      <tp t="s">
        <v>A janela foi fechada</v>
        <stp/>
        <stp>T&amp;T1</stp>
        <stp>DAT</stp>
        <stp>326</stp>
        <tr r="G334" s="1"/>
      </tp>
      <tp t="s">
        <v>A janela foi fechada</v>
        <stp/>
        <stp>T&amp;T2</stp>
        <stp>DAT</stp>
        <stp>325</stp>
        <tr r="A333" s="1"/>
      </tp>
      <tp t="s">
        <v>A janela foi fechada</v>
        <stp/>
        <stp>T&amp;T1</stp>
        <stp>DAT</stp>
        <stp>329</stp>
        <tr r="G337" s="1"/>
      </tp>
      <tp t="s">
        <v>A janela foi fechada</v>
        <stp/>
        <stp>T&amp;T1</stp>
        <stp>DAT</stp>
        <stp>328</stp>
        <tr r="G336" s="1"/>
      </tp>
      <tp t="s">
        <v>A janela foi fechada</v>
        <stp/>
        <stp>T&amp;T2</stp>
        <stp>DAT</stp>
        <stp>328</stp>
        <tr r="A336" s="1"/>
      </tp>
      <tp t="s">
        <v>A janela foi fechada</v>
        <stp/>
        <stp>T&amp;T2</stp>
        <stp>DAT</stp>
        <stp>329</stp>
        <tr r="A337" s="1"/>
      </tp>
      <tp t="s">
        <v>A janela foi fechada</v>
        <stp/>
        <stp>T&amp;T1</stp>
        <stp>AGR</stp>
        <stp>497</stp>
        <tr r="J505" s="1"/>
      </tp>
      <tp t="s">
        <v>A janela foi fechada</v>
        <stp/>
        <stp>T&amp;T2</stp>
        <stp>AGR</stp>
        <stp>494</stp>
        <tr r="D502" s="1"/>
      </tp>
      <tp t="s">
        <v>A janela foi fechada</v>
        <stp/>
        <stp>T&amp;T1</stp>
        <stp>AGR</stp>
        <stp>496</stp>
        <tr r="J504" s="1"/>
      </tp>
      <tp t="s">
        <v>A janela foi fechada</v>
        <stp/>
        <stp>T&amp;T2</stp>
        <stp>AGR</stp>
        <stp>495</stp>
        <tr r="D503" s="1"/>
      </tp>
      <tp t="s">
        <v>A janela foi fechada</v>
        <stp/>
        <stp>T&amp;T1</stp>
        <stp>AGR</stp>
        <stp>495</stp>
        <tr r="J503" s="1"/>
      </tp>
      <tp t="s">
        <v>A janela foi fechada</v>
        <stp/>
        <stp>T&amp;T2</stp>
        <stp>AGR</stp>
        <stp>496</stp>
        <tr r="D504" s="1"/>
      </tp>
      <tp t="s">
        <v>A janela foi fechada</v>
        <stp/>
        <stp>T&amp;T1</stp>
        <stp>AGR</stp>
        <stp>494</stp>
        <tr r="J502" s="1"/>
      </tp>
      <tp t="s">
        <v>A janela foi fechada</v>
        <stp/>
        <stp>T&amp;T2</stp>
        <stp>AGR</stp>
        <stp>497</stp>
        <tr r="D505" s="1"/>
      </tp>
      <tp t="s">
        <v>A janela foi fechada</v>
        <stp/>
        <stp>T&amp;T1</stp>
        <stp>AGR</stp>
        <stp>493</stp>
        <tr r="J501" s="1"/>
      </tp>
      <tp t="s">
        <v>A janela foi fechada</v>
        <stp/>
        <stp>T&amp;T2</stp>
        <stp>AGR</stp>
        <stp>490</stp>
        <tr r="D498" s="1"/>
      </tp>
      <tp t="s">
        <v>A janela foi fechada</v>
        <stp/>
        <stp>T&amp;T1</stp>
        <stp>AGR</stp>
        <stp>492</stp>
        <tr r="J500" s="1"/>
      </tp>
      <tp t="s">
        <v>A janela foi fechada</v>
        <stp/>
        <stp>T&amp;T2</stp>
        <stp>AGR</stp>
        <stp>491</stp>
        <tr r="D499" s="1"/>
      </tp>
      <tp t="s">
        <v>A janela foi fechada</v>
        <stp/>
        <stp>T&amp;T1</stp>
        <stp>AGR</stp>
        <stp>491</stp>
        <tr r="J499" s="1"/>
      </tp>
      <tp t="s">
        <v>A janela foi fechada</v>
        <stp/>
        <stp>T&amp;T2</stp>
        <stp>AGR</stp>
        <stp>492</stp>
        <tr r="D500" s="1"/>
      </tp>
      <tp t="s">
        <v>A janela foi fechada</v>
        <stp/>
        <stp>T&amp;T1</stp>
        <stp>AGR</stp>
        <stp>490</stp>
        <tr r="J498" s="1"/>
      </tp>
      <tp t="s">
        <v>A janela foi fechada</v>
        <stp/>
        <stp>T&amp;T2</stp>
        <stp>AGR</stp>
        <stp>493</stp>
        <tr r="D501" s="1"/>
      </tp>
      <tp t="s">
        <v>A janela foi fechada</v>
        <stp/>
        <stp>T&amp;T2</stp>
        <stp>AGR</stp>
        <stp>498</stp>
        <tr r="D506" s="1"/>
      </tp>
      <tp t="s">
        <v>A janela foi fechada</v>
        <stp/>
        <stp>T&amp;T2</stp>
        <stp>AGR</stp>
        <stp>499</stp>
        <tr r="D507" s="1"/>
      </tp>
      <tp t="s">
        <v>A janela foi fechada</v>
        <stp/>
        <stp>T&amp;T1</stp>
        <stp>AGR</stp>
        <stp>499</stp>
        <tr r="J507" s="1"/>
      </tp>
      <tp t="s">
        <v>A janela foi fechada</v>
        <stp/>
        <stp>T&amp;T1</stp>
        <stp>AGR</stp>
        <stp>498</stp>
        <tr r="J506" s="1"/>
      </tp>
      <tp t="s">
        <v>A janela foi fechada</v>
        <stp/>
        <stp>T&amp;T1</stp>
        <stp>AGR</stp>
        <stp>487</stp>
        <tr r="J495" s="1"/>
      </tp>
      <tp t="s">
        <v>A janela foi fechada</v>
        <stp/>
        <stp>T&amp;T2</stp>
        <stp>AGR</stp>
        <stp>484</stp>
        <tr r="D492" s="1"/>
      </tp>
      <tp t="s">
        <v>A janela foi fechada</v>
        <stp/>
        <stp>T&amp;T1</stp>
        <stp>AGR</stp>
        <stp>486</stp>
        <tr r="J494" s="1"/>
      </tp>
      <tp t="s">
        <v>A janela foi fechada</v>
        <stp/>
        <stp>T&amp;T2</stp>
        <stp>AGR</stp>
        <stp>485</stp>
        <tr r="D493" s="1"/>
      </tp>
      <tp t="s">
        <v>A janela foi fechada</v>
        <stp/>
        <stp>T&amp;T1</stp>
        <stp>AGR</stp>
        <stp>485</stp>
        <tr r="J493" s="1"/>
      </tp>
      <tp t="s">
        <v>A janela foi fechada</v>
        <stp/>
        <stp>T&amp;T2</stp>
        <stp>AGR</stp>
        <stp>486</stp>
        <tr r="D494" s="1"/>
      </tp>
      <tp t="s">
        <v>A janela foi fechada</v>
        <stp/>
        <stp>T&amp;T1</stp>
        <stp>AGR</stp>
        <stp>484</stp>
        <tr r="J492" s="1"/>
      </tp>
      <tp t="s">
        <v>A janela foi fechada</v>
        <stp/>
        <stp>T&amp;T2</stp>
        <stp>AGR</stp>
        <stp>487</stp>
        <tr r="D495" s="1"/>
      </tp>
      <tp t="s">
        <v>A janela foi fechada</v>
        <stp/>
        <stp>T&amp;T1</stp>
        <stp>AGR</stp>
        <stp>483</stp>
        <tr r="J491" s="1"/>
      </tp>
      <tp t="s">
        <v>A janela foi fechada</v>
        <stp/>
        <stp>T&amp;T2</stp>
        <stp>AGR</stp>
        <stp>480</stp>
        <tr r="D488" s="1"/>
      </tp>
      <tp t="s">
        <v>A janela foi fechada</v>
        <stp/>
        <stp>T&amp;T1</stp>
        <stp>AGR</stp>
        <stp>482</stp>
        <tr r="J490" s="1"/>
      </tp>
      <tp t="s">
        <v>A janela foi fechada</v>
        <stp/>
        <stp>T&amp;T2</stp>
        <stp>AGR</stp>
        <stp>481</stp>
        <tr r="D489" s="1"/>
      </tp>
      <tp t="s">
        <v>A janela foi fechada</v>
        <stp/>
        <stp>T&amp;T1</stp>
        <stp>AGR</stp>
        <stp>481</stp>
        <tr r="J489" s="1"/>
      </tp>
      <tp t="s">
        <v>A janela foi fechada</v>
        <stp/>
        <stp>T&amp;T2</stp>
        <stp>AGR</stp>
        <stp>482</stp>
        <tr r="D490" s="1"/>
      </tp>
      <tp t="s">
        <v>A janela foi fechada</v>
        <stp/>
        <stp>T&amp;T1</stp>
        <stp>AGR</stp>
        <stp>480</stp>
        <tr r="J488" s="1"/>
      </tp>
      <tp t="s">
        <v>A janela foi fechada</v>
        <stp/>
        <stp>T&amp;T2</stp>
        <stp>AGR</stp>
        <stp>483</stp>
        <tr r="D491" s="1"/>
      </tp>
      <tp t="s">
        <v>A janela foi fechada</v>
        <stp/>
        <stp>T&amp;T2</stp>
        <stp>AGR</stp>
        <stp>488</stp>
        <tr r="D496" s="1"/>
      </tp>
      <tp t="s">
        <v>A janela foi fechada</v>
        <stp/>
        <stp>T&amp;T2</stp>
        <stp>AGR</stp>
        <stp>489</stp>
        <tr r="D497" s="1"/>
      </tp>
      <tp t="s">
        <v>A janela foi fechada</v>
        <stp/>
        <stp>T&amp;T1</stp>
        <stp>AGR</stp>
        <stp>489</stp>
        <tr r="J497" s="1"/>
      </tp>
      <tp t="s">
        <v>A janela foi fechada</v>
        <stp/>
        <stp>T&amp;T1</stp>
        <stp>AGR</stp>
        <stp>488</stp>
        <tr r="J496" s="1"/>
      </tp>
      <tp t="s">
        <v>A janela foi fechada</v>
        <stp/>
        <stp>T&amp;T1</stp>
        <stp>DAT</stp>
        <stp>191</stp>
        <tr r="G199" s="1"/>
      </tp>
      <tp t="s">
        <v>A janela foi fechada</v>
        <stp/>
        <stp>T&amp;T2</stp>
        <stp>DAT</stp>
        <stp>192</stp>
        <tr r="A200" s="1"/>
      </tp>
      <tp t="s">
        <v>A janela foi fechada</v>
        <stp/>
        <stp>T&amp;T1</stp>
        <stp>DAT</stp>
        <stp>190</stp>
        <tr r="G198" s="1"/>
      </tp>
      <tp t="s">
        <v>A janela foi fechada</v>
        <stp/>
        <stp>T&amp;T2</stp>
        <stp>DAT</stp>
        <stp>193</stp>
        <tr r="A201" s="1"/>
      </tp>
      <tp t="s">
        <v>A janela foi fechada</v>
        <stp/>
        <stp>T&amp;T1</stp>
        <stp>DAT</stp>
        <stp>193</stp>
        <tr r="G201" s="1"/>
      </tp>
      <tp t="s">
        <v>A janela foi fechada</v>
        <stp/>
        <stp>T&amp;T2</stp>
        <stp>DAT</stp>
        <stp>190</stp>
        <tr r="A198" s="1"/>
      </tp>
      <tp t="s">
        <v>A janela foi fechada</v>
        <stp/>
        <stp>T&amp;T1</stp>
        <stp>DAT</stp>
        <stp>192</stp>
        <tr r="G200" s="1"/>
      </tp>
      <tp t="s">
        <v>A janela foi fechada</v>
        <stp/>
        <stp>T&amp;T2</stp>
        <stp>DAT</stp>
        <stp>191</stp>
        <tr r="A199" s="1"/>
      </tp>
      <tp t="s">
        <v>A janela foi fechada</v>
        <stp/>
        <stp>T&amp;T1</stp>
        <stp>DAT</stp>
        <stp>195</stp>
        <tr r="G203" s="1"/>
      </tp>
      <tp t="s">
        <v>A janela foi fechada</v>
        <stp/>
        <stp>T&amp;T2</stp>
        <stp>DAT</stp>
        <stp>196</stp>
        <tr r="A204" s="1"/>
      </tp>
      <tp t="s">
        <v>A janela foi fechada</v>
        <stp/>
        <stp>T&amp;T1</stp>
        <stp>DAT</stp>
        <stp>194</stp>
        <tr r="G202" s="1"/>
      </tp>
      <tp t="s">
        <v>A janela foi fechada</v>
        <stp/>
        <stp>T&amp;T2</stp>
        <stp>DAT</stp>
        <stp>197</stp>
        <tr r="A205" s="1"/>
      </tp>
      <tp t="s">
        <v>A janela foi fechada</v>
        <stp/>
        <stp>T&amp;T1</stp>
        <stp>DAT</stp>
        <stp>197</stp>
        <tr r="G205" s="1"/>
      </tp>
      <tp t="s">
        <v>A janela foi fechada</v>
        <stp/>
        <stp>T&amp;T2</stp>
        <stp>DAT</stp>
        <stp>194</stp>
        <tr r="A202" s="1"/>
      </tp>
      <tp t="s">
        <v>A janela foi fechada</v>
        <stp/>
        <stp>T&amp;T1</stp>
        <stp>DAT</stp>
        <stp>196</stp>
        <tr r="G204" s="1"/>
      </tp>
      <tp t="s">
        <v>A janela foi fechada</v>
        <stp/>
        <stp>T&amp;T2</stp>
        <stp>DAT</stp>
        <stp>195</stp>
        <tr r="A203" s="1"/>
      </tp>
      <tp t="s">
        <v>A janela foi fechada</v>
        <stp/>
        <stp>T&amp;T1</stp>
        <stp>DAT</stp>
        <stp>199</stp>
        <tr r="G207" s="1"/>
      </tp>
      <tp t="s">
        <v>A janela foi fechada</v>
        <stp/>
        <stp>T&amp;T1</stp>
        <stp>DAT</stp>
        <stp>198</stp>
        <tr r="G206" s="1"/>
      </tp>
      <tp t="s">
        <v>A janela foi fechada</v>
        <stp/>
        <stp>T&amp;T2</stp>
        <stp>DAT</stp>
        <stp>198</stp>
        <tr r="A206" s="1"/>
      </tp>
      <tp t="s">
        <v>A janela foi fechada</v>
        <stp/>
        <stp>T&amp;T2</stp>
        <stp>DAT</stp>
        <stp>199</stp>
        <tr r="A207" s="1"/>
      </tp>
      <tp t="s">
        <v>A janela foi fechada</v>
        <stp/>
        <stp>T&amp;T1</stp>
        <stp>DAT</stp>
        <stp>181</stp>
        <tr r="G189" s="1"/>
      </tp>
      <tp t="s">
        <v>A janela foi fechada</v>
        <stp/>
        <stp>T&amp;T2</stp>
        <stp>DAT</stp>
        <stp>182</stp>
        <tr r="A190" s="1"/>
      </tp>
      <tp t="s">
        <v>A janela foi fechada</v>
        <stp/>
        <stp>T&amp;T1</stp>
        <stp>DAT</stp>
        <stp>180</stp>
        <tr r="G188" s="1"/>
      </tp>
      <tp t="s">
        <v>A janela foi fechada</v>
        <stp/>
        <stp>T&amp;T2</stp>
        <stp>DAT</stp>
        <stp>183</stp>
        <tr r="A191" s="1"/>
      </tp>
      <tp t="s">
        <v>A janela foi fechada</v>
        <stp/>
        <stp>T&amp;T1</stp>
        <stp>DAT</stp>
        <stp>183</stp>
        <tr r="G191" s="1"/>
      </tp>
      <tp t="s">
        <v>A janela foi fechada</v>
        <stp/>
        <stp>T&amp;T2</stp>
        <stp>DAT</stp>
        <stp>180</stp>
        <tr r="A188" s="1"/>
      </tp>
      <tp t="s">
        <v>A janela foi fechada</v>
        <stp/>
        <stp>T&amp;T1</stp>
        <stp>DAT</stp>
        <stp>182</stp>
        <tr r="G190" s="1"/>
      </tp>
      <tp t="s">
        <v>A janela foi fechada</v>
        <stp/>
        <stp>T&amp;T2</stp>
        <stp>DAT</stp>
        <stp>181</stp>
        <tr r="A189" s="1"/>
      </tp>
      <tp t="s">
        <v>A janela foi fechada</v>
        <stp/>
        <stp>T&amp;T1</stp>
        <stp>DAT</stp>
        <stp>185</stp>
        <tr r="G193" s="1"/>
      </tp>
      <tp t="s">
        <v>A janela foi fechada</v>
        <stp/>
        <stp>T&amp;T2</stp>
        <stp>DAT</stp>
        <stp>186</stp>
        <tr r="A194" s="1"/>
      </tp>
      <tp t="s">
        <v>A janela foi fechada</v>
        <stp/>
        <stp>T&amp;T1</stp>
        <stp>DAT</stp>
        <stp>184</stp>
        <tr r="G192" s="1"/>
      </tp>
      <tp t="s">
        <v>A janela foi fechada</v>
        <stp/>
        <stp>T&amp;T2</stp>
        <stp>DAT</stp>
        <stp>187</stp>
        <tr r="A195" s="1"/>
      </tp>
      <tp t="s">
        <v>A janela foi fechada</v>
        <stp/>
        <stp>T&amp;T1</stp>
        <stp>DAT</stp>
        <stp>187</stp>
        <tr r="G195" s="1"/>
      </tp>
      <tp t="s">
        <v>A janela foi fechada</v>
        <stp/>
        <stp>T&amp;T2</stp>
        <stp>DAT</stp>
        <stp>184</stp>
        <tr r="A192" s="1"/>
      </tp>
      <tp t="s">
        <v>A janela foi fechada</v>
        <stp/>
        <stp>T&amp;T1</stp>
        <stp>DAT</stp>
        <stp>186</stp>
        <tr r="G194" s="1"/>
      </tp>
      <tp t="s">
        <v>A janela foi fechada</v>
        <stp/>
        <stp>T&amp;T2</stp>
        <stp>DAT</stp>
        <stp>185</stp>
        <tr r="A193" s="1"/>
      </tp>
      <tp t="s">
        <v>A janela foi fechada</v>
        <stp/>
        <stp>T&amp;T1</stp>
        <stp>DAT</stp>
        <stp>189</stp>
        <tr r="G197" s="1"/>
      </tp>
      <tp t="s">
        <v>A janela foi fechada</v>
        <stp/>
        <stp>T&amp;T1</stp>
        <stp>DAT</stp>
        <stp>188</stp>
        <tr r="G196" s="1"/>
      </tp>
      <tp t="s">
        <v>A janela foi fechada</v>
        <stp/>
        <stp>T&amp;T2</stp>
        <stp>DAT</stp>
        <stp>188</stp>
        <tr r="A196" s="1"/>
      </tp>
      <tp t="s">
        <v>A janela foi fechada</v>
        <stp/>
        <stp>T&amp;T2</stp>
        <stp>DAT</stp>
        <stp>189</stp>
        <tr r="A197" s="1"/>
      </tp>
      <tp t="s">
        <v>A janela foi fechada</v>
        <stp/>
        <stp>T&amp;T1</stp>
        <stp>AGR</stp>
        <stp>437</stp>
        <tr r="J445" s="1"/>
      </tp>
      <tp t="s">
        <v>A janela foi fechada</v>
        <stp/>
        <stp>T&amp;T1</stp>
        <stp>DAT</stp>
        <stp>151</stp>
        <tr r="G159" s="1"/>
      </tp>
      <tp t="s">
        <v>A janela foi fechada</v>
        <stp/>
        <stp>T&amp;T2</stp>
        <stp>AGR</stp>
        <stp>434</stp>
        <tr r="D442" s="1"/>
      </tp>
      <tp t="s">
        <v>A janela foi fechada</v>
        <stp/>
        <stp>T&amp;T2</stp>
        <stp>DAT</stp>
        <stp>152</stp>
        <tr r="A160" s="1"/>
      </tp>
      <tp t="s">
        <v>A janela foi fechada</v>
        <stp/>
        <stp>T&amp;T1</stp>
        <stp>AGR</stp>
        <stp>436</stp>
        <tr r="J444" s="1"/>
      </tp>
      <tp t="s">
        <v>A janela foi fechada</v>
        <stp/>
        <stp>T&amp;T1</stp>
        <stp>DAT</stp>
        <stp>150</stp>
        <tr r="G158" s="1"/>
      </tp>
      <tp t="s">
        <v>A janela foi fechada</v>
        <stp/>
        <stp>T&amp;T2</stp>
        <stp>AGR</stp>
        <stp>435</stp>
        <tr r="D443" s="1"/>
      </tp>
      <tp t="s">
        <v>A janela foi fechada</v>
        <stp/>
        <stp>T&amp;T2</stp>
        <stp>DAT</stp>
        <stp>153</stp>
        <tr r="A161" s="1"/>
      </tp>
      <tp t="s">
        <v>A janela foi fechada</v>
        <stp/>
        <stp>T&amp;T1</stp>
        <stp>AGR</stp>
        <stp>435</stp>
        <tr r="J443" s="1"/>
      </tp>
      <tp t="s">
        <v>A janela foi fechada</v>
        <stp/>
        <stp>T&amp;T1</stp>
        <stp>DAT</stp>
        <stp>153</stp>
        <tr r="G161" s="1"/>
      </tp>
      <tp t="s">
        <v>A janela foi fechada</v>
        <stp/>
        <stp>T&amp;T2</stp>
        <stp>AGR</stp>
        <stp>436</stp>
        <tr r="D444" s="1"/>
      </tp>
      <tp t="s">
        <v>A janela foi fechada</v>
        <stp/>
        <stp>T&amp;T2</stp>
        <stp>DAT</stp>
        <stp>150</stp>
        <tr r="A158" s="1"/>
      </tp>
      <tp t="s">
        <v>A janela foi fechada</v>
        <stp/>
        <stp>T&amp;T1</stp>
        <stp>AGR</stp>
        <stp>434</stp>
        <tr r="J442" s="1"/>
      </tp>
      <tp t="s">
        <v>A janela foi fechada</v>
        <stp/>
        <stp>T&amp;T1</stp>
        <stp>DAT</stp>
        <stp>152</stp>
        <tr r="G160" s="1"/>
      </tp>
      <tp t="s">
        <v>A janela foi fechada</v>
        <stp/>
        <stp>T&amp;T2</stp>
        <stp>AGR</stp>
        <stp>437</stp>
        <tr r="D445" s="1"/>
      </tp>
      <tp t="s">
        <v>A janela foi fechada</v>
        <stp/>
        <stp>T&amp;T2</stp>
        <stp>DAT</stp>
        <stp>151</stp>
        <tr r="A159" s="1"/>
      </tp>
      <tp t="s">
        <v>A janela foi fechada</v>
        <stp/>
        <stp>T&amp;T1</stp>
        <stp>AGR</stp>
        <stp>433</stp>
        <tr r="J441" s="1"/>
      </tp>
      <tp t="s">
        <v>A janela foi fechada</v>
        <stp/>
        <stp>T&amp;T1</stp>
        <stp>DAT</stp>
        <stp>155</stp>
        <tr r="G163" s="1"/>
      </tp>
      <tp t="s">
        <v>A janela foi fechada</v>
        <stp/>
        <stp>T&amp;T2</stp>
        <stp>AGR</stp>
        <stp>430</stp>
        <tr r="D438" s="1"/>
      </tp>
      <tp t="s">
        <v>A janela foi fechada</v>
        <stp/>
        <stp>T&amp;T2</stp>
        <stp>DAT</stp>
        <stp>156</stp>
        <tr r="A164" s="1"/>
      </tp>
      <tp t="s">
        <v>A janela foi fechada</v>
        <stp/>
        <stp>T&amp;T1</stp>
        <stp>AGR</stp>
        <stp>432</stp>
        <tr r="J440" s="1"/>
      </tp>
      <tp t="s">
        <v>A janela foi fechada</v>
        <stp/>
        <stp>T&amp;T1</stp>
        <stp>DAT</stp>
        <stp>154</stp>
        <tr r="G162" s="1"/>
      </tp>
      <tp t="s">
        <v>A janela foi fechada</v>
        <stp/>
        <stp>T&amp;T2</stp>
        <stp>AGR</stp>
        <stp>431</stp>
        <tr r="D439" s="1"/>
      </tp>
      <tp t="s">
        <v>A janela foi fechada</v>
        <stp/>
        <stp>T&amp;T2</stp>
        <stp>DAT</stp>
        <stp>157</stp>
        <tr r="A165" s="1"/>
      </tp>
      <tp t="s">
        <v>A janela foi fechada</v>
        <stp/>
        <stp>T&amp;T1</stp>
        <stp>AGR</stp>
        <stp>431</stp>
        <tr r="J439" s="1"/>
      </tp>
      <tp t="s">
        <v>A janela foi fechada</v>
        <stp/>
        <stp>T&amp;T1</stp>
        <stp>DAT</stp>
        <stp>157</stp>
        <tr r="G165" s="1"/>
      </tp>
      <tp t="s">
        <v>A janela foi fechada</v>
        <stp/>
        <stp>T&amp;T2</stp>
        <stp>AGR</stp>
        <stp>432</stp>
        <tr r="D440" s="1"/>
      </tp>
      <tp t="s">
        <v>A janela foi fechada</v>
        <stp/>
        <stp>T&amp;T2</stp>
        <stp>DAT</stp>
        <stp>154</stp>
        <tr r="A162" s="1"/>
      </tp>
      <tp t="s">
        <v>A janela foi fechada</v>
        <stp/>
        <stp>T&amp;T1</stp>
        <stp>AGR</stp>
        <stp>430</stp>
        <tr r="J438" s="1"/>
      </tp>
      <tp t="s">
        <v>A janela foi fechada</v>
        <stp/>
        <stp>T&amp;T1</stp>
        <stp>DAT</stp>
        <stp>156</stp>
        <tr r="G164" s="1"/>
      </tp>
      <tp t="s">
        <v>A janela foi fechada</v>
        <stp/>
        <stp>T&amp;T2</stp>
        <stp>AGR</stp>
        <stp>433</stp>
        <tr r="D441" s="1"/>
      </tp>
      <tp t="s">
        <v>A janela foi fechada</v>
        <stp/>
        <stp>T&amp;T2</stp>
        <stp>DAT</stp>
        <stp>155</stp>
        <tr r="A163" s="1"/>
      </tp>
      <tp t="s">
        <v>A janela foi fechada</v>
        <stp/>
        <stp>T&amp;T1</stp>
        <stp>DAT</stp>
        <stp>159</stp>
        <tr r="G167" s="1"/>
      </tp>
      <tp t="s">
        <v>A janela foi fechada</v>
        <stp/>
        <stp>T&amp;T1</stp>
        <stp>DAT</stp>
        <stp>158</stp>
        <tr r="G166" s="1"/>
      </tp>
      <tp t="s">
        <v>A janela foi fechada</v>
        <stp/>
        <stp>T&amp;T2</stp>
        <stp>DAT</stp>
        <stp>158</stp>
        <tr r="A166" s="1"/>
      </tp>
      <tp t="s">
        <v>A janela foi fechada</v>
        <stp/>
        <stp>T&amp;T2</stp>
        <stp>DAT</stp>
        <stp>159</stp>
        <tr r="A167" s="1"/>
      </tp>
      <tp t="s">
        <v>A janela foi fechada</v>
        <stp/>
        <stp>T&amp;T2</stp>
        <stp>AGR</stp>
        <stp>438</stp>
        <tr r="D446" s="1"/>
      </tp>
      <tp t="s">
        <v>A janela foi fechada</v>
        <stp/>
        <stp>T&amp;T2</stp>
        <stp>AGR</stp>
        <stp>439</stp>
        <tr r="D447" s="1"/>
      </tp>
      <tp t="s">
        <v>A janela foi fechada</v>
        <stp/>
        <stp>T&amp;T1</stp>
        <stp>AGR</stp>
        <stp>439</stp>
        <tr r="J447" s="1"/>
      </tp>
      <tp t="s">
        <v>A janela foi fechada</v>
        <stp/>
        <stp>T&amp;T1</stp>
        <stp>AGR</stp>
        <stp>438</stp>
        <tr r="J446" s="1"/>
      </tp>
      <tp t="s">
        <v>A janela foi fechada</v>
        <stp/>
        <stp>T&amp;T1</stp>
        <stp>AGR</stp>
        <stp>427</stp>
        <tr r="J435" s="1"/>
      </tp>
      <tp t="s">
        <v>A janela foi fechada</v>
        <stp/>
        <stp>T&amp;T1</stp>
        <stp>DAT</stp>
        <stp>141</stp>
        <tr r="G149" s="1"/>
      </tp>
      <tp t="s">
        <v>A janela foi fechada</v>
        <stp/>
        <stp>T&amp;T2</stp>
        <stp>AGR</stp>
        <stp>424</stp>
        <tr r="D432" s="1"/>
      </tp>
      <tp t="s">
        <v>A janela foi fechada</v>
        <stp/>
        <stp>T&amp;T2</stp>
        <stp>DAT</stp>
        <stp>142</stp>
        <tr r="A150" s="1"/>
      </tp>
      <tp t="s">
        <v>A janela foi fechada</v>
        <stp/>
        <stp>T&amp;T1</stp>
        <stp>AGR</stp>
        <stp>426</stp>
        <tr r="J434" s="1"/>
      </tp>
      <tp t="s">
        <v>A janela foi fechada</v>
        <stp/>
        <stp>T&amp;T1</stp>
        <stp>DAT</stp>
        <stp>140</stp>
        <tr r="G148" s="1"/>
      </tp>
      <tp t="s">
        <v>A janela foi fechada</v>
        <stp/>
        <stp>T&amp;T2</stp>
        <stp>AGR</stp>
        <stp>425</stp>
        <tr r="D433" s="1"/>
      </tp>
      <tp t="s">
        <v>A janela foi fechada</v>
        <stp/>
        <stp>T&amp;T2</stp>
        <stp>DAT</stp>
        <stp>143</stp>
        <tr r="A151" s="1"/>
      </tp>
      <tp t="s">
        <v>A janela foi fechada</v>
        <stp/>
        <stp>T&amp;T1</stp>
        <stp>AGR</stp>
        <stp>425</stp>
        <tr r="J433" s="1"/>
      </tp>
      <tp t="s">
        <v>A janela foi fechada</v>
        <stp/>
        <stp>T&amp;T1</stp>
        <stp>DAT</stp>
        <stp>143</stp>
        <tr r="G151" s="1"/>
      </tp>
      <tp t="s">
        <v>A janela foi fechada</v>
        <stp/>
        <stp>T&amp;T2</stp>
        <stp>AGR</stp>
        <stp>426</stp>
        <tr r="D434" s="1"/>
      </tp>
      <tp t="s">
        <v>A janela foi fechada</v>
        <stp/>
        <stp>T&amp;T2</stp>
        <stp>DAT</stp>
        <stp>140</stp>
        <tr r="A148" s="1"/>
      </tp>
      <tp t="s">
        <v>A janela foi fechada</v>
        <stp/>
        <stp>T&amp;T1</stp>
        <stp>AGR</stp>
        <stp>424</stp>
        <tr r="J432" s="1"/>
      </tp>
      <tp t="s">
        <v>A janela foi fechada</v>
        <stp/>
        <stp>T&amp;T1</stp>
        <stp>DAT</stp>
        <stp>142</stp>
        <tr r="G150" s="1"/>
      </tp>
      <tp t="s">
        <v>A janela foi fechada</v>
        <stp/>
        <stp>T&amp;T2</stp>
        <stp>AGR</stp>
        <stp>427</stp>
        <tr r="D435" s="1"/>
      </tp>
      <tp t="s">
        <v>A janela foi fechada</v>
        <stp/>
        <stp>T&amp;T2</stp>
        <stp>DAT</stp>
        <stp>141</stp>
        <tr r="A149" s="1"/>
      </tp>
      <tp t="s">
        <v>A janela foi fechada</v>
        <stp/>
        <stp>T&amp;T1</stp>
        <stp>AGR</stp>
        <stp>423</stp>
        <tr r="J431" s="1"/>
      </tp>
      <tp t="s">
        <v>A janela foi fechada</v>
        <stp/>
        <stp>T&amp;T1</stp>
        <stp>DAT</stp>
        <stp>145</stp>
        <tr r="G153" s="1"/>
      </tp>
      <tp t="s">
        <v>A janela foi fechada</v>
        <stp/>
        <stp>T&amp;T2</stp>
        <stp>AGR</stp>
        <stp>420</stp>
        <tr r="D428" s="1"/>
      </tp>
      <tp t="s">
        <v>A janela foi fechada</v>
        <stp/>
        <stp>T&amp;T2</stp>
        <stp>DAT</stp>
        <stp>146</stp>
        <tr r="A154" s="1"/>
      </tp>
      <tp t="s">
        <v>A janela foi fechada</v>
        <stp/>
        <stp>T&amp;T1</stp>
        <stp>AGR</stp>
        <stp>422</stp>
        <tr r="J430" s="1"/>
      </tp>
      <tp t="s">
        <v>A janela foi fechada</v>
        <stp/>
        <stp>T&amp;T1</stp>
        <stp>DAT</stp>
        <stp>144</stp>
        <tr r="G152" s="1"/>
      </tp>
      <tp t="s">
        <v>A janela foi fechada</v>
        <stp/>
        <stp>T&amp;T2</stp>
        <stp>AGR</stp>
        <stp>421</stp>
        <tr r="D429" s="1"/>
      </tp>
      <tp t="s">
        <v>A janela foi fechada</v>
        <stp/>
        <stp>T&amp;T2</stp>
        <stp>DAT</stp>
        <stp>147</stp>
        <tr r="A155" s="1"/>
      </tp>
      <tp t="s">
        <v>A janela foi fechada</v>
        <stp/>
        <stp>T&amp;T1</stp>
        <stp>AGR</stp>
        <stp>421</stp>
        <tr r="J429" s="1"/>
      </tp>
      <tp t="s">
        <v>A janela foi fechada</v>
        <stp/>
        <stp>T&amp;T1</stp>
        <stp>DAT</stp>
        <stp>147</stp>
        <tr r="G155" s="1"/>
      </tp>
      <tp t="s">
        <v>A janela foi fechada</v>
        <stp/>
        <stp>T&amp;T2</stp>
        <stp>AGR</stp>
        <stp>422</stp>
        <tr r="D430" s="1"/>
      </tp>
      <tp t="s">
        <v>A janela foi fechada</v>
        <stp/>
        <stp>T&amp;T2</stp>
        <stp>DAT</stp>
        <stp>144</stp>
        <tr r="A152" s="1"/>
      </tp>
      <tp t="s">
        <v>A janela foi fechada</v>
        <stp/>
        <stp>T&amp;T1</stp>
        <stp>AGR</stp>
        <stp>420</stp>
        <tr r="J428" s="1"/>
      </tp>
      <tp t="s">
        <v>A janela foi fechada</v>
        <stp/>
        <stp>T&amp;T1</stp>
        <stp>DAT</stp>
        <stp>146</stp>
        <tr r="G154" s="1"/>
      </tp>
      <tp t="s">
        <v>A janela foi fechada</v>
        <stp/>
        <stp>T&amp;T2</stp>
        <stp>AGR</stp>
        <stp>423</stp>
        <tr r="D431" s="1"/>
      </tp>
      <tp t="s">
        <v>A janela foi fechada</v>
        <stp/>
        <stp>T&amp;T2</stp>
        <stp>DAT</stp>
        <stp>145</stp>
        <tr r="A153" s="1"/>
      </tp>
      <tp t="s">
        <v>A janela foi fechada</v>
        <stp/>
        <stp>T&amp;T1</stp>
        <stp>DAT</stp>
        <stp>149</stp>
        <tr r="G157" s="1"/>
      </tp>
      <tp t="s">
        <v>A janela foi fechada</v>
        <stp/>
        <stp>T&amp;T1</stp>
        <stp>DAT</stp>
        <stp>148</stp>
        <tr r="G156" s="1"/>
      </tp>
      <tp t="s">
        <v>A janela foi fechada</v>
        <stp/>
        <stp>T&amp;T2</stp>
        <stp>DAT</stp>
        <stp>148</stp>
        <tr r="A156" s="1"/>
      </tp>
      <tp t="s">
        <v>A janela foi fechada</v>
        <stp/>
        <stp>T&amp;T2</stp>
        <stp>DAT</stp>
        <stp>149</stp>
        <tr r="A157" s="1"/>
      </tp>
      <tp t="s">
        <v>A janela foi fechada</v>
        <stp/>
        <stp>T&amp;T2</stp>
        <stp>AGR</stp>
        <stp>428</stp>
        <tr r="D436" s="1"/>
      </tp>
      <tp t="s">
        <v>A janela foi fechada</v>
        <stp/>
        <stp>T&amp;T2</stp>
        <stp>AGR</stp>
        <stp>429</stp>
        <tr r="D437" s="1"/>
      </tp>
      <tp t="s">
        <v>A janela foi fechada</v>
        <stp/>
        <stp>T&amp;T1</stp>
        <stp>AGR</stp>
        <stp>429</stp>
        <tr r="J437" s="1"/>
      </tp>
      <tp t="s">
        <v>A janela foi fechada</v>
        <stp/>
        <stp>T&amp;T1</stp>
        <stp>AGR</stp>
        <stp>428</stp>
        <tr r="J436" s="1"/>
      </tp>
      <tp t="s">
        <v>A janela foi fechada</v>
        <stp/>
        <stp>T&amp;T1</stp>
        <stp>AGR</stp>
        <stp>417</stp>
        <tr r="J425" s="1"/>
      </tp>
      <tp t="s">
        <v>A janela foi fechada</v>
        <stp/>
        <stp>T&amp;T1</stp>
        <stp>DAT</stp>
        <stp>171</stp>
        <tr r="G179" s="1"/>
      </tp>
      <tp t="s">
        <v>A janela foi fechada</v>
        <stp/>
        <stp>T&amp;T2</stp>
        <stp>AGR</stp>
        <stp>414</stp>
        <tr r="D422" s="1"/>
      </tp>
      <tp t="s">
        <v>A janela foi fechada</v>
        <stp/>
        <stp>T&amp;T2</stp>
        <stp>DAT</stp>
        <stp>172</stp>
        <tr r="A180" s="1"/>
      </tp>
      <tp t="s">
        <v>A janela foi fechada</v>
        <stp/>
        <stp>T&amp;T1</stp>
        <stp>AGR</stp>
        <stp>416</stp>
        <tr r="J424" s="1"/>
      </tp>
      <tp t="s">
        <v>A janela foi fechada</v>
        <stp/>
        <stp>T&amp;T1</stp>
        <stp>DAT</stp>
        <stp>170</stp>
        <tr r="G178" s="1"/>
      </tp>
      <tp t="s">
        <v>A janela foi fechada</v>
        <stp/>
        <stp>T&amp;T2</stp>
        <stp>AGR</stp>
        <stp>415</stp>
        <tr r="D423" s="1"/>
      </tp>
      <tp t="s">
        <v>A janela foi fechada</v>
        <stp/>
        <stp>T&amp;T2</stp>
        <stp>DAT</stp>
        <stp>173</stp>
        <tr r="A181" s="1"/>
      </tp>
      <tp t="s">
        <v>A janela foi fechada</v>
        <stp/>
        <stp>T&amp;T1</stp>
        <stp>AGR</stp>
        <stp>415</stp>
        <tr r="J423" s="1"/>
      </tp>
      <tp t="s">
        <v>A janela foi fechada</v>
        <stp/>
        <stp>T&amp;T1</stp>
        <stp>DAT</stp>
        <stp>173</stp>
        <tr r="G181" s="1"/>
      </tp>
      <tp t="s">
        <v>A janela foi fechada</v>
        <stp/>
        <stp>T&amp;T2</stp>
        <stp>AGR</stp>
        <stp>416</stp>
        <tr r="D424" s="1"/>
      </tp>
      <tp t="s">
        <v>A janela foi fechada</v>
        <stp/>
        <stp>T&amp;T2</stp>
        <stp>DAT</stp>
        <stp>170</stp>
        <tr r="A178" s="1"/>
      </tp>
      <tp t="s">
        <v>A janela foi fechada</v>
        <stp/>
        <stp>T&amp;T1</stp>
        <stp>AGR</stp>
        <stp>414</stp>
        <tr r="J422" s="1"/>
      </tp>
      <tp t="s">
        <v>A janela foi fechada</v>
        <stp/>
        <stp>T&amp;T1</stp>
        <stp>DAT</stp>
        <stp>172</stp>
        <tr r="G180" s="1"/>
      </tp>
      <tp t="s">
        <v>A janela foi fechada</v>
        <stp/>
        <stp>T&amp;T2</stp>
        <stp>AGR</stp>
        <stp>417</stp>
        <tr r="D425" s="1"/>
      </tp>
      <tp t="s">
        <v>A janela foi fechada</v>
        <stp/>
        <stp>T&amp;T2</stp>
        <stp>DAT</stp>
        <stp>171</stp>
        <tr r="A179" s="1"/>
      </tp>
      <tp t="s">
        <v>A janela foi fechada</v>
        <stp/>
        <stp>T&amp;T1</stp>
        <stp>AGR</stp>
        <stp>413</stp>
        <tr r="J421" s="1"/>
      </tp>
      <tp t="s">
        <v>A janela foi fechada</v>
        <stp/>
        <stp>T&amp;T1</stp>
        <stp>DAT</stp>
        <stp>175</stp>
        <tr r="G183" s="1"/>
      </tp>
      <tp t="s">
        <v>A janela foi fechada</v>
        <stp/>
        <stp>T&amp;T2</stp>
        <stp>AGR</stp>
        <stp>410</stp>
        <tr r="D418" s="1"/>
      </tp>
      <tp t="s">
        <v>A janela foi fechada</v>
        <stp/>
        <stp>T&amp;T2</stp>
        <stp>DAT</stp>
        <stp>176</stp>
        <tr r="A184" s="1"/>
      </tp>
      <tp t="s">
        <v>A janela foi fechada</v>
        <stp/>
        <stp>T&amp;T1</stp>
        <stp>AGR</stp>
        <stp>412</stp>
        <tr r="J420" s="1"/>
      </tp>
      <tp t="s">
        <v>A janela foi fechada</v>
        <stp/>
        <stp>T&amp;T1</stp>
        <stp>DAT</stp>
        <stp>174</stp>
        <tr r="G182" s="1"/>
      </tp>
      <tp t="s">
        <v>A janela foi fechada</v>
        <stp/>
        <stp>T&amp;T2</stp>
        <stp>AGR</stp>
        <stp>411</stp>
        <tr r="D419" s="1"/>
      </tp>
      <tp t="s">
        <v>A janela foi fechada</v>
        <stp/>
        <stp>T&amp;T2</stp>
        <stp>DAT</stp>
        <stp>177</stp>
        <tr r="A185" s="1"/>
      </tp>
      <tp t="s">
        <v>A janela foi fechada</v>
        <stp/>
        <stp>T&amp;T1</stp>
        <stp>AGR</stp>
        <stp>411</stp>
        <tr r="J419" s="1"/>
      </tp>
      <tp t="s">
        <v>A janela foi fechada</v>
        <stp/>
        <stp>T&amp;T1</stp>
        <stp>DAT</stp>
        <stp>177</stp>
        <tr r="G185" s="1"/>
      </tp>
      <tp t="s">
        <v>A janela foi fechada</v>
        <stp/>
        <stp>T&amp;T2</stp>
        <stp>AGR</stp>
        <stp>412</stp>
        <tr r="D420" s="1"/>
      </tp>
      <tp t="s">
        <v>A janela foi fechada</v>
        <stp/>
        <stp>T&amp;T2</stp>
        <stp>DAT</stp>
        <stp>174</stp>
        <tr r="A182" s="1"/>
      </tp>
      <tp t="s">
        <v>A janela foi fechada</v>
        <stp/>
        <stp>T&amp;T1</stp>
        <stp>AGR</stp>
        <stp>410</stp>
        <tr r="J418" s="1"/>
      </tp>
      <tp t="s">
        <v>A janela foi fechada</v>
        <stp/>
        <stp>T&amp;T1</stp>
        <stp>DAT</stp>
        <stp>176</stp>
        <tr r="G184" s="1"/>
      </tp>
      <tp t="s">
        <v>A janela foi fechada</v>
        <stp/>
        <stp>T&amp;T2</stp>
        <stp>AGR</stp>
        <stp>413</stp>
        <tr r="D421" s="1"/>
      </tp>
      <tp t="s">
        <v>A janela foi fechada</v>
        <stp/>
        <stp>T&amp;T2</stp>
        <stp>DAT</stp>
        <stp>175</stp>
        <tr r="A183" s="1"/>
      </tp>
      <tp t="s">
        <v>A janela foi fechada</v>
        <stp/>
        <stp>T&amp;T1</stp>
        <stp>DAT</stp>
        <stp>179</stp>
        <tr r="G187" s="1"/>
      </tp>
      <tp t="s">
        <v>A janela foi fechada</v>
        <stp/>
        <stp>T&amp;T1</stp>
        <stp>DAT</stp>
        <stp>178</stp>
        <tr r="G186" s="1"/>
      </tp>
      <tp t="s">
        <v>A janela foi fechada</v>
        <stp/>
        <stp>T&amp;T2</stp>
        <stp>DAT</stp>
        <stp>178</stp>
        <tr r="A186" s="1"/>
      </tp>
      <tp t="s">
        <v>A janela foi fechada</v>
        <stp/>
        <stp>T&amp;T2</stp>
        <stp>DAT</stp>
        <stp>179</stp>
        <tr r="A187" s="1"/>
      </tp>
      <tp t="s">
        <v>A janela foi fechada</v>
        <stp/>
        <stp>T&amp;T2</stp>
        <stp>AGR</stp>
        <stp>418</stp>
        <tr r="D426" s="1"/>
      </tp>
      <tp t="s">
        <v>A janela foi fechada</v>
        <stp/>
        <stp>T&amp;T2</stp>
        <stp>AGR</stp>
        <stp>419</stp>
        <tr r="D427" s="1"/>
      </tp>
      <tp t="s">
        <v>A janela foi fechada</v>
        <stp/>
        <stp>T&amp;T1</stp>
        <stp>AGR</stp>
        <stp>419</stp>
        <tr r="J427" s="1"/>
      </tp>
      <tp t="s">
        <v>A janela foi fechada</v>
        <stp/>
        <stp>T&amp;T1</stp>
        <stp>AGR</stp>
        <stp>418</stp>
        <tr r="J426" s="1"/>
      </tp>
      <tp t="s">
        <v>A janela foi fechada</v>
        <stp/>
        <stp>T&amp;T1</stp>
        <stp>AGR</stp>
        <stp>407</stp>
        <tr r="J415" s="1"/>
      </tp>
      <tp t="s">
        <v>A janela foi fechada</v>
        <stp/>
        <stp>T&amp;T1</stp>
        <stp>DAT</stp>
        <stp>161</stp>
        <tr r="G169" s="1"/>
      </tp>
      <tp t="s">
        <v>A janela foi fechada</v>
        <stp/>
        <stp>T&amp;T2</stp>
        <stp>AGR</stp>
        <stp>404</stp>
        <tr r="D412" s="1"/>
      </tp>
      <tp t="s">
        <v>A janela foi fechada</v>
        <stp/>
        <stp>T&amp;T2</stp>
        <stp>DAT</stp>
        <stp>162</stp>
        <tr r="A170" s="1"/>
      </tp>
      <tp t="s">
        <v>A janela foi fechada</v>
        <stp/>
        <stp>T&amp;T1</stp>
        <stp>AGR</stp>
        <stp>406</stp>
        <tr r="J414" s="1"/>
      </tp>
      <tp t="s">
        <v>A janela foi fechada</v>
        <stp/>
        <stp>T&amp;T1</stp>
        <stp>DAT</stp>
        <stp>160</stp>
        <tr r="G168" s="1"/>
      </tp>
      <tp t="s">
        <v>A janela foi fechada</v>
        <stp/>
        <stp>T&amp;T2</stp>
        <stp>AGR</stp>
        <stp>405</stp>
        <tr r="D413" s="1"/>
      </tp>
      <tp t="s">
        <v>A janela foi fechada</v>
        <stp/>
        <stp>T&amp;T2</stp>
        <stp>DAT</stp>
        <stp>163</stp>
        <tr r="A171" s="1"/>
      </tp>
      <tp t="s">
        <v>A janela foi fechada</v>
        <stp/>
        <stp>T&amp;T1</stp>
        <stp>AGR</stp>
        <stp>405</stp>
        <tr r="J413" s="1"/>
      </tp>
      <tp t="s">
        <v>A janela foi fechada</v>
        <stp/>
        <stp>T&amp;T1</stp>
        <stp>DAT</stp>
        <stp>163</stp>
        <tr r="G171" s="1"/>
      </tp>
      <tp t="s">
        <v>A janela foi fechada</v>
        <stp/>
        <stp>T&amp;T2</stp>
        <stp>AGR</stp>
        <stp>406</stp>
        <tr r="D414" s="1"/>
      </tp>
      <tp t="s">
        <v>A janela foi fechada</v>
        <stp/>
        <stp>T&amp;T2</stp>
        <stp>DAT</stp>
        <stp>160</stp>
        <tr r="A168" s="1"/>
      </tp>
      <tp t="s">
        <v>A janela foi fechada</v>
        <stp/>
        <stp>T&amp;T1</stp>
        <stp>AGR</stp>
        <stp>404</stp>
        <tr r="J412" s="1"/>
      </tp>
      <tp t="s">
        <v>A janela foi fechada</v>
        <stp/>
        <stp>T&amp;T1</stp>
        <stp>DAT</stp>
        <stp>162</stp>
        <tr r="G170" s="1"/>
      </tp>
      <tp t="s">
        <v>A janela foi fechada</v>
        <stp/>
        <stp>T&amp;T2</stp>
        <stp>AGR</stp>
        <stp>407</stp>
        <tr r="D415" s="1"/>
      </tp>
      <tp t="s">
        <v>A janela foi fechada</v>
        <stp/>
        <stp>T&amp;T2</stp>
        <stp>DAT</stp>
        <stp>161</stp>
        <tr r="A169" s="1"/>
      </tp>
      <tp t="s">
        <v>A janela foi fechada</v>
        <stp/>
        <stp>T&amp;T1</stp>
        <stp>AGR</stp>
        <stp>403</stp>
        <tr r="J411" s="1"/>
      </tp>
      <tp t="s">
        <v>A janela foi fechada</v>
        <stp/>
        <stp>T&amp;T1</stp>
        <stp>DAT</stp>
        <stp>165</stp>
        <tr r="G173" s="1"/>
      </tp>
      <tp t="s">
        <v>A janela foi fechada</v>
        <stp/>
        <stp>T&amp;T2</stp>
        <stp>AGR</stp>
        <stp>400</stp>
        <tr r="D408" s="1"/>
      </tp>
      <tp t="s">
        <v>A janela foi fechada</v>
        <stp/>
        <stp>T&amp;T2</stp>
        <stp>DAT</stp>
        <stp>166</stp>
        <tr r="A174" s="1"/>
      </tp>
      <tp t="s">
        <v>A janela foi fechada</v>
        <stp/>
        <stp>T&amp;T1</stp>
        <stp>AGR</stp>
        <stp>402</stp>
        <tr r="J410" s="1"/>
      </tp>
      <tp t="s">
        <v>A janela foi fechada</v>
        <stp/>
        <stp>T&amp;T1</stp>
        <stp>DAT</stp>
        <stp>164</stp>
        <tr r="G172" s="1"/>
      </tp>
      <tp t="s">
        <v>A janela foi fechada</v>
        <stp/>
        <stp>T&amp;T2</stp>
        <stp>AGR</stp>
        <stp>401</stp>
        <tr r="D409" s="1"/>
      </tp>
      <tp t="s">
        <v>A janela foi fechada</v>
        <stp/>
        <stp>T&amp;T2</stp>
        <stp>DAT</stp>
        <stp>167</stp>
        <tr r="A175" s="1"/>
      </tp>
      <tp t="s">
        <v>A janela foi fechada</v>
        <stp/>
        <stp>T&amp;T1</stp>
        <stp>AGR</stp>
        <stp>401</stp>
        <tr r="J409" s="1"/>
      </tp>
      <tp t="s">
        <v>A janela foi fechada</v>
        <stp/>
        <stp>T&amp;T1</stp>
        <stp>DAT</stp>
        <stp>167</stp>
        <tr r="G175" s="1"/>
      </tp>
      <tp t="s">
        <v>A janela foi fechada</v>
        <stp/>
        <stp>T&amp;T2</stp>
        <stp>AGR</stp>
        <stp>402</stp>
        <tr r="D410" s="1"/>
      </tp>
      <tp t="s">
        <v>A janela foi fechada</v>
        <stp/>
        <stp>T&amp;T2</stp>
        <stp>DAT</stp>
        <stp>164</stp>
        <tr r="A172" s="1"/>
      </tp>
      <tp t="s">
        <v>A janela foi fechada</v>
        <stp/>
        <stp>T&amp;T1</stp>
        <stp>AGR</stp>
        <stp>400</stp>
        <tr r="J408" s="1"/>
      </tp>
      <tp t="s">
        <v>A janela foi fechada</v>
        <stp/>
        <stp>T&amp;T1</stp>
        <stp>DAT</stp>
        <stp>166</stp>
        <tr r="G174" s="1"/>
      </tp>
      <tp t="s">
        <v>A janela foi fechada</v>
        <stp/>
        <stp>T&amp;T2</stp>
        <stp>AGR</stp>
        <stp>403</stp>
        <tr r="D411" s="1"/>
      </tp>
      <tp t="s">
        <v>A janela foi fechada</v>
        <stp/>
        <stp>T&amp;T2</stp>
        <stp>DAT</stp>
        <stp>165</stp>
        <tr r="A173" s="1"/>
      </tp>
      <tp t="s">
        <v>A janela foi fechada</v>
        <stp/>
        <stp>T&amp;T1</stp>
        <stp>DAT</stp>
        <stp>169</stp>
        <tr r="G177" s="1"/>
      </tp>
      <tp t="s">
        <v>A janela foi fechada</v>
        <stp/>
        <stp>T&amp;T1</stp>
        <stp>DAT</stp>
        <stp>168</stp>
        <tr r="G176" s="1"/>
      </tp>
      <tp t="s">
        <v>A janela foi fechada</v>
        <stp/>
        <stp>T&amp;T2</stp>
        <stp>DAT</stp>
        <stp>168</stp>
        <tr r="A176" s="1"/>
      </tp>
      <tp t="s">
        <v>A janela foi fechada</v>
        <stp/>
        <stp>T&amp;T2</stp>
        <stp>DAT</stp>
        <stp>169</stp>
        <tr r="A177" s="1"/>
      </tp>
      <tp t="s">
        <v>A janela foi fechada</v>
        <stp/>
        <stp>T&amp;T2</stp>
        <stp>AGR</stp>
        <stp>408</stp>
        <tr r="D416" s="1"/>
      </tp>
      <tp t="s">
        <v>A janela foi fechada</v>
        <stp/>
        <stp>T&amp;T2</stp>
        <stp>AGR</stp>
        <stp>409</stp>
        <tr r="D417" s="1"/>
      </tp>
      <tp t="s">
        <v>A janela foi fechada</v>
        <stp/>
        <stp>T&amp;T1</stp>
        <stp>AGR</stp>
        <stp>409</stp>
        <tr r="J417" s="1"/>
      </tp>
      <tp t="s">
        <v>A janela foi fechada</v>
        <stp/>
        <stp>T&amp;T1</stp>
        <stp>AGR</stp>
        <stp>408</stp>
        <tr r="J416" s="1"/>
      </tp>
      <tp t="s">
        <v>A janela foi fechada</v>
        <stp/>
        <stp>T&amp;T1</stp>
        <stp>AGR</stp>
        <stp>477</stp>
        <tr r="J485" s="1"/>
      </tp>
      <tp t="s">
        <v>A janela foi fechada</v>
        <stp/>
        <stp>T&amp;T1</stp>
        <stp>DAT</stp>
        <stp>111</stp>
        <tr r="G119" s="1"/>
      </tp>
      <tp t="s">
        <v>A janela foi fechada</v>
        <stp/>
        <stp>T&amp;T2</stp>
        <stp>AGR</stp>
        <stp>474</stp>
        <tr r="D482" s="1"/>
      </tp>
      <tp t="s">
        <v>A janela foi fechada</v>
        <stp/>
        <stp>T&amp;T2</stp>
        <stp>DAT</stp>
        <stp>112</stp>
        <tr r="A120" s="1"/>
      </tp>
      <tp t="s">
        <v>A janela foi fechada</v>
        <stp/>
        <stp>T&amp;T1</stp>
        <stp>AGR</stp>
        <stp>476</stp>
        <tr r="J484" s="1"/>
      </tp>
      <tp t="s">
        <v>A janela foi fechada</v>
        <stp/>
        <stp>T&amp;T1</stp>
        <stp>DAT</stp>
        <stp>110</stp>
        <tr r="G118" s="1"/>
      </tp>
      <tp t="s">
        <v>A janela foi fechada</v>
        <stp/>
        <stp>T&amp;T2</stp>
        <stp>AGR</stp>
        <stp>475</stp>
        <tr r="D483" s="1"/>
      </tp>
      <tp t="s">
        <v>A janela foi fechada</v>
        <stp/>
        <stp>T&amp;T2</stp>
        <stp>DAT</stp>
        <stp>113</stp>
        <tr r="A121" s="1"/>
      </tp>
      <tp t="s">
        <v>A janela foi fechada</v>
        <stp/>
        <stp>T&amp;T1</stp>
        <stp>AGR</stp>
        <stp>475</stp>
        <tr r="J483" s="1"/>
      </tp>
      <tp t="s">
        <v>A janela foi fechada</v>
        <stp/>
        <stp>T&amp;T1</stp>
        <stp>DAT</stp>
        <stp>113</stp>
        <tr r="G121" s="1"/>
      </tp>
      <tp t="s">
        <v>A janela foi fechada</v>
        <stp/>
        <stp>T&amp;T2</stp>
        <stp>AGR</stp>
        <stp>476</stp>
        <tr r="D484" s="1"/>
      </tp>
      <tp t="s">
        <v>A janela foi fechada</v>
        <stp/>
        <stp>T&amp;T2</stp>
        <stp>DAT</stp>
        <stp>110</stp>
        <tr r="A118" s="1"/>
      </tp>
      <tp t="s">
        <v>A janela foi fechada</v>
        <stp/>
        <stp>T&amp;T1</stp>
        <stp>AGR</stp>
        <stp>474</stp>
        <tr r="J482" s="1"/>
      </tp>
      <tp t="s">
        <v>A janela foi fechada</v>
        <stp/>
        <stp>T&amp;T1</stp>
        <stp>DAT</stp>
        <stp>112</stp>
        <tr r="G120" s="1"/>
      </tp>
      <tp t="s">
        <v>A janela foi fechada</v>
        <stp/>
        <stp>T&amp;T2</stp>
        <stp>AGR</stp>
        <stp>477</stp>
        <tr r="D485" s="1"/>
      </tp>
      <tp t="s">
        <v>A janela foi fechada</v>
        <stp/>
        <stp>T&amp;T2</stp>
        <stp>DAT</stp>
        <stp>111</stp>
        <tr r="A119" s="1"/>
      </tp>
      <tp t="s">
        <v>A janela foi fechada</v>
        <stp/>
        <stp>T&amp;T1</stp>
        <stp>AGR</stp>
        <stp>473</stp>
        <tr r="J481" s="1"/>
      </tp>
      <tp t="s">
        <v>A janela foi fechada</v>
        <stp/>
        <stp>T&amp;T1</stp>
        <stp>DAT</stp>
        <stp>115</stp>
        <tr r="G123" s="1"/>
      </tp>
      <tp t="s">
        <v>A janela foi fechada</v>
        <stp/>
        <stp>T&amp;T2</stp>
        <stp>AGR</stp>
        <stp>470</stp>
        <tr r="D478" s="1"/>
      </tp>
      <tp t="s">
        <v>A janela foi fechada</v>
        <stp/>
        <stp>T&amp;T2</stp>
        <stp>DAT</stp>
        <stp>116</stp>
        <tr r="A124" s="1"/>
      </tp>
      <tp t="s">
        <v>A janela foi fechada</v>
        <stp/>
        <stp>T&amp;T1</stp>
        <stp>AGR</stp>
        <stp>472</stp>
        <tr r="J480" s="1"/>
      </tp>
      <tp t="s">
        <v>A janela foi fechada</v>
        <stp/>
        <stp>T&amp;T1</stp>
        <stp>DAT</stp>
        <stp>114</stp>
        <tr r="G122" s="1"/>
      </tp>
      <tp t="s">
        <v>A janela foi fechada</v>
        <stp/>
        <stp>T&amp;T2</stp>
        <stp>AGR</stp>
        <stp>471</stp>
        <tr r="D479" s="1"/>
      </tp>
      <tp t="s">
        <v>A janela foi fechada</v>
        <stp/>
        <stp>T&amp;T2</stp>
        <stp>DAT</stp>
        <stp>117</stp>
        <tr r="A125" s="1"/>
      </tp>
      <tp t="s">
        <v>A janela foi fechada</v>
        <stp/>
        <stp>T&amp;T1</stp>
        <stp>AGR</stp>
        <stp>471</stp>
        <tr r="J479" s="1"/>
      </tp>
      <tp t="s">
        <v>A janela foi fechada</v>
        <stp/>
        <stp>T&amp;T1</stp>
        <stp>DAT</stp>
        <stp>117</stp>
        <tr r="G125" s="1"/>
      </tp>
      <tp t="s">
        <v>A janela foi fechada</v>
        <stp/>
        <stp>T&amp;T2</stp>
        <stp>AGR</stp>
        <stp>472</stp>
        <tr r="D480" s="1"/>
      </tp>
      <tp t="s">
        <v>A janela foi fechada</v>
        <stp/>
        <stp>T&amp;T2</stp>
        <stp>DAT</stp>
        <stp>114</stp>
        <tr r="A122" s="1"/>
      </tp>
      <tp t="s">
        <v>A janela foi fechada</v>
        <stp/>
        <stp>T&amp;T1</stp>
        <stp>AGR</stp>
        <stp>470</stp>
        <tr r="J478" s="1"/>
      </tp>
      <tp t="s">
        <v>A janela foi fechada</v>
        <stp/>
        <stp>T&amp;T1</stp>
        <stp>DAT</stp>
        <stp>116</stp>
        <tr r="G124" s="1"/>
      </tp>
      <tp t="s">
        <v>A janela foi fechada</v>
        <stp/>
        <stp>T&amp;T2</stp>
        <stp>AGR</stp>
        <stp>473</stp>
        <tr r="D481" s="1"/>
      </tp>
      <tp t="s">
        <v>A janela foi fechada</v>
        <stp/>
        <stp>T&amp;T2</stp>
        <stp>DAT</stp>
        <stp>115</stp>
        <tr r="A123" s="1"/>
      </tp>
      <tp t="s">
        <v>A janela foi fechada</v>
        <stp/>
        <stp>T&amp;T1</stp>
        <stp>DAT</stp>
        <stp>119</stp>
        <tr r="G127" s="1"/>
      </tp>
      <tp t="s">
        <v>A janela foi fechada</v>
        <stp/>
        <stp>T&amp;T1</stp>
        <stp>DAT</stp>
        <stp>118</stp>
        <tr r="G126" s="1"/>
      </tp>
      <tp t="s">
        <v>A janela foi fechada</v>
        <stp/>
        <stp>T&amp;T2</stp>
        <stp>DAT</stp>
        <stp>118</stp>
        <tr r="A126" s="1"/>
      </tp>
      <tp t="s">
        <v>A janela foi fechada</v>
        <stp/>
        <stp>T&amp;T2</stp>
        <stp>DAT</stp>
        <stp>119</stp>
        <tr r="A127" s="1"/>
      </tp>
      <tp t="s">
        <v>A janela foi fechada</v>
        <stp/>
        <stp>T&amp;T2</stp>
        <stp>AGR</stp>
        <stp>478</stp>
        <tr r="D486" s="1"/>
      </tp>
      <tp t="s">
        <v>A janela foi fechada</v>
        <stp/>
        <stp>T&amp;T2</stp>
        <stp>AGR</stp>
        <stp>479</stp>
        <tr r="D487" s="1"/>
      </tp>
      <tp t="s">
        <v>A janela foi fechada</v>
        <stp/>
        <stp>T&amp;T1</stp>
        <stp>AGR</stp>
        <stp>479</stp>
        <tr r="J487" s="1"/>
      </tp>
      <tp t="s">
        <v>A janela foi fechada</v>
        <stp/>
        <stp>T&amp;T1</stp>
        <stp>AGR</stp>
        <stp>478</stp>
        <tr r="J486" s="1"/>
      </tp>
      <tp t="s">
        <v>A janela foi fechada</v>
        <stp/>
        <stp>T&amp;T1</stp>
        <stp>AGR</stp>
        <stp>467</stp>
        <tr r="J475" s="1"/>
      </tp>
      <tp t="s">
        <v>A janela foi fechada</v>
        <stp/>
        <stp>T&amp;T1</stp>
        <stp>DAT</stp>
        <stp>101</stp>
        <tr r="G109" s="1"/>
      </tp>
      <tp t="s">
        <v>A janela foi fechada</v>
        <stp/>
        <stp>T&amp;T2</stp>
        <stp>AGR</stp>
        <stp>464</stp>
        <tr r="D472" s="1"/>
      </tp>
      <tp t="s">
        <v>A janela foi fechada</v>
        <stp/>
        <stp>T&amp;T2</stp>
        <stp>DAT</stp>
        <stp>102</stp>
        <tr r="A110" s="1"/>
      </tp>
      <tp t="s">
        <v>A janela foi fechada</v>
        <stp/>
        <stp>T&amp;T1</stp>
        <stp>AGR</stp>
        <stp>466</stp>
        <tr r="J474" s="1"/>
      </tp>
      <tp t="s">
        <v>A janela foi fechada</v>
        <stp/>
        <stp>T&amp;T1</stp>
        <stp>DAT</stp>
        <stp>100</stp>
        <tr r="G108" s="1"/>
      </tp>
      <tp t="s">
        <v>A janela foi fechada</v>
        <stp/>
        <stp>T&amp;T2</stp>
        <stp>AGR</stp>
        <stp>465</stp>
        <tr r="D473" s="1"/>
      </tp>
      <tp t="s">
        <v>A janela foi fechada</v>
        <stp/>
        <stp>T&amp;T2</stp>
        <stp>DAT</stp>
        <stp>103</stp>
        <tr r="A111" s="1"/>
      </tp>
      <tp t="s">
        <v>A janela foi fechada</v>
        <stp/>
        <stp>T&amp;T1</stp>
        <stp>AGR</stp>
        <stp>465</stp>
        <tr r="J473" s="1"/>
      </tp>
      <tp t="s">
        <v>A janela foi fechada</v>
        <stp/>
        <stp>T&amp;T1</stp>
        <stp>DAT</stp>
        <stp>103</stp>
        <tr r="G111" s="1"/>
      </tp>
      <tp t="s">
        <v>A janela foi fechada</v>
        <stp/>
        <stp>T&amp;T2</stp>
        <stp>AGR</stp>
        <stp>466</stp>
        <tr r="D474" s="1"/>
      </tp>
      <tp t="s">
        <v>A janela foi fechada</v>
        <stp/>
        <stp>T&amp;T2</stp>
        <stp>DAT</stp>
        <stp>100</stp>
        <tr r="A108" s="1"/>
      </tp>
      <tp t="s">
        <v>A janela foi fechada</v>
        <stp/>
        <stp>T&amp;T1</stp>
        <stp>AGR</stp>
        <stp>464</stp>
        <tr r="J472" s="1"/>
      </tp>
      <tp t="s">
        <v>A janela foi fechada</v>
        <stp/>
        <stp>T&amp;T1</stp>
        <stp>DAT</stp>
        <stp>102</stp>
        <tr r="G110" s="1"/>
      </tp>
      <tp t="s">
        <v>A janela foi fechada</v>
        <stp/>
        <stp>T&amp;T2</stp>
        <stp>AGR</stp>
        <stp>467</stp>
        <tr r="D475" s="1"/>
      </tp>
      <tp t="s">
        <v>A janela foi fechada</v>
        <stp/>
        <stp>T&amp;T2</stp>
        <stp>DAT</stp>
        <stp>101</stp>
        <tr r="A109" s="1"/>
      </tp>
      <tp t="s">
        <v>A janela foi fechada</v>
        <stp/>
        <stp>T&amp;T1</stp>
        <stp>AGR</stp>
        <stp>463</stp>
        <tr r="J471" s="1"/>
      </tp>
      <tp t="s">
        <v>A janela foi fechada</v>
        <stp/>
        <stp>T&amp;T1</stp>
        <stp>DAT</stp>
        <stp>105</stp>
        <tr r="G113" s="1"/>
      </tp>
      <tp t="s">
        <v>A janela foi fechada</v>
        <stp/>
        <stp>T&amp;T2</stp>
        <stp>AGR</stp>
        <stp>460</stp>
        <tr r="D468" s="1"/>
      </tp>
      <tp t="s">
        <v>A janela foi fechada</v>
        <stp/>
        <stp>T&amp;T2</stp>
        <stp>DAT</stp>
        <stp>106</stp>
        <tr r="A114" s="1"/>
      </tp>
      <tp t="s">
        <v>A janela foi fechada</v>
        <stp/>
        <stp>T&amp;T1</stp>
        <stp>AGR</stp>
        <stp>462</stp>
        <tr r="J470" s="1"/>
      </tp>
      <tp t="s">
        <v>A janela foi fechada</v>
        <stp/>
        <stp>T&amp;T1</stp>
        <stp>DAT</stp>
        <stp>104</stp>
        <tr r="G112" s="1"/>
      </tp>
      <tp t="s">
        <v>A janela foi fechada</v>
        <stp/>
        <stp>T&amp;T2</stp>
        <stp>AGR</stp>
        <stp>461</stp>
        <tr r="D469" s="1"/>
      </tp>
      <tp t="s">
        <v>A janela foi fechada</v>
        <stp/>
        <stp>T&amp;T2</stp>
        <stp>DAT</stp>
        <stp>107</stp>
        <tr r="A115" s="1"/>
      </tp>
      <tp t="s">
        <v>A janela foi fechada</v>
        <stp/>
        <stp>T&amp;T1</stp>
        <stp>AGR</stp>
        <stp>461</stp>
        <tr r="J469" s="1"/>
      </tp>
      <tp t="s">
        <v>A janela foi fechada</v>
        <stp/>
        <stp>T&amp;T1</stp>
        <stp>DAT</stp>
        <stp>107</stp>
        <tr r="G115" s="1"/>
      </tp>
      <tp t="s">
        <v>A janela foi fechada</v>
        <stp/>
        <stp>T&amp;T2</stp>
        <stp>AGR</stp>
        <stp>462</stp>
        <tr r="D470" s="1"/>
      </tp>
      <tp t="s">
        <v>A janela foi fechada</v>
        <stp/>
        <stp>T&amp;T2</stp>
        <stp>DAT</stp>
        <stp>104</stp>
        <tr r="A112" s="1"/>
      </tp>
      <tp t="s">
        <v>A janela foi fechada</v>
        <stp/>
        <stp>T&amp;T1</stp>
        <stp>AGR</stp>
        <stp>460</stp>
        <tr r="J468" s="1"/>
      </tp>
      <tp t="s">
        <v>A janela foi fechada</v>
        <stp/>
        <stp>T&amp;T1</stp>
        <stp>DAT</stp>
        <stp>106</stp>
        <tr r="G114" s="1"/>
      </tp>
      <tp t="s">
        <v>A janela foi fechada</v>
        <stp/>
        <stp>T&amp;T2</stp>
        <stp>AGR</stp>
        <stp>463</stp>
        <tr r="D471" s="1"/>
      </tp>
      <tp t="s">
        <v>A janela foi fechada</v>
        <stp/>
        <stp>T&amp;T2</stp>
        <stp>DAT</stp>
        <stp>105</stp>
        <tr r="A113" s="1"/>
      </tp>
      <tp t="s">
        <v>A janela foi fechada</v>
        <stp/>
        <stp>T&amp;T1</stp>
        <stp>DAT</stp>
        <stp>109</stp>
        <tr r="G117" s="1"/>
      </tp>
      <tp t="s">
        <v>A janela foi fechada</v>
        <stp/>
        <stp>T&amp;T1</stp>
        <stp>DAT</stp>
        <stp>108</stp>
        <tr r="G116" s="1"/>
      </tp>
      <tp t="s">
        <v>A janela foi fechada</v>
        <stp/>
        <stp>T&amp;T2</stp>
        <stp>DAT</stp>
        <stp>108</stp>
        <tr r="A116" s="1"/>
      </tp>
      <tp t="s">
        <v>A janela foi fechada</v>
        <stp/>
        <stp>T&amp;T2</stp>
        <stp>DAT</stp>
        <stp>109</stp>
        <tr r="A117" s="1"/>
      </tp>
      <tp t="s">
        <v>A janela foi fechada</v>
        <stp/>
        <stp>T&amp;T2</stp>
        <stp>AGR</stp>
        <stp>468</stp>
        <tr r="D476" s="1"/>
      </tp>
      <tp t="s">
        <v>A janela foi fechada</v>
        <stp/>
        <stp>T&amp;T2</stp>
        <stp>AGR</stp>
        <stp>469</stp>
        <tr r="D477" s="1"/>
      </tp>
      <tp t="s">
        <v>A janela foi fechada</v>
        <stp/>
        <stp>T&amp;T1</stp>
        <stp>AGR</stp>
        <stp>469</stp>
        <tr r="J477" s="1"/>
      </tp>
      <tp t="s">
        <v>A janela foi fechada</v>
        <stp/>
        <stp>T&amp;T1</stp>
        <stp>AGR</stp>
        <stp>468</stp>
        <tr r="J476" s="1"/>
      </tp>
      <tp t="s">
        <v>A janela foi fechada</v>
        <stp/>
        <stp>T&amp;T1</stp>
        <stp>AGR</stp>
        <stp>457</stp>
        <tr r="J465" s="1"/>
      </tp>
      <tp t="s">
        <v>A janela foi fechada</v>
        <stp/>
        <stp>T&amp;T1</stp>
        <stp>DAT</stp>
        <stp>131</stp>
        <tr r="G139" s="1"/>
      </tp>
      <tp t="s">
        <v>A janela foi fechada</v>
        <stp/>
        <stp>T&amp;T2</stp>
        <stp>AGR</stp>
        <stp>454</stp>
        <tr r="D462" s="1"/>
      </tp>
      <tp t="s">
        <v>A janela foi fechada</v>
        <stp/>
        <stp>T&amp;T2</stp>
        <stp>DAT</stp>
        <stp>132</stp>
        <tr r="A140" s="1"/>
      </tp>
      <tp t="s">
        <v>A janela foi fechada</v>
        <stp/>
        <stp>T&amp;T1</stp>
        <stp>AGR</stp>
        <stp>456</stp>
        <tr r="J464" s="1"/>
      </tp>
      <tp t="s">
        <v>A janela foi fechada</v>
        <stp/>
        <stp>T&amp;T1</stp>
        <stp>DAT</stp>
        <stp>130</stp>
        <tr r="G138" s="1"/>
      </tp>
      <tp t="s">
        <v>A janela foi fechada</v>
        <stp/>
        <stp>T&amp;T2</stp>
        <stp>AGR</stp>
        <stp>455</stp>
        <tr r="D463" s="1"/>
      </tp>
      <tp t="s">
        <v>A janela foi fechada</v>
        <stp/>
        <stp>T&amp;T2</stp>
        <stp>DAT</stp>
        <stp>133</stp>
        <tr r="A141" s="1"/>
      </tp>
      <tp t="s">
        <v>A janela foi fechada</v>
        <stp/>
        <stp>T&amp;T1</stp>
        <stp>AGR</stp>
        <stp>455</stp>
        <tr r="J463" s="1"/>
      </tp>
      <tp t="s">
        <v>A janela foi fechada</v>
        <stp/>
        <stp>T&amp;T1</stp>
        <stp>DAT</stp>
        <stp>133</stp>
        <tr r="G141" s="1"/>
      </tp>
      <tp t="s">
        <v>A janela foi fechada</v>
        <stp/>
        <stp>T&amp;T2</stp>
        <stp>AGR</stp>
        <stp>456</stp>
        <tr r="D464" s="1"/>
      </tp>
      <tp t="s">
        <v>A janela foi fechada</v>
        <stp/>
        <stp>T&amp;T2</stp>
        <stp>DAT</stp>
        <stp>130</stp>
        <tr r="A138" s="1"/>
      </tp>
      <tp t="s">
        <v>A janela foi fechada</v>
        <stp/>
        <stp>T&amp;T1</stp>
        <stp>AGR</stp>
        <stp>454</stp>
        <tr r="J462" s="1"/>
      </tp>
      <tp t="s">
        <v>A janela foi fechada</v>
        <stp/>
        <stp>T&amp;T1</stp>
        <stp>DAT</stp>
        <stp>132</stp>
        <tr r="G140" s="1"/>
      </tp>
      <tp t="s">
        <v>A janela foi fechada</v>
        <stp/>
        <stp>T&amp;T2</stp>
        <stp>AGR</stp>
        <stp>457</stp>
        <tr r="D465" s="1"/>
      </tp>
      <tp t="s">
        <v>A janela foi fechada</v>
        <stp/>
        <stp>T&amp;T2</stp>
        <stp>DAT</stp>
        <stp>131</stp>
        <tr r="A139" s="1"/>
      </tp>
      <tp t="s">
        <v>A janela foi fechada</v>
        <stp/>
        <stp>T&amp;T1</stp>
        <stp>AGR</stp>
        <stp>453</stp>
        <tr r="J461" s="1"/>
      </tp>
      <tp t="s">
        <v>A janela foi fechada</v>
        <stp/>
        <stp>T&amp;T1</stp>
        <stp>DAT</stp>
        <stp>135</stp>
        <tr r="G143" s="1"/>
      </tp>
      <tp t="s">
        <v>A janela foi fechada</v>
        <stp/>
        <stp>T&amp;T2</stp>
        <stp>AGR</stp>
        <stp>450</stp>
        <tr r="D458" s="1"/>
      </tp>
      <tp t="s">
        <v>A janela foi fechada</v>
        <stp/>
        <stp>T&amp;T2</stp>
        <stp>DAT</stp>
        <stp>136</stp>
        <tr r="A144" s="1"/>
      </tp>
      <tp t="s">
        <v>A janela foi fechada</v>
        <stp/>
        <stp>T&amp;T1</stp>
        <stp>AGR</stp>
        <stp>452</stp>
        <tr r="J460" s="1"/>
      </tp>
      <tp t="s">
        <v>A janela foi fechada</v>
        <stp/>
        <stp>T&amp;T1</stp>
        <stp>DAT</stp>
        <stp>134</stp>
        <tr r="G142" s="1"/>
      </tp>
      <tp t="s">
        <v>A janela foi fechada</v>
        <stp/>
        <stp>T&amp;T2</stp>
        <stp>AGR</stp>
        <stp>451</stp>
        <tr r="D459" s="1"/>
      </tp>
      <tp t="s">
        <v>A janela foi fechada</v>
        <stp/>
        <stp>T&amp;T2</stp>
        <stp>DAT</stp>
        <stp>137</stp>
        <tr r="A145" s="1"/>
      </tp>
      <tp t="s">
        <v>A janela foi fechada</v>
        <stp/>
        <stp>T&amp;T1</stp>
        <stp>AGR</stp>
        <stp>451</stp>
        <tr r="J459" s="1"/>
      </tp>
      <tp t="s">
        <v>A janela foi fechada</v>
        <stp/>
        <stp>T&amp;T1</stp>
        <stp>DAT</stp>
        <stp>137</stp>
        <tr r="G145" s="1"/>
      </tp>
      <tp t="s">
        <v>A janela foi fechada</v>
        <stp/>
        <stp>T&amp;T2</stp>
        <stp>AGR</stp>
        <stp>452</stp>
        <tr r="D460" s="1"/>
      </tp>
      <tp t="s">
        <v>A janela foi fechada</v>
        <stp/>
        <stp>T&amp;T2</stp>
        <stp>DAT</stp>
        <stp>134</stp>
        <tr r="A142" s="1"/>
      </tp>
      <tp t="s">
        <v>A janela foi fechada</v>
        <stp/>
        <stp>T&amp;T1</stp>
        <stp>AGR</stp>
        <stp>450</stp>
        <tr r="J458" s="1"/>
      </tp>
      <tp t="s">
        <v>A janela foi fechada</v>
        <stp/>
        <stp>T&amp;T1</stp>
        <stp>DAT</stp>
        <stp>136</stp>
        <tr r="G144" s="1"/>
      </tp>
      <tp t="s">
        <v>A janela foi fechada</v>
        <stp/>
        <stp>T&amp;T2</stp>
        <stp>AGR</stp>
        <stp>453</stp>
        <tr r="D461" s="1"/>
      </tp>
      <tp t="s">
        <v>A janela foi fechada</v>
        <stp/>
        <stp>T&amp;T2</stp>
        <stp>DAT</stp>
        <stp>135</stp>
        <tr r="A143" s="1"/>
      </tp>
      <tp t="s">
        <v>A janela foi fechada</v>
        <stp/>
        <stp>T&amp;T1</stp>
        <stp>DAT</stp>
        <stp>139</stp>
        <tr r="G147" s="1"/>
      </tp>
      <tp t="s">
        <v>A janela foi fechada</v>
        <stp/>
        <stp>T&amp;T1</stp>
        <stp>DAT</stp>
        <stp>138</stp>
        <tr r="G146" s="1"/>
      </tp>
      <tp t="s">
        <v>A janela foi fechada</v>
        <stp/>
        <stp>T&amp;T2</stp>
        <stp>DAT</stp>
        <stp>138</stp>
        <tr r="A146" s="1"/>
      </tp>
      <tp t="s">
        <v>A janela foi fechada</v>
        <stp/>
        <stp>T&amp;T2</stp>
        <stp>DAT</stp>
        <stp>139</stp>
        <tr r="A147" s="1"/>
      </tp>
      <tp t="s">
        <v>A janela foi fechada</v>
        <stp/>
        <stp>T&amp;T2</stp>
        <stp>AGR</stp>
        <stp>458</stp>
        <tr r="D466" s="1"/>
      </tp>
      <tp t="s">
        <v>A janela foi fechada</v>
        <stp/>
        <stp>T&amp;T2</stp>
        <stp>AGR</stp>
        <stp>459</stp>
        <tr r="D467" s="1"/>
      </tp>
      <tp t="s">
        <v>A janela foi fechada</v>
        <stp/>
        <stp>T&amp;T1</stp>
        <stp>AGR</stp>
        <stp>459</stp>
        <tr r="J467" s="1"/>
      </tp>
      <tp t="s">
        <v>A janela foi fechada</v>
        <stp/>
        <stp>T&amp;T1</stp>
        <stp>AGR</stp>
        <stp>458</stp>
        <tr r="J466" s="1"/>
      </tp>
      <tp t="s">
        <v>A janela foi fechada</v>
        <stp/>
        <stp>T&amp;T1</stp>
        <stp>AGR</stp>
        <stp>447</stp>
        <tr r="J455" s="1"/>
      </tp>
      <tp t="s">
        <v>A janela foi fechada</v>
        <stp/>
        <stp>T&amp;T1</stp>
        <stp>DAT</stp>
        <stp>121</stp>
        <tr r="G129" s="1"/>
      </tp>
      <tp t="s">
        <v>A janela foi fechada</v>
        <stp/>
        <stp>T&amp;T2</stp>
        <stp>AGR</stp>
        <stp>444</stp>
        <tr r="D452" s="1"/>
      </tp>
      <tp t="s">
        <v>A janela foi fechada</v>
        <stp/>
        <stp>T&amp;T2</stp>
        <stp>DAT</stp>
        <stp>122</stp>
        <tr r="A130" s="1"/>
      </tp>
      <tp t="s">
        <v>A janela foi fechada</v>
        <stp/>
        <stp>T&amp;T1</stp>
        <stp>AGR</stp>
        <stp>446</stp>
        <tr r="J454" s="1"/>
      </tp>
      <tp t="s">
        <v>A janela foi fechada</v>
        <stp/>
        <stp>T&amp;T1</stp>
        <stp>DAT</stp>
        <stp>120</stp>
        <tr r="G128" s="1"/>
      </tp>
      <tp t="s">
        <v>A janela foi fechada</v>
        <stp/>
        <stp>T&amp;T2</stp>
        <stp>AGR</stp>
        <stp>445</stp>
        <tr r="D453" s="1"/>
      </tp>
      <tp t="s">
        <v>A janela foi fechada</v>
        <stp/>
        <stp>T&amp;T2</stp>
        <stp>DAT</stp>
        <stp>123</stp>
        <tr r="A131" s="1"/>
      </tp>
      <tp t="s">
        <v>A janela foi fechada</v>
        <stp/>
        <stp>T&amp;T1</stp>
        <stp>AGR</stp>
        <stp>445</stp>
        <tr r="J453" s="1"/>
      </tp>
      <tp t="s">
        <v>A janela foi fechada</v>
        <stp/>
        <stp>T&amp;T1</stp>
        <stp>DAT</stp>
        <stp>123</stp>
        <tr r="G131" s="1"/>
      </tp>
      <tp t="s">
        <v>A janela foi fechada</v>
        <stp/>
        <stp>T&amp;T2</stp>
        <stp>AGR</stp>
        <stp>446</stp>
        <tr r="D454" s="1"/>
      </tp>
      <tp t="s">
        <v>A janela foi fechada</v>
        <stp/>
        <stp>T&amp;T2</stp>
        <stp>DAT</stp>
        <stp>120</stp>
        <tr r="A128" s="1"/>
      </tp>
      <tp t="s">
        <v>A janela foi fechada</v>
        <stp/>
        <stp>T&amp;T1</stp>
        <stp>AGR</stp>
        <stp>444</stp>
        <tr r="J452" s="1"/>
      </tp>
      <tp t="s">
        <v>A janela foi fechada</v>
        <stp/>
        <stp>T&amp;T1</stp>
        <stp>DAT</stp>
        <stp>122</stp>
        <tr r="G130" s="1"/>
      </tp>
      <tp t="s">
        <v>A janela foi fechada</v>
        <stp/>
        <stp>T&amp;T2</stp>
        <stp>AGR</stp>
        <stp>447</stp>
        <tr r="D455" s="1"/>
      </tp>
      <tp t="s">
        <v>A janela foi fechada</v>
        <stp/>
        <stp>T&amp;T2</stp>
        <stp>DAT</stp>
        <stp>121</stp>
        <tr r="A129" s="1"/>
      </tp>
      <tp t="s">
        <v>A janela foi fechada</v>
        <stp/>
        <stp>T&amp;T1</stp>
        <stp>AGR</stp>
        <stp>443</stp>
        <tr r="J451" s="1"/>
      </tp>
      <tp t="s">
        <v>A janela foi fechada</v>
        <stp/>
        <stp>T&amp;T1</stp>
        <stp>DAT</stp>
        <stp>125</stp>
        <tr r="G133" s="1"/>
      </tp>
      <tp t="s">
        <v>A janela foi fechada</v>
        <stp/>
        <stp>T&amp;T2</stp>
        <stp>AGR</stp>
        <stp>440</stp>
        <tr r="D448" s="1"/>
      </tp>
      <tp t="s">
        <v>A janela foi fechada</v>
        <stp/>
        <stp>T&amp;T2</stp>
        <stp>DAT</stp>
        <stp>126</stp>
        <tr r="A134" s="1"/>
      </tp>
      <tp t="s">
        <v>A janela foi fechada</v>
        <stp/>
        <stp>T&amp;T1</stp>
        <stp>AGR</stp>
        <stp>442</stp>
        <tr r="J450" s="1"/>
      </tp>
      <tp t="s">
        <v>A janela foi fechada</v>
        <stp/>
        <stp>T&amp;T1</stp>
        <stp>DAT</stp>
        <stp>124</stp>
        <tr r="G132" s="1"/>
      </tp>
      <tp t="s">
        <v>A janela foi fechada</v>
        <stp/>
        <stp>T&amp;T2</stp>
        <stp>AGR</stp>
        <stp>441</stp>
        <tr r="D449" s="1"/>
      </tp>
      <tp t="s">
        <v>A janela foi fechada</v>
        <stp/>
        <stp>T&amp;T2</stp>
        <stp>DAT</stp>
        <stp>127</stp>
        <tr r="A135" s="1"/>
      </tp>
      <tp t="s">
        <v>A janela foi fechada</v>
        <stp/>
        <stp>T&amp;T1</stp>
        <stp>AGR</stp>
        <stp>441</stp>
        <tr r="J449" s="1"/>
      </tp>
      <tp t="s">
        <v>A janela foi fechada</v>
        <stp/>
        <stp>T&amp;T1</stp>
        <stp>DAT</stp>
        <stp>127</stp>
        <tr r="G135" s="1"/>
      </tp>
      <tp t="s">
        <v>A janela foi fechada</v>
        <stp/>
        <stp>T&amp;T2</stp>
        <stp>AGR</stp>
        <stp>442</stp>
        <tr r="D450" s="1"/>
      </tp>
      <tp t="s">
        <v>A janela foi fechada</v>
        <stp/>
        <stp>T&amp;T2</stp>
        <stp>DAT</stp>
        <stp>124</stp>
        <tr r="A132" s="1"/>
      </tp>
      <tp t="s">
        <v>A janela foi fechada</v>
        <stp/>
        <stp>T&amp;T1</stp>
        <stp>AGR</stp>
        <stp>440</stp>
        <tr r="J448" s="1"/>
      </tp>
      <tp t="s">
        <v>A janela foi fechada</v>
        <stp/>
        <stp>T&amp;T1</stp>
        <stp>DAT</stp>
        <stp>126</stp>
        <tr r="G134" s="1"/>
      </tp>
      <tp t="s">
        <v>A janela foi fechada</v>
        <stp/>
        <stp>T&amp;T2</stp>
        <stp>AGR</stp>
        <stp>443</stp>
        <tr r="D451" s="1"/>
      </tp>
      <tp t="s">
        <v>A janela foi fechada</v>
        <stp/>
        <stp>T&amp;T2</stp>
        <stp>DAT</stp>
        <stp>125</stp>
        <tr r="A133" s="1"/>
      </tp>
      <tp t="s">
        <v>A janela foi fechada</v>
        <stp/>
        <stp>T&amp;T1</stp>
        <stp>DAT</stp>
        <stp>129</stp>
        <tr r="G137" s="1"/>
      </tp>
      <tp t="s">
        <v>A janela foi fechada</v>
        <stp/>
        <stp>T&amp;T1</stp>
        <stp>DAT</stp>
        <stp>128</stp>
        <tr r="G136" s="1"/>
      </tp>
      <tp t="s">
        <v>A janela foi fechada</v>
        <stp/>
        <stp>T&amp;T2</stp>
        <stp>DAT</stp>
        <stp>128</stp>
        <tr r="A136" s="1"/>
      </tp>
      <tp t="s">
        <v>A janela foi fechada</v>
        <stp/>
        <stp>T&amp;T2</stp>
        <stp>DAT</stp>
        <stp>129</stp>
        <tr r="A137" s="1"/>
      </tp>
      <tp t="s">
        <v>A janela foi fechada</v>
        <stp/>
        <stp>T&amp;T2</stp>
        <stp>AGR</stp>
        <stp>448</stp>
        <tr r="D456" s="1"/>
      </tp>
      <tp t="s">
        <v>A janela foi fechada</v>
        <stp/>
        <stp>T&amp;T2</stp>
        <stp>AGR</stp>
        <stp>449</stp>
        <tr r="D457" s="1"/>
      </tp>
      <tp t="s">
        <v>A janela foi fechada</v>
        <stp/>
        <stp>T&amp;T1</stp>
        <stp>AGR</stp>
        <stp>449</stp>
        <tr r="J457" s="1"/>
      </tp>
      <tp t="s">
        <v>A janela foi fechada</v>
        <stp/>
        <stp>T&amp;T1</stp>
        <stp>AGR</stp>
        <stp>448</stp>
        <tr r="J456" s="1"/>
      </tp>
      <tp t="s">
        <v>658</v>
        <stp/>
        <stp>NQM6_M_0</stp>
        <stp>100</stp>
        <tr r="J2" s="1"/>
      </tp>
      <tp t="s">
        <v>A janela foi fechada</v>
        <stp/>
        <stp>T&amp;T1</stp>
        <stp>QUL</stp>
        <stp>99</stp>
        <tr r="I107" s="1"/>
      </tp>
      <tp t="s">
        <v>A janela foi fechada</v>
        <stp/>
        <stp>T&amp;T2</stp>
        <stp>QUL</stp>
        <stp>99</stp>
        <tr r="C107" s="1"/>
      </tp>
      <tp t="s">
        <v>A janela foi fechada</v>
        <stp/>
        <stp>T&amp;T1</stp>
        <stp>QUL</stp>
        <stp>98</stp>
        <tr r="I106" s="1"/>
      </tp>
      <tp t="s">
        <v>A janela foi fechada</v>
        <stp/>
        <stp>T&amp;T2</stp>
        <stp>QUL</stp>
        <stp>98</stp>
        <tr r="C106" s="1"/>
      </tp>
      <tp t="s">
        <v>A janela foi fechada</v>
        <stp/>
        <stp>T&amp;T1</stp>
        <stp>PRE</stp>
        <stp>88</stp>
        <tr r="H96" s="1"/>
      </tp>
      <tp t="s">
        <v>A janela foi fechada</v>
        <stp/>
        <stp>T&amp;T2</stp>
        <stp>PRE</stp>
        <stp>88</stp>
        <tr r="B96" s="1"/>
      </tp>
      <tp t="s">
        <v>A janela foi fechada</v>
        <stp/>
        <stp>T&amp;T1</stp>
        <stp>PRE</stp>
        <stp>89</stp>
        <tr r="H97" s="1"/>
      </tp>
      <tp t="s">
        <v>A janela foi fechada</v>
        <stp/>
        <stp>T&amp;T2</stp>
        <stp>PRE</stp>
        <stp>89</stp>
        <tr r="B97" s="1"/>
      </tp>
      <tp t="s">
        <v>A janela foi fechada</v>
        <stp/>
        <stp>T&amp;T1</stp>
        <stp>PRE</stp>
        <stp>86</stp>
        <tr r="H94" s="1"/>
      </tp>
      <tp t="s">
        <v>A janela foi fechada</v>
        <stp/>
        <stp>T&amp;T2</stp>
        <stp>PRE</stp>
        <stp>86</stp>
        <tr r="B94" s="1"/>
      </tp>
      <tp t="s">
        <v>A janela foi fechada</v>
        <stp/>
        <stp>T&amp;T1</stp>
        <stp>QUL</stp>
        <stp>91</stp>
        <tr r="I99" s="1"/>
      </tp>
      <tp t="s">
        <v>A janela foi fechada</v>
        <stp/>
        <stp>T&amp;T2</stp>
        <stp>QUL</stp>
        <stp>91</stp>
        <tr r="C99" s="1"/>
      </tp>
      <tp t="s">
        <v>A janela foi fechada</v>
        <stp/>
        <stp>T&amp;T1</stp>
        <stp>PRE</stp>
        <stp>87</stp>
        <tr r="H95" s="1"/>
      </tp>
      <tp t="s">
        <v>A janela foi fechada</v>
        <stp/>
        <stp>T&amp;T2</stp>
        <stp>PRE</stp>
        <stp>87</stp>
        <tr r="B95" s="1"/>
      </tp>
      <tp t="s">
        <v>A janela foi fechada</v>
        <stp/>
        <stp>T&amp;T1</stp>
        <stp>QUL</stp>
        <stp>90</stp>
        <tr r="I98" s="1"/>
      </tp>
      <tp t="s">
        <v>A janela foi fechada</v>
        <stp/>
        <stp>T&amp;T2</stp>
        <stp>QUL</stp>
        <stp>90</stp>
        <tr r="C98" s="1"/>
      </tp>
      <tp t="s">
        <v>A janela foi fechada</v>
        <stp/>
        <stp>T&amp;T1</stp>
        <stp>PRE</stp>
        <stp>84</stp>
        <tr r="H92" s="1"/>
      </tp>
      <tp t="s">
        <v>A janela foi fechada</v>
        <stp/>
        <stp>T&amp;T2</stp>
        <stp>PRE</stp>
        <stp>84</stp>
        <tr r="B92" s="1"/>
      </tp>
      <tp t="s">
        <v>A janela foi fechada</v>
        <stp/>
        <stp>T&amp;T1</stp>
        <stp>QUL</stp>
        <stp>93</stp>
        <tr r="I101" s="1"/>
      </tp>
      <tp t="s">
        <v>A janela foi fechada</v>
        <stp/>
        <stp>T&amp;T2</stp>
        <stp>QUL</stp>
        <stp>93</stp>
        <tr r="C101" s="1"/>
      </tp>
      <tp t="s">
        <v>A janela foi fechada</v>
        <stp/>
        <stp>T&amp;T1</stp>
        <stp>PRE</stp>
        <stp>85</stp>
        <tr r="H93" s="1"/>
      </tp>
      <tp t="s">
        <v>A janela foi fechada</v>
        <stp/>
        <stp>T&amp;T2</stp>
        <stp>PRE</stp>
        <stp>85</stp>
        <tr r="B93" s="1"/>
      </tp>
      <tp t="s">
        <v>A janela foi fechada</v>
        <stp/>
        <stp>T&amp;T1</stp>
        <stp>QUL</stp>
        <stp>92</stp>
        <tr r="I100" s="1"/>
      </tp>
      <tp t="s">
        <v>A janela foi fechada</v>
        <stp/>
        <stp>T&amp;T2</stp>
        <stp>QUL</stp>
        <stp>92</stp>
        <tr r="C100" s="1"/>
      </tp>
      <tp t="s">
        <v>A janela foi fechada</v>
        <stp/>
        <stp>T&amp;T1</stp>
        <stp>PRE</stp>
        <stp>82</stp>
        <tr r="H90" s="1"/>
      </tp>
      <tp t="s">
        <v>A janela foi fechada</v>
        <stp/>
        <stp>T&amp;T2</stp>
        <stp>PRE</stp>
        <stp>82</stp>
        <tr r="B90" s="1"/>
      </tp>
      <tp t="s">
        <v>A janela foi fechada</v>
        <stp/>
        <stp>T&amp;T1</stp>
        <stp>QUL</stp>
        <stp>95</stp>
        <tr r="I103" s="1"/>
      </tp>
      <tp t="s">
        <v>A janela foi fechada</v>
        <stp/>
        <stp>T&amp;T2</stp>
        <stp>QUL</stp>
        <stp>95</stp>
        <tr r="C103" s="1"/>
      </tp>
      <tp t="s">
        <v>A janela foi fechada</v>
        <stp/>
        <stp>T&amp;T1</stp>
        <stp>PRE</stp>
        <stp>83</stp>
        <tr r="H91" s="1"/>
      </tp>
      <tp t="s">
        <v>A janela foi fechada</v>
        <stp/>
        <stp>T&amp;T2</stp>
        <stp>PRE</stp>
        <stp>83</stp>
        <tr r="B91" s="1"/>
      </tp>
      <tp t="s">
        <v>A janela foi fechada</v>
        <stp/>
        <stp>T&amp;T1</stp>
        <stp>QUL</stp>
        <stp>94</stp>
        <tr r="I102" s="1"/>
      </tp>
      <tp t="s">
        <v>A janela foi fechada</v>
        <stp/>
        <stp>T&amp;T2</stp>
        <stp>QUL</stp>
        <stp>94</stp>
        <tr r="C102" s="1"/>
      </tp>
      <tp t="s">
        <v>A janela foi fechada</v>
        <stp/>
        <stp>T&amp;T1</stp>
        <stp>PRE</stp>
        <stp>80</stp>
        <tr r="H88" s="1"/>
      </tp>
      <tp t="s">
        <v>A janela foi fechada</v>
        <stp/>
        <stp>T&amp;T2</stp>
        <stp>PRE</stp>
        <stp>80</stp>
        <tr r="B88" s="1"/>
      </tp>
      <tp t="s">
        <v>A janela foi fechada</v>
        <stp/>
        <stp>T&amp;T1</stp>
        <stp>QUL</stp>
        <stp>97</stp>
        <tr r="I105" s="1"/>
      </tp>
      <tp t="s">
        <v>A janela foi fechada</v>
        <stp/>
        <stp>T&amp;T2</stp>
        <stp>QUL</stp>
        <stp>97</stp>
        <tr r="C105" s="1"/>
      </tp>
      <tp t="s">
        <v>A janela foi fechada</v>
        <stp/>
        <stp>T&amp;T1</stp>
        <stp>PRE</stp>
        <stp>81</stp>
        <tr r="H89" s="1"/>
      </tp>
      <tp t="s">
        <v>A janela foi fechada</v>
        <stp/>
        <stp>T&amp;T2</stp>
        <stp>PRE</stp>
        <stp>81</stp>
        <tr r="B89" s="1"/>
      </tp>
      <tp t="s">
        <v>A janela foi fechada</v>
        <stp/>
        <stp>T&amp;T1</stp>
        <stp>QUL</stp>
        <stp>96</stp>
        <tr r="I104" s="1"/>
      </tp>
      <tp t="s">
        <v>A janela foi fechada</v>
        <stp/>
        <stp>T&amp;T2</stp>
        <stp>QUL</stp>
        <stp>96</stp>
        <tr r="C104" s="1"/>
      </tp>
      <tp t="s">
        <v>A janela foi fechada</v>
        <stp/>
        <stp>T&amp;T1</stp>
        <stp>QUL</stp>
        <stp>89</stp>
        <tr r="I97" s="1"/>
      </tp>
      <tp t="s">
        <v>A janela foi fechada</v>
        <stp/>
        <stp>T&amp;T2</stp>
        <stp>QUL</stp>
        <stp>89</stp>
        <tr r="C97" s="1"/>
      </tp>
      <tp t="s">
        <v>A janela foi fechada</v>
        <stp/>
        <stp>T&amp;T1</stp>
        <stp>QUL</stp>
        <stp>88</stp>
        <tr r="I96" s="1"/>
      </tp>
      <tp t="s">
        <v>A janela foi fechada</v>
        <stp/>
        <stp>T&amp;T2</stp>
        <stp>QUL</stp>
        <stp>88</stp>
        <tr r="C96" s="1"/>
      </tp>
      <tp t="s">
        <v>A janela foi fechada</v>
        <stp/>
        <stp>T&amp;T1</stp>
        <stp>PRE</stp>
        <stp>98</stp>
        <tr r="H106" s="1"/>
      </tp>
      <tp t="s">
        <v>A janela foi fechada</v>
        <stp/>
        <stp>T&amp;T2</stp>
        <stp>PRE</stp>
        <stp>98</stp>
        <tr r="B106" s="1"/>
      </tp>
      <tp t="s">
        <v>A janela foi fechada</v>
        <stp/>
        <stp>T&amp;T1</stp>
        <stp>PRE</stp>
        <stp>99</stp>
        <tr r="H107" s="1"/>
      </tp>
      <tp t="s">
        <v>A janela foi fechada</v>
        <stp/>
        <stp>T&amp;T2</stp>
        <stp>PRE</stp>
        <stp>99</stp>
        <tr r="B107" s="1"/>
      </tp>
      <tp t="s">
        <v>A janela foi fechada</v>
        <stp/>
        <stp>T&amp;T1</stp>
        <stp>PRE</stp>
        <stp>96</stp>
        <tr r="H104" s="1"/>
      </tp>
      <tp t="s">
        <v>A janela foi fechada</v>
        <stp/>
        <stp>T&amp;T2</stp>
        <stp>PRE</stp>
        <stp>96</stp>
        <tr r="B104" s="1"/>
      </tp>
      <tp t="s">
        <v>A janela foi fechada</v>
        <stp/>
        <stp>T&amp;T1</stp>
        <stp>QUL</stp>
        <stp>81</stp>
        <tr r="I89" s="1"/>
      </tp>
      <tp t="s">
        <v>A janela foi fechada</v>
        <stp/>
        <stp>T&amp;T2</stp>
        <stp>QUL</stp>
        <stp>81</stp>
        <tr r="C89" s="1"/>
      </tp>
      <tp t="s">
        <v>A janela foi fechada</v>
        <stp/>
        <stp>T&amp;T1</stp>
        <stp>PRE</stp>
        <stp>97</stp>
        <tr r="H105" s="1"/>
      </tp>
      <tp t="s">
        <v>A janela foi fechada</v>
        <stp/>
        <stp>T&amp;T2</stp>
        <stp>PRE</stp>
        <stp>97</stp>
        <tr r="B105" s="1"/>
      </tp>
      <tp t="s">
        <v>A janela foi fechada</v>
        <stp/>
        <stp>T&amp;T1</stp>
        <stp>QUL</stp>
        <stp>80</stp>
        <tr r="I88" s="1"/>
      </tp>
      <tp t="s">
        <v>A janela foi fechada</v>
        <stp/>
        <stp>T&amp;T2</stp>
        <stp>QUL</stp>
        <stp>80</stp>
        <tr r="C88" s="1"/>
      </tp>
      <tp t="s">
        <v>A janela foi fechada</v>
        <stp/>
        <stp>T&amp;T1</stp>
        <stp>PRE</stp>
        <stp>94</stp>
        <tr r="H102" s="1"/>
      </tp>
      <tp t="s">
        <v>A janela foi fechada</v>
        <stp/>
        <stp>T&amp;T2</stp>
        <stp>PRE</stp>
        <stp>94</stp>
        <tr r="B102" s="1"/>
      </tp>
      <tp t="s">
        <v>A janela foi fechada</v>
        <stp/>
        <stp>T&amp;T1</stp>
        <stp>QUL</stp>
        <stp>83</stp>
        <tr r="I91" s="1"/>
      </tp>
      <tp t="s">
        <v>A janela foi fechada</v>
        <stp/>
        <stp>T&amp;T2</stp>
        <stp>QUL</stp>
        <stp>83</stp>
        <tr r="C91" s="1"/>
      </tp>
      <tp t="s">
        <v>A janela foi fechada</v>
        <stp/>
        <stp>T&amp;T1</stp>
        <stp>PRE</stp>
        <stp>95</stp>
        <tr r="H103" s="1"/>
      </tp>
      <tp t="s">
        <v>A janela foi fechada</v>
        <stp/>
        <stp>T&amp;T2</stp>
        <stp>PRE</stp>
        <stp>95</stp>
        <tr r="B103" s="1"/>
      </tp>
      <tp t="s">
        <v>A janela foi fechada</v>
        <stp/>
        <stp>T&amp;T1</stp>
        <stp>QUL</stp>
        <stp>82</stp>
        <tr r="I90" s="1"/>
      </tp>
      <tp t="s">
        <v>A janela foi fechada</v>
        <stp/>
        <stp>T&amp;T2</stp>
        <stp>QUL</stp>
        <stp>82</stp>
        <tr r="C90" s="1"/>
      </tp>
      <tp t="s">
        <v>A janela foi fechada</v>
        <stp/>
        <stp>T&amp;T1</stp>
        <stp>PRE</stp>
        <stp>92</stp>
        <tr r="H100" s="1"/>
      </tp>
      <tp t="s">
        <v>A janela foi fechada</v>
        <stp/>
        <stp>T&amp;T2</stp>
        <stp>PRE</stp>
        <stp>92</stp>
        <tr r="B100" s="1"/>
      </tp>
      <tp t="s">
        <v>A janela foi fechada</v>
        <stp/>
        <stp>T&amp;T1</stp>
        <stp>QUL</stp>
        <stp>85</stp>
        <tr r="I93" s="1"/>
      </tp>
      <tp t="s">
        <v>A janela foi fechada</v>
        <stp/>
        <stp>T&amp;T2</stp>
        <stp>QUL</stp>
        <stp>85</stp>
        <tr r="C93" s="1"/>
      </tp>
      <tp t="s">
        <v>A janela foi fechada</v>
        <stp/>
        <stp>T&amp;T1</stp>
        <stp>PRE</stp>
        <stp>93</stp>
        <tr r="H101" s="1"/>
      </tp>
      <tp t="s">
        <v>A janela foi fechada</v>
        <stp/>
        <stp>T&amp;T2</stp>
        <stp>PRE</stp>
        <stp>93</stp>
        <tr r="B101" s="1"/>
      </tp>
      <tp t="s">
        <v>A janela foi fechada</v>
        <stp/>
        <stp>T&amp;T1</stp>
        <stp>QUL</stp>
        <stp>84</stp>
        <tr r="I92" s="1"/>
      </tp>
      <tp t="s">
        <v>A janela foi fechada</v>
        <stp/>
        <stp>T&amp;T2</stp>
        <stp>QUL</stp>
        <stp>84</stp>
        <tr r="C92" s="1"/>
      </tp>
      <tp t="s">
        <v>A janela foi fechada</v>
        <stp/>
        <stp>T&amp;T1</stp>
        <stp>PRE</stp>
        <stp>90</stp>
        <tr r="H98" s="1"/>
      </tp>
      <tp t="s">
        <v>A janela foi fechada</v>
        <stp/>
        <stp>T&amp;T2</stp>
        <stp>PRE</stp>
        <stp>90</stp>
        <tr r="B98" s="1"/>
      </tp>
      <tp t="s">
        <v>A janela foi fechada</v>
        <stp/>
        <stp>T&amp;T1</stp>
        <stp>QUL</stp>
        <stp>87</stp>
        <tr r="I95" s="1"/>
      </tp>
      <tp t="s">
        <v>A janela foi fechada</v>
        <stp/>
        <stp>T&amp;T2</stp>
        <stp>QUL</stp>
        <stp>87</stp>
        <tr r="C95" s="1"/>
      </tp>
      <tp t="s">
        <v>A janela foi fechada</v>
        <stp/>
        <stp>T&amp;T1</stp>
        <stp>PRE</stp>
        <stp>91</stp>
        <tr r="H99" s="1"/>
      </tp>
      <tp t="s">
        <v>A janela foi fechada</v>
        <stp/>
        <stp>T&amp;T2</stp>
        <stp>PRE</stp>
        <stp>91</stp>
        <tr r="B99" s="1"/>
      </tp>
      <tp t="s">
        <v>A janela foi fechada</v>
        <stp/>
        <stp>T&amp;T1</stp>
        <stp>QUL</stp>
        <stp>86</stp>
        <tr r="I94" s="1"/>
      </tp>
      <tp t="s">
        <v>A janela foi fechada</v>
        <stp/>
        <stp>T&amp;T2</stp>
        <stp>QUL</stp>
        <stp>86</stp>
        <tr r="C94" s="1"/>
      </tp>
      <tp t="s">
        <v>A janela foi fechada</v>
        <stp/>
        <stp>T&amp;T1</stp>
        <stp>QUL</stp>
        <stp>39</stp>
        <tr r="I47" s="1"/>
      </tp>
      <tp t="s">
        <v>A janela foi fechada</v>
        <stp/>
        <stp>T&amp;T2</stp>
        <stp>QUL</stp>
        <stp>39</stp>
        <tr r="C47" s="1"/>
      </tp>
      <tp t="s">
        <v>A janela foi fechada</v>
        <stp/>
        <stp>T&amp;T1</stp>
        <stp>QUL</stp>
        <stp>38</stp>
        <tr r="I46" s="1"/>
      </tp>
      <tp t="s">
        <v>A janela foi fechada</v>
        <stp/>
        <stp>T&amp;T2</stp>
        <stp>QUL</stp>
        <stp>38</stp>
        <tr r="C46" s="1"/>
      </tp>
      <tp t="s">
        <v>A janela foi fechada</v>
        <stp/>
        <stp>T&amp;T1</stp>
        <stp>PRE</stp>
        <stp>28</stp>
        <tr r="H36" s="1"/>
      </tp>
      <tp t="s">
        <v>A janela foi fechada</v>
        <stp/>
        <stp>T&amp;T2</stp>
        <stp>PRE</stp>
        <stp>28</stp>
        <tr r="B36" s="1"/>
      </tp>
      <tp t="s">
        <v>A janela foi fechada</v>
        <stp/>
        <stp>T&amp;T1</stp>
        <stp>PRE</stp>
        <stp>29</stp>
        <tr r="H37" s="1"/>
      </tp>
      <tp t="s">
        <v>A janela foi fechada</v>
        <stp/>
        <stp>T&amp;T2</stp>
        <stp>PRE</stp>
        <stp>29</stp>
        <tr r="B37" s="1"/>
      </tp>
      <tp t="s">
        <v>A janela foi fechada</v>
        <stp/>
        <stp>T&amp;T1</stp>
        <stp>PRE</stp>
        <stp>26</stp>
        <tr r="H34" s="1"/>
      </tp>
      <tp t="s">
        <v>A janela foi fechada</v>
        <stp/>
        <stp>T&amp;T2</stp>
        <stp>PRE</stp>
        <stp>26</stp>
        <tr r="B34" s="1"/>
      </tp>
      <tp t="s">
        <v>A janela foi fechada</v>
        <stp/>
        <stp>T&amp;T1</stp>
        <stp>QUL</stp>
        <stp>31</stp>
        <tr r="I39" s="1"/>
      </tp>
      <tp t="s">
        <v>A janela foi fechada</v>
        <stp/>
        <stp>T&amp;T2</stp>
        <stp>QUL</stp>
        <stp>31</stp>
        <tr r="C39" s="1"/>
      </tp>
      <tp t="s">
        <v>A janela foi fechada</v>
        <stp/>
        <stp>T&amp;T1</stp>
        <stp>PRE</stp>
        <stp>27</stp>
        <tr r="H35" s="1"/>
      </tp>
      <tp t="s">
        <v>A janela foi fechada</v>
        <stp/>
        <stp>T&amp;T2</stp>
        <stp>PRE</stp>
        <stp>27</stp>
        <tr r="B35" s="1"/>
      </tp>
      <tp t="s">
        <v>A janela foi fechada</v>
        <stp/>
        <stp>T&amp;T1</stp>
        <stp>QUL</stp>
        <stp>30</stp>
        <tr r="I38" s="1"/>
      </tp>
      <tp t="s">
        <v>A janela foi fechada</v>
        <stp/>
        <stp>T&amp;T2</stp>
        <stp>QUL</stp>
        <stp>30</stp>
        <tr r="C38" s="1"/>
      </tp>
      <tp t="s">
        <v>A janela foi fechada</v>
        <stp/>
        <stp>T&amp;T1</stp>
        <stp>PRE</stp>
        <stp>24</stp>
        <tr r="H32" s="1"/>
      </tp>
      <tp t="s">
        <v>A janela foi fechada</v>
        <stp/>
        <stp>T&amp;T2</stp>
        <stp>PRE</stp>
        <stp>24</stp>
        <tr r="B32" s="1"/>
      </tp>
      <tp t="s">
        <v>A janela foi fechada</v>
        <stp/>
        <stp>T&amp;T1</stp>
        <stp>QUL</stp>
        <stp>33</stp>
        <tr r="I41" s="1"/>
      </tp>
      <tp t="s">
        <v>A janela foi fechada</v>
        <stp/>
        <stp>T&amp;T2</stp>
        <stp>QUL</stp>
        <stp>33</stp>
        <tr r="C41" s="1"/>
      </tp>
      <tp t="s">
        <v>A janela foi fechada</v>
        <stp/>
        <stp>T&amp;T1</stp>
        <stp>PRE</stp>
        <stp>25</stp>
        <tr r="H33" s="1"/>
      </tp>
      <tp t="s">
        <v>A janela foi fechada</v>
        <stp/>
        <stp>T&amp;T2</stp>
        <stp>PRE</stp>
        <stp>25</stp>
        <tr r="B33" s="1"/>
      </tp>
      <tp t="s">
        <v>A janela foi fechada</v>
        <stp/>
        <stp>T&amp;T1</stp>
        <stp>QUL</stp>
        <stp>32</stp>
        <tr r="I40" s="1"/>
      </tp>
      <tp t="s">
        <v>A janela foi fechada</v>
        <stp/>
        <stp>T&amp;T2</stp>
        <stp>QUL</stp>
        <stp>32</stp>
        <tr r="C40" s="1"/>
      </tp>
      <tp t="s">
        <v>A janela foi fechada</v>
        <stp/>
        <stp>T&amp;T1</stp>
        <stp>PRE</stp>
        <stp>22</stp>
        <tr r="H30" s="1"/>
      </tp>
      <tp t="s">
        <v>A janela foi fechada</v>
        <stp/>
        <stp>T&amp;T2</stp>
        <stp>PRE</stp>
        <stp>22</stp>
        <tr r="B30" s="1"/>
      </tp>
      <tp t="s">
        <v>A janela foi fechada</v>
        <stp/>
        <stp>T&amp;T1</stp>
        <stp>QUL</stp>
        <stp>35</stp>
        <tr r="I43" s="1"/>
      </tp>
      <tp t="s">
        <v>A janela foi fechada</v>
        <stp/>
        <stp>T&amp;T2</stp>
        <stp>QUL</stp>
        <stp>35</stp>
        <tr r="C43" s="1"/>
      </tp>
      <tp t="s">
        <v>A janela foi fechada</v>
        <stp/>
        <stp>T&amp;T1</stp>
        <stp>PRE</stp>
        <stp>23</stp>
        <tr r="H31" s="1"/>
      </tp>
      <tp t="s">
        <v>A janela foi fechada</v>
        <stp/>
        <stp>T&amp;T2</stp>
        <stp>PRE</stp>
        <stp>23</stp>
        <tr r="B31" s="1"/>
      </tp>
      <tp t="s">
        <v>A janela foi fechada</v>
        <stp/>
        <stp>T&amp;T1</stp>
        <stp>QUL</stp>
        <stp>34</stp>
        <tr r="I42" s="1"/>
      </tp>
      <tp t="s">
        <v>A janela foi fechada</v>
        <stp/>
        <stp>T&amp;T2</stp>
        <stp>QUL</stp>
        <stp>34</stp>
        <tr r="C42" s="1"/>
      </tp>
      <tp t="s">
        <v>A janela foi fechada</v>
        <stp/>
        <stp>T&amp;T1</stp>
        <stp>PRE</stp>
        <stp>20</stp>
        <tr r="H28" s="1"/>
      </tp>
      <tp t="s">
        <v>A janela foi fechada</v>
        <stp/>
        <stp>T&amp;T2</stp>
        <stp>PRE</stp>
        <stp>20</stp>
        <tr r="B28" s="1"/>
      </tp>
      <tp t="s">
        <v>A janela foi fechada</v>
        <stp/>
        <stp>T&amp;T1</stp>
        <stp>QUL</stp>
        <stp>37</stp>
        <tr r="I45" s="1"/>
      </tp>
      <tp t="s">
        <v>A janela foi fechada</v>
        <stp/>
        <stp>T&amp;T2</stp>
        <stp>QUL</stp>
        <stp>37</stp>
        <tr r="C45" s="1"/>
      </tp>
      <tp t="s">
        <v>A janela foi fechada</v>
        <stp/>
        <stp>T&amp;T1</stp>
        <stp>PRE</stp>
        <stp>21</stp>
        <tr r="H29" s="1"/>
      </tp>
      <tp t="s">
        <v>A janela foi fechada</v>
        <stp/>
        <stp>T&amp;T2</stp>
        <stp>PRE</stp>
        <stp>21</stp>
        <tr r="B29" s="1"/>
      </tp>
      <tp t="s">
        <v>A janela foi fechada</v>
        <stp/>
        <stp>T&amp;T1</stp>
        <stp>QUL</stp>
        <stp>36</stp>
        <tr r="I44" s="1"/>
      </tp>
      <tp t="s">
        <v>A janela foi fechada</v>
        <stp/>
        <stp>T&amp;T2</stp>
        <stp>QUL</stp>
        <stp>36</stp>
        <tr r="C44" s="1"/>
      </tp>
      <tp t="s">
        <v>A janela foi fechada</v>
        <stp/>
        <stp>T&amp;T1</stp>
        <stp>QUL</stp>
        <stp>29</stp>
        <tr r="I37" s="1"/>
      </tp>
      <tp t="s">
        <v>A janela foi fechada</v>
        <stp/>
        <stp>T&amp;T2</stp>
        <stp>QUL</stp>
        <stp>29</stp>
        <tr r="C37" s="1"/>
      </tp>
      <tp t="s">
        <v>A janela foi fechada</v>
        <stp/>
        <stp>T&amp;T1</stp>
        <stp>QUL</stp>
        <stp>28</stp>
        <tr r="I36" s="1"/>
      </tp>
      <tp t="s">
        <v>A janela foi fechada</v>
        <stp/>
        <stp>T&amp;T2</stp>
        <stp>QUL</stp>
        <stp>28</stp>
        <tr r="C36" s="1"/>
      </tp>
      <tp t="s">
        <v>A janela foi fechada</v>
        <stp/>
        <stp>T&amp;T1</stp>
        <stp>PRE</stp>
        <stp>38</stp>
        <tr r="H46" s="1"/>
      </tp>
      <tp t="s">
        <v>A janela foi fechada</v>
        <stp/>
        <stp>T&amp;T2</stp>
        <stp>PRE</stp>
        <stp>38</stp>
        <tr r="B46" s="1"/>
      </tp>
      <tp t="s">
        <v>A janela foi fechada</v>
        <stp/>
        <stp>T&amp;T1</stp>
        <stp>PRE</stp>
        <stp>39</stp>
        <tr r="H47" s="1"/>
      </tp>
      <tp t="s">
        <v>A janela foi fechada</v>
        <stp/>
        <stp>T&amp;T2</stp>
        <stp>PRE</stp>
        <stp>39</stp>
        <tr r="B47" s="1"/>
      </tp>
      <tp t="s">
        <v>A janela foi fechada</v>
        <stp/>
        <stp>T&amp;T1</stp>
        <stp>PRE</stp>
        <stp>36</stp>
        <tr r="H44" s="1"/>
      </tp>
      <tp t="s">
        <v>A janela foi fechada</v>
        <stp/>
        <stp>T&amp;T2</stp>
        <stp>PRE</stp>
        <stp>36</stp>
        <tr r="B44" s="1"/>
      </tp>
      <tp t="s">
        <v>A janela foi fechada</v>
        <stp/>
        <stp>T&amp;T1</stp>
        <stp>QUL</stp>
        <stp>21</stp>
        <tr r="I29" s="1"/>
      </tp>
      <tp t="s">
        <v>A janela foi fechada</v>
        <stp/>
        <stp>T&amp;T2</stp>
        <stp>QUL</stp>
        <stp>21</stp>
        <tr r="C29" s="1"/>
      </tp>
      <tp t="s">
        <v>A janela foi fechada</v>
        <stp/>
        <stp>T&amp;T1</stp>
        <stp>PRE</stp>
        <stp>37</stp>
        <tr r="H45" s="1"/>
      </tp>
      <tp t="s">
        <v>A janela foi fechada</v>
        <stp/>
        <stp>T&amp;T2</stp>
        <stp>PRE</stp>
        <stp>37</stp>
        <tr r="B45" s="1"/>
      </tp>
      <tp t="s">
        <v>A janela foi fechada</v>
        <stp/>
        <stp>T&amp;T1</stp>
        <stp>QUL</stp>
        <stp>20</stp>
        <tr r="I28" s="1"/>
      </tp>
      <tp t="s">
        <v>A janela foi fechada</v>
        <stp/>
        <stp>T&amp;T2</stp>
        <stp>QUL</stp>
        <stp>20</stp>
        <tr r="C28" s="1"/>
      </tp>
      <tp t="s">
        <v>A janela foi fechada</v>
        <stp/>
        <stp>T&amp;T1</stp>
        <stp>PRE</stp>
        <stp>34</stp>
        <tr r="H42" s="1"/>
      </tp>
      <tp t="s">
        <v>A janela foi fechada</v>
        <stp/>
        <stp>T&amp;T2</stp>
        <stp>PRE</stp>
        <stp>34</stp>
        <tr r="B42" s="1"/>
      </tp>
      <tp t="s">
        <v>A janela foi fechada</v>
        <stp/>
        <stp>T&amp;T1</stp>
        <stp>QUL</stp>
        <stp>23</stp>
        <tr r="I31" s="1"/>
      </tp>
      <tp t="s">
        <v>A janela foi fechada</v>
        <stp/>
        <stp>T&amp;T2</stp>
        <stp>QUL</stp>
        <stp>23</stp>
        <tr r="C31" s="1"/>
      </tp>
      <tp t="s">
        <v>A janela foi fechada</v>
        <stp/>
        <stp>T&amp;T1</stp>
        <stp>PRE</stp>
        <stp>35</stp>
        <tr r="H43" s="1"/>
      </tp>
      <tp t="s">
        <v>A janela foi fechada</v>
        <stp/>
        <stp>T&amp;T2</stp>
        <stp>PRE</stp>
        <stp>35</stp>
        <tr r="B43" s="1"/>
      </tp>
      <tp t="s">
        <v>A janela foi fechada</v>
        <stp/>
        <stp>T&amp;T1</stp>
        <stp>QUL</stp>
        <stp>22</stp>
        <tr r="I30" s="1"/>
      </tp>
      <tp t="s">
        <v>A janela foi fechada</v>
        <stp/>
        <stp>T&amp;T2</stp>
        <stp>QUL</stp>
        <stp>22</stp>
        <tr r="C30" s="1"/>
      </tp>
      <tp t="s">
        <v>A janela foi fechada</v>
        <stp/>
        <stp>T&amp;T1</stp>
        <stp>PRE</stp>
        <stp>32</stp>
        <tr r="H40" s="1"/>
      </tp>
      <tp t="s">
        <v>A janela foi fechada</v>
        <stp/>
        <stp>T&amp;T2</stp>
        <stp>PRE</stp>
        <stp>32</stp>
        <tr r="B40" s="1"/>
      </tp>
      <tp t="s">
        <v>A janela foi fechada</v>
        <stp/>
        <stp>T&amp;T1</stp>
        <stp>QUL</stp>
        <stp>25</stp>
        <tr r="I33" s="1"/>
      </tp>
      <tp t="s">
        <v>A janela foi fechada</v>
        <stp/>
        <stp>T&amp;T2</stp>
        <stp>QUL</stp>
        <stp>25</stp>
        <tr r="C33" s="1"/>
      </tp>
      <tp t="s">
        <v>A janela foi fechada</v>
        <stp/>
        <stp>T&amp;T1</stp>
        <stp>PRE</stp>
        <stp>33</stp>
        <tr r="H41" s="1"/>
      </tp>
      <tp t="s">
        <v>A janela foi fechada</v>
        <stp/>
        <stp>T&amp;T2</stp>
        <stp>PRE</stp>
        <stp>33</stp>
        <tr r="B41" s="1"/>
      </tp>
      <tp t="s">
        <v>A janela foi fechada</v>
        <stp/>
        <stp>T&amp;T1</stp>
        <stp>QUL</stp>
        <stp>24</stp>
        <tr r="I32" s="1"/>
      </tp>
      <tp t="s">
        <v>A janela foi fechada</v>
        <stp/>
        <stp>T&amp;T2</stp>
        <stp>QUL</stp>
        <stp>24</stp>
        <tr r="C32" s="1"/>
      </tp>
      <tp t="s">
        <v>A janela foi fechada</v>
        <stp/>
        <stp>T&amp;T1</stp>
        <stp>PRE</stp>
        <stp>30</stp>
        <tr r="H38" s="1"/>
      </tp>
      <tp t="s">
        <v>A janela foi fechada</v>
        <stp/>
        <stp>T&amp;T2</stp>
        <stp>PRE</stp>
        <stp>30</stp>
        <tr r="B38" s="1"/>
      </tp>
      <tp t="s">
        <v>A janela foi fechada</v>
        <stp/>
        <stp>T&amp;T1</stp>
        <stp>QUL</stp>
        <stp>27</stp>
        <tr r="I35" s="1"/>
      </tp>
      <tp t="s">
        <v>A janela foi fechada</v>
        <stp/>
        <stp>T&amp;T2</stp>
        <stp>QUL</stp>
        <stp>27</stp>
        <tr r="C35" s="1"/>
      </tp>
      <tp t="s">
        <v>A janela foi fechada</v>
        <stp/>
        <stp>T&amp;T1</stp>
        <stp>PRE</stp>
        <stp>31</stp>
        <tr r="H39" s="1"/>
      </tp>
      <tp t="s">
        <v>A janela foi fechada</v>
        <stp/>
        <stp>T&amp;T2</stp>
        <stp>PRE</stp>
        <stp>31</stp>
        <tr r="B39" s="1"/>
      </tp>
      <tp t="s">
        <v>A janela foi fechada</v>
        <stp/>
        <stp>T&amp;T1</stp>
        <stp>QUL</stp>
        <stp>26</stp>
        <tr r="I34" s="1"/>
      </tp>
      <tp t="s">
        <v>A janela foi fechada</v>
        <stp/>
        <stp>T&amp;T2</stp>
        <stp>QUL</stp>
        <stp>26</stp>
        <tr r="C34" s="1"/>
      </tp>
      <tp t="s">
        <v>A janela foi fechada</v>
        <stp/>
        <stp>T&amp;T1</stp>
        <stp>QUL</stp>
        <stp>19</stp>
        <tr r="I27" s="1"/>
      </tp>
      <tp t="s">
        <v>A janela foi fechada</v>
        <stp/>
        <stp>T&amp;T2</stp>
        <stp>QUL</stp>
        <stp>19</stp>
        <tr r="C27" s="1"/>
      </tp>
      <tp t="s">
        <v>A janela foi fechada</v>
        <stp/>
        <stp>T&amp;T1</stp>
        <stp>QUL</stp>
        <stp>18</stp>
        <tr r="I26" s="1"/>
      </tp>
      <tp t="s">
        <v>A janela foi fechada</v>
        <stp/>
        <stp>T&amp;T2</stp>
        <stp>QUL</stp>
        <stp>18</stp>
        <tr r="C26" s="1"/>
      </tp>
      <tp t="s">
        <v>A janela foi fechada</v>
        <stp/>
        <stp>T&amp;T1</stp>
        <stp>QUL</stp>
        <stp>11</stp>
        <tr r="I19" s="1"/>
      </tp>
      <tp t="s">
        <v>A janela foi fechada</v>
        <stp/>
        <stp>T&amp;T2</stp>
        <stp>QUL</stp>
        <stp>11</stp>
        <tr r="C19" s="1"/>
      </tp>
      <tp t="s">
        <v>A janela foi fechada</v>
        <stp/>
        <stp>T&amp;T1</stp>
        <stp>QUL</stp>
        <stp>10</stp>
        <tr r="I18" s="1"/>
      </tp>
      <tp t="s">
        <v>A janela foi fechada</v>
        <stp/>
        <stp>T&amp;T2</stp>
        <stp>QUL</stp>
        <stp>10</stp>
        <tr r="C18" s="1"/>
      </tp>
      <tp t="s">
        <v>A janela foi fechada</v>
        <stp/>
        <stp>T&amp;T1</stp>
        <stp>QUL</stp>
        <stp>13</stp>
        <tr r="I21" s="1"/>
      </tp>
      <tp t="s">
        <v>A janela foi fechada</v>
        <stp/>
        <stp>T&amp;T2</stp>
        <stp>QUL</stp>
        <stp>13</stp>
        <tr r="C21" s="1"/>
      </tp>
      <tp t="s">
        <v>A janela foi fechada</v>
        <stp/>
        <stp>T&amp;T1</stp>
        <stp>QUL</stp>
        <stp>12</stp>
        <tr r="I20" s="1"/>
      </tp>
      <tp t="s">
        <v>A janela foi fechada</v>
        <stp/>
        <stp>T&amp;T2</stp>
        <stp>QUL</stp>
        <stp>12</stp>
        <tr r="C20" s="1"/>
      </tp>
      <tp t="s">
        <v>A janela foi fechada</v>
        <stp/>
        <stp>T&amp;T1</stp>
        <stp>QUL</stp>
        <stp>15</stp>
        <tr r="I23" s="1"/>
      </tp>
      <tp t="s">
        <v>A janela foi fechada</v>
        <stp/>
        <stp>T&amp;T2</stp>
        <stp>QUL</stp>
        <stp>15</stp>
        <tr r="C23" s="1"/>
      </tp>
      <tp t="s">
        <v>A janela foi fechada</v>
        <stp/>
        <stp>T&amp;T1</stp>
        <stp>QUL</stp>
        <stp>14</stp>
        <tr r="I22" s="1"/>
      </tp>
      <tp t="s">
        <v>A janela foi fechada</v>
        <stp/>
        <stp>T&amp;T2</stp>
        <stp>QUL</stp>
        <stp>14</stp>
        <tr r="C22" s="1"/>
      </tp>
      <tp t="s">
        <v>A janela foi fechada</v>
        <stp/>
        <stp>T&amp;T1</stp>
        <stp>QUL</stp>
        <stp>17</stp>
        <tr r="I25" s="1"/>
      </tp>
      <tp t="s">
        <v>A janela foi fechada</v>
        <stp/>
        <stp>T&amp;T2</stp>
        <stp>QUL</stp>
        <stp>17</stp>
        <tr r="C25" s="1"/>
      </tp>
      <tp t="s">
        <v>A janela foi fechada</v>
        <stp/>
        <stp>T&amp;T1</stp>
        <stp>QUL</stp>
        <stp>16</stp>
        <tr r="I24" s="1"/>
      </tp>
      <tp t="s">
        <v>A janela foi fechada</v>
        <stp/>
        <stp>T&amp;T2</stp>
        <stp>QUL</stp>
        <stp>16</stp>
        <tr r="C24" s="1"/>
      </tp>
      <tp t="s">
        <v>A janela foi fechada</v>
        <stp/>
        <stp>T&amp;T1</stp>
        <stp>PRE</stp>
        <stp>18</stp>
        <tr r="H26" s="1"/>
      </tp>
      <tp t="s">
        <v>A janela foi fechada</v>
        <stp/>
        <stp>T&amp;T2</stp>
        <stp>PRE</stp>
        <stp>18</stp>
        <tr r="B26" s="1"/>
      </tp>
      <tp t="s">
        <v>A janela foi fechada</v>
        <stp/>
        <stp>T&amp;T1</stp>
        <stp>PRE</stp>
        <stp>19</stp>
        <tr r="H27" s="1"/>
      </tp>
      <tp t="s">
        <v>A janela foi fechada</v>
        <stp/>
        <stp>T&amp;T2</stp>
        <stp>PRE</stp>
        <stp>19</stp>
        <tr r="B27" s="1"/>
      </tp>
      <tp t="s">
        <v>A janela foi fechada</v>
        <stp/>
        <stp>T&amp;T1</stp>
        <stp>PRE</stp>
        <stp>16</stp>
        <tr r="H24" s="1"/>
      </tp>
      <tp t="s">
        <v>A janela foi fechada</v>
        <stp/>
        <stp>T&amp;T2</stp>
        <stp>PRE</stp>
        <stp>16</stp>
        <tr r="B24" s="1"/>
      </tp>
      <tp t="s">
        <v>A janela foi fechada</v>
        <stp/>
        <stp>T&amp;T1</stp>
        <stp>PRE</stp>
        <stp>17</stp>
        <tr r="H25" s="1"/>
      </tp>
      <tp t="s">
        <v>A janela foi fechada</v>
        <stp/>
        <stp>T&amp;T2</stp>
        <stp>PRE</stp>
        <stp>17</stp>
        <tr r="B25" s="1"/>
      </tp>
      <tp t="s">
        <v>A janela foi fechada</v>
        <stp/>
        <stp>T&amp;T1</stp>
        <stp>PRE</stp>
        <stp>14</stp>
        <tr r="H22" s="1"/>
      </tp>
      <tp t="s">
        <v>A janela foi fechada</v>
        <stp/>
        <stp>T&amp;T2</stp>
        <stp>PRE</stp>
        <stp>14</stp>
        <tr r="B22" s="1"/>
      </tp>
      <tp t="s">
        <v>A janela foi fechada</v>
        <stp/>
        <stp>T&amp;T1</stp>
        <stp>PRE</stp>
        <stp>15</stp>
        <tr r="H23" s="1"/>
      </tp>
      <tp t="s">
        <v>A janela foi fechada</v>
        <stp/>
        <stp>T&amp;T2</stp>
        <stp>PRE</stp>
        <stp>15</stp>
        <tr r="B23" s="1"/>
      </tp>
      <tp t="s">
        <v>A janela foi fechada</v>
        <stp/>
        <stp>T&amp;T1</stp>
        <stp>PRE</stp>
        <stp>12</stp>
        <tr r="H20" s="1"/>
      </tp>
      <tp t="s">
        <v>A janela foi fechada</v>
        <stp/>
        <stp>T&amp;T2</stp>
        <stp>PRE</stp>
        <stp>12</stp>
        <tr r="B20" s="1"/>
      </tp>
      <tp t="s">
        <v>A janela foi fechada</v>
        <stp/>
        <stp>T&amp;T1</stp>
        <stp>PRE</stp>
        <stp>13</stp>
        <tr r="H21" s="1"/>
      </tp>
      <tp t="s">
        <v>A janela foi fechada</v>
        <stp/>
        <stp>T&amp;T2</stp>
        <stp>PRE</stp>
        <stp>13</stp>
        <tr r="B21" s="1"/>
      </tp>
      <tp t="s">
        <v>A janela foi fechada</v>
        <stp/>
        <stp>T&amp;T1</stp>
        <stp>PRE</stp>
        <stp>10</stp>
        <tr r="H18" s="1"/>
      </tp>
      <tp t="s">
        <v>A janela foi fechada</v>
        <stp/>
        <stp>T&amp;T2</stp>
        <stp>PRE</stp>
        <stp>10</stp>
        <tr r="B18" s="1"/>
      </tp>
      <tp t="s">
        <v>A janela foi fechada</v>
        <stp/>
        <stp>T&amp;T1</stp>
        <stp>PRE</stp>
        <stp>11</stp>
        <tr r="H19" s="1"/>
      </tp>
      <tp t="s">
        <v>A janela foi fechada</v>
        <stp/>
        <stp>T&amp;T2</stp>
        <stp>PRE</stp>
        <stp>11</stp>
        <tr r="B19" s="1"/>
      </tp>
      <tp t="s">
        <v>A janela foi fechada</v>
        <stp/>
        <stp>T&amp;T1</stp>
        <stp>QUL</stp>
        <stp>79</stp>
        <tr r="I87" s="1"/>
      </tp>
      <tp t="s">
        <v>A janela foi fechada</v>
        <stp/>
        <stp>T&amp;T2</stp>
        <stp>QUL</stp>
        <stp>79</stp>
        <tr r="C87" s="1"/>
      </tp>
      <tp t="s">
        <v>A janela foi fechada</v>
        <stp/>
        <stp>T&amp;T1</stp>
        <stp>QUL</stp>
        <stp>78</stp>
        <tr r="I86" s="1"/>
      </tp>
      <tp t="s">
        <v>A janela foi fechada</v>
        <stp/>
        <stp>T&amp;T2</stp>
        <stp>QUL</stp>
        <stp>78</stp>
        <tr r="C86" s="1"/>
      </tp>
      <tp t="s">
        <v>A janela foi fechada</v>
        <stp/>
        <stp>T&amp;T1</stp>
        <stp>PRE</stp>
        <stp>68</stp>
        <tr r="H76" s="1"/>
      </tp>
      <tp t="s">
        <v>A janela foi fechada</v>
        <stp/>
        <stp>T&amp;T2</stp>
        <stp>PRE</stp>
        <stp>68</stp>
        <tr r="B76" s="1"/>
      </tp>
      <tp t="s">
        <v>A janela foi fechada</v>
        <stp/>
        <stp>T&amp;T1</stp>
        <stp>PRE</stp>
        <stp>69</stp>
        <tr r="H77" s="1"/>
      </tp>
      <tp t="s">
        <v>A janela foi fechada</v>
        <stp/>
        <stp>T&amp;T2</stp>
        <stp>PRE</stp>
        <stp>69</stp>
        <tr r="B77" s="1"/>
      </tp>
      <tp t="s">
        <v>A janela foi fechada</v>
        <stp/>
        <stp>T&amp;T1</stp>
        <stp>PRE</stp>
        <stp>66</stp>
        <tr r="H74" s="1"/>
      </tp>
      <tp t="s">
        <v>A janela foi fechada</v>
        <stp/>
        <stp>T&amp;T2</stp>
        <stp>PRE</stp>
        <stp>66</stp>
        <tr r="B74" s="1"/>
      </tp>
      <tp t="s">
        <v>A janela foi fechada</v>
        <stp/>
        <stp>T&amp;T1</stp>
        <stp>QUL</stp>
        <stp>71</stp>
        <tr r="I79" s="1"/>
      </tp>
      <tp t="s">
        <v>A janela foi fechada</v>
        <stp/>
        <stp>T&amp;T2</stp>
        <stp>QUL</stp>
        <stp>71</stp>
        <tr r="C79" s="1"/>
      </tp>
      <tp t="s">
        <v>A janela foi fechada</v>
        <stp/>
        <stp>T&amp;T1</stp>
        <stp>PRE</stp>
        <stp>67</stp>
        <tr r="H75" s="1"/>
      </tp>
      <tp t="s">
        <v>A janela foi fechada</v>
        <stp/>
        <stp>T&amp;T2</stp>
        <stp>PRE</stp>
        <stp>67</stp>
        <tr r="B75" s="1"/>
      </tp>
      <tp t="s">
        <v>A janela foi fechada</v>
        <stp/>
        <stp>T&amp;T1</stp>
        <stp>QUL</stp>
        <stp>70</stp>
        <tr r="I78" s="1"/>
      </tp>
      <tp t="s">
        <v>A janela foi fechada</v>
        <stp/>
        <stp>T&amp;T2</stp>
        <stp>QUL</stp>
        <stp>70</stp>
        <tr r="C78" s="1"/>
      </tp>
      <tp t="s">
        <v>A janela foi fechada</v>
        <stp/>
        <stp>T&amp;T1</stp>
        <stp>PRE</stp>
        <stp>64</stp>
        <tr r="H72" s="1"/>
      </tp>
      <tp t="s">
        <v>A janela foi fechada</v>
        <stp/>
        <stp>T&amp;T2</stp>
        <stp>PRE</stp>
        <stp>64</stp>
        <tr r="B72" s="1"/>
      </tp>
      <tp t="s">
        <v>A janela foi fechada</v>
        <stp/>
        <stp>T&amp;T1</stp>
        <stp>QUL</stp>
        <stp>73</stp>
        <tr r="I81" s="1"/>
      </tp>
      <tp t="s">
        <v>A janela foi fechada</v>
        <stp/>
        <stp>T&amp;T2</stp>
        <stp>QUL</stp>
        <stp>73</stp>
        <tr r="C81" s="1"/>
      </tp>
      <tp t="s">
        <v>A janela foi fechada</v>
        <stp/>
        <stp>T&amp;T1</stp>
        <stp>PRE</stp>
        <stp>65</stp>
        <tr r="H73" s="1"/>
      </tp>
      <tp t="s">
        <v>A janela foi fechada</v>
        <stp/>
        <stp>T&amp;T2</stp>
        <stp>PRE</stp>
        <stp>65</stp>
        <tr r="B73" s="1"/>
      </tp>
      <tp t="s">
        <v>A janela foi fechada</v>
        <stp/>
        <stp>T&amp;T1</stp>
        <stp>QUL</stp>
        <stp>72</stp>
        <tr r="I80" s="1"/>
      </tp>
      <tp t="s">
        <v>A janela foi fechada</v>
        <stp/>
        <stp>T&amp;T2</stp>
        <stp>QUL</stp>
        <stp>72</stp>
        <tr r="C80" s="1"/>
      </tp>
      <tp t="s">
        <v>A janela foi fechada</v>
        <stp/>
        <stp>T&amp;T1</stp>
        <stp>PRE</stp>
        <stp>62</stp>
        <tr r="H70" s="1"/>
      </tp>
      <tp t="s">
        <v>A janela foi fechada</v>
        <stp/>
        <stp>T&amp;T2</stp>
        <stp>PRE</stp>
        <stp>62</stp>
        <tr r="B70" s="1"/>
      </tp>
      <tp t="s">
        <v>A janela foi fechada</v>
        <stp/>
        <stp>T&amp;T1</stp>
        <stp>QUL</stp>
        <stp>75</stp>
        <tr r="I83" s="1"/>
      </tp>
      <tp t="s">
        <v>A janela foi fechada</v>
        <stp/>
        <stp>T&amp;T2</stp>
        <stp>QUL</stp>
        <stp>75</stp>
        <tr r="C83" s="1"/>
      </tp>
      <tp t="s">
        <v>A janela foi fechada</v>
        <stp/>
        <stp>T&amp;T1</stp>
        <stp>PRE</stp>
        <stp>63</stp>
        <tr r="H71" s="1"/>
      </tp>
      <tp t="s">
        <v>A janela foi fechada</v>
        <stp/>
        <stp>T&amp;T2</stp>
        <stp>PRE</stp>
        <stp>63</stp>
        <tr r="B71" s="1"/>
      </tp>
      <tp t="s">
        <v>A janela foi fechada</v>
        <stp/>
        <stp>T&amp;T1</stp>
        <stp>QUL</stp>
        <stp>74</stp>
        <tr r="I82" s="1"/>
      </tp>
      <tp t="s">
        <v>A janela foi fechada</v>
        <stp/>
        <stp>T&amp;T2</stp>
        <stp>QUL</stp>
        <stp>74</stp>
        <tr r="C82" s="1"/>
      </tp>
      <tp t="s">
        <v>A janela foi fechada</v>
        <stp/>
        <stp>T&amp;T1</stp>
        <stp>PRE</stp>
        <stp>60</stp>
        <tr r="H68" s="1"/>
      </tp>
      <tp t="s">
        <v>A janela foi fechada</v>
        <stp/>
        <stp>T&amp;T2</stp>
        <stp>PRE</stp>
        <stp>60</stp>
        <tr r="B68" s="1"/>
      </tp>
      <tp t="s">
        <v>A janela foi fechada</v>
        <stp/>
        <stp>T&amp;T1</stp>
        <stp>QUL</stp>
        <stp>77</stp>
        <tr r="I85" s="1"/>
      </tp>
      <tp t="s">
        <v>A janela foi fechada</v>
        <stp/>
        <stp>T&amp;T2</stp>
        <stp>QUL</stp>
        <stp>77</stp>
        <tr r="C85" s="1"/>
      </tp>
      <tp t="s">
        <v>A janela foi fechada</v>
        <stp/>
        <stp>T&amp;T1</stp>
        <stp>PRE</stp>
        <stp>61</stp>
        <tr r="H69" s="1"/>
      </tp>
      <tp t="s">
        <v>A janela foi fechada</v>
        <stp/>
        <stp>T&amp;T2</stp>
        <stp>PRE</stp>
        <stp>61</stp>
        <tr r="B69" s="1"/>
      </tp>
      <tp t="s">
        <v>A janela foi fechada</v>
        <stp/>
        <stp>T&amp;T1</stp>
        <stp>QUL</stp>
        <stp>76</stp>
        <tr r="I84" s="1"/>
      </tp>
      <tp t="s">
        <v>A janela foi fechada</v>
        <stp/>
        <stp>T&amp;T2</stp>
        <stp>QUL</stp>
        <stp>76</stp>
        <tr r="C84" s="1"/>
      </tp>
      <tp t="s">
        <v>A janela foi fechada</v>
        <stp/>
        <stp>T&amp;T1</stp>
        <stp>QUL</stp>
        <stp>69</stp>
        <tr r="I77" s="1"/>
      </tp>
      <tp t="s">
        <v>A janela foi fechada</v>
        <stp/>
        <stp>T&amp;T2</stp>
        <stp>QUL</stp>
        <stp>69</stp>
        <tr r="C77" s="1"/>
      </tp>
      <tp t="s">
        <v>A janela foi fechada</v>
        <stp/>
        <stp>T&amp;T1</stp>
        <stp>QUL</stp>
        <stp>68</stp>
        <tr r="I76" s="1"/>
      </tp>
      <tp t="s">
        <v>A janela foi fechada</v>
        <stp/>
        <stp>T&amp;T2</stp>
        <stp>QUL</stp>
        <stp>68</stp>
        <tr r="C76" s="1"/>
      </tp>
      <tp t="s">
        <v>A janela foi fechada</v>
        <stp/>
        <stp>T&amp;T1</stp>
        <stp>PRE</stp>
        <stp>78</stp>
        <tr r="H86" s="1"/>
      </tp>
      <tp t="s">
        <v>A janela foi fechada</v>
        <stp/>
        <stp>T&amp;T2</stp>
        <stp>PRE</stp>
        <stp>78</stp>
        <tr r="B86" s="1"/>
      </tp>
      <tp t="s">
        <v>A janela foi fechada</v>
        <stp/>
        <stp>T&amp;T1</stp>
        <stp>PRE</stp>
        <stp>79</stp>
        <tr r="H87" s="1"/>
      </tp>
      <tp t="s">
        <v>A janela foi fechada</v>
        <stp/>
        <stp>T&amp;T2</stp>
        <stp>PRE</stp>
        <stp>79</stp>
        <tr r="B87" s="1"/>
      </tp>
      <tp t="s">
        <v>A janela foi fechada</v>
        <stp/>
        <stp>T&amp;T1</stp>
        <stp>PRE</stp>
        <stp>76</stp>
        <tr r="H84" s="1"/>
      </tp>
      <tp t="s">
        <v>A janela foi fechada</v>
        <stp/>
        <stp>T&amp;T2</stp>
        <stp>PRE</stp>
        <stp>76</stp>
        <tr r="B84" s="1"/>
      </tp>
      <tp t="s">
        <v>A janela foi fechada</v>
        <stp/>
        <stp>T&amp;T1</stp>
        <stp>QUL</stp>
        <stp>61</stp>
        <tr r="I69" s="1"/>
      </tp>
      <tp t="s">
        <v>A janela foi fechada</v>
        <stp/>
        <stp>T&amp;T2</stp>
        <stp>QUL</stp>
        <stp>61</stp>
        <tr r="C69" s="1"/>
      </tp>
      <tp t="s">
        <v>A janela foi fechada</v>
        <stp/>
        <stp>T&amp;T1</stp>
        <stp>PRE</stp>
        <stp>77</stp>
        <tr r="H85" s="1"/>
      </tp>
      <tp t="s">
        <v>A janela foi fechada</v>
        <stp/>
        <stp>T&amp;T2</stp>
        <stp>PRE</stp>
        <stp>77</stp>
        <tr r="B85" s="1"/>
      </tp>
      <tp t="s">
        <v>A janela foi fechada</v>
        <stp/>
        <stp>T&amp;T1</stp>
        <stp>QUL</stp>
        <stp>60</stp>
        <tr r="I68" s="1"/>
      </tp>
      <tp t="s">
        <v>A janela foi fechada</v>
        <stp/>
        <stp>T&amp;T2</stp>
        <stp>QUL</stp>
        <stp>60</stp>
        <tr r="C68" s="1"/>
      </tp>
      <tp t="s">
        <v>A janela foi fechada</v>
        <stp/>
        <stp>T&amp;T1</stp>
        <stp>PRE</stp>
        <stp>74</stp>
        <tr r="H82" s="1"/>
      </tp>
      <tp t="s">
        <v>A janela foi fechada</v>
        <stp/>
        <stp>T&amp;T2</stp>
        <stp>PRE</stp>
        <stp>74</stp>
        <tr r="B82" s="1"/>
      </tp>
      <tp t="s">
        <v>A janela foi fechada</v>
        <stp/>
        <stp>T&amp;T1</stp>
        <stp>QUL</stp>
        <stp>63</stp>
        <tr r="I71" s="1"/>
      </tp>
      <tp t="s">
        <v>A janela foi fechada</v>
        <stp/>
        <stp>T&amp;T2</stp>
        <stp>QUL</stp>
        <stp>63</stp>
        <tr r="C71" s="1"/>
      </tp>
      <tp t="s">
        <v>A janela foi fechada</v>
        <stp/>
        <stp>T&amp;T1</stp>
        <stp>PRE</stp>
        <stp>75</stp>
        <tr r="H83" s="1"/>
      </tp>
      <tp t="s">
        <v>A janela foi fechada</v>
        <stp/>
        <stp>T&amp;T2</stp>
        <stp>PRE</stp>
        <stp>75</stp>
        <tr r="B83" s="1"/>
      </tp>
      <tp t="s">
        <v>A janela foi fechada</v>
        <stp/>
        <stp>T&amp;T1</stp>
        <stp>QUL</stp>
        <stp>62</stp>
        <tr r="I70" s="1"/>
      </tp>
      <tp t="s">
        <v>A janela foi fechada</v>
        <stp/>
        <stp>T&amp;T2</stp>
        <stp>QUL</stp>
        <stp>62</stp>
        <tr r="C70" s="1"/>
      </tp>
      <tp t="s">
        <v>A janela foi fechada</v>
        <stp/>
        <stp>T&amp;T1</stp>
        <stp>PRE</stp>
        <stp>72</stp>
        <tr r="H80" s="1"/>
      </tp>
      <tp t="s">
        <v>A janela foi fechada</v>
        <stp/>
        <stp>T&amp;T2</stp>
        <stp>PRE</stp>
        <stp>72</stp>
        <tr r="B80" s="1"/>
      </tp>
      <tp t="s">
        <v>A janela foi fechada</v>
        <stp/>
        <stp>T&amp;T1</stp>
        <stp>QUL</stp>
        <stp>65</stp>
        <tr r="I73" s="1"/>
      </tp>
      <tp t="s">
        <v>A janela foi fechada</v>
        <stp/>
        <stp>T&amp;T2</stp>
        <stp>QUL</stp>
        <stp>65</stp>
        <tr r="C73" s="1"/>
      </tp>
      <tp t="s">
        <v>A janela foi fechada</v>
        <stp/>
        <stp>T&amp;T1</stp>
        <stp>PRE</stp>
        <stp>73</stp>
        <tr r="H81" s="1"/>
      </tp>
      <tp t="s">
        <v>A janela foi fechada</v>
        <stp/>
        <stp>T&amp;T2</stp>
        <stp>PRE</stp>
        <stp>73</stp>
        <tr r="B81" s="1"/>
      </tp>
      <tp t="s">
        <v>A janela foi fechada</v>
        <stp/>
        <stp>T&amp;T1</stp>
        <stp>QUL</stp>
        <stp>64</stp>
        <tr r="I72" s="1"/>
      </tp>
      <tp t="s">
        <v>A janela foi fechada</v>
        <stp/>
        <stp>T&amp;T2</stp>
        <stp>QUL</stp>
        <stp>64</stp>
        <tr r="C72" s="1"/>
      </tp>
      <tp t="s">
        <v>A janela foi fechada</v>
        <stp/>
        <stp>T&amp;T1</stp>
        <stp>PRE</stp>
        <stp>70</stp>
        <tr r="H78" s="1"/>
      </tp>
      <tp t="s">
        <v>A janela foi fechada</v>
        <stp/>
        <stp>T&amp;T2</stp>
        <stp>PRE</stp>
        <stp>70</stp>
        <tr r="B78" s="1"/>
      </tp>
      <tp t="s">
        <v>A janela foi fechada</v>
        <stp/>
        <stp>T&amp;T1</stp>
        <stp>QUL</stp>
        <stp>67</stp>
        <tr r="I75" s="1"/>
      </tp>
      <tp t="s">
        <v>A janela foi fechada</v>
        <stp/>
        <stp>T&amp;T2</stp>
        <stp>QUL</stp>
        <stp>67</stp>
        <tr r="C75" s="1"/>
      </tp>
      <tp t="s">
        <v>A janela foi fechada</v>
        <stp/>
        <stp>T&amp;T1</stp>
        <stp>PRE</stp>
        <stp>71</stp>
        <tr r="H79" s="1"/>
      </tp>
      <tp t="s">
        <v>A janela foi fechada</v>
        <stp/>
        <stp>T&amp;T2</stp>
        <stp>PRE</stp>
        <stp>71</stp>
        <tr r="B79" s="1"/>
      </tp>
      <tp t="s">
        <v>A janela foi fechada</v>
        <stp/>
        <stp>T&amp;T1</stp>
        <stp>QUL</stp>
        <stp>66</stp>
        <tr r="I74" s="1"/>
      </tp>
      <tp t="s">
        <v>A janela foi fechada</v>
        <stp/>
        <stp>T&amp;T2</stp>
        <stp>QUL</stp>
        <stp>66</stp>
        <tr r="C74" s="1"/>
      </tp>
      <tp t="s">
        <v>A janela foi fechada</v>
        <stp/>
        <stp>T&amp;T1</stp>
        <stp>QUL</stp>
        <stp>59</stp>
        <tr r="I67" s="1"/>
      </tp>
      <tp t="s">
        <v>A janela foi fechada</v>
        <stp/>
        <stp>T&amp;T2</stp>
        <stp>QUL</stp>
        <stp>59</stp>
        <tr r="C67" s="1"/>
      </tp>
      <tp t="s">
        <v>A janela foi fechada</v>
        <stp/>
        <stp>T&amp;T1</stp>
        <stp>QUL</stp>
        <stp>58</stp>
        <tr r="I66" s="1"/>
      </tp>
      <tp t="s">
        <v>A janela foi fechada</v>
        <stp/>
        <stp>T&amp;T2</stp>
        <stp>QUL</stp>
        <stp>58</stp>
        <tr r="C66" s="1"/>
      </tp>
      <tp t="s">
        <v>A janela foi fechada</v>
        <stp/>
        <stp>T&amp;T1</stp>
        <stp>PRE</stp>
        <stp>48</stp>
        <tr r="H56" s="1"/>
      </tp>
      <tp t="s">
        <v>A janela foi fechada</v>
        <stp/>
        <stp>T&amp;T2</stp>
        <stp>PRE</stp>
        <stp>48</stp>
        <tr r="B56" s="1"/>
      </tp>
      <tp t="s">
        <v>A janela foi fechada</v>
        <stp/>
        <stp>T&amp;T1</stp>
        <stp>PRE</stp>
        <stp>49</stp>
        <tr r="H57" s="1"/>
      </tp>
      <tp t="s">
        <v>A janela foi fechada</v>
        <stp/>
        <stp>T&amp;T2</stp>
        <stp>PRE</stp>
        <stp>49</stp>
        <tr r="B57" s="1"/>
      </tp>
      <tp t="s">
        <v>A janela foi fechada</v>
        <stp/>
        <stp>T&amp;T1</stp>
        <stp>PRE</stp>
        <stp>46</stp>
        <tr r="H54" s="1"/>
      </tp>
      <tp t="s">
        <v>A janela foi fechada</v>
        <stp/>
        <stp>T&amp;T2</stp>
        <stp>PRE</stp>
        <stp>46</stp>
        <tr r="B54" s="1"/>
      </tp>
      <tp t="s">
        <v>A janela foi fechada</v>
        <stp/>
        <stp>T&amp;T1</stp>
        <stp>QUL</stp>
        <stp>51</stp>
        <tr r="I59" s="1"/>
      </tp>
      <tp t="s">
        <v>A janela foi fechada</v>
        <stp/>
        <stp>T&amp;T2</stp>
        <stp>QUL</stp>
        <stp>51</stp>
        <tr r="C59" s="1"/>
      </tp>
      <tp t="s">
        <v>A janela foi fechada</v>
        <stp/>
        <stp>T&amp;T1</stp>
        <stp>PRE</stp>
        <stp>47</stp>
        <tr r="H55" s="1"/>
      </tp>
      <tp t="s">
        <v>A janela foi fechada</v>
        <stp/>
        <stp>T&amp;T2</stp>
        <stp>PRE</stp>
        <stp>47</stp>
        <tr r="B55" s="1"/>
      </tp>
      <tp t="s">
        <v>A janela foi fechada</v>
        <stp/>
        <stp>T&amp;T1</stp>
        <stp>QUL</stp>
        <stp>50</stp>
        <tr r="I58" s="1"/>
      </tp>
      <tp t="s">
        <v>A janela foi fechada</v>
        <stp/>
        <stp>T&amp;T2</stp>
        <stp>QUL</stp>
        <stp>50</stp>
        <tr r="C58" s="1"/>
      </tp>
      <tp t="s">
        <v>A janela foi fechada</v>
        <stp/>
        <stp>T&amp;T1</stp>
        <stp>PRE</stp>
        <stp>44</stp>
        <tr r="H52" s="1"/>
      </tp>
      <tp t="s">
        <v>A janela foi fechada</v>
        <stp/>
        <stp>T&amp;T2</stp>
        <stp>PRE</stp>
        <stp>44</stp>
        <tr r="B52" s="1"/>
      </tp>
      <tp t="s">
        <v>A janela foi fechada</v>
        <stp/>
        <stp>T&amp;T1</stp>
        <stp>QUL</stp>
        <stp>53</stp>
        <tr r="I61" s="1"/>
      </tp>
      <tp t="s">
        <v>A janela foi fechada</v>
        <stp/>
        <stp>T&amp;T2</stp>
        <stp>QUL</stp>
        <stp>53</stp>
        <tr r="C61" s="1"/>
      </tp>
      <tp t="s">
        <v>A janela foi fechada</v>
        <stp/>
        <stp>T&amp;T1</stp>
        <stp>PRE</stp>
        <stp>45</stp>
        <tr r="H53" s="1"/>
      </tp>
      <tp t="s">
        <v>A janela foi fechada</v>
        <stp/>
        <stp>T&amp;T2</stp>
        <stp>PRE</stp>
        <stp>45</stp>
        <tr r="B53" s="1"/>
      </tp>
      <tp t="s">
        <v>A janela foi fechada</v>
        <stp/>
        <stp>T&amp;T1</stp>
        <stp>QUL</stp>
        <stp>52</stp>
        <tr r="I60" s="1"/>
      </tp>
      <tp t="s">
        <v>A janela foi fechada</v>
        <stp/>
        <stp>T&amp;T2</stp>
        <stp>QUL</stp>
        <stp>52</stp>
        <tr r="C60" s="1"/>
      </tp>
      <tp t="s">
        <v>A janela foi fechada</v>
        <stp/>
        <stp>T&amp;T1</stp>
        <stp>PRE</stp>
        <stp>42</stp>
        <tr r="H50" s="1"/>
      </tp>
      <tp t="s">
        <v>A janela foi fechada</v>
        <stp/>
        <stp>T&amp;T2</stp>
        <stp>PRE</stp>
        <stp>42</stp>
        <tr r="B50" s="1"/>
      </tp>
      <tp t="s">
        <v>A janela foi fechada</v>
        <stp/>
        <stp>T&amp;T1</stp>
        <stp>QUL</stp>
        <stp>55</stp>
        <tr r="I63" s="1"/>
      </tp>
      <tp t="s">
        <v>A janela foi fechada</v>
        <stp/>
        <stp>T&amp;T2</stp>
        <stp>QUL</stp>
        <stp>55</stp>
        <tr r="C63" s="1"/>
      </tp>
      <tp t="s">
        <v>A janela foi fechada</v>
        <stp/>
        <stp>T&amp;T1</stp>
        <stp>PRE</stp>
        <stp>43</stp>
        <tr r="H51" s="1"/>
      </tp>
      <tp t="s">
        <v>A janela foi fechada</v>
        <stp/>
        <stp>T&amp;T2</stp>
        <stp>PRE</stp>
        <stp>43</stp>
        <tr r="B51" s="1"/>
      </tp>
      <tp t="s">
        <v>A janela foi fechada</v>
        <stp/>
        <stp>T&amp;T1</stp>
        <stp>QUL</stp>
        <stp>54</stp>
        <tr r="I62" s="1"/>
      </tp>
      <tp t="s">
        <v>A janela foi fechada</v>
        <stp/>
        <stp>T&amp;T2</stp>
        <stp>QUL</stp>
        <stp>54</stp>
        <tr r="C62" s="1"/>
      </tp>
      <tp t="s">
        <v>A janela foi fechada</v>
        <stp/>
        <stp>T&amp;T1</stp>
        <stp>PRE</stp>
        <stp>40</stp>
        <tr r="H48" s="1"/>
      </tp>
      <tp t="s">
        <v>A janela foi fechada</v>
        <stp/>
        <stp>T&amp;T2</stp>
        <stp>PRE</stp>
        <stp>40</stp>
        <tr r="B48" s="1"/>
      </tp>
      <tp t="s">
        <v>A janela foi fechada</v>
        <stp/>
        <stp>T&amp;T1</stp>
        <stp>QUL</stp>
        <stp>57</stp>
        <tr r="I65" s="1"/>
      </tp>
      <tp t="s">
        <v>A janela foi fechada</v>
        <stp/>
        <stp>T&amp;T2</stp>
        <stp>QUL</stp>
        <stp>57</stp>
        <tr r="C65" s="1"/>
      </tp>
      <tp t="s">
        <v>A janela foi fechada</v>
        <stp/>
        <stp>T&amp;T1</stp>
        <stp>PRE</stp>
        <stp>41</stp>
        <tr r="H49" s="1"/>
      </tp>
      <tp t="s">
        <v>A janela foi fechada</v>
        <stp/>
        <stp>T&amp;T2</stp>
        <stp>PRE</stp>
        <stp>41</stp>
        <tr r="B49" s="1"/>
      </tp>
      <tp t="s">
        <v>A janela foi fechada</v>
        <stp/>
        <stp>T&amp;T1</stp>
        <stp>QUL</stp>
        <stp>56</stp>
        <tr r="I64" s="1"/>
      </tp>
      <tp t="s">
        <v>A janela foi fechada</v>
        <stp/>
        <stp>T&amp;T2</stp>
        <stp>QUL</stp>
        <stp>56</stp>
        <tr r="C64" s="1"/>
      </tp>
      <tp t="s">
        <v>A janela foi fechada</v>
        <stp/>
        <stp>T&amp;T1</stp>
        <stp>QUL</stp>
        <stp>49</stp>
        <tr r="I57" s="1"/>
      </tp>
      <tp t="s">
        <v>A janela foi fechada</v>
        <stp/>
        <stp>T&amp;T2</stp>
        <stp>QUL</stp>
        <stp>49</stp>
        <tr r="C57" s="1"/>
      </tp>
      <tp t="s">
        <v>A janela foi fechada</v>
        <stp/>
        <stp>T&amp;T1</stp>
        <stp>QUL</stp>
        <stp>48</stp>
        <tr r="I56" s="1"/>
      </tp>
      <tp t="s">
        <v>A janela foi fechada</v>
        <stp/>
        <stp>T&amp;T2</stp>
        <stp>QUL</stp>
        <stp>48</stp>
        <tr r="C56" s="1"/>
      </tp>
      <tp t="s">
        <v>A janela foi fechada</v>
        <stp/>
        <stp>T&amp;T1</stp>
        <stp>PRE</stp>
        <stp>58</stp>
        <tr r="H66" s="1"/>
      </tp>
      <tp t="s">
        <v>A janela foi fechada</v>
        <stp/>
        <stp>T&amp;T2</stp>
        <stp>PRE</stp>
        <stp>58</stp>
        <tr r="B66" s="1"/>
      </tp>
      <tp t="s">
        <v>A janela foi fechada</v>
        <stp/>
        <stp>T&amp;T1</stp>
        <stp>PRE</stp>
        <stp>59</stp>
        <tr r="H67" s="1"/>
      </tp>
      <tp t="s">
        <v>A janela foi fechada</v>
        <stp/>
        <stp>T&amp;T2</stp>
        <stp>PRE</stp>
        <stp>59</stp>
        <tr r="B67" s="1"/>
      </tp>
      <tp t="s">
        <v>A janela foi fechada</v>
        <stp/>
        <stp>T&amp;T1</stp>
        <stp>PRE</stp>
        <stp>56</stp>
        <tr r="H64" s="1"/>
      </tp>
      <tp t="s">
        <v>A janela foi fechada</v>
        <stp/>
        <stp>T&amp;T2</stp>
        <stp>PRE</stp>
        <stp>56</stp>
        <tr r="B64" s="1"/>
      </tp>
      <tp t="s">
        <v>A janela foi fechada</v>
        <stp/>
        <stp>T&amp;T1</stp>
        <stp>QUL</stp>
        <stp>41</stp>
        <tr r="I49" s="1"/>
      </tp>
      <tp t="s">
        <v>A janela foi fechada</v>
        <stp/>
        <stp>T&amp;T2</stp>
        <stp>QUL</stp>
        <stp>41</stp>
        <tr r="C49" s="1"/>
      </tp>
      <tp t="s">
        <v>A janela foi fechada</v>
        <stp/>
        <stp>T&amp;T1</stp>
        <stp>PRE</stp>
        <stp>57</stp>
        <tr r="H65" s="1"/>
      </tp>
      <tp t="s">
        <v>A janela foi fechada</v>
        <stp/>
        <stp>T&amp;T2</stp>
        <stp>PRE</stp>
        <stp>57</stp>
        <tr r="B65" s="1"/>
      </tp>
      <tp t="s">
        <v>A janela foi fechada</v>
        <stp/>
        <stp>T&amp;T1</stp>
        <stp>QUL</stp>
        <stp>40</stp>
        <tr r="I48" s="1"/>
      </tp>
      <tp t="s">
        <v>A janela foi fechada</v>
        <stp/>
        <stp>T&amp;T2</stp>
        <stp>QUL</stp>
        <stp>40</stp>
        <tr r="C48" s="1"/>
      </tp>
      <tp t="s">
        <v>A janela foi fechada</v>
        <stp/>
        <stp>T&amp;T1</stp>
        <stp>PRE</stp>
        <stp>54</stp>
        <tr r="H62" s="1"/>
      </tp>
      <tp t="s">
        <v>A janela foi fechada</v>
        <stp/>
        <stp>T&amp;T2</stp>
        <stp>PRE</stp>
        <stp>54</stp>
        <tr r="B62" s="1"/>
      </tp>
      <tp t="s">
        <v>A janela foi fechada</v>
        <stp/>
        <stp>T&amp;T1</stp>
        <stp>QUL</stp>
        <stp>43</stp>
        <tr r="I51" s="1"/>
      </tp>
      <tp t="s">
        <v>A janela foi fechada</v>
        <stp/>
        <stp>T&amp;T2</stp>
        <stp>QUL</stp>
        <stp>43</stp>
        <tr r="C51" s="1"/>
      </tp>
      <tp t="s">
        <v>A janela foi fechada</v>
        <stp/>
        <stp>T&amp;T1</stp>
        <stp>PRE</stp>
        <stp>55</stp>
        <tr r="H63" s="1"/>
      </tp>
      <tp t="s">
        <v>A janela foi fechada</v>
        <stp/>
        <stp>T&amp;T2</stp>
        <stp>PRE</stp>
        <stp>55</stp>
        <tr r="B63" s="1"/>
      </tp>
      <tp t="s">
        <v>A janela foi fechada</v>
        <stp/>
        <stp>T&amp;T1</stp>
        <stp>QUL</stp>
        <stp>42</stp>
        <tr r="I50" s="1"/>
      </tp>
      <tp t="s">
        <v>A janela foi fechada</v>
        <stp/>
        <stp>T&amp;T2</stp>
        <stp>QUL</stp>
        <stp>42</stp>
        <tr r="C50" s="1"/>
      </tp>
      <tp t="s">
        <v>A janela foi fechada</v>
        <stp/>
        <stp>T&amp;T1</stp>
        <stp>PRE</stp>
        <stp>52</stp>
        <tr r="H60" s="1"/>
      </tp>
      <tp t="s">
        <v>A janela foi fechada</v>
        <stp/>
        <stp>T&amp;T2</stp>
        <stp>PRE</stp>
        <stp>52</stp>
        <tr r="B60" s="1"/>
      </tp>
      <tp t="s">
        <v>A janela foi fechada</v>
        <stp/>
        <stp>T&amp;T1</stp>
        <stp>QUL</stp>
        <stp>45</stp>
        <tr r="I53" s="1"/>
      </tp>
      <tp t="s">
        <v>A janela foi fechada</v>
        <stp/>
        <stp>T&amp;T2</stp>
        <stp>QUL</stp>
        <stp>45</stp>
        <tr r="C53" s="1"/>
      </tp>
      <tp t="s">
        <v>A janela foi fechada</v>
        <stp/>
        <stp>T&amp;T1</stp>
        <stp>PRE</stp>
        <stp>53</stp>
        <tr r="H61" s="1"/>
      </tp>
      <tp t="s">
        <v>A janela foi fechada</v>
        <stp/>
        <stp>T&amp;T2</stp>
        <stp>PRE</stp>
        <stp>53</stp>
        <tr r="B61" s="1"/>
      </tp>
      <tp t="s">
        <v>A janela foi fechada</v>
        <stp/>
        <stp>T&amp;T1</stp>
        <stp>QUL</stp>
        <stp>44</stp>
        <tr r="I52" s="1"/>
      </tp>
      <tp t="s">
        <v>A janela foi fechada</v>
        <stp/>
        <stp>T&amp;T2</stp>
        <stp>QUL</stp>
        <stp>44</stp>
        <tr r="C52" s="1"/>
      </tp>
      <tp t="s">
        <v>A janela foi fechada</v>
        <stp/>
        <stp>T&amp;T1</stp>
        <stp>PRE</stp>
        <stp>50</stp>
        <tr r="H58" s="1"/>
      </tp>
      <tp t="s">
        <v>A janela foi fechada</v>
        <stp/>
        <stp>T&amp;T2</stp>
        <stp>PRE</stp>
        <stp>50</stp>
        <tr r="B58" s="1"/>
      </tp>
      <tp t="s">
        <v>A janela foi fechada</v>
        <stp/>
        <stp>T&amp;T1</stp>
        <stp>QUL</stp>
        <stp>47</stp>
        <tr r="I55" s="1"/>
      </tp>
      <tp t="s">
        <v>A janela foi fechada</v>
        <stp/>
        <stp>T&amp;T2</stp>
        <stp>QUL</stp>
        <stp>47</stp>
        <tr r="C55" s="1"/>
      </tp>
      <tp t="s">
        <v>A janela foi fechada</v>
        <stp/>
        <stp>T&amp;T1</stp>
        <stp>PRE</stp>
        <stp>51</stp>
        <tr r="H59" s="1"/>
      </tp>
      <tp t="s">
        <v>A janela foi fechada</v>
        <stp/>
        <stp>T&amp;T2</stp>
        <stp>PRE</stp>
        <stp>51</stp>
        <tr r="B59" s="1"/>
      </tp>
      <tp t="s">
        <v>A janela foi fechada</v>
        <stp/>
        <stp>T&amp;T1</stp>
        <stp>QUL</stp>
        <stp>46</stp>
        <tr r="I54" s="1"/>
      </tp>
      <tp t="s">
        <v>A janela foi fechada</v>
        <stp/>
        <stp>T&amp;T2</stp>
        <stp>QUL</stp>
        <stp>46</stp>
        <tr r="C54" s="1"/>
      </tp>
      <tp t="s">
        <v>A janela foi fechada</v>
        <stp/>
        <stp>T&amp;T2</stp>
        <stp>AGR</stp>
        <stp>99</stp>
        <tr r="D107" s="1"/>
      </tp>
      <tp t="s">
        <v>A janela foi fechada</v>
        <stp/>
        <stp>T&amp;T1</stp>
        <stp>AGR</stp>
        <stp>99</stp>
        <tr r="J107" s="1"/>
      </tp>
      <tp t="s">
        <v>A janela foi fechada</v>
        <stp/>
        <stp>T&amp;T2</stp>
        <stp>AGR</stp>
        <stp>98</stp>
        <tr r="D106" s="1"/>
      </tp>
      <tp t="s">
        <v>A janela foi fechada</v>
        <stp/>
        <stp>T&amp;T1</stp>
        <stp>AGR</stp>
        <stp>98</stp>
        <tr r="J106" s="1"/>
      </tp>
      <tp t="s">
        <v>A janela foi fechada</v>
        <stp/>
        <stp>T&amp;T2</stp>
        <stp>AGR</stp>
        <stp>93</stp>
        <tr r="D101" s="1"/>
      </tp>
      <tp t="s">
        <v>A janela foi fechada</v>
        <stp/>
        <stp>T&amp;T1</stp>
        <stp>AGR</stp>
        <stp>93</stp>
        <tr r="J101" s="1"/>
      </tp>
      <tp t="s">
        <v>A janela foi fechada</v>
        <stp/>
        <stp>T&amp;T2</stp>
        <stp>AGR</stp>
        <stp>92</stp>
        <tr r="D100" s="1"/>
      </tp>
      <tp t="s">
        <v>A janela foi fechada</v>
        <stp/>
        <stp>T&amp;T1</stp>
        <stp>AGR</stp>
        <stp>92</stp>
        <tr r="J100" s="1"/>
      </tp>
      <tp t="s">
        <v>A janela foi fechada</v>
        <stp/>
        <stp>T&amp;T2</stp>
        <stp>AGR</stp>
        <stp>91</stp>
        <tr r="D99" s="1"/>
      </tp>
      <tp t="s">
        <v>A janela foi fechada</v>
        <stp/>
        <stp>T&amp;T1</stp>
        <stp>AGR</stp>
        <stp>91</stp>
        <tr r="J99" s="1"/>
      </tp>
      <tp t="s">
        <v>A janela foi fechada</v>
        <stp/>
        <stp>T&amp;T2</stp>
        <stp>AGR</stp>
        <stp>90</stp>
        <tr r="D98" s="1"/>
      </tp>
      <tp t="s">
        <v>A janela foi fechada</v>
        <stp/>
        <stp>T&amp;T1</stp>
        <stp>AGR</stp>
        <stp>90</stp>
        <tr r="J98" s="1"/>
      </tp>
      <tp t="s">
        <v>A janela foi fechada</v>
        <stp/>
        <stp>T&amp;T2</stp>
        <stp>AGR</stp>
        <stp>97</stp>
        <tr r="D105" s="1"/>
      </tp>
      <tp t="s">
        <v>A janela foi fechada</v>
        <stp/>
        <stp>T&amp;T1</stp>
        <stp>AGR</stp>
        <stp>97</stp>
        <tr r="J105" s="1"/>
      </tp>
      <tp t="s">
        <v>A janela foi fechada</v>
        <stp/>
        <stp>T&amp;T2</stp>
        <stp>AGR</stp>
        <stp>96</stp>
        <tr r="D104" s="1"/>
      </tp>
      <tp t="s">
        <v>A janela foi fechada</v>
        <stp/>
        <stp>T&amp;T1</stp>
        <stp>AGR</stp>
        <stp>96</stp>
        <tr r="J104" s="1"/>
      </tp>
      <tp t="s">
        <v>A janela foi fechada</v>
        <stp/>
        <stp>T&amp;T2</stp>
        <stp>AGR</stp>
        <stp>95</stp>
        <tr r="D103" s="1"/>
      </tp>
      <tp t="s">
        <v>A janela foi fechada</v>
        <stp/>
        <stp>T&amp;T1</stp>
        <stp>AGR</stp>
        <stp>95</stp>
        <tr r="J103" s="1"/>
      </tp>
      <tp t="s">
        <v>A janela foi fechada</v>
        <stp/>
        <stp>T&amp;T2</stp>
        <stp>AGR</stp>
        <stp>94</stp>
        <tr r="D102" s="1"/>
      </tp>
      <tp t="s">
        <v>A janela foi fechada</v>
        <stp/>
        <stp>T&amp;T1</stp>
        <stp>AGR</stp>
        <stp>94</stp>
        <tr r="J102" s="1"/>
      </tp>
      <tp t="s">
        <v>A janela foi fechada</v>
        <stp/>
        <stp>T&amp;T2</stp>
        <stp>AGR</stp>
        <stp>89</stp>
        <tr r="D97" s="1"/>
      </tp>
      <tp t="s">
        <v>A janela foi fechada</v>
        <stp/>
        <stp>T&amp;T1</stp>
        <stp>AGR</stp>
        <stp>89</stp>
        <tr r="J97" s="1"/>
      </tp>
      <tp t="s">
        <v>A janela foi fechada</v>
        <stp/>
        <stp>T&amp;T2</stp>
        <stp>AGR</stp>
        <stp>88</stp>
        <tr r="D96" s="1"/>
      </tp>
      <tp t="s">
        <v>A janela foi fechada</v>
        <stp/>
        <stp>T&amp;T1</stp>
        <stp>AGR</stp>
        <stp>88</stp>
        <tr r="J96" s="1"/>
      </tp>
      <tp t="s">
        <v>A janela foi fechada</v>
        <stp/>
        <stp>T&amp;T2</stp>
        <stp>AGR</stp>
        <stp>83</stp>
        <tr r="D91" s="1"/>
      </tp>
      <tp t="s">
        <v>A janela foi fechada</v>
        <stp/>
        <stp>T&amp;T1</stp>
        <stp>AGR</stp>
        <stp>83</stp>
        <tr r="J91" s="1"/>
      </tp>
      <tp t="s">
        <v>A janela foi fechada</v>
        <stp/>
        <stp>T&amp;T2</stp>
        <stp>AGR</stp>
        <stp>82</stp>
        <tr r="D90" s="1"/>
      </tp>
      <tp t="s">
        <v>A janela foi fechada</v>
        <stp/>
        <stp>T&amp;T1</stp>
        <stp>AGR</stp>
        <stp>82</stp>
        <tr r="J90" s="1"/>
      </tp>
      <tp t="s">
        <v>A janela foi fechada</v>
        <stp/>
        <stp>T&amp;T2</stp>
        <stp>AGR</stp>
        <stp>81</stp>
        <tr r="D89" s="1"/>
      </tp>
      <tp t="s">
        <v>A janela foi fechada</v>
        <stp/>
        <stp>T&amp;T1</stp>
        <stp>AGR</stp>
        <stp>81</stp>
        <tr r="J89" s="1"/>
      </tp>
      <tp t="s">
        <v>A janela foi fechada</v>
        <stp/>
        <stp>T&amp;T2</stp>
        <stp>AGR</stp>
        <stp>80</stp>
        <tr r="D88" s="1"/>
      </tp>
      <tp t="s">
        <v>A janela foi fechada</v>
        <stp/>
        <stp>T&amp;T1</stp>
        <stp>AGR</stp>
        <stp>80</stp>
        <tr r="J88" s="1"/>
      </tp>
      <tp t="s">
        <v>A janela foi fechada</v>
        <stp/>
        <stp>T&amp;T2</stp>
        <stp>AGR</stp>
        <stp>87</stp>
        <tr r="D95" s="1"/>
      </tp>
      <tp t="s">
        <v>A janela foi fechada</v>
        <stp/>
        <stp>T&amp;T1</stp>
        <stp>AGR</stp>
        <stp>87</stp>
        <tr r="J95" s="1"/>
      </tp>
      <tp t="s">
        <v>A janela foi fechada</v>
        <stp/>
        <stp>T&amp;T2</stp>
        <stp>AGR</stp>
        <stp>86</stp>
        <tr r="D94" s="1"/>
      </tp>
      <tp t="s">
        <v>A janela foi fechada</v>
        <stp/>
        <stp>T&amp;T1</stp>
        <stp>AGR</stp>
        <stp>86</stp>
        <tr r="J94" s="1"/>
      </tp>
      <tp t="s">
        <v>A janela foi fechada</v>
        <stp/>
        <stp>T&amp;T2</stp>
        <stp>AGR</stp>
        <stp>85</stp>
        <tr r="D93" s="1"/>
      </tp>
      <tp t="s">
        <v>A janela foi fechada</v>
        <stp/>
        <stp>T&amp;T1</stp>
        <stp>AGR</stp>
        <stp>85</stp>
        <tr r="J93" s="1"/>
      </tp>
      <tp t="s">
        <v>A janela foi fechada</v>
        <stp/>
        <stp>T&amp;T2</stp>
        <stp>AGR</stp>
        <stp>84</stp>
        <tr r="D92" s="1"/>
      </tp>
      <tp t="s">
        <v>A janela foi fechada</v>
        <stp/>
        <stp>T&amp;T1</stp>
        <stp>AGR</stp>
        <stp>84</stp>
        <tr r="J92" s="1"/>
      </tp>
      <tp t="s">
        <v>A janela foi fechada</v>
        <stp/>
        <stp>T&amp;T1</stp>
        <stp>DAT</stp>
        <stp>89</stp>
        <tr r="G97" s="1"/>
      </tp>
      <tp t="s">
        <v>A janela foi fechada</v>
        <stp/>
        <stp>T&amp;T2</stp>
        <stp>DAT</stp>
        <stp>89</stp>
        <tr r="A97" s="1"/>
      </tp>
      <tp t="s">
        <v>A janela foi fechada</v>
        <stp/>
        <stp>T&amp;T1</stp>
        <stp>DAT</stp>
        <stp>88</stp>
        <tr r="G96" s="1"/>
      </tp>
      <tp t="s">
        <v>A janela foi fechada</v>
        <stp/>
        <stp>T&amp;T2</stp>
        <stp>DAT</stp>
        <stp>88</stp>
        <tr r="A96" s="1"/>
      </tp>
      <tp t="s">
        <v>A janela foi fechada</v>
        <stp/>
        <stp>T&amp;T1</stp>
        <stp>DAT</stp>
        <stp>85</stp>
        <tr r="G93" s="1"/>
      </tp>
      <tp t="s">
        <v>A janela foi fechada</v>
        <stp/>
        <stp>T&amp;T2</stp>
        <stp>DAT</stp>
        <stp>85</stp>
        <tr r="A93" s="1"/>
      </tp>
      <tp t="s">
        <v>A janela foi fechada</v>
        <stp/>
        <stp>T&amp;T1</stp>
        <stp>DAT</stp>
        <stp>84</stp>
        <tr r="G92" s="1"/>
      </tp>
      <tp t="s">
        <v>A janela foi fechada</v>
        <stp/>
        <stp>T&amp;T2</stp>
        <stp>DAT</stp>
        <stp>84</stp>
        <tr r="A92" s="1"/>
      </tp>
      <tp t="s">
        <v>A janela foi fechada</v>
        <stp/>
        <stp>T&amp;T1</stp>
        <stp>DAT</stp>
        <stp>87</stp>
        <tr r="G95" s="1"/>
      </tp>
      <tp t="s">
        <v>A janela foi fechada</v>
        <stp/>
        <stp>T&amp;T2</stp>
        <stp>DAT</stp>
        <stp>87</stp>
        <tr r="A95" s="1"/>
      </tp>
      <tp t="s">
        <v>A janela foi fechada</v>
        <stp/>
        <stp>T&amp;T1</stp>
        <stp>DAT</stp>
        <stp>86</stp>
        <tr r="G94" s="1"/>
      </tp>
      <tp t="s">
        <v>A janela foi fechada</v>
        <stp/>
        <stp>T&amp;T2</stp>
        <stp>DAT</stp>
        <stp>86</stp>
        <tr r="A94" s="1"/>
      </tp>
      <tp t="s">
        <v>A janela foi fechada</v>
        <stp/>
        <stp>T&amp;T1</stp>
        <stp>DAT</stp>
        <stp>81</stp>
        <tr r="G89" s="1"/>
      </tp>
      <tp t="s">
        <v>A janela foi fechada</v>
        <stp/>
        <stp>T&amp;T2</stp>
        <stp>DAT</stp>
        <stp>81</stp>
        <tr r="A89" s="1"/>
      </tp>
      <tp t="s">
        <v>A janela foi fechada</v>
        <stp/>
        <stp>T&amp;T1</stp>
        <stp>DAT</stp>
        <stp>80</stp>
        <tr r="G88" s="1"/>
      </tp>
      <tp t="s">
        <v>A janela foi fechada</v>
        <stp/>
        <stp>T&amp;T2</stp>
        <stp>DAT</stp>
        <stp>80</stp>
        <tr r="A88" s="1"/>
      </tp>
      <tp t="s">
        <v>A janela foi fechada</v>
        <stp/>
        <stp>T&amp;T1</stp>
        <stp>DAT</stp>
        <stp>83</stp>
        <tr r="G91" s="1"/>
      </tp>
      <tp t="s">
        <v>A janela foi fechada</v>
        <stp/>
        <stp>T&amp;T2</stp>
        <stp>DAT</stp>
        <stp>83</stp>
        <tr r="A91" s="1"/>
      </tp>
      <tp t="s">
        <v>A janela foi fechada</v>
        <stp/>
        <stp>T&amp;T1</stp>
        <stp>DAT</stp>
        <stp>82</stp>
        <tr r="G90" s="1"/>
      </tp>
      <tp t="s">
        <v>A janela foi fechada</v>
        <stp/>
        <stp>T&amp;T2</stp>
        <stp>DAT</stp>
        <stp>82</stp>
        <tr r="A90" s="1"/>
      </tp>
      <tp t="s">
        <v>A janela foi fechada</v>
        <stp/>
        <stp>T&amp;T1</stp>
        <stp>DAT</stp>
        <stp>99</stp>
        <tr r="G107" s="1"/>
      </tp>
      <tp t="s">
        <v>A janela foi fechada</v>
        <stp/>
        <stp>T&amp;T2</stp>
        <stp>DAT</stp>
        <stp>99</stp>
        <tr r="A107" s="1"/>
      </tp>
      <tp t="s">
        <v>A janela foi fechada</v>
        <stp/>
        <stp>T&amp;T1</stp>
        <stp>DAT</stp>
        <stp>98</stp>
        <tr r="G106" s="1"/>
      </tp>
      <tp t="s">
        <v>A janela foi fechada</v>
        <stp/>
        <stp>T&amp;T2</stp>
        <stp>DAT</stp>
        <stp>98</stp>
        <tr r="A106" s="1"/>
      </tp>
      <tp t="s">
        <v>A janela foi fechada</v>
        <stp/>
        <stp>T&amp;T1</stp>
        <stp>DAT</stp>
        <stp>95</stp>
        <tr r="G103" s="1"/>
      </tp>
      <tp t="s">
        <v>A janela foi fechada</v>
        <stp/>
        <stp>T&amp;T2</stp>
        <stp>DAT</stp>
        <stp>95</stp>
        <tr r="A103" s="1"/>
      </tp>
      <tp t="s">
        <v>A janela foi fechada</v>
        <stp/>
        <stp>T&amp;T1</stp>
        <stp>DAT</stp>
        <stp>94</stp>
        <tr r="G102" s="1"/>
      </tp>
      <tp t="s">
        <v>A janela foi fechada</v>
        <stp/>
        <stp>T&amp;T2</stp>
        <stp>DAT</stp>
        <stp>94</stp>
        <tr r="A102" s="1"/>
      </tp>
      <tp t="s">
        <v>A janela foi fechada</v>
        <stp/>
        <stp>T&amp;T1</stp>
        <stp>DAT</stp>
        <stp>97</stp>
        <tr r="G105" s="1"/>
      </tp>
      <tp t="s">
        <v>A janela foi fechada</v>
        <stp/>
        <stp>T&amp;T2</stp>
        <stp>DAT</stp>
        <stp>97</stp>
        <tr r="A105" s="1"/>
      </tp>
      <tp t="s">
        <v>A janela foi fechada</v>
        <stp/>
        <stp>T&amp;T1</stp>
        <stp>DAT</stp>
        <stp>96</stp>
        <tr r="G104" s="1"/>
      </tp>
      <tp t="s">
        <v>A janela foi fechada</v>
        <stp/>
        <stp>T&amp;T2</stp>
        <stp>DAT</stp>
        <stp>96</stp>
        <tr r="A104" s="1"/>
      </tp>
      <tp t="s">
        <v>A janela foi fechada</v>
        <stp/>
        <stp>T&amp;T1</stp>
        <stp>DAT</stp>
        <stp>91</stp>
        <tr r="G99" s="1"/>
      </tp>
      <tp t="s">
        <v>A janela foi fechada</v>
        <stp/>
        <stp>T&amp;T2</stp>
        <stp>DAT</stp>
        <stp>91</stp>
        <tr r="A99" s="1"/>
      </tp>
      <tp t="s">
        <v>A janela foi fechada</v>
        <stp/>
        <stp>T&amp;T1</stp>
        <stp>DAT</stp>
        <stp>90</stp>
        <tr r="G98" s="1"/>
      </tp>
      <tp t="s">
        <v>A janela foi fechada</v>
        <stp/>
        <stp>T&amp;T2</stp>
        <stp>DAT</stp>
        <stp>90</stp>
        <tr r="A98" s="1"/>
      </tp>
      <tp t="s">
        <v>A janela foi fechada</v>
        <stp/>
        <stp>T&amp;T1</stp>
        <stp>DAT</stp>
        <stp>93</stp>
        <tr r="G101" s="1"/>
      </tp>
      <tp t="s">
        <v>A janela foi fechada</v>
        <stp/>
        <stp>T&amp;T2</stp>
        <stp>DAT</stp>
        <stp>93</stp>
        <tr r="A101" s="1"/>
      </tp>
      <tp t="s">
        <v>A janela foi fechada</v>
        <stp/>
        <stp>T&amp;T1</stp>
        <stp>DAT</stp>
        <stp>92</stp>
        <tr r="G100" s="1"/>
      </tp>
      <tp t="s">
        <v>A janela foi fechada</v>
        <stp/>
        <stp>T&amp;T2</stp>
        <stp>DAT</stp>
        <stp>92</stp>
        <tr r="A100" s="1"/>
      </tp>
      <tp t="s">
        <v>A janela foi fechada</v>
        <stp/>
        <stp>T&amp;T2</stp>
        <stp>AGR</stp>
        <stp>39</stp>
        <tr r="D47" s="1"/>
      </tp>
      <tp t="s">
        <v>A janela foi fechada</v>
        <stp/>
        <stp>T&amp;T1</stp>
        <stp>AGR</stp>
        <stp>39</stp>
        <tr r="J47" s="1"/>
      </tp>
      <tp t="s">
        <v>A janela foi fechada</v>
        <stp/>
        <stp>T&amp;T2</stp>
        <stp>AGR</stp>
        <stp>38</stp>
        <tr r="D46" s="1"/>
      </tp>
      <tp t="s">
        <v>A janela foi fechada</v>
        <stp/>
        <stp>T&amp;T1</stp>
        <stp>AGR</stp>
        <stp>38</stp>
        <tr r="J46" s="1"/>
      </tp>
      <tp t="s">
        <v>A janela foi fechada</v>
        <stp/>
        <stp>T&amp;T1</stp>
        <stp>DAT</stp>
        <stp>69</stp>
        <tr r="G77" s="1"/>
      </tp>
      <tp t="s">
        <v>A janela foi fechada</v>
        <stp/>
        <stp>T&amp;T2</stp>
        <stp>DAT</stp>
        <stp>69</stp>
        <tr r="A77" s="1"/>
      </tp>
      <tp t="s">
        <v>A janela foi fechada</v>
        <stp/>
        <stp>T&amp;T1</stp>
        <stp>DAT</stp>
        <stp>68</stp>
        <tr r="G76" s="1"/>
      </tp>
      <tp t="s">
        <v>A janela foi fechada</v>
        <stp/>
        <stp>T&amp;T2</stp>
        <stp>DAT</stp>
        <stp>68</stp>
        <tr r="A76" s="1"/>
      </tp>
      <tp t="s">
        <v>A janela foi fechada</v>
        <stp/>
        <stp>T&amp;T1</stp>
        <stp>DAT</stp>
        <stp>65</stp>
        <tr r="G73" s="1"/>
      </tp>
      <tp t="s">
        <v>A janela foi fechada</v>
        <stp/>
        <stp>T&amp;T2</stp>
        <stp>DAT</stp>
        <stp>65</stp>
        <tr r="A73" s="1"/>
      </tp>
      <tp t="s">
        <v>A janela foi fechada</v>
        <stp/>
        <stp>T&amp;T2</stp>
        <stp>AGR</stp>
        <stp>33</stp>
        <tr r="D41" s="1"/>
      </tp>
      <tp t="s">
        <v>A janela foi fechada</v>
        <stp/>
        <stp>T&amp;T1</stp>
        <stp>AGR</stp>
        <stp>33</stp>
        <tr r="J41" s="1"/>
      </tp>
      <tp t="s">
        <v>A janela foi fechada</v>
        <stp/>
        <stp>T&amp;T1</stp>
        <stp>DAT</stp>
        <stp>64</stp>
        <tr r="G72" s="1"/>
      </tp>
      <tp t="s">
        <v>A janela foi fechada</v>
        <stp/>
        <stp>T&amp;T2</stp>
        <stp>DAT</stp>
        <stp>64</stp>
        <tr r="A72" s="1"/>
      </tp>
      <tp t="s">
        <v>A janela foi fechada</v>
        <stp/>
        <stp>T&amp;T2</stp>
        <stp>AGR</stp>
        <stp>32</stp>
        <tr r="D40" s="1"/>
      </tp>
      <tp t="s">
        <v>A janela foi fechada</v>
        <stp/>
        <stp>T&amp;T1</stp>
        <stp>AGR</stp>
        <stp>32</stp>
        <tr r="J40" s="1"/>
      </tp>
      <tp t="s">
        <v>A janela foi fechada</v>
        <stp/>
        <stp>T&amp;T1</stp>
        <stp>DAT</stp>
        <stp>67</stp>
        <tr r="G75" s="1"/>
      </tp>
      <tp t="s">
        <v>A janela foi fechada</v>
        <stp/>
        <stp>T&amp;T2</stp>
        <stp>DAT</stp>
        <stp>67</stp>
        <tr r="A75" s="1"/>
      </tp>
      <tp t="s">
        <v>A janela foi fechada</v>
        <stp/>
        <stp>T&amp;T2</stp>
        <stp>AGR</stp>
        <stp>31</stp>
        <tr r="D39" s="1"/>
      </tp>
      <tp t="s">
        <v>A janela foi fechada</v>
        <stp/>
        <stp>T&amp;T1</stp>
        <stp>AGR</stp>
        <stp>31</stp>
        <tr r="J39" s="1"/>
      </tp>
      <tp t="s">
        <v>A janela foi fechada</v>
        <stp/>
        <stp>T&amp;T1</stp>
        <stp>DAT</stp>
        <stp>66</stp>
        <tr r="G74" s="1"/>
      </tp>
      <tp t="s">
        <v>A janela foi fechada</v>
        <stp/>
        <stp>T&amp;T2</stp>
        <stp>DAT</stp>
        <stp>66</stp>
        <tr r="A74" s="1"/>
      </tp>
      <tp t="s">
        <v>A janela foi fechada</v>
        <stp/>
        <stp>T&amp;T2</stp>
        <stp>AGR</stp>
        <stp>30</stp>
        <tr r="D38" s="1"/>
      </tp>
      <tp t="s">
        <v>A janela foi fechada</v>
        <stp/>
        <stp>T&amp;T1</stp>
        <stp>AGR</stp>
        <stp>30</stp>
        <tr r="J38" s="1"/>
      </tp>
      <tp t="s">
        <v>A janela foi fechada</v>
        <stp/>
        <stp>T&amp;T1</stp>
        <stp>DAT</stp>
        <stp>61</stp>
        <tr r="G69" s="1"/>
      </tp>
      <tp t="s">
        <v>A janela foi fechada</v>
        <stp/>
        <stp>T&amp;T2</stp>
        <stp>DAT</stp>
        <stp>61</stp>
        <tr r="A69" s="1"/>
      </tp>
      <tp t="s">
        <v>A janela foi fechada</v>
        <stp/>
        <stp>T&amp;T2</stp>
        <stp>AGR</stp>
        <stp>37</stp>
        <tr r="D45" s="1"/>
      </tp>
      <tp t="s">
        <v>A janela foi fechada</v>
        <stp/>
        <stp>T&amp;T1</stp>
        <stp>AGR</stp>
        <stp>37</stp>
        <tr r="J45" s="1"/>
      </tp>
      <tp t="s">
        <v>A janela foi fechada</v>
        <stp/>
        <stp>T&amp;T1</stp>
        <stp>DAT</stp>
        <stp>60</stp>
        <tr r="G68" s="1"/>
      </tp>
      <tp t="s">
        <v>A janela foi fechada</v>
        <stp/>
        <stp>T&amp;T2</stp>
        <stp>DAT</stp>
        <stp>60</stp>
        <tr r="A68" s="1"/>
      </tp>
      <tp t="s">
        <v>A janela foi fechada</v>
        <stp/>
        <stp>T&amp;T2</stp>
        <stp>AGR</stp>
        <stp>36</stp>
        <tr r="D44" s="1"/>
      </tp>
      <tp t="s">
        <v>A janela foi fechada</v>
        <stp/>
        <stp>T&amp;T1</stp>
        <stp>AGR</stp>
        <stp>36</stp>
        <tr r="J44" s="1"/>
      </tp>
      <tp t="s">
        <v>A janela foi fechada</v>
        <stp/>
        <stp>T&amp;T1</stp>
        <stp>DAT</stp>
        <stp>63</stp>
        <tr r="G71" s="1"/>
      </tp>
      <tp t="s">
        <v>A janela foi fechada</v>
        <stp/>
        <stp>T&amp;T2</stp>
        <stp>DAT</stp>
        <stp>63</stp>
        <tr r="A71" s="1"/>
      </tp>
      <tp t="s">
        <v>A janela foi fechada</v>
        <stp/>
        <stp>T&amp;T2</stp>
        <stp>AGR</stp>
        <stp>35</stp>
        <tr r="D43" s="1"/>
      </tp>
      <tp t="s">
        <v>A janela foi fechada</v>
        <stp/>
        <stp>T&amp;T1</stp>
        <stp>AGR</stp>
        <stp>35</stp>
        <tr r="J43" s="1"/>
      </tp>
      <tp t="s">
        <v>A janela foi fechada</v>
        <stp/>
        <stp>T&amp;T1</stp>
        <stp>DAT</stp>
        <stp>62</stp>
        <tr r="G70" s="1"/>
      </tp>
      <tp t="s">
        <v>A janela foi fechada</v>
        <stp/>
        <stp>T&amp;T2</stp>
        <stp>DAT</stp>
        <stp>62</stp>
        <tr r="A70" s="1"/>
      </tp>
      <tp t="s">
        <v>A janela foi fechada</v>
        <stp/>
        <stp>T&amp;T2</stp>
        <stp>AGR</stp>
        <stp>34</stp>
        <tr r="D42" s="1"/>
      </tp>
      <tp t="s">
        <v>A janela foi fechada</v>
        <stp/>
        <stp>T&amp;T1</stp>
        <stp>AGR</stp>
        <stp>34</stp>
        <tr r="J42" s="1"/>
      </tp>
      <tp t="s">
        <v>A janela foi fechada</v>
        <stp/>
        <stp>T&amp;T2</stp>
        <stp>AGR</stp>
        <stp>29</stp>
        <tr r="D37" s="1"/>
      </tp>
      <tp t="s">
        <v>A janela foi fechada</v>
        <stp/>
        <stp>T&amp;T1</stp>
        <stp>AGR</stp>
        <stp>29</stp>
        <tr r="J37" s="1"/>
      </tp>
      <tp t="s">
        <v>A janela foi fechada</v>
        <stp/>
        <stp>T&amp;T2</stp>
        <stp>AGR</stp>
        <stp>28</stp>
        <tr r="D36" s="1"/>
      </tp>
      <tp t="s">
        <v>A janela foi fechada</v>
        <stp/>
        <stp>T&amp;T1</stp>
        <stp>AGR</stp>
        <stp>28</stp>
        <tr r="J36" s="1"/>
      </tp>
      <tp t="s">
        <v>A janela foi fechada</v>
        <stp/>
        <stp>T&amp;T1</stp>
        <stp>DAT</stp>
        <stp>79</stp>
        <tr r="G87" s="1"/>
      </tp>
      <tp t="s">
        <v>A janela foi fechada</v>
        <stp/>
        <stp>T&amp;T2</stp>
        <stp>DAT</stp>
        <stp>79</stp>
        <tr r="A87" s="1"/>
      </tp>
      <tp t="s">
        <v>A janela foi fechada</v>
        <stp/>
        <stp>T&amp;T1</stp>
        <stp>DAT</stp>
        <stp>78</stp>
        <tr r="G86" s="1"/>
      </tp>
      <tp t="s">
        <v>A janela foi fechada</v>
        <stp/>
        <stp>T&amp;T2</stp>
        <stp>DAT</stp>
        <stp>78</stp>
        <tr r="A86" s="1"/>
      </tp>
      <tp t="s">
        <v>A janela foi fechada</v>
        <stp/>
        <stp>T&amp;T1</stp>
        <stp>DAT</stp>
        <stp>75</stp>
        <tr r="G83" s="1"/>
      </tp>
      <tp t="s">
        <v>A janela foi fechada</v>
        <stp/>
        <stp>T&amp;T2</stp>
        <stp>DAT</stp>
        <stp>75</stp>
        <tr r="A83" s="1"/>
      </tp>
      <tp t="s">
        <v>A janela foi fechada</v>
        <stp/>
        <stp>T&amp;T2</stp>
        <stp>AGR</stp>
        <stp>23</stp>
        <tr r="D31" s="1"/>
      </tp>
      <tp t="s">
        <v>A janela foi fechada</v>
        <stp/>
        <stp>T&amp;T1</stp>
        <stp>AGR</stp>
        <stp>23</stp>
        <tr r="J31" s="1"/>
      </tp>
      <tp t="s">
        <v>A janela foi fechada</v>
        <stp/>
        <stp>T&amp;T1</stp>
        <stp>DAT</stp>
        <stp>74</stp>
        <tr r="G82" s="1"/>
      </tp>
      <tp t="s">
        <v>A janela foi fechada</v>
        <stp/>
        <stp>T&amp;T2</stp>
        <stp>DAT</stp>
        <stp>74</stp>
        <tr r="A82" s="1"/>
      </tp>
      <tp t="s">
        <v>A janela foi fechada</v>
        <stp/>
        <stp>T&amp;T2</stp>
        <stp>AGR</stp>
        <stp>22</stp>
        <tr r="D30" s="1"/>
      </tp>
      <tp t="s">
        <v>A janela foi fechada</v>
        <stp/>
        <stp>T&amp;T1</stp>
        <stp>AGR</stp>
        <stp>22</stp>
        <tr r="J30" s="1"/>
      </tp>
      <tp t="s">
        <v>A janela foi fechada</v>
        <stp/>
        <stp>T&amp;T1</stp>
        <stp>DAT</stp>
        <stp>77</stp>
        <tr r="G85" s="1"/>
      </tp>
      <tp t="s">
        <v>A janela foi fechada</v>
        <stp/>
        <stp>T&amp;T2</stp>
        <stp>DAT</stp>
        <stp>77</stp>
        <tr r="A85" s="1"/>
      </tp>
      <tp t="s">
        <v>A janela foi fechada</v>
        <stp/>
        <stp>T&amp;T2</stp>
        <stp>AGR</stp>
        <stp>21</stp>
        <tr r="D29" s="1"/>
      </tp>
      <tp t="s">
        <v>A janela foi fechada</v>
        <stp/>
        <stp>T&amp;T1</stp>
        <stp>AGR</stp>
        <stp>21</stp>
        <tr r="J29" s="1"/>
      </tp>
      <tp t="s">
        <v>A janela foi fechada</v>
        <stp/>
        <stp>T&amp;T1</stp>
        <stp>DAT</stp>
        <stp>76</stp>
        <tr r="G84" s="1"/>
      </tp>
      <tp t="s">
        <v>A janela foi fechada</v>
        <stp/>
        <stp>T&amp;T2</stp>
        <stp>DAT</stp>
        <stp>76</stp>
        <tr r="A84" s="1"/>
      </tp>
      <tp t="s">
        <v>A janela foi fechada</v>
        <stp/>
        <stp>T&amp;T2</stp>
        <stp>AGR</stp>
        <stp>20</stp>
        <tr r="D28" s="1"/>
      </tp>
      <tp t="s">
        <v>A janela foi fechada</v>
        <stp/>
        <stp>T&amp;T1</stp>
        <stp>AGR</stp>
        <stp>20</stp>
        <tr r="J28" s="1"/>
      </tp>
      <tp t="s">
        <v>A janela foi fechada</v>
        <stp/>
        <stp>T&amp;T1</stp>
        <stp>DAT</stp>
        <stp>71</stp>
        <tr r="G79" s="1"/>
      </tp>
      <tp t="s">
        <v>A janela foi fechada</v>
        <stp/>
        <stp>T&amp;T2</stp>
        <stp>DAT</stp>
        <stp>71</stp>
        <tr r="A79" s="1"/>
      </tp>
      <tp t="s">
        <v>A janela foi fechada</v>
        <stp/>
        <stp>T&amp;T2</stp>
        <stp>AGR</stp>
        <stp>27</stp>
        <tr r="D35" s="1"/>
      </tp>
      <tp t="s">
        <v>A janela foi fechada</v>
        <stp/>
        <stp>T&amp;T1</stp>
        <stp>AGR</stp>
        <stp>27</stp>
        <tr r="J35" s="1"/>
      </tp>
      <tp t="s">
        <v>A janela foi fechada</v>
        <stp/>
        <stp>T&amp;T1</stp>
        <stp>DAT</stp>
        <stp>70</stp>
        <tr r="G78" s="1"/>
      </tp>
      <tp t="s">
        <v>A janela foi fechada</v>
        <stp/>
        <stp>T&amp;T2</stp>
        <stp>DAT</stp>
        <stp>70</stp>
        <tr r="A78" s="1"/>
      </tp>
      <tp t="s">
        <v>A janela foi fechada</v>
        <stp/>
        <stp>T&amp;T2</stp>
        <stp>AGR</stp>
        <stp>26</stp>
        <tr r="D34" s="1"/>
      </tp>
      <tp t="s">
        <v>A janela foi fechada</v>
        <stp/>
        <stp>T&amp;T1</stp>
        <stp>AGR</stp>
        <stp>26</stp>
        <tr r="J34" s="1"/>
      </tp>
      <tp t="s">
        <v>A janela foi fechada</v>
        <stp/>
        <stp>T&amp;T1</stp>
        <stp>DAT</stp>
        <stp>73</stp>
        <tr r="G81" s="1"/>
      </tp>
      <tp t="s">
        <v>A janela foi fechada</v>
        <stp/>
        <stp>T&amp;T2</stp>
        <stp>DAT</stp>
        <stp>73</stp>
        <tr r="A81" s="1"/>
      </tp>
      <tp t="s">
        <v>A janela foi fechada</v>
        <stp/>
        <stp>T&amp;T2</stp>
        <stp>AGR</stp>
        <stp>25</stp>
        <tr r="D33" s="1"/>
      </tp>
      <tp t="s">
        <v>A janela foi fechada</v>
        <stp/>
        <stp>T&amp;T1</stp>
        <stp>AGR</stp>
        <stp>25</stp>
        <tr r="J33" s="1"/>
      </tp>
      <tp t="s">
        <v>A janela foi fechada</v>
        <stp/>
        <stp>T&amp;T1</stp>
        <stp>DAT</stp>
        <stp>72</stp>
        <tr r="G80" s="1"/>
      </tp>
      <tp t="s">
        <v>A janela foi fechada</v>
        <stp/>
        <stp>T&amp;T2</stp>
        <stp>DAT</stp>
        <stp>72</stp>
        <tr r="A80" s="1"/>
      </tp>
      <tp t="s">
        <v>A janela foi fechada</v>
        <stp/>
        <stp>T&amp;T2</stp>
        <stp>AGR</stp>
        <stp>24</stp>
        <tr r="D32" s="1"/>
      </tp>
      <tp t="s">
        <v>A janela foi fechada</v>
        <stp/>
        <stp>T&amp;T1</stp>
        <stp>AGR</stp>
        <stp>24</stp>
        <tr r="J32" s="1"/>
      </tp>
      <tp t="s">
        <v>A janela foi fechada</v>
        <stp/>
        <stp>T&amp;T2</stp>
        <stp>AGR</stp>
        <stp>19</stp>
        <tr r="D27" s="1"/>
      </tp>
      <tp t="s">
        <v>A janela foi fechada</v>
        <stp/>
        <stp>T&amp;T1</stp>
        <stp>AGR</stp>
        <stp>19</stp>
        <tr r="J27" s="1"/>
      </tp>
      <tp t="s">
        <v>A janela foi fechada</v>
        <stp/>
        <stp>T&amp;T2</stp>
        <stp>AGR</stp>
        <stp>18</stp>
        <tr r="D26" s="1"/>
      </tp>
      <tp t="s">
        <v>A janela foi fechada</v>
        <stp/>
        <stp>T&amp;T1</stp>
        <stp>AGR</stp>
        <stp>18</stp>
        <tr r="J26" s="1"/>
      </tp>
      <tp t="s">
        <v>A janela foi fechada</v>
        <stp/>
        <stp>T&amp;T1</stp>
        <stp>DAT</stp>
        <stp>49</stp>
        <tr r="G57" s="1"/>
      </tp>
      <tp t="s">
        <v>A janela foi fechada</v>
        <stp/>
        <stp>T&amp;T2</stp>
        <stp>DAT</stp>
        <stp>49</stp>
        <tr r="A57" s="1"/>
      </tp>
      <tp t="s">
        <v>A janela foi fechada</v>
        <stp/>
        <stp>T&amp;T1</stp>
        <stp>DAT</stp>
        <stp>48</stp>
        <tr r="G56" s="1"/>
      </tp>
      <tp t="s">
        <v>A janela foi fechada</v>
        <stp/>
        <stp>T&amp;T2</stp>
        <stp>DAT</stp>
        <stp>48</stp>
        <tr r="A56" s="1"/>
      </tp>
      <tp t="s">
        <v>A janela foi fechada</v>
        <stp/>
        <stp>T&amp;T1</stp>
        <stp>DAT</stp>
        <stp>45</stp>
        <tr r="G53" s="1"/>
      </tp>
      <tp t="s">
        <v>A janela foi fechada</v>
        <stp/>
        <stp>T&amp;T2</stp>
        <stp>DAT</stp>
        <stp>45</stp>
        <tr r="A53" s="1"/>
      </tp>
      <tp t="s">
        <v>A janela foi fechada</v>
        <stp/>
        <stp>T&amp;T2</stp>
        <stp>AGR</stp>
        <stp>13</stp>
        <tr r="D21" s="1"/>
      </tp>
      <tp t="s">
        <v>A janela foi fechada</v>
        <stp/>
        <stp>T&amp;T1</stp>
        <stp>AGR</stp>
        <stp>13</stp>
        <tr r="J21" s="1"/>
      </tp>
      <tp t="s">
        <v>A janela foi fechada</v>
        <stp/>
        <stp>T&amp;T1</stp>
        <stp>DAT</stp>
        <stp>44</stp>
        <tr r="G52" s="1"/>
      </tp>
      <tp t="s">
        <v>A janela foi fechada</v>
        <stp/>
        <stp>T&amp;T2</stp>
        <stp>DAT</stp>
        <stp>44</stp>
        <tr r="A52" s="1"/>
      </tp>
      <tp t="s">
        <v>A janela foi fechada</v>
        <stp/>
        <stp>T&amp;T2</stp>
        <stp>AGR</stp>
        <stp>12</stp>
        <tr r="D20" s="1"/>
      </tp>
      <tp t="s">
        <v>A janela foi fechada</v>
        <stp/>
        <stp>T&amp;T1</stp>
        <stp>AGR</stp>
        <stp>12</stp>
        <tr r="J20" s="1"/>
      </tp>
      <tp t="s">
        <v>A janela foi fechada</v>
        <stp/>
        <stp>T&amp;T1</stp>
        <stp>DAT</stp>
        <stp>47</stp>
        <tr r="G55" s="1"/>
      </tp>
      <tp t="s">
        <v>A janela foi fechada</v>
        <stp/>
        <stp>T&amp;T2</stp>
        <stp>DAT</stp>
        <stp>47</stp>
        <tr r="A55" s="1"/>
      </tp>
      <tp t="s">
        <v>A janela foi fechada</v>
        <stp/>
        <stp>T&amp;T2</stp>
        <stp>AGR</stp>
        <stp>11</stp>
        <tr r="D19" s="1"/>
      </tp>
      <tp t="s">
        <v>A janela foi fechada</v>
        <stp/>
        <stp>T&amp;T1</stp>
        <stp>AGR</stp>
        <stp>11</stp>
        <tr r="J19" s="1"/>
      </tp>
      <tp t="s">
        <v>A janela foi fechada</v>
        <stp/>
        <stp>T&amp;T1</stp>
        <stp>DAT</stp>
        <stp>46</stp>
        <tr r="G54" s="1"/>
      </tp>
      <tp t="s">
        <v>A janela foi fechada</v>
        <stp/>
        <stp>T&amp;T2</stp>
        <stp>DAT</stp>
        <stp>46</stp>
        <tr r="A54" s="1"/>
      </tp>
      <tp t="s">
        <v>A janela foi fechada</v>
        <stp/>
        <stp>T&amp;T2</stp>
        <stp>AGR</stp>
        <stp>10</stp>
        <tr r="D18" s="1"/>
      </tp>
      <tp t="s">
        <v>A janela foi fechada</v>
        <stp/>
        <stp>T&amp;T1</stp>
        <stp>AGR</stp>
        <stp>10</stp>
        <tr r="J18" s="1"/>
      </tp>
      <tp t="s">
        <v>A janela foi fechada</v>
        <stp/>
        <stp>T&amp;T1</stp>
        <stp>DAT</stp>
        <stp>41</stp>
        <tr r="G49" s="1"/>
      </tp>
      <tp t="s">
        <v>A janela foi fechada</v>
        <stp/>
        <stp>T&amp;T2</stp>
        <stp>DAT</stp>
        <stp>41</stp>
        <tr r="A49" s="1"/>
      </tp>
      <tp t="s">
        <v>A janela foi fechada</v>
        <stp/>
        <stp>T&amp;T2</stp>
        <stp>AGR</stp>
        <stp>17</stp>
        <tr r="D25" s="1"/>
      </tp>
      <tp t="s">
        <v>A janela foi fechada</v>
        <stp/>
        <stp>T&amp;T1</stp>
        <stp>AGR</stp>
        <stp>17</stp>
        <tr r="J25" s="1"/>
      </tp>
      <tp t="s">
        <v>A janela foi fechada</v>
        <stp/>
        <stp>T&amp;T1</stp>
        <stp>DAT</stp>
        <stp>40</stp>
        <tr r="G48" s="1"/>
      </tp>
      <tp t="s">
        <v>A janela foi fechada</v>
        <stp/>
        <stp>T&amp;T2</stp>
        <stp>DAT</stp>
        <stp>40</stp>
        <tr r="A48" s="1"/>
      </tp>
      <tp t="s">
        <v>A janela foi fechada</v>
        <stp/>
        <stp>T&amp;T2</stp>
        <stp>AGR</stp>
        <stp>16</stp>
        <tr r="D24" s="1"/>
      </tp>
      <tp t="s">
        <v>A janela foi fechada</v>
        <stp/>
        <stp>T&amp;T1</stp>
        <stp>AGR</stp>
        <stp>16</stp>
        <tr r="J24" s="1"/>
      </tp>
      <tp t="s">
        <v>A janela foi fechada</v>
        <stp/>
        <stp>T&amp;T1</stp>
        <stp>DAT</stp>
        <stp>43</stp>
        <tr r="G51" s="1"/>
      </tp>
      <tp t="s">
        <v>A janela foi fechada</v>
        <stp/>
        <stp>T&amp;T2</stp>
        <stp>DAT</stp>
        <stp>43</stp>
        <tr r="A51" s="1"/>
      </tp>
      <tp t="s">
        <v>A janela foi fechada</v>
        <stp/>
        <stp>T&amp;T2</stp>
        <stp>AGR</stp>
        <stp>15</stp>
        <tr r="D23" s="1"/>
      </tp>
      <tp t="s">
        <v>A janela foi fechada</v>
        <stp/>
        <stp>T&amp;T1</stp>
        <stp>AGR</stp>
        <stp>15</stp>
        <tr r="J23" s="1"/>
      </tp>
      <tp t="s">
        <v>A janela foi fechada</v>
        <stp/>
        <stp>T&amp;T1</stp>
        <stp>DAT</stp>
        <stp>42</stp>
        <tr r="G50" s="1"/>
      </tp>
      <tp t="s">
        <v>A janela foi fechada</v>
        <stp/>
        <stp>T&amp;T2</stp>
        <stp>DAT</stp>
        <stp>42</stp>
        <tr r="A50" s="1"/>
      </tp>
      <tp t="s">
        <v>A janela foi fechada</v>
        <stp/>
        <stp>T&amp;T2</stp>
        <stp>AGR</stp>
        <stp>14</stp>
        <tr r="D22" s="1"/>
      </tp>
      <tp t="s">
        <v>A janela foi fechada</v>
        <stp/>
        <stp>T&amp;T1</stp>
        <stp>AGR</stp>
        <stp>14</stp>
        <tr r="J22" s="1"/>
      </tp>
      <tp t="s">
        <v>A janela foi fechada</v>
        <stp/>
        <stp>T&amp;T1</stp>
        <stp>DAT</stp>
        <stp>59</stp>
        <tr r="G67" s="1"/>
      </tp>
      <tp t="s">
        <v>A janela foi fechada</v>
        <stp/>
        <stp>T&amp;T2</stp>
        <stp>DAT</stp>
        <stp>59</stp>
        <tr r="A67" s="1"/>
      </tp>
      <tp t="s">
        <v>A janela foi fechada</v>
        <stp/>
        <stp>T&amp;T1</stp>
        <stp>DAT</stp>
        <stp>58</stp>
        <tr r="G66" s="1"/>
      </tp>
      <tp t="s">
        <v>A janela foi fechada</v>
        <stp/>
        <stp>T&amp;T2</stp>
        <stp>DAT</stp>
        <stp>58</stp>
        <tr r="A66" s="1"/>
      </tp>
      <tp t="s">
        <v>A janela foi fechada</v>
        <stp/>
        <stp>T&amp;T1</stp>
        <stp>DAT</stp>
        <stp>55</stp>
        <tr r="G63" s="1"/>
      </tp>
      <tp t="s">
        <v>A janela foi fechada</v>
        <stp/>
        <stp>T&amp;T2</stp>
        <stp>DAT</stp>
        <stp>55</stp>
        <tr r="A63" s="1"/>
      </tp>
      <tp t="s">
        <v>A janela foi fechada</v>
        <stp/>
        <stp>T&amp;T1</stp>
        <stp>DAT</stp>
        <stp>54</stp>
        <tr r="G62" s="1"/>
      </tp>
      <tp t="s">
        <v>A janela foi fechada</v>
        <stp/>
        <stp>T&amp;T2</stp>
        <stp>DAT</stp>
        <stp>54</stp>
        <tr r="A62" s="1"/>
      </tp>
      <tp t="s">
        <v>A janela foi fechada</v>
        <stp/>
        <stp>T&amp;T1</stp>
        <stp>DAT</stp>
        <stp>57</stp>
        <tr r="G65" s="1"/>
      </tp>
      <tp t="s">
        <v>A janela foi fechada</v>
        <stp/>
        <stp>T&amp;T2</stp>
        <stp>DAT</stp>
        <stp>57</stp>
        <tr r="A65" s="1"/>
      </tp>
      <tp t="s">
        <v>A janela foi fechada</v>
        <stp/>
        <stp>T&amp;T1</stp>
        <stp>DAT</stp>
        <stp>56</stp>
        <tr r="G64" s="1"/>
      </tp>
      <tp t="s">
        <v>A janela foi fechada</v>
        <stp/>
        <stp>T&amp;T2</stp>
        <stp>DAT</stp>
        <stp>56</stp>
        <tr r="A64" s="1"/>
      </tp>
      <tp t="s">
        <v>A janela foi fechada</v>
        <stp/>
        <stp>T&amp;T1</stp>
        <stp>DAT</stp>
        <stp>51</stp>
        <tr r="G59" s="1"/>
      </tp>
      <tp t="s">
        <v>A janela foi fechada</v>
        <stp/>
        <stp>T&amp;T2</stp>
        <stp>DAT</stp>
        <stp>51</stp>
        <tr r="A59" s="1"/>
      </tp>
      <tp t="s">
        <v>A janela foi fechada</v>
        <stp/>
        <stp>T&amp;T1</stp>
        <stp>DAT</stp>
        <stp>50</stp>
        <tr r="G58" s="1"/>
      </tp>
      <tp t="s">
        <v>A janela foi fechada</v>
        <stp/>
        <stp>T&amp;T2</stp>
        <stp>DAT</stp>
        <stp>50</stp>
        <tr r="A58" s="1"/>
      </tp>
      <tp t="s">
        <v>A janela foi fechada</v>
        <stp/>
        <stp>T&amp;T1</stp>
        <stp>DAT</stp>
        <stp>53</stp>
        <tr r="G61" s="1"/>
      </tp>
      <tp t="s">
        <v>A janela foi fechada</v>
        <stp/>
        <stp>T&amp;T2</stp>
        <stp>DAT</stp>
        <stp>53</stp>
        <tr r="A61" s="1"/>
      </tp>
      <tp t="s">
        <v>A janela foi fechada</v>
        <stp/>
        <stp>T&amp;T1</stp>
        <stp>DAT</stp>
        <stp>52</stp>
        <tr r="G60" s="1"/>
      </tp>
      <tp t="s">
        <v>A janela foi fechada</v>
        <stp/>
        <stp>T&amp;T2</stp>
        <stp>DAT</stp>
        <stp>52</stp>
        <tr r="A60" s="1"/>
      </tp>
      <tp t="s">
        <v>A janela foi fechada</v>
        <stp/>
        <stp>T&amp;T2</stp>
        <stp>AGR</stp>
        <stp>79</stp>
        <tr r="D87" s="1"/>
      </tp>
      <tp t="s">
        <v>A janela foi fechada</v>
        <stp/>
        <stp>T&amp;T1</stp>
        <stp>AGR</stp>
        <stp>79</stp>
        <tr r="J87" s="1"/>
      </tp>
      <tp t="s">
        <v>A janela foi fechada</v>
        <stp/>
        <stp>T&amp;T2</stp>
        <stp>AGR</stp>
        <stp>78</stp>
        <tr r="D86" s="1"/>
      </tp>
      <tp t="s">
        <v>A janela foi fechada</v>
        <stp/>
        <stp>T&amp;T1</stp>
        <stp>AGR</stp>
        <stp>78</stp>
        <tr r="J86" s="1"/>
      </tp>
      <tp t="s">
        <v>A janela foi fechada</v>
        <stp/>
        <stp>T&amp;T1</stp>
        <stp>DAT</stp>
        <stp>29</stp>
        <tr r="G37" s="1"/>
      </tp>
      <tp t="s">
        <v>A janela foi fechada</v>
        <stp/>
        <stp>T&amp;T2</stp>
        <stp>DAT</stp>
        <stp>29</stp>
        <tr r="A37" s="1"/>
      </tp>
      <tp t="s">
        <v>A janela foi fechada</v>
        <stp/>
        <stp>T&amp;T1</stp>
        <stp>DAT</stp>
        <stp>28</stp>
        <tr r="G36" s="1"/>
      </tp>
      <tp t="s">
        <v>A janela foi fechada</v>
        <stp/>
        <stp>T&amp;T2</stp>
        <stp>DAT</stp>
        <stp>28</stp>
        <tr r="A36" s="1"/>
      </tp>
      <tp t="s">
        <v>A janela foi fechada</v>
        <stp/>
        <stp>T&amp;T1</stp>
        <stp>DAT</stp>
        <stp>25</stp>
        <tr r="G33" s="1"/>
      </tp>
      <tp t="s">
        <v>A janela foi fechada</v>
        <stp/>
        <stp>T&amp;T2</stp>
        <stp>DAT</stp>
        <stp>25</stp>
        <tr r="A33" s="1"/>
      </tp>
      <tp t="s">
        <v>A janela foi fechada</v>
        <stp/>
        <stp>T&amp;T2</stp>
        <stp>AGR</stp>
        <stp>73</stp>
        <tr r="D81" s="1"/>
      </tp>
      <tp t="s">
        <v>A janela foi fechada</v>
        <stp/>
        <stp>T&amp;T1</stp>
        <stp>AGR</stp>
        <stp>73</stp>
        <tr r="J81" s="1"/>
      </tp>
      <tp t="s">
        <v>A janela foi fechada</v>
        <stp/>
        <stp>T&amp;T1</stp>
        <stp>DAT</stp>
        <stp>24</stp>
        <tr r="G32" s="1"/>
      </tp>
      <tp t="s">
        <v>A janela foi fechada</v>
        <stp/>
        <stp>T&amp;T2</stp>
        <stp>DAT</stp>
        <stp>24</stp>
        <tr r="A32" s="1"/>
      </tp>
      <tp t="s">
        <v>A janela foi fechada</v>
        <stp/>
        <stp>T&amp;T2</stp>
        <stp>AGR</stp>
        <stp>72</stp>
        <tr r="D80" s="1"/>
      </tp>
      <tp t="s">
        <v>A janela foi fechada</v>
        <stp/>
        <stp>T&amp;T1</stp>
        <stp>AGR</stp>
        <stp>72</stp>
        <tr r="J80" s="1"/>
      </tp>
      <tp t="s">
        <v>A janela foi fechada</v>
        <stp/>
        <stp>T&amp;T1</stp>
        <stp>DAT</stp>
        <stp>27</stp>
        <tr r="G35" s="1"/>
      </tp>
      <tp t="s">
        <v>A janela foi fechada</v>
        <stp/>
        <stp>T&amp;T2</stp>
        <stp>DAT</stp>
        <stp>27</stp>
        <tr r="A35" s="1"/>
      </tp>
      <tp t="s">
        <v>A janela foi fechada</v>
        <stp/>
        <stp>T&amp;T2</stp>
        <stp>AGR</stp>
        <stp>71</stp>
        <tr r="D79" s="1"/>
      </tp>
      <tp t="s">
        <v>A janela foi fechada</v>
        <stp/>
        <stp>T&amp;T1</stp>
        <stp>AGR</stp>
        <stp>71</stp>
        <tr r="J79" s="1"/>
      </tp>
      <tp t="s">
        <v>A janela foi fechada</v>
        <stp/>
        <stp>T&amp;T1</stp>
        <stp>DAT</stp>
        <stp>26</stp>
        <tr r="G34" s="1"/>
      </tp>
      <tp t="s">
        <v>A janela foi fechada</v>
        <stp/>
        <stp>T&amp;T2</stp>
        <stp>DAT</stp>
        <stp>26</stp>
        <tr r="A34" s="1"/>
      </tp>
      <tp t="s">
        <v>A janela foi fechada</v>
        <stp/>
        <stp>T&amp;T2</stp>
        <stp>AGR</stp>
        <stp>70</stp>
        <tr r="D78" s="1"/>
      </tp>
      <tp t="s">
        <v>A janela foi fechada</v>
        <stp/>
        <stp>T&amp;T1</stp>
        <stp>AGR</stp>
        <stp>70</stp>
        <tr r="J78" s="1"/>
      </tp>
      <tp t="s">
        <v>A janela foi fechada</v>
        <stp/>
        <stp>T&amp;T1</stp>
        <stp>DAT</stp>
        <stp>21</stp>
        <tr r="G29" s="1"/>
      </tp>
      <tp t="s">
        <v>A janela foi fechada</v>
        <stp/>
        <stp>T&amp;T2</stp>
        <stp>DAT</stp>
        <stp>21</stp>
        <tr r="A29" s="1"/>
      </tp>
      <tp t="s">
        <v>A janela foi fechada</v>
        <stp/>
        <stp>T&amp;T2</stp>
        <stp>AGR</stp>
        <stp>77</stp>
        <tr r="D85" s="1"/>
      </tp>
      <tp t="s">
        <v>A janela foi fechada</v>
        <stp/>
        <stp>T&amp;T1</stp>
        <stp>AGR</stp>
        <stp>77</stp>
        <tr r="J85" s="1"/>
      </tp>
      <tp t="s">
        <v>A janela foi fechada</v>
        <stp/>
        <stp>T&amp;T1</stp>
        <stp>DAT</stp>
        <stp>20</stp>
        <tr r="G28" s="1"/>
      </tp>
      <tp t="s">
        <v>A janela foi fechada</v>
        <stp/>
        <stp>T&amp;T2</stp>
        <stp>DAT</stp>
        <stp>20</stp>
        <tr r="A28" s="1"/>
      </tp>
      <tp t="s">
        <v>A janela foi fechada</v>
        <stp/>
        <stp>T&amp;T2</stp>
        <stp>AGR</stp>
        <stp>76</stp>
        <tr r="D84" s="1"/>
      </tp>
      <tp t="s">
        <v>A janela foi fechada</v>
        <stp/>
        <stp>T&amp;T1</stp>
        <stp>AGR</stp>
        <stp>76</stp>
        <tr r="J84" s="1"/>
      </tp>
      <tp t="s">
        <v>A janela foi fechada</v>
        <stp/>
        <stp>T&amp;T1</stp>
        <stp>DAT</stp>
        <stp>23</stp>
        <tr r="G31" s="1"/>
      </tp>
      <tp t="s">
        <v>A janela foi fechada</v>
        <stp/>
        <stp>T&amp;T2</stp>
        <stp>DAT</stp>
        <stp>23</stp>
        <tr r="A31" s="1"/>
      </tp>
      <tp t="s">
        <v>A janela foi fechada</v>
        <stp/>
        <stp>T&amp;T2</stp>
        <stp>AGR</stp>
        <stp>75</stp>
        <tr r="D83" s="1"/>
      </tp>
      <tp t="s">
        <v>A janela foi fechada</v>
        <stp/>
        <stp>T&amp;T1</stp>
        <stp>AGR</stp>
        <stp>75</stp>
        <tr r="J83" s="1"/>
      </tp>
      <tp t="s">
        <v>A janela foi fechada</v>
        <stp/>
        <stp>T&amp;T1</stp>
        <stp>DAT</stp>
        <stp>22</stp>
        <tr r="G30" s="1"/>
      </tp>
      <tp t="s">
        <v>A janela foi fechada</v>
        <stp/>
        <stp>T&amp;T2</stp>
        <stp>DAT</stp>
        <stp>22</stp>
        <tr r="A30" s="1"/>
      </tp>
      <tp t="s">
        <v>A janela foi fechada</v>
        <stp/>
        <stp>T&amp;T2</stp>
        <stp>AGR</stp>
        <stp>74</stp>
        <tr r="D82" s="1"/>
      </tp>
      <tp t="s">
        <v>A janela foi fechada</v>
        <stp/>
        <stp>T&amp;T1</stp>
        <stp>AGR</stp>
        <stp>74</stp>
        <tr r="J82" s="1"/>
      </tp>
      <tp t="s">
        <v>A janela foi fechada</v>
        <stp/>
        <stp>T&amp;T2</stp>
        <stp>AGR</stp>
        <stp>69</stp>
        <tr r="D77" s="1"/>
      </tp>
      <tp t="s">
        <v>A janela foi fechada</v>
        <stp/>
        <stp>T&amp;T1</stp>
        <stp>AGR</stp>
        <stp>69</stp>
        <tr r="J77" s="1"/>
      </tp>
      <tp t="s">
        <v>A janela foi fechada</v>
        <stp/>
        <stp>T&amp;T2</stp>
        <stp>AGR</stp>
        <stp>68</stp>
        <tr r="D76" s="1"/>
      </tp>
      <tp t="s">
        <v>A janela foi fechada</v>
        <stp/>
        <stp>T&amp;T1</stp>
        <stp>AGR</stp>
        <stp>68</stp>
        <tr r="J76" s="1"/>
      </tp>
      <tp t="s">
        <v>A janela foi fechada</v>
        <stp/>
        <stp>T&amp;T1</stp>
        <stp>DAT</stp>
        <stp>39</stp>
        <tr r="G47" s="1"/>
      </tp>
      <tp t="s">
        <v>A janela foi fechada</v>
        <stp/>
        <stp>T&amp;T2</stp>
        <stp>DAT</stp>
        <stp>39</stp>
        <tr r="A47" s="1"/>
      </tp>
      <tp t="s">
        <v>A janela foi fechada</v>
        <stp/>
        <stp>T&amp;T1</stp>
        <stp>DAT</stp>
        <stp>38</stp>
        <tr r="G46" s="1"/>
      </tp>
      <tp t="s">
        <v>A janela foi fechada</v>
        <stp/>
        <stp>T&amp;T2</stp>
        <stp>DAT</stp>
        <stp>38</stp>
        <tr r="A46" s="1"/>
      </tp>
      <tp t="s">
        <v>A janela foi fechada</v>
        <stp/>
        <stp>T&amp;T1</stp>
        <stp>DAT</stp>
        <stp>35</stp>
        <tr r="G43" s="1"/>
      </tp>
      <tp t="s">
        <v>A janela foi fechada</v>
        <stp/>
        <stp>T&amp;T2</stp>
        <stp>DAT</stp>
        <stp>35</stp>
        <tr r="A43" s="1"/>
      </tp>
      <tp t="s">
        <v>A janela foi fechada</v>
        <stp/>
        <stp>T&amp;T2</stp>
        <stp>AGR</stp>
        <stp>63</stp>
        <tr r="D71" s="1"/>
      </tp>
      <tp t="s">
        <v>A janela foi fechada</v>
        <stp/>
        <stp>T&amp;T1</stp>
        <stp>AGR</stp>
        <stp>63</stp>
        <tr r="J71" s="1"/>
      </tp>
      <tp t="s">
        <v>A janela foi fechada</v>
        <stp/>
        <stp>T&amp;T1</stp>
        <stp>DAT</stp>
        <stp>34</stp>
        <tr r="G42" s="1"/>
      </tp>
      <tp t="s">
        <v>A janela foi fechada</v>
        <stp/>
        <stp>T&amp;T2</stp>
        <stp>DAT</stp>
        <stp>34</stp>
        <tr r="A42" s="1"/>
      </tp>
      <tp t="s">
        <v>A janela foi fechada</v>
        <stp/>
        <stp>T&amp;T2</stp>
        <stp>AGR</stp>
        <stp>62</stp>
        <tr r="D70" s="1"/>
      </tp>
      <tp t="s">
        <v>A janela foi fechada</v>
        <stp/>
        <stp>T&amp;T1</stp>
        <stp>AGR</stp>
        <stp>62</stp>
        <tr r="J70" s="1"/>
      </tp>
      <tp t="s">
        <v>A janela foi fechada</v>
        <stp/>
        <stp>T&amp;T1</stp>
        <stp>DAT</stp>
        <stp>37</stp>
        <tr r="G45" s="1"/>
      </tp>
      <tp t="s">
        <v>A janela foi fechada</v>
        <stp/>
        <stp>T&amp;T2</stp>
        <stp>DAT</stp>
        <stp>37</stp>
        <tr r="A45" s="1"/>
      </tp>
      <tp t="s">
        <v>A janela foi fechada</v>
        <stp/>
        <stp>T&amp;T2</stp>
        <stp>AGR</stp>
        <stp>61</stp>
        <tr r="D69" s="1"/>
      </tp>
      <tp t="s">
        <v>A janela foi fechada</v>
        <stp/>
        <stp>T&amp;T1</stp>
        <stp>AGR</stp>
        <stp>61</stp>
        <tr r="J69" s="1"/>
      </tp>
      <tp t="s">
        <v>A janela foi fechada</v>
        <stp/>
        <stp>T&amp;T1</stp>
        <stp>DAT</stp>
        <stp>36</stp>
        <tr r="G44" s="1"/>
      </tp>
      <tp t="s">
        <v>A janela foi fechada</v>
        <stp/>
        <stp>T&amp;T2</stp>
        <stp>DAT</stp>
        <stp>36</stp>
        <tr r="A44" s="1"/>
      </tp>
      <tp t="s">
        <v>A janela foi fechada</v>
        <stp/>
        <stp>T&amp;T2</stp>
        <stp>AGR</stp>
        <stp>60</stp>
        <tr r="D68" s="1"/>
      </tp>
      <tp t="s">
        <v>A janela foi fechada</v>
        <stp/>
        <stp>T&amp;T1</stp>
        <stp>AGR</stp>
        <stp>60</stp>
        <tr r="J68" s="1"/>
      </tp>
      <tp t="s">
        <v>A janela foi fechada</v>
        <stp/>
        <stp>T&amp;T1</stp>
        <stp>DAT</stp>
        <stp>31</stp>
        <tr r="G39" s="1"/>
      </tp>
      <tp t="s">
        <v>A janela foi fechada</v>
        <stp/>
        <stp>T&amp;T2</stp>
        <stp>DAT</stp>
        <stp>31</stp>
        <tr r="A39" s="1"/>
      </tp>
      <tp t="s">
        <v>A janela foi fechada</v>
        <stp/>
        <stp>T&amp;T2</stp>
        <stp>AGR</stp>
        <stp>67</stp>
        <tr r="D75" s="1"/>
      </tp>
      <tp t="s">
        <v>A janela foi fechada</v>
        <stp/>
        <stp>T&amp;T1</stp>
        <stp>AGR</stp>
        <stp>67</stp>
        <tr r="J75" s="1"/>
      </tp>
      <tp t="s">
        <v>A janela foi fechada</v>
        <stp/>
        <stp>T&amp;T1</stp>
        <stp>DAT</stp>
        <stp>30</stp>
        <tr r="G38" s="1"/>
      </tp>
      <tp t="s">
        <v>A janela foi fechada</v>
        <stp/>
        <stp>T&amp;T2</stp>
        <stp>DAT</stp>
        <stp>30</stp>
        <tr r="A38" s="1"/>
      </tp>
      <tp t="s">
        <v>A janela foi fechada</v>
        <stp/>
        <stp>T&amp;T2</stp>
        <stp>AGR</stp>
        <stp>66</stp>
        <tr r="D74" s="1"/>
      </tp>
      <tp t="s">
        <v>A janela foi fechada</v>
        <stp/>
        <stp>T&amp;T1</stp>
        <stp>AGR</stp>
        <stp>66</stp>
        <tr r="J74" s="1"/>
      </tp>
      <tp t="s">
        <v>A janela foi fechada</v>
        <stp/>
        <stp>T&amp;T1</stp>
        <stp>DAT</stp>
        <stp>33</stp>
        <tr r="G41" s="1"/>
      </tp>
      <tp t="s">
        <v>A janela foi fechada</v>
        <stp/>
        <stp>T&amp;T2</stp>
        <stp>DAT</stp>
        <stp>33</stp>
        <tr r="A41" s="1"/>
      </tp>
      <tp t="s">
        <v>A janela foi fechada</v>
        <stp/>
        <stp>T&amp;T2</stp>
        <stp>AGR</stp>
        <stp>65</stp>
        <tr r="D73" s="1"/>
      </tp>
      <tp t="s">
        <v>A janela foi fechada</v>
        <stp/>
        <stp>T&amp;T1</stp>
        <stp>AGR</stp>
        <stp>65</stp>
        <tr r="J73" s="1"/>
      </tp>
      <tp t="s">
        <v>A janela foi fechada</v>
        <stp/>
        <stp>T&amp;T1</stp>
        <stp>DAT</stp>
        <stp>32</stp>
        <tr r="G40" s="1"/>
      </tp>
      <tp t="s">
        <v>A janela foi fechada</v>
        <stp/>
        <stp>T&amp;T2</stp>
        <stp>DAT</stp>
        <stp>32</stp>
        <tr r="A40" s="1"/>
      </tp>
      <tp t="s">
        <v>A janela foi fechada</v>
        <stp/>
        <stp>T&amp;T2</stp>
        <stp>AGR</stp>
        <stp>64</stp>
        <tr r="D72" s="1"/>
      </tp>
      <tp t="s">
        <v>A janela foi fechada</v>
        <stp/>
        <stp>T&amp;T1</stp>
        <stp>AGR</stp>
        <stp>64</stp>
        <tr r="J72" s="1"/>
      </tp>
      <tp t="s">
        <v>A janela foi fechada</v>
        <stp/>
        <stp>T&amp;T2</stp>
        <stp>AGR</stp>
        <stp>59</stp>
        <tr r="D67" s="1"/>
      </tp>
      <tp t="s">
        <v>A janela foi fechada</v>
        <stp/>
        <stp>T&amp;T1</stp>
        <stp>AGR</stp>
        <stp>59</stp>
        <tr r="J67" s="1"/>
      </tp>
      <tp t="s">
        <v>A janela foi fechada</v>
        <stp/>
        <stp>T&amp;T2</stp>
        <stp>AGR</stp>
        <stp>58</stp>
        <tr r="D66" s="1"/>
      </tp>
      <tp t="s">
        <v>A janela foi fechada</v>
        <stp/>
        <stp>T&amp;T1</stp>
        <stp>AGR</stp>
        <stp>58</stp>
        <tr r="J66" s="1"/>
      </tp>
      <tp t="s">
        <v>A janela foi fechada</v>
        <stp/>
        <stp>T&amp;T2</stp>
        <stp>AGR</stp>
        <stp>53</stp>
        <tr r="D61" s="1"/>
      </tp>
      <tp t="s">
        <v>A janela foi fechada</v>
        <stp/>
        <stp>T&amp;T1</stp>
        <stp>AGR</stp>
        <stp>53</stp>
        <tr r="J61" s="1"/>
      </tp>
      <tp t="s">
        <v>A janela foi fechada</v>
        <stp/>
        <stp>T&amp;T2</stp>
        <stp>AGR</stp>
        <stp>52</stp>
        <tr r="D60" s="1"/>
      </tp>
      <tp t="s">
        <v>A janela foi fechada</v>
        <stp/>
        <stp>T&amp;T1</stp>
        <stp>AGR</stp>
        <stp>52</stp>
        <tr r="J60" s="1"/>
      </tp>
      <tp t="s">
        <v>A janela foi fechada</v>
        <stp/>
        <stp>T&amp;T2</stp>
        <stp>AGR</stp>
        <stp>51</stp>
        <tr r="D59" s="1"/>
      </tp>
      <tp t="s">
        <v>A janela foi fechada</v>
        <stp/>
        <stp>T&amp;T1</stp>
        <stp>AGR</stp>
        <stp>51</stp>
        <tr r="J59" s="1"/>
      </tp>
      <tp t="s">
        <v>A janela foi fechada</v>
        <stp/>
        <stp>T&amp;T2</stp>
        <stp>AGR</stp>
        <stp>50</stp>
        <tr r="D58" s="1"/>
      </tp>
      <tp t="s">
        <v>A janela foi fechada</v>
        <stp/>
        <stp>T&amp;T1</stp>
        <stp>AGR</stp>
        <stp>50</stp>
        <tr r="J58" s="1"/>
      </tp>
      <tp t="s">
        <v>A janela foi fechada</v>
        <stp/>
        <stp>T&amp;T2</stp>
        <stp>AGR</stp>
        <stp>57</stp>
        <tr r="D65" s="1"/>
      </tp>
      <tp t="s">
        <v>A janela foi fechada</v>
        <stp/>
        <stp>T&amp;T1</stp>
        <stp>AGR</stp>
        <stp>57</stp>
        <tr r="J65" s="1"/>
      </tp>
      <tp t="s">
        <v>A janela foi fechada</v>
        <stp/>
        <stp>T&amp;T2</stp>
        <stp>AGR</stp>
        <stp>56</stp>
        <tr r="D64" s="1"/>
      </tp>
      <tp t="s">
        <v>A janela foi fechada</v>
        <stp/>
        <stp>T&amp;T1</stp>
        <stp>AGR</stp>
        <stp>56</stp>
        <tr r="J64" s="1"/>
      </tp>
      <tp t="s">
        <v>A janela foi fechada</v>
        <stp/>
        <stp>T&amp;T2</stp>
        <stp>AGR</stp>
        <stp>55</stp>
        <tr r="D63" s="1"/>
      </tp>
      <tp t="s">
        <v>A janela foi fechada</v>
        <stp/>
        <stp>T&amp;T1</stp>
        <stp>AGR</stp>
        <stp>55</stp>
        <tr r="J63" s="1"/>
      </tp>
      <tp t="s">
        <v>A janela foi fechada</v>
        <stp/>
        <stp>T&amp;T2</stp>
        <stp>AGR</stp>
        <stp>54</stp>
        <tr r="D62" s="1"/>
      </tp>
      <tp t="s">
        <v>A janela foi fechada</v>
        <stp/>
        <stp>T&amp;T1</stp>
        <stp>AGR</stp>
        <stp>54</stp>
        <tr r="J62" s="1"/>
      </tp>
      <tp t="s">
        <v>A janela foi fechada</v>
        <stp/>
        <stp>T&amp;T2</stp>
        <stp>AGR</stp>
        <stp>49</stp>
        <tr r="D57" s="1"/>
      </tp>
      <tp t="s">
        <v>A janela foi fechada</v>
        <stp/>
        <stp>T&amp;T1</stp>
        <stp>AGR</stp>
        <stp>49</stp>
        <tr r="J57" s="1"/>
      </tp>
      <tp t="s">
        <v>A janela foi fechada</v>
        <stp/>
        <stp>T&amp;T2</stp>
        <stp>AGR</stp>
        <stp>48</stp>
        <tr r="D56" s="1"/>
      </tp>
      <tp t="s">
        <v>A janela foi fechada</v>
        <stp/>
        <stp>T&amp;T1</stp>
        <stp>AGR</stp>
        <stp>48</stp>
        <tr r="J56" s="1"/>
      </tp>
      <tp t="s">
        <v>A janela foi fechada</v>
        <stp/>
        <stp>T&amp;T1</stp>
        <stp>DAT</stp>
        <stp>19</stp>
        <tr r="G27" s="1"/>
      </tp>
      <tp t="s">
        <v>A janela foi fechada</v>
        <stp/>
        <stp>T&amp;T2</stp>
        <stp>DAT</stp>
        <stp>19</stp>
        <tr r="A27" s="1"/>
      </tp>
      <tp t="s">
        <v>A janela foi fechada</v>
        <stp/>
        <stp>T&amp;T1</stp>
        <stp>DAT</stp>
        <stp>18</stp>
        <tr r="G26" s="1"/>
      </tp>
      <tp t="s">
        <v>A janela foi fechada</v>
        <stp/>
        <stp>T&amp;T2</stp>
        <stp>DAT</stp>
        <stp>18</stp>
        <tr r="A26" s="1"/>
      </tp>
      <tp t="s">
        <v>A janela foi fechada</v>
        <stp/>
        <stp>T&amp;T1</stp>
        <stp>DAT</stp>
        <stp>15</stp>
        <tr r="G23" s="1"/>
      </tp>
      <tp t="s">
        <v>A janela foi fechada</v>
        <stp/>
        <stp>T&amp;T2</stp>
        <stp>DAT</stp>
        <stp>15</stp>
        <tr r="A23" s="1"/>
      </tp>
      <tp t="s">
        <v>A janela foi fechada</v>
        <stp/>
        <stp>T&amp;T2</stp>
        <stp>AGR</stp>
        <stp>43</stp>
        <tr r="D51" s="1"/>
      </tp>
      <tp t="s">
        <v>A janela foi fechada</v>
        <stp/>
        <stp>T&amp;T1</stp>
        <stp>AGR</stp>
        <stp>43</stp>
        <tr r="J51" s="1"/>
      </tp>
      <tp t="s">
        <v>A janela foi fechada</v>
        <stp/>
        <stp>T&amp;T1</stp>
        <stp>DAT</stp>
        <stp>14</stp>
        <tr r="G22" s="1"/>
      </tp>
      <tp t="s">
        <v>A janela foi fechada</v>
        <stp/>
        <stp>T&amp;T2</stp>
        <stp>DAT</stp>
        <stp>14</stp>
        <tr r="A22" s="1"/>
      </tp>
      <tp t="s">
        <v>A janela foi fechada</v>
        <stp/>
        <stp>T&amp;T2</stp>
        <stp>AGR</stp>
        <stp>42</stp>
        <tr r="D50" s="1"/>
      </tp>
      <tp t="s">
        <v>A janela foi fechada</v>
        <stp/>
        <stp>T&amp;T1</stp>
        <stp>AGR</stp>
        <stp>42</stp>
        <tr r="J50" s="1"/>
      </tp>
      <tp t="s">
        <v>A janela foi fechada</v>
        <stp/>
        <stp>T&amp;T1</stp>
        <stp>DAT</stp>
        <stp>17</stp>
        <tr r="G25" s="1"/>
      </tp>
      <tp t="s">
        <v>A janela foi fechada</v>
        <stp/>
        <stp>T&amp;T2</stp>
        <stp>DAT</stp>
        <stp>17</stp>
        <tr r="A25" s="1"/>
      </tp>
      <tp t="s">
        <v>A janela foi fechada</v>
        <stp/>
        <stp>T&amp;T2</stp>
        <stp>AGR</stp>
        <stp>41</stp>
        <tr r="D49" s="1"/>
      </tp>
      <tp t="s">
        <v>A janela foi fechada</v>
        <stp/>
        <stp>T&amp;T1</stp>
        <stp>AGR</stp>
        <stp>41</stp>
        <tr r="J49" s="1"/>
      </tp>
      <tp t="s">
        <v>A janela foi fechada</v>
        <stp/>
        <stp>T&amp;T1</stp>
        <stp>DAT</stp>
        <stp>16</stp>
        <tr r="G24" s="1"/>
      </tp>
      <tp t="s">
        <v>A janela foi fechada</v>
        <stp/>
        <stp>T&amp;T2</stp>
        <stp>DAT</stp>
        <stp>16</stp>
        <tr r="A24" s="1"/>
      </tp>
      <tp t="s">
        <v>A janela foi fechada</v>
        <stp/>
        <stp>T&amp;T2</stp>
        <stp>AGR</stp>
        <stp>40</stp>
        <tr r="D48" s="1"/>
      </tp>
      <tp t="s">
        <v>A janela foi fechada</v>
        <stp/>
        <stp>T&amp;T1</stp>
        <stp>AGR</stp>
        <stp>40</stp>
        <tr r="J48" s="1"/>
      </tp>
      <tp t="s">
        <v>A janela foi fechada</v>
        <stp/>
        <stp>T&amp;T1</stp>
        <stp>DAT</stp>
        <stp>11</stp>
        <tr r="G19" s="1"/>
      </tp>
      <tp t="s">
        <v>A janela foi fechada</v>
        <stp/>
        <stp>T&amp;T2</stp>
        <stp>DAT</stp>
        <stp>11</stp>
        <tr r="A19" s="1"/>
      </tp>
      <tp t="s">
        <v>A janela foi fechada</v>
        <stp/>
        <stp>T&amp;T2</stp>
        <stp>AGR</stp>
        <stp>47</stp>
        <tr r="D55" s="1"/>
      </tp>
      <tp t="s">
        <v>A janela foi fechada</v>
        <stp/>
        <stp>T&amp;T1</stp>
        <stp>AGR</stp>
        <stp>47</stp>
        <tr r="J55" s="1"/>
      </tp>
      <tp t="s">
        <v>A janela foi fechada</v>
        <stp/>
        <stp>T&amp;T1</stp>
        <stp>DAT</stp>
        <stp>10</stp>
        <tr r="G18" s="1"/>
      </tp>
      <tp t="s">
        <v>A janela foi fechada</v>
        <stp/>
        <stp>T&amp;T2</stp>
        <stp>DAT</stp>
        <stp>10</stp>
        <tr r="A18" s="1"/>
      </tp>
      <tp t="s">
        <v>A janela foi fechada</v>
        <stp/>
        <stp>T&amp;T2</stp>
        <stp>AGR</stp>
        <stp>46</stp>
        <tr r="D54" s="1"/>
      </tp>
      <tp t="s">
        <v>A janela foi fechada</v>
        <stp/>
        <stp>T&amp;T1</stp>
        <stp>AGR</stp>
        <stp>46</stp>
        <tr r="J54" s="1"/>
      </tp>
      <tp t="s">
        <v>A janela foi fechada</v>
        <stp/>
        <stp>T&amp;T1</stp>
        <stp>DAT</stp>
        <stp>13</stp>
        <tr r="G21" s="1"/>
      </tp>
      <tp t="s">
        <v>A janela foi fechada</v>
        <stp/>
        <stp>T&amp;T2</stp>
        <stp>DAT</stp>
        <stp>13</stp>
        <tr r="A21" s="1"/>
      </tp>
      <tp t="s">
        <v>A janela foi fechada</v>
        <stp/>
        <stp>T&amp;T2</stp>
        <stp>AGR</stp>
        <stp>45</stp>
        <tr r="D53" s="1"/>
      </tp>
      <tp t="s">
        <v>A janela foi fechada</v>
        <stp/>
        <stp>T&amp;T1</stp>
        <stp>AGR</stp>
        <stp>45</stp>
        <tr r="J53" s="1"/>
      </tp>
      <tp t="s">
        <v>A janela foi fechada</v>
        <stp/>
        <stp>T&amp;T1</stp>
        <stp>DAT</stp>
        <stp>12</stp>
        <tr r="G20" s="1"/>
      </tp>
      <tp t="s">
        <v>A janela foi fechada</v>
        <stp/>
        <stp>T&amp;T2</stp>
        <stp>DAT</stp>
        <stp>12</stp>
        <tr r="A20" s="1"/>
      </tp>
      <tp t="s">
        <v>A janela foi fechada</v>
        <stp/>
        <stp>T&amp;T2</stp>
        <stp>AGR</stp>
        <stp>44</stp>
        <tr r="D52" s="1"/>
      </tp>
      <tp t="s">
        <v>A janela foi fechada</v>
        <stp/>
        <stp>T&amp;T1</stp>
        <stp>AGR</stp>
        <stp>44</stp>
        <tr r="J5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90F8F-7D5D-4521-914C-2A3F4650DB40}">
  <sheetPr codeName="Planilha1"/>
  <dimension ref="A1:Z3011"/>
  <sheetViews>
    <sheetView showGridLines="0" tabSelected="1" workbookViewId="0">
      <selection activeCell="F8" sqref="F8"/>
    </sheetView>
  </sheetViews>
  <sheetFormatPr defaultRowHeight="15" x14ac:dyDescent="0.25"/>
  <cols>
    <col min="1" max="6" width="18.7109375" customWidth="1"/>
    <col min="7" max="7" width="18.7109375" style="20" customWidth="1"/>
    <col min="8" max="11" width="18.7109375" customWidth="1"/>
  </cols>
  <sheetData>
    <row r="1" spans="1:26" x14ac:dyDescent="0.25">
      <c r="A1" s="17" t="s">
        <v>4</v>
      </c>
      <c r="B1" s="6" t="s">
        <v>0</v>
      </c>
      <c r="C1" s="6" t="s">
        <v>5</v>
      </c>
      <c r="D1" s="6" t="s">
        <v>6</v>
      </c>
      <c r="E1" s="6" t="s">
        <v>7</v>
      </c>
      <c r="F1" s="6" t="s">
        <v>8</v>
      </c>
      <c r="G1" s="23" t="s">
        <v>9</v>
      </c>
      <c r="H1" s="7" t="s">
        <v>10</v>
      </c>
      <c r="I1" s="6" t="s">
        <v>11</v>
      </c>
      <c r="J1" s="6" t="s">
        <v>12</v>
      </c>
      <c r="K1" s="8" t="s">
        <v>13</v>
      </c>
      <c r="Z1">
        <v>12402</v>
      </c>
    </row>
    <row r="2" spans="1:26" s="1" customFormat="1" ht="15.75" thickBot="1" x14ac:dyDescent="0.3">
      <c r="A2" s="18" t="s">
        <v>20</v>
      </c>
      <c r="B2" s="9" t="str">
        <f>RTD("rtdtrading.rtdserver",, "NQM6_M_0", "DAT")</f>
        <v>05/05/2026</v>
      </c>
      <c r="C2" s="10">
        <f>RTD("rtdtrading.rtdserver",, "NQM6_M_0", "ULT")</f>
        <v>28282.5</v>
      </c>
      <c r="D2" s="11">
        <f>RTD("rtdtrading.rtdserver",, "NQM6_M_0", "ABE")</f>
        <v>28250</v>
      </c>
      <c r="E2" s="12">
        <f>RTD("rtdtrading.rtdserver",, "NQM6_M_0", "MAX")</f>
        <v>28422</v>
      </c>
      <c r="F2" s="12">
        <f>RTD("rtdtrading.rtdserver",, "NQM6_M_0", "MIN")</f>
        <v>28243</v>
      </c>
      <c r="G2" s="13">
        <f>RTD("rtdtrading.rtdserver",, "NQM6_M_0", "FEC")</f>
        <v>28207.25</v>
      </c>
      <c r="H2" s="14">
        <f>RTD("rtdtrading.rtdserver",, "NQM6_M_0", "VAR")</f>
        <v>0.26677538576075299</v>
      </c>
      <c r="I2" s="15">
        <f>RTD("rtdtrading.rtdserver",, "NQM6_M_0", "AJA")</f>
        <v>28136</v>
      </c>
      <c r="J2" s="13" t="str">
        <f>RTD("rtdtrading.rtdserver",, "NQM6_M_0", "100")</f>
        <v>658</v>
      </c>
      <c r="K2" s="16" t="str">
        <f>RTD("rtdtrading.rtdserver",, "NQM6_M_0", "67")</f>
        <v>28.315,83</v>
      </c>
      <c r="Z2" s="4" t="s">
        <v>18</v>
      </c>
    </row>
    <row r="3" spans="1:26" x14ac:dyDescent="0.25">
      <c r="Z3" s="5">
        <v>12490</v>
      </c>
    </row>
    <row r="4" spans="1:26" ht="15.75" thickBot="1" x14ac:dyDescent="0.3">
      <c r="G4"/>
      <c r="Z4" t="s">
        <v>17</v>
      </c>
    </row>
    <row r="5" spans="1:26" ht="15.75" thickBot="1" x14ac:dyDescent="0.3">
      <c r="A5" s="50" t="s">
        <v>15</v>
      </c>
      <c r="B5" s="51"/>
      <c r="C5" s="51"/>
      <c r="D5" s="52"/>
      <c r="G5" s="53" t="s">
        <v>16</v>
      </c>
      <c r="H5" s="54"/>
      <c r="I5" s="54"/>
      <c r="J5" s="55"/>
      <c r="Z5">
        <v>0</v>
      </c>
    </row>
    <row r="6" spans="1:26" x14ac:dyDescent="0.25">
      <c r="A6" s="25" t="str">
        <f>RTD("rtdtrading.rtdserver",, "T&amp;T2", "INFO", "ATV")</f>
        <v>A janela foi fechada</v>
      </c>
      <c r="B6" s="26" t="str">
        <f>RTD("rtdtrading.rtdserver",, "T&amp;T2", "INFO", "TAB")</f>
        <v>A janela foi fechada</v>
      </c>
      <c r="C6" s="26"/>
      <c r="D6" s="26"/>
      <c r="G6" s="34" t="str">
        <f>RTD("rtdtrading.rtdserver",, "T&amp;T1", "INFO", "ATV")</f>
        <v>A janela foi fechada</v>
      </c>
      <c r="H6" s="35" t="str">
        <f>RTD("rtdtrading.rtdserver",, "T&amp;T1", "INFO", "TAB")</f>
        <v>A janela foi fechada</v>
      </c>
      <c r="I6" s="35"/>
      <c r="J6" s="48"/>
    </row>
    <row r="7" spans="1:26" x14ac:dyDescent="0.25">
      <c r="A7" s="27" t="s">
        <v>0</v>
      </c>
      <c r="B7" s="28" t="s">
        <v>1</v>
      </c>
      <c r="C7" s="28" t="s">
        <v>2</v>
      </c>
      <c r="D7" s="28" t="s">
        <v>3</v>
      </c>
      <c r="G7" s="36" t="s">
        <v>0</v>
      </c>
      <c r="H7" s="33" t="s">
        <v>1</v>
      </c>
      <c r="I7" s="33" t="s">
        <v>2</v>
      </c>
      <c r="J7" s="37" t="s">
        <v>3</v>
      </c>
    </row>
    <row r="8" spans="1:26" x14ac:dyDescent="0.25">
      <c r="A8" s="46" t="str">
        <f>RTD("rtdtrading.rtdserver",, "T&amp;T2", "DAT", 0)</f>
        <v>A janela foi fechada</v>
      </c>
      <c r="B8" s="29" t="str">
        <f>RTD("rtdtrading.rtdserver",, "T&amp;T2", "PRE", 0)</f>
        <v>A janela foi fechada</v>
      </c>
      <c r="C8" s="30" t="str">
        <f>RTD("rtdtrading.rtdserver",, "T&amp;T2", "QUL", 0)</f>
        <v>A janela foi fechada</v>
      </c>
      <c r="D8" s="30" t="str">
        <f>RTD("rtdtrading.rtdserver",, "T&amp;T2", "AGR", 0)</f>
        <v>A janela foi fechada</v>
      </c>
      <c r="F8" s="20"/>
      <c r="G8" s="38" t="str">
        <f>RTD("rtdtrading.rtdserver",, "T&amp;T1", "DAT", 0)</f>
        <v>A janela foi fechada</v>
      </c>
      <c r="H8" s="39" t="str">
        <f>RTD("rtdtrading.rtdserver",, "T&amp;T1", "PRE", 0)</f>
        <v>A janela foi fechada</v>
      </c>
      <c r="I8" s="40" t="str">
        <f>RTD("rtdtrading.rtdserver",, "T&amp;T1", "QUL", 0)</f>
        <v>A janela foi fechada</v>
      </c>
      <c r="J8" s="41" t="str">
        <f>RTD("rtdtrading.rtdserver",, "T&amp;T1", "AGR", 0)</f>
        <v>A janela foi fechada</v>
      </c>
    </row>
    <row r="9" spans="1:26" x14ac:dyDescent="0.25">
      <c r="A9" s="46" t="str">
        <f>RTD("rtdtrading.rtdserver",, "T&amp;T2", "DAT", 1)</f>
        <v>A janela foi fechada</v>
      </c>
      <c r="B9" s="29" t="str">
        <f>RTD("rtdtrading.rtdserver",, "T&amp;T2", "PRE", 1)</f>
        <v>A janela foi fechada</v>
      </c>
      <c r="C9" s="30" t="str">
        <f>RTD("rtdtrading.rtdserver",, "T&amp;T2", "QUL", 1)</f>
        <v>A janela foi fechada</v>
      </c>
      <c r="D9" s="30" t="str">
        <f>RTD("rtdtrading.rtdserver",, "T&amp;T2", "AGR", 1)</f>
        <v>A janela foi fechada</v>
      </c>
      <c r="G9" s="38" t="str">
        <f>RTD("rtdtrading.rtdserver",, "T&amp;T1", "DAT", 1)</f>
        <v>A janela foi fechada</v>
      </c>
      <c r="H9" s="39" t="str">
        <f>RTD("rtdtrading.rtdserver",, "T&amp;T1", "PRE", 1)</f>
        <v>A janela foi fechada</v>
      </c>
      <c r="I9" s="40" t="str">
        <f>RTD("rtdtrading.rtdserver",, "T&amp;T1", "QUL", 1)</f>
        <v>A janela foi fechada</v>
      </c>
      <c r="J9" s="41" t="str">
        <f>RTD("rtdtrading.rtdserver",, "T&amp;T1", "AGR", 1)</f>
        <v>A janela foi fechada</v>
      </c>
      <c r="L9" s="2"/>
    </row>
    <row r="10" spans="1:26" x14ac:dyDescent="0.25">
      <c r="A10" s="46" t="str">
        <f>RTD("rtdtrading.rtdserver",, "T&amp;T2", "DAT", 2)</f>
        <v>A janela foi fechada</v>
      </c>
      <c r="B10" s="29" t="str">
        <f>RTD("rtdtrading.rtdserver",, "T&amp;T2", "PRE", 2)</f>
        <v>A janela foi fechada</v>
      </c>
      <c r="C10" s="30" t="str">
        <f>RTD("rtdtrading.rtdserver",, "T&amp;T2", "QUL", 2)</f>
        <v>A janela foi fechada</v>
      </c>
      <c r="D10" s="30" t="str">
        <f>RTD("rtdtrading.rtdserver",, "T&amp;T2", "AGR", 2)</f>
        <v>A janela foi fechada</v>
      </c>
      <c r="G10" s="38" t="str">
        <f>RTD("rtdtrading.rtdserver",, "T&amp;T1", "DAT", 2)</f>
        <v>A janela foi fechada</v>
      </c>
      <c r="H10" s="39" t="str">
        <f>RTD("rtdtrading.rtdserver",, "T&amp;T1", "PRE", 2)</f>
        <v>A janela foi fechada</v>
      </c>
      <c r="I10" s="40" t="str">
        <f>RTD("rtdtrading.rtdserver",, "T&amp;T1", "QUL", 2)</f>
        <v>A janela foi fechada</v>
      </c>
      <c r="J10" s="41" t="str">
        <f>RTD("rtdtrading.rtdserver",, "T&amp;T1", "AGR", 2)</f>
        <v>A janela foi fechada</v>
      </c>
    </row>
    <row r="11" spans="1:26" x14ac:dyDescent="0.25">
      <c r="A11" s="46" t="str">
        <f>RTD("rtdtrading.rtdserver",, "T&amp;T2", "DAT", 3)</f>
        <v>A janela foi fechada</v>
      </c>
      <c r="B11" s="29" t="str">
        <f>RTD("rtdtrading.rtdserver",, "T&amp;T2", "PRE", 3)</f>
        <v>A janela foi fechada</v>
      </c>
      <c r="C11" s="30" t="str">
        <f>RTD("rtdtrading.rtdserver",, "T&amp;T2", "QUL", 3)</f>
        <v>A janela foi fechada</v>
      </c>
      <c r="D11" s="30" t="str">
        <f>RTD("rtdtrading.rtdserver",, "T&amp;T2", "AGR", 3)</f>
        <v>A janela foi fechada</v>
      </c>
      <c r="G11" s="38" t="str">
        <f>RTD("rtdtrading.rtdserver",, "T&amp;T1", "DAT", 3)</f>
        <v>A janela foi fechada</v>
      </c>
      <c r="H11" s="39" t="str">
        <f>RTD("rtdtrading.rtdserver",, "T&amp;T1", "PRE", 3)</f>
        <v>A janela foi fechada</v>
      </c>
      <c r="I11" s="40" t="str">
        <f>RTD("rtdtrading.rtdserver",, "T&amp;T1", "QUL", 3)</f>
        <v>A janela foi fechada</v>
      </c>
      <c r="J11" s="41" t="str">
        <f>RTD("rtdtrading.rtdserver",, "T&amp;T1", "AGR", 3)</f>
        <v>A janela foi fechada</v>
      </c>
    </row>
    <row r="12" spans="1:26" x14ac:dyDescent="0.25">
      <c r="A12" s="46" t="str">
        <f>RTD("rtdtrading.rtdserver",, "T&amp;T2", "DAT", 4)</f>
        <v>A janela foi fechada</v>
      </c>
      <c r="B12" s="29" t="str">
        <f>RTD("rtdtrading.rtdserver",, "T&amp;T2", "PRE", 4)</f>
        <v>A janela foi fechada</v>
      </c>
      <c r="C12" s="30" t="str">
        <f>RTD("rtdtrading.rtdserver",, "T&amp;T2", "QUL", 4)</f>
        <v>A janela foi fechada</v>
      </c>
      <c r="D12" s="30" t="str">
        <f>RTD("rtdtrading.rtdserver",, "T&amp;T2", "AGR", 4)</f>
        <v>A janela foi fechada</v>
      </c>
      <c r="G12" s="38" t="str">
        <f>RTD("rtdtrading.rtdserver",, "T&amp;T1", "DAT", 4)</f>
        <v>A janela foi fechada</v>
      </c>
      <c r="H12" s="39" t="str">
        <f>RTD("rtdtrading.rtdserver",, "T&amp;T1", "PRE", 4)</f>
        <v>A janela foi fechada</v>
      </c>
      <c r="I12" s="40" t="str">
        <f>RTD("rtdtrading.rtdserver",, "T&amp;T1", "QUL", 4)</f>
        <v>A janela foi fechada</v>
      </c>
      <c r="J12" s="41" t="str">
        <f>RTD("rtdtrading.rtdserver",, "T&amp;T1", "AGR", 4)</f>
        <v>A janela foi fechada</v>
      </c>
    </row>
    <row r="13" spans="1:26" x14ac:dyDescent="0.25">
      <c r="A13" s="46" t="str">
        <f>RTD("rtdtrading.rtdserver",, "T&amp;T2", "DAT", 5)</f>
        <v>A janela foi fechada</v>
      </c>
      <c r="B13" s="29" t="str">
        <f>RTD("rtdtrading.rtdserver",, "T&amp;T2", "PRE", 5)</f>
        <v>A janela foi fechada</v>
      </c>
      <c r="C13" s="30" t="str">
        <f>RTD("rtdtrading.rtdserver",, "T&amp;T2", "QUL", 5)</f>
        <v>A janela foi fechada</v>
      </c>
      <c r="D13" s="30" t="str">
        <f>RTD("rtdtrading.rtdserver",, "T&amp;T2", "AGR", 5)</f>
        <v>A janela foi fechada</v>
      </c>
      <c r="G13" s="38" t="str">
        <f>RTD("rtdtrading.rtdserver",, "T&amp;T1", "DAT", 5)</f>
        <v>A janela foi fechada</v>
      </c>
      <c r="H13" s="39" t="str">
        <f>RTD("rtdtrading.rtdserver",, "T&amp;T1", "PRE", 5)</f>
        <v>A janela foi fechada</v>
      </c>
      <c r="I13" s="40" t="str">
        <f>RTD("rtdtrading.rtdserver",, "T&amp;T1", "QUL", 5)</f>
        <v>A janela foi fechada</v>
      </c>
      <c r="J13" s="41" t="str">
        <f>RTD("rtdtrading.rtdserver",, "T&amp;T1", "AGR", 5)</f>
        <v>A janela foi fechada</v>
      </c>
    </row>
    <row r="14" spans="1:26" x14ac:dyDescent="0.25">
      <c r="A14" s="46" t="str">
        <f>RTD("rtdtrading.rtdserver",, "T&amp;T2", "DAT", 6)</f>
        <v>A janela foi fechada</v>
      </c>
      <c r="B14" s="29" t="str">
        <f>RTD("rtdtrading.rtdserver",, "T&amp;T2", "PRE", 6)</f>
        <v>A janela foi fechada</v>
      </c>
      <c r="C14" s="30" t="str">
        <f>RTD("rtdtrading.rtdserver",, "T&amp;T2", "QUL", 6)</f>
        <v>A janela foi fechada</v>
      </c>
      <c r="D14" s="30" t="str">
        <f>RTD("rtdtrading.rtdserver",, "T&amp;T2", "AGR", 6)</f>
        <v>A janela foi fechada</v>
      </c>
      <c r="G14" s="38" t="str">
        <f>RTD("rtdtrading.rtdserver",, "T&amp;T1", "DAT", 6)</f>
        <v>A janela foi fechada</v>
      </c>
      <c r="H14" s="39" t="str">
        <f>RTD("rtdtrading.rtdserver",, "T&amp;T1", "PRE", 6)</f>
        <v>A janela foi fechada</v>
      </c>
      <c r="I14" s="40" t="str">
        <f>RTD("rtdtrading.rtdserver",, "T&amp;T1", "QUL", 6)</f>
        <v>A janela foi fechada</v>
      </c>
      <c r="J14" s="41" t="str">
        <f>RTD("rtdtrading.rtdserver",, "T&amp;T1", "AGR", 6)</f>
        <v>A janela foi fechada</v>
      </c>
    </row>
    <row r="15" spans="1:26" x14ac:dyDescent="0.25">
      <c r="A15" s="46" t="str">
        <f>RTD("rtdtrading.rtdserver",, "T&amp;T2", "DAT", 7)</f>
        <v>A janela foi fechada</v>
      </c>
      <c r="B15" s="29" t="str">
        <f>RTD("rtdtrading.rtdserver",, "T&amp;T2", "PRE", 7)</f>
        <v>A janela foi fechada</v>
      </c>
      <c r="C15" s="30" t="str">
        <f>RTD("rtdtrading.rtdserver",, "T&amp;T2", "QUL", 7)</f>
        <v>A janela foi fechada</v>
      </c>
      <c r="D15" s="30" t="str">
        <f>RTD("rtdtrading.rtdserver",, "T&amp;T2", "AGR", 7)</f>
        <v>A janela foi fechada</v>
      </c>
      <c r="G15" s="38" t="str">
        <f>RTD("rtdtrading.rtdserver",, "T&amp;T1", "DAT", 7)</f>
        <v>A janela foi fechada</v>
      </c>
      <c r="H15" s="39" t="str">
        <f>RTD("rtdtrading.rtdserver",, "T&amp;T1", "PRE", 7)</f>
        <v>A janela foi fechada</v>
      </c>
      <c r="I15" s="40" t="str">
        <f>RTD("rtdtrading.rtdserver",, "T&amp;T1", "QUL", 7)</f>
        <v>A janela foi fechada</v>
      </c>
      <c r="J15" s="41" t="str">
        <f>RTD("rtdtrading.rtdserver",, "T&amp;T1", "AGR", 7)</f>
        <v>A janela foi fechada</v>
      </c>
    </row>
    <row r="16" spans="1:26" x14ac:dyDescent="0.25">
      <c r="A16" s="46" t="str">
        <f>RTD("rtdtrading.rtdserver",, "T&amp;T2", "DAT", 8)</f>
        <v>A janela foi fechada</v>
      </c>
      <c r="B16" s="29" t="str">
        <f>RTD("rtdtrading.rtdserver",, "T&amp;T2", "PRE", 8)</f>
        <v>A janela foi fechada</v>
      </c>
      <c r="C16" s="30" t="str">
        <f>RTD("rtdtrading.rtdserver",, "T&amp;T2", "QUL", 8)</f>
        <v>A janela foi fechada</v>
      </c>
      <c r="D16" s="30" t="str">
        <f>RTD("rtdtrading.rtdserver",, "T&amp;T2", "AGR", 8)</f>
        <v>A janela foi fechada</v>
      </c>
      <c r="G16" s="38" t="str">
        <f>RTD("rtdtrading.rtdserver",, "T&amp;T1", "DAT", 8)</f>
        <v>A janela foi fechada</v>
      </c>
      <c r="H16" s="39" t="str">
        <f>RTD("rtdtrading.rtdserver",, "T&amp;T1", "PRE", 8)</f>
        <v>A janela foi fechada</v>
      </c>
      <c r="I16" s="40" t="str">
        <f>RTD("rtdtrading.rtdserver",, "T&amp;T1", "QUL", 8)</f>
        <v>A janela foi fechada</v>
      </c>
      <c r="J16" s="41" t="str">
        <f>RTD("rtdtrading.rtdserver",, "T&amp;T1", "AGR", 8)</f>
        <v>A janela foi fechada</v>
      </c>
    </row>
    <row r="17" spans="1:13" x14ac:dyDescent="0.25">
      <c r="A17" s="46" t="str">
        <f>RTD("rtdtrading.rtdserver",, "T&amp;T2", "DAT", 9)</f>
        <v>A janela foi fechada</v>
      </c>
      <c r="B17" s="29" t="str">
        <f>RTD("rtdtrading.rtdserver",, "T&amp;T2", "PRE", 9)</f>
        <v>A janela foi fechada</v>
      </c>
      <c r="C17" s="30" t="str">
        <f>RTD("rtdtrading.rtdserver",, "T&amp;T2", "QUL", 9)</f>
        <v>A janela foi fechada</v>
      </c>
      <c r="D17" s="30" t="str">
        <f>RTD("rtdtrading.rtdserver",, "T&amp;T2", "AGR", 9)</f>
        <v>A janela foi fechada</v>
      </c>
      <c r="G17" s="38" t="str">
        <f>RTD("rtdtrading.rtdserver",, "T&amp;T1", "DAT", 9)</f>
        <v>A janela foi fechada</v>
      </c>
      <c r="H17" s="39" t="str">
        <f>RTD("rtdtrading.rtdserver",, "T&amp;T1", "PRE", 9)</f>
        <v>A janela foi fechada</v>
      </c>
      <c r="I17" s="40" t="str">
        <f>RTD("rtdtrading.rtdserver",, "T&amp;T1", "QUL", 9)</f>
        <v>A janela foi fechada</v>
      </c>
      <c r="J17" s="41" t="str">
        <f>RTD("rtdtrading.rtdserver",, "T&amp;T1", "AGR", 9)</f>
        <v>A janela foi fechada</v>
      </c>
    </row>
    <row r="18" spans="1:13" x14ac:dyDescent="0.25">
      <c r="A18" s="46" t="str">
        <f>RTD("rtdtrading.rtdserver",, "T&amp;T2", "DAT", 10)</f>
        <v>A janela foi fechada</v>
      </c>
      <c r="B18" s="29" t="str">
        <f>RTD("rtdtrading.rtdserver",, "T&amp;T2", "PRE", 10)</f>
        <v>A janela foi fechada</v>
      </c>
      <c r="C18" s="30" t="str">
        <f>RTD("rtdtrading.rtdserver",, "T&amp;T2", "QUL", 10)</f>
        <v>A janela foi fechada</v>
      </c>
      <c r="D18" s="30" t="str">
        <f>RTD("rtdtrading.rtdserver",, "T&amp;T2", "AGR", 10)</f>
        <v>A janela foi fechada</v>
      </c>
      <c r="G18" s="38" t="str">
        <f>RTD("rtdtrading.rtdserver",, "T&amp;T1", "DAT", 10)</f>
        <v>A janela foi fechada</v>
      </c>
      <c r="H18" s="39" t="str">
        <f>RTD("rtdtrading.rtdserver",, "T&amp;T1", "PRE", 10)</f>
        <v>A janela foi fechada</v>
      </c>
      <c r="I18" s="40" t="str">
        <f>RTD("rtdtrading.rtdserver",, "T&amp;T1", "QUL", 10)</f>
        <v>A janela foi fechada</v>
      </c>
      <c r="J18" s="41" t="str">
        <f>RTD("rtdtrading.rtdserver",, "T&amp;T1", "AGR", 10)</f>
        <v>A janela foi fechada</v>
      </c>
    </row>
    <row r="19" spans="1:13" x14ac:dyDescent="0.25">
      <c r="A19" s="46" t="str">
        <f>RTD("rtdtrading.rtdserver",, "T&amp;T2", "DAT", 11)</f>
        <v>A janela foi fechada</v>
      </c>
      <c r="B19" s="29" t="str">
        <f>RTD("rtdtrading.rtdserver",, "T&amp;T2", "PRE", 11)</f>
        <v>A janela foi fechada</v>
      </c>
      <c r="C19" s="30" t="str">
        <f>RTD("rtdtrading.rtdserver",, "T&amp;T2", "QUL", 11)</f>
        <v>A janela foi fechada</v>
      </c>
      <c r="D19" s="30" t="str">
        <f>RTD("rtdtrading.rtdserver",, "T&amp;T2", "AGR", 11)</f>
        <v>A janela foi fechada</v>
      </c>
      <c r="G19" s="38" t="str">
        <f>RTD("rtdtrading.rtdserver",, "T&amp;T1", "DAT", 11)</f>
        <v>A janela foi fechada</v>
      </c>
      <c r="H19" s="39" t="str">
        <f>RTD("rtdtrading.rtdserver",, "T&amp;T1", "PRE", 11)</f>
        <v>A janela foi fechada</v>
      </c>
      <c r="I19" s="40" t="str">
        <f>RTD("rtdtrading.rtdserver",, "T&amp;T1", "QUL", 11)</f>
        <v>A janela foi fechada</v>
      </c>
      <c r="J19" s="41" t="str">
        <f>RTD("rtdtrading.rtdserver",, "T&amp;T1", "AGR", 11)</f>
        <v>A janela foi fechada</v>
      </c>
      <c r="M19" s="2"/>
    </row>
    <row r="20" spans="1:13" x14ac:dyDescent="0.25">
      <c r="A20" s="46" t="str">
        <f>RTD("rtdtrading.rtdserver",, "T&amp;T2", "DAT", 12)</f>
        <v>A janela foi fechada</v>
      </c>
      <c r="B20" s="29" t="str">
        <f>RTD("rtdtrading.rtdserver",, "T&amp;T2", "PRE", 12)</f>
        <v>A janela foi fechada</v>
      </c>
      <c r="C20" s="30" t="str">
        <f>RTD("rtdtrading.rtdserver",, "T&amp;T2", "QUL", 12)</f>
        <v>A janela foi fechada</v>
      </c>
      <c r="D20" s="30" t="str">
        <f>RTD("rtdtrading.rtdserver",, "T&amp;T2", "AGR", 12)</f>
        <v>A janela foi fechada</v>
      </c>
      <c r="G20" s="38" t="str">
        <f>RTD("rtdtrading.rtdserver",, "T&amp;T1", "DAT", 12)</f>
        <v>A janela foi fechada</v>
      </c>
      <c r="H20" s="39" t="str">
        <f>RTD("rtdtrading.rtdserver",, "T&amp;T1", "PRE", 12)</f>
        <v>A janela foi fechada</v>
      </c>
      <c r="I20" s="40" t="str">
        <f>RTD("rtdtrading.rtdserver",, "T&amp;T1", "QUL", 12)</f>
        <v>A janela foi fechada</v>
      </c>
      <c r="J20" s="41" t="str">
        <f>RTD("rtdtrading.rtdserver",, "T&amp;T1", "AGR", 12)</f>
        <v>A janela foi fechada</v>
      </c>
    </row>
    <row r="21" spans="1:13" x14ac:dyDescent="0.25">
      <c r="A21" s="46" t="str">
        <f>RTD("rtdtrading.rtdserver",, "T&amp;T2", "DAT", 13)</f>
        <v>A janela foi fechada</v>
      </c>
      <c r="B21" s="29" t="str">
        <f>RTD("rtdtrading.rtdserver",, "T&amp;T2", "PRE", 13)</f>
        <v>A janela foi fechada</v>
      </c>
      <c r="C21" s="30" t="str">
        <f>RTD("rtdtrading.rtdserver",, "T&amp;T2", "QUL", 13)</f>
        <v>A janela foi fechada</v>
      </c>
      <c r="D21" s="30" t="str">
        <f>RTD("rtdtrading.rtdserver",, "T&amp;T2", "AGR", 13)</f>
        <v>A janela foi fechada</v>
      </c>
      <c r="G21" s="38" t="str">
        <f>RTD("rtdtrading.rtdserver",, "T&amp;T1", "DAT", 13)</f>
        <v>A janela foi fechada</v>
      </c>
      <c r="H21" s="39" t="str">
        <f>RTD("rtdtrading.rtdserver",, "T&amp;T1", "PRE", 13)</f>
        <v>A janela foi fechada</v>
      </c>
      <c r="I21" s="40" t="str">
        <f>RTD("rtdtrading.rtdserver",, "T&amp;T1", "QUL", 13)</f>
        <v>A janela foi fechada</v>
      </c>
      <c r="J21" s="41" t="str">
        <f>RTD("rtdtrading.rtdserver",, "T&amp;T1", "AGR", 13)</f>
        <v>A janela foi fechada</v>
      </c>
    </row>
    <row r="22" spans="1:13" x14ac:dyDescent="0.25">
      <c r="A22" s="46" t="str">
        <f>RTD("rtdtrading.rtdserver",, "T&amp;T2", "DAT", 14)</f>
        <v>A janela foi fechada</v>
      </c>
      <c r="B22" s="29" t="str">
        <f>RTD("rtdtrading.rtdserver",, "T&amp;T2", "PRE", 14)</f>
        <v>A janela foi fechada</v>
      </c>
      <c r="C22" s="30" t="str">
        <f>RTD("rtdtrading.rtdserver",, "T&amp;T2", "QUL", 14)</f>
        <v>A janela foi fechada</v>
      </c>
      <c r="D22" s="30" t="str">
        <f>RTD("rtdtrading.rtdserver",, "T&amp;T2", "AGR", 14)</f>
        <v>A janela foi fechada</v>
      </c>
      <c r="G22" s="38" t="str">
        <f>RTD("rtdtrading.rtdserver",, "T&amp;T1", "DAT", 14)</f>
        <v>A janela foi fechada</v>
      </c>
      <c r="H22" s="39" t="str">
        <f>RTD("rtdtrading.rtdserver",, "T&amp;T1", "PRE", 14)</f>
        <v>A janela foi fechada</v>
      </c>
      <c r="I22" s="40" t="str">
        <f>RTD("rtdtrading.rtdserver",, "T&amp;T1", "QUL", 14)</f>
        <v>A janela foi fechada</v>
      </c>
      <c r="J22" s="41" t="str">
        <f>RTD("rtdtrading.rtdserver",, "T&amp;T1", "AGR", 14)</f>
        <v>A janela foi fechada</v>
      </c>
    </row>
    <row r="23" spans="1:13" x14ac:dyDescent="0.25">
      <c r="A23" s="46" t="str">
        <f>RTD("rtdtrading.rtdserver",, "T&amp;T2", "DAT", 15)</f>
        <v>A janela foi fechada</v>
      </c>
      <c r="B23" s="29" t="str">
        <f>RTD("rtdtrading.rtdserver",, "T&amp;T2", "PRE", 15)</f>
        <v>A janela foi fechada</v>
      </c>
      <c r="C23" s="30" t="str">
        <f>RTD("rtdtrading.rtdserver",, "T&amp;T2", "QUL", 15)</f>
        <v>A janela foi fechada</v>
      </c>
      <c r="D23" s="30" t="str">
        <f>RTD("rtdtrading.rtdserver",, "T&amp;T2", "AGR", 15)</f>
        <v>A janela foi fechada</v>
      </c>
      <c r="G23" s="38" t="str">
        <f>RTD("rtdtrading.rtdserver",, "T&amp;T1", "DAT", 15)</f>
        <v>A janela foi fechada</v>
      </c>
      <c r="H23" s="39" t="str">
        <f>RTD("rtdtrading.rtdserver",, "T&amp;T1", "PRE", 15)</f>
        <v>A janela foi fechada</v>
      </c>
      <c r="I23" s="40" t="str">
        <f>RTD("rtdtrading.rtdserver",, "T&amp;T1", "QUL", 15)</f>
        <v>A janela foi fechada</v>
      </c>
      <c r="J23" s="41" t="str">
        <f>RTD("rtdtrading.rtdserver",, "T&amp;T1", "AGR", 15)</f>
        <v>A janela foi fechada</v>
      </c>
    </row>
    <row r="24" spans="1:13" x14ac:dyDescent="0.25">
      <c r="A24" s="46" t="str">
        <f>RTD("rtdtrading.rtdserver",, "T&amp;T2", "DAT", 16)</f>
        <v>A janela foi fechada</v>
      </c>
      <c r="B24" s="29" t="str">
        <f>RTD("rtdtrading.rtdserver",, "T&amp;T2", "PRE", 16)</f>
        <v>A janela foi fechada</v>
      </c>
      <c r="C24" s="30" t="str">
        <f>RTD("rtdtrading.rtdserver",, "T&amp;T2", "QUL", 16)</f>
        <v>A janela foi fechada</v>
      </c>
      <c r="D24" s="30" t="str">
        <f>RTD("rtdtrading.rtdserver",, "T&amp;T2", "AGR", 16)</f>
        <v>A janela foi fechada</v>
      </c>
      <c r="G24" s="38" t="str">
        <f>RTD("rtdtrading.rtdserver",, "T&amp;T1", "DAT", 16)</f>
        <v>A janela foi fechada</v>
      </c>
      <c r="H24" s="39" t="str">
        <f>RTD("rtdtrading.rtdserver",, "T&amp;T1", "PRE", 16)</f>
        <v>A janela foi fechada</v>
      </c>
      <c r="I24" s="40" t="str">
        <f>RTD("rtdtrading.rtdserver",, "T&amp;T1", "QUL", 16)</f>
        <v>A janela foi fechada</v>
      </c>
      <c r="J24" s="41" t="str">
        <f>RTD("rtdtrading.rtdserver",, "T&amp;T1", "AGR", 16)</f>
        <v>A janela foi fechada</v>
      </c>
    </row>
    <row r="25" spans="1:13" x14ac:dyDescent="0.25">
      <c r="A25" s="46" t="str">
        <f>RTD("rtdtrading.rtdserver",, "T&amp;T2", "DAT", 17)</f>
        <v>A janela foi fechada</v>
      </c>
      <c r="B25" s="29" t="str">
        <f>RTD("rtdtrading.rtdserver",, "T&amp;T2", "PRE", 17)</f>
        <v>A janela foi fechada</v>
      </c>
      <c r="C25" s="30" t="str">
        <f>RTD("rtdtrading.rtdserver",, "T&amp;T2", "QUL", 17)</f>
        <v>A janela foi fechada</v>
      </c>
      <c r="D25" s="30" t="str">
        <f>RTD("rtdtrading.rtdserver",, "T&amp;T2", "AGR", 17)</f>
        <v>A janela foi fechada</v>
      </c>
      <c r="G25" s="38" t="str">
        <f>RTD("rtdtrading.rtdserver",, "T&amp;T1", "DAT", 17)</f>
        <v>A janela foi fechada</v>
      </c>
      <c r="H25" s="39" t="str">
        <f>RTD("rtdtrading.rtdserver",, "T&amp;T1", "PRE", 17)</f>
        <v>A janela foi fechada</v>
      </c>
      <c r="I25" s="40" t="str">
        <f>RTD("rtdtrading.rtdserver",, "T&amp;T1", "QUL", 17)</f>
        <v>A janela foi fechada</v>
      </c>
      <c r="J25" s="41" t="str">
        <f>RTD("rtdtrading.rtdserver",, "T&amp;T1", "AGR", 17)</f>
        <v>A janela foi fechada</v>
      </c>
    </row>
    <row r="26" spans="1:13" x14ac:dyDescent="0.25">
      <c r="A26" s="46" t="str">
        <f>RTD("rtdtrading.rtdserver",, "T&amp;T2", "DAT", 18)</f>
        <v>A janela foi fechada</v>
      </c>
      <c r="B26" s="29" t="str">
        <f>RTD("rtdtrading.rtdserver",, "T&amp;T2", "PRE", 18)</f>
        <v>A janela foi fechada</v>
      </c>
      <c r="C26" s="30" t="str">
        <f>RTD("rtdtrading.rtdserver",, "T&amp;T2", "QUL", 18)</f>
        <v>A janela foi fechada</v>
      </c>
      <c r="D26" s="30" t="str">
        <f>RTD("rtdtrading.rtdserver",, "T&amp;T2", "AGR", 18)</f>
        <v>A janela foi fechada</v>
      </c>
      <c r="G26" s="38" t="str">
        <f>RTD("rtdtrading.rtdserver",, "T&amp;T1", "DAT", 18)</f>
        <v>A janela foi fechada</v>
      </c>
      <c r="H26" s="39" t="str">
        <f>RTD("rtdtrading.rtdserver",, "T&amp;T1", "PRE", 18)</f>
        <v>A janela foi fechada</v>
      </c>
      <c r="I26" s="40" t="str">
        <f>RTD("rtdtrading.rtdserver",, "T&amp;T1", "QUL", 18)</f>
        <v>A janela foi fechada</v>
      </c>
      <c r="J26" s="41" t="str">
        <f>RTD("rtdtrading.rtdserver",, "T&amp;T1", "AGR", 18)</f>
        <v>A janela foi fechada</v>
      </c>
    </row>
    <row r="27" spans="1:13" x14ac:dyDescent="0.25">
      <c r="A27" s="46" t="str">
        <f>RTD("rtdtrading.rtdserver",, "T&amp;T2", "DAT", 19)</f>
        <v>A janela foi fechada</v>
      </c>
      <c r="B27" s="29" t="str">
        <f>RTD("rtdtrading.rtdserver",, "T&amp;T2", "PRE", 19)</f>
        <v>A janela foi fechada</v>
      </c>
      <c r="C27" s="30" t="str">
        <f>RTD("rtdtrading.rtdserver",, "T&amp;T2", "QUL", 19)</f>
        <v>A janela foi fechada</v>
      </c>
      <c r="D27" s="30" t="str">
        <f>RTD("rtdtrading.rtdserver",, "T&amp;T2", "AGR", 19)</f>
        <v>A janela foi fechada</v>
      </c>
      <c r="G27" s="38" t="str">
        <f>RTD("rtdtrading.rtdserver",, "T&amp;T1", "DAT", 19)</f>
        <v>A janela foi fechada</v>
      </c>
      <c r="H27" s="39" t="str">
        <f>RTD("rtdtrading.rtdserver",, "T&amp;T1", "PRE", 19)</f>
        <v>A janela foi fechada</v>
      </c>
      <c r="I27" s="40" t="str">
        <f>RTD("rtdtrading.rtdserver",, "T&amp;T1", "QUL", 19)</f>
        <v>A janela foi fechada</v>
      </c>
      <c r="J27" s="41" t="str">
        <f>RTD("rtdtrading.rtdserver",, "T&amp;T1", "AGR", 19)</f>
        <v>A janela foi fechada</v>
      </c>
    </row>
    <row r="28" spans="1:13" x14ac:dyDescent="0.25">
      <c r="A28" s="46" t="str">
        <f>RTD("rtdtrading.rtdserver",, "T&amp;T2", "DAT", 20)</f>
        <v>A janela foi fechada</v>
      </c>
      <c r="B28" s="29" t="str">
        <f>RTD("rtdtrading.rtdserver",, "T&amp;T2", "PRE", 20)</f>
        <v>A janela foi fechada</v>
      </c>
      <c r="C28" s="30" t="str">
        <f>RTD("rtdtrading.rtdserver",, "T&amp;T2", "QUL", 20)</f>
        <v>A janela foi fechada</v>
      </c>
      <c r="D28" s="30" t="str">
        <f>RTD("rtdtrading.rtdserver",, "T&amp;T2", "AGR", 20)</f>
        <v>A janela foi fechada</v>
      </c>
      <c r="G28" s="38" t="str">
        <f>RTD("rtdtrading.rtdserver",, "T&amp;T1", "DAT", 20)</f>
        <v>A janela foi fechada</v>
      </c>
      <c r="H28" s="39" t="str">
        <f>RTD("rtdtrading.rtdserver",, "T&amp;T1", "PRE", 20)</f>
        <v>A janela foi fechada</v>
      </c>
      <c r="I28" s="40" t="str">
        <f>RTD("rtdtrading.rtdserver",, "T&amp;T1", "QUL", 20)</f>
        <v>A janela foi fechada</v>
      </c>
      <c r="J28" s="41" t="str">
        <f>RTD("rtdtrading.rtdserver",, "T&amp;T1", "AGR", 20)</f>
        <v>A janela foi fechada</v>
      </c>
    </row>
    <row r="29" spans="1:13" x14ac:dyDescent="0.25">
      <c r="A29" s="46" t="str">
        <f>RTD("rtdtrading.rtdserver",, "T&amp;T2", "DAT", 21)</f>
        <v>A janela foi fechada</v>
      </c>
      <c r="B29" s="29" t="str">
        <f>RTD("rtdtrading.rtdserver",, "T&amp;T2", "PRE", 21)</f>
        <v>A janela foi fechada</v>
      </c>
      <c r="C29" s="30" t="str">
        <f>RTD("rtdtrading.rtdserver",, "T&amp;T2", "QUL", 21)</f>
        <v>A janela foi fechada</v>
      </c>
      <c r="D29" s="30" t="str">
        <f>RTD("rtdtrading.rtdserver",, "T&amp;T2", "AGR", 21)</f>
        <v>A janela foi fechada</v>
      </c>
      <c r="G29" s="38" t="str">
        <f>RTD("rtdtrading.rtdserver",, "T&amp;T1", "DAT", 21)</f>
        <v>A janela foi fechada</v>
      </c>
      <c r="H29" s="39" t="str">
        <f>RTD("rtdtrading.rtdserver",, "T&amp;T1", "PRE", 21)</f>
        <v>A janela foi fechada</v>
      </c>
      <c r="I29" s="40" t="str">
        <f>RTD("rtdtrading.rtdserver",, "T&amp;T1", "QUL", 21)</f>
        <v>A janela foi fechada</v>
      </c>
      <c r="J29" s="41" t="str">
        <f>RTD("rtdtrading.rtdserver",, "T&amp;T1", "AGR", 21)</f>
        <v>A janela foi fechada</v>
      </c>
    </row>
    <row r="30" spans="1:13" x14ac:dyDescent="0.25">
      <c r="A30" s="46" t="str">
        <f>RTD("rtdtrading.rtdserver",, "T&amp;T2", "DAT", 22)</f>
        <v>A janela foi fechada</v>
      </c>
      <c r="B30" s="29" t="str">
        <f>RTD("rtdtrading.rtdserver",, "T&amp;T2", "PRE", 22)</f>
        <v>A janela foi fechada</v>
      </c>
      <c r="C30" s="30" t="str">
        <f>RTD("rtdtrading.rtdserver",, "T&amp;T2", "QUL", 22)</f>
        <v>A janela foi fechada</v>
      </c>
      <c r="D30" s="30" t="str">
        <f>RTD("rtdtrading.rtdserver",, "T&amp;T2", "AGR", 22)</f>
        <v>A janela foi fechada</v>
      </c>
      <c r="G30" s="38" t="str">
        <f>RTD("rtdtrading.rtdserver",, "T&amp;T1", "DAT", 22)</f>
        <v>A janela foi fechada</v>
      </c>
      <c r="H30" s="39" t="str">
        <f>RTD("rtdtrading.rtdserver",, "T&amp;T1", "PRE", 22)</f>
        <v>A janela foi fechada</v>
      </c>
      <c r="I30" s="40" t="str">
        <f>RTD("rtdtrading.rtdserver",, "T&amp;T1", "QUL", 22)</f>
        <v>A janela foi fechada</v>
      </c>
      <c r="J30" s="41" t="str">
        <f>RTD("rtdtrading.rtdserver",, "T&amp;T1", "AGR", 22)</f>
        <v>A janela foi fechada</v>
      </c>
    </row>
    <row r="31" spans="1:13" x14ac:dyDescent="0.25">
      <c r="A31" s="46" t="str">
        <f>RTD("rtdtrading.rtdserver",, "T&amp;T2", "DAT", 23)</f>
        <v>A janela foi fechada</v>
      </c>
      <c r="B31" s="29" t="str">
        <f>RTD("rtdtrading.rtdserver",, "T&amp;T2", "PRE", 23)</f>
        <v>A janela foi fechada</v>
      </c>
      <c r="C31" s="30" t="str">
        <f>RTD("rtdtrading.rtdserver",, "T&amp;T2", "QUL", 23)</f>
        <v>A janela foi fechada</v>
      </c>
      <c r="D31" s="30" t="str">
        <f>RTD("rtdtrading.rtdserver",, "T&amp;T2", "AGR", 23)</f>
        <v>A janela foi fechada</v>
      </c>
      <c r="G31" s="38" t="str">
        <f>RTD("rtdtrading.rtdserver",, "T&amp;T1", "DAT", 23)</f>
        <v>A janela foi fechada</v>
      </c>
      <c r="H31" s="39" t="str">
        <f>RTD("rtdtrading.rtdserver",, "T&amp;T1", "PRE", 23)</f>
        <v>A janela foi fechada</v>
      </c>
      <c r="I31" s="40" t="str">
        <f>RTD("rtdtrading.rtdserver",, "T&amp;T1", "QUL", 23)</f>
        <v>A janela foi fechada</v>
      </c>
      <c r="J31" s="41" t="str">
        <f>RTD("rtdtrading.rtdserver",, "T&amp;T1", "AGR", 23)</f>
        <v>A janela foi fechada</v>
      </c>
    </row>
    <row r="32" spans="1:13" x14ac:dyDescent="0.25">
      <c r="A32" s="46" t="str">
        <f>RTD("rtdtrading.rtdserver",, "T&amp;T2", "DAT", 24)</f>
        <v>A janela foi fechada</v>
      </c>
      <c r="B32" s="29" t="str">
        <f>RTD("rtdtrading.rtdserver",, "T&amp;T2", "PRE", 24)</f>
        <v>A janela foi fechada</v>
      </c>
      <c r="C32" s="30" t="str">
        <f>RTD("rtdtrading.rtdserver",, "T&amp;T2", "QUL", 24)</f>
        <v>A janela foi fechada</v>
      </c>
      <c r="D32" s="30" t="str">
        <f>RTD("rtdtrading.rtdserver",, "T&amp;T2", "AGR", 24)</f>
        <v>A janela foi fechada</v>
      </c>
      <c r="G32" s="38" t="str">
        <f>RTD("rtdtrading.rtdserver",, "T&amp;T1", "DAT", 24)</f>
        <v>A janela foi fechada</v>
      </c>
      <c r="H32" s="39" t="str">
        <f>RTD("rtdtrading.rtdserver",, "T&amp;T1", "PRE", 24)</f>
        <v>A janela foi fechada</v>
      </c>
      <c r="I32" s="40" t="str">
        <f>RTD("rtdtrading.rtdserver",, "T&amp;T1", "QUL", 24)</f>
        <v>A janela foi fechada</v>
      </c>
      <c r="J32" s="41" t="str">
        <f>RTD("rtdtrading.rtdserver",, "T&amp;T1", "AGR", 24)</f>
        <v>A janela foi fechada</v>
      </c>
    </row>
    <row r="33" spans="1:10" x14ac:dyDescent="0.25">
      <c r="A33" s="46" t="str">
        <f>RTD("rtdtrading.rtdserver",, "T&amp;T2", "DAT", 25)</f>
        <v>A janela foi fechada</v>
      </c>
      <c r="B33" s="29" t="str">
        <f>RTD("rtdtrading.rtdserver",, "T&amp;T2", "PRE", 25)</f>
        <v>A janela foi fechada</v>
      </c>
      <c r="C33" s="30" t="str">
        <f>RTD("rtdtrading.rtdserver",, "T&amp;T2", "QUL", 25)</f>
        <v>A janela foi fechada</v>
      </c>
      <c r="D33" s="30" t="str">
        <f>RTD("rtdtrading.rtdserver",, "T&amp;T2", "AGR", 25)</f>
        <v>A janela foi fechada</v>
      </c>
      <c r="G33" s="38" t="str">
        <f>RTD("rtdtrading.rtdserver",, "T&amp;T1", "DAT", 25)</f>
        <v>A janela foi fechada</v>
      </c>
      <c r="H33" s="39" t="str">
        <f>RTD("rtdtrading.rtdserver",, "T&amp;T1", "PRE", 25)</f>
        <v>A janela foi fechada</v>
      </c>
      <c r="I33" s="40" t="str">
        <f>RTD("rtdtrading.rtdserver",, "T&amp;T1", "QUL", 25)</f>
        <v>A janela foi fechada</v>
      </c>
      <c r="J33" s="41" t="str">
        <f>RTD("rtdtrading.rtdserver",, "T&amp;T1", "AGR", 25)</f>
        <v>A janela foi fechada</v>
      </c>
    </row>
    <row r="34" spans="1:10" x14ac:dyDescent="0.25">
      <c r="A34" s="46" t="str">
        <f>RTD("rtdtrading.rtdserver",, "T&amp;T2", "DAT", 26)</f>
        <v>A janela foi fechada</v>
      </c>
      <c r="B34" s="29" t="str">
        <f>RTD("rtdtrading.rtdserver",, "T&amp;T2", "PRE", 26)</f>
        <v>A janela foi fechada</v>
      </c>
      <c r="C34" s="30" t="str">
        <f>RTD("rtdtrading.rtdserver",, "T&amp;T2", "QUL", 26)</f>
        <v>A janela foi fechada</v>
      </c>
      <c r="D34" s="30" t="str">
        <f>RTD("rtdtrading.rtdserver",, "T&amp;T2", "AGR", 26)</f>
        <v>A janela foi fechada</v>
      </c>
      <c r="G34" s="38" t="str">
        <f>RTD("rtdtrading.rtdserver",, "T&amp;T1", "DAT", 26)</f>
        <v>A janela foi fechada</v>
      </c>
      <c r="H34" s="39" t="str">
        <f>RTD("rtdtrading.rtdserver",, "T&amp;T1", "PRE", 26)</f>
        <v>A janela foi fechada</v>
      </c>
      <c r="I34" s="40" t="str">
        <f>RTD("rtdtrading.rtdserver",, "T&amp;T1", "QUL", 26)</f>
        <v>A janela foi fechada</v>
      </c>
      <c r="J34" s="41" t="str">
        <f>RTD("rtdtrading.rtdserver",, "T&amp;T1", "AGR", 26)</f>
        <v>A janela foi fechada</v>
      </c>
    </row>
    <row r="35" spans="1:10" x14ac:dyDescent="0.25">
      <c r="A35" s="46" t="str">
        <f>RTD("rtdtrading.rtdserver",, "T&amp;T2", "DAT", 27)</f>
        <v>A janela foi fechada</v>
      </c>
      <c r="B35" s="29" t="str">
        <f>RTD("rtdtrading.rtdserver",, "T&amp;T2", "PRE", 27)</f>
        <v>A janela foi fechada</v>
      </c>
      <c r="C35" s="30" t="str">
        <f>RTD("rtdtrading.rtdserver",, "T&amp;T2", "QUL", 27)</f>
        <v>A janela foi fechada</v>
      </c>
      <c r="D35" s="30" t="str">
        <f>RTD("rtdtrading.rtdserver",, "T&amp;T2", "AGR", 27)</f>
        <v>A janela foi fechada</v>
      </c>
      <c r="G35" s="38" t="str">
        <f>RTD("rtdtrading.rtdserver",, "T&amp;T1", "DAT", 27)</f>
        <v>A janela foi fechada</v>
      </c>
      <c r="H35" s="39" t="str">
        <f>RTD("rtdtrading.rtdserver",, "T&amp;T1", "PRE", 27)</f>
        <v>A janela foi fechada</v>
      </c>
      <c r="I35" s="40" t="str">
        <f>RTD("rtdtrading.rtdserver",, "T&amp;T1", "QUL", 27)</f>
        <v>A janela foi fechada</v>
      </c>
      <c r="J35" s="41" t="str">
        <f>RTD("rtdtrading.rtdserver",, "T&amp;T1", "AGR", 27)</f>
        <v>A janela foi fechada</v>
      </c>
    </row>
    <row r="36" spans="1:10" x14ac:dyDescent="0.25">
      <c r="A36" s="46" t="str">
        <f>RTD("rtdtrading.rtdserver",, "T&amp;T2", "DAT", 28)</f>
        <v>A janela foi fechada</v>
      </c>
      <c r="B36" s="29" t="str">
        <f>RTD("rtdtrading.rtdserver",, "T&amp;T2", "PRE", 28)</f>
        <v>A janela foi fechada</v>
      </c>
      <c r="C36" s="30" t="str">
        <f>RTD("rtdtrading.rtdserver",, "T&amp;T2", "QUL", 28)</f>
        <v>A janela foi fechada</v>
      </c>
      <c r="D36" s="30" t="str">
        <f>RTD("rtdtrading.rtdserver",, "T&amp;T2", "AGR", 28)</f>
        <v>A janela foi fechada</v>
      </c>
      <c r="G36" s="38" t="str">
        <f>RTD("rtdtrading.rtdserver",, "T&amp;T1", "DAT", 28)</f>
        <v>A janela foi fechada</v>
      </c>
      <c r="H36" s="39" t="str">
        <f>RTD("rtdtrading.rtdserver",, "T&amp;T1", "PRE", 28)</f>
        <v>A janela foi fechada</v>
      </c>
      <c r="I36" s="40" t="str">
        <f>RTD("rtdtrading.rtdserver",, "T&amp;T1", "QUL", 28)</f>
        <v>A janela foi fechada</v>
      </c>
      <c r="J36" s="41" t="str">
        <f>RTD("rtdtrading.rtdserver",, "T&amp;T1", "AGR", 28)</f>
        <v>A janela foi fechada</v>
      </c>
    </row>
    <row r="37" spans="1:10" x14ac:dyDescent="0.25">
      <c r="A37" s="46" t="str">
        <f>RTD("rtdtrading.rtdserver",, "T&amp;T2", "DAT", 29)</f>
        <v>A janela foi fechada</v>
      </c>
      <c r="B37" s="29" t="str">
        <f>RTD("rtdtrading.rtdserver",, "T&amp;T2", "PRE", 29)</f>
        <v>A janela foi fechada</v>
      </c>
      <c r="C37" s="30" t="str">
        <f>RTD("rtdtrading.rtdserver",, "T&amp;T2", "QUL", 29)</f>
        <v>A janela foi fechada</v>
      </c>
      <c r="D37" s="30" t="str">
        <f>RTD("rtdtrading.rtdserver",, "T&amp;T2", "AGR", 29)</f>
        <v>A janela foi fechada</v>
      </c>
      <c r="G37" s="38" t="str">
        <f>RTD("rtdtrading.rtdserver",, "T&amp;T1", "DAT", 29)</f>
        <v>A janela foi fechada</v>
      </c>
      <c r="H37" s="39" t="str">
        <f>RTD("rtdtrading.rtdserver",, "T&amp;T1", "PRE", 29)</f>
        <v>A janela foi fechada</v>
      </c>
      <c r="I37" s="40" t="str">
        <f>RTD("rtdtrading.rtdserver",, "T&amp;T1", "QUL", 29)</f>
        <v>A janela foi fechada</v>
      </c>
      <c r="J37" s="41" t="str">
        <f>RTD("rtdtrading.rtdserver",, "T&amp;T1", "AGR", 29)</f>
        <v>A janela foi fechada</v>
      </c>
    </row>
    <row r="38" spans="1:10" x14ac:dyDescent="0.25">
      <c r="A38" s="46" t="str">
        <f>RTD("rtdtrading.rtdserver",, "T&amp;T2", "DAT", 30)</f>
        <v>A janela foi fechada</v>
      </c>
      <c r="B38" s="29" t="str">
        <f>RTD("rtdtrading.rtdserver",, "T&amp;T2", "PRE", 30)</f>
        <v>A janela foi fechada</v>
      </c>
      <c r="C38" s="30" t="str">
        <f>RTD("rtdtrading.rtdserver",, "T&amp;T2", "QUL", 30)</f>
        <v>A janela foi fechada</v>
      </c>
      <c r="D38" s="30" t="str">
        <f>RTD("rtdtrading.rtdserver",, "T&amp;T2", "AGR", 30)</f>
        <v>A janela foi fechada</v>
      </c>
      <c r="G38" s="38" t="str">
        <f>RTD("rtdtrading.rtdserver",, "T&amp;T1", "DAT", 30)</f>
        <v>A janela foi fechada</v>
      </c>
      <c r="H38" s="39" t="str">
        <f>RTD("rtdtrading.rtdserver",, "T&amp;T1", "PRE", 30)</f>
        <v>A janela foi fechada</v>
      </c>
      <c r="I38" s="40" t="str">
        <f>RTD("rtdtrading.rtdserver",, "T&amp;T1", "QUL", 30)</f>
        <v>A janela foi fechada</v>
      </c>
      <c r="J38" s="41" t="str">
        <f>RTD("rtdtrading.rtdserver",, "T&amp;T1", "AGR", 30)</f>
        <v>A janela foi fechada</v>
      </c>
    </row>
    <row r="39" spans="1:10" x14ac:dyDescent="0.25">
      <c r="A39" s="46" t="str">
        <f>RTD("rtdtrading.rtdserver",, "T&amp;T2", "DAT", 31)</f>
        <v>A janela foi fechada</v>
      </c>
      <c r="B39" s="29" t="str">
        <f>RTD("rtdtrading.rtdserver",, "T&amp;T2", "PRE", 31)</f>
        <v>A janela foi fechada</v>
      </c>
      <c r="C39" s="30" t="str">
        <f>RTD("rtdtrading.rtdserver",, "T&amp;T2", "QUL", 31)</f>
        <v>A janela foi fechada</v>
      </c>
      <c r="D39" s="30" t="str">
        <f>RTD("rtdtrading.rtdserver",, "T&amp;T2", "AGR", 31)</f>
        <v>A janela foi fechada</v>
      </c>
      <c r="G39" s="38" t="str">
        <f>RTD("rtdtrading.rtdserver",, "T&amp;T1", "DAT", 31)</f>
        <v>A janela foi fechada</v>
      </c>
      <c r="H39" s="39" t="str">
        <f>RTD("rtdtrading.rtdserver",, "T&amp;T1", "PRE", 31)</f>
        <v>A janela foi fechada</v>
      </c>
      <c r="I39" s="40" t="str">
        <f>RTD("rtdtrading.rtdserver",, "T&amp;T1", "QUL", 31)</f>
        <v>A janela foi fechada</v>
      </c>
      <c r="J39" s="41" t="str">
        <f>RTD("rtdtrading.rtdserver",, "T&amp;T1", "AGR", 31)</f>
        <v>A janela foi fechada</v>
      </c>
    </row>
    <row r="40" spans="1:10" x14ac:dyDescent="0.25">
      <c r="A40" s="46" t="str">
        <f>RTD("rtdtrading.rtdserver",, "T&amp;T2", "DAT", 32)</f>
        <v>A janela foi fechada</v>
      </c>
      <c r="B40" s="29" t="str">
        <f>RTD("rtdtrading.rtdserver",, "T&amp;T2", "PRE", 32)</f>
        <v>A janela foi fechada</v>
      </c>
      <c r="C40" s="30" t="str">
        <f>RTD("rtdtrading.rtdserver",, "T&amp;T2", "QUL", 32)</f>
        <v>A janela foi fechada</v>
      </c>
      <c r="D40" s="30" t="str">
        <f>RTD("rtdtrading.rtdserver",, "T&amp;T2", "AGR", 32)</f>
        <v>A janela foi fechada</v>
      </c>
      <c r="G40" s="38" t="str">
        <f>RTD("rtdtrading.rtdserver",, "T&amp;T1", "DAT", 32)</f>
        <v>A janela foi fechada</v>
      </c>
      <c r="H40" s="39" t="str">
        <f>RTD("rtdtrading.rtdserver",, "T&amp;T1", "PRE", 32)</f>
        <v>A janela foi fechada</v>
      </c>
      <c r="I40" s="40" t="str">
        <f>RTD("rtdtrading.rtdserver",, "T&amp;T1", "QUL", 32)</f>
        <v>A janela foi fechada</v>
      </c>
      <c r="J40" s="41" t="str">
        <f>RTD("rtdtrading.rtdserver",, "T&amp;T1", "AGR", 32)</f>
        <v>A janela foi fechada</v>
      </c>
    </row>
    <row r="41" spans="1:10" x14ac:dyDescent="0.25">
      <c r="A41" s="46" t="str">
        <f>RTD("rtdtrading.rtdserver",, "T&amp;T2", "DAT", 33)</f>
        <v>A janela foi fechada</v>
      </c>
      <c r="B41" s="29" t="str">
        <f>RTD("rtdtrading.rtdserver",, "T&amp;T2", "PRE", 33)</f>
        <v>A janela foi fechada</v>
      </c>
      <c r="C41" s="30" t="str">
        <f>RTD("rtdtrading.rtdserver",, "T&amp;T2", "QUL", 33)</f>
        <v>A janela foi fechada</v>
      </c>
      <c r="D41" s="30" t="str">
        <f>RTD("rtdtrading.rtdserver",, "T&amp;T2", "AGR", 33)</f>
        <v>A janela foi fechada</v>
      </c>
      <c r="G41" s="38" t="str">
        <f>RTD("rtdtrading.rtdserver",, "T&amp;T1", "DAT", 33)</f>
        <v>A janela foi fechada</v>
      </c>
      <c r="H41" s="39" t="str">
        <f>RTD("rtdtrading.rtdserver",, "T&amp;T1", "PRE", 33)</f>
        <v>A janela foi fechada</v>
      </c>
      <c r="I41" s="40" t="str">
        <f>RTD("rtdtrading.rtdserver",, "T&amp;T1", "QUL", 33)</f>
        <v>A janela foi fechada</v>
      </c>
      <c r="J41" s="41" t="str">
        <f>RTD("rtdtrading.rtdserver",, "T&amp;T1", "AGR", 33)</f>
        <v>A janela foi fechada</v>
      </c>
    </row>
    <row r="42" spans="1:10" x14ac:dyDescent="0.25">
      <c r="A42" s="46" t="str">
        <f>RTD("rtdtrading.rtdserver",, "T&amp;T2", "DAT", 34)</f>
        <v>A janela foi fechada</v>
      </c>
      <c r="B42" s="29" t="str">
        <f>RTD("rtdtrading.rtdserver",, "T&amp;T2", "PRE", 34)</f>
        <v>A janela foi fechada</v>
      </c>
      <c r="C42" s="30" t="str">
        <f>RTD("rtdtrading.rtdserver",, "T&amp;T2", "QUL", 34)</f>
        <v>A janela foi fechada</v>
      </c>
      <c r="D42" s="30" t="str">
        <f>RTD("rtdtrading.rtdserver",, "T&amp;T2", "AGR", 34)</f>
        <v>A janela foi fechada</v>
      </c>
      <c r="G42" s="38" t="str">
        <f>RTD("rtdtrading.rtdserver",, "T&amp;T1", "DAT", 34)</f>
        <v>A janela foi fechada</v>
      </c>
      <c r="H42" s="39" t="str">
        <f>RTD("rtdtrading.rtdserver",, "T&amp;T1", "PRE", 34)</f>
        <v>A janela foi fechada</v>
      </c>
      <c r="I42" s="40" t="str">
        <f>RTD("rtdtrading.rtdserver",, "T&amp;T1", "QUL", 34)</f>
        <v>A janela foi fechada</v>
      </c>
      <c r="J42" s="41" t="str">
        <f>RTD("rtdtrading.rtdserver",, "T&amp;T1", "AGR", 34)</f>
        <v>A janela foi fechada</v>
      </c>
    </row>
    <row r="43" spans="1:10" x14ac:dyDescent="0.25">
      <c r="A43" s="46" t="str">
        <f>RTD("rtdtrading.rtdserver",, "T&amp;T2", "DAT", 35)</f>
        <v>A janela foi fechada</v>
      </c>
      <c r="B43" s="29" t="str">
        <f>RTD("rtdtrading.rtdserver",, "T&amp;T2", "PRE", 35)</f>
        <v>A janela foi fechada</v>
      </c>
      <c r="C43" s="30" t="str">
        <f>RTD("rtdtrading.rtdserver",, "T&amp;T2", "QUL", 35)</f>
        <v>A janela foi fechada</v>
      </c>
      <c r="D43" s="30" t="str">
        <f>RTD("rtdtrading.rtdserver",, "T&amp;T2", "AGR", 35)</f>
        <v>A janela foi fechada</v>
      </c>
      <c r="G43" s="38" t="str">
        <f>RTD("rtdtrading.rtdserver",, "T&amp;T1", "DAT", 35)</f>
        <v>A janela foi fechada</v>
      </c>
      <c r="H43" s="39" t="str">
        <f>RTD("rtdtrading.rtdserver",, "T&amp;T1", "PRE", 35)</f>
        <v>A janela foi fechada</v>
      </c>
      <c r="I43" s="40" t="str">
        <f>RTD("rtdtrading.rtdserver",, "T&amp;T1", "QUL", 35)</f>
        <v>A janela foi fechada</v>
      </c>
      <c r="J43" s="41" t="str">
        <f>RTD("rtdtrading.rtdserver",, "T&amp;T1", "AGR", 35)</f>
        <v>A janela foi fechada</v>
      </c>
    </row>
    <row r="44" spans="1:10" x14ac:dyDescent="0.25">
      <c r="A44" s="46" t="str">
        <f>RTD("rtdtrading.rtdserver",, "T&amp;T2", "DAT", 36)</f>
        <v>A janela foi fechada</v>
      </c>
      <c r="B44" s="29" t="str">
        <f>RTD("rtdtrading.rtdserver",, "T&amp;T2", "PRE", 36)</f>
        <v>A janela foi fechada</v>
      </c>
      <c r="C44" s="30" t="str">
        <f>RTD("rtdtrading.rtdserver",, "T&amp;T2", "QUL", 36)</f>
        <v>A janela foi fechada</v>
      </c>
      <c r="D44" s="30" t="str">
        <f>RTD("rtdtrading.rtdserver",, "T&amp;T2", "AGR", 36)</f>
        <v>A janela foi fechada</v>
      </c>
      <c r="G44" s="38" t="str">
        <f>RTD("rtdtrading.rtdserver",, "T&amp;T1", "DAT", 36)</f>
        <v>A janela foi fechada</v>
      </c>
      <c r="H44" s="39" t="str">
        <f>RTD("rtdtrading.rtdserver",, "T&amp;T1", "PRE", 36)</f>
        <v>A janela foi fechada</v>
      </c>
      <c r="I44" s="40" t="str">
        <f>RTD("rtdtrading.rtdserver",, "T&amp;T1", "QUL", 36)</f>
        <v>A janela foi fechada</v>
      </c>
      <c r="J44" s="41" t="str">
        <f>RTD("rtdtrading.rtdserver",, "T&amp;T1", "AGR", 36)</f>
        <v>A janela foi fechada</v>
      </c>
    </row>
    <row r="45" spans="1:10" x14ac:dyDescent="0.25">
      <c r="A45" s="46" t="str">
        <f>RTD("rtdtrading.rtdserver",, "T&amp;T2", "DAT", 37)</f>
        <v>A janela foi fechada</v>
      </c>
      <c r="B45" s="29" t="str">
        <f>RTD("rtdtrading.rtdserver",, "T&amp;T2", "PRE", 37)</f>
        <v>A janela foi fechada</v>
      </c>
      <c r="C45" s="30" t="str">
        <f>RTD("rtdtrading.rtdserver",, "T&amp;T2", "QUL", 37)</f>
        <v>A janela foi fechada</v>
      </c>
      <c r="D45" s="30" t="str">
        <f>RTD("rtdtrading.rtdserver",, "T&amp;T2", "AGR", 37)</f>
        <v>A janela foi fechada</v>
      </c>
      <c r="G45" s="38" t="str">
        <f>RTD("rtdtrading.rtdserver",, "T&amp;T1", "DAT", 37)</f>
        <v>A janela foi fechada</v>
      </c>
      <c r="H45" s="39" t="str">
        <f>RTD("rtdtrading.rtdserver",, "T&amp;T1", "PRE", 37)</f>
        <v>A janela foi fechada</v>
      </c>
      <c r="I45" s="40" t="str">
        <f>RTD("rtdtrading.rtdserver",, "T&amp;T1", "QUL", 37)</f>
        <v>A janela foi fechada</v>
      </c>
      <c r="J45" s="41" t="str">
        <f>RTD("rtdtrading.rtdserver",, "T&amp;T1", "AGR", 37)</f>
        <v>A janela foi fechada</v>
      </c>
    </row>
    <row r="46" spans="1:10" x14ac:dyDescent="0.25">
      <c r="A46" s="46" t="str">
        <f>RTD("rtdtrading.rtdserver",, "T&amp;T2", "DAT", 38)</f>
        <v>A janela foi fechada</v>
      </c>
      <c r="B46" s="29" t="str">
        <f>RTD("rtdtrading.rtdserver",, "T&amp;T2", "PRE", 38)</f>
        <v>A janela foi fechada</v>
      </c>
      <c r="C46" s="30" t="str">
        <f>RTD("rtdtrading.rtdserver",, "T&amp;T2", "QUL", 38)</f>
        <v>A janela foi fechada</v>
      </c>
      <c r="D46" s="30" t="str">
        <f>RTD("rtdtrading.rtdserver",, "T&amp;T2", "AGR", 38)</f>
        <v>A janela foi fechada</v>
      </c>
      <c r="G46" s="38" t="str">
        <f>RTD("rtdtrading.rtdserver",, "T&amp;T1", "DAT", 38)</f>
        <v>A janela foi fechada</v>
      </c>
      <c r="H46" s="39" t="str">
        <f>RTD("rtdtrading.rtdserver",, "T&amp;T1", "PRE", 38)</f>
        <v>A janela foi fechada</v>
      </c>
      <c r="I46" s="40" t="str">
        <f>RTD("rtdtrading.rtdserver",, "T&amp;T1", "QUL", 38)</f>
        <v>A janela foi fechada</v>
      </c>
      <c r="J46" s="41" t="str">
        <f>RTD("rtdtrading.rtdserver",, "T&amp;T1", "AGR", 38)</f>
        <v>A janela foi fechada</v>
      </c>
    </row>
    <row r="47" spans="1:10" x14ac:dyDescent="0.25">
      <c r="A47" s="46" t="str">
        <f>RTD("rtdtrading.rtdserver",, "T&amp;T2", "DAT", 39)</f>
        <v>A janela foi fechada</v>
      </c>
      <c r="B47" s="29" t="str">
        <f>RTD("rtdtrading.rtdserver",, "T&amp;T2", "PRE", 39)</f>
        <v>A janela foi fechada</v>
      </c>
      <c r="C47" s="30" t="str">
        <f>RTD("rtdtrading.rtdserver",, "T&amp;T2", "QUL", 39)</f>
        <v>A janela foi fechada</v>
      </c>
      <c r="D47" s="30" t="str">
        <f>RTD("rtdtrading.rtdserver",, "T&amp;T2", "AGR", 39)</f>
        <v>A janela foi fechada</v>
      </c>
      <c r="G47" s="38" t="str">
        <f>RTD("rtdtrading.rtdserver",, "T&amp;T1", "DAT", 39)</f>
        <v>A janela foi fechada</v>
      </c>
      <c r="H47" s="39" t="str">
        <f>RTD("rtdtrading.rtdserver",, "T&amp;T1", "PRE", 39)</f>
        <v>A janela foi fechada</v>
      </c>
      <c r="I47" s="40" t="str">
        <f>RTD("rtdtrading.rtdserver",, "T&amp;T1", "QUL", 39)</f>
        <v>A janela foi fechada</v>
      </c>
      <c r="J47" s="41" t="str">
        <f>RTD("rtdtrading.rtdserver",, "T&amp;T1", "AGR", 39)</f>
        <v>A janela foi fechada</v>
      </c>
    </row>
    <row r="48" spans="1:10" x14ac:dyDescent="0.25">
      <c r="A48" s="46" t="str">
        <f>RTD("rtdtrading.rtdserver",, "T&amp;T2", "DAT", 40)</f>
        <v>A janela foi fechada</v>
      </c>
      <c r="B48" s="29" t="str">
        <f>RTD("rtdtrading.rtdserver",, "T&amp;T2", "PRE", 40)</f>
        <v>A janela foi fechada</v>
      </c>
      <c r="C48" s="30" t="str">
        <f>RTD("rtdtrading.rtdserver",, "T&amp;T2", "QUL", 40)</f>
        <v>A janela foi fechada</v>
      </c>
      <c r="D48" s="30" t="str">
        <f>RTD("rtdtrading.rtdserver",, "T&amp;T2", "AGR", 40)</f>
        <v>A janela foi fechada</v>
      </c>
      <c r="G48" s="38" t="str">
        <f>RTD("rtdtrading.rtdserver",, "T&amp;T1", "DAT", 40)</f>
        <v>A janela foi fechada</v>
      </c>
      <c r="H48" s="39" t="str">
        <f>RTD("rtdtrading.rtdserver",, "T&amp;T1", "PRE", 40)</f>
        <v>A janela foi fechada</v>
      </c>
      <c r="I48" s="40" t="str">
        <f>RTD("rtdtrading.rtdserver",, "T&amp;T1", "QUL", 40)</f>
        <v>A janela foi fechada</v>
      </c>
      <c r="J48" s="41" t="str">
        <f>RTD("rtdtrading.rtdserver",, "T&amp;T1", "AGR", 40)</f>
        <v>A janela foi fechada</v>
      </c>
    </row>
    <row r="49" spans="1:10" x14ac:dyDescent="0.25">
      <c r="A49" s="46" t="str">
        <f>RTD("rtdtrading.rtdserver",, "T&amp;T2", "DAT", 41)</f>
        <v>A janela foi fechada</v>
      </c>
      <c r="B49" s="29" t="str">
        <f>RTD("rtdtrading.rtdserver",, "T&amp;T2", "PRE", 41)</f>
        <v>A janela foi fechada</v>
      </c>
      <c r="C49" s="30" t="str">
        <f>RTD("rtdtrading.rtdserver",, "T&amp;T2", "QUL", 41)</f>
        <v>A janela foi fechada</v>
      </c>
      <c r="D49" s="30" t="str">
        <f>RTD("rtdtrading.rtdserver",, "T&amp;T2", "AGR", 41)</f>
        <v>A janela foi fechada</v>
      </c>
      <c r="G49" s="38" t="str">
        <f>RTD("rtdtrading.rtdserver",, "T&amp;T1", "DAT", 41)</f>
        <v>A janela foi fechada</v>
      </c>
      <c r="H49" s="39" t="str">
        <f>RTD("rtdtrading.rtdserver",, "T&amp;T1", "PRE", 41)</f>
        <v>A janela foi fechada</v>
      </c>
      <c r="I49" s="40" t="str">
        <f>RTD("rtdtrading.rtdserver",, "T&amp;T1", "QUL", 41)</f>
        <v>A janela foi fechada</v>
      </c>
      <c r="J49" s="41" t="str">
        <f>RTD("rtdtrading.rtdserver",, "T&amp;T1", "AGR", 41)</f>
        <v>A janela foi fechada</v>
      </c>
    </row>
    <row r="50" spans="1:10" x14ac:dyDescent="0.25">
      <c r="A50" s="46" t="str">
        <f>RTD("rtdtrading.rtdserver",, "T&amp;T2", "DAT", 42)</f>
        <v>A janela foi fechada</v>
      </c>
      <c r="B50" s="29" t="str">
        <f>RTD("rtdtrading.rtdserver",, "T&amp;T2", "PRE", 42)</f>
        <v>A janela foi fechada</v>
      </c>
      <c r="C50" s="30" t="str">
        <f>RTD("rtdtrading.rtdserver",, "T&amp;T2", "QUL", 42)</f>
        <v>A janela foi fechada</v>
      </c>
      <c r="D50" s="30" t="str">
        <f>RTD("rtdtrading.rtdserver",, "T&amp;T2", "AGR", 42)</f>
        <v>A janela foi fechada</v>
      </c>
      <c r="G50" s="38" t="str">
        <f>RTD("rtdtrading.rtdserver",, "T&amp;T1", "DAT", 42)</f>
        <v>A janela foi fechada</v>
      </c>
      <c r="H50" s="39" t="str">
        <f>RTD("rtdtrading.rtdserver",, "T&amp;T1", "PRE", 42)</f>
        <v>A janela foi fechada</v>
      </c>
      <c r="I50" s="40" t="str">
        <f>RTD("rtdtrading.rtdserver",, "T&amp;T1", "QUL", 42)</f>
        <v>A janela foi fechada</v>
      </c>
      <c r="J50" s="41" t="str">
        <f>RTD("rtdtrading.rtdserver",, "T&amp;T1", "AGR", 42)</f>
        <v>A janela foi fechada</v>
      </c>
    </row>
    <row r="51" spans="1:10" x14ac:dyDescent="0.25">
      <c r="A51" s="46" t="str">
        <f>RTD("rtdtrading.rtdserver",, "T&amp;T2", "DAT", 43)</f>
        <v>A janela foi fechada</v>
      </c>
      <c r="B51" s="29" t="str">
        <f>RTD("rtdtrading.rtdserver",, "T&amp;T2", "PRE", 43)</f>
        <v>A janela foi fechada</v>
      </c>
      <c r="C51" s="30" t="str">
        <f>RTD("rtdtrading.rtdserver",, "T&amp;T2", "QUL", 43)</f>
        <v>A janela foi fechada</v>
      </c>
      <c r="D51" s="30" t="str">
        <f>RTD("rtdtrading.rtdserver",, "T&amp;T2", "AGR", 43)</f>
        <v>A janela foi fechada</v>
      </c>
      <c r="G51" s="38" t="str">
        <f>RTD("rtdtrading.rtdserver",, "T&amp;T1", "DAT", 43)</f>
        <v>A janela foi fechada</v>
      </c>
      <c r="H51" s="39" t="str">
        <f>RTD("rtdtrading.rtdserver",, "T&amp;T1", "PRE", 43)</f>
        <v>A janela foi fechada</v>
      </c>
      <c r="I51" s="40" t="str">
        <f>RTD("rtdtrading.rtdserver",, "T&amp;T1", "QUL", 43)</f>
        <v>A janela foi fechada</v>
      </c>
      <c r="J51" s="41" t="str">
        <f>RTD("rtdtrading.rtdserver",, "T&amp;T1", "AGR", 43)</f>
        <v>A janela foi fechada</v>
      </c>
    </row>
    <row r="52" spans="1:10" x14ac:dyDescent="0.25">
      <c r="A52" s="46" t="str">
        <f>RTD("rtdtrading.rtdserver",, "T&amp;T2", "DAT", 44)</f>
        <v>A janela foi fechada</v>
      </c>
      <c r="B52" s="29" t="str">
        <f>RTD("rtdtrading.rtdserver",, "T&amp;T2", "PRE", 44)</f>
        <v>A janela foi fechada</v>
      </c>
      <c r="C52" s="30" t="str">
        <f>RTD("rtdtrading.rtdserver",, "T&amp;T2", "QUL", 44)</f>
        <v>A janela foi fechada</v>
      </c>
      <c r="D52" s="30" t="str">
        <f>RTD("rtdtrading.rtdserver",, "T&amp;T2", "AGR", 44)</f>
        <v>A janela foi fechada</v>
      </c>
      <c r="G52" s="38" t="str">
        <f>RTD("rtdtrading.rtdserver",, "T&amp;T1", "DAT", 44)</f>
        <v>A janela foi fechada</v>
      </c>
      <c r="H52" s="39" t="str">
        <f>RTD("rtdtrading.rtdserver",, "T&amp;T1", "PRE", 44)</f>
        <v>A janela foi fechada</v>
      </c>
      <c r="I52" s="40" t="str">
        <f>RTD("rtdtrading.rtdserver",, "T&amp;T1", "QUL", 44)</f>
        <v>A janela foi fechada</v>
      </c>
      <c r="J52" s="41" t="str">
        <f>RTD("rtdtrading.rtdserver",, "T&amp;T1", "AGR", 44)</f>
        <v>A janela foi fechada</v>
      </c>
    </row>
    <row r="53" spans="1:10" x14ac:dyDescent="0.25">
      <c r="A53" s="46" t="str">
        <f>RTD("rtdtrading.rtdserver",, "T&amp;T2", "DAT", 45)</f>
        <v>A janela foi fechada</v>
      </c>
      <c r="B53" s="29" t="str">
        <f>RTD("rtdtrading.rtdserver",, "T&amp;T2", "PRE", 45)</f>
        <v>A janela foi fechada</v>
      </c>
      <c r="C53" s="30" t="str">
        <f>RTD("rtdtrading.rtdserver",, "T&amp;T2", "QUL", 45)</f>
        <v>A janela foi fechada</v>
      </c>
      <c r="D53" s="30" t="str">
        <f>RTD("rtdtrading.rtdserver",, "T&amp;T2", "AGR", 45)</f>
        <v>A janela foi fechada</v>
      </c>
      <c r="G53" s="38" t="str">
        <f>RTD("rtdtrading.rtdserver",, "T&amp;T1", "DAT", 45)</f>
        <v>A janela foi fechada</v>
      </c>
      <c r="H53" s="39" t="str">
        <f>RTD("rtdtrading.rtdserver",, "T&amp;T1", "PRE", 45)</f>
        <v>A janela foi fechada</v>
      </c>
      <c r="I53" s="40" t="str">
        <f>RTD("rtdtrading.rtdserver",, "T&amp;T1", "QUL", 45)</f>
        <v>A janela foi fechada</v>
      </c>
      <c r="J53" s="41" t="str">
        <f>RTD("rtdtrading.rtdserver",, "T&amp;T1", "AGR", 45)</f>
        <v>A janela foi fechada</v>
      </c>
    </row>
    <row r="54" spans="1:10" x14ac:dyDescent="0.25">
      <c r="A54" s="46" t="str">
        <f>RTD("rtdtrading.rtdserver",, "T&amp;T2", "DAT", 46)</f>
        <v>A janela foi fechada</v>
      </c>
      <c r="B54" s="29" t="str">
        <f>RTD("rtdtrading.rtdserver",, "T&amp;T2", "PRE", 46)</f>
        <v>A janela foi fechada</v>
      </c>
      <c r="C54" s="30" t="str">
        <f>RTD("rtdtrading.rtdserver",, "T&amp;T2", "QUL", 46)</f>
        <v>A janela foi fechada</v>
      </c>
      <c r="D54" s="30" t="str">
        <f>RTD("rtdtrading.rtdserver",, "T&amp;T2", "AGR", 46)</f>
        <v>A janela foi fechada</v>
      </c>
      <c r="G54" s="38" t="str">
        <f>RTD("rtdtrading.rtdserver",, "T&amp;T1", "DAT", 46)</f>
        <v>A janela foi fechada</v>
      </c>
      <c r="H54" s="39" t="str">
        <f>RTD("rtdtrading.rtdserver",, "T&amp;T1", "PRE", 46)</f>
        <v>A janela foi fechada</v>
      </c>
      <c r="I54" s="40" t="str">
        <f>RTD("rtdtrading.rtdserver",, "T&amp;T1", "QUL", 46)</f>
        <v>A janela foi fechada</v>
      </c>
      <c r="J54" s="41" t="str">
        <f>RTD("rtdtrading.rtdserver",, "T&amp;T1", "AGR", 46)</f>
        <v>A janela foi fechada</v>
      </c>
    </row>
    <row r="55" spans="1:10" x14ac:dyDescent="0.25">
      <c r="A55" s="46" t="str">
        <f>RTD("rtdtrading.rtdserver",, "T&amp;T2", "DAT", 47)</f>
        <v>A janela foi fechada</v>
      </c>
      <c r="B55" s="29" t="str">
        <f>RTD("rtdtrading.rtdserver",, "T&amp;T2", "PRE", 47)</f>
        <v>A janela foi fechada</v>
      </c>
      <c r="C55" s="30" t="str">
        <f>RTD("rtdtrading.rtdserver",, "T&amp;T2", "QUL", 47)</f>
        <v>A janela foi fechada</v>
      </c>
      <c r="D55" s="30" t="str">
        <f>RTD("rtdtrading.rtdserver",, "T&amp;T2", "AGR", 47)</f>
        <v>A janela foi fechada</v>
      </c>
      <c r="G55" s="38" t="str">
        <f>RTD("rtdtrading.rtdserver",, "T&amp;T1", "DAT", 47)</f>
        <v>A janela foi fechada</v>
      </c>
      <c r="H55" s="39" t="str">
        <f>RTD("rtdtrading.rtdserver",, "T&amp;T1", "PRE", 47)</f>
        <v>A janela foi fechada</v>
      </c>
      <c r="I55" s="40" t="str">
        <f>RTD("rtdtrading.rtdserver",, "T&amp;T1", "QUL", 47)</f>
        <v>A janela foi fechada</v>
      </c>
      <c r="J55" s="41" t="str">
        <f>RTD("rtdtrading.rtdserver",, "T&amp;T1", "AGR", 47)</f>
        <v>A janela foi fechada</v>
      </c>
    </row>
    <row r="56" spans="1:10" x14ac:dyDescent="0.25">
      <c r="A56" s="46" t="str">
        <f>RTD("rtdtrading.rtdserver",, "T&amp;T2", "DAT", 48)</f>
        <v>A janela foi fechada</v>
      </c>
      <c r="B56" s="29" t="str">
        <f>RTD("rtdtrading.rtdserver",, "T&amp;T2", "PRE", 48)</f>
        <v>A janela foi fechada</v>
      </c>
      <c r="C56" s="30" t="str">
        <f>RTD("rtdtrading.rtdserver",, "T&amp;T2", "QUL", 48)</f>
        <v>A janela foi fechada</v>
      </c>
      <c r="D56" s="30" t="str">
        <f>RTD("rtdtrading.rtdserver",, "T&amp;T2", "AGR", 48)</f>
        <v>A janela foi fechada</v>
      </c>
      <c r="G56" s="38" t="str">
        <f>RTD("rtdtrading.rtdserver",, "T&amp;T1", "DAT", 48)</f>
        <v>A janela foi fechada</v>
      </c>
      <c r="H56" s="39" t="str">
        <f>RTD("rtdtrading.rtdserver",, "T&amp;T1", "PRE", 48)</f>
        <v>A janela foi fechada</v>
      </c>
      <c r="I56" s="40" t="str">
        <f>RTD("rtdtrading.rtdserver",, "T&amp;T1", "QUL", 48)</f>
        <v>A janela foi fechada</v>
      </c>
      <c r="J56" s="41" t="str">
        <f>RTD("rtdtrading.rtdserver",, "T&amp;T1", "AGR", 48)</f>
        <v>A janela foi fechada</v>
      </c>
    </row>
    <row r="57" spans="1:10" x14ac:dyDescent="0.25">
      <c r="A57" s="46" t="str">
        <f>RTD("rtdtrading.rtdserver",, "T&amp;T2", "DAT", 49)</f>
        <v>A janela foi fechada</v>
      </c>
      <c r="B57" s="29" t="str">
        <f>RTD("rtdtrading.rtdserver",, "T&amp;T2", "PRE", 49)</f>
        <v>A janela foi fechada</v>
      </c>
      <c r="C57" s="30" t="str">
        <f>RTD("rtdtrading.rtdserver",, "T&amp;T2", "QUL", 49)</f>
        <v>A janela foi fechada</v>
      </c>
      <c r="D57" s="30" t="str">
        <f>RTD("rtdtrading.rtdserver",, "T&amp;T2", "AGR", 49)</f>
        <v>A janela foi fechada</v>
      </c>
      <c r="G57" s="38" t="str">
        <f>RTD("rtdtrading.rtdserver",, "T&amp;T1", "DAT", 49)</f>
        <v>A janela foi fechada</v>
      </c>
      <c r="H57" s="39" t="str">
        <f>RTD("rtdtrading.rtdserver",, "T&amp;T1", "PRE", 49)</f>
        <v>A janela foi fechada</v>
      </c>
      <c r="I57" s="40" t="str">
        <f>RTD("rtdtrading.rtdserver",, "T&amp;T1", "QUL", 49)</f>
        <v>A janela foi fechada</v>
      </c>
      <c r="J57" s="41" t="str">
        <f>RTD("rtdtrading.rtdserver",, "T&amp;T1", "AGR", 49)</f>
        <v>A janela foi fechada</v>
      </c>
    </row>
    <row r="58" spans="1:10" x14ac:dyDescent="0.25">
      <c r="A58" s="46" t="str">
        <f>RTD("rtdtrading.rtdserver",, "T&amp;T2", "DAT", 50)</f>
        <v>A janela foi fechada</v>
      </c>
      <c r="B58" s="29" t="str">
        <f>RTD("rtdtrading.rtdserver",, "T&amp;T2", "PRE", 50)</f>
        <v>A janela foi fechada</v>
      </c>
      <c r="C58" s="30" t="str">
        <f>RTD("rtdtrading.rtdserver",, "T&amp;T2", "QUL", 50)</f>
        <v>A janela foi fechada</v>
      </c>
      <c r="D58" s="30" t="str">
        <f>RTD("rtdtrading.rtdserver",, "T&amp;T2", "AGR", 50)</f>
        <v>A janela foi fechada</v>
      </c>
      <c r="G58" s="38" t="str">
        <f>RTD("rtdtrading.rtdserver",, "T&amp;T1", "DAT", 50)</f>
        <v>A janela foi fechada</v>
      </c>
      <c r="H58" s="39" t="str">
        <f>RTD("rtdtrading.rtdserver",, "T&amp;T1", "PRE", 50)</f>
        <v>A janela foi fechada</v>
      </c>
      <c r="I58" s="40" t="str">
        <f>RTD("rtdtrading.rtdserver",, "T&amp;T1", "QUL", 50)</f>
        <v>A janela foi fechada</v>
      </c>
      <c r="J58" s="41" t="str">
        <f>RTD("rtdtrading.rtdserver",, "T&amp;T1", "AGR", 50)</f>
        <v>A janela foi fechada</v>
      </c>
    </row>
    <row r="59" spans="1:10" x14ac:dyDescent="0.25">
      <c r="A59" s="46" t="str">
        <f>RTD("rtdtrading.rtdserver",, "T&amp;T2", "DAT", 51)</f>
        <v>A janela foi fechada</v>
      </c>
      <c r="B59" s="29" t="str">
        <f>RTD("rtdtrading.rtdserver",, "T&amp;T2", "PRE", 51)</f>
        <v>A janela foi fechada</v>
      </c>
      <c r="C59" s="30" t="str">
        <f>RTD("rtdtrading.rtdserver",, "T&amp;T2", "QUL", 51)</f>
        <v>A janela foi fechada</v>
      </c>
      <c r="D59" s="30" t="str">
        <f>RTD("rtdtrading.rtdserver",, "T&amp;T2", "AGR", 51)</f>
        <v>A janela foi fechada</v>
      </c>
      <c r="G59" s="38" t="str">
        <f>RTD("rtdtrading.rtdserver",, "T&amp;T1", "DAT", 51)</f>
        <v>A janela foi fechada</v>
      </c>
      <c r="H59" s="39" t="str">
        <f>RTD("rtdtrading.rtdserver",, "T&amp;T1", "PRE", 51)</f>
        <v>A janela foi fechada</v>
      </c>
      <c r="I59" s="40" t="str">
        <f>RTD("rtdtrading.rtdserver",, "T&amp;T1", "QUL", 51)</f>
        <v>A janela foi fechada</v>
      </c>
      <c r="J59" s="41" t="str">
        <f>RTD("rtdtrading.rtdserver",, "T&amp;T1", "AGR", 51)</f>
        <v>A janela foi fechada</v>
      </c>
    </row>
    <row r="60" spans="1:10" x14ac:dyDescent="0.25">
      <c r="A60" s="46" t="str">
        <f>RTD("rtdtrading.rtdserver",, "T&amp;T2", "DAT", 52)</f>
        <v>A janela foi fechada</v>
      </c>
      <c r="B60" s="29" t="str">
        <f>RTD("rtdtrading.rtdserver",, "T&amp;T2", "PRE", 52)</f>
        <v>A janela foi fechada</v>
      </c>
      <c r="C60" s="30" t="str">
        <f>RTD("rtdtrading.rtdserver",, "T&amp;T2", "QUL", 52)</f>
        <v>A janela foi fechada</v>
      </c>
      <c r="D60" s="30" t="str">
        <f>RTD("rtdtrading.rtdserver",, "T&amp;T2", "AGR", 52)</f>
        <v>A janela foi fechada</v>
      </c>
      <c r="G60" s="38" t="str">
        <f>RTD("rtdtrading.rtdserver",, "T&amp;T1", "DAT", 52)</f>
        <v>A janela foi fechada</v>
      </c>
      <c r="H60" s="39" t="str">
        <f>RTD("rtdtrading.rtdserver",, "T&amp;T1", "PRE", 52)</f>
        <v>A janela foi fechada</v>
      </c>
      <c r="I60" s="40" t="str">
        <f>RTD("rtdtrading.rtdserver",, "T&amp;T1", "QUL", 52)</f>
        <v>A janela foi fechada</v>
      </c>
      <c r="J60" s="41" t="str">
        <f>RTD("rtdtrading.rtdserver",, "T&amp;T1", "AGR", 52)</f>
        <v>A janela foi fechada</v>
      </c>
    </row>
    <row r="61" spans="1:10" x14ac:dyDescent="0.25">
      <c r="A61" s="46" t="str">
        <f>RTD("rtdtrading.rtdserver",, "T&amp;T2", "DAT", 53)</f>
        <v>A janela foi fechada</v>
      </c>
      <c r="B61" s="29" t="str">
        <f>RTD("rtdtrading.rtdserver",, "T&amp;T2", "PRE", 53)</f>
        <v>A janela foi fechada</v>
      </c>
      <c r="C61" s="30" t="str">
        <f>RTD("rtdtrading.rtdserver",, "T&amp;T2", "QUL", 53)</f>
        <v>A janela foi fechada</v>
      </c>
      <c r="D61" s="30" t="str">
        <f>RTD("rtdtrading.rtdserver",, "T&amp;T2", "AGR", 53)</f>
        <v>A janela foi fechada</v>
      </c>
      <c r="G61" s="38" t="str">
        <f>RTD("rtdtrading.rtdserver",, "T&amp;T1", "DAT", 53)</f>
        <v>A janela foi fechada</v>
      </c>
      <c r="H61" s="39" t="str">
        <f>RTD("rtdtrading.rtdserver",, "T&amp;T1", "PRE", 53)</f>
        <v>A janela foi fechada</v>
      </c>
      <c r="I61" s="40" t="str">
        <f>RTD("rtdtrading.rtdserver",, "T&amp;T1", "QUL", 53)</f>
        <v>A janela foi fechada</v>
      </c>
      <c r="J61" s="41" t="str">
        <f>RTD("rtdtrading.rtdserver",, "T&amp;T1", "AGR", 53)</f>
        <v>A janela foi fechada</v>
      </c>
    </row>
    <row r="62" spans="1:10" x14ac:dyDescent="0.25">
      <c r="A62" s="46" t="str">
        <f>RTD("rtdtrading.rtdserver",, "T&amp;T2", "DAT", 54)</f>
        <v>A janela foi fechada</v>
      </c>
      <c r="B62" s="29" t="str">
        <f>RTD("rtdtrading.rtdserver",, "T&amp;T2", "PRE", 54)</f>
        <v>A janela foi fechada</v>
      </c>
      <c r="C62" s="30" t="str">
        <f>RTD("rtdtrading.rtdserver",, "T&amp;T2", "QUL", 54)</f>
        <v>A janela foi fechada</v>
      </c>
      <c r="D62" s="30" t="str">
        <f>RTD("rtdtrading.rtdserver",, "T&amp;T2", "AGR", 54)</f>
        <v>A janela foi fechada</v>
      </c>
      <c r="G62" s="38" t="str">
        <f>RTD("rtdtrading.rtdserver",, "T&amp;T1", "DAT", 54)</f>
        <v>A janela foi fechada</v>
      </c>
      <c r="H62" s="39" t="str">
        <f>RTD("rtdtrading.rtdserver",, "T&amp;T1", "PRE", 54)</f>
        <v>A janela foi fechada</v>
      </c>
      <c r="I62" s="40" t="str">
        <f>RTD("rtdtrading.rtdserver",, "T&amp;T1", "QUL", 54)</f>
        <v>A janela foi fechada</v>
      </c>
      <c r="J62" s="41" t="str">
        <f>RTD("rtdtrading.rtdserver",, "T&amp;T1", "AGR", 54)</f>
        <v>A janela foi fechada</v>
      </c>
    </row>
    <row r="63" spans="1:10" x14ac:dyDescent="0.25">
      <c r="A63" s="46" t="str">
        <f>RTD("rtdtrading.rtdserver",, "T&amp;T2", "DAT", 55)</f>
        <v>A janela foi fechada</v>
      </c>
      <c r="B63" s="29" t="str">
        <f>RTD("rtdtrading.rtdserver",, "T&amp;T2", "PRE", 55)</f>
        <v>A janela foi fechada</v>
      </c>
      <c r="C63" s="30" t="str">
        <f>RTD("rtdtrading.rtdserver",, "T&amp;T2", "QUL", 55)</f>
        <v>A janela foi fechada</v>
      </c>
      <c r="D63" s="30" t="str">
        <f>RTD("rtdtrading.rtdserver",, "T&amp;T2", "AGR", 55)</f>
        <v>A janela foi fechada</v>
      </c>
      <c r="G63" s="38" t="str">
        <f>RTD("rtdtrading.rtdserver",, "T&amp;T1", "DAT", 55)</f>
        <v>A janela foi fechada</v>
      </c>
      <c r="H63" s="39" t="str">
        <f>RTD("rtdtrading.rtdserver",, "T&amp;T1", "PRE", 55)</f>
        <v>A janela foi fechada</v>
      </c>
      <c r="I63" s="40" t="str">
        <f>RTD("rtdtrading.rtdserver",, "T&amp;T1", "QUL", 55)</f>
        <v>A janela foi fechada</v>
      </c>
      <c r="J63" s="41" t="str">
        <f>RTD("rtdtrading.rtdserver",, "T&amp;T1", "AGR", 55)</f>
        <v>A janela foi fechada</v>
      </c>
    </row>
    <row r="64" spans="1:10" x14ac:dyDescent="0.25">
      <c r="A64" s="46" t="str">
        <f>RTD("rtdtrading.rtdserver",, "T&amp;T2", "DAT", 56)</f>
        <v>A janela foi fechada</v>
      </c>
      <c r="B64" s="29" t="str">
        <f>RTD("rtdtrading.rtdserver",, "T&amp;T2", "PRE", 56)</f>
        <v>A janela foi fechada</v>
      </c>
      <c r="C64" s="30" t="str">
        <f>RTD("rtdtrading.rtdserver",, "T&amp;T2", "QUL", 56)</f>
        <v>A janela foi fechada</v>
      </c>
      <c r="D64" s="30" t="str">
        <f>RTD("rtdtrading.rtdserver",, "T&amp;T2", "AGR", 56)</f>
        <v>A janela foi fechada</v>
      </c>
      <c r="G64" s="38" t="str">
        <f>RTD("rtdtrading.rtdserver",, "T&amp;T1", "DAT", 56)</f>
        <v>A janela foi fechada</v>
      </c>
      <c r="H64" s="39" t="str">
        <f>RTD("rtdtrading.rtdserver",, "T&amp;T1", "PRE", 56)</f>
        <v>A janela foi fechada</v>
      </c>
      <c r="I64" s="40" t="str">
        <f>RTD("rtdtrading.rtdserver",, "T&amp;T1", "QUL", 56)</f>
        <v>A janela foi fechada</v>
      </c>
      <c r="J64" s="41" t="str">
        <f>RTD("rtdtrading.rtdserver",, "T&amp;T1", "AGR", 56)</f>
        <v>A janela foi fechada</v>
      </c>
    </row>
    <row r="65" spans="1:10" x14ac:dyDescent="0.25">
      <c r="A65" s="46" t="str">
        <f>RTD("rtdtrading.rtdserver",, "T&amp;T2", "DAT", 57)</f>
        <v>A janela foi fechada</v>
      </c>
      <c r="B65" s="29" t="str">
        <f>RTD("rtdtrading.rtdserver",, "T&amp;T2", "PRE", 57)</f>
        <v>A janela foi fechada</v>
      </c>
      <c r="C65" s="30" t="str">
        <f>RTD("rtdtrading.rtdserver",, "T&amp;T2", "QUL", 57)</f>
        <v>A janela foi fechada</v>
      </c>
      <c r="D65" s="30" t="str">
        <f>RTD("rtdtrading.rtdserver",, "T&amp;T2", "AGR", 57)</f>
        <v>A janela foi fechada</v>
      </c>
      <c r="G65" s="38" t="str">
        <f>RTD("rtdtrading.rtdserver",, "T&amp;T1", "DAT", 57)</f>
        <v>A janela foi fechada</v>
      </c>
      <c r="H65" s="39" t="str">
        <f>RTD("rtdtrading.rtdserver",, "T&amp;T1", "PRE", 57)</f>
        <v>A janela foi fechada</v>
      </c>
      <c r="I65" s="40" t="str">
        <f>RTD("rtdtrading.rtdserver",, "T&amp;T1", "QUL", 57)</f>
        <v>A janela foi fechada</v>
      </c>
      <c r="J65" s="41" t="str">
        <f>RTD("rtdtrading.rtdserver",, "T&amp;T1", "AGR", 57)</f>
        <v>A janela foi fechada</v>
      </c>
    </row>
    <row r="66" spans="1:10" x14ac:dyDescent="0.25">
      <c r="A66" s="46" t="str">
        <f>RTD("rtdtrading.rtdserver",, "T&amp;T2", "DAT", 58)</f>
        <v>A janela foi fechada</v>
      </c>
      <c r="B66" s="29" t="str">
        <f>RTD("rtdtrading.rtdserver",, "T&amp;T2", "PRE", 58)</f>
        <v>A janela foi fechada</v>
      </c>
      <c r="C66" s="30" t="str">
        <f>RTD("rtdtrading.rtdserver",, "T&amp;T2", "QUL", 58)</f>
        <v>A janela foi fechada</v>
      </c>
      <c r="D66" s="30" t="str">
        <f>RTD("rtdtrading.rtdserver",, "T&amp;T2", "AGR", 58)</f>
        <v>A janela foi fechada</v>
      </c>
      <c r="G66" s="38" t="str">
        <f>RTD("rtdtrading.rtdserver",, "T&amp;T1", "DAT", 58)</f>
        <v>A janela foi fechada</v>
      </c>
      <c r="H66" s="39" t="str">
        <f>RTD("rtdtrading.rtdserver",, "T&amp;T1", "PRE", 58)</f>
        <v>A janela foi fechada</v>
      </c>
      <c r="I66" s="40" t="str">
        <f>RTD("rtdtrading.rtdserver",, "T&amp;T1", "QUL", 58)</f>
        <v>A janela foi fechada</v>
      </c>
      <c r="J66" s="41" t="str">
        <f>RTD("rtdtrading.rtdserver",, "T&amp;T1", "AGR", 58)</f>
        <v>A janela foi fechada</v>
      </c>
    </row>
    <row r="67" spans="1:10" x14ac:dyDescent="0.25">
      <c r="A67" s="46" t="str">
        <f>RTD("rtdtrading.rtdserver",, "T&amp;T2", "DAT", 59)</f>
        <v>A janela foi fechada</v>
      </c>
      <c r="B67" s="29" t="str">
        <f>RTD("rtdtrading.rtdserver",, "T&amp;T2", "PRE", 59)</f>
        <v>A janela foi fechada</v>
      </c>
      <c r="C67" s="30" t="str">
        <f>RTD("rtdtrading.rtdserver",, "T&amp;T2", "QUL", 59)</f>
        <v>A janela foi fechada</v>
      </c>
      <c r="D67" s="30" t="str">
        <f>RTD("rtdtrading.rtdserver",, "T&amp;T2", "AGR", 59)</f>
        <v>A janela foi fechada</v>
      </c>
      <c r="G67" s="38" t="str">
        <f>RTD("rtdtrading.rtdserver",, "T&amp;T1", "DAT", 59)</f>
        <v>A janela foi fechada</v>
      </c>
      <c r="H67" s="39" t="str">
        <f>RTD("rtdtrading.rtdserver",, "T&amp;T1", "PRE", 59)</f>
        <v>A janela foi fechada</v>
      </c>
      <c r="I67" s="40" t="str">
        <f>RTD("rtdtrading.rtdserver",, "T&amp;T1", "QUL", 59)</f>
        <v>A janela foi fechada</v>
      </c>
      <c r="J67" s="41" t="str">
        <f>RTD("rtdtrading.rtdserver",, "T&amp;T1", "AGR", 59)</f>
        <v>A janela foi fechada</v>
      </c>
    </row>
    <row r="68" spans="1:10" x14ac:dyDescent="0.25">
      <c r="A68" s="46" t="str">
        <f>RTD("rtdtrading.rtdserver",, "T&amp;T2", "DAT", 60)</f>
        <v>A janela foi fechada</v>
      </c>
      <c r="B68" s="29" t="str">
        <f>RTD("rtdtrading.rtdserver",, "T&amp;T2", "PRE", 60)</f>
        <v>A janela foi fechada</v>
      </c>
      <c r="C68" s="30" t="str">
        <f>RTD("rtdtrading.rtdserver",, "T&amp;T2", "QUL", 60)</f>
        <v>A janela foi fechada</v>
      </c>
      <c r="D68" s="30" t="str">
        <f>RTD("rtdtrading.rtdserver",, "T&amp;T2", "AGR", 60)</f>
        <v>A janela foi fechada</v>
      </c>
      <c r="G68" s="38" t="str">
        <f>RTD("rtdtrading.rtdserver",, "T&amp;T1", "DAT", 60)</f>
        <v>A janela foi fechada</v>
      </c>
      <c r="H68" s="39" t="str">
        <f>RTD("rtdtrading.rtdserver",, "T&amp;T1", "PRE", 60)</f>
        <v>A janela foi fechada</v>
      </c>
      <c r="I68" s="40" t="str">
        <f>RTD("rtdtrading.rtdserver",, "T&amp;T1", "QUL", 60)</f>
        <v>A janela foi fechada</v>
      </c>
      <c r="J68" s="41" t="str">
        <f>RTD("rtdtrading.rtdserver",, "T&amp;T1", "AGR", 60)</f>
        <v>A janela foi fechada</v>
      </c>
    </row>
    <row r="69" spans="1:10" x14ac:dyDescent="0.25">
      <c r="A69" s="46" t="str">
        <f>RTD("rtdtrading.rtdserver",, "T&amp;T2", "DAT", 61)</f>
        <v>A janela foi fechada</v>
      </c>
      <c r="B69" s="29" t="str">
        <f>RTD("rtdtrading.rtdserver",, "T&amp;T2", "PRE", 61)</f>
        <v>A janela foi fechada</v>
      </c>
      <c r="C69" s="30" t="str">
        <f>RTD("rtdtrading.rtdserver",, "T&amp;T2", "QUL", 61)</f>
        <v>A janela foi fechada</v>
      </c>
      <c r="D69" s="30" t="str">
        <f>RTD("rtdtrading.rtdserver",, "T&amp;T2", "AGR", 61)</f>
        <v>A janela foi fechada</v>
      </c>
      <c r="G69" s="38" t="str">
        <f>RTD("rtdtrading.rtdserver",, "T&amp;T1", "DAT", 61)</f>
        <v>A janela foi fechada</v>
      </c>
      <c r="H69" s="39" t="str">
        <f>RTD("rtdtrading.rtdserver",, "T&amp;T1", "PRE", 61)</f>
        <v>A janela foi fechada</v>
      </c>
      <c r="I69" s="40" t="str">
        <f>RTD("rtdtrading.rtdserver",, "T&amp;T1", "QUL", 61)</f>
        <v>A janela foi fechada</v>
      </c>
      <c r="J69" s="41" t="str">
        <f>RTD("rtdtrading.rtdserver",, "T&amp;T1", "AGR", 61)</f>
        <v>A janela foi fechada</v>
      </c>
    </row>
    <row r="70" spans="1:10" x14ac:dyDescent="0.25">
      <c r="A70" s="46" t="str">
        <f>RTD("rtdtrading.rtdserver",, "T&amp;T2", "DAT", 62)</f>
        <v>A janela foi fechada</v>
      </c>
      <c r="B70" s="29" t="str">
        <f>RTD("rtdtrading.rtdserver",, "T&amp;T2", "PRE", 62)</f>
        <v>A janela foi fechada</v>
      </c>
      <c r="C70" s="30" t="str">
        <f>RTD("rtdtrading.rtdserver",, "T&amp;T2", "QUL", 62)</f>
        <v>A janela foi fechada</v>
      </c>
      <c r="D70" s="30" t="str">
        <f>RTD("rtdtrading.rtdserver",, "T&amp;T2", "AGR", 62)</f>
        <v>A janela foi fechada</v>
      </c>
      <c r="G70" s="38" t="str">
        <f>RTD("rtdtrading.rtdserver",, "T&amp;T1", "DAT", 62)</f>
        <v>A janela foi fechada</v>
      </c>
      <c r="H70" s="39" t="str">
        <f>RTD("rtdtrading.rtdserver",, "T&amp;T1", "PRE", 62)</f>
        <v>A janela foi fechada</v>
      </c>
      <c r="I70" s="40" t="str">
        <f>RTD("rtdtrading.rtdserver",, "T&amp;T1", "QUL", 62)</f>
        <v>A janela foi fechada</v>
      </c>
      <c r="J70" s="41" t="str">
        <f>RTD("rtdtrading.rtdserver",, "T&amp;T1", "AGR", 62)</f>
        <v>A janela foi fechada</v>
      </c>
    </row>
    <row r="71" spans="1:10" x14ac:dyDescent="0.25">
      <c r="A71" s="46" t="str">
        <f>RTD("rtdtrading.rtdserver",, "T&amp;T2", "DAT", 63)</f>
        <v>A janela foi fechada</v>
      </c>
      <c r="B71" s="29" t="str">
        <f>RTD("rtdtrading.rtdserver",, "T&amp;T2", "PRE", 63)</f>
        <v>A janela foi fechada</v>
      </c>
      <c r="C71" s="30" t="str">
        <f>RTD("rtdtrading.rtdserver",, "T&amp;T2", "QUL", 63)</f>
        <v>A janela foi fechada</v>
      </c>
      <c r="D71" s="30" t="str">
        <f>RTD("rtdtrading.rtdserver",, "T&amp;T2", "AGR", 63)</f>
        <v>A janela foi fechada</v>
      </c>
      <c r="G71" s="38" t="str">
        <f>RTD("rtdtrading.rtdserver",, "T&amp;T1", "DAT", 63)</f>
        <v>A janela foi fechada</v>
      </c>
      <c r="H71" s="39" t="str">
        <f>RTD("rtdtrading.rtdserver",, "T&amp;T1", "PRE", 63)</f>
        <v>A janela foi fechada</v>
      </c>
      <c r="I71" s="40" t="str">
        <f>RTD("rtdtrading.rtdserver",, "T&amp;T1", "QUL", 63)</f>
        <v>A janela foi fechada</v>
      </c>
      <c r="J71" s="41" t="str">
        <f>RTD("rtdtrading.rtdserver",, "T&amp;T1", "AGR", 63)</f>
        <v>A janela foi fechada</v>
      </c>
    </row>
    <row r="72" spans="1:10" x14ac:dyDescent="0.25">
      <c r="A72" s="46" t="str">
        <f>RTD("rtdtrading.rtdserver",, "T&amp;T2", "DAT", 64)</f>
        <v>A janela foi fechada</v>
      </c>
      <c r="B72" s="29" t="str">
        <f>RTD("rtdtrading.rtdserver",, "T&amp;T2", "PRE", 64)</f>
        <v>A janela foi fechada</v>
      </c>
      <c r="C72" s="30" t="str">
        <f>RTD("rtdtrading.rtdserver",, "T&amp;T2", "QUL", 64)</f>
        <v>A janela foi fechada</v>
      </c>
      <c r="D72" s="30" t="str">
        <f>RTD("rtdtrading.rtdserver",, "T&amp;T2", "AGR", 64)</f>
        <v>A janela foi fechada</v>
      </c>
      <c r="G72" s="38" t="str">
        <f>RTD("rtdtrading.rtdserver",, "T&amp;T1", "DAT", 64)</f>
        <v>A janela foi fechada</v>
      </c>
      <c r="H72" s="39" t="str">
        <f>RTD("rtdtrading.rtdserver",, "T&amp;T1", "PRE", 64)</f>
        <v>A janela foi fechada</v>
      </c>
      <c r="I72" s="40" t="str">
        <f>RTD("rtdtrading.rtdserver",, "T&amp;T1", "QUL", 64)</f>
        <v>A janela foi fechada</v>
      </c>
      <c r="J72" s="41" t="str">
        <f>RTD("rtdtrading.rtdserver",, "T&amp;T1", "AGR", 64)</f>
        <v>A janela foi fechada</v>
      </c>
    </row>
    <row r="73" spans="1:10" x14ac:dyDescent="0.25">
      <c r="A73" s="46" t="str">
        <f>RTD("rtdtrading.rtdserver",, "T&amp;T2", "DAT", 65)</f>
        <v>A janela foi fechada</v>
      </c>
      <c r="B73" s="29" t="str">
        <f>RTD("rtdtrading.rtdserver",, "T&amp;T2", "PRE", 65)</f>
        <v>A janela foi fechada</v>
      </c>
      <c r="C73" s="30" t="str">
        <f>RTD("rtdtrading.rtdserver",, "T&amp;T2", "QUL", 65)</f>
        <v>A janela foi fechada</v>
      </c>
      <c r="D73" s="30" t="str">
        <f>RTD("rtdtrading.rtdserver",, "T&amp;T2", "AGR", 65)</f>
        <v>A janela foi fechada</v>
      </c>
      <c r="G73" s="38" t="str">
        <f>RTD("rtdtrading.rtdserver",, "T&amp;T1", "DAT", 65)</f>
        <v>A janela foi fechada</v>
      </c>
      <c r="H73" s="39" t="str">
        <f>RTD("rtdtrading.rtdserver",, "T&amp;T1", "PRE", 65)</f>
        <v>A janela foi fechada</v>
      </c>
      <c r="I73" s="40" t="str">
        <f>RTD("rtdtrading.rtdserver",, "T&amp;T1", "QUL", 65)</f>
        <v>A janela foi fechada</v>
      </c>
      <c r="J73" s="41" t="str">
        <f>RTD("rtdtrading.rtdserver",, "T&amp;T1", "AGR", 65)</f>
        <v>A janela foi fechada</v>
      </c>
    </row>
    <row r="74" spans="1:10" x14ac:dyDescent="0.25">
      <c r="A74" s="46" t="str">
        <f>RTD("rtdtrading.rtdserver",, "T&amp;T2", "DAT", 66)</f>
        <v>A janela foi fechada</v>
      </c>
      <c r="B74" s="29" t="str">
        <f>RTD("rtdtrading.rtdserver",, "T&amp;T2", "PRE", 66)</f>
        <v>A janela foi fechada</v>
      </c>
      <c r="C74" s="30" t="str">
        <f>RTD("rtdtrading.rtdserver",, "T&amp;T2", "QUL", 66)</f>
        <v>A janela foi fechada</v>
      </c>
      <c r="D74" s="30" t="str">
        <f>RTD("rtdtrading.rtdserver",, "T&amp;T2", "AGR", 66)</f>
        <v>A janela foi fechada</v>
      </c>
      <c r="G74" s="38" t="str">
        <f>RTD("rtdtrading.rtdserver",, "T&amp;T1", "DAT", 66)</f>
        <v>A janela foi fechada</v>
      </c>
      <c r="H74" s="39" t="str">
        <f>RTD("rtdtrading.rtdserver",, "T&amp;T1", "PRE", 66)</f>
        <v>A janela foi fechada</v>
      </c>
      <c r="I74" s="40" t="str">
        <f>RTD("rtdtrading.rtdserver",, "T&amp;T1", "QUL", 66)</f>
        <v>A janela foi fechada</v>
      </c>
      <c r="J74" s="41" t="str">
        <f>RTD("rtdtrading.rtdserver",, "T&amp;T1", "AGR", 66)</f>
        <v>A janela foi fechada</v>
      </c>
    </row>
    <row r="75" spans="1:10" x14ac:dyDescent="0.25">
      <c r="A75" s="46" t="str">
        <f>RTD("rtdtrading.rtdserver",, "T&amp;T2", "DAT", 67)</f>
        <v>A janela foi fechada</v>
      </c>
      <c r="B75" s="29" t="str">
        <f>RTD("rtdtrading.rtdserver",, "T&amp;T2", "PRE", 67)</f>
        <v>A janela foi fechada</v>
      </c>
      <c r="C75" s="30" t="str">
        <f>RTD("rtdtrading.rtdserver",, "T&amp;T2", "QUL", 67)</f>
        <v>A janela foi fechada</v>
      </c>
      <c r="D75" s="30" t="str">
        <f>RTD("rtdtrading.rtdserver",, "T&amp;T2", "AGR", 67)</f>
        <v>A janela foi fechada</v>
      </c>
      <c r="G75" s="38" t="str">
        <f>RTD("rtdtrading.rtdserver",, "T&amp;T1", "DAT", 67)</f>
        <v>A janela foi fechada</v>
      </c>
      <c r="H75" s="39" t="str">
        <f>RTD("rtdtrading.rtdserver",, "T&amp;T1", "PRE", 67)</f>
        <v>A janela foi fechada</v>
      </c>
      <c r="I75" s="40" t="str">
        <f>RTD("rtdtrading.rtdserver",, "T&amp;T1", "QUL", 67)</f>
        <v>A janela foi fechada</v>
      </c>
      <c r="J75" s="41" t="str">
        <f>RTD("rtdtrading.rtdserver",, "T&amp;T1", "AGR", 67)</f>
        <v>A janela foi fechada</v>
      </c>
    </row>
    <row r="76" spans="1:10" x14ac:dyDescent="0.25">
      <c r="A76" s="46" t="str">
        <f>RTD("rtdtrading.rtdserver",, "T&amp;T2", "DAT", 68)</f>
        <v>A janela foi fechada</v>
      </c>
      <c r="B76" s="29" t="str">
        <f>RTD("rtdtrading.rtdserver",, "T&amp;T2", "PRE", 68)</f>
        <v>A janela foi fechada</v>
      </c>
      <c r="C76" s="30" t="str">
        <f>RTD("rtdtrading.rtdserver",, "T&amp;T2", "QUL", 68)</f>
        <v>A janela foi fechada</v>
      </c>
      <c r="D76" s="30" t="str">
        <f>RTD("rtdtrading.rtdserver",, "T&amp;T2", "AGR", 68)</f>
        <v>A janela foi fechada</v>
      </c>
      <c r="G76" s="38" t="str">
        <f>RTD("rtdtrading.rtdserver",, "T&amp;T1", "DAT", 68)</f>
        <v>A janela foi fechada</v>
      </c>
      <c r="H76" s="39" t="str">
        <f>RTD("rtdtrading.rtdserver",, "T&amp;T1", "PRE", 68)</f>
        <v>A janela foi fechada</v>
      </c>
      <c r="I76" s="40" t="str">
        <f>RTD("rtdtrading.rtdserver",, "T&amp;T1", "QUL", 68)</f>
        <v>A janela foi fechada</v>
      </c>
      <c r="J76" s="41" t="str">
        <f>RTD("rtdtrading.rtdserver",, "T&amp;T1", "AGR", 68)</f>
        <v>A janela foi fechada</v>
      </c>
    </row>
    <row r="77" spans="1:10" x14ac:dyDescent="0.25">
      <c r="A77" s="46" t="str">
        <f>RTD("rtdtrading.rtdserver",, "T&amp;T2", "DAT", 69)</f>
        <v>A janela foi fechada</v>
      </c>
      <c r="B77" s="29" t="str">
        <f>RTD("rtdtrading.rtdserver",, "T&amp;T2", "PRE", 69)</f>
        <v>A janela foi fechada</v>
      </c>
      <c r="C77" s="30" t="str">
        <f>RTD("rtdtrading.rtdserver",, "T&amp;T2", "QUL", 69)</f>
        <v>A janela foi fechada</v>
      </c>
      <c r="D77" s="30" t="str">
        <f>RTD("rtdtrading.rtdserver",, "T&amp;T2", "AGR", 69)</f>
        <v>A janela foi fechada</v>
      </c>
      <c r="G77" s="38" t="str">
        <f>RTD("rtdtrading.rtdserver",, "T&amp;T1", "DAT", 69)</f>
        <v>A janela foi fechada</v>
      </c>
      <c r="H77" s="39" t="str">
        <f>RTD("rtdtrading.rtdserver",, "T&amp;T1", "PRE", 69)</f>
        <v>A janela foi fechada</v>
      </c>
      <c r="I77" s="40" t="str">
        <f>RTD("rtdtrading.rtdserver",, "T&amp;T1", "QUL", 69)</f>
        <v>A janela foi fechada</v>
      </c>
      <c r="J77" s="41" t="str">
        <f>RTD("rtdtrading.rtdserver",, "T&amp;T1", "AGR", 69)</f>
        <v>A janela foi fechada</v>
      </c>
    </row>
    <row r="78" spans="1:10" x14ac:dyDescent="0.25">
      <c r="A78" s="46" t="str">
        <f>RTD("rtdtrading.rtdserver",, "T&amp;T2", "DAT", 70)</f>
        <v>A janela foi fechada</v>
      </c>
      <c r="B78" s="29" t="str">
        <f>RTD("rtdtrading.rtdserver",, "T&amp;T2", "PRE", 70)</f>
        <v>A janela foi fechada</v>
      </c>
      <c r="C78" s="30" t="str">
        <f>RTD("rtdtrading.rtdserver",, "T&amp;T2", "QUL", 70)</f>
        <v>A janela foi fechada</v>
      </c>
      <c r="D78" s="30" t="str">
        <f>RTD("rtdtrading.rtdserver",, "T&amp;T2", "AGR", 70)</f>
        <v>A janela foi fechada</v>
      </c>
      <c r="G78" s="38" t="str">
        <f>RTD("rtdtrading.rtdserver",, "T&amp;T1", "DAT", 70)</f>
        <v>A janela foi fechada</v>
      </c>
      <c r="H78" s="39" t="str">
        <f>RTD("rtdtrading.rtdserver",, "T&amp;T1", "PRE", 70)</f>
        <v>A janela foi fechada</v>
      </c>
      <c r="I78" s="40" t="str">
        <f>RTD("rtdtrading.rtdserver",, "T&amp;T1", "QUL", 70)</f>
        <v>A janela foi fechada</v>
      </c>
      <c r="J78" s="41" t="str">
        <f>RTD("rtdtrading.rtdserver",, "T&amp;T1", "AGR", 70)</f>
        <v>A janela foi fechada</v>
      </c>
    </row>
    <row r="79" spans="1:10" x14ac:dyDescent="0.25">
      <c r="A79" s="46" t="str">
        <f>RTD("rtdtrading.rtdserver",, "T&amp;T2", "DAT", 71)</f>
        <v>A janela foi fechada</v>
      </c>
      <c r="B79" s="29" t="str">
        <f>RTD("rtdtrading.rtdserver",, "T&amp;T2", "PRE", 71)</f>
        <v>A janela foi fechada</v>
      </c>
      <c r="C79" s="30" t="str">
        <f>RTD("rtdtrading.rtdserver",, "T&amp;T2", "QUL", 71)</f>
        <v>A janela foi fechada</v>
      </c>
      <c r="D79" s="30" t="str">
        <f>RTD("rtdtrading.rtdserver",, "T&amp;T2", "AGR", 71)</f>
        <v>A janela foi fechada</v>
      </c>
      <c r="G79" s="38" t="str">
        <f>RTD("rtdtrading.rtdserver",, "T&amp;T1", "DAT", 71)</f>
        <v>A janela foi fechada</v>
      </c>
      <c r="H79" s="39" t="str">
        <f>RTD("rtdtrading.rtdserver",, "T&amp;T1", "PRE", 71)</f>
        <v>A janela foi fechada</v>
      </c>
      <c r="I79" s="40" t="str">
        <f>RTD("rtdtrading.rtdserver",, "T&amp;T1", "QUL", 71)</f>
        <v>A janela foi fechada</v>
      </c>
      <c r="J79" s="41" t="str">
        <f>RTD("rtdtrading.rtdserver",, "T&amp;T1", "AGR", 71)</f>
        <v>A janela foi fechada</v>
      </c>
    </row>
    <row r="80" spans="1:10" x14ac:dyDescent="0.25">
      <c r="A80" s="46" t="str">
        <f>RTD("rtdtrading.rtdserver",, "T&amp;T2", "DAT", 72)</f>
        <v>A janela foi fechada</v>
      </c>
      <c r="B80" s="29" t="str">
        <f>RTD("rtdtrading.rtdserver",, "T&amp;T2", "PRE", 72)</f>
        <v>A janela foi fechada</v>
      </c>
      <c r="C80" s="30" t="str">
        <f>RTD("rtdtrading.rtdserver",, "T&amp;T2", "QUL", 72)</f>
        <v>A janela foi fechada</v>
      </c>
      <c r="D80" s="30" t="str">
        <f>RTD("rtdtrading.rtdserver",, "T&amp;T2", "AGR", 72)</f>
        <v>A janela foi fechada</v>
      </c>
      <c r="G80" s="38" t="str">
        <f>RTD("rtdtrading.rtdserver",, "T&amp;T1", "DAT", 72)</f>
        <v>A janela foi fechada</v>
      </c>
      <c r="H80" s="39" t="str">
        <f>RTD("rtdtrading.rtdserver",, "T&amp;T1", "PRE", 72)</f>
        <v>A janela foi fechada</v>
      </c>
      <c r="I80" s="40" t="str">
        <f>RTD("rtdtrading.rtdserver",, "T&amp;T1", "QUL", 72)</f>
        <v>A janela foi fechada</v>
      </c>
      <c r="J80" s="41" t="str">
        <f>RTD("rtdtrading.rtdserver",, "T&amp;T1", "AGR", 72)</f>
        <v>A janela foi fechada</v>
      </c>
    </row>
    <row r="81" spans="1:10" x14ac:dyDescent="0.25">
      <c r="A81" s="46" t="str">
        <f>RTD("rtdtrading.rtdserver",, "T&amp;T2", "DAT", 73)</f>
        <v>A janela foi fechada</v>
      </c>
      <c r="B81" s="29" t="str">
        <f>RTD("rtdtrading.rtdserver",, "T&amp;T2", "PRE", 73)</f>
        <v>A janela foi fechada</v>
      </c>
      <c r="C81" s="30" t="str">
        <f>RTD("rtdtrading.rtdserver",, "T&amp;T2", "QUL", 73)</f>
        <v>A janela foi fechada</v>
      </c>
      <c r="D81" s="30" t="str">
        <f>RTD("rtdtrading.rtdserver",, "T&amp;T2", "AGR", 73)</f>
        <v>A janela foi fechada</v>
      </c>
      <c r="G81" s="38" t="str">
        <f>RTD("rtdtrading.rtdserver",, "T&amp;T1", "DAT", 73)</f>
        <v>A janela foi fechada</v>
      </c>
      <c r="H81" s="39" t="str">
        <f>RTD("rtdtrading.rtdserver",, "T&amp;T1", "PRE", 73)</f>
        <v>A janela foi fechada</v>
      </c>
      <c r="I81" s="40" t="str">
        <f>RTD("rtdtrading.rtdserver",, "T&amp;T1", "QUL", 73)</f>
        <v>A janela foi fechada</v>
      </c>
      <c r="J81" s="41" t="str">
        <f>RTD("rtdtrading.rtdserver",, "T&amp;T1", "AGR", 73)</f>
        <v>A janela foi fechada</v>
      </c>
    </row>
    <row r="82" spans="1:10" x14ac:dyDescent="0.25">
      <c r="A82" s="46" t="str">
        <f>RTD("rtdtrading.rtdserver",, "T&amp;T2", "DAT", 74)</f>
        <v>A janela foi fechada</v>
      </c>
      <c r="B82" s="29" t="str">
        <f>RTD("rtdtrading.rtdserver",, "T&amp;T2", "PRE", 74)</f>
        <v>A janela foi fechada</v>
      </c>
      <c r="C82" s="30" t="str">
        <f>RTD("rtdtrading.rtdserver",, "T&amp;T2", "QUL", 74)</f>
        <v>A janela foi fechada</v>
      </c>
      <c r="D82" s="30" t="str">
        <f>RTD("rtdtrading.rtdserver",, "T&amp;T2", "AGR", 74)</f>
        <v>A janela foi fechada</v>
      </c>
      <c r="G82" s="38" t="str">
        <f>RTD("rtdtrading.rtdserver",, "T&amp;T1", "DAT", 74)</f>
        <v>A janela foi fechada</v>
      </c>
      <c r="H82" s="39" t="str">
        <f>RTD("rtdtrading.rtdserver",, "T&amp;T1", "PRE", 74)</f>
        <v>A janela foi fechada</v>
      </c>
      <c r="I82" s="40" t="str">
        <f>RTD("rtdtrading.rtdserver",, "T&amp;T1", "QUL", 74)</f>
        <v>A janela foi fechada</v>
      </c>
      <c r="J82" s="41" t="str">
        <f>RTD("rtdtrading.rtdserver",, "T&amp;T1", "AGR", 74)</f>
        <v>A janela foi fechada</v>
      </c>
    </row>
    <row r="83" spans="1:10" x14ac:dyDescent="0.25">
      <c r="A83" s="46" t="str">
        <f>RTD("rtdtrading.rtdserver",, "T&amp;T2", "DAT", 75)</f>
        <v>A janela foi fechada</v>
      </c>
      <c r="B83" s="29" t="str">
        <f>RTD("rtdtrading.rtdserver",, "T&amp;T2", "PRE", 75)</f>
        <v>A janela foi fechada</v>
      </c>
      <c r="C83" s="30" t="str">
        <f>RTD("rtdtrading.rtdserver",, "T&amp;T2", "QUL", 75)</f>
        <v>A janela foi fechada</v>
      </c>
      <c r="D83" s="30" t="str">
        <f>RTD("rtdtrading.rtdserver",, "T&amp;T2", "AGR", 75)</f>
        <v>A janela foi fechada</v>
      </c>
      <c r="G83" s="38" t="str">
        <f>RTD("rtdtrading.rtdserver",, "T&amp;T1", "DAT", 75)</f>
        <v>A janela foi fechada</v>
      </c>
      <c r="H83" s="39" t="str">
        <f>RTD("rtdtrading.rtdserver",, "T&amp;T1", "PRE", 75)</f>
        <v>A janela foi fechada</v>
      </c>
      <c r="I83" s="40" t="str">
        <f>RTD("rtdtrading.rtdserver",, "T&amp;T1", "QUL", 75)</f>
        <v>A janela foi fechada</v>
      </c>
      <c r="J83" s="41" t="str">
        <f>RTD("rtdtrading.rtdserver",, "T&amp;T1", "AGR", 75)</f>
        <v>A janela foi fechada</v>
      </c>
    </row>
    <row r="84" spans="1:10" x14ac:dyDescent="0.25">
      <c r="A84" s="46" t="str">
        <f>RTD("rtdtrading.rtdserver",, "T&amp;T2", "DAT", 76)</f>
        <v>A janela foi fechada</v>
      </c>
      <c r="B84" s="29" t="str">
        <f>RTD("rtdtrading.rtdserver",, "T&amp;T2", "PRE", 76)</f>
        <v>A janela foi fechada</v>
      </c>
      <c r="C84" s="30" t="str">
        <f>RTD("rtdtrading.rtdserver",, "T&amp;T2", "QUL", 76)</f>
        <v>A janela foi fechada</v>
      </c>
      <c r="D84" s="30" t="str">
        <f>RTD("rtdtrading.rtdserver",, "T&amp;T2", "AGR", 76)</f>
        <v>A janela foi fechada</v>
      </c>
      <c r="G84" s="38" t="str">
        <f>RTD("rtdtrading.rtdserver",, "T&amp;T1", "DAT", 76)</f>
        <v>A janela foi fechada</v>
      </c>
      <c r="H84" s="39" t="str">
        <f>RTD("rtdtrading.rtdserver",, "T&amp;T1", "PRE", 76)</f>
        <v>A janela foi fechada</v>
      </c>
      <c r="I84" s="40" t="str">
        <f>RTD("rtdtrading.rtdserver",, "T&amp;T1", "QUL", 76)</f>
        <v>A janela foi fechada</v>
      </c>
      <c r="J84" s="41" t="str">
        <f>RTD("rtdtrading.rtdserver",, "T&amp;T1", "AGR", 76)</f>
        <v>A janela foi fechada</v>
      </c>
    </row>
    <row r="85" spans="1:10" x14ac:dyDescent="0.25">
      <c r="A85" s="46" t="str">
        <f>RTD("rtdtrading.rtdserver",, "T&amp;T2", "DAT", 77)</f>
        <v>A janela foi fechada</v>
      </c>
      <c r="B85" s="29" t="str">
        <f>RTD("rtdtrading.rtdserver",, "T&amp;T2", "PRE", 77)</f>
        <v>A janela foi fechada</v>
      </c>
      <c r="C85" s="30" t="str">
        <f>RTD("rtdtrading.rtdserver",, "T&amp;T2", "QUL", 77)</f>
        <v>A janela foi fechada</v>
      </c>
      <c r="D85" s="30" t="str">
        <f>RTD("rtdtrading.rtdserver",, "T&amp;T2", "AGR", 77)</f>
        <v>A janela foi fechada</v>
      </c>
      <c r="G85" s="38" t="str">
        <f>RTD("rtdtrading.rtdserver",, "T&amp;T1", "DAT", 77)</f>
        <v>A janela foi fechada</v>
      </c>
      <c r="H85" s="39" t="str">
        <f>RTD("rtdtrading.rtdserver",, "T&amp;T1", "PRE", 77)</f>
        <v>A janela foi fechada</v>
      </c>
      <c r="I85" s="40" t="str">
        <f>RTD("rtdtrading.rtdserver",, "T&amp;T1", "QUL", 77)</f>
        <v>A janela foi fechada</v>
      </c>
      <c r="J85" s="41" t="str">
        <f>RTD("rtdtrading.rtdserver",, "T&amp;T1", "AGR", 77)</f>
        <v>A janela foi fechada</v>
      </c>
    </row>
    <row r="86" spans="1:10" x14ac:dyDescent="0.25">
      <c r="A86" s="46" t="str">
        <f>RTD("rtdtrading.rtdserver",, "T&amp;T2", "DAT", 78)</f>
        <v>A janela foi fechada</v>
      </c>
      <c r="B86" s="29" t="str">
        <f>RTD("rtdtrading.rtdserver",, "T&amp;T2", "PRE", 78)</f>
        <v>A janela foi fechada</v>
      </c>
      <c r="C86" s="30" t="str">
        <f>RTD("rtdtrading.rtdserver",, "T&amp;T2", "QUL", 78)</f>
        <v>A janela foi fechada</v>
      </c>
      <c r="D86" s="30" t="str">
        <f>RTD("rtdtrading.rtdserver",, "T&amp;T2", "AGR", 78)</f>
        <v>A janela foi fechada</v>
      </c>
      <c r="G86" s="38" t="str">
        <f>RTD("rtdtrading.rtdserver",, "T&amp;T1", "DAT", 78)</f>
        <v>A janela foi fechada</v>
      </c>
      <c r="H86" s="39" t="str">
        <f>RTD("rtdtrading.rtdserver",, "T&amp;T1", "PRE", 78)</f>
        <v>A janela foi fechada</v>
      </c>
      <c r="I86" s="40" t="str">
        <f>RTD("rtdtrading.rtdserver",, "T&amp;T1", "QUL", 78)</f>
        <v>A janela foi fechada</v>
      </c>
      <c r="J86" s="41" t="str">
        <f>RTD("rtdtrading.rtdserver",, "T&amp;T1", "AGR", 78)</f>
        <v>A janela foi fechada</v>
      </c>
    </row>
    <row r="87" spans="1:10" x14ac:dyDescent="0.25">
      <c r="A87" s="46" t="str">
        <f>RTD("rtdtrading.rtdserver",, "T&amp;T2", "DAT", 79)</f>
        <v>A janela foi fechada</v>
      </c>
      <c r="B87" s="29" t="str">
        <f>RTD("rtdtrading.rtdserver",, "T&amp;T2", "PRE", 79)</f>
        <v>A janela foi fechada</v>
      </c>
      <c r="C87" s="30" t="str">
        <f>RTD("rtdtrading.rtdserver",, "T&amp;T2", "QUL", 79)</f>
        <v>A janela foi fechada</v>
      </c>
      <c r="D87" s="30" t="str">
        <f>RTD("rtdtrading.rtdserver",, "T&amp;T2", "AGR", 79)</f>
        <v>A janela foi fechada</v>
      </c>
      <c r="G87" s="38" t="str">
        <f>RTD("rtdtrading.rtdserver",, "T&amp;T1", "DAT", 79)</f>
        <v>A janela foi fechada</v>
      </c>
      <c r="H87" s="39" t="str">
        <f>RTD("rtdtrading.rtdserver",, "T&amp;T1", "PRE", 79)</f>
        <v>A janela foi fechada</v>
      </c>
      <c r="I87" s="40" t="str">
        <f>RTD("rtdtrading.rtdserver",, "T&amp;T1", "QUL", 79)</f>
        <v>A janela foi fechada</v>
      </c>
      <c r="J87" s="41" t="str">
        <f>RTD("rtdtrading.rtdserver",, "T&amp;T1", "AGR", 79)</f>
        <v>A janela foi fechada</v>
      </c>
    </row>
    <row r="88" spans="1:10" x14ac:dyDescent="0.25">
      <c r="A88" s="46" t="str">
        <f>RTD("rtdtrading.rtdserver",, "T&amp;T2", "DAT", 80)</f>
        <v>A janela foi fechada</v>
      </c>
      <c r="B88" s="29" t="str">
        <f>RTD("rtdtrading.rtdserver",, "T&amp;T2", "PRE", 80)</f>
        <v>A janela foi fechada</v>
      </c>
      <c r="C88" s="30" t="str">
        <f>RTD("rtdtrading.rtdserver",, "T&amp;T2", "QUL", 80)</f>
        <v>A janela foi fechada</v>
      </c>
      <c r="D88" s="30" t="str">
        <f>RTD("rtdtrading.rtdserver",, "T&amp;T2", "AGR", 80)</f>
        <v>A janela foi fechada</v>
      </c>
      <c r="G88" s="38" t="str">
        <f>RTD("rtdtrading.rtdserver",, "T&amp;T1", "DAT", 80)</f>
        <v>A janela foi fechada</v>
      </c>
      <c r="H88" s="39" t="str">
        <f>RTD("rtdtrading.rtdserver",, "T&amp;T1", "PRE", 80)</f>
        <v>A janela foi fechada</v>
      </c>
      <c r="I88" s="40" t="str">
        <f>RTD("rtdtrading.rtdserver",, "T&amp;T1", "QUL", 80)</f>
        <v>A janela foi fechada</v>
      </c>
      <c r="J88" s="41" t="str">
        <f>RTD("rtdtrading.rtdserver",, "T&amp;T1", "AGR", 80)</f>
        <v>A janela foi fechada</v>
      </c>
    </row>
    <row r="89" spans="1:10" x14ac:dyDescent="0.25">
      <c r="A89" s="46" t="str">
        <f>RTD("rtdtrading.rtdserver",, "T&amp;T2", "DAT", 81)</f>
        <v>A janela foi fechada</v>
      </c>
      <c r="B89" s="29" t="str">
        <f>RTD("rtdtrading.rtdserver",, "T&amp;T2", "PRE", 81)</f>
        <v>A janela foi fechada</v>
      </c>
      <c r="C89" s="30" t="str">
        <f>RTD("rtdtrading.rtdserver",, "T&amp;T2", "QUL", 81)</f>
        <v>A janela foi fechada</v>
      </c>
      <c r="D89" s="30" t="str">
        <f>RTD("rtdtrading.rtdserver",, "T&amp;T2", "AGR", 81)</f>
        <v>A janela foi fechada</v>
      </c>
      <c r="G89" s="38" t="str">
        <f>RTD("rtdtrading.rtdserver",, "T&amp;T1", "DAT", 81)</f>
        <v>A janela foi fechada</v>
      </c>
      <c r="H89" s="39" t="str">
        <f>RTD("rtdtrading.rtdserver",, "T&amp;T1", "PRE", 81)</f>
        <v>A janela foi fechada</v>
      </c>
      <c r="I89" s="40" t="str">
        <f>RTD("rtdtrading.rtdserver",, "T&amp;T1", "QUL", 81)</f>
        <v>A janela foi fechada</v>
      </c>
      <c r="J89" s="41" t="str">
        <f>RTD("rtdtrading.rtdserver",, "T&amp;T1", "AGR", 81)</f>
        <v>A janela foi fechada</v>
      </c>
    </row>
    <row r="90" spans="1:10" x14ac:dyDescent="0.25">
      <c r="A90" s="46" t="str">
        <f>RTD("rtdtrading.rtdserver",, "T&amp;T2", "DAT", 82)</f>
        <v>A janela foi fechada</v>
      </c>
      <c r="B90" s="29" t="str">
        <f>RTD("rtdtrading.rtdserver",, "T&amp;T2", "PRE", 82)</f>
        <v>A janela foi fechada</v>
      </c>
      <c r="C90" s="30" t="str">
        <f>RTD("rtdtrading.rtdserver",, "T&amp;T2", "QUL", 82)</f>
        <v>A janela foi fechada</v>
      </c>
      <c r="D90" s="30" t="str">
        <f>RTD("rtdtrading.rtdserver",, "T&amp;T2", "AGR", 82)</f>
        <v>A janela foi fechada</v>
      </c>
      <c r="G90" s="38" t="str">
        <f>RTD("rtdtrading.rtdserver",, "T&amp;T1", "DAT", 82)</f>
        <v>A janela foi fechada</v>
      </c>
      <c r="H90" s="39" t="str">
        <f>RTD("rtdtrading.rtdserver",, "T&amp;T1", "PRE", 82)</f>
        <v>A janela foi fechada</v>
      </c>
      <c r="I90" s="40" t="str">
        <f>RTD("rtdtrading.rtdserver",, "T&amp;T1", "QUL", 82)</f>
        <v>A janela foi fechada</v>
      </c>
      <c r="J90" s="41" t="str">
        <f>RTD("rtdtrading.rtdserver",, "T&amp;T1", "AGR", 82)</f>
        <v>A janela foi fechada</v>
      </c>
    </row>
    <row r="91" spans="1:10" x14ac:dyDescent="0.25">
      <c r="A91" s="46" t="str">
        <f>RTD("rtdtrading.rtdserver",, "T&amp;T2", "DAT", 83)</f>
        <v>A janela foi fechada</v>
      </c>
      <c r="B91" s="29" t="str">
        <f>RTD("rtdtrading.rtdserver",, "T&amp;T2", "PRE", 83)</f>
        <v>A janela foi fechada</v>
      </c>
      <c r="C91" s="30" t="str">
        <f>RTD("rtdtrading.rtdserver",, "T&amp;T2", "QUL", 83)</f>
        <v>A janela foi fechada</v>
      </c>
      <c r="D91" s="30" t="str">
        <f>RTD("rtdtrading.rtdserver",, "T&amp;T2", "AGR", 83)</f>
        <v>A janela foi fechada</v>
      </c>
      <c r="G91" s="38" t="str">
        <f>RTD("rtdtrading.rtdserver",, "T&amp;T1", "DAT", 83)</f>
        <v>A janela foi fechada</v>
      </c>
      <c r="H91" s="39" t="str">
        <f>RTD("rtdtrading.rtdserver",, "T&amp;T1", "PRE", 83)</f>
        <v>A janela foi fechada</v>
      </c>
      <c r="I91" s="40" t="str">
        <f>RTD("rtdtrading.rtdserver",, "T&amp;T1", "QUL", 83)</f>
        <v>A janela foi fechada</v>
      </c>
      <c r="J91" s="41" t="str">
        <f>RTD("rtdtrading.rtdserver",, "T&amp;T1", "AGR", 83)</f>
        <v>A janela foi fechada</v>
      </c>
    </row>
    <row r="92" spans="1:10" x14ac:dyDescent="0.25">
      <c r="A92" s="46" t="str">
        <f>RTD("rtdtrading.rtdserver",, "T&amp;T2", "DAT", 84)</f>
        <v>A janela foi fechada</v>
      </c>
      <c r="B92" s="29" t="str">
        <f>RTD("rtdtrading.rtdserver",, "T&amp;T2", "PRE", 84)</f>
        <v>A janela foi fechada</v>
      </c>
      <c r="C92" s="30" t="str">
        <f>RTD("rtdtrading.rtdserver",, "T&amp;T2", "QUL", 84)</f>
        <v>A janela foi fechada</v>
      </c>
      <c r="D92" s="30" t="str">
        <f>RTD("rtdtrading.rtdserver",, "T&amp;T2", "AGR", 84)</f>
        <v>A janela foi fechada</v>
      </c>
      <c r="G92" s="38" t="str">
        <f>RTD("rtdtrading.rtdserver",, "T&amp;T1", "DAT", 84)</f>
        <v>A janela foi fechada</v>
      </c>
      <c r="H92" s="39" t="str">
        <f>RTD("rtdtrading.rtdserver",, "T&amp;T1", "PRE", 84)</f>
        <v>A janela foi fechada</v>
      </c>
      <c r="I92" s="40" t="str">
        <f>RTD("rtdtrading.rtdserver",, "T&amp;T1", "QUL", 84)</f>
        <v>A janela foi fechada</v>
      </c>
      <c r="J92" s="41" t="str">
        <f>RTD("rtdtrading.rtdserver",, "T&amp;T1", "AGR", 84)</f>
        <v>A janela foi fechada</v>
      </c>
    </row>
    <row r="93" spans="1:10" x14ac:dyDescent="0.25">
      <c r="A93" s="46" t="str">
        <f>RTD("rtdtrading.rtdserver",, "T&amp;T2", "DAT", 85)</f>
        <v>A janela foi fechada</v>
      </c>
      <c r="B93" s="29" t="str">
        <f>RTD("rtdtrading.rtdserver",, "T&amp;T2", "PRE", 85)</f>
        <v>A janela foi fechada</v>
      </c>
      <c r="C93" s="30" t="str">
        <f>RTD("rtdtrading.rtdserver",, "T&amp;T2", "QUL", 85)</f>
        <v>A janela foi fechada</v>
      </c>
      <c r="D93" s="30" t="str">
        <f>RTD("rtdtrading.rtdserver",, "T&amp;T2", "AGR", 85)</f>
        <v>A janela foi fechada</v>
      </c>
      <c r="G93" s="38" t="str">
        <f>RTD("rtdtrading.rtdserver",, "T&amp;T1", "DAT", 85)</f>
        <v>A janela foi fechada</v>
      </c>
      <c r="H93" s="39" t="str">
        <f>RTD("rtdtrading.rtdserver",, "T&amp;T1", "PRE", 85)</f>
        <v>A janela foi fechada</v>
      </c>
      <c r="I93" s="40" t="str">
        <f>RTD("rtdtrading.rtdserver",, "T&amp;T1", "QUL", 85)</f>
        <v>A janela foi fechada</v>
      </c>
      <c r="J93" s="41" t="str">
        <f>RTD("rtdtrading.rtdserver",, "T&amp;T1", "AGR", 85)</f>
        <v>A janela foi fechada</v>
      </c>
    </row>
    <row r="94" spans="1:10" x14ac:dyDescent="0.25">
      <c r="A94" s="46" t="str">
        <f>RTD("rtdtrading.rtdserver",, "T&amp;T2", "DAT", 86)</f>
        <v>A janela foi fechada</v>
      </c>
      <c r="B94" s="29" t="str">
        <f>RTD("rtdtrading.rtdserver",, "T&amp;T2", "PRE", 86)</f>
        <v>A janela foi fechada</v>
      </c>
      <c r="C94" s="30" t="str">
        <f>RTD("rtdtrading.rtdserver",, "T&amp;T2", "QUL", 86)</f>
        <v>A janela foi fechada</v>
      </c>
      <c r="D94" s="30" t="str">
        <f>RTD("rtdtrading.rtdserver",, "T&amp;T2", "AGR", 86)</f>
        <v>A janela foi fechada</v>
      </c>
      <c r="G94" s="38" t="str">
        <f>RTD("rtdtrading.rtdserver",, "T&amp;T1", "DAT", 86)</f>
        <v>A janela foi fechada</v>
      </c>
      <c r="H94" s="39" t="str">
        <f>RTD("rtdtrading.rtdserver",, "T&amp;T1", "PRE", 86)</f>
        <v>A janela foi fechada</v>
      </c>
      <c r="I94" s="40" t="str">
        <f>RTD("rtdtrading.rtdserver",, "T&amp;T1", "QUL", 86)</f>
        <v>A janela foi fechada</v>
      </c>
      <c r="J94" s="41" t="str">
        <f>RTD("rtdtrading.rtdserver",, "T&amp;T1", "AGR", 86)</f>
        <v>A janela foi fechada</v>
      </c>
    </row>
    <row r="95" spans="1:10" x14ac:dyDescent="0.25">
      <c r="A95" s="46" t="str">
        <f>RTD("rtdtrading.rtdserver",, "T&amp;T2", "DAT", 87)</f>
        <v>A janela foi fechada</v>
      </c>
      <c r="B95" s="29" t="str">
        <f>RTD("rtdtrading.rtdserver",, "T&amp;T2", "PRE", 87)</f>
        <v>A janela foi fechada</v>
      </c>
      <c r="C95" s="30" t="str">
        <f>RTD("rtdtrading.rtdserver",, "T&amp;T2", "QUL", 87)</f>
        <v>A janela foi fechada</v>
      </c>
      <c r="D95" s="30" t="str">
        <f>RTD("rtdtrading.rtdserver",, "T&amp;T2", "AGR", 87)</f>
        <v>A janela foi fechada</v>
      </c>
      <c r="G95" s="38" t="str">
        <f>RTD("rtdtrading.rtdserver",, "T&amp;T1", "DAT", 87)</f>
        <v>A janela foi fechada</v>
      </c>
      <c r="H95" s="39" t="str">
        <f>RTD("rtdtrading.rtdserver",, "T&amp;T1", "PRE", 87)</f>
        <v>A janela foi fechada</v>
      </c>
      <c r="I95" s="40" t="str">
        <f>RTD("rtdtrading.rtdserver",, "T&amp;T1", "QUL", 87)</f>
        <v>A janela foi fechada</v>
      </c>
      <c r="J95" s="41" t="str">
        <f>RTD("rtdtrading.rtdserver",, "T&amp;T1", "AGR", 87)</f>
        <v>A janela foi fechada</v>
      </c>
    </row>
    <row r="96" spans="1:10" x14ac:dyDescent="0.25">
      <c r="A96" s="46" t="str">
        <f>RTD("rtdtrading.rtdserver",, "T&amp;T2", "DAT", 88)</f>
        <v>A janela foi fechada</v>
      </c>
      <c r="B96" s="29" t="str">
        <f>RTD("rtdtrading.rtdserver",, "T&amp;T2", "PRE", 88)</f>
        <v>A janela foi fechada</v>
      </c>
      <c r="C96" s="30" t="str">
        <f>RTD("rtdtrading.rtdserver",, "T&amp;T2", "QUL", 88)</f>
        <v>A janela foi fechada</v>
      </c>
      <c r="D96" s="30" t="str">
        <f>RTD("rtdtrading.rtdserver",, "T&amp;T2", "AGR", 88)</f>
        <v>A janela foi fechada</v>
      </c>
      <c r="G96" s="38" t="str">
        <f>RTD("rtdtrading.rtdserver",, "T&amp;T1", "DAT", 88)</f>
        <v>A janela foi fechada</v>
      </c>
      <c r="H96" s="39" t="str">
        <f>RTD("rtdtrading.rtdserver",, "T&amp;T1", "PRE", 88)</f>
        <v>A janela foi fechada</v>
      </c>
      <c r="I96" s="40" t="str">
        <f>RTD("rtdtrading.rtdserver",, "T&amp;T1", "QUL", 88)</f>
        <v>A janela foi fechada</v>
      </c>
      <c r="J96" s="41" t="str">
        <f>RTD("rtdtrading.rtdserver",, "T&amp;T1", "AGR", 88)</f>
        <v>A janela foi fechada</v>
      </c>
    </row>
    <row r="97" spans="1:10" x14ac:dyDescent="0.25">
      <c r="A97" s="46" t="str">
        <f>RTD("rtdtrading.rtdserver",, "T&amp;T2", "DAT", 89)</f>
        <v>A janela foi fechada</v>
      </c>
      <c r="B97" s="29" t="str">
        <f>RTD("rtdtrading.rtdserver",, "T&amp;T2", "PRE", 89)</f>
        <v>A janela foi fechada</v>
      </c>
      <c r="C97" s="30" t="str">
        <f>RTD("rtdtrading.rtdserver",, "T&amp;T2", "QUL", 89)</f>
        <v>A janela foi fechada</v>
      </c>
      <c r="D97" s="30" t="str">
        <f>RTD("rtdtrading.rtdserver",, "T&amp;T2", "AGR", 89)</f>
        <v>A janela foi fechada</v>
      </c>
      <c r="G97" s="38" t="str">
        <f>RTD("rtdtrading.rtdserver",, "T&amp;T1", "DAT", 89)</f>
        <v>A janela foi fechada</v>
      </c>
      <c r="H97" s="39" t="str">
        <f>RTD("rtdtrading.rtdserver",, "T&amp;T1", "PRE", 89)</f>
        <v>A janela foi fechada</v>
      </c>
      <c r="I97" s="40" t="str">
        <f>RTD("rtdtrading.rtdserver",, "T&amp;T1", "QUL", 89)</f>
        <v>A janela foi fechada</v>
      </c>
      <c r="J97" s="41" t="str">
        <f>RTD("rtdtrading.rtdserver",, "T&amp;T1", "AGR", 89)</f>
        <v>A janela foi fechada</v>
      </c>
    </row>
    <row r="98" spans="1:10" x14ac:dyDescent="0.25">
      <c r="A98" s="46" t="str">
        <f>RTD("rtdtrading.rtdserver",, "T&amp;T2", "DAT", 90)</f>
        <v>A janela foi fechada</v>
      </c>
      <c r="B98" s="29" t="str">
        <f>RTD("rtdtrading.rtdserver",, "T&amp;T2", "PRE", 90)</f>
        <v>A janela foi fechada</v>
      </c>
      <c r="C98" s="30" t="str">
        <f>RTD("rtdtrading.rtdserver",, "T&amp;T2", "QUL", 90)</f>
        <v>A janela foi fechada</v>
      </c>
      <c r="D98" s="30" t="str">
        <f>RTD("rtdtrading.rtdserver",, "T&amp;T2", "AGR", 90)</f>
        <v>A janela foi fechada</v>
      </c>
      <c r="G98" s="38" t="str">
        <f>RTD("rtdtrading.rtdserver",, "T&amp;T1", "DAT", 90)</f>
        <v>A janela foi fechada</v>
      </c>
      <c r="H98" s="39" t="str">
        <f>RTD("rtdtrading.rtdserver",, "T&amp;T1", "PRE", 90)</f>
        <v>A janela foi fechada</v>
      </c>
      <c r="I98" s="40" t="str">
        <f>RTD("rtdtrading.rtdserver",, "T&amp;T1", "QUL", 90)</f>
        <v>A janela foi fechada</v>
      </c>
      <c r="J98" s="41" t="str">
        <f>RTD("rtdtrading.rtdserver",, "T&amp;T1", "AGR", 90)</f>
        <v>A janela foi fechada</v>
      </c>
    </row>
    <row r="99" spans="1:10" x14ac:dyDescent="0.25">
      <c r="A99" s="46" t="str">
        <f>RTD("rtdtrading.rtdserver",, "T&amp;T2", "DAT", 91)</f>
        <v>A janela foi fechada</v>
      </c>
      <c r="B99" s="29" t="str">
        <f>RTD("rtdtrading.rtdserver",, "T&amp;T2", "PRE", 91)</f>
        <v>A janela foi fechada</v>
      </c>
      <c r="C99" s="30" t="str">
        <f>RTD("rtdtrading.rtdserver",, "T&amp;T2", "QUL", 91)</f>
        <v>A janela foi fechada</v>
      </c>
      <c r="D99" s="30" t="str">
        <f>RTD("rtdtrading.rtdserver",, "T&amp;T2", "AGR", 91)</f>
        <v>A janela foi fechada</v>
      </c>
      <c r="G99" s="38" t="str">
        <f>RTD("rtdtrading.rtdserver",, "T&amp;T1", "DAT", 91)</f>
        <v>A janela foi fechada</v>
      </c>
      <c r="H99" s="39" t="str">
        <f>RTD("rtdtrading.rtdserver",, "T&amp;T1", "PRE", 91)</f>
        <v>A janela foi fechada</v>
      </c>
      <c r="I99" s="40" t="str">
        <f>RTD("rtdtrading.rtdserver",, "T&amp;T1", "QUL", 91)</f>
        <v>A janela foi fechada</v>
      </c>
      <c r="J99" s="41" t="str">
        <f>RTD("rtdtrading.rtdserver",, "T&amp;T1", "AGR", 91)</f>
        <v>A janela foi fechada</v>
      </c>
    </row>
    <row r="100" spans="1:10" x14ac:dyDescent="0.25">
      <c r="A100" s="46" t="str">
        <f>RTD("rtdtrading.rtdserver",, "T&amp;T2", "DAT", 92)</f>
        <v>A janela foi fechada</v>
      </c>
      <c r="B100" s="29" t="str">
        <f>RTD("rtdtrading.rtdserver",, "T&amp;T2", "PRE", 92)</f>
        <v>A janela foi fechada</v>
      </c>
      <c r="C100" s="30" t="str">
        <f>RTD("rtdtrading.rtdserver",, "T&amp;T2", "QUL", 92)</f>
        <v>A janela foi fechada</v>
      </c>
      <c r="D100" s="30" t="str">
        <f>RTD("rtdtrading.rtdserver",, "T&amp;T2", "AGR", 92)</f>
        <v>A janela foi fechada</v>
      </c>
      <c r="G100" s="38" t="str">
        <f>RTD("rtdtrading.rtdserver",, "T&amp;T1", "DAT", 92)</f>
        <v>A janela foi fechada</v>
      </c>
      <c r="H100" s="39" t="str">
        <f>RTD("rtdtrading.rtdserver",, "T&amp;T1", "PRE", 92)</f>
        <v>A janela foi fechada</v>
      </c>
      <c r="I100" s="40" t="str">
        <f>RTD("rtdtrading.rtdserver",, "T&amp;T1", "QUL", 92)</f>
        <v>A janela foi fechada</v>
      </c>
      <c r="J100" s="41" t="str">
        <f>RTD("rtdtrading.rtdserver",, "T&amp;T1", "AGR", 92)</f>
        <v>A janela foi fechada</v>
      </c>
    </row>
    <row r="101" spans="1:10" x14ac:dyDescent="0.25">
      <c r="A101" s="46" t="str">
        <f>RTD("rtdtrading.rtdserver",, "T&amp;T2", "DAT", 93)</f>
        <v>A janela foi fechada</v>
      </c>
      <c r="B101" s="29" t="str">
        <f>RTD("rtdtrading.rtdserver",, "T&amp;T2", "PRE", 93)</f>
        <v>A janela foi fechada</v>
      </c>
      <c r="C101" s="30" t="str">
        <f>RTD("rtdtrading.rtdserver",, "T&amp;T2", "QUL", 93)</f>
        <v>A janela foi fechada</v>
      </c>
      <c r="D101" s="30" t="str">
        <f>RTD("rtdtrading.rtdserver",, "T&amp;T2", "AGR", 93)</f>
        <v>A janela foi fechada</v>
      </c>
      <c r="G101" s="38" t="str">
        <f>RTD("rtdtrading.rtdserver",, "T&amp;T1", "DAT", 93)</f>
        <v>A janela foi fechada</v>
      </c>
      <c r="H101" s="39" t="str">
        <f>RTD("rtdtrading.rtdserver",, "T&amp;T1", "PRE", 93)</f>
        <v>A janela foi fechada</v>
      </c>
      <c r="I101" s="40" t="str">
        <f>RTD("rtdtrading.rtdserver",, "T&amp;T1", "QUL", 93)</f>
        <v>A janela foi fechada</v>
      </c>
      <c r="J101" s="41" t="str">
        <f>RTD("rtdtrading.rtdserver",, "T&amp;T1", "AGR", 93)</f>
        <v>A janela foi fechada</v>
      </c>
    </row>
    <row r="102" spans="1:10" x14ac:dyDescent="0.25">
      <c r="A102" s="46" t="str">
        <f>RTD("rtdtrading.rtdserver",, "T&amp;T2", "DAT", 94)</f>
        <v>A janela foi fechada</v>
      </c>
      <c r="B102" s="29" t="str">
        <f>RTD("rtdtrading.rtdserver",, "T&amp;T2", "PRE", 94)</f>
        <v>A janela foi fechada</v>
      </c>
      <c r="C102" s="30" t="str">
        <f>RTD("rtdtrading.rtdserver",, "T&amp;T2", "QUL", 94)</f>
        <v>A janela foi fechada</v>
      </c>
      <c r="D102" s="30" t="str">
        <f>RTD("rtdtrading.rtdserver",, "T&amp;T2", "AGR", 94)</f>
        <v>A janela foi fechada</v>
      </c>
      <c r="G102" s="38" t="str">
        <f>RTD("rtdtrading.rtdserver",, "T&amp;T1", "DAT", 94)</f>
        <v>A janela foi fechada</v>
      </c>
      <c r="H102" s="39" t="str">
        <f>RTD("rtdtrading.rtdserver",, "T&amp;T1", "PRE", 94)</f>
        <v>A janela foi fechada</v>
      </c>
      <c r="I102" s="40" t="str">
        <f>RTD("rtdtrading.rtdserver",, "T&amp;T1", "QUL", 94)</f>
        <v>A janela foi fechada</v>
      </c>
      <c r="J102" s="41" t="str">
        <f>RTD("rtdtrading.rtdserver",, "T&amp;T1", "AGR", 94)</f>
        <v>A janela foi fechada</v>
      </c>
    </row>
    <row r="103" spans="1:10" x14ac:dyDescent="0.25">
      <c r="A103" s="46" t="str">
        <f>RTD("rtdtrading.rtdserver",, "T&amp;T2", "DAT", 95)</f>
        <v>A janela foi fechada</v>
      </c>
      <c r="B103" s="29" t="str">
        <f>RTD("rtdtrading.rtdserver",, "T&amp;T2", "PRE", 95)</f>
        <v>A janela foi fechada</v>
      </c>
      <c r="C103" s="30" t="str">
        <f>RTD("rtdtrading.rtdserver",, "T&amp;T2", "QUL", 95)</f>
        <v>A janela foi fechada</v>
      </c>
      <c r="D103" s="30" t="str">
        <f>RTD("rtdtrading.rtdserver",, "T&amp;T2", "AGR", 95)</f>
        <v>A janela foi fechada</v>
      </c>
      <c r="G103" s="38" t="str">
        <f>RTD("rtdtrading.rtdserver",, "T&amp;T1", "DAT", 95)</f>
        <v>A janela foi fechada</v>
      </c>
      <c r="H103" s="39" t="str">
        <f>RTD("rtdtrading.rtdserver",, "T&amp;T1", "PRE", 95)</f>
        <v>A janela foi fechada</v>
      </c>
      <c r="I103" s="40" t="str">
        <f>RTD("rtdtrading.rtdserver",, "T&amp;T1", "QUL", 95)</f>
        <v>A janela foi fechada</v>
      </c>
      <c r="J103" s="41" t="str">
        <f>RTD("rtdtrading.rtdserver",, "T&amp;T1", "AGR", 95)</f>
        <v>A janela foi fechada</v>
      </c>
    </row>
    <row r="104" spans="1:10" x14ac:dyDescent="0.25">
      <c r="A104" s="46" t="str">
        <f>RTD("rtdtrading.rtdserver",, "T&amp;T2", "DAT", 96)</f>
        <v>A janela foi fechada</v>
      </c>
      <c r="B104" s="29" t="str">
        <f>RTD("rtdtrading.rtdserver",, "T&amp;T2", "PRE", 96)</f>
        <v>A janela foi fechada</v>
      </c>
      <c r="C104" s="30" t="str">
        <f>RTD("rtdtrading.rtdserver",, "T&amp;T2", "QUL", 96)</f>
        <v>A janela foi fechada</v>
      </c>
      <c r="D104" s="30" t="str">
        <f>RTD("rtdtrading.rtdserver",, "T&amp;T2", "AGR", 96)</f>
        <v>A janela foi fechada</v>
      </c>
      <c r="G104" s="38" t="str">
        <f>RTD("rtdtrading.rtdserver",, "T&amp;T1", "DAT", 96)</f>
        <v>A janela foi fechada</v>
      </c>
      <c r="H104" s="39" t="str">
        <f>RTD("rtdtrading.rtdserver",, "T&amp;T1", "PRE", 96)</f>
        <v>A janela foi fechada</v>
      </c>
      <c r="I104" s="40" t="str">
        <f>RTD("rtdtrading.rtdserver",, "T&amp;T1", "QUL", 96)</f>
        <v>A janela foi fechada</v>
      </c>
      <c r="J104" s="41" t="str">
        <f>RTD("rtdtrading.rtdserver",, "T&amp;T1", "AGR", 96)</f>
        <v>A janela foi fechada</v>
      </c>
    </row>
    <row r="105" spans="1:10" x14ac:dyDescent="0.25">
      <c r="A105" s="46" t="str">
        <f>RTD("rtdtrading.rtdserver",, "T&amp;T2", "DAT", 97)</f>
        <v>A janela foi fechada</v>
      </c>
      <c r="B105" s="29" t="str">
        <f>RTD("rtdtrading.rtdserver",, "T&amp;T2", "PRE", 97)</f>
        <v>A janela foi fechada</v>
      </c>
      <c r="C105" s="30" t="str">
        <f>RTD("rtdtrading.rtdserver",, "T&amp;T2", "QUL", 97)</f>
        <v>A janela foi fechada</v>
      </c>
      <c r="D105" s="30" t="str">
        <f>RTD("rtdtrading.rtdserver",, "T&amp;T2", "AGR", 97)</f>
        <v>A janela foi fechada</v>
      </c>
      <c r="G105" s="38" t="str">
        <f>RTD("rtdtrading.rtdserver",, "T&amp;T1", "DAT", 97)</f>
        <v>A janela foi fechada</v>
      </c>
      <c r="H105" s="39" t="str">
        <f>RTD("rtdtrading.rtdserver",, "T&amp;T1", "PRE", 97)</f>
        <v>A janela foi fechada</v>
      </c>
      <c r="I105" s="40" t="str">
        <f>RTD("rtdtrading.rtdserver",, "T&amp;T1", "QUL", 97)</f>
        <v>A janela foi fechada</v>
      </c>
      <c r="J105" s="41" t="str">
        <f>RTD("rtdtrading.rtdserver",, "T&amp;T1", "AGR", 97)</f>
        <v>A janela foi fechada</v>
      </c>
    </row>
    <row r="106" spans="1:10" x14ac:dyDescent="0.25">
      <c r="A106" s="46" t="str">
        <f>RTD("rtdtrading.rtdserver",, "T&amp;T2", "DAT", 98)</f>
        <v>A janela foi fechada</v>
      </c>
      <c r="B106" s="29" t="str">
        <f>RTD("rtdtrading.rtdserver",, "T&amp;T2", "PRE", 98)</f>
        <v>A janela foi fechada</v>
      </c>
      <c r="C106" s="30" t="str">
        <f>RTD("rtdtrading.rtdserver",, "T&amp;T2", "QUL", 98)</f>
        <v>A janela foi fechada</v>
      </c>
      <c r="D106" s="30" t="str">
        <f>RTD("rtdtrading.rtdserver",, "T&amp;T2", "AGR", 98)</f>
        <v>A janela foi fechada</v>
      </c>
      <c r="G106" s="38" t="str">
        <f>RTD("rtdtrading.rtdserver",, "T&amp;T1", "DAT", 98)</f>
        <v>A janela foi fechada</v>
      </c>
      <c r="H106" s="39" t="str">
        <f>RTD("rtdtrading.rtdserver",, "T&amp;T1", "PRE", 98)</f>
        <v>A janela foi fechada</v>
      </c>
      <c r="I106" s="40" t="str">
        <f>RTD("rtdtrading.rtdserver",, "T&amp;T1", "QUL", 98)</f>
        <v>A janela foi fechada</v>
      </c>
      <c r="J106" s="41" t="str">
        <f>RTD("rtdtrading.rtdserver",, "T&amp;T1", "AGR", 98)</f>
        <v>A janela foi fechada</v>
      </c>
    </row>
    <row r="107" spans="1:10" x14ac:dyDescent="0.25">
      <c r="A107" s="46" t="str">
        <f>RTD("rtdtrading.rtdserver",, "T&amp;T2", "DAT", 99)</f>
        <v>A janela foi fechada</v>
      </c>
      <c r="B107" s="29" t="str">
        <f>RTD("rtdtrading.rtdserver",, "T&amp;T2", "PRE", 99)</f>
        <v>A janela foi fechada</v>
      </c>
      <c r="C107" s="30" t="str">
        <f>RTD("rtdtrading.rtdserver",, "T&amp;T2", "QUL", 99)</f>
        <v>A janela foi fechada</v>
      </c>
      <c r="D107" s="30" t="str">
        <f>RTD("rtdtrading.rtdserver",, "T&amp;T2", "AGR", 99)</f>
        <v>A janela foi fechada</v>
      </c>
      <c r="G107" s="38" t="str">
        <f>RTD("rtdtrading.rtdserver",, "T&amp;T1", "DAT", 99)</f>
        <v>A janela foi fechada</v>
      </c>
      <c r="H107" s="39" t="str">
        <f>RTD("rtdtrading.rtdserver",, "T&amp;T1", "PRE", 99)</f>
        <v>A janela foi fechada</v>
      </c>
      <c r="I107" s="40" t="str">
        <f>RTD("rtdtrading.rtdserver",, "T&amp;T1", "QUL", 99)</f>
        <v>A janela foi fechada</v>
      </c>
      <c r="J107" s="41" t="str">
        <f>RTD("rtdtrading.rtdserver",, "T&amp;T1", "AGR", 99)</f>
        <v>A janela foi fechada</v>
      </c>
    </row>
    <row r="108" spans="1:10" x14ac:dyDescent="0.25">
      <c r="A108" s="46" t="str">
        <f>RTD("rtdtrading.rtdserver",, "T&amp;T2", "DAT", 100)</f>
        <v>A janela foi fechada</v>
      </c>
      <c r="B108" s="29" t="str">
        <f>RTD("rtdtrading.rtdserver",, "T&amp;T2", "PRE", 100)</f>
        <v>A janela foi fechada</v>
      </c>
      <c r="C108" s="30" t="str">
        <f>RTD("rtdtrading.rtdserver",, "T&amp;T2", "QUL", 100)</f>
        <v>A janela foi fechada</v>
      </c>
      <c r="D108" s="30" t="str">
        <f>RTD("rtdtrading.rtdserver",, "T&amp;T2", "AGR", 100)</f>
        <v>A janela foi fechada</v>
      </c>
      <c r="G108" s="38" t="str">
        <f>RTD("rtdtrading.rtdserver",, "T&amp;T1", "DAT", 100)</f>
        <v>A janela foi fechada</v>
      </c>
      <c r="H108" s="39" t="str">
        <f>RTD("rtdtrading.rtdserver",, "T&amp;T1", "PRE", 100)</f>
        <v>A janela foi fechada</v>
      </c>
      <c r="I108" s="40" t="str">
        <f>RTD("rtdtrading.rtdserver",, "T&amp;T1", "QUL", 100)</f>
        <v>A janela foi fechada</v>
      </c>
      <c r="J108" s="41" t="str">
        <f>RTD("rtdtrading.rtdserver",, "T&amp;T1", "AGR", 100)</f>
        <v>A janela foi fechada</v>
      </c>
    </row>
    <row r="109" spans="1:10" x14ac:dyDescent="0.25">
      <c r="A109" s="46" t="str">
        <f>RTD("rtdtrading.rtdserver",, "T&amp;T2", "DAT", 101)</f>
        <v>A janela foi fechada</v>
      </c>
      <c r="B109" s="29" t="str">
        <f>RTD("rtdtrading.rtdserver",, "T&amp;T2", "PRE", 101)</f>
        <v>A janela foi fechada</v>
      </c>
      <c r="C109" s="30" t="str">
        <f>RTD("rtdtrading.rtdserver",, "T&amp;T2", "QUL", 101)</f>
        <v>A janela foi fechada</v>
      </c>
      <c r="D109" s="30" t="str">
        <f>RTD("rtdtrading.rtdserver",, "T&amp;T2", "AGR", 101)</f>
        <v>A janela foi fechada</v>
      </c>
      <c r="G109" s="38" t="str">
        <f>RTD("rtdtrading.rtdserver",, "T&amp;T1", "DAT", 101)</f>
        <v>A janela foi fechada</v>
      </c>
      <c r="H109" s="39" t="str">
        <f>RTD("rtdtrading.rtdserver",, "T&amp;T1", "PRE", 101)</f>
        <v>A janela foi fechada</v>
      </c>
      <c r="I109" s="40" t="str">
        <f>RTD("rtdtrading.rtdserver",, "T&amp;T1", "QUL", 101)</f>
        <v>A janela foi fechada</v>
      </c>
      <c r="J109" s="41" t="str">
        <f>RTD("rtdtrading.rtdserver",, "T&amp;T1", "AGR", 101)</f>
        <v>A janela foi fechada</v>
      </c>
    </row>
    <row r="110" spans="1:10" x14ac:dyDescent="0.25">
      <c r="A110" s="46" t="str">
        <f>RTD("rtdtrading.rtdserver",, "T&amp;T2", "DAT", 102)</f>
        <v>A janela foi fechada</v>
      </c>
      <c r="B110" s="29" t="str">
        <f>RTD("rtdtrading.rtdserver",, "T&amp;T2", "PRE", 102)</f>
        <v>A janela foi fechada</v>
      </c>
      <c r="C110" s="30" t="str">
        <f>RTD("rtdtrading.rtdserver",, "T&amp;T2", "QUL", 102)</f>
        <v>A janela foi fechada</v>
      </c>
      <c r="D110" s="30" t="str">
        <f>RTD("rtdtrading.rtdserver",, "T&amp;T2", "AGR", 102)</f>
        <v>A janela foi fechada</v>
      </c>
      <c r="G110" s="38" t="str">
        <f>RTD("rtdtrading.rtdserver",, "T&amp;T1", "DAT", 102)</f>
        <v>A janela foi fechada</v>
      </c>
      <c r="H110" s="39" t="str">
        <f>RTD("rtdtrading.rtdserver",, "T&amp;T1", "PRE", 102)</f>
        <v>A janela foi fechada</v>
      </c>
      <c r="I110" s="40" t="str">
        <f>RTD("rtdtrading.rtdserver",, "T&amp;T1", "QUL", 102)</f>
        <v>A janela foi fechada</v>
      </c>
      <c r="J110" s="41" t="str">
        <f>RTD("rtdtrading.rtdserver",, "T&amp;T1", "AGR", 102)</f>
        <v>A janela foi fechada</v>
      </c>
    </row>
    <row r="111" spans="1:10" x14ac:dyDescent="0.25">
      <c r="A111" s="46" t="str">
        <f>RTD("rtdtrading.rtdserver",, "T&amp;T2", "DAT", 103)</f>
        <v>A janela foi fechada</v>
      </c>
      <c r="B111" s="29" t="str">
        <f>RTD("rtdtrading.rtdserver",, "T&amp;T2", "PRE", 103)</f>
        <v>A janela foi fechada</v>
      </c>
      <c r="C111" s="30" t="str">
        <f>RTD("rtdtrading.rtdserver",, "T&amp;T2", "QUL", 103)</f>
        <v>A janela foi fechada</v>
      </c>
      <c r="D111" s="30" t="str">
        <f>RTD("rtdtrading.rtdserver",, "T&amp;T2", "AGR", 103)</f>
        <v>A janela foi fechada</v>
      </c>
      <c r="G111" s="38" t="str">
        <f>RTD("rtdtrading.rtdserver",, "T&amp;T1", "DAT", 103)</f>
        <v>A janela foi fechada</v>
      </c>
      <c r="H111" s="39" t="str">
        <f>RTD("rtdtrading.rtdserver",, "T&amp;T1", "PRE", 103)</f>
        <v>A janela foi fechada</v>
      </c>
      <c r="I111" s="40" t="str">
        <f>RTD("rtdtrading.rtdserver",, "T&amp;T1", "QUL", 103)</f>
        <v>A janela foi fechada</v>
      </c>
      <c r="J111" s="41" t="str">
        <f>RTD("rtdtrading.rtdserver",, "T&amp;T1", "AGR", 103)</f>
        <v>A janela foi fechada</v>
      </c>
    </row>
    <row r="112" spans="1:10" x14ac:dyDescent="0.25">
      <c r="A112" s="46" t="str">
        <f>RTD("rtdtrading.rtdserver",, "T&amp;T2", "DAT", 104)</f>
        <v>A janela foi fechada</v>
      </c>
      <c r="B112" s="29" t="str">
        <f>RTD("rtdtrading.rtdserver",, "T&amp;T2", "PRE", 104)</f>
        <v>A janela foi fechada</v>
      </c>
      <c r="C112" s="30" t="str">
        <f>RTD("rtdtrading.rtdserver",, "T&amp;T2", "QUL", 104)</f>
        <v>A janela foi fechada</v>
      </c>
      <c r="D112" s="30" t="str">
        <f>RTD("rtdtrading.rtdserver",, "T&amp;T2", "AGR", 104)</f>
        <v>A janela foi fechada</v>
      </c>
      <c r="G112" s="38" t="str">
        <f>RTD("rtdtrading.rtdserver",, "T&amp;T1", "DAT", 104)</f>
        <v>A janela foi fechada</v>
      </c>
      <c r="H112" s="39" t="str">
        <f>RTD("rtdtrading.rtdserver",, "T&amp;T1", "PRE", 104)</f>
        <v>A janela foi fechada</v>
      </c>
      <c r="I112" s="40" t="str">
        <f>RTD("rtdtrading.rtdserver",, "T&amp;T1", "QUL", 104)</f>
        <v>A janela foi fechada</v>
      </c>
      <c r="J112" s="41" t="str">
        <f>RTD("rtdtrading.rtdserver",, "T&amp;T1", "AGR", 104)</f>
        <v>A janela foi fechada</v>
      </c>
    </row>
    <row r="113" spans="1:10" x14ac:dyDescent="0.25">
      <c r="A113" s="46" t="str">
        <f>RTD("rtdtrading.rtdserver",, "T&amp;T2", "DAT", 105)</f>
        <v>A janela foi fechada</v>
      </c>
      <c r="B113" s="29" t="str">
        <f>RTD("rtdtrading.rtdserver",, "T&amp;T2", "PRE", 105)</f>
        <v>A janela foi fechada</v>
      </c>
      <c r="C113" s="30" t="str">
        <f>RTD("rtdtrading.rtdserver",, "T&amp;T2", "QUL", 105)</f>
        <v>A janela foi fechada</v>
      </c>
      <c r="D113" s="30" t="str">
        <f>RTD("rtdtrading.rtdserver",, "T&amp;T2", "AGR", 105)</f>
        <v>A janela foi fechada</v>
      </c>
      <c r="G113" s="38" t="str">
        <f>RTD("rtdtrading.rtdserver",, "T&amp;T1", "DAT", 105)</f>
        <v>A janela foi fechada</v>
      </c>
      <c r="H113" s="39" t="str">
        <f>RTD("rtdtrading.rtdserver",, "T&amp;T1", "PRE", 105)</f>
        <v>A janela foi fechada</v>
      </c>
      <c r="I113" s="40" t="str">
        <f>RTD("rtdtrading.rtdserver",, "T&amp;T1", "QUL", 105)</f>
        <v>A janela foi fechada</v>
      </c>
      <c r="J113" s="41" t="str">
        <f>RTD("rtdtrading.rtdserver",, "T&amp;T1", "AGR", 105)</f>
        <v>A janela foi fechada</v>
      </c>
    </row>
    <row r="114" spans="1:10" x14ac:dyDescent="0.25">
      <c r="A114" s="46" t="str">
        <f>RTD("rtdtrading.rtdserver",, "T&amp;T2", "DAT", 106)</f>
        <v>A janela foi fechada</v>
      </c>
      <c r="B114" s="29" t="str">
        <f>RTD("rtdtrading.rtdserver",, "T&amp;T2", "PRE", 106)</f>
        <v>A janela foi fechada</v>
      </c>
      <c r="C114" s="30" t="str">
        <f>RTD("rtdtrading.rtdserver",, "T&amp;T2", "QUL", 106)</f>
        <v>A janela foi fechada</v>
      </c>
      <c r="D114" s="30" t="str">
        <f>RTD("rtdtrading.rtdserver",, "T&amp;T2", "AGR", 106)</f>
        <v>A janela foi fechada</v>
      </c>
      <c r="G114" s="38" t="str">
        <f>RTD("rtdtrading.rtdserver",, "T&amp;T1", "DAT", 106)</f>
        <v>A janela foi fechada</v>
      </c>
      <c r="H114" s="39" t="str">
        <f>RTD("rtdtrading.rtdserver",, "T&amp;T1", "PRE", 106)</f>
        <v>A janela foi fechada</v>
      </c>
      <c r="I114" s="40" t="str">
        <f>RTD("rtdtrading.rtdserver",, "T&amp;T1", "QUL", 106)</f>
        <v>A janela foi fechada</v>
      </c>
      <c r="J114" s="41" t="str">
        <f>RTD("rtdtrading.rtdserver",, "T&amp;T1", "AGR", 106)</f>
        <v>A janela foi fechada</v>
      </c>
    </row>
    <row r="115" spans="1:10" x14ac:dyDescent="0.25">
      <c r="A115" s="46" t="str">
        <f>RTD("rtdtrading.rtdserver",, "T&amp;T2", "DAT", 107)</f>
        <v>A janela foi fechada</v>
      </c>
      <c r="B115" s="29" t="str">
        <f>RTD("rtdtrading.rtdserver",, "T&amp;T2", "PRE", 107)</f>
        <v>A janela foi fechada</v>
      </c>
      <c r="C115" s="30" t="str">
        <f>RTD("rtdtrading.rtdserver",, "T&amp;T2", "QUL", 107)</f>
        <v>A janela foi fechada</v>
      </c>
      <c r="D115" s="30" t="str">
        <f>RTD("rtdtrading.rtdserver",, "T&amp;T2", "AGR", 107)</f>
        <v>A janela foi fechada</v>
      </c>
      <c r="G115" s="38" t="str">
        <f>RTD("rtdtrading.rtdserver",, "T&amp;T1", "DAT", 107)</f>
        <v>A janela foi fechada</v>
      </c>
      <c r="H115" s="39" t="str">
        <f>RTD("rtdtrading.rtdserver",, "T&amp;T1", "PRE", 107)</f>
        <v>A janela foi fechada</v>
      </c>
      <c r="I115" s="40" t="str">
        <f>RTD("rtdtrading.rtdserver",, "T&amp;T1", "QUL", 107)</f>
        <v>A janela foi fechada</v>
      </c>
      <c r="J115" s="41" t="str">
        <f>RTD("rtdtrading.rtdserver",, "T&amp;T1", "AGR", 107)</f>
        <v>A janela foi fechada</v>
      </c>
    </row>
    <row r="116" spans="1:10" x14ac:dyDescent="0.25">
      <c r="A116" s="46" t="str">
        <f>RTD("rtdtrading.rtdserver",, "T&amp;T2", "DAT", 108)</f>
        <v>A janela foi fechada</v>
      </c>
      <c r="B116" s="29" t="str">
        <f>RTD("rtdtrading.rtdserver",, "T&amp;T2", "PRE", 108)</f>
        <v>A janela foi fechada</v>
      </c>
      <c r="C116" s="30" t="str">
        <f>RTD("rtdtrading.rtdserver",, "T&amp;T2", "QUL", 108)</f>
        <v>A janela foi fechada</v>
      </c>
      <c r="D116" s="30" t="str">
        <f>RTD("rtdtrading.rtdserver",, "T&amp;T2", "AGR", 108)</f>
        <v>A janela foi fechada</v>
      </c>
      <c r="G116" s="38" t="str">
        <f>RTD("rtdtrading.rtdserver",, "T&amp;T1", "DAT", 108)</f>
        <v>A janela foi fechada</v>
      </c>
      <c r="H116" s="39" t="str">
        <f>RTD("rtdtrading.rtdserver",, "T&amp;T1", "PRE", 108)</f>
        <v>A janela foi fechada</v>
      </c>
      <c r="I116" s="40" t="str">
        <f>RTD("rtdtrading.rtdserver",, "T&amp;T1", "QUL", 108)</f>
        <v>A janela foi fechada</v>
      </c>
      <c r="J116" s="41" t="str">
        <f>RTD("rtdtrading.rtdserver",, "T&amp;T1", "AGR", 108)</f>
        <v>A janela foi fechada</v>
      </c>
    </row>
    <row r="117" spans="1:10" x14ac:dyDescent="0.25">
      <c r="A117" s="46" t="str">
        <f>RTD("rtdtrading.rtdserver",, "T&amp;T2", "DAT", 109)</f>
        <v>A janela foi fechada</v>
      </c>
      <c r="B117" s="29" t="str">
        <f>RTD("rtdtrading.rtdserver",, "T&amp;T2", "PRE", 109)</f>
        <v>A janela foi fechada</v>
      </c>
      <c r="C117" s="30" t="str">
        <f>RTD("rtdtrading.rtdserver",, "T&amp;T2", "QUL", 109)</f>
        <v>A janela foi fechada</v>
      </c>
      <c r="D117" s="30" t="str">
        <f>RTD("rtdtrading.rtdserver",, "T&amp;T2", "AGR", 109)</f>
        <v>A janela foi fechada</v>
      </c>
      <c r="G117" s="38" t="str">
        <f>RTD("rtdtrading.rtdserver",, "T&amp;T1", "DAT", 109)</f>
        <v>A janela foi fechada</v>
      </c>
      <c r="H117" s="39" t="str">
        <f>RTD("rtdtrading.rtdserver",, "T&amp;T1", "PRE", 109)</f>
        <v>A janela foi fechada</v>
      </c>
      <c r="I117" s="40" t="str">
        <f>RTD("rtdtrading.rtdserver",, "T&amp;T1", "QUL", 109)</f>
        <v>A janela foi fechada</v>
      </c>
      <c r="J117" s="41" t="str">
        <f>RTD("rtdtrading.rtdserver",, "T&amp;T1", "AGR", 109)</f>
        <v>A janela foi fechada</v>
      </c>
    </row>
    <row r="118" spans="1:10" x14ac:dyDescent="0.25">
      <c r="A118" s="46" t="str">
        <f>RTD("rtdtrading.rtdserver",, "T&amp;T2", "DAT", 110)</f>
        <v>A janela foi fechada</v>
      </c>
      <c r="B118" s="29" t="str">
        <f>RTD("rtdtrading.rtdserver",, "T&amp;T2", "PRE", 110)</f>
        <v>A janela foi fechada</v>
      </c>
      <c r="C118" s="30" t="str">
        <f>RTD("rtdtrading.rtdserver",, "T&amp;T2", "QUL", 110)</f>
        <v>A janela foi fechada</v>
      </c>
      <c r="D118" s="30" t="str">
        <f>RTD("rtdtrading.rtdserver",, "T&amp;T2", "AGR", 110)</f>
        <v>A janela foi fechada</v>
      </c>
      <c r="G118" s="38" t="str">
        <f>RTD("rtdtrading.rtdserver",, "T&amp;T1", "DAT", 110)</f>
        <v>A janela foi fechada</v>
      </c>
      <c r="H118" s="39" t="str">
        <f>RTD("rtdtrading.rtdserver",, "T&amp;T1", "PRE", 110)</f>
        <v>A janela foi fechada</v>
      </c>
      <c r="I118" s="40" t="str">
        <f>RTD("rtdtrading.rtdserver",, "T&amp;T1", "QUL", 110)</f>
        <v>A janela foi fechada</v>
      </c>
      <c r="J118" s="41" t="str">
        <f>RTD("rtdtrading.rtdserver",, "T&amp;T1", "AGR", 110)</f>
        <v>A janela foi fechada</v>
      </c>
    </row>
    <row r="119" spans="1:10" x14ac:dyDescent="0.25">
      <c r="A119" s="46" t="str">
        <f>RTD("rtdtrading.rtdserver",, "T&amp;T2", "DAT", 111)</f>
        <v>A janela foi fechada</v>
      </c>
      <c r="B119" s="29" t="str">
        <f>RTD("rtdtrading.rtdserver",, "T&amp;T2", "PRE", 111)</f>
        <v>A janela foi fechada</v>
      </c>
      <c r="C119" s="30" t="str">
        <f>RTD("rtdtrading.rtdserver",, "T&amp;T2", "QUL", 111)</f>
        <v>A janela foi fechada</v>
      </c>
      <c r="D119" s="30" t="str">
        <f>RTD("rtdtrading.rtdserver",, "T&amp;T2", "AGR", 111)</f>
        <v>A janela foi fechada</v>
      </c>
      <c r="G119" s="38" t="str">
        <f>RTD("rtdtrading.rtdserver",, "T&amp;T1", "DAT", 111)</f>
        <v>A janela foi fechada</v>
      </c>
      <c r="H119" s="39" t="str">
        <f>RTD("rtdtrading.rtdserver",, "T&amp;T1", "PRE", 111)</f>
        <v>A janela foi fechada</v>
      </c>
      <c r="I119" s="40" t="str">
        <f>RTD("rtdtrading.rtdserver",, "T&amp;T1", "QUL", 111)</f>
        <v>A janela foi fechada</v>
      </c>
      <c r="J119" s="41" t="str">
        <f>RTD("rtdtrading.rtdserver",, "T&amp;T1", "AGR", 111)</f>
        <v>A janela foi fechada</v>
      </c>
    </row>
    <row r="120" spans="1:10" x14ac:dyDescent="0.25">
      <c r="A120" s="46" t="str">
        <f>RTD("rtdtrading.rtdserver",, "T&amp;T2", "DAT", 112)</f>
        <v>A janela foi fechada</v>
      </c>
      <c r="B120" s="29" t="str">
        <f>RTD("rtdtrading.rtdserver",, "T&amp;T2", "PRE", 112)</f>
        <v>A janela foi fechada</v>
      </c>
      <c r="C120" s="30" t="str">
        <f>RTD("rtdtrading.rtdserver",, "T&amp;T2", "QUL", 112)</f>
        <v>A janela foi fechada</v>
      </c>
      <c r="D120" s="30" t="str">
        <f>RTD("rtdtrading.rtdserver",, "T&amp;T2", "AGR", 112)</f>
        <v>A janela foi fechada</v>
      </c>
      <c r="G120" s="38" t="str">
        <f>RTD("rtdtrading.rtdserver",, "T&amp;T1", "DAT", 112)</f>
        <v>A janela foi fechada</v>
      </c>
      <c r="H120" s="39" t="str">
        <f>RTD("rtdtrading.rtdserver",, "T&amp;T1", "PRE", 112)</f>
        <v>A janela foi fechada</v>
      </c>
      <c r="I120" s="40" t="str">
        <f>RTD("rtdtrading.rtdserver",, "T&amp;T1", "QUL", 112)</f>
        <v>A janela foi fechada</v>
      </c>
      <c r="J120" s="41" t="str">
        <f>RTD("rtdtrading.rtdserver",, "T&amp;T1", "AGR", 112)</f>
        <v>A janela foi fechada</v>
      </c>
    </row>
    <row r="121" spans="1:10" x14ac:dyDescent="0.25">
      <c r="A121" s="46" t="str">
        <f>RTD("rtdtrading.rtdserver",, "T&amp;T2", "DAT", 113)</f>
        <v>A janela foi fechada</v>
      </c>
      <c r="B121" s="29" t="str">
        <f>RTD("rtdtrading.rtdserver",, "T&amp;T2", "PRE", 113)</f>
        <v>A janela foi fechada</v>
      </c>
      <c r="C121" s="30" t="str">
        <f>RTD("rtdtrading.rtdserver",, "T&amp;T2", "QUL", 113)</f>
        <v>A janela foi fechada</v>
      </c>
      <c r="D121" s="30" t="str">
        <f>RTD("rtdtrading.rtdserver",, "T&amp;T2", "AGR", 113)</f>
        <v>A janela foi fechada</v>
      </c>
      <c r="G121" s="38" t="str">
        <f>RTD("rtdtrading.rtdserver",, "T&amp;T1", "DAT", 113)</f>
        <v>A janela foi fechada</v>
      </c>
      <c r="H121" s="39" t="str">
        <f>RTD("rtdtrading.rtdserver",, "T&amp;T1", "PRE", 113)</f>
        <v>A janela foi fechada</v>
      </c>
      <c r="I121" s="40" t="str">
        <f>RTD("rtdtrading.rtdserver",, "T&amp;T1", "QUL", 113)</f>
        <v>A janela foi fechada</v>
      </c>
      <c r="J121" s="41" t="str">
        <f>RTD("rtdtrading.rtdserver",, "T&amp;T1", "AGR", 113)</f>
        <v>A janela foi fechada</v>
      </c>
    </row>
    <row r="122" spans="1:10" x14ac:dyDescent="0.25">
      <c r="A122" s="46" t="str">
        <f>RTD("rtdtrading.rtdserver",, "T&amp;T2", "DAT", 114)</f>
        <v>A janela foi fechada</v>
      </c>
      <c r="B122" s="29" t="str">
        <f>RTD("rtdtrading.rtdserver",, "T&amp;T2", "PRE", 114)</f>
        <v>A janela foi fechada</v>
      </c>
      <c r="C122" s="30" t="str">
        <f>RTD("rtdtrading.rtdserver",, "T&amp;T2", "QUL", 114)</f>
        <v>A janela foi fechada</v>
      </c>
      <c r="D122" s="30" t="str">
        <f>RTD("rtdtrading.rtdserver",, "T&amp;T2", "AGR", 114)</f>
        <v>A janela foi fechada</v>
      </c>
      <c r="G122" s="38" t="str">
        <f>RTD("rtdtrading.rtdserver",, "T&amp;T1", "DAT", 114)</f>
        <v>A janela foi fechada</v>
      </c>
      <c r="H122" s="39" t="str">
        <f>RTD("rtdtrading.rtdserver",, "T&amp;T1", "PRE", 114)</f>
        <v>A janela foi fechada</v>
      </c>
      <c r="I122" s="40" t="str">
        <f>RTD("rtdtrading.rtdserver",, "T&amp;T1", "QUL", 114)</f>
        <v>A janela foi fechada</v>
      </c>
      <c r="J122" s="41" t="str">
        <f>RTD("rtdtrading.rtdserver",, "T&amp;T1", "AGR", 114)</f>
        <v>A janela foi fechada</v>
      </c>
    </row>
    <row r="123" spans="1:10" x14ac:dyDescent="0.25">
      <c r="A123" s="46" t="str">
        <f>RTD("rtdtrading.rtdserver",, "T&amp;T2", "DAT", 115)</f>
        <v>A janela foi fechada</v>
      </c>
      <c r="B123" s="29" t="str">
        <f>RTD("rtdtrading.rtdserver",, "T&amp;T2", "PRE", 115)</f>
        <v>A janela foi fechada</v>
      </c>
      <c r="C123" s="30" t="str">
        <f>RTD("rtdtrading.rtdserver",, "T&amp;T2", "QUL", 115)</f>
        <v>A janela foi fechada</v>
      </c>
      <c r="D123" s="30" t="str">
        <f>RTD("rtdtrading.rtdserver",, "T&amp;T2", "AGR", 115)</f>
        <v>A janela foi fechada</v>
      </c>
      <c r="G123" s="38" t="str">
        <f>RTD("rtdtrading.rtdserver",, "T&amp;T1", "DAT", 115)</f>
        <v>A janela foi fechada</v>
      </c>
      <c r="H123" s="39" t="str">
        <f>RTD("rtdtrading.rtdserver",, "T&amp;T1", "PRE", 115)</f>
        <v>A janela foi fechada</v>
      </c>
      <c r="I123" s="40" t="str">
        <f>RTD("rtdtrading.rtdserver",, "T&amp;T1", "QUL", 115)</f>
        <v>A janela foi fechada</v>
      </c>
      <c r="J123" s="41" t="str">
        <f>RTD("rtdtrading.rtdserver",, "T&amp;T1", "AGR", 115)</f>
        <v>A janela foi fechada</v>
      </c>
    </row>
    <row r="124" spans="1:10" x14ac:dyDescent="0.25">
      <c r="A124" s="46" t="str">
        <f>RTD("rtdtrading.rtdserver",, "T&amp;T2", "DAT", 116)</f>
        <v>A janela foi fechada</v>
      </c>
      <c r="B124" s="29" t="str">
        <f>RTD("rtdtrading.rtdserver",, "T&amp;T2", "PRE", 116)</f>
        <v>A janela foi fechada</v>
      </c>
      <c r="C124" s="30" t="str">
        <f>RTD("rtdtrading.rtdserver",, "T&amp;T2", "QUL", 116)</f>
        <v>A janela foi fechada</v>
      </c>
      <c r="D124" s="30" t="str">
        <f>RTD("rtdtrading.rtdserver",, "T&amp;T2", "AGR", 116)</f>
        <v>A janela foi fechada</v>
      </c>
      <c r="G124" s="38" t="str">
        <f>RTD("rtdtrading.rtdserver",, "T&amp;T1", "DAT", 116)</f>
        <v>A janela foi fechada</v>
      </c>
      <c r="H124" s="39" t="str">
        <f>RTD("rtdtrading.rtdserver",, "T&amp;T1", "PRE", 116)</f>
        <v>A janela foi fechada</v>
      </c>
      <c r="I124" s="40" t="str">
        <f>RTD("rtdtrading.rtdserver",, "T&amp;T1", "QUL", 116)</f>
        <v>A janela foi fechada</v>
      </c>
      <c r="J124" s="41" t="str">
        <f>RTD("rtdtrading.rtdserver",, "T&amp;T1", "AGR", 116)</f>
        <v>A janela foi fechada</v>
      </c>
    </row>
    <row r="125" spans="1:10" x14ac:dyDescent="0.25">
      <c r="A125" s="46" t="str">
        <f>RTD("rtdtrading.rtdserver",, "T&amp;T2", "DAT", 117)</f>
        <v>A janela foi fechada</v>
      </c>
      <c r="B125" s="29" t="str">
        <f>RTD("rtdtrading.rtdserver",, "T&amp;T2", "PRE", 117)</f>
        <v>A janela foi fechada</v>
      </c>
      <c r="C125" s="30" t="str">
        <f>RTD("rtdtrading.rtdserver",, "T&amp;T2", "QUL", 117)</f>
        <v>A janela foi fechada</v>
      </c>
      <c r="D125" s="30" t="str">
        <f>RTD("rtdtrading.rtdserver",, "T&amp;T2", "AGR", 117)</f>
        <v>A janela foi fechada</v>
      </c>
      <c r="G125" s="38" t="str">
        <f>RTD("rtdtrading.rtdserver",, "T&amp;T1", "DAT", 117)</f>
        <v>A janela foi fechada</v>
      </c>
      <c r="H125" s="39" t="str">
        <f>RTD("rtdtrading.rtdserver",, "T&amp;T1", "PRE", 117)</f>
        <v>A janela foi fechada</v>
      </c>
      <c r="I125" s="40" t="str">
        <f>RTD("rtdtrading.rtdserver",, "T&amp;T1", "QUL", 117)</f>
        <v>A janela foi fechada</v>
      </c>
      <c r="J125" s="41" t="str">
        <f>RTD("rtdtrading.rtdserver",, "T&amp;T1", "AGR", 117)</f>
        <v>A janela foi fechada</v>
      </c>
    </row>
    <row r="126" spans="1:10" x14ac:dyDescent="0.25">
      <c r="A126" s="46" t="str">
        <f>RTD("rtdtrading.rtdserver",, "T&amp;T2", "DAT", 118)</f>
        <v>A janela foi fechada</v>
      </c>
      <c r="B126" s="29" t="str">
        <f>RTD("rtdtrading.rtdserver",, "T&amp;T2", "PRE", 118)</f>
        <v>A janela foi fechada</v>
      </c>
      <c r="C126" s="30" t="str">
        <f>RTD("rtdtrading.rtdserver",, "T&amp;T2", "QUL", 118)</f>
        <v>A janela foi fechada</v>
      </c>
      <c r="D126" s="30" t="str">
        <f>RTD("rtdtrading.rtdserver",, "T&amp;T2", "AGR", 118)</f>
        <v>A janela foi fechada</v>
      </c>
      <c r="G126" s="38" t="str">
        <f>RTD("rtdtrading.rtdserver",, "T&amp;T1", "DAT", 118)</f>
        <v>A janela foi fechada</v>
      </c>
      <c r="H126" s="39" t="str">
        <f>RTD("rtdtrading.rtdserver",, "T&amp;T1", "PRE", 118)</f>
        <v>A janela foi fechada</v>
      </c>
      <c r="I126" s="40" t="str">
        <f>RTD("rtdtrading.rtdserver",, "T&amp;T1", "QUL", 118)</f>
        <v>A janela foi fechada</v>
      </c>
      <c r="J126" s="41" t="str">
        <f>RTD("rtdtrading.rtdserver",, "T&amp;T1", "AGR", 118)</f>
        <v>A janela foi fechada</v>
      </c>
    </row>
    <row r="127" spans="1:10" x14ac:dyDescent="0.25">
      <c r="A127" s="46" t="str">
        <f>RTD("rtdtrading.rtdserver",, "T&amp;T2", "DAT", 119)</f>
        <v>A janela foi fechada</v>
      </c>
      <c r="B127" s="29" t="str">
        <f>RTD("rtdtrading.rtdserver",, "T&amp;T2", "PRE", 119)</f>
        <v>A janela foi fechada</v>
      </c>
      <c r="C127" s="30" t="str">
        <f>RTD("rtdtrading.rtdserver",, "T&amp;T2", "QUL", 119)</f>
        <v>A janela foi fechada</v>
      </c>
      <c r="D127" s="30" t="str">
        <f>RTD("rtdtrading.rtdserver",, "T&amp;T2", "AGR", 119)</f>
        <v>A janela foi fechada</v>
      </c>
      <c r="G127" s="38" t="str">
        <f>RTD("rtdtrading.rtdserver",, "T&amp;T1", "DAT", 119)</f>
        <v>A janela foi fechada</v>
      </c>
      <c r="H127" s="39" t="str">
        <f>RTD("rtdtrading.rtdserver",, "T&amp;T1", "PRE", 119)</f>
        <v>A janela foi fechada</v>
      </c>
      <c r="I127" s="40" t="str">
        <f>RTD("rtdtrading.rtdserver",, "T&amp;T1", "QUL", 119)</f>
        <v>A janela foi fechada</v>
      </c>
      <c r="J127" s="41" t="str">
        <f>RTD("rtdtrading.rtdserver",, "T&amp;T1", "AGR", 119)</f>
        <v>A janela foi fechada</v>
      </c>
    </row>
    <row r="128" spans="1:10" x14ac:dyDescent="0.25">
      <c r="A128" s="46" t="str">
        <f>RTD("rtdtrading.rtdserver",, "T&amp;T2", "DAT", 120)</f>
        <v>A janela foi fechada</v>
      </c>
      <c r="B128" s="29" t="str">
        <f>RTD("rtdtrading.rtdserver",, "T&amp;T2", "PRE", 120)</f>
        <v>A janela foi fechada</v>
      </c>
      <c r="C128" s="30" t="str">
        <f>RTD("rtdtrading.rtdserver",, "T&amp;T2", "QUL", 120)</f>
        <v>A janela foi fechada</v>
      </c>
      <c r="D128" s="30" t="str">
        <f>RTD("rtdtrading.rtdserver",, "T&amp;T2", "AGR", 120)</f>
        <v>A janela foi fechada</v>
      </c>
      <c r="G128" s="38" t="str">
        <f>RTD("rtdtrading.rtdserver",, "T&amp;T1", "DAT", 120)</f>
        <v>A janela foi fechada</v>
      </c>
      <c r="H128" s="39" t="str">
        <f>RTD("rtdtrading.rtdserver",, "T&amp;T1", "PRE", 120)</f>
        <v>A janela foi fechada</v>
      </c>
      <c r="I128" s="40" t="str">
        <f>RTD("rtdtrading.rtdserver",, "T&amp;T1", "QUL", 120)</f>
        <v>A janela foi fechada</v>
      </c>
      <c r="J128" s="41" t="str">
        <f>RTD("rtdtrading.rtdserver",, "T&amp;T1", "AGR", 120)</f>
        <v>A janela foi fechada</v>
      </c>
    </row>
    <row r="129" spans="1:10" x14ac:dyDescent="0.25">
      <c r="A129" s="46" t="str">
        <f>RTD("rtdtrading.rtdserver",, "T&amp;T2", "DAT", 121)</f>
        <v>A janela foi fechada</v>
      </c>
      <c r="B129" s="29" t="str">
        <f>RTD("rtdtrading.rtdserver",, "T&amp;T2", "PRE", 121)</f>
        <v>A janela foi fechada</v>
      </c>
      <c r="C129" s="30" t="str">
        <f>RTD("rtdtrading.rtdserver",, "T&amp;T2", "QUL", 121)</f>
        <v>A janela foi fechada</v>
      </c>
      <c r="D129" s="30" t="str">
        <f>RTD("rtdtrading.rtdserver",, "T&amp;T2", "AGR", 121)</f>
        <v>A janela foi fechada</v>
      </c>
      <c r="G129" s="38" t="str">
        <f>RTD("rtdtrading.rtdserver",, "T&amp;T1", "DAT", 121)</f>
        <v>A janela foi fechada</v>
      </c>
      <c r="H129" s="39" t="str">
        <f>RTD("rtdtrading.rtdserver",, "T&amp;T1", "PRE", 121)</f>
        <v>A janela foi fechada</v>
      </c>
      <c r="I129" s="40" t="str">
        <f>RTD("rtdtrading.rtdserver",, "T&amp;T1", "QUL", 121)</f>
        <v>A janela foi fechada</v>
      </c>
      <c r="J129" s="41" t="str">
        <f>RTD("rtdtrading.rtdserver",, "T&amp;T1", "AGR", 121)</f>
        <v>A janela foi fechada</v>
      </c>
    </row>
    <row r="130" spans="1:10" x14ac:dyDescent="0.25">
      <c r="A130" s="46" t="str">
        <f>RTD("rtdtrading.rtdserver",, "T&amp;T2", "DAT", 122)</f>
        <v>A janela foi fechada</v>
      </c>
      <c r="B130" s="29" t="str">
        <f>RTD("rtdtrading.rtdserver",, "T&amp;T2", "PRE", 122)</f>
        <v>A janela foi fechada</v>
      </c>
      <c r="C130" s="30" t="str">
        <f>RTD("rtdtrading.rtdserver",, "T&amp;T2", "QUL", 122)</f>
        <v>A janela foi fechada</v>
      </c>
      <c r="D130" s="30" t="str">
        <f>RTD("rtdtrading.rtdserver",, "T&amp;T2", "AGR", 122)</f>
        <v>A janela foi fechada</v>
      </c>
      <c r="G130" s="38" t="str">
        <f>RTD("rtdtrading.rtdserver",, "T&amp;T1", "DAT", 122)</f>
        <v>A janela foi fechada</v>
      </c>
      <c r="H130" s="39" t="str">
        <f>RTD("rtdtrading.rtdserver",, "T&amp;T1", "PRE", 122)</f>
        <v>A janela foi fechada</v>
      </c>
      <c r="I130" s="40" t="str">
        <f>RTD("rtdtrading.rtdserver",, "T&amp;T1", "QUL", 122)</f>
        <v>A janela foi fechada</v>
      </c>
      <c r="J130" s="41" t="str">
        <f>RTD("rtdtrading.rtdserver",, "T&amp;T1", "AGR", 122)</f>
        <v>A janela foi fechada</v>
      </c>
    </row>
    <row r="131" spans="1:10" x14ac:dyDescent="0.25">
      <c r="A131" s="46" t="str">
        <f>RTD("rtdtrading.rtdserver",, "T&amp;T2", "DAT", 123)</f>
        <v>A janela foi fechada</v>
      </c>
      <c r="B131" s="29" t="str">
        <f>RTD("rtdtrading.rtdserver",, "T&amp;T2", "PRE", 123)</f>
        <v>A janela foi fechada</v>
      </c>
      <c r="C131" s="30" t="str">
        <f>RTD("rtdtrading.rtdserver",, "T&amp;T2", "QUL", 123)</f>
        <v>A janela foi fechada</v>
      </c>
      <c r="D131" s="30" t="str">
        <f>RTD("rtdtrading.rtdserver",, "T&amp;T2", "AGR", 123)</f>
        <v>A janela foi fechada</v>
      </c>
      <c r="G131" s="38" t="str">
        <f>RTD("rtdtrading.rtdserver",, "T&amp;T1", "DAT", 123)</f>
        <v>A janela foi fechada</v>
      </c>
      <c r="H131" s="39" t="str">
        <f>RTD("rtdtrading.rtdserver",, "T&amp;T1", "PRE", 123)</f>
        <v>A janela foi fechada</v>
      </c>
      <c r="I131" s="40" t="str">
        <f>RTD("rtdtrading.rtdserver",, "T&amp;T1", "QUL", 123)</f>
        <v>A janela foi fechada</v>
      </c>
      <c r="J131" s="41" t="str">
        <f>RTD("rtdtrading.rtdserver",, "T&amp;T1", "AGR", 123)</f>
        <v>A janela foi fechada</v>
      </c>
    </row>
    <row r="132" spans="1:10" x14ac:dyDescent="0.25">
      <c r="A132" s="46" t="str">
        <f>RTD("rtdtrading.rtdserver",, "T&amp;T2", "DAT", 124)</f>
        <v>A janela foi fechada</v>
      </c>
      <c r="B132" s="29" t="str">
        <f>RTD("rtdtrading.rtdserver",, "T&amp;T2", "PRE", 124)</f>
        <v>A janela foi fechada</v>
      </c>
      <c r="C132" s="30" t="str">
        <f>RTD("rtdtrading.rtdserver",, "T&amp;T2", "QUL", 124)</f>
        <v>A janela foi fechada</v>
      </c>
      <c r="D132" s="30" t="str">
        <f>RTD("rtdtrading.rtdserver",, "T&amp;T2", "AGR", 124)</f>
        <v>A janela foi fechada</v>
      </c>
      <c r="G132" s="38" t="str">
        <f>RTD("rtdtrading.rtdserver",, "T&amp;T1", "DAT", 124)</f>
        <v>A janela foi fechada</v>
      </c>
      <c r="H132" s="39" t="str">
        <f>RTD("rtdtrading.rtdserver",, "T&amp;T1", "PRE", 124)</f>
        <v>A janela foi fechada</v>
      </c>
      <c r="I132" s="40" t="str">
        <f>RTD("rtdtrading.rtdserver",, "T&amp;T1", "QUL", 124)</f>
        <v>A janela foi fechada</v>
      </c>
      <c r="J132" s="41" t="str">
        <f>RTD("rtdtrading.rtdserver",, "T&amp;T1", "AGR", 124)</f>
        <v>A janela foi fechada</v>
      </c>
    </row>
    <row r="133" spans="1:10" x14ac:dyDescent="0.25">
      <c r="A133" s="46" t="str">
        <f>RTD("rtdtrading.rtdserver",, "T&amp;T2", "DAT", 125)</f>
        <v>A janela foi fechada</v>
      </c>
      <c r="B133" s="29" t="str">
        <f>RTD("rtdtrading.rtdserver",, "T&amp;T2", "PRE", 125)</f>
        <v>A janela foi fechada</v>
      </c>
      <c r="C133" s="30" t="str">
        <f>RTD("rtdtrading.rtdserver",, "T&amp;T2", "QUL", 125)</f>
        <v>A janela foi fechada</v>
      </c>
      <c r="D133" s="30" t="str">
        <f>RTD("rtdtrading.rtdserver",, "T&amp;T2", "AGR", 125)</f>
        <v>A janela foi fechada</v>
      </c>
      <c r="G133" s="38" t="str">
        <f>RTD("rtdtrading.rtdserver",, "T&amp;T1", "DAT", 125)</f>
        <v>A janela foi fechada</v>
      </c>
      <c r="H133" s="39" t="str">
        <f>RTD("rtdtrading.rtdserver",, "T&amp;T1", "PRE", 125)</f>
        <v>A janela foi fechada</v>
      </c>
      <c r="I133" s="40" t="str">
        <f>RTD("rtdtrading.rtdserver",, "T&amp;T1", "QUL", 125)</f>
        <v>A janela foi fechada</v>
      </c>
      <c r="J133" s="41" t="str">
        <f>RTD("rtdtrading.rtdserver",, "T&amp;T1", "AGR", 125)</f>
        <v>A janela foi fechada</v>
      </c>
    </row>
    <row r="134" spans="1:10" x14ac:dyDescent="0.25">
      <c r="A134" s="46" t="str">
        <f>RTD("rtdtrading.rtdserver",, "T&amp;T2", "DAT", 126)</f>
        <v>A janela foi fechada</v>
      </c>
      <c r="B134" s="29" t="str">
        <f>RTD("rtdtrading.rtdserver",, "T&amp;T2", "PRE", 126)</f>
        <v>A janela foi fechada</v>
      </c>
      <c r="C134" s="30" t="str">
        <f>RTD("rtdtrading.rtdserver",, "T&amp;T2", "QUL", 126)</f>
        <v>A janela foi fechada</v>
      </c>
      <c r="D134" s="30" t="str">
        <f>RTD("rtdtrading.rtdserver",, "T&amp;T2", "AGR", 126)</f>
        <v>A janela foi fechada</v>
      </c>
      <c r="G134" s="38" t="str">
        <f>RTD("rtdtrading.rtdserver",, "T&amp;T1", "DAT", 126)</f>
        <v>A janela foi fechada</v>
      </c>
      <c r="H134" s="39" t="str">
        <f>RTD("rtdtrading.rtdserver",, "T&amp;T1", "PRE", 126)</f>
        <v>A janela foi fechada</v>
      </c>
      <c r="I134" s="40" t="str">
        <f>RTD("rtdtrading.rtdserver",, "T&amp;T1", "QUL", 126)</f>
        <v>A janela foi fechada</v>
      </c>
      <c r="J134" s="41" t="str">
        <f>RTD("rtdtrading.rtdserver",, "T&amp;T1", "AGR", 126)</f>
        <v>A janela foi fechada</v>
      </c>
    </row>
    <row r="135" spans="1:10" x14ac:dyDescent="0.25">
      <c r="A135" s="46" t="str">
        <f>RTD("rtdtrading.rtdserver",, "T&amp;T2", "DAT", 127)</f>
        <v>A janela foi fechada</v>
      </c>
      <c r="B135" s="29" t="str">
        <f>RTD("rtdtrading.rtdserver",, "T&amp;T2", "PRE", 127)</f>
        <v>A janela foi fechada</v>
      </c>
      <c r="C135" s="30" t="str">
        <f>RTD("rtdtrading.rtdserver",, "T&amp;T2", "QUL", 127)</f>
        <v>A janela foi fechada</v>
      </c>
      <c r="D135" s="30" t="str">
        <f>RTD("rtdtrading.rtdserver",, "T&amp;T2", "AGR", 127)</f>
        <v>A janela foi fechada</v>
      </c>
      <c r="G135" s="38" t="str">
        <f>RTD("rtdtrading.rtdserver",, "T&amp;T1", "DAT", 127)</f>
        <v>A janela foi fechada</v>
      </c>
      <c r="H135" s="39" t="str">
        <f>RTD("rtdtrading.rtdserver",, "T&amp;T1", "PRE", 127)</f>
        <v>A janela foi fechada</v>
      </c>
      <c r="I135" s="40" t="str">
        <f>RTD("rtdtrading.rtdserver",, "T&amp;T1", "QUL", 127)</f>
        <v>A janela foi fechada</v>
      </c>
      <c r="J135" s="41" t="str">
        <f>RTD("rtdtrading.rtdserver",, "T&amp;T1", "AGR", 127)</f>
        <v>A janela foi fechada</v>
      </c>
    </row>
    <row r="136" spans="1:10" x14ac:dyDescent="0.25">
      <c r="A136" s="46" t="str">
        <f>RTD("rtdtrading.rtdserver",, "T&amp;T2", "DAT", 128)</f>
        <v>A janela foi fechada</v>
      </c>
      <c r="B136" s="29" t="str">
        <f>RTD("rtdtrading.rtdserver",, "T&amp;T2", "PRE", 128)</f>
        <v>A janela foi fechada</v>
      </c>
      <c r="C136" s="30" t="str">
        <f>RTD("rtdtrading.rtdserver",, "T&amp;T2", "QUL", 128)</f>
        <v>A janela foi fechada</v>
      </c>
      <c r="D136" s="30" t="str">
        <f>RTD("rtdtrading.rtdserver",, "T&amp;T2", "AGR", 128)</f>
        <v>A janela foi fechada</v>
      </c>
      <c r="G136" s="38" t="str">
        <f>RTD("rtdtrading.rtdserver",, "T&amp;T1", "DAT", 128)</f>
        <v>A janela foi fechada</v>
      </c>
      <c r="H136" s="39" t="str">
        <f>RTD("rtdtrading.rtdserver",, "T&amp;T1", "PRE", 128)</f>
        <v>A janela foi fechada</v>
      </c>
      <c r="I136" s="40" t="str">
        <f>RTD("rtdtrading.rtdserver",, "T&amp;T1", "QUL", 128)</f>
        <v>A janela foi fechada</v>
      </c>
      <c r="J136" s="41" t="str">
        <f>RTD("rtdtrading.rtdserver",, "T&amp;T1", "AGR", 128)</f>
        <v>A janela foi fechada</v>
      </c>
    </row>
    <row r="137" spans="1:10" x14ac:dyDescent="0.25">
      <c r="A137" s="46" t="str">
        <f>RTD("rtdtrading.rtdserver",, "T&amp;T2", "DAT", 129)</f>
        <v>A janela foi fechada</v>
      </c>
      <c r="B137" s="29" t="str">
        <f>RTD("rtdtrading.rtdserver",, "T&amp;T2", "PRE", 129)</f>
        <v>A janela foi fechada</v>
      </c>
      <c r="C137" s="30" t="str">
        <f>RTD("rtdtrading.rtdserver",, "T&amp;T2", "QUL", 129)</f>
        <v>A janela foi fechada</v>
      </c>
      <c r="D137" s="30" t="str">
        <f>RTD("rtdtrading.rtdserver",, "T&amp;T2", "AGR", 129)</f>
        <v>A janela foi fechada</v>
      </c>
      <c r="G137" s="38" t="str">
        <f>RTD("rtdtrading.rtdserver",, "T&amp;T1", "DAT", 129)</f>
        <v>A janela foi fechada</v>
      </c>
      <c r="H137" s="39" t="str">
        <f>RTD("rtdtrading.rtdserver",, "T&amp;T1", "PRE", 129)</f>
        <v>A janela foi fechada</v>
      </c>
      <c r="I137" s="40" t="str">
        <f>RTD("rtdtrading.rtdserver",, "T&amp;T1", "QUL", 129)</f>
        <v>A janela foi fechada</v>
      </c>
      <c r="J137" s="41" t="str">
        <f>RTD("rtdtrading.rtdserver",, "T&amp;T1", "AGR", 129)</f>
        <v>A janela foi fechada</v>
      </c>
    </row>
    <row r="138" spans="1:10" x14ac:dyDescent="0.25">
      <c r="A138" s="46" t="str">
        <f>RTD("rtdtrading.rtdserver",, "T&amp;T2", "DAT", 130)</f>
        <v>A janela foi fechada</v>
      </c>
      <c r="B138" s="29" t="str">
        <f>RTD("rtdtrading.rtdserver",, "T&amp;T2", "PRE", 130)</f>
        <v>A janela foi fechada</v>
      </c>
      <c r="C138" s="30" t="str">
        <f>RTD("rtdtrading.rtdserver",, "T&amp;T2", "QUL", 130)</f>
        <v>A janela foi fechada</v>
      </c>
      <c r="D138" s="30" t="str">
        <f>RTD("rtdtrading.rtdserver",, "T&amp;T2", "AGR", 130)</f>
        <v>A janela foi fechada</v>
      </c>
      <c r="G138" s="38" t="str">
        <f>RTD("rtdtrading.rtdserver",, "T&amp;T1", "DAT", 130)</f>
        <v>A janela foi fechada</v>
      </c>
      <c r="H138" s="39" t="str">
        <f>RTD("rtdtrading.rtdserver",, "T&amp;T1", "PRE", 130)</f>
        <v>A janela foi fechada</v>
      </c>
      <c r="I138" s="40" t="str">
        <f>RTD("rtdtrading.rtdserver",, "T&amp;T1", "QUL", 130)</f>
        <v>A janela foi fechada</v>
      </c>
      <c r="J138" s="41" t="str">
        <f>RTD("rtdtrading.rtdserver",, "T&amp;T1", "AGR", 130)</f>
        <v>A janela foi fechada</v>
      </c>
    </row>
    <row r="139" spans="1:10" x14ac:dyDescent="0.25">
      <c r="A139" s="46" t="str">
        <f>RTD("rtdtrading.rtdserver",, "T&amp;T2", "DAT", 131)</f>
        <v>A janela foi fechada</v>
      </c>
      <c r="B139" s="29" t="str">
        <f>RTD("rtdtrading.rtdserver",, "T&amp;T2", "PRE", 131)</f>
        <v>A janela foi fechada</v>
      </c>
      <c r="C139" s="30" t="str">
        <f>RTD("rtdtrading.rtdserver",, "T&amp;T2", "QUL", 131)</f>
        <v>A janela foi fechada</v>
      </c>
      <c r="D139" s="30" t="str">
        <f>RTD("rtdtrading.rtdserver",, "T&amp;T2", "AGR", 131)</f>
        <v>A janela foi fechada</v>
      </c>
      <c r="G139" s="38" t="str">
        <f>RTD("rtdtrading.rtdserver",, "T&amp;T1", "DAT", 131)</f>
        <v>A janela foi fechada</v>
      </c>
      <c r="H139" s="39" t="str">
        <f>RTD("rtdtrading.rtdserver",, "T&amp;T1", "PRE", 131)</f>
        <v>A janela foi fechada</v>
      </c>
      <c r="I139" s="40" t="str">
        <f>RTD("rtdtrading.rtdserver",, "T&amp;T1", "QUL", 131)</f>
        <v>A janela foi fechada</v>
      </c>
      <c r="J139" s="41" t="str">
        <f>RTD("rtdtrading.rtdserver",, "T&amp;T1", "AGR", 131)</f>
        <v>A janela foi fechada</v>
      </c>
    </row>
    <row r="140" spans="1:10" x14ac:dyDescent="0.25">
      <c r="A140" s="46" t="str">
        <f>RTD("rtdtrading.rtdserver",, "T&amp;T2", "DAT", 132)</f>
        <v>A janela foi fechada</v>
      </c>
      <c r="B140" s="29" t="str">
        <f>RTD("rtdtrading.rtdserver",, "T&amp;T2", "PRE", 132)</f>
        <v>A janela foi fechada</v>
      </c>
      <c r="C140" s="30" t="str">
        <f>RTD("rtdtrading.rtdserver",, "T&amp;T2", "QUL", 132)</f>
        <v>A janela foi fechada</v>
      </c>
      <c r="D140" s="30" t="str">
        <f>RTD("rtdtrading.rtdserver",, "T&amp;T2", "AGR", 132)</f>
        <v>A janela foi fechada</v>
      </c>
      <c r="G140" s="38" t="str">
        <f>RTD("rtdtrading.rtdserver",, "T&amp;T1", "DAT", 132)</f>
        <v>A janela foi fechada</v>
      </c>
      <c r="H140" s="39" t="str">
        <f>RTD("rtdtrading.rtdserver",, "T&amp;T1", "PRE", 132)</f>
        <v>A janela foi fechada</v>
      </c>
      <c r="I140" s="40" t="str">
        <f>RTD("rtdtrading.rtdserver",, "T&amp;T1", "QUL", 132)</f>
        <v>A janela foi fechada</v>
      </c>
      <c r="J140" s="41" t="str">
        <f>RTD("rtdtrading.rtdserver",, "T&amp;T1", "AGR", 132)</f>
        <v>A janela foi fechada</v>
      </c>
    </row>
    <row r="141" spans="1:10" x14ac:dyDescent="0.25">
      <c r="A141" s="46" t="str">
        <f>RTD("rtdtrading.rtdserver",, "T&amp;T2", "DAT", 133)</f>
        <v>A janela foi fechada</v>
      </c>
      <c r="B141" s="29" t="str">
        <f>RTD("rtdtrading.rtdserver",, "T&amp;T2", "PRE", 133)</f>
        <v>A janela foi fechada</v>
      </c>
      <c r="C141" s="30" t="str">
        <f>RTD("rtdtrading.rtdserver",, "T&amp;T2", "QUL", 133)</f>
        <v>A janela foi fechada</v>
      </c>
      <c r="D141" s="30" t="str">
        <f>RTD("rtdtrading.rtdserver",, "T&amp;T2", "AGR", 133)</f>
        <v>A janela foi fechada</v>
      </c>
      <c r="G141" s="38" t="str">
        <f>RTD("rtdtrading.rtdserver",, "T&amp;T1", "DAT", 133)</f>
        <v>A janela foi fechada</v>
      </c>
      <c r="H141" s="39" t="str">
        <f>RTD("rtdtrading.rtdserver",, "T&amp;T1", "PRE", 133)</f>
        <v>A janela foi fechada</v>
      </c>
      <c r="I141" s="40" t="str">
        <f>RTD("rtdtrading.rtdserver",, "T&amp;T1", "QUL", 133)</f>
        <v>A janela foi fechada</v>
      </c>
      <c r="J141" s="41" t="str">
        <f>RTD("rtdtrading.rtdserver",, "T&amp;T1", "AGR", 133)</f>
        <v>A janela foi fechada</v>
      </c>
    </row>
    <row r="142" spans="1:10" x14ac:dyDescent="0.25">
      <c r="A142" s="46" t="str">
        <f>RTD("rtdtrading.rtdserver",, "T&amp;T2", "DAT", 134)</f>
        <v>A janela foi fechada</v>
      </c>
      <c r="B142" s="29" t="str">
        <f>RTD("rtdtrading.rtdserver",, "T&amp;T2", "PRE", 134)</f>
        <v>A janela foi fechada</v>
      </c>
      <c r="C142" s="30" t="str">
        <f>RTD("rtdtrading.rtdserver",, "T&amp;T2", "QUL", 134)</f>
        <v>A janela foi fechada</v>
      </c>
      <c r="D142" s="30" t="str">
        <f>RTD("rtdtrading.rtdserver",, "T&amp;T2", "AGR", 134)</f>
        <v>A janela foi fechada</v>
      </c>
      <c r="G142" s="38" t="str">
        <f>RTD("rtdtrading.rtdserver",, "T&amp;T1", "DAT", 134)</f>
        <v>A janela foi fechada</v>
      </c>
      <c r="H142" s="39" t="str">
        <f>RTD("rtdtrading.rtdserver",, "T&amp;T1", "PRE", 134)</f>
        <v>A janela foi fechada</v>
      </c>
      <c r="I142" s="40" t="str">
        <f>RTD("rtdtrading.rtdserver",, "T&amp;T1", "QUL", 134)</f>
        <v>A janela foi fechada</v>
      </c>
      <c r="J142" s="41" t="str">
        <f>RTD("rtdtrading.rtdserver",, "T&amp;T1", "AGR", 134)</f>
        <v>A janela foi fechada</v>
      </c>
    </row>
    <row r="143" spans="1:10" x14ac:dyDescent="0.25">
      <c r="A143" s="46" t="str">
        <f>RTD("rtdtrading.rtdserver",, "T&amp;T2", "DAT", 135)</f>
        <v>A janela foi fechada</v>
      </c>
      <c r="B143" s="29" t="str">
        <f>RTD("rtdtrading.rtdserver",, "T&amp;T2", "PRE", 135)</f>
        <v>A janela foi fechada</v>
      </c>
      <c r="C143" s="30" t="str">
        <f>RTD("rtdtrading.rtdserver",, "T&amp;T2", "QUL", 135)</f>
        <v>A janela foi fechada</v>
      </c>
      <c r="D143" s="30" t="str">
        <f>RTD("rtdtrading.rtdserver",, "T&amp;T2", "AGR", 135)</f>
        <v>A janela foi fechada</v>
      </c>
      <c r="G143" s="38" t="str">
        <f>RTD("rtdtrading.rtdserver",, "T&amp;T1", "DAT", 135)</f>
        <v>A janela foi fechada</v>
      </c>
      <c r="H143" s="39" t="str">
        <f>RTD("rtdtrading.rtdserver",, "T&amp;T1", "PRE", 135)</f>
        <v>A janela foi fechada</v>
      </c>
      <c r="I143" s="40" t="str">
        <f>RTD("rtdtrading.rtdserver",, "T&amp;T1", "QUL", 135)</f>
        <v>A janela foi fechada</v>
      </c>
      <c r="J143" s="41" t="str">
        <f>RTD("rtdtrading.rtdserver",, "T&amp;T1", "AGR", 135)</f>
        <v>A janela foi fechada</v>
      </c>
    </row>
    <row r="144" spans="1:10" x14ac:dyDescent="0.25">
      <c r="A144" s="46" t="str">
        <f>RTD("rtdtrading.rtdserver",, "T&amp;T2", "DAT", 136)</f>
        <v>A janela foi fechada</v>
      </c>
      <c r="B144" s="29" t="str">
        <f>RTD("rtdtrading.rtdserver",, "T&amp;T2", "PRE", 136)</f>
        <v>A janela foi fechada</v>
      </c>
      <c r="C144" s="30" t="str">
        <f>RTD("rtdtrading.rtdserver",, "T&amp;T2", "QUL", 136)</f>
        <v>A janela foi fechada</v>
      </c>
      <c r="D144" s="30" t="str">
        <f>RTD("rtdtrading.rtdserver",, "T&amp;T2", "AGR", 136)</f>
        <v>A janela foi fechada</v>
      </c>
      <c r="G144" s="38" t="str">
        <f>RTD("rtdtrading.rtdserver",, "T&amp;T1", "DAT", 136)</f>
        <v>A janela foi fechada</v>
      </c>
      <c r="H144" s="39" t="str">
        <f>RTD("rtdtrading.rtdserver",, "T&amp;T1", "PRE", 136)</f>
        <v>A janela foi fechada</v>
      </c>
      <c r="I144" s="40" t="str">
        <f>RTD("rtdtrading.rtdserver",, "T&amp;T1", "QUL", 136)</f>
        <v>A janela foi fechada</v>
      </c>
      <c r="J144" s="41" t="str">
        <f>RTD("rtdtrading.rtdserver",, "T&amp;T1", "AGR", 136)</f>
        <v>A janela foi fechada</v>
      </c>
    </row>
    <row r="145" spans="1:10" x14ac:dyDescent="0.25">
      <c r="A145" s="46" t="str">
        <f>RTD("rtdtrading.rtdserver",, "T&amp;T2", "DAT", 137)</f>
        <v>A janela foi fechada</v>
      </c>
      <c r="B145" s="29" t="str">
        <f>RTD("rtdtrading.rtdserver",, "T&amp;T2", "PRE", 137)</f>
        <v>A janela foi fechada</v>
      </c>
      <c r="C145" s="30" t="str">
        <f>RTD("rtdtrading.rtdserver",, "T&amp;T2", "QUL", 137)</f>
        <v>A janela foi fechada</v>
      </c>
      <c r="D145" s="30" t="str">
        <f>RTD("rtdtrading.rtdserver",, "T&amp;T2", "AGR", 137)</f>
        <v>A janela foi fechada</v>
      </c>
      <c r="G145" s="38" t="str">
        <f>RTD("rtdtrading.rtdserver",, "T&amp;T1", "DAT", 137)</f>
        <v>A janela foi fechada</v>
      </c>
      <c r="H145" s="39" t="str">
        <f>RTD("rtdtrading.rtdserver",, "T&amp;T1", "PRE", 137)</f>
        <v>A janela foi fechada</v>
      </c>
      <c r="I145" s="40" t="str">
        <f>RTD("rtdtrading.rtdserver",, "T&amp;T1", "QUL", 137)</f>
        <v>A janela foi fechada</v>
      </c>
      <c r="J145" s="41" t="str">
        <f>RTD("rtdtrading.rtdserver",, "T&amp;T1", "AGR", 137)</f>
        <v>A janela foi fechada</v>
      </c>
    </row>
    <row r="146" spans="1:10" x14ac:dyDescent="0.25">
      <c r="A146" s="46" t="str">
        <f>RTD("rtdtrading.rtdserver",, "T&amp;T2", "DAT", 138)</f>
        <v>A janela foi fechada</v>
      </c>
      <c r="B146" s="29" t="str">
        <f>RTD("rtdtrading.rtdserver",, "T&amp;T2", "PRE", 138)</f>
        <v>A janela foi fechada</v>
      </c>
      <c r="C146" s="30" t="str">
        <f>RTD("rtdtrading.rtdserver",, "T&amp;T2", "QUL", 138)</f>
        <v>A janela foi fechada</v>
      </c>
      <c r="D146" s="30" t="str">
        <f>RTD("rtdtrading.rtdserver",, "T&amp;T2", "AGR", 138)</f>
        <v>A janela foi fechada</v>
      </c>
      <c r="G146" s="38" t="str">
        <f>RTD("rtdtrading.rtdserver",, "T&amp;T1", "DAT", 138)</f>
        <v>A janela foi fechada</v>
      </c>
      <c r="H146" s="39" t="str">
        <f>RTD("rtdtrading.rtdserver",, "T&amp;T1", "PRE", 138)</f>
        <v>A janela foi fechada</v>
      </c>
      <c r="I146" s="40" t="str">
        <f>RTD("rtdtrading.rtdserver",, "T&amp;T1", "QUL", 138)</f>
        <v>A janela foi fechada</v>
      </c>
      <c r="J146" s="41" t="str">
        <f>RTD("rtdtrading.rtdserver",, "T&amp;T1", "AGR", 138)</f>
        <v>A janela foi fechada</v>
      </c>
    </row>
    <row r="147" spans="1:10" x14ac:dyDescent="0.25">
      <c r="A147" s="46" t="str">
        <f>RTD("rtdtrading.rtdserver",, "T&amp;T2", "DAT", 139)</f>
        <v>A janela foi fechada</v>
      </c>
      <c r="B147" s="29" t="str">
        <f>RTD("rtdtrading.rtdserver",, "T&amp;T2", "PRE", 139)</f>
        <v>A janela foi fechada</v>
      </c>
      <c r="C147" s="30" t="str">
        <f>RTD("rtdtrading.rtdserver",, "T&amp;T2", "QUL", 139)</f>
        <v>A janela foi fechada</v>
      </c>
      <c r="D147" s="30" t="str">
        <f>RTD("rtdtrading.rtdserver",, "T&amp;T2", "AGR", 139)</f>
        <v>A janela foi fechada</v>
      </c>
      <c r="G147" s="38" t="str">
        <f>RTD("rtdtrading.rtdserver",, "T&amp;T1", "DAT", 139)</f>
        <v>A janela foi fechada</v>
      </c>
      <c r="H147" s="39" t="str">
        <f>RTD("rtdtrading.rtdserver",, "T&amp;T1", "PRE", 139)</f>
        <v>A janela foi fechada</v>
      </c>
      <c r="I147" s="40" t="str">
        <f>RTD("rtdtrading.rtdserver",, "T&amp;T1", "QUL", 139)</f>
        <v>A janela foi fechada</v>
      </c>
      <c r="J147" s="41" t="str">
        <f>RTD("rtdtrading.rtdserver",, "T&amp;T1", "AGR", 139)</f>
        <v>A janela foi fechada</v>
      </c>
    </row>
    <row r="148" spans="1:10" x14ac:dyDescent="0.25">
      <c r="A148" s="46" t="str">
        <f>RTD("rtdtrading.rtdserver",, "T&amp;T2", "DAT", 140)</f>
        <v>A janela foi fechada</v>
      </c>
      <c r="B148" s="29" t="str">
        <f>RTD("rtdtrading.rtdserver",, "T&amp;T2", "PRE", 140)</f>
        <v>A janela foi fechada</v>
      </c>
      <c r="C148" s="30" t="str">
        <f>RTD("rtdtrading.rtdserver",, "T&amp;T2", "QUL", 140)</f>
        <v>A janela foi fechada</v>
      </c>
      <c r="D148" s="30" t="str">
        <f>RTD("rtdtrading.rtdserver",, "T&amp;T2", "AGR", 140)</f>
        <v>A janela foi fechada</v>
      </c>
      <c r="G148" s="38" t="str">
        <f>RTD("rtdtrading.rtdserver",, "T&amp;T1", "DAT", 140)</f>
        <v>A janela foi fechada</v>
      </c>
      <c r="H148" s="39" t="str">
        <f>RTD("rtdtrading.rtdserver",, "T&amp;T1", "PRE", 140)</f>
        <v>A janela foi fechada</v>
      </c>
      <c r="I148" s="40" t="str">
        <f>RTD("rtdtrading.rtdserver",, "T&amp;T1", "QUL", 140)</f>
        <v>A janela foi fechada</v>
      </c>
      <c r="J148" s="41" t="str">
        <f>RTD("rtdtrading.rtdserver",, "T&amp;T1", "AGR", 140)</f>
        <v>A janela foi fechada</v>
      </c>
    </row>
    <row r="149" spans="1:10" x14ac:dyDescent="0.25">
      <c r="A149" s="46" t="str">
        <f>RTD("rtdtrading.rtdserver",, "T&amp;T2", "DAT", 141)</f>
        <v>A janela foi fechada</v>
      </c>
      <c r="B149" s="29" t="str">
        <f>RTD("rtdtrading.rtdserver",, "T&amp;T2", "PRE", 141)</f>
        <v>A janela foi fechada</v>
      </c>
      <c r="C149" s="30" t="str">
        <f>RTD("rtdtrading.rtdserver",, "T&amp;T2", "QUL", 141)</f>
        <v>A janela foi fechada</v>
      </c>
      <c r="D149" s="30" t="str">
        <f>RTD("rtdtrading.rtdserver",, "T&amp;T2", "AGR", 141)</f>
        <v>A janela foi fechada</v>
      </c>
      <c r="G149" s="38" t="str">
        <f>RTD("rtdtrading.rtdserver",, "T&amp;T1", "DAT", 141)</f>
        <v>A janela foi fechada</v>
      </c>
      <c r="H149" s="39" t="str">
        <f>RTD("rtdtrading.rtdserver",, "T&amp;T1", "PRE", 141)</f>
        <v>A janela foi fechada</v>
      </c>
      <c r="I149" s="40" t="str">
        <f>RTD("rtdtrading.rtdserver",, "T&amp;T1", "QUL", 141)</f>
        <v>A janela foi fechada</v>
      </c>
      <c r="J149" s="41" t="str">
        <f>RTD("rtdtrading.rtdserver",, "T&amp;T1", "AGR", 141)</f>
        <v>A janela foi fechada</v>
      </c>
    </row>
    <row r="150" spans="1:10" x14ac:dyDescent="0.25">
      <c r="A150" s="46" t="str">
        <f>RTD("rtdtrading.rtdserver",, "T&amp;T2", "DAT", 142)</f>
        <v>A janela foi fechada</v>
      </c>
      <c r="B150" s="29" t="str">
        <f>RTD("rtdtrading.rtdserver",, "T&amp;T2", "PRE", 142)</f>
        <v>A janela foi fechada</v>
      </c>
      <c r="C150" s="30" t="str">
        <f>RTD("rtdtrading.rtdserver",, "T&amp;T2", "QUL", 142)</f>
        <v>A janela foi fechada</v>
      </c>
      <c r="D150" s="30" t="str">
        <f>RTD("rtdtrading.rtdserver",, "T&amp;T2", "AGR", 142)</f>
        <v>A janela foi fechada</v>
      </c>
      <c r="G150" s="38" t="str">
        <f>RTD("rtdtrading.rtdserver",, "T&amp;T1", "DAT", 142)</f>
        <v>A janela foi fechada</v>
      </c>
      <c r="H150" s="39" t="str">
        <f>RTD("rtdtrading.rtdserver",, "T&amp;T1", "PRE", 142)</f>
        <v>A janela foi fechada</v>
      </c>
      <c r="I150" s="40" t="str">
        <f>RTD("rtdtrading.rtdserver",, "T&amp;T1", "QUL", 142)</f>
        <v>A janela foi fechada</v>
      </c>
      <c r="J150" s="41" t="str">
        <f>RTD("rtdtrading.rtdserver",, "T&amp;T1", "AGR", 142)</f>
        <v>A janela foi fechada</v>
      </c>
    </row>
    <row r="151" spans="1:10" x14ac:dyDescent="0.25">
      <c r="A151" s="46" t="str">
        <f>RTD("rtdtrading.rtdserver",, "T&amp;T2", "DAT", 143)</f>
        <v>A janela foi fechada</v>
      </c>
      <c r="B151" s="29" t="str">
        <f>RTD("rtdtrading.rtdserver",, "T&amp;T2", "PRE", 143)</f>
        <v>A janela foi fechada</v>
      </c>
      <c r="C151" s="30" t="str">
        <f>RTD("rtdtrading.rtdserver",, "T&amp;T2", "QUL", 143)</f>
        <v>A janela foi fechada</v>
      </c>
      <c r="D151" s="30" t="str">
        <f>RTD("rtdtrading.rtdserver",, "T&amp;T2", "AGR", 143)</f>
        <v>A janela foi fechada</v>
      </c>
      <c r="G151" s="38" t="str">
        <f>RTD("rtdtrading.rtdserver",, "T&amp;T1", "DAT", 143)</f>
        <v>A janela foi fechada</v>
      </c>
      <c r="H151" s="39" t="str">
        <f>RTD("rtdtrading.rtdserver",, "T&amp;T1", "PRE", 143)</f>
        <v>A janela foi fechada</v>
      </c>
      <c r="I151" s="40" t="str">
        <f>RTD("rtdtrading.rtdserver",, "T&amp;T1", "QUL", 143)</f>
        <v>A janela foi fechada</v>
      </c>
      <c r="J151" s="41" t="str">
        <f>RTD("rtdtrading.rtdserver",, "T&amp;T1", "AGR", 143)</f>
        <v>A janela foi fechada</v>
      </c>
    </row>
    <row r="152" spans="1:10" x14ac:dyDescent="0.25">
      <c r="A152" s="46" t="str">
        <f>RTD("rtdtrading.rtdserver",, "T&amp;T2", "DAT", 144)</f>
        <v>A janela foi fechada</v>
      </c>
      <c r="B152" s="29" t="str">
        <f>RTD("rtdtrading.rtdserver",, "T&amp;T2", "PRE", 144)</f>
        <v>A janela foi fechada</v>
      </c>
      <c r="C152" s="30" t="str">
        <f>RTD("rtdtrading.rtdserver",, "T&amp;T2", "QUL", 144)</f>
        <v>A janela foi fechada</v>
      </c>
      <c r="D152" s="30" t="str">
        <f>RTD("rtdtrading.rtdserver",, "T&amp;T2", "AGR", 144)</f>
        <v>A janela foi fechada</v>
      </c>
      <c r="G152" s="38" t="str">
        <f>RTD("rtdtrading.rtdserver",, "T&amp;T1", "DAT", 144)</f>
        <v>A janela foi fechada</v>
      </c>
      <c r="H152" s="39" t="str">
        <f>RTD("rtdtrading.rtdserver",, "T&amp;T1", "PRE", 144)</f>
        <v>A janela foi fechada</v>
      </c>
      <c r="I152" s="40" t="str">
        <f>RTD("rtdtrading.rtdserver",, "T&amp;T1", "QUL", 144)</f>
        <v>A janela foi fechada</v>
      </c>
      <c r="J152" s="41" t="str">
        <f>RTD("rtdtrading.rtdserver",, "T&amp;T1", "AGR", 144)</f>
        <v>A janela foi fechada</v>
      </c>
    </row>
    <row r="153" spans="1:10" x14ac:dyDescent="0.25">
      <c r="A153" s="46" t="str">
        <f>RTD("rtdtrading.rtdserver",, "T&amp;T2", "DAT", 145)</f>
        <v>A janela foi fechada</v>
      </c>
      <c r="B153" s="29" t="str">
        <f>RTD("rtdtrading.rtdserver",, "T&amp;T2", "PRE", 145)</f>
        <v>A janela foi fechada</v>
      </c>
      <c r="C153" s="30" t="str">
        <f>RTD("rtdtrading.rtdserver",, "T&amp;T2", "QUL", 145)</f>
        <v>A janela foi fechada</v>
      </c>
      <c r="D153" s="30" t="str">
        <f>RTD("rtdtrading.rtdserver",, "T&amp;T2", "AGR", 145)</f>
        <v>A janela foi fechada</v>
      </c>
      <c r="G153" s="38" t="str">
        <f>RTD("rtdtrading.rtdserver",, "T&amp;T1", "DAT", 145)</f>
        <v>A janela foi fechada</v>
      </c>
      <c r="H153" s="39" t="str">
        <f>RTD("rtdtrading.rtdserver",, "T&amp;T1", "PRE", 145)</f>
        <v>A janela foi fechada</v>
      </c>
      <c r="I153" s="40" t="str">
        <f>RTD("rtdtrading.rtdserver",, "T&amp;T1", "QUL", 145)</f>
        <v>A janela foi fechada</v>
      </c>
      <c r="J153" s="41" t="str">
        <f>RTD("rtdtrading.rtdserver",, "T&amp;T1", "AGR", 145)</f>
        <v>A janela foi fechada</v>
      </c>
    </row>
    <row r="154" spans="1:10" x14ac:dyDescent="0.25">
      <c r="A154" s="46" t="str">
        <f>RTD("rtdtrading.rtdserver",, "T&amp;T2", "DAT", 146)</f>
        <v>A janela foi fechada</v>
      </c>
      <c r="B154" s="29" t="str">
        <f>RTD("rtdtrading.rtdserver",, "T&amp;T2", "PRE", 146)</f>
        <v>A janela foi fechada</v>
      </c>
      <c r="C154" s="30" t="str">
        <f>RTD("rtdtrading.rtdserver",, "T&amp;T2", "QUL", 146)</f>
        <v>A janela foi fechada</v>
      </c>
      <c r="D154" s="30" t="str">
        <f>RTD("rtdtrading.rtdserver",, "T&amp;T2", "AGR", 146)</f>
        <v>A janela foi fechada</v>
      </c>
      <c r="G154" s="38" t="str">
        <f>RTD("rtdtrading.rtdserver",, "T&amp;T1", "DAT", 146)</f>
        <v>A janela foi fechada</v>
      </c>
      <c r="H154" s="39" t="str">
        <f>RTD("rtdtrading.rtdserver",, "T&amp;T1", "PRE", 146)</f>
        <v>A janela foi fechada</v>
      </c>
      <c r="I154" s="40" t="str">
        <f>RTD("rtdtrading.rtdserver",, "T&amp;T1", "QUL", 146)</f>
        <v>A janela foi fechada</v>
      </c>
      <c r="J154" s="41" t="str">
        <f>RTD("rtdtrading.rtdserver",, "T&amp;T1", "AGR", 146)</f>
        <v>A janela foi fechada</v>
      </c>
    </row>
    <row r="155" spans="1:10" x14ac:dyDescent="0.25">
      <c r="A155" s="46" t="str">
        <f>RTD("rtdtrading.rtdserver",, "T&amp;T2", "DAT", 147)</f>
        <v>A janela foi fechada</v>
      </c>
      <c r="B155" s="29" t="str">
        <f>RTD("rtdtrading.rtdserver",, "T&amp;T2", "PRE", 147)</f>
        <v>A janela foi fechada</v>
      </c>
      <c r="C155" s="30" t="str">
        <f>RTD("rtdtrading.rtdserver",, "T&amp;T2", "QUL", 147)</f>
        <v>A janela foi fechada</v>
      </c>
      <c r="D155" s="30" t="str">
        <f>RTD("rtdtrading.rtdserver",, "T&amp;T2", "AGR", 147)</f>
        <v>A janela foi fechada</v>
      </c>
      <c r="G155" s="38" t="str">
        <f>RTD("rtdtrading.rtdserver",, "T&amp;T1", "DAT", 147)</f>
        <v>A janela foi fechada</v>
      </c>
      <c r="H155" s="39" t="str">
        <f>RTD("rtdtrading.rtdserver",, "T&amp;T1", "PRE", 147)</f>
        <v>A janela foi fechada</v>
      </c>
      <c r="I155" s="40" t="str">
        <f>RTD("rtdtrading.rtdserver",, "T&amp;T1", "QUL", 147)</f>
        <v>A janela foi fechada</v>
      </c>
      <c r="J155" s="41" t="str">
        <f>RTD("rtdtrading.rtdserver",, "T&amp;T1", "AGR", 147)</f>
        <v>A janela foi fechada</v>
      </c>
    </row>
    <row r="156" spans="1:10" x14ac:dyDescent="0.25">
      <c r="A156" s="46" t="str">
        <f>RTD("rtdtrading.rtdserver",, "T&amp;T2", "DAT", 148)</f>
        <v>A janela foi fechada</v>
      </c>
      <c r="B156" s="29" t="str">
        <f>RTD("rtdtrading.rtdserver",, "T&amp;T2", "PRE", 148)</f>
        <v>A janela foi fechada</v>
      </c>
      <c r="C156" s="30" t="str">
        <f>RTD("rtdtrading.rtdserver",, "T&amp;T2", "QUL", 148)</f>
        <v>A janela foi fechada</v>
      </c>
      <c r="D156" s="30" t="str">
        <f>RTD("rtdtrading.rtdserver",, "T&amp;T2", "AGR", 148)</f>
        <v>A janela foi fechada</v>
      </c>
      <c r="G156" s="38" t="str">
        <f>RTD("rtdtrading.rtdserver",, "T&amp;T1", "DAT", 148)</f>
        <v>A janela foi fechada</v>
      </c>
      <c r="H156" s="39" t="str">
        <f>RTD("rtdtrading.rtdserver",, "T&amp;T1", "PRE", 148)</f>
        <v>A janela foi fechada</v>
      </c>
      <c r="I156" s="40" t="str">
        <f>RTD("rtdtrading.rtdserver",, "T&amp;T1", "QUL", 148)</f>
        <v>A janela foi fechada</v>
      </c>
      <c r="J156" s="41" t="str">
        <f>RTD("rtdtrading.rtdserver",, "T&amp;T1", "AGR", 148)</f>
        <v>A janela foi fechada</v>
      </c>
    </row>
    <row r="157" spans="1:10" x14ac:dyDescent="0.25">
      <c r="A157" s="46" t="str">
        <f>RTD("rtdtrading.rtdserver",, "T&amp;T2", "DAT", 149)</f>
        <v>A janela foi fechada</v>
      </c>
      <c r="B157" s="29" t="str">
        <f>RTD("rtdtrading.rtdserver",, "T&amp;T2", "PRE", 149)</f>
        <v>A janela foi fechada</v>
      </c>
      <c r="C157" s="30" t="str">
        <f>RTD("rtdtrading.rtdserver",, "T&amp;T2", "QUL", 149)</f>
        <v>A janela foi fechada</v>
      </c>
      <c r="D157" s="30" t="str">
        <f>RTD("rtdtrading.rtdserver",, "T&amp;T2", "AGR", 149)</f>
        <v>A janela foi fechada</v>
      </c>
      <c r="G157" s="38" t="str">
        <f>RTD("rtdtrading.rtdserver",, "T&amp;T1", "DAT", 149)</f>
        <v>A janela foi fechada</v>
      </c>
      <c r="H157" s="39" t="str">
        <f>RTD("rtdtrading.rtdserver",, "T&amp;T1", "PRE", 149)</f>
        <v>A janela foi fechada</v>
      </c>
      <c r="I157" s="40" t="str">
        <f>RTD("rtdtrading.rtdserver",, "T&amp;T1", "QUL", 149)</f>
        <v>A janela foi fechada</v>
      </c>
      <c r="J157" s="41" t="str">
        <f>RTD("rtdtrading.rtdserver",, "T&amp;T1", "AGR", 149)</f>
        <v>A janela foi fechada</v>
      </c>
    </row>
    <row r="158" spans="1:10" x14ac:dyDescent="0.25">
      <c r="A158" s="46" t="str">
        <f>RTD("rtdtrading.rtdserver",, "T&amp;T2", "DAT", 150)</f>
        <v>A janela foi fechada</v>
      </c>
      <c r="B158" s="29" t="str">
        <f>RTD("rtdtrading.rtdserver",, "T&amp;T2", "PRE", 150)</f>
        <v>A janela foi fechada</v>
      </c>
      <c r="C158" s="30" t="str">
        <f>RTD("rtdtrading.rtdserver",, "T&amp;T2", "QUL", 150)</f>
        <v>A janela foi fechada</v>
      </c>
      <c r="D158" s="30" t="str">
        <f>RTD("rtdtrading.rtdserver",, "T&amp;T2", "AGR", 150)</f>
        <v>A janela foi fechada</v>
      </c>
      <c r="G158" s="38" t="str">
        <f>RTD("rtdtrading.rtdserver",, "T&amp;T1", "DAT", 150)</f>
        <v>A janela foi fechada</v>
      </c>
      <c r="H158" s="39" t="str">
        <f>RTD("rtdtrading.rtdserver",, "T&amp;T1", "PRE", 150)</f>
        <v>A janela foi fechada</v>
      </c>
      <c r="I158" s="40" t="str">
        <f>RTD("rtdtrading.rtdserver",, "T&amp;T1", "QUL", 150)</f>
        <v>A janela foi fechada</v>
      </c>
      <c r="J158" s="41" t="str">
        <f>RTD("rtdtrading.rtdserver",, "T&amp;T1", "AGR", 150)</f>
        <v>A janela foi fechada</v>
      </c>
    </row>
    <row r="159" spans="1:10" x14ac:dyDescent="0.25">
      <c r="A159" s="46" t="str">
        <f>RTD("rtdtrading.rtdserver",, "T&amp;T2", "DAT", 151)</f>
        <v>A janela foi fechada</v>
      </c>
      <c r="B159" s="29" t="str">
        <f>RTD("rtdtrading.rtdserver",, "T&amp;T2", "PRE", 151)</f>
        <v>A janela foi fechada</v>
      </c>
      <c r="C159" s="30" t="str">
        <f>RTD("rtdtrading.rtdserver",, "T&amp;T2", "QUL", 151)</f>
        <v>A janela foi fechada</v>
      </c>
      <c r="D159" s="30" t="str">
        <f>RTD("rtdtrading.rtdserver",, "T&amp;T2", "AGR", 151)</f>
        <v>A janela foi fechada</v>
      </c>
      <c r="G159" s="38" t="str">
        <f>RTD("rtdtrading.rtdserver",, "T&amp;T1", "DAT", 151)</f>
        <v>A janela foi fechada</v>
      </c>
      <c r="H159" s="39" t="str">
        <f>RTD("rtdtrading.rtdserver",, "T&amp;T1", "PRE", 151)</f>
        <v>A janela foi fechada</v>
      </c>
      <c r="I159" s="40" t="str">
        <f>RTD("rtdtrading.rtdserver",, "T&amp;T1", "QUL", 151)</f>
        <v>A janela foi fechada</v>
      </c>
      <c r="J159" s="41" t="str">
        <f>RTD("rtdtrading.rtdserver",, "T&amp;T1", "AGR", 151)</f>
        <v>A janela foi fechada</v>
      </c>
    </row>
    <row r="160" spans="1:10" x14ac:dyDescent="0.25">
      <c r="A160" s="46" t="str">
        <f>RTD("rtdtrading.rtdserver",, "T&amp;T2", "DAT", 152)</f>
        <v>A janela foi fechada</v>
      </c>
      <c r="B160" s="29" t="str">
        <f>RTD("rtdtrading.rtdserver",, "T&amp;T2", "PRE", 152)</f>
        <v>A janela foi fechada</v>
      </c>
      <c r="C160" s="30" t="str">
        <f>RTD("rtdtrading.rtdserver",, "T&amp;T2", "QUL", 152)</f>
        <v>A janela foi fechada</v>
      </c>
      <c r="D160" s="30" t="str">
        <f>RTD("rtdtrading.rtdserver",, "T&amp;T2", "AGR", 152)</f>
        <v>A janela foi fechada</v>
      </c>
      <c r="G160" s="38" t="str">
        <f>RTD("rtdtrading.rtdserver",, "T&amp;T1", "DAT", 152)</f>
        <v>A janela foi fechada</v>
      </c>
      <c r="H160" s="39" t="str">
        <f>RTD("rtdtrading.rtdserver",, "T&amp;T1", "PRE", 152)</f>
        <v>A janela foi fechada</v>
      </c>
      <c r="I160" s="40" t="str">
        <f>RTD("rtdtrading.rtdserver",, "T&amp;T1", "QUL", 152)</f>
        <v>A janela foi fechada</v>
      </c>
      <c r="J160" s="41" t="str">
        <f>RTD("rtdtrading.rtdserver",, "T&amp;T1", "AGR", 152)</f>
        <v>A janela foi fechada</v>
      </c>
    </row>
    <row r="161" spans="1:10" x14ac:dyDescent="0.25">
      <c r="A161" s="46" t="str">
        <f>RTD("rtdtrading.rtdserver",, "T&amp;T2", "DAT", 153)</f>
        <v>A janela foi fechada</v>
      </c>
      <c r="B161" s="29" t="str">
        <f>RTD("rtdtrading.rtdserver",, "T&amp;T2", "PRE", 153)</f>
        <v>A janela foi fechada</v>
      </c>
      <c r="C161" s="30" t="str">
        <f>RTD("rtdtrading.rtdserver",, "T&amp;T2", "QUL", 153)</f>
        <v>A janela foi fechada</v>
      </c>
      <c r="D161" s="30" t="str">
        <f>RTD("rtdtrading.rtdserver",, "T&amp;T2", "AGR", 153)</f>
        <v>A janela foi fechada</v>
      </c>
      <c r="G161" s="38" t="str">
        <f>RTD("rtdtrading.rtdserver",, "T&amp;T1", "DAT", 153)</f>
        <v>A janela foi fechada</v>
      </c>
      <c r="H161" s="39" t="str">
        <f>RTD("rtdtrading.rtdserver",, "T&amp;T1", "PRE", 153)</f>
        <v>A janela foi fechada</v>
      </c>
      <c r="I161" s="40" t="str">
        <f>RTD("rtdtrading.rtdserver",, "T&amp;T1", "QUL", 153)</f>
        <v>A janela foi fechada</v>
      </c>
      <c r="J161" s="41" t="str">
        <f>RTD("rtdtrading.rtdserver",, "T&amp;T1", "AGR", 153)</f>
        <v>A janela foi fechada</v>
      </c>
    </row>
    <row r="162" spans="1:10" x14ac:dyDescent="0.25">
      <c r="A162" s="46" t="str">
        <f>RTD("rtdtrading.rtdserver",, "T&amp;T2", "DAT", 154)</f>
        <v>A janela foi fechada</v>
      </c>
      <c r="B162" s="29" t="str">
        <f>RTD("rtdtrading.rtdserver",, "T&amp;T2", "PRE", 154)</f>
        <v>A janela foi fechada</v>
      </c>
      <c r="C162" s="30" t="str">
        <f>RTD("rtdtrading.rtdserver",, "T&amp;T2", "QUL", 154)</f>
        <v>A janela foi fechada</v>
      </c>
      <c r="D162" s="30" t="str">
        <f>RTD("rtdtrading.rtdserver",, "T&amp;T2", "AGR", 154)</f>
        <v>A janela foi fechada</v>
      </c>
      <c r="G162" s="38" t="str">
        <f>RTD("rtdtrading.rtdserver",, "T&amp;T1", "DAT", 154)</f>
        <v>A janela foi fechada</v>
      </c>
      <c r="H162" s="39" t="str">
        <f>RTD("rtdtrading.rtdserver",, "T&amp;T1", "PRE", 154)</f>
        <v>A janela foi fechada</v>
      </c>
      <c r="I162" s="40" t="str">
        <f>RTD("rtdtrading.rtdserver",, "T&amp;T1", "QUL", 154)</f>
        <v>A janela foi fechada</v>
      </c>
      <c r="J162" s="41" t="str">
        <f>RTD("rtdtrading.rtdserver",, "T&amp;T1", "AGR", 154)</f>
        <v>A janela foi fechada</v>
      </c>
    </row>
    <row r="163" spans="1:10" x14ac:dyDescent="0.25">
      <c r="A163" s="46" t="str">
        <f>RTD("rtdtrading.rtdserver",, "T&amp;T2", "DAT", 155)</f>
        <v>A janela foi fechada</v>
      </c>
      <c r="B163" s="29" t="str">
        <f>RTD("rtdtrading.rtdserver",, "T&amp;T2", "PRE", 155)</f>
        <v>A janela foi fechada</v>
      </c>
      <c r="C163" s="30" t="str">
        <f>RTD("rtdtrading.rtdserver",, "T&amp;T2", "QUL", 155)</f>
        <v>A janela foi fechada</v>
      </c>
      <c r="D163" s="30" t="str">
        <f>RTD("rtdtrading.rtdserver",, "T&amp;T2", "AGR", 155)</f>
        <v>A janela foi fechada</v>
      </c>
      <c r="G163" s="38" t="str">
        <f>RTD("rtdtrading.rtdserver",, "T&amp;T1", "DAT", 155)</f>
        <v>A janela foi fechada</v>
      </c>
      <c r="H163" s="39" t="str">
        <f>RTD("rtdtrading.rtdserver",, "T&amp;T1", "PRE", 155)</f>
        <v>A janela foi fechada</v>
      </c>
      <c r="I163" s="40" t="str">
        <f>RTD("rtdtrading.rtdserver",, "T&amp;T1", "QUL", 155)</f>
        <v>A janela foi fechada</v>
      </c>
      <c r="J163" s="41" t="str">
        <f>RTD("rtdtrading.rtdserver",, "T&amp;T1", "AGR", 155)</f>
        <v>A janela foi fechada</v>
      </c>
    </row>
    <row r="164" spans="1:10" x14ac:dyDescent="0.25">
      <c r="A164" s="46" t="str">
        <f>RTD("rtdtrading.rtdserver",, "T&amp;T2", "DAT", 156)</f>
        <v>A janela foi fechada</v>
      </c>
      <c r="B164" s="29" t="str">
        <f>RTD("rtdtrading.rtdserver",, "T&amp;T2", "PRE", 156)</f>
        <v>A janela foi fechada</v>
      </c>
      <c r="C164" s="30" t="str">
        <f>RTD("rtdtrading.rtdserver",, "T&amp;T2", "QUL", 156)</f>
        <v>A janela foi fechada</v>
      </c>
      <c r="D164" s="30" t="str">
        <f>RTD("rtdtrading.rtdserver",, "T&amp;T2", "AGR", 156)</f>
        <v>A janela foi fechada</v>
      </c>
      <c r="G164" s="38" t="str">
        <f>RTD("rtdtrading.rtdserver",, "T&amp;T1", "DAT", 156)</f>
        <v>A janela foi fechada</v>
      </c>
      <c r="H164" s="39" t="str">
        <f>RTD("rtdtrading.rtdserver",, "T&amp;T1", "PRE", 156)</f>
        <v>A janela foi fechada</v>
      </c>
      <c r="I164" s="40" t="str">
        <f>RTD("rtdtrading.rtdserver",, "T&amp;T1", "QUL", 156)</f>
        <v>A janela foi fechada</v>
      </c>
      <c r="J164" s="41" t="str">
        <f>RTD("rtdtrading.rtdserver",, "T&amp;T1", "AGR", 156)</f>
        <v>A janela foi fechada</v>
      </c>
    </row>
    <row r="165" spans="1:10" x14ac:dyDescent="0.25">
      <c r="A165" s="46" t="str">
        <f>RTD("rtdtrading.rtdserver",, "T&amp;T2", "DAT", 157)</f>
        <v>A janela foi fechada</v>
      </c>
      <c r="B165" s="29" t="str">
        <f>RTD("rtdtrading.rtdserver",, "T&amp;T2", "PRE", 157)</f>
        <v>A janela foi fechada</v>
      </c>
      <c r="C165" s="30" t="str">
        <f>RTD("rtdtrading.rtdserver",, "T&amp;T2", "QUL", 157)</f>
        <v>A janela foi fechada</v>
      </c>
      <c r="D165" s="30" t="str">
        <f>RTD("rtdtrading.rtdserver",, "T&amp;T2", "AGR", 157)</f>
        <v>A janela foi fechada</v>
      </c>
      <c r="G165" s="38" t="str">
        <f>RTD("rtdtrading.rtdserver",, "T&amp;T1", "DAT", 157)</f>
        <v>A janela foi fechada</v>
      </c>
      <c r="H165" s="39" t="str">
        <f>RTD("rtdtrading.rtdserver",, "T&amp;T1", "PRE", 157)</f>
        <v>A janela foi fechada</v>
      </c>
      <c r="I165" s="40" t="str">
        <f>RTD("rtdtrading.rtdserver",, "T&amp;T1", "QUL", 157)</f>
        <v>A janela foi fechada</v>
      </c>
      <c r="J165" s="41" t="str">
        <f>RTD("rtdtrading.rtdserver",, "T&amp;T1", "AGR", 157)</f>
        <v>A janela foi fechada</v>
      </c>
    </row>
    <row r="166" spans="1:10" x14ac:dyDescent="0.25">
      <c r="A166" s="46" t="str">
        <f>RTD("rtdtrading.rtdserver",, "T&amp;T2", "DAT", 158)</f>
        <v>A janela foi fechada</v>
      </c>
      <c r="B166" s="29" t="str">
        <f>RTD("rtdtrading.rtdserver",, "T&amp;T2", "PRE", 158)</f>
        <v>A janela foi fechada</v>
      </c>
      <c r="C166" s="30" t="str">
        <f>RTD("rtdtrading.rtdserver",, "T&amp;T2", "QUL", 158)</f>
        <v>A janela foi fechada</v>
      </c>
      <c r="D166" s="30" t="str">
        <f>RTD("rtdtrading.rtdserver",, "T&amp;T2", "AGR", 158)</f>
        <v>A janela foi fechada</v>
      </c>
      <c r="G166" s="38" t="str">
        <f>RTD("rtdtrading.rtdserver",, "T&amp;T1", "DAT", 158)</f>
        <v>A janela foi fechada</v>
      </c>
      <c r="H166" s="39" t="str">
        <f>RTD("rtdtrading.rtdserver",, "T&amp;T1", "PRE", 158)</f>
        <v>A janela foi fechada</v>
      </c>
      <c r="I166" s="40" t="str">
        <f>RTD("rtdtrading.rtdserver",, "T&amp;T1", "QUL", 158)</f>
        <v>A janela foi fechada</v>
      </c>
      <c r="J166" s="41" t="str">
        <f>RTD("rtdtrading.rtdserver",, "T&amp;T1", "AGR", 158)</f>
        <v>A janela foi fechada</v>
      </c>
    </row>
    <row r="167" spans="1:10" x14ac:dyDescent="0.25">
      <c r="A167" s="46" t="str">
        <f>RTD("rtdtrading.rtdserver",, "T&amp;T2", "DAT", 159)</f>
        <v>A janela foi fechada</v>
      </c>
      <c r="B167" s="29" t="str">
        <f>RTD("rtdtrading.rtdserver",, "T&amp;T2", "PRE", 159)</f>
        <v>A janela foi fechada</v>
      </c>
      <c r="C167" s="30" t="str">
        <f>RTD("rtdtrading.rtdserver",, "T&amp;T2", "QUL", 159)</f>
        <v>A janela foi fechada</v>
      </c>
      <c r="D167" s="30" t="str">
        <f>RTD("rtdtrading.rtdserver",, "T&amp;T2", "AGR", 159)</f>
        <v>A janela foi fechada</v>
      </c>
      <c r="G167" s="38" t="str">
        <f>RTD("rtdtrading.rtdserver",, "T&amp;T1", "DAT", 159)</f>
        <v>A janela foi fechada</v>
      </c>
      <c r="H167" s="39" t="str">
        <f>RTD("rtdtrading.rtdserver",, "T&amp;T1", "PRE", 159)</f>
        <v>A janela foi fechada</v>
      </c>
      <c r="I167" s="40" t="str">
        <f>RTD("rtdtrading.rtdserver",, "T&amp;T1", "QUL", 159)</f>
        <v>A janela foi fechada</v>
      </c>
      <c r="J167" s="41" t="str">
        <f>RTD("rtdtrading.rtdserver",, "T&amp;T1", "AGR", 159)</f>
        <v>A janela foi fechada</v>
      </c>
    </row>
    <row r="168" spans="1:10" x14ac:dyDescent="0.25">
      <c r="A168" s="46" t="str">
        <f>RTD("rtdtrading.rtdserver",, "T&amp;T2", "DAT", 160)</f>
        <v>A janela foi fechada</v>
      </c>
      <c r="B168" s="29" t="str">
        <f>RTD("rtdtrading.rtdserver",, "T&amp;T2", "PRE", 160)</f>
        <v>A janela foi fechada</v>
      </c>
      <c r="C168" s="30" t="str">
        <f>RTD("rtdtrading.rtdserver",, "T&amp;T2", "QUL", 160)</f>
        <v>A janela foi fechada</v>
      </c>
      <c r="D168" s="30" t="str">
        <f>RTD("rtdtrading.rtdserver",, "T&amp;T2", "AGR", 160)</f>
        <v>A janela foi fechada</v>
      </c>
      <c r="G168" s="38" t="str">
        <f>RTD("rtdtrading.rtdserver",, "T&amp;T1", "DAT", 160)</f>
        <v>A janela foi fechada</v>
      </c>
      <c r="H168" s="39" t="str">
        <f>RTD("rtdtrading.rtdserver",, "T&amp;T1", "PRE", 160)</f>
        <v>A janela foi fechada</v>
      </c>
      <c r="I168" s="40" t="str">
        <f>RTD("rtdtrading.rtdserver",, "T&amp;T1", "QUL", 160)</f>
        <v>A janela foi fechada</v>
      </c>
      <c r="J168" s="41" t="str">
        <f>RTD("rtdtrading.rtdserver",, "T&amp;T1", "AGR", 160)</f>
        <v>A janela foi fechada</v>
      </c>
    </row>
    <row r="169" spans="1:10" x14ac:dyDescent="0.25">
      <c r="A169" s="46" t="str">
        <f>RTD("rtdtrading.rtdserver",, "T&amp;T2", "DAT", 161)</f>
        <v>A janela foi fechada</v>
      </c>
      <c r="B169" s="29" t="str">
        <f>RTD("rtdtrading.rtdserver",, "T&amp;T2", "PRE", 161)</f>
        <v>A janela foi fechada</v>
      </c>
      <c r="C169" s="30" t="str">
        <f>RTD("rtdtrading.rtdserver",, "T&amp;T2", "QUL", 161)</f>
        <v>A janela foi fechada</v>
      </c>
      <c r="D169" s="30" t="str">
        <f>RTD("rtdtrading.rtdserver",, "T&amp;T2", "AGR", 161)</f>
        <v>A janela foi fechada</v>
      </c>
      <c r="G169" s="38" t="str">
        <f>RTD("rtdtrading.rtdserver",, "T&amp;T1", "DAT", 161)</f>
        <v>A janela foi fechada</v>
      </c>
      <c r="H169" s="39" t="str">
        <f>RTD("rtdtrading.rtdserver",, "T&amp;T1", "PRE", 161)</f>
        <v>A janela foi fechada</v>
      </c>
      <c r="I169" s="40" t="str">
        <f>RTD("rtdtrading.rtdserver",, "T&amp;T1", "QUL", 161)</f>
        <v>A janela foi fechada</v>
      </c>
      <c r="J169" s="41" t="str">
        <f>RTD("rtdtrading.rtdserver",, "T&amp;T1", "AGR", 161)</f>
        <v>A janela foi fechada</v>
      </c>
    </row>
    <row r="170" spans="1:10" x14ac:dyDescent="0.25">
      <c r="A170" s="46" t="str">
        <f>RTD("rtdtrading.rtdserver",, "T&amp;T2", "DAT", 162)</f>
        <v>A janela foi fechada</v>
      </c>
      <c r="B170" s="29" t="str">
        <f>RTD("rtdtrading.rtdserver",, "T&amp;T2", "PRE", 162)</f>
        <v>A janela foi fechada</v>
      </c>
      <c r="C170" s="30" t="str">
        <f>RTD("rtdtrading.rtdserver",, "T&amp;T2", "QUL", 162)</f>
        <v>A janela foi fechada</v>
      </c>
      <c r="D170" s="30" t="str">
        <f>RTD("rtdtrading.rtdserver",, "T&amp;T2", "AGR", 162)</f>
        <v>A janela foi fechada</v>
      </c>
      <c r="G170" s="38" t="str">
        <f>RTD("rtdtrading.rtdserver",, "T&amp;T1", "DAT", 162)</f>
        <v>A janela foi fechada</v>
      </c>
      <c r="H170" s="39" t="str">
        <f>RTD("rtdtrading.rtdserver",, "T&amp;T1", "PRE", 162)</f>
        <v>A janela foi fechada</v>
      </c>
      <c r="I170" s="40" t="str">
        <f>RTD("rtdtrading.rtdserver",, "T&amp;T1", "QUL", 162)</f>
        <v>A janela foi fechada</v>
      </c>
      <c r="J170" s="41" t="str">
        <f>RTD("rtdtrading.rtdserver",, "T&amp;T1", "AGR", 162)</f>
        <v>A janela foi fechada</v>
      </c>
    </row>
    <row r="171" spans="1:10" x14ac:dyDescent="0.25">
      <c r="A171" s="46" t="str">
        <f>RTD("rtdtrading.rtdserver",, "T&amp;T2", "DAT", 163)</f>
        <v>A janela foi fechada</v>
      </c>
      <c r="B171" s="29" t="str">
        <f>RTD("rtdtrading.rtdserver",, "T&amp;T2", "PRE", 163)</f>
        <v>A janela foi fechada</v>
      </c>
      <c r="C171" s="30" t="str">
        <f>RTD("rtdtrading.rtdserver",, "T&amp;T2", "QUL", 163)</f>
        <v>A janela foi fechada</v>
      </c>
      <c r="D171" s="30" t="str">
        <f>RTD("rtdtrading.rtdserver",, "T&amp;T2", "AGR", 163)</f>
        <v>A janela foi fechada</v>
      </c>
      <c r="G171" s="38" t="str">
        <f>RTD("rtdtrading.rtdserver",, "T&amp;T1", "DAT", 163)</f>
        <v>A janela foi fechada</v>
      </c>
      <c r="H171" s="39" t="str">
        <f>RTD("rtdtrading.rtdserver",, "T&amp;T1", "PRE", 163)</f>
        <v>A janela foi fechada</v>
      </c>
      <c r="I171" s="40" t="str">
        <f>RTD("rtdtrading.rtdserver",, "T&amp;T1", "QUL", 163)</f>
        <v>A janela foi fechada</v>
      </c>
      <c r="J171" s="41" t="str">
        <f>RTD("rtdtrading.rtdserver",, "T&amp;T1", "AGR", 163)</f>
        <v>A janela foi fechada</v>
      </c>
    </row>
    <row r="172" spans="1:10" x14ac:dyDescent="0.25">
      <c r="A172" s="46" t="str">
        <f>RTD("rtdtrading.rtdserver",, "T&amp;T2", "DAT", 164)</f>
        <v>A janela foi fechada</v>
      </c>
      <c r="B172" s="29" t="str">
        <f>RTD("rtdtrading.rtdserver",, "T&amp;T2", "PRE", 164)</f>
        <v>A janela foi fechada</v>
      </c>
      <c r="C172" s="30" t="str">
        <f>RTD("rtdtrading.rtdserver",, "T&amp;T2", "QUL", 164)</f>
        <v>A janela foi fechada</v>
      </c>
      <c r="D172" s="30" t="str">
        <f>RTD("rtdtrading.rtdserver",, "T&amp;T2", "AGR", 164)</f>
        <v>A janela foi fechada</v>
      </c>
      <c r="G172" s="38" t="str">
        <f>RTD("rtdtrading.rtdserver",, "T&amp;T1", "DAT", 164)</f>
        <v>A janela foi fechada</v>
      </c>
      <c r="H172" s="39" t="str">
        <f>RTD("rtdtrading.rtdserver",, "T&amp;T1", "PRE", 164)</f>
        <v>A janela foi fechada</v>
      </c>
      <c r="I172" s="40" t="str">
        <f>RTD("rtdtrading.rtdserver",, "T&amp;T1", "QUL", 164)</f>
        <v>A janela foi fechada</v>
      </c>
      <c r="J172" s="41" t="str">
        <f>RTD("rtdtrading.rtdserver",, "T&amp;T1", "AGR", 164)</f>
        <v>A janela foi fechada</v>
      </c>
    </row>
    <row r="173" spans="1:10" x14ac:dyDescent="0.25">
      <c r="A173" s="46" t="str">
        <f>RTD("rtdtrading.rtdserver",, "T&amp;T2", "DAT", 165)</f>
        <v>A janela foi fechada</v>
      </c>
      <c r="B173" s="29" t="str">
        <f>RTD("rtdtrading.rtdserver",, "T&amp;T2", "PRE", 165)</f>
        <v>A janela foi fechada</v>
      </c>
      <c r="C173" s="30" t="str">
        <f>RTD("rtdtrading.rtdserver",, "T&amp;T2", "QUL", 165)</f>
        <v>A janela foi fechada</v>
      </c>
      <c r="D173" s="30" t="str">
        <f>RTD("rtdtrading.rtdserver",, "T&amp;T2", "AGR", 165)</f>
        <v>A janela foi fechada</v>
      </c>
      <c r="G173" s="38" t="str">
        <f>RTD("rtdtrading.rtdserver",, "T&amp;T1", "DAT", 165)</f>
        <v>A janela foi fechada</v>
      </c>
      <c r="H173" s="39" t="str">
        <f>RTD("rtdtrading.rtdserver",, "T&amp;T1", "PRE", 165)</f>
        <v>A janela foi fechada</v>
      </c>
      <c r="I173" s="40" t="str">
        <f>RTD("rtdtrading.rtdserver",, "T&amp;T1", "QUL", 165)</f>
        <v>A janela foi fechada</v>
      </c>
      <c r="J173" s="41" t="str">
        <f>RTD("rtdtrading.rtdserver",, "T&amp;T1", "AGR", 165)</f>
        <v>A janela foi fechada</v>
      </c>
    </row>
    <row r="174" spans="1:10" x14ac:dyDescent="0.25">
      <c r="A174" s="46" t="str">
        <f>RTD("rtdtrading.rtdserver",, "T&amp;T2", "DAT", 166)</f>
        <v>A janela foi fechada</v>
      </c>
      <c r="B174" s="29" t="str">
        <f>RTD("rtdtrading.rtdserver",, "T&amp;T2", "PRE", 166)</f>
        <v>A janela foi fechada</v>
      </c>
      <c r="C174" s="30" t="str">
        <f>RTD("rtdtrading.rtdserver",, "T&amp;T2", "QUL", 166)</f>
        <v>A janela foi fechada</v>
      </c>
      <c r="D174" s="30" t="str">
        <f>RTD("rtdtrading.rtdserver",, "T&amp;T2", "AGR", 166)</f>
        <v>A janela foi fechada</v>
      </c>
      <c r="G174" s="38" t="str">
        <f>RTD("rtdtrading.rtdserver",, "T&amp;T1", "DAT", 166)</f>
        <v>A janela foi fechada</v>
      </c>
      <c r="H174" s="39" t="str">
        <f>RTD("rtdtrading.rtdserver",, "T&amp;T1", "PRE", 166)</f>
        <v>A janela foi fechada</v>
      </c>
      <c r="I174" s="40" t="str">
        <f>RTD("rtdtrading.rtdserver",, "T&amp;T1", "QUL", 166)</f>
        <v>A janela foi fechada</v>
      </c>
      <c r="J174" s="41" t="str">
        <f>RTD("rtdtrading.rtdserver",, "T&amp;T1", "AGR", 166)</f>
        <v>A janela foi fechada</v>
      </c>
    </row>
    <row r="175" spans="1:10" x14ac:dyDescent="0.25">
      <c r="A175" s="46" t="str">
        <f>RTD("rtdtrading.rtdserver",, "T&amp;T2", "DAT", 167)</f>
        <v>A janela foi fechada</v>
      </c>
      <c r="B175" s="29" t="str">
        <f>RTD("rtdtrading.rtdserver",, "T&amp;T2", "PRE", 167)</f>
        <v>A janela foi fechada</v>
      </c>
      <c r="C175" s="30" t="str">
        <f>RTD("rtdtrading.rtdserver",, "T&amp;T2", "QUL", 167)</f>
        <v>A janela foi fechada</v>
      </c>
      <c r="D175" s="30" t="str">
        <f>RTD("rtdtrading.rtdserver",, "T&amp;T2", "AGR", 167)</f>
        <v>A janela foi fechada</v>
      </c>
      <c r="G175" s="38" t="str">
        <f>RTD("rtdtrading.rtdserver",, "T&amp;T1", "DAT", 167)</f>
        <v>A janela foi fechada</v>
      </c>
      <c r="H175" s="39" t="str">
        <f>RTD("rtdtrading.rtdserver",, "T&amp;T1", "PRE", 167)</f>
        <v>A janela foi fechada</v>
      </c>
      <c r="I175" s="40" t="str">
        <f>RTD("rtdtrading.rtdserver",, "T&amp;T1", "QUL", 167)</f>
        <v>A janela foi fechada</v>
      </c>
      <c r="J175" s="41" t="str">
        <f>RTD("rtdtrading.rtdserver",, "T&amp;T1", "AGR", 167)</f>
        <v>A janela foi fechada</v>
      </c>
    </row>
    <row r="176" spans="1:10" x14ac:dyDescent="0.25">
      <c r="A176" s="46" t="str">
        <f>RTD("rtdtrading.rtdserver",, "T&amp;T2", "DAT", 168)</f>
        <v>A janela foi fechada</v>
      </c>
      <c r="B176" s="29" t="str">
        <f>RTD("rtdtrading.rtdserver",, "T&amp;T2", "PRE", 168)</f>
        <v>A janela foi fechada</v>
      </c>
      <c r="C176" s="30" t="str">
        <f>RTD("rtdtrading.rtdserver",, "T&amp;T2", "QUL", 168)</f>
        <v>A janela foi fechada</v>
      </c>
      <c r="D176" s="30" t="str">
        <f>RTD("rtdtrading.rtdserver",, "T&amp;T2", "AGR", 168)</f>
        <v>A janela foi fechada</v>
      </c>
      <c r="G176" s="38" t="str">
        <f>RTD("rtdtrading.rtdserver",, "T&amp;T1", "DAT", 168)</f>
        <v>A janela foi fechada</v>
      </c>
      <c r="H176" s="39" t="str">
        <f>RTD("rtdtrading.rtdserver",, "T&amp;T1", "PRE", 168)</f>
        <v>A janela foi fechada</v>
      </c>
      <c r="I176" s="40" t="str">
        <f>RTD("rtdtrading.rtdserver",, "T&amp;T1", "QUL", 168)</f>
        <v>A janela foi fechada</v>
      </c>
      <c r="J176" s="41" t="str">
        <f>RTD("rtdtrading.rtdserver",, "T&amp;T1", "AGR", 168)</f>
        <v>A janela foi fechada</v>
      </c>
    </row>
    <row r="177" spans="1:10" x14ac:dyDescent="0.25">
      <c r="A177" s="46" t="str">
        <f>RTD("rtdtrading.rtdserver",, "T&amp;T2", "DAT", 169)</f>
        <v>A janela foi fechada</v>
      </c>
      <c r="B177" s="29" t="str">
        <f>RTD("rtdtrading.rtdserver",, "T&amp;T2", "PRE", 169)</f>
        <v>A janela foi fechada</v>
      </c>
      <c r="C177" s="30" t="str">
        <f>RTD("rtdtrading.rtdserver",, "T&amp;T2", "QUL", 169)</f>
        <v>A janela foi fechada</v>
      </c>
      <c r="D177" s="30" t="str">
        <f>RTD("rtdtrading.rtdserver",, "T&amp;T2", "AGR", 169)</f>
        <v>A janela foi fechada</v>
      </c>
      <c r="G177" s="38" t="str">
        <f>RTD("rtdtrading.rtdserver",, "T&amp;T1", "DAT", 169)</f>
        <v>A janela foi fechada</v>
      </c>
      <c r="H177" s="39" t="str">
        <f>RTD("rtdtrading.rtdserver",, "T&amp;T1", "PRE", 169)</f>
        <v>A janela foi fechada</v>
      </c>
      <c r="I177" s="40" t="str">
        <f>RTD("rtdtrading.rtdserver",, "T&amp;T1", "QUL", 169)</f>
        <v>A janela foi fechada</v>
      </c>
      <c r="J177" s="41" t="str">
        <f>RTD("rtdtrading.rtdserver",, "T&amp;T1", "AGR", 169)</f>
        <v>A janela foi fechada</v>
      </c>
    </row>
    <row r="178" spans="1:10" x14ac:dyDescent="0.25">
      <c r="A178" s="46" t="str">
        <f>RTD("rtdtrading.rtdserver",, "T&amp;T2", "DAT", 170)</f>
        <v>A janela foi fechada</v>
      </c>
      <c r="B178" s="29" t="str">
        <f>RTD("rtdtrading.rtdserver",, "T&amp;T2", "PRE", 170)</f>
        <v>A janela foi fechada</v>
      </c>
      <c r="C178" s="30" t="str">
        <f>RTD("rtdtrading.rtdserver",, "T&amp;T2", "QUL", 170)</f>
        <v>A janela foi fechada</v>
      </c>
      <c r="D178" s="30" t="str">
        <f>RTD("rtdtrading.rtdserver",, "T&amp;T2", "AGR", 170)</f>
        <v>A janela foi fechada</v>
      </c>
      <c r="G178" s="38" t="str">
        <f>RTD("rtdtrading.rtdserver",, "T&amp;T1", "DAT", 170)</f>
        <v>A janela foi fechada</v>
      </c>
      <c r="H178" s="39" t="str">
        <f>RTD("rtdtrading.rtdserver",, "T&amp;T1", "PRE", 170)</f>
        <v>A janela foi fechada</v>
      </c>
      <c r="I178" s="40" t="str">
        <f>RTD("rtdtrading.rtdserver",, "T&amp;T1", "QUL", 170)</f>
        <v>A janela foi fechada</v>
      </c>
      <c r="J178" s="41" t="str">
        <f>RTD("rtdtrading.rtdserver",, "T&amp;T1", "AGR", 170)</f>
        <v>A janela foi fechada</v>
      </c>
    </row>
    <row r="179" spans="1:10" x14ac:dyDescent="0.25">
      <c r="A179" s="46" t="str">
        <f>RTD("rtdtrading.rtdserver",, "T&amp;T2", "DAT", 171)</f>
        <v>A janela foi fechada</v>
      </c>
      <c r="B179" s="29" t="str">
        <f>RTD("rtdtrading.rtdserver",, "T&amp;T2", "PRE", 171)</f>
        <v>A janela foi fechada</v>
      </c>
      <c r="C179" s="30" t="str">
        <f>RTD("rtdtrading.rtdserver",, "T&amp;T2", "QUL", 171)</f>
        <v>A janela foi fechada</v>
      </c>
      <c r="D179" s="30" t="str">
        <f>RTD("rtdtrading.rtdserver",, "T&amp;T2", "AGR", 171)</f>
        <v>A janela foi fechada</v>
      </c>
      <c r="G179" s="38" t="str">
        <f>RTD("rtdtrading.rtdserver",, "T&amp;T1", "DAT", 171)</f>
        <v>A janela foi fechada</v>
      </c>
      <c r="H179" s="39" t="str">
        <f>RTD("rtdtrading.rtdserver",, "T&amp;T1", "PRE", 171)</f>
        <v>A janela foi fechada</v>
      </c>
      <c r="I179" s="40" t="str">
        <f>RTD("rtdtrading.rtdserver",, "T&amp;T1", "QUL", 171)</f>
        <v>A janela foi fechada</v>
      </c>
      <c r="J179" s="41" t="str">
        <f>RTD("rtdtrading.rtdserver",, "T&amp;T1", "AGR", 171)</f>
        <v>A janela foi fechada</v>
      </c>
    </row>
    <row r="180" spans="1:10" x14ac:dyDescent="0.25">
      <c r="A180" s="46" t="str">
        <f>RTD("rtdtrading.rtdserver",, "T&amp;T2", "DAT", 172)</f>
        <v>A janela foi fechada</v>
      </c>
      <c r="B180" s="29" t="str">
        <f>RTD("rtdtrading.rtdserver",, "T&amp;T2", "PRE", 172)</f>
        <v>A janela foi fechada</v>
      </c>
      <c r="C180" s="30" t="str">
        <f>RTD("rtdtrading.rtdserver",, "T&amp;T2", "QUL", 172)</f>
        <v>A janela foi fechada</v>
      </c>
      <c r="D180" s="30" t="str">
        <f>RTD("rtdtrading.rtdserver",, "T&amp;T2", "AGR", 172)</f>
        <v>A janela foi fechada</v>
      </c>
      <c r="G180" s="38" t="str">
        <f>RTD("rtdtrading.rtdserver",, "T&amp;T1", "DAT", 172)</f>
        <v>A janela foi fechada</v>
      </c>
      <c r="H180" s="39" t="str">
        <f>RTD("rtdtrading.rtdserver",, "T&amp;T1", "PRE", 172)</f>
        <v>A janela foi fechada</v>
      </c>
      <c r="I180" s="40" t="str">
        <f>RTD("rtdtrading.rtdserver",, "T&amp;T1", "QUL", 172)</f>
        <v>A janela foi fechada</v>
      </c>
      <c r="J180" s="41" t="str">
        <f>RTD("rtdtrading.rtdserver",, "T&amp;T1", "AGR", 172)</f>
        <v>A janela foi fechada</v>
      </c>
    </row>
    <row r="181" spans="1:10" x14ac:dyDescent="0.25">
      <c r="A181" s="46" t="str">
        <f>RTD("rtdtrading.rtdserver",, "T&amp;T2", "DAT", 173)</f>
        <v>A janela foi fechada</v>
      </c>
      <c r="B181" s="29" t="str">
        <f>RTD("rtdtrading.rtdserver",, "T&amp;T2", "PRE", 173)</f>
        <v>A janela foi fechada</v>
      </c>
      <c r="C181" s="30" t="str">
        <f>RTD("rtdtrading.rtdserver",, "T&amp;T2", "QUL", 173)</f>
        <v>A janela foi fechada</v>
      </c>
      <c r="D181" s="30" t="str">
        <f>RTD("rtdtrading.rtdserver",, "T&amp;T2", "AGR", 173)</f>
        <v>A janela foi fechada</v>
      </c>
      <c r="G181" s="38" t="str">
        <f>RTD("rtdtrading.rtdserver",, "T&amp;T1", "DAT", 173)</f>
        <v>A janela foi fechada</v>
      </c>
      <c r="H181" s="39" t="str">
        <f>RTD("rtdtrading.rtdserver",, "T&amp;T1", "PRE", 173)</f>
        <v>A janela foi fechada</v>
      </c>
      <c r="I181" s="40" t="str">
        <f>RTD("rtdtrading.rtdserver",, "T&amp;T1", "QUL", 173)</f>
        <v>A janela foi fechada</v>
      </c>
      <c r="J181" s="41" t="str">
        <f>RTD("rtdtrading.rtdserver",, "T&amp;T1", "AGR", 173)</f>
        <v>A janela foi fechada</v>
      </c>
    </row>
    <row r="182" spans="1:10" x14ac:dyDescent="0.25">
      <c r="A182" s="46" t="str">
        <f>RTD("rtdtrading.rtdserver",, "T&amp;T2", "DAT", 174)</f>
        <v>A janela foi fechada</v>
      </c>
      <c r="B182" s="29" t="str">
        <f>RTD("rtdtrading.rtdserver",, "T&amp;T2", "PRE", 174)</f>
        <v>A janela foi fechada</v>
      </c>
      <c r="C182" s="30" t="str">
        <f>RTD("rtdtrading.rtdserver",, "T&amp;T2", "QUL", 174)</f>
        <v>A janela foi fechada</v>
      </c>
      <c r="D182" s="30" t="str">
        <f>RTD("rtdtrading.rtdserver",, "T&amp;T2", "AGR", 174)</f>
        <v>A janela foi fechada</v>
      </c>
      <c r="G182" s="38" t="str">
        <f>RTD("rtdtrading.rtdserver",, "T&amp;T1", "DAT", 174)</f>
        <v>A janela foi fechada</v>
      </c>
      <c r="H182" s="39" t="str">
        <f>RTD("rtdtrading.rtdserver",, "T&amp;T1", "PRE", 174)</f>
        <v>A janela foi fechada</v>
      </c>
      <c r="I182" s="40" t="str">
        <f>RTD("rtdtrading.rtdserver",, "T&amp;T1", "QUL", 174)</f>
        <v>A janela foi fechada</v>
      </c>
      <c r="J182" s="41" t="str">
        <f>RTD("rtdtrading.rtdserver",, "T&amp;T1", "AGR", 174)</f>
        <v>A janela foi fechada</v>
      </c>
    </row>
    <row r="183" spans="1:10" x14ac:dyDescent="0.25">
      <c r="A183" s="46" t="str">
        <f>RTD("rtdtrading.rtdserver",, "T&amp;T2", "DAT", 175)</f>
        <v>A janela foi fechada</v>
      </c>
      <c r="B183" s="29" t="str">
        <f>RTD("rtdtrading.rtdserver",, "T&amp;T2", "PRE", 175)</f>
        <v>A janela foi fechada</v>
      </c>
      <c r="C183" s="30" t="str">
        <f>RTD("rtdtrading.rtdserver",, "T&amp;T2", "QUL", 175)</f>
        <v>A janela foi fechada</v>
      </c>
      <c r="D183" s="30" t="str">
        <f>RTD("rtdtrading.rtdserver",, "T&amp;T2", "AGR", 175)</f>
        <v>A janela foi fechada</v>
      </c>
      <c r="G183" s="38" t="str">
        <f>RTD("rtdtrading.rtdserver",, "T&amp;T1", "DAT", 175)</f>
        <v>A janela foi fechada</v>
      </c>
      <c r="H183" s="39" t="str">
        <f>RTD("rtdtrading.rtdserver",, "T&amp;T1", "PRE", 175)</f>
        <v>A janela foi fechada</v>
      </c>
      <c r="I183" s="40" t="str">
        <f>RTD("rtdtrading.rtdserver",, "T&amp;T1", "QUL", 175)</f>
        <v>A janela foi fechada</v>
      </c>
      <c r="J183" s="41" t="str">
        <f>RTD("rtdtrading.rtdserver",, "T&amp;T1", "AGR", 175)</f>
        <v>A janela foi fechada</v>
      </c>
    </row>
    <row r="184" spans="1:10" x14ac:dyDescent="0.25">
      <c r="A184" s="46" t="str">
        <f>RTD("rtdtrading.rtdserver",, "T&amp;T2", "DAT", 176)</f>
        <v>A janela foi fechada</v>
      </c>
      <c r="B184" s="29" t="str">
        <f>RTD("rtdtrading.rtdserver",, "T&amp;T2", "PRE", 176)</f>
        <v>A janela foi fechada</v>
      </c>
      <c r="C184" s="30" t="str">
        <f>RTD("rtdtrading.rtdserver",, "T&amp;T2", "QUL", 176)</f>
        <v>A janela foi fechada</v>
      </c>
      <c r="D184" s="30" t="str">
        <f>RTD("rtdtrading.rtdserver",, "T&amp;T2", "AGR", 176)</f>
        <v>A janela foi fechada</v>
      </c>
      <c r="G184" s="38" t="str">
        <f>RTD("rtdtrading.rtdserver",, "T&amp;T1", "DAT", 176)</f>
        <v>A janela foi fechada</v>
      </c>
      <c r="H184" s="39" t="str">
        <f>RTD("rtdtrading.rtdserver",, "T&amp;T1", "PRE", 176)</f>
        <v>A janela foi fechada</v>
      </c>
      <c r="I184" s="40" t="str">
        <f>RTD("rtdtrading.rtdserver",, "T&amp;T1", "QUL", 176)</f>
        <v>A janela foi fechada</v>
      </c>
      <c r="J184" s="41" t="str">
        <f>RTD("rtdtrading.rtdserver",, "T&amp;T1", "AGR", 176)</f>
        <v>A janela foi fechada</v>
      </c>
    </row>
    <row r="185" spans="1:10" x14ac:dyDescent="0.25">
      <c r="A185" s="46" t="str">
        <f>RTD("rtdtrading.rtdserver",, "T&amp;T2", "DAT", 177)</f>
        <v>A janela foi fechada</v>
      </c>
      <c r="B185" s="29" t="str">
        <f>RTD("rtdtrading.rtdserver",, "T&amp;T2", "PRE", 177)</f>
        <v>A janela foi fechada</v>
      </c>
      <c r="C185" s="30" t="str">
        <f>RTD("rtdtrading.rtdserver",, "T&amp;T2", "QUL", 177)</f>
        <v>A janela foi fechada</v>
      </c>
      <c r="D185" s="30" t="str">
        <f>RTD("rtdtrading.rtdserver",, "T&amp;T2", "AGR", 177)</f>
        <v>A janela foi fechada</v>
      </c>
      <c r="G185" s="38" t="str">
        <f>RTD("rtdtrading.rtdserver",, "T&amp;T1", "DAT", 177)</f>
        <v>A janela foi fechada</v>
      </c>
      <c r="H185" s="39" t="str">
        <f>RTD("rtdtrading.rtdserver",, "T&amp;T1", "PRE", 177)</f>
        <v>A janela foi fechada</v>
      </c>
      <c r="I185" s="40" t="str">
        <f>RTD("rtdtrading.rtdserver",, "T&amp;T1", "QUL", 177)</f>
        <v>A janela foi fechada</v>
      </c>
      <c r="J185" s="41" t="str">
        <f>RTD("rtdtrading.rtdserver",, "T&amp;T1", "AGR", 177)</f>
        <v>A janela foi fechada</v>
      </c>
    </row>
    <row r="186" spans="1:10" x14ac:dyDescent="0.25">
      <c r="A186" s="46" t="str">
        <f>RTD("rtdtrading.rtdserver",, "T&amp;T2", "DAT", 178)</f>
        <v>A janela foi fechada</v>
      </c>
      <c r="B186" s="29" t="str">
        <f>RTD("rtdtrading.rtdserver",, "T&amp;T2", "PRE", 178)</f>
        <v>A janela foi fechada</v>
      </c>
      <c r="C186" s="30" t="str">
        <f>RTD("rtdtrading.rtdserver",, "T&amp;T2", "QUL", 178)</f>
        <v>A janela foi fechada</v>
      </c>
      <c r="D186" s="30" t="str">
        <f>RTD("rtdtrading.rtdserver",, "T&amp;T2", "AGR", 178)</f>
        <v>A janela foi fechada</v>
      </c>
      <c r="G186" s="38" t="str">
        <f>RTD("rtdtrading.rtdserver",, "T&amp;T1", "DAT", 178)</f>
        <v>A janela foi fechada</v>
      </c>
      <c r="H186" s="39" t="str">
        <f>RTD("rtdtrading.rtdserver",, "T&amp;T1", "PRE", 178)</f>
        <v>A janela foi fechada</v>
      </c>
      <c r="I186" s="40" t="str">
        <f>RTD("rtdtrading.rtdserver",, "T&amp;T1", "QUL", 178)</f>
        <v>A janela foi fechada</v>
      </c>
      <c r="J186" s="41" t="str">
        <f>RTD("rtdtrading.rtdserver",, "T&amp;T1", "AGR", 178)</f>
        <v>A janela foi fechada</v>
      </c>
    </row>
    <row r="187" spans="1:10" x14ac:dyDescent="0.25">
      <c r="A187" s="46" t="str">
        <f>RTD("rtdtrading.rtdserver",, "T&amp;T2", "DAT", 179)</f>
        <v>A janela foi fechada</v>
      </c>
      <c r="B187" s="29" t="str">
        <f>RTD("rtdtrading.rtdserver",, "T&amp;T2", "PRE", 179)</f>
        <v>A janela foi fechada</v>
      </c>
      <c r="C187" s="30" t="str">
        <f>RTD("rtdtrading.rtdserver",, "T&amp;T2", "QUL", 179)</f>
        <v>A janela foi fechada</v>
      </c>
      <c r="D187" s="30" t="str">
        <f>RTD("rtdtrading.rtdserver",, "T&amp;T2", "AGR", 179)</f>
        <v>A janela foi fechada</v>
      </c>
      <c r="G187" s="38" t="str">
        <f>RTD("rtdtrading.rtdserver",, "T&amp;T1", "DAT", 179)</f>
        <v>A janela foi fechada</v>
      </c>
      <c r="H187" s="39" t="str">
        <f>RTD("rtdtrading.rtdserver",, "T&amp;T1", "PRE", 179)</f>
        <v>A janela foi fechada</v>
      </c>
      <c r="I187" s="40" t="str">
        <f>RTD("rtdtrading.rtdserver",, "T&amp;T1", "QUL", 179)</f>
        <v>A janela foi fechada</v>
      </c>
      <c r="J187" s="41" t="str">
        <f>RTD("rtdtrading.rtdserver",, "T&amp;T1", "AGR", 179)</f>
        <v>A janela foi fechada</v>
      </c>
    </row>
    <row r="188" spans="1:10" x14ac:dyDescent="0.25">
      <c r="A188" s="46" t="str">
        <f>RTD("rtdtrading.rtdserver",, "T&amp;T2", "DAT", 180)</f>
        <v>A janela foi fechada</v>
      </c>
      <c r="B188" s="29" t="str">
        <f>RTD("rtdtrading.rtdserver",, "T&amp;T2", "PRE", 180)</f>
        <v>A janela foi fechada</v>
      </c>
      <c r="C188" s="30" t="str">
        <f>RTD("rtdtrading.rtdserver",, "T&amp;T2", "QUL", 180)</f>
        <v>A janela foi fechada</v>
      </c>
      <c r="D188" s="30" t="str">
        <f>RTD("rtdtrading.rtdserver",, "T&amp;T2", "AGR", 180)</f>
        <v>A janela foi fechada</v>
      </c>
      <c r="G188" s="38" t="str">
        <f>RTD("rtdtrading.rtdserver",, "T&amp;T1", "DAT", 180)</f>
        <v>A janela foi fechada</v>
      </c>
      <c r="H188" s="39" t="str">
        <f>RTD("rtdtrading.rtdserver",, "T&amp;T1", "PRE", 180)</f>
        <v>A janela foi fechada</v>
      </c>
      <c r="I188" s="40" t="str">
        <f>RTD("rtdtrading.rtdserver",, "T&amp;T1", "QUL", 180)</f>
        <v>A janela foi fechada</v>
      </c>
      <c r="J188" s="41" t="str">
        <f>RTD("rtdtrading.rtdserver",, "T&amp;T1", "AGR", 180)</f>
        <v>A janela foi fechada</v>
      </c>
    </row>
    <row r="189" spans="1:10" x14ac:dyDescent="0.25">
      <c r="A189" s="46" t="str">
        <f>RTD("rtdtrading.rtdserver",, "T&amp;T2", "DAT", 181)</f>
        <v>A janela foi fechada</v>
      </c>
      <c r="B189" s="29" t="str">
        <f>RTD("rtdtrading.rtdserver",, "T&amp;T2", "PRE", 181)</f>
        <v>A janela foi fechada</v>
      </c>
      <c r="C189" s="30" t="str">
        <f>RTD("rtdtrading.rtdserver",, "T&amp;T2", "QUL", 181)</f>
        <v>A janela foi fechada</v>
      </c>
      <c r="D189" s="30" t="str">
        <f>RTD("rtdtrading.rtdserver",, "T&amp;T2", "AGR", 181)</f>
        <v>A janela foi fechada</v>
      </c>
      <c r="G189" s="38" t="str">
        <f>RTD("rtdtrading.rtdserver",, "T&amp;T1", "DAT", 181)</f>
        <v>A janela foi fechada</v>
      </c>
      <c r="H189" s="39" t="str">
        <f>RTD("rtdtrading.rtdserver",, "T&amp;T1", "PRE", 181)</f>
        <v>A janela foi fechada</v>
      </c>
      <c r="I189" s="40" t="str">
        <f>RTD("rtdtrading.rtdserver",, "T&amp;T1", "QUL", 181)</f>
        <v>A janela foi fechada</v>
      </c>
      <c r="J189" s="41" t="str">
        <f>RTD("rtdtrading.rtdserver",, "T&amp;T1", "AGR", 181)</f>
        <v>A janela foi fechada</v>
      </c>
    </row>
    <row r="190" spans="1:10" x14ac:dyDescent="0.25">
      <c r="A190" s="46" t="str">
        <f>RTD("rtdtrading.rtdserver",, "T&amp;T2", "DAT", 182)</f>
        <v>A janela foi fechada</v>
      </c>
      <c r="B190" s="29" t="str">
        <f>RTD("rtdtrading.rtdserver",, "T&amp;T2", "PRE", 182)</f>
        <v>A janela foi fechada</v>
      </c>
      <c r="C190" s="30" t="str">
        <f>RTD("rtdtrading.rtdserver",, "T&amp;T2", "QUL", 182)</f>
        <v>A janela foi fechada</v>
      </c>
      <c r="D190" s="30" t="str">
        <f>RTD("rtdtrading.rtdserver",, "T&amp;T2", "AGR", 182)</f>
        <v>A janela foi fechada</v>
      </c>
      <c r="G190" s="38" t="str">
        <f>RTD("rtdtrading.rtdserver",, "T&amp;T1", "DAT", 182)</f>
        <v>A janela foi fechada</v>
      </c>
      <c r="H190" s="39" t="str">
        <f>RTD("rtdtrading.rtdserver",, "T&amp;T1", "PRE", 182)</f>
        <v>A janela foi fechada</v>
      </c>
      <c r="I190" s="40" t="str">
        <f>RTD("rtdtrading.rtdserver",, "T&amp;T1", "QUL", 182)</f>
        <v>A janela foi fechada</v>
      </c>
      <c r="J190" s="41" t="str">
        <f>RTD("rtdtrading.rtdserver",, "T&amp;T1", "AGR", 182)</f>
        <v>A janela foi fechada</v>
      </c>
    </row>
    <row r="191" spans="1:10" x14ac:dyDescent="0.25">
      <c r="A191" s="46" t="str">
        <f>RTD("rtdtrading.rtdserver",, "T&amp;T2", "DAT", 183)</f>
        <v>A janela foi fechada</v>
      </c>
      <c r="B191" s="29" t="str">
        <f>RTD("rtdtrading.rtdserver",, "T&amp;T2", "PRE", 183)</f>
        <v>A janela foi fechada</v>
      </c>
      <c r="C191" s="30" t="str">
        <f>RTD("rtdtrading.rtdserver",, "T&amp;T2", "QUL", 183)</f>
        <v>A janela foi fechada</v>
      </c>
      <c r="D191" s="30" t="str">
        <f>RTD("rtdtrading.rtdserver",, "T&amp;T2", "AGR", 183)</f>
        <v>A janela foi fechada</v>
      </c>
      <c r="G191" s="38" t="str">
        <f>RTD("rtdtrading.rtdserver",, "T&amp;T1", "DAT", 183)</f>
        <v>A janela foi fechada</v>
      </c>
      <c r="H191" s="39" t="str">
        <f>RTD("rtdtrading.rtdserver",, "T&amp;T1", "PRE", 183)</f>
        <v>A janela foi fechada</v>
      </c>
      <c r="I191" s="40" t="str">
        <f>RTD("rtdtrading.rtdserver",, "T&amp;T1", "QUL", 183)</f>
        <v>A janela foi fechada</v>
      </c>
      <c r="J191" s="41" t="str">
        <f>RTD("rtdtrading.rtdserver",, "T&amp;T1", "AGR", 183)</f>
        <v>A janela foi fechada</v>
      </c>
    </row>
    <row r="192" spans="1:10" x14ac:dyDescent="0.25">
      <c r="A192" s="46" t="str">
        <f>RTD("rtdtrading.rtdserver",, "T&amp;T2", "DAT", 184)</f>
        <v>A janela foi fechada</v>
      </c>
      <c r="B192" s="29" t="str">
        <f>RTD("rtdtrading.rtdserver",, "T&amp;T2", "PRE", 184)</f>
        <v>A janela foi fechada</v>
      </c>
      <c r="C192" s="30" t="str">
        <f>RTD("rtdtrading.rtdserver",, "T&amp;T2", "QUL", 184)</f>
        <v>A janela foi fechada</v>
      </c>
      <c r="D192" s="30" t="str">
        <f>RTD("rtdtrading.rtdserver",, "T&amp;T2", "AGR", 184)</f>
        <v>A janela foi fechada</v>
      </c>
      <c r="G192" s="38" t="str">
        <f>RTD("rtdtrading.rtdserver",, "T&amp;T1", "DAT", 184)</f>
        <v>A janela foi fechada</v>
      </c>
      <c r="H192" s="39" t="str">
        <f>RTD("rtdtrading.rtdserver",, "T&amp;T1", "PRE", 184)</f>
        <v>A janela foi fechada</v>
      </c>
      <c r="I192" s="40" t="str">
        <f>RTD("rtdtrading.rtdserver",, "T&amp;T1", "QUL", 184)</f>
        <v>A janela foi fechada</v>
      </c>
      <c r="J192" s="41" t="str">
        <f>RTD("rtdtrading.rtdserver",, "T&amp;T1", "AGR", 184)</f>
        <v>A janela foi fechada</v>
      </c>
    </row>
    <row r="193" spans="1:10" x14ac:dyDescent="0.25">
      <c r="A193" s="46" t="str">
        <f>RTD("rtdtrading.rtdserver",, "T&amp;T2", "DAT", 185)</f>
        <v>A janela foi fechada</v>
      </c>
      <c r="B193" s="29" t="str">
        <f>RTD("rtdtrading.rtdserver",, "T&amp;T2", "PRE", 185)</f>
        <v>A janela foi fechada</v>
      </c>
      <c r="C193" s="30" t="str">
        <f>RTD("rtdtrading.rtdserver",, "T&amp;T2", "QUL", 185)</f>
        <v>A janela foi fechada</v>
      </c>
      <c r="D193" s="30" t="str">
        <f>RTD("rtdtrading.rtdserver",, "T&amp;T2", "AGR", 185)</f>
        <v>A janela foi fechada</v>
      </c>
      <c r="G193" s="38" t="str">
        <f>RTD("rtdtrading.rtdserver",, "T&amp;T1", "DAT", 185)</f>
        <v>A janela foi fechada</v>
      </c>
      <c r="H193" s="39" t="str">
        <f>RTD("rtdtrading.rtdserver",, "T&amp;T1", "PRE", 185)</f>
        <v>A janela foi fechada</v>
      </c>
      <c r="I193" s="40" t="str">
        <f>RTD("rtdtrading.rtdserver",, "T&amp;T1", "QUL", 185)</f>
        <v>A janela foi fechada</v>
      </c>
      <c r="J193" s="41" t="str">
        <f>RTD("rtdtrading.rtdserver",, "T&amp;T1", "AGR", 185)</f>
        <v>A janela foi fechada</v>
      </c>
    </row>
    <row r="194" spans="1:10" x14ac:dyDescent="0.25">
      <c r="A194" s="46" t="str">
        <f>RTD("rtdtrading.rtdserver",, "T&amp;T2", "DAT", 186)</f>
        <v>A janela foi fechada</v>
      </c>
      <c r="B194" s="29" t="str">
        <f>RTD("rtdtrading.rtdserver",, "T&amp;T2", "PRE", 186)</f>
        <v>A janela foi fechada</v>
      </c>
      <c r="C194" s="30" t="str">
        <f>RTD("rtdtrading.rtdserver",, "T&amp;T2", "QUL", 186)</f>
        <v>A janela foi fechada</v>
      </c>
      <c r="D194" s="30" t="str">
        <f>RTD("rtdtrading.rtdserver",, "T&amp;T2", "AGR", 186)</f>
        <v>A janela foi fechada</v>
      </c>
      <c r="G194" s="38" t="str">
        <f>RTD("rtdtrading.rtdserver",, "T&amp;T1", "DAT", 186)</f>
        <v>A janela foi fechada</v>
      </c>
      <c r="H194" s="39" t="str">
        <f>RTD("rtdtrading.rtdserver",, "T&amp;T1", "PRE", 186)</f>
        <v>A janela foi fechada</v>
      </c>
      <c r="I194" s="40" t="str">
        <f>RTD("rtdtrading.rtdserver",, "T&amp;T1", "QUL", 186)</f>
        <v>A janela foi fechada</v>
      </c>
      <c r="J194" s="41" t="str">
        <f>RTD("rtdtrading.rtdserver",, "T&amp;T1", "AGR", 186)</f>
        <v>A janela foi fechada</v>
      </c>
    </row>
    <row r="195" spans="1:10" x14ac:dyDescent="0.25">
      <c r="A195" s="46" t="str">
        <f>RTD("rtdtrading.rtdserver",, "T&amp;T2", "DAT", 187)</f>
        <v>A janela foi fechada</v>
      </c>
      <c r="B195" s="29" t="str">
        <f>RTD("rtdtrading.rtdserver",, "T&amp;T2", "PRE", 187)</f>
        <v>A janela foi fechada</v>
      </c>
      <c r="C195" s="30" t="str">
        <f>RTD("rtdtrading.rtdserver",, "T&amp;T2", "QUL", 187)</f>
        <v>A janela foi fechada</v>
      </c>
      <c r="D195" s="30" t="str">
        <f>RTD("rtdtrading.rtdserver",, "T&amp;T2", "AGR", 187)</f>
        <v>A janela foi fechada</v>
      </c>
      <c r="G195" s="38" t="str">
        <f>RTD("rtdtrading.rtdserver",, "T&amp;T1", "DAT", 187)</f>
        <v>A janela foi fechada</v>
      </c>
      <c r="H195" s="39" t="str">
        <f>RTD("rtdtrading.rtdserver",, "T&amp;T1", "PRE", 187)</f>
        <v>A janela foi fechada</v>
      </c>
      <c r="I195" s="40" t="str">
        <f>RTD("rtdtrading.rtdserver",, "T&amp;T1", "QUL", 187)</f>
        <v>A janela foi fechada</v>
      </c>
      <c r="J195" s="41" t="str">
        <f>RTD("rtdtrading.rtdserver",, "T&amp;T1", "AGR", 187)</f>
        <v>A janela foi fechada</v>
      </c>
    </row>
    <row r="196" spans="1:10" x14ac:dyDescent="0.25">
      <c r="A196" s="46" t="str">
        <f>RTD("rtdtrading.rtdserver",, "T&amp;T2", "DAT", 188)</f>
        <v>A janela foi fechada</v>
      </c>
      <c r="B196" s="29" t="str">
        <f>RTD("rtdtrading.rtdserver",, "T&amp;T2", "PRE", 188)</f>
        <v>A janela foi fechada</v>
      </c>
      <c r="C196" s="30" t="str">
        <f>RTD("rtdtrading.rtdserver",, "T&amp;T2", "QUL", 188)</f>
        <v>A janela foi fechada</v>
      </c>
      <c r="D196" s="30" t="str">
        <f>RTD("rtdtrading.rtdserver",, "T&amp;T2", "AGR", 188)</f>
        <v>A janela foi fechada</v>
      </c>
      <c r="G196" s="38" t="str">
        <f>RTD("rtdtrading.rtdserver",, "T&amp;T1", "DAT", 188)</f>
        <v>A janela foi fechada</v>
      </c>
      <c r="H196" s="39" t="str">
        <f>RTD("rtdtrading.rtdserver",, "T&amp;T1", "PRE", 188)</f>
        <v>A janela foi fechada</v>
      </c>
      <c r="I196" s="40" t="str">
        <f>RTD("rtdtrading.rtdserver",, "T&amp;T1", "QUL", 188)</f>
        <v>A janela foi fechada</v>
      </c>
      <c r="J196" s="41" t="str">
        <f>RTD("rtdtrading.rtdserver",, "T&amp;T1", "AGR", 188)</f>
        <v>A janela foi fechada</v>
      </c>
    </row>
    <row r="197" spans="1:10" x14ac:dyDescent="0.25">
      <c r="A197" s="46" t="str">
        <f>RTD("rtdtrading.rtdserver",, "T&amp;T2", "DAT", 189)</f>
        <v>A janela foi fechada</v>
      </c>
      <c r="B197" s="29" t="str">
        <f>RTD("rtdtrading.rtdserver",, "T&amp;T2", "PRE", 189)</f>
        <v>A janela foi fechada</v>
      </c>
      <c r="C197" s="30" t="str">
        <f>RTD("rtdtrading.rtdserver",, "T&amp;T2", "QUL", 189)</f>
        <v>A janela foi fechada</v>
      </c>
      <c r="D197" s="30" t="str">
        <f>RTD("rtdtrading.rtdserver",, "T&amp;T2", "AGR", 189)</f>
        <v>A janela foi fechada</v>
      </c>
      <c r="G197" s="38" t="str">
        <f>RTD("rtdtrading.rtdserver",, "T&amp;T1", "DAT", 189)</f>
        <v>A janela foi fechada</v>
      </c>
      <c r="H197" s="39" t="str">
        <f>RTD("rtdtrading.rtdserver",, "T&amp;T1", "PRE", 189)</f>
        <v>A janela foi fechada</v>
      </c>
      <c r="I197" s="40" t="str">
        <f>RTD("rtdtrading.rtdserver",, "T&amp;T1", "QUL", 189)</f>
        <v>A janela foi fechada</v>
      </c>
      <c r="J197" s="41" t="str">
        <f>RTD("rtdtrading.rtdserver",, "T&amp;T1", "AGR", 189)</f>
        <v>A janela foi fechada</v>
      </c>
    </row>
    <row r="198" spans="1:10" x14ac:dyDescent="0.25">
      <c r="A198" s="46" t="str">
        <f>RTD("rtdtrading.rtdserver",, "T&amp;T2", "DAT", 190)</f>
        <v>A janela foi fechada</v>
      </c>
      <c r="B198" s="29" t="str">
        <f>RTD("rtdtrading.rtdserver",, "T&amp;T2", "PRE", 190)</f>
        <v>A janela foi fechada</v>
      </c>
      <c r="C198" s="30" t="str">
        <f>RTD("rtdtrading.rtdserver",, "T&amp;T2", "QUL", 190)</f>
        <v>A janela foi fechada</v>
      </c>
      <c r="D198" s="30" t="str">
        <f>RTD("rtdtrading.rtdserver",, "T&amp;T2", "AGR", 190)</f>
        <v>A janela foi fechada</v>
      </c>
      <c r="G198" s="38" t="str">
        <f>RTD("rtdtrading.rtdserver",, "T&amp;T1", "DAT", 190)</f>
        <v>A janela foi fechada</v>
      </c>
      <c r="H198" s="39" t="str">
        <f>RTD("rtdtrading.rtdserver",, "T&amp;T1", "PRE", 190)</f>
        <v>A janela foi fechada</v>
      </c>
      <c r="I198" s="40" t="str">
        <f>RTD("rtdtrading.rtdserver",, "T&amp;T1", "QUL", 190)</f>
        <v>A janela foi fechada</v>
      </c>
      <c r="J198" s="41" t="str">
        <f>RTD("rtdtrading.rtdserver",, "T&amp;T1", "AGR", 190)</f>
        <v>A janela foi fechada</v>
      </c>
    </row>
    <row r="199" spans="1:10" x14ac:dyDescent="0.25">
      <c r="A199" s="46" t="str">
        <f>RTD("rtdtrading.rtdserver",, "T&amp;T2", "DAT", 191)</f>
        <v>A janela foi fechada</v>
      </c>
      <c r="B199" s="29" t="str">
        <f>RTD("rtdtrading.rtdserver",, "T&amp;T2", "PRE", 191)</f>
        <v>A janela foi fechada</v>
      </c>
      <c r="C199" s="30" t="str">
        <f>RTD("rtdtrading.rtdserver",, "T&amp;T2", "QUL", 191)</f>
        <v>A janela foi fechada</v>
      </c>
      <c r="D199" s="30" t="str">
        <f>RTD("rtdtrading.rtdserver",, "T&amp;T2", "AGR", 191)</f>
        <v>A janela foi fechada</v>
      </c>
      <c r="G199" s="38" t="str">
        <f>RTD("rtdtrading.rtdserver",, "T&amp;T1", "DAT", 191)</f>
        <v>A janela foi fechada</v>
      </c>
      <c r="H199" s="39" t="str">
        <f>RTD("rtdtrading.rtdserver",, "T&amp;T1", "PRE", 191)</f>
        <v>A janela foi fechada</v>
      </c>
      <c r="I199" s="40" t="str">
        <f>RTD("rtdtrading.rtdserver",, "T&amp;T1", "QUL", 191)</f>
        <v>A janela foi fechada</v>
      </c>
      <c r="J199" s="41" t="str">
        <f>RTD("rtdtrading.rtdserver",, "T&amp;T1", "AGR", 191)</f>
        <v>A janela foi fechada</v>
      </c>
    </row>
    <row r="200" spans="1:10" x14ac:dyDescent="0.25">
      <c r="A200" s="46" t="str">
        <f>RTD("rtdtrading.rtdserver",, "T&amp;T2", "DAT", 192)</f>
        <v>A janela foi fechada</v>
      </c>
      <c r="B200" s="29" t="str">
        <f>RTD("rtdtrading.rtdserver",, "T&amp;T2", "PRE", 192)</f>
        <v>A janela foi fechada</v>
      </c>
      <c r="C200" s="30" t="str">
        <f>RTD("rtdtrading.rtdserver",, "T&amp;T2", "QUL", 192)</f>
        <v>A janela foi fechada</v>
      </c>
      <c r="D200" s="30" t="str">
        <f>RTD("rtdtrading.rtdserver",, "T&amp;T2", "AGR", 192)</f>
        <v>A janela foi fechada</v>
      </c>
      <c r="G200" s="38" t="str">
        <f>RTD("rtdtrading.rtdserver",, "T&amp;T1", "DAT", 192)</f>
        <v>A janela foi fechada</v>
      </c>
      <c r="H200" s="39" t="str">
        <f>RTD("rtdtrading.rtdserver",, "T&amp;T1", "PRE", 192)</f>
        <v>A janela foi fechada</v>
      </c>
      <c r="I200" s="40" t="str">
        <f>RTD("rtdtrading.rtdserver",, "T&amp;T1", "QUL", 192)</f>
        <v>A janela foi fechada</v>
      </c>
      <c r="J200" s="41" t="str">
        <f>RTD("rtdtrading.rtdserver",, "T&amp;T1", "AGR", 192)</f>
        <v>A janela foi fechada</v>
      </c>
    </row>
    <row r="201" spans="1:10" x14ac:dyDescent="0.25">
      <c r="A201" s="46" t="str">
        <f>RTD("rtdtrading.rtdserver",, "T&amp;T2", "DAT", 193)</f>
        <v>A janela foi fechada</v>
      </c>
      <c r="B201" s="29" t="str">
        <f>RTD("rtdtrading.rtdserver",, "T&amp;T2", "PRE", 193)</f>
        <v>A janela foi fechada</v>
      </c>
      <c r="C201" s="30" t="str">
        <f>RTD("rtdtrading.rtdserver",, "T&amp;T2", "QUL", 193)</f>
        <v>A janela foi fechada</v>
      </c>
      <c r="D201" s="30" t="str">
        <f>RTD("rtdtrading.rtdserver",, "T&amp;T2", "AGR", 193)</f>
        <v>A janela foi fechada</v>
      </c>
      <c r="G201" s="38" t="str">
        <f>RTD("rtdtrading.rtdserver",, "T&amp;T1", "DAT", 193)</f>
        <v>A janela foi fechada</v>
      </c>
      <c r="H201" s="39" t="str">
        <f>RTD("rtdtrading.rtdserver",, "T&amp;T1", "PRE", 193)</f>
        <v>A janela foi fechada</v>
      </c>
      <c r="I201" s="40" t="str">
        <f>RTD("rtdtrading.rtdserver",, "T&amp;T1", "QUL", 193)</f>
        <v>A janela foi fechada</v>
      </c>
      <c r="J201" s="41" t="str">
        <f>RTD("rtdtrading.rtdserver",, "T&amp;T1", "AGR", 193)</f>
        <v>A janela foi fechada</v>
      </c>
    </row>
    <row r="202" spans="1:10" x14ac:dyDescent="0.25">
      <c r="A202" s="46" t="str">
        <f>RTD("rtdtrading.rtdserver",, "T&amp;T2", "DAT", 194)</f>
        <v>A janela foi fechada</v>
      </c>
      <c r="B202" s="29" t="str">
        <f>RTD("rtdtrading.rtdserver",, "T&amp;T2", "PRE", 194)</f>
        <v>A janela foi fechada</v>
      </c>
      <c r="C202" s="30" t="str">
        <f>RTD("rtdtrading.rtdserver",, "T&amp;T2", "QUL", 194)</f>
        <v>A janela foi fechada</v>
      </c>
      <c r="D202" s="30" t="str">
        <f>RTD("rtdtrading.rtdserver",, "T&amp;T2", "AGR", 194)</f>
        <v>A janela foi fechada</v>
      </c>
      <c r="G202" s="38" t="str">
        <f>RTD("rtdtrading.rtdserver",, "T&amp;T1", "DAT", 194)</f>
        <v>A janela foi fechada</v>
      </c>
      <c r="H202" s="39" t="str">
        <f>RTD("rtdtrading.rtdserver",, "T&amp;T1", "PRE", 194)</f>
        <v>A janela foi fechada</v>
      </c>
      <c r="I202" s="40" t="str">
        <f>RTD("rtdtrading.rtdserver",, "T&amp;T1", "QUL", 194)</f>
        <v>A janela foi fechada</v>
      </c>
      <c r="J202" s="41" t="str">
        <f>RTD("rtdtrading.rtdserver",, "T&amp;T1", "AGR", 194)</f>
        <v>A janela foi fechada</v>
      </c>
    </row>
    <row r="203" spans="1:10" x14ac:dyDescent="0.25">
      <c r="A203" s="46" t="str">
        <f>RTD("rtdtrading.rtdserver",, "T&amp;T2", "DAT", 195)</f>
        <v>A janela foi fechada</v>
      </c>
      <c r="B203" s="29" t="str">
        <f>RTD("rtdtrading.rtdserver",, "T&amp;T2", "PRE", 195)</f>
        <v>A janela foi fechada</v>
      </c>
      <c r="C203" s="30" t="str">
        <f>RTD("rtdtrading.rtdserver",, "T&amp;T2", "QUL", 195)</f>
        <v>A janela foi fechada</v>
      </c>
      <c r="D203" s="30" t="str">
        <f>RTD("rtdtrading.rtdserver",, "T&amp;T2", "AGR", 195)</f>
        <v>A janela foi fechada</v>
      </c>
      <c r="G203" s="38" t="str">
        <f>RTD("rtdtrading.rtdserver",, "T&amp;T1", "DAT", 195)</f>
        <v>A janela foi fechada</v>
      </c>
      <c r="H203" s="39" t="str">
        <f>RTD("rtdtrading.rtdserver",, "T&amp;T1", "PRE", 195)</f>
        <v>A janela foi fechada</v>
      </c>
      <c r="I203" s="40" t="str">
        <f>RTD("rtdtrading.rtdserver",, "T&amp;T1", "QUL", 195)</f>
        <v>A janela foi fechada</v>
      </c>
      <c r="J203" s="41" t="str">
        <f>RTD("rtdtrading.rtdserver",, "T&amp;T1", "AGR", 195)</f>
        <v>A janela foi fechada</v>
      </c>
    </row>
    <row r="204" spans="1:10" x14ac:dyDescent="0.25">
      <c r="A204" s="46" t="str">
        <f>RTD("rtdtrading.rtdserver",, "T&amp;T2", "DAT", 196)</f>
        <v>A janela foi fechada</v>
      </c>
      <c r="B204" s="29" t="str">
        <f>RTD("rtdtrading.rtdserver",, "T&amp;T2", "PRE", 196)</f>
        <v>A janela foi fechada</v>
      </c>
      <c r="C204" s="30" t="str">
        <f>RTD("rtdtrading.rtdserver",, "T&amp;T2", "QUL", 196)</f>
        <v>A janela foi fechada</v>
      </c>
      <c r="D204" s="30" t="str">
        <f>RTD("rtdtrading.rtdserver",, "T&amp;T2", "AGR", 196)</f>
        <v>A janela foi fechada</v>
      </c>
      <c r="G204" s="38" t="str">
        <f>RTD("rtdtrading.rtdserver",, "T&amp;T1", "DAT", 196)</f>
        <v>A janela foi fechada</v>
      </c>
      <c r="H204" s="39" t="str">
        <f>RTD("rtdtrading.rtdserver",, "T&amp;T1", "PRE", 196)</f>
        <v>A janela foi fechada</v>
      </c>
      <c r="I204" s="40" t="str">
        <f>RTD("rtdtrading.rtdserver",, "T&amp;T1", "QUL", 196)</f>
        <v>A janela foi fechada</v>
      </c>
      <c r="J204" s="41" t="str">
        <f>RTD("rtdtrading.rtdserver",, "T&amp;T1", "AGR", 196)</f>
        <v>A janela foi fechada</v>
      </c>
    </row>
    <row r="205" spans="1:10" x14ac:dyDescent="0.25">
      <c r="A205" s="46" t="str">
        <f>RTD("rtdtrading.rtdserver",, "T&amp;T2", "DAT", 197)</f>
        <v>A janela foi fechada</v>
      </c>
      <c r="B205" s="29" t="str">
        <f>RTD("rtdtrading.rtdserver",, "T&amp;T2", "PRE", 197)</f>
        <v>A janela foi fechada</v>
      </c>
      <c r="C205" s="30" t="str">
        <f>RTD("rtdtrading.rtdserver",, "T&amp;T2", "QUL", 197)</f>
        <v>A janela foi fechada</v>
      </c>
      <c r="D205" s="30" t="str">
        <f>RTD("rtdtrading.rtdserver",, "T&amp;T2", "AGR", 197)</f>
        <v>A janela foi fechada</v>
      </c>
      <c r="G205" s="38" t="str">
        <f>RTD("rtdtrading.rtdserver",, "T&amp;T1", "DAT", 197)</f>
        <v>A janela foi fechada</v>
      </c>
      <c r="H205" s="39" t="str">
        <f>RTD("rtdtrading.rtdserver",, "T&amp;T1", "PRE", 197)</f>
        <v>A janela foi fechada</v>
      </c>
      <c r="I205" s="40" t="str">
        <f>RTD("rtdtrading.rtdserver",, "T&amp;T1", "QUL", 197)</f>
        <v>A janela foi fechada</v>
      </c>
      <c r="J205" s="41" t="str">
        <f>RTD("rtdtrading.rtdserver",, "T&amp;T1", "AGR", 197)</f>
        <v>A janela foi fechada</v>
      </c>
    </row>
    <row r="206" spans="1:10" x14ac:dyDescent="0.25">
      <c r="A206" s="46" t="str">
        <f>RTD("rtdtrading.rtdserver",, "T&amp;T2", "DAT", 198)</f>
        <v>A janela foi fechada</v>
      </c>
      <c r="B206" s="29" t="str">
        <f>RTD("rtdtrading.rtdserver",, "T&amp;T2", "PRE", 198)</f>
        <v>A janela foi fechada</v>
      </c>
      <c r="C206" s="30" t="str">
        <f>RTD("rtdtrading.rtdserver",, "T&amp;T2", "QUL", 198)</f>
        <v>A janela foi fechada</v>
      </c>
      <c r="D206" s="30" t="str">
        <f>RTD("rtdtrading.rtdserver",, "T&amp;T2", "AGR", 198)</f>
        <v>A janela foi fechada</v>
      </c>
      <c r="G206" s="38" t="str">
        <f>RTD("rtdtrading.rtdserver",, "T&amp;T1", "DAT", 198)</f>
        <v>A janela foi fechada</v>
      </c>
      <c r="H206" s="39" t="str">
        <f>RTD("rtdtrading.rtdserver",, "T&amp;T1", "PRE", 198)</f>
        <v>A janela foi fechada</v>
      </c>
      <c r="I206" s="40" t="str">
        <f>RTD("rtdtrading.rtdserver",, "T&amp;T1", "QUL", 198)</f>
        <v>A janela foi fechada</v>
      </c>
      <c r="J206" s="41" t="str">
        <f>RTD("rtdtrading.rtdserver",, "T&amp;T1", "AGR", 198)</f>
        <v>A janela foi fechada</v>
      </c>
    </row>
    <row r="207" spans="1:10" x14ac:dyDescent="0.25">
      <c r="A207" s="46" t="str">
        <f>RTD("rtdtrading.rtdserver",, "T&amp;T2", "DAT", 199)</f>
        <v>A janela foi fechada</v>
      </c>
      <c r="B207" s="29" t="str">
        <f>RTD("rtdtrading.rtdserver",, "T&amp;T2", "PRE", 199)</f>
        <v>A janela foi fechada</v>
      </c>
      <c r="C207" s="30" t="str">
        <f>RTD("rtdtrading.rtdserver",, "T&amp;T2", "QUL", 199)</f>
        <v>A janela foi fechada</v>
      </c>
      <c r="D207" s="30" t="str">
        <f>RTD("rtdtrading.rtdserver",, "T&amp;T2", "AGR", 199)</f>
        <v>A janela foi fechada</v>
      </c>
      <c r="G207" s="38" t="str">
        <f>RTD("rtdtrading.rtdserver",, "T&amp;T1", "DAT", 199)</f>
        <v>A janela foi fechada</v>
      </c>
      <c r="H207" s="39" t="str">
        <f>RTD("rtdtrading.rtdserver",, "T&amp;T1", "PRE", 199)</f>
        <v>A janela foi fechada</v>
      </c>
      <c r="I207" s="40" t="str">
        <f>RTD("rtdtrading.rtdserver",, "T&amp;T1", "QUL", 199)</f>
        <v>A janela foi fechada</v>
      </c>
      <c r="J207" s="41" t="str">
        <f>RTD("rtdtrading.rtdserver",, "T&amp;T1", "AGR", 199)</f>
        <v>A janela foi fechada</v>
      </c>
    </row>
    <row r="208" spans="1:10" x14ac:dyDescent="0.25">
      <c r="A208" s="46" t="str">
        <f>RTD("rtdtrading.rtdserver",, "T&amp;T2", "DAT", 200)</f>
        <v>A janela foi fechada</v>
      </c>
      <c r="B208" s="29" t="str">
        <f>RTD("rtdtrading.rtdserver",, "T&amp;T2", "PRE", 200)</f>
        <v>A janela foi fechada</v>
      </c>
      <c r="C208" s="30" t="str">
        <f>RTD("rtdtrading.rtdserver",, "T&amp;T2", "QUL", 200)</f>
        <v>A janela foi fechada</v>
      </c>
      <c r="D208" s="30" t="str">
        <f>RTD("rtdtrading.rtdserver",, "T&amp;T2", "AGR", 200)</f>
        <v>A janela foi fechada</v>
      </c>
      <c r="G208" s="38" t="str">
        <f>RTD("rtdtrading.rtdserver",, "T&amp;T1", "DAT", 200)</f>
        <v>A janela foi fechada</v>
      </c>
      <c r="H208" s="39" t="str">
        <f>RTD("rtdtrading.rtdserver",, "T&amp;T1", "PRE", 200)</f>
        <v>A janela foi fechada</v>
      </c>
      <c r="I208" s="40" t="str">
        <f>RTD("rtdtrading.rtdserver",, "T&amp;T1", "QUL", 200)</f>
        <v>A janela foi fechada</v>
      </c>
      <c r="J208" s="41" t="str">
        <f>RTD("rtdtrading.rtdserver",, "T&amp;T1", "AGR", 200)</f>
        <v>A janela foi fechada</v>
      </c>
    </row>
    <row r="209" spans="1:10" x14ac:dyDescent="0.25">
      <c r="A209" s="46" t="str">
        <f>RTD("rtdtrading.rtdserver",, "T&amp;T2", "DAT", 201)</f>
        <v>A janela foi fechada</v>
      </c>
      <c r="B209" s="29" t="str">
        <f>RTD("rtdtrading.rtdserver",, "T&amp;T2", "PRE", 201)</f>
        <v>A janela foi fechada</v>
      </c>
      <c r="C209" s="30" t="str">
        <f>RTD("rtdtrading.rtdserver",, "T&amp;T2", "QUL", 201)</f>
        <v>A janela foi fechada</v>
      </c>
      <c r="D209" s="30" t="str">
        <f>RTD("rtdtrading.rtdserver",, "T&amp;T2", "AGR", 201)</f>
        <v>A janela foi fechada</v>
      </c>
      <c r="G209" s="38" t="str">
        <f>RTD("rtdtrading.rtdserver",, "T&amp;T1", "DAT", 201)</f>
        <v>A janela foi fechada</v>
      </c>
      <c r="H209" s="39" t="str">
        <f>RTD("rtdtrading.rtdserver",, "T&amp;T1", "PRE", 201)</f>
        <v>A janela foi fechada</v>
      </c>
      <c r="I209" s="40" t="str">
        <f>RTD("rtdtrading.rtdserver",, "T&amp;T1", "QUL", 201)</f>
        <v>A janela foi fechada</v>
      </c>
      <c r="J209" s="41" t="str">
        <f>RTD("rtdtrading.rtdserver",, "T&amp;T1", "AGR", 201)</f>
        <v>A janela foi fechada</v>
      </c>
    </row>
    <row r="210" spans="1:10" x14ac:dyDescent="0.25">
      <c r="A210" s="46" t="str">
        <f>RTD("rtdtrading.rtdserver",, "T&amp;T2", "DAT", 202)</f>
        <v>A janela foi fechada</v>
      </c>
      <c r="B210" s="29" t="str">
        <f>RTD("rtdtrading.rtdserver",, "T&amp;T2", "PRE", 202)</f>
        <v>A janela foi fechada</v>
      </c>
      <c r="C210" s="30" t="str">
        <f>RTD("rtdtrading.rtdserver",, "T&amp;T2", "QUL", 202)</f>
        <v>A janela foi fechada</v>
      </c>
      <c r="D210" s="30" t="str">
        <f>RTD("rtdtrading.rtdserver",, "T&amp;T2", "AGR", 202)</f>
        <v>A janela foi fechada</v>
      </c>
      <c r="G210" s="38" t="str">
        <f>RTD("rtdtrading.rtdserver",, "T&amp;T1", "DAT", 202)</f>
        <v>A janela foi fechada</v>
      </c>
      <c r="H210" s="39" t="str">
        <f>RTD("rtdtrading.rtdserver",, "T&amp;T1", "PRE", 202)</f>
        <v>A janela foi fechada</v>
      </c>
      <c r="I210" s="40" t="str">
        <f>RTD("rtdtrading.rtdserver",, "T&amp;T1", "QUL", 202)</f>
        <v>A janela foi fechada</v>
      </c>
      <c r="J210" s="41" t="str">
        <f>RTD("rtdtrading.rtdserver",, "T&amp;T1", "AGR", 202)</f>
        <v>A janela foi fechada</v>
      </c>
    </row>
    <row r="211" spans="1:10" x14ac:dyDescent="0.25">
      <c r="A211" s="46" t="str">
        <f>RTD("rtdtrading.rtdserver",, "T&amp;T2", "DAT", 203)</f>
        <v>A janela foi fechada</v>
      </c>
      <c r="B211" s="29" t="str">
        <f>RTD("rtdtrading.rtdserver",, "T&amp;T2", "PRE", 203)</f>
        <v>A janela foi fechada</v>
      </c>
      <c r="C211" s="30" t="str">
        <f>RTD("rtdtrading.rtdserver",, "T&amp;T2", "QUL", 203)</f>
        <v>A janela foi fechada</v>
      </c>
      <c r="D211" s="30" t="str">
        <f>RTD("rtdtrading.rtdserver",, "T&amp;T2", "AGR", 203)</f>
        <v>A janela foi fechada</v>
      </c>
      <c r="G211" s="38" t="str">
        <f>RTD("rtdtrading.rtdserver",, "T&amp;T1", "DAT", 203)</f>
        <v>A janela foi fechada</v>
      </c>
      <c r="H211" s="39" t="str">
        <f>RTD("rtdtrading.rtdserver",, "T&amp;T1", "PRE", 203)</f>
        <v>A janela foi fechada</v>
      </c>
      <c r="I211" s="40" t="str">
        <f>RTD("rtdtrading.rtdserver",, "T&amp;T1", "QUL", 203)</f>
        <v>A janela foi fechada</v>
      </c>
      <c r="J211" s="41" t="str">
        <f>RTD("rtdtrading.rtdserver",, "T&amp;T1", "AGR", 203)</f>
        <v>A janela foi fechada</v>
      </c>
    </row>
    <row r="212" spans="1:10" x14ac:dyDescent="0.25">
      <c r="A212" s="46" t="str">
        <f>RTD("rtdtrading.rtdserver",, "T&amp;T2", "DAT", 204)</f>
        <v>A janela foi fechada</v>
      </c>
      <c r="B212" s="29" t="str">
        <f>RTD("rtdtrading.rtdserver",, "T&amp;T2", "PRE", 204)</f>
        <v>A janela foi fechada</v>
      </c>
      <c r="C212" s="30" t="str">
        <f>RTD("rtdtrading.rtdserver",, "T&amp;T2", "QUL", 204)</f>
        <v>A janela foi fechada</v>
      </c>
      <c r="D212" s="30" t="str">
        <f>RTD("rtdtrading.rtdserver",, "T&amp;T2", "AGR", 204)</f>
        <v>A janela foi fechada</v>
      </c>
      <c r="G212" s="38" t="str">
        <f>RTD("rtdtrading.rtdserver",, "T&amp;T1", "DAT", 204)</f>
        <v>A janela foi fechada</v>
      </c>
      <c r="H212" s="39" t="str">
        <f>RTD("rtdtrading.rtdserver",, "T&amp;T1", "PRE", 204)</f>
        <v>A janela foi fechada</v>
      </c>
      <c r="I212" s="40" t="str">
        <f>RTD("rtdtrading.rtdserver",, "T&amp;T1", "QUL", 204)</f>
        <v>A janela foi fechada</v>
      </c>
      <c r="J212" s="41" t="str">
        <f>RTD("rtdtrading.rtdserver",, "T&amp;T1", "AGR", 204)</f>
        <v>A janela foi fechada</v>
      </c>
    </row>
    <row r="213" spans="1:10" x14ac:dyDescent="0.25">
      <c r="A213" s="46" t="str">
        <f>RTD("rtdtrading.rtdserver",, "T&amp;T2", "DAT", 205)</f>
        <v>A janela foi fechada</v>
      </c>
      <c r="B213" s="29" t="str">
        <f>RTD("rtdtrading.rtdserver",, "T&amp;T2", "PRE", 205)</f>
        <v>A janela foi fechada</v>
      </c>
      <c r="C213" s="30" t="str">
        <f>RTD("rtdtrading.rtdserver",, "T&amp;T2", "QUL", 205)</f>
        <v>A janela foi fechada</v>
      </c>
      <c r="D213" s="30" t="str">
        <f>RTD("rtdtrading.rtdserver",, "T&amp;T2", "AGR", 205)</f>
        <v>A janela foi fechada</v>
      </c>
      <c r="G213" s="38" t="str">
        <f>RTD("rtdtrading.rtdserver",, "T&amp;T1", "DAT", 205)</f>
        <v>A janela foi fechada</v>
      </c>
      <c r="H213" s="39" t="str">
        <f>RTD("rtdtrading.rtdserver",, "T&amp;T1", "PRE", 205)</f>
        <v>A janela foi fechada</v>
      </c>
      <c r="I213" s="40" t="str">
        <f>RTD("rtdtrading.rtdserver",, "T&amp;T1", "QUL", 205)</f>
        <v>A janela foi fechada</v>
      </c>
      <c r="J213" s="41" t="str">
        <f>RTD("rtdtrading.rtdserver",, "T&amp;T1", "AGR", 205)</f>
        <v>A janela foi fechada</v>
      </c>
    </row>
    <row r="214" spans="1:10" x14ac:dyDescent="0.25">
      <c r="A214" s="46" t="str">
        <f>RTD("rtdtrading.rtdserver",, "T&amp;T2", "DAT", 206)</f>
        <v>A janela foi fechada</v>
      </c>
      <c r="B214" s="29" t="str">
        <f>RTD("rtdtrading.rtdserver",, "T&amp;T2", "PRE", 206)</f>
        <v>A janela foi fechada</v>
      </c>
      <c r="C214" s="30" t="str">
        <f>RTD("rtdtrading.rtdserver",, "T&amp;T2", "QUL", 206)</f>
        <v>A janela foi fechada</v>
      </c>
      <c r="D214" s="30" t="str">
        <f>RTD("rtdtrading.rtdserver",, "T&amp;T2", "AGR", 206)</f>
        <v>A janela foi fechada</v>
      </c>
      <c r="G214" s="38" t="str">
        <f>RTD("rtdtrading.rtdserver",, "T&amp;T1", "DAT", 206)</f>
        <v>A janela foi fechada</v>
      </c>
      <c r="H214" s="39" t="str">
        <f>RTD("rtdtrading.rtdserver",, "T&amp;T1", "PRE", 206)</f>
        <v>A janela foi fechada</v>
      </c>
      <c r="I214" s="40" t="str">
        <f>RTD("rtdtrading.rtdserver",, "T&amp;T1", "QUL", 206)</f>
        <v>A janela foi fechada</v>
      </c>
      <c r="J214" s="41" t="str">
        <f>RTD("rtdtrading.rtdserver",, "T&amp;T1", "AGR", 206)</f>
        <v>A janela foi fechada</v>
      </c>
    </row>
    <row r="215" spans="1:10" x14ac:dyDescent="0.25">
      <c r="A215" s="46" t="str">
        <f>RTD("rtdtrading.rtdserver",, "T&amp;T2", "DAT", 207)</f>
        <v>A janela foi fechada</v>
      </c>
      <c r="B215" s="29" t="str">
        <f>RTD("rtdtrading.rtdserver",, "T&amp;T2", "PRE", 207)</f>
        <v>A janela foi fechada</v>
      </c>
      <c r="C215" s="30" t="str">
        <f>RTD("rtdtrading.rtdserver",, "T&amp;T2", "QUL", 207)</f>
        <v>A janela foi fechada</v>
      </c>
      <c r="D215" s="30" t="str">
        <f>RTD("rtdtrading.rtdserver",, "T&amp;T2", "AGR", 207)</f>
        <v>A janela foi fechada</v>
      </c>
      <c r="G215" s="38" t="str">
        <f>RTD("rtdtrading.rtdserver",, "T&amp;T1", "DAT", 207)</f>
        <v>A janela foi fechada</v>
      </c>
      <c r="H215" s="39" t="str">
        <f>RTD("rtdtrading.rtdserver",, "T&amp;T1", "PRE", 207)</f>
        <v>A janela foi fechada</v>
      </c>
      <c r="I215" s="40" t="str">
        <f>RTD("rtdtrading.rtdserver",, "T&amp;T1", "QUL", 207)</f>
        <v>A janela foi fechada</v>
      </c>
      <c r="J215" s="41" t="str">
        <f>RTD("rtdtrading.rtdserver",, "T&amp;T1", "AGR", 207)</f>
        <v>A janela foi fechada</v>
      </c>
    </row>
    <row r="216" spans="1:10" x14ac:dyDescent="0.25">
      <c r="A216" s="46" t="str">
        <f>RTD("rtdtrading.rtdserver",, "T&amp;T2", "DAT", 208)</f>
        <v>A janela foi fechada</v>
      </c>
      <c r="B216" s="29" t="str">
        <f>RTD("rtdtrading.rtdserver",, "T&amp;T2", "PRE", 208)</f>
        <v>A janela foi fechada</v>
      </c>
      <c r="C216" s="30" t="str">
        <f>RTD("rtdtrading.rtdserver",, "T&amp;T2", "QUL", 208)</f>
        <v>A janela foi fechada</v>
      </c>
      <c r="D216" s="30" t="str">
        <f>RTD("rtdtrading.rtdserver",, "T&amp;T2", "AGR", 208)</f>
        <v>A janela foi fechada</v>
      </c>
      <c r="G216" s="38" t="str">
        <f>RTD("rtdtrading.rtdserver",, "T&amp;T1", "DAT", 208)</f>
        <v>A janela foi fechada</v>
      </c>
      <c r="H216" s="39" t="str">
        <f>RTD("rtdtrading.rtdserver",, "T&amp;T1", "PRE", 208)</f>
        <v>A janela foi fechada</v>
      </c>
      <c r="I216" s="40" t="str">
        <f>RTD("rtdtrading.rtdserver",, "T&amp;T1", "QUL", 208)</f>
        <v>A janela foi fechada</v>
      </c>
      <c r="J216" s="41" t="str">
        <f>RTD("rtdtrading.rtdserver",, "T&amp;T1", "AGR", 208)</f>
        <v>A janela foi fechada</v>
      </c>
    </row>
    <row r="217" spans="1:10" x14ac:dyDescent="0.25">
      <c r="A217" s="46" t="str">
        <f>RTD("rtdtrading.rtdserver",, "T&amp;T2", "DAT", 209)</f>
        <v>A janela foi fechada</v>
      </c>
      <c r="B217" s="29" t="str">
        <f>RTD("rtdtrading.rtdserver",, "T&amp;T2", "PRE", 209)</f>
        <v>A janela foi fechada</v>
      </c>
      <c r="C217" s="30" t="str">
        <f>RTD("rtdtrading.rtdserver",, "T&amp;T2", "QUL", 209)</f>
        <v>A janela foi fechada</v>
      </c>
      <c r="D217" s="30" t="str">
        <f>RTD("rtdtrading.rtdserver",, "T&amp;T2", "AGR", 209)</f>
        <v>A janela foi fechada</v>
      </c>
      <c r="G217" s="38" t="str">
        <f>RTD("rtdtrading.rtdserver",, "T&amp;T1", "DAT", 209)</f>
        <v>A janela foi fechada</v>
      </c>
      <c r="H217" s="39" t="str">
        <f>RTD("rtdtrading.rtdserver",, "T&amp;T1", "PRE", 209)</f>
        <v>A janela foi fechada</v>
      </c>
      <c r="I217" s="40" t="str">
        <f>RTD("rtdtrading.rtdserver",, "T&amp;T1", "QUL", 209)</f>
        <v>A janela foi fechada</v>
      </c>
      <c r="J217" s="41" t="str">
        <f>RTD("rtdtrading.rtdserver",, "T&amp;T1", "AGR", 209)</f>
        <v>A janela foi fechada</v>
      </c>
    </row>
    <row r="218" spans="1:10" x14ac:dyDescent="0.25">
      <c r="A218" s="46" t="str">
        <f>RTD("rtdtrading.rtdserver",, "T&amp;T2", "DAT", 210)</f>
        <v>A janela foi fechada</v>
      </c>
      <c r="B218" s="29" t="str">
        <f>RTD("rtdtrading.rtdserver",, "T&amp;T2", "PRE", 210)</f>
        <v>A janela foi fechada</v>
      </c>
      <c r="C218" s="30" t="str">
        <f>RTD("rtdtrading.rtdserver",, "T&amp;T2", "QUL", 210)</f>
        <v>A janela foi fechada</v>
      </c>
      <c r="D218" s="30" t="str">
        <f>RTD("rtdtrading.rtdserver",, "T&amp;T2", "AGR", 210)</f>
        <v>A janela foi fechada</v>
      </c>
      <c r="G218" s="38" t="str">
        <f>RTD("rtdtrading.rtdserver",, "T&amp;T1", "DAT", 210)</f>
        <v>A janela foi fechada</v>
      </c>
      <c r="H218" s="39" t="str">
        <f>RTD("rtdtrading.rtdserver",, "T&amp;T1", "PRE", 210)</f>
        <v>A janela foi fechada</v>
      </c>
      <c r="I218" s="40" t="str">
        <f>RTD("rtdtrading.rtdserver",, "T&amp;T1", "QUL", 210)</f>
        <v>A janela foi fechada</v>
      </c>
      <c r="J218" s="41" t="str">
        <f>RTD("rtdtrading.rtdserver",, "T&amp;T1", "AGR", 210)</f>
        <v>A janela foi fechada</v>
      </c>
    </row>
    <row r="219" spans="1:10" x14ac:dyDescent="0.25">
      <c r="A219" s="46" t="str">
        <f>RTD("rtdtrading.rtdserver",, "T&amp;T2", "DAT", 211)</f>
        <v>A janela foi fechada</v>
      </c>
      <c r="B219" s="29" t="str">
        <f>RTD("rtdtrading.rtdserver",, "T&amp;T2", "PRE", 211)</f>
        <v>A janela foi fechada</v>
      </c>
      <c r="C219" s="30" t="str">
        <f>RTD("rtdtrading.rtdserver",, "T&amp;T2", "QUL", 211)</f>
        <v>A janela foi fechada</v>
      </c>
      <c r="D219" s="30" t="str">
        <f>RTD("rtdtrading.rtdserver",, "T&amp;T2", "AGR", 211)</f>
        <v>A janela foi fechada</v>
      </c>
      <c r="G219" s="38" t="str">
        <f>RTD("rtdtrading.rtdserver",, "T&amp;T1", "DAT", 211)</f>
        <v>A janela foi fechada</v>
      </c>
      <c r="H219" s="39" t="str">
        <f>RTD("rtdtrading.rtdserver",, "T&amp;T1", "PRE", 211)</f>
        <v>A janela foi fechada</v>
      </c>
      <c r="I219" s="40" t="str">
        <f>RTD("rtdtrading.rtdserver",, "T&amp;T1", "QUL", 211)</f>
        <v>A janela foi fechada</v>
      </c>
      <c r="J219" s="41" t="str">
        <f>RTD("rtdtrading.rtdserver",, "T&amp;T1", "AGR", 211)</f>
        <v>A janela foi fechada</v>
      </c>
    </row>
    <row r="220" spans="1:10" x14ac:dyDescent="0.25">
      <c r="A220" s="46" t="str">
        <f>RTD("rtdtrading.rtdserver",, "T&amp;T2", "DAT", 212)</f>
        <v>A janela foi fechada</v>
      </c>
      <c r="B220" s="29" t="str">
        <f>RTD("rtdtrading.rtdserver",, "T&amp;T2", "PRE", 212)</f>
        <v>A janela foi fechada</v>
      </c>
      <c r="C220" s="30" t="str">
        <f>RTD("rtdtrading.rtdserver",, "T&amp;T2", "QUL", 212)</f>
        <v>A janela foi fechada</v>
      </c>
      <c r="D220" s="30" t="str">
        <f>RTD("rtdtrading.rtdserver",, "T&amp;T2", "AGR", 212)</f>
        <v>A janela foi fechada</v>
      </c>
      <c r="G220" s="38" t="str">
        <f>RTD("rtdtrading.rtdserver",, "T&amp;T1", "DAT", 212)</f>
        <v>A janela foi fechada</v>
      </c>
      <c r="H220" s="39" t="str">
        <f>RTD("rtdtrading.rtdserver",, "T&amp;T1", "PRE", 212)</f>
        <v>A janela foi fechada</v>
      </c>
      <c r="I220" s="40" t="str">
        <f>RTD("rtdtrading.rtdserver",, "T&amp;T1", "QUL", 212)</f>
        <v>A janela foi fechada</v>
      </c>
      <c r="J220" s="41" t="str">
        <f>RTD("rtdtrading.rtdserver",, "T&amp;T1", "AGR", 212)</f>
        <v>A janela foi fechada</v>
      </c>
    </row>
    <row r="221" spans="1:10" x14ac:dyDescent="0.25">
      <c r="A221" s="46" t="str">
        <f>RTD("rtdtrading.rtdserver",, "T&amp;T2", "DAT", 213)</f>
        <v>A janela foi fechada</v>
      </c>
      <c r="B221" s="29" t="str">
        <f>RTD("rtdtrading.rtdserver",, "T&amp;T2", "PRE", 213)</f>
        <v>A janela foi fechada</v>
      </c>
      <c r="C221" s="30" t="str">
        <f>RTD("rtdtrading.rtdserver",, "T&amp;T2", "QUL", 213)</f>
        <v>A janela foi fechada</v>
      </c>
      <c r="D221" s="30" t="str">
        <f>RTD("rtdtrading.rtdserver",, "T&amp;T2", "AGR", 213)</f>
        <v>A janela foi fechada</v>
      </c>
      <c r="G221" s="38" t="str">
        <f>RTD("rtdtrading.rtdserver",, "T&amp;T1", "DAT", 213)</f>
        <v>A janela foi fechada</v>
      </c>
      <c r="H221" s="39" t="str">
        <f>RTD("rtdtrading.rtdserver",, "T&amp;T1", "PRE", 213)</f>
        <v>A janela foi fechada</v>
      </c>
      <c r="I221" s="40" t="str">
        <f>RTD("rtdtrading.rtdserver",, "T&amp;T1", "QUL", 213)</f>
        <v>A janela foi fechada</v>
      </c>
      <c r="J221" s="41" t="str">
        <f>RTD("rtdtrading.rtdserver",, "T&amp;T1", "AGR", 213)</f>
        <v>A janela foi fechada</v>
      </c>
    </row>
    <row r="222" spans="1:10" x14ac:dyDescent="0.25">
      <c r="A222" s="46" t="str">
        <f>RTD("rtdtrading.rtdserver",, "T&amp;T2", "DAT", 214)</f>
        <v>A janela foi fechada</v>
      </c>
      <c r="B222" s="29" t="str">
        <f>RTD("rtdtrading.rtdserver",, "T&amp;T2", "PRE", 214)</f>
        <v>A janela foi fechada</v>
      </c>
      <c r="C222" s="30" t="str">
        <f>RTD("rtdtrading.rtdserver",, "T&amp;T2", "QUL", 214)</f>
        <v>A janela foi fechada</v>
      </c>
      <c r="D222" s="30" t="str">
        <f>RTD("rtdtrading.rtdserver",, "T&amp;T2", "AGR", 214)</f>
        <v>A janela foi fechada</v>
      </c>
      <c r="G222" s="38" t="str">
        <f>RTD("rtdtrading.rtdserver",, "T&amp;T1", "DAT", 214)</f>
        <v>A janela foi fechada</v>
      </c>
      <c r="H222" s="39" t="str">
        <f>RTD("rtdtrading.rtdserver",, "T&amp;T1", "PRE", 214)</f>
        <v>A janela foi fechada</v>
      </c>
      <c r="I222" s="40" t="str">
        <f>RTD("rtdtrading.rtdserver",, "T&amp;T1", "QUL", 214)</f>
        <v>A janela foi fechada</v>
      </c>
      <c r="J222" s="41" t="str">
        <f>RTD("rtdtrading.rtdserver",, "T&amp;T1", "AGR", 214)</f>
        <v>A janela foi fechada</v>
      </c>
    </row>
    <row r="223" spans="1:10" x14ac:dyDescent="0.25">
      <c r="A223" s="46" t="str">
        <f>RTD("rtdtrading.rtdserver",, "T&amp;T2", "DAT", 215)</f>
        <v>A janela foi fechada</v>
      </c>
      <c r="B223" s="29" t="str">
        <f>RTD("rtdtrading.rtdserver",, "T&amp;T2", "PRE", 215)</f>
        <v>A janela foi fechada</v>
      </c>
      <c r="C223" s="30" t="str">
        <f>RTD("rtdtrading.rtdserver",, "T&amp;T2", "QUL", 215)</f>
        <v>A janela foi fechada</v>
      </c>
      <c r="D223" s="30" t="str">
        <f>RTD("rtdtrading.rtdserver",, "T&amp;T2", "AGR", 215)</f>
        <v>A janela foi fechada</v>
      </c>
      <c r="G223" s="38" t="str">
        <f>RTD("rtdtrading.rtdserver",, "T&amp;T1", "DAT", 215)</f>
        <v>A janela foi fechada</v>
      </c>
      <c r="H223" s="39" t="str">
        <f>RTD("rtdtrading.rtdserver",, "T&amp;T1", "PRE", 215)</f>
        <v>A janela foi fechada</v>
      </c>
      <c r="I223" s="40" t="str">
        <f>RTD("rtdtrading.rtdserver",, "T&amp;T1", "QUL", 215)</f>
        <v>A janela foi fechada</v>
      </c>
      <c r="J223" s="41" t="str">
        <f>RTD("rtdtrading.rtdserver",, "T&amp;T1", "AGR", 215)</f>
        <v>A janela foi fechada</v>
      </c>
    </row>
    <row r="224" spans="1:10" x14ac:dyDescent="0.25">
      <c r="A224" s="46" t="str">
        <f>RTD("rtdtrading.rtdserver",, "T&amp;T2", "DAT", 216)</f>
        <v>A janela foi fechada</v>
      </c>
      <c r="B224" s="29" t="str">
        <f>RTD("rtdtrading.rtdserver",, "T&amp;T2", "PRE", 216)</f>
        <v>A janela foi fechada</v>
      </c>
      <c r="C224" s="30" t="str">
        <f>RTD("rtdtrading.rtdserver",, "T&amp;T2", "QUL", 216)</f>
        <v>A janela foi fechada</v>
      </c>
      <c r="D224" s="30" t="str">
        <f>RTD("rtdtrading.rtdserver",, "T&amp;T2", "AGR", 216)</f>
        <v>A janela foi fechada</v>
      </c>
      <c r="G224" s="38" t="str">
        <f>RTD("rtdtrading.rtdserver",, "T&amp;T1", "DAT", 216)</f>
        <v>A janela foi fechada</v>
      </c>
      <c r="H224" s="39" t="str">
        <f>RTD("rtdtrading.rtdserver",, "T&amp;T1", "PRE", 216)</f>
        <v>A janela foi fechada</v>
      </c>
      <c r="I224" s="40" t="str">
        <f>RTD("rtdtrading.rtdserver",, "T&amp;T1", "QUL", 216)</f>
        <v>A janela foi fechada</v>
      </c>
      <c r="J224" s="41" t="str">
        <f>RTD("rtdtrading.rtdserver",, "T&amp;T1", "AGR", 216)</f>
        <v>A janela foi fechada</v>
      </c>
    </row>
    <row r="225" spans="1:10" x14ac:dyDescent="0.25">
      <c r="A225" s="46" t="str">
        <f>RTD("rtdtrading.rtdserver",, "T&amp;T2", "DAT", 217)</f>
        <v>A janela foi fechada</v>
      </c>
      <c r="B225" s="29" t="str">
        <f>RTD("rtdtrading.rtdserver",, "T&amp;T2", "PRE", 217)</f>
        <v>A janela foi fechada</v>
      </c>
      <c r="C225" s="30" t="str">
        <f>RTD("rtdtrading.rtdserver",, "T&amp;T2", "QUL", 217)</f>
        <v>A janela foi fechada</v>
      </c>
      <c r="D225" s="30" t="str">
        <f>RTD("rtdtrading.rtdserver",, "T&amp;T2", "AGR", 217)</f>
        <v>A janela foi fechada</v>
      </c>
      <c r="G225" s="38" t="str">
        <f>RTD("rtdtrading.rtdserver",, "T&amp;T1", "DAT", 217)</f>
        <v>A janela foi fechada</v>
      </c>
      <c r="H225" s="39" t="str">
        <f>RTD("rtdtrading.rtdserver",, "T&amp;T1", "PRE", 217)</f>
        <v>A janela foi fechada</v>
      </c>
      <c r="I225" s="40" t="str">
        <f>RTD("rtdtrading.rtdserver",, "T&amp;T1", "QUL", 217)</f>
        <v>A janela foi fechada</v>
      </c>
      <c r="J225" s="41" t="str">
        <f>RTD("rtdtrading.rtdserver",, "T&amp;T1", "AGR", 217)</f>
        <v>A janela foi fechada</v>
      </c>
    </row>
    <row r="226" spans="1:10" x14ac:dyDescent="0.25">
      <c r="A226" s="46" t="str">
        <f>RTD("rtdtrading.rtdserver",, "T&amp;T2", "DAT", 218)</f>
        <v>A janela foi fechada</v>
      </c>
      <c r="B226" s="29" t="str">
        <f>RTD("rtdtrading.rtdserver",, "T&amp;T2", "PRE", 218)</f>
        <v>A janela foi fechada</v>
      </c>
      <c r="C226" s="30" t="str">
        <f>RTD("rtdtrading.rtdserver",, "T&amp;T2", "QUL", 218)</f>
        <v>A janela foi fechada</v>
      </c>
      <c r="D226" s="30" t="str">
        <f>RTD("rtdtrading.rtdserver",, "T&amp;T2", "AGR", 218)</f>
        <v>A janela foi fechada</v>
      </c>
      <c r="G226" s="38" t="str">
        <f>RTD("rtdtrading.rtdserver",, "T&amp;T1", "DAT", 218)</f>
        <v>A janela foi fechada</v>
      </c>
      <c r="H226" s="39" t="str">
        <f>RTD("rtdtrading.rtdserver",, "T&amp;T1", "PRE", 218)</f>
        <v>A janela foi fechada</v>
      </c>
      <c r="I226" s="40" t="str">
        <f>RTD("rtdtrading.rtdserver",, "T&amp;T1", "QUL", 218)</f>
        <v>A janela foi fechada</v>
      </c>
      <c r="J226" s="41" t="str">
        <f>RTD("rtdtrading.rtdserver",, "T&amp;T1", "AGR", 218)</f>
        <v>A janela foi fechada</v>
      </c>
    </row>
    <row r="227" spans="1:10" x14ac:dyDescent="0.25">
      <c r="A227" s="46" t="str">
        <f>RTD("rtdtrading.rtdserver",, "T&amp;T2", "DAT", 219)</f>
        <v>A janela foi fechada</v>
      </c>
      <c r="B227" s="29" t="str">
        <f>RTD("rtdtrading.rtdserver",, "T&amp;T2", "PRE", 219)</f>
        <v>A janela foi fechada</v>
      </c>
      <c r="C227" s="30" t="str">
        <f>RTD("rtdtrading.rtdserver",, "T&amp;T2", "QUL", 219)</f>
        <v>A janela foi fechada</v>
      </c>
      <c r="D227" s="30" t="str">
        <f>RTD("rtdtrading.rtdserver",, "T&amp;T2", "AGR", 219)</f>
        <v>A janela foi fechada</v>
      </c>
      <c r="G227" s="38" t="str">
        <f>RTD("rtdtrading.rtdserver",, "T&amp;T1", "DAT", 219)</f>
        <v>A janela foi fechada</v>
      </c>
      <c r="H227" s="39" t="str">
        <f>RTD("rtdtrading.rtdserver",, "T&amp;T1", "PRE", 219)</f>
        <v>A janela foi fechada</v>
      </c>
      <c r="I227" s="40" t="str">
        <f>RTD("rtdtrading.rtdserver",, "T&amp;T1", "QUL", 219)</f>
        <v>A janela foi fechada</v>
      </c>
      <c r="J227" s="41" t="str">
        <f>RTD("rtdtrading.rtdserver",, "T&amp;T1", "AGR", 219)</f>
        <v>A janela foi fechada</v>
      </c>
    </row>
    <row r="228" spans="1:10" x14ac:dyDescent="0.25">
      <c r="A228" s="46" t="str">
        <f>RTD("rtdtrading.rtdserver",, "T&amp;T2", "DAT", 220)</f>
        <v>A janela foi fechada</v>
      </c>
      <c r="B228" s="29" t="str">
        <f>RTD("rtdtrading.rtdserver",, "T&amp;T2", "PRE", 220)</f>
        <v>A janela foi fechada</v>
      </c>
      <c r="C228" s="30" t="str">
        <f>RTD("rtdtrading.rtdserver",, "T&amp;T2", "QUL", 220)</f>
        <v>A janela foi fechada</v>
      </c>
      <c r="D228" s="30" t="str">
        <f>RTD("rtdtrading.rtdserver",, "T&amp;T2", "AGR", 220)</f>
        <v>A janela foi fechada</v>
      </c>
      <c r="G228" s="38" t="str">
        <f>RTD("rtdtrading.rtdserver",, "T&amp;T1", "DAT", 220)</f>
        <v>A janela foi fechada</v>
      </c>
      <c r="H228" s="39" t="str">
        <f>RTD("rtdtrading.rtdserver",, "T&amp;T1", "PRE", 220)</f>
        <v>A janela foi fechada</v>
      </c>
      <c r="I228" s="40" t="str">
        <f>RTD("rtdtrading.rtdserver",, "T&amp;T1", "QUL", 220)</f>
        <v>A janela foi fechada</v>
      </c>
      <c r="J228" s="41" t="str">
        <f>RTD("rtdtrading.rtdserver",, "T&amp;T1", "AGR", 220)</f>
        <v>A janela foi fechada</v>
      </c>
    </row>
    <row r="229" spans="1:10" x14ac:dyDescent="0.25">
      <c r="A229" s="46" t="str">
        <f>RTD("rtdtrading.rtdserver",, "T&amp;T2", "DAT", 221)</f>
        <v>A janela foi fechada</v>
      </c>
      <c r="B229" s="29" t="str">
        <f>RTD("rtdtrading.rtdserver",, "T&amp;T2", "PRE", 221)</f>
        <v>A janela foi fechada</v>
      </c>
      <c r="C229" s="30" t="str">
        <f>RTD("rtdtrading.rtdserver",, "T&amp;T2", "QUL", 221)</f>
        <v>A janela foi fechada</v>
      </c>
      <c r="D229" s="30" t="str">
        <f>RTD("rtdtrading.rtdserver",, "T&amp;T2", "AGR", 221)</f>
        <v>A janela foi fechada</v>
      </c>
      <c r="G229" s="38" t="str">
        <f>RTD("rtdtrading.rtdserver",, "T&amp;T1", "DAT", 221)</f>
        <v>A janela foi fechada</v>
      </c>
      <c r="H229" s="39" t="str">
        <f>RTD("rtdtrading.rtdserver",, "T&amp;T1", "PRE", 221)</f>
        <v>A janela foi fechada</v>
      </c>
      <c r="I229" s="40" t="str">
        <f>RTD("rtdtrading.rtdserver",, "T&amp;T1", "QUL", 221)</f>
        <v>A janela foi fechada</v>
      </c>
      <c r="J229" s="41" t="str">
        <f>RTD("rtdtrading.rtdserver",, "T&amp;T1", "AGR", 221)</f>
        <v>A janela foi fechada</v>
      </c>
    </row>
    <row r="230" spans="1:10" x14ac:dyDescent="0.25">
      <c r="A230" s="46" t="str">
        <f>RTD("rtdtrading.rtdserver",, "T&amp;T2", "DAT", 222)</f>
        <v>A janela foi fechada</v>
      </c>
      <c r="B230" s="29" t="str">
        <f>RTD("rtdtrading.rtdserver",, "T&amp;T2", "PRE", 222)</f>
        <v>A janela foi fechada</v>
      </c>
      <c r="C230" s="30" t="str">
        <f>RTD("rtdtrading.rtdserver",, "T&amp;T2", "QUL", 222)</f>
        <v>A janela foi fechada</v>
      </c>
      <c r="D230" s="30" t="str">
        <f>RTD("rtdtrading.rtdserver",, "T&amp;T2", "AGR", 222)</f>
        <v>A janela foi fechada</v>
      </c>
      <c r="G230" s="38" t="str">
        <f>RTD("rtdtrading.rtdserver",, "T&amp;T1", "DAT", 222)</f>
        <v>A janela foi fechada</v>
      </c>
      <c r="H230" s="39" t="str">
        <f>RTD("rtdtrading.rtdserver",, "T&amp;T1", "PRE", 222)</f>
        <v>A janela foi fechada</v>
      </c>
      <c r="I230" s="40" t="str">
        <f>RTD("rtdtrading.rtdserver",, "T&amp;T1", "QUL", 222)</f>
        <v>A janela foi fechada</v>
      </c>
      <c r="J230" s="41" t="str">
        <f>RTD("rtdtrading.rtdserver",, "T&amp;T1", "AGR", 222)</f>
        <v>A janela foi fechada</v>
      </c>
    </row>
    <row r="231" spans="1:10" x14ac:dyDescent="0.25">
      <c r="A231" s="46" t="str">
        <f>RTD("rtdtrading.rtdserver",, "T&amp;T2", "DAT", 223)</f>
        <v>A janela foi fechada</v>
      </c>
      <c r="B231" s="29" t="str">
        <f>RTD("rtdtrading.rtdserver",, "T&amp;T2", "PRE", 223)</f>
        <v>A janela foi fechada</v>
      </c>
      <c r="C231" s="30" t="str">
        <f>RTD("rtdtrading.rtdserver",, "T&amp;T2", "QUL", 223)</f>
        <v>A janela foi fechada</v>
      </c>
      <c r="D231" s="30" t="str">
        <f>RTD("rtdtrading.rtdserver",, "T&amp;T2", "AGR", 223)</f>
        <v>A janela foi fechada</v>
      </c>
      <c r="G231" s="38" t="str">
        <f>RTD("rtdtrading.rtdserver",, "T&amp;T1", "DAT", 223)</f>
        <v>A janela foi fechada</v>
      </c>
      <c r="H231" s="39" t="str">
        <f>RTD("rtdtrading.rtdserver",, "T&amp;T1", "PRE", 223)</f>
        <v>A janela foi fechada</v>
      </c>
      <c r="I231" s="40" t="str">
        <f>RTD("rtdtrading.rtdserver",, "T&amp;T1", "QUL", 223)</f>
        <v>A janela foi fechada</v>
      </c>
      <c r="J231" s="41" t="str">
        <f>RTD("rtdtrading.rtdserver",, "T&amp;T1", "AGR", 223)</f>
        <v>A janela foi fechada</v>
      </c>
    </row>
    <row r="232" spans="1:10" x14ac:dyDescent="0.25">
      <c r="A232" s="46" t="str">
        <f>RTD("rtdtrading.rtdserver",, "T&amp;T2", "DAT", 224)</f>
        <v>A janela foi fechada</v>
      </c>
      <c r="B232" s="29" t="str">
        <f>RTD("rtdtrading.rtdserver",, "T&amp;T2", "PRE", 224)</f>
        <v>A janela foi fechada</v>
      </c>
      <c r="C232" s="30" t="str">
        <f>RTD("rtdtrading.rtdserver",, "T&amp;T2", "QUL", 224)</f>
        <v>A janela foi fechada</v>
      </c>
      <c r="D232" s="30" t="str">
        <f>RTD("rtdtrading.rtdserver",, "T&amp;T2", "AGR", 224)</f>
        <v>A janela foi fechada</v>
      </c>
      <c r="G232" s="38" t="str">
        <f>RTD("rtdtrading.rtdserver",, "T&amp;T1", "DAT", 224)</f>
        <v>A janela foi fechada</v>
      </c>
      <c r="H232" s="39" t="str">
        <f>RTD("rtdtrading.rtdserver",, "T&amp;T1", "PRE", 224)</f>
        <v>A janela foi fechada</v>
      </c>
      <c r="I232" s="40" t="str">
        <f>RTD("rtdtrading.rtdserver",, "T&amp;T1", "QUL", 224)</f>
        <v>A janela foi fechada</v>
      </c>
      <c r="J232" s="41" t="str">
        <f>RTD("rtdtrading.rtdserver",, "T&amp;T1", "AGR", 224)</f>
        <v>A janela foi fechada</v>
      </c>
    </row>
    <row r="233" spans="1:10" x14ac:dyDescent="0.25">
      <c r="A233" s="46" t="str">
        <f>RTD("rtdtrading.rtdserver",, "T&amp;T2", "DAT", 225)</f>
        <v>A janela foi fechada</v>
      </c>
      <c r="B233" s="29" t="str">
        <f>RTD("rtdtrading.rtdserver",, "T&amp;T2", "PRE", 225)</f>
        <v>A janela foi fechada</v>
      </c>
      <c r="C233" s="30" t="str">
        <f>RTD("rtdtrading.rtdserver",, "T&amp;T2", "QUL", 225)</f>
        <v>A janela foi fechada</v>
      </c>
      <c r="D233" s="30" t="str">
        <f>RTD("rtdtrading.rtdserver",, "T&amp;T2", "AGR", 225)</f>
        <v>A janela foi fechada</v>
      </c>
      <c r="G233" s="38" t="str">
        <f>RTD("rtdtrading.rtdserver",, "T&amp;T1", "DAT", 225)</f>
        <v>A janela foi fechada</v>
      </c>
      <c r="H233" s="39" t="str">
        <f>RTD("rtdtrading.rtdserver",, "T&amp;T1", "PRE", 225)</f>
        <v>A janela foi fechada</v>
      </c>
      <c r="I233" s="40" t="str">
        <f>RTD("rtdtrading.rtdserver",, "T&amp;T1", "QUL", 225)</f>
        <v>A janela foi fechada</v>
      </c>
      <c r="J233" s="41" t="str">
        <f>RTD("rtdtrading.rtdserver",, "T&amp;T1", "AGR", 225)</f>
        <v>A janela foi fechada</v>
      </c>
    </row>
    <row r="234" spans="1:10" x14ac:dyDescent="0.25">
      <c r="A234" s="46" t="str">
        <f>RTD("rtdtrading.rtdserver",, "T&amp;T2", "DAT", 226)</f>
        <v>A janela foi fechada</v>
      </c>
      <c r="B234" s="29" t="str">
        <f>RTD("rtdtrading.rtdserver",, "T&amp;T2", "PRE", 226)</f>
        <v>A janela foi fechada</v>
      </c>
      <c r="C234" s="30" t="str">
        <f>RTD("rtdtrading.rtdserver",, "T&amp;T2", "QUL", 226)</f>
        <v>A janela foi fechada</v>
      </c>
      <c r="D234" s="30" t="str">
        <f>RTD("rtdtrading.rtdserver",, "T&amp;T2", "AGR", 226)</f>
        <v>A janela foi fechada</v>
      </c>
      <c r="G234" s="38" t="str">
        <f>RTD("rtdtrading.rtdserver",, "T&amp;T1", "DAT", 226)</f>
        <v>A janela foi fechada</v>
      </c>
      <c r="H234" s="39" t="str">
        <f>RTD("rtdtrading.rtdserver",, "T&amp;T1", "PRE", 226)</f>
        <v>A janela foi fechada</v>
      </c>
      <c r="I234" s="40" t="str">
        <f>RTD("rtdtrading.rtdserver",, "T&amp;T1", "QUL", 226)</f>
        <v>A janela foi fechada</v>
      </c>
      <c r="J234" s="41" t="str">
        <f>RTD("rtdtrading.rtdserver",, "T&amp;T1", "AGR", 226)</f>
        <v>A janela foi fechada</v>
      </c>
    </row>
    <row r="235" spans="1:10" x14ac:dyDescent="0.25">
      <c r="A235" s="46" t="str">
        <f>RTD("rtdtrading.rtdserver",, "T&amp;T2", "DAT", 227)</f>
        <v>A janela foi fechada</v>
      </c>
      <c r="B235" s="29" t="str">
        <f>RTD("rtdtrading.rtdserver",, "T&amp;T2", "PRE", 227)</f>
        <v>A janela foi fechada</v>
      </c>
      <c r="C235" s="30" t="str">
        <f>RTD("rtdtrading.rtdserver",, "T&amp;T2", "QUL", 227)</f>
        <v>A janela foi fechada</v>
      </c>
      <c r="D235" s="30" t="str">
        <f>RTD("rtdtrading.rtdserver",, "T&amp;T2", "AGR", 227)</f>
        <v>A janela foi fechada</v>
      </c>
      <c r="G235" s="38" t="str">
        <f>RTD("rtdtrading.rtdserver",, "T&amp;T1", "DAT", 227)</f>
        <v>A janela foi fechada</v>
      </c>
      <c r="H235" s="39" t="str">
        <f>RTD("rtdtrading.rtdserver",, "T&amp;T1", "PRE", 227)</f>
        <v>A janela foi fechada</v>
      </c>
      <c r="I235" s="40" t="str">
        <f>RTD("rtdtrading.rtdserver",, "T&amp;T1", "QUL", 227)</f>
        <v>A janela foi fechada</v>
      </c>
      <c r="J235" s="41" t="str">
        <f>RTD("rtdtrading.rtdserver",, "T&amp;T1", "AGR", 227)</f>
        <v>A janela foi fechada</v>
      </c>
    </row>
    <row r="236" spans="1:10" x14ac:dyDescent="0.25">
      <c r="A236" s="46" t="str">
        <f>RTD("rtdtrading.rtdserver",, "T&amp;T2", "DAT", 228)</f>
        <v>A janela foi fechada</v>
      </c>
      <c r="B236" s="29" t="str">
        <f>RTD("rtdtrading.rtdserver",, "T&amp;T2", "PRE", 228)</f>
        <v>A janela foi fechada</v>
      </c>
      <c r="C236" s="30" t="str">
        <f>RTD("rtdtrading.rtdserver",, "T&amp;T2", "QUL", 228)</f>
        <v>A janela foi fechada</v>
      </c>
      <c r="D236" s="30" t="str">
        <f>RTD("rtdtrading.rtdserver",, "T&amp;T2", "AGR", 228)</f>
        <v>A janela foi fechada</v>
      </c>
      <c r="G236" s="38" t="str">
        <f>RTD("rtdtrading.rtdserver",, "T&amp;T1", "DAT", 228)</f>
        <v>A janela foi fechada</v>
      </c>
      <c r="H236" s="39" t="str">
        <f>RTD("rtdtrading.rtdserver",, "T&amp;T1", "PRE", 228)</f>
        <v>A janela foi fechada</v>
      </c>
      <c r="I236" s="40" t="str">
        <f>RTD("rtdtrading.rtdserver",, "T&amp;T1", "QUL", 228)</f>
        <v>A janela foi fechada</v>
      </c>
      <c r="J236" s="41" t="str">
        <f>RTD("rtdtrading.rtdserver",, "T&amp;T1", "AGR", 228)</f>
        <v>A janela foi fechada</v>
      </c>
    </row>
    <row r="237" spans="1:10" x14ac:dyDescent="0.25">
      <c r="A237" s="46" t="str">
        <f>RTD("rtdtrading.rtdserver",, "T&amp;T2", "DAT", 229)</f>
        <v>A janela foi fechada</v>
      </c>
      <c r="B237" s="29" t="str">
        <f>RTD("rtdtrading.rtdserver",, "T&amp;T2", "PRE", 229)</f>
        <v>A janela foi fechada</v>
      </c>
      <c r="C237" s="30" t="str">
        <f>RTD("rtdtrading.rtdserver",, "T&amp;T2", "QUL", 229)</f>
        <v>A janela foi fechada</v>
      </c>
      <c r="D237" s="30" t="str">
        <f>RTD("rtdtrading.rtdserver",, "T&amp;T2", "AGR", 229)</f>
        <v>A janela foi fechada</v>
      </c>
      <c r="G237" s="38" t="str">
        <f>RTD("rtdtrading.rtdserver",, "T&amp;T1", "DAT", 229)</f>
        <v>A janela foi fechada</v>
      </c>
      <c r="H237" s="39" t="str">
        <f>RTD("rtdtrading.rtdserver",, "T&amp;T1", "PRE", 229)</f>
        <v>A janela foi fechada</v>
      </c>
      <c r="I237" s="40" t="str">
        <f>RTD("rtdtrading.rtdserver",, "T&amp;T1", "QUL", 229)</f>
        <v>A janela foi fechada</v>
      </c>
      <c r="J237" s="41" t="str">
        <f>RTD("rtdtrading.rtdserver",, "T&amp;T1", "AGR", 229)</f>
        <v>A janela foi fechada</v>
      </c>
    </row>
    <row r="238" spans="1:10" x14ac:dyDescent="0.25">
      <c r="A238" s="46" t="str">
        <f>RTD("rtdtrading.rtdserver",, "T&amp;T2", "DAT", 230)</f>
        <v>A janela foi fechada</v>
      </c>
      <c r="B238" s="29" t="str">
        <f>RTD("rtdtrading.rtdserver",, "T&amp;T2", "PRE", 230)</f>
        <v>A janela foi fechada</v>
      </c>
      <c r="C238" s="30" t="str">
        <f>RTD("rtdtrading.rtdserver",, "T&amp;T2", "QUL", 230)</f>
        <v>A janela foi fechada</v>
      </c>
      <c r="D238" s="30" t="str">
        <f>RTD("rtdtrading.rtdserver",, "T&amp;T2", "AGR", 230)</f>
        <v>A janela foi fechada</v>
      </c>
      <c r="G238" s="38" t="str">
        <f>RTD("rtdtrading.rtdserver",, "T&amp;T1", "DAT", 230)</f>
        <v>A janela foi fechada</v>
      </c>
      <c r="H238" s="39" t="str">
        <f>RTD("rtdtrading.rtdserver",, "T&amp;T1", "PRE", 230)</f>
        <v>A janela foi fechada</v>
      </c>
      <c r="I238" s="40" t="str">
        <f>RTD("rtdtrading.rtdserver",, "T&amp;T1", "QUL", 230)</f>
        <v>A janela foi fechada</v>
      </c>
      <c r="J238" s="41" t="str">
        <f>RTD("rtdtrading.rtdserver",, "T&amp;T1", "AGR", 230)</f>
        <v>A janela foi fechada</v>
      </c>
    </row>
    <row r="239" spans="1:10" x14ac:dyDescent="0.25">
      <c r="A239" s="46" t="str">
        <f>RTD("rtdtrading.rtdserver",, "T&amp;T2", "DAT", 231)</f>
        <v>A janela foi fechada</v>
      </c>
      <c r="B239" s="29" t="str">
        <f>RTD("rtdtrading.rtdserver",, "T&amp;T2", "PRE", 231)</f>
        <v>A janela foi fechada</v>
      </c>
      <c r="C239" s="30" t="str">
        <f>RTD("rtdtrading.rtdserver",, "T&amp;T2", "QUL", 231)</f>
        <v>A janela foi fechada</v>
      </c>
      <c r="D239" s="30" t="str">
        <f>RTD("rtdtrading.rtdserver",, "T&amp;T2", "AGR", 231)</f>
        <v>A janela foi fechada</v>
      </c>
      <c r="G239" s="38" t="str">
        <f>RTD("rtdtrading.rtdserver",, "T&amp;T1", "DAT", 231)</f>
        <v>A janela foi fechada</v>
      </c>
      <c r="H239" s="39" t="str">
        <f>RTD("rtdtrading.rtdserver",, "T&amp;T1", "PRE", 231)</f>
        <v>A janela foi fechada</v>
      </c>
      <c r="I239" s="40" t="str">
        <f>RTD("rtdtrading.rtdserver",, "T&amp;T1", "QUL", 231)</f>
        <v>A janela foi fechada</v>
      </c>
      <c r="J239" s="41" t="str">
        <f>RTD("rtdtrading.rtdserver",, "T&amp;T1", "AGR", 231)</f>
        <v>A janela foi fechada</v>
      </c>
    </row>
    <row r="240" spans="1:10" x14ac:dyDescent="0.25">
      <c r="A240" s="46" t="str">
        <f>RTD("rtdtrading.rtdserver",, "T&amp;T2", "DAT", 232)</f>
        <v>A janela foi fechada</v>
      </c>
      <c r="B240" s="29" t="str">
        <f>RTD("rtdtrading.rtdserver",, "T&amp;T2", "PRE", 232)</f>
        <v>A janela foi fechada</v>
      </c>
      <c r="C240" s="30" t="str">
        <f>RTD("rtdtrading.rtdserver",, "T&amp;T2", "QUL", 232)</f>
        <v>A janela foi fechada</v>
      </c>
      <c r="D240" s="30" t="str">
        <f>RTD("rtdtrading.rtdserver",, "T&amp;T2", "AGR", 232)</f>
        <v>A janela foi fechada</v>
      </c>
      <c r="G240" s="38" t="str">
        <f>RTD("rtdtrading.rtdserver",, "T&amp;T1", "DAT", 232)</f>
        <v>A janela foi fechada</v>
      </c>
      <c r="H240" s="39" t="str">
        <f>RTD("rtdtrading.rtdserver",, "T&amp;T1", "PRE", 232)</f>
        <v>A janela foi fechada</v>
      </c>
      <c r="I240" s="40" t="str">
        <f>RTD("rtdtrading.rtdserver",, "T&amp;T1", "QUL", 232)</f>
        <v>A janela foi fechada</v>
      </c>
      <c r="J240" s="41" t="str">
        <f>RTD("rtdtrading.rtdserver",, "T&amp;T1", "AGR", 232)</f>
        <v>A janela foi fechada</v>
      </c>
    </row>
    <row r="241" spans="1:10" x14ac:dyDescent="0.25">
      <c r="A241" s="46" t="str">
        <f>RTD("rtdtrading.rtdserver",, "T&amp;T2", "DAT", 233)</f>
        <v>A janela foi fechada</v>
      </c>
      <c r="B241" s="29" t="str">
        <f>RTD("rtdtrading.rtdserver",, "T&amp;T2", "PRE", 233)</f>
        <v>A janela foi fechada</v>
      </c>
      <c r="C241" s="30" t="str">
        <f>RTD("rtdtrading.rtdserver",, "T&amp;T2", "QUL", 233)</f>
        <v>A janela foi fechada</v>
      </c>
      <c r="D241" s="30" t="str">
        <f>RTD("rtdtrading.rtdserver",, "T&amp;T2", "AGR", 233)</f>
        <v>A janela foi fechada</v>
      </c>
      <c r="G241" s="38" t="str">
        <f>RTD("rtdtrading.rtdserver",, "T&amp;T1", "DAT", 233)</f>
        <v>A janela foi fechada</v>
      </c>
      <c r="H241" s="39" t="str">
        <f>RTD("rtdtrading.rtdserver",, "T&amp;T1", "PRE", 233)</f>
        <v>A janela foi fechada</v>
      </c>
      <c r="I241" s="40" t="str">
        <f>RTD("rtdtrading.rtdserver",, "T&amp;T1", "QUL", 233)</f>
        <v>A janela foi fechada</v>
      </c>
      <c r="J241" s="41" t="str">
        <f>RTD("rtdtrading.rtdserver",, "T&amp;T1", "AGR", 233)</f>
        <v>A janela foi fechada</v>
      </c>
    </row>
    <row r="242" spans="1:10" x14ac:dyDescent="0.25">
      <c r="A242" s="46" t="str">
        <f>RTD("rtdtrading.rtdserver",, "T&amp;T2", "DAT", 234)</f>
        <v>A janela foi fechada</v>
      </c>
      <c r="B242" s="29" t="str">
        <f>RTD("rtdtrading.rtdserver",, "T&amp;T2", "PRE", 234)</f>
        <v>A janela foi fechada</v>
      </c>
      <c r="C242" s="30" t="str">
        <f>RTD("rtdtrading.rtdserver",, "T&amp;T2", "QUL", 234)</f>
        <v>A janela foi fechada</v>
      </c>
      <c r="D242" s="30" t="str">
        <f>RTD("rtdtrading.rtdserver",, "T&amp;T2", "AGR", 234)</f>
        <v>A janela foi fechada</v>
      </c>
      <c r="G242" s="38" t="str">
        <f>RTD("rtdtrading.rtdserver",, "T&amp;T1", "DAT", 234)</f>
        <v>A janela foi fechada</v>
      </c>
      <c r="H242" s="39" t="str">
        <f>RTD("rtdtrading.rtdserver",, "T&amp;T1", "PRE", 234)</f>
        <v>A janela foi fechada</v>
      </c>
      <c r="I242" s="40" t="str">
        <f>RTD("rtdtrading.rtdserver",, "T&amp;T1", "QUL", 234)</f>
        <v>A janela foi fechada</v>
      </c>
      <c r="J242" s="41" t="str">
        <f>RTD("rtdtrading.rtdserver",, "T&amp;T1", "AGR", 234)</f>
        <v>A janela foi fechada</v>
      </c>
    </row>
    <row r="243" spans="1:10" x14ac:dyDescent="0.25">
      <c r="A243" s="46" t="str">
        <f>RTD("rtdtrading.rtdserver",, "T&amp;T2", "DAT", 235)</f>
        <v>A janela foi fechada</v>
      </c>
      <c r="B243" s="29" t="str">
        <f>RTD("rtdtrading.rtdserver",, "T&amp;T2", "PRE", 235)</f>
        <v>A janela foi fechada</v>
      </c>
      <c r="C243" s="30" t="str">
        <f>RTD("rtdtrading.rtdserver",, "T&amp;T2", "QUL", 235)</f>
        <v>A janela foi fechada</v>
      </c>
      <c r="D243" s="30" t="str">
        <f>RTD("rtdtrading.rtdserver",, "T&amp;T2", "AGR", 235)</f>
        <v>A janela foi fechada</v>
      </c>
      <c r="G243" s="38" t="str">
        <f>RTD("rtdtrading.rtdserver",, "T&amp;T1", "DAT", 235)</f>
        <v>A janela foi fechada</v>
      </c>
      <c r="H243" s="39" t="str">
        <f>RTD("rtdtrading.rtdserver",, "T&amp;T1", "PRE", 235)</f>
        <v>A janela foi fechada</v>
      </c>
      <c r="I243" s="40" t="str">
        <f>RTD("rtdtrading.rtdserver",, "T&amp;T1", "QUL", 235)</f>
        <v>A janela foi fechada</v>
      </c>
      <c r="J243" s="41" t="str">
        <f>RTD("rtdtrading.rtdserver",, "T&amp;T1", "AGR", 235)</f>
        <v>A janela foi fechada</v>
      </c>
    </row>
    <row r="244" spans="1:10" x14ac:dyDescent="0.25">
      <c r="A244" s="46" t="str">
        <f>RTD("rtdtrading.rtdserver",, "T&amp;T2", "DAT", 236)</f>
        <v>A janela foi fechada</v>
      </c>
      <c r="B244" s="29" t="str">
        <f>RTD("rtdtrading.rtdserver",, "T&amp;T2", "PRE", 236)</f>
        <v>A janela foi fechada</v>
      </c>
      <c r="C244" s="30" t="str">
        <f>RTD("rtdtrading.rtdserver",, "T&amp;T2", "QUL", 236)</f>
        <v>A janela foi fechada</v>
      </c>
      <c r="D244" s="30" t="str">
        <f>RTD("rtdtrading.rtdserver",, "T&amp;T2", "AGR", 236)</f>
        <v>A janela foi fechada</v>
      </c>
      <c r="G244" s="38" t="str">
        <f>RTD("rtdtrading.rtdserver",, "T&amp;T1", "DAT", 236)</f>
        <v>A janela foi fechada</v>
      </c>
      <c r="H244" s="39" t="str">
        <f>RTD("rtdtrading.rtdserver",, "T&amp;T1", "PRE", 236)</f>
        <v>A janela foi fechada</v>
      </c>
      <c r="I244" s="40" t="str">
        <f>RTD("rtdtrading.rtdserver",, "T&amp;T1", "QUL", 236)</f>
        <v>A janela foi fechada</v>
      </c>
      <c r="J244" s="41" t="str">
        <f>RTD("rtdtrading.rtdserver",, "T&amp;T1", "AGR", 236)</f>
        <v>A janela foi fechada</v>
      </c>
    </row>
    <row r="245" spans="1:10" x14ac:dyDescent="0.25">
      <c r="A245" s="46" t="str">
        <f>RTD("rtdtrading.rtdserver",, "T&amp;T2", "DAT", 237)</f>
        <v>A janela foi fechada</v>
      </c>
      <c r="B245" s="29" t="str">
        <f>RTD("rtdtrading.rtdserver",, "T&amp;T2", "PRE", 237)</f>
        <v>A janela foi fechada</v>
      </c>
      <c r="C245" s="30" t="str">
        <f>RTD("rtdtrading.rtdserver",, "T&amp;T2", "QUL", 237)</f>
        <v>A janela foi fechada</v>
      </c>
      <c r="D245" s="30" t="str">
        <f>RTD("rtdtrading.rtdserver",, "T&amp;T2", "AGR", 237)</f>
        <v>A janela foi fechada</v>
      </c>
      <c r="G245" s="38" t="str">
        <f>RTD("rtdtrading.rtdserver",, "T&amp;T1", "DAT", 237)</f>
        <v>A janela foi fechada</v>
      </c>
      <c r="H245" s="39" t="str">
        <f>RTD("rtdtrading.rtdserver",, "T&amp;T1", "PRE", 237)</f>
        <v>A janela foi fechada</v>
      </c>
      <c r="I245" s="40" t="str">
        <f>RTD("rtdtrading.rtdserver",, "T&amp;T1", "QUL", 237)</f>
        <v>A janela foi fechada</v>
      </c>
      <c r="J245" s="41" t="str">
        <f>RTD("rtdtrading.rtdserver",, "T&amp;T1", "AGR", 237)</f>
        <v>A janela foi fechada</v>
      </c>
    </row>
    <row r="246" spans="1:10" x14ac:dyDescent="0.25">
      <c r="A246" s="46" t="str">
        <f>RTD("rtdtrading.rtdserver",, "T&amp;T2", "DAT", 238)</f>
        <v>A janela foi fechada</v>
      </c>
      <c r="B246" s="29" t="str">
        <f>RTD("rtdtrading.rtdserver",, "T&amp;T2", "PRE", 238)</f>
        <v>A janela foi fechada</v>
      </c>
      <c r="C246" s="30" t="str">
        <f>RTD("rtdtrading.rtdserver",, "T&amp;T2", "QUL", 238)</f>
        <v>A janela foi fechada</v>
      </c>
      <c r="D246" s="30" t="str">
        <f>RTD("rtdtrading.rtdserver",, "T&amp;T2", "AGR", 238)</f>
        <v>A janela foi fechada</v>
      </c>
      <c r="G246" s="38" t="str">
        <f>RTD("rtdtrading.rtdserver",, "T&amp;T1", "DAT", 238)</f>
        <v>A janela foi fechada</v>
      </c>
      <c r="H246" s="39" t="str">
        <f>RTD("rtdtrading.rtdserver",, "T&amp;T1", "PRE", 238)</f>
        <v>A janela foi fechada</v>
      </c>
      <c r="I246" s="40" t="str">
        <f>RTD("rtdtrading.rtdserver",, "T&amp;T1", "QUL", 238)</f>
        <v>A janela foi fechada</v>
      </c>
      <c r="J246" s="41" t="str">
        <f>RTD("rtdtrading.rtdserver",, "T&amp;T1", "AGR", 238)</f>
        <v>A janela foi fechada</v>
      </c>
    </row>
    <row r="247" spans="1:10" x14ac:dyDescent="0.25">
      <c r="A247" s="46" t="str">
        <f>RTD("rtdtrading.rtdserver",, "T&amp;T2", "DAT", 239)</f>
        <v>A janela foi fechada</v>
      </c>
      <c r="B247" s="29" t="str">
        <f>RTD("rtdtrading.rtdserver",, "T&amp;T2", "PRE", 239)</f>
        <v>A janela foi fechada</v>
      </c>
      <c r="C247" s="30" t="str">
        <f>RTD("rtdtrading.rtdserver",, "T&amp;T2", "QUL", 239)</f>
        <v>A janela foi fechada</v>
      </c>
      <c r="D247" s="30" t="str">
        <f>RTD("rtdtrading.rtdserver",, "T&amp;T2", "AGR", 239)</f>
        <v>A janela foi fechada</v>
      </c>
      <c r="G247" s="38" t="str">
        <f>RTD("rtdtrading.rtdserver",, "T&amp;T1", "DAT", 239)</f>
        <v>A janela foi fechada</v>
      </c>
      <c r="H247" s="39" t="str">
        <f>RTD("rtdtrading.rtdserver",, "T&amp;T1", "PRE", 239)</f>
        <v>A janela foi fechada</v>
      </c>
      <c r="I247" s="40" t="str">
        <f>RTD("rtdtrading.rtdserver",, "T&amp;T1", "QUL", 239)</f>
        <v>A janela foi fechada</v>
      </c>
      <c r="J247" s="41" t="str">
        <f>RTD("rtdtrading.rtdserver",, "T&amp;T1", "AGR", 239)</f>
        <v>A janela foi fechada</v>
      </c>
    </row>
    <row r="248" spans="1:10" x14ac:dyDescent="0.25">
      <c r="A248" s="46" t="str">
        <f>RTD("rtdtrading.rtdserver",, "T&amp;T2", "DAT", 240)</f>
        <v>A janela foi fechada</v>
      </c>
      <c r="B248" s="29" t="str">
        <f>RTD("rtdtrading.rtdserver",, "T&amp;T2", "PRE", 240)</f>
        <v>A janela foi fechada</v>
      </c>
      <c r="C248" s="30" t="str">
        <f>RTD("rtdtrading.rtdserver",, "T&amp;T2", "QUL", 240)</f>
        <v>A janela foi fechada</v>
      </c>
      <c r="D248" s="30" t="str">
        <f>RTD("rtdtrading.rtdserver",, "T&amp;T2", "AGR", 240)</f>
        <v>A janela foi fechada</v>
      </c>
      <c r="G248" s="38" t="str">
        <f>RTD("rtdtrading.rtdserver",, "T&amp;T1", "DAT", 240)</f>
        <v>A janela foi fechada</v>
      </c>
      <c r="H248" s="39" t="str">
        <f>RTD("rtdtrading.rtdserver",, "T&amp;T1", "PRE", 240)</f>
        <v>A janela foi fechada</v>
      </c>
      <c r="I248" s="40" t="str">
        <f>RTD("rtdtrading.rtdserver",, "T&amp;T1", "QUL", 240)</f>
        <v>A janela foi fechada</v>
      </c>
      <c r="J248" s="41" t="str">
        <f>RTD("rtdtrading.rtdserver",, "T&amp;T1", "AGR", 240)</f>
        <v>A janela foi fechada</v>
      </c>
    </row>
    <row r="249" spans="1:10" x14ac:dyDescent="0.25">
      <c r="A249" s="46" t="str">
        <f>RTD("rtdtrading.rtdserver",, "T&amp;T2", "DAT", 241)</f>
        <v>A janela foi fechada</v>
      </c>
      <c r="B249" s="29" t="str">
        <f>RTD("rtdtrading.rtdserver",, "T&amp;T2", "PRE", 241)</f>
        <v>A janela foi fechada</v>
      </c>
      <c r="C249" s="30" t="str">
        <f>RTD("rtdtrading.rtdserver",, "T&amp;T2", "QUL", 241)</f>
        <v>A janela foi fechada</v>
      </c>
      <c r="D249" s="30" t="str">
        <f>RTD("rtdtrading.rtdserver",, "T&amp;T2", "AGR", 241)</f>
        <v>A janela foi fechada</v>
      </c>
      <c r="G249" s="38" t="str">
        <f>RTD("rtdtrading.rtdserver",, "T&amp;T1", "DAT", 241)</f>
        <v>A janela foi fechada</v>
      </c>
      <c r="H249" s="39" t="str">
        <f>RTD("rtdtrading.rtdserver",, "T&amp;T1", "PRE", 241)</f>
        <v>A janela foi fechada</v>
      </c>
      <c r="I249" s="40" t="str">
        <f>RTD("rtdtrading.rtdserver",, "T&amp;T1", "QUL", 241)</f>
        <v>A janela foi fechada</v>
      </c>
      <c r="J249" s="41" t="str">
        <f>RTD("rtdtrading.rtdserver",, "T&amp;T1", "AGR", 241)</f>
        <v>A janela foi fechada</v>
      </c>
    </row>
    <row r="250" spans="1:10" x14ac:dyDescent="0.25">
      <c r="A250" s="46" t="str">
        <f>RTD("rtdtrading.rtdserver",, "T&amp;T2", "DAT", 242)</f>
        <v>A janela foi fechada</v>
      </c>
      <c r="B250" s="29" t="str">
        <f>RTD("rtdtrading.rtdserver",, "T&amp;T2", "PRE", 242)</f>
        <v>A janela foi fechada</v>
      </c>
      <c r="C250" s="30" t="str">
        <f>RTD("rtdtrading.rtdserver",, "T&amp;T2", "QUL", 242)</f>
        <v>A janela foi fechada</v>
      </c>
      <c r="D250" s="30" t="str">
        <f>RTD("rtdtrading.rtdserver",, "T&amp;T2", "AGR", 242)</f>
        <v>A janela foi fechada</v>
      </c>
      <c r="G250" s="38" t="str">
        <f>RTD("rtdtrading.rtdserver",, "T&amp;T1", "DAT", 242)</f>
        <v>A janela foi fechada</v>
      </c>
      <c r="H250" s="39" t="str">
        <f>RTD("rtdtrading.rtdserver",, "T&amp;T1", "PRE", 242)</f>
        <v>A janela foi fechada</v>
      </c>
      <c r="I250" s="40" t="str">
        <f>RTD("rtdtrading.rtdserver",, "T&amp;T1", "QUL", 242)</f>
        <v>A janela foi fechada</v>
      </c>
      <c r="J250" s="41" t="str">
        <f>RTD("rtdtrading.rtdserver",, "T&amp;T1", "AGR", 242)</f>
        <v>A janela foi fechada</v>
      </c>
    </row>
    <row r="251" spans="1:10" x14ac:dyDescent="0.25">
      <c r="A251" s="46" t="str">
        <f>RTD("rtdtrading.rtdserver",, "T&amp;T2", "DAT", 243)</f>
        <v>A janela foi fechada</v>
      </c>
      <c r="B251" s="29" t="str">
        <f>RTD("rtdtrading.rtdserver",, "T&amp;T2", "PRE", 243)</f>
        <v>A janela foi fechada</v>
      </c>
      <c r="C251" s="30" t="str">
        <f>RTD("rtdtrading.rtdserver",, "T&amp;T2", "QUL", 243)</f>
        <v>A janela foi fechada</v>
      </c>
      <c r="D251" s="30" t="str">
        <f>RTD("rtdtrading.rtdserver",, "T&amp;T2", "AGR", 243)</f>
        <v>A janela foi fechada</v>
      </c>
      <c r="G251" s="38" t="str">
        <f>RTD("rtdtrading.rtdserver",, "T&amp;T1", "DAT", 243)</f>
        <v>A janela foi fechada</v>
      </c>
      <c r="H251" s="39" t="str">
        <f>RTD("rtdtrading.rtdserver",, "T&amp;T1", "PRE", 243)</f>
        <v>A janela foi fechada</v>
      </c>
      <c r="I251" s="40" t="str">
        <f>RTD("rtdtrading.rtdserver",, "T&amp;T1", "QUL", 243)</f>
        <v>A janela foi fechada</v>
      </c>
      <c r="J251" s="41" t="str">
        <f>RTD("rtdtrading.rtdserver",, "T&amp;T1", "AGR", 243)</f>
        <v>A janela foi fechada</v>
      </c>
    </row>
    <row r="252" spans="1:10" x14ac:dyDescent="0.25">
      <c r="A252" s="46" t="str">
        <f>RTD("rtdtrading.rtdserver",, "T&amp;T2", "DAT", 244)</f>
        <v>A janela foi fechada</v>
      </c>
      <c r="B252" s="29" t="str">
        <f>RTD("rtdtrading.rtdserver",, "T&amp;T2", "PRE", 244)</f>
        <v>A janela foi fechada</v>
      </c>
      <c r="C252" s="30" t="str">
        <f>RTD("rtdtrading.rtdserver",, "T&amp;T2", "QUL", 244)</f>
        <v>A janela foi fechada</v>
      </c>
      <c r="D252" s="30" t="str">
        <f>RTD("rtdtrading.rtdserver",, "T&amp;T2", "AGR", 244)</f>
        <v>A janela foi fechada</v>
      </c>
      <c r="G252" s="38" t="str">
        <f>RTD("rtdtrading.rtdserver",, "T&amp;T1", "DAT", 244)</f>
        <v>A janela foi fechada</v>
      </c>
      <c r="H252" s="39" t="str">
        <f>RTD("rtdtrading.rtdserver",, "T&amp;T1", "PRE", 244)</f>
        <v>A janela foi fechada</v>
      </c>
      <c r="I252" s="40" t="str">
        <f>RTD("rtdtrading.rtdserver",, "T&amp;T1", "QUL", 244)</f>
        <v>A janela foi fechada</v>
      </c>
      <c r="J252" s="41" t="str">
        <f>RTD("rtdtrading.rtdserver",, "T&amp;T1", "AGR", 244)</f>
        <v>A janela foi fechada</v>
      </c>
    </row>
    <row r="253" spans="1:10" x14ac:dyDescent="0.25">
      <c r="A253" s="46" t="str">
        <f>RTD("rtdtrading.rtdserver",, "T&amp;T2", "DAT", 245)</f>
        <v>A janela foi fechada</v>
      </c>
      <c r="B253" s="29" t="str">
        <f>RTD("rtdtrading.rtdserver",, "T&amp;T2", "PRE", 245)</f>
        <v>A janela foi fechada</v>
      </c>
      <c r="C253" s="30" t="str">
        <f>RTD("rtdtrading.rtdserver",, "T&amp;T2", "QUL", 245)</f>
        <v>A janela foi fechada</v>
      </c>
      <c r="D253" s="30" t="str">
        <f>RTD("rtdtrading.rtdserver",, "T&amp;T2", "AGR", 245)</f>
        <v>A janela foi fechada</v>
      </c>
      <c r="G253" s="38" t="str">
        <f>RTD("rtdtrading.rtdserver",, "T&amp;T1", "DAT", 245)</f>
        <v>A janela foi fechada</v>
      </c>
      <c r="H253" s="39" t="str">
        <f>RTD("rtdtrading.rtdserver",, "T&amp;T1", "PRE", 245)</f>
        <v>A janela foi fechada</v>
      </c>
      <c r="I253" s="40" t="str">
        <f>RTD("rtdtrading.rtdserver",, "T&amp;T1", "QUL", 245)</f>
        <v>A janela foi fechada</v>
      </c>
      <c r="J253" s="41" t="str">
        <f>RTD("rtdtrading.rtdserver",, "T&amp;T1", "AGR", 245)</f>
        <v>A janela foi fechada</v>
      </c>
    </row>
    <row r="254" spans="1:10" x14ac:dyDescent="0.25">
      <c r="A254" s="46" t="str">
        <f>RTD("rtdtrading.rtdserver",, "T&amp;T2", "DAT", 246)</f>
        <v>A janela foi fechada</v>
      </c>
      <c r="B254" s="29" t="str">
        <f>RTD("rtdtrading.rtdserver",, "T&amp;T2", "PRE", 246)</f>
        <v>A janela foi fechada</v>
      </c>
      <c r="C254" s="30" t="str">
        <f>RTD("rtdtrading.rtdserver",, "T&amp;T2", "QUL", 246)</f>
        <v>A janela foi fechada</v>
      </c>
      <c r="D254" s="30" t="str">
        <f>RTD("rtdtrading.rtdserver",, "T&amp;T2", "AGR", 246)</f>
        <v>A janela foi fechada</v>
      </c>
      <c r="G254" s="38" t="str">
        <f>RTD("rtdtrading.rtdserver",, "T&amp;T1", "DAT", 246)</f>
        <v>A janela foi fechada</v>
      </c>
      <c r="H254" s="39" t="str">
        <f>RTD("rtdtrading.rtdserver",, "T&amp;T1", "PRE", 246)</f>
        <v>A janela foi fechada</v>
      </c>
      <c r="I254" s="40" t="str">
        <f>RTD("rtdtrading.rtdserver",, "T&amp;T1", "QUL", 246)</f>
        <v>A janela foi fechada</v>
      </c>
      <c r="J254" s="41" t="str">
        <f>RTD("rtdtrading.rtdserver",, "T&amp;T1", "AGR", 246)</f>
        <v>A janela foi fechada</v>
      </c>
    </row>
    <row r="255" spans="1:10" x14ac:dyDescent="0.25">
      <c r="A255" s="46" t="str">
        <f>RTD("rtdtrading.rtdserver",, "T&amp;T2", "DAT", 247)</f>
        <v>A janela foi fechada</v>
      </c>
      <c r="B255" s="29" t="str">
        <f>RTD("rtdtrading.rtdserver",, "T&amp;T2", "PRE", 247)</f>
        <v>A janela foi fechada</v>
      </c>
      <c r="C255" s="30" t="str">
        <f>RTD("rtdtrading.rtdserver",, "T&amp;T2", "QUL", 247)</f>
        <v>A janela foi fechada</v>
      </c>
      <c r="D255" s="30" t="str">
        <f>RTD("rtdtrading.rtdserver",, "T&amp;T2", "AGR", 247)</f>
        <v>A janela foi fechada</v>
      </c>
      <c r="G255" s="38" t="str">
        <f>RTD("rtdtrading.rtdserver",, "T&amp;T1", "DAT", 247)</f>
        <v>A janela foi fechada</v>
      </c>
      <c r="H255" s="39" t="str">
        <f>RTD("rtdtrading.rtdserver",, "T&amp;T1", "PRE", 247)</f>
        <v>A janela foi fechada</v>
      </c>
      <c r="I255" s="40" t="str">
        <f>RTD("rtdtrading.rtdserver",, "T&amp;T1", "QUL", 247)</f>
        <v>A janela foi fechada</v>
      </c>
      <c r="J255" s="41" t="str">
        <f>RTD("rtdtrading.rtdserver",, "T&amp;T1", "AGR", 247)</f>
        <v>A janela foi fechada</v>
      </c>
    </row>
    <row r="256" spans="1:10" x14ac:dyDescent="0.25">
      <c r="A256" s="46" t="str">
        <f>RTD("rtdtrading.rtdserver",, "T&amp;T2", "DAT", 248)</f>
        <v>A janela foi fechada</v>
      </c>
      <c r="B256" s="29" t="str">
        <f>RTD("rtdtrading.rtdserver",, "T&amp;T2", "PRE", 248)</f>
        <v>A janela foi fechada</v>
      </c>
      <c r="C256" s="30" t="str">
        <f>RTD("rtdtrading.rtdserver",, "T&amp;T2", "QUL", 248)</f>
        <v>A janela foi fechada</v>
      </c>
      <c r="D256" s="30" t="str">
        <f>RTD("rtdtrading.rtdserver",, "T&amp;T2", "AGR", 248)</f>
        <v>A janela foi fechada</v>
      </c>
      <c r="G256" s="38" t="str">
        <f>RTD("rtdtrading.rtdserver",, "T&amp;T1", "DAT", 248)</f>
        <v>A janela foi fechada</v>
      </c>
      <c r="H256" s="39" t="str">
        <f>RTD("rtdtrading.rtdserver",, "T&amp;T1", "PRE", 248)</f>
        <v>A janela foi fechada</v>
      </c>
      <c r="I256" s="40" t="str">
        <f>RTD("rtdtrading.rtdserver",, "T&amp;T1", "QUL", 248)</f>
        <v>A janela foi fechada</v>
      </c>
      <c r="J256" s="41" t="str">
        <f>RTD("rtdtrading.rtdserver",, "T&amp;T1", "AGR", 248)</f>
        <v>A janela foi fechada</v>
      </c>
    </row>
    <row r="257" spans="1:10" x14ac:dyDescent="0.25">
      <c r="A257" s="46" t="str">
        <f>RTD("rtdtrading.rtdserver",, "T&amp;T2", "DAT", 249)</f>
        <v>A janela foi fechada</v>
      </c>
      <c r="B257" s="29" t="str">
        <f>RTD("rtdtrading.rtdserver",, "T&amp;T2", "PRE", 249)</f>
        <v>A janela foi fechada</v>
      </c>
      <c r="C257" s="30" t="str">
        <f>RTD("rtdtrading.rtdserver",, "T&amp;T2", "QUL", 249)</f>
        <v>A janela foi fechada</v>
      </c>
      <c r="D257" s="30" t="str">
        <f>RTD("rtdtrading.rtdserver",, "T&amp;T2", "AGR", 249)</f>
        <v>A janela foi fechada</v>
      </c>
      <c r="G257" s="38" t="str">
        <f>RTD("rtdtrading.rtdserver",, "T&amp;T1", "DAT", 249)</f>
        <v>A janela foi fechada</v>
      </c>
      <c r="H257" s="39" t="str">
        <f>RTD("rtdtrading.rtdserver",, "T&amp;T1", "PRE", 249)</f>
        <v>A janela foi fechada</v>
      </c>
      <c r="I257" s="40" t="str">
        <f>RTD("rtdtrading.rtdserver",, "T&amp;T1", "QUL", 249)</f>
        <v>A janela foi fechada</v>
      </c>
      <c r="J257" s="41" t="str">
        <f>RTD("rtdtrading.rtdserver",, "T&amp;T1", "AGR", 249)</f>
        <v>A janela foi fechada</v>
      </c>
    </row>
    <row r="258" spans="1:10" x14ac:dyDescent="0.25">
      <c r="A258" s="46" t="str">
        <f>RTD("rtdtrading.rtdserver",, "T&amp;T2", "DAT", 250)</f>
        <v>A janela foi fechada</v>
      </c>
      <c r="B258" s="29" t="str">
        <f>RTD("rtdtrading.rtdserver",, "T&amp;T2", "PRE", 250)</f>
        <v>A janela foi fechada</v>
      </c>
      <c r="C258" s="30" t="str">
        <f>RTD("rtdtrading.rtdserver",, "T&amp;T2", "QUL", 250)</f>
        <v>A janela foi fechada</v>
      </c>
      <c r="D258" s="30" t="str">
        <f>RTD("rtdtrading.rtdserver",, "T&amp;T2", "AGR", 250)</f>
        <v>A janela foi fechada</v>
      </c>
      <c r="G258" s="38" t="str">
        <f>RTD("rtdtrading.rtdserver",, "T&amp;T1", "DAT", 250)</f>
        <v>A janela foi fechada</v>
      </c>
      <c r="H258" s="39" t="str">
        <f>RTD("rtdtrading.rtdserver",, "T&amp;T1", "PRE", 250)</f>
        <v>A janela foi fechada</v>
      </c>
      <c r="I258" s="40" t="str">
        <f>RTD("rtdtrading.rtdserver",, "T&amp;T1", "QUL", 250)</f>
        <v>A janela foi fechada</v>
      </c>
      <c r="J258" s="41" t="str">
        <f>RTD("rtdtrading.rtdserver",, "T&amp;T1", "AGR", 250)</f>
        <v>A janela foi fechada</v>
      </c>
    </row>
    <row r="259" spans="1:10" x14ac:dyDescent="0.25">
      <c r="A259" s="46" t="str">
        <f>RTD("rtdtrading.rtdserver",, "T&amp;T2", "DAT", 251)</f>
        <v>A janela foi fechada</v>
      </c>
      <c r="B259" s="29" t="str">
        <f>RTD("rtdtrading.rtdserver",, "T&amp;T2", "PRE", 251)</f>
        <v>A janela foi fechada</v>
      </c>
      <c r="C259" s="30" t="str">
        <f>RTD("rtdtrading.rtdserver",, "T&amp;T2", "QUL", 251)</f>
        <v>A janela foi fechada</v>
      </c>
      <c r="D259" s="30" t="str">
        <f>RTD("rtdtrading.rtdserver",, "T&amp;T2", "AGR", 251)</f>
        <v>A janela foi fechada</v>
      </c>
      <c r="G259" s="38" t="str">
        <f>RTD("rtdtrading.rtdserver",, "T&amp;T1", "DAT", 251)</f>
        <v>A janela foi fechada</v>
      </c>
      <c r="H259" s="39" t="str">
        <f>RTD("rtdtrading.rtdserver",, "T&amp;T1", "PRE", 251)</f>
        <v>A janela foi fechada</v>
      </c>
      <c r="I259" s="40" t="str">
        <f>RTD("rtdtrading.rtdserver",, "T&amp;T1", "QUL", 251)</f>
        <v>A janela foi fechada</v>
      </c>
      <c r="J259" s="41" t="str">
        <f>RTD("rtdtrading.rtdserver",, "T&amp;T1", "AGR", 251)</f>
        <v>A janela foi fechada</v>
      </c>
    </row>
    <row r="260" spans="1:10" x14ac:dyDescent="0.25">
      <c r="A260" s="46" t="str">
        <f>RTD("rtdtrading.rtdserver",, "T&amp;T2", "DAT", 252)</f>
        <v>A janela foi fechada</v>
      </c>
      <c r="B260" s="29" t="str">
        <f>RTD("rtdtrading.rtdserver",, "T&amp;T2", "PRE", 252)</f>
        <v>A janela foi fechada</v>
      </c>
      <c r="C260" s="30" t="str">
        <f>RTD("rtdtrading.rtdserver",, "T&amp;T2", "QUL", 252)</f>
        <v>A janela foi fechada</v>
      </c>
      <c r="D260" s="30" t="str">
        <f>RTD("rtdtrading.rtdserver",, "T&amp;T2", "AGR", 252)</f>
        <v>A janela foi fechada</v>
      </c>
      <c r="G260" s="38" t="str">
        <f>RTD("rtdtrading.rtdserver",, "T&amp;T1", "DAT", 252)</f>
        <v>A janela foi fechada</v>
      </c>
      <c r="H260" s="39" t="str">
        <f>RTD("rtdtrading.rtdserver",, "T&amp;T1", "PRE", 252)</f>
        <v>A janela foi fechada</v>
      </c>
      <c r="I260" s="40" t="str">
        <f>RTD("rtdtrading.rtdserver",, "T&amp;T1", "QUL", 252)</f>
        <v>A janela foi fechada</v>
      </c>
      <c r="J260" s="41" t="str">
        <f>RTD("rtdtrading.rtdserver",, "T&amp;T1", "AGR", 252)</f>
        <v>A janela foi fechada</v>
      </c>
    </row>
    <row r="261" spans="1:10" x14ac:dyDescent="0.25">
      <c r="A261" s="46" t="str">
        <f>RTD("rtdtrading.rtdserver",, "T&amp;T2", "DAT", 253)</f>
        <v>A janela foi fechada</v>
      </c>
      <c r="B261" s="29" t="str">
        <f>RTD("rtdtrading.rtdserver",, "T&amp;T2", "PRE", 253)</f>
        <v>A janela foi fechada</v>
      </c>
      <c r="C261" s="30" t="str">
        <f>RTD("rtdtrading.rtdserver",, "T&amp;T2", "QUL", 253)</f>
        <v>A janela foi fechada</v>
      </c>
      <c r="D261" s="30" t="str">
        <f>RTD("rtdtrading.rtdserver",, "T&amp;T2", "AGR", 253)</f>
        <v>A janela foi fechada</v>
      </c>
      <c r="G261" s="38" t="str">
        <f>RTD("rtdtrading.rtdserver",, "T&amp;T1", "DAT", 253)</f>
        <v>A janela foi fechada</v>
      </c>
      <c r="H261" s="39" t="str">
        <f>RTD("rtdtrading.rtdserver",, "T&amp;T1", "PRE", 253)</f>
        <v>A janela foi fechada</v>
      </c>
      <c r="I261" s="40" t="str">
        <f>RTD("rtdtrading.rtdserver",, "T&amp;T1", "QUL", 253)</f>
        <v>A janela foi fechada</v>
      </c>
      <c r="J261" s="41" t="str">
        <f>RTD("rtdtrading.rtdserver",, "T&amp;T1", "AGR", 253)</f>
        <v>A janela foi fechada</v>
      </c>
    </row>
    <row r="262" spans="1:10" x14ac:dyDescent="0.25">
      <c r="A262" s="46" t="str">
        <f>RTD("rtdtrading.rtdserver",, "T&amp;T2", "DAT", 254)</f>
        <v>A janela foi fechada</v>
      </c>
      <c r="B262" s="29" t="str">
        <f>RTD("rtdtrading.rtdserver",, "T&amp;T2", "PRE", 254)</f>
        <v>A janela foi fechada</v>
      </c>
      <c r="C262" s="30" t="str">
        <f>RTD("rtdtrading.rtdserver",, "T&amp;T2", "QUL", 254)</f>
        <v>A janela foi fechada</v>
      </c>
      <c r="D262" s="30" t="str">
        <f>RTD("rtdtrading.rtdserver",, "T&amp;T2", "AGR", 254)</f>
        <v>A janela foi fechada</v>
      </c>
      <c r="G262" s="38" t="str">
        <f>RTD("rtdtrading.rtdserver",, "T&amp;T1", "DAT", 254)</f>
        <v>A janela foi fechada</v>
      </c>
      <c r="H262" s="39" t="str">
        <f>RTD("rtdtrading.rtdserver",, "T&amp;T1", "PRE", 254)</f>
        <v>A janela foi fechada</v>
      </c>
      <c r="I262" s="40" t="str">
        <f>RTD("rtdtrading.rtdserver",, "T&amp;T1", "QUL", 254)</f>
        <v>A janela foi fechada</v>
      </c>
      <c r="J262" s="41" t="str">
        <f>RTD("rtdtrading.rtdserver",, "T&amp;T1", "AGR", 254)</f>
        <v>A janela foi fechada</v>
      </c>
    </row>
    <row r="263" spans="1:10" x14ac:dyDescent="0.25">
      <c r="A263" s="46" t="str">
        <f>RTD("rtdtrading.rtdserver",, "T&amp;T2", "DAT", 255)</f>
        <v>A janela foi fechada</v>
      </c>
      <c r="B263" s="29" t="str">
        <f>RTD("rtdtrading.rtdserver",, "T&amp;T2", "PRE", 255)</f>
        <v>A janela foi fechada</v>
      </c>
      <c r="C263" s="30" t="str">
        <f>RTD("rtdtrading.rtdserver",, "T&amp;T2", "QUL", 255)</f>
        <v>A janela foi fechada</v>
      </c>
      <c r="D263" s="30" t="str">
        <f>RTD("rtdtrading.rtdserver",, "T&amp;T2", "AGR", 255)</f>
        <v>A janela foi fechada</v>
      </c>
      <c r="G263" s="38" t="str">
        <f>RTD("rtdtrading.rtdserver",, "T&amp;T1", "DAT", 255)</f>
        <v>A janela foi fechada</v>
      </c>
      <c r="H263" s="39" t="str">
        <f>RTD("rtdtrading.rtdserver",, "T&amp;T1", "PRE", 255)</f>
        <v>A janela foi fechada</v>
      </c>
      <c r="I263" s="40" t="str">
        <f>RTD("rtdtrading.rtdserver",, "T&amp;T1", "QUL", 255)</f>
        <v>A janela foi fechada</v>
      </c>
      <c r="J263" s="41" t="str">
        <f>RTD("rtdtrading.rtdserver",, "T&amp;T1", "AGR", 255)</f>
        <v>A janela foi fechada</v>
      </c>
    </row>
    <row r="264" spans="1:10" x14ac:dyDescent="0.25">
      <c r="A264" s="46" t="str">
        <f>RTD("rtdtrading.rtdserver",, "T&amp;T2", "DAT", 256)</f>
        <v>A janela foi fechada</v>
      </c>
      <c r="B264" s="29" t="str">
        <f>RTD("rtdtrading.rtdserver",, "T&amp;T2", "PRE", 256)</f>
        <v>A janela foi fechada</v>
      </c>
      <c r="C264" s="30" t="str">
        <f>RTD("rtdtrading.rtdserver",, "T&amp;T2", "QUL", 256)</f>
        <v>A janela foi fechada</v>
      </c>
      <c r="D264" s="30" t="str">
        <f>RTD("rtdtrading.rtdserver",, "T&amp;T2", "AGR", 256)</f>
        <v>A janela foi fechada</v>
      </c>
      <c r="G264" s="38" t="str">
        <f>RTD("rtdtrading.rtdserver",, "T&amp;T1", "DAT", 256)</f>
        <v>A janela foi fechada</v>
      </c>
      <c r="H264" s="39" t="str">
        <f>RTD("rtdtrading.rtdserver",, "T&amp;T1", "PRE", 256)</f>
        <v>A janela foi fechada</v>
      </c>
      <c r="I264" s="40" t="str">
        <f>RTD("rtdtrading.rtdserver",, "T&amp;T1", "QUL", 256)</f>
        <v>A janela foi fechada</v>
      </c>
      <c r="J264" s="41" t="str">
        <f>RTD("rtdtrading.rtdserver",, "T&amp;T1", "AGR", 256)</f>
        <v>A janela foi fechada</v>
      </c>
    </row>
    <row r="265" spans="1:10" x14ac:dyDescent="0.25">
      <c r="A265" s="46" t="str">
        <f>RTD("rtdtrading.rtdserver",, "T&amp;T2", "DAT", 257)</f>
        <v>A janela foi fechada</v>
      </c>
      <c r="B265" s="29" t="str">
        <f>RTD("rtdtrading.rtdserver",, "T&amp;T2", "PRE", 257)</f>
        <v>A janela foi fechada</v>
      </c>
      <c r="C265" s="30" t="str">
        <f>RTD("rtdtrading.rtdserver",, "T&amp;T2", "QUL", 257)</f>
        <v>A janela foi fechada</v>
      </c>
      <c r="D265" s="30" t="str">
        <f>RTD("rtdtrading.rtdserver",, "T&amp;T2", "AGR", 257)</f>
        <v>A janela foi fechada</v>
      </c>
      <c r="G265" s="38" t="str">
        <f>RTD("rtdtrading.rtdserver",, "T&amp;T1", "DAT", 257)</f>
        <v>A janela foi fechada</v>
      </c>
      <c r="H265" s="39" t="str">
        <f>RTD("rtdtrading.rtdserver",, "T&amp;T1", "PRE", 257)</f>
        <v>A janela foi fechada</v>
      </c>
      <c r="I265" s="40" t="str">
        <f>RTD("rtdtrading.rtdserver",, "T&amp;T1", "QUL", 257)</f>
        <v>A janela foi fechada</v>
      </c>
      <c r="J265" s="41" t="str">
        <f>RTD("rtdtrading.rtdserver",, "T&amp;T1", "AGR", 257)</f>
        <v>A janela foi fechada</v>
      </c>
    </row>
    <row r="266" spans="1:10" x14ac:dyDescent="0.25">
      <c r="A266" s="46" t="str">
        <f>RTD("rtdtrading.rtdserver",, "T&amp;T2", "DAT", 258)</f>
        <v>A janela foi fechada</v>
      </c>
      <c r="B266" s="29" t="str">
        <f>RTD("rtdtrading.rtdserver",, "T&amp;T2", "PRE", 258)</f>
        <v>A janela foi fechada</v>
      </c>
      <c r="C266" s="30" t="str">
        <f>RTD("rtdtrading.rtdserver",, "T&amp;T2", "QUL", 258)</f>
        <v>A janela foi fechada</v>
      </c>
      <c r="D266" s="30" t="str">
        <f>RTD("rtdtrading.rtdserver",, "T&amp;T2", "AGR", 258)</f>
        <v>A janela foi fechada</v>
      </c>
      <c r="G266" s="38" t="str">
        <f>RTD("rtdtrading.rtdserver",, "T&amp;T1", "DAT", 258)</f>
        <v>A janela foi fechada</v>
      </c>
      <c r="H266" s="39" t="str">
        <f>RTD("rtdtrading.rtdserver",, "T&amp;T1", "PRE", 258)</f>
        <v>A janela foi fechada</v>
      </c>
      <c r="I266" s="40" t="str">
        <f>RTD("rtdtrading.rtdserver",, "T&amp;T1", "QUL", 258)</f>
        <v>A janela foi fechada</v>
      </c>
      <c r="J266" s="41" t="str">
        <f>RTD("rtdtrading.rtdserver",, "T&amp;T1", "AGR", 258)</f>
        <v>A janela foi fechada</v>
      </c>
    </row>
    <row r="267" spans="1:10" x14ac:dyDescent="0.25">
      <c r="A267" s="46" t="str">
        <f>RTD("rtdtrading.rtdserver",, "T&amp;T2", "DAT", 259)</f>
        <v>A janela foi fechada</v>
      </c>
      <c r="B267" s="29" t="str">
        <f>RTD("rtdtrading.rtdserver",, "T&amp;T2", "PRE", 259)</f>
        <v>A janela foi fechada</v>
      </c>
      <c r="C267" s="30" t="str">
        <f>RTD("rtdtrading.rtdserver",, "T&amp;T2", "QUL", 259)</f>
        <v>A janela foi fechada</v>
      </c>
      <c r="D267" s="30" t="str">
        <f>RTD("rtdtrading.rtdserver",, "T&amp;T2", "AGR", 259)</f>
        <v>A janela foi fechada</v>
      </c>
      <c r="G267" s="38" t="str">
        <f>RTD("rtdtrading.rtdserver",, "T&amp;T1", "DAT", 259)</f>
        <v>A janela foi fechada</v>
      </c>
      <c r="H267" s="39" t="str">
        <f>RTD("rtdtrading.rtdserver",, "T&amp;T1", "PRE", 259)</f>
        <v>A janela foi fechada</v>
      </c>
      <c r="I267" s="40" t="str">
        <f>RTD("rtdtrading.rtdserver",, "T&amp;T1", "QUL", 259)</f>
        <v>A janela foi fechada</v>
      </c>
      <c r="J267" s="41" t="str">
        <f>RTD("rtdtrading.rtdserver",, "T&amp;T1", "AGR", 259)</f>
        <v>A janela foi fechada</v>
      </c>
    </row>
    <row r="268" spans="1:10" x14ac:dyDescent="0.25">
      <c r="A268" s="46" t="str">
        <f>RTD("rtdtrading.rtdserver",, "T&amp;T2", "DAT", 260)</f>
        <v>A janela foi fechada</v>
      </c>
      <c r="B268" s="29" t="str">
        <f>RTD("rtdtrading.rtdserver",, "T&amp;T2", "PRE", 260)</f>
        <v>A janela foi fechada</v>
      </c>
      <c r="C268" s="30" t="str">
        <f>RTD("rtdtrading.rtdserver",, "T&amp;T2", "QUL", 260)</f>
        <v>A janela foi fechada</v>
      </c>
      <c r="D268" s="30" t="str">
        <f>RTD("rtdtrading.rtdserver",, "T&amp;T2", "AGR", 260)</f>
        <v>A janela foi fechada</v>
      </c>
      <c r="G268" s="38" t="str">
        <f>RTD("rtdtrading.rtdserver",, "T&amp;T1", "DAT", 260)</f>
        <v>A janela foi fechada</v>
      </c>
      <c r="H268" s="39" t="str">
        <f>RTD("rtdtrading.rtdserver",, "T&amp;T1", "PRE", 260)</f>
        <v>A janela foi fechada</v>
      </c>
      <c r="I268" s="40" t="str">
        <f>RTD("rtdtrading.rtdserver",, "T&amp;T1", "QUL", 260)</f>
        <v>A janela foi fechada</v>
      </c>
      <c r="J268" s="41" t="str">
        <f>RTD("rtdtrading.rtdserver",, "T&amp;T1", "AGR", 260)</f>
        <v>A janela foi fechada</v>
      </c>
    </row>
    <row r="269" spans="1:10" x14ac:dyDescent="0.25">
      <c r="A269" s="46" t="str">
        <f>RTD("rtdtrading.rtdserver",, "T&amp;T2", "DAT", 261)</f>
        <v>A janela foi fechada</v>
      </c>
      <c r="B269" s="29" t="str">
        <f>RTD("rtdtrading.rtdserver",, "T&amp;T2", "PRE", 261)</f>
        <v>A janela foi fechada</v>
      </c>
      <c r="C269" s="30" t="str">
        <f>RTD("rtdtrading.rtdserver",, "T&amp;T2", "QUL", 261)</f>
        <v>A janela foi fechada</v>
      </c>
      <c r="D269" s="30" t="str">
        <f>RTD("rtdtrading.rtdserver",, "T&amp;T2", "AGR", 261)</f>
        <v>A janela foi fechada</v>
      </c>
      <c r="G269" s="38" t="str">
        <f>RTD("rtdtrading.rtdserver",, "T&amp;T1", "DAT", 261)</f>
        <v>A janela foi fechada</v>
      </c>
      <c r="H269" s="39" t="str">
        <f>RTD("rtdtrading.rtdserver",, "T&amp;T1", "PRE", 261)</f>
        <v>A janela foi fechada</v>
      </c>
      <c r="I269" s="40" t="str">
        <f>RTD("rtdtrading.rtdserver",, "T&amp;T1", "QUL", 261)</f>
        <v>A janela foi fechada</v>
      </c>
      <c r="J269" s="41" t="str">
        <f>RTD("rtdtrading.rtdserver",, "T&amp;T1", "AGR", 261)</f>
        <v>A janela foi fechada</v>
      </c>
    </row>
    <row r="270" spans="1:10" x14ac:dyDescent="0.25">
      <c r="A270" s="46" t="str">
        <f>RTD("rtdtrading.rtdserver",, "T&amp;T2", "DAT", 262)</f>
        <v>A janela foi fechada</v>
      </c>
      <c r="B270" s="29" t="str">
        <f>RTD("rtdtrading.rtdserver",, "T&amp;T2", "PRE", 262)</f>
        <v>A janela foi fechada</v>
      </c>
      <c r="C270" s="30" t="str">
        <f>RTD("rtdtrading.rtdserver",, "T&amp;T2", "QUL", 262)</f>
        <v>A janela foi fechada</v>
      </c>
      <c r="D270" s="30" t="str">
        <f>RTD("rtdtrading.rtdserver",, "T&amp;T2", "AGR", 262)</f>
        <v>A janela foi fechada</v>
      </c>
      <c r="G270" s="38" t="str">
        <f>RTD("rtdtrading.rtdserver",, "T&amp;T1", "DAT", 262)</f>
        <v>A janela foi fechada</v>
      </c>
      <c r="H270" s="39" t="str">
        <f>RTD("rtdtrading.rtdserver",, "T&amp;T1", "PRE", 262)</f>
        <v>A janela foi fechada</v>
      </c>
      <c r="I270" s="40" t="str">
        <f>RTD("rtdtrading.rtdserver",, "T&amp;T1", "QUL", 262)</f>
        <v>A janela foi fechada</v>
      </c>
      <c r="J270" s="41" t="str">
        <f>RTD("rtdtrading.rtdserver",, "T&amp;T1", "AGR", 262)</f>
        <v>A janela foi fechada</v>
      </c>
    </row>
    <row r="271" spans="1:10" x14ac:dyDescent="0.25">
      <c r="A271" s="46" t="str">
        <f>RTD("rtdtrading.rtdserver",, "T&amp;T2", "DAT", 263)</f>
        <v>A janela foi fechada</v>
      </c>
      <c r="B271" s="29" t="str">
        <f>RTD("rtdtrading.rtdserver",, "T&amp;T2", "PRE", 263)</f>
        <v>A janela foi fechada</v>
      </c>
      <c r="C271" s="30" t="str">
        <f>RTD("rtdtrading.rtdserver",, "T&amp;T2", "QUL", 263)</f>
        <v>A janela foi fechada</v>
      </c>
      <c r="D271" s="30" t="str">
        <f>RTD("rtdtrading.rtdserver",, "T&amp;T2", "AGR", 263)</f>
        <v>A janela foi fechada</v>
      </c>
      <c r="G271" s="38" t="str">
        <f>RTD("rtdtrading.rtdserver",, "T&amp;T1", "DAT", 263)</f>
        <v>A janela foi fechada</v>
      </c>
      <c r="H271" s="39" t="str">
        <f>RTD("rtdtrading.rtdserver",, "T&amp;T1", "PRE", 263)</f>
        <v>A janela foi fechada</v>
      </c>
      <c r="I271" s="40" t="str">
        <f>RTD("rtdtrading.rtdserver",, "T&amp;T1", "QUL", 263)</f>
        <v>A janela foi fechada</v>
      </c>
      <c r="J271" s="41" t="str">
        <f>RTD("rtdtrading.rtdserver",, "T&amp;T1", "AGR", 263)</f>
        <v>A janela foi fechada</v>
      </c>
    </row>
    <row r="272" spans="1:10" x14ac:dyDescent="0.25">
      <c r="A272" s="46" t="str">
        <f>RTD("rtdtrading.rtdserver",, "T&amp;T2", "DAT", 264)</f>
        <v>A janela foi fechada</v>
      </c>
      <c r="B272" s="29" t="str">
        <f>RTD("rtdtrading.rtdserver",, "T&amp;T2", "PRE", 264)</f>
        <v>A janela foi fechada</v>
      </c>
      <c r="C272" s="30" t="str">
        <f>RTD("rtdtrading.rtdserver",, "T&amp;T2", "QUL", 264)</f>
        <v>A janela foi fechada</v>
      </c>
      <c r="D272" s="30" t="str">
        <f>RTD("rtdtrading.rtdserver",, "T&amp;T2", "AGR", 264)</f>
        <v>A janela foi fechada</v>
      </c>
      <c r="G272" s="38" t="str">
        <f>RTD("rtdtrading.rtdserver",, "T&amp;T1", "DAT", 264)</f>
        <v>A janela foi fechada</v>
      </c>
      <c r="H272" s="39" t="str">
        <f>RTD("rtdtrading.rtdserver",, "T&amp;T1", "PRE", 264)</f>
        <v>A janela foi fechada</v>
      </c>
      <c r="I272" s="40" t="str">
        <f>RTD("rtdtrading.rtdserver",, "T&amp;T1", "QUL", 264)</f>
        <v>A janela foi fechada</v>
      </c>
      <c r="J272" s="41" t="str">
        <f>RTD("rtdtrading.rtdserver",, "T&amp;T1", "AGR", 264)</f>
        <v>A janela foi fechada</v>
      </c>
    </row>
    <row r="273" spans="1:10" x14ac:dyDescent="0.25">
      <c r="A273" s="46" t="str">
        <f>RTD("rtdtrading.rtdserver",, "T&amp;T2", "DAT", 265)</f>
        <v>A janela foi fechada</v>
      </c>
      <c r="B273" s="29" t="str">
        <f>RTD("rtdtrading.rtdserver",, "T&amp;T2", "PRE", 265)</f>
        <v>A janela foi fechada</v>
      </c>
      <c r="C273" s="30" t="str">
        <f>RTD("rtdtrading.rtdserver",, "T&amp;T2", "QUL", 265)</f>
        <v>A janela foi fechada</v>
      </c>
      <c r="D273" s="30" t="str">
        <f>RTD("rtdtrading.rtdserver",, "T&amp;T2", "AGR", 265)</f>
        <v>A janela foi fechada</v>
      </c>
      <c r="G273" s="38" t="str">
        <f>RTD("rtdtrading.rtdserver",, "T&amp;T1", "DAT", 265)</f>
        <v>A janela foi fechada</v>
      </c>
      <c r="H273" s="39" t="str">
        <f>RTD("rtdtrading.rtdserver",, "T&amp;T1", "PRE", 265)</f>
        <v>A janela foi fechada</v>
      </c>
      <c r="I273" s="40" t="str">
        <f>RTD("rtdtrading.rtdserver",, "T&amp;T1", "QUL", 265)</f>
        <v>A janela foi fechada</v>
      </c>
      <c r="J273" s="41" t="str">
        <f>RTD("rtdtrading.rtdserver",, "T&amp;T1", "AGR", 265)</f>
        <v>A janela foi fechada</v>
      </c>
    </row>
    <row r="274" spans="1:10" x14ac:dyDescent="0.25">
      <c r="A274" s="46" t="str">
        <f>RTD("rtdtrading.rtdserver",, "T&amp;T2", "DAT", 266)</f>
        <v>A janela foi fechada</v>
      </c>
      <c r="B274" s="29" t="str">
        <f>RTD("rtdtrading.rtdserver",, "T&amp;T2", "PRE", 266)</f>
        <v>A janela foi fechada</v>
      </c>
      <c r="C274" s="30" t="str">
        <f>RTD("rtdtrading.rtdserver",, "T&amp;T2", "QUL", 266)</f>
        <v>A janela foi fechada</v>
      </c>
      <c r="D274" s="30" t="str">
        <f>RTD("rtdtrading.rtdserver",, "T&amp;T2", "AGR", 266)</f>
        <v>A janela foi fechada</v>
      </c>
      <c r="G274" s="38" t="str">
        <f>RTD("rtdtrading.rtdserver",, "T&amp;T1", "DAT", 266)</f>
        <v>A janela foi fechada</v>
      </c>
      <c r="H274" s="39" t="str">
        <f>RTD("rtdtrading.rtdserver",, "T&amp;T1", "PRE", 266)</f>
        <v>A janela foi fechada</v>
      </c>
      <c r="I274" s="40" t="str">
        <f>RTD("rtdtrading.rtdserver",, "T&amp;T1", "QUL", 266)</f>
        <v>A janela foi fechada</v>
      </c>
      <c r="J274" s="41" t="str">
        <f>RTD("rtdtrading.rtdserver",, "T&amp;T1", "AGR", 266)</f>
        <v>A janela foi fechada</v>
      </c>
    </row>
    <row r="275" spans="1:10" x14ac:dyDescent="0.25">
      <c r="A275" s="46" t="str">
        <f>RTD("rtdtrading.rtdserver",, "T&amp;T2", "DAT", 267)</f>
        <v>A janela foi fechada</v>
      </c>
      <c r="B275" s="29" t="str">
        <f>RTD("rtdtrading.rtdserver",, "T&amp;T2", "PRE", 267)</f>
        <v>A janela foi fechada</v>
      </c>
      <c r="C275" s="30" t="str">
        <f>RTD("rtdtrading.rtdserver",, "T&amp;T2", "QUL", 267)</f>
        <v>A janela foi fechada</v>
      </c>
      <c r="D275" s="30" t="str">
        <f>RTD("rtdtrading.rtdserver",, "T&amp;T2", "AGR", 267)</f>
        <v>A janela foi fechada</v>
      </c>
      <c r="G275" s="38" t="str">
        <f>RTD("rtdtrading.rtdserver",, "T&amp;T1", "DAT", 267)</f>
        <v>A janela foi fechada</v>
      </c>
      <c r="H275" s="39" t="str">
        <f>RTD("rtdtrading.rtdserver",, "T&amp;T1", "PRE", 267)</f>
        <v>A janela foi fechada</v>
      </c>
      <c r="I275" s="40" t="str">
        <f>RTD("rtdtrading.rtdserver",, "T&amp;T1", "QUL", 267)</f>
        <v>A janela foi fechada</v>
      </c>
      <c r="J275" s="41" t="str">
        <f>RTD("rtdtrading.rtdserver",, "T&amp;T1", "AGR", 267)</f>
        <v>A janela foi fechada</v>
      </c>
    </row>
    <row r="276" spans="1:10" x14ac:dyDescent="0.25">
      <c r="A276" s="46" t="str">
        <f>RTD("rtdtrading.rtdserver",, "T&amp;T2", "DAT", 268)</f>
        <v>A janela foi fechada</v>
      </c>
      <c r="B276" s="29" t="str">
        <f>RTD("rtdtrading.rtdserver",, "T&amp;T2", "PRE", 268)</f>
        <v>A janela foi fechada</v>
      </c>
      <c r="C276" s="30" t="str">
        <f>RTD("rtdtrading.rtdserver",, "T&amp;T2", "QUL", 268)</f>
        <v>A janela foi fechada</v>
      </c>
      <c r="D276" s="30" t="str">
        <f>RTD("rtdtrading.rtdserver",, "T&amp;T2", "AGR", 268)</f>
        <v>A janela foi fechada</v>
      </c>
      <c r="G276" s="38" t="str">
        <f>RTD("rtdtrading.rtdserver",, "T&amp;T1", "DAT", 268)</f>
        <v>A janela foi fechada</v>
      </c>
      <c r="H276" s="39" t="str">
        <f>RTD("rtdtrading.rtdserver",, "T&amp;T1", "PRE", 268)</f>
        <v>A janela foi fechada</v>
      </c>
      <c r="I276" s="40" t="str">
        <f>RTD("rtdtrading.rtdserver",, "T&amp;T1", "QUL", 268)</f>
        <v>A janela foi fechada</v>
      </c>
      <c r="J276" s="41" t="str">
        <f>RTD("rtdtrading.rtdserver",, "T&amp;T1", "AGR", 268)</f>
        <v>A janela foi fechada</v>
      </c>
    </row>
    <row r="277" spans="1:10" x14ac:dyDescent="0.25">
      <c r="A277" s="46" t="str">
        <f>RTD("rtdtrading.rtdserver",, "T&amp;T2", "DAT", 269)</f>
        <v>A janela foi fechada</v>
      </c>
      <c r="B277" s="29" t="str">
        <f>RTD("rtdtrading.rtdserver",, "T&amp;T2", "PRE", 269)</f>
        <v>A janela foi fechada</v>
      </c>
      <c r="C277" s="30" t="str">
        <f>RTD("rtdtrading.rtdserver",, "T&amp;T2", "QUL", 269)</f>
        <v>A janela foi fechada</v>
      </c>
      <c r="D277" s="30" t="str">
        <f>RTD("rtdtrading.rtdserver",, "T&amp;T2", "AGR", 269)</f>
        <v>A janela foi fechada</v>
      </c>
      <c r="G277" s="38" t="str">
        <f>RTD("rtdtrading.rtdserver",, "T&amp;T1", "DAT", 269)</f>
        <v>A janela foi fechada</v>
      </c>
      <c r="H277" s="39" t="str">
        <f>RTD("rtdtrading.rtdserver",, "T&amp;T1", "PRE", 269)</f>
        <v>A janela foi fechada</v>
      </c>
      <c r="I277" s="40" t="str">
        <f>RTD("rtdtrading.rtdserver",, "T&amp;T1", "QUL", 269)</f>
        <v>A janela foi fechada</v>
      </c>
      <c r="J277" s="41" t="str">
        <f>RTD("rtdtrading.rtdserver",, "T&amp;T1", "AGR", 269)</f>
        <v>A janela foi fechada</v>
      </c>
    </row>
    <row r="278" spans="1:10" x14ac:dyDescent="0.25">
      <c r="A278" s="46" t="str">
        <f>RTD("rtdtrading.rtdserver",, "T&amp;T2", "DAT", 270)</f>
        <v>A janela foi fechada</v>
      </c>
      <c r="B278" s="29" t="str">
        <f>RTD("rtdtrading.rtdserver",, "T&amp;T2", "PRE", 270)</f>
        <v>A janela foi fechada</v>
      </c>
      <c r="C278" s="30" t="str">
        <f>RTD("rtdtrading.rtdserver",, "T&amp;T2", "QUL", 270)</f>
        <v>A janela foi fechada</v>
      </c>
      <c r="D278" s="30" t="str">
        <f>RTD("rtdtrading.rtdserver",, "T&amp;T2", "AGR", 270)</f>
        <v>A janela foi fechada</v>
      </c>
      <c r="G278" s="38" t="str">
        <f>RTD("rtdtrading.rtdserver",, "T&amp;T1", "DAT", 270)</f>
        <v>A janela foi fechada</v>
      </c>
      <c r="H278" s="39" t="str">
        <f>RTD("rtdtrading.rtdserver",, "T&amp;T1", "PRE", 270)</f>
        <v>A janela foi fechada</v>
      </c>
      <c r="I278" s="40" t="str">
        <f>RTD("rtdtrading.rtdserver",, "T&amp;T1", "QUL", 270)</f>
        <v>A janela foi fechada</v>
      </c>
      <c r="J278" s="41" t="str">
        <f>RTD("rtdtrading.rtdserver",, "T&amp;T1", "AGR", 270)</f>
        <v>A janela foi fechada</v>
      </c>
    </row>
    <row r="279" spans="1:10" x14ac:dyDescent="0.25">
      <c r="A279" s="46" t="str">
        <f>RTD("rtdtrading.rtdserver",, "T&amp;T2", "DAT", 271)</f>
        <v>A janela foi fechada</v>
      </c>
      <c r="B279" s="29" t="str">
        <f>RTD("rtdtrading.rtdserver",, "T&amp;T2", "PRE", 271)</f>
        <v>A janela foi fechada</v>
      </c>
      <c r="C279" s="30" t="str">
        <f>RTD("rtdtrading.rtdserver",, "T&amp;T2", "QUL", 271)</f>
        <v>A janela foi fechada</v>
      </c>
      <c r="D279" s="30" t="str">
        <f>RTD("rtdtrading.rtdserver",, "T&amp;T2", "AGR", 271)</f>
        <v>A janela foi fechada</v>
      </c>
      <c r="G279" s="38" t="str">
        <f>RTD("rtdtrading.rtdserver",, "T&amp;T1", "DAT", 271)</f>
        <v>A janela foi fechada</v>
      </c>
      <c r="H279" s="39" t="str">
        <f>RTD("rtdtrading.rtdserver",, "T&amp;T1", "PRE", 271)</f>
        <v>A janela foi fechada</v>
      </c>
      <c r="I279" s="40" t="str">
        <f>RTD("rtdtrading.rtdserver",, "T&amp;T1", "QUL", 271)</f>
        <v>A janela foi fechada</v>
      </c>
      <c r="J279" s="41" t="str">
        <f>RTD("rtdtrading.rtdserver",, "T&amp;T1", "AGR", 271)</f>
        <v>A janela foi fechada</v>
      </c>
    </row>
    <row r="280" spans="1:10" x14ac:dyDescent="0.25">
      <c r="A280" s="46" t="str">
        <f>RTD("rtdtrading.rtdserver",, "T&amp;T2", "DAT", 272)</f>
        <v>A janela foi fechada</v>
      </c>
      <c r="B280" s="29" t="str">
        <f>RTD("rtdtrading.rtdserver",, "T&amp;T2", "PRE", 272)</f>
        <v>A janela foi fechada</v>
      </c>
      <c r="C280" s="30" t="str">
        <f>RTD("rtdtrading.rtdserver",, "T&amp;T2", "QUL", 272)</f>
        <v>A janela foi fechada</v>
      </c>
      <c r="D280" s="30" t="str">
        <f>RTD("rtdtrading.rtdserver",, "T&amp;T2", "AGR", 272)</f>
        <v>A janela foi fechada</v>
      </c>
      <c r="G280" s="38" t="str">
        <f>RTD("rtdtrading.rtdserver",, "T&amp;T1", "DAT", 272)</f>
        <v>A janela foi fechada</v>
      </c>
      <c r="H280" s="39" t="str">
        <f>RTD("rtdtrading.rtdserver",, "T&amp;T1", "PRE", 272)</f>
        <v>A janela foi fechada</v>
      </c>
      <c r="I280" s="40" t="str">
        <f>RTD("rtdtrading.rtdserver",, "T&amp;T1", "QUL", 272)</f>
        <v>A janela foi fechada</v>
      </c>
      <c r="J280" s="41" t="str">
        <f>RTD("rtdtrading.rtdserver",, "T&amp;T1", "AGR", 272)</f>
        <v>A janela foi fechada</v>
      </c>
    </row>
    <row r="281" spans="1:10" x14ac:dyDescent="0.25">
      <c r="A281" s="46" t="str">
        <f>RTD("rtdtrading.rtdserver",, "T&amp;T2", "DAT", 273)</f>
        <v>A janela foi fechada</v>
      </c>
      <c r="B281" s="29" t="str">
        <f>RTD("rtdtrading.rtdserver",, "T&amp;T2", "PRE", 273)</f>
        <v>A janela foi fechada</v>
      </c>
      <c r="C281" s="30" t="str">
        <f>RTD("rtdtrading.rtdserver",, "T&amp;T2", "QUL", 273)</f>
        <v>A janela foi fechada</v>
      </c>
      <c r="D281" s="30" t="str">
        <f>RTD("rtdtrading.rtdserver",, "T&amp;T2", "AGR", 273)</f>
        <v>A janela foi fechada</v>
      </c>
      <c r="G281" s="38" t="str">
        <f>RTD("rtdtrading.rtdserver",, "T&amp;T1", "DAT", 273)</f>
        <v>A janela foi fechada</v>
      </c>
      <c r="H281" s="39" t="str">
        <f>RTD("rtdtrading.rtdserver",, "T&amp;T1", "PRE", 273)</f>
        <v>A janela foi fechada</v>
      </c>
      <c r="I281" s="40" t="str">
        <f>RTD("rtdtrading.rtdserver",, "T&amp;T1", "QUL", 273)</f>
        <v>A janela foi fechada</v>
      </c>
      <c r="J281" s="41" t="str">
        <f>RTD("rtdtrading.rtdserver",, "T&amp;T1", "AGR", 273)</f>
        <v>A janela foi fechada</v>
      </c>
    </row>
    <row r="282" spans="1:10" x14ac:dyDescent="0.25">
      <c r="A282" s="46" t="str">
        <f>RTD("rtdtrading.rtdserver",, "T&amp;T2", "DAT", 274)</f>
        <v>A janela foi fechada</v>
      </c>
      <c r="B282" s="29" t="str">
        <f>RTD("rtdtrading.rtdserver",, "T&amp;T2", "PRE", 274)</f>
        <v>A janela foi fechada</v>
      </c>
      <c r="C282" s="30" t="str">
        <f>RTD("rtdtrading.rtdserver",, "T&amp;T2", "QUL", 274)</f>
        <v>A janela foi fechada</v>
      </c>
      <c r="D282" s="30" t="str">
        <f>RTD("rtdtrading.rtdserver",, "T&amp;T2", "AGR", 274)</f>
        <v>A janela foi fechada</v>
      </c>
      <c r="G282" s="38" t="str">
        <f>RTD("rtdtrading.rtdserver",, "T&amp;T1", "DAT", 274)</f>
        <v>A janela foi fechada</v>
      </c>
      <c r="H282" s="39" t="str">
        <f>RTD("rtdtrading.rtdserver",, "T&amp;T1", "PRE", 274)</f>
        <v>A janela foi fechada</v>
      </c>
      <c r="I282" s="40" t="str">
        <f>RTD("rtdtrading.rtdserver",, "T&amp;T1", "QUL", 274)</f>
        <v>A janela foi fechada</v>
      </c>
      <c r="J282" s="41" t="str">
        <f>RTD("rtdtrading.rtdserver",, "T&amp;T1", "AGR", 274)</f>
        <v>A janela foi fechada</v>
      </c>
    </row>
    <row r="283" spans="1:10" x14ac:dyDescent="0.25">
      <c r="A283" s="46" t="str">
        <f>RTD("rtdtrading.rtdserver",, "T&amp;T2", "DAT", 275)</f>
        <v>A janela foi fechada</v>
      </c>
      <c r="B283" s="29" t="str">
        <f>RTD("rtdtrading.rtdserver",, "T&amp;T2", "PRE", 275)</f>
        <v>A janela foi fechada</v>
      </c>
      <c r="C283" s="30" t="str">
        <f>RTD("rtdtrading.rtdserver",, "T&amp;T2", "QUL", 275)</f>
        <v>A janela foi fechada</v>
      </c>
      <c r="D283" s="30" t="str">
        <f>RTD("rtdtrading.rtdserver",, "T&amp;T2", "AGR", 275)</f>
        <v>A janela foi fechada</v>
      </c>
      <c r="G283" s="38" t="str">
        <f>RTD("rtdtrading.rtdserver",, "T&amp;T1", "DAT", 275)</f>
        <v>A janela foi fechada</v>
      </c>
      <c r="H283" s="39" t="str">
        <f>RTD("rtdtrading.rtdserver",, "T&amp;T1", "PRE", 275)</f>
        <v>A janela foi fechada</v>
      </c>
      <c r="I283" s="40" t="str">
        <f>RTD("rtdtrading.rtdserver",, "T&amp;T1", "QUL", 275)</f>
        <v>A janela foi fechada</v>
      </c>
      <c r="J283" s="41" t="str">
        <f>RTD("rtdtrading.rtdserver",, "T&amp;T1", "AGR", 275)</f>
        <v>A janela foi fechada</v>
      </c>
    </row>
    <row r="284" spans="1:10" x14ac:dyDescent="0.25">
      <c r="A284" s="46" t="str">
        <f>RTD("rtdtrading.rtdserver",, "T&amp;T2", "DAT", 276)</f>
        <v>A janela foi fechada</v>
      </c>
      <c r="B284" s="29" t="str">
        <f>RTD("rtdtrading.rtdserver",, "T&amp;T2", "PRE", 276)</f>
        <v>A janela foi fechada</v>
      </c>
      <c r="C284" s="30" t="str">
        <f>RTD("rtdtrading.rtdserver",, "T&amp;T2", "QUL", 276)</f>
        <v>A janela foi fechada</v>
      </c>
      <c r="D284" s="30" t="str">
        <f>RTD("rtdtrading.rtdserver",, "T&amp;T2", "AGR", 276)</f>
        <v>A janela foi fechada</v>
      </c>
      <c r="G284" s="38" t="str">
        <f>RTD("rtdtrading.rtdserver",, "T&amp;T1", "DAT", 276)</f>
        <v>A janela foi fechada</v>
      </c>
      <c r="H284" s="39" t="str">
        <f>RTD("rtdtrading.rtdserver",, "T&amp;T1", "PRE", 276)</f>
        <v>A janela foi fechada</v>
      </c>
      <c r="I284" s="40" t="str">
        <f>RTD("rtdtrading.rtdserver",, "T&amp;T1", "QUL", 276)</f>
        <v>A janela foi fechada</v>
      </c>
      <c r="J284" s="41" t="str">
        <f>RTD("rtdtrading.rtdserver",, "T&amp;T1", "AGR", 276)</f>
        <v>A janela foi fechada</v>
      </c>
    </row>
    <row r="285" spans="1:10" x14ac:dyDescent="0.25">
      <c r="A285" s="46" t="str">
        <f>RTD("rtdtrading.rtdserver",, "T&amp;T2", "DAT", 277)</f>
        <v>A janela foi fechada</v>
      </c>
      <c r="B285" s="29" t="str">
        <f>RTD("rtdtrading.rtdserver",, "T&amp;T2", "PRE", 277)</f>
        <v>A janela foi fechada</v>
      </c>
      <c r="C285" s="30" t="str">
        <f>RTD("rtdtrading.rtdserver",, "T&amp;T2", "QUL", 277)</f>
        <v>A janela foi fechada</v>
      </c>
      <c r="D285" s="30" t="str">
        <f>RTD("rtdtrading.rtdserver",, "T&amp;T2", "AGR", 277)</f>
        <v>A janela foi fechada</v>
      </c>
      <c r="G285" s="38" t="str">
        <f>RTD("rtdtrading.rtdserver",, "T&amp;T1", "DAT", 277)</f>
        <v>A janela foi fechada</v>
      </c>
      <c r="H285" s="39" t="str">
        <f>RTD("rtdtrading.rtdserver",, "T&amp;T1", "PRE", 277)</f>
        <v>A janela foi fechada</v>
      </c>
      <c r="I285" s="40" t="str">
        <f>RTD("rtdtrading.rtdserver",, "T&amp;T1", "QUL", 277)</f>
        <v>A janela foi fechada</v>
      </c>
      <c r="J285" s="41" t="str">
        <f>RTD("rtdtrading.rtdserver",, "T&amp;T1", "AGR", 277)</f>
        <v>A janela foi fechada</v>
      </c>
    </row>
    <row r="286" spans="1:10" x14ac:dyDescent="0.25">
      <c r="A286" s="46" t="str">
        <f>RTD("rtdtrading.rtdserver",, "T&amp;T2", "DAT", 278)</f>
        <v>A janela foi fechada</v>
      </c>
      <c r="B286" s="29" t="str">
        <f>RTD("rtdtrading.rtdserver",, "T&amp;T2", "PRE", 278)</f>
        <v>A janela foi fechada</v>
      </c>
      <c r="C286" s="30" t="str">
        <f>RTD("rtdtrading.rtdserver",, "T&amp;T2", "QUL", 278)</f>
        <v>A janela foi fechada</v>
      </c>
      <c r="D286" s="30" t="str">
        <f>RTD("rtdtrading.rtdserver",, "T&amp;T2", "AGR", 278)</f>
        <v>A janela foi fechada</v>
      </c>
      <c r="G286" s="38" t="str">
        <f>RTD("rtdtrading.rtdserver",, "T&amp;T1", "DAT", 278)</f>
        <v>A janela foi fechada</v>
      </c>
      <c r="H286" s="39" t="str">
        <f>RTD("rtdtrading.rtdserver",, "T&amp;T1", "PRE", 278)</f>
        <v>A janela foi fechada</v>
      </c>
      <c r="I286" s="40" t="str">
        <f>RTD("rtdtrading.rtdserver",, "T&amp;T1", "QUL", 278)</f>
        <v>A janela foi fechada</v>
      </c>
      <c r="J286" s="41" t="str">
        <f>RTD("rtdtrading.rtdserver",, "T&amp;T1", "AGR", 278)</f>
        <v>A janela foi fechada</v>
      </c>
    </row>
    <row r="287" spans="1:10" x14ac:dyDescent="0.25">
      <c r="A287" s="46" t="str">
        <f>RTD("rtdtrading.rtdserver",, "T&amp;T2", "DAT", 279)</f>
        <v>A janela foi fechada</v>
      </c>
      <c r="B287" s="29" t="str">
        <f>RTD("rtdtrading.rtdserver",, "T&amp;T2", "PRE", 279)</f>
        <v>A janela foi fechada</v>
      </c>
      <c r="C287" s="30" t="str">
        <f>RTD("rtdtrading.rtdserver",, "T&amp;T2", "QUL", 279)</f>
        <v>A janela foi fechada</v>
      </c>
      <c r="D287" s="30" t="str">
        <f>RTD("rtdtrading.rtdserver",, "T&amp;T2", "AGR", 279)</f>
        <v>A janela foi fechada</v>
      </c>
      <c r="G287" s="38" t="str">
        <f>RTD("rtdtrading.rtdserver",, "T&amp;T1", "DAT", 279)</f>
        <v>A janela foi fechada</v>
      </c>
      <c r="H287" s="39" t="str">
        <f>RTD("rtdtrading.rtdserver",, "T&amp;T1", "PRE", 279)</f>
        <v>A janela foi fechada</v>
      </c>
      <c r="I287" s="40" t="str">
        <f>RTD("rtdtrading.rtdserver",, "T&amp;T1", "QUL", 279)</f>
        <v>A janela foi fechada</v>
      </c>
      <c r="J287" s="41" t="str">
        <f>RTD("rtdtrading.rtdserver",, "T&amp;T1", "AGR", 279)</f>
        <v>A janela foi fechada</v>
      </c>
    </row>
    <row r="288" spans="1:10" x14ac:dyDescent="0.25">
      <c r="A288" s="46" t="str">
        <f>RTD("rtdtrading.rtdserver",, "T&amp;T2", "DAT", 280)</f>
        <v>A janela foi fechada</v>
      </c>
      <c r="B288" s="29" t="str">
        <f>RTD("rtdtrading.rtdserver",, "T&amp;T2", "PRE", 280)</f>
        <v>A janela foi fechada</v>
      </c>
      <c r="C288" s="30" t="str">
        <f>RTD("rtdtrading.rtdserver",, "T&amp;T2", "QUL", 280)</f>
        <v>A janela foi fechada</v>
      </c>
      <c r="D288" s="30" t="str">
        <f>RTD("rtdtrading.rtdserver",, "T&amp;T2", "AGR", 280)</f>
        <v>A janela foi fechada</v>
      </c>
      <c r="G288" s="38" t="str">
        <f>RTD("rtdtrading.rtdserver",, "T&amp;T1", "DAT", 280)</f>
        <v>A janela foi fechada</v>
      </c>
      <c r="H288" s="39" t="str">
        <f>RTD("rtdtrading.rtdserver",, "T&amp;T1", "PRE", 280)</f>
        <v>A janela foi fechada</v>
      </c>
      <c r="I288" s="40" t="str">
        <f>RTD("rtdtrading.rtdserver",, "T&amp;T1", "QUL", 280)</f>
        <v>A janela foi fechada</v>
      </c>
      <c r="J288" s="41" t="str">
        <f>RTD("rtdtrading.rtdserver",, "T&amp;T1", "AGR", 280)</f>
        <v>A janela foi fechada</v>
      </c>
    </row>
    <row r="289" spans="1:10" x14ac:dyDescent="0.25">
      <c r="A289" s="46" t="str">
        <f>RTD("rtdtrading.rtdserver",, "T&amp;T2", "DAT", 281)</f>
        <v>A janela foi fechada</v>
      </c>
      <c r="B289" s="29" t="str">
        <f>RTD("rtdtrading.rtdserver",, "T&amp;T2", "PRE", 281)</f>
        <v>A janela foi fechada</v>
      </c>
      <c r="C289" s="30" t="str">
        <f>RTD("rtdtrading.rtdserver",, "T&amp;T2", "QUL", 281)</f>
        <v>A janela foi fechada</v>
      </c>
      <c r="D289" s="30" t="str">
        <f>RTD("rtdtrading.rtdserver",, "T&amp;T2", "AGR", 281)</f>
        <v>A janela foi fechada</v>
      </c>
      <c r="G289" s="38" t="str">
        <f>RTD("rtdtrading.rtdserver",, "T&amp;T1", "DAT", 281)</f>
        <v>A janela foi fechada</v>
      </c>
      <c r="H289" s="39" t="str">
        <f>RTD("rtdtrading.rtdserver",, "T&amp;T1", "PRE", 281)</f>
        <v>A janela foi fechada</v>
      </c>
      <c r="I289" s="40" t="str">
        <f>RTD("rtdtrading.rtdserver",, "T&amp;T1", "QUL", 281)</f>
        <v>A janela foi fechada</v>
      </c>
      <c r="J289" s="41" t="str">
        <f>RTD("rtdtrading.rtdserver",, "T&amp;T1", "AGR", 281)</f>
        <v>A janela foi fechada</v>
      </c>
    </row>
    <row r="290" spans="1:10" x14ac:dyDescent="0.25">
      <c r="A290" s="46" t="str">
        <f>RTD("rtdtrading.rtdserver",, "T&amp;T2", "DAT", 282)</f>
        <v>A janela foi fechada</v>
      </c>
      <c r="B290" s="29" t="str">
        <f>RTD("rtdtrading.rtdserver",, "T&amp;T2", "PRE", 282)</f>
        <v>A janela foi fechada</v>
      </c>
      <c r="C290" s="30" t="str">
        <f>RTD("rtdtrading.rtdserver",, "T&amp;T2", "QUL", 282)</f>
        <v>A janela foi fechada</v>
      </c>
      <c r="D290" s="30" t="str">
        <f>RTD("rtdtrading.rtdserver",, "T&amp;T2", "AGR", 282)</f>
        <v>A janela foi fechada</v>
      </c>
      <c r="G290" s="38" t="str">
        <f>RTD("rtdtrading.rtdserver",, "T&amp;T1", "DAT", 282)</f>
        <v>A janela foi fechada</v>
      </c>
      <c r="H290" s="39" t="str">
        <f>RTD("rtdtrading.rtdserver",, "T&amp;T1", "PRE", 282)</f>
        <v>A janela foi fechada</v>
      </c>
      <c r="I290" s="40" t="str">
        <f>RTD("rtdtrading.rtdserver",, "T&amp;T1", "QUL", 282)</f>
        <v>A janela foi fechada</v>
      </c>
      <c r="J290" s="41" t="str">
        <f>RTD("rtdtrading.rtdserver",, "T&amp;T1", "AGR", 282)</f>
        <v>A janela foi fechada</v>
      </c>
    </row>
    <row r="291" spans="1:10" x14ac:dyDescent="0.25">
      <c r="A291" s="46" t="str">
        <f>RTD("rtdtrading.rtdserver",, "T&amp;T2", "DAT", 283)</f>
        <v>A janela foi fechada</v>
      </c>
      <c r="B291" s="29" t="str">
        <f>RTD("rtdtrading.rtdserver",, "T&amp;T2", "PRE", 283)</f>
        <v>A janela foi fechada</v>
      </c>
      <c r="C291" s="30" t="str">
        <f>RTD("rtdtrading.rtdserver",, "T&amp;T2", "QUL", 283)</f>
        <v>A janela foi fechada</v>
      </c>
      <c r="D291" s="30" t="str">
        <f>RTD("rtdtrading.rtdserver",, "T&amp;T2", "AGR", 283)</f>
        <v>A janela foi fechada</v>
      </c>
      <c r="G291" s="38" t="str">
        <f>RTD("rtdtrading.rtdserver",, "T&amp;T1", "DAT", 283)</f>
        <v>A janela foi fechada</v>
      </c>
      <c r="H291" s="39" t="str">
        <f>RTD("rtdtrading.rtdserver",, "T&amp;T1", "PRE", 283)</f>
        <v>A janela foi fechada</v>
      </c>
      <c r="I291" s="40" t="str">
        <f>RTD("rtdtrading.rtdserver",, "T&amp;T1", "QUL", 283)</f>
        <v>A janela foi fechada</v>
      </c>
      <c r="J291" s="41" t="str">
        <f>RTD("rtdtrading.rtdserver",, "T&amp;T1", "AGR", 283)</f>
        <v>A janela foi fechada</v>
      </c>
    </row>
    <row r="292" spans="1:10" x14ac:dyDescent="0.25">
      <c r="A292" s="46" t="str">
        <f>RTD("rtdtrading.rtdserver",, "T&amp;T2", "DAT", 284)</f>
        <v>A janela foi fechada</v>
      </c>
      <c r="B292" s="29" t="str">
        <f>RTD("rtdtrading.rtdserver",, "T&amp;T2", "PRE", 284)</f>
        <v>A janela foi fechada</v>
      </c>
      <c r="C292" s="30" t="str">
        <f>RTD("rtdtrading.rtdserver",, "T&amp;T2", "QUL", 284)</f>
        <v>A janela foi fechada</v>
      </c>
      <c r="D292" s="30" t="str">
        <f>RTD("rtdtrading.rtdserver",, "T&amp;T2", "AGR", 284)</f>
        <v>A janela foi fechada</v>
      </c>
      <c r="G292" s="38" t="str">
        <f>RTD("rtdtrading.rtdserver",, "T&amp;T1", "DAT", 284)</f>
        <v>A janela foi fechada</v>
      </c>
      <c r="H292" s="39" t="str">
        <f>RTD("rtdtrading.rtdserver",, "T&amp;T1", "PRE", 284)</f>
        <v>A janela foi fechada</v>
      </c>
      <c r="I292" s="40" t="str">
        <f>RTD("rtdtrading.rtdserver",, "T&amp;T1", "QUL", 284)</f>
        <v>A janela foi fechada</v>
      </c>
      <c r="J292" s="41" t="str">
        <f>RTD("rtdtrading.rtdserver",, "T&amp;T1", "AGR", 284)</f>
        <v>A janela foi fechada</v>
      </c>
    </row>
    <row r="293" spans="1:10" x14ac:dyDescent="0.25">
      <c r="A293" s="46" t="str">
        <f>RTD("rtdtrading.rtdserver",, "T&amp;T2", "DAT", 285)</f>
        <v>A janela foi fechada</v>
      </c>
      <c r="B293" s="29" t="str">
        <f>RTD("rtdtrading.rtdserver",, "T&amp;T2", "PRE", 285)</f>
        <v>A janela foi fechada</v>
      </c>
      <c r="C293" s="30" t="str">
        <f>RTD("rtdtrading.rtdserver",, "T&amp;T2", "QUL", 285)</f>
        <v>A janela foi fechada</v>
      </c>
      <c r="D293" s="30" t="str">
        <f>RTD("rtdtrading.rtdserver",, "T&amp;T2", "AGR", 285)</f>
        <v>A janela foi fechada</v>
      </c>
      <c r="G293" s="38" t="str">
        <f>RTD("rtdtrading.rtdserver",, "T&amp;T1", "DAT", 285)</f>
        <v>A janela foi fechada</v>
      </c>
      <c r="H293" s="39" t="str">
        <f>RTD("rtdtrading.rtdserver",, "T&amp;T1", "PRE", 285)</f>
        <v>A janela foi fechada</v>
      </c>
      <c r="I293" s="40" t="str">
        <f>RTD("rtdtrading.rtdserver",, "T&amp;T1", "QUL", 285)</f>
        <v>A janela foi fechada</v>
      </c>
      <c r="J293" s="41" t="str">
        <f>RTD("rtdtrading.rtdserver",, "T&amp;T1", "AGR", 285)</f>
        <v>A janela foi fechada</v>
      </c>
    </row>
    <row r="294" spans="1:10" x14ac:dyDescent="0.25">
      <c r="A294" s="46" t="str">
        <f>RTD("rtdtrading.rtdserver",, "T&amp;T2", "DAT", 286)</f>
        <v>A janela foi fechada</v>
      </c>
      <c r="B294" s="29" t="str">
        <f>RTD("rtdtrading.rtdserver",, "T&amp;T2", "PRE", 286)</f>
        <v>A janela foi fechada</v>
      </c>
      <c r="C294" s="30" t="str">
        <f>RTD("rtdtrading.rtdserver",, "T&amp;T2", "QUL", 286)</f>
        <v>A janela foi fechada</v>
      </c>
      <c r="D294" s="30" t="str">
        <f>RTD("rtdtrading.rtdserver",, "T&amp;T2", "AGR", 286)</f>
        <v>A janela foi fechada</v>
      </c>
      <c r="G294" s="38" t="str">
        <f>RTD("rtdtrading.rtdserver",, "T&amp;T1", "DAT", 286)</f>
        <v>A janela foi fechada</v>
      </c>
      <c r="H294" s="39" t="str">
        <f>RTD("rtdtrading.rtdserver",, "T&amp;T1", "PRE", 286)</f>
        <v>A janela foi fechada</v>
      </c>
      <c r="I294" s="40" t="str">
        <f>RTD("rtdtrading.rtdserver",, "T&amp;T1", "QUL", 286)</f>
        <v>A janela foi fechada</v>
      </c>
      <c r="J294" s="41" t="str">
        <f>RTD("rtdtrading.rtdserver",, "T&amp;T1", "AGR", 286)</f>
        <v>A janela foi fechada</v>
      </c>
    </row>
    <row r="295" spans="1:10" x14ac:dyDescent="0.25">
      <c r="A295" s="46" t="str">
        <f>RTD("rtdtrading.rtdserver",, "T&amp;T2", "DAT", 287)</f>
        <v>A janela foi fechada</v>
      </c>
      <c r="B295" s="29" t="str">
        <f>RTD("rtdtrading.rtdserver",, "T&amp;T2", "PRE", 287)</f>
        <v>A janela foi fechada</v>
      </c>
      <c r="C295" s="30" t="str">
        <f>RTD("rtdtrading.rtdserver",, "T&amp;T2", "QUL", 287)</f>
        <v>A janela foi fechada</v>
      </c>
      <c r="D295" s="30" t="str">
        <f>RTD("rtdtrading.rtdserver",, "T&amp;T2", "AGR", 287)</f>
        <v>A janela foi fechada</v>
      </c>
      <c r="G295" s="38" t="str">
        <f>RTD("rtdtrading.rtdserver",, "T&amp;T1", "DAT", 287)</f>
        <v>A janela foi fechada</v>
      </c>
      <c r="H295" s="39" t="str">
        <f>RTD("rtdtrading.rtdserver",, "T&amp;T1", "PRE", 287)</f>
        <v>A janela foi fechada</v>
      </c>
      <c r="I295" s="40" t="str">
        <f>RTD("rtdtrading.rtdserver",, "T&amp;T1", "QUL", 287)</f>
        <v>A janela foi fechada</v>
      </c>
      <c r="J295" s="41" t="str">
        <f>RTD("rtdtrading.rtdserver",, "T&amp;T1", "AGR", 287)</f>
        <v>A janela foi fechada</v>
      </c>
    </row>
    <row r="296" spans="1:10" x14ac:dyDescent="0.25">
      <c r="A296" s="46" t="str">
        <f>RTD("rtdtrading.rtdserver",, "T&amp;T2", "DAT", 288)</f>
        <v>A janela foi fechada</v>
      </c>
      <c r="B296" s="29" t="str">
        <f>RTD("rtdtrading.rtdserver",, "T&amp;T2", "PRE", 288)</f>
        <v>A janela foi fechada</v>
      </c>
      <c r="C296" s="30" t="str">
        <f>RTD("rtdtrading.rtdserver",, "T&amp;T2", "QUL", 288)</f>
        <v>A janela foi fechada</v>
      </c>
      <c r="D296" s="30" t="str">
        <f>RTD("rtdtrading.rtdserver",, "T&amp;T2", "AGR", 288)</f>
        <v>A janela foi fechada</v>
      </c>
      <c r="G296" s="38" t="str">
        <f>RTD("rtdtrading.rtdserver",, "T&amp;T1", "DAT", 288)</f>
        <v>A janela foi fechada</v>
      </c>
      <c r="H296" s="39" t="str">
        <f>RTD("rtdtrading.rtdserver",, "T&amp;T1", "PRE", 288)</f>
        <v>A janela foi fechada</v>
      </c>
      <c r="I296" s="40" t="str">
        <f>RTD("rtdtrading.rtdserver",, "T&amp;T1", "QUL", 288)</f>
        <v>A janela foi fechada</v>
      </c>
      <c r="J296" s="41" t="str">
        <f>RTD("rtdtrading.rtdserver",, "T&amp;T1", "AGR", 288)</f>
        <v>A janela foi fechada</v>
      </c>
    </row>
    <row r="297" spans="1:10" x14ac:dyDescent="0.25">
      <c r="A297" s="46" t="str">
        <f>RTD("rtdtrading.rtdserver",, "T&amp;T2", "DAT", 289)</f>
        <v>A janela foi fechada</v>
      </c>
      <c r="B297" s="29" t="str">
        <f>RTD("rtdtrading.rtdserver",, "T&amp;T2", "PRE", 289)</f>
        <v>A janela foi fechada</v>
      </c>
      <c r="C297" s="30" t="str">
        <f>RTD("rtdtrading.rtdserver",, "T&amp;T2", "QUL", 289)</f>
        <v>A janela foi fechada</v>
      </c>
      <c r="D297" s="30" t="str">
        <f>RTD("rtdtrading.rtdserver",, "T&amp;T2", "AGR", 289)</f>
        <v>A janela foi fechada</v>
      </c>
      <c r="G297" s="38" t="str">
        <f>RTD("rtdtrading.rtdserver",, "T&amp;T1", "DAT", 289)</f>
        <v>A janela foi fechada</v>
      </c>
      <c r="H297" s="39" t="str">
        <f>RTD("rtdtrading.rtdserver",, "T&amp;T1", "PRE", 289)</f>
        <v>A janela foi fechada</v>
      </c>
      <c r="I297" s="40" t="str">
        <f>RTD("rtdtrading.rtdserver",, "T&amp;T1", "QUL", 289)</f>
        <v>A janela foi fechada</v>
      </c>
      <c r="J297" s="41" t="str">
        <f>RTD("rtdtrading.rtdserver",, "T&amp;T1", "AGR", 289)</f>
        <v>A janela foi fechada</v>
      </c>
    </row>
    <row r="298" spans="1:10" x14ac:dyDescent="0.25">
      <c r="A298" s="46" t="str">
        <f>RTD("rtdtrading.rtdserver",, "T&amp;T2", "DAT", 290)</f>
        <v>A janela foi fechada</v>
      </c>
      <c r="B298" s="29" t="str">
        <f>RTD("rtdtrading.rtdserver",, "T&amp;T2", "PRE", 290)</f>
        <v>A janela foi fechada</v>
      </c>
      <c r="C298" s="30" t="str">
        <f>RTD("rtdtrading.rtdserver",, "T&amp;T2", "QUL", 290)</f>
        <v>A janela foi fechada</v>
      </c>
      <c r="D298" s="30" t="str">
        <f>RTD("rtdtrading.rtdserver",, "T&amp;T2", "AGR", 290)</f>
        <v>A janela foi fechada</v>
      </c>
      <c r="G298" s="38" t="str">
        <f>RTD("rtdtrading.rtdserver",, "T&amp;T1", "DAT", 290)</f>
        <v>A janela foi fechada</v>
      </c>
      <c r="H298" s="39" t="str">
        <f>RTD("rtdtrading.rtdserver",, "T&amp;T1", "PRE", 290)</f>
        <v>A janela foi fechada</v>
      </c>
      <c r="I298" s="40" t="str">
        <f>RTD("rtdtrading.rtdserver",, "T&amp;T1", "QUL", 290)</f>
        <v>A janela foi fechada</v>
      </c>
      <c r="J298" s="41" t="str">
        <f>RTD("rtdtrading.rtdserver",, "T&amp;T1", "AGR", 290)</f>
        <v>A janela foi fechada</v>
      </c>
    </row>
    <row r="299" spans="1:10" x14ac:dyDescent="0.25">
      <c r="A299" s="46" t="str">
        <f>RTD("rtdtrading.rtdserver",, "T&amp;T2", "DAT", 291)</f>
        <v>A janela foi fechada</v>
      </c>
      <c r="B299" s="29" t="str">
        <f>RTD("rtdtrading.rtdserver",, "T&amp;T2", "PRE", 291)</f>
        <v>A janela foi fechada</v>
      </c>
      <c r="C299" s="30" t="str">
        <f>RTD("rtdtrading.rtdserver",, "T&amp;T2", "QUL", 291)</f>
        <v>A janela foi fechada</v>
      </c>
      <c r="D299" s="30" t="str">
        <f>RTD("rtdtrading.rtdserver",, "T&amp;T2", "AGR", 291)</f>
        <v>A janela foi fechada</v>
      </c>
      <c r="G299" s="38" t="str">
        <f>RTD("rtdtrading.rtdserver",, "T&amp;T1", "DAT", 291)</f>
        <v>A janela foi fechada</v>
      </c>
      <c r="H299" s="39" t="str">
        <f>RTD("rtdtrading.rtdserver",, "T&amp;T1", "PRE", 291)</f>
        <v>A janela foi fechada</v>
      </c>
      <c r="I299" s="40" t="str">
        <f>RTD("rtdtrading.rtdserver",, "T&amp;T1", "QUL", 291)</f>
        <v>A janela foi fechada</v>
      </c>
      <c r="J299" s="41" t="str">
        <f>RTD("rtdtrading.rtdserver",, "T&amp;T1", "AGR", 291)</f>
        <v>A janela foi fechada</v>
      </c>
    </row>
    <row r="300" spans="1:10" x14ac:dyDescent="0.25">
      <c r="A300" s="46" t="str">
        <f>RTD("rtdtrading.rtdserver",, "T&amp;T2", "DAT", 292)</f>
        <v>A janela foi fechada</v>
      </c>
      <c r="B300" s="29" t="str">
        <f>RTD("rtdtrading.rtdserver",, "T&amp;T2", "PRE", 292)</f>
        <v>A janela foi fechada</v>
      </c>
      <c r="C300" s="30" t="str">
        <f>RTD("rtdtrading.rtdserver",, "T&amp;T2", "QUL", 292)</f>
        <v>A janela foi fechada</v>
      </c>
      <c r="D300" s="30" t="str">
        <f>RTD("rtdtrading.rtdserver",, "T&amp;T2", "AGR", 292)</f>
        <v>A janela foi fechada</v>
      </c>
      <c r="G300" s="38" t="str">
        <f>RTD("rtdtrading.rtdserver",, "T&amp;T1", "DAT", 292)</f>
        <v>A janela foi fechada</v>
      </c>
      <c r="H300" s="39" t="str">
        <f>RTD("rtdtrading.rtdserver",, "T&amp;T1", "PRE", 292)</f>
        <v>A janela foi fechada</v>
      </c>
      <c r="I300" s="40" t="str">
        <f>RTD("rtdtrading.rtdserver",, "T&amp;T1", "QUL", 292)</f>
        <v>A janela foi fechada</v>
      </c>
      <c r="J300" s="41" t="str">
        <f>RTD("rtdtrading.rtdserver",, "T&amp;T1", "AGR", 292)</f>
        <v>A janela foi fechada</v>
      </c>
    </row>
    <row r="301" spans="1:10" x14ac:dyDescent="0.25">
      <c r="A301" s="46" t="str">
        <f>RTD("rtdtrading.rtdserver",, "T&amp;T2", "DAT", 293)</f>
        <v>A janela foi fechada</v>
      </c>
      <c r="B301" s="29" t="str">
        <f>RTD("rtdtrading.rtdserver",, "T&amp;T2", "PRE", 293)</f>
        <v>A janela foi fechada</v>
      </c>
      <c r="C301" s="30" t="str">
        <f>RTD("rtdtrading.rtdserver",, "T&amp;T2", "QUL", 293)</f>
        <v>A janela foi fechada</v>
      </c>
      <c r="D301" s="30" t="str">
        <f>RTD("rtdtrading.rtdserver",, "T&amp;T2", "AGR", 293)</f>
        <v>A janela foi fechada</v>
      </c>
      <c r="G301" s="38" t="str">
        <f>RTD("rtdtrading.rtdserver",, "T&amp;T1", "DAT", 293)</f>
        <v>A janela foi fechada</v>
      </c>
      <c r="H301" s="39" t="str">
        <f>RTD("rtdtrading.rtdserver",, "T&amp;T1", "PRE", 293)</f>
        <v>A janela foi fechada</v>
      </c>
      <c r="I301" s="40" t="str">
        <f>RTD("rtdtrading.rtdserver",, "T&amp;T1", "QUL", 293)</f>
        <v>A janela foi fechada</v>
      </c>
      <c r="J301" s="41" t="str">
        <f>RTD("rtdtrading.rtdserver",, "T&amp;T1", "AGR", 293)</f>
        <v>A janela foi fechada</v>
      </c>
    </row>
    <row r="302" spans="1:10" x14ac:dyDescent="0.25">
      <c r="A302" s="46" t="str">
        <f>RTD("rtdtrading.rtdserver",, "T&amp;T2", "DAT", 294)</f>
        <v>A janela foi fechada</v>
      </c>
      <c r="B302" s="29" t="str">
        <f>RTD("rtdtrading.rtdserver",, "T&amp;T2", "PRE", 294)</f>
        <v>A janela foi fechada</v>
      </c>
      <c r="C302" s="30" t="str">
        <f>RTD("rtdtrading.rtdserver",, "T&amp;T2", "QUL", 294)</f>
        <v>A janela foi fechada</v>
      </c>
      <c r="D302" s="30" t="str">
        <f>RTD("rtdtrading.rtdserver",, "T&amp;T2", "AGR", 294)</f>
        <v>A janela foi fechada</v>
      </c>
      <c r="G302" s="38" t="str">
        <f>RTD("rtdtrading.rtdserver",, "T&amp;T1", "DAT", 294)</f>
        <v>A janela foi fechada</v>
      </c>
      <c r="H302" s="39" t="str">
        <f>RTD("rtdtrading.rtdserver",, "T&amp;T1", "PRE", 294)</f>
        <v>A janela foi fechada</v>
      </c>
      <c r="I302" s="40" t="str">
        <f>RTD("rtdtrading.rtdserver",, "T&amp;T1", "QUL", 294)</f>
        <v>A janela foi fechada</v>
      </c>
      <c r="J302" s="41" t="str">
        <f>RTD("rtdtrading.rtdserver",, "T&amp;T1", "AGR", 294)</f>
        <v>A janela foi fechada</v>
      </c>
    </row>
    <row r="303" spans="1:10" x14ac:dyDescent="0.25">
      <c r="A303" s="46" t="str">
        <f>RTD("rtdtrading.rtdserver",, "T&amp;T2", "DAT", 295)</f>
        <v>A janela foi fechada</v>
      </c>
      <c r="B303" s="29" t="str">
        <f>RTD("rtdtrading.rtdserver",, "T&amp;T2", "PRE", 295)</f>
        <v>A janela foi fechada</v>
      </c>
      <c r="C303" s="30" t="str">
        <f>RTD("rtdtrading.rtdserver",, "T&amp;T2", "QUL", 295)</f>
        <v>A janela foi fechada</v>
      </c>
      <c r="D303" s="30" t="str">
        <f>RTD("rtdtrading.rtdserver",, "T&amp;T2", "AGR", 295)</f>
        <v>A janela foi fechada</v>
      </c>
      <c r="G303" s="38" t="str">
        <f>RTD("rtdtrading.rtdserver",, "T&amp;T1", "DAT", 295)</f>
        <v>A janela foi fechada</v>
      </c>
      <c r="H303" s="39" t="str">
        <f>RTD("rtdtrading.rtdserver",, "T&amp;T1", "PRE", 295)</f>
        <v>A janela foi fechada</v>
      </c>
      <c r="I303" s="40" t="str">
        <f>RTD("rtdtrading.rtdserver",, "T&amp;T1", "QUL", 295)</f>
        <v>A janela foi fechada</v>
      </c>
      <c r="J303" s="41" t="str">
        <f>RTD("rtdtrading.rtdserver",, "T&amp;T1", "AGR", 295)</f>
        <v>A janela foi fechada</v>
      </c>
    </row>
    <row r="304" spans="1:10" x14ac:dyDescent="0.25">
      <c r="A304" s="46" t="str">
        <f>RTD("rtdtrading.rtdserver",, "T&amp;T2", "DAT", 296)</f>
        <v>A janela foi fechada</v>
      </c>
      <c r="B304" s="29" t="str">
        <f>RTD("rtdtrading.rtdserver",, "T&amp;T2", "PRE", 296)</f>
        <v>A janela foi fechada</v>
      </c>
      <c r="C304" s="30" t="str">
        <f>RTD("rtdtrading.rtdserver",, "T&amp;T2", "QUL", 296)</f>
        <v>A janela foi fechada</v>
      </c>
      <c r="D304" s="30" t="str">
        <f>RTD("rtdtrading.rtdserver",, "T&amp;T2", "AGR", 296)</f>
        <v>A janela foi fechada</v>
      </c>
      <c r="G304" s="38" t="str">
        <f>RTD("rtdtrading.rtdserver",, "T&amp;T1", "DAT", 296)</f>
        <v>A janela foi fechada</v>
      </c>
      <c r="H304" s="39" t="str">
        <f>RTD("rtdtrading.rtdserver",, "T&amp;T1", "PRE", 296)</f>
        <v>A janela foi fechada</v>
      </c>
      <c r="I304" s="40" t="str">
        <f>RTD("rtdtrading.rtdserver",, "T&amp;T1", "QUL", 296)</f>
        <v>A janela foi fechada</v>
      </c>
      <c r="J304" s="41" t="str">
        <f>RTD("rtdtrading.rtdserver",, "T&amp;T1", "AGR", 296)</f>
        <v>A janela foi fechada</v>
      </c>
    </row>
    <row r="305" spans="1:10" x14ac:dyDescent="0.25">
      <c r="A305" s="46" t="str">
        <f>RTD("rtdtrading.rtdserver",, "T&amp;T2", "DAT", 297)</f>
        <v>A janela foi fechada</v>
      </c>
      <c r="B305" s="29" t="str">
        <f>RTD("rtdtrading.rtdserver",, "T&amp;T2", "PRE", 297)</f>
        <v>A janela foi fechada</v>
      </c>
      <c r="C305" s="30" t="str">
        <f>RTD("rtdtrading.rtdserver",, "T&amp;T2", "QUL", 297)</f>
        <v>A janela foi fechada</v>
      </c>
      <c r="D305" s="30" t="str">
        <f>RTD("rtdtrading.rtdserver",, "T&amp;T2", "AGR", 297)</f>
        <v>A janela foi fechada</v>
      </c>
      <c r="G305" s="38" t="str">
        <f>RTD("rtdtrading.rtdserver",, "T&amp;T1", "DAT", 297)</f>
        <v>A janela foi fechada</v>
      </c>
      <c r="H305" s="39" t="str">
        <f>RTD("rtdtrading.rtdserver",, "T&amp;T1", "PRE", 297)</f>
        <v>A janela foi fechada</v>
      </c>
      <c r="I305" s="40" t="str">
        <f>RTD("rtdtrading.rtdserver",, "T&amp;T1", "QUL", 297)</f>
        <v>A janela foi fechada</v>
      </c>
      <c r="J305" s="41" t="str">
        <f>RTD("rtdtrading.rtdserver",, "T&amp;T1", "AGR", 297)</f>
        <v>A janela foi fechada</v>
      </c>
    </row>
    <row r="306" spans="1:10" x14ac:dyDescent="0.25">
      <c r="A306" s="46" t="str">
        <f>RTD("rtdtrading.rtdserver",, "T&amp;T2", "DAT", 298)</f>
        <v>A janela foi fechada</v>
      </c>
      <c r="B306" s="29" t="str">
        <f>RTD("rtdtrading.rtdserver",, "T&amp;T2", "PRE", 298)</f>
        <v>A janela foi fechada</v>
      </c>
      <c r="C306" s="30" t="str">
        <f>RTD("rtdtrading.rtdserver",, "T&amp;T2", "QUL", 298)</f>
        <v>A janela foi fechada</v>
      </c>
      <c r="D306" s="30" t="str">
        <f>RTD("rtdtrading.rtdserver",, "T&amp;T2", "AGR", 298)</f>
        <v>A janela foi fechada</v>
      </c>
      <c r="G306" s="38" t="str">
        <f>RTD("rtdtrading.rtdserver",, "T&amp;T1", "DAT", 298)</f>
        <v>A janela foi fechada</v>
      </c>
      <c r="H306" s="39" t="str">
        <f>RTD("rtdtrading.rtdserver",, "T&amp;T1", "PRE", 298)</f>
        <v>A janela foi fechada</v>
      </c>
      <c r="I306" s="40" t="str">
        <f>RTD("rtdtrading.rtdserver",, "T&amp;T1", "QUL", 298)</f>
        <v>A janela foi fechada</v>
      </c>
      <c r="J306" s="41" t="str">
        <f>RTD("rtdtrading.rtdserver",, "T&amp;T1", "AGR", 298)</f>
        <v>A janela foi fechada</v>
      </c>
    </row>
    <row r="307" spans="1:10" x14ac:dyDescent="0.25">
      <c r="A307" s="46" t="str">
        <f>RTD("rtdtrading.rtdserver",, "T&amp;T2", "DAT", 299)</f>
        <v>A janela foi fechada</v>
      </c>
      <c r="B307" s="29" t="str">
        <f>RTD("rtdtrading.rtdserver",, "T&amp;T2", "PRE", 299)</f>
        <v>A janela foi fechada</v>
      </c>
      <c r="C307" s="30" t="str">
        <f>RTD("rtdtrading.rtdserver",, "T&amp;T2", "QUL", 299)</f>
        <v>A janela foi fechada</v>
      </c>
      <c r="D307" s="30" t="str">
        <f>RTD("rtdtrading.rtdserver",, "T&amp;T2", "AGR", 299)</f>
        <v>A janela foi fechada</v>
      </c>
      <c r="G307" s="38" t="str">
        <f>RTD("rtdtrading.rtdserver",, "T&amp;T1", "DAT", 299)</f>
        <v>A janela foi fechada</v>
      </c>
      <c r="H307" s="39" t="str">
        <f>RTD("rtdtrading.rtdserver",, "T&amp;T1", "PRE", 299)</f>
        <v>A janela foi fechada</v>
      </c>
      <c r="I307" s="40" t="str">
        <f>RTD("rtdtrading.rtdserver",, "T&amp;T1", "QUL", 299)</f>
        <v>A janela foi fechada</v>
      </c>
      <c r="J307" s="41" t="str">
        <f>RTD("rtdtrading.rtdserver",, "T&amp;T1", "AGR", 299)</f>
        <v>A janela foi fechada</v>
      </c>
    </row>
    <row r="308" spans="1:10" x14ac:dyDescent="0.25">
      <c r="A308" s="46" t="str">
        <f>RTD("rtdtrading.rtdserver",, "T&amp;T2", "DAT", 300)</f>
        <v>A janela foi fechada</v>
      </c>
      <c r="B308" s="29" t="str">
        <f>RTD("rtdtrading.rtdserver",, "T&amp;T2", "PRE", 300)</f>
        <v>A janela foi fechada</v>
      </c>
      <c r="C308" s="30" t="str">
        <f>RTD("rtdtrading.rtdserver",, "T&amp;T2", "QUL", 300)</f>
        <v>A janela foi fechada</v>
      </c>
      <c r="D308" s="30" t="str">
        <f>RTD("rtdtrading.rtdserver",, "T&amp;T2", "AGR", 300)</f>
        <v>A janela foi fechada</v>
      </c>
      <c r="G308" s="38" t="str">
        <f>RTD("rtdtrading.rtdserver",, "T&amp;T1", "DAT", 300)</f>
        <v>A janela foi fechada</v>
      </c>
      <c r="H308" s="39" t="str">
        <f>RTD("rtdtrading.rtdserver",, "T&amp;T1", "PRE", 300)</f>
        <v>A janela foi fechada</v>
      </c>
      <c r="I308" s="40" t="str">
        <f>RTD("rtdtrading.rtdserver",, "T&amp;T1", "QUL", 300)</f>
        <v>A janela foi fechada</v>
      </c>
      <c r="J308" s="41" t="str">
        <f>RTD("rtdtrading.rtdserver",, "T&amp;T1", "AGR", 300)</f>
        <v>A janela foi fechada</v>
      </c>
    </row>
    <row r="309" spans="1:10" x14ac:dyDescent="0.25">
      <c r="A309" s="46" t="str">
        <f>RTD("rtdtrading.rtdserver",, "T&amp;T2", "DAT", 301)</f>
        <v>A janela foi fechada</v>
      </c>
      <c r="B309" s="29" t="str">
        <f>RTD("rtdtrading.rtdserver",, "T&amp;T2", "PRE", 301)</f>
        <v>A janela foi fechada</v>
      </c>
      <c r="C309" s="30" t="str">
        <f>RTD("rtdtrading.rtdserver",, "T&amp;T2", "QUL", 301)</f>
        <v>A janela foi fechada</v>
      </c>
      <c r="D309" s="30" t="str">
        <f>RTD("rtdtrading.rtdserver",, "T&amp;T2", "AGR", 301)</f>
        <v>A janela foi fechada</v>
      </c>
      <c r="G309" s="38" t="str">
        <f>RTD("rtdtrading.rtdserver",, "T&amp;T1", "DAT", 301)</f>
        <v>A janela foi fechada</v>
      </c>
      <c r="H309" s="39" t="str">
        <f>RTD("rtdtrading.rtdserver",, "T&amp;T1", "PRE", 301)</f>
        <v>A janela foi fechada</v>
      </c>
      <c r="I309" s="40" t="str">
        <f>RTD("rtdtrading.rtdserver",, "T&amp;T1", "QUL", 301)</f>
        <v>A janela foi fechada</v>
      </c>
      <c r="J309" s="41" t="str">
        <f>RTD("rtdtrading.rtdserver",, "T&amp;T1", "AGR", 301)</f>
        <v>A janela foi fechada</v>
      </c>
    </row>
    <row r="310" spans="1:10" x14ac:dyDescent="0.25">
      <c r="A310" s="46" t="str">
        <f>RTD("rtdtrading.rtdserver",, "T&amp;T2", "DAT", 302)</f>
        <v>A janela foi fechada</v>
      </c>
      <c r="B310" s="29" t="str">
        <f>RTD("rtdtrading.rtdserver",, "T&amp;T2", "PRE", 302)</f>
        <v>A janela foi fechada</v>
      </c>
      <c r="C310" s="30" t="str">
        <f>RTD("rtdtrading.rtdserver",, "T&amp;T2", "QUL", 302)</f>
        <v>A janela foi fechada</v>
      </c>
      <c r="D310" s="30" t="str">
        <f>RTD("rtdtrading.rtdserver",, "T&amp;T2", "AGR", 302)</f>
        <v>A janela foi fechada</v>
      </c>
      <c r="G310" s="38" t="str">
        <f>RTD("rtdtrading.rtdserver",, "T&amp;T1", "DAT", 302)</f>
        <v>A janela foi fechada</v>
      </c>
      <c r="H310" s="39" t="str">
        <f>RTD("rtdtrading.rtdserver",, "T&amp;T1", "PRE", 302)</f>
        <v>A janela foi fechada</v>
      </c>
      <c r="I310" s="40" t="str">
        <f>RTD("rtdtrading.rtdserver",, "T&amp;T1", "QUL", 302)</f>
        <v>A janela foi fechada</v>
      </c>
      <c r="J310" s="41" t="str">
        <f>RTD("rtdtrading.rtdserver",, "T&amp;T1", "AGR", 302)</f>
        <v>A janela foi fechada</v>
      </c>
    </row>
    <row r="311" spans="1:10" x14ac:dyDescent="0.25">
      <c r="A311" s="46" t="str">
        <f>RTD("rtdtrading.rtdserver",, "T&amp;T2", "DAT", 303)</f>
        <v>A janela foi fechada</v>
      </c>
      <c r="B311" s="29" t="str">
        <f>RTD("rtdtrading.rtdserver",, "T&amp;T2", "PRE", 303)</f>
        <v>A janela foi fechada</v>
      </c>
      <c r="C311" s="30" t="str">
        <f>RTD("rtdtrading.rtdserver",, "T&amp;T2", "QUL", 303)</f>
        <v>A janela foi fechada</v>
      </c>
      <c r="D311" s="30" t="str">
        <f>RTD("rtdtrading.rtdserver",, "T&amp;T2", "AGR", 303)</f>
        <v>A janela foi fechada</v>
      </c>
      <c r="G311" s="38" t="str">
        <f>RTD("rtdtrading.rtdserver",, "T&amp;T1", "DAT", 303)</f>
        <v>A janela foi fechada</v>
      </c>
      <c r="H311" s="39" t="str">
        <f>RTD("rtdtrading.rtdserver",, "T&amp;T1", "PRE", 303)</f>
        <v>A janela foi fechada</v>
      </c>
      <c r="I311" s="40" t="str">
        <f>RTD("rtdtrading.rtdserver",, "T&amp;T1", "QUL", 303)</f>
        <v>A janela foi fechada</v>
      </c>
      <c r="J311" s="41" t="str">
        <f>RTD("rtdtrading.rtdserver",, "T&amp;T1", "AGR", 303)</f>
        <v>A janela foi fechada</v>
      </c>
    </row>
    <row r="312" spans="1:10" x14ac:dyDescent="0.25">
      <c r="A312" s="46" t="str">
        <f>RTD("rtdtrading.rtdserver",, "T&amp;T2", "DAT", 304)</f>
        <v>A janela foi fechada</v>
      </c>
      <c r="B312" s="29" t="str">
        <f>RTD("rtdtrading.rtdserver",, "T&amp;T2", "PRE", 304)</f>
        <v>A janela foi fechada</v>
      </c>
      <c r="C312" s="30" t="str">
        <f>RTD("rtdtrading.rtdserver",, "T&amp;T2", "QUL", 304)</f>
        <v>A janela foi fechada</v>
      </c>
      <c r="D312" s="30" t="str">
        <f>RTD("rtdtrading.rtdserver",, "T&amp;T2", "AGR", 304)</f>
        <v>A janela foi fechada</v>
      </c>
      <c r="G312" s="38" t="str">
        <f>RTD("rtdtrading.rtdserver",, "T&amp;T1", "DAT", 304)</f>
        <v>A janela foi fechada</v>
      </c>
      <c r="H312" s="39" t="str">
        <f>RTD("rtdtrading.rtdserver",, "T&amp;T1", "PRE", 304)</f>
        <v>A janela foi fechada</v>
      </c>
      <c r="I312" s="40" t="str">
        <f>RTD("rtdtrading.rtdserver",, "T&amp;T1", "QUL", 304)</f>
        <v>A janela foi fechada</v>
      </c>
      <c r="J312" s="41" t="str">
        <f>RTD("rtdtrading.rtdserver",, "T&amp;T1", "AGR", 304)</f>
        <v>A janela foi fechada</v>
      </c>
    </row>
    <row r="313" spans="1:10" x14ac:dyDescent="0.25">
      <c r="A313" s="46" t="str">
        <f>RTD("rtdtrading.rtdserver",, "T&amp;T2", "DAT", 305)</f>
        <v>A janela foi fechada</v>
      </c>
      <c r="B313" s="29" t="str">
        <f>RTD("rtdtrading.rtdserver",, "T&amp;T2", "PRE", 305)</f>
        <v>A janela foi fechada</v>
      </c>
      <c r="C313" s="30" t="str">
        <f>RTD("rtdtrading.rtdserver",, "T&amp;T2", "QUL", 305)</f>
        <v>A janela foi fechada</v>
      </c>
      <c r="D313" s="30" t="str">
        <f>RTD("rtdtrading.rtdserver",, "T&amp;T2", "AGR", 305)</f>
        <v>A janela foi fechada</v>
      </c>
      <c r="G313" s="38" t="str">
        <f>RTD("rtdtrading.rtdserver",, "T&amp;T1", "DAT", 305)</f>
        <v>A janela foi fechada</v>
      </c>
      <c r="H313" s="39" t="str">
        <f>RTD("rtdtrading.rtdserver",, "T&amp;T1", "PRE", 305)</f>
        <v>A janela foi fechada</v>
      </c>
      <c r="I313" s="40" t="str">
        <f>RTD("rtdtrading.rtdserver",, "T&amp;T1", "QUL", 305)</f>
        <v>A janela foi fechada</v>
      </c>
      <c r="J313" s="41" t="str">
        <f>RTD("rtdtrading.rtdserver",, "T&amp;T1", "AGR", 305)</f>
        <v>A janela foi fechada</v>
      </c>
    </row>
    <row r="314" spans="1:10" x14ac:dyDescent="0.25">
      <c r="A314" s="46" t="str">
        <f>RTD("rtdtrading.rtdserver",, "T&amp;T2", "DAT", 306)</f>
        <v>A janela foi fechada</v>
      </c>
      <c r="B314" s="29" t="str">
        <f>RTD("rtdtrading.rtdserver",, "T&amp;T2", "PRE", 306)</f>
        <v>A janela foi fechada</v>
      </c>
      <c r="C314" s="30" t="str">
        <f>RTD("rtdtrading.rtdserver",, "T&amp;T2", "QUL", 306)</f>
        <v>A janela foi fechada</v>
      </c>
      <c r="D314" s="30" t="str">
        <f>RTD("rtdtrading.rtdserver",, "T&amp;T2", "AGR", 306)</f>
        <v>A janela foi fechada</v>
      </c>
      <c r="G314" s="38" t="str">
        <f>RTD("rtdtrading.rtdserver",, "T&amp;T1", "DAT", 306)</f>
        <v>A janela foi fechada</v>
      </c>
      <c r="H314" s="39" t="str">
        <f>RTD("rtdtrading.rtdserver",, "T&amp;T1", "PRE", 306)</f>
        <v>A janela foi fechada</v>
      </c>
      <c r="I314" s="40" t="str">
        <f>RTD("rtdtrading.rtdserver",, "T&amp;T1", "QUL", 306)</f>
        <v>A janela foi fechada</v>
      </c>
      <c r="J314" s="41" t="str">
        <f>RTD("rtdtrading.rtdserver",, "T&amp;T1", "AGR", 306)</f>
        <v>A janela foi fechada</v>
      </c>
    </row>
    <row r="315" spans="1:10" x14ac:dyDescent="0.25">
      <c r="A315" s="46" t="str">
        <f>RTD("rtdtrading.rtdserver",, "T&amp;T2", "DAT", 307)</f>
        <v>A janela foi fechada</v>
      </c>
      <c r="B315" s="29" t="str">
        <f>RTD("rtdtrading.rtdserver",, "T&amp;T2", "PRE", 307)</f>
        <v>A janela foi fechada</v>
      </c>
      <c r="C315" s="30" t="str">
        <f>RTD("rtdtrading.rtdserver",, "T&amp;T2", "QUL", 307)</f>
        <v>A janela foi fechada</v>
      </c>
      <c r="D315" s="30" t="str">
        <f>RTD("rtdtrading.rtdserver",, "T&amp;T2", "AGR", 307)</f>
        <v>A janela foi fechada</v>
      </c>
      <c r="G315" s="38" t="str">
        <f>RTD("rtdtrading.rtdserver",, "T&amp;T1", "DAT", 307)</f>
        <v>A janela foi fechada</v>
      </c>
      <c r="H315" s="39" t="str">
        <f>RTD("rtdtrading.rtdserver",, "T&amp;T1", "PRE", 307)</f>
        <v>A janela foi fechada</v>
      </c>
      <c r="I315" s="40" t="str">
        <f>RTD("rtdtrading.rtdserver",, "T&amp;T1", "QUL", 307)</f>
        <v>A janela foi fechada</v>
      </c>
      <c r="J315" s="41" t="str">
        <f>RTD("rtdtrading.rtdserver",, "T&amp;T1", "AGR", 307)</f>
        <v>A janela foi fechada</v>
      </c>
    </row>
    <row r="316" spans="1:10" x14ac:dyDescent="0.25">
      <c r="A316" s="46" t="str">
        <f>RTD("rtdtrading.rtdserver",, "T&amp;T2", "DAT", 308)</f>
        <v>A janela foi fechada</v>
      </c>
      <c r="B316" s="29" t="str">
        <f>RTD("rtdtrading.rtdserver",, "T&amp;T2", "PRE", 308)</f>
        <v>A janela foi fechada</v>
      </c>
      <c r="C316" s="30" t="str">
        <f>RTD("rtdtrading.rtdserver",, "T&amp;T2", "QUL", 308)</f>
        <v>A janela foi fechada</v>
      </c>
      <c r="D316" s="30" t="str">
        <f>RTD("rtdtrading.rtdserver",, "T&amp;T2", "AGR", 308)</f>
        <v>A janela foi fechada</v>
      </c>
      <c r="G316" s="38" t="str">
        <f>RTD("rtdtrading.rtdserver",, "T&amp;T1", "DAT", 308)</f>
        <v>A janela foi fechada</v>
      </c>
      <c r="H316" s="39" t="str">
        <f>RTD("rtdtrading.rtdserver",, "T&amp;T1", "PRE", 308)</f>
        <v>A janela foi fechada</v>
      </c>
      <c r="I316" s="40" t="str">
        <f>RTD("rtdtrading.rtdserver",, "T&amp;T1", "QUL", 308)</f>
        <v>A janela foi fechada</v>
      </c>
      <c r="J316" s="41" t="str">
        <f>RTD("rtdtrading.rtdserver",, "T&amp;T1", "AGR", 308)</f>
        <v>A janela foi fechada</v>
      </c>
    </row>
    <row r="317" spans="1:10" x14ac:dyDescent="0.25">
      <c r="A317" s="46" t="str">
        <f>RTD("rtdtrading.rtdserver",, "T&amp;T2", "DAT", 309)</f>
        <v>A janela foi fechada</v>
      </c>
      <c r="B317" s="29" t="str">
        <f>RTD("rtdtrading.rtdserver",, "T&amp;T2", "PRE", 309)</f>
        <v>A janela foi fechada</v>
      </c>
      <c r="C317" s="30" t="str">
        <f>RTD("rtdtrading.rtdserver",, "T&amp;T2", "QUL", 309)</f>
        <v>A janela foi fechada</v>
      </c>
      <c r="D317" s="30" t="str">
        <f>RTD("rtdtrading.rtdserver",, "T&amp;T2", "AGR", 309)</f>
        <v>A janela foi fechada</v>
      </c>
      <c r="G317" s="38" t="str">
        <f>RTD("rtdtrading.rtdserver",, "T&amp;T1", "DAT", 309)</f>
        <v>A janela foi fechada</v>
      </c>
      <c r="H317" s="39" t="str">
        <f>RTD("rtdtrading.rtdserver",, "T&amp;T1", "PRE", 309)</f>
        <v>A janela foi fechada</v>
      </c>
      <c r="I317" s="40" t="str">
        <f>RTD("rtdtrading.rtdserver",, "T&amp;T1", "QUL", 309)</f>
        <v>A janela foi fechada</v>
      </c>
      <c r="J317" s="41" t="str">
        <f>RTD("rtdtrading.rtdserver",, "T&amp;T1", "AGR", 309)</f>
        <v>A janela foi fechada</v>
      </c>
    </row>
    <row r="318" spans="1:10" x14ac:dyDescent="0.25">
      <c r="A318" s="46" t="str">
        <f>RTD("rtdtrading.rtdserver",, "T&amp;T2", "DAT", 310)</f>
        <v>A janela foi fechada</v>
      </c>
      <c r="B318" s="29" t="str">
        <f>RTD("rtdtrading.rtdserver",, "T&amp;T2", "PRE", 310)</f>
        <v>A janela foi fechada</v>
      </c>
      <c r="C318" s="30" t="str">
        <f>RTD("rtdtrading.rtdserver",, "T&amp;T2", "QUL", 310)</f>
        <v>A janela foi fechada</v>
      </c>
      <c r="D318" s="30" t="str">
        <f>RTD("rtdtrading.rtdserver",, "T&amp;T2", "AGR", 310)</f>
        <v>A janela foi fechada</v>
      </c>
      <c r="G318" s="38" t="str">
        <f>RTD("rtdtrading.rtdserver",, "T&amp;T1", "DAT", 310)</f>
        <v>A janela foi fechada</v>
      </c>
      <c r="H318" s="39" t="str">
        <f>RTD("rtdtrading.rtdserver",, "T&amp;T1", "PRE", 310)</f>
        <v>A janela foi fechada</v>
      </c>
      <c r="I318" s="40" t="str">
        <f>RTD("rtdtrading.rtdserver",, "T&amp;T1", "QUL", 310)</f>
        <v>A janela foi fechada</v>
      </c>
      <c r="J318" s="41" t="str">
        <f>RTD("rtdtrading.rtdserver",, "T&amp;T1", "AGR", 310)</f>
        <v>A janela foi fechada</v>
      </c>
    </row>
    <row r="319" spans="1:10" x14ac:dyDescent="0.25">
      <c r="A319" s="46" t="str">
        <f>RTD("rtdtrading.rtdserver",, "T&amp;T2", "DAT", 311)</f>
        <v>A janela foi fechada</v>
      </c>
      <c r="B319" s="29" t="str">
        <f>RTD("rtdtrading.rtdserver",, "T&amp;T2", "PRE", 311)</f>
        <v>A janela foi fechada</v>
      </c>
      <c r="C319" s="30" t="str">
        <f>RTD("rtdtrading.rtdserver",, "T&amp;T2", "QUL", 311)</f>
        <v>A janela foi fechada</v>
      </c>
      <c r="D319" s="30" t="str">
        <f>RTD("rtdtrading.rtdserver",, "T&amp;T2", "AGR", 311)</f>
        <v>A janela foi fechada</v>
      </c>
      <c r="G319" s="38" t="str">
        <f>RTD("rtdtrading.rtdserver",, "T&amp;T1", "DAT", 311)</f>
        <v>A janela foi fechada</v>
      </c>
      <c r="H319" s="39" t="str">
        <f>RTD("rtdtrading.rtdserver",, "T&amp;T1", "PRE", 311)</f>
        <v>A janela foi fechada</v>
      </c>
      <c r="I319" s="40" t="str">
        <f>RTD("rtdtrading.rtdserver",, "T&amp;T1", "QUL", 311)</f>
        <v>A janela foi fechada</v>
      </c>
      <c r="J319" s="41" t="str">
        <f>RTD("rtdtrading.rtdserver",, "T&amp;T1", "AGR", 311)</f>
        <v>A janela foi fechada</v>
      </c>
    </row>
    <row r="320" spans="1:10" x14ac:dyDescent="0.25">
      <c r="A320" s="46" t="str">
        <f>RTD("rtdtrading.rtdserver",, "T&amp;T2", "DAT", 312)</f>
        <v>A janela foi fechada</v>
      </c>
      <c r="B320" s="29" t="str">
        <f>RTD("rtdtrading.rtdserver",, "T&amp;T2", "PRE", 312)</f>
        <v>A janela foi fechada</v>
      </c>
      <c r="C320" s="30" t="str">
        <f>RTD("rtdtrading.rtdserver",, "T&amp;T2", "QUL", 312)</f>
        <v>A janela foi fechada</v>
      </c>
      <c r="D320" s="30" t="str">
        <f>RTD("rtdtrading.rtdserver",, "T&amp;T2", "AGR", 312)</f>
        <v>A janela foi fechada</v>
      </c>
      <c r="G320" s="38" t="str">
        <f>RTD("rtdtrading.rtdserver",, "T&amp;T1", "DAT", 312)</f>
        <v>A janela foi fechada</v>
      </c>
      <c r="H320" s="39" t="str">
        <f>RTD("rtdtrading.rtdserver",, "T&amp;T1", "PRE", 312)</f>
        <v>A janela foi fechada</v>
      </c>
      <c r="I320" s="40" t="str">
        <f>RTD("rtdtrading.rtdserver",, "T&amp;T1", "QUL", 312)</f>
        <v>A janela foi fechada</v>
      </c>
      <c r="J320" s="41" t="str">
        <f>RTD("rtdtrading.rtdserver",, "T&amp;T1", "AGR", 312)</f>
        <v>A janela foi fechada</v>
      </c>
    </row>
    <row r="321" spans="1:10" x14ac:dyDescent="0.25">
      <c r="A321" s="46" t="str">
        <f>RTD("rtdtrading.rtdserver",, "T&amp;T2", "DAT", 313)</f>
        <v>A janela foi fechada</v>
      </c>
      <c r="B321" s="29" t="str">
        <f>RTD("rtdtrading.rtdserver",, "T&amp;T2", "PRE", 313)</f>
        <v>A janela foi fechada</v>
      </c>
      <c r="C321" s="30" t="str">
        <f>RTD("rtdtrading.rtdserver",, "T&amp;T2", "QUL", 313)</f>
        <v>A janela foi fechada</v>
      </c>
      <c r="D321" s="30" t="str">
        <f>RTD("rtdtrading.rtdserver",, "T&amp;T2", "AGR", 313)</f>
        <v>A janela foi fechada</v>
      </c>
      <c r="G321" s="38" t="str">
        <f>RTD("rtdtrading.rtdserver",, "T&amp;T1", "DAT", 313)</f>
        <v>A janela foi fechada</v>
      </c>
      <c r="H321" s="39" t="str">
        <f>RTD("rtdtrading.rtdserver",, "T&amp;T1", "PRE", 313)</f>
        <v>A janela foi fechada</v>
      </c>
      <c r="I321" s="40" t="str">
        <f>RTD("rtdtrading.rtdserver",, "T&amp;T1", "QUL", 313)</f>
        <v>A janela foi fechada</v>
      </c>
      <c r="J321" s="41" t="str">
        <f>RTD("rtdtrading.rtdserver",, "T&amp;T1", "AGR", 313)</f>
        <v>A janela foi fechada</v>
      </c>
    </row>
    <row r="322" spans="1:10" x14ac:dyDescent="0.25">
      <c r="A322" s="46" t="str">
        <f>RTD("rtdtrading.rtdserver",, "T&amp;T2", "DAT", 314)</f>
        <v>A janela foi fechada</v>
      </c>
      <c r="B322" s="29" t="str">
        <f>RTD("rtdtrading.rtdserver",, "T&amp;T2", "PRE", 314)</f>
        <v>A janela foi fechada</v>
      </c>
      <c r="C322" s="30" t="str">
        <f>RTD("rtdtrading.rtdserver",, "T&amp;T2", "QUL", 314)</f>
        <v>A janela foi fechada</v>
      </c>
      <c r="D322" s="30" t="str">
        <f>RTD("rtdtrading.rtdserver",, "T&amp;T2", "AGR", 314)</f>
        <v>A janela foi fechada</v>
      </c>
      <c r="G322" s="38" t="str">
        <f>RTD("rtdtrading.rtdserver",, "T&amp;T1", "DAT", 314)</f>
        <v>A janela foi fechada</v>
      </c>
      <c r="H322" s="39" t="str">
        <f>RTD("rtdtrading.rtdserver",, "T&amp;T1", "PRE", 314)</f>
        <v>A janela foi fechada</v>
      </c>
      <c r="I322" s="40" t="str">
        <f>RTD("rtdtrading.rtdserver",, "T&amp;T1", "QUL", 314)</f>
        <v>A janela foi fechada</v>
      </c>
      <c r="J322" s="41" t="str">
        <f>RTD("rtdtrading.rtdserver",, "T&amp;T1", "AGR", 314)</f>
        <v>A janela foi fechada</v>
      </c>
    </row>
    <row r="323" spans="1:10" x14ac:dyDescent="0.25">
      <c r="A323" s="46" t="str">
        <f>RTD("rtdtrading.rtdserver",, "T&amp;T2", "DAT", 315)</f>
        <v>A janela foi fechada</v>
      </c>
      <c r="B323" s="29" t="str">
        <f>RTD("rtdtrading.rtdserver",, "T&amp;T2", "PRE", 315)</f>
        <v>A janela foi fechada</v>
      </c>
      <c r="C323" s="30" t="str">
        <f>RTD("rtdtrading.rtdserver",, "T&amp;T2", "QUL", 315)</f>
        <v>A janela foi fechada</v>
      </c>
      <c r="D323" s="30" t="str">
        <f>RTD("rtdtrading.rtdserver",, "T&amp;T2", "AGR", 315)</f>
        <v>A janela foi fechada</v>
      </c>
      <c r="G323" s="38" t="str">
        <f>RTD("rtdtrading.rtdserver",, "T&amp;T1", "DAT", 315)</f>
        <v>A janela foi fechada</v>
      </c>
      <c r="H323" s="39" t="str">
        <f>RTD("rtdtrading.rtdserver",, "T&amp;T1", "PRE", 315)</f>
        <v>A janela foi fechada</v>
      </c>
      <c r="I323" s="40" t="str">
        <f>RTD("rtdtrading.rtdserver",, "T&amp;T1", "QUL", 315)</f>
        <v>A janela foi fechada</v>
      </c>
      <c r="J323" s="41" t="str">
        <f>RTD("rtdtrading.rtdserver",, "T&amp;T1", "AGR", 315)</f>
        <v>A janela foi fechada</v>
      </c>
    </row>
    <row r="324" spans="1:10" x14ac:dyDescent="0.25">
      <c r="A324" s="46" t="str">
        <f>RTD("rtdtrading.rtdserver",, "T&amp;T2", "DAT", 316)</f>
        <v>A janela foi fechada</v>
      </c>
      <c r="B324" s="29" t="str">
        <f>RTD("rtdtrading.rtdserver",, "T&amp;T2", "PRE", 316)</f>
        <v>A janela foi fechada</v>
      </c>
      <c r="C324" s="30" t="str">
        <f>RTD("rtdtrading.rtdserver",, "T&amp;T2", "QUL", 316)</f>
        <v>A janela foi fechada</v>
      </c>
      <c r="D324" s="30" t="str">
        <f>RTD("rtdtrading.rtdserver",, "T&amp;T2", "AGR", 316)</f>
        <v>A janela foi fechada</v>
      </c>
      <c r="G324" s="38" t="str">
        <f>RTD("rtdtrading.rtdserver",, "T&amp;T1", "DAT", 316)</f>
        <v>A janela foi fechada</v>
      </c>
      <c r="H324" s="39" t="str">
        <f>RTD("rtdtrading.rtdserver",, "T&amp;T1", "PRE", 316)</f>
        <v>A janela foi fechada</v>
      </c>
      <c r="I324" s="40" t="str">
        <f>RTD("rtdtrading.rtdserver",, "T&amp;T1", "QUL", 316)</f>
        <v>A janela foi fechada</v>
      </c>
      <c r="J324" s="41" t="str">
        <f>RTD("rtdtrading.rtdserver",, "T&amp;T1", "AGR", 316)</f>
        <v>A janela foi fechada</v>
      </c>
    </row>
    <row r="325" spans="1:10" x14ac:dyDescent="0.25">
      <c r="A325" s="46" t="str">
        <f>RTD("rtdtrading.rtdserver",, "T&amp;T2", "DAT", 317)</f>
        <v>A janela foi fechada</v>
      </c>
      <c r="B325" s="29" t="str">
        <f>RTD("rtdtrading.rtdserver",, "T&amp;T2", "PRE", 317)</f>
        <v>A janela foi fechada</v>
      </c>
      <c r="C325" s="30" t="str">
        <f>RTD("rtdtrading.rtdserver",, "T&amp;T2", "QUL", 317)</f>
        <v>A janela foi fechada</v>
      </c>
      <c r="D325" s="30" t="str">
        <f>RTD("rtdtrading.rtdserver",, "T&amp;T2", "AGR", 317)</f>
        <v>A janela foi fechada</v>
      </c>
      <c r="G325" s="38" t="str">
        <f>RTD("rtdtrading.rtdserver",, "T&amp;T1", "DAT", 317)</f>
        <v>A janela foi fechada</v>
      </c>
      <c r="H325" s="39" t="str">
        <f>RTD("rtdtrading.rtdserver",, "T&amp;T1", "PRE", 317)</f>
        <v>A janela foi fechada</v>
      </c>
      <c r="I325" s="40" t="str">
        <f>RTD("rtdtrading.rtdserver",, "T&amp;T1", "QUL", 317)</f>
        <v>A janela foi fechada</v>
      </c>
      <c r="J325" s="41" t="str">
        <f>RTD("rtdtrading.rtdserver",, "T&amp;T1", "AGR", 317)</f>
        <v>A janela foi fechada</v>
      </c>
    </row>
    <row r="326" spans="1:10" x14ac:dyDescent="0.25">
      <c r="A326" s="46" t="str">
        <f>RTD("rtdtrading.rtdserver",, "T&amp;T2", "DAT", 318)</f>
        <v>A janela foi fechada</v>
      </c>
      <c r="B326" s="29" t="str">
        <f>RTD("rtdtrading.rtdserver",, "T&amp;T2", "PRE", 318)</f>
        <v>A janela foi fechada</v>
      </c>
      <c r="C326" s="30" t="str">
        <f>RTD("rtdtrading.rtdserver",, "T&amp;T2", "QUL", 318)</f>
        <v>A janela foi fechada</v>
      </c>
      <c r="D326" s="30" t="str">
        <f>RTD("rtdtrading.rtdserver",, "T&amp;T2", "AGR", 318)</f>
        <v>A janela foi fechada</v>
      </c>
      <c r="G326" s="38" t="str">
        <f>RTD("rtdtrading.rtdserver",, "T&amp;T1", "DAT", 318)</f>
        <v>A janela foi fechada</v>
      </c>
      <c r="H326" s="39" t="str">
        <f>RTD("rtdtrading.rtdserver",, "T&amp;T1", "PRE", 318)</f>
        <v>A janela foi fechada</v>
      </c>
      <c r="I326" s="40" t="str">
        <f>RTD("rtdtrading.rtdserver",, "T&amp;T1", "QUL", 318)</f>
        <v>A janela foi fechada</v>
      </c>
      <c r="J326" s="41" t="str">
        <f>RTD("rtdtrading.rtdserver",, "T&amp;T1", "AGR", 318)</f>
        <v>A janela foi fechada</v>
      </c>
    </row>
    <row r="327" spans="1:10" x14ac:dyDescent="0.25">
      <c r="A327" s="46" t="str">
        <f>RTD("rtdtrading.rtdserver",, "T&amp;T2", "DAT", 319)</f>
        <v>A janela foi fechada</v>
      </c>
      <c r="B327" s="29" t="str">
        <f>RTD("rtdtrading.rtdserver",, "T&amp;T2", "PRE", 319)</f>
        <v>A janela foi fechada</v>
      </c>
      <c r="C327" s="30" t="str">
        <f>RTD("rtdtrading.rtdserver",, "T&amp;T2", "QUL", 319)</f>
        <v>A janela foi fechada</v>
      </c>
      <c r="D327" s="30" t="str">
        <f>RTD("rtdtrading.rtdserver",, "T&amp;T2", "AGR", 319)</f>
        <v>A janela foi fechada</v>
      </c>
      <c r="G327" s="38" t="str">
        <f>RTD("rtdtrading.rtdserver",, "T&amp;T1", "DAT", 319)</f>
        <v>A janela foi fechada</v>
      </c>
      <c r="H327" s="39" t="str">
        <f>RTD("rtdtrading.rtdserver",, "T&amp;T1", "PRE", 319)</f>
        <v>A janela foi fechada</v>
      </c>
      <c r="I327" s="40" t="str">
        <f>RTD("rtdtrading.rtdserver",, "T&amp;T1", "QUL", 319)</f>
        <v>A janela foi fechada</v>
      </c>
      <c r="J327" s="41" t="str">
        <f>RTD("rtdtrading.rtdserver",, "T&amp;T1", "AGR", 319)</f>
        <v>A janela foi fechada</v>
      </c>
    </row>
    <row r="328" spans="1:10" x14ac:dyDescent="0.25">
      <c r="A328" s="46" t="str">
        <f>RTD("rtdtrading.rtdserver",, "T&amp;T2", "DAT", 320)</f>
        <v>A janela foi fechada</v>
      </c>
      <c r="B328" s="29" t="str">
        <f>RTD("rtdtrading.rtdserver",, "T&amp;T2", "PRE", 320)</f>
        <v>A janela foi fechada</v>
      </c>
      <c r="C328" s="30" t="str">
        <f>RTD("rtdtrading.rtdserver",, "T&amp;T2", "QUL", 320)</f>
        <v>A janela foi fechada</v>
      </c>
      <c r="D328" s="30" t="str">
        <f>RTD("rtdtrading.rtdserver",, "T&amp;T2", "AGR", 320)</f>
        <v>A janela foi fechada</v>
      </c>
      <c r="G328" s="38" t="str">
        <f>RTD("rtdtrading.rtdserver",, "T&amp;T1", "DAT", 320)</f>
        <v>A janela foi fechada</v>
      </c>
      <c r="H328" s="39" t="str">
        <f>RTD("rtdtrading.rtdserver",, "T&amp;T1", "PRE", 320)</f>
        <v>A janela foi fechada</v>
      </c>
      <c r="I328" s="40" t="str">
        <f>RTD("rtdtrading.rtdserver",, "T&amp;T1", "QUL", 320)</f>
        <v>A janela foi fechada</v>
      </c>
      <c r="J328" s="41" t="str">
        <f>RTD("rtdtrading.rtdserver",, "T&amp;T1", "AGR", 320)</f>
        <v>A janela foi fechada</v>
      </c>
    </row>
    <row r="329" spans="1:10" x14ac:dyDescent="0.25">
      <c r="A329" s="46" t="str">
        <f>RTD("rtdtrading.rtdserver",, "T&amp;T2", "DAT", 321)</f>
        <v>A janela foi fechada</v>
      </c>
      <c r="B329" s="29" t="str">
        <f>RTD("rtdtrading.rtdserver",, "T&amp;T2", "PRE", 321)</f>
        <v>A janela foi fechada</v>
      </c>
      <c r="C329" s="30" t="str">
        <f>RTD("rtdtrading.rtdserver",, "T&amp;T2", "QUL", 321)</f>
        <v>A janela foi fechada</v>
      </c>
      <c r="D329" s="30" t="str">
        <f>RTD("rtdtrading.rtdserver",, "T&amp;T2", "AGR", 321)</f>
        <v>A janela foi fechada</v>
      </c>
      <c r="G329" s="38" t="str">
        <f>RTD("rtdtrading.rtdserver",, "T&amp;T1", "DAT", 321)</f>
        <v>A janela foi fechada</v>
      </c>
      <c r="H329" s="39" t="str">
        <f>RTD("rtdtrading.rtdserver",, "T&amp;T1", "PRE", 321)</f>
        <v>A janela foi fechada</v>
      </c>
      <c r="I329" s="40" t="str">
        <f>RTD("rtdtrading.rtdserver",, "T&amp;T1", "QUL", 321)</f>
        <v>A janela foi fechada</v>
      </c>
      <c r="J329" s="41" t="str">
        <f>RTD("rtdtrading.rtdserver",, "T&amp;T1", "AGR", 321)</f>
        <v>A janela foi fechada</v>
      </c>
    </row>
    <row r="330" spans="1:10" x14ac:dyDescent="0.25">
      <c r="A330" s="46" t="str">
        <f>RTD("rtdtrading.rtdserver",, "T&amp;T2", "DAT", 322)</f>
        <v>A janela foi fechada</v>
      </c>
      <c r="B330" s="29" t="str">
        <f>RTD("rtdtrading.rtdserver",, "T&amp;T2", "PRE", 322)</f>
        <v>A janela foi fechada</v>
      </c>
      <c r="C330" s="30" t="str">
        <f>RTD("rtdtrading.rtdserver",, "T&amp;T2", "QUL", 322)</f>
        <v>A janela foi fechada</v>
      </c>
      <c r="D330" s="30" t="str">
        <f>RTD("rtdtrading.rtdserver",, "T&amp;T2", "AGR", 322)</f>
        <v>A janela foi fechada</v>
      </c>
      <c r="G330" s="38" t="str">
        <f>RTD("rtdtrading.rtdserver",, "T&amp;T1", "DAT", 322)</f>
        <v>A janela foi fechada</v>
      </c>
      <c r="H330" s="39" t="str">
        <f>RTD("rtdtrading.rtdserver",, "T&amp;T1", "PRE", 322)</f>
        <v>A janela foi fechada</v>
      </c>
      <c r="I330" s="40" t="str">
        <f>RTD("rtdtrading.rtdserver",, "T&amp;T1", "QUL", 322)</f>
        <v>A janela foi fechada</v>
      </c>
      <c r="J330" s="41" t="str">
        <f>RTD("rtdtrading.rtdserver",, "T&amp;T1", "AGR", 322)</f>
        <v>A janela foi fechada</v>
      </c>
    </row>
    <row r="331" spans="1:10" x14ac:dyDescent="0.25">
      <c r="A331" s="46" t="str">
        <f>RTD("rtdtrading.rtdserver",, "T&amp;T2", "DAT", 323)</f>
        <v>A janela foi fechada</v>
      </c>
      <c r="B331" s="29" t="str">
        <f>RTD("rtdtrading.rtdserver",, "T&amp;T2", "PRE", 323)</f>
        <v>A janela foi fechada</v>
      </c>
      <c r="C331" s="30" t="str">
        <f>RTD("rtdtrading.rtdserver",, "T&amp;T2", "QUL", 323)</f>
        <v>A janela foi fechada</v>
      </c>
      <c r="D331" s="30" t="str">
        <f>RTD("rtdtrading.rtdserver",, "T&amp;T2", "AGR", 323)</f>
        <v>A janela foi fechada</v>
      </c>
      <c r="G331" s="38" t="str">
        <f>RTD("rtdtrading.rtdserver",, "T&amp;T1", "DAT", 323)</f>
        <v>A janela foi fechada</v>
      </c>
      <c r="H331" s="39" t="str">
        <f>RTD("rtdtrading.rtdserver",, "T&amp;T1", "PRE", 323)</f>
        <v>A janela foi fechada</v>
      </c>
      <c r="I331" s="40" t="str">
        <f>RTD("rtdtrading.rtdserver",, "T&amp;T1", "QUL", 323)</f>
        <v>A janela foi fechada</v>
      </c>
      <c r="J331" s="41" t="str">
        <f>RTD("rtdtrading.rtdserver",, "T&amp;T1", "AGR", 323)</f>
        <v>A janela foi fechada</v>
      </c>
    </row>
    <row r="332" spans="1:10" x14ac:dyDescent="0.25">
      <c r="A332" s="46" t="str">
        <f>RTD("rtdtrading.rtdserver",, "T&amp;T2", "DAT", 324)</f>
        <v>A janela foi fechada</v>
      </c>
      <c r="B332" s="29" t="str">
        <f>RTD("rtdtrading.rtdserver",, "T&amp;T2", "PRE", 324)</f>
        <v>A janela foi fechada</v>
      </c>
      <c r="C332" s="30" t="str">
        <f>RTD("rtdtrading.rtdserver",, "T&amp;T2", "QUL", 324)</f>
        <v>A janela foi fechada</v>
      </c>
      <c r="D332" s="30" t="str">
        <f>RTD("rtdtrading.rtdserver",, "T&amp;T2", "AGR", 324)</f>
        <v>A janela foi fechada</v>
      </c>
      <c r="G332" s="38" t="str">
        <f>RTD("rtdtrading.rtdserver",, "T&amp;T1", "DAT", 324)</f>
        <v>A janela foi fechada</v>
      </c>
      <c r="H332" s="39" t="str">
        <f>RTD("rtdtrading.rtdserver",, "T&amp;T1", "PRE", 324)</f>
        <v>A janela foi fechada</v>
      </c>
      <c r="I332" s="40" t="str">
        <f>RTD("rtdtrading.rtdserver",, "T&amp;T1", "QUL", 324)</f>
        <v>A janela foi fechada</v>
      </c>
      <c r="J332" s="41" t="str">
        <f>RTD("rtdtrading.rtdserver",, "T&amp;T1", "AGR", 324)</f>
        <v>A janela foi fechada</v>
      </c>
    </row>
    <row r="333" spans="1:10" x14ac:dyDescent="0.25">
      <c r="A333" s="46" t="str">
        <f>RTD("rtdtrading.rtdserver",, "T&amp;T2", "DAT", 325)</f>
        <v>A janela foi fechada</v>
      </c>
      <c r="B333" s="29" t="str">
        <f>RTD("rtdtrading.rtdserver",, "T&amp;T2", "PRE", 325)</f>
        <v>A janela foi fechada</v>
      </c>
      <c r="C333" s="30" t="str">
        <f>RTD("rtdtrading.rtdserver",, "T&amp;T2", "QUL", 325)</f>
        <v>A janela foi fechada</v>
      </c>
      <c r="D333" s="30" t="str">
        <f>RTD("rtdtrading.rtdserver",, "T&amp;T2", "AGR", 325)</f>
        <v>A janela foi fechada</v>
      </c>
      <c r="G333" s="38" t="str">
        <f>RTD("rtdtrading.rtdserver",, "T&amp;T1", "DAT", 325)</f>
        <v>A janela foi fechada</v>
      </c>
      <c r="H333" s="39" t="str">
        <f>RTD("rtdtrading.rtdserver",, "T&amp;T1", "PRE", 325)</f>
        <v>A janela foi fechada</v>
      </c>
      <c r="I333" s="40" t="str">
        <f>RTD("rtdtrading.rtdserver",, "T&amp;T1", "QUL", 325)</f>
        <v>A janela foi fechada</v>
      </c>
      <c r="J333" s="41" t="str">
        <f>RTD("rtdtrading.rtdserver",, "T&amp;T1", "AGR", 325)</f>
        <v>A janela foi fechada</v>
      </c>
    </row>
    <row r="334" spans="1:10" x14ac:dyDescent="0.25">
      <c r="A334" s="46" t="str">
        <f>RTD("rtdtrading.rtdserver",, "T&amp;T2", "DAT", 326)</f>
        <v>A janela foi fechada</v>
      </c>
      <c r="B334" s="29" t="str">
        <f>RTD("rtdtrading.rtdserver",, "T&amp;T2", "PRE", 326)</f>
        <v>A janela foi fechada</v>
      </c>
      <c r="C334" s="30" t="str">
        <f>RTD("rtdtrading.rtdserver",, "T&amp;T2", "QUL", 326)</f>
        <v>A janela foi fechada</v>
      </c>
      <c r="D334" s="30" t="str">
        <f>RTD("rtdtrading.rtdserver",, "T&amp;T2", "AGR", 326)</f>
        <v>A janela foi fechada</v>
      </c>
      <c r="G334" s="38" t="str">
        <f>RTD("rtdtrading.rtdserver",, "T&amp;T1", "DAT", 326)</f>
        <v>A janela foi fechada</v>
      </c>
      <c r="H334" s="39" t="str">
        <f>RTD("rtdtrading.rtdserver",, "T&amp;T1", "PRE", 326)</f>
        <v>A janela foi fechada</v>
      </c>
      <c r="I334" s="40" t="str">
        <f>RTD("rtdtrading.rtdserver",, "T&amp;T1", "QUL", 326)</f>
        <v>A janela foi fechada</v>
      </c>
      <c r="J334" s="41" t="str">
        <f>RTD("rtdtrading.rtdserver",, "T&amp;T1", "AGR", 326)</f>
        <v>A janela foi fechada</v>
      </c>
    </row>
    <row r="335" spans="1:10" x14ac:dyDescent="0.25">
      <c r="A335" s="46" t="str">
        <f>RTD("rtdtrading.rtdserver",, "T&amp;T2", "DAT", 327)</f>
        <v>A janela foi fechada</v>
      </c>
      <c r="B335" s="29" t="str">
        <f>RTD("rtdtrading.rtdserver",, "T&amp;T2", "PRE", 327)</f>
        <v>A janela foi fechada</v>
      </c>
      <c r="C335" s="30" t="str">
        <f>RTD("rtdtrading.rtdserver",, "T&amp;T2", "QUL", 327)</f>
        <v>A janela foi fechada</v>
      </c>
      <c r="D335" s="30" t="str">
        <f>RTD("rtdtrading.rtdserver",, "T&amp;T2", "AGR", 327)</f>
        <v>A janela foi fechada</v>
      </c>
      <c r="G335" s="38" t="str">
        <f>RTD("rtdtrading.rtdserver",, "T&amp;T1", "DAT", 327)</f>
        <v>A janela foi fechada</v>
      </c>
      <c r="H335" s="39" t="str">
        <f>RTD("rtdtrading.rtdserver",, "T&amp;T1", "PRE", 327)</f>
        <v>A janela foi fechada</v>
      </c>
      <c r="I335" s="40" t="str">
        <f>RTD("rtdtrading.rtdserver",, "T&amp;T1", "QUL", 327)</f>
        <v>A janela foi fechada</v>
      </c>
      <c r="J335" s="41" t="str">
        <f>RTD("rtdtrading.rtdserver",, "T&amp;T1", "AGR", 327)</f>
        <v>A janela foi fechada</v>
      </c>
    </row>
    <row r="336" spans="1:10" x14ac:dyDescent="0.25">
      <c r="A336" s="46" t="str">
        <f>RTD("rtdtrading.rtdserver",, "T&amp;T2", "DAT", 328)</f>
        <v>A janela foi fechada</v>
      </c>
      <c r="B336" s="29" t="str">
        <f>RTD("rtdtrading.rtdserver",, "T&amp;T2", "PRE", 328)</f>
        <v>A janela foi fechada</v>
      </c>
      <c r="C336" s="30" t="str">
        <f>RTD("rtdtrading.rtdserver",, "T&amp;T2", "QUL", 328)</f>
        <v>A janela foi fechada</v>
      </c>
      <c r="D336" s="30" t="str">
        <f>RTD("rtdtrading.rtdserver",, "T&amp;T2", "AGR", 328)</f>
        <v>A janela foi fechada</v>
      </c>
      <c r="G336" s="38" t="str">
        <f>RTD("rtdtrading.rtdserver",, "T&amp;T1", "DAT", 328)</f>
        <v>A janela foi fechada</v>
      </c>
      <c r="H336" s="39" t="str">
        <f>RTD("rtdtrading.rtdserver",, "T&amp;T1", "PRE", 328)</f>
        <v>A janela foi fechada</v>
      </c>
      <c r="I336" s="40" t="str">
        <f>RTD("rtdtrading.rtdserver",, "T&amp;T1", "QUL", 328)</f>
        <v>A janela foi fechada</v>
      </c>
      <c r="J336" s="41" t="str">
        <f>RTD("rtdtrading.rtdserver",, "T&amp;T1", "AGR", 328)</f>
        <v>A janela foi fechada</v>
      </c>
    </row>
    <row r="337" spans="1:10" x14ac:dyDescent="0.25">
      <c r="A337" s="46" t="str">
        <f>RTD("rtdtrading.rtdserver",, "T&amp;T2", "DAT", 329)</f>
        <v>A janela foi fechada</v>
      </c>
      <c r="B337" s="29" t="str">
        <f>RTD("rtdtrading.rtdserver",, "T&amp;T2", "PRE", 329)</f>
        <v>A janela foi fechada</v>
      </c>
      <c r="C337" s="30" t="str">
        <f>RTD("rtdtrading.rtdserver",, "T&amp;T2", "QUL", 329)</f>
        <v>A janela foi fechada</v>
      </c>
      <c r="D337" s="30" t="str">
        <f>RTD("rtdtrading.rtdserver",, "T&amp;T2", "AGR", 329)</f>
        <v>A janela foi fechada</v>
      </c>
      <c r="G337" s="38" t="str">
        <f>RTD("rtdtrading.rtdserver",, "T&amp;T1", "DAT", 329)</f>
        <v>A janela foi fechada</v>
      </c>
      <c r="H337" s="39" t="str">
        <f>RTD("rtdtrading.rtdserver",, "T&amp;T1", "PRE", 329)</f>
        <v>A janela foi fechada</v>
      </c>
      <c r="I337" s="40" t="str">
        <f>RTD("rtdtrading.rtdserver",, "T&amp;T1", "QUL", 329)</f>
        <v>A janela foi fechada</v>
      </c>
      <c r="J337" s="41" t="str">
        <f>RTD("rtdtrading.rtdserver",, "T&amp;T1", "AGR", 329)</f>
        <v>A janela foi fechada</v>
      </c>
    </row>
    <row r="338" spans="1:10" x14ac:dyDescent="0.25">
      <c r="A338" s="46" t="str">
        <f>RTD("rtdtrading.rtdserver",, "T&amp;T2", "DAT", 330)</f>
        <v>A janela foi fechada</v>
      </c>
      <c r="B338" s="29" t="str">
        <f>RTD("rtdtrading.rtdserver",, "T&amp;T2", "PRE", 330)</f>
        <v>A janela foi fechada</v>
      </c>
      <c r="C338" s="30" t="str">
        <f>RTD("rtdtrading.rtdserver",, "T&amp;T2", "QUL", 330)</f>
        <v>A janela foi fechada</v>
      </c>
      <c r="D338" s="30" t="str">
        <f>RTD("rtdtrading.rtdserver",, "T&amp;T2", "AGR", 330)</f>
        <v>A janela foi fechada</v>
      </c>
      <c r="G338" s="38" t="str">
        <f>RTD("rtdtrading.rtdserver",, "T&amp;T1", "DAT", 330)</f>
        <v>A janela foi fechada</v>
      </c>
      <c r="H338" s="39" t="str">
        <f>RTD("rtdtrading.rtdserver",, "T&amp;T1", "PRE", 330)</f>
        <v>A janela foi fechada</v>
      </c>
      <c r="I338" s="40" t="str">
        <f>RTD("rtdtrading.rtdserver",, "T&amp;T1", "QUL", 330)</f>
        <v>A janela foi fechada</v>
      </c>
      <c r="J338" s="41" t="str">
        <f>RTD("rtdtrading.rtdserver",, "T&amp;T1", "AGR", 330)</f>
        <v>A janela foi fechada</v>
      </c>
    </row>
    <row r="339" spans="1:10" x14ac:dyDescent="0.25">
      <c r="A339" s="46" t="str">
        <f>RTD("rtdtrading.rtdserver",, "T&amp;T2", "DAT", 331)</f>
        <v>A janela foi fechada</v>
      </c>
      <c r="B339" s="29" t="str">
        <f>RTD("rtdtrading.rtdserver",, "T&amp;T2", "PRE", 331)</f>
        <v>A janela foi fechada</v>
      </c>
      <c r="C339" s="30" t="str">
        <f>RTD("rtdtrading.rtdserver",, "T&amp;T2", "QUL", 331)</f>
        <v>A janela foi fechada</v>
      </c>
      <c r="D339" s="30" t="str">
        <f>RTD("rtdtrading.rtdserver",, "T&amp;T2", "AGR", 331)</f>
        <v>A janela foi fechada</v>
      </c>
      <c r="G339" s="38" t="str">
        <f>RTD("rtdtrading.rtdserver",, "T&amp;T1", "DAT", 331)</f>
        <v>A janela foi fechada</v>
      </c>
      <c r="H339" s="39" t="str">
        <f>RTD("rtdtrading.rtdserver",, "T&amp;T1", "PRE", 331)</f>
        <v>A janela foi fechada</v>
      </c>
      <c r="I339" s="40" t="str">
        <f>RTD("rtdtrading.rtdserver",, "T&amp;T1", "QUL", 331)</f>
        <v>A janela foi fechada</v>
      </c>
      <c r="J339" s="41" t="str">
        <f>RTD("rtdtrading.rtdserver",, "T&amp;T1", "AGR", 331)</f>
        <v>A janela foi fechada</v>
      </c>
    </row>
    <row r="340" spans="1:10" x14ac:dyDescent="0.25">
      <c r="A340" s="46" t="str">
        <f>RTD("rtdtrading.rtdserver",, "T&amp;T2", "DAT", 332)</f>
        <v>A janela foi fechada</v>
      </c>
      <c r="B340" s="29" t="str">
        <f>RTD("rtdtrading.rtdserver",, "T&amp;T2", "PRE", 332)</f>
        <v>A janela foi fechada</v>
      </c>
      <c r="C340" s="30" t="str">
        <f>RTD("rtdtrading.rtdserver",, "T&amp;T2", "QUL", 332)</f>
        <v>A janela foi fechada</v>
      </c>
      <c r="D340" s="30" t="str">
        <f>RTD("rtdtrading.rtdserver",, "T&amp;T2", "AGR", 332)</f>
        <v>A janela foi fechada</v>
      </c>
      <c r="G340" s="38" t="str">
        <f>RTD("rtdtrading.rtdserver",, "T&amp;T1", "DAT", 332)</f>
        <v>A janela foi fechada</v>
      </c>
      <c r="H340" s="39" t="str">
        <f>RTD("rtdtrading.rtdserver",, "T&amp;T1", "PRE", 332)</f>
        <v>A janela foi fechada</v>
      </c>
      <c r="I340" s="40" t="str">
        <f>RTD("rtdtrading.rtdserver",, "T&amp;T1", "QUL", 332)</f>
        <v>A janela foi fechada</v>
      </c>
      <c r="J340" s="41" t="str">
        <f>RTD("rtdtrading.rtdserver",, "T&amp;T1", "AGR", 332)</f>
        <v>A janela foi fechada</v>
      </c>
    </row>
    <row r="341" spans="1:10" x14ac:dyDescent="0.25">
      <c r="A341" s="46" t="str">
        <f>RTD("rtdtrading.rtdserver",, "T&amp;T2", "DAT", 333)</f>
        <v>A janela foi fechada</v>
      </c>
      <c r="B341" s="29" t="str">
        <f>RTD("rtdtrading.rtdserver",, "T&amp;T2", "PRE", 333)</f>
        <v>A janela foi fechada</v>
      </c>
      <c r="C341" s="30" t="str">
        <f>RTD("rtdtrading.rtdserver",, "T&amp;T2", "QUL", 333)</f>
        <v>A janela foi fechada</v>
      </c>
      <c r="D341" s="30" t="str">
        <f>RTD("rtdtrading.rtdserver",, "T&amp;T2", "AGR", 333)</f>
        <v>A janela foi fechada</v>
      </c>
      <c r="G341" s="38" t="str">
        <f>RTD("rtdtrading.rtdserver",, "T&amp;T1", "DAT", 333)</f>
        <v>A janela foi fechada</v>
      </c>
      <c r="H341" s="39" t="str">
        <f>RTD("rtdtrading.rtdserver",, "T&amp;T1", "PRE", 333)</f>
        <v>A janela foi fechada</v>
      </c>
      <c r="I341" s="40" t="str">
        <f>RTD("rtdtrading.rtdserver",, "T&amp;T1", "QUL", 333)</f>
        <v>A janela foi fechada</v>
      </c>
      <c r="J341" s="41" t="str">
        <f>RTD("rtdtrading.rtdserver",, "T&amp;T1", "AGR", 333)</f>
        <v>A janela foi fechada</v>
      </c>
    </row>
    <row r="342" spans="1:10" x14ac:dyDescent="0.25">
      <c r="A342" s="46" t="str">
        <f>RTD("rtdtrading.rtdserver",, "T&amp;T2", "DAT", 334)</f>
        <v>A janela foi fechada</v>
      </c>
      <c r="B342" s="29" t="str">
        <f>RTD("rtdtrading.rtdserver",, "T&amp;T2", "PRE", 334)</f>
        <v>A janela foi fechada</v>
      </c>
      <c r="C342" s="30" t="str">
        <f>RTD("rtdtrading.rtdserver",, "T&amp;T2", "QUL", 334)</f>
        <v>A janela foi fechada</v>
      </c>
      <c r="D342" s="30" t="str">
        <f>RTD("rtdtrading.rtdserver",, "T&amp;T2", "AGR", 334)</f>
        <v>A janela foi fechada</v>
      </c>
      <c r="G342" s="38" t="str">
        <f>RTD("rtdtrading.rtdserver",, "T&amp;T1", "DAT", 334)</f>
        <v>A janela foi fechada</v>
      </c>
      <c r="H342" s="39" t="str">
        <f>RTD("rtdtrading.rtdserver",, "T&amp;T1", "PRE", 334)</f>
        <v>A janela foi fechada</v>
      </c>
      <c r="I342" s="40" t="str">
        <f>RTD("rtdtrading.rtdserver",, "T&amp;T1", "QUL", 334)</f>
        <v>A janela foi fechada</v>
      </c>
      <c r="J342" s="41" t="str">
        <f>RTD("rtdtrading.rtdserver",, "T&amp;T1", "AGR", 334)</f>
        <v>A janela foi fechada</v>
      </c>
    </row>
    <row r="343" spans="1:10" x14ac:dyDescent="0.25">
      <c r="A343" s="46" t="str">
        <f>RTD("rtdtrading.rtdserver",, "T&amp;T2", "DAT", 335)</f>
        <v>A janela foi fechada</v>
      </c>
      <c r="B343" s="29" t="str">
        <f>RTD("rtdtrading.rtdserver",, "T&amp;T2", "PRE", 335)</f>
        <v>A janela foi fechada</v>
      </c>
      <c r="C343" s="30" t="str">
        <f>RTD("rtdtrading.rtdserver",, "T&amp;T2", "QUL", 335)</f>
        <v>A janela foi fechada</v>
      </c>
      <c r="D343" s="30" t="str">
        <f>RTD("rtdtrading.rtdserver",, "T&amp;T2", "AGR", 335)</f>
        <v>A janela foi fechada</v>
      </c>
      <c r="G343" s="38" t="str">
        <f>RTD("rtdtrading.rtdserver",, "T&amp;T1", "DAT", 335)</f>
        <v>A janela foi fechada</v>
      </c>
      <c r="H343" s="39" t="str">
        <f>RTD("rtdtrading.rtdserver",, "T&amp;T1", "PRE", 335)</f>
        <v>A janela foi fechada</v>
      </c>
      <c r="I343" s="40" t="str">
        <f>RTD("rtdtrading.rtdserver",, "T&amp;T1", "QUL", 335)</f>
        <v>A janela foi fechada</v>
      </c>
      <c r="J343" s="41" t="str">
        <f>RTD("rtdtrading.rtdserver",, "T&amp;T1", "AGR", 335)</f>
        <v>A janela foi fechada</v>
      </c>
    </row>
    <row r="344" spans="1:10" x14ac:dyDescent="0.25">
      <c r="A344" s="46" t="str">
        <f>RTD("rtdtrading.rtdserver",, "T&amp;T2", "DAT", 336)</f>
        <v>A janela foi fechada</v>
      </c>
      <c r="B344" s="29" t="str">
        <f>RTD("rtdtrading.rtdserver",, "T&amp;T2", "PRE", 336)</f>
        <v>A janela foi fechada</v>
      </c>
      <c r="C344" s="30" t="str">
        <f>RTD("rtdtrading.rtdserver",, "T&amp;T2", "QUL", 336)</f>
        <v>A janela foi fechada</v>
      </c>
      <c r="D344" s="30" t="str">
        <f>RTD("rtdtrading.rtdserver",, "T&amp;T2", "AGR", 336)</f>
        <v>A janela foi fechada</v>
      </c>
      <c r="G344" s="38" t="str">
        <f>RTD("rtdtrading.rtdserver",, "T&amp;T1", "DAT", 336)</f>
        <v>A janela foi fechada</v>
      </c>
      <c r="H344" s="39" t="str">
        <f>RTD("rtdtrading.rtdserver",, "T&amp;T1", "PRE", 336)</f>
        <v>A janela foi fechada</v>
      </c>
      <c r="I344" s="40" t="str">
        <f>RTD("rtdtrading.rtdserver",, "T&amp;T1", "QUL", 336)</f>
        <v>A janela foi fechada</v>
      </c>
      <c r="J344" s="41" t="str">
        <f>RTD("rtdtrading.rtdserver",, "T&amp;T1", "AGR", 336)</f>
        <v>A janela foi fechada</v>
      </c>
    </row>
    <row r="345" spans="1:10" x14ac:dyDescent="0.25">
      <c r="A345" s="46" t="str">
        <f>RTD("rtdtrading.rtdserver",, "T&amp;T2", "DAT", 337)</f>
        <v>A janela foi fechada</v>
      </c>
      <c r="B345" s="29" t="str">
        <f>RTD("rtdtrading.rtdserver",, "T&amp;T2", "PRE", 337)</f>
        <v>A janela foi fechada</v>
      </c>
      <c r="C345" s="30" t="str">
        <f>RTD("rtdtrading.rtdserver",, "T&amp;T2", "QUL", 337)</f>
        <v>A janela foi fechada</v>
      </c>
      <c r="D345" s="30" t="str">
        <f>RTD("rtdtrading.rtdserver",, "T&amp;T2", "AGR", 337)</f>
        <v>A janela foi fechada</v>
      </c>
      <c r="G345" s="38" t="str">
        <f>RTD("rtdtrading.rtdserver",, "T&amp;T1", "DAT", 337)</f>
        <v>A janela foi fechada</v>
      </c>
      <c r="H345" s="39" t="str">
        <f>RTD("rtdtrading.rtdserver",, "T&amp;T1", "PRE", 337)</f>
        <v>A janela foi fechada</v>
      </c>
      <c r="I345" s="40" t="str">
        <f>RTD("rtdtrading.rtdserver",, "T&amp;T1", "QUL", 337)</f>
        <v>A janela foi fechada</v>
      </c>
      <c r="J345" s="41" t="str">
        <f>RTD("rtdtrading.rtdserver",, "T&amp;T1", "AGR", 337)</f>
        <v>A janela foi fechada</v>
      </c>
    </row>
    <row r="346" spans="1:10" x14ac:dyDescent="0.25">
      <c r="A346" s="46" t="str">
        <f>RTD("rtdtrading.rtdserver",, "T&amp;T2", "DAT", 338)</f>
        <v>A janela foi fechada</v>
      </c>
      <c r="B346" s="29" t="str">
        <f>RTD("rtdtrading.rtdserver",, "T&amp;T2", "PRE", 338)</f>
        <v>A janela foi fechada</v>
      </c>
      <c r="C346" s="30" t="str">
        <f>RTD("rtdtrading.rtdserver",, "T&amp;T2", "QUL", 338)</f>
        <v>A janela foi fechada</v>
      </c>
      <c r="D346" s="30" t="str">
        <f>RTD("rtdtrading.rtdserver",, "T&amp;T2", "AGR", 338)</f>
        <v>A janela foi fechada</v>
      </c>
      <c r="G346" s="38" t="str">
        <f>RTD("rtdtrading.rtdserver",, "T&amp;T1", "DAT", 338)</f>
        <v>A janela foi fechada</v>
      </c>
      <c r="H346" s="39" t="str">
        <f>RTD("rtdtrading.rtdserver",, "T&amp;T1", "PRE", 338)</f>
        <v>A janela foi fechada</v>
      </c>
      <c r="I346" s="40" t="str">
        <f>RTD("rtdtrading.rtdserver",, "T&amp;T1", "QUL", 338)</f>
        <v>A janela foi fechada</v>
      </c>
      <c r="J346" s="41" t="str">
        <f>RTD("rtdtrading.rtdserver",, "T&amp;T1", "AGR", 338)</f>
        <v>A janela foi fechada</v>
      </c>
    </row>
    <row r="347" spans="1:10" x14ac:dyDescent="0.25">
      <c r="A347" s="46" t="str">
        <f>RTD("rtdtrading.rtdserver",, "T&amp;T2", "DAT", 339)</f>
        <v>A janela foi fechada</v>
      </c>
      <c r="B347" s="29" t="str">
        <f>RTD("rtdtrading.rtdserver",, "T&amp;T2", "PRE", 339)</f>
        <v>A janela foi fechada</v>
      </c>
      <c r="C347" s="30" t="str">
        <f>RTD("rtdtrading.rtdserver",, "T&amp;T2", "QUL", 339)</f>
        <v>A janela foi fechada</v>
      </c>
      <c r="D347" s="30" t="str">
        <f>RTD("rtdtrading.rtdserver",, "T&amp;T2", "AGR", 339)</f>
        <v>A janela foi fechada</v>
      </c>
      <c r="G347" s="38" t="str">
        <f>RTD("rtdtrading.rtdserver",, "T&amp;T1", "DAT", 339)</f>
        <v>A janela foi fechada</v>
      </c>
      <c r="H347" s="39" t="str">
        <f>RTD("rtdtrading.rtdserver",, "T&amp;T1", "PRE", 339)</f>
        <v>A janela foi fechada</v>
      </c>
      <c r="I347" s="40" t="str">
        <f>RTD("rtdtrading.rtdserver",, "T&amp;T1", "QUL", 339)</f>
        <v>A janela foi fechada</v>
      </c>
      <c r="J347" s="41" t="str">
        <f>RTD("rtdtrading.rtdserver",, "T&amp;T1", "AGR", 339)</f>
        <v>A janela foi fechada</v>
      </c>
    </row>
    <row r="348" spans="1:10" x14ac:dyDescent="0.25">
      <c r="A348" s="46" t="str">
        <f>RTD("rtdtrading.rtdserver",, "T&amp;T2", "DAT", 340)</f>
        <v>A janela foi fechada</v>
      </c>
      <c r="B348" s="29" t="str">
        <f>RTD("rtdtrading.rtdserver",, "T&amp;T2", "PRE", 340)</f>
        <v>A janela foi fechada</v>
      </c>
      <c r="C348" s="30" t="str">
        <f>RTD("rtdtrading.rtdserver",, "T&amp;T2", "QUL", 340)</f>
        <v>A janela foi fechada</v>
      </c>
      <c r="D348" s="30" t="str">
        <f>RTD("rtdtrading.rtdserver",, "T&amp;T2", "AGR", 340)</f>
        <v>A janela foi fechada</v>
      </c>
      <c r="G348" s="38" t="str">
        <f>RTD("rtdtrading.rtdserver",, "T&amp;T1", "DAT", 340)</f>
        <v>A janela foi fechada</v>
      </c>
      <c r="H348" s="39" t="str">
        <f>RTD("rtdtrading.rtdserver",, "T&amp;T1", "PRE", 340)</f>
        <v>A janela foi fechada</v>
      </c>
      <c r="I348" s="40" t="str">
        <f>RTD("rtdtrading.rtdserver",, "T&amp;T1", "QUL", 340)</f>
        <v>A janela foi fechada</v>
      </c>
      <c r="J348" s="41" t="str">
        <f>RTD("rtdtrading.rtdserver",, "T&amp;T1", "AGR", 340)</f>
        <v>A janela foi fechada</v>
      </c>
    </row>
    <row r="349" spans="1:10" x14ac:dyDescent="0.25">
      <c r="A349" s="46" t="str">
        <f>RTD("rtdtrading.rtdserver",, "T&amp;T2", "DAT", 341)</f>
        <v>A janela foi fechada</v>
      </c>
      <c r="B349" s="29" t="str">
        <f>RTD("rtdtrading.rtdserver",, "T&amp;T2", "PRE", 341)</f>
        <v>A janela foi fechada</v>
      </c>
      <c r="C349" s="30" t="str">
        <f>RTD("rtdtrading.rtdserver",, "T&amp;T2", "QUL", 341)</f>
        <v>A janela foi fechada</v>
      </c>
      <c r="D349" s="30" t="str">
        <f>RTD("rtdtrading.rtdserver",, "T&amp;T2", "AGR", 341)</f>
        <v>A janela foi fechada</v>
      </c>
      <c r="G349" s="38" t="str">
        <f>RTD("rtdtrading.rtdserver",, "T&amp;T1", "DAT", 341)</f>
        <v>A janela foi fechada</v>
      </c>
      <c r="H349" s="39" t="str">
        <f>RTD("rtdtrading.rtdserver",, "T&amp;T1", "PRE", 341)</f>
        <v>A janela foi fechada</v>
      </c>
      <c r="I349" s="40" t="str">
        <f>RTD("rtdtrading.rtdserver",, "T&amp;T1", "QUL", 341)</f>
        <v>A janela foi fechada</v>
      </c>
      <c r="J349" s="41" t="str">
        <f>RTD("rtdtrading.rtdserver",, "T&amp;T1", "AGR", 341)</f>
        <v>A janela foi fechada</v>
      </c>
    </row>
    <row r="350" spans="1:10" x14ac:dyDescent="0.25">
      <c r="A350" s="46" t="str">
        <f>RTD("rtdtrading.rtdserver",, "T&amp;T2", "DAT", 342)</f>
        <v>A janela foi fechada</v>
      </c>
      <c r="B350" s="29" t="str">
        <f>RTD("rtdtrading.rtdserver",, "T&amp;T2", "PRE", 342)</f>
        <v>A janela foi fechada</v>
      </c>
      <c r="C350" s="30" t="str">
        <f>RTD("rtdtrading.rtdserver",, "T&amp;T2", "QUL", 342)</f>
        <v>A janela foi fechada</v>
      </c>
      <c r="D350" s="30" t="str">
        <f>RTD("rtdtrading.rtdserver",, "T&amp;T2", "AGR", 342)</f>
        <v>A janela foi fechada</v>
      </c>
      <c r="G350" s="38" t="str">
        <f>RTD("rtdtrading.rtdserver",, "T&amp;T1", "DAT", 342)</f>
        <v>A janela foi fechada</v>
      </c>
      <c r="H350" s="39" t="str">
        <f>RTD("rtdtrading.rtdserver",, "T&amp;T1", "PRE", 342)</f>
        <v>A janela foi fechada</v>
      </c>
      <c r="I350" s="40" t="str">
        <f>RTD("rtdtrading.rtdserver",, "T&amp;T1", "QUL", 342)</f>
        <v>A janela foi fechada</v>
      </c>
      <c r="J350" s="41" t="str">
        <f>RTD("rtdtrading.rtdserver",, "T&amp;T1", "AGR", 342)</f>
        <v>A janela foi fechada</v>
      </c>
    </row>
    <row r="351" spans="1:10" x14ac:dyDescent="0.25">
      <c r="A351" s="46" t="str">
        <f>RTD("rtdtrading.rtdserver",, "T&amp;T2", "DAT", 343)</f>
        <v>A janela foi fechada</v>
      </c>
      <c r="B351" s="29" t="str">
        <f>RTD("rtdtrading.rtdserver",, "T&amp;T2", "PRE", 343)</f>
        <v>A janela foi fechada</v>
      </c>
      <c r="C351" s="30" t="str">
        <f>RTD("rtdtrading.rtdserver",, "T&amp;T2", "QUL", 343)</f>
        <v>A janela foi fechada</v>
      </c>
      <c r="D351" s="30" t="str">
        <f>RTD("rtdtrading.rtdserver",, "T&amp;T2", "AGR", 343)</f>
        <v>A janela foi fechada</v>
      </c>
      <c r="G351" s="38" t="str">
        <f>RTD("rtdtrading.rtdserver",, "T&amp;T1", "DAT", 343)</f>
        <v>A janela foi fechada</v>
      </c>
      <c r="H351" s="39" t="str">
        <f>RTD("rtdtrading.rtdserver",, "T&amp;T1", "PRE", 343)</f>
        <v>A janela foi fechada</v>
      </c>
      <c r="I351" s="40" t="str">
        <f>RTD("rtdtrading.rtdserver",, "T&amp;T1", "QUL", 343)</f>
        <v>A janela foi fechada</v>
      </c>
      <c r="J351" s="41" t="str">
        <f>RTD("rtdtrading.rtdserver",, "T&amp;T1", "AGR", 343)</f>
        <v>A janela foi fechada</v>
      </c>
    </row>
    <row r="352" spans="1:10" x14ac:dyDescent="0.25">
      <c r="A352" s="46" t="str">
        <f>RTD("rtdtrading.rtdserver",, "T&amp;T2", "DAT", 344)</f>
        <v>A janela foi fechada</v>
      </c>
      <c r="B352" s="29" t="str">
        <f>RTD("rtdtrading.rtdserver",, "T&amp;T2", "PRE", 344)</f>
        <v>A janela foi fechada</v>
      </c>
      <c r="C352" s="30" t="str">
        <f>RTD("rtdtrading.rtdserver",, "T&amp;T2", "QUL", 344)</f>
        <v>A janela foi fechada</v>
      </c>
      <c r="D352" s="30" t="str">
        <f>RTD("rtdtrading.rtdserver",, "T&amp;T2", "AGR", 344)</f>
        <v>A janela foi fechada</v>
      </c>
      <c r="G352" s="38" t="str">
        <f>RTD("rtdtrading.rtdserver",, "T&amp;T1", "DAT", 344)</f>
        <v>A janela foi fechada</v>
      </c>
      <c r="H352" s="39" t="str">
        <f>RTD("rtdtrading.rtdserver",, "T&amp;T1", "PRE", 344)</f>
        <v>A janela foi fechada</v>
      </c>
      <c r="I352" s="40" t="str">
        <f>RTD("rtdtrading.rtdserver",, "T&amp;T1", "QUL", 344)</f>
        <v>A janela foi fechada</v>
      </c>
      <c r="J352" s="41" t="str">
        <f>RTD("rtdtrading.rtdserver",, "T&amp;T1", "AGR", 344)</f>
        <v>A janela foi fechada</v>
      </c>
    </row>
    <row r="353" spans="1:10" x14ac:dyDescent="0.25">
      <c r="A353" s="46" t="str">
        <f>RTD("rtdtrading.rtdserver",, "T&amp;T2", "DAT", 345)</f>
        <v>A janela foi fechada</v>
      </c>
      <c r="B353" s="29" t="str">
        <f>RTD("rtdtrading.rtdserver",, "T&amp;T2", "PRE", 345)</f>
        <v>A janela foi fechada</v>
      </c>
      <c r="C353" s="30" t="str">
        <f>RTD("rtdtrading.rtdserver",, "T&amp;T2", "QUL", 345)</f>
        <v>A janela foi fechada</v>
      </c>
      <c r="D353" s="30" t="str">
        <f>RTD("rtdtrading.rtdserver",, "T&amp;T2", "AGR", 345)</f>
        <v>A janela foi fechada</v>
      </c>
      <c r="G353" s="38" t="str">
        <f>RTD("rtdtrading.rtdserver",, "T&amp;T1", "DAT", 345)</f>
        <v>A janela foi fechada</v>
      </c>
      <c r="H353" s="39" t="str">
        <f>RTD("rtdtrading.rtdserver",, "T&amp;T1", "PRE", 345)</f>
        <v>A janela foi fechada</v>
      </c>
      <c r="I353" s="40" t="str">
        <f>RTD("rtdtrading.rtdserver",, "T&amp;T1", "QUL", 345)</f>
        <v>A janela foi fechada</v>
      </c>
      <c r="J353" s="41" t="str">
        <f>RTD("rtdtrading.rtdserver",, "T&amp;T1", "AGR", 345)</f>
        <v>A janela foi fechada</v>
      </c>
    </row>
    <row r="354" spans="1:10" x14ac:dyDescent="0.25">
      <c r="A354" s="46" t="str">
        <f>RTD("rtdtrading.rtdserver",, "T&amp;T2", "DAT", 346)</f>
        <v>A janela foi fechada</v>
      </c>
      <c r="B354" s="29" t="str">
        <f>RTD("rtdtrading.rtdserver",, "T&amp;T2", "PRE", 346)</f>
        <v>A janela foi fechada</v>
      </c>
      <c r="C354" s="30" t="str">
        <f>RTD("rtdtrading.rtdserver",, "T&amp;T2", "QUL", 346)</f>
        <v>A janela foi fechada</v>
      </c>
      <c r="D354" s="30" t="str">
        <f>RTD("rtdtrading.rtdserver",, "T&amp;T2", "AGR", 346)</f>
        <v>A janela foi fechada</v>
      </c>
      <c r="G354" s="38" t="str">
        <f>RTD("rtdtrading.rtdserver",, "T&amp;T1", "DAT", 346)</f>
        <v>A janela foi fechada</v>
      </c>
      <c r="H354" s="39" t="str">
        <f>RTD("rtdtrading.rtdserver",, "T&amp;T1", "PRE", 346)</f>
        <v>A janela foi fechada</v>
      </c>
      <c r="I354" s="40" t="str">
        <f>RTD("rtdtrading.rtdserver",, "T&amp;T1", "QUL", 346)</f>
        <v>A janela foi fechada</v>
      </c>
      <c r="J354" s="41" t="str">
        <f>RTD("rtdtrading.rtdserver",, "T&amp;T1", "AGR", 346)</f>
        <v>A janela foi fechada</v>
      </c>
    </row>
    <row r="355" spans="1:10" x14ac:dyDescent="0.25">
      <c r="A355" s="46" t="str">
        <f>RTD("rtdtrading.rtdserver",, "T&amp;T2", "DAT", 347)</f>
        <v>A janela foi fechada</v>
      </c>
      <c r="B355" s="29" t="str">
        <f>RTD("rtdtrading.rtdserver",, "T&amp;T2", "PRE", 347)</f>
        <v>A janela foi fechada</v>
      </c>
      <c r="C355" s="30" t="str">
        <f>RTD("rtdtrading.rtdserver",, "T&amp;T2", "QUL", 347)</f>
        <v>A janela foi fechada</v>
      </c>
      <c r="D355" s="30" t="str">
        <f>RTD("rtdtrading.rtdserver",, "T&amp;T2", "AGR", 347)</f>
        <v>A janela foi fechada</v>
      </c>
      <c r="G355" s="38" t="str">
        <f>RTD("rtdtrading.rtdserver",, "T&amp;T1", "DAT", 347)</f>
        <v>A janela foi fechada</v>
      </c>
      <c r="H355" s="39" t="str">
        <f>RTD("rtdtrading.rtdserver",, "T&amp;T1", "PRE", 347)</f>
        <v>A janela foi fechada</v>
      </c>
      <c r="I355" s="40" t="str">
        <f>RTD("rtdtrading.rtdserver",, "T&amp;T1", "QUL", 347)</f>
        <v>A janela foi fechada</v>
      </c>
      <c r="J355" s="41" t="str">
        <f>RTD("rtdtrading.rtdserver",, "T&amp;T1", "AGR", 347)</f>
        <v>A janela foi fechada</v>
      </c>
    </row>
    <row r="356" spans="1:10" x14ac:dyDescent="0.25">
      <c r="A356" s="46" t="str">
        <f>RTD("rtdtrading.rtdserver",, "T&amp;T2", "DAT", 348)</f>
        <v>A janela foi fechada</v>
      </c>
      <c r="B356" s="29" t="str">
        <f>RTD("rtdtrading.rtdserver",, "T&amp;T2", "PRE", 348)</f>
        <v>A janela foi fechada</v>
      </c>
      <c r="C356" s="30" t="str">
        <f>RTD("rtdtrading.rtdserver",, "T&amp;T2", "QUL", 348)</f>
        <v>A janela foi fechada</v>
      </c>
      <c r="D356" s="30" t="str">
        <f>RTD("rtdtrading.rtdserver",, "T&amp;T2", "AGR", 348)</f>
        <v>A janela foi fechada</v>
      </c>
      <c r="G356" s="38" t="str">
        <f>RTD("rtdtrading.rtdserver",, "T&amp;T1", "DAT", 348)</f>
        <v>A janela foi fechada</v>
      </c>
      <c r="H356" s="39" t="str">
        <f>RTD("rtdtrading.rtdserver",, "T&amp;T1", "PRE", 348)</f>
        <v>A janela foi fechada</v>
      </c>
      <c r="I356" s="40" t="str">
        <f>RTD("rtdtrading.rtdserver",, "T&amp;T1", "QUL", 348)</f>
        <v>A janela foi fechada</v>
      </c>
      <c r="J356" s="41" t="str">
        <f>RTD("rtdtrading.rtdserver",, "T&amp;T1", "AGR", 348)</f>
        <v>A janela foi fechada</v>
      </c>
    </row>
    <row r="357" spans="1:10" x14ac:dyDescent="0.25">
      <c r="A357" s="46" t="str">
        <f>RTD("rtdtrading.rtdserver",, "T&amp;T2", "DAT", 349)</f>
        <v>A janela foi fechada</v>
      </c>
      <c r="B357" s="29" t="str">
        <f>RTD("rtdtrading.rtdserver",, "T&amp;T2", "PRE", 349)</f>
        <v>A janela foi fechada</v>
      </c>
      <c r="C357" s="30" t="str">
        <f>RTD("rtdtrading.rtdserver",, "T&amp;T2", "QUL", 349)</f>
        <v>A janela foi fechada</v>
      </c>
      <c r="D357" s="30" t="str">
        <f>RTD("rtdtrading.rtdserver",, "T&amp;T2", "AGR", 349)</f>
        <v>A janela foi fechada</v>
      </c>
      <c r="G357" s="38" t="str">
        <f>RTD("rtdtrading.rtdserver",, "T&amp;T1", "DAT", 349)</f>
        <v>A janela foi fechada</v>
      </c>
      <c r="H357" s="39" t="str">
        <f>RTD("rtdtrading.rtdserver",, "T&amp;T1", "PRE", 349)</f>
        <v>A janela foi fechada</v>
      </c>
      <c r="I357" s="40" t="str">
        <f>RTD("rtdtrading.rtdserver",, "T&amp;T1", "QUL", 349)</f>
        <v>A janela foi fechada</v>
      </c>
      <c r="J357" s="41" t="str">
        <f>RTD("rtdtrading.rtdserver",, "T&amp;T1", "AGR", 349)</f>
        <v>A janela foi fechada</v>
      </c>
    </row>
    <row r="358" spans="1:10" x14ac:dyDescent="0.25">
      <c r="A358" s="46" t="str">
        <f>RTD("rtdtrading.rtdserver",, "T&amp;T2", "DAT", 350)</f>
        <v>A janela foi fechada</v>
      </c>
      <c r="B358" s="29" t="str">
        <f>RTD("rtdtrading.rtdserver",, "T&amp;T2", "PRE", 350)</f>
        <v>A janela foi fechada</v>
      </c>
      <c r="C358" s="30" t="str">
        <f>RTD("rtdtrading.rtdserver",, "T&amp;T2", "QUL", 350)</f>
        <v>A janela foi fechada</v>
      </c>
      <c r="D358" s="30" t="str">
        <f>RTD("rtdtrading.rtdserver",, "T&amp;T2", "AGR", 350)</f>
        <v>A janela foi fechada</v>
      </c>
      <c r="G358" s="38" t="str">
        <f>RTD("rtdtrading.rtdserver",, "T&amp;T1", "DAT", 350)</f>
        <v>A janela foi fechada</v>
      </c>
      <c r="H358" s="39" t="str">
        <f>RTD("rtdtrading.rtdserver",, "T&amp;T1", "PRE", 350)</f>
        <v>A janela foi fechada</v>
      </c>
      <c r="I358" s="40" t="str">
        <f>RTD("rtdtrading.rtdserver",, "T&amp;T1", "QUL", 350)</f>
        <v>A janela foi fechada</v>
      </c>
      <c r="J358" s="41" t="str">
        <f>RTD("rtdtrading.rtdserver",, "T&amp;T1", "AGR", 350)</f>
        <v>A janela foi fechada</v>
      </c>
    </row>
    <row r="359" spans="1:10" x14ac:dyDescent="0.25">
      <c r="A359" s="46" t="str">
        <f>RTD("rtdtrading.rtdserver",, "T&amp;T2", "DAT", 351)</f>
        <v>A janela foi fechada</v>
      </c>
      <c r="B359" s="29" t="str">
        <f>RTD("rtdtrading.rtdserver",, "T&amp;T2", "PRE", 351)</f>
        <v>A janela foi fechada</v>
      </c>
      <c r="C359" s="30" t="str">
        <f>RTD("rtdtrading.rtdserver",, "T&amp;T2", "QUL", 351)</f>
        <v>A janela foi fechada</v>
      </c>
      <c r="D359" s="30" t="str">
        <f>RTD("rtdtrading.rtdserver",, "T&amp;T2", "AGR", 351)</f>
        <v>A janela foi fechada</v>
      </c>
      <c r="G359" s="38" t="str">
        <f>RTD("rtdtrading.rtdserver",, "T&amp;T1", "DAT", 351)</f>
        <v>A janela foi fechada</v>
      </c>
      <c r="H359" s="39" t="str">
        <f>RTD("rtdtrading.rtdserver",, "T&amp;T1", "PRE", 351)</f>
        <v>A janela foi fechada</v>
      </c>
      <c r="I359" s="40" t="str">
        <f>RTD("rtdtrading.rtdserver",, "T&amp;T1", "QUL", 351)</f>
        <v>A janela foi fechada</v>
      </c>
      <c r="J359" s="41" t="str">
        <f>RTD("rtdtrading.rtdserver",, "T&amp;T1", "AGR", 351)</f>
        <v>A janela foi fechada</v>
      </c>
    </row>
    <row r="360" spans="1:10" x14ac:dyDescent="0.25">
      <c r="A360" s="46" t="str">
        <f>RTD("rtdtrading.rtdserver",, "T&amp;T2", "DAT", 352)</f>
        <v>A janela foi fechada</v>
      </c>
      <c r="B360" s="29" t="str">
        <f>RTD("rtdtrading.rtdserver",, "T&amp;T2", "PRE", 352)</f>
        <v>A janela foi fechada</v>
      </c>
      <c r="C360" s="30" t="str">
        <f>RTD("rtdtrading.rtdserver",, "T&amp;T2", "QUL", 352)</f>
        <v>A janela foi fechada</v>
      </c>
      <c r="D360" s="30" t="str">
        <f>RTD("rtdtrading.rtdserver",, "T&amp;T2", "AGR", 352)</f>
        <v>A janela foi fechada</v>
      </c>
      <c r="G360" s="38" t="str">
        <f>RTD("rtdtrading.rtdserver",, "T&amp;T1", "DAT", 352)</f>
        <v>A janela foi fechada</v>
      </c>
      <c r="H360" s="39" t="str">
        <f>RTD("rtdtrading.rtdserver",, "T&amp;T1", "PRE", 352)</f>
        <v>A janela foi fechada</v>
      </c>
      <c r="I360" s="40" t="str">
        <f>RTD("rtdtrading.rtdserver",, "T&amp;T1", "QUL", 352)</f>
        <v>A janela foi fechada</v>
      </c>
      <c r="J360" s="41" t="str">
        <f>RTD("rtdtrading.rtdserver",, "T&amp;T1", "AGR", 352)</f>
        <v>A janela foi fechada</v>
      </c>
    </row>
    <row r="361" spans="1:10" x14ac:dyDescent="0.25">
      <c r="A361" s="46" t="str">
        <f>RTD("rtdtrading.rtdserver",, "T&amp;T2", "DAT", 353)</f>
        <v>A janela foi fechada</v>
      </c>
      <c r="B361" s="29" t="str">
        <f>RTD("rtdtrading.rtdserver",, "T&amp;T2", "PRE", 353)</f>
        <v>A janela foi fechada</v>
      </c>
      <c r="C361" s="30" t="str">
        <f>RTD("rtdtrading.rtdserver",, "T&amp;T2", "QUL", 353)</f>
        <v>A janela foi fechada</v>
      </c>
      <c r="D361" s="30" t="str">
        <f>RTD("rtdtrading.rtdserver",, "T&amp;T2", "AGR", 353)</f>
        <v>A janela foi fechada</v>
      </c>
      <c r="G361" s="38" t="str">
        <f>RTD("rtdtrading.rtdserver",, "T&amp;T1", "DAT", 353)</f>
        <v>A janela foi fechada</v>
      </c>
      <c r="H361" s="39" t="str">
        <f>RTD("rtdtrading.rtdserver",, "T&amp;T1", "PRE", 353)</f>
        <v>A janela foi fechada</v>
      </c>
      <c r="I361" s="40" t="str">
        <f>RTD("rtdtrading.rtdserver",, "T&amp;T1", "QUL", 353)</f>
        <v>A janela foi fechada</v>
      </c>
      <c r="J361" s="41" t="str">
        <f>RTD("rtdtrading.rtdserver",, "T&amp;T1", "AGR", 353)</f>
        <v>A janela foi fechada</v>
      </c>
    </row>
    <row r="362" spans="1:10" x14ac:dyDescent="0.25">
      <c r="A362" s="46" t="str">
        <f>RTD("rtdtrading.rtdserver",, "T&amp;T2", "DAT", 354)</f>
        <v>A janela foi fechada</v>
      </c>
      <c r="B362" s="29" t="str">
        <f>RTD("rtdtrading.rtdserver",, "T&amp;T2", "PRE", 354)</f>
        <v>A janela foi fechada</v>
      </c>
      <c r="C362" s="30" t="str">
        <f>RTD("rtdtrading.rtdserver",, "T&amp;T2", "QUL", 354)</f>
        <v>A janela foi fechada</v>
      </c>
      <c r="D362" s="30" t="str">
        <f>RTD("rtdtrading.rtdserver",, "T&amp;T2", "AGR", 354)</f>
        <v>A janela foi fechada</v>
      </c>
      <c r="G362" s="38" t="str">
        <f>RTD("rtdtrading.rtdserver",, "T&amp;T1", "DAT", 354)</f>
        <v>A janela foi fechada</v>
      </c>
      <c r="H362" s="39" t="str">
        <f>RTD("rtdtrading.rtdserver",, "T&amp;T1", "PRE", 354)</f>
        <v>A janela foi fechada</v>
      </c>
      <c r="I362" s="40" t="str">
        <f>RTD("rtdtrading.rtdserver",, "T&amp;T1", "QUL", 354)</f>
        <v>A janela foi fechada</v>
      </c>
      <c r="J362" s="41" t="str">
        <f>RTD("rtdtrading.rtdserver",, "T&amp;T1", "AGR", 354)</f>
        <v>A janela foi fechada</v>
      </c>
    </row>
    <row r="363" spans="1:10" x14ac:dyDescent="0.25">
      <c r="A363" s="46" t="str">
        <f>RTD("rtdtrading.rtdserver",, "T&amp;T2", "DAT", 355)</f>
        <v>A janela foi fechada</v>
      </c>
      <c r="B363" s="29" t="str">
        <f>RTD("rtdtrading.rtdserver",, "T&amp;T2", "PRE", 355)</f>
        <v>A janela foi fechada</v>
      </c>
      <c r="C363" s="30" t="str">
        <f>RTD("rtdtrading.rtdserver",, "T&amp;T2", "QUL", 355)</f>
        <v>A janela foi fechada</v>
      </c>
      <c r="D363" s="30" t="str">
        <f>RTD("rtdtrading.rtdserver",, "T&amp;T2", "AGR", 355)</f>
        <v>A janela foi fechada</v>
      </c>
      <c r="G363" s="38" t="str">
        <f>RTD("rtdtrading.rtdserver",, "T&amp;T1", "DAT", 355)</f>
        <v>A janela foi fechada</v>
      </c>
      <c r="H363" s="39" t="str">
        <f>RTD("rtdtrading.rtdserver",, "T&amp;T1", "PRE", 355)</f>
        <v>A janela foi fechada</v>
      </c>
      <c r="I363" s="40" t="str">
        <f>RTD("rtdtrading.rtdserver",, "T&amp;T1", "QUL", 355)</f>
        <v>A janela foi fechada</v>
      </c>
      <c r="J363" s="41" t="str">
        <f>RTD("rtdtrading.rtdserver",, "T&amp;T1", "AGR", 355)</f>
        <v>A janela foi fechada</v>
      </c>
    </row>
    <row r="364" spans="1:10" x14ac:dyDescent="0.25">
      <c r="A364" s="46" t="str">
        <f>RTD("rtdtrading.rtdserver",, "T&amp;T2", "DAT", 356)</f>
        <v>A janela foi fechada</v>
      </c>
      <c r="B364" s="29" t="str">
        <f>RTD("rtdtrading.rtdserver",, "T&amp;T2", "PRE", 356)</f>
        <v>A janela foi fechada</v>
      </c>
      <c r="C364" s="30" t="str">
        <f>RTD("rtdtrading.rtdserver",, "T&amp;T2", "QUL", 356)</f>
        <v>A janela foi fechada</v>
      </c>
      <c r="D364" s="30" t="str">
        <f>RTD("rtdtrading.rtdserver",, "T&amp;T2", "AGR", 356)</f>
        <v>A janela foi fechada</v>
      </c>
      <c r="G364" s="38" t="str">
        <f>RTD("rtdtrading.rtdserver",, "T&amp;T1", "DAT", 356)</f>
        <v>A janela foi fechada</v>
      </c>
      <c r="H364" s="39" t="str">
        <f>RTD("rtdtrading.rtdserver",, "T&amp;T1", "PRE", 356)</f>
        <v>A janela foi fechada</v>
      </c>
      <c r="I364" s="40" t="str">
        <f>RTD("rtdtrading.rtdserver",, "T&amp;T1", "QUL", 356)</f>
        <v>A janela foi fechada</v>
      </c>
      <c r="J364" s="41" t="str">
        <f>RTD("rtdtrading.rtdserver",, "T&amp;T1", "AGR", 356)</f>
        <v>A janela foi fechada</v>
      </c>
    </row>
    <row r="365" spans="1:10" x14ac:dyDescent="0.25">
      <c r="A365" s="46" t="str">
        <f>RTD("rtdtrading.rtdserver",, "T&amp;T2", "DAT", 357)</f>
        <v>A janela foi fechada</v>
      </c>
      <c r="B365" s="29" t="str">
        <f>RTD("rtdtrading.rtdserver",, "T&amp;T2", "PRE", 357)</f>
        <v>A janela foi fechada</v>
      </c>
      <c r="C365" s="30" t="str">
        <f>RTD("rtdtrading.rtdserver",, "T&amp;T2", "QUL", 357)</f>
        <v>A janela foi fechada</v>
      </c>
      <c r="D365" s="30" t="str">
        <f>RTD("rtdtrading.rtdserver",, "T&amp;T2", "AGR", 357)</f>
        <v>A janela foi fechada</v>
      </c>
      <c r="G365" s="38" t="str">
        <f>RTD("rtdtrading.rtdserver",, "T&amp;T1", "DAT", 357)</f>
        <v>A janela foi fechada</v>
      </c>
      <c r="H365" s="39" t="str">
        <f>RTD("rtdtrading.rtdserver",, "T&amp;T1", "PRE", 357)</f>
        <v>A janela foi fechada</v>
      </c>
      <c r="I365" s="40" t="str">
        <f>RTD("rtdtrading.rtdserver",, "T&amp;T1", "QUL", 357)</f>
        <v>A janela foi fechada</v>
      </c>
      <c r="J365" s="41" t="str">
        <f>RTD("rtdtrading.rtdserver",, "T&amp;T1", "AGR", 357)</f>
        <v>A janela foi fechada</v>
      </c>
    </row>
    <row r="366" spans="1:10" x14ac:dyDescent="0.25">
      <c r="A366" s="46" t="str">
        <f>RTD("rtdtrading.rtdserver",, "T&amp;T2", "DAT", 358)</f>
        <v>A janela foi fechada</v>
      </c>
      <c r="B366" s="29" t="str">
        <f>RTD("rtdtrading.rtdserver",, "T&amp;T2", "PRE", 358)</f>
        <v>A janela foi fechada</v>
      </c>
      <c r="C366" s="30" t="str">
        <f>RTD("rtdtrading.rtdserver",, "T&amp;T2", "QUL", 358)</f>
        <v>A janela foi fechada</v>
      </c>
      <c r="D366" s="30" t="str">
        <f>RTD("rtdtrading.rtdserver",, "T&amp;T2", "AGR", 358)</f>
        <v>A janela foi fechada</v>
      </c>
      <c r="G366" s="38" t="str">
        <f>RTD("rtdtrading.rtdserver",, "T&amp;T1", "DAT", 358)</f>
        <v>A janela foi fechada</v>
      </c>
      <c r="H366" s="39" t="str">
        <f>RTD("rtdtrading.rtdserver",, "T&amp;T1", "PRE", 358)</f>
        <v>A janela foi fechada</v>
      </c>
      <c r="I366" s="40" t="str">
        <f>RTD("rtdtrading.rtdserver",, "T&amp;T1", "QUL", 358)</f>
        <v>A janela foi fechada</v>
      </c>
      <c r="J366" s="41" t="str">
        <f>RTD("rtdtrading.rtdserver",, "T&amp;T1", "AGR", 358)</f>
        <v>A janela foi fechada</v>
      </c>
    </row>
    <row r="367" spans="1:10" x14ac:dyDescent="0.25">
      <c r="A367" s="46" t="str">
        <f>RTD("rtdtrading.rtdserver",, "T&amp;T2", "DAT", 359)</f>
        <v>A janela foi fechada</v>
      </c>
      <c r="B367" s="29" t="str">
        <f>RTD("rtdtrading.rtdserver",, "T&amp;T2", "PRE", 359)</f>
        <v>A janela foi fechada</v>
      </c>
      <c r="C367" s="30" t="str">
        <f>RTD("rtdtrading.rtdserver",, "T&amp;T2", "QUL", 359)</f>
        <v>A janela foi fechada</v>
      </c>
      <c r="D367" s="30" t="str">
        <f>RTD("rtdtrading.rtdserver",, "T&amp;T2", "AGR", 359)</f>
        <v>A janela foi fechada</v>
      </c>
      <c r="G367" s="38" t="str">
        <f>RTD("rtdtrading.rtdserver",, "T&amp;T1", "DAT", 359)</f>
        <v>A janela foi fechada</v>
      </c>
      <c r="H367" s="39" t="str">
        <f>RTD("rtdtrading.rtdserver",, "T&amp;T1", "PRE", 359)</f>
        <v>A janela foi fechada</v>
      </c>
      <c r="I367" s="40" t="str">
        <f>RTD("rtdtrading.rtdserver",, "T&amp;T1", "QUL", 359)</f>
        <v>A janela foi fechada</v>
      </c>
      <c r="J367" s="41" t="str">
        <f>RTD("rtdtrading.rtdserver",, "T&amp;T1", "AGR", 359)</f>
        <v>A janela foi fechada</v>
      </c>
    </row>
    <row r="368" spans="1:10" x14ac:dyDescent="0.25">
      <c r="A368" s="46" t="str">
        <f>RTD("rtdtrading.rtdserver",, "T&amp;T2", "DAT", 360)</f>
        <v>A janela foi fechada</v>
      </c>
      <c r="B368" s="29" t="str">
        <f>RTD("rtdtrading.rtdserver",, "T&amp;T2", "PRE", 360)</f>
        <v>A janela foi fechada</v>
      </c>
      <c r="C368" s="30" t="str">
        <f>RTD("rtdtrading.rtdserver",, "T&amp;T2", "QUL", 360)</f>
        <v>A janela foi fechada</v>
      </c>
      <c r="D368" s="30" t="str">
        <f>RTD("rtdtrading.rtdserver",, "T&amp;T2", "AGR", 360)</f>
        <v>A janela foi fechada</v>
      </c>
      <c r="G368" s="38" t="str">
        <f>RTD("rtdtrading.rtdserver",, "T&amp;T1", "DAT", 360)</f>
        <v>A janela foi fechada</v>
      </c>
      <c r="H368" s="39" t="str">
        <f>RTD("rtdtrading.rtdserver",, "T&amp;T1", "PRE", 360)</f>
        <v>A janela foi fechada</v>
      </c>
      <c r="I368" s="40" t="str">
        <f>RTD("rtdtrading.rtdserver",, "T&amp;T1", "QUL", 360)</f>
        <v>A janela foi fechada</v>
      </c>
      <c r="J368" s="41" t="str">
        <f>RTD("rtdtrading.rtdserver",, "T&amp;T1", "AGR", 360)</f>
        <v>A janela foi fechada</v>
      </c>
    </row>
    <row r="369" spans="1:10" x14ac:dyDescent="0.25">
      <c r="A369" s="46" t="str">
        <f>RTD("rtdtrading.rtdserver",, "T&amp;T2", "DAT", 361)</f>
        <v>A janela foi fechada</v>
      </c>
      <c r="B369" s="29" t="str">
        <f>RTD("rtdtrading.rtdserver",, "T&amp;T2", "PRE", 361)</f>
        <v>A janela foi fechada</v>
      </c>
      <c r="C369" s="30" t="str">
        <f>RTD("rtdtrading.rtdserver",, "T&amp;T2", "QUL", 361)</f>
        <v>A janela foi fechada</v>
      </c>
      <c r="D369" s="30" t="str">
        <f>RTD("rtdtrading.rtdserver",, "T&amp;T2", "AGR", 361)</f>
        <v>A janela foi fechada</v>
      </c>
      <c r="G369" s="38" t="str">
        <f>RTD("rtdtrading.rtdserver",, "T&amp;T1", "DAT", 361)</f>
        <v>A janela foi fechada</v>
      </c>
      <c r="H369" s="39" t="str">
        <f>RTD("rtdtrading.rtdserver",, "T&amp;T1", "PRE", 361)</f>
        <v>A janela foi fechada</v>
      </c>
      <c r="I369" s="40" t="str">
        <f>RTD("rtdtrading.rtdserver",, "T&amp;T1", "QUL", 361)</f>
        <v>A janela foi fechada</v>
      </c>
      <c r="J369" s="41" t="str">
        <f>RTD("rtdtrading.rtdserver",, "T&amp;T1", "AGR", 361)</f>
        <v>A janela foi fechada</v>
      </c>
    </row>
    <row r="370" spans="1:10" x14ac:dyDescent="0.25">
      <c r="A370" s="46" t="str">
        <f>RTD("rtdtrading.rtdserver",, "T&amp;T2", "DAT", 362)</f>
        <v>A janela foi fechada</v>
      </c>
      <c r="B370" s="29" t="str">
        <f>RTD("rtdtrading.rtdserver",, "T&amp;T2", "PRE", 362)</f>
        <v>A janela foi fechada</v>
      </c>
      <c r="C370" s="30" t="str">
        <f>RTD("rtdtrading.rtdserver",, "T&amp;T2", "QUL", 362)</f>
        <v>A janela foi fechada</v>
      </c>
      <c r="D370" s="30" t="str">
        <f>RTD("rtdtrading.rtdserver",, "T&amp;T2", "AGR", 362)</f>
        <v>A janela foi fechada</v>
      </c>
      <c r="G370" s="38" t="str">
        <f>RTD("rtdtrading.rtdserver",, "T&amp;T1", "DAT", 362)</f>
        <v>A janela foi fechada</v>
      </c>
      <c r="H370" s="39" t="str">
        <f>RTD("rtdtrading.rtdserver",, "T&amp;T1", "PRE", 362)</f>
        <v>A janela foi fechada</v>
      </c>
      <c r="I370" s="40" t="str">
        <f>RTD("rtdtrading.rtdserver",, "T&amp;T1", "QUL", 362)</f>
        <v>A janela foi fechada</v>
      </c>
      <c r="J370" s="41" t="str">
        <f>RTD("rtdtrading.rtdserver",, "T&amp;T1", "AGR", 362)</f>
        <v>A janela foi fechada</v>
      </c>
    </row>
    <row r="371" spans="1:10" x14ac:dyDescent="0.25">
      <c r="A371" s="46" t="str">
        <f>RTD("rtdtrading.rtdserver",, "T&amp;T2", "DAT", 363)</f>
        <v>A janela foi fechada</v>
      </c>
      <c r="B371" s="29" t="str">
        <f>RTD("rtdtrading.rtdserver",, "T&amp;T2", "PRE", 363)</f>
        <v>A janela foi fechada</v>
      </c>
      <c r="C371" s="30" t="str">
        <f>RTD("rtdtrading.rtdserver",, "T&amp;T2", "QUL", 363)</f>
        <v>A janela foi fechada</v>
      </c>
      <c r="D371" s="30" t="str">
        <f>RTD("rtdtrading.rtdserver",, "T&amp;T2", "AGR", 363)</f>
        <v>A janela foi fechada</v>
      </c>
      <c r="G371" s="38" t="str">
        <f>RTD("rtdtrading.rtdserver",, "T&amp;T1", "DAT", 363)</f>
        <v>A janela foi fechada</v>
      </c>
      <c r="H371" s="39" t="str">
        <f>RTD("rtdtrading.rtdserver",, "T&amp;T1", "PRE", 363)</f>
        <v>A janela foi fechada</v>
      </c>
      <c r="I371" s="40" t="str">
        <f>RTD("rtdtrading.rtdserver",, "T&amp;T1", "QUL", 363)</f>
        <v>A janela foi fechada</v>
      </c>
      <c r="J371" s="41" t="str">
        <f>RTD("rtdtrading.rtdserver",, "T&amp;T1", "AGR", 363)</f>
        <v>A janela foi fechada</v>
      </c>
    </row>
    <row r="372" spans="1:10" x14ac:dyDescent="0.25">
      <c r="A372" s="46" t="str">
        <f>RTD("rtdtrading.rtdserver",, "T&amp;T2", "DAT", 364)</f>
        <v>A janela foi fechada</v>
      </c>
      <c r="B372" s="29" t="str">
        <f>RTD("rtdtrading.rtdserver",, "T&amp;T2", "PRE", 364)</f>
        <v>A janela foi fechada</v>
      </c>
      <c r="C372" s="30" t="str">
        <f>RTD("rtdtrading.rtdserver",, "T&amp;T2", "QUL", 364)</f>
        <v>A janela foi fechada</v>
      </c>
      <c r="D372" s="30" t="str">
        <f>RTD("rtdtrading.rtdserver",, "T&amp;T2", "AGR", 364)</f>
        <v>A janela foi fechada</v>
      </c>
      <c r="G372" s="38" t="str">
        <f>RTD("rtdtrading.rtdserver",, "T&amp;T1", "DAT", 364)</f>
        <v>A janela foi fechada</v>
      </c>
      <c r="H372" s="39" t="str">
        <f>RTD("rtdtrading.rtdserver",, "T&amp;T1", "PRE", 364)</f>
        <v>A janela foi fechada</v>
      </c>
      <c r="I372" s="40" t="str">
        <f>RTD("rtdtrading.rtdserver",, "T&amp;T1", "QUL", 364)</f>
        <v>A janela foi fechada</v>
      </c>
      <c r="J372" s="41" t="str">
        <f>RTD("rtdtrading.rtdserver",, "T&amp;T1", "AGR", 364)</f>
        <v>A janela foi fechada</v>
      </c>
    </row>
    <row r="373" spans="1:10" x14ac:dyDescent="0.25">
      <c r="A373" s="46" t="str">
        <f>RTD("rtdtrading.rtdserver",, "T&amp;T2", "DAT", 365)</f>
        <v>A janela foi fechada</v>
      </c>
      <c r="B373" s="29" t="str">
        <f>RTD("rtdtrading.rtdserver",, "T&amp;T2", "PRE", 365)</f>
        <v>A janela foi fechada</v>
      </c>
      <c r="C373" s="30" t="str">
        <f>RTD("rtdtrading.rtdserver",, "T&amp;T2", "QUL", 365)</f>
        <v>A janela foi fechada</v>
      </c>
      <c r="D373" s="30" t="str">
        <f>RTD("rtdtrading.rtdserver",, "T&amp;T2", "AGR", 365)</f>
        <v>A janela foi fechada</v>
      </c>
      <c r="G373" s="38" t="str">
        <f>RTD("rtdtrading.rtdserver",, "T&amp;T1", "DAT", 365)</f>
        <v>A janela foi fechada</v>
      </c>
      <c r="H373" s="39" t="str">
        <f>RTD("rtdtrading.rtdserver",, "T&amp;T1", "PRE", 365)</f>
        <v>A janela foi fechada</v>
      </c>
      <c r="I373" s="40" t="str">
        <f>RTD("rtdtrading.rtdserver",, "T&amp;T1", "QUL", 365)</f>
        <v>A janela foi fechada</v>
      </c>
      <c r="J373" s="41" t="str">
        <f>RTD("rtdtrading.rtdserver",, "T&amp;T1", "AGR", 365)</f>
        <v>A janela foi fechada</v>
      </c>
    </row>
    <row r="374" spans="1:10" x14ac:dyDescent="0.25">
      <c r="A374" s="46" t="str">
        <f>RTD("rtdtrading.rtdserver",, "T&amp;T2", "DAT", 366)</f>
        <v>A janela foi fechada</v>
      </c>
      <c r="B374" s="29" t="str">
        <f>RTD("rtdtrading.rtdserver",, "T&amp;T2", "PRE", 366)</f>
        <v>A janela foi fechada</v>
      </c>
      <c r="C374" s="30" t="str">
        <f>RTD("rtdtrading.rtdserver",, "T&amp;T2", "QUL", 366)</f>
        <v>A janela foi fechada</v>
      </c>
      <c r="D374" s="30" t="str">
        <f>RTD("rtdtrading.rtdserver",, "T&amp;T2", "AGR", 366)</f>
        <v>A janela foi fechada</v>
      </c>
      <c r="G374" s="38" t="str">
        <f>RTD("rtdtrading.rtdserver",, "T&amp;T1", "DAT", 366)</f>
        <v>A janela foi fechada</v>
      </c>
      <c r="H374" s="39" t="str">
        <f>RTD("rtdtrading.rtdserver",, "T&amp;T1", "PRE", 366)</f>
        <v>A janela foi fechada</v>
      </c>
      <c r="I374" s="40" t="str">
        <f>RTD("rtdtrading.rtdserver",, "T&amp;T1", "QUL", 366)</f>
        <v>A janela foi fechada</v>
      </c>
      <c r="J374" s="41" t="str">
        <f>RTD("rtdtrading.rtdserver",, "T&amp;T1", "AGR", 366)</f>
        <v>A janela foi fechada</v>
      </c>
    </row>
    <row r="375" spans="1:10" x14ac:dyDescent="0.25">
      <c r="A375" s="46" t="str">
        <f>RTD("rtdtrading.rtdserver",, "T&amp;T2", "DAT", 367)</f>
        <v>A janela foi fechada</v>
      </c>
      <c r="B375" s="29" t="str">
        <f>RTD("rtdtrading.rtdserver",, "T&amp;T2", "PRE", 367)</f>
        <v>A janela foi fechada</v>
      </c>
      <c r="C375" s="30" t="str">
        <f>RTD("rtdtrading.rtdserver",, "T&amp;T2", "QUL", 367)</f>
        <v>A janela foi fechada</v>
      </c>
      <c r="D375" s="30" t="str">
        <f>RTD("rtdtrading.rtdserver",, "T&amp;T2", "AGR", 367)</f>
        <v>A janela foi fechada</v>
      </c>
      <c r="G375" s="38" t="str">
        <f>RTD("rtdtrading.rtdserver",, "T&amp;T1", "DAT", 367)</f>
        <v>A janela foi fechada</v>
      </c>
      <c r="H375" s="39" t="str">
        <f>RTD("rtdtrading.rtdserver",, "T&amp;T1", "PRE", 367)</f>
        <v>A janela foi fechada</v>
      </c>
      <c r="I375" s="40" t="str">
        <f>RTD("rtdtrading.rtdserver",, "T&amp;T1", "QUL", 367)</f>
        <v>A janela foi fechada</v>
      </c>
      <c r="J375" s="41" t="str">
        <f>RTD("rtdtrading.rtdserver",, "T&amp;T1", "AGR", 367)</f>
        <v>A janela foi fechada</v>
      </c>
    </row>
    <row r="376" spans="1:10" x14ac:dyDescent="0.25">
      <c r="A376" s="46" t="str">
        <f>RTD("rtdtrading.rtdserver",, "T&amp;T2", "DAT", 368)</f>
        <v>A janela foi fechada</v>
      </c>
      <c r="B376" s="29" t="str">
        <f>RTD("rtdtrading.rtdserver",, "T&amp;T2", "PRE", 368)</f>
        <v>A janela foi fechada</v>
      </c>
      <c r="C376" s="30" t="str">
        <f>RTD("rtdtrading.rtdserver",, "T&amp;T2", "QUL", 368)</f>
        <v>A janela foi fechada</v>
      </c>
      <c r="D376" s="30" t="str">
        <f>RTD("rtdtrading.rtdserver",, "T&amp;T2", "AGR", 368)</f>
        <v>A janela foi fechada</v>
      </c>
      <c r="G376" s="38" t="str">
        <f>RTD("rtdtrading.rtdserver",, "T&amp;T1", "DAT", 368)</f>
        <v>A janela foi fechada</v>
      </c>
      <c r="H376" s="39" t="str">
        <f>RTD("rtdtrading.rtdserver",, "T&amp;T1", "PRE", 368)</f>
        <v>A janela foi fechada</v>
      </c>
      <c r="I376" s="40" t="str">
        <f>RTD("rtdtrading.rtdserver",, "T&amp;T1", "QUL", 368)</f>
        <v>A janela foi fechada</v>
      </c>
      <c r="J376" s="41" t="str">
        <f>RTD("rtdtrading.rtdserver",, "T&amp;T1", "AGR", 368)</f>
        <v>A janela foi fechada</v>
      </c>
    </row>
    <row r="377" spans="1:10" x14ac:dyDescent="0.25">
      <c r="A377" s="46" t="str">
        <f>RTD("rtdtrading.rtdserver",, "T&amp;T2", "DAT", 369)</f>
        <v>A janela foi fechada</v>
      </c>
      <c r="B377" s="29" t="str">
        <f>RTD("rtdtrading.rtdserver",, "T&amp;T2", "PRE", 369)</f>
        <v>A janela foi fechada</v>
      </c>
      <c r="C377" s="30" t="str">
        <f>RTD("rtdtrading.rtdserver",, "T&amp;T2", "QUL", 369)</f>
        <v>A janela foi fechada</v>
      </c>
      <c r="D377" s="30" t="str">
        <f>RTD("rtdtrading.rtdserver",, "T&amp;T2", "AGR", 369)</f>
        <v>A janela foi fechada</v>
      </c>
      <c r="G377" s="38" t="str">
        <f>RTD("rtdtrading.rtdserver",, "T&amp;T1", "DAT", 369)</f>
        <v>A janela foi fechada</v>
      </c>
      <c r="H377" s="39" t="str">
        <f>RTD("rtdtrading.rtdserver",, "T&amp;T1", "PRE", 369)</f>
        <v>A janela foi fechada</v>
      </c>
      <c r="I377" s="40" t="str">
        <f>RTD("rtdtrading.rtdserver",, "T&amp;T1", "QUL", 369)</f>
        <v>A janela foi fechada</v>
      </c>
      <c r="J377" s="41" t="str">
        <f>RTD("rtdtrading.rtdserver",, "T&amp;T1", "AGR", 369)</f>
        <v>A janela foi fechada</v>
      </c>
    </row>
    <row r="378" spans="1:10" x14ac:dyDescent="0.25">
      <c r="A378" s="46" t="str">
        <f>RTD("rtdtrading.rtdserver",, "T&amp;T2", "DAT", 370)</f>
        <v>A janela foi fechada</v>
      </c>
      <c r="B378" s="29" t="str">
        <f>RTD("rtdtrading.rtdserver",, "T&amp;T2", "PRE", 370)</f>
        <v>A janela foi fechada</v>
      </c>
      <c r="C378" s="30" t="str">
        <f>RTD("rtdtrading.rtdserver",, "T&amp;T2", "QUL", 370)</f>
        <v>A janela foi fechada</v>
      </c>
      <c r="D378" s="30" t="str">
        <f>RTD("rtdtrading.rtdserver",, "T&amp;T2", "AGR", 370)</f>
        <v>A janela foi fechada</v>
      </c>
      <c r="G378" s="38" t="str">
        <f>RTD("rtdtrading.rtdserver",, "T&amp;T1", "DAT", 370)</f>
        <v>A janela foi fechada</v>
      </c>
      <c r="H378" s="39" t="str">
        <f>RTD("rtdtrading.rtdserver",, "T&amp;T1", "PRE", 370)</f>
        <v>A janela foi fechada</v>
      </c>
      <c r="I378" s="40" t="str">
        <f>RTD("rtdtrading.rtdserver",, "T&amp;T1", "QUL", 370)</f>
        <v>A janela foi fechada</v>
      </c>
      <c r="J378" s="41" t="str">
        <f>RTD("rtdtrading.rtdserver",, "T&amp;T1", "AGR", 370)</f>
        <v>A janela foi fechada</v>
      </c>
    </row>
    <row r="379" spans="1:10" x14ac:dyDescent="0.25">
      <c r="A379" s="46" t="str">
        <f>RTD("rtdtrading.rtdserver",, "T&amp;T2", "DAT", 371)</f>
        <v>A janela foi fechada</v>
      </c>
      <c r="B379" s="29" t="str">
        <f>RTD("rtdtrading.rtdserver",, "T&amp;T2", "PRE", 371)</f>
        <v>A janela foi fechada</v>
      </c>
      <c r="C379" s="30" t="str">
        <f>RTD("rtdtrading.rtdserver",, "T&amp;T2", "QUL", 371)</f>
        <v>A janela foi fechada</v>
      </c>
      <c r="D379" s="30" t="str">
        <f>RTD("rtdtrading.rtdserver",, "T&amp;T2", "AGR", 371)</f>
        <v>A janela foi fechada</v>
      </c>
      <c r="G379" s="38" t="str">
        <f>RTD("rtdtrading.rtdserver",, "T&amp;T1", "DAT", 371)</f>
        <v>A janela foi fechada</v>
      </c>
      <c r="H379" s="39" t="str">
        <f>RTD("rtdtrading.rtdserver",, "T&amp;T1", "PRE", 371)</f>
        <v>A janela foi fechada</v>
      </c>
      <c r="I379" s="40" t="str">
        <f>RTD("rtdtrading.rtdserver",, "T&amp;T1", "QUL", 371)</f>
        <v>A janela foi fechada</v>
      </c>
      <c r="J379" s="41" t="str">
        <f>RTD("rtdtrading.rtdserver",, "T&amp;T1", "AGR", 371)</f>
        <v>A janela foi fechada</v>
      </c>
    </row>
    <row r="380" spans="1:10" x14ac:dyDescent="0.25">
      <c r="A380" s="46" t="str">
        <f>RTD("rtdtrading.rtdserver",, "T&amp;T2", "DAT", 372)</f>
        <v>A janela foi fechada</v>
      </c>
      <c r="B380" s="29" t="str">
        <f>RTD("rtdtrading.rtdserver",, "T&amp;T2", "PRE", 372)</f>
        <v>A janela foi fechada</v>
      </c>
      <c r="C380" s="30" t="str">
        <f>RTD("rtdtrading.rtdserver",, "T&amp;T2", "QUL", 372)</f>
        <v>A janela foi fechada</v>
      </c>
      <c r="D380" s="30" t="str">
        <f>RTD("rtdtrading.rtdserver",, "T&amp;T2", "AGR", 372)</f>
        <v>A janela foi fechada</v>
      </c>
      <c r="G380" s="38" t="str">
        <f>RTD("rtdtrading.rtdserver",, "T&amp;T1", "DAT", 372)</f>
        <v>A janela foi fechada</v>
      </c>
      <c r="H380" s="39" t="str">
        <f>RTD("rtdtrading.rtdserver",, "T&amp;T1", "PRE", 372)</f>
        <v>A janela foi fechada</v>
      </c>
      <c r="I380" s="40" t="str">
        <f>RTD("rtdtrading.rtdserver",, "T&amp;T1", "QUL", 372)</f>
        <v>A janela foi fechada</v>
      </c>
      <c r="J380" s="41" t="str">
        <f>RTD("rtdtrading.rtdserver",, "T&amp;T1", "AGR", 372)</f>
        <v>A janela foi fechada</v>
      </c>
    </row>
    <row r="381" spans="1:10" x14ac:dyDescent="0.25">
      <c r="A381" s="46" t="str">
        <f>RTD("rtdtrading.rtdserver",, "T&amp;T2", "DAT", 373)</f>
        <v>A janela foi fechada</v>
      </c>
      <c r="B381" s="29" t="str">
        <f>RTD("rtdtrading.rtdserver",, "T&amp;T2", "PRE", 373)</f>
        <v>A janela foi fechada</v>
      </c>
      <c r="C381" s="30" t="str">
        <f>RTD("rtdtrading.rtdserver",, "T&amp;T2", "QUL", 373)</f>
        <v>A janela foi fechada</v>
      </c>
      <c r="D381" s="30" t="str">
        <f>RTD("rtdtrading.rtdserver",, "T&amp;T2", "AGR", 373)</f>
        <v>A janela foi fechada</v>
      </c>
      <c r="G381" s="38" t="str">
        <f>RTD("rtdtrading.rtdserver",, "T&amp;T1", "DAT", 373)</f>
        <v>A janela foi fechada</v>
      </c>
      <c r="H381" s="39" t="str">
        <f>RTD("rtdtrading.rtdserver",, "T&amp;T1", "PRE", 373)</f>
        <v>A janela foi fechada</v>
      </c>
      <c r="I381" s="40" t="str">
        <f>RTD("rtdtrading.rtdserver",, "T&amp;T1", "QUL", 373)</f>
        <v>A janela foi fechada</v>
      </c>
      <c r="J381" s="41" t="str">
        <f>RTD("rtdtrading.rtdserver",, "T&amp;T1", "AGR", 373)</f>
        <v>A janela foi fechada</v>
      </c>
    </row>
    <row r="382" spans="1:10" x14ac:dyDescent="0.25">
      <c r="A382" s="46" t="str">
        <f>RTD("rtdtrading.rtdserver",, "T&amp;T2", "DAT", 374)</f>
        <v>A janela foi fechada</v>
      </c>
      <c r="B382" s="29" t="str">
        <f>RTD("rtdtrading.rtdserver",, "T&amp;T2", "PRE", 374)</f>
        <v>A janela foi fechada</v>
      </c>
      <c r="C382" s="30" t="str">
        <f>RTD("rtdtrading.rtdserver",, "T&amp;T2", "QUL", 374)</f>
        <v>A janela foi fechada</v>
      </c>
      <c r="D382" s="30" t="str">
        <f>RTD("rtdtrading.rtdserver",, "T&amp;T2", "AGR", 374)</f>
        <v>A janela foi fechada</v>
      </c>
      <c r="G382" s="38" t="str">
        <f>RTD("rtdtrading.rtdserver",, "T&amp;T1", "DAT", 374)</f>
        <v>A janela foi fechada</v>
      </c>
      <c r="H382" s="39" t="str">
        <f>RTD("rtdtrading.rtdserver",, "T&amp;T1", "PRE", 374)</f>
        <v>A janela foi fechada</v>
      </c>
      <c r="I382" s="40" t="str">
        <f>RTD("rtdtrading.rtdserver",, "T&amp;T1", "QUL", 374)</f>
        <v>A janela foi fechada</v>
      </c>
      <c r="J382" s="41" t="str">
        <f>RTD("rtdtrading.rtdserver",, "T&amp;T1", "AGR", 374)</f>
        <v>A janela foi fechada</v>
      </c>
    </row>
    <row r="383" spans="1:10" x14ac:dyDescent="0.25">
      <c r="A383" s="46" t="str">
        <f>RTD("rtdtrading.rtdserver",, "T&amp;T2", "DAT", 375)</f>
        <v>A janela foi fechada</v>
      </c>
      <c r="B383" s="29" t="str">
        <f>RTD("rtdtrading.rtdserver",, "T&amp;T2", "PRE", 375)</f>
        <v>A janela foi fechada</v>
      </c>
      <c r="C383" s="30" t="str">
        <f>RTD("rtdtrading.rtdserver",, "T&amp;T2", "QUL", 375)</f>
        <v>A janela foi fechada</v>
      </c>
      <c r="D383" s="30" t="str">
        <f>RTD("rtdtrading.rtdserver",, "T&amp;T2", "AGR", 375)</f>
        <v>A janela foi fechada</v>
      </c>
      <c r="G383" s="38" t="str">
        <f>RTD("rtdtrading.rtdserver",, "T&amp;T1", "DAT", 375)</f>
        <v>A janela foi fechada</v>
      </c>
      <c r="H383" s="39" t="str">
        <f>RTD("rtdtrading.rtdserver",, "T&amp;T1", "PRE", 375)</f>
        <v>A janela foi fechada</v>
      </c>
      <c r="I383" s="40" t="str">
        <f>RTD("rtdtrading.rtdserver",, "T&amp;T1", "QUL", 375)</f>
        <v>A janela foi fechada</v>
      </c>
      <c r="J383" s="41" t="str">
        <f>RTD("rtdtrading.rtdserver",, "T&amp;T1", "AGR", 375)</f>
        <v>A janela foi fechada</v>
      </c>
    </row>
    <row r="384" spans="1:10" x14ac:dyDescent="0.25">
      <c r="A384" s="46" t="str">
        <f>RTD("rtdtrading.rtdserver",, "T&amp;T2", "DAT", 376)</f>
        <v>A janela foi fechada</v>
      </c>
      <c r="B384" s="29" t="str">
        <f>RTD("rtdtrading.rtdserver",, "T&amp;T2", "PRE", 376)</f>
        <v>A janela foi fechada</v>
      </c>
      <c r="C384" s="30" t="str">
        <f>RTD("rtdtrading.rtdserver",, "T&amp;T2", "QUL", 376)</f>
        <v>A janela foi fechada</v>
      </c>
      <c r="D384" s="30" t="str">
        <f>RTD("rtdtrading.rtdserver",, "T&amp;T2", "AGR", 376)</f>
        <v>A janela foi fechada</v>
      </c>
      <c r="G384" s="38" t="str">
        <f>RTD("rtdtrading.rtdserver",, "T&amp;T1", "DAT", 376)</f>
        <v>A janela foi fechada</v>
      </c>
      <c r="H384" s="39" t="str">
        <f>RTD("rtdtrading.rtdserver",, "T&amp;T1", "PRE", 376)</f>
        <v>A janela foi fechada</v>
      </c>
      <c r="I384" s="40" t="str">
        <f>RTD("rtdtrading.rtdserver",, "T&amp;T1", "QUL", 376)</f>
        <v>A janela foi fechada</v>
      </c>
      <c r="J384" s="41" t="str">
        <f>RTD("rtdtrading.rtdserver",, "T&amp;T1", "AGR", 376)</f>
        <v>A janela foi fechada</v>
      </c>
    </row>
    <row r="385" spans="1:10" x14ac:dyDescent="0.25">
      <c r="A385" s="46" t="str">
        <f>RTD("rtdtrading.rtdserver",, "T&amp;T2", "DAT", 377)</f>
        <v>A janela foi fechada</v>
      </c>
      <c r="B385" s="29" t="str">
        <f>RTD("rtdtrading.rtdserver",, "T&amp;T2", "PRE", 377)</f>
        <v>A janela foi fechada</v>
      </c>
      <c r="C385" s="30" t="str">
        <f>RTD("rtdtrading.rtdserver",, "T&amp;T2", "QUL", 377)</f>
        <v>A janela foi fechada</v>
      </c>
      <c r="D385" s="30" t="str">
        <f>RTD("rtdtrading.rtdserver",, "T&amp;T2", "AGR", 377)</f>
        <v>A janela foi fechada</v>
      </c>
      <c r="G385" s="38" t="str">
        <f>RTD("rtdtrading.rtdserver",, "T&amp;T1", "DAT", 377)</f>
        <v>A janela foi fechada</v>
      </c>
      <c r="H385" s="39" t="str">
        <f>RTD("rtdtrading.rtdserver",, "T&amp;T1", "PRE", 377)</f>
        <v>A janela foi fechada</v>
      </c>
      <c r="I385" s="40" t="str">
        <f>RTD("rtdtrading.rtdserver",, "T&amp;T1", "QUL", 377)</f>
        <v>A janela foi fechada</v>
      </c>
      <c r="J385" s="41" t="str">
        <f>RTD("rtdtrading.rtdserver",, "T&amp;T1", "AGR", 377)</f>
        <v>A janela foi fechada</v>
      </c>
    </row>
    <row r="386" spans="1:10" x14ac:dyDescent="0.25">
      <c r="A386" s="46" t="str">
        <f>RTD("rtdtrading.rtdserver",, "T&amp;T2", "DAT", 378)</f>
        <v>A janela foi fechada</v>
      </c>
      <c r="B386" s="29" t="str">
        <f>RTD("rtdtrading.rtdserver",, "T&amp;T2", "PRE", 378)</f>
        <v>A janela foi fechada</v>
      </c>
      <c r="C386" s="30" t="str">
        <f>RTD("rtdtrading.rtdserver",, "T&amp;T2", "QUL", 378)</f>
        <v>A janela foi fechada</v>
      </c>
      <c r="D386" s="30" t="str">
        <f>RTD("rtdtrading.rtdserver",, "T&amp;T2", "AGR", 378)</f>
        <v>A janela foi fechada</v>
      </c>
      <c r="G386" s="38" t="str">
        <f>RTD("rtdtrading.rtdserver",, "T&amp;T1", "DAT", 378)</f>
        <v>A janela foi fechada</v>
      </c>
      <c r="H386" s="39" t="str">
        <f>RTD("rtdtrading.rtdserver",, "T&amp;T1", "PRE", 378)</f>
        <v>A janela foi fechada</v>
      </c>
      <c r="I386" s="40" t="str">
        <f>RTD("rtdtrading.rtdserver",, "T&amp;T1", "QUL", 378)</f>
        <v>A janela foi fechada</v>
      </c>
      <c r="J386" s="41" t="str">
        <f>RTD("rtdtrading.rtdserver",, "T&amp;T1", "AGR", 378)</f>
        <v>A janela foi fechada</v>
      </c>
    </row>
    <row r="387" spans="1:10" x14ac:dyDescent="0.25">
      <c r="A387" s="46" t="str">
        <f>RTD("rtdtrading.rtdserver",, "T&amp;T2", "DAT", 379)</f>
        <v>A janela foi fechada</v>
      </c>
      <c r="B387" s="29" t="str">
        <f>RTD("rtdtrading.rtdserver",, "T&amp;T2", "PRE", 379)</f>
        <v>A janela foi fechada</v>
      </c>
      <c r="C387" s="30" t="str">
        <f>RTD("rtdtrading.rtdserver",, "T&amp;T2", "QUL", 379)</f>
        <v>A janela foi fechada</v>
      </c>
      <c r="D387" s="30" t="str">
        <f>RTD("rtdtrading.rtdserver",, "T&amp;T2", "AGR", 379)</f>
        <v>A janela foi fechada</v>
      </c>
      <c r="G387" s="38" t="str">
        <f>RTD("rtdtrading.rtdserver",, "T&amp;T1", "DAT", 379)</f>
        <v>A janela foi fechada</v>
      </c>
      <c r="H387" s="39" t="str">
        <f>RTD("rtdtrading.rtdserver",, "T&amp;T1", "PRE", 379)</f>
        <v>A janela foi fechada</v>
      </c>
      <c r="I387" s="40" t="str">
        <f>RTD("rtdtrading.rtdserver",, "T&amp;T1", "QUL", 379)</f>
        <v>A janela foi fechada</v>
      </c>
      <c r="J387" s="41" t="str">
        <f>RTD("rtdtrading.rtdserver",, "T&amp;T1", "AGR", 379)</f>
        <v>A janela foi fechada</v>
      </c>
    </row>
    <row r="388" spans="1:10" x14ac:dyDescent="0.25">
      <c r="A388" s="46" t="str">
        <f>RTD("rtdtrading.rtdserver",, "T&amp;T2", "DAT", 380)</f>
        <v>A janela foi fechada</v>
      </c>
      <c r="B388" s="29" t="str">
        <f>RTD("rtdtrading.rtdserver",, "T&amp;T2", "PRE", 380)</f>
        <v>A janela foi fechada</v>
      </c>
      <c r="C388" s="30" t="str">
        <f>RTD("rtdtrading.rtdserver",, "T&amp;T2", "QUL", 380)</f>
        <v>A janela foi fechada</v>
      </c>
      <c r="D388" s="30" t="str">
        <f>RTD("rtdtrading.rtdserver",, "T&amp;T2", "AGR", 380)</f>
        <v>A janela foi fechada</v>
      </c>
      <c r="G388" s="38" t="str">
        <f>RTD("rtdtrading.rtdserver",, "T&amp;T1", "DAT", 380)</f>
        <v>A janela foi fechada</v>
      </c>
      <c r="H388" s="39" t="str">
        <f>RTD("rtdtrading.rtdserver",, "T&amp;T1", "PRE", 380)</f>
        <v>A janela foi fechada</v>
      </c>
      <c r="I388" s="40" t="str">
        <f>RTD("rtdtrading.rtdserver",, "T&amp;T1", "QUL", 380)</f>
        <v>A janela foi fechada</v>
      </c>
      <c r="J388" s="41" t="str">
        <f>RTD("rtdtrading.rtdserver",, "T&amp;T1", "AGR", 380)</f>
        <v>A janela foi fechada</v>
      </c>
    </row>
    <row r="389" spans="1:10" x14ac:dyDescent="0.25">
      <c r="A389" s="46" t="str">
        <f>RTD("rtdtrading.rtdserver",, "T&amp;T2", "DAT", 381)</f>
        <v>A janela foi fechada</v>
      </c>
      <c r="B389" s="29" t="str">
        <f>RTD("rtdtrading.rtdserver",, "T&amp;T2", "PRE", 381)</f>
        <v>A janela foi fechada</v>
      </c>
      <c r="C389" s="30" t="str">
        <f>RTD("rtdtrading.rtdserver",, "T&amp;T2", "QUL", 381)</f>
        <v>A janela foi fechada</v>
      </c>
      <c r="D389" s="30" t="str">
        <f>RTD("rtdtrading.rtdserver",, "T&amp;T2", "AGR", 381)</f>
        <v>A janela foi fechada</v>
      </c>
      <c r="G389" s="38" t="str">
        <f>RTD("rtdtrading.rtdserver",, "T&amp;T1", "DAT", 381)</f>
        <v>A janela foi fechada</v>
      </c>
      <c r="H389" s="39" t="str">
        <f>RTD("rtdtrading.rtdserver",, "T&amp;T1", "PRE", 381)</f>
        <v>A janela foi fechada</v>
      </c>
      <c r="I389" s="40" t="str">
        <f>RTD("rtdtrading.rtdserver",, "T&amp;T1", "QUL", 381)</f>
        <v>A janela foi fechada</v>
      </c>
      <c r="J389" s="41" t="str">
        <f>RTD("rtdtrading.rtdserver",, "T&amp;T1", "AGR", 381)</f>
        <v>A janela foi fechada</v>
      </c>
    </row>
    <row r="390" spans="1:10" x14ac:dyDescent="0.25">
      <c r="A390" s="46" t="str">
        <f>RTD("rtdtrading.rtdserver",, "T&amp;T2", "DAT", 382)</f>
        <v>A janela foi fechada</v>
      </c>
      <c r="B390" s="29" t="str">
        <f>RTD("rtdtrading.rtdserver",, "T&amp;T2", "PRE", 382)</f>
        <v>A janela foi fechada</v>
      </c>
      <c r="C390" s="30" t="str">
        <f>RTD("rtdtrading.rtdserver",, "T&amp;T2", "QUL", 382)</f>
        <v>A janela foi fechada</v>
      </c>
      <c r="D390" s="30" t="str">
        <f>RTD("rtdtrading.rtdserver",, "T&amp;T2", "AGR", 382)</f>
        <v>A janela foi fechada</v>
      </c>
      <c r="G390" s="38" t="str">
        <f>RTD("rtdtrading.rtdserver",, "T&amp;T1", "DAT", 382)</f>
        <v>A janela foi fechada</v>
      </c>
      <c r="H390" s="39" t="str">
        <f>RTD("rtdtrading.rtdserver",, "T&amp;T1", "PRE", 382)</f>
        <v>A janela foi fechada</v>
      </c>
      <c r="I390" s="40" t="str">
        <f>RTD("rtdtrading.rtdserver",, "T&amp;T1", "QUL", 382)</f>
        <v>A janela foi fechada</v>
      </c>
      <c r="J390" s="41" t="str">
        <f>RTD("rtdtrading.rtdserver",, "T&amp;T1", "AGR", 382)</f>
        <v>A janela foi fechada</v>
      </c>
    </row>
    <row r="391" spans="1:10" x14ac:dyDescent="0.25">
      <c r="A391" s="46" t="str">
        <f>RTD("rtdtrading.rtdserver",, "T&amp;T2", "DAT", 383)</f>
        <v>A janela foi fechada</v>
      </c>
      <c r="B391" s="29" t="str">
        <f>RTD("rtdtrading.rtdserver",, "T&amp;T2", "PRE", 383)</f>
        <v>A janela foi fechada</v>
      </c>
      <c r="C391" s="30" t="str">
        <f>RTD("rtdtrading.rtdserver",, "T&amp;T2", "QUL", 383)</f>
        <v>A janela foi fechada</v>
      </c>
      <c r="D391" s="30" t="str">
        <f>RTD("rtdtrading.rtdserver",, "T&amp;T2", "AGR", 383)</f>
        <v>A janela foi fechada</v>
      </c>
      <c r="G391" s="38" t="str">
        <f>RTD("rtdtrading.rtdserver",, "T&amp;T1", "DAT", 383)</f>
        <v>A janela foi fechada</v>
      </c>
      <c r="H391" s="39" t="str">
        <f>RTD("rtdtrading.rtdserver",, "T&amp;T1", "PRE", 383)</f>
        <v>A janela foi fechada</v>
      </c>
      <c r="I391" s="40" t="str">
        <f>RTD("rtdtrading.rtdserver",, "T&amp;T1", "QUL", 383)</f>
        <v>A janela foi fechada</v>
      </c>
      <c r="J391" s="41" t="str">
        <f>RTD("rtdtrading.rtdserver",, "T&amp;T1", "AGR", 383)</f>
        <v>A janela foi fechada</v>
      </c>
    </row>
    <row r="392" spans="1:10" x14ac:dyDescent="0.25">
      <c r="A392" s="46" t="str">
        <f>RTD("rtdtrading.rtdserver",, "T&amp;T2", "DAT", 384)</f>
        <v>A janela foi fechada</v>
      </c>
      <c r="B392" s="29" t="str">
        <f>RTD("rtdtrading.rtdserver",, "T&amp;T2", "PRE", 384)</f>
        <v>A janela foi fechada</v>
      </c>
      <c r="C392" s="30" t="str">
        <f>RTD("rtdtrading.rtdserver",, "T&amp;T2", "QUL", 384)</f>
        <v>A janela foi fechada</v>
      </c>
      <c r="D392" s="30" t="str">
        <f>RTD("rtdtrading.rtdserver",, "T&amp;T2", "AGR", 384)</f>
        <v>A janela foi fechada</v>
      </c>
      <c r="G392" s="38" t="str">
        <f>RTD("rtdtrading.rtdserver",, "T&amp;T1", "DAT", 384)</f>
        <v>A janela foi fechada</v>
      </c>
      <c r="H392" s="39" t="str">
        <f>RTD("rtdtrading.rtdserver",, "T&amp;T1", "PRE", 384)</f>
        <v>A janela foi fechada</v>
      </c>
      <c r="I392" s="40" t="str">
        <f>RTD("rtdtrading.rtdserver",, "T&amp;T1", "QUL", 384)</f>
        <v>A janela foi fechada</v>
      </c>
      <c r="J392" s="41" t="str">
        <f>RTD("rtdtrading.rtdserver",, "T&amp;T1", "AGR", 384)</f>
        <v>A janela foi fechada</v>
      </c>
    </row>
    <row r="393" spans="1:10" x14ac:dyDescent="0.25">
      <c r="A393" s="46" t="str">
        <f>RTD("rtdtrading.rtdserver",, "T&amp;T2", "DAT", 385)</f>
        <v>A janela foi fechada</v>
      </c>
      <c r="B393" s="29" t="str">
        <f>RTD("rtdtrading.rtdserver",, "T&amp;T2", "PRE", 385)</f>
        <v>A janela foi fechada</v>
      </c>
      <c r="C393" s="30" t="str">
        <f>RTD("rtdtrading.rtdserver",, "T&amp;T2", "QUL", 385)</f>
        <v>A janela foi fechada</v>
      </c>
      <c r="D393" s="30" t="str">
        <f>RTD("rtdtrading.rtdserver",, "T&amp;T2", "AGR", 385)</f>
        <v>A janela foi fechada</v>
      </c>
      <c r="G393" s="38" t="str">
        <f>RTD("rtdtrading.rtdserver",, "T&amp;T1", "DAT", 385)</f>
        <v>A janela foi fechada</v>
      </c>
      <c r="H393" s="39" t="str">
        <f>RTD("rtdtrading.rtdserver",, "T&amp;T1", "PRE", 385)</f>
        <v>A janela foi fechada</v>
      </c>
      <c r="I393" s="40" t="str">
        <f>RTD("rtdtrading.rtdserver",, "T&amp;T1", "QUL", 385)</f>
        <v>A janela foi fechada</v>
      </c>
      <c r="J393" s="41" t="str">
        <f>RTD("rtdtrading.rtdserver",, "T&amp;T1", "AGR", 385)</f>
        <v>A janela foi fechada</v>
      </c>
    </row>
    <row r="394" spans="1:10" x14ac:dyDescent="0.25">
      <c r="A394" s="46" t="str">
        <f>RTD("rtdtrading.rtdserver",, "T&amp;T2", "DAT", 386)</f>
        <v>A janela foi fechada</v>
      </c>
      <c r="B394" s="29" t="str">
        <f>RTD("rtdtrading.rtdserver",, "T&amp;T2", "PRE", 386)</f>
        <v>A janela foi fechada</v>
      </c>
      <c r="C394" s="30" t="str">
        <f>RTD("rtdtrading.rtdserver",, "T&amp;T2", "QUL", 386)</f>
        <v>A janela foi fechada</v>
      </c>
      <c r="D394" s="30" t="str">
        <f>RTD("rtdtrading.rtdserver",, "T&amp;T2", "AGR", 386)</f>
        <v>A janela foi fechada</v>
      </c>
      <c r="G394" s="38" t="str">
        <f>RTD("rtdtrading.rtdserver",, "T&amp;T1", "DAT", 386)</f>
        <v>A janela foi fechada</v>
      </c>
      <c r="H394" s="39" t="str">
        <f>RTD("rtdtrading.rtdserver",, "T&amp;T1", "PRE", 386)</f>
        <v>A janela foi fechada</v>
      </c>
      <c r="I394" s="40" t="str">
        <f>RTD("rtdtrading.rtdserver",, "T&amp;T1", "QUL", 386)</f>
        <v>A janela foi fechada</v>
      </c>
      <c r="J394" s="41" t="str">
        <f>RTD("rtdtrading.rtdserver",, "T&amp;T1", "AGR", 386)</f>
        <v>A janela foi fechada</v>
      </c>
    </row>
    <row r="395" spans="1:10" x14ac:dyDescent="0.25">
      <c r="A395" s="46" t="str">
        <f>RTD("rtdtrading.rtdserver",, "T&amp;T2", "DAT", 387)</f>
        <v>A janela foi fechada</v>
      </c>
      <c r="B395" s="29" t="str">
        <f>RTD("rtdtrading.rtdserver",, "T&amp;T2", "PRE", 387)</f>
        <v>A janela foi fechada</v>
      </c>
      <c r="C395" s="30" t="str">
        <f>RTD("rtdtrading.rtdserver",, "T&amp;T2", "QUL", 387)</f>
        <v>A janela foi fechada</v>
      </c>
      <c r="D395" s="30" t="str">
        <f>RTD("rtdtrading.rtdserver",, "T&amp;T2", "AGR", 387)</f>
        <v>A janela foi fechada</v>
      </c>
      <c r="G395" s="38" t="str">
        <f>RTD("rtdtrading.rtdserver",, "T&amp;T1", "DAT", 387)</f>
        <v>A janela foi fechada</v>
      </c>
      <c r="H395" s="39" t="str">
        <f>RTD("rtdtrading.rtdserver",, "T&amp;T1", "PRE", 387)</f>
        <v>A janela foi fechada</v>
      </c>
      <c r="I395" s="40" t="str">
        <f>RTD("rtdtrading.rtdserver",, "T&amp;T1", "QUL", 387)</f>
        <v>A janela foi fechada</v>
      </c>
      <c r="J395" s="41" t="str">
        <f>RTD("rtdtrading.rtdserver",, "T&amp;T1", "AGR", 387)</f>
        <v>A janela foi fechada</v>
      </c>
    </row>
    <row r="396" spans="1:10" x14ac:dyDescent="0.25">
      <c r="A396" s="46" t="str">
        <f>RTD("rtdtrading.rtdserver",, "T&amp;T2", "DAT", 388)</f>
        <v>A janela foi fechada</v>
      </c>
      <c r="B396" s="29" t="str">
        <f>RTD("rtdtrading.rtdserver",, "T&amp;T2", "PRE", 388)</f>
        <v>A janela foi fechada</v>
      </c>
      <c r="C396" s="30" t="str">
        <f>RTD("rtdtrading.rtdserver",, "T&amp;T2", "QUL", 388)</f>
        <v>A janela foi fechada</v>
      </c>
      <c r="D396" s="30" t="str">
        <f>RTD("rtdtrading.rtdserver",, "T&amp;T2", "AGR", 388)</f>
        <v>A janela foi fechada</v>
      </c>
      <c r="G396" s="38" t="str">
        <f>RTD("rtdtrading.rtdserver",, "T&amp;T1", "DAT", 388)</f>
        <v>A janela foi fechada</v>
      </c>
      <c r="H396" s="39" t="str">
        <f>RTD("rtdtrading.rtdserver",, "T&amp;T1", "PRE", 388)</f>
        <v>A janela foi fechada</v>
      </c>
      <c r="I396" s="40" t="str">
        <f>RTD("rtdtrading.rtdserver",, "T&amp;T1", "QUL", 388)</f>
        <v>A janela foi fechada</v>
      </c>
      <c r="J396" s="41" t="str">
        <f>RTD("rtdtrading.rtdserver",, "T&amp;T1", "AGR", 388)</f>
        <v>A janela foi fechada</v>
      </c>
    </row>
    <row r="397" spans="1:10" x14ac:dyDescent="0.25">
      <c r="A397" s="46" t="str">
        <f>RTD("rtdtrading.rtdserver",, "T&amp;T2", "DAT", 389)</f>
        <v>A janela foi fechada</v>
      </c>
      <c r="B397" s="29" t="str">
        <f>RTD("rtdtrading.rtdserver",, "T&amp;T2", "PRE", 389)</f>
        <v>A janela foi fechada</v>
      </c>
      <c r="C397" s="30" t="str">
        <f>RTD("rtdtrading.rtdserver",, "T&amp;T2", "QUL", 389)</f>
        <v>A janela foi fechada</v>
      </c>
      <c r="D397" s="30" t="str">
        <f>RTD("rtdtrading.rtdserver",, "T&amp;T2", "AGR", 389)</f>
        <v>A janela foi fechada</v>
      </c>
      <c r="G397" s="38" t="str">
        <f>RTD("rtdtrading.rtdserver",, "T&amp;T1", "DAT", 389)</f>
        <v>A janela foi fechada</v>
      </c>
      <c r="H397" s="39" t="str">
        <f>RTD("rtdtrading.rtdserver",, "T&amp;T1", "PRE", 389)</f>
        <v>A janela foi fechada</v>
      </c>
      <c r="I397" s="40" t="str">
        <f>RTD("rtdtrading.rtdserver",, "T&amp;T1", "QUL", 389)</f>
        <v>A janela foi fechada</v>
      </c>
      <c r="J397" s="41" t="str">
        <f>RTD("rtdtrading.rtdserver",, "T&amp;T1", "AGR", 389)</f>
        <v>A janela foi fechada</v>
      </c>
    </row>
    <row r="398" spans="1:10" x14ac:dyDescent="0.25">
      <c r="A398" s="46" t="str">
        <f>RTD("rtdtrading.rtdserver",, "T&amp;T2", "DAT", 390)</f>
        <v>A janela foi fechada</v>
      </c>
      <c r="B398" s="29" t="str">
        <f>RTD("rtdtrading.rtdserver",, "T&amp;T2", "PRE", 390)</f>
        <v>A janela foi fechada</v>
      </c>
      <c r="C398" s="30" t="str">
        <f>RTD("rtdtrading.rtdserver",, "T&amp;T2", "QUL", 390)</f>
        <v>A janela foi fechada</v>
      </c>
      <c r="D398" s="30" t="str">
        <f>RTD("rtdtrading.rtdserver",, "T&amp;T2", "AGR", 390)</f>
        <v>A janela foi fechada</v>
      </c>
      <c r="G398" s="38" t="str">
        <f>RTD("rtdtrading.rtdserver",, "T&amp;T1", "DAT", 390)</f>
        <v>A janela foi fechada</v>
      </c>
      <c r="H398" s="39" t="str">
        <f>RTD("rtdtrading.rtdserver",, "T&amp;T1", "PRE", 390)</f>
        <v>A janela foi fechada</v>
      </c>
      <c r="I398" s="40" t="str">
        <f>RTD("rtdtrading.rtdserver",, "T&amp;T1", "QUL", 390)</f>
        <v>A janela foi fechada</v>
      </c>
      <c r="J398" s="41" t="str">
        <f>RTD("rtdtrading.rtdserver",, "T&amp;T1", "AGR", 390)</f>
        <v>A janela foi fechada</v>
      </c>
    </row>
    <row r="399" spans="1:10" x14ac:dyDescent="0.25">
      <c r="A399" s="46" t="str">
        <f>RTD("rtdtrading.rtdserver",, "T&amp;T2", "DAT", 391)</f>
        <v>A janela foi fechada</v>
      </c>
      <c r="B399" s="29" t="str">
        <f>RTD("rtdtrading.rtdserver",, "T&amp;T2", "PRE", 391)</f>
        <v>A janela foi fechada</v>
      </c>
      <c r="C399" s="30" t="str">
        <f>RTD("rtdtrading.rtdserver",, "T&amp;T2", "QUL", 391)</f>
        <v>A janela foi fechada</v>
      </c>
      <c r="D399" s="30" t="str">
        <f>RTD("rtdtrading.rtdserver",, "T&amp;T2", "AGR", 391)</f>
        <v>A janela foi fechada</v>
      </c>
      <c r="G399" s="38" t="str">
        <f>RTD("rtdtrading.rtdserver",, "T&amp;T1", "DAT", 391)</f>
        <v>A janela foi fechada</v>
      </c>
      <c r="H399" s="39" t="str">
        <f>RTD("rtdtrading.rtdserver",, "T&amp;T1", "PRE", 391)</f>
        <v>A janela foi fechada</v>
      </c>
      <c r="I399" s="40" t="str">
        <f>RTD("rtdtrading.rtdserver",, "T&amp;T1", "QUL", 391)</f>
        <v>A janela foi fechada</v>
      </c>
      <c r="J399" s="41" t="str">
        <f>RTD("rtdtrading.rtdserver",, "T&amp;T1", "AGR", 391)</f>
        <v>A janela foi fechada</v>
      </c>
    </row>
    <row r="400" spans="1:10" x14ac:dyDescent="0.25">
      <c r="A400" s="46" t="str">
        <f>RTD("rtdtrading.rtdserver",, "T&amp;T2", "DAT", 392)</f>
        <v>A janela foi fechada</v>
      </c>
      <c r="B400" s="29" t="str">
        <f>RTD("rtdtrading.rtdserver",, "T&amp;T2", "PRE", 392)</f>
        <v>A janela foi fechada</v>
      </c>
      <c r="C400" s="30" t="str">
        <f>RTD("rtdtrading.rtdserver",, "T&amp;T2", "QUL", 392)</f>
        <v>A janela foi fechada</v>
      </c>
      <c r="D400" s="30" t="str">
        <f>RTD("rtdtrading.rtdserver",, "T&amp;T2", "AGR", 392)</f>
        <v>A janela foi fechada</v>
      </c>
      <c r="G400" s="38" t="str">
        <f>RTD("rtdtrading.rtdserver",, "T&amp;T1", "DAT", 392)</f>
        <v>A janela foi fechada</v>
      </c>
      <c r="H400" s="39" t="str">
        <f>RTD("rtdtrading.rtdserver",, "T&amp;T1", "PRE", 392)</f>
        <v>A janela foi fechada</v>
      </c>
      <c r="I400" s="40" t="str">
        <f>RTD("rtdtrading.rtdserver",, "T&amp;T1", "QUL", 392)</f>
        <v>A janela foi fechada</v>
      </c>
      <c r="J400" s="41" t="str">
        <f>RTD("rtdtrading.rtdserver",, "T&amp;T1", "AGR", 392)</f>
        <v>A janela foi fechada</v>
      </c>
    </row>
    <row r="401" spans="1:10" x14ac:dyDescent="0.25">
      <c r="A401" s="46" t="str">
        <f>RTD("rtdtrading.rtdserver",, "T&amp;T2", "DAT", 393)</f>
        <v>A janela foi fechada</v>
      </c>
      <c r="B401" s="29" t="str">
        <f>RTD("rtdtrading.rtdserver",, "T&amp;T2", "PRE", 393)</f>
        <v>A janela foi fechada</v>
      </c>
      <c r="C401" s="30" t="str">
        <f>RTD("rtdtrading.rtdserver",, "T&amp;T2", "QUL", 393)</f>
        <v>A janela foi fechada</v>
      </c>
      <c r="D401" s="30" t="str">
        <f>RTD("rtdtrading.rtdserver",, "T&amp;T2", "AGR", 393)</f>
        <v>A janela foi fechada</v>
      </c>
      <c r="G401" s="38" t="str">
        <f>RTD("rtdtrading.rtdserver",, "T&amp;T1", "DAT", 393)</f>
        <v>A janela foi fechada</v>
      </c>
      <c r="H401" s="39" t="str">
        <f>RTD("rtdtrading.rtdserver",, "T&amp;T1", "PRE", 393)</f>
        <v>A janela foi fechada</v>
      </c>
      <c r="I401" s="40" t="str">
        <f>RTD("rtdtrading.rtdserver",, "T&amp;T1", "QUL", 393)</f>
        <v>A janela foi fechada</v>
      </c>
      <c r="J401" s="41" t="str">
        <f>RTD("rtdtrading.rtdserver",, "T&amp;T1", "AGR", 393)</f>
        <v>A janela foi fechada</v>
      </c>
    </row>
    <row r="402" spans="1:10" x14ac:dyDescent="0.25">
      <c r="A402" s="46" t="str">
        <f>RTD("rtdtrading.rtdserver",, "T&amp;T2", "DAT", 394)</f>
        <v>A janela foi fechada</v>
      </c>
      <c r="B402" s="29" t="str">
        <f>RTD("rtdtrading.rtdserver",, "T&amp;T2", "PRE", 394)</f>
        <v>A janela foi fechada</v>
      </c>
      <c r="C402" s="30" t="str">
        <f>RTD("rtdtrading.rtdserver",, "T&amp;T2", "QUL", 394)</f>
        <v>A janela foi fechada</v>
      </c>
      <c r="D402" s="30" t="str">
        <f>RTD("rtdtrading.rtdserver",, "T&amp;T2", "AGR", 394)</f>
        <v>A janela foi fechada</v>
      </c>
      <c r="G402" s="38" t="str">
        <f>RTD("rtdtrading.rtdserver",, "T&amp;T1", "DAT", 394)</f>
        <v>A janela foi fechada</v>
      </c>
      <c r="H402" s="39" t="str">
        <f>RTD("rtdtrading.rtdserver",, "T&amp;T1", "PRE", 394)</f>
        <v>A janela foi fechada</v>
      </c>
      <c r="I402" s="40" t="str">
        <f>RTD("rtdtrading.rtdserver",, "T&amp;T1", "QUL", 394)</f>
        <v>A janela foi fechada</v>
      </c>
      <c r="J402" s="41" t="str">
        <f>RTD("rtdtrading.rtdserver",, "T&amp;T1", "AGR", 394)</f>
        <v>A janela foi fechada</v>
      </c>
    </row>
    <row r="403" spans="1:10" x14ac:dyDescent="0.25">
      <c r="A403" s="46" t="str">
        <f>RTD("rtdtrading.rtdserver",, "T&amp;T2", "DAT", 395)</f>
        <v>A janela foi fechada</v>
      </c>
      <c r="B403" s="29" t="str">
        <f>RTD("rtdtrading.rtdserver",, "T&amp;T2", "PRE", 395)</f>
        <v>A janela foi fechada</v>
      </c>
      <c r="C403" s="30" t="str">
        <f>RTD("rtdtrading.rtdserver",, "T&amp;T2", "QUL", 395)</f>
        <v>A janela foi fechada</v>
      </c>
      <c r="D403" s="30" t="str">
        <f>RTD("rtdtrading.rtdserver",, "T&amp;T2", "AGR", 395)</f>
        <v>A janela foi fechada</v>
      </c>
      <c r="G403" s="38" t="str">
        <f>RTD("rtdtrading.rtdserver",, "T&amp;T1", "DAT", 395)</f>
        <v>A janela foi fechada</v>
      </c>
      <c r="H403" s="39" t="str">
        <f>RTD("rtdtrading.rtdserver",, "T&amp;T1", "PRE", 395)</f>
        <v>A janela foi fechada</v>
      </c>
      <c r="I403" s="40" t="str">
        <f>RTD("rtdtrading.rtdserver",, "T&amp;T1", "QUL", 395)</f>
        <v>A janela foi fechada</v>
      </c>
      <c r="J403" s="41" t="str">
        <f>RTD("rtdtrading.rtdserver",, "T&amp;T1", "AGR", 395)</f>
        <v>A janela foi fechada</v>
      </c>
    </row>
    <row r="404" spans="1:10" x14ac:dyDescent="0.25">
      <c r="A404" s="46" t="str">
        <f>RTD("rtdtrading.rtdserver",, "T&amp;T2", "DAT", 396)</f>
        <v>A janela foi fechada</v>
      </c>
      <c r="B404" s="29" t="str">
        <f>RTD("rtdtrading.rtdserver",, "T&amp;T2", "PRE", 396)</f>
        <v>A janela foi fechada</v>
      </c>
      <c r="C404" s="30" t="str">
        <f>RTD("rtdtrading.rtdserver",, "T&amp;T2", "QUL", 396)</f>
        <v>A janela foi fechada</v>
      </c>
      <c r="D404" s="30" t="str">
        <f>RTD("rtdtrading.rtdserver",, "T&amp;T2", "AGR", 396)</f>
        <v>A janela foi fechada</v>
      </c>
      <c r="G404" s="38" t="str">
        <f>RTD("rtdtrading.rtdserver",, "T&amp;T1", "DAT", 396)</f>
        <v>A janela foi fechada</v>
      </c>
      <c r="H404" s="39" t="str">
        <f>RTD("rtdtrading.rtdserver",, "T&amp;T1", "PRE", 396)</f>
        <v>A janela foi fechada</v>
      </c>
      <c r="I404" s="40" t="str">
        <f>RTD("rtdtrading.rtdserver",, "T&amp;T1", "QUL", 396)</f>
        <v>A janela foi fechada</v>
      </c>
      <c r="J404" s="41" t="str">
        <f>RTD("rtdtrading.rtdserver",, "T&amp;T1", "AGR", 396)</f>
        <v>A janela foi fechada</v>
      </c>
    </row>
    <row r="405" spans="1:10" x14ac:dyDescent="0.25">
      <c r="A405" s="46" t="str">
        <f>RTD("rtdtrading.rtdserver",, "T&amp;T2", "DAT", 397)</f>
        <v>A janela foi fechada</v>
      </c>
      <c r="B405" s="29" t="str">
        <f>RTD("rtdtrading.rtdserver",, "T&amp;T2", "PRE", 397)</f>
        <v>A janela foi fechada</v>
      </c>
      <c r="C405" s="30" t="str">
        <f>RTD("rtdtrading.rtdserver",, "T&amp;T2", "QUL", 397)</f>
        <v>A janela foi fechada</v>
      </c>
      <c r="D405" s="30" t="str">
        <f>RTD("rtdtrading.rtdserver",, "T&amp;T2", "AGR", 397)</f>
        <v>A janela foi fechada</v>
      </c>
      <c r="G405" s="38" t="str">
        <f>RTD("rtdtrading.rtdserver",, "T&amp;T1", "DAT", 397)</f>
        <v>A janela foi fechada</v>
      </c>
      <c r="H405" s="39" t="str">
        <f>RTD("rtdtrading.rtdserver",, "T&amp;T1", "PRE", 397)</f>
        <v>A janela foi fechada</v>
      </c>
      <c r="I405" s="40" t="str">
        <f>RTD("rtdtrading.rtdserver",, "T&amp;T1", "QUL", 397)</f>
        <v>A janela foi fechada</v>
      </c>
      <c r="J405" s="41" t="str">
        <f>RTD("rtdtrading.rtdserver",, "T&amp;T1", "AGR", 397)</f>
        <v>A janela foi fechada</v>
      </c>
    </row>
    <row r="406" spans="1:10" x14ac:dyDescent="0.25">
      <c r="A406" s="46" t="str">
        <f>RTD("rtdtrading.rtdserver",, "T&amp;T2", "DAT", 398)</f>
        <v>A janela foi fechada</v>
      </c>
      <c r="B406" s="29" t="str">
        <f>RTD("rtdtrading.rtdserver",, "T&amp;T2", "PRE", 398)</f>
        <v>A janela foi fechada</v>
      </c>
      <c r="C406" s="30" t="str">
        <f>RTD("rtdtrading.rtdserver",, "T&amp;T2", "QUL", 398)</f>
        <v>A janela foi fechada</v>
      </c>
      <c r="D406" s="30" t="str">
        <f>RTD("rtdtrading.rtdserver",, "T&amp;T2", "AGR", 398)</f>
        <v>A janela foi fechada</v>
      </c>
      <c r="G406" s="38" t="str">
        <f>RTD("rtdtrading.rtdserver",, "T&amp;T1", "DAT", 398)</f>
        <v>A janela foi fechada</v>
      </c>
      <c r="H406" s="39" t="str">
        <f>RTD("rtdtrading.rtdserver",, "T&amp;T1", "PRE", 398)</f>
        <v>A janela foi fechada</v>
      </c>
      <c r="I406" s="40" t="str">
        <f>RTD("rtdtrading.rtdserver",, "T&amp;T1", "QUL", 398)</f>
        <v>A janela foi fechada</v>
      </c>
      <c r="J406" s="41" t="str">
        <f>RTD("rtdtrading.rtdserver",, "T&amp;T1", "AGR", 398)</f>
        <v>A janela foi fechada</v>
      </c>
    </row>
    <row r="407" spans="1:10" x14ac:dyDescent="0.25">
      <c r="A407" s="46" t="str">
        <f>RTD("rtdtrading.rtdserver",, "T&amp;T2", "DAT", 399)</f>
        <v>A janela foi fechada</v>
      </c>
      <c r="B407" s="29" t="str">
        <f>RTD("rtdtrading.rtdserver",, "T&amp;T2", "PRE", 399)</f>
        <v>A janela foi fechada</v>
      </c>
      <c r="C407" s="30" t="str">
        <f>RTD("rtdtrading.rtdserver",, "T&amp;T2", "QUL", 399)</f>
        <v>A janela foi fechada</v>
      </c>
      <c r="D407" s="30" t="str">
        <f>RTD("rtdtrading.rtdserver",, "T&amp;T2", "AGR", 399)</f>
        <v>A janela foi fechada</v>
      </c>
      <c r="G407" s="38" t="str">
        <f>RTD("rtdtrading.rtdserver",, "T&amp;T1", "DAT", 399)</f>
        <v>A janela foi fechada</v>
      </c>
      <c r="H407" s="39" t="str">
        <f>RTD("rtdtrading.rtdserver",, "T&amp;T1", "PRE", 399)</f>
        <v>A janela foi fechada</v>
      </c>
      <c r="I407" s="40" t="str">
        <f>RTD("rtdtrading.rtdserver",, "T&amp;T1", "QUL", 399)</f>
        <v>A janela foi fechada</v>
      </c>
      <c r="J407" s="41" t="str">
        <f>RTD("rtdtrading.rtdserver",, "T&amp;T1", "AGR", 399)</f>
        <v>A janela foi fechada</v>
      </c>
    </row>
    <row r="408" spans="1:10" x14ac:dyDescent="0.25">
      <c r="A408" s="46" t="str">
        <f>RTD("rtdtrading.rtdserver",, "T&amp;T2", "DAT", 400)</f>
        <v>A janela foi fechada</v>
      </c>
      <c r="B408" s="29" t="str">
        <f>RTD("rtdtrading.rtdserver",, "T&amp;T2", "PRE", 400)</f>
        <v>A janela foi fechada</v>
      </c>
      <c r="C408" s="30" t="str">
        <f>RTD("rtdtrading.rtdserver",, "T&amp;T2", "QUL", 400)</f>
        <v>A janela foi fechada</v>
      </c>
      <c r="D408" s="30" t="str">
        <f>RTD("rtdtrading.rtdserver",, "T&amp;T2", "AGR", 400)</f>
        <v>A janela foi fechada</v>
      </c>
      <c r="G408" s="38" t="str">
        <f>RTD("rtdtrading.rtdserver",, "T&amp;T1", "DAT", 400)</f>
        <v>A janela foi fechada</v>
      </c>
      <c r="H408" s="39" t="str">
        <f>RTD("rtdtrading.rtdserver",, "T&amp;T1", "PRE", 400)</f>
        <v>A janela foi fechada</v>
      </c>
      <c r="I408" s="40" t="str">
        <f>RTD("rtdtrading.rtdserver",, "T&amp;T1", "QUL", 400)</f>
        <v>A janela foi fechada</v>
      </c>
      <c r="J408" s="41" t="str">
        <f>RTD("rtdtrading.rtdserver",, "T&amp;T1", "AGR", 400)</f>
        <v>A janela foi fechada</v>
      </c>
    </row>
    <row r="409" spans="1:10" x14ac:dyDescent="0.25">
      <c r="A409" s="46" t="str">
        <f>RTD("rtdtrading.rtdserver",, "T&amp;T2", "DAT", 401)</f>
        <v>A janela foi fechada</v>
      </c>
      <c r="B409" s="29" t="str">
        <f>RTD("rtdtrading.rtdserver",, "T&amp;T2", "PRE", 401)</f>
        <v>A janela foi fechada</v>
      </c>
      <c r="C409" s="30" t="str">
        <f>RTD("rtdtrading.rtdserver",, "T&amp;T2", "QUL", 401)</f>
        <v>A janela foi fechada</v>
      </c>
      <c r="D409" s="30" t="str">
        <f>RTD("rtdtrading.rtdserver",, "T&amp;T2", "AGR", 401)</f>
        <v>A janela foi fechada</v>
      </c>
      <c r="G409" s="38" t="str">
        <f>RTD("rtdtrading.rtdserver",, "T&amp;T1", "DAT", 401)</f>
        <v>A janela foi fechada</v>
      </c>
      <c r="H409" s="39" t="str">
        <f>RTD("rtdtrading.rtdserver",, "T&amp;T1", "PRE", 401)</f>
        <v>A janela foi fechada</v>
      </c>
      <c r="I409" s="40" t="str">
        <f>RTD("rtdtrading.rtdserver",, "T&amp;T1", "QUL", 401)</f>
        <v>A janela foi fechada</v>
      </c>
      <c r="J409" s="41" t="str">
        <f>RTD("rtdtrading.rtdserver",, "T&amp;T1", "AGR", 401)</f>
        <v>A janela foi fechada</v>
      </c>
    </row>
    <row r="410" spans="1:10" x14ac:dyDescent="0.25">
      <c r="A410" s="46" t="str">
        <f>RTD("rtdtrading.rtdserver",, "T&amp;T2", "DAT", 402)</f>
        <v>A janela foi fechada</v>
      </c>
      <c r="B410" s="29" t="str">
        <f>RTD("rtdtrading.rtdserver",, "T&amp;T2", "PRE", 402)</f>
        <v>A janela foi fechada</v>
      </c>
      <c r="C410" s="30" t="str">
        <f>RTD("rtdtrading.rtdserver",, "T&amp;T2", "QUL", 402)</f>
        <v>A janela foi fechada</v>
      </c>
      <c r="D410" s="30" t="str">
        <f>RTD("rtdtrading.rtdserver",, "T&amp;T2", "AGR", 402)</f>
        <v>A janela foi fechada</v>
      </c>
      <c r="G410" s="38" t="str">
        <f>RTD("rtdtrading.rtdserver",, "T&amp;T1", "DAT", 402)</f>
        <v>A janela foi fechada</v>
      </c>
      <c r="H410" s="39" t="str">
        <f>RTD("rtdtrading.rtdserver",, "T&amp;T1", "PRE", 402)</f>
        <v>A janela foi fechada</v>
      </c>
      <c r="I410" s="40" t="str">
        <f>RTD("rtdtrading.rtdserver",, "T&amp;T1", "QUL", 402)</f>
        <v>A janela foi fechada</v>
      </c>
      <c r="J410" s="41" t="str">
        <f>RTD("rtdtrading.rtdserver",, "T&amp;T1", "AGR", 402)</f>
        <v>A janela foi fechada</v>
      </c>
    </row>
    <row r="411" spans="1:10" x14ac:dyDescent="0.25">
      <c r="A411" s="46" t="str">
        <f>RTD("rtdtrading.rtdserver",, "T&amp;T2", "DAT", 403)</f>
        <v>A janela foi fechada</v>
      </c>
      <c r="B411" s="29" t="str">
        <f>RTD("rtdtrading.rtdserver",, "T&amp;T2", "PRE", 403)</f>
        <v>A janela foi fechada</v>
      </c>
      <c r="C411" s="30" t="str">
        <f>RTD("rtdtrading.rtdserver",, "T&amp;T2", "QUL", 403)</f>
        <v>A janela foi fechada</v>
      </c>
      <c r="D411" s="30" t="str">
        <f>RTD("rtdtrading.rtdserver",, "T&amp;T2", "AGR", 403)</f>
        <v>A janela foi fechada</v>
      </c>
      <c r="G411" s="38" t="str">
        <f>RTD("rtdtrading.rtdserver",, "T&amp;T1", "DAT", 403)</f>
        <v>A janela foi fechada</v>
      </c>
      <c r="H411" s="39" t="str">
        <f>RTD("rtdtrading.rtdserver",, "T&amp;T1", "PRE", 403)</f>
        <v>A janela foi fechada</v>
      </c>
      <c r="I411" s="40" t="str">
        <f>RTD("rtdtrading.rtdserver",, "T&amp;T1", "QUL", 403)</f>
        <v>A janela foi fechada</v>
      </c>
      <c r="J411" s="41" t="str">
        <f>RTD("rtdtrading.rtdserver",, "T&amp;T1", "AGR", 403)</f>
        <v>A janela foi fechada</v>
      </c>
    </row>
    <row r="412" spans="1:10" x14ac:dyDescent="0.25">
      <c r="A412" s="46" t="str">
        <f>RTD("rtdtrading.rtdserver",, "T&amp;T2", "DAT", 404)</f>
        <v>A janela foi fechada</v>
      </c>
      <c r="B412" s="29" t="str">
        <f>RTD("rtdtrading.rtdserver",, "T&amp;T2", "PRE", 404)</f>
        <v>A janela foi fechada</v>
      </c>
      <c r="C412" s="30" t="str">
        <f>RTD("rtdtrading.rtdserver",, "T&amp;T2", "QUL", 404)</f>
        <v>A janela foi fechada</v>
      </c>
      <c r="D412" s="30" t="str">
        <f>RTD("rtdtrading.rtdserver",, "T&amp;T2", "AGR", 404)</f>
        <v>A janela foi fechada</v>
      </c>
      <c r="G412" s="38" t="str">
        <f>RTD("rtdtrading.rtdserver",, "T&amp;T1", "DAT", 404)</f>
        <v>A janela foi fechada</v>
      </c>
      <c r="H412" s="39" t="str">
        <f>RTD("rtdtrading.rtdserver",, "T&amp;T1", "PRE", 404)</f>
        <v>A janela foi fechada</v>
      </c>
      <c r="I412" s="40" t="str">
        <f>RTD("rtdtrading.rtdserver",, "T&amp;T1", "QUL", 404)</f>
        <v>A janela foi fechada</v>
      </c>
      <c r="J412" s="41" t="str">
        <f>RTD("rtdtrading.rtdserver",, "T&amp;T1", "AGR", 404)</f>
        <v>A janela foi fechada</v>
      </c>
    </row>
    <row r="413" spans="1:10" x14ac:dyDescent="0.25">
      <c r="A413" s="46" t="str">
        <f>RTD("rtdtrading.rtdserver",, "T&amp;T2", "DAT", 405)</f>
        <v>A janela foi fechada</v>
      </c>
      <c r="B413" s="29" t="str">
        <f>RTD("rtdtrading.rtdserver",, "T&amp;T2", "PRE", 405)</f>
        <v>A janela foi fechada</v>
      </c>
      <c r="C413" s="30" t="str">
        <f>RTD("rtdtrading.rtdserver",, "T&amp;T2", "QUL", 405)</f>
        <v>A janela foi fechada</v>
      </c>
      <c r="D413" s="30" t="str">
        <f>RTD("rtdtrading.rtdserver",, "T&amp;T2", "AGR", 405)</f>
        <v>A janela foi fechada</v>
      </c>
      <c r="G413" s="38" t="str">
        <f>RTD("rtdtrading.rtdserver",, "T&amp;T1", "DAT", 405)</f>
        <v>A janela foi fechada</v>
      </c>
      <c r="H413" s="39" t="str">
        <f>RTD("rtdtrading.rtdserver",, "T&amp;T1", "PRE", 405)</f>
        <v>A janela foi fechada</v>
      </c>
      <c r="I413" s="40" t="str">
        <f>RTD("rtdtrading.rtdserver",, "T&amp;T1", "QUL", 405)</f>
        <v>A janela foi fechada</v>
      </c>
      <c r="J413" s="41" t="str">
        <f>RTD("rtdtrading.rtdserver",, "T&amp;T1", "AGR", 405)</f>
        <v>A janela foi fechada</v>
      </c>
    </row>
    <row r="414" spans="1:10" x14ac:dyDescent="0.25">
      <c r="A414" s="46" t="str">
        <f>RTD("rtdtrading.rtdserver",, "T&amp;T2", "DAT", 406)</f>
        <v>A janela foi fechada</v>
      </c>
      <c r="B414" s="29" t="str">
        <f>RTD("rtdtrading.rtdserver",, "T&amp;T2", "PRE", 406)</f>
        <v>A janela foi fechada</v>
      </c>
      <c r="C414" s="30" t="str">
        <f>RTD("rtdtrading.rtdserver",, "T&amp;T2", "QUL", 406)</f>
        <v>A janela foi fechada</v>
      </c>
      <c r="D414" s="30" t="str">
        <f>RTD("rtdtrading.rtdserver",, "T&amp;T2", "AGR", 406)</f>
        <v>A janela foi fechada</v>
      </c>
      <c r="G414" s="38" t="str">
        <f>RTD("rtdtrading.rtdserver",, "T&amp;T1", "DAT", 406)</f>
        <v>A janela foi fechada</v>
      </c>
      <c r="H414" s="39" t="str">
        <f>RTD("rtdtrading.rtdserver",, "T&amp;T1", "PRE", 406)</f>
        <v>A janela foi fechada</v>
      </c>
      <c r="I414" s="40" t="str">
        <f>RTD("rtdtrading.rtdserver",, "T&amp;T1", "QUL", 406)</f>
        <v>A janela foi fechada</v>
      </c>
      <c r="J414" s="41" t="str">
        <f>RTD("rtdtrading.rtdserver",, "T&amp;T1", "AGR", 406)</f>
        <v>A janela foi fechada</v>
      </c>
    </row>
    <row r="415" spans="1:10" x14ac:dyDescent="0.25">
      <c r="A415" s="46" t="str">
        <f>RTD("rtdtrading.rtdserver",, "T&amp;T2", "DAT", 407)</f>
        <v>A janela foi fechada</v>
      </c>
      <c r="B415" s="29" t="str">
        <f>RTD("rtdtrading.rtdserver",, "T&amp;T2", "PRE", 407)</f>
        <v>A janela foi fechada</v>
      </c>
      <c r="C415" s="30" t="str">
        <f>RTD("rtdtrading.rtdserver",, "T&amp;T2", "QUL", 407)</f>
        <v>A janela foi fechada</v>
      </c>
      <c r="D415" s="30" t="str">
        <f>RTD("rtdtrading.rtdserver",, "T&amp;T2", "AGR", 407)</f>
        <v>A janela foi fechada</v>
      </c>
      <c r="G415" s="38" t="str">
        <f>RTD("rtdtrading.rtdserver",, "T&amp;T1", "DAT", 407)</f>
        <v>A janela foi fechada</v>
      </c>
      <c r="H415" s="39" t="str">
        <f>RTD("rtdtrading.rtdserver",, "T&amp;T1", "PRE", 407)</f>
        <v>A janela foi fechada</v>
      </c>
      <c r="I415" s="40" t="str">
        <f>RTD("rtdtrading.rtdserver",, "T&amp;T1", "QUL", 407)</f>
        <v>A janela foi fechada</v>
      </c>
      <c r="J415" s="41" t="str">
        <f>RTD("rtdtrading.rtdserver",, "T&amp;T1", "AGR", 407)</f>
        <v>A janela foi fechada</v>
      </c>
    </row>
    <row r="416" spans="1:10" x14ac:dyDescent="0.25">
      <c r="A416" s="46" t="str">
        <f>RTD("rtdtrading.rtdserver",, "T&amp;T2", "DAT", 408)</f>
        <v>A janela foi fechada</v>
      </c>
      <c r="B416" s="29" t="str">
        <f>RTD("rtdtrading.rtdserver",, "T&amp;T2", "PRE", 408)</f>
        <v>A janela foi fechada</v>
      </c>
      <c r="C416" s="30" t="str">
        <f>RTD("rtdtrading.rtdserver",, "T&amp;T2", "QUL", 408)</f>
        <v>A janela foi fechada</v>
      </c>
      <c r="D416" s="30" t="str">
        <f>RTD("rtdtrading.rtdserver",, "T&amp;T2", "AGR", 408)</f>
        <v>A janela foi fechada</v>
      </c>
      <c r="G416" s="38" t="str">
        <f>RTD("rtdtrading.rtdserver",, "T&amp;T1", "DAT", 408)</f>
        <v>A janela foi fechada</v>
      </c>
      <c r="H416" s="39" t="str">
        <f>RTD("rtdtrading.rtdserver",, "T&amp;T1", "PRE", 408)</f>
        <v>A janela foi fechada</v>
      </c>
      <c r="I416" s="40" t="str">
        <f>RTD("rtdtrading.rtdserver",, "T&amp;T1", "QUL", 408)</f>
        <v>A janela foi fechada</v>
      </c>
      <c r="J416" s="41" t="str">
        <f>RTD("rtdtrading.rtdserver",, "T&amp;T1", "AGR", 408)</f>
        <v>A janela foi fechada</v>
      </c>
    </row>
    <row r="417" spans="1:10" x14ac:dyDescent="0.25">
      <c r="A417" s="46" t="str">
        <f>RTD("rtdtrading.rtdserver",, "T&amp;T2", "DAT", 409)</f>
        <v>A janela foi fechada</v>
      </c>
      <c r="B417" s="29" t="str">
        <f>RTD("rtdtrading.rtdserver",, "T&amp;T2", "PRE", 409)</f>
        <v>A janela foi fechada</v>
      </c>
      <c r="C417" s="30" t="str">
        <f>RTD("rtdtrading.rtdserver",, "T&amp;T2", "QUL", 409)</f>
        <v>A janela foi fechada</v>
      </c>
      <c r="D417" s="30" t="str">
        <f>RTD("rtdtrading.rtdserver",, "T&amp;T2", "AGR", 409)</f>
        <v>A janela foi fechada</v>
      </c>
      <c r="G417" s="38" t="str">
        <f>RTD("rtdtrading.rtdserver",, "T&amp;T1", "DAT", 409)</f>
        <v>A janela foi fechada</v>
      </c>
      <c r="H417" s="39" t="str">
        <f>RTD("rtdtrading.rtdserver",, "T&amp;T1", "PRE", 409)</f>
        <v>A janela foi fechada</v>
      </c>
      <c r="I417" s="40" t="str">
        <f>RTD("rtdtrading.rtdserver",, "T&amp;T1", "QUL", 409)</f>
        <v>A janela foi fechada</v>
      </c>
      <c r="J417" s="41" t="str">
        <f>RTD("rtdtrading.rtdserver",, "T&amp;T1", "AGR", 409)</f>
        <v>A janela foi fechada</v>
      </c>
    </row>
    <row r="418" spans="1:10" x14ac:dyDescent="0.25">
      <c r="A418" s="46" t="str">
        <f>RTD("rtdtrading.rtdserver",, "T&amp;T2", "DAT", 410)</f>
        <v>A janela foi fechada</v>
      </c>
      <c r="B418" s="29" t="str">
        <f>RTD("rtdtrading.rtdserver",, "T&amp;T2", "PRE", 410)</f>
        <v>A janela foi fechada</v>
      </c>
      <c r="C418" s="30" t="str">
        <f>RTD("rtdtrading.rtdserver",, "T&amp;T2", "QUL", 410)</f>
        <v>A janela foi fechada</v>
      </c>
      <c r="D418" s="30" t="str">
        <f>RTD("rtdtrading.rtdserver",, "T&amp;T2", "AGR", 410)</f>
        <v>A janela foi fechada</v>
      </c>
      <c r="G418" s="38" t="str">
        <f>RTD("rtdtrading.rtdserver",, "T&amp;T1", "DAT", 410)</f>
        <v>A janela foi fechada</v>
      </c>
      <c r="H418" s="39" t="str">
        <f>RTD("rtdtrading.rtdserver",, "T&amp;T1", "PRE", 410)</f>
        <v>A janela foi fechada</v>
      </c>
      <c r="I418" s="40" t="str">
        <f>RTD("rtdtrading.rtdserver",, "T&amp;T1", "QUL", 410)</f>
        <v>A janela foi fechada</v>
      </c>
      <c r="J418" s="41" t="str">
        <f>RTD("rtdtrading.rtdserver",, "T&amp;T1", "AGR", 410)</f>
        <v>A janela foi fechada</v>
      </c>
    </row>
    <row r="419" spans="1:10" x14ac:dyDescent="0.25">
      <c r="A419" s="46" t="str">
        <f>RTD("rtdtrading.rtdserver",, "T&amp;T2", "DAT", 411)</f>
        <v>A janela foi fechada</v>
      </c>
      <c r="B419" s="29" t="str">
        <f>RTD("rtdtrading.rtdserver",, "T&amp;T2", "PRE", 411)</f>
        <v>A janela foi fechada</v>
      </c>
      <c r="C419" s="30" t="str">
        <f>RTD("rtdtrading.rtdserver",, "T&amp;T2", "QUL", 411)</f>
        <v>A janela foi fechada</v>
      </c>
      <c r="D419" s="30" t="str">
        <f>RTD("rtdtrading.rtdserver",, "T&amp;T2", "AGR", 411)</f>
        <v>A janela foi fechada</v>
      </c>
      <c r="G419" s="38" t="str">
        <f>RTD("rtdtrading.rtdserver",, "T&amp;T1", "DAT", 411)</f>
        <v>A janela foi fechada</v>
      </c>
      <c r="H419" s="39" t="str">
        <f>RTD("rtdtrading.rtdserver",, "T&amp;T1", "PRE", 411)</f>
        <v>A janela foi fechada</v>
      </c>
      <c r="I419" s="40" t="str">
        <f>RTD("rtdtrading.rtdserver",, "T&amp;T1", "QUL", 411)</f>
        <v>A janela foi fechada</v>
      </c>
      <c r="J419" s="41" t="str">
        <f>RTD("rtdtrading.rtdserver",, "T&amp;T1", "AGR", 411)</f>
        <v>A janela foi fechada</v>
      </c>
    </row>
    <row r="420" spans="1:10" x14ac:dyDescent="0.25">
      <c r="A420" s="46" t="str">
        <f>RTD("rtdtrading.rtdserver",, "T&amp;T2", "DAT", 412)</f>
        <v>A janela foi fechada</v>
      </c>
      <c r="B420" s="29" t="str">
        <f>RTD("rtdtrading.rtdserver",, "T&amp;T2", "PRE", 412)</f>
        <v>A janela foi fechada</v>
      </c>
      <c r="C420" s="30" t="str">
        <f>RTD("rtdtrading.rtdserver",, "T&amp;T2", "QUL", 412)</f>
        <v>A janela foi fechada</v>
      </c>
      <c r="D420" s="30" t="str">
        <f>RTD("rtdtrading.rtdserver",, "T&amp;T2", "AGR", 412)</f>
        <v>A janela foi fechada</v>
      </c>
      <c r="G420" s="38" t="str">
        <f>RTD("rtdtrading.rtdserver",, "T&amp;T1", "DAT", 412)</f>
        <v>A janela foi fechada</v>
      </c>
      <c r="H420" s="39" t="str">
        <f>RTD("rtdtrading.rtdserver",, "T&amp;T1", "PRE", 412)</f>
        <v>A janela foi fechada</v>
      </c>
      <c r="I420" s="40" t="str">
        <f>RTD("rtdtrading.rtdserver",, "T&amp;T1", "QUL", 412)</f>
        <v>A janela foi fechada</v>
      </c>
      <c r="J420" s="41" t="str">
        <f>RTD("rtdtrading.rtdserver",, "T&amp;T1", "AGR", 412)</f>
        <v>A janela foi fechada</v>
      </c>
    </row>
    <row r="421" spans="1:10" x14ac:dyDescent="0.25">
      <c r="A421" s="46" t="str">
        <f>RTD("rtdtrading.rtdserver",, "T&amp;T2", "DAT", 413)</f>
        <v>A janela foi fechada</v>
      </c>
      <c r="B421" s="29" t="str">
        <f>RTD("rtdtrading.rtdserver",, "T&amp;T2", "PRE", 413)</f>
        <v>A janela foi fechada</v>
      </c>
      <c r="C421" s="30" t="str">
        <f>RTD("rtdtrading.rtdserver",, "T&amp;T2", "QUL", 413)</f>
        <v>A janela foi fechada</v>
      </c>
      <c r="D421" s="30" t="str">
        <f>RTD("rtdtrading.rtdserver",, "T&amp;T2", "AGR", 413)</f>
        <v>A janela foi fechada</v>
      </c>
      <c r="G421" s="38" t="str">
        <f>RTD("rtdtrading.rtdserver",, "T&amp;T1", "DAT", 413)</f>
        <v>A janela foi fechada</v>
      </c>
      <c r="H421" s="39" t="str">
        <f>RTD("rtdtrading.rtdserver",, "T&amp;T1", "PRE", 413)</f>
        <v>A janela foi fechada</v>
      </c>
      <c r="I421" s="40" t="str">
        <f>RTD("rtdtrading.rtdserver",, "T&amp;T1", "QUL", 413)</f>
        <v>A janela foi fechada</v>
      </c>
      <c r="J421" s="41" t="str">
        <f>RTD("rtdtrading.rtdserver",, "T&amp;T1", "AGR", 413)</f>
        <v>A janela foi fechada</v>
      </c>
    </row>
    <row r="422" spans="1:10" x14ac:dyDescent="0.25">
      <c r="A422" s="46" t="str">
        <f>RTD("rtdtrading.rtdserver",, "T&amp;T2", "DAT", 414)</f>
        <v>A janela foi fechada</v>
      </c>
      <c r="B422" s="29" t="str">
        <f>RTD("rtdtrading.rtdserver",, "T&amp;T2", "PRE", 414)</f>
        <v>A janela foi fechada</v>
      </c>
      <c r="C422" s="30" t="str">
        <f>RTD("rtdtrading.rtdserver",, "T&amp;T2", "QUL", 414)</f>
        <v>A janela foi fechada</v>
      </c>
      <c r="D422" s="30" t="str">
        <f>RTD("rtdtrading.rtdserver",, "T&amp;T2", "AGR", 414)</f>
        <v>A janela foi fechada</v>
      </c>
      <c r="G422" s="38" t="str">
        <f>RTD("rtdtrading.rtdserver",, "T&amp;T1", "DAT", 414)</f>
        <v>A janela foi fechada</v>
      </c>
      <c r="H422" s="39" t="str">
        <f>RTD("rtdtrading.rtdserver",, "T&amp;T1", "PRE", 414)</f>
        <v>A janela foi fechada</v>
      </c>
      <c r="I422" s="40" t="str">
        <f>RTD("rtdtrading.rtdserver",, "T&amp;T1", "QUL", 414)</f>
        <v>A janela foi fechada</v>
      </c>
      <c r="J422" s="41" t="str">
        <f>RTD("rtdtrading.rtdserver",, "T&amp;T1", "AGR", 414)</f>
        <v>A janela foi fechada</v>
      </c>
    </row>
    <row r="423" spans="1:10" x14ac:dyDescent="0.25">
      <c r="A423" s="46" t="str">
        <f>RTD("rtdtrading.rtdserver",, "T&amp;T2", "DAT", 415)</f>
        <v>A janela foi fechada</v>
      </c>
      <c r="B423" s="29" t="str">
        <f>RTD("rtdtrading.rtdserver",, "T&amp;T2", "PRE", 415)</f>
        <v>A janela foi fechada</v>
      </c>
      <c r="C423" s="30" t="str">
        <f>RTD("rtdtrading.rtdserver",, "T&amp;T2", "QUL", 415)</f>
        <v>A janela foi fechada</v>
      </c>
      <c r="D423" s="30" t="str">
        <f>RTD("rtdtrading.rtdserver",, "T&amp;T2", "AGR", 415)</f>
        <v>A janela foi fechada</v>
      </c>
      <c r="G423" s="38" t="str">
        <f>RTD("rtdtrading.rtdserver",, "T&amp;T1", "DAT", 415)</f>
        <v>A janela foi fechada</v>
      </c>
      <c r="H423" s="39" t="str">
        <f>RTD("rtdtrading.rtdserver",, "T&amp;T1", "PRE", 415)</f>
        <v>A janela foi fechada</v>
      </c>
      <c r="I423" s="40" t="str">
        <f>RTD("rtdtrading.rtdserver",, "T&amp;T1", "QUL", 415)</f>
        <v>A janela foi fechada</v>
      </c>
      <c r="J423" s="41" t="str">
        <f>RTD("rtdtrading.rtdserver",, "T&amp;T1", "AGR", 415)</f>
        <v>A janela foi fechada</v>
      </c>
    </row>
    <row r="424" spans="1:10" x14ac:dyDescent="0.25">
      <c r="A424" s="46" t="str">
        <f>RTD("rtdtrading.rtdserver",, "T&amp;T2", "DAT", 416)</f>
        <v>A janela foi fechada</v>
      </c>
      <c r="B424" s="29" t="str">
        <f>RTD("rtdtrading.rtdserver",, "T&amp;T2", "PRE", 416)</f>
        <v>A janela foi fechada</v>
      </c>
      <c r="C424" s="30" t="str">
        <f>RTD("rtdtrading.rtdserver",, "T&amp;T2", "QUL", 416)</f>
        <v>A janela foi fechada</v>
      </c>
      <c r="D424" s="30" t="str">
        <f>RTD("rtdtrading.rtdserver",, "T&amp;T2", "AGR", 416)</f>
        <v>A janela foi fechada</v>
      </c>
      <c r="G424" s="38" t="str">
        <f>RTD("rtdtrading.rtdserver",, "T&amp;T1", "DAT", 416)</f>
        <v>A janela foi fechada</v>
      </c>
      <c r="H424" s="39" t="str">
        <f>RTD("rtdtrading.rtdserver",, "T&amp;T1", "PRE", 416)</f>
        <v>A janela foi fechada</v>
      </c>
      <c r="I424" s="40" t="str">
        <f>RTD("rtdtrading.rtdserver",, "T&amp;T1", "QUL", 416)</f>
        <v>A janela foi fechada</v>
      </c>
      <c r="J424" s="41" t="str">
        <f>RTD("rtdtrading.rtdserver",, "T&amp;T1", "AGR", 416)</f>
        <v>A janela foi fechada</v>
      </c>
    </row>
    <row r="425" spans="1:10" x14ac:dyDescent="0.25">
      <c r="A425" s="46" t="str">
        <f>RTD("rtdtrading.rtdserver",, "T&amp;T2", "DAT", 417)</f>
        <v>A janela foi fechada</v>
      </c>
      <c r="B425" s="29" t="str">
        <f>RTD("rtdtrading.rtdserver",, "T&amp;T2", "PRE", 417)</f>
        <v>A janela foi fechada</v>
      </c>
      <c r="C425" s="30" t="str">
        <f>RTD("rtdtrading.rtdserver",, "T&amp;T2", "QUL", 417)</f>
        <v>A janela foi fechada</v>
      </c>
      <c r="D425" s="30" t="str">
        <f>RTD("rtdtrading.rtdserver",, "T&amp;T2", "AGR", 417)</f>
        <v>A janela foi fechada</v>
      </c>
      <c r="G425" s="38" t="str">
        <f>RTD("rtdtrading.rtdserver",, "T&amp;T1", "DAT", 417)</f>
        <v>A janela foi fechada</v>
      </c>
      <c r="H425" s="39" t="str">
        <f>RTD("rtdtrading.rtdserver",, "T&amp;T1", "PRE", 417)</f>
        <v>A janela foi fechada</v>
      </c>
      <c r="I425" s="40" t="str">
        <f>RTD("rtdtrading.rtdserver",, "T&amp;T1", "QUL", 417)</f>
        <v>A janela foi fechada</v>
      </c>
      <c r="J425" s="41" t="str">
        <f>RTD("rtdtrading.rtdserver",, "T&amp;T1", "AGR", 417)</f>
        <v>A janela foi fechada</v>
      </c>
    </row>
    <row r="426" spans="1:10" x14ac:dyDescent="0.25">
      <c r="A426" s="46" t="str">
        <f>RTD("rtdtrading.rtdserver",, "T&amp;T2", "DAT", 418)</f>
        <v>A janela foi fechada</v>
      </c>
      <c r="B426" s="29" t="str">
        <f>RTD("rtdtrading.rtdserver",, "T&amp;T2", "PRE", 418)</f>
        <v>A janela foi fechada</v>
      </c>
      <c r="C426" s="30" t="str">
        <f>RTD("rtdtrading.rtdserver",, "T&amp;T2", "QUL", 418)</f>
        <v>A janela foi fechada</v>
      </c>
      <c r="D426" s="30" t="str">
        <f>RTD("rtdtrading.rtdserver",, "T&amp;T2", "AGR", 418)</f>
        <v>A janela foi fechada</v>
      </c>
      <c r="G426" s="38" t="str">
        <f>RTD("rtdtrading.rtdserver",, "T&amp;T1", "DAT", 418)</f>
        <v>A janela foi fechada</v>
      </c>
      <c r="H426" s="39" t="str">
        <f>RTD("rtdtrading.rtdserver",, "T&amp;T1", "PRE", 418)</f>
        <v>A janela foi fechada</v>
      </c>
      <c r="I426" s="40" t="str">
        <f>RTD("rtdtrading.rtdserver",, "T&amp;T1", "QUL", 418)</f>
        <v>A janela foi fechada</v>
      </c>
      <c r="J426" s="41" t="str">
        <f>RTD("rtdtrading.rtdserver",, "T&amp;T1", "AGR", 418)</f>
        <v>A janela foi fechada</v>
      </c>
    </row>
    <row r="427" spans="1:10" x14ac:dyDescent="0.25">
      <c r="A427" s="46" t="str">
        <f>RTD("rtdtrading.rtdserver",, "T&amp;T2", "DAT", 419)</f>
        <v>A janela foi fechada</v>
      </c>
      <c r="B427" s="29" t="str">
        <f>RTD("rtdtrading.rtdserver",, "T&amp;T2", "PRE", 419)</f>
        <v>A janela foi fechada</v>
      </c>
      <c r="C427" s="30" t="str">
        <f>RTD("rtdtrading.rtdserver",, "T&amp;T2", "QUL", 419)</f>
        <v>A janela foi fechada</v>
      </c>
      <c r="D427" s="30" t="str">
        <f>RTD("rtdtrading.rtdserver",, "T&amp;T2", "AGR", 419)</f>
        <v>A janela foi fechada</v>
      </c>
      <c r="G427" s="38" t="str">
        <f>RTD("rtdtrading.rtdserver",, "T&amp;T1", "DAT", 419)</f>
        <v>A janela foi fechada</v>
      </c>
      <c r="H427" s="39" t="str">
        <f>RTD("rtdtrading.rtdserver",, "T&amp;T1", "PRE", 419)</f>
        <v>A janela foi fechada</v>
      </c>
      <c r="I427" s="40" t="str">
        <f>RTD("rtdtrading.rtdserver",, "T&amp;T1", "QUL", 419)</f>
        <v>A janela foi fechada</v>
      </c>
      <c r="J427" s="41" t="str">
        <f>RTD("rtdtrading.rtdserver",, "T&amp;T1", "AGR", 419)</f>
        <v>A janela foi fechada</v>
      </c>
    </row>
    <row r="428" spans="1:10" x14ac:dyDescent="0.25">
      <c r="A428" s="46" t="str">
        <f>RTD("rtdtrading.rtdserver",, "T&amp;T2", "DAT", 420)</f>
        <v>A janela foi fechada</v>
      </c>
      <c r="B428" s="29" t="str">
        <f>RTD("rtdtrading.rtdserver",, "T&amp;T2", "PRE", 420)</f>
        <v>A janela foi fechada</v>
      </c>
      <c r="C428" s="30" t="str">
        <f>RTD("rtdtrading.rtdserver",, "T&amp;T2", "QUL", 420)</f>
        <v>A janela foi fechada</v>
      </c>
      <c r="D428" s="30" t="str">
        <f>RTD("rtdtrading.rtdserver",, "T&amp;T2", "AGR", 420)</f>
        <v>A janela foi fechada</v>
      </c>
      <c r="G428" s="38" t="str">
        <f>RTD("rtdtrading.rtdserver",, "T&amp;T1", "DAT", 420)</f>
        <v>A janela foi fechada</v>
      </c>
      <c r="H428" s="39" t="str">
        <f>RTD("rtdtrading.rtdserver",, "T&amp;T1", "PRE", 420)</f>
        <v>A janela foi fechada</v>
      </c>
      <c r="I428" s="40" t="str">
        <f>RTD("rtdtrading.rtdserver",, "T&amp;T1", "QUL", 420)</f>
        <v>A janela foi fechada</v>
      </c>
      <c r="J428" s="41" t="str">
        <f>RTD("rtdtrading.rtdserver",, "T&amp;T1", "AGR", 420)</f>
        <v>A janela foi fechada</v>
      </c>
    </row>
    <row r="429" spans="1:10" x14ac:dyDescent="0.25">
      <c r="A429" s="46" t="str">
        <f>RTD("rtdtrading.rtdserver",, "T&amp;T2", "DAT", 421)</f>
        <v>A janela foi fechada</v>
      </c>
      <c r="B429" s="29" t="str">
        <f>RTD("rtdtrading.rtdserver",, "T&amp;T2", "PRE", 421)</f>
        <v>A janela foi fechada</v>
      </c>
      <c r="C429" s="30" t="str">
        <f>RTD("rtdtrading.rtdserver",, "T&amp;T2", "QUL", 421)</f>
        <v>A janela foi fechada</v>
      </c>
      <c r="D429" s="30" t="str">
        <f>RTD("rtdtrading.rtdserver",, "T&amp;T2", "AGR", 421)</f>
        <v>A janela foi fechada</v>
      </c>
      <c r="G429" s="38" t="str">
        <f>RTD("rtdtrading.rtdserver",, "T&amp;T1", "DAT", 421)</f>
        <v>A janela foi fechada</v>
      </c>
      <c r="H429" s="39" t="str">
        <f>RTD("rtdtrading.rtdserver",, "T&amp;T1", "PRE", 421)</f>
        <v>A janela foi fechada</v>
      </c>
      <c r="I429" s="40" t="str">
        <f>RTD("rtdtrading.rtdserver",, "T&amp;T1", "QUL", 421)</f>
        <v>A janela foi fechada</v>
      </c>
      <c r="J429" s="41" t="str">
        <f>RTD("rtdtrading.rtdserver",, "T&amp;T1", "AGR", 421)</f>
        <v>A janela foi fechada</v>
      </c>
    </row>
    <row r="430" spans="1:10" x14ac:dyDescent="0.25">
      <c r="A430" s="46" t="str">
        <f>RTD("rtdtrading.rtdserver",, "T&amp;T2", "DAT", 422)</f>
        <v>A janela foi fechada</v>
      </c>
      <c r="B430" s="29" t="str">
        <f>RTD("rtdtrading.rtdserver",, "T&amp;T2", "PRE", 422)</f>
        <v>A janela foi fechada</v>
      </c>
      <c r="C430" s="30" t="str">
        <f>RTD("rtdtrading.rtdserver",, "T&amp;T2", "QUL", 422)</f>
        <v>A janela foi fechada</v>
      </c>
      <c r="D430" s="30" t="str">
        <f>RTD("rtdtrading.rtdserver",, "T&amp;T2", "AGR", 422)</f>
        <v>A janela foi fechada</v>
      </c>
      <c r="G430" s="38" t="str">
        <f>RTD("rtdtrading.rtdserver",, "T&amp;T1", "DAT", 422)</f>
        <v>A janela foi fechada</v>
      </c>
      <c r="H430" s="39" t="str">
        <f>RTD("rtdtrading.rtdserver",, "T&amp;T1", "PRE", 422)</f>
        <v>A janela foi fechada</v>
      </c>
      <c r="I430" s="40" t="str">
        <f>RTD("rtdtrading.rtdserver",, "T&amp;T1", "QUL", 422)</f>
        <v>A janela foi fechada</v>
      </c>
      <c r="J430" s="41" t="str">
        <f>RTD("rtdtrading.rtdserver",, "T&amp;T1", "AGR", 422)</f>
        <v>A janela foi fechada</v>
      </c>
    </row>
    <row r="431" spans="1:10" x14ac:dyDescent="0.25">
      <c r="A431" s="46" t="str">
        <f>RTD("rtdtrading.rtdserver",, "T&amp;T2", "DAT", 423)</f>
        <v>A janela foi fechada</v>
      </c>
      <c r="B431" s="29" t="str">
        <f>RTD("rtdtrading.rtdserver",, "T&amp;T2", "PRE", 423)</f>
        <v>A janela foi fechada</v>
      </c>
      <c r="C431" s="30" t="str">
        <f>RTD("rtdtrading.rtdserver",, "T&amp;T2", "QUL", 423)</f>
        <v>A janela foi fechada</v>
      </c>
      <c r="D431" s="30" t="str">
        <f>RTD("rtdtrading.rtdserver",, "T&amp;T2", "AGR", 423)</f>
        <v>A janela foi fechada</v>
      </c>
      <c r="G431" s="38" t="str">
        <f>RTD("rtdtrading.rtdserver",, "T&amp;T1", "DAT", 423)</f>
        <v>A janela foi fechada</v>
      </c>
      <c r="H431" s="39" t="str">
        <f>RTD("rtdtrading.rtdserver",, "T&amp;T1", "PRE", 423)</f>
        <v>A janela foi fechada</v>
      </c>
      <c r="I431" s="40" t="str">
        <f>RTD("rtdtrading.rtdserver",, "T&amp;T1", "QUL", 423)</f>
        <v>A janela foi fechada</v>
      </c>
      <c r="J431" s="41" t="str">
        <f>RTD("rtdtrading.rtdserver",, "T&amp;T1", "AGR", 423)</f>
        <v>A janela foi fechada</v>
      </c>
    </row>
    <row r="432" spans="1:10" x14ac:dyDescent="0.25">
      <c r="A432" s="46" t="str">
        <f>RTD("rtdtrading.rtdserver",, "T&amp;T2", "DAT", 424)</f>
        <v>A janela foi fechada</v>
      </c>
      <c r="B432" s="29" t="str">
        <f>RTD("rtdtrading.rtdserver",, "T&amp;T2", "PRE", 424)</f>
        <v>A janela foi fechada</v>
      </c>
      <c r="C432" s="30" t="str">
        <f>RTD("rtdtrading.rtdserver",, "T&amp;T2", "QUL", 424)</f>
        <v>A janela foi fechada</v>
      </c>
      <c r="D432" s="30" t="str">
        <f>RTD("rtdtrading.rtdserver",, "T&amp;T2", "AGR", 424)</f>
        <v>A janela foi fechada</v>
      </c>
      <c r="G432" s="38" t="str">
        <f>RTD("rtdtrading.rtdserver",, "T&amp;T1", "DAT", 424)</f>
        <v>A janela foi fechada</v>
      </c>
      <c r="H432" s="39" t="str">
        <f>RTD("rtdtrading.rtdserver",, "T&amp;T1", "PRE", 424)</f>
        <v>A janela foi fechada</v>
      </c>
      <c r="I432" s="40" t="str">
        <f>RTD("rtdtrading.rtdserver",, "T&amp;T1", "QUL", 424)</f>
        <v>A janela foi fechada</v>
      </c>
      <c r="J432" s="41" t="str">
        <f>RTD("rtdtrading.rtdserver",, "T&amp;T1", "AGR", 424)</f>
        <v>A janela foi fechada</v>
      </c>
    </row>
    <row r="433" spans="1:10" x14ac:dyDescent="0.25">
      <c r="A433" s="46" t="str">
        <f>RTD("rtdtrading.rtdserver",, "T&amp;T2", "DAT", 425)</f>
        <v>A janela foi fechada</v>
      </c>
      <c r="B433" s="29" t="str">
        <f>RTD("rtdtrading.rtdserver",, "T&amp;T2", "PRE", 425)</f>
        <v>A janela foi fechada</v>
      </c>
      <c r="C433" s="30" t="str">
        <f>RTD("rtdtrading.rtdserver",, "T&amp;T2", "QUL", 425)</f>
        <v>A janela foi fechada</v>
      </c>
      <c r="D433" s="30" t="str">
        <f>RTD("rtdtrading.rtdserver",, "T&amp;T2", "AGR", 425)</f>
        <v>A janela foi fechada</v>
      </c>
      <c r="G433" s="38" t="str">
        <f>RTD("rtdtrading.rtdserver",, "T&amp;T1", "DAT", 425)</f>
        <v>A janela foi fechada</v>
      </c>
      <c r="H433" s="39" t="str">
        <f>RTD("rtdtrading.rtdserver",, "T&amp;T1", "PRE", 425)</f>
        <v>A janela foi fechada</v>
      </c>
      <c r="I433" s="40" t="str">
        <f>RTD("rtdtrading.rtdserver",, "T&amp;T1", "QUL", 425)</f>
        <v>A janela foi fechada</v>
      </c>
      <c r="J433" s="41" t="str">
        <f>RTD("rtdtrading.rtdserver",, "T&amp;T1", "AGR", 425)</f>
        <v>A janela foi fechada</v>
      </c>
    </row>
    <row r="434" spans="1:10" x14ac:dyDescent="0.25">
      <c r="A434" s="46" t="str">
        <f>RTD("rtdtrading.rtdserver",, "T&amp;T2", "DAT", 426)</f>
        <v>A janela foi fechada</v>
      </c>
      <c r="B434" s="29" t="str">
        <f>RTD("rtdtrading.rtdserver",, "T&amp;T2", "PRE", 426)</f>
        <v>A janela foi fechada</v>
      </c>
      <c r="C434" s="30" t="str">
        <f>RTD("rtdtrading.rtdserver",, "T&amp;T2", "QUL", 426)</f>
        <v>A janela foi fechada</v>
      </c>
      <c r="D434" s="30" t="str">
        <f>RTD("rtdtrading.rtdserver",, "T&amp;T2", "AGR", 426)</f>
        <v>A janela foi fechada</v>
      </c>
      <c r="G434" s="38" t="str">
        <f>RTD("rtdtrading.rtdserver",, "T&amp;T1", "DAT", 426)</f>
        <v>A janela foi fechada</v>
      </c>
      <c r="H434" s="39" t="str">
        <f>RTD("rtdtrading.rtdserver",, "T&amp;T1", "PRE", 426)</f>
        <v>A janela foi fechada</v>
      </c>
      <c r="I434" s="40" t="str">
        <f>RTD("rtdtrading.rtdserver",, "T&amp;T1", "QUL", 426)</f>
        <v>A janela foi fechada</v>
      </c>
      <c r="J434" s="41" t="str">
        <f>RTD("rtdtrading.rtdserver",, "T&amp;T1", "AGR", 426)</f>
        <v>A janela foi fechada</v>
      </c>
    </row>
    <row r="435" spans="1:10" x14ac:dyDescent="0.25">
      <c r="A435" s="46" t="str">
        <f>RTD("rtdtrading.rtdserver",, "T&amp;T2", "DAT", 427)</f>
        <v>A janela foi fechada</v>
      </c>
      <c r="B435" s="29" t="str">
        <f>RTD("rtdtrading.rtdserver",, "T&amp;T2", "PRE", 427)</f>
        <v>A janela foi fechada</v>
      </c>
      <c r="C435" s="30" t="str">
        <f>RTD("rtdtrading.rtdserver",, "T&amp;T2", "QUL", 427)</f>
        <v>A janela foi fechada</v>
      </c>
      <c r="D435" s="30" t="str">
        <f>RTD("rtdtrading.rtdserver",, "T&amp;T2", "AGR", 427)</f>
        <v>A janela foi fechada</v>
      </c>
      <c r="G435" s="38" t="str">
        <f>RTD("rtdtrading.rtdserver",, "T&amp;T1", "DAT", 427)</f>
        <v>A janela foi fechada</v>
      </c>
      <c r="H435" s="39" t="str">
        <f>RTD("rtdtrading.rtdserver",, "T&amp;T1", "PRE", 427)</f>
        <v>A janela foi fechada</v>
      </c>
      <c r="I435" s="40" t="str">
        <f>RTD("rtdtrading.rtdserver",, "T&amp;T1", "QUL", 427)</f>
        <v>A janela foi fechada</v>
      </c>
      <c r="J435" s="41" t="str">
        <f>RTD("rtdtrading.rtdserver",, "T&amp;T1", "AGR", 427)</f>
        <v>A janela foi fechada</v>
      </c>
    </row>
    <row r="436" spans="1:10" x14ac:dyDescent="0.25">
      <c r="A436" s="46" t="str">
        <f>RTD("rtdtrading.rtdserver",, "T&amp;T2", "DAT", 428)</f>
        <v>A janela foi fechada</v>
      </c>
      <c r="B436" s="29" t="str">
        <f>RTD("rtdtrading.rtdserver",, "T&amp;T2", "PRE", 428)</f>
        <v>A janela foi fechada</v>
      </c>
      <c r="C436" s="30" t="str">
        <f>RTD("rtdtrading.rtdserver",, "T&amp;T2", "QUL", 428)</f>
        <v>A janela foi fechada</v>
      </c>
      <c r="D436" s="30" t="str">
        <f>RTD("rtdtrading.rtdserver",, "T&amp;T2", "AGR", 428)</f>
        <v>A janela foi fechada</v>
      </c>
      <c r="G436" s="38" t="str">
        <f>RTD("rtdtrading.rtdserver",, "T&amp;T1", "DAT", 428)</f>
        <v>A janela foi fechada</v>
      </c>
      <c r="H436" s="39" t="str">
        <f>RTD("rtdtrading.rtdserver",, "T&amp;T1", "PRE", 428)</f>
        <v>A janela foi fechada</v>
      </c>
      <c r="I436" s="40" t="str">
        <f>RTD("rtdtrading.rtdserver",, "T&amp;T1", "QUL", 428)</f>
        <v>A janela foi fechada</v>
      </c>
      <c r="J436" s="41" t="str">
        <f>RTD("rtdtrading.rtdserver",, "T&amp;T1", "AGR", 428)</f>
        <v>A janela foi fechada</v>
      </c>
    </row>
    <row r="437" spans="1:10" x14ac:dyDescent="0.25">
      <c r="A437" s="46" t="str">
        <f>RTD("rtdtrading.rtdserver",, "T&amp;T2", "DAT", 429)</f>
        <v>A janela foi fechada</v>
      </c>
      <c r="B437" s="29" t="str">
        <f>RTD("rtdtrading.rtdserver",, "T&amp;T2", "PRE", 429)</f>
        <v>A janela foi fechada</v>
      </c>
      <c r="C437" s="30" t="str">
        <f>RTD("rtdtrading.rtdserver",, "T&amp;T2", "QUL", 429)</f>
        <v>A janela foi fechada</v>
      </c>
      <c r="D437" s="30" t="str">
        <f>RTD("rtdtrading.rtdserver",, "T&amp;T2", "AGR", 429)</f>
        <v>A janela foi fechada</v>
      </c>
      <c r="G437" s="38" t="str">
        <f>RTD("rtdtrading.rtdserver",, "T&amp;T1", "DAT", 429)</f>
        <v>A janela foi fechada</v>
      </c>
      <c r="H437" s="39" t="str">
        <f>RTD("rtdtrading.rtdserver",, "T&amp;T1", "PRE", 429)</f>
        <v>A janela foi fechada</v>
      </c>
      <c r="I437" s="40" t="str">
        <f>RTD("rtdtrading.rtdserver",, "T&amp;T1", "QUL", 429)</f>
        <v>A janela foi fechada</v>
      </c>
      <c r="J437" s="41" t="str">
        <f>RTD("rtdtrading.rtdserver",, "T&amp;T1", "AGR", 429)</f>
        <v>A janela foi fechada</v>
      </c>
    </row>
    <row r="438" spans="1:10" x14ac:dyDescent="0.25">
      <c r="A438" s="46" t="str">
        <f>RTD("rtdtrading.rtdserver",, "T&amp;T2", "DAT", 430)</f>
        <v>A janela foi fechada</v>
      </c>
      <c r="B438" s="29" t="str">
        <f>RTD("rtdtrading.rtdserver",, "T&amp;T2", "PRE", 430)</f>
        <v>A janela foi fechada</v>
      </c>
      <c r="C438" s="30" t="str">
        <f>RTD("rtdtrading.rtdserver",, "T&amp;T2", "QUL", 430)</f>
        <v>A janela foi fechada</v>
      </c>
      <c r="D438" s="30" t="str">
        <f>RTD("rtdtrading.rtdserver",, "T&amp;T2", "AGR", 430)</f>
        <v>A janela foi fechada</v>
      </c>
      <c r="G438" s="38" t="str">
        <f>RTD("rtdtrading.rtdserver",, "T&amp;T1", "DAT", 430)</f>
        <v>A janela foi fechada</v>
      </c>
      <c r="H438" s="39" t="str">
        <f>RTD("rtdtrading.rtdserver",, "T&amp;T1", "PRE", 430)</f>
        <v>A janela foi fechada</v>
      </c>
      <c r="I438" s="40" t="str">
        <f>RTD("rtdtrading.rtdserver",, "T&amp;T1", "QUL", 430)</f>
        <v>A janela foi fechada</v>
      </c>
      <c r="J438" s="41" t="str">
        <f>RTD("rtdtrading.rtdserver",, "T&amp;T1", "AGR", 430)</f>
        <v>A janela foi fechada</v>
      </c>
    </row>
    <row r="439" spans="1:10" x14ac:dyDescent="0.25">
      <c r="A439" s="46" t="str">
        <f>RTD("rtdtrading.rtdserver",, "T&amp;T2", "DAT", 431)</f>
        <v>A janela foi fechada</v>
      </c>
      <c r="B439" s="29" t="str">
        <f>RTD("rtdtrading.rtdserver",, "T&amp;T2", "PRE", 431)</f>
        <v>A janela foi fechada</v>
      </c>
      <c r="C439" s="30" t="str">
        <f>RTD("rtdtrading.rtdserver",, "T&amp;T2", "QUL", 431)</f>
        <v>A janela foi fechada</v>
      </c>
      <c r="D439" s="30" t="str">
        <f>RTD("rtdtrading.rtdserver",, "T&amp;T2", "AGR", 431)</f>
        <v>A janela foi fechada</v>
      </c>
      <c r="G439" s="38" t="str">
        <f>RTD("rtdtrading.rtdserver",, "T&amp;T1", "DAT", 431)</f>
        <v>A janela foi fechada</v>
      </c>
      <c r="H439" s="39" t="str">
        <f>RTD("rtdtrading.rtdserver",, "T&amp;T1", "PRE", 431)</f>
        <v>A janela foi fechada</v>
      </c>
      <c r="I439" s="40" t="str">
        <f>RTD("rtdtrading.rtdserver",, "T&amp;T1", "QUL", 431)</f>
        <v>A janela foi fechada</v>
      </c>
      <c r="J439" s="41" t="str">
        <f>RTD("rtdtrading.rtdserver",, "T&amp;T1", "AGR", 431)</f>
        <v>A janela foi fechada</v>
      </c>
    </row>
    <row r="440" spans="1:10" x14ac:dyDescent="0.25">
      <c r="A440" s="46" t="str">
        <f>RTD("rtdtrading.rtdserver",, "T&amp;T2", "DAT", 432)</f>
        <v>A janela foi fechada</v>
      </c>
      <c r="B440" s="29" t="str">
        <f>RTD("rtdtrading.rtdserver",, "T&amp;T2", "PRE", 432)</f>
        <v>A janela foi fechada</v>
      </c>
      <c r="C440" s="30" t="str">
        <f>RTD("rtdtrading.rtdserver",, "T&amp;T2", "QUL", 432)</f>
        <v>A janela foi fechada</v>
      </c>
      <c r="D440" s="30" t="str">
        <f>RTD("rtdtrading.rtdserver",, "T&amp;T2", "AGR", 432)</f>
        <v>A janela foi fechada</v>
      </c>
      <c r="G440" s="38" t="str">
        <f>RTD("rtdtrading.rtdserver",, "T&amp;T1", "DAT", 432)</f>
        <v>A janela foi fechada</v>
      </c>
      <c r="H440" s="39" t="str">
        <f>RTD("rtdtrading.rtdserver",, "T&amp;T1", "PRE", 432)</f>
        <v>A janela foi fechada</v>
      </c>
      <c r="I440" s="40" t="str">
        <f>RTD("rtdtrading.rtdserver",, "T&amp;T1", "QUL", 432)</f>
        <v>A janela foi fechada</v>
      </c>
      <c r="J440" s="41" t="str">
        <f>RTD("rtdtrading.rtdserver",, "T&amp;T1", "AGR", 432)</f>
        <v>A janela foi fechada</v>
      </c>
    </row>
    <row r="441" spans="1:10" x14ac:dyDescent="0.25">
      <c r="A441" s="46" t="str">
        <f>RTD("rtdtrading.rtdserver",, "T&amp;T2", "DAT", 433)</f>
        <v>A janela foi fechada</v>
      </c>
      <c r="B441" s="29" t="str">
        <f>RTD("rtdtrading.rtdserver",, "T&amp;T2", "PRE", 433)</f>
        <v>A janela foi fechada</v>
      </c>
      <c r="C441" s="30" t="str">
        <f>RTD("rtdtrading.rtdserver",, "T&amp;T2", "QUL", 433)</f>
        <v>A janela foi fechada</v>
      </c>
      <c r="D441" s="30" t="str">
        <f>RTD("rtdtrading.rtdserver",, "T&amp;T2", "AGR", 433)</f>
        <v>A janela foi fechada</v>
      </c>
      <c r="G441" s="38" t="str">
        <f>RTD("rtdtrading.rtdserver",, "T&amp;T1", "DAT", 433)</f>
        <v>A janela foi fechada</v>
      </c>
      <c r="H441" s="39" t="str">
        <f>RTD("rtdtrading.rtdserver",, "T&amp;T1", "PRE", 433)</f>
        <v>A janela foi fechada</v>
      </c>
      <c r="I441" s="40" t="str">
        <f>RTD("rtdtrading.rtdserver",, "T&amp;T1", "QUL", 433)</f>
        <v>A janela foi fechada</v>
      </c>
      <c r="J441" s="41" t="str">
        <f>RTD("rtdtrading.rtdserver",, "T&amp;T1", "AGR", 433)</f>
        <v>A janela foi fechada</v>
      </c>
    </row>
    <row r="442" spans="1:10" x14ac:dyDescent="0.25">
      <c r="A442" s="46" t="str">
        <f>RTD("rtdtrading.rtdserver",, "T&amp;T2", "DAT", 434)</f>
        <v>A janela foi fechada</v>
      </c>
      <c r="B442" s="29" t="str">
        <f>RTD("rtdtrading.rtdserver",, "T&amp;T2", "PRE", 434)</f>
        <v>A janela foi fechada</v>
      </c>
      <c r="C442" s="30" t="str">
        <f>RTD("rtdtrading.rtdserver",, "T&amp;T2", "QUL", 434)</f>
        <v>A janela foi fechada</v>
      </c>
      <c r="D442" s="30" t="str">
        <f>RTD("rtdtrading.rtdserver",, "T&amp;T2", "AGR", 434)</f>
        <v>A janela foi fechada</v>
      </c>
      <c r="G442" s="38" t="str">
        <f>RTD("rtdtrading.rtdserver",, "T&amp;T1", "DAT", 434)</f>
        <v>A janela foi fechada</v>
      </c>
      <c r="H442" s="39" t="str">
        <f>RTD("rtdtrading.rtdserver",, "T&amp;T1", "PRE", 434)</f>
        <v>A janela foi fechada</v>
      </c>
      <c r="I442" s="40" t="str">
        <f>RTD("rtdtrading.rtdserver",, "T&amp;T1", "QUL", 434)</f>
        <v>A janela foi fechada</v>
      </c>
      <c r="J442" s="41" t="str">
        <f>RTD("rtdtrading.rtdserver",, "T&amp;T1", "AGR", 434)</f>
        <v>A janela foi fechada</v>
      </c>
    </row>
    <row r="443" spans="1:10" x14ac:dyDescent="0.25">
      <c r="A443" s="46" t="str">
        <f>RTD("rtdtrading.rtdserver",, "T&amp;T2", "DAT", 435)</f>
        <v>A janela foi fechada</v>
      </c>
      <c r="B443" s="29" t="str">
        <f>RTD("rtdtrading.rtdserver",, "T&amp;T2", "PRE", 435)</f>
        <v>A janela foi fechada</v>
      </c>
      <c r="C443" s="30" t="str">
        <f>RTD("rtdtrading.rtdserver",, "T&amp;T2", "QUL", 435)</f>
        <v>A janela foi fechada</v>
      </c>
      <c r="D443" s="30" t="str">
        <f>RTD("rtdtrading.rtdserver",, "T&amp;T2", "AGR", 435)</f>
        <v>A janela foi fechada</v>
      </c>
      <c r="G443" s="38" t="str">
        <f>RTD("rtdtrading.rtdserver",, "T&amp;T1", "DAT", 435)</f>
        <v>A janela foi fechada</v>
      </c>
      <c r="H443" s="39" t="str">
        <f>RTD("rtdtrading.rtdserver",, "T&amp;T1", "PRE", 435)</f>
        <v>A janela foi fechada</v>
      </c>
      <c r="I443" s="40" t="str">
        <f>RTD("rtdtrading.rtdserver",, "T&amp;T1", "QUL", 435)</f>
        <v>A janela foi fechada</v>
      </c>
      <c r="J443" s="41" t="str">
        <f>RTD("rtdtrading.rtdserver",, "T&amp;T1", "AGR", 435)</f>
        <v>A janela foi fechada</v>
      </c>
    </row>
    <row r="444" spans="1:10" x14ac:dyDescent="0.25">
      <c r="A444" s="46" t="str">
        <f>RTD("rtdtrading.rtdserver",, "T&amp;T2", "DAT", 436)</f>
        <v>A janela foi fechada</v>
      </c>
      <c r="B444" s="29" t="str">
        <f>RTD("rtdtrading.rtdserver",, "T&amp;T2", "PRE", 436)</f>
        <v>A janela foi fechada</v>
      </c>
      <c r="C444" s="30" t="str">
        <f>RTD("rtdtrading.rtdserver",, "T&amp;T2", "QUL", 436)</f>
        <v>A janela foi fechada</v>
      </c>
      <c r="D444" s="30" t="str">
        <f>RTD("rtdtrading.rtdserver",, "T&amp;T2", "AGR", 436)</f>
        <v>A janela foi fechada</v>
      </c>
      <c r="G444" s="38" t="str">
        <f>RTD("rtdtrading.rtdserver",, "T&amp;T1", "DAT", 436)</f>
        <v>A janela foi fechada</v>
      </c>
      <c r="H444" s="39" t="str">
        <f>RTD("rtdtrading.rtdserver",, "T&amp;T1", "PRE", 436)</f>
        <v>A janela foi fechada</v>
      </c>
      <c r="I444" s="40" t="str">
        <f>RTD("rtdtrading.rtdserver",, "T&amp;T1", "QUL", 436)</f>
        <v>A janela foi fechada</v>
      </c>
      <c r="J444" s="41" t="str">
        <f>RTD("rtdtrading.rtdserver",, "T&amp;T1", "AGR", 436)</f>
        <v>A janela foi fechada</v>
      </c>
    </row>
    <row r="445" spans="1:10" x14ac:dyDescent="0.25">
      <c r="A445" s="46" t="str">
        <f>RTD("rtdtrading.rtdserver",, "T&amp;T2", "DAT", 437)</f>
        <v>A janela foi fechada</v>
      </c>
      <c r="B445" s="29" t="str">
        <f>RTD("rtdtrading.rtdserver",, "T&amp;T2", "PRE", 437)</f>
        <v>A janela foi fechada</v>
      </c>
      <c r="C445" s="30" t="str">
        <f>RTD("rtdtrading.rtdserver",, "T&amp;T2", "QUL", 437)</f>
        <v>A janela foi fechada</v>
      </c>
      <c r="D445" s="30" t="str">
        <f>RTD("rtdtrading.rtdserver",, "T&amp;T2", "AGR", 437)</f>
        <v>A janela foi fechada</v>
      </c>
      <c r="G445" s="38" t="str">
        <f>RTD("rtdtrading.rtdserver",, "T&amp;T1", "DAT", 437)</f>
        <v>A janela foi fechada</v>
      </c>
      <c r="H445" s="39" t="str">
        <f>RTD("rtdtrading.rtdserver",, "T&amp;T1", "PRE", 437)</f>
        <v>A janela foi fechada</v>
      </c>
      <c r="I445" s="40" t="str">
        <f>RTD("rtdtrading.rtdserver",, "T&amp;T1", "QUL", 437)</f>
        <v>A janela foi fechada</v>
      </c>
      <c r="J445" s="41" t="str">
        <f>RTD("rtdtrading.rtdserver",, "T&amp;T1", "AGR", 437)</f>
        <v>A janela foi fechada</v>
      </c>
    </row>
    <row r="446" spans="1:10" x14ac:dyDescent="0.25">
      <c r="A446" s="46" t="str">
        <f>RTD("rtdtrading.rtdserver",, "T&amp;T2", "DAT", 438)</f>
        <v>A janela foi fechada</v>
      </c>
      <c r="B446" s="29" t="str">
        <f>RTD("rtdtrading.rtdserver",, "T&amp;T2", "PRE", 438)</f>
        <v>A janela foi fechada</v>
      </c>
      <c r="C446" s="30" t="str">
        <f>RTD("rtdtrading.rtdserver",, "T&amp;T2", "QUL", 438)</f>
        <v>A janela foi fechada</v>
      </c>
      <c r="D446" s="30" t="str">
        <f>RTD("rtdtrading.rtdserver",, "T&amp;T2", "AGR", 438)</f>
        <v>A janela foi fechada</v>
      </c>
      <c r="G446" s="38" t="str">
        <f>RTD("rtdtrading.rtdserver",, "T&amp;T1", "DAT", 438)</f>
        <v>A janela foi fechada</v>
      </c>
      <c r="H446" s="39" t="str">
        <f>RTD("rtdtrading.rtdserver",, "T&amp;T1", "PRE", 438)</f>
        <v>A janela foi fechada</v>
      </c>
      <c r="I446" s="40" t="str">
        <f>RTD("rtdtrading.rtdserver",, "T&amp;T1", "QUL", 438)</f>
        <v>A janela foi fechada</v>
      </c>
      <c r="J446" s="41" t="str">
        <f>RTD("rtdtrading.rtdserver",, "T&amp;T1", "AGR", 438)</f>
        <v>A janela foi fechada</v>
      </c>
    </row>
    <row r="447" spans="1:10" x14ac:dyDescent="0.25">
      <c r="A447" s="46" t="str">
        <f>RTD("rtdtrading.rtdserver",, "T&amp;T2", "DAT", 439)</f>
        <v>A janela foi fechada</v>
      </c>
      <c r="B447" s="29" t="str">
        <f>RTD("rtdtrading.rtdserver",, "T&amp;T2", "PRE", 439)</f>
        <v>A janela foi fechada</v>
      </c>
      <c r="C447" s="30" t="str">
        <f>RTD("rtdtrading.rtdserver",, "T&amp;T2", "QUL", 439)</f>
        <v>A janela foi fechada</v>
      </c>
      <c r="D447" s="30" t="str">
        <f>RTD("rtdtrading.rtdserver",, "T&amp;T2", "AGR", 439)</f>
        <v>A janela foi fechada</v>
      </c>
      <c r="G447" s="38" t="str">
        <f>RTD("rtdtrading.rtdserver",, "T&amp;T1", "DAT", 439)</f>
        <v>A janela foi fechada</v>
      </c>
      <c r="H447" s="39" t="str">
        <f>RTD("rtdtrading.rtdserver",, "T&amp;T1", "PRE", 439)</f>
        <v>A janela foi fechada</v>
      </c>
      <c r="I447" s="40" t="str">
        <f>RTD("rtdtrading.rtdserver",, "T&amp;T1", "QUL", 439)</f>
        <v>A janela foi fechada</v>
      </c>
      <c r="J447" s="41" t="str">
        <f>RTD("rtdtrading.rtdserver",, "T&amp;T1", "AGR", 439)</f>
        <v>A janela foi fechada</v>
      </c>
    </row>
    <row r="448" spans="1:10" x14ac:dyDescent="0.25">
      <c r="A448" s="46" t="str">
        <f>RTD("rtdtrading.rtdserver",, "T&amp;T2", "DAT", 440)</f>
        <v>A janela foi fechada</v>
      </c>
      <c r="B448" s="29" t="str">
        <f>RTD("rtdtrading.rtdserver",, "T&amp;T2", "PRE", 440)</f>
        <v>A janela foi fechada</v>
      </c>
      <c r="C448" s="30" t="str">
        <f>RTD("rtdtrading.rtdserver",, "T&amp;T2", "QUL", 440)</f>
        <v>A janela foi fechada</v>
      </c>
      <c r="D448" s="30" t="str">
        <f>RTD("rtdtrading.rtdserver",, "T&amp;T2", "AGR", 440)</f>
        <v>A janela foi fechada</v>
      </c>
      <c r="G448" s="38" t="str">
        <f>RTD("rtdtrading.rtdserver",, "T&amp;T1", "DAT", 440)</f>
        <v>A janela foi fechada</v>
      </c>
      <c r="H448" s="39" t="str">
        <f>RTD("rtdtrading.rtdserver",, "T&amp;T1", "PRE", 440)</f>
        <v>A janela foi fechada</v>
      </c>
      <c r="I448" s="40" t="str">
        <f>RTD("rtdtrading.rtdserver",, "T&amp;T1", "QUL", 440)</f>
        <v>A janela foi fechada</v>
      </c>
      <c r="J448" s="41" t="str">
        <f>RTD("rtdtrading.rtdserver",, "T&amp;T1", "AGR", 440)</f>
        <v>A janela foi fechada</v>
      </c>
    </row>
    <row r="449" spans="1:10" x14ac:dyDescent="0.25">
      <c r="A449" s="46" t="str">
        <f>RTD("rtdtrading.rtdserver",, "T&amp;T2", "DAT", 441)</f>
        <v>A janela foi fechada</v>
      </c>
      <c r="B449" s="29" t="str">
        <f>RTD("rtdtrading.rtdserver",, "T&amp;T2", "PRE", 441)</f>
        <v>A janela foi fechada</v>
      </c>
      <c r="C449" s="30" t="str">
        <f>RTD("rtdtrading.rtdserver",, "T&amp;T2", "QUL", 441)</f>
        <v>A janela foi fechada</v>
      </c>
      <c r="D449" s="30" t="str">
        <f>RTD("rtdtrading.rtdserver",, "T&amp;T2", "AGR", 441)</f>
        <v>A janela foi fechada</v>
      </c>
      <c r="G449" s="38" t="str">
        <f>RTD("rtdtrading.rtdserver",, "T&amp;T1", "DAT", 441)</f>
        <v>A janela foi fechada</v>
      </c>
      <c r="H449" s="39" t="str">
        <f>RTD("rtdtrading.rtdserver",, "T&amp;T1", "PRE", 441)</f>
        <v>A janela foi fechada</v>
      </c>
      <c r="I449" s="40" t="str">
        <f>RTD("rtdtrading.rtdserver",, "T&amp;T1", "QUL", 441)</f>
        <v>A janela foi fechada</v>
      </c>
      <c r="J449" s="41" t="str">
        <f>RTD("rtdtrading.rtdserver",, "T&amp;T1", "AGR", 441)</f>
        <v>A janela foi fechada</v>
      </c>
    </row>
    <row r="450" spans="1:10" x14ac:dyDescent="0.25">
      <c r="A450" s="46" t="str">
        <f>RTD("rtdtrading.rtdserver",, "T&amp;T2", "DAT", 442)</f>
        <v>A janela foi fechada</v>
      </c>
      <c r="B450" s="29" t="str">
        <f>RTD("rtdtrading.rtdserver",, "T&amp;T2", "PRE", 442)</f>
        <v>A janela foi fechada</v>
      </c>
      <c r="C450" s="30" t="str">
        <f>RTD("rtdtrading.rtdserver",, "T&amp;T2", "QUL", 442)</f>
        <v>A janela foi fechada</v>
      </c>
      <c r="D450" s="30" t="str">
        <f>RTD("rtdtrading.rtdserver",, "T&amp;T2", "AGR", 442)</f>
        <v>A janela foi fechada</v>
      </c>
      <c r="G450" s="38" t="str">
        <f>RTD("rtdtrading.rtdserver",, "T&amp;T1", "DAT", 442)</f>
        <v>A janela foi fechada</v>
      </c>
      <c r="H450" s="39" t="str">
        <f>RTD("rtdtrading.rtdserver",, "T&amp;T1", "PRE", 442)</f>
        <v>A janela foi fechada</v>
      </c>
      <c r="I450" s="40" t="str">
        <f>RTD("rtdtrading.rtdserver",, "T&amp;T1", "QUL", 442)</f>
        <v>A janela foi fechada</v>
      </c>
      <c r="J450" s="41" t="str">
        <f>RTD("rtdtrading.rtdserver",, "T&amp;T1", "AGR", 442)</f>
        <v>A janela foi fechada</v>
      </c>
    </row>
    <row r="451" spans="1:10" x14ac:dyDescent="0.25">
      <c r="A451" s="46" t="str">
        <f>RTD("rtdtrading.rtdserver",, "T&amp;T2", "DAT", 443)</f>
        <v>A janela foi fechada</v>
      </c>
      <c r="B451" s="29" t="str">
        <f>RTD("rtdtrading.rtdserver",, "T&amp;T2", "PRE", 443)</f>
        <v>A janela foi fechada</v>
      </c>
      <c r="C451" s="30" t="str">
        <f>RTD("rtdtrading.rtdserver",, "T&amp;T2", "QUL", 443)</f>
        <v>A janela foi fechada</v>
      </c>
      <c r="D451" s="30" t="str">
        <f>RTD("rtdtrading.rtdserver",, "T&amp;T2", "AGR", 443)</f>
        <v>A janela foi fechada</v>
      </c>
      <c r="G451" s="38" t="str">
        <f>RTD("rtdtrading.rtdserver",, "T&amp;T1", "DAT", 443)</f>
        <v>A janela foi fechada</v>
      </c>
      <c r="H451" s="39" t="str">
        <f>RTD("rtdtrading.rtdserver",, "T&amp;T1", "PRE", 443)</f>
        <v>A janela foi fechada</v>
      </c>
      <c r="I451" s="40" t="str">
        <f>RTD("rtdtrading.rtdserver",, "T&amp;T1", "QUL", 443)</f>
        <v>A janela foi fechada</v>
      </c>
      <c r="J451" s="41" t="str">
        <f>RTD("rtdtrading.rtdserver",, "T&amp;T1", "AGR", 443)</f>
        <v>A janela foi fechada</v>
      </c>
    </row>
    <row r="452" spans="1:10" x14ac:dyDescent="0.25">
      <c r="A452" s="46" t="str">
        <f>RTD("rtdtrading.rtdserver",, "T&amp;T2", "DAT", 444)</f>
        <v>A janela foi fechada</v>
      </c>
      <c r="B452" s="29" t="str">
        <f>RTD("rtdtrading.rtdserver",, "T&amp;T2", "PRE", 444)</f>
        <v>A janela foi fechada</v>
      </c>
      <c r="C452" s="30" t="str">
        <f>RTD("rtdtrading.rtdserver",, "T&amp;T2", "QUL", 444)</f>
        <v>A janela foi fechada</v>
      </c>
      <c r="D452" s="30" t="str">
        <f>RTD("rtdtrading.rtdserver",, "T&amp;T2", "AGR", 444)</f>
        <v>A janela foi fechada</v>
      </c>
      <c r="G452" s="38" t="str">
        <f>RTD("rtdtrading.rtdserver",, "T&amp;T1", "DAT", 444)</f>
        <v>A janela foi fechada</v>
      </c>
      <c r="H452" s="39" t="str">
        <f>RTD("rtdtrading.rtdserver",, "T&amp;T1", "PRE", 444)</f>
        <v>A janela foi fechada</v>
      </c>
      <c r="I452" s="40" t="str">
        <f>RTD("rtdtrading.rtdserver",, "T&amp;T1", "QUL", 444)</f>
        <v>A janela foi fechada</v>
      </c>
      <c r="J452" s="41" t="str">
        <f>RTD("rtdtrading.rtdserver",, "T&amp;T1", "AGR", 444)</f>
        <v>A janela foi fechada</v>
      </c>
    </row>
    <row r="453" spans="1:10" x14ac:dyDescent="0.25">
      <c r="A453" s="46" t="str">
        <f>RTD("rtdtrading.rtdserver",, "T&amp;T2", "DAT", 445)</f>
        <v>A janela foi fechada</v>
      </c>
      <c r="B453" s="29" t="str">
        <f>RTD("rtdtrading.rtdserver",, "T&amp;T2", "PRE", 445)</f>
        <v>A janela foi fechada</v>
      </c>
      <c r="C453" s="30" t="str">
        <f>RTD("rtdtrading.rtdserver",, "T&amp;T2", "QUL", 445)</f>
        <v>A janela foi fechada</v>
      </c>
      <c r="D453" s="30" t="str">
        <f>RTD("rtdtrading.rtdserver",, "T&amp;T2", "AGR", 445)</f>
        <v>A janela foi fechada</v>
      </c>
      <c r="G453" s="38" t="str">
        <f>RTD("rtdtrading.rtdserver",, "T&amp;T1", "DAT", 445)</f>
        <v>A janela foi fechada</v>
      </c>
      <c r="H453" s="39" t="str">
        <f>RTD("rtdtrading.rtdserver",, "T&amp;T1", "PRE", 445)</f>
        <v>A janela foi fechada</v>
      </c>
      <c r="I453" s="40" t="str">
        <f>RTD("rtdtrading.rtdserver",, "T&amp;T1", "QUL", 445)</f>
        <v>A janela foi fechada</v>
      </c>
      <c r="J453" s="41" t="str">
        <f>RTD("rtdtrading.rtdserver",, "T&amp;T1", "AGR", 445)</f>
        <v>A janela foi fechada</v>
      </c>
    </row>
    <row r="454" spans="1:10" x14ac:dyDescent="0.25">
      <c r="A454" s="46" t="str">
        <f>RTD("rtdtrading.rtdserver",, "T&amp;T2", "DAT", 446)</f>
        <v>A janela foi fechada</v>
      </c>
      <c r="B454" s="29" t="str">
        <f>RTD("rtdtrading.rtdserver",, "T&amp;T2", "PRE", 446)</f>
        <v>A janela foi fechada</v>
      </c>
      <c r="C454" s="30" t="str">
        <f>RTD("rtdtrading.rtdserver",, "T&amp;T2", "QUL", 446)</f>
        <v>A janela foi fechada</v>
      </c>
      <c r="D454" s="30" t="str">
        <f>RTD("rtdtrading.rtdserver",, "T&amp;T2", "AGR", 446)</f>
        <v>A janela foi fechada</v>
      </c>
      <c r="G454" s="38" t="str">
        <f>RTD("rtdtrading.rtdserver",, "T&amp;T1", "DAT", 446)</f>
        <v>A janela foi fechada</v>
      </c>
      <c r="H454" s="39" t="str">
        <f>RTD("rtdtrading.rtdserver",, "T&amp;T1", "PRE", 446)</f>
        <v>A janela foi fechada</v>
      </c>
      <c r="I454" s="40" t="str">
        <f>RTD("rtdtrading.rtdserver",, "T&amp;T1", "QUL", 446)</f>
        <v>A janela foi fechada</v>
      </c>
      <c r="J454" s="41" t="str">
        <f>RTD("rtdtrading.rtdserver",, "T&amp;T1", "AGR", 446)</f>
        <v>A janela foi fechada</v>
      </c>
    </row>
    <row r="455" spans="1:10" x14ac:dyDescent="0.25">
      <c r="A455" s="46" t="str">
        <f>RTD("rtdtrading.rtdserver",, "T&amp;T2", "DAT", 447)</f>
        <v>A janela foi fechada</v>
      </c>
      <c r="B455" s="29" t="str">
        <f>RTD("rtdtrading.rtdserver",, "T&amp;T2", "PRE", 447)</f>
        <v>A janela foi fechada</v>
      </c>
      <c r="C455" s="30" t="str">
        <f>RTD("rtdtrading.rtdserver",, "T&amp;T2", "QUL", 447)</f>
        <v>A janela foi fechada</v>
      </c>
      <c r="D455" s="30" t="str">
        <f>RTD("rtdtrading.rtdserver",, "T&amp;T2", "AGR", 447)</f>
        <v>A janela foi fechada</v>
      </c>
      <c r="G455" s="38" t="str">
        <f>RTD("rtdtrading.rtdserver",, "T&amp;T1", "DAT", 447)</f>
        <v>A janela foi fechada</v>
      </c>
      <c r="H455" s="39" t="str">
        <f>RTD("rtdtrading.rtdserver",, "T&amp;T1", "PRE", 447)</f>
        <v>A janela foi fechada</v>
      </c>
      <c r="I455" s="40" t="str">
        <f>RTD("rtdtrading.rtdserver",, "T&amp;T1", "QUL", 447)</f>
        <v>A janela foi fechada</v>
      </c>
      <c r="J455" s="41" t="str">
        <f>RTD("rtdtrading.rtdserver",, "T&amp;T1", "AGR", 447)</f>
        <v>A janela foi fechada</v>
      </c>
    </row>
    <row r="456" spans="1:10" x14ac:dyDescent="0.25">
      <c r="A456" s="46" t="str">
        <f>RTD("rtdtrading.rtdserver",, "T&amp;T2", "DAT", 448)</f>
        <v>A janela foi fechada</v>
      </c>
      <c r="B456" s="29" t="str">
        <f>RTD("rtdtrading.rtdserver",, "T&amp;T2", "PRE", 448)</f>
        <v>A janela foi fechada</v>
      </c>
      <c r="C456" s="30" t="str">
        <f>RTD("rtdtrading.rtdserver",, "T&amp;T2", "QUL", 448)</f>
        <v>A janela foi fechada</v>
      </c>
      <c r="D456" s="30" t="str">
        <f>RTD("rtdtrading.rtdserver",, "T&amp;T2", "AGR", 448)</f>
        <v>A janela foi fechada</v>
      </c>
      <c r="G456" s="38" t="str">
        <f>RTD("rtdtrading.rtdserver",, "T&amp;T1", "DAT", 448)</f>
        <v>A janela foi fechada</v>
      </c>
      <c r="H456" s="39" t="str">
        <f>RTD("rtdtrading.rtdserver",, "T&amp;T1", "PRE", 448)</f>
        <v>A janela foi fechada</v>
      </c>
      <c r="I456" s="40" t="str">
        <f>RTD("rtdtrading.rtdserver",, "T&amp;T1", "QUL", 448)</f>
        <v>A janela foi fechada</v>
      </c>
      <c r="J456" s="41" t="str">
        <f>RTD("rtdtrading.rtdserver",, "T&amp;T1", "AGR", 448)</f>
        <v>A janela foi fechada</v>
      </c>
    </row>
    <row r="457" spans="1:10" x14ac:dyDescent="0.25">
      <c r="A457" s="46" t="str">
        <f>RTD("rtdtrading.rtdserver",, "T&amp;T2", "DAT", 449)</f>
        <v>A janela foi fechada</v>
      </c>
      <c r="B457" s="29" t="str">
        <f>RTD("rtdtrading.rtdserver",, "T&amp;T2", "PRE", 449)</f>
        <v>A janela foi fechada</v>
      </c>
      <c r="C457" s="30" t="str">
        <f>RTD("rtdtrading.rtdserver",, "T&amp;T2", "QUL", 449)</f>
        <v>A janela foi fechada</v>
      </c>
      <c r="D457" s="30" t="str">
        <f>RTD("rtdtrading.rtdserver",, "T&amp;T2", "AGR", 449)</f>
        <v>A janela foi fechada</v>
      </c>
      <c r="G457" s="38" t="str">
        <f>RTD("rtdtrading.rtdserver",, "T&amp;T1", "DAT", 449)</f>
        <v>A janela foi fechada</v>
      </c>
      <c r="H457" s="39" t="str">
        <f>RTD("rtdtrading.rtdserver",, "T&amp;T1", "PRE", 449)</f>
        <v>A janela foi fechada</v>
      </c>
      <c r="I457" s="40" t="str">
        <f>RTD("rtdtrading.rtdserver",, "T&amp;T1", "QUL", 449)</f>
        <v>A janela foi fechada</v>
      </c>
      <c r="J457" s="41" t="str">
        <f>RTD("rtdtrading.rtdserver",, "T&amp;T1", "AGR", 449)</f>
        <v>A janela foi fechada</v>
      </c>
    </row>
    <row r="458" spans="1:10" x14ac:dyDescent="0.25">
      <c r="A458" s="46" t="str">
        <f>RTD("rtdtrading.rtdserver",, "T&amp;T2", "DAT", 450)</f>
        <v>A janela foi fechada</v>
      </c>
      <c r="B458" s="29" t="str">
        <f>RTD("rtdtrading.rtdserver",, "T&amp;T2", "PRE", 450)</f>
        <v>A janela foi fechada</v>
      </c>
      <c r="C458" s="30" t="str">
        <f>RTD("rtdtrading.rtdserver",, "T&amp;T2", "QUL", 450)</f>
        <v>A janela foi fechada</v>
      </c>
      <c r="D458" s="30" t="str">
        <f>RTD("rtdtrading.rtdserver",, "T&amp;T2", "AGR", 450)</f>
        <v>A janela foi fechada</v>
      </c>
      <c r="G458" s="38" t="str">
        <f>RTD("rtdtrading.rtdserver",, "T&amp;T1", "DAT", 450)</f>
        <v>A janela foi fechada</v>
      </c>
      <c r="H458" s="39" t="str">
        <f>RTD("rtdtrading.rtdserver",, "T&amp;T1", "PRE", 450)</f>
        <v>A janela foi fechada</v>
      </c>
      <c r="I458" s="40" t="str">
        <f>RTD("rtdtrading.rtdserver",, "T&amp;T1", "QUL", 450)</f>
        <v>A janela foi fechada</v>
      </c>
      <c r="J458" s="41" t="str">
        <f>RTD("rtdtrading.rtdserver",, "T&amp;T1", "AGR", 450)</f>
        <v>A janela foi fechada</v>
      </c>
    </row>
    <row r="459" spans="1:10" x14ac:dyDescent="0.25">
      <c r="A459" s="46" t="str">
        <f>RTD("rtdtrading.rtdserver",, "T&amp;T2", "DAT", 451)</f>
        <v>A janela foi fechada</v>
      </c>
      <c r="B459" s="29" t="str">
        <f>RTD("rtdtrading.rtdserver",, "T&amp;T2", "PRE", 451)</f>
        <v>A janela foi fechada</v>
      </c>
      <c r="C459" s="30" t="str">
        <f>RTD("rtdtrading.rtdserver",, "T&amp;T2", "QUL", 451)</f>
        <v>A janela foi fechada</v>
      </c>
      <c r="D459" s="30" t="str">
        <f>RTD("rtdtrading.rtdserver",, "T&amp;T2", "AGR", 451)</f>
        <v>A janela foi fechada</v>
      </c>
      <c r="G459" s="38" t="str">
        <f>RTD("rtdtrading.rtdserver",, "T&amp;T1", "DAT", 451)</f>
        <v>A janela foi fechada</v>
      </c>
      <c r="H459" s="39" t="str">
        <f>RTD("rtdtrading.rtdserver",, "T&amp;T1", "PRE", 451)</f>
        <v>A janela foi fechada</v>
      </c>
      <c r="I459" s="40" t="str">
        <f>RTD("rtdtrading.rtdserver",, "T&amp;T1", "QUL", 451)</f>
        <v>A janela foi fechada</v>
      </c>
      <c r="J459" s="41" t="str">
        <f>RTD("rtdtrading.rtdserver",, "T&amp;T1", "AGR", 451)</f>
        <v>A janela foi fechada</v>
      </c>
    </row>
    <row r="460" spans="1:10" x14ac:dyDescent="0.25">
      <c r="A460" s="46" t="str">
        <f>RTD("rtdtrading.rtdserver",, "T&amp;T2", "DAT", 452)</f>
        <v>A janela foi fechada</v>
      </c>
      <c r="B460" s="29" t="str">
        <f>RTD("rtdtrading.rtdserver",, "T&amp;T2", "PRE", 452)</f>
        <v>A janela foi fechada</v>
      </c>
      <c r="C460" s="30" t="str">
        <f>RTD("rtdtrading.rtdserver",, "T&amp;T2", "QUL", 452)</f>
        <v>A janela foi fechada</v>
      </c>
      <c r="D460" s="30" t="str">
        <f>RTD("rtdtrading.rtdserver",, "T&amp;T2", "AGR", 452)</f>
        <v>A janela foi fechada</v>
      </c>
      <c r="G460" s="38" t="str">
        <f>RTD("rtdtrading.rtdserver",, "T&amp;T1", "DAT", 452)</f>
        <v>A janela foi fechada</v>
      </c>
      <c r="H460" s="39" t="str">
        <f>RTD("rtdtrading.rtdserver",, "T&amp;T1", "PRE", 452)</f>
        <v>A janela foi fechada</v>
      </c>
      <c r="I460" s="40" t="str">
        <f>RTD("rtdtrading.rtdserver",, "T&amp;T1", "QUL", 452)</f>
        <v>A janela foi fechada</v>
      </c>
      <c r="J460" s="41" t="str">
        <f>RTD("rtdtrading.rtdserver",, "T&amp;T1", "AGR", 452)</f>
        <v>A janela foi fechada</v>
      </c>
    </row>
    <row r="461" spans="1:10" x14ac:dyDescent="0.25">
      <c r="A461" s="46" t="str">
        <f>RTD("rtdtrading.rtdserver",, "T&amp;T2", "DAT", 453)</f>
        <v>A janela foi fechada</v>
      </c>
      <c r="B461" s="29" t="str">
        <f>RTD("rtdtrading.rtdserver",, "T&amp;T2", "PRE", 453)</f>
        <v>A janela foi fechada</v>
      </c>
      <c r="C461" s="30" t="str">
        <f>RTD("rtdtrading.rtdserver",, "T&amp;T2", "QUL", 453)</f>
        <v>A janela foi fechada</v>
      </c>
      <c r="D461" s="30" t="str">
        <f>RTD("rtdtrading.rtdserver",, "T&amp;T2", "AGR", 453)</f>
        <v>A janela foi fechada</v>
      </c>
      <c r="G461" s="38" t="str">
        <f>RTD("rtdtrading.rtdserver",, "T&amp;T1", "DAT", 453)</f>
        <v>A janela foi fechada</v>
      </c>
      <c r="H461" s="39" t="str">
        <f>RTD("rtdtrading.rtdserver",, "T&amp;T1", "PRE", 453)</f>
        <v>A janela foi fechada</v>
      </c>
      <c r="I461" s="40" t="str">
        <f>RTD("rtdtrading.rtdserver",, "T&amp;T1", "QUL", 453)</f>
        <v>A janela foi fechada</v>
      </c>
      <c r="J461" s="41" t="str">
        <f>RTD("rtdtrading.rtdserver",, "T&amp;T1", "AGR", 453)</f>
        <v>A janela foi fechada</v>
      </c>
    </row>
    <row r="462" spans="1:10" x14ac:dyDescent="0.25">
      <c r="A462" s="46" t="str">
        <f>RTD("rtdtrading.rtdserver",, "T&amp;T2", "DAT", 454)</f>
        <v>A janela foi fechada</v>
      </c>
      <c r="B462" s="29" t="str">
        <f>RTD("rtdtrading.rtdserver",, "T&amp;T2", "PRE", 454)</f>
        <v>A janela foi fechada</v>
      </c>
      <c r="C462" s="30" t="str">
        <f>RTD("rtdtrading.rtdserver",, "T&amp;T2", "QUL", 454)</f>
        <v>A janela foi fechada</v>
      </c>
      <c r="D462" s="30" t="str">
        <f>RTD("rtdtrading.rtdserver",, "T&amp;T2", "AGR", 454)</f>
        <v>A janela foi fechada</v>
      </c>
      <c r="G462" s="38" t="str">
        <f>RTD("rtdtrading.rtdserver",, "T&amp;T1", "DAT", 454)</f>
        <v>A janela foi fechada</v>
      </c>
      <c r="H462" s="39" t="str">
        <f>RTD("rtdtrading.rtdserver",, "T&amp;T1", "PRE", 454)</f>
        <v>A janela foi fechada</v>
      </c>
      <c r="I462" s="40" t="str">
        <f>RTD("rtdtrading.rtdserver",, "T&amp;T1", "QUL", 454)</f>
        <v>A janela foi fechada</v>
      </c>
      <c r="J462" s="41" t="str">
        <f>RTD("rtdtrading.rtdserver",, "T&amp;T1", "AGR", 454)</f>
        <v>A janela foi fechada</v>
      </c>
    </row>
    <row r="463" spans="1:10" x14ac:dyDescent="0.25">
      <c r="A463" s="46" t="str">
        <f>RTD("rtdtrading.rtdserver",, "T&amp;T2", "DAT", 455)</f>
        <v>A janela foi fechada</v>
      </c>
      <c r="B463" s="29" t="str">
        <f>RTD("rtdtrading.rtdserver",, "T&amp;T2", "PRE", 455)</f>
        <v>A janela foi fechada</v>
      </c>
      <c r="C463" s="30" t="str">
        <f>RTD("rtdtrading.rtdserver",, "T&amp;T2", "QUL", 455)</f>
        <v>A janela foi fechada</v>
      </c>
      <c r="D463" s="30" t="str">
        <f>RTD("rtdtrading.rtdserver",, "T&amp;T2", "AGR", 455)</f>
        <v>A janela foi fechada</v>
      </c>
      <c r="G463" s="38" t="str">
        <f>RTD("rtdtrading.rtdserver",, "T&amp;T1", "DAT", 455)</f>
        <v>A janela foi fechada</v>
      </c>
      <c r="H463" s="39" t="str">
        <f>RTD("rtdtrading.rtdserver",, "T&amp;T1", "PRE", 455)</f>
        <v>A janela foi fechada</v>
      </c>
      <c r="I463" s="40" t="str">
        <f>RTD("rtdtrading.rtdserver",, "T&amp;T1", "QUL", 455)</f>
        <v>A janela foi fechada</v>
      </c>
      <c r="J463" s="41" t="str">
        <f>RTD("rtdtrading.rtdserver",, "T&amp;T1", "AGR", 455)</f>
        <v>A janela foi fechada</v>
      </c>
    </row>
    <row r="464" spans="1:10" x14ac:dyDescent="0.25">
      <c r="A464" s="46" t="str">
        <f>RTD("rtdtrading.rtdserver",, "T&amp;T2", "DAT", 456)</f>
        <v>A janela foi fechada</v>
      </c>
      <c r="B464" s="29" t="str">
        <f>RTD("rtdtrading.rtdserver",, "T&amp;T2", "PRE", 456)</f>
        <v>A janela foi fechada</v>
      </c>
      <c r="C464" s="30" t="str">
        <f>RTD("rtdtrading.rtdserver",, "T&amp;T2", "QUL", 456)</f>
        <v>A janela foi fechada</v>
      </c>
      <c r="D464" s="30" t="str">
        <f>RTD("rtdtrading.rtdserver",, "T&amp;T2", "AGR", 456)</f>
        <v>A janela foi fechada</v>
      </c>
      <c r="G464" s="38" t="str">
        <f>RTD("rtdtrading.rtdserver",, "T&amp;T1", "DAT", 456)</f>
        <v>A janela foi fechada</v>
      </c>
      <c r="H464" s="39" t="str">
        <f>RTD("rtdtrading.rtdserver",, "T&amp;T1", "PRE", 456)</f>
        <v>A janela foi fechada</v>
      </c>
      <c r="I464" s="40" t="str">
        <f>RTD("rtdtrading.rtdserver",, "T&amp;T1", "QUL", 456)</f>
        <v>A janela foi fechada</v>
      </c>
      <c r="J464" s="41" t="str">
        <f>RTD("rtdtrading.rtdserver",, "T&amp;T1", "AGR", 456)</f>
        <v>A janela foi fechada</v>
      </c>
    </row>
    <row r="465" spans="1:10" x14ac:dyDescent="0.25">
      <c r="A465" s="46" t="str">
        <f>RTD("rtdtrading.rtdserver",, "T&amp;T2", "DAT", 457)</f>
        <v>A janela foi fechada</v>
      </c>
      <c r="B465" s="29" t="str">
        <f>RTD("rtdtrading.rtdserver",, "T&amp;T2", "PRE", 457)</f>
        <v>A janela foi fechada</v>
      </c>
      <c r="C465" s="30" t="str">
        <f>RTD("rtdtrading.rtdserver",, "T&amp;T2", "QUL", 457)</f>
        <v>A janela foi fechada</v>
      </c>
      <c r="D465" s="30" t="str">
        <f>RTD("rtdtrading.rtdserver",, "T&amp;T2", "AGR", 457)</f>
        <v>A janela foi fechada</v>
      </c>
      <c r="G465" s="38" t="str">
        <f>RTD("rtdtrading.rtdserver",, "T&amp;T1", "DAT", 457)</f>
        <v>A janela foi fechada</v>
      </c>
      <c r="H465" s="39" t="str">
        <f>RTD("rtdtrading.rtdserver",, "T&amp;T1", "PRE", 457)</f>
        <v>A janela foi fechada</v>
      </c>
      <c r="I465" s="40" t="str">
        <f>RTD("rtdtrading.rtdserver",, "T&amp;T1", "QUL", 457)</f>
        <v>A janela foi fechada</v>
      </c>
      <c r="J465" s="41" t="str">
        <f>RTD("rtdtrading.rtdserver",, "T&amp;T1", "AGR", 457)</f>
        <v>A janela foi fechada</v>
      </c>
    </row>
    <row r="466" spans="1:10" x14ac:dyDescent="0.25">
      <c r="A466" s="46" t="str">
        <f>RTD("rtdtrading.rtdserver",, "T&amp;T2", "DAT", 458)</f>
        <v>A janela foi fechada</v>
      </c>
      <c r="B466" s="29" t="str">
        <f>RTD("rtdtrading.rtdserver",, "T&amp;T2", "PRE", 458)</f>
        <v>A janela foi fechada</v>
      </c>
      <c r="C466" s="30" t="str">
        <f>RTD("rtdtrading.rtdserver",, "T&amp;T2", "QUL", 458)</f>
        <v>A janela foi fechada</v>
      </c>
      <c r="D466" s="30" t="str">
        <f>RTD("rtdtrading.rtdserver",, "T&amp;T2", "AGR", 458)</f>
        <v>A janela foi fechada</v>
      </c>
      <c r="G466" s="38" t="str">
        <f>RTD("rtdtrading.rtdserver",, "T&amp;T1", "DAT", 458)</f>
        <v>A janela foi fechada</v>
      </c>
      <c r="H466" s="39" t="str">
        <f>RTD("rtdtrading.rtdserver",, "T&amp;T1", "PRE", 458)</f>
        <v>A janela foi fechada</v>
      </c>
      <c r="I466" s="40" t="str">
        <f>RTD("rtdtrading.rtdserver",, "T&amp;T1", "QUL", 458)</f>
        <v>A janela foi fechada</v>
      </c>
      <c r="J466" s="41" t="str">
        <f>RTD("rtdtrading.rtdserver",, "T&amp;T1", "AGR", 458)</f>
        <v>A janela foi fechada</v>
      </c>
    </row>
    <row r="467" spans="1:10" x14ac:dyDescent="0.25">
      <c r="A467" s="46" t="str">
        <f>RTD("rtdtrading.rtdserver",, "T&amp;T2", "DAT", 459)</f>
        <v>A janela foi fechada</v>
      </c>
      <c r="B467" s="29" t="str">
        <f>RTD("rtdtrading.rtdserver",, "T&amp;T2", "PRE", 459)</f>
        <v>A janela foi fechada</v>
      </c>
      <c r="C467" s="30" t="str">
        <f>RTD("rtdtrading.rtdserver",, "T&amp;T2", "QUL", 459)</f>
        <v>A janela foi fechada</v>
      </c>
      <c r="D467" s="30" t="str">
        <f>RTD("rtdtrading.rtdserver",, "T&amp;T2", "AGR", 459)</f>
        <v>A janela foi fechada</v>
      </c>
      <c r="G467" s="38" t="str">
        <f>RTD("rtdtrading.rtdserver",, "T&amp;T1", "DAT", 459)</f>
        <v>A janela foi fechada</v>
      </c>
      <c r="H467" s="39" t="str">
        <f>RTD("rtdtrading.rtdserver",, "T&amp;T1", "PRE", 459)</f>
        <v>A janela foi fechada</v>
      </c>
      <c r="I467" s="40" t="str">
        <f>RTD("rtdtrading.rtdserver",, "T&amp;T1", "QUL", 459)</f>
        <v>A janela foi fechada</v>
      </c>
      <c r="J467" s="41" t="str">
        <f>RTD("rtdtrading.rtdserver",, "T&amp;T1", "AGR", 459)</f>
        <v>A janela foi fechada</v>
      </c>
    </row>
    <row r="468" spans="1:10" x14ac:dyDescent="0.25">
      <c r="A468" s="46" t="str">
        <f>RTD("rtdtrading.rtdserver",, "T&amp;T2", "DAT", 460)</f>
        <v>A janela foi fechada</v>
      </c>
      <c r="B468" s="29" t="str">
        <f>RTD("rtdtrading.rtdserver",, "T&amp;T2", "PRE", 460)</f>
        <v>A janela foi fechada</v>
      </c>
      <c r="C468" s="30" t="str">
        <f>RTD("rtdtrading.rtdserver",, "T&amp;T2", "QUL", 460)</f>
        <v>A janela foi fechada</v>
      </c>
      <c r="D468" s="30" t="str">
        <f>RTD("rtdtrading.rtdserver",, "T&amp;T2", "AGR", 460)</f>
        <v>A janela foi fechada</v>
      </c>
      <c r="G468" s="38" t="str">
        <f>RTD("rtdtrading.rtdserver",, "T&amp;T1", "DAT", 460)</f>
        <v>A janela foi fechada</v>
      </c>
      <c r="H468" s="39" t="str">
        <f>RTD("rtdtrading.rtdserver",, "T&amp;T1", "PRE", 460)</f>
        <v>A janela foi fechada</v>
      </c>
      <c r="I468" s="40" t="str">
        <f>RTD("rtdtrading.rtdserver",, "T&amp;T1", "QUL", 460)</f>
        <v>A janela foi fechada</v>
      </c>
      <c r="J468" s="41" t="str">
        <f>RTD("rtdtrading.rtdserver",, "T&amp;T1", "AGR", 460)</f>
        <v>A janela foi fechada</v>
      </c>
    </row>
    <row r="469" spans="1:10" x14ac:dyDescent="0.25">
      <c r="A469" s="46" t="str">
        <f>RTD("rtdtrading.rtdserver",, "T&amp;T2", "DAT", 461)</f>
        <v>A janela foi fechada</v>
      </c>
      <c r="B469" s="29" t="str">
        <f>RTD("rtdtrading.rtdserver",, "T&amp;T2", "PRE", 461)</f>
        <v>A janela foi fechada</v>
      </c>
      <c r="C469" s="30" t="str">
        <f>RTD("rtdtrading.rtdserver",, "T&amp;T2", "QUL", 461)</f>
        <v>A janela foi fechada</v>
      </c>
      <c r="D469" s="30" t="str">
        <f>RTD("rtdtrading.rtdserver",, "T&amp;T2", "AGR", 461)</f>
        <v>A janela foi fechada</v>
      </c>
      <c r="G469" s="38" t="str">
        <f>RTD("rtdtrading.rtdserver",, "T&amp;T1", "DAT", 461)</f>
        <v>A janela foi fechada</v>
      </c>
      <c r="H469" s="39" t="str">
        <f>RTD("rtdtrading.rtdserver",, "T&amp;T1", "PRE", 461)</f>
        <v>A janela foi fechada</v>
      </c>
      <c r="I469" s="40" t="str">
        <f>RTD("rtdtrading.rtdserver",, "T&amp;T1", "QUL", 461)</f>
        <v>A janela foi fechada</v>
      </c>
      <c r="J469" s="41" t="str">
        <f>RTD("rtdtrading.rtdserver",, "T&amp;T1", "AGR", 461)</f>
        <v>A janela foi fechada</v>
      </c>
    </row>
    <row r="470" spans="1:10" x14ac:dyDescent="0.25">
      <c r="A470" s="46" t="str">
        <f>RTD("rtdtrading.rtdserver",, "T&amp;T2", "DAT", 462)</f>
        <v>A janela foi fechada</v>
      </c>
      <c r="B470" s="29" t="str">
        <f>RTD("rtdtrading.rtdserver",, "T&amp;T2", "PRE", 462)</f>
        <v>A janela foi fechada</v>
      </c>
      <c r="C470" s="30" t="str">
        <f>RTD("rtdtrading.rtdserver",, "T&amp;T2", "QUL", 462)</f>
        <v>A janela foi fechada</v>
      </c>
      <c r="D470" s="30" t="str">
        <f>RTD("rtdtrading.rtdserver",, "T&amp;T2", "AGR", 462)</f>
        <v>A janela foi fechada</v>
      </c>
      <c r="G470" s="38" t="str">
        <f>RTD("rtdtrading.rtdserver",, "T&amp;T1", "DAT", 462)</f>
        <v>A janela foi fechada</v>
      </c>
      <c r="H470" s="39" t="str">
        <f>RTD("rtdtrading.rtdserver",, "T&amp;T1", "PRE", 462)</f>
        <v>A janela foi fechada</v>
      </c>
      <c r="I470" s="40" t="str">
        <f>RTD("rtdtrading.rtdserver",, "T&amp;T1", "QUL", 462)</f>
        <v>A janela foi fechada</v>
      </c>
      <c r="J470" s="41" t="str">
        <f>RTD("rtdtrading.rtdserver",, "T&amp;T1", "AGR", 462)</f>
        <v>A janela foi fechada</v>
      </c>
    </row>
    <row r="471" spans="1:10" x14ac:dyDescent="0.25">
      <c r="A471" s="46" t="str">
        <f>RTD("rtdtrading.rtdserver",, "T&amp;T2", "DAT", 463)</f>
        <v>A janela foi fechada</v>
      </c>
      <c r="B471" s="29" t="str">
        <f>RTD("rtdtrading.rtdserver",, "T&amp;T2", "PRE", 463)</f>
        <v>A janela foi fechada</v>
      </c>
      <c r="C471" s="30" t="str">
        <f>RTD("rtdtrading.rtdserver",, "T&amp;T2", "QUL", 463)</f>
        <v>A janela foi fechada</v>
      </c>
      <c r="D471" s="30" t="str">
        <f>RTD("rtdtrading.rtdserver",, "T&amp;T2", "AGR", 463)</f>
        <v>A janela foi fechada</v>
      </c>
      <c r="G471" s="38" t="str">
        <f>RTD("rtdtrading.rtdserver",, "T&amp;T1", "DAT", 463)</f>
        <v>A janela foi fechada</v>
      </c>
      <c r="H471" s="39" t="str">
        <f>RTD("rtdtrading.rtdserver",, "T&amp;T1", "PRE", 463)</f>
        <v>A janela foi fechada</v>
      </c>
      <c r="I471" s="40" t="str">
        <f>RTD("rtdtrading.rtdserver",, "T&amp;T1", "QUL", 463)</f>
        <v>A janela foi fechada</v>
      </c>
      <c r="J471" s="41" t="str">
        <f>RTD("rtdtrading.rtdserver",, "T&amp;T1", "AGR", 463)</f>
        <v>A janela foi fechada</v>
      </c>
    </row>
    <row r="472" spans="1:10" x14ac:dyDescent="0.25">
      <c r="A472" s="46" t="str">
        <f>RTD("rtdtrading.rtdserver",, "T&amp;T2", "DAT", 464)</f>
        <v>A janela foi fechada</v>
      </c>
      <c r="B472" s="29" t="str">
        <f>RTD("rtdtrading.rtdserver",, "T&amp;T2", "PRE", 464)</f>
        <v>A janela foi fechada</v>
      </c>
      <c r="C472" s="30" t="str">
        <f>RTD("rtdtrading.rtdserver",, "T&amp;T2", "QUL", 464)</f>
        <v>A janela foi fechada</v>
      </c>
      <c r="D472" s="30" t="str">
        <f>RTD("rtdtrading.rtdserver",, "T&amp;T2", "AGR", 464)</f>
        <v>A janela foi fechada</v>
      </c>
      <c r="G472" s="38" t="str">
        <f>RTD("rtdtrading.rtdserver",, "T&amp;T1", "DAT", 464)</f>
        <v>A janela foi fechada</v>
      </c>
      <c r="H472" s="39" t="str">
        <f>RTD("rtdtrading.rtdserver",, "T&amp;T1", "PRE", 464)</f>
        <v>A janela foi fechada</v>
      </c>
      <c r="I472" s="40" t="str">
        <f>RTD("rtdtrading.rtdserver",, "T&amp;T1", "QUL", 464)</f>
        <v>A janela foi fechada</v>
      </c>
      <c r="J472" s="41" t="str">
        <f>RTD("rtdtrading.rtdserver",, "T&amp;T1", "AGR", 464)</f>
        <v>A janela foi fechada</v>
      </c>
    </row>
    <row r="473" spans="1:10" x14ac:dyDescent="0.25">
      <c r="A473" s="46" t="str">
        <f>RTD("rtdtrading.rtdserver",, "T&amp;T2", "DAT", 465)</f>
        <v>A janela foi fechada</v>
      </c>
      <c r="B473" s="29" t="str">
        <f>RTD("rtdtrading.rtdserver",, "T&amp;T2", "PRE", 465)</f>
        <v>A janela foi fechada</v>
      </c>
      <c r="C473" s="30" t="str">
        <f>RTD("rtdtrading.rtdserver",, "T&amp;T2", "QUL", 465)</f>
        <v>A janela foi fechada</v>
      </c>
      <c r="D473" s="30" t="str">
        <f>RTD("rtdtrading.rtdserver",, "T&amp;T2", "AGR", 465)</f>
        <v>A janela foi fechada</v>
      </c>
      <c r="G473" s="38" t="str">
        <f>RTD("rtdtrading.rtdserver",, "T&amp;T1", "DAT", 465)</f>
        <v>A janela foi fechada</v>
      </c>
      <c r="H473" s="39" t="str">
        <f>RTD("rtdtrading.rtdserver",, "T&amp;T1", "PRE", 465)</f>
        <v>A janela foi fechada</v>
      </c>
      <c r="I473" s="40" t="str">
        <f>RTD("rtdtrading.rtdserver",, "T&amp;T1", "QUL", 465)</f>
        <v>A janela foi fechada</v>
      </c>
      <c r="J473" s="41" t="str">
        <f>RTD("rtdtrading.rtdserver",, "T&amp;T1", "AGR", 465)</f>
        <v>A janela foi fechada</v>
      </c>
    </row>
    <row r="474" spans="1:10" x14ac:dyDescent="0.25">
      <c r="A474" s="46" t="str">
        <f>RTD("rtdtrading.rtdserver",, "T&amp;T2", "DAT", 466)</f>
        <v>A janela foi fechada</v>
      </c>
      <c r="B474" s="29" t="str">
        <f>RTD("rtdtrading.rtdserver",, "T&amp;T2", "PRE", 466)</f>
        <v>A janela foi fechada</v>
      </c>
      <c r="C474" s="30" t="str">
        <f>RTD("rtdtrading.rtdserver",, "T&amp;T2", "QUL", 466)</f>
        <v>A janela foi fechada</v>
      </c>
      <c r="D474" s="30" t="str">
        <f>RTD("rtdtrading.rtdserver",, "T&amp;T2", "AGR", 466)</f>
        <v>A janela foi fechada</v>
      </c>
      <c r="G474" s="38" t="str">
        <f>RTD("rtdtrading.rtdserver",, "T&amp;T1", "DAT", 466)</f>
        <v>A janela foi fechada</v>
      </c>
      <c r="H474" s="39" t="str">
        <f>RTD("rtdtrading.rtdserver",, "T&amp;T1", "PRE", 466)</f>
        <v>A janela foi fechada</v>
      </c>
      <c r="I474" s="40" t="str">
        <f>RTD("rtdtrading.rtdserver",, "T&amp;T1", "QUL", 466)</f>
        <v>A janela foi fechada</v>
      </c>
      <c r="J474" s="41" t="str">
        <f>RTD("rtdtrading.rtdserver",, "T&amp;T1", "AGR", 466)</f>
        <v>A janela foi fechada</v>
      </c>
    </row>
    <row r="475" spans="1:10" x14ac:dyDescent="0.25">
      <c r="A475" s="46" t="str">
        <f>RTD("rtdtrading.rtdserver",, "T&amp;T2", "DAT", 467)</f>
        <v>A janela foi fechada</v>
      </c>
      <c r="B475" s="29" t="str">
        <f>RTD("rtdtrading.rtdserver",, "T&amp;T2", "PRE", 467)</f>
        <v>A janela foi fechada</v>
      </c>
      <c r="C475" s="30" t="str">
        <f>RTD("rtdtrading.rtdserver",, "T&amp;T2", "QUL", 467)</f>
        <v>A janela foi fechada</v>
      </c>
      <c r="D475" s="30" t="str">
        <f>RTD("rtdtrading.rtdserver",, "T&amp;T2", "AGR", 467)</f>
        <v>A janela foi fechada</v>
      </c>
      <c r="G475" s="38" t="str">
        <f>RTD("rtdtrading.rtdserver",, "T&amp;T1", "DAT", 467)</f>
        <v>A janela foi fechada</v>
      </c>
      <c r="H475" s="39" t="str">
        <f>RTD("rtdtrading.rtdserver",, "T&amp;T1", "PRE", 467)</f>
        <v>A janela foi fechada</v>
      </c>
      <c r="I475" s="40" t="str">
        <f>RTD("rtdtrading.rtdserver",, "T&amp;T1", "QUL", 467)</f>
        <v>A janela foi fechada</v>
      </c>
      <c r="J475" s="41" t="str">
        <f>RTD("rtdtrading.rtdserver",, "T&amp;T1", "AGR", 467)</f>
        <v>A janela foi fechada</v>
      </c>
    </row>
    <row r="476" spans="1:10" x14ac:dyDescent="0.25">
      <c r="A476" s="46" t="str">
        <f>RTD("rtdtrading.rtdserver",, "T&amp;T2", "DAT", 468)</f>
        <v>A janela foi fechada</v>
      </c>
      <c r="B476" s="29" t="str">
        <f>RTD("rtdtrading.rtdserver",, "T&amp;T2", "PRE", 468)</f>
        <v>A janela foi fechada</v>
      </c>
      <c r="C476" s="30" t="str">
        <f>RTD("rtdtrading.rtdserver",, "T&amp;T2", "QUL", 468)</f>
        <v>A janela foi fechada</v>
      </c>
      <c r="D476" s="30" t="str">
        <f>RTD("rtdtrading.rtdserver",, "T&amp;T2", "AGR", 468)</f>
        <v>A janela foi fechada</v>
      </c>
      <c r="G476" s="38" t="str">
        <f>RTD("rtdtrading.rtdserver",, "T&amp;T1", "DAT", 468)</f>
        <v>A janela foi fechada</v>
      </c>
      <c r="H476" s="39" t="str">
        <f>RTD("rtdtrading.rtdserver",, "T&amp;T1", "PRE", 468)</f>
        <v>A janela foi fechada</v>
      </c>
      <c r="I476" s="40" t="str">
        <f>RTD("rtdtrading.rtdserver",, "T&amp;T1", "QUL", 468)</f>
        <v>A janela foi fechada</v>
      </c>
      <c r="J476" s="41" t="str">
        <f>RTD("rtdtrading.rtdserver",, "T&amp;T1", "AGR", 468)</f>
        <v>A janela foi fechada</v>
      </c>
    </row>
    <row r="477" spans="1:10" x14ac:dyDescent="0.25">
      <c r="A477" s="46" t="str">
        <f>RTD("rtdtrading.rtdserver",, "T&amp;T2", "DAT", 469)</f>
        <v>A janela foi fechada</v>
      </c>
      <c r="B477" s="29" t="str">
        <f>RTD("rtdtrading.rtdserver",, "T&amp;T2", "PRE", 469)</f>
        <v>A janela foi fechada</v>
      </c>
      <c r="C477" s="30" t="str">
        <f>RTD("rtdtrading.rtdserver",, "T&amp;T2", "QUL", 469)</f>
        <v>A janela foi fechada</v>
      </c>
      <c r="D477" s="30" t="str">
        <f>RTD("rtdtrading.rtdserver",, "T&amp;T2", "AGR", 469)</f>
        <v>A janela foi fechada</v>
      </c>
      <c r="G477" s="38" t="str">
        <f>RTD("rtdtrading.rtdserver",, "T&amp;T1", "DAT", 469)</f>
        <v>A janela foi fechada</v>
      </c>
      <c r="H477" s="39" t="str">
        <f>RTD("rtdtrading.rtdserver",, "T&amp;T1", "PRE", 469)</f>
        <v>A janela foi fechada</v>
      </c>
      <c r="I477" s="40" t="str">
        <f>RTD("rtdtrading.rtdserver",, "T&amp;T1", "QUL", 469)</f>
        <v>A janela foi fechada</v>
      </c>
      <c r="J477" s="41" t="str">
        <f>RTD("rtdtrading.rtdserver",, "T&amp;T1", "AGR", 469)</f>
        <v>A janela foi fechada</v>
      </c>
    </row>
    <row r="478" spans="1:10" x14ac:dyDescent="0.25">
      <c r="A478" s="46" t="str">
        <f>RTD("rtdtrading.rtdserver",, "T&amp;T2", "DAT", 470)</f>
        <v>A janela foi fechada</v>
      </c>
      <c r="B478" s="29" t="str">
        <f>RTD("rtdtrading.rtdserver",, "T&amp;T2", "PRE", 470)</f>
        <v>A janela foi fechada</v>
      </c>
      <c r="C478" s="30" t="str">
        <f>RTD("rtdtrading.rtdserver",, "T&amp;T2", "QUL", 470)</f>
        <v>A janela foi fechada</v>
      </c>
      <c r="D478" s="30" t="str">
        <f>RTD("rtdtrading.rtdserver",, "T&amp;T2", "AGR", 470)</f>
        <v>A janela foi fechada</v>
      </c>
      <c r="G478" s="38" t="str">
        <f>RTD("rtdtrading.rtdserver",, "T&amp;T1", "DAT", 470)</f>
        <v>A janela foi fechada</v>
      </c>
      <c r="H478" s="39" t="str">
        <f>RTD("rtdtrading.rtdserver",, "T&amp;T1", "PRE", 470)</f>
        <v>A janela foi fechada</v>
      </c>
      <c r="I478" s="40" t="str">
        <f>RTD("rtdtrading.rtdserver",, "T&amp;T1", "QUL", 470)</f>
        <v>A janela foi fechada</v>
      </c>
      <c r="J478" s="41" t="str">
        <f>RTD("rtdtrading.rtdserver",, "T&amp;T1", "AGR", 470)</f>
        <v>A janela foi fechada</v>
      </c>
    </row>
    <row r="479" spans="1:10" x14ac:dyDescent="0.25">
      <c r="A479" s="46" t="str">
        <f>RTD("rtdtrading.rtdserver",, "T&amp;T2", "DAT", 471)</f>
        <v>A janela foi fechada</v>
      </c>
      <c r="B479" s="29" t="str">
        <f>RTD("rtdtrading.rtdserver",, "T&amp;T2", "PRE", 471)</f>
        <v>A janela foi fechada</v>
      </c>
      <c r="C479" s="30" t="str">
        <f>RTD("rtdtrading.rtdserver",, "T&amp;T2", "QUL", 471)</f>
        <v>A janela foi fechada</v>
      </c>
      <c r="D479" s="30" t="str">
        <f>RTD("rtdtrading.rtdserver",, "T&amp;T2", "AGR", 471)</f>
        <v>A janela foi fechada</v>
      </c>
      <c r="G479" s="38" t="str">
        <f>RTD("rtdtrading.rtdserver",, "T&amp;T1", "DAT", 471)</f>
        <v>A janela foi fechada</v>
      </c>
      <c r="H479" s="39" t="str">
        <f>RTD("rtdtrading.rtdserver",, "T&amp;T1", "PRE", 471)</f>
        <v>A janela foi fechada</v>
      </c>
      <c r="I479" s="40" t="str">
        <f>RTD("rtdtrading.rtdserver",, "T&amp;T1", "QUL", 471)</f>
        <v>A janela foi fechada</v>
      </c>
      <c r="J479" s="41" t="str">
        <f>RTD("rtdtrading.rtdserver",, "T&amp;T1", "AGR", 471)</f>
        <v>A janela foi fechada</v>
      </c>
    </row>
    <row r="480" spans="1:10" x14ac:dyDescent="0.25">
      <c r="A480" s="46" t="str">
        <f>RTD("rtdtrading.rtdserver",, "T&amp;T2", "DAT", 472)</f>
        <v>A janela foi fechada</v>
      </c>
      <c r="B480" s="29" t="str">
        <f>RTD("rtdtrading.rtdserver",, "T&amp;T2", "PRE", 472)</f>
        <v>A janela foi fechada</v>
      </c>
      <c r="C480" s="30" t="str">
        <f>RTD("rtdtrading.rtdserver",, "T&amp;T2", "QUL", 472)</f>
        <v>A janela foi fechada</v>
      </c>
      <c r="D480" s="30" t="str">
        <f>RTD("rtdtrading.rtdserver",, "T&amp;T2", "AGR", 472)</f>
        <v>A janela foi fechada</v>
      </c>
      <c r="G480" s="38" t="str">
        <f>RTD("rtdtrading.rtdserver",, "T&amp;T1", "DAT", 472)</f>
        <v>A janela foi fechada</v>
      </c>
      <c r="H480" s="39" t="str">
        <f>RTD("rtdtrading.rtdserver",, "T&amp;T1", "PRE", 472)</f>
        <v>A janela foi fechada</v>
      </c>
      <c r="I480" s="40" t="str">
        <f>RTD("rtdtrading.rtdserver",, "T&amp;T1", "QUL", 472)</f>
        <v>A janela foi fechada</v>
      </c>
      <c r="J480" s="41" t="str">
        <f>RTD("rtdtrading.rtdserver",, "T&amp;T1", "AGR", 472)</f>
        <v>A janela foi fechada</v>
      </c>
    </row>
    <row r="481" spans="1:10" x14ac:dyDescent="0.25">
      <c r="A481" s="46" t="str">
        <f>RTD("rtdtrading.rtdserver",, "T&amp;T2", "DAT", 473)</f>
        <v>A janela foi fechada</v>
      </c>
      <c r="B481" s="29" t="str">
        <f>RTD("rtdtrading.rtdserver",, "T&amp;T2", "PRE", 473)</f>
        <v>A janela foi fechada</v>
      </c>
      <c r="C481" s="30" t="str">
        <f>RTD("rtdtrading.rtdserver",, "T&amp;T2", "QUL", 473)</f>
        <v>A janela foi fechada</v>
      </c>
      <c r="D481" s="30" t="str">
        <f>RTD("rtdtrading.rtdserver",, "T&amp;T2", "AGR", 473)</f>
        <v>A janela foi fechada</v>
      </c>
      <c r="G481" s="38" t="str">
        <f>RTD("rtdtrading.rtdserver",, "T&amp;T1", "DAT", 473)</f>
        <v>A janela foi fechada</v>
      </c>
      <c r="H481" s="39" t="str">
        <f>RTD("rtdtrading.rtdserver",, "T&amp;T1", "PRE", 473)</f>
        <v>A janela foi fechada</v>
      </c>
      <c r="I481" s="40" t="str">
        <f>RTD("rtdtrading.rtdserver",, "T&amp;T1", "QUL", 473)</f>
        <v>A janela foi fechada</v>
      </c>
      <c r="J481" s="41" t="str">
        <f>RTD("rtdtrading.rtdserver",, "T&amp;T1", "AGR", 473)</f>
        <v>A janela foi fechada</v>
      </c>
    </row>
    <row r="482" spans="1:10" x14ac:dyDescent="0.25">
      <c r="A482" s="46" t="str">
        <f>RTD("rtdtrading.rtdserver",, "T&amp;T2", "DAT", 474)</f>
        <v>A janela foi fechada</v>
      </c>
      <c r="B482" s="29" t="str">
        <f>RTD("rtdtrading.rtdserver",, "T&amp;T2", "PRE", 474)</f>
        <v>A janela foi fechada</v>
      </c>
      <c r="C482" s="30" t="str">
        <f>RTD("rtdtrading.rtdserver",, "T&amp;T2", "QUL", 474)</f>
        <v>A janela foi fechada</v>
      </c>
      <c r="D482" s="30" t="str">
        <f>RTD("rtdtrading.rtdserver",, "T&amp;T2", "AGR", 474)</f>
        <v>A janela foi fechada</v>
      </c>
      <c r="G482" s="38" t="str">
        <f>RTD("rtdtrading.rtdserver",, "T&amp;T1", "DAT", 474)</f>
        <v>A janela foi fechada</v>
      </c>
      <c r="H482" s="39" t="str">
        <f>RTD("rtdtrading.rtdserver",, "T&amp;T1", "PRE", 474)</f>
        <v>A janela foi fechada</v>
      </c>
      <c r="I482" s="40" t="str">
        <f>RTD("rtdtrading.rtdserver",, "T&amp;T1", "QUL", 474)</f>
        <v>A janela foi fechada</v>
      </c>
      <c r="J482" s="41" t="str">
        <f>RTD("rtdtrading.rtdserver",, "T&amp;T1", "AGR", 474)</f>
        <v>A janela foi fechada</v>
      </c>
    </row>
    <row r="483" spans="1:10" x14ac:dyDescent="0.25">
      <c r="A483" s="46" t="str">
        <f>RTD("rtdtrading.rtdserver",, "T&amp;T2", "DAT", 475)</f>
        <v>A janela foi fechada</v>
      </c>
      <c r="B483" s="29" t="str">
        <f>RTD("rtdtrading.rtdserver",, "T&amp;T2", "PRE", 475)</f>
        <v>A janela foi fechada</v>
      </c>
      <c r="C483" s="30" t="str">
        <f>RTD("rtdtrading.rtdserver",, "T&amp;T2", "QUL", 475)</f>
        <v>A janela foi fechada</v>
      </c>
      <c r="D483" s="30" t="str">
        <f>RTD("rtdtrading.rtdserver",, "T&amp;T2", "AGR", 475)</f>
        <v>A janela foi fechada</v>
      </c>
      <c r="G483" s="38" t="str">
        <f>RTD("rtdtrading.rtdserver",, "T&amp;T1", "DAT", 475)</f>
        <v>A janela foi fechada</v>
      </c>
      <c r="H483" s="39" t="str">
        <f>RTD("rtdtrading.rtdserver",, "T&amp;T1", "PRE", 475)</f>
        <v>A janela foi fechada</v>
      </c>
      <c r="I483" s="40" t="str">
        <f>RTD("rtdtrading.rtdserver",, "T&amp;T1", "QUL", 475)</f>
        <v>A janela foi fechada</v>
      </c>
      <c r="J483" s="41" t="str">
        <f>RTD("rtdtrading.rtdserver",, "T&amp;T1", "AGR", 475)</f>
        <v>A janela foi fechada</v>
      </c>
    </row>
    <row r="484" spans="1:10" x14ac:dyDescent="0.25">
      <c r="A484" s="46" t="str">
        <f>RTD("rtdtrading.rtdserver",, "T&amp;T2", "DAT", 476)</f>
        <v>A janela foi fechada</v>
      </c>
      <c r="B484" s="29" t="str">
        <f>RTD("rtdtrading.rtdserver",, "T&amp;T2", "PRE", 476)</f>
        <v>A janela foi fechada</v>
      </c>
      <c r="C484" s="30" t="str">
        <f>RTD("rtdtrading.rtdserver",, "T&amp;T2", "QUL", 476)</f>
        <v>A janela foi fechada</v>
      </c>
      <c r="D484" s="30" t="str">
        <f>RTD("rtdtrading.rtdserver",, "T&amp;T2", "AGR", 476)</f>
        <v>A janela foi fechada</v>
      </c>
      <c r="G484" s="38" t="str">
        <f>RTD("rtdtrading.rtdserver",, "T&amp;T1", "DAT", 476)</f>
        <v>A janela foi fechada</v>
      </c>
      <c r="H484" s="39" t="str">
        <f>RTD("rtdtrading.rtdserver",, "T&amp;T1", "PRE", 476)</f>
        <v>A janela foi fechada</v>
      </c>
      <c r="I484" s="40" t="str">
        <f>RTD("rtdtrading.rtdserver",, "T&amp;T1", "QUL", 476)</f>
        <v>A janela foi fechada</v>
      </c>
      <c r="J484" s="41" t="str">
        <f>RTD("rtdtrading.rtdserver",, "T&amp;T1", "AGR", 476)</f>
        <v>A janela foi fechada</v>
      </c>
    </row>
    <row r="485" spans="1:10" x14ac:dyDescent="0.25">
      <c r="A485" s="46" t="str">
        <f>RTD("rtdtrading.rtdserver",, "T&amp;T2", "DAT", 477)</f>
        <v>A janela foi fechada</v>
      </c>
      <c r="B485" s="29" t="str">
        <f>RTD("rtdtrading.rtdserver",, "T&amp;T2", "PRE", 477)</f>
        <v>A janela foi fechada</v>
      </c>
      <c r="C485" s="30" t="str">
        <f>RTD("rtdtrading.rtdserver",, "T&amp;T2", "QUL", 477)</f>
        <v>A janela foi fechada</v>
      </c>
      <c r="D485" s="30" t="str">
        <f>RTD("rtdtrading.rtdserver",, "T&amp;T2", "AGR", 477)</f>
        <v>A janela foi fechada</v>
      </c>
      <c r="G485" s="38" t="str">
        <f>RTD("rtdtrading.rtdserver",, "T&amp;T1", "DAT", 477)</f>
        <v>A janela foi fechada</v>
      </c>
      <c r="H485" s="39" t="str">
        <f>RTD("rtdtrading.rtdserver",, "T&amp;T1", "PRE", 477)</f>
        <v>A janela foi fechada</v>
      </c>
      <c r="I485" s="40" t="str">
        <f>RTD("rtdtrading.rtdserver",, "T&amp;T1", "QUL", 477)</f>
        <v>A janela foi fechada</v>
      </c>
      <c r="J485" s="41" t="str">
        <f>RTD("rtdtrading.rtdserver",, "T&amp;T1", "AGR", 477)</f>
        <v>A janela foi fechada</v>
      </c>
    </row>
    <row r="486" spans="1:10" x14ac:dyDescent="0.25">
      <c r="A486" s="46" t="str">
        <f>RTD("rtdtrading.rtdserver",, "T&amp;T2", "DAT", 478)</f>
        <v>A janela foi fechada</v>
      </c>
      <c r="B486" s="29" t="str">
        <f>RTD("rtdtrading.rtdserver",, "T&amp;T2", "PRE", 478)</f>
        <v>A janela foi fechada</v>
      </c>
      <c r="C486" s="30" t="str">
        <f>RTD("rtdtrading.rtdserver",, "T&amp;T2", "QUL", 478)</f>
        <v>A janela foi fechada</v>
      </c>
      <c r="D486" s="30" t="str">
        <f>RTD("rtdtrading.rtdserver",, "T&amp;T2", "AGR", 478)</f>
        <v>A janela foi fechada</v>
      </c>
      <c r="G486" s="38" t="str">
        <f>RTD("rtdtrading.rtdserver",, "T&amp;T1", "DAT", 478)</f>
        <v>A janela foi fechada</v>
      </c>
      <c r="H486" s="39" t="str">
        <f>RTD("rtdtrading.rtdserver",, "T&amp;T1", "PRE", 478)</f>
        <v>A janela foi fechada</v>
      </c>
      <c r="I486" s="40" t="str">
        <f>RTD("rtdtrading.rtdserver",, "T&amp;T1", "QUL", 478)</f>
        <v>A janela foi fechada</v>
      </c>
      <c r="J486" s="41" t="str">
        <f>RTD("rtdtrading.rtdserver",, "T&amp;T1", "AGR", 478)</f>
        <v>A janela foi fechada</v>
      </c>
    </row>
    <row r="487" spans="1:10" x14ac:dyDescent="0.25">
      <c r="A487" s="46" t="str">
        <f>RTD("rtdtrading.rtdserver",, "T&amp;T2", "DAT", 479)</f>
        <v>A janela foi fechada</v>
      </c>
      <c r="B487" s="29" t="str">
        <f>RTD("rtdtrading.rtdserver",, "T&amp;T2", "PRE", 479)</f>
        <v>A janela foi fechada</v>
      </c>
      <c r="C487" s="30" t="str">
        <f>RTD("rtdtrading.rtdserver",, "T&amp;T2", "QUL", 479)</f>
        <v>A janela foi fechada</v>
      </c>
      <c r="D487" s="30" t="str">
        <f>RTD("rtdtrading.rtdserver",, "T&amp;T2", "AGR", 479)</f>
        <v>A janela foi fechada</v>
      </c>
      <c r="G487" s="38" t="str">
        <f>RTD("rtdtrading.rtdserver",, "T&amp;T1", "DAT", 479)</f>
        <v>A janela foi fechada</v>
      </c>
      <c r="H487" s="39" t="str">
        <f>RTD("rtdtrading.rtdserver",, "T&amp;T1", "PRE", 479)</f>
        <v>A janela foi fechada</v>
      </c>
      <c r="I487" s="40" t="str">
        <f>RTD("rtdtrading.rtdserver",, "T&amp;T1", "QUL", 479)</f>
        <v>A janela foi fechada</v>
      </c>
      <c r="J487" s="41" t="str">
        <f>RTD("rtdtrading.rtdserver",, "T&amp;T1", "AGR", 479)</f>
        <v>A janela foi fechada</v>
      </c>
    </row>
    <row r="488" spans="1:10" x14ac:dyDescent="0.25">
      <c r="A488" s="46" t="str">
        <f>RTD("rtdtrading.rtdserver",, "T&amp;T2", "DAT", 480)</f>
        <v>A janela foi fechada</v>
      </c>
      <c r="B488" s="29" t="str">
        <f>RTD("rtdtrading.rtdserver",, "T&amp;T2", "PRE", 480)</f>
        <v>A janela foi fechada</v>
      </c>
      <c r="C488" s="30" t="str">
        <f>RTD("rtdtrading.rtdserver",, "T&amp;T2", "QUL", 480)</f>
        <v>A janela foi fechada</v>
      </c>
      <c r="D488" s="30" t="str">
        <f>RTD("rtdtrading.rtdserver",, "T&amp;T2", "AGR", 480)</f>
        <v>A janela foi fechada</v>
      </c>
      <c r="G488" s="38" t="str">
        <f>RTD("rtdtrading.rtdserver",, "T&amp;T1", "DAT", 480)</f>
        <v>A janela foi fechada</v>
      </c>
      <c r="H488" s="39" t="str">
        <f>RTD("rtdtrading.rtdserver",, "T&amp;T1", "PRE", 480)</f>
        <v>A janela foi fechada</v>
      </c>
      <c r="I488" s="40" t="str">
        <f>RTD("rtdtrading.rtdserver",, "T&amp;T1", "QUL", 480)</f>
        <v>A janela foi fechada</v>
      </c>
      <c r="J488" s="41" t="str">
        <f>RTD("rtdtrading.rtdserver",, "T&amp;T1", "AGR", 480)</f>
        <v>A janela foi fechada</v>
      </c>
    </row>
    <row r="489" spans="1:10" x14ac:dyDescent="0.25">
      <c r="A489" s="46" t="str">
        <f>RTD("rtdtrading.rtdserver",, "T&amp;T2", "DAT", 481)</f>
        <v>A janela foi fechada</v>
      </c>
      <c r="B489" s="29" t="str">
        <f>RTD("rtdtrading.rtdserver",, "T&amp;T2", "PRE", 481)</f>
        <v>A janela foi fechada</v>
      </c>
      <c r="C489" s="30" t="str">
        <f>RTD("rtdtrading.rtdserver",, "T&amp;T2", "QUL", 481)</f>
        <v>A janela foi fechada</v>
      </c>
      <c r="D489" s="30" t="str">
        <f>RTD("rtdtrading.rtdserver",, "T&amp;T2", "AGR", 481)</f>
        <v>A janela foi fechada</v>
      </c>
      <c r="G489" s="38" t="str">
        <f>RTD("rtdtrading.rtdserver",, "T&amp;T1", "DAT", 481)</f>
        <v>A janela foi fechada</v>
      </c>
      <c r="H489" s="39" t="str">
        <f>RTD("rtdtrading.rtdserver",, "T&amp;T1", "PRE", 481)</f>
        <v>A janela foi fechada</v>
      </c>
      <c r="I489" s="40" t="str">
        <f>RTD("rtdtrading.rtdserver",, "T&amp;T1", "QUL", 481)</f>
        <v>A janela foi fechada</v>
      </c>
      <c r="J489" s="41" t="str">
        <f>RTD("rtdtrading.rtdserver",, "T&amp;T1", "AGR", 481)</f>
        <v>A janela foi fechada</v>
      </c>
    </row>
    <row r="490" spans="1:10" x14ac:dyDescent="0.25">
      <c r="A490" s="46" t="str">
        <f>RTD("rtdtrading.rtdserver",, "T&amp;T2", "DAT", 482)</f>
        <v>A janela foi fechada</v>
      </c>
      <c r="B490" s="29" t="str">
        <f>RTD("rtdtrading.rtdserver",, "T&amp;T2", "PRE", 482)</f>
        <v>A janela foi fechada</v>
      </c>
      <c r="C490" s="30" t="str">
        <f>RTD("rtdtrading.rtdserver",, "T&amp;T2", "QUL", 482)</f>
        <v>A janela foi fechada</v>
      </c>
      <c r="D490" s="30" t="str">
        <f>RTD("rtdtrading.rtdserver",, "T&amp;T2", "AGR", 482)</f>
        <v>A janela foi fechada</v>
      </c>
      <c r="G490" s="38" t="str">
        <f>RTD("rtdtrading.rtdserver",, "T&amp;T1", "DAT", 482)</f>
        <v>A janela foi fechada</v>
      </c>
      <c r="H490" s="39" t="str">
        <f>RTD("rtdtrading.rtdserver",, "T&amp;T1", "PRE", 482)</f>
        <v>A janela foi fechada</v>
      </c>
      <c r="I490" s="40" t="str">
        <f>RTD("rtdtrading.rtdserver",, "T&amp;T1", "QUL", 482)</f>
        <v>A janela foi fechada</v>
      </c>
      <c r="J490" s="41" t="str">
        <f>RTD("rtdtrading.rtdserver",, "T&amp;T1", "AGR", 482)</f>
        <v>A janela foi fechada</v>
      </c>
    </row>
    <row r="491" spans="1:10" x14ac:dyDescent="0.25">
      <c r="A491" s="46" t="str">
        <f>RTD("rtdtrading.rtdserver",, "T&amp;T2", "DAT", 483)</f>
        <v>A janela foi fechada</v>
      </c>
      <c r="B491" s="29" t="str">
        <f>RTD("rtdtrading.rtdserver",, "T&amp;T2", "PRE", 483)</f>
        <v>A janela foi fechada</v>
      </c>
      <c r="C491" s="30" t="str">
        <f>RTD("rtdtrading.rtdserver",, "T&amp;T2", "QUL", 483)</f>
        <v>A janela foi fechada</v>
      </c>
      <c r="D491" s="30" t="str">
        <f>RTD("rtdtrading.rtdserver",, "T&amp;T2", "AGR", 483)</f>
        <v>A janela foi fechada</v>
      </c>
      <c r="G491" s="38" t="str">
        <f>RTD("rtdtrading.rtdserver",, "T&amp;T1", "DAT", 483)</f>
        <v>A janela foi fechada</v>
      </c>
      <c r="H491" s="39" t="str">
        <f>RTD("rtdtrading.rtdserver",, "T&amp;T1", "PRE", 483)</f>
        <v>A janela foi fechada</v>
      </c>
      <c r="I491" s="40" t="str">
        <f>RTD("rtdtrading.rtdserver",, "T&amp;T1", "QUL", 483)</f>
        <v>A janela foi fechada</v>
      </c>
      <c r="J491" s="41" t="str">
        <f>RTD("rtdtrading.rtdserver",, "T&amp;T1", "AGR", 483)</f>
        <v>A janela foi fechada</v>
      </c>
    </row>
    <row r="492" spans="1:10" x14ac:dyDescent="0.25">
      <c r="A492" s="46" t="str">
        <f>RTD("rtdtrading.rtdserver",, "T&amp;T2", "DAT", 484)</f>
        <v>A janela foi fechada</v>
      </c>
      <c r="B492" s="29" t="str">
        <f>RTD("rtdtrading.rtdserver",, "T&amp;T2", "PRE", 484)</f>
        <v>A janela foi fechada</v>
      </c>
      <c r="C492" s="30" t="str">
        <f>RTD("rtdtrading.rtdserver",, "T&amp;T2", "QUL", 484)</f>
        <v>A janela foi fechada</v>
      </c>
      <c r="D492" s="30" t="str">
        <f>RTD("rtdtrading.rtdserver",, "T&amp;T2", "AGR", 484)</f>
        <v>A janela foi fechada</v>
      </c>
      <c r="G492" s="38" t="str">
        <f>RTD("rtdtrading.rtdserver",, "T&amp;T1", "DAT", 484)</f>
        <v>A janela foi fechada</v>
      </c>
      <c r="H492" s="39" t="str">
        <f>RTD("rtdtrading.rtdserver",, "T&amp;T1", "PRE", 484)</f>
        <v>A janela foi fechada</v>
      </c>
      <c r="I492" s="40" t="str">
        <f>RTD("rtdtrading.rtdserver",, "T&amp;T1", "QUL", 484)</f>
        <v>A janela foi fechada</v>
      </c>
      <c r="J492" s="41" t="str">
        <f>RTD("rtdtrading.rtdserver",, "T&amp;T1", "AGR", 484)</f>
        <v>A janela foi fechada</v>
      </c>
    </row>
    <row r="493" spans="1:10" x14ac:dyDescent="0.25">
      <c r="A493" s="46" t="str">
        <f>RTD("rtdtrading.rtdserver",, "T&amp;T2", "DAT", 485)</f>
        <v>A janela foi fechada</v>
      </c>
      <c r="B493" s="29" t="str">
        <f>RTD("rtdtrading.rtdserver",, "T&amp;T2", "PRE", 485)</f>
        <v>A janela foi fechada</v>
      </c>
      <c r="C493" s="30" t="str">
        <f>RTD("rtdtrading.rtdserver",, "T&amp;T2", "QUL", 485)</f>
        <v>A janela foi fechada</v>
      </c>
      <c r="D493" s="30" t="str">
        <f>RTD("rtdtrading.rtdserver",, "T&amp;T2", "AGR", 485)</f>
        <v>A janela foi fechada</v>
      </c>
      <c r="G493" s="38" t="str">
        <f>RTD("rtdtrading.rtdserver",, "T&amp;T1", "DAT", 485)</f>
        <v>A janela foi fechada</v>
      </c>
      <c r="H493" s="39" t="str">
        <f>RTD("rtdtrading.rtdserver",, "T&amp;T1", "PRE", 485)</f>
        <v>A janela foi fechada</v>
      </c>
      <c r="I493" s="40" t="str">
        <f>RTD("rtdtrading.rtdserver",, "T&amp;T1", "QUL", 485)</f>
        <v>A janela foi fechada</v>
      </c>
      <c r="J493" s="41" t="str">
        <f>RTD("rtdtrading.rtdserver",, "T&amp;T1", "AGR", 485)</f>
        <v>A janela foi fechada</v>
      </c>
    </row>
    <row r="494" spans="1:10" x14ac:dyDescent="0.25">
      <c r="A494" s="46" t="str">
        <f>RTD("rtdtrading.rtdserver",, "T&amp;T2", "DAT", 486)</f>
        <v>A janela foi fechada</v>
      </c>
      <c r="B494" s="29" t="str">
        <f>RTD("rtdtrading.rtdserver",, "T&amp;T2", "PRE", 486)</f>
        <v>A janela foi fechada</v>
      </c>
      <c r="C494" s="30" t="str">
        <f>RTD("rtdtrading.rtdserver",, "T&amp;T2", "QUL", 486)</f>
        <v>A janela foi fechada</v>
      </c>
      <c r="D494" s="30" t="str">
        <f>RTD("rtdtrading.rtdserver",, "T&amp;T2", "AGR", 486)</f>
        <v>A janela foi fechada</v>
      </c>
      <c r="G494" s="38" t="str">
        <f>RTD("rtdtrading.rtdserver",, "T&amp;T1", "DAT", 486)</f>
        <v>A janela foi fechada</v>
      </c>
      <c r="H494" s="39" t="str">
        <f>RTD("rtdtrading.rtdserver",, "T&amp;T1", "PRE", 486)</f>
        <v>A janela foi fechada</v>
      </c>
      <c r="I494" s="40" t="str">
        <f>RTD("rtdtrading.rtdserver",, "T&amp;T1", "QUL", 486)</f>
        <v>A janela foi fechada</v>
      </c>
      <c r="J494" s="41" t="str">
        <f>RTD("rtdtrading.rtdserver",, "T&amp;T1", "AGR", 486)</f>
        <v>A janela foi fechada</v>
      </c>
    </row>
    <row r="495" spans="1:10" x14ac:dyDescent="0.25">
      <c r="A495" s="46" t="str">
        <f>RTD("rtdtrading.rtdserver",, "T&amp;T2", "DAT", 487)</f>
        <v>A janela foi fechada</v>
      </c>
      <c r="B495" s="29" t="str">
        <f>RTD("rtdtrading.rtdserver",, "T&amp;T2", "PRE", 487)</f>
        <v>A janela foi fechada</v>
      </c>
      <c r="C495" s="30" t="str">
        <f>RTD("rtdtrading.rtdserver",, "T&amp;T2", "QUL", 487)</f>
        <v>A janela foi fechada</v>
      </c>
      <c r="D495" s="30" t="str">
        <f>RTD("rtdtrading.rtdserver",, "T&amp;T2", "AGR", 487)</f>
        <v>A janela foi fechada</v>
      </c>
      <c r="G495" s="38" t="str">
        <f>RTD("rtdtrading.rtdserver",, "T&amp;T1", "DAT", 487)</f>
        <v>A janela foi fechada</v>
      </c>
      <c r="H495" s="39" t="str">
        <f>RTD("rtdtrading.rtdserver",, "T&amp;T1", "PRE", 487)</f>
        <v>A janela foi fechada</v>
      </c>
      <c r="I495" s="40" t="str">
        <f>RTD("rtdtrading.rtdserver",, "T&amp;T1", "QUL", 487)</f>
        <v>A janela foi fechada</v>
      </c>
      <c r="J495" s="41" t="str">
        <f>RTD("rtdtrading.rtdserver",, "T&amp;T1", "AGR", 487)</f>
        <v>A janela foi fechada</v>
      </c>
    </row>
    <row r="496" spans="1:10" x14ac:dyDescent="0.25">
      <c r="A496" s="46" t="str">
        <f>RTD("rtdtrading.rtdserver",, "T&amp;T2", "DAT", 488)</f>
        <v>A janela foi fechada</v>
      </c>
      <c r="B496" s="29" t="str">
        <f>RTD("rtdtrading.rtdserver",, "T&amp;T2", "PRE", 488)</f>
        <v>A janela foi fechada</v>
      </c>
      <c r="C496" s="30" t="str">
        <f>RTD("rtdtrading.rtdserver",, "T&amp;T2", "QUL", 488)</f>
        <v>A janela foi fechada</v>
      </c>
      <c r="D496" s="30" t="str">
        <f>RTD("rtdtrading.rtdserver",, "T&amp;T2", "AGR", 488)</f>
        <v>A janela foi fechada</v>
      </c>
      <c r="G496" s="38" t="str">
        <f>RTD("rtdtrading.rtdserver",, "T&amp;T1", "DAT", 488)</f>
        <v>A janela foi fechada</v>
      </c>
      <c r="H496" s="39" t="str">
        <f>RTD("rtdtrading.rtdserver",, "T&amp;T1", "PRE", 488)</f>
        <v>A janela foi fechada</v>
      </c>
      <c r="I496" s="40" t="str">
        <f>RTD("rtdtrading.rtdserver",, "T&amp;T1", "QUL", 488)</f>
        <v>A janela foi fechada</v>
      </c>
      <c r="J496" s="41" t="str">
        <f>RTD("rtdtrading.rtdserver",, "T&amp;T1", "AGR", 488)</f>
        <v>A janela foi fechada</v>
      </c>
    </row>
    <row r="497" spans="1:11" x14ac:dyDescent="0.25">
      <c r="A497" s="46" t="str">
        <f>RTD("rtdtrading.rtdserver",, "T&amp;T2", "DAT", 489)</f>
        <v>A janela foi fechada</v>
      </c>
      <c r="B497" s="29" t="str">
        <f>RTD("rtdtrading.rtdserver",, "T&amp;T2", "PRE", 489)</f>
        <v>A janela foi fechada</v>
      </c>
      <c r="C497" s="30" t="str">
        <f>RTD("rtdtrading.rtdserver",, "T&amp;T2", "QUL", 489)</f>
        <v>A janela foi fechada</v>
      </c>
      <c r="D497" s="30" t="str">
        <f>RTD("rtdtrading.rtdserver",, "T&amp;T2", "AGR", 489)</f>
        <v>A janela foi fechada</v>
      </c>
      <c r="G497" s="38" t="str">
        <f>RTD("rtdtrading.rtdserver",, "T&amp;T1", "DAT", 489)</f>
        <v>A janela foi fechada</v>
      </c>
      <c r="H497" s="39" t="str">
        <f>RTD("rtdtrading.rtdserver",, "T&amp;T1", "PRE", 489)</f>
        <v>A janela foi fechada</v>
      </c>
      <c r="I497" s="40" t="str">
        <f>RTD("rtdtrading.rtdserver",, "T&amp;T1", "QUL", 489)</f>
        <v>A janela foi fechada</v>
      </c>
      <c r="J497" s="41" t="str">
        <f>RTD("rtdtrading.rtdserver",, "T&amp;T1", "AGR", 489)</f>
        <v>A janela foi fechada</v>
      </c>
    </row>
    <row r="498" spans="1:11" x14ac:dyDescent="0.25">
      <c r="A498" s="46" t="str">
        <f>RTD("rtdtrading.rtdserver",, "T&amp;T2", "DAT", 490)</f>
        <v>A janela foi fechada</v>
      </c>
      <c r="B498" s="29" t="str">
        <f>RTD("rtdtrading.rtdserver",, "T&amp;T2", "PRE", 490)</f>
        <v>A janela foi fechada</v>
      </c>
      <c r="C498" s="30" t="str">
        <f>RTD("rtdtrading.rtdserver",, "T&amp;T2", "QUL", 490)</f>
        <v>A janela foi fechada</v>
      </c>
      <c r="D498" s="30" t="str">
        <f>RTD("rtdtrading.rtdserver",, "T&amp;T2", "AGR", 490)</f>
        <v>A janela foi fechada</v>
      </c>
      <c r="G498" s="38" t="str">
        <f>RTD("rtdtrading.rtdserver",, "T&amp;T1", "DAT", 490)</f>
        <v>A janela foi fechada</v>
      </c>
      <c r="H498" s="39" t="str">
        <f>RTD("rtdtrading.rtdserver",, "T&amp;T1", "PRE", 490)</f>
        <v>A janela foi fechada</v>
      </c>
      <c r="I498" s="40" t="str">
        <f>RTD("rtdtrading.rtdserver",, "T&amp;T1", "QUL", 490)</f>
        <v>A janela foi fechada</v>
      </c>
      <c r="J498" s="41" t="str">
        <f>RTD("rtdtrading.rtdserver",, "T&amp;T1", "AGR", 490)</f>
        <v>A janela foi fechada</v>
      </c>
    </row>
    <row r="499" spans="1:11" x14ac:dyDescent="0.25">
      <c r="A499" s="46" t="str">
        <f>RTD("rtdtrading.rtdserver",, "T&amp;T2", "DAT", 491)</f>
        <v>A janela foi fechada</v>
      </c>
      <c r="B499" s="29" t="str">
        <f>RTD("rtdtrading.rtdserver",, "T&amp;T2", "PRE", 491)</f>
        <v>A janela foi fechada</v>
      </c>
      <c r="C499" s="30" t="str">
        <f>RTD("rtdtrading.rtdserver",, "T&amp;T2", "QUL", 491)</f>
        <v>A janela foi fechada</v>
      </c>
      <c r="D499" s="30" t="str">
        <f>RTD("rtdtrading.rtdserver",, "T&amp;T2", "AGR", 491)</f>
        <v>A janela foi fechada</v>
      </c>
      <c r="G499" s="38" t="str">
        <f>RTD("rtdtrading.rtdserver",, "T&amp;T1", "DAT", 491)</f>
        <v>A janela foi fechada</v>
      </c>
      <c r="H499" s="39" t="str">
        <f>RTD("rtdtrading.rtdserver",, "T&amp;T1", "PRE", 491)</f>
        <v>A janela foi fechada</v>
      </c>
      <c r="I499" s="40" t="str">
        <f>RTD("rtdtrading.rtdserver",, "T&amp;T1", "QUL", 491)</f>
        <v>A janela foi fechada</v>
      </c>
      <c r="J499" s="41" t="str">
        <f>RTD("rtdtrading.rtdserver",, "T&amp;T1", "AGR", 491)</f>
        <v>A janela foi fechada</v>
      </c>
    </row>
    <row r="500" spans="1:11" x14ac:dyDescent="0.25">
      <c r="A500" s="46" t="str">
        <f>RTD("rtdtrading.rtdserver",, "T&amp;T2", "DAT", 492)</f>
        <v>A janela foi fechada</v>
      </c>
      <c r="B500" s="29" t="str">
        <f>RTD("rtdtrading.rtdserver",, "T&amp;T2", "PRE", 492)</f>
        <v>A janela foi fechada</v>
      </c>
      <c r="C500" s="30" t="str">
        <f>RTD("rtdtrading.rtdserver",, "T&amp;T2", "QUL", 492)</f>
        <v>A janela foi fechada</v>
      </c>
      <c r="D500" s="30" t="str">
        <f>RTD("rtdtrading.rtdserver",, "T&amp;T2", "AGR", 492)</f>
        <v>A janela foi fechada</v>
      </c>
      <c r="G500" s="38" t="str">
        <f>RTD("rtdtrading.rtdserver",, "T&amp;T1", "DAT", 492)</f>
        <v>A janela foi fechada</v>
      </c>
      <c r="H500" s="39" t="str">
        <f>RTD("rtdtrading.rtdserver",, "T&amp;T1", "PRE", 492)</f>
        <v>A janela foi fechada</v>
      </c>
      <c r="I500" s="40" t="str">
        <f>RTD("rtdtrading.rtdserver",, "T&amp;T1", "QUL", 492)</f>
        <v>A janela foi fechada</v>
      </c>
      <c r="J500" s="41" t="str">
        <f>RTD("rtdtrading.rtdserver",, "T&amp;T1", "AGR", 492)</f>
        <v>A janela foi fechada</v>
      </c>
    </row>
    <row r="501" spans="1:11" x14ac:dyDescent="0.25">
      <c r="A501" s="46" t="str">
        <f>RTD("rtdtrading.rtdserver",, "T&amp;T2", "DAT", 493)</f>
        <v>A janela foi fechada</v>
      </c>
      <c r="B501" s="29" t="str">
        <f>RTD("rtdtrading.rtdserver",, "T&amp;T2", "PRE", 493)</f>
        <v>A janela foi fechada</v>
      </c>
      <c r="C501" s="30" t="str">
        <f>RTD("rtdtrading.rtdserver",, "T&amp;T2", "QUL", 493)</f>
        <v>A janela foi fechada</v>
      </c>
      <c r="D501" s="30" t="str">
        <f>RTD("rtdtrading.rtdserver",, "T&amp;T2", "AGR", 493)</f>
        <v>A janela foi fechada</v>
      </c>
      <c r="G501" s="38" t="str">
        <f>RTD("rtdtrading.rtdserver",, "T&amp;T1", "DAT", 493)</f>
        <v>A janela foi fechada</v>
      </c>
      <c r="H501" s="39" t="str">
        <f>RTD("rtdtrading.rtdserver",, "T&amp;T1", "PRE", 493)</f>
        <v>A janela foi fechada</v>
      </c>
      <c r="I501" s="40" t="str">
        <f>RTD("rtdtrading.rtdserver",, "T&amp;T1", "QUL", 493)</f>
        <v>A janela foi fechada</v>
      </c>
      <c r="J501" s="41" t="str">
        <f>RTD("rtdtrading.rtdserver",, "T&amp;T1", "AGR", 493)</f>
        <v>A janela foi fechada</v>
      </c>
    </row>
    <row r="502" spans="1:11" s="19" customFormat="1" x14ac:dyDescent="0.25">
      <c r="A502" s="46" t="str">
        <f>RTD("rtdtrading.rtdserver",, "T&amp;T2", "DAT", 494)</f>
        <v>A janela foi fechada</v>
      </c>
      <c r="B502" s="29" t="str">
        <f>RTD("rtdtrading.rtdserver",, "T&amp;T2", "PRE", 494)</f>
        <v>A janela foi fechada</v>
      </c>
      <c r="C502" s="30" t="str">
        <f>RTD("rtdtrading.rtdserver",, "T&amp;T2", "QUL", 494)</f>
        <v>A janela foi fechada</v>
      </c>
      <c r="D502" s="30" t="str">
        <f>RTD("rtdtrading.rtdserver",, "T&amp;T2", "AGR", 494)</f>
        <v>A janela foi fechada</v>
      </c>
      <c r="E502"/>
      <c r="G502" s="38" t="str">
        <f>RTD("rtdtrading.rtdserver",, "T&amp;T1", "DAT", 494)</f>
        <v>A janela foi fechada</v>
      </c>
      <c r="H502" s="39" t="str">
        <f>RTD("rtdtrading.rtdserver",, "T&amp;T1", "PRE", 494)</f>
        <v>A janela foi fechada</v>
      </c>
      <c r="I502" s="40" t="str">
        <f>RTD("rtdtrading.rtdserver",, "T&amp;T1", "QUL", 494)</f>
        <v>A janela foi fechada</v>
      </c>
      <c r="J502" s="41" t="str">
        <f>RTD("rtdtrading.rtdserver",, "T&amp;T1", "AGR", 494)</f>
        <v>A janela foi fechada</v>
      </c>
      <c r="K502"/>
    </row>
    <row r="503" spans="1:11" x14ac:dyDescent="0.25">
      <c r="A503" s="46" t="str">
        <f>RTD("rtdtrading.rtdserver",, "T&amp;T2", "DAT", 495)</f>
        <v>A janela foi fechada</v>
      </c>
      <c r="B503" s="29" t="str">
        <f>RTD("rtdtrading.rtdserver",, "T&amp;T2", "PRE", 495)</f>
        <v>A janela foi fechada</v>
      </c>
      <c r="C503" s="30" t="str">
        <f>RTD("rtdtrading.rtdserver",, "T&amp;T2", "QUL", 495)</f>
        <v>A janela foi fechada</v>
      </c>
      <c r="D503" s="30" t="str">
        <f>RTD("rtdtrading.rtdserver",, "T&amp;T2", "AGR", 495)</f>
        <v>A janela foi fechada</v>
      </c>
      <c r="G503" s="38" t="str">
        <f>RTD("rtdtrading.rtdserver",, "T&amp;T1", "DAT", 495)</f>
        <v>A janela foi fechada</v>
      </c>
      <c r="H503" s="39" t="str">
        <f>RTD("rtdtrading.rtdserver",, "T&amp;T1", "PRE", 495)</f>
        <v>A janela foi fechada</v>
      </c>
      <c r="I503" s="40" t="str">
        <f>RTD("rtdtrading.rtdserver",, "T&amp;T1", "QUL", 495)</f>
        <v>A janela foi fechada</v>
      </c>
      <c r="J503" s="41" t="str">
        <f>RTD("rtdtrading.rtdserver",, "T&amp;T1", "AGR", 495)</f>
        <v>A janela foi fechada</v>
      </c>
    </row>
    <row r="504" spans="1:11" x14ac:dyDescent="0.25">
      <c r="A504" s="46" t="str">
        <f>RTD("rtdtrading.rtdserver",, "T&amp;T2", "DAT", 496)</f>
        <v>A janela foi fechada</v>
      </c>
      <c r="B504" s="29" t="str">
        <f>RTD("rtdtrading.rtdserver",, "T&amp;T2", "PRE", 496)</f>
        <v>A janela foi fechada</v>
      </c>
      <c r="C504" s="30" t="str">
        <f>RTD("rtdtrading.rtdserver",, "T&amp;T2", "QUL", 496)</f>
        <v>A janela foi fechada</v>
      </c>
      <c r="D504" s="30" t="str">
        <f>RTD("rtdtrading.rtdserver",, "T&amp;T2", "AGR", 496)</f>
        <v>A janela foi fechada</v>
      </c>
      <c r="G504" s="38" t="str">
        <f>RTD("rtdtrading.rtdserver",, "T&amp;T1", "DAT", 496)</f>
        <v>A janela foi fechada</v>
      </c>
      <c r="H504" s="39" t="str">
        <f>RTD("rtdtrading.rtdserver",, "T&amp;T1", "PRE", 496)</f>
        <v>A janela foi fechada</v>
      </c>
      <c r="I504" s="40" t="str">
        <f>RTD("rtdtrading.rtdserver",, "T&amp;T1", "QUL", 496)</f>
        <v>A janela foi fechada</v>
      </c>
      <c r="J504" s="41" t="str">
        <f>RTD("rtdtrading.rtdserver",, "T&amp;T1", "AGR", 496)</f>
        <v>A janela foi fechada</v>
      </c>
    </row>
    <row r="505" spans="1:11" x14ac:dyDescent="0.25">
      <c r="A505" s="46" t="str">
        <f>RTD("rtdtrading.rtdserver",, "T&amp;T2", "DAT", 497)</f>
        <v>A janela foi fechada</v>
      </c>
      <c r="B505" s="29" t="str">
        <f>RTD("rtdtrading.rtdserver",, "T&amp;T2", "PRE", 497)</f>
        <v>A janela foi fechada</v>
      </c>
      <c r="C505" s="30" t="str">
        <f>RTD("rtdtrading.rtdserver",, "T&amp;T2", "QUL", 497)</f>
        <v>A janela foi fechada</v>
      </c>
      <c r="D505" s="30" t="str">
        <f>RTD("rtdtrading.rtdserver",, "T&amp;T2", "AGR", 497)</f>
        <v>A janela foi fechada</v>
      </c>
      <c r="G505" s="38" t="str">
        <f>RTD("rtdtrading.rtdserver",, "T&amp;T1", "DAT", 497)</f>
        <v>A janela foi fechada</v>
      </c>
      <c r="H505" s="39" t="str">
        <f>RTD("rtdtrading.rtdserver",, "T&amp;T1", "PRE", 497)</f>
        <v>A janela foi fechada</v>
      </c>
      <c r="I505" s="40" t="str">
        <f>RTD("rtdtrading.rtdserver",, "T&amp;T1", "QUL", 497)</f>
        <v>A janela foi fechada</v>
      </c>
      <c r="J505" s="41" t="str">
        <f>RTD("rtdtrading.rtdserver",, "T&amp;T1", "AGR", 497)</f>
        <v>A janela foi fechada</v>
      </c>
    </row>
    <row r="506" spans="1:11" x14ac:dyDescent="0.25">
      <c r="A506" s="46" t="str">
        <f>RTD("rtdtrading.rtdserver",, "T&amp;T2", "DAT", 498)</f>
        <v>A janela foi fechada</v>
      </c>
      <c r="B506" s="29" t="str">
        <f>RTD("rtdtrading.rtdserver",, "T&amp;T2", "PRE", 498)</f>
        <v>A janela foi fechada</v>
      </c>
      <c r="C506" s="30" t="str">
        <f>RTD("rtdtrading.rtdserver",, "T&amp;T2", "QUL", 498)</f>
        <v>A janela foi fechada</v>
      </c>
      <c r="D506" s="30" t="str">
        <f>RTD("rtdtrading.rtdserver",, "T&amp;T2", "AGR", 498)</f>
        <v>A janela foi fechada</v>
      </c>
      <c r="G506" s="38" t="str">
        <f>RTD("rtdtrading.rtdserver",, "T&amp;T1", "DAT", 498)</f>
        <v>A janela foi fechada</v>
      </c>
      <c r="H506" s="39" t="str">
        <f>RTD("rtdtrading.rtdserver",, "T&amp;T1", "PRE", 498)</f>
        <v>A janela foi fechada</v>
      </c>
      <c r="I506" s="40" t="str">
        <f>RTD("rtdtrading.rtdserver",, "T&amp;T1", "QUL", 498)</f>
        <v>A janela foi fechada</v>
      </c>
      <c r="J506" s="41" t="str">
        <f>RTD("rtdtrading.rtdserver",, "T&amp;T1", "AGR", 498)</f>
        <v>A janela foi fechada</v>
      </c>
    </row>
    <row r="507" spans="1:11" ht="15.75" thickBot="1" x14ac:dyDescent="0.3">
      <c r="A507" s="47" t="str">
        <f>RTD("rtdtrading.rtdserver",, "T&amp;T2", "DAT", 499)</f>
        <v>A janela foi fechada</v>
      </c>
      <c r="B507" s="31" t="str">
        <f>RTD("rtdtrading.rtdserver",, "T&amp;T2", "PRE", 499)</f>
        <v>A janela foi fechada</v>
      </c>
      <c r="C507" s="32" t="str">
        <f>RTD("rtdtrading.rtdserver",, "T&amp;T2", "QUL", 499)</f>
        <v>A janela foi fechada</v>
      </c>
      <c r="D507" s="32" t="str">
        <f>RTD("rtdtrading.rtdserver",, "T&amp;T2", "AGR", 499)</f>
        <v>A janela foi fechada</v>
      </c>
      <c r="G507" s="42" t="str">
        <f>RTD("rtdtrading.rtdserver",, "T&amp;T1", "DAT", 499)</f>
        <v>A janela foi fechada</v>
      </c>
      <c r="H507" s="43" t="str">
        <f>RTD("rtdtrading.rtdserver",, "T&amp;T1", "PRE", 499)</f>
        <v>A janela foi fechada</v>
      </c>
      <c r="I507" s="44" t="str">
        <f>RTD("rtdtrading.rtdserver",, "T&amp;T1", "QUL", 499)</f>
        <v>A janela foi fechada</v>
      </c>
      <c r="J507" s="45" t="str">
        <f>RTD("rtdtrading.rtdserver",, "T&amp;T1", "AGR", 499)</f>
        <v>A janela foi fechada</v>
      </c>
    </row>
    <row r="508" spans="1:11" x14ac:dyDescent="0.25">
      <c r="G508"/>
    </row>
    <row r="509" spans="1:11" x14ac:dyDescent="0.25">
      <c r="G509"/>
    </row>
    <row r="510" spans="1:11" x14ac:dyDescent="0.25">
      <c r="G510"/>
    </row>
    <row r="511" spans="1:11" x14ac:dyDescent="0.25">
      <c r="G511"/>
    </row>
    <row r="512" spans="1:11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1:11" x14ac:dyDescent="0.25">
      <c r="G993"/>
    </row>
    <row r="994" spans="1:11" x14ac:dyDescent="0.25">
      <c r="G994"/>
    </row>
    <row r="995" spans="1:11" x14ac:dyDescent="0.25">
      <c r="G995"/>
    </row>
    <row r="996" spans="1:11" x14ac:dyDescent="0.25">
      <c r="G996"/>
    </row>
    <row r="997" spans="1:11" x14ac:dyDescent="0.25">
      <c r="G997"/>
    </row>
    <row r="998" spans="1:11" x14ac:dyDescent="0.25">
      <c r="G998"/>
    </row>
    <row r="999" spans="1:11" x14ac:dyDescent="0.25">
      <c r="G999"/>
    </row>
    <row r="1000" spans="1:11" x14ac:dyDescent="0.25">
      <c r="G1000"/>
    </row>
    <row r="1001" spans="1:11" x14ac:dyDescent="0.25">
      <c r="G1001"/>
    </row>
    <row r="1002" spans="1:11" s="3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x14ac:dyDescent="0.25">
      <c r="G1003"/>
    </row>
    <row r="1004" spans="1:11" x14ac:dyDescent="0.25">
      <c r="G1004"/>
    </row>
    <row r="1005" spans="1:11" x14ac:dyDescent="0.25">
      <c r="G1005"/>
    </row>
    <row r="1006" spans="1:11" x14ac:dyDescent="0.25">
      <c r="G1006"/>
    </row>
    <row r="1007" spans="1:11" x14ac:dyDescent="0.25">
      <c r="G1007"/>
    </row>
    <row r="1008" spans="1:11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1:11" x14ac:dyDescent="0.25">
      <c r="G1489"/>
    </row>
    <row r="1490" spans="1:11" x14ac:dyDescent="0.25">
      <c r="G1490"/>
    </row>
    <row r="1491" spans="1:11" x14ac:dyDescent="0.25">
      <c r="G1491"/>
    </row>
    <row r="1492" spans="1:11" x14ac:dyDescent="0.25">
      <c r="G1492"/>
    </row>
    <row r="1493" spans="1:11" x14ac:dyDescent="0.25">
      <c r="G1493"/>
    </row>
    <row r="1494" spans="1:11" x14ac:dyDescent="0.25">
      <c r="G1494"/>
    </row>
    <row r="1495" spans="1:11" x14ac:dyDescent="0.25">
      <c r="G1495"/>
    </row>
    <row r="1496" spans="1:11" x14ac:dyDescent="0.25">
      <c r="G1496"/>
    </row>
    <row r="1497" spans="1:11" x14ac:dyDescent="0.25">
      <c r="G1497"/>
    </row>
    <row r="1498" spans="1:11" x14ac:dyDescent="0.25">
      <c r="G1498"/>
    </row>
    <row r="1499" spans="1:11" x14ac:dyDescent="0.25">
      <c r="G1499"/>
    </row>
    <row r="1500" spans="1:11" x14ac:dyDescent="0.25">
      <c r="G1500"/>
    </row>
    <row r="1501" spans="1:11" x14ac:dyDescent="0.25">
      <c r="G1501"/>
    </row>
    <row r="1502" spans="1:11" s="3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x14ac:dyDescent="0.25">
      <c r="G1503"/>
    </row>
    <row r="1504" spans="1:11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1:11" x14ac:dyDescent="0.25">
      <c r="G2001"/>
    </row>
    <row r="2002" spans="1:11" s="3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x14ac:dyDescent="0.25">
      <c r="G2003"/>
    </row>
    <row r="2004" spans="1:11" x14ac:dyDescent="0.25">
      <c r="G2004"/>
    </row>
    <row r="2005" spans="1:11" x14ac:dyDescent="0.25">
      <c r="G2005"/>
    </row>
    <row r="2006" spans="1:11" x14ac:dyDescent="0.25">
      <c r="G2006"/>
    </row>
    <row r="2007" spans="1:11" x14ac:dyDescent="0.25">
      <c r="G2007"/>
    </row>
    <row r="2008" spans="1:11" x14ac:dyDescent="0.25">
      <c r="G2008"/>
    </row>
    <row r="2009" spans="1:11" x14ac:dyDescent="0.25">
      <c r="G2009"/>
    </row>
    <row r="2010" spans="1:11" x14ac:dyDescent="0.25">
      <c r="G2010"/>
    </row>
    <row r="2011" spans="1:11" x14ac:dyDescent="0.25">
      <c r="G2011"/>
    </row>
    <row r="2012" spans="1:11" x14ac:dyDescent="0.25">
      <c r="G2012"/>
    </row>
    <row r="2013" spans="1:11" x14ac:dyDescent="0.25">
      <c r="G2013"/>
    </row>
    <row r="2014" spans="1:11" x14ac:dyDescent="0.25">
      <c r="G2014"/>
    </row>
    <row r="2015" spans="1:11" x14ac:dyDescent="0.25">
      <c r="G2015"/>
    </row>
    <row r="2016" spans="1:11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1:11" x14ac:dyDescent="0.25">
      <c r="G2497"/>
    </row>
    <row r="2498" spans="1:11" x14ac:dyDescent="0.25">
      <c r="G2498"/>
    </row>
    <row r="2499" spans="1:11" x14ac:dyDescent="0.25">
      <c r="G2499"/>
    </row>
    <row r="2500" spans="1:11" x14ac:dyDescent="0.25">
      <c r="G2500"/>
    </row>
    <row r="2501" spans="1:11" x14ac:dyDescent="0.25">
      <c r="G2501"/>
    </row>
    <row r="2502" spans="1:11" s="3" customFormat="1" x14ac:dyDescent="0.25">
      <c r="A2502"/>
      <c r="B2502"/>
      <c r="C2502"/>
      <c r="D2502"/>
      <c r="E2502"/>
      <c r="F2502"/>
      <c r="G2502"/>
      <c r="H2502"/>
      <c r="I2502"/>
      <c r="J2502"/>
      <c r="K2502"/>
    </row>
    <row r="2503" spans="1:11" x14ac:dyDescent="0.25">
      <c r="G2503"/>
    </row>
    <row r="2504" spans="1:11" x14ac:dyDescent="0.25">
      <c r="G2504"/>
    </row>
    <row r="2505" spans="1:11" x14ac:dyDescent="0.25">
      <c r="G2505"/>
    </row>
    <row r="2506" spans="1:11" x14ac:dyDescent="0.25">
      <c r="G2506"/>
    </row>
    <row r="2507" spans="1:11" x14ac:dyDescent="0.25">
      <c r="G2507"/>
    </row>
    <row r="2508" spans="1:11" x14ac:dyDescent="0.25">
      <c r="G2508"/>
    </row>
    <row r="2509" spans="1:11" x14ac:dyDescent="0.25">
      <c r="G2509"/>
    </row>
    <row r="2510" spans="1:11" x14ac:dyDescent="0.25">
      <c r="G2510"/>
    </row>
    <row r="2511" spans="1:11" x14ac:dyDescent="0.25">
      <c r="G2511"/>
    </row>
    <row r="2512" spans="1:11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  <row r="2877" spans="7:7" x14ac:dyDescent="0.25">
      <c r="G2877"/>
    </row>
    <row r="2878" spans="7:7" x14ac:dyDescent="0.25">
      <c r="G2878"/>
    </row>
    <row r="2879" spans="7:7" x14ac:dyDescent="0.25">
      <c r="G2879"/>
    </row>
    <row r="2880" spans="7:7" x14ac:dyDescent="0.25">
      <c r="G2880"/>
    </row>
    <row r="2881" spans="7:7" x14ac:dyDescent="0.25">
      <c r="G2881"/>
    </row>
    <row r="2882" spans="7:7" x14ac:dyDescent="0.25">
      <c r="G2882"/>
    </row>
    <row r="2883" spans="7:7" x14ac:dyDescent="0.25">
      <c r="G2883"/>
    </row>
    <row r="2884" spans="7:7" x14ac:dyDescent="0.25">
      <c r="G2884"/>
    </row>
    <row r="2885" spans="7:7" x14ac:dyDescent="0.25">
      <c r="G2885"/>
    </row>
    <row r="2886" spans="7:7" x14ac:dyDescent="0.25">
      <c r="G2886"/>
    </row>
    <row r="2887" spans="7:7" x14ac:dyDescent="0.25">
      <c r="G2887"/>
    </row>
    <row r="2888" spans="7:7" x14ac:dyDescent="0.25">
      <c r="G2888"/>
    </row>
    <row r="2889" spans="7:7" x14ac:dyDescent="0.25">
      <c r="G2889"/>
    </row>
    <row r="2890" spans="7:7" x14ac:dyDescent="0.25">
      <c r="G2890"/>
    </row>
    <row r="2891" spans="7:7" x14ac:dyDescent="0.25">
      <c r="G2891"/>
    </row>
    <row r="2892" spans="7:7" x14ac:dyDescent="0.25">
      <c r="G2892"/>
    </row>
    <row r="2893" spans="7:7" x14ac:dyDescent="0.25">
      <c r="G2893"/>
    </row>
    <row r="2894" spans="7:7" x14ac:dyDescent="0.25">
      <c r="G2894"/>
    </row>
    <row r="2895" spans="7:7" x14ac:dyDescent="0.25">
      <c r="G2895"/>
    </row>
    <row r="2896" spans="7:7" x14ac:dyDescent="0.25">
      <c r="G2896"/>
    </row>
    <row r="2897" spans="7:7" x14ac:dyDescent="0.25">
      <c r="G2897"/>
    </row>
    <row r="2898" spans="7:7" x14ac:dyDescent="0.25">
      <c r="G2898"/>
    </row>
    <row r="2899" spans="7:7" x14ac:dyDescent="0.25">
      <c r="G2899"/>
    </row>
    <row r="2900" spans="7:7" x14ac:dyDescent="0.25">
      <c r="G2900"/>
    </row>
    <row r="2901" spans="7:7" x14ac:dyDescent="0.25">
      <c r="G2901"/>
    </row>
    <row r="2902" spans="7:7" x14ac:dyDescent="0.25">
      <c r="G2902"/>
    </row>
    <row r="2903" spans="7:7" x14ac:dyDescent="0.25">
      <c r="G2903"/>
    </row>
    <row r="2904" spans="7:7" x14ac:dyDescent="0.25">
      <c r="G2904"/>
    </row>
    <row r="2905" spans="7:7" x14ac:dyDescent="0.25">
      <c r="G2905"/>
    </row>
    <row r="2906" spans="7:7" x14ac:dyDescent="0.25">
      <c r="G2906"/>
    </row>
    <row r="2907" spans="7:7" x14ac:dyDescent="0.25">
      <c r="G2907"/>
    </row>
    <row r="2908" spans="7:7" x14ac:dyDescent="0.25">
      <c r="G2908"/>
    </row>
    <row r="2909" spans="7:7" x14ac:dyDescent="0.25">
      <c r="G2909"/>
    </row>
    <row r="2910" spans="7:7" x14ac:dyDescent="0.25">
      <c r="G2910"/>
    </row>
    <row r="2911" spans="7:7" x14ac:dyDescent="0.25">
      <c r="G2911"/>
    </row>
    <row r="2912" spans="7:7" x14ac:dyDescent="0.25">
      <c r="G2912"/>
    </row>
    <row r="2913" spans="7:7" x14ac:dyDescent="0.25">
      <c r="G2913"/>
    </row>
    <row r="2914" spans="7:7" x14ac:dyDescent="0.25">
      <c r="G2914"/>
    </row>
    <row r="2915" spans="7:7" x14ac:dyDescent="0.25">
      <c r="G2915"/>
    </row>
    <row r="2916" spans="7:7" x14ac:dyDescent="0.25">
      <c r="G2916"/>
    </row>
    <row r="2917" spans="7:7" x14ac:dyDescent="0.25">
      <c r="G2917"/>
    </row>
    <row r="2918" spans="7:7" x14ac:dyDescent="0.25">
      <c r="G2918"/>
    </row>
    <row r="2919" spans="7:7" x14ac:dyDescent="0.25">
      <c r="G2919"/>
    </row>
    <row r="2920" spans="7:7" x14ac:dyDescent="0.25">
      <c r="G2920"/>
    </row>
    <row r="2921" spans="7:7" x14ac:dyDescent="0.25">
      <c r="G2921"/>
    </row>
    <row r="2922" spans="7:7" x14ac:dyDescent="0.25">
      <c r="G2922"/>
    </row>
    <row r="2923" spans="7:7" x14ac:dyDescent="0.25">
      <c r="G2923"/>
    </row>
    <row r="2924" spans="7:7" x14ac:dyDescent="0.25">
      <c r="G2924"/>
    </row>
    <row r="2925" spans="7:7" x14ac:dyDescent="0.25">
      <c r="G2925"/>
    </row>
    <row r="2926" spans="7:7" x14ac:dyDescent="0.25">
      <c r="G2926"/>
    </row>
    <row r="2927" spans="7:7" x14ac:dyDescent="0.25">
      <c r="G2927"/>
    </row>
    <row r="2928" spans="7:7" x14ac:dyDescent="0.25">
      <c r="G2928"/>
    </row>
    <row r="2929" spans="7:7" x14ac:dyDescent="0.25">
      <c r="G2929"/>
    </row>
    <row r="2930" spans="7:7" x14ac:dyDescent="0.25">
      <c r="G2930"/>
    </row>
    <row r="2931" spans="7:7" x14ac:dyDescent="0.25">
      <c r="G2931"/>
    </row>
    <row r="2932" spans="7:7" x14ac:dyDescent="0.25">
      <c r="G2932"/>
    </row>
    <row r="2933" spans="7:7" x14ac:dyDescent="0.25">
      <c r="G2933"/>
    </row>
    <row r="2934" spans="7:7" x14ac:dyDescent="0.25">
      <c r="G2934"/>
    </row>
    <row r="2935" spans="7:7" x14ac:dyDescent="0.25">
      <c r="G2935"/>
    </row>
    <row r="2936" spans="7:7" x14ac:dyDescent="0.25">
      <c r="G2936"/>
    </row>
    <row r="2937" spans="7:7" x14ac:dyDescent="0.25">
      <c r="G2937"/>
    </row>
    <row r="2938" spans="7:7" x14ac:dyDescent="0.25">
      <c r="G2938"/>
    </row>
    <row r="2939" spans="7:7" x14ac:dyDescent="0.25">
      <c r="G2939"/>
    </row>
    <row r="2940" spans="7:7" x14ac:dyDescent="0.25">
      <c r="G2940"/>
    </row>
    <row r="2941" spans="7:7" x14ac:dyDescent="0.25">
      <c r="G2941"/>
    </row>
    <row r="2942" spans="7:7" x14ac:dyDescent="0.25">
      <c r="G2942"/>
    </row>
    <row r="2943" spans="7:7" x14ac:dyDescent="0.25">
      <c r="G2943"/>
    </row>
    <row r="2944" spans="7:7" x14ac:dyDescent="0.25">
      <c r="G2944"/>
    </row>
    <row r="2945" spans="7:7" x14ac:dyDescent="0.25">
      <c r="G2945"/>
    </row>
    <row r="2946" spans="7:7" x14ac:dyDescent="0.25">
      <c r="G2946"/>
    </row>
    <row r="2947" spans="7:7" x14ac:dyDescent="0.25">
      <c r="G2947"/>
    </row>
    <row r="2948" spans="7:7" x14ac:dyDescent="0.25">
      <c r="G2948"/>
    </row>
    <row r="2949" spans="7:7" x14ac:dyDescent="0.25">
      <c r="G2949"/>
    </row>
    <row r="2950" spans="7:7" x14ac:dyDescent="0.25">
      <c r="G2950"/>
    </row>
    <row r="2951" spans="7:7" x14ac:dyDescent="0.25">
      <c r="G2951"/>
    </row>
    <row r="2952" spans="7:7" x14ac:dyDescent="0.25">
      <c r="G2952"/>
    </row>
    <row r="2953" spans="7:7" x14ac:dyDescent="0.25">
      <c r="G2953"/>
    </row>
    <row r="2954" spans="7:7" x14ac:dyDescent="0.25">
      <c r="G2954"/>
    </row>
    <row r="2955" spans="7:7" x14ac:dyDescent="0.25">
      <c r="G2955"/>
    </row>
    <row r="2956" spans="7:7" x14ac:dyDescent="0.25">
      <c r="G2956"/>
    </row>
    <row r="2957" spans="7:7" x14ac:dyDescent="0.25">
      <c r="G2957"/>
    </row>
    <row r="2958" spans="7:7" x14ac:dyDescent="0.25">
      <c r="G2958"/>
    </row>
    <row r="2959" spans="7:7" x14ac:dyDescent="0.25">
      <c r="G2959"/>
    </row>
    <row r="2960" spans="7:7" x14ac:dyDescent="0.25">
      <c r="G2960"/>
    </row>
    <row r="2961" spans="7:7" x14ac:dyDescent="0.25">
      <c r="G2961"/>
    </row>
    <row r="2962" spans="7:7" x14ac:dyDescent="0.25">
      <c r="G2962"/>
    </row>
    <row r="2963" spans="7:7" x14ac:dyDescent="0.25">
      <c r="G2963"/>
    </row>
    <row r="2964" spans="7:7" x14ac:dyDescent="0.25">
      <c r="G2964"/>
    </row>
    <row r="2965" spans="7:7" x14ac:dyDescent="0.25">
      <c r="G2965"/>
    </row>
    <row r="2966" spans="7:7" x14ac:dyDescent="0.25">
      <c r="G2966"/>
    </row>
    <row r="2967" spans="7:7" x14ac:dyDescent="0.25">
      <c r="G2967"/>
    </row>
    <row r="2968" spans="7:7" x14ac:dyDescent="0.25">
      <c r="G2968"/>
    </row>
    <row r="2969" spans="7:7" x14ac:dyDescent="0.25">
      <c r="G2969"/>
    </row>
    <row r="2970" spans="7:7" x14ac:dyDescent="0.25">
      <c r="G2970"/>
    </row>
    <row r="2971" spans="7:7" x14ac:dyDescent="0.25">
      <c r="G2971"/>
    </row>
    <row r="2972" spans="7:7" x14ac:dyDescent="0.25">
      <c r="G2972"/>
    </row>
    <row r="2973" spans="7:7" x14ac:dyDescent="0.25">
      <c r="G2973"/>
    </row>
    <row r="2974" spans="7:7" x14ac:dyDescent="0.25">
      <c r="G2974"/>
    </row>
    <row r="2975" spans="7:7" x14ac:dyDescent="0.25">
      <c r="G2975"/>
    </row>
    <row r="2976" spans="7:7" x14ac:dyDescent="0.25">
      <c r="G2976"/>
    </row>
    <row r="2977" spans="7:7" x14ac:dyDescent="0.25">
      <c r="G2977"/>
    </row>
    <row r="2978" spans="7:7" x14ac:dyDescent="0.25">
      <c r="G2978"/>
    </row>
    <row r="2979" spans="7:7" x14ac:dyDescent="0.25">
      <c r="G2979"/>
    </row>
    <row r="2980" spans="7:7" x14ac:dyDescent="0.25">
      <c r="G2980"/>
    </row>
    <row r="2981" spans="7:7" x14ac:dyDescent="0.25">
      <c r="G2981"/>
    </row>
    <row r="2982" spans="7:7" x14ac:dyDescent="0.25">
      <c r="G2982"/>
    </row>
    <row r="2983" spans="7:7" x14ac:dyDescent="0.25">
      <c r="G2983"/>
    </row>
    <row r="2984" spans="7:7" x14ac:dyDescent="0.25">
      <c r="G2984"/>
    </row>
    <row r="2985" spans="7:7" x14ac:dyDescent="0.25">
      <c r="G2985"/>
    </row>
    <row r="2986" spans="7:7" x14ac:dyDescent="0.25">
      <c r="G2986"/>
    </row>
    <row r="2987" spans="7:7" x14ac:dyDescent="0.25">
      <c r="G2987"/>
    </row>
    <row r="2988" spans="7:7" x14ac:dyDescent="0.25">
      <c r="G2988"/>
    </row>
    <row r="2989" spans="7:7" x14ac:dyDescent="0.25">
      <c r="G2989"/>
    </row>
    <row r="2990" spans="7:7" x14ac:dyDescent="0.25">
      <c r="G2990"/>
    </row>
    <row r="2991" spans="7:7" x14ac:dyDescent="0.25">
      <c r="G2991"/>
    </row>
    <row r="2992" spans="7:7" x14ac:dyDescent="0.25">
      <c r="G2992"/>
    </row>
    <row r="2993" spans="7:7" x14ac:dyDescent="0.25">
      <c r="G2993"/>
    </row>
    <row r="2994" spans="7:7" x14ac:dyDescent="0.25">
      <c r="G2994"/>
    </row>
    <row r="2995" spans="7:7" x14ac:dyDescent="0.25">
      <c r="G2995"/>
    </row>
    <row r="2996" spans="7:7" x14ac:dyDescent="0.25">
      <c r="G2996"/>
    </row>
    <row r="2997" spans="7:7" x14ac:dyDescent="0.25">
      <c r="G2997"/>
    </row>
    <row r="2998" spans="7:7" x14ac:dyDescent="0.25">
      <c r="G2998"/>
    </row>
    <row r="2999" spans="7:7" x14ac:dyDescent="0.25">
      <c r="G2999"/>
    </row>
    <row r="3000" spans="7:7" x14ac:dyDescent="0.25">
      <c r="G3000"/>
    </row>
    <row r="3001" spans="7:7" x14ac:dyDescent="0.25">
      <c r="G3001"/>
    </row>
    <row r="3002" spans="7:7" x14ac:dyDescent="0.25">
      <c r="G3002"/>
    </row>
    <row r="3003" spans="7:7" x14ac:dyDescent="0.25">
      <c r="G3003"/>
    </row>
    <row r="3004" spans="7:7" x14ac:dyDescent="0.25">
      <c r="G3004"/>
    </row>
    <row r="3005" spans="7:7" x14ac:dyDescent="0.25">
      <c r="G3005"/>
    </row>
    <row r="3006" spans="7:7" x14ac:dyDescent="0.25">
      <c r="G3006"/>
    </row>
    <row r="3007" spans="7:7" x14ac:dyDescent="0.25">
      <c r="G3007"/>
    </row>
    <row r="3008" spans="7:7" x14ac:dyDescent="0.25">
      <c r="G3008"/>
    </row>
    <row r="3009" spans="7:11" x14ac:dyDescent="0.25">
      <c r="G3009"/>
    </row>
    <row r="3010" spans="7:11" x14ac:dyDescent="0.25">
      <c r="G3010"/>
    </row>
    <row r="3011" spans="7:11" x14ac:dyDescent="0.25">
      <c r="G3011" s="24"/>
      <c r="H3011" s="19"/>
      <c r="I3011" s="19"/>
      <c r="J3011" s="19"/>
      <c r="K3011" s="19"/>
    </row>
  </sheetData>
  <mergeCells count="2">
    <mergeCell ref="A5:D5"/>
    <mergeCell ref="G5:J5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CDD1-33E8-4B81-8304-915E17E0CDF3}">
  <sheetPr codeName="Planilha5"/>
  <dimension ref="A1:O328888"/>
  <sheetViews>
    <sheetView showGridLines="0" workbookViewId="0">
      <selection activeCell="D1" sqref="D1"/>
    </sheetView>
  </sheetViews>
  <sheetFormatPr defaultRowHeight="15" x14ac:dyDescent="0.25"/>
  <cols>
    <col min="1" max="1" width="22.28515625" style="49" bestFit="1" customWidth="1"/>
    <col min="2" max="2" width="14.140625" style="1" customWidth="1"/>
    <col min="3" max="3" width="11.5703125" style="1" customWidth="1"/>
    <col min="4" max="4" width="11.7109375" style="1" customWidth="1"/>
    <col min="5" max="5" width="13.42578125" style="1" customWidth="1"/>
    <col min="6" max="6" width="14" style="1" customWidth="1"/>
    <col min="12" max="12" width="11.7109375" bestFit="1" customWidth="1"/>
    <col min="13" max="13" width="15.7109375" customWidth="1"/>
    <col min="14" max="14" width="24" customWidth="1"/>
  </cols>
  <sheetData>
    <row r="1" spans="1:15" x14ac:dyDescent="0.25">
      <c r="A1"/>
      <c r="B1"/>
      <c r="C1"/>
      <c r="D1"/>
      <c r="E1"/>
      <c r="F1"/>
      <c r="M1" s="1" t="s">
        <v>14</v>
      </c>
      <c r="N1" t="s">
        <v>0</v>
      </c>
      <c r="O1" s="21"/>
    </row>
    <row r="2" spans="1:15" x14ac:dyDescent="0.25">
      <c r="A2"/>
      <c r="B2"/>
      <c r="C2"/>
      <c r="D2"/>
      <c r="E2"/>
      <c r="F2"/>
      <c r="M2" s="22">
        <f>MOD(VALUE(SUBSTITUTE(TRIM(N2), ".", ",")), 12)</f>
        <v>5.7916666666642413</v>
      </c>
      <c r="N2" t="s">
        <v>19</v>
      </c>
      <c r="O2" s="21"/>
    </row>
    <row r="3" spans="1:15" x14ac:dyDescent="0.25">
      <c r="A3"/>
      <c r="B3"/>
      <c r="C3"/>
      <c r="D3"/>
      <c r="E3"/>
      <c r="F3"/>
    </row>
    <row r="4" spans="1:15" x14ac:dyDescent="0.25">
      <c r="A4"/>
      <c r="B4"/>
      <c r="C4"/>
      <c r="D4"/>
      <c r="E4"/>
      <c r="F4"/>
    </row>
    <row r="5" spans="1:15" x14ac:dyDescent="0.25">
      <c r="A5"/>
      <c r="B5"/>
      <c r="C5"/>
      <c r="D5"/>
      <c r="E5"/>
      <c r="F5"/>
    </row>
    <row r="6" spans="1:15" x14ac:dyDescent="0.25">
      <c r="A6"/>
      <c r="B6"/>
      <c r="C6"/>
      <c r="D6"/>
      <c r="E6"/>
      <c r="F6"/>
    </row>
    <row r="7" spans="1:15" x14ac:dyDescent="0.25">
      <c r="A7"/>
      <c r="B7"/>
      <c r="C7"/>
      <c r="D7"/>
      <c r="E7"/>
      <c r="F7"/>
    </row>
    <row r="8" spans="1:15" x14ac:dyDescent="0.25">
      <c r="A8"/>
      <c r="B8"/>
      <c r="C8"/>
      <c r="D8"/>
      <c r="E8"/>
      <c r="F8"/>
    </row>
    <row r="9" spans="1:15" x14ac:dyDescent="0.25">
      <c r="A9"/>
      <c r="B9"/>
      <c r="C9"/>
      <c r="D9"/>
      <c r="E9"/>
      <c r="F9"/>
    </row>
    <row r="10" spans="1:15" x14ac:dyDescent="0.25">
      <c r="A10"/>
      <c r="B10"/>
      <c r="C10"/>
      <c r="D10"/>
      <c r="E10"/>
      <c r="F10"/>
    </row>
    <row r="11" spans="1:15" x14ac:dyDescent="0.25">
      <c r="A11"/>
      <c r="B11"/>
      <c r="C11"/>
      <c r="D11"/>
      <c r="E11"/>
      <c r="F11"/>
    </row>
    <row r="12" spans="1:15" x14ac:dyDescent="0.25">
      <c r="A12"/>
      <c r="B12"/>
      <c r="C12"/>
      <c r="D12"/>
      <c r="E12"/>
      <c r="F12"/>
    </row>
    <row r="13" spans="1:15" x14ac:dyDescent="0.25">
      <c r="A13"/>
      <c r="B13"/>
      <c r="C13"/>
      <c r="D13"/>
      <c r="E13"/>
      <c r="F13"/>
    </row>
    <row r="14" spans="1:15" x14ac:dyDescent="0.25">
      <c r="A14"/>
      <c r="B14"/>
      <c r="C14"/>
      <c r="D14"/>
      <c r="E14"/>
      <c r="F14"/>
    </row>
    <row r="15" spans="1:15" x14ac:dyDescent="0.25">
      <c r="A15"/>
      <c r="B15"/>
      <c r="C15"/>
      <c r="D15"/>
      <c r="E15"/>
      <c r="F15"/>
    </row>
    <row r="16" spans="1:15" x14ac:dyDescent="0.25">
      <c r="A16"/>
      <c r="B16"/>
      <c r="C16"/>
      <c r="D16"/>
      <c r="E16"/>
      <c r="F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  <row r="100001" customFormat="1" x14ac:dyDescent="0.25"/>
    <row r="100002" customFormat="1" x14ac:dyDescent="0.25"/>
    <row r="100003" customFormat="1" x14ac:dyDescent="0.25"/>
    <row r="100004" customFormat="1" x14ac:dyDescent="0.25"/>
    <row r="100005" customFormat="1" x14ac:dyDescent="0.25"/>
    <row r="100006" customFormat="1" x14ac:dyDescent="0.25"/>
    <row r="100007" customFormat="1" x14ac:dyDescent="0.25"/>
    <row r="100008" customFormat="1" x14ac:dyDescent="0.25"/>
    <row r="100009" customFormat="1" x14ac:dyDescent="0.25"/>
    <row r="100010" customFormat="1" x14ac:dyDescent="0.25"/>
    <row r="100011" customFormat="1" x14ac:dyDescent="0.25"/>
    <row r="100012" customFormat="1" x14ac:dyDescent="0.25"/>
    <row r="100013" customFormat="1" x14ac:dyDescent="0.25"/>
    <row r="100014" customFormat="1" x14ac:dyDescent="0.25"/>
    <row r="100015" customFormat="1" x14ac:dyDescent="0.25"/>
    <row r="100016" customFormat="1" x14ac:dyDescent="0.25"/>
    <row r="100017" customFormat="1" x14ac:dyDescent="0.25"/>
    <row r="100018" customFormat="1" x14ac:dyDescent="0.25"/>
    <row r="100019" customFormat="1" x14ac:dyDescent="0.25"/>
    <row r="100020" customFormat="1" x14ac:dyDescent="0.25"/>
    <row r="100021" customFormat="1" x14ac:dyDescent="0.25"/>
    <row r="100022" customFormat="1" x14ac:dyDescent="0.25"/>
    <row r="100023" customFormat="1" x14ac:dyDescent="0.25"/>
    <row r="100024" customFormat="1" x14ac:dyDescent="0.25"/>
    <row r="100025" customFormat="1" x14ac:dyDescent="0.25"/>
    <row r="100026" customFormat="1" x14ac:dyDescent="0.25"/>
    <row r="100027" customFormat="1" x14ac:dyDescent="0.25"/>
    <row r="100028" customFormat="1" x14ac:dyDescent="0.25"/>
    <row r="100029" customFormat="1" x14ac:dyDescent="0.25"/>
    <row r="100030" customFormat="1" x14ac:dyDescent="0.25"/>
    <row r="100031" customFormat="1" x14ac:dyDescent="0.25"/>
    <row r="100032" customFormat="1" x14ac:dyDescent="0.25"/>
    <row r="100033" customFormat="1" x14ac:dyDescent="0.25"/>
    <row r="100034" customFormat="1" x14ac:dyDescent="0.25"/>
    <row r="100035" customFormat="1" x14ac:dyDescent="0.25"/>
    <row r="100036" customFormat="1" x14ac:dyDescent="0.25"/>
    <row r="100037" customFormat="1" x14ac:dyDescent="0.25"/>
    <row r="100038" customFormat="1" x14ac:dyDescent="0.25"/>
    <row r="100039" customFormat="1" x14ac:dyDescent="0.25"/>
    <row r="100040" customFormat="1" x14ac:dyDescent="0.25"/>
    <row r="100041" customFormat="1" x14ac:dyDescent="0.25"/>
    <row r="100042" customFormat="1" x14ac:dyDescent="0.25"/>
    <row r="100043" customFormat="1" x14ac:dyDescent="0.25"/>
    <row r="100044" customFormat="1" x14ac:dyDescent="0.25"/>
    <row r="100045" customFormat="1" x14ac:dyDescent="0.25"/>
    <row r="100046" customFormat="1" x14ac:dyDescent="0.25"/>
    <row r="100047" customFormat="1" x14ac:dyDescent="0.25"/>
    <row r="100048" customFormat="1" x14ac:dyDescent="0.25"/>
    <row r="100049" customFormat="1" x14ac:dyDescent="0.25"/>
    <row r="100050" customFormat="1" x14ac:dyDescent="0.25"/>
    <row r="100051" customFormat="1" x14ac:dyDescent="0.25"/>
    <row r="100052" customFormat="1" x14ac:dyDescent="0.25"/>
    <row r="100053" customFormat="1" x14ac:dyDescent="0.25"/>
    <row r="100054" customFormat="1" x14ac:dyDescent="0.25"/>
    <row r="100055" customFormat="1" x14ac:dyDescent="0.25"/>
    <row r="100056" customFormat="1" x14ac:dyDescent="0.25"/>
    <row r="100057" customFormat="1" x14ac:dyDescent="0.25"/>
    <row r="100058" customFormat="1" x14ac:dyDescent="0.25"/>
    <row r="100059" customFormat="1" x14ac:dyDescent="0.25"/>
    <row r="100060" customFormat="1" x14ac:dyDescent="0.25"/>
    <row r="100061" customFormat="1" x14ac:dyDescent="0.25"/>
    <row r="100062" customFormat="1" x14ac:dyDescent="0.25"/>
    <row r="100063" customFormat="1" x14ac:dyDescent="0.25"/>
    <row r="100064" customFormat="1" x14ac:dyDescent="0.25"/>
    <row r="100065" customFormat="1" x14ac:dyDescent="0.25"/>
    <row r="100066" customFormat="1" x14ac:dyDescent="0.25"/>
    <row r="100067" customFormat="1" x14ac:dyDescent="0.25"/>
    <row r="100068" customFormat="1" x14ac:dyDescent="0.25"/>
    <row r="100069" customFormat="1" x14ac:dyDescent="0.25"/>
    <row r="100070" customFormat="1" x14ac:dyDescent="0.25"/>
    <row r="100071" customFormat="1" x14ac:dyDescent="0.25"/>
    <row r="100072" customFormat="1" x14ac:dyDescent="0.25"/>
    <row r="100073" customFormat="1" x14ac:dyDescent="0.25"/>
    <row r="100074" customFormat="1" x14ac:dyDescent="0.25"/>
    <row r="100075" customFormat="1" x14ac:dyDescent="0.25"/>
    <row r="100076" customFormat="1" x14ac:dyDescent="0.25"/>
    <row r="100077" customFormat="1" x14ac:dyDescent="0.25"/>
    <row r="100078" customFormat="1" x14ac:dyDescent="0.25"/>
    <row r="100079" customFormat="1" x14ac:dyDescent="0.25"/>
    <row r="100080" customFormat="1" x14ac:dyDescent="0.25"/>
    <row r="100081" customFormat="1" x14ac:dyDescent="0.25"/>
    <row r="100082" customFormat="1" x14ac:dyDescent="0.25"/>
    <row r="100083" customFormat="1" x14ac:dyDescent="0.25"/>
    <row r="100084" customFormat="1" x14ac:dyDescent="0.25"/>
    <row r="100085" customFormat="1" x14ac:dyDescent="0.25"/>
    <row r="100086" customFormat="1" x14ac:dyDescent="0.25"/>
    <row r="100087" customFormat="1" x14ac:dyDescent="0.25"/>
    <row r="100088" customFormat="1" x14ac:dyDescent="0.25"/>
    <row r="100089" customFormat="1" x14ac:dyDescent="0.25"/>
    <row r="100090" customFormat="1" x14ac:dyDescent="0.25"/>
    <row r="100091" customFormat="1" x14ac:dyDescent="0.25"/>
    <row r="100092" customFormat="1" x14ac:dyDescent="0.25"/>
    <row r="100093" customFormat="1" x14ac:dyDescent="0.25"/>
    <row r="100094" customFormat="1" x14ac:dyDescent="0.25"/>
    <row r="100095" customFormat="1" x14ac:dyDescent="0.25"/>
    <row r="100096" customFormat="1" x14ac:dyDescent="0.25"/>
    <row r="100097" customFormat="1" x14ac:dyDescent="0.25"/>
    <row r="100098" customFormat="1" x14ac:dyDescent="0.25"/>
    <row r="100099" customFormat="1" x14ac:dyDescent="0.25"/>
    <row r="100100" customFormat="1" x14ac:dyDescent="0.25"/>
    <row r="100101" customFormat="1" x14ac:dyDescent="0.25"/>
    <row r="100102" customFormat="1" x14ac:dyDescent="0.25"/>
    <row r="100103" customFormat="1" x14ac:dyDescent="0.25"/>
    <row r="100104" customFormat="1" x14ac:dyDescent="0.25"/>
    <row r="100105" customFormat="1" x14ac:dyDescent="0.25"/>
    <row r="100106" customFormat="1" x14ac:dyDescent="0.25"/>
    <row r="100107" customFormat="1" x14ac:dyDescent="0.25"/>
    <row r="100108" customFormat="1" x14ac:dyDescent="0.25"/>
    <row r="100109" customFormat="1" x14ac:dyDescent="0.25"/>
    <row r="100110" customFormat="1" x14ac:dyDescent="0.25"/>
    <row r="100111" customFormat="1" x14ac:dyDescent="0.25"/>
    <row r="100112" customFormat="1" x14ac:dyDescent="0.25"/>
    <row r="100113" customFormat="1" x14ac:dyDescent="0.25"/>
    <row r="100114" customFormat="1" x14ac:dyDescent="0.25"/>
    <row r="100115" customFormat="1" x14ac:dyDescent="0.25"/>
    <row r="100116" customFormat="1" x14ac:dyDescent="0.25"/>
    <row r="100117" customFormat="1" x14ac:dyDescent="0.25"/>
    <row r="100118" customFormat="1" x14ac:dyDescent="0.25"/>
    <row r="100119" customFormat="1" x14ac:dyDescent="0.25"/>
    <row r="100120" customFormat="1" x14ac:dyDescent="0.25"/>
    <row r="100121" customFormat="1" x14ac:dyDescent="0.25"/>
    <row r="100122" customFormat="1" x14ac:dyDescent="0.25"/>
    <row r="100123" customFormat="1" x14ac:dyDescent="0.25"/>
    <row r="100124" customFormat="1" x14ac:dyDescent="0.25"/>
    <row r="100125" customFormat="1" x14ac:dyDescent="0.25"/>
    <row r="100126" customFormat="1" x14ac:dyDescent="0.25"/>
    <row r="100127" customFormat="1" x14ac:dyDescent="0.25"/>
    <row r="100128" customFormat="1" x14ac:dyDescent="0.25"/>
    <row r="100129" customFormat="1" x14ac:dyDescent="0.25"/>
    <row r="100130" customFormat="1" x14ac:dyDescent="0.25"/>
    <row r="100131" customFormat="1" x14ac:dyDescent="0.25"/>
    <row r="100132" customFormat="1" x14ac:dyDescent="0.25"/>
    <row r="100133" customFormat="1" x14ac:dyDescent="0.25"/>
    <row r="100134" customFormat="1" x14ac:dyDescent="0.25"/>
    <row r="100135" customFormat="1" x14ac:dyDescent="0.25"/>
    <row r="100136" customFormat="1" x14ac:dyDescent="0.25"/>
    <row r="100137" customFormat="1" x14ac:dyDescent="0.25"/>
    <row r="100138" customFormat="1" x14ac:dyDescent="0.25"/>
    <row r="100139" customFormat="1" x14ac:dyDescent="0.25"/>
    <row r="100140" customFormat="1" x14ac:dyDescent="0.25"/>
    <row r="100141" customFormat="1" x14ac:dyDescent="0.25"/>
    <row r="100142" customFormat="1" x14ac:dyDescent="0.25"/>
    <row r="100143" customFormat="1" x14ac:dyDescent="0.25"/>
    <row r="100144" customFormat="1" x14ac:dyDescent="0.25"/>
    <row r="100145" customFormat="1" x14ac:dyDescent="0.25"/>
    <row r="100146" customFormat="1" x14ac:dyDescent="0.25"/>
    <row r="100147" customFormat="1" x14ac:dyDescent="0.25"/>
    <row r="100148" customFormat="1" x14ac:dyDescent="0.25"/>
    <row r="100149" customFormat="1" x14ac:dyDescent="0.25"/>
    <row r="100150" customFormat="1" x14ac:dyDescent="0.25"/>
    <row r="100151" customFormat="1" x14ac:dyDescent="0.25"/>
    <row r="100152" customFormat="1" x14ac:dyDescent="0.25"/>
    <row r="100153" customFormat="1" x14ac:dyDescent="0.25"/>
    <row r="100154" customFormat="1" x14ac:dyDescent="0.25"/>
    <row r="100155" customFormat="1" x14ac:dyDescent="0.25"/>
    <row r="100156" customFormat="1" x14ac:dyDescent="0.25"/>
    <row r="100157" customFormat="1" x14ac:dyDescent="0.25"/>
    <row r="100158" customFormat="1" x14ac:dyDescent="0.25"/>
    <row r="100159" customFormat="1" x14ac:dyDescent="0.25"/>
    <row r="100160" customFormat="1" x14ac:dyDescent="0.25"/>
    <row r="100161" customFormat="1" x14ac:dyDescent="0.25"/>
    <row r="100162" customFormat="1" x14ac:dyDescent="0.25"/>
    <row r="100163" customFormat="1" x14ac:dyDescent="0.25"/>
    <row r="100164" customFormat="1" x14ac:dyDescent="0.25"/>
    <row r="100165" customFormat="1" x14ac:dyDescent="0.25"/>
    <row r="100166" customFormat="1" x14ac:dyDescent="0.25"/>
    <row r="100167" customFormat="1" x14ac:dyDescent="0.25"/>
    <row r="100168" customFormat="1" x14ac:dyDescent="0.25"/>
    <row r="100169" customFormat="1" x14ac:dyDescent="0.25"/>
    <row r="100170" customFormat="1" x14ac:dyDescent="0.25"/>
    <row r="100171" customFormat="1" x14ac:dyDescent="0.25"/>
    <row r="100172" customFormat="1" x14ac:dyDescent="0.25"/>
    <row r="100173" customFormat="1" x14ac:dyDescent="0.25"/>
    <row r="100174" customFormat="1" x14ac:dyDescent="0.25"/>
    <row r="100175" customFormat="1" x14ac:dyDescent="0.25"/>
    <row r="100176" customFormat="1" x14ac:dyDescent="0.25"/>
    <row r="100177" customFormat="1" x14ac:dyDescent="0.25"/>
    <row r="100178" customFormat="1" x14ac:dyDescent="0.25"/>
    <row r="100179" customFormat="1" x14ac:dyDescent="0.25"/>
    <row r="100180" customFormat="1" x14ac:dyDescent="0.25"/>
    <row r="100181" customFormat="1" x14ac:dyDescent="0.25"/>
    <row r="100182" customFormat="1" x14ac:dyDescent="0.25"/>
    <row r="100183" customFormat="1" x14ac:dyDescent="0.25"/>
    <row r="100184" customFormat="1" x14ac:dyDescent="0.25"/>
    <row r="100185" customFormat="1" x14ac:dyDescent="0.25"/>
    <row r="100186" customFormat="1" x14ac:dyDescent="0.25"/>
    <row r="100187" customFormat="1" x14ac:dyDescent="0.25"/>
    <row r="100188" customFormat="1" x14ac:dyDescent="0.25"/>
    <row r="100189" customFormat="1" x14ac:dyDescent="0.25"/>
    <row r="100190" customFormat="1" x14ac:dyDescent="0.25"/>
    <row r="100191" customFormat="1" x14ac:dyDescent="0.25"/>
    <row r="100192" customFormat="1" x14ac:dyDescent="0.25"/>
    <row r="100193" customFormat="1" x14ac:dyDescent="0.25"/>
    <row r="100194" customFormat="1" x14ac:dyDescent="0.25"/>
    <row r="100195" customFormat="1" x14ac:dyDescent="0.25"/>
    <row r="100196" customFormat="1" x14ac:dyDescent="0.25"/>
    <row r="100197" customFormat="1" x14ac:dyDescent="0.25"/>
    <row r="100198" customFormat="1" x14ac:dyDescent="0.25"/>
    <row r="100199" customFormat="1" x14ac:dyDescent="0.25"/>
    <row r="100200" customFormat="1" x14ac:dyDescent="0.25"/>
    <row r="100201" customFormat="1" x14ac:dyDescent="0.25"/>
    <row r="100202" customFormat="1" x14ac:dyDescent="0.25"/>
    <row r="100203" customFormat="1" x14ac:dyDescent="0.25"/>
    <row r="100204" customFormat="1" x14ac:dyDescent="0.25"/>
    <row r="100205" customFormat="1" x14ac:dyDescent="0.25"/>
    <row r="100206" customFormat="1" x14ac:dyDescent="0.25"/>
    <row r="100207" customFormat="1" x14ac:dyDescent="0.25"/>
    <row r="100208" customFormat="1" x14ac:dyDescent="0.25"/>
    <row r="100209" customFormat="1" x14ac:dyDescent="0.25"/>
    <row r="100210" customFormat="1" x14ac:dyDescent="0.25"/>
    <row r="100211" customFormat="1" x14ac:dyDescent="0.25"/>
    <row r="100212" customFormat="1" x14ac:dyDescent="0.25"/>
    <row r="100213" customFormat="1" x14ac:dyDescent="0.25"/>
    <row r="100214" customFormat="1" x14ac:dyDescent="0.25"/>
    <row r="100215" customFormat="1" x14ac:dyDescent="0.25"/>
    <row r="100216" customFormat="1" x14ac:dyDescent="0.25"/>
    <row r="100217" customFormat="1" x14ac:dyDescent="0.25"/>
    <row r="100218" customFormat="1" x14ac:dyDescent="0.25"/>
    <row r="100219" customFormat="1" x14ac:dyDescent="0.25"/>
    <row r="100220" customFormat="1" x14ac:dyDescent="0.25"/>
    <row r="100221" customFormat="1" x14ac:dyDescent="0.25"/>
    <row r="100222" customFormat="1" x14ac:dyDescent="0.25"/>
    <row r="100223" customFormat="1" x14ac:dyDescent="0.25"/>
    <row r="100224" customFormat="1" x14ac:dyDescent="0.25"/>
    <row r="100225" customFormat="1" x14ac:dyDescent="0.25"/>
    <row r="100226" customFormat="1" x14ac:dyDescent="0.25"/>
    <row r="100227" customFormat="1" x14ac:dyDescent="0.25"/>
    <row r="100228" customFormat="1" x14ac:dyDescent="0.25"/>
    <row r="100229" customFormat="1" x14ac:dyDescent="0.25"/>
    <row r="100230" customFormat="1" x14ac:dyDescent="0.25"/>
    <row r="100231" customFormat="1" x14ac:dyDescent="0.25"/>
    <row r="100232" customFormat="1" x14ac:dyDescent="0.25"/>
    <row r="100233" customFormat="1" x14ac:dyDescent="0.25"/>
    <row r="100234" customFormat="1" x14ac:dyDescent="0.25"/>
    <row r="100235" customFormat="1" x14ac:dyDescent="0.25"/>
    <row r="100236" customFormat="1" x14ac:dyDescent="0.25"/>
    <row r="100237" customFormat="1" x14ac:dyDescent="0.25"/>
    <row r="100238" customFormat="1" x14ac:dyDescent="0.25"/>
    <row r="100239" customFormat="1" x14ac:dyDescent="0.25"/>
    <row r="100240" customFormat="1" x14ac:dyDescent="0.25"/>
    <row r="100241" customFormat="1" x14ac:dyDescent="0.25"/>
    <row r="100242" customFormat="1" x14ac:dyDescent="0.25"/>
    <row r="100243" customFormat="1" x14ac:dyDescent="0.25"/>
    <row r="100244" customFormat="1" x14ac:dyDescent="0.25"/>
    <row r="100245" customFormat="1" x14ac:dyDescent="0.25"/>
    <row r="100246" customFormat="1" x14ac:dyDescent="0.25"/>
    <row r="100247" customFormat="1" x14ac:dyDescent="0.25"/>
    <row r="100248" customFormat="1" x14ac:dyDescent="0.25"/>
    <row r="100249" customFormat="1" x14ac:dyDescent="0.25"/>
    <row r="100250" customFormat="1" x14ac:dyDescent="0.25"/>
    <row r="100251" customFormat="1" x14ac:dyDescent="0.25"/>
    <row r="100252" customFormat="1" x14ac:dyDescent="0.25"/>
    <row r="100253" customFormat="1" x14ac:dyDescent="0.25"/>
    <row r="100254" customFormat="1" x14ac:dyDescent="0.25"/>
    <row r="100255" customFormat="1" x14ac:dyDescent="0.25"/>
    <row r="100256" customFormat="1" x14ac:dyDescent="0.25"/>
    <row r="100257" customFormat="1" x14ac:dyDescent="0.25"/>
    <row r="100258" customFormat="1" x14ac:dyDescent="0.25"/>
    <row r="100259" customFormat="1" x14ac:dyDescent="0.25"/>
    <row r="100260" customFormat="1" x14ac:dyDescent="0.25"/>
    <row r="100261" customFormat="1" x14ac:dyDescent="0.25"/>
    <row r="100262" customFormat="1" x14ac:dyDescent="0.25"/>
    <row r="100263" customFormat="1" x14ac:dyDescent="0.25"/>
    <row r="100264" customFormat="1" x14ac:dyDescent="0.25"/>
    <row r="100265" customFormat="1" x14ac:dyDescent="0.25"/>
    <row r="100266" customFormat="1" x14ac:dyDescent="0.25"/>
    <row r="100267" customFormat="1" x14ac:dyDescent="0.25"/>
    <row r="100268" customFormat="1" x14ac:dyDescent="0.25"/>
    <row r="100269" customFormat="1" x14ac:dyDescent="0.25"/>
    <row r="100270" customFormat="1" x14ac:dyDescent="0.25"/>
    <row r="100271" customFormat="1" x14ac:dyDescent="0.25"/>
    <row r="100272" customFormat="1" x14ac:dyDescent="0.25"/>
    <row r="100273" customFormat="1" x14ac:dyDescent="0.25"/>
    <row r="100274" customFormat="1" x14ac:dyDescent="0.25"/>
    <row r="100275" customFormat="1" x14ac:dyDescent="0.25"/>
    <row r="100276" customFormat="1" x14ac:dyDescent="0.25"/>
    <row r="100277" customFormat="1" x14ac:dyDescent="0.25"/>
    <row r="100278" customFormat="1" x14ac:dyDescent="0.25"/>
    <row r="100279" customFormat="1" x14ac:dyDescent="0.25"/>
    <row r="100280" customFormat="1" x14ac:dyDescent="0.25"/>
    <row r="100281" customFormat="1" x14ac:dyDescent="0.25"/>
    <row r="100282" customFormat="1" x14ac:dyDescent="0.25"/>
    <row r="100283" customFormat="1" x14ac:dyDescent="0.25"/>
    <row r="100284" customFormat="1" x14ac:dyDescent="0.25"/>
    <row r="100285" customFormat="1" x14ac:dyDescent="0.25"/>
    <row r="100286" customFormat="1" x14ac:dyDescent="0.25"/>
    <row r="100287" customFormat="1" x14ac:dyDescent="0.25"/>
    <row r="100288" customFormat="1" x14ac:dyDescent="0.25"/>
    <row r="100289" customFormat="1" x14ac:dyDescent="0.25"/>
    <row r="100290" customFormat="1" x14ac:dyDescent="0.25"/>
    <row r="100291" customFormat="1" x14ac:dyDescent="0.25"/>
    <row r="100292" customFormat="1" x14ac:dyDescent="0.25"/>
    <row r="100293" customFormat="1" x14ac:dyDescent="0.25"/>
    <row r="100294" customFormat="1" x14ac:dyDescent="0.25"/>
    <row r="100295" customFormat="1" x14ac:dyDescent="0.25"/>
    <row r="100296" customFormat="1" x14ac:dyDescent="0.25"/>
    <row r="100297" customFormat="1" x14ac:dyDescent="0.25"/>
    <row r="100298" customFormat="1" x14ac:dyDescent="0.25"/>
    <row r="100299" customFormat="1" x14ac:dyDescent="0.25"/>
    <row r="100300" customFormat="1" x14ac:dyDescent="0.25"/>
    <row r="100301" customFormat="1" x14ac:dyDescent="0.25"/>
    <row r="100302" customFormat="1" x14ac:dyDescent="0.25"/>
    <row r="100303" customFormat="1" x14ac:dyDescent="0.25"/>
    <row r="100304" customFormat="1" x14ac:dyDescent="0.25"/>
    <row r="100305" customFormat="1" x14ac:dyDescent="0.25"/>
    <row r="100306" customFormat="1" x14ac:dyDescent="0.25"/>
    <row r="100307" customFormat="1" x14ac:dyDescent="0.25"/>
    <row r="100308" customFormat="1" x14ac:dyDescent="0.25"/>
    <row r="100309" customFormat="1" x14ac:dyDescent="0.25"/>
    <row r="100310" customFormat="1" x14ac:dyDescent="0.25"/>
    <row r="100311" customFormat="1" x14ac:dyDescent="0.25"/>
    <row r="100312" customFormat="1" x14ac:dyDescent="0.25"/>
    <row r="100313" customFormat="1" x14ac:dyDescent="0.25"/>
    <row r="100314" customFormat="1" x14ac:dyDescent="0.25"/>
    <row r="100315" customFormat="1" x14ac:dyDescent="0.25"/>
    <row r="100316" customFormat="1" x14ac:dyDescent="0.25"/>
    <row r="100317" customFormat="1" x14ac:dyDescent="0.25"/>
    <row r="100318" customFormat="1" x14ac:dyDescent="0.25"/>
    <row r="100319" customFormat="1" x14ac:dyDescent="0.25"/>
    <row r="100320" customFormat="1" x14ac:dyDescent="0.25"/>
    <row r="100321" customFormat="1" x14ac:dyDescent="0.25"/>
    <row r="100322" customFormat="1" x14ac:dyDescent="0.25"/>
    <row r="100323" customFormat="1" x14ac:dyDescent="0.25"/>
    <row r="100324" customFormat="1" x14ac:dyDescent="0.25"/>
    <row r="100325" customFormat="1" x14ac:dyDescent="0.25"/>
    <row r="100326" customFormat="1" x14ac:dyDescent="0.25"/>
    <row r="100327" customFormat="1" x14ac:dyDescent="0.25"/>
    <row r="100328" customFormat="1" x14ac:dyDescent="0.25"/>
    <row r="100329" customFormat="1" x14ac:dyDescent="0.25"/>
    <row r="100330" customFormat="1" x14ac:dyDescent="0.25"/>
    <row r="100331" customFormat="1" x14ac:dyDescent="0.25"/>
    <row r="100332" customFormat="1" x14ac:dyDescent="0.25"/>
    <row r="100333" customFormat="1" x14ac:dyDescent="0.25"/>
    <row r="100334" customFormat="1" x14ac:dyDescent="0.25"/>
    <row r="100335" customFormat="1" x14ac:dyDescent="0.25"/>
    <row r="100336" customFormat="1" x14ac:dyDescent="0.25"/>
    <row r="100337" customFormat="1" x14ac:dyDescent="0.25"/>
    <row r="100338" customFormat="1" x14ac:dyDescent="0.25"/>
    <row r="100339" customFormat="1" x14ac:dyDescent="0.25"/>
    <row r="100340" customFormat="1" x14ac:dyDescent="0.25"/>
    <row r="100341" customFormat="1" x14ac:dyDescent="0.25"/>
    <row r="100342" customFormat="1" x14ac:dyDescent="0.25"/>
    <row r="100343" customFormat="1" x14ac:dyDescent="0.25"/>
    <row r="100344" customFormat="1" x14ac:dyDescent="0.25"/>
    <row r="100345" customFormat="1" x14ac:dyDescent="0.25"/>
    <row r="100346" customFormat="1" x14ac:dyDescent="0.25"/>
    <row r="100347" customFormat="1" x14ac:dyDescent="0.25"/>
    <row r="100348" customFormat="1" x14ac:dyDescent="0.25"/>
    <row r="100349" customFormat="1" x14ac:dyDescent="0.25"/>
    <row r="100350" customFormat="1" x14ac:dyDescent="0.25"/>
    <row r="100351" customFormat="1" x14ac:dyDescent="0.25"/>
    <row r="100352" customFormat="1" x14ac:dyDescent="0.25"/>
    <row r="100353" customFormat="1" x14ac:dyDescent="0.25"/>
    <row r="100354" customFormat="1" x14ac:dyDescent="0.25"/>
    <row r="100355" customFormat="1" x14ac:dyDescent="0.25"/>
    <row r="100356" customFormat="1" x14ac:dyDescent="0.25"/>
    <row r="100357" customFormat="1" x14ac:dyDescent="0.25"/>
    <row r="100358" customFormat="1" x14ac:dyDescent="0.25"/>
    <row r="100359" customFormat="1" x14ac:dyDescent="0.25"/>
    <row r="100360" customFormat="1" x14ac:dyDescent="0.25"/>
    <row r="100361" customFormat="1" x14ac:dyDescent="0.25"/>
    <row r="100362" customFormat="1" x14ac:dyDescent="0.25"/>
    <row r="100363" customFormat="1" x14ac:dyDescent="0.25"/>
    <row r="100364" customFormat="1" x14ac:dyDescent="0.25"/>
    <row r="100365" customFormat="1" x14ac:dyDescent="0.25"/>
    <row r="100366" customFormat="1" x14ac:dyDescent="0.25"/>
    <row r="100367" customFormat="1" x14ac:dyDescent="0.25"/>
    <row r="100368" customFormat="1" x14ac:dyDescent="0.25"/>
    <row r="100369" customFormat="1" x14ac:dyDescent="0.25"/>
    <row r="100370" customFormat="1" x14ac:dyDescent="0.25"/>
    <row r="100371" customFormat="1" x14ac:dyDescent="0.25"/>
    <row r="100372" customFormat="1" x14ac:dyDescent="0.25"/>
    <row r="100373" customFormat="1" x14ac:dyDescent="0.25"/>
    <row r="100374" customFormat="1" x14ac:dyDescent="0.25"/>
    <row r="100375" customFormat="1" x14ac:dyDescent="0.25"/>
    <row r="100376" customFormat="1" x14ac:dyDescent="0.25"/>
    <row r="100377" customFormat="1" x14ac:dyDescent="0.25"/>
    <row r="100378" customFormat="1" x14ac:dyDescent="0.25"/>
    <row r="100379" customFormat="1" x14ac:dyDescent="0.25"/>
    <row r="100380" customFormat="1" x14ac:dyDescent="0.25"/>
    <row r="100381" customFormat="1" x14ac:dyDescent="0.25"/>
    <row r="100382" customFormat="1" x14ac:dyDescent="0.25"/>
    <row r="100383" customFormat="1" x14ac:dyDescent="0.25"/>
    <row r="100384" customFormat="1" x14ac:dyDescent="0.25"/>
    <row r="100385" customFormat="1" x14ac:dyDescent="0.25"/>
    <row r="100386" customFormat="1" x14ac:dyDescent="0.25"/>
    <row r="100387" customFormat="1" x14ac:dyDescent="0.25"/>
    <row r="100388" customFormat="1" x14ac:dyDescent="0.25"/>
    <row r="100389" customFormat="1" x14ac:dyDescent="0.25"/>
    <row r="100390" customFormat="1" x14ac:dyDescent="0.25"/>
    <row r="100391" customFormat="1" x14ac:dyDescent="0.25"/>
    <row r="100392" customFormat="1" x14ac:dyDescent="0.25"/>
    <row r="100393" customFormat="1" x14ac:dyDescent="0.25"/>
    <row r="100394" customFormat="1" x14ac:dyDescent="0.25"/>
    <row r="100395" customFormat="1" x14ac:dyDescent="0.25"/>
    <row r="100396" customFormat="1" x14ac:dyDescent="0.25"/>
    <row r="100397" customFormat="1" x14ac:dyDescent="0.25"/>
    <row r="100398" customFormat="1" x14ac:dyDescent="0.25"/>
    <row r="100399" customFormat="1" x14ac:dyDescent="0.25"/>
    <row r="100400" customFormat="1" x14ac:dyDescent="0.25"/>
    <row r="100401" customFormat="1" x14ac:dyDescent="0.25"/>
    <row r="100402" customFormat="1" x14ac:dyDescent="0.25"/>
    <row r="100403" customFormat="1" x14ac:dyDescent="0.25"/>
    <row r="100404" customFormat="1" x14ac:dyDescent="0.25"/>
    <row r="100405" customFormat="1" x14ac:dyDescent="0.25"/>
    <row r="100406" customFormat="1" x14ac:dyDescent="0.25"/>
    <row r="100407" customFormat="1" x14ac:dyDescent="0.25"/>
    <row r="100408" customFormat="1" x14ac:dyDescent="0.25"/>
    <row r="100409" customFormat="1" x14ac:dyDescent="0.25"/>
    <row r="100410" customFormat="1" x14ac:dyDescent="0.25"/>
    <row r="100411" customFormat="1" x14ac:dyDescent="0.25"/>
    <row r="100412" customFormat="1" x14ac:dyDescent="0.25"/>
    <row r="100413" customFormat="1" x14ac:dyDescent="0.25"/>
    <row r="100414" customFormat="1" x14ac:dyDescent="0.25"/>
    <row r="100415" customFormat="1" x14ac:dyDescent="0.25"/>
    <row r="100416" customFormat="1" x14ac:dyDescent="0.25"/>
    <row r="100417" customFormat="1" x14ac:dyDescent="0.25"/>
    <row r="100418" customFormat="1" x14ac:dyDescent="0.25"/>
    <row r="100419" customFormat="1" x14ac:dyDescent="0.25"/>
    <row r="100420" customFormat="1" x14ac:dyDescent="0.25"/>
    <row r="100421" customFormat="1" x14ac:dyDescent="0.25"/>
    <row r="100422" customFormat="1" x14ac:dyDescent="0.25"/>
    <row r="100423" customFormat="1" x14ac:dyDescent="0.25"/>
    <row r="100424" customFormat="1" x14ac:dyDescent="0.25"/>
    <row r="100425" customFormat="1" x14ac:dyDescent="0.25"/>
    <row r="100426" customFormat="1" x14ac:dyDescent="0.25"/>
    <row r="100427" customFormat="1" x14ac:dyDescent="0.25"/>
    <row r="100428" customFormat="1" x14ac:dyDescent="0.25"/>
    <row r="100429" customFormat="1" x14ac:dyDescent="0.25"/>
    <row r="100430" customFormat="1" x14ac:dyDescent="0.25"/>
    <row r="100431" customFormat="1" x14ac:dyDescent="0.25"/>
    <row r="100432" customFormat="1" x14ac:dyDescent="0.25"/>
    <row r="100433" customFormat="1" x14ac:dyDescent="0.25"/>
    <row r="100434" customFormat="1" x14ac:dyDescent="0.25"/>
    <row r="100435" customFormat="1" x14ac:dyDescent="0.25"/>
    <row r="100436" customFormat="1" x14ac:dyDescent="0.25"/>
    <row r="100437" customFormat="1" x14ac:dyDescent="0.25"/>
    <row r="100438" customFormat="1" x14ac:dyDescent="0.25"/>
    <row r="100439" customFormat="1" x14ac:dyDescent="0.25"/>
    <row r="100440" customFormat="1" x14ac:dyDescent="0.25"/>
    <row r="100441" customFormat="1" x14ac:dyDescent="0.25"/>
    <row r="100442" customFormat="1" x14ac:dyDescent="0.25"/>
    <row r="100443" customFormat="1" x14ac:dyDescent="0.25"/>
    <row r="100444" customFormat="1" x14ac:dyDescent="0.25"/>
    <row r="100445" customFormat="1" x14ac:dyDescent="0.25"/>
    <row r="100446" customFormat="1" x14ac:dyDescent="0.25"/>
    <row r="100447" customFormat="1" x14ac:dyDescent="0.25"/>
    <row r="100448" customFormat="1" x14ac:dyDescent="0.25"/>
    <row r="100449" customFormat="1" x14ac:dyDescent="0.25"/>
    <row r="100450" customFormat="1" x14ac:dyDescent="0.25"/>
    <row r="100451" customFormat="1" x14ac:dyDescent="0.25"/>
    <row r="100452" customFormat="1" x14ac:dyDescent="0.25"/>
    <row r="100453" customFormat="1" x14ac:dyDescent="0.25"/>
    <row r="100454" customFormat="1" x14ac:dyDescent="0.25"/>
    <row r="100455" customFormat="1" x14ac:dyDescent="0.25"/>
    <row r="100456" customFormat="1" x14ac:dyDescent="0.25"/>
    <row r="100457" customFormat="1" x14ac:dyDescent="0.25"/>
    <row r="100458" customFormat="1" x14ac:dyDescent="0.25"/>
    <row r="100459" customFormat="1" x14ac:dyDescent="0.25"/>
    <row r="100460" customFormat="1" x14ac:dyDescent="0.25"/>
    <row r="100461" customFormat="1" x14ac:dyDescent="0.25"/>
    <row r="100462" customFormat="1" x14ac:dyDescent="0.25"/>
    <row r="100463" customFormat="1" x14ac:dyDescent="0.25"/>
    <row r="100464" customFormat="1" x14ac:dyDescent="0.25"/>
    <row r="100465" customFormat="1" x14ac:dyDescent="0.25"/>
    <row r="100466" customFormat="1" x14ac:dyDescent="0.25"/>
    <row r="100467" customFormat="1" x14ac:dyDescent="0.25"/>
    <row r="100468" customFormat="1" x14ac:dyDescent="0.25"/>
    <row r="100469" customFormat="1" x14ac:dyDescent="0.25"/>
    <row r="100470" customFormat="1" x14ac:dyDescent="0.25"/>
    <row r="100471" customFormat="1" x14ac:dyDescent="0.25"/>
    <row r="100472" customFormat="1" x14ac:dyDescent="0.25"/>
    <row r="100473" customFormat="1" x14ac:dyDescent="0.25"/>
    <row r="100474" customFormat="1" x14ac:dyDescent="0.25"/>
    <row r="100475" customFormat="1" x14ac:dyDescent="0.25"/>
    <row r="100476" customFormat="1" x14ac:dyDescent="0.25"/>
    <row r="100477" customFormat="1" x14ac:dyDescent="0.25"/>
    <row r="100478" customFormat="1" x14ac:dyDescent="0.25"/>
    <row r="100479" customFormat="1" x14ac:dyDescent="0.25"/>
    <row r="100480" customFormat="1" x14ac:dyDescent="0.25"/>
    <row r="100481" customFormat="1" x14ac:dyDescent="0.25"/>
    <row r="100482" customFormat="1" x14ac:dyDescent="0.25"/>
    <row r="100483" customFormat="1" x14ac:dyDescent="0.25"/>
    <row r="100484" customFormat="1" x14ac:dyDescent="0.25"/>
    <row r="100485" customFormat="1" x14ac:dyDescent="0.25"/>
    <row r="100486" customFormat="1" x14ac:dyDescent="0.25"/>
    <row r="100487" customFormat="1" x14ac:dyDescent="0.25"/>
    <row r="100488" customFormat="1" x14ac:dyDescent="0.25"/>
    <row r="100489" customFormat="1" x14ac:dyDescent="0.25"/>
    <row r="100490" customFormat="1" x14ac:dyDescent="0.25"/>
    <row r="100491" customFormat="1" x14ac:dyDescent="0.25"/>
    <row r="100492" customFormat="1" x14ac:dyDescent="0.25"/>
    <row r="100493" customFormat="1" x14ac:dyDescent="0.25"/>
    <row r="100494" customFormat="1" x14ac:dyDescent="0.25"/>
    <row r="100495" customFormat="1" x14ac:dyDescent="0.25"/>
    <row r="100496" customFormat="1" x14ac:dyDescent="0.25"/>
    <row r="100497" customFormat="1" x14ac:dyDescent="0.25"/>
    <row r="100498" customFormat="1" x14ac:dyDescent="0.25"/>
    <row r="100499" customFormat="1" x14ac:dyDescent="0.25"/>
    <row r="100500" customFormat="1" x14ac:dyDescent="0.25"/>
    <row r="100501" customFormat="1" x14ac:dyDescent="0.25"/>
    <row r="100502" customFormat="1" x14ac:dyDescent="0.25"/>
    <row r="100503" customFormat="1" x14ac:dyDescent="0.25"/>
    <row r="100504" customFormat="1" x14ac:dyDescent="0.25"/>
    <row r="100505" customFormat="1" x14ac:dyDescent="0.25"/>
    <row r="100506" customFormat="1" x14ac:dyDescent="0.25"/>
    <row r="100507" customFormat="1" x14ac:dyDescent="0.25"/>
    <row r="100508" customFormat="1" x14ac:dyDescent="0.25"/>
    <row r="100509" customFormat="1" x14ac:dyDescent="0.25"/>
    <row r="100510" customFormat="1" x14ac:dyDescent="0.25"/>
    <row r="100511" customFormat="1" x14ac:dyDescent="0.25"/>
    <row r="100512" customFormat="1" x14ac:dyDescent="0.25"/>
    <row r="100513" customFormat="1" x14ac:dyDescent="0.25"/>
    <row r="100514" customFormat="1" x14ac:dyDescent="0.25"/>
    <row r="100515" customFormat="1" x14ac:dyDescent="0.25"/>
    <row r="100516" customFormat="1" x14ac:dyDescent="0.25"/>
    <row r="100517" customFormat="1" x14ac:dyDescent="0.25"/>
    <row r="100518" customFormat="1" x14ac:dyDescent="0.25"/>
    <row r="100519" customFormat="1" x14ac:dyDescent="0.25"/>
    <row r="100520" customFormat="1" x14ac:dyDescent="0.25"/>
    <row r="100521" customFormat="1" x14ac:dyDescent="0.25"/>
    <row r="100522" customFormat="1" x14ac:dyDescent="0.25"/>
    <row r="100523" customFormat="1" x14ac:dyDescent="0.25"/>
    <row r="100524" customFormat="1" x14ac:dyDescent="0.25"/>
    <row r="100525" customFormat="1" x14ac:dyDescent="0.25"/>
    <row r="100526" customFormat="1" x14ac:dyDescent="0.25"/>
    <row r="100527" customFormat="1" x14ac:dyDescent="0.25"/>
    <row r="100528" customFormat="1" x14ac:dyDescent="0.25"/>
    <row r="100529" customFormat="1" x14ac:dyDescent="0.25"/>
    <row r="100530" customFormat="1" x14ac:dyDescent="0.25"/>
    <row r="100531" customFormat="1" x14ac:dyDescent="0.25"/>
    <row r="100532" customFormat="1" x14ac:dyDescent="0.25"/>
    <row r="100533" customFormat="1" x14ac:dyDescent="0.25"/>
    <row r="100534" customFormat="1" x14ac:dyDescent="0.25"/>
    <row r="100535" customFormat="1" x14ac:dyDescent="0.25"/>
    <row r="100536" customFormat="1" x14ac:dyDescent="0.25"/>
    <row r="100537" customFormat="1" x14ac:dyDescent="0.25"/>
    <row r="100538" customFormat="1" x14ac:dyDescent="0.25"/>
    <row r="100539" customFormat="1" x14ac:dyDescent="0.25"/>
    <row r="100540" customFormat="1" x14ac:dyDescent="0.25"/>
    <row r="100541" customFormat="1" x14ac:dyDescent="0.25"/>
    <row r="100542" customFormat="1" x14ac:dyDescent="0.25"/>
    <row r="100543" customFormat="1" x14ac:dyDescent="0.25"/>
    <row r="100544" customFormat="1" x14ac:dyDescent="0.25"/>
    <row r="100545" customFormat="1" x14ac:dyDescent="0.25"/>
    <row r="100546" customFormat="1" x14ac:dyDescent="0.25"/>
    <row r="100547" customFormat="1" x14ac:dyDescent="0.25"/>
    <row r="100548" customFormat="1" x14ac:dyDescent="0.25"/>
    <row r="100549" customFormat="1" x14ac:dyDescent="0.25"/>
    <row r="100550" customFormat="1" x14ac:dyDescent="0.25"/>
    <row r="100551" customFormat="1" x14ac:dyDescent="0.25"/>
    <row r="100552" customFormat="1" x14ac:dyDescent="0.25"/>
    <row r="100553" customFormat="1" x14ac:dyDescent="0.25"/>
    <row r="100554" customFormat="1" x14ac:dyDescent="0.25"/>
    <row r="100555" customFormat="1" x14ac:dyDescent="0.25"/>
    <row r="100556" customFormat="1" x14ac:dyDescent="0.25"/>
    <row r="100557" customFormat="1" x14ac:dyDescent="0.25"/>
    <row r="100558" customFormat="1" x14ac:dyDescent="0.25"/>
    <row r="100559" customFormat="1" x14ac:dyDescent="0.25"/>
    <row r="100560" customFormat="1" x14ac:dyDescent="0.25"/>
    <row r="100561" customFormat="1" x14ac:dyDescent="0.25"/>
    <row r="100562" customFormat="1" x14ac:dyDescent="0.25"/>
    <row r="100563" customFormat="1" x14ac:dyDescent="0.25"/>
    <row r="100564" customFormat="1" x14ac:dyDescent="0.25"/>
    <row r="100565" customFormat="1" x14ac:dyDescent="0.25"/>
    <row r="100566" customFormat="1" x14ac:dyDescent="0.25"/>
    <row r="100567" customFormat="1" x14ac:dyDescent="0.25"/>
    <row r="100568" customFormat="1" x14ac:dyDescent="0.25"/>
    <row r="100569" customFormat="1" x14ac:dyDescent="0.25"/>
    <row r="100570" customFormat="1" x14ac:dyDescent="0.25"/>
    <row r="100571" customFormat="1" x14ac:dyDescent="0.25"/>
    <row r="100572" customFormat="1" x14ac:dyDescent="0.25"/>
    <row r="100573" customFormat="1" x14ac:dyDescent="0.25"/>
    <row r="100574" customFormat="1" x14ac:dyDescent="0.25"/>
    <row r="100575" customFormat="1" x14ac:dyDescent="0.25"/>
    <row r="100576" customFormat="1" x14ac:dyDescent="0.25"/>
    <row r="100577" customFormat="1" x14ac:dyDescent="0.25"/>
    <row r="100578" customFormat="1" x14ac:dyDescent="0.25"/>
    <row r="100579" customFormat="1" x14ac:dyDescent="0.25"/>
    <row r="100580" customFormat="1" x14ac:dyDescent="0.25"/>
    <row r="100581" customFormat="1" x14ac:dyDescent="0.25"/>
    <row r="100582" customFormat="1" x14ac:dyDescent="0.25"/>
    <row r="100583" customFormat="1" x14ac:dyDescent="0.25"/>
    <row r="100584" customFormat="1" x14ac:dyDescent="0.25"/>
    <row r="100585" customFormat="1" x14ac:dyDescent="0.25"/>
    <row r="100586" customFormat="1" x14ac:dyDescent="0.25"/>
    <row r="100587" customFormat="1" x14ac:dyDescent="0.25"/>
    <row r="100588" customFormat="1" x14ac:dyDescent="0.25"/>
    <row r="100589" customFormat="1" x14ac:dyDescent="0.25"/>
    <row r="100590" customFormat="1" x14ac:dyDescent="0.25"/>
    <row r="100591" customFormat="1" x14ac:dyDescent="0.25"/>
    <row r="100592" customFormat="1" x14ac:dyDescent="0.25"/>
    <row r="100593" customFormat="1" x14ac:dyDescent="0.25"/>
    <row r="100594" customFormat="1" x14ac:dyDescent="0.25"/>
    <row r="100595" customFormat="1" x14ac:dyDescent="0.25"/>
    <row r="100596" customFormat="1" x14ac:dyDescent="0.25"/>
    <row r="100597" customFormat="1" x14ac:dyDescent="0.25"/>
    <row r="100598" customFormat="1" x14ac:dyDescent="0.25"/>
    <row r="100599" customFormat="1" x14ac:dyDescent="0.25"/>
    <row r="100600" customFormat="1" x14ac:dyDescent="0.25"/>
    <row r="100601" customFormat="1" x14ac:dyDescent="0.25"/>
    <row r="100602" customFormat="1" x14ac:dyDescent="0.25"/>
    <row r="100603" customFormat="1" x14ac:dyDescent="0.25"/>
    <row r="100604" customFormat="1" x14ac:dyDescent="0.25"/>
    <row r="100605" customFormat="1" x14ac:dyDescent="0.25"/>
    <row r="100606" customFormat="1" x14ac:dyDescent="0.25"/>
    <row r="100607" customFormat="1" x14ac:dyDescent="0.25"/>
    <row r="100608" customFormat="1" x14ac:dyDescent="0.25"/>
    <row r="100609" customFormat="1" x14ac:dyDescent="0.25"/>
    <row r="100610" customFormat="1" x14ac:dyDescent="0.25"/>
    <row r="100611" customFormat="1" x14ac:dyDescent="0.25"/>
    <row r="100612" customFormat="1" x14ac:dyDescent="0.25"/>
    <row r="100613" customFormat="1" x14ac:dyDescent="0.25"/>
    <row r="100614" customFormat="1" x14ac:dyDescent="0.25"/>
    <row r="100615" customFormat="1" x14ac:dyDescent="0.25"/>
    <row r="100616" customFormat="1" x14ac:dyDescent="0.25"/>
    <row r="100617" customFormat="1" x14ac:dyDescent="0.25"/>
    <row r="100618" customFormat="1" x14ac:dyDescent="0.25"/>
    <row r="100619" customFormat="1" x14ac:dyDescent="0.25"/>
    <row r="100620" customFormat="1" x14ac:dyDescent="0.25"/>
    <row r="100621" customFormat="1" x14ac:dyDescent="0.25"/>
    <row r="100622" customFormat="1" x14ac:dyDescent="0.25"/>
    <row r="100623" customFormat="1" x14ac:dyDescent="0.25"/>
    <row r="100624" customFormat="1" x14ac:dyDescent="0.25"/>
    <row r="100625" customFormat="1" x14ac:dyDescent="0.25"/>
    <row r="100626" customFormat="1" x14ac:dyDescent="0.25"/>
    <row r="100627" customFormat="1" x14ac:dyDescent="0.25"/>
    <row r="100628" customFormat="1" x14ac:dyDescent="0.25"/>
    <row r="100629" customFormat="1" x14ac:dyDescent="0.25"/>
    <row r="100630" customFormat="1" x14ac:dyDescent="0.25"/>
    <row r="100631" customFormat="1" x14ac:dyDescent="0.25"/>
    <row r="100632" customFormat="1" x14ac:dyDescent="0.25"/>
    <row r="100633" customFormat="1" x14ac:dyDescent="0.25"/>
    <row r="100634" customFormat="1" x14ac:dyDescent="0.25"/>
    <row r="100635" customFormat="1" x14ac:dyDescent="0.25"/>
    <row r="100636" customFormat="1" x14ac:dyDescent="0.25"/>
    <row r="100637" customFormat="1" x14ac:dyDescent="0.25"/>
    <row r="100638" customFormat="1" x14ac:dyDescent="0.25"/>
    <row r="100639" customFormat="1" x14ac:dyDescent="0.25"/>
    <row r="100640" customFormat="1" x14ac:dyDescent="0.25"/>
    <row r="100641" customFormat="1" x14ac:dyDescent="0.25"/>
    <row r="100642" customFormat="1" x14ac:dyDescent="0.25"/>
    <row r="100643" customFormat="1" x14ac:dyDescent="0.25"/>
    <row r="100644" customFormat="1" x14ac:dyDescent="0.25"/>
    <row r="100645" customFormat="1" x14ac:dyDescent="0.25"/>
    <row r="100646" customFormat="1" x14ac:dyDescent="0.25"/>
    <row r="100647" customFormat="1" x14ac:dyDescent="0.25"/>
    <row r="100648" customFormat="1" x14ac:dyDescent="0.25"/>
    <row r="100649" customFormat="1" x14ac:dyDescent="0.25"/>
    <row r="100650" customFormat="1" x14ac:dyDescent="0.25"/>
    <row r="100651" customFormat="1" x14ac:dyDescent="0.25"/>
    <row r="100652" customFormat="1" x14ac:dyDescent="0.25"/>
    <row r="100653" customFormat="1" x14ac:dyDescent="0.25"/>
    <row r="100654" customFormat="1" x14ac:dyDescent="0.25"/>
    <row r="100655" customFormat="1" x14ac:dyDescent="0.25"/>
    <row r="100656" customFormat="1" x14ac:dyDescent="0.25"/>
    <row r="100657" customFormat="1" x14ac:dyDescent="0.25"/>
    <row r="100658" customFormat="1" x14ac:dyDescent="0.25"/>
    <row r="100659" customFormat="1" x14ac:dyDescent="0.25"/>
    <row r="100660" customFormat="1" x14ac:dyDescent="0.25"/>
    <row r="100661" customFormat="1" x14ac:dyDescent="0.25"/>
    <row r="100662" customFormat="1" x14ac:dyDescent="0.25"/>
    <row r="100663" customFormat="1" x14ac:dyDescent="0.25"/>
    <row r="100664" customFormat="1" x14ac:dyDescent="0.25"/>
    <row r="100665" customFormat="1" x14ac:dyDescent="0.25"/>
    <row r="100666" customFormat="1" x14ac:dyDescent="0.25"/>
    <row r="100667" customFormat="1" x14ac:dyDescent="0.25"/>
    <row r="100668" customFormat="1" x14ac:dyDescent="0.25"/>
    <row r="100669" customFormat="1" x14ac:dyDescent="0.25"/>
    <row r="100670" customFormat="1" x14ac:dyDescent="0.25"/>
    <row r="100671" customFormat="1" x14ac:dyDescent="0.25"/>
    <row r="100672" customFormat="1" x14ac:dyDescent="0.25"/>
    <row r="100673" customFormat="1" x14ac:dyDescent="0.25"/>
    <row r="100674" customFormat="1" x14ac:dyDescent="0.25"/>
    <row r="100675" customFormat="1" x14ac:dyDescent="0.25"/>
    <row r="100676" customFormat="1" x14ac:dyDescent="0.25"/>
    <row r="100677" customFormat="1" x14ac:dyDescent="0.25"/>
    <row r="100678" customFormat="1" x14ac:dyDescent="0.25"/>
    <row r="100679" customFormat="1" x14ac:dyDescent="0.25"/>
    <row r="100680" customFormat="1" x14ac:dyDescent="0.25"/>
    <row r="100681" customFormat="1" x14ac:dyDescent="0.25"/>
    <row r="100682" customFormat="1" x14ac:dyDescent="0.25"/>
    <row r="100683" customFormat="1" x14ac:dyDescent="0.25"/>
    <row r="100684" customFormat="1" x14ac:dyDescent="0.25"/>
    <row r="100685" customFormat="1" x14ac:dyDescent="0.25"/>
    <row r="100686" customFormat="1" x14ac:dyDescent="0.25"/>
    <row r="100687" customFormat="1" x14ac:dyDescent="0.25"/>
    <row r="100688" customFormat="1" x14ac:dyDescent="0.25"/>
    <row r="100689" customFormat="1" x14ac:dyDescent="0.25"/>
    <row r="100690" customFormat="1" x14ac:dyDescent="0.25"/>
    <row r="100691" customFormat="1" x14ac:dyDescent="0.25"/>
    <row r="100692" customFormat="1" x14ac:dyDescent="0.25"/>
    <row r="100693" customFormat="1" x14ac:dyDescent="0.25"/>
    <row r="100694" customFormat="1" x14ac:dyDescent="0.25"/>
    <row r="100695" customFormat="1" x14ac:dyDescent="0.25"/>
    <row r="100696" customFormat="1" x14ac:dyDescent="0.25"/>
    <row r="100697" customFormat="1" x14ac:dyDescent="0.25"/>
    <row r="100698" customFormat="1" x14ac:dyDescent="0.25"/>
    <row r="100699" customFormat="1" x14ac:dyDescent="0.25"/>
    <row r="100700" customFormat="1" x14ac:dyDescent="0.25"/>
    <row r="100701" customFormat="1" x14ac:dyDescent="0.25"/>
    <row r="100702" customFormat="1" x14ac:dyDescent="0.25"/>
    <row r="100703" customFormat="1" x14ac:dyDescent="0.25"/>
    <row r="100704" customFormat="1" x14ac:dyDescent="0.25"/>
    <row r="100705" customFormat="1" x14ac:dyDescent="0.25"/>
    <row r="100706" customFormat="1" x14ac:dyDescent="0.25"/>
    <row r="100707" customFormat="1" x14ac:dyDescent="0.25"/>
    <row r="100708" customFormat="1" x14ac:dyDescent="0.25"/>
    <row r="100709" customFormat="1" x14ac:dyDescent="0.25"/>
    <row r="100710" customFormat="1" x14ac:dyDescent="0.25"/>
    <row r="100711" customFormat="1" x14ac:dyDescent="0.25"/>
    <row r="100712" customFormat="1" x14ac:dyDescent="0.25"/>
    <row r="100713" customFormat="1" x14ac:dyDescent="0.25"/>
    <row r="100714" customFormat="1" x14ac:dyDescent="0.25"/>
    <row r="100715" customFormat="1" x14ac:dyDescent="0.25"/>
    <row r="100716" customFormat="1" x14ac:dyDescent="0.25"/>
    <row r="100717" customFormat="1" x14ac:dyDescent="0.25"/>
    <row r="100718" customFormat="1" x14ac:dyDescent="0.25"/>
    <row r="100719" customFormat="1" x14ac:dyDescent="0.25"/>
    <row r="100720" customFormat="1" x14ac:dyDescent="0.25"/>
    <row r="100721" customFormat="1" x14ac:dyDescent="0.25"/>
    <row r="100722" customFormat="1" x14ac:dyDescent="0.25"/>
    <row r="100723" customFormat="1" x14ac:dyDescent="0.25"/>
    <row r="100724" customFormat="1" x14ac:dyDescent="0.25"/>
    <row r="100725" customFormat="1" x14ac:dyDescent="0.25"/>
    <row r="100726" customFormat="1" x14ac:dyDescent="0.25"/>
    <row r="100727" customFormat="1" x14ac:dyDescent="0.25"/>
    <row r="100728" customFormat="1" x14ac:dyDescent="0.25"/>
    <row r="100729" customFormat="1" x14ac:dyDescent="0.25"/>
    <row r="100730" customFormat="1" x14ac:dyDescent="0.25"/>
    <row r="100731" customFormat="1" x14ac:dyDescent="0.25"/>
    <row r="100732" customFormat="1" x14ac:dyDescent="0.25"/>
    <row r="100733" customFormat="1" x14ac:dyDescent="0.25"/>
    <row r="100734" customFormat="1" x14ac:dyDescent="0.25"/>
    <row r="100735" customFormat="1" x14ac:dyDescent="0.25"/>
    <row r="100736" customFormat="1" x14ac:dyDescent="0.25"/>
    <row r="100737" customFormat="1" x14ac:dyDescent="0.25"/>
    <row r="100738" customFormat="1" x14ac:dyDescent="0.25"/>
    <row r="100739" customFormat="1" x14ac:dyDescent="0.25"/>
    <row r="100740" customFormat="1" x14ac:dyDescent="0.25"/>
    <row r="100741" customFormat="1" x14ac:dyDescent="0.25"/>
    <row r="100742" customFormat="1" x14ac:dyDescent="0.25"/>
    <row r="100743" customFormat="1" x14ac:dyDescent="0.25"/>
    <row r="100744" customFormat="1" x14ac:dyDescent="0.25"/>
    <row r="100745" customFormat="1" x14ac:dyDescent="0.25"/>
    <row r="100746" customFormat="1" x14ac:dyDescent="0.25"/>
    <row r="100747" customFormat="1" x14ac:dyDescent="0.25"/>
    <row r="100748" customFormat="1" x14ac:dyDescent="0.25"/>
    <row r="100749" customFormat="1" x14ac:dyDescent="0.25"/>
    <row r="100750" customFormat="1" x14ac:dyDescent="0.25"/>
    <row r="100751" customFormat="1" x14ac:dyDescent="0.25"/>
    <row r="100752" customFormat="1" x14ac:dyDescent="0.25"/>
    <row r="100753" customFormat="1" x14ac:dyDescent="0.25"/>
    <row r="100754" customFormat="1" x14ac:dyDescent="0.25"/>
    <row r="100755" customFormat="1" x14ac:dyDescent="0.25"/>
    <row r="100756" customFormat="1" x14ac:dyDescent="0.25"/>
    <row r="100757" customFormat="1" x14ac:dyDescent="0.25"/>
    <row r="100758" customFormat="1" x14ac:dyDescent="0.25"/>
    <row r="100759" customFormat="1" x14ac:dyDescent="0.25"/>
    <row r="100760" customFormat="1" x14ac:dyDescent="0.25"/>
    <row r="100761" customFormat="1" x14ac:dyDescent="0.25"/>
    <row r="100762" customFormat="1" x14ac:dyDescent="0.25"/>
    <row r="100763" customFormat="1" x14ac:dyDescent="0.25"/>
    <row r="100764" customFormat="1" x14ac:dyDescent="0.25"/>
    <row r="100765" customFormat="1" x14ac:dyDescent="0.25"/>
    <row r="100766" customFormat="1" x14ac:dyDescent="0.25"/>
    <row r="100767" customFormat="1" x14ac:dyDescent="0.25"/>
    <row r="100768" customFormat="1" x14ac:dyDescent="0.25"/>
    <row r="100769" customFormat="1" x14ac:dyDescent="0.25"/>
    <row r="100770" customFormat="1" x14ac:dyDescent="0.25"/>
    <row r="100771" customFormat="1" x14ac:dyDescent="0.25"/>
    <row r="100772" customFormat="1" x14ac:dyDescent="0.25"/>
    <row r="100773" customFormat="1" x14ac:dyDescent="0.25"/>
    <row r="100774" customFormat="1" x14ac:dyDescent="0.25"/>
    <row r="100775" customFormat="1" x14ac:dyDescent="0.25"/>
    <row r="100776" customFormat="1" x14ac:dyDescent="0.25"/>
    <row r="100777" customFormat="1" x14ac:dyDescent="0.25"/>
    <row r="100778" customFormat="1" x14ac:dyDescent="0.25"/>
    <row r="100779" customFormat="1" x14ac:dyDescent="0.25"/>
    <row r="100780" customFormat="1" x14ac:dyDescent="0.25"/>
    <row r="100781" customFormat="1" x14ac:dyDescent="0.25"/>
    <row r="100782" customFormat="1" x14ac:dyDescent="0.25"/>
    <row r="100783" customFormat="1" x14ac:dyDescent="0.25"/>
    <row r="100784" customFormat="1" x14ac:dyDescent="0.25"/>
    <row r="100785" customFormat="1" x14ac:dyDescent="0.25"/>
    <row r="100786" customFormat="1" x14ac:dyDescent="0.25"/>
    <row r="100787" customFormat="1" x14ac:dyDescent="0.25"/>
    <row r="100788" customFormat="1" x14ac:dyDescent="0.25"/>
    <row r="100789" customFormat="1" x14ac:dyDescent="0.25"/>
    <row r="100790" customFormat="1" x14ac:dyDescent="0.25"/>
    <row r="100791" customFormat="1" x14ac:dyDescent="0.25"/>
    <row r="100792" customFormat="1" x14ac:dyDescent="0.25"/>
    <row r="100793" customFormat="1" x14ac:dyDescent="0.25"/>
    <row r="100794" customFormat="1" x14ac:dyDescent="0.25"/>
    <row r="100795" customFormat="1" x14ac:dyDescent="0.25"/>
    <row r="100796" customFormat="1" x14ac:dyDescent="0.25"/>
    <row r="100797" customFormat="1" x14ac:dyDescent="0.25"/>
    <row r="100798" customFormat="1" x14ac:dyDescent="0.25"/>
    <row r="100799" customFormat="1" x14ac:dyDescent="0.25"/>
    <row r="100800" customFormat="1" x14ac:dyDescent="0.25"/>
    <row r="100801" customFormat="1" x14ac:dyDescent="0.25"/>
    <row r="100802" customFormat="1" x14ac:dyDescent="0.25"/>
    <row r="100803" customFormat="1" x14ac:dyDescent="0.25"/>
    <row r="100804" customFormat="1" x14ac:dyDescent="0.25"/>
    <row r="100805" customFormat="1" x14ac:dyDescent="0.25"/>
    <row r="100806" customFormat="1" x14ac:dyDescent="0.25"/>
    <row r="100807" customFormat="1" x14ac:dyDescent="0.25"/>
    <row r="100808" customFormat="1" x14ac:dyDescent="0.25"/>
    <row r="100809" customFormat="1" x14ac:dyDescent="0.25"/>
    <row r="100810" customFormat="1" x14ac:dyDescent="0.25"/>
    <row r="100811" customFormat="1" x14ac:dyDescent="0.25"/>
    <row r="100812" customFormat="1" x14ac:dyDescent="0.25"/>
    <row r="100813" customFormat="1" x14ac:dyDescent="0.25"/>
    <row r="100814" customFormat="1" x14ac:dyDescent="0.25"/>
    <row r="100815" customFormat="1" x14ac:dyDescent="0.25"/>
    <row r="100816" customFormat="1" x14ac:dyDescent="0.25"/>
    <row r="100817" customFormat="1" x14ac:dyDescent="0.25"/>
    <row r="100818" customFormat="1" x14ac:dyDescent="0.25"/>
    <row r="100819" customFormat="1" x14ac:dyDescent="0.25"/>
    <row r="100820" customFormat="1" x14ac:dyDescent="0.25"/>
    <row r="100821" customFormat="1" x14ac:dyDescent="0.25"/>
    <row r="100822" customFormat="1" x14ac:dyDescent="0.25"/>
    <row r="100823" customFormat="1" x14ac:dyDescent="0.25"/>
    <row r="100824" customFormat="1" x14ac:dyDescent="0.25"/>
    <row r="100825" customFormat="1" x14ac:dyDescent="0.25"/>
    <row r="100826" customFormat="1" x14ac:dyDescent="0.25"/>
    <row r="100827" customFormat="1" x14ac:dyDescent="0.25"/>
    <row r="100828" customFormat="1" x14ac:dyDescent="0.25"/>
    <row r="100829" customFormat="1" x14ac:dyDescent="0.25"/>
    <row r="100830" customFormat="1" x14ac:dyDescent="0.25"/>
    <row r="100831" customFormat="1" x14ac:dyDescent="0.25"/>
    <row r="100832" customFormat="1" x14ac:dyDescent="0.25"/>
    <row r="100833" customFormat="1" x14ac:dyDescent="0.25"/>
    <row r="100834" customFormat="1" x14ac:dyDescent="0.25"/>
    <row r="100835" customFormat="1" x14ac:dyDescent="0.25"/>
    <row r="100836" customFormat="1" x14ac:dyDescent="0.25"/>
    <row r="100837" customFormat="1" x14ac:dyDescent="0.25"/>
    <row r="100838" customFormat="1" x14ac:dyDescent="0.25"/>
    <row r="100839" customFormat="1" x14ac:dyDescent="0.25"/>
    <row r="100840" customFormat="1" x14ac:dyDescent="0.25"/>
    <row r="100841" customFormat="1" x14ac:dyDescent="0.25"/>
    <row r="100842" customFormat="1" x14ac:dyDescent="0.25"/>
    <row r="100843" customFormat="1" x14ac:dyDescent="0.25"/>
    <row r="100844" customFormat="1" x14ac:dyDescent="0.25"/>
    <row r="100845" customFormat="1" x14ac:dyDescent="0.25"/>
    <row r="100846" customFormat="1" x14ac:dyDescent="0.25"/>
    <row r="100847" customFormat="1" x14ac:dyDescent="0.25"/>
    <row r="100848" customFormat="1" x14ac:dyDescent="0.25"/>
    <row r="100849" customFormat="1" x14ac:dyDescent="0.25"/>
    <row r="100850" customFormat="1" x14ac:dyDescent="0.25"/>
    <row r="100851" customFormat="1" x14ac:dyDescent="0.25"/>
    <row r="100852" customFormat="1" x14ac:dyDescent="0.25"/>
    <row r="100853" customFormat="1" x14ac:dyDescent="0.25"/>
    <row r="100854" customFormat="1" x14ac:dyDescent="0.25"/>
    <row r="100855" customFormat="1" x14ac:dyDescent="0.25"/>
    <row r="100856" customFormat="1" x14ac:dyDescent="0.25"/>
    <row r="100857" customFormat="1" x14ac:dyDescent="0.25"/>
    <row r="100858" customFormat="1" x14ac:dyDescent="0.25"/>
    <row r="100859" customFormat="1" x14ac:dyDescent="0.25"/>
    <row r="100860" customFormat="1" x14ac:dyDescent="0.25"/>
    <row r="100861" customFormat="1" x14ac:dyDescent="0.25"/>
    <row r="100862" customFormat="1" x14ac:dyDescent="0.25"/>
    <row r="100863" customFormat="1" x14ac:dyDescent="0.25"/>
    <row r="100864" customFormat="1" x14ac:dyDescent="0.25"/>
    <row r="100865" customFormat="1" x14ac:dyDescent="0.25"/>
    <row r="100866" customFormat="1" x14ac:dyDescent="0.25"/>
    <row r="100867" customFormat="1" x14ac:dyDescent="0.25"/>
    <row r="100868" customFormat="1" x14ac:dyDescent="0.25"/>
    <row r="100869" customFormat="1" x14ac:dyDescent="0.25"/>
    <row r="100870" customFormat="1" x14ac:dyDescent="0.25"/>
    <row r="100871" customFormat="1" x14ac:dyDescent="0.25"/>
    <row r="100872" customFormat="1" x14ac:dyDescent="0.25"/>
    <row r="100873" customFormat="1" x14ac:dyDescent="0.25"/>
    <row r="100874" customFormat="1" x14ac:dyDescent="0.25"/>
    <row r="100875" customFormat="1" x14ac:dyDescent="0.25"/>
    <row r="100876" customFormat="1" x14ac:dyDescent="0.25"/>
    <row r="100877" customFormat="1" x14ac:dyDescent="0.25"/>
    <row r="100878" customFormat="1" x14ac:dyDescent="0.25"/>
    <row r="100879" customFormat="1" x14ac:dyDescent="0.25"/>
    <row r="100880" customFormat="1" x14ac:dyDescent="0.25"/>
    <row r="100881" customFormat="1" x14ac:dyDescent="0.25"/>
    <row r="100882" customFormat="1" x14ac:dyDescent="0.25"/>
    <row r="100883" customFormat="1" x14ac:dyDescent="0.25"/>
    <row r="100884" customFormat="1" x14ac:dyDescent="0.25"/>
    <row r="100885" customFormat="1" x14ac:dyDescent="0.25"/>
    <row r="100886" customFormat="1" x14ac:dyDescent="0.25"/>
    <row r="100887" customFormat="1" x14ac:dyDescent="0.25"/>
    <row r="100888" customFormat="1" x14ac:dyDescent="0.25"/>
    <row r="100889" customFormat="1" x14ac:dyDescent="0.25"/>
    <row r="100890" customFormat="1" x14ac:dyDescent="0.25"/>
    <row r="100891" customFormat="1" x14ac:dyDescent="0.25"/>
    <row r="100892" customFormat="1" x14ac:dyDescent="0.25"/>
    <row r="100893" customFormat="1" x14ac:dyDescent="0.25"/>
    <row r="100894" customFormat="1" x14ac:dyDescent="0.25"/>
    <row r="100895" customFormat="1" x14ac:dyDescent="0.25"/>
    <row r="100896" customFormat="1" x14ac:dyDescent="0.25"/>
    <row r="100897" customFormat="1" x14ac:dyDescent="0.25"/>
    <row r="100898" customFormat="1" x14ac:dyDescent="0.25"/>
    <row r="100899" customFormat="1" x14ac:dyDescent="0.25"/>
    <row r="100900" customFormat="1" x14ac:dyDescent="0.25"/>
    <row r="100901" customFormat="1" x14ac:dyDescent="0.25"/>
    <row r="100902" customFormat="1" x14ac:dyDescent="0.25"/>
    <row r="100903" customFormat="1" x14ac:dyDescent="0.25"/>
    <row r="100904" customFormat="1" x14ac:dyDescent="0.25"/>
    <row r="100905" customFormat="1" x14ac:dyDescent="0.25"/>
    <row r="100906" customFormat="1" x14ac:dyDescent="0.25"/>
    <row r="100907" customFormat="1" x14ac:dyDescent="0.25"/>
    <row r="100908" customFormat="1" x14ac:dyDescent="0.25"/>
    <row r="100909" customFormat="1" x14ac:dyDescent="0.25"/>
    <row r="100910" customFormat="1" x14ac:dyDescent="0.25"/>
    <row r="100911" customFormat="1" x14ac:dyDescent="0.25"/>
    <row r="100912" customFormat="1" x14ac:dyDescent="0.25"/>
    <row r="100913" customFormat="1" x14ac:dyDescent="0.25"/>
    <row r="100914" customFormat="1" x14ac:dyDescent="0.25"/>
    <row r="100915" customFormat="1" x14ac:dyDescent="0.25"/>
    <row r="100916" customFormat="1" x14ac:dyDescent="0.25"/>
    <row r="100917" customFormat="1" x14ac:dyDescent="0.25"/>
    <row r="100918" customFormat="1" x14ac:dyDescent="0.25"/>
    <row r="100919" customFormat="1" x14ac:dyDescent="0.25"/>
    <row r="100920" customFormat="1" x14ac:dyDescent="0.25"/>
    <row r="100921" customFormat="1" x14ac:dyDescent="0.25"/>
    <row r="100922" customFormat="1" x14ac:dyDescent="0.25"/>
    <row r="100923" customFormat="1" x14ac:dyDescent="0.25"/>
    <row r="100924" customFormat="1" x14ac:dyDescent="0.25"/>
    <row r="100925" customFormat="1" x14ac:dyDescent="0.25"/>
    <row r="100926" customFormat="1" x14ac:dyDescent="0.25"/>
    <row r="100927" customFormat="1" x14ac:dyDescent="0.25"/>
    <row r="100928" customFormat="1" x14ac:dyDescent="0.25"/>
    <row r="100929" customFormat="1" x14ac:dyDescent="0.25"/>
    <row r="100930" customFormat="1" x14ac:dyDescent="0.25"/>
    <row r="100931" customFormat="1" x14ac:dyDescent="0.25"/>
    <row r="100932" customFormat="1" x14ac:dyDescent="0.25"/>
    <row r="100933" customFormat="1" x14ac:dyDescent="0.25"/>
    <row r="100934" customFormat="1" x14ac:dyDescent="0.25"/>
    <row r="100935" customFormat="1" x14ac:dyDescent="0.25"/>
    <row r="100936" customFormat="1" x14ac:dyDescent="0.25"/>
    <row r="100937" customFormat="1" x14ac:dyDescent="0.25"/>
    <row r="100938" customFormat="1" x14ac:dyDescent="0.25"/>
    <row r="100939" customFormat="1" x14ac:dyDescent="0.25"/>
    <row r="100940" customFormat="1" x14ac:dyDescent="0.25"/>
    <row r="100941" customFormat="1" x14ac:dyDescent="0.25"/>
    <row r="100942" customFormat="1" x14ac:dyDescent="0.25"/>
    <row r="100943" customFormat="1" x14ac:dyDescent="0.25"/>
    <row r="100944" customFormat="1" x14ac:dyDescent="0.25"/>
    <row r="100945" customFormat="1" x14ac:dyDescent="0.25"/>
    <row r="100946" customFormat="1" x14ac:dyDescent="0.25"/>
    <row r="100947" customFormat="1" x14ac:dyDescent="0.25"/>
    <row r="100948" customFormat="1" x14ac:dyDescent="0.25"/>
    <row r="100949" customFormat="1" x14ac:dyDescent="0.25"/>
    <row r="100950" customFormat="1" x14ac:dyDescent="0.25"/>
    <row r="100951" customFormat="1" x14ac:dyDescent="0.25"/>
    <row r="100952" customFormat="1" x14ac:dyDescent="0.25"/>
    <row r="100953" customFormat="1" x14ac:dyDescent="0.25"/>
    <row r="100954" customFormat="1" x14ac:dyDescent="0.25"/>
    <row r="100955" customFormat="1" x14ac:dyDescent="0.25"/>
    <row r="100956" customFormat="1" x14ac:dyDescent="0.25"/>
    <row r="100957" customFormat="1" x14ac:dyDescent="0.25"/>
    <row r="100958" customFormat="1" x14ac:dyDescent="0.25"/>
    <row r="100959" customFormat="1" x14ac:dyDescent="0.25"/>
    <row r="100960" customFormat="1" x14ac:dyDescent="0.25"/>
    <row r="100961" customFormat="1" x14ac:dyDescent="0.25"/>
    <row r="100962" customFormat="1" x14ac:dyDescent="0.25"/>
    <row r="100963" customFormat="1" x14ac:dyDescent="0.25"/>
    <row r="100964" customFormat="1" x14ac:dyDescent="0.25"/>
    <row r="100965" customFormat="1" x14ac:dyDescent="0.25"/>
    <row r="100966" customFormat="1" x14ac:dyDescent="0.25"/>
    <row r="100967" customFormat="1" x14ac:dyDescent="0.25"/>
    <row r="100968" customFormat="1" x14ac:dyDescent="0.25"/>
    <row r="100969" customFormat="1" x14ac:dyDescent="0.25"/>
    <row r="100970" customFormat="1" x14ac:dyDescent="0.25"/>
    <row r="100971" customFormat="1" x14ac:dyDescent="0.25"/>
    <row r="100972" customFormat="1" x14ac:dyDescent="0.25"/>
    <row r="100973" customFormat="1" x14ac:dyDescent="0.25"/>
    <row r="100974" customFormat="1" x14ac:dyDescent="0.25"/>
    <row r="100975" customFormat="1" x14ac:dyDescent="0.25"/>
    <row r="100976" customFormat="1" x14ac:dyDescent="0.25"/>
    <row r="100977" customFormat="1" x14ac:dyDescent="0.25"/>
    <row r="100978" customFormat="1" x14ac:dyDescent="0.25"/>
    <row r="100979" customFormat="1" x14ac:dyDescent="0.25"/>
    <row r="100980" customFormat="1" x14ac:dyDescent="0.25"/>
    <row r="100981" customFormat="1" x14ac:dyDescent="0.25"/>
    <row r="100982" customFormat="1" x14ac:dyDescent="0.25"/>
    <row r="100983" customFormat="1" x14ac:dyDescent="0.25"/>
    <row r="100984" customFormat="1" x14ac:dyDescent="0.25"/>
    <row r="100985" customFormat="1" x14ac:dyDescent="0.25"/>
    <row r="100986" customFormat="1" x14ac:dyDescent="0.25"/>
    <row r="100987" customFormat="1" x14ac:dyDescent="0.25"/>
    <row r="100988" customFormat="1" x14ac:dyDescent="0.25"/>
    <row r="100989" customFormat="1" x14ac:dyDescent="0.25"/>
    <row r="100990" customFormat="1" x14ac:dyDescent="0.25"/>
    <row r="100991" customFormat="1" x14ac:dyDescent="0.25"/>
    <row r="100992" customFormat="1" x14ac:dyDescent="0.25"/>
    <row r="100993" customFormat="1" x14ac:dyDescent="0.25"/>
    <row r="100994" customFormat="1" x14ac:dyDescent="0.25"/>
    <row r="100995" customFormat="1" x14ac:dyDescent="0.25"/>
    <row r="100996" customFormat="1" x14ac:dyDescent="0.25"/>
    <row r="100997" customFormat="1" x14ac:dyDescent="0.25"/>
    <row r="100998" customFormat="1" x14ac:dyDescent="0.25"/>
    <row r="100999" customFormat="1" x14ac:dyDescent="0.25"/>
    <row r="101000" customFormat="1" x14ac:dyDescent="0.25"/>
    <row r="101001" customFormat="1" x14ac:dyDescent="0.25"/>
    <row r="101002" customFormat="1" x14ac:dyDescent="0.25"/>
    <row r="101003" customFormat="1" x14ac:dyDescent="0.25"/>
    <row r="101004" customFormat="1" x14ac:dyDescent="0.25"/>
    <row r="101005" customFormat="1" x14ac:dyDescent="0.25"/>
    <row r="101006" customFormat="1" x14ac:dyDescent="0.25"/>
    <row r="101007" customFormat="1" x14ac:dyDescent="0.25"/>
    <row r="101008" customFormat="1" x14ac:dyDescent="0.25"/>
    <row r="101009" customFormat="1" x14ac:dyDescent="0.25"/>
    <row r="101010" customFormat="1" x14ac:dyDescent="0.25"/>
    <row r="101011" customFormat="1" x14ac:dyDescent="0.25"/>
    <row r="101012" customFormat="1" x14ac:dyDescent="0.25"/>
    <row r="101013" customFormat="1" x14ac:dyDescent="0.25"/>
    <row r="101014" customFormat="1" x14ac:dyDescent="0.25"/>
    <row r="101015" customFormat="1" x14ac:dyDescent="0.25"/>
    <row r="101016" customFormat="1" x14ac:dyDescent="0.25"/>
    <row r="101017" customFormat="1" x14ac:dyDescent="0.25"/>
    <row r="101018" customFormat="1" x14ac:dyDescent="0.25"/>
    <row r="101019" customFormat="1" x14ac:dyDescent="0.25"/>
    <row r="101020" customFormat="1" x14ac:dyDescent="0.25"/>
    <row r="101021" customFormat="1" x14ac:dyDescent="0.25"/>
    <row r="101022" customFormat="1" x14ac:dyDescent="0.25"/>
    <row r="101023" customFormat="1" x14ac:dyDescent="0.25"/>
    <row r="101024" customFormat="1" x14ac:dyDescent="0.25"/>
    <row r="101025" customFormat="1" x14ac:dyDescent="0.25"/>
    <row r="101026" customFormat="1" x14ac:dyDescent="0.25"/>
    <row r="101027" customFormat="1" x14ac:dyDescent="0.25"/>
    <row r="101028" customFormat="1" x14ac:dyDescent="0.25"/>
    <row r="101029" customFormat="1" x14ac:dyDescent="0.25"/>
    <row r="101030" customFormat="1" x14ac:dyDescent="0.25"/>
    <row r="101031" customFormat="1" x14ac:dyDescent="0.25"/>
    <row r="101032" customFormat="1" x14ac:dyDescent="0.25"/>
    <row r="101033" customFormat="1" x14ac:dyDescent="0.25"/>
    <row r="101034" customFormat="1" x14ac:dyDescent="0.25"/>
    <row r="101035" customFormat="1" x14ac:dyDescent="0.25"/>
    <row r="101036" customFormat="1" x14ac:dyDescent="0.25"/>
    <row r="101037" customFormat="1" x14ac:dyDescent="0.25"/>
    <row r="101038" customFormat="1" x14ac:dyDescent="0.25"/>
    <row r="101039" customFormat="1" x14ac:dyDescent="0.25"/>
    <row r="101040" customFormat="1" x14ac:dyDescent="0.25"/>
    <row r="101041" customFormat="1" x14ac:dyDescent="0.25"/>
    <row r="101042" customFormat="1" x14ac:dyDescent="0.25"/>
    <row r="101043" customFormat="1" x14ac:dyDescent="0.25"/>
    <row r="101044" customFormat="1" x14ac:dyDescent="0.25"/>
    <row r="101045" customFormat="1" x14ac:dyDescent="0.25"/>
    <row r="101046" customFormat="1" x14ac:dyDescent="0.25"/>
    <row r="101047" customFormat="1" x14ac:dyDescent="0.25"/>
    <row r="101048" customFormat="1" x14ac:dyDescent="0.25"/>
    <row r="101049" customFormat="1" x14ac:dyDescent="0.25"/>
    <row r="101050" customFormat="1" x14ac:dyDescent="0.25"/>
    <row r="101051" customFormat="1" x14ac:dyDescent="0.25"/>
    <row r="101052" customFormat="1" x14ac:dyDescent="0.25"/>
    <row r="101053" customFormat="1" x14ac:dyDescent="0.25"/>
    <row r="101054" customFormat="1" x14ac:dyDescent="0.25"/>
    <row r="101055" customFormat="1" x14ac:dyDescent="0.25"/>
    <row r="101056" customFormat="1" x14ac:dyDescent="0.25"/>
    <row r="101057" customFormat="1" x14ac:dyDescent="0.25"/>
    <row r="101058" customFormat="1" x14ac:dyDescent="0.25"/>
    <row r="101059" customFormat="1" x14ac:dyDescent="0.25"/>
    <row r="101060" customFormat="1" x14ac:dyDescent="0.25"/>
    <row r="101061" customFormat="1" x14ac:dyDescent="0.25"/>
    <row r="101062" customFormat="1" x14ac:dyDescent="0.25"/>
    <row r="101063" customFormat="1" x14ac:dyDescent="0.25"/>
    <row r="101064" customFormat="1" x14ac:dyDescent="0.25"/>
    <row r="101065" customFormat="1" x14ac:dyDescent="0.25"/>
    <row r="101066" customFormat="1" x14ac:dyDescent="0.25"/>
    <row r="101067" customFormat="1" x14ac:dyDescent="0.25"/>
    <row r="101068" customFormat="1" x14ac:dyDescent="0.25"/>
    <row r="101069" customFormat="1" x14ac:dyDescent="0.25"/>
    <row r="101070" customFormat="1" x14ac:dyDescent="0.25"/>
    <row r="101071" customFormat="1" x14ac:dyDescent="0.25"/>
    <row r="101072" customFormat="1" x14ac:dyDescent="0.25"/>
    <row r="101073" customFormat="1" x14ac:dyDescent="0.25"/>
    <row r="101074" customFormat="1" x14ac:dyDescent="0.25"/>
    <row r="101075" customFormat="1" x14ac:dyDescent="0.25"/>
    <row r="101076" customFormat="1" x14ac:dyDescent="0.25"/>
    <row r="101077" customFormat="1" x14ac:dyDescent="0.25"/>
    <row r="101078" customFormat="1" x14ac:dyDescent="0.25"/>
    <row r="101079" customFormat="1" x14ac:dyDescent="0.25"/>
    <row r="101080" customFormat="1" x14ac:dyDescent="0.25"/>
    <row r="101081" customFormat="1" x14ac:dyDescent="0.25"/>
    <row r="101082" customFormat="1" x14ac:dyDescent="0.25"/>
    <row r="101083" customFormat="1" x14ac:dyDescent="0.25"/>
    <row r="101084" customFormat="1" x14ac:dyDescent="0.25"/>
    <row r="101085" customFormat="1" x14ac:dyDescent="0.25"/>
    <row r="101086" customFormat="1" x14ac:dyDescent="0.25"/>
    <row r="101087" customFormat="1" x14ac:dyDescent="0.25"/>
    <row r="101088" customFormat="1" x14ac:dyDescent="0.25"/>
    <row r="101089" customFormat="1" x14ac:dyDescent="0.25"/>
    <row r="101090" customFormat="1" x14ac:dyDescent="0.25"/>
    <row r="101091" customFormat="1" x14ac:dyDescent="0.25"/>
    <row r="101092" customFormat="1" x14ac:dyDescent="0.25"/>
    <row r="101093" customFormat="1" x14ac:dyDescent="0.25"/>
    <row r="101094" customFormat="1" x14ac:dyDescent="0.25"/>
    <row r="101095" customFormat="1" x14ac:dyDescent="0.25"/>
    <row r="101096" customFormat="1" x14ac:dyDescent="0.25"/>
    <row r="101097" customFormat="1" x14ac:dyDescent="0.25"/>
    <row r="101098" customFormat="1" x14ac:dyDescent="0.25"/>
    <row r="101099" customFormat="1" x14ac:dyDescent="0.25"/>
    <row r="101100" customFormat="1" x14ac:dyDescent="0.25"/>
    <row r="101101" customFormat="1" x14ac:dyDescent="0.25"/>
    <row r="101102" customFormat="1" x14ac:dyDescent="0.25"/>
    <row r="101103" customFormat="1" x14ac:dyDescent="0.25"/>
    <row r="101104" customFormat="1" x14ac:dyDescent="0.25"/>
    <row r="101105" customFormat="1" x14ac:dyDescent="0.25"/>
    <row r="101106" customFormat="1" x14ac:dyDescent="0.25"/>
    <row r="101107" customFormat="1" x14ac:dyDescent="0.25"/>
    <row r="101108" customFormat="1" x14ac:dyDescent="0.25"/>
    <row r="101109" customFormat="1" x14ac:dyDescent="0.25"/>
    <row r="101110" customFormat="1" x14ac:dyDescent="0.25"/>
    <row r="101111" customFormat="1" x14ac:dyDescent="0.25"/>
    <row r="101112" customFormat="1" x14ac:dyDescent="0.25"/>
    <row r="101113" customFormat="1" x14ac:dyDescent="0.25"/>
    <row r="101114" customFormat="1" x14ac:dyDescent="0.25"/>
    <row r="101115" customFormat="1" x14ac:dyDescent="0.25"/>
    <row r="101116" customFormat="1" x14ac:dyDescent="0.25"/>
    <row r="101117" customFormat="1" x14ac:dyDescent="0.25"/>
    <row r="101118" customFormat="1" x14ac:dyDescent="0.25"/>
    <row r="101119" customFormat="1" x14ac:dyDescent="0.25"/>
    <row r="101120" customFormat="1" x14ac:dyDescent="0.25"/>
    <row r="101121" customFormat="1" x14ac:dyDescent="0.25"/>
    <row r="101122" customFormat="1" x14ac:dyDescent="0.25"/>
    <row r="101123" customFormat="1" x14ac:dyDescent="0.25"/>
    <row r="101124" customFormat="1" x14ac:dyDescent="0.25"/>
    <row r="101125" customFormat="1" x14ac:dyDescent="0.25"/>
    <row r="101126" customFormat="1" x14ac:dyDescent="0.25"/>
    <row r="101127" customFormat="1" x14ac:dyDescent="0.25"/>
    <row r="101128" customFormat="1" x14ac:dyDescent="0.25"/>
    <row r="101129" customFormat="1" x14ac:dyDescent="0.25"/>
    <row r="101130" customFormat="1" x14ac:dyDescent="0.25"/>
    <row r="101131" customFormat="1" x14ac:dyDescent="0.25"/>
    <row r="101132" customFormat="1" x14ac:dyDescent="0.25"/>
    <row r="101133" customFormat="1" x14ac:dyDescent="0.25"/>
    <row r="101134" customFormat="1" x14ac:dyDescent="0.25"/>
    <row r="101135" customFormat="1" x14ac:dyDescent="0.25"/>
    <row r="101136" customFormat="1" x14ac:dyDescent="0.25"/>
    <row r="101137" customFormat="1" x14ac:dyDescent="0.25"/>
    <row r="101138" customFormat="1" x14ac:dyDescent="0.25"/>
    <row r="101139" customFormat="1" x14ac:dyDescent="0.25"/>
    <row r="101140" customFormat="1" x14ac:dyDescent="0.25"/>
    <row r="101141" customFormat="1" x14ac:dyDescent="0.25"/>
    <row r="101142" customFormat="1" x14ac:dyDescent="0.25"/>
    <row r="101143" customFormat="1" x14ac:dyDescent="0.25"/>
    <row r="101144" customFormat="1" x14ac:dyDescent="0.25"/>
    <row r="101145" customFormat="1" x14ac:dyDescent="0.25"/>
    <row r="101146" customFormat="1" x14ac:dyDescent="0.25"/>
    <row r="101147" customFormat="1" x14ac:dyDescent="0.25"/>
    <row r="101148" customFormat="1" x14ac:dyDescent="0.25"/>
    <row r="101149" customFormat="1" x14ac:dyDescent="0.25"/>
    <row r="101150" customFormat="1" x14ac:dyDescent="0.25"/>
    <row r="101151" customFormat="1" x14ac:dyDescent="0.25"/>
    <row r="101152" customFormat="1" x14ac:dyDescent="0.25"/>
    <row r="101153" customFormat="1" x14ac:dyDescent="0.25"/>
    <row r="101154" customFormat="1" x14ac:dyDescent="0.25"/>
    <row r="101155" customFormat="1" x14ac:dyDescent="0.25"/>
    <row r="101156" customFormat="1" x14ac:dyDescent="0.25"/>
    <row r="101157" customFormat="1" x14ac:dyDescent="0.25"/>
    <row r="101158" customFormat="1" x14ac:dyDescent="0.25"/>
    <row r="101159" customFormat="1" x14ac:dyDescent="0.25"/>
    <row r="101160" customFormat="1" x14ac:dyDescent="0.25"/>
    <row r="101161" customFormat="1" x14ac:dyDescent="0.25"/>
    <row r="101162" customFormat="1" x14ac:dyDescent="0.25"/>
    <row r="101163" customFormat="1" x14ac:dyDescent="0.25"/>
    <row r="101164" customFormat="1" x14ac:dyDescent="0.25"/>
    <row r="101165" customFormat="1" x14ac:dyDescent="0.25"/>
    <row r="101166" customFormat="1" x14ac:dyDescent="0.25"/>
    <row r="101167" customFormat="1" x14ac:dyDescent="0.25"/>
    <row r="101168" customFormat="1" x14ac:dyDescent="0.25"/>
    <row r="101169" customFormat="1" x14ac:dyDescent="0.25"/>
    <row r="101170" customFormat="1" x14ac:dyDescent="0.25"/>
    <row r="101171" customFormat="1" x14ac:dyDescent="0.25"/>
    <row r="101172" customFormat="1" x14ac:dyDescent="0.25"/>
    <row r="101173" customFormat="1" x14ac:dyDescent="0.25"/>
    <row r="101174" customFormat="1" x14ac:dyDescent="0.25"/>
    <row r="101175" customFormat="1" x14ac:dyDescent="0.25"/>
    <row r="101176" customFormat="1" x14ac:dyDescent="0.25"/>
    <row r="101177" customFormat="1" x14ac:dyDescent="0.25"/>
    <row r="101178" customFormat="1" x14ac:dyDescent="0.25"/>
    <row r="101179" customFormat="1" x14ac:dyDescent="0.25"/>
    <row r="101180" customFormat="1" x14ac:dyDescent="0.25"/>
    <row r="101181" customFormat="1" x14ac:dyDescent="0.25"/>
    <row r="101182" customFormat="1" x14ac:dyDescent="0.25"/>
    <row r="101183" customFormat="1" x14ac:dyDescent="0.25"/>
    <row r="101184" customFormat="1" x14ac:dyDescent="0.25"/>
    <row r="101185" customFormat="1" x14ac:dyDescent="0.25"/>
    <row r="101186" customFormat="1" x14ac:dyDescent="0.25"/>
    <row r="101187" customFormat="1" x14ac:dyDescent="0.25"/>
    <row r="101188" customFormat="1" x14ac:dyDescent="0.25"/>
    <row r="101189" customFormat="1" x14ac:dyDescent="0.25"/>
    <row r="101190" customFormat="1" x14ac:dyDescent="0.25"/>
    <row r="101191" customFormat="1" x14ac:dyDescent="0.25"/>
    <row r="101192" customFormat="1" x14ac:dyDescent="0.25"/>
    <row r="101193" customFormat="1" x14ac:dyDescent="0.25"/>
    <row r="101194" customFormat="1" x14ac:dyDescent="0.25"/>
    <row r="101195" customFormat="1" x14ac:dyDescent="0.25"/>
    <row r="101196" customFormat="1" x14ac:dyDescent="0.25"/>
    <row r="101197" customFormat="1" x14ac:dyDescent="0.25"/>
    <row r="101198" customFormat="1" x14ac:dyDescent="0.25"/>
    <row r="101199" customFormat="1" x14ac:dyDescent="0.25"/>
    <row r="101200" customFormat="1" x14ac:dyDescent="0.25"/>
    <row r="101201" customFormat="1" x14ac:dyDescent="0.25"/>
    <row r="101202" customFormat="1" x14ac:dyDescent="0.25"/>
    <row r="101203" customFormat="1" x14ac:dyDescent="0.25"/>
    <row r="101204" customFormat="1" x14ac:dyDescent="0.25"/>
    <row r="101205" customFormat="1" x14ac:dyDescent="0.25"/>
    <row r="101206" customFormat="1" x14ac:dyDescent="0.25"/>
    <row r="101207" customFormat="1" x14ac:dyDescent="0.25"/>
    <row r="101208" customFormat="1" x14ac:dyDescent="0.25"/>
    <row r="101209" customFormat="1" x14ac:dyDescent="0.25"/>
    <row r="101210" customFormat="1" x14ac:dyDescent="0.25"/>
    <row r="101211" customFormat="1" x14ac:dyDescent="0.25"/>
    <row r="101212" customFormat="1" x14ac:dyDescent="0.25"/>
    <row r="101213" customFormat="1" x14ac:dyDescent="0.25"/>
    <row r="101214" customFormat="1" x14ac:dyDescent="0.25"/>
    <row r="101215" customFormat="1" x14ac:dyDescent="0.25"/>
    <row r="101216" customFormat="1" x14ac:dyDescent="0.25"/>
    <row r="101217" customFormat="1" x14ac:dyDescent="0.25"/>
    <row r="101218" customFormat="1" x14ac:dyDescent="0.25"/>
    <row r="101219" customFormat="1" x14ac:dyDescent="0.25"/>
    <row r="101220" customFormat="1" x14ac:dyDescent="0.25"/>
    <row r="101221" customFormat="1" x14ac:dyDescent="0.25"/>
    <row r="101222" customFormat="1" x14ac:dyDescent="0.25"/>
    <row r="101223" customFormat="1" x14ac:dyDescent="0.25"/>
    <row r="101224" customFormat="1" x14ac:dyDescent="0.25"/>
    <row r="101225" customFormat="1" x14ac:dyDescent="0.25"/>
    <row r="101226" customFormat="1" x14ac:dyDescent="0.25"/>
    <row r="101227" customFormat="1" x14ac:dyDescent="0.25"/>
    <row r="101228" customFormat="1" x14ac:dyDescent="0.25"/>
    <row r="101229" customFormat="1" x14ac:dyDescent="0.25"/>
    <row r="101230" customFormat="1" x14ac:dyDescent="0.25"/>
    <row r="101231" customFormat="1" x14ac:dyDescent="0.25"/>
    <row r="101232" customFormat="1" x14ac:dyDescent="0.25"/>
    <row r="101233" customFormat="1" x14ac:dyDescent="0.25"/>
    <row r="101234" customFormat="1" x14ac:dyDescent="0.25"/>
    <row r="101235" customFormat="1" x14ac:dyDescent="0.25"/>
    <row r="101236" customFormat="1" x14ac:dyDescent="0.25"/>
    <row r="101237" customFormat="1" x14ac:dyDescent="0.25"/>
    <row r="101238" customFormat="1" x14ac:dyDescent="0.25"/>
    <row r="101239" customFormat="1" x14ac:dyDescent="0.25"/>
    <row r="101240" customFormat="1" x14ac:dyDescent="0.25"/>
    <row r="101241" customFormat="1" x14ac:dyDescent="0.25"/>
    <row r="101242" customFormat="1" x14ac:dyDescent="0.25"/>
    <row r="101243" customFormat="1" x14ac:dyDescent="0.25"/>
    <row r="101244" customFormat="1" x14ac:dyDescent="0.25"/>
    <row r="101245" customFormat="1" x14ac:dyDescent="0.25"/>
    <row r="101246" customFormat="1" x14ac:dyDescent="0.25"/>
    <row r="101247" customFormat="1" x14ac:dyDescent="0.25"/>
    <row r="101248" customFormat="1" x14ac:dyDescent="0.25"/>
    <row r="101249" customFormat="1" x14ac:dyDescent="0.25"/>
    <row r="101250" customFormat="1" x14ac:dyDescent="0.25"/>
    <row r="101251" customFormat="1" x14ac:dyDescent="0.25"/>
    <row r="101252" customFormat="1" x14ac:dyDescent="0.25"/>
    <row r="101253" customFormat="1" x14ac:dyDescent="0.25"/>
    <row r="101254" customFormat="1" x14ac:dyDescent="0.25"/>
    <row r="101255" customFormat="1" x14ac:dyDescent="0.25"/>
    <row r="101256" customFormat="1" x14ac:dyDescent="0.25"/>
    <row r="101257" customFormat="1" x14ac:dyDescent="0.25"/>
    <row r="101258" customFormat="1" x14ac:dyDescent="0.25"/>
    <row r="101259" customFormat="1" x14ac:dyDescent="0.25"/>
    <row r="101260" customFormat="1" x14ac:dyDescent="0.25"/>
    <row r="101261" customFormat="1" x14ac:dyDescent="0.25"/>
    <row r="101262" customFormat="1" x14ac:dyDescent="0.25"/>
    <row r="101263" customFormat="1" x14ac:dyDescent="0.25"/>
    <row r="101264" customFormat="1" x14ac:dyDescent="0.25"/>
    <row r="101265" customFormat="1" x14ac:dyDescent="0.25"/>
    <row r="101266" customFormat="1" x14ac:dyDescent="0.25"/>
    <row r="101267" customFormat="1" x14ac:dyDescent="0.25"/>
    <row r="101268" customFormat="1" x14ac:dyDescent="0.25"/>
    <row r="101269" customFormat="1" x14ac:dyDescent="0.25"/>
    <row r="101270" customFormat="1" x14ac:dyDescent="0.25"/>
    <row r="101271" customFormat="1" x14ac:dyDescent="0.25"/>
    <row r="101272" customFormat="1" x14ac:dyDescent="0.25"/>
    <row r="101273" customFormat="1" x14ac:dyDescent="0.25"/>
    <row r="101274" customFormat="1" x14ac:dyDescent="0.25"/>
    <row r="101275" customFormat="1" x14ac:dyDescent="0.25"/>
    <row r="101276" customFormat="1" x14ac:dyDescent="0.25"/>
    <row r="101277" customFormat="1" x14ac:dyDescent="0.25"/>
    <row r="101278" customFormat="1" x14ac:dyDescent="0.25"/>
    <row r="101279" customFormat="1" x14ac:dyDescent="0.25"/>
    <row r="101280" customFormat="1" x14ac:dyDescent="0.25"/>
    <row r="101281" customFormat="1" x14ac:dyDescent="0.25"/>
    <row r="101282" customFormat="1" x14ac:dyDescent="0.25"/>
    <row r="101283" customFormat="1" x14ac:dyDescent="0.25"/>
    <row r="101284" customFormat="1" x14ac:dyDescent="0.25"/>
    <row r="101285" customFormat="1" x14ac:dyDescent="0.25"/>
    <row r="101286" customFormat="1" x14ac:dyDescent="0.25"/>
    <row r="101287" customFormat="1" x14ac:dyDescent="0.25"/>
    <row r="101288" customFormat="1" x14ac:dyDescent="0.25"/>
    <row r="101289" customFormat="1" x14ac:dyDescent="0.25"/>
    <row r="101290" customFormat="1" x14ac:dyDescent="0.25"/>
    <row r="101291" customFormat="1" x14ac:dyDescent="0.25"/>
    <row r="101292" customFormat="1" x14ac:dyDescent="0.25"/>
    <row r="101293" customFormat="1" x14ac:dyDescent="0.25"/>
    <row r="101294" customFormat="1" x14ac:dyDescent="0.25"/>
    <row r="101295" customFormat="1" x14ac:dyDescent="0.25"/>
    <row r="101296" customFormat="1" x14ac:dyDescent="0.25"/>
    <row r="101297" customFormat="1" x14ac:dyDescent="0.25"/>
    <row r="101298" customFormat="1" x14ac:dyDescent="0.25"/>
    <row r="101299" customFormat="1" x14ac:dyDescent="0.25"/>
    <row r="101300" customFormat="1" x14ac:dyDescent="0.25"/>
    <row r="101301" customFormat="1" x14ac:dyDescent="0.25"/>
    <row r="101302" customFormat="1" x14ac:dyDescent="0.25"/>
    <row r="101303" customFormat="1" x14ac:dyDescent="0.25"/>
    <row r="101304" customFormat="1" x14ac:dyDescent="0.25"/>
    <row r="101305" customFormat="1" x14ac:dyDescent="0.25"/>
    <row r="101306" customFormat="1" x14ac:dyDescent="0.25"/>
    <row r="101307" customFormat="1" x14ac:dyDescent="0.25"/>
    <row r="101308" customFormat="1" x14ac:dyDescent="0.25"/>
    <row r="101309" customFormat="1" x14ac:dyDescent="0.25"/>
    <row r="101310" customFormat="1" x14ac:dyDescent="0.25"/>
    <row r="101311" customFormat="1" x14ac:dyDescent="0.25"/>
    <row r="101312" customFormat="1" x14ac:dyDescent="0.25"/>
    <row r="101313" customFormat="1" x14ac:dyDescent="0.25"/>
    <row r="101314" customFormat="1" x14ac:dyDescent="0.25"/>
    <row r="101315" customFormat="1" x14ac:dyDescent="0.25"/>
    <row r="101316" customFormat="1" x14ac:dyDescent="0.25"/>
    <row r="101317" customFormat="1" x14ac:dyDescent="0.25"/>
    <row r="101318" customFormat="1" x14ac:dyDescent="0.25"/>
    <row r="101319" customFormat="1" x14ac:dyDescent="0.25"/>
    <row r="101320" customFormat="1" x14ac:dyDescent="0.25"/>
    <row r="101321" customFormat="1" x14ac:dyDescent="0.25"/>
    <row r="101322" customFormat="1" x14ac:dyDescent="0.25"/>
    <row r="101323" customFormat="1" x14ac:dyDescent="0.25"/>
    <row r="101324" customFormat="1" x14ac:dyDescent="0.25"/>
    <row r="101325" customFormat="1" x14ac:dyDescent="0.25"/>
    <row r="101326" customFormat="1" x14ac:dyDescent="0.25"/>
    <row r="101327" customFormat="1" x14ac:dyDescent="0.25"/>
    <row r="101328" customFormat="1" x14ac:dyDescent="0.25"/>
    <row r="101329" customFormat="1" x14ac:dyDescent="0.25"/>
    <row r="101330" customFormat="1" x14ac:dyDescent="0.25"/>
    <row r="101331" customFormat="1" x14ac:dyDescent="0.25"/>
    <row r="101332" customFormat="1" x14ac:dyDescent="0.25"/>
    <row r="101333" customFormat="1" x14ac:dyDescent="0.25"/>
    <row r="101334" customFormat="1" x14ac:dyDescent="0.25"/>
    <row r="101335" customFormat="1" x14ac:dyDescent="0.25"/>
    <row r="101336" customFormat="1" x14ac:dyDescent="0.25"/>
    <row r="101337" customFormat="1" x14ac:dyDescent="0.25"/>
    <row r="101338" customFormat="1" x14ac:dyDescent="0.25"/>
    <row r="101339" customFormat="1" x14ac:dyDescent="0.25"/>
    <row r="101340" customFormat="1" x14ac:dyDescent="0.25"/>
    <row r="101341" customFormat="1" x14ac:dyDescent="0.25"/>
    <row r="101342" customFormat="1" x14ac:dyDescent="0.25"/>
    <row r="101343" customFormat="1" x14ac:dyDescent="0.25"/>
    <row r="101344" customFormat="1" x14ac:dyDescent="0.25"/>
    <row r="101345" customFormat="1" x14ac:dyDescent="0.25"/>
    <row r="101346" customFormat="1" x14ac:dyDescent="0.25"/>
    <row r="101347" customFormat="1" x14ac:dyDescent="0.25"/>
    <row r="101348" customFormat="1" x14ac:dyDescent="0.25"/>
    <row r="101349" customFormat="1" x14ac:dyDescent="0.25"/>
    <row r="101350" customFormat="1" x14ac:dyDescent="0.25"/>
    <row r="101351" customFormat="1" x14ac:dyDescent="0.25"/>
    <row r="101352" customFormat="1" x14ac:dyDescent="0.25"/>
    <row r="101353" customFormat="1" x14ac:dyDescent="0.25"/>
    <row r="101354" customFormat="1" x14ac:dyDescent="0.25"/>
    <row r="101355" customFormat="1" x14ac:dyDescent="0.25"/>
    <row r="101356" customFormat="1" x14ac:dyDescent="0.25"/>
    <row r="101357" customFormat="1" x14ac:dyDescent="0.25"/>
    <row r="101358" customFormat="1" x14ac:dyDescent="0.25"/>
    <row r="101359" customFormat="1" x14ac:dyDescent="0.25"/>
    <row r="101360" customFormat="1" x14ac:dyDescent="0.25"/>
    <row r="101361" customFormat="1" x14ac:dyDescent="0.25"/>
    <row r="101362" customFormat="1" x14ac:dyDescent="0.25"/>
    <row r="101363" customFormat="1" x14ac:dyDescent="0.25"/>
    <row r="101364" customFormat="1" x14ac:dyDescent="0.25"/>
    <row r="101365" customFormat="1" x14ac:dyDescent="0.25"/>
    <row r="101366" customFormat="1" x14ac:dyDescent="0.25"/>
    <row r="101367" customFormat="1" x14ac:dyDescent="0.25"/>
    <row r="101368" customFormat="1" x14ac:dyDescent="0.25"/>
    <row r="101369" customFormat="1" x14ac:dyDescent="0.25"/>
    <row r="101370" customFormat="1" x14ac:dyDescent="0.25"/>
    <row r="101371" customFormat="1" x14ac:dyDescent="0.25"/>
    <row r="101372" customFormat="1" x14ac:dyDescent="0.25"/>
    <row r="101373" customFormat="1" x14ac:dyDescent="0.25"/>
    <row r="101374" customFormat="1" x14ac:dyDescent="0.25"/>
    <row r="101375" customFormat="1" x14ac:dyDescent="0.25"/>
    <row r="101376" customFormat="1" x14ac:dyDescent="0.25"/>
    <row r="101377" customFormat="1" x14ac:dyDescent="0.25"/>
    <row r="101378" customFormat="1" x14ac:dyDescent="0.25"/>
    <row r="101379" customFormat="1" x14ac:dyDescent="0.25"/>
    <row r="101380" customFormat="1" x14ac:dyDescent="0.25"/>
    <row r="101381" customFormat="1" x14ac:dyDescent="0.25"/>
    <row r="101382" customFormat="1" x14ac:dyDescent="0.25"/>
    <row r="101383" customFormat="1" x14ac:dyDescent="0.25"/>
    <row r="101384" customFormat="1" x14ac:dyDescent="0.25"/>
    <row r="101385" customFormat="1" x14ac:dyDescent="0.25"/>
    <row r="101386" customFormat="1" x14ac:dyDescent="0.25"/>
    <row r="101387" customFormat="1" x14ac:dyDescent="0.25"/>
    <row r="101388" customFormat="1" x14ac:dyDescent="0.25"/>
    <row r="101389" customFormat="1" x14ac:dyDescent="0.25"/>
    <row r="101390" customFormat="1" x14ac:dyDescent="0.25"/>
    <row r="101391" customFormat="1" x14ac:dyDescent="0.25"/>
    <row r="101392" customFormat="1" x14ac:dyDescent="0.25"/>
    <row r="101393" customFormat="1" x14ac:dyDescent="0.25"/>
    <row r="101394" customFormat="1" x14ac:dyDescent="0.25"/>
    <row r="101395" customFormat="1" x14ac:dyDescent="0.25"/>
    <row r="101396" customFormat="1" x14ac:dyDescent="0.25"/>
    <row r="101397" customFormat="1" x14ac:dyDescent="0.25"/>
    <row r="101398" customFormat="1" x14ac:dyDescent="0.25"/>
    <row r="101399" customFormat="1" x14ac:dyDescent="0.25"/>
    <row r="101400" customFormat="1" x14ac:dyDescent="0.25"/>
    <row r="101401" customFormat="1" x14ac:dyDescent="0.25"/>
    <row r="101402" customFormat="1" x14ac:dyDescent="0.25"/>
    <row r="101403" customFormat="1" x14ac:dyDescent="0.25"/>
    <row r="101404" customFormat="1" x14ac:dyDescent="0.25"/>
    <row r="101405" customFormat="1" x14ac:dyDescent="0.25"/>
    <row r="101406" customFormat="1" x14ac:dyDescent="0.25"/>
    <row r="101407" customFormat="1" x14ac:dyDescent="0.25"/>
    <row r="101408" customFormat="1" x14ac:dyDescent="0.25"/>
    <row r="101409" customFormat="1" x14ac:dyDescent="0.25"/>
    <row r="101410" customFormat="1" x14ac:dyDescent="0.25"/>
    <row r="101411" customFormat="1" x14ac:dyDescent="0.25"/>
    <row r="101412" customFormat="1" x14ac:dyDescent="0.25"/>
    <row r="101413" customFormat="1" x14ac:dyDescent="0.25"/>
    <row r="101414" customFormat="1" x14ac:dyDescent="0.25"/>
    <row r="101415" customFormat="1" x14ac:dyDescent="0.25"/>
    <row r="101416" customFormat="1" x14ac:dyDescent="0.25"/>
    <row r="101417" customFormat="1" x14ac:dyDescent="0.25"/>
    <row r="101418" customFormat="1" x14ac:dyDescent="0.25"/>
    <row r="101419" customFormat="1" x14ac:dyDescent="0.25"/>
    <row r="101420" customFormat="1" x14ac:dyDescent="0.25"/>
    <row r="101421" customFormat="1" x14ac:dyDescent="0.25"/>
    <row r="101422" customFormat="1" x14ac:dyDescent="0.25"/>
    <row r="101423" customFormat="1" x14ac:dyDescent="0.25"/>
    <row r="101424" customFormat="1" x14ac:dyDescent="0.25"/>
    <row r="101425" customFormat="1" x14ac:dyDescent="0.25"/>
    <row r="101426" customFormat="1" x14ac:dyDescent="0.25"/>
    <row r="101427" customFormat="1" x14ac:dyDescent="0.25"/>
    <row r="101428" customFormat="1" x14ac:dyDescent="0.25"/>
    <row r="101429" customFormat="1" x14ac:dyDescent="0.25"/>
    <row r="101430" customFormat="1" x14ac:dyDescent="0.25"/>
    <row r="101431" customFormat="1" x14ac:dyDescent="0.25"/>
    <row r="101432" customFormat="1" x14ac:dyDescent="0.25"/>
    <row r="101433" customFormat="1" x14ac:dyDescent="0.25"/>
    <row r="101434" customFormat="1" x14ac:dyDescent="0.25"/>
    <row r="101435" customFormat="1" x14ac:dyDescent="0.25"/>
    <row r="101436" customFormat="1" x14ac:dyDescent="0.25"/>
    <row r="101437" customFormat="1" x14ac:dyDescent="0.25"/>
    <row r="101438" customFormat="1" x14ac:dyDescent="0.25"/>
    <row r="101439" customFormat="1" x14ac:dyDescent="0.25"/>
    <row r="101440" customFormat="1" x14ac:dyDescent="0.25"/>
    <row r="101441" customFormat="1" x14ac:dyDescent="0.25"/>
    <row r="101442" customFormat="1" x14ac:dyDescent="0.25"/>
    <row r="101443" customFormat="1" x14ac:dyDescent="0.25"/>
    <row r="101444" customFormat="1" x14ac:dyDescent="0.25"/>
    <row r="101445" customFormat="1" x14ac:dyDescent="0.25"/>
    <row r="101446" customFormat="1" x14ac:dyDescent="0.25"/>
    <row r="101447" customFormat="1" x14ac:dyDescent="0.25"/>
    <row r="101448" customFormat="1" x14ac:dyDescent="0.25"/>
    <row r="101449" customFormat="1" x14ac:dyDescent="0.25"/>
    <row r="101450" customFormat="1" x14ac:dyDescent="0.25"/>
    <row r="101451" customFormat="1" x14ac:dyDescent="0.25"/>
    <row r="101452" customFormat="1" x14ac:dyDescent="0.25"/>
    <row r="101453" customFormat="1" x14ac:dyDescent="0.25"/>
    <row r="101454" customFormat="1" x14ac:dyDescent="0.25"/>
    <row r="101455" customFormat="1" x14ac:dyDescent="0.25"/>
    <row r="101456" customFormat="1" x14ac:dyDescent="0.25"/>
    <row r="101457" customFormat="1" x14ac:dyDescent="0.25"/>
    <row r="101458" customFormat="1" x14ac:dyDescent="0.25"/>
    <row r="101459" customFormat="1" x14ac:dyDescent="0.25"/>
    <row r="101460" customFormat="1" x14ac:dyDescent="0.25"/>
    <row r="101461" customFormat="1" x14ac:dyDescent="0.25"/>
    <row r="101462" customFormat="1" x14ac:dyDescent="0.25"/>
    <row r="101463" customFormat="1" x14ac:dyDescent="0.25"/>
    <row r="101464" customFormat="1" x14ac:dyDescent="0.25"/>
    <row r="101465" customFormat="1" x14ac:dyDescent="0.25"/>
    <row r="101466" customFormat="1" x14ac:dyDescent="0.25"/>
    <row r="101467" customFormat="1" x14ac:dyDescent="0.25"/>
    <row r="101468" customFormat="1" x14ac:dyDescent="0.25"/>
    <row r="101469" customFormat="1" x14ac:dyDescent="0.25"/>
    <row r="101470" customFormat="1" x14ac:dyDescent="0.25"/>
    <row r="101471" customFormat="1" x14ac:dyDescent="0.25"/>
    <row r="101472" customFormat="1" x14ac:dyDescent="0.25"/>
    <row r="101473" customFormat="1" x14ac:dyDescent="0.25"/>
    <row r="101474" customFormat="1" x14ac:dyDescent="0.25"/>
    <row r="101475" customFormat="1" x14ac:dyDescent="0.25"/>
    <row r="101476" customFormat="1" x14ac:dyDescent="0.25"/>
    <row r="101477" customFormat="1" x14ac:dyDescent="0.25"/>
    <row r="101478" customFormat="1" x14ac:dyDescent="0.25"/>
    <row r="101479" customFormat="1" x14ac:dyDescent="0.25"/>
    <row r="101480" customFormat="1" x14ac:dyDescent="0.25"/>
    <row r="101481" customFormat="1" x14ac:dyDescent="0.25"/>
    <row r="101482" customFormat="1" x14ac:dyDescent="0.25"/>
    <row r="101483" customFormat="1" x14ac:dyDescent="0.25"/>
    <row r="101484" customFormat="1" x14ac:dyDescent="0.25"/>
    <row r="101485" customFormat="1" x14ac:dyDescent="0.25"/>
    <row r="101486" customFormat="1" x14ac:dyDescent="0.25"/>
    <row r="101487" customFormat="1" x14ac:dyDescent="0.25"/>
    <row r="101488" customFormat="1" x14ac:dyDescent="0.25"/>
    <row r="101489" customFormat="1" x14ac:dyDescent="0.25"/>
    <row r="101490" customFormat="1" x14ac:dyDescent="0.25"/>
    <row r="101491" customFormat="1" x14ac:dyDescent="0.25"/>
    <row r="101492" customFormat="1" x14ac:dyDescent="0.25"/>
    <row r="101493" customFormat="1" x14ac:dyDescent="0.25"/>
    <row r="101494" customFormat="1" x14ac:dyDescent="0.25"/>
    <row r="101495" customFormat="1" x14ac:dyDescent="0.25"/>
    <row r="101496" customFormat="1" x14ac:dyDescent="0.25"/>
    <row r="101497" customFormat="1" x14ac:dyDescent="0.25"/>
    <row r="101498" customFormat="1" x14ac:dyDescent="0.25"/>
    <row r="101499" customFormat="1" x14ac:dyDescent="0.25"/>
    <row r="101500" customFormat="1" x14ac:dyDescent="0.25"/>
    <row r="101501" customFormat="1" x14ac:dyDescent="0.25"/>
    <row r="101502" customFormat="1" x14ac:dyDescent="0.25"/>
    <row r="101503" customFormat="1" x14ac:dyDescent="0.25"/>
    <row r="101504" customFormat="1" x14ac:dyDescent="0.25"/>
    <row r="101505" customFormat="1" x14ac:dyDescent="0.25"/>
    <row r="101506" customFormat="1" x14ac:dyDescent="0.25"/>
    <row r="101507" customFormat="1" x14ac:dyDescent="0.25"/>
    <row r="101508" customFormat="1" x14ac:dyDescent="0.25"/>
    <row r="101509" customFormat="1" x14ac:dyDescent="0.25"/>
    <row r="101510" customFormat="1" x14ac:dyDescent="0.25"/>
    <row r="101511" customFormat="1" x14ac:dyDescent="0.25"/>
    <row r="101512" customFormat="1" x14ac:dyDescent="0.25"/>
    <row r="101513" customFormat="1" x14ac:dyDescent="0.25"/>
    <row r="101514" customFormat="1" x14ac:dyDescent="0.25"/>
    <row r="101515" customFormat="1" x14ac:dyDescent="0.25"/>
    <row r="101516" customFormat="1" x14ac:dyDescent="0.25"/>
    <row r="101517" customFormat="1" x14ac:dyDescent="0.25"/>
    <row r="101518" customFormat="1" x14ac:dyDescent="0.25"/>
    <row r="101519" customFormat="1" x14ac:dyDescent="0.25"/>
    <row r="101520" customFormat="1" x14ac:dyDescent="0.25"/>
    <row r="101521" customFormat="1" x14ac:dyDescent="0.25"/>
    <row r="101522" customFormat="1" x14ac:dyDescent="0.25"/>
    <row r="101523" customFormat="1" x14ac:dyDescent="0.25"/>
    <row r="101524" customFormat="1" x14ac:dyDescent="0.25"/>
    <row r="101525" customFormat="1" x14ac:dyDescent="0.25"/>
    <row r="101526" customFormat="1" x14ac:dyDescent="0.25"/>
    <row r="101527" customFormat="1" x14ac:dyDescent="0.25"/>
    <row r="101528" customFormat="1" x14ac:dyDescent="0.25"/>
    <row r="101529" customFormat="1" x14ac:dyDescent="0.25"/>
    <row r="101530" customFormat="1" x14ac:dyDescent="0.25"/>
    <row r="101531" customFormat="1" x14ac:dyDescent="0.25"/>
    <row r="101532" customFormat="1" x14ac:dyDescent="0.25"/>
    <row r="101533" customFormat="1" x14ac:dyDescent="0.25"/>
    <row r="101534" customFormat="1" x14ac:dyDescent="0.25"/>
    <row r="101535" customFormat="1" x14ac:dyDescent="0.25"/>
    <row r="101536" customFormat="1" x14ac:dyDescent="0.25"/>
    <row r="101537" customFormat="1" x14ac:dyDescent="0.25"/>
    <row r="101538" customFormat="1" x14ac:dyDescent="0.25"/>
    <row r="101539" customFormat="1" x14ac:dyDescent="0.25"/>
    <row r="101540" customFormat="1" x14ac:dyDescent="0.25"/>
    <row r="101541" customFormat="1" x14ac:dyDescent="0.25"/>
    <row r="101542" customFormat="1" x14ac:dyDescent="0.25"/>
    <row r="101543" customFormat="1" x14ac:dyDescent="0.25"/>
    <row r="101544" customFormat="1" x14ac:dyDescent="0.25"/>
    <row r="101545" customFormat="1" x14ac:dyDescent="0.25"/>
    <row r="101546" customFormat="1" x14ac:dyDescent="0.25"/>
    <row r="101547" customFormat="1" x14ac:dyDescent="0.25"/>
    <row r="101548" customFormat="1" x14ac:dyDescent="0.25"/>
    <row r="101549" customFormat="1" x14ac:dyDescent="0.25"/>
    <row r="101550" customFormat="1" x14ac:dyDescent="0.25"/>
    <row r="101551" customFormat="1" x14ac:dyDescent="0.25"/>
    <row r="101552" customFormat="1" x14ac:dyDescent="0.25"/>
    <row r="101553" customFormat="1" x14ac:dyDescent="0.25"/>
    <row r="101554" customFormat="1" x14ac:dyDescent="0.25"/>
    <row r="101555" customFormat="1" x14ac:dyDescent="0.25"/>
    <row r="101556" customFormat="1" x14ac:dyDescent="0.25"/>
    <row r="101557" customFormat="1" x14ac:dyDescent="0.25"/>
    <row r="101558" customFormat="1" x14ac:dyDescent="0.25"/>
    <row r="101559" customFormat="1" x14ac:dyDescent="0.25"/>
    <row r="101560" customFormat="1" x14ac:dyDescent="0.25"/>
    <row r="101561" customFormat="1" x14ac:dyDescent="0.25"/>
    <row r="101562" customFormat="1" x14ac:dyDescent="0.25"/>
    <row r="101563" customFormat="1" x14ac:dyDescent="0.25"/>
    <row r="101564" customFormat="1" x14ac:dyDescent="0.25"/>
    <row r="101565" customFormat="1" x14ac:dyDescent="0.25"/>
    <row r="101566" customFormat="1" x14ac:dyDescent="0.25"/>
    <row r="101567" customFormat="1" x14ac:dyDescent="0.25"/>
    <row r="101568" customFormat="1" x14ac:dyDescent="0.25"/>
    <row r="101569" customFormat="1" x14ac:dyDescent="0.25"/>
    <row r="101570" customFormat="1" x14ac:dyDescent="0.25"/>
    <row r="101571" customFormat="1" x14ac:dyDescent="0.25"/>
    <row r="101572" customFormat="1" x14ac:dyDescent="0.25"/>
    <row r="101573" customFormat="1" x14ac:dyDescent="0.25"/>
    <row r="101574" customFormat="1" x14ac:dyDescent="0.25"/>
    <row r="101575" customFormat="1" x14ac:dyDescent="0.25"/>
    <row r="101576" customFormat="1" x14ac:dyDescent="0.25"/>
    <row r="101577" customFormat="1" x14ac:dyDescent="0.25"/>
    <row r="101578" customFormat="1" x14ac:dyDescent="0.25"/>
    <row r="101579" customFormat="1" x14ac:dyDescent="0.25"/>
    <row r="101580" customFormat="1" x14ac:dyDescent="0.25"/>
    <row r="101581" customFormat="1" x14ac:dyDescent="0.25"/>
    <row r="101582" customFormat="1" x14ac:dyDescent="0.25"/>
    <row r="101583" customFormat="1" x14ac:dyDescent="0.25"/>
    <row r="101584" customFormat="1" x14ac:dyDescent="0.25"/>
    <row r="101585" customFormat="1" x14ac:dyDescent="0.25"/>
    <row r="101586" customFormat="1" x14ac:dyDescent="0.25"/>
    <row r="101587" customFormat="1" x14ac:dyDescent="0.25"/>
    <row r="101588" customFormat="1" x14ac:dyDescent="0.25"/>
    <row r="101589" customFormat="1" x14ac:dyDescent="0.25"/>
    <row r="101590" customFormat="1" x14ac:dyDescent="0.25"/>
    <row r="101591" customFormat="1" x14ac:dyDescent="0.25"/>
    <row r="101592" customFormat="1" x14ac:dyDescent="0.25"/>
    <row r="101593" customFormat="1" x14ac:dyDescent="0.25"/>
    <row r="101594" customFormat="1" x14ac:dyDescent="0.25"/>
    <row r="101595" customFormat="1" x14ac:dyDescent="0.25"/>
    <row r="101596" customFormat="1" x14ac:dyDescent="0.25"/>
    <row r="101597" customFormat="1" x14ac:dyDescent="0.25"/>
    <row r="101598" customFormat="1" x14ac:dyDescent="0.25"/>
    <row r="101599" customFormat="1" x14ac:dyDescent="0.25"/>
    <row r="101600" customFormat="1" x14ac:dyDescent="0.25"/>
    <row r="101601" customFormat="1" x14ac:dyDescent="0.25"/>
    <row r="101602" customFormat="1" x14ac:dyDescent="0.25"/>
    <row r="101603" customFormat="1" x14ac:dyDescent="0.25"/>
    <row r="101604" customFormat="1" x14ac:dyDescent="0.25"/>
    <row r="101605" customFormat="1" x14ac:dyDescent="0.25"/>
    <row r="101606" customFormat="1" x14ac:dyDescent="0.25"/>
    <row r="101607" customFormat="1" x14ac:dyDescent="0.25"/>
    <row r="101608" customFormat="1" x14ac:dyDescent="0.25"/>
    <row r="101609" customFormat="1" x14ac:dyDescent="0.25"/>
    <row r="101610" customFormat="1" x14ac:dyDescent="0.25"/>
    <row r="101611" customFormat="1" x14ac:dyDescent="0.25"/>
    <row r="101612" customFormat="1" x14ac:dyDescent="0.25"/>
    <row r="101613" customFormat="1" x14ac:dyDescent="0.25"/>
    <row r="101614" customFormat="1" x14ac:dyDescent="0.25"/>
    <row r="101615" customFormat="1" x14ac:dyDescent="0.25"/>
    <row r="101616" customFormat="1" x14ac:dyDescent="0.25"/>
    <row r="101617" customFormat="1" x14ac:dyDescent="0.25"/>
    <row r="101618" customFormat="1" x14ac:dyDescent="0.25"/>
    <row r="101619" customFormat="1" x14ac:dyDescent="0.25"/>
    <row r="101620" customFormat="1" x14ac:dyDescent="0.25"/>
    <row r="101621" customFormat="1" x14ac:dyDescent="0.25"/>
    <row r="101622" customFormat="1" x14ac:dyDescent="0.25"/>
    <row r="101623" customFormat="1" x14ac:dyDescent="0.25"/>
    <row r="101624" customFormat="1" x14ac:dyDescent="0.25"/>
    <row r="101625" customFormat="1" x14ac:dyDescent="0.25"/>
    <row r="101626" customFormat="1" x14ac:dyDescent="0.25"/>
    <row r="101627" customFormat="1" x14ac:dyDescent="0.25"/>
    <row r="101628" customFormat="1" x14ac:dyDescent="0.25"/>
    <row r="101629" customFormat="1" x14ac:dyDescent="0.25"/>
    <row r="101630" customFormat="1" x14ac:dyDescent="0.25"/>
    <row r="101631" customFormat="1" x14ac:dyDescent="0.25"/>
    <row r="101632" customFormat="1" x14ac:dyDescent="0.25"/>
    <row r="101633" customFormat="1" x14ac:dyDescent="0.25"/>
    <row r="101634" customFormat="1" x14ac:dyDescent="0.25"/>
    <row r="101635" customFormat="1" x14ac:dyDescent="0.25"/>
    <row r="101636" customFormat="1" x14ac:dyDescent="0.25"/>
    <row r="101637" customFormat="1" x14ac:dyDescent="0.25"/>
    <row r="101638" customFormat="1" x14ac:dyDescent="0.25"/>
    <row r="101639" customFormat="1" x14ac:dyDescent="0.25"/>
    <row r="101640" customFormat="1" x14ac:dyDescent="0.25"/>
    <row r="101641" customFormat="1" x14ac:dyDescent="0.25"/>
    <row r="101642" customFormat="1" x14ac:dyDescent="0.25"/>
    <row r="101643" customFormat="1" x14ac:dyDescent="0.25"/>
    <row r="101644" customFormat="1" x14ac:dyDescent="0.25"/>
    <row r="101645" customFormat="1" x14ac:dyDescent="0.25"/>
    <row r="101646" customFormat="1" x14ac:dyDescent="0.25"/>
    <row r="101647" customFormat="1" x14ac:dyDescent="0.25"/>
    <row r="101648" customFormat="1" x14ac:dyDescent="0.25"/>
    <row r="101649" customFormat="1" x14ac:dyDescent="0.25"/>
    <row r="101650" customFormat="1" x14ac:dyDescent="0.25"/>
    <row r="101651" customFormat="1" x14ac:dyDescent="0.25"/>
    <row r="101652" customFormat="1" x14ac:dyDescent="0.25"/>
    <row r="101653" customFormat="1" x14ac:dyDescent="0.25"/>
    <row r="101654" customFormat="1" x14ac:dyDescent="0.25"/>
    <row r="101655" customFormat="1" x14ac:dyDescent="0.25"/>
    <row r="101656" customFormat="1" x14ac:dyDescent="0.25"/>
    <row r="101657" customFormat="1" x14ac:dyDescent="0.25"/>
    <row r="101658" customFormat="1" x14ac:dyDescent="0.25"/>
    <row r="101659" customFormat="1" x14ac:dyDescent="0.25"/>
    <row r="101660" customFormat="1" x14ac:dyDescent="0.25"/>
    <row r="101661" customFormat="1" x14ac:dyDescent="0.25"/>
    <row r="101662" customFormat="1" x14ac:dyDescent="0.25"/>
    <row r="101663" customFormat="1" x14ac:dyDescent="0.25"/>
    <row r="101664" customFormat="1" x14ac:dyDescent="0.25"/>
    <row r="101665" customFormat="1" x14ac:dyDescent="0.25"/>
    <row r="101666" customFormat="1" x14ac:dyDescent="0.25"/>
    <row r="101667" customFormat="1" x14ac:dyDescent="0.25"/>
    <row r="101668" customFormat="1" x14ac:dyDescent="0.25"/>
    <row r="101669" customFormat="1" x14ac:dyDescent="0.25"/>
    <row r="101670" customFormat="1" x14ac:dyDescent="0.25"/>
    <row r="101671" customFormat="1" x14ac:dyDescent="0.25"/>
    <row r="101672" customFormat="1" x14ac:dyDescent="0.25"/>
    <row r="101673" customFormat="1" x14ac:dyDescent="0.25"/>
    <row r="101674" customFormat="1" x14ac:dyDescent="0.25"/>
    <row r="101675" customFormat="1" x14ac:dyDescent="0.25"/>
    <row r="101676" customFormat="1" x14ac:dyDescent="0.25"/>
    <row r="101677" customFormat="1" x14ac:dyDescent="0.25"/>
    <row r="101678" customFormat="1" x14ac:dyDescent="0.25"/>
    <row r="101679" customFormat="1" x14ac:dyDescent="0.25"/>
    <row r="101680" customFormat="1" x14ac:dyDescent="0.25"/>
    <row r="101681" customFormat="1" x14ac:dyDescent="0.25"/>
    <row r="101682" customFormat="1" x14ac:dyDescent="0.25"/>
    <row r="101683" customFormat="1" x14ac:dyDescent="0.25"/>
    <row r="101684" customFormat="1" x14ac:dyDescent="0.25"/>
    <row r="101685" customFormat="1" x14ac:dyDescent="0.25"/>
    <row r="101686" customFormat="1" x14ac:dyDescent="0.25"/>
    <row r="101687" customFormat="1" x14ac:dyDescent="0.25"/>
    <row r="101688" customFormat="1" x14ac:dyDescent="0.25"/>
    <row r="101689" customFormat="1" x14ac:dyDescent="0.25"/>
    <row r="101690" customFormat="1" x14ac:dyDescent="0.25"/>
    <row r="101691" customFormat="1" x14ac:dyDescent="0.25"/>
    <row r="101692" customFormat="1" x14ac:dyDescent="0.25"/>
    <row r="101693" customFormat="1" x14ac:dyDescent="0.25"/>
    <row r="101694" customFormat="1" x14ac:dyDescent="0.25"/>
    <row r="101695" customFormat="1" x14ac:dyDescent="0.25"/>
    <row r="101696" customFormat="1" x14ac:dyDescent="0.25"/>
    <row r="101697" customFormat="1" x14ac:dyDescent="0.25"/>
    <row r="101698" customFormat="1" x14ac:dyDescent="0.25"/>
    <row r="101699" customFormat="1" x14ac:dyDescent="0.25"/>
    <row r="101700" customFormat="1" x14ac:dyDescent="0.25"/>
    <row r="101701" customFormat="1" x14ac:dyDescent="0.25"/>
    <row r="101702" customFormat="1" x14ac:dyDescent="0.25"/>
    <row r="101703" customFormat="1" x14ac:dyDescent="0.25"/>
    <row r="101704" customFormat="1" x14ac:dyDescent="0.25"/>
    <row r="101705" customFormat="1" x14ac:dyDescent="0.25"/>
    <row r="101706" customFormat="1" x14ac:dyDescent="0.25"/>
    <row r="101707" customFormat="1" x14ac:dyDescent="0.25"/>
    <row r="101708" customFormat="1" x14ac:dyDescent="0.25"/>
    <row r="101709" customFormat="1" x14ac:dyDescent="0.25"/>
    <row r="101710" customFormat="1" x14ac:dyDescent="0.25"/>
    <row r="101711" customFormat="1" x14ac:dyDescent="0.25"/>
    <row r="101712" customFormat="1" x14ac:dyDescent="0.25"/>
    <row r="101713" customFormat="1" x14ac:dyDescent="0.25"/>
    <row r="101714" customFormat="1" x14ac:dyDescent="0.25"/>
    <row r="101715" customFormat="1" x14ac:dyDescent="0.25"/>
    <row r="101716" customFormat="1" x14ac:dyDescent="0.25"/>
    <row r="101717" customFormat="1" x14ac:dyDescent="0.25"/>
    <row r="101718" customFormat="1" x14ac:dyDescent="0.25"/>
    <row r="101719" customFormat="1" x14ac:dyDescent="0.25"/>
    <row r="101720" customFormat="1" x14ac:dyDescent="0.25"/>
    <row r="101721" customFormat="1" x14ac:dyDescent="0.25"/>
    <row r="101722" customFormat="1" x14ac:dyDescent="0.25"/>
    <row r="101723" customFormat="1" x14ac:dyDescent="0.25"/>
    <row r="101724" customFormat="1" x14ac:dyDescent="0.25"/>
    <row r="101725" customFormat="1" x14ac:dyDescent="0.25"/>
    <row r="101726" customFormat="1" x14ac:dyDescent="0.25"/>
    <row r="101727" customFormat="1" x14ac:dyDescent="0.25"/>
    <row r="101728" customFormat="1" x14ac:dyDescent="0.25"/>
    <row r="101729" customFormat="1" x14ac:dyDescent="0.25"/>
    <row r="101730" customFormat="1" x14ac:dyDescent="0.25"/>
    <row r="101731" customFormat="1" x14ac:dyDescent="0.25"/>
    <row r="101732" customFormat="1" x14ac:dyDescent="0.25"/>
    <row r="101733" customFormat="1" x14ac:dyDescent="0.25"/>
    <row r="101734" customFormat="1" x14ac:dyDescent="0.25"/>
    <row r="101735" customFormat="1" x14ac:dyDescent="0.25"/>
    <row r="101736" customFormat="1" x14ac:dyDescent="0.25"/>
    <row r="101737" customFormat="1" x14ac:dyDescent="0.25"/>
    <row r="101738" customFormat="1" x14ac:dyDescent="0.25"/>
    <row r="101739" customFormat="1" x14ac:dyDescent="0.25"/>
    <row r="101740" customFormat="1" x14ac:dyDescent="0.25"/>
    <row r="101741" customFormat="1" x14ac:dyDescent="0.25"/>
    <row r="101742" customFormat="1" x14ac:dyDescent="0.25"/>
    <row r="101743" customFormat="1" x14ac:dyDescent="0.25"/>
    <row r="101744" customFormat="1" x14ac:dyDescent="0.25"/>
    <row r="101745" customFormat="1" x14ac:dyDescent="0.25"/>
    <row r="101746" customFormat="1" x14ac:dyDescent="0.25"/>
    <row r="101747" customFormat="1" x14ac:dyDescent="0.25"/>
    <row r="101748" customFormat="1" x14ac:dyDescent="0.25"/>
    <row r="101749" customFormat="1" x14ac:dyDescent="0.25"/>
    <row r="101750" customFormat="1" x14ac:dyDescent="0.25"/>
    <row r="101751" customFormat="1" x14ac:dyDescent="0.25"/>
    <row r="101752" customFormat="1" x14ac:dyDescent="0.25"/>
    <row r="101753" customFormat="1" x14ac:dyDescent="0.25"/>
    <row r="101754" customFormat="1" x14ac:dyDescent="0.25"/>
    <row r="101755" customFormat="1" x14ac:dyDescent="0.25"/>
    <row r="101756" customFormat="1" x14ac:dyDescent="0.25"/>
    <row r="101757" customFormat="1" x14ac:dyDescent="0.25"/>
    <row r="101758" customFormat="1" x14ac:dyDescent="0.25"/>
    <row r="101759" customFormat="1" x14ac:dyDescent="0.25"/>
    <row r="101760" customFormat="1" x14ac:dyDescent="0.25"/>
    <row r="101761" customFormat="1" x14ac:dyDescent="0.25"/>
    <row r="101762" customFormat="1" x14ac:dyDescent="0.25"/>
    <row r="101763" customFormat="1" x14ac:dyDescent="0.25"/>
    <row r="101764" customFormat="1" x14ac:dyDescent="0.25"/>
    <row r="101765" customFormat="1" x14ac:dyDescent="0.25"/>
    <row r="101766" customFormat="1" x14ac:dyDescent="0.25"/>
    <row r="101767" customFormat="1" x14ac:dyDescent="0.25"/>
    <row r="101768" customFormat="1" x14ac:dyDescent="0.25"/>
    <row r="101769" customFormat="1" x14ac:dyDescent="0.25"/>
    <row r="101770" customFormat="1" x14ac:dyDescent="0.25"/>
    <row r="101771" customFormat="1" x14ac:dyDescent="0.25"/>
    <row r="101772" customFormat="1" x14ac:dyDescent="0.25"/>
    <row r="101773" customFormat="1" x14ac:dyDescent="0.25"/>
    <row r="101774" customFormat="1" x14ac:dyDescent="0.25"/>
    <row r="101775" customFormat="1" x14ac:dyDescent="0.25"/>
    <row r="101776" customFormat="1" x14ac:dyDescent="0.25"/>
    <row r="101777" customFormat="1" x14ac:dyDescent="0.25"/>
    <row r="101778" customFormat="1" x14ac:dyDescent="0.25"/>
    <row r="101779" customFormat="1" x14ac:dyDescent="0.25"/>
    <row r="101780" customFormat="1" x14ac:dyDescent="0.25"/>
    <row r="101781" customFormat="1" x14ac:dyDescent="0.25"/>
    <row r="101782" customFormat="1" x14ac:dyDescent="0.25"/>
    <row r="101783" customFormat="1" x14ac:dyDescent="0.25"/>
    <row r="101784" customFormat="1" x14ac:dyDescent="0.25"/>
    <row r="101785" customFormat="1" x14ac:dyDescent="0.25"/>
    <row r="101786" customFormat="1" x14ac:dyDescent="0.25"/>
    <row r="101787" customFormat="1" x14ac:dyDescent="0.25"/>
    <row r="101788" customFormat="1" x14ac:dyDescent="0.25"/>
    <row r="101789" customFormat="1" x14ac:dyDescent="0.25"/>
    <row r="101790" customFormat="1" x14ac:dyDescent="0.25"/>
    <row r="101791" customFormat="1" x14ac:dyDescent="0.25"/>
    <row r="101792" customFormat="1" x14ac:dyDescent="0.25"/>
    <row r="101793" customFormat="1" x14ac:dyDescent="0.25"/>
    <row r="101794" customFormat="1" x14ac:dyDescent="0.25"/>
    <row r="101795" customFormat="1" x14ac:dyDescent="0.25"/>
    <row r="101796" customFormat="1" x14ac:dyDescent="0.25"/>
    <row r="101797" customFormat="1" x14ac:dyDescent="0.25"/>
    <row r="101798" customFormat="1" x14ac:dyDescent="0.25"/>
    <row r="101799" customFormat="1" x14ac:dyDescent="0.25"/>
    <row r="101800" customFormat="1" x14ac:dyDescent="0.25"/>
    <row r="101801" customFormat="1" x14ac:dyDescent="0.25"/>
    <row r="101802" customFormat="1" x14ac:dyDescent="0.25"/>
    <row r="101803" customFormat="1" x14ac:dyDescent="0.25"/>
    <row r="101804" customFormat="1" x14ac:dyDescent="0.25"/>
    <row r="101805" customFormat="1" x14ac:dyDescent="0.25"/>
    <row r="101806" customFormat="1" x14ac:dyDescent="0.25"/>
    <row r="101807" customFormat="1" x14ac:dyDescent="0.25"/>
    <row r="101808" customFormat="1" x14ac:dyDescent="0.25"/>
    <row r="101809" customFormat="1" x14ac:dyDescent="0.25"/>
    <row r="101810" customFormat="1" x14ac:dyDescent="0.25"/>
    <row r="101811" customFormat="1" x14ac:dyDescent="0.25"/>
    <row r="101812" customFormat="1" x14ac:dyDescent="0.25"/>
    <row r="101813" customFormat="1" x14ac:dyDescent="0.25"/>
    <row r="101814" customFormat="1" x14ac:dyDescent="0.25"/>
    <row r="101815" customFormat="1" x14ac:dyDescent="0.25"/>
    <row r="101816" customFormat="1" x14ac:dyDescent="0.25"/>
    <row r="101817" customFormat="1" x14ac:dyDescent="0.25"/>
    <row r="101818" customFormat="1" x14ac:dyDescent="0.25"/>
    <row r="101819" customFormat="1" x14ac:dyDescent="0.25"/>
    <row r="101820" customFormat="1" x14ac:dyDescent="0.25"/>
    <row r="101821" customFormat="1" x14ac:dyDescent="0.25"/>
    <row r="101822" customFormat="1" x14ac:dyDescent="0.25"/>
    <row r="101823" customFormat="1" x14ac:dyDescent="0.25"/>
    <row r="101824" customFormat="1" x14ac:dyDescent="0.25"/>
    <row r="101825" customFormat="1" x14ac:dyDescent="0.25"/>
    <row r="101826" customFormat="1" x14ac:dyDescent="0.25"/>
    <row r="101827" customFormat="1" x14ac:dyDescent="0.25"/>
    <row r="101828" customFormat="1" x14ac:dyDescent="0.25"/>
    <row r="101829" customFormat="1" x14ac:dyDescent="0.25"/>
    <row r="101830" customFormat="1" x14ac:dyDescent="0.25"/>
    <row r="101831" customFormat="1" x14ac:dyDescent="0.25"/>
    <row r="101832" customFormat="1" x14ac:dyDescent="0.25"/>
    <row r="101833" customFormat="1" x14ac:dyDescent="0.25"/>
    <row r="101834" customFormat="1" x14ac:dyDescent="0.25"/>
    <row r="101835" customFormat="1" x14ac:dyDescent="0.25"/>
    <row r="101836" customFormat="1" x14ac:dyDescent="0.25"/>
    <row r="101837" customFormat="1" x14ac:dyDescent="0.25"/>
    <row r="101838" customFormat="1" x14ac:dyDescent="0.25"/>
    <row r="101839" customFormat="1" x14ac:dyDescent="0.25"/>
    <row r="101840" customFormat="1" x14ac:dyDescent="0.25"/>
    <row r="101841" customFormat="1" x14ac:dyDescent="0.25"/>
    <row r="101842" customFormat="1" x14ac:dyDescent="0.25"/>
    <row r="101843" customFormat="1" x14ac:dyDescent="0.25"/>
    <row r="101844" customFormat="1" x14ac:dyDescent="0.25"/>
    <row r="101845" customFormat="1" x14ac:dyDescent="0.25"/>
    <row r="101846" customFormat="1" x14ac:dyDescent="0.25"/>
    <row r="101847" customFormat="1" x14ac:dyDescent="0.25"/>
    <row r="101848" customFormat="1" x14ac:dyDescent="0.25"/>
    <row r="101849" customFormat="1" x14ac:dyDescent="0.25"/>
    <row r="101850" customFormat="1" x14ac:dyDescent="0.25"/>
    <row r="101851" customFormat="1" x14ac:dyDescent="0.25"/>
    <row r="101852" customFormat="1" x14ac:dyDescent="0.25"/>
    <row r="101853" customFormat="1" x14ac:dyDescent="0.25"/>
    <row r="101854" customFormat="1" x14ac:dyDescent="0.25"/>
    <row r="101855" customFormat="1" x14ac:dyDescent="0.25"/>
    <row r="101856" customFormat="1" x14ac:dyDescent="0.25"/>
    <row r="101857" customFormat="1" x14ac:dyDescent="0.25"/>
    <row r="101858" customFormat="1" x14ac:dyDescent="0.25"/>
    <row r="101859" customFormat="1" x14ac:dyDescent="0.25"/>
    <row r="101860" customFormat="1" x14ac:dyDescent="0.25"/>
    <row r="101861" customFormat="1" x14ac:dyDescent="0.25"/>
    <row r="101862" customFormat="1" x14ac:dyDescent="0.25"/>
    <row r="101863" customFormat="1" x14ac:dyDescent="0.25"/>
    <row r="101864" customFormat="1" x14ac:dyDescent="0.25"/>
    <row r="101865" customFormat="1" x14ac:dyDescent="0.25"/>
    <row r="101866" customFormat="1" x14ac:dyDescent="0.25"/>
    <row r="101867" customFormat="1" x14ac:dyDescent="0.25"/>
    <row r="101868" customFormat="1" x14ac:dyDescent="0.25"/>
    <row r="101869" customFormat="1" x14ac:dyDescent="0.25"/>
    <row r="101870" customFormat="1" x14ac:dyDescent="0.25"/>
    <row r="101871" customFormat="1" x14ac:dyDescent="0.25"/>
    <row r="101872" customFormat="1" x14ac:dyDescent="0.25"/>
    <row r="101873" customFormat="1" x14ac:dyDescent="0.25"/>
    <row r="101874" customFormat="1" x14ac:dyDescent="0.25"/>
    <row r="101875" customFormat="1" x14ac:dyDescent="0.25"/>
    <row r="101876" customFormat="1" x14ac:dyDescent="0.25"/>
    <row r="101877" customFormat="1" x14ac:dyDescent="0.25"/>
    <row r="101878" customFormat="1" x14ac:dyDescent="0.25"/>
    <row r="101879" customFormat="1" x14ac:dyDescent="0.25"/>
    <row r="101880" customFormat="1" x14ac:dyDescent="0.25"/>
    <row r="101881" customFormat="1" x14ac:dyDescent="0.25"/>
    <row r="101882" customFormat="1" x14ac:dyDescent="0.25"/>
    <row r="101883" customFormat="1" x14ac:dyDescent="0.25"/>
    <row r="101884" customFormat="1" x14ac:dyDescent="0.25"/>
    <row r="101885" customFormat="1" x14ac:dyDescent="0.25"/>
    <row r="101886" customFormat="1" x14ac:dyDescent="0.25"/>
    <row r="101887" customFormat="1" x14ac:dyDescent="0.25"/>
    <row r="101888" customFormat="1" x14ac:dyDescent="0.25"/>
    <row r="101889" customFormat="1" x14ac:dyDescent="0.25"/>
    <row r="101890" customFormat="1" x14ac:dyDescent="0.25"/>
    <row r="101891" customFormat="1" x14ac:dyDescent="0.25"/>
    <row r="101892" customFormat="1" x14ac:dyDescent="0.25"/>
    <row r="101893" customFormat="1" x14ac:dyDescent="0.25"/>
    <row r="101894" customFormat="1" x14ac:dyDescent="0.25"/>
    <row r="101895" customFormat="1" x14ac:dyDescent="0.25"/>
    <row r="101896" customFormat="1" x14ac:dyDescent="0.25"/>
    <row r="101897" customFormat="1" x14ac:dyDescent="0.25"/>
    <row r="101898" customFormat="1" x14ac:dyDescent="0.25"/>
    <row r="101899" customFormat="1" x14ac:dyDescent="0.25"/>
    <row r="101900" customFormat="1" x14ac:dyDescent="0.25"/>
    <row r="101901" customFormat="1" x14ac:dyDescent="0.25"/>
    <row r="101902" customFormat="1" x14ac:dyDescent="0.25"/>
    <row r="101903" customFormat="1" x14ac:dyDescent="0.25"/>
    <row r="101904" customFormat="1" x14ac:dyDescent="0.25"/>
    <row r="101905" customFormat="1" x14ac:dyDescent="0.25"/>
    <row r="101906" customFormat="1" x14ac:dyDescent="0.25"/>
    <row r="101907" customFormat="1" x14ac:dyDescent="0.25"/>
    <row r="101908" customFormat="1" x14ac:dyDescent="0.25"/>
    <row r="101909" customFormat="1" x14ac:dyDescent="0.25"/>
    <row r="101910" customFormat="1" x14ac:dyDescent="0.25"/>
    <row r="101911" customFormat="1" x14ac:dyDescent="0.25"/>
    <row r="101912" customFormat="1" x14ac:dyDescent="0.25"/>
    <row r="101913" customFormat="1" x14ac:dyDescent="0.25"/>
    <row r="101914" customFormat="1" x14ac:dyDescent="0.25"/>
    <row r="101915" customFormat="1" x14ac:dyDescent="0.25"/>
    <row r="101916" customFormat="1" x14ac:dyDescent="0.25"/>
    <row r="101917" customFormat="1" x14ac:dyDescent="0.25"/>
    <row r="101918" customFormat="1" x14ac:dyDescent="0.25"/>
    <row r="101919" customFormat="1" x14ac:dyDescent="0.25"/>
    <row r="101920" customFormat="1" x14ac:dyDescent="0.25"/>
    <row r="101921" customFormat="1" x14ac:dyDescent="0.25"/>
    <row r="101922" customFormat="1" x14ac:dyDescent="0.25"/>
    <row r="101923" customFormat="1" x14ac:dyDescent="0.25"/>
    <row r="101924" customFormat="1" x14ac:dyDescent="0.25"/>
    <row r="101925" customFormat="1" x14ac:dyDescent="0.25"/>
    <row r="101926" customFormat="1" x14ac:dyDescent="0.25"/>
    <row r="101927" customFormat="1" x14ac:dyDescent="0.25"/>
    <row r="101928" customFormat="1" x14ac:dyDescent="0.25"/>
    <row r="101929" customFormat="1" x14ac:dyDescent="0.25"/>
    <row r="101930" customFormat="1" x14ac:dyDescent="0.25"/>
    <row r="101931" customFormat="1" x14ac:dyDescent="0.25"/>
    <row r="101932" customFormat="1" x14ac:dyDescent="0.25"/>
    <row r="101933" customFormat="1" x14ac:dyDescent="0.25"/>
    <row r="101934" customFormat="1" x14ac:dyDescent="0.25"/>
    <row r="101935" customFormat="1" x14ac:dyDescent="0.25"/>
    <row r="101936" customFormat="1" x14ac:dyDescent="0.25"/>
    <row r="101937" customFormat="1" x14ac:dyDescent="0.25"/>
    <row r="101938" customFormat="1" x14ac:dyDescent="0.25"/>
    <row r="101939" customFormat="1" x14ac:dyDescent="0.25"/>
    <row r="101940" customFormat="1" x14ac:dyDescent="0.25"/>
    <row r="101941" customFormat="1" x14ac:dyDescent="0.25"/>
    <row r="101942" customFormat="1" x14ac:dyDescent="0.25"/>
    <row r="101943" customFormat="1" x14ac:dyDescent="0.25"/>
    <row r="101944" customFormat="1" x14ac:dyDescent="0.25"/>
    <row r="101945" customFormat="1" x14ac:dyDescent="0.25"/>
    <row r="101946" customFormat="1" x14ac:dyDescent="0.25"/>
    <row r="101947" customFormat="1" x14ac:dyDescent="0.25"/>
    <row r="101948" customFormat="1" x14ac:dyDescent="0.25"/>
    <row r="101949" customFormat="1" x14ac:dyDescent="0.25"/>
    <row r="101950" customFormat="1" x14ac:dyDescent="0.25"/>
    <row r="101951" customFormat="1" x14ac:dyDescent="0.25"/>
    <row r="101952" customFormat="1" x14ac:dyDescent="0.25"/>
    <row r="101953" customFormat="1" x14ac:dyDescent="0.25"/>
    <row r="101954" customFormat="1" x14ac:dyDescent="0.25"/>
    <row r="101955" customFormat="1" x14ac:dyDescent="0.25"/>
    <row r="101956" customFormat="1" x14ac:dyDescent="0.25"/>
    <row r="101957" customFormat="1" x14ac:dyDescent="0.25"/>
    <row r="101958" customFormat="1" x14ac:dyDescent="0.25"/>
    <row r="101959" customFormat="1" x14ac:dyDescent="0.25"/>
    <row r="101960" customFormat="1" x14ac:dyDescent="0.25"/>
    <row r="101961" customFormat="1" x14ac:dyDescent="0.25"/>
    <row r="101962" customFormat="1" x14ac:dyDescent="0.25"/>
    <row r="101963" customFormat="1" x14ac:dyDescent="0.25"/>
    <row r="101964" customFormat="1" x14ac:dyDescent="0.25"/>
    <row r="101965" customFormat="1" x14ac:dyDescent="0.25"/>
    <row r="101966" customFormat="1" x14ac:dyDescent="0.25"/>
    <row r="101967" customFormat="1" x14ac:dyDescent="0.25"/>
    <row r="101968" customFormat="1" x14ac:dyDescent="0.25"/>
    <row r="101969" customFormat="1" x14ac:dyDescent="0.25"/>
    <row r="101970" customFormat="1" x14ac:dyDescent="0.25"/>
    <row r="101971" customFormat="1" x14ac:dyDescent="0.25"/>
    <row r="101972" customFormat="1" x14ac:dyDescent="0.25"/>
    <row r="101973" customFormat="1" x14ac:dyDescent="0.25"/>
    <row r="101974" customFormat="1" x14ac:dyDescent="0.25"/>
    <row r="101975" customFormat="1" x14ac:dyDescent="0.25"/>
    <row r="101976" customFormat="1" x14ac:dyDescent="0.25"/>
    <row r="101977" customFormat="1" x14ac:dyDescent="0.25"/>
    <row r="101978" customFormat="1" x14ac:dyDescent="0.25"/>
    <row r="101979" customFormat="1" x14ac:dyDescent="0.25"/>
    <row r="101980" customFormat="1" x14ac:dyDescent="0.25"/>
    <row r="101981" customFormat="1" x14ac:dyDescent="0.25"/>
    <row r="101982" customFormat="1" x14ac:dyDescent="0.25"/>
    <row r="101983" customFormat="1" x14ac:dyDescent="0.25"/>
    <row r="101984" customFormat="1" x14ac:dyDescent="0.25"/>
    <row r="101985" customFormat="1" x14ac:dyDescent="0.25"/>
    <row r="101986" customFormat="1" x14ac:dyDescent="0.25"/>
    <row r="101987" customFormat="1" x14ac:dyDescent="0.25"/>
    <row r="101988" customFormat="1" x14ac:dyDescent="0.25"/>
    <row r="101989" customFormat="1" x14ac:dyDescent="0.25"/>
    <row r="101990" customFormat="1" x14ac:dyDescent="0.25"/>
    <row r="101991" customFormat="1" x14ac:dyDescent="0.25"/>
    <row r="101992" customFormat="1" x14ac:dyDescent="0.25"/>
    <row r="101993" customFormat="1" x14ac:dyDescent="0.25"/>
    <row r="101994" customFormat="1" x14ac:dyDescent="0.25"/>
    <row r="101995" customFormat="1" x14ac:dyDescent="0.25"/>
    <row r="101996" customFormat="1" x14ac:dyDescent="0.25"/>
    <row r="101997" customFormat="1" x14ac:dyDescent="0.25"/>
    <row r="101998" customFormat="1" x14ac:dyDescent="0.25"/>
    <row r="101999" customFormat="1" x14ac:dyDescent="0.25"/>
    <row r="102000" customFormat="1" x14ac:dyDescent="0.25"/>
    <row r="102001" customFormat="1" x14ac:dyDescent="0.25"/>
    <row r="102002" customFormat="1" x14ac:dyDescent="0.25"/>
    <row r="102003" customFormat="1" x14ac:dyDescent="0.25"/>
    <row r="102004" customFormat="1" x14ac:dyDescent="0.25"/>
    <row r="102005" customFormat="1" x14ac:dyDescent="0.25"/>
    <row r="102006" customFormat="1" x14ac:dyDescent="0.25"/>
    <row r="102007" customFormat="1" x14ac:dyDescent="0.25"/>
    <row r="102008" customFormat="1" x14ac:dyDescent="0.25"/>
    <row r="102009" customFormat="1" x14ac:dyDescent="0.25"/>
    <row r="102010" customFormat="1" x14ac:dyDescent="0.25"/>
    <row r="102011" customFormat="1" x14ac:dyDescent="0.25"/>
    <row r="102012" customFormat="1" x14ac:dyDescent="0.25"/>
    <row r="102013" customFormat="1" x14ac:dyDescent="0.25"/>
    <row r="102014" customFormat="1" x14ac:dyDescent="0.25"/>
    <row r="102015" customFormat="1" x14ac:dyDescent="0.25"/>
    <row r="102016" customFormat="1" x14ac:dyDescent="0.25"/>
    <row r="102017" customFormat="1" x14ac:dyDescent="0.25"/>
    <row r="102018" customFormat="1" x14ac:dyDescent="0.25"/>
    <row r="102019" customFormat="1" x14ac:dyDescent="0.25"/>
    <row r="102020" customFormat="1" x14ac:dyDescent="0.25"/>
    <row r="102021" customFormat="1" x14ac:dyDescent="0.25"/>
    <row r="102022" customFormat="1" x14ac:dyDescent="0.25"/>
    <row r="102023" customFormat="1" x14ac:dyDescent="0.25"/>
    <row r="102024" customFormat="1" x14ac:dyDescent="0.25"/>
    <row r="102025" customFormat="1" x14ac:dyDescent="0.25"/>
    <row r="102026" customFormat="1" x14ac:dyDescent="0.25"/>
    <row r="102027" customFormat="1" x14ac:dyDescent="0.25"/>
    <row r="102028" customFormat="1" x14ac:dyDescent="0.25"/>
    <row r="102029" customFormat="1" x14ac:dyDescent="0.25"/>
    <row r="102030" customFormat="1" x14ac:dyDescent="0.25"/>
    <row r="102031" customFormat="1" x14ac:dyDescent="0.25"/>
    <row r="102032" customFormat="1" x14ac:dyDescent="0.25"/>
    <row r="102033" customFormat="1" x14ac:dyDescent="0.25"/>
    <row r="102034" customFormat="1" x14ac:dyDescent="0.25"/>
    <row r="102035" customFormat="1" x14ac:dyDescent="0.25"/>
    <row r="102036" customFormat="1" x14ac:dyDescent="0.25"/>
    <row r="102037" customFormat="1" x14ac:dyDescent="0.25"/>
    <row r="102038" customFormat="1" x14ac:dyDescent="0.25"/>
    <row r="102039" customFormat="1" x14ac:dyDescent="0.25"/>
    <row r="102040" customFormat="1" x14ac:dyDescent="0.25"/>
    <row r="102041" customFormat="1" x14ac:dyDescent="0.25"/>
    <row r="102042" customFormat="1" x14ac:dyDescent="0.25"/>
    <row r="102043" customFormat="1" x14ac:dyDescent="0.25"/>
    <row r="102044" customFormat="1" x14ac:dyDescent="0.25"/>
    <row r="102045" customFormat="1" x14ac:dyDescent="0.25"/>
    <row r="102046" customFormat="1" x14ac:dyDescent="0.25"/>
    <row r="102047" customFormat="1" x14ac:dyDescent="0.25"/>
    <row r="102048" customFormat="1" x14ac:dyDescent="0.25"/>
    <row r="102049" customFormat="1" x14ac:dyDescent="0.25"/>
    <row r="102050" customFormat="1" x14ac:dyDescent="0.25"/>
    <row r="102051" customFormat="1" x14ac:dyDescent="0.25"/>
    <row r="102052" customFormat="1" x14ac:dyDescent="0.25"/>
    <row r="102053" customFormat="1" x14ac:dyDescent="0.25"/>
    <row r="102054" customFormat="1" x14ac:dyDescent="0.25"/>
    <row r="102055" customFormat="1" x14ac:dyDescent="0.25"/>
    <row r="102056" customFormat="1" x14ac:dyDescent="0.25"/>
    <row r="102057" customFormat="1" x14ac:dyDescent="0.25"/>
    <row r="102058" customFormat="1" x14ac:dyDescent="0.25"/>
    <row r="102059" customFormat="1" x14ac:dyDescent="0.25"/>
    <row r="102060" customFormat="1" x14ac:dyDescent="0.25"/>
    <row r="102061" customFormat="1" x14ac:dyDescent="0.25"/>
    <row r="102062" customFormat="1" x14ac:dyDescent="0.25"/>
    <row r="102063" customFormat="1" x14ac:dyDescent="0.25"/>
    <row r="102064" customFormat="1" x14ac:dyDescent="0.25"/>
    <row r="102065" customFormat="1" x14ac:dyDescent="0.25"/>
    <row r="102066" customFormat="1" x14ac:dyDescent="0.25"/>
    <row r="102067" customFormat="1" x14ac:dyDescent="0.25"/>
    <row r="102068" customFormat="1" x14ac:dyDescent="0.25"/>
    <row r="102069" customFormat="1" x14ac:dyDescent="0.25"/>
    <row r="102070" customFormat="1" x14ac:dyDescent="0.25"/>
    <row r="102071" customFormat="1" x14ac:dyDescent="0.25"/>
    <row r="102072" customFormat="1" x14ac:dyDescent="0.25"/>
    <row r="102073" customFormat="1" x14ac:dyDescent="0.25"/>
    <row r="102074" customFormat="1" x14ac:dyDescent="0.25"/>
    <row r="102075" customFormat="1" x14ac:dyDescent="0.25"/>
    <row r="102076" customFormat="1" x14ac:dyDescent="0.25"/>
    <row r="102077" customFormat="1" x14ac:dyDescent="0.25"/>
    <row r="102078" customFormat="1" x14ac:dyDescent="0.25"/>
    <row r="102079" customFormat="1" x14ac:dyDescent="0.25"/>
    <row r="102080" customFormat="1" x14ac:dyDescent="0.25"/>
    <row r="102081" customFormat="1" x14ac:dyDescent="0.25"/>
    <row r="102082" customFormat="1" x14ac:dyDescent="0.25"/>
    <row r="102083" customFormat="1" x14ac:dyDescent="0.25"/>
    <row r="102084" customFormat="1" x14ac:dyDescent="0.25"/>
    <row r="102085" customFormat="1" x14ac:dyDescent="0.25"/>
    <row r="102086" customFormat="1" x14ac:dyDescent="0.25"/>
    <row r="102087" customFormat="1" x14ac:dyDescent="0.25"/>
    <row r="102088" customFormat="1" x14ac:dyDescent="0.25"/>
    <row r="102089" customFormat="1" x14ac:dyDescent="0.25"/>
    <row r="102090" customFormat="1" x14ac:dyDescent="0.25"/>
    <row r="102091" customFormat="1" x14ac:dyDescent="0.25"/>
    <row r="102092" customFormat="1" x14ac:dyDescent="0.25"/>
    <row r="102093" customFormat="1" x14ac:dyDescent="0.25"/>
    <row r="102094" customFormat="1" x14ac:dyDescent="0.25"/>
    <row r="102095" customFormat="1" x14ac:dyDescent="0.25"/>
    <row r="102096" customFormat="1" x14ac:dyDescent="0.25"/>
    <row r="102097" customFormat="1" x14ac:dyDescent="0.25"/>
    <row r="102098" customFormat="1" x14ac:dyDescent="0.25"/>
    <row r="102099" customFormat="1" x14ac:dyDescent="0.25"/>
    <row r="102100" customFormat="1" x14ac:dyDescent="0.25"/>
    <row r="102101" customFormat="1" x14ac:dyDescent="0.25"/>
    <row r="102102" customFormat="1" x14ac:dyDescent="0.25"/>
    <row r="102103" customFormat="1" x14ac:dyDescent="0.25"/>
    <row r="102104" customFormat="1" x14ac:dyDescent="0.25"/>
    <row r="102105" customFormat="1" x14ac:dyDescent="0.25"/>
    <row r="102106" customFormat="1" x14ac:dyDescent="0.25"/>
    <row r="102107" customFormat="1" x14ac:dyDescent="0.25"/>
    <row r="102108" customFormat="1" x14ac:dyDescent="0.25"/>
    <row r="102109" customFormat="1" x14ac:dyDescent="0.25"/>
    <row r="102110" customFormat="1" x14ac:dyDescent="0.25"/>
    <row r="102111" customFormat="1" x14ac:dyDescent="0.25"/>
    <row r="102112" customFormat="1" x14ac:dyDescent="0.25"/>
    <row r="102113" customFormat="1" x14ac:dyDescent="0.25"/>
    <row r="102114" customFormat="1" x14ac:dyDescent="0.25"/>
    <row r="102115" customFormat="1" x14ac:dyDescent="0.25"/>
    <row r="102116" customFormat="1" x14ac:dyDescent="0.25"/>
    <row r="102117" customFormat="1" x14ac:dyDescent="0.25"/>
    <row r="102118" customFormat="1" x14ac:dyDescent="0.25"/>
    <row r="102119" customFormat="1" x14ac:dyDescent="0.25"/>
    <row r="102120" customFormat="1" x14ac:dyDescent="0.25"/>
    <row r="102121" customFormat="1" x14ac:dyDescent="0.25"/>
    <row r="102122" customFormat="1" x14ac:dyDescent="0.25"/>
    <row r="102123" customFormat="1" x14ac:dyDescent="0.25"/>
    <row r="102124" customFormat="1" x14ac:dyDescent="0.25"/>
    <row r="102125" customFormat="1" x14ac:dyDescent="0.25"/>
    <row r="102126" customFormat="1" x14ac:dyDescent="0.25"/>
    <row r="102127" customFormat="1" x14ac:dyDescent="0.25"/>
    <row r="102128" customFormat="1" x14ac:dyDescent="0.25"/>
    <row r="102129" customFormat="1" x14ac:dyDescent="0.25"/>
    <row r="102130" customFormat="1" x14ac:dyDescent="0.25"/>
    <row r="102131" customFormat="1" x14ac:dyDescent="0.25"/>
    <row r="102132" customFormat="1" x14ac:dyDescent="0.25"/>
    <row r="102133" customFormat="1" x14ac:dyDescent="0.25"/>
    <row r="102134" customFormat="1" x14ac:dyDescent="0.25"/>
    <row r="102135" customFormat="1" x14ac:dyDescent="0.25"/>
    <row r="102136" customFormat="1" x14ac:dyDescent="0.25"/>
    <row r="102137" customFormat="1" x14ac:dyDescent="0.25"/>
    <row r="102138" customFormat="1" x14ac:dyDescent="0.25"/>
    <row r="102139" customFormat="1" x14ac:dyDescent="0.25"/>
    <row r="102140" customFormat="1" x14ac:dyDescent="0.25"/>
    <row r="102141" customFormat="1" x14ac:dyDescent="0.25"/>
    <row r="102142" customFormat="1" x14ac:dyDescent="0.25"/>
    <row r="102143" customFormat="1" x14ac:dyDescent="0.25"/>
    <row r="102144" customFormat="1" x14ac:dyDescent="0.25"/>
    <row r="102145" customFormat="1" x14ac:dyDescent="0.25"/>
    <row r="102146" customFormat="1" x14ac:dyDescent="0.25"/>
    <row r="102147" customFormat="1" x14ac:dyDescent="0.25"/>
    <row r="102148" customFormat="1" x14ac:dyDescent="0.25"/>
    <row r="102149" customFormat="1" x14ac:dyDescent="0.25"/>
    <row r="102150" customFormat="1" x14ac:dyDescent="0.25"/>
    <row r="102151" customFormat="1" x14ac:dyDescent="0.25"/>
    <row r="102152" customFormat="1" x14ac:dyDescent="0.25"/>
    <row r="102153" customFormat="1" x14ac:dyDescent="0.25"/>
    <row r="102154" customFormat="1" x14ac:dyDescent="0.25"/>
    <row r="102155" customFormat="1" x14ac:dyDescent="0.25"/>
    <row r="102156" customFormat="1" x14ac:dyDescent="0.25"/>
    <row r="102157" customFormat="1" x14ac:dyDescent="0.25"/>
    <row r="102158" customFormat="1" x14ac:dyDescent="0.25"/>
    <row r="102159" customFormat="1" x14ac:dyDescent="0.25"/>
    <row r="102160" customFormat="1" x14ac:dyDescent="0.25"/>
    <row r="102161" customFormat="1" x14ac:dyDescent="0.25"/>
    <row r="102162" customFormat="1" x14ac:dyDescent="0.25"/>
    <row r="102163" customFormat="1" x14ac:dyDescent="0.25"/>
    <row r="102164" customFormat="1" x14ac:dyDescent="0.25"/>
    <row r="102165" customFormat="1" x14ac:dyDescent="0.25"/>
    <row r="102166" customFormat="1" x14ac:dyDescent="0.25"/>
    <row r="102167" customFormat="1" x14ac:dyDescent="0.25"/>
    <row r="102168" customFormat="1" x14ac:dyDescent="0.25"/>
    <row r="102169" customFormat="1" x14ac:dyDescent="0.25"/>
    <row r="102170" customFormat="1" x14ac:dyDescent="0.25"/>
    <row r="102171" customFormat="1" x14ac:dyDescent="0.25"/>
    <row r="102172" customFormat="1" x14ac:dyDescent="0.25"/>
    <row r="102173" customFormat="1" x14ac:dyDescent="0.25"/>
    <row r="102174" customFormat="1" x14ac:dyDescent="0.25"/>
    <row r="102175" customFormat="1" x14ac:dyDescent="0.25"/>
    <row r="102176" customFormat="1" x14ac:dyDescent="0.25"/>
    <row r="102177" customFormat="1" x14ac:dyDescent="0.25"/>
    <row r="102178" customFormat="1" x14ac:dyDescent="0.25"/>
    <row r="102179" customFormat="1" x14ac:dyDescent="0.25"/>
    <row r="102180" customFormat="1" x14ac:dyDescent="0.25"/>
    <row r="102181" customFormat="1" x14ac:dyDescent="0.25"/>
    <row r="102182" customFormat="1" x14ac:dyDescent="0.25"/>
    <row r="102183" customFormat="1" x14ac:dyDescent="0.25"/>
    <row r="102184" customFormat="1" x14ac:dyDescent="0.25"/>
    <row r="102185" customFormat="1" x14ac:dyDescent="0.25"/>
    <row r="102186" customFormat="1" x14ac:dyDescent="0.25"/>
    <row r="102187" customFormat="1" x14ac:dyDescent="0.25"/>
    <row r="102188" customFormat="1" x14ac:dyDescent="0.25"/>
    <row r="102189" customFormat="1" x14ac:dyDescent="0.25"/>
    <row r="102190" customFormat="1" x14ac:dyDescent="0.25"/>
    <row r="102191" customFormat="1" x14ac:dyDescent="0.25"/>
    <row r="102192" customFormat="1" x14ac:dyDescent="0.25"/>
    <row r="102193" customFormat="1" x14ac:dyDescent="0.25"/>
    <row r="102194" customFormat="1" x14ac:dyDescent="0.25"/>
    <row r="102195" customFormat="1" x14ac:dyDescent="0.25"/>
    <row r="102196" customFormat="1" x14ac:dyDescent="0.25"/>
    <row r="102197" customFormat="1" x14ac:dyDescent="0.25"/>
    <row r="102198" customFormat="1" x14ac:dyDescent="0.25"/>
    <row r="102199" customFormat="1" x14ac:dyDescent="0.25"/>
    <row r="102200" customFormat="1" x14ac:dyDescent="0.25"/>
    <row r="102201" customFormat="1" x14ac:dyDescent="0.25"/>
    <row r="102202" customFormat="1" x14ac:dyDescent="0.25"/>
    <row r="102203" customFormat="1" x14ac:dyDescent="0.25"/>
    <row r="102204" customFormat="1" x14ac:dyDescent="0.25"/>
    <row r="102205" customFormat="1" x14ac:dyDescent="0.25"/>
    <row r="102206" customFormat="1" x14ac:dyDescent="0.25"/>
    <row r="102207" customFormat="1" x14ac:dyDescent="0.25"/>
    <row r="102208" customFormat="1" x14ac:dyDescent="0.25"/>
    <row r="102209" customFormat="1" x14ac:dyDescent="0.25"/>
    <row r="102210" customFormat="1" x14ac:dyDescent="0.25"/>
    <row r="102211" customFormat="1" x14ac:dyDescent="0.25"/>
    <row r="102212" customFormat="1" x14ac:dyDescent="0.25"/>
    <row r="102213" customFormat="1" x14ac:dyDescent="0.25"/>
    <row r="102214" customFormat="1" x14ac:dyDescent="0.25"/>
    <row r="102215" customFormat="1" x14ac:dyDescent="0.25"/>
    <row r="102216" customFormat="1" x14ac:dyDescent="0.25"/>
    <row r="102217" customFormat="1" x14ac:dyDescent="0.25"/>
    <row r="102218" customFormat="1" x14ac:dyDescent="0.25"/>
    <row r="102219" customFormat="1" x14ac:dyDescent="0.25"/>
    <row r="102220" customFormat="1" x14ac:dyDescent="0.25"/>
    <row r="102221" customFormat="1" x14ac:dyDescent="0.25"/>
    <row r="102222" customFormat="1" x14ac:dyDescent="0.25"/>
    <row r="102223" customFormat="1" x14ac:dyDescent="0.25"/>
    <row r="102224" customFormat="1" x14ac:dyDescent="0.25"/>
    <row r="102225" customFormat="1" x14ac:dyDescent="0.25"/>
    <row r="102226" customFormat="1" x14ac:dyDescent="0.25"/>
    <row r="102227" customFormat="1" x14ac:dyDescent="0.25"/>
    <row r="102228" customFormat="1" x14ac:dyDescent="0.25"/>
    <row r="102229" customFormat="1" x14ac:dyDescent="0.25"/>
    <row r="102230" customFormat="1" x14ac:dyDescent="0.25"/>
    <row r="102231" customFormat="1" x14ac:dyDescent="0.25"/>
    <row r="102232" customFormat="1" x14ac:dyDescent="0.25"/>
    <row r="102233" customFormat="1" x14ac:dyDescent="0.25"/>
    <row r="102234" customFormat="1" x14ac:dyDescent="0.25"/>
    <row r="102235" customFormat="1" x14ac:dyDescent="0.25"/>
    <row r="102236" customFormat="1" x14ac:dyDescent="0.25"/>
    <row r="102237" customFormat="1" x14ac:dyDescent="0.25"/>
    <row r="102238" customFormat="1" x14ac:dyDescent="0.25"/>
    <row r="102239" customFormat="1" x14ac:dyDescent="0.25"/>
    <row r="102240" customFormat="1" x14ac:dyDescent="0.25"/>
    <row r="102241" customFormat="1" x14ac:dyDescent="0.25"/>
    <row r="102242" customFormat="1" x14ac:dyDescent="0.25"/>
    <row r="102243" customFormat="1" x14ac:dyDescent="0.25"/>
    <row r="102244" customFormat="1" x14ac:dyDescent="0.25"/>
    <row r="102245" customFormat="1" x14ac:dyDescent="0.25"/>
    <row r="102246" customFormat="1" x14ac:dyDescent="0.25"/>
    <row r="102247" customFormat="1" x14ac:dyDescent="0.25"/>
    <row r="102248" customFormat="1" x14ac:dyDescent="0.25"/>
    <row r="102249" customFormat="1" x14ac:dyDescent="0.25"/>
    <row r="102250" customFormat="1" x14ac:dyDescent="0.25"/>
    <row r="102251" customFormat="1" x14ac:dyDescent="0.25"/>
    <row r="102252" customFormat="1" x14ac:dyDescent="0.25"/>
    <row r="102253" customFormat="1" x14ac:dyDescent="0.25"/>
    <row r="102254" customFormat="1" x14ac:dyDescent="0.25"/>
    <row r="102255" customFormat="1" x14ac:dyDescent="0.25"/>
    <row r="102256" customFormat="1" x14ac:dyDescent="0.25"/>
    <row r="102257" customFormat="1" x14ac:dyDescent="0.25"/>
    <row r="102258" customFormat="1" x14ac:dyDescent="0.25"/>
    <row r="102259" customFormat="1" x14ac:dyDescent="0.25"/>
    <row r="102260" customFormat="1" x14ac:dyDescent="0.25"/>
    <row r="102261" customFormat="1" x14ac:dyDescent="0.25"/>
    <row r="102262" customFormat="1" x14ac:dyDescent="0.25"/>
    <row r="102263" customFormat="1" x14ac:dyDescent="0.25"/>
    <row r="102264" customFormat="1" x14ac:dyDescent="0.25"/>
    <row r="102265" customFormat="1" x14ac:dyDescent="0.25"/>
    <row r="102266" customFormat="1" x14ac:dyDescent="0.25"/>
    <row r="102267" customFormat="1" x14ac:dyDescent="0.25"/>
    <row r="102268" customFormat="1" x14ac:dyDescent="0.25"/>
    <row r="102269" customFormat="1" x14ac:dyDescent="0.25"/>
    <row r="102270" customFormat="1" x14ac:dyDescent="0.25"/>
    <row r="102271" customFormat="1" x14ac:dyDescent="0.25"/>
    <row r="102272" customFormat="1" x14ac:dyDescent="0.25"/>
    <row r="102273" customFormat="1" x14ac:dyDescent="0.25"/>
    <row r="102274" customFormat="1" x14ac:dyDescent="0.25"/>
    <row r="102275" customFormat="1" x14ac:dyDescent="0.25"/>
    <row r="102276" customFormat="1" x14ac:dyDescent="0.25"/>
    <row r="102277" customFormat="1" x14ac:dyDescent="0.25"/>
    <row r="102278" customFormat="1" x14ac:dyDescent="0.25"/>
    <row r="102279" customFormat="1" x14ac:dyDescent="0.25"/>
    <row r="102280" customFormat="1" x14ac:dyDescent="0.25"/>
    <row r="102281" customFormat="1" x14ac:dyDescent="0.25"/>
    <row r="102282" customFormat="1" x14ac:dyDescent="0.25"/>
    <row r="102283" customFormat="1" x14ac:dyDescent="0.25"/>
    <row r="102284" customFormat="1" x14ac:dyDescent="0.25"/>
    <row r="102285" customFormat="1" x14ac:dyDescent="0.25"/>
    <row r="102286" customFormat="1" x14ac:dyDescent="0.25"/>
    <row r="102287" customFormat="1" x14ac:dyDescent="0.25"/>
    <row r="102288" customFormat="1" x14ac:dyDescent="0.25"/>
    <row r="102289" customFormat="1" x14ac:dyDescent="0.25"/>
    <row r="102290" customFormat="1" x14ac:dyDescent="0.25"/>
    <row r="102291" customFormat="1" x14ac:dyDescent="0.25"/>
    <row r="102292" customFormat="1" x14ac:dyDescent="0.25"/>
    <row r="102293" customFormat="1" x14ac:dyDescent="0.25"/>
    <row r="102294" customFormat="1" x14ac:dyDescent="0.25"/>
    <row r="102295" customFormat="1" x14ac:dyDescent="0.25"/>
    <row r="102296" customFormat="1" x14ac:dyDescent="0.25"/>
    <row r="102297" customFormat="1" x14ac:dyDescent="0.25"/>
    <row r="102298" customFormat="1" x14ac:dyDescent="0.25"/>
    <row r="102299" customFormat="1" x14ac:dyDescent="0.25"/>
    <row r="102300" customFormat="1" x14ac:dyDescent="0.25"/>
    <row r="102301" customFormat="1" x14ac:dyDescent="0.25"/>
    <row r="102302" customFormat="1" x14ac:dyDescent="0.25"/>
    <row r="102303" customFormat="1" x14ac:dyDescent="0.25"/>
    <row r="102304" customFormat="1" x14ac:dyDescent="0.25"/>
    <row r="102305" customFormat="1" x14ac:dyDescent="0.25"/>
    <row r="102306" customFormat="1" x14ac:dyDescent="0.25"/>
    <row r="102307" customFormat="1" x14ac:dyDescent="0.25"/>
    <row r="102308" customFormat="1" x14ac:dyDescent="0.25"/>
    <row r="102309" customFormat="1" x14ac:dyDescent="0.25"/>
    <row r="102310" customFormat="1" x14ac:dyDescent="0.25"/>
    <row r="102311" customFormat="1" x14ac:dyDescent="0.25"/>
    <row r="102312" customFormat="1" x14ac:dyDescent="0.25"/>
    <row r="102313" customFormat="1" x14ac:dyDescent="0.25"/>
    <row r="102314" customFormat="1" x14ac:dyDescent="0.25"/>
    <row r="102315" customFormat="1" x14ac:dyDescent="0.25"/>
    <row r="102316" customFormat="1" x14ac:dyDescent="0.25"/>
    <row r="102317" customFormat="1" x14ac:dyDescent="0.25"/>
    <row r="102318" customFormat="1" x14ac:dyDescent="0.25"/>
    <row r="102319" customFormat="1" x14ac:dyDescent="0.25"/>
    <row r="102320" customFormat="1" x14ac:dyDescent="0.25"/>
    <row r="102321" customFormat="1" x14ac:dyDescent="0.25"/>
    <row r="102322" customFormat="1" x14ac:dyDescent="0.25"/>
    <row r="102323" customFormat="1" x14ac:dyDescent="0.25"/>
    <row r="102324" customFormat="1" x14ac:dyDescent="0.25"/>
    <row r="102325" customFormat="1" x14ac:dyDescent="0.25"/>
    <row r="102326" customFormat="1" x14ac:dyDescent="0.25"/>
    <row r="102327" customFormat="1" x14ac:dyDescent="0.25"/>
    <row r="102328" customFormat="1" x14ac:dyDescent="0.25"/>
    <row r="102329" customFormat="1" x14ac:dyDescent="0.25"/>
    <row r="102330" customFormat="1" x14ac:dyDescent="0.25"/>
    <row r="102331" customFormat="1" x14ac:dyDescent="0.25"/>
    <row r="102332" customFormat="1" x14ac:dyDescent="0.25"/>
    <row r="102333" customFormat="1" x14ac:dyDescent="0.25"/>
    <row r="102334" customFormat="1" x14ac:dyDescent="0.25"/>
    <row r="102335" customFormat="1" x14ac:dyDescent="0.25"/>
    <row r="102336" customFormat="1" x14ac:dyDescent="0.25"/>
    <row r="102337" customFormat="1" x14ac:dyDescent="0.25"/>
    <row r="102338" customFormat="1" x14ac:dyDescent="0.25"/>
    <row r="102339" customFormat="1" x14ac:dyDescent="0.25"/>
    <row r="102340" customFormat="1" x14ac:dyDescent="0.25"/>
    <row r="102341" customFormat="1" x14ac:dyDescent="0.25"/>
    <row r="102342" customFormat="1" x14ac:dyDescent="0.25"/>
    <row r="102343" customFormat="1" x14ac:dyDescent="0.25"/>
    <row r="102344" customFormat="1" x14ac:dyDescent="0.25"/>
    <row r="102345" customFormat="1" x14ac:dyDescent="0.25"/>
    <row r="102346" customFormat="1" x14ac:dyDescent="0.25"/>
    <row r="102347" customFormat="1" x14ac:dyDescent="0.25"/>
    <row r="102348" customFormat="1" x14ac:dyDescent="0.25"/>
    <row r="102349" customFormat="1" x14ac:dyDescent="0.25"/>
    <row r="102350" customFormat="1" x14ac:dyDescent="0.25"/>
    <row r="102351" customFormat="1" x14ac:dyDescent="0.25"/>
    <row r="102352" customFormat="1" x14ac:dyDescent="0.25"/>
    <row r="102353" customFormat="1" x14ac:dyDescent="0.25"/>
    <row r="102354" customFormat="1" x14ac:dyDescent="0.25"/>
    <row r="102355" customFormat="1" x14ac:dyDescent="0.25"/>
    <row r="102356" customFormat="1" x14ac:dyDescent="0.25"/>
    <row r="102357" customFormat="1" x14ac:dyDescent="0.25"/>
    <row r="102358" customFormat="1" x14ac:dyDescent="0.25"/>
    <row r="102359" customFormat="1" x14ac:dyDescent="0.25"/>
    <row r="102360" customFormat="1" x14ac:dyDescent="0.25"/>
    <row r="102361" customFormat="1" x14ac:dyDescent="0.25"/>
    <row r="102362" customFormat="1" x14ac:dyDescent="0.25"/>
    <row r="102363" customFormat="1" x14ac:dyDescent="0.25"/>
    <row r="102364" customFormat="1" x14ac:dyDescent="0.25"/>
    <row r="102365" customFormat="1" x14ac:dyDescent="0.25"/>
    <row r="102366" customFormat="1" x14ac:dyDescent="0.25"/>
    <row r="102367" customFormat="1" x14ac:dyDescent="0.25"/>
    <row r="102368" customFormat="1" x14ac:dyDescent="0.25"/>
    <row r="102369" customFormat="1" x14ac:dyDescent="0.25"/>
    <row r="102370" customFormat="1" x14ac:dyDescent="0.25"/>
    <row r="102371" customFormat="1" x14ac:dyDescent="0.25"/>
    <row r="102372" customFormat="1" x14ac:dyDescent="0.25"/>
    <row r="102373" customFormat="1" x14ac:dyDescent="0.25"/>
    <row r="102374" customFormat="1" x14ac:dyDescent="0.25"/>
    <row r="102375" customFormat="1" x14ac:dyDescent="0.25"/>
    <row r="102376" customFormat="1" x14ac:dyDescent="0.25"/>
    <row r="102377" customFormat="1" x14ac:dyDescent="0.25"/>
    <row r="102378" customFormat="1" x14ac:dyDescent="0.25"/>
    <row r="102379" customFormat="1" x14ac:dyDescent="0.25"/>
    <row r="102380" customFormat="1" x14ac:dyDescent="0.25"/>
    <row r="102381" customFormat="1" x14ac:dyDescent="0.25"/>
    <row r="102382" customFormat="1" x14ac:dyDescent="0.25"/>
    <row r="102383" customFormat="1" x14ac:dyDescent="0.25"/>
    <row r="102384" customFormat="1" x14ac:dyDescent="0.25"/>
    <row r="102385" customFormat="1" x14ac:dyDescent="0.25"/>
    <row r="102386" customFormat="1" x14ac:dyDescent="0.25"/>
    <row r="102387" customFormat="1" x14ac:dyDescent="0.25"/>
    <row r="102388" customFormat="1" x14ac:dyDescent="0.25"/>
    <row r="102389" customFormat="1" x14ac:dyDescent="0.25"/>
    <row r="102390" customFormat="1" x14ac:dyDescent="0.25"/>
    <row r="102391" customFormat="1" x14ac:dyDescent="0.25"/>
    <row r="102392" customFormat="1" x14ac:dyDescent="0.25"/>
    <row r="102393" customFormat="1" x14ac:dyDescent="0.25"/>
    <row r="102394" customFormat="1" x14ac:dyDescent="0.25"/>
    <row r="102395" customFormat="1" x14ac:dyDescent="0.25"/>
    <row r="102396" customFormat="1" x14ac:dyDescent="0.25"/>
    <row r="102397" customFormat="1" x14ac:dyDescent="0.25"/>
    <row r="102398" customFormat="1" x14ac:dyDescent="0.25"/>
    <row r="102399" customFormat="1" x14ac:dyDescent="0.25"/>
    <row r="102400" customFormat="1" x14ac:dyDescent="0.25"/>
    <row r="102401" customFormat="1" x14ac:dyDescent="0.25"/>
    <row r="102402" customFormat="1" x14ac:dyDescent="0.25"/>
    <row r="102403" customFormat="1" x14ac:dyDescent="0.25"/>
    <row r="102404" customFormat="1" x14ac:dyDescent="0.25"/>
    <row r="102405" customFormat="1" x14ac:dyDescent="0.25"/>
    <row r="102406" customFormat="1" x14ac:dyDescent="0.25"/>
    <row r="102407" customFormat="1" x14ac:dyDescent="0.25"/>
    <row r="102408" customFormat="1" x14ac:dyDescent="0.25"/>
    <row r="102409" customFormat="1" x14ac:dyDescent="0.25"/>
    <row r="102410" customFormat="1" x14ac:dyDescent="0.25"/>
    <row r="102411" customFormat="1" x14ac:dyDescent="0.25"/>
    <row r="102412" customFormat="1" x14ac:dyDescent="0.25"/>
    <row r="102413" customFormat="1" x14ac:dyDescent="0.25"/>
    <row r="102414" customFormat="1" x14ac:dyDescent="0.25"/>
    <row r="102415" customFormat="1" x14ac:dyDescent="0.25"/>
    <row r="102416" customFormat="1" x14ac:dyDescent="0.25"/>
    <row r="102417" customFormat="1" x14ac:dyDescent="0.25"/>
    <row r="102418" customFormat="1" x14ac:dyDescent="0.25"/>
    <row r="102419" customFormat="1" x14ac:dyDescent="0.25"/>
    <row r="102420" customFormat="1" x14ac:dyDescent="0.25"/>
    <row r="102421" customFormat="1" x14ac:dyDescent="0.25"/>
    <row r="102422" customFormat="1" x14ac:dyDescent="0.25"/>
    <row r="102423" customFormat="1" x14ac:dyDescent="0.25"/>
    <row r="102424" customFormat="1" x14ac:dyDescent="0.25"/>
    <row r="102425" customFormat="1" x14ac:dyDescent="0.25"/>
    <row r="102426" customFormat="1" x14ac:dyDescent="0.25"/>
    <row r="102427" customFormat="1" x14ac:dyDescent="0.25"/>
    <row r="102428" customFormat="1" x14ac:dyDescent="0.25"/>
    <row r="102429" customFormat="1" x14ac:dyDescent="0.25"/>
    <row r="102430" customFormat="1" x14ac:dyDescent="0.25"/>
    <row r="102431" customFormat="1" x14ac:dyDescent="0.25"/>
    <row r="102432" customFormat="1" x14ac:dyDescent="0.25"/>
    <row r="102433" customFormat="1" x14ac:dyDescent="0.25"/>
    <row r="102434" customFormat="1" x14ac:dyDescent="0.25"/>
    <row r="102435" customFormat="1" x14ac:dyDescent="0.25"/>
    <row r="102436" customFormat="1" x14ac:dyDescent="0.25"/>
    <row r="102437" customFormat="1" x14ac:dyDescent="0.25"/>
    <row r="102438" customFormat="1" x14ac:dyDescent="0.25"/>
    <row r="102439" customFormat="1" x14ac:dyDescent="0.25"/>
    <row r="102440" customFormat="1" x14ac:dyDescent="0.25"/>
    <row r="102441" customFormat="1" x14ac:dyDescent="0.25"/>
    <row r="102442" customFormat="1" x14ac:dyDescent="0.25"/>
    <row r="102443" customFormat="1" x14ac:dyDescent="0.25"/>
    <row r="102444" customFormat="1" x14ac:dyDescent="0.25"/>
    <row r="102445" customFormat="1" x14ac:dyDescent="0.25"/>
    <row r="102446" customFormat="1" x14ac:dyDescent="0.25"/>
    <row r="102447" customFormat="1" x14ac:dyDescent="0.25"/>
    <row r="102448" customFormat="1" x14ac:dyDescent="0.25"/>
    <row r="102449" customFormat="1" x14ac:dyDescent="0.25"/>
    <row r="102450" customFormat="1" x14ac:dyDescent="0.25"/>
    <row r="102451" customFormat="1" x14ac:dyDescent="0.25"/>
    <row r="102452" customFormat="1" x14ac:dyDescent="0.25"/>
    <row r="102453" customFormat="1" x14ac:dyDescent="0.25"/>
    <row r="102454" customFormat="1" x14ac:dyDescent="0.25"/>
    <row r="102455" customFormat="1" x14ac:dyDescent="0.25"/>
    <row r="102456" customFormat="1" x14ac:dyDescent="0.25"/>
    <row r="102457" customFormat="1" x14ac:dyDescent="0.25"/>
    <row r="102458" customFormat="1" x14ac:dyDescent="0.25"/>
    <row r="102459" customFormat="1" x14ac:dyDescent="0.25"/>
    <row r="102460" customFormat="1" x14ac:dyDescent="0.25"/>
    <row r="102461" customFormat="1" x14ac:dyDescent="0.25"/>
    <row r="102462" customFormat="1" x14ac:dyDescent="0.25"/>
    <row r="102463" customFormat="1" x14ac:dyDescent="0.25"/>
    <row r="102464" customFormat="1" x14ac:dyDescent="0.25"/>
    <row r="102465" customFormat="1" x14ac:dyDescent="0.25"/>
    <row r="102466" customFormat="1" x14ac:dyDescent="0.25"/>
    <row r="102467" customFormat="1" x14ac:dyDescent="0.25"/>
    <row r="102468" customFormat="1" x14ac:dyDescent="0.25"/>
    <row r="102469" customFormat="1" x14ac:dyDescent="0.25"/>
    <row r="102470" customFormat="1" x14ac:dyDescent="0.25"/>
    <row r="102471" customFormat="1" x14ac:dyDescent="0.25"/>
    <row r="102472" customFormat="1" x14ac:dyDescent="0.25"/>
    <row r="102473" customFormat="1" x14ac:dyDescent="0.25"/>
    <row r="102474" customFormat="1" x14ac:dyDescent="0.25"/>
    <row r="102475" customFormat="1" x14ac:dyDescent="0.25"/>
    <row r="102476" customFormat="1" x14ac:dyDescent="0.25"/>
    <row r="102477" customFormat="1" x14ac:dyDescent="0.25"/>
    <row r="102478" customFormat="1" x14ac:dyDescent="0.25"/>
    <row r="102479" customFormat="1" x14ac:dyDescent="0.25"/>
    <row r="102480" customFormat="1" x14ac:dyDescent="0.25"/>
    <row r="102481" customFormat="1" x14ac:dyDescent="0.25"/>
    <row r="102482" customFormat="1" x14ac:dyDescent="0.25"/>
    <row r="102483" customFormat="1" x14ac:dyDescent="0.25"/>
    <row r="102484" customFormat="1" x14ac:dyDescent="0.25"/>
    <row r="102485" customFormat="1" x14ac:dyDescent="0.25"/>
    <row r="102486" customFormat="1" x14ac:dyDescent="0.25"/>
    <row r="102487" customFormat="1" x14ac:dyDescent="0.25"/>
    <row r="102488" customFormat="1" x14ac:dyDescent="0.25"/>
    <row r="102489" customFormat="1" x14ac:dyDescent="0.25"/>
    <row r="102490" customFormat="1" x14ac:dyDescent="0.25"/>
    <row r="102491" customFormat="1" x14ac:dyDescent="0.25"/>
    <row r="102492" customFormat="1" x14ac:dyDescent="0.25"/>
    <row r="102493" customFormat="1" x14ac:dyDescent="0.25"/>
    <row r="102494" customFormat="1" x14ac:dyDescent="0.25"/>
    <row r="102495" customFormat="1" x14ac:dyDescent="0.25"/>
    <row r="102496" customFormat="1" x14ac:dyDescent="0.25"/>
    <row r="102497" customFormat="1" x14ac:dyDescent="0.25"/>
    <row r="102498" customFormat="1" x14ac:dyDescent="0.25"/>
    <row r="102499" customFormat="1" x14ac:dyDescent="0.25"/>
    <row r="102500" customFormat="1" x14ac:dyDescent="0.25"/>
    <row r="102501" customFormat="1" x14ac:dyDescent="0.25"/>
    <row r="102502" customFormat="1" x14ac:dyDescent="0.25"/>
    <row r="102503" customFormat="1" x14ac:dyDescent="0.25"/>
    <row r="102504" customFormat="1" x14ac:dyDescent="0.25"/>
    <row r="102505" customFormat="1" x14ac:dyDescent="0.25"/>
    <row r="102506" customFormat="1" x14ac:dyDescent="0.25"/>
    <row r="102507" customFormat="1" x14ac:dyDescent="0.25"/>
    <row r="102508" customFormat="1" x14ac:dyDescent="0.25"/>
    <row r="102509" customFormat="1" x14ac:dyDescent="0.25"/>
    <row r="102510" customFormat="1" x14ac:dyDescent="0.25"/>
    <row r="102511" customFormat="1" x14ac:dyDescent="0.25"/>
    <row r="102512" customFormat="1" x14ac:dyDescent="0.25"/>
    <row r="102513" customFormat="1" x14ac:dyDescent="0.25"/>
    <row r="102514" customFormat="1" x14ac:dyDescent="0.25"/>
    <row r="102515" customFormat="1" x14ac:dyDescent="0.25"/>
    <row r="102516" customFormat="1" x14ac:dyDescent="0.25"/>
    <row r="102517" customFormat="1" x14ac:dyDescent="0.25"/>
    <row r="102518" customFormat="1" x14ac:dyDescent="0.25"/>
    <row r="102519" customFormat="1" x14ac:dyDescent="0.25"/>
    <row r="102520" customFormat="1" x14ac:dyDescent="0.25"/>
    <row r="102521" customFormat="1" x14ac:dyDescent="0.25"/>
    <row r="102522" customFormat="1" x14ac:dyDescent="0.25"/>
    <row r="102523" customFormat="1" x14ac:dyDescent="0.25"/>
    <row r="102524" customFormat="1" x14ac:dyDescent="0.25"/>
    <row r="102525" customFormat="1" x14ac:dyDescent="0.25"/>
    <row r="102526" customFormat="1" x14ac:dyDescent="0.25"/>
    <row r="102527" customFormat="1" x14ac:dyDescent="0.25"/>
    <row r="102528" customFormat="1" x14ac:dyDescent="0.25"/>
    <row r="102529" customFormat="1" x14ac:dyDescent="0.25"/>
    <row r="102530" customFormat="1" x14ac:dyDescent="0.25"/>
    <row r="102531" customFormat="1" x14ac:dyDescent="0.25"/>
    <row r="102532" customFormat="1" x14ac:dyDescent="0.25"/>
    <row r="102533" customFormat="1" x14ac:dyDescent="0.25"/>
    <row r="102534" customFormat="1" x14ac:dyDescent="0.25"/>
    <row r="102535" customFormat="1" x14ac:dyDescent="0.25"/>
    <row r="102536" customFormat="1" x14ac:dyDescent="0.25"/>
    <row r="102537" customFormat="1" x14ac:dyDescent="0.25"/>
    <row r="102538" customFormat="1" x14ac:dyDescent="0.25"/>
    <row r="102539" customFormat="1" x14ac:dyDescent="0.25"/>
    <row r="102540" customFormat="1" x14ac:dyDescent="0.25"/>
    <row r="102541" customFormat="1" x14ac:dyDescent="0.25"/>
    <row r="102542" customFormat="1" x14ac:dyDescent="0.25"/>
    <row r="102543" customFormat="1" x14ac:dyDescent="0.25"/>
    <row r="102544" customFormat="1" x14ac:dyDescent="0.25"/>
    <row r="102545" customFormat="1" x14ac:dyDescent="0.25"/>
    <row r="102546" customFormat="1" x14ac:dyDescent="0.25"/>
    <row r="102547" customFormat="1" x14ac:dyDescent="0.25"/>
    <row r="102548" customFormat="1" x14ac:dyDescent="0.25"/>
    <row r="102549" customFormat="1" x14ac:dyDescent="0.25"/>
    <row r="102550" customFormat="1" x14ac:dyDescent="0.25"/>
    <row r="102551" customFormat="1" x14ac:dyDescent="0.25"/>
    <row r="102552" customFormat="1" x14ac:dyDescent="0.25"/>
    <row r="102553" customFormat="1" x14ac:dyDescent="0.25"/>
    <row r="102554" customFormat="1" x14ac:dyDescent="0.25"/>
    <row r="102555" customFormat="1" x14ac:dyDescent="0.25"/>
    <row r="102556" customFormat="1" x14ac:dyDescent="0.25"/>
    <row r="102557" customFormat="1" x14ac:dyDescent="0.25"/>
    <row r="102558" customFormat="1" x14ac:dyDescent="0.25"/>
    <row r="102559" customFormat="1" x14ac:dyDescent="0.25"/>
    <row r="102560" customFormat="1" x14ac:dyDescent="0.25"/>
    <row r="102561" customFormat="1" x14ac:dyDescent="0.25"/>
    <row r="102562" customFormat="1" x14ac:dyDescent="0.25"/>
    <row r="102563" customFormat="1" x14ac:dyDescent="0.25"/>
    <row r="102564" customFormat="1" x14ac:dyDescent="0.25"/>
    <row r="102565" customFormat="1" x14ac:dyDescent="0.25"/>
    <row r="102566" customFormat="1" x14ac:dyDescent="0.25"/>
    <row r="102567" customFormat="1" x14ac:dyDescent="0.25"/>
    <row r="102568" customFormat="1" x14ac:dyDescent="0.25"/>
    <row r="102569" customFormat="1" x14ac:dyDescent="0.25"/>
    <row r="102570" customFormat="1" x14ac:dyDescent="0.25"/>
    <row r="102571" customFormat="1" x14ac:dyDescent="0.25"/>
    <row r="102572" customFormat="1" x14ac:dyDescent="0.25"/>
    <row r="102573" customFormat="1" x14ac:dyDescent="0.25"/>
    <row r="102574" customFormat="1" x14ac:dyDescent="0.25"/>
    <row r="102575" customFormat="1" x14ac:dyDescent="0.25"/>
    <row r="102576" customFormat="1" x14ac:dyDescent="0.25"/>
    <row r="102577" customFormat="1" x14ac:dyDescent="0.25"/>
    <row r="102578" customFormat="1" x14ac:dyDescent="0.25"/>
    <row r="102579" customFormat="1" x14ac:dyDescent="0.25"/>
    <row r="102580" customFormat="1" x14ac:dyDescent="0.25"/>
    <row r="102581" customFormat="1" x14ac:dyDescent="0.25"/>
    <row r="102582" customFormat="1" x14ac:dyDescent="0.25"/>
    <row r="102583" customFormat="1" x14ac:dyDescent="0.25"/>
    <row r="102584" customFormat="1" x14ac:dyDescent="0.25"/>
    <row r="102585" customFormat="1" x14ac:dyDescent="0.25"/>
    <row r="102586" customFormat="1" x14ac:dyDescent="0.25"/>
    <row r="102587" customFormat="1" x14ac:dyDescent="0.25"/>
    <row r="102588" customFormat="1" x14ac:dyDescent="0.25"/>
    <row r="102589" customFormat="1" x14ac:dyDescent="0.25"/>
    <row r="102590" customFormat="1" x14ac:dyDescent="0.25"/>
    <row r="102591" customFormat="1" x14ac:dyDescent="0.25"/>
    <row r="102592" customFormat="1" x14ac:dyDescent="0.25"/>
    <row r="102593" customFormat="1" x14ac:dyDescent="0.25"/>
    <row r="102594" customFormat="1" x14ac:dyDescent="0.25"/>
    <row r="102595" customFormat="1" x14ac:dyDescent="0.25"/>
    <row r="102596" customFormat="1" x14ac:dyDescent="0.25"/>
    <row r="102597" customFormat="1" x14ac:dyDescent="0.25"/>
    <row r="102598" customFormat="1" x14ac:dyDescent="0.25"/>
    <row r="102599" customFormat="1" x14ac:dyDescent="0.25"/>
    <row r="102600" customFormat="1" x14ac:dyDescent="0.25"/>
    <row r="102601" customFormat="1" x14ac:dyDescent="0.25"/>
    <row r="102602" customFormat="1" x14ac:dyDescent="0.25"/>
    <row r="102603" customFormat="1" x14ac:dyDescent="0.25"/>
    <row r="102604" customFormat="1" x14ac:dyDescent="0.25"/>
    <row r="102605" customFormat="1" x14ac:dyDescent="0.25"/>
    <row r="102606" customFormat="1" x14ac:dyDescent="0.25"/>
    <row r="102607" customFormat="1" x14ac:dyDescent="0.25"/>
    <row r="102608" customFormat="1" x14ac:dyDescent="0.25"/>
    <row r="102609" customFormat="1" x14ac:dyDescent="0.25"/>
    <row r="102610" customFormat="1" x14ac:dyDescent="0.25"/>
    <row r="102611" customFormat="1" x14ac:dyDescent="0.25"/>
    <row r="102612" customFormat="1" x14ac:dyDescent="0.25"/>
    <row r="102613" customFormat="1" x14ac:dyDescent="0.25"/>
    <row r="102614" customFormat="1" x14ac:dyDescent="0.25"/>
    <row r="102615" customFormat="1" x14ac:dyDescent="0.25"/>
    <row r="102616" customFormat="1" x14ac:dyDescent="0.25"/>
    <row r="102617" customFormat="1" x14ac:dyDescent="0.25"/>
    <row r="102618" customFormat="1" x14ac:dyDescent="0.25"/>
    <row r="102619" customFormat="1" x14ac:dyDescent="0.25"/>
    <row r="102620" customFormat="1" x14ac:dyDescent="0.25"/>
    <row r="102621" customFormat="1" x14ac:dyDescent="0.25"/>
    <row r="102622" customFormat="1" x14ac:dyDescent="0.25"/>
    <row r="102623" customFormat="1" x14ac:dyDescent="0.25"/>
    <row r="102624" customFormat="1" x14ac:dyDescent="0.25"/>
    <row r="102625" customFormat="1" x14ac:dyDescent="0.25"/>
    <row r="102626" customFormat="1" x14ac:dyDescent="0.25"/>
    <row r="102627" customFormat="1" x14ac:dyDescent="0.25"/>
    <row r="102628" customFormat="1" x14ac:dyDescent="0.25"/>
    <row r="102629" customFormat="1" x14ac:dyDescent="0.25"/>
    <row r="102630" customFormat="1" x14ac:dyDescent="0.25"/>
    <row r="102631" customFormat="1" x14ac:dyDescent="0.25"/>
    <row r="102632" customFormat="1" x14ac:dyDescent="0.25"/>
    <row r="102633" customFormat="1" x14ac:dyDescent="0.25"/>
    <row r="102634" customFormat="1" x14ac:dyDescent="0.25"/>
    <row r="102635" customFormat="1" x14ac:dyDescent="0.25"/>
    <row r="102636" customFormat="1" x14ac:dyDescent="0.25"/>
    <row r="102637" customFormat="1" x14ac:dyDescent="0.25"/>
    <row r="102638" customFormat="1" x14ac:dyDescent="0.25"/>
    <row r="102639" customFormat="1" x14ac:dyDescent="0.25"/>
    <row r="102640" customFormat="1" x14ac:dyDescent="0.25"/>
    <row r="102641" customFormat="1" x14ac:dyDescent="0.25"/>
    <row r="102642" customFormat="1" x14ac:dyDescent="0.25"/>
    <row r="102643" customFormat="1" x14ac:dyDescent="0.25"/>
    <row r="102644" customFormat="1" x14ac:dyDescent="0.25"/>
    <row r="102645" customFormat="1" x14ac:dyDescent="0.25"/>
    <row r="102646" customFormat="1" x14ac:dyDescent="0.25"/>
    <row r="102647" customFormat="1" x14ac:dyDescent="0.25"/>
    <row r="102648" customFormat="1" x14ac:dyDescent="0.25"/>
    <row r="102649" customFormat="1" x14ac:dyDescent="0.25"/>
    <row r="102650" customFormat="1" x14ac:dyDescent="0.25"/>
    <row r="102651" customFormat="1" x14ac:dyDescent="0.25"/>
    <row r="102652" customFormat="1" x14ac:dyDescent="0.25"/>
    <row r="102653" customFormat="1" x14ac:dyDescent="0.25"/>
    <row r="102654" customFormat="1" x14ac:dyDescent="0.25"/>
    <row r="102655" customFormat="1" x14ac:dyDescent="0.25"/>
    <row r="102656" customFormat="1" x14ac:dyDescent="0.25"/>
    <row r="102657" customFormat="1" x14ac:dyDescent="0.25"/>
    <row r="102658" customFormat="1" x14ac:dyDescent="0.25"/>
    <row r="102659" customFormat="1" x14ac:dyDescent="0.25"/>
    <row r="102660" customFormat="1" x14ac:dyDescent="0.25"/>
    <row r="102661" customFormat="1" x14ac:dyDescent="0.25"/>
    <row r="102662" customFormat="1" x14ac:dyDescent="0.25"/>
    <row r="102663" customFormat="1" x14ac:dyDescent="0.25"/>
    <row r="102664" customFormat="1" x14ac:dyDescent="0.25"/>
    <row r="102665" customFormat="1" x14ac:dyDescent="0.25"/>
    <row r="102666" customFormat="1" x14ac:dyDescent="0.25"/>
    <row r="102667" customFormat="1" x14ac:dyDescent="0.25"/>
    <row r="102668" customFormat="1" x14ac:dyDescent="0.25"/>
    <row r="102669" customFormat="1" x14ac:dyDescent="0.25"/>
    <row r="102670" customFormat="1" x14ac:dyDescent="0.25"/>
    <row r="102671" customFormat="1" x14ac:dyDescent="0.25"/>
    <row r="102672" customFormat="1" x14ac:dyDescent="0.25"/>
    <row r="102673" customFormat="1" x14ac:dyDescent="0.25"/>
    <row r="102674" customFormat="1" x14ac:dyDescent="0.25"/>
    <row r="102675" customFormat="1" x14ac:dyDescent="0.25"/>
    <row r="102676" customFormat="1" x14ac:dyDescent="0.25"/>
    <row r="102677" customFormat="1" x14ac:dyDescent="0.25"/>
    <row r="102678" customFormat="1" x14ac:dyDescent="0.25"/>
    <row r="102679" customFormat="1" x14ac:dyDescent="0.25"/>
    <row r="102680" customFormat="1" x14ac:dyDescent="0.25"/>
    <row r="102681" customFormat="1" x14ac:dyDescent="0.25"/>
    <row r="102682" customFormat="1" x14ac:dyDescent="0.25"/>
    <row r="102683" customFormat="1" x14ac:dyDescent="0.25"/>
    <row r="102684" customFormat="1" x14ac:dyDescent="0.25"/>
    <row r="102685" customFormat="1" x14ac:dyDescent="0.25"/>
    <row r="102686" customFormat="1" x14ac:dyDescent="0.25"/>
    <row r="102687" customFormat="1" x14ac:dyDescent="0.25"/>
    <row r="102688" customFormat="1" x14ac:dyDescent="0.25"/>
    <row r="102689" customFormat="1" x14ac:dyDescent="0.25"/>
    <row r="102690" customFormat="1" x14ac:dyDescent="0.25"/>
    <row r="102691" customFormat="1" x14ac:dyDescent="0.25"/>
    <row r="102692" customFormat="1" x14ac:dyDescent="0.25"/>
    <row r="102693" customFormat="1" x14ac:dyDescent="0.25"/>
    <row r="102694" customFormat="1" x14ac:dyDescent="0.25"/>
    <row r="102695" customFormat="1" x14ac:dyDescent="0.25"/>
    <row r="102696" customFormat="1" x14ac:dyDescent="0.25"/>
    <row r="102697" customFormat="1" x14ac:dyDescent="0.25"/>
    <row r="102698" customFormat="1" x14ac:dyDescent="0.25"/>
    <row r="102699" customFormat="1" x14ac:dyDescent="0.25"/>
    <row r="102700" customFormat="1" x14ac:dyDescent="0.25"/>
    <row r="102701" customFormat="1" x14ac:dyDescent="0.25"/>
    <row r="102702" customFormat="1" x14ac:dyDescent="0.25"/>
    <row r="102703" customFormat="1" x14ac:dyDescent="0.25"/>
    <row r="102704" customFormat="1" x14ac:dyDescent="0.25"/>
    <row r="102705" customFormat="1" x14ac:dyDescent="0.25"/>
    <row r="102706" customFormat="1" x14ac:dyDescent="0.25"/>
    <row r="102707" customFormat="1" x14ac:dyDescent="0.25"/>
    <row r="102708" customFormat="1" x14ac:dyDescent="0.25"/>
    <row r="102709" customFormat="1" x14ac:dyDescent="0.25"/>
    <row r="102710" customFormat="1" x14ac:dyDescent="0.25"/>
    <row r="102711" customFormat="1" x14ac:dyDescent="0.25"/>
    <row r="102712" customFormat="1" x14ac:dyDescent="0.25"/>
    <row r="102713" customFormat="1" x14ac:dyDescent="0.25"/>
    <row r="102714" customFormat="1" x14ac:dyDescent="0.25"/>
    <row r="102715" customFormat="1" x14ac:dyDescent="0.25"/>
    <row r="102716" customFormat="1" x14ac:dyDescent="0.25"/>
    <row r="102717" customFormat="1" x14ac:dyDescent="0.25"/>
    <row r="102718" customFormat="1" x14ac:dyDescent="0.25"/>
    <row r="102719" customFormat="1" x14ac:dyDescent="0.25"/>
    <row r="102720" customFormat="1" x14ac:dyDescent="0.25"/>
    <row r="102721" customFormat="1" x14ac:dyDescent="0.25"/>
    <row r="102722" customFormat="1" x14ac:dyDescent="0.25"/>
    <row r="102723" customFormat="1" x14ac:dyDescent="0.25"/>
    <row r="102724" customFormat="1" x14ac:dyDescent="0.25"/>
    <row r="102725" customFormat="1" x14ac:dyDescent="0.25"/>
    <row r="102726" customFormat="1" x14ac:dyDescent="0.25"/>
    <row r="102727" customFormat="1" x14ac:dyDescent="0.25"/>
    <row r="102728" customFormat="1" x14ac:dyDescent="0.25"/>
    <row r="102729" customFormat="1" x14ac:dyDescent="0.25"/>
    <row r="102730" customFormat="1" x14ac:dyDescent="0.25"/>
    <row r="102731" customFormat="1" x14ac:dyDescent="0.25"/>
    <row r="102732" customFormat="1" x14ac:dyDescent="0.25"/>
    <row r="102733" customFormat="1" x14ac:dyDescent="0.25"/>
    <row r="102734" customFormat="1" x14ac:dyDescent="0.25"/>
    <row r="102735" customFormat="1" x14ac:dyDescent="0.25"/>
    <row r="102736" customFormat="1" x14ac:dyDescent="0.25"/>
    <row r="102737" customFormat="1" x14ac:dyDescent="0.25"/>
    <row r="102738" customFormat="1" x14ac:dyDescent="0.25"/>
    <row r="102739" customFormat="1" x14ac:dyDescent="0.25"/>
    <row r="102740" customFormat="1" x14ac:dyDescent="0.25"/>
    <row r="102741" customFormat="1" x14ac:dyDescent="0.25"/>
    <row r="102742" customFormat="1" x14ac:dyDescent="0.25"/>
    <row r="102743" customFormat="1" x14ac:dyDescent="0.25"/>
    <row r="102744" customFormat="1" x14ac:dyDescent="0.25"/>
    <row r="102745" customFormat="1" x14ac:dyDescent="0.25"/>
    <row r="102746" customFormat="1" x14ac:dyDescent="0.25"/>
    <row r="102747" customFormat="1" x14ac:dyDescent="0.25"/>
    <row r="102748" customFormat="1" x14ac:dyDescent="0.25"/>
    <row r="102749" customFormat="1" x14ac:dyDescent="0.25"/>
    <row r="102750" customFormat="1" x14ac:dyDescent="0.25"/>
    <row r="102751" customFormat="1" x14ac:dyDescent="0.25"/>
    <row r="102752" customFormat="1" x14ac:dyDescent="0.25"/>
    <row r="102753" customFormat="1" x14ac:dyDescent="0.25"/>
    <row r="102754" customFormat="1" x14ac:dyDescent="0.25"/>
    <row r="102755" customFormat="1" x14ac:dyDescent="0.25"/>
    <row r="102756" customFormat="1" x14ac:dyDescent="0.25"/>
    <row r="102757" customFormat="1" x14ac:dyDescent="0.25"/>
    <row r="102758" customFormat="1" x14ac:dyDescent="0.25"/>
    <row r="102759" customFormat="1" x14ac:dyDescent="0.25"/>
    <row r="102760" customFormat="1" x14ac:dyDescent="0.25"/>
    <row r="102761" customFormat="1" x14ac:dyDescent="0.25"/>
    <row r="102762" customFormat="1" x14ac:dyDescent="0.25"/>
    <row r="102763" customFormat="1" x14ac:dyDescent="0.25"/>
    <row r="102764" customFormat="1" x14ac:dyDescent="0.25"/>
    <row r="102765" customFormat="1" x14ac:dyDescent="0.25"/>
    <row r="102766" customFormat="1" x14ac:dyDescent="0.25"/>
    <row r="102767" customFormat="1" x14ac:dyDescent="0.25"/>
    <row r="102768" customFormat="1" x14ac:dyDescent="0.25"/>
    <row r="102769" customFormat="1" x14ac:dyDescent="0.25"/>
    <row r="102770" customFormat="1" x14ac:dyDescent="0.25"/>
    <row r="102771" customFormat="1" x14ac:dyDescent="0.25"/>
    <row r="102772" customFormat="1" x14ac:dyDescent="0.25"/>
    <row r="102773" customFormat="1" x14ac:dyDescent="0.25"/>
    <row r="102774" customFormat="1" x14ac:dyDescent="0.25"/>
    <row r="102775" customFormat="1" x14ac:dyDescent="0.25"/>
    <row r="102776" customFormat="1" x14ac:dyDescent="0.25"/>
    <row r="102777" customFormat="1" x14ac:dyDescent="0.25"/>
    <row r="102778" customFormat="1" x14ac:dyDescent="0.25"/>
    <row r="102779" customFormat="1" x14ac:dyDescent="0.25"/>
    <row r="102780" customFormat="1" x14ac:dyDescent="0.25"/>
    <row r="102781" customFormat="1" x14ac:dyDescent="0.25"/>
    <row r="102782" customFormat="1" x14ac:dyDescent="0.25"/>
    <row r="102783" customFormat="1" x14ac:dyDescent="0.25"/>
    <row r="102784" customFormat="1" x14ac:dyDescent="0.25"/>
    <row r="102785" customFormat="1" x14ac:dyDescent="0.25"/>
    <row r="102786" customFormat="1" x14ac:dyDescent="0.25"/>
    <row r="102787" customFormat="1" x14ac:dyDescent="0.25"/>
    <row r="102788" customFormat="1" x14ac:dyDescent="0.25"/>
    <row r="102789" customFormat="1" x14ac:dyDescent="0.25"/>
    <row r="102790" customFormat="1" x14ac:dyDescent="0.25"/>
    <row r="102791" customFormat="1" x14ac:dyDescent="0.25"/>
    <row r="102792" customFormat="1" x14ac:dyDescent="0.25"/>
    <row r="102793" customFormat="1" x14ac:dyDescent="0.25"/>
    <row r="102794" customFormat="1" x14ac:dyDescent="0.25"/>
    <row r="102795" customFormat="1" x14ac:dyDescent="0.25"/>
    <row r="102796" customFormat="1" x14ac:dyDescent="0.25"/>
    <row r="102797" customFormat="1" x14ac:dyDescent="0.25"/>
    <row r="102798" customFormat="1" x14ac:dyDescent="0.25"/>
    <row r="102799" customFormat="1" x14ac:dyDescent="0.25"/>
    <row r="102800" customFormat="1" x14ac:dyDescent="0.25"/>
    <row r="102801" customFormat="1" x14ac:dyDescent="0.25"/>
    <row r="102802" customFormat="1" x14ac:dyDescent="0.25"/>
    <row r="102803" customFormat="1" x14ac:dyDescent="0.25"/>
    <row r="102804" customFormat="1" x14ac:dyDescent="0.25"/>
    <row r="102805" customFormat="1" x14ac:dyDescent="0.25"/>
    <row r="102806" customFormat="1" x14ac:dyDescent="0.25"/>
    <row r="102807" customFormat="1" x14ac:dyDescent="0.25"/>
    <row r="102808" customFormat="1" x14ac:dyDescent="0.25"/>
    <row r="102809" customFormat="1" x14ac:dyDescent="0.25"/>
    <row r="102810" customFormat="1" x14ac:dyDescent="0.25"/>
    <row r="102811" customFormat="1" x14ac:dyDescent="0.25"/>
    <row r="102812" customFormat="1" x14ac:dyDescent="0.25"/>
    <row r="102813" customFormat="1" x14ac:dyDescent="0.25"/>
    <row r="102814" customFormat="1" x14ac:dyDescent="0.25"/>
    <row r="102815" customFormat="1" x14ac:dyDescent="0.25"/>
    <row r="102816" customFormat="1" x14ac:dyDescent="0.25"/>
    <row r="102817" customFormat="1" x14ac:dyDescent="0.25"/>
    <row r="102818" customFormat="1" x14ac:dyDescent="0.25"/>
    <row r="102819" customFormat="1" x14ac:dyDescent="0.25"/>
    <row r="102820" customFormat="1" x14ac:dyDescent="0.25"/>
    <row r="102821" customFormat="1" x14ac:dyDescent="0.25"/>
    <row r="102822" customFormat="1" x14ac:dyDescent="0.25"/>
    <row r="102823" customFormat="1" x14ac:dyDescent="0.25"/>
    <row r="102824" customFormat="1" x14ac:dyDescent="0.25"/>
    <row r="102825" customFormat="1" x14ac:dyDescent="0.25"/>
    <row r="102826" customFormat="1" x14ac:dyDescent="0.25"/>
    <row r="102827" customFormat="1" x14ac:dyDescent="0.25"/>
    <row r="102828" customFormat="1" x14ac:dyDescent="0.25"/>
    <row r="102829" customFormat="1" x14ac:dyDescent="0.25"/>
    <row r="102830" customFormat="1" x14ac:dyDescent="0.25"/>
    <row r="102831" customFormat="1" x14ac:dyDescent="0.25"/>
    <row r="102832" customFormat="1" x14ac:dyDescent="0.25"/>
    <row r="102833" customFormat="1" x14ac:dyDescent="0.25"/>
    <row r="102834" customFormat="1" x14ac:dyDescent="0.25"/>
    <row r="102835" customFormat="1" x14ac:dyDescent="0.25"/>
    <row r="102836" customFormat="1" x14ac:dyDescent="0.25"/>
    <row r="102837" customFormat="1" x14ac:dyDescent="0.25"/>
    <row r="102838" customFormat="1" x14ac:dyDescent="0.25"/>
    <row r="102839" customFormat="1" x14ac:dyDescent="0.25"/>
    <row r="102840" customFormat="1" x14ac:dyDescent="0.25"/>
    <row r="102841" customFormat="1" x14ac:dyDescent="0.25"/>
    <row r="102842" customFormat="1" x14ac:dyDescent="0.25"/>
    <row r="102843" customFormat="1" x14ac:dyDescent="0.25"/>
    <row r="102844" customFormat="1" x14ac:dyDescent="0.25"/>
    <row r="102845" customFormat="1" x14ac:dyDescent="0.25"/>
    <row r="102846" customFormat="1" x14ac:dyDescent="0.25"/>
    <row r="102847" customFormat="1" x14ac:dyDescent="0.25"/>
    <row r="102848" customFormat="1" x14ac:dyDescent="0.25"/>
    <row r="102849" customFormat="1" x14ac:dyDescent="0.25"/>
    <row r="102850" customFormat="1" x14ac:dyDescent="0.25"/>
    <row r="102851" customFormat="1" x14ac:dyDescent="0.25"/>
    <row r="102852" customFormat="1" x14ac:dyDescent="0.25"/>
    <row r="102853" customFormat="1" x14ac:dyDescent="0.25"/>
    <row r="102854" customFormat="1" x14ac:dyDescent="0.25"/>
    <row r="102855" customFormat="1" x14ac:dyDescent="0.25"/>
    <row r="102856" customFormat="1" x14ac:dyDescent="0.25"/>
    <row r="102857" customFormat="1" x14ac:dyDescent="0.25"/>
    <row r="102858" customFormat="1" x14ac:dyDescent="0.25"/>
    <row r="102859" customFormat="1" x14ac:dyDescent="0.25"/>
    <row r="102860" customFormat="1" x14ac:dyDescent="0.25"/>
    <row r="102861" customFormat="1" x14ac:dyDescent="0.25"/>
    <row r="102862" customFormat="1" x14ac:dyDescent="0.25"/>
    <row r="102863" customFormat="1" x14ac:dyDescent="0.25"/>
    <row r="102864" customFormat="1" x14ac:dyDescent="0.25"/>
    <row r="102865" customFormat="1" x14ac:dyDescent="0.25"/>
    <row r="102866" customFormat="1" x14ac:dyDescent="0.25"/>
    <row r="102867" customFormat="1" x14ac:dyDescent="0.25"/>
    <row r="102868" customFormat="1" x14ac:dyDescent="0.25"/>
    <row r="102869" customFormat="1" x14ac:dyDescent="0.25"/>
    <row r="102870" customFormat="1" x14ac:dyDescent="0.25"/>
    <row r="102871" customFormat="1" x14ac:dyDescent="0.25"/>
    <row r="102872" customFormat="1" x14ac:dyDescent="0.25"/>
    <row r="102873" customFormat="1" x14ac:dyDescent="0.25"/>
    <row r="102874" customFormat="1" x14ac:dyDescent="0.25"/>
    <row r="102875" customFormat="1" x14ac:dyDescent="0.25"/>
    <row r="102876" customFormat="1" x14ac:dyDescent="0.25"/>
    <row r="102877" customFormat="1" x14ac:dyDescent="0.25"/>
    <row r="102878" customFormat="1" x14ac:dyDescent="0.25"/>
    <row r="102879" customFormat="1" x14ac:dyDescent="0.25"/>
    <row r="102880" customFormat="1" x14ac:dyDescent="0.25"/>
    <row r="102881" customFormat="1" x14ac:dyDescent="0.25"/>
    <row r="102882" customFormat="1" x14ac:dyDescent="0.25"/>
    <row r="102883" customFormat="1" x14ac:dyDescent="0.25"/>
    <row r="102884" customFormat="1" x14ac:dyDescent="0.25"/>
    <row r="102885" customFormat="1" x14ac:dyDescent="0.25"/>
    <row r="102886" customFormat="1" x14ac:dyDescent="0.25"/>
    <row r="102887" customFormat="1" x14ac:dyDescent="0.25"/>
    <row r="102888" customFormat="1" x14ac:dyDescent="0.25"/>
    <row r="102889" customFormat="1" x14ac:dyDescent="0.25"/>
    <row r="102890" customFormat="1" x14ac:dyDescent="0.25"/>
    <row r="102891" customFormat="1" x14ac:dyDescent="0.25"/>
    <row r="102892" customFormat="1" x14ac:dyDescent="0.25"/>
    <row r="102893" customFormat="1" x14ac:dyDescent="0.25"/>
    <row r="102894" customFormat="1" x14ac:dyDescent="0.25"/>
    <row r="102895" customFormat="1" x14ac:dyDescent="0.25"/>
    <row r="102896" customFormat="1" x14ac:dyDescent="0.25"/>
    <row r="102897" customFormat="1" x14ac:dyDescent="0.25"/>
    <row r="102898" customFormat="1" x14ac:dyDescent="0.25"/>
    <row r="102899" customFormat="1" x14ac:dyDescent="0.25"/>
    <row r="102900" customFormat="1" x14ac:dyDescent="0.25"/>
    <row r="102901" customFormat="1" x14ac:dyDescent="0.25"/>
    <row r="102902" customFormat="1" x14ac:dyDescent="0.25"/>
    <row r="102903" customFormat="1" x14ac:dyDescent="0.25"/>
    <row r="102904" customFormat="1" x14ac:dyDescent="0.25"/>
    <row r="102905" customFormat="1" x14ac:dyDescent="0.25"/>
    <row r="102906" customFormat="1" x14ac:dyDescent="0.25"/>
    <row r="102907" customFormat="1" x14ac:dyDescent="0.25"/>
    <row r="102908" customFormat="1" x14ac:dyDescent="0.25"/>
    <row r="102909" customFormat="1" x14ac:dyDescent="0.25"/>
    <row r="102910" customFormat="1" x14ac:dyDescent="0.25"/>
    <row r="102911" customFormat="1" x14ac:dyDescent="0.25"/>
    <row r="102912" customFormat="1" x14ac:dyDescent="0.25"/>
    <row r="102913" customFormat="1" x14ac:dyDescent="0.25"/>
    <row r="102914" customFormat="1" x14ac:dyDescent="0.25"/>
    <row r="102915" customFormat="1" x14ac:dyDescent="0.25"/>
    <row r="102916" customFormat="1" x14ac:dyDescent="0.25"/>
    <row r="102917" customFormat="1" x14ac:dyDescent="0.25"/>
    <row r="102918" customFormat="1" x14ac:dyDescent="0.25"/>
    <row r="102919" customFormat="1" x14ac:dyDescent="0.25"/>
    <row r="102920" customFormat="1" x14ac:dyDescent="0.25"/>
    <row r="102921" customFormat="1" x14ac:dyDescent="0.25"/>
    <row r="102922" customFormat="1" x14ac:dyDescent="0.25"/>
    <row r="102923" customFormat="1" x14ac:dyDescent="0.25"/>
    <row r="102924" customFormat="1" x14ac:dyDescent="0.25"/>
    <row r="102925" customFormat="1" x14ac:dyDescent="0.25"/>
    <row r="102926" customFormat="1" x14ac:dyDescent="0.25"/>
    <row r="102927" customFormat="1" x14ac:dyDescent="0.25"/>
    <row r="102928" customFormat="1" x14ac:dyDescent="0.25"/>
    <row r="102929" customFormat="1" x14ac:dyDescent="0.25"/>
    <row r="102930" customFormat="1" x14ac:dyDescent="0.25"/>
    <row r="102931" customFormat="1" x14ac:dyDescent="0.25"/>
    <row r="102932" customFormat="1" x14ac:dyDescent="0.25"/>
    <row r="102933" customFormat="1" x14ac:dyDescent="0.25"/>
    <row r="102934" customFormat="1" x14ac:dyDescent="0.25"/>
    <row r="102935" customFormat="1" x14ac:dyDescent="0.25"/>
    <row r="102936" customFormat="1" x14ac:dyDescent="0.25"/>
    <row r="102937" customFormat="1" x14ac:dyDescent="0.25"/>
    <row r="102938" customFormat="1" x14ac:dyDescent="0.25"/>
    <row r="102939" customFormat="1" x14ac:dyDescent="0.25"/>
    <row r="102940" customFormat="1" x14ac:dyDescent="0.25"/>
    <row r="102941" customFormat="1" x14ac:dyDescent="0.25"/>
    <row r="102942" customFormat="1" x14ac:dyDescent="0.25"/>
    <row r="102943" customFormat="1" x14ac:dyDescent="0.25"/>
    <row r="102944" customFormat="1" x14ac:dyDescent="0.25"/>
    <row r="102945" customFormat="1" x14ac:dyDescent="0.25"/>
    <row r="102946" customFormat="1" x14ac:dyDescent="0.25"/>
    <row r="102947" customFormat="1" x14ac:dyDescent="0.25"/>
    <row r="102948" customFormat="1" x14ac:dyDescent="0.25"/>
    <row r="102949" customFormat="1" x14ac:dyDescent="0.25"/>
    <row r="102950" customFormat="1" x14ac:dyDescent="0.25"/>
    <row r="102951" customFormat="1" x14ac:dyDescent="0.25"/>
    <row r="102952" customFormat="1" x14ac:dyDescent="0.25"/>
    <row r="102953" customFormat="1" x14ac:dyDescent="0.25"/>
    <row r="102954" customFormat="1" x14ac:dyDescent="0.25"/>
    <row r="102955" customFormat="1" x14ac:dyDescent="0.25"/>
    <row r="102956" customFormat="1" x14ac:dyDescent="0.25"/>
    <row r="102957" customFormat="1" x14ac:dyDescent="0.25"/>
    <row r="102958" customFormat="1" x14ac:dyDescent="0.25"/>
    <row r="102959" customFormat="1" x14ac:dyDescent="0.25"/>
    <row r="102960" customFormat="1" x14ac:dyDescent="0.25"/>
    <row r="102961" customFormat="1" x14ac:dyDescent="0.25"/>
    <row r="102962" customFormat="1" x14ac:dyDescent="0.25"/>
    <row r="102963" customFormat="1" x14ac:dyDescent="0.25"/>
    <row r="102964" customFormat="1" x14ac:dyDescent="0.25"/>
    <row r="102965" customFormat="1" x14ac:dyDescent="0.25"/>
    <row r="102966" customFormat="1" x14ac:dyDescent="0.25"/>
    <row r="102967" customFormat="1" x14ac:dyDescent="0.25"/>
    <row r="102968" customFormat="1" x14ac:dyDescent="0.25"/>
    <row r="102969" customFormat="1" x14ac:dyDescent="0.25"/>
    <row r="102970" customFormat="1" x14ac:dyDescent="0.25"/>
    <row r="102971" customFormat="1" x14ac:dyDescent="0.25"/>
    <row r="102972" customFormat="1" x14ac:dyDescent="0.25"/>
    <row r="102973" customFormat="1" x14ac:dyDescent="0.25"/>
    <row r="102974" customFormat="1" x14ac:dyDescent="0.25"/>
    <row r="102975" customFormat="1" x14ac:dyDescent="0.25"/>
    <row r="102976" customFormat="1" x14ac:dyDescent="0.25"/>
    <row r="102977" customFormat="1" x14ac:dyDescent="0.25"/>
    <row r="102978" customFormat="1" x14ac:dyDescent="0.25"/>
    <row r="102979" customFormat="1" x14ac:dyDescent="0.25"/>
    <row r="102980" customFormat="1" x14ac:dyDescent="0.25"/>
    <row r="102981" customFormat="1" x14ac:dyDescent="0.25"/>
    <row r="102982" customFormat="1" x14ac:dyDescent="0.25"/>
    <row r="102983" customFormat="1" x14ac:dyDescent="0.25"/>
    <row r="102984" customFormat="1" x14ac:dyDescent="0.25"/>
    <row r="102985" customFormat="1" x14ac:dyDescent="0.25"/>
    <row r="102986" customFormat="1" x14ac:dyDescent="0.25"/>
    <row r="102987" customFormat="1" x14ac:dyDescent="0.25"/>
    <row r="102988" customFormat="1" x14ac:dyDescent="0.25"/>
    <row r="102989" customFormat="1" x14ac:dyDescent="0.25"/>
    <row r="102990" customFormat="1" x14ac:dyDescent="0.25"/>
    <row r="102991" customFormat="1" x14ac:dyDescent="0.25"/>
    <row r="102992" customFormat="1" x14ac:dyDescent="0.25"/>
    <row r="102993" customFormat="1" x14ac:dyDescent="0.25"/>
    <row r="102994" customFormat="1" x14ac:dyDescent="0.25"/>
    <row r="102995" customFormat="1" x14ac:dyDescent="0.25"/>
    <row r="102996" customFormat="1" x14ac:dyDescent="0.25"/>
    <row r="102997" customFormat="1" x14ac:dyDescent="0.25"/>
    <row r="102998" customFormat="1" x14ac:dyDescent="0.25"/>
    <row r="102999" customFormat="1" x14ac:dyDescent="0.25"/>
    <row r="103000" customFormat="1" x14ac:dyDescent="0.25"/>
    <row r="103001" customFormat="1" x14ac:dyDescent="0.25"/>
    <row r="103002" customFormat="1" x14ac:dyDescent="0.25"/>
    <row r="103003" customFormat="1" x14ac:dyDescent="0.25"/>
    <row r="103004" customFormat="1" x14ac:dyDescent="0.25"/>
    <row r="103005" customFormat="1" x14ac:dyDescent="0.25"/>
    <row r="103006" customFormat="1" x14ac:dyDescent="0.25"/>
    <row r="103007" customFormat="1" x14ac:dyDescent="0.25"/>
    <row r="103008" customFormat="1" x14ac:dyDescent="0.25"/>
    <row r="103009" customFormat="1" x14ac:dyDescent="0.25"/>
    <row r="103010" customFormat="1" x14ac:dyDescent="0.25"/>
    <row r="103011" customFormat="1" x14ac:dyDescent="0.25"/>
    <row r="103012" customFormat="1" x14ac:dyDescent="0.25"/>
    <row r="103013" customFormat="1" x14ac:dyDescent="0.25"/>
    <row r="103014" customFormat="1" x14ac:dyDescent="0.25"/>
    <row r="103015" customFormat="1" x14ac:dyDescent="0.25"/>
    <row r="103016" customFormat="1" x14ac:dyDescent="0.25"/>
    <row r="103017" customFormat="1" x14ac:dyDescent="0.25"/>
    <row r="103018" customFormat="1" x14ac:dyDescent="0.25"/>
    <row r="103019" customFormat="1" x14ac:dyDescent="0.25"/>
    <row r="103020" customFormat="1" x14ac:dyDescent="0.25"/>
    <row r="103021" customFormat="1" x14ac:dyDescent="0.25"/>
    <row r="103022" customFormat="1" x14ac:dyDescent="0.25"/>
    <row r="103023" customFormat="1" x14ac:dyDescent="0.25"/>
    <row r="103024" customFormat="1" x14ac:dyDescent="0.25"/>
    <row r="103025" customFormat="1" x14ac:dyDescent="0.25"/>
    <row r="103026" customFormat="1" x14ac:dyDescent="0.25"/>
    <row r="103027" customFormat="1" x14ac:dyDescent="0.25"/>
    <row r="103028" customFormat="1" x14ac:dyDescent="0.25"/>
    <row r="103029" customFormat="1" x14ac:dyDescent="0.25"/>
    <row r="103030" customFormat="1" x14ac:dyDescent="0.25"/>
    <row r="103031" customFormat="1" x14ac:dyDescent="0.25"/>
    <row r="103032" customFormat="1" x14ac:dyDescent="0.25"/>
    <row r="103033" customFormat="1" x14ac:dyDescent="0.25"/>
    <row r="103034" customFormat="1" x14ac:dyDescent="0.25"/>
    <row r="103035" customFormat="1" x14ac:dyDescent="0.25"/>
    <row r="103036" customFormat="1" x14ac:dyDescent="0.25"/>
    <row r="103037" customFormat="1" x14ac:dyDescent="0.25"/>
    <row r="103038" customFormat="1" x14ac:dyDescent="0.25"/>
    <row r="103039" customFormat="1" x14ac:dyDescent="0.25"/>
    <row r="103040" customFormat="1" x14ac:dyDescent="0.25"/>
    <row r="103041" customFormat="1" x14ac:dyDescent="0.25"/>
    <row r="103042" customFormat="1" x14ac:dyDescent="0.25"/>
    <row r="103043" customFormat="1" x14ac:dyDescent="0.25"/>
    <row r="103044" customFormat="1" x14ac:dyDescent="0.25"/>
    <row r="103045" customFormat="1" x14ac:dyDescent="0.25"/>
    <row r="103046" customFormat="1" x14ac:dyDescent="0.25"/>
    <row r="103047" customFormat="1" x14ac:dyDescent="0.25"/>
    <row r="103048" customFormat="1" x14ac:dyDescent="0.25"/>
    <row r="103049" customFormat="1" x14ac:dyDescent="0.25"/>
    <row r="103050" customFormat="1" x14ac:dyDescent="0.25"/>
    <row r="103051" customFormat="1" x14ac:dyDescent="0.25"/>
    <row r="103052" customFormat="1" x14ac:dyDescent="0.25"/>
    <row r="103053" customFormat="1" x14ac:dyDescent="0.25"/>
    <row r="103054" customFormat="1" x14ac:dyDescent="0.25"/>
    <row r="103055" customFormat="1" x14ac:dyDescent="0.25"/>
    <row r="103056" customFormat="1" x14ac:dyDescent="0.25"/>
    <row r="103057" customFormat="1" x14ac:dyDescent="0.25"/>
    <row r="103058" customFormat="1" x14ac:dyDescent="0.25"/>
    <row r="103059" customFormat="1" x14ac:dyDescent="0.25"/>
    <row r="103060" customFormat="1" x14ac:dyDescent="0.25"/>
    <row r="103061" customFormat="1" x14ac:dyDescent="0.25"/>
    <row r="103062" customFormat="1" x14ac:dyDescent="0.25"/>
    <row r="103063" customFormat="1" x14ac:dyDescent="0.25"/>
    <row r="103064" customFormat="1" x14ac:dyDescent="0.25"/>
    <row r="103065" customFormat="1" x14ac:dyDescent="0.25"/>
    <row r="103066" customFormat="1" x14ac:dyDescent="0.25"/>
    <row r="103067" customFormat="1" x14ac:dyDescent="0.25"/>
    <row r="103068" customFormat="1" x14ac:dyDescent="0.25"/>
    <row r="103069" customFormat="1" x14ac:dyDescent="0.25"/>
    <row r="103070" customFormat="1" x14ac:dyDescent="0.25"/>
    <row r="103071" customFormat="1" x14ac:dyDescent="0.25"/>
    <row r="103072" customFormat="1" x14ac:dyDescent="0.25"/>
    <row r="103073" customFormat="1" x14ac:dyDescent="0.25"/>
    <row r="103074" customFormat="1" x14ac:dyDescent="0.25"/>
    <row r="103075" customFormat="1" x14ac:dyDescent="0.25"/>
    <row r="103076" customFormat="1" x14ac:dyDescent="0.25"/>
    <row r="103077" customFormat="1" x14ac:dyDescent="0.25"/>
    <row r="103078" customFormat="1" x14ac:dyDescent="0.25"/>
    <row r="103079" customFormat="1" x14ac:dyDescent="0.25"/>
    <row r="103080" customFormat="1" x14ac:dyDescent="0.25"/>
    <row r="103081" customFormat="1" x14ac:dyDescent="0.25"/>
    <row r="103082" customFormat="1" x14ac:dyDescent="0.25"/>
    <row r="103083" customFormat="1" x14ac:dyDescent="0.25"/>
    <row r="103084" customFormat="1" x14ac:dyDescent="0.25"/>
    <row r="103085" customFormat="1" x14ac:dyDescent="0.25"/>
    <row r="103086" customFormat="1" x14ac:dyDescent="0.25"/>
    <row r="103087" customFormat="1" x14ac:dyDescent="0.25"/>
    <row r="103088" customFormat="1" x14ac:dyDescent="0.25"/>
    <row r="103089" customFormat="1" x14ac:dyDescent="0.25"/>
    <row r="103090" customFormat="1" x14ac:dyDescent="0.25"/>
    <row r="103091" customFormat="1" x14ac:dyDescent="0.25"/>
    <row r="103092" customFormat="1" x14ac:dyDescent="0.25"/>
    <row r="103093" customFormat="1" x14ac:dyDescent="0.25"/>
    <row r="103094" customFormat="1" x14ac:dyDescent="0.25"/>
    <row r="103095" customFormat="1" x14ac:dyDescent="0.25"/>
    <row r="103096" customFormat="1" x14ac:dyDescent="0.25"/>
    <row r="103097" customFormat="1" x14ac:dyDescent="0.25"/>
    <row r="103098" customFormat="1" x14ac:dyDescent="0.25"/>
    <row r="103099" customFormat="1" x14ac:dyDescent="0.25"/>
    <row r="103100" customFormat="1" x14ac:dyDescent="0.25"/>
    <row r="103101" customFormat="1" x14ac:dyDescent="0.25"/>
    <row r="103102" customFormat="1" x14ac:dyDescent="0.25"/>
    <row r="103103" customFormat="1" x14ac:dyDescent="0.25"/>
    <row r="103104" customFormat="1" x14ac:dyDescent="0.25"/>
    <row r="103105" customFormat="1" x14ac:dyDescent="0.25"/>
    <row r="103106" customFormat="1" x14ac:dyDescent="0.25"/>
    <row r="103107" customFormat="1" x14ac:dyDescent="0.25"/>
    <row r="103108" customFormat="1" x14ac:dyDescent="0.25"/>
    <row r="103109" customFormat="1" x14ac:dyDescent="0.25"/>
    <row r="103110" customFormat="1" x14ac:dyDescent="0.25"/>
    <row r="103111" customFormat="1" x14ac:dyDescent="0.25"/>
    <row r="103112" customFormat="1" x14ac:dyDescent="0.25"/>
    <row r="103113" customFormat="1" x14ac:dyDescent="0.25"/>
    <row r="103114" customFormat="1" x14ac:dyDescent="0.25"/>
    <row r="103115" customFormat="1" x14ac:dyDescent="0.25"/>
    <row r="103116" customFormat="1" x14ac:dyDescent="0.25"/>
    <row r="103117" customFormat="1" x14ac:dyDescent="0.25"/>
    <row r="103118" customFormat="1" x14ac:dyDescent="0.25"/>
    <row r="103119" customFormat="1" x14ac:dyDescent="0.25"/>
    <row r="103120" customFormat="1" x14ac:dyDescent="0.25"/>
    <row r="103121" customFormat="1" x14ac:dyDescent="0.25"/>
    <row r="103122" customFormat="1" x14ac:dyDescent="0.25"/>
    <row r="103123" customFormat="1" x14ac:dyDescent="0.25"/>
    <row r="103124" customFormat="1" x14ac:dyDescent="0.25"/>
    <row r="103125" customFormat="1" x14ac:dyDescent="0.25"/>
    <row r="103126" customFormat="1" x14ac:dyDescent="0.25"/>
    <row r="103127" customFormat="1" x14ac:dyDescent="0.25"/>
    <row r="103128" customFormat="1" x14ac:dyDescent="0.25"/>
    <row r="103129" customFormat="1" x14ac:dyDescent="0.25"/>
    <row r="103130" customFormat="1" x14ac:dyDescent="0.25"/>
    <row r="103131" customFormat="1" x14ac:dyDescent="0.25"/>
    <row r="103132" customFormat="1" x14ac:dyDescent="0.25"/>
    <row r="103133" customFormat="1" x14ac:dyDescent="0.25"/>
    <row r="103134" customFormat="1" x14ac:dyDescent="0.25"/>
    <row r="103135" customFormat="1" x14ac:dyDescent="0.25"/>
    <row r="103136" customFormat="1" x14ac:dyDescent="0.25"/>
    <row r="103137" customFormat="1" x14ac:dyDescent="0.25"/>
    <row r="103138" customFormat="1" x14ac:dyDescent="0.25"/>
    <row r="103139" customFormat="1" x14ac:dyDescent="0.25"/>
    <row r="103140" customFormat="1" x14ac:dyDescent="0.25"/>
    <row r="103141" customFormat="1" x14ac:dyDescent="0.25"/>
    <row r="103142" customFormat="1" x14ac:dyDescent="0.25"/>
    <row r="103143" customFormat="1" x14ac:dyDescent="0.25"/>
    <row r="103144" customFormat="1" x14ac:dyDescent="0.25"/>
    <row r="103145" customFormat="1" x14ac:dyDescent="0.25"/>
    <row r="103146" customFormat="1" x14ac:dyDescent="0.25"/>
    <row r="103147" customFormat="1" x14ac:dyDescent="0.25"/>
    <row r="103148" customFormat="1" x14ac:dyDescent="0.25"/>
    <row r="103149" customFormat="1" x14ac:dyDescent="0.25"/>
    <row r="103150" customFormat="1" x14ac:dyDescent="0.25"/>
    <row r="103151" customFormat="1" x14ac:dyDescent="0.25"/>
    <row r="103152" customFormat="1" x14ac:dyDescent="0.25"/>
    <row r="103153" customFormat="1" x14ac:dyDescent="0.25"/>
    <row r="103154" customFormat="1" x14ac:dyDescent="0.25"/>
    <row r="103155" customFormat="1" x14ac:dyDescent="0.25"/>
    <row r="103156" customFormat="1" x14ac:dyDescent="0.25"/>
    <row r="103157" customFormat="1" x14ac:dyDescent="0.25"/>
    <row r="103158" customFormat="1" x14ac:dyDescent="0.25"/>
    <row r="103159" customFormat="1" x14ac:dyDescent="0.25"/>
    <row r="103160" customFormat="1" x14ac:dyDescent="0.25"/>
    <row r="103161" customFormat="1" x14ac:dyDescent="0.25"/>
    <row r="103162" customFormat="1" x14ac:dyDescent="0.25"/>
    <row r="103163" customFormat="1" x14ac:dyDescent="0.25"/>
    <row r="103164" customFormat="1" x14ac:dyDescent="0.25"/>
    <row r="103165" customFormat="1" x14ac:dyDescent="0.25"/>
    <row r="103166" customFormat="1" x14ac:dyDescent="0.25"/>
    <row r="103167" customFormat="1" x14ac:dyDescent="0.25"/>
    <row r="103168" customFormat="1" x14ac:dyDescent="0.25"/>
    <row r="103169" customFormat="1" x14ac:dyDescent="0.25"/>
    <row r="103170" customFormat="1" x14ac:dyDescent="0.25"/>
    <row r="103171" customFormat="1" x14ac:dyDescent="0.25"/>
    <row r="103172" customFormat="1" x14ac:dyDescent="0.25"/>
    <row r="103173" customFormat="1" x14ac:dyDescent="0.25"/>
    <row r="103174" customFormat="1" x14ac:dyDescent="0.25"/>
    <row r="103175" customFormat="1" x14ac:dyDescent="0.25"/>
    <row r="103176" customFormat="1" x14ac:dyDescent="0.25"/>
    <row r="103177" customFormat="1" x14ac:dyDescent="0.25"/>
    <row r="103178" customFormat="1" x14ac:dyDescent="0.25"/>
    <row r="103179" customFormat="1" x14ac:dyDescent="0.25"/>
    <row r="103180" customFormat="1" x14ac:dyDescent="0.25"/>
    <row r="103181" customFormat="1" x14ac:dyDescent="0.25"/>
    <row r="103182" customFormat="1" x14ac:dyDescent="0.25"/>
    <row r="103183" customFormat="1" x14ac:dyDescent="0.25"/>
    <row r="103184" customFormat="1" x14ac:dyDescent="0.25"/>
    <row r="103185" customFormat="1" x14ac:dyDescent="0.25"/>
    <row r="103186" customFormat="1" x14ac:dyDescent="0.25"/>
    <row r="103187" customFormat="1" x14ac:dyDescent="0.25"/>
    <row r="103188" customFormat="1" x14ac:dyDescent="0.25"/>
    <row r="103189" customFormat="1" x14ac:dyDescent="0.25"/>
    <row r="103190" customFormat="1" x14ac:dyDescent="0.25"/>
    <row r="103191" customFormat="1" x14ac:dyDescent="0.25"/>
    <row r="103192" customFormat="1" x14ac:dyDescent="0.25"/>
    <row r="103193" customFormat="1" x14ac:dyDescent="0.25"/>
    <row r="103194" customFormat="1" x14ac:dyDescent="0.25"/>
    <row r="103195" customFormat="1" x14ac:dyDescent="0.25"/>
    <row r="103196" customFormat="1" x14ac:dyDescent="0.25"/>
    <row r="103197" customFormat="1" x14ac:dyDescent="0.25"/>
    <row r="103198" customFormat="1" x14ac:dyDescent="0.25"/>
    <row r="103199" customFormat="1" x14ac:dyDescent="0.25"/>
    <row r="103200" customFormat="1" x14ac:dyDescent="0.25"/>
    <row r="103201" customFormat="1" x14ac:dyDescent="0.25"/>
    <row r="103202" customFormat="1" x14ac:dyDescent="0.25"/>
    <row r="103203" customFormat="1" x14ac:dyDescent="0.25"/>
    <row r="103204" customFormat="1" x14ac:dyDescent="0.25"/>
    <row r="103205" customFormat="1" x14ac:dyDescent="0.25"/>
    <row r="103206" customFormat="1" x14ac:dyDescent="0.25"/>
    <row r="103207" customFormat="1" x14ac:dyDescent="0.25"/>
    <row r="103208" customFormat="1" x14ac:dyDescent="0.25"/>
    <row r="103209" customFormat="1" x14ac:dyDescent="0.25"/>
    <row r="103210" customFormat="1" x14ac:dyDescent="0.25"/>
    <row r="103211" customFormat="1" x14ac:dyDescent="0.25"/>
    <row r="103212" customFormat="1" x14ac:dyDescent="0.25"/>
    <row r="103213" customFormat="1" x14ac:dyDescent="0.25"/>
    <row r="103214" customFormat="1" x14ac:dyDescent="0.25"/>
    <row r="103215" customFormat="1" x14ac:dyDescent="0.25"/>
    <row r="103216" customFormat="1" x14ac:dyDescent="0.25"/>
    <row r="103217" customFormat="1" x14ac:dyDescent="0.25"/>
    <row r="103218" customFormat="1" x14ac:dyDescent="0.25"/>
    <row r="103219" customFormat="1" x14ac:dyDescent="0.25"/>
    <row r="103220" customFormat="1" x14ac:dyDescent="0.25"/>
    <row r="103221" customFormat="1" x14ac:dyDescent="0.25"/>
    <row r="103222" customFormat="1" x14ac:dyDescent="0.25"/>
    <row r="103223" customFormat="1" x14ac:dyDescent="0.25"/>
    <row r="103224" customFormat="1" x14ac:dyDescent="0.25"/>
    <row r="103225" customFormat="1" x14ac:dyDescent="0.25"/>
    <row r="103226" customFormat="1" x14ac:dyDescent="0.25"/>
    <row r="103227" customFormat="1" x14ac:dyDescent="0.25"/>
    <row r="103228" customFormat="1" x14ac:dyDescent="0.25"/>
    <row r="103229" customFormat="1" x14ac:dyDescent="0.25"/>
    <row r="103230" customFormat="1" x14ac:dyDescent="0.25"/>
    <row r="103231" customFormat="1" x14ac:dyDescent="0.25"/>
    <row r="103232" customFormat="1" x14ac:dyDescent="0.25"/>
    <row r="103233" customFormat="1" x14ac:dyDescent="0.25"/>
    <row r="103234" customFormat="1" x14ac:dyDescent="0.25"/>
    <row r="103235" customFormat="1" x14ac:dyDescent="0.25"/>
    <row r="103236" customFormat="1" x14ac:dyDescent="0.25"/>
    <row r="103237" customFormat="1" x14ac:dyDescent="0.25"/>
    <row r="103238" customFormat="1" x14ac:dyDescent="0.25"/>
    <row r="103239" customFormat="1" x14ac:dyDescent="0.25"/>
    <row r="103240" customFormat="1" x14ac:dyDescent="0.25"/>
    <row r="103241" customFormat="1" x14ac:dyDescent="0.25"/>
    <row r="103242" customFormat="1" x14ac:dyDescent="0.25"/>
    <row r="103243" customFormat="1" x14ac:dyDescent="0.25"/>
    <row r="103244" customFormat="1" x14ac:dyDescent="0.25"/>
    <row r="103245" customFormat="1" x14ac:dyDescent="0.25"/>
    <row r="103246" customFormat="1" x14ac:dyDescent="0.25"/>
    <row r="103247" customFormat="1" x14ac:dyDescent="0.25"/>
    <row r="103248" customFormat="1" x14ac:dyDescent="0.25"/>
    <row r="103249" customFormat="1" x14ac:dyDescent="0.25"/>
    <row r="103250" customFormat="1" x14ac:dyDescent="0.25"/>
    <row r="103251" customFormat="1" x14ac:dyDescent="0.25"/>
    <row r="103252" customFormat="1" x14ac:dyDescent="0.25"/>
    <row r="103253" customFormat="1" x14ac:dyDescent="0.25"/>
    <row r="103254" customFormat="1" x14ac:dyDescent="0.25"/>
    <row r="103255" customFormat="1" x14ac:dyDescent="0.25"/>
    <row r="103256" customFormat="1" x14ac:dyDescent="0.25"/>
    <row r="103257" customFormat="1" x14ac:dyDescent="0.25"/>
    <row r="103258" customFormat="1" x14ac:dyDescent="0.25"/>
    <row r="103259" customFormat="1" x14ac:dyDescent="0.25"/>
    <row r="103260" customFormat="1" x14ac:dyDescent="0.25"/>
    <row r="103261" customFormat="1" x14ac:dyDescent="0.25"/>
    <row r="103262" customFormat="1" x14ac:dyDescent="0.25"/>
    <row r="103263" customFormat="1" x14ac:dyDescent="0.25"/>
    <row r="103264" customFormat="1" x14ac:dyDescent="0.25"/>
    <row r="103265" customFormat="1" x14ac:dyDescent="0.25"/>
    <row r="103266" customFormat="1" x14ac:dyDescent="0.25"/>
    <row r="103267" customFormat="1" x14ac:dyDescent="0.25"/>
    <row r="103268" customFormat="1" x14ac:dyDescent="0.25"/>
    <row r="103269" customFormat="1" x14ac:dyDescent="0.25"/>
    <row r="103270" customFormat="1" x14ac:dyDescent="0.25"/>
    <row r="103271" customFormat="1" x14ac:dyDescent="0.25"/>
    <row r="103272" customFormat="1" x14ac:dyDescent="0.25"/>
    <row r="103273" customFormat="1" x14ac:dyDescent="0.25"/>
    <row r="103274" customFormat="1" x14ac:dyDescent="0.25"/>
    <row r="103275" customFormat="1" x14ac:dyDescent="0.25"/>
    <row r="103276" customFormat="1" x14ac:dyDescent="0.25"/>
    <row r="103277" customFormat="1" x14ac:dyDescent="0.25"/>
    <row r="103278" customFormat="1" x14ac:dyDescent="0.25"/>
    <row r="103279" customFormat="1" x14ac:dyDescent="0.25"/>
    <row r="103280" customFormat="1" x14ac:dyDescent="0.25"/>
    <row r="103281" customFormat="1" x14ac:dyDescent="0.25"/>
    <row r="103282" customFormat="1" x14ac:dyDescent="0.25"/>
    <row r="103283" customFormat="1" x14ac:dyDescent="0.25"/>
    <row r="103284" customFormat="1" x14ac:dyDescent="0.25"/>
    <row r="103285" customFormat="1" x14ac:dyDescent="0.25"/>
    <row r="103286" customFormat="1" x14ac:dyDescent="0.25"/>
    <row r="103287" customFormat="1" x14ac:dyDescent="0.25"/>
    <row r="103288" customFormat="1" x14ac:dyDescent="0.25"/>
    <row r="103289" customFormat="1" x14ac:dyDescent="0.25"/>
    <row r="103290" customFormat="1" x14ac:dyDescent="0.25"/>
    <row r="103291" customFormat="1" x14ac:dyDescent="0.25"/>
    <row r="103292" customFormat="1" x14ac:dyDescent="0.25"/>
    <row r="103293" customFormat="1" x14ac:dyDescent="0.25"/>
    <row r="103294" customFormat="1" x14ac:dyDescent="0.25"/>
    <row r="103295" customFormat="1" x14ac:dyDescent="0.25"/>
    <row r="103296" customFormat="1" x14ac:dyDescent="0.25"/>
    <row r="103297" customFormat="1" x14ac:dyDescent="0.25"/>
    <row r="103298" customFormat="1" x14ac:dyDescent="0.25"/>
    <row r="103299" customFormat="1" x14ac:dyDescent="0.25"/>
    <row r="103300" customFormat="1" x14ac:dyDescent="0.25"/>
    <row r="103301" customFormat="1" x14ac:dyDescent="0.25"/>
    <row r="103302" customFormat="1" x14ac:dyDescent="0.25"/>
    <row r="103303" customFormat="1" x14ac:dyDescent="0.25"/>
    <row r="103304" customFormat="1" x14ac:dyDescent="0.25"/>
    <row r="103305" customFormat="1" x14ac:dyDescent="0.25"/>
    <row r="103306" customFormat="1" x14ac:dyDescent="0.25"/>
    <row r="103307" customFormat="1" x14ac:dyDescent="0.25"/>
    <row r="103308" customFormat="1" x14ac:dyDescent="0.25"/>
    <row r="103309" customFormat="1" x14ac:dyDescent="0.25"/>
    <row r="103310" customFormat="1" x14ac:dyDescent="0.25"/>
    <row r="103311" customFormat="1" x14ac:dyDescent="0.25"/>
    <row r="103312" customFormat="1" x14ac:dyDescent="0.25"/>
    <row r="103313" customFormat="1" x14ac:dyDescent="0.25"/>
    <row r="103314" customFormat="1" x14ac:dyDescent="0.25"/>
    <row r="103315" customFormat="1" x14ac:dyDescent="0.25"/>
    <row r="103316" customFormat="1" x14ac:dyDescent="0.25"/>
    <row r="103317" customFormat="1" x14ac:dyDescent="0.25"/>
    <row r="103318" customFormat="1" x14ac:dyDescent="0.25"/>
    <row r="103319" customFormat="1" x14ac:dyDescent="0.25"/>
    <row r="103320" customFormat="1" x14ac:dyDescent="0.25"/>
    <row r="103321" customFormat="1" x14ac:dyDescent="0.25"/>
    <row r="103322" customFormat="1" x14ac:dyDescent="0.25"/>
    <row r="103323" customFormat="1" x14ac:dyDescent="0.25"/>
    <row r="103324" customFormat="1" x14ac:dyDescent="0.25"/>
    <row r="103325" customFormat="1" x14ac:dyDescent="0.25"/>
    <row r="103326" customFormat="1" x14ac:dyDescent="0.25"/>
    <row r="103327" customFormat="1" x14ac:dyDescent="0.25"/>
    <row r="103328" customFormat="1" x14ac:dyDescent="0.25"/>
    <row r="103329" customFormat="1" x14ac:dyDescent="0.25"/>
    <row r="103330" customFormat="1" x14ac:dyDescent="0.25"/>
    <row r="103331" customFormat="1" x14ac:dyDescent="0.25"/>
    <row r="103332" customFormat="1" x14ac:dyDescent="0.25"/>
    <row r="103333" customFormat="1" x14ac:dyDescent="0.25"/>
    <row r="103334" customFormat="1" x14ac:dyDescent="0.25"/>
    <row r="103335" customFormat="1" x14ac:dyDescent="0.25"/>
    <row r="103336" customFormat="1" x14ac:dyDescent="0.25"/>
    <row r="103337" customFormat="1" x14ac:dyDescent="0.25"/>
    <row r="103338" customFormat="1" x14ac:dyDescent="0.25"/>
    <row r="103339" customFormat="1" x14ac:dyDescent="0.25"/>
    <row r="103340" customFormat="1" x14ac:dyDescent="0.25"/>
    <row r="103341" customFormat="1" x14ac:dyDescent="0.25"/>
    <row r="103342" customFormat="1" x14ac:dyDescent="0.25"/>
    <row r="103343" customFormat="1" x14ac:dyDescent="0.25"/>
    <row r="103344" customFormat="1" x14ac:dyDescent="0.25"/>
    <row r="103345" customFormat="1" x14ac:dyDescent="0.25"/>
    <row r="103346" customFormat="1" x14ac:dyDescent="0.25"/>
    <row r="103347" customFormat="1" x14ac:dyDescent="0.25"/>
    <row r="103348" customFormat="1" x14ac:dyDescent="0.25"/>
    <row r="103349" customFormat="1" x14ac:dyDescent="0.25"/>
    <row r="103350" customFormat="1" x14ac:dyDescent="0.25"/>
    <row r="103351" customFormat="1" x14ac:dyDescent="0.25"/>
    <row r="103352" customFormat="1" x14ac:dyDescent="0.25"/>
    <row r="103353" customFormat="1" x14ac:dyDescent="0.25"/>
    <row r="103354" customFormat="1" x14ac:dyDescent="0.25"/>
    <row r="103355" customFormat="1" x14ac:dyDescent="0.25"/>
    <row r="103356" customFormat="1" x14ac:dyDescent="0.25"/>
    <row r="103357" customFormat="1" x14ac:dyDescent="0.25"/>
    <row r="103358" customFormat="1" x14ac:dyDescent="0.25"/>
    <row r="103359" customFormat="1" x14ac:dyDescent="0.25"/>
    <row r="103360" customFormat="1" x14ac:dyDescent="0.25"/>
    <row r="103361" customFormat="1" x14ac:dyDescent="0.25"/>
    <row r="103362" customFormat="1" x14ac:dyDescent="0.25"/>
    <row r="103363" customFormat="1" x14ac:dyDescent="0.25"/>
    <row r="103364" customFormat="1" x14ac:dyDescent="0.25"/>
    <row r="103365" customFormat="1" x14ac:dyDescent="0.25"/>
    <row r="103366" customFormat="1" x14ac:dyDescent="0.25"/>
    <row r="103367" customFormat="1" x14ac:dyDescent="0.25"/>
    <row r="103368" customFormat="1" x14ac:dyDescent="0.25"/>
    <row r="103369" customFormat="1" x14ac:dyDescent="0.25"/>
    <row r="103370" customFormat="1" x14ac:dyDescent="0.25"/>
    <row r="103371" customFormat="1" x14ac:dyDescent="0.25"/>
    <row r="103372" customFormat="1" x14ac:dyDescent="0.25"/>
    <row r="103373" customFormat="1" x14ac:dyDescent="0.25"/>
    <row r="103374" customFormat="1" x14ac:dyDescent="0.25"/>
    <row r="103375" customFormat="1" x14ac:dyDescent="0.25"/>
    <row r="103376" customFormat="1" x14ac:dyDescent="0.25"/>
    <row r="103377" customFormat="1" x14ac:dyDescent="0.25"/>
    <row r="103378" customFormat="1" x14ac:dyDescent="0.25"/>
    <row r="103379" customFormat="1" x14ac:dyDescent="0.25"/>
    <row r="103380" customFormat="1" x14ac:dyDescent="0.25"/>
    <row r="103381" customFormat="1" x14ac:dyDescent="0.25"/>
    <row r="103382" customFormat="1" x14ac:dyDescent="0.25"/>
    <row r="103383" customFormat="1" x14ac:dyDescent="0.25"/>
    <row r="103384" customFormat="1" x14ac:dyDescent="0.25"/>
    <row r="103385" customFormat="1" x14ac:dyDescent="0.25"/>
    <row r="103386" customFormat="1" x14ac:dyDescent="0.25"/>
    <row r="103387" customFormat="1" x14ac:dyDescent="0.25"/>
    <row r="103388" customFormat="1" x14ac:dyDescent="0.25"/>
    <row r="103389" customFormat="1" x14ac:dyDescent="0.25"/>
    <row r="103390" customFormat="1" x14ac:dyDescent="0.25"/>
    <row r="103391" customFormat="1" x14ac:dyDescent="0.25"/>
    <row r="103392" customFormat="1" x14ac:dyDescent="0.25"/>
    <row r="103393" customFormat="1" x14ac:dyDescent="0.25"/>
    <row r="103394" customFormat="1" x14ac:dyDescent="0.25"/>
    <row r="103395" customFormat="1" x14ac:dyDescent="0.25"/>
    <row r="103396" customFormat="1" x14ac:dyDescent="0.25"/>
    <row r="103397" customFormat="1" x14ac:dyDescent="0.25"/>
    <row r="103398" customFormat="1" x14ac:dyDescent="0.25"/>
    <row r="103399" customFormat="1" x14ac:dyDescent="0.25"/>
    <row r="103400" customFormat="1" x14ac:dyDescent="0.25"/>
    <row r="103401" customFormat="1" x14ac:dyDescent="0.25"/>
    <row r="103402" customFormat="1" x14ac:dyDescent="0.25"/>
    <row r="103403" customFormat="1" x14ac:dyDescent="0.25"/>
    <row r="103404" customFormat="1" x14ac:dyDescent="0.25"/>
    <row r="103405" customFormat="1" x14ac:dyDescent="0.25"/>
    <row r="103406" customFormat="1" x14ac:dyDescent="0.25"/>
    <row r="103407" customFormat="1" x14ac:dyDescent="0.25"/>
    <row r="103408" customFormat="1" x14ac:dyDescent="0.25"/>
    <row r="103409" customFormat="1" x14ac:dyDescent="0.25"/>
    <row r="103410" customFormat="1" x14ac:dyDescent="0.25"/>
    <row r="103411" customFormat="1" x14ac:dyDescent="0.25"/>
    <row r="103412" customFormat="1" x14ac:dyDescent="0.25"/>
    <row r="103413" customFormat="1" x14ac:dyDescent="0.25"/>
    <row r="103414" customFormat="1" x14ac:dyDescent="0.25"/>
    <row r="103415" customFormat="1" x14ac:dyDescent="0.25"/>
    <row r="103416" customFormat="1" x14ac:dyDescent="0.25"/>
    <row r="103417" customFormat="1" x14ac:dyDescent="0.25"/>
    <row r="103418" customFormat="1" x14ac:dyDescent="0.25"/>
    <row r="103419" customFormat="1" x14ac:dyDescent="0.25"/>
    <row r="103420" customFormat="1" x14ac:dyDescent="0.25"/>
    <row r="103421" customFormat="1" x14ac:dyDescent="0.25"/>
    <row r="103422" customFormat="1" x14ac:dyDescent="0.25"/>
    <row r="103423" customFormat="1" x14ac:dyDescent="0.25"/>
    <row r="103424" customFormat="1" x14ac:dyDescent="0.25"/>
    <row r="103425" customFormat="1" x14ac:dyDescent="0.25"/>
    <row r="103426" customFormat="1" x14ac:dyDescent="0.25"/>
    <row r="103427" customFormat="1" x14ac:dyDescent="0.25"/>
    <row r="103428" customFormat="1" x14ac:dyDescent="0.25"/>
    <row r="103429" customFormat="1" x14ac:dyDescent="0.25"/>
    <row r="103430" customFormat="1" x14ac:dyDescent="0.25"/>
    <row r="103431" customFormat="1" x14ac:dyDescent="0.25"/>
    <row r="103432" customFormat="1" x14ac:dyDescent="0.25"/>
    <row r="103433" customFormat="1" x14ac:dyDescent="0.25"/>
    <row r="103434" customFormat="1" x14ac:dyDescent="0.25"/>
    <row r="103435" customFormat="1" x14ac:dyDescent="0.25"/>
    <row r="103436" customFormat="1" x14ac:dyDescent="0.25"/>
    <row r="103437" customFormat="1" x14ac:dyDescent="0.25"/>
    <row r="103438" customFormat="1" x14ac:dyDescent="0.25"/>
    <row r="103439" customFormat="1" x14ac:dyDescent="0.25"/>
    <row r="103440" customFormat="1" x14ac:dyDescent="0.25"/>
    <row r="103441" customFormat="1" x14ac:dyDescent="0.25"/>
    <row r="103442" customFormat="1" x14ac:dyDescent="0.25"/>
    <row r="103443" customFormat="1" x14ac:dyDescent="0.25"/>
    <row r="103444" customFormat="1" x14ac:dyDescent="0.25"/>
    <row r="103445" customFormat="1" x14ac:dyDescent="0.25"/>
    <row r="103446" customFormat="1" x14ac:dyDescent="0.25"/>
    <row r="103447" customFormat="1" x14ac:dyDescent="0.25"/>
    <row r="103448" customFormat="1" x14ac:dyDescent="0.25"/>
    <row r="103449" customFormat="1" x14ac:dyDescent="0.25"/>
    <row r="103450" customFormat="1" x14ac:dyDescent="0.25"/>
    <row r="103451" customFormat="1" x14ac:dyDescent="0.25"/>
    <row r="103452" customFormat="1" x14ac:dyDescent="0.25"/>
    <row r="103453" customFormat="1" x14ac:dyDescent="0.25"/>
    <row r="103454" customFormat="1" x14ac:dyDescent="0.25"/>
    <row r="103455" customFormat="1" x14ac:dyDescent="0.25"/>
    <row r="103456" customFormat="1" x14ac:dyDescent="0.25"/>
    <row r="103457" customFormat="1" x14ac:dyDescent="0.25"/>
    <row r="103458" customFormat="1" x14ac:dyDescent="0.25"/>
    <row r="103459" customFormat="1" x14ac:dyDescent="0.25"/>
    <row r="103460" customFormat="1" x14ac:dyDescent="0.25"/>
    <row r="103461" customFormat="1" x14ac:dyDescent="0.25"/>
    <row r="103462" customFormat="1" x14ac:dyDescent="0.25"/>
    <row r="103463" customFormat="1" x14ac:dyDescent="0.25"/>
    <row r="103464" customFormat="1" x14ac:dyDescent="0.25"/>
    <row r="103465" customFormat="1" x14ac:dyDescent="0.25"/>
    <row r="103466" customFormat="1" x14ac:dyDescent="0.25"/>
    <row r="103467" customFormat="1" x14ac:dyDescent="0.25"/>
    <row r="103468" customFormat="1" x14ac:dyDescent="0.25"/>
    <row r="103469" customFormat="1" x14ac:dyDescent="0.25"/>
    <row r="103470" customFormat="1" x14ac:dyDescent="0.25"/>
    <row r="103471" customFormat="1" x14ac:dyDescent="0.25"/>
    <row r="103472" customFormat="1" x14ac:dyDescent="0.25"/>
    <row r="103473" customFormat="1" x14ac:dyDescent="0.25"/>
    <row r="103474" customFormat="1" x14ac:dyDescent="0.25"/>
    <row r="103475" customFormat="1" x14ac:dyDescent="0.25"/>
    <row r="103476" customFormat="1" x14ac:dyDescent="0.25"/>
    <row r="103477" customFormat="1" x14ac:dyDescent="0.25"/>
    <row r="103478" customFormat="1" x14ac:dyDescent="0.25"/>
    <row r="103479" customFormat="1" x14ac:dyDescent="0.25"/>
    <row r="103480" customFormat="1" x14ac:dyDescent="0.25"/>
    <row r="103481" customFormat="1" x14ac:dyDescent="0.25"/>
    <row r="103482" customFormat="1" x14ac:dyDescent="0.25"/>
    <row r="103483" customFormat="1" x14ac:dyDescent="0.25"/>
    <row r="103484" customFormat="1" x14ac:dyDescent="0.25"/>
    <row r="103485" customFormat="1" x14ac:dyDescent="0.25"/>
    <row r="103486" customFormat="1" x14ac:dyDescent="0.25"/>
    <row r="103487" customFormat="1" x14ac:dyDescent="0.25"/>
    <row r="103488" customFormat="1" x14ac:dyDescent="0.25"/>
    <row r="103489" customFormat="1" x14ac:dyDescent="0.25"/>
    <row r="103490" customFormat="1" x14ac:dyDescent="0.25"/>
    <row r="103491" customFormat="1" x14ac:dyDescent="0.25"/>
    <row r="103492" customFormat="1" x14ac:dyDescent="0.25"/>
    <row r="103493" customFormat="1" x14ac:dyDescent="0.25"/>
    <row r="103494" customFormat="1" x14ac:dyDescent="0.25"/>
    <row r="103495" customFormat="1" x14ac:dyDescent="0.25"/>
    <row r="103496" customFormat="1" x14ac:dyDescent="0.25"/>
    <row r="103497" customFormat="1" x14ac:dyDescent="0.25"/>
    <row r="103498" customFormat="1" x14ac:dyDescent="0.25"/>
    <row r="103499" customFormat="1" x14ac:dyDescent="0.25"/>
    <row r="103500" customFormat="1" x14ac:dyDescent="0.25"/>
    <row r="103501" customFormat="1" x14ac:dyDescent="0.25"/>
    <row r="103502" customFormat="1" x14ac:dyDescent="0.25"/>
    <row r="103503" customFormat="1" x14ac:dyDescent="0.25"/>
    <row r="103504" customFormat="1" x14ac:dyDescent="0.25"/>
    <row r="103505" customFormat="1" x14ac:dyDescent="0.25"/>
    <row r="103506" customFormat="1" x14ac:dyDescent="0.25"/>
    <row r="103507" customFormat="1" x14ac:dyDescent="0.25"/>
    <row r="103508" customFormat="1" x14ac:dyDescent="0.25"/>
    <row r="103509" customFormat="1" x14ac:dyDescent="0.25"/>
    <row r="103510" customFormat="1" x14ac:dyDescent="0.25"/>
    <row r="103511" customFormat="1" x14ac:dyDescent="0.25"/>
    <row r="103512" customFormat="1" x14ac:dyDescent="0.25"/>
    <row r="103513" customFormat="1" x14ac:dyDescent="0.25"/>
    <row r="103514" customFormat="1" x14ac:dyDescent="0.25"/>
    <row r="103515" customFormat="1" x14ac:dyDescent="0.25"/>
    <row r="103516" customFormat="1" x14ac:dyDescent="0.25"/>
    <row r="103517" customFormat="1" x14ac:dyDescent="0.25"/>
    <row r="103518" customFormat="1" x14ac:dyDescent="0.25"/>
    <row r="103519" customFormat="1" x14ac:dyDescent="0.25"/>
    <row r="103520" customFormat="1" x14ac:dyDescent="0.25"/>
    <row r="103521" customFormat="1" x14ac:dyDescent="0.25"/>
    <row r="103522" customFormat="1" x14ac:dyDescent="0.25"/>
    <row r="103523" customFormat="1" x14ac:dyDescent="0.25"/>
    <row r="103524" customFormat="1" x14ac:dyDescent="0.25"/>
    <row r="103525" customFormat="1" x14ac:dyDescent="0.25"/>
    <row r="103526" customFormat="1" x14ac:dyDescent="0.25"/>
    <row r="103527" customFormat="1" x14ac:dyDescent="0.25"/>
    <row r="103528" customFormat="1" x14ac:dyDescent="0.25"/>
    <row r="103529" customFormat="1" x14ac:dyDescent="0.25"/>
    <row r="103530" customFormat="1" x14ac:dyDescent="0.25"/>
    <row r="103531" customFormat="1" x14ac:dyDescent="0.25"/>
    <row r="103532" customFormat="1" x14ac:dyDescent="0.25"/>
    <row r="103533" customFormat="1" x14ac:dyDescent="0.25"/>
    <row r="103534" customFormat="1" x14ac:dyDescent="0.25"/>
    <row r="103535" customFormat="1" x14ac:dyDescent="0.25"/>
    <row r="103536" customFormat="1" x14ac:dyDescent="0.25"/>
    <row r="103537" customFormat="1" x14ac:dyDescent="0.25"/>
    <row r="103538" customFormat="1" x14ac:dyDescent="0.25"/>
    <row r="103539" customFormat="1" x14ac:dyDescent="0.25"/>
    <row r="103540" customFormat="1" x14ac:dyDescent="0.25"/>
    <row r="103541" customFormat="1" x14ac:dyDescent="0.25"/>
    <row r="103542" customFormat="1" x14ac:dyDescent="0.25"/>
    <row r="103543" customFormat="1" x14ac:dyDescent="0.25"/>
    <row r="103544" customFormat="1" x14ac:dyDescent="0.25"/>
    <row r="103545" customFormat="1" x14ac:dyDescent="0.25"/>
    <row r="103546" customFormat="1" x14ac:dyDescent="0.25"/>
    <row r="103547" customFormat="1" x14ac:dyDescent="0.25"/>
    <row r="103548" customFormat="1" x14ac:dyDescent="0.25"/>
    <row r="103549" customFormat="1" x14ac:dyDescent="0.25"/>
    <row r="103550" customFormat="1" x14ac:dyDescent="0.25"/>
    <row r="103551" customFormat="1" x14ac:dyDescent="0.25"/>
    <row r="103552" customFormat="1" x14ac:dyDescent="0.25"/>
    <row r="103553" customFormat="1" x14ac:dyDescent="0.25"/>
    <row r="103554" customFormat="1" x14ac:dyDescent="0.25"/>
    <row r="103555" customFormat="1" x14ac:dyDescent="0.25"/>
    <row r="103556" customFormat="1" x14ac:dyDescent="0.25"/>
    <row r="103557" customFormat="1" x14ac:dyDescent="0.25"/>
    <row r="103558" customFormat="1" x14ac:dyDescent="0.25"/>
    <row r="103559" customFormat="1" x14ac:dyDescent="0.25"/>
    <row r="103560" customFormat="1" x14ac:dyDescent="0.25"/>
    <row r="103561" customFormat="1" x14ac:dyDescent="0.25"/>
    <row r="103562" customFormat="1" x14ac:dyDescent="0.25"/>
    <row r="103563" customFormat="1" x14ac:dyDescent="0.25"/>
    <row r="103564" customFormat="1" x14ac:dyDescent="0.25"/>
    <row r="103565" customFormat="1" x14ac:dyDescent="0.25"/>
    <row r="103566" customFormat="1" x14ac:dyDescent="0.25"/>
    <row r="103567" customFormat="1" x14ac:dyDescent="0.25"/>
    <row r="103568" customFormat="1" x14ac:dyDescent="0.25"/>
    <row r="103569" customFormat="1" x14ac:dyDescent="0.25"/>
    <row r="103570" customFormat="1" x14ac:dyDescent="0.25"/>
    <row r="103571" customFormat="1" x14ac:dyDescent="0.25"/>
    <row r="103572" customFormat="1" x14ac:dyDescent="0.25"/>
    <row r="103573" customFormat="1" x14ac:dyDescent="0.25"/>
    <row r="103574" customFormat="1" x14ac:dyDescent="0.25"/>
    <row r="103575" customFormat="1" x14ac:dyDescent="0.25"/>
    <row r="103576" customFormat="1" x14ac:dyDescent="0.25"/>
    <row r="103577" customFormat="1" x14ac:dyDescent="0.25"/>
    <row r="103578" customFormat="1" x14ac:dyDescent="0.25"/>
    <row r="103579" customFormat="1" x14ac:dyDescent="0.25"/>
    <row r="103580" customFormat="1" x14ac:dyDescent="0.25"/>
    <row r="103581" customFormat="1" x14ac:dyDescent="0.25"/>
    <row r="103582" customFormat="1" x14ac:dyDescent="0.25"/>
    <row r="103583" customFormat="1" x14ac:dyDescent="0.25"/>
    <row r="103584" customFormat="1" x14ac:dyDescent="0.25"/>
    <row r="103585" customFormat="1" x14ac:dyDescent="0.25"/>
    <row r="103586" customFormat="1" x14ac:dyDescent="0.25"/>
    <row r="103587" customFormat="1" x14ac:dyDescent="0.25"/>
    <row r="103588" customFormat="1" x14ac:dyDescent="0.25"/>
    <row r="103589" customFormat="1" x14ac:dyDescent="0.25"/>
    <row r="103590" customFormat="1" x14ac:dyDescent="0.25"/>
    <row r="103591" customFormat="1" x14ac:dyDescent="0.25"/>
    <row r="103592" customFormat="1" x14ac:dyDescent="0.25"/>
    <row r="103593" customFormat="1" x14ac:dyDescent="0.25"/>
    <row r="103594" customFormat="1" x14ac:dyDescent="0.25"/>
    <row r="103595" customFormat="1" x14ac:dyDescent="0.25"/>
    <row r="103596" customFormat="1" x14ac:dyDescent="0.25"/>
    <row r="103597" customFormat="1" x14ac:dyDescent="0.25"/>
    <row r="103598" customFormat="1" x14ac:dyDescent="0.25"/>
    <row r="103599" customFormat="1" x14ac:dyDescent="0.25"/>
    <row r="103600" customFormat="1" x14ac:dyDescent="0.25"/>
    <row r="103601" customFormat="1" x14ac:dyDescent="0.25"/>
    <row r="103602" customFormat="1" x14ac:dyDescent="0.25"/>
    <row r="103603" customFormat="1" x14ac:dyDescent="0.25"/>
    <row r="103604" customFormat="1" x14ac:dyDescent="0.25"/>
    <row r="103605" customFormat="1" x14ac:dyDescent="0.25"/>
    <row r="103606" customFormat="1" x14ac:dyDescent="0.25"/>
    <row r="103607" customFormat="1" x14ac:dyDescent="0.25"/>
    <row r="103608" customFormat="1" x14ac:dyDescent="0.25"/>
    <row r="103609" customFormat="1" x14ac:dyDescent="0.25"/>
    <row r="103610" customFormat="1" x14ac:dyDescent="0.25"/>
    <row r="103611" customFormat="1" x14ac:dyDescent="0.25"/>
    <row r="103612" customFormat="1" x14ac:dyDescent="0.25"/>
    <row r="103613" customFormat="1" x14ac:dyDescent="0.25"/>
    <row r="103614" customFormat="1" x14ac:dyDescent="0.25"/>
    <row r="103615" customFormat="1" x14ac:dyDescent="0.25"/>
    <row r="103616" customFormat="1" x14ac:dyDescent="0.25"/>
    <row r="103617" customFormat="1" x14ac:dyDescent="0.25"/>
    <row r="103618" customFormat="1" x14ac:dyDescent="0.25"/>
    <row r="103619" customFormat="1" x14ac:dyDescent="0.25"/>
    <row r="103620" customFormat="1" x14ac:dyDescent="0.25"/>
    <row r="103621" customFormat="1" x14ac:dyDescent="0.25"/>
    <row r="103622" customFormat="1" x14ac:dyDescent="0.25"/>
    <row r="103623" customFormat="1" x14ac:dyDescent="0.25"/>
    <row r="103624" customFormat="1" x14ac:dyDescent="0.25"/>
    <row r="103625" customFormat="1" x14ac:dyDescent="0.25"/>
    <row r="103626" customFormat="1" x14ac:dyDescent="0.25"/>
    <row r="103627" customFormat="1" x14ac:dyDescent="0.25"/>
    <row r="103628" customFormat="1" x14ac:dyDescent="0.25"/>
    <row r="103629" customFormat="1" x14ac:dyDescent="0.25"/>
    <row r="103630" customFormat="1" x14ac:dyDescent="0.25"/>
    <row r="103631" customFormat="1" x14ac:dyDescent="0.25"/>
    <row r="103632" customFormat="1" x14ac:dyDescent="0.25"/>
    <row r="103633" customFormat="1" x14ac:dyDescent="0.25"/>
    <row r="103634" customFormat="1" x14ac:dyDescent="0.25"/>
    <row r="103635" customFormat="1" x14ac:dyDescent="0.25"/>
    <row r="103636" customFormat="1" x14ac:dyDescent="0.25"/>
    <row r="103637" customFormat="1" x14ac:dyDescent="0.25"/>
    <row r="103638" customFormat="1" x14ac:dyDescent="0.25"/>
    <row r="103639" customFormat="1" x14ac:dyDescent="0.25"/>
    <row r="103640" customFormat="1" x14ac:dyDescent="0.25"/>
    <row r="103641" customFormat="1" x14ac:dyDescent="0.25"/>
    <row r="103642" customFormat="1" x14ac:dyDescent="0.25"/>
    <row r="103643" customFormat="1" x14ac:dyDescent="0.25"/>
    <row r="103644" customFormat="1" x14ac:dyDescent="0.25"/>
    <row r="103645" customFormat="1" x14ac:dyDescent="0.25"/>
    <row r="103646" customFormat="1" x14ac:dyDescent="0.25"/>
    <row r="103647" customFormat="1" x14ac:dyDescent="0.25"/>
    <row r="103648" customFormat="1" x14ac:dyDescent="0.25"/>
    <row r="103649" customFormat="1" x14ac:dyDescent="0.25"/>
    <row r="103650" customFormat="1" x14ac:dyDescent="0.25"/>
    <row r="103651" customFormat="1" x14ac:dyDescent="0.25"/>
    <row r="103652" customFormat="1" x14ac:dyDescent="0.25"/>
    <row r="103653" customFormat="1" x14ac:dyDescent="0.25"/>
    <row r="103654" customFormat="1" x14ac:dyDescent="0.25"/>
    <row r="103655" customFormat="1" x14ac:dyDescent="0.25"/>
    <row r="103656" customFormat="1" x14ac:dyDescent="0.25"/>
    <row r="103657" customFormat="1" x14ac:dyDescent="0.25"/>
    <row r="103658" customFormat="1" x14ac:dyDescent="0.25"/>
    <row r="103659" customFormat="1" x14ac:dyDescent="0.25"/>
    <row r="103660" customFormat="1" x14ac:dyDescent="0.25"/>
    <row r="103661" customFormat="1" x14ac:dyDescent="0.25"/>
    <row r="103662" customFormat="1" x14ac:dyDescent="0.25"/>
    <row r="103663" customFormat="1" x14ac:dyDescent="0.25"/>
    <row r="103664" customFormat="1" x14ac:dyDescent="0.25"/>
    <row r="103665" customFormat="1" x14ac:dyDescent="0.25"/>
    <row r="103666" customFormat="1" x14ac:dyDescent="0.25"/>
    <row r="103667" customFormat="1" x14ac:dyDescent="0.25"/>
    <row r="103668" customFormat="1" x14ac:dyDescent="0.25"/>
    <row r="103669" customFormat="1" x14ac:dyDescent="0.25"/>
    <row r="103670" customFormat="1" x14ac:dyDescent="0.25"/>
    <row r="103671" customFormat="1" x14ac:dyDescent="0.25"/>
    <row r="103672" customFormat="1" x14ac:dyDescent="0.25"/>
    <row r="103673" customFormat="1" x14ac:dyDescent="0.25"/>
    <row r="103674" customFormat="1" x14ac:dyDescent="0.25"/>
    <row r="103675" customFormat="1" x14ac:dyDescent="0.25"/>
    <row r="103676" customFormat="1" x14ac:dyDescent="0.25"/>
    <row r="103677" customFormat="1" x14ac:dyDescent="0.25"/>
    <row r="103678" customFormat="1" x14ac:dyDescent="0.25"/>
    <row r="103679" customFormat="1" x14ac:dyDescent="0.25"/>
    <row r="103680" customFormat="1" x14ac:dyDescent="0.25"/>
    <row r="103681" customFormat="1" x14ac:dyDescent="0.25"/>
    <row r="103682" customFormat="1" x14ac:dyDescent="0.25"/>
    <row r="103683" customFormat="1" x14ac:dyDescent="0.25"/>
    <row r="103684" customFormat="1" x14ac:dyDescent="0.25"/>
    <row r="103685" customFormat="1" x14ac:dyDescent="0.25"/>
    <row r="103686" customFormat="1" x14ac:dyDescent="0.25"/>
    <row r="103687" customFormat="1" x14ac:dyDescent="0.25"/>
    <row r="103688" customFormat="1" x14ac:dyDescent="0.25"/>
    <row r="103689" customFormat="1" x14ac:dyDescent="0.25"/>
    <row r="103690" customFormat="1" x14ac:dyDescent="0.25"/>
    <row r="103691" customFormat="1" x14ac:dyDescent="0.25"/>
    <row r="103692" customFormat="1" x14ac:dyDescent="0.25"/>
    <row r="103693" customFormat="1" x14ac:dyDescent="0.25"/>
    <row r="103694" customFormat="1" x14ac:dyDescent="0.25"/>
    <row r="103695" customFormat="1" x14ac:dyDescent="0.25"/>
    <row r="103696" customFormat="1" x14ac:dyDescent="0.25"/>
    <row r="103697" customFormat="1" x14ac:dyDescent="0.25"/>
    <row r="103698" customFormat="1" x14ac:dyDescent="0.25"/>
    <row r="103699" customFormat="1" x14ac:dyDescent="0.25"/>
    <row r="103700" customFormat="1" x14ac:dyDescent="0.25"/>
    <row r="103701" customFormat="1" x14ac:dyDescent="0.25"/>
    <row r="103702" customFormat="1" x14ac:dyDescent="0.25"/>
    <row r="103703" customFormat="1" x14ac:dyDescent="0.25"/>
    <row r="103704" customFormat="1" x14ac:dyDescent="0.25"/>
    <row r="103705" customFormat="1" x14ac:dyDescent="0.25"/>
    <row r="103706" customFormat="1" x14ac:dyDescent="0.25"/>
    <row r="103707" customFormat="1" x14ac:dyDescent="0.25"/>
    <row r="103708" customFormat="1" x14ac:dyDescent="0.25"/>
    <row r="103709" customFormat="1" x14ac:dyDescent="0.25"/>
    <row r="103710" customFormat="1" x14ac:dyDescent="0.25"/>
    <row r="103711" customFormat="1" x14ac:dyDescent="0.25"/>
    <row r="103712" customFormat="1" x14ac:dyDescent="0.25"/>
    <row r="103713" customFormat="1" x14ac:dyDescent="0.25"/>
    <row r="103714" customFormat="1" x14ac:dyDescent="0.25"/>
    <row r="103715" customFormat="1" x14ac:dyDescent="0.25"/>
    <row r="103716" customFormat="1" x14ac:dyDescent="0.25"/>
    <row r="103717" customFormat="1" x14ac:dyDescent="0.25"/>
    <row r="103718" customFormat="1" x14ac:dyDescent="0.25"/>
    <row r="103719" customFormat="1" x14ac:dyDescent="0.25"/>
    <row r="103720" customFormat="1" x14ac:dyDescent="0.25"/>
    <row r="103721" customFormat="1" x14ac:dyDescent="0.25"/>
    <row r="103722" customFormat="1" x14ac:dyDescent="0.25"/>
    <row r="103723" customFormat="1" x14ac:dyDescent="0.25"/>
    <row r="103724" customFormat="1" x14ac:dyDescent="0.25"/>
    <row r="103725" customFormat="1" x14ac:dyDescent="0.25"/>
    <row r="103726" customFormat="1" x14ac:dyDescent="0.25"/>
    <row r="103727" customFormat="1" x14ac:dyDescent="0.25"/>
    <row r="103728" customFormat="1" x14ac:dyDescent="0.25"/>
    <row r="103729" customFormat="1" x14ac:dyDescent="0.25"/>
    <row r="103730" customFormat="1" x14ac:dyDescent="0.25"/>
    <row r="103731" customFormat="1" x14ac:dyDescent="0.25"/>
    <row r="103732" customFormat="1" x14ac:dyDescent="0.25"/>
    <row r="103733" customFormat="1" x14ac:dyDescent="0.25"/>
    <row r="103734" customFormat="1" x14ac:dyDescent="0.25"/>
    <row r="103735" customFormat="1" x14ac:dyDescent="0.25"/>
    <row r="103736" customFormat="1" x14ac:dyDescent="0.25"/>
    <row r="103737" customFormat="1" x14ac:dyDescent="0.25"/>
    <row r="103738" customFormat="1" x14ac:dyDescent="0.25"/>
    <row r="103739" customFormat="1" x14ac:dyDescent="0.25"/>
    <row r="103740" customFormat="1" x14ac:dyDescent="0.25"/>
    <row r="103741" customFormat="1" x14ac:dyDescent="0.25"/>
    <row r="103742" customFormat="1" x14ac:dyDescent="0.25"/>
    <row r="103743" customFormat="1" x14ac:dyDescent="0.25"/>
    <row r="103744" customFormat="1" x14ac:dyDescent="0.25"/>
    <row r="103745" customFormat="1" x14ac:dyDescent="0.25"/>
    <row r="103746" customFormat="1" x14ac:dyDescent="0.25"/>
    <row r="103747" customFormat="1" x14ac:dyDescent="0.25"/>
    <row r="103748" customFormat="1" x14ac:dyDescent="0.25"/>
    <row r="103749" customFormat="1" x14ac:dyDescent="0.25"/>
    <row r="103750" customFormat="1" x14ac:dyDescent="0.25"/>
    <row r="103751" customFormat="1" x14ac:dyDescent="0.25"/>
    <row r="103752" customFormat="1" x14ac:dyDescent="0.25"/>
    <row r="103753" customFormat="1" x14ac:dyDescent="0.25"/>
    <row r="103754" customFormat="1" x14ac:dyDescent="0.25"/>
    <row r="103755" customFormat="1" x14ac:dyDescent="0.25"/>
    <row r="103756" customFormat="1" x14ac:dyDescent="0.25"/>
    <row r="103757" customFormat="1" x14ac:dyDescent="0.25"/>
    <row r="103758" customFormat="1" x14ac:dyDescent="0.25"/>
    <row r="103759" customFormat="1" x14ac:dyDescent="0.25"/>
    <row r="103760" customFormat="1" x14ac:dyDescent="0.25"/>
    <row r="103761" customFormat="1" x14ac:dyDescent="0.25"/>
    <row r="103762" customFormat="1" x14ac:dyDescent="0.25"/>
    <row r="103763" customFormat="1" x14ac:dyDescent="0.25"/>
    <row r="103764" customFormat="1" x14ac:dyDescent="0.25"/>
    <row r="103765" customFormat="1" x14ac:dyDescent="0.25"/>
    <row r="103766" customFormat="1" x14ac:dyDescent="0.25"/>
    <row r="103767" customFormat="1" x14ac:dyDescent="0.25"/>
    <row r="103768" customFormat="1" x14ac:dyDescent="0.25"/>
    <row r="103769" customFormat="1" x14ac:dyDescent="0.25"/>
    <row r="103770" customFormat="1" x14ac:dyDescent="0.25"/>
    <row r="103771" customFormat="1" x14ac:dyDescent="0.25"/>
    <row r="103772" customFormat="1" x14ac:dyDescent="0.25"/>
    <row r="103773" customFormat="1" x14ac:dyDescent="0.25"/>
    <row r="103774" customFormat="1" x14ac:dyDescent="0.25"/>
    <row r="103775" customFormat="1" x14ac:dyDescent="0.25"/>
    <row r="103776" customFormat="1" x14ac:dyDescent="0.25"/>
    <row r="103777" customFormat="1" x14ac:dyDescent="0.25"/>
    <row r="103778" customFormat="1" x14ac:dyDescent="0.25"/>
    <row r="103779" customFormat="1" x14ac:dyDescent="0.25"/>
    <row r="103780" customFormat="1" x14ac:dyDescent="0.25"/>
    <row r="103781" customFormat="1" x14ac:dyDescent="0.25"/>
    <row r="103782" customFormat="1" x14ac:dyDescent="0.25"/>
    <row r="103783" customFormat="1" x14ac:dyDescent="0.25"/>
    <row r="103784" customFormat="1" x14ac:dyDescent="0.25"/>
    <row r="103785" customFormat="1" x14ac:dyDescent="0.25"/>
    <row r="103786" customFormat="1" x14ac:dyDescent="0.25"/>
    <row r="103787" customFormat="1" x14ac:dyDescent="0.25"/>
    <row r="103788" customFormat="1" x14ac:dyDescent="0.25"/>
    <row r="103789" customFormat="1" x14ac:dyDescent="0.25"/>
    <row r="103790" customFormat="1" x14ac:dyDescent="0.25"/>
    <row r="103791" customFormat="1" x14ac:dyDescent="0.25"/>
    <row r="103792" customFormat="1" x14ac:dyDescent="0.25"/>
    <row r="103793" customFormat="1" x14ac:dyDescent="0.25"/>
    <row r="103794" customFormat="1" x14ac:dyDescent="0.25"/>
    <row r="103795" customFormat="1" x14ac:dyDescent="0.25"/>
    <row r="103796" customFormat="1" x14ac:dyDescent="0.25"/>
    <row r="103797" customFormat="1" x14ac:dyDescent="0.25"/>
    <row r="103798" customFormat="1" x14ac:dyDescent="0.25"/>
    <row r="103799" customFormat="1" x14ac:dyDescent="0.25"/>
    <row r="103800" customFormat="1" x14ac:dyDescent="0.25"/>
    <row r="103801" customFormat="1" x14ac:dyDescent="0.25"/>
    <row r="103802" customFormat="1" x14ac:dyDescent="0.25"/>
    <row r="103803" customFormat="1" x14ac:dyDescent="0.25"/>
    <row r="103804" customFormat="1" x14ac:dyDescent="0.25"/>
    <row r="103805" customFormat="1" x14ac:dyDescent="0.25"/>
    <row r="103806" customFormat="1" x14ac:dyDescent="0.25"/>
    <row r="103807" customFormat="1" x14ac:dyDescent="0.25"/>
    <row r="103808" customFormat="1" x14ac:dyDescent="0.25"/>
    <row r="103809" customFormat="1" x14ac:dyDescent="0.25"/>
    <row r="103810" customFormat="1" x14ac:dyDescent="0.25"/>
    <row r="103811" customFormat="1" x14ac:dyDescent="0.25"/>
    <row r="103812" customFormat="1" x14ac:dyDescent="0.25"/>
    <row r="103813" customFormat="1" x14ac:dyDescent="0.25"/>
    <row r="103814" customFormat="1" x14ac:dyDescent="0.25"/>
    <row r="103815" customFormat="1" x14ac:dyDescent="0.25"/>
    <row r="103816" customFormat="1" x14ac:dyDescent="0.25"/>
    <row r="103817" customFormat="1" x14ac:dyDescent="0.25"/>
    <row r="103818" customFormat="1" x14ac:dyDescent="0.25"/>
    <row r="103819" customFormat="1" x14ac:dyDescent="0.25"/>
    <row r="103820" customFormat="1" x14ac:dyDescent="0.25"/>
    <row r="103821" customFormat="1" x14ac:dyDescent="0.25"/>
    <row r="103822" customFormat="1" x14ac:dyDescent="0.25"/>
    <row r="103823" customFormat="1" x14ac:dyDescent="0.25"/>
    <row r="103824" customFormat="1" x14ac:dyDescent="0.25"/>
    <row r="103825" customFormat="1" x14ac:dyDescent="0.25"/>
    <row r="103826" customFormat="1" x14ac:dyDescent="0.25"/>
    <row r="103827" customFormat="1" x14ac:dyDescent="0.25"/>
    <row r="103828" customFormat="1" x14ac:dyDescent="0.25"/>
    <row r="103829" customFormat="1" x14ac:dyDescent="0.25"/>
    <row r="103830" customFormat="1" x14ac:dyDescent="0.25"/>
    <row r="103831" customFormat="1" x14ac:dyDescent="0.25"/>
    <row r="103832" customFormat="1" x14ac:dyDescent="0.25"/>
    <row r="103833" customFormat="1" x14ac:dyDescent="0.25"/>
    <row r="103834" customFormat="1" x14ac:dyDescent="0.25"/>
    <row r="103835" customFormat="1" x14ac:dyDescent="0.25"/>
    <row r="103836" customFormat="1" x14ac:dyDescent="0.25"/>
    <row r="103837" customFormat="1" x14ac:dyDescent="0.25"/>
    <row r="103838" customFormat="1" x14ac:dyDescent="0.25"/>
    <row r="103839" customFormat="1" x14ac:dyDescent="0.25"/>
    <row r="103840" customFormat="1" x14ac:dyDescent="0.25"/>
    <row r="103841" customFormat="1" x14ac:dyDescent="0.25"/>
    <row r="103842" customFormat="1" x14ac:dyDescent="0.25"/>
    <row r="103843" customFormat="1" x14ac:dyDescent="0.25"/>
    <row r="103844" customFormat="1" x14ac:dyDescent="0.25"/>
    <row r="103845" customFormat="1" x14ac:dyDescent="0.25"/>
    <row r="103846" customFormat="1" x14ac:dyDescent="0.25"/>
    <row r="103847" customFormat="1" x14ac:dyDescent="0.25"/>
    <row r="103848" customFormat="1" x14ac:dyDescent="0.25"/>
    <row r="103849" customFormat="1" x14ac:dyDescent="0.25"/>
    <row r="103850" customFormat="1" x14ac:dyDescent="0.25"/>
    <row r="103851" customFormat="1" x14ac:dyDescent="0.25"/>
    <row r="103852" customFormat="1" x14ac:dyDescent="0.25"/>
    <row r="103853" customFormat="1" x14ac:dyDescent="0.25"/>
    <row r="103854" customFormat="1" x14ac:dyDescent="0.25"/>
    <row r="103855" customFormat="1" x14ac:dyDescent="0.25"/>
    <row r="103856" customFormat="1" x14ac:dyDescent="0.25"/>
    <row r="103857" customFormat="1" x14ac:dyDescent="0.25"/>
    <row r="103858" customFormat="1" x14ac:dyDescent="0.25"/>
    <row r="103859" customFormat="1" x14ac:dyDescent="0.25"/>
    <row r="103860" customFormat="1" x14ac:dyDescent="0.25"/>
    <row r="103861" customFormat="1" x14ac:dyDescent="0.25"/>
    <row r="103862" customFormat="1" x14ac:dyDescent="0.25"/>
    <row r="103863" customFormat="1" x14ac:dyDescent="0.25"/>
    <row r="103864" customFormat="1" x14ac:dyDescent="0.25"/>
    <row r="103865" customFormat="1" x14ac:dyDescent="0.25"/>
    <row r="103866" customFormat="1" x14ac:dyDescent="0.25"/>
    <row r="103867" customFormat="1" x14ac:dyDescent="0.25"/>
    <row r="103868" customFormat="1" x14ac:dyDescent="0.25"/>
    <row r="103869" customFormat="1" x14ac:dyDescent="0.25"/>
    <row r="103870" customFormat="1" x14ac:dyDescent="0.25"/>
    <row r="103871" customFormat="1" x14ac:dyDescent="0.25"/>
    <row r="103872" customFormat="1" x14ac:dyDescent="0.25"/>
    <row r="103873" customFormat="1" x14ac:dyDescent="0.25"/>
    <row r="103874" customFormat="1" x14ac:dyDescent="0.25"/>
    <row r="103875" customFormat="1" x14ac:dyDescent="0.25"/>
    <row r="103876" customFormat="1" x14ac:dyDescent="0.25"/>
    <row r="103877" customFormat="1" x14ac:dyDescent="0.25"/>
    <row r="103878" customFormat="1" x14ac:dyDescent="0.25"/>
    <row r="103879" customFormat="1" x14ac:dyDescent="0.25"/>
    <row r="103880" customFormat="1" x14ac:dyDescent="0.25"/>
    <row r="103881" customFormat="1" x14ac:dyDescent="0.25"/>
    <row r="103882" customFormat="1" x14ac:dyDescent="0.25"/>
    <row r="103883" customFormat="1" x14ac:dyDescent="0.25"/>
    <row r="103884" customFormat="1" x14ac:dyDescent="0.25"/>
    <row r="103885" customFormat="1" x14ac:dyDescent="0.25"/>
    <row r="103886" customFormat="1" x14ac:dyDescent="0.25"/>
    <row r="103887" customFormat="1" x14ac:dyDescent="0.25"/>
    <row r="103888" customFormat="1" x14ac:dyDescent="0.25"/>
    <row r="103889" customFormat="1" x14ac:dyDescent="0.25"/>
    <row r="103890" customFormat="1" x14ac:dyDescent="0.25"/>
    <row r="103891" customFormat="1" x14ac:dyDescent="0.25"/>
    <row r="103892" customFormat="1" x14ac:dyDescent="0.25"/>
    <row r="103893" customFormat="1" x14ac:dyDescent="0.25"/>
    <row r="103894" customFormat="1" x14ac:dyDescent="0.25"/>
    <row r="103895" customFormat="1" x14ac:dyDescent="0.25"/>
    <row r="103896" customFormat="1" x14ac:dyDescent="0.25"/>
    <row r="103897" customFormat="1" x14ac:dyDescent="0.25"/>
    <row r="103898" customFormat="1" x14ac:dyDescent="0.25"/>
    <row r="103899" customFormat="1" x14ac:dyDescent="0.25"/>
    <row r="103900" customFormat="1" x14ac:dyDescent="0.25"/>
    <row r="103901" customFormat="1" x14ac:dyDescent="0.25"/>
    <row r="103902" customFormat="1" x14ac:dyDescent="0.25"/>
    <row r="103903" customFormat="1" x14ac:dyDescent="0.25"/>
    <row r="103904" customFormat="1" x14ac:dyDescent="0.25"/>
    <row r="103905" customFormat="1" x14ac:dyDescent="0.25"/>
    <row r="103906" customFormat="1" x14ac:dyDescent="0.25"/>
    <row r="103907" customFormat="1" x14ac:dyDescent="0.25"/>
    <row r="103908" customFormat="1" x14ac:dyDescent="0.25"/>
    <row r="103909" customFormat="1" x14ac:dyDescent="0.25"/>
    <row r="103910" customFormat="1" x14ac:dyDescent="0.25"/>
    <row r="103911" customFormat="1" x14ac:dyDescent="0.25"/>
    <row r="103912" customFormat="1" x14ac:dyDescent="0.25"/>
    <row r="103913" customFormat="1" x14ac:dyDescent="0.25"/>
    <row r="103914" customFormat="1" x14ac:dyDescent="0.25"/>
    <row r="103915" customFormat="1" x14ac:dyDescent="0.25"/>
    <row r="103916" customFormat="1" x14ac:dyDescent="0.25"/>
    <row r="103917" customFormat="1" x14ac:dyDescent="0.25"/>
    <row r="103918" customFormat="1" x14ac:dyDescent="0.25"/>
    <row r="103919" customFormat="1" x14ac:dyDescent="0.25"/>
    <row r="103920" customFormat="1" x14ac:dyDescent="0.25"/>
    <row r="103921" customFormat="1" x14ac:dyDescent="0.25"/>
    <row r="103922" customFormat="1" x14ac:dyDescent="0.25"/>
    <row r="103923" customFormat="1" x14ac:dyDescent="0.25"/>
    <row r="103924" customFormat="1" x14ac:dyDescent="0.25"/>
    <row r="103925" customFormat="1" x14ac:dyDescent="0.25"/>
    <row r="103926" customFormat="1" x14ac:dyDescent="0.25"/>
    <row r="103927" customFormat="1" x14ac:dyDescent="0.25"/>
    <row r="103928" customFormat="1" x14ac:dyDescent="0.25"/>
    <row r="103929" customFormat="1" x14ac:dyDescent="0.25"/>
    <row r="103930" customFormat="1" x14ac:dyDescent="0.25"/>
    <row r="103931" customFormat="1" x14ac:dyDescent="0.25"/>
    <row r="103932" customFormat="1" x14ac:dyDescent="0.25"/>
    <row r="103933" customFormat="1" x14ac:dyDescent="0.25"/>
    <row r="103934" customFormat="1" x14ac:dyDescent="0.25"/>
    <row r="103935" customFormat="1" x14ac:dyDescent="0.25"/>
    <row r="103936" customFormat="1" x14ac:dyDescent="0.25"/>
    <row r="103937" customFormat="1" x14ac:dyDescent="0.25"/>
    <row r="103938" customFormat="1" x14ac:dyDescent="0.25"/>
    <row r="103939" customFormat="1" x14ac:dyDescent="0.25"/>
    <row r="103940" customFormat="1" x14ac:dyDescent="0.25"/>
    <row r="103941" customFormat="1" x14ac:dyDescent="0.25"/>
    <row r="103942" customFormat="1" x14ac:dyDescent="0.25"/>
    <row r="103943" customFormat="1" x14ac:dyDescent="0.25"/>
    <row r="103944" customFormat="1" x14ac:dyDescent="0.25"/>
    <row r="103945" customFormat="1" x14ac:dyDescent="0.25"/>
    <row r="103946" customFormat="1" x14ac:dyDescent="0.25"/>
    <row r="103947" customFormat="1" x14ac:dyDescent="0.25"/>
    <row r="103948" customFormat="1" x14ac:dyDescent="0.25"/>
    <row r="103949" customFormat="1" x14ac:dyDescent="0.25"/>
    <row r="103950" customFormat="1" x14ac:dyDescent="0.25"/>
    <row r="103951" customFormat="1" x14ac:dyDescent="0.25"/>
    <row r="103952" customFormat="1" x14ac:dyDescent="0.25"/>
    <row r="103953" customFormat="1" x14ac:dyDescent="0.25"/>
    <row r="103954" customFormat="1" x14ac:dyDescent="0.25"/>
    <row r="103955" customFormat="1" x14ac:dyDescent="0.25"/>
    <row r="103956" customFormat="1" x14ac:dyDescent="0.25"/>
    <row r="103957" customFormat="1" x14ac:dyDescent="0.25"/>
    <row r="103958" customFormat="1" x14ac:dyDescent="0.25"/>
    <row r="103959" customFormat="1" x14ac:dyDescent="0.25"/>
    <row r="103960" customFormat="1" x14ac:dyDescent="0.25"/>
    <row r="103961" customFormat="1" x14ac:dyDescent="0.25"/>
    <row r="103962" customFormat="1" x14ac:dyDescent="0.25"/>
    <row r="103963" customFormat="1" x14ac:dyDescent="0.25"/>
    <row r="103964" customFormat="1" x14ac:dyDescent="0.25"/>
    <row r="103965" customFormat="1" x14ac:dyDescent="0.25"/>
    <row r="103966" customFormat="1" x14ac:dyDescent="0.25"/>
    <row r="103967" customFormat="1" x14ac:dyDescent="0.25"/>
    <row r="103968" customFormat="1" x14ac:dyDescent="0.25"/>
    <row r="103969" customFormat="1" x14ac:dyDescent="0.25"/>
    <row r="103970" customFormat="1" x14ac:dyDescent="0.25"/>
    <row r="103971" customFormat="1" x14ac:dyDescent="0.25"/>
    <row r="103972" customFormat="1" x14ac:dyDescent="0.25"/>
    <row r="103973" customFormat="1" x14ac:dyDescent="0.25"/>
    <row r="103974" customFormat="1" x14ac:dyDescent="0.25"/>
    <row r="103975" customFormat="1" x14ac:dyDescent="0.25"/>
    <row r="103976" customFormat="1" x14ac:dyDescent="0.25"/>
    <row r="103977" customFormat="1" x14ac:dyDescent="0.25"/>
    <row r="103978" customFormat="1" x14ac:dyDescent="0.25"/>
    <row r="103979" customFormat="1" x14ac:dyDescent="0.25"/>
    <row r="103980" customFormat="1" x14ac:dyDescent="0.25"/>
    <row r="103981" customFormat="1" x14ac:dyDescent="0.25"/>
    <row r="103982" customFormat="1" x14ac:dyDescent="0.25"/>
    <row r="103983" customFormat="1" x14ac:dyDescent="0.25"/>
    <row r="103984" customFormat="1" x14ac:dyDescent="0.25"/>
    <row r="103985" customFormat="1" x14ac:dyDescent="0.25"/>
    <row r="103986" customFormat="1" x14ac:dyDescent="0.25"/>
    <row r="103987" customFormat="1" x14ac:dyDescent="0.25"/>
    <row r="103988" customFormat="1" x14ac:dyDescent="0.25"/>
    <row r="103989" customFormat="1" x14ac:dyDescent="0.25"/>
    <row r="103990" customFormat="1" x14ac:dyDescent="0.25"/>
    <row r="103991" customFormat="1" x14ac:dyDescent="0.25"/>
    <row r="103992" customFormat="1" x14ac:dyDescent="0.25"/>
    <row r="103993" customFormat="1" x14ac:dyDescent="0.25"/>
    <row r="103994" customFormat="1" x14ac:dyDescent="0.25"/>
    <row r="103995" customFormat="1" x14ac:dyDescent="0.25"/>
    <row r="103996" customFormat="1" x14ac:dyDescent="0.25"/>
    <row r="103997" customFormat="1" x14ac:dyDescent="0.25"/>
    <row r="103998" customFormat="1" x14ac:dyDescent="0.25"/>
    <row r="103999" customFormat="1" x14ac:dyDescent="0.25"/>
    <row r="104000" customFormat="1" x14ac:dyDescent="0.25"/>
    <row r="104001" customFormat="1" x14ac:dyDescent="0.25"/>
    <row r="104002" customFormat="1" x14ac:dyDescent="0.25"/>
    <row r="104003" customFormat="1" x14ac:dyDescent="0.25"/>
    <row r="104004" customFormat="1" x14ac:dyDescent="0.25"/>
    <row r="104005" customFormat="1" x14ac:dyDescent="0.25"/>
    <row r="104006" customFormat="1" x14ac:dyDescent="0.25"/>
    <row r="104007" customFormat="1" x14ac:dyDescent="0.25"/>
    <row r="104008" customFormat="1" x14ac:dyDescent="0.25"/>
    <row r="104009" customFormat="1" x14ac:dyDescent="0.25"/>
    <row r="104010" customFormat="1" x14ac:dyDescent="0.25"/>
    <row r="104011" customFormat="1" x14ac:dyDescent="0.25"/>
    <row r="104012" customFormat="1" x14ac:dyDescent="0.25"/>
    <row r="104013" customFormat="1" x14ac:dyDescent="0.25"/>
    <row r="104014" customFormat="1" x14ac:dyDescent="0.25"/>
    <row r="104015" customFormat="1" x14ac:dyDescent="0.25"/>
    <row r="104016" customFormat="1" x14ac:dyDescent="0.25"/>
    <row r="104017" customFormat="1" x14ac:dyDescent="0.25"/>
    <row r="104018" customFormat="1" x14ac:dyDescent="0.25"/>
    <row r="104019" customFormat="1" x14ac:dyDescent="0.25"/>
    <row r="104020" customFormat="1" x14ac:dyDescent="0.25"/>
    <row r="104021" customFormat="1" x14ac:dyDescent="0.25"/>
    <row r="104022" customFormat="1" x14ac:dyDescent="0.25"/>
    <row r="104023" customFormat="1" x14ac:dyDescent="0.25"/>
    <row r="104024" customFormat="1" x14ac:dyDescent="0.25"/>
    <row r="104025" customFormat="1" x14ac:dyDescent="0.25"/>
    <row r="104026" customFormat="1" x14ac:dyDescent="0.25"/>
    <row r="104027" customFormat="1" x14ac:dyDescent="0.25"/>
    <row r="104028" customFormat="1" x14ac:dyDescent="0.25"/>
    <row r="104029" customFormat="1" x14ac:dyDescent="0.25"/>
    <row r="104030" customFormat="1" x14ac:dyDescent="0.25"/>
    <row r="104031" customFormat="1" x14ac:dyDescent="0.25"/>
    <row r="104032" customFormat="1" x14ac:dyDescent="0.25"/>
    <row r="104033" customFormat="1" x14ac:dyDescent="0.25"/>
    <row r="104034" customFormat="1" x14ac:dyDescent="0.25"/>
    <row r="104035" customFormat="1" x14ac:dyDescent="0.25"/>
    <row r="104036" customFormat="1" x14ac:dyDescent="0.25"/>
    <row r="104037" customFormat="1" x14ac:dyDescent="0.25"/>
    <row r="104038" customFormat="1" x14ac:dyDescent="0.25"/>
    <row r="104039" customFormat="1" x14ac:dyDescent="0.25"/>
    <row r="104040" customFormat="1" x14ac:dyDescent="0.25"/>
    <row r="104041" customFormat="1" x14ac:dyDescent="0.25"/>
    <row r="104042" customFormat="1" x14ac:dyDescent="0.25"/>
    <row r="104043" customFormat="1" x14ac:dyDescent="0.25"/>
    <row r="104044" customFormat="1" x14ac:dyDescent="0.25"/>
    <row r="104045" customFormat="1" x14ac:dyDescent="0.25"/>
    <row r="104046" customFormat="1" x14ac:dyDescent="0.25"/>
    <row r="104047" customFormat="1" x14ac:dyDescent="0.25"/>
    <row r="104048" customFormat="1" x14ac:dyDescent="0.25"/>
    <row r="104049" customFormat="1" x14ac:dyDescent="0.25"/>
    <row r="104050" customFormat="1" x14ac:dyDescent="0.25"/>
    <row r="104051" customFormat="1" x14ac:dyDescent="0.25"/>
    <row r="104052" customFormat="1" x14ac:dyDescent="0.25"/>
    <row r="104053" customFormat="1" x14ac:dyDescent="0.25"/>
    <row r="104054" customFormat="1" x14ac:dyDescent="0.25"/>
    <row r="104055" customFormat="1" x14ac:dyDescent="0.25"/>
    <row r="104056" customFormat="1" x14ac:dyDescent="0.25"/>
    <row r="104057" customFormat="1" x14ac:dyDescent="0.25"/>
    <row r="104058" customFormat="1" x14ac:dyDescent="0.25"/>
    <row r="104059" customFormat="1" x14ac:dyDescent="0.25"/>
    <row r="104060" customFormat="1" x14ac:dyDescent="0.25"/>
    <row r="104061" customFormat="1" x14ac:dyDescent="0.25"/>
    <row r="104062" customFormat="1" x14ac:dyDescent="0.25"/>
    <row r="104063" customFormat="1" x14ac:dyDescent="0.25"/>
    <row r="104064" customFormat="1" x14ac:dyDescent="0.25"/>
    <row r="104065" customFormat="1" x14ac:dyDescent="0.25"/>
    <row r="104066" customFormat="1" x14ac:dyDescent="0.25"/>
    <row r="104067" customFormat="1" x14ac:dyDescent="0.25"/>
    <row r="104068" customFormat="1" x14ac:dyDescent="0.25"/>
    <row r="104069" customFormat="1" x14ac:dyDescent="0.25"/>
    <row r="104070" customFormat="1" x14ac:dyDescent="0.25"/>
    <row r="104071" customFormat="1" x14ac:dyDescent="0.25"/>
    <row r="104072" customFormat="1" x14ac:dyDescent="0.25"/>
    <row r="104073" customFormat="1" x14ac:dyDescent="0.25"/>
    <row r="104074" customFormat="1" x14ac:dyDescent="0.25"/>
    <row r="104075" customFormat="1" x14ac:dyDescent="0.25"/>
    <row r="104076" customFormat="1" x14ac:dyDescent="0.25"/>
    <row r="104077" customFormat="1" x14ac:dyDescent="0.25"/>
    <row r="104078" customFormat="1" x14ac:dyDescent="0.25"/>
    <row r="104079" customFormat="1" x14ac:dyDescent="0.25"/>
    <row r="104080" customFormat="1" x14ac:dyDescent="0.25"/>
    <row r="104081" customFormat="1" x14ac:dyDescent="0.25"/>
    <row r="104082" customFormat="1" x14ac:dyDescent="0.25"/>
    <row r="104083" customFormat="1" x14ac:dyDescent="0.25"/>
    <row r="104084" customFormat="1" x14ac:dyDescent="0.25"/>
    <row r="104085" customFormat="1" x14ac:dyDescent="0.25"/>
    <row r="104086" customFormat="1" x14ac:dyDescent="0.25"/>
    <row r="104087" customFormat="1" x14ac:dyDescent="0.25"/>
    <row r="104088" customFormat="1" x14ac:dyDescent="0.25"/>
    <row r="104089" customFormat="1" x14ac:dyDescent="0.25"/>
    <row r="104090" customFormat="1" x14ac:dyDescent="0.25"/>
    <row r="104091" customFormat="1" x14ac:dyDescent="0.25"/>
    <row r="104092" customFormat="1" x14ac:dyDescent="0.25"/>
    <row r="104093" customFormat="1" x14ac:dyDescent="0.25"/>
    <row r="104094" customFormat="1" x14ac:dyDescent="0.25"/>
    <row r="104095" customFormat="1" x14ac:dyDescent="0.25"/>
    <row r="104096" customFormat="1" x14ac:dyDescent="0.25"/>
    <row r="104097" customFormat="1" x14ac:dyDescent="0.25"/>
    <row r="104098" customFormat="1" x14ac:dyDescent="0.25"/>
    <row r="104099" customFormat="1" x14ac:dyDescent="0.25"/>
    <row r="104100" customFormat="1" x14ac:dyDescent="0.25"/>
    <row r="104101" customFormat="1" x14ac:dyDescent="0.25"/>
    <row r="104102" customFormat="1" x14ac:dyDescent="0.25"/>
    <row r="104103" customFormat="1" x14ac:dyDescent="0.25"/>
    <row r="104104" customFormat="1" x14ac:dyDescent="0.25"/>
    <row r="104105" customFormat="1" x14ac:dyDescent="0.25"/>
    <row r="104106" customFormat="1" x14ac:dyDescent="0.25"/>
    <row r="104107" customFormat="1" x14ac:dyDescent="0.25"/>
    <row r="104108" customFormat="1" x14ac:dyDescent="0.25"/>
    <row r="104109" customFormat="1" x14ac:dyDescent="0.25"/>
    <row r="104110" customFormat="1" x14ac:dyDescent="0.25"/>
    <row r="104111" customFormat="1" x14ac:dyDescent="0.25"/>
    <row r="104112" customFormat="1" x14ac:dyDescent="0.25"/>
    <row r="104113" customFormat="1" x14ac:dyDescent="0.25"/>
    <row r="104114" customFormat="1" x14ac:dyDescent="0.25"/>
    <row r="104115" customFormat="1" x14ac:dyDescent="0.25"/>
    <row r="104116" customFormat="1" x14ac:dyDescent="0.25"/>
    <row r="104117" customFormat="1" x14ac:dyDescent="0.25"/>
    <row r="104118" customFormat="1" x14ac:dyDescent="0.25"/>
    <row r="104119" customFormat="1" x14ac:dyDescent="0.25"/>
    <row r="104120" customFormat="1" x14ac:dyDescent="0.25"/>
    <row r="104121" customFormat="1" x14ac:dyDescent="0.25"/>
    <row r="104122" customFormat="1" x14ac:dyDescent="0.25"/>
    <row r="104123" customFormat="1" x14ac:dyDescent="0.25"/>
    <row r="104124" customFormat="1" x14ac:dyDescent="0.25"/>
    <row r="104125" customFormat="1" x14ac:dyDescent="0.25"/>
    <row r="104126" customFormat="1" x14ac:dyDescent="0.25"/>
    <row r="104127" customFormat="1" x14ac:dyDescent="0.25"/>
    <row r="104128" customFormat="1" x14ac:dyDescent="0.25"/>
    <row r="104129" customFormat="1" x14ac:dyDescent="0.25"/>
    <row r="104130" customFormat="1" x14ac:dyDescent="0.25"/>
    <row r="104131" customFormat="1" x14ac:dyDescent="0.25"/>
    <row r="104132" customFormat="1" x14ac:dyDescent="0.25"/>
    <row r="104133" customFormat="1" x14ac:dyDescent="0.25"/>
    <row r="104134" customFormat="1" x14ac:dyDescent="0.25"/>
    <row r="104135" customFormat="1" x14ac:dyDescent="0.25"/>
    <row r="104136" customFormat="1" x14ac:dyDescent="0.25"/>
    <row r="104137" customFormat="1" x14ac:dyDescent="0.25"/>
    <row r="104138" customFormat="1" x14ac:dyDescent="0.25"/>
    <row r="104139" customFormat="1" x14ac:dyDescent="0.25"/>
    <row r="104140" customFormat="1" x14ac:dyDescent="0.25"/>
    <row r="104141" customFormat="1" x14ac:dyDescent="0.25"/>
    <row r="104142" customFormat="1" x14ac:dyDescent="0.25"/>
    <row r="104143" customFormat="1" x14ac:dyDescent="0.25"/>
    <row r="104144" customFormat="1" x14ac:dyDescent="0.25"/>
    <row r="104145" customFormat="1" x14ac:dyDescent="0.25"/>
    <row r="104146" customFormat="1" x14ac:dyDescent="0.25"/>
    <row r="104147" customFormat="1" x14ac:dyDescent="0.25"/>
    <row r="104148" customFormat="1" x14ac:dyDescent="0.25"/>
    <row r="104149" customFormat="1" x14ac:dyDescent="0.25"/>
    <row r="104150" customFormat="1" x14ac:dyDescent="0.25"/>
    <row r="104151" customFormat="1" x14ac:dyDescent="0.25"/>
    <row r="104152" customFormat="1" x14ac:dyDescent="0.25"/>
    <row r="104153" customFormat="1" x14ac:dyDescent="0.25"/>
    <row r="104154" customFormat="1" x14ac:dyDescent="0.25"/>
    <row r="104155" customFormat="1" x14ac:dyDescent="0.25"/>
    <row r="104156" customFormat="1" x14ac:dyDescent="0.25"/>
    <row r="104157" customFormat="1" x14ac:dyDescent="0.25"/>
    <row r="104158" customFormat="1" x14ac:dyDescent="0.25"/>
    <row r="104159" customFormat="1" x14ac:dyDescent="0.25"/>
    <row r="104160" customFormat="1" x14ac:dyDescent="0.25"/>
    <row r="104161" customFormat="1" x14ac:dyDescent="0.25"/>
    <row r="104162" customFormat="1" x14ac:dyDescent="0.25"/>
    <row r="104163" customFormat="1" x14ac:dyDescent="0.25"/>
    <row r="104164" customFormat="1" x14ac:dyDescent="0.25"/>
    <row r="104165" customFormat="1" x14ac:dyDescent="0.25"/>
    <row r="104166" customFormat="1" x14ac:dyDescent="0.25"/>
    <row r="104167" customFormat="1" x14ac:dyDescent="0.25"/>
    <row r="104168" customFormat="1" x14ac:dyDescent="0.25"/>
    <row r="104169" customFormat="1" x14ac:dyDescent="0.25"/>
    <row r="104170" customFormat="1" x14ac:dyDescent="0.25"/>
    <row r="104171" customFormat="1" x14ac:dyDescent="0.25"/>
    <row r="104172" customFormat="1" x14ac:dyDescent="0.25"/>
    <row r="104173" customFormat="1" x14ac:dyDescent="0.25"/>
    <row r="104174" customFormat="1" x14ac:dyDescent="0.25"/>
    <row r="104175" customFormat="1" x14ac:dyDescent="0.25"/>
    <row r="104176" customFormat="1" x14ac:dyDescent="0.25"/>
    <row r="104177" customFormat="1" x14ac:dyDescent="0.25"/>
    <row r="104178" customFormat="1" x14ac:dyDescent="0.25"/>
    <row r="104179" customFormat="1" x14ac:dyDescent="0.25"/>
    <row r="104180" customFormat="1" x14ac:dyDescent="0.25"/>
    <row r="104181" customFormat="1" x14ac:dyDescent="0.25"/>
    <row r="104182" customFormat="1" x14ac:dyDescent="0.25"/>
    <row r="104183" customFormat="1" x14ac:dyDescent="0.25"/>
    <row r="104184" customFormat="1" x14ac:dyDescent="0.25"/>
    <row r="104185" customFormat="1" x14ac:dyDescent="0.25"/>
    <row r="104186" customFormat="1" x14ac:dyDescent="0.25"/>
    <row r="104187" customFormat="1" x14ac:dyDescent="0.25"/>
    <row r="104188" customFormat="1" x14ac:dyDescent="0.25"/>
    <row r="104189" customFormat="1" x14ac:dyDescent="0.25"/>
    <row r="104190" customFormat="1" x14ac:dyDescent="0.25"/>
    <row r="104191" customFormat="1" x14ac:dyDescent="0.25"/>
    <row r="104192" customFormat="1" x14ac:dyDescent="0.25"/>
    <row r="104193" customFormat="1" x14ac:dyDescent="0.25"/>
    <row r="104194" customFormat="1" x14ac:dyDescent="0.25"/>
    <row r="104195" customFormat="1" x14ac:dyDescent="0.25"/>
    <row r="104196" customFormat="1" x14ac:dyDescent="0.25"/>
    <row r="104197" customFormat="1" x14ac:dyDescent="0.25"/>
    <row r="104198" customFormat="1" x14ac:dyDescent="0.25"/>
    <row r="104199" customFormat="1" x14ac:dyDescent="0.25"/>
    <row r="104200" customFormat="1" x14ac:dyDescent="0.25"/>
    <row r="104201" customFormat="1" x14ac:dyDescent="0.25"/>
    <row r="104202" customFormat="1" x14ac:dyDescent="0.25"/>
    <row r="104203" customFormat="1" x14ac:dyDescent="0.25"/>
    <row r="104204" customFormat="1" x14ac:dyDescent="0.25"/>
    <row r="104205" customFormat="1" x14ac:dyDescent="0.25"/>
    <row r="104206" customFormat="1" x14ac:dyDescent="0.25"/>
    <row r="104207" customFormat="1" x14ac:dyDescent="0.25"/>
    <row r="104208" customFormat="1" x14ac:dyDescent="0.25"/>
    <row r="104209" customFormat="1" x14ac:dyDescent="0.25"/>
    <row r="104210" customFormat="1" x14ac:dyDescent="0.25"/>
    <row r="104211" customFormat="1" x14ac:dyDescent="0.25"/>
    <row r="104212" customFormat="1" x14ac:dyDescent="0.25"/>
    <row r="104213" customFormat="1" x14ac:dyDescent="0.25"/>
    <row r="104214" customFormat="1" x14ac:dyDescent="0.25"/>
    <row r="104215" customFormat="1" x14ac:dyDescent="0.25"/>
    <row r="104216" customFormat="1" x14ac:dyDescent="0.25"/>
    <row r="104217" customFormat="1" x14ac:dyDescent="0.25"/>
    <row r="104218" customFormat="1" x14ac:dyDescent="0.25"/>
    <row r="104219" customFormat="1" x14ac:dyDescent="0.25"/>
    <row r="104220" customFormat="1" x14ac:dyDescent="0.25"/>
    <row r="104221" customFormat="1" x14ac:dyDescent="0.25"/>
    <row r="104222" customFormat="1" x14ac:dyDescent="0.25"/>
    <row r="104223" customFormat="1" x14ac:dyDescent="0.25"/>
    <row r="104224" customFormat="1" x14ac:dyDescent="0.25"/>
    <row r="104225" customFormat="1" x14ac:dyDescent="0.25"/>
    <row r="104226" customFormat="1" x14ac:dyDescent="0.25"/>
    <row r="104227" customFormat="1" x14ac:dyDescent="0.25"/>
    <row r="104228" customFormat="1" x14ac:dyDescent="0.25"/>
    <row r="104229" customFormat="1" x14ac:dyDescent="0.25"/>
    <row r="104230" customFormat="1" x14ac:dyDescent="0.25"/>
    <row r="104231" customFormat="1" x14ac:dyDescent="0.25"/>
    <row r="104232" customFormat="1" x14ac:dyDescent="0.25"/>
    <row r="104233" customFormat="1" x14ac:dyDescent="0.25"/>
    <row r="104234" customFormat="1" x14ac:dyDescent="0.25"/>
    <row r="104235" customFormat="1" x14ac:dyDescent="0.25"/>
    <row r="104236" customFormat="1" x14ac:dyDescent="0.25"/>
    <row r="104237" customFormat="1" x14ac:dyDescent="0.25"/>
    <row r="104238" customFormat="1" x14ac:dyDescent="0.25"/>
    <row r="104239" customFormat="1" x14ac:dyDescent="0.25"/>
    <row r="104240" customFormat="1" x14ac:dyDescent="0.25"/>
    <row r="104241" customFormat="1" x14ac:dyDescent="0.25"/>
    <row r="104242" customFormat="1" x14ac:dyDescent="0.25"/>
    <row r="104243" customFormat="1" x14ac:dyDescent="0.25"/>
    <row r="104244" customFormat="1" x14ac:dyDescent="0.25"/>
    <row r="104245" customFormat="1" x14ac:dyDescent="0.25"/>
    <row r="104246" customFormat="1" x14ac:dyDescent="0.25"/>
    <row r="104247" customFormat="1" x14ac:dyDescent="0.25"/>
    <row r="104248" customFormat="1" x14ac:dyDescent="0.25"/>
    <row r="104249" customFormat="1" x14ac:dyDescent="0.25"/>
    <row r="104250" customFormat="1" x14ac:dyDescent="0.25"/>
    <row r="104251" customFormat="1" x14ac:dyDescent="0.25"/>
    <row r="104252" customFormat="1" x14ac:dyDescent="0.25"/>
    <row r="104253" customFormat="1" x14ac:dyDescent="0.25"/>
    <row r="104254" customFormat="1" x14ac:dyDescent="0.25"/>
    <row r="104255" customFormat="1" x14ac:dyDescent="0.25"/>
    <row r="104256" customFormat="1" x14ac:dyDescent="0.25"/>
    <row r="104257" customFormat="1" x14ac:dyDescent="0.25"/>
    <row r="104258" customFormat="1" x14ac:dyDescent="0.25"/>
    <row r="104259" customFormat="1" x14ac:dyDescent="0.25"/>
    <row r="104260" customFormat="1" x14ac:dyDescent="0.25"/>
    <row r="104261" customFormat="1" x14ac:dyDescent="0.25"/>
    <row r="104262" customFormat="1" x14ac:dyDescent="0.25"/>
    <row r="104263" customFormat="1" x14ac:dyDescent="0.25"/>
    <row r="104264" customFormat="1" x14ac:dyDescent="0.25"/>
    <row r="104265" customFormat="1" x14ac:dyDescent="0.25"/>
    <row r="104266" customFormat="1" x14ac:dyDescent="0.25"/>
    <row r="104267" customFormat="1" x14ac:dyDescent="0.25"/>
    <row r="104268" customFormat="1" x14ac:dyDescent="0.25"/>
    <row r="104269" customFormat="1" x14ac:dyDescent="0.25"/>
    <row r="104270" customFormat="1" x14ac:dyDescent="0.25"/>
    <row r="104271" customFormat="1" x14ac:dyDescent="0.25"/>
    <row r="104272" customFormat="1" x14ac:dyDescent="0.25"/>
    <row r="104273" customFormat="1" x14ac:dyDescent="0.25"/>
    <row r="104274" customFormat="1" x14ac:dyDescent="0.25"/>
    <row r="104275" customFormat="1" x14ac:dyDescent="0.25"/>
    <row r="104276" customFormat="1" x14ac:dyDescent="0.25"/>
    <row r="104277" customFormat="1" x14ac:dyDescent="0.25"/>
    <row r="104278" customFormat="1" x14ac:dyDescent="0.25"/>
    <row r="104279" customFormat="1" x14ac:dyDescent="0.25"/>
    <row r="104280" customFormat="1" x14ac:dyDescent="0.25"/>
    <row r="104281" customFormat="1" x14ac:dyDescent="0.25"/>
    <row r="104282" customFormat="1" x14ac:dyDescent="0.25"/>
    <row r="104283" customFormat="1" x14ac:dyDescent="0.25"/>
    <row r="104284" customFormat="1" x14ac:dyDescent="0.25"/>
    <row r="104285" customFormat="1" x14ac:dyDescent="0.25"/>
    <row r="104286" customFormat="1" x14ac:dyDescent="0.25"/>
    <row r="104287" customFormat="1" x14ac:dyDescent="0.25"/>
    <row r="104288" customFormat="1" x14ac:dyDescent="0.25"/>
    <row r="104289" customFormat="1" x14ac:dyDescent="0.25"/>
    <row r="104290" customFormat="1" x14ac:dyDescent="0.25"/>
    <row r="104291" customFormat="1" x14ac:dyDescent="0.25"/>
    <row r="104292" customFormat="1" x14ac:dyDescent="0.25"/>
    <row r="104293" customFormat="1" x14ac:dyDescent="0.25"/>
    <row r="104294" customFormat="1" x14ac:dyDescent="0.25"/>
    <row r="104295" customFormat="1" x14ac:dyDescent="0.25"/>
    <row r="104296" customFormat="1" x14ac:dyDescent="0.25"/>
    <row r="104297" customFormat="1" x14ac:dyDescent="0.25"/>
    <row r="104298" customFormat="1" x14ac:dyDescent="0.25"/>
    <row r="104299" customFormat="1" x14ac:dyDescent="0.25"/>
    <row r="104300" customFormat="1" x14ac:dyDescent="0.25"/>
    <row r="104301" customFormat="1" x14ac:dyDescent="0.25"/>
    <row r="104302" customFormat="1" x14ac:dyDescent="0.25"/>
    <row r="104303" customFormat="1" x14ac:dyDescent="0.25"/>
    <row r="104304" customFormat="1" x14ac:dyDescent="0.25"/>
    <row r="104305" customFormat="1" x14ac:dyDescent="0.25"/>
    <row r="104306" customFormat="1" x14ac:dyDescent="0.25"/>
    <row r="104307" customFormat="1" x14ac:dyDescent="0.25"/>
    <row r="104308" customFormat="1" x14ac:dyDescent="0.25"/>
    <row r="104309" customFormat="1" x14ac:dyDescent="0.25"/>
    <row r="104310" customFormat="1" x14ac:dyDescent="0.25"/>
    <row r="104311" customFormat="1" x14ac:dyDescent="0.25"/>
    <row r="104312" customFormat="1" x14ac:dyDescent="0.25"/>
    <row r="104313" customFormat="1" x14ac:dyDescent="0.25"/>
    <row r="104314" customFormat="1" x14ac:dyDescent="0.25"/>
    <row r="104315" customFormat="1" x14ac:dyDescent="0.25"/>
    <row r="104316" customFormat="1" x14ac:dyDescent="0.25"/>
    <row r="104317" customFormat="1" x14ac:dyDescent="0.25"/>
    <row r="104318" customFormat="1" x14ac:dyDescent="0.25"/>
    <row r="104319" customFormat="1" x14ac:dyDescent="0.25"/>
    <row r="104320" customFormat="1" x14ac:dyDescent="0.25"/>
    <row r="104321" customFormat="1" x14ac:dyDescent="0.25"/>
    <row r="104322" customFormat="1" x14ac:dyDescent="0.25"/>
    <row r="104323" customFormat="1" x14ac:dyDescent="0.25"/>
    <row r="104324" customFormat="1" x14ac:dyDescent="0.25"/>
    <row r="104325" customFormat="1" x14ac:dyDescent="0.25"/>
    <row r="104326" customFormat="1" x14ac:dyDescent="0.25"/>
    <row r="104327" customFormat="1" x14ac:dyDescent="0.25"/>
    <row r="104328" customFormat="1" x14ac:dyDescent="0.25"/>
    <row r="104329" customFormat="1" x14ac:dyDescent="0.25"/>
    <row r="104330" customFormat="1" x14ac:dyDescent="0.25"/>
    <row r="104331" customFormat="1" x14ac:dyDescent="0.25"/>
    <row r="104332" customFormat="1" x14ac:dyDescent="0.25"/>
    <row r="104333" customFormat="1" x14ac:dyDescent="0.25"/>
    <row r="104334" customFormat="1" x14ac:dyDescent="0.25"/>
    <row r="104335" customFormat="1" x14ac:dyDescent="0.25"/>
    <row r="104336" customFormat="1" x14ac:dyDescent="0.25"/>
    <row r="104337" customFormat="1" x14ac:dyDescent="0.25"/>
    <row r="104338" customFormat="1" x14ac:dyDescent="0.25"/>
    <row r="104339" customFormat="1" x14ac:dyDescent="0.25"/>
    <row r="104340" customFormat="1" x14ac:dyDescent="0.25"/>
    <row r="104341" customFormat="1" x14ac:dyDescent="0.25"/>
    <row r="104342" customFormat="1" x14ac:dyDescent="0.25"/>
    <row r="104343" customFormat="1" x14ac:dyDescent="0.25"/>
    <row r="104344" customFormat="1" x14ac:dyDescent="0.25"/>
    <row r="104345" customFormat="1" x14ac:dyDescent="0.25"/>
    <row r="104346" customFormat="1" x14ac:dyDescent="0.25"/>
    <row r="104347" customFormat="1" x14ac:dyDescent="0.25"/>
    <row r="104348" customFormat="1" x14ac:dyDescent="0.25"/>
    <row r="104349" customFormat="1" x14ac:dyDescent="0.25"/>
    <row r="104350" customFormat="1" x14ac:dyDescent="0.25"/>
    <row r="104351" customFormat="1" x14ac:dyDescent="0.25"/>
    <row r="104352" customFormat="1" x14ac:dyDescent="0.25"/>
    <row r="104353" customFormat="1" x14ac:dyDescent="0.25"/>
    <row r="104354" customFormat="1" x14ac:dyDescent="0.25"/>
    <row r="104355" customFormat="1" x14ac:dyDescent="0.25"/>
    <row r="104356" customFormat="1" x14ac:dyDescent="0.25"/>
    <row r="104357" customFormat="1" x14ac:dyDescent="0.25"/>
    <row r="104358" customFormat="1" x14ac:dyDescent="0.25"/>
    <row r="104359" customFormat="1" x14ac:dyDescent="0.25"/>
    <row r="104360" customFormat="1" x14ac:dyDescent="0.25"/>
    <row r="104361" customFormat="1" x14ac:dyDescent="0.25"/>
    <row r="104362" customFormat="1" x14ac:dyDescent="0.25"/>
    <row r="104363" customFormat="1" x14ac:dyDescent="0.25"/>
    <row r="104364" customFormat="1" x14ac:dyDescent="0.25"/>
    <row r="104365" customFormat="1" x14ac:dyDescent="0.25"/>
    <row r="104366" customFormat="1" x14ac:dyDescent="0.25"/>
    <row r="104367" customFormat="1" x14ac:dyDescent="0.25"/>
    <row r="104368" customFormat="1" x14ac:dyDescent="0.25"/>
    <row r="104369" customFormat="1" x14ac:dyDescent="0.25"/>
    <row r="104370" customFormat="1" x14ac:dyDescent="0.25"/>
    <row r="104371" customFormat="1" x14ac:dyDescent="0.25"/>
    <row r="104372" customFormat="1" x14ac:dyDescent="0.25"/>
    <row r="104373" customFormat="1" x14ac:dyDescent="0.25"/>
    <row r="104374" customFormat="1" x14ac:dyDescent="0.25"/>
    <row r="104375" customFormat="1" x14ac:dyDescent="0.25"/>
    <row r="104376" customFormat="1" x14ac:dyDescent="0.25"/>
    <row r="104377" customFormat="1" x14ac:dyDescent="0.25"/>
    <row r="104378" customFormat="1" x14ac:dyDescent="0.25"/>
    <row r="104379" customFormat="1" x14ac:dyDescent="0.25"/>
    <row r="104380" customFormat="1" x14ac:dyDescent="0.25"/>
    <row r="104381" customFormat="1" x14ac:dyDescent="0.25"/>
    <row r="104382" customFormat="1" x14ac:dyDescent="0.25"/>
    <row r="104383" customFormat="1" x14ac:dyDescent="0.25"/>
    <row r="104384" customFormat="1" x14ac:dyDescent="0.25"/>
    <row r="104385" customFormat="1" x14ac:dyDescent="0.25"/>
    <row r="104386" customFormat="1" x14ac:dyDescent="0.25"/>
    <row r="104387" customFormat="1" x14ac:dyDescent="0.25"/>
    <row r="104388" customFormat="1" x14ac:dyDescent="0.25"/>
    <row r="104389" customFormat="1" x14ac:dyDescent="0.25"/>
    <row r="104390" customFormat="1" x14ac:dyDescent="0.25"/>
    <row r="104391" customFormat="1" x14ac:dyDescent="0.25"/>
    <row r="104392" customFormat="1" x14ac:dyDescent="0.25"/>
    <row r="104393" customFormat="1" x14ac:dyDescent="0.25"/>
    <row r="104394" customFormat="1" x14ac:dyDescent="0.25"/>
    <row r="104395" customFormat="1" x14ac:dyDescent="0.25"/>
    <row r="104396" customFormat="1" x14ac:dyDescent="0.25"/>
    <row r="104397" customFormat="1" x14ac:dyDescent="0.25"/>
    <row r="104398" customFormat="1" x14ac:dyDescent="0.25"/>
    <row r="104399" customFormat="1" x14ac:dyDescent="0.25"/>
    <row r="104400" customFormat="1" x14ac:dyDescent="0.25"/>
    <row r="104401" customFormat="1" x14ac:dyDescent="0.25"/>
    <row r="104402" customFormat="1" x14ac:dyDescent="0.25"/>
    <row r="104403" customFormat="1" x14ac:dyDescent="0.25"/>
    <row r="104404" customFormat="1" x14ac:dyDescent="0.25"/>
    <row r="104405" customFormat="1" x14ac:dyDescent="0.25"/>
    <row r="104406" customFormat="1" x14ac:dyDescent="0.25"/>
    <row r="104407" customFormat="1" x14ac:dyDescent="0.25"/>
    <row r="104408" customFormat="1" x14ac:dyDescent="0.25"/>
    <row r="104409" customFormat="1" x14ac:dyDescent="0.25"/>
    <row r="104410" customFormat="1" x14ac:dyDescent="0.25"/>
    <row r="104411" customFormat="1" x14ac:dyDescent="0.25"/>
    <row r="104412" customFormat="1" x14ac:dyDescent="0.25"/>
    <row r="104413" customFormat="1" x14ac:dyDescent="0.25"/>
    <row r="104414" customFormat="1" x14ac:dyDescent="0.25"/>
    <row r="104415" customFormat="1" x14ac:dyDescent="0.25"/>
    <row r="104416" customFormat="1" x14ac:dyDescent="0.25"/>
    <row r="104417" customFormat="1" x14ac:dyDescent="0.25"/>
    <row r="104418" customFormat="1" x14ac:dyDescent="0.25"/>
    <row r="104419" customFormat="1" x14ac:dyDescent="0.25"/>
    <row r="104420" customFormat="1" x14ac:dyDescent="0.25"/>
    <row r="104421" customFormat="1" x14ac:dyDescent="0.25"/>
    <row r="104422" customFormat="1" x14ac:dyDescent="0.25"/>
    <row r="104423" customFormat="1" x14ac:dyDescent="0.25"/>
    <row r="104424" customFormat="1" x14ac:dyDescent="0.25"/>
    <row r="104425" customFormat="1" x14ac:dyDescent="0.25"/>
    <row r="104426" customFormat="1" x14ac:dyDescent="0.25"/>
    <row r="104427" customFormat="1" x14ac:dyDescent="0.25"/>
    <row r="104428" customFormat="1" x14ac:dyDescent="0.25"/>
    <row r="104429" customFormat="1" x14ac:dyDescent="0.25"/>
    <row r="104430" customFormat="1" x14ac:dyDescent="0.25"/>
    <row r="104431" customFormat="1" x14ac:dyDescent="0.25"/>
    <row r="104432" customFormat="1" x14ac:dyDescent="0.25"/>
    <row r="104433" customFormat="1" x14ac:dyDescent="0.25"/>
    <row r="104434" customFormat="1" x14ac:dyDescent="0.25"/>
    <row r="104435" customFormat="1" x14ac:dyDescent="0.25"/>
    <row r="104436" customFormat="1" x14ac:dyDescent="0.25"/>
    <row r="104437" customFormat="1" x14ac:dyDescent="0.25"/>
    <row r="104438" customFormat="1" x14ac:dyDescent="0.25"/>
    <row r="104439" customFormat="1" x14ac:dyDescent="0.25"/>
    <row r="104440" customFormat="1" x14ac:dyDescent="0.25"/>
    <row r="104441" customFormat="1" x14ac:dyDescent="0.25"/>
    <row r="104442" customFormat="1" x14ac:dyDescent="0.25"/>
    <row r="104443" customFormat="1" x14ac:dyDescent="0.25"/>
    <row r="104444" customFormat="1" x14ac:dyDescent="0.25"/>
    <row r="104445" customFormat="1" x14ac:dyDescent="0.25"/>
    <row r="104446" customFormat="1" x14ac:dyDescent="0.25"/>
    <row r="104447" customFormat="1" x14ac:dyDescent="0.25"/>
    <row r="104448" customFormat="1" x14ac:dyDescent="0.25"/>
    <row r="104449" customFormat="1" x14ac:dyDescent="0.25"/>
    <row r="104450" customFormat="1" x14ac:dyDescent="0.25"/>
    <row r="104451" customFormat="1" x14ac:dyDescent="0.25"/>
    <row r="104452" customFormat="1" x14ac:dyDescent="0.25"/>
    <row r="104453" customFormat="1" x14ac:dyDescent="0.25"/>
    <row r="104454" customFormat="1" x14ac:dyDescent="0.25"/>
    <row r="104455" customFormat="1" x14ac:dyDescent="0.25"/>
    <row r="104456" customFormat="1" x14ac:dyDescent="0.25"/>
    <row r="104457" customFormat="1" x14ac:dyDescent="0.25"/>
    <row r="104458" customFormat="1" x14ac:dyDescent="0.25"/>
    <row r="104459" customFormat="1" x14ac:dyDescent="0.25"/>
    <row r="104460" customFormat="1" x14ac:dyDescent="0.25"/>
    <row r="104461" customFormat="1" x14ac:dyDescent="0.25"/>
    <row r="104462" customFormat="1" x14ac:dyDescent="0.25"/>
    <row r="104463" customFormat="1" x14ac:dyDescent="0.25"/>
    <row r="104464" customFormat="1" x14ac:dyDescent="0.25"/>
    <row r="104465" customFormat="1" x14ac:dyDescent="0.25"/>
    <row r="104466" customFormat="1" x14ac:dyDescent="0.25"/>
    <row r="104467" customFormat="1" x14ac:dyDescent="0.25"/>
    <row r="104468" customFormat="1" x14ac:dyDescent="0.25"/>
    <row r="104469" customFormat="1" x14ac:dyDescent="0.25"/>
    <row r="104470" customFormat="1" x14ac:dyDescent="0.25"/>
    <row r="104471" customFormat="1" x14ac:dyDescent="0.25"/>
    <row r="104472" customFormat="1" x14ac:dyDescent="0.25"/>
    <row r="104473" customFormat="1" x14ac:dyDescent="0.25"/>
    <row r="104474" customFormat="1" x14ac:dyDescent="0.25"/>
    <row r="104475" customFormat="1" x14ac:dyDescent="0.25"/>
    <row r="104476" customFormat="1" x14ac:dyDescent="0.25"/>
    <row r="104477" customFormat="1" x14ac:dyDescent="0.25"/>
    <row r="104478" customFormat="1" x14ac:dyDescent="0.25"/>
    <row r="104479" customFormat="1" x14ac:dyDescent="0.25"/>
    <row r="104480" customFormat="1" x14ac:dyDescent="0.25"/>
    <row r="104481" customFormat="1" x14ac:dyDescent="0.25"/>
    <row r="104482" customFormat="1" x14ac:dyDescent="0.25"/>
    <row r="104483" customFormat="1" x14ac:dyDescent="0.25"/>
    <row r="104484" customFormat="1" x14ac:dyDescent="0.25"/>
    <row r="104485" customFormat="1" x14ac:dyDescent="0.25"/>
    <row r="104486" customFormat="1" x14ac:dyDescent="0.25"/>
    <row r="104487" customFormat="1" x14ac:dyDescent="0.25"/>
    <row r="104488" customFormat="1" x14ac:dyDescent="0.25"/>
    <row r="104489" customFormat="1" x14ac:dyDescent="0.25"/>
    <row r="104490" customFormat="1" x14ac:dyDescent="0.25"/>
    <row r="104491" customFormat="1" x14ac:dyDescent="0.25"/>
    <row r="104492" customFormat="1" x14ac:dyDescent="0.25"/>
    <row r="104493" customFormat="1" x14ac:dyDescent="0.25"/>
    <row r="104494" customFormat="1" x14ac:dyDescent="0.25"/>
    <row r="104495" customFormat="1" x14ac:dyDescent="0.25"/>
    <row r="104496" customFormat="1" x14ac:dyDescent="0.25"/>
    <row r="104497" customFormat="1" x14ac:dyDescent="0.25"/>
    <row r="104498" customFormat="1" x14ac:dyDescent="0.25"/>
    <row r="104499" customFormat="1" x14ac:dyDescent="0.25"/>
    <row r="104500" customFormat="1" x14ac:dyDescent="0.25"/>
    <row r="104501" customFormat="1" x14ac:dyDescent="0.25"/>
    <row r="104502" customFormat="1" x14ac:dyDescent="0.25"/>
    <row r="104503" customFormat="1" x14ac:dyDescent="0.25"/>
    <row r="104504" customFormat="1" x14ac:dyDescent="0.25"/>
    <row r="104505" customFormat="1" x14ac:dyDescent="0.25"/>
    <row r="104506" customFormat="1" x14ac:dyDescent="0.25"/>
    <row r="104507" customFormat="1" x14ac:dyDescent="0.25"/>
    <row r="104508" customFormat="1" x14ac:dyDescent="0.25"/>
    <row r="104509" customFormat="1" x14ac:dyDescent="0.25"/>
    <row r="104510" customFormat="1" x14ac:dyDescent="0.25"/>
    <row r="104511" customFormat="1" x14ac:dyDescent="0.25"/>
    <row r="104512" customFormat="1" x14ac:dyDescent="0.25"/>
    <row r="104513" customFormat="1" x14ac:dyDescent="0.25"/>
    <row r="104514" customFormat="1" x14ac:dyDescent="0.25"/>
    <row r="104515" customFormat="1" x14ac:dyDescent="0.25"/>
    <row r="104516" customFormat="1" x14ac:dyDescent="0.25"/>
    <row r="104517" customFormat="1" x14ac:dyDescent="0.25"/>
    <row r="104518" customFormat="1" x14ac:dyDescent="0.25"/>
    <row r="104519" customFormat="1" x14ac:dyDescent="0.25"/>
    <row r="104520" customFormat="1" x14ac:dyDescent="0.25"/>
    <row r="104521" customFormat="1" x14ac:dyDescent="0.25"/>
    <row r="104522" customFormat="1" x14ac:dyDescent="0.25"/>
    <row r="104523" customFormat="1" x14ac:dyDescent="0.25"/>
    <row r="104524" customFormat="1" x14ac:dyDescent="0.25"/>
    <row r="104525" customFormat="1" x14ac:dyDescent="0.25"/>
    <row r="104526" customFormat="1" x14ac:dyDescent="0.25"/>
    <row r="104527" customFormat="1" x14ac:dyDescent="0.25"/>
    <row r="104528" customFormat="1" x14ac:dyDescent="0.25"/>
    <row r="104529" customFormat="1" x14ac:dyDescent="0.25"/>
    <row r="104530" customFormat="1" x14ac:dyDescent="0.25"/>
    <row r="104531" customFormat="1" x14ac:dyDescent="0.25"/>
    <row r="104532" customFormat="1" x14ac:dyDescent="0.25"/>
    <row r="104533" customFormat="1" x14ac:dyDescent="0.25"/>
    <row r="104534" customFormat="1" x14ac:dyDescent="0.25"/>
    <row r="104535" customFormat="1" x14ac:dyDescent="0.25"/>
    <row r="104536" customFormat="1" x14ac:dyDescent="0.25"/>
    <row r="104537" customFormat="1" x14ac:dyDescent="0.25"/>
    <row r="104538" customFormat="1" x14ac:dyDescent="0.25"/>
    <row r="104539" customFormat="1" x14ac:dyDescent="0.25"/>
    <row r="104540" customFormat="1" x14ac:dyDescent="0.25"/>
    <row r="104541" customFormat="1" x14ac:dyDescent="0.25"/>
    <row r="104542" customFormat="1" x14ac:dyDescent="0.25"/>
    <row r="104543" customFormat="1" x14ac:dyDescent="0.25"/>
    <row r="104544" customFormat="1" x14ac:dyDescent="0.25"/>
    <row r="104545" customFormat="1" x14ac:dyDescent="0.25"/>
    <row r="104546" customFormat="1" x14ac:dyDescent="0.25"/>
    <row r="104547" customFormat="1" x14ac:dyDescent="0.25"/>
    <row r="104548" customFormat="1" x14ac:dyDescent="0.25"/>
    <row r="104549" customFormat="1" x14ac:dyDescent="0.25"/>
    <row r="104550" customFormat="1" x14ac:dyDescent="0.25"/>
    <row r="104551" customFormat="1" x14ac:dyDescent="0.25"/>
    <row r="104552" customFormat="1" x14ac:dyDescent="0.25"/>
    <row r="104553" customFormat="1" x14ac:dyDescent="0.25"/>
    <row r="104554" customFormat="1" x14ac:dyDescent="0.25"/>
    <row r="104555" customFormat="1" x14ac:dyDescent="0.25"/>
    <row r="104556" customFormat="1" x14ac:dyDescent="0.25"/>
    <row r="104557" customFormat="1" x14ac:dyDescent="0.25"/>
    <row r="104558" customFormat="1" x14ac:dyDescent="0.25"/>
    <row r="104559" customFormat="1" x14ac:dyDescent="0.25"/>
    <row r="104560" customFormat="1" x14ac:dyDescent="0.25"/>
    <row r="104561" customFormat="1" x14ac:dyDescent="0.25"/>
    <row r="104562" customFormat="1" x14ac:dyDescent="0.25"/>
    <row r="104563" customFormat="1" x14ac:dyDescent="0.25"/>
    <row r="104564" customFormat="1" x14ac:dyDescent="0.25"/>
    <row r="104565" customFormat="1" x14ac:dyDescent="0.25"/>
    <row r="104566" customFormat="1" x14ac:dyDescent="0.25"/>
    <row r="104567" customFormat="1" x14ac:dyDescent="0.25"/>
    <row r="104568" customFormat="1" x14ac:dyDescent="0.25"/>
    <row r="104569" customFormat="1" x14ac:dyDescent="0.25"/>
    <row r="104570" customFormat="1" x14ac:dyDescent="0.25"/>
    <row r="104571" customFormat="1" x14ac:dyDescent="0.25"/>
    <row r="104572" customFormat="1" x14ac:dyDescent="0.25"/>
    <row r="104573" customFormat="1" x14ac:dyDescent="0.25"/>
    <row r="104574" customFormat="1" x14ac:dyDescent="0.25"/>
    <row r="104575" customFormat="1" x14ac:dyDescent="0.25"/>
    <row r="104576" customFormat="1" x14ac:dyDescent="0.25"/>
    <row r="104577" customFormat="1" x14ac:dyDescent="0.25"/>
    <row r="104578" customFormat="1" x14ac:dyDescent="0.25"/>
    <row r="104579" customFormat="1" x14ac:dyDescent="0.25"/>
    <row r="104580" customFormat="1" x14ac:dyDescent="0.25"/>
    <row r="104581" customFormat="1" x14ac:dyDescent="0.25"/>
    <row r="104582" customFormat="1" x14ac:dyDescent="0.25"/>
    <row r="104583" customFormat="1" x14ac:dyDescent="0.25"/>
    <row r="104584" customFormat="1" x14ac:dyDescent="0.25"/>
    <row r="104585" customFormat="1" x14ac:dyDescent="0.25"/>
    <row r="104586" customFormat="1" x14ac:dyDescent="0.25"/>
    <row r="104587" customFormat="1" x14ac:dyDescent="0.25"/>
    <row r="104588" customFormat="1" x14ac:dyDescent="0.25"/>
    <row r="104589" customFormat="1" x14ac:dyDescent="0.25"/>
    <row r="104590" customFormat="1" x14ac:dyDescent="0.25"/>
    <row r="104591" customFormat="1" x14ac:dyDescent="0.25"/>
    <row r="104592" customFormat="1" x14ac:dyDescent="0.25"/>
    <row r="104593" customFormat="1" x14ac:dyDescent="0.25"/>
    <row r="104594" customFormat="1" x14ac:dyDescent="0.25"/>
    <row r="104595" customFormat="1" x14ac:dyDescent="0.25"/>
    <row r="104596" customFormat="1" x14ac:dyDescent="0.25"/>
    <row r="104597" customFormat="1" x14ac:dyDescent="0.25"/>
    <row r="104598" customFormat="1" x14ac:dyDescent="0.25"/>
    <row r="104599" customFormat="1" x14ac:dyDescent="0.25"/>
    <row r="104600" customFormat="1" x14ac:dyDescent="0.25"/>
    <row r="104601" customFormat="1" x14ac:dyDescent="0.25"/>
    <row r="104602" customFormat="1" x14ac:dyDescent="0.25"/>
    <row r="104603" customFormat="1" x14ac:dyDescent="0.25"/>
    <row r="104604" customFormat="1" x14ac:dyDescent="0.25"/>
    <row r="104605" customFormat="1" x14ac:dyDescent="0.25"/>
    <row r="104606" customFormat="1" x14ac:dyDescent="0.25"/>
    <row r="104607" customFormat="1" x14ac:dyDescent="0.25"/>
    <row r="104608" customFormat="1" x14ac:dyDescent="0.25"/>
    <row r="104609" customFormat="1" x14ac:dyDescent="0.25"/>
    <row r="104610" customFormat="1" x14ac:dyDescent="0.25"/>
    <row r="104611" customFormat="1" x14ac:dyDescent="0.25"/>
    <row r="104612" customFormat="1" x14ac:dyDescent="0.25"/>
    <row r="104613" customFormat="1" x14ac:dyDescent="0.25"/>
    <row r="104614" customFormat="1" x14ac:dyDescent="0.25"/>
    <row r="104615" customFormat="1" x14ac:dyDescent="0.25"/>
    <row r="104616" customFormat="1" x14ac:dyDescent="0.25"/>
    <row r="104617" customFormat="1" x14ac:dyDescent="0.25"/>
    <row r="104618" customFormat="1" x14ac:dyDescent="0.25"/>
    <row r="104619" customFormat="1" x14ac:dyDescent="0.25"/>
    <row r="104620" customFormat="1" x14ac:dyDescent="0.25"/>
    <row r="104621" customFormat="1" x14ac:dyDescent="0.25"/>
    <row r="104622" customFormat="1" x14ac:dyDescent="0.25"/>
    <row r="104623" customFormat="1" x14ac:dyDescent="0.25"/>
    <row r="104624" customFormat="1" x14ac:dyDescent="0.25"/>
    <row r="104625" customFormat="1" x14ac:dyDescent="0.25"/>
    <row r="104626" customFormat="1" x14ac:dyDescent="0.25"/>
    <row r="104627" customFormat="1" x14ac:dyDescent="0.25"/>
    <row r="104628" customFormat="1" x14ac:dyDescent="0.25"/>
    <row r="104629" customFormat="1" x14ac:dyDescent="0.25"/>
    <row r="104630" customFormat="1" x14ac:dyDescent="0.25"/>
    <row r="104631" customFormat="1" x14ac:dyDescent="0.25"/>
    <row r="104632" customFormat="1" x14ac:dyDescent="0.25"/>
    <row r="104633" customFormat="1" x14ac:dyDescent="0.25"/>
    <row r="104634" customFormat="1" x14ac:dyDescent="0.25"/>
    <row r="104635" customFormat="1" x14ac:dyDescent="0.25"/>
    <row r="104636" customFormat="1" x14ac:dyDescent="0.25"/>
    <row r="104637" customFormat="1" x14ac:dyDescent="0.25"/>
    <row r="104638" customFormat="1" x14ac:dyDescent="0.25"/>
    <row r="104639" customFormat="1" x14ac:dyDescent="0.25"/>
    <row r="104640" customFormat="1" x14ac:dyDescent="0.25"/>
    <row r="104641" customFormat="1" x14ac:dyDescent="0.25"/>
    <row r="104642" customFormat="1" x14ac:dyDescent="0.25"/>
    <row r="104643" customFormat="1" x14ac:dyDescent="0.25"/>
    <row r="104644" customFormat="1" x14ac:dyDescent="0.25"/>
    <row r="104645" customFormat="1" x14ac:dyDescent="0.25"/>
    <row r="104646" customFormat="1" x14ac:dyDescent="0.25"/>
    <row r="104647" customFormat="1" x14ac:dyDescent="0.25"/>
    <row r="104648" customFormat="1" x14ac:dyDescent="0.25"/>
    <row r="104649" customFormat="1" x14ac:dyDescent="0.25"/>
    <row r="104650" customFormat="1" x14ac:dyDescent="0.25"/>
    <row r="104651" customFormat="1" x14ac:dyDescent="0.25"/>
    <row r="104652" customFormat="1" x14ac:dyDescent="0.25"/>
    <row r="104653" customFormat="1" x14ac:dyDescent="0.25"/>
    <row r="104654" customFormat="1" x14ac:dyDescent="0.25"/>
    <row r="104655" customFormat="1" x14ac:dyDescent="0.25"/>
    <row r="104656" customFormat="1" x14ac:dyDescent="0.25"/>
    <row r="104657" customFormat="1" x14ac:dyDescent="0.25"/>
    <row r="104658" customFormat="1" x14ac:dyDescent="0.25"/>
    <row r="104659" customFormat="1" x14ac:dyDescent="0.25"/>
    <row r="104660" customFormat="1" x14ac:dyDescent="0.25"/>
    <row r="104661" customFormat="1" x14ac:dyDescent="0.25"/>
    <row r="104662" customFormat="1" x14ac:dyDescent="0.25"/>
    <row r="104663" customFormat="1" x14ac:dyDescent="0.25"/>
    <row r="104664" customFormat="1" x14ac:dyDescent="0.25"/>
    <row r="104665" customFormat="1" x14ac:dyDescent="0.25"/>
    <row r="104666" customFormat="1" x14ac:dyDescent="0.25"/>
    <row r="104667" customFormat="1" x14ac:dyDescent="0.25"/>
    <row r="104668" customFormat="1" x14ac:dyDescent="0.25"/>
    <row r="104669" customFormat="1" x14ac:dyDescent="0.25"/>
    <row r="104670" customFormat="1" x14ac:dyDescent="0.25"/>
    <row r="104671" customFormat="1" x14ac:dyDescent="0.25"/>
    <row r="104672" customFormat="1" x14ac:dyDescent="0.25"/>
    <row r="104673" customFormat="1" x14ac:dyDescent="0.25"/>
    <row r="104674" customFormat="1" x14ac:dyDescent="0.25"/>
    <row r="104675" customFormat="1" x14ac:dyDescent="0.25"/>
    <row r="104676" customFormat="1" x14ac:dyDescent="0.25"/>
    <row r="104677" customFormat="1" x14ac:dyDescent="0.25"/>
    <row r="104678" customFormat="1" x14ac:dyDescent="0.25"/>
    <row r="104679" customFormat="1" x14ac:dyDescent="0.25"/>
    <row r="104680" customFormat="1" x14ac:dyDescent="0.25"/>
    <row r="104681" customFormat="1" x14ac:dyDescent="0.25"/>
    <row r="104682" customFormat="1" x14ac:dyDescent="0.25"/>
    <row r="104683" customFormat="1" x14ac:dyDescent="0.25"/>
    <row r="104684" customFormat="1" x14ac:dyDescent="0.25"/>
    <row r="104685" customFormat="1" x14ac:dyDescent="0.25"/>
    <row r="104686" customFormat="1" x14ac:dyDescent="0.25"/>
    <row r="104687" customFormat="1" x14ac:dyDescent="0.25"/>
    <row r="104688" customFormat="1" x14ac:dyDescent="0.25"/>
    <row r="104689" customFormat="1" x14ac:dyDescent="0.25"/>
    <row r="104690" customFormat="1" x14ac:dyDescent="0.25"/>
    <row r="104691" customFormat="1" x14ac:dyDescent="0.25"/>
    <row r="104692" customFormat="1" x14ac:dyDescent="0.25"/>
    <row r="104693" customFormat="1" x14ac:dyDescent="0.25"/>
    <row r="104694" customFormat="1" x14ac:dyDescent="0.25"/>
    <row r="104695" customFormat="1" x14ac:dyDescent="0.25"/>
    <row r="104696" customFormat="1" x14ac:dyDescent="0.25"/>
    <row r="104697" customFormat="1" x14ac:dyDescent="0.25"/>
    <row r="104698" customFormat="1" x14ac:dyDescent="0.25"/>
    <row r="104699" customFormat="1" x14ac:dyDescent="0.25"/>
    <row r="104700" customFormat="1" x14ac:dyDescent="0.25"/>
    <row r="104701" customFormat="1" x14ac:dyDescent="0.25"/>
    <row r="104702" customFormat="1" x14ac:dyDescent="0.25"/>
    <row r="104703" customFormat="1" x14ac:dyDescent="0.25"/>
    <row r="104704" customFormat="1" x14ac:dyDescent="0.25"/>
    <row r="104705" customFormat="1" x14ac:dyDescent="0.25"/>
    <row r="104706" customFormat="1" x14ac:dyDescent="0.25"/>
    <row r="104707" customFormat="1" x14ac:dyDescent="0.25"/>
    <row r="104708" customFormat="1" x14ac:dyDescent="0.25"/>
    <row r="104709" customFormat="1" x14ac:dyDescent="0.25"/>
    <row r="104710" customFormat="1" x14ac:dyDescent="0.25"/>
    <row r="104711" customFormat="1" x14ac:dyDescent="0.25"/>
    <row r="104712" customFormat="1" x14ac:dyDescent="0.25"/>
    <row r="104713" customFormat="1" x14ac:dyDescent="0.25"/>
    <row r="104714" customFormat="1" x14ac:dyDescent="0.25"/>
    <row r="104715" customFormat="1" x14ac:dyDescent="0.25"/>
    <row r="104716" customFormat="1" x14ac:dyDescent="0.25"/>
    <row r="104717" customFormat="1" x14ac:dyDescent="0.25"/>
    <row r="104718" customFormat="1" x14ac:dyDescent="0.25"/>
    <row r="104719" customFormat="1" x14ac:dyDescent="0.25"/>
    <row r="104720" customFormat="1" x14ac:dyDescent="0.25"/>
    <row r="104721" customFormat="1" x14ac:dyDescent="0.25"/>
    <row r="104722" customFormat="1" x14ac:dyDescent="0.25"/>
    <row r="104723" customFormat="1" x14ac:dyDescent="0.25"/>
    <row r="104724" customFormat="1" x14ac:dyDescent="0.25"/>
    <row r="104725" customFormat="1" x14ac:dyDescent="0.25"/>
    <row r="104726" customFormat="1" x14ac:dyDescent="0.25"/>
    <row r="104727" customFormat="1" x14ac:dyDescent="0.25"/>
    <row r="104728" customFormat="1" x14ac:dyDescent="0.25"/>
    <row r="104729" customFormat="1" x14ac:dyDescent="0.25"/>
    <row r="104730" customFormat="1" x14ac:dyDescent="0.25"/>
    <row r="104731" customFormat="1" x14ac:dyDescent="0.25"/>
    <row r="104732" customFormat="1" x14ac:dyDescent="0.25"/>
    <row r="104733" customFormat="1" x14ac:dyDescent="0.25"/>
    <row r="104734" customFormat="1" x14ac:dyDescent="0.25"/>
    <row r="104735" customFormat="1" x14ac:dyDescent="0.25"/>
    <row r="104736" customFormat="1" x14ac:dyDescent="0.25"/>
    <row r="104737" customFormat="1" x14ac:dyDescent="0.25"/>
    <row r="104738" customFormat="1" x14ac:dyDescent="0.25"/>
    <row r="104739" customFormat="1" x14ac:dyDescent="0.25"/>
    <row r="104740" customFormat="1" x14ac:dyDescent="0.25"/>
    <row r="104741" customFormat="1" x14ac:dyDescent="0.25"/>
    <row r="104742" customFormat="1" x14ac:dyDescent="0.25"/>
    <row r="104743" customFormat="1" x14ac:dyDescent="0.25"/>
    <row r="104744" customFormat="1" x14ac:dyDescent="0.25"/>
    <row r="104745" customFormat="1" x14ac:dyDescent="0.25"/>
    <row r="104746" customFormat="1" x14ac:dyDescent="0.25"/>
    <row r="104747" customFormat="1" x14ac:dyDescent="0.25"/>
    <row r="104748" customFormat="1" x14ac:dyDescent="0.25"/>
    <row r="104749" customFormat="1" x14ac:dyDescent="0.25"/>
    <row r="104750" customFormat="1" x14ac:dyDescent="0.25"/>
    <row r="104751" customFormat="1" x14ac:dyDescent="0.25"/>
    <row r="104752" customFormat="1" x14ac:dyDescent="0.25"/>
    <row r="104753" customFormat="1" x14ac:dyDescent="0.25"/>
    <row r="104754" customFormat="1" x14ac:dyDescent="0.25"/>
    <row r="104755" customFormat="1" x14ac:dyDescent="0.25"/>
    <row r="104756" customFormat="1" x14ac:dyDescent="0.25"/>
    <row r="104757" customFormat="1" x14ac:dyDescent="0.25"/>
    <row r="104758" customFormat="1" x14ac:dyDescent="0.25"/>
    <row r="104759" customFormat="1" x14ac:dyDescent="0.25"/>
    <row r="104760" customFormat="1" x14ac:dyDescent="0.25"/>
    <row r="104761" customFormat="1" x14ac:dyDescent="0.25"/>
    <row r="104762" customFormat="1" x14ac:dyDescent="0.25"/>
    <row r="104763" customFormat="1" x14ac:dyDescent="0.25"/>
    <row r="104764" customFormat="1" x14ac:dyDescent="0.25"/>
    <row r="104765" customFormat="1" x14ac:dyDescent="0.25"/>
    <row r="104766" customFormat="1" x14ac:dyDescent="0.25"/>
    <row r="104767" customFormat="1" x14ac:dyDescent="0.25"/>
    <row r="104768" customFormat="1" x14ac:dyDescent="0.25"/>
    <row r="104769" customFormat="1" x14ac:dyDescent="0.25"/>
    <row r="104770" customFormat="1" x14ac:dyDescent="0.25"/>
    <row r="104771" customFormat="1" x14ac:dyDescent="0.25"/>
    <row r="104772" customFormat="1" x14ac:dyDescent="0.25"/>
    <row r="104773" customFormat="1" x14ac:dyDescent="0.25"/>
    <row r="104774" customFormat="1" x14ac:dyDescent="0.25"/>
    <row r="104775" customFormat="1" x14ac:dyDescent="0.25"/>
    <row r="104776" customFormat="1" x14ac:dyDescent="0.25"/>
    <row r="104777" customFormat="1" x14ac:dyDescent="0.25"/>
    <row r="104778" customFormat="1" x14ac:dyDescent="0.25"/>
    <row r="104779" customFormat="1" x14ac:dyDescent="0.25"/>
    <row r="104780" customFormat="1" x14ac:dyDescent="0.25"/>
    <row r="104781" customFormat="1" x14ac:dyDescent="0.25"/>
    <row r="104782" customFormat="1" x14ac:dyDescent="0.25"/>
    <row r="104783" customFormat="1" x14ac:dyDescent="0.25"/>
    <row r="104784" customFormat="1" x14ac:dyDescent="0.25"/>
    <row r="104785" customFormat="1" x14ac:dyDescent="0.25"/>
    <row r="104786" customFormat="1" x14ac:dyDescent="0.25"/>
    <row r="104787" customFormat="1" x14ac:dyDescent="0.25"/>
    <row r="104788" customFormat="1" x14ac:dyDescent="0.25"/>
    <row r="104789" customFormat="1" x14ac:dyDescent="0.25"/>
    <row r="104790" customFormat="1" x14ac:dyDescent="0.25"/>
    <row r="104791" customFormat="1" x14ac:dyDescent="0.25"/>
    <row r="104792" customFormat="1" x14ac:dyDescent="0.25"/>
    <row r="104793" customFormat="1" x14ac:dyDescent="0.25"/>
    <row r="104794" customFormat="1" x14ac:dyDescent="0.25"/>
    <row r="104795" customFormat="1" x14ac:dyDescent="0.25"/>
    <row r="104796" customFormat="1" x14ac:dyDescent="0.25"/>
    <row r="104797" customFormat="1" x14ac:dyDescent="0.25"/>
    <row r="104798" customFormat="1" x14ac:dyDescent="0.25"/>
    <row r="104799" customFormat="1" x14ac:dyDescent="0.25"/>
    <row r="104800" customFormat="1" x14ac:dyDescent="0.25"/>
    <row r="104801" customFormat="1" x14ac:dyDescent="0.25"/>
    <row r="104802" customFormat="1" x14ac:dyDescent="0.25"/>
    <row r="104803" customFormat="1" x14ac:dyDescent="0.25"/>
    <row r="104804" customFormat="1" x14ac:dyDescent="0.25"/>
    <row r="104805" customFormat="1" x14ac:dyDescent="0.25"/>
    <row r="104806" customFormat="1" x14ac:dyDescent="0.25"/>
    <row r="104807" customFormat="1" x14ac:dyDescent="0.25"/>
    <row r="104808" customFormat="1" x14ac:dyDescent="0.25"/>
    <row r="104809" customFormat="1" x14ac:dyDescent="0.25"/>
    <row r="104810" customFormat="1" x14ac:dyDescent="0.25"/>
    <row r="104811" customFormat="1" x14ac:dyDescent="0.25"/>
    <row r="104812" customFormat="1" x14ac:dyDescent="0.25"/>
    <row r="104813" customFormat="1" x14ac:dyDescent="0.25"/>
    <row r="104814" customFormat="1" x14ac:dyDescent="0.25"/>
    <row r="104815" customFormat="1" x14ac:dyDescent="0.25"/>
    <row r="104816" customFormat="1" x14ac:dyDescent="0.25"/>
    <row r="104817" customFormat="1" x14ac:dyDescent="0.25"/>
    <row r="104818" customFormat="1" x14ac:dyDescent="0.25"/>
    <row r="104819" customFormat="1" x14ac:dyDescent="0.25"/>
    <row r="104820" customFormat="1" x14ac:dyDescent="0.25"/>
    <row r="104821" customFormat="1" x14ac:dyDescent="0.25"/>
    <row r="104822" customFormat="1" x14ac:dyDescent="0.25"/>
    <row r="104823" customFormat="1" x14ac:dyDescent="0.25"/>
    <row r="104824" customFormat="1" x14ac:dyDescent="0.25"/>
    <row r="104825" customFormat="1" x14ac:dyDescent="0.25"/>
    <row r="104826" customFormat="1" x14ac:dyDescent="0.25"/>
    <row r="104827" customFormat="1" x14ac:dyDescent="0.25"/>
    <row r="104828" customFormat="1" x14ac:dyDescent="0.25"/>
    <row r="104829" customFormat="1" x14ac:dyDescent="0.25"/>
    <row r="104830" customFormat="1" x14ac:dyDescent="0.25"/>
    <row r="104831" customFormat="1" x14ac:dyDescent="0.25"/>
    <row r="104832" customFormat="1" x14ac:dyDescent="0.25"/>
    <row r="104833" customFormat="1" x14ac:dyDescent="0.25"/>
    <row r="104834" customFormat="1" x14ac:dyDescent="0.25"/>
    <row r="104835" customFormat="1" x14ac:dyDescent="0.25"/>
    <row r="104836" customFormat="1" x14ac:dyDescent="0.25"/>
    <row r="104837" customFormat="1" x14ac:dyDescent="0.25"/>
    <row r="104838" customFormat="1" x14ac:dyDescent="0.25"/>
    <row r="104839" customFormat="1" x14ac:dyDescent="0.25"/>
    <row r="104840" customFormat="1" x14ac:dyDescent="0.25"/>
    <row r="104841" customFormat="1" x14ac:dyDescent="0.25"/>
    <row r="104842" customFormat="1" x14ac:dyDescent="0.25"/>
    <row r="104843" customFormat="1" x14ac:dyDescent="0.25"/>
    <row r="104844" customFormat="1" x14ac:dyDescent="0.25"/>
    <row r="104845" customFormat="1" x14ac:dyDescent="0.25"/>
    <row r="104846" customFormat="1" x14ac:dyDescent="0.25"/>
    <row r="104847" customFormat="1" x14ac:dyDescent="0.25"/>
    <row r="104848" customFormat="1" x14ac:dyDescent="0.25"/>
    <row r="104849" customFormat="1" x14ac:dyDescent="0.25"/>
    <row r="104850" customFormat="1" x14ac:dyDescent="0.25"/>
    <row r="104851" customFormat="1" x14ac:dyDescent="0.25"/>
    <row r="104852" customFormat="1" x14ac:dyDescent="0.25"/>
    <row r="104853" customFormat="1" x14ac:dyDescent="0.25"/>
    <row r="104854" customFormat="1" x14ac:dyDescent="0.25"/>
    <row r="104855" customFormat="1" x14ac:dyDescent="0.25"/>
    <row r="104856" customFormat="1" x14ac:dyDescent="0.25"/>
    <row r="104857" customFormat="1" x14ac:dyDescent="0.25"/>
    <row r="104858" customFormat="1" x14ac:dyDescent="0.25"/>
    <row r="104859" customFormat="1" x14ac:dyDescent="0.25"/>
    <row r="104860" customFormat="1" x14ac:dyDescent="0.25"/>
    <row r="104861" customFormat="1" x14ac:dyDescent="0.25"/>
    <row r="104862" customFormat="1" x14ac:dyDescent="0.25"/>
    <row r="104863" customFormat="1" x14ac:dyDescent="0.25"/>
    <row r="104864" customFormat="1" x14ac:dyDescent="0.25"/>
    <row r="104865" customFormat="1" x14ac:dyDescent="0.25"/>
    <row r="104866" customFormat="1" x14ac:dyDescent="0.25"/>
    <row r="104867" customFormat="1" x14ac:dyDescent="0.25"/>
    <row r="104868" customFormat="1" x14ac:dyDescent="0.25"/>
    <row r="104869" customFormat="1" x14ac:dyDescent="0.25"/>
    <row r="104870" customFormat="1" x14ac:dyDescent="0.25"/>
    <row r="104871" customFormat="1" x14ac:dyDescent="0.25"/>
    <row r="104872" customFormat="1" x14ac:dyDescent="0.25"/>
    <row r="104873" customFormat="1" x14ac:dyDescent="0.25"/>
    <row r="104874" customFormat="1" x14ac:dyDescent="0.25"/>
    <row r="104875" customFormat="1" x14ac:dyDescent="0.25"/>
    <row r="104876" customFormat="1" x14ac:dyDescent="0.25"/>
    <row r="104877" customFormat="1" x14ac:dyDescent="0.25"/>
    <row r="104878" customFormat="1" x14ac:dyDescent="0.25"/>
    <row r="104879" customFormat="1" x14ac:dyDescent="0.25"/>
    <row r="104880" customFormat="1" x14ac:dyDescent="0.25"/>
    <row r="104881" customFormat="1" x14ac:dyDescent="0.25"/>
    <row r="104882" customFormat="1" x14ac:dyDescent="0.25"/>
    <row r="104883" customFormat="1" x14ac:dyDescent="0.25"/>
    <row r="104884" customFormat="1" x14ac:dyDescent="0.25"/>
    <row r="104885" customFormat="1" x14ac:dyDescent="0.25"/>
    <row r="104886" customFormat="1" x14ac:dyDescent="0.25"/>
    <row r="104887" customFormat="1" x14ac:dyDescent="0.25"/>
    <row r="104888" customFormat="1" x14ac:dyDescent="0.25"/>
    <row r="104889" customFormat="1" x14ac:dyDescent="0.25"/>
    <row r="104890" customFormat="1" x14ac:dyDescent="0.25"/>
    <row r="104891" customFormat="1" x14ac:dyDescent="0.25"/>
    <row r="104892" customFormat="1" x14ac:dyDescent="0.25"/>
    <row r="104893" customFormat="1" x14ac:dyDescent="0.25"/>
    <row r="104894" customFormat="1" x14ac:dyDescent="0.25"/>
    <row r="104895" customFormat="1" x14ac:dyDescent="0.25"/>
    <row r="104896" customFormat="1" x14ac:dyDescent="0.25"/>
    <row r="104897" customFormat="1" x14ac:dyDescent="0.25"/>
    <row r="104898" customFormat="1" x14ac:dyDescent="0.25"/>
    <row r="104899" customFormat="1" x14ac:dyDescent="0.25"/>
    <row r="104900" customFormat="1" x14ac:dyDescent="0.25"/>
    <row r="104901" customFormat="1" x14ac:dyDescent="0.25"/>
    <row r="104902" customFormat="1" x14ac:dyDescent="0.25"/>
    <row r="104903" customFormat="1" x14ac:dyDescent="0.25"/>
    <row r="104904" customFormat="1" x14ac:dyDescent="0.25"/>
    <row r="104905" customFormat="1" x14ac:dyDescent="0.25"/>
    <row r="104906" customFormat="1" x14ac:dyDescent="0.25"/>
    <row r="104907" customFormat="1" x14ac:dyDescent="0.25"/>
    <row r="104908" customFormat="1" x14ac:dyDescent="0.25"/>
    <row r="104909" customFormat="1" x14ac:dyDescent="0.25"/>
    <row r="104910" customFormat="1" x14ac:dyDescent="0.25"/>
    <row r="104911" customFormat="1" x14ac:dyDescent="0.25"/>
    <row r="104912" customFormat="1" x14ac:dyDescent="0.25"/>
    <row r="104913" customFormat="1" x14ac:dyDescent="0.25"/>
    <row r="104914" customFormat="1" x14ac:dyDescent="0.25"/>
    <row r="104915" customFormat="1" x14ac:dyDescent="0.25"/>
    <row r="104916" customFormat="1" x14ac:dyDescent="0.25"/>
    <row r="104917" customFormat="1" x14ac:dyDescent="0.25"/>
    <row r="104918" customFormat="1" x14ac:dyDescent="0.25"/>
    <row r="104919" customFormat="1" x14ac:dyDescent="0.25"/>
    <row r="104920" customFormat="1" x14ac:dyDescent="0.25"/>
    <row r="104921" customFormat="1" x14ac:dyDescent="0.25"/>
    <row r="104922" customFormat="1" x14ac:dyDescent="0.25"/>
    <row r="104923" customFormat="1" x14ac:dyDescent="0.25"/>
    <row r="104924" customFormat="1" x14ac:dyDescent="0.25"/>
    <row r="104925" customFormat="1" x14ac:dyDescent="0.25"/>
    <row r="104926" customFormat="1" x14ac:dyDescent="0.25"/>
    <row r="104927" customFormat="1" x14ac:dyDescent="0.25"/>
    <row r="104928" customFormat="1" x14ac:dyDescent="0.25"/>
    <row r="104929" customFormat="1" x14ac:dyDescent="0.25"/>
    <row r="104930" customFormat="1" x14ac:dyDescent="0.25"/>
    <row r="104931" customFormat="1" x14ac:dyDescent="0.25"/>
    <row r="104932" customFormat="1" x14ac:dyDescent="0.25"/>
    <row r="104933" customFormat="1" x14ac:dyDescent="0.25"/>
    <row r="104934" customFormat="1" x14ac:dyDescent="0.25"/>
    <row r="104935" customFormat="1" x14ac:dyDescent="0.25"/>
    <row r="104936" customFormat="1" x14ac:dyDescent="0.25"/>
    <row r="104937" customFormat="1" x14ac:dyDescent="0.25"/>
    <row r="104938" customFormat="1" x14ac:dyDescent="0.25"/>
    <row r="104939" customFormat="1" x14ac:dyDescent="0.25"/>
    <row r="104940" customFormat="1" x14ac:dyDescent="0.25"/>
    <row r="104941" customFormat="1" x14ac:dyDescent="0.25"/>
    <row r="104942" customFormat="1" x14ac:dyDescent="0.25"/>
    <row r="104943" customFormat="1" x14ac:dyDescent="0.25"/>
    <row r="104944" customFormat="1" x14ac:dyDescent="0.25"/>
    <row r="104945" customFormat="1" x14ac:dyDescent="0.25"/>
    <row r="104946" customFormat="1" x14ac:dyDescent="0.25"/>
    <row r="104947" customFormat="1" x14ac:dyDescent="0.25"/>
    <row r="104948" customFormat="1" x14ac:dyDescent="0.25"/>
    <row r="104949" customFormat="1" x14ac:dyDescent="0.25"/>
    <row r="104950" customFormat="1" x14ac:dyDescent="0.25"/>
    <row r="104951" customFormat="1" x14ac:dyDescent="0.25"/>
    <row r="104952" customFormat="1" x14ac:dyDescent="0.25"/>
    <row r="104953" customFormat="1" x14ac:dyDescent="0.25"/>
    <row r="104954" customFormat="1" x14ac:dyDescent="0.25"/>
    <row r="104955" customFormat="1" x14ac:dyDescent="0.25"/>
    <row r="104956" customFormat="1" x14ac:dyDescent="0.25"/>
    <row r="104957" customFormat="1" x14ac:dyDescent="0.25"/>
    <row r="104958" customFormat="1" x14ac:dyDescent="0.25"/>
    <row r="104959" customFormat="1" x14ac:dyDescent="0.25"/>
    <row r="104960" customFormat="1" x14ac:dyDescent="0.25"/>
    <row r="104961" customFormat="1" x14ac:dyDescent="0.25"/>
    <row r="104962" customFormat="1" x14ac:dyDescent="0.25"/>
    <row r="104963" customFormat="1" x14ac:dyDescent="0.25"/>
    <row r="104964" customFormat="1" x14ac:dyDescent="0.25"/>
    <row r="104965" customFormat="1" x14ac:dyDescent="0.25"/>
    <row r="104966" customFormat="1" x14ac:dyDescent="0.25"/>
    <row r="104967" customFormat="1" x14ac:dyDescent="0.25"/>
    <row r="104968" customFormat="1" x14ac:dyDescent="0.25"/>
    <row r="104969" customFormat="1" x14ac:dyDescent="0.25"/>
    <row r="104970" customFormat="1" x14ac:dyDescent="0.25"/>
    <row r="104971" customFormat="1" x14ac:dyDescent="0.25"/>
    <row r="104972" customFormat="1" x14ac:dyDescent="0.25"/>
    <row r="104973" customFormat="1" x14ac:dyDescent="0.25"/>
    <row r="104974" customFormat="1" x14ac:dyDescent="0.25"/>
    <row r="104975" customFormat="1" x14ac:dyDescent="0.25"/>
    <row r="104976" customFormat="1" x14ac:dyDescent="0.25"/>
    <row r="104977" customFormat="1" x14ac:dyDescent="0.25"/>
    <row r="104978" customFormat="1" x14ac:dyDescent="0.25"/>
    <row r="104979" customFormat="1" x14ac:dyDescent="0.25"/>
    <row r="104980" customFormat="1" x14ac:dyDescent="0.25"/>
    <row r="104981" customFormat="1" x14ac:dyDescent="0.25"/>
    <row r="104982" customFormat="1" x14ac:dyDescent="0.25"/>
    <row r="104983" customFormat="1" x14ac:dyDescent="0.25"/>
    <row r="104984" customFormat="1" x14ac:dyDescent="0.25"/>
    <row r="104985" customFormat="1" x14ac:dyDescent="0.25"/>
    <row r="104986" customFormat="1" x14ac:dyDescent="0.25"/>
    <row r="104987" customFormat="1" x14ac:dyDescent="0.25"/>
    <row r="104988" customFormat="1" x14ac:dyDescent="0.25"/>
    <row r="104989" customFormat="1" x14ac:dyDescent="0.25"/>
    <row r="104990" customFormat="1" x14ac:dyDescent="0.25"/>
    <row r="104991" customFormat="1" x14ac:dyDescent="0.25"/>
    <row r="104992" customFormat="1" x14ac:dyDescent="0.25"/>
    <row r="104993" customFormat="1" x14ac:dyDescent="0.25"/>
    <row r="104994" customFormat="1" x14ac:dyDescent="0.25"/>
    <row r="104995" customFormat="1" x14ac:dyDescent="0.25"/>
    <row r="104996" customFormat="1" x14ac:dyDescent="0.25"/>
    <row r="104997" customFormat="1" x14ac:dyDescent="0.25"/>
    <row r="104998" customFormat="1" x14ac:dyDescent="0.25"/>
    <row r="104999" customFormat="1" x14ac:dyDescent="0.25"/>
    <row r="105000" customFormat="1" x14ac:dyDescent="0.25"/>
    <row r="105001" customFormat="1" x14ac:dyDescent="0.25"/>
    <row r="105002" customFormat="1" x14ac:dyDescent="0.25"/>
    <row r="105003" customFormat="1" x14ac:dyDescent="0.25"/>
    <row r="105004" customFormat="1" x14ac:dyDescent="0.25"/>
    <row r="105005" customFormat="1" x14ac:dyDescent="0.25"/>
    <row r="105006" customFormat="1" x14ac:dyDescent="0.25"/>
    <row r="105007" customFormat="1" x14ac:dyDescent="0.25"/>
    <row r="105008" customFormat="1" x14ac:dyDescent="0.25"/>
    <row r="105009" customFormat="1" x14ac:dyDescent="0.25"/>
    <row r="105010" customFormat="1" x14ac:dyDescent="0.25"/>
    <row r="105011" customFormat="1" x14ac:dyDescent="0.25"/>
    <row r="105012" customFormat="1" x14ac:dyDescent="0.25"/>
    <row r="105013" customFormat="1" x14ac:dyDescent="0.25"/>
    <row r="105014" customFormat="1" x14ac:dyDescent="0.25"/>
    <row r="105015" customFormat="1" x14ac:dyDescent="0.25"/>
    <row r="105016" customFormat="1" x14ac:dyDescent="0.25"/>
    <row r="105017" customFormat="1" x14ac:dyDescent="0.25"/>
    <row r="105018" customFormat="1" x14ac:dyDescent="0.25"/>
    <row r="105019" customFormat="1" x14ac:dyDescent="0.25"/>
    <row r="105020" customFormat="1" x14ac:dyDescent="0.25"/>
    <row r="105021" customFormat="1" x14ac:dyDescent="0.25"/>
    <row r="105022" customFormat="1" x14ac:dyDescent="0.25"/>
    <row r="105023" customFormat="1" x14ac:dyDescent="0.25"/>
    <row r="105024" customFormat="1" x14ac:dyDescent="0.25"/>
    <row r="105025" customFormat="1" x14ac:dyDescent="0.25"/>
    <row r="105026" customFormat="1" x14ac:dyDescent="0.25"/>
    <row r="105027" customFormat="1" x14ac:dyDescent="0.25"/>
    <row r="105028" customFormat="1" x14ac:dyDescent="0.25"/>
    <row r="105029" customFormat="1" x14ac:dyDescent="0.25"/>
    <row r="105030" customFormat="1" x14ac:dyDescent="0.25"/>
    <row r="105031" customFormat="1" x14ac:dyDescent="0.25"/>
    <row r="105032" customFormat="1" x14ac:dyDescent="0.25"/>
    <row r="105033" customFormat="1" x14ac:dyDescent="0.25"/>
    <row r="105034" customFormat="1" x14ac:dyDescent="0.25"/>
    <row r="105035" customFormat="1" x14ac:dyDescent="0.25"/>
    <row r="105036" customFormat="1" x14ac:dyDescent="0.25"/>
    <row r="105037" customFormat="1" x14ac:dyDescent="0.25"/>
    <row r="105038" customFormat="1" x14ac:dyDescent="0.25"/>
    <row r="105039" customFormat="1" x14ac:dyDescent="0.25"/>
    <row r="105040" customFormat="1" x14ac:dyDescent="0.25"/>
    <row r="105041" customFormat="1" x14ac:dyDescent="0.25"/>
    <row r="105042" customFormat="1" x14ac:dyDescent="0.25"/>
    <row r="105043" customFormat="1" x14ac:dyDescent="0.25"/>
    <row r="105044" customFormat="1" x14ac:dyDescent="0.25"/>
    <row r="105045" customFormat="1" x14ac:dyDescent="0.25"/>
    <row r="105046" customFormat="1" x14ac:dyDescent="0.25"/>
    <row r="105047" customFormat="1" x14ac:dyDescent="0.25"/>
    <row r="105048" customFormat="1" x14ac:dyDescent="0.25"/>
    <row r="105049" customFormat="1" x14ac:dyDescent="0.25"/>
    <row r="105050" customFormat="1" x14ac:dyDescent="0.25"/>
    <row r="105051" customFormat="1" x14ac:dyDescent="0.25"/>
    <row r="105052" customFormat="1" x14ac:dyDescent="0.25"/>
    <row r="105053" customFormat="1" x14ac:dyDescent="0.25"/>
    <row r="105054" customFormat="1" x14ac:dyDescent="0.25"/>
    <row r="105055" customFormat="1" x14ac:dyDescent="0.25"/>
    <row r="105056" customFormat="1" x14ac:dyDescent="0.25"/>
    <row r="105057" customFormat="1" x14ac:dyDescent="0.25"/>
    <row r="105058" customFormat="1" x14ac:dyDescent="0.25"/>
    <row r="105059" customFormat="1" x14ac:dyDescent="0.25"/>
    <row r="105060" customFormat="1" x14ac:dyDescent="0.25"/>
    <row r="105061" customFormat="1" x14ac:dyDescent="0.25"/>
    <row r="105062" customFormat="1" x14ac:dyDescent="0.25"/>
    <row r="105063" customFormat="1" x14ac:dyDescent="0.25"/>
    <row r="105064" customFormat="1" x14ac:dyDescent="0.25"/>
    <row r="105065" customFormat="1" x14ac:dyDescent="0.25"/>
    <row r="105066" customFormat="1" x14ac:dyDescent="0.25"/>
    <row r="105067" customFormat="1" x14ac:dyDescent="0.25"/>
    <row r="105068" customFormat="1" x14ac:dyDescent="0.25"/>
    <row r="105069" customFormat="1" x14ac:dyDescent="0.25"/>
    <row r="105070" customFormat="1" x14ac:dyDescent="0.25"/>
    <row r="105071" customFormat="1" x14ac:dyDescent="0.25"/>
    <row r="105072" customFormat="1" x14ac:dyDescent="0.25"/>
    <row r="105073" customFormat="1" x14ac:dyDescent="0.25"/>
    <row r="105074" customFormat="1" x14ac:dyDescent="0.25"/>
    <row r="105075" customFormat="1" x14ac:dyDescent="0.25"/>
    <row r="105076" customFormat="1" x14ac:dyDescent="0.25"/>
    <row r="105077" customFormat="1" x14ac:dyDescent="0.25"/>
    <row r="105078" customFormat="1" x14ac:dyDescent="0.25"/>
    <row r="105079" customFormat="1" x14ac:dyDescent="0.25"/>
    <row r="105080" customFormat="1" x14ac:dyDescent="0.25"/>
    <row r="105081" customFormat="1" x14ac:dyDescent="0.25"/>
    <row r="105082" customFormat="1" x14ac:dyDescent="0.25"/>
    <row r="105083" customFormat="1" x14ac:dyDescent="0.25"/>
    <row r="105084" customFormat="1" x14ac:dyDescent="0.25"/>
    <row r="105085" customFormat="1" x14ac:dyDescent="0.25"/>
    <row r="105086" customFormat="1" x14ac:dyDescent="0.25"/>
    <row r="105087" customFormat="1" x14ac:dyDescent="0.25"/>
    <row r="105088" customFormat="1" x14ac:dyDescent="0.25"/>
    <row r="105089" customFormat="1" x14ac:dyDescent="0.25"/>
    <row r="105090" customFormat="1" x14ac:dyDescent="0.25"/>
    <row r="105091" customFormat="1" x14ac:dyDescent="0.25"/>
    <row r="105092" customFormat="1" x14ac:dyDescent="0.25"/>
    <row r="105093" customFormat="1" x14ac:dyDescent="0.25"/>
    <row r="105094" customFormat="1" x14ac:dyDescent="0.25"/>
    <row r="105095" customFormat="1" x14ac:dyDescent="0.25"/>
    <row r="105096" customFormat="1" x14ac:dyDescent="0.25"/>
    <row r="105097" customFormat="1" x14ac:dyDescent="0.25"/>
    <row r="105098" customFormat="1" x14ac:dyDescent="0.25"/>
    <row r="105099" customFormat="1" x14ac:dyDescent="0.25"/>
    <row r="105100" customFormat="1" x14ac:dyDescent="0.25"/>
    <row r="105101" customFormat="1" x14ac:dyDescent="0.25"/>
    <row r="105102" customFormat="1" x14ac:dyDescent="0.25"/>
    <row r="105103" customFormat="1" x14ac:dyDescent="0.25"/>
    <row r="105104" customFormat="1" x14ac:dyDescent="0.25"/>
    <row r="105105" customFormat="1" x14ac:dyDescent="0.25"/>
    <row r="105106" customFormat="1" x14ac:dyDescent="0.25"/>
    <row r="105107" customFormat="1" x14ac:dyDescent="0.25"/>
    <row r="105108" customFormat="1" x14ac:dyDescent="0.25"/>
    <row r="105109" customFormat="1" x14ac:dyDescent="0.25"/>
    <row r="105110" customFormat="1" x14ac:dyDescent="0.25"/>
    <row r="105111" customFormat="1" x14ac:dyDescent="0.25"/>
    <row r="105112" customFormat="1" x14ac:dyDescent="0.25"/>
    <row r="105113" customFormat="1" x14ac:dyDescent="0.25"/>
    <row r="105114" customFormat="1" x14ac:dyDescent="0.25"/>
    <row r="105115" customFormat="1" x14ac:dyDescent="0.25"/>
    <row r="105116" customFormat="1" x14ac:dyDescent="0.25"/>
    <row r="105117" customFormat="1" x14ac:dyDescent="0.25"/>
    <row r="105118" customFormat="1" x14ac:dyDescent="0.25"/>
    <row r="105119" customFormat="1" x14ac:dyDescent="0.25"/>
    <row r="105120" customFormat="1" x14ac:dyDescent="0.25"/>
    <row r="105121" customFormat="1" x14ac:dyDescent="0.25"/>
    <row r="105122" customFormat="1" x14ac:dyDescent="0.25"/>
    <row r="105123" customFormat="1" x14ac:dyDescent="0.25"/>
    <row r="105124" customFormat="1" x14ac:dyDescent="0.25"/>
    <row r="105125" customFormat="1" x14ac:dyDescent="0.25"/>
    <row r="105126" customFormat="1" x14ac:dyDescent="0.25"/>
    <row r="105127" customFormat="1" x14ac:dyDescent="0.25"/>
    <row r="105128" customFormat="1" x14ac:dyDescent="0.25"/>
    <row r="105129" customFormat="1" x14ac:dyDescent="0.25"/>
    <row r="105130" customFormat="1" x14ac:dyDescent="0.25"/>
    <row r="105131" customFormat="1" x14ac:dyDescent="0.25"/>
    <row r="105132" customFormat="1" x14ac:dyDescent="0.25"/>
    <row r="105133" customFormat="1" x14ac:dyDescent="0.25"/>
    <row r="105134" customFormat="1" x14ac:dyDescent="0.25"/>
    <row r="105135" customFormat="1" x14ac:dyDescent="0.25"/>
    <row r="105136" customFormat="1" x14ac:dyDescent="0.25"/>
    <row r="105137" customFormat="1" x14ac:dyDescent="0.25"/>
    <row r="105138" customFormat="1" x14ac:dyDescent="0.25"/>
    <row r="105139" customFormat="1" x14ac:dyDescent="0.25"/>
    <row r="105140" customFormat="1" x14ac:dyDescent="0.25"/>
    <row r="105141" customFormat="1" x14ac:dyDescent="0.25"/>
    <row r="105142" customFormat="1" x14ac:dyDescent="0.25"/>
    <row r="105143" customFormat="1" x14ac:dyDescent="0.25"/>
    <row r="105144" customFormat="1" x14ac:dyDescent="0.25"/>
    <row r="105145" customFormat="1" x14ac:dyDescent="0.25"/>
    <row r="105146" customFormat="1" x14ac:dyDescent="0.25"/>
    <row r="105147" customFormat="1" x14ac:dyDescent="0.25"/>
    <row r="105148" customFormat="1" x14ac:dyDescent="0.25"/>
    <row r="105149" customFormat="1" x14ac:dyDescent="0.25"/>
    <row r="105150" customFormat="1" x14ac:dyDescent="0.25"/>
    <row r="105151" customFormat="1" x14ac:dyDescent="0.25"/>
    <row r="105152" customFormat="1" x14ac:dyDescent="0.25"/>
    <row r="105153" customFormat="1" x14ac:dyDescent="0.25"/>
    <row r="105154" customFormat="1" x14ac:dyDescent="0.25"/>
    <row r="105155" customFormat="1" x14ac:dyDescent="0.25"/>
    <row r="105156" customFormat="1" x14ac:dyDescent="0.25"/>
    <row r="105157" customFormat="1" x14ac:dyDescent="0.25"/>
    <row r="105158" customFormat="1" x14ac:dyDescent="0.25"/>
    <row r="105159" customFormat="1" x14ac:dyDescent="0.25"/>
    <row r="105160" customFormat="1" x14ac:dyDescent="0.25"/>
    <row r="105161" customFormat="1" x14ac:dyDescent="0.25"/>
    <row r="105162" customFormat="1" x14ac:dyDescent="0.25"/>
    <row r="105163" customFormat="1" x14ac:dyDescent="0.25"/>
    <row r="105164" customFormat="1" x14ac:dyDescent="0.25"/>
    <row r="105165" customFormat="1" x14ac:dyDescent="0.25"/>
    <row r="105166" customFormat="1" x14ac:dyDescent="0.25"/>
    <row r="105167" customFormat="1" x14ac:dyDescent="0.25"/>
    <row r="105168" customFormat="1" x14ac:dyDescent="0.25"/>
    <row r="105169" customFormat="1" x14ac:dyDescent="0.25"/>
    <row r="105170" customFormat="1" x14ac:dyDescent="0.25"/>
    <row r="105171" customFormat="1" x14ac:dyDescent="0.25"/>
    <row r="105172" customFormat="1" x14ac:dyDescent="0.25"/>
    <row r="105173" customFormat="1" x14ac:dyDescent="0.25"/>
    <row r="105174" customFormat="1" x14ac:dyDescent="0.25"/>
    <row r="105175" customFormat="1" x14ac:dyDescent="0.25"/>
    <row r="105176" customFormat="1" x14ac:dyDescent="0.25"/>
    <row r="105177" customFormat="1" x14ac:dyDescent="0.25"/>
    <row r="105178" customFormat="1" x14ac:dyDescent="0.25"/>
    <row r="105179" customFormat="1" x14ac:dyDescent="0.25"/>
    <row r="105180" customFormat="1" x14ac:dyDescent="0.25"/>
    <row r="105181" customFormat="1" x14ac:dyDescent="0.25"/>
    <row r="105182" customFormat="1" x14ac:dyDescent="0.25"/>
    <row r="105183" customFormat="1" x14ac:dyDescent="0.25"/>
    <row r="105184" customFormat="1" x14ac:dyDescent="0.25"/>
    <row r="105185" customFormat="1" x14ac:dyDescent="0.25"/>
    <row r="105186" customFormat="1" x14ac:dyDescent="0.25"/>
    <row r="105187" customFormat="1" x14ac:dyDescent="0.25"/>
    <row r="105188" customFormat="1" x14ac:dyDescent="0.25"/>
    <row r="105189" customFormat="1" x14ac:dyDescent="0.25"/>
    <row r="105190" customFormat="1" x14ac:dyDescent="0.25"/>
    <row r="105191" customFormat="1" x14ac:dyDescent="0.25"/>
    <row r="105192" customFormat="1" x14ac:dyDescent="0.25"/>
    <row r="105193" customFormat="1" x14ac:dyDescent="0.25"/>
    <row r="105194" customFormat="1" x14ac:dyDescent="0.25"/>
    <row r="105195" customFormat="1" x14ac:dyDescent="0.25"/>
    <row r="105196" customFormat="1" x14ac:dyDescent="0.25"/>
    <row r="105197" customFormat="1" x14ac:dyDescent="0.25"/>
    <row r="105198" customFormat="1" x14ac:dyDescent="0.25"/>
    <row r="105199" customFormat="1" x14ac:dyDescent="0.25"/>
    <row r="105200" customFormat="1" x14ac:dyDescent="0.25"/>
    <row r="105201" customFormat="1" x14ac:dyDescent="0.25"/>
    <row r="105202" customFormat="1" x14ac:dyDescent="0.25"/>
    <row r="105203" customFormat="1" x14ac:dyDescent="0.25"/>
    <row r="105204" customFormat="1" x14ac:dyDescent="0.25"/>
    <row r="105205" customFormat="1" x14ac:dyDescent="0.25"/>
    <row r="105206" customFormat="1" x14ac:dyDescent="0.25"/>
    <row r="105207" customFormat="1" x14ac:dyDescent="0.25"/>
    <row r="105208" customFormat="1" x14ac:dyDescent="0.25"/>
    <row r="105209" customFormat="1" x14ac:dyDescent="0.25"/>
    <row r="105210" customFormat="1" x14ac:dyDescent="0.25"/>
    <row r="105211" customFormat="1" x14ac:dyDescent="0.25"/>
    <row r="105212" customFormat="1" x14ac:dyDescent="0.25"/>
    <row r="105213" customFormat="1" x14ac:dyDescent="0.25"/>
    <row r="105214" customFormat="1" x14ac:dyDescent="0.25"/>
    <row r="105215" customFormat="1" x14ac:dyDescent="0.25"/>
    <row r="105216" customFormat="1" x14ac:dyDescent="0.25"/>
    <row r="105217" customFormat="1" x14ac:dyDescent="0.25"/>
    <row r="105218" customFormat="1" x14ac:dyDescent="0.25"/>
    <row r="105219" customFormat="1" x14ac:dyDescent="0.25"/>
    <row r="105220" customFormat="1" x14ac:dyDescent="0.25"/>
    <row r="105221" customFormat="1" x14ac:dyDescent="0.25"/>
    <row r="105222" customFormat="1" x14ac:dyDescent="0.25"/>
    <row r="105223" customFormat="1" x14ac:dyDescent="0.25"/>
    <row r="105224" customFormat="1" x14ac:dyDescent="0.25"/>
    <row r="105225" customFormat="1" x14ac:dyDescent="0.25"/>
    <row r="105226" customFormat="1" x14ac:dyDescent="0.25"/>
    <row r="105227" customFormat="1" x14ac:dyDescent="0.25"/>
    <row r="105228" customFormat="1" x14ac:dyDescent="0.25"/>
    <row r="105229" customFormat="1" x14ac:dyDescent="0.25"/>
    <row r="105230" customFormat="1" x14ac:dyDescent="0.25"/>
    <row r="105231" customFormat="1" x14ac:dyDescent="0.25"/>
    <row r="105232" customFormat="1" x14ac:dyDescent="0.25"/>
    <row r="105233" customFormat="1" x14ac:dyDescent="0.25"/>
    <row r="105234" customFormat="1" x14ac:dyDescent="0.25"/>
    <row r="105235" customFormat="1" x14ac:dyDescent="0.25"/>
    <row r="105236" customFormat="1" x14ac:dyDescent="0.25"/>
    <row r="105237" customFormat="1" x14ac:dyDescent="0.25"/>
    <row r="105238" customFormat="1" x14ac:dyDescent="0.25"/>
    <row r="105239" customFormat="1" x14ac:dyDescent="0.25"/>
    <row r="105240" customFormat="1" x14ac:dyDescent="0.25"/>
    <row r="105241" customFormat="1" x14ac:dyDescent="0.25"/>
    <row r="105242" customFormat="1" x14ac:dyDescent="0.25"/>
    <row r="105243" customFormat="1" x14ac:dyDescent="0.25"/>
    <row r="105244" customFormat="1" x14ac:dyDescent="0.25"/>
    <row r="105245" customFormat="1" x14ac:dyDescent="0.25"/>
    <row r="105246" customFormat="1" x14ac:dyDescent="0.25"/>
    <row r="105247" customFormat="1" x14ac:dyDescent="0.25"/>
    <row r="105248" customFormat="1" x14ac:dyDescent="0.25"/>
    <row r="105249" customFormat="1" x14ac:dyDescent="0.25"/>
    <row r="105250" customFormat="1" x14ac:dyDescent="0.25"/>
    <row r="105251" customFormat="1" x14ac:dyDescent="0.25"/>
    <row r="105252" customFormat="1" x14ac:dyDescent="0.25"/>
    <row r="105253" customFormat="1" x14ac:dyDescent="0.25"/>
    <row r="105254" customFormat="1" x14ac:dyDescent="0.25"/>
    <row r="105255" customFormat="1" x14ac:dyDescent="0.25"/>
    <row r="105256" customFormat="1" x14ac:dyDescent="0.25"/>
    <row r="105257" customFormat="1" x14ac:dyDescent="0.25"/>
    <row r="105258" customFormat="1" x14ac:dyDescent="0.25"/>
    <row r="105259" customFormat="1" x14ac:dyDescent="0.25"/>
    <row r="105260" customFormat="1" x14ac:dyDescent="0.25"/>
    <row r="105261" customFormat="1" x14ac:dyDescent="0.25"/>
    <row r="105262" customFormat="1" x14ac:dyDescent="0.25"/>
    <row r="105263" customFormat="1" x14ac:dyDescent="0.25"/>
    <row r="105264" customFormat="1" x14ac:dyDescent="0.25"/>
    <row r="105265" customFormat="1" x14ac:dyDescent="0.25"/>
    <row r="105266" customFormat="1" x14ac:dyDescent="0.25"/>
    <row r="105267" customFormat="1" x14ac:dyDescent="0.25"/>
    <row r="105268" customFormat="1" x14ac:dyDescent="0.25"/>
    <row r="105269" customFormat="1" x14ac:dyDescent="0.25"/>
    <row r="105270" customFormat="1" x14ac:dyDescent="0.25"/>
    <row r="105271" customFormat="1" x14ac:dyDescent="0.25"/>
    <row r="105272" customFormat="1" x14ac:dyDescent="0.25"/>
    <row r="105273" customFormat="1" x14ac:dyDescent="0.25"/>
    <row r="105274" customFormat="1" x14ac:dyDescent="0.25"/>
    <row r="105275" customFormat="1" x14ac:dyDescent="0.25"/>
    <row r="105276" customFormat="1" x14ac:dyDescent="0.25"/>
    <row r="105277" customFormat="1" x14ac:dyDescent="0.25"/>
    <row r="105278" customFormat="1" x14ac:dyDescent="0.25"/>
    <row r="105279" customFormat="1" x14ac:dyDescent="0.25"/>
    <row r="105280" customFormat="1" x14ac:dyDescent="0.25"/>
    <row r="105281" customFormat="1" x14ac:dyDescent="0.25"/>
    <row r="105282" customFormat="1" x14ac:dyDescent="0.25"/>
    <row r="105283" customFormat="1" x14ac:dyDescent="0.25"/>
    <row r="105284" customFormat="1" x14ac:dyDescent="0.25"/>
    <row r="105285" customFormat="1" x14ac:dyDescent="0.25"/>
    <row r="105286" customFormat="1" x14ac:dyDescent="0.25"/>
    <row r="105287" customFormat="1" x14ac:dyDescent="0.25"/>
    <row r="105288" customFormat="1" x14ac:dyDescent="0.25"/>
    <row r="105289" customFormat="1" x14ac:dyDescent="0.25"/>
    <row r="105290" customFormat="1" x14ac:dyDescent="0.25"/>
    <row r="105291" customFormat="1" x14ac:dyDescent="0.25"/>
    <row r="105292" customFormat="1" x14ac:dyDescent="0.25"/>
    <row r="105293" customFormat="1" x14ac:dyDescent="0.25"/>
    <row r="105294" customFormat="1" x14ac:dyDescent="0.25"/>
    <row r="105295" customFormat="1" x14ac:dyDescent="0.25"/>
    <row r="105296" customFormat="1" x14ac:dyDescent="0.25"/>
    <row r="105297" customFormat="1" x14ac:dyDescent="0.25"/>
    <row r="105298" customFormat="1" x14ac:dyDescent="0.25"/>
    <row r="105299" customFormat="1" x14ac:dyDescent="0.25"/>
    <row r="105300" customFormat="1" x14ac:dyDescent="0.25"/>
    <row r="105301" customFormat="1" x14ac:dyDescent="0.25"/>
    <row r="105302" customFormat="1" x14ac:dyDescent="0.25"/>
    <row r="105303" customFormat="1" x14ac:dyDescent="0.25"/>
    <row r="105304" customFormat="1" x14ac:dyDescent="0.25"/>
    <row r="105305" customFormat="1" x14ac:dyDescent="0.25"/>
    <row r="105306" customFormat="1" x14ac:dyDescent="0.25"/>
    <row r="105307" customFormat="1" x14ac:dyDescent="0.25"/>
    <row r="105308" customFormat="1" x14ac:dyDescent="0.25"/>
    <row r="105309" customFormat="1" x14ac:dyDescent="0.25"/>
    <row r="105310" customFormat="1" x14ac:dyDescent="0.25"/>
    <row r="105311" customFormat="1" x14ac:dyDescent="0.25"/>
    <row r="105312" customFormat="1" x14ac:dyDescent="0.25"/>
    <row r="105313" customFormat="1" x14ac:dyDescent="0.25"/>
    <row r="105314" customFormat="1" x14ac:dyDescent="0.25"/>
    <row r="105315" customFormat="1" x14ac:dyDescent="0.25"/>
    <row r="105316" customFormat="1" x14ac:dyDescent="0.25"/>
    <row r="105317" customFormat="1" x14ac:dyDescent="0.25"/>
    <row r="105318" customFormat="1" x14ac:dyDescent="0.25"/>
    <row r="105319" customFormat="1" x14ac:dyDescent="0.25"/>
    <row r="105320" customFormat="1" x14ac:dyDescent="0.25"/>
    <row r="105321" customFormat="1" x14ac:dyDescent="0.25"/>
    <row r="105322" customFormat="1" x14ac:dyDescent="0.25"/>
    <row r="105323" customFormat="1" x14ac:dyDescent="0.25"/>
    <row r="105324" customFormat="1" x14ac:dyDescent="0.25"/>
    <row r="105325" customFormat="1" x14ac:dyDescent="0.25"/>
    <row r="105326" customFormat="1" x14ac:dyDescent="0.25"/>
    <row r="105327" customFormat="1" x14ac:dyDescent="0.25"/>
    <row r="105328" customFormat="1" x14ac:dyDescent="0.25"/>
    <row r="105329" customFormat="1" x14ac:dyDescent="0.25"/>
    <row r="105330" customFormat="1" x14ac:dyDescent="0.25"/>
    <row r="105331" customFormat="1" x14ac:dyDescent="0.25"/>
    <row r="105332" customFormat="1" x14ac:dyDescent="0.25"/>
    <row r="105333" customFormat="1" x14ac:dyDescent="0.25"/>
    <row r="105334" customFormat="1" x14ac:dyDescent="0.25"/>
    <row r="105335" customFormat="1" x14ac:dyDescent="0.25"/>
    <row r="105336" customFormat="1" x14ac:dyDescent="0.25"/>
    <row r="105337" customFormat="1" x14ac:dyDescent="0.25"/>
    <row r="105338" customFormat="1" x14ac:dyDescent="0.25"/>
    <row r="105339" customFormat="1" x14ac:dyDescent="0.25"/>
    <row r="105340" customFormat="1" x14ac:dyDescent="0.25"/>
    <row r="105341" customFormat="1" x14ac:dyDescent="0.25"/>
    <row r="105342" customFormat="1" x14ac:dyDescent="0.25"/>
    <row r="105343" customFormat="1" x14ac:dyDescent="0.25"/>
    <row r="105344" customFormat="1" x14ac:dyDescent="0.25"/>
    <row r="105345" customFormat="1" x14ac:dyDescent="0.25"/>
    <row r="105346" customFormat="1" x14ac:dyDescent="0.25"/>
    <row r="105347" customFormat="1" x14ac:dyDescent="0.25"/>
    <row r="105348" customFormat="1" x14ac:dyDescent="0.25"/>
    <row r="105349" customFormat="1" x14ac:dyDescent="0.25"/>
    <row r="105350" customFormat="1" x14ac:dyDescent="0.25"/>
    <row r="105351" customFormat="1" x14ac:dyDescent="0.25"/>
    <row r="105352" customFormat="1" x14ac:dyDescent="0.25"/>
    <row r="105353" customFormat="1" x14ac:dyDescent="0.25"/>
    <row r="105354" customFormat="1" x14ac:dyDescent="0.25"/>
    <row r="105355" customFormat="1" x14ac:dyDescent="0.25"/>
    <row r="105356" customFormat="1" x14ac:dyDescent="0.25"/>
    <row r="105357" customFormat="1" x14ac:dyDescent="0.25"/>
    <row r="105358" customFormat="1" x14ac:dyDescent="0.25"/>
    <row r="105359" customFormat="1" x14ac:dyDescent="0.25"/>
    <row r="105360" customFormat="1" x14ac:dyDescent="0.25"/>
    <row r="105361" customFormat="1" x14ac:dyDescent="0.25"/>
    <row r="105362" customFormat="1" x14ac:dyDescent="0.25"/>
    <row r="105363" customFormat="1" x14ac:dyDescent="0.25"/>
    <row r="105364" customFormat="1" x14ac:dyDescent="0.25"/>
    <row r="105365" customFormat="1" x14ac:dyDescent="0.25"/>
    <row r="105366" customFormat="1" x14ac:dyDescent="0.25"/>
    <row r="105367" customFormat="1" x14ac:dyDescent="0.25"/>
    <row r="105368" customFormat="1" x14ac:dyDescent="0.25"/>
    <row r="105369" customFormat="1" x14ac:dyDescent="0.25"/>
    <row r="105370" customFormat="1" x14ac:dyDescent="0.25"/>
    <row r="105371" customFormat="1" x14ac:dyDescent="0.25"/>
    <row r="105372" customFormat="1" x14ac:dyDescent="0.25"/>
    <row r="105373" customFormat="1" x14ac:dyDescent="0.25"/>
    <row r="105374" customFormat="1" x14ac:dyDescent="0.25"/>
    <row r="105375" customFormat="1" x14ac:dyDescent="0.25"/>
    <row r="105376" customFormat="1" x14ac:dyDescent="0.25"/>
    <row r="105377" customFormat="1" x14ac:dyDescent="0.25"/>
    <row r="105378" customFormat="1" x14ac:dyDescent="0.25"/>
    <row r="105379" customFormat="1" x14ac:dyDescent="0.25"/>
    <row r="105380" customFormat="1" x14ac:dyDescent="0.25"/>
    <row r="105381" customFormat="1" x14ac:dyDescent="0.25"/>
    <row r="105382" customFormat="1" x14ac:dyDescent="0.25"/>
    <row r="105383" customFormat="1" x14ac:dyDescent="0.25"/>
    <row r="105384" customFormat="1" x14ac:dyDescent="0.25"/>
    <row r="105385" customFormat="1" x14ac:dyDescent="0.25"/>
    <row r="105386" customFormat="1" x14ac:dyDescent="0.25"/>
    <row r="105387" customFormat="1" x14ac:dyDescent="0.25"/>
    <row r="105388" customFormat="1" x14ac:dyDescent="0.25"/>
    <row r="105389" customFormat="1" x14ac:dyDescent="0.25"/>
    <row r="105390" customFormat="1" x14ac:dyDescent="0.25"/>
    <row r="105391" customFormat="1" x14ac:dyDescent="0.25"/>
    <row r="105392" customFormat="1" x14ac:dyDescent="0.25"/>
    <row r="105393" customFormat="1" x14ac:dyDescent="0.25"/>
    <row r="105394" customFormat="1" x14ac:dyDescent="0.25"/>
    <row r="105395" customFormat="1" x14ac:dyDescent="0.25"/>
    <row r="105396" customFormat="1" x14ac:dyDescent="0.25"/>
    <row r="105397" customFormat="1" x14ac:dyDescent="0.25"/>
    <row r="105398" customFormat="1" x14ac:dyDescent="0.25"/>
    <row r="105399" customFormat="1" x14ac:dyDescent="0.25"/>
    <row r="105400" customFormat="1" x14ac:dyDescent="0.25"/>
    <row r="105401" customFormat="1" x14ac:dyDescent="0.25"/>
    <row r="105402" customFormat="1" x14ac:dyDescent="0.25"/>
    <row r="105403" customFormat="1" x14ac:dyDescent="0.25"/>
    <row r="105404" customFormat="1" x14ac:dyDescent="0.25"/>
    <row r="105405" customFormat="1" x14ac:dyDescent="0.25"/>
    <row r="105406" customFormat="1" x14ac:dyDescent="0.25"/>
    <row r="105407" customFormat="1" x14ac:dyDescent="0.25"/>
    <row r="105408" customFormat="1" x14ac:dyDescent="0.25"/>
    <row r="105409" customFormat="1" x14ac:dyDescent="0.25"/>
    <row r="105410" customFormat="1" x14ac:dyDescent="0.25"/>
    <row r="105411" customFormat="1" x14ac:dyDescent="0.25"/>
    <row r="105412" customFormat="1" x14ac:dyDescent="0.25"/>
    <row r="105413" customFormat="1" x14ac:dyDescent="0.25"/>
    <row r="105414" customFormat="1" x14ac:dyDescent="0.25"/>
    <row r="105415" customFormat="1" x14ac:dyDescent="0.25"/>
    <row r="105416" customFormat="1" x14ac:dyDescent="0.25"/>
    <row r="105417" customFormat="1" x14ac:dyDescent="0.25"/>
    <row r="105418" customFormat="1" x14ac:dyDescent="0.25"/>
    <row r="105419" customFormat="1" x14ac:dyDescent="0.25"/>
    <row r="105420" customFormat="1" x14ac:dyDescent="0.25"/>
    <row r="105421" customFormat="1" x14ac:dyDescent="0.25"/>
    <row r="105422" customFormat="1" x14ac:dyDescent="0.25"/>
    <row r="105423" customFormat="1" x14ac:dyDescent="0.25"/>
    <row r="105424" customFormat="1" x14ac:dyDescent="0.25"/>
    <row r="105425" customFormat="1" x14ac:dyDescent="0.25"/>
    <row r="105426" customFormat="1" x14ac:dyDescent="0.25"/>
    <row r="105427" customFormat="1" x14ac:dyDescent="0.25"/>
    <row r="105428" customFormat="1" x14ac:dyDescent="0.25"/>
    <row r="105429" customFormat="1" x14ac:dyDescent="0.25"/>
    <row r="105430" customFormat="1" x14ac:dyDescent="0.25"/>
    <row r="105431" customFormat="1" x14ac:dyDescent="0.25"/>
    <row r="105432" customFormat="1" x14ac:dyDescent="0.25"/>
    <row r="105433" customFormat="1" x14ac:dyDescent="0.25"/>
    <row r="105434" customFormat="1" x14ac:dyDescent="0.25"/>
    <row r="105435" customFormat="1" x14ac:dyDescent="0.25"/>
    <row r="105436" customFormat="1" x14ac:dyDescent="0.25"/>
    <row r="105437" customFormat="1" x14ac:dyDescent="0.25"/>
    <row r="105438" customFormat="1" x14ac:dyDescent="0.25"/>
    <row r="105439" customFormat="1" x14ac:dyDescent="0.25"/>
    <row r="105440" customFormat="1" x14ac:dyDescent="0.25"/>
    <row r="105441" customFormat="1" x14ac:dyDescent="0.25"/>
    <row r="105442" customFormat="1" x14ac:dyDescent="0.25"/>
    <row r="105443" customFormat="1" x14ac:dyDescent="0.25"/>
    <row r="105444" customFormat="1" x14ac:dyDescent="0.25"/>
    <row r="105445" customFormat="1" x14ac:dyDescent="0.25"/>
    <row r="105446" customFormat="1" x14ac:dyDescent="0.25"/>
    <row r="105447" customFormat="1" x14ac:dyDescent="0.25"/>
    <row r="105448" customFormat="1" x14ac:dyDescent="0.25"/>
    <row r="105449" customFormat="1" x14ac:dyDescent="0.25"/>
    <row r="105450" customFormat="1" x14ac:dyDescent="0.25"/>
    <row r="105451" customFormat="1" x14ac:dyDescent="0.25"/>
    <row r="105452" customFormat="1" x14ac:dyDescent="0.25"/>
    <row r="105453" customFormat="1" x14ac:dyDescent="0.25"/>
    <row r="105454" customFormat="1" x14ac:dyDescent="0.25"/>
    <row r="105455" customFormat="1" x14ac:dyDescent="0.25"/>
    <row r="105456" customFormat="1" x14ac:dyDescent="0.25"/>
    <row r="105457" customFormat="1" x14ac:dyDescent="0.25"/>
    <row r="105458" customFormat="1" x14ac:dyDescent="0.25"/>
    <row r="105459" customFormat="1" x14ac:dyDescent="0.25"/>
    <row r="105460" customFormat="1" x14ac:dyDescent="0.25"/>
    <row r="105461" customFormat="1" x14ac:dyDescent="0.25"/>
    <row r="105462" customFormat="1" x14ac:dyDescent="0.25"/>
    <row r="105463" customFormat="1" x14ac:dyDescent="0.25"/>
    <row r="105464" customFormat="1" x14ac:dyDescent="0.25"/>
    <row r="105465" customFormat="1" x14ac:dyDescent="0.25"/>
    <row r="105466" customFormat="1" x14ac:dyDescent="0.25"/>
    <row r="105467" customFormat="1" x14ac:dyDescent="0.25"/>
    <row r="105468" customFormat="1" x14ac:dyDescent="0.25"/>
    <row r="105469" customFormat="1" x14ac:dyDescent="0.25"/>
    <row r="105470" customFormat="1" x14ac:dyDescent="0.25"/>
    <row r="105471" customFormat="1" x14ac:dyDescent="0.25"/>
    <row r="105472" customFormat="1" x14ac:dyDescent="0.25"/>
    <row r="105473" customFormat="1" x14ac:dyDescent="0.25"/>
    <row r="105474" customFormat="1" x14ac:dyDescent="0.25"/>
    <row r="105475" customFormat="1" x14ac:dyDescent="0.25"/>
    <row r="105476" customFormat="1" x14ac:dyDescent="0.25"/>
    <row r="105477" customFormat="1" x14ac:dyDescent="0.25"/>
    <row r="105478" customFormat="1" x14ac:dyDescent="0.25"/>
    <row r="105479" customFormat="1" x14ac:dyDescent="0.25"/>
    <row r="105480" customFormat="1" x14ac:dyDescent="0.25"/>
    <row r="105481" customFormat="1" x14ac:dyDescent="0.25"/>
    <row r="105482" customFormat="1" x14ac:dyDescent="0.25"/>
    <row r="105483" customFormat="1" x14ac:dyDescent="0.25"/>
    <row r="105484" customFormat="1" x14ac:dyDescent="0.25"/>
    <row r="105485" customFormat="1" x14ac:dyDescent="0.25"/>
    <row r="105486" customFormat="1" x14ac:dyDescent="0.25"/>
    <row r="105487" customFormat="1" x14ac:dyDescent="0.25"/>
    <row r="105488" customFormat="1" x14ac:dyDescent="0.25"/>
    <row r="105489" customFormat="1" x14ac:dyDescent="0.25"/>
    <row r="105490" customFormat="1" x14ac:dyDescent="0.25"/>
    <row r="105491" customFormat="1" x14ac:dyDescent="0.25"/>
    <row r="105492" customFormat="1" x14ac:dyDescent="0.25"/>
    <row r="105493" customFormat="1" x14ac:dyDescent="0.25"/>
    <row r="105494" customFormat="1" x14ac:dyDescent="0.25"/>
    <row r="105495" customFormat="1" x14ac:dyDescent="0.25"/>
    <row r="105496" customFormat="1" x14ac:dyDescent="0.25"/>
    <row r="105497" customFormat="1" x14ac:dyDescent="0.25"/>
    <row r="105498" customFormat="1" x14ac:dyDescent="0.25"/>
    <row r="105499" customFormat="1" x14ac:dyDescent="0.25"/>
    <row r="105500" customFormat="1" x14ac:dyDescent="0.25"/>
    <row r="105501" customFormat="1" x14ac:dyDescent="0.25"/>
    <row r="105502" customFormat="1" x14ac:dyDescent="0.25"/>
    <row r="105503" customFormat="1" x14ac:dyDescent="0.25"/>
    <row r="105504" customFormat="1" x14ac:dyDescent="0.25"/>
    <row r="105505" customFormat="1" x14ac:dyDescent="0.25"/>
    <row r="105506" customFormat="1" x14ac:dyDescent="0.25"/>
    <row r="105507" customFormat="1" x14ac:dyDescent="0.25"/>
    <row r="105508" customFormat="1" x14ac:dyDescent="0.25"/>
    <row r="105509" customFormat="1" x14ac:dyDescent="0.25"/>
    <row r="105510" customFormat="1" x14ac:dyDescent="0.25"/>
    <row r="105511" customFormat="1" x14ac:dyDescent="0.25"/>
    <row r="105512" customFormat="1" x14ac:dyDescent="0.25"/>
    <row r="105513" customFormat="1" x14ac:dyDescent="0.25"/>
    <row r="105514" customFormat="1" x14ac:dyDescent="0.25"/>
    <row r="105515" customFormat="1" x14ac:dyDescent="0.25"/>
    <row r="105516" customFormat="1" x14ac:dyDescent="0.25"/>
    <row r="105517" customFormat="1" x14ac:dyDescent="0.25"/>
    <row r="105518" customFormat="1" x14ac:dyDescent="0.25"/>
    <row r="105519" customFormat="1" x14ac:dyDescent="0.25"/>
    <row r="105520" customFormat="1" x14ac:dyDescent="0.25"/>
    <row r="105521" customFormat="1" x14ac:dyDescent="0.25"/>
    <row r="105522" customFormat="1" x14ac:dyDescent="0.25"/>
    <row r="105523" customFormat="1" x14ac:dyDescent="0.25"/>
    <row r="105524" customFormat="1" x14ac:dyDescent="0.25"/>
    <row r="105525" customFormat="1" x14ac:dyDescent="0.25"/>
    <row r="105526" customFormat="1" x14ac:dyDescent="0.25"/>
    <row r="105527" customFormat="1" x14ac:dyDescent="0.25"/>
    <row r="105528" customFormat="1" x14ac:dyDescent="0.25"/>
    <row r="105529" customFormat="1" x14ac:dyDescent="0.25"/>
    <row r="105530" customFormat="1" x14ac:dyDescent="0.25"/>
    <row r="105531" customFormat="1" x14ac:dyDescent="0.25"/>
    <row r="105532" customFormat="1" x14ac:dyDescent="0.25"/>
    <row r="105533" customFormat="1" x14ac:dyDescent="0.25"/>
    <row r="105534" customFormat="1" x14ac:dyDescent="0.25"/>
    <row r="105535" customFormat="1" x14ac:dyDescent="0.25"/>
    <row r="105536" customFormat="1" x14ac:dyDescent="0.25"/>
    <row r="105537" customFormat="1" x14ac:dyDescent="0.25"/>
    <row r="105538" customFormat="1" x14ac:dyDescent="0.25"/>
    <row r="105539" customFormat="1" x14ac:dyDescent="0.25"/>
    <row r="105540" customFormat="1" x14ac:dyDescent="0.25"/>
    <row r="105541" customFormat="1" x14ac:dyDescent="0.25"/>
    <row r="105542" customFormat="1" x14ac:dyDescent="0.25"/>
    <row r="105543" customFormat="1" x14ac:dyDescent="0.25"/>
    <row r="105544" customFormat="1" x14ac:dyDescent="0.25"/>
    <row r="105545" customFormat="1" x14ac:dyDescent="0.25"/>
    <row r="105546" customFormat="1" x14ac:dyDescent="0.25"/>
    <row r="105547" customFormat="1" x14ac:dyDescent="0.25"/>
    <row r="105548" customFormat="1" x14ac:dyDescent="0.25"/>
    <row r="105549" customFormat="1" x14ac:dyDescent="0.25"/>
    <row r="105550" customFormat="1" x14ac:dyDescent="0.25"/>
    <row r="105551" customFormat="1" x14ac:dyDescent="0.25"/>
    <row r="105552" customFormat="1" x14ac:dyDescent="0.25"/>
    <row r="105553" customFormat="1" x14ac:dyDescent="0.25"/>
    <row r="105554" customFormat="1" x14ac:dyDescent="0.25"/>
    <row r="105555" customFormat="1" x14ac:dyDescent="0.25"/>
    <row r="105556" customFormat="1" x14ac:dyDescent="0.25"/>
    <row r="105557" customFormat="1" x14ac:dyDescent="0.25"/>
    <row r="105558" customFormat="1" x14ac:dyDescent="0.25"/>
    <row r="105559" customFormat="1" x14ac:dyDescent="0.25"/>
    <row r="105560" customFormat="1" x14ac:dyDescent="0.25"/>
    <row r="105561" customFormat="1" x14ac:dyDescent="0.25"/>
    <row r="105562" customFormat="1" x14ac:dyDescent="0.25"/>
    <row r="105563" customFormat="1" x14ac:dyDescent="0.25"/>
    <row r="105564" customFormat="1" x14ac:dyDescent="0.25"/>
    <row r="105565" customFormat="1" x14ac:dyDescent="0.25"/>
    <row r="105566" customFormat="1" x14ac:dyDescent="0.25"/>
    <row r="105567" customFormat="1" x14ac:dyDescent="0.25"/>
    <row r="105568" customFormat="1" x14ac:dyDescent="0.25"/>
    <row r="105569" customFormat="1" x14ac:dyDescent="0.25"/>
    <row r="105570" customFormat="1" x14ac:dyDescent="0.25"/>
    <row r="105571" customFormat="1" x14ac:dyDescent="0.25"/>
    <row r="105572" customFormat="1" x14ac:dyDescent="0.25"/>
    <row r="105573" customFormat="1" x14ac:dyDescent="0.25"/>
    <row r="105574" customFormat="1" x14ac:dyDescent="0.25"/>
    <row r="105575" customFormat="1" x14ac:dyDescent="0.25"/>
    <row r="105576" customFormat="1" x14ac:dyDescent="0.25"/>
    <row r="105577" customFormat="1" x14ac:dyDescent="0.25"/>
    <row r="105578" customFormat="1" x14ac:dyDescent="0.25"/>
    <row r="105579" customFormat="1" x14ac:dyDescent="0.25"/>
    <row r="105580" customFormat="1" x14ac:dyDescent="0.25"/>
    <row r="105581" customFormat="1" x14ac:dyDescent="0.25"/>
    <row r="105582" customFormat="1" x14ac:dyDescent="0.25"/>
    <row r="105583" customFormat="1" x14ac:dyDescent="0.25"/>
    <row r="105584" customFormat="1" x14ac:dyDescent="0.25"/>
    <row r="105585" customFormat="1" x14ac:dyDescent="0.25"/>
    <row r="105586" customFormat="1" x14ac:dyDescent="0.25"/>
    <row r="105587" customFormat="1" x14ac:dyDescent="0.25"/>
    <row r="105588" customFormat="1" x14ac:dyDescent="0.25"/>
    <row r="105589" customFormat="1" x14ac:dyDescent="0.25"/>
    <row r="105590" customFormat="1" x14ac:dyDescent="0.25"/>
    <row r="105591" customFormat="1" x14ac:dyDescent="0.25"/>
    <row r="105592" customFormat="1" x14ac:dyDescent="0.25"/>
    <row r="105593" customFormat="1" x14ac:dyDescent="0.25"/>
    <row r="105594" customFormat="1" x14ac:dyDescent="0.25"/>
    <row r="105595" customFormat="1" x14ac:dyDescent="0.25"/>
    <row r="105596" customFormat="1" x14ac:dyDescent="0.25"/>
    <row r="105597" customFormat="1" x14ac:dyDescent="0.25"/>
    <row r="105598" customFormat="1" x14ac:dyDescent="0.25"/>
    <row r="105599" customFormat="1" x14ac:dyDescent="0.25"/>
    <row r="105600" customFormat="1" x14ac:dyDescent="0.25"/>
    <row r="105601" customFormat="1" x14ac:dyDescent="0.25"/>
    <row r="105602" customFormat="1" x14ac:dyDescent="0.25"/>
    <row r="105603" customFormat="1" x14ac:dyDescent="0.25"/>
    <row r="105604" customFormat="1" x14ac:dyDescent="0.25"/>
    <row r="105605" customFormat="1" x14ac:dyDescent="0.25"/>
    <row r="105606" customFormat="1" x14ac:dyDescent="0.25"/>
    <row r="105607" customFormat="1" x14ac:dyDescent="0.25"/>
    <row r="105608" customFormat="1" x14ac:dyDescent="0.25"/>
    <row r="105609" customFormat="1" x14ac:dyDescent="0.25"/>
    <row r="105610" customFormat="1" x14ac:dyDescent="0.25"/>
    <row r="105611" customFormat="1" x14ac:dyDescent="0.25"/>
    <row r="105612" customFormat="1" x14ac:dyDescent="0.25"/>
    <row r="105613" customFormat="1" x14ac:dyDescent="0.25"/>
    <row r="105614" customFormat="1" x14ac:dyDescent="0.25"/>
    <row r="105615" customFormat="1" x14ac:dyDescent="0.25"/>
    <row r="105616" customFormat="1" x14ac:dyDescent="0.25"/>
    <row r="105617" customFormat="1" x14ac:dyDescent="0.25"/>
    <row r="105618" customFormat="1" x14ac:dyDescent="0.25"/>
    <row r="105619" customFormat="1" x14ac:dyDescent="0.25"/>
    <row r="105620" customFormat="1" x14ac:dyDescent="0.25"/>
    <row r="105621" customFormat="1" x14ac:dyDescent="0.25"/>
    <row r="105622" customFormat="1" x14ac:dyDescent="0.25"/>
    <row r="105623" customFormat="1" x14ac:dyDescent="0.25"/>
    <row r="105624" customFormat="1" x14ac:dyDescent="0.25"/>
    <row r="105625" customFormat="1" x14ac:dyDescent="0.25"/>
    <row r="105626" customFormat="1" x14ac:dyDescent="0.25"/>
    <row r="105627" customFormat="1" x14ac:dyDescent="0.25"/>
    <row r="105628" customFormat="1" x14ac:dyDescent="0.25"/>
    <row r="105629" customFormat="1" x14ac:dyDescent="0.25"/>
    <row r="105630" customFormat="1" x14ac:dyDescent="0.25"/>
    <row r="105631" customFormat="1" x14ac:dyDescent="0.25"/>
    <row r="105632" customFormat="1" x14ac:dyDescent="0.25"/>
    <row r="105633" customFormat="1" x14ac:dyDescent="0.25"/>
    <row r="105634" customFormat="1" x14ac:dyDescent="0.25"/>
    <row r="105635" customFormat="1" x14ac:dyDescent="0.25"/>
    <row r="105636" customFormat="1" x14ac:dyDescent="0.25"/>
    <row r="105637" customFormat="1" x14ac:dyDescent="0.25"/>
    <row r="105638" customFormat="1" x14ac:dyDescent="0.25"/>
    <row r="105639" customFormat="1" x14ac:dyDescent="0.25"/>
    <row r="105640" customFormat="1" x14ac:dyDescent="0.25"/>
    <row r="105641" customFormat="1" x14ac:dyDescent="0.25"/>
    <row r="105642" customFormat="1" x14ac:dyDescent="0.25"/>
    <row r="105643" customFormat="1" x14ac:dyDescent="0.25"/>
    <row r="105644" customFormat="1" x14ac:dyDescent="0.25"/>
    <row r="105645" customFormat="1" x14ac:dyDescent="0.25"/>
    <row r="105646" customFormat="1" x14ac:dyDescent="0.25"/>
    <row r="105647" customFormat="1" x14ac:dyDescent="0.25"/>
    <row r="105648" customFormat="1" x14ac:dyDescent="0.25"/>
    <row r="105649" customFormat="1" x14ac:dyDescent="0.25"/>
    <row r="105650" customFormat="1" x14ac:dyDescent="0.25"/>
    <row r="105651" customFormat="1" x14ac:dyDescent="0.25"/>
    <row r="105652" customFormat="1" x14ac:dyDescent="0.25"/>
    <row r="105653" customFormat="1" x14ac:dyDescent="0.25"/>
    <row r="105654" customFormat="1" x14ac:dyDescent="0.25"/>
    <row r="105655" customFormat="1" x14ac:dyDescent="0.25"/>
    <row r="105656" customFormat="1" x14ac:dyDescent="0.25"/>
    <row r="105657" customFormat="1" x14ac:dyDescent="0.25"/>
    <row r="105658" customFormat="1" x14ac:dyDescent="0.25"/>
    <row r="105659" customFormat="1" x14ac:dyDescent="0.25"/>
    <row r="105660" customFormat="1" x14ac:dyDescent="0.25"/>
    <row r="105661" customFormat="1" x14ac:dyDescent="0.25"/>
    <row r="105662" customFormat="1" x14ac:dyDescent="0.25"/>
    <row r="105663" customFormat="1" x14ac:dyDescent="0.25"/>
    <row r="105664" customFormat="1" x14ac:dyDescent="0.25"/>
    <row r="105665" customFormat="1" x14ac:dyDescent="0.25"/>
    <row r="105666" customFormat="1" x14ac:dyDescent="0.25"/>
    <row r="105667" customFormat="1" x14ac:dyDescent="0.25"/>
    <row r="105668" customFormat="1" x14ac:dyDescent="0.25"/>
    <row r="105669" customFormat="1" x14ac:dyDescent="0.25"/>
    <row r="105670" customFormat="1" x14ac:dyDescent="0.25"/>
    <row r="105671" customFormat="1" x14ac:dyDescent="0.25"/>
    <row r="105672" customFormat="1" x14ac:dyDescent="0.25"/>
    <row r="105673" customFormat="1" x14ac:dyDescent="0.25"/>
    <row r="105674" customFormat="1" x14ac:dyDescent="0.25"/>
    <row r="105675" customFormat="1" x14ac:dyDescent="0.25"/>
    <row r="105676" customFormat="1" x14ac:dyDescent="0.25"/>
    <row r="105677" customFormat="1" x14ac:dyDescent="0.25"/>
    <row r="105678" customFormat="1" x14ac:dyDescent="0.25"/>
    <row r="105679" customFormat="1" x14ac:dyDescent="0.25"/>
    <row r="105680" customFormat="1" x14ac:dyDescent="0.25"/>
    <row r="105681" customFormat="1" x14ac:dyDescent="0.25"/>
    <row r="105682" customFormat="1" x14ac:dyDescent="0.25"/>
    <row r="105683" customFormat="1" x14ac:dyDescent="0.25"/>
    <row r="105684" customFormat="1" x14ac:dyDescent="0.25"/>
    <row r="105685" customFormat="1" x14ac:dyDescent="0.25"/>
    <row r="105686" customFormat="1" x14ac:dyDescent="0.25"/>
    <row r="105687" customFormat="1" x14ac:dyDescent="0.25"/>
    <row r="105688" customFormat="1" x14ac:dyDescent="0.25"/>
    <row r="105689" customFormat="1" x14ac:dyDescent="0.25"/>
    <row r="105690" customFormat="1" x14ac:dyDescent="0.25"/>
    <row r="105691" customFormat="1" x14ac:dyDescent="0.25"/>
    <row r="105692" customFormat="1" x14ac:dyDescent="0.25"/>
    <row r="105693" customFormat="1" x14ac:dyDescent="0.25"/>
    <row r="105694" customFormat="1" x14ac:dyDescent="0.25"/>
    <row r="105695" customFormat="1" x14ac:dyDescent="0.25"/>
    <row r="105696" customFormat="1" x14ac:dyDescent="0.25"/>
    <row r="105697" customFormat="1" x14ac:dyDescent="0.25"/>
    <row r="105698" customFormat="1" x14ac:dyDescent="0.25"/>
    <row r="105699" customFormat="1" x14ac:dyDescent="0.25"/>
    <row r="105700" customFormat="1" x14ac:dyDescent="0.25"/>
    <row r="105701" customFormat="1" x14ac:dyDescent="0.25"/>
    <row r="105702" customFormat="1" x14ac:dyDescent="0.25"/>
    <row r="105703" customFormat="1" x14ac:dyDescent="0.25"/>
    <row r="105704" customFormat="1" x14ac:dyDescent="0.25"/>
    <row r="105705" customFormat="1" x14ac:dyDescent="0.25"/>
    <row r="105706" customFormat="1" x14ac:dyDescent="0.25"/>
    <row r="105707" customFormat="1" x14ac:dyDescent="0.25"/>
    <row r="105708" customFormat="1" x14ac:dyDescent="0.25"/>
    <row r="105709" customFormat="1" x14ac:dyDescent="0.25"/>
    <row r="105710" customFormat="1" x14ac:dyDescent="0.25"/>
    <row r="105711" customFormat="1" x14ac:dyDescent="0.25"/>
    <row r="105712" customFormat="1" x14ac:dyDescent="0.25"/>
    <row r="105713" customFormat="1" x14ac:dyDescent="0.25"/>
    <row r="105714" customFormat="1" x14ac:dyDescent="0.25"/>
    <row r="105715" customFormat="1" x14ac:dyDescent="0.25"/>
    <row r="105716" customFormat="1" x14ac:dyDescent="0.25"/>
    <row r="105717" customFormat="1" x14ac:dyDescent="0.25"/>
    <row r="105718" customFormat="1" x14ac:dyDescent="0.25"/>
    <row r="105719" customFormat="1" x14ac:dyDescent="0.25"/>
    <row r="105720" customFormat="1" x14ac:dyDescent="0.25"/>
    <row r="105721" customFormat="1" x14ac:dyDescent="0.25"/>
    <row r="105722" customFormat="1" x14ac:dyDescent="0.25"/>
    <row r="105723" customFormat="1" x14ac:dyDescent="0.25"/>
    <row r="105724" customFormat="1" x14ac:dyDescent="0.25"/>
    <row r="105725" customFormat="1" x14ac:dyDescent="0.25"/>
    <row r="105726" customFormat="1" x14ac:dyDescent="0.25"/>
    <row r="105727" customFormat="1" x14ac:dyDescent="0.25"/>
    <row r="105728" customFormat="1" x14ac:dyDescent="0.25"/>
    <row r="105729" customFormat="1" x14ac:dyDescent="0.25"/>
    <row r="105730" customFormat="1" x14ac:dyDescent="0.25"/>
    <row r="105731" customFormat="1" x14ac:dyDescent="0.25"/>
    <row r="105732" customFormat="1" x14ac:dyDescent="0.25"/>
    <row r="105733" customFormat="1" x14ac:dyDescent="0.25"/>
    <row r="105734" customFormat="1" x14ac:dyDescent="0.25"/>
    <row r="105735" customFormat="1" x14ac:dyDescent="0.25"/>
    <row r="105736" customFormat="1" x14ac:dyDescent="0.25"/>
    <row r="105737" customFormat="1" x14ac:dyDescent="0.25"/>
    <row r="105738" customFormat="1" x14ac:dyDescent="0.25"/>
    <row r="105739" customFormat="1" x14ac:dyDescent="0.25"/>
    <row r="105740" customFormat="1" x14ac:dyDescent="0.25"/>
    <row r="105741" customFormat="1" x14ac:dyDescent="0.25"/>
    <row r="105742" customFormat="1" x14ac:dyDescent="0.25"/>
    <row r="105743" customFormat="1" x14ac:dyDescent="0.25"/>
    <row r="105744" customFormat="1" x14ac:dyDescent="0.25"/>
    <row r="105745" customFormat="1" x14ac:dyDescent="0.25"/>
    <row r="105746" customFormat="1" x14ac:dyDescent="0.25"/>
    <row r="105747" customFormat="1" x14ac:dyDescent="0.25"/>
    <row r="105748" customFormat="1" x14ac:dyDescent="0.25"/>
    <row r="105749" customFormat="1" x14ac:dyDescent="0.25"/>
    <row r="105750" customFormat="1" x14ac:dyDescent="0.25"/>
    <row r="105751" customFormat="1" x14ac:dyDescent="0.25"/>
    <row r="105752" customFormat="1" x14ac:dyDescent="0.25"/>
    <row r="105753" customFormat="1" x14ac:dyDescent="0.25"/>
    <row r="105754" customFormat="1" x14ac:dyDescent="0.25"/>
    <row r="105755" customFormat="1" x14ac:dyDescent="0.25"/>
    <row r="105756" customFormat="1" x14ac:dyDescent="0.25"/>
    <row r="105757" customFormat="1" x14ac:dyDescent="0.25"/>
    <row r="105758" customFormat="1" x14ac:dyDescent="0.25"/>
    <row r="105759" customFormat="1" x14ac:dyDescent="0.25"/>
    <row r="105760" customFormat="1" x14ac:dyDescent="0.25"/>
    <row r="105761" customFormat="1" x14ac:dyDescent="0.25"/>
    <row r="105762" customFormat="1" x14ac:dyDescent="0.25"/>
    <row r="105763" customFormat="1" x14ac:dyDescent="0.25"/>
    <row r="105764" customFormat="1" x14ac:dyDescent="0.25"/>
    <row r="105765" customFormat="1" x14ac:dyDescent="0.25"/>
    <row r="105766" customFormat="1" x14ac:dyDescent="0.25"/>
    <row r="105767" customFormat="1" x14ac:dyDescent="0.25"/>
    <row r="105768" customFormat="1" x14ac:dyDescent="0.25"/>
    <row r="105769" customFormat="1" x14ac:dyDescent="0.25"/>
    <row r="105770" customFormat="1" x14ac:dyDescent="0.25"/>
    <row r="105771" customFormat="1" x14ac:dyDescent="0.25"/>
    <row r="105772" customFormat="1" x14ac:dyDescent="0.25"/>
    <row r="105773" customFormat="1" x14ac:dyDescent="0.25"/>
    <row r="105774" customFormat="1" x14ac:dyDescent="0.25"/>
    <row r="105775" customFormat="1" x14ac:dyDescent="0.25"/>
    <row r="105776" customFormat="1" x14ac:dyDescent="0.25"/>
    <row r="105777" customFormat="1" x14ac:dyDescent="0.25"/>
    <row r="105778" customFormat="1" x14ac:dyDescent="0.25"/>
    <row r="105779" customFormat="1" x14ac:dyDescent="0.25"/>
    <row r="105780" customFormat="1" x14ac:dyDescent="0.25"/>
    <row r="105781" customFormat="1" x14ac:dyDescent="0.25"/>
    <row r="105782" customFormat="1" x14ac:dyDescent="0.25"/>
    <row r="105783" customFormat="1" x14ac:dyDescent="0.25"/>
    <row r="105784" customFormat="1" x14ac:dyDescent="0.25"/>
    <row r="105785" customFormat="1" x14ac:dyDescent="0.25"/>
    <row r="105786" customFormat="1" x14ac:dyDescent="0.25"/>
    <row r="105787" customFormat="1" x14ac:dyDescent="0.25"/>
    <row r="105788" customFormat="1" x14ac:dyDescent="0.25"/>
    <row r="105789" customFormat="1" x14ac:dyDescent="0.25"/>
    <row r="105790" customFormat="1" x14ac:dyDescent="0.25"/>
    <row r="105791" customFormat="1" x14ac:dyDescent="0.25"/>
    <row r="105792" customFormat="1" x14ac:dyDescent="0.25"/>
    <row r="105793" customFormat="1" x14ac:dyDescent="0.25"/>
    <row r="105794" customFormat="1" x14ac:dyDescent="0.25"/>
    <row r="105795" customFormat="1" x14ac:dyDescent="0.25"/>
    <row r="105796" customFormat="1" x14ac:dyDescent="0.25"/>
    <row r="105797" customFormat="1" x14ac:dyDescent="0.25"/>
    <row r="105798" customFormat="1" x14ac:dyDescent="0.25"/>
    <row r="105799" customFormat="1" x14ac:dyDescent="0.25"/>
    <row r="105800" customFormat="1" x14ac:dyDescent="0.25"/>
    <row r="105801" customFormat="1" x14ac:dyDescent="0.25"/>
    <row r="105802" customFormat="1" x14ac:dyDescent="0.25"/>
    <row r="105803" customFormat="1" x14ac:dyDescent="0.25"/>
    <row r="105804" customFormat="1" x14ac:dyDescent="0.25"/>
    <row r="105805" customFormat="1" x14ac:dyDescent="0.25"/>
    <row r="105806" customFormat="1" x14ac:dyDescent="0.25"/>
    <row r="105807" customFormat="1" x14ac:dyDescent="0.25"/>
    <row r="105808" customFormat="1" x14ac:dyDescent="0.25"/>
    <row r="105809" customFormat="1" x14ac:dyDescent="0.25"/>
    <row r="105810" customFormat="1" x14ac:dyDescent="0.25"/>
    <row r="105811" customFormat="1" x14ac:dyDescent="0.25"/>
    <row r="105812" customFormat="1" x14ac:dyDescent="0.25"/>
    <row r="105813" customFormat="1" x14ac:dyDescent="0.25"/>
    <row r="105814" customFormat="1" x14ac:dyDescent="0.25"/>
    <row r="105815" customFormat="1" x14ac:dyDescent="0.25"/>
    <row r="105816" customFormat="1" x14ac:dyDescent="0.25"/>
    <row r="105817" customFormat="1" x14ac:dyDescent="0.25"/>
    <row r="105818" customFormat="1" x14ac:dyDescent="0.25"/>
    <row r="105819" customFormat="1" x14ac:dyDescent="0.25"/>
    <row r="105820" customFormat="1" x14ac:dyDescent="0.25"/>
    <row r="105821" customFormat="1" x14ac:dyDescent="0.25"/>
    <row r="105822" customFormat="1" x14ac:dyDescent="0.25"/>
    <row r="105823" customFormat="1" x14ac:dyDescent="0.25"/>
    <row r="105824" customFormat="1" x14ac:dyDescent="0.25"/>
    <row r="105825" customFormat="1" x14ac:dyDescent="0.25"/>
    <row r="105826" customFormat="1" x14ac:dyDescent="0.25"/>
    <row r="105827" customFormat="1" x14ac:dyDescent="0.25"/>
    <row r="105828" customFormat="1" x14ac:dyDescent="0.25"/>
    <row r="105829" customFormat="1" x14ac:dyDescent="0.25"/>
    <row r="105830" customFormat="1" x14ac:dyDescent="0.25"/>
    <row r="105831" customFormat="1" x14ac:dyDescent="0.25"/>
    <row r="105832" customFormat="1" x14ac:dyDescent="0.25"/>
    <row r="105833" customFormat="1" x14ac:dyDescent="0.25"/>
    <row r="105834" customFormat="1" x14ac:dyDescent="0.25"/>
    <row r="105835" customFormat="1" x14ac:dyDescent="0.25"/>
    <row r="105836" customFormat="1" x14ac:dyDescent="0.25"/>
    <row r="105837" customFormat="1" x14ac:dyDescent="0.25"/>
    <row r="105838" customFormat="1" x14ac:dyDescent="0.25"/>
    <row r="105839" customFormat="1" x14ac:dyDescent="0.25"/>
    <row r="105840" customFormat="1" x14ac:dyDescent="0.25"/>
    <row r="105841" customFormat="1" x14ac:dyDescent="0.25"/>
    <row r="105842" customFormat="1" x14ac:dyDescent="0.25"/>
    <row r="105843" customFormat="1" x14ac:dyDescent="0.25"/>
    <row r="105844" customFormat="1" x14ac:dyDescent="0.25"/>
    <row r="105845" customFormat="1" x14ac:dyDescent="0.25"/>
    <row r="105846" customFormat="1" x14ac:dyDescent="0.25"/>
    <row r="105847" customFormat="1" x14ac:dyDescent="0.25"/>
    <row r="105848" customFormat="1" x14ac:dyDescent="0.25"/>
    <row r="105849" customFormat="1" x14ac:dyDescent="0.25"/>
    <row r="105850" customFormat="1" x14ac:dyDescent="0.25"/>
    <row r="105851" customFormat="1" x14ac:dyDescent="0.25"/>
    <row r="105852" customFormat="1" x14ac:dyDescent="0.25"/>
    <row r="105853" customFormat="1" x14ac:dyDescent="0.25"/>
    <row r="105854" customFormat="1" x14ac:dyDescent="0.25"/>
    <row r="105855" customFormat="1" x14ac:dyDescent="0.25"/>
    <row r="105856" customFormat="1" x14ac:dyDescent="0.25"/>
    <row r="105857" customFormat="1" x14ac:dyDescent="0.25"/>
    <row r="105858" customFormat="1" x14ac:dyDescent="0.25"/>
    <row r="105859" customFormat="1" x14ac:dyDescent="0.25"/>
    <row r="105860" customFormat="1" x14ac:dyDescent="0.25"/>
    <row r="105861" customFormat="1" x14ac:dyDescent="0.25"/>
    <row r="105862" customFormat="1" x14ac:dyDescent="0.25"/>
    <row r="105863" customFormat="1" x14ac:dyDescent="0.25"/>
    <row r="105864" customFormat="1" x14ac:dyDescent="0.25"/>
    <row r="105865" customFormat="1" x14ac:dyDescent="0.25"/>
    <row r="105866" customFormat="1" x14ac:dyDescent="0.25"/>
    <row r="105867" customFormat="1" x14ac:dyDescent="0.25"/>
    <row r="105868" customFormat="1" x14ac:dyDescent="0.25"/>
    <row r="105869" customFormat="1" x14ac:dyDescent="0.25"/>
    <row r="105870" customFormat="1" x14ac:dyDescent="0.25"/>
    <row r="105871" customFormat="1" x14ac:dyDescent="0.25"/>
    <row r="105872" customFormat="1" x14ac:dyDescent="0.25"/>
    <row r="105873" customFormat="1" x14ac:dyDescent="0.25"/>
    <row r="105874" customFormat="1" x14ac:dyDescent="0.25"/>
    <row r="105875" customFormat="1" x14ac:dyDescent="0.25"/>
    <row r="105876" customFormat="1" x14ac:dyDescent="0.25"/>
    <row r="105877" customFormat="1" x14ac:dyDescent="0.25"/>
    <row r="105878" customFormat="1" x14ac:dyDescent="0.25"/>
    <row r="105879" customFormat="1" x14ac:dyDescent="0.25"/>
    <row r="105880" customFormat="1" x14ac:dyDescent="0.25"/>
    <row r="105881" customFormat="1" x14ac:dyDescent="0.25"/>
    <row r="105882" customFormat="1" x14ac:dyDescent="0.25"/>
    <row r="105883" customFormat="1" x14ac:dyDescent="0.25"/>
    <row r="105884" customFormat="1" x14ac:dyDescent="0.25"/>
    <row r="105885" customFormat="1" x14ac:dyDescent="0.25"/>
    <row r="105886" customFormat="1" x14ac:dyDescent="0.25"/>
    <row r="105887" customFormat="1" x14ac:dyDescent="0.25"/>
    <row r="105888" customFormat="1" x14ac:dyDescent="0.25"/>
    <row r="105889" customFormat="1" x14ac:dyDescent="0.25"/>
    <row r="105890" customFormat="1" x14ac:dyDescent="0.25"/>
    <row r="105891" customFormat="1" x14ac:dyDescent="0.25"/>
    <row r="105892" customFormat="1" x14ac:dyDescent="0.25"/>
    <row r="105893" customFormat="1" x14ac:dyDescent="0.25"/>
    <row r="105894" customFormat="1" x14ac:dyDescent="0.25"/>
    <row r="105895" customFormat="1" x14ac:dyDescent="0.25"/>
    <row r="105896" customFormat="1" x14ac:dyDescent="0.25"/>
    <row r="105897" customFormat="1" x14ac:dyDescent="0.25"/>
    <row r="105898" customFormat="1" x14ac:dyDescent="0.25"/>
    <row r="105899" customFormat="1" x14ac:dyDescent="0.25"/>
    <row r="105900" customFormat="1" x14ac:dyDescent="0.25"/>
    <row r="105901" customFormat="1" x14ac:dyDescent="0.25"/>
    <row r="105902" customFormat="1" x14ac:dyDescent="0.25"/>
    <row r="105903" customFormat="1" x14ac:dyDescent="0.25"/>
    <row r="105904" customFormat="1" x14ac:dyDescent="0.25"/>
    <row r="105905" customFormat="1" x14ac:dyDescent="0.25"/>
    <row r="105906" customFormat="1" x14ac:dyDescent="0.25"/>
    <row r="105907" customFormat="1" x14ac:dyDescent="0.25"/>
    <row r="105908" customFormat="1" x14ac:dyDescent="0.25"/>
    <row r="105909" customFormat="1" x14ac:dyDescent="0.25"/>
    <row r="105910" customFormat="1" x14ac:dyDescent="0.25"/>
    <row r="105911" customFormat="1" x14ac:dyDescent="0.25"/>
    <row r="105912" customFormat="1" x14ac:dyDescent="0.25"/>
    <row r="105913" customFormat="1" x14ac:dyDescent="0.25"/>
    <row r="105914" customFormat="1" x14ac:dyDescent="0.25"/>
    <row r="105915" customFormat="1" x14ac:dyDescent="0.25"/>
    <row r="105916" customFormat="1" x14ac:dyDescent="0.25"/>
    <row r="105917" customFormat="1" x14ac:dyDescent="0.25"/>
    <row r="105918" customFormat="1" x14ac:dyDescent="0.25"/>
    <row r="105919" customFormat="1" x14ac:dyDescent="0.25"/>
    <row r="105920" customFormat="1" x14ac:dyDescent="0.25"/>
    <row r="105921" customFormat="1" x14ac:dyDescent="0.25"/>
    <row r="105922" customFormat="1" x14ac:dyDescent="0.25"/>
    <row r="105923" customFormat="1" x14ac:dyDescent="0.25"/>
    <row r="105924" customFormat="1" x14ac:dyDescent="0.25"/>
    <row r="105925" customFormat="1" x14ac:dyDescent="0.25"/>
    <row r="105926" customFormat="1" x14ac:dyDescent="0.25"/>
    <row r="105927" customFormat="1" x14ac:dyDescent="0.25"/>
    <row r="105928" customFormat="1" x14ac:dyDescent="0.25"/>
    <row r="105929" customFormat="1" x14ac:dyDescent="0.25"/>
    <row r="105930" customFormat="1" x14ac:dyDescent="0.25"/>
    <row r="105931" customFormat="1" x14ac:dyDescent="0.25"/>
    <row r="105932" customFormat="1" x14ac:dyDescent="0.25"/>
    <row r="105933" customFormat="1" x14ac:dyDescent="0.25"/>
    <row r="105934" customFormat="1" x14ac:dyDescent="0.25"/>
    <row r="105935" customFormat="1" x14ac:dyDescent="0.25"/>
    <row r="105936" customFormat="1" x14ac:dyDescent="0.25"/>
    <row r="105937" customFormat="1" x14ac:dyDescent="0.25"/>
    <row r="105938" customFormat="1" x14ac:dyDescent="0.25"/>
    <row r="105939" customFormat="1" x14ac:dyDescent="0.25"/>
    <row r="105940" customFormat="1" x14ac:dyDescent="0.25"/>
    <row r="105941" customFormat="1" x14ac:dyDescent="0.25"/>
    <row r="105942" customFormat="1" x14ac:dyDescent="0.25"/>
    <row r="105943" customFormat="1" x14ac:dyDescent="0.25"/>
    <row r="105944" customFormat="1" x14ac:dyDescent="0.25"/>
    <row r="105945" customFormat="1" x14ac:dyDescent="0.25"/>
    <row r="105946" customFormat="1" x14ac:dyDescent="0.25"/>
    <row r="105947" customFormat="1" x14ac:dyDescent="0.25"/>
    <row r="105948" customFormat="1" x14ac:dyDescent="0.25"/>
    <row r="105949" customFormat="1" x14ac:dyDescent="0.25"/>
    <row r="105950" customFormat="1" x14ac:dyDescent="0.25"/>
    <row r="105951" customFormat="1" x14ac:dyDescent="0.25"/>
    <row r="105952" customFormat="1" x14ac:dyDescent="0.25"/>
    <row r="105953" customFormat="1" x14ac:dyDescent="0.25"/>
    <row r="105954" customFormat="1" x14ac:dyDescent="0.25"/>
    <row r="105955" customFormat="1" x14ac:dyDescent="0.25"/>
    <row r="105956" customFormat="1" x14ac:dyDescent="0.25"/>
    <row r="105957" customFormat="1" x14ac:dyDescent="0.25"/>
    <row r="105958" customFormat="1" x14ac:dyDescent="0.25"/>
    <row r="105959" customFormat="1" x14ac:dyDescent="0.25"/>
    <row r="105960" customFormat="1" x14ac:dyDescent="0.25"/>
    <row r="105961" customFormat="1" x14ac:dyDescent="0.25"/>
    <row r="105962" customFormat="1" x14ac:dyDescent="0.25"/>
    <row r="105963" customFormat="1" x14ac:dyDescent="0.25"/>
    <row r="105964" customFormat="1" x14ac:dyDescent="0.25"/>
    <row r="105965" customFormat="1" x14ac:dyDescent="0.25"/>
    <row r="105966" customFormat="1" x14ac:dyDescent="0.25"/>
    <row r="105967" customFormat="1" x14ac:dyDescent="0.25"/>
    <row r="105968" customFormat="1" x14ac:dyDescent="0.25"/>
    <row r="105969" customFormat="1" x14ac:dyDescent="0.25"/>
    <row r="105970" customFormat="1" x14ac:dyDescent="0.25"/>
    <row r="105971" customFormat="1" x14ac:dyDescent="0.25"/>
    <row r="105972" customFormat="1" x14ac:dyDescent="0.25"/>
    <row r="105973" customFormat="1" x14ac:dyDescent="0.25"/>
    <row r="105974" customFormat="1" x14ac:dyDescent="0.25"/>
    <row r="105975" customFormat="1" x14ac:dyDescent="0.25"/>
    <row r="105976" customFormat="1" x14ac:dyDescent="0.25"/>
    <row r="105977" customFormat="1" x14ac:dyDescent="0.25"/>
    <row r="105978" customFormat="1" x14ac:dyDescent="0.25"/>
    <row r="105979" customFormat="1" x14ac:dyDescent="0.25"/>
    <row r="105980" customFormat="1" x14ac:dyDescent="0.25"/>
    <row r="105981" customFormat="1" x14ac:dyDescent="0.25"/>
    <row r="105982" customFormat="1" x14ac:dyDescent="0.25"/>
    <row r="105983" customFormat="1" x14ac:dyDescent="0.25"/>
    <row r="105984" customFormat="1" x14ac:dyDescent="0.25"/>
    <row r="105985" customFormat="1" x14ac:dyDescent="0.25"/>
    <row r="105986" customFormat="1" x14ac:dyDescent="0.25"/>
    <row r="105987" customFormat="1" x14ac:dyDescent="0.25"/>
    <row r="105988" customFormat="1" x14ac:dyDescent="0.25"/>
    <row r="105989" customFormat="1" x14ac:dyDescent="0.25"/>
    <row r="105990" customFormat="1" x14ac:dyDescent="0.25"/>
    <row r="105991" customFormat="1" x14ac:dyDescent="0.25"/>
    <row r="105992" customFormat="1" x14ac:dyDescent="0.25"/>
    <row r="105993" customFormat="1" x14ac:dyDescent="0.25"/>
    <row r="105994" customFormat="1" x14ac:dyDescent="0.25"/>
    <row r="105995" customFormat="1" x14ac:dyDescent="0.25"/>
    <row r="105996" customFormat="1" x14ac:dyDescent="0.25"/>
    <row r="105997" customFormat="1" x14ac:dyDescent="0.25"/>
    <row r="105998" customFormat="1" x14ac:dyDescent="0.25"/>
    <row r="105999" customFormat="1" x14ac:dyDescent="0.25"/>
    <row r="106000" customFormat="1" x14ac:dyDescent="0.25"/>
    <row r="106001" customFormat="1" x14ac:dyDescent="0.25"/>
    <row r="106002" customFormat="1" x14ac:dyDescent="0.25"/>
    <row r="106003" customFormat="1" x14ac:dyDescent="0.25"/>
    <row r="106004" customFormat="1" x14ac:dyDescent="0.25"/>
    <row r="106005" customFormat="1" x14ac:dyDescent="0.25"/>
    <row r="106006" customFormat="1" x14ac:dyDescent="0.25"/>
    <row r="106007" customFormat="1" x14ac:dyDescent="0.25"/>
    <row r="106008" customFormat="1" x14ac:dyDescent="0.25"/>
    <row r="106009" customFormat="1" x14ac:dyDescent="0.25"/>
    <row r="106010" customFormat="1" x14ac:dyDescent="0.25"/>
    <row r="106011" customFormat="1" x14ac:dyDescent="0.25"/>
    <row r="106012" customFormat="1" x14ac:dyDescent="0.25"/>
    <row r="106013" customFormat="1" x14ac:dyDescent="0.25"/>
    <row r="106014" customFormat="1" x14ac:dyDescent="0.25"/>
    <row r="106015" customFormat="1" x14ac:dyDescent="0.25"/>
    <row r="106016" customFormat="1" x14ac:dyDescent="0.25"/>
    <row r="106017" customFormat="1" x14ac:dyDescent="0.25"/>
    <row r="106018" customFormat="1" x14ac:dyDescent="0.25"/>
    <row r="106019" customFormat="1" x14ac:dyDescent="0.25"/>
    <row r="106020" customFormat="1" x14ac:dyDescent="0.25"/>
    <row r="106021" customFormat="1" x14ac:dyDescent="0.25"/>
    <row r="106022" customFormat="1" x14ac:dyDescent="0.25"/>
    <row r="106023" customFormat="1" x14ac:dyDescent="0.25"/>
    <row r="106024" customFormat="1" x14ac:dyDescent="0.25"/>
    <row r="106025" customFormat="1" x14ac:dyDescent="0.25"/>
    <row r="106026" customFormat="1" x14ac:dyDescent="0.25"/>
    <row r="106027" customFormat="1" x14ac:dyDescent="0.25"/>
    <row r="106028" customFormat="1" x14ac:dyDescent="0.25"/>
    <row r="106029" customFormat="1" x14ac:dyDescent="0.25"/>
    <row r="106030" customFormat="1" x14ac:dyDescent="0.25"/>
    <row r="106031" customFormat="1" x14ac:dyDescent="0.25"/>
    <row r="106032" customFormat="1" x14ac:dyDescent="0.25"/>
    <row r="106033" customFormat="1" x14ac:dyDescent="0.25"/>
    <row r="106034" customFormat="1" x14ac:dyDescent="0.25"/>
    <row r="106035" customFormat="1" x14ac:dyDescent="0.25"/>
    <row r="106036" customFormat="1" x14ac:dyDescent="0.25"/>
    <row r="106037" customFormat="1" x14ac:dyDescent="0.25"/>
    <row r="106038" customFormat="1" x14ac:dyDescent="0.25"/>
    <row r="106039" customFormat="1" x14ac:dyDescent="0.25"/>
    <row r="106040" customFormat="1" x14ac:dyDescent="0.25"/>
    <row r="106041" customFormat="1" x14ac:dyDescent="0.25"/>
    <row r="106042" customFormat="1" x14ac:dyDescent="0.25"/>
    <row r="106043" customFormat="1" x14ac:dyDescent="0.25"/>
    <row r="106044" customFormat="1" x14ac:dyDescent="0.25"/>
    <row r="106045" customFormat="1" x14ac:dyDescent="0.25"/>
    <row r="106046" customFormat="1" x14ac:dyDescent="0.25"/>
    <row r="106047" customFormat="1" x14ac:dyDescent="0.25"/>
    <row r="106048" customFormat="1" x14ac:dyDescent="0.25"/>
    <row r="106049" customFormat="1" x14ac:dyDescent="0.25"/>
    <row r="106050" customFormat="1" x14ac:dyDescent="0.25"/>
    <row r="106051" customFormat="1" x14ac:dyDescent="0.25"/>
    <row r="106052" customFormat="1" x14ac:dyDescent="0.25"/>
    <row r="106053" customFormat="1" x14ac:dyDescent="0.25"/>
    <row r="106054" customFormat="1" x14ac:dyDescent="0.25"/>
    <row r="106055" customFormat="1" x14ac:dyDescent="0.25"/>
    <row r="106056" customFormat="1" x14ac:dyDescent="0.25"/>
    <row r="106057" customFormat="1" x14ac:dyDescent="0.25"/>
    <row r="106058" customFormat="1" x14ac:dyDescent="0.25"/>
    <row r="106059" customFormat="1" x14ac:dyDescent="0.25"/>
    <row r="106060" customFormat="1" x14ac:dyDescent="0.25"/>
    <row r="106061" customFormat="1" x14ac:dyDescent="0.25"/>
    <row r="106062" customFormat="1" x14ac:dyDescent="0.25"/>
    <row r="106063" customFormat="1" x14ac:dyDescent="0.25"/>
    <row r="106064" customFormat="1" x14ac:dyDescent="0.25"/>
    <row r="106065" customFormat="1" x14ac:dyDescent="0.25"/>
    <row r="106066" customFormat="1" x14ac:dyDescent="0.25"/>
    <row r="106067" customFormat="1" x14ac:dyDescent="0.25"/>
    <row r="106068" customFormat="1" x14ac:dyDescent="0.25"/>
    <row r="106069" customFormat="1" x14ac:dyDescent="0.25"/>
    <row r="106070" customFormat="1" x14ac:dyDescent="0.25"/>
    <row r="106071" customFormat="1" x14ac:dyDescent="0.25"/>
    <row r="106072" customFormat="1" x14ac:dyDescent="0.25"/>
    <row r="106073" customFormat="1" x14ac:dyDescent="0.25"/>
    <row r="106074" customFormat="1" x14ac:dyDescent="0.25"/>
    <row r="106075" customFormat="1" x14ac:dyDescent="0.25"/>
    <row r="106076" customFormat="1" x14ac:dyDescent="0.25"/>
    <row r="106077" customFormat="1" x14ac:dyDescent="0.25"/>
    <row r="106078" customFormat="1" x14ac:dyDescent="0.25"/>
    <row r="106079" customFormat="1" x14ac:dyDescent="0.25"/>
    <row r="106080" customFormat="1" x14ac:dyDescent="0.25"/>
    <row r="106081" customFormat="1" x14ac:dyDescent="0.25"/>
    <row r="106082" customFormat="1" x14ac:dyDescent="0.25"/>
    <row r="106083" customFormat="1" x14ac:dyDescent="0.25"/>
    <row r="106084" customFormat="1" x14ac:dyDescent="0.25"/>
    <row r="106085" customFormat="1" x14ac:dyDescent="0.25"/>
    <row r="106086" customFormat="1" x14ac:dyDescent="0.25"/>
    <row r="106087" customFormat="1" x14ac:dyDescent="0.25"/>
    <row r="106088" customFormat="1" x14ac:dyDescent="0.25"/>
    <row r="106089" customFormat="1" x14ac:dyDescent="0.25"/>
    <row r="106090" customFormat="1" x14ac:dyDescent="0.25"/>
    <row r="106091" customFormat="1" x14ac:dyDescent="0.25"/>
    <row r="106092" customFormat="1" x14ac:dyDescent="0.25"/>
    <row r="106093" customFormat="1" x14ac:dyDescent="0.25"/>
    <row r="106094" customFormat="1" x14ac:dyDescent="0.25"/>
    <row r="106095" customFormat="1" x14ac:dyDescent="0.25"/>
    <row r="106096" customFormat="1" x14ac:dyDescent="0.25"/>
    <row r="106097" customFormat="1" x14ac:dyDescent="0.25"/>
    <row r="106098" customFormat="1" x14ac:dyDescent="0.25"/>
    <row r="106099" customFormat="1" x14ac:dyDescent="0.25"/>
    <row r="106100" customFormat="1" x14ac:dyDescent="0.25"/>
    <row r="106101" customFormat="1" x14ac:dyDescent="0.25"/>
    <row r="106102" customFormat="1" x14ac:dyDescent="0.25"/>
    <row r="106103" customFormat="1" x14ac:dyDescent="0.25"/>
    <row r="106104" customFormat="1" x14ac:dyDescent="0.25"/>
    <row r="106105" customFormat="1" x14ac:dyDescent="0.25"/>
    <row r="106106" customFormat="1" x14ac:dyDescent="0.25"/>
    <row r="106107" customFormat="1" x14ac:dyDescent="0.25"/>
    <row r="106108" customFormat="1" x14ac:dyDescent="0.25"/>
    <row r="106109" customFormat="1" x14ac:dyDescent="0.25"/>
    <row r="106110" customFormat="1" x14ac:dyDescent="0.25"/>
    <row r="106111" customFormat="1" x14ac:dyDescent="0.25"/>
    <row r="106112" customFormat="1" x14ac:dyDescent="0.25"/>
    <row r="106113" customFormat="1" x14ac:dyDescent="0.25"/>
    <row r="106114" customFormat="1" x14ac:dyDescent="0.25"/>
    <row r="106115" customFormat="1" x14ac:dyDescent="0.25"/>
    <row r="106116" customFormat="1" x14ac:dyDescent="0.25"/>
    <row r="106117" customFormat="1" x14ac:dyDescent="0.25"/>
    <row r="106118" customFormat="1" x14ac:dyDescent="0.25"/>
    <row r="106119" customFormat="1" x14ac:dyDescent="0.25"/>
    <row r="106120" customFormat="1" x14ac:dyDescent="0.25"/>
    <row r="106121" customFormat="1" x14ac:dyDescent="0.25"/>
    <row r="106122" customFormat="1" x14ac:dyDescent="0.25"/>
    <row r="106123" customFormat="1" x14ac:dyDescent="0.25"/>
    <row r="106124" customFormat="1" x14ac:dyDescent="0.25"/>
    <row r="106125" customFormat="1" x14ac:dyDescent="0.25"/>
    <row r="106126" customFormat="1" x14ac:dyDescent="0.25"/>
    <row r="106127" customFormat="1" x14ac:dyDescent="0.25"/>
    <row r="106128" customFormat="1" x14ac:dyDescent="0.25"/>
    <row r="106129" customFormat="1" x14ac:dyDescent="0.25"/>
    <row r="106130" customFormat="1" x14ac:dyDescent="0.25"/>
    <row r="106131" customFormat="1" x14ac:dyDescent="0.25"/>
    <row r="106132" customFormat="1" x14ac:dyDescent="0.25"/>
    <row r="106133" customFormat="1" x14ac:dyDescent="0.25"/>
    <row r="106134" customFormat="1" x14ac:dyDescent="0.25"/>
    <row r="106135" customFormat="1" x14ac:dyDescent="0.25"/>
    <row r="106136" customFormat="1" x14ac:dyDescent="0.25"/>
    <row r="106137" customFormat="1" x14ac:dyDescent="0.25"/>
    <row r="106138" customFormat="1" x14ac:dyDescent="0.25"/>
    <row r="106139" customFormat="1" x14ac:dyDescent="0.25"/>
    <row r="106140" customFormat="1" x14ac:dyDescent="0.25"/>
    <row r="106141" customFormat="1" x14ac:dyDescent="0.25"/>
    <row r="106142" customFormat="1" x14ac:dyDescent="0.25"/>
    <row r="106143" customFormat="1" x14ac:dyDescent="0.25"/>
    <row r="106144" customFormat="1" x14ac:dyDescent="0.25"/>
    <row r="106145" customFormat="1" x14ac:dyDescent="0.25"/>
    <row r="106146" customFormat="1" x14ac:dyDescent="0.25"/>
    <row r="106147" customFormat="1" x14ac:dyDescent="0.25"/>
    <row r="106148" customFormat="1" x14ac:dyDescent="0.25"/>
    <row r="106149" customFormat="1" x14ac:dyDescent="0.25"/>
    <row r="106150" customFormat="1" x14ac:dyDescent="0.25"/>
    <row r="106151" customFormat="1" x14ac:dyDescent="0.25"/>
    <row r="106152" customFormat="1" x14ac:dyDescent="0.25"/>
    <row r="106153" customFormat="1" x14ac:dyDescent="0.25"/>
    <row r="106154" customFormat="1" x14ac:dyDescent="0.25"/>
    <row r="106155" customFormat="1" x14ac:dyDescent="0.25"/>
    <row r="106156" customFormat="1" x14ac:dyDescent="0.25"/>
    <row r="106157" customFormat="1" x14ac:dyDescent="0.25"/>
    <row r="106158" customFormat="1" x14ac:dyDescent="0.25"/>
    <row r="106159" customFormat="1" x14ac:dyDescent="0.25"/>
    <row r="106160" customFormat="1" x14ac:dyDescent="0.25"/>
    <row r="106161" customFormat="1" x14ac:dyDescent="0.25"/>
    <row r="106162" customFormat="1" x14ac:dyDescent="0.25"/>
    <row r="106163" customFormat="1" x14ac:dyDescent="0.25"/>
    <row r="106164" customFormat="1" x14ac:dyDescent="0.25"/>
    <row r="106165" customFormat="1" x14ac:dyDescent="0.25"/>
    <row r="106166" customFormat="1" x14ac:dyDescent="0.25"/>
    <row r="106167" customFormat="1" x14ac:dyDescent="0.25"/>
    <row r="106168" customFormat="1" x14ac:dyDescent="0.25"/>
    <row r="106169" customFormat="1" x14ac:dyDescent="0.25"/>
    <row r="106170" customFormat="1" x14ac:dyDescent="0.25"/>
    <row r="106171" customFormat="1" x14ac:dyDescent="0.25"/>
    <row r="106172" customFormat="1" x14ac:dyDescent="0.25"/>
    <row r="106173" customFormat="1" x14ac:dyDescent="0.25"/>
    <row r="106174" customFormat="1" x14ac:dyDescent="0.25"/>
    <row r="106175" customFormat="1" x14ac:dyDescent="0.25"/>
    <row r="106176" customFormat="1" x14ac:dyDescent="0.25"/>
    <row r="106177" customFormat="1" x14ac:dyDescent="0.25"/>
    <row r="106178" customFormat="1" x14ac:dyDescent="0.25"/>
    <row r="106179" customFormat="1" x14ac:dyDescent="0.25"/>
    <row r="106180" customFormat="1" x14ac:dyDescent="0.25"/>
    <row r="106181" customFormat="1" x14ac:dyDescent="0.25"/>
    <row r="106182" customFormat="1" x14ac:dyDescent="0.25"/>
    <row r="106183" customFormat="1" x14ac:dyDescent="0.25"/>
    <row r="106184" customFormat="1" x14ac:dyDescent="0.25"/>
    <row r="106185" customFormat="1" x14ac:dyDescent="0.25"/>
    <row r="106186" customFormat="1" x14ac:dyDescent="0.25"/>
    <row r="106187" customFormat="1" x14ac:dyDescent="0.25"/>
    <row r="106188" customFormat="1" x14ac:dyDescent="0.25"/>
    <row r="106189" customFormat="1" x14ac:dyDescent="0.25"/>
    <row r="106190" customFormat="1" x14ac:dyDescent="0.25"/>
    <row r="106191" customFormat="1" x14ac:dyDescent="0.25"/>
    <row r="106192" customFormat="1" x14ac:dyDescent="0.25"/>
    <row r="106193" customFormat="1" x14ac:dyDescent="0.25"/>
    <row r="106194" customFormat="1" x14ac:dyDescent="0.25"/>
    <row r="106195" customFormat="1" x14ac:dyDescent="0.25"/>
    <row r="106196" customFormat="1" x14ac:dyDescent="0.25"/>
    <row r="106197" customFormat="1" x14ac:dyDescent="0.25"/>
    <row r="106198" customFormat="1" x14ac:dyDescent="0.25"/>
    <row r="106199" customFormat="1" x14ac:dyDescent="0.25"/>
    <row r="106200" customFormat="1" x14ac:dyDescent="0.25"/>
    <row r="106201" customFormat="1" x14ac:dyDescent="0.25"/>
    <row r="106202" customFormat="1" x14ac:dyDescent="0.25"/>
    <row r="106203" customFormat="1" x14ac:dyDescent="0.25"/>
    <row r="106204" customFormat="1" x14ac:dyDescent="0.25"/>
    <row r="106205" customFormat="1" x14ac:dyDescent="0.25"/>
    <row r="106206" customFormat="1" x14ac:dyDescent="0.25"/>
    <row r="106207" customFormat="1" x14ac:dyDescent="0.25"/>
    <row r="106208" customFormat="1" x14ac:dyDescent="0.25"/>
    <row r="106209" customFormat="1" x14ac:dyDescent="0.25"/>
    <row r="106210" customFormat="1" x14ac:dyDescent="0.25"/>
    <row r="106211" customFormat="1" x14ac:dyDescent="0.25"/>
    <row r="106212" customFormat="1" x14ac:dyDescent="0.25"/>
    <row r="106213" customFormat="1" x14ac:dyDescent="0.25"/>
    <row r="106214" customFormat="1" x14ac:dyDescent="0.25"/>
    <row r="106215" customFormat="1" x14ac:dyDescent="0.25"/>
    <row r="106216" customFormat="1" x14ac:dyDescent="0.25"/>
    <row r="106217" customFormat="1" x14ac:dyDescent="0.25"/>
    <row r="106218" customFormat="1" x14ac:dyDescent="0.25"/>
    <row r="106219" customFormat="1" x14ac:dyDescent="0.25"/>
    <row r="106220" customFormat="1" x14ac:dyDescent="0.25"/>
    <row r="106221" customFormat="1" x14ac:dyDescent="0.25"/>
    <row r="106222" customFormat="1" x14ac:dyDescent="0.25"/>
    <row r="106223" customFormat="1" x14ac:dyDescent="0.25"/>
    <row r="106224" customFormat="1" x14ac:dyDescent="0.25"/>
    <row r="106225" customFormat="1" x14ac:dyDescent="0.25"/>
    <row r="106226" customFormat="1" x14ac:dyDescent="0.25"/>
    <row r="106227" customFormat="1" x14ac:dyDescent="0.25"/>
    <row r="106228" customFormat="1" x14ac:dyDescent="0.25"/>
    <row r="106229" customFormat="1" x14ac:dyDescent="0.25"/>
    <row r="106230" customFormat="1" x14ac:dyDescent="0.25"/>
    <row r="106231" customFormat="1" x14ac:dyDescent="0.25"/>
    <row r="106232" customFormat="1" x14ac:dyDescent="0.25"/>
    <row r="106233" customFormat="1" x14ac:dyDescent="0.25"/>
    <row r="106234" customFormat="1" x14ac:dyDescent="0.25"/>
    <row r="106235" customFormat="1" x14ac:dyDescent="0.25"/>
    <row r="106236" customFormat="1" x14ac:dyDescent="0.25"/>
    <row r="106237" customFormat="1" x14ac:dyDescent="0.25"/>
    <row r="106238" customFormat="1" x14ac:dyDescent="0.25"/>
    <row r="106239" customFormat="1" x14ac:dyDescent="0.25"/>
    <row r="106240" customFormat="1" x14ac:dyDescent="0.25"/>
    <row r="106241" customFormat="1" x14ac:dyDescent="0.25"/>
    <row r="106242" customFormat="1" x14ac:dyDescent="0.25"/>
    <row r="106243" customFormat="1" x14ac:dyDescent="0.25"/>
    <row r="106244" customFormat="1" x14ac:dyDescent="0.25"/>
    <row r="106245" customFormat="1" x14ac:dyDescent="0.25"/>
    <row r="106246" customFormat="1" x14ac:dyDescent="0.25"/>
    <row r="106247" customFormat="1" x14ac:dyDescent="0.25"/>
    <row r="106248" customFormat="1" x14ac:dyDescent="0.25"/>
    <row r="106249" customFormat="1" x14ac:dyDescent="0.25"/>
    <row r="106250" customFormat="1" x14ac:dyDescent="0.25"/>
    <row r="106251" customFormat="1" x14ac:dyDescent="0.25"/>
    <row r="106252" customFormat="1" x14ac:dyDescent="0.25"/>
    <row r="106253" customFormat="1" x14ac:dyDescent="0.25"/>
    <row r="106254" customFormat="1" x14ac:dyDescent="0.25"/>
    <row r="106255" customFormat="1" x14ac:dyDescent="0.25"/>
    <row r="106256" customFormat="1" x14ac:dyDescent="0.25"/>
    <row r="106257" customFormat="1" x14ac:dyDescent="0.25"/>
    <row r="106258" customFormat="1" x14ac:dyDescent="0.25"/>
    <row r="106259" customFormat="1" x14ac:dyDescent="0.25"/>
    <row r="106260" customFormat="1" x14ac:dyDescent="0.25"/>
    <row r="106261" customFormat="1" x14ac:dyDescent="0.25"/>
    <row r="106262" customFormat="1" x14ac:dyDescent="0.25"/>
    <row r="106263" customFormat="1" x14ac:dyDescent="0.25"/>
    <row r="106264" customFormat="1" x14ac:dyDescent="0.25"/>
    <row r="106265" customFormat="1" x14ac:dyDescent="0.25"/>
    <row r="106266" customFormat="1" x14ac:dyDescent="0.25"/>
    <row r="106267" customFormat="1" x14ac:dyDescent="0.25"/>
    <row r="106268" customFormat="1" x14ac:dyDescent="0.25"/>
    <row r="106269" customFormat="1" x14ac:dyDescent="0.25"/>
    <row r="106270" customFormat="1" x14ac:dyDescent="0.25"/>
    <row r="106271" customFormat="1" x14ac:dyDescent="0.25"/>
    <row r="106272" customFormat="1" x14ac:dyDescent="0.25"/>
    <row r="106273" customFormat="1" x14ac:dyDescent="0.25"/>
    <row r="106274" customFormat="1" x14ac:dyDescent="0.25"/>
    <row r="106275" customFormat="1" x14ac:dyDescent="0.25"/>
    <row r="106276" customFormat="1" x14ac:dyDescent="0.25"/>
    <row r="106277" customFormat="1" x14ac:dyDescent="0.25"/>
    <row r="106278" customFormat="1" x14ac:dyDescent="0.25"/>
    <row r="106279" customFormat="1" x14ac:dyDescent="0.25"/>
    <row r="106280" customFormat="1" x14ac:dyDescent="0.25"/>
    <row r="106281" customFormat="1" x14ac:dyDescent="0.25"/>
    <row r="106282" customFormat="1" x14ac:dyDescent="0.25"/>
    <row r="106283" customFormat="1" x14ac:dyDescent="0.25"/>
    <row r="106284" customFormat="1" x14ac:dyDescent="0.25"/>
    <row r="106285" customFormat="1" x14ac:dyDescent="0.25"/>
    <row r="106286" customFormat="1" x14ac:dyDescent="0.25"/>
    <row r="106287" customFormat="1" x14ac:dyDescent="0.25"/>
    <row r="106288" customFormat="1" x14ac:dyDescent="0.25"/>
    <row r="106289" customFormat="1" x14ac:dyDescent="0.25"/>
    <row r="106290" customFormat="1" x14ac:dyDescent="0.25"/>
    <row r="106291" customFormat="1" x14ac:dyDescent="0.25"/>
    <row r="106292" customFormat="1" x14ac:dyDescent="0.25"/>
    <row r="106293" customFormat="1" x14ac:dyDescent="0.25"/>
    <row r="106294" customFormat="1" x14ac:dyDescent="0.25"/>
    <row r="106295" customFormat="1" x14ac:dyDescent="0.25"/>
    <row r="106296" customFormat="1" x14ac:dyDescent="0.25"/>
    <row r="106297" customFormat="1" x14ac:dyDescent="0.25"/>
    <row r="106298" customFormat="1" x14ac:dyDescent="0.25"/>
    <row r="106299" customFormat="1" x14ac:dyDescent="0.25"/>
    <row r="106300" customFormat="1" x14ac:dyDescent="0.25"/>
    <row r="106301" customFormat="1" x14ac:dyDescent="0.25"/>
    <row r="106302" customFormat="1" x14ac:dyDescent="0.25"/>
    <row r="106303" customFormat="1" x14ac:dyDescent="0.25"/>
    <row r="106304" customFormat="1" x14ac:dyDescent="0.25"/>
    <row r="106305" customFormat="1" x14ac:dyDescent="0.25"/>
    <row r="106306" customFormat="1" x14ac:dyDescent="0.25"/>
    <row r="106307" customFormat="1" x14ac:dyDescent="0.25"/>
    <row r="106308" customFormat="1" x14ac:dyDescent="0.25"/>
    <row r="106309" customFormat="1" x14ac:dyDescent="0.25"/>
    <row r="106310" customFormat="1" x14ac:dyDescent="0.25"/>
    <row r="106311" customFormat="1" x14ac:dyDescent="0.25"/>
    <row r="106312" customFormat="1" x14ac:dyDescent="0.25"/>
    <row r="106313" customFormat="1" x14ac:dyDescent="0.25"/>
    <row r="106314" customFormat="1" x14ac:dyDescent="0.25"/>
    <row r="106315" customFormat="1" x14ac:dyDescent="0.25"/>
    <row r="106316" customFormat="1" x14ac:dyDescent="0.25"/>
    <row r="106317" customFormat="1" x14ac:dyDescent="0.25"/>
    <row r="106318" customFormat="1" x14ac:dyDescent="0.25"/>
    <row r="106319" customFormat="1" x14ac:dyDescent="0.25"/>
    <row r="106320" customFormat="1" x14ac:dyDescent="0.25"/>
    <row r="106321" customFormat="1" x14ac:dyDescent="0.25"/>
    <row r="106322" customFormat="1" x14ac:dyDescent="0.25"/>
    <row r="106323" customFormat="1" x14ac:dyDescent="0.25"/>
    <row r="106324" customFormat="1" x14ac:dyDescent="0.25"/>
    <row r="106325" customFormat="1" x14ac:dyDescent="0.25"/>
    <row r="106326" customFormat="1" x14ac:dyDescent="0.25"/>
    <row r="106327" customFormat="1" x14ac:dyDescent="0.25"/>
    <row r="106328" customFormat="1" x14ac:dyDescent="0.25"/>
    <row r="106329" customFormat="1" x14ac:dyDescent="0.25"/>
    <row r="106330" customFormat="1" x14ac:dyDescent="0.25"/>
    <row r="106331" customFormat="1" x14ac:dyDescent="0.25"/>
    <row r="106332" customFormat="1" x14ac:dyDescent="0.25"/>
    <row r="106333" customFormat="1" x14ac:dyDescent="0.25"/>
    <row r="106334" customFormat="1" x14ac:dyDescent="0.25"/>
    <row r="106335" customFormat="1" x14ac:dyDescent="0.25"/>
    <row r="106336" customFormat="1" x14ac:dyDescent="0.25"/>
    <row r="106337" customFormat="1" x14ac:dyDescent="0.25"/>
    <row r="106338" customFormat="1" x14ac:dyDescent="0.25"/>
    <row r="106339" customFormat="1" x14ac:dyDescent="0.25"/>
    <row r="106340" customFormat="1" x14ac:dyDescent="0.25"/>
    <row r="106341" customFormat="1" x14ac:dyDescent="0.25"/>
    <row r="106342" customFormat="1" x14ac:dyDescent="0.25"/>
    <row r="106343" customFormat="1" x14ac:dyDescent="0.25"/>
    <row r="106344" customFormat="1" x14ac:dyDescent="0.25"/>
    <row r="106345" customFormat="1" x14ac:dyDescent="0.25"/>
    <row r="106346" customFormat="1" x14ac:dyDescent="0.25"/>
    <row r="106347" customFormat="1" x14ac:dyDescent="0.25"/>
    <row r="106348" customFormat="1" x14ac:dyDescent="0.25"/>
    <row r="106349" customFormat="1" x14ac:dyDescent="0.25"/>
    <row r="106350" customFormat="1" x14ac:dyDescent="0.25"/>
    <row r="106351" customFormat="1" x14ac:dyDescent="0.25"/>
    <row r="106352" customFormat="1" x14ac:dyDescent="0.25"/>
    <row r="106353" customFormat="1" x14ac:dyDescent="0.25"/>
    <row r="106354" customFormat="1" x14ac:dyDescent="0.25"/>
    <row r="106355" customFormat="1" x14ac:dyDescent="0.25"/>
    <row r="106356" customFormat="1" x14ac:dyDescent="0.25"/>
    <row r="106357" customFormat="1" x14ac:dyDescent="0.25"/>
    <row r="106358" customFormat="1" x14ac:dyDescent="0.25"/>
    <row r="106359" customFormat="1" x14ac:dyDescent="0.25"/>
    <row r="106360" customFormat="1" x14ac:dyDescent="0.25"/>
    <row r="106361" customFormat="1" x14ac:dyDescent="0.25"/>
    <row r="106362" customFormat="1" x14ac:dyDescent="0.25"/>
    <row r="106363" customFormat="1" x14ac:dyDescent="0.25"/>
    <row r="106364" customFormat="1" x14ac:dyDescent="0.25"/>
    <row r="106365" customFormat="1" x14ac:dyDescent="0.25"/>
    <row r="106366" customFormat="1" x14ac:dyDescent="0.25"/>
    <row r="106367" customFormat="1" x14ac:dyDescent="0.25"/>
    <row r="106368" customFormat="1" x14ac:dyDescent="0.25"/>
    <row r="106369" customFormat="1" x14ac:dyDescent="0.25"/>
    <row r="106370" customFormat="1" x14ac:dyDescent="0.25"/>
    <row r="106371" customFormat="1" x14ac:dyDescent="0.25"/>
    <row r="106372" customFormat="1" x14ac:dyDescent="0.25"/>
    <row r="106373" customFormat="1" x14ac:dyDescent="0.25"/>
    <row r="106374" customFormat="1" x14ac:dyDescent="0.25"/>
    <row r="106375" customFormat="1" x14ac:dyDescent="0.25"/>
    <row r="106376" customFormat="1" x14ac:dyDescent="0.25"/>
    <row r="106377" customFormat="1" x14ac:dyDescent="0.25"/>
    <row r="106378" customFormat="1" x14ac:dyDescent="0.25"/>
    <row r="106379" customFormat="1" x14ac:dyDescent="0.25"/>
    <row r="106380" customFormat="1" x14ac:dyDescent="0.25"/>
    <row r="106381" customFormat="1" x14ac:dyDescent="0.25"/>
    <row r="106382" customFormat="1" x14ac:dyDescent="0.25"/>
    <row r="106383" customFormat="1" x14ac:dyDescent="0.25"/>
    <row r="106384" customFormat="1" x14ac:dyDescent="0.25"/>
    <row r="106385" customFormat="1" x14ac:dyDescent="0.25"/>
    <row r="106386" customFormat="1" x14ac:dyDescent="0.25"/>
    <row r="106387" customFormat="1" x14ac:dyDescent="0.25"/>
    <row r="106388" customFormat="1" x14ac:dyDescent="0.25"/>
    <row r="106389" customFormat="1" x14ac:dyDescent="0.25"/>
    <row r="106390" customFormat="1" x14ac:dyDescent="0.25"/>
    <row r="106391" customFormat="1" x14ac:dyDescent="0.25"/>
    <row r="106392" customFormat="1" x14ac:dyDescent="0.25"/>
    <row r="106393" customFormat="1" x14ac:dyDescent="0.25"/>
    <row r="106394" customFormat="1" x14ac:dyDescent="0.25"/>
    <row r="106395" customFormat="1" x14ac:dyDescent="0.25"/>
    <row r="106396" customFormat="1" x14ac:dyDescent="0.25"/>
    <row r="106397" customFormat="1" x14ac:dyDescent="0.25"/>
    <row r="106398" customFormat="1" x14ac:dyDescent="0.25"/>
    <row r="106399" customFormat="1" x14ac:dyDescent="0.25"/>
    <row r="106400" customFormat="1" x14ac:dyDescent="0.25"/>
    <row r="106401" customFormat="1" x14ac:dyDescent="0.25"/>
    <row r="106402" customFormat="1" x14ac:dyDescent="0.25"/>
    <row r="106403" customFormat="1" x14ac:dyDescent="0.25"/>
    <row r="106404" customFormat="1" x14ac:dyDescent="0.25"/>
    <row r="106405" customFormat="1" x14ac:dyDescent="0.25"/>
    <row r="106406" customFormat="1" x14ac:dyDescent="0.25"/>
    <row r="106407" customFormat="1" x14ac:dyDescent="0.25"/>
    <row r="106408" customFormat="1" x14ac:dyDescent="0.25"/>
    <row r="106409" customFormat="1" x14ac:dyDescent="0.25"/>
    <row r="106410" customFormat="1" x14ac:dyDescent="0.25"/>
    <row r="106411" customFormat="1" x14ac:dyDescent="0.25"/>
    <row r="106412" customFormat="1" x14ac:dyDescent="0.25"/>
    <row r="106413" customFormat="1" x14ac:dyDescent="0.25"/>
    <row r="106414" customFormat="1" x14ac:dyDescent="0.25"/>
    <row r="106415" customFormat="1" x14ac:dyDescent="0.25"/>
    <row r="106416" customFormat="1" x14ac:dyDescent="0.25"/>
    <row r="106417" customFormat="1" x14ac:dyDescent="0.25"/>
    <row r="106418" customFormat="1" x14ac:dyDescent="0.25"/>
    <row r="106419" customFormat="1" x14ac:dyDescent="0.25"/>
    <row r="106420" customFormat="1" x14ac:dyDescent="0.25"/>
    <row r="106421" customFormat="1" x14ac:dyDescent="0.25"/>
    <row r="106422" customFormat="1" x14ac:dyDescent="0.25"/>
    <row r="106423" customFormat="1" x14ac:dyDescent="0.25"/>
    <row r="106424" customFormat="1" x14ac:dyDescent="0.25"/>
    <row r="106425" customFormat="1" x14ac:dyDescent="0.25"/>
    <row r="106426" customFormat="1" x14ac:dyDescent="0.25"/>
    <row r="106427" customFormat="1" x14ac:dyDescent="0.25"/>
    <row r="106428" customFormat="1" x14ac:dyDescent="0.25"/>
    <row r="106429" customFormat="1" x14ac:dyDescent="0.25"/>
    <row r="106430" customFormat="1" x14ac:dyDescent="0.25"/>
    <row r="106431" customFormat="1" x14ac:dyDescent="0.25"/>
    <row r="106432" customFormat="1" x14ac:dyDescent="0.25"/>
    <row r="106433" customFormat="1" x14ac:dyDescent="0.25"/>
    <row r="106434" customFormat="1" x14ac:dyDescent="0.25"/>
    <row r="106435" customFormat="1" x14ac:dyDescent="0.25"/>
    <row r="106436" customFormat="1" x14ac:dyDescent="0.25"/>
    <row r="106437" customFormat="1" x14ac:dyDescent="0.25"/>
    <row r="106438" customFormat="1" x14ac:dyDescent="0.25"/>
    <row r="106439" customFormat="1" x14ac:dyDescent="0.25"/>
    <row r="106440" customFormat="1" x14ac:dyDescent="0.25"/>
    <row r="106441" customFormat="1" x14ac:dyDescent="0.25"/>
    <row r="106442" customFormat="1" x14ac:dyDescent="0.25"/>
    <row r="106443" customFormat="1" x14ac:dyDescent="0.25"/>
    <row r="106444" customFormat="1" x14ac:dyDescent="0.25"/>
    <row r="106445" customFormat="1" x14ac:dyDescent="0.25"/>
    <row r="106446" customFormat="1" x14ac:dyDescent="0.25"/>
    <row r="106447" customFormat="1" x14ac:dyDescent="0.25"/>
    <row r="106448" customFormat="1" x14ac:dyDescent="0.25"/>
    <row r="106449" customFormat="1" x14ac:dyDescent="0.25"/>
    <row r="106450" customFormat="1" x14ac:dyDescent="0.25"/>
    <row r="106451" customFormat="1" x14ac:dyDescent="0.25"/>
    <row r="106452" customFormat="1" x14ac:dyDescent="0.25"/>
    <row r="106453" customFormat="1" x14ac:dyDescent="0.25"/>
    <row r="106454" customFormat="1" x14ac:dyDescent="0.25"/>
    <row r="106455" customFormat="1" x14ac:dyDescent="0.25"/>
    <row r="106456" customFormat="1" x14ac:dyDescent="0.25"/>
    <row r="106457" customFormat="1" x14ac:dyDescent="0.25"/>
    <row r="106458" customFormat="1" x14ac:dyDescent="0.25"/>
    <row r="106459" customFormat="1" x14ac:dyDescent="0.25"/>
    <row r="106460" customFormat="1" x14ac:dyDescent="0.25"/>
    <row r="106461" customFormat="1" x14ac:dyDescent="0.25"/>
    <row r="106462" customFormat="1" x14ac:dyDescent="0.25"/>
    <row r="106463" customFormat="1" x14ac:dyDescent="0.25"/>
    <row r="106464" customFormat="1" x14ac:dyDescent="0.25"/>
    <row r="106465" customFormat="1" x14ac:dyDescent="0.25"/>
    <row r="106466" customFormat="1" x14ac:dyDescent="0.25"/>
    <row r="106467" customFormat="1" x14ac:dyDescent="0.25"/>
    <row r="106468" customFormat="1" x14ac:dyDescent="0.25"/>
    <row r="106469" customFormat="1" x14ac:dyDescent="0.25"/>
    <row r="106470" customFormat="1" x14ac:dyDescent="0.25"/>
    <row r="106471" customFormat="1" x14ac:dyDescent="0.25"/>
    <row r="106472" customFormat="1" x14ac:dyDescent="0.25"/>
    <row r="106473" customFormat="1" x14ac:dyDescent="0.25"/>
    <row r="106474" customFormat="1" x14ac:dyDescent="0.25"/>
    <row r="106475" customFormat="1" x14ac:dyDescent="0.25"/>
    <row r="106476" customFormat="1" x14ac:dyDescent="0.25"/>
    <row r="106477" customFormat="1" x14ac:dyDescent="0.25"/>
    <row r="106478" customFormat="1" x14ac:dyDescent="0.25"/>
    <row r="106479" customFormat="1" x14ac:dyDescent="0.25"/>
    <row r="106480" customFormat="1" x14ac:dyDescent="0.25"/>
    <row r="106481" customFormat="1" x14ac:dyDescent="0.25"/>
    <row r="106482" customFormat="1" x14ac:dyDescent="0.25"/>
    <row r="106483" customFormat="1" x14ac:dyDescent="0.25"/>
    <row r="106484" customFormat="1" x14ac:dyDescent="0.25"/>
    <row r="106485" customFormat="1" x14ac:dyDescent="0.25"/>
    <row r="106486" customFormat="1" x14ac:dyDescent="0.25"/>
    <row r="106487" customFormat="1" x14ac:dyDescent="0.25"/>
    <row r="106488" customFormat="1" x14ac:dyDescent="0.25"/>
    <row r="106489" customFormat="1" x14ac:dyDescent="0.25"/>
    <row r="106490" customFormat="1" x14ac:dyDescent="0.25"/>
    <row r="106491" customFormat="1" x14ac:dyDescent="0.25"/>
    <row r="106492" customFormat="1" x14ac:dyDescent="0.25"/>
    <row r="106493" customFormat="1" x14ac:dyDescent="0.25"/>
    <row r="106494" customFormat="1" x14ac:dyDescent="0.25"/>
    <row r="106495" customFormat="1" x14ac:dyDescent="0.25"/>
    <row r="106496" customFormat="1" x14ac:dyDescent="0.25"/>
    <row r="106497" customFormat="1" x14ac:dyDescent="0.25"/>
    <row r="106498" customFormat="1" x14ac:dyDescent="0.25"/>
    <row r="106499" customFormat="1" x14ac:dyDescent="0.25"/>
    <row r="106500" customFormat="1" x14ac:dyDescent="0.25"/>
    <row r="106501" customFormat="1" x14ac:dyDescent="0.25"/>
    <row r="106502" customFormat="1" x14ac:dyDescent="0.25"/>
    <row r="106503" customFormat="1" x14ac:dyDescent="0.25"/>
    <row r="106504" customFormat="1" x14ac:dyDescent="0.25"/>
    <row r="106505" customFormat="1" x14ac:dyDescent="0.25"/>
    <row r="106506" customFormat="1" x14ac:dyDescent="0.25"/>
    <row r="106507" customFormat="1" x14ac:dyDescent="0.25"/>
    <row r="106508" customFormat="1" x14ac:dyDescent="0.25"/>
    <row r="106509" customFormat="1" x14ac:dyDescent="0.25"/>
    <row r="106510" customFormat="1" x14ac:dyDescent="0.25"/>
    <row r="106511" customFormat="1" x14ac:dyDescent="0.25"/>
    <row r="106512" customFormat="1" x14ac:dyDescent="0.25"/>
    <row r="106513" customFormat="1" x14ac:dyDescent="0.25"/>
    <row r="106514" customFormat="1" x14ac:dyDescent="0.25"/>
    <row r="106515" customFormat="1" x14ac:dyDescent="0.25"/>
    <row r="106516" customFormat="1" x14ac:dyDescent="0.25"/>
    <row r="106517" customFormat="1" x14ac:dyDescent="0.25"/>
    <row r="106518" customFormat="1" x14ac:dyDescent="0.25"/>
    <row r="106519" customFormat="1" x14ac:dyDescent="0.25"/>
    <row r="106520" customFormat="1" x14ac:dyDescent="0.25"/>
    <row r="106521" customFormat="1" x14ac:dyDescent="0.25"/>
    <row r="106522" customFormat="1" x14ac:dyDescent="0.25"/>
    <row r="106523" customFormat="1" x14ac:dyDescent="0.25"/>
    <row r="106524" customFormat="1" x14ac:dyDescent="0.25"/>
    <row r="106525" customFormat="1" x14ac:dyDescent="0.25"/>
    <row r="106526" customFormat="1" x14ac:dyDescent="0.25"/>
    <row r="106527" customFormat="1" x14ac:dyDescent="0.25"/>
    <row r="106528" customFormat="1" x14ac:dyDescent="0.25"/>
    <row r="106529" customFormat="1" x14ac:dyDescent="0.25"/>
    <row r="106530" customFormat="1" x14ac:dyDescent="0.25"/>
    <row r="106531" customFormat="1" x14ac:dyDescent="0.25"/>
    <row r="106532" customFormat="1" x14ac:dyDescent="0.25"/>
    <row r="106533" customFormat="1" x14ac:dyDescent="0.25"/>
    <row r="106534" customFormat="1" x14ac:dyDescent="0.25"/>
    <row r="106535" customFormat="1" x14ac:dyDescent="0.25"/>
    <row r="106536" customFormat="1" x14ac:dyDescent="0.25"/>
    <row r="106537" customFormat="1" x14ac:dyDescent="0.25"/>
    <row r="106538" customFormat="1" x14ac:dyDescent="0.25"/>
    <row r="106539" customFormat="1" x14ac:dyDescent="0.25"/>
    <row r="106540" customFormat="1" x14ac:dyDescent="0.25"/>
    <row r="106541" customFormat="1" x14ac:dyDescent="0.25"/>
    <row r="106542" customFormat="1" x14ac:dyDescent="0.25"/>
    <row r="106543" customFormat="1" x14ac:dyDescent="0.25"/>
    <row r="106544" customFormat="1" x14ac:dyDescent="0.25"/>
    <row r="106545" customFormat="1" x14ac:dyDescent="0.25"/>
    <row r="106546" customFormat="1" x14ac:dyDescent="0.25"/>
    <row r="106547" customFormat="1" x14ac:dyDescent="0.25"/>
    <row r="106548" customFormat="1" x14ac:dyDescent="0.25"/>
    <row r="106549" customFormat="1" x14ac:dyDescent="0.25"/>
    <row r="106550" customFormat="1" x14ac:dyDescent="0.25"/>
    <row r="106551" customFormat="1" x14ac:dyDescent="0.25"/>
    <row r="106552" customFormat="1" x14ac:dyDescent="0.25"/>
    <row r="106553" customFormat="1" x14ac:dyDescent="0.25"/>
    <row r="106554" customFormat="1" x14ac:dyDescent="0.25"/>
    <row r="106555" customFormat="1" x14ac:dyDescent="0.25"/>
    <row r="106556" customFormat="1" x14ac:dyDescent="0.25"/>
    <row r="106557" customFormat="1" x14ac:dyDescent="0.25"/>
    <row r="106558" customFormat="1" x14ac:dyDescent="0.25"/>
    <row r="106559" customFormat="1" x14ac:dyDescent="0.25"/>
    <row r="106560" customFormat="1" x14ac:dyDescent="0.25"/>
    <row r="106561" customFormat="1" x14ac:dyDescent="0.25"/>
    <row r="106562" customFormat="1" x14ac:dyDescent="0.25"/>
    <row r="106563" customFormat="1" x14ac:dyDescent="0.25"/>
    <row r="106564" customFormat="1" x14ac:dyDescent="0.25"/>
    <row r="106565" customFormat="1" x14ac:dyDescent="0.25"/>
    <row r="106566" customFormat="1" x14ac:dyDescent="0.25"/>
    <row r="106567" customFormat="1" x14ac:dyDescent="0.25"/>
    <row r="106568" customFormat="1" x14ac:dyDescent="0.25"/>
    <row r="106569" customFormat="1" x14ac:dyDescent="0.25"/>
    <row r="106570" customFormat="1" x14ac:dyDescent="0.25"/>
    <row r="106571" customFormat="1" x14ac:dyDescent="0.25"/>
    <row r="106572" customFormat="1" x14ac:dyDescent="0.25"/>
    <row r="106573" customFormat="1" x14ac:dyDescent="0.25"/>
    <row r="106574" customFormat="1" x14ac:dyDescent="0.25"/>
    <row r="106575" customFormat="1" x14ac:dyDescent="0.25"/>
    <row r="106576" customFormat="1" x14ac:dyDescent="0.25"/>
    <row r="106577" customFormat="1" x14ac:dyDescent="0.25"/>
    <row r="106578" customFormat="1" x14ac:dyDescent="0.25"/>
    <row r="106579" customFormat="1" x14ac:dyDescent="0.25"/>
    <row r="106580" customFormat="1" x14ac:dyDescent="0.25"/>
    <row r="106581" customFormat="1" x14ac:dyDescent="0.25"/>
    <row r="106582" customFormat="1" x14ac:dyDescent="0.25"/>
    <row r="106583" customFormat="1" x14ac:dyDescent="0.25"/>
    <row r="106584" customFormat="1" x14ac:dyDescent="0.25"/>
    <row r="106585" customFormat="1" x14ac:dyDescent="0.25"/>
    <row r="106586" customFormat="1" x14ac:dyDescent="0.25"/>
    <row r="106587" customFormat="1" x14ac:dyDescent="0.25"/>
    <row r="106588" customFormat="1" x14ac:dyDescent="0.25"/>
    <row r="106589" customFormat="1" x14ac:dyDescent="0.25"/>
    <row r="106590" customFormat="1" x14ac:dyDescent="0.25"/>
    <row r="106591" customFormat="1" x14ac:dyDescent="0.25"/>
    <row r="106592" customFormat="1" x14ac:dyDescent="0.25"/>
    <row r="106593" customFormat="1" x14ac:dyDescent="0.25"/>
    <row r="106594" customFormat="1" x14ac:dyDescent="0.25"/>
    <row r="106595" customFormat="1" x14ac:dyDescent="0.25"/>
    <row r="106596" customFormat="1" x14ac:dyDescent="0.25"/>
    <row r="106597" customFormat="1" x14ac:dyDescent="0.25"/>
    <row r="106598" customFormat="1" x14ac:dyDescent="0.25"/>
    <row r="106599" customFormat="1" x14ac:dyDescent="0.25"/>
    <row r="106600" customFormat="1" x14ac:dyDescent="0.25"/>
    <row r="106601" customFormat="1" x14ac:dyDescent="0.25"/>
    <row r="106602" customFormat="1" x14ac:dyDescent="0.25"/>
    <row r="106603" customFormat="1" x14ac:dyDescent="0.25"/>
    <row r="106604" customFormat="1" x14ac:dyDescent="0.25"/>
    <row r="106605" customFormat="1" x14ac:dyDescent="0.25"/>
    <row r="106606" customFormat="1" x14ac:dyDescent="0.25"/>
    <row r="106607" customFormat="1" x14ac:dyDescent="0.25"/>
    <row r="106608" customFormat="1" x14ac:dyDescent="0.25"/>
    <row r="106609" customFormat="1" x14ac:dyDescent="0.25"/>
    <row r="106610" customFormat="1" x14ac:dyDescent="0.25"/>
    <row r="106611" customFormat="1" x14ac:dyDescent="0.25"/>
    <row r="106612" customFormat="1" x14ac:dyDescent="0.25"/>
    <row r="106613" customFormat="1" x14ac:dyDescent="0.25"/>
    <row r="106614" customFormat="1" x14ac:dyDescent="0.25"/>
    <row r="106615" customFormat="1" x14ac:dyDescent="0.25"/>
    <row r="106616" customFormat="1" x14ac:dyDescent="0.25"/>
    <row r="106617" customFormat="1" x14ac:dyDescent="0.25"/>
    <row r="106618" customFormat="1" x14ac:dyDescent="0.25"/>
    <row r="106619" customFormat="1" x14ac:dyDescent="0.25"/>
    <row r="106620" customFormat="1" x14ac:dyDescent="0.25"/>
    <row r="106621" customFormat="1" x14ac:dyDescent="0.25"/>
    <row r="106622" customFormat="1" x14ac:dyDescent="0.25"/>
    <row r="106623" customFormat="1" x14ac:dyDescent="0.25"/>
    <row r="106624" customFormat="1" x14ac:dyDescent="0.25"/>
    <row r="106625" customFormat="1" x14ac:dyDescent="0.25"/>
    <row r="106626" customFormat="1" x14ac:dyDescent="0.25"/>
    <row r="106627" customFormat="1" x14ac:dyDescent="0.25"/>
    <row r="106628" customFormat="1" x14ac:dyDescent="0.25"/>
    <row r="106629" customFormat="1" x14ac:dyDescent="0.25"/>
    <row r="106630" customFormat="1" x14ac:dyDescent="0.25"/>
    <row r="106631" customFormat="1" x14ac:dyDescent="0.25"/>
    <row r="106632" customFormat="1" x14ac:dyDescent="0.25"/>
    <row r="106633" customFormat="1" x14ac:dyDescent="0.25"/>
    <row r="106634" customFormat="1" x14ac:dyDescent="0.25"/>
    <row r="106635" customFormat="1" x14ac:dyDescent="0.25"/>
    <row r="106636" customFormat="1" x14ac:dyDescent="0.25"/>
    <row r="106637" customFormat="1" x14ac:dyDescent="0.25"/>
    <row r="106638" customFormat="1" x14ac:dyDescent="0.25"/>
    <row r="106639" customFormat="1" x14ac:dyDescent="0.25"/>
    <row r="106640" customFormat="1" x14ac:dyDescent="0.25"/>
    <row r="106641" customFormat="1" x14ac:dyDescent="0.25"/>
    <row r="106642" customFormat="1" x14ac:dyDescent="0.25"/>
    <row r="106643" customFormat="1" x14ac:dyDescent="0.25"/>
    <row r="106644" customFormat="1" x14ac:dyDescent="0.25"/>
    <row r="106645" customFormat="1" x14ac:dyDescent="0.25"/>
    <row r="106646" customFormat="1" x14ac:dyDescent="0.25"/>
    <row r="106647" customFormat="1" x14ac:dyDescent="0.25"/>
    <row r="106648" customFormat="1" x14ac:dyDescent="0.25"/>
    <row r="106649" customFormat="1" x14ac:dyDescent="0.25"/>
    <row r="106650" customFormat="1" x14ac:dyDescent="0.25"/>
    <row r="106651" customFormat="1" x14ac:dyDescent="0.25"/>
    <row r="106652" customFormat="1" x14ac:dyDescent="0.25"/>
    <row r="106653" customFormat="1" x14ac:dyDescent="0.25"/>
    <row r="106654" customFormat="1" x14ac:dyDescent="0.25"/>
    <row r="106655" customFormat="1" x14ac:dyDescent="0.25"/>
    <row r="106656" customFormat="1" x14ac:dyDescent="0.25"/>
    <row r="106657" customFormat="1" x14ac:dyDescent="0.25"/>
    <row r="106658" customFormat="1" x14ac:dyDescent="0.25"/>
    <row r="106659" customFormat="1" x14ac:dyDescent="0.25"/>
    <row r="106660" customFormat="1" x14ac:dyDescent="0.25"/>
    <row r="106661" customFormat="1" x14ac:dyDescent="0.25"/>
    <row r="106662" customFormat="1" x14ac:dyDescent="0.25"/>
    <row r="106663" customFormat="1" x14ac:dyDescent="0.25"/>
    <row r="106664" customFormat="1" x14ac:dyDescent="0.25"/>
    <row r="106665" customFormat="1" x14ac:dyDescent="0.25"/>
    <row r="106666" customFormat="1" x14ac:dyDescent="0.25"/>
    <row r="106667" customFormat="1" x14ac:dyDescent="0.25"/>
    <row r="106668" customFormat="1" x14ac:dyDescent="0.25"/>
    <row r="106669" customFormat="1" x14ac:dyDescent="0.25"/>
    <row r="106670" customFormat="1" x14ac:dyDescent="0.25"/>
    <row r="106671" customFormat="1" x14ac:dyDescent="0.25"/>
    <row r="106672" customFormat="1" x14ac:dyDescent="0.25"/>
    <row r="106673" customFormat="1" x14ac:dyDescent="0.25"/>
    <row r="106674" customFormat="1" x14ac:dyDescent="0.25"/>
    <row r="106675" customFormat="1" x14ac:dyDescent="0.25"/>
    <row r="106676" customFormat="1" x14ac:dyDescent="0.25"/>
    <row r="106677" customFormat="1" x14ac:dyDescent="0.25"/>
    <row r="106678" customFormat="1" x14ac:dyDescent="0.25"/>
    <row r="106679" customFormat="1" x14ac:dyDescent="0.25"/>
    <row r="106680" customFormat="1" x14ac:dyDescent="0.25"/>
    <row r="106681" customFormat="1" x14ac:dyDescent="0.25"/>
    <row r="106682" customFormat="1" x14ac:dyDescent="0.25"/>
    <row r="106683" customFormat="1" x14ac:dyDescent="0.25"/>
    <row r="106684" customFormat="1" x14ac:dyDescent="0.25"/>
    <row r="106685" customFormat="1" x14ac:dyDescent="0.25"/>
    <row r="106686" customFormat="1" x14ac:dyDescent="0.25"/>
    <row r="106687" customFormat="1" x14ac:dyDescent="0.25"/>
    <row r="106688" customFormat="1" x14ac:dyDescent="0.25"/>
    <row r="106689" customFormat="1" x14ac:dyDescent="0.25"/>
    <row r="106690" customFormat="1" x14ac:dyDescent="0.25"/>
    <row r="106691" customFormat="1" x14ac:dyDescent="0.25"/>
    <row r="106692" customFormat="1" x14ac:dyDescent="0.25"/>
    <row r="106693" customFormat="1" x14ac:dyDescent="0.25"/>
    <row r="106694" customFormat="1" x14ac:dyDescent="0.25"/>
    <row r="106695" customFormat="1" x14ac:dyDescent="0.25"/>
    <row r="106696" customFormat="1" x14ac:dyDescent="0.25"/>
    <row r="106697" customFormat="1" x14ac:dyDescent="0.25"/>
    <row r="106698" customFormat="1" x14ac:dyDescent="0.25"/>
    <row r="106699" customFormat="1" x14ac:dyDescent="0.25"/>
    <row r="106700" customFormat="1" x14ac:dyDescent="0.25"/>
    <row r="106701" customFormat="1" x14ac:dyDescent="0.25"/>
    <row r="106702" customFormat="1" x14ac:dyDescent="0.25"/>
    <row r="106703" customFormat="1" x14ac:dyDescent="0.25"/>
    <row r="106704" customFormat="1" x14ac:dyDescent="0.25"/>
    <row r="106705" customFormat="1" x14ac:dyDescent="0.25"/>
    <row r="106706" customFormat="1" x14ac:dyDescent="0.25"/>
    <row r="106707" customFormat="1" x14ac:dyDescent="0.25"/>
    <row r="106708" customFormat="1" x14ac:dyDescent="0.25"/>
    <row r="106709" customFormat="1" x14ac:dyDescent="0.25"/>
    <row r="106710" customFormat="1" x14ac:dyDescent="0.25"/>
    <row r="106711" customFormat="1" x14ac:dyDescent="0.25"/>
    <row r="106712" customFormat="1" x14ac:dyDescent="0.25"/>
    <row r="106713" customFormat="1" x14ac:dyDescent="0.25"/>
    <row r="106714" customFormat="1" x14ac:dyDescent="0.25"/>
    <row r="106715" customFormat="1" x14ac:dyDescent="0.25"/>
    <row r="106716" customFormat="1" x14ac:dyDescent="0.25"/>
    <row r="106717" customFormat="1" x14ac:dyDescent="0.25"/>
    <row r="106718" customFormat="1" x14ac:dyDescent="0.25"/>
    <row r="106719" customFormat="1" x14ac:dyDescent="0.25"/>
    <row r="106720" customFormat="1" x14ac:dyDescent="0.25"/>
    <row r="106721" customFormat="1" x14ac:dyDescent="0.25"/>
    <row r="106722" customFormat="1" x14ac:dyDescent="0.25"/>
    <row r="106723" customFormat="1" x14ac:dyDescent="0.25"/>
    <row r="106724" customFormat="1" x14ac:dyDescent="0.25"/>
    <row r="106725" customFormat="1" x14ac:dyDescent="0.25"/>
    <row r="106726" customFormat="1" x14ac:dyDescent="0.25"/>
    <row r="106727" customFormat="1" x14ac:dyDescent="0.25"/>
    <row r="106728" customFormat="1" x14ac:dyDescent="0.25"/>
    <row r="106729" customFormat="1" x14ac:dyDescent="0.25"/>
    <row r="106730" customFormat="1" x14ac:dyDescent="0.25"/>
    <row r="106731" customFormat="1" x14ac:dyDescent="0.25"/>
    <row r="106732" customFormat="1" x14ac:dyDescent="0.25"/>
    <row r="106733" customFormat="1" x14ac:dyDescent="0.25"/>
    <row r="106734" customFormat="1" x14ac:dyDescent="0.25"/>
    <row r="106735" customFormat="1" x14ac:dyDescent="0.25"/>
    <row r="106736" customFormat="1" x14ac:dyDescent="0.25"/>
    <row r="106737" customFormat="1" x14ac:dyDescent="0.25"/>
    <row r="106738" customFormat="1" x14ac:dyDescent="0.25"/>
    <row r="106739" customFormat="1" x14ac:dyDescent="0.25"/>
    <row r="106740" customFormat="1" x14ac:dyDescent="0.25"/>
    <row r="106741" customFormat="1" x14ac:dyDescent="0.25"/>
    <row r="106742" customFormat="1" x14ac:dyDescent="0.25"/>
    <row r="106743" customFormat="1" x14ac:dyDescent="0.25"/>
    <row r="106744" customFormat="1" x14ac:dyDescent="0.25"/>
    <row r="106745" customFormat="1" x14ac:dyDescent="0.25"/>
    <row r="106746" customFormat="1" x14ac:dyDescent="0.25"/>
    <row r="106747" customFormat="1" x14ac:dyDescent="0.25"/>
    <row r="106748" customFormat="1" x14ac:dyDescent="0.25"/>
    <row r="106749" customFormat="1" x14ac:dyDescent="0.25"/>
    <row r="106750" customFormat="1" x14ac:dyDescent="0.25"/>
    <row r="106751" customFormat="1" x14ac:dyDescent="0.25"/>
    <row r="106752" customFormat="1" x14ac:dyDescent="0.25"/>
    <row r="106753" customFormat="1" x14ac:dyDescent="0.25"/>
    <row r="106754" customFormat="1" x14ac:dyDescent="0.25"/>
    <row r="106755" customFormat="1" x14ac:dyDescent="0.25"/>
    <row r="106756" customFormat="1" x14ac:dyDescent="0.25"/>
    <row r="106757" customFormat="1" x14ac:dyDescent="0.25"/>
    <row r="106758" customFormat="1" x14ac:dyDescent="0.25"/>
    <row r="106759" customFormat="1" x14ac:dyDescent="0.25"/>
    <row r="106760" customFormat="1" x14ac:dyDescent="0.25"/>
    <row r="106761" customFormat="1" x14ac:dyDescent="0.25"/>
    <row r="106762" customFormat="1" x14ac:dyDescent="0.25"/>
    <row r="106763" customFormat="1" x14ac:dyDescent="0.25"/>
    <row r="106764" customFormat="1" x14ac:dyDescent="0.25"/>
    <row r="106765" customFormat="1" x14ac:dyDescent="0.25"/>
    <row r="106766" customFormat="1" x14ac:dyDescent="0.25"/>
    <row r="106767" customFormat="1" x14ac:dyDescent="0.25"/>
    <row r="106768" customFormat="1" x14ac:dyDescent="0.25"/>
    <row r="106769" customFormat="1" x14ac:dyDescent="0.25"/>
    <row r="106770" customFormat="1" x14ac:dyDescent="0.25"/>
    <row r="106771" customFormat="1" x14ac:dyDescent="0.25"/>
    <row r="106772" customFormat="1" x14ac:dyDescent="0.25"/>
    <row r="106773" customFormat="1" x14ac:dyDescent="0.25"/>
    <row r="106774" customFormat="1" x14ac:dyDescent="0.25"/>
    <row r="106775" customFormat="1" x14ac:dyDescent="0.25"/>
    <row r="106776" customFormat="1" x14ac:dyDescent="0.25"/>
    <row r="106777" customFormat="1" x14ac:dyDescent="0.25"/>
    <row r="106778" customFormat="1" x14ac:dyDescent="0.25"/>
    <row r="106779" customFormat="1" x14ac:dyDescent="0.25"/>
    <row r="106780" customFormat="1" x14ac:dyDescent="0.25"/>
    <row r="106781" customFormat="1" x14ac:dyDescent="0.25"/>
    <row r="106782" customFormat="1" x14ac:dyDescent="0.25"/>
    <row r="106783" customFormat="1" x14ac:dyDescent="0.25"/>
    <row r="106784" customFormat="1" x14ac:dyDescent="0.25"/>
    <row r="106785" customFormat="1" x14ac:dyDescent="0.25"/>
    <row r="106786" customFormat="1" x14ac:dyDescent="0.25"/>
    <row r="106787" customFormat="1" x14ac:dyDescent="0.25"/>
    <row r="106788" customFormat="1" x14ac:dyDescent="0.25"/>
    <row r="106789" customFormat="1" x14ac:dyDescent="0.25"/>
    <row r="106790" customFormat="1" x14ac:dyDescent="0.25"/>
    <row r="106791" customFormat="1" x14ac:dyDescent="0.25"/>
    <row r="106792" customFormat="1" x14ac:dyDescent="0.25"/>
    <row r="106793" customFormat="1" x14ac:dyDescent="0.25"/>
    <row r="106794" customFormat="1" x14ac:dyDescent="0.25"/>
    <row r="106795" customFormat="1" x14ac:dyDescent="0.25"/>
    <row r="106796" customFormat="1" x14ac:dyDescent="0.25"/>
    <row r="106797" customFormat="1" x14ac:dyDescent="0.25"/>
    <row r="106798" customFormat="1" x14ac:dyDescent="0.25"/>
    <row r="106799" customFormat="1" x14ac:dyDescent="0.25"/>
    <row r="106800" customFormat="1" x14ac:dyDescent="0.25"/>
    <row r="106801" customFormat="1" x14ac:dyDescent="0.25"/>
    <row r="106802" customFormat="1" x14ac:dyDescent="0.25"/>
    <row r="106803" customFormat="1" x14ac:dyDescent="0.25"/>
    <row r="106804" customFormat="1" x14ac:dyDescent="0.25"/>
    <row r="106805" customFormat="1" x14ac:dyDescent="0.25"/>
    <row r="106806" customFormat="1" x14ac:dyDescent="0.25"/>
    <row r="106807" customFormat="1" x14ac:dyDescent="0.25"/>
    <row r="106808" customFormat="1" x14ac:dyDescent="0.25"/>
    <row r="106809" customFormat="1" x14ac:dyDescent="0.25"/>
    <row r="106810" customFormat="1" x14ac:dyDescent="0.25"/>
    <row r="106811" customFormat="1" x14ac:dyDescent="0.25"/>
    <row r="106812" customFormat="1" x14ac:dyDescent="0.25"/>
    <row r="106813" customFormat="1" x14ac:dyDescent="0.25"/>
    <row r="106814" customFormat="1" x14ac:dyDescent="0.25"/>
    <row r="106815" customFormat="1" x14ac:dyDescent="0.25"/>
    <row r="106816" customFormat="1" x14ac:dyDescent="0.25"/>
    <row r="106817" customFormat="1" x14ac:dyDescent="0.25"/>
    <row r="106818" customFormat="1" x14ac:dyDescent="0.25"/>
    <row r="106819" customFormat="1" x14ac:dyDescent="0.25"/>
    <row r="106820" customFormat="1" x14ac:dyDescent="0.25"/>
    <row r="106821" customFormat="1" x14ac:dyDescent="0.25"/>
    <row r="106822" customFormat="1" x14ac:dyDescent="0.25"/>
    <row r="106823" customFormat="1" x14ac:dyDescent="0.25"/>
    <row r="106824" customFormat="1" x14ac:dyDescent="0.25"/>
    <row r="106825" customFormat="1" x14ac:dyDescent="0.25"/>
    <row r="106826" customFormat="1" x14ac:dyDescent="0.25"/>
    <row r="106827" customFormat="1" x14ac:dyDescent="0.25"/>
    <row r="106828" customFormat="1" x14ac:dyDescent="0.25"/>
    <row r="106829" customFormat="1" x14ac:dyDescent="0.25"/>
    <row r="106830" customFormat="1" x14ac:dyDescent="0.25"/>
    <row r="106831" customFormat="1" x14ac:dyDescent="0.25"/>
    <row r="106832" customFormat="1" x14ac:dyDescent="0.25"/>
    <row r="106833" customFormat="1" x14ac:dyDescent="0.25"/>
    <row r="106834" customFormat="1" x14ac:dyDescent="0.25"/>
    <row r="106835" customFormat="1" x14ac:dyDescent="0.25"/>
    <row r="106836" customFormat="1" x14ac:dyDescent="0.25"/>
    <row r="106837" customFormat="1" x14ac:dyDescent="0.25"/>
    <row r="106838" customFormat="1" x14ac:dyDescent="0.25"/>
    <row r="106839" customFormat="1" x14ac:dyDescent="0.25"/>
    <row r="106840" customFormat="1" x14ac:dyDescent="0.25"/>
    <row r="106841" customFormat="1" x14ac:dyDescent="0.25"/>
    <row r="106842" customFormat="1" x14ac:dyDescent="0.25"/>
    <row r="106843" customFormat="1" x14ac:dyDescent="0.25"/>
    <row r="106844" customFormat="1" x14ac:dyDescent="0.25"/>
    <row r="106845" customFormat="1" x14ac:dyDescent="0.25"/>
    <row r="106846" customFormat="1" x14ac:dyDescent="0.25"/>
    <row r="106847" customFormat="1" x14ac:dyDescent="0.25"/>
    <row r="106848" customFormat="1" x14ac:dyDescent="0.25"/>
    <row r="106849" customFormat="1" x14ac:dyDescent="0.25"/>
    <row r="106850" customFormat="1" x14ac:dyDescent="0.25"/>
    <row r="106851" customFormat="1" x14ac:dyDescent="0.25"/>
    <row r="106852" customFormat="1" x14ac:dyDescent="0.25"/>
    <row r="106853" customFormat="1" x14ac:dyDescent="0.25"/>
    <row r="106854" customFormat="1" x14ac:dyDescent="0.25"/>
    <row r="106855" customFormat="1" x14ac:dyDescent="0.25"/>
    <row r="106856" customFormat="1" x14ac:dyDescent="0.25"/>
    <row r="106857" customFormat="1" x14ac:dyDescent="0.25"/>
    <row r="106858" customFormat="1" x14ac:dyDescent="0.25"/>
    <row r="106859" customFormat="1" x14ac:dyDescent="0.25"/>
    <row r="106860" customFormat="1" x14ac:dyDescent="0.25"/>
    <row r="106861" customFormat="1" x14ac:dyDescent="0.25"/>
    <row r="106862" customFormat="1" x14ac:dyDescent="0.25"/>
    <row r="106863" customFormat="1" x14ac:dyDescent="0.25"/>
    <row r="106864" customFormat="1" x14ac:dyDescent="0.25"/>
    <row r="106865" customFormat="1" x14ac:dyDescent="0.25"/>
    <row r="106866" customFormat="1" x14ac:dyDescent="0.25"/>
    <row r="106867" customFormat="1" x14ac:dyDescent="0.25"/>
    <row r="106868" customFormat="1" x14ac:dyDescent="0.25"/>
    <row r="106869" customFormat="1" x14ac:dyDescent="0.25"/>
    <row r="106870" customFormat="1" x14ac:dyDescent="0.25"/>
    <row r="106871" customFormat="1" x14ac:dyDescent="0.25"/>
    <row r="106872" customFormat="1" x14ac:dyDescent="0.25"/>
    <row r="106873" customFormat="1" x14ac:dyDescent="0.25"/>
    <row r="106874" customFormat="1" x14ac:dyDescent="0.25"/>
    <row r="106875" customFormat="1" x14ac:dyDescent="0.25"/>
    <row r="106876" customFormat="1" x14ac:dyDescent="0.25"/>
    <row r="106877" customFormat="1" x14ac:dyDescent="0.25"/>
    <row r="106878" customFormat="1" x14ac:dyDescent="0.25"/>
    <row r="106879" customFormat="1" x14ac:dyDescent="0.25"/>
    <row r="106880" customFormat="1" x14ac:dyDescent="0.25"/>
    <row r="106881" customFormat="1" x14ac:dyDescent="0.25"/>
    <row r="106882" customFormat="1" x14ac:dyDescent="0.25"/>
    <row r="106883" customFormat="1" x14ac:dyDescent="0.25"/>
    <row r="106884" customFormat="1" x14ac:dyDescent="0.25"/>
    <row r="106885" customFormat="1" x14ac:dyDescent="0.25"/>
    <row r="106886" customFormat="1" x14ac:dyDescent="0.25"/>
    <row r="106887" customFormat="1" x14ac:dyDescent="0.25"/>
    <row r="106888" customFormat="1" x14ac:dyDescent="0.25"/>
    <row r="106889" customFormat="1" x14ac:dyDescent="0.25"/>
    <row r="106890" customFormat="1" x14ac:dyDescent="0.25"/>
    <row r="106891" customFormat="1" x14ac:dyDescent="0.25"/>
    <row r="106892" customFormat="1" x14ac:dyDescent="0.25"/>
    <row r="106893" customFormat="1" x14ac:dyDescent="0.25"/>
    <row r="106894" customFormat="1" x14ac:dyDescent="0.25"/>
    <row r="106895" customFormat="1" x14ac:dyDescent="0.25"/>
    <row r="106896" customFormat="1" x14ac:dyDescent="0.25"/>
    <row r="106897" customFormat="1" x14ac:dyDescent="0.25"/>
    <row r="106898" customFormat="1" x14ac:dyDescent="0.25"/>
    <row r="106899" customFormat="1" x14ac:dyDescent="0.25"/>
    <row r="106900" customFormat="1" x14ac:dyDescent="0.25"/>
    <row r="106901" customFormat="1" x14ac:dyDescent="0.25"/>
    <row r="106902" customFormat="1" x14ac:dyDescent="0.25"/>
    <row r="106903" customFormat="1" x14ac:dyDescent="0.25"/>
    <row r="106904" customFormat="1" x14ac:dyDescent="0.25"/>
    <row r="106905" customFormat="1" x14ac:dyDescent="0.25"/>
    <row r="106906" customFormat="1" x14ac:dyDescent="0.25"/>
    <row r="106907" customFormat="1" x14ac:dyDescent="0.25"/>
    <row r="106908" customFormat="1" x14ac:dyDescent="0.25"/>
    <row r="106909" customFormat="1" x14ac:dyDescent="0.25"/>
    <row r="106910" customFormat="1" x14ac:dyDescent="0.25"/>
    <row r="106911" customFormat="1" x14ac:dyDescent="0.25"/>
    <row r="106912" customFormat="1" x14ac:dyDescent="0.25"/>
    <row r="106913" customFormat="1" x14ac:dyDescent="0.25"/>
    <row r="106914" customFormat="1" x14ac:dyDescent="0.25"/>
    <row r="106915" customFormat="1" x14ac:dyDescent="0.25"/>
    <row r="106916" customFormat="1" x14ac:dyDescent="0.25"/>
    <row r="106917" customFormat="1" x14ac:dyDescent="0.25"/>
    <row r="106918" customFormat="1" x14ac:dyDescent="0.25"/>
    <row r="106919" customFormat="1" x14ac:dyDescent="0.25"/>
    <row r="106920" customFormat="1" x14ac:dyDescent="0.25"/>
    <row r="106921" customFormat="1" x14ac:dyDescent="0.25"/>
    <row r="106922" customFormat="1" x14ac:dyDescent="0.25"/>
    <row r="106923" customFormat="1" x14ac:dyDescent="0.25"/>
    <row r="106924" customFormat="1" x14ac:dyDescent="0.25"/>
    <row r="106925" customFormat="1" x14ac:dyDescent="0.25"/>
    <row r="106926" customFormat="1" x14ac:dyDescent="0.25"/>
    <row r="106927" customFormat="1" x14ac:dyDescent="0.25"/>
    <row r="106928" customFormat="1" x14ac:dyDescent="0.25"/>
    <row r="106929" customFormat="1" x14ac:dyDescent="0.25"/>
    <row r="106930" customFormat="1" x14ac:dyDescent="0.25"/>
    <row r="106931" customFormat="1" x14ac:dyDescent="0.25"/>
    <row r="106932" customFormat="1" x14ac:dyDescent="0.25"/>
    <row r="106933" customFormat="1" x14ac:dyDescent="0.25"/>
    <row r="106934" customFormat="1" x14ac:dyDescent="0.25"/>
    <row r="106935" customFormat="1" x14ac:dyDescent="0.25"/>
    <row r="106936" customFormat="1" x14ac:dyDescent="0.25"/>
    <row r="106937" customFormat="1" x14ac:dyDescent="0.25"/>
    <row r="106938" customFormat="1" x14ac:dyDescent="0.25"/>
    <row r="106939" customFormat="1" x14ac:dyDescent="0.25"/>
    <row r="106940" customFormat="1" x14ac:dyDescent="0.25"/>
    <row r="106941" customFormat="1" x14ac:dyDescent="0.25"/>
    <row r="106942" customFormat="1" x14ac:dyDescent="0.25"/>
    <row r="106943" customFormat="1" x14ac:dyDescent="0.25"/>
    <row r="106944" customFormat="1" x14ac:dyDescent="0.25"/>
    <row r="106945" customFormat="1" x14ac:dyDescent="0.25"/>
    <row r="106946" customFormat="1" x14ac:dyDescent="0.25"/>
    <row r="106947" customFormat="1" x14ac:dyDescent="0.25"/>
    <row r="106948" customFormat="1" x14ac:dyDescent="0.25"/>
    <row r="106949" customFormat="1" x14ac:dyDescent="0.25"/>
    <row r="106950" customFormat="1" x14ac:dyDescent="0.25"/>
    <row r="106951" customFormat="1" x14ac:dyDescent="0.25"/>
    <row r="106952" customFormat="1" x14ac:dyDescent="0.25"/>
    <row r="106953" customFormat="1" x14ac:dyDescent="0.25"/>
    <row r="106954" customFormat="1" x14ac:dyDescent="0.25"/>
    <row r="106955" customFormat="1" x14ac:dyDescent="0.25"/>
    <row r="106956" customFormat="1" x14ac:dyDescent="0.25"/>
    <row r="106957" customFormat="1" x14ac:dyDescent="0.25"/>
    <row r="106958" customFormat="1" x14ac:dyDescent="0.25"/>
    <row r="106959" customFormat="1" x14ac:dyDescent="0.25"/>
    <row r="106960" customFormat="1" x14ac:dyDescent="0.25"/>
    <row r="106961" customFormat="1" x14ac:dyDescent="0.25"/>
    <row r="106962" customFormat="1" x14ac:dyDescent="0.25"/>
    <row r="106963" customFormat="1" x14ac:dyDescent="0.25"/>
    <row r="106964" customFormat="1" x14ac:dyDescent="0.25"/>
    <row r="106965" customFormat="1" x14ac:dyDescent="0.25"/>
    <row r="106966" customFormat="1" x14ac:dyDescent="0.25"/>
    <row r="106967" customFormat="1" x14ac:dyDescent="0.25"/>
    <row r="106968" customFormat="1" x14ac:dyDescent="0.25"/>
    <row r="106969" customFormat="1" x14ac:dyDescent="0.25"/>
    <row r="106970" customFormat="1" x14ac:dyDescent="0.25"/>
    <row r="106971" customFormat="1" x14ac:dyDescent="0.25"/>
    <row r="106972" customFormat="1" x14ac:dyDescent="0.25"/>
    <row r="106973" customFormat="1" x14ac:dyDescent="0.25"/>
    <row r="106974" customFormat="1" x14ac:dyDescent="0.25"/>
    <row r="106975" customFormat="1" x14ac:dyDescent="0.25"/>
    <row r="106976" customFormat="1" x14ac:dyDescent="0.25"/>
    <row r="106977" customFormat="1" x14ac:dyDescent="0.25"/>
    <row r="106978" customFormat="1" x14ac:dyDescent="0.25"/>
    <row r="106979" customFormat="1" x14ac:dyDescent="0.25"/>
    <row r="106980" customFormat="1" x14ac:dyDescent="0.25"/>
    <row r="106981" customFormat="1" x14ac:dyDescent="0.25"/>
    <row r="106982" customFormat="1" x14ac:dyDescent="0.25"/>
    <row r="106983" customFormat="1" x14ac:dyDescent="0.25"/>
    <row r="106984" customFormat="1" x14ac:dyDescent="0.25"/>
    <row r="106985" customFormat="1" x14ac:dyDescent="0.25"/>
    <row r="106986" customFormat="1" x14ac:dyDescent="0.25"/>
    <row r="106987" customFormat="1" x14ac:dyDescent="0.25"/>
    <row r="106988" customFormat="1" x14ac:dyDescent="0.25"/>
    <row r="106989" customFormat="1" x14ac:dyDescent="0.25"/>
    <row r="106990" customFormat="1" x14ac:dyDescent="0.25"/>
    <row r="106991" customFormat="1" x14ac:dyDescent="0.25"/>
    <row r="106992" customFormat="1" x14ac:dyDescent="0.25"/>
    <row r="106993" customFormat="1" x14ac:dyDescent="0.25"/>
    <row r="106994" customFormat="1" x14ac:dyDescent="0.25"/>
    <row r="106995" customFormat="1" x14ac:dyDescent="0.25"/>
    <row r="106996" customFormat="1" x14ac:dyDescent="0.25"/>
    <row r="106997" customFormat="1" x14ac:dyDescent="0.25"/>
    <row r="106998" customFormat="1" x14ac:dyDescent="0.25"/>
    <row r="106999" customFormat="1" x14ac:dyDescent="0.25"/>
    <row r="107000" customFormat="1" x14ac:dyDescent="0.25"/>
    <row r="107001" customFormat="1" x14ac:dyDescent="0.25"/>
    <row r="107002" customFormat="1" x14ac:dyDescent="0.25"/>
    <row r="107003" customFormat="1" x14ac:dyDescent="0.25"/>
    <row r="107004" customFormat="1" x14ac:dyDescent="0.25"/>
    <row r="107005" customFormat="1" x14ac:dyDescent="0.25"/>
    <row r="107006" customFormat="1" x14ac:dyDescent="0.25"/>
    <row r="107007" customFormat="1" x14ac:dyDescent="0.25"/>
    <row r="107008" customFormat="1" x14ac:dyDescent="0.25"/>
    <row r="107009" customFormat="1" x14ac:dyDescent="0.25"/>
    <row r="107010" customFormat="1" x14ac:dyDescent="0.25"/>
    <row r="107011" customFormat="1" x14ac:dyDescent="0.25"/>
    <row r="107012" customFormat="1" x14ac:dyDescent="0.25"/>
    <row r="107013" customFormat="1" x14ac:dyDescent="0.25"/>
    <row r="107014" customFormat="1" x14ac:dyDescent="0.25"/>
    <row r="107015" customFormat="1" x14ac:dyDescent="0.25"/>
    <row r="107016" customFormat="1" x14ac:dyDescent="0.25"/>
    <row r="107017" customFormat="1" x14ac:dyDescent="0.25"/>
    <row r="107018" customFormat="1" x14ac:dyDescent="0.25"/>
    <row r="107019" customFormat="1" x14ac:dyDescent="0.25"/>
    <row r="107020" customFormat="1" x14ac:dyDescent="0.25"/>
    <row r="107021" customFormat="1" x14ac:dyDescent="0.25"/>
    <row r="107022" customFormat="1" x14ac:dyDescent="0.25"/>
    <row r="107023" customFormat="1" x14ac:dyDescent="0.25"/>
    <row r="107024" customFormat="1" x14ac:dyDescent="0.25"/>
    <row r="107025" customFormat="1" x14ac:dyDescent="0.25"/>
    <row r="107026" customFormat="1" x14ac:dyDescent="0.25"/>
    <row r="107027" customFormat="1" x14ac:dyDescent="0.25"/>
    <row r="107028" customFormat="1" x14ac:dyDescent="0.25"/>
    <row r="107029" customFormat="1" x14ac:dyDescent="0.25"/>
    <row r="107030" customFormat="1" x14ac:dyDescent="0.25"/>
    <row r="107031" customFormat="1" x14ac:dyDescent="0.25"/>
    <row r="107032" customFormat="1" x14ac:dyDescent="0.25"/>
    <row r="107033" customFormat="1" x14ac:dyDescent="0.25"/>
    <row r="107034" customFormat="1" x14ac:dyDescent="0.25"/>
    <row r="107035" customFormat="1" x14ac:dyDescent="0.25"/>
    <row r="107036" customFormat="1" x14ac:dyDescent="0.25"/>
    <row r="107037" customFormat="1" x14ac:dyDescent="0.25"/>
    <row r="107038" customFormat="1" x14ac:dyDescent="0.25"/>
    <row r="107039" customFormat="1" x14ac:dyDescent="0.25"/>
    <row r="107040" customFormat="1" x14ac:dyDescent="0.25"/>
    <row r="107041" customFormat="1" x14ac:dyDescent="0.25"/>
    <row r="107042" customFormat="1" x14ac:dyDescent="0.25"/>
    <row r="107043" customFormat="1" x14ac:dyDescent="0.25"/>
    <row r="107044" customFormat="1" x14ac:dyDescent="0.25"/>
    <row r="107045" customFormat="1" x14ac:dyDescent="0.25"/>
    <row r="107046" customFormat="1" x14ac:dyDescent="0.25"/>
    <row r="107047" customFormat="1" x14ac:dyDescent="0.25"/>
    <row r="107048" customFormat="1" x14ac:dyDescent="0.25"/>
    <row r="107049" customFormat="1" x14ac:dyDescent="0.25"/>
    <row r="107050" customFormat="1" x14ac:dyDescent="0.25"/>
    <row r="107051" customFormat="1" x14ac:dyDescent="0.25"/>
    <row r="107052" customFormat="1" x14ac:dyDescent="0.25"/>
    <row r="107053" customFormat="1" x14ac:dyDescent="0.25"/>
    <row r="107054" customFormat="1" x14ac:dyDescent="0.25"/>
    <row r="107055" customFormat="1" x14ac:dyDescent="0.25"/>
    <row r="107056" customFormat="1" x14ac:dyDescent="0.25"/>
    <row r="107057" customFormat="1" x14ac:dyDescent="0.25"/>
    <row r="107058" customFormat="1" x14ac:dyDescent="0.25"/>
    <row r="107059" customFormat="1" x14ac:dyDescent="0.25"/>
    <row r="107060" customFormat="1" x14ac:dyDescent="0.25"/>
    <row r="107061" customFormat="1" x14ac:dyDescent="0.25"/>
    <row r="107062" customFormat="1" x14ac:dyDescent="0.25"/>
    <row r="107063" customFormat="1" x14ac:dyDescent="0.25"/>
    <row r="107064" customFormat="1" x14ac:dyDescent="0.25"/>
    <row r="107065" customFormat="1" x14ac:dyDescent="0.25"/>
    <row r="107066" customFormat="1" x14ac:dyDescent="0.25"/>
    <row r="107067" customFormat="1" x14ac:dyDescent="0.25"/>
    <row r="107068" customFormat="1" x14ac:dyDescent="0.25"/>
    <row r="107069" customFormat="1" x14ac:dyDescent="0.25"/>
    <row r="107070" customFormat="1" x14ac:dyDescent="0.25"/>
    <row r="107071" customFormat="1" x14ac:dyDescent="0.25"/>
    <row r="107072" customFormat="1" x14ac:dyDescent="0.25"/>
    <row r="107073" customFormat="1" x14ac:dyDescent="0.25"/>
    <row r="107074" customFormat="1" x14ac:dyDescent="0.25"/>
    <row r="107075" customFormat="1" x14ac:dyDescent="0.25"/>
    <row r="107076" customFormat="1" x14ac:dyDescent="0.25"/>
    <row r="107077" customFormat="1" x14ac:dyDescent="0.25"/>
    <row r="107078" customFormat="1" x14ac:dyDescent="0.25"/>
    <row r="107079" customFormat="1" x14ac:dyDescent="0.25"/>
    <row r="107080" customFormat="1" x14ac:dyDescent="0.25"/>
    <row r="107081" customFormat="1" x14ac:dyDescent="0.25"/>
    <row r="107082" customFormat="1" x14ac:dyDescent="0.25"/>
    <row r="107083" customFormat="1" x14ac:dyDescent="0.25"/>
    <row r="107084" customFormat="1" x14ac:dyDescent="0.25"/>
    <row r="107085" customFormat="1" x14ac:dyDescent="0.25"/>
    <row r="107086" customFormat="1" x14ac:dyDescent="0.25"/>
    <row r="107087" customFormat="1" x14ac:dyDescent="0.25"/>
    <row r="107088" customFormat="1" x14ac:dyDescent="0.25"/>
    <row r="107089" customFormat="1" x14ac:dyDescent="0.25"/>
    <row r="107090" customFormat="1" x14ac:dyDescent="0.25"/>
    <row r="107091" customFormat="1" x14ac:dyDescent="0.25"/>
    <row r="107092" customFormat="1" x14ac:dyDescent="0.25"/>
    <row r="107093" customFormat="1" x14ac:dyDescent="0.25"/>
    <row r="107094" customFormat="1" x14ac:dyDescent="0.25"/>
    <row r="107095" customFormat="1" x14ac:dyDescent="0.25"/>
    <row r="107096" customFormat="1" x14ac:dyDescent="0.25"/>
    <row r="107097" customFormat="1" x14ac:dyDescent="0.25"/>
    <row r="107098" customFormat="1" x14ac:dyDescent="0.25"/>
    <row r="107099" customFormat="1" x14ac:dyDescent="0.25"/>
    <row r="107100" customFormat="1" x14ac:dyDescent="0.25"/>
    <row r="107101" customFormat="1" x14ac:dyDescent="0.25"/>
    <row r="107102" customFormat="1" x14ac:dyDescent="0.25"/>
    <row r="107103" customFormat="1" x14ac:dyDescent="0.25"/>
    <row r="107104" customFormat="1" x14ac:dyDescent="0.25"/>
    <row r="107105" customFormat="1" x14ac:dyDescent="0.25"/>
    <row r="107106" customFormat="1" x14ac:dyDescent="0.25"/>
    <row r="107107" customFormat="1" x14ac:dyDescent="0.25"/>
    <row r="107108" customFormat="1" x14ac:dyDescent="0.25"/>
    <row r="107109" customFormat="1" x14ac:dyDescent="0.25"/>
    <row r="107110" customFormat="1" x14ac:dyDescent="0.25"/>
    <row r="107111" customFormat="1" x14ac:dyDescent="0.25"/>
    <row r="107112" customFormat="1" x14ac:dyDescent="0.25"/>
    <row r="107113" customFormat="1" x14ac:dyDescent="0.25"/>
    <row r="107114" customFormat="1" x14ac:dyDescent="0.25"/>
    <row r="107115" customFormat="1" x14ac:dyDescent="0.25"/>
    <row r="107116" customFormat="1" x14ac:dyDescent="0.25"/>
    <row r="107117" customFormat="1" x14ac:dyDescent="0.25"/>
    <row r="107118" customFormat="1" x14ac:dyDescent="0.25"/>
    <row r="107119" customFormat="1" x14ac:dyDescent="0.25"/>
    <row r="107120" customFormat="1" x14ac:dyDescent="0.25"/>
    <row r="107121" customFormat="1" x14ac:dyDescent="0.25"/>
    <row r="107122" customFormat="1" x14ac:dyDescent="0.25"/>
    <row r="107123" customFormat="1" x14ac:dyDescent="0.25"/>
    <row r="107124" customFormat="1" x14ac:dyDescent="0.25"/>
    <row r="107125" customFormat="1" x14ac:dyDescent="0.25"/>
    <row r="107126" customFormat="1" x14ac:dyDescent="0.25"/>
    <row r="107127" customFormat="1" x14ac:dyDescent="0.25"/>
    <row r="107128" customFormat="1" x14ac:dyDescent="0.25"/>
    <row r="107129" customFormat="1" x14ac:dyDescent="0.25"/>
    <row r="107130" customFormat="1" x14ac:dyDescent="0.25"/>
    <row r="107131" customFormat="1" x14ac:dyDescent="0.25"/>
    <row r="107132" customFormat="1" x14ac:dyDescent="0.25"/>
    <row r="107133" customFormat="1" x14ac:dyDescent="0.25"/>
    <row r="107134" customFormat="1" x14ac:dyDescent="0.25"/>
    <row r="107135" customFormat="1" x14ac:dyDescent="0.25"/>
    <row r="107136" customFormat="1" x14ac:dyDescent="0.25"/>
    <row r="107137" customFormat="1" x14ac:dyDescent="0.25"/>
    <row r="107138" customFormat="1" x14ac:dyDescent="0.25"/>
    <row r="107139" customFormat="1" x14ac:dyDescent="0.25"/>
    <row r="107140" customFormat="1" x14ac:dyDescent="0.25"/>
    <row r="107141" customFormat="1" x14ac:dyDescent="0.25"/>
    <row r="107142" customFormat="1" x14ac:dyDescent="0.25"/>
    <row r="107143" customFormat="1" x14ac:dyDescent="0.25"/>
    <row r="107144" customFormat="1" x14ac:dyDescent="0.25"/>
    <row r="107145" customFormat="1" x14ac:dyDescent="0.25"/>
    <row r="107146" customFormat="1" x14ac:dyDescent="0.25"/>
    <row r="107147" customFormat="1" x14ac:dyDescent="0.25"/>
    <row r="107148" customFormat="1" x14ac:dyDescent="0.25"/>
    <row r="107149" customFormat="1" x14ac:dyDescent="0.25"/>
    <row r="107150" customFormat="1" x14ac:dyDescent="0.25"/>
    <row r="107151" customFormat="1" x14ac:dyDescent="0.25"/>
    <row r="107152" customFormat="1" x14ac:dyDescent="0.25"/>
    <row r="107153" customFormat="1" x14ac:dyDescent="0.25"/>
    <row r="107154" customFormat="1" x14ac:dyDescent="0.25"/>
    <row r="107155" customFormat="1" x14ac:dyDescent="0.25"/>
    <row r="107156" customFormat="1" x14ac:dyDescent="0.25"/>
    <row r="107157" customFormat="1" x14ac:dyDescent="0.25"/>
    <row r="107158" customFormat="1" x14ac:dyDescent="0.25"/>
    <row r="107159" customFormat="1" x14ac:dyDescent="0.25"/>
    <row r="107160" customFormat="1" x14ac:dyDescent="0.25"/>
    <row r="107161" customFormat="1" x14ac:dyDescent="0.25"/>
    <row r="107162" customFormat="1" x14ac:dyDescent="0.25"/>
    <row r="107163" customFormat="1" x14ac:dyDescent="0.25"/>
    <row r="107164" customFormat="1" x14ac:dyDescent="0.25"/>
    <row r="107165" customFormat="1" x14ac:dyDescent="0.25"/>
    <row r="107166" customFormat="1" x14ac:dyDescent="0.25"/>
    <row r="107167" customFormat="1" x14ac:dyDescent="0.25"/>
    <row r="107168" customFormat="1" x14ac:dyDescent="0.25"/>
    <row r="107169" customFormat="1" x14ac:dyDescent="0.25"/>
    <row r="107170" customFormat="1" x14ac:dyDescent="0.25"/>
    <row r="107171" customFormat="1" x14ac:dyDescent="0.25"/>
    <row r="107172" customFormat="1" x14ac:dyDescent="0.25"/>
    <row r="107173" customFormat="1" x14ac:dyDescent="0.25"/>
    <row r="107174" customFormat="1" x14ac:dyDescent="0.25"/>
    <row r="107175" customFormat="1" x14ac:dyDescent="0.25"/>
    <row r="107176" customFormat="1" x14ac:dyDescent="0.25"/>
    <row r="107177" customFormat="1" x14ac:dyDescent="0.25"/>
    <row r="107178" customFormat="1" x14ac:dyDescent="0.25"/>
    <row r="107179" customFormat="1" x14ac:dyDescent="0.25"/>
    <row r="107180" customFormat="1" x14ac:dyDescent="0.25"/>
    <row r="107181" customFormat="1" x14ac:dyDescent="0.25"/>
    <row r="107182" customFormat="1" x14ac:dyDescent="0.25"/>
    <row r="107183" customFormat="1" x14ac:dyDescent="0.25"/>
    <row r="107184" customFormat="1" x14ac:dyDescent="0.25"/>
    <row r="107185" customFormat="1" x14ac:dyDescent="0.25"/>
    <row r="107186" customFormat="1" x14ac:dyDescent="0.25"/>
    <row r="107187" customFormat="1" x14ac:dyDescent="0.25"/>
    <row r="107188" customFormat="1" x14ac:dyDescent="0.25"/>
    <row r="107189" customFormat="1" x14ac:dyDescent="0.25"/>
    <row r="107190" customFormat="1" x14ac:dyDescent="0.25"/>
    <row r="107191" customFormat="1" x14ac:dyDescent="0.25"/>
    <row r="107192" customFormat="1" x14ac:dyDescent="0.25"/>
    <row r="107193" customFormat="1" x14ac:dyDescent="0.25"/>
    <row r="107194" customFormat="1" x14ac:dyDescent="0.25"/>
    <row r="107195" customFormat="1" x14ac:dyDescent="0.25"/>
    <row r="107196" customFormat="1" x14ac:dyDescent="0.25"/>
    <row r="107197" customFormat="1" x14ac:dyDescent="0.25"/>
    <row r="107198" customFormat="1" x14ac:dyDescent="0.25"/>
    <row r="107199" customFormat="1" x14ac:dyDescent="0.25"/>
    <row r="107200" customFormat="1" x14ac:dyDescent="0.25"/>
    <row r="107201" customFormat="1" x14ac:dyDescent="0.25"/>
    <row r="107202" customFormat="1" x14ac:dyDescent="0.25"/>
    <row r="107203" customFormat="1" x14ac:dyDescent="0.25"/>
    <row r="107204" customFormat="1" x14ac:dyDescent="0.25"/>
    <row r="107205" customFormat="1" x14ac:dyDescent="0.25"/>
    <row r="107206" customFormat="1" x14ac:dyDescent="0.25"/>
    <row r="107207" customFormat="1" x14ac:dyDescent="0.25"/>
    <row r="107208" customFormat="1" x14ac:dyDescent="0.25"/>
    <row r="107209" customFormat="1" x14ac:dyDescent="0.25"/>
    <row r="107210" customFormat="1" x14ac:dyDescent="0.25"/>
    <row r="107211" customFormat="1" x14ac:dyDescent="0.25"/>
    <row r="107212" customFormat="1" x14ac:dyDescent="0.25"/>
    <row r="107213" customFormat="1" x14ac:dyDescent="0.25"/>
    <row r="107214" customFormat="1" x14ac:dyDescent="0.25"/>
    <row r="107215" customFormat="1" x14ac:dyDescent="0.25"/>
    <row r="107216" customFormat="1" x14ac:dyDescent="0.25"/>
    <row r="107217" customFormat="1" x14ac:dyDescent="0.25"/>
    <row r="107218" customFormat="1" x14ac:dyDescent="0.25"/>
    <row r="107219" customFormat="1" x14ac:dyDescent="0.25"/>
    <row r="107220" customFormat="1" x14ac:dyDescent="0.25"/>
    <row r="107221" customFormat="1" x14ac:dyDescent="0.25"/>
    <row r="107222" customFormat="1" x14ac:dyDescent="0.25"/>
    <row r="107223" customFormat="1" x14ac:dyDescent="0.25"/>
    <row r="107224" customFormat="1" x14ac:dyDescent="0.25"/>
    <row r="107225" customFormat="1" x14ac:dyDescent="0.25"/>
    <row r="107226" customFormat="1" x14ac:dyDescent="0.25"/>
    <row r="107227" customFormat="1" x14ac:dyDescent="0.25"/>
    <row r="107228" customFormat="1" x14ac:dyDescent="0.25"/>
    <row r="107229" customFormat="1" x14ac:dyDescent="0.25"/>
    <row r="107230" customFormat="1" x14ac:dyDescent="0.25"/>
    <row r="107231" customFormat="1" x14ac:dyDescent="0.25"/>
    <row r="107232" customFormat="1" x14ac:dyDescent="0.25"/>
    <row r="107233" customFormat="1" x14ac:dyDescent="0.25"/>
    <row r="107234" customFormat="1" x14ac:dyDescent="0.25"/>
    <row r="107235" customFormat="1" x14ac:dyDescent="0.25"/>
    <row r="107236" customFormat="1" x14ac:dyDescent="0.25"/>
    <row r="107237" customFormat="1" x14ac:dyDescent="0.25"/>
    <row r="107238" customFormat="1" x14ac:dyDescent="0.25"/>
    <row r="107239" customFormat="1" x14ac:dyDescent="0.25"/>
    <row r="107240" customFormat="1" x14ac:dyDescent="0.25"/>
    <row r="107241" customFormat="1" x14ac:dyDescent="0.25"/>
    <row r="107242" customFormat="1" x14ac:dyDescent="0.25"/>
    <row r="107243" customFormat="1" x14ac:dyDescent="0.25"/>
    <row r="107244" customFormat="1" x14ac:dyDescent="0.25"/>
    <row r="107245" customFormat="1" x14ac:dyDescent="0.25"/>
    <row r="107246" customFormat="1" x14ac:dyDescent="0.25"/>
    <row r="107247" customFormat="1" x14ac:dyDescent="0.25"/>
    <row r="107248" customFormat="1" x14ac:dyDescent="0.25"/>
    <row r="107249" customFormat="1" x14ac:dyDescent="0.25"/>
    <row r="107250" customFormat="1" x14ac:dyDescent="0.25"/>
    <row r="107251" customFormat="1" x14ac:dyDescent="0.25"/>
    <row r="107252" customFormat="1" x14ac:dyDescent="0.25"/>
    <row r="107253" customFormat="1" x14ac:dyDescent="0.25"/>
    <row r="107254" customFormat="1" x14ac:dyDescent="0.25"/>
    <row r="107255" customFormat="1" x14ac:dyDescent="0.25"/>
    <row r="107256" customFormat="1" x14ac:dyDescent="0.25"/>
    <row r="107257" customFormat="1" x14ac:dyDescent="0.25"/>
    <row r="107258" customFormat="1" x14ac:dyDescent="0.25"/>
    <row r="107259" customFormat="1" x14ac:dyDescent="0.25"/>
    <row r="107260" customFormat="1" x14ac:dyDescent="0.25"/>
    <row r="107261" customFormat="1" x14ac:dyDescent="0.25"/>
    <row r="107262" customFormat="1" x14ac:dyDescent="0.25"/>
    <row r="107263" customFormat="1" x14ac:dyDescent="0.25"/>
    <row r="107264" customFormat="1" x14ac:dyDescent="0.25"/>
    <row r="107265" customFormat="1" x14ac:dyDescent="0.25"/>
    <row r="107266" customFormat="1" x14ac:dyDescent="0.25"/>
    <row r="107267" customFormat="1" x14ac:dyDescent="0.25"/>
    <row r="107268" customFormat="1" x14ac:dyDescent="0.25"/>
    <row r="107269" customFormat="1" x14ac:dyDescent="0.25"/>
    <row r="107270" customFormat="1" x14ac:dyDescent="0.25"/>
    <row r="107271" customFormat="1" x14ac:dyDescent="0.25"/>
    <row r="107272" customFormat="1" x14ac:dyDescent="0.25"/>
    <row r="107273" customFormat="1" x14ac:dyDescent="0.25"/>
    <row r="107274" customFormat="1" x14ac:dyDescent="0.25"/>
    <row r="107275" customFormat="1" x14ac:dyDescent="0.25"/>
    <row r="107276" customFormat="1" x14ac:dyDescent="0.25"/>
    <row r="107277" customFormat="1" x14ac:dyDescent="0.25"/>
    <row r="107278" customFormat="1" x14ac:dyDescent="0.25"/>
    <row r="107279" customFormat="1" x14ac:dyDescent="0.25"/>
    <row r="107280" customFormat="1" x14ac:dyDescent="0.25"/>
    <row r="107281" customFormat="1" x14ac:dyDescent="0.25"/>
    <row r="107282" customFormat="1" x14ac:dyDescent="0.25"/>
    <row r="107283" customFormat="1" x14ac:dyDescent="0.25"/>
    <row r="107284" customFormat="1" x14ac:dyDescent="0.25"/>
    <row r="107285" customFormat="1" x14ac:dyDescent="0.25"/>
    <row r="107286" customFormat="1" x14ac:dyDescent="0.25"/>
    <row r="107287" customFormat="1" x14ac:dyDescent="0.25"/>
    <row r="107288" customFormat="1" x14ac:dyDescent="0.25"/>
    <row r="107289" customFormat="1" x14ac:dyDescent="0.25"/>
    <row r="107290" customFormat="1" x14ac:dyDescent="0.25"/>
    <row r="107291" customFormat="1" x14ac:dyDescent="0.25"/>
    <row r="107292" customFormat="1" x14ac:dyDescent="0.25"/>
    <row r="107293" customFormat="1" x14ac:dyDescent="0.25"/>
    <row r="107294" customFormat="1" x14ac:dyDescent="0.25"/>
    <row r="107295" customFormat="1" x14ac:dyDescent="0.25"/>
    <row r="107296" customFormat="1" x14ac:dyDescent="0.25"/>
    <row r="107297" customFormat="1" x14ac:dyDescent="0.25"/>
    <row r="107298" customFormat="1" x14ac:dyDescent="0.25"/>
    <row r="107299" customFormat="1" x14ac:dyDescent="0.25"/>
    <row r="107300" customFormat="1" x14ac:dyDescent="0.25"/>
    <row r="107301" customFormat="1" x14ac:dyDescent="0.25"/>
    <row r="107302" customFormat="1" x14ac:dyDescent="0.25"/>
    <row r="107303" customFormat="1" x14ac:dyDescent="0.25"/>
    <row r="107304" customFormat="1" x14ac:dyDescent="0.25"/>
    <row r="107305" customFormat="1" x14ac:dyDescent="0.25"/>
    <row r="107306" customFormat="1" x14ac:dyDescent="0.25"/>
    <row r="107307" customFormat="1" x14ac:dyDescent="0.25"/>
    <row r="107308" customFormat="1" x14ac:dyDescent="0.25"/>
    <row r="107309" customFormat="1" x14ac:dyDescent="0.25"/>
    <row r="107310" customFormat="1" x14ac:dyDescent="0.25"/>
    <row r="107311" customFormat="1" x14ac:dyDescent="0.25"/>
    <row r="107312" customFormat="1" x14ac:dyDescent="0.25"/>
    <row r="107313" customFormat="1" x14ac:dyDescent="0.25"/>
    <row r="107314" customFormat="1" x14ac:dyDescent="0.25"/>
    <row r="107315" customFormat="1" x14ac:dyDescent="0.25"/>
    <row r="107316" customFormat="1" x14ac:dyDescent="0.25"/>
    <row r="107317" customFormat="1" x14ac:dyDescent="0.25"/>
    <row r="107318" customFormat="1" x14ac:dyDescent="0.25"/>
    <row r="107319" customFormat="1" x14ac:dyDescent="0.25"/>
    <row r="107320" customFormat="1" x14ac:dyDescent="0.25"/>
    <row r="107321" customFormat="1" x14ac:dyDescent="0.25"/>
    <row r="107322" customFormat="1" x14ac:dyDescent="0.25"/>
    <row r="107323" customFormat="1" x14ac:dyDescent="0.25"/>
    <row r="107324" customFormat="1" x14ac:dyDescent="0.25"/>
    <row r="107325" customFormat="1" x14ac:dyDescent="0.25"/>
    <row r="107326" customFormat="1" x14ac:dyDescent="0.25"/>
    <row r="107327" customFormat="1" x14ac:dyDescent="0.25"/>
    <row r="107328" customFormat="1" x14ac:dyDescent="0.25"/>
    <row r="107329" customFormat="1" x14ac:dyDescent="0.25"/>
    <row r="107330" customFormat="1" x14ac:dyDescent="0.25"/>
    <row r="107331" customFormat="1" x14ac:dyDescent="0.25"/>
    <row r="107332" customFormat="1" x14ac:dyDescent="0.25"/>
    <row r="107333" customFormat="1" x14ac:dyDescent="0.25"/>
    <row r="107334" customFormat="1" x14ac:dyDescent="0.25"/>
    <row r="107335" customFormat="1" x14ac:dyDescent="0.25"/>
    <row r="107336" customFormat="1" x14ac:dyDescent="0.25"/>
    <row r="107337" customFormat="1" x14ac:dyDescent="0.25"/>
    <row r="107338" customFormat="1" x14ac:dyDescent="0.25"/>
    <row r="107339" customFormat="1" x14ac:dyDescent="0.25"/>
    <row r="107340" customFormat="1" x14ac:dyDescent="0.25"/>
    <row r="107341" customFormat="1" x14ac:dyDescent="0.25"/>
    <row r="107342" customFormat="1" x14ac:dyDescent="0.25"/>
    <row r="107343" customFormat="1" x14ac:dyDescent="0.25"/>
    <row r="107344" customFormat="1" x14ac:dyDescent="0.25"/>
    <row r="107345" customFormat="1" x14ac:dyDescent="0.25"/>
    <row r="107346" customFormat="1" x14ac:dyDescent="0.25"/>
    <row r="107347" customFormat="1" x14ac:dyDescent="0.25"/>
    <row r="107348" customFormat="1" x14ac:dyDescent="0.25"/>
    <row r="107349" customFormat="1" x14ac:dyDescent="0.25"/>
    <row r="107350" customFormat="1" x14ac:dyDescent="0.25"/>
    <row r="107351" customFormat="1" x14ac:dyDescent="0.25"/>
    <row r="107352" customFormat="1" x14ac:dyDescent="0.25"/>
    <row r="107353" customFormat="1" x14ac:dyDescent="0.25"/>
    <row r="107354" customFormat="1" x14ac:dyDescent="0.25"/>
    <row r="107355" customFormat="1" x14ac:dyDescent="0.25"/>
    <row r="107356" customFormat="1" x14ac:dyDescent="0.25"/>
    <row r="107357" customFormat="1" x14ac:dyDescent="0.25"/>
    <row r="107358" customFormat="1" x14ac:dyDescent="0.25"/>
    <row r="107359" customFormat="1" x14ac:dyDescent="0.25"/>
    <row r="107360" customFormat="1" x14ac:dyDescent="0.25"/>
    <row r="107361" customFormat="1" x14ac:dyDescent="0.25"/>
    <row r="107362" customFormat="1" x14ac:dyDescent="0.25"/>
    <row r="107363" customFormat="1" x14ac:dyDescent="0.25"/>
    <row r="107364" customFormat="1" x14ac:dyDescent="0.25"/>
    <row r="107365" customFormat="1" x14ac:dyDescent="0.25"/>
    <row r="107366" customFormat="1" x14ac:dyDescent="0.25"/>
    <row r="107367" customFormat="1" x14ac:dyDescent="0.25"/>
    <row r="107368" customFormat="1" x14ac:dyDescent="0.25"/>
    <row r="107369" customFormat="1" x14ac:dyDescent="0.25"/>
    <row r="107370" customFormat="1" x14ac:dyDescent="0.25"/>
    <row r="107371" customFormat="1" x14ac:dyDescent="0.25"/>
    <row r="107372" customFormat="1" x14ac:dyDescent="0.25"/>
    <row r="107373" customFormat="1" x14ac:dyDescent="0.25"/>
    <row r="107374" customFormat="1" x14ac:dyDescent="0.25"/>
    <row r="107375" customFormat="1" x14ac:dyDescent="0.25"/>
    <row r="107376" customFormat="1" x14ac:dyDescent="0.25"/>
    <row r="107377" customFormat="1" x14ac:dyDescent="0.25"/>
    <row r="107378" customFormat="1" x14ac:dyDescent="0.25"/>
    <row r="107379" customFormat="1" x14ac:dyDescent="0.25"/>
    <row r="107380" customFormat="1" x14ac:dyDescent="0.25"/>
    <row r="107381" customFormat="1" x14ac:dyDescent="0.25"/>
    <row r="107382" customFormat="1" x14ac:dyDescent="0.25"/>
    <row r="107383" customFormat="1" x14ac:dyDescent="0.25"/>
    <row r="107384" customFormat="1" x14ac:dyDescent="0.25"/>
    <row r="107385" customFormat="1" x14ac:dyDescent="0.25"/>
    <row r="107386" customFormat="1" x14ac:dyDescent="0.25"/>
    <row r="107387" customFormat="1" x14ac:dyDescent="0.25"/>
    <row r="107388" customFormat="1" x14ac:dyDescent="0.25"/>
    <row r="107389" customFormat="1" x14ac:dyDescent="0.25"/>
    <row r="107390" customFormat="1" x14ac:dyDescent="0.25"/>
    <row r="107391" customFormat="1" x14ac:dyDescent="0.25"/>
    <row r="107392" customFormat="1" x14ac:dyDescent="0.25"/>
    <row r="107393" customFormat="1" x14ac:dyDescent="0.25"/>
    <row r="107394" customFormat="1" x14ac:dyDescent="0.25"/>
    <row r="107395" customFormat="1" x14ac:dyDescent="0.25"/>
    <row r="107396" customFormat="1" x14ac:dyDescent="0.25"/>
    <row r="107397" customFormat="1" x14ac:dyDescent="0.25"/>
    <row r="107398" customFormat="1" x14ac:dyDescent="0.25"/>
    <row r="107399" customFormat="1" x14ac:dyDescent="0.25"/>
    <row r="107400" customFormat="1" x14ac:dyDescent="0.25"/>
    <row r="107401" customFormat="1" x14ac:dyDescent="0.25"/>
    <row r="107402" customFormat="1" x14ac:dyDescent="0.25"/>
    <row r="107403" customFormat="1" x14ac:dyDescent="0.25"/>
    <row r="107404" customFormat="1" x14ac:dyDescent="0.25"/>
    <row r="107405" customFormat="1" x14ac:dyDescent="0.25"/>
    <row r="107406" customFormat="1" x14ac:dyDescent="0.25"/>
    <row r="107407" customFormat="1" x14ac:dyDescent="0.25"/>
    <row r="107408" customFormat="1" x14ac:dyDescent="0.25"/>
    <row r="107409" customFormat="1" x14ac:dyDescent="0.25"/>
    <row r="107410" customFormat="1" x14ac:dyDescent="0.25"/>
    <row r="107411" customFormat="1" x14ac:dyDescent="0.25"/>
    <row r="107412" customFormat="1" x14ac:dyDescent="0.25"/>
    <row r="107413" customFormat="1" x14ac:dyDescent="0.25"/>
    <row r="107414" customFormat="1" x14ac:dyDescent="0.25"/>
    <row r="107415" customFormat="1" x14ac:dyDescent="0.25"/>
    <row r="107416" customFormat="1" x14ac:dyDescent="0.25"/>
    <row r="107417" customFormat="1" x14ac:dyDescent="0.25"/>
    <row r="107418" customFormat="1" x14ac:dyDescent="0.25"/>
    <row r="107419" customFormat="1" x14ac:dyDescent="0.25"/>
    <row r="107420" customFormat="1" x14ac:dyDescent="0.25"/>
    <row r="107421" customFormat="1" x14ac:dyDescent="0.25"/>
    <row r="107422" customFormat="1" x14ac:dyDescent="0.25"/>
    <row r="107423" customFormat="1" x14ac:dyDescent="0.25"/>
    <row r="107424" customFormat="1" x14ac:dyDescent="0.25"/>
    <row r="107425" customFormat="1" x14ac:dyDescent="0.25"/>
    <row r="107426" customFormat="1" x14ac:dyDescent="0.25"/>
    <row r="107427" customFormat="1" x14ac:dyDescent="0.25"/>
    <row r="107428" customFormat="1" x14ac:dyDescent="0.25"/>
    <row r="107429" customFormat="1" x14ac:dyDescent="0.25"/>
    <row r="107430" customFormat="1" x14ac:dyDescent="0.25"/>
    <row r="107431" customFormat="1" x14ac:dyDescent="0.25"/>
    <row r="107432" customFormat="1" x14ac:dyDescent="0.25"/>
    <row r="107433" customFormat="1" x14ac:dyDescent="0.25"/>
    <row r="107434" customFormat="1" x14ac:dyDescent="0.25"/>
    <row r="107435" customFormat="1" x14ac:dyDescent="0.25"/>
    <row r="107436" customFormat="1" x14ac:dyDescent="0.25"/>
    <row r="107437" customFormat="1" x14ac:dyDescent="0.25"/>
    <row r="107438" customFormat="1" x14ac:dyDescent="0.25"/>
    <row r="107439" customFormat="1" x14ac:dyDescent="0.25"/>
    <row r="107440" customFormat="1" x14ac:dyDescent="0.25"/>
    <row r="107441" customFormat="1" x14ac:dyDescent="0.25"/>
    <row r="107442" customFormat="1" x14ac:dyDescent="0.25"/>
    <row r="107443" customFormat="1" x14ac:dyDescent="0.25"/>
    <row r="107444" customFormat="1" x14ac:dyDescent="0.25"/>
    <row r="107445" customFormat="1" x14ac:dyDescent="0.25"/>
    <row r="107446" customFormat="1" x14ac:dyDescent="0.25"/>
    <row r="107447" customFormat="1" x14ac:dyDescent="0.25"/>
    <row r="107448" customFormat="1" x14ac:dyDescent="0.25"/>
    <row r="107449" customFormat="1" x14ac:dyDescent="0.25"/>
    <row r="107450" customFormat="1" x14ac:dyDescent="0.25"/>
    <row r="107451" customFormat="1" x14ac:dyDescent="0.25"/>
    <row r="107452" customFormat="1" x14ac:dyDescent="0.25"/>
    <row r="107453" customFormat="1" x14ac:dyDescent="0.25"/>
    <row r="107454" customFormat="1" x14ac:dyDescent="0.25"/>
    <row r="107455" customFormat="1" x14ac:dyDescent="0.25"/>
    <row r="107456" customFormat="1" x14ac:dyDescent="0.25"/>
    <row r="107457" customFormat="1" x14ac:dyDescent="0.25"/>
    <row r="107458" customFormat="1" x14ac:dyDescent="0.25"/>
    <row r="107459" customFormat="1" x14ac:dyDescent="0.25"/>
    <row r="107460" customFormat="1" x14ac:dyDescent="0.25"/>
    <row r="107461" customFormat="1" x14ac:dyDescent="0.25"/>
    <row r="107462" customFormat="1" x14ac:dyDescent="0.25"/>
    <row r="107463" customFormat="1" x14ac:dyDescent="0.25"/>
    <row r="107464" customFormat="1" x14ac:dyDescent="0.25"/>
    <row r="107465" customFormat="1" x14ac:dyDescent="0.25"/>
    <row r="107466" customFormat="1" x14ac:dyDescent="0.25"/>
    <row r="107467" customFormat="1" x14ac:dyDescent="0.25"/>
    <row r="107468" customFormat="1" x14ac:dyDescent="0.25"/>
    <row r="107469" customFormat="1" x14ac:dyDescent="0.25"/>
    <row r="107470" customFormat="1" x14ac:dyDescent="0.25"/>
    <row r="107471" customFormat="1" x14ac:dyDescent="0.25"/>
    <row r="107472" customFormat="1" x14ac:dyDescent="0.25"/>
    <row r="107473" customFormat="1" x14ac:dyDescent="0.25"/>
    <row r="107474" customFormat="1" x14ac:dyDescent="0.25"/>
    <row r="107475" customFormat="1" x14ac:dyDescent="0.25"/>
    <row r="107476" customFormat="1" x14ac:dyDescent="0.25"/>
    <row r="107477" customFormat="1" x14ac:dyDescent="0.25"/>
    <row r="107478" customFormat="1" x14ac:dyDescent="0.25"/>
    <row r="107479" customFormat="1" x14ac:dyDescent="0.25"/>
    <row r="107480" customFormat="1" x14ac:dyDescent="0.25"/>
    <row r="107481" customFormat="1" x14ac:dyDescent="0.25"/>
    <row r="107482" customFormat="1" x14ac:dyDescent="0.25"/>
    <row r="107483" customFormat="1" x14ac:dyDescent="0.25"/>
    <row r="107484" customFormat="1" x14ac:dyDescent="0.25"/>
    <row r="107485" customFormat="1" x14ac:dyDescent="0.25"/>
    <row r="107486" customFormat="1" x14ac:dyDescent="0.25"/>
    <row r="107487" customFormat="1" x14ac:dyDescent="0.25"/>
    <row r="107488" customFormat="1" x14ac:dyDescent="0.25"/>
    <row r="107489" customFormat="1" x14ac:dyDescent="0.25"/>
    <row r="107490" customFormat="1" x14ac:dyDescent="0.25"/>
    <row r="107491" customFormat="1" x14ac:dyDescent="0.25"/>
    <row r="107492" customFormat="1" x14ac:dyDescent="0.25"/>
    <row r="107493" customFormat="1" x14ac:dyDescent="0.25"/>
    <row r="107494" customFormat="1" x14ac:dyDescent="0.25"/>
    <row r="107495" customFormat="1" x14ac:dyDescent="0.25"/>
    <row r="107496" customFormat="1" x14ac:dyDescent="0.25"/>
    <row r="107497" customFormat="1" x14ac:dyDescent="0.25"/>
    <row r="107498" customFormat="1" x14ac:dyDescent="0.25"/>
    <row r="107499" customFormat="1" x14ac:dyDescent="0.25"/>
    <row r="107500" customFormat="1" x14ac:dyDescent="0.25"/>
    <row r="107501" customFormat="1" x14ac:dyDescent="0.25"/>
    <row r="107502" customFormat="1" x14ac:dyDescent="0.25"/>
    <row r="107503" customFormat="1" x14ac:dyDescent="0.25"/>
    <row r="107504" customFormat="1" x14ac:dyDescent="0.25"/>
    <row r="107505" customFormat="1" x14ac:dyDescent="0.25"/>
    <row r="107506" customFormat="1" x14ac:dyDescent="0.25"/>
    <row r="107507" customFormat="1" x14ac:dyDescent="0.25"/>
    <row r="107508" customFormat="1" x14ac:dyDescent="0.25"/>
    <row r="107509" customFormat="1" x14ac:dyDescent="0.25"/>
    <row r="107510" customFormat="1" x14ac:dyDescent="0.25"/>
    <row r="107511" customFormat="1" x14ac:dyDescent="0.25"/>
    <row r="107512" customFormat="1" x14ac:dyDescent="0.25"/>
    <row r="107513" customFormat="1" x14ac:dyDescent="0.25"/>
    <row r="107514" customFormat="1" x14ac:dyDescent="0.25"/>
    <row r="107515" customFormat="1" x14ac:dyDescent="0.25"/>
    <row r="107516" customFormat="1" x14ac:dyDescent="0.25"/>
    <row r="107517" customFormat="1" x14ac:dyDescent="0.25"/>
    <row r="107518" customFormat="1" x14ac:dyDescent="0.25"/>
    <row r="107519" customFormat="1" x14ac:dyDescent="0.25"/>
    <row r="107520" customFormat="1" x14ac:dyDescent="0.25"/>
    <row r="107521" customFormat="1" x14ac:dyDescent="0.25"/>
    <row r="107522" customFormat="1" x14ac:dyDescent="0.25"/>
    <row r="107523" customFormat="1" x14ac:dyDescent="0.25"/>
    <row r="107524" customFormat="1" x14ac:dyDescent="0.25"/>
    <row r="107525" customFormat="1" x14ac:dyDescent="0.25"/>
    <row r="107526" customFormat="1" x14ac:dyDescent="0.25"/>
    <row r="107527" customFormat="1" x14ac:dyDescent="0.25"/>
    <row r="107528" customFormat="1" x14ac:dyDescent="0.25"/>
    <row r="107529" customFormat="1" x14ac:dyDescent="0.25"/>
    <row r="107530" customFormat="1" x14ac:dyDescent="0.25"/>
    <row r="107531" customFormat="1" x14ac:dyDescent="0.25"/>
    <row r="107532" customFormat="1" x14ac:dyDescent="0.25"/>
    <row r="107533" customFormat="1" x14ac:dyDescent="0.25"/>
    <row r="107534" customFormat="1" x14ac:dyDescent="0.25"/>
    <row r="107535" customFormat="1" x14ac:dyDescent="0.25"/>
    <row r="107536" customFormat="1" x14ac:dyDescent="0.25"/>
    <row r="107537" customFormat="1" x14ac:dyDescent="0.25"/>
    <row r="107538" customFormat="1" x14ac:dyDescent="0.25"/>
    <row r="107539" customFormat="1" x14ac:dyDescent="0.25"/>
    <row r="107540" customFormat="1" x14ac:dyDescent="0.25"/>
    <row r="107541" customFormat="1" x14ac:dyDescent="0.25"/>
    <row r="107542" customFormat="1" x14ac:dyDescent="0.25"/>
    <row r="107543" customFormat="1" x14ac:dyDescent="0.25"/>
    <row r="107544" customFormat="1" x14ac:dyDescent="0.25"/>
    <row r="107545" customFormat="1" x14ac:dyDescent="0.25"/>
    <row r="107546" customFormat="1" x14ac:dyDescent="0.25"/>
    <row r="107547" customFormat="1" x14ac:dyDescent="0.25"/>
    <row r="107548" customFormat="1" x14ac:dyDescent="0.25"/>
    <row r="107549" customFormat="1" x14ac:dyDescent="0.25"/>
    <row r="107550" customFormat="1" x14ac:dyDescent="0.25"/>
    <row r="107551" customFormat="1" x14ac:dyDescent="0.25"/>
    <row r="107552" customFormat="1" x14ac:dyDescent="0.25"/>
    <row r="107553" customFormat="1" x14ac:dyDescent="0.25"/>
    <row r="107554" customFormat="1" x14ac:dyDescent="0.25"/>
    <row r="107555" customFormat="1" x14ac:dyDescent="0.25"/>
    <row r="107556" customFormat="1" x14ac:dyDescent="0.25"/>
    <row r="107557" customFormat="1" x14ac:dyDescent="0.25"/>
    <row r="107558" customFormat="1" x14ac:dyDescent="0.25"/>
    <row r="107559" customFormat="1" x14ac:dyDescent="0.25"/>
    <row r="107560" customFormat="1" x14ac:dyDescent="0.25"/>
    <row r="107561" customFormat="1" x14ac:dyDescent="0.25"/>
    <row r="107562" customFormat="1" x14ac:dyDescent="0.25"/>
    <row r="107563" customFormat="1" x14ac:dyDescent="0.25"/>
    <row r="107564" customFormat="1" x14ac:dyDescent="0.25"/>
    <row r="107565" customFormat="1" x14ac:dyDescent="0.25"/>
    <row r="107566" customFormat="1" x14ac:dyDescent="0.25"/>
    <row r="107567" customFormat="1" x14ac:dyDescent="0.25"/>
    <row r="107568" customFormat="1" x14ac:dyDescent="0.25"/>
    <row r="107569" customFormat="1" x14ac:dyDescent="0.25"/>
    <row r="107570" customFormat="1" x14ac:dyDescent="0.25"/>
    <row r="107571" customFormat="1" x14ac:dyDescent="0.25"/>
    <row r="107572" customFormat="1" x14ac:dyDescent="0.25"/>
    <row r="107573" customFormat="1" x14ac:dyDescent="0.25"/>
    <row r="107574" customFormat="1" x14ac:dyDescent="0.25"/>
    <row r="107575" customFormat="1" x14ac:dyDescent="0.25"/>
    <row r="107576" customFormat="1" x14ac:dyDescent="0.25"/>
    <row r="107577" customFormat="1" x14ac:dyDescent="0.25"/>
    <row r="107578" customFormat="1" x14ac:dyDescent="0.25"/>
    <row r="107579" customFormat="1" x14ac:dyDescent="0.25"/>
    <row r="107580" customFormat="1" x14ac:dyDescent="0.25"/>
    <row r="107581" customFormat="1" x14ac:dyDescent="0.25"/>
    <row r="107582" customFormat="1" x14ac:dyDescent="0.25"/>
    <row r="107583" customFormat="1" x14ac:dyDescent="0.25"/>
    <row r="107584" customFormat="1" x14ac:dyDescent="0.25"/>
    <row r="107585" customFormat="1" x14ac:dyDescent="0.25"/>
    <row r="107586" customFormat="1" x14ac:dyDescent="0.25"/>
    <row r="107587" customFormat="1" x14ac:dyDescent="0.25"/>
    <row r="107588" customFormat="1" x14ac:dyDescent="0.25"/>
    <row r="107589" customFormat="1" x14ac:dyDescent="0.25"/>
    <row r="107590" customFormat="1" x14ac:dyDescent="0.25"/>
    <row r="107591" customFormat="1" x14ac:dyDescent="0.25"/>
    <row r="107592" customFormat="1" x14ac:dyDescent="0.25"/>
    <row r="107593" customFormat="1" x14ac:dyDescent="0.25"/>
    <row r="107594" customFormat="1" x14ac:dyDescent="0.25"/>
    <row r="107595" customFormat="1" x14ac:dyDescent="0.25"/>
    <row r="107596" customFormat="1" x14ac:dyDescent="0.25"/>
    <row r="107597" customFormat="1" x14ac:dyDescent="0.25"/>
    <row r="107598" customFormat="1" x14ac:dyDescent="0.25"/>
    <row r="107599" customFormat="1" x14ac:dyDescent="0.25"/>
    <row r="107600" customFormat="1" x14ac:dyDescent="0.25"/>
    <row r="107601" customFormat="1" x14ac:dyDescent="0.25"/>
    <row r="107602" customFormat="1" x14ac:dyDescent="0.25"/>
    <row r="107603" customFormat="1" x14ac:dyDescent="0.25"/>
    <row r="107604" customFormat="1" x14ac:dyDescent="0.25"/>
    <row r="107605" customFormat="1" x14ac:dyDescent="0.25"/>
    <row r="107606" customFormat="1" x14ac:dyDescent="0.25"/>
    <row r="107607" customFormat="1" x14ac:dyDescent="0.25"/>
    <row r="107608" customFormat="1" x14ac:dyDescent="0.25"/>
    <row r="107609" customFormat="1" x14ac:dyDescent="0.25"/>
    <row r="107610" customFormat="1" x14ac:dyDescent="0.25"/>
    <row r="107611" customFormat="1" x14ac:dyDescent="0.25"/>
    <row r="107612" customFormat="1" x14ac:dyDescent="0.25"/>
    <row r="107613" customFormat="1" x14ac:dyDescent="0.25"/>
    <row r="107614" customFormat="1" x14ac:dyDescent="0.25"/>
    <row r="107615" customFormat="1" x14ac:dyDescent="0.25"/>
    <row r="107616" customFormat="1" x14ac:dyDescent="0.25"/>
    <row r="107617" customFormat="1" x14ac:dyDescent="0.25"/>
    <row r="107618" customFormat="1" x14ac:dyDescent="0.25"/>
    <row r="107619" customFormat="1" x14ac:dyDescent="0.25"/>
    <row r="107620" customFormat="1" x14ac:dyDescent="0.25"/>
    <row r="107621" customFormat="1" x14ac:dyDescent="0.25"/>
    <row r="107622" customFormat="1" x14ac:dyDescent="0.25"/>
    <row r="107623" customFormat="1" x14ac:dyDescent="0.25"/>
    <row r="107624" customFormat="1" x14ac:dyDescent="0.25"/>
    <row r="107625" customFormat="1" x14ac:dyDescent="0.25"/>
    <row r="107626" customFormat="1" x14ac:dyDescent="0.25"/>
    <row r="107627" customFormat="1" x14ac:dyDescent="0.25"/>
    <row r="107628" customFormat="1" x14ac:dyDescent="0.25"/>
    <row r="107629" customFormat="1" x14ac:dyDescent="0.25"/>
    <row r="107630" customFormat="1" x14ac:dyDescent="0.25"/>
    <row r="107631" customFormat="1" x14ac:dyDescent="0.25"/>
    <row r="107632" customFormat="1" x14ac:dyDescent="0.25"/>
    <row r="107633" customFormat="1" x14ac:dyDescent="0.25"/>
    <row r="107634" customFormat="1" x14ac:dyDescent="0.25"/>
    <row r="107635" customFormat="1" x14ac:dyDescent="0.25"/>
    <row r="107636" customFormat="1" x14ac:dyDescent="0.25"/>
    <row r="107637" customFormat="1" x14ac:dyDescent="0.25"/>
    <row r="107638" customFormat="1" x14ac:dyDescent="0.25"/>
    <row r="107639" customFormat="1" x14ac:dyDescent="0.25"/>
    <row r="107640" customFormat="1" x14ac:dyDescent="0.25"/>
    <row r="107641" customFormat="1" x14ac:dyDescent="0.25"/>
    <row r="107642" customFormat="1" x14ac:dyDescent="0.25"/>
    <row r="107643" customFormat="1" x14ac:dyDescent="0.25"/>
    <row r="107644" customFormat="1" x14ac:dyDescent="0.25"/>
    <row r="107645" customFormat="1" x14ac:dyDescent="0.25"/>
    <row r="107646" customFormat="1" x14ac:dyDescent="0.25"/>
    <row r="107647" customFormat="1" x14ac:dyDescent="0.25"/>
    <row r="107648" customFormat="1" x14ac:dyDescent="0.25"/>
    <row r="107649" customFormat="1" x14ac:dyDescent="0.25"/>
    <row r="107650" customFormat="1" x14ac:dyDescent="0.25"/>
    <row r="107651" customFormat="1" x14ac:dyDescent="0.25"/>
    <row r="107652" customFormat="1" x14ac:dyDescent="0.25"/>
    <row r="107653" customFormat="1" x14ac:dyDescent="0.25"/>
    <row r="107654" customFormat="1" x14ac:dyDescent="0.25"/>
    <row r="107655" customFormat="1" x14ac:dyDescent="0.25"/>
    <row r="107656" customFormat="1" x14ac:dyDescent="0.25"/>
    <row r="107657" customFormat="1" x14ac:dyDescent="0.25"/>
    <row r="107658" customFormat="1" x14ac:dyDescent="0.25"/>
    <row r="107659" customFormat="1" x14ac:dyDescent="0.25"/>
    <row r="107660" customFormat="1" x14ac:dyDescent="0.25"/>
    <row r="107661" customFormat="1" x14ac:dyDescent="0.25"/>
    <row r="107662" customFormat="1" x14ac:dyDescent="0.25"/>
    <row r="107663" customFormat="1" x14ac:dyDescent="0.25"/>
    <row r="107664" customFormat="1" x14ac:dyDescent="0.25"/>
    <row r="107665" customFormat="1" x14ac:dyDescent="0.25"/>
    <row r="107666" customFormat="1" x14ac:dyDescent="0.25"/>
    <row r="107667" customFormat="1" x14ac:dyDescent="0.25"/>
    <row r="107668" customFormat="1" x14ac:dyDescent="0.25"/>
    <row r="107669" customFormat="1" x14ac:dyDescent="0.25"/>
    <row r="107670" customFormat="1" x14ac:dyDescent="0.25"/>
    <row r="107671" customFormat="1" x14ac:dyDescent="0.25"/>
    <row r="107672" customFormat="1" x14ac:dyDescent="0.25"/>
    <row r="107673" customFormat="1" x14ac:dyDescent="0.25"/>
    <row r="107674" customFormat="1" x14ac:dyDescent="0.25"/>
    <row r="107675" customFormat="1" x14ac:dyDescent="0.25"/>
    <row r="107676" customFormat="1" x14ac:dyDescent="0.25"/>
    <row r="107677" customFormat="1" x14ac:dyDescent="0.25"/>
    <row r="107678" customFormat="1" x14ac:dyDescent="0.25"/>
    <row r="107679" customFormat="1" x14ac:dyDescent="0.25"/>
    <row r="107680" customFormat="1" x14ac:dyDescent="0.25"/>
    <row r="107681" customFormat="1" x14ac:dyDescent="0.25"/>
    <row r="107682" customFormat="1" x14ac:dyDescent="0.25"/>
    <row r="107683" customFormat="1" x14ac:dyDescent="0.25"/>
    <row r="107684" customFormat="1" x14ac:dyDescent="0.25"/>
    <row r="107685" customFormat="1" x14ac:dyDescent="0.25"/>
    <row r="107686" customFormat="1" x14ac:dyDescent="0.25"/>
    <row r="107687" customFormat="1" x14ac:dyDescent="0.25"/>
    <row r="107688" customFormat="1" x14ac:dyDescent="0.25"/>
    <row r="107689" customFormat="1" x14ac:dyDescent="0.25"/>
    <row r="107690" customFormat="1" x14ac:dyDescent="0.25"/>
    <row r="107691" customFormat="1" x14ac:dyDescent="0.25"/>
    <row r="107692" customFormat="1" x14ac:dyDescent="0.25"/>
    <row r="107693" customFormat="1" x14ac:dyDescent="0.25"/>
    <row r="107694" customFormat="1" x14ac:dyDescent="0.25"/>
    <row r="107695" customFormat="1" x14ac:dyDescent="0.25"/>
    <row r="107696" customFormat="1" x14ac:dyDescent="0.25"/>
    <row r="107697" customFormat="1" x14ac:dyDescent="0.25"/>
    <row r="107698" customFormat="1" x14ac:dyDescent="0.25"/>
    <row r="107699" customFormat="1" x14ac:dyDescent="0.25"/>
    <row r="107700" customFormat="1" x14ac:dyDescent="0.25"/>
    <row r="107701" customFormat="1" x14ac:dyDescent="0.25"/>
    <row r="107702" customFormat="1" x14ac:dyDescent="0.25"/>
    <row r="107703" customFormat="1" x14ac:dyDescent="0.25"/>
    <row r="107704" customFormat="1" x14ac:dyDescent="0.25"/>
    <row r="107705" customFormat="1" x14ac:dyDescent="0.25"/>
    <row r="107706" customFormat="1" x14ac:dyDescent="0.25"/>
    <row r="107707" customFormat="1" x14ac:dyDescent="0.25"/>
    <row r="107708" customFormat="1" x14ac:dyDescent="0.25"/>
    <row r="107709" customFormat="1" x14ac:dyDescent="0.25"/>
    <row r="107710" customFormat="1" x14ac:dyDescent="0.25"/>
    <row r="107711" customFormat="1" x14ac:dyDescent="0.25"/>
    <row r="107712" customFormat="1" x14ac:dyDescent="0.25"/>
    <row r="107713" customFormat="1" x14ac:dyDescent="0.25"/>
    <row r="107714" customFormat="1" x14ac:dyDescent="0.25"/>
    <row r="107715" customFormat="1" x14ac:dyDescent="0.25"/>
    <row r="107716" customFormat="1" x14ac:dyDescent="0.25"/>
    <row r="107717" customFormat="1" x14ac:dyDescent="0.25"/>
    <row r="107718" customFormat="1" x14ac:dyDescent="0.25"/>
    <row r="107719" customFormat="1" x14ac:dyDescent="0.25"/>
    <row r="107720" customFormat="1" x14ac:dyDescent="0.25"/>
    <row r="107721" customFormat="1" x14ac:dyDescent="0.25"/>
    <row r="107722" customFormat="1" x14ac:dyDescent="0.25"/>
    <row r="107723" customFormat="1" x14ac:dyDescent="0.25"/>
    <row r="107724" customFormat="1" x14ac:dyDescent="0.25"/>
    <row r="107725" customFormat="1" x14ac:dyDescent="0.25"/>
    <row r="107726" customFormat="1" x14ac:dyDescent="0.25"/>
    <row r="107727" customFormat="1" x14ac:dyDescent="0.25"/>
    <row r="107728" customFormat="1" x14ac:dyDescent="0.25"/>
    <row r="107729" customFormat="1" x14ac:dyDescent="0.25"/>
    <row r="107730" customFormat="1" x14ac:dyDescent="0.25"/>
    <row r="107731" customFormat="1" x14ac:dyDescent="0.25"/>
    <row r="107732" customFormat="1" x14ac:dyDescent="0.25"/>
    <row r="107733" customFormat="1" x14ac:dyDescent="0.25"/>
    <row r="107734" customFormat="1" x14ac:dyDescent="0.25"/>
    <row r="107735" customFormat="1" x14ac:dyDescent="0.25"/>
    <row r="107736" customFormat="1" x14ac:dyDescent="0.25"/>
    <row r="107737" customFormat="1" x14ac:dyDescent="0.25"/>
    <row r="107738" customFormat="1" x14ac:dyDescent="0.25"/>
    <row r="107739" customFormat="1" x14ac:dyDescent="0.25"/>
    <row r="107740" customFormat="1" x14ac:dyDescent="0.25"/>
    <row r="107741" customFormat="1" x14ac:dyDescent="0.25"/>
    <row r="107742" customFormat="1" x14ac:dyDescent="0.25"/>
    <row r="107743" customFormat="1" x14ac:dyDescent="0.25"/>
    <row r="107744" customFormat="1" x14ac:dyDescent="0.25"/>
    <row r="107745" customFormat="1" x14ac:dyDescent="0.25"/>
    <row r="107746" customFormat="1" x14ac:dyDescent="0.25"/>
    <row r="107747" customFormat="1" x14ac:dyDescent="0.25"/>
    <row r="107748" customFormat="1" x14ac:dyDescent="0.25"/>
    <row r="107749" customFormat="1" x14ac:dyDescent="0.25"/>
    <row r="107750" customFormat="1" x14ac:dyDescent="0.25"/>
    <row r="107751" customFormat="1" x14ac:dyDescent="0.25"/>
    <row r="107752" customFormat="1" x14ac:dyDescent="0.25"/>
    <row r="107753" customFormat="1" x14ac:dyDescent="0.25"/>
    <row r="107754" customFormat="1" x14ac:dyDescent="0.25"/>
    <row r="107755" customFormat="1" x14ac:dyDescent="0.25"/>
    <row r="107756" customFormat="1" x14ac:dyDescent="0.25"/>
    <row r="107757" customFormat="1" x14ac:dyDescent="0.25"/>
    <row r="107758" customFormat="1" x14ac:dyDescent="0.25"/>
    <row r="107759" customFormat="1" x14ac:dyDescent="0.25"/>
    <row r="107760" customFormat="1" x14ac:dyDescent="0.25"/>
    <row r="107761" customFormat="1" x14ac:dyDescent="0.25"/>
    <row r="107762" customFormat="1" x14ac:dyDescent="0.25"/>
    <row r="107763" customFormat="1" x14ac:dyDescent="0.25"/>
    <row r="107764" customFormat="1" x14ac:dyDescent="0.25"/>
    <row r="107765" customFormat="1" x14ac:dyDescent="0.25"/>
    <row r="107766" customFormat="1" x14ac:dyDescent="0.25"/>
    <row r="107767" customFormat="1" x14ac:dyDescent="0.25"/>
    <row r="107768" customFormat="1" x14ac:dyDescent="0.25"/>
    <row r="107769" customFormat="1" x14ac:dyDescent="0.25"/>
    <row r="107770" customFormat="1" x14ac:dyDescent="0.25"/>
    <row r="107771" customFormat="1" x14ac:dyDescent="0.25"/>
    <row r="107772" customFormat="1" x14ac:dyDescent="0.25"/>
    <row r="107773" customFormat="1" x14ac:dyDescent="0.25"/>
    <row r="107774" customFormat="1" x14ac:dyDescent="0.25"/>
    <row r="107775" customFormat="1" x14ac:dyDescent="0.25"/>
    <row r="107776" customFormat="1" x14ac:dyDescent="0.25"/>
    <row r="107777" customFormat="1" x14ac:dyDescent="0.25"/>
    <row r="107778" customFormat="1" x14ac:dyDescent="0.25"/>
    <row r="107779" customFormat="1" x14ac:dyDescent="0.25"/>
    <row r="107780" customFormat="1" x14ac:dyDescent="0.25"/>
    <row r="107781" customFormat="1" x14ac:dyDescent="0.25"/>
    <row r="107782" customFormat="1" x14ac:dyDescent="0.25"/>
    <row r="107783" customFormat="1" x14ac:dyDescent="0.25"/>
    <row r="107784" customFormat="1" x14ac:dyDescent="0.25"/>
    <row r="107785" customFormat="1" x14ac:dyDescent="0.25"/>
    <row r="107786" customFormat="1" x14ac:dyDescent="0.25"/>
    <row r="107787" customFormat="1" x14ac:dyDescent="0.25"/>
    <row r="107788" customFormat="1" x14ac:dyDescent="0.25"/>
    <row r="107789" customFormat="1" x14ac:dyDescent="0.25"/>
    <row r="107790" customFormat="1" x14ac:dyDescent="0.25"/>
    <row r="107791" customFormat="1" x14ac:dyDescent="0.25"/>
    <row r="107792" customFormat="1" x14ac:dyDescent="0.25"/>
    <row r="107793" customFormat="1" x14ac:dyDescent="0.25"/>
    <row r="107794" customFormat="1" x14ac:dyDescent="0.25"/>
    <row r="107795" customFormat="1" x14ac:dyDescent="0.25"/>
    <row r="107796" customFormat="1" x14ac:dyDescent="0.25"/>
    <row r="107797" customFormat="1" x14ac:dyDescent="0.25"/>
    <row r="107798" customFormat="1" x14ac:dyDescent="0.25"/>
    <row r="107799" customFormat="1" x14ac:dyDescent="0.25"/>
    <row r="107800" customFormat="1" x14ac:dyDescent="0.25"/>
    <row r="107801" customFormat="1" x14ac:dyDescent="0.25"/>
    <row r="107802" customFormat="1" x14ac:dyDescent="0.25"/>
    <row r="107803" customFormat="1" x14ac:dyDescent="0.25"/>
    <row r="107804" customFormat="1" x14ac:dyDescent="0.25"/>
    <row r="107805" customFormat="1" x14ac:dyDescent="0.25"/>
    <row r="107806" customFormat="1" x14ac:dyDescent="0.25"/>
    <row r="107807" customFormat="1" x14ac:dyDescent="0.25"/>
    <row r="107808" customFormat="1" x14ac:dyDescent="0.25"/>
    <row r="107809" customFormat="1" x14ac:dyDescent="0.25"/>
    <row r="107810" customFormat="1" x14ac:dyDescent="0.25"/>
    <row r="107811" customFormat="1" x14ac:dyDescent="0.25"/>
    <row r="107812" customFormat="1" x14ac:dyDescent="0.25"/>
    <row r="107813" customFormat="1" x14ac:dyDescent="0.25"/>
    <row r="107814" customFormat="1" x14ac:dyDescent="0.25"/>
    <row r="107815" customFormat="1" x14ac:dyDescent="0.25"/>
    <row r="107816" customFormat="1" x14ac:dyDescent="0.25"/>
    <row r="107817" customFormat="1" x14ac:dyDescent="0.25"/>
    <row r="107818" customFormat="1" x14ac:dyDescent="0.25"/>
    <row r="107819" customFormat="1" x14ac:dyDescent="0.25"/>
    <row r="107820" customFormat="1" x14ac:dyDescent="0.25"/>
    <row r="107821" customFormat="1" x14ac:dyDescent="0.25"/>
    <row r="107822" customFormat="1" x14ac:dyDescent="0.25"/>
    <row r="107823" customFormat="1" x14ac:dyDescent="0.25"/>
    <row r="107824" customFormat="1" x14ac:dyDescent="0.25"/>
    <row r="107825" customFormat="1" x14ac:dyDescent="0.25"/>
    <row r="107826" customFormat="1" x14ac:dyDescent="0.25"/>
    <row r="107827" customFormat="1" x14ac:dyDescent="0.25"/>
    <row r="107828" customFormat="1" x14ac:dyDescent="0.25"/>
    <row r="107829" customFormat="1" x14ac:dyDescent="0.25"/>
    <row r="107830" customFormat="1" x14ac:dyDescent="0.25"/>
    <row r="107831" customFormat="1" x14ac:dyDescent="0.25"/>
    <row r="107832" customFormat="1" x14ac:dyDescent="0.25"/>
    <row r="107833" customFormat="1" x14ac:dyDescent="0.25"/>
    <row r="107834" customFormat="1" x14ac:dyDescent="0.25"/>
    <row r="107835" customFormat="1" x14ac:dyDescent="0.25"/>
    <row r="107836" customFormat="1" x14ac:dyDescent="0.25"/>
    <row r="107837" customFormat="1" x14ac:dyDescent="0.25"/>
    <row r="107838" customFormat="1" x14ac:dyDescent="0.25"/>
    <row r="107839" customFormat="1" x14ac:dyDescent="0.25"/>
    <row r="107840" customFormat="1" x14ac:dyDescent="0.25"/>
    <row r="107841" customFormat="1" x14ac:dyDescent="0.25"/>
    <row r="107842" customFormat="1" x14ac:dyDescent="0.25"/>
    <row r="107843" customFormat="1" x14ac:dyDescent="0.25"/>
    <row r="107844" customFormat="1" x14ac:dyDescent="0.25"/>
    <row r="107845" customFormat="1" x14ac:dyDescent="0.25"/>
    <row r="107846" customFormat="1" x14ac:dyDescent="0.25"/>
    <row r="107847" customFormat="1" x14ac:dyDescent="0.25"/>
    <row r="107848" customFormat="1" x14ac:dyDescent="0.25"/>
    <row r="107849" customFormat="1" x14ac:dyDescent="0.25"/>
    <row r="107850" customFormat="1" x14ac:dyDescent="0.25"/>
    <row r="107851" customFormat="1" x14ac:dyDescent="0.25"/>
    <row r="107852" customFormat="1" x14ac:dyDescent="0.25"/>
    <row r="107853" customFormat="1" x14ac:dyDescent="0.25"/>
    <row r="107854" customFormat="1" x14ac:dyDescent="0.25"/>
    <row r="107855" customFormat="1" x14ac:dyDescent="0.25"/>
    <row r="107856" customFormat="1" x14ac:dyDescent="0.25"/>
    <row r="107857" customFormat="1" x14ac:dyDescent="0.25"/>
    <row r="107858" customFormat="1" x14ac:dyDescent="0.25"/>
    <row r="107859" customFormat="1" x14ac:dyDescent="0.25"/>
    <row r="107860" customFormat="1" x14ac:dyDescent="0.25"/>
    <row r="107861" customFormat="1" x14ac:dyDescent="0.25"/>
    <row r="107862" customFormat="1" x14ac:dyDescent="0.25"/>
    <row r="107863" customFormat="1" x14ac:dyDescent="0.25"/>
    <row r="107864" customFormat="1" x14ac:dyDescent="0.25"/>
    <row r="107865" customFormat="1" x14ac:dyDescent="0.25"/>
    <row r="107866" customFormat="1" x14ac:dyDescent="0.25"/>
    <row r="107867" customFormat="1" x14ac:dyDescent="0.25"/>
    <row r="107868" customFormat="1" x14ac:dyDescent="0.25"/>
    <row r="107869" customFormat="1" x14ac:dyDescent="0.25"/>
    <row r="107870" customFormat="1" x14ac:dyDescent="0.25"/>
    <row r="107871" customFormat="1" x14ac:dyDescent="0.25"/>
    <row r="107872" customFormat="1" x14ac:dyDescent="0.25"/>
    <row r="107873" customFormat="1" x14ac:dyDescent="0.25"/>
    <row r="107874" customFormat="1" x14ac:dyDescent="0.25"/>
    <row r="107875" customFormat="1" x14ac:dyDescent="0.25"/>
    <row r="107876" customFormat="1" x14ac:dyDescent="0.25"/>
    <row r="107877" customFormat="1" x14ac:dyDescent="0.25"/>
    <row r="107878" customFormat="1" x14ac:dyDescent="0.25"/>
    <row r="107879" customFormat="1" x14ac:dyDescent="0.25"/>
    <row r="107880" customFormat="1" x14ac:dyDescent="0.25"/>
    <row r="107881" customFormat="1" x14ac:dyDescent="0.25"/>
    <row r="107882" customFormat="1" x14ac:dyDescent="0.25"/>
    <row r="107883" customFormat="1" x14ac:dyDescent="0.25"/>
    <row r="107884" customFormat="1" x14ac:dyDescent="0.25"/>
    <row r="107885" customFormat="1" x14ac:dyDescent="0.25"/>
    <row r="107886" customFormat="1" x14ac:dyDescent="0.25"/>
    <row r="107887" customFormat="1" x14ac:dyDescent="0.25"/>
    <row r="107888" customFormat="1" x14ac:dyDescent="0.25"/>
    <row r="107889" customFormat="1" x14ac:dyDescent="0.25"/>
    <row r="107890" customFormat="1" x14ac:dyDescent="0.25"/>
    <row r="107891" customFormat="1" x14ac:dyDescent="0.25"/>
    <row r="107892" customFormat="1" x14ac:dyDescent="0.25"/>
    <row r="107893" customFormat="1" x14ac:dyDescent="0.25"/>
    <row r="107894" customFormat="1" x14ac:dyDescent="0.25"/>
    <row r="107895" customFormat="1" x14ac:dyDescent="0.25"/>
    <row r="107896" customFormat="1" x14ac:dyDescent="0.25"/>
    <row r="107897" customFormat="1" x14ac:dyDescent="0.25"/>
    <row r="107898" customFormat="1" x14ac:dyDescent="0.25"/>
    <row r="107899" customFormat="1" x14ac:dyDescent="0.25"/>
    <row r="107900" customFormat="1" x14ac:dyDescent="0.25"/>
    <row r="107901" customFormat="1" x14ac:dyDescent="0.25"/>
    <row r="107902" customFormat="1" x14ac:dyDescent="0.25"/>
    <row r="107903" customFormat="1" x14ac:dyDescent="0.25"/>
    <row r="107904" customFormat="1" x14ac:dyDescent="0.25"/>
    <row r="107905" customFormat="1" x14ac:dyDescent="0.25"/>
    <row r="107906" customFormat="1" x14ac:dyDescent="0.25"/>
    <row r="107907" customFormat="1" x14ac:dyDescent="0.25"/>
    <row r="107908" customFormat="1" x14ac:dyDescent="0.25"/>
    <row r="107909" customFormat="1" x14ac:dyDescent="0.25"/>
    <row r="107910" customFormat="1" x14ac:dyDescent="0.25"/>
    <row r="107911" customFormat="1" x14ac:dyDescent="0.25"/>
    <row r="107912" customFormat="1" x14ac:dyDescent="0.25"/>
    <row r="107913" customFormat="1" x14ac:dyDescent="0.25"/>
    <row r="107914" customFormat="1" x14ac:dyDescent="0.25"/>
    <row r="107915" customFormat="1" x14ac:dyDescent="0.25"/>
    <row r="107916" customFormat="1" x14ac:dyDescent="0.25"/>
    <row r="107917" customFormat="1" x14ac:dyDescent="0.25"/>
    <row r="107918" customFormat="1" x14ac:dyDescent="0.25"/>
    <row r="107919" customFormat="1" x14ac:dyDescent="0.25"/>
    <row r="107920" customFormat="1" x14ac:dyDescent="0.25"/>
    <row r="107921" customFormat="1" x14ac:dyDescent="0.25"/>
    <row r="107922" customFormat="1" x14ac:dyDescent="0.25"/>
    <row r="107923" customFormat="1" x14ac:dyDescent="0.25"/>
    <row r="107924" customFormat="1" x14ac:dyDescent="0.25"/>
    <row r="107925" customFormat="1" x14ac:dyDescent="0.25"/>
    <row r="107926" customFormat="1" x14ac:dyDescent="0.25"/>
    <row r="107927" customFormat="1" x14ac:dyDescent="0.25"/>
    <row r="107928" customFormat="1" x14ac:dyDescent="0.25"/>
    <row r="107929" customFormat="1" x14ac:dyDescent="0.25"/>
    <row r="107930" customFormat="1" x14ac:dyDescent="0.25"/>
    <row r="107931" customFormat="1" x14ac:dyDescent="0.25"/>
    <row r="107932" customFormat="1" x14ac:dyDescent="0.25"/>
    <row r="107933" customFormat="1" x14ac:dyDescent="0.25"/>
    <row r="107934" customFormat="1" x14ac:dyDescent="0.25"/>
    <row r="107935" customFormat="1" x14ac:dyDescent="0.25"/>
    <row r="107936" customFormat="1" x14ac:dyDescent="0.25"/>
    <row r="107937" customFormat="1" x14ac:dyDescent="0.25"/>
    <row r="107938" customFormat="1" x14ac:dyDescent="0.25"/>
    <row r="107939" customFormat="1" x14ac:dyDescent="0.25"/>
    <row r="107940" customFormat="1" x14ac:dyDescent="0.25"/>
    <row r="107941" customFormat="1" x14ac:dyDescent="0.25"/>
    <row r="107942" customFormat="1" x14ac:dyDescent="0.25"/>
    <row r="107943" customFormat="1" x14ac:dyDescent="0.25"/>
    <row r="107944" customFormat="1" x14ac:dyDescent="0.25"/>
    <row r="107945" customFormat="1" x14ac:dyDescent="0.25"/>
    <row r="107946" customFormat="1" x14ac:dyDescent="0.25"/>
    <row r="107947" customFormat="1" x14ac:dyDescent="0.25"/>
    <row r="107948" customFormat="1" x14ac:dyDescent="0.25"/>
    <row r="107949" customFormat="1" x14ac:dyDescent="0.25"/>
    <row r="107950" customFormat="1" x14ac:dyDescent="0.25"/>
    <row r="107951" customFormat="1" x14ac:dyDescent="0.25"/>
    <row r="107952" customFormat="1" x14ac:dyDescent="0.25"/>
    <row r="107953" customFormat="1" x14ac:dyDescent="0.25"/>
    <row r="107954" customFormat="1" x14ac:dyDescent="0.25"/>
    <row r="107955" customFormat="1" x14ac:dyDescent="0.25"/>
    <row r="107956" customFormat="1" x14ac:dyDescent="0.25"/>
    <row r="107957" customFormat="1" x14ac:dyDescent="0.25"/>
    <row r="107958" customFormat="1" x14ac:dyDescent="0.25"/>
    <row r="107959" customFormat="1" x14ac:dyDescent="0.25"/>
    <row r="107960" customFormat="1" x14ac:dyDescent="0.25"/>
    <row r="107961" customFormat="1" x14ac:dyDescent="0.25"/>
    <row r="107962" customFormat="1" x14ac:dyDescent="0.25"/>
    <row r="107963" customFormat="1" x14ac:dyDescent="0.25"/>
    <row r="107964" customFormat="1" x14ac:dyDescent="0.25"/>
    <row r="107965" customFormat="1" x14ac:dyDescent="0.25"/>
    <row r="107966" customFormat="1" x14ac:dyDescent="0.25"/>
    <row r="107967" customFormat="1" x14ac:dyDescent="0.25"/>
    <row r="107968" customFormat="1" x14ac:dyDescent="0.25"/>
    <row r="107969" customFormat="1" x14ac:dyDescent="0.25"/>
    <row r="107970" customFormat="1" x14ac:dyDescent="0.25"/>
    <row r="107971" customFormat="1" x14ac:dyDescent="0.25"/>
    <row r="107972" customFormat="1" x14ac:dyDescent="0.25"/>
    <row r="107973" customFormat="1" x14ac:dyDescent="0.25"/>
    <row r="107974" customFormat="1" x14ac:dyDescent="0.25"/>
    <row r="107975" customFormat="1" x14ac:dyDescent="0.25"/>
    <row r="107976" customFormat="1" x14ac:dyDescent="0.25"/>
    <row r="107977" customFormat="1" x14ac:dyDescent="0.25"/>
    <row r="107978" customFormat="1" x14ac:dyDescent="0.25"/>
    <row r="107979" customFormat="1" x14ac:dyDescent="0.25"/>
    <row r="107980" customFormat="1" x14ac:dyDescent="0.25"/>
    <row r="107981" customFormat="1" x14ac:dyDescent="0.25"/>
    <row r="107982" customFormat="1" x14ac:dyDescent="0.25"/>
    <row r="107983" customFormat="1" x14ac:dyDescent="0.25"/>
    <row r="107984" customFormat="1" x14ac:dyDescent="0.25"/>
    <row r="107985" customFormat="1" x14ac:dyDescent="0.25"/>
    <row r="107986" customFormat="1" x14ac:dyDescent="0.25"/>
    <row r="107987" customFormat="1" x14ac:dyDescent="0.25"/>
    <row r="107988" customFormat="1" x14ac:dyDescent="0.25"/>
    <row r="107989" customFormat="1" x14ac:dyDescent="0.25"/>
    <row r="107990" customFormat="1" x14ac:dyDescent="0.25"/>
    <row r="107991" customFormat="1" x14ac:dyDescent="0.25"/>
    <row r="107992" customFormat="1" x14ac:dyDescent="0.25"/>
    <row r="107993" customFormat="1" x14ac:dyDescent="0.25"/>
    <row r="107994" customFormat="1" x14ac:dyDescent="0.25"/>
    <row r="107995" customFormat="1" x14ac:dyDescent="0.25"/>
    <row r="107996" customFormat="1" x14ac:dyDescent="0.25"/>
    <row r="107997" customFormat="1" x14ac:dyDescent="0.25"/>
    <row r="107998" customFormat="1" x14ac:dyDescent="0.25"/>
    <row r="107999" customFormat="1" x14ac:dyDescent="0.25"/>
    <row r="108000" customFormat="1" x14ac:dyDescent="0.25"/>
    <row r="108001" customFormat="1" x14ac:dyDescent="0.25"/>
    <row r="108002" customFormat="1" x14ac:dyDescent="0.25"/>
    <row r="108003" customFormat="1" x14ac:dyDescent="0.25"/>
    <row r="108004" customFormat="1" x14ac:dyDescent="0.25"/>
    <row r="108005" customFormat="1" x14ac:dyDescent="0.25"/>
    <row r="108006" customFormat="1" x14ac:dyDescent="0.25"/>
    <row r="108007" customFormat="1" x14ac:dyDescent="0.25"/>
    <row r="108008" customFormat="1" x14ac:dyDescent="0.25"/>
    <row r="108009" customFormat="1" x14ac:dyDescent="0.25"/>
    <row r="108010" customFormat="1" x14ac:dyDescent="0.25"/>
    <row r="108011" customFormat="1" x14ac:dyDescent="0.25"/>
    <row r="108012" customFormat="1" x14ac:dyDescent="0.25"/>
    <row r="108013" customFormat="1" x14ac:dyDescent="0.25"/>
    <row r="108014" customFormat="1" x14ac:dyDescent="0.25"/>
    <row r="108015" customFormat="1" x14ac:dyDescent="0.25"/>
    <row r="108016" customFormat="1" x14ac:dyDescent="0.25"/>
    <row r="108017" customFormat="1" x14ac:dyDescent="0.25"/>
    <row r="108018" customFormat="1" x14ac:dyDescent="0.25"/>
    <row r="108019" customFormat="1" x14ac:dyDescent="0.25"/>
    <row r="108020" customFormat="1" x14ac:dyDescent="0.25"/>
    <row r="108021" customFormat="1" x14ac:dyDescent="0.25"/>
    <row r="108022" customFormat="1" x14ac:dyDescent="0.25"/>
    <row r="108023" customFormat="1" x14ac:dyDescent="0.25"/>
    <row r="108024" customFormat="1" x14ac:dyDescent="0.25"/>
    <row r="108025" customFormat="1" x14ac:dyDescent="0.25"/>
    <row r="108026" customFormat="1" x14ac:dyDescent="0.25"/>
    <row r="108027" customFormat="1" x14ac:dyDescent="0.25"/>
    <row r="108028" customFormat="1" x14ac:dyDescent="0.25"/>
    <row r="108029" customFormat="1" x14ac:dyDescent="0.25"/>
    <row r="108030" customFormat="1" x14ac:dyDescent="0.25"/>
    <row r="108031" customFormat="1" x14ac:dyDescent="0.25"/>
    <row r="108032" customFormat="1" x14ac:dyDescent="0.25"/>
    <row r="108033" customFormat="1" x14ac:dyDescent="0.25"/>
    <row r="108034" customFormat="1" x14ac:dyDescent="0.25"/>
    <row r="108035" customFormat="1" x14ac:dyDescent="0.25"/>
    <row r="108036" customFormat="1" x14ac:dyDescent="0.25"/>
    <row r="108037" customFormat="1" x14ac:dyDescent="0.25"/>
    <row r="108038" customFormat="1" x14ac:dyDescent="0.25"/>
    <row r="108039" customFormat="1" x14ac:dyDescent="0.25"/>
    <row r="108040" customFormat="1" x14ac:dyDescent="0.25"/>
    <row r="108041" customFormat="1" x14ac:dyDescent="0.25"/>
    <row r="108042" customFormat="1" x14ac:dyDescent="0.25"/>
    <row r="108043" customFormat="1" x14ac:dyDescent="0.25"/>
    <row r="108044" customFormat="1" x14ac:dyDescent="0.25"/>
    <row r="108045" customFormat="1" x14ac:dyDescent="0.25"/>
    <row r="108046" customFormat="1" x14ac:dyDescent="0.25"/>
    <row r="108047" customFormat="1" x14ac:dyDescent="0.25"/>
    <row r="108048" customFormat="1" x14ac:dyDescent="0.25"/>
    <row r="108049" customFormat="1" x14ac:dyDescent="0.25"/>
    <row r="108050" customFormat="1" x14ac:dyDescent="0.25"/>
    <row r="108051" customFormat="1" x14ac:dyDescent="0.25"/>
    <row r="108052" customFormat="1" x14ac:dyDescent="0.25"/>
    <row r="108053" customFormat="1" x14ac:dyDescent="0.25"/>
    <row r="108054" customFormat="1" x14ac:dyDescent="0.25"/>
    <row r="108055" customFormat="1" x14ac:dyDescent="0.25"/>
    <row r="108056" customFormat="1" x14ac:dyDescent="0.25"/>
    <row r="108057" customFormat="1" x14ac:dyDescent="0.25"/>
    <row r="108058" customFormat="1" x14ac:dyDescent="0.25"/>
    <row r="108059" customFormat="1" x14ac:dyDescent="0.25"/>
    <row r="108060" customFormat="1" x14ac:dyDescent="0.25"/>
    <row r="108061" customFormat="1" x14ac:dyDescent="0.25"/>
    <row r="108062" customFormat="1" x14ac:dyDescent="0.25"/>
    <row r="108063" customFormat="1" x14ac:dyDescent="0.25"/>
    <row r="108064" customFormat="1" x14ac:dyDescent="0.25"/>
    <row r="108065" customFormat="1" x14ac:dyDescent="0.25"/>
    <row r="108066" customFormat="1" x14ac:dyDescent="0.25"/>
    <row r="108067" customFormat="1" x14ac:dyDescent="0.25"/>
    <row r="108068" customFormat="1" x14ac:dyDescent="0.25"/>
    <row r="108069" customFormat="1" x14ac:dyDescent="0.25"/>
    <row r="108070" customFormat="1" x14ac:dyDescent="0.25"/>
    <row r="108071" customFormat="1" x14ac:dyDescent="0.25"/>
    <row r="108072" customFormat="1" x14ac:dyDescent="0.25"/>
    <row r="108073" customFormat="1" x14ac:dyDescent="0.25"/>
    <row r="108074" customFormat="1" x14ac:dyDescent="0.25"/>
    <row r="108075" customFormat="1" x14ac:dyDescent="0.25"/>
    <row r="108076" customFormat="1" x14ac:dyDescent="0.25"/>
    <row r="108077" customFormat="1" x14ac:dyDescent="0.25"/>
    <row r="108078" customFormat="1" x14ac:dyDescent="0.25"/>
    <row r="108079" customFormat="1" x14ac:dyDescent="0.25"/>
    <row r="108080" customFormat="1" x14ac:dyDescent="0.25"/>
    <row r="108081" customFormat="1" x14ac:dyDescent="0.25"/>
    <row r="108082" customFormat="1" x14ac:dyDescent="0.25"/>
    <row r="108083" customFormat="1" x14ac:dyDescent="0.25"/>
    <row r="108084" customFormat="1" x14ac:dyDescent="0.25"/>
    <row r="108085" customFormat="1" x14ac:dyDescent="0.25"/>
    <row r="108086" customFormat="1" x14ac:dyDescent="0.25"/>
    <row r="108087" customFormat="1" x14ac:dyDescent="0.25"/>
    <row r="108088" customFormat="1" x14ac:dyDescent="0.25"/>
    <row r="108089" customFormat="1" x14ac:dyDescent="0.25"/>
    <row r="108090" customFormat="1" x14ac:dyDescent="0.25"/>
    <row r="108091" customFormat="1" x14ac:dyDescent="0.25"/>
    <row r="108092" customFormat="1" x14ac:dyDescent="0.25"/>
    <row r="108093" customFormat="1" x14ac:dyDescent="0.25"/>
    <row r="108094" customFormat="1" x14ac:dyDescent="0.25"/>
    <row r="108095" customFormat="1" x14ac:dyDescent="0.25"/>
    <row r="108096" customFormat="1" x14ac:dyDescent="0.25"/>
    <row r="108097" customFormat="1" x14ac:dyDescent="0.25"/>
    <row r="108098" customFormat="1" x14ac:dyDescent="0.25"/>
    <row r="108099" customFormat="1" x14ac:dyDescent="0.25"/>
    <row r="108100" customFormat="1" x14ac:dyDescent="0.25"/>
    <row r="108101" customFormat="1" x14ac:dyDescent="0.25"/>
    <row r="108102" customFormat="1" x14ac:dyDescent="0.25"/>
    <row r="108103" customFormat="1" x14ac:dyDescent="0.25"/>
    <row r="108104" customFormat="1" x14ac:dyDescent="0.25"/>
    <row r="108105" customFormat="1" x14ac:dyDescent="0.25"/>
    <row r="108106" customFormat="1" x14ac:dyDescent="0.25"/>
    <row r="108107" customFormat="1" x14ac:dyDescent="0.25"/>
    <row r="108108" customFormat="1" x14ac:dyDescent="0.25"/>
    <row r="108109" customFormat="1" x14ac:dyDescent="0.25"/>
    <row r="108110" customFormat="1" x14ac:dyDescent="0.25"/>
    <row r="108111" customFormat="1" x14ac:dyDescent="0.25"/>
    <row r="108112" customFormat="1" x14ac:dyDescent="0.25"/>
    <row r="108113" customFormat="1" x14ac:dyDescent="0.25"/>
    <row r="108114" customFormat="1" x14ac:dyDescent="0.25"/>
    <row r="108115" customFormat="1" x14ac:dyDescent="0.25"/>
    <row r="108116" customFormat="1" x14ac:dyDescent="0.25"/>
    <row r="108117" customFormat="1" x14ac:dyDescent="0.25"/>
    <row r="108118" customFormat="1" x14ac:dyDescent="0.25"/>
    <row r="108119" customFormat="1" x14ac:dyDescent="0.25"/>
    <row r="108120" customFormat="1" x14ac:dyDescent="0.25"/>
    <row r="108121" customFormat="1" x14ac:dyDescent="0.25"/>
    <row r="108122" customFormat="1" x14ac:dyDescent="0.25"/>
    <row r="108123" customFormat="1" x14ac:dyDescent="0.25"/>
    <row r="108124" customFormat="1" x14ac:dyDescent="0.25"/>
    <row r="108125" customFormat="1" x14ac:dyDescent="0.25"/>
    <row r="108126" customFormat="1" x14ac:dyDescent="0.25"/>
    <row r="108127" customFormat="1" x14ac:dyDescent="0.25"/>
    <row r="108128" customFormat="1" x14ac:dyDescent="0.25"/>
    <row r="108129" customFormat="1" x14ac:dyDescent="0.25"/>
    <row r="108130" customFormat="1" x14ac:dyDescent="0.25"/>
    <row r="108131" customFormat="1" x14ac:dyDescent="0.25"/>
    <row r="108132" customFormat="1" x14ac:dyDescent="0.25"/>
    <row r="108133" customFormat="1" x14ac:dyDescent="0.25"/>
    <row r="108134" customFormat="1" x14ac:dyDescent="0.25"/>
    <row r="108135" customFormat="1" x14ac:dyDescent="0.25"/>
    <row r="108136" customFormat="1" x14ac:dyDescent="0.25"/>
    <row r="108137" customFormat="1" x14ac:dyDescent="0.25"/>
    <row r="108138" customFormat="1" x14ac:dyDescent="0.25"/>
    <row r="108139" customFormat="1" x14ac:dyDescent="0.25"/>
    <row r="108140" customFormat="1" x14ac:dyDescent="0.25"/>
    <row r="108141" customFormat="1" x14ac:dyDescent="0.25"/>
    <row r="108142" customFormat="1" x14ac:dyDescent="0.25"/>
    <row r="108143" customFormat="1" x14ac:dyDescent="0.25"/>
    <row r="108144" customFormat="1" x14ac:dyDescent="0.25"/>
    <row r="108145" customFormat="1" x14ac:dyDescent="0.25"/>
    <row r="108146" customFormat="1" x14ac:dyDescent="0.25"/>
    <row r="108147" customFormat="1" x14ac:dyDescent="0.25"/>
    <row r="108148" customFormat="1" x14ac:dyDescent="0.25"/>
    <row r="108149" customFormat="1" x14ac:dyDescent="0.25"/>
    <row r="108150" customFormat="1" x14ac:dyDescent="0.25"/>
    <row r="108151" customFormat="1" x14ac:dyDescent="0.25"/>
    <row r="108152" customFormat="1" x14ac:dyDescent="0.25"/>
    <row r="108153" customFormat="1" x14ac:dyDescent="0.25"/>
    <row r="108154" customFormat="1" x14ac:dyDescent="0.25"/>
    <row r="108155" customFormat="1" x14ac:dyDescent="0.25"/>
    <row r="108156" customFormat="1" x14ac:dyDescent="0.25"/>
    <row r="108157" customFormat="1" x14ac:dyDescent="0.25"/>
    <row r="108158" customFormat="1" x14ac:dyDescent="0.25"/>
    <row r="108159" customFormat="1" x14ac:dyDescent="0.25"/>
    <row r="108160" customFormat="1" x14ac:dyDescent="0.25"/>
    <row r="108161" customFormat="1" x14ac:dyDescent="0.25"/>
    <row r="108162" customFormat="1" x14ac:dyDescent="0.25"/>
    <row r="108163" customFormat="1" x14ac:dyDescent="0.25"/>
    <row r="108164" customFormat="1" x14ac:dyDescent="0.25"/>
    <row r="108165" customFormat="1" x14ac:dyDescent="0.25"/>
    <row r="108166" customFormat="1" x14ac:dyDescent="0.25"/>
    <row r="108167" customFormat="1" x14ac:dyDescent="0.25"/>
    <row r="108168" customFormat="1" x14ac:dyDescent="0.25"/>
    <row r="108169" customFormat="1" x14ac:dyDescent="0.25"/>
    <row r="108170" customFormat="1" x14ac:dyDescent="0.25"/>
    <row r="108171" customFormat="1" x14ac:dyDescent="0.25"/>
    <row r="108172" customFormat="1" x14ac:dyDescent="0.25"/>
    <row r="108173" customFormat="1" x14ac:dyDescent="0.25"/>
    <row r="108174" customFormat="1" x14ac:dyDescent="0.25"/>
    <row r="108175" customFormat="1" x14ac:dyDescent="0.25"/>
    <row r="108176" customFormat="1" x14ac:dyDescent="0.25"/>
    <row r="108177" customFormat="1" x14ac:dyDescent="0.25"/>
    <row r="108178" customFormat="1" x14ac:dyDescent="0.25"/>
    <row r="108179" customFormat="1" x14ac:dyDescent="0.25"/>
    <row r="108180" customFormat="1" x14ac:dyDescent="0.25"/>
    <row r="108181" customFormat="1" x14ac:dyDescent="0.25"/>
    <row r="108182" customFormat="1" x14ac:dyDescent="0.25"/>
    <row r="108183" customFormat="1" x14ac:dyDescent="0.25"/>
    <row r="108184" customFormat="1" x14ac:dyDescent="0.25"/>
    <row r="108185" customFormat="1" x14ac:dyDescent="0.25"/>
    <row r="108186" customFormat="1" x14ac:dyDescent="0.25"/>
    <row r="108187" customFormat="1" x14ac:dyDescent="0.25"/>
    <row r="108188" customFormat="1" x14ac:dyDescent="0.25"/>
    <row r="108189" customFormat="1" x14ac:dyDescent="0.25"/>
    <row r="108190" customFormat="1" x14ac:dyDescent="0.25"/>
    <row r="108191" customFormat="1" x14ac:dyDescent="0.25"/>
    <row r="108192" customFormat="1" x14ac:dyDescent="0.25"/>
    <row r="108193" customFormat="1" x14ac:dyDescent="0.25"/>
    <row r="108194" customFormat="1" x14ac:dyDescent="0.25"/>
    <row r="108195" customFormat="1" x14ac:dyDescent="0.25"/>
    <row r="108196" customFormat="1" x14ac:dyDescent="0.25"/>
    <row r="108197" customFormat="1" x14ac:dyDescent="0.25"/>
    <row r="108198" customFormat="1" x14ac:dyDescent="0.25"/>
    <row r="108199" customFormat="1" x14ac:dyDescent="0.25"/>
    <row r="108200" customFormat="1" x14ac:dyDescent="0.25"/>
    <row r="108201" customFormat="1" x14ac:dyDescent="0.25"/>
    <row r="108202" customFormat="1" x14ac:dyDescent="0.25"/>
    <row r="108203" customFormat="1" x14ac:dyDescent="0.25"/>
    <row r="108204" customFormat="1" x14ac:dyDescent="0.25"/>
    <row r="108205" customFormat="1" x14ac:dyDescent="0.25"/>
    <row r="108206" customFormat="1" x14ac:dyDescent="0.25"/>
    <row r="108207" customFormat="1" x14ac:dyDescent="0.25"/>
    <row r="108208" customFormat="1" x14ac:dyDescent="0.25"/>
    <row r="108209" customFormat="1" x14ac:dyDescent="0.25"/>
    <row r="108210" customFormat="1" x14ac:dyDescent="0.25"/>
    <row r="108211" customFormat="1" x14ac:dyDescent="0.25"/>
    <row r="108212" customFormat="1" x14ac:dyDescent="0.25"/>
    <row r="108213" customFormat="1" x14ac:dyDescent="0.25"/>
    <row r="108214" customFormat="1" x14ac:dyDescent="0.25"/>
    <row r="108215" customFormat="1" x14ac:dyDescent="0.25"/>
    <row r="108216" customFormat="1" x14ac:dyDescent="0.25"/>
    <row r="108217" customFormat="1" x14ac:dyDescent="0.25"/>
    <row r="108218" customFormat="1" x14ac:dyDescent="0.25"/>
    <row r="108219" customFormat="1" x14ac:dyDescent="0.25"/>
    <row r="108220" customFormat="1" x14ac:dyDescent="0.25"/>
    <row r="108221" customFormat="1" x14ac:dyDescent="0.25"/>
    <row r="108222" customFormat="1" x14ac:dyDescent="0.25"/>
    <row r="108223" customFormat="1" x14ac:dyDescent="0.25"/>
    <row r="108224" customFormat="1" x14ac:dyDescent="0.25"/>
    <row r="108225" customFormat="1" x14ac:dyDescent="0.25"/>
    <row r="108226" customFormat="1" x14ac:dyDescent="0.25"/>
    <row r="108227" customFormat="1" x14ac:dyDescent="0.25"/>
    <row r="108228" customFormat="1" x14ac:dyDescent="0.25"/>
    <row r="108229" customFormat="1" x14ac:dyDescent="0.25"/>
    <row r="108230" customFormat="1" x14ac:dyDescent="0.25"/>
    <row r="108231" customFormat="1" x14ac:dyDescent="0.25"/>
    <row r="108232" customFormat="1" x14ac:dyDescent="0.25"/>
    <row r="108233" customFormat="1" x14ac:dyDescent="0.25"/>
    <row r="108234" customFormat="1" x14ac:dyDescent="0.25"/>
    <row r="108235" customFormat="1" x14ac:dyDescent="0.25"/>
    <row r="108236" customFormat="1" x14ac:dyDescent="0.25"/>
    <row r="108237" customFormat="1" x14ac:dyDescent="0.25"/>
    <row r="108238" customFormat="1" x14ac:dyDescent="0.25"/>
    <row r="108239" customFormat="1" x14ac:dyDescent="0.25"/>
    <row r="108240" customFormat="1" x14ac:dyDescent="0.25"/>
    <row r="108241" customFormat="1" x14ac:dyDescent="0.25"/>
    <row r="108242" customFormat="1" x14ac:dyDescent="0.25"/>
    <row r="108243" customFormat="1" x14ac:dyDescent="0.25"/>
    <row r="108244" customFormat="1" x14ac:dyDescent="0.25"/>
    <row r="108245" customFormat="1" x14ac:dyDescent="0.25"/>
    <row r="108246" customFormat="1" x14ac:dyDescent="0.25"/>
    <row r="108247" customFormat="1" x14ac:dyDescent="0.25"/>
    <row r="108248" customFormat="1" x14ac:dyDescent="0.25"/>
    <row r="108249" customFormat="1" x14ac:dyDescent="0.25"/>
    <row r="108250" customFormat="1" x14ac:dyDescent="0.25"/>
    <row r="108251" customFormat="1" x14ac:dyDescent="0.25"/>
    <row r="108252" customFormat="1" x14ac:dyDescent="0.25"/>
    <row r="108253" customFormat="1" x14ac:dyDescent="0.25"/>
    <row r="108254" customFormat="1" x14ac:dyDescent="0.25"/>
    <row r="108255" customFormat="1" x14ac:dyDescent="0.25"/>
    <row r="108256" customFormat="1" x14ac:dyDescent="0.25"/>
    <row r="108257" customFormat="1" x14ac:dyDescent="0.25"/>
    <row r="108258" customFormat="1" x14ac:dyDescent="0.25"/>
    <row r="108259" customFormat="1" x14ac:dyDescent="0.25"/>
    <row r="108260" customFormat="1" x14ac:dyDescent="0.25"/>
    <row r="108261" customFormat="1" x14ac:dyDescent="0.25"/>
    <row r="108262" customFormat="1" x14ac:dyDescent="0.25"/>
    <row r="108263" customFormat="1" x14ac:dyDescent="0.25"/>
    <row r="108264" customFormat="1" x14ac:dyDescent="0.25"/>
    <row r="108265" customFormat="1" x14ac:dyDescent="0.25"/>
    <row r="108266" customFormat="1" x14ac:dyDescent="0.25"/>
    <row r="108267" customFormat="1" x14ac:dyDescent="0.25"/>
    <row r="108268" customFormat="1" x14ac:dyDescent="0.25"/>
    <row r="108269" customFormat="1" x14ac:dyDescent="0.25"/>
    <row r="108270" customFormat="1" x14ac:dyDescent="0.25"/>
    <row r="108271" customFormat="1" x14ac:dyDescent="0.25"/>
    <row r="108272" customFormat="1" x14ac:dyDescent="0.25"/>
    <row r="108273" customFormat="1" x14ac:dyDescent="0.25"/>
    <row r="108274" customFormat="1" x14ac:dyDescent="0.25"/>
    <row r="108275" customFormat="1" x14ac:dyDescent="0.25"/>
    <row r="108276" customFormat="1" x14ac:dyDescent="0.25"/>
    <row r="108277" customFormat="1" x14ac:dyDescent="0.25"/>
    <row r="108278" customFormat="1" x14ac:dyDescent="0.25"/>
    <row r="108279" customFormat="1" x14ac:dyDescent="0.25"/>
    <row r="108280" customFormat="1" x14ac:dyDescent="0.25"/>
    <row r="108281" customFormat="1" x14ac:dyDescent="0.25"/>
    <row r="108282" customFormat="1" x14ac:dyDescent="0.25"/>
    <row r="108283" customFormat="1" x14ac:dyDescent="0.25"/>
    <row r="108284" customFormat="1" x14ac:dyDescent="0.25"/>
    <row r="108285" customFormat="1" x14ac:dyDescent="0.25"/>
    <row r="108286" customFormat="1" x14ac:dyDescent="0.25"/>
    <row r="108287" customFormat="1" x14ac:dyDescent="0.25"/>
    <row r="108288" customFormat="1" x14ac:dyDescent="0.25"/>
    <row r="108289" customFormat="1" x14ac:dyDescent="0.25"/>
    <row r="108290" customFormat="1" x14ac:dyDescent="0.25"/>
    <row r="108291" customFormat="1" x14ac:dyDescent="0.25"/>
    <row r="108292" customFormat="1" x14ac:dyDescent="0.25"/>
    <row r="108293" customFormat="1" x14ac:dyDescent="0.25"/>
    <row r="108294" customFormat="1" x14ac:dyDescent="0.25"/>
    <row r="108295" customFormat="1" x14ac:dyDescent="0.25"/>
    <row r="108296" customFormat="1" x14ac:dyDescent="0.25"/>
    <row r="108297" customFormat="1" x14ac:dyDescent="0.25"/>
    <row r="108298" customFormat="1" x14ac:dyDescent="0.25"/>
    <row r="108299" customFormat="1" x14ac:dyDescent="0.25"/>
    <row r="108300" customFormat="1" x14ac:dyDescent="0.25"/>
    <row r="108301" customFormat="1" x14ac:dyDescent="0.25"/>
    <row r="108302" customFormat="1" x14ac:dyDescent="0.25"/>
    <row r="108303" customFormat="1" x14ac:dyDescent="0.25"/>
    <row r="108304" customFormat="1" x14ac:dyDescent="0.25"/>
    <row r="108305" customFormat="1" x14ac:dyDescent="0.25"/>
    <row r="108306" customFormat="1" x14ac:dyDescent="0.25"/>
    <row r="108307" customFormat="1" x14ac:dyDescent="0.25"/>
    <row r="108308" customFormat="1" x14ac:dyDescent="0.25"/>
    <row r="108309" customFormat="1" x14ac:dyDescent="0.25"/>
    <row r="108310" customFormat="1" x14ac:dyDescent="0.25"/>
    <row r="108311" customFormat="1" x14ac:dyDescent="0.25"/>
    <row r="108312" customFormat="1" x14ac:dyDescent="0.25"/>
    <row r="108313" customFormat="1" x14ac:dyDescent="0.25"/>
    <row r="108314" customFormat="1" x14ac:dyDescent="0.25"/>
    <row r="108315" customFormat="1" x14ac:dyDescent="0.25"/>
    <row r="108316" customFormat="1" x14ac:dyDescent="0.25"/>
    <row r="108317" customFormat="1" x14ac:dyDescent="0.25"/>
    <row r="108318" customFormat="1" x14ac:dyDescent="0.25"/>
    <row r="108319" customFormat="1" x14ac:dyDescent="0.25"/>
    <row r="108320" customFormat="1" x14ac:dyDescent="0.25"/>
    <row r="108321" customFormat="1" x14ac:dyDescent="0.25"/>
    <row r="108322" customFormat="1" x14ac:dyDescent="0.25"/>
    <row r="108323" customFormat="1" x14ac:dyDescent="0.25"/>
    <row r="108324" customFormat="1" x14ac:dyDescent="0.25"/>
    <row r="108325" customFormat="1" x14ac:dyDescent="0.25"/>
    <row r="108326" customFormat="1" x14ac:dyDescent="0.25"/>
    <row r="108327" customFormat="1" x14ac:dyDescent="0.25"/>
    <row r="108328" customFormat="1" x14ac:dyDescent="0.25"/>
    <row r="108329" customFormat="1" x14ac:dyDescent="0.25"/>
    <row r="108330" customFormat="1" x14ac:dyDescent="0.25"/>
    <row r="108331" customFormat="1" x14ac:dyDescent="0.25"/>
    <row r="108332" customFormat="1" x14ac:dyDescent="0.25"/>
    <row r="108333" customFormat="1" x14ac:dyDescent="0.25"/>
    <row r="108334" customFormat="1" x14ac:dyDescent="0.25"/>
    <row r="108335" customFormat="1" x14ac:dyDescent="0.25"/>
    <row r="108336" customFormat="1" x14ac:dyDescent="0.25"/>
    <row r="108337" customFormat="1" x14ac:dyDescent="0.25"/>
    <row r="108338" customFormat="1" x14ac:dyDescent="0.25"/>
    <row r="108339" customFormat="1" x14ac:dyDescent="0.25"/>
    <row r="108340" customFormat="1" x14ac:dyDescent="0.25"/>
    <row r="108341" customFormat="1" x14ac:dyDescent="0.25"/>
    <row r="108342" customFormat="1" x14ac:dyDescent="0.25"/>
    <row r="108343" customFormat="1" x14ac:dyDescent="0.25"/>
    <row r="108344" customFormat="1" x14ac:dyDescent="0.25"/>
    <row r="108345" customFormat="1" x14ac:dyDescent="0.25"/>
    <row r="108346" customFormat="1" x14ac:dyDescent="0.25"/>
    <row r="108347" customFormat="1" x14ac:dyDescent="0.25"/>
    <row r="108348" customFormat="1" x14ac:dyDescent="0.25"/>
    <row r="108349" customFormat="1" x14ac:dyDescent="0.25"/>
    <row r="108350" customFormat="1" x14ac:dyDescent="0.25"/>
    <row r="108351" customFormat="1" x14ac:dyDescent="0.25"/>
    <row r="108352" customFormat="1" x14ac:dyDescent="0.25"/>
    <row r="108353" customFormat="1" x14ac:dyDescent="0.25"/>
    <row r="108354" customFormat="1" x14ac:dyDescent="0.25"/>
    <row r="108355" customFormat="1" x14ac:dyDescent="0.25"/>
    <row r="108356" customFormat="1" x14ac:dyDescent="0.25"/>
    <row r="108357" customFormat="1" x14ac:dyDescent="0.25"/>
    <row r="108358" customFormat="1" x14ac:dyDescent="0.25"/>
    <row r="108359" customFormat="1" x14ac:dyDescent="0.25"/>
    <row r="108360" customFormat="1" x14ac:dyDescent="0.25"/>
    <row r="108361" customFormat="1" x14ac:dyDescent="0.25"/>
    <row r="108362" customFormat="1" x14ac:dyDescent="0.25"/>
    <row r="108363" customFormat="1" x14ac:dyDescent="0.25"/>
    <row r="108364" customFormat="1" x14ac:dyDescent="0.25"/>
    <row r="108365" customFormat="1" x14ac:dyDescent="0.25"/>
    <row r="108366" customFormat="1" x14ac:dyDescent="0.25"/>
    <row r="108367" customFormat="1" x14ac:dyDescent="0.25"/>
    <row r="108368" customFormat="1" x14ac:dyDescent="0.25"/>
    <row r="108369" customFormat="1" x14ac:dyDescent="0.25"/>
    <row r="108370" customFormat="1" x14ac:dyDescent="0.25"/>
    <row r="108371" customFormat="1" x14ac:dyDescent="0.25"/>
    <row r="108372" customFormat="1" x14ac:dyDescent="0.25"/>
    <row r="108373" customFormat="1" x14ac:dyDescent="0.25"/>
    <row r="108374" customFormat="1" x14ac:dyDescent="0.25"/>
    <row r="108375" customFormat="1" x14ac:dyDescent="0.25"/>
    <row r="108376" customFormat="1" x14ac:dyDescent="0.25"/>
    <row r="108377" customFormat="1" x14ac:dyDescent="0.25"/>
    <row r="108378" customFormat="1" x14ac:dyDescent="0.25"/>
    <row r="108379" customFormat="1" x14ac:dyDescent="0.25"/>
    <row r="108380" customFormat="1" x14ac:dyDescent="0.25"/>
    <row r="108381" customFormat="1" x14ac:dyDescent="0.25"/>
    <row r="108382" customFormat="1" x14ac:dyDescent="0.25"/>
    <row r="108383" customFormat="1" x14ac:dyDescent="0.25"/>
    <row r="108384" customFormat="1" x14ac:dyDescent="0.25"/>
    <row r="108385" customFormat="1" x14ac:dyDescent="0.25"/>
    <row r="108386" customFormat="1" x14ac:dyDescent="0.25"/>
    <row r="108387" customFormat="1" x14ac:dyDescent="0.25"/>
    <row r="108388" customFormat="1" x14ac:dyDescent="0.25"/>
    <row r="108389" customFormat="1" x14ac:dyDescent="0.25"/>
    <row r="108390" customFormat="1" x14ac:dyDescent="0.25"/>
    <row r="108391" customFormat="1" x14ac:dyDescent="0.25"/>
    <row r="108392" customFormat="1" x14ac:dyDescent="0.25"/>
    <row r="108393" customFormat="1" x14ac:dyDescent="0.25"/>
    <row r="108394" customFormat="1" x14ac:dyDescent="0.25"/>
    <row r="108395" customFormat="1" x14ac:dyDescent="0.25"/>
    <row r="108396" customFormat="1" x14ac:dyDescent="0.25"/>
    <row r="108397" customFormat="1" x14ac:dyDescent="0.25"/>
    <row r="108398" customFormat="1" x14ac:dyDescent="0.25"/>
    <row r="108399" customFormat="1" x14ac:dyDescent="0.25"/>
    <row r="108400" customFormat="1" x14ac:dyDescent="0.25"/>
    <row r="108401" customFormat="1" x14ac:dyDescent="0.25"/>
    <row r="108402" customFormat="1" x14ac:dyDescent="0.25"/>
    <row r="108403" customFormat="1" x14ac:dyDescent="0.25"/>
    <row r="108404" customFormat="1" x14ac:dyDescent="0.25"/>
    <row r="108405" customFormat="1" x14ac:dyDescent="0.25"/>
    <row r="108406" customFormat="1" x14ac:dyDescent="0.25"/>
    <row r="108407" customFormat="1" x14ac:dyDescent="0.25"/>
    <row r="108408" customFormat="1" x14ac:dyDescent="0.25"/>
    <row r="108409" customFormat="1" x14ac:dyDescent="0.25"/>
    <row r="108410" customFormat="1" x14ac:dyDescent="0.25"/>
    <row r="108411" customFormat="1" x14ac:dyDescent="0.25"/>
    <row r="108412" customFormat="1" x14ac:dyDescent="0.25"/>
    <row r="108413" customFormat="1" x14ac:dyDescent="0.25"/>
    <row r="108414" customFormat="1" x14ac:dyDescent="0.25"/>
    <row r="108415" customFormat="1" x14ac:dyDescent="0.25"/>
    <row r="108416" customFormat="1" x14ac:dyDescent="0.25"/>
    <row r="108417" customFormat="1" x14ac:dyDescent="0.25"/>
    <row r="108418" customFormat="1" x14ac:dyDescent="0.25"/>
    <row r="108419" customFormat="1" x14ac:dyDescent="0.25"/>
    <row r="108420" customFormat="1" x14ac:dyDescent="0.25"/>
    <row r="108421" customFormat="1" x14ac:dyDescent="0.25"/>
    <row r="108422" customFormat="1" x14ac:dyDescent="0.25"/>
    <row r="108423" customFormat="1" x14ac:dyDescent="0.25"/>
    <row r="108424" customFormat="1" x14ac:dyDescent="0.25"/>
    <row r="108425" customFormat="1" x14ac:dyDescent="0.25"/>
    <row r="108426" customFormat="1" x14ac:dyDescent="0.25"/>
    <row r="108427" customFormat="1" x14ac:dyDescent="0.25"/>
    <row r="108428" customFormat="1" x14ac:dyDescent="0.25"/>
    <row r="108429" customFormat="1" x14ac:dyDescent="0.25"/>
    <row r="108430" customFormat="1" x14ac:dyDescent="0.25"/>
    <row r="108431" customFormat="1" x14ac:dyDescent="0.25"/>
    <row r="108432" customFormat="1" x14ac:dyDescent="0.25"/>
    <row r="108433" customFormat="1" x14ac:dyDescent="0.25"/>
    <row r="108434" customFormat="1" x14ac:dyDescent="0.25"/>
    <row r="108435" customFormat="1" x14ac:dyDescent="0.25"/>
    <row r="108436" customFormat="1" x14ac:dyDescent="0.25"/>
    <row r="108437" customFormat="1" x14ac:dyDescent="0.25"/>
    <row r="108438" customFormat="1" x14ac:dyDescent="0.25"/>
    <row r="108439" customFormat="1" x14ac:dyDescent="0.25"/>
    <row r="108440" customFormat="1" x14ac:dyDescent="0.25"/>
    <row r="108441" customFormat="1" x14ac:dyDescent="0.25"/>
    <row r="108442" customFormat="1" x14ac:dyDescent="0.25"/>
    <row r="108443" customFormat="1" x14ac:dyDescent="0.25"/>
    <row r="108444" customFormat="1" x14ac:dyDescent="0.25"/>
    <row r="108445" customFormat="1" x14ac:dyDescent="0.25"/>
    <row r="108446" customFormat="1" x14ac:dyDescent="0.25"/>
    <row r="108447" customFormat="1" x14ac:dyDescent="0.25"/>
    <row r="108448" customFormat="1" x14ac:dyDescent="0.25"/>
    <row r="108449" customFormat="1" x14ac:dyDescent="0.25"/>
    <row r="108450" customFormat="1" x14ac:dyDescent="0.25"/>
    <row r="108451" customFormat="1" x14ac:dyDescent="0.25"/>
    <row r="108452" customFormat="1" x14ac:dyDescent="0.25"/>
    <row r="108453" customFormat="1" x14ac:dyDescent="0.25"/>
    <row r="108454" customFormat="1" x14ac:dyDescent="0.25"/>
    <row r="108455" customFormat="1" x14ac:dyDescent="0.25"/>
    <row r="108456" customFormat="1" x14ac:dyDescent="0.25"/>
    <row r="108457" customFormat="1" x14ac:dyDescent="0.25"/>
    <row r="108458" customFormat="1" x14ac:dyDescent="0.25"/>
    <row r="108459" customFormat="1" x14ac:dyDescent="0.25"/>
    <row r="108460" customFormat="1" x14ac:dyDescent="0.25"/>
    <row r="108461" customFormat="1" x14ac:dyDescent="0.25"/>
    <row r="108462" customFormat="1" x14ac:dyDescent="0.25"/>
    <row r="108463" customFormat="1" x14ac:dyDescent="0.25"/>
    <row r="108464" customFormat="1" x14ac:dyDescent="0.25"/>
    <row r="108465" customFormat="1" x14ac:dyDescent="0.25"/>
    <row r="108466" customFormat="1" x14ac:dyDescent="0.25"/>
    <row r="108467" customFormat="1" x14ac:dyDescent="0.25"/>
    <row r="108468" customFormat="1" x14ac:dyDescent="0.25"/>
    <row r="108469" customFormat="1" x14ac:dyDescent="0.25"/>
    <row r="108470" customFormat="1" x14ac:dyDescent="0.25"/>
    <row r="108471" customFormat="1" x14ac:dyDescent="0.25"/>
    <row r="108472" customFormat="1" x14ac:dyDescent="0.25"/>
    <row r="108473" customFormat="1" x14ac:dyDescent="0.25"/>
    <row r="108474" customFormat="1" x14ac:dyDescent="0.25"/>
    <row r="108475" customFormat="1" x14ac:dyDescent="0.25"/>
    <row r="108476" customFormat="1" x14ac:dyDescent="0.25"/>
    <row r="108477" customFormat="1" x14ac:dyDescent="0.25"/>
    <row r="108478" customFormat="1" x14ac:dyDescent="0.25"/>
    <row r="108479" customFormat="1" x14ac:dyDescent="0.25"/>
    <row r="108480" customFormat="1" x14ac:dyDescent="0.25"/>
    <row r="108481" customFormat="1" x14ac:dyDescent="0.25"/>
    <row r="108482" customFormat="1" x14ac:dyDescent="0.25"/>
    <row r="108483" customFormat="1" x14ac:dyDescent="0.25"/>
    <row r="108484" customFormat="1" x14ac:dyDescent="0.25"/>
    <row r="108485" customFormat="1" x14ac:dyDescent="0.25"/>
    <row r="108486" customFormat="1" x14ac:dyDescent="0.25"/>
    <row r="108487" customFormat="1" x14ac:dyDescent="0.25"/>
    <row r="108488" customFormat="1" x14ac:dyDescent="0.25"/>
    <row r="108489" customFormat="1" x14ac:dyDescent="0.25"/>
    <row r="108490" customFormat="1" x14ac:dyDescent="0.25"/>
    <row r="108491" customFormat="1" x14ac:dyDescent="0.25"/>
    <row r="108492" customFormat="1" x14ac:dyDescent="0.25"/>
    <row r="108493" customFormat="1" x14ac:dyDescent="0.25"/>
    <row r="108494" customFormat="1" x14ac:dyDescent="0.25"/>
    <row r="108495" customFormat="1" x14ac:dyDescent="0.25"/>
    <row r="108496" customFormat="1" x14ac:dyDescent="0.25"/>
    <row r="108497" customFormat="1" x14ac:dyDescent="0.25"/>
    <row r="108498" customFormat="1" x14ac:dyDescent="0.25"/>
    <row r="108499" customFormat="1" x14ac:dyDescent="0.25"/>
    <row r="108500" customFormat="1" x14ac:dyDescent="0.25"/>
    <row r="108501" customFormat="1" x14ac:dyDescent="0.25"/>
    <row r="108502" customFormat="1" x14ac:dyDescent="0.25"/>
    <row r="108503" customFormat="1" x14ac:dyDescent="0.25"/>
    <row r="108504" customFormat="1" x14ac:dyDescent="0.25"/>
    <row r="108505" customFormat="1" x14ac:dyDescent="0.25"/>
    <row r="108506" customFormat="1" x14ac:dyDescent="0.25"/>
    <row r="108507" customFormat="1" x14ac:dyDescent="0.25"/>
    <row r="108508" customFormat="1" x14ac:dyDescent="0.25"/>
    <row r="108509" customFormat="1" x14ac:dyDescent="0.25"/>
    <row r="108510" customFormat="1" x14ac:dyDescent="0.25"/>
    <row r="108511" customFormat="1" x14ac:dyDescent="0.25"/>
    <row r="108512" customFormat="1" x14ac:dyDescent="0.25"/>
    <row r="108513" customFormat="1" x14ac:dyDescent="0.25"/>
    <row r="108514" customFormat="1" x14ac:dyDescent="0.25"/>
    <row r="108515" customFormat="1" x14ac:dyDescent="0.25"/>
    <row r="108516" customFormat="1" x14ac:dyDescent="0.25"/>
    <row r="108517" customFormat="1" x14ac:dyDescent="0.25"/>
    <row r="108518" customFormat="1" x14ac:dyDescent="0.25"/>
    <row r="108519" customFormat="1" x14ac:dyDescent="0.25"/>
    <row r="108520" customFormat="1" x14ac:dyDescent="0.25"/>
    <row r="108521" customFormat="1" x14ac:dyDescent="0.25"/>
    <row r="108522" customFormat="1" x14ac:dyDescent="0.25"/>
    <row r="108523" customFormat="1" x14ac:dyDescent="0.25"/>
    <row r="108524" customFormat="1" x14ac:dyDescent="0.25"/>
    <row r="108525" customFormat="1" x14ac:dyDescent="0.25"/>
    <row r="108526" customFormat="1" x14ac:dyDescent="0.25"/>
    <row r="108527" customFormat="1" x14ac:dyDescent="0.25"/>
    <row r="108528" customFormat="1" x14ac:dyDescent="0.25"/>
    <row r="108529" customFormat="1" x14ac:dyDescent="0.25"/>
    <row r="108530" customFormat="1" x14ac:dyDescent="0.25"/>
    <row r="108531" customFormat="1" x14ac:dyDescent="0.25"/>
    <row r="108532" customFormat="1" x14ac:dyDescent="0.25"/>
    <row r="108533" customFormat="1" x14ac:dyDescent="0.25"/>
    <row r="108534" customFormat="1" x14ac:dyDescent="0.25"/>
    <row r="108535" customFormat="1" x14ac:dyDescent="0.25"/>
    <row r="108536" customFormat="1" x14ac:dyDescent="0.25"/>
    <row r="108537" customFormat="1" x14ac:dyDescent="0.25"/>
    <row r="108538" customFormat="1" x14ac:dyDescent="0.25"/>
    <row r="108539" customFormat="1" x14ac:dyDescent="0.25"/>
    <row r="108540" customFormat="1" x14ac:dyDescent="0.25"/>
    <row r="108541" customFormat="1" x14ac:dyDescent="0.25"/>
    <row r="108542" customFormat="1" x14ac:dyDescent="0.25"/>
    <row r="108543" customFormat="1" x14ac:dyDescent="0.25"/>
    <row r="108544" customFormat="1" x14ac:dyDescent="0.25"/>
    <row r="108545" customFormat="1" x14ac:dyDescent="0.25"/>
    <row r="108546" customFormat="1" x14ac:dyDescent="0.25"/>
    <row r="108547" customFormat="1" x14ac:dyDescent="0.25"/>
    <row r="108548" customFormat="1" x14ac:dyDescent="0.25"/>
    <row r="108549" customFormat="1" x14ac:dyDescent="0.25"/>
    <row r="108550" customFormat="1" x14ac:dyDescent="0.25"/>
    <row r="108551" customFormat="1" x14ac:dyDescent="0.25"/>
    <row r="108552" customFormat="1" x14ac:dyDescent="0.25"/>
    <row r="108553" customFormat="1" x14ac:dyDescent="0.25"/>
    <row r="108554" customFormat="1" x14ac:dyDescent="0.25"/>
    <row r="108555" customFormat="1" x14ac:dyDescent="0.25"/>
    <row r="108556" customFormat="1" x14ac:dyDescent="0.25"/>
    <row r="108557" customFormat="1" x14ac:dyDescent="0.25"/>
    <row r="108558" customFormat="1" x14ac:dyDescent="0.25"/>
    <row r="108559" customFormat="1" x14ac:dyDescent="0.25"/>
    <row r="108560" customFormat="1" x14ac:dyDescent="0.25"/>
    <row r="108561" customFormat="1" x14ac:dyDescent="0.25"/>
    <row r="108562" customFormat="1" x14ac:dyDescent="0.25"/>
    <row r="108563" customFormat="1" x14ac:dyDescent="0.25"/>
    <row r="108564" customFormat="1" x14ac:dyDescent="0.25"/>
    <row r="108565" customFormat="1" x14ac:dyDescent="0.25"/>
    <row r="108566" customFormat="1" x14ac:dyDescent="0.25"/>
    <row r="108567" customFormat="1" x14ac:dyDescent="0.25"/>
    <row r="108568" customFormat="1" x14ac:dyDescent="0.25"/>
    <row r="108569" customFormat="1" x14ac:dyDescent="0.25"/>
    <row r="108570" customFormat="1" x14ac:dyDescent="0.25"/>
    <row r="108571" customFormat="1" x14ac:dyDescent="0.25"/>
    <row r="108572" customFormat="1" x14ac:dyDescent="0.25"/>
    <row r="108573" customFormat="1" x14ac:dyDescent="0.25"/>
    <row r="108574" customFormat="1" x14ac:dyDescent="0.25"/>
    <row r="108575" customFormat="1" x14ac:dyDescent="0.25"/>
    <row r="108576" customFormat="1" x14ac:dyDescent="0.25"/>
    <row r="108577" customFormat="1" x14ac:dyDescent="0.25"/>
    <row r="108578" customFormat="1" x14ac:dyDescent="0.25"/>
    <row r="108579" customFormat="1" x14ac:dyDescent="0.25"/>
    <row r="108580" customFormat="1" x14ac:dyDescent="0.25"/>
    <row r="108581" customFormat="1" x14ac:dyDescent="0.25"/>
    <row r="108582" customFormat="1" x14ac:dyDescent="0.25"/>
    <row r="108583" customFormat="1" x14ac:dyDescent="0.25"/>
    <row r="108584" customFormat="1" x14ac:dyDescent="0.25"/>
    <row r="108585" customFormat="1" x14ac:dyDescent="0.25"/>
    <row r="108586" customFormat="1" x14ac:dyDescent="0.25"/>
    <row r="108587" customFormat="1" x14ac:dyDescent="0.25"/>
    <row r="108588" customFormat="1" x14ac:dyDescent="0.25"/>
    <row r="108589" customFormat="1" x14ac:dyDescent="0.25"/>
    <row r="108590" customFormat="1" x14ac:dyDescent="0.25"/>
    <row r="108591" customFormat="1" x14ac:dyDescent="0.25"/>
    <row r="108592" customFormat="1" x14ac:dyDescent="0.25"/>
    <row r="108593" customFormat="1" x14ac:dyDescent="0.25"/>
    <row r="108594" customFormat="1" x14ac:dyDescent="0.25"/>
    <row r="108595" customFormat="1" x14ac:dyDescent="0.25"/>
    <row r="108596" customFormat="1" x14ac:dyDescent="0.25"/>
    <row r="108597" customFormat="1" x14ac:dyDescent="0.25"/>
    <row r="108598" customFormat="1" x14ac:dyDescent="0.25"/>
    <row r="108599" customFormat="1" x14ac:dyDescent="0.25"/>
    <row r="108600" customFormat="1" x14ac:dyDescent="0.25"/>
    <row r="108601" customFormat="1" x14ac:dyDescent="0.25"/>
    <row r="108602" customFormat="1" x14ac:dyDescent="0.25"/>
    <row r="108603" customFormat="1" x14ac:dyDescent="0.25"/>
    <row r="108604" customFormat="1" x14ac:dyDescent="0.25"/>
    <row r="108605" customFormat="1" x14ac:dyDescent="0.25"/>
    <row r="108606" customFormat="1" x14ac:dyDescent="0.25"/>
    <row r="108607" customFormat="1" x14ac:dyDescent="0.25"/>
    <row r="108608" customFormat="1" x14ac:dyDescent="0.25"/>
    <row r="108609" customFormat="1" x14ac:dyDescent="0.25"/>
    <row r="108610" customFormat="1" x14ac:dyDescent="0.25"/>
    <row r="108611" customFormat="1" x14ac:dyDescent="0.25"/>
    <row r="108612" customFormat="1" x14ac:dyDescent="0.25"/>
    <row r="108613" customFormat="1" x14ac:dyDescent="0.25"/>
    <row r="108614" customFormat="1" x14ac:dyDescent="0.25"/>
    <row r="108615" customFormat="1" x14ac:dyDescent="0.25"/>
    <row r="108616" customFormat="1" x14ac:dyDescent="0.25"/>
    <row r="108617" customFormat="1" x14ac:dyDescent="0.25"/>
    <row r="108618" customFormat="1" x14ac:dyDescent="0.25"/>
    <row r="108619" customFormat="1" x14ac:dyDescent="0.25"/>
    <row r="108620" customFormat="1" x14ac:dyDescent="0.25"/>
    <row r="108621" customFormat="1" x14ac:dyDescent="0.25"/>
    <row r="108622" customFormat="1" x14ac:dyDescent="0.25"/>
    <row r="108623" customFormat="1" x14ac:dyDescent="0.25"/>
    <row r="108624" customFormat="1" x14ac:dyDescent="0.25"/>
    <row r="108625" customFormat="1" x14ac:dyDescent="0.25"/>
    <row r="108626" customFormat="1" x14ac:dyDescent="0.25"/>
    <row r="108627" customFormat="1" x14ac:dyDescent="0.25"/>
    <row r="108628" customFormat="1" x14ac:dyDescent="0.25"/>
    <row r="108629" customFormat="1" x14ac:dyDescent="0.25"/>
    <row r="108630" customFormat="1" x14ac:dyDescent="0.25"/>
    <row r="108631" customFormat="1" x14ac:dyDescent="0.25"/>
    <row r="108632" customFormat="1" x14ac:dyDescent="0.25"/>
    <row r="108633" customFormat="1" x14ac:dyDescent="0.25"/>
    <row r="108634" customFormat="1" x14ac:dyDescent="0.25"/>
    <row r="108635" customFormat="1" x14ac:dyDescent="0.25"/>
    <row r="108636" customFormat="1" x14ac:dyDescent="0.25"/>
    <row r="108637" customFormat="1" x14ac:dyDescent="0.25"/>
    <row r="108638" customFormat="1" x14ac:dyDescent="0.25"/>
    <row r="108639" customFormat="1" x14ac:dyDescent="0.25"/>
    <row r="108640" customFormat="1" x14ac:dyDescent="0.25"/>
    <row r="108641" customFormat="1" x14ac:dyDescent="0.25"/>
    <row r="108642" customFormat="1" x14ac:dyDescent="0.25"/>
    <row r="108643" customFormat="1" x14ac:dyDescent="0.25"/>
    <row r="108644" customFormat="1" x14ac:dyDescent="0.25"/>
    <row r="108645" customFormat="1" x14ac:dyDescent="0.25"/>
    <row r="108646" customFormat="1" x14ac:dyDescent="0.25"/>
    <row r="108647" customFormat="1" x14ac:dyDescent="0.25"/>
    <row r="108648" customFormat="1" x14ac:dyDescent="0.25"/>
    <row r="108649" customFormat="1" x14ac:dyDescent="0.25"/>
    <row r="108650" customFormat="1" x14ac:dyDescent="0.25"/>
    <row r="108651" customFormat="1" x14ac:dyDescent="0.25"/>
    <row r="108652" customFormat="1" x14ac:dyDescent="0.25"/>
    <row r="108653" customFormat="1" x14ac:dyDescent="0.25"/>
    <row r="108654" customFormat="1" x14ac:dyDescent="0.25"/>
    <row r="108655" customFormat="1" x14ac:dyDescent="0.25"/>
    <row r="108656" customFormat="1" x14ac:dyDescent="0.25"/>
    <row r="108657" customFormat="1" x14ac:dyDescent="0.25"/>
    <row r="108658" customFormat="1" x14ac:dyDescent="0.25"/>
    <row r="108659" customFormat="1" x14ac:dyDescent="0.25"/>
    <row r="108660" customFormat="1" x14ac:dyDescent="0.25"/>
    <row r="108661" customFormat="1" x14ac:dyDescent="0.25"/>
    <row r="108662" customFormat="1" x14ac:dyDescent="0.25"/>
    <row r="108663" customFormat="1" x14ac:dyDescent="0.25"/>
    <row r="108664" customFormat="1" x14ac:dyDescent="0.25"/>
    <row r="108665" customFormat="1" x14ac:dyDescent="0.25"/>
    <row r="108666" customFormat="1" x14ac:dyDescent="0.25"/>
    <row r="108667" customFormat="1" x14ac:dyDescent="0.25"/>
    <row r="108668" customFormat="1" x14ac:dyDescent="0.25"/>
    <row r="108669" customFormat="1" x14ac:dyDescent="0.25"/>
    <row r="108670" customFormat="1" x14ac:dyDescent="0.25"/>
    <row r="108671" customFormat="1" x14ac:dyDescent="0.25"/>
    <row r="108672" customFormat="1" x14ac:dyDescent="0.25"/>
    <row r="108673" customFormat="1" x14ac:dyDescent="0.25"/>
    <row r="108674" customFormat="1" x14ac:dyDescent="0.25"/>
    <row r="108675" customFormat="1" x14ac:dyDescent="0.25"/>
    <row r="108676" customFormat="1" x14ac:dyDescent="0.25"/>
    <row r="108677" customFormat="1" x14ac:dyDescent="0.25"/>
    <row r="108678" customFormat="1" x14ac:dyDescent="0.25"/>
    <row r="108679" customFormat="1" x14ac:dyDescent="0.25"/>
    <row r="108680" customFormat="1" x14ac:dyDescent="0.25"/>
    <row r="108681" customFormat="1" x14ac:dyDescent="0.25"/>
    <row r="108682" customFormat="1" x14ac:dyDescent="0.25"/>
    <row r="108683" customFormat="1" x14ac:dyDescent="0.25"/>
    <row r="108684" customFormat="1" x14ac:dyDescent="0.25"/>
    <row r="108685" customFormat="1" x14ac:dyDescent="0.25"/>
    <row r="108686" customFormat="1" x14ac:dyDescent="0.25"/>
    <row r="108687" customFormat="1" x14ac:dyDescent="0.25"/>
    <row r="108688" customFormat="1" x14ac:dyDescent="0.25"/>
    <row r="108689" customFormat="1" x14ac:dyDescent="0.25"/>
    <row r="108690" customFormat="1" x14ac:dyDescent="0.25"/>
    <row r="108691" customFormat="1" x14ac:dyDescent="0.25"/>
    <row r="108692" customFormat="1" x14ac:dyDescent="0.25"/>
    <row r="108693" customFormat="1" x14ac:dyDescent="0.25"/>
    <row r="108694" customFormat="1" x14ac:dyDescent="0.25"/>
    <row r="108695" customFormat="1" x14ac:dyDescent="0.25"/>
    <row r="108696" customFormat="1" x14ac:dyDescent="0.25"/>
    <row r="108697" customFormat="1" x14ac:dyDescent="0.25"/>
    <row r="108698" customFormat="1" x14ac:dyDescent="0.25"/>
    <row r="108699" customFormat="1" x14ac:dyDescent="0.25"/>
    <row r="108700" customFormat="1" x14ac:dyDescent="0.25"/>
    <row r="108701" customFormat="1" x14ac:dyDescent="0.25"/>
    <row r="108702" customFormat="1" x14ac:dyDescent="0.25"/>
    <row r="108703" customFormat="1" x14ac:dyDescent="0.25"/>
    <row r="108704" customFormat="1" x14ac:dyDescent="0.25"/>
    <row r="108705" customFormat="1" x14ac:dyDescent="0.25"/>
    <row r="108706" customFormat="1" x14ac:dyDescent="0.25"/>
    <row r="108707" customFormat="1" x14ac:dyDescent="0.25"/>
    <row r="108708" customFormat="1" x14ac:dyDescent="0.25"/>
    <row r="108709" customFormat="1" x14ac:dyDescent="0.25"/>
    <row r="108710" customFormat="1" x14ac:dyDescent="0.25"/>
    <row r="108711" customFormat="1" x14ac:dyDescent="0.25"/>
    <row r="108712" customFormat="1" x14ac:dyDescent="0.25"/>
    <row r="108713" customFormat="1" x14ac:dyDescent="0.25"/>
    <row r="108714" customFormat="1" x14ac:dyDescent="0.25"/>
    <row r="108715" customFormat="1" x14ac:dyDescent="0.25"/>
    <row r="108716" customFormat="1" x14ac:dyDescent="0.25"/>
    <row r="108717" customFormat="1" x14ac:dyDescent="0.25"/>
    <row r="108718" customFormat="1" x14ac:dyDescent="0.25"/>
    <row r="108719" customFormat="1" x14ac:dyDescent="0.25"/>
    <row r="108720" customFormat="1" x14ac:dyDescent="0.25"/>
    <row r="108721" customFormat="1" x14ac:dyDescent="0.25"/>
    <row r="108722" customFormat="1" x14ac:dyDescent="0.25"/>
    <row r="108723" customFormat="1" x14ac:dyDescent="0.25"/>
    <row r="108724" customFormat="1" x14ac:dyDescent="0.25"/>
    <row r="108725" customFormat="1" x14ac:dyDescent="0.25"/>
    <row r="108726" customFormat="1" x14ac:dyDescent="0.25"/>
    <row r="108727" customFormat="1" x14ac:dyDescent="0.25"/>
    <row r="108728" customFormat="1" x14ac:dyDescent="0.25"/>
    <row r="108729" customFormat="1" x14ac:dyDescent="0.25"/>
    <row r="108730" customFormat="1" x14ac:dyDescent="0.25"/>
    <row r="108731" customFormat="1" x14ac:dyDescent="0.25"/>
    <row r="108732" customFormat="1" x14ac:dyDescent="0.25"/>
    <row r="108733" customFormat="1" x14ac:dyDescent="0.25"/>
    <row r="108734" customFormat="1" x14ac:dyDescent="0.25"/>
    <row r="108735" customFormat="1" x14ac:dyDescent="0.25"/>
    <row r="108736" customFormat="1" x14ac:dyDescent="0.25"/>
    <row r="108737" customFormat="1" x14ac:dyDescent="0.25"/>
    <row r="108738" customFormat="1" x14ac:dyDescent="0.25"/>
    <row r="108739" customFormat="1" x14ac:dyDescent="0.25"/>
    <row r="108740" customFormat="1" x14ac:dyDescent="0.25"/>
    <row r="108741" customFormat="1" x14ac:dyDescent="0.25"/>
    <row r="108742" customFormat="1" x14ac:dyDescent="0.25"/>
    <row r="108743" customFormat="1" x14ac:dyDescent="0.25"/>
    <row r="108744" customFormat="1" x14ac:dyDescent="0.25"/>
    <row r="108745" customFormat="1" x14ac:dyDescent="0.25"/>
    <row r="108746" customFormat="1" x14ac:dyDescent="0.25"/>
    <row r="108747" customFormat="1" x14ac:dyDescent="0.25"/>
    <row r="108748" customFormat="1" x14ac:dyDescent="0.25"/>
    <row r="108749" customFormat="1" x14ac:dyDescent="0.25"/>
    <row r="108750" customFormat="1" x14ac:dyDescent="0.25"/>
    <row r="108751" customFormat="1" x14ac:dyDescent="0.25"/>
    <row r="108752" customFormat="1" x14ac:dyDescent="0.25"/>
    <row r="108753" customFormat="1" x14ac:dyDescent="0.25"/>
    <row r="108754" customFormat="1" x14ac:dyDescent="0.25"/>
    <row r="108755" customFormat="1" x14ac:dyDescent="0.25"/>
    <row r="108756" customFormat="1" x14ac:dyDescent="0.25"/>
    <row r="108757" customFormat="1" x14ac:dyDescent="0.25"/>
    <row r="108758" customFormat="1" x14ac:dyDescent="0.25"/>
    <row r="108759" customFormat="1" x14ac:dyDescent="0.25"/>
    <row r="108760" customFormat="1" x14ac:dyDescent="0.25"/>
    <row r="108761" customFormat="1" x14ac:dyDescent="0.25"/>
    <row r="108762" customFormat="1" x14ac:dyDescent="0.25"/>
    <row r="108763" customFormat="1" x14ac:dyDescent="0.25"/>
    <row r="108764" customFormat="1" x14ac:dyDescent="0.25"/>
    <row r="108765" customFormat="1" x14ac:dyDescent="0.25"/>
    <row r="108766" customFormat="1" x14ac:dyDescent="0.25"/>
    <row r="108767" customFormat="1" x14ac:dyDescent="0.25"/>
    <row r="108768" customFormat="1" x14ac:dyDescent="0.25"/>
    <row r="108769" customFormat="1" x14ac:dyDescent="0.25"/>
    <row r="108770" customFormat="1" x14ac:dyDescent="0.25"/>
    <row r="108771" customFormat="1" x14ac:dyDescent="0.25"/>
    <row r="108772" customFormat="1" x14ac:dyDescent="0.25"/>
    <row r="108773" customFormat="1" x14ac:dyDescent="0.25"/>
    <row r="108774" customFormat="1" x14ac:dyDescent="0.25"/>
    <row r="108775" customFormat="1" x14ac:dyDescent="0.25"/>
    <row r="108776" customFormat="1" x14ac:dyDescent="0.25"/>
    <row r="108777" customFormat="1" x14ac:dyDescent="0.25"/>
    <row r="108778" customFormat="1" x14ac:dyDescent="0.25"/>
    <row r="108779" customFormat="1" x14ac:dyDescent="0.25"/>
    <row r="108780" customFormat="1" x14ac:dyDescent="0.25"/>
    <row r="108781" customFormat="1" x14ac:dyDescent="0.25"/>
    <row r="108782" customFormat="1" x14ac:dyDescent="0.25"/>
    <row r="108783" customFormat="1" x14ac:dyDescent="0.25"/>
    <row r="108784" customFormat="1" x14ac:dyDescent="0.25"/>
    <row r="108785" customFormat="1" x14ac:dyDescent="0.25"/>
    <row r="108786" customFormat="1" x14ac:dyDescent="0.25"/>
    <row r="108787" customFormat="1" x14ac:dyDescent="0.25"/>
    <row r="108788" customFormat="1" x14ac:dyDescent="0.25"/>
    <row r="108789" customFormat="1" x14ac:dyDescent="0.25"/>
    <row r="108790" customFormat="1" x14ac:dyDescent="0.25"/>
    <row r="108791" customFormat="1" x14ac:dyDescent="0.25"/>
    <row r="108792" customFormat="1" x14ac:dyDescent="0.25"/>
    <row r="108793" customFormat="1" x14ac:dyDescent="0.25"/>
    <row r="108794" customFormat="1" x14ac:dyDescent="0.25"/>
    <row r="108795" customFormat="1" x14ac:dyDescent="0.25"/>
    <row r="108796" customFormat="1" x14ac:dyDescent="0.25"/>
    <row r="108797" customFormat="1" x14ac:dyDescent="0.25"/>
    <row r="108798" customFormat="1" x14ac:dyDescent="0.25"/>
    <row r="108799" customFormat="1" x14ac:dyDescent="0.25"/>
    <row r="108800" customFormat="1" x14ac:dyDescent="0.25"/>
    <row r="108801" customFormat="1" x14ac:dyDescent="0.25"/>
    <row r="108802" customFormat="1" x14ac:dyDescent="0.25"/>
    <row r="108803" customFormat="1" x14ac:dyDescent="0.25"/>
    <row r="108804" customFormat="1" x14ac:dyDescent="0.25"/>
    <row r="108805" customFormat="1" x14ac:dyDescent="0.25"/>
    <row r="108806" customFormat="1" x14ac:dyDescent="0.25"/>
    <row r="108807" customFormat="1" x14ac:dyDescent="0.25"/>
    <row r="108808" customFormat="1" x14ac:dyDescent="0.25"/>
    <row r="108809" customFormat="1" x14ac:dyDescent="0.25"/>
    <row r="108810" customFormat="1" x14ac:dyDescent="0.25"/>
    <row r="108811" customFormat="1" x14ac:dyDescent="0.25"/>
    <row r="108812" customFormat="1" x14ac:dyDescent="0.25"/>
    <row r="108813" customFormat="1" x14ac:dyDescent="0.25"/>
    <row r="108814" customFormat="1" x14ac:dyDescent="0.25"/>
    <row r="108815" customFormat="1" x14ac:dyDescent="0.25"/>
    <row r="108816" customFormat="1" x14ac:dyDescent="0.25"/>
    <row r="108817" customFormat="1" x14ac:dyDescent="0.25"/>
    <row r="108818" customFormat="1" x14ac:dyDescent="0.25"/>
    <row r="108819" customFormat="1" x14ac:dyDescent="0.25"/>
    <row r="108820" customFormat="1" x14ac:dyDescent="0.25"/>
    <row r="108821" customFormat="1" x14ac:dyDescent="0.25"/>
    <row r="108822" customFormat="1" x14ac:dyDescent="0.25"/>
    <row r="108823" customFormat="1" x14ac:dyDescent="0.25"/>
    <row r="108824" customFormat="1" x14ac:dyDescent="0.25"/>
    <row r="108825" customFormat="1" x14ac:dyDescent="0.25"/>
    <row r="108826" customFormat="1" x14ac:dyDescent="0.25"/>
    <row r="108827" customFormat="1" x14ac:dyDescent="0.25"/>
    <row r="108828" customFormat="1" x14ac:dyDescent="0.25"/>
    <row r="108829" customFormat="1" x14ac:dyDescent="0.25"/>
    <row r="108830" customFormat="1" x14ac:dyDescent="0.25"/>
    <row r="108831" customFormat="1" x14ac:dyDescent="0.25"/>
    <row r="108832" customFormat="1" x14ac:dyDescent="0.25"/>
    <row r="108833" customFormat="1" x14ac:dyDescent="0.25"/>
    <row r="108834" customFormat="1" x14ac:dyDescent="0.25"/>
    <row r="108835" customFormat="1" x14ac:dyDescent="0.25"/>
    <row r="108836" customFormat="1" x14ac:dyDescent="0.25"/>
    <row r="108837" customFormat="1" x14ac:dyDescent="0.25"/>
    <row r="108838" customFormat="1" x14ac:dyDescent="0.25"/>
    <row r="108839" customFormat="1" x14ac:dyDescent="0.25"/>
    <row r="108840" customFormat="1" x14ac:dyDescent="0.25"/>
    <row r="108841" customFormat="1" x14ac:dyDescent="0.25"/>
    <row r="108842" customFormat="1" x14ac:dyDescent="0.25"/>
    <row r="108843" customFormat="1" x14ac:dyDescent="0.25"/>
    <row r="108844" customFormat="1" x14ac:dyDescent="0.25"/>
    <row r="108845" customFormat="1" x14ac:dyDescent="0.25"/>
    <row r="108846" customFormat="1" x14ac:dyDescent="0.25"/>
    <row r="108847" customFormat="1" x14ac:dyDescent="0.25"/>
    <row r="108848" customFormat="1" x14ac:dyDescent="0.25"/>
    <row r="108849" customFormat="1" x14ac:dyDescent="0.25"/>
    <row r="108850" customFormat="1" x14ac:dyDescent="0.25"/>
    <row r="108851" customFormat="1" x14ac:dyDescent="0.25"/>
    <row r="108852" customFormat="1" x14ac:dyDescent="0.25"/>
    <row r="108853" customFormat="1" x14ac:dyDescent="0.25"/>
    <row r="108854" customFormat="1" x14ac:dyDescent="0.25"/>
    <row r="108855" customFormat="1" x14ac:dyDescent="0.25"/>
    <row r="108856" customFormat="1" x14ac:dyDescent="0.25"/>
    <row r="108857" customFormat="1" x14ac:dyDescent="0.25"/>
    <row r="108858" customFormat="1" x14ac:dyDescent="0.25"/>
    <row r="108859" customFormat="1" x14ac:dyDescent="0.25"/>
    <row r="108860" customFormat="1" x14ac:dyDescent="0.25"/>
    <row r="108861" customFormat="1" x14ac:dyDescent="0.25"/>
    <row r="108862" customFormat="1" x14ac:dyDescent="0.25"/>
    <row r="108863" customFormat="1" x14ac:dyDescent="0.25"/>
    <row r="108864" customFormat="1" x14ac:dyDescent="0.25"/>
    <row r="108865" customFormat="1" x14ac:dyDescent="0.25"/>
    <row r="108866" customFormat="1" x14ac:dyDescent="0.25"/>
    <row r="108867" customFormat="1" x14ac:dyDescent="0.25"/>
    <row r="108868" customFormat="1" x14ac:dyDescent="0.25"/>
    <row r="108869" customFormat="1" x14ac:dyDescent="0.25"/>
    <row r="108870" customFormat="1" x14ac:dyDescent="0.25"/>
    <row r="108871" customFormat="1" x14ac:dyDescent="0.25"/>
    <row r="108872" customFormat="1" x14ac:dyDescent="0.25"/>
    <row r="108873" customFormat="1" x14ac:dyDescent="0.25"/>
    <row r="108874" customFormat="1" x14ac:dyDescent="0.25"/>
    <row r="108875" customFormat="1" x14ac:dyDescent="0.25"/>
    <row r="108876" customFormat="1" x14ac:dyDescent="0.25"/>
    <row r="108877" customFormat="1" x14ac:dyDescent="0.25"/>
    <row r="108878" customFormat="1" x14ac:dyDescent="0.25"/>
    <row r="108879" customFormat="1" x14ac:dyDescent="0.25"/>
    <row r="108880" customFormat="1" x14ac:dyDescent="0.25"/>
    <row r="108881" customFormat="1" x14ac:dyDescent="0.25"/>
    <row r="108882" customFormat="1" x14ac:dyDescent="0.25"/>
    <row r="108883" customFormat="1" x14ac:dyDescent="0.25"/>
    <row r="108884" customFormat="1" x14ac:dyDescent="0.25"/>
    <row r="108885" customFormat="1" x14ac:dyDescent="0.25"/>
    <row r="108886" customFormat="1" x14ac:dyDescent="0.25"/>
    <row r="108887" customFormat="1" x14ac:dyDescent="0.25"/>
    <row r="108888" customFormat="1" x14ac:dyDescent="0.25"/>
    <row r="108889" customFormat="1" x14ac:dyDescent="0.25"/>
    <row r="108890" customFormat="1" x14ac:dyDescent="0.25"/>
    <row r="108891" customFormat="1" x14ac:dyDescent="0.25"/>
    <row r="108892" customFormat="1" x14ac:dyDescent="0.25"/>
    <row r="108893" customFormat="1" x14ac:dyDescent="0.25"/>
    <row r="108894" customFormat="1" x14ac:dyDescent="0.25"/>
    <row r="108895" customFormat="1" x14ac:dyDescent="0.25"/>
    <row r="108896" customFormat="1" x14ac:dyDescent="0.25"/>
    <row r="108897" customFormat="1" x14ac:dyDescent="0.25"/>
    <row r="108898" customFormat="1" x14ac:dyDescent="0.25"/>
    <row r="108899" customFormat="1" x14ac:dyDescent="0.25"/>
    <row r="108900" customFormat="1" x14ac:dyDescent="0.25"/>
    <row r="108901" customFormat="1" x14ac:dyDescent="0.25"/>
    <row r="108902" customFormat="1" x14ac:dyDescent="0.25"/>
    <row r="108903" customFormat="1" x14ac:dyDescent="0.25"/>
    <row r="108904" customFormat="1" x14ac:dyDescent="0.25"/>
    <row r="108905" customFormat="1" x14ac:dyDescent="0.25"/>
    <row r="108906" customFormat="1" x14ac:dyDescent="0.25"/>
    <row r="108907" customFormat="1" x14ac:dyDescent="0.25"/>
    <row r="108908" customFormat="1" x14ac:dyDescent="0.25"/>
    <row r="108909" customFormat="1" x14ac:dyDescent="0.25"/>
    <row r="108910" customFormat="1" x14ac:dyDescent="0.25"/>
    <row r="108911" customFormat="1" x14ac:dyDescent="0.25"/>
    <row r="108912" customFormat="1" x14ac:dyDescent="0.25"/>
    <row r="108913" customFormat="1" x14ac:dyDescent="0.25"/>
    <row r="108914" customFormat="1" x14ac:dyDescent="0.25"/>
    <row r="108915" customFormat="1" x14ac:dyDescent="0.25"/>
    <row r="108916" customFormat="1" x14ac:dyDescent="0.25"/>
    <row r="108917" customFormat="1" x14ac:dyDescent="0.25"/>
    <row r="108918" customFormat="1" x14ac:dyDescent="0.25"/>
    <row r="108919" customFormat="1" x14ac:dyDescent="0.25"/>
    <row r="108920" customFormat="1" x14ac:dyDescent="0.25"/>
    <row r="108921" customFormat="1" x14ac:dyDescent="0.25"/>
    <row r="108922" customFormat="1" x14ac:dyDescent="0.25"/>
    <row r="108923" customFormat="1" x14ac:dyDescent="0.25"/>
    <row r="108924" customFormat="1" x14ac:dyDescent="0.25"/>
    <row r="108925" customFormat="1" x14ac:dyDescent="0.25"/>
    <row r="108926" customFormat="1" x14ac:dyDescent="0.25"/>
    <row r="108927" customFormat="1" x14ac:dyDescent="0.25"/>
    <row r="108928" customFormat="1" x14ac:dyDescent="0.25"/>
    <row r="108929" customFormat="1" x14ac:dyDescent="0.25"/>
    <row r="108930" customFormat="1" x14ac:dyDescent="0.25"/>
    <row r="108931" customFormat="1" x14ac:dyDescent="0.25"/>
    <row r="108932" customFormat="1" x14ac:dyDescent="0.25"/>
    <row r="108933" customFormat="1" x14ac:dyDescent="0.25"/>
    <row r="108934" customFormat="1" x14ac:dyDescent="0.25"/>
    <row r="108935" customFormat="1" x14ac:dyDescent="0.25"/>
    <row r="108936" customFormat="1" x14ac:dyDescent="0.25"/>
    <row r="108937" customFormat="1" x14ac:dyDescent="0.25"/>
    <row r="108938" customFormat="1" x14ac:dyDescent="0.25"/>
    <row r="108939" customFormat="1" x14ac:dyDescent="0.25"/>
    <row r="108940" customFormat="1" x14ac:dyDescent="0.25"/>
    <row r="108941" customFormat="1" x14ac:dyDescent="0.25"/>
    <row r="108942" customFormat="1" x14ac:dyDescent="0.25"/>
    <row r="108943" customFormat="1" x14ac:dyDescent="0.25"/>
    <row r="108944" customFormat="1" x14ac:dyDescent="0.25"/>
    <row r="108945" customFormat="1" x14ac:dyDescent="0.25"/>
    <row r="108946" customFormat="1" x14ac:dyDescent="0.25"/>
    <row r="108947" customFormat="1" x14ac:dyDescent="0.25"/>
    <row r="108948" customFormat="1" x14ac:dyDescent="0.25"/>
    <row r="108949" customFormat="1" x14ac:dyDescent="0.25"/>
    <row r="108950" customFormat="1" x14ac:dyDescent="0.25"/>
    <row r="108951" customFormat="1" x14ac:dyDescent="0.25"/>
    <row r="108952" customFormat="1" x14ac:dyDescent="0.25"/>
    <row r="108953" customFormat="1" x14ac:dyDescent="0.25"/>
    <row r="108954" customFormat="1" x14ac:dyDescent="0.25"/>
    <row r="108955" customFormat="1" x14ac:dyDescent="0.25"/>
    <row r="108956" customFormat="1" x14ac:dyDescent="0.25"/>
    <row r="108957" customFormat="1" x14ac:dyDescent="0.25"/>
    <row r="108958" customFormat="1" x14ac:dyDescent="0.25"/>
    <row r="108959" customFormat="1" x14ac:dyDescent="0.25"/>
    <row r="108960" customFormat="1" x14ac:dyDescent="0.25"/>
    <row r="108961" customFormat="1" x14ac:dyDescent="0.25"/>
    <row r="108962" customFormat="1" x14ac:dyDescent="0.25"/>
    <row r="108963" customFormat="1" x14ac:dyDescent="0.25"/>
    <row r="108964" customFormat="1" x14ac:dyDescent="0.25"/>
    <row r="108965" customFormat="1" x14ac:dyDescent="0.25"/>
    <row r="108966" customFormat="1" x14ac:dyDescent="0.25"/>
    <row r="108967" customFormat="1" x14ac:dyDescent="0.25"/>
    <row r="108968" customFormat="1" x14ac:dyDescent="0.25"/>
    <row r="108969" customFormat="1" x14ac:dyDescent="0.25"/>
    <row r="108970" customFormat="1" x14ac:dyDescent="0.25"/>
    <row r="108971" customFormat="1" x14ac:dyDescent="0.25"/>
    <row r="108972" customFormat="1" x14ac:dyDescent="0.25"/>
    <row r="108973" customFormat="1" x14ac:dyDescent="0.25"/>
    <row r="108974" customFormat="1" x14ac:dyDescent="0.25"/>
    <row r="108975" customFormat="1" x14ac:dyDescent="0.25"/>
    <row r="108976" customFormat="1" x14ac:dyDescent="0.25"/>
    <row r="108977" customFormat="1" x14ac:dyDescent="0.25"/>
    <row r="108978" customFormat="1" x14ac:dyDescent="0.25"/>
    <row r="108979" customFormat="1" x14ac:dyDescent="0.25"/>
    <row r="108980" customFormat="1" x14ac:dyDescent="0.25"/>
    <row r="108981" customFormat="1" x14ac:dyDescent="0.25"/>
    <row r="108982" customFormat="1" x14ac:dyDescent="0.25"/>
    <row r="108983" customFormat="1" x14ac:dyDescent="0.25"/>
    <row r="108984" customFormat="1" x14ac:dyDescent="0.25"/>
    <row r="108985" customFormat="1" x14ac:dyDescent="0.25"/>
    <row r="108986" customFormat="1" x14ac:dyDescent="0.25"/>
    <row r="108987" customFormat="1" x14ac:dyDescent="0.25"/>
    <row r="108988" customFormat="1" x14ac:dyDescent="0.25"/>
    <row r="108989" customFormat="1" x14ac:dyDescent="0.25"/>
    <row r="108990" customFormat="1" x14ac:dyDescent="0.25"/>
    <row r="108991" customFormat="1" x14ac:dyDescent="0.25"/>
    <row r="108992" customFormat="1" x14ac:dyDescent="0.25"/>
    <row r="108993" customFormat="1" x14ac:dyDescent="0.25"/>
    <row r="108994" customFormat="1" x14ac:dyDescent="0.25"/>
    <row r="108995" customFormat="1" x14ac:dyDescent="0.25"/>
    <row r="108996" customFormat="1" x14ac:dyDescent="0.25"/>
    <row r="108997" customFormat="1" x14ac:dyDescent="0.25"/>
    <row r="108998" customFormat="1" x14ac:dyDescent="0.25"/>
    <row r="108999" customFormat="1" x14ac:dyDescent="0.25"/>
    <row r="109000" customFormat="1" x14ac:dyDescent="0.25"/>
    <row r="109001" customFormat="1" x14ac:dyDescent="0.25"/>
    <row r="109002" customFormat="1" x14ac:dyDescent="0.25"/>
    <row r="109003" customFormat="1" x14ac:dyDescent="0.25"/>
    <row r="109004" customFormat="1" x14ac:dyDescent="0.25"/>
    <row r="109005" customFormat="1" x14ac:dyDescent="0.25"/>
    <row r="109006" customFormat="1" x14ac:dyDescent="0.25"/>
    <row r="109007" customFormat="1" x14ac:dyDescent="0.25"/>
    <row r="109008" customFormat="1" x14ac:dyDescent="0.25"/>
    <row r="109009" customFormat="1" x14ac:dyDescent="0.25"/>
    <row r="109010" customFormat="1" x14ac:dyDescent="0.25"/>
    <row r="109011" customFormat="1" x14ac:dyDescent="0.25"/>
    <row r="109012" customFormat="1" x14ac:dyDescent="0.25"/>
    <row r="109013" customFormat="1" x14ac:dyDescent="0.25"/>
    <row r="109014" customFormat="1" x14ac:dyDescent="0.25"/>
    <row r="109015" customFormat="1" x14ac:dyDescent="0.25"/>
    <row r="109016" customFormat="1" x14ac:dyDescent="0.25"/>
    <row r="109017" customFormat="1" x14ac:dyDescent="0.25"/>
    <row r="109018" customFormat="1" x14ac:dyDescent="0.25"/>
    <row r="109019" customFormat="1" x14ac:dyDescent="0.25"/>
    <row r="109020" customFormat="1" x14ac:dyDescent="0.25"/>
    <row r="109021" customFormat="1" x14ac:dyDescent="0.25"/>
    <row r="109022" customFormat="1" x14ac:dyDescent="0.25"/>
    <row r="109023" customFormat="1" x14ac:dyDescent="0.25"/>
    <row r="109024" customFormat="1" x14ac:dyDescent="0.25"/>
    <row r="109025" customFormat="1" x14ac:dyDescent="0.25"/>
    <row r="109026" customFormat="1" x14ac:dyDescent="0.25"/>
    <row r="109027" customFormat="1" x14ac:dyDescent="0.25"/>
    <row r="109028" customFormat="1" x14ac:dyDescent="0.25"/>
    <row r="109029" customFormat="1" x14ac:dyDescent="0.25"/>
    <row r="109030" customFormat="1" x14ac:dyDescent="0.25"/>
    <row r="109031" customFormat="1" x14ac:dyDescent="0.25"/>
    <row r="109032" customFormat="1" x14ac:dyDescent="0.25"/>
    <row r="109033" customFormat="1" x14ac:dyDescent="0.25"/>
    <row r="109034" customFormat="1" x14ac:dyDescent="0.25"/>
    <row r="109035" customFormat="1" x14ac:dyDescent="0.25"/>
    <row r="109036" customFormat="1" x14ac:dyDescent="0.25"/>
    <row r="109037" customFormat="1" x14ac:dyDescent="0.25"/>
    <row r="109038" customFormat="1" x14ac:dyDescent="0.25"/>
    <row r="109039" customFormat="1" x14ac:dyDescent="0.25"/>
    <row r="109040" customFormat="1" x14ac:dyDescent="0.25"/>
    <row r="109041" customFormat="1" x14ac:dyDescent="0.25"/>
    <row r="109042" customFormat="1" x14ac:dyDescent="0.25"/>
    <row r="109043" customFormat="1" x14ac:dyDescent="0.25"/>
    <row r="109044" customFormat="1" x14ac:dyDescent="0.25"/>
    <row r="109045" customFormat="1" x14ac:dyDescent="0.25"/>
    <row r="109046" customFormat="1" x14ac:dyDescent="0.25"/>
    <row r="109047" customFormat="1" x14ac:dyDescent="0.25"/>
    <row r="109048" customFormat="1" x14ac:dyDescent="0.25"/>
    <row r="109049" customFormat="1" x14ac:dyDescent="0.25"/>
    <row r="109050" customFormat="1" x14ac:dyDescent="0.25"/>
    <row r="109051" customFormat="1" x14ac:dyDescent="0.25"/>
    <row r="109052" customFormat="1" x14ac:dyDescent="0.25"/>
    <row r="109053" customFormat="1" x14ac:dyDescent="0.25"/>
    <row r="109054" customFormat="1" x14ac:dyDescent="0.25"/>
    <row r="109055" customFormat="1" x14ac:dyDescent="0.25"/>
    <row r="109056" customFormat="1" x14ac:dyDescent="0.25"/>
    <row r="109057" customFormat="1" x14ac:dyDescent="0.25"/>
    <row r="109058" customFormat="1" x14ac:dyDescent="0.25"/>
    <row r="109059" customFormat="1" x14ac:dyDescent="0.25"/>
    <row r="109060" customFormat="1" x14ac:dyDescent="0.25"/>
    <row r="109061" customFormat="1" x14ac:dyDescent="0.25"/>
    <row r="109062" customFormat="1" x14ac:dyDescent="0.25"/>
    <row r="109063" customFormat="1" x14ac:dyDescent="0.25"/>
    <row r="109064" customFormat="1" x14ac:dyDescent="0.25"/>
    <row r="109065" customFormat="1" x14ac:dyDescent="0.25"/>
    <row r="109066" customFormat="1" x14ac:dyDescent="0.25"/>
    <row r="109067" customFormat="1" x14ac:dyDescent="0.25"/>
    <row r="109068" customFormat="1" x14ac:dyDescent="0.25"/>
    <row r="109069" customFormat="1" x14ac:dyDescent="0.25"/>
    <row r="109070" customFormat="1" x14ac:dyDescent="0.25"/>
    <row r="109071" customFormat="1" x14ac:dyDescent="0.25"/>
    <row r="109072" customFormat="1" x14ac:dyDescent="0.25"/>
    <row r="109073" customFormat="1" x14ac:dyDescent="0.25"/>
    <row r="109074" customFormat="1" x14ac:dyDescent="0.25"/>
    <row r="109075" customFormat="1" x14ac:dyDescent="0.25"/>
    <row r="109076" customFormat="1" x14ac:dyDescent="0.25"/>
    <row r="109077" customFormat="1" x14ac:dyDescent="0.25"/>
    <row r="109078" customFormat="1" x14ac:dyDescent="0.25"/>
    <row r="109079" customFormat="1" x14ac:dyDescent="0.25"/>
    <row r="109080" customFormat="1" x14ac:dyDescent="0.25"/>
    <row r="109081" customFormat="1" x14ac:dyDescent="0.25"/>
    <row r="109082" customFormat="1" x14ac:dyDescent="0.25"/>
    <row r="109083" customFormat="1" x14ac:dyDescent="0.25"/>
    <row r="109084" customFormat="1" x14ac:dyDescent="0.25"/>
    <row r="109085" customFormat="1" x14ac:dyDescent="0.25"/>
    <row r="109086" customFormat="1" x14ac:dyDescent="0.25"/>
    <row r="109087" customFormat="1" x14ac:dyDescent="0.25"/>
    <row r="109088" customFormat="1" x14ac:dyDescent="0.25"/>
    <row r="109089" customFormat="1" x14ac:dyDescent="0.25"/>
    <row r="109090" customFormat="1" x14ac:dyDescent="0.25"/>
    <row r="109091" customFormat="1" x14ac:dyDescent="0.25"/>
    <row r="109092" customFormat="1" x14ac:dyDescent="0.25"/>
    <row r="109093" customFormat="1" x14ac:dyDescent="0.25"/>
    <row r="109094" customFormat="1" x14ac:dyDescent="0.25"/>
    <row r="109095" customFormat="1" x14ac:dyDescent="0.25"/>
    <row r="109096" customFormat="1" x14ac:dyDescent="0.25"/>
    <row r="109097" customFormat="1" x14ac:dyDescent="0.25"/>
    <row r="109098" customFormat="1" x14ac:dyDescent="0.25"/>
    <row r="109099" customFormat="1" x14ac:dyDescent="0.25"/>
    <row r="109100" customFormat="1" x14ac:dyDescent="0.25"/>
    <row r="109101" customFormat="1" x14ac:dyDescent="0.25"/>
    <row r="109102" customFormat="1" x14ac:dyDescent="0.25"/>
    <row r="109103" customFormat="1" x14ac:dyDescent="0.25"/>
    <row r="109104" customFormat="1" x14ac:dyDescent="0.25"/>
    <row r="109105" customFormat="1" x14ac:dyDescent="0.25"/>
    <row r="109106" customFormat="1" x14ac:dyDescent="0.25"/>
    <row r="109107" customFormat="1" x14ac:dyDescent="0.25"/>
    <row r="109108" customFormat="1" x14ac:dyDescent="0.25"/>
    <row r="109109" customFormat="1" x14ac:dyDescent="0.25"/>
    <row r="109110" customFormat="1" x14ac:dyDescent="0.25"/>
    <row r="109111" customFormat="1" x14ac:dyDescent="0.25"/>
    <row r="109112" customFormat="1" x14ac:dyDescent="0.25"/>
    <row r="109113" customFormat="1" x14ac:dyDescent="0.25"/>
    <row r="109114" customFormat="1" x14ac:dyDescent="0.25"/>
    <row r="109115" customFormat="1" x14ac:dyDescent="0.25"/>
    <row r="109116" customFormat="1" x14ac:dyDescent="0.25"/>
    <row r="109117" customFormat="1" x14ac:dyDescent="0.25"/>
    <row r="109118" customFormat="1" x14ac:dyDescent="0.25"/>
    <row r="109119" customFormat="1" x14ac:dyDescent="0.25"/>
    <row r="109120" customFormat="1" x14ac:dyDescent="0.25"/>
    <row r="109121" customFormat="1" x14ac:dyDescent="0.25"/>
    <row r="109122" customFormat="1" x14ac:dyDescent="0.25"/>
    <row r="109123" customFormat="1" x14ac:dyDescent="0.25"/>
    <row r="109124" customFormat="1" x14ac:dyDescent="0.25"/>
    <row r="109125" customFormat="1" x14ac:dyDescent="0.25"/>
    <row r="109126" customFormat="1" x14ac:dyDescent="0.25"/>
    <row r="109127" customFormat="1" x14ac:dyDescent="0.25"/>
    <row r="109128" customFormat="1" x14ac:dyDescent="0.25"/>
    <row r="109129" customFormat="1" x14ac:dyDescent="0.25"/>
    <row r="109130" customFormat="1" x14ac:dyDescent="0.25"/>
    <row r="109131" customFormat="1" x14ac:dyDescent="0.25"/>
    <row r="109132" customFormat="1" x14ac:dyDescent="0.25"/>
    <row r="109133" customFormat="1" x14ac:dyDescent="0.25"/>
    <row r="109134" customFormat="1" x14ac:dyDescent="0.25"/>
    <row r="109135" customFormat="1" x14ac:dyDescent="0.25"/>
    <row r="109136" customFormat="1" x14ac:dyDescent="0.25"/>
    <row r="109137" customFormat="1" x14ac:dyDescent="0.25"/>
    <row r="109138" customFormat="1" x14ac:dyDescent="0.25"/>
    <row r="109139" customFormat="1" x14ac:dyDescent="0.25"/>
    <row r="109140" customFormat="1" x14ac:dyDescent="0.25"/>
    <row r="109141" customFormat="1" x14ac:dyDescent="0.25"/>
    <row r="109142" customFormat="1" x14ac:dyDescent="0.25"/>
    <row r="109143" customFormat="1" x14ac:dyDescent="0.25"/>
    <row r="109144" customFormat="1" x14ac:dyDescent="0.25"/>
    <row r="109145" customFormat="1" x14ac:dyDescent="0.25"/>
    <row r="109146" customFormat="1" x14ac:dyDescent="0.25"/>
    <row r="109147" customFormat="1" x14ac:dyDescent="0.25"/>
    <row r="109148" customFormat="1" x14ac:dyDescent="0.25"/>
    <row r="109149" customFormat="1" x14ac:dyDescent="0.25"/>
    <row r="109150" customFormat="1" x14ac:dyDescent="0.25"/>
    <row r="109151" customFormat="1" x14ac:dyDescent="0.25"/>
    <row r="109152" customFormat="1" x14ac:dyDescent="0.25"/>
    <row r="109153" customFormat="1" x14ac:dyDescent="0.25"/>
    <row r="109154" customFormat="1" x14ac:dyDescent="0.25"/>
    <row r="109155" customFormat="1" x14ac:dyDescent="0.25"/>
    <row r="109156" customFormat="1" x14ac:dyDescent="0.25"/>
    <row r="109157" customFormat="1" x14ac:dyDescent="0.25"/>
    <row r="109158" customFormat="1" x14ac:dyDescent="0.25"/>
    <row r="109159" customFormat="1" x14ac:dyDescent="0.25"/>
    <row r="109160" customFormat="1" x14ac:dyDescent="0.25"/>
    <row r="109161" customFormat="1" x14ac:dyDescent="0.25"/>
    <row r="109162" customFormat="1" x14ac:dyDescent="0.25"/>
    <row r="109163" customFormat="1" x14ac:dyDescent="0.25"/>
    <row r="109164" customFormat="1" x14ac:dyDescent="0.25"/>
    <row r="109165" customFormat="1" x14ac:dyDescent="0.25"/>
    <row r="109166" customFormat="1" x14ac:dyDescent="0.25"/>
    <row r="109167" customFormat="1" x14ac:dyDescent="0.25"/>
    <row r="109168" customFormat="1" x14ac:dyDescent="0.25"/>
    <row r="109169" customFormat="1" x14ac:dyDescent="0.25"/>
    <row r="109170" customFormat="1" x14ac:dyDescent="0.25"/>
    <row r="109171" customFormat="1" x14ac:dyDescent="0.25"/>
    <row r="109172" customFormat="1" x14ac:dyDescent="0.25"/>
    <row r="109173" customFormat="1" x14ac:dyDescent="0.25"/>
    <row r="109174" customFormat="1" x14ac:dyDescent="0.25"/>
    <row r="109175" customFormat="1" x14ac:dyDescent="0.25"/>
    <row r="109176" customFormat="1" x14ac:dyDescent="0.25"/>
    <row r="109177" customFormat="1" x14ac:dyDescent="0.25"/>
    <row r="109178" customFormat="1" x14ac:dyDescent="0.25"/>
    <row r="109179" customFormat="1" x14ac:dyDescent="0.25"/>
    <row r="109180" customFormat="1" x14ac:dyDescent="0.25"/>
    <row r="109181" customFormat="1" x14ac:dyDescent="0.25"/>
    <row r="109182" customFormat="1" x14ac:dyDescent="0.25"/>
    <row r="109183" customFormat="1" x14ac:dyDescent="0.25"/>
    <row r="109184" customFormat="1" x14ac:dyDescent="0.25"/>
    <row r="109185" customFormat="1" x14ac:dyDescent="0.25"/>
    <row r="109186" customFormat="1" x14ac:dyDescent="0.25"/>
    <row r="109187" customFormat="1" x14ac:dyDescent="0.25"/>
    <row r="109188" customFormat="1" x14ac:dyDescent="0.25"/>
    <row r="109189" customFormat="1" x14ac:dyDescent="0.25"/>
    <row r="109190" customFormat="1" x14ac:dyDescent="0.25"/>
    <row r="109191" customFormat="1" x14ac:dyDescent="0.25"/>
    <row r="109192" customFormat="1" x14ac:dyDescent="0.25"/>
    <row r="109193" customFormat="1" x14ac:dyDescent="0.25"/>
    <row r="109194" customFormat="1" x14ac:dyDescent="0.25"/>
    <row r="109195" customFormat="1" x14ac:dyDescent="0.25"/>
    <row r="109196" customFormat="1" x14ac:dyDescent="0.25"/>
    <row r="109197" customFormat="1" x14ac:dyDescent="0.25"/>
    <row r="109198" customFormat="1" x14ac:dyDescent="0.25"/>
    <row r="109199" customFormat="1" x14ac:dyDescent="0.25"/>
    <row r="109200" customFormat="1" x14ac:dyDescent="0.25"/>
    <row r="109201" customFormat="1" x14ac:dyDescent="0.25"/>
    <row r="109202" customFormat="1" x14ac:dyDescent="0.25"/>
    <row r="109203" customFormat="1" x14ac:dyDescent="0.25"/>
    <row r="109204" customFormat="1" x14ac:dyDescent="0.25"/>
    <row r="109205" customFormat="1" x14ac:dyDescent="0.25"/>
    <row r="109206" customFormat="1" x14ac:dyDescent="0.25"/>
    <row r="109207" customFormat="1" x14ac:dyDescent="0.25"/>
    <row r="109208" customFormat="1" x14ac:dyDescent="0.25"/>
    <row r="109209" customFormat="1" x14ac:dyDescent="0.25"/>
    <row r="109210" customFormat="1" x14ac:dyDescent="0.25"/>
    <row r="109211" customFormat="1" x14ac:dyDescent="0.25"/>
    <row r="109212" customFormat="1" x14ac:dyDescent="0.25"/>
    <row r="109213" customFormat="1" x14ac:dyDescent="0.25"/>
    <row r="109214" customFormat="1" x14ac:dyDescent="0.25"/>
    <row r="109215" customFormat="1" x14ac:dyDescent="0.25"/>
    <row r="109216" customFormat="1" x14ac:dyDescent="0.25"/>
    <row r="109217" customFormat="1" x14ac:dyDescent="0.25"/>
    <row r="109218" customFormat="1" x14ac:dyDescent="0.25"/>
    <row r="109219" customFormat="1" x14ac:dyDescent="0.25"/>
    <row r="109220" customFormat="1" x14ac:dyDescent="0.25"/>
    <row r="109221" customFormat="1" x14ac:dyDescent="0.25"/>
    <row r="109222" customFormat="1" x14ac:dyDescent="0.25"/>
    <row r="109223" customFormat="1" x14ac:dyDescent="0.25"/>
    <row r="109224" customFormat="1" x14ac:dyDescent="0.25"/>
    <row r="109225" customFormat="1" x14ac:dyDescent="0.25"/>
    <row r="109226" customFormat="1" x14ac:dyDescent="0.25"/>
    <row r="109227" customFormat="1" x14ac:dyDescent="0.25"/>
    <row r="109228" customFormat="1" x14ac:dyDescent="0.25"/>
    <row r="109229" customFormat="1" x14ac:dyDescent="0.25"/>
    <row r="109230" customFormat="1" x14ac:dyDescent="0.25"/>
    <row r="109231" customFormat="1" x14ac:dyDescent="0.25"/>
    <row r="109232" customFormat="1" x14ac:dyDescent="0.25"/>
    <row r="109233" customFormat="1" x14ac:dyDescent="0.25"/>
    <row r="109234" customFormat="1" x14ac:dyDescent="0.25"/>
    <row r="109235" customFormat="1" x14ac:dyDescent="0.25"/>
    <row r="109236" customFormat="1" x14ac:dyDescent="0.25"/>
    <row r="109237" customFormat="1" x14ac:dyDescent="0.25"/>
    <row r="109238" customFormat="1" x14ac:dyDescent="0.25"/>
    <row r="109239" customFormat="1" x14ac:dyDescent="0.25"/>
    <row r="109240" customFormat="1" x14ac:dyDescent="0.25"/>
    <row r="109241" customFormat="1" x14ac:dyDescent="0.25"/>
    <row r="109242" customFormat="1" x14ac:dyDescent="0.25"/>
    <row r="109243" customFormat="1" x14ac:dyDescent="0.25"/>
    <row r="109244" customFormat="1" x14ac:dyDescent="0.25"/>
    <row r="109245" customFormat="1" x14ac:dyDescent="0.25"/>
    <row r="109246" customFormat="1" x14ac:dyDescent="0.25"/>
    <row r="109247" customFormat="1" x14ac:dyDescent="0.25"/>
    <row r="109248" customFormat="1" x14ac:dyDescent="0.25"/>
    <row r="109249" customFormat="1" x14ac:dyDescent="0.25"/>
    <row r="109250" customFormat="1" x14ac:dyDescent="0.25"/>
    <row r="109251" customFormat="1" x14ac:dyDescent="0.25"/>
    <row r="109252" customFormat="1" x14ac:dyDescent="0.25"/>
    <row r="109253" customFormat="1" x14ac:dyDescent="0.25"/>
    <row r="109254" customFormat="1" x14ac:dyDescent="0.25"/>
    <row r="109255" customFormat="1" x14ac:dyDescent="0.25"/>
    <row r="109256" customFormat="1" x14ac:dyDescent="0.25"/>
    <row r="109257" customFormat="1" x14ac:dyDescent="0.25"/>
    <row r="109258" customFormat="1" x14ac:dyDescent="0.25"/>
    <row r="109259" customFormat="1" x14ac:dyDescent="0.25"/>
    <row r="109260" customFormat="1" x14ac:dyDescent="0.25"/>
    <row r="109261" customFormat="1" x14ac:dyDescent="0.25"/>
    <row r="109262" customFormat="1" x14ac:dyDescent="0.25"/>
    <row r="109263" customFormat="1" x14ac:dyDescent="0.25"/>
    <row r="109264" customFormat="1" x14ac:dyDescent="0.25"/>
    <row r="109265" customFormat="1" x14ac:dyDescent="0.25"/>
    <row r="109266" customFormat="1" x14ac:dyDescent="0.25"/>
    <row r="109267" customFormat="1" x14ac:dyDescent="0.25"/>
    <row r="109268" customFormat="1" x14ac:dyDescent="0.25"/>
    <row r="109269" customFormat="1" x14ac:dyDescent="0.25"/>
    <row r="109270" customFormat="1" x14ac:dyDescent="0.25"/>
    <row r="109271" customFormat="1" x14ac:dyDescent="0.25"/>
    <row r="109272" customFormat="1" x14ac:dyDescent="0.25"/>
    <row r="109273" customFormat="1" x14ac:dyDescent="0.25"/>
    <row r="109274" customFormat="1" x14ac:dyDescent="0.25"/>
    <row r="109275" customFormat="1" x14ac:dyDescent="0.25"/>
    <row r="109276" customFormat="1" x14ac:dyDescent="0.25"/>
    <row r="109277" customFormat="1" x14ac:dyDescent="0.25"/>
    <row r="109278" customFormat="1" x14ac:dyDescent="0.25"/>
    <row r="109279" customFormat="1" x14ac:dyDescent="0.25"/>
    <row r="109280" customFormat="1" x14ac:dyDescent="0.25"/>
    <row r="109281" customFormat="1" x14ac:dyDescent="0.25"/>
    <row r="109282" customFormat="1" x14ac:dyDescent="0.25"/>
    <row r="109283" customFormat="1" x14ac:dyDescent="0.25"/>
    <row r="109284" customFormat="1" x14ac:dyDescent="0.25"/>
    <row r="109285" customFormat="1" x14ac:dyDescent="0.25"/>
    <row r="109286" customFormat="1" x14ac:dyDescent="0.25"/>
    <row r="109287" customFormat="1" x14ac:dyDescent="0.25"/>
    <row r="109288" customFormat="1" x14ac:dyDescent="0.25"/>
    <row r="109289" customFormat="1" x14ac:dyDescent="0.25"/>
    <row r="109290" customFormat="1" x14ac:dyDescent="0.25"/>
    <row r="109291" customFormat="1" x14ac:dyDescent="0.25"/>
    <row r="109292" customFormat="1" x14ac:dyDescent="0.25"/>
    <row r="109293" customFormat="1" x14ac:dyDescent="0.25"/>
    <row r="109294" customFormat="1" x14ac:dyDescent="0.25"/>
    <row r="109295" customFormat="1" x14ac:dyDescent="0.25"/>
    <row r="109296" customFormat="1" x14ac:dyDescent="0.25"/>
    <row r="109297" customFormat="1" x14ac:dyDescent="0.25"/>
    <row r="109298" customFormat="1" x14ac:dyDescent="0.25"/>
    <row r="109299" customFormat="1" x14ac:dyDescent="0.25"/>
    <row r="109300" customFormat="1" x14ac:dyDescent="0.25"/>
    <row r="109301" customFormat="1" x14ac:dyDescent="0.25"/>
    <row r="109302" customFormat="1" x14ac:dyDescent="0.25"/>
    <row r="109303" customFormat="1" x14ac:dyDescent="0.25"/>
    <row r="109304" customFormat="1" x14ac:dyDescent="0.25"/>
    <row r="109305" customFormat="1" x14ac:dyDescent="0.25"/>
    <row r="109306" customFormat="1" x14ac:dyDescent="0.25"/>
    <row r="109307" customFormat="1" x14ac:dyDescent="0.25"/>
    <row r="109308" customFormat="1" x14ac:dyDescent="0.25"/>
    <row r="109309" customFormat="1" x14ac:dyDescent="0.25"/>
    <row r="109310" customFormat="1" x14ac:dyDescent="0.25"/>
    <row r="109311" customFormat="1" x14ac:dyDescent="0.25"/>
    <row r="109312" customFormat="1" x14ac:dyDescent="0.25"/>
    <row r="109313" customFormat="1" x14ac:dyDescent="0.25"/>
    <row r="109314" customFormat="1" x14ac:dyDescent="0.25"/>
    <row r="109315" customFormat="1" x14ac:dyDescent="0.25"/>
    <row r="109316" customFormat="1" x14ac:dyDescent="0.25"/>
    <row r="109317" customFormat="1" x14ac:dyDescent="0.25"/>
    <row r="109318" customFormat="1" x14ac:dyDescent="0.25"/>
    <row r="109319" customFormat="1" x14ac:dyDescent="0.25"/>
    <row r="109320" customFormat="1" x14ac:dyDescent="0.25"/>
    <row r="109321" customFormat="1" x14ac:dyDescent="0.25"/>
    <row r="109322" customFormat="1" x14ac:dyDescent="0.25"/>
    <row r="109323" customFormat="1" x14ac:dyDescent="0.25"/>
    <row r="109324" customFormat="1" x14ac:dyDescent="0.25"/>
    <row r="109325" customFormat="1" x14ac:dyDescent="0.25"/>
    <row r="109326" customFormat="1" x14ac:dyDescent="0.25"/>
    <row r="109327" customFormat="1" x14ac:dyDescent="0.25"/>
    <row r="109328" customFormat="1" x14ac:dyDescent="0.25"/>
    <row r="109329" customFormat="1" x14ac:dyDescent="0.25"/>
    <row r="109330" customFormat="1" x14ac:dyDescent="0.25"/>
    <row r="109331" customFormat="1" x14ac:dyDescent="0.25"/>
    <row r="109332" customFormat="1" x14ac:dyDescent="0.25"/>
    <row r="109333" customFormat="1" x14ac:dyDescent="0.25"/>
    <row r="109334" customFormat="1" x14ac:dyDescent="0.25"/>
    <row r="109335" customFormat="1" x14ac:dyDescent="0.25"/>
    <row r="109336" customFormat="1" x14ac:dyDescent="0.25"/>
    <row r="109337" customFormat="1" x14ac:dyDescent="0.25"/>
    <row r="109338" customFormat="1" x14ac:dyDescent="0.25"/>
    <row r="109339" customFormat="1" x14ac:dyDescent="0.25"/>
    <row r="109340" customFormat="1" x14ac:dyDescent="0.25"/>
    <row r="109341" customFormat="1" x14ac:dyDescent="0.25"/>
    <row r="109342" customFormat="1" x14ac:dyDescent="0.25"/>
    <row r="109343" customFormat="1" x14ac:dyDescent="0.25"/>
    <row r="109344" customFormat="1" x14ac:dyDescent="0.25"/>
    <row r="109345" customFormat="1" x14ac:dyDescent="0.25"/>
    <row r="109346" customFormat="1" x14ac:dyDescent="0.25"/>
    <row r="109347" customFormat="1" x14ac:dyDescent="0.25"/>
    <row r="109348" customFormat="1" x14ac:dyDescent="0.25"/>
    <row r="109349" customFormat="1" x14ac:dyDescent="0.25"/>
    <row r="109350" customFormat="1" x14ac:dyDescent="0.25"/>
    <row r="109351" customFormat="1" x14ac:dyDescent="0.25"/>
    <row r="109352" customFormat="1" x14ac:dyDescent="0.25"/>
    <row r="109353" customFormat="1" x14ac:dyDescent="0.25"/>
    <row r="109354" customFormat="1" x14ac:dyDescent="0.25"/>
    <row r="109355" customFormat="1" x14ac:dyDescent="0.25"/>
    <row r="109356" customFormat="1" x14ac:dyDescent="0.25"/>
    <row r="109357" customFormat="1" x14ac:dyDescent="0.25"/>
    <row r="109358" customFormat="1" x14ac:dyDescent="0.25"/>
    <row r="109359" customFormat="1" x14ac:dyDescent="0.25"/>
    <row r="109360" customFormat="1" x14ac:dyDescent="0.25"/>
    <row r="109361" customFormat="1" x14ac:dyDescent="0.25"/>
    <row r="109362" customFormat="1" x14ac:dyDescent="0.25"/>
    <row r="109363" customFormat="1" x14ac:dyDescent="0.25"/>
    <row r="109364" customFormat="1" x14ac:dyDescent="0.25"/>
    <row r="109365" customFormat="1" x14ac:dyDescent="0.25"/>
    <row r="109366" customFormat="1" x14ac:dyDescent="0.25"/>
    <row r="109367" customFormat="1" x14ac:dyDescent="0.25"/>
    <row r="109368" customFormat="1" x14ac:dyDescent="0.25"/>
    <row r="109369" customFormat="1" x14ac:dyDescent="0.25"/>
    <row r="109370" customFormat="1" x14ac:dyDescent="0.25"/>
    <row r="109371" customFormat="1" x14ac:dyDescent="0.25"/>
    <row r="109372" customFormat="1" x14ac:dyDescent="0.25"/>
    <row r="109373" customFormat="1" x14ac:dyDescent="0.25"/>
    <row r="109374" customFormat="1" x14ac:dyDescent="0.25"/>
    <row r="109375" customFormat="1" x14ac:dyDescent="0.25"/>
    <row r="109376" customFormat="1" x14ac:dyDescent="0.25"/>
    <row r="109377" customFormat="1" x14ac:dyDescent="0.25"/>
    <row r="109378" customFormat="1" x14ac:dyDescent="0.25"/>
    <row r="109379" customFormat="1" x14ac:dyDescent="0.25"/>
    <row r="109380" customFormat="1" x14ac:dyDescent="0.25"/>
    <row r="109381" customFormat="1" x14ac:dyDescent="0.25"/>
    <row r="109382" customFormat="1" x14ac:dyDescent="0.25"/>
    <row r="109383" customFormat="1" x14ac:dyDescent="0.25"/>
    <row r="109384" customFormat="1" x14ac:dyDescent="0.25"/>
    <row r="109385" customFormat="1" x14ac:dyDescent="0.25"/>
    <row r="109386" customFormat="1" x14ac:dyDescent="0.25"/>
    <row r="109387" customFormat="1" x14ac:dyDescent="0.25"/>
    <row r="109388" customFormat="1" x14ac:dyDescent="0.25"/>
    <row r="109389" customFormat="1" x14ac:dyDescent="0.25"/>
    <row r="109390" customFormat="1" x14ac:dyDescent="0.25"/>
    <row r="109391" customFormat="1" x14ac:dyDescent="0.25"/>
    <row r="109392" customFormat="1" x14ac:dyDescent="0.25"/>
    <row r="109393" customFormat="1" x14ac:dyDescent="0.25"/>
    <row r="109394" customFormat="1" x14ac:dyDescent="0.25"/>
    <row r="109395" customFormat="1" x14ac:dyDescent="0.25"/>
    <row r="109396" customFormat="1" x14ac:dyDescent="0.25"/>
    <row r="109397" customFormat="1" x14ac:dyDescent="0.25"/>
    <row r="109398" customFormat="1" x14ac:dyDescent="0.25"/>
    <row r="109399" customFormat="1" x14ac:dyDescent="0.25"/>
    <row r="109400" customFormat="1" x14ac:dyDescent="0.25"/>
    <row r="109401" customFormat="1" x14ac:dyDescent="0.25"/>
    <row r="109402" customFormat="1" x14ac:dyDescent="0.25"/>
    <row r="109403" customFormat="1" x14ac:dyDescent="0.25"/>
    <row r="109404" customFormat="1" x14ac:dyDescent="0.25"/>
    <row r="109405" customFormat="1" x14ac:dyDescent="0.25"/>
    <row r="109406" customFormat="1" x14ac:dyDescent="0.25"/>
    <row r="109407" customFormat="1" x14ac:dyDescent="0.25"/>
    <row r="109408" customFormat="1" x14ac:dyDescent="0.25"/>
    <row r="109409" customFormat="1" x14ac:dyDescent="0.25"/>
    <row r="109410" customFormat="1" x14ac:dyDescent="0.25"/>
    <row r="109411" customFormat="1" x14ac:dyDescent="0.25"/>
    <row r="109412" customFormat="1" x14ac:dyDescent="0.25"/>
    <row r="109413" customFormat="1" x14ac:dyDescent="0.25"/>
    <row r="109414" customFormat="1" x14ac:dyDescent="0.25"/>
    <row r="109415" customFormat="1" x14ac:dyDescent="0.25"/>
    <row r="109416" customFormat="1" x14ac:dyDescent="0.25"/>
    <row r="109417" customFormat="1" x14ac:dyDescent="0.25"/>
    <row r="109418" customFormat="1" x14ac:dyDescent="0.25"/>
    <row r="109419" customFormat="1" x14ac:dyDescent="0.25"/>
    <row r="109420" customFormat="1" x14ac:dyDescent="0.25"/>
    <row r="109421" customFormat="1" x14ac:dyDescent="0.25"/>
    <row r="109422" customFormat="1" x14ac:dyDescent="0.25"/>
    <row r="109423" customFormat="1" x14ac:dyDescent="0.25"/>
    <row r="109424" customFormat="1" x14ac:dyDescent="0.25"/>
    <row r="109425" customFormat="1" x14ac:dyDescent="0.25"/>
    <row r="109426" customFormat="1" x14ac:dyDescent="0.25"/>
    <row r="109427" customFormat="1" x14ac:dyDescent="0.25"/>
    <row r="109428" customFormat="1" x14ac:dyDescent="0.25"/>
    <row r="109429" customFormat="1" x14ac:dyDescent="0.25"/>
    <row r="109430" customFormat="1" x14ac:dyDescent="0.25"/>
    <row r="109431" customFormat="1" x14ac:dyDescent="0.25"/>
    <row r="109432" customFormat="1" x14ac:dyDescent="0.25"/>
    <row r="109433" customFormat="1" x14ac:dyDescent="0.25"/>
    <row r="109434" customFormat="1" x14ac:dyDescent="0.25"/>
    <row r="109435" customFormat="1" x14ac:dyDescent="0.25"/>
    <row r="109436" customFormat="1" x14ac:dyDescent="0.25"/>
    <row r="109437" customFormat="1" x14ac:dyDescent="0.25"/>
    <row r="109438" customFormat="1" x14ac:dyDescent="0.25"/>
    <row r="109439" customFormat="1" x14ac:dyDescent="0.25"/>
    <row r="109440" customFormat="1" x14ac:dyDescent="0.25"/>
    <row r="109441" customFormat="1" x14ac:dyDescent="0.25"/>
    <row r="109442" customFormat="1" x14ac:dyDescent="0.25"/>
    <row r="109443" customFormat="1" x14ac:dyDescent="0.25"/>
    <row r="109444" customFormat="1" x14ac:dyDescent="0.25"/>
    <row r="109445" customFormat="1" x14ac:dyDescent="0.25"/>
    <row r="109446" customFormat="1" x14ac:dyDescent="0.25"/>
    <row r="109447" customFormat="1" x14ac:dyDescent="0.25"/>
    <row r="109448" customFormat="1" x14ac:dyDescent="0.25"/>
    <row r="109449" customFormat="1" x14ac:dyDescent="0.25"/>
    <row r="109450" customFormat="1" x14ac:dyDescent="0.25"/>
    <row r="109451" customFormat="1" x14ac:dyDescent="0.25"/>
    <row r="109452" customFormat="1" x14ac:dyDescent="0.25"/>
    <row r="109453" customFormat="1" x14ac:dyDescent="0.25"/>
    <row r="109454" customFormat="1" x14ac:dyDescent="0.25"/>
    <row r="109455" customFormat="1" x14ac:dyDescent="0.25"/>
    <row r="109456" customFormat="1" x14ac:dyDescent="0.25"/>
    <row r="109457" customFormat="1" x14ac:dyDescent="0.25"/>
    <row r="109458" customFormat="1" x14ac:dyDescent="0.25"/>
    <row r="109459" customFormat="1" x14ac:dyDescent="0.25"/>
    <row r="109460" customFormat="1" x14ac:dyDescent="0.25"/>
    <row r="109461" customFormat="1" x14ac:dyDescent="0.25"/>
    <row r="109462" customFormat="1" x14ac:dyDescent="0.25"/>
    <row r="109463" customFormat="1" x14ac:dyDescent="0.25"/>
    <row r="109464" customFormat="1" x14ac:dyDescent="0.25"/>
    <row r="109465" customFormat="1" x14ac:dyDescent="0.25"/>
    <row r="109466" customFormat="1" x14ac:dyDescent="0.25"/>
    <row r="109467" customFormat="1" x14ac:dyDescent="0.25"/>
    <row r="109468" customFormat="1" x14ac:dyDescent="0.25"/>
    <row r="109469" customFormat="1" x14ac:dyDescent="0.25"/>
    <row r="109470" customFormat="1" x14ac:dyDescent="0.25"/>
    <row r="109471" customFormat="1" x14ac:dyDescent="0.25"/>
    <row r="109472" customFormat="1" x14ac:dyDescent="0.25"/>
    <row r="109473" customFormat="1" x14ac:dyDescent="0.25"/>
    <row r="109474" customFormat="1" x14ac:dyDescent="0.25"/>
    <row r="109475" customFormat="1" x14ac:dyDescent="0.25"/>
    <row r="109476" customFormat="1" x14ac:dyDescent="0.25"/>
    <row r="109477" customFormat="1" x14ac:dyDescent="0.25"/>
    <row r="109478" customFormat="1" x14ac:dyDescent="0.25"/>
    <row r="109479" customFormat="1" x14ac:dyDescent="0.25"/>
    <row r="109480" customFormat="1" x14ac:dyDescent="0.25"/>
    <row r="109481" customFormat="1" x14ac:dyDescent="0.25"/>
    <row r="109482" customFormat="1" x14ac:dyDescent="0.25"/>
    <row r="109483" customFormat="1" x14ac:dyDescent="0.25"/>
    <row r="109484" customFormat="1" x14ac:dyDescent="0.25"/>
    <row r="109485" customFormat="1" x14ac:dyDescent="0.25"/>
    <row r="109486" customFormat="1" x14ac:dyDescent="0.25"/>
    <row r="109487" customFormat="1" x14ac:dyDescent="0.25"/>
    <row r="109488" customFormat="1" x14ac:dyDescent="0.25"/>
    <row r="109489" customFormat="1" x14ac:dyDescent="0.25"/>
    <row r="109490" customFormat="1" x14ac:dyDescent="0.25"/>
    <row r="109491" customFormat="1" x14ac:dyDescent="0.25"/>
    <row r="109492" customFormat="1" x14ac:dyDescent="0.25"/>
    <row r="109493" customFormat="1" x14ac:dyDescent="0.25"/>
    <row r="109494" customFormat="1" x14ac:dyDescent="0.25"/>
    <row r="109495" customFormat="1" x14ac:dyDescent="0.25"/>
    <row r="109496" customFormat="1" x14ac:dyDescent="0.25"/>
    <row r="109497" customFormat="1" x14ac:dyDescent="0.25"/>
    <row r="109498" customFormat="1" x14ac:dyDescent="0.25"/>
    <row r="109499" customFormat="1" x14ac:dyDescent="0.25"/>
    <row r="109500" customFormat="1" x14ac:dyDescent="0.25"/>
    <row r="109501" customFormat="1" x14ac:dyDescent="0.25"/>
    <row r="109502" customFormat="1" x14ac:dyDescent="0.25"/>
    <row r="109503" customFormat="1" x14ac:dyDescent="0.25"/>
    <row r="109504" customFormat="1" x14ac:dyDescent="0.25"/>
    <row r="109505" customFormat="1" x14ac:dyDescent="0.25"/>
    <row r="109506" customFormat="1" x14ac:dyDescent="0.25"/>
    <row r="109507" customFormat="1" x14ac:dyDescent="0.25"/>
    <row r="109508" customFormat="1" x14ac:dyDescent="0.25"/>
    <row r="109509" customFormat="1" x14ac:dyDescent="0.25"/>
    <row r="109510" customFormat="1" x14ac:dyDescent="0.25"/>
    <row r="109511" customFormat="1" x14ac:dyDescent="0.25"/>
    <row r="109512" customFormat="1" x14ac:dyDescent="0.25"/>
    <row r="109513" customFormat="1" x14ac:dyDescent="0.25"/>
    <row r="109514" customFormat="1" x14ac:dyDescent="0.25"/>
    <row r="109515" customFormat="1" x14ac:dyDescent="0.25"/>
    <row r="109516" customFormat="1" x14ac:dyDescent="0.25"/>
    <row r="109517" customFormat="1" x14ac:dyDescent="0.25"/>
    <row r="109518" customFormat="1" x14ac:dyDescent="0.25"/>
    <row r="109519" customFormat="1" x14ac:dyDescent="0.25"/>
    <row r="109520" customFormat="1" x14ac:dyDescent="0.25"/>
    <row r="109521" customFormat="1" x14ac:dyDescent="0.25"/>
    <row r="109522" customFormat="1" x14ac:dyDescent="0.25"/>
    <row r="109523" customFormat="1" x14ac:dyDescent="0.25"/>
    <row r="109524" customFormat="1" x14ac:dyDescent="0.25"/>
    <row r="109525" customFormat="1" x14ac:dyDescent="0.25"/>
    <row r="109526" customFormat="1" x14ac:dyDescent="0.25"/>
    <row r="109527" customFormat="1" x14ac:dyDescent="0.25"/>
    <row r="109528" customFormat="1" x14ac:dyDescent="0.25"/>
    <row r="109529" customFormat="1" x14ac:dyDescent="0.25"/>
    <row r="109530" customFormat="1" x14ac:dyDescent="0.25"/>
    <row r="109531" customFormat="1" x14ac:dyDescent="0.25"/>
    <row r="109532" customFormat="1" x14ac:dyDescent="0.25"/>
    <row r="109533" customFormat="1" x14ac:dyDescent="0.25"/>
    <row r="109534" customFormat="1" x14ac:dyDescent="0.25"/>
    <row r="109535" customFormat="1" x14ac:dyDescent="0.25"/>
    <row r="109536" customFormat="1" x14ac:dyDescent="0.25"/>
    <row r="109537" customFormat="1" x14ac:dyDescent="0.25"/>
    <row r="109538" customFormat="1" x14ac:dyDescent="0.25"/>
    <row r="109539" customFormat="1" x14ac:dyDescent="0.25"/>
    <row r="109540" customFormat="1" x14ac:dyDescent="0.25"/>
    <row r="109541" customFormat="1" x14ac:dyDescent="0.25"/>
    <row r="109542" customFormat="1" x14ac:dyDescent="0.25"/>
    <row r="109543" customFormat="1" x14ac:dyDescent="0.25"/>
    <row r="109544" customFormat="1" x14ac:dyDescent="0.25"/>
    <row r="109545" customFormat="1" x14ac:dyDescent="0.25"/>
    <row r="109546" customFormat="1" x14ac:dyDescent="0.25"/>
    <row r="109547" customFormat="1" x14ac:dyDescent="0.25"/>
    <row r="109548" customFormat="1" x14ac:dyDescent="0.25"/>
    <row r="109549" customFormat="1" x14ac:dyDescent="0.25"/>
    <row r="109550" customFormat="1" x14ac:dyDescent="0.25"/>
    <row r="109551" customFormat="1" x14ac:dyDescent="0.25"/>
    <row r="109552" customFormat="1" x14ac:dyDescent="0.25"/>
    <row r="109553" customFormat="1" x14ac:dyDescent="0.25"/>
    <row r="109554" customFormat="1" x14ac:dyDescent="0.25"/>
    <row r="109555" customFormat="1" x14ac:dyDescent="0.25"/>
    <row r="109556" customFormat="1" x14ac:dyDescent="0.25"/>
    <row r="109557" customFormat="1" x14ac:dyDescent="0.25"/>
    <row r="109558" customFormat="1" x14ac:dyDescent="0.25"/>
    <row r="109559" customFormat="1" x14ac:dyDescent="0.25"/>
    <row r="109560" customFormat="1" x14ac:dyDescent="0.25"/>
    <row r="109561" customFormat="1" x14ac:dyDescent="0.25"/>
    <row r="109562" customFormat="1" x14ac:dyDescent="0.25"/>
    <row r="109563" customFormat="1" x14ac:dyDescent="0.25"/>
    <row r="109564" customFormat="1" x14ac:dyDescent="0.25"/>
    <row r="109565" customFormat="1" x14ac:dyDescent="0.25"/>
    <row r="109566" customFormat="1" x14ac:dyDescent="0.25"/>
    <row r="109567" customFormat="1" x14ac:dyDescent="0.25"/>
    <row r="109568" customFormat="1" x14ac:dyDescent="0.25"/>
    <row r="109569" customFormat="1" x14ac:dyDescent="0.25"/>
    <row r="109570" customFormat="1" x14ac:dyDescent="0.25"/>
    <row r="109571" customFormat="1" x14ac:dyDescent="0.25"/>
    <row r="109572" customFormat="1" x14ac:dyDescent="0.25"/>
    <row r="109573" customFormat="1" x14ac:dyDescent="0.25"/>
    <row r="109574" customFormat="1" x14ac:dyDescent="0.25"/>
    <row r="109575" customFormat="1" x14ac:dyDescent="0.25"/>
    <row r="109576" customFormat="1" x14ac:dyDescent="0.25"/>
    <row r="109577" customFormat="1" x14ac:dyDescent="0.25"/>
    <row r="109578" customFormat="1" x14ac:dyDescent="0.25"/>
    <row r="109579" customFormat="1" x14ac:dyDescent="0.25"/>
    <row r="109580" customFormat="1" x14ac:dyDescent="0.25"/>
    <row r="109581" customFormat="1" x14ac:dyDescent="0.25"/>
    <row r="109582" customFormat="1" x14ac:dyDescent="0.25"/>
    <row r="109583" customFormat="1" x14ac:dyDescent="0.25"/>
    <row r="109584" customFormat="1" x14ac:dyDescent="0.25"/>
    <row r="109585" customFormat="1" x14ac:dyDescent="0.25"/>
    <row r="109586" customFormat="1" x14ac:dyDescent="0.25"/>
    <row r="109587" customFormat="1" x14ac:dyDescent="0.25"/>
    <row r="109588" customFormat="1" x14ac:dyDescent="0.25"/>
    <row r="109589" customFormat="1" x14ac:dyDescent="0.25"/>
    <row r="109590" customFormat="1" x14ac:dyDescent="0.25"/>
    <row r="109591" customFormat="1" x14ac:dyDescent="0.25"/>
    <row r="109592" customFormat="1" x14ac:dyDescent="0.25"/>
    <row r="109593" customFormat="1" x14ac:dyDescent="0.25"/>
    <row r="109594" customFormat="1" x14ac:dyDescent="0.25"/>
    <row r="109595" customFormat="1" x14ac:dyDescent="0.25"/>
    <row r="109596" customFormat="1" x14ac:dyDescent="0.25"/>
    <row r="109597" customFormat="1" x14ac:dyDescent="0.25"/>
    <row r="109598" customFormat="1" x14ac:dyDescent="0.25"/>
    <row r="109599" customFormat="1" x14ac:dyDescent="0.25"/>
    <row r="109600" customFormat="1" x14ac:dyDescent="0.25"/>
    <row r="109601" customFormat="1" x14ac:dyDescent="0.25"/>
    <row r="109602" customFormat="1" x14ac:dyDescent="0.25"/>
    <row r="109603" customFormat="1" x14ac:dyDescent="0.25"/>
    <row r="109604" customFormat="1" x14ac:dyDescent="0.25"/>
    <row r="109605" customFormat="1" x14ac:dyDescent="0.25"/>
    <row r="109606" customFormat="1" x14ac:dyDescent="0.25"/>
    <row r="109607" customFormat="1" x14ac:dyDescent="0.25"/>
    <row r="109608" customFormat="1" x14ac:dyDescent="0.25"/>
    <row r="109609" customFormat="1" x14ac:dyDescent="0.25"/>
    <row r="109610" customFormat="1" x14ac:dyDescent="0.25"/>
    <row r="109611" customFormat="1" x14ac:dyDescent="0.25"/>
    <row r="109612" customFormat="1" x14ac:dyDescent="0.25"/>
    <row r="109613" customFormat="1" x14ac:dyDescent="0.25"/>
    <row r="109614" customFormat="1" x14ac:dyDescent="0.25"/>
    <row r="109615" customFormat="1" x14ac:dyDescent="0.25"/>
    <row r="109616" customFormat="1" x14ac:dyDescent="0.25"/>
    <row r="109617" customFormat="1" x14ac:dyDescent="0.25"/>
    <row r="109618" customFormat="1" x14ac:dyDescent="0.25"/>
    <row r="109619" customFormat="1" x14ac:dyDescent="0.25"/>
    <row r="109620" customFormat="1" x14ac:dyDescent="0.25"/>
    <row r="109621" customFormat="1" x14ac:dyDescent="0.25"/>
    <row r="109622" customFormat="1" x14ac:dyDescent="0.25"/>
    <row r="109623" customFormat="1" x14ac:dyDescent="0.25"/>
    <row r="109624" customFormat="1" x14ac:dyDescent="0.25"/>
    <row r="109625" customFormat="1" x14ac:dyDescent="0.25"/>
    <row r="109626" customFormat="1" x14ac:dyDescent="0.25"/>
    <row r="109627" customFormat="1" x14ac:dyDescent="0.25"/>
    <row r="109628" customFormat="1" x14ac:dyDescent="0.25"/>
    <row r="109629" customFormat="1" x14ac:dyDescent="0.25"/>
    <row r="109630" customFormat="1" x14ac:dyDescent="0.25"/>
    <row r="109631" customFormat="1" x14ac:dyDescent="0.25"/>
    <row r="109632" customFormat="1" x14ac:dyDescent="0.25"/>
    <row r="109633" customFormat="1" x14ac:dyDescent="0.25"/>
    <row r="109634" customFormat="1" x14ac:dyDescent="0.25"/>
    <row r="109635" customFormat="1" x14ac:dyDescent="0.25"/>
    <row r="109636" customFormat="1" x14ac:dyDescent="0.25"/>
    <row r="109637" customFormat="1" x14ac:dyDescent="0.25"/>
    <row r="109638" customFormat="1" x14ac:dyDescent="0.25"/>
    <row r="109639" customFormat="1" x14ac:dyDescent="0.25"/>
    <row r="109640" customFormat="1" x14ac:dyDescent="0.25"/>
    <row r="109641" customFormat="1" x14ac:dyDescent="0.25"/>
    <row r="109642" customFormat="1" x14ac:dyDescent="0.25"/>
    <row r="109643" customFormat="1" x14ac:dyDescent="0.25"/>
    <row r="109644" customFormat="1" x14ac:dyDescent="0.25"/>
    <row r="109645" customFormat="1" x14ac:dyDescent="0.25"/>
    <row r="109646" customFormat="1" x14ac:dyDescent="0.25"/>
    <row r="109647" customFormat="1" x14ac:dyDescent="0.25"/>
    <row r="109648" customFormat="1" x14ac:dyDescent="0.25"/>
    <row r="109649" customFormat="1" x14ac:dyDescent="0.25"/>
    <row r="109650" customFormat="1" x14ac:dyDescent="0.25"/>
    <row r="109651" customFormat="1" x14ac:dyDescent="0.25"/>
    <row r="109652" customFormat="1" x14ac:dyDescent="0.25"/>
    <row r="109653" customFormat="1" x14ac:dyDescent="0.25"/>
    <row r="109654" customFormat="1" x14ac:dyDescent="0.25"/>
    <row r="109655" customFormat="1" x14ac:dyDescent="0.25"/>
    <row r="109656" customFormat="1" x14ac:dyDescent="0.25"/>
    <row r="109657" customFormat="1" x14ac:dyDescent="0.25"/>
    <row r="109658" customFormat="1" x14ac:dyDescent="0.25"/>
    <row r="109659" customFormat="1" x14ac:dyDescent="0.25"/>
    <row r="109660" customFormat="1" x14ac:dyDescent="0.25"/>
    <row r="109661" customFormat="1" x14ac:dyDescent="0.25"/>
    <row r="109662" customFormat="1" x14ac:dyDescent="0.25"/>
    <row r="109663" customFormat="1" x14ac:dyDescent="0.25"/>
    <row r="109664" customFormat="1" x14ac:dyDescent="0.25"/>
    <row r="109665" customFormat="1" x14ac:dyDescent="0.25"/>
    <row r="109666" customFormat="1" x14ac:dyDescent="0.25"/>
    <row r="109667" customFormat="1" x14ac:dyDescent="0.25"/>
    <row r="109668" customFormat="1" x14ac:dyDescent="0.25"/>
    <row r="109669" customFormat="1" x14ac:dyDescent="0.25"/>
    <row r="109670" customFormat="1" x14ac:dyDescent="0.25"/>
    <row r="109671" customFormat="1" x14ac:dyDescent="0.25"/>
    <row r="109672" customFormat="1" x14ac:dyDescent="0.25"/>
    <row r="109673" customFormat="1" x14ac:dyDescent="0.25"/>
    <row r="109674" customFormat="1" x14ac:dyDescent="0.25"/>
    <row r="109675" customFormat="1" x14ac:dyDescent="0.25"/>
    <row r="109676" customFormat="1" x14ac:dyDescent="0.25"/>
    <row r="109677" customFormat="1" x14ac:dyDescent="0.25"/>
    <row r="109678" customFormat="1" x14ac:dyDescent="0.25"/>
    <row r="109679" customFormat="1" x14ac:dyDescent="0.25"/>
    <row r="109680" customFormat="1" x14ac:dyDescent="0.25"/>
    <row r="109681" customFormat="1" x14ac:dyDescent="0.25"/>
    <row r="109682" customFormat="1" x14ac:dyDescent="0.25"/>
    <row r="109683" customFormat="1" x14ac:dyDescent="0.25"/>
    <row r="109684" customFormat="1" x14ac:dyDescent="0.25"/>
    <row r="109685" customFormat="1" x14ac:dyDescent="0.25"/>
    <row r="109686" customFormat="1" x14ac:dyDescent="0.25"/>
    <row r="109687" customFormat="1" x14ac:dyDescent="0.25"/>
    <row r="109688" customFormat="1" x14ac:dyDescent="0.25"/>
    <row r="109689" customFormat="1" x14ac:dyDescent="0.25"/>
    <row r="109690" customFormat="1" x14ac:dyDescent="0.25"/>
    <row r="109691" customFormat="1" x14ac:dyDescent="0.25"/>
    <row r="109692" customFormat="1" x14ac:dyDescent="0.25"/>
    <row r="109693" customFormat="1" x14ac:dyDescent="0.25"/>
    <row r="109694" customFormat="1" x14ac:dyDescent="0.25"/>
    <row r="109695" customFormat="1" x14ac:dyDescent="0.25"/>
    <row r="109696" customFormat="1" x14ac:dyDescent="0.25"/>
    <row r="109697" customFormat="1" x14ac:dyDescent="0.25"/>
    <row r="109698" customFormat="1" x14ac:dyDescent="0.25"/>
    <row r="109699" customFormat="1" x14ac:dyDescent="0.25"/>
    <row r="109700" customFormat="1" x14ac:dyDescent="0.25"/>
    <row r="109701" customFormat="1" x14ac:dyDescent="0.25"/>
    <row r="109702" customFormat="1" x14ac:dyDescent="0.25"/>
    <row r="109703" customFormat="1" x14ac:dyDescent="0.25"/>
    <row r="109704" customFormat="1" x14ac:dyDescent="0.25"/>
    <row r="109705" customFormat="1" x14ac:dyDescent="0.25"/>
    <row r="109706" customFormat="1" x14ac:dyDescent="0.25"/>
    <row r="109707" customFormat="1" x14ac:dyDescent="0.25"/>
    <row r="109708" customFormat="1" x14ac:dyDescent="0.25"/>
    <row r="109709" customFormat="1" x14ac:dyDescent="0.25"/>
    <row r="109710" customFormat="1" x14ac:dyDescent="0.25"/>
    <row r="109711" customFormat="1" x14ac:dyDescent="0.25"/>
    <row r="109712" customFormat="1" x14ac:dyDescent="0.25"/>
    <row r="109713" customFormat="1" x14ac:dyDescent="0.25"/>
    <row r="109714" customFormat="1" x14ac:dyDescent="0.25"/>
    <row r="109715" customFormat="1" x14ac:dyDescent="0.25"/>
    <row r="109716" customFormat="1" x14ac:dyDescent="0.25"/>
    <row r="109717" customFormat="1" x14ac:dyDescent="0.25"/>
    <row r="109718" customFormat="1" x14ac:dyDescent="0.25"/>
    <row r="109719" customFormat="1" x14ac:dyDescent="0.25"/>
    <row r="109720" customFormat="1" x14ac:dyDescent="0.25"/>
    <row r="109721" customFormat="1" x14ac:dyDescent="0.25"/>
    <row r="109722" customFormat="1" x14ac:dyDescent="0.25"/>
    <row r="109723" customFormat="1" x14ac:dyDescent="0.25"/>
    <row r="109724" customFormat="1" x14ac:dyDescent="0.25"/>
    <row r="109725" customFormat="1" x14ac:dyDescent="0.25"/>
    <row r="109726" customFormat="1" x14ac:dyDescent="0.25"/>
    <row r="109727" customFormat="1" x14ac:dyDescent="0.25"/>
    <row r="109728" customFormat="1" x14ac:dyDescent="0.25"/>
    <row r="109729" customFormat="1" x14ac:dyDescent="0.25"/>
    <row r="109730" customFormat="1" x14ac:dyDescent="0.25"/>
    <row r="109731" customFormat="1" x14ac:dyDescent="0.25"/>
    <row r="109732" customFormat="1" x14ac:dyDescent="0.25"/>
    <row r="109733" customFormat="1" x14ac:dyDescent="0.25"/>
    <row r="109734" customFormat="1" x14ac:dyDescent="0.25"/>
    <row r="109735" customFormat="1" x14ac:dyDescent="0.25"/>
    <row r="109736" customFormat="1" x14ac:dyDescent="0.25"/>
    <row r="109737" customFormat="1" x14ac:dyDescent="0.25"/>
    <row r="109738" customFormat="1" x14ac:dyDescent="0.25"/>
    <row r="109739" customFormat="1" x14ac:dyDescent="0.25"/>
    <row r="109740" customFormat="1" x14ac:dyDescent="0.25"/>
    <row r="109741" customFormat="1" x14ac:dyDescent="0.25"/>
    <row r="109742" customFormat="1" x14ac:dyDescent="0.25"/>
    <row r="109743" customFormat="1" x14ac:dyDescent="0.25"/>
    <row r="109744" customFormat="1" x14ac:dyDescent="0.25"/>
    <row r="109745" customFormat="1" x14ac:dyDescent="0.25"/>
    <row r="109746" customFormat="1" x14ac:dyDescent="0.25"/>
    <row r="109747" customFormat="1" x14ac:dyDescent="0.25"/>
    <row r="109748" customFormat="1" x14ac:dyDescent="0.25"/>
    <row r="109749" customFormat="1" x14ac:dyDescent="0.25"/>
    <row r="109750" customFormat="1" x14ac:dyDescent="0.25"/>
    <row r="109751" customFormat="1" x14ac:dyDescent="0.25"/>
    <row r="109752" customFormat="1" x14ac:dyDescent="0.25"/>
    <row r="109753" customFormat="1" x14ac:dyDescent="0.25"/>
    <row r="109754" customFormat="1" x14ac:dyDescent="0.25"/>
    <row r="109755" customFormat="1" x14ac:dyDescent="0.25"/>
    <row r="109756" customFormat="1" x14ac:dyDescent="0.25"/>
    <row r="109757" customFormat="1" x14ac:dyDescent="0.25"/>
    <row r="109758" customFormat="1" x14ac:dyDescent="0.25"/>
    <row r="109759" customFormat="1" x14ac:dyDescent="0.25"/>
    <row r="109760" customFormat="1" x14ac:dyDescent="0.25"/>
    <row r="109761" customFormat="1" x14ac:dyDescent="0.25"/>
    <row r="109762" customFormat="1" x14ac:dyDescent="0.25"/>
    <row r="109763" customFormat="1" x14ac:dyDescent="0.25"/>
    <row r="109764" customFormat="1" x14ac:dyDescent="0.25"/>
    <row r="109765" customFormat="1" x14ac:dyDescent="0.25"/>
    <row r="109766" customFormat="1" x14ac:dyDescent="0.25"/>
    <row r="109767" customFormat="1" x14ac:dyDescent="0.25"/>
    <row r="109768" customFormat="1" x14ac:dyDescent="0.25"/>
    <row r="109769" customFormat="1" x14ac:dyDescent="0.25"/>
    <row r="109770" customFormat="1" x14ac:dyDescent="0.25"/>
    <row r="109771" customFormat="1" x14ac:dyDescent="0.25"/>
    <row r="109772" customFormat="1" x14ac:dyDescent="0.25"/>
    <row r="109773" customFormat="1" x14ac:dyDescent="0.25"/>
    <row r="109774" customFormat="1" x14ac:dyDescent="0.25"/>
    <row r="109775" customFormat="1" x14ac:dyDescent="0.25"/>
    <row r="109776" customFormat="1" x14ac:dyDescent="0.25"/>
    <row r="109777" customFormat="1" x14ac:dyDescent="0.25"/>
    <row r="109778" customFormat="1" x14ac:dyDescent="0.25"/>
    <row r="109779" customFormat="1" x14ac:dyDescent="0.25"/>
    <row r="109780" customFormat="1" x14ac:dyDescent="0.25"/>
    <row r="109781" customFormat="1" x14ac:dyDescent="0.25"/>
    <row r="109782" customFormat="1" x14ac:dyDescent="0.25"/>
    <row r="109783" customFormat="1" x14ac:dyDescent="0.25"/>
    <row r="109784" customFormat="1" x14ac:dyDescent="0.25"/>
    <row r="109785" customFormat="1" x14ac:dyDescent="0.25"/>
    <row r="109786" customFormat="1" x14ac:dyDescent="0.25"/>
    <row r="109787" customFormat="1" x14ac:dyDescent="0.25"/>
    <row r="109788" customFormat="1" x14ac:dyDescent="0.25"/>
    <row r="109789" customFormat="1" x14ac:dyDescent="0.25"/>
    <row r="109790" customFormat="1" x14ac:dyDescent="0.25"/>
    <row r="109791" customFormat="1" x14ac:dyDescent="0.25"/>
    <row r="109792" customFormat="1" x14ac:dyDescent="0.25"/>
    <row r="109793" customFormat="1" x14ac:dyDescent="0.25"/>
    <row r="109794" customFormat="1" x14ac:dyDescent="0.25"/>
    <row r="109795" customFormat="1" x14ac:dyDescent="0.25"/>
    <row r="109796" customFormat="1" x14ac:dyDescent="0.25"/>
    <row r="109797" customFormat="1" x14ac:dyDescent="0.25"/>
    <row r="109798" customFormat="1" x14ac:dyDescent="0.25"/>
    <row r="109799" customFormat="1" x14ac:dyDescent="0.25"/>
    <row r="109800" customFormat="1" x14ac:dyDescent="0.25"/>
    <row r="109801" customFormat="1" x14ac:dyDescent="0.25"/>
    <row r="109802" customFormat="1" x14ac:dyDescent="0.25"/>
    <row r="109803" customFormat="1" x14ac:dyDescent="0.25"/>
    <row r="109804" customFormat="1" x14ac:dyDescent="0.25"/>
    <row r="109805" customFormat="1" x14ac:dyDescent="0.25"/>
    <row r="109806" customFormat="1" x14ac:dyDescent="0.25"/>
    <row r="109807" customFormat="1" x14ac:dyDescent="0.25"/>
    <row r="109808" customFormat="1" x14ac:dyDescent="0.25"/>
    <row r="109809" customFormat="1" x14ac:dyDescent="0.25"/>
    <row r="109810" customFormat="1" x14ac:dyDescent="0.25"/>
    <row r="109811" customFormat="1" x14ac:dyDescent="0.25"/>
    <row r="109812" customFormat="1" x14ac:dyDescent="0.25"/>
    <row r="109813" customFormat="1" x14ac:dyDescent="0.25"/>
    <row r="109814" customFormat="1" x14ac:dyDescent="0.25"/>
    <row r="109815" customFormat="1" x14ac:dyDescent="0.25"/>
    <row r="109816" customFormat="1" x14ac:dyDescent="0.25"/>
    <row r="109817" customFormat="1" x14ac:dyDescent="0.25"/>
    <row r="109818" customFormat="1" x14ac:dyDescent="0.25"/>
    <row r="109819" customFormat="1" x14ac:dyDescent="0.25"/>
    <row r="109820" customFormat="1" x14ac:dyDescent="0.25"/>
    <row r="109821" customFormat="1" x14ac:dyDescent="0.25"/>
    <row r="109822" customFormat="1" x14ac:dyDescent="0.25"/>
    <row r="109823" customFormat="1" x14ac:dyDescent="0.25"/>
    <row r="109824" customFormat="1" x14ac:dyDescent="0.25"/>
    <row r="109825" customFormat="1" x14ac:dyDescent="0.25"/>
    <row r="109826" customFormat="1" x14ac:dyDescent="0.25"/>
    <row r="109827" customFormat="1" x14ac:dyDescent="0.25"/>
    <row r="109828" customFormat="1" x14ac:dyDescent="0.25"/>
    <row r="109829" customFormat="1" x14ac:dyDescent="0.25"/>
    <row r="109830" customFormat="1" x14ac:dyDescent="0.25"/>
    <row r="109831" customFormat="1" x14ac:dyDescent="0.25"/>
    <row r="109832" customFormat="1" x14ac:dyDescent="0.25"/>
    <row r="109833" customFormat="1" x14ac:dyDescent="0.25"/>
    <row r="109834" customFormat="1" x14ac:dyDescent="0.25"/>
    <row r="109835" customFormat="1" x14ac:dyDescent="0.25"/>
    <row r="109836" customFormat="1" x14ac:dyDescent="0.25"/>
    <row r="109837" customFormat="1" x14ac:dyDescent="0.25"/>
    <row r="109838" customFormat="1" x14ac:dyDescent="0.25"/>
    <row r="109839" customFormat="1" x14ac:dyDescent="0.25"/>
    <row r="109840" customFormat="1" x14ac:dyDescent="0.25"/>
    <row r="109841" customFormat="1" x14ac:dyDescent="0.25"/>
    <row r="109842" customFormat="1" x14ac:dyDescent="0.25"/>
    <row r="109843" customFormat="1" x14ac:dyDescent="0.25"/>
    <row r="109844" customFormat="1" x14ac:dyDescent="0.25"/>
    <row r="109845" customFormat="1" x14ac:dyDescent="0.25"/>
    <row r="109846" customFormat="1" x14ac:dyDescent="0.25"/>
    <row r="109847" customFormat="1" x14ac:dyDescent="0.25"/>
    <row r="109848" customFormat="1" x14ac:dyDescent="0.25"/>
    <row r="109849" customFormat="1" x14ac:dyDescent="0.25"/>
    <row r="109850" customFormat="1" x14ac:dyDescent="0.25"/>
    <row r="109851" customFormat="1" x14ac:dyDescent="0.25"/>
    <row r="109852" customFormat="1" x14ac:dyDescent="0.25"/>
    <row r="109853" customFormat="1" x14ac:dyDescent="0.25"/>
    <row r="109854" customFormat="1" x14ac:dyDescent="0.25"/>
    <row r="109855" customFormat="1" x14ac:dyDescent="0.25"/>
    <row r="109856" customFormat="1" x14ac:dyDescent="0.25"/>
    <row r="109857" customFormat="1" x14ac:dyDescent="0.25"/>
    <row r="109858" customFormat="1" x14ac:dyDescent="0.25"/>
    <row r="109859" customFormat="1" x14ac:dyDescent="0.25"/>
    <row r="109860" customFormat="1" x14ac:dyDescent="0.25"/>
    <row r="109861" customFormat="1" x14ac:dyDescent="0.25"/>
    <row r="109862" customFormat="1" x14ac:dyDescent="0.25"/>
    <row r="109863" customFormat="1" x14ac:dyDescent="0.25"/>
    <row r="109864" customFormat="1" x14ac:dyDescent="0.25"/>
    <row r="109865" customFormat="1" x14ac:dyDescent="0.25"/>
    <row r="109866" customFormat="1" x14ac:dyDescent="0.25"/>
    <row r="109867" customFormat="1" x14ac:dyDescent="0.25"/>
    <row r="109868" customFormat="1" x14ac:dyDescent="0.25"/>
    <row r="109869" customFormat="1" x14ac:dyDescent="0.25"/>
    <row r="109870" customFormat="1" x14ac:dyDescent="0.25"/>
    <row r="109871" customFormat="1" x14ac:dyDescent="0.25"/>
    <row r="109872" customFormat="1" x14ac:dyDescent="0.25"/>
    <row r="109873" customFormat="1" x14ac:dyDescent="0.25"/>
    <row r="109874" customFormat="1" x14ac:dyDescent="0.25"/>
    <row r="109875" customFormat="1" x14ac:dyDescent="0.25"/>
    <row r="109876" customFormat="1" x14ac:dyDescent="0.25"/>
    <row r="109877" customFormat="1" x14ac:dyDescent="0.25"/>
    <row r="109878" customFormat="1" x14ac:dyDescent="0.25"/>
    <row r="109879" customFormat="1" x14ac:dyDescent="0.25"/>
    <row r="109880" customFormat="1" x14ac:dyDescent="0.25"/>
    <row r="109881" customFormat="1" x14ac:dyDescent="0.25"/>
    <row r="109882" customFormat="1" x14ac:dyDescent="0.25"/>
    <row r="109883" customFormat="1" x14ac:dyDescent="0.25"/>
    <row r="109884" customFormat="1" x14ac:dyDescent="0.25"/>
    <row r="109885" customFormat="1" x14ac:dyDescent="0.25"/>
    <row r="109886" customFormat="1" x14ac:dyDescent="0.25"/>
    <row r="109887" customFormat="1" x14ac:dyDescent="0.25"/>
    <row r="109888" customFormat="1" x14ac:dyDescent="0.25"/>
    <row r="109889" customFormat="1" x14ac:dyDescent="0.25"/>
    <row r="109890" customFormat="1" x14ac:dyDescent="0.25"/>
    <row r="109891" customFormat="1" x14ac:dyDescent="0.25"/>
    <row r="109892" customFormat="1" x14ac:dyDescent="0.25"/>
    <row r="109893" customFormat="1" x14ac:dyDescent="0.25"/>
    <row r="109894" customFormat="1" x14ac:dyDescent="0.25"/>
    <row r="109895" customFormat="1" x14ac:dyDescent="0.25"/>
    <row r="109896" customFormat="1" x14ac:dyDescent="0.25"/>
    <row r="109897" customFormat="1" x14ac:dyDescent="0.25"/>
    <row r="109898" customFormat="1" x14ac:dyDescent="0.25"/>
    <row r="109899" customFormat="1" x14ac:dyDescent="0.25"/>
    <row r="109900" customFormat="1" x14ac:dyDescent="0.25"/>
    <row r="109901" customFormat="1" x14ac:dyDescent="0.25"/>
    <row r="109902" customFormat="1" x14ac:dyDescent="0.25"/>
    <row r="109903" customFormat="1" x14ac:dyDescent="0.25"/>
    <row r="109904" customFormat="1" x14ac:dyDescent="0.25"/>
    <row r="109905" customFormat="1" x14ac:dyDescent="0.25"/>
    <row r="109906" customFormat="1" x14ac:dyDescent="0.25"/>
    <row r="109907" customFormat="1" x14ac:dyDescent="0.25"/>
    <row r="109908" customFormat="1" x14ac:dyDescent="0.25"/>
    <row r="109909" customFormat="1" x14ac:dyDescent="0.25"/>
    <row r="109910" customFormat="1" x14ac:dyDescent="0.25"/>
    <row r="109911" customFormat="1" x14ac:dyDescent="0.25"/>
    <row r="109912" customFormat="1" x14ac:dyDescent="0.25"/>
    <row r="109913" customFormat="1" x14ac:dyDescent="0.25"/>
    <row r="109914" customFormat="1" x14ac:dyDescent="0.25"/>
    <row r="109915" customFormat="1" x14ac:dyDescent="0.25"/>
    <row r="109916" customFormat="1" x14ac:dyDescent="0.25"/>
    <row r="109917" customFormat="1" x14ac:dyDescent="0.25"/>
    <row r="109918" customFormat="1" x14ac:dyDescent="0.25"/>
    <row r="109919" customFormat="1" x14ac:dyDescent="0.25"/>
    <row r="109920" customFormat="1" x14ac:dyDescent="0.25"/>
    <row r="109921" customFormat="1" x14ac:dyDescent="0.25"/>
    <row r="109922" customFormat="1" x14ac:dyDescent="0.25"/>
    <row r="109923" customFormat="1" x14ac:dyDescent="0.25"/>
    <row r="109924" customFormat="1" x14ac:dyDescent="0.25"/>
    <row r="109925" customFormat="1" x14ac:dyDescent="0.25"/>
    <row r="109926" customFormat="1" x14ac:dyDescent="0.25"/>
    <row r="109927" customFormat="1" x14ac:dyDescent="0.25"/>
    <row r="109928" customFormat="1" x14ac:dyDescent="0.25"/>
    <row r="109929" customFormat="1" x14ac:dyDescent="0.25"/>
    <row r="109930" customFormat="1" x14ac:dyDescent="0.25"/>
    <row r="109931" customFormat="1" x14ac:dyDescent="0.25"/>
    <row r="109932" customFormat="1" x14ac:dyDescent="0.25"/>
    <row r="109933" customFormat="1" x14ac:dyDescent="0.25"/>
    <row r="109934" customFormat="1" x14ac:dyDescent="0.25"/>
    <row r="109935" customFormat="1" x14ac:dyDescent="0.25"/>
    <row r="109936" customFormat="1" x14ac:dyDescent="0.25"/>
    <row r="109937" customFormat="1" x14ac:dyDescent="0.25"/>
    <row r="109938" customFormat="1" x14ac:dyDescent="0.25"/>
    <row r="109939" customFormat="1" x14ac:dyDescent="0.25"/>
    <row r="109940" customFormat="1" x14ac:dyDescent="0.25"/>
    <row r="109941" customFormat="1" x14ac:dyDescent="0.25"/>
    <row r="109942" customFormat="1" x14ac:dyDescent="0.25"/>
    <row r="109943" customFormat="1" x14ac:dyDescent="0.25"/>
    <row r="109944" customFormat="1" x14ac:dyDescent="0.25"/>
    <row r="109945" customFormat="1" x14ac:dyDescent="0.25"/>
    <row r="109946" customFormat="1" x14ac:dyDescent="0.25"/>
    <row r="109947" customFormat="1" x14ac:dyDescent="0.25"/>
    <row r="109948" customFormat="1" x14ac:dyDescent="0.25"/>
    <row r="109949" customFormat="1" x14ac:dyDescent="0.25"/>
    <row r="109950" customFormat="1" x14ac:dyDescent="0.25"/>
    <row r="109951" customFormat="1" x14ac:dyDescent="0.25"/>
    <row r="109952" customFormat="1" x14ac:dyDescent="0.25"/>
    <row r="109953" customFormat="1" x14ac:dyDescent="0.25"/>
    <row r="109954" customFormat="1" x14ac:dyDescent="0.25"/>
    <row r="109955" customFormat="1" x14ac:dyDescent="0.25"/>
    <row r="109956" customFormat="1" x14ac:dyDescent="0.25"/>
    <row r="109957" customFormat="1" x14ac:dyDescent="0.25"/>
    <row r="109958" customFormat="1" x14ac:dyDescent="0.25"/>
    <row r="109959" customFormat="1" x14ac:dyDescent="0.25"/>
    <row r="109960" customFormat="1" x14ac:dyDescent="0.25"/>
    <row r="109961" customFormat="1" x14ac:dyDescent="0.25"/>
    <row r="109962" customFormat="1" x14ac:dyDescent="0.25"/>
    <row r="109963" customFormat="1" x14ac:dyDescent="0.25"/>
    <row r="109964" customFormat="1" x14ac:dyDescent="0.25"/>
    <row r="109965" customFormat="1" x14ac:dyDescent="0.25"/>
    <row r="109966" customFormat="1" x14ac:dyDescent="0.25"/>
    <row r="109967" customFormat="1" x14ac:dyDescent="0.25"/>
    <row r="109968" customFormat="1" x14ac:dyDescent="0.25"/>
    <row r="109969" customFormat="1" x14ac:dyDescent="0.25"/>
    <row r="109970" customFormat="1" x14ac:dyDescent="0.25"/>
    <row r="109971" customFormat="1" x14ac:dyDescent="0.25"/>
    <row r="109972" customFormat="1" x14ac:dyDescent="0.25"/>
    <row r="109973" customFormat="1" x14ac:dyDescent="0.25"/>
    <row r="109974" customFormat="1" x14ac:dyDescent="0.25"/>
    <row r="109975" customFormat="1" x14ac:dyDescent="0.25"/>
    <row r="109976" customFormat="1" x14ac:dyDescent="0.25"/>
    <row r="109977" customFormat="1" x14ac:dyDescent="0.25"/>
    <row r="109978" customFormat="1" x14ac:dyDescent="0.25"/>
    <row r="109979" customFormat="1" x14ac:dyDescent="0.25"/>
    <row r="109980" customFormat="1" x14ac:dyDescent="0.25"/>
    <row r="109981" customFormat="1" x14ac:dyDescent="0.25"/>
    <row r="109982" customFormat="1" x14ac:dyDescent="0.25"/>
    <row r="109983" customFormat="1" x14ac:dyDescent="0.25"/>
    <row r="109984" customFormat="1" x14ac:dyDescent="0.25"/>
    <row r="109985" customFormat="1" x14ac:dyDescent="0.25"/>
    <row r="109986" customFormat="1" x14ac:dyDescent="0.25"/>
    <row r="109987" customFormat="1" x14ac:dyDescent="0.25"/>
    <row r="109988" customFormat="1" x14ac:dyDescent="0.25"/>
    <row r="109989" customFormat="1" x14ac:dyDescent="0.25"/>
    <row r="109990" customFormat="1" x14ac:dyDescent="0.25"/>
    <row r="109991" customFormat="1" x14ac:dyDescent="0.25"/>
    <row r="109992" customFormat="1" x14ac:dyDescent="0.25"/>
    <row r="109993" customFormat="1" x14ac:dyDescent="0.25"/>
    <row r="109994" customFormat="1" x14ac:dyDescent="0.25"/>
    <row r="109995" customFormat="1" x14ac:dyDescent="0.25"/>
    <row r="109996" customFormat="1" x14ac:dyDescent="0.25"/>
    <row r="109997" customFormat="1" x14ac:dyDescent="0.25"/>
    <row r="109998" customFormat="1" x14ac:dyDescent="0.25"/>
    <row r="109999" customFormat="1" x14ac:dyDescent="0.25"/>
    <row r="110000" customFormat="1" x14ac:dyDescent="0.25"/>
    <row r="110001" customFormat="1" x14ac:dyDescent="0.25"/>
    <row r="110002" customFormat="1" x14ac:dyDescent="0.25"/>
    <row r="110003" customFormat="1" x14ac:dyDescent="0.25"/>
    <row r="110004" customFormat="1" x14ac:dyDescent="0.25"/>
    <row r="110005" customFormat="1" x14ac:dyDescent="0.25"/>
    <row r="110006" customFormat="1" x14ac:dyDescent="0.25"/>
    <row r="110007" customFormat="1" x14ac:dyDescent="0.25"/>
    <row r="110008" customFormat="1" x14ac:dyDescent="0.25"/>
    <row r="110009" customFormat="1" x14ac:dyDescent="0.25"/>
    <row r="110010" customFormat="1" x14ac:dyDescent="0.25"/>
    <row r="110011" customFormat="1" x14ac:dyDescent="0.25"/>
    <row r="110012" customFormat="1" x14ac:dyDescent="0.25"/>
    <row r="110013" customFormat="1" x14ac:dyDescent="0.25"/>
    <row r="110014" customFormat="1" x14ac:dyDescent="0.25"/>
    <row r="110015" customFormat="1" x14ac:dyDescent="0.25"/>
    <row r="110016" customFormat="1" x14ac:dyDescent="0.25"/>
    <row r="110017" customFormat="1" x14ac:dyDescent="0.25"/>
    <row r="110018" customFormat="1" x14ac:dyDescent="0.25"/>
    <row r="110019" customFormat="1" x14ac:dyDescent="0.25"/>
    <row r="110020" customFormat="1" x14ac:dyDescent="0.25"/>
    <row r="110021" customFormat="1" x14ac:dyDescent="0.25"/>
    <row r="110022" customFormat="1" x14ac:dyDescent="0.25"/>
    <row r="110023" customFormat="1" x14ac:dyDescent="0.25"/>
    <row r="110024" customFormat="1" x14ac:dyDescent="0.25"/>
    <row r="110025" customFormat="1" x14ac:dyDescent="0.25"/>
    <row r="110026" customFormat="1" x14ac:dyDescent="0.25"/>
    <row r="110027" customFormat="1" x14ac:dyDescent="0.25"/>
    <row r="110028" customFormat="1" x14ac:dyDescent="0.25"/>
    <row r="110029" customFormat="1" x14ac:dyDescent="0.25"/>
    <row r="110030" customFormat="1" x14ac:dyDescent="0.25"/>
    <row r="110031" customFormat="1" x14ac:dyDescent="0.25"/>
    <row r="110032" customFormat="1" x14ac:dyDescent="0.25"/>
    <row r="110033" customFormat="1" x14ac:dyDescent="0.25"/>
    <row r="110034" customFormat="1" x14ac:dyDescent="0.25"/>
    <row r="110035" customFormat="1" x14ac:dyDescent="0.25"/>
    <row r="110036" customFormat="1" x14ac:dyDescent="0.25"/>
    <row r="110037" customFormat="1" x14ac:dyDescent="0.25"/>
    <row r="110038" customFormat="1" x14ac:dyDescent="0.25"/>
    <row r="110039" customFormat="1" x14ac:dyDescent="0.25"/>
    <row r="110040" customFormat="1" x14ac:dyDescent="0.25"/>
    <row r="110041" customFormat="1" x14ac:dyDescent="0.25"/>
    <row r="110042" customFormat="1" x14ac:dyDescent="0.25"/>
    <row r="110043" customFormat="1" x14ac:dyDescent="0.25"/>
    <row r="110044" customFormat="1" x14ac:dyDescent="0.25"/>
    <row r="110045" customFormat="1" x14ac:dyDescent="0.25"/>
    <row r="110046" customFormat="1" x14ac:dyDescent="0.25"/>
    <row r="110047" customFormat="1" x14ac:dyDescent="0.25"/>
    <row r="110048" customFormat="1" x14ac:dyDescent="0.25"/>
    <row r="110049" customFormat="1" x14ac:dyDescent="0.25"/>
    <row r="110050" customFormat="1" x14ac:dyDescent="0.25"/>
    <row r="110051" customFormat="1" x14ac:dyDescent="0.25"/>
    <row r="110052" customFormat="1" x14ac:dyDescent="0.25"/>
    <row r="110053" customFormat="1" x14ac:dyDescent="0.25"/>
    <row r="110054" customFormat="1" x14ac:dyDescent="0.25"/>
    <row r="110055" customFormat="1" x14ac:dyDescent="0.25"/>
    <row r="110056" customFormat="1" x14ac:dyDescent="0.25"/>
    <row r="110057" customFormat="1" x14ac:dyDescent="0.25"/>
    <row r="110058" customFormat="1" x14ac:dyDescent="0.25"/>
    <row r="110059" customFormat="1" x14ac:dyDescent="0.25"/>
    <row r="110060" customFormat="1" x14ac:dyDescent="0.25"/>
    <row r="110061" customFormat="1" x14ac:dyDescent="0.25"/>
    <row r="110062" customFormat="1" x14ac:dyDescent="0.25"/>
    <row r="110063" customFormat="1" x14ac:dyDescent="0.25"/>
    <row r="110064" customFormat="1" x14ac:dyDescent="0.25"/>
    <row r="110065" customFormat="1" x14ac:dyDescent="0.25"/>
    <row r="110066" customFormat="1" x14ac:dyDescent="0.25"/>
    <row r="110067" customFormat="1" x14ac:dyDescent="0.25"/>
    <row r="110068" customFormat="1" x14ac:dyDescent="0.25"/>
    <row r="110069" customFormat="1" x14ac:dyDescent="0.25"/>
    <row r="110070" customFormat="1" x14ac:dyDescent="0.25"/>
    <row r="110071" customFormat="1" x14ac:dyDescent="0.25"/>
    <row r="110072" customFormat="1" x14ac:dyDescent="0.25"/>
    <row r="110073" customFormat="1" x14ac:dyDescent="0.25"/>
    <row r="110074" customFormat="1" x14ac:dyDescent="0.25"/>
    <row r="110075" customFormat="1" x14ac:dyDescent="0.25"/>
    <row r="110076" customFormat="1" x14ac:dyDescent="0.25"/>
    <row r="110077" customFormat="1" x14ac:dyDescent="0.25"/>
    <row r="110078" customFormat="1" x14ac:dyDescent="0.25"/>
    <row r="110079" customFormat="1" x14ac:dyDescent="0.25"/>
    <row r="110080" customFormat="1" x14ac:dyDescent="0.25"/>
    <row r="110081" customFormat="1" x14ac:dyDescent="0.25"/>
    <row r="110082" customFormat="1" x14ac:dyDescent="0.25"/>
    <row r="110083" customFormat="1" x14ac:dyDescent="0.25"/>
    <row r="110084" customFormat="1" x14ac:dyDescent="0.25"/>
    <row r="110085" customFormat="1" x14ac:dyDescent="0.25"/>
    <row r="110086" customFormat="1" x14ac:dyDescent="0.25"/>
    <row r="110087" customFormat="1" x14ac:dyDescent="0.25"/>
    <row r="110088" customFormat="1" x14ac:dyDescent="0.25"/>
    <row r="110089" customFormat="1" x14ac:dyDescent="0.25"/>
    <row r="110090" customFormat="1" x14ac:dyDescent="0.25"/>
    <row r="110091" customFormat="1" x14ac:dyDescent="0.25"/>
    <row r="110092" customFormat="1" x14ac:dyDescent="0.25"/>
    <row r="110093" customFormat="1" x14ac:dyDescent="0.25"/>
    <row r="110094" customFormat="1" x14ac:dyDescent="0.25"/>
    <row r="110095" customFormat="1" x14ac:dyDescent="0.25"/>
    <row r="110096" customFormat="1" x14ac:dyDescent="0.25"/>
    <row r="110097" customFormat="1" x14ac:dyDescent="0.25"/>
    <row r="110098" customFormat="1" x14ac:dyDescent="0.25"/>
    <row r="110099" customFormat="1" x14ac:dyDescent="0.25"/>
    <row r="110100" customFormat="1" x14ac:dyDescent="0.25"/>
    <row r="110101" customFormat="1" x14ac:dyDescent="0.25"/>
    <row r="110102" customFormat="1" x14ac:dyDescent="0.25"/>
    <row r="110103" customFormat="1" x14ac:dyDescent="0.25"/>
    <row r="110104" customFormat="1" x14ac:dyDescent="0.25"/>
    <row r="110105" customFormat="1" x14ac:dyDescent="0.25"/>
    <row r="110106" customFormat="1" x14ac:dyDescent="0.25"/>
    <row r="110107" customFormat="1" x14ac:dyDescent="0.25"/>
    <row r="110108" customFormat="1" x14ac:dyDescent="0.25"/>
    <row r="110109" customFormat="1" x14ac:dyDescent="0.25"/>
    <row r="110110" customFormat="1" x14ac:dyDescent="0.25"/>
    <row r="110111" customFormat="1" x14ac:dyDescent="0.25"/>
    <row r="110112" customFormat="1" x14ac:dyDescent="0.25"/>
    <row r="110113" customFormat="1" x14ac:dyDescent="0.25"/>
    <row r="110114" customFormat="1" x14ac:dyDescent="0.25"/>
    <row r="110115" customFormat="1" x14ac:dyDescent="0.25"/>
    <row r="110116" customFormat="1" x14ac:dyDescent="0.25"/>
    <row r="110117" customFormat="1" x14ac:dyDescent="0.25"/>
    <row r="110118" customFormat="1" x14ac:dyDescent="0.25"/>
    <row r="110119" customFormat="1" x14ac:dyDescent="0.25"/>
    <row r="110120" customFormat="1" x14ac:dyDescent="0.25"/>
    <row r="110121" customFormat="1" x14ac:dyDescent="0.25"/>
    <row r="110122" customFormat="1" x14ac:dyDescent="0.25"/>
    <row r="110123" customFormat="1" x14ac:dyDescent="0.25"/>
    <row r="110124" customFormat="1" x14ac:dyDescent="0.25"/>
    <row r="110125" customFormat="1" x14ac:dyDescent="0.25"/>
    <row r="110126" customFormat="1" x14ac:dyDescent="0.25"/>
    <row r="110127" customFormat="1" x14ac:dyDescent="0.25"/>
    <row r="110128" customFormat="1" x14ac:dyDescent="0.25"/>
    <row r="110129" customFormat="1" x14ac:dyDescent="0.25"/>
    <row r="110130" customFormat="1" x14ac:dyDescent="0.25"/>
    <row r="110131" customFormat="1" x14ac:dyDescent="0.25"/>
    <row r="110132" customFormat="1" x14ac:dyDescent="0.25"/>
    <row r="110133" customFormat="1" x14ac:dyDescent="0.25"/>
    <row r="110134" customFormat="1" x14ac:dyDescent="0.25"/>
    <row r="110135" customFormat="1" x14ac:dyDescent="0.25"/>
    <row r="110136" customFormat="1" x14ac:dyDescent="0.25"/>
    <row r="110137" customFormat="1" x14ac:dyDescent="0.25"/>
    <row r="110138" customFormat="1" x14ac:dyDescent="0.25"/>
    <row r="110139" customFormat="1" x14ac:dyDescent="0.25"/>
    <row r="110140" customFormat="1" x14ac:dyDescent="0.25"/>
    <row r="110141" customFormat="1" x14ac:dyDescent="0.25"/>
    <row r="110142" customFormat="1" x14ac:dyDescent="0.25"/>
    <row r="110143" customFormat="1" x14ac:dyDescent="0.25"/>
    <row r="110144" customFormat="1" x14ac:dyDescent="0.25"/>
    <row r="110145" customFormat="1" x14ac:dyDescent="0.25"/>
    <row r="110146" customFormat="1" x14ac:dyDescent="0.25"/>
    <row r="110147" customFormat="1" x14ac:dyDescent="0.25"/>
    <row r="110148" customFormat="1" x14ac:dyDescent="0.25"/>
    <row r="110149" customFormat="1" x14ac:dyDescent="0.25"/>
    <row r="110150" customFormat="1" x14ac:dyDescent="0.25"/>
    <row r="110151" customFormat="1" x14ac:dyDescent="0.25"/>
    <row r="110152" customFormat="1" x14ac:dyDescent="0.25"/>
    <row r="110153" customFormat="1" x14ac:dyDescent="0.25"/>
    <row r="110154" customFormat="1" x14ac:dyDescent="0.25"/>
    <row r="110155" customFormat="1" x14ac:dyDescent="0.25"/>
    <row r="110156" customFormat="1" x14ac:dyDescent="0.25"/>
    <row r="110157" customFormat="1" x14ac:dyDescent="0.25"/>
    <row r="110158" customFormat="1" x14ac:dyDescent="0.25"/>
    <row r="110159" customFormat="1" x14ac:dyDescent="0.25"/>
    <row r="110160" customFormat="1" x14ac:dyDescent="0.25"/>
    <row r="110161" customFormat="1" x14ac:dyDescent="0.25"/>
    <row r="110162" customFormat="1" x14ac:dyDescent="0.25"/>
    <row r="110163" customFormat="1" x14ac:dyDescent="0.25"/>
    <row r="110164" customFormat="1" x14ac:dyDescent="0.25"/>
    <row r="110165" customFormat="1" x14ac:dyDescent="0.25"/>
    <row r="110166" customFormat="1" x14ac:dyDescent="0.25"/>
    <row r="110167" customFormat="1" x14ac:dyDescent="0.25"/>
    <row r="110168" customFormat="1" x14ac:dyDescent="0.25"/>
    <row r="110169" customFormat="1" x14ac:dyDescent="0.25"/>
    <row r="110170" customFormat="1" x14ac:dyDescent="0.25"/>
    <row r="110171" customFormat="1" x14ac:dyDescent="0.25"/>
    <row r="110172" customFormat="1" x14ac:dyDescent="0.25"/>
    <row r="110173" customFormat="1" x14ac:dyDescent="0.25"/>
    <row r="110174" customFormat="1" x14ac:dyDescent="0.25"/>
    <row r="110175" customFormat="1" x14ac:dyDescent="0.25"/>
    <row r="110176" customFormat="1" x14ac:dyDescent="0.25"/>
    <row r="110177" customFormat="1" x14ac:dyDescent="0.25"/>
    <row r="110178" customFormat="1" x14ac:dyDescent="0.25"/>
    <row r="110179" customFormat="1" x14ac:dyDescent="0.25"/>
    <row r="110180" customFormat="1" x14ac:dyDescent="0.25"/>
    <row r="110181" customFormat="1" x14ac:dyDescent="0.25"/>
    <row r="110182" customFormat="1" x14ac:dyDescent="0.25"/>
    <row r="110183" customFormat="1" x14ac:dyDescent="0.25"/>
    <row r="110184" customFormat="1" x14ac:dyDescent="0.25"/>
    <row r="110185" customFormat="1" x14ac:dyDescent="0.25"/>
    <row r="110186" customFormat="1" x14ac:dyDescent="0.25"/>
    <row r="110187" customFormat="1" x14ac:dyDescent="0.25"/>
    <row r="110188" customFormat="1" x14ac:dyDescent="0.25"/>
    <row r="110189" customFormat="1" x14ac:dyDescent="0.25"/>
    <row r="110190" customFormat="1" x14ac:dyDescent="0.25"/>
    <row r="110191" customFormat="1" x14ac:dyDescent="0.25"/>
    <row r="110192" customFormat="1" x14ac:dyDescent="0.25"/>
    <row r="110193" customFormat="1" x14ac:dyDescent="0.25"/>
    <row r="110194" customFormat="1" x14ac:dyDescent="0.25"/>
    <row r="110195" customFormat="1" x14ac:dyDescent="0.25"/>
    <row r="110196" customFormat="1" x14ac:dyDescent="0.25"/>
    <row r="110197" customFormat="1" x14ac:dyDescent="0.25"/>
    <row r="110198" customFormat="1" x14ac:dyDescent="0.25"/>
    <row r="110199" customFormat="1" x14ac:dyDescent="0.25"/>
    <row r="110200" customFormat="1" x14ac:dyDescent="0.25"/>
    <row r="110201" customFormat="1" x14ac:dyDescent="0.25"/>
    <row r="110202" customFormat="1" x14ac:dyDescent="0.25"/>
    <row r="110203" customFormat="1" x14ac:dyDescent="0.25"/>
    <row r="110204" customFormat="1" x14ac:dyDescent="0.25"/>
    <row r="110205" customFormat="1" x14ac:dyDescent="0.25"/>
    <row r="110206" customFormat="1" x14ac:dyDescent="0.25"/>
    <row r="110207" customFormat="1" x14ac:dyDescent="0.25"/>
    <row r="110208" customFormat="1" x14ac:dyDescent="0.25"/>
    <row r="110209" customFormat="1" x14ac:dyDescent="0.25"/>
    <row r="110210" customFormat="1" x14ac:dyDescent="0.25"/>
    <row r="110211" customFormat="1" x14ac:dyDescent="0.25"/>
    <row r="110212" customFormat="1" x14ac:dyDescent="0.25"/>
    <row r="110213" customFormat="1" x14ac:dyDescent="0.25"/>
    <row r="110214" customFormat="1" x14ac:dyDescent="0.25"/>
    <row r="110215" customFormat="1" x14ac:dyDescent="0.25"/>
    <row r="110216" customFormat="1" x14ac:dyDescent="0.25"/>
    <row r="110217" customFormat="1" x14ac:dyDescent="0.25"/>
    <row r="110218" customFormat="1" x14ac:dyDescent="0.25"/>
    <row r="110219" customFormat="1" x14ac:dyDescent="0.25"/>
    <row r="110220" customFormat="1" x14ac:dyDescent="0.25"/>
    <row r="110221" customFormat="1" x14ac:dyDescent="0.25"/>
    <row r="110222" customFormat="1" x14ac:dyDescent="0.25"/>
    <row r="110223" customFormat="1" x14ac:dyDescent="0.25"/>
    <row r="110224" customFormat="1" x14ac:dyDescent="0.25"/>
    <row r="110225" customFormat="1" x14ac:dyDescent="0.25"/>
    <row r="110226" customFormat="1" x14ac:dyDescent="0.25"/>
    <row r="110227" customFormat="1" x14ac:dyDescent="0.25"/>
    <row r="110228" customFormat="1" x14ac:dyDescent="0.25"/>
    <row r="110229" customFormat="1" x14ac:dyDescent="0.25"/>
    <row r="110230" customFormat="1" x14ac:dyDescent="0.25"/>
    <row r="110231" customFormat="1" x14ac:dyDescent="0.25"/>
    <row r="110232" customFormat="1" x14ac:dyDescent="0.25"/>
    <row r="110233" customFormat="1" x14ac:dyDescent="0.25"/>
    <row r="110234" customFormat="1" x14ac:dyDescent="0.25"/>
    <row r="110235" customFormat="1" x14ac:dyDescent="0.25"/>
    <row r="110236" customFormat="1" x14ac:dyDescent="0.25"/>
    <row r="110237" customFormat="1" x14ac:dyDescent="0.25"/>
    <row r="110238" customFormat="1" x14ac:dyDescent="0.25"/>
    <row r="110239" customFormat="1" x14ac:dyDescent="0.25"/>
    <row r="110240" customFormat="1" x14ac:dyDescent="0.25"/>
    <row r="110241" customFormat="1" x14ac:dyDescent="0.25"/>
    <row r="110242" customFormat="1" x14ac:dyDescent="0.25"/>
    <row r="110243" customFormat="1" x14ac:dyDescent="0.25"/>
    <row r="110244" customFormat="1" x14ac:dyDescent="0.25"/>
    <row r="110245" customFormat="1" x14ac:dyDescent="0.25"/>
    <row r="110246" customFormat="1" x14ac:dyDescent="0.25"/>
    <row r="110247" customFormat="1" x14ac:dyDescent="0.25"/>
    <row r="110248" customFormat="1" x14ac:dyDescent="0.25"/>
    <row r="110249" customFormat="1" x14ac:dyDescent="0.25"/>
    <row r="110250" customFormat="1" x14ac:dyDescent="0.25"/>
    <row r="110251" customFormat="1" x14ac:dyDescent="0.25"/>
    <row r="110252" customFormat="1" x14ac:dyDescent="0.25"/>
    <row r="110253" customFormat="1" x14ac:dyDescent="0.25"/>
    <row r="110254" customFormat="1" x14ac:dyDescent="0.25"/>
    <row r="110255" customFormat="1" x14ac:dyDescent="0.25"/>
    <row r="110256" customFormat="1" x14ac:dyDescent="0.25"/>
    <row r="110257" customFormat="1" x14ac:dyDescent="0.25"/>
    <row r="110258" customFormat="1" x14ac:dyDescent="0.25"/>
    <row r="110259" customFormat="1" x14ac:dyDescent="0.25"/>
    <row r="110260" customFormat="1" x14ac:dyDescent="0.25"/>
    <row r="110261" customFormat="1" x14ac:dyDescent="0.25"/>
    <row r="110262" customFormat="1" x14ac:dyDescent="0.25"/>
    <row r="110263" customFormat="1" x14ac:dyDescent="0.25"/>
    <row r="110264" customFormat="1" x14ac:dyDescent="0.25"/>
    <row r="110265" customFormat="1" x14ac:dyDescent="0.25"/>
    <row r="110266" customFormat="1" x14ac:dyDescent="0.25"/>
    <row r="110267" customFormat="1" x14ac:dyDescent="0.25"/>
    <row r="110268" customFormat="1" x14ac:dyDescent="0.25"/>
    <row r="110269" customFormat="1" x14ac:dyDescent="0.25"/>
    <row r="110270" customFormat="1" x14ac:dyDescent="0.25"/>
    <row r="110271" customFormat="1" x14ac:dyDescent="0.25"/>
    <row r="110272" customFormat="1" x14ac:dyDescent="0.25"/>
    <row r="110273" customFormat="1" x14ac:dyDescent="0.25"/>
    <row r="110274" customFormat="1" x14ac:dyDescent="0.25"/>
    <row r="110275" customFormat="1" x14ac:dyDescent="0.25"/>
    <row r="110276" customFormat="1" x14ac:dyDescent="0.25"/>
    <row r="110277" customFormat="1" x14ac:dyDescent="0.25"/>
    <row r="110278" customFormat="1" x14ac:dyDescent="0.25"/>
    <row r="110279" customFormat="1" x14ac:dyDescent="0.25"/>
    <row r="110280" customFormat="1" x14ac:dyDescent="0.25"/>
    <row r="110281" customFormat="1" x14ac:dyDescent="0.25"/>
    <row r="110282" customFormat="1" x14ac:dyDescent="0.25"/>
    <row r="110283" customFormat="1" x14ac:dyDescent="0.25"/>
    <row r="110284" customFormat="1" x14ac:dyDescent="0.25"/>
    <row r="110285" customFormat="1" x14ac:dyDescent="0.25"/>
    <row r="110286" customFormat="1" x14ac:dyDescent="0.25"/>
    <row r="110287" customFormat="1" x14ac:dyDescent="0.25"/>
    <row r="110288" customFormat="1" x14ac:dyDescent="0.25"/>
    <row r="110289" customFormat="1" x14ac:dyDescent="0.25"/>
    <row r="110290" customFormat="1" x14ac:dyDescent="0.25"/>
    <row r="110291" customFormat="1" x14ac:dyDescent="0.25"/>
    <row r="110292" customFormat="1" x14ac:dyDescent="0.25"/>
    <row r="110293" customFormat="1" x14ac:dyDescent="0.25"/>
    <row r="110294" customFormat="1" x14ac:dyDescent="0.25"/>
    <row r="110295" customFormat="1" x14ac:dyDescent="0.25"/>
    <row r="110296" customFormat="1" x14ac:dyDescent="0.25"/>
    <row r="110297" customFormat="1" x14ac:dyDescent="0.25"/>
    <row r="110298" customFormat="1" x14ac:dyDescent="0.25"/>
    <row r="110299" customFormat="1" x14ac:dyDescent="0.25"/>
    <row r="110300" customFormat="1" x14ac:dyDescent="0.25"/>
    <row r="110301" customFormat="1" x14ac:dyDescent="0.25"/>
    <row r="110302" customFormat="1" x14ac:dyDescent="0.25"/>
    <row r="110303" customFormat="1" x14ac:dyDescent="0.25"/>
    <row r="110304" customFormat="1" x14ac:dyDescent="0.25"/>
    <row r="110305" customFormat="1" x14ac:dyDescent="0.25"/>
    <row r="110306" customFormat="1" x14ac:dyDescent="0.25"/>
    <row r="110307" customFormat="1" x14ac:dyDescent="0.25"/>
    <row r="110308" customFormat="1" x14ac:dyDescent="0.25"/>
    <row r="110309" customFormat="1" x14ac:dyDescent="0.25"/>
    <row r="110310" customFormat="1" x14ac:dyDescent="0.25"/>
    <row r="110311" customFormat="1" x14ac:dyDescent="0.25"/>
    <row r="110312" customFormat="1" x14ac:dyDescent="0.25"/>
    <row r="110313" customFormat="1" x14ac:dyDescent="0.25"/>
    <row r="110314" customFormat="1" x14ac:dyDescent="0.25"/>
    <row r="110315" customFormat="1" x14ac:dyDescent="0.25"/>
    <row r="110316" customFormat="1" x14ac:dyDescent="0.25"/>
    <row r="110317" customFormat="1" x14ac:dyDescent="0.25"/>
    <row r="110318" customFormat="1" x14ac:dyDescent="0.25"/>
    <row r="110319" customFormat="1" x14ac:dyDescent="0.25"/>
    <row r="110320" customFormat="1" x14ac:dyDescent="0.25"/>
    <row r="110321" customFormat="1" x14ac:dyDescent="0.25"/>
    <row r="110322" customFormat="1" x14ac:dyDescent="0.25"/>
    <row r="110323" customFormat="1" x14ac:dyDescent="0.25"/>
    <row r="110324" customFormat="1" x14ac:dyDescent="0.25"/>
    <row r="110325" customFormat="1" x14ac:dyDescent="0.25"/>
    <row r="110326" customFormat="1" x14ac:dyDescent="0.25"/>
    <row r="110327" customFormat="1" x14ac:dyDescent="0.25"/>
    <row r="110328" customFormat="1" x14ac:dyDescent="0.25"/>
    <row r="110329" customFormat="1" x14ac:dyDescent="0.25"/>
    <row r="110330" customFormat="1" x14ac:dyDescent="0.25"/>
    <row r="110331" customFormat="1" x14ac:dyDescent="0.25"/>
    <row r="110332" customFormat="1" x14ac:dyDescent="0.25"/>
    <row r="110333" customFormat="1" x14ac:dyDescent="0.25"/>
    <row r="110334" customFormat="1" x14ac:dyDescent="0.25"/>
    <row r="110335" customFormat="1" x14ac:dyDescent="0.25"/>
    <row r="110336" customFormat="1" x14ac:dyDescent="0.25"/>
    <row r="110337" customFormat="1" x14ac:dyDescent="0.25"/>
    <row r="110338" customFormat="1" x14ac:dyDescent="0.25"/>
    <row r="110339" customFormat="1" x14ac:dyDescent="0.25"/>
    <row r="110340" customFormat="1" x14ac:dyDescent="0.25"/>
    <row r="110341" customFormat="1" x14ac:dyDescent="0.25"/>
    <row r="110342" customFormat="1" x14ac:dyDescent="0.25"/>
    <row r="110343" customFormat="1" x14ac:dyDescent="0.25"/>
    <row r="110344" customFormat="1" x14ac:dyDescent="0.25"/>
    <row r="110345" customFormat="1" x14ac:dyDescent="0.25"/>
    <row r="110346" customFormat="1" x14ac:dyDescent="0.25"/>
    <row r="110347" customFormat="1" x14ac:dyDescent="0.25"/>
    <row r="110348" customFormat="1" x14ac:dyDescent="0.25"/>
    <row r="110349" customFormat="1" x14ac:dyDescent="0.25"/>
    <row r="110350" customFormat="1" x14ac:dyDescent="0.25"/>
    <row r="110351" customFormat="1" x14ac:dyDescent="0.25"/>
    <row r="110352" customFormat="1" x14ac:dyDescent="0.25"/>
    <row r="110353" customFormat="1" x14ac:dyDescent="0.25"/>
    <row r="110354" customFormat="1" x14ac:dyDescent="0.25"/>
    <row r="110355" customFormat="1" x14ac:dyDescent="0.25"/>
    <row r="110356" customFormat="1" x14ac:dyDescent="0.25"/>
    <row r="110357" customFormat="1" x14ac:dyDescent="0.25"/>
    <row r="110358" customFormat="1" x14ac:dyDescent="0.25"/>
    <row r="110359" customFormat="1" x14ac:dyDescent="0.25"/>
    <row r="110360" customFormat="1" x14ac:dyDescent="0.25"/>
    <row r="110361" customFormat="1" x14ac:dyDescent="0.25"/>
    <row r="110362" customFormat="1" x14ac:dyDescent="0.25"/>
    <row r="110363" customFormat="1" x14ac:dyDescent="0.25"/>
    <row r="110364" customFormat="1" x14ac:dyDescent="0.25"/>
    <row r="110365" customFormat="1" x14ac:dyDescent="0.25"/>
    <row r="110366" customFormat="1" x14ac:dyDescent="0.25"/>
    <row r="110367" customFormat="1" x14ac:dyDescent="0.25"/>
    <row r="110368" customFormat="1" x14ac:dyDescent="0.25"/>
    <row r="110369" customFormat="1" x14ac:dyDescent="0.25"/>
    <row r="110370" customFormat="1" x14ac:dyDescent="0.25"/>
    <row r="110371" customFormat="1" x14ac:dyDescent="0.25"/>
    <row r="110372" customFormat="1" x14ac:dyDescent="0.25"/>
    <row r="110373" customFormat="1" x14ac:dyDescent="0.25"/>
    <row r="110374" customFormat="1" x14ac:dyDescent="0.25"/>
    <row r="110375" customFormat="1" x14ac:dyDescent="0.25"/>
    <row r="110376" customFormat="1" x14ac:dyDescent="0.25"/>
    <row r="110377" customFormat="1" x14ac:dyDescent="0.25"/>
    <row r="110378" customFormat="1" x14ac:dyDescent="0.25"/>
    <row r="110379" customFormat="1" x14ac:dyDescent="0.25"/>
    <row r="110380" customFormat="1" x14ac:dyDescent="0.25"/>
    <row r="110381" customFormat="1" x14ac:dyDescent="0.25"/>
    <row r="110382" customFormat="1" x14ac:dyDescent="0.25"/>
    <row r="110383" customFormat="1" x14ac:dyDescent="0.25"/>
    <row r="110384" customFormat="1" x14ac:dyDescent="0.25"/>
    <row r="110385" customFormat="1" x14ac:dyDescent="0.25"/>
    <row r="110386" customFormat="1" x14ac:dyDescent="0.25"/>
    <row r="110387" customFormat="1" x14ac:dyDescent="0.25"/>
    <row r="110388" customFormat="1" x14ac:dyDescent="0.25"/>
    <row r="110389" customFormat="1" x14ac:dyDescent="0.25"/>
    <row r="110390" customFormat="1" x14ac:dyDescent="0.25"/>
    <row r="110391" customFormat="1" x14ac:dyDescent="0.25"/>
    <row r="110392" customFormat="1" x14ac:dyDescent="0.25"/>
    <row r="110393" customFormat="1" x14ac:dyDescent="0.25"/>
    <row r="110394" customFormat="1" x14ac:dyDescent="0.25"/>
    <row r="110395" customFormat="1" x14ac:dyDescent="0.25"/>
    <row r="110396" customFormat="1" x14ac:dyDescent="0.25"/>
    <row r="110397" customFormat="1" x14ac:dyDescent="0.25"/>
    <row r="110398" customFormat="1" x14ac:dyDescent="0.25"/>
    <row r="110399" customFormat="1" x14ac:dyDescent="0.25"/>
    <row r="110400" customFormat="1" x14ac:dyDescent="0.25"/>
    <row r="110401" customFormat="1" x14ac:dyDescent="0.25"/>
    <row r="110402" customFormat="1" x14ac:dyDescent="0.25"/>
    <row r="110403" customFormat="1" x14ac:dyDescent="0.25"/>
    <row r="110404" customFormat="1" x14ac:dyDescent="0.25"/>
    <row r="110405" customFormat="1" x14ac:dyDescent="0.25"/>
    <row r="110406" customFormat="1" x14ac:dyDescent="0.25"/>
    <row r="110407" customFormat="1" x14ac:dyDescent="0.25"/>
    <row r="110408" customFormat="1" x14ac:dyDescent="0.25"/>
    <row r="110409" customFormat="1" x14ac:dyDescent="0.25"/>
    <row r="110410" customFormat="1" x14ac:dyDescent="0.25"/>
    <row r="110411" customFormat="1" x14ac:dyDescent="0.25"/>
    <row r="110412" customFormat="1" x14ac:dyDescent="0.25"/>
    <row r="110413" customFormat="1" x14ac:dyDescent="0.25"/>
    <row r="110414" customFormat="1" x14ac:dyDescent="0.25"/>
    <row r="110415" customFormat="1" x14ac:dyDescent="0.25"/>
    <row r="110416" customFormat="1" x14ac:dyDescent="0.25"/>
    <row r="110417" customFormat="1" x14ac:dyDescent="0.25"/>
    <row r="110418" customFormat="1" x14ac:dyDescent="0.25"/>
    <row r="110419" customFormat="1" x14ac:dyDescent="0.25"/>
    <row r="110420" customFormat="1" x14ac:dyDescent="0.25"/>
    <row r="110421" customFormat="1" x14ac:dyDescent="0.25"/>
    <row r="110422" customFormat="1" x14ac:dyDescent="0.25"/>
    <row r="110423" customFormat="1" x14ac:dyDescent="0.25"/>
    <row r="110424" customFormat="1" x14ac:dyDescent="0.25"/>
    <row r="110425" customFormat="1" x14ac:dyDescent="0.25"/>
    <row r="110426" customFormat="1" x14ac:dyDescent="0.25"/>
    <row r="110427" customFormat="1" x14ac:dyDescent="0.25"/>
    <row r="110428" customFormat="1" x14ac:dyDescent="0.25"/>
    <row r="110429" customFormat="1" x14ac:dyDescent="0.25"/>
    <row r="110430" customFormat="1" x14ac:dyDescent="0.25"/>
    <row r="110431" customFormat="1" x14ac:dyDescent="0.25"/>
    <row r="110432" customFormat="1" x14ac:dyDescent="0.25"/>
    <row r="110433" customFormat="1" x14ac:dyDescent="0.25"/>
    <row r="110434" customFormat="1" x14ac:dyDescent="0.25"/>
    <row r="110435" customFormat="1" x14ac:dyDescent="0.25"/>
    <row r="110436" customFormat="1" x14ac:dyDescent="0.25"/>
    <row r="110437" customFormat="1" x14ac:dyDescent="0.25"/>
    <row r="110438" customFormat="1" x14ac:dyDescent="0.25"/>
    <row r="110439" customFormat="1" x14ac:dyDescent="0.25"/>
    <row r="110440" customFormat="1" x14ac:dyDescent="0.25"/>
    <row r="110441" customFormat="1" x14ac:dyDescent="0.25"/>
    <row r="110442" customFormat="1" x14ac:dyDescent="0.25"/>
    <row r="110443" customFormat="1" x14ac:dyDescent="0.25"/>
    <row r="110444" customFormat="1" x14ac:dyDescent="0.25"/>
    <row r="110445" customFormat="1" x14ac:dyDescent="0.25"/>
    <row r="110446" customFormat="1" x14ac:dyDescent="0.25"/>
    <row r="110447" customFormat="1" x14ac:dyDescent="0.25"/>
    <row r="110448" customFormat="1" x14ac:dyDescent="0.25"/>
    <row r="110449" customFormat="1" x14ac:dyDescent="0.25"/>
    <row r="110450" customFormat="1" x14ac:dyDescent="0.25"/>
    <row r="110451" customFormat="1" x14ac:dyDescent="0.25"/>
    <row r="110452" customFormat="1" x14ac:dyDescent="0.25"/>
    <row r="110453" customFormat="1" x14ac:dyDescent="0.25"/>
    <row r="110454" customFormat="1" x14ac:dyDescent="0.25"/>
    <row r="110455" customFormat="1" x14ac:dyDescent="0.25"/>
    <row r="110456" customFormat="1" x14ac:dyDescent="0.25"/>
    <row r="110457" customFormat="1" x14ac:dyDescent="0.25"/>
    <row r="110458" customFormat="1" x14ac:dyDescent="0.25"/>
    <row r="110459" customFormat="1" x14ac:dyDescent="0.25"/>
    <row r="110460" customFormat="1" x14ac:dyDescent="0.25"/>
    <row r="110461" customFormat="1" x14ac:dyDescent="0.25"/>
    <row r="110462" customFormat="1" x14ac:dyDescent="0.25"/>
    <row r="110463" customFormat="1" x14ac:dyDescent="0.25"/>
    <row r="110464" customFormat="1" x14ac:dyDescent="0.25"/>
    <row r="110465" customFormat="1" x14ac:dyDescent="0.25"/>
    <row r="110466" customFormat="1" x14ac:dyDescent="0.25"/>
    <row r="110467" customFormat="1" x14ac:dyDescent="0.25"/>
    <row r="110468" customFormat="1" x14ac:dyDescent="0.25"/>
    <row r="110469" customFormat="1" x14ac:dyDescent="0.25"/>
    <row r="110470" customFormat="1" x14ac:dyDescent="0.25"/>
    <row r="110471" customFormat="1" x14ac:dyDescent="0.25"/>
    <row r="110472" customFormat="1" x14ac:dyDescent="0.25"/>
    <row r="110473" customFormat="1" x14ac:dyDescent="0.25"/>
    <row r="110474" customFormat="1" x14ac:dyDescent="0.25"/>
    <row r="110475" customFormat="1" x14ac:dyDescent="0.25"/>
    <row r="110476" customFormat="1" x14ac:dyDescent="0.25"/>
    <row r="110477" customFormat="1" x14ac:dyDescent="0.25"/>
    <row r="110478" customFormat="1" x14ac:dyDescent="0.25"/>
    <row r="110479" customFormat="1" x14ac:dyDescent="0.25"/>
    <row r="110480" customFormat="1" x14ac:dyDescent="0.25"/>
    <row r="110481" customFormat="1" x14ac:dyDescent="0.25"/>
    <row r="110482" customFormat="1" x14ac:dyDescent="0.25"/>
    <row r="110483" customFormat="1" x14ac:dyDescent="0.25"/>
    <row r="110484" customFormat="1" x14ac:dyDescent="0.25"/>
    <row r="110485" customFormat="1" x14ac:dyDescent="0.25"/>
    <row r="110486" customFormat="1" x14ac:dyDescent="0.25"/>
    <row r="110487" customFormat="1" x14ac:dyDescent="0.25"/>
    <row r="110488" customFormat="1" x14ac:dyDescent="0.25"/>
    <row r="110489" customFormat="1" x14ac:dyDescent="0.25"/>
    <row r="110490" customFormat="1" x14ac:dyDescent="0.25"/>
    <row r="110491" customFormat="1" x14ac:dyDescent="0.25"/>
    <row r="110492" customFormat="1" x14ac:dyDescent="0.25"/>
    <row r="110493" customFormat="1" x14ac:dyDescent="0.25"/>
    <row r="110494" customFormat="1" x14ac:dyDescent="0.25"/>
    <row r="110495" customFormat="1" x14ac:dyDescent="0.25"/>
    <row r="110496" customFormat="1" x14ac:dyDescent="0.25"/>
    <row r="110497" customFormat="1" x14ac:dyDescent="0.25"/>
    <row r="110498" customFormat="1" x14ac:dyDescent="0.25"/>
    <row r="110499" customFormat="1" x14ac:dyDescent="0.25"/>
    <row r="110500" customFormat="1" x14ac:dyDescent="0.25"/>
    <row r="110501" customFormat="1" x14ac:dyDescent="0.25"/>
    <row r="110502" customFormat="1" x14ac:dyDescent="0.25"/>
    <row r="110503" customFormat="1" x14ac:dyDescent="0.25"/>
    <row r="110504" customFormat="1" x14ac:dyDescent="0.25"/>
    <row r="110505" customFormat="1" x14ac:dyDescent="0.25"/>
    <row r="110506" customFormat="1" x14ac:dyDescent="0.25"/>
    <row r="110507" customFormat="1" x14ac:dyDescent="0.25"/>
    <row r="110508" customFormat="1" x14ac:dyDescent="0.25"/>
    <row r="110509" customFormat="1" x14ac:dyDescent="0.25"/>
    <row r="110510" customFormat="1" x14ac:dyDescent="0.25"/>
    <row r="110511" customFormat="1" x14ac:dyDescent="0.25"/>
    <row r="110512" customFormat="1" x14ac:dyDescent="0.25"/>
    <row r="110513" customFormat="1" x14ac:dyDescent="0.25"/>
    <row r="110514" customFormat="1" x14ac:dyDescent="0.25"/>
    <row r="110515" customFormat="1" x14ac:dyDescent="0.25"/>
    <row r="110516" customFormat="1" x14ac:dyDescent="0.25"/>
    <row r="110517" customFormat="1" x14ac:dyDescent="0.25"/>
    <row r="110518" customFormat="1" x14ac:dyDescent="0.25"/>
    <row r="110519" customFormat="1" x14ac:dyDescent="0.25"/>
    <row r="110520" customFormat="1" x14ac:dyDescent="0.25"/>
    <row r="110521" customFormat="1" x14ac:dyDescent="0.25"/>
    <row r="110522" customFormat="1" x14ac:dyDescent="0.25"/>
    <row r="110523" customFormat="1" x14ac:dyDescent="0.25"/>
    <row r="110524" customFormat="1" x14ac:dyDescent="0.25"/>
    <row r="110525" customFormat="1" x14ac:dyDescent="0.25"/>
    <row r="110526" customFormat="1" x14ac:dyDescent="0.25"/>
    <row r="110527" customFormat="1" x14ac:dyDescent="0.25"/>
    <row r="110528" customFormat="1" x14ac:dyDescent="0.25"/>
    <row r="110529" customFormat="1" x14ac:dyDescent="0.25"/>
    <row r="110530" customFormat="1" x14ac:dyDescent="0.25"/>
    <row r="110531" customFormat="1" x14ac:dyDescent="0.25"/>
    <row r="110532" customFormat="1" x14ac:dyDescent="0.25"/>
    <row r="110533" customFormat="1" x14ac:dyDescent="0.25"/>
    <row r="110534" customFormat="1" x14ac:dyDescent="0.25"/>
    <row r="110535" customFormat="1" x14ac:dyDescent="0.25"/>
    <row r="110536" customFormat="1" x14ac:dyDescent="0.25"/>
    <row r="110537" customFormat="1" x14ac:dyDescent="0.25"/>
    <row r="110538" customFormat="1" x14ac:dyDescent="0.25"/>
    <row r="110539" customFormat="1" x14ac:dyDescent="0.25"/>
    <row r="110540" customFormat="1" x14ac:dyDescent="0.25"/>
    <row r="110541" customFormat="1" x14ac:dyDescent="0.25"/>
    <row r="110542" customFormat="1" x14ac:dyDescent="0.25"/>
    <row r="110543" customFormat="1" x14ac:dyDescent="0.25"/>
    <row r="110544" customFormat="1" x14ac:dyDescent="0.25"/>
    <row r="110545" customFormat="1" x14ac:dyDescent="0.25"/>
    <row r="110546" customFormat="1" x14ac:dyDescent="0.25"/>
    <row r="110547" customFormat="1" x14ac:dyDescent="0.25"/>
    <row r="110548" customFormat="1" x14ac:dyDescent="0.25"/>
    <row r="110549" customFormat="1" x14ac:dyDescent="0.25"/>
    <row r="110550" customFormat="1" x14ac:dyDescent="0.25"/>
    <row r="110551" customFormat="1" x14ac:dyDescent="0.25"/>
    <row r="110552" customFormat="1" x14ac:dyDescent="0.25"/>
    <row r="110553" customFormat="1" x14ac:dyDescent="0.25"/>
    <row r="110554" customFormat="1" x14ac:dyDescent="0.25"/>
    <row r="110555" customFormat="1" x14ac:dyDescent="0.25"/>
    <row r="110556" customFormat="1" x14ac:dyDescent="0.25"/>
    <row r="110557" customFormat="1" x14ac:dyDescent="0.25"/>
    <row r="110558" customFormat="1" x14ac:dyDescent="0.25"/>
    <row r="110559" customFormat="1" x14ac:dyDescent="0.25"/>
    <row r="110560" customFormat="1" x14ac:dyDescent="0.25"/>
    <row r="110561" customFormat="1" x14ac:dyDescent="0.25"/>
    <row r="110562" customFormat="1" x14ac:dyDescent="0.25"/>
    <row r="110563" customFormat="1" x14ac:dyDescent="0.25"/>
    <row r="110564" customFormat="1" x14ac:dyDescent="0.25"/>
    <row r="110565" customFormat="1" x14ac:dyDescent="0.25"/>
    <row r="110566" customFormat="1" x14ac:dyDescent="0.25"/>
    <row r="110567" customFormat="1" x14ac:dyDescent="0.25"/>
    <row r="110568" customFormat="1" x14ac:dyDescent="0.25"/>
    <row r="110569" customFormat="1" x14ac:dyDescent="0.25"/>
    <row r="110570" customFormat="1" x14ac:dyDescent="0.25"/>
    <row r="110571" customFormat="1" x14ac:dyDescent="0.25"/>
    <row r="110572" customFormat="1" x14ac:dyDescent="0.25"/>
    <row r="110573" customFormat="1" x14ac:dyDescent="0.25"/>
    <row r="110574" customFormat="1" x14ac:dyDescent="0.25"/>
    <row r="110575" customFormat="1" x14ac:dyDescent="0.25"/>
    <row r="110576" customFormat="1" x14ac:dyDescent="0.25"/>
    <row r="110577" customFormat="1" x14ac:dyDescent="0.25"/>
    <row r="110578" customFormat="1" x14ac:dyDescent="0.25"/>
    <row r="110579" customFormat="1" x14ac:dyDescent="0.25"/>
    <row r="110580" customFormat="1" x14ac:dyDescent="0.25"/>
    <row r="110581" customFormat="1" x14ac:dyDescent="0.25"/>
    <row r="110582" customFormat="1" x14ac:dyDescent="0.25"/>
    <row r="110583" customFormat="1" x14ac:dyDescent="0.25"/>
    <row r="110584" customFormat="1" x14ac:dyDescent="0.25"/>
    <row r="110585" customFormat="1" x14ac:dyDescent="0.25"/>
    <row r="110586" customFormat="1" x14ac:dyDescent="0.25"/>
    <row r="110587" customFormat="1" x14ac:dyDescent="0.25"/>
    <row r="110588" customFormat="1" x14ac:dyDescent="0.25"/>
    <row r="110589" customFormat="1" x14ac:dyDescent="0.25"/>
    <row r="110590" customFormat="1" x14ac:dyDescent="0.25"/>
    <row r="110591" customFormat="1" x14ac:dyDescent="0.25"/>
    <row r="110592" customFormat="1" x14ac:dyDescent="0.25"/>
    <row r="110593" customFormat="1" x14ac:dyDescent="0.25"/>
    <row r="110594" customFormat="1" x14ac:dyDescent="0.25"/>
    <row r="110595" customFormat="1" x14ac:dyDescent="0.25"/>
    <row r="110596" customFormat="1" x14ac:dyDescent="0.25"/>
    <row r="110597" customFormat="1" x14ac:dyDescent="0.25"/>
    <row r="110598" customFormat="1" x14ac:dyDescent="0.25"/>
    <row r="110599" customFormat="1" x14ac:dyDescent="0.25"/>
    <row r="110600" customFormat="1" x14ac:dyDescent="0.25"/>
    <row r="110601" customFormat="1" x14ac:dyDescent="0.25"/>
    <row r="110602" customFormat="1" x14ac:dyDescent="0.25"/>
    <row r="110603" customFormat="1" x14ac:dyDescent="0.25"/>
    <row r="110604" customFormat="1" x14ac:dyDescent="0.25"/>
    <row r="110605" customFormat="1" x14ac:dyDescent="0.25"/>
    <row r="110606" customFormat="1" x14ac:dyDescent="0.25"/>
    <row r="110607" customFormat="1" x14ac:dyDescent="0.25"/>
    <row r="110608" customFormat="1" x14ac:dyDescent="0.25"/>
    <row r="110609" customFormat="1" x14ac:dyDescent="0.25"/>
    <row r="110610" customFormat="1" x14ac:dyDescent="0.25"/>
    <row r="110611" customFormat="1" x14ac:dyDescent="0.25"/>
    <row r="110612" customFormat="1" x14ac:dyDescent="0.25"/>
    <row r="110613" customFormat="1" x14ac:dyDescent="0.25"/>
    <row r="110614" customFormat="1" x14ac:dyDescent="0.25"/>
    <row r="110615" customFormat="1" x14ac:dyDescent="0.25"/>
    <row r="110616" customFormat="1" x14ac:dyDescent="0.25"/>
    <row r="110617" customFormat="1" x14ac:dyDescent="0.25"/>
    <row r="110618" customFormat="1" x14ac:dyDescent="0.25"/>
    <row r="110619" customFormat="1" x14ac:dyDescent="0.25"/>
    <row r="110620" customFormat="1" x14ac:dyDescent="0.25"/>
    <row r="110621" customFormat="1" x14ac:dyDescent="0.25"/>
    <row r="110622" customFormat="1" x14ac:dyDescent="0.25"/>
    <row r="110623" customFormat="1" x14ac:dyDescent="0.25"/>
    <row r="110624" customFormat="1" x14ac:dyDescent="0.25"/>
    <row r="110625" customFormat="1" x14ac:dyDescent="0.25"/>
    <row r="110626" customFormat="1" x14ac:dyDescent="0.25"/>
    <row r="110627" customFormat="1" x14ac:dyDescent="0.25"/>
    <row r="110628" customFormat="1" x14ac:dyDescent="0.25"/>
    <row r="110629" customFormat="1" x14ac:dyDescent="0.25"/>
    <row r="110630" customFormat="1" x14ac:dyDescent="0.25"/>
    <row r="110631" customFormat="1" x14ac:dyDescent="0.25"/>
    <row r="110632" customFormat="1" x14ac:dyDescent="0.25"/>
    <row r="110633" customFormat="1" x14ac:dyDescent="0.25"/>
    <row r="110634" customFormat="1" x14ac:dyDescent="0.25"/>
    <row r="110635" customFormat="1" x14ac:dyDescent="0.25"/>
    <row r="110636" customFormat="1" x14ac:dyDescent="0.25"/>
    <row r="110637" customFormat="1" x14ac:dyDescent="0.25"/>
    <row r="110638" customFormat="1" x14ac:dyDescent="0.25"/>
    <row r="110639" customFormat="1" x14ac:dyDescent="0.25"/>
    <row r="110640" customFormat="1" x14ac:dyDescent="0.25"/>
    <row r="110641" customFormat="1" x14ac:dyDescent="0.25"/>
    <row r="110642" customFormat="1" x14ac:dyDescent="0.25"/>
    <row r="110643" customFormat="1" x14ac:dyDescent="0.25"/>
    <row r="110644" customFormat="1" x14ac:dyDescent="0.25"/>
    <row r="110645" customFormat="1" x14ac:dyDescent="0.25"/>
    <row r="110646" customFormat="1" x14ac:dyDescent="0.25"/>
    <row r="110647" customFormat="1" x14ac:dyDescent="0.25"/>
    <row r="110648" customFormat="1" x14ac:dyDescent="0.25"/>
    <row r="110649" customFormat="1" x14ac:dyDescent="0.25"/>
    <row r="110650" customFormat="1" x14ac:dyDescent="0.25"/>
    <row r="110651" customFormat="1" x14ac:dyDescent="0.25"/>
    <row r="110652" customFormat="1" x14ac:dyDescent="0.25"/>
    <row r="110653" customFormat="1" x14ac:dyDescent="0.25"/>
    <row r="110654" customFormat="1" x14ac:dyDescent="0.25"/>
    <row r="110655" customFormat="1" x14ac:dyDescent="0.25"/>
    <row r="110656" customFormat="1" x14ac:dyDescent="0.25"/>
    <row r="110657" customFormat="1" x14ac:dyDescent="0.25"/>
    <row r="110658" customFormat="1" x14ac:dyDescent="0.25"/>
    <row r="110659" customFormat="1" x14ac:dyDescent="0.25"/>
    <row r="110660" customFormat="1" x14ac:dyDescent="0.25"/>
    <row r="110661" customFormat="1" x14ac:dyDescent="0.25"/>
    <row r="110662" customFormat="1" x14ac:dyDescent="0.25"/>
    <row r="110663" customFormat="1" x14ac:dyDescent="0.25"/>
    <row r="110664" customFormat="1" x14ac:dyDescent="0.25"/>
    <row r="110665" customFormat="1" x14ac:dyDescent="0.25"/>
    <row r="110666" customFormat="1" x14ac:dyDescent="0.25"/>
    <row r="110667" customFormat="1" x14ac:dyDescent="0.25"/>
    <row r="110668" customFormat="1" x14ac:dyDescent="0.25"/>
    <row r="110669" customFormat="1" x14ac:dyDescent="0.25"/>
    <row r="110670" customFormat="1" x14ac:dyDescent="0.25"/>
    <row r="110671" customFormat="1" x14ac:dyDescent="0.25"/>
    <row r="110672" customFormat="1" x14ac:dyDescent="0.25"/>
    <row r="110673" customFormat="1" x14ac:dyDescent="0.25"/>
    <row r="110674" customFormat="1" x14ac:dyDescent="0.25"/>
    <row r="110675" customFormat="1" x14ac:dyDescent="0.25"/>
    <row r="110676" customFormat="1" x14ac:dyDescent="0.25"/>
    <row r="110677" customFormat="1" x14ac:dyDescent="0.25"/>
    <row r="110678" customFormat="1" x14ac:dyDescent="0.25"/>
    <row r="110679" customFormat="1" x14ac:dyDescent="0.25"/>
    <row r="110680" customFormat="1" x14ac:dyDescent="0.25"/>
    <row r="110681" customFormat="1" x14ac:dyDescent="0.25"/>
    <row r="110682" customFormat="1" x14ac:dyDescent="0.25"/>
    <row r="110683" customFormat="1" x14ac:dyDescent="0.25"/>
    <row r="110684" customFormat="1" x14ac:dyDescent="0.25"/>
    <row r="110685" customFormat="1" x14ac:dyDescent="0.25"/>
    <row r="110686" customFormat="1" x14ac:dyDescent="0.25"/>
    <row r="110687" customFormat="1" x14ac:dyDescent="0.25"/>
    <row r="110688" customFormat="1" x14ac:dyDescent="0.25"/>
    <row r="110689" customFormat="1" x14ac:dyDescent="0.25"/>
    <row r="110690" customFormat="1" x14ac:dyDescent="0.25"/>
    <row r="110691" customFormat="1" x14ac:dyDescent="0.25"/>
    <row r="110692" customFormat="1" x14ac:dyDescent="0.25"/>
    <row r="110693" customFormat="1" x14ac:dyDescent="0.25"/>
    <row r="110694" customFormat="1" x14ac:dyDescent="0.25"/>
    <row r="110695" customFormat="1" x14ac:dyDescent="0.25"/>
    <row r="110696" customFormat="1" x14ac:dyDescent="0.25"/>
    <row r="110697" customFormat="1" x14ac:dyDescent="0.25"/>
    <row r="110698" customFormat="1" x14ac:dyDescent="0.25"/>
    <row r="110699" customFormat="1" x14ac:dyDescent="0.25"/>
    <row r="110700" customFormat="1" x14ac:dyDescent="0.25"/>
    <row r="110701" customFormat="1" x14ac:dyDescent="0.25"/>
    <row r="110702" customFormat="1" x14ac:dyDescent="0.25"/>
    <row r="110703" customFormat="1" x14ac:dyDescent="0.25"/>
    <row r="110704" customFormat="1" x14ac:dyDescent="0.25"/>
    <row r="110705" customFormat="1" x14ac:dyDescent="0.25"/>
    <row r="110706" customFormat="1" x14ac:dyDescent="0.25"/>
    <row r="110707" customFormat="1" x14ac:dyDescent="0.25"/>
    <row r="110708" customFormat="1" x14ac:dyDescent="0.25"/>
    <row r="110709" customFormat="1" x14ac:dyDescent="0.25"/>
    <row r="110710" customFormat="1" x14ac:dyDescent="0.25"/>
    <row r="110711" customFormat="1" x14ac:dyDescent="0.25"/>
    <row r="110712" customFormat="1" x14ac:dyDescent="0.25"/>
    <row r="110713" customFormat="1" x14ac:dyDescent="0.25"/>
    <row r="110714" customFormat="1" x14ac:dyDescent="0.25"/>
    <row r="110715" customFormat="1" x14ac:dyDescent="0.25"/>
    <row r="110716" customFormat="1" x14ac:dyDescent="0.25"/>
    <row r="110717" customFormat="1" x14ac:dyDescent="0.25"/>
    <row r="110718" customFormat="1" x14ac:dyDescent="0.25"/>
    <row r="110719" customFormat="1" x14ac:dyDescent="0.25"/>
    <row r="110720" customFormat="1" x14ac:dyDescent="0.25"/>
    <row r="110721" customFormat="1" x14ac:dyDescent="0.25"/>
    <row r="110722" customFormat="1" x14ac:dyDescent="0.25"/>
    <row r="110723" customFormat="1" x14ac:dyDescent="0.25"/>
    <row r="110724" customFormat="1" x14ac:dyDescent="0.25"/>
    <row r="110725" customFormat="1" x14ac:dyDescent="0.25"/>
    <row r="110726" customFormat="1" x14ac:dyDescent="0.25"/>
    <row r="110727" customFormat="1" x14ac:dyDescent="0.25"/>
    <row r="110728" customFormat="1" x14ac:dyDescent="0.25"/>
    <row r="110729" customFormat="1" x14ac:dyDescent="0.25"/>
    <row r="110730" customFormat="1" x14ac:dyDescent="0.25"/>
    <row r="110731" customFormat="1" x14ac:dyDescent="0.25"/>
    <row r="110732" customFormat="1" x14ac:dyDescent="0.25"/>
    <row r="110733" customFormat="1" x14ac:dyDescent="0.25"/>
    <row r="110734" customFormat="1" x14ac:dyDescent="0.25"/>
    <row r="110735" customFormat="1" x14ac:dyDescent="0.25"/>
    <row r="110736" customFormat="1" x14ac:dyDescent="0.25"/>
    <row r="110737" customFormat="1" x14ac:dyDescent="0.25"/>
    <row r="110738" customFormat="1" x14ac:dyDescent="0.25"/>
    <row r="110739" customFormat="1" x14ac:dyDescent="0.25"/>
    <row r="110740" customFormat="1" x14ac:dyDescent="0.25"/>
    <row r="110741" customFormat="1" x14ac:dyDescent="0.25"/>
    <row r="110742" customFormat="1" x14ac:dyDescent="0.25"/>
    <row r="110743" customFormat="1" x14ac:dyDescent="0.25"/>
    <row r="110744" customFormat="1" x14ac:dyDescent="0.25"/>
    <row r="110745" customFormat="1" x14ac:dyDescent="0.25"/>
    <row r="110746" customFormat="1" x14ac:dyDescent="0.25"/>
    <row r="110747" customFormat="1" x14ac:dyDescent="0.25"/>
    <row r="110748" customFormat="1" x14ac:dyDescent="0.25"/>
    <row r="110749" customFormat="1" x14ac:dyDescent="0.25"/>
    <row r="110750" customFormat="1" x14ac:dyDescent="0.25"/>
    <row r="110751" customFormat="1" x14ac:dyDescent="0.25"/>
    <row r="110752" customFormat="1" x14ac:dyDescent="0.25"/>
    <row r="110753" customFormat="1" x14ac:dyDescent="0.25"/>
    <row r="110754" customFormat="1" x14ac:dyDescent="0.25"/>
    <row r="110755" customFormat="1" x14ac:dyDescent="0.25"/>
    <row r="110756" customFormat="1" x14ac:dyDescent="0.25"/>
    <row r="110757" customFormat="1" x14ac:dyDescent="0.25"/>
    <row r="110758" customFormat="1" x14ac:dyDescent="0.25"/>
    <row r="110759" customFormat="1" x14ac:dyDescent="0.25"/>
    <row r="110760" customFormat="1" x14ac:dyDescent="0.25"/>
    <row r="110761" customFormat="1" x14ac:dyDescent="0.25"/>
    <row r="110762" customFormat="1" x14ac:dyDescent="0.25"/>
    <row r="110763" customFormat="1" x14ac:dyDescent="0.25"/>
    <row r="110764" customFormat="1" x14ac:dyDescent="0.25"/>
    <row r="110765" customFormat="1" x14ac:dyDescent="0.25"/>
    <row r="110766" customFormat="1" x14ac:dyDescent="0.25"/>
    <row r="110767" customFormat="1" x14ac:dyDescent="0.25"/>
    <row r="110768" customFormat="1" x14ac:dyDescent="0.25"/>
    <row r="110769" customFormat="1" x14ac:dyDescent="0.25"/>
    <row r="110770" customFormat="1" x14ac:dyDescent="0.25"/>
    <row r="110771" customFormat="1" x14ac:dyDescent="0.25"/>
    <row r="110772" customFormat="1" x14ac:dyDescent="0.25"/>
    <row r="110773" customFormat="1" x14ac:dyDescent="0.25"/>
    <row r="110774" customFormat="1" x14ac:dyDescent="0.25"/>
    <row r="110775" customFormat="1" x14ac:dyDescent="0.25"/>
    <row r="110776" customFormat="1" x14ac:dyDescent="0.25"/>
    <row r="110777" customFormat="1" x14ac:dyDescent="0.25"/>
    <row r="110778" customFormat="1" x14ac:dyDescent="0.25"/>
    <row r="110779" customFormat="1" x14ac:dyDescent="0.25"/>
    <row r="110780" customFormat="1" x14ac:dyDescent="0.25"/>
    <row r="110781" customFormat="1" x14ac:dyDescent="0.25"/>
    <row r="110782" customFormat="1" x14ac:dyDescent="0.25"/>
    <row r="110783" customFormat="1" x14ac:dyDescent="0.25"/>
    <row r="110784" customFormat="1" x14ac:dyDescent="0.25"/>
    <row r="110785" customFormat="1" x14ac:dyDescent="0.25"/>
    <row r="110786" customFormat="1" x14ac:dyDescent="0.25"/>
    <row r="110787" customFormat="1" x14ac:dyDescent="0.25"/>
    <row r="110788" customFormat="1" x14ac:dyDescent="0.25"/>
    <row r="110789" customFormat="1" x14ac:dyDescent="0.25"/>
    <row r="110790" customFormat="1" x14ac:dyDescent="0.25"/>
    <row r="110791" customFormat="1" x14ac:dyDescent="0.25"/>
    <row r="110792" customFormat="1" x14ac:dyDescent="0.25"/>
    <row r="110793" customFormat="1" x14ac:dyDescent="0.25"/>
    <row r="110794" customFormat="1" x14ac:dyDescent="0.25"/>
    <row r="110795" customFormat="1" x14ac:dyDescent="0.25"/>
    <row r="110796" customFormat="1" x14ac:dyDescent="0.25"/>
    <row r="110797" customFormat="1" x14ac:dyDescent="0.25"/>
    <row r="110798" customFormat="1" x14ac:dyDescent="0.25"/>
    <row r="110799" customFormat="1" x14ac:dyDescent="0.25"/>
    <row r="110800" customFormat="1" x14ac:dyDescent="0.25"/>
    <row r="110801" customFormat="1" x14ac:dyDescent="0.25"/>
    <row r="110802" customFormat="1" x14ac:dyDescent="0.25"/>
    <row r="110803" customFormat="1" x14ac:dyDescent="0.25"/>
    <row r="110804" customFormat="1" x14ac:dyDescent="0.25"/>
    <row r="110805" customFormat="1" x14ac:dyDescent="0.25"/>
    <row r="110806" customFormat="1" x14ac:dyDescent="0.25"/>
    <row r="110807" customFormat="1" x14ac:dyDescent="0.25"/>
    <row r="110808" customFormat="1" x14ac:dyDescent="0.25"/>
    <row r="110809" customFormat="1" x14ac:dyDescent="0.25"/>
    <row r="110810" customFormat="1" x14ac:dyDescent="0.25"/>
    <row r="110811" customFormat="1" x14ac:dyDescent="0.25"/>
    <row r="110812" customFormat="1" x14ac:dyDescent="0.25"/>
    <row r="110813" customFormat="1" x14ac:dyDescent="0.25"/>
    <row r="110814" customFormat="1" x14ac:dyDescent="0.25"/>
    <row r="110815" customFormat="1" x14ac:dyDescent="0.25"/>
    <row r="110816" customFormat="1" x14ac:dyDescent="0.25"/>
    <row r="110817" customFormat="1" x14ac:dyDescent="0.25"/>
    <row r="110818" customFormat="1" x14ac:dyDescent="0.25"/>
    <row r="110819" customFormat="1" x14ac:dyDescent="0.25"/>
    <row r="110820" customFormat="1" x14ac:dyDescent="0.25"/>
    <row r="110821" customFormat="1" x14ac:dyDescent="0.25"/>
    <row r="110822" customFormat="1" x14ac:dyDescent="0.25"/>
    <row r="110823" customFormat="1" x14ac:dyDescent="0.25"/>
    <row r="110824" customFormat="1" x14ac:dyDescent="0.25"/>
    <row r="110825" customFormat="1" x14ac:dyDescent="0.25"/>
    <row r="110826" customFormat="1" x14ac:dyDescent="0.25"/>
    <row r="110827" customFormat="1" x14ac:dyDescent="0.25"/>
    <row r="110828" customFormat="1" x14ac:dyDescent="0.25"/>
    <row r="110829" customFormat="1" x14ac:dyDescent="0.25"/>
    <row r="110830" customFormat="1" x14ac:dyDescent="0.25"/>
    <row r="110831" customFormat="1" x14ac:dyDescent="0.25"/>
    <row r="110832" customFormat="1" x14ac:dyDescent="0.25"/>
    <row r="110833" customFormat="1" x14ac:dyDescent="0.25"/>
    <row r="110834" customFormat="1" x14ac:dyDescent="0.25"/>
    <row r="110835" customFormat="1" x14ac:dyDescent="0.25"/>
    <row r="110836" customFormat="1" x14ac:dyDescent="0.25"/>
    <row r="110837" customFormat="1" x14ac:dyDescent="0.25"/>
    <row r="110838" customFormat="1" x14ac:dyDescent="0.25"/>
    <row r="110839" customFormat="1" x14ac:dyDescent="0.25"/>
    <row r="110840" customFormat="1" x14ac:dyDescent="0.25"/>
    <row r="110841" customFormat="1" x14ac:dyDescent="0.25"/>
    <row r="110842" customFormat="1" x14ac:dyDescent="0.25"/>
    <row r="110843" customFormat="1" x14ac:dyDescent="0.25"/>
    <row r="110844" customFormat="1" x14ac:dyDescent="0.25"/>
    <row r="110845" customFormat="1" x14ac:dyDescent="0.25"/>
    <row r="110846" customFormat="1" x14ac:dyDescent="0.25"/>
    <row r="110847" customFormat="1" x14ac:dyDescent="0.25"/>
    <row r="110848" customFormat="1" x14ac:dyDescent="0.25"/>
    <row r="110849" customFormat="1" x14ac:dyDescent="0.25"/>
    <row r="110850" customFormat="1" x14ac:dyDescent="0.25"/>
    <row r="110851" customFormat="1" x14ac:dyDescent="0.25"/>
    <row r="110852" customFormat="1" x14ac:dyDescent="0.25"/>
    <row r="110853" customFormat="1" x14ac:dyDescent="0.25"/>
    <row r="110854" customFormat="1" x14ac:dyDescent="0.25"/>
    <row r="110855" customFormat="1" x14ac:dyDescent="0.25"/>
    <row r="110856" customFormat="1" x14ac:dyDescent="0.25"/>
    <row r="110857" customFormat="1" x14ac:dyDescent="0.25"/>
    <row r="110858" customFormat="1" x14ac:dyDescent="0.25"/>
    <row r="110859" customFormat="1" x14ac:dyDescent="0.25"/>
    <row r="110860" customFormat="1" x14ac:dyDescent="0.25"/>
    <row r="110861" customFormat="1" x14ac:dyDescent="0.25"/>
    <row r="110862" customFormat="1" x14ac:dyDescent="0.25"/>
    <row r="110863" customFormat="1" x14ac:dyDescent="0.25"/>
    <row r="110864" customFormat="1" x14ac:dyDescent="0.25"/>
    <row r="110865" customFormat="1" x14ac:dyDescent="0.25"/>
    <row r="110866" customFormat="1" x14ac:dyDescent="0.25"/>
    <row r="110867" customFormat="1" x14ac:dyDescent="0.25"/>
    <row r="110868" customFormat="1" x14ac:dyDescent="0.25"/>
    <row r="110869" customFormat="1" x14ac:dyDescent="0.25"/>
    <row r="110870" customFormat="1" x14ac:dyDescent="0.25"/>
    <row r="110871" customFormat="1" x14ac:dyDescent="0.25"/>
    <row r="110872" customFormat="1" x14ac:dyDescent="0.25"/>
    <row r="110873" customFormat="1" x14ac:dyDescent="0.25"/>
    <row r="110874" customFormat="1" x14ac:dyDescent="0.25"/>
    <row r="110875" customFormat="1" x14ac:dyDescent="0.25"/>
    <row r="110876" customFormat="1" x14ac:dyDescent="0.25"/>
    <row r="110877" customFormat="1" x14ac:dyDescent="0.25"/>
    <row r="110878" customFormat="1" x14ac:dyDescent="0.25"/>
    <row r="110879" customFormat="1" x14ac:dyDescent="0.25"/>
    <row r="110880" customFormat="1" x14ac:dyDescent="0.25"/>
    <row r="110881" customFormat="1" x14ac:dyDescent="0.25"/>
    <row r="110882" customFormat="1" x14ac:dyDescent="0.25"/>
    <row r="110883" customFormat="1" x14ac:dyDescent="0.25"/>
    <row r="110884" customFormat="1" x14ac:dyDescent="0.25"/>
    <row r="110885" customFormat="1" x14ac:dyDescent="0.25"/>
    <row r="110886" customFormat="1" x14ac:dyDescent="0.25"/>
    <row r="110887" customFormat="1" x14ac:dyDescent="0.25"/>
    <row r="110888" customFormat="1" x14ac:dyDescent="0.25"/>
    <row r="110889" customFormat="1" x14ac:dyDescent="0.25"/>
    <row r="110890" customFormat="1" x14ac:dyDescent="0.25"/>
    <row r="110891" customFormat="1" x14ac:dyDescent="0.25"/>
    <row r="110892" customFormat="1" x14ac:dyDescent="0.25"/>
    <row r="110893" customFormat="1" x14ac:dyDescent="0.25"/>
    <row r="110894" customFormat="1" x14ac:dyDescent="0.25"/>
    <row r="110895" customFormat="1" x14ac:dyDescent="0.25"/>
    <row r="110896" customFormat="1" x14ac:dyDescent="0.25"/>
    <row r="110897" customFormat="1" x14ac:dyDescent="0.25"/>
    <row r="110898" customFormat="1" x14ac:dyDescent="0.25"/>
    <row r="110899" customFormat="1" x14ac:dyDescent="0.25"/>
    <row r="110900" customFormat="1" x14ac:dyDescent="0.25"/>
    <row r="110901" customFormat="1" x14ac:dyDescent="0.25"/>
    <row r="110902" customFormat="1" x14ac:dyDescent="0.25"/>
    <row r="110903" customFormat="1" x14ac:dyDescent="0.25"/>
    <row r="110904" customFormat="1" x14ac:dyDescent="0.25"/>
    <row r="110905" customFormat="1" x14ac:dyDescent="0.25"/>
    <row r="110906" customFormat="1" x14ac:dyDescent="0.25"/>
    <row r="110907" customFormat="1" x14ac:dyDescent="0.25"/>
    <row r="110908" customFormat="1" x14ac:dyDescent="0.25"/>
    <row r="110909" customFormat="1" x14ac:dyDescent="0.25"/>
    <row r="110910" customFormat="1" x14ac:dyDescent="0.25"/>
    <row r="110911" customFormat="1" x14ac:dyDescent="0.25"/>
    <row r="110912" customFormat="1" x14ac:dyDescent="0.25"/>
    <row r="110913" customFormat="1" x14ac:dyDescent="0.25"/>
    <row r="110914" customFormat="1" x14ac:dyDescent="0.25"/>
    <row r="110915" customFormat="1" x14ac:dyDescent="0.25"/>
    <row r="110916" customFormat="1" x14ac:dyDescent="0.25"/>
    <row r="110917" customFormat="1" x14ac:dyDescent="0.25"/>
    <row r="110918" customFormat="1" x14ac:dyDescent="0.25"/>
    <row r="110919" customFormat="1" x14ac:dyDescent="0.25"/>
    <row r="110920" customFormat="1" x14ac:dyDescent="0.25"/>
    <row r="110921" customFormat="1" x14ac:dyDescent="0.25"/>
    <row r="110922" customFormat="1" x14ac:dyDescent="0.25"/>
    <row r="110923" customFormat="1" x14ac:dyDescent="0.25"/>
    <row r="110924" customFormat="1" x14ac:dyDescent="0.25"/>
    <row r="110925" customFormat="1" x14ac:dyDescent="0.25"/>
    <row r="110926" customFormat="1" x14ac:dyDescent="0.25"/>
    <row r="110927" customFormat="1" x14ac:dyDescent="0.25"/>
    <row r="110928" customFormat="1" x14ac:dyDescent="0.25"/>
    <row r="110929" customFormat="1" x14ac:dyDescent="0.25"/>
    <row r="110930" customFormat="1" x14ac:dyDescent="0.25"/>
    <row r="110931" customFormat="1" x14ac:dyDescent="0.25"/>
    <row r="110932" customFormat="1" x14ac:dyDescent="0.25"/>
    <row r="110933" customFormat="1" x14ac:dyDescent="0.25"/>
    <row r="110934" customFormat="1" x14ac:dyDescent="0.25"/>
    <row r="110935" customFormat="1" x14ac:dyDescent="0.25"/>
    <row r="110936" customFormat="1" x14ac:dyDescent="0.25"/>
    <row r="110937" customFormat="1" x14ac:dyDescent="0.25"/>
    <row r="110938" customFormat="1" x14ac:dyDescent="0.25"/>
    <row r="110939" customFormat="1" x14ac:dyDescent="0.25"/>
    <row r="110940" customFormat="1" x14ac:dyDescent="0.25"/>
    <row r="110941" customFormat="1" x14ac:dyDescent="0.25"/>
    <row r="110942" customFormat="1" x14ac:dyDescent="0.25"/>
    <row r="110943" customFormat="1" x14ac:dyDescent="0.25"/>
    <row r="110944" customFormat="1" x14ac:dyDescent="0.25"/>
    <row r="110945" customFormat="1" x14ac:dyDescent="0.25"/>
    <row r="110946" customFormat="1" x14ac:dyDescent="0.25"/>
    <row r="110947" customFormat="1" x14ac:dyDescent="0.25"/>
    <row r="110948" customFormat="1" x14ac:dyDescent="0.25"/>
    <row r="110949" customFormat="1" x14ac:dyDescent="0.25"/>
    <row r="110950" customFormat="1" x14ac:dyDescent="0.25"/>
    <row r="110951" customFormat="1" x14ac:dyDescent="0.25"/>
    <row r="110952" customFormat="1" x14ac:dyDescent="0.25"/>
    <row r="110953" customFormat="1" x14ac:dyDescent="0.25"/>
    <row r="110954" customFormat="1" x14ac:dyDescent="0.25"/>
    <row r="110955" customFormat="1" x14ac:dyDescent="0.25"/>
    <row r="110956" customFormat="1" x14ac:dyDescent="0.25"/>
    <row r="110957" customFormat="1" x14ac:dyDescent="0.25"/>
    <row r="110958" customFormat="1" x14ac:dyDescent="0.25"/>
    <row r="110959" customFormat="1" x14ac:dyDescent="0.25"/>
    <row r="110960" customFormat="1" x14ac:dyDescent="0.25"/>
    <row r="110961" customFormat="1" x14ac:dyDescent="0.25"/>
    <row r="110962" customFormat="1" x14ac:dyDescent="0.25"/>
    <row r="110963" customFormat="1" x14ac:dyDescent="0.25"/>
    <row r="110964" customFormat="1" x14ac:dyDescent="0.25"/>
    <row r="110965" customFormat="1" x14ac:dyDescent="0.25"/>
    <row r="110966" customFormat="1" x14ac:dyDescent="0.25"/>
    <row r="110967" customFormat="1" x14ac:dyDescent="0.25"/>
    <row r="110968" customFormat="1" x14ac:dyDescent="0.25"/>
    <row r="110969" customFormat="1" x14ac:dyDescent="0.25"/>
    <row r="110970" customFormat="1" x14ac:dyDescent="0.25"/>
    <row r="110971" customFormat="1" x14ac:dyDescent="0.25"/>
    <row r="110972" customFormat="1" x14ac:dyDescent="0.25"/>
    <row r="110973" customFormat="1" x14ac:dyDescent="0.25"/>
    <row r="110974" customFormat="1" x14ac:dyDescent="0.25"/>
    <row r="110975" customFormat="1" x14ac:dyDescent="0.25"/>
    <row r="110976" customFormat="1" x14ac:dyDescent="0.25"/>
    <row r="110977" customFormat="1" x14ac:dyDescent="0.25"/>
    <row r="110978" customFormat="1" x14ac:dyDescent="0.25"/>
    <row r="110979" customFormat="1" x14ac:dyDescent="0.25"/>
    <row r="110980" customFormat="1" x14ac:dyDescent="0.25"/>
    <row r="110981" customFormat="1" x14ac:dyDescent="0.25"/>
    <row r="110982" customFormat="1" x14ac:dyDescent="0.25"/>
    <row r="110983" customFormat="1" x14ac:dyDescent="0.25"/>
    <row r="110984" customFormat="1" x14ac:dyDescent="0.25"/>
    <row r="110985" customFormat="1" x14ac:dyDescent="0.25"/>
    <row r="110986" customFormat="1" x14ac:dyDescent="0.25"/>
    <row r="110987" customFormat="1" x14ac:dyDescent="0.25"/>
    <row r="110988" customFormat="1" x14ac:dyDescent="0.25"/>
    <row r="110989" customFormat="1" x14ac:dyDescent="0.25"/>
    <row r="110990" customFormat="1" x14ac:dyDescent="0.25"/>
    <row r="110991" customFormat="1" x14ac:dyDescent="0.25"/>
    <row r="110992" customFormat="1" x14ac:dyDescent="0.25"/>
    <row r="110993" customFormat="1" x14ac:dyDescent="0.25"/>
    <row r="110994" customFormat="1" x14ac:dyDescent="0.25"/>
    <row r="110995" customFormat="1" x14ac:dyDescent="0.25"/>
    <row r="110996" customFormat="1" x14ac:dyDescent="0.25"/>
    <row r="110997" customFormat="1" x14ac:dyDescent="0.25"/>
    <row r="110998" customFormat="1" x14ac:dyDescent="0.25"/>
    <row r="110999" customFormat="1" x14ac:dyDescent="0.25"/>
    <row r="111000" customFormat="1" x14ac:dyDescent="0.25"/>
    <row r="111001" customFormat="1" x14ac:dyDescent="0.25"/>
    <row r="111002" customFormat="1" x14ac:dyDescent="0.25"/>
    <row r="111003" customFormat="1" x14ac:dyDescent="0.25"/>
    <row r="111004" customFormat="1" x14ac:dyDescent="0.25"/>
    <row r="111005" customFormat="1" x14ac:dyDescent="0.25"/>
    <row r="111006" customFormat="1" x14ac:dyDescent="0.25"/>
    <row r="111007" customFormat="1" x14ac:dyDescent="0.25"/>
    <row r="111008" customFormat="1" x14ac:dyDescent="0.25"/>
    <row r="111009" customFormat="1" x14ac:dyDescent="0.25"/>
    <row r="111010" customFormat="1" x14ac:dyDescent="0.25"/>
    <row r="111011" customFormat="1" x14ac:dyDescent="0.25"/>
    <row r="111012" customFormat="1" x14ac:dyDescent="0.25"/>
    <row r="111013" customFormat="1" x14ac:dyDescent="0.25"/>
    <row r="111014" customFormat="1" x14ac:dyDescent="0.25"/>
    <row r="111015" customFormat="1" x14ac:dyDescent="0.25"/>
    <row r="111016" customFormat="1" x14ac:dyDescent="0.25"/>
    <row r="111017" customFormat="1" x14ac:dyDescent="0.25"/>
    <row r="111018" customFormat="1" x14ac:dyDescent="0.25"/>
    <row r="111019" customFormat="1" x14ac:dyDescent="0.25"/>
    <row r="111020" customFormat="1" x14ac:dyDescent="0.25"/>
    <row r="111021" customFormat="1" x14ac:dyDescent="0.25"/>
    <row r="111022" customFormat="1" x14ac:dyDescent="0.25"/>
    <row r="111023" customFormat="1" x14ac:dyDescent="0.25"/>
    <row r="111024" customFormat="1" x14ac:dyDescent="0.25"/>
    <row r="111025" customFormat="1" x14ac:dyDescent="0.25"/>
    <row r="111026" customFormat="1" x14ac:dyDescent="0.25"/>
    <row r="111027" customFormat="1" x14ac:dyDescent="0.25"/>
    <row r="111028" customFormat="1" x14ac:dyDescent="0.25"/>
    <row r="111029" customFormat="1" x14ac:dyDescent="0.25"/>
    <row r="111030" customFormat="1" x14ac:dyDescent="0.25"/>
    <row r="111031" customFormat="1" x14ac:dyDescent="0.25"/>
    <row r="111032" customFormat="1" x14ac:dyDescent="0.25"/>
    <row r="111033" customFormat="1" x14ac:dyDescent="0.25"/>
    <row r="111034" customFormat="1" x14ac:dyDescent="0.25"/>
    <row r="111035" customFormat="1" x14ac:dyDescent="0.25"/>
    <row r="111036" customFormat="1" x14ac:dyDescent="0.25"/>
    <row r="111037" customFormat="1" x14ac:dyDescent="0.25"/>
    <row r="111038" customFormat="1" x14ac:dyDescent="0.25"/>
    <row r="111039" customFormat="1" x14ac:dyDescent="0.25"/>
    <row r="111040" customFormat="1" x14ac:dyDescent="0.25"/>
    <row r="111041" customFormat="1" x14ac:dyDescent="0.25"/>
    <row r="111042" customFormat="1" x14ac:dyDescent="0.25"/>
    <row r="111043" customFormat="1" x14ac:dyDescent="0.25"/>
    <row r="111044" customFormat="1" x14ac:dyDescent="0.25"/>
    <row r="111045" customFormat="1" x14ac:dyDescent="0.25"/>
    <row r="111046" customFormat="1" x14ac:dyDescent="0.25"/>
    <row r="111047" customFormat="1" x14ac:dyDescent="0.25"/>
    <row r="111048" customFormat="1" x14ac:dyDescent="0.25"/>
    <row r="111049" customFormat="1" x14ac:dyDescent="0.25"/>
    <row r="111050" customFormat="1" x14ac:dyDescent="0.25"/>
    <row r="111051" customFormat="1" x14ac:dyDescent="0.25"/>
    <row r="111052" customFormat="1" x14ac:dyDescent="0.25"/>
    <row r="111053" customFormat="1" x14ac:dyDescent="0.25"/>
    <row r="111054" customFormat="1" x14ac:dyDescent="0.25"/>
    <row r="111055" customFormat="1" x14ac:dyDescent="0.25"/>
    <row r="111056" customFormat="1" x14ac:dyDescent="0.25"/>
    <row r="111057" customFormat="1" x14ac:dyDescent="0.25"/>
    <row r="111058" customFormat="1" x14ac:dyDescent="0.25"/>
    <row r="111059" customFormat="1" x14ac:dyDescent="0.25"/>
    <row r="111060" customFormat="1" x14ac:dyDescent="0.25"/>
    <row r="111061" customFormat="1" x14ac:dyDescent="0.25"/>
    <row r="111062" customFormat="1" x14ac:dyDescent="0.25"/>
    <row r="111063" customFormat="1" x14ac:dyDescent="0.25"/>
    <row r="111064" customFormat="1" x14ac:dyDescent="0.25"/>
    <row r="111065" customFormat="1" x14ac:dyDescent="0.25"/>
    <row r="111066" customFormat="1" x14ac:dyDescent="0.25"/>
    <row r="111067" customFormat="1" x14ac:dyDescent="0.25"/>
    <row r="111068" customFormat="1" x14ac:dyDescent="0.25"/>
    <row r="111069" customFormat="1" x14ac:dyDescent="0.25"/>
    <row r="111070" customFormat="1" x14ac:dyDescent="0.25"/>
    <row r="111071" customFormat="1" x14ac:dyDescent="0.25"/>
    <row r="111072" customFormat="1" x14ac:dyDescent="0.25"/>
    <row r="111073" customFormat="1" x14ac:dyDescent="0.25"/>
    <row r="111074" customFormat="1" x14ac:dyDescent="0.25"/>
    <row r="111075" customFormat="1" x14ac:dyDescent="0.25"/>
    <row r="111076" customFormat="1" x14ac:dyDescent="0.25"/>
    <row r="111077" customFormat="1" x14ac:dyDescent="0.25"/>
    <row r="111078" customFormat="1" x14ac:dyDescent="0.25"/>
    <row r="111079" customFormat="1" x14ac:dyDescent="0.25"/>
    <row r="111080" customFormat="1" x14ac:dyDescent="0.25"/>
    <row r="111081" customFormat="1" x14ac:dyDescent="0.25"/>
    <row r="111082" customFormat="1" x14ac:dyDescent="0.25"/>
    <row r="111083" customFormat="1" x14ac:dyDescent="0.25"/>
    <row r="111084" customFormat="1" x14ac:dyDescent="0.25"/>
    <row r="111085" customFormat="1" x14ac:dyDescent="0.25"/>
    <row r="111086" customFormat="1" x14ac:dyDescent="0.25"/>
    <row r="111087" customFormat="1" x14ac:dyDescent="0.25"/>
    <row r="111088" customFormat="1" x14ac:dyDescent="0.25"/>
    <row r="111089" customFormat="1" x14ac:dyDescent="0.25"/>
    <row r="111090" customFormat="1" x14ac:dyDescent="0.25"/>
    <row r="111091" customFormat="1" x14ac:dyDescent="0.25"/>
    <row r="111092" customFormat="1" x14ac:dyDescent="0.25"/>
    <row r="111093" customFormat="1" x14ac:dyDescent="0.25"/>
    <row r="111094" customFormat="1" x14ac:dyDescent="0.25"/>
    <row r="111095" customFormat="1" x14ac:dyDescent="0.25"/>
    <row r="111096" customFormat="1" x14ac:dyDescent="0.25"/>
    <row r="111097" customFormat="1" x14ac:dyDescent="0.25"/>
    <row r="111098" customFormat="1" x14ac:dyDescent="0.25"/>
    <row r="111099" customFormat="1" x14ac:dyDescent="0.25"/>
    <row r="111100" customFormat="1" x14ac:dyDescent="0.25"/>
    <row r="111101" customFormat="1" x14ac:dyDescent="0.25"/>
    <row r="111102" customFormat="1" x14ac:dyDescent="0.25"/>
    <row r="111103" customFormat="1" x14ac:dyDescent="0.25"/>
    <row r="111104" customFormat="1" x14ac:dyDescent="0.25"/>
    <row r="111105" customFormat="1" x14ac:dyDescent="0.25"/>
    <row r="111106" customFormat="1" x14ac:dyDescent="0.25"/>
    <row r="111107" customFormat="1" x14ac:dyDescent="0.25"/>
    <row r="111108" customFormat="1" x14ac:dyDescent="0.25"/>
    <row r="111109" customFormat="1" x14ac:dyDescent="0.25"/>
    <row r="111110" customFormat="1" x14ac:dyDescent="0.25"/>
    <row r="111111" customFormat="1" x14ac:dyDescent="0.25"/>
    <row r="111112" customFormat="1" x14ac:dyDescent="0.25"/>
    <row r="111113" customFormat="1" x14ac:dyDescent="0.25"/>
    <row r="111114" customFormat="1" x14ac:dyDescent="0.25"/>
    <row r="111115" customFormat="1" x14ac:dyDescent="0.25"/>
    <row r="111116" customFormat="1" x14ac:dyDescent="0.25"/>
    <row r="111117" customFormat="1" x14ac:dyDescent="0.25"/>
    <row r="111118" customFormat="1" x14ac:dyDescent="0.25"/>
    <row r="111119" customFormat="1" x14ac:dyDescent="0.25"/>
    <row r="111120" customFormat="1" x14ac:dyDescent="0.25"/>
    <row r="111121" customFormat="1" x14ac:dyDescent="0.25"/>
    <row r="111122" customFormat="1" x14ac:dyDescent="0.25"/>
    <row r="111123" customFormat="1" x14ac:dyDescent="0.25"/>
    <row r="111124" customFormat="1" x14ac:dyDescent="0.25"/>
    <row r="111125" customFormat="1" x14ac:dyDescent="0.25"/>
    <row r="111126" customFormat="1" x14ac:dyDescent="0.25"/>
    <row r="111127" customFormat="1" x14ac:dyDescent="0.25"/>
    <row r="111128" customFormat="1" x14ac:dyDescent="0.25"/>
    <row r="111129" customFormat="1" x14ac:dyDescent="0.25"/>
    <row r="111130" customFormat="1" x14ac:dyDescent="0.25"/>
    <row r="111131" customFormat="1" x14ac:dyDescent="0.25"/>
    <row r="111132" customFormat="1" x14ac:dyDescent="0.25"/>
    <row r="111133" customFormat="1" x14ac:dyDescent="0.25"/>
    <row r="111134" customFormat="1" x14ac:dyDescent="0.25"/>
    <row r="111135" customFormat="1" x14ac:dyDescent="0.25"/>
    <row r="111136" customFormat="1" x14ac:dyDescent="0.25"/>
    <row r="111137" customFormat="1" x14ac:dyDescent="0.25"/>
    <row r="111138" customFormat="1" x14ac:dyDescent="0.25"/>
    <row r="111139" customFormat="1" x14ac:dyDescent="0.25"/>
    <row r="111140" customFormat="1" x14ac:dyDescent="0.25"/>
    <row r="111141" customFormat="1" x14ac:dyDescent="0.25"/>
    <row r="111142" customFormat="1" x14ac:dyDescent="0.25"/>
    <row r="111143" customFormat="1" x14ac:dyDescent="0.25"/>
    <row r="111144" customFormat="1" x14ac:dyDescent="0.25"/>
    <row r="111145" customFormat="1" x14ac:dyDescent="0.25"/>
    <row r="111146" customFormat="1" x14ac:dyDescent="0.25"/>
    <row r="111147" customFormat="1" x14ac:dyDescent="0.25"/>
    <row r="111148" customFormat="1" x14ac:dyDescent="0.25"/>
    <row r="111149" customFormat="1" x14ac:dyDescent="0.25"/>
    <row r="111150" customFormat="1" x14ac:dyDescent="0.25"/>
    <row r="111151" customFormat="1" x14ac:dyDescent="0.25"/>
    <row r="111152" customFormat="1" x14ac:dyDescent="0.25"/>
    <row r="111153" customFormat="1" x14ac:dyDescent="0.25"/>
    <row r="111154" customFormat="1" x14ac:dyDescent="0.25"/>
    <row r="111155" customFormat="1" x14ac:dyDescent="0.25"/>
    <row r="111156" customFormat="1" x14ac:dyDescent="0.25"/>
    <row r="111157" customFormat="1" x14ac:dyDescent="0.25"/>
    <row r="111158" customFormat="1" x14ac:dyDescent="0.25"/>
    <row r="111159" customFormat="1" x14ac:dyDescent="0.25"/>
    <row r="111160" customFormat="1" x14ac:dyDescent="0.25"/>
    <row r="111161" customFormat="1" x14ac:dyDescent="0.25"/>
    <row r="111162" customFormat="1" x14ac:dyDescent="0.25"/>
    <row r="111163" customFormat="1" x14ac:dyDescent="0.25"/>
    <row r="111164" customFormat="1" x14ac:dyDescent="0.25"/>
    <row r="111165" customFormat="1" x14ac:dyDescent="0.25"/>
    <row r="111166" customFormat="1" x14ac:dyDescent="0.25"/>
    <row r="111167" customFormat="1" x14ac:dyDescent="0.25"/>
    <row r="111168" customFormat="1" x14ac:dyDescent="0.25"/>
    <row r="111169" customFormat="1" x14ac:dyDescent="0.25"/>
    <row r="111170" customFormat="1" x14ac:dyDescent="0.25"/>
    <row r="111171" customFormat="1" x14ac:dyDescent="0.25"/>
    <row r="111172" customFormat="1" x14ac:dyDescent="0.25"/>
    <row r="111173" customFormat="1" x14ac:dyDescent="0.25"/>
    <row r="111174" customFormat="1" x14ac:dyDescent="0.25"/>
    <row r="111175" customFormat="1" x14ac:dyDescent="0.25"/>
    <row r="111176" customFormat="1" x14ac:dyDescent="0.25"/>
    <row r="111177" customFormat="1" x14ac:dyDescent="0.25"/>
    <row r="111178" customFormat="1" x14ac:dyDescent="0.25"/>
    <row r="111179" customFormat="1" x14ac:dyDescent="0.25"/>
    <row r="111180" customFormat="1" x14ac:dyDescent="0.25"/>
    <row r="111181" customFormat="1" x14ac:dyDescent="0.25"/>
    <row r="111182" customFormat="1" x14ac:dyDescent="0.25"/>
    <row r="111183" customFormat="1" x14ac:dyDescent="0.25"/>
    <row r="111184" customFormat="1" x14ac:dyDescent="0.25"/>
    <row r="111185" customFormat="1" x14ac:dyDescent="0.25"/>
    <row r="111186" customFormat="1" x14ac:dyDescent="0.25"/>
    <row r="111187" customFormat="1" x14ac:dyDescent="0.25"/>
    <row r="111188" customFormat="1" x14ac:dyDescent="0.25"/>
    <row r="111189" customFormat="1" x14ac:dyDescent="0.25"/>
    <row r="111190" customFormat="1" x14ac:dyDescent="0.25"/>
    <row r="111191" customFormat="1" x14ac:dyDescent="0.25"/>
    <row r="111192" customFormat="1" x14ac:dyDescent="0.25"/>
    <row r="111193" customFormat="1" x14ac:dyDescent="0.25"/>
    <row r="111194" customFormat="1" x14ac:dyDescent="0.25"/>
    <row r="111195" customFormat="1" x14ac:dyDescent="0.25"/>
    <row r="111196" customFormat="1" x14ac:dyDescent="0.25"/>
    <row r="111197" customFormat="1" x14ac:dyDescent="0.25"/>
    <row r="111198" customFormat="1" x14ac:dyDescent="0.25"/>
    <row r="111199" customFormat="1" x14ac:dyDescent="0.25"/>
    <row r="111200" customFormat="1" x14ac:dyDescent="0.25"/>
    <row r="111201" customFormat="1" x14ac:dyDescent="0.25"/>
    <row r="111202" customFormat="1" x14ac:dyDescent="0.25"/>
    <row r="111203" customFormat="1" x14ac:dyDescent="0.25"/>
    <row r="111204" customFormat="1" x14ac:dyDescent="0.25"/>
    <row r="111205" customFormat="1" x14ac:dyDescent="0.25"/>
    <row r="111206" customFormat="1" x14ac:dyDescent="0.25"/>
    <row r="111207" customFormat="1" x14ac:dyDescent="0.25"/>
    <row r="111208" customFormat="1" x14ac:dyDescent="0.25"/>
    <row r="111209" customFormat="1" x14ac:dyDescent="0.25"/>
    <row r="111210" customFormat="1" x14ac:dyDescent="0.25"/>
    <row r="111211" customFormat="1" x14ac:dyDescent="0.25"/>
    <row r="111212" customFormat="1" x14ac:dyDescent="0.25"/>
    <row r="111213" customFormat="1" x14ac:dyDescent="0.25"/>
    <row r="111214" customFormat="1" x14ac:dyDescent="0.25"/>
    <row r="111215" customFormat="1" x14ac:dyDescent="0.25"/>
    <row r="111216" customFormat="1" x14ac:dyDescent="0.25"/>
    <row r="111217" customFormat="1" x14ac:dyDescent="0.25"/>
    <row r="111218" customFormat="1" x14ac:dyDescent="0.25"/>
    <row r="111219" customFormat="1" x14ac:dyDescent="0.25"/>
    <row r="111220" customFormat="1" x14ac:dyDescent="0.25"/>
    <row r="111221" customFormat="1" x14ac:dyDescent="0.25"/>
    <row r="111222" customFormat="1" x14ac:dyDescent="0.25"/>
    <row r="111223" customFormat="1" x14ac:dyDescent="0.25"/>
    <row r="111224" customFormat="1" x14ac:dyDescent="0.25"/>
    <row r="111225" customFormat="1" x14ac:dyDescent="0.25"/>
    <row r="111226" customFormat="1" x14ac:dyDescent="0.25"/>
    <row r="111227" customFormat="1" x14ac:dyDescent="0.25"/>
    <row r="111228" customFormat="1" x14ac:dyDescent="0.25"/>
    <row r="111229" customFormat="1" x14ac:dyDescent="0.25"/>
    <row r="111230" customFormat="1" x14ac:dyDescent="0.25"/>
    <row r="111231" customFormat="1" x14ac:dyDescent="0.25"/>
    <row r="111232" customFormat="1" x14ac:dyDescent="0.25"/>
    <row r="111233" customFormat="1" x14ac:dyDescent="0.25"/>
    <row r="111234" customFormat="1" x14ac:dyDescent="0.25"/>
    <row r="111235" customFormat="1" x14ac:dyDescent="0.25"/>
    <row r="111236" customFormat="1" x14ac:dyDescent="0.25"/>
    <row r="111237" customFormat="1" x14ac:dyDescent="0.25"/>
    <row r="111238" customFormat="1" x14ac:dyDescent="0.25"/>
    <row r="111239" customFormat="1" x14ac:dyDescent="0.25"/>
    <row r="111240" customFormat="1" x14ac:dyDescent="0.25"/>
    <row r="111241" customFormat="1" x14ac:dyDescent="0.25"/>
    <row r="111242" customFormat="1" x14ac:dyDescent="0.25"/>
    <row r="111243" customFormat="1" x14ac:dyDescent="0.25"/>
    <row r="111244" customFormat="1" x14ac:dyDescent="0.25"/>
    <row r="111245" customFormat="1" x14ac:dyDescent="0.25"/>
    <row r="111246" customFormat="1" x14ac:dyDescent="0.25"/>
    <row r="111247" customFormat="1" x14ac:dyDescent="0.25"/>
    <row r="111248" customFormat="1" x14ac:dyDescent="0.25"/>
    <row r="111249" customFormat="1" x14ac:dyDescent="0.25"/>
    <row r="111250" customFormat="1" x14ac:dyDescent="0.25"/>
    <row r="111251" customFormat="1" x14ac:dyDescent="0.25"/>
    <row r="111252" customFormat="1" x14ac:dyDescent="0.25"/>
    <row r="111253" customFormat="1" x14ac:dyDescent="0.25"/>
    <row r="111254" customFormat="1" x14ac:dyDescent="0.25"/>
    <row r="111255" customFormat="1" x14ac:dyDescent="0.25"/>
    <row r="111256" customFormat="1" x14ac:dyDescent="0.25"/>
    <row r="111257" customFormat="1" x14ac:dyDescent="0.25"/>
    <row r="111258" customFormat="1" x14ac:dyDescent="0.25"/>
    <row r="111259" customFormat="1" x14ac:dyDescent="0.25"/>
    <row r="111260" customFormat="1" x14ac:dyDescent="0.25"/>
    <row r="111261" customFormat="1" x14ac:dyDescent="0.25"/>
    <row r="111262" customFormat="1" x14ac:dyDescent="0.25"/>
    <row r="111263" customFormat="1" x14ac:dyDescent="0.25"/>
    <row r="111264" customFormat="1" x14ac:dyDescent="0.25"/>
    <row r="111265" customFormat="1" x14ac:dyDescent="0.25"/>
    <row r="111266" customFormat="1" x14ac:dyDescent="0.25"/>
    <row r="111267" customFormat="1" x14ac:dyDescent="0.25"/>
    <row r="111268" customFormat="1" x14ac:dyDescent="0.25"/>
    <row r="111269" customFormat="1" x14ac:dyDescent="0.25"/>
    <row r="111270" customFormat="1" x14ac:dyDescent="0.25"/>
    <row r="111271" customFormat="1" x14ac:dyDescent="0.25"/>
    <row r="111272" customFormat="1" x14ac:dyDescent="0.25"/>
    <row r="111273" customFormat="1" x14ac:dyDescent="0.25"/>
    <row r="111274" customFormat="1" x14ac:dyDescent="0.25"/>
    <row r="111275" customFormat="1" x14ac:dyDescent="0.25"/>
    <row r="111276" customFormat="1" x14ac:dyDescent="0.25"/>
    <row r="111277" customFormat="1" x14ac:dyDescent="0.25"/>
    <row r="111278" customFormat="1" x14ac:dyDescent="0.25"/>
    <row r="111279" customFormat="1" x14ac:dyDescent="0.25"/>
    <row r="111280" customFormat="1" x14ac:dyDescent="0.25"/>
    <row r="111281" customFormat="1" x14ac:dyDescent="0.25"/>
    <row r="111282" customFormat="1" x14ac:dyDescent="0.25"/>
    <row r="111283" customFormat="1" x14ac:dyDescent="0.25"/>
    <row r="111284" customFormat="1" x14ac:dyDescent="0.25"/>
    <row r="111285" customFormat="1" x14ac:dyDescent="0.25"/>
    <row r="111286" customFormat="1" x14ac:dyDescent="0.25"/>
    <row r="111287" customFormat="1" x14ac:dyDescent="0.25"/>
    <row r="111288" customFormat="1" x14ac:dyDescent="0.25"/>
    <row r="111289" customFormat="1" x14ac:dyDescent="0.25"/>
    <row r="111290" customFormat="1" x14ac:dyDescent="0.25"/>
    <row r="111291" customFormat="1" x14ac:dyDescent="0.25"/>
    <row r="111292" customFormat="1" x14ac:dyDescent="0.25"/>
    <row r="111293" customFormat="1" x14ac:dyDescent="0.25"/>
    <row r="111294" customFormat="1" x14ac:dyDescent="0.25"/>
    <row r="111295" customFormat="1" x14ac:dyDescent="0.25"/>
    <row r="111296" customFormat="1" x14ac:dyDescent="0.25"/>
    <row r="111297" customFormat="1" x14ac:dyDescent="0.25"/>
    <row r="111298" customFormat="1" x14ac:dyDescent="0.25"/>
    <row r="111299" customFormat="1" x14ac:dyDescent="0.25"/>
    <row r="111300" customFormat="1" x14ac:dyDescent="0.25"/>
    <row r="111301" customFormat="1" x14ac:dyDescent="0.25"/>
    <row r="111302" customFormat="1" x14ac:dyDescent="0.25"/>
    <row r="111303" customFormat="1" x14ac:dyDescent="0.25"/>
    <row r="111304" customFormat="1" x14ac:dyDescent="0.25"/>
    <row r="111305" customFormat="1" x14ac:dyDescent="0.25"/>
    <row r="111306" customFormat="1" x14ac:dyDescent="0.25"/>
    <row r="111307" customFormat="1" x14ac:dyDescent="0.25"/>
    <row r="111308" customFormat="1" x14ac:dyDescent="0.25"/>
    <row r="111309" customFormat="1" x14ac:dyDescent="0.25"/>
    <row r="111310" customFormat="1" x14ac:dyDescent="0.25"/>
    <row r="111311" customFormat="1" x14ac:dyDescent="0.25"/>
    <row r="111312" customFormat="1" x14ac:dyDescent="0.25"/>
    <row r="111313" customFormat="1" x14ac:dyDescent="0.25"/>
    <row r="111314" customFormat="1" x14ac:dyDescent="0.25"/>
    <row r="111315" customFormat="1" x14ac:dyDescent="0.25"/>
    <row r="111316" customFormat="1" x14ac:dyDescent="0.25"/>
    <row r="111317" customFormat="1" x14ac:dyDescent="0.25"/>
    <row r="111318" customFormat="1" x14ac:dyDescent="0.25"/>
    <row r="111319" customFormat="1" x14ac:dyDescent="0.25"/>
    <row r="111320" customFormat="1" x14ac:dyDescent="0.25"/>
    <row r="111321" customFormat="1" x14ac:dyDescent="0.25"/>
    <row r="111322" customFormat="1" x14ac:dyDescent="0.25"/>
    <row r="111323" customFormat="1" x14ac:dyDescent="0.25"/>
    <row r="111324" customFormat="1" x14ac:dyDescent="0.25"/>
    <row r="111325" customFormat="1" x14ac:dyDescent="0.25"/>
    <row r="111326" customFormat="1" x14ac:dyDescent="0.25"/>
    <row r="111327" customFormat="1" x14ac:dyDescent="0.25"/>
    <row r="111328" customFormat="1" x14ac:dyDescent="0.25"/>
    <row r="111329" customFormat="1" x14ac:dyDescent="0.25"/>
    <row r="111330" customFormat="1" x14ac:dyDescent="0.25"/>
    <row r="111331" customFormat="1" x14ac:dyDescent="0.25"/>
    <row r="111332" customFormat="1" x14ac:dyDescent="0.25"/>
    <row r="111333" customFormat="1" x14ac:dyDescent="0.25"/>
    <row r="111334" customFormat="1" x14ac:dyDescent="0.25"/>
    <row r="111335" customFormat="1" x14ac:dyDescent="0.25"/>
    <row r="111336" customFormat="1" x14ac:dyDescent="0.25"/>
    <row r="111337" customFormat="1" x14ac:dyDescent="0.25"/>
    <row r="111338" customFormat="1" x14ac:dyDescent="0.25"/>
    <row r="111339" customFormat="1" x14ac:dyDescent="0.25"/>
    <row r="111340" customFormat="1" x14ac:dyDescent="0.25"/>
    <row r="111341" customFormat="1" x14ac:dyDescent="0.25"/>
    <row r="111342" customFormat="1" x14ac:dyDescent="0.25"/>
    <row r="111343" customFormat="1" x14ac:dyDescent="0.25"/>
    <row r="111344" customFormat="1" x14ac:dyDescent="0.25"/>
    <row r="111345" customFormat="1" x14ac:dyDescent="0.25"/>
    <row r="111346" customFormat="1" x14ac:dyDescent="0.25"/>
    <row r="111347" customFormat="1" x14ac:dyDescent="0.25"/>
    <row r="111348" customFormat="1" x14ac:dyDescent="0.25"/>
    <row r="111349" customFormat="1" x14ac:dyDescent="0.25"/>
    <row r="111350" customFormat="1" x14ac:dyDescent="0.25"/>
    <row r="111351" customFormat="1" x14ac:dyDescent="0.25"/>
    <row r="111352" customFormat="1" x14ac:dyDescent="0.25"/>
    <row r="111353" customFormat="1" x14ac:dyDescent="0.25"/>
    <row r="111354" customFormat="1" x14ac:dyDescent="0.25"/>
    <row r="111355" customFormat="1" x14ac:dyDescent="0.25"/>
    <row r="111356" customFormat="1" x14ac:dyDescent="0.25"/>
    <row r="111357" customFormat="1" x14ac:dyDescent="0.25"/>
    <row r="111358" customFormat="1" x14ac:dyDescent="0.25"/>
    <row r="111359" customFormat="1" x14ac:dyDescent="0.25"/>
    <row r="111360" customFormat="1" x14ac:dyDescent="0.25"/>
    <row r="111361" customFormat="1" x14ac:dyDescent="0.25"/>
    <row r="111362" customFormat="1" x14ac:dyDescent="0.25"/>
    <row r="111363" customFormat="1" x14ac:dyDescent="0.25"/>
    <row r="111364" customFormat="1" x14ac:dyDescent="0.25"/>
    <row r="111365" customFormat="1" x14ac:dyDescent="0.25"/>
    <row r="111366" customFormat="1" x14ac:dyDescent="0.25"/>
    <row r="111367" customFormat="1" x14ac:dyDescent="0.25"/>
    <row r="111368" customFormat="1" x14ac:dyDescent="0.25"/>
    <row r="111369" customFormat="1" x14ac:dyDescent="0.25"/>
    <row r="111370" customFormat="1" x14ac:dyDescent="0.25"/>
    <row r="111371" customFormat="1" x14ac:dyDescent="0.25"/>
    <row r="111372" customFormat="1" x14ac:dyDescent="0.25"/>
    <row r="111373" customFormat="1" x14ac:dyDescent="0.25"/>
    <row r="111374" customFormat="1" x14ac:dyDescent="0.25"/>
    <row r="111375" customFormat="1" x14ac:dyDescent="0.25"/>
    <row r="111376" customFormat="1" x14ac:dyDescent="0.25"/>
    <row r="111377" customFormat="1" x14ac:dyDescent="0.25"/>
    <row r="111378" customFormat="1" x14ac:dyDescent="0.25"/>
    <row r="111379" customFormat="1" x14ac:dyDescent="0.25"/>
    <row r="111380" customFormat="1" x14ac:dyDescent="0.25"/>
    <row r="111381" customFormat="1" x14ac:dyDescent="0.25"/>
    <row r="111382" customFormat="1" x14ac:dyDescent="0.25"/>
    <row r="111383" customFormat="1" x14ac:dyDescent="0.25"/>
    <row r="111384" customFormat="1" x14ac:dyDescent="0.25"/>
    <row r="111385" customFormat="1" x14ac:dyDescent="0.25"/>
    <row r="111386" customFormat="1" x14ac:dyDescent="0.25"/>
    <row r="111387" customFormat="1" x14ac:dyDescent="0.25"/>
    <row r="111388" customFormat="1" x14ac:dyDescent="0.25"/>
    <row r="111389" customFormat="1" x14ac:dyDescent="0.25"/>
    <row r="111390" customFormat="1" x14ac:dyDescent="0.25"/>
    <row r="111391" customFormat="1" x14ac:dyDescent="0.25"/>
    <row r="111392" customFormat="1" x14ac:dyDescent="0.25"/>
    <row r="111393" customFormat="1" x14ac:dyDescent="0.25"/>
    <row r="111394" customFormat="1" x14ac:dyDescent="0.25"/>
    <row r="111395" customFormat="1" x14ac:dyDescent="0.25"/>
    <row r="111396" customFormat="1" x14ac:dyDescent="0.25"/>
    <row r="111397" customFormat="1" x14ac:dyDescent="0.25"/>
    <row r="111398" customFormat="1" x14ac:dyDescent="0.25"/>
    <row r="111399" customFormat="1" x14ac:dyDescent="0.25"/>
    <row r="111400" customFormat="1" x14ac:dyDescent="0.25"/>
    <row r="111401" customFormat="1" x14ac:dyDescent="0.25"/>
    <row r="111402" customFormat="1" x14ac:dyDescent="0.25"/>
    <row r="111403" customFormat="1" x14ac:dyDescent="0.25"/>
    <row r="111404" customFormat="1" x14ac:dyDescent="0.25"/>
    <row r="111405" customFormat="1" x14ac:dyDescent="0.25"/>
    <row r="111406" customFormat="1" x14ac:dyDescent="0.25"/>
    <row r="111407" customFormat="1" x14ac:dyDescent="0.25"/>
    <row r="111408" customFormat="1" x14ac:dyDescent="0.25"/>
    <row r="111409" customFormat="1" x14ac:dyDescent="0.25"/>
    <row r="111410" customFormat="1" x14ac:dyDescent="0.25"/>
    <row r="111411" customFormat="1" x14ac:dyDescent="0.25"/>
    <row r="111412" customFormat="1" x14ac:dyDescent="0.25"/>
    <row r="111413" customFormat="1" x14ac:dyDescent="0.25"/>
    <row r="111414" customFormat="1" x14ac:dyDescent="0.25"/>
    <row r="111415" customFormat="1" x14ac:dyDescent="0.25"/>
    <row r="111416" customFormat="1" x14ac:dyDescent="0.25"/>
    <row r="111417" customFormat="1" x14ac:dyDescent="0.25"/>
    <row r="111418" customFormat="1" x14ac:dyDescent="0.25"/>
    <row r="111419" customFormat="1" x14ac:dyDescent="0.25"/>
    <row r="111420" customFormat="1" x14ac:dyDescent="0.25"/>
    <row r="111421" customFormat="1" x14ac:dyDescent="0.25"/>
    <row r="111422" customFormat="1" x14ac:dyDescent="0.25"/>
    <row r="111423" customFormat="1" x14ac:dyDescent="0.25"/>
    <row r="111424" customFormat="1" x14ac:dyDescent="0.25"/>
    <row r="111425" customFormat="1" x14ac:dyDescent="0.25"/>
    <row r="111426" customFormat="1" x14ac:dyDescent="0.25"/>
    <row r="111427" customFormat="1" x14ac:dyDescent="0.25"/>
    <row r="111428" customFormat="1" x14ac:dyDescent="0.25"/>
    <row r="111429" customFormat="1" x14ac:dyDescent="0.25"/>
    <row r="111430" customFormat="1" x14ac:dyDescent="0.25"/>
    <row r="111431" customFormat="1" x14ac:dyDescent="0.25"/>
    <row r="111432" customFormat="1" x14ac:dyDescent="0.25"/>
    <row r="111433" customFormat="1" x14ac:dyDescent="0.25"/>
    <row r="111434" customFormat="1" x14ac:dyDescent="0.25"/>
    <row r="111435" customFormat="1" x14ac:dyDescent="0.25"/>
    <row r="111436" customFormat="1" x14ac:dyDescent="0.25"/>
    <row r="111437" customFormat="1" x14ac:dyDescent="0.25"/>
    <row r="111438" customFormat="1" x14ac:dyDescent="0.25"/>
    <row r="111439" customFormat="1" x14ac:dyDescent="0.25"/>
    <row r="111440" customFormat="1" x14ac:dyDescent="0.25"/>
    <row r="111441" customFormat="1" x14ac:dyDescent="0.25"/>
    <row r="111442" customFormat="1" x14ac:dyDescent="0.25"/>
    <row r="111443" customFormat="1" x14ac:dyDescent="0.25"/>
    <row r="111444" customFormat="1" x14ac:dyDescent="0.25"/>
    <row r="111445" customFormat="1" x14ac:dyDescent="0.25"/>
    <row r="111446" customFormat="1" x14ac:dyDescent="0.25"/>
    <row r="111447" customFormat="1" x14ac:dyDescent="0.25"/>
    <row r="111448" customFormat="1" x14ac:dyDescent="0.25"/>
    <row r="111449" customFormat="1" x14ac:dyDescent="0.25"/>
    <row r="111450" customFormat="1" x14ac:dyDescent="0.25"/>
    <row r="111451" customFormat="1" x14ac:dyDescent="0.25"/>
    <row r="111452" customFormat="1" x14ac:dyDescent="0.25"/>
    <row r="111453" customFormat="1" x14ac:dyDescent="0.25"/>
    <row r="111454" customFormat="1" x14ac:dyDescent="0.25"/>
    <row r="111455" customFormat="1" x14ac:dyDescent="0.25"/>
    <row r="111456" customFormat="1" x14ac:dyDescent="0.25"/>
    <row r="111457" customFormat="1" x14ac:dyDescent="0.25"/>
    <row r="111458" customFormat="1" x14ac:dyDescent="0.25"/>
    <row r="111459" customFormat="1" x14ac:dyDescent="0.25"/>
    <row r="111460" customFormat="1" x14ac:dyDescent="0.25"/>
    <row r="111461" customFormat="1" x14ac:dyDescent="0.25"/>
    <row r="111462" customFormat="1" x14ac:dyDescent="0.25"/>
    <row r="111463" customFormat="1" x14ac:dyDescent="0.25"/>
    <row r="111464" customFormat="1" x14ac:dyDescent="0.25"/>
    <row r="111465" customFormat="1" x14ac:dyDescent="0.25"/>
    <row r="111466" customFormat="1" x14ac:dyDescent="0.25"/>
    <row r="111467" customFormat="1" x14ac:dyDescent="0.25"/>
    <row r="111468" customFormat="1" x14ac:dyDescent="0.25"/>
    <row r="111469" customFormat="1" x14ac:dyDescent="0.25"/>
    <row r="111470" customFormat="1" x14ac:dyDescent="0.25"/>
    <row r="111471" customFormat="1" x14ac:dyDescent="0.25"/>
    <row r="111472" customFormat="1" x14ac:dyDescent="0.25"/>
    <row r="111473" customFormat="1" x14ac:dyDescent="0.25"/>
    <row r="111474" customFormat="1" x14ac:dyDescent="0.25"/>
    <row r="111475" customFormat="1" x14ac:dyDescent="0.25"/>
    <row r="111476" customFormat="1" x14ac:dyDescent="0.25"/>
    <row r="111477" customFormat="1" x14ac:dyDescent="0.25"/>
    <row r="111478" customFormat="1" x14ac:dyDescent="0.25"/>
    <row r="111479" customFormat="1" x14ac:dyDescent="0.25"/>
    <row r="111480" customFormat="1" x14ac:dyDescent="0.25"/>
    <row r="111481" customFormat="1" x14ac:dyDescent="0.25"/>
    <row r="111482" customFormat="1" x14ac:dyDescent="0.25"/>
    <row r="111483" customFormat="1" x14ac:dyDescent="0.25"/>
    <row r="111484" customFormat="1" x14ac:dyDescent="0.25"/>
    <row r="111485" customFormat="1" x14ac:dyDescent="0.25"/>
    <row r="111486" customFormat="1" x14ac:dyDescent="0.25"/>
    <row r="111487" customFormat="1" x14ac:dyDescent="0.25"/>
    <row r="111488" customFormat="1" x14ac:dyDescent="0.25"/>
    <row r="111489" customFormat="1" x14ac:dyDescent="0.25"/>
    <row r="111490" customFormat="1" x14ac:dyDescent="0.25"/>
    <row r="111491" customFormat="1" x14ac:dyDescent="0.25"/>
    <row r="111492" customFormat="1" x14ac:dyDescent="0.25"/>
    <row r="111493" customFormat="1" x14ac:dyDescent="0.25"/>
    <row r="111494" customFormat="1" x14ac:dyDescent="0.25"/>
    <row r="111495" customFormat="1" x14ac:dyDescent="0.25"/>
    <row r="111496" customFormat="1" x14ac:dyDescent="0.25"/>
    <row r="111497" customFormat="1" x14ac:dyDescent="0.25"/>
    <row r="111498" customFormat="1" x14ac:dyDescent="0.25"/>
    <row r="111499" customFormat="1" x14ac:dyDescent="0.25"/>
    <row r="111500" customFormat="1" x14ac:dyDescent="0.25"/>
    <row r="111501" customFormat="1" x14ac:dyDescent="0.25"/>
    <row r="111502" customFormat="1" x14ac:dyDescent="0.25"/>
    <row r="111503" customFormat="1" x14ac:dyDescent="0.25"/>
    <row r="111504" customFormat="1" x14ac:dyDescent="0.25"/>
    <row r="111505" customFormat="1" x14ac:dyDescent="0.25"/>
    <row r="111506" customFormat="1" x14ac:dyDescent="0.25"/>
    <row r="111507" customFormat="1" x14ac:dyDescent="0.25"/>
    <row r="111508" customFormat="1" x14ac:dyDescent="0.25"/>
    <row r="111509" customFormat="1" x14ac:dyDescent="0.25"/>
    <row r="111510" customFormat="1" x14ac:dyDescent="0.25"/>
    <row r="111511" customFormat="1" x14ac:dyDescent="0.25"/>
    <row r="111512" customFormat="1" x14ac:dyDescent="0.25"/>
    <row r="111513" customFormat="1" x14ac:dyDescent="0.25"/>
    <row r="111514" customFormat="1" x14ac:dyDescent="0.25"/>
    <row r="111515" customFormat="1" x14ac:dyDescent="0.25"/>
    <row r="111516" customFormat="1" x14ac:dyDescent="0.25"/>
    <row r="111517" customFormat="1" x14ac:dyDescent="0.25"/>
    <row r="111518" customFormat="1" x14ac:dyDescent="0.25"/>
    <row r="111519" customFormat="1" x14ac:dyDescent="0.25"/>
    <row r="111520" customFormat="1" x14ac:dyDescent="0.25"/>
    <row r="111521" customFormat="1" x14ac:dyDescent="0.25"/>
    <row r="111522" customFormat="1" x14ac:dyDescent="0.25"/>
    <row r="111523" customFormat="1" x14ac:dyDescent="0.25"/>
    <row r="111524" customFormat="1" x14ac:dyDescent="0.25"/>
    <row r="111525" customFormat="1" x14ac:dyDescent="0.25"/>
    <row r="111526" customFormat="1" x14ac:dyDescent="0.25"/>
    <row r="111527" customFormat="1" x14ac:dyDescent="0.25"/>
    <row r="111528" customFormat="1" x14ac:dyDescent="0.25"/>
    <row r="111529" customFormat="1" x14ac:dyDescent="0.25"/>
    <row r="111530" customFormat="1" x14ac:dyDescent="0.25"/>
    <row r="111531" customFormat="1" x14ac:dyDescent="0.25"/>
    <row r="111532" customFormat="1" x14ac:dyDescent="0.25"/>
    <row r="111533" customFormat="1" x14ac:dyDescent="0.25"/>
    <row r="111534" customFormat="1" x14ac:dyDescent="0.25"/>
    <row r="111535" customFormat="1" x14ac:dyDescent="0.25"/>
    <row r="111536" customFormat="1" x14ac:dyDescent="0.25"/>
    <row r="111537" customFormat="1" x14ac:dyDescent="0.25"/>
    <row r="111538" customFormat="1" x14ac:dyDescent="0.25"/>
    <row r="111539" customFormat="1" x14ac:dyDescent="0.25"/>
    <row r="111540" customFormat="1" x14ac:dyDescent="0.25"/>
    <row r="111541" customFormat="1" x14ac:dyDescent="0.25"/>
    <row r="111542" customFormat="1" x14ac:dyDescent="0.25"/>
    <row r="111543" customFormat="1" x14ac:dyDescent="0.25"/>
    <row r="111544" customFormat="1" x14ac:dyDescent="0.25"/>
    <row r="111545" customFormat="1" x14ac:dyDescent="0.25"/>
    <row r="111546" customFormat="1" x14ac:dyDescent="0.25"/>
    <row r="111547" customFormat="1" x14ac:dyDescent="0.25"/>
    <row r="111548" customFormat="1" x14ac:dyDescent="0.25"/>
    <row r="111549" customFormat="1" x14ac:dyDescent="0.25"/>
    <row r="111550" customFormat="1" x14ac:dyDescent="0.25"/>
    <row r="111551" customFormat="1" x14ac:dyDescent="0.25"/>
    <row r="111552" customFormat="1" x14ac:dyDescent="0.25"/>
    <row r="111553" customFormat="1" x14ac:dyDescent="0.25"/>
    <row r="111554" customFormat="1" x14ac:dyDescent="0.25"/>
    <row r="111555" customFormat="1" x14ac:dyDescent="0.25"/>
    <row r="111556" customFormat="1" x14ac:dyDescent="0.25"/>
    <row r="111557" customFormat="1" x14ac:dyDescent="0.25"/>
    <row r="111558" customFormat="1" x14ac:dyDescent="0.25"/>
    <row r="111559" customFormat="1" x14ac:dyDescent="0.25"/>
    <row r="111560" customFormat="1" x14ac:dyDescent="0.25"/>
    <row r="111561" customFormat="1" x14ac:dyDescent="0.25"/>
    <row r="111562" customFormat="1" x14ac:dyDescent="0.25"/>
    <row r="111563" customFormat="1" x14ac:dyDescent="0.25"/>
    <row r="111564" customFormat="1" x14ac:dyDescent="0.25"/>
    <row r="111565" customFormat="1" x14ac:dyDescent="0.25"/>
    <row r="111566" customFormat="1" x14ac:dyDescent="0.25"/>
    <row r="111567" customFormat="1" x14ac:dyDescent="0.25"/>
    <row r="111568" customFormat="1" x14ac:dyDescent="0.25"/>
    <row r="111569" customFormat="1" x14ac:dyDescent="0.25"/>
    <row r="111570" customFormat="1" x14ac:dyDescent="0.25"/>
    <row r="111571" customFormat="1" x14ac:dyDescent="0.25"/>
    <row r="111572" customFormat="1" x14ac:dyDescent="0.25"/>
    <row r="111573" customFormat="1" x14ac:dyDescent="0.25"/>
    <row r="111574" customFormat="1" x14ac:dyDescent="0.25"/>
    <row r="111575" customFormat="1" x14ac:dyDescent="0.25"/>
    <row r="111576" customFormat="1" x14ac:dyDescent="0.25"/>
    <row r="111577" customFormat="1" x14ac:dyDescent="0.25"/>
    <row r="111578" customFormat="1" x14ac:dyDescent="0.25"/>
    <row r="111579" customFormat="1" x14ac:dyDescent="0.25"/>
    <row r="111580" customFormat="1" x14ac:dyDescent="0.25"/>
    <row r="111581" customFormat="1" x14ac:dyDescent="0.25"/>
    <row r="111582" customFormat="1" x14ac:dyDescent="0.25"/>
    <row r="111583" customFormat="1" x14ac:dyDescent="0.25"/>
    <row r="111584" customFormat="1" x14ac:dyDescent="0.25"/>
    <row r="111585" customFormat="1" x14ac:dyDescent="0.25"/>
    <row r="111586" customFormat="1" x14ac:dyDescent="0.25"/>
    <row r="111587" customFormat="1" x14ac:dyDescent="0.25"/>
    <row r="111588" customFormat="1" x14ac:dyDescent="0.25"/>
    <row r="111589" customFormat="1" x14ac:dyDescent="0.25"/>
    <row r="111590" customFormat="1" x14ac:dyDescent="0.25"/>
    <row r="111591" customFormat="1" x14ac:dyDescent="0.25"/>
    <row r="111592" customFormat="1" x14ac:dyDescent="0.25"/>
    <row r="111593" customFormat="1" x14ac:dyDescent="0.25"/>
    <row r="111594" customFormat="1" x14ac:dyDescent="0.25"/>
    <row r="111595" customFormat="1" x14ac:dyDescent="0.25"/>
    <row r="111596" customFormat="1" x14ac:dyDescent="0.25"/>
    <row r="111597" customFormat="1" x14ac:dyDescent="0.25"/>
    <row r="111598" customFormat="1" x14ac:dyDescent="0.25"/>
    <row r="111599" customFormat="1" x14ac:dyDescent="0.25"/>
    <row r="111600" customFormat="1" x14ac:dyDescent="0.25"/>
    <row r="111601" customFormat="1" x14ac:dyDescent="0.25"/>
    <row r="111602" customFormat="1" x14ac:dyDescent="0.25"/>
    <row r="111603" customFormat="1" x14ac:dyDescent="0.25"/>
    <row r="111604" customFormat="1" x14ac:dyDescent="0.25"/>
    <row r="111605" customFormat="1" x14ac:dyDescent="0.25"/>
    <row r="111606" customFormat="1" x14ac:dyDescent="0.25"/>
    <row r="111607" customFormat="1" x14ac:dyDescent="0.25"/>
    <row r="111608" customFormat="1" x14ac:dyDescent="0.25"/>
    <row r="111609" customFormat="1" x14ac:dyDescent="0.25"/>
    <row r="111610" customFormat="1" x14ac:dyDescent="0.25"/>
    <row r="111611" customFormat="1" x14ac:dyDescent="0.25"/>
    <row r="111612" customFormat="1" x14ac:dyDescent="0.25"/>
    <row r="111613" customFormat="1" x14ac:dyDescent="0.25"/>
    <row r="111614" customFormat="1" x14ac:dyDescent="0.25"/>
    <row r="111615" customFormat="1" x14ac:dyDescent="0.25"/>
    <row r="111616" customFormat="1" x14ac:dyDescent="0.25"/>
    <row r="111617" customFormat="1" x14ac:dyDescent="0.25"/>
    <row r="111618" customFormat="1" x14ac:dyDescent="0.25"/>
    <row r="111619" customFormat="1" x14ac:dyDescent="0.25"/>
    <row r="111620" customFormat="1" x14ac:dyDescent="0.25"/>
    <row r="111621" customFormat="1" x14ac:dyDescent="0.25"/>
    <row r="111622" customFormat="1" x14ac:dyDescent="0.25"/>
    <row r="111623" customFormat="1" x14ac:dyDescent="0.25"/>
    <row r="111624" customFormat="1" x14ac:dyDescent="0.25"/>
    <row r="111625" customFormat="1" x14ac:dyDescent="0.25"/>
    <row r="111626" customFormat="1" x14ac:dyDescent="0.25"/>
    <row r="111627" customFormat="1" x14ac:dyDescent="0.25"/>
    <row r="111628" customFormat="1" x14ac:dyDescent="0.25"/>
    <row r="111629" customFormat="1" x14ac:dyDescent="0.25"/>
    <row r="111630" customFormat="1" x14ac:dyDescent="0.25"/>
    <row r="111631" customFormat="1" x14ac:dyDescent="0.25"/>
    <row r="111632" customFormat="1" x14ac:dyDescent="0.25"/>
    <row r="111633" customFormat="1" x14ac:dyDescent="0.25"/>
    <row r="111634" customFormat="1" x14ac:dyDescent="0.25"/>
    <row r="111635" customFormat="1" x14ac:dyDescent="0.25"/>
    <row r="111636" customFormat="1" x14ac:dyDescent="0.25"/>
    <row r="111637" customFormat="1" x14ac:dyDescent="0.25"/>
    <row r="111638" customFormat="1" x14ac:dyDescent="0.25"/>
    <row r="111639" customFormat="1" x14ac:dyDescent="0.25"/>
    <row r="111640" customFormat="1" x14ac:dyDescent="0.25"/>
    <row r="111641" customFormat="1" x14ac:dyDescent="0.25"/>
    <row r="111642" customFormat="1" x14ac:dyDescent="0.25"/>
    <row r="111643" customFormat="1" x14ac:dyDescent="0.25"/>
    <row r="111644" customFormat="1" x14ac:dyDescent="0.25"/>
    <row r="111645" customFormat="1" x14ac:dyDescent="0.25"/>
    <row r="111646" customFormat="1" x14ac:dyDescent="0.25"/>
    <row r="111647" customFormat="1" x14ac:dyDescent="0.25"/>
    <row r="111648" customFormat="1" x14ac:dyDescent="0.25"/>
    <row r="111649" customFormat="1" x14ac:dyDescent="0.25"/>
    <row r="111650" customFormat="1" x14ac:dyDescent="0.25"/>
    <row r="111651" customFormat="1" x14ac:dyDescent="0.25"/>
    <row r="111652" customFormat="1" x14ac:dyDescent="0.25"/>
    <row r="111653" customFormat="1" x14ac:dyDescent="0.25"/>
    <row r="111654" customFormat="1" x14ac:dyDescent="0.25"/>
    <row r="111655" customFormat="1" x14ac:dyDescent="0.25"/>
    <row r="111656" customFormat="1" x14ac:dyDescent="0.25"/>
    <row r="111657" customFormat="1" x14ac:dyDescent="0.25"/>
    <row r="111658" customFormat="1" x14ac:dyDescent="0.25"/>
    <row r="111659" customFormat="1" x14ac:dyDescent="0.25"/>
    <row r="111660" customFormat="1" x14ac:dyDescent="0.25"/>
    <row r="111661" customFormat="1" x14ac:dyDescent="0.25"/>
    <row r="111662" customFormat="1" x14ac:dyDescent="0.25"/>
    <row r="111663" customFormat="1" x14ac:dyDescent="0.25"/>
    <row r="111664" customFormat="1" x14ac:dyDescent="0.25"/>
    <row r="111665" customFormat="1" x14ac:dyDescent="0.25"/>
    <row r="111666" customFormat="1" x14ac:dyDescent="0.25"/>
    <row r="111667" customFormat="1" x14ac:dyDescent="0.25"/>
    <row r="111668" customFormat="1" x14ac:dyDescent="0.25"/>
    <row r="111669" customFormat="1" x14ac:dyDescent="0.25"/>
    <row r="111670" customFormat="1" x14ac:dyDescent="0.25"/>
    <row r="111671" customFormat="1" x14ac:dyDescent="0.25"/>
    <row r="111672" customFormat="1" x14ac:dyDescent="0.25"/>
    <row r="111673" customFormat="1" x14ac:dyDescent="0.25"/>
    <row r="111674" customFormat="1" x14ac:dyDescent="0.25"/>
    <row r="111675" customFormat="1" x14ac:dyDescent="0.25"/>
    <row r="111676" customFormat="1" x14ac:dyDescent="0.25"/>
    <row r="111677" customFormat="1" x14ac:dyDescent="0.25"/>
    <row r="111678" customFormat="1" x14ac:dyDescent="0.25"/>
    <row r="111679" customFormat="1" x14ac:dyDescent="0.25"/>
    <row r="111680" customFormat="1" x14ac:dyDescent="0.25"/>
    <row r="111681" customFormat="1" x14ac:dyDescent="0.25"/>
    <row r="111682" customFormat="1" x14ac:dyDescent="0.25"/>
    <row r="111683" customFormat="1" x14ac:dyDescent="0.25"/>
    <row r="111684" customFormat="1" x14ac:dyDescent="0.25"/>
    <row r="111685" customFormat="1" x14ac:dyDescent="0.25"/>
    <row r="111686" customFormat="1" x14ac:dyDescent="0.25"/>
    <row r="111687" customFormat="1" x14ac:dyDescent="0.25"/>
    <row r="111688" customFormat="1" x14ac:dyDescent="0.25"/>
    <row r="111689" customFormat="1" x14ac:dyDescent="0.25"/>
    <row r="111690" customFormat="1" x14ac:dyDescent="0.25"/>
    <row r="111691" customFormat="1" x14ac:dyDescent="0.25"/>
    <row r="111692" customFormat="1" x14ac:dyDescent="0.25"/>
    <row r="111693" customFormat="1" x14ac:dyDescent="0.25"/>
    <row r="111694" customFormat="1" x14ac:dyDescent="0.25"/>
    <row r="111695" customFormat="1" x14ac:dyDescent="0.25"/>
    <row r="111696" customFormat="1" x14ac:dyDescent="0.25"/>
    <row r="111697" customFormat="1" x14ac:dyDescent="0.25"/>
    <row r="111698" customFormat="1" x14ac:dyDescent="0.25"/>
    <row r="111699" customFormat="1" x14ac:dyDescent="0.25"/>
    <row r="111700" customFormat="1" x14ac:dyDescent="0.25"/>
    <row r="111701" customFormat="1" x14ac:dyDescent="0.25"/>
    <row r="111702" customFormat="1" x14ac:dyDescent="0.25"/>
    <row r="111703" customFormat="1" x14ac:dyDescent="0.25"/>
    <row r="111704" customFormat="1" x14ac:dyDescent="0.25"/>
    <row r="111705" customFormat="1" x14ac:dyDescent="0.25"/>
    <row r="111706" customFormat="1" x14ac:dyDescent="0.25"/>
    <row r="111707" customFormat="1" x14ac:dyDescent="0.25"/>
    <row r="111708" customFormat="1" x14ac:dyDescent="0.25"/>
    <row r="111709" customFormat="1" x14ac:dyDescent="0.25"/>
    <row r="111710" customFormat="1" x14ac:dyDescent="0.25"/>
    <row r="111711" customFormat="1" x14ac:dyDescent="0.25"/>
    <row r="111712" customFormat="1" x14ac:dyDescent="0.25"/>
    <row r="111713" customFormat="1" x14ac:dyDescent="0.25"/>
    <row r="111714" customFormat="1" x14ac:dyDescent="0.25"/>
    <row r="111715" customFormat="1" x14ac:dyDescent="0.25"/>
    <row r="111716" customFormat="1" x14ac:dyDescent="0.25"/>
    <row r="111717" customFormat="1" x14ac:dyDescent="0.25"/>
    <row r="111718" customFormat="1" x14ac:dyDescent="0.25"/>
    <row r="111719" customFormat="1" x14ac:dyDescent="0.25"/>
    <row r="111720" customFormat="1" x14ac:dyDescent="0.25"/>
    <row r="111721" customFormat="1" x14ac:dyDescent="0.25"/>
    <row r="111722" customFormat="1" x14ac:dyDescent="0.25"/>
    <row r="111723" customFormat="1" x14ac:dyDescent="0.25"/>
    <row r="111724" customFormat="1" x14ac:dyDescent="0.25"/>
    <row r="111725" customFormat="1" x14ac:dyDescent="0.25"/>
    <row r="111726" customFormat="1" x14ac:dyDescent="0.25"/>
    <row r="111727" customFormat="1" x14ac:dyDescent="0.25"/>
    <row r="111728" customFormat="1" x14ac:dyDescent="0.25"/>
    <row r="111729" customFormat="1" x14ac:dyDescent="0.25"/>
    <row r="111730" customFormat="1" x14ac:dyDescent="0.25"/>
    <row r="111731" customFormat="1" x14ac:dyDescent="0.25"/>
    <row r="111732" customFormat="1" x14ac:dyDescent="0.25"/>
    <row r="111733" customFormat="1" x14ac:dyDescent="0.25"/>
    <row r="111734" customFormat="1" x14ac:dyDescent="0.25"/>
    <row r="111735" customFormat="1" x14ac:dyDescent="0.25"/>
    <row r="111736" customFormat="1" x14ac:dyDescent="0.25"/>
    <row r="111737" customFormat="1" x14ac:dyDescent="0.25"/>
    <row r="111738" customFormat="1" x14ac:dyDescent="0.25"/>
    <row r="111739" customFormat="1" x14ac:dyDescent="0.25"/>
    <row r="111740" customFormat="1" x14ac:dyDescent="0.25"/>
    <row r="111741" customFormat="1" x14ac:dyDescent="0.25"/>
    <row r="111742" customFormat="1" x14ac:dyDescent="0.25"/>
    <row r="111743" customFormat="1" x14ac:dyDescent="0.25"/>
    <row r="111744" customFormat="1" x14ac:dyDescent="0.25"/>
    <row r="111745" customFormat="1" x14ac:dyDescent="0.25"/>
    <row r="111746" customFormat="1" x14ac:dyDescent="0.25"/>
    <row r="111747" customFormat="1" x14ac:dyDescent="0.25"/>
    <row r="111748" customFormat="1" x14ac:dyDescent="0.25"/>
    <row r="111749" customFormat="1" x14ac:dyDescent="0.25"/>
    <row r="111750" customFormat="1" x14ac:dyDescent="0.25"/>
    <row r="111751" customFormat="1" x14ac:dyDescent="0.25"/>
    <row r="111752" customFormat="1" x14ac:dyDescent="0.25"/>
    <row r="111753" customFormat="1" x14ac:dyDescent="0.25"/>
    <row r="111754" customFormat="1" x14ac:dyDescent="0.25"/>
    <row r="111755" customFormat="1" x14ac:dyDescent="0.25"/>
    <row r="111756" customFormat="1" x14ac:dyDescent="0.25"/>
    <row r="111757" customFormat="1" x14ac:dyDescent="0.25"/>
    <row r="111758" customFormat="1" x14ac:dyDescent="0.25"/>
    <row r="111759" customFormat="1" x14ac:dyDescent="0.25"/>
    <row r="111760" customFormat="1" x14ac:dyDescent="0.25"/>
    <row r="111761" customFormat="1" x14ac:dyDescent="0.25"/>
    <row r="111762" customFormat="1" x14ac:dyDescent="0.25"/>
    <row r="111763" customFormat="1" x14ac:dyDescent="0.25"/>
    <row r="111764" customFormat="1" x14ac:dyDescent="0.25"/>
    <row r="111765" customFormat="1" x14ac:dyDescent="0.25"/>
    <row r="111766" customFormat="1" x14ac:dyDescent="0.25"/>
    <row r="111767" customFormat="1" x14ac:dyDescent="0.25"/>
    <row r="111768" customFormat="1" x14ac:dyDescent="0.25"/>
    <row r="111769" customFormat="1" x14ac:dyDescent="0.25"/>
    <row r="111770" customFormat="1" x14ac:dyDescent="0.25"/>
    <row r="111771" customFormat="1" x14ac:dyDescent="0.25"/>
    <row r="111772" customFormat="1" x14ac:dyDescent="0.25"/>
    <row r="111773" customFormat="1" x14ac:dyDescent="0.25"/>
    <row r="111774" customFormat="1" x14ac:dyDescent="0.25"/>
    <row r="111775" customFormat="1" x14ac:dyDescent="0.25"/>
    <row r="111776" customFormat="1" x14ac:dyDescent="0.25"/>
    <row r="111777" customFormat="1" x14ac:dyDescent="0.25"/>
    <row r="111778" customFormat="1" x14ac:dyDescent="0.25"/>
    <row r="111779" customFormat="1" x14ac:dyDescent="0.25"/>
    <row r="111780" customFormat="1" x14ac:dyDescent="0.25"/>
    <row r="111781" customFormat="1" x14ac:dyDescent="0.25"/>
    <row r="111782" customFormat="1" x14ac:dyDescent="0.25"/>
    <row r="111783" customFormat="1" x14ac:dyDescent="0.25"/>
    <row r="111784" customFormat="1" x14ac:dyDescent="0.25"/>
    <row r="111785" customFormat="1" x14ac:dyDescent="0.25"/>
    <row r="111786" customFormat="1" x14ac:dyDescent="0.25"/>
    <row r="111787" customFormat="1" x14ac:dyDescent="0.25"/>
    <row r="111788" customFormat="1" x14ac:dyDescent="0.25"/>
    <row r="111789" customFormat="1" x14ac:dyDescent="0.25"/>
    <row r="111790" customFormat="1" x14ac:dyDescent="0.25"/>
    <row r="111791" customFormat="1" x14ac:dyDescent="0.25"/>
    <row r="111792" customFormat="1" x14ac:dyDescent="0.25"/>
    <row r="111793" customFormat="1" x14ac:dyDescent="0.25"/>
    <row r="111794" customFormat="1" x14ac:dyDescent="0.25"/>
    <row r="111795" customFormat="1" x14ac:dyDescent="0.25"/>
    <row r="111796" customFormat="1" x14ac:dyDescent="0.25"/>
    <row r="111797" customFormat="1" x14ac:dyDescent="0.25"/>
    <row r="111798" customFormat="1" x14ac:dyDescent="0.25"/>
    <row r="111799" customFormat="1" x14ac:dyDescent="0.25"/>
    <row r="111800" customFormat="1" x14ac:dyDescent="0.25"/>
    <row r="111801" customFormat="1" x14ac:dyDescent="0.25"/>
    <row r="111802" customFormat="1" x14ac:dyDescent="0.25"/>
    <row r="111803" customFormat="1" x14ac:dyDescent="0.25"/>
    <row r="111804" customFormat="1" x14ac:dyDescent="0.25"/>
    <row r="111805" customFormat="1" x14ac:dyDescent="0.25"/>
    <row r="111806" customFormat="1" x14ac:dyDescent="0.25"/>
    <row r="111807" customFormat="1" x14ac:dyDescent="0.25"/>
    <row r="111808" customFormat="1" x14ac:dyDescent="0.25"/>
    <row r="111809" customFormat="1" x14ac:dyDescent="0.25"/>
    <row r="111810" customFormat="1" x14ac:dyDescent="0.25"/>
    <row r="111811" customFormat="1" x14ac:dyDescent="0.25"/>
    <row r="111812" customFormat="1" x14ac:dyDescent="0.25"/>
    <row r="111813" customFormat="1" x14ac:dyDescent="0.25"/>
    <row r="111814" customFormat="1" x14ac:dyDescent="0.25"/>
    <row r="111815" customFormat="1" x14ac:dyDescent="0.25"/>
    <row r="111816" customFormat="1" x14ac:dyDescent="0.25"/>
    <row r="111817" customFormat="1" x14ac:dyDescent="0.25"/>
    <row r="111818" customFormat="1" x14ac:dyDescent="0.25"/>
    <row r="111819" customFormat="1" x14ac:dyDescent="0.25"/>
    <row r="111820" customFormat="1" x14ac:dyDescent="0.25"/>
    <row r="111821" customFormat="1" x14ac:dyDescent="0.25"/>
    <row r="111822" customFormat="1" x14ac:dyDescent="0.25"/>
    <row r="111823" customFormat="1" x14ac:dyDescent="0.25"/>
    <row r="111824" customFormat="1" x14ac:dyDescent="0.25"/>
    <row r="111825" customFormat="1" x14ac:dyDescent="0.25"/>
    <row r="111826" customFormat="1" x14ac:dyDescent="0.25"/>
    <row r="111827" customFormat="1" x14ac:dyDescent="0.25"/>
    <row r="111828" customFormat="1" x14ac:dyDescent="0.25"/>
    <row r="111829" customFormat="1" x14ac:dyDescent="0.25"/>
    <row r="111830" customFormat="1" x14ac:dyDescent="0.25"/>
    <row r="111831" customFormat="1" x14ac:dyDescent="0.25"/>
    <row r="111832" customFormat="1" x14ac:dyDescent="0.25"/>
    <row r="111833" customFormat="1" x14ac:dyDescent="0.25"/>
    <row r="111834" customFormat="1" x14ac:dyDescent="0.25"/>
    <row r="111835" customFormat="1" x14ac:dyDescent="0.25"/>
    <row r="111836" customFormat="1" x14ac:dyDescent="0.25"/>
    <row r="111837" customFormat="1" x14ac:dyDescent="0.25"/>
    <row r="111838" customFormat="1" x14ac:dyDescent="0.25"/>
    <row r="111839" customFormat="1" x14ac:dyDescent="0.25"/>
    <row r="111840" customFormat="1" x14ac:dyDescent="0.25"/>
    <row r="111841" customFormat="1" x14ac:dyDescent="0.25"/>
    <row r="111842" customFormat="1" x14ac:dyDescent="0.25"/>
    <row r="111843" customFormat="1" x14ac:dyDescent="0.25"/>
    <row r="111844" customFormat="1" x14ac:dyDescent="0.25"/>
    <row r="111845" customFormat="1" x14ac:dyDescent="0.25"/>
    <row r="111846" customFormat="1" x14ac:dyDescent="0.25"/>
    <row r="111847" customFormat="1" x14ac:dyDescent="0.25"/>
    <row r="111848" customFormat="1" x14ac:dyDescent="0.25"/>
    <row r="111849" customFormat="1" x14ac:dyDescent="0.25"/>
    <row r="111850" customFormat="1" x14ac:dyDescent="0.25"/>
    <row r="111851" customFormat="1" x14ac:dyDescent="0.25"/>
    <row r="111852" customFormat="1" x14ac:dyDescent="0.25"/>
    <row r="111853" customFormat="1" x14ac:dyDescent="0.25"/>
    <row r="111854" customFormat="1" x14ac:dyDescent="0.25"/>
    <row r="111855" customFormat="1" x14ac:dyDescent="0.25"/>
    <row r="111856" customFormat="1" x14ac:dyDescent="0.25"/>
    <row r="111857" customFormat="1" x14ac:dyDescent="0.25"/>
    <row r="111858" customFormat="1" x14ac:dyDescent="0.25"/>
    <row r="111859" customFormat="1" x14ac:dyDescent="0.25"/>
    <row r="111860" customFormat="1" x14ac:dyDescent="0.25"/>
    <row r="111861" customFormat="1" x14ac:dyDescent="0.25"/>
    <row r="111862" customFormat="1" x14ac:dyDescent="0.25"/>
    <row r="111863" customFormat="1" x14ac:dyDescent="0.25"/>
    <row r="111864" customFormat="1" x14ac:dyDescent="0.25"/>
    <row r="111865" customFormat="1" x14ac:dyDescent="0.25"/>
    <row r="111866" customFormat="1" x14ac:dyDescent="0.25"/>
    <row r="111867" customFormat="1" x14ac:dyDescent="0.25"/>
    <row r="111868" customFormat="1" x14ac:dyDescent="0.25"/>
    <row r="111869" customFormat="1" x14ac:dyDescent="0.25"/>
    <row r="111870" customFormat="1" x14ac:dyDescent="0.25"/>
    <row r="111871" customFormat="1" x14ac:dyDescent="0.25"/>
    <row r="111872" customFormat="1" x14ac:dyDescent="0.25"/>
    <row r="111873" customFormat="1" x14ac:dyDescent="0.25"/>
    <row r="111874" customFormat="1" x14ac:dyDescent="0.25"/>
    <row r="111875" customFormat="1" x14ac:dyDescent="0.25"/>
    <row r="111876" customFormat="1" x14ac:dyDescent="0.25"/>
    <row r="111877" customFormat="1" x14ac:dyDescent="0.25"/>
    <row r="111878" customFormat="1" x14ac:dyDescent="0.25"/>
    <row r="111879" customFormat="1" x14ac:dyDescent="0.25"/>
    <row r="111880" customFormat="1" x14ac:dyDescent="0.25"/>
    <row r="111881" customFormat="1" x14ac:dyDescent="0.25"/>
    <row r="111882" customFormat="1" x14ac:dyDescent="0.25"/>
    <row r="111883" customFormat="1" x14ac:dyDescent="0.25"/>
    <row r="111884" customFormat="1" x14ac:dyDescent="0.25"/>
    <row r="111885" customFormat="1" x14ac:dyDescent="0.25"/>
    <row r="111886" customFormat="1" x14ac:dyDescent="0.25"/>
    <row r="111887" customFormat="1" x14ac:dyDescent="0.25"/>
    <row r="111888" customFormat="1" x14ac:dyDescent="0.25"/>
    <row r="111889" customFormat="1" x14ac:dyDescent="0.25"/>
    <row r="111890" customFormat="1" x14ac:dyDescent="0.25"/>
    <row r="111891" customFormat="1" x14ac:dyDescent="0.25"/>
    <row r="111892" customFormat="1" x14ac:dyDescent="0.25"/>
    <row r="111893" customFormat="1" x14ac:dyDescent="0.25"/>
    <row r="111894" customFormat="1" x14ac:dyDescent="0.25"/>
    <row r="111895" customFormat="1" x14ac:dyDescent="0.25"/>
    <row r="111896" customFormat="1" x14ac:dyDescent="0.25"/>
    <row r="111897" customFormat="1" x14ac:dyDescent="0.25"/>
    <row r="111898" customFormat="1" x14ac:dyDescent="0.25"/>
    <row r="111899" customFormat="1" x14ac:dyDescent="0.25"/>
    <row r="111900" customFormat="1" x14ac:dyDescent="0.25"/>
    <row r="111901" customFormat="1" x14ac:dyDescent="0.25"/>
    <row r="111902" customFormat="1" x14ac:dyDescent="0.25"/>
    <row r="111903" customFormat="1" x14ac:dyDescent="0.25"/>
    <row r="111904" customFormat="1" x14ac:dyDescent="0.25"/>
    <row r="111905" customFormat="1" x14ac:dyDescent="0.25"/>
    <row r="111906" customFormat="1" x14ac:dyDescent="0.25"/>
    <row r="111907" customFormat="1" x14ac:dyDescent="0.25"/>
    <row r="111908" customFormat="1" x14ac:dyDescent="0.25"/>
    <row r="111909" customFormat="1" x14ac:dyDescent="0.25"/>
    <row r="111910" customFormat="1" x14ac:dyDescent="0.25"/>
    <row r="111911" customFormat="1" x14ac:dyDescent="0.25"/>
    <row r="111912" customFormat="1" x14ac:dyDescent="0.25"/>
    <row r="111913" customFormat="1" x14ac:dyDescent="0.25"/>
    <row r="111914" customFormat="1" x14ac:dyDescent="0.25"/>
    <row r="111915" customFormat="1" x14ac:dyDescent="0.25"/>
    <row r="111916" customFormat="1" x14ac:dyDescent="0.25"/>
    <row r="111917" customFormat="1" x14ac:dyDescent="0.25"/>
    <row r="111918" customFormat="1" x14ac:dyDescent="0.25"/>
    <row r="111919" customFormat="1" x14ac:dyDescent="0.25"/>
    <row r="111920" customFormat="1" x14ac:dyDescent="0.25"/>
    <row r="111921" customFormat="1" x14ac:dyDescent="0.25"/>
    <row r="111922" customFormat="1" x14ac:dyDescent="0.25"/>
    <row r="111923" customFormat="1" x14ac:dyDescent="0.25"/>
    <row r="111924" customFormat="1" x14ac:dyDescent="0.25"/>
    <row r="111925" customFormat="1" x14ac:dyDescent="0.25"/>
    <row r="111926" customFormat="1" x14ac:dyDescent="0.25"/>
    <row r="111927" customFormat="1" x14ac:dyDescent="0.25"/>
    <row r="111928" customFormat="1" x14ac:dyDescent="0.25"/>
    <row r="111929" customFormat="1" x14ac:dyDescent="0.25"/>
    <row r="111930" customFormat="1" x14ac:dyDescent="0.25"/>
    <row r="111931" customFormat="1" x14ac:dyDescent="0.25"/>
    <row r="111932" customFormat="1" x14ac:dyDescent="0.25"/>
    <row r="111933" customFormat="1" x14ac:dyDescent="0.25"/>
    <row r="111934" customFormat="1" x14ac:dyDescent="0.25"/>
    <row r="111935" customFormat="1" x14ac:dyDescent="0.25"/>
    <row r="111936" customFormat="1" x14ac:dyDescent="0.25"/>
    <row r="111937" customFormat="1" x14ac:dyDescent="0.25"/>
    <row r="111938" customFormat="1" x14ac:dyDescent="0.25"/>
    <row r="111939" customFormat="1" x14ac:dyDescent="0.25"/>
    <row r="111940" customFormat="1" x14ac:dyDescent="0.25"/>
    <row r="111941" customFormat="1" x14ac:dyDescent="0.25"/>
    <row r="111942" customFormat="1" x14ac:dyDescent="0.25"/>
    <row r="111943" customFormat="1" x14ac:dyDescent="0.25"/>
    <row r="111944" customFormat="1" x14ac:dyDescent="0.25"/>
    <row r="111945" customFormat="1" x14ac:dyDescent="0.25"/>
    <row r="111946" customFormat="1" x14ac:dyDescent="0.25"/>
    <row r="111947" customFormat="1" x14ac:dyDescent="0.25"/>
    <row r="111948" customFormat="1" x14ac:dyDescent="0.25"/>
    <row r="111949" customFormat="1" x14ac:dyDescent="0.25"/>
    <row r="111950" customFormat="1" x14ac:dyDescent="0.25"/>
    <row r="111951" customFormat="1" x14ac:dyDescent="0.25"/>
    <row r="111952" customFormat="1" x14ac:dyDescent="0.25"/>
    <row r="111953" customFormat="1" x14ac:dyDescent="0.25"/>
    <row r="111954" customFormat="1" x14ac:dyDescent="0.25"/>
    <row r="111955" customFormat="1" x14ac:dyDescent="0.25"/>
    <row r="111956" customFormat="1" x14ac:dyDescent="0.25"/>
    <row r="111957" customFormat="1" x14ac:dyDescent="0.25"/>
    <row r="111958" customFormat="1" x14ac:dyDescent="0.25"/>
    <row r="111959" customFormat="1" x14ac:dyDescent="0.25"/>
    <row r="111960" customFormat="1" x14ac:dyDescent="0.25"/>
    <row r="111961" customFormat="1" x14ac:dyDescent="0.25"/>
    <row r="111962" customFormat="1" x14ac:dyDescent="0.25"/>
    <row r="111963" customFormat="1" x14ac:dyDescent="0.25"/>
    <row r="111964" customFormat="1" x14ac:dyDescent="0.25"/>
    <row r="111965" customFormat="1" x14ac:dyDescent="0.25"/>
    <row r="111966" customFormat="1" x14ac:dyDescent="0.25"/>
    <row r="111967" customFormat="1" x14ac:dyDescent="0.25"/>
    <row r="111968" customFormat="1" x14ac:dyDescent="0.25"/>
    <row r="111969" customFormat="1" x14ac:dyDescent="0.25"/>
    <row r="111970" customFormat="1" x14ac:dyDescent="0.25"/>
    <row r="111971" customFormat="1" x14ac:dyDescent="0.25"/>
    <row r="111972" customFormat="1" x14ac:dyDescent="0.25"/>
    <row r="111973" customFormat="1" x14ac:dyDescent="0.25"/>
    <row r="111974" customFormat="1" x14ac:dyDescent="0.25"/>
    <row r="111975" customFormat="1" x14ac:dyDescent="0.25"/>
    <row r="111976" customFormat="1" x14ac:dyDescent="0.25"/>
    <row r="111977" customFormat="1" x14ac:dyDescent="0.25"/>
    <row r="111978" customFormat="1" x14ac:dyDescent="0.25"/>
    <row r="111979" customFormat="1" x14ac:dyDescent="0.25"/>
    <row r="111980" customFormat="1" x14ac:dyDescent="0.25"/>
    <row r="111981" customFormat="1" x14ac:dyDescent="0.25"/>
    <row r="111982" customFormat="1" x14ac:dyDescent="0.25"/>
    <row r="111983" customFormat="1" x14ac:dyDescent="0.25"/>
    <row r="111984" customFormat="1" x14ac:dyDescent="0.25"/>
    <row r="111985" customFormat="1" x14ac:dyDescent="0.25"/>
    <row r="111986" customFormat="1" x14ac:dyDescent="0.25"/>
    <row r="111987" customFormat="1" x14ac:dyDescent="0.25"/>
    <row r="111988" customFormat="1" x14ac:dyDescent="0.25"/>
    <row r="111989" customFormat="1" x14ac:dyDescent="0.25"/>
    <row r="111990" customFormat="1" x14ac:dyDescent="0.25"/>
    <row r="111991" customFormat="1" x14ac:dyDescent="0.25"/>
    <row r="111992" customFormat="1" x14ac:dyDescent="0.25"/>
    <row r="111993" customFormat="1" x14ac:dyDescent="0.25"/>
    <row r="111994" customFormat="1" x14ac:dyDescent="0.25"/>
    <row r="111995" customFormat="1" x14ac:dyDescent="0.25"/>
    <row r="111996" customFormat="1" x14ac:dyDescent="0.25"/>
    <row r="111997" customFormat="1" x14ac:dyDescent="0.25"/>
    <row r="111998" customFormat="1" x14ac:dyDescent="0.25"/>
    <row r="111999" customFormat="1" x14ac:dyDescent="0.25"/>
    <row r="112000" customFormat="1" x14ac:dyDescent="0.25"/>
    <row r="112001" customFormat="1" x14ac:dyDescent="0.25"/>
    <row r="112002" customFormat="1" x14ac:dyDescent="0.25"/>
    <row r="112003" customFormat="1" x14ac:dyDescent="0.25"/>
    <row r="112004" customFormat="1" x14ac:dyDescent="0.25"/>
    <row r="112005" customFormat="1" x14ac:dyDescent="0.25"/>
    <row r="112006" customFormat="1" x14ac:dyDescent="0.25"/>
    <row r="112007" customFormat="1" x14ac:dyDescent="0.25"/>
    <row r="112008" customFormat="1" x14ac:dyDescent="0.25"/>
    <row r="112009" customFormat="1" x14ac:dyDescent="0.25"/>
    <row r="112010" customFormat="1" x14ac:dyDescent="0.25"/>
    <row r="112011" customFormat="1" x14ac:dyDescent="0.25"/>
    <row r="112012" customFormat="1" x14ac:dyDescent="0.25"/>
    <row r="112013" customFormat="1" x14ac:dyDescent="0.25"/>
    <row r="112014" customFormat="1" x14ac:dyDescent="0.25"/>
    <row r="112015" customFormat="1" x14ac:dyDescent="0.25"/>
    <row r="112016" customFormat="1" x14ac:dyDescent="0.25"/>
    <row r="112017" customFormat="1" x14ac:dyDescent="0.25"/>
    <row r="112018" customFormat="1" x14ac:dyDescent="0.25"/>
    <row r="112019" customFormat="1" x14ac:dyDescent="0.25"/>
    <row r="112020" customFormat="1" x14ac:dyDescent="0.25"/>
    <row r="112021" customFormat="1" x14ac:dyDescent="0.25"/>
    <row r="112022" customFormat="1" x14ac:dyDescent="0.25"/>
    <row r="112023" customFormat="1" x14ac:dyDescent="0.25"/>
    <row r="112024" customFormat="1" x14ac:dyDescent="0.25"/>
    <row r="112025" customFormat="1" x14ac:dyDescent="0.25"/>
    <row r="112026" customFormat="1" x14ac:dyDescent="0.25"/>
    <row r="112027" customFormat="1" x14ac:dyDescent="0.25"/>
    <row r="112028" customFormat="1" x14ac:dyDescent="0.25"/>
    <row r="112029" customFormat="1" x14ac:dyDescent="0.25"/>
    <row r="112030" customFormat="1" x14ac:dyDescent="0.25"/>
    <row r="112031" customFormat="1" x14ac:dyDescent="0.25"/>
    <row r="112032" customFormat="1" x14ac:dyDescent="0.25"/>
    <row r="112033" customFormat="1" x14ac:dyDescent="0.25"/>
    <row r="112034" customFormat="1" x14ac:dyDescent="0.25"/>
    <row r="112035" customFormat="1" x14ac:dyDescent="0.25"/>
    <row r="112036" customFormat="1" x14ac:dyDescent="0.25"/>
    <row r="112037" customFormat="1" x14ac:dyDescent="0.25"/>
    <row r="112038" customFormat="1" x14ac:dyDescent="0.25"/>
    <row r="112039" customFormat="1" x14ac:dyDescent="0.25"/>
    <row r="112040" customFormat="1" x14ac:dyDescent="0.25"/>
    <row r="112041" customFormat="1" x14ac:dyDescent="0.25"/>
    <row r="112042" customFormat="1" x14ac:dyDescent="0.25"/>
    <row r="112043" customFormat="1" x14ac:dyDescent="0.25"/>
    <row r="112044" customFormat="1" x14ac:dyDescent="0.25"/>
    <row r="112045" customFormat="1" x14ac:dyDescent="0.25"/>
    <row r="112046" customFormat="1" x14ac:dyDescent="0.25"/>
    <row r="112047" customFormat="1" x14ac:dyDescent="0.25"/>
    <row r="112048" customFormat="1" x14ac:dyDescent="0.25"/>
    <row r="112049" customFormat="1" x14ac:dyDescent="0.25"/>
    <row r="112050" customFormat="1" x14ac:dyDescent="0.25"/>
    <row r="112051" customFormat="1" x14ac:dyDescent="0.25"/>
    <row r="112052" customFormat="1" x14ac:dyDescent="0.25"/>
    <row r="112053" customFormat="1" x14ac:dyDescent="0.25"/>
    <row r="112054" customFormat="1" x14ac:dyDescent="0.25"/>
    <row r="112055" customFormat="1" x14ac:dyDescent="0.25"/>
    <row r="112056" customFormat="1" x14ac:dyDescent="0.25"/>
    <row r="112057" customFormat="1" x14ac:dyDescent="0.25"/>
    <row r="112058" customFormat="1" x14ac:dyDescent="0.25"/>
    <row r="112059" customFormat="1" x14ac:dyDescent="0.25"/>
    <row r="112060" customFormat="1" x14ac:dyDescent="0.25"/>
    <row r="112061" customFormat="1" x14ac:dyDescent="0.25"/>
    <row r="112062" customFormat="1" x14ac:dyDescent="0.25"/>
    <row r="112063" customFormat="1" x14ac:dyDescent="0.25"/>
    <row r="112064" customFormat="1" x14ac:dyDescent="0.25"/>
    <row r="112065" customFormat="1" x14ac:dyDescent="0.25"/>
    <row r="112066" customFormat="1" x14ac:dyDescent="0.25"/>
    <row r="112067" customFormat="1" x14ac:dyDescent="0.25"/>
    <row r="112068" customFormat="1" x14ac:dyDescent="0.25"/>
    <row r="112069" customFormat="1" x14ac:dyDescent="0.25"/>
    <row r="112070" customFormat="1" x14ac:dyDescent="0.25"/>
    <row r="112071" customFormat="1" x14ac:dyDescent="0.25"/>
    <row r="112072" customFormat="1" x14ac:dyDescent="0.25"/>
    <row r="112073" customFormat="1" x14ac:dyDescent="0.25"/>
    <row r="112074" customFormat="1" x14ac:dyDescent="0.25"/>
    <row r="112075" customFormat="1" x14ac:dyDescent="0.25"/>
    <row r="112076" customFormat="1" x14ac:dyDescent="0.25"/>
    <row r="112077" customFormat="1" x14ac:dyDescent="0.25"/>
    <row r="112078" customFormat="1" x14ac:dyDescent="0.25"/>
    <row r="112079" customFormat="1" x14ac:dyDescent="0.25"/>
    <row r="112080" customFormat="1" x14ac:dyDescent="0.25"/>
    <row r="112081" customFormat="1" x14ac:dyDescent="0.25"/>
    <row r="112082" customFormat="1" x14ac:dyDescent="0.25"/>
    <row r="112083" customFormat="1" x14ac:dyDescent="0.25"/>
    <row r="112084" customFormat="1" x14ac:dyDescent="0.25"/>
    <row r="112085" customFormat="1" x14ac:dyDescent="0.25"/>
    <row r="112086" customFormat="1" x14ac:dyDescent="0.25"/>
    <row r="112087" customFormat="1" x14ac:dyDescent="0.25"/>
    <row r="112088" customFormat="1" x14ac:dyDescent="0.25"/>
    <row r="112089" customFormat="1" x14ac:dyDescent="0.25"/>
    <row r="112090" customFormat="1" x14ac:dyDescent="0.25"/>
    <row r="112091" customFormat="1" x14ac:dyDescent="0.25"/>
    <row r="112092" customFormat="1" x14ac:dyDescent="0.25"/>
    <row r="112093" customFormat="1" x14ac:dyDescent="0.25"/>
    <row r="112094" customFormat="1" x14ac:dyDescent="0.25"/>
    <row r="112095" customFormat="1" x14ac:dyDescent="0.25"/>
    <row r="112096" customFormat="1" x14ac:dyDescent="0.25"/>
    <row r="112097" customFormat="1" x14ac:dyDescent="0.25"/>
    <row r="112098" customFormat="1" x14ac:dyDescent="0.25"/>
    <row r="112099" customFormat="1" x14ac:dyDescent="0.25"/>
    <row r="112100" customFormat="1" x14ac:dyDescent="0.25"/>
    <row r="112101" customFormat="1" x14ac:dyDescent="0.25"/>
    <row r="112102" customFormat="1" x14ac:dyDescent="0.25"/>
    <row r="112103" customFormat="1" x14ac:dyDescent="0.25"/>
    <row r="112104" customFormat="1" x14ac:dyDescent="0.25"/>
    <row r="112105" customFormat="1" x14ac:dyDescent="0.25"/>
    <row r="112106" customFormat="1" x14ac:dyDescent="0.25"/>
    <row r="112107" customFormat="1" x14ac:dyDescent="0.25"/>
    <row r="112108" customFormat="1" x14ac:dyDescent="0.25"/>
    <row r="112109" customFormat="1" x14ac:dyDescent="0.25"/>
    <row r="112110" customFormat="1" x14ac:dyDescent="0.25"/>
    <row r="112111" customFormat="1" x14ac:dyDescent="0.25"/>
    <row r="112112" customFormat="1" x14ac:dyDescent="0.25"/>
    <row r="112113" customFormat="1" x14ac:dyDescent="0.25"/>
    <row r="112114" customFormat="1" x14ac:dyDescent="0.25"/>
    <row r="112115" customFormat="1" x14ac:dyDescent="0.25"/>
    <row r="112116" customFormat="1" x14ac:dyDescent="0.25"/>
    <row r="112117" customFormat="1" x14ac:dyDescent="0.25"/>
    <row r="112118" customFormat="1" x14ac:dyDescent="0.25"/>
    <row r="112119" customFormat="1" x14ac:dyDescent="0.25"/>
    <row r="112120" customFormat="1" x14ac:dyDescent="0.25"/>
    <row r="112121" customFormat="1" x14ac:dyDescent="0.25"/>
    <row r="112122" customFormat="1" x14ac:dyDescent="0.25"/>
    <row r="112123" customFormat="1" x14ac:dyDescent="0.25"/>
    <row r="112124" customFormat="1" x14ac:dyDescent="0.25"/>
    <row r="112125" customFormat="1" x14ac:dyDescent="0.25"/>
    <row r="112126" customFormat="1" x14ac:dyDescent="0.25"/>
    <row r="112127" customFormat="1" x14ac:dyDescent="0.25"/>
    <row r="112128" customFormat="1" x14ac:dyDescent="0.25"/>
    <row r="112129" customFormat="1" x14ac:dyDescent="0.25"/>
    <row r="112130" customFormat="1" x14ac:dyDescent="0.25"/>
    <row r="112131" customFormat="1" x14ac:dyDescent="0.25"/>
    <row r="112132" customFormat="1" x14ac:dyDescent="0.25"/>
    <row r="112133" customFormat="1" x14ac:dyDescent="0.25"/>
    <row r="112134" customFormat="1" x14ac:dyDescent="0.25"/>
    <row r="112135" customFormat="1" x14ac:dyDescent="0.25"/>
    <row r="112136" customFormat="1" x14ac:dyDescent="0.25"/>
    <row r="112137" customFormat="1" x14ac:dyDescent="0.25"/>
    <row r="112138" customFormat="1" x14ac:dyDescent="0.25"/>
    <row r="112139" customFormat="1" x14ac:dyDescent="0.25"/>
    <row r="112140" customFormat="1" x14ac:dyDescent="0.25"/>
    <row r="112141" customFormat="1" x14ac:dyDescent="0.25"/>
    <row r="112142" customFormat="1" x14ac:dyDescent="0.25"/>
    <row r="112143" customFormat="1" x14ac:dyDescent="0.25"/>
    <row r="112144" customFormat="1" x14ac:dyDescent="0.25"/>
    <row r="112145" customFormat="1" x14ac:dyDescent="0.25"/>
    <row r="112146" customFormat="1" x14ac:dyDescent="0.25"/>
    <row r="112147" customFormat="1" x14ac:dyDescent="0.25"/>
    <row r="112148" customFormat="1" x14ac:dyDescent="0.25"/>
    <row r="112149" customFormat="1" x14ac:dyDescent="0.25"/>
    <row r="112150" customFormat="1" x14ac:dyDescent="0.25"/>
    <row r="112151" customFormat="1" x14ac:dyDescent="0.25"/>
    <row r="112152" customFormat="1" x14ac:dyDescent="0.25"/>
    <row r="112153" customFormat="1" x14ac:dyDescent="0.25"/>
    <row r="112154" customFormat="1" x14ac:dyDescent="0.25"/>
    <row r="112155" customFormat="1" x14ac:dyDescent="0.25"/>
    <row r="112156" customFormat="1" x14ac:dyDescent="0.25"/>
    <row r="112157" customFormat="1" x14ac:dyDescent="0.25"/>
    <row r="112158" customFormat="1" x14ac:dyDescent="0.25"/>
    <row r="112159" customFormat="1" x14ac:dyDescent="0.25"/>
    <row r="112160" customFormat="1" x14ac:dyDescent="0.25"/>
    <row r="112161" customFormat="1" x14ac:dyDescent="0.25"/>
    <row r="112162" customFormat="1" x14ac:dyDescent="0.25"/>
    <row r="112163" customFormat="1" x14ac:dyDescent="0.25"/>
    <row r="112164" customFormat="1" x14ac:dyDescent="0.25"/>
    <row r="112165" customFormat="1" x14ac:dyDescent="0.25"/>
    <row r="112166" customFormat="1" x14ac:dyDescent="0.25"/>
    <row r="112167" customFormat="1" x14ac:dyDescent="0.25"/>
    <row r="112168" customFormat="1" x14ac:dyDescent="0.25"/>
    <row r="112169" customFormat="1" x14ac:dyDescent="0.25"/>
    <row r="112170" customFormat="1" x14ac:dyDescent="0.25"/>
    <row r="112171" customFormat="1" x14ac:dyDescent="0.25"/>
    <row r="112172" customFormat="1" x14ac:dyDescent="0.25"/>
    <row r="112173" customFormat="1" x14ac:dyDescent="0.25"/>
    <row r="112174" customFormat="1" x14ac:dyDescent="0.25"/>
    <row r="112175" customFormat="1" x14ac:dyDescent="0.25"/>
    <row r="112176" customFormat="1" x14ac:dyDescent="0.25"/>
    <row r="112177" customFormat="1" x14ac:dyDescent="0.25"/>
    <row r="112178" customFormat="1" x14ac:dyDescent="0.25"/>
    <row r="112179" customFormat="1" x14ac:dyDescent="0.25"/>
    <row r="112180" customFormat="1" x14ac:dyDescent="0.25"/>
    <row r="112181" customFormat="1" x14ac:dyDescent="0.25"/>
    <row r="112182" customFormat="1" x14ac:dyDescent="0.25"/>
    <row r="112183" customFormat="1" x14ac:dyDescent="0.25"/>
    <row r="112184" customFormat="1" x14ac:dyDescent="0.25"/>
    <row r="112185" customFormat="1" x14ac:dyDescent="0.25"/>
    <row r="112186" customFormat="1" x14ac:dyDescent="0.25"/>
    <row r="112187" customFormat="1" x14ac:dyDescent="0.25"/>
    <row r="112188" customFormat="1" x14ac:dyDescent="0.25"/>
    <row r="112189" customFormat="1" x14ac:dyDescent="0.25"/>
    <row r="112190" customFormat="1" x14ac:dyDescent="0.25"/>
    <row r="112191" customFormat="1" x14ac:dyDescent="0.25"/>
    <row r="112192" customFormat="1" x14ac:dyDescent="0.25"/>
    <row r="112193" customFormat="1" x14ac:dyDescent="0.25"/>
    <row r="112194" customFormat="1" x14ac:dyDescent="0.25"/>
    <row r="112195" customFormat="1" x14ac:dyDescent="0.25"/>
    <row r="112196" customFormat="1" x14ac:dyDescent="0.25"/>
    <row r="112197" customFormat="1" x14ac:dyDescent="0.25"/>
    <row r="112198" customFormat="1" x14ac:dyDescent="0.25"/>
    <row r="112199" customFormat="1" x14ac:dyDescent="0.25"/>
    <row r="112200" customFormat="1" x14ac:dyDescent="0.25"/>
    <row r="112201" customFormat="1" x14ac:dyDescent="0.25"/>
    <row r="112202" customFormat="1" x14ac:dyDescent="0.25"/>
    <row r="112203" customFormat="1" x14ac:dyDescent="0.25"/>
    <row r="112204" customFormat="1" x14ac:dyDescent="0.25"/>
    <row r="112205" customFormat="1" x14ac:dyDescent="0.25"/>
    <row r="112206" customFormat="1" x14ac:dyDescent="0.25"/>
    <row r="112207" customFormat="1" x14ac:dyDescent="0.25"/>
    <row r="112208" customFormat="1" x14ac:dyDescent="0.25"/>
    <row r="112209" customFormat="1" x14ac:dyDescent="0.25"/>
    <row r="112210" customFormat="1" x14ac:dyDescent="0.25"/>
    <row r="112211" customFormat="1" x14ac:dyDescent="0.25"/>
    <row r="112212" customFormat="1" x14ac:dyDescent="0.25"/>
    <row r="112213" customFormat="1" x14ac:dyDescent="0.25"/>
    <row r="112214" customFormat="1" x14ac:dyDescent="0.25"/>
    <row r="112215" customFormat="1" x14ac:dyDescent="0.25"/>
    <row r="112216" customFormat="1" x14ac:dyDescent="0.25"/>
    <row r="112217" customFormat="1" x14ac:dyDescent="0.25"/>
    <row r="112218" customFormat="1" x14ac:dyDescent="0.25"/>
    <row r="112219" customFormat="1" x14ac:dyDescent="0.25"/>
    <row r="112220" customFormat="1" x14ac:dyDescent="0.25"/>
    <row r="112221" customFormat="1" x14ac:dyDescent="0.25"/>
    <row r="112222" customFormat="1" x14ac:dyDescent="0.25"/>
    <row r="112223" customFormat="1" x14ac:dyDescent="0.25"/>
    <row r="112224" customFormat="1" x14ac:dyDescent="0.25"/>
    <row r="112225" customFormat="1" x14ac:dyDescent="0.25"/>
    <row r="112226" customFormat="1" x14ac:dyDescent="0.25"/>
    <row r="112227" customFormat="1" x14ac:dyDescent="0.25"/>
    <row r="112228" customFormat="1" x14ac:dyDescent="0.25"/>
    <row r="112229" customFormat="1" x14ac:dyDescent="0.25"/>
    <row r="112230" customFormat="1" x14ac:dyDescent="0.25"/>
    <row r="112231" customFormat="1" x14ac:dyDescent="0.25"/>
    <row r="112232" customFormat="1" x14ac:dyDescent="0.25"/>
    <row r="112233" customFormat="1" x14ac:dyDescent="0.25"/>
    <row r="112234" customFormat="1" x14ac:dyDescent="0.25"/>
    <row r="112235" customFormat="1" x14ac:dyDescent="0.25"/>
    <row r="112236" customFormat="1" x14ac:dyDescent="0.25"/>
    <row r="112237" customFormat="1" x14ac:dyDescent="0.25"/>
    <row r="112238" customFormat="1" x14ac:dyDescent="0.25"/>
    <row r="112239" customFormat="1" x14ac:dyDescent="0.25"/>
    <row r="112240" customFormat="1" x14ac:dyDescent="0.25"/>
    <row r="112241" customFormat="1" x14ac:dyDescent="0.25"/>
    <row r="112242" customFormat="1" x14ac:dyDescent="0.25"/>
    <row r="112243" customFormat="1" x14ac:dyDescent="0.25"/>
    <row r="112244" customFormat="1" x14ac:dyDescent="0.25"/>
    <row r="112245" customFormat="1" x14ac:dyDescent="0.25"/>
    <row r="112246" customFormat="1" x14ac:dyDescent="0.25"/>
    <row r="112247" customFormat="1" x14ac:dyDescent="0.25"/>
    <row r="112248" customFormat="1" x14ac:dyDescent="0.25"/>
    <row r="112249" customFormat="1" x14ac:dyDescent="0.25"/>
    <row r="112250" customFormat="1" x14ac:dyDescent="0.25"/>
    <row r="112251" customFormat="1" x14ac:dyDescent="0.25"/>
    <row r="112252" customFormat="1" x14ac:dyDescent="0.25"/>
    <row r="112253" customFormat="1" x14ac:dyDescent="0.25"/>
    <row r="112254" customFormat="1" x14ac:dyDescent="0.25"/>
    <row r="112255" customFormat="1" x14ac:dyDescent="0.25"/>
    <row r="112256" customFormat="1" x14ac:dyDescent="0.25"/>
    <row r="112257" customFormat="1" x14ac:dyDescent="0.25"/>
    <row r="112258" customFormat="1" x14ac:dyDescent="0.25"/>
    <row r="112259" customFormat="1" x14ac:dyDescent="0.25"/>
    <row r="112260" customFormat="1" x14ac:dyDescent="0.25"/>
    <row r="112261" customFormat="1" x14ac:dyDescent="0.25"/>
    <row r="112262" customFormat="1" x14ac:dyDescent="0.25"/>
    <row r="112263" customFormat="1" x14ac:dyDescent="0.25"/>
    <row r="112264" customFormat="1" x14ac:dyDescent="0.25"/>
    <row r="112265" customFormat="1" x14ac:dyDescent="0.25"/>
    <row r="112266" customFormat="1" x14ac:dyDescent="0.25"/>
    <row r="112267" customFormat="1" x14ac:dyDescent="0.25"/>
    <row r="112268" customFormat="1" x14ac:dyDescent="0.25"/>
    <row r="112269" customFormat="1" x14ac:dyDescent="0.25"/>
    <row r="112270" customFormat="1" x14ac:dyDescent="0.25"/>
    <row r="112271" customFormat="1" x14ac:dyDescent="0.25"/>
    <row r="112272" customFormat="1" x14ac:dyDescent="0.25"/>
    <row r="112273" customFormat="1" x14ac:dyDescent="0.25"/>
    <row r="112274" customFormat="1" x14ac:dyDescent="0.25"/>
    <row r="112275" customFormat="1" x14ac:dyDescent="0.25"/>
    <row r="112276" customFormat="1" x14ac:dyDescent="0.25"/>
    <row r="112277" customFormat="1" x14ac:dyDescent="0.25"/>
    <row r="112278" customFormat="1" x14ac:dyDescent="0.25"/>
    <row r="112279" customFormat="1" x14ac:dyDescent="0.25"/>
    <row r="112280" customFormat="1" x14ac:dyDescent="0.25"/>
    <row r="112281" customFormat="1" x14ac:dyDescent="0.25"/>
    <row r="112282" customFormat="1" x14ac:dyDescent="0.25"/>
    <row r="112283" customFormat="1" x14ac:dyDescent="0.25"/>
    <row r="112284" customFormat="1" x14ac:dyDescent="0.25"/>
    <row r="112285" customFormat="1" x14ac:dyDescent="0.25"/>
    <row r="112286" customFormat="1" x14ac:dyDescent="0.25"/>
    <row r="112287" customFormat="1" x14ac:dyDescent="0.25"/>
    <row r="112288" customFormat="1" x14ac:dyDescent="0.25"/>
    <row r="112289" customFormat="1" x14ac:dyDescent="0.25"/>
    <row r="112290" customFormat="1" x14ac:dyDescent="0.25"/>
    <row r="112291" customFormat="1" x14ac:dyDescent="0.25"/>
    <row r="112292" customFormat="1" x14ac:dyDescent="0.25"/>
    <row r="112293" customFormat="1" x14ac:dyDescent="0.25"/>
    <row r="112294" customFormat="1" x14ac:dyDescent="0.25"/>
    <row r="112295" customFormat="1" x14ac:dyDescent="0.25"/>
    <row r="112296" customFormat="1" x14ac:dyDescent="0.25"/>
    <row r="112297" customFormat="1" x14ac:dyDescent="0.25"/>
    <row r="112298" customFormat="1" x14ac:dyDescent="0.25"/>
    <row r="112299" customFormat="1" x14ac:dyDescent="0.25"/>
    <row r="112300" customFormat="1" x14ac:dyDescent="0.25"/>
    <row r="112301" customFormat="1" x14ac:dyDescent="0.25"/>
    <row r="112302" customFormat="1" x14ac:dyDescent="0.25"/>
    <row r="112303" customFormat="1" x14ac:dyDescent="0.25"/>
    <row r="112304" customFormat="1" x14ac:dyDescent="0.25"/>
    <row r="112305" customFormat="1" x14ac:dyDescent="0.25"/>
    <row r="112306" customFormat="1" x14ac:dyDescent="0.25"/>
    <row r="112307" customFormat="1" x14ac:dyDescent="0.25"/>
    <row r="112308" customFormat="1" x14ac:dyDescent="0.25"/>
    <row r="112309" customFormat="1" x14ac:dyDescent="0.25"/>
    <row r="112310" customFormat="1" x14ac:dyDescent="0.25"/>
    <row r="112311" customFormat="1" x14ac:dyDescent="0.25"/>
    <row r="112312" customFormat="1" x14ac:dyDescent="0.25"/>
    <row r="112313" customFormat="1" x14ac:dyDescent="0.25"/>
    <row r="112314" customFormat="1" x14ac:dyDescent="0.25"/>
    <row r="112315" customFormat="1" x14ac:dyDescent="0.25"/>
    <row r="112316" customFormat="1" x14ac:dyDescent="0.25"/>
    <row r="112317" customFormat="1" x14ac:dyDescent="0.25"/>
    <row r="112318" customFormat="1" x14ac:dyDescent="0.25"/>
    <row r="112319" customFormat="1" x14ac:dyDescent="0.25"/>
    <row r="112320" customFormat="1" x14ac:dyDescent="0.25"/>
    <row r="112321" customFormat="1" x14ac:dyDescent="0.25"/>
    <row r="112322" customFormat="1" x14ac:dyDescent="0.25"/>
    <row r="112323" customFormat="1" x14ac:dyDescent="0.25"/>
    <row r="112324" customFormat="1" x14ac:dyDescent="0.25"/>
    <row r="112325" customFormat="1" x14ac:dyDescent="0.25"/>
    <row r="112326" customFormat="1" x14ac:dyDescent="0.25"/>
    <row r="112327" customFormat="1" x14ac:dyDescent="0.25"/>
    <row r="112328" customFormat="1" x14ac:dyDescent="0.25"/>
    <row r="112329" customFormat="1" x14ac:dyDescent="0.25"/>
    <row r="112330" customFormat="1" x14ac:dyDescent="0.25"/>
    <row r="112331" customFormat="1" x14ac:dyDescent="0.25"/>
    <row r="112332" customFormat="1" x14ac:dyDescent="0.25"/>
    <row r="112333" customFormat="1" x14ac:dyDescent="0.25"/>
    <row r="112334" customFormat="1" x14ac:dyDescent="0.25"/>
    <row r="112335" customFormat="1" x14ac:dyDescent="0.25"/>
    <row r="112336" customFormat="1" x14ac:dyDescent="0.25"/>
    <row r="112337" customFormat="1" x14ac:dyDescent="0.25"/>
    <row r="112338" customFormat="1" x14ac:dyDescent="0.25"/>
    <row r="112339" customFormat="1" x14ac:dyDescent="0.25"/>
    <row r="112340" customFormat="1" x14ac:dyDescent="0.25"/>
    <row r="112341" customFormat="1" x14ac:dyDescent="0.25"/>
    <row r="112342" customFormat="1" x14ac:dyDescent="0.25"/>
    <row r="112343" customFormat="1" x14ac:dyDescent="0.25"/>
    <row r="112344" customFormat="1" x14ac:dyDescent="0.25"/>
    <row r="112345" customFormat="1" x14ac:dyDescent="0.25"/>
    <row r="112346" customFormat="1" x14ac:dyDescent="0.25"/>
    <row r="112347" customFormat="1" x14ac:dyDescent="0.25"/>
    <row r="112348" customFormat="1" x14ac:dyDescent="0.25"/>
    <row r="112349" customFormat="1" x14ac:dyDescent="0.25"/>
    <row r="112350" customFormat="1" x14ac:dyDescent="0.25"/>
    <row r="112351" customFormat="1" x14ac:dyDescent="0.25"/>
    <row r="112352" customFormat="1" x14ac:dyDescent="0.25"/>
    <row r="112353" customFormat="1" x14ac:dyDescent="0.25"/>
    <row r="112354" customFormat="1" x14ac:dyDescent="0.25"/>
    <row r="112355" customFormat="1" x14ac:dyDescent="0.25"/>
    <row r="112356" customFormat="1" x14ac:dyDescent="0.25"/>
    <row r="112357" customFormat="1" x14ac:dyDescent="0.25"/>
    <row r="112358" customFormat="1" x14ac:dyDescent="0.25"/>
    <row r="112359" customFormat="1" x14ac:dyDescent="0.25"/>
    <row r="112360" customFormat="1" x14ac:dyDescent="0.25"/>
    <row r="112361" customFormat="1" x14ac:dyDescent="0.25"/>
    <row r="112362" customFormat="1" x14ac:dyDescent="0.25"/>
    <row r="112363" customFormat="1" x14ac:dyDescent="0.25"/>
    <row r="112364" customFormat="1" x14ac:dyDescent="0.25"/>
    <row r="112365" customFormat="1" x14ac:dyDescent="0.25"/>
    <row r="112366" customFormat="1" x14ac:dyDescent="0.25"/>
    <row r="112367" customFormat="1" x14ac:dyDescent="0.25"/>
    <row r="112368" customFormat="1" x14ac:dyDescent="0.25"/>
    <row r="112369" customFormat="1" x14ac:dyDescent="0.25"/>
    <row r="112370" customFormat="1" x14ac:dyDescent="0.25"/>
    <row r="112371" customFormat="1" x14ac:dyDescent="0.25"/>
    <row r="112372" customFormat="1" x14ac:dyDescent="0.25"/>
    <row r="112373" customFormat="1" x14ac:dyDescent="0.25"/>
    <row r="112374" customFormat="1" x14ac:dyDescent="0.25"/>
    <row r="112375" customFormat="1" x14ac:dyDescent="0.25"/>
    <row r="112376" customFormat="1" x14ac:dyDescent="0.25"/>
    <row r="112377" customFormat="1" x14ac:dyDescent="0.25"/>
    <row r="112378" customFormat="1" x14ac:dyDescent="0.25"/>
    <row r="112379" customFormat="1" x14ac:dyDescent="0.25"/>
    <row r="112380" customFormat="1" x14ac:dyDescent="0.25"/>
    <row r="112381" customFormat="1" x14ac:dyDescent="0.25"/>
    <row r="112382" customFormat="1" x14ac:dyDescent="0.25"/>
    <row r="112383" customFormat="1" x14ac:dyDescent="0.25"/>
    <row r="112384" customFormat="1" x14ac:dyDescent="0.25"/>
    <row r="112385" customFormat="1" x14ac:dyDescent="0.25"/>
    <row r="112386" customFormat="1" x14ac:dyDescent="0.25"/>
    <row r="112387" customFormat="1" x14ac:dyDescent="0.25"/>
    <row r="112388" customFormat="1" x14ac:dyDescent="0.25"/>
    <row r="112389" customFormat="1" x14ac:dyDescent="0.25"/>
    <row r="112390" customFormat="1" x14ac:dyDescent="0.25"/>
    <row r="112391" customFormat="1" x14ac:dyDescent="0.25"/>
    <row r="112392" customFormat="1" x14ac:dyDescent="0.25"/>
    <row r="112393" customFormat="1" x14ac:dyDescent="0.25"/>
    <row r="112394" customFormat="1" x14ac:dyDescent="0.25"/>
    <row r="112395" customFormat="1" x14ac:dyDescent="0.25"/>
    <row r="112396" customFormat="1" x14ac:dyDescent="0.25"/>
    <row r="112397" customFormat="1" x14ac:dyDescent="0.25"/>
    <row r="112398" customFormat="1" x14ac:dyDescent="0.25"/>
    <row r="112399" customFormat="1" x14ac:dyDescent="0.25"/>
    <row r="112400" customFormat="1" x14ac:dyDescent="0.25"/>
    <row r="112401" customFormat="1" x14ac:dyDescent="0.25"/>
    <row r="112402" customFormat="1" x14ac:dyDescent="0.25"/>
    <row r="112403" customFormat="1" x14ac:dyDescent="0.25"/>
    <row r="112404" customFormat="1" x14ac:dyDescent="0.25"/>
    <row r="112405" customFormat="1" x14ac:dyDescent="0.25"/>
    <row r="112406" customFormat="1" x14ac:dyDescent="0.25"/>
    <row r="112407" customFormat="1" x14ac:dyDescent="0.25"/>
    <row r="112408" customFormat="1" x14ac:dyDescent="0.25"/>
    <row r="112409" customFormat="1" x14ac:dyDescent="0.25"/>
    <row r="112410" customFormat="1" x14ac:dyDescent="0.25"/>
    <row r="112411" customFormat="1" x14ac:dyDescent="0.25"/>
    <row r="112412" customFormat="1" x14ac:dyDescent="0.25"/>
    <row r="112413" customFormat="1" x14ac:dyDescent="0.25"/>
    <row r="112414" customFormat="1" x14ac:dyDescent="0.25"/>
    <row r="112415" customFormat="1" x14ac:dyDescent="0.25"/>
    <row r="112416" customFormat="1" x14ac:dyDescent="0.25"/>
    <row r="112417" customFormat="1" x14ac:dyDescent="0.25"/>
    <row r="112418" customFormat="1" x14ac:dyDescent="0.25"/>
    <row r="112419" customFormat="1" x14ac:dyDescent="0.25"/>
    <row r="112420" customFormat="1" x14ac:dyDescent="0.25"/>
    <row r="112421" customFormat="1" x14ac:dyDescent="0.25"/>
    <row r="112422" customFormat="1" x14ac:dyDescent="0.25"/>
    <row r="112423" customFormat="1" x14ac:dyDescent="0.25"/>
    <row r="112424" customFormat="1" x14ac:dyDescent="0.25"/>
    <row r="112425" customFormat="1" x14ac:dyDescent="0.25"/>
    <row r="112426" customFormat="1" x14ac:dyDescent="0.25"/>
    <row r="112427" customFormat="1" x14ac:dyDescent="0.25"/>
    <row r="112428" customFormat="1" x14ac:dyDescent="0.25"/>
    <row r="112429" customFormat="1" x14ac:dyDescent="0.25"/>
    <row r="112430" customFormat="1" x14ac:dyDescent="0.25"/>
    <row r="112431" customFormat="1" x14ac:dyDescent="0.25"/>
    <row r="112432" customFormat="1" x14ac:dyDescent="0.25"/>
    <row r="112433" customFormat="1" x14ac:dyDescent="0.25"/>
    <row r="112434" customFormat="1" x14ac:dyDescent="0.25"/>
    <row r="112435" customFormat="1" x14ac:dyDescent="0.25"/>
    <row r="112436" customFormat="1" x14ac:dyDescent="0.25"/>
    <row r="112437" customFormat="1" x14ac:dyDescent="0.25"/>
    <row r="112438" customFormat="1" x14ac:dyDescent="0.25"/>
    <row r="112439" customFormat="1" x14ac:dyDescent="0.25"/>
    <row r="112440" customFormat="1" x14ac:dyDescent="0.25"/>
    <row r="112441" customFormat="1" x14ac:dyDescent="0.25"/>
    <row r="112442" customFormat="1" x14ac:dyDescent="0.25"/>
    <row r="112443" customFormat="1" x14ac:dyDescent="0.25"/>
    <row r="112444" customFormat="1" x14ac:dyDescent="0.25"/>
    <row r="112445" customFormat="1" x14ac:dyDescent="0.25"/>
    <row r="112446" customFormat="1" x14ac:dyDescent="0.25"/>
    <row r="112447" customFormat="1" x14ac:dyDescent="0.25"/>
    <row r="112448" customFormat="1" x14ac:dyDescent="0.25"/>
    <row r="112449" customFormat="1" x14ac:dyDescent="0.25"/>
    <row r="112450" customFormat="1" x14ac:dyDescent="0.25"/>
    <row r="112451" customFormat="1" x14ac:dyDescent="0.25"/>
    <row r="112452" customFormat="1" x14ac:dyDescent="0.25"/>
    <row r="112453" customFormat="1" x14ac:dyDescent="0.25"/>
    <row r="112454" customFormat="1" x14ac:dyDescent="0.25"/>
    <row r="112455" customFormat="1" x14ac:dyDescent="0.25"/>
    <row r="112456" customFormat="1" x14ac:dyDescent="0.25"/>
    <row r="112457" customFormat="1" x14ac:dyDescent="0.25"/>
    <row r="112458" customFormat="1" x14ac:dyDescent="0.25"/>
    <row r="112459" customFormat="1" x14ac:dyDescent="0.25"/>
    <row r="112460" customFormat="1" x14ac:dyDescent="0.25"/>
    <row r="112461" customFormat="1" x14ac:dyDescent="0.25"/>
    <row r="112462" customFormat="1" x14ac:dyDescent="0.25"/>
    <row r="112463" customFormat="1" x14ac:dyDescent="0.25"/>
    <row r="112464" customFormat="1" x14ac:dyDescent="0.25"/>
    <row r="112465" customFormat="1" x14ac:dyDescent="0.25"/>
    <row r="112466" customFormat="1" x14ac:dyDescent="0.25"/>
    <row r="112467" customFormat="1" x14ac:dyDescent="0.25"/>
    <row r="112468" customFormat="1" x14ac:dyDescent="0.25"/>
    <row r="112469" customFormat="1" x14ac:dyDescent="0.25"/>
    <row r="112470" customFormat="1" x14ac:dyDescent="0.25"/>
    <row r="112471" customFormat="1" x14ac:dyDescent="0.25"/>
    <row r="112472" customFormat="1" x14ac:dyDescent="0.25"/>
    <row r="112473" customFormat="1" x14ac:dyDescent="0.25"/>
    <row r="112474" customFormat="1" x14ac:dyDescent="0.25"/>
    <row r="112475" customFormat="1" x14ac:dyDescent="0.25"/>
    <row r="112476" customFormat="1" x14ac:dyDescent="0.25"/>
    <row r="112477" customFormat="1" x14ac:dyDescent="0.25"/>
    <row r="112478" customFormat="1" x14ac:dyDescent="0.25"/>
    <row r="112479" customFormat="1" x14ac:dyDescent="0.25"/>
    <row r="112480" customFormat="1" x14ac:dyDescent="0.25"/>
    <row r="112481" customFormat="1" x14ac:dyDescent="0.25"/>
    <row r="112482" customFormat="1" x14ac:dyDescent="0.25"/>
    <row r="112483" customFormat="1" x14ac:dyDescent="0.25"/>
    <row r="112484" customFormat="1" x14ac:dyDescent="0.25"/>
    <row r="112485" customFormat="1" x14ac:dyDescent="0.25"/>
    <row r="112486" customFormat="1" x14ac:dyDescent="0.25"/>
    <row r="112487" customFormat="1" x14ac:dyDescent="0.25"/>
    <row r="112488" customFormat="1" x14ac:dyDescent="0.25"/>
    <row r="112489" customFormat="1" x14ac:dyDescent="0.25"/>
    <row r="112490" customFormat="1" x14ac:dyDescent="0.25"/>
    <row r="112491" customFormat="1" x14ac:dyDescent="0.25"/>
    <row r="112492" customFormat="1" x14ac:dyDescent="0.25"/>
    <row r="112493" customFormat="1" x14ac:dyDescent="0.25"/>
    <row r="112494" customFormat="1" x14ac:dyDescent="0.25"/>
    <row r="112495" customFormat="1" x14ac:dyDescent="0.25"/>
    <row r="112496" customFormat="1" x14ac:dyDescent="0.25"/>
    <row r="112497" customFormat="1" x14ac:dyDescent="0.25"/>
    <row r="112498" customFormat="1" x14ac:dyDescent="0.25"/>
    <row r="112499" customFormat="1" x14ac:dyDescent="0.25"/>
    <row r="112500" customFormat="1" x14ac:dyDescent="0.25"/>
    <row r="112501" customFormat="1" x14ac:dyDescent="0.25"/>
    <row r="112502" customFormat="1" x14ac:dyDescent="0.25"/>
    <row r="112503" customFormat="1" x14ac:dyDescent="0.25"/>
    <row r="112504" customFormat="1" x14ac:dyDescent="0.25"/>
    <row r="112505" customFormat="1" x14ac:dyDescent="0.25"/>
    <row r="112506" customFormat="1" x14ac:dyDescent="0.25"/>
    <row r="112507" customFormat="1" x14ac:dyDescent="0.25"/>
    <row r="112508" customFormat="1" x14ac:dyDescent="0.25"/>
    <row r="112509" customFormat="1" x14ac:dyDescent="0.25"/>
    <row r="112510" customFormat="1" x14ac:dyDescent="0.25"/>
    <row r="112511" customFormat="1" x14ac:dyDescent="0.25"/>
    <row r="112512" customFormat="1" x14ac:dyDescent="0.25"/>
    <row r="112513" customFormat="1" x14ac:dyDescent="0.25"/>
    <row r="112514" customFormat="1" x14ac:dyDescent="0.25"/>
    <row r="112515" customFormat="1" x14ac:dyDescent="0.25"/>
    <row r="112516" customFormat="1" x14ac:dyDescent="0.25"/>
    <row r="112517" customFormat="1" x14ac:dyDescent="0.25"/>
    <row r="112518" customFormat="1" x14ac:dyDescent="0.25"/>
    <row r="112519" customFormat="1" x14ac:dyDescent="0.25"/>
    <row r="112520" customFormat="1" x14ac:dyDescent="0.25"/>
    <row r="112521" customFormat="1" x14ac:dyDescent="0.25"/>
    <row r="112522" customFormat="1" x14ac:dyDescent="0.25"/>
    <row r="112523" customFormat="1" x14ac:dyDescent="0.25"/>
    <row r="112524" customFormat="1" x14ac:dyDescent="0.25"/>
    <row r="112525" customFormat="1" x14ac:dyDescent="0.25"/>
    <row r="112526" customFormat="1" x14ac:dyDescent="0.25"/>
    <row r="112527" customFormat="1" x14ac:dyDescent="0.25"/>
    <row r="112528" customFormat="1" x14ac:dyDescent="0.25"/>
    <row r="112529" customFormat="1" x14ac:dyDescent="0.25"/>
    <row r="112530" customFormat="1" x14ac:dyDescent="0.25"/>
    <row r="112531" customFormat="1" x14ac:dyDescent="0.25"/>
    <row r="112532" customFormat="1" x14ac:dyDescent="0.25"/>
    <row r="112533" customFormat="1" x14ac:dyDescent="0.25"/>
    <row r="112534" customFormat="1" x14ac:dyDescent="0.25"/>
    <row r="112535" customFormat="1" x14ac:dyDescent="0.25"/>
    <row r="112536" customFormat="1" x14ac:dyDescent="0.25"/>
    <row r="112537" customFormat="1" x14ac:dyDescent="0.25"/>
    <row r="112538" customFormat="1" x14ac:dyDescent="0.25"/>
    <row r="112539" customFormat="1" x14ac:dyDescent="0.25"/>
    <row r="112540" customFormat="1" x14ac:dyDescent="0.25"/>
    <row r="112541" customFormat="1" x14ac:dyDescent="0.25"/>
    <row r="112542" customFormat="1" x14ac:dyDescent="0.25"/>
    <row r="112543" customFormat="1" x14ac:dyDescent="0.25"/>
    <row r="112544" customFormat="1" x14ac:dyDescent="0.25"/>
    <row r="112545" customFormat="1" x14ac:dyDescent="0.25"/>
    <row r="112546" customFormat="1" x14ac:dyDescent="0.25"/>
    <row r="112547" customFormat="1" x14ac:dyDescent="0.25"/>
    <row r="112548" customFormat="1" x14ac:dyDescent="0.25"/>
    <row r="112549" customFormat="1" x14ac:dyDescent="0.25"/>
    <row r="112550" customFormat="1" x14ac:dyDescent="0.25"/>
    <row r="112551" customFormat="1" x14ac:dyDescent="0.25"/>
    <row r="112552" customFormat="1" x14ac:dyDescent="0.25"/>
    <row r="112553" customFormat="1" x14ac:dyDescent="0.25"/>
    <row r="112554" customFormat="1" x14ac:dyDescent="0.25"/>
    <row r="112555" customFormat="1" x14ac:dyDescent="0.25"/>
    <row r="112556" customFormat="1" x14ac:dyDescent="0.25"/>
    <row r="112557" customFormat="1" x14ac:dyDescent="0.25"/>
    <row r="112558" customFormat="1" x14ac:dyDescent="0.25"/>
    <row r="112559" customFormat="1" x14ac:dyDescent="0.25"/>
    <row r="112560" customFormat="1" x14ac:dyDescent="0.25"/>
    <row r="112561" customFormat="1" x14ac:dyDescent="0.25"/>
    <row r="112562" customFormat="1" x14ac:dyDescent="0.25"/>
    <row r="112563" customFormat="1" x14ac:dyDescent="0.25"/>
    <row r="112564" customFormat="1" x14ac:dyDescent="0.25"/>
    <row r="112565" customFormat="1" x14ac:dyDescent="0.25"/>
    <row r="112566" customFormat="1" x14ac:dyDescent="0.25"/>
    <row r="112567" customFormat="1" x14ac:dyDescent="0.25"/>
    <row r="112568" customFormat="1" x14ac:dyDescent="0.25"/>
    <row r="112569" customFormat="1" x14ac:dyDescent="0.25"/>
    <row r="112570" customFormat="1" x14ac:dyDescent="0.25"/>
    <row r="112571" customFormat="1" x14ac:dyDescent="0.25"/>
    <row r="112572" customFormat="1" x14ac:dyDescent="0.25"/>
    <row r="112573" customFormat="1" x14ac:dyDescent="0.25"/>
    <row r="112574" customFormat="1" x14ac:dyDescent="0.25"/>
    <row r="112575" customFormat="1" x14ac:dyDescent="0.25"/>
    <row r="112576" customFormat="1" x14ac:dyDescent="0.25"/>
    <row r="112577" customFormat="1" x14ac:dyDescent="0.25"/>
    <row r="112578" customFormat="1" x14ac:dyDescent="0.25"/>
    <row r="112579" customFormat="1" x14ac:dyDescent="0.25"/>
    <row r="112580" customFormat="1" x14ac:dyDescent="0.25"/>
    <row r="112581" customFormat="1" x14ac:dyDescent="0.25"/>
    <row r="112582" customFormat="1" x14ac:dyDescent="0.25"/>
    <row r="112583" customFormat="1" x14ac:dyDescent="0.25"/>
    <row r="112584" customFormat="1" x14ac:dyDescent="0.25"/>
    <row r="112585" customFormat="1" x14ac:dyDescent="0.25"/>
    <row r="112586" customFormat="1" x14ac:dyDescent="0.25"/>
    <row r="112587" customFormat="1" x14ac:dyDescent="0.25"/>
    <row r="112588" customFormat="1" x14ac:dyDescent="0.25"/>
    <row r="112589" customFormat="1" x14ac:dyDescent="0.25"/>
    <row r="112590" customFormat="1" x14ac:dyDescent="0.25"/>
    <row r="112591" customFormat="1" x14ac:dyDescent="0.25"/>
    <row r="112592" customFormat="1" x14ac:dyDescent="0.25"/>
    <row r="112593" customFormat="1" x14ac:dyDescent="0.25"/>
    <row r="112594" customFormat="1" x14ac:dyDescent="0.25"/>
    <row r="112595" customFormat="1" x14ac:dyDescent="0.25"/>
    <row r="112596" customFormat="1" x14ac:dyDescent="0.25"/>
    <row r="112597" customFormat="1" x14ac:dyDescent="0.25"/>
    <row r="112598" customFormat="1" x14ac:dyDescent="0.25"/>
    <row r="112599" customFormat="1" x14ac:dyDescent="0.25"/>
    <row r="112600" customFormat="1" x14ac:dyDescent="0.25"/>
    <row r="112601" customFormat="1" x14ac:dyDescent="0.25"/>
    <row r="112602" customFormat="1" x14ac:dyDescent="0.25"/>
    <row r="112603" customFormat="1" x14ac:dyDescent="0.25"/>
    <row r="112604" customFormat="1" x14ac:dyDescent="0.25"/>
    <row r="112605" customFormat="1" x14ac:dyDescent="0.25"/>
    <row r="112606" customFormat="1" x14ac:dyDescent="0.25"/>
    <row r="112607" customFormat="1" x14ac:dyDescent="0.25"/>
    <row r="112608" customFormat="1" x14ac:dyDescent="0.25"/>
    <row r="112609" customFormat="1" x14ac:dyDescent="0.25"/>
    <row r="112610" customFormat="1" x14ac:dyDescent="0.25"/>
    <row r="112611" customFormat="1" x14ac:dyDescent="0.25"/>
    <row r="112612" customFormat="1" x14ac:dyDescent="0.25"/>
    <row r="112613" customFormat="1" x14ac:dyDescent="0.25"/>
    <row r="112614" customFormat="1" x14ac:dyDescent="0.25"/>
    <row r="112615" customFormat="1" x14ac:dyDescent="0.25"/>
    <row r="112616" customFormat="1" x14ac:dyDescent="0.25"/>
    <row r="112617" customFormat="1" x14ac:dyDescent="0.25"/>
    <row r="112618" customFormat="1" x14ac:dyDescent="0.25"/>
    <row r="112619" customFormat="1" x14ac:dyDescent="0.25"/>
    <row r="112620" customFormat="1" x14ac:dyDescent="0.25"/>
    <row r="112621" customFormat="1" x14ac:dyDescent="0.25"/>
    <row r="112622" customFormat="1" x14ac:dyDescent="0.25"/>
    <row r="112623" customFormat="1" x14ac:dyDescent="0.25"/>
    <row r="112624" customFormat="1" x14ac:dyDescent="0.25"/>
    <row r="112625" customFormat="1" x14ac:dyDescent="0.25"/>
    <row r="112626" customFormat="1" x14ac:dyDescent="0.25"/>
    <row r="112627" customFormat="1" x14ac:dyDescent="0.25"/>
    <row r="112628" customFormat="1" x14ac:dyDescent="0.25"/>
    <row r="112629" customFormat="1" x14ac:dyDescent="0.25"/>
    <row r="112630" customFormat="1" x14ac:dyDescent="0.25"/>
    <row r="112631" customFormat="1" x14ac:dyDescent="0.25"/>
    <row r="112632" customFormat="1" x14ac:dyDescent="0.25"/>
    <row r="112633" customFormat="1" x14ac:dyDescent="0.25"/>
    <row r="112634" customFormat="1" x14ac:dyDescent="0.25"/>
    <row r="112635" customFormat="1" x14ac:dyDescent="0.25"/>
    <row r="112636" customFormat="1" x14ac:dyDescent="0.25"/>
    <row r="112637" customFormat="1" x14ac:dyDescent="0.25"/>
    <row r="112638" customFormat="1" x14ac:dyDescent="0.25"/>
    <row r="112639" customFormat="1" x14ac:dyDescent="0.25"/>
    <row r="112640" customFormat="1" x14ac:dyDescent="0.25"/>
    <row r="112641" customFormat="1" x14ac:dyDescent="0.25"/>
    <row r="112642" customFormat="1" x14ac:dyDescent="0.25"/>
    <row r="112643" customFormat="1" x14ac:dyDescent="0.25"/>
    <row r="112644" customFormat="1" x14ac:dyDescent="0.25"/>
    <row r="112645" customFormat="1" x14ac:dyDescent="0.25"/>
    <row r="112646" customFormat="1" x14ac:dyDescent="0.25"/>
    <row r="112647" customFormat="1" x14ac:dyDescent="0.25"/>
    <row r="112648" customFormat="1" x14ac:dyDescent="0.25"/>
    <row r="112649" customFormat="1" x14ac:dyDescent="0.25"/>
    <row r="112650" customFormat="1" x14ac:dyDescent="0.25"/>
    <row r="112651" customFormat="1" x14ac:dyDescent="0.25"/>
    <row r="112652" customFormat="1" x14ac:dyDescent="0.25"/>
    <row r="112653" customFormat="1" x14ac:dyDescent="0.25"/>
    <row r="112654" customFormat="1" x14ac:dyDescent="0.25"/>
    <row r="112655" customFormat="1" x14ac:dyDescent="0.25"/>
    <row r="112656" customFormat="1" x14ac:dyDescent="0.25"/>
    <row r="112657" customFormat="1" x14ac:dyDescent="0.25"/>
    <row r="112658" customFormat="1" x14ac:dyDescent="0.25"/>
    <row r="112659" customFormat="1" x14ac:dyDescent="0.25"/>
    <row r="112660" customFormat="1" x14ac:dyDescent="0.25"/>
    <row r="112661" customFormat="1" x14ac:dyDescent="0.25"/>
    <row r="112662" customFormat="1" x14ac:dyDescent="0.25"/>
    <row r="112663" customFormat="1" x14ac:dyDescent="0.25"/>
    <row r="112664" customFormat="1" x14ac:dyDescent="0.25"/>
    <row r="112665" customFormat="1" x14ac:dyDescent="0.25"/>
    <row r="112666" customFormat="1" x14ac:dyDescent="0.25"/>
    <row r="112667" customFormat="1" x14ac:dyDescent="0.25"/>
    <row r="112668" customFormat="1" x14ac:dyDescent="0.25"/>
    <row r="112669" customFormat="1" x14ac:dyDescent="0.25"/>
    <row r="112670" customFormat="1" x14ac:dyDescent="0.25"/>
    <row r="112671" customFormat="1" x14ac:dyDescent="0.25"/>
    <row r="112672" customFormat="1" x14ac:dyDescent="0.25"/>
    <row r="112673" customFormat="1" x14ac:dyDescent="0.25"/>
    <row r="112674" customFormat="1" x14ac:dyDescent="0.25"/>
    <row r="112675" customFormat="1" x14ac:dyDescent="0.25"/>
    <row r="112676" customFormat="1" x14ac:dyDescent="0.25"/>
    <row r="112677" customFormat="1" x14ac:dyDescent="0.25"/>
    <row r="112678" customFormat="1" x14ac:dyDescent="0.25"/>
    <row r="112679" customFormat="1" x14ac:dyDescent="0.25"/>
    <row r="112680" customFormat="1" x14ac:dyDescent="0.25"/>
    <row r="112681" customFormat="1" x14ac:dyDescent="0.25"/>
    <row r="112682" customFormat="1" x14ac:dyDescent="0.25"/>
    <row r="112683" customFormat="1" x14ac:dyDescent="0.25"/>
    <row r="112684" customFormat="1" x14ac:dyDescent="0.25"/>
    <row r="112685" customFormat="1" x14ac:dyDescent="0.25"/>
    <row r="112686" customFormat="1" x14ac:dyDescent="0.25"/>
    <row r="112687" customFormat="1" x14ac:dyDescent="0.25"/>
    <row r="112688" customFormat="1" x14ac:dyDescent="0.25"/>
    <row r="112689" customFormat="1" x14ac:dyDescent="0.25"/>
    <row r="112690" customFormat="1" x14ac:dyDescent="0.25"/>
    <row r="112691" customFormat="1" x14ac:dyDescent="0.25"/>
    <row r="112692" customFormat="1" x14ac:dyDescent="0.25"/>
    <row r="112693" customFormat="1" x14ac:dyDescent="0.25"/>
    <row r="112694" customFormat="1" x14ac:dyDescent="0.25"/>
    <row r="112695" customFormat="1" x14ac:dyDescent="0.25"/>
    <row r="112696" customFormat="1" x14ac:dyDescent="0.25"/>
    <row r="112697" customFormat="1" x14ac:dyDescent="0.25"/>
    <row r="112698" customFormat="1" x14ac:dyDescent="0.25"/>
    <row r="112699" customFormat="1" x14ac:dyDescent="0.25"/>
    <row r="112700" customFormat="1" x14ac:dyDescent="0.25"/>
    <row r="112701" customFormat="1" x14ac:dyDescent="0.25"/>
    <row r="112702" customFormat="1" x14ac:dyDescent="0.25"/>
    <row r="112703" customFormat="1" x14ac:dyDescent="0.25"/>
    <row r="112704" customFormat="1" x14ac:dyDescent="0.25"/>
    <row r="112705" customFormat="1" x14ac:dyDescent="0.25"/>
    <row r="112706" customFormat="1" x14ac:dyDescent="0.25"/>
    <row r="112707" customFormat="1" x14ac:dyDescent="0.25"/>
    <row r="112708" customFormat="1" x14ac:dyDescent="0.25"/>
    <row r="112709" customFormat="1" x14ac:dyDescent="0.25"/>
    <row r="112710" customFormat="1" x14ac:dyDescent="0.25"/>
    <row r="112711" customFormat="1" x14ac:dyDescent="0.25"/>
    <row r="112712" customFormat="1" x14ac:dyDescent="0.25"/>
    <row r="112713" customFormat="1" x14ac:dyDescent="0.25"/>
    <row r="112714" customFormat="1" x14ac:dyDescent="0.25"/>
    <row r="112715" customFormat="1" x14ac:dyDescent="0.25"/>
    <row r="112716" customFormat="1" x14ac:dyDescent="0.25"/>
    <row r="112717" customFormat="1" x14ac:dyDescent="0.25"/>
    <row r="112718" customFormat="1" x14ac:dyDescent="0.25"/>
    <row r="112719" customFormat="1" x14ac:dyDescent="0.25"/>
    <row r="112720" customFormat="1" x14ac:dyDescent="0.25"/>
    <row r="112721" customFormat="1" x14ac:dyDescent="0.25"/>
    <row r="112722" customFormat="1" x14ac:dyDescent="0.25"/>
    <row r="112723" customFormat="1" x14ac:dyDescent="0.25"/>
    <row r="112724" customFormat="1" x14ac:dyDescent="0.25"/>
    <row r="112725" customFormat="1" x14ac:dyDescent="0.25"/>
    <row r="112726" customFormat="1" x14ac:dyDescent="0.25"/>
    <row r="112727" customFormat="1" x14ac:dyDescent="0.25"/>
    <row r="112728" customFormat="1" x14ac:dyDescent="0.25"/>
    <row r="112729" customFormat="1" x14ac:dyDescent="0.25"/>
    <row r="112730" customFormat="1" x14ac:dyDescent="0.25"/>
    <row r="112731" customFormat="1" x14ac:dyDescent="0.25"/>
    <row r="112732" customFormat="1" x14ac:dyDescent="0.25"/>
    <row r="112733" customFormat="1" x14ac:dyDescent="0.25"/>
    <row r="112734" customFormat="1" x14ac:dyDescent="0.25"/>
    <row r="112735" customFormat="1" x14ac:dyDescent="0.25"/>
    <row r="112736" customFormat="1" x14ac:dyDescent="0.25"/>
    <row r="112737" customFormat="1" x14ac:dyDescent="0.25"/>
    <row r="112738" customFormat="1" x14ac:dyDescent="0.25"/>
    <row r="112739" customFormat="1" x14ac:dyDescent="0.25"/>
    <row r="112740" customFormat="1" x14ac:dyDescent="0.25"/>
    <row r="112741" customFormat="1" x14ac:dyDescent="0.25"/>
    <row r="112742" customFormat="1" x14ac:dyDescent="0.25"/>
    <row r="112743" customFormat="1" x14ac:dyDescent="0.25"/>
    <row r="112744" customFormat="1" x14ac:dyDescent="0.25"/>
    <row r="112745" customFormat="1" x14ac:dyDescent="0.25"/>
    <row r="112746" customFormat="1" x14ac:dyDescent="0.25"/>
    <row r="112747" customFormat="1" x14ac:dyDescent="0.25"/>
    <row r="112748" customFormat="1" x14ac:dyDescent="0.25"/>
    <row r="112749" customFormat="1" x14ac:dyDescent="0.25"/>
    <row r="112750" customFormat="1" x14ac:dyDescent="0.25"/>
    <row r="112751" customFormat="1" x14ac:dyDescent="0.25"/>
    <row r="112752" customFormat="1" x14ac:dyDescent="0.25"/>
    <row r="112753" customFormat="1" x14ac:dyDescent="0.25"/>
    <row r="112754" customFormat="1" x14ac:dyDescent="0.25"/>
    <row r="112755" customFormat="1" x14ac:dyDescent="0.25"/>
    <row r="112756" customFormat="1" x14ac:dyDescent="0.25"/>
    <row r="112757" customFormat="1" x14ac:dyDescent="0.25"/>
    <row r="112758" customFormat="1" x14ac:dyDescent="0.25"/>
    <row r="112759" customFormat="1" x14ac:dyDescent="0.25"/>
    <row r="112760" customFormat="1" x14ac:dyDescent="0.25"/>
    <row r="112761" customFormat="1" x14ac:dyDescent="0.25"/>
    <row r="112762" customFormat="1" x14ac:dyDescent="0.25"/>
    <row r="112763" customFormat="1" x14ac:dyDescent="0.25"/>
    <row r="112764" customFormat="1" x14ac:dyDescent="0.25"/>
    <row r="112765" customFormat="1" x14ac:dyDescent="0.25"/>
    <row r="112766" customFormat="1" x14ac:dyDescent="0.25"/>
    <row r="112767" customFormat="1" x14ac:dyDescent="0.25"/>
    <row r="112768" customFormat="1" x14ac:dyDescent="0.25"/>
    <row r="112769" customFormat="1" x14ac:dyDescent="0.25"/>
    <row r="112770" customFormat="1" x14ac:dyDescent="0.25"/>
    <row r="112771" customFormat="1" x14ac:dyDescent="0.25"/>
    <row r="112772" customFormat="1" x14ac:dyDescent="0.25"/>
    <row r="112773" customFormat="1" x14ac:dyDescent="0.25"/>
    <row r="112774" customFormat="1" x14ac:dyDescent="0.25"/>
    <row r="112775" customFormat="1" x14ac:dyDescent="0.25"/>
    <row r="112776" customFormat="1" x14ac:dyDescent="0.25"/>
    <row r="112777" customFormat="1" x14ac:dyDescent="0.25"/>
    <row r="112778" customFormat="1" x14ac:dyDescent="0.25"/>
    <row r="112779" customFormat="1" x14ac:dyDescent="0.25"/>
    <row r="112780" customFormat="1" x14ac:dyDescent="0.25"/>
    <row r="112781" customFormat="1" x14ac:dyDescent="0.25"/>
    <row r="112782" customFormat="1" x14ac:dyDescent="0.25"/>
    <row r="112783" customFormat="1" x14ac:dyDescent="0.25"/>
    <row r="112784" customFormat="1" x14ac:dyDescent="0.25"/>
    <row r="112785" customFormat="1" x14ac:dyDescent="0.25"/>
    <row r="112786" customFormat="1" x14ac:dyDescent="0.25"/>
    <row r="112787" customFormat="1" x14ac:dyDescent="0.25"/>
    <row r="112788" customFormat="1" x14ac:dyDescent="0.25"/>
    <row r="112789" customFormat="1" x14ac:dyDescent="0.25"/>
    <row r="112790" customFormat="1" x14ac:dyDescent="0.25"/>
    <row r="112791" customFormat="1" x14ac:dyDescent="0.25"/>
    <row r="112792" customFormat="1" x14ac:dyDescent="0.25"/>
    <row r="112793" customFormat="1" x14ac:dyDescent="0.25"/>
    <row r="112794" customFormat="1" x14ac:dyDescent="0.25"/>
    <row r="112795" customFormat="1" x14ac:dyDescent="0.25"/>
    <row r="112796" customFormat="1" x14ac:dyDescent="0.25"/>
    <row r="112797" customFormat="1" x14ac:dyDescent="0.25"/>
    <row r="112798" customFormat="1" x14ac:dyDescent="0.25"/>
    <row r="112799" customFormat="1" x14ac:dyDescent="0.25"/>
    <row r="112800" customFormat="1" x14ac:dyDescent="0.25"/>
    <row r="112801" customFormat="1" x14ac:dyDescent="0.25"/>
    <row r="112802" customFormat="1" x14ac:dyDescent="0.25"/>
    <row r="112803" customFormat="1" x14ac:dyDescent="0.25"/>
    <row r="112804" customFormat="1" x14ac:dyDescent="0.25"/>
    <row r="112805" customFormat="1" x14ac:dyDescent="0.25"/>
    <row r="112806" customFormat="1" x14ac:dyDescent="0.25"/>
    <row r="112807" customFormat="1" x14ac:dyDescent="0.25"/>
    <row r="112808" customFormat="1" x14ac:dyDescent="0.25"/>
    <row r="112809" customFormat="1" x14ac:dyDescent="0.25"/>
    <row r="112810" customFormat="1" x14ac:dyDescent="0.25"/>
    <row r="112811" customFormat="1" x14ac:dyDescent="0.25"/>
    <row r="112812" customFormat="1" x14ac:dyDescent="0.25"/>
    <row r="112813" customFormat="1" x14ac:dyDescent="0.25"/>
    <row r="112814" customFormat="1" x14ac:dyDescent="0.25"/>
    <row r="112815" customFormat="1" x14ac:dyDescent="0.25"/>
    <row r="112816" customFormat="1" x14ac:dyDescent="0.25"/>
    <row r="112817" customFormat="1" x14ac:dyDescent="0.25"/>
    <row r="112818" customFormat="1" x14ac:dyDescent="0.25"/>
    <row r="112819" customFormat="1" x14ac:dyDescent="0.25"/>
    <row r="112820" customFormat="1" x14ac:dyDescent="0.25"/>
    <row r="112821" customFormat="1" x14ac:dyDescent="0.25"/>
    <row r="112822" customFormat="1" x14ac:dyDescent="0.25"/>
    <row r="112823" customFormat="1" x14ac:dyDescent="0.25"/>
    <row r="112824" customFormat="1" x14ac:dyDescent="0.25"/>
    <row r="112825" customFormat="1" x14ac:dyDescent="0.25"/>
    <row r="112826" customFormat="1" x14ac:dyDescent="0.25"/>
    <row r="112827" customFormat="1" x14ac:dyDescent="0.25"/>
    <row r="112828" customFormat="1" x14ac:dyDescent="0.25"/>
    <row r="112829" customFormat="1" x14ac:dyDescent="0.25"/>
    <row r="112830" customFormat="1" x14ac:dyDescent="0.25"/>
    <row r="112831" customFormat="1" x14ac:dyDescent="0.25"/>
    <row r="112832" customFormat="1" x14ac:dyDescent="0.25"/>
    <row r="112833" customFormat="1" x14ac:dyDescent="0.25"/>
    <row r="112834" customFormat="1" x14ac:dyDescent="0.25"/>
    <row r="112835" customFormat="1" x14ac:dyDescent="0.25"/>
    <row r="112836" customFormat="1" x14ac:dyDescent="0.25"/>
    <row r="112837" customFormat="1" x14ac:dyDescent="0.25"/>
    <row r="112838" customFormat="1" x14ac:dyDescent="0.25"/>
    <row r="112839" customFormat="1" x14ac:dyDescent="0.25"/>
    <row r="112840" customFormat="1" x14ac:dyDescent="0.25"/>
    <row r="112841" customFormat="1" x14ac:dyDescent="0.25"/>
    <row r="112842" customFormat="1" x14ac:dyDescent="0.25"/>
    <row r="112843" customFormat="1" x14ac:dyDescent="0.25"/>
    <row r="112844" customFormat="1" x14ac:dyDescent="0.25"/>
    <row r="112845" customFormat="1" x14ac:dyDescent="0.25"/>
    <row r="112846" customFormat="1" x14ac:dyDescent="0.25"/>
    <row r="112847" customFormat="1" x14ac:dyDescent="0.25"/>
    <row r="112848" customFormat="1" x14ac:dyDescent="0.25"/>
    <row r="112849" customFormat="1" x14ac:dyDescent="0.25"/>
    <row r="112850" customFormat="1" x14ac:dyDescent="0.25"/>
    <row r="112851" customFormat="1" x14ac:dyDescent="0.25"/>
    <row r="112852" customFormat="1" x14ac:dyDescent="0.25"/>
    <row r="112853" customFormat="1" x14ac:dyDescent="0.25"/>
    <row r="112854" customFormat="1" x14ac:dyDescent="0.25"/>
    <row r="112855" customFormat="1" x14ac:dyDescent="0.25"/>
    <row r="112856" customFormat="1" x14ac:dyDescent="0.25"/>
    <row r="112857" customFormat="1" x14ac:dyDescent="0.25"/>
    <row r="112858" customFormat="1" x14ac:dyDescent="0.25"/>
    <row r="112859" customFormat="1" x14ac:dyDescent="0.25"/>
    <row r="112860" customFormat="1" x14ac:dyDescent="0.25"/>
    <row r="112861" customFormat="1" x14ac:dyDescent="0.25"/>
    <row r="112862" customFormat="1" x14ac:dyDescent="0.25"/>
    <row r="112863" customFormat="1" x14ac:dyDescent="0.25"/>
    <row r="112864" customFormat="1" x14ac:dyDescent="0.25"/>
    <row r="112865" customFormat="1" x14ac:dyDescent="0.25"/>
    <row r="112866" customFormat="1" x14ac:dyDescent="0.25"/>
    <row r="112867" customFormat="1" x14ac:dyDescent="0.25"/>
    <row r="112868" customFormat="1" x14ac:dyDescent="0.25"/>
    <row r="112869" customFormat="1" x14ac:dyDescent="0.25"/>
    <row r="112870" customFormat="1" x14ac:dyDescent="0.25"/>
    <row r="112871" customFormat="1" x14ac:dyDescent="0.25"/>
    <row r="112872" customFormat="1" x14ac:dyDescent="0.25"/>
    <row r="112873" customFormat="1" x14ac:dyDescent="0.25"/>
    <row r="112874" customFormat="1" x14ac:dyDescent="0.25"/>
    <row r="112875" customFormat="1" x14ac:dyDescent="0.25"/>
    <row r="112876" customFormat="1" x14ac:dyDescent="0.25"/>
    <row r="112877" customFormat="1" x14ac:dyDescent="0.25"/>
    <row r="112878" customFormat="1" x14ac:dyDescent="0.25"/>
    <row r="112879" customFormat="1" x14ac:dyDescent="0.25"/>
    <row r="112880" customFormat="1" x14ac:dyDescent="0.25"/>
    <row r="112881" customFormat="1" x14ac:dyDescent="0.25"/>
    <row r="112882" customFormat="1" x14ac:dyDescent="0.25"/>
    <row r="112883" customFormat="1" x14ac:dyDescent="0.25"/>
    <row r="112884" customFormat="1" x14ac:dyDescent="0.25"/>
    <row r="112885" customFormat="1" x14ac:dyDescent="0.25"/>
    <row r="112886" customFormat="1" x14ac:dyDescent="0.25"/>
    <row r="112887" customFormat="1" x14ac:dyDescent="0.25"/>
    <row r="112888" customFormat="1" x14ac:dyDescent="0.25"/>
    <row r="112889" customFormat="1" x14ac:dyDescent="0.25"/>
    <row r="112890" customFormat="1" x14ac:dyDescent="0.25"/>
    <row r="112891" customFormat="1" x14ac:dyDescent="0.25"/>
    <row r="112892" customFormat="1" x14ac:dyDescent="0.25"/>
    <row r="112893" customFormat="1" x14ac:dyDescent="0.25"/>
    <row r="112894" customFormat="1" x14ac:dyDescent="0.25"/>
    <row r="112895" customFormat="1" x14ac:dyDescent="0.25"/>
    <row r="112896" customFormat="1" x14ac:dyDescent="0.25"/>
    <row r="112897" customFormat="1" x14ac:dyDescent="0.25"/>
    <row r="112898" customFormat="1" x14ac:dyDescent="0.25"/>
    <row r="112899" customFormat="1" x14ac:dyDescent="0.25"/>
    <row r="112900" customFormat="1" x14ac:dyDescent="0.25"/>
    <row r="112901" customFormat="1" x14ac:dyDescent="0.25"/>
    <row r="112902" customFormat="1" x14ac:dyDescent="0.25"/>
    <row r="112903" customFormat="1" x14ac:dyDescent="0.25"/>
    <row r="112904" customFormat="1" x14ac:dyDescent="0.25"/>
    <row r="112905" customFormat="1" x14ac:dyDescent="0.25"/>
    <row r="112906" customFormat="1" x14ac:dyDescent="0.25"/>
    <row r="112907" customFormat="1" x14ac:dyDescent="0.25"/>
    <row r="112908" customFormat="1" x14ac:dyDescent="0.25"/>
    <row r="112909" customFormat="1" x14ac:dyDescent="0.25"/>
    <row r="112910" customFormat="1" x14ac:dyDescent="0.25"/>
    <row r="112911" customFormat="1" x14ac:dyDescent="0.25"/>
    <row r="112912" customFormat="1" x14ac:dyDescent="0.25"/>
    <row r="112913" customFormat="1" x14ac:dyDescent="0.25"/>
    <row r="112914" customFormat="1" x14ac:dyDescent="0.25"/>
    <row r="112915" customFormat="1" x14ac:dyDescent="0.25"/>
    <row r="112916" customFormat="1" x14ac:dyDescent="0.25"/>
    <row r="112917" customFormat="1" x14ac:dyDescent="0.25"/>
    <row r="112918" customFormat="1" x14ac:dyDescent="0.25"/>
    <row r="112919" customFormat="1" x14ac:dyDescent="0.25"/>
    <row r="112920" customFormat="1" x14ac:dyDescent="0.25"/>
    <row r="112921" customFormat="1" x14ac:dyDescent="0.25"/>
    <row r="112922" customFormat="1" x14ac:dyDescent="0.25"/>
    <row r="112923" customFormat="1" x14ac:dyDescent="0.25"/>
    <row r="112924" customFormat="1" x14ac:dyDescent="0.25"/>
    <row r="112925" customFormat="1" x14ac:dyDescent="0.25"/>
    <row r="112926" customFormat="1" x14ac:dyDescent="0.25"/>
    <row r="112927" customFormat="1" x14ac:dyDescent="0.25"/>
    <row r="112928" customFormat="1" x14ac:dyDescent="0.25"/>
    <row r="112929" customFormat="1" x14ac:dyDescent="0.25"/>
    <row r="112930" customFormat="1" x14ac:dyDescent="0.25"/>
    <row r="112931" customFormat="1" x14ac:dyDescent="0.25"/>
    <row r="112932" customFormat="1" x14ac:dyDescent="0.25"/>
    <row r="112933" customFormat="1" x14ac:dyDescent="0.25"/>
    <row r="112934" customFormat="1" x14ac:dyDescent="0.25"/>
    <row r="112935" customFormat="1" x14ac:dyDescent="0.25"/>
    <row r="112936" customFormat="1" x14ac:dyDescent="0.25"/>
    <row r="112937" customFormat="1" x14ac:dyDescent="0.25"/>
    <row r="112938" customFormat="1" x14ac:dyDescent="0.25"/>
    <row r="112939" customFormat="1" x14ac:dyDescent="0.25"/>
    <row r="112940" customFormat="1" x14ac:dyDescent="0.25"/>
    <row r="112941" customFormat="1" x14ac:dyDescent="0.25"/>
    <row r="112942" customFormat="1" x14ac:dyDescent="0.25"/>
    <row r="112943" customFormat="1" x14ac:dyDescent="0.25"/>
    <row r="112944" customFormat="1" x14ac:dyDescent="0.25"/>
    <row r="112945" customFormat="1" x14ac:dyDescent="0.25"/>
    <row r="112946" customFormat="1" x14ac:dyDescent="0.25"/>
    <row r="112947" customFormat="1" x14ac:dyDescent="0.25"/>
    <row r="112948" customFormat="1" x14ac:dyDescent="0.25"/>
    <row r="112949" customFormat="1" x14ac:dyDescent="0.25"/>
    <row r="112950" customFormat="1" x14ac:dyDescent="0.25"/>
    <row r="112951" customFormat="1" x14ac:dyDescent="0.25"/>
    <row r="112952" customFormat="1" x14ac:dyDescent="0.25"/>
    <row r="112953" customFormat="1" x14ac:dyDescent="0.25"/>
    <row r="112954" customFormat="1" x14ac:dyDescent="0.25"/>
    <row r="112955" customFormat="1" x14ac:dyDescent="0.25"/>
    <row r="112956" customFormat="1" x14ac:dyDescent="0.25"/>
    <row r="112957" customFormat="1" x14ac:dyDescent="0.25"/>
    <row r="112958" customFormat="1" x14ac:dyDescent="0.25"/>
    <row r="112959" customFormat="1" x14ac:dyDescent="0.25"/>
    <row r="112960" customFormat="1" x14ac:dyDescent="0.25"/>
    <row r="112961" customFormat="1" x14ac:dyDescent="0.25"/>
    <row r="112962" customFormat="1" x14ac:dyDescent="0.25"/>
    <row r="112963" customFormat="1" x14ac:dyDescent="0.25"/>
    <row r="112964" customFormat="1" x14ac:dyDescent="0.25"/>
    <row r="112965" customFormat="1" x14ac:dyDescent="0.25"/>
    <row r="112966" customFormat="1" x14ac:dyDescent="0.25"/>
    <row r="112967" customFormat="1" x14ac:dyDescent="0.25"/>
    <row r="112968" customFormat="1" x14ac:dyDescent="0.25"/>
    <row r="112969" customFormat="1" x14ac:dyDescent="0.25"/>
    <row r="112970" customFormat="1" x14ac:dyDescent="0.25"/>
    <row r="112971" customFormat="1" x14ac:dyDescent="0.25"/>
    <row r="112972" customFormat="1" x14ac:dyDescent="0.25"/>
    <row r="112973" customFormat="1" x14ac:dyDescent="0.25"/>
    <row r="112974" customFormat="1" x14ac:dyDescent="0.25"/>
    <row r="112975" customFormat="1" x14ac:dyDescent="0.25"/>
    <row r="112976" customFormat="1" x14ac:dyDescent="0.25"/>
    <row r="112977" customFormat="1" x14ac:dyDescent="0.25"/>
    <row r="112978" customFormat="1" x14ac:dyDescent="0.25"/>
    <row r="112979" customFormat="1" x14ac:dyDescent="0.25"/>
    <row r="112980" customFormat="1" x14ac:dyDescent="0.25"/>
    <row r="112981" customFormat="1" x14ac:dyDescent="0.25"/>
    <row r="112982" customFormat="1" x14ac:dyDescent="0.25"/>
    <row r="112983" customFormat="1" x14ac:dyDescent="0.25"/>
    <row r="112984" customFormat="1" x14ac:dyDescent="0.25"/>
    <row r="112985" customFormat="1" x14ac:dyDescent="0.25"/>
    <row r="112986" customFormat="1" x14ac:dyDescent="0.25"/>
    <row r="112987" customFormat="1" x14ac:dyDescent="0.25"/>
    <row r="112988" customFormat="1" x14ac:dyDescent="0.25"/>
    <row r="112989" customFormat="1" x14ac:dyDescent="0.25"/>
    <row r="112990" customFormat="1" x14ac:dyDescent="0.25"/>
    <row r="112991" customFormat="1" x14ac:dyDescent="0.25"/>
    <row r="112992" customFormat="1" x14ac:dyDescent="0.25"/>
    <row r="112993" customFormat="1" x14ac:dyDescent="0.25"/>
    <row r="112994" customFormat="1" x14ac:dyDescent="0.25"/>
    <row r="112995" customFormat="1" x14ac:dyDescent="0.25"/>
    <row r="112996" customFormat="1" x14ac:dyDescent="0.25"/>
    <row r="112997" customFormat="1" x14ac:dyDescent="0.25"/>
    <row r="112998" customFormat="1" x14ac:dyDescent="0.25"/>
    <row r="112999" customFormat="1" x14ac:dyDescent="0.25"/>
    <row r="113000" customFormat="1" x14ac:dyDescent="0.25"/>
    <row r="113001" customFormat="1" x14ac:dyDescent="0.25"/>
    <row r="113002" customFormat="1" x14ac:dyDescent="0.25"/>
    <row r="113003" customFormat="1" x14ac:dyDescent="0.25"/>
    <row r="113004" customFormat="1" x14ac:dyDescent="0.25"/>
    <row r="113005" customFormat="1" x14ac:dyDescent="0.25"/>
    <row r="113006" customFormat="1" x14ac:dyDescent="0.25"/>
    <row r="113007" customFormat="1" x14ac:dyDescent="0.25"/>
    <row r="113008" customFormat="1" x14ac:dyDescent="0.25"/>
    <row r="113009" customFormat="1" x14ac:dyDescent="0.25"/>
    <row r="113010" customFormat="1" x14ac:dyDescent="0.25"/>
    <row r="113011" customFormat="1" x14ac:dyDescent="0.25"/>
    <row r="113012" customFormat="1" x14ac:dyDescent="0.25"/>
    <row r="113013" customFormat="1" x14ac:dyDescent="0.25"/>
    <row r="113014" customFormat="1" x14ac:dyDescent="0.25"/>
    <row r="113015" customFormat="1" x14ac:dyDescent="0.25"/>
    <row r="113016" customFormat="1" x14ac:dyDescent="0.25"/>
    <row r="113017" customFormat="1" x14ac:dyDescent="0.25"/>
    <row r="113018" customFormat="1" x14ac:dyDescent="0.25"/>
    <row r="113019" customFormat="1" x14ac:dyDescent="0.25"/>
    <row r="113020" customFormat="1" x14ac:dyDescent="0.25"/>
    <row r="113021" customFormat="1" x14ac:dyDescent="0.25"/>
    <row r="113022" customFormat="1" x14ac:dyDescent="0.25"/>
    <row r="113023" customFormat="1" x14ac:dyDescent="0.25"/>
    <row r="113024" customFormat="1" x14ac:dyDescent="0.25"/>
    <row r="113025" customFormat="1" x14ac:dyDescent="0.25"/>
    <row r="113026" customFormat="1" x14ac:dyDescent="0.25"/>
    <row r="113027" customFormat="1" x14ac:dyDescent="0.25"/>
    <row r="113028" customFormat="1" x14ac:dyDescent="0.25"/>
    <row r="113029" customFormat="1" x14ac:dyDescent="0.25"/>
    <row r="113030" customFormat="1" x14ac:dyDescent="0.25"/>
    <row r="113031" customFormat="1" x14ac:dyDescent="0.25"/>
    <row r="113032" customFormat="1" x14ac:dyDescent="0.25"/>
    <row r="113033" customFormat="1" x14ac:dyDescent="0.25"/>
    <row r="113034" customFormat="1" x14ac:dyDescent="0.25"/>
    <row r="113035" customFormat="1" x14ac:dyDescent="0.25"/>
    <row r="113036" customFormat="1" x14ac:dyDescent="0.25"/>
    <row r="113037" customFormat="1" x14ac:dyDescent="0.25"/>
    <row r="113038" customFormat="1" x14ac:dyDescent="0.25"/>
    <row r="113039" customFormat="1" x14ac:dyDescent="0.25"/>
    <row r="113040" customFormat="1" x14ac:dyDescent="0.25"/>
    <row r="113041" customFormat="1" x14ac:dyDescent="0.25"/>
    <row r="113042" customFormat="1" x14ac:dyDescent="0.25"/>
    <row r="113043" customFormat="1" x14ac:dyDescent="0.25"/>
    <row r="113044" customFormat="1" x14ac:dyDescent="0.25"/>
    <row r="113045" customFormat="1" x14ac:dyDescent="0.25"/>
    <row r="113046" customFormat="1" x14ac:dyDescent="0.25"/>
    <row r="113047" customFormat="1" x14ac:dyDescent="0.25"/>
    <row r="113048" customFormat="1" x14ac:dyDescent="0.25"/>
    <row r="113049" customFormat="1" x14ac:dyDescent="0.25"/>
    <row r="113050" customFormat="1" x14ac:dyDescent="0.25"/>
    <row r="113051" customFormat="1" x14ac:dyDescent="0.25"/>
    <row r="113052" customFormat="1" x14ac:dyDescent="0.25"/>
    <row r="113053" customFormat="1" x14ac:dyDescent="0.25"/>
    <row r="113054" customFormat="1" x14ac:dyDescent="0.25"/>
    <row r="113055" customFormat="1" x14ac:dyDescent="0.25"/>
    <row r="113056" customFormat="1" x14ac:dyDescent="0.25"/>
    <row r="113057" customFormat="1" x14ac:dyDescent="0.25"/>
    <row r="113058" customFormat="1" x14ac:dyDescent="0.25"/>
    <row r="113059" customFormat="1" x14ac:dyDescent="0.25"/>
    <row r="113060" customFormat="1" x14ac:dyDescent="0.25"/>
    <row r="113061" customFormat="1" x14ac:dyDescent="0.25"/>
    <row r="113062" customFormat="1" x14ac:dyDescent="0.25"/>
    <row r="113063" customFormat="1" x14ac:dyDescent="0.25"/>
    <row r="113064" customFormat="1" x14ac:dyDescent="0.25"/>
    <row r="113065" customFormat="1" x14ac:dyDescent="0.25"/>
    <row r="113066" customFormat="1" x14ac:dyDescent="0.25"/>
    <row r="113067" customFormat="1" x14ac:dyDescent="0.25"/>
    <row r="113068" customFormat="1" x14ac:dyDescent="0.25"/>
    <row r="113069" customFormat="1" x14ac:dyDescent="0.25"/>
    <row r="113070" customFormat="1" x14ac:dyDescent="0.25"/>
    <row r="113071" customFormat="1" x14ac:dyDescent="0.25"/>
    <row r="113072" customFormat="1" x14ac:dyDescent="0.25"/>
    <row r="113073" customFormat="1" x14ac:dyDescent="0.25"/>
    <row r="113074" customFormat="1" x14ac:dyDescent="0.25"/>
    <row r="113075" customFormat="1" x14ac:dyDescent="0.25"/>
    <row r="113076" customFormat="1" x14ac:dyDescent="0.25"/>
    <row r="113077" customFormat="1" x14ac:dyDescent="0.25"/>
    <row r="113078" customFormat="1" x14ac:dyDescent="0.25"/>
    <row r="113079" customFormat="1" x14ac:dyDescent="0.25"/>
    <row r="113080" customFormat="1" x14ac:dyDescent="0.25"/>
    <row r="113081" customFormat="1" x14ac:dyDescent="0.25"/>
    <row r="113082" customFormat="1" x14ac:dyDescent="0.25"/>
    <row r="113083" customFormat="1" x14ac:dyDescent="0.25"/>
    <row r="113084" customFormat="1" x14ac:dyDescent="0.25"/>
    <row r="113085" customFormat="1" x14ac:dyDescent="0.25"/>
    <row r="113086" customFormat="1" x14ac:dyDescent="0.25"/>
    <row r="113087" customFormat="1" x14ac:dyDescent="0.25"/>
    <row r="113088" customFormat="1" x14ac:dyDescent="0.25"/>
    <row r="113089" customFormat="1" x14ac:dyDescent="0.25"/>
    <row r="113090" customFormat="1" x14ac:dyDescent="0.25"/>
    <row r="113091" customFormat="1" x14ac:dyDescent="0.25"/>
    <row r="113092" customFormat="1" x14ac:dyDescent="0.25"/>
    <row r="113093" customFormat="1" x14ac:dyDescent="0.25"/>
    <row r="113094" customFormat="1" x14ac:dyDescent="0.25"/>
    <row r="113095" customFormat="1" x14ac:dyDescent="0.25"/>
    <row r="113096" customFormat="1" x14ac:dyDescent="0.25"/>
    <row r="113097" customFormat="1" x14ac:dyDescent="0.25"/>
    <row r="113098" customFormat="1" x14ac:dyDescent="0.25"/>
    <row r="113099" customFormat="1" x14ac:dyDescent="0.25"/>
    <row r="113100" customFormat="1" x14ac:dyDescent="0.25"/>
    <row r="113101" customFormat="1" x14ac:dyDescent="0.25"/>
    <row r="113102" customFormat="1" x14ac:dyDescent="0.25"/>
    <row r="113103" customFormat="1" x14ac:dyDescent="0.25"/>
    <row r="113104" customFormat="1" x14ac:dyDescent="0.25"/>
    <row r="113105" customFormat="1" x14ac:dyDescent="0.25"/>
    <row r="113106" customFormat="1" x14ac:dyDescent="0.25"/>
    <row r="113107" customFormat="1" x14ac:dyDescent="0.25"/>
    <row r="113108" customFormat="1" x14ac:dyDescent="0.25"/>
    <row r="113109" customFormat="1" x14ac:dyDescent="0.25"/>
    <row r="113110" customFormat="1" x14ac:dyDescent="0.25"/>
    <row r="113111" customFormat="1" x14ac:dyDescent="0.25"/>
    <row r="113112" customFormat="1" x14ac:dyDescent="0.25"/>
    <row r="113113" customFormat="1" x14ac:dyDescent="0.25"/>
    <row r="113114" customFormat="1" x14ac:dyDescent="0.25"/>
    <row r="113115" customFormat="1" x14ac:dyDescent="0.25"/>
    <row r="113116" customFormat="1" x14ac:dyDescent="0.25"/>
    <row r="113117" customFormat="1" x14ac:dyDescent="0.25"/>
    <row r="113118" customFormat="1" x14ac:dyDescent="0.25"/>
    <row r="113119" customFormat="1" x14ac:dyDescent="0.25"/>
    <row r="113120" customFormat="1" x14ac:dyDescent="0.25"/>
    <row r="113121" customFormat="1" x14ac:dyDescent="0.25"/>
    <row r="113122" customFormat="1" x14ac:dyDescent="0.25"/>
    <row r="113123" customFormat="1" x14ac:dyDescent="0.25"/>
    <row r="113124" customFormat="1" x14ac:dyDescent="0.25"/>
    <row r="113125" customFormat="1" x14ac:dyDescent="0.25"/>
    <row r="113126" customFormat="1" x14ac:dyDescent="0.25"/>
    <row r="113127" customFormat="1" x14ac:dyDescent="0.25"/>
    <row r="113128" customFormat="1" x14ac:dyDescent="0.25"/>
    <row r="113129" customFormat="1" x14ac:dyDescent="0.25"/>
    <row r="113130" customFormat="1" x14ac:dyDescent="0.25"/>
    <row r="113131" customFormat="1" x14ac:dyDescent="0.25"/>
    <row r="113132" customFormat="1" x14ac:dyDescent="0.25"/>
    <row r="113133" customFormat="1" x14ac:dyDescent="0.25"/>
    <row r="113134" customFormat="1" x14ac:dyDescent="0.25"/>
    <row r="113135" customFormat="1" x14ac:dyDescent="0.25"/>
    <row r="113136" customFormat="1" x14ac:dyDescent="0.25"/>
    <row r="113137" customFormat="1" x14ac:dyDescent="0.25"/>
    <row r="113138" customFormat="1" x14ac:dyDescent="0.25"/>
    <row r="113139" customFormat="1" x14ac:dyDescent="0.25"/>
    <row r="113140" customFormat="1" x14ac:dyDescent="0.25"/>
    <row r="113141" customFormat="1" x14ac:dyDescent="0.25"/>
    <row r="113142" customFormat="1" x14ac:dyDescent="0.25"/>
    <row r="113143" customFormat="1" x14ac:dyDescent="0.25"/>
    <row r="113144" customFormat="1" x14ac:dyDescent="0.25"/>
    <row r="113145" customFormat="1" x14ac:dyDescent="0.25"/>
    <row r="113146" customFormat="1" x14ac:dyDescent="0.25"/>
    <row r="113147" customFormat="1" x14ac:dyDescent="0.25"/>
    <row r="113148" customFormat="1" x14ac:dyDescent="0.25"/>
    <row r="113149" customFormat="1" x14ac:dyDescent="0.25"/>
    <row r="113150" customFormat="1" x14ac:dyDescent="0.25"/>
    <row r="113151" customFormat="1" x14ac:dyDescent="0.25"/>
    <row r="113152" customFormat="1" x14ac:dyDescent="0.25"/>
    <row r="113153" customFormat="1" x14ac:dyDescent="0.25"/>
    <row r="113154" customFormat="1" x14ac:dyDescent="0.25"/>
    <row r="113155" customFormat="1" x14ac:dyDescent="0.25"/>
    <row r="113156" customFormat="1" x14ac:dyDescent="0.25"/>
    <row r="113157" customFormat="1" x14ac:dyDescent="0.25"/>
    <row r="113158" customFormat="1" x14ac:dyDescent="0.25"/>
    <row r="113159" customFormat="1" x14ac:dyDescent="0.25"/>
    <row r="113160" customFormat="1" x14ac:dyDescent="0.25"/>
    <row r="113161" customFormat="1" x14ac:dyDescent="0.25"/>
    <row r="113162" customFormat="1" x14ac:dyDescent="0.25"/>
    <row r="113163" customFormat="1" x14ac:dyDescent="0.25"/>
    <row r="113164" customFormat="1" x14ac:dyDescent="0.25"/>
    <row r="113165" customFormat="1" x14ac:dyDescent="0.25"/>
    <row r="113166" customFormat="1" x14ac:dyDescent="0.25"/>
    <row r="113167" customFormat="1" x14ac:dyDescent="0.25"/>
    <row r="113168" customFormat="1" x14ac:dyDescent="0.25"/>
    <row r="113169" customFormat="1" x14ac:dyDescent="0.25"/>
    <row r="113170" customFormat="1" x14ac:dyDescent="0.25"/>
    <row r="113171" customFormat="1" x14ac:dyDescent="0.25"/>
    <row r="113172" customFormat="1" x14ac:dyDescent="0.25"/>
    <row r="113173" customFormat="1" x14ac:dyDescent="0.25"/>
    <row r="113174" customFormat="1" x14ac:dyDescent="0.25"/>
    <row r="113175" customFormat="1" x14ac:dyDescent="0.25"/>
    <row r="113176" customFormat="1" x14ac:dyDescent="0.25"/>
    <row r="113177" customFormat="1" x14ac:dyDescent="0.25"/>
    <row r="113178" customFormat="1" x14ac:dyDescent="0.25"/>
    <row r="113179" customFormat="1" x14ac:dyDescent="0.25"/>
    <row r="113180" customFormat="1" x14ac:dyDescent="0.25"/>
    <row r="113181" customFormat="1" x14ac:dyDescent="0.25"/>
    <row r="113182" customFormat="1" x14ac:dyDescent="0.25"/>
    <row r="113183" customFormat="1" x14ac:dyDescent="0.25"/>
    <row r="113184" customFormat="1" x14ac:dyDescent="0.25"/>
    <row r="113185" customFormat="1" x14ac:dyDescent="0.25"/>
    <row r="113186" customFormat="1" x14ac:dyDescent="0.25"/>
    <row r="113187" customFormat="1" x14ac:dyDescent="0.25"/>
    <row r="113188" customFormat="1" x14ac:dyDescent="0.25"/>
    <row r="113189" customFormat="1" x14ac:dyDescent="0.25"/>
    <row r="113190" customFormat="1" x14ac:dyDescent="0.25"/>
    <row r="113191" customFormat="1" x14ac:dyDescent="0.25"/>
    <row r="113192" customFormat="1" x14ac:dyDescent="0.25"/>
    <row r="113193" customFormat="1" x14ac:dyDescent="0.25"/>
    <row r="113194" customFormat="1" x14ac:dyDescent="0.25"/>
    <row r="113195" customFormat="1" x14ac:dyDescent="0.25"/>
    <row r="113196" customFormat="1" x14ac:dyDescent="0.25"/>
    <row r="113197" customFormat="1" x14ac:dyDescent="0.25"/>
    <row r="113198" customFormat="1" x14ac:dyDescent="0.25"/>
    <row r="113199" customFormat="1" x14ac:dyDescent="0.25"/>
    <row r="113200" customFormat="1" x14ac:dyDescent="0.25"/>
    <row r="113201" customFormat="1" x14ac:dyDescent="0.25"/>
    <row r="113202" customFormat="1" x14ac:dyDescent="0.25"/>
    <row r="113203" customFormat="1" x14ac:dyDescent="0.25"/>
    <row r="113204" customFormat="1" x14ac:dyDescent="0.25"/>
    <row r="113205" customFormat="1" x14ac:dyDescent="0.25"/>
    <row r="113206" customFormat="1" x14ac:dyDescent="0.25"/>
    <row r="113207" customFormat="1" x14ac:dyDescent="0.25"/>
    <row r="113208" customFormat="1" x14ac:dyDescent="0.25"/>
    <row r="113209" customFormat="1" x14ac:dyDescent="0.25"/>
    <row r="113210" customFormat="1" x14ac:dyDescent="0.25"/>
    <row r="113211" customFormat="1" x14ac:dyDescent="0.25"/>
    <row r="113212" customFormat="1" x14ac:dyDescent="0.25"/>
    <row r="113213" customFormat="1" x14ac:dyDescent="0.25"/>
    <row r="113214" customFormat="1" x14ac:dyDescent="0.25"/>
    <row r="113215" customFormat="1" x14ac:dyDescent="0.25"/>
    <row r="113216" customFormat="1" x14ac:dyDescent="0.25"/>
    <row r="113217" customFormat="1" x14ac:dyDescent="0.25"/>
    <row r="113218" customFormat="1" x14ac:dyDescent="0.25"/>
    <row r="113219" customFormat="1" x14ac:dyDescent="0.25"/>
    <row r="113220" customFormat="1" x14ac:dyDescent="0.25"/>
    <row r="113221" customFormat="1" x14ac:dyDescent="0.25"/>
    <row r="113222" customFormat="1" x14ac:dyDescent="0.25"/>
    <row r="113223" customFormat="1" x14ac:dyDescent="0.25"/>
    <row r="113224" customFormat="1" x14ac:dyDescent="0.25"/>
    <row r="113225" customFormat="1" x14ac:dyDescent="0.25"/>
    <row r="113226" customFormat="1" x14ac:dyDescent="0.25"/>
    <row r="113227" customFormat="1" x14ac:dyDescent="0.25"/>
    <row r="113228" customFormat="1" x14ac:dyDescent="0.25"/>
    <row r="113229" customFormat="1" x14ac:dyDescent="0.25"/>
    <row r="113230" customFormat="1" x14ac:dyDescent="0.25"/>
    <row r="113231" customFormat="1" x14ac:dyDescent="0.25"/>
    <row r="113232" customFormat="1" x14ac:dyDescent="0.25"/>
    <row r="113233" customFormat="1" x14ac:dyDescent="0.25"/>
    <row r="113234" customFormat="1" x14ac:dyDescent="0.25"/>
    <row r="113235" customFormat="1" x14ac:dyDescent="0.25"/>
    <row r="113236" customFormat="1" x14ac:dyDescent="0.25"/>
    <row r="113237" customFormat="1" x14ac:dyDescent="0.25"/>
    <row r="113238" customFormat="1" x14ac:dyDescent="0.25"/>
    <row r="113239" customFormat="1" x14ac:dyDescent="0.25"/>
    <row r="113240" customFormat="1" x14ac:dyDescent="0.25"/>
    <row r="113241" customFormat="1" x14ac:dyDescent="0.25"/>
    <row r="113242" customFormat="1" x14ac:dyDescent="0.25"/>
    <row r="113243" customFormat="1" x14ac:dyDescent="0.25"/>
    <row r="113244" customFormat="1" x14ac:dyDescent="0.25"/>
    <row r="113245" customFormat="1" x14ac:dyDescent="0.25"/>
    <row r="113246" customFormat="1" x14ac:dyDescent="0.25"/>
    <row r="113247" customFormat="1" x14ac:dyDescent="0.25"/>
    <row r="113248" customFormat="1" x14ac:dyDescent="0.25"/>
    <row r="113249" customFormat="1" x14ac:dyDescent="0.25"/>
    <row r="113250" customFormat="1" x14ac:dyDescent="0.25"/>
    <row r="113251" customFormat="1" x14ac:dyDescent="0.25"/>
    <row r="113252" customFormat="1" x14ac:dyDescent="0.25"/>
    <row r="113253" customFormat="1" x14ac:dyDescent="0.25"/>
    <row r="113254" customFormat="1" x14ac:dyDescent="0.25"/>
    <row r="113255" customFormat="1" x14ac:dyDescent="0.25"/>
    <row r="113256" customFormat="1" x14ac:dyDescent="0.25"/>
    <row r="113257" customFormat="1" x14ac:dyDescent="0.25"/>
    <row r="113258" customFormat="1" x14ac:dyDescent="0.25"/>
    <row r="113259" customFormat="1" x14ac:dyDescent="0.25"/>
    <row r="113260" customFormat="1" x14ac:dyDescent="0.25"/>
    <row r="113261" customFormat="1" x14ac:dyDescent="0.25"/>
    <row r="113262" customFormat="1" x14ac:dyDescent="0.25"/>
    <row r="113263" customFormat="1" x14ac:dyDescent="0.25"/>
    <row r="113264" customFormat="1" x14ac:dyDescent="0.25"/>
    <row r="113265" customFormat="1" x14ac:dyDescent="0.25"/>
    <row r="113266" customFormat="1" x14ac:dyDescent="0.25"/>
    <row r="113267" customFormat="1" x14ac:dyDescent="0.25"/>
    <row r="113268" customFormat="1" x14ac:dyDescent="0.25"/>
    <row r="113269" customFormat="1" x14ac:dyDescent="0.25"/>
    <row r="113270" customFormat="1" x14ac:dyDescent="0.25"/>
    <row r="113271" customFormat="1" x14ac:dyDescent="0.25"/>
    <row r="113272" customFormat="1" x14ac:dyDescent="0.25"/>
    <row r="113273" customFormat="1" x14ac:dyDescent="0.25"/>
    <row r="113274" customFormat="1" x14ac:dyDescent="0.25"/>
    <row r="113275" customFormat="1" x14ac:dyDescent="0.25"/>
    <row r="113276" customFormat="1" x14ac:dyDescent="0.25"/>
    <row r="113277" customFormat="1" x14ac:dyDescent="0.25"/>
    <row r="113278" customFormat="1" x14ac:dyDescent="0.25"/>
    <row r="113279" customFormat="1" x14ac:dyDescent="0.25"/>
    <row r="113280" customFormat="1" x14ac:dyDescent="0.25"/>
    <row r="113281" customFormat="1" x14ac:dyDescent="0.25"/>
    <row r="113282" customFormat="1" x14ac:dyDescent="0.25"/>
    <row r="113283" customFormat="1" x14ac:dyDescent="0.25"/>
    <row r="113284" customFormat="1" x14ac:dyDescent="0.25"/>
    <row r="113285" customFormat="1" x14ac:dyDescent="0.25"/>
    <row r="113286" customFormat="1" x14ac:dyDescent="0.25"/>
    <row r="113287" customFormat="1" x14ac:dyDescent="0.25"/>
    <row r="113288" customFormat="1" x14ac:dyDescent="0.25"/>
    <row r="113289" customFormat="1" x14ac:dyDescent="0.25"/>
    <row r="113290" customFormat="1" x14ac:dyDescent="0.25"/>
    <row r="113291" customFormat="1" x14ac:dyDescent="0.25"/>
    <row r="113292" customFormat="1" x14ac:dyDescent="0.25"/>
    <row r="113293" customFormat="1" x14ac:dyDescent="0.25"/>
    <row r="113294" customFormat="1" x14ac:dyDescent="0.25"/>
    <row r="113295" customFormat="1" x14ac:dyDescent="0.25"/>
    <row r="113296" customFormat="1" x14ac:dyDescent="0.25"/>
    <row r="113297" customFormat="1" x14ac:dyDescent="0.25"/>
    <row r="113298" customFormat="1" x14ac:dyDescent="0.25"/>
    <row r="113299" customFormat="1" x14ac:dyDescent="0.25"/>
    <row r="113300" customFormat="1" x14ac:dyDescent="0.25"/>
    <row r="113301" customFormat="1" x14ac:dyDescent="0.25"/>
    <row r="113302" customFormat="1" x14ac:dyDescent="0.25"/>
    <row r="113303" customFormat="1" x14ac:dyDescent="0.25"/>
    <row r="113304" customFormat="1" x14ac:dyDescent="0.25"/>
    <row r="113305" customFormat="1" x14ac:dyDescent="0.25"/>
    <row r="113306" customFormat="1" x14ac:dyDescent="0.25"/>
    <row r="113307" customFormat="1" x14ac:dyDescent="0.25"/>
    <row r="113308" customFormat="1" x14ac:dyDescent="0.25"/>
    <row r="113309" customFormat="1" x14ac:dyDescent="0.25"/>
    <row r="113310" customFormat="1" x14ac:dyDescent="0.25"/>
    <row r="113311" customFormat="1" x14ac:dyDescent="0.25"/>
    <row r="113312" customFormat="1" x14ac:dyDescent="0.25"/>
    <row r="113313" customFormat="1" x14ac:dyDescent="0.25"/>
    <row r="113314" customFormat="1" x14ac:dyDescent="0.25"/>
    <row r="113315" customFormat="1" x14ac:dyDescent="0.25"/>
    <row r="113316" customFormat="1" x14ac:dyDescent="0.25"/>
    <row r="113317" customFormat="1" x14ac:dyDescent="0.25"/>
    <row r="113318" customFormat="1" x14ac:dyDescent="0.25"/>
    <row r="113319" customFormat="1" x14ac:dyDescent="0.25"/>
    <row r="113320" customFormat="1" x14ac:dyDescent="0.25"/>
    <row r="113321" customFormat="1" x14ac:dyDescent="0.25"/>
    <row r="113322" customFormat="1" x14ac:dyDescent="0.25"/>
    <row r="113323" customFormat="1" x14ac:dyDescent="0.25"/>
    <row r="113324" customFormat="1" x14ac:dyDescent="0.25"/>
    <row r="113325" customFormat="1" x14ac:dyDescent="0.25"/>
    <row r="113326" customFormat="1" x14ac:dyDescent="0.25"/>
    <row r="113327" customFormat="1" x14ac:dyDescent="0.25"/>
    <row r="113328" customFormat="1" x14ac:dyDescent="0.25"/>
    <row r="113329" customFormat="1" x14ac:dyDescent="0.25"/>
    <row r="113330" customFormat="1" x14ac:dyDescent="0.25"/>
    <row r="113331" customFormat="1" x14ac:dyDescent="0.25"/>
    <row r="113332" customFormat="1" x14ac:dyDescent="0.25"/>
    <row r="113333" customFormat="1" x14ac:dyDescent="0.25"/>
    <row r="113334" customFormat="1" x14ac:dyDescent="0.25"/>
    <row r="113335" customFormat="1" x14ac:dyDescent="0.25"/>
    <row r="113336" customFormat="1" x14ac:dyDescent="0.25"/>
    <row r="113337" customFormat="1" x14ac:dyDescent="0.25"/>
    <row r="113338" customFormat="1" x14ac:dyDescent="0.25"/>
    <row r="113339" customFormat="1" x14ac:dyDescent="0.25"/>
    <row r="113340" customFormat="1" x14ac:dyDescent="0.25"/>
    <row r="113341" customFormat="1" x14ac:dyDescent="0.25"/>
    <row r="113342" customFormat="1" x14ac:dyDescent="0.25"/>
    <row r="113343" customFormat="1" x14ac:dyDescent="0.25"/>
    <row r="113344" customFormat="1" x14ac:dyDescent="0.25"/>
    <row r="113345" customFormat="1" x14ac:dyDescent="0.25"/>
    <row r="113346" customFormat="1" x14ac:dyDescent="0.25"/>
    <row r="113347" customFormat="1" x14ac:dyDescent="0.25"/>
    <row r="113348" customFormat="1" x14ac:dyDescent="0.25"/>
    <row r="113349" customFormat="1" x14ac:dyDescent="0.25"/>
    <row r="113350" customFormat="1" x14ac:dyDescent="0.25"/>
    <row r="113351" customFormat="1" x14ac:dyDescent="0.25"/>
    <row r="113352" customFormat="1" x14ac:dyDescent="0.25"/>
    <row r="113353" customFormat="1" x14ac:dyDescent="0.25"/>
    <row r="113354" customFormat="1" x14ac:dyDescent="0.25"/>
    <row r="113355" customFormat="1" x14ac:dyDescent="0.25"/>
    <row r="113356" customFormat="1" x14ac:dyDescent="0.25"/>
    <row r="113357" customFormat="1" x14ac:dyDescent="0.25"/>
    <row r="113358" customFormat="1" x14ac:dyDescent="0.25"/>
    <row r="113359" customFormat="1" x14ac:dyDescent="0.25"/>
    <row r="113360" customFormat="1" x14ac:dyDescent="0.25"/>
    <row r="113361" customFormat="1" x14ac:dyDescent="0.25"/>
    <row r="113362" customFormat="1" x14ac:dyDescent="0.25"/>
    <row r="113363" customFormat="1" x14ac:dyDescent="0.25"/>
    <row r="113364" customFormat="1" x14ac:dyDescent="0.25"/>
    <row r="113365" customFormat="1" x14ac:dyDescent="0.25"/>
    <row r="113366" customFormat="1" x14ac:dyDescent="0.25"/>
    <row r="113367" customFormat="1" x14ac:dyDescent="0.25"/>
    <row r="113368" customFormat="1" x14ac:dyDescent="0.25"/>
    <row r="113369" customFormat="1" x14ac:dyDescent="0.25"/>
    <row r="113370" customFormat="1" x14ac:dyDescent="0.25"/>
    <row r="113371" customFormat="1" x14ac:dyDescent="0.25"/>
    <row r="113372" customFormat="1" x14ac:dyDescent="0.25"/>
    <row r="113373" customFormat="1" x14ac:dyDescent="0.25"/>
    <row r="113374" customFormat="1" x14ac:dyDescent="0.25"/>
    <row r="113375" customFormat="1" x14ac:dyDescent="0.25"/>
    <row r="113376" customFormat="1" x14ac:dyDescent="0.25"/>
    <row r="113377" customFormat="1" x14ac:dyDescent="0.25"/>
    <row r="113378" customFormat="1" x14ac:dyDescent="0.25"/>
    <row r="113379" customFormat="1" x14ac:dyDescent="0.25"/>
    <row r="113380" customFormat="1" x14ac:dyDescent="0.25"/>
    <row r="113381" customFormat="1" x14ac:dyDescent="0.25"/>
    <row r="113382" customFormat="1" x14ac:dyDescent="0.25"/>
    <row r="113383" customFormat="1" x14ac:dyDescent="0.25"/>
    <row r="113384" customFormat="1" x14ac:dyDescent="0.25"/>
    <row r="113385" customFormat="1" x14ac:dyDescent="0.25"/>
    <row r="113386" customFormat="1" x14ac:dyDescent="0.25"/>
    <row r="113387" customFormat="1" x14ac:dyDescent="0.25"/>
    <row r="113388" customFormat="1" x14ac:dyDescent="0.25"/>
    <row r="113389" customFormat="1" x14ac:dyDescent="0.25"/>
    <row r="113390" customFormat="1" x14ac:dyDescent="0.25"/>
    <row r="113391" customFormat="1" x14ac:dyDescent="0.25"/>
    <row r="113392" customFormat="1" x14ac:dyDescent="0.25"/>
    <row r="113393" customFormat="1" x14ac:dyDescent="0.25"/>
    <row r="113394" customFormat="1" x14ac:dyDescent="0.25"/>
    <row r="113395" customFormat="1" x14ac:dyDescent="0.25"/>
    <row r="113396" customFormat="1" x14ac:dyDescent="0.25"/>
    <row r="113397" customFormat="1" x14ac:dyDescent="0.25"/>
    <row r="113398" customFormat="1" x14ac:dyDescent="0.25"/>
    <row r="113399" customFormat="1" x14ac:dyDescent="0.25"/>
    <row r="113400" customFormat="1" x14ac:dyDescent="0.25"/>
    <row r="113401" customFormat="1" x14ac:dyDescent="0.25"/>
    <row r="113402" customFormat="1" x14ac:dyDescent="0.25"/>
    <row r="113403" customFormat="1" x14ac:dyDescent="0.25"/>
    <row r="113404" customFormat="1" x14ac:dyDescent="0.25"/>
    <row r="113405" customFormat="1" x14ac:dyDescent="0.25"/>
    <row r="113406" customFormat="1" x14ac:dyDescent="0.25"/>
    <row r="113407" customFormat="1" x14ac:dyDescent="0.25"/>
    <row r="113408" customFormat="1" x14ac:dyDescent="0.25"/>
    <row r="113409" customFormat="1" x14ac:dyDescent="0.25"/>
    <row r="113410" customFormat="1" x14ac:dyDescent="0.25"/>
    <row r="113411" customFormat="1" x14ac:dyDescent="0.25"/>
    <row r="113412" customFormat="1" x14ac:dyDescent="0.25"/>
    <row r="113413" customFormat="1" x14ac:dyDescent="0.25"/>
    <row r="113414" customFormat="1" x14ac:dyDescent="0.25"/>
    <row r="113415" customFormat="1" x14ac:dyDescent="0.25"/>
    <row r="113416" customFormat="1" x14ac:dyDescent="0.25"/>
    <row r="113417" customFormat="1" x14ac:dyDescent="0.25"/>
    <row r="113418" customFormat="1" x14ac:dyDescent="0.25"/>
    <row r="113419" customFormat="1" x14ac:dyDescent="0.25"/>
    <row r="113420" customFormat="1" x14ac:dyDescent="0.25"/>
    <row r="113421" customFormat="1" x14ac:dyDescent="0.25"/>
    <row r="113422" customFormat="1" x14ac:dyDescent="0.25"/>
    <row r="113423" customFormat="1" x14ac:dyDescent="0.25"/>
    <row r="113424" customFormat="1" x14ac:dyDescent="0.25"/>
    <row r="113425" customFormat="1" x14ac:dyDescent="0.25"/>
    <row r="113426" customFormat="1" x14ac:dyDescent="0.25"/>
    <row r="113427" customFormat="1" x14ac:dyDescent="0.25"/>
    <row r="113428" customFormat="1" x14ac:dyDescent="0.25"/>
    <row r="113429" customFormat="1" x14ac:dyDescent="0.25"/>
    <row r="113430" customFormat="1" x14ac:dyDescent="0.25"/>
    <row r="113431" customFormat="1" x14ac:dyDescent="0.25"/>
    <row r="113432" customFormat="1" x14ac:dyDescent="0.25"/>
    <row r="113433" customFormat="1" x14ac:dyDescent="0.25"/>
    <row r="113434" customFormat="1" x14ac:dyDescent="0.25"/>
    <row r="113435" customFormat="1" x14ac:dyDescent="0.25"/>
    <row r="113436" customFormat="1" x14ac:dyDescent="0.25"/>
    <row r="113437" customFormat="1" x14ac:dyDescent="0.25"/>
    <row r="113438" customFormat="1" x14ac:dyDescent="0.25"/>
    <row r="113439" customFormat="1" x14ac:dyDescent="0.25"/>
    <row r="113440" customFormat="1" x14ac:dyDescent="0.25"/>
    <row r="113441" customFormat="1" x14ac:dyDescent="0.25"/>
    <row r="113442" customFormat="1" x14ac:dyDescent="0.25"/>
    <row r="113443" customFormat="1" x14ac:dyDescent="0.25"/>
    <row r="113444" customFormat="1" x14ac:dyDescent="0.25"/>
    <row r="113445" customFormat="1" x14ac:dyDescent="0.25"/>
    <row r="113446" customFormat="1" x14ac:dyDescent="0.25"/>
    <row r="113447" customFormat="1" x14ac:dyDescent="0.25"/>
    <row r="113448" customFormat="1" x14ac:dyDescent="0.25"/>
    <row r="113449" customFormat="1" x14ac:dyDescent="0.25"/>
    <row r="113450" customFormat="1" x14ac:dyDescent="0.25"/>
    <row r="113451" customFormat="1" x14ac:dyDescent="0.25"/>
    <row r="113452" customFormat="1" x14ac:dyDescent="0.25"/>
    <row r="113453" customFormat="1" x14ac:dyDescent="0.25"/>
    <row r="113454" customFormat="1" x14ac:dyDescent="0.25"/>
    <row r="113455" customFormat="1" x14ac:dyDescent="0.25"/>
    <row r="113456" customFormat="1" x14ac:dyDescent="0.25"/>
    <row r="113457" customFormat="1" x14ac:dyDescent="0.25"/>
    <row r="113458" customFormat="1" x14ac:dyDescent="0.25"/>
    <row r="113459" customFormat="1" x14ac:dyDescent="0.25"/>
    <row r="113460" customFormat="1" x14ac:dyDescent="0.25"/>
    <row r="113461" customFormat="1" x14ac:dyDescent="0.25"/>
    <row r="113462" customFormat="1" x14ac:dyDescent="0.25"/>
    <row r="113463" customFormat="1" x14ac:dyDescent="0.25"/>
    <row r="113464" customFormat="1" x14ac:dyDescent="0.25"/>
    <row r="113465" customFormat="1" x14ac:dyDescent="0.25"/>
    <row r="113466" customFormat="1" x14ac:dyDescent="0.25"/>
    <row r="113467" customFormat="1" x14ac:dyDescent="0.25"/>
    <row r="113468" customFormat="1" x14ac:dyDescent="0.25"/>
    <row r="113469" customFormat="1" x14ac:dyDescent="0.25"/>
    <row r="113470" customFormat="1" x14ac:dyDescent="0.25"/>
    <row r="113471" customFormat="1" x14ac:dyDescent="0.25"/>
    <row r="113472" customFormat="1" x14ac:dyDescent="0.25"/>
    <row r="113473" customFormat="1" x14ac:dyDescent="0.25"/>
    <row r="113474" customFormat="1" x14ac:dyDescent="0.25"/>
    <row r="113475" customFormat="1" x14ac:dyDescent="0.25"/>
    <row r="113476" customFormat="1" x14ac:dyDescent="0.25"/>
    <row r="113477" customFormat="1" x14ac:dyDescent="0.25"/>
    <row r="113478" customFormat="1" x14ac:dyDescent="0.25"/>
    <row r="113479" customFormat="1" x14ac:dyDescent="0.25"/>
    <row r="113480" customFormat="1" x14ac:dyDescent="0.25"/>
    <row r="113481" customFormat="1" x14ac:dyDescent="0.25"/>
    <row r="113482" customFormat="1" x14ac:dyDescent="0.25"/>
    <row r="113483" customFormat="1" x14ac:dyDescent="0.25"/>
    <row r="113484" customFormat="1" x14ac:dyDescent="0.25"/>
    <row r="113485" customFormat="1" x14ac:dyDescent="0.25"/>
    <row r="113486" customFormat="1" x14ac:dyDescent="0.25"/>
    <row r="113487" customFormat="1" x14ac:dyDescent="0.25"/>
    <row r="113488" customFormat="1" x14ac:dyDescent="0.25"/>
    <row r="113489" customFormat="1" x14ac:dyDescent="0.25"/>
    <row r="113490" customFormat="1" x14ac:dyDescent="0.25"/>
    <row r="113491" customFormat="1" x14ac:dyDescent="0.25"/>
    <row r="113492" customFormat="1" x14ac:dyDescent="0.25"/>
    <row r="113493" customFormat="1" x14ac:dyDescent="0.25"/>
    <row r="113494" customFormat="1" x14ac:dyDescent="0.25"/>
    <row r="113495" customFormat="1" x14ac:dyDescent="0.25"/>
    <row r="113496" customFormat="1" x14ac:dyDescent="0.25"/>
    <row r="113497" customFormat="1" x14ac:dyDescent="0.25"/>
    <row r="113498" customFormat="1" x14ac:dyDescent="0.25"/>
    <row r="113499" customFormat="1" x14ac:dyDescent="0.25"/>
    <row r="113500" customFormat="1" x14ac:dyDescent="0.25"/>
    <row r="113501" customFormat="1" x14ac:dyDescent="0.25"/>
    <row r="113502" customFormat="1" x14ac:dyDescent="0.25"/>
    <row r="113503" customFormat="1" x14ac:dyDescent="0.25"/>
    <row r="113504" customFormat="1" x14ac:dyDescent="0.25"/>
    <row r="113505" customFormat="1" x14ac:dyDescent="0.25"/>
    <row r="113506" customFormat="1" x14ac:dyDescent="0.25"/>
    <row r="113507" customFormat="1" x14ac:dyDescent="0.25"/>
    <row r="113508" customFormat="1" x14ac:dyDescent="0.25"/>
    <row r="113509" customFormat="1" x14ac:dyDescent="0.25"/>
    <row r="113510" customFormat="1" x14ac:dyDescent="0.25"/>
    <row r="113511" customFormat="1" x14ac:dyDescent="0.25"/>
    <row r="113512" customFormat="1" x14ac:dyDescent="0.25"/>
    <row r="113513" customFormat="1" x14ac:dyDescent="0.25"/>
    <row r="113514" customFormat="1" x14ac:dyDescent="0.25"/>
    <row r="113515" customFormat="1" x14ac:dyDescent="0.25"/>
    <row r="113516" customFormat="1" x14ac:dyDescent="0.25"/>
    <row r="113517" customFormat="1" x14ac:dyDescent="0.25"/>
    <row r="113518" customFormat="1" x14ac:dyDescent="0.25"/>
    <row r="113519" customFormat="1" x14ac:dyDescent="0.25"/>
    <row r="113520" customFormat="1" x14ac:dyDescent="0.25"/>
    <row r="113521" customFormat="1" x14ac:dyDescent="0.25"/>
    <row r="113522" customFormat="1" x14ac:dyDescent="0.25"/>
    <row r="113523" customFormat="1" x14ac:dyDescent="0.25"/>
    <row r="113524" customFormat="1" x14ac:dyDescent="0.25"/>
    <row r="113525" customFormat="1" x14ac:dyDescent="0.25"/>
    <row r="113526" customFormat="1" x14ac:dyDescent="0.25"/>
    <row r="113527" customFormat="1" x14ac:dyDescent="0.25"/>
    <row r="113528" customFormat="1" x14ac:dyDescent="0.25"/>
    <row r="113529" customFormat="1" x14ac:dyDescent="0.25"/>
    <row r="113530" customFormat="1" x14ac:dyDescent="0.25"/>
    <row r="113531" customFormat="1" x14ac:dyDescent="0.25"/>
    <row r="113532" customFormat="1" x14ac:dyDescent="0.25"/>
    <row r="113533" customFormat="1" x14ac:dyDescent="0.25"/>
    <row r="113534" customFormat="1" x14ac:dyDescent="0.25"/>
    <row r="113535" customFormat="1" x14ac:dyDescent="0.25"/>
    <row r="113536" customFormat="1" x14ac:dyDescent="0.25"/>
    <row r="113537" customFormat="1" x14ac:dyDescent="0.25"/>
    <row r="113538" customFormat="1" x14ac:dyDescent="0.25"/>
    <row r="113539" customFormat="1" x14ac:dyDescent="0.25"/>
    <row r="113540" customFormat="1" x14ac:dyDescent="0.25"/>
    <row r="113541" customFormat="1" x14ac:dyDescent="0.25"/>
    <row r="113542" customFormat="1" x14ac:dyDescent="0.25"/>
    <row r="113543" customFormat="1" x14ac:dyDescent="0.25"/>
    <row r="113544" customFormat="1" x14ac:dyDescent="0.25"/>
    <row r="113545" customFormat="1" x14ac:dyDescent="0.25"/>
    <row r="113546" customFormat="1" x14ac:dyDescent="0.25"/>
    <row r="113547" customFormat="1" x14ac:dyDescent="0.25"/>
    <row r="113548" customFormat="1" x14ac:dyDescent="0.25"/>
    <row r="113549" customFormat="1" x14ac:dyDescent="0.25"/>
    <row r="113550" customFormat="1" x14ac:dyDescent="0.25"/>
    <row r="113551" customFormat="1" x14ac:dyDescent="0.25"/>
    <row r="113552" customFormat="1" x14ac:dyDescent="0.25"/>
    <row r="113553" customFormat="1" x14ac:dyDescent="0.25"/>
    <row r="113554" customFormat="1" x14ac:dyDescent="0.25"/>
    <row r="113555" customFormat="1" x14ac:dyDescent="0.25"/>
    <row r="113556" customFormat="1" x14ac:dyDescent="0.25"/>
    <row r="113557" customFormat="1" x14ac:dyDescent="0.25"/>
    <row r="113558" customFormat="1" x14ac:dyDescent="0.25"/>
    <row r="113559" customFormat="1" x14ac:dyDescent="0.25"/>
    <row r="113560" customFormat="1" x14ac:dyDescent="0.25"/>
    <row r="113561" customFormat="1" x14ac:dyDescent="0.25"/>
    <row r="113562" customFormat="1" x14ac:dyDescent="0.25"/>
    <row r="113563" customFormat="1" x14ac:dyDescent="0.25"/>
    <row r="113564" customFormat="1" x14ac:dyDescent="0.25"/>
    <row r="113565" customFormat="1" x14ac:dyDescent="0.25"/>
    <row r="113566" customFormat="1" x14ac:dyDescent="0.25"/>
    <row r="113567" customFormat="1" x14ac:dyDescent="0.25"/>
    <row r="113568" customFormat="1" x14ac:dyDescent="0.25"/>
    <row r="113569" customFormat="1" x14ac:dyDescent="0.25"/>
    <row r="113570" customFormat="1" x14ac:dyDescent="0.25"/>
    <row r="113571" customFormat="1" x14ac:dyDescent="0.25"/>
    <row r="113572" customFormat="1" x14ac:dyDescent="0.25"/>
    <row r="113573" customFormat="1" x14ac:dyDescent="0.25"/>
    <row r="113574" customFormat="1" x14ac:dyDescent="0.25"/>
    <row r="113575" customFormat="1" x14ac:dyDescent="0.25"/>
    <row r="113576" customFormat="1" x14ac:dyDescent="0.25"/>
    <row r="113577" customFormat="1" x14ac:dyDescent="0.25"/>
    <row r="113578" customFormat="1" x14ac:dyDescent="0.25"/>
    <row r="113579" customFormat="1" x14ac:dyDescent="0.25"/>
    <row r="113580" customFormat="1" x14ac:dyDescent="0.25"/>
    <row r="113581" customFormat="1" x14ac:dyDescent="0.25"/>
    <row r="113582" customFormat="1" x14ac:dyDescent="0.25"/>
    <row r="113583" customFormat="1" x14ac:dyDescent="0.25"/>
    <row r="113584" customFormat="1" x14ac:dyDescent="0.25"/>
    <row r="113585" customFormat="1" x14ac:dyDescent="0.25"/>
    <row r="113586" customFormat="1" x14ac:dyDescent="0.25"/>
    <row r="113587" customFormat="1" x14ac:dyDescent="0.25"/>
    <row r="113588" customFormat="1" x14ac:dyDescent="0.25"/>
    <row r="113589" customFormat="1" x14ac:dyDescent="0.25"/>
    <row r="113590" customFormat="1" x14ac:dyDescent="0.25"/>
    <row r="113591" customFormat="1" x14ac:dyDescent="0.25"/>
    <row r="113592" customFormat="1" x14ac:dyDescent="0.25"/>
    <row r="113593" customFormat="1" x14ac:dyDescent="0.25"/>
    <row r="113594" customFormat="1" x14ac:dyDescent="0.25"/>
    <row r="113595" customFormat="1" x14ac:dyDescent="0.25"/>
    <row r="113596" customFormat="1" x14ac:dyDescent="0.25"/>
    <row r="113597" customFormat="1" x14ac:dyDescent="0.25"/>
    <row r="113598" customFormat="1" x14ac:dyDescent="0.25"/>
    <row r="113599" customFormat="1" x14ac:dyDescent="0.25"/>
    <row r="113600" customFormat="1" x14ac:dyDescent="0.25"/>
    <row r="113601" customFormat="1" x14ac:dyDescent="0.25"/>
    <row r="113602" customFormat="1" x14ac:dyDescent="0.25"/>
    <row r="113603" customFormat="1" x14ac:dyDescent="0.25"/>
    <row r="113604" customFormat="1" x14ac:dyDescent="0.25"/>
    <row r="113605" customFormat="1" x14ac:dyDescent="0.25"/>
    <row r="113606" customFormat="1" x14ac:dyDescent="0.25"/>
    <row r="113607" customFormat="1" x14ac:dyDescent="0.25"/>
    <row r="113608" customFormat="1" x14ac:dyDescent="0.25"/>
    <row r="113609" customFormat="1" x14ac:dyDescent="0.25"/>
    <row r="113610" customFormat="1" x14ac:dyDescent="0.25"/>
    <row r="113611" customFormat="1" x14ac:dyDescent="0.25"/>
    <row r="113612" customFormat="1" x14ac:dyDescent="0.25"/>
    <row r="113613" customFormat="1" x14ac:dyDescent="0.25"/>
    <row r="113614" customFormat="1" x14ac:dyDescent="0.25"/>
    <row r="113615" customFormat="1" x14ac:dyDescent="0.25"/>
    <row r="113616" customFormat="1" x14ac:dyDescent="0.25"/>
    <row r="113617" customFormat="1" x14ac:dyDescent="0.25"/>
    <row r="113618" customFormat="1" x14ac:dyDescent="0.25"/>
    <row r="113619" customFormat="1" x14ac:dyDescent="0.25"/>
    <row r="113620" customFormat="1" x14ac:dyDescent="0.25"/>
    <row r="113621" customFormat="1" x14ac:dyDescent="0.25"/>
    <row r="113622" customFormat="1" x14ac:dyDescent="0.25"/>
    <row r="113623" customFormat="1" x14ac:dyDescent="0.25"/>
    <row r="113624" customFormat="1" x14ac:dyDescent="0.25"/>
    <row r="113625" customFormat="1" x14ac:dyDescent="0.25"/>
    <row r="113626" customFormat="1" x14ac:dyDescent="0.25"/>
    <row r="113627" customFormat="1" x14ac:dyDescent="0.25"/>
    <row r="113628" customFormat="1" x14ac:dyDescent="0.25"/>
    <row r="113629" customFormat="1" x14ac:dyDescent="0.25"/>
    <row r="113630" customFormat="1" x14ac:dyDescent="0.25"/>
    <row r="113631" customFormat="1" x14ac:dyDescent="0.25"/>
    <row r="113632" customFormat="1" x14ac:dyDescent="0.25"/>
    <row r="113633" customFormat="1" x14ac:dyDescent="0.25"/>
    <row r="113634" customFormat="1" x14ac:dyDescent="0.25"/>
    <row r="113635" customFormat="1" x14ac:dyDescent="0.25"/>
    <row r="113636" customFormat="1" x14ac:dyDescent="0.25"/>
    <row r="113637" customFormat="1" x14ac:dyDescent="0.25"/>
    <row r="113638" customFormat="1" x14ac:dyDescent="0.25"/>
    <row r="113639" customFormat="1" x14ac:dyDescent="0.25"/>
    <row r="113640" customFormat="1" x14ac:dyDescent="0.25"/>
    <row r="113641" customFormat="1" x14ac:dyDescent="0.25"/>
    <row r="113642" customFormat="1" x14ac:dyDescent="0.25"/>
    <row r="113643" customFormat="1" x14ac:dyDescent="0.25"/>
    <row r="113644" customFormat="1" x14ac:dyDescent="0.25"/>
    <row r="113645" customFormat="1" x14ac:dyDescent="0.25"/>
    <row r="113646" customFormat="1" x14ac:dyDescent="0.25"/>
    <row r="113647" customFormat="1" x14ac:dyDescent="0.25"/>
    <row r="113648" customFormat="1" x14ac:dyDescent="0.25"/>
    <row r="113649" customFormat="1" x14ac:dyDescent="0.25"/>
    <row r="113650" customFormat="1" x14ac:dyDescent="0.25"/>
    <row r="113651" customFormat="1" x14ac:dyDescent="0.25"/>
    <row r="113652" customFormat="1" x14ac:dyDescent="0.25"/>
    <row r="113653" customFormat="1" x14ac:dyDescent="0.25"/>
    <row r="113654" customFormat="1" x14ac:dyDescent="0.25"/>
    <row r="113655" customFormat="1" x14ac:dyDescent="0.25"/>
    <row r="113656" customFormat="1" x14ac:dyDescent="0.25"/>
    <row r="113657" customFormat="1" x14ac:dyDescent="0.25"/>
    <row r="113658" customFormat="1" x14ac:dyDescent="0.25"/>
    <row r="113659" customFormat="1" x14ac:dyDescent="0.25"/>
    <row r="113660" customFormat="1" x14ac:dyDescent="0.25"/>
    <row r="113661" customFormat="1" x14ac:dyDescent="0.25"/>
    <row r="113662" customFormat="1" x14ac:dyDescent="0.25"/>
    <row r="113663" customFormat="1" x14ac:dyDescent="0.25"/>
    <row r="113664" customFormat="1" x14ac:dyDescent="0.25"/>
    <row r="113665" customFormat="1" x14ac:dyDescent="0.25"/>
    <row r="113666" customFormat="1" x14ac:dyDescent="0.25"/>
    <row r="113667" customFormat="1" x14ac:dyDescent="0.25"/>
    <row r="113668" customFormat="1" x14ac:dyDescent="0.25"/>
    <row r="113669" customFormat="1" x14ac:dyDescent="0.25"/>
    <row r="113670" customFormat="1" x14ac:dyDescent="0.25"/>
    <row r="113671" customFormat="1" x14ac:dyDescent="0.25"/>
    <row r="113672" customFormat="1" x14ac:dyDescent="0.25"/>
    <row r="113673" customFormat="1" x14ac:dyDescent="0.25"/>
    <row r="113674" customFormat="1" x14ac:dyDescent="0.25"/>
    <row r="113675" customFormat="1" x14ac:dyDescent="0.25"/>
    <row r="113676" customFormat="1" x14ac:dyDescent="0.25"/>
    <row r="113677" customFormat="1" x14ac:dyDescent="0.25"/>
    <row r="113678" customFormat="1" x14ac:dyDescent="0.25"/>
    <row r="113679" customFormat="1" x14ac:dyDescent="0.25"/>
    <row r="113680" customFormat="1" x14ac:dyDescent="0.25"/>
    <row r="113681" customFormat="1" x14ac:dyDescent="0.25"/>
    <row r="113682" customFormat="1" x14ac:dyDescent="0.25"/>
    <row r="113683" customFormat="1" x14ac:dyDescent="0.25"/>
    <row r="113684" customFormat="1" x14ac:dyDescent="0.25"/>
    <row r="113685" customFormat="1" x14ac:dyDescent="0.25"/>
    <row r="113686" customFormat="1" x14ac:dyDescent="0.25"/>
    <row r="113687" customFormat="1" x14ac:dyDescent="0.25"/>
    <row r="113688" customFormat="1" x14ac:dyDescent="0.25"/>
    <row r="113689" customFormat="1" x14ac:dyDescent="0.25"/>
    <row r="113690" customFormat="1" x14ac:dyDescent="0.25"/>
    <row r="113691" customFormat="1" x14ac:dyDescent="0.25"/>
    <row r="113692" customFormat="1" x14ac:dyDescent="0.25"/>
    <row r="113693" customFormat="1" x14ac:dyDescent="0.25"/>
    <row r="113694" customFormat="1" x14ac:dyDescent="0.25"/>
    <row r="113695" customFormat="1" x14ac:dyDescent="0.25"/>
    <row r="113696" customFormat="1" x14ac:dyDescent="0.25"/>
    <row r="113697" customFormat="1" x14ac:dyDescent="0.25"/>
    <row r="113698" customFormat="1" x14ac:dyDescent="0.25"/>
    <row r="113699" customFormat="1" x14ac:dyDescent="0.25"/>
    <row r="113700" customFormat="1" x14ac:dyDescent="0.25"/>
    <row r="113701" customFormat="1" x14ac:dyDescent="0.25"/>
    <row r="113702" customFormat="1" x14ac:dyDescent="0.25"/>
    <row r="113703" customFormat="1" x14ac:dyDescent="0.25"/>
    <row r="113704" customFormat="1" x14ac:dyDescent="0.25"/>
    <row r="113705" customFormat="1" x14ac:dyDescent="0.25"/>
    <row r="113706" customFormat="1" x14ac:dyDescent="0.25"/>
    <row r="113707" customFormat="1" x14ac:dyDescent="0.25"/>
    <row r="113708" customFormat="1" x14ac:dyDescent="0.25"/>
    <row r="113709" customFormat="1" x14ac:dyDescent="0.25"/>
    <row r="113710" customFormat="1" x14ac:dyDescent="0.25"/>
    <row r="113711" customFormat="1" x14ac:dyDescent="0.25"/>
    <row r="113712" customFormat="1" x14ac:dyDescent="0.25"/>
    <row r="113713" customFormat="1" x14ac:dyDescent="0.25"/>
    <row r="113714" customFormat="1" x14ac:dyDescent="0.25"/>
    <row r="113715" customFormat="1" x14ac:dyDescent="0.25"/>
    <row r="113716" customFormat="1" x14ac:dyDescent="0.25"/>
    <row r="113717" customFormat="1" x14ac:dyDescent="0.25"/>
    <row r="113718" customFormat="1" x14ac:dyDescent="0.25"/>
    <row r="113719" customFormat="1" x14ac:dyDescent="0.25"/>
    <row r="113720" customFormat="1" x14ac:dyDescent="0.25"/>
    <row r="113721" customFormat="1" x14ac:dyDescent="0.25"/>
    <row r="113722" customFormat="1" x14ac:dyDescent="0.25"/>
    <row r="113723" customFormat="1" x14ac:dyDescent="0.25"/>
    <row r="113724" customFormat="1" x14ac:dyDescent="0.25"/>
    <row r="113725" customFormat="1" x14ac:dyDescent="0.25"/>
    <row r="113726" customFormat="1" x14ac:dyDescent="0.25"/>
    <row r="113727" customFormat="1" x14ac:dyDescent="0.25"/>
    <row r="113728" customFormat="1" x14ac:dyDescent="0.25"/>
    <row r="113729" customFormat="1" x14ac:dyDescent="0.25"/>
    <row r="113730" customFormat="1" x14ac:dyDescent="0.25"/>
    <row r="113731" customFormat="1" x14ac:dyDescent="0.25"/>
    <row r="113732" customFormat="1" x14ac:dyDescent="0.25"/>
    <row r="113733" customFormat="1" x14ac:dyDescent="0.25"/>
    <row r="113734" customFormat="1" x14ac:dyDescent="0.25"/>
    <row r="113735" customFormat="1" x14ac:dyDescent="0.25"/>
    <row r="113736" customFormat="1" x14ac:dyDescent="0.25"/>
    <row r="113737" customFormat="1" x14ac:dyDescent="0.25"/>
    <row r="113738" customFormat="1" x14ac:dyDescent="0.25"/>
    <row r="113739" customFormat="1" x14ac:dyDescent="0.25"/>
    <row r="113740" customFormat="1" x14ac:dyDescent="0.25"/>
    <row r="113741" customFormat="1" x14ac:dyDescent="0.25"/>
    <row r="113742" customFormat="1" x14ac:dyDescent="0.25"/>
    <row r="113743" customFormat="1" x14ac:dyDescent="0.25"/>
    <row r="113744" customFormat="1" x14ac:dyDescent="0.25"/>
    <row r="113745" customFormat="1" x14ac:dyDescent="0.25"/>
    <row r="113746" customFormat="1" x14ac:dyDescent="0.25"/>
    <row r="113747" customFormat="1" x14ac:dyDescent="0.25"/>
    <row r="113748" customFormat="1" x14ac:dyDescent="0.25"/>
    <row r="113749" customFormat="1" x14ac:dyDescent="0.25"/>
    <row r="113750" customFormat="1" x14ac:dyDescent="0.25"/>
    <row r="113751" customFormat="1" x14ac:dyDescent="0.25"/>
    <row r="113752" customFormat="1" x14ac:dyDescent="0.25"/>
    <row r="113753" customFormat="1" x14ac:dyDescent="0.25"/>
    <row r="113754" customFormat="1" x14ac:dyDescent="0.25"/>
    <row r="113755" customFormat="1" x14ac:dyDescent="0.25"/>
    <row r="113756" customFormat="1" x14ac:dyDescent="0.25"/>
    <row r="113757" customFormat="1" x14ac:dyDescent="0.25"/>
    <row r="113758" customFormat="1" x14ac:dyDescent="0.25"/>
    <row r="113759" customFormat="1" x14ac:dyDescent="0.25"/>
    <row r="113760" customFormat="1" x14ac:dyDescent="0.25"/>
    <row r="113761" customFormat="1" x14ac:dyDescent="0.25"/>
    <row r="113762" customFormat="1" x14ac:dyDescent="0.25"/>
    <row r="113763" customFormat="1" x14ac:dyDescent="0.25"/>
    <row r="113764" customFormat="1" x14ac:dyDescent="0.25"/>
    <row r="113765" customFormat="1" x14ac:dyDescent="0.25"/>
    <row r="113766" customFormat="1" x14ac:dyDescent="0.25"/>
    <row r="113767" customFormat="1" x14ac:dyDescent="0.25"/>
    <row r="113768" customFormat="1" x14ac:dyDescent="0.25"/>
    <row r="113769" customFormat="1" x14ac:dyDescent="0.25"/>
    <row r="113770" customFormat="1" x14ac:dyDescent="0.25"/>
    <row r="113771" customFormat="1" x14ac:dyDescent="0.25"/>
    <row r="113772" customFormat="1" x14ac:dyDescent="0.25"/>
    <row r="113773" customFormat="1" x14ac:dyDescent="0.25"/>
    <row r="113774" customFormat="1" x14ac:dyDescent="0.25"/>
    <row r="113775" customFormat="1" x14ac:dyDescent="0.25"/>
    <row r="113776" customFormat="1" x14ac:dyDescent="0.25"/>
    <row r="113777" customFormat="1" x14ac:dyDescent="0.25"/>
    <row r="113778" customFormat="1" x14ac:dyDescent="0.25"/>
    <row r="113779" customFormat="1" x14ac:dyDescent="0.25"/>
    <row r="113780" customFormat="1" x14ac:dyDescent="0.25"/>
    <row r="113781" customFormat="1" x14ac:dyDescent="0.25"/>
    <row r="113782" customFormat="1" x14ac:dyDescent="0.25"/>
    <row r="113783" customFormat="1" x14ac:dyDescent="0.25"/>
    <row r="113784" customFormat="1" x14ac:dyDescent="0.25"/>
    <row r="113785" customFormat="1" x14ac:dyDescent="0.25"/>
    <row r="113786" customFormat="1" x14ac:dyDescent="0.25"/>
    <row r="113787" customFormat="1" x14ac:dyDescent="0.25"/>
    <row r="113788" customFormat="1" x14ac:dyDescent="0.25"/>
    <row r="113789" customFormat="1" x14ac:dyDescent="0.25"/>
    <row r="113790" customFormat="1" x14ac:dyDescent="0.25"/>
    <row r="113791" customFormat="1" x14ac:dyDescent="0.25"/>
    <row r="113792" customFormat="1" x14ac:dyDescent="0.25"/>
    <row r="113793" customFormat="1" x14ac:dyDescent="0.25"/>
    <row r="113794" customFormat="1" x14ac:dyDescent="0.25"/>
    <row r="113795" customFormat="1" x14ac:dyDescent="0.25"/>
    <row r="113796" customFormat="1" x14ac:dyDescent="0.25"/>
    <row r="113797" customFormat="1" x14ac:dyDescent="0.25"/>
    <row r="113798" customFormat="1" x14ac:dyDescent="0.25"/>
    <row r="113799" customFormat="1" x14ac:dyDescent="0.25"/>
    <row r="113800" customFormat="1" x14ac:dyDescent="0.25"/>
    <row r="113801" customFormat="1" x14ac:dyDescent="0.25"/>
    <row r="113802" customFormat="1" x14ac:dyDescent="0.25"/>
    <row r="113803" customFormat="1" x14ac:dyDescent="0.25"/>
    <row r="113804" customFormat="1" x14ac:dyDescent="0.25"/>
    <row r="113805" customFormat="1" x14ac:dyDescent="0.25"/>
    <row r="113806" customFormat="1" x14ac:dyDescent="0.25"/>
    <row r="113807" customFormat="1" x14ac:dyDescent="0.25"/>
    <row r="113808" customFormat="1" x14ac:dyDescent="0.25"/>
    <row r="113809" customFormat="1" x14ac:dyDescent="0.25"/>
    <row r="113810" customFormat="1" x14ac:dyDescent="0.25"/>
    <row r="113811" customFormat="1" x14ac:dyDescent="0.25"/>
    <row r="113812" customFormat="1" x14ac:dyDescent="0.25"/>
    <row r="113813" customFormat="1" x14ac:dyDescent="0.25"/>
    <row r="113814" customFormat="1" x14ac:dyDescent="0.25"/>
    <row r="113815" customFormat="1" x14ac:dyDescent="0.25"/>
    <row r="113816" customFormat="1" x14ac:dyDescent="0.25"/>
    <row r="113817" customFormat="1" x14ac:dyDescent="0.25"/>
    <row r="113818" customFormat="1" x14ac:dyDescent="0.25"/>
    <row r="113819" customFormat="1" x14ac:dyDescent="0.25"/>
    <row r="113820" customFormat="1" x14ac:dyDescent="0.25"/>
    <row r="113821" customFormat="1" x14ac:dyDescent="0.25"/>
    <row r="113822" customFormat="1" x14ac:dyDescent="0.25"/>
    <row r="113823" customFormat="1" x14ac:dyDescent="0.25"/>
    <row r="113824" customFormat="1" x14ac:dyDescent="0.25"/>
    <row r="113825" customFormat="1" x14ac:dyDescent="0.25"/>
    <row r="113826" customFormat="1" x14ac:dyDescent="0.25"/>
    <row r="113827" customFormat="1" x14ac:dyDescent="0.25"/>
    <row r="113828" customFormat="1" x14ac:dyDescent="0.25"/>
    <row r="113829" customFormat="1" x14ac:dyDescent="0.25"/>
    <row r="113830" customFormat="1" x14ac:dyDescent="0.25"/>
    <row r="113831" customFormat="1" x14ac:dyDescent="0.25"/>
    <row r="113832" customFormat="1" x14ac:dyDescent="0.25"/>
    <row r="113833" customFormat="1" x14ac:dyDescent="0.25"/>
    <row r="113834" customFormat="1" x14ac:dyDescent="0.25"/>
    <row r="113835" customFormat="1" x14ac:dyDescent="0.25"/>
    <row r="113836" customFormat="1" x14ac:dyDescent="0.25"/>
    <row r="113837" customFormat="1" x14ac:dyDescent="0.25"/>
    <row r="113838" customFormat="1" x14ac:dyDescent="0.25"/>
    <row r="113839" customFormat="1" x14ac:dyDescent="0.25"/>
    <row r="113840" customFormat="1" x14ac:dyDescent="0.25"/>
    <row r="113841" customFormat="1" x14ac:dyDescent="0.25"/>
    <row r="113842" customFormat="1" x14ac:dyDescent="0.25"/>
    <row r="113843" customFormat="1" x14ac:dyDescent="0.25"/>
    <row r="113844" customFormat="1" x14ac:dyDescent="0.25"/>
    <row r="113845" customFormat="1" x14ac:dyDescent="0.25"/>
    <row r="113846" customFormat="1" x14ac:dyDescent="0.25"/>
    <row r="113847" customFormat="1" x14ac:dyDescent="0.25"/>
    <row r="113848" customFormat="1" x14ac:dyDescent="0.25"/>
    <row r="113849" customFormat="1" x14ac:dyDescent="0.25"/>
    <row r="113850" customFormat="1" x14ac:dyDescent="0.25"/>
    <row r="113851" customFormat="1" x14ac:dyDescent="0.25"/>
    <row r="113852" customFormat="1" x14ac:dyDescent="0.25"/>
    <row r="113853" customFormat="1" x14ac:dyDescent="0.25"/>
    <row r="113854" customFormat="1" x14ac:dyDescent="0.25"/>
    <row r="113855" customFormat="1" x14ac:dyDescent="0.25"/>
    <row r="113856" customFormat="1" x14ac:dyDescent="0.25"/>
    <row r="113857" customFormat="1" x14ac:dyDescent="0.25"/>
    <row r="113858" customFormat="1" x14ac:dyDescent="0.25"/>
    <row r="113859" customFormat="1" x14ac:dyDescent="0.25"/>
    <row r="113860" customFormat="1" x14ac:dyDescent="0.25"/>
    <row r="113861" customFormat="1" x14ac:dyDescent="0.25"/>
    <row r="113862" customFormat="1" x14ac:dyDescent="0.25"/>
    <row r="113863" customFormat="1" x14ac:dyDescent="0.25"/>
    <row r="113864" customFormat="1" x14ac:dyDescent="0.25"/>
    <row r="113865" customFormat="1" x14ac:dyDescent="0.25"/>
    <row r="113866" customFormat="1" x14ac:dyDescent="0.25"/>
    <row r="113867" customFormat="1" x14ac:dyDescent="0.25"/>
    <row r="113868" customFormat="1" x14ac:dyDescent="0.25"/>
    <row r="113869" customFormat="1" x14ac:dyDescent="0.25"/>
    <row r="113870" customFormat="1" x14ac:dyDescent="0.25"/>
    <row r="113871" customFormat="1" x14ac:dyDescent="0.25"/>
    <row r="113872" customFormat="1" x14ac:dyDescent="0.25"/>
    <row r="113873" customFormat="1" x14ac:dyDescent="0.25"/>
    <row r="113874" customFormat="1" x14ac:dyDescent="0.25"/>
    <row r="113875" customFormat="1" x14ac:dyDescent="0.25"/>
    <row r="113876" customFormat="1" x14ac:dyDescent="0.25"/>
    <row r="113877" customFormat="1" x14ac:dyDescent="0.25"/>
    <row r="113878" customFormat="1" x14ac:dyDescent="0.25"/>
    <row r="113879" customFormat="1" x14ac:dyDescent="0.25"/>
    <row r="113880" customFormat="1" x14ac:dyDescent="0.25"/>
    <row r="113881" customFormat="1" x14ac:dyDescent="0.25"/>
    <row r="113882" customFormat="1" x14ac:dyDescent="0.25"/>
    <row r="113883" customFormat="1" x14ac:dyDescent="0.25"/>
    <row r="113884" customFormat="1" x14ac:dyDescent="0.25"/>
    <row r="113885" customFormat="1" x14ac:dyDescent="0.25"/>
    <row r="113886" customFormat="1" x14ac:dyDescent="0.25"/>
    <row r="113887" customFormat="1" x14ac:dyDescent="0.25"/>
    <row r="113888" customFormat="1" x14ac:dyDescent="0.25"/>
    <row r="113889" customFormat="1" x14ac:dyDescent="0.25"/>
    <row r="113890" customFormat="1" x14ac:dyDescent="0.25"/>
    <row r="113891" customFormat="1" x14ac:dyDescent="0.25"/>
    <row r="113892" customFormat="1" x14ac:dyDescent="0.25"/>
    <row r="113893" customFormat="1" x14ac:dyDescent="0.25"/>
    <row r="113894" customFormat="1" x14ac:dyDescent="0.25"/>
    <row r="113895" customFormat="1" x14ac:dyDescent="0.25"/>
    <row r="113896" customFormat="1" x14ac:dyDescent="0.25"/>
    <row r="113897" customFormat="1" x14ac:dyDescent="0.25"/>
    <row r="113898" customFormat="1" x14ac:dyDescent="0.25"/>
    <row r="113899" customFormat="1" x14ac:dyDescent="0.25"/>
    <row r="113900" customFormat="1" x14ac:dyDescent="0.25"/>
    <row r="113901" customFormat="1" x14ac:dyDescent="0.25"/>
    <row r="113902" customFormat="1" x14ac:dyDescent="0.25"/>
    <row r="113903" customFormat="1" x14ac:dyDescent="0.25"/>
    <row r="113904" customFormat="1" x14ac:dyDescent="0.25"/>
    <row r="113905" customFormat="1" x14ac:dyDescent="0.25"/>
    <row r="113906" customFormat="1" x14ac:dyDescent="0.25"/>
    <row r="113907" customFormat="1" x14ac:dyDescent="0.25"/>
    <row r="113908" customFormat="1" x14ac:dyDescent="0.25"/>
    <row r="113909" customFormat="1" x14ac:dyDescent="0.25"/>
    <row r="113910" customFormat="1" x14ac:dyDescent="0.25"/>
    <row r="113911" customFormat="1" x14ac:dyDescent="0.25"/>
    <row r="113912" customFormat="1" x14ac:dyDescent="0.25"/>
    <row r="113913" customFormat="1" x14ac:dyDescent="0.25"/>
    <row r="113914" customFormat="1" x14ac:dyDescent="0.25"/>
    <row r="113915" customFormat="1" x14ac:dyDescent="0.25"/>
    <row r="113916" customFormat="1" x14ac:dyDescent="0.25"/>
    <row r="113917" customFormat="1" x14ac:dyDescent="0.25"/>
    <row r="113918" customFormat="1" x14ac:dyDescent="0.25"/>
    <row r="113919" customFormat="1" x14ac:dyDescent="0.25"/>
    <row r="113920" customFormat="1" x14ac:dyDescent="0.25"/>
    <row r="113921" customFormat="1" x14ac:dyDescent="0.25"/>
    <row r="113922" customFormat="1" x14ac:dyDescent="0.25"/>
    <row r="113923" customFormat="1" x14ac:dyDescent="0.25"/>
    <row r="113924" customFormat="1" x14ac:dyDescent="0.25"/>
    <row r="113925" customFormat="1" x14ac:dyDescent="0.25"/>
    <row r="113926" customFormat="1" x14ac:dyDescent="0.25"/>
    <row r="113927" customFormat="1" x14ac:dyDescent="0.25"/>
    <row r="113928" customFormat="1" x14ac:dyDescent="0.25"/>
    <row r="113929" customFormat="1" x14ac:dyDescent="0.25"/>
    <row r="113930" customFormat="1" x14ac:dyDescent="0.25"/>
    <row r="113931" customFormat="1" x14ac:dyDescent="0.25"/>
    <row r="113932" customFormat="1" x14ac:dyDescent="0.25"/>
    <row r="113933" customFormat="1" x14ac:dyDescent="0.25"/>
    <row r="113934" customFormat="1" x14ac:dyDescent="0.25"/>
    <row r="113935" customFormat="1" x14ac:dyDescent="0.25"/>
    <row r="113936" customFormat="1" x14ac:dyDescent="0.25"/>
    <row r="113937" customFormat="1" x14ac:dyDescent="0.25"/>
    <row r="113938" customFormat="1" x14ac:dyDescent="0.25"/>
    <row r="113939" customFormat="1" x14ac:dyDescent="0.25"/>
    <row r="113940" customFormat="1" x14ac:dyDescent="0.25"/>
    <row r="113941" customFormat="1" x14ac:dyDescent="0.25"/>
    <row r="113942" customFormat="1" x14ac:dyDescent="0.25"/>
    <row r="113943" customFormat="1" x14ac:dyDescent="0.25"/>
    <row r="113944" customFormat="1" x14ac:dyDescent="0.25"/>
    <row r="113945" customFormat="1" x14ac:dyDescent="0.25"/>
    <row r="113946" customFormat="1" x14ac:dyDescent="0.25"/>
    <row r="113947" customFormat="1" x14ac:dyDescent="0.25"/>
    <row r="113948" customFormat="1" x14ac:dyDescent="0.25"/>
    <row r="113949" customFormat="1" x14ac:dyDescent="0.25"/>
    <row r="113950" customFormat="1" x14ac:dyDescent="0.25"/>
    <row r="113951" customFormat="1" x14ac:dyDescent="0.25"/>
    <row r="113952" customFormat="1" x14ac:dyDescent="0.25"/>
    <row r="113953" customFormat="1" x14ac:dyDescent="0.25"/>
    <row r="113954" customFormat="1" x14ac:dyDescent="0.25"/>
    <row r="113955" customFormat="1" x14ac:dyDescent="0.25"/>
    <row r="113956" customFormat="1" x14ac:dyDescent="0.25"/>
    <row r="113957" customFormat="1" x14ac:dyDescent="0.25"/>
    <row r="113958" customFormat="1" x14ac:dyDescent="0.25"/>
    <row r="113959" customFormat="1" x14ac:dyDescent="0.25"/>
    <row r="113960" customFormat="1" x14ac:dyDescent="0.25"/>
    <row r="113961" customFormat="1" x14ac:dyDescent="0.25"/>
    <row r="113962" customFormat="1" x14ac:dyDescent="0.25"/>
    <row r="113963" customFormat="1" x14ac:dyDescent="0.25"/>
    <row r="113964" customFormat="1" x14ac:dyDescent="0.25"/>
    <row r="113965" customFormat="1" x14ac:dyDescent="0.25"/>
    <row r="113966" customFormat="1" x14ac:dyDescent="0.25"/>
    <row r="113967" customFormat="1" x14ac:dyDescent="0.25"/>
    <row r="113968" customFormat="1" x14ac:dyDescent="0.25"/>
    <row r="113969" customFormat="1" x14ac:dyDescent="0.25"/>
    <row r="113970" customFormat="1" x14ac:dyDescent="0.25"/>
    <row r="113971" customFormat="1" x14ac:dyDescent="0.25"/>
    <row r="113972" customFormat="1" x14ac:dyDescent="0.25"/>
    <row r="113973" customFormat="1" x14ac:dyDescent="0.25"/>
    <row r="113974" customFormat="1" x14ac:dyDescent="0.25"/>
    <row r="113975" customFormat="1" x14ac:dyDescent="0.25"/>
    <row r="113976" customFormat="1" x14ac:dyDescent="0.25"/>
    <row r="113977" customFormat="1" x14ac:dyDescent="0.25"/>
    <row r="113978" customFormat="1" x14ac:dyDescent="0.25"/>
    <row r="113979" customFormat="1" x14ac:dyDescent="0.25"/>
    <row r="113980" customFormat="1" x14ac:dyDescent="0.25"/>
    <row r="113981" customFormat="1" x14ac:dyDescent="0.25"/>
    <row r="113982" customFormat="1" x14ac:dyDescent="0.25"/>
    <row r="113983" customFormat="1" x14ac:dyDescent="0.25"/>
    <row r="113984" customFormat="1" x14ac:dyDescent="0.25"/>
    <row r="113985" customFormat="1" x14ac:dyDescent="0.25"/>
    <row r="113986" customFormat="1" x14ac:dyDescent="0.25"/>
    <row r="113987" customFormat="1" x14ac:dyDescent="0.25"/>
    <row r="113988" customFormat="1" x14ac:dyDescent="0.25"/>
    <row r="113989" customFormat="1" x14ac:dyDescent="0.25"/>
    <row r="113990" customFormat="1" x14ac:dyDescent="0.25"/>
    <row r="113991" customFormat="1" x14ac:dyDescent="0.25"/>
    <row r="113992" customFormat="1" x14ac:dyDescent="0.25"/>
    <row r="113993" customFormat="1" x14ac:dyDescent="0.25"/>
    <row r="113994" customFormat="1" x14ac:dyDescent="0.25"/>
    <row r="113995" customFormat="1" x14ac:dyDescent="0.25"/>
    <row r="113996" customFormat="1" x14ac:dyDescent="0.25"/>
    <row r="113997" customFormat="1" x14ac:dyDescent="0.25"/>
    <row r="113998" customFormat="1" x14ac:dyDescent="0.25"/>
    <row r="113999" customFormat="1" x14ac:dyDescent="0.25"/>
    <row r="114000" customFormat="1" x14ac:dyDescent="0.25"/>
    <row r="114001" customFormat="1" x14ac:dyDescent="0.25"/>
    <row r="114002" customFormat="1" x14ac:dyDescent="0.25"/>
    <row r="114003" customFormat="1" x14ac:dyDescent="0.25"/>
    <row r="114004" customFormat="1" x14ac:dyDescent="0.25"/>
    <row r="114005" customFormat="1" x14ac:dyDescent="0.25"/>
    <row r="114006" customFormat="1" x14ac:dyDescent="0.25"/>
    <row r="114007" customFormat="1" x14ac:dyDescent="0.25"/>
    <row r="114008" customFormat="1" x14ac:dyDescent="0.25"/>
    <row r="114009" customFormat="1" x14ac:dyDescent="0.25"/>
    <row r="114010" customFormat="1" x14ac:dyDescent="0.25"/>
    <row r="114011" customFormat="1" x14ac:dyDescent="0.25"/>
    <row r="114012" customFormat="1" x14ac:dyDescent="0.25"/>
    <row r="114013" customFormat="1" x14ac:dyDescent="0.25"/>
    <row r="114014" customFormat="1" x14ac:dyDescent="0.25"/>
    <row r="114015" customFormat="1" x14ac:dyDescent="0.25"/>
    <row r="114016" customFormat="1" x14ac:dyDescent="0.25"/>
    <row r="114017" customFormat="1" x14ac:dyDescent="0.25"/>
    <row r="114018" customFormat="1" x14ac:dyDescent="0.25"/>
    <row r="114019" customFormat="1" x14ac:dyDescent="0.25"/>
    <row r="114020" customFormat="1" x14ac:dyDescent="0.25"/>
    <row r="114021" customFormat="1" x14ac:dyDescent="0.25"/>
    <row r="114022" customFormat="1" x14ac:dyDescent="0.25"/>
    <row r="114023" customFormat="1" x14ac:dyDescent="0.25"/>
    <row r="114024" customFormat="1" x14ac:dyDescent="0.25"/>
    <row r="114025" customFormat="1" x14ac:dyDescent="0.25"/>
    <row r="114026" customFormat="1" x14ac:dyDescent="0.25"/>
    <row r="114027" customFormat="1" x14ac:dyDescent="0.25"/>
    <row r="114028" customFormat="1" x14ac:dyDescent="0.25"/>
    <row r="114029" customFormat="1" x14ac:dyDescent="0.25"/>
    <row r="114030" customFormat="1" x14ac:dyDescent="0.25"/>
    <row r="114031" customFormat="1" x14ac:dyDescent="0.25"/>
    <row r="114032" customFormat="1" x14ac:dyDescent="0.25"/>
    <row r="114033" customFormat="1" x14ac:dyDescent="0.25"/>
    <row r="114034" customFormat="1" x14ac:dyDescent="0.25"/>
    <row r="114035" customFormat="1" x14ac:dyDescent="0.25"/>
    <row r="114036" customFormat="1" x14ac:dyDescent="0.25"/>
    <row r="114037" customFormat="1" x14ac:dyDescent="0.25"/>
    <row r="114038" customFormat="1" x14ac:dyDescent="0.25"/>
    <row r="114039" customFormat="1" x14ac:dyDescent="0.25"/>
    <row r="114040" customFormat="1" x14ac:dyDescent="0.25"/>
    <row r="114041" customFormat="1" x14ac:dyDescent="0.25"/>
    <row r="114042" customFormat="1" x14ac:dyDescent="0.25"/>
    <row r="114043" customFormat="1" x14ac:dyDescent="0.25"/>
    <row r="114044" customFormat="1" x14ac:dyDescent="0.25"/>
    <row r="114045" customFormat="1" x14ac:dyDescent="0.25"/>
    <row r="114046" customFormat="1" x14ac:dyDescent="0.25"/>
    <row r="114047" customFormat="1" x14ac:dyDescent="0.25"/>
    <row r="114048" customFormat="1" x14ac:dyDescent="0.25"/>
    <row r="114049" customFormat="1" x14ac:dyDescent="0.25"/>
    <row r="114050" customFormat="1" x14ac:dyDescent="0.25"/>
    <row r="114051" customFormat="1" x14ac:dyDescent="0.25"/>
    <row r="114052" customFormat="1" x14ac:dyDescent="0.25"/>
    <row r="114053" customFormat="1" x14ac:dyDescent="0.25"/>
    <row r="114054" customFormat="1" x14ac:dyDescent="0.25"/>
    <row r="114055" customFormat="1" x14ac:dyDescent="0.25"/>
    <row r="114056" customFormat="1" x14ac:dyDescent="0.25"/>
    <row r="114057" customFormat="1" x14ac:dyDescent="0.25"/>
    <row r="114058" customFormat="1" x14ac:dyDescent="0.25"/>
    <row r="114059" customFormat="1" x14ac:dyDescent="0.25"/>
    <row r="114060" customFormat="1" x14ac:dyDescent="0.25"/>
    <row r="114061" customFormat="1" x14ac:dyDescent="0.25"/>
    <row r="114062" customFormat="1" x14ac:dyDescent="0.25"/>
    <row r="114063" customFormat="1" x14ac:dyDescent="0.25"/>
    <row r="114064" customFormat="1" x14ac:dyDescent="0.25"/>
    <row r="114065" customFormat="1" x14ac:dyDescent="0.25"/>
    <row r="114066" customFormat="1" x14ac:dyDescent="0.25"/>
    <row r="114067" customFormat="1" x14ac:dyDescent="0.25"/>
    <row r="114068" customFormat="1" x14ac:dyDescent="0.25"/>
    <row r="114069" customFormat="1" x14ac:dyDescent="0.25"/>
    <row r="114070" customFormat="1" x14ac:dyDescent="0.25"/>
    <row r="114071" customFormat="1" x14ac:dyDescent="0.25"/>
    <row r="114072" customFormat="1" x14ac:dyDescent="0.25"/>
    <row r="114073" customFormat="1" x14ac:dyDescent="0.25"/>
    <row r="114074" customFormat="1" x14ac:dyDescent="0.25"/>
    <row r="114075" customFormat="1" x14ac:dyDescent="0.25"/>
    <row r="114076" customFormat="1" x14ac:dyDescent="0.25"/>
    <row r="114077" customFormat="1" x14ac:dyDescent="0.25"/>
    <row r="114078" customFormat="1" x14ac:dyDescent="0.25"/>
    <row r="114079" customFormat="1" x14ac:dyDescent="0.25"/>
    <row r="114080" customFormat="1" x14ac:dyDescent="0.25"/>
    <row r="114081" customFormat="1" x14ac:dyDescent="0.25"/>
    <row r="114082" customFormat="1" x14ac:dyDescent="0.25"/>
    <row r="114083" customFormat="1" x14ac:dyDescent="0.25"/>
    <row r="114084" customFormat="1" x14ac:dyDescent="0.25"/>
    <row r="114085" customFormat="1" x14ac:dyDescent="0.25"/>
    <row r="114086" customFormat="1" x14ac:dyDescent="0.25"/>
    <row r="114087" customFormat="1" x14ac:dyDescent="0.25"/>
    <row r="114088" customFormat="1" x14ac:dyDescent="0.25"/>
    <row r="114089" customFormat="1" x14ac:dyDescent="0.25"/>
    <row r="114090" customFormat="1" x14ac:dyDescent="0.25"/>
    <row r="114091" customFormat="1" x14ac:dyDescent="0.25"/>
    <row r="114092" customFormat="1" x14ac:dyDescent="0.25"/>
    <row r="114093" customFormat="1" x14ac:dyDescent="0.25"/>
    <row r="114094" customFormat="1" x14ac:dyDescent="0.25"/>
    <row r="114095" customFormat="1" x14ac:dyDescent="0.25"/>
    <row r="114096" customFormat="1" x14ac:dyDescent="0.25"/>
    <row r="114097" customFormat="1" x14ac:dyDescent="0.25"/>
    <row r="114098" customFormat="1" x14ac:dyDescent="0.25"/>
    <row r="114099" customFormat="1" x14ac:dyDescent="0.25"/>
    <row r="114100" customFormat="1" x14ac:dyDescent="0.25"/>
    <row r="114101" customFormat="1" x14ac:dyDescent="0.25"/>
    <row r="114102" customFormat="1" x14ac:dyDescent="0.25"/>
    <row r="114103" customFormat="1" x14ac:dyDescent="0.25"/>
    <row r="114104" customFormat="1" x14ac:dyDescent="0.25"/>
    <row r="114105" customFormat="1" x14ac:dyDescent="0.25"/>
    <row r="114106" customFormat="1" x14ac:dyDescent="0.25"/>
    <row r="114107" customFormat="1" x14ac:dyDescent="0.25"/>
    <row r="114108" customFormat="1" x14ac:dyDescent="0.25"/>
    <row r="114109" customFormat="1" x14ac:dyDescent="0.25"/>
    <row r="114110" customFormat="1" x14ac:dyDescent="0.25"/>
    <row r="114111" customFormat="1" x14ac:dyDescent="0.25"/>
    <row r="114112" customFormat="1" x14ac:dyDescent="0.25"/>
    <row r="114113" customFormat="1" x14ac:dyDescent="0.25"/>
    <row r="114114" customFormat="1" x14ac:dyDescent="0.25"/>
    <row r="114115" customFormat="1" x14ac:dyDescent="0.25"/>
    <row r="114116" customFormat="1" x14ac:dyDescent="0.25"/>
    <row r="114117" customFormat="1" x14ac:dyDescent="0.25"/>
    <row r="114118" customFormat="1" x14ac:dyDescent="0.25"/>
    <row r="114119" customFormat="1" x14ac:dyDescent="0.25"/>
    <row r="114120" customFormat="1" x14ac:dyDescent="0.25"/>
    <row r="114121" customFormat="1" x14ac:dyDescent="0.25"/>
    <row r="114122" customFormat="1" x14ac:dyDescent="0.25"/>
    <row r="114123" customFormat="1" x14ac:dyDescent="0.25"/>
    <row r="114124" customFormat="1" x14ac:dyDescent="0.25"/>
    <row r="114125" customFormat="1" x14ac:dyDescent="0.25"/>
    <row r="114126" customFormat="1" x14ac:dyDescent="0.25"/>
    <row r="114127" customFormat="1" x14ac:dyDescent="0.25"/>
    <row r="114128" customFormat="1" x14ac:dyDescent="0.25"/>
    <row r="114129" customFormat="1" x14ac:dyDescent="0.25"/>
    <row r="114130" customFormat="1" x14ac:dyDescent="0.25"/>
    <row r="114131" customFormat="1" x14ac:dyDescent="0.25"/>
    <row r="114132" customFormat="1" x14ac:dyDescent="0.25"/>
    <row r="114133" customFormat="1" x14ac:dyDescent="0.25"/>
    <row r="114134" customFormat="1" x14ac:dyDescent="0.25"/>
    <row r="114135" customFormat="1" x14ac:dyDescent="0.25"/>
    <row r="114136" customFormat="1" x14ac:dyDescent="0.25"/>
    <row r="114137" customFormat="1" x14ac:dyDescent="0.25"/>
    <row r="114138" customFormat="1" x14ac:dyDescent="0.25"/>
    <row r="114139" customFormat="1" x14ac:dyDescent="0.25"/>
    <row r="114140" customFormat="1" x14ac:dyDescent="0.25"/>
    <row r="114141" customFormat="1" x14ac:dyDescent="0.25"/>
    <row r="114142" customFormat="1" x14ac:dyDescent="0.25"/>
    <row r="114143" customFormat="1" x14ac:dyDescent="0.25"/>
    <row r="114144" customFormat="1" x14ac:dyDescent="0.25"/>
    <row r="114145" customFormat="1" x14ac:dyDescent="0.25"/>
    <row r="114146" customFormat="1" x14ac:dyDescent="0.25"/>
    <row r="114147" customFormat="1" x14ac:dyDescent="0.25"/>
    <row r="114148" customFormat="1" x14ac:dyDescent="0.25"/>
    <row r="114149" customFormat="1" x14ac:dyDescent="0.25"/>
    <row r="114150" customFormat="1" x14ac:dyDescent="0.25"/>
    <row r="114151" customFormat="1" x14ac:dyDescent="0.25"/>
    <row r="114152" customFormat="1" x14ac:dyDescent="0.25"/>
    <row r="114153" customFormat="1" x14ac:dyDescent="0.25"/>
    <row r="114154" customFormat="1" x14ac:dyDescent="0.25"/>
    <row r="114155" customFormat="1" x14ac:dyDescent="0.25"/>
    <row r="114156" customFormat="1" x14ac:dyDescent="0.25"/>
    <row r="114157" customFormat="1" x14ac:dyDescent="0.25"/>
    <row r="114158" customFormat="1" x14ac:dyDescent="0.25"/>
    <row r="114159" customFormat="1" x14ac:dyDescent="0.25"/>
    <row r="114160" customFormat="1" x14ac:dyDescent="0.25"/>
    <row r="114161" customFormat="1" x14ac:dyDescent="0.25"/>
    <row r="114162" customFormat="1" x14ac:dyDescent="0.25"/>
    <row r="114163" customFormat="1" x14ac:dyDescent="0.25"/>
    <row r="114164" customFormat="1" x14ac:dyDescent="0.25"/>
    <row r="114165" customFormat="1" x14ac:dyDescent="0.25"/>
    <row r="114166" customFormat="1" x14ac:dyDescent="0.25"/>
    <row r="114167" customFormat="1" x14ac:dyDescent="0.25"/>
    <row r="114168" customFormat="1" x14ac:dyDescent="0.25"/>
    <row r="114169" customFormat="1" x14ac:dyDescent="0.25"/>
    <row r="114170" customFormat="1" x14ac:dyDescent="0.25"/>
    <row r="114171" customFormat="1" x14ac:dyDescent="0.25"/>
    <row r="114172" customFormat="1" x14ac:dyDescent="0.25"/>
    <row r="114173" customFormat="1" x14ac:dyDescent="0.25"/>
    <row r="114174" customFormat="1" x14ac:dyDescent="0.25"/>
    <row r="114175" customFormat="1" x14ac:dyDescent="0.25"/>
    <row r="114176" customFormat="1" x14ac:dyDescent="0.25"/>
    <row r="114177" customFormat="1" x14ac:dyDescent="0.25"/>
    <row r="114178" customFormat="1" x14ac:dyDescent="0.25"/>
    <row r="114179" customFormat="1" x14ac:dyDescent="0.25"/>
    <row r="114180" customFormat="1" x14ac:dyDescent="0.25"/>
    <row r="114181" customFormat="1" x14ac:dyDescent="0.25"/>
    <row r="114182" customFormat="1" x14ac:dyDescent="0.25"/>
    <row r="114183" customFormat="1" x14ac:dyDescent="0.25"/>
    <row r="114184" customFormat="1" x14ac:dyDescent="0.25"/>
    <row r="114185" customFormat="1" x14ac:dyDescent="0.25"/>
    <row r="114186" customFormat="1" x14ac:dyDescent="0.25"/>
    <row r="114187" customFormat="1" x14ac:dyDescent="0.25"/>
    <row r="114188" customFormat="1" x14ac:dyDescent="0.25"/>
    <row r="114189" customFormat="1" x14ac:dyDescent="0.25"/>
    <row r="114190" customFormat="1" x14ac:dyDescent="0.25"/>
    <row r="114191" customFormat="1" x14ac:dyDescent="0.25"/>
    <row r="114192" customFormat="1" x14ac:dyDescent="0.25"/>
    <row r="114193" customFormat="1" x14ac:dyDescent="0.25"/>
    <row r="114194" customFormat="1" x14ac:dyDescent="0.25"/>
    <row r="114195" customFormat="1" x14ac:dyDescent="0.25"/>
    <row r="114196" customFormat="1" x14ac:dyDescent="0.25"/>
    <row r="114197" customFormat="1" x14ac:dyDescent="0.25"/>
    <row r="114198" customFormat="1" x14ac:dyDescent="0.25"/>
    <row r="114199" customFormat="1" x14ac:dyDescent="0.25"/>
    <row r="114200" customFormat="1" x14ac:dyDescent="0.25"/>
    <row r="114201" customFormat="1" x14ac:dyDescent="0.25"/>
    <row r="114202" customFormat="1" x14ac:dyDescent="0.25"/>
    <row r="114203" customFormat="1" x14ac:dyDescent="0.25"/>
    <row r="114204" customFormat="1" x14ac:dyDescent="0.25"/>
    <row r="114205" customFormat="1" x14ac:dyDescent="0.25"/>
    <row r="114206" customFormat="1" x14ac:dyDescent="0.25"/>
    <row r="114207" customFormat="1" x14ac:dyDescent="0.25"/>
    <row r="114208" customFormat="1" x14ac:dyDescent="0.25"/>
    <row r="114209" customFormat="1" x14ac:dyDescent="0.25"/>
    <row r="114210" customFormat="1" x14ac:dyDescent="0.25"/>
    <row r="114211" customFormat="1" x14ac:dyDescent="0.25"/>
    <row r="114212" customFormat="1" x14ac:dyDescent="0.25"/>
    <row r="114213" customFormat="1" x14ac:dyDescent="0.25"/>
    <row r="114214" customFormat="1" x14ac:dyDescent="0.25"/>
    <row r="114215" customFormat="1" x14ac:dyDescent="0.25"/>
    <row r="114216" customFormat="1" x14ac:dyDescent="0.25"/>
    <row r="114217" customFormat="1" x14ac:dyDescent="0.25"/>
    <row r="114218" customFormat="1" x14ac:dyDescent="0.25"/>
    <row r="114219" customFormat="1" x14ac:dyDescent="0.25"/>
    <row r="114220" customFormat="1" x14ac:dyDescent="0.25"/>
    <row r="114221" customFormat="1" x14ac:dyDescent="0.25"/>
    <row r="114222" customFormat="1" x14ac:dyDescent="0.25"/>
    <row r="114223" customFormat="1" x14ac:dyDescent="0.25"/>
    <row r="114224" customFormat="1" x14ac:dyDescent="0.25"/>
    <row r="114225" customFormat="1" x14ac:dyDescent="0.25"/>
    <row r="114226" customFormat="1" x14ac:dyDescent="0.25"/>
    <row r="114227" customFormat="1" x14ac:dyDescent="0.25"/>
    <row r="114228" customFormat="1" x14ac:dyDescent="0.25"/>
    <row r="114229" customFormat="1" x14ac:dyDescent="0.25"/>
    <row r="114230" customFormat="1" x14ac:dyDescent="0.25"/>
    <row r="114231" customFormat="1" x14ac:dyDescent="0.25"/>
    <row r="114232" customFormat="1" x14ac:dyDescent="0.25"/>
    <row r="114233" customFormat="1" x14ac:dyDescent="0.25"/>
    <row r="114234" customFormat="1" x14ac:dyDescent="0.25"/>
    <row r="114235" customFormat="1" x14ac:dyDescent="0.25"/>
    <row r="114236" customFormat="1" x14ac:dyDescent="0.25"/>
    <row r="114237" customFormat="1" x14ac:dyDescent="0.25"/>
    <row r="114238" customFormat="1" x14ac:dyDescent="0.25"/>
    <row r="114239" customFormat="1" x14ac:dyDescent="0.25"/>
    <row r="114240" customFormat="1" x14ac:dyDescent="0.25"/>
    <row r="114241" customFormat="1" x14ac:dyDescent="0.25"/>
    <row r="114242" customFormat="1" x14ac:dyDescent="0.25"/>
    <row r="114243" customFormat="1" x14ac:dyDescent="0.25"/>
    <row r="114244" customFormat="1" x14ac:dyDescent="0.25"/>
    <row r="114245" customFormat="1" x14ac:dyDescent="0.25"/>
    <row r="114246" customFormat="1" x14ac:dyDescent="0.25"/>
    <row r="114247" customFormat="1" x14ac:dyDescent="0.25"/>
    <row r="114248" customFormat="1" x14ac:dyDescent="0.25"/>
    <row r="114249" customFormat="1" x14ac:dyDescent="0.25"/>
    <row r="114250" customFormat="1" x14ac:dyDescent="0.25"/>
    <row r="114251" customFormat="1" x14ac:dyDescent="0.25"/>
    <row r="114252" customFormat="1" x14ac:dyDescent="0.25"/>
    <row r="114253" customFormat="1" x14ac:dyDescent="0.25"/>
    <row r="114254" customFormat="1" x14ac:dyDescent="0.25"/>
    <row r="114255" customFormat="1" x14ac:dyDescent="0.25"/>
    <row r="114256" customFormat="1" x14ac:dyDescent="0.25"/>
    <row r="114257" customFormat="1" x14ac:dyDescent="0.25"/>
    <row r="114258" customFormat="1" x14ac:dyDescent="0.25"/>
    <row r="114259" customFormat="1" x14ac:dyDescent="0.25"/>
    <row r="114260" customFormat="1" x14ac:dyDescent="0.25"/>
    <row r="114261" customFormat="1" x14ac:dyDescent="0.25"/>
    <row r="114262" customFormat="1" x14ac:dyDescent="0.25"/>
    <row r="114263" customFormat="1" x14ac:dyDescent="0.25"/>
    <row r="114264" customFormat="1" x14ac:dyDescent="0.25"/>
    <row r="114265" customFormat="1" x14ac:dyDescent="0.25"/>
    <row r="114266" customFormat="1" x14ac:dyDescent="0.25"/>
    <row r="114267" customFormat="1" x14ac:dyDescent="0.25"/>
    <row r="114268" customFormat="1" x14ac:dyDescent="0.25"/>
    <row r="114269" customFormat="1" x14ac:dyDescent="0.25"/>
    <row r="114270" customFormat="1" x14ac:dyDescent="0.25"/>
    <row r="114271" customFormat="1" x14ac:dyDescent="0.25"/>
    <row r="114272" customFormat="1" x14ac:dyDescent="0.25"/>
    <row r="114273" customFormat="1" x14ac:dyDescent="0.25"/>
    <row r="114274" customFormat="1" x14ac:dyDescent="0.25"/>
    <row r="114275" customFormat="1" x14ac:dyDescent="0.25"/>
    <row r="114276" customFormat="1" x14ac:dyDescent="0.25"/>
    <row r="114277" customFormat="1" x14ac:dyDescent="0.25"/>
    <row r="114278" customFormat="1" x14ac:dyDescent="0.25"/>
    <row r="114279" customFormat="1" x14ac:dyDescent="0.25"/>
    <row r="114280" customFormat="1" x14ac:dyDescent="0.25"/>
    <row r="114281" customFormat="1" x14ac:dyDescent="0.25"/>
    <row r="114282" customFormat="1" x14ac:dyDescent="0.25"/>
    <row r="114283" customFormat="1" x14ac:dyDescent="0.25"/>
    <row r="114284" customFormat="1" x14ac:dyDescent="0.25"/>
    <row r="114285" customFormat="1" x14ac:dyDescent="0.25"/>
    <row r="114286" customFormat="1" x14ac:dyDescent="0.25"/>
    <row r="114287" customFormat="1" x14ac:dyDescent="0.25"/>
    <row r="114288" customFormat="1" x14ac:dyDescent="0.25"/>
    <row r="114289" customFormat="1" x14ac:dyDescent="0.25"/>
    <row r="114290" customFormat="1" x14ac:dyDescent="0.25"/>
    <row r="114291" customFormat="1" x14ac:dyDescent="0.25"/>
    <row r="114292" customFormat="1" x14ac:dyDescent="0.25"/>
    <row r="114293" customFormat="1" x14ac:dyDescent="0.25"/>
    <row r="114294" customFormat="1" x14ac:dyDescent="0.25"/>
    <row r="114295" customFormat="1" x14ac:dyDescent="0.25"/>
    <row r="114296" customFormat="1" x14ac:dyDescent="0.25"/>
    <row r="114297" customFormat="1" x14ac:dyDescent="0.25"/>
    <row r="114298" customFormat="1" x14ac:dyDescent="0.25"/>
    <row r="114299" customFormat="1" x14ac:dyDescent="0.25"/>
    <row r="114300" customFormat="1" x14ac:dyDescent="0.25"/>
    <row r="114301" customFormat="1" x14ac:dyDescent="0.25"/>
    <row r="114302" customFormat="1" x14ac:dyDescent="0.25"/>
    <row r="114303" customFormat="1" x14ac:dyDescent="0.25"/>
    <row r="114304" customFormat="1" x14ac:dyDescent="0.25"/>
    <row r="114305" customFormat="1" x14ac:dyDescent="0.25"/>
    <row r="114306" customFormat="1" x14ac:dyDescent="0.25"/>
    <row r="114307" customFormat="1" x14ac:dyDescent="0.25"/>
    <row r="114308" customFormat="1" x14ac:dyDescent="0.25"/>
    <row r="114309" customFormat="1" x14ac:dyDescent="0.25"/>
    <row r="114310" customFormat="1" x14ac:dyDescent="0.25"/>
    <row r="114311" customFormat="1" x14ac:dyDescent="0.25"/>
    <row r="114312" customFormat="1" x14ac:dyDescent="0.25"/>
    <row r="114313" customFormat="1" x14ac:dyDescent="0.25"/>
    <row r="114314" customFormat="1" x14ac:dyDescent="0.25"/>
    <row r="114315" customFormat="1" x14ac:dyDescent="0.25"/>
    <row r="114316" customFormat="1" x14ac:dyDescent="0.25"/>
    <row r="114317" customFormat="1" x14ac:dyDescent="0.25"/>
    <row r="114318" customFormat="1" x14ac:dyDescent="0.25"/>
    <row r="114319" customFormat="1" x14ac:dyDescent="0.25"/>
    <row r="114320" customFormat="1" x14ac:dyDescent="0.25"/>
    <row r="114321" customFormat="1" x14ac:dyDescent="0.25"/>
    <row r="114322" customFormat="1" x14ac:dyDescent="0.25"/>
    <row r="114323" customFormat="1" x14ac:dyDescent="0.25"/>
    <row r="114324" customFormat="1" x14ac:dyDescent="0.25"/>
    <row r="114325" customFormat="1" x14ac:dyDescent="0.25"/>
    <row r="114326" customFormat="1" x14ac:dyDescent="0.25"/>
    <row r="114327" customFormat="1" x14ac:dyDescent="0.25"/>
    <row r="114328" customFormat="1" x14ac:dyDescent="0.25"/>
    <row r="114329" customFormat="1" x14ac:dyDescent="0.25"/>
    <row r="114330" customFormat="1" x14ac:dyDescent="0.25"/>
    <row r="114331" customFormat="1" x14ac:dyDescent="0.25"/>
    <row r="114332" customFormat="1" x14ac:dyDescent="0.25"/>
    <row r="114333" customFormat="1" x14ac:dyDescent="0.25"/>
    <row r="114334" customFormat="1" x14ac:dyDescent="0.25"/>
    <row r="114335" customFormat="1" x14ac:dyDescent="0.25"/>
    <row r="114336" customFormat="1" x14ac:dyDescent="0.25"/>
    <row r="114337" customFormat="1" x14ac:dyDescent="0.25"/>
    <row r="114338" customFormat="1" x14ac:dyDescent="0.25"/>
    <row r="114339" customFormat="1" x14ac:dyDescent="0.25"/>
    <row r="114340" customFormat="1" x14ac:dyDescent="0.25"/>
    <row r="114341" customFormat="1" x14ac:dyDescent="0.25"/>
    <row r="114342" customFormat="1" x14ac:dyDescent="0.25"/>
    <row r="114343" customFormat="1" x14ac:dyDescent="0.25"/>
    <row r="114344" customFormat="1" x14ac:dyDescent="0.25"/>
    <row r="114345" customFormat="1" x14ac:dyDescent="0.25"/>
    <row r="114346" customFormat="1" x14ac:dyDescent="0.25"/>
    <row r="114347" customFormat="1" x14ac:dyDescent="0.25"/>
    <row r="114348" customFormat="1" x14ac:dyDescent="0.25"/>
    <row r="114349" customFormat="1" x14ac:dyDescent="0.25"/>
    <row r="114350" customFormat="1" x14ac:dyDescent="0.25"/>
    <row r="114351" customFormat="1" x14ac:dyDescent="0.25"/>
    <row r="114352" customFormat="1" x14ac:dyDescent="0.25"/>
    <row r="114353" customFormat="1" x14ac:dyDescent="0.25"/>
    <row r="114354" customFormat="1" x14ac:dyDescent="0.25"/>
    <row r="114355" customFormat="1" x14ac:dyDescent="0.25"/>
    <row r="114356" customFormat="1" x14ac:dyDescent="0.25"/>
    <row r="114357" customFormat="1" x14ac:dyDescent="0.25"/>
    <row r="114358" customFormat="1" x14ac:dyDescent="0.25"/>
    <row r="114359" customFormat="1" x14ac:dyDescent="0.25"/>
    <row r="114360" customFormat="1" x14ac:dyDescent="0.25"/>
    <row r="114361" customFormat="1" x14ac:dyDescent="0.25"/>
    <row r="114362" customFormat="1" x14ac:dyDescent="0.25"/>
    <row r="114363" customFormat="1" x14ac:dyDescent="0.25"/>
    <row r="114364" customFormat="1" x14ac:dyDescent="0.25"/>
    <row r="114365" customFormat="1" x14ac:dyDescent="0.25"/>
    <row r="114366" customFormat="1" x14ac:dyDescent="0.25"/>
    <row r="114367" customFormat="1" x14ac:dyDescent="0.25"/>
    <row r="114368" customFormat="1" x14ac:dyDescent="0.25"/>
    <row r="114369" customFormat="1" x14ac:dyDescent="0.25"/>
    <row r="114370" customFormat="1" x14ac:dyDescent="0.25"/>
    <row r="114371" customFormat="1" x14ac:dyDescent="0.25"/>
    <row r="114372" customFormat="1" x14ac:dyDescent="0.25"/>
    <row r="114373" customFormat="1" x14ac:dyDescent="0.25"/>
    <row r="114374" customFormat="1" x14ac:dyDescent="0.25"/>
    <row r="114375" customFormat="1" x14ac:dyDescent="0.25"/>
    <row r="114376" customFormat="1" x14ac:dyDescent="0.25"/>
    <row r="114377" customFormat="1" x14ac:dyDescent="0.25"/>
    <row r="114378" customFormat="1" x14ac:dyDescent="0.25"/>
    <row r="114379" customFormat="1" x14ac:dyDescent="0.25"/>
    <row r="114380" customFormat="1" x14ac:dyDescent="0.25"/>
    <row r="114381" customFormat="1" x14ac:dyDescent="0.25"/>
    <row r="114382" customFormat="1" x14ac:dyDescent="0.25"/>
    <row r="114383" customFormat="1" x14ac:dyDescent="0.25"/>
    <row r="114384" customFormat="1" x14ac:dyDescent="0.25"/>
    <row r="114385" customFormat="1" x14ac:dyDescent="0.25"/>
    <row r="114386" customFormat="1" x14ac:dyDescent="0.25"/>
    <row r="114387" customFormat="1" x14ac:dyDescent="0.25"/>
    <row r="114388" customFormat="1" x14ac:dyDescent="0.25"/>
    <row r="114389" customFormat="1" x14ac:dyDescent="0.25"/>
    <row r="114390" customFormat="1" x14ac:dyDescent="0.25"/>
    <row r="114391" customFormat="1" x14ac:dyDescent="0.25"/>
    <row r="114392" customFormat="1" x14ac:dyDescent="0.25"/>
    <row r="114393" customFormat="1" x14ac:dyDescent="0.25"/>
    <row r="114394" customFormat="1" x14ac:dyDescent="0.25"/>
    <row r="114395" customFormat="1" x14ac:dyDescent="0.25"/>
    <row r="114396" customFormat="1" x14ac:dyDescent="0.25"/>
    <row r="114397" customFormat="1" x14ac:dyDescent="0.25"/>
    <row r="114398" customFormat="1" x14ac:dyDescent="0.25"/>
    <row r="114399" customFormat="1" x14ac:dyDescent="0.25"/>
    <row r="114400" customFormat="1" x14ac:dyDescent="0.25"/>
    <row r="114401" customFormat="1" x14ac:dyDescent="0.25"/>
    <row r="114402" customFormat="1" x14ac:dyDescent="0.25"/>
    <row r="114403" customFormat="1" x14ac:dyDescent="0.25"/>
    <row r="114404" customFormat="1" x14ac:dyDescent="0.25"/>
    <row r="114405" customFormat="1" x14ac:dyDescent="0.25"/>
    <row r="114406" customFormat="1" x14ac:dyDescent="0.25"/>
    <row r="114407" customFormat="1" x14ac:dyDescent="0.25"/>
    <row r="114408" customFormat="1" x14ac:dyDescent="0.25"/>
    <row r="114409" customFormat="1" x14ac:dyDescent="0.25"/>
    <row r="114410" customFormat="1" x14ac:dyDescent="0.25"/>
    <row r="114411" customFormat="1" x14ac:dyDescent="0.25"/>
    <row r="114412" customFormat="1" x14ac:dyDescent="0.25"/>
    <row r="114413" customFormat="1" x14ac:dyDescent="0.25"/>
    <row r="114414" customFormat="1" x14ac:dyDescent="0.25"/>
    <row r="114415" customFormat="1" x14ac:dyDescent="0.25"/>
    <row r="114416" customFormat="1" x14ac:dyDescent="0.25"/>
    <row r="114417" customFormat="1" x14ac:dyDescent="0.25"/>
    <row r="114418" customFormat="1" x14ac:dyDescent="0.25"/>
    <row r="114419" customFormat="1" x14ac:dyDescent="0.25"/>
    <row r="114420" customFormat="1" x14ac:dyDescent="0.25"/>
    <row r="114421" customFormat="1" x14ac:dyDescent="0.25"/>
    <row r="114422" customFormat="1" x14ac:dyDescent="0.25"/>
    <row r="114423" customFormat="1" x14ac:dyDescent="0.25"/>
    <row r="114424" customFormat="1" x14ac:dyDescent="0.25"/>
    <row r="114425" customFormat="1" x14ac:dyDescent="0.25"/>
    <row r="114426" customFormat="1" x14ac:dyDescent="0.25"/>
    <row r="114427" customFormat="1" x14ac:dyDescent="0.25"/>
    <row r="114428" customFormat="1" x14ac:dyDescent="0.25"/>
    <row r="114429" customFormat="1" x14ac:dyDescent="0.25"/>
    <row r="114430" customFormat="1" x14ac:dyDescent="0.25"/>
    <row r="114431" customFormat="1" x14ac:dyDescent="0.25"/>
    <row r="114432" customFormat="1" x14ac:dyDescent="0.25"/>
    <row r="114433" customFormat="1" x14ac:dyDescent="0.25"/>
    <row r="114434" customFormat="1" x14ac:dyDescent="0.25"/>
    <row r="114435" customFormat="1" x14ac:dyDescent="0.25"/>
    <row r="114436" customFormat="1" x14ac:dyDescent="0.25"/>
    <row r="114437" customFormat="1" x14ac:dyDescent="0.25"/>
    <row r="114438" customFormat="1" x14ac:dyDescent="0.25"/>
    <row r="114439" customFormat="1" x14ac:dyDescent="0.25"/>
    <row r="114440" customFormat="1" x14ac:dyDescent="0.25"/>
    <row r="114441" customFormat="1" x14ac:dyDescent="0.25"/>
    <row r="114442" customFormat="1" x14ac:dyDescent="0.25"/>
    <row r="114443" customFormat="1" x14ac:dyDescent="0.25"/>
    <row r="114444" customFormat="1" x14ac:dyDescent="0.25"/>
    <row r="114445" customFormat="1" x14ac:dyDescent="0.25"/>
    <row r="114446" customFormat="1" x14ac:dyDescent="0.25"/>
    <row r="114447" customFormat="1" x14ac:dyDescent="0.25"/>
    <row r="114448" customFormat="1" x14ac:dyDescent="0.25"/>
    <row r="114449" customFormat="1" x14ac:dyDescent="0.25"/>
    <row r="114450" customFormat="1" x14ac:dyDescent="0.25"/>
    <row r="114451" customFormat="1" x14ac:dyDescent="0.25"/>
    <row r="114452" customFormat="1" x14ac:dyDescent="0.25"/>
    <row r="114453" customFormat="1" x14ac:dyDescent="0.25"/>
    <row r="114454" customFormat="1" x14ac:dyDescent="0.25"/>
    <row r="114455" customFormat="1" x14ac:dyDescent="0.25"/>
    <row r="114456" customFormat="1" x14ac:dyDescent="0.25"/>
    <row r="114457" customFormat="1" x14ac:dyDescent="0.25"/>
    <row r="114458" customFormat="1" x14ac:dyDescent="0.25"/>
    <row r="114459" customFormat="1" x14ac:dyDescent="0.25"/>
    <row r="114460" customFormat="1" x14ac:dyDescent="0.25"/>
    <row r="114461" customFormat="1" x14ac:dyDescent="0.25"/>
    <row r="114462" customFormat="1" x14ac:dyDescent="0.25"/>
    <row r="114463" customFormat="1" x14ac:dyDescent="0.25"/>
    <row r="114464" customFormat="1" x14ac:dyDescent="0.25"/>
    <row r="114465" customFormat="1" x14ac:dyDescent="0.25"/>
    <row r="114466" customFormat="1" x14ac:dyDescent="0.25"/>
    <row r="114467" customFormat="1" x14ac:dyDescent="0.25"/>
    <row r="114468" customFormat="1" x14ac:dyDescent="0.25"/>
    <row r="114469" customFormat="1" x14ac:dyDescent="0.25"/>
    <row r="114470" customFormat="1" x14ac:dyDescent="0.25"/>
    <row r="114471" customFormat="1" x14ac:dyDescent="0.25"/>
    <row r="114472" customFormat="1" x14ac:dyDescent="0.25"/>
    <row r="114473" customFormat="1" x14ac:dyDescent="0.25"/>
    <row r="114474" customFormat="1" x14ac:dyDescent="0.25"/>
    <row r="114475" customFormat="1" x14ac:dyDescent="0.25"/>
    <row r="114476" customFormat="1" x14ac:dyDescent="0.25"/>
    <row r="114477" customFormat="1" x14ac:dyDescent="0.25"/>
    <row r="114478" customFormat="1" x14ac:dyDescent="0.25"/>
    <row r="114479" customFormat="1" x14ac:dyDescent="0.25"/>
    <row r="114480" customFormat="1" x14ac:dyDescent="0.25"/>
    <row r="114481" customFormat="1" x14ac:dyDescent="0.25"/>
    <row r="114482" customFormat="1" x14ac:dyDescent="0.25"/>
    <row r="114483" customFormat="1" x14ac:dyDescent="0.25"/>
    <row r="114484" customFormat="1" x14ac:dyDescent="0.25"/>
    <row r="114485" customFormat="1" x14ac:dyDescent="0.25"/>
    <row r="114486" customFormat="1" x14ac:dyDescent="0.25"/>
    <row r="114487" customFormat="1" x14ac:dyDescent="0.25"/>
    <row r="114488" customFormat="1" x14ac:dyDescent="0.25"/>
    <row r="114489" customFormat="1" x14ac:dyDescent="0.25"/>
    <row r="114490" customFormat="1" x14ac:dyDescent="0.25"/>
    <row r="114491" customFormat="1" x14ac:dyDescent="0.25"/>
    <row r="114492" customFormat="1" x14ac:dyDescent="0.25"/>
    <row r="114493" customFormat="1" x14ac:dyDescent="0.25"/>
    <row r="114494" customFormat="1" x14ac:dyDescent="0.25"/>
    <row r="114495" customFormat="1" x14ac:dyDescent="0.25"/>
    <row r="114496" customFormat="1" x14ac:dyDescent="0.25"/>
    <row r="114497" customFormat="1" x14ac:dyDescent="0.25"/>
    <row r="114498" customFormat="1" x14ac:dyDescent="0.25"/>
    <row r="114499" customFormat="1" x14ac:dyDescent="0.25"/>
    <row r="114500" customFormat="1" x14ac:dyDescent="0.25"/>
    <row r="114501" customFormat="1" x14ac:dyDescent="0.25"/>
    <row r="114502" customFormat="1" x14ac:dyDescent="0.25"/>
    <row r="114503" customFormat="1" x14ac:dyDescent="0.25"/>
    <row r="114504" customFormat="1" x14ac:dyDescent="0.25"/>
    <row r="114505" customFormat="1" x14ac:dyDescent="0.25"/>
    <row r="114506" customFormat="1" x14ac:dyDescent="0.25"/>
    <row r="114507" customFormat="1" x14ac:dyDescent="0.25"/>
    <row r="114508" customFormat="1" x14ac:dyDescent="0.25"/>
    <row r="114509" customFormat="1" x14ac:dyDescent="0.25"/>
    <row r="114510" customFormat="1" x14ac:dyDescent="0.25"/>
    <row r="114511" customFormat="1" x14ac:dyDescent="0.25"/>
    <row r="114512" customFormat="1" x14ac:dyDescent="0.25"/>
    <row r="114513" customFormat="1" x14ac:dyDescent="0.25"/>
    <row r="114514" customFormat="1" x14ac:dyDescent="0.25"/>
    <row r="114515" customFormat="1" x14ac:dyDescent="0.25"/>
    <row r="114516" customFormat="1" x14ac:dyDescent="0.25"/>
    <row r="114517" customFormat="1" x14ac:dyDescent="0.25"/>
    <row r="114518" customFormat="1" x14ac:dyDescent="0.25"/>
    <row r="114519" customFormat="1" x14ac:dyDescent="0.25"/>
    <row r="114520" customFormat="1" x14ac:dyDescent="0.25"/>
    <row r="114521" customFormat="1" x14ac:dyDescent="0.25"/>
    <row r="114522" customFormat="1" x14ac:dyDescent="0.25"/>
    <row r="114523" customFormat="1" x14ac:dyDescent="0.25"/>
    <row r="114524" customFormat="1" x14ac:dyDescent="0.25"/>
    <row r="114525" customFormat="1" x14ac:dyDescent="0.25"/>
    <row r="114526" customFormat="1" x14ac:dyDescent="0.25"/>
    <row r="114527" customFormat="1" x14ac:dyDescent="0.25"/>
    <row r="114528" customFormat="1" x14ac:dyDescent="0.25"/>
    <row r="114529" customFormat="1" x14ac:dyDescent="0.25"/>
    <row r="114530" customFormat="1" x14ac:dyDescent="0.25"/>
    <row r="114531" customFormat="1" x14ac:dyDescent="0.25"/>
    <row r="114532" customFormat="1" x14ac:dyDescent="0.25"/>
    <row r="114533" customFormat="1" x14ac:dyDescent="0.25"/>
    <row r="114534" customFormat="1" x14ac:dyDescent="0.25"/>
    <row r="114535" customFormat="1" x14ac:dyDescent="0.25"/>
    <row r="114536" customFormat="1" x14ac:dyDescent="0.25"/>
    <row r="114537" customFormat="1" x14ac:dyDescent="0.25"/>
    <row r="114538" customFormat="1" x14ac:dyDescent="0.25"/>
    <row r="114539" customFormat="1" x14ac:dyDescent="0.25"/>
    <row r="114540" customFormat="1" x14ac:dyDescent="0.25"/>
    <row r="114541" customFormat="1" x14ac:dyDescent="0.25"/>
    <row r="114542" customFormat="1" x14ac:dyDescent="0.25"/>
    <row r="114543" customFormat="1" x14ac:dyDescent="0.25"/>
    <row r="114544" customFormat="1" x14ac:dyDescent="0.25"/>
    <row r="114545" customFormat="1" x14ac:dyDescent="0.25"/>
    <row r="114546" customFormat="1" x14ac:dyDescent="0.25"/>
    <row r="114547" customFormat="1" x14ac:dyDescent="0.25"/>
    <row r="114548" customFormat="1" x14ac:dyDescent="0.25"/>
    <row r="114549" customFormat="1" x14ac:dyDescent="0.25"/>
    <row r="114550" customFormat="1" x14ac:dyDescent="0.25"/>
    <row r="114551" customFormat="1" x14ac:dyDescent="0.25"/>
    <row r="114552" customFormat="1" x14ac:dyDescent="0.25"/>
    <row r="114553" customFormat="1" x14ac:dyDescent="0.25"/>
    <row r="114554" customFormat="1" x14ac:dyDescent="0.25"/>
    <row r="114555" customFormat="1" x14ac:dyDescent="0.25"/>
    <row r="114556" customFormat="1" x14ac:dyDescent="0.25"/>
    <row r="114557" customFormat="1" x14ac:dyDescent="0.25"/>
    <row r="114558" customFormat="1" x14ac:dyDescent="0.25"/>
    <row r="114559" customFormat="1" x14ac:dyDescent="0.25"/>
    <row r="114560" customFormat="1" x14ac:dyDescent="0.25"/>
    <row r="114561" customFormat="1" x14ac:dyDescent="0.25"/>
    <row r="114562" customFormat="1" x14ac:dyDescent="0.25"/>
    <row r="114563" customFormat="1" x14ac:dyDescent="0.25"/>
    <row r="114564" customFormat="1" x14ac:dyDescent="0.25"/>
    <row r="114565" customFormat="1" x14ac:dyDescent="0.25"/>
    <row r="114566" customFormat="1" x14ac:dyDescent="0.25"/>
    <row r="114567" customFormat="1" x14ac:dyDescent="0.25"/>
    <row r="114568" customFormat="1" x14ac:dyDescent="0.25"/>
    <row r="114569" customFormat="1" x14ac:dyDescent="0.25"/>
    <row r="114570" customFormat="1" x14ac:dyDescent="0.25"/>
    <row r="114571" customFormat="1" x14ac:dyDescent="0.25"/>
    <row r="114572" customFormat="1" x14ac:dyDescent="0.25"/>
    <row r="114573" customFormat="1" x14ac:dyDescent="0.25"/>
    <row r="114574" customFormat="1" x14ac:dyDescent="0.25"/>
    <row r="114575" customFormat="1" x14ac:dyDescent="0.25"/>
    <row r="114576" customFormat="1" x14ac:dyDescent="0.25"/>
    <row r="114577" customFormat="1" x14ac:dyDescent="0.25"/>
    <row r="114578" customFormat="1" x14ac:dyDescent="0.25"/>
    <row r="114579" customFormat="1" x14ac:dyDescent="0.25"/>
    <row r="114580" customFormat="1" x14ac:dyDescent="0.25"/>
    <row r="114581" customFormat="1" x14ac:dyDescent="0.25"/>
    <row r="114582" customFormat="1" x14ac:dyDescent="0.25"/>
    <row r="114583" customFormat="1" x14ac:dyDescent="0.25"/>
    <row r="114584" customFormat="1" x14ac:dyDescent="0.25"/>
    <row r="114585" customFormat="1" x14ac:dyDescent="0.25"/>
    <row r="114586" customFormat="1" x14ac:dyDescent="0.25"/>
    <row r="114587" customFormat="1" x14ac:dyDescent="0.25"/>
    <row r="114588" customFormat="1" x14ac:dyDescent="0.25"/>
    <row r="114589" customFormat="1" x14ac:dyDescent="0.25"/>
    <row r="114590" customFormat="1" x14ac:dyDescent="0.25"/>
    <row r="114591" customFormat="1" x14ac:dyDescent="0.25"/>
    <row r="114592" customFormat="1" x14ac:dyDescent="0.25"/>
    <row r="114593" customFormat="1" x14ac:dyDescent="0.25"/>
    <row r="114594" customFormat="1" x14ac:dyDescent="0.25"/>
    <row r="114595" customFormat="1" x14ac:dyDescent="0.25"/>
    <row r="114596" customFormat="1" x14ac:dyDescent="0.25"/>
    <row r="114597" customFormat="1" x14ac:dyDescent="0.25"/>
    <row r="114598" customFormat="1" x14ac:dyDescent="0.25"/>
    <row r="114599" customFormat="1" x14ac:dyDescent="0.25"/>
    <row r="114600" customFormat="1" x14ac:dyDescent="0.25"/>
    <row r="114601" customFormat="1" x14ac:dyDescent="0.25"/>
    <row r="114602" customFormat="1" x14ac:dyDescent="0.25"/>
    <row r="114603" customFormat="1" x14ac:dyDescent="0.25"/>
    <row r="114604" customFormat="1" x14ac:dyDescent="0.25"/>
    <row r="114605" customFormat="1" x14ac:dyDescent="0.25"/>
    <row r="114606" customFormat="1" x14ac:dyDescent="0.25"/>
    <row r="114607" customFormat="1" x14ac:dyDescent="0.25"/>
    <row r="114608" customFormat="1" x14ac:dyDescent="0.25"/>
    <row r="114609" customFormat="1" x14ac:dyDescent="0.25"/>
    <row r="114610" customFormat="1" x14ac:dyDescent="0.25"/>
    <row r="114611" customFormat="1" x14ac:dyDescent="0.25"/>
    <row r="114612" customFormat="1" x14ac:dyDescent="0.25"/>
    <row r="114613" customFormat="1" x14ac:dyDescent="0.25"/>
    <row r="114614" customFormat="1" x14ac:dyDescent="0.25"/>
    <row r="114615" customFormat="1" x14ac:dyDescent="0.25"/>
    <row r="114616" customFormat="1" x14ac:dyDescent="0.25"/>
    <row r="114617" customFormat="1" x14ac:dyDescent="0.25"/>
    <row r="114618" customFormat="1" x14ac:dyDescent="0.25"/>
    <row r="114619" customFormat="1" x14ac:dyDescent="0.25"/>
    <row r="114620" customFormat="1" x14ac:dyDescent="0.25"/>
    <row r="114621" customFormat="1" x14ac:dyDescent="0.25"/>
    <row r="114622" customFormat="1" x14ac:dyDescent="0.25"/>
    <row r="114623" customFormat="1" x14ac:dyDescent="0.25"/>
    <row r="114624" customFormat="1" x14ac:dyDescent="0.25"/>
    <row r="114625" customFormat="1" x14ac:dyDescent="0.25"/>
    <row r="114626" customFormat="1" x14ac:dyDescent="0.25"/>
    <row r="114627" customFormat="1" x14ac:dyDescent="0.25"/>
    <row r="114628" customFormat="1" x14ac:dyDescent="0.25"/>
    <row r="114629" customFormat="1" x14ac:dyDescent="0.25"/>
    <row r="114630" customFormat="1" x14ac:dyDescent="0.25"/>
    <row r="114631" customFormat="1" x14ac:dyDescent="0.25"/>
    <row r="114632" customFormat="1" x14ac:dyDescent="0.25"/>
    <row r="114633" customFormat="1" x14ac:dyDescent="0.25"/>
    <row r="114634" customFormat="1" x14ac:dyDescent="0.25"/>
    <row r="114635" customFormat="1" x14ac:dyDescent="0.25"/>
    <row r="114636" customFormat="1" x14ac:dyDescent="0.25"/>
    <row r="114637" customFormat="1" x14ac:dyDescent="0.25"/>
    <row r="114638" customFormat="1" x14ac:dyDescent="0.25"/>
    <row r="114639" customFormat="1" x14ac:dyDescent="0.25"/>
    <row r="114640" customFormat="1" x14ac:dyDescent="0.25"/>
    <row r="114641" customFormat="1" x14ac:dyDescent="0.25"/>
    <row r="114642" customFormat="1" x14ac:dyDescent="0.25"/>
    <row r="114643" customFormat="1" x14ac:dyDescent="0.25"/>
    <row r="114644" customFormat="1" x14ac:dyDescent="0.25"/>
    <row r="114645" customFormat="1" x14ac:dyDescent="0.25"/>
    <row r="114646" customFormat="1" x14ac:dyDescent="0.25"/>
    <row r="114647" customFormat="1" x14ac:dyDescent="0.25"/>
    <row r="114648" customFormat="1" x14ac:dyDescent="0.25"/>
    <row r="114649" customFormat="1" x14ac:dyDescent="0.25"/>
    <row r="114650" customFormat="1" x14ac:dyDescent="0.25"/>
    <row r="114651" customFormat="1" x14ac:dyDescent="0.25"/>
    <row r="114652" customFormat="1" x14ac:dyDescent="0.25"/>
    <row r="114653" customFormat="1" x14ac:dyDescent="0.25"/>
    <row r="114654" customFormat="1" x14ac:dyDescent="0.25"/>
    <row r="114655" customFormat="1" x14ac:dyDescent="0.25"/>
    <row r="114656" customFormat="1" x14ac:dyDescent="0.25"/>
    <row r="114657" customFormat="1" x14ac:dyDescent="0.25"/>
    <row r="114658" customFormat="1" x14ac:dyDescent="0.25"/>
    <row r="114659" customFormat="1" x14ac:dyDescent="0.25"/>
    <row r="114660" customFormat="1" x14ac:dyDescent="0.25"/>
    <row r="114661" customFormat="1" x14ac:dyDescent="0.25"/>
    <row r="114662" customFormat="1" x14ac:dyDescent="0.25"/>
    <row r="114663" customFormat="1" x14ac:dyDescent="0.25"/>
    <row r="114664" customFormat="1" x14ac:dyDescent="0.25"/>
    <row r="114665" customFormat="1" x14ac:dyDescent="0.25"/>
    <row r="114666" customFormat="1" x14ac:dyDescent="0.25"/>
    <row r="114667" customFormat="1" x14ac:dyDescent="0.25"/>
    <row r="114668" customFormat="1" x14ac:dyDescent="0.25"/>
    <row r="114669" customFormat="1" x14ac:dyDescent="0.25"/>
    <row r="114670" customFormat="1" x14ac:dyDescent="0.25"/>
    <row r="114671" customFormat="1" x14ac:dyDescent="0.25"/>
    <row r="114672" customFormat="1" x14ac:dyDescent="0.25"/>
    <row r="114673" customFormat="1" x14ac:dyDescent="0.25"/>
    <row r="114674" customFormat="1" x14ac:dyDescent="0.25"/>
    <row r="114675" customFormat="1" x14ac:dyDescent="0.25"/>
    <row r="114676" customFormat="1" x14ac:dyDescent="0.25"/>
    <row r="114677" customFormat="1" x14ac:dyDescent="0.25"/>
    <row r="114678" customFormat="1" x14ac:dyDescent="0.25"/>
    <row r="114679" customFormat="1" x14ac:dyDescent="0.25"/>
    <row r="114680" customFormat="1" x14ac:dyDescent="0.25"/>
    <row r="114681" customFormat="1" x14ac:dyDescent="0.25"/>
    <row r="114682" customFormat="1" x14ac:dyDescent="0.25"/>
    <row r="114683" customFormat="1" x14ac:dyDescent="0.25"/>
    <row r="114684" customFormat="1" x14ac:dyDescent="0.25"/>
    <row r="114685" customFormat="1" x14ac:dyDescent="0.25"/>
    <row r="114686" customFormat="1" x14ac:dyDescent="0.25"/>
    <row r="114687" customFormat="1" x14ac:dyDescent="0.25"/>
    <row r="114688" customFormat="1" x14ac:dyDescent="0.25"/>
    <row r="114689" customFormat="1" x14ac:dyDescent="0.25"/>
    <row r="114690" customFormat="1" x14ac:dyDescent="0.25"/>
    <row r="114691" customFormat="1" x14ac:dyDescent="0.25"/>
    <row r="114692" customFormat="1" x14ac:dyDescent="0.25"/>
    <row r="114693" customFormat="1" x14ac:dyDescent="0.25"/>
    <row r="114694" customFormat="1" x14ac:dyDescent="0.25"/>
    <row r="114695" customFormat="1" x14ac:dyDescent="0.25"/>
    <row r="114696" customFormat="1" x14ac:dyDescent="0.25"/>
    <row r="114697" customFormat="1" x14ac:dyDescent="0.25"/>
    <row r="114698" customFormat="1" x14ac:dyDescent="0.25"/>
    <row r="114699" customFormat="1" x14ac:dyDescent="0.25"/>
    <row r="114700" customFormat="1" x14ac:dyDescent="0.25"/>
    <row r="114701" customFormat="1" x14ac:dyDescent="0.25"/>
    <row r="114702" customFormat="1" x14ac:dyDescent="0.25"/>
    <row r="114703" customFormat="1" x14ac:dyDescent="0.25"/>
    <row r="114704" customFormat="1" x14ac:dyDescent="0.25"/>
    <row r="114705" customFormat="1" x14ac:dyDescent="0.25"/>
    <row r="114706" customFormat="1" x14ac:dyDescent="0.25"/>
    <row r="114707" customFormat="1" x14ac:dyDescent="0.25"/>
    <row r="114708" customFormat="1" x14ac:dyDescent="0.25"/>
    <row r="114709" customFormat="1" x14ac:dyDescent="0.25"/>
    <row r="114710" customFormat="1" x14ac:dyDescent="0.25"/>
    <row r="114711" customFormat="1" x14ac:dyDescent="0.25"/>
    <row r="114712" customFormat="1" x14ac:dyDescent="0.25"/>
    <row r="114713" customFormat="1" x14ac:dyDescent="0.25"/>
    <row r="114714" customFormat="1" x14ac:dyDescent="0.25"/>
    <row r="114715" customFormat="1" x14ac:dyDescent="0.25"/>
    <row r="114716" customFormat="1" x14ac:dyDescent="0.25"/>
    <row r="114717" customFormat="1" x14ac:dyDescent="0.25"/>
    <row r="114718" customFormat="1" x14ac:dyDescent="0.25"/>
    <row r="114719" customFormat="1" x14ac:dyDescent="0.25"/>
    <row r="114720" customFormat="1" x14ac:dyDescent="0.25"/>
    <row r="114721" customFormat="1" x14ac:dyDescent="0.25"/>
    <row r="114722" customFormat="1" x14ac:dyDescent="0.25"/>
    <row r="114723" customFormat="1" x14ac:dyDescent="0.25"/>
    <row r="114724" customFormat="1" x14ac:dyDescent="0.25"/>
    <row r="114725" customFormat="1" x14ac:dyDescent="0.25"/>
    <row r="114726" customFormat="1" x14ac:dyDescent="0.25"/>
    <row r="114727" customFormat="1" x14ac:dyDescent="0.25"/>
    <row r="114728" customFormat="1" x14ac:dyDescent="0.25"/>
    <row r="114729" customFormat="1" x14ac:dyDescent="0.25"/>
    <row r="114730" customFormat="1" x14ac:dyDescent="0.25"/>
    <row r="114731" customFormat="1" x14ac:dyDescent="0.25"/>
    <row r="114732" customFormat="1" x14ac:dyDescent="0.25"/>
    <row r="114733" customFormat="1" x14ac:dyDescent="0.25"/>
    <row r="114734" customFormat="1" x14ac:dyDescent="0.25"/>
    <row r="114735" customFormat="1" x14ac:dyDescent="0.25"/>
    <row r="114736" customFormat="1" x14ac:dyDescent="0.25"/>
    <row r="114737" customFormat="1" x14ac:dyDescent="0.25"/>
    <row r="114738" customFormat="1" x14ac:dyDescent="0.25"/>
    <row r="114739" customFormat="1" x14ac:dyDescent="0.25"/>
    <row r="114740" customFormat="1" x14ac:dyDescent="0.25"/>
    <row r="114741" customFormat="1" x14ac:dyDescent="0.25"/>
    <row r="114742" customFormat="1" x14ac:dyDescent="0.25"/>
    <row r="114743" customFormat="1" x14ac:dyDescent="0.25"/>
    <row r="114744" customFormat="1" x14ac:dyDescent="0.25"/>
    <row r="114745" customFormat="1" x14ac:dyDescent="0.25"/>
    <row r="114746" customFormat="1" x14ac:dyDescent="0.25"/>
    <row r="114747" customFormat="1" x14ac:dyDescent="0.25"/>
    <row r="114748" customFormat="1" x14ac:dyDescent="0.25"/>
    <row r="114749" customFormat="1" x14ac:dyDescent="0.25"/>
    <row r="114750" customFormat="1" x14ac:dyDescent="0.25"/>
    <row r="114751" customFormat="1" x14ac:dyDescent="0.25"/>
    <row r="114752" customFormat="1" x14ac:dyDescent="0.25"/>
    <row r="114753" customFormat="1" x14ac:dyDescent="0.25"/>
    <row r="114754" customFormat="1" x14ac:dyDescent="0.25"/>
    <row r="114755" customFormat="1" x14ac:dyDescent="0.25"/>
    <row r="114756" customFormat="1" x14ac:dyDescent="0.25"/>
    <row r="114757" customFormat="1" x14ac:dyDescent="0.25"/>
    <row r="114758" customFormat="1" x14ac:dyDescent="0.25"/>
    <row r="114759" customFormat="1" x14ac:dyDescent="0.25"/>
    <row r="114760" customFormat="1" x14ac:dyDescent="0.25"/>
    <row r="114761" customFormat="1" x14ac:dyDescent="0.25"/>
    <row r="114762" customFormat="1" x14ac:dyDescent="0.25"/>
    <row r="114763" customFormat="1" x14ac:dyDescent="0.25"/>
    <row r="114764" customFormat="1" x14ac:dyDescent="0.25"/>
    <row r="114765" customFormat="1" x14ac:dyDescent="0.25"/>
    <row r="114766" customFormat="1" x14ac:dyDescent="0.25"/>
    <row r="114767" customFormat="1" x14ac:dyDescent="0.25"/>
    <row r="114768" customFormat="1" x14ac:dyDescent="0.25"/>
    <row r="114769" customFormat="1" x14ac:dyDescent="0.25"/>
    <row r="114770" customFormat="1" x14ac:dyDescent="0.25"/>
    <row r="114771" customFormat="1" x14ac:dyDescent="0.25"/>
    <row r="114772" customFormat="1" x14ac:dyDescent="0.25"/>
    <row r="114773" customFormat="1" x14ac:dyDescent="0.25"/>
    <row r="114774" customFormat="1" x14ac:dyDescent="0.25"/>
    <row r="114775" customFormat="1" x14ac:dyDescent="0.25"/>
    <row r="114776" customFormat="1" x14ac:dyDescent="0.25"/>
    <row r="114777" customFormat="1" x14ac:dyDescent="0.25"/>
    <row r="114778" customFormat="1" x14ac:dyDescent="0.25"/>
    <row r="114779" customFormat="1" x14ac:dyDescent="0.25"/>
    <row r="114780" customFormat="1" x14ac:dyDescent="0.25"/>
    <row r="114781" customFormat="1" x14ac:dyDescent="0.25"/>
    <row r="114782" customFormat="1" x14ac:dyDescent="0.25"/>
    <row r="114783" customFormat="1" x14ac:dyDescent="0.25"/>
    <row r="114784" customFormat="1" x14ac:dyDescent="0.25"/>
    <row r="114785" customFormat="1" x14ac:dyDescent="0.25"/>
    <row r="114786" customFormat="1" x14ac:dyDescent="0.25"/>
    <row r="114787" customFormat="1" x14ac:dyDescent="0.25"/>
    <row r="114788" customFormat="1" x14ac:dyDescent="0.25"/>
    <row r="114789" customFormat="1" x14ac:dyDescent="0.25"/>
    <row r="114790" customFormat="1" x14ac:dyDescent="0.25"/>
    <row r="114791" customFormat="1" x14ac:dyDescent="0.25"/>
    <row r="114792" customFormat="1" x14ac:dyDescent="0.25"/>
    <row r="114793" customFormat="1" x14ac:dyDescent="0.25"/>
    <row r="114794" customFormat="1" x14ac:dyDescent="0.25"/>
    <row r="114795" customFormat="1" x14ac:dyDescent="0.25"/>
    <row r="114796" customFormat="1" x14ac:dyDescent="0.25"/>
    <row r="114797" customFormat="1" x14ac:dyDescent="0.25"/>
    <row r="114798" customFormat="1" x14ac:dyDescent="0.25"/>
    <row r="114799" customFormat="1" x14ac:dyDescent="0.25"/>
    <row r="114800" customFormat="1" x14ac:dyDescent="0.25"/>
    <row r="114801" customFormat="1" x14ac:dyDescent="0.25"/>
    <row r="114802" customFormat="1" x14ac:dyDescent="0.25"/>
    <row r="114803" customFormat="1" x14ac:dyDescent="0.25"/>
    <row r="114804" customFormat="1" x14ac:dyDescent="0.25"/>
    <row r="114805" customFormat="1" x14ac:dyDescent="0.25"/>
    <row r="114806" customFormat="1" x14ac:dyDescent="0.25"/>
    <row r="114807" customFormat="1" x14ac:dyDescent="0.25"/>
    <row r="114808" customFormat="1" x14ac:dyDescent="0.25"/>
    <row r="114809" customFormat="1" x14ac:dyDescent="0.25"/>
    <row r="114810" customFormat="1" x14ac:dyDescent="0.25"/>
    <row r="114811" customFormat="1" x14ac:dyDescent="0.25"/>
    <row r="114812" customFormat="1" x14ac:dyDescent="0.25"/>
    <row r="114813" customFormat="1" x14ac:dyDescent="0.25"/>
    <row r="114814" customFormat="1" x14ac:dyDescent="0.25"/>
    <row r="114815" customFormat="1" x14ac:dyDescent="0.25"/>
    <row r="114816" customFormat="1" x14ac:dyDescent="0.25"/>
    <row r="114817" customFormat="1" x14ac:dyDescent="0.25"/>
    <row r="114818" customFormat="1" x14ac:dyDescent="0.25"/>
    <row r="114819" customFormat="1" x14ac:dyDescent="0.25"/>
    <row r="114820" customFormat="1" x14ac:dyDescent="0.25"/>
    <row r="114821" customFormat="1" x14ac:dyDescent="0.25"/>
    <row r="114822" customFormat="1" x14ac:dyDescent="0.25"/>
    <row r="114823" customFormat="1" x14ac:dyDescent="0.25"/>
    <row r="114824" customFormat="1" x14ac:dyDescent="0.25"/>
    <row r="114825" customFormat="1" x14ac:dyDescent="0.25"/>
    <row r="114826" customFormat="1" x14ac:dyDescent="0.25"/>
    <row r="114827" customFormat="1" x14ac:dyDescent="0.25"/>
    <row r="114828" customFormat="1" x14ac:dyDescent="0.25"/>
    <row r="114829" customFormat="1" x14ac:dyDescent="0.25"/>
    <row r="114830" customFormat="1" x14ac:dyDescent="0.25"/>
    <row r="114831" customFormat="1" x14ac:dyDescent="0.25"/>
    <row r="114832" customFormat="1" x14ac:dyDescent="0.25"/>
    <row r="114833" customFormat="1" x14ac:dyDescent="0.25"/>
    <row r="114834" customFormat="1" x14ac:dyDescent="0.25"/>
    <row r="114835" customFormat="1" x14ac:dyDescent="0.25"/>
    <row r="114836" customFormat="1" x14ac:dyDescent="0.25"/>
    <row r="114837" customFormat="1" x14ac:dyDescent="0.25"/>
    <row r="114838" customFormat="1" x14ac:dyDescent="0.25"/>
    <row r="114839" customFormat="1" x14ac:dyDescent="0.25"/>
    <row r="114840" customFormat="1" x14ac:dyDescent="0.25"/>
    <row r="114841" customFormat="1" x14ac:dyDescent="0.25"/>
    <row r="114842" customFormat="1" x14ac:dyDescent="0.25"/>
    <row r="114843" customFormat="1" x14ac:dyDescent="0.25"/>
    <row r="114844" customFormat="1" x14ac:dyDescent="0.25"/>
    <row r="114845" customFormat="1" x14ac:dyDescent="0.25"/>
    <row r="114846" customFormat="1" x14ac:dyDescent="0.25"/>
    <row r="114847" customFormat="1" x14ac:dyDescent="0.25"/>
    <row r="114848" customFormat="1" x14ac:dyDescent="0.25"/>
    <row r="114849" customFormat="1" x14ac:dyDescent="0.25"/>
    <row r="114850" customFormat="1" x14ac:dyDescent="0.25"/>
    <row r="114851" customFormat="1" x14ac:dyDescent="0.25"/>
    <row r="114852" customFormat="1" x14ac:dyDescent="0.25"/>
    <row r="114853" customFormat="1" x14ac:dyDescent="0.25"/>
    <row r="114854" customFormat="1" x14ac:dyDescent="0.25"/>
    <row r="114855" customFormat="1" x14ac:dyDescent="0.25"/>
    <row r="114856" customFormat="1" x14ac:dyDescent="0.25"/>
    <row r="114857" customFormat="1" x14ac:dyDescent="0.25"/>
    <row r="114858" customFormat="1" x14ac:dyDescent="0.25"/>
    <row r="114859" customFormat="1" x14ac:dyDescent="0.25"/>
    <row r="114860" customFormat="1" x14ac:dyDescent="0.25"/>
    <row r="114861" customFormat="1" x14ac:dyDescent="0.25"/>
    <row r="114862" customFormat="1" x14ac:dyDescent="0.25"/>
    <row r="114863" customFormat="1" x14ac:dyDescent="0.25"/>
    <row r="114864" customFormat="1" x14ac:dyDescent="0.25"/>
    <row r="114865" customFormat="1" x14ac:dyDescent="0.25"/>
    <row r="114866" customFormat="1" x14ac:dyDescent="0.25"/>
    <row r="114867" customFormat="1" x14ac:dyDescent="0.25"/>
    <row r="114868" customFormat="1" x14ac:dyDescent="0.25"/>
    <row r="114869" customFormat="1" x14ac:dyDescent="0.25"/>
    <row r="114870" customFormat="1" x14ac:dyDescent="0.25"/>
    <row r="114871" customFormat="1" x14ac:dyDescent="0.25"/>
    <row r="114872" customFormat="1" x14ac:dyDescent="0.25"/>
    <row r="114873" customFormat="1" x14ac:dyDescent="0.25"/>
    <row r="114874" customFormat="1" x14ac:dyDescent="0.25"/>
    <row r="114875" customFormat="1" x14ac:dyDescent="0.25"/>
    <row r="114876" customFormat="1" x14ac:dyDescent="0.25"/>
    <row r="114877" customFormat="1" x14ac:dyDescent="0.25"/>
    <row r="114878" customFormat="1" x14ac:dyDescent="0.25"/>
    <row r="114879" customFormat="1" x14ac:dyDescent="0.25"/>
    <row r="114880" customFormat="1" x14ac:dyDescent="0.25"/>
    <row r="114881" customFormat="1" x14ac:dyDescent="0.25"/>
    <row r="114882" customFormat="1" x14ac:dyDescent="0.25"/>
    <row r="114883" customFormat="1" x14ac:dyDescent="0.25"/>
    <row r="114884" customFormat="1" x14ac:dyDescent="0.25"/>
    <row r="114885" customFormat="1" x14ac:dyDescent="0.25"/>
    <row r="114886" customFormat="1" x14ac:dyDescent="0.25"/>
    <row r="114887" customFormat="1" x14ac:dyDescent="0.25"/>
    <row r="114888" customFormat="1" x14ac:dyDescent="0.25"/>
    <row r="114889" customFormat="1" x14ac:dyDescent="0.25"/>
    <row r="114890" customFormat="1" x14ac:dyDescent="0.25"/>
    <row r="114891" customFormat="1" x14ac:dyDescent="0.25"/>
    <row r="114892" customFormat="1" x14ac:dyDescent="0.25"/>
    <row r="114893" customFormat="1" x14ac:dyDescent="0.25"/>
    <row r="114894" customFormat="1" x14ac:dyDescent="0.25"/>
    <row r="114895" customFormat="1" x14ac:dyDescent="0.25"/>
    <row r="114896" customFormat="1" x14ac:dyDescent="0.25"/>
    <row r="114897" customFormat="1" x14ac:dyDescent="0.25"/>
    <row r="114898" customFormat="1" x14ac:dyDescent="0.25"/>
    <row r="114899" customFormat="1" x14ac:dyDescent="0.25"/>
    <row r="114900" customFormat="1" x14ac:dyDescent="0.25"/>
    <row r="114901" customFormat="1" x14ac:dyDescent="0.25"/>
    <row r="114902" customFormat="1" x14ac:dyDescent="0.25"/>
    <row r="114903" customFormat="1" x14ac:dyDescent="0.25"/>
    <row r="114904" customFormat="1" x14ac:dyDescent="0.25"/>
    <row r="114905" customFormat="1" x14ac:dyDescent="0.25"/>
    <row r="114906" customFormat="1" x14ac:dyDescent="0.25"/>
    <row r="114907" customFormat="1" x14ac:dyDescent="0.25"/>
    <row r="114908" customFormat="1" x14ac:dyDescent="0.25"/>
    <row r="114909" customFormat="1" x14ac:dyDescent="0.25"/>
    <row r="114910" customFormat="1" x14ac:dyDescent="0.25"/>
    <row r="114911" customFormat="1" x14ac:dyDescent="0.25"/>
    <row r="114912" customFormat="1" x14ac:dyDescent="0.25"/>
    <row r="114913" customFormat="1" x14ac:dyDescent="0.25"/>
    <row r="114914" customFormat="1" x14ac:dyDescent="0.25"/>
    <row r="114915" customFormat="1" x14ac:dyDescent="0.25"/>
    <row r="114916" customFormat="1" x14ac:dyDescent="0.25"/>
    <row r="114917" customFormat="1" x14ac:dyDescent="0.25"/>
    <row r="114918" customFormat="1" x14ac:dyDescent="0.25"/>
    <row r="114919" customFormat="1" x14ac:dyDescent="0.25"/>
    <row r="114920" customFormat="1" x14ac:dyDescent="0.25"/>
    <row r="114921" customFormat="1" x14ac:dyDescent="0.25"/>
    <row r="114922" customFormat="1" x14ac:dyDescent="0.25"/>
    <row r="114923" customFormat="1" x14ac:dyDescent="0.25"/>
    <row r="114924" customFormat="1" x14ac:dyDescent="0.25"/>
    <row r="114925" customFormat="1" x14ac:dyDescent="0.25"/>
    <row r="114926" customFormat="1" x14ac:dyDescent="0.25"/>
    <row r="114927" customFormat="1" x14ac:dyDescent="0.25"/>
    <row r="114928" customFormat="1" x14ac:dyDescent="0.25"/>
    <row r="114929" customFormat="1" x14ac:dyDescent="0.25"/>
    <row r="114930" customFormat="1" x14ac:dyDescent="0.25"/>
    <row r="114931" customFormat="1" x14ac:dyDescent="0.25"/>
    <row r="114932" customFormat="1" x14ac:dyDescent="0.25"/>
    <row r="114933" customFormat="1" x14ac:dyDescent="0.25"/>
    <row r="114934" customFormat="1" x14ac:dyDescent="0.25"/>
    <row r="114935" customFormat="1" x14ac:dyDescent="0.25"/>
    <row r="114936" customFormat="1" x14ac:dyDescent="0.25"/>
    <row r="114937" customFormat="1" x14ac:dyDescent="0.25"/>
    <row r="114938" customFormat="1" x14ac:dyDescent="0.25"/>
    <row r="114939" customFormat="1" x14ac:dyDescent="0.25"/>
    <row r="114940" customFormat="1" x14ac:dyDescent="0.25"/>
    <row r="114941" customFormat="1" x14ac:dyDescent="0.25"/>
    <row r="114942" customFormat="1" x14ac:dyDescent="0.25"/>
    <row r="114943" customFormat="1" x14ac:dyDescent="0.25"/>
    <row r="114944" customFormat="1" x14ac:dyDescent="0.25"/>
    <row r="114945" customFormat="1" x14ac:dyDescent="0.25"/>
    <row r="114946" customFormat="1" x14ac:dyDescent="0.25"/>
    <row r="114947" customFormat="1" x14ac:dyDescent="0.25"/>
    <row r="114948" customFormat="1" x14ac:dyDescent="0.25"/>
    <row r="114949" customFormat="1" x14ac:dyDescent="0.25"/>
    <row r="114950" customFormat="1" x14ac:dyDescent="0.25"/>
    <row r="114951" customFormat="1" x14ac:dyDescent="0.25"/>
    <row r="114952" customFormat="1" x14ac:dyDescent="0.25"/>
    <row r="114953" customFormat="1" x14ac:dyDescent="0.25"/>
    <row r="114954" customFormat="1" x14ac:dyDescent="0.25"/>
    <row r="114955" customFormat="1" x14ac:dyDescent="0.25"/>
    <row r="114956" customFormat="1" x14ac:dyDescent="0.25"/>
    <row r="114957" customFormat="1" x14ac:dyDescent="0.25"/>
    <row r="114958" customFormat="1" x14ac:dyDescent="0.25"/>
    <row r="114959" customFormat="1" x14ac:dyDescent="0.25"/>
    <row r="114960" customFormat="1" x14ac:dyDescent="0.25"/>
    <row r="114961" customFormat="1" x14ac:dyDescent="0.25"/>
    <row r="114962" customFormat="1" x14ac:dyDescent="0.25"/>
    <row r="114963" customFormat="1" x14ac:dyDescent="0.25"/>
    <row r="114964" customFormat="1" x14ac:dyDescent="0.25"/>
    <row r="114965" customFormat="1" x14ac:dyDescent="0.25"/>
    <row r="114966" customFormat="1" x14ac:dyDescent="0.25"/>
    <row r="114967" customFormat="1" x14ac:dyDescent="0.25"/>
    <row r="114968" customFormat="1" x14ac:dyDescent="0.25"/>
    <row r="114969" customFormat="1" x14ac:dyDescent="0.25"/>
    <row r="114970" customFormat="1" x14ac:dyDescent="0.25"/>
    <row r="114971" customFormat="1" x14ac:dyDescent="0.25"/>
    <row r="114972" customFormat="1" x14ac:dyDescent="0.25"/>
    <row r="114973" customFormat="1" x14ac:dyDescent="0.25"/>
    <row r="114974" customFormat="1" x14ac:dyDescent="0.25"/>
    <row r="114975" customFormat="1" x14ac:dyDescent="0.25"/>
    <row r="114976" customFormat="1" x14ac:dyDescent="0.25"/>
    <row r="114977" customFormat="1" x14ac:dyDescent="0.25"/>
    <row r="114978" customFormat="1" x14ac:dyDescent="0.25"/>
    <row r="114979" customFormat="1" x14ac:dyDescent="0.25"/>
    <row r="114980" customFormat="1" x14ac:dyDescent="0.25"/>
    <row r="114981" customFormat="1" x14ac:dyDescent="0.25"/>
    <row r="114982" customFormat="1" x14ac:dyDescent="0.25"/>
    <row r="114983" customFormat="1" x14ac:dyDescent="0.25"/>
    <row r="114984" customFormat="1" x14ac:dyDescent="0.25"/>
    <row r="114985" customFormat="1" x14ac:dyDescent="0.25"/>
    <row r="114986" customFormat="1" x14ac:dyDescent="0.25"/>
    <row r="114987" customFormat="1" x14ac:dyDescent="0.25"/>
    <row r="114988" customFormat="1" x14ac:dyDescent="0.25"/>
    <row r="114989" customFormat="1" x14ac:dyDescent="0.25"/>
    <row r="114990" customFormat="1" x14ac:dyDescent="0.25"/>
    <row r="114991" customFormat="1" x14ac:dyDescent="0.25"/>
    <row r="114992" customFormat="1" x14ac:dyDescent="0.25"/>
    <row r="114993" customFormat="1" x14ac:dyDescent="0.25"/>
    <row r="114994" customFormat="1" x14ac:dyDescent="0.25"/>
    <row r="114995" customFormat="1" x14ac:dyDescent="0.25"/>
    <row r="114996" customFormat="1" x14ac:dyDescent="0.25"/>
    <row r="114997" customFormat="1" x14ac:dyDescent="0.25"/>
    <row r="114998" customFormat="1" x14ac:dyDescent="0.25"/>
    <row r="114999" customFormat="1" x14ac:dyDescent="0.25"/>
    <row r="115000" customFormat="1" x14ac:dyDescent="0.25"/>
    <row r="115001" customFormat="1" x14ac:dyDescent="0.25"/>
    <row r="115002" customFormat="1" x14ac:dyDescent="0.25"/>
    <row r="115003" customFormat="1" x14ac:dyDescent="0.25"/>
    <row r="115004" customFormat="1" x14ac:dyDescent="0.25"/>
    <row r="115005" customFormat="1" x14ac:dyDescent="0.25"/>
    <row r="115006" customFormat="1" x14ac:dyDescent="0.25"/>
    <row r="115007" customFormat="1" x14ac:dyDescent="0.25"/>
    <row r="115008" customFormat="1" x14ac:dyDescent="0.25"/>
    <row r="115009" customFormat="1" x14ac:dyDescent="0.25"/>
    <row r="115010" customFormat="1" x14ac:dyDescent="0.25"/>
    <row r="115011" customFormat="1" x14ac:dyDescent="0.25"/>
    <row r="115012" customFormat="1" x14ac:dyDescent="0.25"/>
    <row r="115013" customFormat="1" x14ac:dyDescent="0.25"/>
    <row r="115014" customFormat="1" x14ac:dyDescent="0.25"/>
    <row r="115015" customFormat="1" x14ac:dyDescent="0.25"/>
    <row r="115016" customFormat="1" x14ac:dyDescent="0.25"/>
    <row r="115017" customFormat="1" x14ac:dyDescent="0.25"/>
    <row r="115018" customFormat="1" x14ac:dyDescent="0.25"/>
    <row r="115019" customFormat="1" x14ac:dyDescent="0.25"/>
    <row r="115020" customFormat="1" x14ac:dyDescent="0.25"/>
    <row r="115021" customFormat="1" x14ac:dyDescent="0.25"/>
    <row r="115022" customFormat="1" x14ac:dyDescent="0.25"/>
    <row r="115023" customFormat="1" x14ac:dyDescent="0.25"/>
    <row r="115024" customFormat="1" x14ac:dyDescent="0.25"/>
    <row r="115025" customFormat="1" x14ac:dyDescent="0.25"/>
    <row r="115026" customFormat="1" x14ac:dyDescent="0.25"/>
    <row r="115027" customFormat="1" x14ac:dyDescent="0.25"/>
    <row r="115028" customFormat="1" x14ac:dyDescent="0.25"/>
    <row r="115029" customFormat="1" x14ac:dyDescent="0.25"/>
    <row r="115030" customFormat="1" x14ac:dyDescent="0.25"/>
    <row r="115031" customFormat="1" x14ac:dyDescent="0.25"/>
    <row r="115032" customFormat="1" x14ac:dyDescent="0.25"/>
    <row r="115033" customFormat="1" x14ac:dyDescent="0.25"/>
    <row r="115034" customFormat="1" x14ac:dyDescent="0.25"/>
    <row r="115035" customFormat="1" x14ac:dyDescent="0.25"/>
    <row r="115036" customFormat="1" x14ac:dyDescent="0.25"/>
    <row r="115037" customFormat="1" x14ac:dyDescent="0.25"/>
    <row r="115038" customFormat="1" x14ac:dyDescent="0.25"/>
    <row r="115039" customFormat="1" x14ac:dyDescent="0.25"/>
    <row r="115040" customFormat="1" x14ac:dyDescent="0.25"/>
    <row r="115041" customFormat="1" x14ac:dyDescent="0.25"/>
    <row r="115042" customFormat="1" x14ac:dyDescent="0.25"/>
    <row r="115043" customFormat="1" x14ac:dyDescent="0.25"/>
    <row r="115044" customFormat="1" x14ac:dyDescent="0.25"/>
    <row r="115045" customFormat="1" x14ac:dyDescent="0.25"/>
    <row r="115046" customFormat="1" x14ac:dyDescent="0.25"/>
    <row r="115047" customFormat="1" x14ac:dyDescent="0.25"/>
    <row r="115048" customFormat="1" x14ac:dyDescent="0.25"/>
    <row r="115049" customFormat="1" x14ac:dyDescent="0.25"/>
    <row r="115050" customFormat="1" x14ac:dyDescent="0.25"/>
    <row r="115051" customFormat="1" x14ac:dyDescent="0.25"/>
    <row r="115052" customFormat="1" x14ac:dyDescent="0.25"/>
    <row r="115053" customFormat="1" x14ac:dyDescent="0.25"/>
    <row r="115054" customFormat="1" x14ac:dyDescent="0.25"/>
    <row r="115055" customFormat="1" x14ac:dyDescent="0.25"/>
    <row r="115056" customFormat="1" x14ac:dyDescent="0.25"/>
    <row r="115057" customFormat="1" x14ac:dyDescent="0.25"/>
    <row r="115058" customFormat="1" x14ac:dyDescent="0.25"/>
    <row r="115059" customFormat="1" x14ac:dyDescent="0.25"/>
    <row r="115060" customFormat="1" x14ac:dyDescent="0.25"/>
    <row r="115061" customFormat="1" x14ac:dyDescent="0.25"/>
    <row r="115062" customFormat="1" x14ac:dyDescent="0.25"/>
    <row r="115063" customFormat="1" x14ac:dyDescent="0.25"/>
    <row r="115064" customFormat="1" x14ac:dyDescent="0.25"/>
    <row r="115065" customFormat="1" x14ac:dyDescent="0.25"/>
    <row r="115066" customFormat="1" x14ac:dyDescent="0.25"/>
    <row r="115067" customFormat="1" x14ac:dyDescent="0.25"/>
    <row r="115068" customFormat="1" x14ac:dyDescent="0.25"/>
    <row r="115069" customFormat="1" x14ac:dyDescent="0.25"/>
    <row r="115070" customFormat="1" x14ac:dyDescent="0.25"/>
    <row r="115071" customFormat="1" x14ac:dyDescent="0.25"/>
    <row r="115072" customFormat="1" x14ac:dyDescent="0.25"/>
    <row r="115073" customFormat="1" x14ac:dyDescent="0.25"/>
    <row r="115074" customFormat="1" x14ac:dyDescent="0.25"/>
    <row r="115075" customFormat="1" x14ac:dyDescent="0.25"/>
    <row r="115076" customFormat="1" x14ac:dyDescent="0.25"/>
    <row r="115077" customFormat="1" x14ac:dyDescent="0.25"/>
    <row r="115078" customFormat="1" x14ac:dyDescent="0.25"/>
    <row r="115079" customFormat="1" x14ac:dyDescent="0.25"/>
    <row r="115080" customFormat="1" x14ac:dyDescent="0.25"/>
    <row r="115081" customFormat="1" x14ac:dyDescent="0.25"/>
    <row r="115082" customFormat="1" x14ac:dyDescent="0.25"/>
    <row r="115083" customFormat="1" x14ac:dyDescent="0.25"/>
    <row r="115084" customFormat="1" x14ac:dyDescent="0.25"/>
    <row r="115085" customFormat="1" x14ac:dyDescent="0.25"/>
    <row r="115086" customFormat="1" x14ac:dyDescent="0.25"/>
    <row r="115087" customFormat="1" x14ac:dyDescent="0.25"/>
    <row r="115088" customFormat="1" x14ac:dyDescent="0.25"/>
    <row r="115089" customFormat="1" x14ac:dyDescent="0.25"/>
    <row r="115090" customFormat="1" x14ac:dyDescent="0.25"/>
    <row r="115091" customFormat="1" x14ac:dyDescent="0.25"/>
    <row r="115092" customFormat="1" x14ac:dyDescent="0.25"/>
    <row r="115093" customFormat="1" x14ac:dyDescent="0.25"/>
    <row r="115094" customFormat="1" x14ac:dyDescent="0.25"/>
    <row r="115095" customFormat="1" x14ac:dyDescent="0.25"/>
    <row r="115096" customFormat="1" x14ac:dyDescent="0.25"/>
    <row r="115097" customFormat="1" x14ac:dyDescent="0.25"/>
    <row r="115098" customFormat="1" x14ac:dyDescent="0.25"/>
    <row r="115099" customFormat="1" x14ac:dyDescent="0.25"/>
    <row r="115100" customFormat="1" x14ac:dyDescent="0.25"/>
    <row r="115101" customFormat="1" x14ac:dyDescent="0.25"/>
    <row r="115102" customFormat="1" x14ac:dyDescent="0.25"/>
    <row r="115103" customFormat="1" x14ac:dyDescent="0.25"/>
    <row r="115104" customFormat="1" x14ac:dyDescent="0.25"/>
    <row r="115105" customFormat="1" x14ac:dyDescent="0.25"/>
    <row r="115106" customFormat="1" x14ac:dyDescent="0.25"/>
    <row r="115107" customFormat="1" x14ac:dyDescent="0.25"/>
    <row r="115108" customFormat="1" x14ac:dyDescent="0.25"/>
    <row r="115109" customFormat="1" x14ac:dyDescent="0.25"/>
    <row r="115110" customFormat="1" x14ac:dyDescent="0.25"/>
    <row r="115111" customFormat="1" x14ac:dyDescent="0.25"/>
    <row r="115112" customFormat="1" x14ac:dyDescent="0.25"/>
    <row r="115113" customFormat="1" x14ac:dyDescent="0.25"/>
    <row r="115114" customFormat="1" x14ac:dyDescent="0.25"/>
    <row r="115115" customFormat="1" x14ac:dyDescent="0.25"/>
    <row r="115116" customFormat="1" x14ac:dyDescent="0.25"/>
    <row r="115117" customFormat="1" x14ac:dyDescent="0.25"/>
    <row r="115118" customFormat="1" x14ac:dyDescent="0.25"/>
    <row r="115119" customFormat="1" x14ac:dyDescent="0.25"/>
    <row r="115120" customFormat="1" x14ac:dyDescent="0.25"/>
    <row r="115121" customFormat="1" x14ac:dyDescent="0.25"/>
    <row r="115122" customFormat="1" x14ac:dyDescent="0.25"/>
    <row r="115123" customFormat="1" x14ac:dyDescent="0.25"/>
    <row r="115124" customFormat="1" x14ac:dyDescent="0.25"/>
    <row r="115125" customFormat="1" x14ac:dyDescent="0.25"/>
    <row r="115126" customFormat="1" x14ac:dyDescent="0.25"/>
    <row r="115127" customFormat="1" x14ac:dyDescent="0.25"/>
    <row r="115128" customFormat="1" x14ac:dyDescent="0.25"/>
    <row r="115129" customFormat="1" x14ac:dyDescent="0.25"/>
    <row r="115130" customFormat="1" x14ac:dyDescent="0.25"/>
    <row r="115131" customFormat="1" x14ac:dyDescent="0.25"/>
    <row r="115132" customFormat="1" x14ac:dyDescent="0.25"/>
    <row r="115133" customFormat="1" x14ac:dyDescent="0.25"/>
    <row r="115134" customFormat="1" x14ac:dyDescent="0.25"/>
    <row r="115135" customFormat="1" x14ac:dyDescent="0.25"/>
    <row r="115136" customFormat="1" x14ac:dyDescent="0.25"/>
    <row r="115137" customFormat="1" x14ac:dyDescent="0.25"/>
    <row r="115138" customFormat="1" x14ac:dyDescent="0.25"/>
    <row r="115139" customFormat="1" x14ac:dyDescent="0.25"/>
    <row r="115140" customFormat="1" x14ac:dyDescent="0.25"/>
    <row r="115141" customFormat="1" x14ac:dyDescent="0.25"/>
    <row r="115142" customFormat="1" x14ac:dyDescent="0.25"/>
    <row r="115143" customFormat="1" x14ac:dyDescent="0.25"/>
    <row r="115144" customFormat="1" x14ac:dyDescent="0.25"/>
    <row r="115145" customFormat="1" x14ac:dyDescent="0.25"/>
    <row r="115146" customFormat="1" x14ac:dyDescent="0.25"/>
    <row r="115147" customFormat="1" x14ac:dyDescent="0.25"/>
    <row r="115148" customFormat="1" x14ac:dyDescent="0.25"/>
    <row r="115149" customFormat="1" x14ac:dyDescent="0.25"/>
    <row r="115150" customFormat="1" x14ac:dyDescent="0.25"/>
    <row r="115151" customFormat="1" x14ac:dyDescent="0.25"/>
    <row r="115152" customFormat="1" x14ac:dyDescent="0.25"/>
    <row r="115153" customFormat="1" x14ac:dyDescent="0.25"/>
    <row r="115154" customFormat="1" x14ac:dyDescent="0.25"/>
    <row r="115155" customFormat="1" x14ac:dyDescent="0.25"/>
    <row r="115156" customFormat="1" x14ac:dyDescent="0.25"/>
    <row r="115157" customFormat="1" x14ac:dyDescent="0.25"/>
    <row r="115158" customFormat="1" x14ac:dyDescent="0.25"/>
    <row r="115159" customFormat="1" x14ac:dyDescent="0.25"/>
    <row r="115160" customFormat="1" x14ac:dyDescent="0.25"/>
    <row r="115161" customFormat="1" x14ac:dyDescent="0.25"/>
    <row r="115162" customFormat="1" x14ac:dyDescent="0.25"/>
    <row r="115163" customFormat="1" x14ac:dyDescent="0.25"/>
    <row r="115164" customFormat="1" x14ac:dyDescent="0.25"/>
    <row r="115165" customFormat="1" x14ac:dyDescent="0.25"/>
    <row r="115166" customFormat="1" x14ac:dyDescent="0.25"/>
    <row r="115167" customFormat="1" x14ac:dyDescent="0.25"/>
    <row r="115168" customFormat="1" x14ac:dyDescent="0.25"/>
    <row r="115169" customFormat="1" x14ac:dyDescent="0.25"/>
    <row r="115170" customFormat="1" x14ac:dyDescent="0.25"/>
    <row r="115171" customFormat="1" x14ac:dyDescent="0.25"/>
    <row r="115172" customFormat="1" x14ac:dyDescent="0.25"/>
    <row r="115173" customFormat="1" x14ac:dyDescent="0.25"/>
    <row r="115174" customFormat="1" x14ac:dyDescent="0.25"/>
    <row r="115175" customFormat="1" x14ac:dyDescent="0.25"/>
    <row r="115176" customFormat="1" x14ac:dyDescent="0.25"/>
    <row r="115177" customFormat="1" x14ac:dyDescent="0.25"/>
    <row r="115178" customFormat="1" x14ac:dyDescent="0.25"/>
    <row r="115179" customFormat="1" x14ac:dyDescent="0.25"/>
    <row r="115180" customFormat="1" x14ac:dyDescent="0.25"/>
    <row r="115181" customFormat="1" x14ac:dyDescent="0.25"/>
    <row r="115182" customFormat="1" x14ac:dyDescent="0.25"/>
    <row r="115183" customFormat="1" x14ac:dyDescent="0.25"/>
    <row r="115184" customFormat="1" x14ac:dyDescent="0.25"/>
    <row r="115185" customFormat="1" x14ac:dyDescent="0.25"/>
    <row r="115186" customFormat="1" x14ac:dyDescent="0.25"/>
    <row r="115187" customFormat="1" x14ac:dyDescent="0.25"/>
    <row r="115188" customFormat="1" x14ac:dyDescent="0.25"/>
    <row r="115189" customFormat="1" x14ac:dyDescent="0.25"/>
    <row r="115190" customFormat="1" x14ac:dyDescent="0.25"/>
    <row r="115191" customFormat="1" x14ac:dyDescent="0.25"/>
    <row r="115192" customFormat="1" x14ac:dyDescent="0.25"/>
    <row r="115193" customFormat="1" x14ac:dyDescent="0.25"/>
    <row r="115194" customFormat="1" x14ac:dyDescent="0.25"/>
    <row r="115195" customFormat="1" x14ac:dyDescent="0.25"/>
    <row r="115196" customFormat="1" x14ac:dyDescent="0.25"/>
    <row r="115197" customFormat="1" x14ac:dyDescent="0.25"/>
    <row r="115198" customFormat="1" x14ac:dyDescent="0.25"/>
    <row r="115199" customFormat="1" x14ac:dyDescent="0.25"/>
    <row r="115200" customFormat="1" x14ac:dyDescent="0.25"/>
    <row r="115201" customFormat="1" x14ac:dyDescent="0.25"/>
    <row r="115202" customFormat="1" x14ac:dyDescent="0.25"/>
    <row r="115203" customFormat="1" x14ac:dyDescent="0.25"/>
    <row r="115204" customFormat="1" x14ac:dyDescent="0.25"/>
    <row r="115205" customFormat="1" x14ac:dyDescent="0.25"/>
    <row r="115206" customFormat="1" x14ac:dyDescent="0.25"/>
    <row r="115207" customFormat="1" x14ac:dyDescent="0.25"/>
    <row r="115208" customFormat="1" x14ac:dyDescent="0.25"/>
    <row r="115209" customFormat="1" x14ac:dyDescent="0.25"/>
    <row r="115210" customFormat="1" x14ac:dyDescent="0.25"/>
    <row r="115211" customFormat="1" x14ac:dyDescent="0.25"/>
    <row r="115212" customFormat="1" x14ac:dyDescent="0.25"/>
    <row r="115213" customFormat="1" x14ac:dyDescent="0.25"/>
    <row r="115214" customFormat="1" x14ac:dyDescent="0.25"/>
    <row r="115215" customFormat="1" x14ac:dyDescent="0.25"/>
    <row r="115216" customFormat="1" x14ac:dyDescent="0.25"/>
    <row r="115217" customFormat="1" x14ac:dyDescent="0.25"/>
    <row r="115218" customFormat="1" x14ac:dyDescent="0.25"/>
    <row r="115219" customFormat="1" x14ac:dyDescent="0.25"/>
    <row r="115220" customFormat="1" x14ac:dyDescent="0.25"/>
    <row r="115221" customFormat="1" x14ac:dyDescent="0.25"/>
    <row r="115222" customFormat="1" x14ac:dyDescent="0.25"/>
    <row r="115223" customFormat="1" x14ac:dyDescent="0.25"/>
    <row r="115224" customFormat="1" x14ac:dyDescent="0.25"/>
    <row r="115225" customFormat="1" x14ac:dyDescent="0.25"/>
    <row r="115226" customFormat="1" x14ac:dyDescent="0.25"/>
    <row r="115227" customFormat="1" x14ac:dyDescent="0.25"/>
    <row r="115228" customFormat="1" x14ac:dyDescent="0.25"/>
    <row r="115229" customFormat="1" x14ac:dyDescent="0.25"/>
    <row r="115230" customFormat="1" x14ac:dyDescent="0.25"/>
    <row r="115231" customFormat="1" x14ac:dyDescent="0.25"/>
    <row r="115232" customFormat="1" x14ac:dyDescent="0.25"/>
    <row r="115233" customFormat="1" x14ac:dyDescent="0.25"/>
    <row r="115234" customFormat="1" x14ac:dyDescent="0.25"/>
    <row r="115235" customFormat="1" x14ac:dyDescent="0.25"/>
    <row r="115236" customFormat="1" x14ac:dyDescent="0.25"/>
    <row r="115237" customFormat="1" x14ac:dyDescent="0.25"/>
    <row r="115238" customFormat="1" x14ac:dyDescent="0.25"/>
    <row r="115239" customFormat="1" x14ac:dyDescent="0.25"/>
    <row r="115240" customFormat="1" x14ac:dyDescent="0.25"/>
    <row r="115241" customFormat="1" x14ac:dyDescent="0.25"/>
    <row r="115242" customFormat="1" x14ac:dyDescent="0.25"/>
    <row r="115243" customFormat="1" x14ac:dyDescent="0.25"/>
    <row r="115244" customFormat="1" x14ac:dyDescent="0.25"/>
    <row r="115245" customFormat="1" x14ac:dyDescent="0.25"/>
    <row r="115246" customFormat="1" x14ac:dyDescent="0.25"/>
    <row r="115247" customFormat="1" x14ac:dyDescent="0.25"/>
    <row r="115248" customFormat="1" x14ac:dyDescent="0.25"/>
    <row r="115249" customFormat="1" x14ac:dyDescent="0.25"/>
    <row r="115250" customFormat="1" x14ac:dyDescent="0.25"/>
    <row r="115251" customFormat="1" x14ac:dyDescent="0.25"/>
    <row r="115252" customFormat="1" x14ac:dyDescent="0.25"/>
    <row r="115253" customFormat="1" x14ac:dyDescent="0.25"/>
    <row r="115254" customFormat="1" x14ac:dyDescent="0.25"/>
    <row r="115255" customFormat="1" x14ac:dyDescent="0.25"/>
    <row r="115256" customFormat="1" x14ac:dyDescent="0.25"/>
    <row r="115257" customFormat="1" x14ac:dyDescent="0.25"/>
    <row r="115258" customFormat="1" x14ac:dyDescent="0.25"/>
    <row r="115259" customFormat="1" x14ac:dyDescent="0.25"/>
    <row r="115260" customFormat="1" x14ac:dyDescent="0.25"/>
    <row r="115261" customFormat="1" x14ac:dyDescent="0.25"/>
    <row r="115262" customFormat="1" x14ac:dyDescent="0.25"/>
    <row r="115263" customFormat="1" x14ac:dyDescent="0.25"/>
    <row r="115264" customFormat="1" x14ac:dyDescent="0.25"/>
    <row r="115265" customFormat="1" x14ac:dyDescent="0.25"/>
    <row r="115266" customFormat="1" x14ac:dyDescent="0.25"/>
    <row r="115267" customFormat="1" x14ac:dyDescent="0.25"/>
    <row r="115268" customFormat="1" x14ac:dyDescent="0.25"/>
    <row r="115269" customFormat="1" x14ac:dyDescent="0.25"/>
    <row r="115270" customFormat="1" x14ac:dyDescent="0.25"/>
    <row r="115271" customFormat="1" x14ac:dyDescent="0.25"/>
    <row r="115272" customFormat="1" x14ac:dyDescent="0.25"/>
    <row r="115273" customFormat="1" x14ac:dyDescent="0.25"/>
    <row r="115274" customFormat="1" x14ac:dyDescent="0.25"/>
    <row r="115275" customFormat="1" x14ac:dyDescent="0.25"/>
    <row r="115276" customFormat="1" x14ac:dyDescent="0.25"/>
    <row r="115277" customFormat="1" x14ac:dyDescent="0.25"/>
    <row r="115278" customFormat="1" x14ac:dyDescent="0.25"/>
    <row r="115279" customFormat="1" x14ac:dyDescent="0.25"/>
    <row r="115280" customFormat="1" x14ac:dyDescent="0.25"/>
    <row r="115281" customFormat="1" x14ac:dyDescent="0.25"/>
    <row r="115282" customFormat="1" x14ac:dyDescent="0.25"/>
    <row r="115283" customFormat="1" x14ac:dyDescent="0.25"/>
    <row r="115284" customFormat="1" x14ac:dyDescent="0.25"/>
    <row r="115285" customFormat="1" x14ac:dyDescent="0.25"/>
    <row r="115286" customFormat="1" x14ac:dyDescent="0.25"/>
    <row r="115287" customFormat="1" x14ac:dyDescent="0.25"/>
    <row r="115288" customFormat="1" x14ac:dyDescent="0.25"/>
    <row r="115289" customFormat="1" x14ac:dyDescent="0.25"/>
    <row r="115290" customFormat="1" x14ac:dyDescent="0.25"/>
    <row r="115291" customFormat="1" x14ac:dyDescent="0.25"/>
    <row r="115292" customFormat="1" x14ac:dyDescent="0.25"/>
    <row r="115293" customFormat="1" x14ac:dyDescent="0.25"/>
    <row r="115294" customFormat="1" x14ac:dyDescent="0.25"/>
    <row r="115295" customFormat="1" x14ac:dyDescent="0.25"/>
    <row r="115296" customFormat="1" x14ac:dyDescent="0.25"/>
    <row r="115297" customFormat="1" x14ac:dyDescent="0.25"/>
    <row r="115298" customFormat="1" x14ac:dyDescent="0.25"/>
    <row r="115299" customFormat="1" x14ac:dyDescent="0.25"/>
    <row r="115300" customFormat="1" x14ac:dyDescent="0.25"/>
    <row r="115301" customFormat="1" x14ac:dyDescent="0.25"/>
    <row r="115302" customFormat="1" x14ac:dyDescent="0.25"/>
    <row r="115303" customFormat="1" x14ac:dyDescent="0.25"/>
    <row r="115304" customFormat="1" x14ac:dyDescent="0.25"/>
    <row r="115305" customFormat="1" x14ac:dyDescent="0.25"/>
    <row r="115306" customFormat="1" x14ac:dyDescent="0.25"/>
    <row r="115307" customFormat="1" x14ac:dyDescent="0.25"/>
    <row r="115308" customFormat="1" x14ac:dyDescent="0.25"/>
    <row r="115309" customFormat="1" x14ac:dyDescent="0.25"/>
    <row r="115310" customFormat="1" x14ac:dyDescent="0.25"/>
    <row r="115311" customFormat="1" x14ac:dyDescent="0.25"/>
    <row r="115312" customFormat="1" x14ac:dyDescent="0.25"/>
    <row r="115313" customFormat="1" x14ac:dyDescent="0.25"/>
    <row r="115314" customFormat="1" x14ac:dyDescent="0.25"/>
    <row r="115315" customFormat="1" x14ac:dyDescent="0.25"/>
    <row r="115316" customFormat="1" x14ac:dyDescent="0.25"/>
    <row r="115317" customFormat="1" x14ac:dyDescent="0.25"/>
    <row r="115318" customFormat="1" x14ac:dyDescent="0.25"/>
    <row r="115319" customFormat="1" x14ac:dyDescent="0.25"/>
    <row r="115320" customFormat="1" x14ac:dyDescent="0.25"/>
    <row r="115321" customFormat="1" x14ac:dyDescent="0.25"/>
    <row r="115322" customFormat="1" x14ac:dyDescent="0.25"/>
    <row r="115323" customFormat="1" x14ac:dyDescent="0.25"/>
    <row r="115324" customFormat="1" x14ac:dyDescent="0.25"/>
    <row r="115325" customFormat="1" x14ac:dyDescent="0.25"/>
    <row r="115326" customFormat="1" x14ac:dyDescent="0.25"/>
    <row r="115327" customFormat="1" x14ac:dyDescent="0.25"/>
    <row r="115328" customFormat="1" x14ac:dyDescent="0.25"/>
    <row r="115329" customFormat="1" x14ac:dyDescent="0.25"/>
    <row r="115330" customFormat="1" x14ac:dyDescent="0.25"/>
    <row r="115331" customFormat="1" x14ac:dyDescent="0.25"/>
    <row r="115332" customFormat="1" x14ac:dyDescent="0.25"/>
    <row r="115333" customFormat="1" x14ac:dyDescent="0.25"/>
    <row r="115334" customFormat="1" x14ac:dyDescent="0.25"/>
    <row r="115335" customFormat="1" x14ac:dyDescent="0.25"/>
    <row r="115336" customFormat="1" x14ac:dyDescent="0.25"/>
    <row r="115337" customFormat="1" x14ac:dyDescent="0.25"/>
    <row r="115338" customFormat="1" x14ac:dyDescent="0.25"/>
    <row r="115339" customFormat="1" x14ac:dyDescent="0.25"/>
    <row r="115340" customFormat="1" x14ac:dyDescent="0.25"/>
    <row r="115341" customFormat="1" x14ac:dyDescent="0.25"/>
    <row r="115342" customFormat="1" x14ac:dyDescent="0.25"/>
    <row r="115343" customFormat="1" x14ac:dyDescent="0.25"/>
    <row r="115344" customFormat="1" x14ac:dyDescent="0.25"/>
    <row r="115345" customFormat="1" x14ac:dyDescent="0.25"/>
    <row r="115346" customFormat="1" x14ac:dyDescent="0.25"/>
    <row r="115347" customFormat="1" x14ac:dyDescent="0.25"/>
    <row r="115348" customFormat="1" x14ac:dyDescent="0.25"/>
    <row r="115349" customFormat="1" x14ac:dyDescent="0.25"/>
    <row r="115350" customFormat="1" x14ac:dyDescent="0.25"/>
    <row r="115351" customFormat="1" x14ac:dyDescent="0.25"/>
    <row r="115352" customFormat="1" x14ac:dyDescent="0.25"/>
    <row r="115353" customFormat="1" x14ac:dyDescent="0.25"/>
    <row r="115354" customFormat="1" x14ac:dyDescent="0.25"/>
    <row r="115355" customFormat="1" x14ac:dyDescent="0.25"/>
    <row r="115356" customFormat="1" x14ac:dyDescent="0.25"/>
    <row r="115357" customFormat="1" x14ac:dyDescent="0.25"/>
    <row r="115358" customFormat="1" x14ac:dyDescent="0.25"/>
    <row r="115359" customFormat="1" x14ac:dyDescent="0.25"/>
    <row r="115360" customFormat="1" x14ac:dyDescent="0.25"/>
    <row r="115361" customFormat="1" x14ac:dyDescent="0.25"/>
    <row r="115362" customFormat="1" x14ac:dyDescent="0.25"/>
    <row r="115363" customFormat="1" x14ac:dyDescent="0.25"/>
    <row r="115364" customFormat="1" x14ac:dyDescent="0.25"/>
    <row r="115365" customFormat="1" x14ac:dyDescent="0.25"/>
    <row r="115366" customFormat="1" x14ac:dyDescent="0.25"/>
    <row r="115367" customFormat="1" x14ac:dyDescent="0.25"/>
    <row r="115368" customFormat="1" x14ac:dyDescent="0.25"/>
    <row r="115369" customFormat="1" x14ac:dyDescent="0.25"/>
    <row r="115370" customFormat="1" x14ac:dyDescent="0.25"/>
    <row r="115371" customFormat="1" x14ac:dyDescent="0.25"/>
    <row r="115372" customFormat="1" x14ac:dyDescent="0.25"/>
    <row r="115373" customFormat="1" x14ac:dyDescent="0.25"/>
    <row r="115374" customFormat="1" x14ac:dyDescent="0.25"/>
    <row r="115375" customFormat="1" x14ac:dyDescent="0.25"/>
    <row r="115376" customFormat="1" x14ac:dyDescent="0.25"/>
    <row r="115377" customFormat="1" x14ac:dyDescent="0.25"/>
    <row r="115378" customFormat="1" x14ac:dyDescent="0.25"/>
    <row r="115379" customFormat="1" x14ac:dyDescent="0.25"/>
    <row r="115380" customFormat="1" x14ac:dyDescent="0.25"/>
    <row r="115381" customFormat="1" x14ac:dyDescent="0.25"/>
    <row r="115382" customFormat="1" x14ac:dyDescent="0.25"/>
    <row r="115383" customFormat="1" x14ac:dyDescent="0.25"/>
    <row r="115384" customFormat="1" x14ac:dyDescent="0.25"/>
    <row r="115385" customFormat="1" x14ac:dyDescent="0.25"/>
    <row r="115386" customFormat="1" x14ac:dyDescent="0.25"/>
    <row r="115387" customFormat="1" x14ac:dyDescent="0.25"/>
    <row r="115388" customFormat="1" x14ac:dyDescent="0.25"/>
    <row r="115389" customFormat="1" x14ac:dyDescent="0.25"/>
    <row r="115390" customFormat="1" x14ac:dyDescent="0.25"/>
    <row r="115391" customFormat="1" x14ac:dyDescent="0.25"/>
    <row r="115392" customFormat="1" x14ac:dyDescent="0.25"/>
    <row r="115393" customFormat="1" x14ac:dyDescent="0.25"/>
    <row r="115394" customFormat="1" x14ac:dyDescent="0.25"/>
    <row r="115395" customFormat="1" x14ac:dyDescent="0.25"/>
    <row r="115396" customFormat="1" x14ac:dyDescent="0.25"/>
    <row r="115397" customFormat="1" x14ac:dyDescent="0.25"/>
    <row r="115398" customFormat="1" x14ac:dyDescent="0.25"/>
    <row r="115399" customFormat="1" x14ac:dyDescent="0.25"/>
    <row r="115400" customFormat="1" x14ac:dyDescent="0.25"/>
    <row r="115401" customFormat="1" x14ac:dyDescent="0.25"/>
    <row r="115402" customFormat="1" x14ac:dyDescent="0.25"/>
    <row r="115403" customFormat="1" x14ac:dyDescent="0.25"/>
    <row r="115404" customFormat="1" x14ac:dyDescent="0.25"/>
    <row r="115405" customFormat="1" x14ac:dyDescent="0.25"/>
    <row r="115406" customFormat="1" x14ac:dyDescent="0.25"/>
    <row r="115407" customFormat="1" x14ac:dyDescent="0.25"/>
    <row r="115408" customFormat="1" x14ac:dyDescent="0.25"/>
    <row r="115409" customFormat="1" x14ac:dyDescent="0.25"/>
    <row r="115410" customFormat="1" x14ac:dyDescent="0.25"/>
    <row r="115411" customFormat="1" x14ac:dyDescent="0.25"/>
    <row r="115412" customFormat="1" x14ac:dyDescent="0.25"/>
    <row r="115413" customFormat="1" x14ac:dyDescent="0.25"/>
    <row r="115414" customFormat="1" x14ac:dyDescent="0.25"/>
    <row r="115415" customFormat="1" x14ac:dyDescent="0.25"/>
    <row r="115416" customFormat="1" x14ac:dyDescent="0.25"/>
    <row r="115417" customFormat="1" x14ac:dyDescent="0.25"/>
    <row r="115418" customFormat="1" x14ac:dyDescent="0.25"/>
    <row r="115419" customFormat="1" x14ac:dyDescent="0.25"/>
    <row r="115420" customFormat="1" x14ac:dyDescent="0.25"/>
    <row r="115421" customFormat="1" x14ac:dyDescent="0.25"/>
    <row r="115422" customFormat="1" x14ac:dyDescent="0.25"/>
    <row r="115423" customFormat="1" x14ac:dyDescent="0.25"/>
    <row r="115424" customFormat="1" x14ac:dyDescent="0.25"/>
    <row r="115425" customFormat="1" x14ac:dyDescent="0.25"/>
    <row r="115426" customFormat="1" x14ac:dyDescent="0.25"/>
    <row r="115427" customFormat="1" x14ac:dyDescent="0.25"/>
    <row r="115428" customFormat="1" x14ac:dyDescent="0.25"/>
    <row r="115429" customFormat="1" x14ac:dyDescent="0.25"/>
    <row r="115430" customFormat="1" x14ac:dyDescent="0.25"/>
    <row r="115431" customFormat="1" x14ac:dyDescent="0.25"/>
    <row r="115432" customFormat="1" x14ac:dyDescent="0.25"/>
    <row r="115433" customFormat="1" x14ac:dyDescent="0.25"/>
    <row r="115434" customFormat="1" x14ac:dyDescent="0.25"/>
    <row r="115435" customFormat="1" x14ac:dyDescent="0.25"/>
    <row r="115436" customFormat="1" x14ac:dyDescent="0.25"/>
    <row r="115437" customFormat="1" x14ac:dyDescent="0.25"/>
    <row r="115438" customFormat="1" x14ac:dyDescent="0.25"/>
    <row r="115439" customFormat="1" x14ac:dyDescent="0.25"/>
    <row r="115440" customFormat="1" x14ac:dyDescent="0.25"/>
    <row r="115441" customFormat="1" x14ac:dyDescent="0.25"/>
    <row r="115442" customFormat="1" x14ac:dyDescent="0.25"/>
    <row r="115443" customFormat="1" x14ac:dyDescent="0.25"/>
    <row r="115444" customFormat="1" x14ac:dyDescent="0.25"/>
    <row r="115445" customFormat="1" x14ac:dyDescent="0.25"/>
    <row r="115446" customFormat="1" x14ac:dyDescent="0.25"/>
    <row r="115447" customFormat="1" x14ac:dyDescent="0.25"/>
    <row r="115448" customFormat="1" x14ac:dyDescent="0.25"/>
    <row r="115449" customFormat="1" x14ac:dyDescent="0.25"/>
    <row r="115450" customFormat="1" x14ac:dyDescent="0.25"/>
    <row r="115451" customFormat="1" x14ac:dyDescent="0.25"/>
    <row r="115452" customFormat="1" x14ac:dyDescent="0.25"/>
    <row r="115453" customFormat="1" x14ac:dyDescent="0.25"/>
    <row r="115454" customFormat="1" x14ac:dyDescent="0.25"/>
    <row r="115455" customFormat="1" x14ac:dyDescent="0.25"/>
    <row r="115456" customFormat="1" x14ac:dyDescent="0.25"/>
    <row r="115457" customFormat="1" x14ac:dyDescent="0.25"/>
    <row r="115458" customFormat="1" x14ac:dyDescent="0.25"/>
    <row r="115459" customFormat="1" x14ac:dyDescent="0.25"/>
    <row r="115460" customFormat="1" x14ac:dyDescent="0.25"/>
    <row r="115461" customFormat="1" x14ac:dyDescent="0.25"/>
    <row r="115462" customFormat="1" x14ac:dyDescent="0.25"/>
    <row r="115463" customFormat="1" x14ac:dyDescent="0.25"/>
    <row r="115464" customFormat="1" x14ac:dyDescent="0.25"/>
    <row r="115465" customFormat="1" x14ac:dyDescent="0.25"/>
    <row r="115466" customFormat="1" x14ac:dyDescent="0.25"/>
    <row r="115467" customFormat="1" x14ac:dyDescent="0.25"/>
    <row r="115468" customFormat="1" x14ac:dyDescent="0.25"/>
    <row r="115469" customFormat="1" x14ac:dyDescent="0.25"/>
    <row r="115470" customFormat="1" x14ac:dyDescent="0.25"/>
    <row r="115471" customFormat="1" x14ac:dyDescent="0.25"/>
    <row r="115472" customFormat="1" x14ac:dyDescent="0.25"/>
    <row r="115473" customFormat="1" x14ac:dyDescent="0.25"/>
    <row r="115474" customFormat="1" x14ac:dyDescent="0.25"/>
    <row r="115475" customFormat="1" x14ac:dyDescent="0.25"/>
    <row r="115476" customFormat="1" x14ac:dyDescent="0.25"/>
    <row r="115477" customFormat="1" x14ac:dyDescent="0.25"/>
    <row r="115478" customFormat="1" x14ac:dyDescent="0.25"/>
    <row r="115479" customFormat="1" x14ac:dyDescent="0.25"/>
    <row r="115480" customFormat="1" x14ac:dyDescent="0.25"/>
    <row r="115481" customFormat="1" x14ac:dyDescent="0.25"/>
    <row r="115482" customFormat="1" x14ac:dyDescent="0.25"/>
    <row r="115483" customFormat="1" x14ac:dyDescent="0.25"/>
    <row r="115484" customFormat="1" x14ac:dyDescent="0.25"/>
    <row r="115485" customFormat="1" x14ac:dyDescent="0.25"/>
    <row r="115486" customFormat="1" x14ac:dyDescent="0.25"/>
    <row r="115487" customFormat="1" x14ac:dyDescent="0.25"/>
    <row r="115488" customFormat="1" x14ac:dyDescent="0.25"/>
    <row r="115489" customFormat="1" x14ac:dyDescent="0.25"/>
    <row r="115490" customFormat="1" x14ac:dyDescent="0.25"/>
    <row r="115491" customFormat="1" x14ac:dyDescent="0.25"/>
    <row r="115492" customFormat="1" x14ac:dyDescent="0.25"/>
    <row r="115493" customFormat="1" x14ac:dyDescent="0.25"/>
    <row r="115494" customFormat="1" x14ac:dyDescent="0.25"/>
    <row r="115495" customFormat="1" x14ac:dyDescent="0.25"/>
    <row r="115496" customFormat="1" x14ac:dyDescent="0.25"/>
    <row r="115497" customFormat="1" x14ac:dyDescent="0.25"/>
    <row r="115498" customFormat="1" x14ac:dyDescent="0.25"/>
    <row r="115499" customFormat="1" x14ac:dyDescent="0.25"/>
    <row r="115500" customFormat="1" x14ac:dyDescent="0.25"/>
    <row r="115501" customFormat="1" x14ac:dyDescent="0.25"/>
    <row r="115502" customFormat="1" x14ac:dyDescent="0.25"/>
    <row r="115503" customFormat="1" x14ac:dyDescent="0.25"/>
    <row r="115504" customFormat="1" x14ac:dyDescent="0.25"/>
    <row r="115505" customFormat="1" x14ac:dyDescent="0.25"/>
    <row r="115506" customFormat="1" x14ac:dyDescent="0.25"/>
    <row r="115507" customFormat="1" x14ac:dyDescent="0.25"/>
    <row r="115508" customFormat="1" x14ac:dyDescent="0.25"/>
    <row r="115509" customFormat="1" x14ac:dyDescent="0.25"/>
    <row r="115510" customFormat="1" x14ac:dyDescent="0.25"/>
    <row r="115511" customFormat="1" x14ac:dyDescent="0.25"/>
    <row r="115512" customFormat="1" x14ac:dyDescent="0.25"/>
    <row r="115513" customFormat="1" x14ac:dyDescent="0.25"/>
    <row r="115514" customFormat="1" x14ac:dyDescent="0.25"/>
    <row r="115515" customFormat="1" x14ac:dyDescent="0.25"/>
    <row r="115516" customFormat="1" x14ac:dyDescent="0.25"/>
    <row r="115517" customFormat="1" x14ac:dyDescent="0.25"/>
    <row r="115518" customFormat="1" x14ac:dyDescent="0.25"/>
    <row r="115519" customFormat="1" x14ac:dyDescent="0.25"/>
    <row r="115520" customFormat="1" x14ac:dyDescent="0.25"/>
    <row r="115521" customFormat="1" x14ac:dyDescent="0.25"/>
    <row r="115522" customFormat="1" x14ac:dyDescent="0.25"/>
    <row r="115523" customFormat="1" x14ac:dyDescent="0.25"/>
    <row r="115524" customFormat="1" x14ac:dyDescent="0.25"/>
    <row r="115525" customFormat="1" x14ac:dyDescent="0.25"/>
    <row r="115526" customFormat="1" x14ac:dyDescent="0.25"/>
    <row r="115527" customFormat="1" x14ac:dyDescent="0.25"/>
    <row r="115528" customFormat="1" x14ac:dyDescent="0.25"/>
    <row r="115529" customFormat="1" x14ac:dyDescent="0.25"/>
    <row r="115530" customFormat="1" x14ac:dyDescent="0.25"/>
    <row r="115531" customFormat="1" x14ac:dyDescent="0.25"/>
    <row r="115532" customFormat="1" x14ac:dyDescent="0.25"/>
    <row r="115533" customFormat="1" x14ac:dyDescent="0.25"/>
    <row r="115534" customFormat="1" x14ac:dyDescent="0.25"/>
    <row r="115535" customFormat="1" x14ac:dyDescent="0.25"/>
    <row r="115536" customFormat="1" x14ac:dyDescent="0.25"/>
    <row r="115537" customFormat="1" x14ac:dyDescent="0.25"/>
    <row r="115538" customFormat="1" x14ac:dyDescent="0.25"/>
    <row r="115539" customFormat="1" x14ac:dyDescent="0.25"/>
    <row r="115540" customFormat="1" x14ac:dyDescent="0.25"/>
    <row r="115541" customFormat="1" x14ac:dyDescent="0.25"/>
    <row r="115542" customFormat="1" x14ac:dyDescent="0.25"/>
    <row r="115543" customFormat="1" x14ac:dyDescent="0.25"/>
    <row r="115544" customFormat="1" x14ac:dyDescent="0.25"/>
    <row r="115545" customFormat="1" x14ac:dyDescent="0.25"/>
    <row r="115546" customFormat="1" x14ac:dyDescent="0.25"/>
    <row r="115547" customFormat="1" x14ac:dyDescent="0.25"/>
    <row r="115548" customFormat="1" x14ac:dyDescent="0.25"/>
    <row r="115549" customFormat="1" x14ac:dyDescent="0.25"/>
    <row r="115550" customFormat="1" x14ac:dyDescent="0.25"/>
    <row r="115551" customFormat="1" x14ac:dyDescent="0.25"/>
    <row r="115552" customFormat="1" x14ac:dyDescent="0.25"/>
    <row r="115553" customFormat="1" x14ac:dyDescent="0.25"/>
    <row r="115554" customFormat="1" x14ac:dyDescent="0.25"/>
    <row r="115555" customFormat="1" x14ac:dyDescent="0.25"/>
    <row r="115556" customFormat="1" x14ac:dyDescent="0.25"/>
    <row r="115557" customFormat="1" x14ac:dyDescent="0.25"/>
    <row r="115558" customFormat="1" x14ac:dyDescent="0.25"/>
    <row r="115559" customFormat="1" x14ac:dyDescent="0.25"/>
    <row r="115560" customFormat="1" x14ac:dyDescent="0.25"/>
    <row r="115561" customFormat="1" x14ac:dyDescent="0.25"/>
    <row r="115562" customFormat="1" x14ac:dyDescent="0.25"/>
    <row r="115563" customFormat="1" x14ac:dyDescent="0.25"/>
    <row r="115564" customFormat="1" x14ac:dyDescent="0.25"/>
    <row r="115565" customFormat="1" x14ac:dyDescent="0.25"/>
    <row r="115566" customFormat="1" x14ac:dyDescent="0.25"/>
    <row r="115567" customFormat="1" x14ac:dyDescent="0.25"/>
    <row r="115568" customFormat="1" x14ac:dyDescent="0.25"/>
    <row r="115569" customFormat="1" x14ac:dyDescent="0.25"/>
    <row r="115570" customFormat="1" x14ac:dyDescent="0.25"/>
    <row r="115571" customFormat="1" x14ac:dyDescent="0.25"/>
    <row r="115572" customFormat="1" x14ac:dyDescent="0.25"/>
    <row r="115573" customFormat="1" x14ac:dyDescent="0.25"/>
    <row r="115574" customFormat="1" x14ac:dyDescent="0.25"/>
    <row r="115575" customFormat="1" x14ac:dyDescent="0.25"/>
    <row r="115576" customFormat="1" x14ac:dyDescent="0.25"/>
    <row r="115577" customFormat="1" x14ac:dyDescent="0.25"/>
    <row r="115578" customFormat="1" x14ac:dyDescent="0.25"/>
    <row r="115579" customFormat="1" x14ac:dyDescent="0.25"/>
    <row r="115580" customFormat="1" x14ac:dyDescent="0.25"/>
    <row r="115581" customFormat="1" x14ac:dyDescent="0.25"/>
    <row r="115582" customFormat="1" x14ac:dyDescent="0.25"/>
    <row r="115583" customFormat="1" x14ac:dyDescent="0.25"/>
    <row r="115584" customFormat="1" x14ac:dyDescent="0.25"/>
    <row r="115585" customFormat="1" x14ac:dyDescent="0.25"/>
    <row r="115586" customFormat="1" x14ac:dyDescent="0.25"/>
    <row r="115587" customFormat="1" x14ac:dyDescent="0.25"/>
    <row r="115588" customFormat="1" x14ac:dyDescent="0.25"/>
    <row r="115589" customFormat="1" x14ac:dyDescent="0.25"/>
    <row r="115590" customFormat="1" x14ac:dyDescent="0.25"/>
    <row r="115591" customFormat="1" x14ac:dyDescent="0.25"/>
    <row r="115592" customFormat="1" x14ac:dyDescent="0.25"/>
    <row r="115593" customFormat="1" x14ac:dyDescent="0.25"/>
    <row r="115594" customFormat="1" x14ac:dyDescent="0.25"/>
    <row r="115595" customFormat="1" x14ac:dyDescent="0.25"/>
    <row r="115596" customFormat="1" x14ac:dyDescent="0.25"/>
    <row r="115597" customFormat="1" x14ac:dyDescent="0.25"/>
    <row r="115598" customFormat="1" x14ac:dyDescent="0.25"/>
    <row r="115599" customFormat="1" x14ac:dyDescent="0.25"/>
    <row r="115600" customFormat="1" x14ac:dyDescent="0.25"/>
    <row r="115601" customFormat="1" x14ac:dyDescent="0.25"/>
    <row r="115602" customFormat="1" x14ac:dyDescent="0.25"/>
    <row r="115603" customFormat="1" x14ac:dyDescent="0.25"/>
    <row r="115604" customFormat="1" x14ac:dyDescent="0.25"/>
    <row r="115605" customFormat="1" x14ac:dyDescent="0.25"/>
    <row r="115606" customFormat="1" x14ac:dyDescent="0.25"/>
    <row r="115607" customFormat="1" x14ac:dyDescent="0.25"/>
    <row r="115608" customFormat="1" x14ac:dyDescent="0.25"/>
    <row r="115609" customFormat="1" x14ac:dyDescent="0.25"/>
    <row r="115610" customFormat="1" x14ac:dyDescent="0.25"/>
    <row r="115611" customFormat="1" x14ac:dyDescent="0.25"/>
    <row r="115612" customFormat="1" x14ac:dyDescent="0.25"/>
    <row r="115613" customFormat="1" x14ac:dyDescent="0.25"/>
    <row r="115614" customFormat="1" x14ac:dyDescent="0.25"/>
    <row r="115615" customFormat="1" x14ac:dyDescent="0.25"/>
    <row r="115616" customFormat="1" x14ac:dyDescent="0.25"/>
    <row r="115617" customFormat="1" x14ac:dyDescent="0.25"/>
    <row r="115618" customFormat="1" x14ac:dyDescent="0.25"/>
    <row r="115619" customFormat="1" x14ac:dyDescent="0.25"/>
    <row r="115620" customFormat="1" x14ac:dyDescent="0.25"/>
    <row r="115621" customFormat="1" x14ac:dyDescent="0.25"/>
    <row r="115622" customFormat="1" x14ac:dyDescent="0.25"/>
    <row r="115623" customFormat="1" x14ac:dyDescent="0.25"/>
    <row r="115624" customFormat="1" x14ac:dyDescent="0.25"/>
    <row r="115625" customFormat="1" x14ac:dyDescent="0.25"/>
    <row r="115626" customFormat="1" x14ac:dyDescent="0.25"/>
    <row r="115627" customFormat="1" x14ac:dyDescent="0.25"/>
    <row r="115628" customFormat="1" x14ac:dyDescent="0.25"/>
    <row r="115629" customFormat="1" x14ac:dyDescent="0.25"/>
    <row r="115630" customFormat="1" x14ac:dyDescent="0.25"/>
    <row r="115631" customFormat="1" x14ac:dyDescent="0.25"/>
    <row r="115632" customFormat="1" x14ac:dyDescent="0.25"/>
    <row r="115633" customFormat="1" x14ac:dyDescent="0.25"/>
    <row r="115634" customFormat="1" x14ac:dyDescent="0.25"/>
    <row r="115635" customFormat="1" x14ac:dyDescent="0.25"/>
    <row r="115636" customFormat="1" x14ac:dyDescent="0.25"/>
    <row r="115637" customFormat="1" x14ac:dyDescent="0.25"/>
    <row r="115638" customFormat="1" x14ac:dyDescent="0.25"/>
    <row r="115639" customFormat="1" x14ac:dyDescent="0.25"/>
    <row r="115640" customFormat="1" x14ac:dyDescent="0.25"/>
    <row r="115641" customFormat="1" x14ac:dyDescent="0.25"/>
    <row r="115642" customFormat="1" x14ac:dyDescent="0.25"/>
    <row r="115643" customFormat="1" x14ac:dyDescent="0.25"/>
    <row r="115644" customFormat="1" x14ac:dyDescent="0.25"/>
    <row r="115645" customFormat="1" x14ac:dyDescent="0.25"/>
    <row r="115646" customFormat="1" x14ac:dyDescent="0.25"/>
    <row r="115647" customFormat="1" x14ac:dyDescent="0.25"/>
    <row r="115648" customFormat="1" x14ac:dyDescent="0.25"/>
    <row r="115649" customFormat="1" x14ac:dyDescent="0.25"/>
    <row r="115650" customFormat="1" x14ac:dyDescent="0.25"/>
    <row r="115651" customFormat="1" x14ac:dyDescent="0.25"/>
    <row r="115652" customFormat="1" x14ac:dyDescent="0.25"/>
    <row r="115653" customFormat="1" x14ac:dyDescent="0.25"/>
    <row r="115654" customFormat="1" x14ac:dyDescent="0.25"/>
    <row r="115655" customFormat="1" x14ac:dyDescent="0.25"/>
    <row r="115656" customFormat="1" x14ac:dyDescent="0.25"/>
    <row r="115657" customFormat="1" x14ac:dyDescent="0.25"/>
    <row r="115658" customFormat="1" x14ac:dyDescent="0.25"/>
    <row r="115659" customFormat="1" x14ac:dyDescent="0.25"/>
    <row r="115660" customFormat="1" x14ac:dyDescent="0.25"/>
    <row r="115661" customFormat="1" x14ac:dyDescent="0.25"/>
    <row r="115662" customFormat="1" x14ac:dyDescent="0.25"/>
    <row r="115663" customFormat="1" x14ac:dyDescent="0.25"/>
    <row r="115664" customFormat="1" x14ac:dyDescent="0.25"/>
    <row r="115665" customFormat="1" x14ac:dyDescent="0.25"/>
    <row r="115666" customFormat="1" x14ac:dyDescent="0.25"/>
    <row r="115667" customFormat="1" x14ac:dyDescent="0.25"/>
    <row r="115668" customFormat="1" x14ac:dyDescent="0.25"/>
    <row r="115669" customFormat="1" x14ac:dyDescent="0.25"/>
    <row r="115670" customFormat="1" x14ac:dyDescent="0.25"/>
    <row r="115671" customFormat="1" x14ac:dyDescent="0.25"/>
    <row r="115672" customFormat="1" x14ac:dyDescent="0.25"/>
    <row r="115673" customFormat="1" x14ac:dyDescent="0.25"/>
    <row r="115674" customFormat="1" x14ac:dyDescent="0.25"/>
    <row r="115675" customFormat="1" x14ac:dyDescent="0.25"/>
    <row r="115676" customFormat="1" x14ac:dyDescent="0.25"/>
    <row r="115677" customFormat="1" x14ac:dyDescent="0.25"/>
    <row r="115678" customFormat="1" x14ac:dyDescent="0.25"/>
    <row r="115679" customFormat="1" x14ac:dyDescent="0.25"/>
    <row r="115680" customFormat="1" x14ac:dyDescent="0.25"/>
    <row r="115681" customFormat="1" x14ac:dyDescent="0.25"/>
    <row r="115682" customFormat="1" x14ac:dyDescent="0.25"/>
    <row r="115683" customFormat="1" x14ac:dyDescent="0.25"/>
    <row r="115684" customFormat="1" x14ac:dyDescent="0.25"/>
    <row r="115685" customFormat="1" x14ac:dyDescent="0.25"/>
    <row r="115686" customFormat="1" x14ac:dyDescent="0.25"/>
    <row r="115687" customFormat="1" x14ac:dyDescent="0.25"/>
    <row r="115688" customFormat="1" x14ac:dyDescent="0.25"/>
    <row r="115689" customFormat="1" x14ac:dyDescent="0.25"/>
    <row r="115690" customFormat="1" x14ac:dyDescent="0.25"/>
    <row r="115691" customFormat="1" x14ac:dyDescent="0.25"/>
    <row r="115692" customFormat="1" x14ac:dyDescent="0.25"/>
    <row r="115693" customFormat="1" x14ac:dyDescent="0.25"/>
    <row r="115694" customFormat="1" x14ac:dyDescent="0.25"/>
    <row r="115695" customFormat="1" x14ac:dyDescent="0.25"/>
    <row r="115696" customFormat="1" x14ac:dyDescent="0.25"/>
    <row r="115697" customFormat="1" x14ac:dyDescent="0.25"/>
    <row r="115698" customFormat="1" x14ac:dyDescent="0.25"/>
    <row r="115699" customFormat="1" x14ac:dyDescent="0.25"/>
    <row r="115700" customFormat="1" x14ac:dyDescent="0.25"/>
    <row r="115701" customFormat="1" x14ac:dyDescent="0.25"/>
    <row r="115702" customFormat="1" x14ac:dyDescent="0.25"/>
    <row r="115703" customFormat="1" x14ac:dyDescent="0.25"/>
    <row r="115704" customFormat="1" x14ac:dyDescent="0.25"/>
    <row r="115705" customFormat="1" x14ac:dyDescent="0.25"/>
    <row r="115706" customFormat="1" x14ac:dyDescent="0.25"/>
    <row r="115707" customFormat="1" x14ac:dyDescent="0.25"/>
    <row r="115708" customFormat="1" x14ac:dyDescent="0.25"/>
    <row r="115709" customFormat="1" x14ac:dyDescent="0.25"/>
    <row r="115710" customFormat="1" x14ac:dyDescent="0.25"/>
    <row r="115711" customFormat="1" x14ac:dyDescent="0.25"/>
    <row r="115712" customFormat="1" x14ac:dyDescent="0.25"/>
    <row r="115713" customFormat="1" x14ac:dyDescent="0.25"/>
    <row r="115714" customFormat="1" x14ac:dyDescent="0.25"/>
    <row r="115715" customFormat="1" x14ac:dyDescent="0.25"/>
    <row r="115716" customFormat="1" x14ac:dyDescent="0.25"/>
    <row r="115717" customFormat="1" x14ac:dyDescent="0.25"/>
    <row r="115718" customFormat="1" x14ac:dyDescent="0.25"/>
    <row r="115719" customFormat="1" x14ac:dyDescent="0.25"/>
    <row r="115720" customFormat="1" x14ac:dyDescent="0.25"/>
    <row r="115721" customFormat="1" x14ac:dyDescent="0.25"/>
    <row r="115722" customFormat="1" x14ac:dyDescent="0.25"/>
    <row r="115723" customFormat="1" x14ac:dyDescent="0.25"/>
    <row r="115724" customFormat="1" x14ac:dyDescent="0.25"/>
    <row r="115725" customFormat="1" x14ac:dyDescent="0.25"/>
    <row r="115726" customFormat="1" x14ac:dyDescent="0.25"/>
    <row r="115727" customFormat="1" x14ac:dyDescent="0.25"/>
    <row r="115728" customFormat="1" x14ac:dyDescent="0.25"/>
    <row r="115729" customFormat="1" x14ac:dyDescent="0.25"/>
    <row r="115730" customFormat="1" x14ac:dyDescent="0.25"/>
    <row r="115731" customFormat="1" x14ac:dyDescent="0.25"/>
    <row r="115732" customFormat="1" x14ac:dyDescent="0.25"/>
    <row r="115733" customFormat="1" x14ac:dyDescent="0.25"/>
    <row r="115734" customFormat="1" x14ac:dyDescent="0.25"/>
    <row r="115735" customFormat="1" x14ac:dyDescent="0.25"/>
    <row r="115736" customFormat="1" x14ac:dyDescent="0.25"/>
    <row r="115737" customFormat="1" x14ac:dyDescent="0.25"/>
    <row r="115738" customFormat="1" x14ac:dyDescent="0.25"/>
    <row r="115739" customFormat="1" x14ac:dyDescent="0.25"/>
    <row r="115740" customFormat="1" x14ac:dyDescent="0.25"/>
    <row r="115741" customFormat="1" x14ac:dyDescent="0.25"/>
    <row r="115742" customFormat="1" x14ac:dyDescent="0.25"/>
    <row r="115743" customFormat="1" x14ac:dyDescent="0.25"/>
    <row r="115744" customFormat="1" x14ac:dyDescent="0.25"/>
    <row r="115745" customFormat="1" x14ac:dyDescent="0.25"/>
    <row r="115746" customFormat="1" x14ac:dyDescent="0.25"/>
    <row r="115747" customFormat="1" x14ac:dyDescent="0.25"/>
    <row r="115748" customFormat="1" x14ac:dyDescent="0.25"/>
    <row r="115749" customFormat="1" x14ac:dyDescent="0.25"/>
    <row r="115750" customFormat="1" x14ac:dyDescent="0.25"/>
    <row r="115751" customFormat="1" x14ac:dyDescent="0.25"/>
    <row r="115752" customFormat="1" x14ac:dyDescent="0.25"/>
    <row r="115753" customFormat="1" x14ac:dyDescent="0.25"/>
    <row r="115754" customFormat="1" x14ac:dyDescent="0.25"/>
    <row r="115755" customFormat="1" x14ac:dyDescent="0.25"/>
    <row r="115756" customFormat="1" x14ac:dyDescent="0.25"/>
    <row r="115757" customFormat="1" x14ac:dyDescent="0.25"/>
    <row r="115758" customFormat="1" x14ac:dyDescent="0.25"/>
    <row r="115759" customFormat="1" x14ac:dyDescent="0.25"/>
    <row r="115760" customFormat="1" x14ac:dyDescent="0.25"/>
    <row r="115761" customFormat="1" x14ac:dyDescent="0.25"/>
    <row r="115762" customFormat="1" x14ac:dyDescent="0.25"/>
    <row r="115763" customFormat="1" x14ac:dyDescent="0.25"/>
    <row r="115764" customFormat="1" x14ac:dyDescent="0.25"/>
    <row r="115765" customFormat="1" x14ac:dyDescent="0.25"/>
    <row r="115766" customFormat="1" x14ac:dyDescent="0.25"/>
    <row r="115767" customFormat="1" x14ac:dyDescent="0.25"/>
    <row r="115768" customFormat="1" x14ac:dyDescent="0.25"/>
    <row r="115769" customFormat="1" x14ac:dyDescent="0.25"/>
    <row r="115770" customFormat="1" x14ac:dyDescent="0.25"/>
    <row r="115771" customFormat="1" x14ac:dyDescent="0.25"/>
    <row r="115772" customFormat="1" x14ac:dyDescent="0.25"/>
    <row r="115773" customFormat="1" x14ac:dyDescent="0.25"/>
    <row r="115774" customFormat="1" x14ac:dyDescent="0.25"/>
    <row r="115775" customFormat="1" x14ac:dyDescent="0.25"/>
    <row r="115776" customFormat="1" x14ac:dyDescent="0.25"/>
    <row r="115777" customFormat="1" x14ac:dyDescent="0.25"/>
    <row r="115778" customFormat="1" x14ac:dyDescent="0.25"/>
    <row r="115779" customFormat="1" x14ac:dyDescent="0.25"/>
    <row r="115780" customFormat="1" x14ac:dyDescent="0.25"/>
    <row r="115781" customFormat="1" x14ac:dyDescent="0.25"/>
    <row r="115782" customFormat="1" x14ac:dyDescent="0.25"/>
    <row r="115783" customFormat="1" x14ac:dyDescent="0.25"/>
    <row r="115784" customFormat="1" x14ac:dyDescent="0.25"/>
    <row r="115785" customFormat="1" x14ac:dyDescent="0.25"/>
    <row r="115786" customFormat="1" x14ac:dyDescent="0.25"/>
    <row r="115787" customFormat="1" x14ac:dyDescent="0.25"/>
    <row r="115788" customFormat="1" x14ac:dyDescent="0.25"/>
    <row r="115789" customFormat="1" x14ac:dyDescent="0.25"/>
    <row r="115790" customFormat="1" x14ac:dyDescent="0.25"/>
    <row r="115791" customFormat="1" x14ac:dyDescent="0.25"/>
    <row r="115792" customFormat="1" x14ac:dyDescent="0.25"/>
    <row r="115793" customFormat="1" x14ac:dyDescent="0.25"/>
    <row r="115794" customFormat="1" x14ac:dyDescent="0.25"/>
    <row r="115795" customFormat="1" x14ac:dyDescent="0.25"/>
    <row r="115796" customFormat="1" x14ac:dyDescent="0.25"/>
    <row r="115797" customFormat="1" x14ac:dyDescent="0.25"/>
    <row r="115798" customFormat="1" x14ac:dyDescent="0.25"/>
    <row r="115799" customFormat="1" x14ac:dyDescent="0.25"/>
    <row r="115800" customFormat="1" x14ac:dyDescent="0.25"/>
    <row r="115801" customFormat="1" x14ac:dyDescent="0.25"/>
    <row r="115802" customFormat="1" x14ac:dyDescent="0.25"/>
    <row r="115803" customFormat="1" x14ac:dyDescent="0.25"/>
    <row r="115804" customFormat="1" x14ac:dyDescent="0.25"/>
    <row r="115805" customFormat="1" x14ac:dyDescent="0.25"/>
    <row r="115806" customFormat="1" x14ac:dyDescent="0.25"/>
    <row r="115807" customFormat="1" x14ac:dyDescent="0.25"/>
    <row r="115808" customFormat="1" x14ac:dyDescent="0.25"/>
    <row r="115809" customFormat="1" x14ac:dyDescent="0.25"/>
    <row r="115810" customFormat="1" x14ac:dyDescent="0.25"/>
    <row r="115811" customFormat="1" x14ac:dyDescent="0.25"/>
    <row r="115812" customFormat="1" x14ac:dyDescent="0.25"/>
    <row r="115813" customFormat="1" x14ac:dyDescent="0.25"/>
    <row r="115814" customFormat="1" x14ac:dyDescent="0.25"/>
    <row r="115815" customFormat="1" x14ac:dyDescent="0.25"/>
    <row r="115816" customFormat="1" x14ac:dyDescent="0.25"/>
    <row r="115817" customFormat="1" x14ac:dyDescent="0.25"/>
    <row r="115818" customFormat="1" x14ac:dyDescent="0.25"/>
    <row r="115819" customFormat="1" x14ac:dyDescent="0.25"/>
    <row r="115820" customFormat="1" x14ac:dyDescent="0.25"/>
    <row r="115821" customFormat="1" x14ac:dyDescent="0.25"/>
    <row r="115822" customFormat="1" x14ac:dyDescent="0.25"/>
    <row r="115823" customFormat="1" x14ac:dyDescent="0.25"/>
    <row r="115824" customFormat="1" x14ac:dyDescent="0.25"/>
    <row r="115825" customFormat="1" x14ac:dyDescent="0.25"/>
    <row r="115826" customFormat="1" x14ac:dyDescent="0.25"/>
    <row r="115827" customFormat="1" x14ac:dyDescent="0.25"/>
    <row r="115828" customFormat="1" x14ac:dyDescent="0.25"/>
    <row r="115829" customFormat="1" x14ac:dyDescent="0.25"/>
    <row r="115830" customFormat="1" x14ac:dyDescent="0.25"/>
    <row r="115831" customFormat="1" x14ac:dyDescent="0.25"/>
    <row r="115832" customFormat="1" x14ac:dyDescent="0.25"/>
    <row r="115833" customFormat="1" x14ac:dyDescent="0.25"/>
    <row r="115834" customFormat="1" x14ac:dyDescent="0.25"/>
    <row r="115835" customFormat="1" x14ac:dyDescent="0.25"/>
    <row r="115836" customFormat="1" x14ac:dyDescent="0.25"/>
    <row r="115837" customFormat="1" x14ac:dyDescent="0.25"/>
    <row r="115838" customFormat="1" x14ac:dyDescent="0.25"/>
    <row r="115839" customFormat="1" x14ac:dyDescent="0.25"/>
    <row r="115840" customFormat="1" x14ac:dyDescent="0.25"/>
    <row r="115841" customFormat="1" x14ac:dyDescent="0.25"/>
    <row r="115842" customFormat="1" x14ac:dyDescent="0.25"/>
    <row r="115843" customFormat="1" x14ac:dyDescent="0.25"/>
    <row r="115844" customFormat="1" x14ac:dyDescent="0.25"/>
    <row r="115845" customFormat="1" x14ac:dyDescent="0.25"/>
    <row r="115846" customFormat="1" x14ac:dyDescent="0.25"/>
    <row r="115847" customFormat="1" x14ac:dyDescent="0.25"/>
    <row r="115848" customFormat="1" x14ac:dyDescent="0.25"/>
    <row r="115849" customFormat="1" x14ac:dyDescent="0.25"/>
    <row r="115850" customFormat="1" x14ac:dyDescent="0.25"/>
    <row r="115851" customFormat="1" x14ac:dyDescent="0.25"/>
    <row r="115852" customFormat="1" x14ac:dyDescent="0.25"/>
    <row r="115853" customFormat="1" x14ac:dyDescent="0.25"/>
    <row r="115854" customFormat="1" x14ac:dyDescent="0.25"/>
    <row r="115855" customFormat="1" x14ac:dyDescent="0.25"/>
    <row r="115856" customFormat="1" x14ac:dyDescent="0.25"/>
    <row r="115857" customFormat="1" x14ac:dyDescent="0.25"/>
    <row r="115858" customFormat="1" x14ac:dyDescent="0.25"/>
    <row r="115859" customFormat="1" x14ac:dyDescent="0.25"/>
    <row r="115860" customFormat="1" x14ac:dyDescent="0.25"/>
    <row r="115861" customFormat="1" x14ac:dyDescent="0.25"/>
    <row r="115862" customFormat="1" x14ac:dyDescent="0.25"/>
    <row r="115863" customFormat="1" x14ac:dyDescent="0.25"/>
    <row r="115864" customFormat="1" x14ac:dyDescent="0.25"/>
    <row r="115865" customFormat="1" x14ac:dyDescent="0.25"/>
    <row r="115866" customFormat="1" x14ac:dyDescent="0.25"/>
    <row r="115867" customFormat="1" x14ac:dyDescent="0.25"/>
    <row r="115868" customFormat="1" x14ac:dyDescent="0.25"/>
    <row r="115869" customFormat="1" x14ac:dyDescent="0.25"/>
    <row r="115870" customFormat="1" x14ac:dyDescent="0.25"/>
    <row r="115871" customFormat="1" x14ac:dyDescent="0.25"/>
    <row r="115872" customFormat="1" x14ac:dyDescent="0.25"/>
    <row r="115873" customFormat="1" x14ac:dyDescent="0.25"/>
    <row r="115874" customFormat="1" x14ac:dyDescent="0.25"/>
    <row r="115875" customFormat="1" x14ac:dyDescent="0.25"/>
    <row r="115876" customFormat="1" x14ac:dyDescent="0.25"/>
    <row r="115877" customFormat="1" x14ac:dyDescent="0.25"/>
    <row r="115878" customFormat="1" x14ac:dyDescent="0.25"/>
    <row r="115879" customFormat="1" x14ac:dyDescent="0.25"/>
    <row r="115880" customFormat="1" x14ac:dyDescent="0.25"/>
    <row r="115881" customFormat="1" x14ac:dyDescent="0.25"/>
    <row r="115882" customFormat="1" x14ac:dyDescent="0.25"/>
    <row r="115883" customFormat="1" x14ac:dyDescent="0.25"/>
    <row r="115884" customFormat="1" x14ac:dyDescent="0.25"/>
    <row r="115885" customFormat="1" x14ac:dyDescent="0.25"/>
    <row r="115886" customFormat="1" x14ac:dyDescent="0.25"/>
    <row r="115887" customFormat="1" x14ac:dyDescent="0.25"/>
    <row r="115888" customFormat="1" x14ac:dyDescent="0.25"/>
    <row r="115889" customFormat="1" x14ac:dyDescent="0.25"/>
    <row r="115890" customFormat="1" x14ac:dyDescent="0.25"/>
    <row r="115891" customFormat="1" x14ac:dyDescent="0.25"/>
    <row r="115892" customFormat="1" x14ac:dyDescent="0.25"/>
    <row r="115893" customFormat="1" x14ac:dyDescent="0.25"/>
    <row r="115894" customFormat="1" x14ac:dyDescent="0.25"/>
    <row r="115895" customFormat="1" x14ac:dyDescent="0.25"/>
    <row r="115896" customFormat="1" x14ac:dyDescent="0.25"/>
    <row r="115897" customFormat="1" x14ac:dyDescent="0.25"/>
    <row r="115898" customFormat="1" x14ac:dyDescent="0.25"/>
    <row r="115899" customFormat="1" x14ac:dyDescent="0.25"/>
    <row r="115900" customFormat="1" x14ac:dyDescent="0.25"/>
    <row r="115901" customFormat="1" x14ac:dyDescent="0.25"/>
    <row r="115902" customFormat="1" x14ac:dyDescent="0.25"/>
    <row r="115903" customFormat="1" x14ac:dyDescent="0.25"/>
    <row r="115904" customFormat="1" x14ac:dyDescent="0.25"/>
    <row r="115905" customFormat="1" x14ac:dyDescent="0.25"/>
    <row r="115906" customFormat="1" x14ac:dyDescent="0.25"/>
    <row r="115907" customFormat="1" x14ac:dyDescent="0.25"/>
    <row r="115908" customFormat="1" x14ac:dyDescent="0.25"/>
    <row r="115909" customFormat="1" x14ac:dyDescent="0.25"/>
    <row r="115910" customFormat="1" x14ac:dyDescent="0.25"/>
    <row r="115911" customFormat="1" x14ac:dyDescent="0.25"/>
    <row r="115912" customFormat="1" x14ac:dyDescent="0.25"/>
    <row r="115913" customFormat="1" x14ac:dyDescent="0.25"/>
    <row r="115914" customFormat="1" x14ac:dyDescent="0.25"/>
    <row r="115915" customFormat="1" x14ac:dyDescent="0.25"/>
    <row r="115916" customFormat="1" x14ac:dyDescent="0.25"/>
    <row r="115917" customFormat="1" x14ac:dyDescent="0.25"/>
    <row r="115918" customFormat="1" x14ac:dyDescent="0.25"/>
    <row r="115919" customFormat="1" x14ac:dyDescent="0.25"/>
    <row r="115920" customFormat="1" x14ac:dyDescent="0.25"/>
    <row r="115921" customFormat="1" x14ac:dyDescent="0.25"/>
    <row r="115922" customFormat="1" x14ac:dyDescent="0.25"/>
    <row r="115923" customFormat="1" x14ac:dyDescent="0.25"/>
    <row r="115924" customFormat="1" x14ac:dyDescent="0.25"/>
    <row r="115925" customFormat="1" x14ac:dyDescent="0.25"/>
    <row r="115926" customFormat="1" x14ac:dyDescent="0.25"/>
    <row r="115927" customFormat="1" x14ac:dyDescent="0.25"/>
    <row r="115928" customFormat="1" x14ac:dyDescent="0.25"/>
    <row r="115929" customFormat="1" x14ac:dyDescent="0.25"/>
    <row r="115930" customFormat="1" x14ac:dyDescent="0.25"/>
    <row r="115931" customFormat="1" x14ac:dyDescent="0.25"/>
    <row r="115932" customFormat="1" x14ac:dyDescent="0.25"/>
    <row r="115933" customFormat="1" x14ac:dyDescent="0.25"/>
    <row r="115934" customFormat="1" x14ac:dyDescent="0.25"/>
    <row r="115935" customFormat="1" x14ac:dyDescent="0.25"/>
    <row r="115936" customFormat="1" x14ac:dyDescent="0.25"/>
    <row r="115937" customFormat="1" x14ac:dyDescent="0.25"/>
    <row r="115938" customFormat="1" x14ac:dyDescent="0.25"/>
    <row r="115939" customFormat="1" x14ac:dyDescent="0.25"/>
    <row r="115940" customFormat="1" x14ac:dyDescent="0.25"/>
    <row r="115941" customFormat="1" x14ac:dyDescent="0.25"/>
    <row r="115942" customFormat="1" x14ac:dyDescent="0.25"/>
    <row r="115943" customFormat="1" x14ac:dyDescent="0.25"/>
    <row r="115944" customFormat="1" x14ac:dyDescent="0.25"/>
    <row r="115945" customFormat="1" x14ac:dyDescent="0.25"/>
    <row r="115946" customFormat="1" x14ac:dyDescent="0.25"/>
    <row r="115947" customFormat="1" x14ac:dyDescent="0.25"/>
    <row r="115948" customFormat="1" x14ac:dyDescent="0.25"/>
    <row r="115949" customFormat="1" x14ac:dyDescent="0.25"/>
    <row r="115950" customFormat="1" x14ac:dyDescent="0.25"/>
    <row r="115951" customFormat="1" x14ac:dyDescent="0.25"/>
    <row r="115952" customFormat="1" x14ac:dyDescent="0.25"/>
    <row r="115953" customFormat="1" x14ac:dyDescent="0.25"/>
    <row r="115954" customFormat="1" x14ac:dyDescent="0.25"/>
    <row r="115955" customFormat="1" x14ac:dyDescent="0.25"/>
    <row r="115956" customFormat="1" x14ac:dyDescent="0.25"/>
    <row r="115957" customFormat="1" x14ac:dyDescent="0.25"/>
    <row r="115958" customFormat="1" x14ac:dyDescent="0.25"/>
    <row r="115959" customFormat="1" x14ac:dyDescent="0.25"/>
    <row r="115960" customFormat="1" x14ac:dyDescent="0.25"/>
    <row r="115961" customFormat="1" x14ac:dyDescent="0.25"/>
    <row r="115962" customFormat="1" x14ac:dyDescent="0.25"/>
    <row r="115963" customFormat="1" x14ac:dyDescent="0.25"/>
    <row r="115964" customFormat="1" x14ac:dyDescent="0.25"/>
    <row r="115965" customFormat="1" x14ac:dyDescent="0.25"/>
    <row r="115966" customFormat="1" x14ac:dyDescent="0.25"/>
    <row r="115967" customFormat="1" x14ac:dyDescent="0.25"/>
    <row r="115968" customFormat="1" x14ac:dyDescent="0.25"/>
    <row r="115969" customFormat="1" x14ac:dyDescent="0.25"/>
    <row r="115970" customFormat="1" x14ac:dyDescent="0.25"/>
    <row r="115971" customFormat="1" x14ac:dyDescent="0.25"/>
    <row r="115972" customFormat="1" x14ac:dyDescent="0.25"/>
    <row r="115973" customFormat="1" x14ac:dyDescent="0.25"/>
    <row r="115974" customFormat="1" x14ac:dyDescent="0.25"/>
    <row r="115975" customFormat="1" x14ac:dyDescent="0.25"/>
    <row r="115976" customFormat="1" x14ac:dyDescent="0.25"/>
    <row r="115977" customFormat="1" x14ac:dyDescent="0.25"/>
    <row r="115978" customFormat="1" x14ac:dyDescent="0.25"/>
    <row r="115979" customFormat="1" x14ac:dyDescent="0.25"/>
    <row r="115980" customFormat="1" x14ac:dyDescent="0.25"/>
    <row r="115981" customFormat="1" x14ac:dyDescent="0.25"/>
    <row r="115982" customFormat="1" x14ac:dyDescent="0.25"/>
    <row r="115983" customFormat="1" x14ac:dyDescent="0.25"/>
    <row r="115984" customFormat="1" x14ac:dyDescent="0.25"/>
    <row r="115985" customFormat="1" x14ac:dyDescent="0.25"/>
    <row r="115986" customFormat="1" x14ac:dyDescent="0.25"/>
    <row r="115987" customFormat="1" x14ac:dyDescent="0.25"/>
    <row r="115988" customFormat="1" x14ac:dyDescent="0.25"/>
    <row r="115989" customFormat="1" x14ac:dyDescent="0.25"/>
    <row r="115990" customFormat="1" x14ac:dyDescent="0.25"/>
    <row r="115991" customFormat="1" x14ac:dyDescent="0.25"/>
    <row r="115992" customFormat="1" x14ac:dyDescent="0.25"/>
    <row r="115993" customFormat="1" x14ac:dyDescent="0.25"/>
    <row r="115994" customFormat="1" x14ac:dyDescent="0.25"/>
    <row r="115995" customFormat="1" x14ac:dyDescent="0.25"/>
    <row r="115996" customFormat="1" x14ac:dyDescent="0.25"/>
    <row r="115997" customFormat="1" x14ac:dyDescent="0.25"/>
    <row r="115998" customFormat="1" x14ac:dyDescent="0.25"/>
    <row r="115999" customFormat="1" x14ac:dyDescent="0.25"/>
    <row r="116000" customFormat="1" x14ac:dyDescent="0.25"/>
    <row r="116001" customFormat="1" x14ac:dyDescent="0.25"/>
    <row r="116002" customFormat="1" x14ac:dyDescent="0.25"/>
    <row r="116003" customFormat="1" x14ac:dyDescent="0.25"/>
    <row r="116004" customFormat="1" x14ac:dyDescent="0.25"/>
    <row r="116005" customFormat="1" x14ac:dyDescent="0.25"/>
    <row r="116006" customFormat="1" x14ac:dyDescent="0.25"/>
    <row r="116007" customFormat="1" x14ac:dyDescent="0.25"/>
    <row r="116008" customFormat="1" x14ac:dyDescent="0.25"/>
    <row r="116009" customFormat="1" x14ac:dyDescent="0.25"/>
    <row r="116010" customFormat="1" x14ac:dyDescent="0.25"/>
    <row r="116011" customFormat="1" x14ac:dyDescent="0.25"/>
    <row r="116012" customFormat="1" x14ac:dyDescent="0.25"/>
    <row r="116013" customFormat="1" x14ac:dyDescent="0.25"/>
    <row r="116014" customFormat="1" x14ac:dyDescent="0.25"/>
    <row r="116015" customFormat="1" x14ac:dyDescent="0.25"/>
    <row r="116016" customFormat="1" x14ac:dyDescent="0.25"/>
    <row r="116017" customFormat="1" x14ac:dyDescent="0.25"/>
    <row r="116018" customFormat="1" x14ac:dyDescent="0.25"/>
    <row r="116019" customFormat="1" x14ac:dyDescent="0.25"/>
    <row r="116020" customFormat="1" x14ac:dyDescent="0.25"/>
    <row r="116021" customFormat="1" x14ac:dyDescent="0.25"/>
    <row r="116022" customFormat="1" x14ac:dyDescent="0.25"/>
    <row r="116023" customFormat="1" x14ac:dyDescent="0.25"/>
    <row r="116024" customFormat="1" x14ac:dyDescent="0.25"/>
    <row r="116025" customFormat="1" x14ac:dyDescent="0.25"/>
    <row r="116026" customFormat="1" x14ac:dyDescent="0.25"/>
    <row r="116027" customFormat="1" x14ac:dyDescent="0.25"/>
    <row r="116028" customFormat="1" x14ac:dyDescent="0.25"/>
    <row r="116029" customFormat="1" x14ac:dyDescent="0.25"/>
    <row r="116030" customFormat="1" x14ac:dyDescent="0.25"/>
    <row r="116031" customFormat="1" x14ac:dyDescent="0.25"/>
    <row r="116032" customFormat="1" x14ac:dyDescent="0.25"/>
    <row r="116033" customFormat="1" x14ac:dyDescent="0.25"/>
    <row r="116034" customFormat="1" x14ac:dyDescent="0.25"/>
    <row r="116035" customFormat="1" x14ac:dyDescent="0.25"/>
    <row r="116036" customFormat="1" x14ac:dyDescent="0.25"/>
    <row r="116037" customFormat="1" x14ac:dyDescent="0.25"/>
    <row r="116038" customFormat="1" x14ac:dyDescent="0.25"/>
    <row r="116039" customFormat="1" x14ac:dyDescent="0.25"/>
    <row r="116040" customFormat="1" x14ac:dyDescent="0.25"/>
    <row r="116041" customFormat="1" x14ac:dyDescent="0.25"/>
    <row r="116042" customFormat="1" x14ac:dyDescent="0.25"/>
    <row r="116043" customFormat="1" x14ac:dyDescent="0.25"/>
    <row r="116044" customFormat="1" x14ac:dyDescent="0.25"/>
    <row r="116045" customFormat="1" x14ac:dyDescent="0.25"/>
    <row r="116046" customFormat="1" x14ac:dyDescent="0.25"/>
    <row r="116047" customFormat="1" x14ac:dyDescent="0.25"/>
    <row r="116048" customFormat="1" x14ac:dyDescent="0.25"/>
    <row r="116049" customFormat="1" x14ac:dyDescent="0.25"/>
    <row r="116050" customFormat="1" x14ac:dyDescent="0.25"/>
    <row r="116051" customFormat="1" x14ac:dyDescent="0.25"/>
    <row r="116052" customFormat="1" x14ac:dyDescent="0.25"/>
    <row r="116053" customFormat="1" x14ac:dyDescent="0.25"/>
    <row r="116054" customFormat="1" x14ac:dyDescent="0.25"/>
    <row r="116055" customFormat="1" x14ac:dyDescent="0.25"/>
    <row r="116056" customFormat="1" x14ac:dyDescent="0.25"/>
    <row r="116057" customFormat="1" x14ac:dyDescent="0.25"/>
    <row r="116058" customFormat="1" x14ac:dyDescent="0.25"/>
    <row r="116059" customFormat="1" x14ac:dyDescent="0.25"/>
    <row r="116060" customFormat="1" x14ac:dyDescent="0.25"/>
    <row r="116061" customFormat="1" x14ac:dyDescent="0.25"/>
    <row r="116062" customFormat="1" x14ac:dyDescent="0.25"/>
    <row r="116063" customFormat="1" x14ac:dyDescent="0.25"/>
    <row r="116064" customFormat="1" x14ac:dyDescent="0.25"/>
    <row r="116065" customFormat="1" x14ac:dyDescent="0.25"/>
    <row r="116066" customFormat="1" x14ac:dyDescent="0.25"/>
    <row r="116067" customFormat="1" x14ac:dyDescent="0.25"/>
    <row r="116068" customFormat="1" x14ac:dyDescent="0.25"/>
    <row r="116069" customFormat="1" x14ac:dyDescent="0.25"/>
    <row r="116070" customFormat="1" x14ac:dyDescent="0.25"/>
    <row r="116071" customFormat="1" x14ac:dyDescent="0.25"/>
    <row r="116072" customFormat="1" x14ac:dyDescent="0.25"/>
    <row r="116073" customFormat="1" x14ac:dyDescent="0.25"/>
    <row r="116074" customFormat="1" x14ac:dyDescent="0.25"/>
    <row r="116075" customFormat="1" x14ac:dyDescent="0.25"/>
    <row r="116076" customFormat="1" x14ac:dyDescent="0.25"/>
    <row r="116077" customFormat="1" x14ac:dyDescent="0.25"/>
    <row r="116078" customFormat="1" x14ac:dyDescent="0.25"/>
    <row r="116079" customFormat="1" x14ac:dyDescent="0.25"/>
    <row r="116080" customFormat="1" x14ac:dyDescent="0.25"/>
    <row r="116081" customFormat="1" x14ac:dyDescent="0.25"/>
    <row r="116082" customFormat="1" x14ac:dyDescent="0.25"/>
    <row r="116083" customFormat="1" x14ac:dyDescent="0.25"/>
    <row r="116084" customFormat="1" x14ac:dyDescent="0.25"/>
    <row r="116085" customFormat="1" x14ac:dyDescent="0.25"/>
    <row r="116086" customFormat="1" x14ac:dyDescent="0.25"/>
    <row r="116087" customFormat="1" x14ac:dyDescent="0.25"/>
    <row r="116088" customFormat="1" x14ac:dyDescent="0.25"/>
    <row r="116089" customFormat="1" x14ac:dyDescent="0.25"/>
    <row r="116090" customFormat="1" x14ac:dyDescent="0.25"/>
    <row r="116091" customFormat="1" x14ac:dyDescent="0.25"/>
    <row r="116092" customFormat="1" x14ac:dyDescent="0.25"/>
    <row r="116093" customFormat="1" x14ac:dyDescent="0.25"/>
    <row r="116094" customFormat="1" x14ac:dyDescent="0.25"/>
    <row r="116095" customFormat="1" x14ac:dyDescent="0.25"/>
    <row r="116096" customFormat="1" x14ac:dyDescent="0.25"/>
    <row r="116097" customFormat="1" x14ac:dyDescent="0.25"/>
    <row r="116098" customFormat="1" x14ac:dyDescent="0.25"/>
    <row r="116099" customFormat="1" x14ac:dyDescent="0.25"/>
    <row r="116100" customFormat="1" x14ac:dyDescent="0.25"/>
    <row r="116101" customFormat="1" x14ac:dyDescent="0.25"/>
    <row r="116102" customFormat="1" x14ac:dyDescent="0.25"/>
    <row r="116103" customFormat="1" x14ac:dyDescent="0.25"/>
    <row r="116104" customFormat="1" x14ac:dyDescent="0.25"/>
    <row r="116105" customFormat="1" x14ac:dyDescent="0.25"/>
    <row r="116106" customFormat="1" x14ac:dyDescent="0.25"/>
    <row r="116107" customFormat="1" x14ac:dyDescent="0.25"/>
    <row r="116108" customFormat="1" x14ac:dyDescent="0.25"/>
    <row r="116109" customFormat="1" x14ac:dyDescent="0.25"/>
    <row r="116110" customFormat="1" x14ac:dyDescent="0.25"/>
    <row r="116111" customFormat="1" x14ac:dyDescent="0.25"/>
    <row r="116112" customFormat="1" x14ac:dyDescent="0.25"/>
    <row r="116113" customFormat="1" x14ac:dyDescent="0.25"/>
    <row r="116114" customFormat="1" x14ac:dyDescent="0.25"/>
    <row r="116115" customFormat="1" x14ac:dyDescent="0.25"/>
    <row r="116116" customFormat="1" x14ac:dyDescent="0.25"/>
    <row r="116117" customFormat="1" x14ac:dyDescent="0.25"/>
    <row r="116118" customFormat="1" x14ac:dyDescent="0.25"/>
    <row r="116119" customFormat="1" x14ac:dyDescent="0.25"/>
    <row r="116120" customFormat="1" x14ac:dyDescent="0.25"/>
    <row r="116121" customFormat="1" x14ac:dyDescent="0.25"/>
    <row r="116122" customFormat="1" x14ac:dyDescent="0.25"/>
    <row r="116123" customFormat="1" x14ac:dyDescent="0.25"/>
    <row r="116124" customFormat="1" x14ac:dyDescent="0.25"/>
    <row r="116125" customFormat="1" x14ac:dyDescent="0.25"/>
    <row r="116126" customFormat="1" x14ac:dyDescent="0.25"/>
    <row r="116127" customFormat="1" x14ac:dyDescent="0.25"/>
    <row r="116128" customFormat="1" x14ac:dyDescent="0.25"/>
    <row r="116129" customFormat="1" x14ac:dyDescent="0.25"/>
    <row r="116130" customFormat="1" x14ac:dyDescent="0.25"/>
    <row r="116131" customFormat="1" x14ac:dyDescent="0.25"/>
    <row r="116132" customFormat="1" x14ac:dyDescent="0.25"/>
    <row r="116133" customFormat="1" x14ac:dyDescent="0.25"/>
    <row r="116134" customFormat="1" x14ac:dyDescent="0.25"/>
    <row r="116135" customFormat="1" x14ac:dyDescent="0.25"/>
    <row r="116136" customFormat="1" x14ac:dyDescent="0.25"/>
    <row r="116137" customFormat="1" x14ac:dyDescent="0.25"/>
    <row r="116138" customFormat="1" x14ac:dyDescent="0.25"/>
    <row r="116139" customFormat="1" x14ac:dyDescent="0.25"/>
    <row r="116140" customFormat="1" x14ac:dyDescent="0.25"/>
    <row r="116141" customFormat="1" x14ac:dyDescent="0.25"/>
    <row r="116142" customFormat="1" x14ac:dyDescent="0.25"/>
    <row r="116143" customFormat="1" x14ac:dyDescent="0.25"/>
    <row r="116144" customFormat="1" x14ac:dyDescent="0.25"/>
    <row r="116145" customFormat="1" x14ac:dyDescent="0.25"/>
    <row r="116146" customFormat="1" x14ac:dyDescent="0.25"/>
    <row r="116147" customFormat="1" x14ac:dyDescent="0.25"/>
    <row r="116148" customFormat="1" x14ac:dyDescent="0.25"/>
    <row r="116149" customFormat="1" x14ac:dyDescent="0.25"/>
    <row r="116150" customFormat="1" x14ac:dyDescent="0.25"/>
    <row r="116151" customFormat="1" x14ac:dyDescent="0.25"/>
    <row r="116152" customFormat="1" x14ac:dyDescent="0.25"/>
    <row r="116153" customFormat="1" x14ac:dyDescent="0.25"/>
    <row r="116154" customFormat="1" x14ac:dyDescent="0.25"/>
    <row r="116155" customFormat="1" x14ac:dyDescent="0.25"/>
    <row r="116156" customFormat="1" x14ac:dyDescent="0.25"/>
    <row r="116157" customFormat="1" x14ac:dyDescent="0.25"/>
    <row r="116158" customFormat="1" x14ac:dyDescent="0.25"/>
    <row r="116159" customFormat="1" x14ac:dyDescent="0.25"/>
    <row r="116160" customFormat="1" x14ac:dyDescent="0.25"/>
    <row r="116161" customFormat="1" x14ac:dyDescent="0.25"/>
    <row r="116162" customFormat="1" x14ac:dyDescent="0.25"/>
    <row r="116163" customFormat="1" x14ac:dyDescent="0.25"/>
    <row r="116164" customFormat="1" x14ac:dyDescent="0.25"/>
    <row r="116165" customFormat="1" x14ac:dyDescent="0.25"/>
    <row r="116166" customFormat="1" x14ac:dyDescent="0.25"/>
    <row r="116167" customFormat="1" x14ac:dyDescent="0.25"/>
    <row r="116168" customFormat="1" x14ac:dyDescent="0.25"/>
    <row r="116169" customFormat="1" x14ac:dyDescent="0.25"/>
    <row r="116170" customFormat="1" x14ac:dyDescent="0.25"/>
    <row r="116171" customFormat="1" x14ac:dyDescent="0.25"/>
    <row r="116172" customFormat="1" x14ac:dyDescent="0.25"/>
    <row r="116173" customFormat="1" x14ac:dyDescent="0.25"/>
    <row r="116174" customFormat="1" x14ac:dyDescent="0.25"/>
    <row r="116175" customFormat="1" x14ac:dyDescent="0.25"/>
    <row r="116176" customFormat="1" x14ac:dyDescent="0.25"/>
    <row r="116177" customFormat="1" x14ac:dyDescent="0.25"/>
    <row r="116178" customFormat="1" x14ac:dyDescent="0.25"/>
    <row r="116179" customFormat="1" x14ac:dyDescent="0.25"/>
    <row r="116180" customFormat="1" x14ac:dyDescent="0.25"/>
    <row r="116181" customFormat="1" x14ac:dyDescent="0.25"/>
    <row r="116182" customFormat="1" x14ac:dyDescent="0.25"/>
    <row r="116183" customFormat="1" x14ac:dyDescent="0.25"/>
    <row r="116184" customFormat="1" x14ac:dyDescent="0.25"/>
    <row r="116185" customFormat="1" x14ac:dyDescent="0.25"/>
    <row r="116186" customFormat="1" x14ac:dyDescent="0.25"/>
    <row r="116187" customFormat="1" x14ac:dyDescent="0.25"/>
    <row r="116188" customFormat="1" x14ac:dyDescent="0.25"/>
    <row r="116189" customFormat="1" x14ac:dyDescent="0.25"/>
    <row r="116190" customFormat="1" x14ac:dyDescent="0.25"/>
    <row r="116191" customFormat="1" x14ac:dyDescent="0.25"/>
    <row r="116192" customFormat="1" x14ac:dyDescent="0.25"/>
    <row r="116193" customFormat="1" x14ac:dyDescent="0.25"/>
    <row r="116194" customFormat="1" x14ac:dyDescent="0.25"/>
    <row r="116195" customFormat="1" x14ac:dyDescent="0.25"/>
    <row r="116196" customFormat="1" x14ac:dyDescent="0.25"/>
    <row r="116197" customFormat="1" x14ac:dyDescent="0.25"/>
    <row r="116198" customFormat="1" x14ac:dyDescent="0.25"/>
    <row r="116199" customFormat="1" x14ac:dyDescent="0.25"/>
    <row r="116200" customFormat="1" x14ac:dyDescent="0.25"/>
    <row r="116201" customFormat="1" x14ac:dyDescent="0.25"/>
    <row r="116202" customFormat="1" x14ac:dyDescent="0.25"/>
    <row r="116203" customFormat="1" x14ac:dyDescent="0.25"/>
    <row r="116204" customFormat="1" x14ac:dyDescent="0.25"/>
    <row r="116205" customFormat="1" x14ac:dyDescent="0.25"/>
    <row r="116206" customFormat="1" x14ac:dyDescent="0.25"/>
    <row r="116207" customFormat="1" x14ac:dyDescent="0.25"/>
    <row r="116208" customFormat="1" x14ac:dyDescent="0.25"/>
    <row r="116209" customFormat="1" x14ac:dyDescent="0.25"/>
    <row r="116210" customFormat="1" x14ac:dyDescent="0.25"/>
    <row r="116211" customFormat="1" x14ac:dyDescent="0.25"/>
    <row r="116212" customFormat="1" x14ac:dyDescent="0.25"/>
    <row r="116213" customFormat="1" x14ac:dyDescent="0.25"/>
    <row r="116214" customFormat="1" x14ac:dyDescent="0.25"/>
    <row r="116215" customFormat="1" x14ac:dyDescent="0.25"/>
    <row r="116216" customFormat="1" x14ac:dyDescent="0.25"/>
    <row r="116217" customFormat="1" x14ac:dyDescent="0.25"/>
    <row r="116218" customFormat="1" x14ac:dyDescent="0.25"/>
    <row r="116219" customFormat="1" x14ac:dyDescent="0.25"/>
    <row r="116220" customFormat="1" x14ac:dyDescent="0.25"/>
    <row r="116221" customFormat="1" x14ac:dyDescent="0.25"/>
    <row r="116222" customFormat="1" x14ac:dyDescent="0.25"/>
    <row r="116223" customFormat="1" x14ac:dyDescent="0.25"/>
    <row r="116224" customFormat="1" x14ac:dyDescent="0.25"/>
    <row r="116225" customFormat="1" x14ac:dyDescent="0.25"/>
    <row r="116226" customFormat="1" x14ac:dyDescent="0.25"/>
    <row r="116227" customFormat="1" x14ac:dyDescent="0.25"/>
    <row r="116228" customFormat="1" x14ac:dyDescent="0.25"/>
    <row r="116229" customFormat="1" x14ac:dyDescent="0.25"/>
    <row r="116230" customFormat="1" x14ac:dyDescent="0.25"/>
    <row r="116231" customFormat="1" x14ac:dyDescent="0.25"/>
    <row r="116232" customFormat="1" x14ac:dyDescent="0.25"/>
    <row r="116233" customFormat="1" x14ac:dyDescent="0.25"/>
    <row r="116234" customFormat="1" x14ac:dyDescent="0.25"/>
    <row r="116235" customFormat="1" x14ac:dyDescent="0.25"/>
    <row r="116236" customFormat="1" x14ac:dyDescent="0.25"/>
    <row r="116237" customFormat="1" x14ac:dyDescent="0.25"/>
    <row r="116238" customFormat="1" x14ac:dyDescent="0.25"/>
    <row r="116239" customFormat="1" x14ac:dyDescent="0.25"/>
    <row r="116240" customFormat="1" x14ac:dyDescent="0.25"/>
    <row r="116241" customFormat="1" x14ac:dyDescent="0.25"/>
    <row r="116242" customFormat="1" x14ac:dyDescent="0.25"/>
    <row r="116243" customFormat="1" x14ac:dyDescent="0.25"/>
    <row r="116244" customFormat="1" x14ac:dyDescent="0.25"/>
    <row r="116245" customFormat="1" x14ac:dyDescent="0.25"/>
    <row r="116246" customFormat="1" x14ac:dyDescent="0.25"/>
    <row r="116247" customFormat="1" x14ac:dyDescent="0.25"/>
    <row r="116248" customFormat="1" x14ac:dyDescent="0.25"/>
    <row r="116249" customFormat="1" x14ac:dyDescent="0.25"/>
    <row r="116250" customFormat="1" x14ac:dyDescent="0.25"/>
    <row r="116251" customFormat="1" x14ac:dyDescent="0.25"/>
    <row r="116252" customFormat="1" x14ac:dyDescent="0.25"/>
    <row r="116253" customFormat="1" x14ac:dyDescent="0.25"/>
    <row r="116254" customFormat="1" x14ac:dyDescent="0.25"/>
    <row r="116255" customFormat="1" x14ac:dyDescent="0.25"/>
    <row r="116256" customFormat="1" x14ac:dyDescent="0.25"/>
    <row r="116257" customFormat="1" x14ac:dyDescent="0.25"/>
    <row r="116258" customFormat="1" x14ac:dyDescent="0.25"/>
    <row r="116259" customFormat="1" x14ac:dyDescent="0.25"/>
    <row r="116260" customFormat="1" x14ac:dyDescent="0.25"/>
    <row r="116261" customFormat="1" x14ac:dyDescent="0.25"/>
    <row r="116262" customFormat="1" x14ac:dyDescent="0.25"/>
    <row r="116263" customFormat="1" x14ac:dyDescent="0.25"/>
    <row r="116264" customFormat="1" x14ac:dyDescent="0.25"/>
    <row r="116265" customFormat="1" x14ac:dyDescent="0.25"/>
    <row r="116266" customFormat="1" x14ac:dyDescent="0.25"/>
    <row r="116267" customFormat="1" x14ac:dyDescent="0.25"/>
    <row r="116268" customFormat="1" x14ac:dyDescent="0.25"/>
    <row r="116269" customFormat="1" x14ac:dyDescent="0.25"/>
    <row r="116270" customFormat="1" x14ac:dyDescent="0.25"/>
    <row r="116271" customFormat="1" x14ac:dyDescent="0.25"/>
    <row r="116272" customFormat="1" x14ac:dyDescent="0.25"/>
    <row r="116273" customFormat="1" x14ac:dyDescent="0.25"/>
    <row r="116274" customFormat="1" x14ac:dyDescent="0.25"/>
    <row r="116275" customFormat="1" x14ac:dyDescent="0.25"/>
    <row r="116276" customFormat="1" x14ac:dyDescent="0.25"/>
    <row r="116277" customFormat="1" x14ac:dyDescent="0.25"/>
    <row r="116278" customFormat="1" x14ac:dyDescent="0.25"/>
    <row r="116279" customFormat="1" x14ac:dyDescent="0.25"/>
    <row r="116280" customFormat="1" x14ac:dyDescent="0.25"/>
    <row r="116281" customFormat="1" x14ac:dyDescent="0.25"/>
    <row r="116282" customFormat="1" x14ac:dyDescent="0.25"/>
    <row r="116283" customFormat="1" x14ac:dyDescent="0.25"/>
    <row r="116284" customFormat="1" x14ac:dyDescent="0.25"/>
    <row r="116285" customFormat="1" x14ac:dyDescent="0.25"/>
    <row r="116286" customFormat="1" x14ac:dyDescent="0.25"/>
    <row r="116287" customFormat="1" x14ac:dyDescent="0.25"/>
    <row r="116288" customFormat="1" x14ac:dyDescent="0.25"/>
    <row r="116289" customFormat="1" x14ac:dyDescent="0.25"/>
    <row r="116290" customFormat="1" x14ac:dyDescent="0.25"/>
    <row r="116291" customFormat="1" x14ac:dyDescent="0.25"/>
    <row r="116292" customFormat="1" x14ac:dyDescent="0.25"/>
    <row r="116293" customFormat="1" x14ac:dyDescent="0.25"/>
    <row r="116294" customFormat="1" x14ac:dyDescent="0.25"/>
    <row r="116295" customFormat="1" x14ac:dyDescent="0.25"/>
    <row r="116296" customFormat="1" x14ac:dyDescent="0.25"/>
    <row r="116297" customFormat="1" x14ac:dyDescent="0.25"/>
    <row r="116298" customFormat="1" x14ac:dyDescent="0.25"/>
    <row r="116299" customFormat="1" x14ac:dyDescent="0.25"/>
    <row r="116300" customFormat="1" x14ac:dyDescent="0.25"/>
    <row r="116301" customFormat="1" x14ac:dyDescent="0.25"/>
    <row r="116302" customFormat="1" x14ac:dyDescent="0.25"/>
    <row r="116303" customFormat="1" x14ac:dyDescent="0.25"/>
    <row r="116304" customFormat="1" x14ac:dyDescent="0.25"/>
    <row r="116305" customFormat="1" x14ac:dyDescent="0.25"/>
    <row r="116306" customFormat="1" x14ac:dyDescent="0.25"/>
    <row r="116307" customFormat="1" x14ac:dyDescent="0.25"/>
    <row r="116308" customFormat="1" x14ac:dyDescent="0.25"/>
    <row r="116309" customFormat="1" x14ac:dyDescent="0.25"/>
    <row r="116310" customFormat="1" x14ac:dyDescent="0.25"/>
    <row r="116311" customFormat="1" x14ac:dyDescent="0.25"/>
    <row r="116312" customFormat="1" x14ac:dyDescent="0.25"/>
    <row r="116313" customFormat="1" x14ac:dyDescent="0.25"/>
    <row r="116314" customFormat="1" x14ac:dyDescent="0.25"/>
    <row r="116315" customFormat="1" x14ac:dyDescent="0.25"/>
    <row r="116316" customFormat="1" x14ac:dyDescent="0.25"/>
    <row r="116317" customFormat="1" x14ac:dyDescent="0.25"/>
    <row r="116318" customFormat="1" x14ac:dyDescent="0.25"/>
    <row r="116319" customFormat="1" x14ac:dyDescent="0.25"/>
    <row r="116320" customFormat="1" x14ac:dyDescent="0.25"/>
    <row r="116321" customFormat="1" x14ac:dyDescent="0.25"/>
    <row r="116322" customFormat="1" x14ac:dyDescent="0.25"/>
    <row r="116323" customFormat="1" x14ac:dyDescent="0.25"/>
    <row r="116324" customFormat="1" x14ac:dyDescent="0.25"/>
    <row r="116325" customFormat="1" x14ac:dyDescent="0.25"/>
    <row r="116326" customFormat="1" x14ac:dyDescent="0.25"/>
    <row r="116327" customFormat="1" x14ac:dyDescent="0.25"/>
    <row r="116328" customFormat="1" x14ac:dyDescent="0.25"/>
    <row r="116329" customFormat="1" x14ac:dyDescent="0.25"/>
    <row r="116330" customFormat="1" x14ac:dyDescent="0.25"/>
    <row r="116331" customFormat="1" x14ac:dyDescent="0.25"/>
    <row r="116332" customFormat="1" x14ac:dyDescent="0.25"/>
    <row r="116333" customFormat="1" x14ac:dyDescent="0.25"/>
    <row r="116334" customFormat="1" x14ac:dyDescent="0.25"/>
    <row r="116335" customFormat="1" x14ac:dyDescent="0.25"/>
    <row r="116336" customFormat="1" x14ac:dyDescent="0.25"/>
    <row r="116337" customFormat="1" x14ac:dyDescent="0.25"/>
    <row r="116338" customFormat="1" x14ac:dyDescent="0.25"/>
    <row r="116339" customFormat="1" x14ac:dyDescent="0.25"/>
    <row r="116340" customFormat="1" x14ac:dyDescent="0.25"/>
    <row r="116341" customFormat="1" x14ac:dyDescent="0.25"/>
    <row r="116342" customFormat="1" x14ac:dyDescent="0.25"/>
    <row r="116343" customFormat="1" x14ac:dyDescent="0.25"/>
    <row r="116344" customFormat="1" x14ac:dyDescent="0.25"/>
    <row r="116345" customFormat="1" x14ac:dyDescent="0.25"/>
    <row r="116346" customFormat="1" x14ac:dyDescent="0.25"/>
    <row r="116347" customFormat="1" x14ac:dyDescent="0.25"/>
    <row r="116348" customFormat="1" x14ac:dyDescent="0.25"/>
    <row r="116349" customFormat="1" x14ac:dyDescent="0.25"/>
    <row r="116350" customFormat="1" x14ac:dyDescent="0.25"/>
    <row r="116351" customFormat="1" x14ac:dyDescent="0.25"/>
    <row r="116352" customFormat="1" x14ac:dyDescent="0.25"/>
    <row r="116353" customFormat="1" x14ac:dyDescent="0.25"/>
    <row r="116354" customFormat="1" x14ac:dyDescent="0.25"/>
    <row r="116355" customFormat="1" x14ac:dyDescent="0.25"/>
    <row r="116356" customFormat="1" x14ac:dyDescent="0.25"/>
    <row r="116357" customFormat="1" x14ac:dyDescent="0.25"/>
    <row r="116358" customFormat="1" x14ac:dyDescent="0.25"/>
    <row r="116359" customFormat="1" x14ac:dyDescent="0.25"/>
    <row r="116360" customFormat="1" x14ac:dyDescent="0.25"/>
    <row r="116361" customFormat="1" x14ac:dyDescent="0.25"/>
    <row r="116362" customFormat="1" x14ac:dyDescent="0.25"/>
    <row r="116363" customFormat="1" x14ac:dyDescent="0.25"/>
    <row r="116364" customFormat="1" x14ac:dyDescent="0.25"/>
    <row r="116365" customFormat="1" x14ac:dyDescent="0.25"/>
    <row r="116366" customFormat="1" x14ac:dyDescent="0.25"/>
    <row r="116367" customFormat="1" x14ac:dyDescent="0.25"/>
    <row r="116368" customFormat="1" x14ac:dyDescent="0.25"/>
    <row r="116369" customFormat="1" x14ac:dyDescent="0.25"/>
    <row r="116370" customFormat="1" x14ac:dyDescent="0.25"/>
    <row r="116371" customFormat="1" x14ac:dyDescent="0.25"/>
    <row r="116372" customFormat="1" x14ac:dyDescent="0.25"/>
    <row r="116373" customFormat="1" x14ac:dyDescent="0.25"/>
    <row r="116374" customFormat="1" x14ac:dyDescent="0.25"/>
    <row r="116375" customFormat="1" x14ac:dyDescent="0.25"/>
    <row r="116376" customFormat="1" x14ac:dyDescent="0.25"/>
    <row r="116377" customFormat="1" x14ac:dyDescent="0.25"/>
    <row r="116378" customFormat="1" x14ac:dyDescent="0.25"/>
    <row r="116379" customFormat="1" x14ac:dyDescent="0.25"/>
    <row r="116380" customFormat="1" x14ac:dyDescent="0.25"/>
    <row r="116381" customFormat="1" x14ac:dyDescent="0.25"/>
    <row r="116382" customFormat="1" x14ac:dyDescent="0.25"/>
    <row r="116383" customFormat="1" x14ac:dyDescent="0.25"/>
    <row r="116384" customFormat="1" x14ac:dyDescent="0.25"/>
    <row r="116385" customFormat="1" x14ac:dyDescent="0.25"/>
    <row r="116386" customFormat="1" x14ac:dyDescent="0.25"/>
    <row r="116387" customFormat="1" x14ac:dyDescent="0.25"/>
    <row r="116388" customFormat="1" x14ac:dyDescent="0.25"/>
    <row r="116389" customFormat="1" x14ac:dyDescent="0.25"/>
    <row r="116390" customFormat="1" x14ac:dyDescent="0.25"/>
    <row r="116391" customFormat="1" x14ac:dyDescent="0.25"/>
    <row r="116392" customFormat="1" x14ac:dyDescent="0.25"/>
    <row r="116393" customFormat="1" x14ac:dyDescent="0.25"/>
    <row r="116394" customFormat="1" x14ac:dyDescent="0.25"/>
    <row r="116395" customFormat="1" x14ac:dyDescent="0.25"/>
    <row r="116396" customFormat="1" x14ac:dyDescent="0.25"/>
    <row r="116397" customFormat="1" x14ac:dyDescent="0.25"/>
    <row r="116398" customFormat="1" x14ac:dyDescent="0.25"/>
    <row r="116399" customFormat="1" x14ac:dyDescent="0.25"/>
    <row r="116400" customFormat="1" x14ac:dyDescent="0.25"/>
    <row r="116401" customFormat="1" x14ac:dyDescent="0.25"/>
    <row r="116402" customFormat="1" x14ac:dyDescent="0.25"/>
    <row r="116403" customFormat="1" x14ac:dyDescent="0.25"/>
    <row r="116404" customFormat="1" x14ac:dyDescent="0.25"/>
    <row r="116405" customFormat="1" x14ac:dyDescent="0.25"/>
    <row r="116406" customFormat="1" x14ac:dyDescent="0.25"/>
    <row r="116407" customFormat="1" x14ac:dyDescent="0.25"/>
    <row r="116408" customFormat="1" x14ac:dyDescent="0.25"/>
    <row r="116409" customFormat="1" x14ac:dyDescent="0.25"/>
    <row r="116410" customFormat="1" x14ac:dyDescent="0.25"/>
    <row r="116411" customFormat="1" x14ac:dyDescent="0.25"/>
    <row r="116412" customFormat="1" x14ac:dyDescent="0.25"/>
    <row r="116413" customFormat="1" x14ac:dyDescent="0.25"/>
    <row r="116414" customFormat="1" x14ac:dyDescent="0.25"/>
    <row r="116415" customFormat="1" x14ac:dyDescent="0.25"/>
    <row r="116416" customFormat="1" x14ac:dyDescent="0.25"/>
    <row r="116417" customFormat="1" x14ac:dyDescent="0.25"/>
    <row r="116418" customFormat="1" x14ac:dyDescent="0.25"/>
    <row r="116419" customFormat="1" x14ac:dyDescent="0.25"/>
    <row r="116420" customFormat="1" x14ac:dyDescent="0.25"/>
    <row r="116421" customFormat="1" x14ac:dyDescent="0.25"/>
    <row r="116422" customFormat="1" x14ac:dyDescent="0.25"/>
    <row r="116423" customFormat="1" x14ac:dyDescent="0.25"/>
    <row r="116424" customFormat="1" x14ac:dyDescent="0.25"/>
    <row r="116425" customFormat="1" x14ac:dyDescent="0.25"/>
    <row r="116426" customFormat="1" x14ac:dyDescent="0.25"/>
    <row r="116427" customFormat="1" x14ac:dyDescent="0.25"/>
    <row r="116428" customFormat="1" x14ac:dyDescent="0.25"/>
    <row r="116429" customFormat="1" x14ac:dyDescent="0.25"/>
    <row r="116430" customFormat="1" x14ac:dyDescent="0.25"/>
    <row r="116431" customFormat="1" x14ac:dyDescent="0.25"/>
    <row r="116432" customFormat="1" x14ac:dyDescent="0.25"/>
    <row r="116433" customFormat="1" x14ac:dyDescent="0.25"/>
    <row r="116434" customFormat="1" x14ac:dyDescent="0.25"/>
    <row r="116435" customFormat="1" x14ac:dyDescent="0.25"/>
    <row r="116436" customFormat="1" x14ac:dyDescent="0.25"/>
    <row r="116437" customFormat="1" x14ac:dyDescent="0.25"/>
    <row r="116438" customFormat="1" x14ac:dyDescent="0.25"/>
    <row r="116439" customFormat="1" x14ac:dyDescent="0.25"/>
    <row r="116440" customFormat="1" x14ac:dyDescent="0.25"/>
    <row r="116441" customFormat="1" x14ac:dyDescent="0.25"/>
    <row r="116442" customFormat="1" x14ac:dyDescent="0.25"/>
    <row r="116443" customFormat="1" x14ac:dyDescent="0.25"/>
    <row r="116444" customFormat="1" x14ac:dyDescent="0.25"/>
    <row r="116445" customFormat="1" x14ac:dyDescent="0.25"/>
    <row r="116446" customFormat="1" x14ac:dyDescent="0.25"/>
    <row r="116447" customFormat="1" x14ac:dyDescent="0.25"/>
    <row r="116448" customFormat="1" x14ac:dyDescent="0.25"/>
    <row r="116449" customFormat="1" x14ac:dyDescent="0.25"/>
    <row r="116450" customFormat="1" x14ac:dyDescent="0.25"/>
    <row r="116451" customFormat="1" x14ac:dyDescent="0.25"/>
    <row r="116452" customFormat="1" x14ac:dyDescent="0.25"/>
    <row r="116453" customFormat="1" x14ac:dyDescent="0.25"/>
    <row r="116454" customFormat="1" x14ac:dyDescent="0.25"/>
    <row r="116455" customFormat="1" x14ac:dyDescent="0.25"/>
    <row r="116456" customFormat="1" x14ac:dyDescent="0.25"/>
    <row r="116457" customFormat="1" x14ac:dyDescent="0.25"/>
    <row r="116458" customFormat="1" x14ac:dyDescent="0.25"/>
    <row r="116459" customFormat="1" x14ac:dyDescent="0.25"/>
    <row r="116460" customFormat="1" x14ac:dyDescent="0.25"/>
    <row r="116461" customFormat="1" x14ac:dyDescent="0.25"/>
    <row r="116462" customFormat="1" x14ac:dyDescent="0.25"/>
    <row r="116463" customFormat="1" x14ac:dyDescent="0.25"/>
    <row r="116464" customFormat="1" x14ac:dyDescent="0.25"/>
    <row r="116465" customFormat="1" x14ac:dyDescent="0.25"/>
    <row r="116466" customFormat="1" x14ac:dyDescent="0.25"/>
    <row r="116467" customFormat="1" x14ac:dyDescent="0.25"/>
    <row r="116468" customFormat="1" x14ac:dyDescent="0.25"/>
    <row r="116469" customFormat="1" x14ac:dyDescent="0.25"/>
    <row r="116470" customFormat="1" x14ac:dyDescent="0.25"/>
    <row r="116471" customFormat="1" x14ac:dyDescent="0.25"/>
    <row r="116472" customFormat="1" x14ac:dyDescent="0.25"/>
    <row r="116473" customFormat="1" x14ac:dyDescent="0.25"/>
    <row r="116474" customFormat="1" x14ac:dyDescent="0.25"/>
    <row r="116475" customFormat="1" x14ac:dyDescent="0.25"/>
    <row r="116476" customFormat="1" x14ac:dyDescent="0.25"/>
    <row r="116477" customFormat="1" x14ac:dyDescent="0.25"/>
    <row r="116478" customFormat="1" x14ac:dyDescent="0.25"/>
    <row r="116479" customFormat="1" x14ac:dyDescent="0.25"/>
    <row r="116480" customFormat="1" x14ac:dyDescent="0.25"/>
    <row r="116481" customFormat="1" x14ac:dyDescent="0.25"/>
    <row r="116482" customFormat="1" x14ac:dyDescent="0.25"/>
    <row r="116483" customFormat="1" x14ac:dyDescent="0.25"/>
    <row r="116484" customFormat="1" x14ac:dyDescent="0.25"/>
    <row r="116485" customFormat="1" x14ac:dyDescent="0.25"/>
    <row r="116486" customFormat="1" x14ac:dyDescent="0.25"/>
    <row r="116487" customFormat="1" x14ac:dyDescent="0.25"/>
    <row r="116488" customFormat="1" x14ac:dyDescent="0.25"/>
    <row r="116489" customFormat="1" x14ac:dyDescent="0.25"/>
    <row r="116490" customFormat="1" x14ac:dyDescent="0.25"/>
    <row r="116491" customFormat="1" x14ac:dyDescent="0.25"/>
    <row r="116492" customFormat="1" x14ac:dyDescent="0.25"/>
    <row r="116493" customFormat="1" x14ac:dyDescent="0.25"/>
    <row r="116494" customFormat="1" x14ac:dyDescent="0.25"/>
    <row r="116495" customFormat="1" x14ac:dyDescent="0.25"/>
    <row r="116496" customFormat="1" x14ac:dyDescent="0.25"/>
    <row r="116497" customFormat="1" x14ac:dyDescent="0.25"/>
    <row r="116498" customFormat="1" x14ac:dyDescent="0.25"/>
    <row r="116499" customFormat="1" x14ac:dyDescent="0.25"/>
    <row r="116500" customFormat="1" x14ac:dyDescent="0.25"/>
    <row r="116501" customFormat="1" x14ac:dyDescent="0.25"/>
    <row r="116502" customFormat="1" x14ac:dyDescent="0.25"/>
    <row r="116503" customFormat="1" x14ac:dyDescent="0.25"/>
    <row r="116504" customFormat="1" x14ac:dyDescent="0.25"/>
    <row r="116505" customFormat="1" x14ac:dyDescent="0.25"/>
    <row r="116506" customFormat="1" x14ac:dyDescent="0.25"/>
    <row r="116507" customFormat="1" x14ac:dyDescent="0.25"/>
    <row r="116508" customFormat="1" x14ac:dyDescent="0.25"/>
    <row r="116509" customFormat="1" x14ac:dyDescent="0.25"/>
    <row r="116510" customFormat="1" x14ac:dyDescent="0.25"/>
    <row r="116511" customFormat="1" x14ac:dyDescent="0.25"/>
    <row r="116512" customFormat="1" x14ac:dyDescent="0.25"/>
    <row r="116513" customFormat="1" x14ac:dyDescent="0.25"/>
    <row r="116514" customFormat="1" x14ac:dyDescent="0.25"/>
    <row r="116515" customFormat="1" x14ac:dyDescent="0.25"/>
    <row r="116516" customFormat="1" x14ac:dyDescent="0.25"/>
    <row r="116517" customFormat="1" x14ac:dyDescent="0.25"/>
    <row r="116518" customFormat="1" x14ac:dyDescent="0.25"/>
    <row r="116519" customFormat="1" x14ac:dyDescent="0.25"/>
    <row r="116520" customFormat="1" x14ac:dyDescent="0.25"/>
    <row r="116521" customFormat="1" x14ac:dyDescent="0.25"/>
    <row r="116522" customFormat="1" x14ac:dyDescent="0.25"/>
    <row r="116523" customFormat="1" x14ac:dyDescent="0.25"/>
    <row r="116524" customFormat="1" x14ac:dyDescent="0.25"/>
    <row r="116525" customFormat="1" x14ac:dyDescent="0.25"/>
    <row r="116526" customFormat="1" x14ac:dyDescent="0.25"/>
    <row r="116527" customFormat="1" x14ac:dyDescent="0.25"/>
    <row r="116528" customFormat="1" x14ac:dyDescent="0.25"/>
    <row r="116529" customFormat="1" x14ac:dyDescent="0.25"/>
    <row r="116530" customFormat="1" x14ac:dyDescent="0.25"/>
    <row r="116531" customFormat="1" x14ac:dyDescent="0.25"/>
    <row r="116532" customFormat="1" x14ac:dyDescent="0.25"/>
    <row r="116533" customFormat="1" x14ac:dyDescent="0.25"/>
    <row r="116534" customFormat="1" x14ac:dyDescent="0.25"/>
    <row r="116535" customFormat="1" x14ac:dyDescent="0.25"/>
    <row r="116536" customFormat="1" x14ac:dyDescent="0.25"/>
    <row r="116537" customFormat="1" x14ac:dyDescent="0.25"/>
    <row r="116538" customFormat="1" x14ac:dyDescent="0.25"/>
    <row r="116539" customFormat="1" x14ac:dyDescent="0.25"/>
    <row r="116540" customFormat="1" x14ac:dyDescent="0.25"/>
    <row r="116541" customFormat="1" x14ac:dyDescent="0.25"/>
    <row r="116542" customFormat="1" x14ac:dyDescent="0.25"/>
    <row r="116543" customFormat="1" x14ac:dyDescent="0.25"/>
    <row r="116544" customFormat="1" x14ac:dyDescent="0.25"/>
    <row r="116545" customFormat="1" x14ac:dyDescent="0.25"/>
    <row r="116546" customFormat="1" x14ac:dyDescent="0.25"/>
    <row r="116547" customFormat="1" x14ac:dyDescent="0.25"/>
    <row r="116548" customFormat="1" x14ac:dyDescent="0.25"/>
    <row r="116549" customFormat="1" x14ac:dyDescent="0.25"/>
    <row r="116550" customFormat="1" x14ac:dyDescent="0.25"/>
    <row r="116551" customFormat="1" x14ac:dyDescent="0.25"/>
    <row r="116552" customFormat="1" x14ac:dyDescent="0.25"/>
    <row r="116553" customFormat="1" x14ac:dyDescent="0.25"/>
    <row r="116554" customFormat="1" x14ac:dyDescent="0.25"/>
    <row r="116555" customFormat="1" x14ac:dyDescent="0.25"/>
    <row r="116556" customFormat="1" x14ac:dyDescent="0.25"/>
    <row r="116557" customFormat="1" x14ac:dyDescent="0.25"/>
    <row r="116558" customFormat="1" x14ac:dyDescent="0.25"/>
    <row r="116559" customFormat="1" x14ac:dyDescent="0.25"/>
    <row r="116560" customFormat="1" x14ac:dyDescent="0.25"/>
    <row r="116561" customFormat="1" x14ac:dyDescent="0.25"/>
    <row r="116562" customFormat="1" x14ac:dyDescent="0.25"/>
    <row r="116563" customFormat="1" x14ac:dyDescent="0.25"/>
    <row r="116564" customFormat="1" x14ac:dyDescent="0.25"/>
    <row r="116565" customFormat="1" x14ac:dyDescent="0.25"/>
    <row r="116566" customFormat="1" x14ac:dyDescent="0.25"/>
    <row r="116567" customFormat="1" x14ac:dyDescent="0.25"/>
    <row r="116568" customFormat="1" x14ac:dyDescent="0.25"/>
    <row r="116569" customFormat="1" x14ac:dyDescent="0.25"/>
    <row r="116570" customFormat="1" x14ac:dyDescent="0.25"/>
    <row r="116571" customFormat="1" x14ac:dyDescent="0.25"/>
    <row r="116572" customFormat="1" x14ac:dyDescent="0.25"/>
    <row r="116573" customFormat="1" x14ac:dyDescent="0.25"/>
    <row r="116574" customFormat="1" x14ac:dyDescent="0.25"/>
    <row r="116575" customFormat="1" x14ac:dyDescent="0.25"/>
    <row r="116576" customFormat="1" x14ac:dyDescent="0.25"/>
    <row r="116577" customFormat="1" x14ac:dyDescent="0.25"/>
    <row r="116578" customFormat="1" x14ac:dyDescent="0.25"/>
    <row r="116579" customFormat="1" x14ac:dyDescent="0.25"/>
    <row r="116580" customFormat="1" x14ac:dyDescent="0.25"/>
    <row r="116581" customFormat="1" x14ac:dyDescent="0.25"/>
    <row r="116582" customFormat="1" x14ac:dyDescent="0.25"/>
    <row r="116583" customFormat="1" x14ac:dyDescent="0.25"/>
    <row r="116584" customFormat="1" x14ac:dyDescent="0.25"/>
    <row r="116585" customFormat="1" x14ac:dyDescent="0.25"/>
    <row r="116586" customFormat="1" x14ac:dyDescent="0.25"/>
    <row r="116587" customFormat="1" x14ac:dyDescent="0.25"/>
    <row r="116588" customFormat="1" x14ac:dyDescent="0.25"/>
    <row r="116589" customFormat="1" x14ac:dyDescent="0.25"/>
    <row r="116590" customFormat="1" x14ac:dyDescent="0.25"/>
    <row r="116591" customFormat="1" x14ac:dyDescent="0.25"/>
    <row r="116592" customFormat="1" x14ac:dyDescent="0.25"/>
    <row r="116593" customFormat="1" x14ac:dyDescent="0.25"/>
    <row r="116594" customFormat="1" x14ac:dyDescent="0.25"/>
    <row r="116595" customFormat="1" x14ac:dyDescent="0.25"/>
    <row r="116596" customFormat="1" x14ac:dyDescent="0.25"/>
    <row r="116597" customFormat="1" x14ac:dyDescent="0.25"/>
    <row r="116598" customFormat="1" x14ac:dyDescent="0.25"/>
    <row r="116599" customFormat="1" x14ac:dyDescent="0.25"/>
    <row r="116600" customFormat="1" x14ac:dyDescent="0.25"/>
    <row r="116601" customFormat="1" x14ac:dyDescent="0.25"/>
    <row r="116602" customFormat="1" x14ac:dyDescent="0.25"/>
    <row r="116603" customFormat="1" x14ac:dyDescent="0.25"/>
    <row r="116604" customFormat="1" x14ac:dyDescent="0.25"/>
    <row r="116605" customFormat="1" x14ac:dyDescent="0.25"/>
    <row r="116606" customFormat="1" x14ac:dyDescent="0.25"/>
    <row r="116607" customFormat="1" x14ac:dyDescent="0.25"/>
    <row r="116608" customFormat="1" x14ac:dyDescent="0.25"/>
    <row r="116609" customFormat="1" x14ac:dyDescent="0.25"/>
    <row r="116610" customFormat="1" x14ac:dyDescent="0.25"/>
    <row r="116611" customFormat="1" x14ac:dyDescent="0.25"/>
    <row r="116612" customFormat="1" x14ac:dyDescent="0.25"/>
    <row r="116613" customFormat="1" x14ac:dyDescent="0.25"/>
    <row r="116614" customFormat="1" x14ac:dyDescent="0.25"/>
    <row r="116615" customFormat="1" x14ac:dyDescent="0.25"/>
    <row r="116616" customFormat="1" x14ac:dyDescent="0.25"/>
    <row r="116617" customFormat="1" x14ac:dyDescent="0.25"/>
    <row r="116618" customFormat="1" x14ac:dyDescent="0.25"/>
    <row r="116619" customFormat="1" x14ac:dyDescent="0.25"/>
    <row r="116620" customFormat="1" x14ac:dyDescent="0.25"/>
    <row r="116621" customFormat="1" x14ac:dyDescent="0.25"/>
    <row r="116622" customFormat="1" x14ac:dyDescent="0.25"/>
    <row r="116623" customFormat="1" x14ac:dyDescent="0.25"/>
    <row r="116624" customFormat="1" x14ac:dyDescent="0.25"/>
    <row r="116625" customFormat="1" x14ac:dyDescent="0.25"/>
    <row r="116626" customFormat="1" x14ac:dyDescent="0.25"/>
    <row r="116627" customFormat="1" x14ac:dyDescent="0.25"/>
    <row r="116628" customFormat="1" x14ac:dyDescent="0.25"/>
    <row r="116629" customFormat="1" x14ac:dyDescent="0.25"/>
    <row r="116630" customFormat="1" x14ac:dyDescent="0.25"/>
    <row r="116631" customFormat="1" x14ac:dyDescent="0.25"/>
    <row r="116632" customFormat="1" x14ac:dyDescent="0.25"/>
    <row r="116633" customFormat="1" x14ac:dyDescent="0.25"/>
    <row r="116634" customFormat="1" x14ac:dyDescent="0.25"/>
    <row r="116635" customFormat="1" x14ac:dyDescent="0.25"/>
    <row r="116636" customFormat="1" x14ac:dyDescent="0.25"/>
    <row r="116637" customFormat="1" x14ac:dyDescent="0.25"/>
    <row r="116638" customFormat="1" x14ac:dyDescent="0.25"/>
    <row r="116639" customFormat="1" x14ac:dyDescent="0.25"/>
    <row r="116640" customFormat="1" x14ac:dyDescent="0.25"/>
    <row r="116641" customFormat="1" x14ac:dyDescent="0.25"/>
    <row r="116642" customFormat="1" x14ac:dyDescent="0.25"/>
    <row r="116643" customFormat="1" x14ac:dyDescent="0.25"/>
    <row r="116644" customFormat="1" x14ac:dyDescent="0.25"/>
    <row r="116645" customFormat="1" x14ac:dyDescent="0.25"/>
    <row r="116646" customFormat="1" x14ac:dyDescent="0.25"/>
    <row r="116647" customFormat="1" x14ac:dyDescent="0.25"/>
    <row r="116648" customFormat="1" x14ac:dyDescent="0.25"/>
    <row r="116649" customFormat="1" x14ac:dyDescent="0.25"/>
    <row r="116650" customFormat="1" x14ac:dyDescent="0.25"/>
    <row r="116651" customFormat="1" x14ac:dyDescent="0.25"/>
    <row r="116652" customFormat="1" x14ac:dyDescent="0.25"/>
    <row r="116653" customFormat="1" x14ac:dyDescent="0.25"/>
    <row r="116654" customFormat="1" x14ac:dyDescent="0.25"/>
    <row r="116655" customFormat="1" x14ac:dyDescent="0.25"/>
    <row r="116656" customFormat="1" x14ac:dyDescent="0.25"/>
    <row r="116657" customFormat="1" x14ac:dyDescent="0.25"/>
    <row r="116658" customFormat="1" x14ac:dyDescent="0.25"/>
    <row r="116659" customFormat="1" x14ac:dyDescent="0.25"/>
    <row r="116660" customFormat="1" x14ac:dyDescent="0.25"/>
    <row r="116661" customFormat="1" x14ac:dyDescent="0.25"/>
    <row r="116662" customFormat="1" x14ac:dyDescent="0.25"/>
    <row r="116663" customFormat="1" x14ac:dyDescent="0.25"/>
    <row r="116664" customFormat="1" x14ac:dyDescent="0.25"/>
    <row r="116665" customFormat="1" x14ac:dyDescent="0.25"/>
    <row r="116666" customFormat="1" x14ac:dyDescent="0.25"/>
    <row r="116667" customFormat="1" x14ac:dyDescent="0.25"/>
    <row r="116668" customFormat="1" x14ac:dyDescent="0.25"/>
    <row r="116669" customFormat="1" x14ac:dyDescent="0.25"/>
    <row r="116670" customFormat="1" x14ac:dyDescent="0.25"/>
    <row r="116671" customFormat="1" x14ac:dyDescent="0.25"/>
    <row r="116672" customFormat="1" x14ac:dyDescent="0.25"/>
    <row r="116673" customFormat="1" x14ac:dyDescent="0.25"/>
    <row r="116674" customFormat="1" x14ac:dyDescent="0.25"/>
    <row r="116675" customFormat="1" x14ac:dyDescent="0.25"/>
    <row r="116676" customFormat="1" x14ac:dyDescent="0.25"/>
    <row r="116677" customFormat="1" x14ac:dyDescent="0.25"/>
    <row r="116678" customFormat="1" x14ac:dyDescent="0.25"/>
    <row r="116679" customFormat="1" x14ac:dyDescent="0.25"/>
    <row r="116680" customFormat="1" x14ac:dyDescent="0.25"/>
    <row r="116681" customFormat="1" x14ac:dyDescent="0.25"/>
    <row r="116682" customFormat="1" x14ac:dyDescent="0.25"/>
    <row r="116683" customFormat="1" x14ac:dyDescent="0.25"/>
    <row r="116684" customFormat="1" x14ac:dyDescent="0.25"/>
    <row r="116685" customFormat="1" x14ac:dyDescent="0.25"/>
    <row r="116686" customFormat="1" x14ac:dyDescent="0.25"/>
    <row r="116687" customFormat="1" x14ac:dyDescent="0.25"/>
    <row r="116688" customFormat="1" x14ac:dyDescent="0.25"/>
    <row r="116689" customFormat="1" x14ac:dyDescent="0.25"/>
    <row r="116690" customFormat="1" x14ac:dyDescent="0.25"/>
    <row r="116691" customFormat="1" x14ac:dyDescent="0.25"/>
    <row r="116692" customFormat="1" x14ac:dyDescent="0.25"/>
    <row r="116693" customFormat="1" x14ac:dyDescent="0.25"/>
    <row r="116694" customFormat="1" x14ac:dyDescent="0.25"/>
    <row r="116695" customFormat="1" x14ac:dyDescent="0.25"/>
    <row r="116696" customFormat="1" x14ac:dyDescent="0.25"/>
    <row r="116697" customFormat="1" x14ac:dyDescent="0.25"/>
    <row r="116698" customFormat="1" x14ac:dyDescent="0.25"/>
    <row r="116699" customFormat="1" x14ac:dyDescent="0.25"/>
    <row r="116700" customFormat="1" x14ac:dyDescent="0.25"/>
    <row r="116701" customFormat="1" x14ac:dyDescent="0.25"/>
    <row r="116702" customFormat="1" x14ac:dyDescent="0.25"/>
    <row r="116703" customFormat="1" x14ac:dyDescent="0.25"/>
    <row r="116704" customFormat="1" x14ac:dyDescent="0.25"/>
    <row r="116705" customFormat="1" x14ac:dyDescent="0.25"/>
    <row r="116706" customFormat="1" x14ac:dyDescent="0.25"/>
    <row r="116707" customFormat="1" x14ac:dyDescent="0.25"/>
    <row r="116708" customFormat="1" x14ac:dyDescent="0.25"/>
    <row r="116709" customFormat="1" x14ac:dyDescent="0.25"/>
    <row r="116710" customFormat="1" x14ac:dyDescent="0.25"/>
    <row r="116711" customFormat="1" x14ac:dyDescent="0.25"/>
    <row r="116712" customFormat="1" x14ac:dyDescent="0.25"/>
    <row r="116713" customFormat="1" x14ac:dyDescent="0.25"/>
    <row r="116714" customFormat="1" x14ac:dyDescent="0.25"/>
    <row r="116715" customFormat="1" x14ac:dyDescent="0.25"/>
    <row r="116716" customFormat="1" x14ac:dyDescent="0.25"/>
    <row r="116717" customFormat="1" x14ac:dyDescent="0.25"/>
    <row r="116718" customFormat="1" x14ac:dyDescent="0.25"/>
    <row r="116719" customFormat="1" x14ac:dyDescent="0.25"/>
    <row r="116720" customFormat="1" x14ac:dyDescent="0.25"/>
    <row r="116721" customFormat="1" x14ac:dyDescent="0.25"/>
    <row r="116722" customFormat="1" x14ac:dyDescent="0.25"/>
    <row r="116723" customFormat="1" x14ac:dyDescent="0.25"/>
    <row r="116724" customFormat="1" x14ac:dyDescent="0.25"/>
    <row r="116725" customFormat="1" x14ac:dyDescent="0.25"/>
    <row r="116726" customFormat="1" x14ac:dyDescent="0.25"/>
    <row r="116727" customFormat="1" x14ac:dyDescent="0.25"/>
    <row r="116728" customFormat="1" x14ac:dyDescent="0.25"/>
    <row r="116729" customFormat="1" x14ac:dyDescent="0.25"/>
    <row r="116730" customFormat="1" x14ac:dyDescent="0.25"/>
    <row r="116731" customFormat="1" x14ac:dyDescent="0.25"/>
    <row r="116732" customFormat="1" x14ac:dyDescent="0.25"/>
    <row r="116733" customFormat="1" x14ac:dyDescent="0.25"/>
    <row r="116734" customFormat="1" x14ac:dyDescent="0.25"/>
    <row r="116735" customFormat="1" x14ac:dyDescent="0.25"/>
    <row r="116736" customFormat="1" x14ac:dyDescent="0.25"/>
    <row r="116737" customFormat="1" x14ac:dyDescent="0.25"/>
    <row r="116738" customFormat="1" x14ac:dyDescent="0.25"/>
    <row r="116739" customFormat="1" x14ac:dyDescent="0.25"/>
    <row r="116740" customFormat="1" x14ac:dyDescent="0.25"/>
    <row r="116741" customFormat="1" x14ac:dyDescent="0.25"/>
    <row r="116742" customFormat="1" x14ac:dyDescent="0.25"/>
    <row r="116743" customFormat="1" x14ac:dyDescent="0.25"/>
    <row r="116744" customFormat="1" x14ac:dyDescent="0.25"/>
    <row r="116745" customFormat="1" x14ac:dyDescent="0.25"/>
    <row r="116746" customFormat="1" x14ac:dyDescent="0.25"/>
    <row r="116747" customFormat="1" x14ac:dyDescent="0.25"/>
    <row r="116748" customFormat="1" x14ac:dyDescent="0.25"/>
    <row r="116749" customFormat="1" x14ac:dyDescent="0.25"/>
    <row r="116750" customFormat="1" x14ac:dyDescent="0.25"/>
    <row r="116751" customFormat="1" x14ac:dyDescent="0.25"/>
    <row r="116752" customFormat="1" x14ac:dyDescent="0.25"/>
    <row r="116753" customFormat="1" x14ac:dyDescent="0.25"/>
    <row r="116754" customFormat="1" x14ac:dyDescent="0.25"/>
    <row r="116755" customFormat="1" x14ac:dyDescent="0.25"/>
    <row r="116756" customFormat="1" x14ac:dyDescent="0.25"/>
    <row r="116757" customFormat="1" x14ac:dyDescent="0.25"/>
    <row r="116758" customFormat="1" x14ac:dyDescent="0.25"/>
    <row r="116759" customFormat="1" x14ac:dyDescent="0.25"/>
    <row r="116760" customFormat="1" x14ac:dyDescent="0.25"/>
    <row r="116761" customFormat="1" x14ac:dyDescent="0.25"/>
    <row r="116762" customFormat="1" x14ac:dyDescent="0.25"/>
    <row r="116763" customFormat="1" x14ac:dyDescent="0.25"/>
    <row r="116764" customFormat="1" x14ac:dyDescent="0.25"/>
    <row r="116765" customFormat="1" x14ac:dyDescent="0.25"/>
    <row r="116766" customFormat="1" x14ac:dyDescent="0.25"/>
    <row r="116767" customFormat="1" x14ac:dyDescent="0.25"/>
    <row r="116768" customFormat="1" x14ac:dyDescent="0.25"/>
    <row r="116769" customFormat="1" x14ac:dyDescent="0.25"/>
    <row r="116770" customFormat="1" x14ac:dyDescent="0.25"/>
    <row r="116771" customFormat="1" x14ac:dyDescent="0.25"/>
    <row r="116772" customFormat="1" x14ac:dyDescent="0.25"/>
    <row r="116773" customFormat="1" x14ac:dyDescent="0.25"/>
    <row r="116774" customFormat="1" x14ac:dyDescent="0.25"/>
    <row r="116775" customFormat="1" x14ac:dyDescent="0.25"/>
    <row r="116776" customFormat="1" x14ac:dyDescent="0.25"/>
    <row r="116777" customFormat="1" x14ac:dyDescent="0.25"/>
    <row r="116778" customFormat="1" x14ac:dyDescent="0.25"/>
    <row r="116779" customFormat="1" x14ac:dyDescent="0.25"/>
    <row r="116780" customFormat="1" x14ac:dyDescent="0.25"/>
    <row r="116781" customFormat="1" x14ac:dyDescent="0.25"/>
    <row r="116782" customFormat="1" x14ac:dyDescent="0.25"/>
    <row r="116783" customFormat="1" x14ac:dyDescent="0.25"/>
    <row r="116784" customFormat="1" x14ac:dyDescent="0.25"/>
    <row r="116785" customFormat="1" x14ac:dyDescent="0.25"/>
    <row r="116786" customFormat="1" x14ac:dyDescent="0.25"/>
    <row r="116787" customFormat="1" x14ac:dyDescent="0.25"/>
    <row r="116788" customFormat="1" x14ac:dyDescent="0.25"/>
    <row r="116789" customFormat="1" x14ac:dyDescent="0.25"/>
    <row r="116790" customFormat="1" x14ac:dyDescent="0.25"/>
    <row r="116791" customFormat="1" x14ac:dyDescent="0.25"/>
    <row r="116792" customFormat="1" x14ac:dyDescent="0.25"/>
    <row r="116793" customFormat="1" x14ac:dyDescent="0.25"/>
    <row r="116794" customFormat="1" x14ac:dyDescent="0.25"/>
    <row r="116795" customFormat="1" x14ac:dyDescent="0.25"/>
    <row r="116796" customFormat="1" x14ac:dyDescent="0.25"/>
    <row r="116797" customFormat="1" x14ac:dyDescent="0.25"/>
    <row r="116798" customFormat="1" x14ac:dyDescent="0.25"/>
    <row r="116799" customFormat="1" x14ac:dyDescent="0.25"/>
    <row r="116800" customFormat="1" x14ac:dyDescent="0.25"/>
    <row r="116801" customFormat="1" x14ac:dyDescent="0.25"/>
    <row r="116802" customFormat="1" x14ac:dyDescent="0.25"/>
    <row r="116803" customFormat="1" x14ac:dyDescent="0.25"/>
    <row r="116804" customFormat="1" x14ac:dyDescent="0.25"/>
    <row r="116805" customFormat="1" x14ac:dyDescent="0.25"/>
    <row r="116806" customFormat="1" x14ac:dyDescent="0.25"/>
    <row r="116807" customFormat="1" x14ac:dyDescent="0.25"/>
    <row r="116808" customFormat="1" x14ac:dyDescent="0.25"/>
    <row r="116809" customFormat="1" x14ac:dyDescent="0.25"/>
    <row r="116810" customFormat="1" x14ac:dyDescent="0.25"/>
    <row r="116811" customFormat="1" x14ac:dyDescent="0.25"/>
    <row r="116812" customFormat="1" x14ac:dyDescent="0.25"/>
    <row r="116813" customFormat="1" x14ac:dyDescent="0.25"/>
    <row r="116814" customFormat="1" x14ac:dyDescent="0.25"/>
    <row r="116815" customFormat="1" x14ac:dyDescent="0.25"/>
    <row r="116816" customFormat="1" x14ac:dyDescent="0.25"/>
    <row r="116817" customFormat="1" x14ac:dyDescent="0.25"/>
    <row r="116818" customFormat="1" x14ac:dyDescent="0.25"/>
    <row r="116819" customFormat="1" x14ac:dyDescent="0.25"/>
    <row r="116820" customFormat="1" x14ac:dyDescent="0.25"/>
    <row r="116821" customFormat="1" x14ac:dyDescent="0.25"/>
    <row r="116822" customFormat="1" x14ac:dyDescent="0.25"/>
    <row r="116823" customFormat="1" x14ac:dyDescent="0.25"/>
    <row r="116824" customFormat="1" x14ac:dyDescent="0.25"/>
    <row r="116825" customFormat="1" x14ac:dyDescent="0.25"/>
    <row r="116826" customFormat="1" x14ac:dyDescent="0.25"/>
    <row r="116827" customFormat="1" x14ac:dyDescent="0.25"/>
    <row r="116828" customFormat="1" x14ac:dyDescent="0.25"/>
    <row r="116829" customFormat="1" x14ac:dyDescent="0.25"/>
    <row r="116830" customFormat="1" x14ac:dyDescent="0.25"/>
    <row r="116831" customFormat="1" x14ac:dyDescent="0.25"/>
    <row r="116832" customFormat="1" x14ac:dyDescent="0.25"/>
    <row r="116833" customFormat="1" x14ac:dyDescent="0.25"/>
    <row r="116834" customFormat="1" x14ac:dyDescent="0.25"/>
    <row r="116835" customFormat="1" x14ac:dyDescent="0.25"/>
    <row r="116836" customFormat="1" x14ac:dyDescent="0.25"/>
    <row r="116837" customFormat="1" x14ac:dyDescent="0.25"/>
    <row r="116838" customFormat="1" x14ac:dyDescent="0.25"/>
    <row r="116839" customFormat="1" x14ac:dyDescent="0.25"/>
    <row r="116840" customFormat="1" x14ac:dyDescent="0.25"/>
    <row r="116841" customFormat="1" x14ac:dyDescent="0.25"/>
    <row r="116842" customFormat="1" x14ac:dyDescent="0.25"/>
    <row r="116843" customFormat="1" x14ac:dyDescent="0.25"/>
    <row r="116844" customFormat="1" x14ac:dyDescent="0.25"/>
    <row r="116845" customFormat="1" x14ac:dyDescent="0.25"/>
    <row r="116846" customFormat="1" x14ac:dyDescent="0.25"/>
    <row r="116847" customFormat="1" x14ac:dyDescent="0.25"/>
    <row r="116848" customFormat="1" x14ac:dyDescent="0.25"/>
    <row r="116849" customFormat="1" x14ac:dyDescent="0.25"/>
    <row r="116850" customFormat="1" x14ac:dyDescent="0.25"/>
    <row r="116851" customFormat="1" x14ac:dyDescent="0.25"/>
    <row r="116852" customFormat="1" x14ac:dyDescent="0.25"/>
    <row r="116853" customFormat="1" x14ac:dyDescent="0.25"/>
    <row r="116854" customFormat="1" x14ac:dyDescent="0.25"/>
    <row r="116855" customFormat="1" x14ac:dyDescent="0.25"/>
    <row r="116856" customFormat="1" x14ac:dyDescent="0.25"/>
    <row r="116857" customFormat="1" x14ac:dyDescent="0.25"/>
    <row r="116858" customFormat="1" x14ac:dyDescent="0.25"/>
    <row r="116859" customFormat="1" x14ac:dyDescent="0.25"/>
    <row r="116860" customFormat="1" x14ac:dyDescent="0.25"/>
    <row r="116861" customFormat="1" x14ac:dyDescent="0.25"/>
    <row r="116862" customFormat="1" x14ac:dyDescent="0.25"/>
    <row r="116863" customFormat="1" x14ac:dyDescent="0.25"/>
    <row r="116864" customFormat="1" x14ac:dyDescent="0.25"/>
    <row r="116865" customFormat="1" x14ac:dyDescent="0.25"/>
    <row r="116866" customFormat="1" x14ac:dyDescent="0.25"/>
    <row r="116867" customFormat="1" x14ac:dyDescent="0.25"/>
    <row r="116868" customFormat="1" x14ac:dyDescent="0.25"/>
    <row r="116869" customFormat="1" x14ac:dyDescent="0.25"/>
    <row r="116870" customFormat="1" x14ac:dyDescent="0.25"/>
    <row r="116871" customFormat="1" x14ac:dyDescent="0.25"/>
    <row r="116872" customFormat="1" x14ac:dyDescent="0.25"/>
    <row r="116873" customFormat="1" x14ac:dyDescent="0.25"/>
    <row r="116874" customFormat="1" x14ac:dyDescent="0.25"/>
    <row r="116875" customFormat="1" x14ac:dyDescent="0.25"/>
    <row r="116876" customFormat="1" x14ac:dyDescent="0.25"/>
    <row r="116877" customFormat="1" x14ac:dyDescent="0.25"/>
    <row r="116878" customFormat="1" x14ac:dyDescent="0.25"/>
    <row r="116879" customFormat="1" x14ac:dyDescent="0.25"/>
    <row r="116880" customFormat="1" x14ac:dyDescent="0.25"/>
    <row r="116881" customFormat="1" x14ac:dyDescent="0.25"/>
    <row r="116882" customFormat="1" x14ac:dyDescent="0.25"/>
    <row r="116883" customFormat="1" x14ac:dyDescent="0.25"/>
    <row r="116884" customFormat="1" x14ac:dyDescent="0.25"/>
    <row r="116885" customFormat="1" x14ac:dyDescent="0.25"/>
    <row r="116886" customFormat="1" x14ac:dyDescent="0.25"/>
    <row r="116887" customFormat="1" x14ac:dyDescent="0.25"/>
    <row r="116888" customFormat="1" x14ac:dyDescent="0.25"/>
    <row r="116889" customFormat="1" x14ac:dyDescent="0.25"/>
    <row r="116890" customFormat="1" x14ac:dyDescent="0.25"/>
    <row r="116891" customFormat="1" x14ac:dyDescent="0.25"/>
    <row r="116892" customFormat="1" x14ac:dyDescent="0.25"/>
    <row r="116893" customFormat="1" x14ac:dyDescent="0.25"/>
    <row r="116894" customFormat="1" x14ac:dyDescent="0.25"/>
    <row r="116895" customFormat="1" x14ac:dyDescent="0.25"/>
    <row r="116896" customFormat="1" x14ac:dyDescent="0.25"/>
    <row r="116897" customFormat="1" x14ac:dyDescent="0.25"/>
    <row r="116898" customFormat="1" x14ac:dyDescent="0.25"/>
    <row r="116899" customFormat="1" x14ac:dyDescent="0.25"/>
    <row r="116900" customFormat="1" x14ac:dyDescent="0.25"/>
    <row r="116901" customFormat="1" x14ac:dyDescent="0.25"/>
    <row r="116902" customFormat="1" x14ac:dyDescent="0.25"/>
    <row r="116903" customFormat="1" x14ac:dyDescent="0.25"/>
    <row r="116904" customFormat="1" x14ac:dyDescent="0.25"/>
    <row r="116905" customFormat="1" x14ac:dyDescent="0.25"/>
    <row r="116906" customFormat="1" x14ac:dyDescent="0.25"/>
    <row r="116907" customFormat="1" x14ac:dyDescent="0.25"/>
    <row r="116908" customFormat="1" x14ac:dyDescent="0.25"/>
    <row r="116909" customFormat="1" x14ac:dyDescent="0.25"/>
    <row r="116910" customFormat="1" x14ac:dyDescent="0.25"/>
    <row r="116911" customFormat="1" x14ac:dyDescent="0.25"/>
    <row r="116912" customFormat="1" x14ac:dyDescent="0.25"/>
    <row r="116913" customFormat="1" x14ac:dyDescent="0.25"/>
    <row r="116914" customFormat="1" x14ac:dyDescent="0.25"/>
    <row r="116915" customFormat="1" x14ac:dyDescent="0.25"/>
    <row r="116916" customFormat="1" x14ac:dyDescent="0.25"/>
    <row r="116917" customFormat="1" x14ac:dyDescent="0.25"/>
    <row r="116918" customFormat="1" x14ac:dyDescent="0.25"/>
    <row r="116919" customFormat="1" x14ac:dyDescent="0.25"/>
    <row r="116920" customFormat="1" x14ac:dyDescent="0.25"/>
    <row r="116921" customFormat="1" x14ac:dyDescent="0.25"/>
    <row r="116922" customFormat="1" x14ac:dyDescent="0.25"/>
    <row r="116923" customFormat="1" x14ac:dyDescent="0.25"/>
    <row r="116924" customFormat="1" x14ac:dyDescent="0.25"/>
    <row r="116925" customFormat="1" x14ac:dyDescent="0.25"/>
    <row r="116926" customFormat="1" x14ac:dyDescent="0.25"/>
    <row r="116927" customFormat="1" x14ac:dyDescent="0.25"/>
    <row r="116928" customFormat="1" x14ac:dyDescent="0.25"/>
    <row r="116929" customFormat="1" x14ac:dyDescent="0.25"/>
    <row r="116930" customFormat="1" x14ac:dyDescent="0.25"/>
    <row r="116931" customFormat="1" x14ac:dyDescent="0.25"/>
    <row r="116932" customFormat="1" x14ac:dyDescent="0.25"/>
    <row r="116933" customFormat="1" x14ac:dyDescent="0.25"/>
    <row r="116934" customFormat="1" x14ac:dyDescent="0.25"/>
    <row r="116935" customFormat="1" x14ac:dyDescent="0.25"/>
    <row r="116936" customFormat="1" x14ac:dyDescent="0.25"/>
    <row r="116937" customFormat="1" x14ac:dyDescent="0.25"/>
    <row r="116938" customFormat="1" x14ac:dyDescent="0.25"/>
    <row r="116939" customFormat="1" x14ac:dyDescent="0.25"/>
    <row r="116940" customFormat="1" x14ac:dyDescent="0.25"/>
    <row r="116941" customFormat="1" x14ac:dyDescent="0.25"/>
    <row r="116942" customFormat="1" x14ac:dyDescent="0.25"/>
    <row r="116943" customFormat="1" x14ac:dyDescent="0.25"/>
    <row r="116944" customFormat="1" x14ac:dyDescent="0.25"/>
    <row r="116945" customFormat="1" x14ac:dyDescent="0.25"/>
    <row r="116946" customFormat="1" x14ac:dyDescent="0.25"/>
    <row r="116947" customFormat="1" x14ac:dyDescent="0.25"/>
    <row r="116948" customFormat="1" x14ac:dyDescent="0.25"/>
    <row r="116949" customFormat="1" x14ac:dyDescent="0.25"/>
    <row r="116950" customFormat="1" x14ac:dyDescent="0.25"/>
    <row r="116951" customFormat="1" x14ac:dyDescent="0.25"/>
    <row r="116952" customFormat="1" x14ac:dyDescent="0.25"/>
    <row r="116953" customFormat="1" x14ac:dyDescent="0.25"/>
    <row r="116954" customFormat="1" x14ac:dyDescent="0.25"/>
    <row r="116955" customFormat="1" x14ac:dyDescent="0.25"/>
    <row r="116956" customFormat="1" x14ac:dyDescent="0.25"/>
    <row r="116957" customFormat="1" x14ac:dyDescent="0.25"/>
    <row r="116958" customFormat="1" x14ac:dyDescent="0.25"/>
    <row r="116959" customFormat="1" x14ac:dyDescent="0.25"/>
    <row r="116960" customFormat="1" x14ac:dyDescent="0.25"/>
    <row r="116961" customFormat="1" x14ac:dyDescent="0.25"/>
    <row r="116962" customFormat="1" x14ac:dyDescent="0.25"/>
    <row r="116963" customFormat="1" x14ac:dyDescent="0.25"/>
    <row r="116964" customFormat="1" x14ac:dyDescent="0.25"/>
    <row r="116965" customFormat="1" x14ac:dyDescent="0.25"/>
    <row r="116966" customFormat="1" x14ac:dyDescent="0.25"/>
    <row r="116967" customFormat="1" x14ac:dyDescent="0.25"/>
    <row r="116968" customFormat="1" x14ac:dyDescent="0.25"/>
    <row r="116969" customFormat="1" x14ac:dyDescent="0.25"/>
    <row r="116970" customFormat="1" x14ac:dyDescent="0.25"/>
    <row r="116971" customFormat="1" x14ac:dyDescent="0.25"/>
    <row r="116972" customFormat="1" x14ac:dyDescent="0.25"/>
    <row r="116973" customFormat="1" x14ac:dyDescent="0.25"/>
    <row r="116974" customFormat="1" x14ac:dyDescent="0.25"/>
    <row r="116975" customFormat="1" x14ac:dyDescent="0.25"/>
    <row r="116976" customFormat="1" x14ac:dyDescent="0.25"/>
    <row r="116977" customFormat="1" x14ac:dyDescent="0.25"/>
    <row r="116978" customFormat="1" x14ac:dyDescent="0.25"/>
    <row r="116979" customFormat="1" x14ac:dyDescent="0.25"/>
    <row r="116980" customFormat="1" x14ac:dyDescent="0.25"/>
    <row r="116981" customFormat="1" x14ac:dyDescent="0.25"/>
    <row r="116982" customFormat="1" x14ac:dyDescent="0.25"/>
    <row r="116983" customFormat="1" x14ac:dyDescent="0.25"/>
    <row r="116984" customFormat="1" x14ac:dyDescent="0.25"/>
    <row r="116985" customFormat="1" x14ac:dyDescent="0.25"/>
    <row r="116986" customFormat="1" x14ac:dyDescent="0.25"/>
    <row r="116987" customFormat="1" x14ac:dyDescent="0.25"/>
    <row r="116988" customFormat="1" x14ac:dyDescent="0.25"/>
    <row r="116989" customFormat="1" x14ac:dyDescent="0.25"/>
    <row r="116990" customFormat="1" x14ac:dyDescent="0.25"/>
    <row r="116991" customFormat="1" x14ac:dyDescent="0.25"/>
    <row r="116992" customFormat="1" x14ac:dyDescent="0.25"/>
    <row r="116993" customFormat="1" x14ac:dyDescent="0.25"/>
    <row r="116994" customFormat="1" x14ac:dyDescent="0.25"/>
    <row r="116995" customFormat="1" x14ac:dyDescent="0.25"/>
    <row r="116996" customFormat="1" x14ac:dyDescent="0.25"/>
    <row r="116997" customFormat="1" x14ac:dyDescent="0.25"/>
    <row r="116998" customFormat="1" x14ac:dyDescent="0.25"/>
    <row r="116999" customFormat="1" x14ac:dyDescent="0.25"/>
    <row r="117000" customFormat="1" x14ac:dyDescent="0.25"/>
    <row r="117001" customFormat="1" x14ac:dyDescent="0.25"/>
    <row r="117002" customFormat="1" x14ac:dyDescent="0.25"/>
    <row r="117003" customFormat="1" x14ac:dyDescent="0.25"/>
    <row r="117004" customFormat="1" x14ac:dyDescent="0.25"/>
    <row r="117005" customFormat="1" x14ac:dyDescent="0.25"/>
    <row r="117006" customFormat="1" x14ac:dyDescent="0.25"/>
    <row r="117007" customFormat="1" x14ac:dyDescent="0.25"/>
    <row r="117008" customFormat="1" x14ac:dyDescent="0.25"/>
    <row r="117009" customFormat="1" x14ac:dyDescent="0.25"/>
    <row r="117010" customFormat="1" x14ac:dyDescent="0.25"/>
    <row r="117011" customFormat="1" x14ac:dyDescent="0.25"/>
    <row r="117012" customFormat="1" x14ac:dyDescent="0.25"/>
    <row r="117013" customFormat="1" x14ac:dyDescent="0.25"/>
    <row r="117014" customFormat="1" x14ac:dyDescent="0.25"/>
    <row r="117015" customFormat="1" x14ac:dyDescent="0.25"/>
    <row r="117016" customFormat="1" x14ac:dyDescent="0.25"/>
    <row r="117017" customFormat="1" x14ac:dyDescent="0.25"/>
    <row r="117018" customFormat="1" x14ac:dyDescent="0.25"/>
    <row r="117019" customFormat="1" x14ac:dyDescent="0.25"/>
    <row r="117020" customFormat="1" x14ac:dyDescent="0.25"/>
    <row r="117021" customFormat="1" x14ac:dyDescent="0.25"/>
    <row r="117022" customFormat="1" x14ac:dyDescent="0.25"/>
    <row r="117023" customFormat="1" x14ac:dyDescent="0.25"/>
    <row r="117024" customFormat="1" x14ac:dyDescent="0.25"/>
    <row r="117025" customFormat="1" x14ac:dyDescent="0.25"/>
    <row r="117026" customFormat="1" x14ac:dyDescent="0.25"/>
    <row r="117027" customFormat="1" x14ac:dyDescent="0.25"/>
    <row r="117028" customFormat="1" x14ac:dyDescent="0.25"/>
    <row r="117029" customFormat="1" x14ac:dyDescent="0.25"/>
    <row r="117030" customFormat="1" x14ac:dyDescent="0.25"/>
    <row r="117031" customFormat="1" x14ac:dyDescent="0.25"/>
    <row r="117032" customFormat="1" x14ac:dyDescent="0.25"/>
    <row r="117033" customFormat="1" x14ac:dyDescent="0.25"/>
    <row r="117034" customFormat="1" x14ac:dyDescent="0.25"/>
    <row r="117035" customFormat="1" x14ac:dyDescent="0.25"/>
    <row r="117036" customFormat="1" x14ac:dyDescent="0.25"/>
    <row r="117037" customFormat="1" x14ac:dyDescent="0.25"/>
    <row r="117038" customFormat="1" x14ac:dyDescent="0.25"/>
    <row r="117039" customFormat="1" x14ac:dyDescent="0.25"/>
    <row r="117040" customFormat="1" x14ac:dyDescent="0.25"/>
    <row r="117041" customFormat="1" x14ac:dyDescent="0.25"/>
    <row r="117042" customFormat="1" x14ac:dyDescent="0.25"/>
    <row r="117043" customFormat="1" x14ac:dyDescent="0.25"/>
    <row r="117044" customFormat="1" x14ac:dyDescent="0.25"/>
    <row r="117045" customFormat="1" x14ac:dyDescent="0.25"/>
    <row r="117046" customFormat="1" x14ac:dyDescent="0.25"/>
    <row r="117047" customFormat="1" x14ac:dyDescent="0.25"/>
    <row r="117048" customFormat="1" x14ac:dyDescent="0.25"/>
    <row r="117049" customFormat="1" x14ac:dyDescent="0.25"/>
    <row r="117050" customFormat="1" x14ac:dyDescent="0.25"/>
    <row r="117051" customFormat="1" x14ac:dyDescent="0.25"/>
    <row r="117052" customFormat="1" x14ac:dyDescent="0.25"/>
    <row r="117053" customFormat="1" x14ac:dyDescent="0.25"/>
    <row r="117054" customFormat="1" x14ac:dyDescent="0.25"/>
    <row r="117055" customFormat="1" x14ac:dyDescent="0.25"/>
    <row r="117056" customFormat="1" x14ac:dyDescent="0.25"/>
    <row r="117057" customFormat="1" x14ac:dyDescent="0.25"/>
    <row r="117058" customFormat="1" x14ac:dyDescent="0.25"/>
    <row r="117059" customFormat="1" x14ac:dyDescent="0.25"/>
    <row r="117060" customFormat="1" x14ac:dyDescent="0.25"/>
    <row r="117061" customFormat="1" x14ac:dyDescent="0.25"/>
    <row r="117062" customFormat="1" x14ac:dyDescent="0.25"/>
    <row r="117063" customFormat="1" x14ac:dyDescent="0.25"/>
    <row r="117064" customFormat="1" x14ac:dyDescent="0.25"/>
    <row r="117065" customFormat="1" x14ac:dyDescent="0.25"/>
    <row r="117066" customFormat="1" x14ac:dyDescent="0.25"/>
    <row r="117067" customFormat="1" x14ac:dyDescent="0.25"/>
    <row r="117068" customFormat="1" x14ac:dyDescent="0.25"/>
    <row r="117069" customFormat="1" x14ac:dyDescent="0.25"/>
    <row r="117070" customFormat="1" x14ac:dyDescent="0.25"/>
    <row r="117071" customFormat="1" x14ac:dyDescent="0.25"/>
    <row r="117072" customFormat="1" x14ac:dyDescent="0.25"/>
    <row r="117073" customFormat="1" x14ac:dyDescent="0.25"/>
    <row r="117074" customFormat="1" x14ac:dyDescent="0.25"/>
    <row r="117075" customFormat="1" x14ac:dyDescent="0.25"/>
    <row r="117076" customFormat="1" x14ac:dyDescent="0.25"/>
    <row r="117077" customFormat="1" x14ac:dyDescent="0.25"/>
    <row r="117078" customFormat="1" x14ac:dyDescent="0.25"/>
    <row r="117079" customFormat="1" x14ac:dyDescent="0.25"/>
    <row r="117080" customFormat="1" x14ac:dyDescent="0.25"/>
    <row r="117081" customFormat="1" x14ac:dyDescent="0.25"/>
    <row r="117082" customFormat="1" x14ac:dyDescent="0.25"/>
    <row r="117083" customFormat="1" x14ac:dyDescent="0.25"/>
    <row r="117084" customFormat="1" x14ac:dyDescent="0.25"/>
    <row r="117085" customFormat="1" x14ac:dyDescent="0.25"/>
    <row r="117086" customFormat="1" x14ac:dyDescent="0.25"/>
    <row r="117087" customFormat="1" x14ac:dyDescent="0.25"/>
    <row r="117088" customFormat="1" x14ac:dyDescent="0.25"/>
    <row r="117089" customFormat="1" x14ac:dyDescent="0.25"/>
    <row r="117090" customFormat="1" x14ac:dyDescent="0.25"/>
    <row r="117091" customFormat="1" x14ac:dyDescent="0.25"/>
    <row r="117092" customFormat="1" x14ac:dyDescent="0.25"/>
    <row r="117093" customFormat="1" x14ac:dyDescent="0.25"/>
    <row r="117094" customFormat="1" x14ac:dyDescent="0.25"/>
    <row r="117095" customFormat="1" x14ac:dyDescent="0.25"/>
    <row r="117096" customFormat="1" x14ac:dyDescent="0.25"/>
    <row r="117097" customFormat="1" x14ac:dyDescent="0.25"/>
    <row r="117098" customFormat="1" x14ac:dyDescent="0.25"/>
    <row r="117099" customFormat="1" x14ac:dyDescent="0.25"/>
    <row r="117100" customFormat="1" x14ac:dyDescent="0.25"/>
    <row r="117101" customFormat="1" x14ac:dyDescent="0.25"/>
    <row r="117102" customFormat="1" x14ac:dyDescent="0.25"/>
    <row r="117103" customFormat="1" x14ac:dyDescent="0.25"/>
    <row r="117104" customFormat="1" x14ac:dyDescent="0.25"/>
    <row r="117105" customFormat="1" x14ac:dyDescent="0.25"/>
    <row r="117106" customFormat="1" x14ac:dyDescent="0.25"/>
    <row r="117107" customFormat="1" x14ac:dyDescent="0.25"/>
    <row r="117108" customFormat="1" x14ac:dyDescent="0.25"/>
    <row r="117109" customFormat="1" x14ac:dyDescent="0.25"/>
    <row r="117110" customFormat="1" x14ac:dyDescent="0.25"/>
    <row r="117111" customFormat="1" x14ac:dyDescent="0.25"/>
    <row r="117112" customFormat="1" x14ac:dyDescent="0.25"/>
    <row r="117113" customFormat="1" x14ac:dyDescent="0.25"/>
    <row r="117114" customFormat="1" x14ac:dyDescent="0.25"/>
    <row r="117115" customFormat="1" x14ac:dyDescent="0.25"/>
    <row r="117116" customFormat="1" x14ac:dyDescent="0.25"/>
    <row r="117117" customFormat="1" x14ac:dyDescent="0.25"/>
    <row r="117118" customFormat="1" x14ac:dyDescent="0.25"/>
    <row r="117119" customFormat="1" x14ac:dyDescent="0.25"/>
    <row r="117120" customFormat="1" x14ac:dyDescent="0.25"/>
    <row r="117121" customFormat="1" x14ac:dyDescent="0.25"/>
    <row r="117122" customFormat="1" x14ac:dyDescent="0.25"/>
    <row r="117123" customFormat="1" x14ac:dyDescent="0.25"/>
    <row r="117124" customFormat="1" x14ac:dyDescent="0.25"/>
    <row r="117125" customFormat="1" x14ac:dyDescent="0.25"/>
    <row r="117126" customFormat="1" x14ac:dyDescent="0.25"/>
    <row r="117127" customFormat="1" x14ac:dyDescent="0.25"/>
    <row r="117128" customFormat="1" x14ac:dyDescent="0.25"/>
    <row r="117129" customFormat="1" x14ac:dyDescent="0.25"/>
    <row r="117130" customFormat="1" x14ac:dyDescent="0.25"/>
    <row r="117131" customFormat="1" x14ac:dyDescent="0.25"/>
    <row r="117132" customFormat="1" x14ac:dyDescent="0.25"/>
    <row r="117133" customFormat="1" x14ac:dyDescent="0.25"/>
    <row r="117134" customFormat="1" x14ac:dyDescent="0.25"/>
    <row r="117135" customFormat="1" x14ac:dyDescent="0.25"/>
    <row r="117136" customFormat="1" x14ac:dyDescent="0.25"/>
    <row r="117137" customFormat="1" x14ac:dyDescent="0.25"/>
    <row r="117138" customFormat="1" x14ac:dyDescent="0.25"/>
    <row r="117139" customFormat="1" x14ac:dyDescent="0.25"/>
    <row r="117140" customFormat="1" x14ac:dyDescent="0.25"/>
    <row r="117141" customFormat="1" x14ac:dyDescent="0.25"/>
    <row r="117142" customFormat="1" x14ac:dyDescent="0.25"/>
    <row r="117143" customFormat="1" x14ac:dyDescent="0.25"/>
    <row r="117144" customFormat="1" x14ac:dyDescent="0.25"/>
    <row r="117145" customFormat="1" x14ac:dyDescent="0.25"/>
    <row r="117146" customFormat="1" x14ac:dyDescent="0.25"/>
    <row r="117147" customFormat="1" x14ac:dyDescent="0.25"/>
    <row r="117148" customFormat="1" x14ac:dyDescent="0.25"/>
    <row r="117149" customFormat="1" x14ac:dyDescent="0.25"/>
    <row r="117150" customFormat="1" x14ac:dyDescent="0.25"/>
    <row r="117151" customFormat="1" x14ac:dyDescent="0.25"/>
    <row r="117152" customFormat="1" x14ac:dyDescent="0.25"/>
    <row r="117153" customFormat="1" x14ac:dyDescent="0.25"/>
    <row r="117154" customFormat="1" x14ac:dyDescent="0.25"/>
    <row r="117155" customFormat="1" x14ac:dyDescent="0.25"/>
    <row r="117156" customFormat="1" x14ac:dyDescent="0.25"/>
    <row r="117157" customFormat="1" x14ac:dyDescent="0.25"/>
    <row r="117158" customFormat="1" x14ac:dyDescent="0.25"/>
    <row r="117159" customFormat="1" x14ac:dyDescent="0.25"/>
    <row r="117160" customFormat="1" x14ac:dyDescent="0.25"/>
    <row r="117161" customFormat="1" x14ac:dyDescent="0.25"/>
    <row r="117162" customFormat="1" x14ac:dyDescent="0.25"/>
    <row r="117163" customFormat="1" x14ac:dyDescent="0.25"/>
    <row r="117164" customFormat="1" x14ac:dyDescent="0.25"/>
    <row r="117165" customFormat="1" x14ac:dyDescent="0.25"/>
    <row r="117166" customFormat="1" x14ac:dyDescent="0.25"/>
    <row r="117167" customFormat="1" x14ac:dyDescent="0.25"/>
    <row r="117168" customFormat="1" x14ac:dyDescent="0.25"/>
    <row r="117169" customFormat="1" x14ac:dyDescent="0.25"/>
    <row r="117170" customFormat="1" x14ac:dyDescent="0.25"/>
    <row r="117171" customFormat="1" x14ac:dyDescent="0.25"/>
    <row r="117172" customFormat="1" x14ac:dyDescent="0.25"/>
    <row r="117173" customFormat="1" x14ac:dyDescent="0.25"/>
    <row r="117174" customFormat="1" x14ac:dyDescent="0.25"/>
    <row r="117175" customFormat="1" x14ac:dyDescent="0.25"/>
    <row r="117176" customFormat="1" x14ac:dyDescent="0.25"/>
    <row r="117177" customFormat="1" x14ac:dyDescent="0.25"/>
    <row r="117178" customFormat="1" x14ac:dyDescent="0.25"/>
    <row r="117179" customFormat="1" x14ac:dyDescent="0.25"/>
    <row r="117180" customFormat="1" x14ac:dyDescent="0.25"/>
    <row r="117181" customFormat="1" x14ac:dyDescent="0.25"/>
    <row r="117182" customFormat="1" x14ac:dyDescent="0.25"/>
    <row r="117183" customFormat="1" x14ac:dyDescent="0.25"/>
    <row r="117184" customFormat="1" x14ac:dyDescent="0.25"/>
    <row r="117185" customFormat="1" x14ac:dyDescent="0.25"/>
    <row r="117186" customFormat="1" x14ac:dyDescent="0.25"/>
    <row r="117187" customFormat="1" x14ac:dyDescent="0.25"/>
    <row r="117188" customFormat="1" x14ac:dyDescent="0.25"/>
    <row r="117189" customFormat="1" x14ac:dyDescent="0.25"/>
    <row r="117190" customFormat="1" x14ac:dyDescent="0.25"/>
    <row r="117191" customFormat="1" x14ac:dyDescent="0.25"/>
    <row r="117192" customFormat="1" x14ac:dyDescent="0.25"/>
    <row r="117193" customFormat="1" x14ac:dyDescent="0.25"/>
    <row r="117194" customFormat="1" x14ac:dyDescent="0.25"/>
    <row r="117195" customFormat="1" x14ac:dyDescent="0.25"/>
    <row r="117196" customFormat="1" x14ac:dyDescent="0.25"/>
    <row r="117197" customFormat="1" x14ac:dyDescent="0.25"/>
    <row r="117198" customFormat="1" x14ac:dyDescent="0.25"/>
    <row r="117199" customFormat="1" x14ac:dyDescent="0.25"/>
    <row r="117200" customFormat="1" x14ac:dyDescent="0.25"/>
    <row r="117201" customFormat="1" x14ac:dyDescent="0.25"/>
    <row r="117202" customFormat="1" x14ac:dyDescent="0.25"/>
    <row r="117203" customFormat="1" x14ac:dyDescent="0.25"/>
    <row r="117204" customFormat="1" x14ac:dyDescent="0.25"/>
    <row r="117205" customFormat="1" x14ac:dyDescent="0.25"/>
    <row r="117206" customFormat="1" x14ac:dyDescent="0.25"/>
    <row r="117207" customFormat="1" x14ac:dyDescent="0.25"/>
    <row r="117208" customFormat="1" x14ac:dyDescent="0.25"/>
    <row r="117209" customFormat="1" x14ac:dyDescent="0.25"/>
    <row r="117210" customFormat="1" x14ac:dyDescent="0.25"/>
    <row r="117211" customFormat="1" x14ac:dyDescent="0.25"/>
    <row r="117212" customFormat="1" x14ac:dyDescent="0.25"/>
    <row r="117213" customFormat="1" x14ac:dyDescent="0.25"/>
    <row r="117214" customFormat="1" x14ac:dyDescent="0.25"/>
    <row r="117215" customFormat="1" x14ac:dyDescent="0.25"/>
    <row r="117216" customFormat="1" x14ac:dyDescent="0.25"/>
    <row r="117217" customFormat="1" x14ac:dyDescent="0.25"/>
    <row r="117218" customFormat="1" x14ac:dyDescent="0.25"/>
    <row r="117219" customFormat="1" x14ac:dyDescent="0.25"/>
    <row r="117220" customFormat="1" x14ac:dyDescent="0.25"/>
    <row r="117221" customFormat="1" x14ac:dyDescent="0.25"/>
    <row r="117222" customFormat="1" x14ac:dyDescent="0.25"/>
    <row r="117223" customFormat="1" x14ac:dyDescent="0.25"/>
    <row r="117224" customFormat="1" x14ac:dyDescent="0.25"/>
    <row r="117225" customFormat="1" x14ac:dyDescent="0.25"/>
    <row r="117226" customFormat="1" x14ac:dyDescent="0.25"/>
    <row r="117227" customFormat="1" x14ac:dyDescent="0.25"/>
    <row r="117228" customFormat="1" x14ac:dyDescent="0.25"/>
    <row r="117229" customFormat="1" x14ac:dyDescent="0.25"/>
    <row r="117230" customFormat="1" x14ac:dyDescent="0.25"/>
    <row r="117231" customFormat="1" x14ac:dyDescent="0.25"/>
    <row r="117232" customFormat="1" x14ac:dyDescent="0.25"/>
    <row r="117233" customFormat="1" x14ac:dyDescent="0.25"/>
    <row r="117234" customFormat="1" x14ac:dyDescent="0.25"/>
    <row r="117235" customFormat="1" x14ac:dyDescent="0.25"/>
    <row r="117236" customFormat="1" x14ac:dyDescent="0.25"/>
    <row r="117237" customFormat="1" x14ac:dyDescent="0.25"/>
    <row r="117238" customFormat="1" x14ac:dyDescent="0.25"/>
    <row r="117239" customFormat="1" x14ac:dyDescent="0.25"/>
    <row r="117240" customFormat="1" x14ac:dyDescent="0.25"/>
    <row r="117241" customFormat="1" x14ac:dyDescent="0.25"/>
    <row r="117242" customFormat="1" x14ac:dyDescent="0.25"/>
    <row r="117243" customFormat="1" x14ac:dyDescent="0.25"/>
    <row r="117244" customFormat="1" x14ac:dyDescent="0.25"/>
    <row r="117245" customFormat="1" x14ac:dyDescent="0.25"/>
    <row r="117246" customFormat="1" x14ac:dyDescent="0.25"/>
    <row r="117247" customFormat="1" x14ac:dyDescent="0.25"/>
    <row r="117248" customFormat="1" x14ac:dyDescent="0.25"/>
    <row r="117249" customFormat="1" x14ac:dyDescent="0.25"/>
    <row r="117250" customFormat="1" x14ac:dyDescent="0.25"/>
    <row r="117251" customFormat="1" x14ac:dyDescent="0.25"/>
    <row r="117252" customFormat="1" x14ac:dyDescent="0.25"/>
    <row r="117253" customFormat="1" x14ac:dyDescent="0.25"/>
    <row r="117254" customFormat="1" x14ac:dyDescent="0.25"/>
    <row r="117255" customFormat="1" x14ac:dyDescent="0.25"/>
    <row r="117256" customFormat="1" x14ac:dyDescent="0.25"/>
    <row r="117257" customFormat="1" x14ac:dyDescent="0.25"/>
    <row r="117258" customFormat="1" x14ac:dyDescent="0.25"/>
    <row r="117259" customFormat="1" x14ac:dyDescent="0.25"/>
    <row r="117260" customFormat="1" x14ac:dyDescent="0.25"/>
    <row r="117261" customFormat="1" x14ac:dyDescent="0.25"/>
    <row r="117262" customFormat="1" x14ac:dyDescent="0.25"/>
    <row r="117263" customFormat="1" x14ac:dyDescent="0.25"/>
    <row r="117264" customFormat="1" x14ac:dyDescent="0.25"/>
    <row r="117265" customFormat="1" x14ac:dyDescent="0.25"/>
    <row r="117266" customFormat="1" x14ac:dyDescent="0.25"/>
    <row r="117267" customFormat="1" x14ac:dyDescent="0.25"/>
    <row r="117268" customFormat="1" x14ac:dyDescent="0.25"/>
    <row r="117269" customFormat="1" x14ac:dyDescent="0.25"/>
    <row r="117270" customFormat="1" x14ac:dyDescent="0.25"/>
    <row r="117271" customFormat="1" x14ac:dyDescent="0.25"/>
    <row r="117272" customFormat="1" x14ac:dyDescent="0.25"/>
    <row r="117273" customFormat="1" x14ac:dyDescent="0.25"/>
    <row r="117274" customFormat="1" x14ac:dyDescent="0.25"/>
    <row r="117275" customFormat="1" x14ac:dyDescent="0.25"/>
    <row r="117276" customFormat="1" x14ac:dyDescent="0.25"/>
    <row r="117277" customFormat="1" x14ac:dyDescent="0.25"/>
    <row r="117278" customFormat="1" x14ac:dyDescent="0.25"/>
    <row r="117279" customFormat="1" x14ac:dyDescent="0.25"/>
    <row r="117280" customFormat="1" x14ac:dyDescent="0.25"/>
    <row r="117281" customFormat="1" x14ac:dyDescent="0.25"/>
    <row r="117282" customFormat="1" x14ac:dyDescent="0.25"/>
    <row r="117283" customFormat="1" x14ac:dyDescent="0.25"/>
    <row r="117284" customFormat="1" x14ac:dyDescent="0.25"/>
    <row r="117285" customFormat="1" x14ac:dyDescent="0.25"/>
    <row r="117286" customFormat="1" x14ac:dyDescent="0.25"/>
    <row r="117287" customFormat="1" x14ac:dyDescent="0.25"/>
    <row r="117288" customFormat="1" x14ac:dyDescent="0.25"/>
    <row r="117289" customFormat="1" x14ac:dyDescent="0.25"/>
    <row r="117290" customFormat="1" x14ac:dyDescent="0.25"/>
    <row r="117291" customFormat="1" x14ac:dyDescent="0.25"/>
    <row r="117292" customFormat="1" x14ac:dyDescent="0.25"/>
    <row r="117293" customFormat="1" x14ac:dyDescent="0.25"/>
    <row r="117294" customFormat="1" x14ac:dyDescent="0.25"/>
    <row r="117295" customFormat="1" x14ac:dyDescent="0.25"/>
    <row r="117296" customFormat="1" x14ac:dyDescent="0.25"/>
    <row r="117297" customFormat="1" x14ac:dyDescent="0.25"/>
    <row r="117298" customFormat="1" x14ac:dyDescent="0.25"/>
    <row r="117299" customFormat="1" x14ac:dyDescent="0.25"/>
    <row r="117300" customFormat="1" x14ac:dyDescent="0.25"/>
    <row r="117301" customFormat="1" x14ac:dyDescent="0.25"/>
    <row r="117302" customFormat="1" x14ac:dyDescent="0.25"/>
    <row r="117303" customFormat="1" x14ac:dyDescent="0.25"/>
    <row r="117304" customFormat="1" x14ac:dyDescent="0.25"/>
    <row r="117305" customFormat="1" x14ac:dyDescent="0.25"/>
    <row r="117306" customFormat="1" x14ac:dyDescent="0.25"/>
    <row r="117307" customFormat="1" x14ac:dyDescent="0.25"/>
    <row r="117308" customFormat="1" x14ac:dyDescent="0.25"/>
    <row r="117309" customFormat="1" x14ac:dyDescent="0.25"/>
    <row r="117310" customFormat="1" x14ac:dyDescent="0.25"/>
    <row r="117311" customFormat="1" x14ac:dyDescent="0.25"/>
    <row r="117312" customFormat="1" x14ac:dyDescent="0.25"/>
    <row r="117313" customFormat="1" x14ac:dyDescent="0.25"/>
    <row r="117314" customFormat="1" x14ac:dyDescent="0.25"/>
    <row r="117315" customFormat="1" x14ac:dyDescent="0.25"/>
    <row r="117316" customFormat="1" x14ac:dyDescent="0.25"/>
    <row r="117317" customFormat="1" x14ac:dyDescent="0.25"/>
    <row r="117318" customFormat="1" x14ac:dyDescent="0.25"/>
    <row r="117319" customFormat="1" x14ac:dyDescent="0.25"/>
    <row r="117320" customFormat="1" x14ac:dyDescent="0.25"/>
    <row r="117321" customFormat="1" x14ac:dyDescent="0.25"/>
    <row r="117322" customFormat="1" x14ac:dyDescent="0.25"/>
    <row r="117323" customFormat="1" x14ac:dyDescent="0.25"/>
    <row r="117324" customFormat="1" x14ac:dyDescent="0.25"/>
    <row r="117325" customFormat="1" x14ac:dyDescent="0.25"/>
    <row r="117326" customFormat="1" x14ac:dyDescent="0.25"/>
    <row r="117327" customFormat="1" x14ac:dyDescent="0.25"/>
    <row r="117328" customFormat="1" x14ac:dyDescent="0.25"/>
    <row r="117329" customFormat="1" x14ac:dyDescent="0.25"/>
    <row r="117330" customFormat="1" x14ac:dyDescent="0.25"/>
    <row r="117331" customFormat="1" x14ac:dyDescent="0.25"/>
    <row r="117332" customFormat="1" x14ac:dyDescent="0.25"/>
    <row r="117333" customFormat="1" x14ac:dyDescent="0.25"/>
    <row r="117334" customFormat="1" x14ac:dyDescent="0.25"/>
    <row r="117335" customFormat="1" x14ac:dyDescent="0.25"/>
    <row r="117336" customFormat="1" x14ac:dyDescent="0.25"/>
    <row r="117337" customFormat="1" x14ac:dyDescent="0.25"/>
    <row r="117338" customFormat="1" x14ac:dyDescent="0.25"/>
    <row r="117339" customFormat="1" x14ac:dyDescent="0.25"/>
    <row r="117340" customFormat="1" x14ac:dyDescent="0.25"/>
    <row r="117341" customFormat="1" x14ac:dyDescent="0.25"/>
    <row r="117342" customFormat="1" x14ac:dyDescent="0.25"/>
    <row r="117343" customFormat="1" x14ac:dyDescent="0.25"/>
    <row r="117344" customFormat="1" x14ac:dyDescent="0.25"/>
    <row r="117345" customFormat="1" x14ac:dyDescent="0.25"/>
    <row r="117346" customFormat="1" x14ac:dyDescent="0.25"/>
    <row r="117347" customFormat="1" x14ac:dyDescent="0.25"/>
    <row r="117348" customFormat="1" x14ac:dyDescent="0.25"/>
    <row r="117349" customFormat="1" x14ac:dyDescent="0.25"/>
    <row r="117350" customFormat="1" x14ac:dyDescent="0.25"/>
    <row r="117351" customFormat="1" x14ac:dyDescent="0.25"/>
    <row r="117352" customFormat="1" x14ac:dyDescent="0.25"/>
    <row r="117353" customFormat="1" x14ac:dyDescent="0.25"/>
    <row r="117354" customFormat="1" x14ac:dyDescent="0.25"/>
    <row r="117355" customFormat="1" x14ac:dyDescent="0.25"/>
    <row r="117356" customFormat="1" x14ac:dyDescent="0.25"/>
    <row r="117357" customFormat="1" x14ac:dyDescent="0.25"/>
    <row r="117358" customFormat="1" x14ac:dyDescent="0.25"/>
    <row r="117359" customFormat="1" x14ac:dyDescent="0.25"/>
    <row r="117360" customFormat="1" x14ac:dyDescent="0.25"/>
    <row r="117361" customFormat="1" x14ac:dyDescent="0.25"/>
    <row r="117362" customFormat="1" x14ac:dyDescent="0.25"/>
    <row r="117363" customFormat="1" x14ac:dyDescent="0.25"/>
    <row r="117364" customFormat="1" x14ac:dyDescent="0.25"/>
    <row r="117365" customFormat="1" x14ac:dyDescent="0.25"/>
    <row r="117366" customFormat="1" x14ac:dyDescent="0.25"/>
    <row r="117367" customFormat="1" x14ac:dyDescent="0.25"/>
    <row r="117368" customFormat="1" x14ac:dyDescent="0.25"/>
    <row r="117369" customFormat="1" x14ac:dyDescent="0.25"/>
    <row r="117370" customFormat="1" x14ac:dyDescent="0.25"/>
    <row r="117371" customFormat="1" x14ac:dyDescent="0.25"/>
    <row r="117372" customFormat="1" x14ac:dyDescent="0.25"/>
    <row r="117373" customFormat="1" x14ac:dyDescent="0.25"/>
    <row r="117374" customFormat="1" x14ac:dyDescent="0.25"/>
    <row r="117375" customFormat="1" x14ac:dyDescent="0.25"/>
    <row r="117376" customFormat="1" x14ac:dyDescent="0.25"/>
    <row r="117377" customFormat="1" x14ac:dyDescent="0.25"/>
    <row r="117378" customFormat="1" x14ac:dyDescent="0.25"/>
    <row r="117379" customFormat="1" x14ac:dyDescent="0.25"/>
    <row r="117380" customFormat="1" x14ac:dyDescent="0.25"/>
    <row r="117381" customFormat="1" x14ac:dyDescent="0.25"/>
    <row r="117382" customFormat="1" x14ac:dyDescent="0.25"/>
    <row r="117383" customFormat="1" x14ac:dyDescent="0.25"/>
    <row r="117384" customFormat="1" x14ac:dyDescent="0.25"/>
    <row r="117385" customFormat="1" x14ac:dyDescent="0.25"/>
    <row r="117386" customFormat="1" x14ac:dyDescent="0.25"/>
    <row r="117387" customFormat="1" x14ac:dyDescent="0.25"/>
    <row r="117388" customFormat="1" x14ac:dyDescent="0.25"/>
    <row r="117389" customFormat="1" x14ac:dyDescent="0.25"/>
    <row r="117390" customFormat="1" x14ac:dyDescent="0.25"/>
    <row r="117391" customFormat="1" x14ac:dyDescent="0.25"/>
    <row r="117392" customFormat="1" x14ac:dyDescent="0.25"/>
    <row r="117393" customFormat="1" x14ac:dyDescent="0.25"/>
    <row r="117394" customFormat="1" x14ac:dyDescent="0.25"/>
    <row r="117395" customFormat="1" x14ac:dyDescent="0.25"/>
    <row r="117396" customFormat="1" x14ac:dyDescent="0.25"/>
    <row r="117397" customFormat="1" x14ac:dyDescent="0.25"/>
    <row r="117398" customFormat="1" x14ac:dyDescent="0.25"/>
    <row r="117399" customFormat="1" x14ac:dyDescent="0.25"/>
    <row r="117400" customFormat="1" x14ac:dyDescent="0.25"/>
    <row r="117401" customFormat="1" x14ac:dyDescent="0.25"/>
    <row r="117402" customFormat="1" x14ac:dyDescent="0.25"/>
    <row r="117403" customFormat="1" x14ac:dyDescent="0.25"/>
    <row r="117404" customFormat="1" x14ac:dyDescent="0.25"/>
    <row r="117405" customFormat="1" x14ac:dyDescent="0.25"/>
    <row r="117406" customFormat="1" x14ac:dyDescent="0.25"/>
    <row r="117407" customFormat="1" x14ac:dyDescent="0.25"/>
    <row r="117408" customFormat="1" x14ac:dyDescent="0.25"/>
    <row r="117409" customFormat="1" x14ac:dyDescent="0.25"/>
    <row r="117410" customFormat="1" x14ac:dyDescent="0.25"/>
    <row r="117411" customFormat="1" x14ac:dyDescent="0.25"/>
    <row r="117412" customFormat="1" x14ac:dyDescent="0.25"/>
    <row r="117413" customFormat="1" x14ac:dyDescent="0.25"/>
    <row r="117414" customFormat="1" x14ac:dyDescent="0.25"/>
    <row r="117415" customFormat="1" x14ac:dyDescent="0.25"/>
    <row r="117416" customFormat="1" x14ac:dyDescent="0.25"/>
    <row r="117417" customFormat="1" x14ac:dyDescent="0.25"/>
    <row r="117418" customFormat="1" x14ac:dyDescent="0.25"/>
    <row r="117419" customFormat="1" x14ac:dyDescent="0.25"/>
    <row r="117420" customFormat="1" x14ac:dyDescent="0.25"/>
    <row r="117421" customFormat="1" x14ac:dyDescent="0.25"/>
    <row r="117422" customFormat="1" x14ac:dyDescent="0.25"/>
    <row r="117423" customFormat="1" x14ac:dyDescent="0.25"/>
    <row r="117424" customFormat="1" x14ac:dyDescent="0.25"/>
    <row r="117425" customFormat="1" x14ac:dyDescent="0.25"/>
    <row r="117426" customFormat="1" x14ac:dyDescent="0.25"/>
    <row r="117427" customFormat="1" x14ac:dyDescent="0.25"/>
    <row r="117428" customFormat="1" x14ac:dyDescent="0.25"/>
    <row r="117429" customFormat="1" x14ac:dyDescent="0.25"/>
    <row r="117430" customFormat="1" x14ac:dyDescent="0.25"/>
    <row r="117431" customFormat="1" x14ac:dyDescent="0.25"/>
    <row r="117432" customFormat="1" x14ac:dyDescent="0.25"/>
    <row r="117433" customFormat="1" x14ac:dyDescent="0.25"/>
    <row r="117434" customFormat="1" x14ac:dyDescent="0.25"/>
    <row r="117435" customFormat="1" x14ac:dyDescent="0.25"/>
    <row r="117436" customFormat="1" x14ac:dyDescent="0.25"/>
    <row r="117437" customFormat="1" x14ac:dyDescent="0.25"/>
    <row r="117438" customFormat="1" x14ac:dyDescent="0.25"/>
    <row r="117439" customFormat="1" x14ac:dyDescent="0.25"/>
    <row r="117440" customFormat="1" x14ac:dyDescent="0.25"/>
    <row r="117441" customFormat="1" x14ac:dyDescent="0.25"/>
    <row r="117442" customFormat="1" x14ac:dyDescent="0.25"/>
    <row r="117443" customFormat="1" x14ac:dyDescent="0.25"/>
    <row r="117444" customFormat="1" x14ac:dyDescent="0.25"/>
    <row r="117445" customFormat="1" x14ac:dyDescent="0.25"/>
    <row r="117446" customFormat="1" x14ac:dyDescent="0.25"/>
    <row r="117447" customFormat="1" x14ac:dyDescent="0.25"/>
    <row r="117448" customFormat="1" x14ac:dyDescent="0.25"/>
    <row r="117449" customFormat="1" x14ac:dyDescent="0.25"/>
    <row r="117450" customFormat="1" x14ac:dyDescent="0.25"/>
    <row r="117451" customFormat="1" x14ac:dyDescent="0.25"/>
    <row r="117452" customFormat="1" x14ac:dyDescent="0.25"/>
    <row r="117453" customFormat="1" x14ac:dyDescent="0.25"/>
    <row r="117454" customFormat="1" x14ac:dyDescent="0.25"/>
    <row r="117455" customFormat="1" x14ac:dyDescent="0.25"/>
    <row r="117456" customFormat="1" x14ac:dyDescent="0.25"/>
    <row r="117457" customFormat="1" x14ac:dyDescent="0.25"/>
    <row r="117458" customFormat="1" x14ac:dyDescent="0.25"/>
    <row r="117459" customFormat="1" x14ac:dyDescent="0.25"/>
    <row r="117460" customFormat="1" x14ac:dyDescent="0.25"/>
    <row r="117461" customFormat="1" x14ac:dyDescent="0.25"/>
    <row r="117462" customFormat="1" x14ac:dyDescent="0.25"/>
    <row r="117463" customFormat="1" x14ac:dyDescent="0.25"/>
    <row r="117464" customFormat="1" x14ac:dyDescent="0.25"/>
    <row r="117465" customFormat="1" x14ac:dyDescent="0.25"/>
    <row r="117466" customFormat="1" x14ac:dyDescent="0.25"/>
    <row r="117467" customFormat="1" x14ac:dyDescent="0.25"/>
    <row r="117468" customFormat="1" x14ac:dyDescent="0.25"/>
    <row r="117469" customFormat="1" x14ac:dyDescent="0.25"/>
    <row r="117470" customFormat="1" x14ac:dyDescent="0.25"/>
    <row r="117471" customFormat="1" x14ac:dyDescent="0.25"/>
    <row r="117472" customFormat="1" x14ac:dyDescent="0.25"/>
    <row r="117473" customFormat="1" x14ac:dyDescent="0.25"/>
    <row r="117474" customFormat="1" x14ac:dyDescent="0.25"/>
    <row r="117475" customFormat="1" x14ac:dyDescent="0.25"/>
    <row r="117476" customFormat="1" x14ac:dyDescent="0.25"/>
    <row r="117477" customFormat="1" x14ac:dyDescent="0.25"/>
    <row r="117478" customFormat="1" x14ac:dyDescent="0.25"/>
    <row r="117479" customFormat="1" x14ac:dyDescent="0.25"/>
    <row r="117480" customFormat="1" x14ac:dyDescent="0.25"/>
    <row r="117481" customFormat="1" x14ac:dyDescent="0.25"/>
    <row r="117482" customFormat="1" x14ac:dyDescent="0.25"/>
    <row r="117483" customFormat="1" x14ac:dyDescent="0.25"/>
    <row r="117484" customFormat="1" x14ac:dyDescent="0.25"/>
    <row r="117485" customFormat="1" x14ac:dyDescent="0.25"/>
    <row r="117486" customFormat="1" x14ac:dyDescent="0.25"/>
    <row r="117487" customFormat="1" x14ac:dyDescent="0.25"/>
    <row r="117488" customFormat="1" x14ac:dyDescent="0.25"/>
    <row r="117489" customFormat="1" x14ac:dyDescent="0.25"/>
    <row r="117490" customFormat="1" x14ac:dyDescent="0.25"/>
    <row r="117491" customFormat="1" x14ac:dyDescent="0.25"/>
    <row r="117492" customFormat="1" x14ac:dyDescent="0.25"/>
    <row r="117493" customFormat="1" x14ac:dyDescent="0.25"/>
    <row r="117494" customFormat="1" x14ac:dyDescent="0.25"/>
    <row r="117495" customFormat="1" x14ac:dyDescent="0.25"/>
    <row r="117496" customFormat="1" x14ac:dyDescent="0.25"/>
    <row r="117497" customFormat="1" x14ac:dyDescent="0.25"/>
    <row r="117498" customFormat="1" x14ac:dyDescent="0.25"/>
    <row r="117499" customFormat="1" x14ac:dyDescent="0.25"/>
    <row r="117500" customFormat="1" x14ac:dyDescent="0.25"/>
    <row r="117501" customFormat="1" x14ac:dyDescent="0.25"/>
    <row r="117502" customFormat="1" x14ac:dyDescent="0.25"/>
    <row r="117503" customFormat="1" x14ac:dyDescent="0.25"/>
    <row r="117504" customFormat="1" x14ac:dyDescent="0.25"/>
    <row r="117505" customFormat="1" x14ac:dyDescent="0.25"/>
    <row r="117506" customFormat="1" x14ac:dyDescent="0.25"/>
    <row r="117507" customFormat="1" x14ac:dyDescent="0.25"/>
    <row r="117508" customFormat="1" x14ac:dyDescent="0.25"/>
    <row r="117509" customFormat="1" x14ac:dyDescent="0.25"/>
    <row r="117510" customFormat="1" x14ac:dyDescent="0.25"/>
    <row r="117511" customFormat="1" x14ac:dyDescent="0.25"/>
    <row r="117512" customFormat="1" x14ac:dyDescent="0.25"/>
    <row r="117513" customFormat="1" x14ac:dyDescent="0.25"/>
    <row r="117514" customFormat="1" x14ac:dyDescent="0.25"/>
    <row r="117515" customFormat="1" x14ac:dyDescent="0.25"/>
    <row r="117516" customFormat="1" x14ac:dyDescent="0.25"/>
    <row r="117517" customFormat="1" x14ac:dyDescent="0.25"/>
    <row r="117518" customFormat="1" x14ac:dyDescent="0.25"/>
    <row r="117519" customFormat="1" x14ac:dyDescent="0.25"/>
    <row r="117520" customFormat="1" x14ac:dyDescent="0.25"/>
    <row r="117521" customFormat="1" x14ac:dyDescent="0.25"/>
    <row r="117522" customFormat="1" x14ac:dyDescent="0.25"/>
    <row r="117523" customFormat="1" x14ac:dyDescent="0.25"/>
    <row r="117524" customFormat="1" x14ac:dyDescent="0.25"/>
    <row r="117525" customFormat="1" x14ac:dyDescent="0.25"/>
    <row r="117526" customFormat="1" x14ac:dyDescent="0.25"/>
    <row r="117527" customFormat="1" x14ac:dyDescent="0.25"/>
    <row r="117528" customFormat="1" x14ac:dyDescent="0.25"/>
    <row r="117529" customFormat="1" x14ac:dyDescent="0.25"/>
    <row r="117530" customFormat="1" x14ac:dyDescent="0.25"/>
    <row r="117531" customFormat="1" x14ac:dyDescent="0.25"/>
    <row r="117532" customFormat="1" x14ac:dyDescent="0.25"/>
    <row r="117533" customFormat="1" x14ac:dyDescent="0.25"/>
    <row r="117534" customFormat="1" x14ac:dyDescent="0.25"/>
    <row r="117535" customFormat="1" x14ac:dyDescent="0.25"/>
    <row r="117536" customFormat="1" x14ac:dyDescent="0.25"/>
    <row r="117537" customFormat="1" x14ac:dyDescent="0.25"/>
    <row r="117538" customFormat="1" x14ac:dyDescent="0.25"/>
    <row r="117539" customFormat="1" x14ac:dyDescent="0.25"/>
    <row r="117540" customFormat="1" x14ac:dyDescent="0.25"/>
    <row r="117541" customFormat="1" x14ac:dyDescent="0.25"/>
    <row r="117542" customFormat="1" x14ac:dyDescent="0.25"/>
    <row r="117543" customFormat="1" x14ac:dyDescent="0.25"/>
    <row r="117544" customFormat="1" x14ac:dyDescent="0.25"/>
    <row r="117545" customFormat="1" x14ac:dyDescent="0.25"/>
    <row r="117546" customFormat="1" x14ac:dyDescent="0.25"/>
    <row r="117547" customFormat="1" x14ac:dyDescent="0.25"/>
    <row r="117548" customFormat="1" x14ac:dyDescent="0.25"/>
    <row r="117549" customFormat="1" x14ac:dyDescent="0.25"/>
    <row r="117550" customFormat="1" x14ac:dyDescent="0.25"/>
    <row r="117551" customFormat="1" x14ac:dyDescent="0.25"/>
    <row r="117552" customFormat="1" x14ac:dyDescent="0.25"/>
    <row r="117553" customFormat="1" x14ac:dyDescent="0.25"/>
    <row r="117554" customFormat="1" x14ac:dyDescent="0.25"/>
    <row r="117555" customFormat="1" x14ac:dyDescent="0.25"/>
    <row r="117556" customFormat="1" x14ac:dyDescent="0.25"/>
    <row r="117557" customFormat="1" x14ac:dyDescent="0.25"/>
    <row r="117558" customFormat="1" x14ac:dyDescent="0.25"/>
    <row r="117559" customFormat="1" x14ac:dyDescent="0.25"/>
    <row r="117560" customFormat="1" x14ac:dyDescent="0.25"/>
    <row r="117561" customFormat="1" x14ac:dyDescent="0.25"/>
    <row r="117562" customFormat="1" x14ac:dyDescent="0.25"/>
    <row r="117563" customFormat="1" x14ac:dyDescent="0.25"/>
    <row r="117564" customFormat="1" x14ac:dyDescent="0.25"/>
    <row r="117565" customFormat="1" x14ac:dyDescent="0.25"/>
    <row r="117566" customFormat="1" x14ac:dyDescent="0.25"/>
    <row r="117567" customFormat="1" x14ac:dyDescent="0.25"/>
    <row r="117568" customFormat="1" x14ac:dyDescent="0.25"/>
    <row r="117569" customFormat="1" x14ac:dyDescent="0.25"/>
    <row r="117570" customFormat="1" x14ac:dyDescent="0.25"/>
    <row r="117571" customFormat="1" x14ac:dyDescent="0.25"/>
    <row r="117572" customFormat="1" x14ac:dyDescent="0.25"/>
    <row r="117573" customFormat="1" x14ac:dyDescent="0.25"/>
    <row r="117574" customFormat="1" x14ac:dyDescent="0.25"/>
    <row r="117575" customFormat="1" x14ac:dyDescent="0.25"/>
    <row r="117576" customFormat="1" x14ac:dyDescent="0.25"/>
    <row r="117577" customFormat="1" x14ac:dyDescent="0.25"/>
    <row r="117578" customFormat="1" x14ac:dyDescent="0.25"/>
    <row r="117579" customFormat="1" x14ac:dyDescent="0.25"/>
    <row r="117580" customFormat="1" x14ac:dyDescent="0.25"/>
    <row r="117581" customFormat="1" x14ac:dyDescent="0.25"/>
    <row r="117582" customFormat="1" x14ac:dyDescent="0.25"/>
    <row r="117583" customFormat="1" x14ac:dyDescent="0.25"/>
    <row r="117584" customFormat="1" x14ac:dyDescent="0.25"/>
    <row r="117585" customFormat="1" x14ac:dyDescent="0.25"/>
    <row r="117586" customFormat="1" x14ac:dyDescent="0.25"/>
    <row r="117587" customFormat="1" x14ac:dyDescent="0.25"/>
    <row r="117588" customFormat="1" x14ac:dyDescent="0.25"/>
    <row r="117589" customFormat="1" x14ac:dyDescent="0.25"/>
    <row r="117590" customFormat="1" x14ac:dyDescent="0.25"/>
    <row r="117591" customFormat="1" x14ac:dyDescent="0.25"/>
    <row r="117592" customFormat="1" x14ac:dyDescent="0.25"/>
    <row r="117593" customFormat="1" x14ac:dyDescent="0.25"/>
    <row r="117594" customFormat="1" x14ac:dyDescent="0.25"/>
    <row r="117595" customFormat="1" x14ac:dyDescent="0.25"/>
    <row r="117596" customFormat="1" x14ac:dyDescent="0.25"/>
    <row r="117597" customFormat="1" x14ac:dyDescent="0.25"/>
    <row r="117598" customFormat="1" x14ac:dyDescent="0.25"/>
    <row r="117599" customFormat="1" x14ac:dyDescent="0.25"/>
    <row r="117600" customFormat="1" x14ac:dyDescent="0.25"/>
    <row r="117601" customFormat="1" x14ac:dyDescent="0.25"/>
    <row r="117602" customFormat="1" x14ac:dyDescent="0.25"/>
    <row r="117603" customFormat="1" x14ac:dyDescent="0.25"/>
    <row r="117604" customFormat="1" x14ac:dyDescent="0.25"/>
    <row r="117605" customFormat="1" x14ac:dyDescent="0.25"/>
    <row r="117606" customFormat="1" x14ac:dyDescent="0.25"/>
    <row r="117607" customFormat="1" x14ac:dyDescent="0.25"/>
    <row r="117608" customFormat="1" x14ac:dyDescent="0.25"/>
    <row r="117609" customFormat="1" x14ac:dyDescent="0.25"/>
    <row r="117610" customFormat="1" x14ac:dyDescent="0.25"/>
    <row r="117611" customFormat="1" x14ac:dyDescent="0.25"/>
    <row r="117612" customFormat="1" x14ac:dyDescent="0.25"/>
    <row r="117613" customFormat="1" x14ac:dyDescent="0.25"/>
    <row r="117614" customFormat="1" x14ac:dyDescent="0.25"/>
    <row r="117615" customFormat="1" x14ac:dyDescent="0.25"/>
    <row r="117616" customFormat="1" x14ac:dyDescent="0.25"/>
    <row r="117617" customFormat="1" x14ac:dyDescent="0.25"/>
    <row r="117618" customFormat="1" x14ac:dyDescent="0.25"/>
    <row r="117619" customFormat="1" x14ac:dyDescent="0.25"/>
    <row r="117620" customFormat="1" x14ac:dyDescent="0.25"/>
    <row r="117621" customFormat="1" x14ac:dyDescent="0.25"/>
    <row r="117622" customFormat="1" x14ac:dyDescent="0.25"/>
    <row r="117623" customFormat="1" x14ac:dyDescent="0.25"/>
    <row r="117624" customFormat="1" x14ac:dyDescent="0.25"/>
    <row r="117625" customFormat="1" x14ac:dyDescent="0.25"/>
    <row r="117626" customFormat="1" x14ac:dyDescent="0.25"/>
    <row r="117627" customFormat="1" x14ac:dyDescent="0.25"/>
    <row r="117628" customFormat="1" x14ac:dyDescent="0.25"/>
    <row r="117629" customFormat="1" x14ac:dyDescent="0.25"/>
    <row r="117630" customFormat="1" x14ac:dyDescent="0.25"/>
    <row r="117631" customFormat="1" x14ac:dyDescent="0.25"/>
    <row r="117632" customFormat="1" x14ac:dyDescent="0.25"/>
    <row r="117633" customFormat="1" x14ac:dyDescent="0.25"/>
    <row r="117634" customFormat="1" x14ac:dyDescent="0.25"/>
    <row r="117635" customFormat="1" x14ac:dyDescent="0.25"/>
    <row r="117636" customFormat="1" x14ac:dyDescent="0.25"/>
    <row r="117637" customFormat="1" x14ac:dyDescent="0.25"/>
    <row r="117638" customFormat="1" x14ac:dyDescent="0.25"/>
    <row r="117639" customFormat="1" x14ac:dyDescent="0.25"/>
    <row r="117640" customFormat="1" x14ac:dyDescent="0.25"/>
    <row r="117641" customFormat="1" x14ac:dyDescent="0.25"/>
    <row r="117642" customFormat="1" x14ac:dyDescent="0.25"/>
    <row r="117643" customFormat="1" x14ac:dyDescent="0.25"/>
    <row r="117644" customFormat="1" x14ac:dyDescent="0.25"/>
    <row r="117645" customFormat="1" x14ac:dyDescent="0.25"/>
    <row r="117646" customFormat="1" x14ac:dyDescent="0.25"/>
    <row r="117647" customFormat="1" x14ac:dyDescent="0.25"/>
    <row r="117648" customFormat="1" x14ac:dyDescent="0.25"/>
    <row r="117649" customFormat="1" x14ac:dyDescent="0.25"/>
    <row r="117650" customFormat="1" x14ac:dyDescent="0.25"/>
    <row r="117651" customFormat="1" x14ac:dyDescent="0.25"/>
    <row r="117652" customFormat="1" x14ac:dyDescent="0.25"/>
    <row r="117653" customFormat="1" x14ac:dyDescent="0.25"/>
    <row r="117654" customFormat="1" x14ac:dyDescent="0.25"/>
    <row r="117655" customFormat="1" x14ac:dyDescent="0.25"/>
    <row r="117656" customFormat="1" x14ac:dyDescent="0.25"/>
    <row r="117657" customFormat="1" x14ac:dyDescent="0.25"/>
    <row r="117658" customFormat="1" x14ac:dyDescent="0.25"/>
    <row r="117659" customFormat="1" x14ac:dyDescent="0.25"/>
    <row r="117660" customFormat="1" x14ac:dyDescent="0.25"/>
    <row r="117661" customFormat="1" x14ac:dyDescent="0.25"/>
    <row r="117662" customFormat="1" x14ac:dyDescent="0.25"/>
    <row r="117663" customFormat="1" x14ac:dyDescent="0.25"/>
    <row r="117664" customFormat="1" x14ac:dyDescent="0.25"/>
    <row r="117665" customFormat="1" x14ac:dyDescent="0.25"/>
    <row r="117666" customFormat="1" x14ac:dyDescent="0.25"/>
    <row r="117667" customFormat="1" x14ac:dyDescent="0.25"/>
    <row r="117668" customFormat="1" x14ac:dyDescent="0.25"/>
    <row r="117669" customFormat="1" x14ac:dyDescent="0.25"/>
    <row r="117670" customFormat="1" x14ac:dyDescent="0.25"/>
    <row r="117671" customFormat="1" x14ac:dyDescent="0.25"/>
    <row r="117672" customFormat="1" x14ac:dyDescent="0.25"/>
    <row r="117673" customFormat="1" x14ac:dyDescent="0.25"/>
    <row r="117674" customFormat="1" x14ac:dyDescent="0.25"/>
    <row r="117675" customFormat="1" x14ac:dyDescent="0.25"/>
    <row r="117676" customFormat="1" x14ac:dyDescent="0.25"/>
    <row r="117677" customFormat="1" x14ac:dyDescent="0.25"/>
    <row r="117678" customFormat="1" x14ac:dyDescent="0.25"/>
    <row r="117679" customFormat="1" x14ac:dyDescent="0.25"/>
    <row r="117680" customFormat="1" x14ac:dyDescent="0.25"/>
    <row r="117681" customFormat="1" x14ac:dyDescent="0.25"/>
    <row r="117682" customFormat="1" x14ac:dyDescent="0.25"/>
    <row r="117683" customFormat="1" x14ac:dyDescent="0.25"/>
    <row r="117684" customFormat="1" x14ac:dyDescent="0.25"/>
    <row r="117685" customFormat="1" x14ac:dyDescent="0.25"/>
    <row r="117686" customFormat="1" x14ac:dyDescent="0.25"/>
    <row r="117687" customFormat="1" x14ac:dyDescent="0.25"/>
    <row r="117688" customFormat="1" x14ac:dyDescent="0.25"/>
    <row r="117689" customFormat="1" x14ac:dyDescent="0.25"/>
    <row r="117690" customFormat="1" x14ac:dyDescent="0.25"/>
    <row r="117691" customFormat="1" x14ac:dyDescent="0.25"/>
    <row r="117692" customFormat="1" x14ac:dyDescent="0.25"/>
    <row r="117693" customFormat="1" x14ac:dyDescent="0.25"/>
    <row r="117694" customFormat="1" x14ac:dyDescent="0.25"/>
    <row r="117695" customFormat="1" x14ac:dyDescent="0.25"/>
    <row r="117696" customFormat="1" x14ac:dyDescent="0.25"/>
    <row r="117697" customFormat="1" x14ac:dyDescent="0.25"/>
    <row r="117698" customFormat="1" x14ac:dyDescent="0.25"/>
    <row r="117699" customFormat="1" x14ac:dyDescent="0.25"/>
    <row r="117700" customFormat="1" x14ac:dyDescent="0.25"/>
    <row r="117701" customFormat="1" x14ac:dyDescent="0.25"/>
    <row r="117702" customFormat="1" x14ac:dyDescent="0.25"/>
    <row r="117703" customFormat="1" x14ac:dyDescent="0.25"/>
    <row r="117704" customFormat="1" x14ac:dyDescent="0.25"/>
    <row r="117705" customFormat="1" x14ac:dyDescent="0.25"/>
    <row r="117706" customFormat="1" x14ac:dyDescent="0.25"/>
    <row r="117707" customFormat="1" x14ac:dyDescent="0.25"/>
    <row r="117708" customFormat="1" x14ac:dyDescent="0.25"/>
    <row r="117709" customFormat="1" x14ac:dyDescent="0.25"/>
    <row r="117710" customFormat="1" x14ac:dyDescent="0.25"/>
    <row r="117711" customFormat="1" x14ac:dyDescent="0.25"/>
    <row r="117712" customFormat="1" x14ac:dyDescent="0.25"/>
    <row r="117713" customFormat="1" x14ac:dyDescent="0.25"/>
    <row r="117714" customFormat="1" x14ac:dyDescent="0.25"/>
    <row r="117715" customFormat="1" x14ac:dyDescent="0.25"/>
    <row r="117716" customFormat="1" x14ac:dyDescent="0.25"/>
    <row r="117717" customFormat="1" x14ac:dyDescent="0.25"/>
    <row r="117718" customFormat="1" x14ac:dyDescent="0.25"/>
    <row r="117719" customFormat="1" x14ac:dyDescent="0.25"/>
    <row r="117720" customFormat="1" x14ac:dyDescent="0.25"/>
    <row r="117721" customFormat="1" x14ac:dyDescent="0.25"/>
    <row r="117722" customFormat="1" x14ac:dyDescent="0.25"/>
    <row r="117723" customFormat="1" x14ac:dyDescent="0.25"/>
    <row r="117724" customFormat="1" x14ac:dyDescent="0.25"/>
    <row r="117725" customFormat="1" x14ac:dyDescent="0.25"/>
    <row r="117726" customFormat="1" x14ac:dyDescent="0.25"/>
    <row r="117727" customFormat="1" x14ac:dyDescent="0.25"/>
    <row r="117728" customFormat="1" x14ac:dyDescent="0.25"/>
    <row r="117729" customFormat="1" x14ac:dyDescent="0.25"/>
    <row r="117730" customFormat="1" x14ac:dyDescent="0.25"/>
    <row r="117731" customFormat="1" x14ac:dyDescent="0.25"/>
    <row r="117732" customFormat="1" x14ac:dyDescent="0.25"/>
    <row r="117733" customFormat="1" x14ac:dyDescent="0.25"/>
    <row r="117734" customFormat="1" x14ac:dyDescent="0.25"/>
    <row r="117735" customFormat="1" x14ac:dyDescent="0.25"/>
    <row r="117736" customFormat="1" x14ac:dyDescent="0.25"/>
    <row r="117737" customFormat="1" x14ac:dyDescent="0.25"/>
    <row r="117738" customFormat="1" x14ac:dyDescent="0.25"/>
    <row r="117739" customFormat="1" x14ac:dyDescent="0.25"/>
    <row r="117740" customFormat="1" x14ac:dyDescent="0.25"/>
    <row r="117741" customFormat="1" x14ac:dyDescent="0.25"/>
    <row r="117742" customFormat="1" x14ac:dyDescent="0.25"/>
    <row r="117743" customFormat="1" x14ac:dyDescent="0.25"/>
    <row r="117744" customFormat="1" x14ac:dyDescent="0.25"/>
    <row r="117745" customFormat="1" x14ac:dyDescent="0.25"/>
    <row r="117746" customFormat="1" x14ac:dyDescent="0.25"/>
    <row r="117747" customFormat="1" x14ac:dyDescent="0.25"/>
    <row r="117748" customFormat="1" x14ac:dyDescent="0.25"/>
    <row r="117749" customFormat="1" x14ac:dyDescent="0.25"/>
    <row r="117750" customFormat="1" x14ac:dyDescent="0.25"/>
    <row r="117751" customFormat="1" x14ac:dyDescent="0.25"/>
    <row r="117752" customFormat="1" x14ac:dyDescent="0.25"/>
    <row r="117753" customFormat="1" x14ac:dyDescent="0.25"/>
    <row r="117754" customFormat="1" x14ac:dyDescent="0.25"/>
    <row r="117755" customFormat="1" x14ac:dyDescent="0.25"/>
    <row r="117756" customFormat="1" x14ac:dyDescent="0.25"/>
    <row r="117757" customFormat="1" x14ac:dyDescent="0.25"/>
    <row r="117758" customFormat="1" x14ac:dyDescent="0.25"/>
    <row r="117759" customFormat="1" x14ac:dyDescent="0.25"/>
    <row r="117760" customFormat="1" x14ac:dyDescent="0.25"/>
    <row r="117761" customFormat="1" x14ac:dyDescent="0.25"/>
    <row r="117762" customFormat="1" x14ac:dyDescent="0.25"/>
    <row r="117763" customFormat="1" x14ac:dyDescent="0.25"/>
    <row r="117764" customFormat="1" x14ac:dyDescent="0.25"/>
    <row r="117765" customFormat="1" x14ac:dyDescent="0.25"/>
    <row r="117766" customFormat="1" x14ac:dyDescent="0.25"/>
    <row r="117767" customFormat="1" x14ac:dyDescent="0.25"/>
    <row r="117768" customFormat="1" x14ac:dyDescent="0.25"/>
    <row r="117769" customFormat="1" x14ac:dyDescent="0.25"/>
    <row r="117770" customFormat="1" x14ac:dyDescent="0.25"/>
    <row r="117771" customFormat="1" x14ac:dyDescent="0.25"/>
    <row r="117772" customFormat="1" x14ac:dyDescent="0.25"/>
    <row r="117773" customFormat="1" x14ac:dyDescent="0.25"/>
    <row r="117774" customFormat="1" x14ac:dyDescent="0.25"/>
    <row r="117775" customFormat="1" x14ac:dyDescent="0.25"/>
    <row r="117776" customFormat="1" x14ac:dyDescent="0.25"/>
    <row r="117777" customFormat="1" x14ac:dyDescent="0.25"/>
    <row r="117778" customFormat="1" x14ac:dyDescent="0.25"/>
    <row r="117779" customFormat="1" x14ac:dyDescent="0.25"/>
    <row r="117780" customFormat="1" x14ac:dyDescent="0.25"/>
    <row r="117781" customFormat="1" x14ac:dyDescent="0.25"/>
    <row r="117782" customFormat="1" x14ac:dyDescent="0.25"/>
    <row r="117783" customFormat="1" x14ac:dyDescent="0.25"/>
    <row r="117784" customFormat="1" x14ac:dyDescent="0.25"/>
    <row r="117785" customFormat="1" x14ac:dyDescent="0.25"/>
    <row r="117786" customFormat="1" x14ac:dyDescent="0.25"/>
    <row r="117787" customFormat="1" x14ac:dyDescent="0.25"/>
    <row r="117788" customFormat="1" x14ac:dyDescent="0.25"/>
    <row r="117789" customFormat="1" x14ac:dyDescent="0.25"/>
    <row r="117790" customFormat="1" x14ac:dyDescent="0.25"/>
    <row r="117791" customFormat="1" x14ac:dyDescent="0.25"/>
    <row r="117792" customFormat="1" x14ac:dyDescent="0.25"/>
    <row r="117793" customFormat="1" x14ac:dyDescent="0.25"/>
    <row r="117794" customFormat="1" x14ac:dyDescent="0.25"/>
    <row r="117795" customFormat="1" x14ac:dyDescent="0.25"/>
    <row r="117796" customFormat="1" x14ac:dyDescent="0.25"/>
    <row r="117797" customFormat="1" x14ac:dyDescent="0.25"/>
    <row r="117798" customFormat="1" x14ac:dyDescent="0.25"/>
    <row r="117799" customFormat="1" x14ac:dyDescent="0.25"/>
    <row r="117800" customFormat="1" x14ac:dyDescent="0.25"/>
    <row r="117801" customFormat="1" x14ac:dyDescent="0.25"/>
    <row r="117802" customFormat="1" x14ac:dyDescent="0.25"/>
    <row r="117803" customFormat="1" x14ac:dyDescent="0.25"/>
    <row r="117804" customFormat="1" x14ac:dyDescent="0.25"/>
    <row r="117805" customFormat="1" x14ac:dyDescent="0.25"/>
    <row r="117806" customFormat="1" x14ac:dyDescent="0.25"/>
    <row r="117807" customFormat="1" x14ac:dyDescent="0.25"/>
    <row r="117808" customFormat="1" x14ac:dyDescent="0.25"/>
    <row r="117809" customFormat="1" x14ac:dyDescent="0.25"/>
    <row r="117810" customFormat="1" x14ac:dyDescent="0.25"/>
    <row r="117811" customFormat="1" x14ac:dyDescent="0.25"/>
    <row r="117812" customFormat="1" x14ac:dyDescent="0.25"/>
    <row r="117813" customFormat="1" x14ac:dyDescent="0.25"/>
    <row r="117814" customFormat="1" x14ac:dyDescent="0.25"/>
    <row r="117815" customFormat="1" x14ac:dyDescent="0.25"/>
    <row r="117816" customFormat="1" x14ac:dyDescent="0.25"/>
    <row r="117817" customFormat="1" x14ac:dyDescent="0.25"/>
    <row r="117818" customFormat="1" x14ac:dyDescent="0.25"/>
    <row r="117819" customFormat="1" x14ac:dyDescent="0.25"/>
    <row r="117820" customFormat="1" x14ac:dyDescent="0.25"/>
    <row r="117821" customFormat="1" x14ac:dyDescent="0.25"/>
    <row r="117822" customFormat="1" x14ac:dyDescent="0.25"/>
    <row r="117823" customFormat="1" x14ac:dyDescent="0.25"/>
    <row r="117824" customFormat="1" x14ac:dyDescent="0.25"/>
    <row r="117825" customFormat="1" x14ac:dyDescent="0.25"/>
    <row r="117826" customFormat="1" x14ac:dyDescent="0.25"/>
    <row r="117827" customFormat="1" x14ac:dyDescent="0.25"/>
    <row r="117828" customFormat="1" x14ac:dyDescent="0.25"/>
    <row r="117829" customFormat="1" x14ac:dyDescent="0.25"/>
    <row r="117830" customFormat="1" x14ac:dyDescent="0.25"/>
    <row r="117831" customFormat="1" x14ac:dyDescent="0.25"/>
    <row r="117832" customFormat="1" x14ac:dyDescent="0.25"/>
    <row r="117833" customFormat="1" x14ac:dyDescent="0.25"/>
    <row r="117834" customFormat="1" x14ac:dyDescent="0.25"/>
    <row r="117835" customFormat="1" x14ac:dyDescent="0.25"/>
    <row r="117836" customFormat="1" x14ac:dyDescent="0.25"/>
    <row r="117837" customFormat="1" x14ac:dyDescent="0.25"/>
    <row r="117838" customFormat="1" x14ac:dyDescent="0.25"/>
    <row r="117839" customFormat="1" x14ac:dyDescent="0.25"/>
    <row r="117840" customFormat="1" x14ac:dyDescent="0.25"/>
    <row r="117841" customFormat="1" x14ac:dyDescent="0.25"/>
    <row r="117842" customFormat="1" x14ac:dyDescent="0.25"/>
    <row r="117843" customFormat="1" x14ac:dyDescent="0.25"/>
    <row r="117844" customFormat="1" x14ac:dyDescent="0.25"/>
    <row r="117845" customFormat="1" x14ac:dyDescent="0.25"/>
    <row r="117846" customFormat="1" x14ac:dyDescent="0.25"/>
    <row r="117847" customFormat="1" x14ac:dyDescent="0.25"/>
    <row r="117848" customFormat="1" x14ac:dyDescent="0.25"/>
    <row r="117849" customFormat="1" x14ac:dyDescent="0.25"/>
    <row r="117850" customFormat="1" x14ac:dyDescent="0.25"/>
    <row r="117851" customFormat="1" x14ac:dyDescent="0.25"/>
    <row r="117852" customFormat="1" x14ac:dyDescent="0.25"/>
    <row r="117853" customFormat="1" x14ac:dyDescent="0.25"/>
    <row r="117854" customFormat="1" x14ac:dyDescent="0.25"/>
    <row r="117855" customFormat="1" x14ac:dyDescent="0.25"/>
    <row r="117856" customFormat="1" x14ac:dyDescent="0.25"/>
    <row r="117857" customFormat="1" x14ac:dyDescent="0.25"/>
    <row r="117858" customFormat="1" x14ac:dyDescent="0.25"/>
    <row r="117859" customFormat="1" x14ac:dyDescent="0.25"/>
    <row r="117860" customFormat="1" x14ac:dyDescent="0.25"/>
    <row r="117861" customFormat="1" x14ac:dyDescent="0.25"/>
    <row r="117862" customFormat="1" x14ac:dyDescent="0.25"/>
    <row r="117863" customFormat="1" x14ac:dyDescent="0.25"/>
    <row r="117864" customFormat="1" x14ac:dyDescent="0.25"/>
    <row r="117865" customFormat="1" x14ac:dyDescent="0.25"/>
    <row r="117866" customFormat="1" x14ac:dyDescent="0.25"/>
    <row r="117867" customFormat="1" x14ac:dyDescent="0.25"/>
    <row r="117868" customFormat="1" x14ac:dyDescent="0.25"/>
    <row r="117869" customFormat="1" x14ac:dyDescent="0.25"/>
    <row r="117870" customFormat="1" x14ac:dyDescent="0.25"/>
    <row r="117871" customFormat="1" x14ac:dyDescent="0.25"/>
    <row r="117872" customFormat="1" x14ac:dyDescent="0.25"/>
    <row r="117873" customFormat="1" x14ac:dyDescent="0.25"/>
    <row r="117874" customFormat="1" x14ac:dyDescent="0.25"/>
    <row r="117875" customFormat="1" x14ac:dyDescent="0.25"/>
    <row r="117876" customFormat="1" x14ac:dyDescent="0.25"/>
    <row r="117877" customFormat="1" x14ac:dyDescent="0.25"/>
    <row r="117878" customFormat="1" x14ac:dyDescent="0.25"/>
    <row r="117879" customFormat="1" x14ac:dyDescent="0.25"/>
    <row r="117880" customFormat="1" x14ac:dyDescent="0.25"/>
    <row r="117881" customFormat="1" x14ac:dyDescent="0.25"/>
    <row r="117882" customFormat="1" x14ac:dyDescent="0.25"/>
    <row r="117883" customFormat="1" x14ac:dyDescent="0.25"/>
    <row r="117884" customFormat="1" x14ac:dyDescent="0.25"/>
    <row r="117885" customFormat="1" x14ac:dyDescent="0.25"/>
    <row r="117886" customFormat="1" x14ac:dyDescent="0.25"/>
    <row r="117887" customFormat="1" x14ac:dyDescent="0.25"/>
    <row r="117888" customFormat="1" x14ac:dyDescent="0.25"/>
    <row r="117889" customFormat="1" x14ac:dyDescent="0.25"/>
    <row r="117890" customFormat="1" x14ac:dyDescent="0.25"/>
    <row r="117891" customFormat="1" x14ac:dyDescent="0.25"/>
    <row r="117892" customFormat="1" x14ac:dyDescent="0.25"/>
    <row r="117893" customFormat="1" x14ac:dyDescent="0.25"/>
    <row r="117894" customFormat="1" x14ac:dyDescent="0.25"/>
    <row r="117895" customFormat="1" x14ac:dyDescent="0.25"/>
    <row r="117896" customFormat="1" x14ac:dyDescent="0.25"/>
    <row r="117897" customFormat="1" x14ac:dyDescent="0.25"/>
    <row r="117898" customFormat="1" x14ac:dyDescent="0.25"/>
    <row r="117899" customFormat="1" x14ac:dyDescent="0.25"/>
    <row r="117900" customFormat="1" x14ac:dyDescent="0.25"/>
    <row r="117901" customFormat="1" x14ac:dyDescent="0.25"/>
    <row r="117902" customFormat="1" x14ac:dyDescent="0.25"/>
    <row r="117903" customFormat="1" x14ac:dyDescent="0.25"/>
    <row r="117904" customFormat="1" x14ac:dyDescent="0.25"/>
    <row r="117905" customFormat="1" x14ac:dyDescent="0.25"/>
    <row r="117906" customFormat="1" x14ac:dyDescent="0.25"/>
    <row r="117907" customFormat="1" x14ac:dyDescent="0.25"/>
    <row r="117908" customFormat="1" x14ac:dyDescent="0.25"/>
    <row r="117909" customFormat="1" x14ac:dyDescent="0.25"/>
    <row r="117910" customFormat="1" x14ac:dyDescent="0.25"/>
    <row r="117911" customFormat="1" x14ac:dyDescent="0.25"/>
    <row r="117912" customFormat="1" x14ac:dyDescent="0.25"/>
    <row r="117913" customFormat="1" x14ac:dyDescent="0.25"/>
    <row r="117914" customFormat="1" x14ac:dyDescent="0.25"/>
    <row r="117915" customFormat="1" x14ac:dyDescent="0.25"/>
    <row r="117916" customFormat="1" x14ac:dyDescent="0.25"/>
    <row r="117917" customFormat="1" x14ac:dyDescent="0.25"/>
    <row r="117918" customFormat="1" x14ac:dyDescent="0.25"/>
    <row r="117919" customFormat="1" x14ac:dyDescent="0.25"/>
    <row r="117920" customFormat="1" x14ac:dyDescent="0.25"/>
    <row r="117921" customFormat="1" x14ac:dyDescent="0.25"/>
    <row r="117922" customFormat="1" x14ac:dyDescent="0.25"/>
    <row r="117923" customFormat="1" x14ac:dyDescent="0.25"/>
    <row r="117924" customFormat="1" x14ac:dyDescent="0.25"/>
    <row r="117925" customFormat="1" x14ac:dyDescent="0.25"/>
    <row r="117926" customFormat="1" x14ac:dyDescent="0.25"/>
    <row r="117927" customFormat="1" x14ac:dyDescent="0.25"/>
    <row r="117928" customFormat="1" x14ac:dyDescent="0.25"/>
    <row r="117929" customFormat="1" x14ac:dyDescent="0.25"/>
    <row r="117930" customFormat="1" x14ac:dyDescent="0.25"/>
    <row r="117931" customFormat="1" x14ac:dyDescent="0.25"/>
    <row r="117932" customFormat="1" x14ac:dyDescent="0.25"/>
    <row r="117933" customFormat="1" x14ac:dyDescent="0.25"/>
    <row r="117934" customFormat="1" x14ac:dyDescent="0.25"/>
    <row r="117935" customFormat="1" x14ac:dyDescent="0.25"/>
    <row r="117936" customFormat="1" x14ac:dyDescent="0.25"/>
    <row r="117937" customFormat="1" x14ac:dyDescent="0.25"/>
    <row r="117938" customFormat="1" x14ac:dyDescent="0.25"/>
    <row r="117939" customFormat="1" x14ac:dyDescent="0.25"/>
    <row r="117940" customFormat="1" x14ac:dyDescent="0.25"/>
    <row r="117941" customFormat="1" x14ac:dyDescent="0.25"/>
    <row r="117942" customFormat="1" x14ac:dyDescent="0.25"/>
    <row r="117943" customFormat="1" x14ac:dyDescent="0.25"/>
    <row r="117944" customFormat="1" x14ac:dyDescent="0.25"/>
    <row r="117945" customFormat="1" x14ac:dyDescent="0.25"/>
    <row r="117946" customFormat="1" x14ac:dyDescent="0.25"/>
    <row r="117947" customFormat="1" x14ac:dyDescent="0.25"/>
    <row r="117948" customFormat="1" x14ac:dyDescent="0.25"/>
    <row r="117949" customFormat="1" x14ac:dyDescent="0.25"/>
    <row r="117950" customFormat="1" x14ac:dyDescent="0.25"/>
    <row r="117951" customFormat="1" x14ac:dyDescent="0.25"/>
    <row r="117952" customFormat="1" x14ac:dyDescent="0.25"/>
    <row r="117953" customFormat="1" x14ac:dyDescent="0.25"/>
    <row r="117954" customFormat="1" x14ac:dyDescent="0.25"/>
    <row r="117955" customFormat="1" x14ac:dyDescent="0.25"/>
    <row r="117956" customFormat="1" x14ac:dyDescent="0.25"/>
    <row r="117957" customFormat="1" x14ac:dyDescent="0.25"/>
    <row r="117958" customFormat="1" x14ac:dyDescent="0.25"/>
    <row r="117959" customFormat="1" x14ac:dyDescent="0.25"/>
    <row r="117960" customFormat="1" x14ac:dyDescent="0.25"/>
    <row r="117961" customFormat="1" x14ac:dyDescent="0.25"/>
    <row r="117962" customFormat="1" x14ac:dyDescent="0.25"/>
    <row r="117963" customFormat="1" x14ac:dyDescent="0.25"/>
    <row r="117964" customFormat="1" x14ac:dyDescent="0.25"/>
    <row r="117965" customFormat="1" x14ac:dyDescent="0.25"/>
    <row r="117966" customFormat="1" x14ac:dyDescent="0.25"/>
    <row r="117967" customFormat="1" x14ac:dyDescent="0.25"/>
    <row r="117968" customFormat="1" x14ac:dyDescent="0.25"/>
    <row r="117969" customFormat="1" x14ac:dyDescent="0.25"/>
    <row r="117970" customFormat="1" x14ac:dyDescent="0.25"/>
    <row r="117971" customFormat="1" x14ac:dyDescent="0.25"/>
    <row r="117972" customFormat="1" x14ac:dyDescent="0.25"/>
    <row r="117973" customFormat="1" x14ac:dyDescent="0.25"/>
    <row r="117974" customFormat="1" x14ac:dyDescent="0.25"/>
    <row r="117975" customFormat="1" x14ac:dyDescent="0.25"/>
    <row r="117976" customFormat="1" x14ac:dyDescent="0.25"/>
    <row r="117977" customFormat="1" x14ac:dyDescent="0.25"/>
    <row r="117978" customFormat="1" x14ac:dyDescent="0.25"/>
    <row r="117979" customFormat="1" x14ac:dyDescent="0.25"/>
    <row r="117980" customFormat="1" x14ac:dyDescent="0.25"/>
    <row r="117981" customFormat="1" x14ac:dyDescent="0.25"/>
    <row r="117982" customFormat="1" x14ac:dyDescent="0.25"/>
    <row r="117983" customFormat="1" x14ac:dyDescent="0.25"/>
    <row r="117984" customFormat="1" x14ac:dyDescent="0.25"/>
    <row r="117985" customFormat="1" x14ac:dyDescent="0.25"/>
    <row r="117986" customFormat="1" x14ac:dyDescent="0.25"/>
    <row r="117987" customFormat="1" x14ac:dyDescent="0.25"/>
    <row r="117988" customFormat="1" x14ac:dyDescent="0.25"/>
    <row r="117989" customFormat="1" x14ac:dyDescent="0.25"/>
    <row r="117990" customFormat="1" x14ac:dyDescent="0.25"/>
    <row r="117991" customFormat="1" x14ac:dyDescent="0.25"/>
    <row r="117992" customFormat="1" x14ac:dyDescent="0.25"/>
    <row r="117993" customFormat="1" x14ac:dyDescent="0.25"/>
    <row r="117994" customFormat="1" x14ac:dyDescent="0.25"/>
    <row r="117995" customFormat="1" x14ac:dyDescent="0.25"/>
    <row r="117996" customFormat="1" x14ac:dyDescent="0.25"/>
    <row r="117997" customFormat="1" x14ac:dyDescent="0.25"/>
    <row r="117998" customFormat="1" x14ac:dyDescent="0.25"/>
    <row r="117999" customFormat="1" x14ac:dyDescent="0.25"/>
    <row r="118000" customFormat="1" x14ac:dyDescent="0.25"/>
    <row r="118001" customFormat="1" x14ac:dyDescent="0.25"/>
    <row r="118002" customFormat="1" x14ac:dyDescent="0.25"/>
    <row r="118003" customFormat="1" x14ac:dyDescent="0.25"/>
    <row r="118004" customFormat="1" x14ac:dyDescent="0.25"/>
    <row r="118005" customFormat="1" x14ac:dyDescent="0.25"/>
    <row r="118006" customFormat="1" x14ac:dyDescent="0.25"/>
    <row r="118007" customFormat="1" x14ac:dyDescent="0.25"/>
    <row r="118008" customFormat="1" x14ac:dyDescent="0.25"/>
    <row r="118009" customFormat="1" x14ac:dyDescent="0.25"/>
    <row r="118010" customFormat="1" x14ac:dyDescent="0.25"/>
    <row r="118011" customFormat="1" x14ac:dyDescent="0.25"/>
    <row r="118012" customFormat="1" x14ac:dyDescent="0.25"/>
    <row r="118013" customFormat="1" x14ac:dyDescent="0.25"/>
    <row r="118014" customFormat="1" x14ac:dyDescent="0.25"/>
    <row r="118015" customFormat="1" x14ac:dyDescent="0.25"/>
    <row r="118016" customFormat="1" x14ac:dyDescent="0.25"/>
    <row r="118017" customFormat="1" x14ac:dyDescent="0.25"/>
    <row r="118018" customFormat="1" x14ac:dyDescent="0.25"/>
    <row r="118019" customFormat="1" x14ac:dyDescent="0.25"/>
    <row r="118020" customFormat="1" x14ac:dyDescent="0.25"/>
    <row r="118021" customFormat="1" x14ac:dyDescent="0.25"/>
    <row r="118022" customFormat="1" x14ac:dyDescent="0.25"/>
    <row r="118023" customFormat="1" x14ac:dyDescent="0.25"/>
    <row r="118024" customFormat="1" x14ac:dyDescent="0.25"/>
    <row r="118025" customFormat="1" x14ac:dyDescent="0.25"/>
    <row r="118026" customFormat="1" x14ac:dyDescent="0.25"/>
    <row r="118027" customFormat="1" x14ac:dyDescent="0.25"/>
    <row r="118028" customFormat="1" x14ac:dyDescent="0.25"/>
    <row r="118029" customFormat="1" x14ac:dyDescent="0.25"/>
    <row r="118030" customFormat="1" x14ac:dyDescent="0.25"/>
    <row r="118031" customFormat="1" x14ac:dyDescent="0.25"/>
    <row r="118032" customFormat="1" x14ac:dyDescent="0.25"/>
    <row r="118033" customFormat="1" x14ac:dyDescent="0.25"/>
    <row r="118034" customFormat="1" x14ac:dyDescent="0.25"/>
    <row r="118035" customFormat="1" x14ac:dyDescent="0.25"/>
    <row r="118036" customFormat="1" x14ac:dyDescent="0.25"/>
    <row r="118037" customFormat="1" x14ac:dyDescent="0.25"/>
    <row r="118038" customFormat="1" x14ac:dyDescent="0.25"/>
    <row r="118039" customFormat="1" x14ac:dyDescent="0.25"/>
    <row r="118040" customFormat="1" x14ac:dyDescent="0.25"/>
    <row r="118041" customFormat="1" x14ac:dyDescent="0.25"/>
    <row r="118042" customFormat="1" x14ac:dyDescent="0.25"/>
    <row r="118043" customFormat="1" x14ac:dyDescent="0.25"/>
    <row r="118044" customFormat="1" x14ac:dyDescent="0.25"/>
    <row r="118045" customFormat="1" x14ac:dyDescent="0.25"/>
    <row r="118046" customFormat="1" x14ac:dyDescent="0.25"/>
    <row r="118047" customFormat="1" x14ac:dyDescent="0.25"/>
    <row r="118048" customFormat="1" x14ac:dyDescent="0.25"/>
    <row r="118049" customFormat="1" x14ac:dyDescent="0.25"/>
    <row r="118050" customFormat="1" x14ac:dyDescent="0.25"/>
    <row r="118051" customFormat="1" x14ac:dyDescent="0.25"/>
    <row r="118052" customFormat="1" x14ac:dyDescent="0.25"/>
    <row r="118053" customFormat="1" x14ac:dyDescent="0.25"/>
    <row r="118054" customFormat="1" x14ac:dyDescent="0.25"/>
    <row r="118055" customFormat="1" x14ac:dyDescent="0.25"/>
    <row r="118056" customFormat="1" x14ac:dyDescent="0.25"/>
    <row r="118057" customFormat="1" x14ac:dyDescent="0.25"/>
    <row r="118058" customFormat="1" x14ac:dyDescent="0.25"/>
    <row r="118059" customFormat="1" x14ac:dyDescent="0.25"/>
    <row r="118060" customFormat="1" x14ac:dyDescent="0.25"/>
    <row r="118061" customFormat="1" x14ac:dyDescent="0.25"/>
    <row r="118062" customFormat="1" x14ac:dyDescent="0.25"/>
    <row r="118063" customFormat="1" x14ac:dyDescent="0.25"/>
    <row r="118064" customFormat="1" x14ac:dyDescent="0.25"/>
    <row r="118065" customFormat="1" x14ac:dyDescent="0.25"/>
    <row r="118066" customFormat="1" x14ac:dyDescent="0.25"/>
    <row r="118067" customFormat="1" x14ac:dyDescent="0.25"/>
    <row r="118068" customFormat="1" x14ac:dyDescent="0.25"/>
    <row r="118069" customFormat="1" x14ac:dyDescent="0.25"/>
    <row r="118070" customFormat="1" x14ac:dyDescent="0.25"/>
    <row r="118071" customFormat="1" x14ac:dyDescent="0.25"/>
    <row r="118072" customFormat="1" x14ac:dyDescent="0.25"/>
    <row r="118073" customFormat="1" x14ac:dyDescent="0.25"/>
    <row r="118074" customFormat="1" x14ac:dyDescent="0.25"/>
    <row r="118075" customFormat="1" x14ac:dyDescent="0.25"/>
    <row r="118076" customFormat="1" x14ac:dyDescent="0.25"/>
    <row r="118077" customFormat="1" x14ac:dyDescent="0.25"/>
    <row r="118078" customFormat="1" x14ac:dyDescent="0.25"/>
    <row r="118079" customFormat="1" x14ac:dyDescent="0.25"/>
    <row r="118080" customFormat="1" x14ac:dyDescent="0.25"/>
    <row r="118081" customFormat="1" x14ac:dyDescent="0.25"/>
    <row r="118082" customFormat="1" x14ac:dyDescent="0.25"/>
    <row r="118083" customFormat="1" x14ac:dyDescent="0.25"/>
    <row r="118084" customFormat="1" x14ac:dyDescent="0.25"/>
    <row r="118085" customFormat="1" x14ac:dyDescent="0.25"/>
    <row r="118086" customFormat="1" x14ac:dyDescent="0.25"/>
    <row r="118087" customFormat="1" x14ac:dyDescent="0.25"/>
    <row r="118088" customFormat="1" x14ac:dyDescent="0.25"/>
    <row r="118089" customFormat="1" x14ac:dyDescent="0.25"/>
    <row r="118090" customFormat="1" x14ac:dyDescent="0.25"/>
    <row r="118091" customFormat="1" x14ac:dyDescent="0.25"/>
    <row r="118092" customFormat="1" x14ac:dyDescent="0.25"/>
    <row r="118093" customFormat="1" x14ac:dyDescent="0.25"/>
    <row r="118094" customFormat="1" x14ac:dyDescent="0.25"/>
    <row r="118095" customFormat="1" x14ac:dyDescent="0.25"/>
    <row r="118096" customFormat="1" x14ac:dyDescent="0.25"/>
    <row r="118097" customFormat="1" x14ac:dyDescent="0.25"/>
    <row r="118098" customFormat="1" x14ac:dyDescent="0.25"/>
    <row r="118099" customFormat="1" x14ac:dyDescent="0.25"/>
    <row r="118100" customFormat="1" x14ac:dyDescent="0.25"/>
    <row r="118101" customFormat="1" x14ac:dyDescent="0.25"/>
    <row r="118102" customFormat="1" x14ac:dyDescent="0.25"/>
    <row r="118103" customFormat="1" x14ac:dyDescent="0.25"/>
    <row r="118104" customFormat="1" x14ac:dyDescent="0.25"/>
    <row r="118105" customFormat="1" x14ac:dyDescent="0.25"/>
    <row r="118106" customFormat="1" x14ac:dyDescent="0.25"/>
    <row r="118107" customFormat="1" x14ac:dyDescent="0.25"/>
    <row r="118108" customFormat="1" x14ac:dyDescent="0.25"/>
    <row r="118109" customFormat="1" x14ac:dyDescent="0.25"/>
    <row r="118110" customFormat="1" x14ac:dyDescent="0.25"/>
    <row r="118111" customFormat="1" x14ac:dyDescent="0.25"/>
    <row r="118112" customFormat="1" x14ac:dyDescent="0.25"/>
    <row r="118113" customFormat="1" x14ac:dyDescent="0.25"/>
    <row r="118114" customFormat="1" x14ac:dyDescent="0.25"/>
    <row r="118115" customFormat="1" x14ac:dyDescent="0.25"/>
    <row r="118116" customFormat="1" x14ac:dyDescent="0.25"/>
    <row r="118117" customFormat="1" x14ac:dyDescent="0.25"/>
    <row r="118118" customFormat="1" x14ac:dyDescent="0.25"/>
    <row r="118119" customFormat="1" x14ac:dyDescent="0.25"/>
    <row r="118120" customFormat="1" x14ac:dyDescent="0.25"/>
    <row r="118121" customFormat="1" x14ac:dyDescent="0.25"/>
    <row r="118122" customFormat="1" x14ac:dyDescent="0.25"/>
    <row r="118123" customFormat="1" x14ac:dyDescent="0.25"/>
    <row r="118124" customFormat="1" x14ac:dyDescent="0.25"/>
    <row r="118125" customFormat="1" x14ac:dyDescent="0.25"/>
    <row r="118126" customFormat="1" x14ac:dyDescent="0.25"/>
    <row r="118127" customFormat="1" x14ac:dyDescent="0.25"/>
    <row r="118128" customFormat="1" x14ac:dyDescent="0.25"/>
    <row r="118129" customFormat="1" x14ac:dyDescent="0.25"/>
    <row r="118130" customFormat="1" x14ac:dyDescent="0.25"/>
    <row r="118131" customFormat="1" x14ac:dyDescent="0.25"/>
    <row r="118132" customFormat="1" x14ac:dyDescent="0.25"/>
    <row r="118133" customFormat="1" x14ac:dyDescent="0.25"/>
    <row r="118134" customFormat="1" x14ac:dyDescent="0.25"/>
    <row r="118135" customFormat="1" x14ac:dyDescent="0.25"/>
    <row r="118136" customFormat="1" x14ac:dyDescent="0.25"/>
    <row r="118137" customFormat="1" x14ac:dyDescent="0.25"/>
    <row r="118138" customFormat="1" x14ac:dyDescent="0.25"/>
    <row r="118139" customFormat="1" x14ac:dyDescent="0.25"/>
    <row r="118140" customFormat="1" x14ac:dyDescent="0.25"/>
    <row r="118141" customFormat="1" x14ac:dyDescent="0.25"/>
    <row r="118142" customFormat="1" x14ac:dyDescent="0.25"/>
    <row r="118143" customFormat="1" x14ac:dyDescent="0.25"/>
    <row r="118144" customFormat="1" x14ac:dyDescent="0.25"/>
    <row r="118145" customFormat="1" x14ac:dyDescent="0.25"/>
    <row r="118146" customFormat="1" x14ac:dyDescent="0.25"/>
    <row r="118147" customFormat="1" x14ac:dyDescent="0.25"/>
    <row r="118148" customFormat="1" x14ac:dyDescent="0.25"/>
    <row r="118149" customFormat="1" x14ac:dyDescent="0.25"/>
    <row r="118150" customFormat="1" x14ac:dyDescent="0.25"/>
    <row r="118151" customFormat="1" x14ac:dyDescent="0.25"/>
    <row r="118152" customFormat="1" x14ac:dyDescent="0.25"/>
    <row r="118153" customFormat="1" x14ac:dyDescent="0.25"/>
    <row r="118154" customFormat="1" x14ac:dyDescent="0.25"/>
    <row r="118155" customFormat="1" x14ac:dyDescent="0.25"/>
    <row r="118156" customFormat="1" x14ac:dyDescent="0.25"/>
    <row r="118157" customFormat="1" x14ac:dyDescent="0.25"/>
    <row r="118158" customFormat="1" x14ac:dyDescent="0.25"/>
    <row r="118159" customFormat="1" x14ac:dyDescent="0.25"/>
    <row r="118160" customFormat="1" x14ac:dyDescent="0.25"/>
    <row r="118161" customFormat="1" x14ac:dyDescent="0.25"/>
    <row r="118162" customFormat="1" x14ac:dyDescent="0.25"/>
    <row r="118163" customFormat="1" x14ac:dyDescent="0.25"/>
    <row r="118164" customFormat="1" x14ac:dyDescent="0.25"/>
    <row r="118165" customFormat="1" x14ac:dyDescent="0.25"/>
    <row r="118166" customFormat="1" x14ac:dyDescent="0.25"/>
    <row r="118167" customFormat="1" x14ac:dyDescent="0.25"/>
    <row r="118168" customFormat="1" x14ac:dyDescent="0.25"/>
    <row r="118169" customFormat="1" x14ac:dyDescent="0.25"/>
    <row r="118170" customFormat="1" x14ac:dyDescent="0.25"/>
    <row r="118171" customFormat="1" x14ac:dyDescent="0.25"/>
    <row r="118172" customFormat="1" x14ac:dyDescent="0.25"/>
    <row r="118173" customFormat="1" x14ac:dyDescent="0.25"/>
    <row r="118174" customFormat="1" x14ac:dyDescent="0.25"/>
    <row r="118175" customFormat="1" x14ac:dyDescent="0.25"/>
    <row r="118176" customFormat="1" x14ac:dyDescent="0.25"/>
    <row r="118177" customFormat="1" x14ac:dyDescent="0.25"/>
    <row r="118178" customFormat="1" x14ac:dyDescent="0.25"/>
    <row r="118179" customFormat="1" x14ac:dyDescent="0.25"/>
    <row r="118180" customFormat="1" x14ac:dyDescent="0.25"/>
    <row r="118181" customFormat="1" x14ac:dyDescent="0.25"/>
    <row r="118182" customFormat="1" x14ac:dyDescent="0.25"/>
    <row r="118183" customFormat="1" x14ac:dyDescent="0.25"/>
    <row r="118184" customFormat="1" x14ac:dyDescent="0.25"/>
    <row r="118185" customFormat="1" x14ac:dyDescent="0.25"/>
    <row r="118186" customFormat="1" x14ac:dyDescent="0.25"/>
    <row r="118187" customFormat="1" x14ac:dyDescent="0.25"/>
    <row r="118188" customFormat="1" x14ac:dyDescent="0.25"/>
    <row r="118189" customFormat="1" x14ac:dyDescent="0.25"/>
    <row r="118190" customFormat="1" x14ac:dyDescent="0.25"/>
    <row r="118191" customFormat="1" x14ac:dyDescent="0.25"/>
    <row r="118192" customFormat="1" x14ac:dyDescent="0.25"/>
    <row r="118193" customFormat="1" x14ac:dyDescent="0.25"/>
    <row r="118194" customFormat="1" x14ac:dyDescent="0.25"/>
    <row r="118195" customFormat="1" x14ac:dyDescent="0.25"/>
    <row r="118196" customFormat="1" x14ac:dyDescent="0.25"/>
    <row r="118197" customFormat="1" x14ac:dyDescent="0.25"/>
    <row r="118198" customFormat="1" x14ac:dyDescent="0.25"/>
    <row r="118199" customFormat="1" x14ac:dyDescent="0.25"/>
    <row r="118200" customFormat="1" x14ac:dyDescent="0.25"/>
    <row r="118201" customFormat="1" x14ac:dyDescent="0.25"/>
    <row r="118202" customFormat="1" x14ac:dyDescent="0.25"/>
    <row r="118203" customFormat="1" x14ac:dyDescent="0.25"/>
    <row r="118204" customFormat="1" x14ac:dyDescent="0.25"/>
    <row r="118205" customFormat="1" x14ac:dyDescent="0.25"/>
    <row r="118206" customFormat="1" x14ac:dyDescent="0.25"/>
    <row r="118207" customFormat="1" x14ac:dyDescent="0.25"/>
    <row r="118208" customFormat="1" x14ac:dyDescent="0.25"/>
    <row r="118209" customFormat="1" x14ac:dyDescent="0.25"/>
    <row r="118210" customFormat="1" x14ac:dyDescent="0.25"/>
    <row r="118211" customFormat="1" x14ac:dyDescent="0.25"/>
    <row r="118212" customFormat="1" x14ac:dyDescent="0.25"/>
    <row r="118213" customFormat="1" x14ac:dyDescent="0.25"/>
    <row r="118214" customFormat="1" x14ac:dyDescent="0.25"/>
    <row r="118215" customFormat="1" x14ac:dyDescent="0.25"/>
    <row r="118216" customFormat="1" x14ac:dyDescent="0.25"/>
    <row r="118217" customFormat="1" x14ac:dyDescent="0.25"/>
    <row r="118218" customFormat="1" x14ac:dyDescent="0.25"/>
    <row r="118219" customFormat="1" x14ac:dyDescent="0.25"/>
    <row r="118220" customFormat="1" x14ac:dyDescent="0.25"/>
    <row r="118221" customFormat="1" x14ac:dyDescent="0.25"/>
    <row r="118222" customFormat="1" x14ac:dyDescent="0.25"/>
    <row r="118223" customFormat="1" x14ac:dyDescent="0.25"/>
    <row r="118224" customFormat="1" x14ac:dyDescent="0.25"/>
    <row r="118225" customFormat="1" x14ac:dyDescent="0.25"/>
    <row r="118226" customFormat="1" x14ac:dyDescent="0.25"/>
    <row r="118227" customFormat="1" x14ac:dyDescent="0.25"/>
    <row r="118228" customFormat="1" x14ac:dyDescent="0.25"/>
    <row r="118229" customFormat="1" x14ac:dyDescent="0.25"/>
    <row r="118230" customFormat="1" x14ac:dyDescent="0.25"/>
    <row r="118231" customFormat="1" x14ac:dyDescent="0.25"/>
    <row r="118232" customFormat="1" x14ac:dyDescent="0.25"/>
    <row r="118233" customFormat="1" x14ac:dyDescent="0.25"/>
    <row r="118234" customFormat="1" x14ac:dyDescent="0.25"/>
    <row r="118235" customFormat="1" x14ac:dyDescent="0.25"/>
    <row r="118236" customFormat="1" x14ac:dyDescent="0.25"/>
    <row r="118237" customFormat="1" x14ac:dyDescent="0.25"/>
    <row r="118238" customFormat="1" x14ac:dyDescent="0.25"/>
    <row r="118239" customFormat="1" x14ac:dyDescent="0.25"/>
    <row r="118240" customFormat="1" x14ac:dyDescent="0.25"/>
    <row r="118241" customFormat="1" x14ac:dyDescent="0.25"/>
    <row r="118242" customFormat="1" x14ac:dyDescent="0.25"/>
    <row r="118243" customFormat="1" x14ac:dyDescent="0.25"/>
    <row r="118244" customFormat="1" x14ac:dyDescent="0.25"/>
    <row r="118245" customFormat="1" x14ac:dyDescent="0.25"/>
    <row r="118246" customFormat="1" x14ac:dyDescent="0.25"/>
    <row r="118247" customFormat="1" x14ac:dyDescent="0.25"/>
    <row r="118248" customFormat="1" x14ac:dyDescent="0.25"/>
    <row r="118249" customFormat="1" x14ac:dyDescent="0.25"/>
    <row r="118250" customFormat="1" x14ac:dyDescent="0.25"/>
    <row r="118251" customFormat="1" x14ac:dyDescent="0.25"/>
    <row r="118252" customFormat="1" x14ac:dyDescent="0.25"/>
    <row r="118253" customFormat="1" x14ac:dyDescent="0.25"/>
    <row r="118254" customFormat="1" x14ac:dyDescent="0.25"/>
    <row r="118255" customFormat="1" x14ac:dyDescent="0.25"/>
    <row r="118256" customFormat="1" x14ac:dyDescent="0.25"/>
    <row r="118257" customFormat="1" x14ac:dyDescent="0.25"/>
    <row r="118258" customFormat="1" x14ac:dyDescent="0.25"/>
    <row r="118259" customFormat="1" x14ac:dyDescent="0.25"/>
    <row r="118260" customFormat="1" x14ac:dyDescent="0.25"/>
    <row r="118261" customFormat="1" x14ac:dyDescent="0.25"/>
    <row r="118262" customFormat="1" x14ac:dyDescent="0.25"/>
    <row r="118263" customFormat="1" x14ac:dyDescent="0.25"/>
    <row r="118264" customFormat="1" x14ac:dyDescent="0.25"/>
    <row r="118265" customFormat="1" x14ac:dyDescent="0.25"/>
    <row r="118266" customFormat="1" x14ac:dyDescent="0.25"/>
    <row r="118267" customFormat="1" x14ac:dyDescent="0.25"/>
    <row r="118268" customFormat="1" x14ac:dyDescent="0.25"/>
    <row r="118269" customFormat="1" x14ac:dyDescent="0.25"/>
    <row r="118270" customFormat="1" x14ac:dyDescent="0.25"/>
    <row r="118271" customFormat="1" x14ac:dyDescent="0.25"/>
    <row r="118272" customFormat="1" x14ac:dyDescent="0.25"/>
    <row r="118273" customFormat="1" x14ac:dyDescent="0.25"/>
    <row r="118274" customFormat="1" x14ac:dyDescent="0.25"/>
    <row r="118275" customFormat="1" x14ac:dyDescent="0.25"/>
    <row r="118276" customFormat="1" x14ac:dyDescent="0.25"/>
    <row r="118277" customFormat="1" x14ac:dyDescent="0.25"/>
    <row r="118278" customFormat="1" x14ac:dyDescent="0.25"/>
    <row r="118279" customFormat="1" x14ac:dyDescent="0.25"/>
    <row r="118280" customFormat="1" x14ac:dyDescent="0.25"/>
    <row r="118281" customFormat="1" x14ac:dyDescent="0.25"/>
    <row r="118282" customFormat="1" x14ac:dyDescent="0.25"/>
    <row r="118283" customFormat="1" x14ac:dyDescent="0.25"/>
    <row r="118284" customFormat="1" x14ac:dyDescent="0.25"/>
    <row r="118285" customFormat="1" x14ac:dyDescent="0.25"/>
    <row r="118286" customFormat="1" x14ac:dyDescent="0.25"/>
    <row r="118287" customFormat="1" x14ac:dyDescent="0.25"/>
    <row r="118288" customFormat="1" x14ac:dyDescent="0.25"/>
    <row r="118289" customFormat="1" x14ac:dyDescent="0.25"/>
    <row r="118290" customFormat="1" x14ac:dyDescent="0.25"/>
    <row r="118291" customFormat="1" x14ac:dyDescent="0.25"/>
    <row r="118292" customFormat="1" x14ac:dyDescent="0.25"/>
    <row r="118293" customFormat="1" x14ac:dyDescent="0.25"/>
    <row r="118294" customFormat="1" x14ac:dyDescent="0.25"/>
    <row r="118295" customFormat="1" x14ac:dyDescent="0.25"/>
    <row r="118296" customFormat="1" x14ac:dyDescent="0.25"/>
    <row r="118297" customFormat="1" x14ac:dyDescent="0.25"/>
    <row r="118298" customFormat="1" x14ac:dyDescent="0.25"/>
    <row r="118299" customFormat="1" x14ac:dyDescent="0.25"/>
    <row r="118300" customFormat="1" x14ac:dyDescent="0.25"/>
    <row r="118301" customFormat="1" x14ac:dyDescent="0.25"/>
    <row r="118302" customFormat="1" x14ac:dyDescent="0.25"/>
    <row r="118303" customFormat="1" x14ac:dyDescent="0.25"/>
    <row r="118304" customFormat="1" x14ac:dyDescent="0.25"/>
    <row r="118305" customFormat="1" x14ac:dyDescent="0.25"/>
    <row r="118306" customFormat="1" x14ac:dyDescent="0.25"/>
    <row r="118307" customFormat="1" x14ac:dyDescent="0.25"/>
    <row r="118308" customFormat="1" x14ac:dyDescent="0.25"/>
    <row r="118309" customFormat="1" x14ac:dyDescent="0.25"/>
    <row r="118310" customFormat="1" x14ac:dyDescent="0.25"/>
    <row r="118311" customFormat="1" x14ac:dyDescent="0.25"/>
    <row r="118312" customFormat="1" x14ac:dyDescent="0.25"/>
    <row r="118313" customFormat="1" x14ac:dyDescent="0.25"/>
    <row r="118314" customFormat="1" x14ac:dyDescent="0.25"/>
    <row r="118315" customFormat="1" x14ac:dyDescent="0.25"/>
    <row r="118316" customFormat="1" x14ac:dyDescent="0.25"/>
    <row r="118317" customFormat="1" x14ac:dyDescent="0.25"/>
    <row r="118318" customFormat="1" x14ac:dyDescent="0.25"/>
    <row r="118319" customFormat="1" x14ac:dyDescent="0.25"/>
    <row r="118320" customFormat="1" x14ac:dyDescent="0.25"/>
    <row r="118321" customFormat="1" x14ac:dyDescent="0.25"/>
    <row r="118322" customFormat="1" x14ac:dyDescent="0.25"/>
    <row r="118323" customFormat="1" x14ac:dyDescent="0.25"/>
    <row r="118324" customFormat="1" x14ac:dyDescent="0.25"/>
    <row r="118325" customFormat="1" x14ac:dyDescent="0.25"/>
    <row r="118326" customFormat="1" x14ac:dyDescent="0.25"/>
    <row r="118327" customFormat="1" x14ac:dyDescent="0.25"/>
    <row r="118328" customFormat="1" x14ac:dyDescent="0.25"/>
    <row r="118329" customFormat="1" x14ac:dyDescent="0.25"/>
    <row r="118330" customFormat="1" x14ac:dyDescent="0.25"/>
    <row r="118331" customFormat="1" x14ac:dyDescent="0.25"/>
    <row r="118332" customFormat="1" x14ac:dyDescent="0.25"/>
    <row r="118333" customFormat="1" x14ac:dyDescent="0.25"/>
    <row r="118334" customFormat="1" x14ac:dyDescent="0.25"/>
    <row r="118335" customFormat="1" x14ac:dyDescent="0.25"/>
    <row r="118336" customFormat="1" x14ac:dyDescent="0.25"/>
    <row r="118337" customFormat="1" x14ac:dyDescent="0.25"/>
    <row r="118338" customFormat="1" x14ac:dyDescent="0.25"/>
    <row r="118339" customFormat="1" x14ac:dyDescent="0.25"/>
    <row r="118340" customFormat="1" x14ac:dyDescent="0.25"/>
    <row r="118341" customFormat="1" x14ac:dyDescent="0.25"/>
    <row r="118342" customFormat="1" x14ac:dyDescent="0.25"/>
    <row r="118343" customFormat="1" x14ac:dyDescent="0.25"/>
    <row r="118344" customFormat="1" x14ac:dyDescent="0.25"/>
    <row r="118345" customFormat="1" x14ac:dyDescent="0.25"/>
    <row r="118346" customFormat="1" x14ac:dyDescent="0.25"/>
    <row r="118347" customFormat="1" x14ac:dyDescent="0.25"/>
    <row r="118348" customFormat="1" x14ac:dyDescent="0.25"/>
    <row r="118349" customFormat="1" x14ac:dyDescent="0.25"/>
    <row r="118350" customFormat="1" x14ac:dyDescent="0.25"/>
    <row r="118351" customFormat="1" x14ac:dyDescent="0.25"/>
    <row r="118352" customFormat="1" x14ac:dyDescent="0.25"/>
    <row r="118353" customFormat="1" x14ac:dyDescent="0.25"/>
    <row r="118354" customFormat="1" x14ac:dyDescent="0.25"/>
    <row r="118355" customFormat="1" x14ac:dyDescent="0.25"/>
    <row r="118356" customFormat="1" x14ac:dyDescent="0.25"/>
    <row r="118357" customFormat="1" x14ac:dyDescent="0.25"/>
    <row r="118358" customFormat="1" x14ac:dyDescent="0.25"/>
    <row r="118359" customFormat="1" x14ac:dyDescent="0.25"/>
    <row r="118360" customFormat="1" x14ac:dyDescent="0.25"/>
    <row r="118361" customFormat="1" x14ac:dyDescent="0.25"/>
    <row r="118362" customFormat="1" x14ac:dyDescent="0.25"/>
    <row r="118363" customFormat="1" x14ac:dyDescent="0.25"/>
    <row r="118364" customFormat="1" x14ac:dyDescent="0.25"/>
    <row r="118365" customFormat="1" x14ac:dyDescent="0.25"/>
    <row r="118366" customFormat="1" x14ac:dyDescent="0.25"/>
    <row r="118367" customFormat="1" x14ac:dyDescent="0.25"/>
    <row r="118368" customFormat="1" x14ac:dyDescent="0.25"/>
    <row r="118369" customFormat="1" x14ac:dyDescent="0.25"/>
    <row r="118370" customFormat="1" x14ac:dyDescent="0.25"/>
    <row r="118371" customFormat="1" x14ac:dyDescent="0.25"/>
    <row r="118372" customFormat="1" x14ac:dyDescent="0.25"/>
    <row r="118373" customFormat="1" x14ac:dyDescent="0.25"/>
    <row r="118374" customFormat="1" x14ac:dyDescent="0.25"/>
    <row r="118375" customFormat="1" x14ac:dyDescent="0.25"/>
    <row r="118376" customFormat="1" x14ac:dyDescent="0.25"/>
    <row r="118377" customFormat="1" x14ac:dyDescent="0.25"/>
    <row r="118378" customFormat="1" x14ac:dyDescent="0.25"/>
    <row r="118379" customFormat="1" x14ac:dyDescent="0.25"/>
    <row r="118380" customFormat="1" x14ac:dyDescent="0.25"/>
    <row r="118381" customFormat="1" x14ac:dyDescent="0.25"/>
    <row r="118382" customFormat="1" x14ac:dyDescent="0.25"/>
    <row r="118383" customFormat="1" x14ac:dyDescent="0.25"/>
    <row r="118384" customFormat="1" x14ac:dyDescent="0.25"/>
    <row r="118385" customFormat="1" x14ac:dyDescent="0.25"/>
    <row r="118386" customFormat="1" x14ac:dyDescent="0.25"/>
    <row r="118387" customFormat="1" x14ac:dyDescent="0.25"/>
    <row r="118388" customFormat="1" x14ac:dyDescent="0.25"/>
    <row r="118389" customFormat="1" x14ac:dyDescent="0.25"/>
    <row r="118390" customFormat="1" x14ac:dyDescent="0.25"/>
    <row r="118391" customFormat="1" x14ac:dyDescent="0.25"/>
    <row r="118392" customFormat="1" x14ac:dyDescent="0.25"/>
    <row r="118393" customFormat="1" x14ac:dyDescent="0.25"/>
    <row r="118394" customFormat="1" x14ac:dyDescent="0.25"/>
    <row r="118395" customFormat="1" x14ac:dyDescent="0.25"/>
    <row r="118396" customFormat="1" x14ac:dyDescent="0.25"/>
    <row r="118397" customFormat="1" x14ac:dyDescent="0.25"/>
    <row r="118398" customFormat="1" x14ac:dyDescent="0.25"/>
    <row r="118399" customFormat="1" x14ac:dyDescent="0.25"/>
    <row r="118400" customFormat="1" x14ac:dyDescent="0.25"/>
    <row r="118401" customFormat="1" x14ac:dyDescent="0.25"/>
    <row r="118402" customFormat="1" x14ac:dyDescent="0.25"/>
    <row r="118403" customFormat="1" x14ac:dyDescent="0.25"/>
    <row r="118404" customFormat="1" x14ac:dyDescent="0.25"/>
    <row r="118405" customFormat="1" x14ac:dyDescent="0.25"/>
    <row r="118406" customFormat="1" x14ac:dyDescent="0.25"/>
    <row r="118407" customFormat="1" x14ac:dyDescent="0.25"/>
    <row r="118408" customFormat="1" x14ac:dyDescent="0.25"/>
    <row r="118409" customFormat="1" x14ac:dyDescent="0.25"/>
    <row r="118410" customFormat="1" x14ac:dyDescent="0.25"/>
    <row r="118411" customFormat="1" x14ac:dyDescent="0.25"/>
    <row r="118412" customFormat="1" x14ac:dyDescent="0.25"/>
    <row r="118413" customFormat="1" x14ac:dyDescent="0.25"/>
    <row r="118414" customFormat="1" x14ac:dyDescent="0.25"/>
    <row r="118415" customFormat="1" x14ac:dyDescent="0.25"/>
    <row r="118416" customFormat="1" x14ac:dyDescent="0.25"/>
    <row r="118417" customFormat="1" x14ac:dyDescent="0.25"/>
    <row r="118418" customFormat="1" x14ac:dyDescent="0.25"/>
    <row r="118419" customFormat="1" x14ac:dyDescent="0.25"/>
    <row r="118420" customFormat="1" x14ac:dyDescent="0.25"/>
    <row r="118421" customFormat="1" x14ac:dyDescent="0.25"/>
    <row r="118422" customFormat="1" x14ac:dyDescent="0.25"/>
    <row r="118423" customFormat="1" x14ac:dyDescent="0.25"/>
    <row r="118424" customFormat="1" x14ac:dyDescent="0.25"/>
    <row r="118425" customFormat="1" x14ac:dyDescent="0.25"/>
    <row r="118426" customFormat="1" x14ac:dyDescent="0.25"/>
    <row r="118427" customFormat="1" x14ac:dyDescent="0.25"/>
    <row r="118428" customFormat="1" x14ac:dyDescent="0.25"/>
    <row r="118429" customFormat="1" x14ac:dyDescent="0.25"/>
    <row r="118430" customFormat="1" x14ac:dyDescent="0.25"/>
    <row r="118431" customFormat="1" x14ac:dyDescent="0.25"/>
    <row r="118432" customFormat="1" x14ac:dyDescent="0.25"/>
    <row r="118433" customFormat="1" x14ac:dyDescent="0.25"/>
    <row r="118434" customFormat="1" x14ac:dyDescent="0.25"/>
    <row r="118435" customFormat="1" x14ac:dyDescent="0.25"/>
    <row r="118436" customFormat="1" x14ac:dyDescent="0.25"/>
    <row r="118437" customFormat="1" x14ac:dyDescent="0.25"/>
    <row r="118438" customFormat="1" x14ac:dyDescent="0.25"/>
    <row r="118439" customFormat="1" x14ac:dyDescent="0.25"/>
    <row r="118440" customFormat="1" x14ac:dyDescent="0.25"/>
    <row r="118441" customFormat="1" x14ac:dyDescent="0.25"/>
    <row r="118442" customFormat="1" x14ac:dyDescent="0.25"/>
    <row r="118443" customFormat="1" x14ac:dyDescent="0.25"/>
    <row r="118444" customFormat="1" x14ac:dyDescent="0.25"/>
    <row r="118445" customFormat="1" x14ac:dyDescent="0.25"/>
    <row r="118446" customFormat="1" x14ac:dyDescent="0.25"/>
    <row r="118447" customFormat="1" x14ac:dyDescent="0.25"/>
    <row r="118448" customFormat="1" x14ac:dyDescent="0.25"/>
    <row r="118449" customFormat="1" x14ac:dyDescent="0.25"/>
    <row r="118450" customFormat="1" x14ac:dyDescent="0.25"/>
    <row r="118451" customFormat="1" x14ac:dyDescent="0.25"/>
    <row r="118452" customFormat="1" x14ac:dyDescent="0.25"/>
    <row r="118453" customFormat="1" x14ac:dyDescent="0.25"/>
    <row r="118454" customFormat="1" x14ac:dyDescent="0.25"/>
    <row r="118455" customFormat="1" x14ac:dyDescent="0.25"/>
    <row r="118456" customFormat="1" x14ac:dyDescent="0.25"/>
    <row r="118457" customFormat="1" x14ac:dyDescent="0.25"/>
    <row r="118458" customFormat="1" x14ac:dyDescent="0.25"/>
    <row r="118459" customFormat="1" x14ac:dyDescent="0.25"/>
    <row r="118460" customFormat="1" x14ac:dyDescent="0.25"/>
    <row r="118461" customFormat="1" x14ac:dyDescent="0.25"/>
    <row r="118462" customFormat="1" x14ac:dyDescent="0.25"/>
    <row r="118463" customFormat="1" x14ac:dyDescent="0.25"/>
    <row r="118464" customFormat="1" x14ac:dyDescent="0.25"/>
    <row r="118465" customFormat="1" x14ac:dyDescent="0.25"/>
    <row r="118466" customFormat="1" x14ac:dyDescent="0.25"/>
    <row r="118467" customFormat="1" x14ac:dyDescent="0.25"/>
    <row r="118468" customFormat="1" x14ac:dyDescent="0.25"/>
    <row r="118469" customFormat="1" x14ac:dyDescent="0.25"/>
    <row r="118470" customFormat="1" x14ac:dyDescent="0.25"/>
    <row r="118471" customFormat="1" x14ac:dyDescent="0.25"/>
    <row r="118472" customFormat="1" x14ac:dyDescent="0.25"/>
    <row r="118473" customFormat="1" x14ac:dyDescent="0.25"/>
    <row r="118474" customFormat="1" x14ac:dyDescent="0.25"/>
    <row r="118475" customFormat="1" x14ac:dyDescent="0.25"/>
    <row r="118476" customFormat="1" x14ac:dyDescent="0.25"/>
    <row r="118477" customFormat="1" x14ac:dyDescent="0.25"/>
    <row r="118478" customFormat="1" x14ac:dyDescent="0.25"/>
    <row r="118479" customFormat="1" x14ac:dyDescent="0.25"/>
    <row r="118480" customFormat="1" x14ac:dyDescent="0.25"/>
    <row r="118481" customFormat="1" x14ac:dyDescent="0.25"/>
    <row r="118482" customFormat="1" x14ac:dyDescent="0.25"/>
    <row r="118483" customFormat="1" x14ac:dyDescent="0.25"/>
    <row r="118484" customFormat="1" x14ac:dyDescent="0.25"/>
    <row r="118485" customFormat="1" x14ac:dyDescent="0.25"/>
    <row r="118486" customFormat="1" x14ac:dyDescent="0.25"/>
    <row r="118487" customFormat="1" x14ac:dyDescent="0.25"/>
    <row r="118488" customFormat="1" x14ac:dyDescent="0.25"/>
    <row r="118489" customFormat="1" x14ac:dyDescent="0.25"/>
    <row r="118490" customFormat="1" x14ac:dyDescent="0.25"/>
    <row r="118491" customFormat="1" x14ac:dyDescent="0.25"/>
    <row r="118492" customFormat="1" x14ac:dyDescent="0.25"/>
    <row r="118493" customFormat="1" x14ac:dyDescent="0.25"/>
    <row r="118494" customFormat="1" x14ac:dyDescent="0.25"/>
    <row r="118495" customFormat="1" x14ac:dyDescent="0.25"/>
    <row r="118496" customFormat="1" x14ac:dyDescent="0.25"/>
    <row r="118497" customFormat="1" x14ac:dyDescent="0.25"/>
    <row r="118498" customFormat="1" x14ac:dyDescent="0.25"/>
    <row r="118499" customFormat="1" x14ac:dyDescent="0.25"/>
    <row r="118500" customFormat="1" x14ac:dyDescent="0.25"/>
    <row r="118501" customFormat="1" x14ac:dyDescent="0.25"/>
    <row r="118502" customFormat="1" x14ac:dyDescent="0.25"/>
    <row r="118503" customFormat="1" x14ac:dyDescent="0.25"/>
    <row r="118504" customFormat="1" x14ac:dyDescent="0.25"/>
    <row r="118505" customFormat="1" x14ac:dyDescent="0.25"/>
    <row r="118506" customFormat="1" x14ac:dyDescent="0.25"/>
    <row r="118507" customFormat="1" x14ac:dyDescent="0.25"/>
    <row r="118508" customFormat="1" x14ac:dyDescent="0.25"/>
    <row r="118509" customFormat="1" x14ac:dyDescent="0.25"/>
    <row r="118510" customFormat="1" x14ac:dyDescent="0.25"/>
    <row r="118511" customFormat="1" x14ac:dyDescent="0.25"/>
    <row r="118512" customFormat="1" x14ac:dyDescent="0.25"/>
    <row r="118513" customFormat="1" x14ac:dyDescent="0.25"/>
    <row r="118514" customFormat="1" x14ac:dyDescent="0.25"/>
    <row r="118515" customFormat="1" x14ac:dyDescent="0.25"/>
    <row r="118516" customFormat="1" x14ac:dyDescent="0.25"/>
    <row r="118517" customFormat="1" x14ac:dyDescent="0.25"/>
    <row r="118518" customFormat="1" x14ac:dyDescent="0.25"/>
    <row r="118519" customFormat="1" x14ac:dyDescent="0.25"/>
    <row r="118520" customFormat="1" x14ac:dyDescent="0.25"/>
    <row r="118521" customFormat="1" x14ac:dyDescent="0.25"/>
    <row r="118522" customFormat="1" x14ac:dyDescent="0.25"/>
    <row r="118523" customFormat="1" x14ac:dyDescent="0.25"/>
    <row r="118524" customFormat="1" x14ac:dyDescent="0.25"/>
    <row r="118525" customFormat="1" x14ac:dyDescent="0.25"/>
    <row r="118526" customFormat="1" x14ac:dyDescent="0.25"/>
    <row r="118527" customFormat="1" x14ac:dyDescent="0.25"/>
    <row r="118528" customFormat="1" x14ac:dyDescent="0.25"/>
    <row r="118529" customFormat="1" x14ac:dyDescent="0.25"/>
    <row r="118530" customFormat="1" x14ac:dyDescent="0.25"/>
    <row r="118531" customFormat="1" x14ac:dyDescent="0.25"/>
    <row r="118532" customFormat="1" x14ac:dyDescent="0.25"/>
    <row r="118533" customFormat="1" x14ac:dyDescent="0.25"/>
    <row r="118534" customFormat="1" x14ac:dyDescent="0.25"/>
    <row r="118535" customFormat="1" x14ac:dyDescent="0.25"/>
    <row r="118536" customFormat="1" x14ac:dyDescent="0.25"/>
    <row r="118537" customFormat="1" x14ac:dyDescent="0.25"/>
    <row r="118538" customFormat="1" x14ac:dyDescent="0.25"/>
    <row r="118539" customFormat="1" x14ac:dyDescent="0.25"/>
    <row r="118540" customFormat="1" x14ac:dyDescent="0.25"/>
    <row r="118541" customFormat="1" x14ac:dyDescent="0.25"/>
    <row r="118542" customFormat="1" x14ac:dyDescent="0.25"/>
    <row r="118543" customFormat="1" x14ac:dyDescent="0.25"/>
    <row r="118544" customFormat="1" x14ac:dyDescent="0.25"/>
    <row r="118545" customFormat="1" x14ac:dyDescent="0.25"/>
    <row r="118546" customFormat="1" x14ac:dyDescent="0.25"/>
    <row r="118547" customFormat="1" x14ac:dyDescent="0.25"/>
    <row r="118548" customFormat="1" x14ac:dyDescent="0.25"/>
    <row r="118549" customFormat="1" x14ac:dyDescent="0.25"/>
    <row r="118550" customFormat="1" x14ac:dyDescent="0.25"/>
    <row r="118551" customFormat="1" x14ac:dyDescent="0.25"/>
    <row r="118552" customFormat="1" x14ac:dyDescent="0.25"/>
    <row r="118553" customFormat="1" x14ac:dyDescent="0.25"/>
    <row r="118554" customFormat="1" x14ac:dyDescent="0.25"/>
    <row r="118555" customFormat="1" x14ac:dyDescent="0.25"/>
    <row r="118556" customFormat="1" x14ac:dyDescent="0.25"/>
    <row r="118557" customFormat="1" x14ac:dyDescent="0.25"/>
    <row r="118558" customFormat="1" x14ac:dyDescent="0.25"/>
    <row r="118559" customFormat="1" x14ac:dyDescent="0.25"/>
    <row r="118560" customFormat="1" x14ac:dyDescent="0.25"/>
    <row r="118561" customFormat="1" x14ac:dyDescent="0.25"/>
    <row r="118562" customFormat="1" x14ac:dyDescent="0.25"/>
    <row r="118563" customFormat="1" x14ac:dyDescent="0.25"/>
    <row r="118564" customFormat="1" x14ac:dyDescent="0.25"/>
    <row r="118565" customFormat="1" x14ac:dyDescent="0.25"/>
    <row r="118566" customFormat="1" x14ac:dyDescent="0.25"/>
    <row r="118567" customFormat="1" x14ac:dyDescent="0.25"/>
    <row r="118568" customFormat="1" x14ac:dyDescent="0.25"/>
    <row r="118569" customFormat="1" x14ac:dyDescent="0.25"/>
    <row r="118570" customFormat="1" x14ac:dyDescent="0.25"/>
    <row r="118571" customFormat="1" x14ac:dyDescent="0.25"/>
    <row r="118572" customFormat="1" x14ac:dyDescent="0.25"/>
    <row r="118573" customFormat="1" x14ac:dyDescent="0.25"/>
    <row r="118574" customFormat="1" x14ac:dyDescent="0.25"/>
    <row r="118575" customFormat="1" x14ac:dyDescent="0.25"/>
    <row r="118576" customFormat="1" x14ac:dyDescent="0.25"/>
    <row r="118577" customFormat="1" x14ac:dyDescent="0.25"/>
    <row r="118578" customFormat="1" x14ac:dyDescent="0.25"/>
    <row r="118579" customFormat="1" x14ac:dyDescent="0.25"/>
    <row r="118580" customFormat="1" x14ac:dyDescent="0.25"/>
    <row r="118581" customFormat="1" x14ac:dyDescent="0.25"/>
    <row r="118582" customFormat="1" x14ac:dyDescent="0.25"/>
    <row r="118583" customFormat="1" x14ac:dyDescent="0.25"/>
    <row r="118584" customFormat="1" x14ac:dyDescent="0.25"/>
    <row r="118585" customFormat="1" x14ac:dyDescent="0.25"/>
    <row r="118586" customFormat="1" x14ac:dyDescent="0.25"/>
    <row r="118587" customFormat="1" x14ac:dyDescent="0.25"/>
    <row r="118588" customFormat="1" x14ac:dyDescent="0.25"/>
    <row r="118589" customFormat="1" x14ac:dyDescent="0.25"/>
    <row r="118590" customFormat="1" x14ac:dyDescent="0.25"/>
    <row r="118591" customFormat="1" x14ac:dyDescent="0.25"/>
    <row r="118592" customFormat="1" x14ac:dyDescent="0.25"/>
    <row r="118593" customFormat="1" x14ac:dyDescent="0.25"/>
    <row r="118594" customFormat="1" x14ac:dyDescent="0.25"/>
    <row r="118595" customFormat="1" x14ac:dyDescent="0.25"/>
    <row r="118596" customFormat="1" x14ac:dyDescent="0.25"/>
    <row r="118597" customFormat="1" x14ac:dyDescent="0.25"/>
    <row r="118598" customFormat="1" x14ac:dyDescent="0.25"/>
    <row r="118599" customFormat="1" x14ac:dyDescent="0.25"/>
    <row r="118600" customFormat="1" x14ac:dyDescent="0.25"/>
    <row r="118601" customFormat="1" x14ac:dyDescent="0.25"/>
    <row r="118602" customFormat="1" x14ac:dyDescent="0.25"/>
    <row r="118603" customFormat="1" x14ac:dyDescent="0.25"/>
    <row r="118604" customFormat="1" x14ac:dyDescent="0.25"/>
    <row r="118605" customFormat="1" x14ac:dyDescent="0.25"/>
    <row r="118606" customFormat="1" x14ac:dyDescent="0.25"/>
    <row r="118607" customFormat="1" x14ac:dyDescent="0.25"/>
    <row r="118608" customFormat="1" x14ac:dyDescent="0.25"/>
    <row r="118609" customFormat="1" x14ac:dyDescent="0.25"/>
    <row r="118610" customFormat="1" x14ac:dyDescent="0.25"/>
    <row r="118611" customFormat="1" x14ac:dyDescent="0.25"/>
    <row r="118612" customFormat="1" x14ac:dyDescent="0.25"/>
    <row r="118613" customFormat="1" x14ac:dyDescent="0.25"/>
    <row r="118614" customFormat="1" x14ac:dyDescent="0.25"/>
    <row r="118615" customFormat="1" x14ac:dyDescent="0.25"/>
    <row r="118616" customFormat="1" x14ac:dyDescent="0.25"/>
    <row r="118617" customFormat="1" x14ac:dyDescent="0.25"/>
    <row r="118618" customFormat="1" x14ac:dyDescent="0.25"/>
    <row r="118619" customFormat="1" x14ac:dyDescent="0.25"/>
    <row r="118620" customFormat="1" x14ac:dyDescent="0.25"/>
    <row r="118621" customFormat="1" x14ac:dyDescent="0.25"/>
    <row r="118622" customFormat="1" x14ac:dyDescent="0.25"/>
    <row r="118623" customFormat="1" x14ac:dyDescent="0.25"/>
    <row r="118624" customFormat="1" x14ac:dyDescent="0.25"/>
    <row r="118625" customFormat="1" x14ac:dyDescent="0.25"/>
    <row r="118626" customFormat="1" x14ac:dyDescent="0.25"/>
    <row r="118627" customFormat="1" x14ac:dyDescent="0.25"/>
    <row r="118628" customFormat="1" x14ac:dyDescent="0.25"/>
    <row r="118629" customFormat="1" x14ac:dyDescent="0.25"/>
    <row r="118630" customFormat="1" x14ac:dyDescent="0.25"/>
    <row r="118631" customFormat="1" x14ac:dyDescent="0.25"/>
    <row r="118632" customFormat="1" x14ac:dyDescent="0.25"/>
    <row r="118633" customFormat="1" x14ac:dyDescent="0.25"/>
    <row r="118634" customFormat="1" x14ac:dyDescent="0.25"/>
    <row r="118635" customFormat="1" x14ac:dyDescent="0.25"/>
    <row r="118636" customFormat="1" x14ac:dyDescent="0.25"/>
    <row r="118637" customFormat="1" x14ac:dyDescent="0.25"/>
    <row r="118638" customFormat="1" x14ac:dyDescent="0.25"/>
    <row r="118639" customFormat="1" x14ac:dyDescent="0.25"/>
    <row r="118640" customFormat="1" x14ac:dyDescent="0.25"/>
    <row r="118641" customFormat="1" x14ac:dyDescent="0.25"/>
    <row r="118642" customFormat="1" x14ac:dyDescent="0.25"/>
    <row r="118643" customFormat="1" x14ac:dyDescent="0.25"/>
    <row r="118644" customFormat="1" x14ac:dyDescent="0.25"/>
    <row r="118645" customFormat="1" x14ac:dyDescent="0.25"/>
    <row r="118646" customFormat="1" x14ac:dyDescent="0.25"/>
    <row r="118647" customFormat="1" x14ac:dyDescent="0.25"/>
    <row r="118648" customFormat="1" x14ac:dyDescent="0.25"/>
    <row r="118649" customFormat="1" x14ac:dyDescent="0.25"/>
    <row r="118650" customFormat="1" x14ac:dyDescent="0.25"/>
    <row r="118651" customFormat="1" x14ac:dyDescent="0.25"/>
    <row r="118652" customFormat="1" x14ac:dyDescent="0.25"/>
    <row r="118653" customFormat="1" x14ac:dyDescent="0.25"/>
    <row r="118654" customFormat="1" x14ac:dyDescent="0.25"/>
    <row r="118655" customFormat="1" x14ac:dyDescent="0.25"/>
    <row r="118656" customFormat="1" x14ac:dyDescent="0.25"/>
    <row r="118657" customFormat="1" x14ac:dyDescent="0.25"/>
    <row r="118658" customFormat="1" x14ac:dyDescent="0.25"/>
    <row r="118659" customFormat="1" x14ac:dyDescent="0.25"/>
    <row r="118660" customFormat="1" x14ac:dyDescent="0.25"/>
    <row r="118661" customFormat="1" x14ac:dyDescent="0.25"/>
    <row r="118662" customFormat="1" x14ac:dyDescent="0.25"/>
    <row r="118663" customFormat="1" x14ac:dyDescent="0.25"/>
    <row r="118664" customFormat="1" x14ac:dyDescent="0.25"/>
    <row r="118665" customFormat="1" x14ac:dyDescent="0.25"/>
    <row r="118666" customFormat="1" x14ac:dyDescent="0.25"/>
    <row r="118667" customFormat="1" x14ac:dyDescent="0.25"/>
    <row r="118668" customFormat="1" x14ac:dyDescent="0.25"/>
    <row r="118669" customFormat="1" x14ac:dyDescent="0.25"/>
    <row r="118670" customFormat="1" x14ac:dyDescent="0.25"/>
    <row r="118671" customFormat="1" x14ac:dyDescent="0.25"/>
    <row r="118672" customFormat="1" x14ac:dyDescent="0.25"/>
    <row r="118673" customFormat="1" x14ac:dyDescent="0.25"/>
    <row r="118674" customFormat="1" x14ac:dyDescent="0.25"/>
    <row r="118675" customFormat="1" x14ac:dyDescent="0.25"/>
    <row r="118676" customFormat="1" x14ac:dyDescent="0.25"/>
    <row r="118677" customFormat="1" x14ac:dyDescent="0.25"/>
    <row r="118678" customFormat="1" x14ac:dyDescent="0.25"/>
    <row r="118679" customFormat="1" x14ac:dyDescent="0.25"/>
    <row r="118680" customFormat="1" x14ac:dyDescent="0.25"/>
    <row r="118681" customFormat="1" x14ac:dyDescent="0.25"/>
    <row r="118682" customFormat="1" x14ac:dyDescent="0.25"/>
    <row r="118683" customFormat="1" x14ac:dyDescent="0.25"/>
    <row r="118684" customFormat="1" x14ac:dyDescent="0.25"/>
    <row r="118685" customFormat="1" x14ac:dyDescent="0.25"/>
    <row r="118686" customFormat="1" x14ac:dyDescent="0.25"/>
    <row r="118687" customFormat="1" x14ac:dyDescent="0.25"/>
    <row r="118688" customFormat="1" x14ac:dyDescent="0.25"/>
    <row r="118689" customFormat="1" x14ac:dyDescent="0.25"/>
    <row r="118690" customFormat="1" x14ac:dyDescent="0.25"/>
    <row r="118691" customFormat="1" x14ac:dyDescent="0.25"/>
    <row r="118692" customFormat="1" x14ac:dyDescent="0.25"/>
    <row r="118693" customFormat="1" x14ac:dyDescent="0.25"/>
    <row r="118694" customFormat="1" x14ac:dyDescent="0.25"/>
    <row r="118695" customFormat="1" x14ac:dyDescent="0.25"/>
    <row r="118696" customFormat="1" x14ac:dyDescent="0.25"/>
    <row r="118697" customFormat="1" x14ac:dyDescent="0.25"/>
    <row r="118698" customFormat="1" x14ac:dyDescent="0.25"/>
    <row r="118699" customFormat="1" x14ac:dyDescent="0.25"/>
    <row r="118700" customFormat="1" x14ac:dyDescent="0.25"/>
    <row r="118701" customFormat="1" x14ac:dyDescent="0.25"/>
    <row r="118702" customFormat="1" x14ac:dyDescent="0.25"/>
    <row r="118703" customFormat="1" x14ac:dyDescent="0.25"/>
    <row r="118704" customFormat="1" x14ac:dyDescent="0.25"/>
    <row r="118705" customFormat="1" x14ac:dyDescent="0.25"/>
    <row r="118706" customFormat="1" x14ac:dyDescent="0.25"/>
    <row r="118707" customFormat="1" x14ac:dyDescent="0.25"/>
    <row r="118708" customFormat="1" x14ac:dyDescent="0.25"/>
    <row r="118709" customFormat="1" x14ac:dyDescent="0.25"/>
    <row r="118710" customFormat="1" x14ac:dyDescent="0.25"/>
    <row r="118711" customFormat="1" x14ac:dyDescent="0.25"/>
    <row r="118712" customFormat="1" x14ac:dyDescent="0.25"/>
    <row r="118713" customFormat="1" x14ac:dyDescent="0.25"/>
    <row r="118714" customFormat="1" x14ac:dyDescent="0.25"/>
    <row r="118715" customFormat="1" x14ac:dyDescent="0.25"/>
    <row r="118716" customFormat="1" x14ac:dyDescent="0.25"/>
    <row r="118717" customFormat="1" x14ac:dyDescent="0.25"/>
    <row r="118718" customFormat="1" x14ac:dyDescent="0.25"/>
    <row r="118719" customFormat="1" x14ac:dyDescent="0.25"/>
    <row r="118720" customFormat="1" x14ac:dyDescent="0.25"/>
    <row r="118721" customFormat="1" x14ac:dyDescent="0.25"/>
    <row r="118722" customFormat="1" x14ac:dyDescent="0.25"/>
    <row r="118723" customFormat="1" x14ac:dyDescent="0.25"/>
    <row r="118724" customFormat="1" x14ac:dyDescent="0.25"/>
    <row r="118725" customFormat="1" x14ac:dyDescent="0.25"/>
    <row r="118726" customFormat="1" x14ac:dyDescent="0.25"/>
    <row r="118727" customFormat="1" x14ac:dyDescent="0.25"/>
    <row r="118728" customFormat="1" x14ac:dyDescent="0.25"/>
    <row r="118729" customFormat="1" x14ac:dyDescent="0.25"/>
    <row r="118730" customFormat="1" x14ac:dyDescent="0.25"/>
    <row r="118731" customFormat="1" x14ac:dyDescent="0.25"/>
    <row r="118732" customFormat="1" x14ac:dyDescent="0.25"/>
    <row r="118733" customFormat="1" x14ac:dyDescent="0.25"/>
    <row r="118734" customFormat="1" x14ac:dyDescent="0.25"/>
    <row r="118735" customFormat="1" x14ac:dyDescent="0.25"/>
    <row r="118736" customFormat="1" x14ac:dyDescent="0.25"/>
    <row r="118737" customFormat="1" x14ac:dyDescent="0.25"/>
    <row r="118738" customFormat="1" x14ac:dyDescent="0.25"/>
    <row r="118739" customFormat="1" x14ac:dyDescent="0.25"/>
    <row r="118740" customFormat="1" x14ac:dyDescent="0.25"/>
    <row r="118741" customFormat="1" x14ac:dyDescent="0.25"/>
    <row r="118742" customFormat="1" x14ac:dyDescent="0.25"/>
    <row r="118743" customFormat="1" x14ac:dyDescent="0.25"/>
    <row r="118744" customFormat="1" x14ac:dyDescent="0.25"/>
    <row r="118745" customFormat="1" x14ac:dyDescent="0.25"/>
    <row r="118746" customFormat="1" x14ac:dyDescent="0.25"/>
    <row r="118747" customFormat="1" x14ac:dyDescent="0.25"/>
    <row r="118748" customFormat="1" x14ac:dyDescent="0.25"/>
    <row r="118749" customFormat="1" x14ac:dyDescent="0.25"/>
    <row r="118750" customFormat="1" x14ac:dyDescent="0.25"/>
    <row r="118751" customFormat="1" x14ac:dyDescent="0.25"/>
    <row r="118752" customFormat="1" x14ac:dyDescent="0.25"/>
    <row r="118753" customFormat="1" x14ac:dyDescent="0.25"/>
    <row r="118754" customFormat="1" x14ac:dyDescent="0.25"/>
    <row r="118755" customFormat="1" x14ac:dyDescent="0.25"/>
    <row r="118756" customFormat="1" x14ac:dyDescent="0.25"/>
    <row r="118757" customFormat="1" x14ac:dyDescent="0.25"/>
    <row r="118758" customFormat="1" x14ac:dyDescent="0.25"/>
    <row r="118759" customFormat="1" x14ac:dyDescent="0.25"/>
    <row r="118760" customFormat="1" x14ac:dyDescent="0.25"/>
    <row r="118761" customFormat="1" x14ac:dyDescent="0.25"/>
    <row r="118762" customFormat="1" x14ac:dyDescent="0.25"/>
    <row r="118763" customFormat="1" x14ac:dyDescent="0.25"/>
    <row r="118764" customFormat="1" x14ac:dyDescent="0.25"/>
    <row r="118765" customFormat="1" x14ac:dyDescent="0.25"/>
    <row r="118766" customFormat="1" x14ac:dyDescent="0.25"/>
    <row r="118767" customFormat="1" x14ac:dyDescent="0.25"/>
    <row r="118768" customFormat="1" x14ac:dyDescent="0.25"/>
    <row r="118769" customFormat="1" x14ac:dyDescent="0.25"/>
    <row r="118770" customFormat="1" x14ac:dyDescent="0.25"/>
    <row r="118771" customFormat="1" x14ac:dyDescent="0.25"/>
    <row r="118772" customFormat="1" x14ac:dyDescent="0.25"/>
    <row r="118773" customFormat="1" x14ac:dyDescent="0.25"/>
    <row r="118774" customFormat="1" x14ac:dyDescent="0.25"/>
    <row r="118775" customFormat="1" x14ac:dyDescent="0.25"/>
    <row r="118776" customFormat="1" x14ac:dyDescent="0.25"/>
    <row r="118777" customFormat="1" x14ac:dyDescent="0.25"/>
    <row r="118778" customFormat="1" x14ac:dyDescent="0.25"/>
    <row r="118779" customFormat="1" x14ac:dyDescent="0.25"/>
    <row r="118780" customFormat="1" x14ac:dyDescent="0.25"/>
    <row r="118781" customFormat="1" x14ac:dyDescent="0.25"/>
    <row r="118782" customFormat="1" x14ac:dyDescent="0.25"/>
    <row r="118783" customFormat="1" x14ac:dyDescent="0.25"/>
    <row r="118784" customFormat="1" x14ac:dyDescent="0.25"/>
    <row r="118785" customFormat="1" x14ac:dyDescent="0.25"/>
    <row r="118786" customFormat="1" x14ac:dyDescent="0.25"/>
    <row r="118787" customFormat="1" x14ac:dyDescent="0.25"/>
    <row r="118788" customFormat="1" x14ac:dyDescent="0.25"/>
    <row r="118789" customFormat="1" x14ac:dyDescent="0.25"/>
    <row r="118790" customFormat="1" x14ac:dyDescent="0.25"/>
    <row r="118791" customFormat="1" x14ac:dyDescent="0.25"/>
    <row r="118792" customFormat="1" x14ac:dyDescent="0.25"/>
    <row r="118793" customFormat="1" x14ac:dyDescent="0.25"/>
    <row r="118794" customFormat="1" x14ac:dyDescent="0.25"/>
    <row r="118795" customFormat="1" x14ac:dyDescent="0.25"/>
    <row r="118796" customFormat="1" x14ac:dyDescent="0.25"/>
    <row r="118797" customFormat="1" x14ac:dyDescent="0.25"/>
    <row r="118798" customFormat="1" x14ac:dyDescent="0.25"/>
    <row r="118799" customFormat="1" x14ac:dyDescent="0.25"/>
    <row r="118800" customFormat="1" x14ac:dyDescent="0.25"/>
    <row r="118801" customFormat="1" x14ac:dyDescent="0.25"/>
    <row r="118802" customFormat="1" x14ac:dyDescent="0.25"/>
    <row r="118803" customFormat="1" x14ac:dyDescent="0.25"/>
    <row r="118804" customFormat="1" x14ac:dyDescent="0.25"/>
    <row r="118805" customFormat="1" x14ac:dyDescent="0.25"/>
    <row r="118806" customFormat="1" x14ac:dyDescent="0.25"/>
    <row r="118807" customFormat="1" x14ac:dyDescent="0.25"/>
    <row r="118808" customFormat="1" x14ac:dyDescent="0.25"/>
    <row r="118809" customFormat="1" x14ac:dyDescent="0.25"/>
    <row r="118810" customFormat="1" x14ac:dyDescent="0.25"/>
    <row r="118811" customFormat="1" x14ac:dyDescent="0.25"/>
    <row r="118812" customFormat="1" x14ac:dyDescent="0.25"/>
    <row r="118813" customFormat="1" x14ac:dyDescent="0.25"/>
    <row r="118814" customFormat="1" x14ac:dyDescent="0.25"/>
    <row r="118815" customFormat="1" x14ac:dyDescent="0.25"/>
    <row r="118816" customFormat="1" x14ac:dyDescent="0.25"/>
    <row r="118817" customFormat="1" x14ac:dyDescent="0.25"/>
    <row r="118818" customFormat="1" x14ac:dyDescent="0.25"/>
    <row r="118819" customFormat="1" x14ac:dyDescent="0.25"/>
    <row r="118820" customFormat="1" x14ac:dyDescent="0.25"/>
    <row r="118821" customFormat="1" x14ac:dyDescent="0.25"/>
    <row r="118822" customFormat="1" x14ac:dyDescent="0.25"/>
    <row r="118823" customFormat="1" x14ac:dyDescent="0.25"/>
    <row r="118824" customFormat="1" x14ac:dyDescent="0.25"/>
    <row r="118825" customFormat="1" x14ac:dyDescent="0.25"/>
    <row r="118826" customFormat="1" x14ac:dyDescent="0.25"/>
    <row r="118827" customFormat="1" x14ac:dyDescent="0.25"/>
    <row r="118828" customFormat="1" x14ac:dyDescent="0.25"/>
    <row r="118829" customFormat="1" x14ac:dyDescent="0.25"/>
    <row r="118830" customFormat="1" x14ac:dyDescent="0.25"/>
    <row r="118831" customFormat="1" x14ac:dyDescent="0.25"/>
    <row r="118832" customFormat="1" x14ac:dyDescent="0.25"/>
    <row r="118833" customFormat="1" x14ac:dyDescent="0.25"/>
    <row r="118834" customFormat="1" x14ac:dyDescent="0.25"/>
    <row r="118835" customFormat="1" x14ac:dyDescent="0.25"/>
    <row r="118836" customFormat="1" x14ac:dyDescent="0.25"/>
    <row r="118837" customFormat="1" x14ac:dyDescent="0.25"/>
    <row r="118838" customFormat="1" x14ac:dyDescent="0.25"/>
    <row r="118839" customFormat="1" x14ac:dyDescent="0.25"/>
    <row r="118840" customFormat="1" x14ac:dyDescent="0.25"/>
    <row r="118841" customFormat="1" x14ac:dyDescent="0.25"/>
    <row r="118842" customFormat="1" x14ac:dyDescent="0.25"/>
    <row r="118843" customFormat="1" x14ac:dyDescent="0.25"/>
    <row r="118844" customFormat="1" x14ac:dyDescent="0.25"/>
    <row r="118845" customFormat="1" x14ac:dyDescent="0.25"/>
    <row r="118846" customFormat="1" x14ac:dyDescent="0.25"/>
    <row r="118847" customFormat="1" x14ac:dyDescent="0.25"/>
    <row r="118848" customFormat="1" x14ac:dyDescent="0.25"/>
    <row r="118849" customFormat="1" x14ac:dyDescent="0.25"/>
    <row r="118850" customFormat="1" x14ac:dyDescent="0.25"/>
    <row r="118851" customFormat="1" x14ac:dyDescent="0.25"/>
    <row r="118852" customFormat="1" x14ac:dyDescent="0.25"/>
    <row r="118853" customFormat="1" x14ac:dyDescent="0.25"/>
    <row r="118854" customFormat="1" x14ac:dyDescent="0.25"/>
    <row r="118855" customFormat="1" x14ac:dyDescent="0.25"/>
    <row r="118856" customFormat="1" x14ac:dyDescent="0.25"/>
    <row r="118857" customFormat="1" x14ac:dyDescent="0.25"/>
    <row r="118858" customFormat="1" x14ac:dyDescent="0.25"/>
    <row r="118859" customFormat="1" x14ac:dyDescent="0.25"/>
    <row r="118860" customFormat="1" x14ac:dyDescent="0.25"/>
    <row r="118861" customFormat="1" x14ac:dyDescent="0.25"/>
    <row r="118862" customFormat="1" x14ac:dyDescent="0.25"/>
    <row r="118863" customFormat="1" x14ac:dyDescent="0.25"/>
    <row r="118864" customFormat="1" x14ac:dyDescent="0.25"/>
    <row r="118865" customFormat="1" x14ac:dyDescent="0.25"/>
    <row r="118866" customFormat="1" x14ac:dyDescent="0.25"/>
    <row r="118867" customFormat="1" x14ac:dyDescent="0.25"/>
    <row r="118868" customFormat="1" x14ac:dyDescent="0.25"/>
    <row r="118869" customFormat="1" x14ac:dyDescent="0.25"/>
    <row r="118870" customFormat="1" x14ac:dyDescent="0.25"/>
    <row r="118871" customFormat="1" x14ac:dyDescent="0.25"/>
    <row r="118872" customFormat="1" x14ac:dyDescent="0.25"/>
    <row r="118873" customFormat="1" x14ac:dyDescent="0.25"/>
    <row r="118874" customFormat="1" x14ac:dyDescent="0.25"/>
    <row r="118875" customFormat="1" x14ac:dyDescent="0.25"/>
    <row r="118876" customFormat="1" x14ac:dyDescent="0.25"/>
    <row r="118877" customFormat="1" x14ac:dyDescent="0.25"/>
    <row r="118878" customFormat="1" x14ac:dyDescent="0.25"/>
    <row r="118879" customFormat="1" x14ac:dyDescent="0.25"/>
    <row r="118880" customFormat="1" x14ac:dyDescent="0.25"/>
    <row r="118881" customFormat="1" x14ac:dyDescent="0.25"/>
    <row r="118882" customFormat="1" x14ac:dyDescent="0.25"/>
    <row r="118883" customFormat="1" x14ac:dyDescent="0.25"/>
    <row r="118884" customFormat="1" x14ac:dyDescent="0.25"/>
    <row r="118885" customFormat="1" x14ac:dyDescent="0.25"/>
    <row r="118886" customFormat="1" x14ac:dyDescent="0.25"/>
    <row r="118887" customFormat="1" x14ac:dyDescent="0.25"/>
    <row r="118888" customFormat="1" x14ac:dyDescent="0.25"/>
    <row r="118889" customFormat="1" x14ac:dyDescent="0.25"/>
    <row r="118890" customFormat="1" x14ac:dyDescent="0.25"/>
    <row r="118891" customFormat="1" x14ac:dyDescent="0.25"/>
    <row r="118892" customFormat="1" x14ac:dyDescent="0.25"/>
    <row r="118893" customFormat="1" x14ac:dyDescent="0.25"/>
    <row r="118894" customFormat="1" x14ac:dyDescent="0.25"/>
    <row r="118895" customFormat="1" x14ac:dyDescent="0.25"/>
    <row r="118896" customFormat="1" x14ac:dyDescent="0.25"/>
    <row r="118897" customFormat="1" x14ac:dyDescent="0.25"/>
    <row r="118898" customFormat="1" x14ac:dyDescent="0.25"/>
    <row r="118899" customFormat="1" x14ac:dyDescent="0.25"/>
    <row r="118900" customFormat="1" x14ac:dyDescent="0.25"/>
    <row r="118901" customFormat="1" x14ac:dyDescent="0.25"/>
    <row r="118902" customFormat="1" x14ac:dyDescent="0.25"/>
    <row r="118903" customFormat="1" x14ac:dyDescent="0.25"/>
    <row r="118904" customFormat="1" x14ac:dyDescent="0.25"/>
    <row r="118905" customFormat="1" x14ac:dyDescent="0.25"/>
    <row r="118906" customFormat="1" x14ac:dyDescent="0.25"/>
    <row r="118907" customFormat="1" x14ac:dyDescent="0.25"/>
    <row r="118908" customFormat="1" x14ac:dyDescent="0.25"/>
    <row r="118909" customFormat="1" x14ac:dyDescent="0.25"/>
    <row r="118910" customFormat="1" x14ac:dyDescent="0.25"/>
    <row r="118911" customFormat="1" x14ac:dyDescent="0.25"/>
    <row r="118912" customFormat="1" x14ac:dyDescent="0.25"/>
    <row r="118913" customFormat="1" x14ac:dyDescent="0.25"/>
    <row r="118914" customFormat="1" x14ac:dyDescent="0.25"/>
    <row r="118915" customFormat="1" x14ac:dyDescent="0.25"/>
    <row r="118916" customFormat="1" x14ac:dyDescent="0.25"/>
    <row r="118917" customFormat="1" x14ac:dyDescent="0.25"/>
    <row r="118918" customFormat="1" x14ac:dyDescent="0.25"/>
    <row r="118919" customFormat="1" x14ac:dyDescent="0.25"/>
    <row r="118920" customFormat="1" x14ac:dyDescent="0.25"/>
    <row r="118921" customFormat="1" x14ac:dyDescent="0.25"/>
    <row r="118922" customFormat="1" x14ac:dyDescent="0.25"/>
    <row r="118923" customFormat="1" x14ac:dyDescent="0.25"/>
    <row r="118924" customFormat="1" x14ac:dyDescent="0.25"/>
    <row r="118925" customFormat="1" x14ac:dyDescent="0.25"/>
    <row r="118926" customFormat="1" x14ac:dyDescent="0.25"/>
    <row r="118927" customFormat="1" x14ac:dyDescent="0.25"/>
    <row r="118928" customFormat="1" x14ac:dyDescent="0.25"/>
    <row r="118929" customFormat="1" x14ac:dyDescent="0.25"/>
    <row r="118930" customFormat="1" x14ac:dyDescent="0.25"/>
    <row r="118931" customFormat="1" x14ac:dyDescent="0.25"/>
    <row r="118932" customFormat="1" x14ac:dyDescent="0.25"/>
    <row r="118933" customFormat="1" x14ac:dyDescent="0.25"/>
    <row r="118934" customFormat="1" x14ac:dyDescent="0.25"/>
    <row r="118935" customFormat="1" x14ac:dyDescent="0.25"/>
    <row r="118936" customFormat="1" x14ac:dyDescent="0.25"/>
    <row r="118937" customFormat="1" x14ac:dyDescent="0.25"/>
    <row r="118938" customFormat="1" x14ac:dyDescent="0.25"/>
    <row r="118939" customFormat="1" x14ac:dyDescent="0.25"/>
    <row r="118940" customFormat="1" x14ac:dyDescent="0.25"/>
    <row r="118941" customFormat="1" x14ac:dyDescent="0.25"/>
    <row r="118942" customFormat="1" x14ac:dyDescent="0.25"/>
    <row r="118943" customFormat="1" x14ac:dyDescent="0.25"/>
    <row r="118944" customFormat="1" x14ac:dyDescent="0.25"/>
    <row r="118945" customFormat="1" x14ac:dyDescent="0.25"/>
    <row r="118946" customFormat="1" x14ac:dyDescent="0.25"/>
    <row r="118947" customFormat="1" x14ac:dyDescent="0.25"/>
    <row r="118948" customFormat="1" x14ac:dyDescent="0.25"/>
    <row r="118949" customFormat="1" x14ac:dyDescent="0.25"/>
    <row r="118950" customFormat="1" x14ac:dyDescent="0.25"/>
    <row r="118951" customFormat="1" x14ac:dyDescent="0.25"/>
    <row r="118952" customFormat="1" x14ac:dyDescent="0.25"/>
    <row r="118953" customFormat="1" x14ac:dyDescent="0.25"/>
    <row r="118954" customFormat="1" x14ac:dyDescent="0.25"/>
    <row r="118955" customFormat="1" x14ac:dyDescent="0.25"/>
    <row r="118956" customFormat="1" x14ac:dyDescent="0.25"/>
    <row r="118957" customFormat="1" x14ac:dyDescent="0.25"/>
    <row r="118958" customFormat="1" x14ac:dyDescent="0.25"/>
    <row r="118959" customFormat="1" x14ac:dyDescent="0.25"/>
    <row r="118960" customFormat="1" x14ac:dyDescent="0.25"/>
    <row r="118961" customFormat="1" x14ac:dyDescent="0.25"/>
    <row r="118962" customFormat="1" x14ac:dyDescent="0.25"/>
    <row r="118963" customFormat="1" x14ac:dyDescent="0.25"/>
    <row r="118964" customFormat="1" x14ac:dyDescent="0.25"/>
    <row r="118965" customFormat="1" x14ac:dyDescent="0.25"/>
    <row r="118966" customFormat="1" x14ac:dyDescent="0.25"/>
    <row r="118967" customFormat="1" x14ac:dyDescent="0.25"/>
    <row r="118968" customFormat="1" x14ac:dyDescent="0.25"/>
    <row r="118969" customFormat="1" x14ac:dyDescent="0.25"/>
    <row r="118970" customFormat="1" x14ac:dyDescent="0.25"/>
    <row r="118971" customFormat="1" x14ac:dyDescent="0.25"/>
    <row r="118972" customFormat="1" x14ac:dyDescent="0.25"/>
    <row r="118973" customFormat="1" x14ac:dyDescent="0.25"/>
    <row r="118974" customFormat="1" x14ac:dyDescent="0.25"/>
    <row r="118975" customFormat="1" x14ac:dyDescent="0.25"/>
    <row r="118976" customFormat="1" x14ac:dyDescent="0.25"/>
    <row r="118977" customFormat="1" x14ac:dyDescent="0.25"/>
    <row r="118978" customFormat="1" x14ac:dyDescent="0.25"/>
    <row r="118979" customFormat="1" x14ac:dyDescent="0.25"/>
    <row r="118980" customFormat="1" x14ac:dyDescent="0.25"/>
    <row r="118981" customFormat="1" x14ac:dyDescent="0.25"/>
    <row r="118982" customFormat="1" x14ac:dyDescent="0.25"/>
    <row r="118983" customFormat="1" x14ac:dyDescent="0.25"/>
    <row r="118984" customFormat="1" x14ac:dyDescent="0.25"/>
    <row r="118985" customFormat="1" x14ac:dyDescent="0.25"/>
    <row r="118986" customFormat="1" x14ac:dyDescent="0.25"/>
    <row r="118987" customFormat="1" x14ac:dyDescent="0.25"/>
    <row r="118988" customFormat="1" x14ac:dyDescent="0.25"/>
    <row r="118989" customFormat="1" x14ac:dyDescent="0.25"/>
    <row r="118990" customFormat="1" x14ac:dyDescent="0.25"/>
    <row r="118991" customFormat="1" x14ac:dyDescent="0.25"/>
    <row r="118992" customFormat="1" x14ac:dyDescent="0.25"/>
    <row r="118993" customFormat="1" x14ac:dyDescent="0.25"/>
    <row r="118994" customFormat="1" x14ac:dyDescent="0.25"/>
    <row r="118995" customFormat="1" x14ac:dyDescent="0.25"/>
    <row r="118996" customFormat="1" x14ac:dyDescent="0.25"/>
    <row r="118997" customFormat="1" x14ac:dyDescent="0.25"/>
    <row r="118998" customFormat="1" x14ac:dyDescent="0.25"/>
    <row r="118999" customFormat="1" x14ac:dyDescent="0.25"/>
    <row r="119000" customFormat="1" x14ac:dyDescent="0.25"/>
    <row r="119001" customFormat="1" x14ac:dyDescent="0.25"/>
    <row r="119002" customFormat="1" x14ac:dyDescent="0.25"/>
    <row r="119003" customFormat="1" x14ac:dyDescent="0.25"/>
    <row r="119004" customFormat="1" x14ac:dyDescent="0.25"/>
    <row r="119005" customFormat="1" x14ac:dyDescent="0.25"/>
    <row r="119006" customFormat="1" x14ac:dyDescent="0.25"/>
    <row r="119007" customFormat="1" x14ac:dyDescent="0.25"/>
    <row r="119008" customFormat="1" x14ac:dyDescent="0.25"/>
    <row r="119009" customFormat="1" x14ac:dyDescent="0.25"/>
    <row r="119010" customFormat="1" x14ac:dyDescent="0.25"/>
    <row r="119011" customFormat="1" x14ac:dyDescent="0.25"/>
    <row r="119012" customFormat="1" x14ac:dyDescent="0.25"/>
    <row r="119013" customFormat="1" x14ac:dyDescent="0.25"/>
    <row r="119014" customFormat="1" x14ac:dyDescent="0.25"/>
    <row r="119015" customFormat="1" x14ac:dyDescent="0.25"/>
    <row r="119016" customFormat="1" x14ac:dyDescent="0.25"/>
    <row r="119017" customFormat="1" x14ac:dyDescent="0.25"/>
    <row r="119018" customFormat="1" x14ac:dyDescent="0.25"/>
    <row r="119019" customFormat="1" x14ac:dyDescent="0.25"/>
    <row r="119020" customFormat="1" x14ac:dyDescent="0.25"/>
    <row r="119021" customFormat="1" x14ac:dyDescent="0.25"/>
    <row r="119022" customFormat="1" x14ac:dyDescent="0.25"/>
    <row r="119023" customFormat="1" x14ac:dyDescent="0.25"/>
    <row r="119024" customFormat="1" x14ac:dyDescent="0.25"/>
    <row r="119025" customFormat="1" x14ac:dyDescent="0.25"/>
    <row r="119026" customFormat="1" x14ac:dyDescent="0.25"/>
    <row r="119027" customFormat="1" x14ac:dyDescent="0.25"/>
    <row r="119028" customFormat="1" x14ac:dyDescent="0.25"/>
    <row r="119029" customFormat="1" x14ac:dyDescent="0.25"/>
    <row r="119030" customFormat="1" x14ac:dyDescent="0.25"/>
    <row r="119031" customFormat="1" x14ac:dyDescent="0.25"/>
    <row r="119032" customFormat="1" x14ac:dyDescent="0.25"/>
    <row r="119033" customFormat="1" x14ac:dyDescent="0.25"/>
    <row r="119034" customFormat="1" x14ac:dyDescent="0.25"/>
    <row r="119035" customFormat="1" x14ac:dyDescent="0.25"/>
    <row r="119036" customFormat="1" x14ac:dyDescent="0.25"/>
    <row r="119037" customFormat="1" x14ac:dyDescent="0.25"/>
    <row r="119038" customFormat="1" x14ac:dyDescent="0.25"/>
    <row r="119039" customFormat="1" x14ac:dyDescent="0.25"/>
    <row r="119040" customFormat="1" x14ac:dyDescent="0.25"/>
    <row r="119041" customFormat="1" x14ac:dyDescent="0.25"/>
    <row r="119042" customFormat="1" x14ac:dyDescent="0.25"/>
    <row r="119043" customFormat="1" x14ac:dyDescent="0.25"/>
    <row r="119044" customFormat="1" x14ac:dyDescent="0.25"/>
    <row r="119045" customFormat="1" x14ac:dyDescent="0.25"/>
    <row r="119046" customFormat="1" x14ac:dyDescent="0.25"/>
    <row r="119047" customFormat="1" x14ac:dyDescent="0.25"/>
    <row r="119048" customFormat="1" x14ac:dyDescent="0.25"/>
    <row r="119049" customFormat="1" x14ac:dyDescent="0.25"/>
    <row r="119050" customFormat="1" x14ac:dyDescent="0.25"/>
    <row r="119051" customFormat="1" x14ac:dyDescent="0.25"/>
    <row r="119052" customFormat="1" x14ac:dyDescent="0.25"/>
    <row r="119053" customFormat="1" x14ac:dyDescent="0.25"/>
    <row r="119054" customFormat="1" x14ac:dyDescent="0.25"/>
    <row r="119055" customFormat="1" x14ac:dyDescent="0.25"/>
    <row r="119056" customFormat="1" x14ac:dyDescent="0.25"/>
    <row r="119057" customFormat="1" x14ac:dyDescent="0.25"/>
    <row r="119058" customFormat="1" x14ac:dyDescent="0.25"/>
    <row r="119059" customFormat="1" x14ac:dyDescent="0.25"/>
    <row r="119060" customFormat="1" x14ac:dyDescent="0.25"/>
    <row r="119061" customFormat="1" x14ac:dyDescent="0.25"/>
    <row r="119062" customFormat="1" x14ac:dyDescent="0.25"/>
    <row r="119063" customFormat="1" x14ac:dyDescent="0.25"/>
    <row r="119064" customFormat="1" x14ac:dyDescent="0.25"/>
    <row r="119065" customFormat="1" x14ac:dyDescent="0.25"/>
    <row r="119066" customFormat="1" x14ac:dyDescent="0.25"/>
    <row r="119067" customFormat="1" x14ac:dyDescent="0.25"/>
    <row r="119068" customFormat="1" x14ac:dyDescent="0.25"/>
    <row r="119069" customFormat="1" x14ac:dyDescent="0.25"/>
    <row r="119070" customFormat="1" x14ac:dyDescent="0.25"/>
    <row r="119071" customFormat="1" x14ac:dyDescent="0.25"/>
    <row r="119072" customFormat="1" x14ac:dyDescent="0.25"/>
    <row r="119073" customFormat="1" x14ac:dyDescent="0.25"/>
    <row r="119074" customFormat="1" x14ac:dyDescent="0.25"/>
    <row r="119075" customFormat="1" x14ac:dyDescent="0.25"/>
    <row r="119076" customFormat="1" x14ac:dyDescent="0.25"/>
    <row r="119077" customFormat="1" x14ac:dyDescent="0.25"/>
    <row r="119078" customFormat="1" x14ac:dyDescent="0.25"/>
    <row r="119079" customFormat="1" x14ac:dyDescent="0.25"/>
    <row r="119080" customFormat="1" x14ac:dyDescent="0.25"/>
    <row r="119081" customFormat="1" x14ac:dyDescent="0.25"/>
    <row r="119082" customFormat="1" x14ac:dyDescent="0.25"/>
    <row r="119083" customFormat="1" x14ac:dyDescent="0.25"/>
    <row r="119084" customFormat="1" x14ac:dyDescent="0.25"/>
    <row r="119085" customFormat="1" x14ac:dyDescent="0.25"/>
    <row r="119086" customFormat="1" x14ac:dyDescent="0.25"/>
    <row r="119087" customFormat="1" x14ac:dyDescent="0.25"/>
    <row r="119088" customFormat="1" x14ac:dyDescent="0.25"/>
    <row r="119089" customFormat="1" x14ac:dyDescent="0.25"/>
    <row r="119090" customFormat="1" x14ac:dyDescent="0.25"/>
    <row r="119091" customFormat="1" x14ac:dyDescent="0.25"/>
    <row r="119092" customFormat="1" x14ac:dyDescent="0.25"/>
    <row r="119093" customFormat="1" x14ac:dyDescent="0.25"/>
    <row r="119094" customFormat="1" x14ac:dyDescent="0.25"/>
    <row r="119095" customFormat="1" x14ac:dyDescent="0.25"/>
    <row r="119096" customFormat="1" x14ac:dyDescent="0.25"/>
    <row r="119097" customFormat="1" x14ac:dyDescent="0.25"/>
    <row r="119098" customFormat="1" x14ac:dyDescent="0.25"/>
    <row r="119099" customFormat="1" x14ac:dyDescent="0.25"/>
    <row r="119100" customFormat="1" x14ac:dyDescent="0.25"/>
    <row r="119101" customFormat="1" x14ac:dyDescent="0.25"/>
    <row r="119102" customFormat="1" x14ac:dyDescent="0.25"/>
    <row r="119103" customFormat="1" x14ac:dyDescent="0.25"/>
    <row r="119104" customFormat="1" x14ac:dyDescent="0.25"/>
    <row r="119105" customFormat="1" x14ac:dyDescent="0.25"/>
    <row r="119106" customFormat="1" x14ac:dyDescent="0.25"/>
    <row r="119107" customFormat="1" x14ac:dyDescent="0.25"/>
    <row r="119108" customFormat="1" x14ac:dyDescent="0.25"/>
    <row r="119109" customFormat="1" x14ac:dyDescent="0.25"/>
    <row r="119110" customFormat="1" x14ac:dyDescent="0.25"/>
    <row r="119111" customFormat="1" x14ac:dyDescent="0.25"/>
    <row r="119112" customFormat="1" x14ac:dyDescent="0.25"/>
    <row r="119113" customFormat="1" x14ac:dyDescent="0.25"/>
    <row r="119114" customFormat="1" x14ac:dyDescent="0.25"/>
    <row r="119115" customFormat="1" x14ac:dyDescent="0.25"/>
    <row r="119116" customFormat="1" x14ac:dyDescent="0.25"/>
    <row r="119117" customFormat="1" x14ac:dyDescent="0.25"/>
    <row r="119118" customFormat="1" x14ac:dyDescent="0.25"/>
    <row r="119119" customFormat="1" x14ac:dyDescent="0.25"/>
    <row r="119120" customFormat="1" x14ac:dyDescent="0.25"/>
    <row r="119121" customFormat="1" x14ac:dyDescent="0.25"/>
    <row r="119122" customFormat="1" x14ac:dyDescent="0.25"/>
    <row r="119123" customFormat="1" x14ac:dyDescent="0.25"/>
    <row r="119124" customFormat="1" x14ac:dyDescent="0.25"/>
    <row r="119125" customFormat="1" x14ac:dyDescent="0.25"/>
    <row r="119126" customFormat="1" x14ac:dyDescent="0.25"/>
    <row r="119127" customFormat="1" x14ac:dyDescent="0.25"/>
    <row r="119128" customFormat="1" x14ac:dyDescent="0.25"/>
    <row r="119129" customFormat="1" x14ac:dyDescent="0.25"/>
    <row r="119130" customFormat="1" x14ac:dyDescent="0.25"/>
    <row r="119131" customFormat="1" x14ac:dyDescent="0.25"/>
    <row r="119132" customFormat="1" x14ac:dyDescent="0.25"/>
    <row r="119133" customFormat="1" x14ac:dyDescent="0.25"/>
    <row r="119134" customFormat="1" x14ac:dyDescent="0.25"/>
    <row r="119135" customFormat="1" x14ac:dyDescent="0.25"/>
    <row r="119136" customFormat="1" x14ac:dyDescent="0.25"/>
    <row r="119137" customFormat="1" x14ac:dyDescent="0.25"/>
    <row r="119138" customFormat="1" x14ac:dyDescent="0.25"/>
    <row r="119139" customFormat="1" x14ac:dyDescent="0.25"/>
    <row r="119140" customFormat="1" x14ac:dyDescent="0.25"/>
    <row r="119141" customFormat="1" x14ac:dyDescent="0.25"/>
    <row r="119142" customFormat="1" x14ac:dyDescent="0.25"/>
    <row r="119143" customFormat="1" x14ac:dyDescent="0.25"/>
    <row r="119144" customFormat="1" x14ac:dyDescent="0.25"/>
    <row r="119145" customFormat="1" x14ac:dyDescent="0.25"/>
    <row r="119146" customFormat="1" x14ac:dyDescent="0.25"/>
    <row r="119147" customFormat="1" x14ac:dyDescent="0.25"/>
    <row r="119148" customFormat="1" x14ac:dyDescent="0.25"/>
    <row r="119149" customFormat="1" x14ac:dyDescent="0.25"/>
    <row r="119150" customFormat="1" x14ac:dyDescent="0.25"/>
    <row r="119151" customFormat="1" x14ac:dyDescent="0.25"/>
    <row r="119152" customFormat="1" x14ac:dyDescent="0.25"/>
    <row r="119153" customFormat="1" x14ac:dyDescent="0.25"/>
    <row r="119154" customFormat="1" x14ac:dyDescent="0.25"/>
    <row r="119155" customFormat="1" x14ac:dyDescent="0.25"/>
    <row r="119156" customFormat="1" x14ac:dyDescent="0.25"/>
    <row r="119157" customFormat="1" x14ac:dyDescent="0.25"/>
    <row r="119158" customFormat="1" x14ac:dyDescent="0.25"/>
    <row r="119159" customFormat="1" x14ac:dyDescent="0.25"/>
    <row r="119160" customFormat="1" x14ac:dyDescent="0.25"/>
    <row r="119161" customFormat="1" x14ac:dyDescent="0.25"/>
    <row r="119162" customFormat="1" x14ac:dyDescent="0.25"/>
    <row r="119163" customFormat="1" x14ac:dyDescent="0.25"/>
    <row r="119164" customFormat="1" x14ac:dyDescent="0.25"/>
    <row r="119165" customFormat="1" x14ac:dyDescent="0.25"/>
    <row r="119166" customFormat="1" x14ac:dyDescent="0.25"/>
    <row r="119167" customFormat="1" x14ac:dyDescent="0.25"/>
    <row r="119168" customFormat="1" x14ac:dyDescent="0.25"/>
    <row r="119169" customFormat="1" x14ac:dyDescent="0.25"/>
    <row r="119170" customFormat="1" x14ac:dyDescent="0.25"/>
    <row r="119171" customFormat="1" x14ac:dyDescent="0.25"/>
    <row r="119172" customFormat="1" x14ac:dyDescent="0.25"/>
    <row r="119173" customFormat="1" x14ac:dyDescent="0.25"/>
    <row r="119174" customFormat="1" x14ac:dyDescent="0.25"/>
    <row r="119175" customFormat="1" x14ac:dyDescent="0.25"/>
    <row r="119176" customFormat="1" x14ac:dyDescent="0.25"/>
    <row r="119177" customFormat="1" x14ac:dyDescent="0.25"/>
    <row r="119178" customFormat="1" x14ac:dyDescent="0.25"/>
    <row r="119179" customFormat="1" x14ac:dyDescent="0.25"/>
    <row r="119180" customFormat="1" x14ac:dyDescent="0.25"/>
    <row r="119181" customFormat="1" x14ac:dyDescent="0.25"/>
    <row r="119182" customFormat="1" x14ac:dyDescent="0.25"/>
    <row r="119183" customFormat="1" x14ac:dyDescent="0.25"/>
    <row r="119184" customFormat="1" x14ac:dyDescent="0.25"/>
    <row r="119185" customFormat="1" x14ac:dyDescent="0.25"/>
    <row r="119186" customFormat="1" x14ac:dyDescent="0.25"/>
    <row r="119187" customFormat="1" x14ac:dyDescent="0.25"/>
    <row r="119188" customFormat="1" x14ac:dyDescent="0.25"/>
    <row r="119189" customFormat="1" x14ac:dyDescent="0.25"/>
    <row r="119190" customFormat="1" x14ac:dyDescent="0.25"/>
    <row r="119191" customFormat="1" x14ac:dyDescent="0.25"/>
    <row r="119192" customFormat="1" x14ac:dyDescent="0.25"/>
    <row r="119193" customFormat="1" x14ac:dyDescent="0.25"/>
    <row r="119194" customFormat="1" x14ac:dyDescent="0.25"/>
    <row r="119195" customFormat="1" x14ac:dyDescent="0.25"/>
    <row r="119196" customFormat="1" x14ac:dyDescent="0.25"/>
    <row r="119197" customFormat="1" x14ac:dyDescent="0.25"/>
    <row r="119198" customFormat="1" x14ac:dyDescent="0.25"/>
    <row r="119199" customFormat="1" x14ac:dyDescent="0.25"/>
    <row r="119200" customFormat="1" x14ac:dyDescent="0.25"/>
    <row r="119201" customFormat="1" x14ac:dyDescent="0.25"/>
    <row r="119202" customFormat="1" x14ac:dyDescent="0.25"/>
    <row r="119203" customFormat="1" x14ac:dyDescent="0.25"/>
    <row r="119204" customFormat="1" x14ac:dyDescent="0.25"/>
    <row r="119205" customFormat="1" x14ac:dyDescent="0.25"/>
    <row r="119206" customFormat="1" x14ac:dyDescent="0.25"/>
    <row r="119207" customFormat="1" x14ac:dyDescent="0.25"/>
    <row r="119208" customFormat="1" x14ac:dyDescent="0.25"/>
    <row r="119209" customFormat="1" x14ac:dyDescent="0.25"/>
    <row r="119210" customFormat="1" x14ac:dyDescent="0.25"/>
    <row r="119211" customFormat="1" x14ac:dyDescent="0.25"/>
    <row r="119212" customFormat="1" x14ac:dyDescent="0.25"/>
    <row r="119213" customFormat="1" x14ac:dyDescent="0.25"/>
    <row r="119214" customFormat="1" x14ac:dyDescent="0.25"/>
    <row r="119215" customFormat="1" x14ac:dyDescent="0.25"/>
    <row r="119216" customFormat="1" x14ac:dyDescent="0.25"/>
    <row r="119217" customFormat="1" x14ac:dyDescent="0.25"/>
    <row r="119218" customFormat="1" x14ac:dyDescent="0.25"/>
    <row r="119219" customFormat="1" x14ac:dyDescent="0.25"/>
    <row r="119220" customFormat="1" x14ac:dyDescent="0.25"/>
    <row r="119221" customFormat="1" x14ac:dyDescent="0.25"/>
    <row r="119222" customFormat="1" x14ac:dyDescent="0.25"/>
    <row r="119223" customFormat="1" x14ac:dyDescent="0.25"/>
    <row r="119224" customFormat="1" x14ac:dyDescent="0.25"/>
    <row r="119225" customFormat="1" x14ac:dyDescent="0.25"/>
    <row r="119226" customFormat="1" x14ac:dyDescent="0.25"/>
    <row r="119227" customFormat="1" x14ac:dyDescent="0.25"/>
    <row r="119228" customFormat="1" x14ac:dyDescent="0.25"/>
    <row r="119229" customFormat="1" x14ac:dyDescent="0.25"/>
    <row r="119230" customFormat="1" x14ac:dyDescent="0.25"/>
    <row r="119231" customFormat="1" x14ac:dyDescent="0.25"/>
    <row r="119232" customFormat="1" x14ac:dyDescent="0.25"/>
    <row r="119233" customFormat="1" x14ac:dyDescent="0.25"/>
    <row r="119234" customFormat="1" x14ac:dyDescent="0.25"/>
    <row r="119235" customFormat="1" x14ac:dyDescent="0.25"/>
    <row r="119236" customFormat="1" x14ac:dyDescent="0.25"/>
    <row r="119237" customFormat="1" x14ac:dyDescent="0.25"/>
    <row r="119238" customFormat="1" x14ac:dyDescent="0.25"/>
    <row r="119239" customFormat="1" x14ac:dyDescent="0.25"/>
    <row r="119240" customFormat="1" x14ac:dyDescent="0.25"/>
    <row r="119241" customFormat="1" x14ac:dyDescent="0.25"/>
    <row r="119242" customFormat="1" x14ac:dyDescent="0.25"/>
    <row r="119243" customFormat="1" x14ac:dyDescent="0.25"/>
    <row r="119244" customFormat="1" x14ac:dyDescent="0.25"/>
    <row r="119245" customFormat="1" x14ac:dyDescent="0.25"/>
    <row r="119246" customFormat="1" x14ac:dyDescent="0.25"/>
    <row r="119247" customFormat="1" x14ac:dyDescent="0.25"/>
    <row r="119248" customFormat="1" x14ac:dyDescent="0.25"/>
    <row r="119249" customFormat="1" x14ac:dyDescent="0.25"/>
    <row r="119250" customFormat="1" x14ac:dyDescent="0.25"/>
    <row r="119251" customFormat="1" x14ac:dyDescent="0.25"/>
    <row r="119252" customFormat="1" x14ac:dyDescent="0.25"/>
    <row r="119253" customFormat="1" x14ac:dyDescent="0.25"/>
    <row r="119254" customFormat="1" x14ac:dyDescent="0.25"/>
    <row r="119255" customFormat="1" x14ac:dyDescent="0.25"/>
    <row r="119256" customFormat="1" x14ac:dyDescent="0.25"/>
    <row r="119257" customFormat="1" x14ac:dyDescent="0.25"/>
    <row r="119258" customFormat="1" x14ac:dyDescent="0.25"/>
    <row r="119259" customFormat="1" x14ac:dyDescent="0.25"/>
    <row r="119260" customFormat="1" x14ac:dyDescent="0.25"/>
    <row r="119261" customFormat="1" x14ac:dyDescent="0.25"/>
    <row r="119262" customFormat="1" x14ac:dyDescent="0.25"/>
    <row r="119263" customFormat="1" x14ac:dyDescent="0.25"/>
    <row r="119264" customFormat="1" x14ac:dyDescent="0.25"/>
    <row r="119265" customFormat="1" x14ac:dyDescent="0.25"/>
    <row r="119266" customFormat="1" x14ac:dyDescent="0.25"/>
    <row r="119267" customFormat="1" x14ac:dyDescent="0.25"/>
    <row r="119268" customFormat="1" x14ac:dyDescent="0.25"/>
    <row r="119269" customFormat="1" x14ac:dyDescent="0.25"/>
    <row r="119270" customFormat="1" x14ac:dyDescent="0.25"/>
    <row r="119271" customFormat="1" x14ac:dyDescent="0.25"/>
    <row r="119272" customFormat="1" x14ac:dyDescent="0.25"/>
    <row r="119273" customFormat="1" x14ac:dyDescent="0.25"/>
    <row r="119274" customFormat="1" x14ac:dyDescent="0.25"/>
    <row r="119275" customFormat="1" x14ac:dyDescent="0.25"/>
    <row r="119276" customFormat="1" x14ac:dyDescent="0.25"/>
    <row r="119277" customFormat="1" x14ac:dyDescent="0.25"/>
    <row r="119278" customFormat="1" x14ac:dyDescent="0.25"/>
    <row r="119279" customFormat="1" x14ac:dyDescent="0.25"/>
    <row r="119280" customFormat="1" x14ac:dyDescent="0.25"/>
    <row r="119281" customFormat="1" x14ac:dyDescent="0.25"/>
    <row r="119282" customFormat="1" x14ac:dyDescent="0.25"/>
    <row r="119283" customFormat="1" x14ac:dyDescent="0.25"/>
    <row r="119284" customFormat="1" x14ac:dyDescent="0.25"/>
    <row r="119285" customFormat="1" x14ac:dyDescent="0.25"/>
    <row r="119286" customFormat="1" x14ac:dyDescent="0.25"/>
    <row r="119287" customFormat="1" x14ac:dyDescent="0.25"/>
    <row r="119288" customFormat="1" x14ac:dyDescent="0.25"/>
    <row r="119289" customFormat="1" x14ac:dyDescent="0.25"/>
    <row r="119290" customFormat="1" x14ac:dyDescent="0.25"/>
    <row r="119291" customFormat="1" x14ac:dyDescent="0.25"/>
    <row r="119292" customFormat="1" x14ac:dyDescent="0.25"/>
    <row r="119293" customFormat="1" x14ac:dyDescent="0.25"/>
    <row r="119294" customFormat="1" x14ac:dyDescent="0.25"/>
    <row r="119295" customFormat="1" x14ac:dyDescent="0.25"/>
    <row r="119296" customFormat="1" x14ac:dyDescent="0.25"/>
    <row r="119297" customFormat="1" x14ac:dyDescent="0.25"/>
    <row r="119298" customFormat="1" x14ac:dyDescent="0.25"/>
    <row r="119299" customFormat="1" x14ac:dyDescent="0.25"/>
    <row r="119300" customFormat="1" x14ac:dyDescent="0.25"/>
    <row r="119301" customFormat="1" x14ac:dyDescent="0.25"/>
    <row r="119302" customFormat="1" x14ac:dyDescent="0.25"/>
    <row r="119303" customFormat="1" x14ac:dyDescent="0.25"/>
    <row r="119304" customFormat="1" x14ac:dyDescent="0.25"/>
    <row r="119305" customFormat="1" x14ac:dyDescent="0.25"/>
    <row r="119306" customFormat="1" x14ac:dyDescent="0.25"/>
    <row r="119307" customFormat="1" x14ac:dyDescent="0.25"/>
    <row r="119308" customFormat="1" x14ac:dyDescent="0.25"/>
    <row r="119309" customFormat="1" x14ac:dyDescent="0.25"/>
    <row r="119310" customFormat="1" x14ac:dyDescent="0.25"/>
    <row r="119311" customFormat="1" x14ac:dyDescent="0.25"/>
    <row r="119312" customFormat="1" x14ac:dyDescent="0.25"/>
    <row r="119313" customFormat="1" x14ac:dyDescent="0.25"/>
    <row r="119314" customFormat="1" x14ac:dyDescent="0.25"/>
    <row r="119315" customFormat="1" x14ac:dyDescent="0.25"/>
    <row r="119316" customFormat="1" x14ac:dyDescent="0.25"/>
    <row r="119317" customFormat="1" x14ac:dyDescent="0.25"/>
    <row r="119318" customFormat="1" x14ac:dyDescent="0.25"/>
    <row r="119319" customFormat="1" x14ac:dyDescent="0.25"/>
    <row r="119320" customFormat="1" x14ac:dyDescent="0.25"/>
    <row r="119321" customFormat="1" x14ac:dyDescent="0.25"/>
    <row r="119322" customFormat="1" x14ac:dyDescent="0.25"/>
    <row r="119323" customFormat="1" x14ac:dyDescent="0.25"/>
    <row r="119324" customFormat="1" x14ac:dyDescent="0.25"/>
    <row r="119325" customFormat="1" x14ac:dyDescent="0.25"/>
    <row r="119326" customFormat="1" x14ac:dyDescent="0.25"/>
    <row r="119327" customFormat="1" x14ac:dyDescent="0.25"/>
    <row r="119328" customFormat="1" x14ac:dyDescent="0.25"/>
    <row r="119329" customFormat="1" x14ac:dyDescent="0.25"/>
    <row r="119330" customFormat="1" x14ac:dyDescent="0.25"/>
    <row r="119331" customFormat="1" x14ac:dyDescent="0.25"/>
    <row r="119332" customFormat="1" x14ac:dyDescent="0.25"/>
    <row r="119333" customFormat="1" x14ac:dyDescent="0.25"/>
    <row r="119334" customFormat="1" x14ac:dyDescent="0.25"/>
    <row r="119335" customFormat="1" x14ac:dyDescent="0.25"/>
    <row r="119336" customFormat="1" x14ac:dyDescent="0.25"/>
    <row r="119337" customFormat="1" x14ac:dyDescent="0.25"/>
    <row r="119338" customFormat="1" x14ac:dyDescent="0.25"/>
    <row r="119339" customFormat="1" x14ac:dyDescent="0.25"/>
    <row r="119340" customFormat="1" x14ac:dyDescent="0.25"/>
    <row r="119341" customFormat="1" x14ac:dyDescent="0.25"/>
    <row r="119342" customFormat="1" x14ac:dyDescent="0.25"/>
    <row r="119343" customFormat="1" x14ac:dyDescent="0.25"/>
    <row r="119344" customFormat="1" x14ac:dyDescent="0.25"/>
    <row r="119345" customFormat="1" x14ac:dyDescent="0.25"/>
    <row r="119346" customFormat="1" x14ac:dyDescent="0.25"/>
    <row r="119347" customFormat="1" x14ac:dyDescent="0.25"/>
    <row r="119348" customFormat="1" x14ac:dyDescent="0.25"/>
    <row r="119349" customFormat="1" x14ac:dyDescent="0.25"/>
    <row r="119350" customFormat="1" x14ac:dyDescent="0.25"/>
    <row r="119351" customFormat="1" x14ac:dyDescent="0.25"/>
    <row r="119352" customFormat="1" x14ac:dyDescent="0.25"/>
    <row r="119353" customFormat="1" x14ac:dyDescent="0.25"/>
    <row r="119354" customFormat="1" x14ac:dyDescent="0.25"/>
    <row r="119355" customFormat="1" x14ac:dyDescent="0.25"/>
    <row r="119356" customFormat="1" x14ac:dyDescent="0.25"/>
    <row r="119357" customFormat="1" x14ac:dyDescent="0.25"/>
    <row r="119358" customFormat="1" x14ac:dyDescent="0.25"/>
    <row r="119359" customFormat="1" x14ac:dyDescent="0.25"/>
    <row r="119360" customFormat="1" x14ac:dyDescent="0.25"/>
    <row r="119361" customFormat="1" x14ac:dyDescent="0.25"/>
    <row r="119362" customFormat="1" x14ac:dyDescent="0.25"/>
    <row r="119363" customFormat="1" x14ac:dyDescent="0.25"/>
    <row r="119364" customFormat="1" x14ac:dyDescent="0.25"/>
    <row r="119365" customFormat="1" x14ac:dyDescent="0.25"/>
    <row r="119366" customFormat="1" x14ac:dyDescent="0.25"/>
    <row r="119367" customFormat="1" x14ac:dyDescent="0.25"/>
    <row r="119368" customFormat="1" x14ac:dyDescent="0.25"/>
    <row r="119369" customFormat="1" x14ac:dyDescent="0.25"/>
    <row r="119370" customFormat="1" x14ac:dyDescent="0.25"/>
    <row r="119371" customFormat="1" x14ac:dyDescent="0.25"/>
    <row r="119372" customFormat="1" x14ac:dyDescent="0.25"/>
    <row r="119373" customFormat="1" x14ac:dyDescent="0.25"/>
    <row r="119374" customFormat="1" x14ac:dyDescent="0.25"/>
    <row r="119375" customFormat="1" x14ac:dyDescent="0.25"/>
    <row r="119376" customFormat="1" x14ac:dyDescent="0.25"/>
    <row r="119377" customFormat="1" x14ac:dyDescent="0.25"/>
    <row r="119378" customFormat="1" x14ac:dyDescent="0.25"/>
    <row r="119379" customFormat="1" x14ac:dyDescent="0.25"/>
    <row r="119380" customFormat="1" x14ac:dyDescent="0.25"/>
    <row r="119381" customFormat="1" x14ac:dyDescent="0.25"/>
    <row r="119382" customFormat="1" x14ac:dyDescent="0.25"/>
    <row r="119383" customFormat="1" x14ac:dyDescent="0.25"/>
    <row r="119384" customFormat="1" x14ac:dyDescent="0.25"/>
    <row r="119385" customFormat="1" x14ac:dyDescent="0.25"/>
    <row r="119386" customFormat="1" x14ac:dyDescent="0.25"/>
    <row r="119387" customFormat="1" x14ac:dyDescent="0.25"/>
    <row r="119388" customFormat="1" x14ac:dyDescent="0.25"/>
    <row r="119389" customFormat="1" x14ac:dyDescent="0.25"/>
    <row r="119390" customFormat="1" x14ac:dyDescent="0.25"/>
    <row r="119391" customFormat="1" x14ac:dyDescent="0.25"/>
    <row r="119392" customFormat="1" x14ac:dyDescent="0.25"/>
    <row r="119393" customFormat="1" x14ac:dyDescent="0.25"/>
    <row r="119394" customFormat="1" x14ac:dyDescent="0.25"/>
    <row r="119395" customFormat="1" x14ac:dyDescent="0.25"/>
    <row r="119396" customFormat="1" x14ac:dyDescent="0.25"/>
    <row r="119397" customFormat="1" x14ac:dyDescent="0.25"/>
    <row r="119398" customFormat="1" x14ac:dyDescent="0.25"/>
    <row r="119399" customFormat="1" x14ac:dyDescent="0.25"/>
    <row r="119400" customFormat="1" x14ac:dyDescent="0.25"/>
    <row r="119401" customFormat="1" x14ac:dyDescent="0.25"/>
    <row r="119402" customFormat="1" x14ac:dyDescent="0.25"/>
    <row r="119403" customFormat="1" x14ac:dyDescent="0.25"/>
    <row r="119404" customFormat="1" x14ac:dyDescent="0.25"/>
    <row r="119405" customFormat="1" x14ac:dyDescent="0.25"/>
    <row r="119406" customFormat="1" x14ac:dyDescent="0.25"/>
    <row r="119407" customFormat="1" x14ac:dyDescent="0.25"/>
    <row r="119408" customFormat="1" x14ac:dyDescent="0.25"/>
    <row r="119409" customFormat="1" x14ac:dyDescent="0.25"/>
    <row r="119410" customFormat="1" x14ac:dyDescent="0.25"/>
    <row r="119411" customFormat="1" x14ac:dyDescent="0.25"/>
    <row r="119412" customFormat="1" x14ac:dyDescent="0.25"/>
    <row r="119413" customFormat="1" x14ac:dyDescent="0.25"/>
    <row r="119414" customFormat="1" x14ac:dyDescent="0.25"/>
    <row r="119415" customFormat="1" x14ac:dyDescent="0.25"/>
    <row r="119416" customFormat="1" x14ac:dyDescent="0.25"/>
    <row r="119417" customFormat="1" x14ac:dyDescent="0.25"/>
    <row r="119418" customFormat="1" x14ac:dyDescent="0.25"/>
    <row r="119419" customFormat="1" x14ac:dyDescent="0.25"/>
    <row r="119420" customFormat="1" x14ac:dyDescent="0.25"/>
    <row r="119421" customFormat="1" x14ac:dyDescent="0.25"/>
    <row r="119422" customFormat="1" x14ac:dyDescent="0.25"/>
    <row r="119423" customFormat="1" x14ac:dyDescent="0.25"/>
    <row r="119424" customFormat="1" x14ac:dyDescent="0.25"/>
    <row r="119425" customFormat="1" x14ac:dyDescent="0.25"/>
    <row r="119426" customFormat="1" x14ac:dyDescent="0.25"/>
    <row r="119427" customFormat="1" x14ac:dyDescent="0.25"/>
    <row r="119428" customFormat="1" x14ac:dyDescent="0.25"/>
    <row r="119429" customFormat="1" x14ac:dyDescent="0.25"/>
    <row r="119430" customFormat="1" x14ac:dyDescent="0.25"/>
    <row r="119431" customFormat="1" x14ac:dyDescent="0.25"/>
    <row r="119432" customFormat="1" x14ac:dyDescent="0.25"/>
    <row r="119433" customFormat="1" x14ac:dyDescent="0.25"/>
    <row r="119434" customFormat="1" x14ac:dyDescent="0.25"/>
    <row r="119435" customFormat="1" x14ac:dyDescent="0.25"/>
    <row r="119436" customFormat="1" x14ac:dyDescent="0.25"/>
    <row r="119437" customFormat="1" x14ac:dyDescent="0.25"/>
    <row r="119438" customFormat="1" x14ac:dyDescent="0.25"/>
    <row r="119439" customFormat="1" x14ac:dyDescent="0.25"/>
    <row r="119440" customFormat="1" x14ac:dyDescent="0.25"/>
    <row r="119441" customFormat="1" x14ac:dyDescent="0.25"/>
    <row r="119442" customFormat="1" x14ac:dyDescent="0.25"/>
    <row r="119443" customFormat="1" x14ac:dyDescent="0.25"/>
    <row r="119444" customFormat="1" x14ac:dyDescent="0.25"/>
    <row r="119445" customFormat="1" x14ac:dyDescent="0.25"/>
    <row r="119446" customFormat="1" x14ac:dyDescent="0.25"/>
    <row r="119447" customFormat="1" x14ac:dyDescent="0.25"/>
    <row r="119448" customFormat="1" x14ac:dyDescent="0.25"/>
    <row r="119449" customFormat="1" x14ac:dyDescent="0.25"/>
    <row r="119450" customFormat="1" x14ac:dyDescent="0.25"/>
    <row r="119451" customFormat="1" x14ac:dyDescent="0.25"/>
    <row r="119452" customFormat="1" x14ac:dyDescent="0.25"/>
    <row r="119453" customFormat="1" x14ac:dyDescent="0.25"/>
    <row r="119454" customFormat="1" x14ac:dyDescent="0.25"/>
    <row r="119455" customFormat="1" x14ac:dyDescent="0.25"/>
    <row r="119456" customFormat="1" x14ac:dyDescent="0.25"/>
    <row r="119457" customFormat="1" x14ac:dyDescent="0.25"/>
    <row r="119458" customFormat="1" x14ac:dyDescent="0.25"/>
    <row r="119459" customFormat="1" x14ac:dyDescent="0.25"/>
    <row r="119460" customFormat="1" x14ac:dyDescent="0.25"/>
    <row r="119461" customFormat="1" x14ac:dyDescent="0.25"/>
    <row r="119462" customFormat="1" x14ac:dyDescent="0.25"/>
    <row r="119463" customFormat="1" x14ac:dyDescent="0.25"/>
    <row r="119464" customFormat="1" x14ac:dyDescent="0.25"/>
    <row r="119465" customFormat="1" x14ac:dyDescent="0.25"/>
    <row r="119466" customFormat="1" x14ac:dyDescent="0.25"/>
    <row r="119467" customFormat="1" x14ac:dyDescent="0.25"/>
    <row r="119468" customFormat="1" x14ac:dyDescent="0.25"/>
    <row r="119469" customFormat="1" x14ac:dyDescent="0.25"/>
    <row r="119470" customFormat="1" x14ac:dyDescent="0.25"/>
    <row r="119471" customFormat="1" x14ac:dyDescent="0.25"/>
    <row r="119472" customFormat="1" x14ac:dyDescent="0.25"/>
    <row r="119473" customFormat="1" x14ac:dyDescent="0.25"/>
    <row r="119474" customFormat="1" x14ac:dyDescent="0.25"/>
    <row r="119475" customFormat="1" x14ac:dyDescent="0.25"/>
    <row r="119476" customFormat="1" x14ac:dyDescent="0.25"/>
    <row r="119477" customFormat="1" x14ac:dyDescent="0.25"/>
    <row r="119478" customFormat="1" x14ac:dyDescent="0.25"/>
    <row r="119479" customFormat="1" x14ac:dyDescent="0.25"/>
    <row r="119480" customFormat="1" x14ac:dyDescent="0.25"/>
    <row r="119481" customFormat="1" x14ac:dyDescent="0.25"/>
    <row r="119482" customFormat="1" x14ac:dyDescent="0.25"/>
    <row r="119483" customFormat="1" x14ac:dyDescent="0.25"/>
    <row r="119484" customFormat="1" x14ac:dyDescent="0.25"/>
    <row r="119485" customFormat="1" x14ac:dyDescent="0.25"/>
    <row r="119486" customFormat="1" x14ac:dyDescent="0.25"/>
    <row r="119487" customFormat="1" x14ac:dyDescent="0.25"/>
    <row r="119488" customFormat="1" x14ac:dyDescent="0.25"/>
    <row r="119489" customFormat="1" x14ac:dyDescent="0.25"/>
    <row r="119490" customFormat="1" x14ac:dyDescent="0.25"/>
    <row r="119491" customFormat="1" x14ac:dyDescent="0.25"/>
    <row r="119492" customFormat="1" x14ac:dyDescent="0.25"/>
    <row r="119493" customFormat="1" x14ac:dyDescent="0.25"/>
    <row r="119494" customFormat="1" x14ac:dyDescent="0.25"/>
    <row r="119495" customFormat="1" x14ac:dyDescent="0.25"/>
    <row r="119496" customFormat="1" x14ac:dyDescent="0.25"/>
    <row r="119497" customFormat="1" x14ac:dyDescent="0.25"/>
    <row r="119498" customFormat="1" x14ac:dyDescent="0.25"/>
    <row r="119499" customFormat="1" x14ac:dyDescent="0.25"/>
    <row r="119500" customFormat="1" x14ac:dyDescent="0.25"/>
    <row r="119501" customFormat="1" x14ac:dyDescent="0.25"/>
    <row r="119502" customFormat="1" x14ac:dyDescent="0.25"/>
    <row r="119503" customFormat="1" x14ac:dyDescent="0.25"/>
    <row r="119504" customFormat="1" x14ac:dyDescent="0.25"/>
    <row r="119505" customFormat="1" x14ac:dyDescent="0.25"/>
    <row r="119506" customFormat="1" x14ac:dyDescent="0.25"/>
    <row r="119507" customFormat="1" x14ac:dyDescent="0.25"/>
    <row r="119508" customFormat="1" x14ac:dyDescent="0.25"/>
    <row r="119509" customFormat="1" x14ac:dyDescent="0.25"/>
    <row r="119510" customFormat="1" x14ac:dyDescent="0.25"/>
    <row r="119511" customFormat="1" x14ac:dyDescent="0.25"/>
    <row r="119512" customFormat="1" x14ac:dyDescent="0.25"/>
    <row r="119513" customFormat="1" x14ac:dyDescent="0.25"/>
    <row r="119514" customFormat="1" x14ac:dyDescent="0.25"/>
    <row r="119515" customFormat="1" x14ac:dyDescent="0.25"/>
    <row r="119516" customFormat="1" x14ac:dyDescent="0.25"/>
    <row r="119517" customFormat="1" x14ac:dyDescent="0.25"/>
    <row r="119518" customFormat="1" x14ac:dyDescent="0.25"/>
    <row r="119519" customFormat="1" x14ac:dyDescent="0.25"/>
    <row r="119520" customFormat="1" x14ac:dyDescent="0.25"/>
    <row r="119521" customFormat="1" x14ac:dyDescent="0.25"/>
    <row r="119522" customFormat="1" x14ac:dyDescent="0.25"/>
    <row r="119523" customFormat="1" x14ac:dyDescent="0.25"/>
    <row r="119524" customFormat="1" x14ac:dyDescent="0.25"/>
    <row r="119525" customFormat="1" x14ac:dyDescent="0.25"/>
    <row r="119526" customFormat="1" x14ac:dyDescent="0.25"/>
    <row r="119527" customFormat="1" x14ac:dyDescent="0.25"/>
    <row r="119528" customFormat="1" x14ac:dyDescent="0.25"/>
    <row r="119529" customFormat="1" x14ac:dyDescent="0.25"/>
    <row r="119530" customFormat="1" x14ac:dyDescent="0.25"/>
    <row r="119531" customFormat="1" x14ac:dyDescent="0.25"/>
    <row r="119532" customFormat="1" x14ac:dyDescent="0.25"/>
    <row r="119533" customFormat="1" x14ac:dyDescent="0.25"/>
    <row r="119534" customFormat="1" x14ac:dyDescent="0.25"/>
    <row r="119535" customFormat="1" x14ac:dyDescent="0.25"/>
    <row r="119536" customFormat="1" x14ac:dyDescent="0.25"/>
    <row r="119537" customFormat="1" x14ac:dyDescent="0.25"/>
    <row r="119538" customFormat="1" x14ac:dyDescent="0.25"/>
    <row r="119539" customFormat="1" x14ac:dyDescent="0.25"/>
    <row r="119540" customFormat="1" x14ac:dyDescent="0.25"/>
    <row r="119541" customFormat="1" x14ac:dyDescent="0.25"/>
    <row r="119542" customFormat="1" x14ac:dyDescent="0.25"/>
    <row r="119543" customFormat="1" x14ac:dyDescent="0.25"/>
    <row r="119544" customFormat="1" x14ac:dyDescent="0.25"/>
    <row r="119545" customFormat="1" x14ac:dyDescent="0.25"/>
    <row r="119546" customFormat="1" x14ac:dyDescent="0.25"/>
    <row r="119547" customFormat="1" x14ac:dyDescent="0.25"/>
    <row r="119548" customFormat="1" x14ac:dyDescent="0.25"/>
    <row r="119549" customFormat="1" x14ac:dyDescent="0.25"/>
    <row r="119550" customFormat="1" x14ac:dyDescent="0.25"/>
    <row r="119551" customFormat="1" x14ac:dyDescent="0.25"/>
    <row r="119552" customFormat="1" x14ac:dyDescent="0.25"/>
    <row r="119553" customFormat="1" x14ac:dyDescent="0.25"/>
    <row r="119554" customFormat="1" x14ac:dyDescent="0.25"/>
    <row r="119555" customFormat="1" x14ac:dyDescent="0.25"/>
    <row r="119556" customFormat="1" x14ac:dyDescent="0.25"/>
    <row r="119557" customFormat="1" x14ac:dyDescent="0.25"/>
    <row r="119558" customFormat="1" x14ac:dyDescent="0.25"/>
    <row r="119559" customFormat="1" x14ac:dyDescent="0.25"/>
    <row r="119560" customFormat="1" x14ac:dyDescent="0.25"/>
    <row r="119561" customFormat="1" x14ac:dyDescent="0.25"/>
    <row r="119562" customFormat="1" x14ac:dyDescent="0.25"/>
    <row r="119563" customFormat="1" x14ac:dyDescent="0.25"/>
    <row r="119564" customFormat="1" x14ac:dyDescent="0.25"/>
    <row r="119565" customFormat="1" x14ac:dyDescent="0.25"/>
    <row r="119566" customFormat="1" x14ac:dyDescent="0.25"/>
    <row r="119567" customFormat="1" x14ac:dyDescent="0.25"/>
    <row r="119568" customFormat="1" x14ac:dyDescent="0.25"/>
    <row r="119569" customFormat="1" x14ac:dyDescent="0.25"/>
    <row r="119570" customFormat="1" x14ac:dyDescent="0.25"/>
    <row r="119571" customFormat="1" x14ac:dyDescent="0.25"/>
    <row r="119572" customFormat="1" x14ac:dyDescent="0.25"/>
    <row r="119573" customFormat="1" x14ac:dyDescent="0.25"/>
    <row r="119574" customFormat="1" x14ac:dyDescent="0.25"/>
    <row r="119575" customFormat="1" x14ac:dyDescent="0.25"/>
    <row r="119576" customFormat="1" x14ac:dyDescent="0.25"/>
    <row r="119577" customFormat="1" x14ac:dyDescent="0.25"/>
    <row r="119578" customFormat="1" x14ac:dyDescent="0.25"/>
    <row r="119579" customFormat="1" x14ac:dyDescent="0.25"/>
    <row r="119580" customFormat="1" x14ac:dyDescent="0.25"/>
    <row r="119581" customFormat="1" x14ac:dyDescent="0.25"/>
    <row r="119582" customFormat="1" x14ac:dyDescent="0.25"/>
    <row r="119583" customFormat="1" x14ac:dyDescent="0.25"/>
    <row r="119584" customFormat="1" x14ac:dyDescent="0.25"/>
    <row r="119585" customFormat="1" x14ac:dyDescent="0.25"/>
    <row r="119586" customFormat="1" x14ac:dyDescent="0.25"/>
    <row r="119587" customFormat="1" x14ac:dyDescent="0.25"/>
    <row r="119588" customFormat="1" x14ac:dyDescent="0.25"/>
    <row r="119589" customFormat="1" x14ac:dyDescent="0.25"/>
    <row r="119590" customFormat="1" x14ac:dyDescent="0.25"/>
    <row r="119591" customFormat="1" x14ac:dyDescent="0.25"/>
    <row r="119592" customFormat="1" x14ac:dyDescent="0.25"/>
    <row r="119593" customFormat="1" x14ac:dyDescent="0.25"/>
    <row r="119594" customFormat="1" x14ac:dyDescent="0.25"/>
    <row r="119595" customFormat="1" x14ac:dyDescent="0.25"/>
    <row r="119596" customFormat="1" x14ac:dyDescent="0.25"/>
    <row r="119597" customFormat="1" x14ac:dyDescent="0.25"/>
    <row r="119598" customFormat="1" x14ac:dyDescent="0.25"/>
    <row r="119599" customFormat="1" x14ac:dyDescent="0.25"/>
    <row r="119600" customFormat="1" x14ac:dyDescent="0.25"/>
    <row r="119601" customFormat="1" x14ac:dyDescent="0.25"/>
    <row r="119602" customFormat="1" x14ac:dyDescent="0.25"/>
    <row r="119603" customFormat="1" x14ac:dyDescent="0.25"/>
    <row r="119604" customFormat="1" x14ac:dyDescent="0.25"/>
    <row r="119605" customFormat="1" x14ac:dyDescent="0.25"/>
    <row r="119606" customFormat="1" x14ac:dyDescent="0.25"/>
    <row r="119607" customFormat="1" x14ac:dyDescent="0.25"/>
    <row r="119608" customFormat="1" x14ac:dyDescent="0.25"/>
    <row r="119609" customFormat="1" x14ac:dyDescent="0.25"/>
    <row r="119610" customFormat="1" x14ac:dyDescent="0.25"/>
    <row r="119611" customFormat="1" x14ac:dyDescent="0.25"/>
    <row r="119612" customFormat="1" x14ac:dyDescent="0.25"/>
    <row r="119613" customFormat="1" x14ac:dyDescent="0.25"/>
    <row r="119614" customFormat="1" x14ac:dyDescent="0.25"/>
    <row r="119615" customFormat="1" x14ac:dyDescent="0.25"/>
    <row r="119616" customFormat="1" x14ac:dyDescent="0.25"/>
    <row r="119617" customFormat="1" x14ac:dyDescent="0.25"/>
    <row r="119618" customFormat="1" x14ac:dyDescent="0.25"/>
    <row r="119619" customFormat="1" x14ac:dyDescent="0.25"/>
    <row r="119620" customFormat="1" x14ac:dyDescent="0.25"/>
    <row r="119621" customFormat="1" x14ac:dyDescent="0.25"/>
    <row r="119622" customFormat="1" x14ac:dyDescent="0.25"/>
    <row r="119623" customFormat="1" x14ac:dyDescent="0.25"/>
    <row r="119624" customFormat="1" x14ac:dyDescent="0.25"/>
    <row r="119625" customFormat="1" x14ac:dyDescent="0.25"/>
    <row r="119626" customFormat="1" x14ac:dyDescent="0.25"/>
    <row r="119627" customFormat="1" x14ac:dyDescent="0.25"/>
    <row r="119628" customFormat="1" x14ac:dyDescent="0.25"/>
    <row r="119629" customFormat="1" x14ac:dyDescent="0.25"/>
    <row r="119630" customFormat="1" x14ac:dyDescent="0.25"/>
    <row r="119631" customFormat="1" x14ac:dyDescent="0.25"/>
    <row r="119632" customFormat="1" x14ac:dyDescent="0.25"/>
    <row r="119633" customFormat="1" x14ac:dyDescent="0.25"/>
    <row r="119634" customFormat="1" x14ac:dyDescent="0.25"/>
    <row r="119635" customFormat="1" x14ac:dyDescent="0.25"/>
    <row r="119636" customFormat="1" x14ac:dyDescent="0.25"/>
    <row r="119637" customFormat="1" x14ac:dyDescent="0.25"/>
    <row r="119638" customFormat="1" x14ac:dyDescent="0.25"/>
    <row r="119639" customFormat="1" x14ac:dyDescent="0.25"/>
    <row r="119640" customFormat="1" x14ac:dyDescent="0.25"/>
    <row r="119641" customFormat="1" x14ac:dyDescent="0.25"/>
    <row r="119642" customFormat="1" x14ac:dyDescent="0.25"/>
    <row r="119643" customFormat="1" x14ac:dyDescent="0.25"/>
    <row r="119644" customFormat="1" x14ac:dyDescent="0.25"/>
    <row r="119645" customFormat="1" x14ac:dyDescent="0.25"/>
    <row r="119646" customFormat="1" x14ac:dyDescent="0.25"/>
    <row r="119647" customFormat="1" x14ac:dyDescent="0.25"/>
    <row r="119648" customFormat="1" x14ac:dyDescent="0.25"/>
    <row r="119649" customFormat="1" x14ac:dyDescent="0.25"/>
    <row r="119650" customFormat="1" x14ac:dyDescent="0.25"/>
    <row r="119651" customFormat="1" x14ac:dyDescent="0.25"/>
    <row r="119652" customFormat="1" x14ac:dyDescent="0.25"/>
    <row r="119653" customFormat="1" x14ac:dyDescent="0.25"/>
    <row r="119654" customFormat="1" x14ac:dyDescent="0.25"/>
    <row r="119655" customFormat="1" x14ac:dyDescent="0.25"/>
    <row r="119656" customFormat="1" x14ac:dyDescent="0.25"/>
    <row r="119657" customFormat="1" x14ac:dyDescent="0.25"/>
    <row r="119658" customFormat="1" x14ac:dyDescent="0.25"/>
    <row r="119659" customFormat="1" x14ac:dyDescent="0.25"/>
    <row r="119660" customFormat="1" x14ac:dyDescent="0.25"/>
    <row r="119661" customFormat="1" x14ac:dyDescent="0.25"/>
    <row r="119662" customFormat="1" x14ac:dyDescent="0.25"/>
    <row r="119663" customFormat="1" x14ac:dyDescent="0.25"/>
    <row r="119664" customFormat="1" x14ac:dyDescent="0.25"/>
    <row r="119665" customFormat="1" x14ac:dyDescent="0.25"/>
    <row r="119666" customFormat="1" x14ac:dyDescent="0.25"/>
    <row r="119667" customFormat="1" x14ac:dyDescent="0.25"/>
    <row r="119668" customFormat="1" x14ac:dyDescent="0.25"/>
    <row r="119669" customFormat="1" x14ac:dyDescent="0.25"/>
    <row r="119670" customFormat="1" x14ac:dyDescent="0.25"/>
    <row r="119671" customFormat="1" x14ac:dyDescent="0.25"/>
    <row r="119672" customFormat="1" x14ac:dyDescent="0.25"/>
    <row r="119673" customFormat="1" x14ac:dyDescent="0.25"/>
    <row r="119674" customFormat="1" x14ac:dyDescent="0.25"/>
    <row r="119675" customFormat="1" x14ac:dyDescent="0.25"/>
    <row r="119676" customFormat="1" x14ac:dyDescent="0.25"/>
    <row r="119677" customFormat="1" x14ac:dyDescent="0.25"/>
    <row r="119678" customFormat="1" x14ac:dyDescent="0.25"/>
    <row r="119679" customFormat="1" x14ac:dyDescent="0.25"/>
    <row r="119680" customFormat="1" x14ac:dyDescent="0.25"/>
    <row r="119681" customFormat="1" x14ac:dyDescent="0.25"/>
    <row r="119682" customFormat="1" x14ac:dyDescent="0.25"/>
    <row r="119683" customFormat="1" x14ac:dyDescent="0.25"/>
    <row r="119684" customFormat="1" x14ac:dyDescent="0.25"/>
    <row r="119685" customFormat="1" x14ac:dyDescent="0.25"/>
    <row r="119686" customFormat="1" x14ac:dyDescent="0.25"/>
    <row r="119687" customFormat="1" x14ac:dyDescent="0.25"/>
    <row r="119688" customFormat="1" x14ac:dyDescent="0.25"/>
    <row r="119689" customFormat="1" x14ac:dyDescent="0.25"/>
    <row r="119690" customFormat="1" x14ac:dyDescent="0.25"/>
    <row r="119691" customFormat="1" x14ac:dyDescent="0.25"/>
    <row r="119692" customFormat="1" x14ac:dyDescent="0.25"/>
    <row r="119693" customFormat="1" x14ac:dyDescent="0.25"/>
    <row r="119694" customFormat="1" x14ac:dyDescent="0.25"/>
    <row r="119695" customFormat="1" x14ac:dyDescent="0.25"/>
    <row r="119696" customFormat="1" x14ac:dyDescent="0.25"/>
    <row r="119697" customFormat="1" x14ac:dyDescent="0.25"/>
    <row r="119698" customFormat="1" x14ac:dyDescent="0.25"/>
    <row r="119699" customFormat="1" x14ac:dyDescent="0.25"/>
    <row r="119700" customFormat="1" x14ac:dyDescent="0.25"/>
    <row r="119701" customFormat="1" x14ac:dyDescent="0.25"/>
    <row r="119702" customFormat="1" x14ac:dyDescent="0.25"/>
    <row r="119703" customFormat="1" x14ac:dyDescent="0.25"/>
    <row r="119704" customFormat="1" x14ac:dyDescent="0.25"/>
    <row r="119705" customFormat="1" x14ac:dyDescent="0.25"/>
    <row r="119706" customFormat="1" x14ac:dyDescent="0.25"/>
    <row r="119707" customFormat="1" x14ac:dyDescent="0.25"/>
    <row r="119708" customFormat="1" x14ac:dyDescent="0.25"/>
    <row r="119709" customFormat="1" x14ac:dyDescent="0.25"/>
    <row r="119710" customFormat="1" x14ac:dyDescent="0.25"/>
    <row r="119711" customFormat="1" x14ac:dyDescent="0.25"/>
    <row r="119712" customFormat="1" x14ac:dyDescent="0.25"/>
    <row r="119713" customFormat="1" x14ac:dyDescent="0.25"/>
    <row r="119714" customFormat="1" x14ac:dyDescent="0.25"/>
    <row r="119715" customFormat="1" x14ac:dyDescent="0.25"/>
    <row r="119716" customFormat="1" x14ac:dyDescent="0.25"/>
    <row r="119717" customFormat="1" x14ac:dyDescent="0.25"/>
    <row r="119718" customFormat="1" x14ac:dyDescent="0.25"/>
    <row r="119719" customFormat="1" x14ac:dyDescent="0.25"/>
    <row r="119720" customFormat="1" x14ac:dyDescent="0.25"/>
    <row r="119721" customFormat="1" x14ac:dyDescent="0.25"/>
    <row r="119722" customFormat="1" x14ac:dyDescent="0.25"/>
    <row r="119723" customFormat="1" x14ac:dyDescent="0.25"/>
    <row r="119724" customFormat="1" x14ac:dyDescent="0.25"/>
    <row r="119725" customFormat="1" x14ac:dyDescent="0.25"/>
    <row r="119726" customFormat="1" x14ac:dyDescent="0.25"/>
    <row r="119727" customFormat="1" x14ac:dyDescent="0.25"/>
    <row r="119728" customFormat="1" x14ac:dyDescent="0.25"/>
    <row r="119729" customFormat="1" x14ac:dyDescent="0.25"/>
    <row r="119730" customFormat="1" x14ac:dyDescent="0.25"/>
    <row r="119731" customFormat="1" x14ac:dyDescent="0.25"/>
    <row r="119732" customFormat="1" x14ac:dyDescent="0.25"/>
    <row r="119733" customFormat="1" x14ac:dyDescent="0.25"/>
    <row r="119734" customFormat="1" x14ac:dyDescent="0.25"/>
    <row r="119735" customFormat="1" x14ac:dyDescent="0.25"/>
    <row r="119736" customFormat="1" x14ac:dyDescent="0.25"/>
    <row r="119737" customFormat="1" x14ac:dyDescent="0.25"/>
    <row r="119738" customFormat="1" x14ac:dyDescent="0.25"/>
    <row r="119739" customFormat="1" x14ac:dyDescent="0.25"/>
    <row r="119740" customFormat="1" x14ac:dyDescent="0.25"/>
    <row r="119741" customFormat="1" x14ac:dyDescent="0.25"/>
    <row r="119742" customFormat="1" x14ac:dyDescent="0.25"/>
    <row r="119743" customFormat="1" x14ac:dyDescent="0.25"/>
    <row r="119744" customFormat="1" x14ac:dyDescent="0.25"/>
    <row r="119745" customFormat="1" x14ac:dyDescent="0.25"/>
    <row r="119746" customFormat="1" x14ac:dyDescent="0.25"/>
    <row r="119747" customFormat="1" x14ac:dyDescent="0.25"/>
    <row r="119748" customFormat="1" x14ac:dyDescent="0.25"/>
    <row r="119749" customFormat="1" x14ac:dyDescent="0.25"/>
    <row r="119750" customFormat="1" x14ac:dyDescent="0.25"/>
    <row r="119751" customFormat="1" x14ac:dyDescent="0.25"/>
    <row r="119752" customFormat="1" x14ac:dyDescent="0.25"/>
    <row r="119753" customFormat="1" x14ac:dyDescent="0.25"/>
    <row r="119754" customFormat="1" x14ac:dyDescent="0.25"/>
    <row r="119755" customFormat="1" x14ac:dyDescent="0.25"/>
    <row r="119756" customFormat="1" x14ac:dyDescent="0.25"/>
    <row r="119757" customFormat="1" x14ac:dyDescent="0.25"/>
    <row r="119758" customFormat="1" x14ac:dyDescent="0.25"/>
    <row r="119759" customFormat="1" x14ac:dyDescent="0.25"/>
    <row r="119760" customFormat="1" x14ac:dyDescent="0.25"/>
    <row r="119761" customFormat="1" x14ac:dyDescent="0.25"/>
    <row r="119762" customFormat="1" x14ac:dyDescent="0.25"/>
    <row r="119763" customFormat="1" x14ac:dyDescent="0.25"/>
    <row r="119764" customFormat="1" x14ac:dyDescent="0.25"/>
    <row r="119765" customFormat="1" x14ac:dyDescent="0.25"/>
    <row r="119766" customFormat="1" x14ac:dyDescent="0.25"/>
    <row r="119767" customFormat="1" x14ac:dyDescent="0.25"/>
    <row r="119768" customFormat="1" x14ac:dyDescent="0.25"/>
    <row r="119769" customFormat="1" x14ac:dyDescent="0.25"/>
    <row r="119770" customFormat="1" x14ac:dyDescent="0.25"/>
    <row r="119771" customFormat="1" x14ac:dyDescent="0.25"/>
    <row r="119772" customFormat="1" x14ac:dyDescent="0.25"/>
    <row r="119773" customFormat="1" x14ac:dyDescent="0.25"/>
    <row r="119774" customFormat="1" x14ac:dyDescent="0.25"/>
    <row r="119775" customFormat="1" x14ac:dyDescent="0.25"/>
    <row r="119776" customFormat="1" x14ac:dyDescent="0.25"/>
    <row r="119777" customFormat="1" x14ac:dyDescent="0.25"/>
    <row r="119778" customFormat="1" x14ac:dyDescent="0.25"/>
    <row r="119779" customFormat="1" x14ac:dyDescent="0.25"/>
    <row r="119780" customFormat="1" x14ac:dyDescent="0.25"/>
    <row r="119781" customFormat="1" x14ac:dyDescent="0.25"/>
    <row r="119782" customFormat="1" x14ac:dyDescent="0.25"/>
    <row r="119783" customFormat="1" x14ac:dyDescent="0.25"/>
    <row r="119784" customFormat="1" x14ac:dyDescent="0.25"/>
    <row r="119785" customFormat="1" x14ac:dyDescent="0.25"/>
    <row r="119786" customFormat="1" x14ac:dyDescent="0.25"/>
    <row r="119787" customFormat="1" x14ac:dyDescent="0.25"/>
    <row r="119788" customFormat="1" x14ac:dyDescent="0.25"/>
    <row r="119789" customFormat="1" x14ac:dyDescent="0.25"/>
    <row r="119790" customFormat="1" x14ac:dyDescent="0.25"/>
    <row r="119791" customFormat="1" x14ac:dyDescent="0.25"/>
    <row r="119792" customFormat="1" x14ac:dyDescent="0.25"/>
    <row r="119793" customFormat="1" x14ac:dyDescent="0.25"/>
    <row r="119794" customFormat="1" x14ac:dyDescent="0.25"/>
    <row r="119795" customFormat="1" x14ac:dyDescent="0.25"/>
    <row r="119796" customFormat="1" x14ac:dyDescent="0.25"/>
    <row r="119797" customFormat="1" x14ac:dyDescent="0.25"/>
    <row r="119798" customFormat="1" x14ac:dyDescent="0.25"/>
    <row r="119799" customFormat="1" x14ac:dyDescent="0.25"/>
    <row r="119800" customFormat="1" x14ac:dyDescent="0.25"/>
    <row r="119801" customFormat="1" x14ac:dyDescent="0.25"/>
    <row r="119802" customFormat="1" x14ac:dyDescent="0.25"/>
    <row r="119803" customFormat="1" x14ac:dyDescent="0.25"/>
    <row r="119804" customFormat="1" x14ac:dyDescent="0.25"/>
    <row r="119805" customFormat="1" x14ac:dyDescent="0.25"/>
    <row r="119806" customFormat="1" x14ac:dyDescent="0.25"/>
    <row r="119807" customFormat="1" x14ac:dyDescent="0.25"/>
    <row r="119808" customFormat="1" x14ac:dyDescent="0.25"/>
    <row r="119809" customFormat="1" x14ac:dyDescent="0.25"/>
    <row r="119810" customFormat="1" x14ac:dyDescent="0.25"/>
    <row r="119811" customFormat="1" x14ac:dyDescent="0.25"/>
    <row r="119812" customFormat="1" x14ac:dyDescent="0.25"/>
    <row r="119813" customFormat="1" x14ac:dyDescent="0.25"/>
    <row r="119814" customFormat="1" x14ac:dyDescent="0.25"/>
    <row r="119815" customFormat="1" x14ac:dyDescent="0.25"/>
    <row r="119816" customFormat="1" x14ac:dyDescent="0.25"/>
    <row r="119817" customFormat="1" x14ac:dyDescent="0.25"/>
    <row r="119818" customFormat="1" x14ac:dyDescent="0.25"/>
    <row r="119819" customFormat="1" x14ac:dyDescent="0.25"/>
    <row r="119820" customFormat="1" x14ac:dyDescent="0.25"/>
    <row r="119821" customFormat="1" x14ac:dyDescent="0.25"/>
    <row r="119822" customFormat="1" x14ac:dyDescent="0.25"/>
    <row r="119823" customFormat="1" x14ac:dyDescent="0.25"/>
    <row r="119824" customFormat="1" x14ac:dyDescent="0.25"/>
    <row r="119825" customFormat="1" x14ac:dyDescent="0.25"/>
    <row r="119826" customFormat="1" x14ac:dyDescent="0.25"/>
    <row r="119827" customFormat="1" x14ac:dyDescent="0.25"/>
    <row r="119828" customFormat="1" x14ac:dyDescent="0.25"/>
    <row r="119829" customFormat="1" x14ac:dyDescent="0.25"/>
    <row r="119830" customFormat="1" x14ac:dyDescent="0.25"/>
    <row r="119831" customFormat="1" x14ac:dyDescent="0.25"/>
    <row r="119832" customFormat="1" x14ac:dyDescent="0.25"/>
    <row r="119833" customFormat="1" x14ac:dyDescent="0.25"/>
    <row r="119834" customFormat="1" x14ac:dyDescent="0.25"/>
    <row r="119835" customFormat="1" x14ac:dyDescent="0.25"/>
    <row r="119836" customFormat="1" x14ac:dyDescent="0.25"/>
    <row r="119837" customFormat="1" x14ac:dyDescent="0.25"/>
    <row r="119838" customFormat="1" x14ac:dyDescent="0.25"/>
    <row r="119839" customFormat="1" x14ac:dyDescent="0.25"/>
    <row r="119840" customFormat="1" x14ac:dyDescent="0.25"/>
    <row r="119841" customFormat="1" x14ac:dyDescent="0.25"/>
    <row r="119842" customFormat="1" x14ac:dyDescent="0.25"/>
    <row r="119843" customFormat="1" x14ac:dyDescent="0.25"/>
    <row r="119844" customFormat="1" x14ac:dyDescent="0.25"/>
    <row r="119845" customFormat="1" x14ac:dyDescent="0.25"/>
    <row r="119846" customFormat="1" x14ac:dyDescent="0.25"/>
    <row r="119847" customFormat="1" x14ac:dyDescent="0.25"/>
    <row r="119848" customFormat="1" x14ac:dyDescent="0.25"/>
    <row r="119849" customFormat="1" x14ac:dyDescent="0.25"/>
    <row r="119850" customFormat="1" x14ac:dyDescent="0.25"/>
    <row r="119851" customFormat="1" x14ac:dyDescent="0.25"/>
    <row r="119852" customFormat="1" x14ac:dyDescent="0.25"/>
    <row r="119853" customFormat="1" x14ac:dyDescent="0.25"/>
    <row r="119854" customFormat="1" x14ac:dyDescent="0.25"/>
    <row r="119855" customFormat="1" x14ac:dyDescent="0.25"/>
    <row r="119856" customFormat="1" x14ac:dyDescent="0.25"/>
    <row r="119857" customFormat="1" x14ac:dyDescent="0.25"/>
    <row r="119858" customFormat="1" x14ac:dyDescent="0.25"/>
    <row r="119859" customFormat="1" x14ac:dyDescent="0.25"/>
    <row r="119860" customFormat="1" x14ac:dyDescent="0.25"/>
    <row r="119861" customFormat="1" x14ac:dyDescent="0.25"/>
    <row r="119862" customFormat="1" x14ac:dyDescent="0.25"/>
    <row r="119863" customFormat="1" x14ac:dyDescent="0.25"/>
    <row r="119864" customFormat="1" x14ac:dyDescent="0.25"/>
    <row r="119865" customFormat="1" x14ac:dyDescent="0.25"/>
    <row r="119866" customFormat="1" x14ac:dyDescent="0.25"/>
    <row r="119867" customFormat="1" x14ac:dyDescent="0.25"/>
    <row r="119868" customFormat="1" x14ac:dyDescent="0.25"/>
    <row r="119869" customFormat="1" x14ac:dyDescent="0.25"/>
    <row r="119870" customFormat="1" x14ac:dyDescent="0.25"/>
    <row r="119871" customFormat="1" x14ac:dyDescent="0.25"/>
    <row r="119872" customFormat="1" x14ac:dyDescent="0.25"/>
    <row r="119873" customFormat="1" x14ac:dyDescent="0.25"/>
    <row r="119874" customFormat="1" x14ac:dyDescent="0.25"/>
    <row r="119875" customFormat="1" x14ac:dyDescent="0.25"/>
    <row r="119876" customFormat="1" x14ac:dyDescent="0.25"/>
    <row r="119877" customFormat="1" x14ac:dyDescent="0.25"/>
    <row r="119878" customFormat="1" x14ac:dyDescent="0.25"/>
    <row r="119879" customFormat="1" x14ac:dyDescent="0.25"/>
    <row r="119880" customFormat="1" x14ac:dyDescent="0.25"/>
    <row r="119881" customFormat="1" x14ac:dyDescent="0.25"/>
    <row r="119882" customFormat="1" x14ac:dyDescent="0.25"/>
    <row r="119883" customFormat="1" x14ac:dyDescent="0.25"/>
    <row r="119884" customFormat="1" x14ac:dyDescent="0.25"/>
    <row r="119885" customFormat="1" x14ac:dyDescent="0.25"/>
    <row r="119886" customFormat="1" x14ac:dyDescent="0.25"/>
    <row r="119887" customFormat="1" x14ac:dyDescent="0.25"/>
    <row r="119888" customFormat="1" x14ac:dyDescent="0.25"/>
    <row r="119889" customFormat="1" x14ac:dyDescent="0.25"/>
    <row r="119890" customFormat="1" x14ac:dyDescent="0.25"/>
    <row r="119891" customFormat="1" x14ac:dyDescent="0.25"/>
    <row r="119892" customFormat="1" x14ac:dyDescent="0.25"/>
    <row r="119893" customFormat="1" x14ac:dyDescent="0.25"/>
    <row r="119894" customFormat="1" x14ac:dyDescent="0.25"/>
    <row r="119895" customFormat="1" x14ac:dyDescent="0.25"/>
    <row r="119896" customFormat="1" x14ac:dyDescent="0.25"/>
    <row r="119897" customFormat="1" x14ac:dyDescent="0.25"/>
    <row r="119898" customFormat="1" x14ac:dyDescent="0.25"/>
    <row r="119899" customFormat="1" x14ac:dyDescent="0.25"/>
    <row r="119900" customFormat="1" x14ac:dyDescent="0.25"/>
    <row r="119901" customFormat="1" x14ac:dyDescent="0.25"/>
    <row r="119902" customFormat="1" x14ac:dyDescent="0.25"/>
    <row r="119903" customFormat="1" x14ac:dyDescent="0.25"/>
    <row r="119904" customFormat="1" x14ac:dyDescent="0.25"/>
    <row r="119905" customFormat="1" x14ac:dyDescent="0.25"/>
    <row r="119906" customFormat="1" x14ac:dyDescent="0.25"/>
    <row r="119907" customFormat="1" x14ac:dyDescent="0.25"/>
    <row r="119908" customFormat="1" x14ac:dyDescent="0.25"/>
    <row r="119909" customFormat="1" x14ac:dyDescent="0.25"/>
    <row r="119910" customFormat="1" x14ac:dyDescent="0.25"/>
    <row r="119911" customFormat="1" x14ac:dyDescent="0.25"/>
    <row r="119912" customFormat="1" x14ac:dyDescent="0.25"/>
    <row r="119913" customFormat="1" x14ac:dyDescent="0.25"/>
    <row r="119914" customFormat="1" x14ac:dyDescent="0.25"/>
    <row r="119915" customFormat="1" x14ac:dyDescent="0.25"/>
    <row r="119916" customFormat="1" x14ac:dyDescent="0.25"/>
    <row r="119917" customFormat="1" x14ac:dyDescent="0.25"/>
    <row r="119918" customFormat="1" x14ac:dyDescent="0.25"/>
    <row r="119919" customFormat="1" x14ac:dyDescent="0.25"/>
    <row r="119920" customFormat="1" x14ac:dyDescent="0.25"/>
    <row r="119921" customFormat="1" x14ac:dyDescent="0.25"/>
    <row r="119922" customFormat="1" x14ac:dyDescent="0.25"/>
    <row r="119923" customFormat="1" x14ac:dyDescent="0.25"/>
    <row r="119924" customFormat="1" x14ac:dyDescent="0.25"/>
    <row r="119925" customFormat="1" x14ac:dyDescent="0.25"/>
    <row r="119926" customFormat="1" x14ac:dyDescent="0.25"/>
    <row r="119927" customFormat="1" x14ac:dyDescent="0.25"/>
    <row r="119928" customFormat="1" x14ac:dyDescent="0.25"/>
    <row r="119929" customFormat="1" x14ac:dyDescent="0.25"/>
    <row r="119930" customFormat="1" x14ac:dyDescent="0.25"/>
    <row r="119931" customFormat="1" x14ac:dyDescent="0.25"/>
    <row r="119932" customFormat="1" x14ac:dyDescent="0.25"/>
    <row r="119933" customFormat="1" x14ac:dyDescent="0.25"/>
    <row r="119934" customFormat="1" x14ac:dyDescent="0.25"/>
    <row r="119935" customFormat="1" x14ac:dyDescent="0.25"/>
    <row r="119936" customFormat="1" x14ac:dyDescent="0.25"/>
    <row r="119937" customFormat="1" x14ac:dyDescent="0.25"/>
    <row r="119938" customFormat="1" x14ac:dyDescent="0.25"/>
    <row r="119939" customFormat="1" x14ac:dyDescent="0.25"/>
    <row r="119940" customFormat="1" x14ac:dyDescent="0.25"/>
    <row r="119941" customFormat="1" x14ac:dyDescent="0.25"/>
    <row r="119942" customFormat="1" x14ac:dyDescent="0.25"/>
    <row r="119943" customFormat="1" x14ac:dyDescent="0.25"/>
    <row r="119944" customFormat="1" x14ac:dyDescent="0.25"/>
    <row r="119945" customFormat="1" x14ac:dyDescent="0.25"/>
    <row r="119946" customFormat="1" x14ac:dyDescent="0.25"/>
    <row r="119947" customFormat="1" x14ac:dyDescent="0.25"/>
    <row r="119948" customFormat="1" x14ac:dyDescent="0.25"/>
    <row r="119949" customFormat="1" x14ac:dyDescent="0.25"/>
    <row r="119950" customFormat="1" x14ac:dyDescent="0.25"/>
    <row r="119951" customFormat="1" x14ac:dyDescent="0.25"/>
    <row r="119952" customFormat="1" x14ac:dyDescent="0.25"/>
    <row r="119953" customFormat="1" x14ac:dyDescent="0.25"/>
    <row r="119954" customFormat="1" x14ac:dyDescent="0.25"/>
    <row r="119955" customFormat="1" x14ac:dyDescent="0.25"/>
    <row r="119956" customFormat="1" x14ac:dyDescent="0.25"/>
    <row r="119957" customFormat="1" x14ac:dyDescent="0.25"/>
    <row r="119958" customFormat="1" x14ac:dyDescent="0.25"/>
    <row r="119959" customFormat="1" x14ac:dyDescent="0.25"/>
    <row r="119960" customFormat="1" x14ac:dyDescent="0.25"/>
    <row r="119961" customFormat="1" x14ac:dyDescent="0.25"/>
    <row r="119962" customFormat="1" x14ac:dyDescent="0.25"/>
    <row r="119963" customFormat="1" x14ac:dyDescent="0.25"/>
    <row r="119964" customFormat="1" x14ac:dyDescent="0.25"/>
    <row r="119965" customFormat="1" x14ac:dyDescent="0.25"/>
    <row r="119966" customFormat="1" x14ac:dyDescent="0.25"/>
    <row r="119967" customFormat="1" x14ac:dyDescent="0.25"/>
    <row r="119968" customFormat="1" x14ac:dyDescent="0.25"/>
    <row r="119969" customFormat="1" x14ac:dyDescent="0.25"/>
    <row r="119970" customFormat="1" x14ac:dyDescent="0.25"/>
    <row r="119971" customFormat="1" x14ac:dyDescent="0.25"/>
    <row r="119972" customFormat="1" x14ac:dyDescent="0.25"/>
    <row r="119973" customFormat="1" x14ac:dyDescent="0.25"/>
    <row r="119974" customFormat="1" x14ac:dyDescent="0.25"/>
    <row r="119975" customFormat="1" x14ac:dyDescent="0.25"/>
    <row r="119976" customFormat="1" x14ac:dyDescent="0.25"/>
    <row r="119977" customFormat="1" x14ac:dyDescent="0.25"/>
    <row r="119978" customFormat="1" x14ac:dyDescent="0.25"/>
    <row r="119979" customFormat="1" x14ac:dyDescent="0.25"/>
    <row r="119980" customFormat="1" x14ac:dyDescent="0.25"/>
    <row r="119981" customFormat="1" x14ac:dyDescent="0.25"/>
    <row r="119982" customFormat="1" x14ac:dyDescent="0.25"/>
    <row r="119983" customFormat="1" x14ac:dyDescent="0.25"/>
    <row r="119984" customFormat="1" x14ac:dyDescent="0.25"/>
    <row r="119985" customFormat="1" x14ac:dyDescent="0.25"/>
    <row r="119986" customFormat="1" x14ac:dyDescent="0.25"/>
    <row r="119987" customFormat="1" x14ac:dyDescent="0.25"/>
    <row r="119988" customFormat="1" x14ac:dyDescent="0.25"/>
    <row r="119989" customFormat="1" x14ac:dyDescent="0.25"/>
    <row r="119990" customFormat="1" x14ac:dyDescent="0.25"/>
    <row r="119991" customFormat="1" x14ac:dyDescent="0.25"/>
    <row r="119992" customFormat="1" x14ac:dyDescent="0.25"/>
    <row r="119993" customFormat="1" x14ac:dyDescent="0.25"/>
    <row r="119994" customFormat="1" x14ac:dyDescent="0.25"/>
    <row r="119995" customFormat="1" x14ac:dyDescent="0.25"/>
    <row r="119996" customFormat="1" x14ac:dyDescent="0.25"/>
    <row r="119997" customFormat="1" x14ac:dyDescent="0.25"/>
    <row r="119998" customFormat="1" x14ac:dyDescent="0.25"/>
    <row r="119999" customFormat="1" x14ac:dyDescent="0.25"/>
    <row r="120000" customFormat="1" x14ac:dyDescent="0.25"/>
    <row r="120001" customFormat="1" x14ac:dyDescent="0.25"/>
    <row r="120002" customFormat="1" x14ac:dyDescent="0.25"/>
    <row r="120003" customFormat="1" x14ac:dyDescent="0.25"/>
    <row r="120004" customFormat="1" x14ac:dyDescent="0.25"/>
    <row r="120005" customFormat="1" x14ac:dyDescent="0.25"/>
    <row r="120006" customFormat="1" x14ac:dyDescent="0.25"/>
    <row r="120007" customFormat="1" x14ac:dyDescent="0.25"/>
    <row r="120008" customFormat="1" x14ac:dyDescent="0.25"/>
    <row r="120009" customFormat="1" x14ac:dyDescent="0.25"/>
    <row r="120010" customFormat="1" x14ac:dyDescent="0.25"/>
    <row r="120011" customFormat="1" x14ac:dyDescent="0.25"/>
    <row r="120012" customFormat="1" x14ac:dyDescent="0.25"/>
    <row r="120013" customFormat="1" x14ac:dyDescent="0.25"/>
    <row r="120014" customFormat="1" x14ac:dyDescent="0.25"/>
    <row r="120015" customFormat="1" x14ac:dyDescent="0.25"/>
    <row r="120016" customFormat="1" x14ac:dyDescent="0.25"/>
    <row r="120017" customFormat="1" x14ac:dyDescent="0.25"/>
    <row r="120018" customFormat="1" x14ac:dyDescent="0.25"/>
    <row r="120019" customFormat="1" x14ac:dyDescent="0.25"/>
    <row r="120020" customFormat="1" x14ac:dyDescent="0.25"/>
    <row r="120021" customFormat="1" x14ac:dyDescent="0.25"/>
    <row r="120022" customFormat="1" x14ac:dyDescent="0.25"/>
    <row r="120023" customFormat="1" x14ac:dyDescent="0.25"/>
    <row r="120024" customFormat="1" x14ac:dyDescent="0.25"/>
    <row r="120025" customFormat="1" x14ac:dyDescent="0.25"/>
    <row r="120026" customFormat="1" x14ac:dyDescent="0.25"/>
    <row r="120027" customFormat="1" x14ac:dyDescent="0.25"/>
    <row r="120028" customFormat="1" x14ac:dyDescent="0.25"/>
    <row r="120029" customFormat="1" x14ac:dyDescent="0.25"/>
    <row r="120030" customFormat="1" x14ac:dyDescent="0.25"/>
    <row r="120031" customFormat="1" x14ac:dyDescent="0.25"/>
    <row r="120032" customFormat="1" x14ac:dyDescent="0.25"/>
    <row r="120033" customFormat="1" x14ac:dyDescent="0.25"/>
    <row r="120034" customFormat="1" x14ac:dyDescent="0.25"/>
    <row r="120035" customFormat="1" x14ac:dyDescent="0.25"/>
    <row r="120036" customFormat="1" x14ac:dyDescent="0.25"/>
    <row r="120037" customFormat="1" x14ac:dyDescent="0.25"/>
    <row r="120038" customFormat="1" x14ac:dyDescent="0.25"/>
    <row r="120039" customFormat="1" x14ac:dyDescent="0.25"/>
    <row r="120040" customFormat="1" x14ac:dyDescent="0.25"/>
    <row r="120041" customFormat="1" x14ac:dyDescent="0.25"/>
    <row r="120042" customFormat="1" x14ac:dyDescent="0.25"/>
    <row r="120043" customFormat="1" x14ac:dyDescent="0.25"/>
    <row r="120044" customFormat="1" x14ac:dyDescent="0.25"/>
    <row r="120045" customFormat="1" x14ac:dyDescent="0.25"/>
    <row r="120046" customFormat="1" x14ac:dyDescent="0.25"/>
    <row r="120047" customFormat="1" x14ac:dyDescent="0.25"/>
    <row r="120048" customFormat="1" x14ac:dyDescent="0.25"/>
    <row r="120049" customFormat="1" x14ac:dyDescent="0.25"/>
    <row r="120050" customFormat="1" x14ac:dyDescent="0.25"/>
    <row r="120051" customFormat="1" x14ac:dyDescent="0.25"/>
    <row r="120052" customFormat="1" x14ac:dyDescent="0.25"/>
    <row r="120053" customFormat="1" x14ac:dyDescent="0.25"/>
    <row r="120054" customFormat="1" x14ac:dyDescent="0.25"/>
    <row r="120055" customFormat="1" x14ac:dyDescent="0.25"/>
    <row r="120056" customFormat="1" x14ac:dyDescent="0.25"/>
    <row r="120057" customFormat="1" x14ac:dyDescent="0.25"/>
    <row r="120058" customFormat="1" x14ac:dyDescent="0.25"/>
    <row r="120059" customFormat="1" x14ac:dyDescent="0.25"/>
    <row r="120060" customFormat="1" x14ac:dyDescent="0.25"/>
    <row r="120061" customFormat="1" x14ac:dyDescent="0.25"/>
    <row r="120062" customFormat="1" x14ac:dyDescent="0.25"/>
    <row r="120063" customFormat="1" x14ac:dyDescent="0.25"/>
    <row r="120064" customFormat="1" x14ac:dyDescent="0.25"/>
    <row r="120065" customFormat="1" x14ac:dyDescent="0.25"/>
    <row r="120066" customFormat="1" x14ac:dyDescent="0.25"/>
    <row r="120067" customFormat="1" x14ac:dyDescent="0.25"/>
    <row r="120068" customFormat="1" x14ac:dyDescent="0.25"/>
    <row r="120069" customFormat="1" x14ac:dyDescent="0.25"/>
    <row r="120070" customFormat="1" x14ac:dyDescent="0.25"/>
    <row r="120071" customFormat="1" x14ac:dyDescent="0.25"/>
    <row r="120072" customFormat="1" x14ac:dyDescent="0.25"/>
    <row r="120073" customFormat="1" x14ac:dyDescent="0.25"/>
    <row r="120074" customFormat="1" x14ac:dyDescent="0.25"/>
    <row r="120075" customFormat="1" x14ac:dyDescent="0.25"/>
    <row r="120076" customFormat="1" x14ac:dyDescent="0.25"/>
    <row r="120077" customFormat="1" x14ac:dyDescent="0.25"/>
    <row r="120078" customFormat="1" x14ac:dyDescent="0.25"/>
    <row r="120079" customFormat="1" x14ac:dyDescent="0.25"/>
    <row r="120080" customFormat="1" x14ac:dyDescent="0.25"/>
    <row r="120081" customFormat="1" x14ac:dyDescent="0.25"/>
    <row r="120082" customFormat="1" x14ac:dyDescent="0.25"/>
    <row r="120083" customFormat="1" x14ac:dyDescent="0.25"/>
    <row r="120084" customFormat="1" x14ac:dyDescent="0.25"/>
    <row r="120085" customFormat="1" x14ac:dyDescent="0.25"/>
    <row r="120086" customFormat="1" x14ac:dyDescent="0.25"/>
    <row r="120087" customFormat="1" x14ac:dyDescent="0.25"/>
    <row r="120088" customFormat="1" x14ac:dyDescent="0.25"/>
    <row r="120089" customFormat="1" x14ac:dyDescent="0.25"/>
    <row r="120090" customFormat="1" x14ac:dyDescent="0.25"/>
    <row r="120091" customFormat="1" x14ac:dyDescent="0.25"/>
    <row r="120092" customFormat="1" x14ac:dyDescent="0.25"/>
    <row r="120093" customFormat="1" x14ac:dyDescent="0.25"/>
    <row r="120094" customFormat="1" x14ac:dyDescent="0.25"/>
    <row r="120095" customFormat="1" x14ac:dyDescent="0.25"/>
    <row r="120096" customFormat="1" x14ac:dyDescent="0.25"/>
    <row r="120097" customFormat="1" x14ac:dyDescent="0.25"/>
    <row r="120098" customFormat="1" x14ac:dyDescent="0.25"/>
    <row r="120099" customFormat="1" x14ac:dyDescent="0.25"/>
    <row r="120100" customFormat="1" x14ac:dyDescent="0.25"/>
    <row r="120101" customFormat="1" x14ac:dyDescent="0.25"/>
    <row r="120102" customFormat="1" x14ac:dyDescent="0.25"/>
    <row r="120103" customFormat="1" x14ac:dyDescent="0.25"/>
    <row r="120104" customFormat="1" x14ac:dyDescent="0.25"/>
    <row r="120105" customFormat="1" x14ac:dyDescent="0.25"/>
    <row r="120106" customFormat="1" x14ac:dyDescent="0.25"/>
    <row r="120107" customFormat="1" x14ac:dyDescent="0.25"/>
    <row r="120108" customFormat="1" x14ac:dyDescent="0.25"/>
    <row r="120109" customFormat="1" x14ac:dyDescent="0.25"/>
    <row r="120110" customFormat="1" x14ac:dyDescent="0.25"/>
    <row r="120111" customFormat="1" x14ac:dyDescent="0.25"/>
    <row r="120112" customFormat="1" x14ac:dyDescent="0.25"/>
    <row r="120113" customFormat="1" x14ac:dyDescent="0.25"/>
    <row r="120114" customFormat="1" x14ac:dyDescent="0.25"/>
    <row r="120115" customFormat="1" x14ac:dyDescent="0.25"/>
    <row r="120116" customFormat="1" x14ac:dyDescent="0.25"/>
    <row r="120117" customFormat="1" x14ac:dyDescent="0.25"/>
    <row r="120118" customFormat="1" x14ac:dyDescent="0.25"/>
    <row r="120119" customFormat="1" x14ac:dyDescent="0.25"/>
    <row r="120120" customFormat="1" x14ac:dyDescent="0.25"/>
    <row r="120121" customFormat="1" x14ac:dyDescent="0.25"/>
    <row r="120122" customFormat="1" x14ac:dyDescent="0.25"/>
    <row r="120123" customFormat="1" x14ac:dyDescent="0.25"/>
    <row r="120124" customFormat="1" x14ac:dyDescent="0.25"/>
    <row r="120125" customFormat="1" x14ac:dyDescent="0.25"/>
    <row r="120126" customFormat="1" x14ac:dyDescent="0.25"/>
    <row r="120127" customFormat="1" x14ac:dyDescent="0.25"/>
    <row r="120128" customFormat="1" x14ac:dyDescent="0.25"/>
    <row r="120129" customFormat="1" x14ac:dyDescent="0.25"/>
    <row r="120130" customFormat="1" x14ac:dyDescent="0.25"/>
    <row r="120131" customFormat="1" x14ac:dyDescent="0.25"/>
    <row r="120132" customFormat="1" x14ac:dyDescent="0.25"/>
    <row r="120133" customFormat="1" x14ac:dyDescent="0.25"/>
    <row r="120134" customFormat="1" x14ac:dyDescent="0.25"/>
    <row r="120135" customFormat="1" x14ac:dyDescent="0.25"/>
    <row r="120136" customFormat="1" x14ac:dyDescent="0.25"/>
    <row r="120137" customFormat="1" x14ac:dyDescent="0.25"/>
    <row r="120138" customFormat="1" x14ac:dyDescent="0.25"/>
    <row r="120139" customFormat="1" x14ac:dyDescent="0.25"/>
    <row r="120140" customFormat="1" x14ac:dyDescent="0.25"/>
    <row r="120141" customFormat="1" x14ac:dyDescent="0.25"/>
    <row r="120142" customFormat="1" x14ac:dyDescent="0.25"/>
    <row r="120143" customFormat="1" x14ac:dyDescent="0.25"/>
    <row r="120144" customFormat="1" x14ac:dyDescent="0.25"/>
    <row r="120145" customFormat="1" x14ac:dyDescent="0.25"/>
    <row r="120146" customFormat="1" x14ac:dyDescent="0.25"/>
    <row r="120147" customFormat="1" x14ac:dyDescent="0.25"/>
    <row r="120148" customFormat="1" x14ac:dyDescent="0.25"/>
    <row r="120149" customFormat="1" x14ac:dyDescent="0.25"/>
    <row r="120150" customFormat="1" x14ac:dyDescent="0.25"/>
    <row r="120151" customFormat="1" x14ac:dyDescent="0.25"/>
    <row r="120152" customFormat="1" x14ac:dyDescent="0.25"/>
    <row r="120153" customFormat="1" x14ac:dyDescent="0.25"/>
    <row r="120154" customFormat="1" x14ac:dyDescent="0.25"/>
    <row r="120155" customFormat="1" x14ac:dyDescent="0.25"/>
    <row r="120156" customFormat="1" x14ac:dyDescent="0.25"/>
    <row r="120157" customFormat="1" x14ac:dyDescent="0.25"/>
    <row r="120158" customFormat="1" x14ac:dyDescent="0.25"/>
    <row r="120159" customFormat="1" x14ac:dyDescent="0.25"/>
    <row r="120160" customFormat="1" x14ac:dyDescent="0.25"/>
    <row r="120161" customFormat="1" x14ac:dyDescent="0.25"/>
    <row r="120162" customFormat="1" x14ac:dyDescent="0.25"/>
    <row r="120163" customFormat="1" x14ac:dyDescent="0.25"/>
    <row r="120164" customFormat="1" x14ac:dyDescent="0.25"/>
    <row r="120165" customFormat="1" x14ac:dyDescent="0.25"/>
    <row r="120166" customFormat="1" x14ac:dyDescent="0.25"/>
    <row r="120167" customFormat="1" x14ac:dyDescent="0.25"/>
    <row r="120168" customFormat="1" x14ac:dyDescent="0.25"/>
    <row r="120169" customFormat="1" x14ac:dyDescent="0.25"/>
    <row r="120170" customFormat="1" x14ac:dyDescent="0.25"/>
    <row r="120171" customFormat="1" x14ac:dyDescent="0.25"/>
    <row r="120172" customFormat="1" x14ac:dyDescent="0.25"/>
    <row r="120173" customFormat="1" x14ac:dyDescent="0.25"/>
    <row r="120174" customFormat="1" x14ac:dyDescent="0.25"/>
    <row r="120175" customFormat="1" x14ac:dyDescent="0.25"/>
    <row r="120176" customFormat="1" x14ac:dyDescent="0.25"/>
    <row r="120177" customFormat="1" x14ac:dyDescent="0.25"/>
    <row r="120178" customFormat="1" x14ac:dyDescent="0.25"/>
    <row r="120179" customFormat="1" x14ac:dyDescent="0.25"/>
    <row r="120180" customFormat="1" x14ac:dyDescent="0.25"/>
    <row r="120181" customFormat="1" x14ac:dyDescent="0.25"/>
    <row r="120182" customFormat="1" x14ac:dyDescent="0.25"/>
    <row r="120183" customFormat="1" x14ac:dyDescent="0.25"/>
    <row r="120184" customFormat="1" x14ac:dyDescent="0.25"/>
    <row r="120185" customFormat="1" x14ac:dyDescent="0.25"/>
    <row r="120186" customFormat="1" x14ac:dyDescent="0.25"/>
    <row r="120187" customFormat="1" x14ac:dyDescent="0.25"/>
    <row r="120188" customFormat="1" x14ac:dyDescent="0.25"/>
    <row r="120189" customFormat="1" x14ac:dyDescent="0.25"/>
    <row r="120190" customFormat="1" x14ac:dyDescent="0.25"/>
    <row r="120191" customFormat="1" x14ac:dyDescent="0.25"/>
    <row r="120192" customFormat="1" x14ac:dyDescent="0.25"/>
    <row r="120193" customFormat="1" x14ac:dyDescent="0.25"/>
    <row r="120194" customFormat="1" x14ac:dyDescent="0.25"/>
    <row r="120195" customFormat="1" x14ac:dyDescent="0.25"/>
    <row r="120196" customFormat="1" x14ac:dyDescent="0.25"/>
    <row r="120197" customFormat="1" x14ac:dyDescent="0.25"/>
    <row r="120198" customFormat="1" x14ac:dyDescent="0.25"/>
    <row r="120199" customFormat="1" x14ac:dyDescent="0.25"/>
    <row r="120200" customFormat="1" x14ac:dyDescent="0.25"/>
    <row r="120201" customFormat="1" x14ac:dyDescent="0.25"/>
    <row r="120202" customFormat="1" x14ac:dyDescent="0.25"/>
    <row r="120203" customFormat="1" x14ac:dyDescent="0.25"/>
    <row r="120204" customFormat="1" x14ac:dyDescent="0.25"/>
    <row r="120205" customFormat="1" x14ac:dyDescent="0.25"/>
    <row r="120206" customFormat="1" x14ac:dyDescent="0.25"/>
    <row r="120207" customFormat="1" x14ac:dyDescent="0.25"/>
    <row r="120208" customFormat="1" x14ac:dyDescent="0.25"/>
    <row r="120209" customFormat="1" x14ac:dyDescent="0.25"/>
    <row r="120210" customFormat="1" x14ac:dyDescent="0.25"/>
    <row r="120211" customFormat="1" x14ac:dyDescent="0.25"/>
    <row r="120212" customFormat="1" x14ac:dyDescent="0.25"/>
    <row r="120213" customFormat="1" x14ac:dyDescent="0.25"/>
    <row r="120214" customFormat="1" x14ac:dyDescent="0.25"/>
    <row r="120215" customFormat="1" x14ac:dyDescent="0.25"/>
    <row r="120216" customFormat="1" x14ac:dyDescent="0.25"/>
    <row r="120217" customFormat="1" x14ac:dyDescent="0.25"/>
    <row r="120218" customFormat="1" x14ac:dyDescent="0.25"/>
    <row r="120219" customFormat="1" x14ac:dyDescent="0.25"/>
    <row r="120220" customFormat="1" x14ac:dyDescent="0.25"/>
    <row r="120221" customFormat="1" x14ac:dyDescent="0.25"/>
    <row r="120222" customFormat="1" x14ac:dyDescent="0.25"/>
    <row r="120223" customFormat="1" x14ac:dyDescent="0.25"/>
    <row r="120224" customFormat="1" x14ac:dyDescent="0.25"/>
    <row r="120225" customFormat="1" x14ac:dyDescent="0.25"/>
    <row r="120226" customFormat="1" x14ac:dyDescent="0.25"/>
    <row r="120227" customFormat="1" x14ac:dyDescent="0.25"/>
    <row r="120228" customFormat="1" x14ac:dyDescent="0.25"/>
    <row r="120229" customFormat="1" x14ac:dyDescent="0.25"/>
    <row r="120230" customFormat="1" x14ac:dyDescent="0.25"/>
    <row r="120231" customFormat="1" x14ac:dyDescent="0.25"/>
    <row r="120232" customFormat="1" x14ac:dyDescent="0.25"/>
    <row r="120233" customFormat="1" x14ac:dyDescent="0.25"/>
    <row r="120234" customFormat="1" x14ac:dyDescent="0.25"/>
    <row r="120235" customFormat="1" x14ac:dyDescent="0.25"/>
    <row r="120236" customFormat="1" x14ac:dyDescent="0.25"/>
    <row r="120237" customFormat="1" x14ac:dyDescent="0.25"/>
    <row r="120238" customFormat="1" x14ac:dyDescent="0.25"/>
    <row r="120239" customFormat="1" x14ac:dyDescent="0.25"/>
    <row r="120240" customFormat="1" x14ac:dyDescent="0.25"/>
    <row r="120241" customFormat="1" x14ac:dyDescent="0.25"/>
    <row r="120242" customFormat="1" x14ac:dyDescent="0.25"/>
    <row r="120243" customFormat="1" x14ac:dyDescent="0.25"/>
    <row r="120244" customFormat="1" x14ac:dyDescent="0.25"/>
    <row r="120245" customFormat="1" x14ac:dyDescent="0.25"/>
    <row r="120246" customFormat="1" x14ac:dyDescent="0.25"/>
    <row r="120247" customFormat="1" x14ac:dyDescent="0.25"/>
    <row r="120248" customFormat="1" x14ac:dyDescent="0.25"/>
    <row r="120249" customFormat="1" x14ac:dyDescent="0.25"/>
    <row r="120250" customFormat="1" x14ac:dyDescent="0.25"/>
    <row r="120251" customFormat="1" x14ac:dyDescent="0.25"/>
    <row r="120252" customFormat="1" x14ac:dyDescent="0.25"/>
    <row r="120253" customFormat="1" x14ac:dyDescent="0.25"/>
    <row r="120254" customFormat="1" x14ac:dyDescent="0.25"/>
    <row r="120255" customFormat="1" x14ac:dyDescent="0.25"/>
    <row r="120256" customFormat="1" x14ac:dyDescent="0.25"/>
    <row r="120257" customFormat="1" x14ac:dyDescent="0.25"/>
    <row r="120258" customFormat="1" x14ac:dyDescent="0.25"/>
    <row r="120259" customFormat="1" x14ac:dyDescent="0.25"/>
    <row r="120260" customFormat="1" x14ac:dyDescent="0.25"/>
    <row r="120261" customFormat="1" x14ac:dyDescent="0.25"/>
    <row r="120262" customFormat="1" x14ac:dyDescent="0.25"/>
    <row r="120263" customFormat="1" x14ac:dyDescent="0.25"/>
    <row r="120264" customFormat="1" x14ac:dyDescent="0.25"/>
    <row r="120265" customFormat="1" x14ac:dyDescent="0.25"/>
    <row r="120266" customFormat="1" x14ac:dyDescent="0.25"/>
    <row r="120267" customFormat="1" x14ac:dyDescent="0.25"/>
    <row r="120268" customFormat="1" x14ac:dyDescent="0.25"/>
    <row r="120269" customFormat="1" x14ac:dyDescent="0.25"/>
    <row r="120270" customFormat="1" x14ac:dyDescent="0.25"/>
    <row r="120271" customFormat="1" x14ac:dyDescent="0.25"/>
    <row r="120272" customFormat="1" x14ac:dyDescent="0.25"/>
    <row r="120273" customFormat="1" x14ac:dyDescent="0.25"/>
    <row r="120274" customFormat="1" x14ac:dyDescent="0.25"/>
    <row r="120275" customFormat="1" x14ac:dyDescent="0.25"/>
    <row r="120276" customFormat="1" x14ac:dyDescent="0.25"/>
    <row r="120277" customFormat="1" x14ac:dyDescent="0.25"/>
    <row r="120278" customFormat="1" x14ac:dyDescent="0.25"/>
    <row r="120279" customFormat="1" x14ac:dyDescent="0.25"/>
    <row r="120280" customFormat="1" x14ac:dyDescent="0.25"/>
    <row r="120281" customFormat="1" x14ac:dyDescent="0.25"/>
    <row r="120282" customFormat="1" x14ac:dyDescent="0.25"/>
    <row r="120283" customFormat="1" x14ac:dyDescent="0.25"/>
    <row r="120284" customFormat="1" x14ac:dyDescent="0.25"/>
    <row r="120285" customFormat="1" x14ac:dyDescent="0.25"/>
    <row r="120286" customFormat="1" x14ac:dyDescent="0.25"/>
    <row r="120287" customFormat="1" x14ac:dyDescent="0.25"/>
    <row r="120288" customFormat="1" x14ac:dyDescent="0.25"/>
    <row r="120289" customFormat="1" x14ac:dyDescent="0.25"/>
    <row r="120290" customFormat="1" x14ac:dyDescent="0.25"/>
    <row r="120291" customFormat="1" x14ac:dyDescent="0.25"/>
    <row r="120292" customFormat="1" x14ac:dyDescent="0.25"/>
    <row r="120293" customFormat="1" x14ac:dyDescent="0.25"/>
    <row r="120294" customFormat="1" x14ac:dyDescent="0.25"/>
    <row r="120295" customFormat="1" x14ac:dyDescent="0.25"/>
    <row r="120296" customFormat="1" x14ac:dyDescent="0.25"/>
    <row r="120297" customFormat="1" x14ac:dyDescent="0.25"/>
    <row r="120298" customFormat="1" x14ac:dyDescent="0.25"/>
    <row r="120299" customFormat="1" x14ac:dyDescent="0.25"/>
    <row r="120300" customFormat="1" x14ac:dyDescent="0.25"/>
    <row r="120301" customFormat="1" x14ac:dyDescent="0.25"/>
    <row r="120302" customFormat="1" x14ac:dyDescent="0.25"/>
    <row r="120303" customFormat="1" x14ac:dyDescent="0.25"/>
    <row r="120304" customFormat="1" x14ac:dyDescent="0.25"/>
    <row r="120305" customFormat="1" x14ac:dyDescent="0.25"/>
    <row r="120306" customFormat="1" x14ac:dyDescent="0.25"/>
    <row r="120307" customFormat="1" x14ac:dyDescent="0.25"/>
    <row r="120308" customFormat="1" x14ac:dyDescent="0.25"/>
    <row r="120309" customFormat="1" x14ac:dyDescent="0.25"/>
    <row r="120310" customFormat="1" x14ac:dyDescent="0.25"/>
    <row r="120311" customFormat="1" x14ac:dyDescent="0.25"/>
    <row r="120312" customFormat="1" x14ac:dyDescent="0.25"/>
    <row r="120313" customFormat="1" x14ac:dyDescent="0.25"/>
    <row r="120314" customFormat="1" x14ac:dyDescent="0.25"/>
    <row r="120315" customFormat="1" x14ac:dyDescent="0.25"/>
    <row r="120316" customFormat="1" x14ac:dyDescent="0.25"/>
    <row r="120317" customFormat="1" x14ac:dyDescent="0.25"/>
    <row r="120318" customFormat="1" x14ac:dyDescent="0.25"/>
    <row r="120319" customFormat="1" x14ac:dyDescent="0.25"/>
    <row r="120320" customFormat="1" x14ac:dyDescent="0.25"/>
    <row r="120321" customFormat="1" x14ac:dyDescent="0.25"/>
    <row r="120322" customFormat="1" x14ac:dyDescent="0.25"/>
    <row r="120323" customFormat="1" x14ac:dyDescent="0.25"/>
    <row r="120324" customFormat="1" x14ac:dyDescent="0.25"/>
    <row r="120325" customFormat="1" x14ac:dyDescent="0.25"/>
    <row r="120326" customFormat="1" x14ac:dyDescent="0.25"/>
    <row r="120327" customFormat="1" x14ac:dyDescent="0.25"/>
    <row r="120328" customFormat="1" x14ac:dyDescent="0.25"/>
    <row r="120329" customFormat="1" x14ac:dyDescent="0.25"/>
    <row r="120330" customFormat="1" x14ac:dyDescent="0.25"/>
    <row r="120331" customFormat="1" x14ac:dyDescent="0.25"/>
    <row r="120332" customFormat="1" x14ac:dyDescent="0.25"/>
    <row r="120333" customFormat="1" x14ac:dyDescent="0.25"/>
    <row r="120334" customFormat="1" x14ac:dyDescent="0.25"/>
    <row r="120335" customFormat="1" x14ac:dyDescent="0.25"/>
    <row r="120336" customFormat="1" x14ac:dyDescent="0.25"/>
    <row r="120337" customFormat="1" x14ac:dyDescent="0.25"/>
    <row r="120338" customFormat="1" x14ac:dyDescent="0.25"/>
    <row r="120339" customFormat="1" x14ac:dyDescent="0.25"/>
    <row r="120340" customFormat="1" x14ac:dyDescent="0.25"/>
    <row r="120341" customFormat="1" x14ac:dyDescent="0.25"/>
    <row r="120342" customFormat="1" x14ac:dyDescent="0.25"/>
    <row r="120343" customFormat="1" x14ac:dyDescent="0.25"/>
    <row r="120344" customFormat="1" x14ac:dyDescent="0.25"/>
    <row r="120345" customFormat="1" x14ac:dyDescent="0.25"/>
    <row r="120346" customFormat="1" x14ac:dyDescent="0.25"/>
    <row r="120347" customFormat="1" x14ac:dyDescent="0.25"/>
    <row r="120348" customFormat="1" x14ac:dyDescent="0.25"/>
    <row r="120349" customFormat="1" x14ac:dyDescent="0.25"/>
    <row r="120350" customFormat="1" x14ac:dyDescent="0.25"/>
    <row r="120351" customFormat="1" x14ac:dyDescent="0.25"/>
    <row r="120352" customFormat="1" x14ac:dyDescent="0.25"/>
    <row r="120353" customFormat="1" x14ac:dyDescent="0.25"/>
    <row r="120354" customFormat="1" x14ac:dyDescent="0.25"/>
    <row r="120355" customFormat="1" x14ac:dyDescent="0.25"/>
    <row r="120356" customFormat="1" x14ac:dyDescent="0.25"/>
    <row r="120357" customFormat="1" x14ac:dyDescent="0.25"/>
    <row r="120358" customFormat="1" x14ac:dyDescent="0.25"/>
    <row r="120359" customFormat="1" x14ac:dyDescent="0.25"/>
    <row r="120360" customFormat="1" x14ac:dyDescent="0.25"/>
    <row r="120361" customFormat="1" x14ac:dyDescent="0.25"/>
    <row r="120362" customFormat="1" x14ac:dyDescent="0.25"/>
    <row r="120363" customFormat="1" x14ac:dyDescent="0.25"/>
    <row r="120364" customFormat="1" x14ac:dyDescent="0.25"/>
    <row r="120365" customFormat="1" x14ac:dyDescent="0.25"/>
    <row r="120366" customFormat="1" x14ac:dyDescent="0.25"/>
    <row r="120367" customFormat="1" x14ac:dyDescent="0.25"/>
    <row r="120368" customFormat="1" x14ac:dyDescent="0.25"/>
    <row r="120369" customFormat="1" x14ac:dyDescent="0.25"/>
    <row r="120370" customFormat="1" x14ac:dyDescent="0.25"/>
    <row r="120371" customFormat="1" x14ac:dyDescent="0.25"/>
    <row r="120372" customFormat="1" x14ac:dyDescent="0.25"/>
    <row r="120373" customFormat="1" x14ac:dyDescent="0.25"/>
    <row r="120374" customFormat="1" x14ac:dyDescent="0.25"/>
    <row r="120375" customFormat="1" x14ac:dyDescent="0.25"/>
    <row r="120376" customFormat="1" x14ac:dyDescent="0.25"/>
    <row r="120377" customFormat="1" x14ac:dyDescent="0.25"/>
    <row r="120378" customFormat="1" x14ac:dyDescent="0.25"/>
    <row r="120379" customFormat="1" x14ac:dyDescent="0.25"/>
    <row r="120380" customFormat="1" x14ac:dyDescent="0.25"/>
    <row r="120381" customFormat="1" x14ac:dyDescent="0.25"/>
    <row r="120382" customFormat="1" x14ac:dyDescent="0.25"/>
    <row r="120383" customFormat="1" x14ac:dyDescent="0.25"/>
    <row r="120384" customFormat="1" x14ac:dyDescent="0.25"/>
    <row r="120385" customFormat="1" x14ac:dyDescent="0.25"/>
    <row r="120386" customFormat="1" x14ac:dyDescent="0.25"/>
    <row r="120387" customFormat="1" x14ac:dyDescent="0.25"/>
    <row r="120388" customFormat="1" x14ac:dyDescent="0.25"/>
    <row r="120389" customFormat="1" x14ac:dyDescent="0.25"/>
    <row r="120390" customFormat="1" x14ac:dyDescent="0.25"/>
    <row r="120391" customFormat="1" x14ac:dyDescent="0.25"/>
    <row r="120392" customFormat="1" x14ac:dyDescent="0.25"/>
    <row r="120393" customFormat="1" x14ac:dyDescent="0.25"/>
    <row r="120394" customFormat="1" x14ac:dyDescent="0.25"/>
    <row r="120395" customFormat="1" x14ac:dyDescent="0.25"/>
    <row r="120396" customFormat="1" x14ac:dyDescent="0.25"/>
    <row r="120397" customFormat="1" x14ac:dyDescent="0.25"/>
    <row r="120398" customFormat="1" x14ac:dyDescent="0.25"/>
    <row r="120399" customFormat="1" x14ac:dyDescent="0.25"/>
    <row r="120400" customFormat="1" x14ac:dyDescent="0.25"/>
    <row r="120401" customFormat="1" x14ac:dyDescent="0.25"/>
    <row r="120402" customFormat="1" x14ac:dyDescent="0.25"/>
    <row r="120403" customFormat="1" x14ac:dyDescent="0.25"/>
    <row r="120404" customFormat="1" x14ac:dyDescent="0.25"/>
    <row r="120405" customFormat="1" x14ac:dyDescent="0.25"/>
    <row r="120406" customFormat="1" x14ac:dyDescent="0.25"/>
    <row r="120407" customFormat="1" x14ac:dyDescent="0.25"/>
    <row r="120408" customFormat="1" x14ac:dyDescent="0.25"/>
    <row r="120409" customFormat="1" x14ac:dyDescent="0.25"/>
    <row r="120410" customFormat="1" x14ac:dyDescent="0.25"/>
    <row r="120411" customFormat="1" x14ac:dyDescent="0.25"/>
    <row r="120412" customFormat="1" x14ac:dyDescent="0.25"/>
    <row r="120413" customFormat="1" x14ac:dyDescent="0.25"/>
    <row r="120414" customFormat="1" x14ac:dyDescent="0.25"/>
    <row r="120415" customFormat="1" x14ac:dyDescent="0.25"/>
    <row r="120416" customFormat="1" x14ac:dyDescent="0.25"/>
    <row r="120417" customFormat="1" x14ac:dyDescent="0.25"/>
    <row r="120418" customFormat="1" x14ac:dyDescent="0.25"/>
    <row r="120419" customFormat="1" x14ac:dyDescent="0.25"/>
    <row r="120420" customFormat="1" x14ac:dyDescent="0.25"/>
    <row r="120421" customFormat="1" x14ac:dyDescent="0.25"/>
    <row r="120422" customFormat="1" x14ac:dyDescent="0.25"/>
    <row r="120423" customFormat="1" x14ac:dyDescent="0.25"/>
    <row r="120424" customFormat="1" x14ac:dyDescent="0.25"/>
    <row r="120425" customFormat="1" x14ac:dyDescent="0.25"/>
    <row r="120426" customFormat="1" x14ac:dyDescent="0.25"/>
    <row r="120427" customFormat="1" x14ac:dyDescent="0.25"/>
    <row r="120428" customFormat="1" x14ac:dyDescent="0.25"/>
    <row r="120429" customFormat="1" x14ac:dyDescent="0.25"/>
    <row r="120430" customFormat="1" x14ac:dyDescent="0.25"/>
    <row r="120431" customFormat="1" x14ac:dyDescent="0.25"/>
    <row r="120432" customFormat="1" x14ac:dyDescent="0.25"/>
    <row r="120433" customFormat="1" x14ac:dyDescent="0.25"/>
    <row r="120434" customFormat="1" x14ac:dyDescent="0.25"/>
    <row r="120435" customFormat="1" x14ac:dyDescent="0.25"/>
    <row r="120436" customFormat="1" x14ac:dyDescent="0.25"/>
    <row r="120437" customFormat="1" x14ac:dyDescent="0.25"/>
    <row r="120438" customFormat="1" x14ac:dyDescent="0.25"/>
    <row r="120439" customFormat="1" x14ac:dyDescent="0.25"/>
    <row r="120440" customFormat="1" x14ac:dyDescent="0.25"/>
    <row r="120441" customFormat="1" x14ac:dyDescent="0.25"/>
    <row r="120442" customFormat="1" x14ac:dyDescent="0.25"/>
    <row r="120443" customFormat="1" x14ac:dyDescent="0.25"/>
    <row r="120444" customFormat="1" x14ac:dyDescent="0.25"/>
    <row r="120445" customFormat="1" x14ac:dyDescent="0.25"/>
    <row r="120446" customFormat="1" x14ac:dyDescent="0.25"/>
    <row r="120447" customFormat="1" x14ac:dyDescent="0.25"/>
    <row r="120448" customFormat="1" x14ac:dyDescent="0.25"/>
    <row r="120449" customFormat="1" x14ac:dyDescent="0.25"/>
    <row r="120450" customFormat="1" x14ac:dyDescent="0.25"/>
    <row r="120451" customFormat="1" x14ac:dyDescent="0.25"/>
    <row r="120452" customFormat="1" x14ac:dyDescent="0.25"/>
    <row r="120453" customFormat="1" x14ac:dyDescent="0.25"/>
    <row r="120454" customFormat="1" x14ac:dyDescent="0.25"/>
    <row r="120455" customFormat="1" x14ac:dyDescent="0.25"/>
    <row r="120456" customFormat="1" x14ac:dyDescent="0.25"/>
    <row r="120457" customFormat="1" x14ac:dyDescent="0.25"/>
    <row r="120458" customFormat="1" x14ac:dyDescent="0.25"/>
    <row r="120459" customFormat="1" x14ac:dyDescent="0.25"/>
    <row r="120460" customFormat="1" x14ac:dyDescent="0.25"/>
    <row r="120461" customFormat="1" x14ac:dyDescent="0.25"/>
    <row r="120462" customFormat="1" x14ac:dyDescent="0.25"/>
    <row r="120463" customFormat="1" x14ac:dyDescent="0.25"/>
    <row r="120464" customFormat="1" x14ac:dyDescent="0.25"/>
    <row r="120465" customFormat="1" x14ac:dyDescent="0.25"/>
    <row r="120466" customFormat="1" x14ac:dyDescent="0.25"/>
    <row r="120467" customFormat="1" x14ac:dyDescent="0.25"/>
    <row r="120468" customFormat="1" x14ac:dyDescent="0.25"/>
    <row r="120469" customFormat="1" x14ac:dyDescent="0.25"/>
    <row r="120470" customFormat="1" x14ac:dyDescent="0.25"/>
    <row r="120471" customFormat="1" x14ac:dyDescent="0.25"/>
    <row r="120472" customFormat="1" x14ac:dyDescent="0.25"/>
    <row r="120473" customFormat="1" x14ac:dyDescent="0.25"/>
    <row r="120474" customFormat="1" x14ac:dyDescent="0.25"/>
    <row r="120475" customFormat="1" x14ac:dyDescent="0.25"/>
    <row r="120476" customFormat="1" x14ac:dyDescent="0.25"/>
    <row r="120477" customFormat="1" x14ac:dyDescent="0.25"/>
    <row r="120478" customFormat="1" x14ac:dyDescent="0.25"/>
    <row r="120479" customFormat="1" x14ac:dyDescent="0.25"/>
    <row r="120480" customFormat="1" x14ac:dyDescent="0.25"/>
    <row r="120481" customFormat="1" x14ac:dyDescent="0.25"/>
    <row r="120482" customFormat="1" x14ac:dyDescent="0.25"/>
    <row r="120483" customFormat="1" x14ac:dyDescent="0.25"/>
    <row r="120484" customFormat="1" x14ac:dyDescent="0.25"/>
    <row r="120485" customFormat="1" x14ac:dyDescent="0.25"/>
    <row r="120486" customFormat="1" x14ac:dyDescent="0.25"/>
    <row r="120487" customFormat="1" x14ac:dyDescent="0.25"/>
    <row r="120488" customFormat="1" x14ac:dyDescent="0.25"/>
    <row r="120489" customFormat="1" x14ac:dyDescent="0.25"/>
    <row r="120490" customFormat="1" x14ac:dyDescent="0.25"/>
    <row r="120491" customFormat="1" x14ac:dyDescent="0.25"/>
    <row r="120492" customFormat="1" x14ac:dyDescent="0.25"/>
    <row r="120493" customFormat="1" x14ac:dyDescent="0.25"/>
    <row r="120494" customFormat="1" x14ac:dyDescent="0.25"/>
    <row r="120495" customFormat="1" x14ac:dyDescent="0.25"/>
    <row r="120496" customFormat="1" x14ac:dyDescent="0.25"/>
    <row r="120497" customFormat="1" x14ac:dyDescent="0.25"/>
    <row r="120498" customFormat="1" x14ac:dyDescent="0.25"/>
    <row r="120499" customFormat="1" x14ac:dyDescent="0.25"/>
    <row r="120500" customFormat="1" x14ac:dyDescent="0.25"/>
    <row r="120501" customFormat="1" x14ac:dyDescent="0.25"/>
    <row r="120502" customFormat="1" x14ac:dyDescent="0.25"/>
    <row r="120503" customFormat="1" x14ac:dyDescent="0.25"/>
    <row r="120504" customFormat="1" x14ac:dyDescent="0.25"/>
    <row r="120505" customFormat="1" x14ac:dyDescent="0.25"/>
    <row r="120506" customFormat="1" x14ac:dyDescent="0.25"/>
    <row r="120507" customFormat="1" x14ac:dyDescent="0.25"/>
    <row r="120508" customFormat="1" x14ac:dyDescent="0.25"/>
    <row r="120509" customFormat="1" x14ac:dyDescent="0.25"/>
    <row r="120510" customFormat="1" x14ac:dyDescent="0.25"/>
    <row r="120511" customFormat="1" x14ac:dyDescent="0.25"/>
    <row r="120512" customFormat="1" x14ac:dyDescent="0.25"/>
    <row r="120513" customFormat="1" x14ac:dyDescent="0.25"/>
    <row r="120514" customFormat="1" x14ac:dyDescent="0.25"/>
    <row r="120515" customFormat="1" x14ac:dyDescent="0.25"/>
    <row r="120516" customFormat="1" x14ac:dyDescent="0.25"/>
    <row r="120517" customFormat="1" x14ac:dyDescent="0.25"/>
    <row r="120518" customFormat="1" x14ac:dyDescent="0.25"/>
    <row r="120519" customFormat="1" x14ac:dyDescent="0.25"/>
    <row r="120520" customFormat="1" x14ac:dyDescent="0.25"/>
    <row r="120521" customFormat="1" x14ac:dyDescent="0.25"/>
    <row r="120522" customFormat="1" x14ac:dyDescent="0.25"/>
    <row r="120523" customFormat="1" x14ac:dyDescent="0.25"/>
    <row r="120524" customFormat="1" x14ac:dyDescent="0.25"/>
    <row r="120525" customFormat="1" x14ac:dyDescent="0.25"/>
    <row r="120526" customFormat="1" x14ac:dyDescent="0.25"/>
    <row r="120527" customFormat="1" x14ac:dyDescent="0.25"/>
    <row r="120528" customFormat="1" x14ac:dyDescent="0.25"/>
    <row r="120529" customFormat="1" x14ac:dyDescent="0.25"/>
    <row r="120530" customFormat="1" x14ac:dyDescent="0.25"/>
    <row r="120531" customFormat="1" x14ac:dyDescent="0.25"/>
    <row r="120532" customFormat="1" x14ac:dyDescent="0.25"/>
    <row r="120533" customFormat="1" x14ac:dyDescent="0.25"/>
    <row r="120534" customFormat="1" x14ac:dyDescent="0.25"/>
    <row r="120535" customFormat="1" x14ac:dyDescent="0.25"/>
    <row r="120536" customFormat="1" x14ac:dyDescent="0.25"/>
    <row r="120537" customFormat="1" x14ac:dyDescent="0.25"/>
    <row r="120538" customFormat="1" x14ac:dyDescent="0.25"/>
    <row r="120539" customFormat="1" x14ac:dyDescent="0.25"/>
    <row r="120540" customFormat="1" x14ac:dyDescent="0.25"/>
    <row r="120541" customFormat="1" x14ac:dyDescent="0.25"/>
    <row r="120542" customFormat="1" x14ac:dyDescent="0.25"/>
    <row r="120543" customFormat="1" x14ac:dyDescent="0.25"/>
    <row r="120544" customFormat="1" x14ac:dyDescent="0.25"/>
    <row r="120545" customFormat="1" x14ac:dyDescent="0.25"/>
    <row r="120546" customFormat="1" x14ac:dyDescent="0.25"/>
    <row r="120547" customFormat="1" x14ac:dyDescent="0.25"/>
    <row r="120548" customFormat="1" x14ac:dyDescent="0.25"/>
    <row r="120549" customFormat="1" x14ac:dyDescent="0.25"/>
    <row r="120550" customFormat="1" x14ac:dyDescent="0.25"/>
    <row r="120551" customFormat="1" x14ac:dyDescent="0.25"/>
    <row r="120552" customFormat="1" x14ac:dyDescent="0.25"/>
    <row r="120553" customFormat="1" x14ac:dyDescent="0.25"/>
    <row r="120554" customFormat="1" x14ac:dyDescent="0.25"/>
    <row r="120555" customFormat="1" x14ac:dyDescent="0.25"/>
    <row r="120556" customFormat="1" x14ac:dyDescent="0.25"/>
    <row r="120557" customFormat="1" x14ac:dyDescent="0.25"/>
    <row r="120558" customFormat="1" x14ac:dyDescent="0.25"/>
    <row r="120559" customFormat="1" x14ac:dyDescent="0.25"/>
    <row r="120560" customFormat="1" x14ac:dyDescent="0.25"/>
    <row r="120561" customFormat="1" x14ac:dyDescent="0.25"/>
    <row r="120562" customFormat="1" x14ac:dyDescent="0.25"/>
    <row r="120563" customFormat="1" x14ac:dyDescent="0.25"/>
    <row r="120564" customFormat="1" x14ac:dyDescent="0.25"/>
    <row r="120565" customFormat="1" x14ac:dyDescent="0.25"/>
    <row r="120566" customFormat="1" x14ac:dyDescent="0.25"/>
    <row r="120567" customFormat="1" x14ac:dyDescent="0.25"/>
    <row r="120568" customFormat="1" x14ac:dyDescent="0.25"/>
    <row r="120569" customFormat="1" x14ac:dyDescent="0.25"/>
    <row r="120570" customFormat="1" x14ac:dyDescent="0.25"/>
    <row r="120571" customFormat="1" x14ac:dyDescent="0.25"/>
    <row r="120572" customFormat="1" x14ac:dyDescent="0.25"/>
    <row r="120573" customFormat="1" x14ac:dyDescent="0.25"/>
    <row r="120574" customFormat="1" x14ac:dyDescent="0.25"/>
    <row r="120575" customFormat="1" x14ac:dyDescent="0.25"/>
    <row r="120576" customFormat="1" x14ac:dyDescent="0.25"/>
    <row r="120577" customFormat="1" x14ac:dyDescent="0.25"/>
    <row r="120578" customFormat="1" x14ac:dyDescent="0.25"/>
    <row r="120579" customFormat="1" x14ac:dyDescent="0.25"/>
    <row r="120580" customFormat="1" x14ac:dyDescent="0.25"/>
    <row r="120581" customFormat="1" x14ac:dyDescent="0.25"/>
    <row r="120582" customFormat="1" x14ac:dyDescent="0.25"/>
    <row r="120583" customFormat="1" x14ac:dyDescent="0.25"/>
    <row r="120584" customFormat="1" x14ac:dyDescent="0.25"/>
    <row r="120585" customFormat="1" x14ac:dyDescent="0.25"/>
    <row r="120586" customFormat="1" x14ac:dyDescent="0.25"/>
    <row r="120587" customFormat="1" x14ac:dyDescent="0.25"/>
    <row r="120588" customFormat="1" x14ac:dyDescent="0.25"/>
    <row r="120589" customFormat="1" x14ac:dyDescent="0.25"/>
    <row r="120590" customFormat="1" x14ac:dyDescent="0.25"/>
    <row r="120591" customFormat="1" x14ac:dyDescent="0.25"/>
    <row r="120592" customFormat="1" x14ac:dyDescent="0.25"/>
    <row r="120593" customFormat="1" x14ac:dyDescent="0.25"/>
    <row r="120594" customFormat="1" x14ac:dyDescent="0.25"/>
    <row r="120595" customFormat="1" x14ac:dyDescent="0.25"/>
    <row r="120596" customFormat="1" x14ac:dyDescent="0.25"/>
    <row r="120597" customFormat="1" x14ac:dyDescent="0.25"/>
    <row r="120598" customFormat="1" x14ac:dyDescent="0.25"/>
    <row r="120599" customFormat="1" x14ac:dyDescent="0.25"/>
    <row r="120600" customFormat="1" x14ac:dyDescent="0.25"/>
    <row r="120601" customFormat="1" x14ac:dyDescent="0.25"/>
    <row r="120602" customFormat="1" x14ac:dyDescent="0.25"/>
    <row r="120603" customFormat="1" x14ac:dyDescent="0.25"/>
    <row r="120604" customFormat="1" x14ac:dyDescent="0.25"/>
    <row r="120605" customFormat="1" x14ac:dyDescent="0.25"/>
    <row r="120606" customFormat="1" x14ac:dyDescent="0.25"/>
    <row r="120607" customFormat="1" x14ac:dyDescent="0.25"/>
    <row r="120608" customFormat="1" x14ac:dyDescent="0.25"/>
    <row r="120609" customFormat="1" x14ac:dyDescent="0.25"/>
    <row r="120610" customFormat="1" x14ac:dyDescent="0.25"/>
    <row r="120611" customFormat="1" x14ac:dyDescent="0.25"/>
    <row r="120612" customFormat="1" x14ac:dyDescent="0.25"/>
    <row r="120613" customFormat="1" x14ac:dyDescent="0.25"/>
    <row r="120614" customFormat="1" x14ac:dyDescent="0.25"/>
    <row r="120615" customFormat="1" x14ac:dyDescent="0.25"/>
    <row r="120616" customFormat="1" x14ac:dyDescent="0.25"/>
    <row r="120617" customFormat="1" x14ac:dyDescent="0.25"/>
    <row r="120618" customFormat="1" x14ac:dyDescent="0.25"/>
    <row r="120619" customFormat="1" x14ac:dyDescent="0.25"/>
    <row r="120620" customFormat="1" x14ac:dyDescent="0.25"/>
    <row r="120621" customFormat="1" x14ac:dyDescent="0.25"/>
    <row r="120622" customFormat="1" x14ac:dyDescent="0.25"/>
    <row r="120623" customFormat="1" x14ac:dyDescent="0.25"/>
    <row r="120624" customFormat="1" x14ac:dyDescent="0.25"/>
    <row r="120625" customFormat="1" x14ac:dyDescent="0.25"/>
    <row r="120626" customFormat="1" x14ac:dyDescent="0.25"/>
    <row r="120627" customFormat="1" x14ac:dyDescent="0.25"/>
    <row r="120628" customFormat="1" x14ac:dyDescent="0.25"/>
    <row r="120629" customFormat="1" x14ac:dyDescent="0.25"/>
    <row r="120630" customFormat="1" x14ac:dyDescent="0.25"/>
    <row r="120631" customFormat="1" x14ac:dyDescent="0.25"/>
    <row r="120632" customFormat="1" x14ac:dyDescent="0.25"/>
    <row r="120633" customFormat="1" x14ac:dyDescent="0.25"/>
    <row r="120634" customFormat="1" x14ac:dyDescent="0.25"/>
    <row r="120635" customFormat="1" x14ac:dyDescent="0.25"/>
    <row r="120636" customFormat="1" x14ac:dyDescent="0.25"/>
    <row r="120637" customFormat="1" x14ac:dyDescent="0.25"/>
    <row r="120638" customFormat="1" x14ac:dyDescent="0.25"/>
    <row r="120639" customFormat="1" x14ac:dyDescent="0.25"/>
    <row r="120640" customFormat="1" x14ac:dyDescent="0.25"/>
    <row r="120641" customFormat="1" x14ac:dyDescent="0.25"/>
    <row r="120642" customFormat="1" x14ac:dyDescent="0.25"/>
    <row r="120643" customFormat="1" x14ac:dyDescent="0.25"/>
    <row r="120644" customFormat="1" x14ac:dyDescent="0.25"/>
    <row r="120645" customFormat="1" x14ac:dyDescent="0.25"/>
    <row r="120646" customFormat="1" x14ac:dyDescent="0.25"/>
    <row r="120647" customFormat="1" x14ac:dyDescent="0.25"/>
    <row r="120648" customFormat="1" x14ac:dyDescent="0.25"/>
    <row r="120649" customFormat="1" x14ac:dyDescent="0.25"/>
    <row r="120650" customFormat="1" x14ac:dyDescent="0.25"/>
    <row r="120651" customFormat="1" x14ac:dyDescent="0.25"/>
    <row r="120652" customFormat="1" x14ac:dyDescent="0.25"/>
    <row r="120653" customFormat="1" x14ac:dyDescent="0.25"/>
    <row r="120654" customFormat="1" x14ac:dyDescent="0.25"/>
    <row r="120655" customFormat="1" x14ac:dyDescent="0.25"/>
    <row r="120656" customFormat="1" x14ac:dyDescent="0.25"/>
    <row r="120657" customFormat="1" x14ac:dyDescent="0.25"/>
    <row r="120658" customFormat="1" x14ac:dyDescent="0.25"/>
    <row r="120659" customFormat="1" x14ac:dyDescent="0.25"/>
    <row r="120660" customFormat="1" x14ac:dyDescent="0.25"/>
    <row r="120661" customFormat="1" x14ac:dyDescent="0.25"/>
    <row r="120662" customFormat="1" x14ac:dyDescent="0.25"/>
    <row r="120663" customFormat="1" x14ac:dyDescent="0.25"/>
    <row r="120664" customFormat="1" x14ac:dyDescent="0.25"/>
    <row r="120665" customFormat="1" x14ac:dyDescent="0.25"/>
    <row r="120666" customFormat="1" x14ac:dyDescent="0.25"/>
    <row r="120667" customFormat="1" x14ac:dyDescent="0.25"/>
    <row r="120668" customFormat="1" x14ac:dyDescent="0.25"/>
    <row r="120669" customFormat="1" x14ac:dyDescent="0.25"/>
    <row r="120670" customFormat="1" x14ac:dyDescent="0.25"/>
    <row r="120671" customFormat="1" x14ac:dyDescent="0.25"/>
    <row r="120672" customFormat="1" x14ac:dyDescent="0.25"/>
    <row r="120673" customFormat="1" x14ac:dyDescent="0.25"/>
    <row r="120674" customFormat="1" x14ac:dyDescent="0.25"/>
    <row r="120675" customFormat="1" x14ac:dyDescent="0.25"/>
    <row r="120676" customFormat="1" x14ac:dyDescent="0.25"/>
    <row r="120677" customFormat="1" x14ac:dyDescent="0.25"/>
    <row r="120678" customFormat="1" x14ac:dyDescent="0.25"/>
    <row r="120679" customFormat="1" x14ac:dyDescent="0.25"/>
    <row r="120680" customFormat="1" x14ac:dyDescent="0.25"/>
    <row r="120681" customFormat="1" x14ac:dyDescent="0.25"/>
    <row r="120682" customFormat="1" x14ac:dyDescent="0.25"/>
    <row r="120683" customFormat="1" x14ac:dyDescent="0.25"/>
    <row r="120684" customFormat="1" x14ac:dyDescent="0.25"/>
    <row r="120685" customFormat="1" x14ac:dyDescent="0.25"/>
    <row r="120686" customFormat="1" x14ac:dyDescent="0.25"/>
    <row r="120687" customFormat="1" x14ac:dyDescent="0.25"/>
    <row r="120688" customFormat="1" x14ac:dyDescent="0.25"/>
    <row r="120689" customFormat="1" x14ac:dyDescent="0.25"/>
    <row r="120690" customFormat="1" x14ac:dyDescent="0.25"/>
    <row r="120691" customFormat="1" x14ac:dyDescent="0.25"/>
    <row r="120692" customFormat="1" x14ac:dyDescent="0.25"/>
    <row r="120693" customFormat="1" x14ac:dyDescent="0.25"/>
    <row r="120694" customFormat="1" x14ac:dyDescent="0.25"/>
    <row r="120695" customFormat="1" x14ac:dyDescent="0.25"/>
    <row r="120696" customFormat="1" x14ac:dyDescent="0.25"/>
    <row r="120697" customFormat="1" x14ac:dyDescent="0.25"/>
    <row r="120698" customFormat="1" x14ac:dyDescent="0.25"/>
    <row r="120699" customFormat="1" x14ac:dyDescent="0.25"/>
    <row r="120700" customFormat="1" x14ac:dyDescent="0.25"/>
    <row r="120701" customFormat="1" x14ac:dyDescent="0.25"/>
    <row r="120702" customFormat="1" x14ac:dyDescent="0.25"/>
    <row r="120703" customFormat="1" x14ac:dyDescent="0.25"/>
    <row r="120704" customFormat="1" x14ac:dyDescent="0.25"/>
    <row r="120705" customFormat="1" x14ac:dyDescent="0.25"/>
    <row r="120706" customFormat="1" x14ac:dyDescent="0.25"/>
    <row r="120707" customFormat="1" x14ac:dyDescent="0.25"/>
    <row r="120708" customFormat="1" x14ac:dyDescent="0.25"/>
    <row r="120709" customFormat="1" x14ac:dyDescent="0.25"/>
    <row r="120710" customFormat="1" x14ac:dyDescent="0.25"/>
    <row r="120711" customFormat="1" x14ac:dyDescent="0.25"/>
    <row r="120712" customFormat="1" x14ac:dyDescent="0.25"/>
    <row r="120713" customFormat="1" x14ac:dyDescent="0.25"/>
    <row r="120714" customFormat="1" x14ac:dyDescent="0.25"/>
    <row r="120715" customFormat="1" x14ac:dyDescent="0.25"/>
    <row r="120716" customFormat="1" x14ac:dyDescent="0.25"/>
    <row r="120717" customFormat="1" x14ac:dyDescent="0.25"/>
    <row r="120718" customFormat="1" x14ac:dyDescent="0.25"/>
    <row r="120719" customFormat="1" x14ac:dyDescent="0.25"/>
    <row r="120720" customFormat="1" x14ac:dyDescent="0.25"/>
    <row r="120721" customFormat="1" x14ac:dyDescent="0.25"/>
    <row r="120722" customFormat="1" x14ac:dyDescent="0.25"/>
    <row r="120723" customFormat="1" x14ac:dyDescent="0.25"/>
    <row r="120724" customFormat="1" x14ac:dyDescent="0.25"/>
    <row r="120725" customFormat="1" x14ac:dyDescent="0.25"/>
    <row r="120726" customFormat="1" x14ac:dyDescent="0.25"/>
    <row r="120727" customFormat="1" x14ac:dyDescent="0.25"/>
    <row r="120728" customFormat="1" x14ac:dyDescent="0.25"/>
    <row r="120729" customFormat="1" x14ac:dyDescent="0.25"/>
    <row r="120730" customFormat="1" x14ac:dyDescent="0.25"/>
    <row r="120731" customFormat="1" x14ac:dyDescent="0.25"/>
    <row r="120732" customFormat="1" x14ac:dyDescent="0.25"/>
    <row r="120733" customFormat="1" x14ac:dyDescent="0.25"/>
    <row r="120734" customFormat="1" x14ac:dyDescent="0.25"/>
    <row r="120735" customFormat="1" x14ac:dyDescent="0.25"/>
    <row r="120736" customFormat="1" x14ac:dyDescent="0.25"/>
    <row r="120737" customFormat="1" x14ac:dyDescent="0.25"/>
    <row r="120738" customFormat="1" x14ac:dyDescent="0.25"/>
    <row r="120739" customFormat="1" x14ac:dyDescent="0.25"/>
    <row r="120740" customFormat="1" x14ac:dyDescent="0.25"/>
    <row r="120741" customFormat="1" x14ac:dyDescent="0.25"/>
    <row r="120742" customFormat="1" x14ac:dyDescent="0.25"/>
    <row r="120743" customFormat="1" x14ac:dyDescent="0.25"/>
    <row r="120744" customFormat="1" x14ac:dyDescent="0.25"/>
    <row r="120745" customFormat="1" x14ac:dyDescent="0.25"/>
    <row r="120746" customFormat="1" x14ac:dyDescent="0.25"/>
    <row r="120747" customFormat="1" x14ac:dyDescent="0.25"/>
    <row r="120748" customFormat="1" x14ac:dyDescent="0.25"/>
    <row r="120749" customFormat="1" x14ac:dyDescent="0.25"/>
    <row r="120750" customFormat="1" x14ac:dyDescent="0.25"/>
    <row r="120751" customFormat="1" x14ac:dyDescent="0.25"/>
    <row r="120752" customFormat="1" x14ac:dyDescent="0.25"/>
    <row r="120753" customFormat="1" x14ac:dyDescent="0.25"/>
    <row r="120754" customFormat="1" x14ac:dyDescent="0.25"/>
    <row r="120755" customFormat="1" x14ac:dyDescent="0.25"/>
    <row r="120756" customFormat="1" x14ac:dyDescent="0.25"/>
    <row r="120757" customFormat="1" x14ac:dyDescent="0.25"/>
    <row r="120758" customFormat="1" x14ac:dyDescent="0.25"/>
    <row r="120759" customFormat="1" x14ac:dyDescent="0.25"/>
    <row r="120760" customFormat="1" x14ac:dyDescent="0.25"/>
    <row r="120761" customFormat="1" x14ac:dyDescent="0.25"/>
    <row r="120762" customFormat="1" x14ac:dyDescent="0.25"/>
    <row r="120763" customFormat="1" x14ac:dyDescent="0.25"/>
    <row r="120764" customFormat="1" x14ac:dyDescent="0.25"/>
    <row r="120765" customFormat="1" x14ac:dyDescent="0.25"/>
    <row r="120766" customFormat="1" x14ac:dyDescent="0.25"/>
    <row r="120767" customFormat="1" x14ac:dyDescent="0.25"/>
    <row r="120768" customFormat="1" x14ac:dyDescent="0.25"/>
    <row r="120769" customFormat="1" x14ac:dyDescent="0.25"/>
    <row r="120770" customFormat="1" x14ac:dyDescent="0.25"/>
    <row r="120771" customFormat="1" x14ac:dyDescent="0.25"/>
    <row r="120772" customFormat="1" x14ac:dyDescent="0.25"/>
    <row r="120773" customFormat="1" x14ac:dyDescent="0.25"/>
    <row r="120774" customFormat="1" x14ac:dyDescent="0.25"/>
    <row r="120775" customFormat="1" x14ac:dyDescent="0.25"/>
    <row r="120776" customFormat="1" x14ac:dyDescent="0.25"/>
    <row r="120777" customFormat="1" x14ac:dyDescent="0.25"/>
    <row r="120778" customFormat="1" x14ac:dyDescent="0.25"/>
    <row r="120779" customFormat="1" x14ac:dyDescent="0.25"/>
    <row r="120780" customFormat="1" x14ac:dyDescent="0.25"/>
    <row r="120781" customFormat="1" x14ac:dyDescent="0.25"/>
    <row r="120782" customFormat="1" x14ac:dyDescent="0.25"/>
    <row r="120783" customFormat="1" x14ac:dyDescent="0.25"/>
    <row r="120784" customFormat="1" x14ac:dyDescent="0.25"/>
    <row r="120785" customFormat="1" x14ac:dyDescent="0.25"/>
    <row r="120786" customFormat="1" x14ac:dyDescent="0.25"/>
    <row r="120787" customFormat="1" x14ac:dyDescent="0.25"/>
    <row r="120788" customFormat="1" x14ac:dyDescent="0.25"/>
    <row r="120789" customFormat="1" x14ac:dyDescent="0.25"/>
    <row r="120790" customFormat="1" x14ac:dyDescent="0.25"/>
    <row r="120791" customFormat="1" x14ac:dyDescent="0.25"/>
    <row r="120792" customFormat="1" x14ac:dyDescent="0.25"/>
    <row r="120793" customFormat="1" x14ac:dyDescent="0.25"/>
    <row r="120794" customFormat="1" x14ac:dyDescent="0.25"/>
    <row r="120795" customFormat="1" x14ac:dyDescent="0.25"/>
    <row r="120796" customFormat="1" x14ac:dyDescent="0.25"/>
    <row r="120797" customFormat="1" x14ac:dyDescent="0.25"/>
    <row r="120798" customFormat="1" x14ac:dyDescent="0.25"/>
    <row r="120799" customFormat="1" x14ac:dyDescent="0.25"/>
    <row r="120800" customFormat="1" x14ac:dyDescent="0.25"/>
    <row r="120801" customFormat="1" x14ac:dyDescent="0.25"/>
    <row r="120802" customFormat="1" x14ac:dyDescent="0.25"/>
    <row r="120803" customFormat="1" x14ac:dyDescent="0.25"/>
    <row r="120804" customFormat="1" x14ac:dyDescent="0.25"/>
    <row r="120805" customFormat="1" x14ac:dyDescent="0.25"/>
    <row r="120806" customFormat="1" x14ac:dyDescent="0.25"/>
    <row r="120807" customFormat="1" x14ac:dyDescent="0.25"/>
    <row r="120808" customFormat="1" x14ac:dyDescent="0.25"/>
    <row r="120809" customFormat="1" x14ac:dyDescent="0.25"/>
    <row r="120810" customFormat="1" x14ac:dyDescent="0.25"/>
    <row r="120811" customFormat="1" x14ac:dyDescent="0.25"/>
    <row r="120812" customFormat="1" x14ac:dyDescent="0.25"/>
    <row r="120813" customFormat="1" x14ac:dyDescent="0.25"/>
    <row r="120814" customFormat="1" x14ac:dyDescent="0.25"/>
    <row r="120815" customFormat="1" x14ac:dyDescent="0.25"/>
    <row r="120816" customFormat="1" x14ac:dyDescent="0.25"/>
    <row r="120817" customFormat="1" x14ac:dyDescent="0.25"/>
    <row r="120818" customFormat="1" x14ac:dyDescent="0.25"/>
    <row r="120819" customFormat="1" x14ac:dyDescent="0.25"/>
    <row r="120820" customFormat="1" x14ac:dyDescent="0.25"/>
    <row r="120821" customFormat="1" x14ac:dyDescent="0.25"/>
    <row r="120822" customFormat="1" x14ac:dyDescent="0.25"/>
    <row r="120823" customFormat="1" x14ac:dyDescent="0.25"/>
    <row r="120824" customFormat="1" x14ac:dyDescent="0.25"/>
    <row r="120825" customFormat="1" x14ac:dyDescent="0.25"/>
    <row r="120826" customFormat="1" x14ac:dyDescent="0.25"/>
    <row r="120827" customFormat="1" x14ac:dyDescent="0.25"/>
    <row r="120828" customFormat="1" x14ac:dyDescent="0.25"/>
    <row r="120829" customFormat="1" x14ac:dyDescent="0.25"/>
    <row r="120830" customFormat="1" x14ac:dyDescent="0.25"/>
    <row r="120831" customFormat="1" x14ac:dyDescent="0.25"/>
    <row r="120832" customFormat="1" x14ac:dyDescent="0.25"/>
    <row r="120833" customFormat="1" x14ac:dyDescent="0.25"/>
    <row r="120834" customFormat="1" x14ac:dyDescent="0.25"/>
    <row r="120835" customFormat="1" x14ac:dyDescent="0.25"/>
    <row r="120836" customFormat="1" x14ac:dyDescent="0.25"/>
    <row r="120837" customFormat="1" x14ac:dyDescent="0.25"/>
    <row r="120838" customFormat="1" x14ac:dyDescent="0.25"/>
    <row r="120839" customFormat="1" x14ac:dyDescent="0.25"/>
    <row r="120840" customFormat="1" x14ac:dyDescent="0.25"/>
    <row r="120841" customFormat="1" x14ac:dyDescent="0.25"/>
    <row r="120842" customFormat="1" x14ac:dyDescent="0.25"/>
    <row r="120843" customFormat="1" x14ac:dyDescent="0.25"/>
    <row r="120844" customFormat="1" x14ac:dyDescent="0.25"/>
    <row r="120845" customFormat="1" x14ac:dyDescent="0.25"/>
    <row r="120846" customFormat="1" x14ac:dyDescent="0.25"/>
    <row r="120847" customFormat="1" x14ac:dyDescent="0.25"/>
    <row r="120848" customFormat="1" x14ac:dyDescent="0.25"/>
    <row r="120849" customFormat="1" x14ac:dyDescent="0.25"/>
    <row r="120850" customFormat="1" x14ac:dyDescent="0.25"/>
    <row r="120851" customFormat="1" x14ac:dyDescent="0.25"/>
    <row r="120852" customFormat="1" x14ac:dyDescent="0.25"/>
    <row r="120853" customFormat="1" x14ac:dyDescent="0.25"/>
    <row r="120854" customFormat="1" x14ac:dyDescent="0.25"/>
    <row r="120855" customFormat="1" x14ac:dyDescent="0.25"/>
    <row r="120856" customFormat="1" x14ac:dyDescent="0.25"/>
    <row r="120857" customFormat="1" x14ac:dyDescent="0.25"/>
    <row r="120858" customFormat="1" x14ac:dyDescent="0.25"/>
    <row r="120859" customFormat="1" x14ac:dyDescent="0.25"/>
    <row r="120860" customFormat="1" x14ac:dyDescent="0.25"/>
    <row r="120861" customFormat="1" x14ac:dyDescent="0.25"/>
    <row r="120862" customFormat="1" x14ac:dyDescent="0.25"/>
    <row r="120863" customFormat="1" x14ac:dyDescent="0.25"/>
    <row r="120864" customFormat="1" x14ac:dyDescent="0.25"/>
    <row r="120865" customFormat="1" x14ac:dyDescent="0.25"/>
    <row r="120866" customFormat="1" x14ac:dyDescent="0.25"/>
    <row r="120867" customFormat="1" x14ac:dyDescent="0.25"/>
    <row r="120868" customFormat="1" x14ac:dyDescent="0.25"/>
    <row r="120869" customFormat="1" x14ac:dyDescent="0.25"/>
    <row r="120870" customFormat="1" x14ac:dyDescent="0.25"/>
    <row r="120871" customFormat="1" x14ac:dyDescent="0.25"/>
    <row r="120872" customFormat="1" x14ac:dyDescent="0.25"/>
    <row r="120873" customFormat="1" x14ac:dyDescent="0.25"/>
    <row r="120874" customFormat="1" x14ac:dyDescent="0.25"/>
    <row r="120875" customFormat="1" x14ac:dyDescent="0.25"/>
    <row r="120876" customFormat="1" x14ac:dyDescent="0.25"/>
    <row r="120877" customFormat="1" x14ac:dyDescent="0.25"/>
    <row r="120878" customFormat="1" x14ac:dyDescent="0.25"/>
    <row r="120879" customFormat="1" x14ac:dyDescent="0.25"/>
    <row r="120880" customFormat="1" x14ac:dyDescent="0.25"/>
    <row r="120881" customFormat="1" x14ac:dyDescent="0.25"/>
    <row r="120882" customFormat="1" x14ac:dyDescent="0.25"/>
    <row r="120883" customFormat="1" x14ac:dyDescent="0.25"/>
    <row r="120884" customFormat="1" x14ac:dyDescent="0.25"/>
    <row r="120885" customFormat="1" x14ac:dyDescent="0.25"/>
    <row r="120886" customFormat="1" x14ac:dyDescent="0.25"/>
    <row r="120887" customFormat="1" x14ac:dyDescent="0.25"/>
    <row r="120888" customFormat="1" x14ac:dyDescent="0.25"/>
    <row r="120889" customFormat="1" x14ac:dyDescent="0.25"/>
    <row r="120890" customFormat="1" x14ac:dyDescent="0.25"/>
    <row r="120891" customFormat="1" x14ac:dyDescent="0.25"/>
    <row r="120892" customFormat="1" x14ac:dyDescent="0.25"/>
    <row r="120893" customFormat="1" x14ac:dyDescent="0.25"/>
    <row r="120894" customFormat="1" x14ac:dyDescent="0.25"/>
    <row r="120895" customFormat="1" x14ac:dyDescent="0.25"/>
    <row r="120896" customFormat="1" x14ac:dyDescent="0.25"/>
    <row r="120897" customFormat="1" x14ac:dyDescent="0.25"/>
    <row r="120898" customFormat="1" x14ac:dyDescent="0.25"/>
    <row r="120899" customFormat="1" x14ac:dyDescent="0.25"/>
    <row r="120900" customFormat="1" x14ac:dyDescent="0.25"/>
    <row r="120901" customFormat="1" x14ac:dyDescent="0.25"/>
    <row r="120902" customFormat="1" x14ac:dyDescent="0.25"/>
    <row r="120903" customFormat="1" x14ac:dyDescent="0.25"/>
    <row r="120904" customFormat="1" x14ac:dyDescent="0.25"/>
    <row r="120905" customFormat="1" x14ac:dyDescent="0.25"/>
    <row r="120906" customFormat="1" x14ac:dyDescent="0.25"/>
    <row r="120907" customFormat="1" x14ac:dyDescent="0.25"/>
    <row r="120908" customFormat="1" x14ac:dyDescent="0.25"/>
    <row r="120909" customFormat="1" x14ac:dyDescent="0.25"/>
    <row r="120910" customFormat="1" x14ac:dyDescent="0.25"/>
    <row r="120911" customFormat="1" x14ac:dyDescent="0.25"/>
    <row r="120912" customFormat="1" x14ac:dyDescent="0.25"/>
    <row r="120913" customFormat="1" x14ac:dyDescent="0.25"/>
    <row r="120914" customFormat="1" x14ac:dyDescent="0.25"/>
    <row r="120915" customFormat="1" x14ac:dyDescent="0.25"/>
    <row r="120916" customFormat="1" x14ac:dyDescent="0.25"/>
    <row r="120917" customFormat="1" x14ac:dyDescent="0.25"/>
    <row r="120918" customFormat="1" x14ac:dyDescent="0.25"/>
    <row r="120919" customFormat="1" x14ac:dyDescent="0.25"/>
    <row r="120920" customFormat="1" x14ac:dyDescent="0.25"/>
    <row r="120921" customFormat="1" x14ac:dyDescent="0.25"/>
    <row r="120922" customFormat="1" x14ac:dyDescent="0.25"/>
    <row r="120923" customFormat="1" x14ac:dyDescent="0.25"/>
    <row r="120924" customFormat="1" x14ac:dyDescent="0.25"/>
    <row r="120925" customFormat="1" x14ac:dyDescent="0.25"/>
    <row r="120926" customFormat="1" x14ac:dyDescent="0.25"/>
    <row r="120927" customFormat="1" x14ac:dyDescent="0.25"/>
    <row r="120928" customFormat="1" x14ac:dyDescent="0.25"/>
    <row r="120929" customFormat="1" x14ac:dyDescent="0.25"/>
    <row r="120930" customFormat="1" x14ac:dyDescent="0.25"/>
    <row r="120931" customFormat="1" x14ac:dyDescent="0.25"/>
    <row r="120932" customFormat="1" x14ac:dyDescent="0.25"/>
    <row r="120933" customFormat="1" x14ac:dyDescent="0.25"/>
    <row r="120934" customFormat="1" x14ac:dyDescent="0.25"/>
    <row r="120935" customFormat="1" x14ac:dyDescent="0.25"/>
    <row r="120936" customFormat="1" x14ac:dyDescent="0.25"/>
    <row r="120937" customFormat="1" x14ac:dyDescent="0.25"/>
    <row r="120938" customFormat="1" x14ac:dyDescent="0.25"/>
    <row r="120939" customFormat="1" x14ac:dyDescent="0.25"/>
    <row r="120940" customFormat="1" x14ac:dyDescent="0.25"/>
    <row r="120941" customFormat="1" x14ac:dyDescent="0.25"/>
    <row r="120942" customFormat="1" x14ac:dyDescent="0.25"/>
    <row r="120943" customFormat="1" x14ac:dyDescent="0.25"/>
    <row r="120944" customFormat="1" x14ac:dyDescent="0.25"/>
    <row r="120945" customFormat="1" x14ac:dyDescent="0.25"/>
    <row r="120946" customFormat="1" x14ac:dyDescent="0.25"/>
    <row r="120947" customFormat="1" x14ac:dyDescent="0.25"/>
    <row r="120948" customFormat="1" x14ac:dyDescent="0.25"/>
    <row r="120949" customFormat="1" x14ac:dyDescent="0.25"/>
    <row r="120950" customFormat="1" x14ac:dyDescent="0.25"/>
    <row r="120951" customFormat="1" x14ac:dyDescent="0.25"/>
    <row r="120952" customFormat="1" x14ac:dyDescent="0.25"/>
    <row r="120953" customFormat="1" x14ac:dyDescent="0.25"/>
    <row r="120954" customFormat="1" x14ac:dyDescent="0.25"/>
    <row r="120955" customFormat="1" x14ac:dyDescent="0.25"/>
    <row r="120956" customFormat="1" x14ac:dyDescent="0.25"/>
    <row r="120957" customFormat="1" x14ac:dyDescent="0.25"/>
    <row r="120958" customFormat="1" x14ac:dyDescent="0.25"/>
    <row r="120959" customFormat="1" x14ac:dyDescent="0.25"/>
    <row r="120960" customFormat="1" x14ac:dyDescent="0.25"/>
    <row r="120961" customFormat="1" x14ac:dyDescent="0.25"/>
    <row r="120962" customFormat="1" x14ac:dyDescent="0.25"/>
    <row r="120963" customFormat="1" x14ac:dyDescent="0.25"/>
    <row r="120964" customFormat="1" x14ac:dyDescent="0.25"/>
    <row r="120965" customFormat="1" x14ac:dyDescent="0.25"/>
    <row r="120966" customFormat="1" x14ac:dyDescent="0.25"/>
    <row r="120967" customFormat="1" x14ac:dyDescent="0.25"/>
    <row r="120968" customFormat="1" x14ac:dyDescent="0.25"/>
    <row r="120969" customFormat="1" x14ac:dyDescent="0.25"/>
    <row r="120970" customFormat="1" x14ac:dyDescent="0.25"/>
    <row r="120971" customFormat="1" x14ac:dyDescent="0.25"/>
    <row r="120972" customFormat="1" x14ac:dyDescent="0.25"/>
    <row r="120973" customFormat="1" x14ac:dyDescent="0.25"/>
    <row r="120974" customFormat="1" x14ac:dyDescent="0.25"/>
    <row r="120975" customFormat="1" x14ac:dyDescent="0.25"/>
    <row r="120976" customFormat="1" x14ac:dyDescent="0.25"/>
    <row r="120977" customFormat="1" x14ac:dyDescent="0.25"/>
    <row r="120978" customFormat="1" x14ac:dyDescent="0.25"/>
    <row r="120979" customFormat="1" x14ac:dyDescent="0.25"/>
    <row r="120980" customFormat="1" x14ac:dyDescent="0.25"/>
    <row r="120981" customFormat="1" x14ac:dyDescent="0.25"/>
    <row r="120982" customFormat="1" x14ac:dyDescent="0.25"/>
    <row r="120983" customFormat="1" x14ac:dyDescent="0.25"/>
    <row r="120984" customFormat="1" x14ac:dyDescent="0.25"/>
    <row r="120985" customFormat="1" x14ac:dyDescent="0.25"/>
    <row r="120986" customFormat="1" x14ac:dyDescent="0.25"/>
    <row r="120987" customFormat="1" x14ac:dyDescent="0.25"/>
    <row r="120988" customFormat="1" x14ac:dyDescent="0.25"/>
    <row r="120989" customFormat="1" x14ac:dyDescent="0.25"/>
    <row r="120990" customFormat="1" x14ac:dyDescent="0.25"/>
    <row r="120991" customFormat="1" x14ac:dyDescent="0.25"/>
    <row r="120992" customFormat="1" x14ac:dyDescent="0.25"/>
    <row r="120993" customFormat="1" x14ac:dyDescent="0.25"/>
    <row r="120994" customFormat="1" x14ac:dyDescent="0.25"/>
    <row r="120995" customFormat="1" x14ac:dyDescent="0.25"/>
    <row r="120996" customFormat="1" x14ac:dyDescent="0.25"/>
    <row r="120997" customFormat="1" x14ac:dyDescent="0.25"/>
    <row r="120998" customFormat="1" x14ac:dyDescent="0.25"/>
    <row r="120999" customFormat="1" x14ac:dyDescent="0.25"/>
    <row r="121000" customFormat="1" x14ac:dyDescent="0.25"/>
    <row r="121001" customFormat="1" x14ac:dyDescent="0.25"/>
    <row r="121002" customFormat="1" x14ac:dyDescent="0.25"/>
    <row r="121003" customFormat="1" x14ac:dyDescent="0.25"/>
    <row r="121004" customFormat="1" x14ac:dyDescent="0.25"/>
    <row r="121005" customFormat="1" x14ac:dyDescent="0.25"/>
    <row r="121006" customFormat="1" x14ac:dyDescent="0.25"/>
    <row r="121007" customFormat="1" x14ac:dyDescent="0.25"/>
    <row r="121008" customFormat="1" x14ac:dyDescent="0.25"/>
    <row r="121009" customFormat="1" x14ac:dyDescent="0.25"/>
    <row r="121010" customFormat="1" x14ac:dyDescent="0.25"/>
    <row r="121011" customFormat="1" x14ac:dyDescent="0.25"/>
    <row r="121012" customFormat="1" x14ac:dyDescent="0.25"/>
    <row r="121013" customFormat="1" x14ac:dyDescent="0.25"/>
    <row r="121014" customFormat="1" x14ac:dyDescent="0.25"/>
    <row r="121015" customFormat="1" x14ac:dyDescent="0.25"/>
    <row r="121016" customFormat="1" x14ac:dyDescent="0.25"/>
    <row r="121017" customFormat="1" x14ac:dyDescent="0.25"/>
    <row r="121018" customFormat="1" x14ac:dyDescent="0.25"/>
    <row r="121019" customFormat="1" x14ac:dyDescent="0.25"/>
    <row r="121020" customFormat="1" x14ac:dyDescent="0.25"/>
    <row r="121021" customFormat="1" x14ac:dyDescent="0.25"/>
    <row r="121022" customFormat="1" x14ac:dyDescent="0.25"/>
    <row r="121023" customFormat="1" x14ac:dyDescent="0.25"/>
    <row r="121024" customFormat="1" x14ac:dyDescent="0.25"/>
    <row r="121025" customFormat="1" x14ac:dyDescent="0.25"/>
    <row r="121026" customFormat="1" x14ac:dyDescent="0.25"/>
    <row r="121027" customFormat="1" x14ac:dyDescent="0.25"/>
    <row r="121028" customFormat="1" x14ac:dyDescent="0.25"/>
    <row r="121029" customFormat="1" x14ac:dyDescent="0.25"/>
    <row r="121030" customFormat="1" x14ac:dyDescent="0.25"/>
    <row r="121031" customFormat="1" x14ac:dyDescent="0.25"/>
    <row r="121032" customFormat="1" x14ac:dyDescent="0.25"/>
    <row r="121033" customFormat="1" x14ac:dyDescent="0.25"/>
    <row r="121034" customFormat="1" x14ac:dyDescent="0.25"/>
    <row r="121035" customFormat="1" x14ac:dyDescent="0.25"/>
    <row r="121036" customFormat="1" x14ac:dyDescent="0.25"/>
    <row r="121037" customFormat="1" x14ac:dyDescent="0.25"/>
    <row r="121038" customFormat="1" x14ac:dyDescent="0.25"/>
    <row r="121039" customFormat="1" x14ac:dyDescent="0.25"/>
    <row r="121040" customFormat="1" x14ac:dyDescent="0.25"/>
    <row r="121041" customFormat="1" x14ac:dyDescent="0.25"/>
    <row r="121042" customFormat="1" x14ac:dyDescent="0.25"/>
    <row r="121043" customFormat="1" x14ac:dyDescent="0.25"/>
    <row r="121044" customFormat="1" x14ac:dyDescent="0.25"/>
    <row r="121045" customFormat="1" x14ac:dyDescent="0.25"/>
    <row r="121046" customFormat="1" x14ac:dyDescent="0.25"/>
    <row r="121047" customFormat="1" x14ac:dyDescent="0.25"/>
    <row r="121048" customFormat="1" x14ac:dyDescent="0.25"/>
    <row r="121049" customFormat="1" x14ac:dyDescent="0.25"/>
    <row r="121050" customFormat="1" x14ac:dyDescent="0.25"/>
    <row r="121051" customFormat="1" x14ac:dyDescent="0.25"/>
    <row r="121052" customFormat="1" x14ac:dyDescent="0.25"/>
    <row r="121053" customFormat="1" x14ac:dyDescent="0.25"/>
    <row r="121054" customFormat="1" x14ac:dyDescent="0.25"/>
    <row r="121055" customFormat="1" x14ac:dyDescent="0.25"/>
    <row r="121056" customFormat="1" x14ac:dyDescent="0.25"/>
    <row r="121057" customFormat="1" x14ac:dyDescent="0.25"/>
    <row r="121058" customFormat="1" x14ac:dyDescent="0.25"/>
    <row r="121059" customFormat="1" x14ac:dyDescent="0.25"/>
    <row r="121060" customFormat="1" x14ac:dyDescent="0.25"/>
    <row r="121061" customFormat="1" x14ac:dyDescent="0.25"/>
    <row r="121062" customFormat="1" x14ac:dyDescent="0.25"/>
    <row r="121063" customFormat="1" x14ac:dyDescent="0.25"/>
    <row r="121064" customFormat="1" x14ac:dyDescent="0.25"/>
    <row r="121065" customFormat="1" x14ac:dyDescent="0.25"/>
    <row r="121066" customFormat="1" x14ac:dyDescent="0.25"/>
    <row r="121067" customFormat="1" x14ac:dyDescent="0.25"/>
    <row r="121068" customFormat="1" x14ac:dyDescent="0.25"/>
    <row r="121069" customFormat="1" x14ac:dyDescent="0.25"/>
    <row r="121070" customFormat="1" x14ac:dyDescent="0.25"/>
    <row r="121071" customFormat="1" x14ac:dyDescent="0.25"/>
    <row r="121072" customFormat="1" x14ac:dyDescent="0.25"/>
    <row r="121073" customFormat="1" x14ac:dyDescent="0.25"/>
    <row r="121074" customFormat="1" x14ac:dyDescent="0.25"/>
    <row r="121075" customFormat="1" x14ac:dyDescent="0.25"/>
    <row r="121076" customFormat="1" x14ac:dyDescent="0.25"/>
    <row r="121077" customFormat="1" x14ac:dyDescent="0.25"/>
    <row r="121078" customFormat="1" x14ac:dyDescent="0.25"/>
    <row r="121079" customFormat="1" x14ac:dyDescent="0.25"/>
    <row r="121080" customFormat="1" x14ac:dyDescent="0.25"/>
    <row r="121081" customFormat="1" x14ac:dyDescent="0.25"/>
    <row r="121082" customFormat="1" x14ac:dyDescent="0.25"/>
    <row r="121083" customFormat="1" x14ac:dyDescent="0.25"/>
    <row r="121084" customFormat="1" x14ac:dyDescent="0.25"/>
    <row r="121085" customFormat="1" x14ac:dyDescent="0.25"/>
    <row r="121086" customFormat="1" x14ac:dyDescent="0.25"/>
    <row r="121087" customFormat="1" x14ac:dyDescent="0.25"/>
    <row r="121088" customFormat="1" x14ac:dyDescent="0.25"/>
    <row r="121089" customFormat="1" x14ac:dyDescent="0.25"/>
    <row r="121090" customFormat="1" x14ac:dyDescent="0.25"/>
    <row r="121091" customFormat="1" x14ac:dyDescent="0.25"/>
    <row r="121092" customFormat="1" x14ac:dyDescent="0.25"/>
    <row r="121093" customFormat="1" x14ac:dyDescent="0.25"/>
    <row r="121094" customFormat="1" x14ac:dyDescent="0.25"/>
    <row r="121095" customFormat="1" x14ac:dyDescent="0.25"/>
    <row r="121096" customFormat="1" x14ac:dyDescent="0.25"/>
    <row r="121097" customFormat="1" x14ac:dyDescent="0.25"/>
    <row r="121098" customFormat="1" x14ac:dyDescent="0.25"/>
    <row r="121099" customFormat="1" x14ac:dyDescent="0.25"/>
    <row r="121100" customFormat="1" x14ac:dyDescent="0.25"/>
    <row r="121101" customFormat="1" x14ac:dyDescent="0.25"/>
    <row r="121102" customFormat="1" x14ac:dyDescent="0.25"/>
    <row r="121103" customFormat="1" x14ac:dyDescent="0.25"/>
    <row r="121104" customFormat="1" x14ac:dyDescent="0.25"/>
    <row r="121105" customFormat="1" x14ac:dyDescent="0.25"/>
    <row r="121106" customFormat="1" x14ac:dyDescent="0.25"/>
    <row r="121107" customFormat="1" x14ac:dyDescent="0.25"/>
    <row r="121108" customFormat="1" x14ac:dyDescent="0.25"/>
    <row r="121109" customFormat="1" x14ac:dyDescent="0.25"/>
    <row r="121110" customFormat="1" x14ac:dyDescent="0.25"/>
    <row r="121111" customFormat="1" x14ac:dyDescent="0.25"/>
    <row r="121112" customFormat="1" x14ac:dyDescent="0.25"/>
    <row r="121113" customFormat="1" x14ac:dyDescent="0.25"/>
    <row r="121114" customFormat="1" x14ac:dyDescent="0.25"/>
    <row r="121115" customFormat="1" x14ac:dyDescent="0.25"/>
    <row r="121116" customFormat="1" x14ac:dyDescent="0.25"/>
    <row r="121117" customFormat="1" x14ac:dyDescent="0.25"/>
    <row r="121118" customFormat="1" x14ac:dyDescent="0.25"/>
    <row r="121119" customFormat="1" x14ac:dyDescent="0.25"/>
    <row r="121120" customFormat="1" x14ac:dyDescent="0.25"/>
    <row r="121121" customFormat="1" x14ac:dyDescent="0.25"/>
    <row r="121122" customFormat="1" x14ac:dyDescent="0.25"/>
    <row r="121123" customFormat="1" x14ac:dyDescent="0.25"/>
    <row r="121124" customFormat="1" x14ac:dyDescent="0.25"/>
    <row r="121125" customFormat="1" x14ac:dyDescent="0.25"/>
    <row r="121126" customFormat="1" x14ac:dyDescent="0.25"/>
    <row r="121127" customFormat="1" x14ac:dyDescent="0.25"/>
    <row r="121128" customFormat="1" x14ac:dyDescent="0.25"/>
    <row r="121129" customFormat="1" x14ac:dyDescent="0.25"/>
    <row r="121130" customFormat="1" x14ac:dyDescent="0.25"/>
    <row r="121131" customFormat="1" x14ac:dyDescent="0.25"/>
    <row r="121132" customFormat="1" x14ac:dyDescent="0.25"/>
    <row r="121133" customFormat="1" x14ac:dyDescent="0.25"/>
    <row r="121134" customFormat="1" x14ac:dyDescent="0.25"/>
    <row r="121135" customFormat="1" x14ac:dyDescent="0.25"/>
    <row r="121136" customFormat="1" x14ac:dyDescent="0.25"/>
    <row r="121137" customFormat="1" x14ac:dyDescent="0.25"/>
    <row r="121138" customFormat="1" x14ac:dyDescent="0.25"/>
    <row r="121139" customFormat="1" x14ac:dyDescent="0.25"/>
    <row r="121140" customFormat="1" x14ac:dyDescent="0.25"/>
    <row r="121141" customFormat="1" x14ac:dyDescent="0.25"/>
    <row r="121142" customFormat="1" x14ac:dyDescent="0.25"/>
    <row r="121143" customFormat="1" x14ac:dyDescent="0.25"/>
    <row r="121144" customFormat="1" x14ac:dyDescent="0.25"/>
    <row r="121145" customFormat="1" x14ac:dyDescent="0.25"/>
    <row r="121146" customFormat="1" x14ac:dyDescent="0.25"/>
    <row r="121147" customFormat="1" x14ac:dyDescent="0.25"/>
    <row r="121148" customFormat="1" x14ac:dyDescent="0.25"/>
    <row r="121149" customFormat="1" x14ac:dyDescent="0.25"/>
    <row r="121150" customFormat="1" x14ac:dyDescent="0.25"/>
    <row r="121151" customFormat="1" x14ac:dyDescent="0.25"/>
    <row r="121152" customFormat="1" x14ac:dyDescent="0.25"/>
    <row r="121153" customFormat="1" x14ac:dyDescent="0.25"/>
    <row r="121154" customFormat="1" x14ac:dyDescent="0.25"/>
    <row r="121155" customFormat="1" x14ac:dyDescent="0.25"/>
    <row r="121156" customFormat="1" x14ac:dyDescent="0.25"/>
    <row r="121157" customFormat="1" x14ac:dyDescent="0.25"/>
    <row r="121158" customFormat="1" x14ac:dyDescent="0.25"/>
    <row r="121159" customFormat="1" x14ac:dyDescent="0.25"/>
    <row r="121160" customFormat="1" x14ac:dyDescent="0.25"/>
    <row r="121161" customFormat="1" x14ac:dyDescent="0.25"/>
    <row r="121162" customFormat="1" x14ac:dyDescent="0.25"/>
    <row r="121163" customFormat="1" x14ac:dyDescent="0.25"/>
    <row r="121164" customFormat="1" x14ac:dyDescent="0.25"/>
    <row r="121165" customFormat="1" x14ac:dyDescent="0.25"/>
    <row r="121166" customFormat="1" x14ac:dyDescent="0.25"/>
    <row r="121167" customFormat="1" x14ac:dyDescent="0.25"/>
    <row r="121168" customFormat="1" x14ac:dyDescent="0.25"/>
    <row r="121169" customFormat="1" x14ac:dyDescent="0.25"/>
    <row r="121170" customFormat="1" x14ac:dyDescent="0.25"/>
    <row r="121171" customFormat="1" x14ac:dyDescent="0.25"/>
    <row r="121172" customFormat="1" x14ac:dyDescent="0.25"/>
    <row r="121173" customFormat="1" x14ac:dyDescent="0.25"/>
    <row r="121174" customFormat="1" x14ac:dyDescent="0.25"/>
    <row r="121175" customFormat="1" x14ac:dyDescent="0.25"/>
    <row r="121176" customFormat="1" x14ac:dyDescent="0.25"/>
    <row r="121177" customFormat="1" x14ac:dyDescent="0.25"/>
    <row r="121178" customFormat="1" x14ac:dyDescent="0.25"/>
    <row r="121179" customFormat="1" x14ac:dyDescent="0.25"/>
    <row r="121180" customFormat="1" x14ac:dyDescent="0.25"/>
    <row r="121181" customFormat="1" x14ac:dyDescent="0.25"/>
    <row r="121182" customFormat="1" x14ac:dyDescent="0.25"/>
    <row r="121183" customFormat="1" x14ac:dyDescent="0.25"/>
    <row r="121184" customFormat="1" x14ac:dyDescent="0.25"/>
    <row r="121185" customFormat="1" x14ac:dyDescent="0.25"/>
    <row r="121186" customFormat="1" x14ac:dyDescent="0.25"/>
    <row r="121187" customFormat="1" x14ac:dyDescent="0.25"/>
    <row r="121188" customFormat="1" x14ac:dyDescent="0.25"/>
    <row r="121189" customFormat="1" x14ac:dyDescent="0.25"/>
    <row r="121190" customFormat="1" x14ac:dyDescent="0.25"/>
    <row r="121191" customFormat="1" x14ac:dyDescent="0.25"/>
    <row r="121192" customFormat="1" x14ac:dyDescent="0.25"/>
    <row r="121193" customFormat="1" x14ac:dyDescent="0.25"/>
    <row r="121194" customFormat="1" x14ac:dyDescent="0.25"/>
    <row r="121195" customFormat="1" x14ac:dyDescent="0.25"/>
    <row r="121196" customFormat="1" x14ac:dyDescent="0.25"/>
    <row r="121197" customFormat="1" x14ac:dyDescent="0.25"/>
    <row r="121198" customFormat="1" x14ac:dyDescent="0.25"/>
    <row r="121199" customFormat="1" x14ac:dyDescent="0.25"/>
    <row r="121200" customFormat="1" x14ac:dyDescent="0.25"/>
    <row r="121201" customFormat="1" x14ac:dyDescent="0.25"/>
    <row r="121202" customFormat="1" x14ac:dyDescent="0.25"/>
    <row r="121203" customFormat="1" x14ac:dyDescent="0.25"/>
    <row r="121204" customFormat="1" x14ac:dyDescent="0.25"/>
    <row r="121205" customFormat="1" x14ac:dyDescent="0.25"/>
    <row r="121206" customFormat="1" x14ac:dyDescent="0.25"/>
    <row r="121207" customFormat="1" x14ac:dyDescent="0.25"/>
    <row r="121208" customFormat="1" x14ac:dyDescent="0.25"/>
    <row r="121209" customFormat="1" x14ac:dyDescent="0.25"/>
    <row r="121210" customFormat="1" x14ac:dyDescent="0.25"/>
    <row r="121211" customFormat="1" x14ac:dyDescent="0.25"/>
    <row r="121212" customFormat="1" x14ac:dyDescent="0.25"/>
    <row r="121213" customFormat="1" x14ac:dyDescent="0.25"/>
    <row r="121214" customFormat="1" x14ac:dyDescent="0.25"/>
    <row r="121215" customFormat="1" x14ac:dyDescent="0.25"/>
    <row r="121216" customFormat="1" x14ac:dyDescent="0.25"/>
    <row r="121217" customFormat="1" x14ac:dyDescent="0.25"/>
    <row r="121218" customFormat="1" x14ac:dyDescent="0.25"/>
    <row r="121219" customFormat="1" x14ac:dyDescent="0.25"/>
    <row r="121220" customFormat="1" x14ac:dyDescent="0.25"/>
    <row r="121221" customFormat="1" x14ac:dyDescent="0.25"/>
    <row r="121222" customFormat="1" x14ac:dyDescent="0.25"/>
    <row r="121223" customFormat="1" x14ac:dyDescent="0.25"/>
    <row r="121224" customFormat="1" x14ac:dyDescent="0.25"/>
    <row r="121225" customFormat="1" x14ac:dyDescent="0.25"/>
    <row r="121226" customFormat="1" x14ac:dyDescent="0.25"/>
    <row r="121227" customFormat="1" x14ac:dyDescent="0.25"/>
    <row r="121228" customFormat="1" x14ac:dyDescent="0.25"/>
    <row r="121229" customFormat="1" x14ac:dyDescent="0.25"/>
    <row r="121230" customFormat="1" x14ac:dyDescent="0.25"/>
    <row r="121231" customFormat="1" x14ac:dyDescent="0.25"/>
    <row r="121232" customFormat="1" x14ac:dyDescent="0.25"/>
    <row r="121233" customFormat="1" x14ac:dyDescent="0.25"/>
    <row r="121234" customFormat="1" x14ac:dyDescent="0.25"/>
    <row r="121235" customFormat="1" x14ac:dyDescent="0.25"/>
    <row r="121236" customFormat="1" x14ac:dyDescent="0.25"/>
    <row r="121237" customFormat="1" x14ac:dyDescent="0.25"/>
    <row r="121238" customFormat="1" x14ac:dyDescent="0.25"/>
    <row r="121239" customFormat="1" x14ac:dyDescent="0.25"/>
    <row r="121240" customFormat="1" x14ac:dyDescent="0.25"/>
    <row r="121241" customFormat="1" x14ac:dyDescent="0.25"/>
    <row r="121242" customFormat="1" x14ac:dyDescent="0.25"/>
    <row r="121243" customFormat="1" x14ac:dyDescent="0.25"/>
    <row r="121244" customFormat="1" x14ac:dyDescent="0.25"/>
    <row r="121245" customFormat="1" x14ac:dyDescent="0.25"/>
    <row r="121246" customFormat="1" x14ac:dyDescent="0.25"/>
    <row r="121247" customFormat="1" x14ac:dyDescent="0.25"/>
    <row r="121248" customFormat="1" x14ac:dyDescent="0.25"/>
    <row r="121249" customFormat="1" x14ac:dyDescent="0.25"/>
    <row r="121250" customFormat="1" x14ac:dyDescent="0.25"/>
    <row r="121251" customFormat="1" x14ac:dyDescent="0.25"/>
    <row r="121252" customFormat="1" x14ac:dyDescent="0.25"/>
    <row r="121253" customFormat="1" x14ac:dyDescent="0.25"/>
    <row r="121254" customFormat="1" x14ac:dyDescent="0.25"/>
    <row r="121255" customFormat="1" x14ac:dyDescent="0.25"/>
    <row r="121256" customFormat="1" x14ac:dyDescent="0.25"/>
    <row r="121257" customFormat="1" x14ac:dyDescent="0.25"/>
    <row r="121258" customFormat="1" x14ac:dyDescent="0.25"/>
    <row r="121259" customFormat="1" x14ac:dyDescent="0.25"/>
    <row r="121260" customFormat="1" x14ac:dyDescent="0.25"/>
    <row r="121261" customFormat="1" x14ac:dyDescent="0.25"/>
    <row r="121262" customFormat="1" x14ac:dyDescent="0.25"/>
    <row r="121263" customFormat="1" x14ac:dyDescent="0.25"/>
    <row r="121264" customFormat="1" x14ac:dyDescent="0.25"/>
    <row r="121265" customFormat="1" x14ac:dyDescent="0.25"/>
    <row r="121266" customFormat="1" x14ac:dyDescent="0.25"/>
    <row r="121267" customFormat="1" x14ac:dyDescent="0.25"/>
    <row r="121268" customFormat="1" x14ac:dyDescent="0.25"/>
    <row r="121269" customFormat="1" x14ac:dyDescent="0.25"/>
    <row r="121270" customFormat="1" x14ac:dyDescent="0.25"/>
    <row r="121271" customFormat="1" x14ac:dyDescent="0.25"/>
    <row r="121272" customFormat="1" x14ac:dyDescent="0.25"/>
    <row r="121273" customFormat="1" x14ac:dyDescent="0.25"/>
    <row r="121274" customFormat="1" x14ac:dyDescent="0.25"/>
    <row r="121275" customFormat="1" x14ac:dyDescent="0.25"/>
    <row r="121276" customFormat="1" x14ac:dyDescent="0.25"/>
    <row r="121277" customFormat="1" x14ac:dyDescent="0.25"/>
    <row r="121278" customFormat="1" x14ac:dyDescent="0.25"/>
    <row r="121279" customFormat="1" x14ac:dyDescent="0.25"/>
    <row r="121280" customFormat="1" x14ac:dyDescent="0.25"/>
    <row r="121281" customFormat="1" x14ac:dyDescent="0.25"/>
    <row r="121282" customFormat="1" x14ac:dyDescent="0.25"/>
    <row r="121283" customFormat="1" x14ac:dyDescent="0.25"/>
    <row r="121284" customFormat="1" x14ac:dyDescent="0.25"/>
    <row r="121285" customFormat="1" x14ac:dyDescent="0.25"/>
    <row r="121286" customFormat="1" x14ac:dyDescent="0.25"/>
    <row r="121287" customFormat="1" x14ac:dyDescent="0.25"/>
    <row r="121288" customFormat="1" x14ac:dyDescent="0.25"/>
    <row r="121289" customFormat="1" x14ac:dyDescent="0.25"/>
    <row r="121290" customFormat="1" x14ac:dyDescent="0.25"/>
    <row r="121291" customFormat="1" x14ac:dyDescent="0.25"/>
    <row r="121292" customFormat="1" x14ac:dyDescent="0.25"/>
    <row r="121293" customFormat="1" x14ac:dyDescent="0.25"/>
    <row r="121294" customFormat="1" x14ac:dyDescent="0.25"/>
    <row r="121295" customFormat="1" x14ac:dyDescent="0.25"/>
    <row r="121296" customFormat="1" x14ac:dyDescent="0.25"/>
    <row r="121297" customFormat="1" x14ac:dyDescent="0.25"/>
    <row r="121298" customFormat="1" x14ac:dyDescent="0.25"/>
    <row r="121299" customFormat="1" x14ac:dyDescent="0.25"/>
    <row r="121300" customFormat="1" x14ac:dyDescent="0.25"/>
    <row r="121301" customFormat="1" x14ac:dyDescent="0.25"/>
    <row r="121302" customFormat="1" x14ac:dyDescent="0.25"/>
    <row r="121303" customFormat="1" x14ac:dyDescent="0.25"/>
    <row r="121304" customFormat="1" x14ac:dyDescent="0.25"/>
    <row r="121305" customFormat="1" x14ac:dyDescent="0.25"/>
    <row r="121306" customFormat="1" x14ac:dyDescent="0.25"/>
    <row r="121307" customFormat="1" x14ac:dyDescent="0.25"/>
    <row r="121308" customFormat="1" x14ac:dyDescent="0.25"/>
    <row r="121309" customFormat="1" x14ac:dyDescent="0.25"/>
    <row r="121310" customFormat="1" x14ac:dyDescent="0.25"/>
    <row r="121311" customFormat="1" x14ac:dyDescent="0.25"/>
    <row r="121312" customFormat="1" x14ac:dyDescent="0.25"/>
    <row r="121313" customFormat="1" x14ac:dyDescent="0.25"/>
    <row r="121314" customFormat="1" x14ac:dyDescent="0.25"/>
    <row r="121315" customFormat="1" x14ac:dyDescent="0.25"/>
    <row r="121316" customFormat="1" x14ac:dyDescent="0.25"/>
    <row r="121317" customFormat="1" x14ac:dyDescent="0.25"/>
    <row r="121318" customFormat="1" x14ac:dyDescent="0.25"/>
    <row r="121319" customFormat="1" x14ac:dyDescent="0.25"/>
    <row r="121320" customFormat="1" x14ac:dyDescent="0.25"/>
    <row r="121321" customFormat="1" x14ac:dyDescent="0.25"/>
    <row r="121322" customFormat="1" x14ac:dyDescent="0.25"/>
    <row r="121323" customFormat="1" x14ac:dyDescent="0.25"/>
    <row r="121324" customFormat="1" x14ac:dyDescent="0.25"/>
    <row r="121325" customFormat="1" x14ac:dyDescent="0.25"/>
    <row r="121326" customFormat="1" x14ac:dyDescent="0.25"/>
    <row r="121327" customFormat="1" x14ac:dyDescent="0.25"/>
    <row r="121328" customFormat="1" x14ac:dyDescent="0.25"/>
    <row r="121329" customFormat="1" x14ac:dyDescent="0.25"/>
    <row r="121330" customFormat="1" x14ac:dyDescent="0.25"/>
    <row r="121331" customFormat="1" x14ac:dyDescent="0.25"/>
    <row r="121332" customFormat="1" x14ac:dyDescent="0.25"/>
    <row r="121333" customFormat="1" x14ac:dyDescent="0.25"/>
    <row r="121334" customFormat="1" x14ac:dyDescent="0.25"/>
    <row r="121335" customFormat="1" x14ac:dyDescent="0.25"/>
    <row r="121336" customFormat="1" x14ac:dyDescent="0.25"/>
    <row r="121337" customFormat="1" x14ac:dyDescent="0.25"/>
    <row r="121338" customFormat="1" x14ac:dyDescent="0.25"/>
    <row r="121339" customFormat="1" x14ac:dyDescent="0.25"/>
    <row r="121340" customFormat="1" x14ac:dyDescent="0.25"/>
    <row r="121341" customFormat="1" x14ac:dyDescent="0.25"/>
    <row r="121342" customFormat="1" x14ac:dyDescent="0.25"/>
    <row r="121343" customFormat="1" x14ac:dyDescent="0.25"/>
    <row r="121344" customFormat="1" x14ac:dyDescent="0.25"/>
    <row r="121345" customFormat="1" x14ac:dyDescent="0.25"/>
    <row r="121346" customFormat="1" x14ac:dyDescent="0.25"/>
    <row r="121347" customFormat="1" x14ac:dyDescent="0.25"/>
    <row r="121348" customFormat="1" x14ac:dyDescent="0.25"/>
    <row r="121349" customFormat="1" x14ac:dyDescent="0.25"/>
    <row r="121350" customFormat="1" x14ac:dyDescent="0.25"/>
    <row r="121351" customFormat="1" x14ac:dyDescent="0.25"/>
    <row r="121352" customFormat="1" x14ac:dyDescent="0.25"/>
    <row r="121353" customFormat="1" x14ac:dyDescent="0.25"/>
    <row r="121354" customFormat="1" x14ac:dyDescent="0.25"/>
    <row r="121355" customFormat="1" x14ac:dyDescent="0.25"/>
    <row r="121356" customFormat="1" x14ac:dyDescent="0.25"/>
    <row r="121357" customFormat="1" x14ac:dyDescent="0.25"/>
    <row r="121358" customFormat="1" x14ac:dyDescent="0.25"/>
    <row r="121359" customFormat="1" x14ac:dyDescent="0.25"/>
    <row r="121360" customFormat="1" x14ac:dyDescent="0.25"/>
    <row r="121361" customFormat="1" x14ac:dyDescent="0.25"/>
    <row r="121362" customFormat="1" x14ac:dyDescent="0.25"/>
    <row r="121363" customFormat="1" x14ac:dyDescent="0.25"/>
    <row r="121364" customFormat="1" x14ac:dyDescent="0.25"/>
    <row r="121365" customFormat="1" x14ac:dyDescent="0.25"/>
    <row r="121366" customFormat="1" x14ac:dyDescent="0.25"/>
    <row r="121367" customFormat="1" x14ac:dyDescent="0.25"/>
    <row r="121368" customFormat="1" x14ac:dyDescent="0.25"/>
    <row r="121369" customFormat="1" x14ac:dyDescent="0.25"/>
    <row r="121370" customFormat="1" x14ac:dyDescent="0.25"/>
    <row r="121371" customFormat="1" x14ac:dyDescent="0.25"/>
    <row r="121372" customFormat="1" x14ac:dyDescent="0.25"/>
    <row r="121373" customFormat="1" x14ac:dyDescent="0.25"/>
    <row r="121374" customFormat="1" x14ac:dyDescent="0.25"/>
    <row r="121375" customFormat="1" x14ac:dyDescent="0.25"/>
    <row r="121376" customFormat="1" x14ac:dyDescent="0.25"/>
    <row r="121377" customFormat="1" x14ac:dyDescent="0.25"/>
    <row r="121378" customFormat="1" x14ac:dyDescent="0.25"/>
    <row r="121379" customFormat="1" x14ac:dyDescent="0.25"/>
    <row r="121380" customFormat="1" x14ac:dyDescent="0.25"/>
    <row r="121381" customFormat="1" x14ac:dyDescent="0.25"/>
    <row r="121382" customFormat="1" x14ac:dyDescent="0.25"/>
    <row r="121383" customFormat="1" x14ac:dyDescent="0.25"/>
    <row r="121384" customFormat="1" x14ac:dyDescent="0.25"/>
    <row r="121385" customFormat="1" x14ac:dyDescent="0.25"/>
    <row r="121386" customFormat="1" x14ac:dyDescent="0.25"/>
    <row r="121387" customFormat="1" x14ac:dyDescent="0.25"/>
    <row r="121388" customFormat="1" x14ac:dyDescent="0.25"/>
    <row r="121389" customFormat="1" x14ac:dyDescent="0.25"/>
    <row r="121390" customFormat="1" x14ac:dyDescent="0.25"/>
    <row r="121391" customFormat="1" x14ac:dyDescent="0.25"/>
    <row r="121392" customFormat="1" x14ac:dyDescent="0.25"/>
    <row r="121393" customFormat="1" x14ac:dyDescent="0.25"/>
    <row r="121394" customFormat="1" x14ac:dyDescent="0.25"/>
    <row r="121395" customFormat="1" x14ac:dyDescent="0.25"/>
    <row r="121396" customFormat="1" x14ac:dyDescent="0.25"/>
    <row r="121397" customFormat="1" x14ac:dyDescent="0.25"/>
    <row r="121398" customFormat="1" x14ac:dyDescent="0.25"/>
    <row r="121399" customFormat="1" x14ac:dyDescent="0.25"/>
    <row r="121400" customFormat="1" x14ac:dyDescent="0.25"/>
    <row r="121401" customFormat="1" x14ac:dyDescent="0.25"/>
    <row r="121402" customFormat="1" x14ac:dyDescent="0.25"/>
    <row r="121403" customFormat="1" x14ac:dyDescent="0.25"/>
    <row r="121404" customFormat="1" x14ac:dyDescent="0.25"/>
    <row r="121405" customFormat="1" x14ac:dyDescent="0.25"/>
    <row r="121406" customFormat="1" x14ac:dyDescent="0.25"/>
    <row r="121407" customFormat="1" x14ac:dyDescent="0.25"/>
    <row r="121408" customFormat="1" x14ac:dyDescent="0.25"/>
    <row r="121409" customFormat="1" x14ac:dyDescent="0.25"/>
    <row r="121410" customFormat="1" x14ac:dyDescent="0.25"/>
    <row r="121411" customFormat="1" x14ac:dyDescent="0.25"/>
    <row r="121412" customFormat="1" x14ac:dyDescent="0.25"/>
    <row r="121413" customFormat="1" x14ac:dyDescent="0.25"/>
    <row r="121414" customFormat="1" x14ac:dyDescent="0.25"/>
    <row r="121415" customFormat="1" x14ac:dyDescent="0.25"/>
    <row r="121416" customFormat="1" x14ac:dyDescent="0.25"/>
    <row r="121417" customFormat="1" x14ac:dyDescent="0.25"/>
    <row r="121418" customFormat="1" x14ac:dyDescent="0.25"/>
    <row r="121419" customFormat="1" x14ac:dyDescent="0.25"/>
    <row r="121420" customFormat="1" x14ac:dyDescent="0.25"/>
    <row r="121421" customFormat="1" x14ac:dyDescent="0.25"/>
    <row r="121422" customFormat="1" x14ac:dyDescent="0.25"/>
    <row r="121423" customFormat="1" x14ac:dyDescent="0.25"/>
    <row r="121424" customFormat="1" x14ac:dyDescent="0.25"/>
    <row r="121425" customFormat="1" x14ac:dyDescent="0.25"/>
    <row r="121426" customFormat="1" x14ac:dyDescent="0.25"/>
    <row r="121427" customFormat="1" x14ac:dyDescent="0.25"/>
    <row r="121428" customFormat="1" x14ac:dyDescent="0.25"/>
    <row r="121429" customFormat="1" x14ac:dyDescent="0.25"/>
    <row r="121430" customFormat="1" x14ac:dyDescent="0.25"/>
    <row r="121431" customFormat="1" x14ac:dyDescent="0.25"/>
    <row r="121432" customFormat="1" x14ac:dyDescent="0.25"/>
    <row r="121433" customFormat="1" x14ac:dyDescent="0.25"/>
    <row r="121434" customFormat="1" x14ac:dyDescent="0.25"/>
    <row r="121435" customFormat="1" x14ac:dyDescent="0.25"/>
    <row r="121436" customFormat="1" x14ac:dyDescent="0.25"/>
    <row r="121437" customFormat="1" x14ac:dyDescent="0.25"/>
    <row r="121438" customFormat="1" x14ac:dyDescent="0.25"/>
    <row r="121439" customFormat="1" x14ac:dyDescent="0.25"/>
    <row r="121440" customFormat="1" x14ac:dyDescent="0.25"/>
    <row r="121441" customFormat="1" x14ac:dyDescent="0.25"/>
    <row r="121442" customFormat="1" x14ac:dyDescent="0.25"/>
    <row r="121443" customFormat="1" x14ac:dyDescent="0.25"/>
    <row r="121444" customFormat="1" x14ac:dyDescent="0.25"/>
    <row r="121445" customFormat="1" x14ac:dyDescent="0.25"/>
    <row r="121446" customFormat="1" x14ac:dyDescent="0.25"/>
    <row r="121447" customFormat="1" x14ac:dyDescent="0.25"/>
    <row r="121448" customFormat="1" x14ac:dyDescent="0.25"/>
    <row r="121449" customFormat="1" x14ac:dyDescent="0.25"/>
    <row r="121450" customFormat="1" x14ac:dyDescent="0.25"/>
    <row r="121451" customFormat="1" x14ac:dyDescent="0.25"/>
    <row r="121452" customFormat="1" x14ac:dyDescent="0.25"/>
    <row r="121453" customFormat="1" x14ac:dyDescent="0.25"/>
    <row r="121454" customFormat="1" x14ac:dyDescent="0.25"/>
    <row r="121455" customFormat="1" x14ac:dyDescent="0.25"/>
    <row r="121456" customFormat="1" x14ac:dyDescent="0.25"/>
    <row r="121457" customFormat="1" x14ac:dyDescent="0.25"/>
    <row r="121458" customFormat="1" x14ac:dyDescent="0.25"/>
    <row r="121459" customFormat="1" x14ac:dyDescent="0.25"/>
    <row r="121460" customFormat="1" x14ac:dyDescent="0.25"/>
    <row r="121461" customFormat="1" x14ac:dyDescent="0.25"/>
    <row r="121462" customFormat="1" x14ac:dyDescent="0.25"/>
    <row r="121463" customFormat="1" x14ac:dyDescent="0.25"/>
    <row r="121464" customFormat="1" x14ac:dyDescent="0.25"/>
    <row r="121465" customFormat="1" x14ac:dyDescent="0.25"/>
    <row r="121466" customFormat="1" x14ac:dyDescent="0.25"/>
    <row r="121467" customFormat="1" x14ac:dyDescent="0.25"/>
    <row r="121468" customFormat="1" x14ac:dyDescent="0.25"/>
    <row r="121469" customFormat="1" x14ac:dyDescent="0.25"/>
    <row r="121470" customFormat="1" x14ac:dyDescent="0.25"/>
    <row r="121471" customFormat="1" x14ac:dyDescent="0.25"/>
    <row r="121472" customFormat="1" x14ac:dyDescent="0.25"/>
    <row r="121473" customFormat="1" x14ac:dyDescent="0.25"/>
    <row r="121474" customFormat="1" x14ac:dyDescent="0.25"/>
    <row r="121475" customFormat="1" x14ac:dyDescent="0.25"/>
    <row r="121476" customFormat="1" x14ac:dyDescent="0.25"/>
    <row r="121477" customFormat="1" x14ac:dyDescent="0.25"/>
    <row r="121478" customFormat="1" x14ac:dyDescent="0.25"/>
    <row r="121479" customFormat="1" x14ac:dyDescent="0.25"/>
    <row r="121480" customFormat="1" x14ac:dyDescent="0.25"/>
    <row r="121481" customFormat="1" x14ac:dyDescent="0.25"/>
    <row r="121482" customFormat="1" x14ac:dyDescent="0.25"/>
    <row r="121483" customFormat="1" x14ac:dyDescent="0.25"/>
    <row r="121484" customFormat="1" x14ac:dyDescent="0.25"/>
    <row r="121485" customFormat="1" x14ac:dyDescent="0.25"/>
    <row r="121486" customFormat="1" x14ac:dyDescent="0.25"/>
    <row r="121487" customFormat="1" x14ac:dyDescent="0.25"/>
    <row r="121488" customFormat="1" x14ac:dyDescent="0.25"/>
    <row r="121489" customFormat="1" x14ac:dyDescent="0.25"/>
    <row r="121490" customFormat="1" x14ac:dyDescent="0.25"/>
    <row r="121491" customFormat="1" x14ac:dyDescent="0.25"/>
    <row r="121492" customFormat="1" x14ac:dyDescent="0.25"/>
    <row r="121493" customFormat="1" x14ac:dyDescent="0.25"/>
    <row r="121494" customFormat="1" x14ac:dyDescent="0.25"/>
    <row r="121495" customFormat="1" x14ac:dyDescent="0.25"/>
    <row r="121496" customFormat="1" x14ac:dyDescent="0.25"/>
    <row r="121497" customFormat="1" x14ac:dyDescent="0.25"/>
    <row r="121498" customFormat="1" x14ac:dyDescent="0.25"/>
    <row r="121499" customFormat="1" x14ac:dyDescent="0.25"/>
    <row r="121500" customFormat="1" x14ac:dyDescent="0.25"/>
    <row r="121501" customFormat="1" x14ac:dyDescent="0.25"/>
    <row r="121502" customFormat="1" x14ac:dyDescent="0.25"/>
    <row r="121503" customFormat="1" x14ac:dyDescent="0.25"/>
    <row r="121504" customFormat="1" x14ac:dyDescent="0.25"/>
    <row r="121505" customFormat="1" x14ac:dyDescent="0.25"/>
    <row r="121506" customFormat="1" x14ac:dyDescent="0.25"/>
    <row r="121507" customFormat="1" x14ac:dyDescent="0.25"/>
    <row r="121508" customFormat="1" x14ac:dyDescent="0.25"/>
    <row r="121509" customFormat="1" x14ac:dyDescent="0.25"/>
    <row r="121510" customFormat="1" x14ac:dyDescent="0.25"/>
    <row r="121511" customFormat="1" x14ac:dyDescent="0.25"/>
    <row r="121512" customFormat="1" x14ac:dyDescent="0.25"/>
    <row r="121513" customFormat="1" x14ac:dyDescent="0.25"/>
    <row r="121514" customFormat="1" x14ac:dyDescent="0.25"/>
    <row r="121515" customFormat="1" x14ac:dyDescent="0.25"/>
    <row r="121516" customFormat="1" x14ac:dyDescent="0.25"/>
    <row r="121517" customFormat="1" x14ac:dyDescent="0.25"/>
    <row r="121518" customFormat="1" x14ac:dyDescent="0.25"/>
    <row r="121519" customFormat="1" x14ac:dyDescent="0.25"/>
    <row r="121520" customFormat="1" x14ac:dyDescent="0.25"/>
    <row r="121521" customFormat="1" x14ac:dyDescent="0.25"/>
    <row r="121522" customFormat="1" x14ac:dyDescent="0.25"/>
    <row r="121523" customFormat="1" x14ac:dyDescent="0.25"/>
    <row r="121524" customFormat="1" x14ac:dyDescent="0.25"/>
    <row r="121525" customFormat="1" x14ac:dyDescent="0.25"/>
    <row r="121526" customFormat="1" x14ac:dyDescent="0.25"/>
    <row r="121527" customFormat="1" x14ac:dyDescent="0.25"/>
    <row r="121528" customFormat="1" x14ac:dyDescent="0.25"/>
    <row r="121529" customFormat="1" x14ac:dyDescent="0.25"/>
    <row r="121530" customFormat="1" x14ac:dyDescent="0.25"/>
    <row r="121531" customFormat="1" x14ac:dyDescent="0.25"/>
    <row r="121532" customFormat="1" x14ac:dyDescent="0.25"/>
    <row r="121533" customFormat="1" x14ac:dyDescent="0.25"/>
    <row r="121534" customFormat="1" x14ac:dyDescent="0.25"/>
    <row r="121535" customFormat="1" x14ac:dyDescent="0.25"/>
    <row r="121536" customFormat="1" x14ac:dyDescent="0.25"/>
    <row r="121537" customFormat="1" x14ac:dyDescent="0.25"/>
    <row r="121538" customFormat="1" x14ac:dyDescent="0.25"/>
    <row r="121539" customFormat="1" x14ac:dyDescent="0.25"/>
    <row r="121540" customFormat="1" x14ac:dyDescent="0.25"/>
    <row r="121541" customFormat="1" x14ac:dyDescent="0.25"/>
    <row r="121542" customFormat="1" x14ac:dyDescent="0.25"/>
    <row r="121543" customFormat="1" x14ac:dyDescent="0.25"/>
    <row r="121544" customFormat="1" x14ac:dyDescent="0.25"/>
    <row r="121545" customFormat="1" x14ac:dyDescent="0.25"/>
    <row r="121546" customFormat="1" x14ac:dyDescent="0.25"/>
    <row r="121547" customFormat="1" x14ac:dyDescent="0.25"/>
    <row r="121548" customFormat="1" x14ac:dyDescent="0.25"/>
    <row r="121549" customFormat="1" x14ac:dyDescent="0.25"/>
    <row r="121550" customFormat="1" x14ac:dyDescent="0.25"/>
    <row r="121551" customFormat="1" x14ac:dyDescent="0.25"/>
    <row r="121552" customFormat="1" x14ac:dyDescent="0.25"/>
    <row r="121553" customFormat="1" x14ac:dyDescent="0.25"/>
    <row r="121554" customFormat="1" x14ac:dyDescent="0.25"/>
    <row r="121555" customFormat="1" x14ac:dyDescent="0.25"/>
    <row r="121556" customFormat="1" x14ac:dyDescent="0.25"/>
    <row r="121557" customFormat="1" x14ac:dyDescent="0.25"/>
    <row r="121558" customFormat="1" x14ac:dyDescent="0.25"/>
    <row r="121559" customFormat="1" x14ac:dyDescent="0.25"/>
    <row r="121560" customFormat="1" x14ac:dyDescent="0.25"/>
    <row r="121561" customFormat="1" x14ac:dyDescent="0.25"/>
    <row r="121562" customFormat="1" x14ac:dyDescent="0.25"/>
    <row r="121563" customFormat="1" x14ac:dyDescent="0.25"/>
    <row r="121564" customFormat="1" x14ac:dyDescent="0.25"/>
    <row r="121565" customFormat="1" x14ac:dyDescent="0.25"/>
    <row r="121566" customFormat="1" x14ac:dyDescent="0.25"/>
    <row r="121567" customFormat="1" x14ac:dyDescent="0.25"/>
    <row r="121568" customFormat="1" x14ac:dyDescent="0.25"/>
    <row r="121569" customFormat="1" x14ac:dyDescent="0.25"/>
    <row r="121570" customFormat="1" x14ac:dyDescent="0.25"/>
    <row r="121571" customFormat="1" x14ac:dyDescent="0.25"/>
    <row r="121572" customFormat="1" x14ac:dyDescent="0.25"/>
    <row r="121573" customFormat="1" x14ac:dyDescent="0.25"/>
    <row r="121574" customFormat="1" x14ac:dyDescent="0.25"/>
    <row r="121575" customFormat="1" x14ac:dyDescent="0.25"/>
    <row r="121576" customFormat="1" x14ac:dyDescent="0.25"/>
    <row r="121577" customFormat="1" x14ac:dyDescent="0.25"/>
    <row r="121578" customFormat="1" x14ac:dyDescent="0.25"/>
    <row r="121579" customFormat="1" x14ac:dyDescent="0.25"/>
    <row r="121580" customFormat="1" x14ac:dyDescent="0.25"/>
    <row r="121581" customFormat="1" x14ac:dyDescent="0.25"/>
    <row r="121582" customFormat="1" x14ac:dyDescent="0.25"/>
    <row r="121583" customFormat="1" x14ac:dyDescent="0.25"/>
    <row r="121584" customFormat="1" x14ac:dyDescent="0.25"/>
    <row r="121585" customFormat="1" x14ac:dyDescent="0.25"/>
    <row r="121586" customFormat="1" x14ac:dyDescent="0.25"/>
    <row r="121587" customFormat="1" x14ac:dyDescent="0.25"/>
    <row r="121588" customFormat="1" x14ac:dyDescent="0.25"/>
    <row r="121589" customFormat="1" x14ac:dyDescent="0.25"/>
    <row r="121590" customFormat="1" x14ac:dyDescent="0.25"/>
    <row r="121591" customFormat="1" x14ac:dyDescent="0.25"/>
    <row r="121592" customFormat="1" x14ac:dyDescent="0.25"/>
    <row r="121593" customFormat="1" x14ac:dyDescent="0.25"/>
    <row r="121594" customFormat="1" x14ac:dyDescent="0.25"/>
    <row r="121595" customFormat="1" x14ac:dyDescent="0.25"/>
    <row r="121596" customFormat="1" x14ac:dyDescent="0.25"/>
    <row r="121597" customFormat="1" x14ac:dyDescent="0.25"/>
    <row r="121598" customFormat="1" x14ac:dyDescent="0.25"/>
    <row r="121599" customFormat="1" x14ac:dyDescent="0.25"/>
    <row r="121600" customFormat="1" x14ac:dyDescent="0.25"/>
    <row r="121601" customFormat="1" x14ac:dyDescent="0.25"/>
    <row r="121602" customFormat="1" x14ac:dyDescent="0.25"/>
    <row r="121603" customFormat="1" x14ac:dyDescent="0.25"/>
    <row r="121604" customFormat="1" x14ac:dyDescent="0.25"/>
    <row r="121605" customFormat="1" x14ac:dyDescent="0.25"/>
    <row r="121606" customFormat="1" x14ac:dyDescent="0.25"/>
    <row r="121607" customFormat="1" x14ac:dyDescent="0.25"/>
    <row r="121608" customFormat="1" x14ac:dyDescent="0.25"/>
    <row r="121609" customFormat="1" x14ac:dyDescent="0.25"/>
    <row r="121610" customFormat="1" x14ac:dyDescent="0.25"/>
    <row r="121611" customFormat="1" x14ac:dyDescent="0.25"/>
    <row r="121612" customFormat="1" x14ac:dyDescent="0.25"/>
    <row r="121613" customFormat="1" x14ac:dyDescent="0.25"/>
    <row r="121614" customFormat="1" x14ac:dyDescent="0.25"/>
    <row r="121615" customFormat="1" x14ac:dyDescent="0.25"/>
    <row r="121616" customFormat="1" x14ac:dyDescent="0.25"/>
    <row r="121617" customFormat="1" x14ac:dyDescent="0.25"/>
    <row r="121618" customFormat="1" x14ac:dyDescent="0.25"/>
    <row r="121619" customFormat="1" x14ac:dyDescent="0.25"/>
    <row r="121620" customFormat="1" x14ac:dyDescent="0.25"/>
    <row r="121621" customFormat="1" x14ac:dyDescent="0.25"/>
    <row r="121622" customFormat="1" x14ac:dyDescent="0.25"/>
    <row r="121623" customFormat="1" x14ac:dyDescent="0.25"/>
    <row r="121624" customFormat="1" x14ac:dyDescent="0.25"/>
    <row r="121625" customFormat="1" x14ac:dyDescent="0.25"/>
    <row r="121626" customFormat="1" x14ac:dyDescent="0.25"/>
    <row r="121627" customFormat="1" x14ac:dyDescent="0.25"/>
    <row r="121628" customFormat="1" x14ac:dyDescent="0.25"/>
    <row r="121629" customFormat="1" x14ac:dyDescent="0.25"/>
    <row r="121630" customFormat="1" x14ac:dyDescent="0.25"/>
    <row r="121631" customFormat="1" x14ac:dyDescent="0.25"/>
    <row r="121632" customFormat="1" x14ac:dyDescent="0.25"/>
    <row r="121633" customFormat="1" x14ac:dyDescent="0.25"/>
    <row r="121634" customFormat="1" x14ac:dyDescent="0.25"/>
    <row r="121635" customFormat="1" x14ac:dyDescent="0.25"/>
    <row r="121636" customFormat="1" x14ac:dyDescent="0.25"/>
    <row r="121637" customFormat="1" x14ac:dyDescent="0.25"/>
    <row r="121638" customFormat="1" x14ac:dyDescent="0.25"/>
    <row r="121639" customFormat="1" x14ac:dyDescent="0.25"/>
    <row r="121640" customFormat="1" x14ac:dyDescent="0.25"/>
    <row r="121641" customFormat="1" x14ac:dyDescent="0.25"/>
    <row r="121642" customFormat="1" x14ac:dyDescent="0.25"/>
    <row r="121643" customFormat="1" x14ac:dyDescent="0.25"/>
    <row r="121644" customFormat="1" x14ac:dyDescent="0.25"/>
    <row r="121645" customFormat="1" x14ac:dyDescent="0.25"/>
    <row r="121646" customFormat="1" x14ac:dyDescent="0.25"/>
    <row r="121647" customFormat="1" x14ac:dyDescent="0.25"/>
    <row r="121648" customFormat="1" x14ac:dyDescent="0.25"/>
    <row r="121649" customFormat="1" x14ac:dyDescent="0.25"/>
    <row r="121650" customFormat="1" x14ac:dyDescent="0.25"/>
    <row r="121651" customFormat="1" x14ac:dyDescent="0.25"/>
    <row r="121652" customFormat="1" x14ac:dyDescent="0.25"/>
    <row r="121653" customFormat="1" x14ac:dyDescent="0.25"/>
    <row r="121654" customFormat="1" x14ac:dyDescent="0.25"/>
    <row r="121655" customFormat="1" x14ac:dyDescent="0.25"/>
    <row r="121656" customFormat="1" x14ac:dyDescent="0.25"/>
    <row r="121657" customFormat="1" x14ac:dyDescent="0.25"/>
    <row r="121658" customFormat="1" x14ac:dyDescent="0.25"/>
    <row r="121659" customFormat="1" x14ac:dyDescent="0.25"/>
    <row r="121660" customFormat="1" x14ac:dyDescent="0.25"/>
    <row r="121661" customFormat="1" x14ac:dyDescent="0.25"/>
    <row r="121662" customFormat="1" x14ac:dyDescent="0.25"/>
    <row r="121663" customFormat="1" x14ac:dyDescent="0.25"/>
    <row r="121664" customFormat="1" x14ac:dyDescent="0.25"/>
    <row r="121665" customFormat="1" x14ac:dyDescent="0.25"/>
    <row r="121666" customFormat="1" x14ac:dyDescent="0.25"/>
    <row r="121667" customFormat="1" x14ac:dyDescent="0.25"/>
    <row r="121668" customFormat="1" x14ac:dyDescent="0.25"/>
    <row r="121669" customFormat="1" x14ac:dyDescent="0.25"/>
    <row r="121670" customFormat="1" x14ac:dyDescent="0.25"/>
    <row r="121671" customFormat="1" x14ac:dyDescent="0.25"/>
    <row r="121672" customFormat="1" x14ac:dyDescent="0.25"/>
    <row r="121673" customFormat="1" x14ac:dyDescent="0.25"/>
    <row r="121674" customFormat="1" x14ac:dyDescent="0.25"/>
    <row r="121675" customFormat="1" x14ac:dyDescent="0.25"/>
    <row r="121676" customFormat="1" x14ac:dyDescent="0.25"/>
    <row r="121677" customFormat="1" x14ac:dyDescent="0.25"/>
    <row r="121678" customFormat="1" x14ac:dyDescent="0.25"/>
    <row r="121679" customFormat="1" x14ac:dyDescent="0.25"/>
    <row r="121680" customFormat="1" x14ac:dyDescent="0.25"/>
    <row r="121681" customFormat="1" x14ac:dyDescent="0.25"/>
    <row r="121682" customFormat="1" x14ac:dyDescent="0.25"/>
    <row r="121683" customFormat="1" x14ac:dyDescent="0.25"/>
    <row r="121684" customFormat="1" x14ac:dyDescent="0.25"/>
    <row r="121685" customFormat="1" x14ac:dyDescent="0.25"/>
    <row r="121686" customFormat="1" x14ac:dyDescent="0.25"/>
    <row r="121687" customFormat="1" x14ac:dyDescent="0.25"/>
    <row r="121688" customFormat="1" x14ac:dyDescent="0.25"/>
    <row r="121689" customFormat="1" x14ac:dyDescent="0.25"/>
    <row r="121690" customFormat="1" x14ac:dyDescent="0.25"/>
    <row r="121691" customFormat="1" x14ac:dyDescent="0.25"/>
    <row r="121692" customFormat="1" x14ac:dyDescent="0.25"/>
    <row r="121693" customFormat="1" x14ac:dyDescent="0.25"/>
    <row r="121694" customFormat="1" x14ac:dyDescent="0.25"/>
    <row r="121695" customFormat="1" x14ac:dyDescent="0.25"/>
    <row r="121696" customFormat="1" x14ac:dyDescent="0.25"/>
    <row r="121697" customFormat="1" x14ac:dyDescent="0.25"/>
    <row r="121698" customFormat="1" x14ac:dyDescent="0.25"/>
    <row r="121699" customFormat="1" x14ac:dyDescent="0.25"/>
    <row r="121700" customFormat="1" x14ac:dyDescent="0.25"/>
    <row r="121701" customFormat="1" x14ac:dyDescent="0.25"/>
    <row r="121702" customFormat="1" x14ac:dyDescent="0.25"/>
    <row r="121703" customFormat="1" x14ac:dyDescent="0.25"/>
    <row r="121704" customFormat="1" x14ac:dyDescent="0.25"/>
    <row r="121705" customFormat="1" x14ac:dyDescent="0.25"/>
    <row r="121706" customFormat="1" x14ac:dyDescent="0.25"/>
    <row r="121707" customFormat="1" x14ac:dyDescent="0.25"/>
    <row r="121708" customFormat="1" x14ac:dyDescent="0.25"/>
    <row r="121709" customFormat="1" x14ac:dyDescent="0.25"/>
    <row r="121710" customFormat="1" x14ac:dyDescent="0.25"/>
    <row r="121711" customFormat="1" x14ac:dyDescent="0.25"/>
    <row r="121712" customFormat="1" x14ac:dyDescent="0.25"/>
    <row r="121713" customFormat="1" x14ac:dyDescent="0.25"/>
    <row r="121714" customFormat="1" x14ac:dyDescent="0.25"/>
    <row r="121715" customFormat="1" x14ac:dyDescent="0.25"/>
    <row r="121716" customFormat="1" x14ac:dyDescent="0.25"/>
    <row r="121717" customFormat="1" x14ac:dyDescent="0.25"/>
    <row r="121718" customFormat="1" x14ac:dyDescent="0.25"/>
    <row r="121719" customFormat="1" x14ac:dyDescent="0.25"/>
    <row r="121720" customFormat="1" x14ac:dyDescent="0.25"/>
    <row r="121721" customFormat="1" x14ac:dyDescent="0.25"/>
    <row r="121722" customFormat="1" x14ac:dyDescent="0.25"/>
    <row r="121723" customFormat="1" x14ac:dyDescent="0.25"/>
    <row r="121724" customFormat="1" x14ac:dyDescent="0.25"/>
    <row r="121725" customFormat="1" x14ac:dyDescent="0.25"/>
    <row r="121726" customFormat="1" x14ac:dyDescent="0.25"/>
    <row r="121727" customFormat="1" x14ac:dyDescent="0.25"/>
    <row r="121728" customFormat="1" x14ac:dyDescent="0.25"/>
    <row r="121729" customFormat="1" x14ac:dyDescent="0.25"/>
    <row r="121730" customFormat="1" x14ac:dyDescent="0.25"/>
    <row r="121731" customFormat="1" x14ac:dyDescent="0.25"/>
    <row r="121732" customFormat="1" x14ac:dyDescent="0.25"/>
    <row r="121733" customFormat="1" x14ac:dyDescent="0.25"/>
    <row r="121734" customFormat="1" x14ac:dyDescent="0.25"/>
    <row r="121735" customFormat="1" x14ac:dyDescent="0.25"/>
    <row r="121736" customFormat="1" x14ac:dyDescent="0.25"/>
    <row r="121737" customFormat="1" x14ac:dyDescent="0.25"/>
    <row r="121738" customFormat="1" x14ac:dyDescent="0.25"/>
    <row r="121739" customFormat="1" x14ac:dyDescent="0.25"/>
    <row r="121740" customFormat="1" x14ac:dyDescent="0.25"/>
    <row r="121741" customFormat="1" x14ac:dyDescent="0.25"/>
    <row r="121742" customFormat="1" x14ac:dyDescent="0.25"/>
    <row r="121743" customFormat="1" x14ac:dyDescent="0.25"/>
    <row r="121744" customFormat="1" x14ac:dyDescent="0.25"/>
    <row r="121745" customFormat="1" x14ac:dyDescent="0.25"/>
    <row r="121746" customFormat="1" x14ac:dyDescent="0.25"/>
    <row r="121747" customFormat="1" x14ac:dyDescent="0.25"/>
    <row r="121748" customFormat="1" x14ac:dyDescent="0.25"/>
    <row r="121749" customFormat="1" x14ac:dyDescent="0.25"/>
    <row r="121750" customFormat="1" x14ac:dyDescent="0.25"/>
    <row r="121751" customFormat="1" x14ac:dyDescent="0.25"/>
    <row r="121752" customFormat="1" x14ac:dyDescent="0.25"/>
    <row r="121753" customFormat="1" x14ac:dyDescent="0.25"/>
    <row r="121754" customFormat="1" x14ac:dyDescent="0.25"/>
    <row r="121755" customFormat="1" x14ac:dyDescent="0.25"/>
    <row r="121756" customFormat="1" x14ac:dyDescent="0.25"/>
    <row r="121757" customFormat="1" x14ac:dyDescent="0.25"/>
    <row r="121758" customFormat="1" x14ac:dyDescent="0.25"/>
    <row r="121759" customFormat="1" x14ac:dyDescent="0.25"/>
    <row r="121760" customFormat="1" x14ac:dyDescent="0.25"/>
    <row r="121761" customFormat="1" x14ac:dyDescent="0.25"/>
    <row r="121762" customFormat="1" x14ac:dyDescent="0.25"/>
    <row r="121763" customFormat="1" x14ac:dyDescent="0.25"/>
    <row r="121764" customFormat="1" x14ac:dyDescent="0.25"/>
    <row r="121765" customFormat="1" x14ac:dyDescent="0.25"/>
    <row r="121766" customFormat="1" x14ac:dyDescent="0.25"/>
    <row r="121767" customFormat="1" x14ac:dyDescent="0.25"/>
    <row r="121768" customFormat="1" x14ac:dyDescent="0.25"/>
    <row r="121769" customFormat="1" x14ac:dyDescent="0.25"/>
    <row r="121770" customFormat="1" x14ac:dyDescent="0.25"/>
    <row r="121771" customFormat="1" x14ac:dyDescent="0.25"/>
    <row r="121772" customFormat="1" x14ac:dyDescent="0.25"/>
    <row r="121773" customFormat="1" x14ac:dyDescent="0.25"/>
    <row r="121774" customFormat="1" x14ac:dyDescent="0.25"/>
    <row r="121775" customFormat="1" x14ac:dyDescent="0.25"/>
    <row r="121776" customFormat="1" x14ac:dyDescent="0.25"/>
    <row r="121777" customFormat="1" x14ac:dyDescent="0.25"/>
    <row r="121778" customFormat="1" x14ac:dyDescent="0.25"/>
    <row r="121779" customFormat="1" x14ac:dyDescent="0.25"/>
    <row r="121780" customFormat="1" x14ac:dyDescent="0.25"/>
    <row r="121781" customFormat="1" x14ac:dyDescent="0.25"/>
    <row r="121782" customFormat="1" x14ac:dyDescent="0.25"/>
    <row r="121783" customFormat="1" x14ac:dyDescent="0.25"/>
    <row r="121784" customFormat="1" x14ac:dyDescent="0.25"/>
    <row r="121785" customFormat="1" x14ac:dyDescent="0.25"/>
    <row r="121786" customFormat="1" x14ac:dyDescent="0.25"/>
    <row r="121787" customFormat="1" x14ac:dyDescent="0.25"/>
    <row r="121788" customFormat="1" x14ac:dyDescent="0.25"/>
    <row r="121789" customFormat="1" x14ac:dyDescent="0.25"/>
    <row r="121790" customFormat="1" x14ac:dyDescent="0.25"/>
    <row r="121791" customFormat="1" x14ac:dyDescent="0.25"/>
    <row r="121792" customFormat="1" x14ac:dyDescent="0.25"/>
    <row r="121793" customFormat="1" x14ac:dyDescent="0.25"/>
    <row r="121794" customFormat="1" x14ac:dyDescent="0.25"/>
    <row r="121795" customFormat="1" x14ac:dyDescent="0.25"/>
    <row r="121796" customFormat="1" x14ac:dyDescent="0.25"/>
    <row r="121797" customFormat="1" x14ac:dyDescent="0.25"/>
    <row r="121798" customFormat="1" x14ac:dyDescent="0.25"/>
    <row r="121799" customFormat="1" x14ac:dyDescent="0.25"/>
    <row r="121800" customFormat="1" x14ac:dyDescent="0.25"/>
    <row r="121801" customFormat="1" x14ac:dyDescent="0.25"/>
    <row r="121802" customFormat="1" x14ac:dyDescent="0.25"/>
    <row r="121803" customFormat="1" x14ac:dyDescent="0.25"/>
    <row r="121804" customFormat="1" x14ac:dyDescent="0.25"/>
    <row r="121805" customFormat="1" x14ac:dyDescent="0.25"/>
    <row r="121806" customFormat="1" x14ac:dyDescent="0.25"/>
    <row r="121807" customFormat="1" x14ac:dyDescent="0.25"/>
    <row r="121808" customFormat="1" x14ac:dyDescent="0.25"/>
    <row r="121809" customFormat="1" x14ac:dyDescent="0.25"/>
    <row r="121810" customFormat="1" x14ac:dyDescent="0.25"/>
    <row r="121811" customFormat="1" x14ac:dyDescent="0.25"/>
    <row r="121812" customFormat="1" x14ac:dyDescent="0.25"/>
    <row r="121813" customFormat="1" x14ac:dyDescent="0.25"/>
    <row r="121814" customFormat="1" x14ac:dyDescent="0.25"/>
    <row r="121815" customFormat="1" x14ac:dyDescent="0.25"/>
    <row r="121816" customFormat="1" x14ac:dyDescent="0.25"/>
    <row r="121817" customFormat="1" x14ac:dyDescent="0.25"/>
    <row r="121818" customFormat="1" x14ac:dyDescent="0.25"/>
    <row r="121819" customFormat="1" x14ac:dyDescent="0.25"/>
    <row r="121820" customFormat="1" x14ac:dyDescent="0.25"/>
    <row r="121821" customFormat="1" x14ac:dyDescent="0.25"/>
    <row r="121822" customFormat="1" x14ac:dyDescent="0.25"/>
    <row r="121823" customFormat="1" x14ac:dyDescent="0.25"/>
    <row r="121824" customFormat="1" x14ac:dyDescent="0.25"/>
    <row r="121825" customFormat="1" x14ac:dyDescent="0.25"/>
    <row r="121826" customFormat="1" x14ac:dyDescent="0.25"/>
    <row r="121827" customFormat="1" x14ac:dyDescent="0.25"/>
    <row r="121828" customFormat="1" x14ac:dyDescent="0.25"/>
    <row r="121829" customFormat="1" x14ac:dyDescent="0.25"/>
    <row r="121830" customFormat="1" x14ac:dyDescent="0.25"/>
    <row r="121831" customFormat="1" x14ac:dyDescent="0.25"/>
    <row r="121832" customFormat="1" x14ac:dyDescent="0.25"/>
    <row r="121833" customFormat="1" x14ac:dyDescent="0.25"/>
    <row r="121834" customFormat="1" x14ac:dyDescent="0.25"/>
    <row r="121835" customFormat="1" x14ac:dyDescent="0.25"/>
    <row r="121836" customFormat="1" x14ac:dyDescent="0.25"/>
    <row r="121837" customFormat="1" x14ac:dyDescent="0.25"/>
    <row r="121838" customFormat="1" x14ac:dyDescent="0.25"/>
    <row r="121839" customFormat="1" x14ac:dyDescent="0.25"/>
    <row r="121840" customFormat="1" x14ac:dyDescent="0.25"/>
    <row r="121841" customFormat="1" x14ac:dyDescent="0.25"/>
    <row r="121842" customFormat="1" x14ac:dyDescent="0.25"/>
    <row r="121843" customFormat="1" x14ac:dyDescent="0.25"/>
    <row r="121844" customFormat="1" x14ac:dyDescent="0.25"/>
    <row r="121845" customFormat="1" x14ac:dyDescent="0.25"/>
    <row r="121846" customFormat="1" x14ac:dyDescent="0.25"/>
    <row r="121847" customFormat="1" x14ac:dyDescent="0.25"/>
    <row r="121848" customFormat="1" x14ac:dyDescent="0.25"/>
    <row r="121849" customFormat="1" x14ac:dyDescent="0.25"/>
    <row r="121850" customFormat="1" x14ac:dyDescent="0.25"/>
    <row r="121851" customFormat="1" x14ac:dyDescent="0.25"/>
    <row r="121852" customFormat="1" x14ac:dyDescent="0.25"/>
    <row r="121853" customFormat="1" x14ac:dyDescent="0.25"/>
    <row r="121854" customFormat="1" x14ac:dyDescent="0.25"/>
    <row r="121855" customFormat="1" x14ac:dyDescent="0.25"/>
    <row r="121856" customFormat="1" x14ac:dyDescent="0.25"/>
    <row r="121857" customFormat="1" x14ac:dyDescent="0.25"/>
    <row r="121858" customFormat="1" x14ac:dyDescent="0.25"/>
    <row r="121859" customFormat="1" x14ac:dyDescent="0.25"/>
    <row r="121860" customFormat="1" x14ac:dyDescent="0.25"/>
    <row r="121861" customFormat="1" x14ac:dyDescent="0.25"/>
    <row r="121862" customFormat="1" x14ac:dyDescent="0.25"/>
    <row r="121863" customFormat="1" x14ac:dyDescent="0.25"/>
    <row r="121864" customFormat="1" x14ac:dyDescent="0.25"/>
    <row r="121865" customFormat="1" x14ac:dyDescent="0.25"/>
    <row r="121866" customFormat="1" x14ac:dyDescent="0.25"/>
    <row r="121867" customFormat="1" x14ac:dyDescent="0.25"/>
    <row r="121868" customFormat="1" x14ac:dyDescent="0.25"/>
    <row r="121869" customFormat="1" x14ac:dyDescent="0.25"/>
    <row r="121870" customFormat="1" x14ac:dyDescent="0.25"/>
    <row r="121871" customFormat="1" x14ac:dyDescent="0.25"/>
    <row r="121872" customFormat="1" x14ac:dyDescent="0.25"/>
    <row r="121873" customFormat="1" x14ac:dyDescent="0.25"/>
    <row r="121874" customFormat="1" x14ac:dyDescent="0.25"/>
    <row r="121875" customFormat="1" x14ac:dyDescent="0.25"/>
    <row r="121876" customFormat="1" x14ac:dyDescent="0.25"/>
    <row r="121877" customFormat="1" x14ac:dyDescent="0.25"/>
    <row r="121878" customFormat="1" x14ac:dyDescent="0.25"/>
    <row r="121879" customFormat="1" x14ac:dyDescent="0.25"/>
    <row r="121880" customFormat="1" x14ac:dyDescent="0.25"/>
    <row r="121881" customFormat="1" x14ac:dyDescent="0.25"/>
    <row r="121882" customFormat="1" x14ac:dyDescent="0.25"/>
    <row r="121883" customFormat="1" x14ac:dyDescent="0.25"/>
    <row r="121884" customFormat="1" x14ac:dyDescent="0.25"/>
    <row r="121885" customFormat="1" x14ac:dyDescent="0.25"/>
    <row r="121886" customFormat="1" x14ac:dyDescent="0.25"/>
    <row r="121887" customFormat="1" x14ac:dyDescent="0.25"/>
    <row r="121888" customFormat="1" x14ac:dyDescent="0.25"/>
    <row r="121889" customFormat="1" x14ac:dyDescent="0.25"/>
    <row r="121890" customFormat="1" x14ac:dyDescent="0.25"/>
    <row r="121891" customFormat="1" x14ac:dyDescent="0.25"/>
    <row r="121892" customFormat="1" x14ac:dyDescent="0.25"/>
    <row r="121893" customFormat="1" x14ac:dyDescent="0.25"/>
    <row r="121894" customFormat="1" x14ac:dyDescent="0.25"/>
    <row r="121895" customFormat="1" x14ac:dyDescent="0.25"/>
    <row r="121896" customFormat="1" x14ac:dyDescent="0.25"/>
    <row r="121897" customFormat="1" x14ac:dyDescent="0.25"/>
    <row r="121898" customFormat="1" x14ac:dyDescent="0.25"/>
    <row r="121899" customFormat="1" x14ac:dyDescent="0.25"/>
    <row r="121900" customFormat="1" x14ac:dyDescent="0.25"/>
    <row r="121901" customFormat="1" x14ac:dyDescent="0.25"/>
    <row r="121902" customFormat="1" x14ac:dyDescent="0.25"/>
    <row r="121903" customFormat="1" x14ac:dyDescent="0.25"/>
    <row r="121904" customFormat="1" x14ac:dyDescent="0.25"/>
    <row r="121905" customFormat="1" x14ac:dyDescent="0.25"/>
    <row r="121906" customFormat="1" x14ac:dyDescent="0.25"/>
    <row r="121907" customFormat="1" x14ac:dyDescent="0.25"/>
    <row r="121908" customFormat="1" x14ac:dyDescent="0.25"/>
    <row r="121909" customFormat="1" x14ac:dyDescent="0.25"/>
    <row r="121910" customFormat="1" x14ac:dyDescent="0.25"/>
    <row r="121911" customFormat="1" x14ac:dyDescent="0.25"/>
    <row r="121912" customFormat="1" x14ac:dyDescent="0.25"/>
    <row r="121913" customFormat="1" x14ac:dyDescent="0.25"/>
    <row r="121914" customFormat="1" x14ac:dyDescent="0.25"/>
    <row r="121915" customFormat="1" x14ac:dyDescent="0.25"/>
    <row r="121916" customFormat="1" x14ac:dyDescent="0.25"/>
    <row r="121917" customFormat="1" x14ac:dyDescent="0.25"/>
    <row r="121918" customFormat="1" x14ac:dyDescent="0.25"/>
    <row r="121919" customFormat="1" x14ac:dyDescent="0.25"/>
    <row r="121920" customFormat="1" x14ac:dyDescent="0.25"/>
    <row r="121921" customFormat="1" x14ac:dyDescent="0.25"/>
    <row r="121922" customFormat="1" x14ac:dyDescent="0.25"/>
    <row r="121923" customFormat="1" x14ac:dyDescent="0.25"/>
    <row r="121924" customFormat="1" x14ac:dyDescent="0.25"/>
    <row r="121925" customFormat="1" x14ac:dyDescent="0.25"/>
    <row r="121926" customFormat="1" x14ac:dyDescent="0.25"/>
    <row r="121927" customFormat="1" x14ac:dyDescent="0.25"/>
    <row r="121928" customFormat="1" x14ac:dyDescent="0.25"/>
    <row r="121929" customFormat="1" x14ac:dyDescent="0.25"/>
    <row r="121930" customFormat="1" x14ac:dyDescent="0.25"/>
    <row r="121931" customFormat="1" x14ac:dyDescent="0.25"/>
    <row r="121932" customFormat="1" x14ac:dyDescent="0.25"/>
    <row r="121933" customFormat="1" x14ac:dyDescent="0.25"/>
    <row r="121934" customFormat="1" x14ac:dyDescent="0.25"/>
    <row r="121935" customFormat="1" x14ac:dyDescent="0.25"/>
    <row r="121936" customFormat="1" x14ac:dyDescent="0.25"/>
    <row r="121937" customFormat="1" x14ac:dyDescent="0.25"/>
    <row r="121938" customFormat="1" x14ac:dyDescent="0.25"/>
    <row r="121939" customFormat="1" x14ac:dyDescent="0.25"/>
    <row r="121940" customFormat="1" x14ac:dyDescent="0.25"/>
    <row r="121941" customFormat="1" x14ac:dyDescent="0.25"/>
    <row r="121942" customFormat="1" x14ac:dyDescent="0.25"/>
    <row r="121943" customFormat="1" x14ac:dyDescent="0.25"/>
    <row r="121944" customFormat="1" x14ac:dyDescent="0.25"/>
    <row r="121945" customFormat="1" x14ac:dyDescent="0.25"/>
    <row r="121946" customFormat="1" x14ac:dyDescent="0.25"/>
    <row r="121947" customFormat="1" x14ac:dyDescent="0.25"/>
    <row r="121948" customFormat="1" x14ac:dyDescent="0.25"/>
    <row r="121949" customFormat="1" x14ac:dyDescent="0.25"/>
    <row r="121950" customFormat="1" x14ac:dyDescent="0.25"/>
    <row r="121951" customFormat="1" x14ac:dyDescent="0.25"/>
    <row r="121952" customFormat="1" x14ac:dyDescent="0.25"/>
    <row r="121953" customFormat="1" x14ac:dyDescent="0.25"/>
    <row r="121954" customFormat="1" x14ac:dyDescent="0.25"/>
    <row r="121955" customFormat="1" x14ac:dyDescent="0.25"/>
    <row r="121956" customFormat="1" x14ac:dyDescent="0.25"/>
    <row r="121957" customFormat="1" x14ac:dyDescent="0.25"/>
    <row r="121958" customFormat="1" x14ac:dyDescent="0.25"/>
    <row r="121959" customFormat="1" x14ac:dyDescent="0.25"/>
    <row r="121960" customFormat="1" x14ac:dyDescent="0.25"/>
    <row r="121961" customFormat="1" x14ac:dyDescent="0.25"/>
    <row r="121962" customFormat="1" x14ac:dyDescent="0.25"/>
    <row r="121963" customFormat="1" x14ac:dyDescent="0.25"/>
    <row r="121964" customFormat="1" x14ac:dyDescent="0.25"/>
    <row r="121965" customFormat="1" x14ac:dyDescent="0.25"/>
    <row r="121966" customFormat="1" x14ac:dyDescent="0.25"/>
    <row r="121967" customFormat="1" x14ac:dyDescent="0.25"/>
    <row r="121968" customFormat="1" x14ac:dyDescent="0.25"/>
    <row r="121969" customFormat="1" x14ac:dyDescent="0.25"/>
    <row r="121970" customFormat="1" x14ac:dyDescent="0.25"/>
    <row r="121971" customFormat="1" x14ac:dyDescent="0.25"/>
    <row r="121972" customFormat="1" x14ac:dyDescent="0.25"/>
    <row r="121973" customFormat="1" x14ac:dyDescent="0.25"/>
    <row r="121974" customFormat="1" x14ac:dyDescent="0.25"/>
    <row r="121975" customFormat="1" x14ac:dyDescent="0.25"/>
    <row r="121976" customFormat="1" x14ac:dyDescent="0.25"/>
    <row r="121977" customFormat="1" x14ac:dyDescent="0.25"/>
    <row r="121978" customFormat="1" x14ac:dyDescent="0.25"/>
    <row r="121979" customFormat="1" x14ac:dyDescent="0.25"/>
    <row r="121980" customFormat="1" x14ac:dyDescent="0.25"/>
    <row r="121981" customFormat="1" x14ac:dyDescent="0.25"/>
    <row r="121982" customFormat="1" x14ac:dyDescent="0.25"/>
    <row r="121983" customFormat="1" x14ac:dyDescent="0.25"/>
    <row r="121984" customFormat="1" x14ac:dyDescent="0.25"/>
    <row r="121985" customFormat="1" x14ac:dyDescent="0.25"/>
    <row r="121986" customFormat="1" x14ac:dyDescent="0.25"/>
    <row r="121987" customFormat="1" x14ac:dyDescent="0.25"/>
    <row r="121988" customFormat="1" x14ac:dyDescent="0.25"/>
    <row r="121989" customFormat="1" x14ac:dyDescent="0.25"/>
    <row r="121990" customFormat="1" x14ac:dyDescent="0.25"/>
    <row r="121991" customFormat="1" x14ac:dyDescent="0.25"/>
    <row r="121992" customFormat="1" x14ac:dyDescent="0.25"/>
    <row r="121993" customFormat="1" x14ac:dyDescent="0.25"/>
    <row r="121994" customFormat="1" x14ac:dyDescent="0.25"/>
    <row r="121995" customFormat="1" x14ac:dyDescent="0.25"/>
    <row r="121996" customFormat="1" x14ac:dyDescent="0.25"/>
    <row r="121997" customFormat="1" x14ac:dyDescent="0.25"/>
    <row r="121998" customFormat="1" x14ac:dyDescent="0.25"/>
    <row r="121999" customFormat="1" x14ac:dyDescent="0.25"/>
    <row r="122000" customFormat="1" x14ac:dyDescent="0.25"/>
    <row r="122001" customFormat="1" x14ac:dyDescent="0.25"/>
    <row r="122002" customFormat="1" x14ac:dyDescent="0.25"/>
    <row r="122003" customFormat="1" x14ac:dyDescent="0.25"/>
    <row r="122004" customFormat="1" x14ac:dyDescent="0.25"/>
    <row r="122005" customFormat="1" x14ac:dyDescent="0.25"/>
    <row r="122006" customFormat="1" x14ac:dyDescent="0.25"/>
    <row r="122007" customFormat="1" x14ac:dyDescent="0.25"/>
    <row r="122008" customFormat="1" x14ac:dyDescent="0.25"/>
    <row r="122009" customFormat="1" x14ac:dyDescent="0.25"/>
    <row r="122010" customFormat="1" x14ac:dyDescent="0.25"/>
    <row r="122011" customFormat="1" x14ac:dyDescent="0.25"/>
    <row r="122012" customFormat="1" x14ac:dyDescent="0.25"/>
    <row r="122013" customFormat="1" x14ac:dyDescent="0.25"/>
    <row r="122014" customFormat="1" x14ac:dyDescent="0.25"/>
    <row r="122015" customFormat="1" x14ac:dyDescent="0.25"/>
    <row r="122016" customFormat="1" x14ac:dyDescent="0.25"/>
    <row r="122017" customFormat="1" x14ac:dyDescent="0.25"/>
    <row r="122018" customFormat="1" x14ac:dyDescent="0.25"/>
    <row r="122019" customFormat="1" x14ac:dyDescent="0.25"/>
    <row r="122020" customFormat="1" x14ac:dyDescent="0.25"/>
    <row r="122021" customFormat="1" x14ac:dyDescent="0.25"/>
    <row r="122022" customFormat="1" x14ac:dyDescent="0.25"/>
    <row r="122023" customFormat="1" x14ac:dyDescent="0.25"/>
    <row r="122024" customFormat="1" x14ac:dyDescent="0.25"/>
    <row r="122025" customFormat="1" x14ac:dyDescent="0.25"/>
    <row r="122026" customFormat="1" x14ac:dyDescent="0.25"/>
    <row r="122027" customFormat="1" x14ac:dyDescent="0.25"/>
    <row r="122028" customFormat="1" x14ac:dyDescent="0.25"/>
    <row r="122029" customFormat="1" x14ac:dyDescent="0.25"/>
    <row r="122030" customFormat="1" x14ac:dyDescent="0.25"/>
    <row r="122031" customFormat="1" x14ac:dyDescent="0.25"/>
    <row r="122032" customFormat="1" x14ac:dyDescent="0.25"/>
    <row r="122033" customFormat="1" x14ac:dyDescent="0.25"/>
    <row r="122034" customFormat="1" x14ac:dyDescent="0.25"/>
    <row r="122035" customFormat="1" x14ac:dyDescent="0.25"/>
    <row r="122036" customFormat="1" x14ac:dyDescent="0.25"/>
    <row r="122037" customFormat="1" x14ac:dyDescent="0.25"/>
    <row r="122038" customFormat="1" x14ac:dyDescent="0.25"/>
    <row r="122039" customFormat="1" x14ac:dyDescent="0.25"/>
    <row r="122040" customFormat="1" x14ac:dyDescent="0.25"/>
    <row r="122041" customFormat="1" x14ac:dyDescent="0.25"/>
    <row r="122042" customFormat="1" x14ac:dyDescent="0.25"/>
    <row r="122043" customFormat="1" x14ac:dyDescent="0.25"/>
    <row r="122044" customFormat="1" x14ac:dyDescent="0.25"/>
    <row r="122045" customFormat="1" x14ac:dyDescent="0.25"/>
    <row r="122046" customFormat="1" x14ac:dyDescent="0.25"/>
    <row r="122047" customFormat="1" x14ac:dyDescent="0.25"/>
    <row r="122048" customFormat="1" x14ac:dyDescent="0.25"/>
    <row r="122049" customFormat="1" x14ac:dyDescent="0.25"/>
    <row r="122050" customFormat="1" x14ac:dyDescent="0.25"/>
    <row r="122051" customFormat="1" x14ac:dyDescent="0.25"/>
    <row r="122052" customFormat="1" x14ac:dyDescent="0.25"/>
    <row r="122053" customFormat="1" x14ac:dyDescent="0.25"/>
    <row r="122054" customFormat="1" x14ac:dyDescent="0.25"/>
    <row r="122055" customFormat="1" x14ac:dyDescent="0.25"/>
    <row r="122056" customFormat="1" x14ac:dyDescent="0.25"/>
    <row r="122057" customFormat="1" x14ac:dyDescent="0.25"/>
    <row r="122058" customFormat="1" x14ac:dyDescent="0.25"/>
    <row r="122059" customFormat="1" x14ac:dyDescent="0.25"/>
    <row r="122060" customFormat="1" x14ac:dyDescent="0.25"/>
    <row r="122061" customFormat="1" x14ac:dyDescent="0.25"/>
    <row r="122062" customFormat="1" x14ac:dyDescent="0.25"/>
    <row r="122063" customFormat="1" x14ac:dyDescent="0.25"/>
    <row r="122064" customFormat="1" x14ac:dyDescent="0.25"/>
    <row r="122065" customFormat="1" x14ac:dyDescent="0.25"/>
    <row r="122066" customFormat="1" x14ac:dyDescent="0.25"/>
    <row r="122067" customFormat="1" x14ac:dyDescent="0.25"/>
    <row r="122068" customFormat="1" x14ac:dyDescent="0.25"/>
    <row r="122069" customFormat="1" x14ac:dyDescent="0.25"/>
    <row r="122070" customFormat="1" x14ac:dyDescent="0.25"/>
    <row r="122071" customFormat="1" x14ac:dyDescent="0.25"/>
    <row r="122072" customFormat="1" x14ac:dyDescent="0.25"/>
    <row r="122073" customFormat="1" x14ac:dyDescent="0.25"/>
    <row r="122074" customFormat="1" x14ac:dyDescent="0.25"/>
    <row r="122075" customFormat="1" x14ac:dyDescent="0.25"/>
    <row r="122076" customFormat="1" x14ac:dyDescent="0.25"/>
    <row r="122077" customFormat="1" x14ac:dyDescent="0.25"/>
    <row r="122078" customFormat="1" x14ac:dyDescent="0.25"/>
    <row r="122079" customFormat="1" x14ac:dyDescent="0.25"/>
    <row r="122080" customFormat="1" x14ac:dyDescent="0.25"/>
    <row r="122081" customFormat="1" x14ac:dyDescent="0.25"/>
    <row r="122082" customFormat="1" x14ac:dyDescent="0.25"/>
    <row r="122083" customFormat="1" x14ac:dyDescent="0.25"/>
    <row r="122084" customFormat="1" x14ac:dyDescent="0.25"/>
    <row r="122085" customFormat="1" x14ac:dyDescent="0.25"/>
    <row r="122086" customFormat="1" x14ac:dyDescent="0.25"/>
    <row r="122087" customFormat="1" x14ac:dyDescent="0.25"/>
    <row r="122088" customFormat="1" x14ac:dyDescent="0.25"/>
    <row r="122089" customFormat="1" x14ac:dyDescent="0.25"/>
    <row r="122090" customFormat="1" x14ac:dyDescent="0.25"/>
    <row r="122091" customFormat="1" x14ac:dyDescent="0.25"/>
    <row r="122092" customFormat="1" x14ac:dyDescent="0.25"/>
    <row r="122093" customFormat="1" x14ac:dyDescent="0.25"/>
    <row r="122094" customFormat="1" x14ac:dyDescent="0.25"/>
    <row r="122095" customFormat="1" x14ac:dyDescent="0.25"/>
    <row r="122096" customFormat="1" x14ac:dyDescent="0.25"/>
    <row r="122097" customFormat="1" x14ac:dyDescent="0.25"/>
    <row r="122098" customFormat="1" x14ac:dyDescent="0.25"/>
    <row r="122099" customFormat="1" x14ac:dyDescent="0.25"/>
    <row r="122100" customFormat="1" x14ac:dyDescent="0.25"/>
    <row r="122101" customFormat="1" x14ac:dyDescent="0.25"/>
    <row r="122102" customFormat="1" x14ac:dyDescent="0.25"/>
    <row r="122103" customFormat="1" x14ac:dyDescent="0.25"/>
    <row r="122104" customFormat="1" x14ac:dyDescent="0.25"/>
    <row r="122105" customFormat="1" x14ac:dyDescent="0.25"/>
    <row r="122106" customFormat="1" x14ac:dyDescent="0.25"/>
    <row r="122107" customFormat="1" x14ac:dyDescent="0.25"/>
    <row r="122108" customFormat="1" x14ac:dyDescent="0.25"/>
    <row r="122109" customFormat="1" x14ac:dyDescent="0.25"/>
    <row r="122110" customFormat="1" x14ac:dyDescent="0.25"/>
    <row r="122111" customFormat="1" x14ac:dyDescent="0.25"/>
    <row r="122112" customFormat="1" x14ac:dyDescent="0.25"/>
    <row r="122113" customFormat="1" x14ac:dyDescent="0.25"/>
    <row r="122114" customFormat="1" x14ac:dyDescent="0.25"/>
    <row r="122115" customFormat="1" x14ac:dyDescent="0.25"/>
    <row r="122116" customFormat="1" x14ac:dyDescent="0.25"/>
    <row r="122117" customFormat="1" x14ac:dyDescent="0.25"/>
    <row r="122118" customFormat="1" x14ac:dyDescent="0.25"/>
    <row r="122119" customFormat="1" x14ac:dyDescent="0.25"/>
    <row r="122120" customFormat="1" x14ac:dyDescent="0.25"/>
    <row r="122121" customFormat="1" x14ac:dyDescent="0.25"/>
    <row r="122122" customFormat="1" x14ac:dyDescent="0.25"/>
    <row r="122123" customFormat="1" x14ac:dyDescent="0.25"/>
    <row r="122124" customFormat="1" x14ac:dyDescent="0.25"/>
    <row r="122125" customFormat="1" x14ac:dyDescent="0.25"/>
    <row r="122126" customFormat="1" x14ac:dyDescent="0.25"/>
    <row r="122127" customFormat="1" x14ac:dyDescent="0.25"/>
    <row r="122128" customFormat="1" x14ac:dyDescent="0.25"/>
    <row r="122129" customFormat="1" x14ac:dyDescent="0.25"/>
    <row r="122130" customFormat="1" x14ac:dyDescent="0.25"/>
    <row r="122131" customFormat="1" x14ac:dyDescent="0.25"/>
    <row r="122132" customFormat="1" x14ac:dyDescent="0.25"/>
    <row r="122133" customFormat="1" x14ac:dyDescent="0.25"/>
    <row r="122134" customFormat="1" x14ac:dyDescent="0.25"/>
    <row r="122135" customFormat="1" x14ac:dyDescent="0.25"/>
    <row r="122136" customFormat="1" x14ac:dyDescent="0.25"/>
    <row r="122137" customFormat="1" x14ac:dyDescent="0.25"/>
    <row r="122138" customFormat="1" x14ac:dyDescent="0.25"/>
    <row r="122139" customFormat="1" x14ac:dyDescent="0.25"/>
    <row r="122140" customFormat="1" x14ac:dyDescent="0.25"/>
    <row r="122141" customFormat="1" x14ac:dyDescent="0.25"/>
    <row r="122142" customFormat="1" x14ac:dyDescent="0.25"/>
    <row r="122143" customFormat="1" x14ac:dyDescent="0.25"/>
    <row r="122144" customFormat="1" x14ac:dyDescent="0.25"/>
    <row r="122145" customFormat="1" x14ac:dyDescent="0.25"/>
    <row r="122146" customFormat="1" x14ac:dyDescent="0.25"/>
    <row r="122147" customFormat="1" x14ac:dyDescent="0.25"/>
    <row r="122148" customFormat="1" x14ac:dyDescent="0.25"/>
    <row r="122149" customFormat="1" x14ac:dyDescent="0.25"/>
    <row r="122150" customFormat="1" x14ac:dyDescent="0.25"/>
    <row r="122151" customFormat="1" x14ac:dyDescent="0.25"/>
    <row r="122152" customFormat="1" x14ac:dyDescent="0.25"/>
    <row r="122153" customFormat="1" x14ac:dyDescent="0.25"/>
    <row r="122154" customFormat="1" x14ac:dyDescent="0.25"/>
    <row r="122155" customFormat="1" x14ac:dyDescent="0.25"/>
    <row r="122156" customFormat="1" x14ac:dyDescent="0.25"/>
    <row r="122157" customFormat="1" x14ac:dyDescent="0.25"/>
    <row r="122158" customFormat="1" x14ac:dyDescent="0.25"/>
    <row r="122159" customFormat="1" x14ac:dyDescent="0.25"/>
    <row r="122160" customFormat="1" x14ac:dyDescent="0.25"/>
    <row r="122161" customFormat="1" x14ac:dyDescent="0.25"/>
    <row r="122162" customFormat="1" x14ac:dyDescent="0.25"/>
    <row r="122163" customFormat="1" x14ac:dyDescent="0.25"/>
    <row r="122164" customFormat="1" x14ac:dyDescent="0.25"/>
    <row r="122165" customFormat="1" x14ac:dyDescent="0.25"/>
    <row r="122166" customFormat="1" x14ac:dyDescent="0.25"/>
    <row r="122167" customFormat="1" x14ac:dyDescent="0.25"/>
    <row r="122168" customFormat="1" x14ac:dyDescent="0.25"/>
    <row r="122169" customFormat="1" x14ac:dyDescent="0.25"/>
    <row r="122170" customFormat="1" x14ac:dyDescent="0.25"/>
    <row r="122171" customFormat="1" x14ac:dyDescent="0.25"/>
    <row r="122172" customFormat="1" x14ac:dyDescent="0.25"/>
    <row r="122173" customFormat="1" x14ac:dyDescent="0.25"/>
    <row r="122174" customFormat="1" x14ac:dyDescent="0.25"/>
    <row r="122175" customFormat="1" x14ac:dyDescent="0.25"/>
    <row r="122176" customFormat="1" x14ac:dyDescent="0.25"/>
    <row r="122177" customFormat="1" x14ac:dyDescent="0.25"/>
    <row r="122178" customFormat="1" x14ac:dyDescent="0.25"/>
    <row r="122179" customFormat="1" x14ac:dyDescent="0.25"/>
    <row r="122180" customFormat="1" x14ac:dyDescent="0.25"/>
    <row r="122181" customFormat="1" x14ac:dyDescent="0.25"/>
    <row r="122182" customFormat="1" x14ac:dyDescent="0.25"/>
    <row r="122183" customFormat="1" x14ac:dyDescent="0.25"/>
    <row r="122184" customFormat="1" x14ac:dyDescent="0.25"/>
    <row r="122185" customFormat="1" x14ac:dyDescent="0.25"/>
    <row r="122186" customFormat="1" x14ac:dyDescent="0.25"/>
    <row r="122187" customFormat="1" x14ac:dyDescent="0.25"/>
    <row r="122188" customFormat="1" x14ac:dyDescent="0.25"/>
    <row r="122189" customFormat="1" x14ac:dyDescent="0.25"/>
    <row r="122190" customFormat="1" x14ac:dyDescent="0.25"/>
    <row r="122191" customFormat="1" x14ac:dyDescent="0.25"/>
    <row r="122192" customFormat="1" x14ac:dyDescent="0.25"/>
    <row r="122193" customFormat="1" x14ac:dyDescent="0.25"/>
    <row r="122194" customFormat="1" x14ac:dyDescent="0.25"/>
    <row r="122195" customFormat="1" x14ac:dyDescent="0.25"/>
    <row r="122196" customFormat="1" x14ac:dyDescent="0.25"/>
    <row r="122197" customFormat="1" x14ac:dyDescent="0.25"/>
    <row r="122198" customFormat="1" x14ac:dyDescent="0.25"/>
    <row r="122199" customFormat="1" x14ac:dyDescent="0.25"/>
    <row r="122200" customFormat="1" x14ac:dyDescent="0.25"/>
    <row r="122201" customFormat="1" x14ac:dyDescent="0.25"/>
    <row r="122202" customFormat="1" x14ac:dyDescent="0.25"/>
    <row r="122203" customFormat="1" x14ac:dyDescent="0.25"/>
    <row r="122204" customFormat="1" x14ac:dyDescent="0.25"/>
    <row r="122205" customFormat="1" x14ac:dyDescent="0.25"/>
    <row r="122206" customFormat="1" x14ac:dyDescent="0.25"/>
    <row r="122207" customFormat="1" x14ac:dyDescent="0.25"/>
    <row r="122208" customFormat="1" x14ac:dyDescent="0.25"/>
    <row r="122209" customFormat="1" x14ac:dyDescent="0.25"/>
    <row r="122210" customFormat="1" x14ac:dyDescent="0.25"/>
    <row r="122211" customFormat="1" x14ac:dyDescent="0.25"/>
    <row r="122212" customFormat="1" x14ac:dyDescent="0.25"/>
    <row r="122213" customFormat="1" x14ac:dyDescent="0.25"/>
    <row r="122214" customFormat="1" x14ac:dyDescent="0.25"/>
    <row r="122215" customFormat="1" x14ac:dyDescent="0.25"/>
    <row r="122216" customFormat="1" x14ac:dyDescent="0.25"/>
    <row r="122217" customFormat="1" x14ac:dyDescent="0.25"/>
    <row r="122218" customFormat="1" x14ac:dyDescent="0.25"/>
    <row r="122219" customFormat="1" x14ac:dyDescent="0.25"/>
    <row r="122220" customFormat="1" x14ac:dyDescent="0.25"/>
    <row r="122221" customFormat="1" x14ac:dyDescent="0.25"/>
    <row r="122222" customFormat="1" x14ac:dyDescent="0.25"/>
    <row r="122223" customFormat="1" x14ac:dyDescent="0.25"/>
    <row r="122224" customFormat="1" x14ac:dyDescent="0.25"/>
    <row r="122225" customFormat="1" x14ac:dyDescent="0.25"/>
    <row r="122226" customFormat="1" x14ac:dyDescent="0.25"/>
    <row r="122227" customFormat="1" x14ac:dyDescent="0.25"/>
    <row r="122228" customFormat="1" x14ac:dyDescent="0.25"/>
    <row r="122229" customFormat="1" x14ac:dyDescent="0.25"/>
    <row r="122230" customFormat="1" x14ac:dyDescent="0.25"/>
    <row r="122231" customFormat="1" x14ac:dyDescent="0.25"/>
    <row r="122232" customFormat="1" x14ac:dyDescent="0.25"/>
    <row r="122233" customFormat="1" x14ac:dyDescent="0.25"/>
    <row r="122234" customFormat="1" x14ac:dyDescent="0.25"/>
    <row r="122235" customFormat="1" x14ac:dyDescent="0.25"/>
    <row r="122236" customFormat="1" x14ac:dyDescent="0.25"/>
    <row r="122237" customFormat="1" x14ac:dyDescent="0.25"/>
    <row r="122238" customFormat="1" x14ac:dyDescent="0.25"/>
    <row r="122239" customFormat="1" x14ac:dyDescent="0.25"/>
    <row r="122240" customFormat="1" x14ac:dyDescent="0.25"/>
    <row r="122241" customFormat="1" x14ac:dyDescent="0.25"/>
    <row r="122242" customFormat="1" x14ac:dyDescent="0.25"/>
    <row r="122243" customFormat="1" x14ac:dyDescent="0.25"/>
    <row r="122244" customFormat="1" x14ac:dyDescent="0.25"/>
    <row r="122245" customFormat="1" x14ac:dyDescent="0.25"/>
    <row r="122246" customFormat="1" x14ac:dyDescent="0.25"/>
    <row r="122247" customFormat="1" x14ac:dyDescent="0.25"/>
    <row r="122248" customFormat="1" x14ac:dyDescent="0.25"/>
    <row r="122249" customFormat="1" x14ac:dyDescent="0.25"/>
    <row r="122250" customFormat="1" x14ac:dyDescent="0.25"/>
    <row r="122251" customFormat="1" x14ac:dyDescent="0.25"/>
    <row r="122252" customFormat="1" x14ac:dyDescent="0.25"/>
    <row r="122253" customFormat="1" x14ac:dyDescent="0.25"/>
    <row r="122254" customFormat="1" x14ac:dyDescent="0.25"/>
    <row r="122255" customFormat="1" x14ac:dyDescent="0.25"/>
    <row r="122256" customFormat="1" x14ac:dyDescent="0.25"/>
    <row r="122257" customFormat="1" x14ac:dyDescent="0.25"/>
    <row r="122258" customFormat="1" x14ac:dyDescent="0.25"/>
    <row r="122259" customFormat="1" x14ac:dyDescent="0.25"/>
    <row r="122260" customFormat="1" x14ac:dyDescent="0.25"/>
    <row r="122261" customFormat="1" x14ac:dyDescent="0.25"/>
    <row r="122262" customFormat="1" x14ac:dyDescent="0.25"/>
    <row r="122263" customFormat="1" x14ac:dyDescent="0.25"/>
    <row r="122264" customFormat="1" x14ac:dyDescent="0.25"/>
    <row r="122265" customFormat="1" x14ac:dyDescent="0.25"/>
    <row r="122266" customFormat="1" x14ac:dyDescent="0.25"/>
    <row r="122267" customFormat="1" x14ac:dyDescent="0.25"/>
    <row r="122268" customFormat="1" x14ac:dyDescent="0.25"/>
    <row r="122269" customFormat="1" x14ac:dyDescent="0.25"/>
    <row r="122270" customFormat="1" x14ac:dyDescent="0.25"/>
    <row r="122271" customFormat="1" x14ac:dyDescent="0.25"/>
    <row r="122272" customFormat="1" x14ac:dyDescent="0.25"/>
    <row r="122273" customFormat="1" x14ac:dyDescent="0.25"/>
    <row r="122274" customFormat="1" x14ac:dyDescent="0.25"/>
    <row r="122275" customFormat="1" x14ac:dyDescent="0.25"/>
    <row r="122276" customFormat="1" x14ac:dyDescent="0.25"/>
    <row r="122277" customFormat="1" x14ac:dyDescent="0.25"/>
    <row r="122278" customFormat="1" x14ac:dyDescent="0.25"/>
    <row r="122279" customFormat="1" x14ac:dyDescent="0.25"/>
    <row r="122280" customFormat="1" x14ac:dyDescent="0.25"/>
    <row r="122281" customFormat="1" x14ac:dyDescent="0.25"/>
    <row r="122282" customFormat="1" x14ac:dyDescent="0.25"/>
    <row r="122283" customFormat="1" x14ac:dyDescent="0.25"/>
    <row r="122284" customFormat="1" x14ac:dyDescent="0.25"/>
    <row r="122285" customFormat="1" x14ac:dyDescent="0.25"/>
    <row r="122286" customFormat="1" x14ac:dyDescent="0.25"/>
    <row r="122287" customFormat="1" x14ac:dyDescent="0.25"/>
    <row r="122288" customFormat="1" x14ac:dyDescent="0.25"/>
    <row r="122289" customFormat="1" x14ac:dyDescent="0.25"/>
    <row r="122290" customFormat="1" x14ac:dyDescent="0.25"/>
    <row r="122291" customFormat="1" x14ac:dyDescent="0.25"/>
    <row r="122292" customFormat="1" x14ac:dyDescent="0.25"/>
    <row r="122293" customFormat="1" x14ac:dyDescent="0.25"/>
    <row r="122294" customFormat="1" x14ac:dyDescent="0.25"/>
    <row r="122295" customFormat="1" x14ac:dyDescent="0.25"/>
    <row r="122296" customFormat="1" x14ac:dyDescent="0.25"/>
    <row r="122297" customFormat="1" x14ac:dyDescent="0.25"/>
    <row r="122298" customFormat="1" x14ac:dyDescent="0.25"/>
    <row r="122299" customFormat="1" x14ac:dyDescent="0.25"/>
    <row r="122300" customFormat="1" x14ac:dyDescent="0.25"/>
    <row r="122301" customFormat="1" x14ac:dyDescent="0.25"/>
    <row r="122302" customFormat="1" x14ac:dyDescent="0.25"/>
    <row r="122303" customFormat="1" x14ac:dyDescent="0.25"/>
    <row r="122304" customFormat="1" x14ac:dyDescent="0.25"/>
    <row r="122305" customFormat="1" x14ac:dyDescent="0.25"/>
    <row r="122306" customFormat="1" x14ac:dyDescent="0.25"/>
    <row r="122307" customFormat="1" x14ac:dyDescent="0.25"/>
    <row r="122308" customFormat="1" x14ac:dyDescent="0.25"/>
    <row r="122309" customFormat="1" x14ac:dyDescent="0.25"/>
    <row r="122310" customFormat="1" x14ac:dyDescent="0.25"/>
    <row r="122311" customFormat="1" x14ac:dyDescent="0.25"/>
    <row r="122312" customFormat="1" x14ac:dyDescent="0.25"/>
    <row r="122313" customFormat="1" x14ac:dyDescent="0.25"/>
    <row r="122314" customFormat="1" x14ac:dyDescent="0.25"/>
    <row r="122315" customFormat="1" x14ac:dyDescent="0.25"/>
    <row r="122316" customFormat="1" x14ac:dyDescent="0.25"/>
    <row r="122317" customFormat="1" x14ac:dyDescent="0.25"/>
    <row r="122318" customFormat="1" x14ac:dyDescent="0.25"/>
    <row r="122319" customFormat="1" x14ac:dyDescent="0.25"/>
    <row r="122320" customFormat="1" x14ac:dyDescent="0.25"/>
    <row r="122321" customFormat="1" x14ac:dyDescent="0.25"/>
    <row r="122322" customFormat="1" x14ac:dyDescent="0.25"/>
    <row r="122323" customFormat="1" x14ac:dyDescent="0.25"/>
    <row r="122324" customFormat="1" x14ac:dyDescent="0.25"/>
    <row r="122325" customFormat="1" x14ac:dyDescent="0.25"/>
    <row r="122326" customFormat="1" x14ac:dyDescent="0.25"/>
    <row r="122327" customFormat="1" x14ac:dyDescent="0.25"/>
    <row r="122328" customFormat="1" x14ac:dyDescent="0.25"/>
    <row r="122329" customFormat="1" x14ac:dyDescent="0.25"/>
    <row r="122330" customFormat="1" x14ac:dyDescent="0.25"/>
    <row r="122331" customFormat="1" x14ac:dyDescent="0.25"/>
    <row r="122332" customFormat="1" x14ac:dyDescent="0.25"/>
    <row r="122333" customFormat="1" x14ac:dyDescent="0.25"/>
    <row r="122334" customFormat="1" x14ac:dyDescent="0.25"/>
    <row r="122335" customFormat="1" x14ac:dyDescent="0.25"/>
    <row r="122336" customFormat="1" x14ac:dyDescent="0.25"/>
    <row r="122337" customFormat="1" x14ac:dyDescent="0.25"/>
    <row r="122338" customFormat="1" x14ac:dyDescent="0.25"/>
    <row r="122339" customFormat="1" x14ac:dyDescent="0.25"/>
    <row r="122340" customFormat="1" x14ac:dyDescent="0.25"/>
    <row r="122341" customFormat="1" x14ac:dyDescent="0.25"/>
    <row r="122342" customFormat="1" x14ac:dyDescent="0.25"/>
    <row r="122343" customFormat="1" x14ac:dyDescent="0.25"/>
    <row r="122344" customFormat="1" x14ac:dyDescent="0.25"/>
    <row r="122345" customFormat="1" x14ac:dyDescent="0.25"/>
    <row r="122346" customFormat="1" x14ac:dyDescent="0.25"/>
    <row r="122347" customFormat="1" x14ac:dyDescent="0.25"/>
    <row r="122348" customFormat="1" x14ac:dyDescent="0.25"/>
    <row r="122349" customFormat="1" x14ac:dyDescent="0.25"/>
    <row r="122350" customFormat="1" x14ac:dyDescent="0.25"/>
    <row r="122351" customFormat="1" x14ac:dyDescent="0.25"/>
    <row r="122352" customFormat="1" x14ac:dyDescent="0.25"/>
    <row r="122353" customFormat="1" x14ac:dyDescent="0.25"/>
    <row r="122354" customFormat="1" x14ac:dyDescent="0.25"/>
    <row r="122355" customFormat="1" x14ac:dyDescent="0.25"/>
    <row r="122356" customFormat="1" x14ac:dyDescent="0.25"/>
    <row r="122357" customFormat="1" x14ac:dyDescent="0.25"/>
    <row r="122358" customFormat="1" x14ac:dyDescent="0.25"/>
    <row r="122359" customFormat="1" x14ac:dyDescent="0.25"/>
    <row r="122360" customFormat="1" x14ac:dyDescent="0.25"/>
    <row r="122361" customFormat="1" x14ac:dyDescent="0.25"/>
    <row r="122362" customFormat="1" x14ac:dyDescent="0.25"/>
    <row r="122363" customFormat="1" x14ac:dyDescent="0.25"/>
    <row r="122364" customFormat="1" x14ac:dyDescent="0.25"/>
    <row r="122365" customFormat="1" x14ac:dyDescent="0.25"/>
    <row r="122366" customFormat="1" x14ac:dyDescent="0.25"/>
    <row r="122367" customFormat="1" x14ac:dyDescent="0.25"/>
    <row r="122368" customFormat="1" x14ac:dyDescent="0.25"/>
    <row r="122369" customFormat="1" x14ac:dyDescent="0.25"/>
    <row r="122370" customFormat="1" x14ac:dyDescent="0.25"/>
    <row r="122371" customFormat="1" x14ac:dyDescent="0.25"/>
    <row r="122372" customFormat="1" x14ac:dyDescent="0.25"/>
    <row r="122373" customFormat="1" x14ac:dyDescent="0.25"/>
    <row r="122374" customFormat="1" x14ac:dyDescent="0.25"/>
    <row r="122375" customFormat="1" x14ac:dyDescent="0.25"/>
    <row r="122376" customFormat="1" x14ac:dyDescent="0.25"/>
    <row r="122377" customFormat="1" x14ac:dyDescent="0.25"/>
    <row r="122378" customFormat="1" x14ac:dyDescent="0.25"/>
    <row r="122379" customFormat="1" x14ac:dyDescent="0.25"/>
    <row r="122380" customFormat="1" x14ac:dyDescent="0.25"/>
    <row r="122381" customFormat="1" x14ac:dyDescent="0.25"/>
    <row r="122382" customFormat="1" x14ac:dyDescent="0.25"/>
    <row r="122383" customFormat="1" x14ac:dyDescent="0.25"/>
    <row r="122384" customFormat="1" x14ac:dyDescent="0.25"/>
    <row r="122385" customFormat="1" x14ac:dyDescent="0.25"/>
    <row r="122386" customFormat="1" x14ac:dyDescent="0.25"/>
    <row r="122387" customFormat="1" x14ac:dyDescent="0.25"/>
    <row r="122388" customFormat="1" x14ac:dyDescent="0.25"/>
    <row r="122389" customFormat="1" x14ac:dyDescent="0.25"/>
    <row r="122390" customFormat="1" x14ac:dyDescent="0.25"/>
    <row r="122391" customFormat="1" x14ac:dyDescent="0.25"/>
    <row r="122392" customFormat="1" x14ac:dyDescent="0.25"/>
    <row r="122393" customFormat="1" x14ac:dyDescent="0.25"/>
    <row r="122394" customFormat="1" x14ac:dyDescent="0.25"/>
    <row r="122395" customFormat="1" x14ac:dyDescent="0.25"/>
    <row r="122396" customFormat="1" x14ac:dyDescent="0.25"/>
    <row r="122397" customFormat="1" x14ac:dyDescent="0.25"/>
    <row r="122398" customFormat="1" x14ac:dyDescent="0.25"/>
    <row r="122399" customFormat="1" x14ac:dyDescent="0.25"/>
    <row r="122400" customFormat="1" x14ac:dyDescent="0.25"/>
    <row r="122401" customFormat="1" x14ac:dyDescent="0.25"/>
    <row r="122402" customFormat="1" x14ac:dyDescent="0.25"/>
    <row r="122403" customFormat="1" x14ac:dyDescent="0.25"/>
    <row r="122404" customFormat="1" x14ac:dyDescent="0.25"/>
    <row r="122405" customFormat="1" x14ac:dyDescent="0.25"/>
    <row r="122406" customFormat="1" x14ac:dyDescent="0.25"/>
    <row r="122407" customFormat="1" x14ac:dyDescent="0.25"/>
    <row r="122408" customFormat="1" x14ac:dyDescent="0.25"/>
    <row r="122409" customFormat="1" x14ac:dyDescent="0.25"/>
    <row r="122410" customFormat="1" x14ac:dyDescent="0.25"/>
    <row r="122411" customFormat="1" x14ac:dyDescent="0.25"/>
    <row r="122412" customFormat="1" x14ac:dyDescent="0.25"/>
    <row r="122413" customFormat="1" x14ac:dyDescent="0.25"/>
    <row r="122414" customFormat="1" x14ac:dyDescent="0.25"/>
    <row r="122415" customFormat="1" x14ac:dyDescent="0.25"/>
    <row r="122416" customFormat="1" x14ac:dyDescent="0.25"/>
    <row r="122417" customFormat="1" x14ac:dyDescent="0.25"/>
    <row r="122418" customFormat="1" x14ac:dyDescent="0.25"/>
    <row r="122419" customFormat="1" x14ac:dyDescent="0.25"/>
    <row r="122420" customFormat="1" x14ac:dyDescent="0.25"/>
    <row r="122421" customFormat="1" x14ac:dyDescent="0.25"/>
    <row r="122422" customFormat="1" x14ac:dyDescent="0.25"/>
    <row r="122423" customFormat="1" x14ac:dyDescent="0.25"/>
    <row r="122424" customFormat="1" x14ac:dyDescent="0.25"/>
    <row r="122425" customFormat="1" x14ac:dyDescent="0.25"/>
    <row r="122426" customFormat="1" x14ac:dyDescent="0.25"/>
    <row r="122427" customFormat="1" x14ac:dyDescent="0.25"/>
    <row r="122428" customFormat="1" x14ac:dyDescent="0.25"/>
    <row r="122429" customFormat="1" x14ac:dyDescent="0.25"/>
    <row r="122430" customFormat="1" x14ac:dyDescent="0.25"/>
    <row r="122431" customFormat="1" x14ac:dyDescent="0.25"/>
    <row r="122432" customFormat="1" x14ac:dyDescent="0.25"/>
    <row r="122433" customFormat="1" x14ac:dyDescent="0.25"/>
    <row r="122434" customFormat="1" x14ac:dyDescent="0.25"/>
    <row r="122435" customFormat="1" x14ac:dyDescent="0.25"/>
    <row r="122436" customFormat="1" x14ac:dyDescent="0.25"/>
    <row r="122437" customFormat="1" x14ac:dyDescent="0.25"/>
    <row r="122438" customFormat="1" x14ac:dyDescent="0.25"/>
    <row r="122439" customFormat="1" x14ac:dyDescent="0.25"/>
    <row r="122440" customFormat="1" x14ac:dyDescent="0.25"/>
    <row r="122441" customFormat="1" x14ac:dyDescent="0.25"/>
    <row r="122442" customFormat="1" x14ac:dyDescent="0.25"/>
    <row r="122443" customFormat="1" x14ac:dyDescent="0.25"/>
    <row r="122444" customFormat="1" x14ac:dyDescent="0.25"/>
    <row r="122445" customFormat="1" x14ac:dyDescent="0.25"/>
    <row r="122446" customFormat="1" x14ac:dyDescent="0.25"/>
    <row r="122447" customFormat="1" x14ac:dyDescent="0.25"/>
    <row r="122448" customFormat="1" x14ac:dyDescent="0.25"/>
    <row r="122449" customFormat="1" x14ac:dyDescent="0.25"/>
    <row r="122450" customFormat="1" x14ac:dyDescent="0.25"/>
    <row r="122451" customFormat="1" x14ac:dyDescent="0.25"/>
    <row r="122452" customFormat="1" x14ac:dyDescent="0.25"/>
    <row r="122453" customFormat="1" x14ac:dyDescent="0.25"/>
    <row r="122454" customFormat="1" x14ac:dyDescent="0.25"/>
    <row r="122455" customFormat="1" x14ac:dyDescent="0.25"/>
    <row r="122456" customFormat="1" x14ac:dyDescent="0.25"/>
    <row r="122457" customFormat="1" x14ac:dyDescent="0.25"/>
    <row r="122458" customFormat="1" x14ac:dyDescent="0.25"/>
    <row r="122459" customFormat="1" x14ac:dyDescent="0.25"/>
    <row r="122460" customFormat="1" x14ac:dyDescent="0.25"/>
    <row r="122461" customFormat="1" x14ac:dyDescent="0.25"/>
    <row r="122462" customFormat="1" x14ac:dyDescent="0.25"/>
    <row r="122463" customFormat="1" x14ac:dyDescent="0.25"/>
    <row r="122464" customFormat="1" x14ac:dyDescent="0.25"/>
    <row r="122465" customFormat="1" x14ac:dyDescent="0.25"/>
    <row r="122466" customFormat="1" x14ac:dyDescent="0.25"/>
    <row r="122467" customFormat="1" x14ac:dyDescent="0.25"/>
    <row r="122468" customFormat="1" x14ac:dyDescent="0.25"/>
    <row r="122469" customFormat="1" x14ac:dyDescent="0.25"/>
    <row r="122470" customFormat="1" x14ac:dyDescent="0.25"/>
    <row r="122471" customFormat="1" x14ac:dyDescent="0.25"/>
    <row r="122472" customFormat="1" x14ac:dyDescent="0.25"/>
    <row r="122473" customFormat="1" x14ac:dyDescent="0.25"/>
    <row r="122474" customFormat="1" x14ac:dyDescent="0.25"/>
    <row r="122475" customFormat="1" x14ac:dyDescent="0.25"/>
    <row r="122476" customFormat="1" x14ac:dyDescent="0.25"/>
    <row r="122477" customFormat="1" x14ac:dyDescent="0.25"/>
    <row r="122478" customFormat="1" x14ac:dyDescent="0.25"/>
    <row r="122479" customFormat="1" x14ac:dyDescent="0.25"/>
    <row r="122480" customFormat="1" x14ac:dyDescent="0.25"/>
    <row r="122481" customFormat="1" x14ac:dyDescent="0.25"/>
    <row r="122482" customFormat="1" x14ac:dyDescent="0.25"/>
    <row r="122483" customFormat="1" x14ac:dyDescent="0.25"/>
    <row r="122484" customFormat="1" x14ac:dyDescent="0.25"/>
    <row r="122485" customFormat="1" x14ac:dyDescent="0.25"/>
    <row r="122486" customFormat="1" x14ac:dyDescent="0.25"/>
    <row r="122487" customFormat="1" x14ac:dyDescent="0.25"/>
    <row r="122488" customFormat="1" x14ac:dyDescent="0.25"/>
    <row r="122489" customFormat="1" x14ac:dyDescent="0.25"/>
    <row r="122490" customFormat="1" x14ac:dyDescent="0.25"/>
    <row r="122491" customFormat="1" x14ac:dyDescent="0.25"/>
    <row r="122492" customFormat="1" x14ac:dyDescent="0.25"/>
    <row r="122493" customFormat="1" x14ac:dyDescent="0.25"/>
    <row r="122494" customFormat="1" x14ac:dyDescent="0.25"/>
    <row r="122495" customFormat="1" x14ac:dyDescent="0.25"/>
    <row r="122496" customFormat="1" x14ac:dyDescent="0.25"/>
    <row r="122497" customFormat="1" x14ac:dyDescent="0.25"/>
    <row r="122498" customFormat="1" x14ac:dyDescent="0.25"/>
    <row r="122499" customFormat="1" x14ac:dyDescent="0.25"/>
    <row r="122500" customFormat="1" x14ac:dyDescent="0.25"/>
    <row r="122501" customFormat="1" x14ac:dyDescent="0.25"/>
    <row r="122502" customFormat="1" x14ac:dyDescent="0.25"/>
    <row r="122503" customFormat="1" x14ac:dyDescent="0.25"/>
    <row r="122504" customFormat="1" x14ac:dyDescent="0.25"/>
    <row r="122505" customFormat="1" x14ac:dyDescent="0.25"/>
    <row r="122506" customFormat="1" x14ac:dyDescent="0.25"/>
    <row r="122507" customFormat="1" x14ac:dyDescent="0.25"/>
    <row r="122508" customFormat="1" x14ac:dyDescent="0.25"/>
    <row r="122509" customFormat="1" x14ac:dyDescent="0.25"/>
    <row r="122510" customFormat="1" x14ac:dyDescent="0.25"/>
    <row r="122511" customFormat="1" x14ac:dyDescent="0.25"/>
    <row r="122512" customFormat="1" x14ac:dyDescent="0.25"/>
    <row r="122513" customFormat="1" x14ac:dyDescent="0.25"/>
    <row r="122514" customFormat="1" x14ac:dyDescent="0.25"/>
    <row r="122515" customFormat="1" x14ac:dyDescent="0.25"/>
    <row r="122516" customFormat="1" x14ac:dyDescent="0.25"/>
    <row r="122517" customFormat="1" x14ac:dyDescent="0.25"/>
    <row r="122518" customFormat="1" x14ac:dyDescent="0.25"/>
    <row r="122519" customFormat="1" x14ac:dyDescent="0.25"/>
    <row r="122520" customFormat="1" x14ac:dyDescent="0.25"/>
    <row r="122521" customFormat="1" x14ac:dyDescent="0.25"/>
    <row r="122522" customFormat="1" x14ac:dyDescent="0.25"/>
    <row r="122523" customFormat="1" x14ac:dyDescent="0.25"/>
    <row r="122524" customFormat="1" x14ac:dyDescent="0.25"/>
    <row r="122525" customFormat="1" x14ac:dyDescent="0.25"/>
    <row r="122526" customFormat="1" x14ac:dyDescent="0.25"/>
    <row r="122527" customFormat="1" x14ac:dyDescent="0.25"/>
    <row r="122528" customFormat="1" x14ac:dyDescent="0.25"/>
    <row r="122529" customFormat="1" x14ac:dyDescent="0.25"/>
    <row r="122530" customFormat="1" x14ac:dyDescent="0.25"/>
    <row r="122531" customFormat="1" x14ac:dyDescent="0.25"/>
    <row r="122532" customFormat="1" x14ac:dyDescent="0.25"/>
    <row r="122533" customFormat="1" x14ac:dyDescent="0.25"/>
    <row r="122534" customFormat="1" x14ac:dyDescent="0.25"/>
    <row r="122535" customFormat="1" x14ac:dyDescent="0.25"/>
    <row r="122536" customFormat="1" x14ac:dyDescent="0.25"/>
    <row r="122537" customFormat="1" x14ac:dyDescent="0.25"/>
    <row r="122538" customFormat="1" x14ac:dyDescent="0.25"/>
    <row r="122539" customFormat="1" x14ac:dyDescent="0.25"/>
    <row r="122540" customFormat="1" x14ac:dyDescent="0.25"/>
    <row r="122541" customFormat="1" x14ac:dyDescent="0.25"/>
    <row r="122542" customFormat="1" x14ac:dyDescent="0.25"/>
    <row r="122543" customFormat="1" x14ac:dyDescent="0.25"/>
    <row r="122544" customFormat="1" x14ac:dyDescent="0.25"/>
    <row r="122545" customFormat="1" x14ac:dyDescent="0.25"/>
    <row r="122546" customFormat="1" x14ac:dyDescent="0.25"/>
    <row r="122547" customFormat="1" x14ac:dyDescent="0.25"/>
    <row r="122548" customFormat="1" x14ac:dyDescent="0.25"/>
    <row r="122549" customFormat="1" x14ac:dyDescent="0.25"/>
    <row r="122550" customFormat="1" x14ac:dyDescent="0.25"/>
    <row r="122551" customFormat="1" x14ac:dyDescent="0.25"/>
    <row r="122552" customFormat="1" x14ac:dyDescent="0.25"/>
    <row r="122553" customFormat="1" x14ac:dyDescent="0.25"/>
    <row r="122554" customFormat="1" x14ac:dyDescent="0.25"/>
    <row r="122555" customFormat="1" x14ac:dyDescent="0.25"/>
    <row r="122556" customFormat="1" x14ac:dyDescent="0.25"/>
    <row r="122557" customFormat="1" x14ac:dyDescent="0.25"/>
    <row r="122558" customFormat="1" x14ac:dyDescent="0.25"/>
    <row r="122559" customFormat="1" x14ac:dyDescent="0.25"/>
    <row r="122560" customFormat="1" x14ac:dyDescent="0.25"/>
    <row r="122561" customFormat="1" x14ac:dyDescent="0.25"/>
    <row r="122562" customFormat="1" x14ac:dyDescent="0.25"/>
    <row r="122563" customFormat="1" x14ac:dyDescent="0.25"/>
    <row r="122564" customFormat="1" x14ac:dyDescent="0.25"/>
    <row r="122565" customFormat="1" x14ac:dyDescent="0.25"/>
    <row r="122566" customFormat="1" x14ac:dyDescent="0.25"/>
    <row r="122567" customFormat="1" x14ac:dyDescent="0.25"/>
    <row r="122568" customFormat="1" x14ac:dyDescent="0.25"/>
    <row r="122569" customFormat="1" x14ac:dyDescent="0.25"/>
    <row r="122570" customFormat="1" x14ac:dyDescent="0.25"/>
    <row r="122571" customFormat="1" x14ac:dyDescent="0.25"/>
    <row r="122572" customFormat="1" x14ac:dyDescent="0.25"/>
    <row r="122573" customFormat="1" x14ac:dyDescent="0.25"/>
    <row r="122574" customFormat="1" x14ac:dyDescent="0.25"/>
    <row r="122575" customFormat="1" x14ac:dyDescent="0.25"/>
    <row r="122576" customFormat="1" x14ac:dyDescent="0.25"/>
    <row r="122577" customFormat="1" x14ac:dyDescent="0.25"/>
    <row r="122578" customFormat="1" x14ac:dyDescent="0.25"/>
    <row r="122579" customFormat="1" x14ac:dyDescent="0.25"/>
    <row r="122580" customFormat="1" x14ac:dyDescent="0.25"/>
    <row r="122581" customFormat="1" x14ac:dyDescent="0.25"/>
    <row r="122582" customFormat="1" x14ac:dyDescent="0.25"/>
    <row r="122583" customFormat="1" x14ac:dyDescent="0.25"/>
    <row r="122584" customFormat="1" x14ac:dyDescent="0.25"/>
    <row r="122585" customFormat="1" x14ac:dyDescent="0.25"/>
    <row r="122586" customFormat="1" x14ac:dyDescent="0.25"/>
    <row r="122587" customFormat="1" x14ac:dyDescent="0.25"/>
    <row r="122588" customFormat="1" x14ac:dyDescent="0.25"/>
    <row r="122589" customFormat="1" x14ac:dyDescent="0.25"/>
    <row r="122590" customFormat="1" x14ac:dyDescent="0.25"/>
    <row r="122591" customFormat="1" x14ac:dyDescent="0.25"/>
    <row r="122592" customFormat="1" x14ac:dyDescent="0.25"/>
    <row r="122593" customFormat="1" x14ac:dyDescent="0.25"/>
    <row r="122594" customFormat="1" x14ac:dyDescent="0.25"/>
    <row r="122595" customFormat="1" x14ac:dyDescent="0.25"/>
    <row r="122596" customFormat="1" x14ac:dyDescent="0.25"/>
    <row r="122597" customFormat="1" x14ac:dyDescent="0.25"/>
    <row r="122598" customFormat="1" x14ac:dyDescent="0.25"/>
    <row r="122599" customFormat="1" x14ac:dyDescent="0.25"/>
    <row r="122600" customFormat="1" x14ac:dyDescent="0.25"/>
    <row r="122601" customFormat="1" x14ac:dyDescent="0.25"/>
    <row r="122602" customFormat="1" x14ac:dyDescent="0.25"/>
    <row r="122603" customFormat="1" x14ac:dyDescent="0.25"/>
    <row r="122604" customFormat="1" x14ac:dyDescent="0.25"/>
    <row r="122605" customFormat="1" x14ac:dyDescent="0.25"/>
    <row r="122606" customFormat="1" x14ac:dyDescent="0.25"/>
    <row r="122607" customFormat="1" x14ac:dyDescent="0.25"/>
    <row r="122608" customFormat="1" x14ac:dyDescent="0.25"/>
    <row r="122609" customFormat="1" x14ac:dyDescent="0.25"/>
    <row r="122610" customFormat="1" x14ac:dyDescent="0.25"/>
    <row r="122611" customFormat="1" x14ac:dyDescent="0.25"/>
    <row r="122612" customFormat="1" x14ac:dyDescent="0.25"/>
    <row r="122613" customFormat="1" x14ac:dyDescent="0.25"/>
    <row r="122614" customFormat="1" x14ac:dyDescent="0.25"/>
    <row r="122615" customFormat="1" x14ac:dyDescent="0.25"/>
    <row r="122616" customFormat="1" x14ac:dyDescent="0.25"/>
    <row r="122617" customFormat="1" x14ac:dyDescent="0.25"/>
    <row r="122618" customFormat="1" x14ac:dyDescent="0.25"/>
    <row r="122619" customFormat="1" x14ac:dyDescent="0.25"/>
    <row r="122620" customFormat="1" x14ac:dyDescent="0.25"/>
    <row r="122621" customFormat="1" x14ac:dyDescent="0.25"/>
    <row r="122622" customFormat="1" x14ac:dyDescent="0.25"/>
    <row r="122623" customFormat="1" x14ac:dyDescent="0.25"/>
    <row r="122624" customFormat="1" x14ac:dyDescent="0.25"/>
    <row r="122625" customFormat="1" x14ac:dyDescent="0.25"/>
    <row r="122626" customFormat="1" x14ac:dyDescent="0.25"/>
    <row r="122627" customFormat="1" x14ac:dyDescent="0.25"/>
    <row r="122628" customFormat="1" x14ac:dyDescent="0.25"/>
    <row r="122629" customFormat="1" x14ac:dyDescent="0.25"/>
    <row r="122630" customFormat="1" x14ac:dyDescent="0.25"/>
    <row r="122631" customFormat="1" x14ac:dyDescent="0.25"/>
    <row r="122632" customFormat="1" x14ac:dyDescent="0.25"/>
    <row r="122633" customFormat="1" x14ac:dyDescent="0.25"/>
    <row r="122634" customFormat="1" x14ac:dyDescent="0.25"/>
    <row r="122635" customFormat="1" x14ac:dyDescent="0.25"/>
    <row r="122636" customFormat="1" x14ac:dyDescent="0.25"/>
    <row r="122637" customFormat="1" x14ac:dyDescent="0.25"/>
    <row r="122638" customFormat="1" x14ac:dyDescent="0.25"/>
    <row r="122639" customFormat="1" x14ac:dyDescent="0.25"/>
    <row r="122640" customFormat="1" x14ac:dyDescent="0.25"/>
    <row r="122641" customFormat="1" x14ac:dyDescent="0.25"/>
    <row r="122642" customFormat="1" x14ac:dyDescent="0.25"/>
    <row r="122643" customFormat="1" x14ac:dyDescent="0.25"/>
    <row r="122644" customFormat="1" x14ac:dyDescent="0.25"/>
    <row r="122645" customFormat="1" x14ac:dyDescent="0.25"/>
    <row r="122646" customFormat="1" x14ac:dyDescent="0.25"/>
    <row r="122647" customFormat="1" x14ac:dyDescent="0.25"/>
    <row r="122648" customFormat="1" x14ac:dyDescent="0.25"/>
    <row r="122649" customFormat="1" x14ac:dyDescent="0.25"/>
    <row r="122650" customFormat="1" x14ac:dyDescent="0.25"/>
    <row r="122651" customFormat="1" x14ac:dyDescent="0.25"/>
    <row r="122652" customFormat="1" x14ac:dyDescent="0.25"/>
    <row r="122653" customFormat="1" x14ac:dyDescent="0.25"/>
    <row r="122654" customFormat="1" x14ac:dyDescent="0.25"/>
    <row r="122655" customFormat="1" x14ac:dyDescent="0.25"/>
    <row r="122656" customFormat="1" x14ac:dyDescent="0.25"/>
    <row r="122657" customFormat="1" x14ac:dyDescent="0.25"/>
    <row r="122658" customFormat="1" x14ac:dyDescent="0.25"/>
    <row r="122659" customFormat="1" x14ac:dyDescent="0.25"/>
    <row r="122660" customFormat="1" x14ac:dyDescent="0.25"/>
    <row r="122661" customFormat="1" x14ac:dyDescent="0.25"/>
    <row r="122662" customFormat="1" x14ac:dyDescent="0.25"/>
    <row r="122663" customFormat="1" x14ac:dyDescent="0.25"/>
    <row r="122664" customFormat="1" x14ac:dyDescent="0.25"/>
    <row r="122665" customFormat="1" x14ac:dyDescent="0.25"/>
    <row r="122666" customFormat="1" x14ac:dyDescent="0.25"/>
    <row r="122667" customFormat="1" x14ac:dyDescent="0.25"/>
    <row r="122668" customFormat="1" x14ac:dyDescent="0.25"/>
    <row r="122669" customFormat="1" x14ac:dyDescent="0.25"/>
    <row r="122670" customFormat="1" x14ac:dyDescent="0.25"/>
    <row r="122671" customFormat="1" x14ac:dyDescent="0.25"/>
    <row r="122672" customFormat="1" x14ac:dyDescent="0.25"/>
    <row r="122673" customFormat="1" x14ac:dyDescent="0.25"/>
    <row r="122674" customFormat="1" x14ac:dyDescent="0.25"/>
    <row r="122675" customFormat="1" x14ac:dyDescent="0.25"/>
    <row r="122676" customFormat="1" x14ac:dyDescent="0.25"/>
    <row r="122677" customFormat="1" x14ac:dyDescent="0.25"/>
    <row r="122678" customFormat="1" x14ac:dyDescent="0.25"/>
    <row r="122679" customFormat="1" x14ac:dyDescent="0.25"/>
    <row r="122680" customFormat="1" x14ac:dyDescent="0.25"/>
    <row r="122681" customFormat="1" x14ac:dyDescent="0.25"/>
    <row r="122682" customFormat="1" x14ac:dyDescent="0.25"/>
    <row r="122683" customFormat="1" x14ac:dyDescent="0.25"/>
    <row r="122684" customFormat="1" x14ac:dyDescent="0.25"/>
    <row r="122685" customFormat="1" x14ac:dyDescent="0.25"/>
    <row r="122686" customFormat="1" x14ac:dyDescent="0.25"/>
    <row r="122687" customFormat="1" x14ac:dyDescent="0.25"/>
    <row r="122688" customFormat="1" x14ac:dyDescent="0.25"/>
    <row r="122689" customFormat="1" x14ac:dyDescent="0.25"/>
    <row r="122690" customFormat="1" x14ac:dyDescent="0.25"/>
    <row r="122691" customFormat="1" x14ac:dyDescent="0.25"/>
    <row r="122692" customFormat="1" x14ac:dyDescent="0.25"/>
    <row r="122693" customFormat="1" x14ac:dyDescent="0.25"/>
    <row r="122694" customFormat="1" x14ac:dyDescent="0.25"/>
    <row r="122695" customFormat="1" x14ac:dyDescent="0.25"/>
    <row r="122696" customFormat="1" x14ac:dyDescent="0.25"/>
    <row r="122697" customFormat="1" x14ac:dyDescent="0.25"/>
    <row r="122698" customFormat="1" x14ac:dyDescent="0.25"/>
    <row r="122699" customFormat="1" x14ac:dyDescent="0.25"/>
    <row r="122700" customFormat="1" x14ac:dyDescent="0.25"/>
    <row r="122701" customFormat="1" x14ac:dyDescent="0.25"/>
    <row r="122702" customFormat="1" x14ac:dyDescent="0.25"/>
    <row r="122703" customFormat="1" x14ac:dyDescent="0.25"/>
    <row r="122704" customFormat="1" x14ac:dyDescent="0.25"/>
    <row r="122705" customFormat="1" x14ac:dyDescent="0.25"/>
    <row r="122706" customFormat="1" x14ac:dyDescent="0.25"/>
    <row r="122707" customFormat="1" x14ac:dyDescent="0.25"/>
    <row r="122708" customFormat="1" x14ac:dyDescent="0.25"/>
    <row r="122709" customFormat="1" x14ac:dyDescent="0.25"/>
    <row r="122710" customFormat="1" x14ac:dyDescent="0.25"/>
    <row r="122711" customFormat="1" x14ac:dyDescent="0.25"/>
    <row r="122712" customFormat="1" x14ac:dyDescent="0.25"/>
    <row r="122713" customFormat="1" x14ac:dyDescent="0.25"/>
    <row r="122714" customFormat="1" x14ac:dyDescent="0.25"/>
    <row r="122715" customFormat="1" x14ac:dyDescent="0.25"/>
    <row r="122716" customFormat="1" x14ac:dyDescent="0.25"/>
    <row r="122717" customFormat="1" x14ac:dyDescent="0.25"/>
    <row r="122718" customFormat="1" x14ac:dyDescent="0.25"/>
    <row r="122719" customFormat="1" x14ac:dyDescent="0.25"/>
    <row r="122720" customFormat="1" x14ac:dyDescent="0.25"/>
    <row r="122721" customFormat="1" x14ac:dyDescent="0.25"/>
    <row r="122722" customFormat="1" x14ac:dyDescent="0.25"/>
    <row r="122723" customFormat="1" x14ac:dyDescent="0.25"/>
    <row r="122724" customFormat="1" x14ac:dyDescent="0.25"/>
    <row r="122725" customFormat="1" x14ac:dyDescent="0.25"/>
    <row r="122726" customFormat="1" x14ac:dyDescent="0.25"/>
    <row r="122727" customFormat="1" x14ac:dyDescent="0.25"/>
    <row r="122728" customFormat="1" x14ac:dyDescent="0.25"/>
    <row r="122729" customFormat="1" x14ac:dyDescent="0.25"/>
    <row r="122730" customFormat="1" x14ac:dyDescent="0.25"/>
    <row r="122731" customFormat="1" x14ac:dyDescent="0.25"/>
    <row r="122732" customFormat="1" x14ac:dyDescent="0.25"/>
    <row r="122733" customFormat="1" x14ac:dyDescent="0.25"/>
    <row r="122734" customFormat="1" x14ac:dyDescent="0.25"/>
    <row r="122735" customFormat="1" x14ac:dyDescent="0.25"/>
    <row r="122736" customFormat="1" x14ac:dyDescent="0.25"/>
    <row r="122737" customFormat="1" x14ac:dyDescent="0.25"/>
    <row r="122738" customFormat="1" x14ac:dyDescent="0.25"/>
    <row r="122739" customFormat="1" x14ac:dyDescent="0.25"/>
    <row r="122740" customFormat="1" x14ac:dyDescent="0.25"/>
    <row r="122741" customFormat="1" x14ac:dyDescent="0.25"/>
    <row r="122742" customFormat="1" x14ac:dyDescent="0.25"/>
    <row r="122743" customFormat="1" x14ac:dyDescent="0.25"/>
    <row r="122744" customFormat="1" x14ac:dyDescent="0.25"/>
    <row r="122745" customFormat="1" x14ac:dyDescent="0.25"/>
    <row r="122746" customFormat="1" x14ac:dyDescent="0.25"/>
    <row r="122747" customFormat="1" x14ac:dyDescent="0.25"/>
    <row r="122748" customFormat="1" x14ac:dyDescent="0.25"/>
    <row r="122749" customFormat="1" x14ac:dyDescent="0.25"/>
    <row r="122750" customFormat="1" x14ac:dyDescent="0.25"/>
    <row r="122751" customFormat="1" x14ac:dyDescent="0.25"/>
    <row r="122752" customFormat="1" x14ac:dyDescent="0.25"/>
    <row r="122753" customFormat="1" x14ac:dyDescent="0.25"/>
    <row r="122754" customFormat="1" x14ac:dyDescent="0.25"/>
    <row r="122755" customFormat="1" x14ac:dyDescent="0.25"/>
    <row r="122756" customFormat="1" x14ac:dyDescent="0.25"/>
    <row r="122757" customFormat="1" x14ac:dyDescent="0.25"/>
    <row r="122758" customFormat="1" x14ac:dyDescent="0.25"/>
    <row r="122759" customFormat="1" x14ac:dyDescent="0.25"/>
    <row r="122760" customFormat="1" x14ac:dyDescent="0.25"/>
    <row r="122761" customFormat="1" x14ac:dyDescent="0.25"/>
    <row r="122762" customFormat="1" x14ac:dyDescent="0.25"/>
    <row r="122763" customFormat="1" x14ac:dyDescent="0.25"/>
    <row r="122764" customFormat="1" x14ac:dyDescent="0.25"/>
    <row r="122765" customFormat="1" x14ac:dyDescent="0.25"/>
    <row r="122766" customFormat="1" x14ac:dyDescent="0.25"/>
    <row r="122767" customFormat="1" x14ac:dyDescent="0.25"/>
    <row r="122768" customFormat="1" x14ac:dyDescent="0.25"/>
    <row r="122769" customFormat="1" x14ac:dyDescent="0.25"/>
    <row r="122770" customFormat="1" x14ac:dyDescent="0.25"/>
    <row r="122771" customFormat="1" x14ac:dyDescent="0.25"/>
    <row r="122772" customFormat="1" x14ac:dyDescent="0.25"/>
    <row r="122773" customFormat="1" x14ac:dyDescent="0.25"/>
    <row r="122774" customFormat="1" x14ac:dyDescent="0.25"/>
    <row r="122775" customFormat="1" x14ac:dyDescent="0.25"/>
    <row r="122776" customFormat="1" x14ac:dyDescent="0.25"/>
    <row r="122777" customFormat="1" x14ac:dyDescent="0.25"/>
    <row r="122778" customFormat="1" x14ac:dyDescent="0.25"/>
    <row r="122779" customFormat="1" x14ac:dyDescent="0.25"/>
    <row r="122780" customFormat="1" x14ac:dyDescent="0.25"/>
    <row r="122781" customFormat="1" x14ac:dyDescent="0.25"/>
    <row r="122782" customFormat="1" x14ac:dyDescent="0.25"/>
    <row r="122783" customFormat="1" x14ac:dyDescent="0.25"/>
    <row r="122784" customFormat="1" x14ac:dyDescent="0.25"/>
    <row r="122785" customFormat="1" x14ac:dyDescent="0.25"/>
    <row r="122786" customFormat="1" x14ac:dyDescent="0.25"/>
    <row r="122787" customFormat="1" x14ac:dyDescent="0.25"/>
    <row r="122788" customFormat="1" x14ac:dyDescent="0.25"/>
    <row r="122789" customFormat="1" x14ac:dyDescent="0.25"/>
    <row r="122790" customFormat="1" x14ac:dyDescent="0.25"/>
    <row r="122791" customFormat="1" x14ac:dyDescent="0.25"/>
    <row r="122792" customFormat="1" x14ac:dyDescent="0.25"/>
    <row r="122793" customFormat="1" x14ac:dyDescent="0.25"/>
    <row r="122794" customFormat="1" x14ac:dyDescent="0.25"/>
    <row r="122795" customFormat="1" x14ac:dyDescent="0.25"/>
    <row r="122796" customFormat="1" x14ac:dyDescent="0.25"/>
    <row r="122797" customFormat="1" x14ac:dyDescent="0.25"/>
    <row r="122798" customFormat="1" x14ac:dyDescent="0.25"/>
    <row r="122799" customFormat="1" x14ac:dyDescent="0.25"/>
    <row r="122800" customFormat="1" x14ac:dyDescent="0.25"/>
    <row r="122801" customFormat="1" x14ac:dyDescent="0.25"/>
    <row r="122802" customFormat="1" x14ac:dyDescent="0.25"/>
    <row r="122803" customFormat="1" x14ac:dyDescent="0.25"/>
    <row r="122804" customFormat="1" x14ac:dyDescent="0.25"/>
    <row r="122805" customFormat="1" x14ac:dyDescent="0.25"/>
    <row r="122806" customFormat="1" x14ac:dyDescent="0.25"/>
    <row r="122807" customFormat="1" x14ac:dyDescent="0.25"/>
    <row r="122808" customFormat="1" x14ac:dyDescent="0.25"/>
    <row r="122809" customFormat="1" x14ac:dyDescent="0.25"/>
    <row r="122810" customFormat="1" x14ac:dyDescent="0.25"/>
    <row r="122811" customFormat="1" x14ac:dyDescent="0.25"/>
    <row r="122812" customFormat="1" x14ac:dyDescent="0.25"/>
    <row r="122813" customFormat="1" x14ac:dyDescent="0.25"/>
    <row r="122814" customFormat="1" x14ac:dyDescent="0.25"/>
    <row r="122815" customFormat="1" x14ac:dyDescent="0.25"/>
    <row r="122816" customFormat="1" x14ac:dyDescent="0.25"/>
    <row r="122817" customFormat="1" x14ac:dyDescent="0.25"/>
    <row r="122818" customFormat="1" x14ac:dyDescent="0.25"/>
    <row r="122819" customFormat="1" x14ac:dyDescent="0.25"/>
    <row r="122820" customFormat="1" x14ac:dyDescent="0.25"/>
    <row r="122821" customFormat="1" x14ac:dyDescent="0.25"/>
    <row r="122822" customFormat="1" x14ac:dyDescent="0.25"/>
    <row r="122823" customFormat="1" x14ac:dyDescent="0.25"/>
    <row r="122824" customFormat="1" x14ac:dyDescent="0.25"/>
    <row r="122825" customFormat="1" x14ac:dyDescent="0.25"/>
    <row r="122826" customFormat="1" x14ac:dyDescent="0.25"/>
    <row r="122827" customFormat="1" x14ac:dyDescent="0.25"/>
    <row r="122828" customFormat="1" x14ac:dyDescent="0.25"/>
    <row r="122829" customFormat="1" x14ac:dyDescent="0.25"/>
    <row r="122830" customFormat="1" x14ac:dyDescent="0.25"/>
    <row r="122831" customFormat="1" x14ac:dyDescent="0.25"/>
    <row r="122832" customFormat="1" x14ac:dyDescent="0.25"/>
    <row r="122833" customFormat="1" x14ac:dyDescent="0.25"/>
    <row r="122834" customFormat="1" x14ac:dyDescent="0.25"/>
    <row r="122835" customFormat="1" x14ac:dyDescent="0.25"/>
    <row r="122836" customFormat="1" x14ac:dyDescent="0.25"/>
    <row r="122837" customFormat="1" x14ac:dyDescent="0.25"/>
    <row r="122838" customFormat="1" x14ac:dyDescent="0.25"/>
    <row r="122839" customFormat="1" x14ac:dyDescent="0.25"/>
    <row r="122840" customFormat="1" x14ac:dyDescent="0.25"/>
    <row r="122841" customFormat="1" x14ac:dyDescent="0.25"/>
    <row r="122842" customFormat="1" x14ac:dyDescent="0.25"/>
    <row r="122843" customFormat="1" x14ac:dyDescent="0.25"/>
    <row r="122844" customFormat="1" x14ac:dyDescent="0.25"/>
    <row r="122845" customFormat="1" x14ac:dyDescent="0.25"/>
    <row r="122846" customFormat="1" x14ac:dyDescent="0.25"/>
    <row r="122847" customFormat="1" x14ac:dyDescent="0.25"/>
    <row r="122848" customFormat="1" x14ac:dyDescent="0.25"/>
    <row r="122849" customFormat="1" x14ac:dyDescent="0.25"/>
    <row r="122850" customFormat="1" x14ac:dyDescent="0.25"/>
    <row r="122851" customFormat="1" x14ac:dyDescent="0.25"/>
    <row r="122852" customFormat="1" x14ac:dyDescent="0.25"/>
    <row r="122853" customFormat="1" x14ac:dyDescent="0.25"/>
    <row r="122854" customFormat="1" x14ac:dyDescent="0.25"/>
    <row r="122855" customFormat="1" x14ac:dyDescent="0.25"/>
    <row r="122856" customFormat="1" x14ac:dyDescent="0.25"/>
    <row r="122857" customFormat="1" x14ac:dyDescent="0.25"/>
    <row r="122858" customFormat="1" x14ac:dyDescent="0.25"/>
    <row r="122859" customFormat="1" x14ac:dyDescent="0.25"/>
    <row r="122860" customFormat="1" x14ac:dyDescent="0.25"/>
    <row r="122861" customFormat="1" x14ac:dyDescent="0.25"/>
    <row r="122862" customFormat="1" x14ac:dyDescent="0.25"/>
    <row r="122863" customFormat="1" x14ac:dyDescent="0.25"/>
    <row r="122864" customFormat="1" x14ac:dyDescent="0.25"/>
    <row r="122865" customFormat="1" x14ac:dyDescent="0.25"/>
    <row r="122866" customFormat="1" x14ac:dyDescent="0.25"/>
    <row r="122867" customFormat="1" x14ac:dyDescent="0.25"/>
    <row r="122868" customFormat="1" x14ac:dyDescent="0.25"/>
    <row r="122869" customFormat="1" x14ac:dyDescent="0.25"/>
    <row r="122870" customFormat="1" x14ac:dyDescent="0.25"/>
    <row r="122871" customFormat="1" x14ac:dyDescent="0.25"/>
    <row r="122872" customFormat="1" x14ac:dyDescent="0.25"/>
    <row r="122873" customFormat="1" x14ac:dyDescent="0.25"/>
    <row r="122874" customFormat="1" x14ac:dyDescent="0.25"/>
    <row r="122875" customFormat="1" x14ac:dyDescent="0.25"/>
    <row r="122876" customFormat="1" x14ac:dyDescent="0.25"/>
    <row r="122877" customFormat="1" x14ac:dyDescent="0.25"/>
    <row r="122878" customFormat="1" x14ac:dyDescent="0.25"/>
    <row r="122879" customFormat="1" x14ac:dyDescent="0.25"/>
    <row r="122880" customFormat="1" x14ac:dyDescent="0.25"/>
    <row r="122881" customFormat="1" x14ac:dyDescent="0.25"/>
    <row r="122882" customFormat="1" x14ac:dyDescent="0.25"/>
    <row r="122883" customFormat="1" x14ac:dyDescent="0.25"/>
    <row r="122884" customFormat="1" x14ac:dyDescent="0.25"/>
    <row r="122885" customFormat="1" x14ac:dyDescent="0.25"/>
    <row r="122886" customFormat="1" x14ac:dyDescent="0.25"/>
    <row r="122887" customFormat="1" x14ac:dyDescent="0.25"/>
    <row r="122888" customFormat="1" x14ac:dyDescent="0.25"/>
    <row r="122889" customFormat="1" x14ac:dyDescent="0.25"/>
    <row r="122890" customFormat="1" x14ac:dyDescent="0.25"/>
    <row r="122891" customFormat="1" x14ac:dyDescent="0.25"/>
    <row r="122892" customFormat="1" x14ac:dyDescent="0.25"/>
    <row r="122893" customFormat="1" x14ac:dyDescent="0.25"/>
    <row r="122894" customFormat="1" x14ac:dyDescent="0.25"/>
    <row r="122895" customFormat="1" x14ac:dyDescent="0.25"/>
    <row r="122896" customFormat="1" x14ac:dyDescent="0.25"/>
    <row r="122897" customFormat="1" x14ac:dyDescent="0.25"/>
    <row r="122898" customFormat="1" x14ac:dyDescent="0.25"/>
    <row r="122899" customFormat="1" x14ac:dyDescent="0.25"/>
    <row r="122900" customFormat="1" x14ac:dyDescent="0.25"/>
    <row r="122901" customFormat="1" x14ac:dyDescent="0.25"/>
    <row r="122902" customFormat="1" x14ac:dyDescent="0.25"/>
    <row r="122903" customFormat="1" x14ac:dyDescent="0.25"/>
    <row r="122904" customFormat="1" x14ac:dyDescent="0.25"/>
    <row r="122905" customFormat="1" x14ac:dyDescent="0.25"/>
    <row r="122906" customFormat="1" x14ac:dyDescent="0.25"/>
    <row r="122907" customFormat="1" x14ac:dyDescent="0.25"/>
    <row r="122908" customFormat="1" x14ac:dyDescent="0.25"/>
    <row r="122909" customFormat="1" x14ac:dyDescent="0.25"/>
    <row r="122910" customFormat="1" x14ac:dyDescent="0.25"/>
    <row r="122911" customFormat="1" x14ac:dyDescent="0.25"/>
    <row r="122912" customFormat="1" x14ac:dyDescent="0.25"/>
    <row r="122913" customFormat="1" x14ac:dyDescent="0.25"/>
    <row r="122914" customFormat="1" x14ac:dyDescent="0.25"/>
    <row r="122915" customFormat="1" x14ac:dyDescent="0.25"/>
    <row r="122916" customFormat="1" x14ac:dyDescent="0.25"/>
    <row r="122917" customFormat="1" x14ac:dyDescent="0.25"/>
    <row r="122918" customFormat="1" x14ac:dyDescent="0.25"/>
    <row r="122919" customFormat="1" x14ac:dyDescent="0.25"/>
    <row r="122920" customFormat="1" x14ac:dyDescent="0.25"/>
    <row r="122921" customFormat="1" x14ac:dyDescent="0.25"/>
    <row r="122922" customFormat="1" x14ac:dyDescent="0.25"/>
    <row r="122923" customFormat="1" x14ac:dyDescent="0.25"/>
    <row r="122924" customFormat="1" x14ac:dyDescent="0.25"/>
    <row r="122925" customFormat="1" x14ac:dyDescent="0.25"/>
    <row r="122926" customFormat="1" x14ac:dyDescent="0.25"/>
    <row r="122927" customFormat="1" x14ac:dyDescent="0.25"/>
    <row r="122928" customFormat="1" x14ac:dyDescent="0.25"/>
    <row r="122929" customFormat="1" x14ac:dyDescent="0.25"/>
    <row r="122930" customFormat="1" x14ac:dyDescent="0.25"/>
    <row r="122931" customFormat="1" x14ac:dyDescent="0.25"/>
    <row r="122932" customFormat="1" x14ac:dyDescent="0.25"/>
    <row r="122933" customFormat="1" x14ac:dyDescent="0.25"/>
    <row r="122934" customFormat="1" x14ac:dyDescent="0.25"/>
    <row r="122935" customFormat="1" x14ac:dyDescent="0.25"/>
    <row r="122936" customFormat="1" x14ac:dyDescent="0.25"/>
    <row r="122937" customFormat="1" x14ac:dyDescent="0.25"/>
    <row r="122938" customFormat="1" x14ac:dyDescent="0.25"/>
    <row r="122939" customFormat="1" x14ac:dyDescent="0.25"/>
    <row r="122940" customFormat="1" x14ac:dyDescent="0.25"/>
    <row r="122941" customFormat="1" x14ac:dyDescent="0.25"/>
    <row r="122942" customFormat="1" x14ac:dyDescent="0.25"/>
    <row r="122943" customFormat="1" x14ac:dyDescent="0.25"/>
    <row r="122944" customFormat="1" x14ac:dyDescent="0.25"/>
    <row r="122945" customFormat="1" x14ac:dyDescent="0.25"/>
    <row r="122946" customFormat="1" x14ac:dyDescent="0.25"/>
    <row r="122947" customFormat="1" x14ac:dyDescent="0.25"/>
    <row r="122948" customFormat="1" x14ac:dyDescent="0.25"/>
    <row r="122949" customFormat="1" x14ac:dyDescent="0.25"/>
    <row r="122950" customFormat="1" x14ac:dyDescent="0.25"/>
    <row r="122951" customFormat="1" x14ac:dyDescent="0.25"/>
    <row r="122952" customFormat="1" x14ac:dyDescent="0.25"/>
    <row r="122953" customFormat="1" x14ac:dyDescent="0.25"/>
    <row r="122954" customFormat="1" x14ac:dyDescent="0.25"/>
    <row r="122955" customFormat="1" x14ac:dyDescent="0.25"/>
    <row r="122956" customFormat="1" x14ac:dyDescent="0.25"/>
    <row r="122957" customFormat="1" x14ac:dyDescent="0.25"/>
    <row r="122958" customFormat="1" x14ac:dyDescent="0.25"/>
    <row r="122959" customFormat="1" x14ac:dyDescent="0.25"/>
    <row r="122960" customFormat="1" x14ac:dyDescent="0.25"/>
    <row r="122961" customFormat="1" x14ac:dyDescent="0.25"/>
    <row r="122962" customFormat="1" x14ac:dyDescent="0.25"/>
    <row r="122963" customFormat="1" x14ac:dyDescent="0.25"/>
    <row r="122964" customFormat="1" x14ac:dyDescent="0.25"/>
    <row r="122965" customFormat="1" x14ac:dyDescent="0.25"/>
    <row r="122966" customFormat="1" x14ac:dyDescent="0.25"/>
    <row r="122967" customFormat="1" x14ac:dyDescent="0.25"/>
    <row r="122968" customFormat="1" x14ac:dyDescent="0.25"/>
    <row r="122969" customFormat="1" x14ac:dyDescent="0.25"/>
    <row r="122970" customFormat="1" x14ac:dyDescent="0.25"/>
    <row r="122971" customFormat="1" x14ac:dyDescent="0.25"/>
    <row r="122972" customFormat="1" x14ac:dyDescent="0.25"/>
    <row r="122973" customFormat="1" x14ac:dyDescent="0.25"/>
    <row r="122974" customFormat="1" x14ac:dyDescent="0.25"/>
    <row r="122975" customFormat="1" x14ac:dyDescent="0.25"/>
    <row r="122976" customFormat="1" x14ac:dyDescent="0.25"/>
    <row r="122977" customFormat="1" x14ac:dyDescent="0.25"/>
    <row r="122978" customFormat="1" x14ac:dyDescent="0.25"/>
    <row r="122979" customFormat="1" x14ac:dyDescent="0.25"/>
    <row r="122980" customFormat="1" x14ac:dyDescent="0.25"/>
    <row r="122981" customFormat="1" x14ac:dyDescent="0.25"/>
    <row r="122982" customFormat="1" x14ac:dyDescent="0.25"/>
    <row r="122983" customFormat="1" x14ac:dyDescent="0.25"/>
    <row r="122984" customFormat="1" x14ac:dyDescent="0.25"/>
    <row r="122985" customFormat="1" x14ac:dyDescent="0.25"/>
    <row r="122986" customFormat="1" x14ac:dyDescent="0.25"/>
    <row r="122987" customFormat="1" x14ac:dyDescent="0.25"/>
    <row r="122988" customFormat="1" x14ac:dyDescent="0.25"/>
    <row r="122989" customFormat="1" x14ac:dyDescent="0.25"/>
    <row r="122990" customFormat="1" x14ac:dyDescent="0.25"/>
    <row r="122991" customFormat="1" x14ac:dyDescent="0.25"/>
    <row r="122992" customFormat="1" x14ac:dyDescent="0.25"/>
    <row r="122993" customFormat="1" x14ac:dyDescent="0.25"/>
    <row r="122994" customFormat="1" x14ac:dyDescent="0.25"/>
    <row r="122995" customFormat="1" x14ac:dyDescent="0.25"/>
    <row r="122996" customFormat="1" x14ac:dyDescent="0.25"/>
    <row r="122997" customFormat="1" x14ac:dyDescent="0.25"/>
    <row r="122998" customFormat="1" x14ac:dyDescent="0.25"/>
    <row r="122999" customFormat="1" x14ac:dyDescent="0.25"/>
    <row r="123000" customFormat="1" x14ac:dyDescent="0.25"/>
    <row r="123001" customFormat="1" x14ac:dyDescent="0.25"/>
    <row r="123002" customFormat="1" x14ac:dyDescent="0.25"/>
    <row r="123003" customFormat="1" x14ac:dyDescent="0.25"/>
    <row r="123004" customFormat="1" x14ac:dyDescent="0.25"/>
    <row r="123005" customFormat="1" x14ac:dyDescent="0.25"/>
    <row r="123006" customFormat="1" x14ac:dyDescent="0.25"/>
    <row r="123007" customFormat="1" x14ac:dyDescent="0.25"/>
    <row r="123008" customFormat="1" x14ac:dyDescent="0.25"/>
    <row r="123009" customFormat="1" x14ac:dyDescent="0.25"/>
    <row r="123010" customFormat="1" x14ac:dyDescent="0.25"/>
    <row r="123011" customFormat="1" x14ac:dyDescent="0.25"/>
    <row r="123012" customFormat="1" x14ac:dyDescent="0.25"/>
    <row r="123013" customFormat="1" x14ac:dyDescent="0.25"/>
    <row r="123014" customFormat="1" x14ac:dyDescent="0.25"/>
    <row r="123015" customFormat="1" x14ac:dyDescent="0.25"/>
    <row r="123016" customFormat="1" x14ac:dyDescent="0.25"/>
    <row r="123017" customFormat="1" x14ac:dyDescent="0.25"/>
    <row r="123018" customFormat="1" x14ac:dyDescent="0.25"/>
    <row r="123019" customFormat="1" x14ac:dyDescent="0.25"/>
    <row r="123020" customFormat="1" x14ac:dyDescent="0.25"/>
    <row r="123021" customFormat="1" x14ac:dyDescent="0.25"/>
    <row r="123022" customFormat="1" x14ac:dyDescent="0.25"/>
    <row r="123023" customFormat="1" x14ac:dyDescent="0.25"/>
    <row r="123024" customFormat="1" x14ac:dyDescent="0.25"/>
    <row r="123025" customFormat="1" x14ac:dyDescent="0.25"/>
    <row r="123026" customFormat="1" x14ac:dyDescent="0.25"/>
    <row r="123027" customFormat="1" x14ac:dyDescent="0.25"/>
    <row r="123028" customFormat="1" x14ac:dyDescent="0.25"/>
    <row r="123029" customFormat="1" x14ac:dyDescent="0.25"/>
    <row r="123030" customFormat="1" x14ac:dyDescent="0.25"/>
    <row r="123031" customFormat="1" x14ac:dyDescent="0.25"/>
    <row r="123032" customFormat="1" x14ac:dyDescent="0.25"/>
    <row r="123033" customFormat="1" x14ac:dyDescent="0.25"/>
    <row r="123034" customFormat="1" x14ac:dyDescent="0.25"/>
    <row r="123035" customFormat="1" x14ac:dyDescent="0.25"/>
    <row r="123036" customFormat="1" x14ac:dyDescent="0.25"/>
    <row r="123037" customFormat="1" x14ac:dyDescent="0.25"/>
    <row r="123038" customFormat="1" x14ac:dyDescent="0.25"/>
    <row r="123039" customFormat="1" x14ac:dyDescent="0.25"/>
    <row r="123040" customFormat="1" x14ac:dyDescent="0.25"/>
    <row r="123041" customFormat="1" x14ac:dyDescent="0.25"/>
    <row r="123042" customFormat="1" x14ac:dyDescent="0.25"/>
    <row r="123043" customFormat="1" x14ac:dyDescent="0.25"/>
    <row r="123044" customFormat="1" x14ac:dyDescent="0.25"/>
    <row r="123045" customFormat="1" x14ac:dyDescent="0.25"/>
    <row r="123046" customFormat="1" x14ac:dyDescent="0.25"/>
    <row r="123047" customFormat="1" x14ac:dyDescent="0.25"/>
    <row r="123048" customFormat="1" x14ac:dyDescent="0.25"/>
    <row r="123049" customFormat="1" x14ac:dyDescent="0.25"/>
    <row r="123050" customFormat="1" x14ac:dyDescent="0.25"/>
    <row r="123051" customFormat="1" x14ac:dyDescent="0.25"/>
    <row r="123052" customFormat="1" x14ac:dyDescent="0.25"/>
    <row r="123053" customFormat="1" x14ac:dyDescent="0.25"/>
    <row r="123054" customFormat="1" x14ac:dyDescent="0.25"/>
    <row r="123055" customFormat="1" x14ac:dyDescent="0.25"/>
    <row r="123056" customFormat="1" x14ac:dyDescent="0.25"/>
    <row r="123057" customFormat="1" x14ac:dyDescent="0.25"/>
    <row r="123058" customFormat="1" x14ac:dyDescent="0.25"/>
    <row r="123059" customFormat="1" x14ac:dyDescent="0.25"/>
    <row r="123060" customFormat="1" x14ac:dyDescent="0.25"/>
    <row r="123061" customFormat="1" x14ac:dyDescent="0.25"/>
    <row r="123062" customFormat="1" x14ac:dyDescent="0.25"/>
    <row r="123063" customFormat="1" x14ac:dyDescent="0.25"/>
    <row r="123064" customFormat="1" x14ac:dyDescent="0.25"/>
    <row r="123065" customFormat="1" x14ac:dyDescent="0.25"/>
    <row r="123066" customFormat="1" x14ac:dyDescent="0.25"/>
    <row r="123067" customFormat="1" x14ac:dyDescent="0.25"/>
    <row r="123068" customFormat="1" x14ac:dyDescent="0.25"/>
    <row r="123069" customFormat="1" x14ac:dyDescent="0.25"/>
    <row r="123070" customFormat="1" x14ac:dyDescent="0.25"/>
    <row r="123071" customFormat="1" x14ac:dyDescent="0.25"/>
    <row r="123072" customFormat="1" x14ac:dyDescent="0.25"/>
    <row r="123073" customFormat="1" x14ac:dyDescent="0.25"/>
    <row r="123074" customFormat="1" x14ac:dyDescent="0.25"/>
    <row r="123075" customFormat="1" x14ac:dyDescent="0.25"/>
    <row r="123076" customFormat="1" x14ac:dyDescent="0.25"/>
    <row r="123077" customFormat="1" x14ac:dyDescent="0.25"/>
    <row r="123078" customFormat="1" x14ac:dyDescent="0.25"/>
    <row r="123079" customFormat="1" x14ac:dyDescent="0.25"/>
    <row r="123080" customFormat="1" x14ac:dyDescent="0.25"/>
    <row r="123081" customFormat="1" x14ac:dyDescent="0.25"/>
    <row r="123082" customFormat="1" x14ac:dyDescent="0.25"/>
    <row r="123083" customFormat="1" x14ac:dyDescent="0.25"/>
    <row r="123084" customFormat="1" x14ac:dyDescent="0.25"/>
    <row r="123085" customFormat="1" x14ac:dyDescent="0.25"/>
    <row r="123086" customFormat="1" x14ac:dyDescent="0.25"/>
    <row r="123087" customFormat="1" x14ac:dyDescent="0.25"/>
    <row r="123088" customFormat="1" x14ac:dyDescent="0.25"/>
    <row r="123089" customFormat="1" x14ac:dyDescent="0.25"/>
    <row r="123090" customFormat="1" x14ac:dyDescent="0.25"/>
    <row r="123091" customFormat="1" x14ac:dyDescent="0.25"/>
    <row r="123092" customFormat="1" x14ac:dyDescent="0.25"/>
    <row r="123093" customFormat="1" x14ac:dyDescent="0.25"/>
    <row r="123094" customFormat="1" x14ac:dyDescent="0.25"/>
    <row r="123095" customFormat="1" x14ac:dyDescent="0.25"/>
    <row r="123096" customFormat="1" x14ac:dyDescent="0.25"/>
    <row r="123097" customFormat="1" x14ac:dyDescent="0.25"/>
    <row r="123098" customFormat="1" x14ac:dyDescent="0.25"/>
    <row r="123099" customFormat="1" x14ac:dyDescent="0.25"/>
    <row r="123100" customFormat="1" x14ac:dyDescent="0.25"/>
    <row r="123101" customFormat="1" x14ac:dyDescent="0.25"/>
    <row r="123102" customFormat="1" x14ac:dyDescent="0.25"/>
    <row r="123103" customFormat="1" x14ac:dyDescent="0.25"/>
    <row r="123104" customFormat="1" x14ac:dyDescent="0.25"/>
    <row r="123105" customFormat="1" x14ac:dyDescent="0.25"/>
    <row r="123106" customFormat="1" x14ac:dyDescent="0.25"/>
    <row r="123107" customFormat="1" x14ac:dyDescent="0.25"/>
    <row r="123108" customFormat="1" x14ac:dyDescent="0.25"/>
    <row r="123109" customFormat="1" x14ac:dyDescent="0.25"/>
    <row r="123110" customFormat="1" x14ac:dyDescent="0.25"/>
    <row r="123111" customFormat="1" x14ac:dyDescent="0.25"/>
    <row r="123112" customFormat="1" x14ac:dyDescent="0.25"/>
    <row r="123113" customFormat="1" x14ac:dyDescent="0.25"/>
    <row r="123114" customFormat="1" x14ac:dyDescent="0.25"/>
    <row r="123115" customFormat="1" x14ac:dyDescent="0.25"/>
    <row r="123116" customFormat="1" x14ac:dyDescent="0.25"/>
    <row r="123117" customFormat="1" x14ac:dyDescent="0.25"/>
    <row r="123118" customFormat="1" x14ac:dyDescent="0.25"/>
    <row r="123119" customFormat="1" x14ac:dyDescent="0.25"/>
    <row r="123120" customFormat="1" x14ac:dyDescent="0.25"/>
    <row r="123121" customFormat="1" x14ac:dyDescent="0.25"/>
    <row r="123122" customFormat="1" x14ac:dyDescent="0.25"/>
    <row r="123123" customFormat="1" x14ac:dyDescent="0.25"/>
    <row r="123124" customFormat="1" x14ac:dyDescent="0.25"/>
    <row r="123125" customFormat="1" x14ac:dyDescent="0.25"/>
    <row r="123126" customFormat="1" x14ac:dyDescent="0.25"/>
    <row r="123127" customFormat="1" x14ac:dyDescent="0.25"/>
    <row r="123128" customFormat="1" x14ac:dyDescent="0.25"/>
    <row r="123129" customFormat="1" x14ac:dyDescent="0.25"/>
    <row r="123130" customFormat="1" x14ac:dyDescent="0.25"/>
    <row r="123131" customFormat="1" x14ac:dyDescent="0.25"/>
    <row r="123132" customFormat="1" x14ac:dyDescent="0.25"/>
    <row r="123133" customFormat="1" x14ac:dyDescent="0.25"/>
    <row r="123134" customFormat="1" x14ac:dyDescent="0.25"/>
    <row r="123135" customFormat="1" x14ac:dyDescent="0.25"/>
    <row r="123136" customFormat="1" x14ac:dyDescent="0.25"/>
    <row r="123137" customFormat="1" x14ac:dyDescent="0.25"/>
    <row r="123138" customFormat="1" x14ac:dyDescent="0.25"/>
    <row r="123139" customFormat="1" x14ac:dyDescent="0.25"/>
    <row r="123140" customFormat="1" x14ac:dyDescent="0.25"/>
    <row r="123141" customFormat="1" x14ac:dyDescent="0.25"/>
    <row r="123142" customFormat="1" x14ac:dyDescent="0.25"/>
    <row r="123143" customFormat="1" x14ac:dyDescent="0.25"/>
    <row r="123144" customFormat="1" x14ac:dyDescent="0.25"/>
    <row r="123145" customFormat="1" x14ac:dyDescent="0.25"/>
    <row r="123146" customFormat="1" x14ac:dyDescent="0.25"/>
    <row r="123147" customFormat="1" x14ac:dyDescent="0.25"/>
    <row r="123148" customFormat="1" x14ac:dyDescent="0.25"/>
    <row r="123149" customFormat="1" x14ac:dyDescent="0.25"/>
    <row r="123150" customFormat="1" x14ac:dyDescent="0.25"/>
    <row r="123151" customFormat="1" x14ac:dyDescent="0.25"/>
    <row r="123152" customFormat="1" x14ac:dyDescent="0.25"/>
    <row r="123153" customFormat="1" x14ac:dyDescent="0.25"/>
    <row r="123154" customFormat="1" x14ac:dyDescent="0.25"/>
    <row r="123155" customFormat="1" x14ac:dyDescent="0.25"/>
    <row r="123156" customFormat="1" x14ac:dyDescent="0.25"/>
    <row r="123157" customFormat="1" x14ac:dyDescent="0.25"/>
    <row r="123158" customFormat="1" x14ac:dyDescent="0.25"/>
    <row r="123159" customFormat="1" x14ac:dyDescent="0.25"/>
    <row r="123160" customFormat="1" x14ac:dyDescent="0.25"/>
    <row r="123161" customFormat="1" x14ac:dyDescent="0.25"/>
    <row r="123162" customFormat="1" x14ac:dyDescent="0.25"/>
    <row r="123163" customFormat="1" x14ac:dyDescent="0.25"/>
    <row r="123164" customFormat="1" x14ac:dyDescent="0.25"/>
    <row r="123165" customFormat="1" x14ac:dyDescent="0.25"/>
    <row r="123166" customFormat="1" x14ac:dyDescent="0.25"/>
    <row r="123167" customFormat="1" x14ac:dyDescent="0.25"/>
    <row r="123168" customFormat="1" x14ac:dyDescent="0.25"/>
    <row r="123169" customFormat="1" x14ac:dyDescent="0.25"/>
    <row r="123170" customFormat="1" x14ac:dyDescent="0.25"/>
    <row r="123171" customFormat="1" x14ac:dyDescent="0.25"/>
    <row r="123172" customFormat="1" x14ac:dyDescent="0.25"/>
    <row r="123173" customFormat="1" x14ac:dyDescent="0.25"/>
    <row r="123174" customFormat="1" x14ac:dyDescent="0.25"/>
    <row r="123175" customFormat="1" x14ac:dyDescent="0.25"/>
    <row r="123176" customFormat="1" x14ac:dyDescent="0.25"/>
    <row r="123177" customFormat="1" x14ac:dyDescent="0.25"/>
    <row r="123178" customFormat="1" x14ac:dyDescent="0.25"/>
    <row r="123179" customFormat="1" x14ac:dyDescent="0.25"/>
    <row r="123180" customFormat="1" x14ac:dyDescent="0.25"/>
    <row r="123181" customFormat="1" x14ac:dyDescent="0.25"/>
    <row r="123182" customFormat="1" x14ac:dyDescent="0.25"/>
    <row r="123183" customFormat="1" x14ac:dyDescent="0.25"/>
    <row r="123184" customFormat="1" x14ac:dyDescent="0.25"/>
    <row r="123185" customFormat="1" x14ac:dyDescent="0.25"/>
    <row r="123186" customFormat="1" x14ac:dyDescent="0.25"/>
    <row r="123187" customFormat="1" x14ac:dyDescent="0.25"/>
    <row r="123188" customFormat="1" x14ac:dyDescent="0.25"/>
    <row r="123189" customFormat="1" x14ac:dyDescent="0.25"/>
    <row r="123190" customFormat="1" x14ac:dyDescent="0.25"/>
    <row r="123191" customFormat="1" x14ac:dyDescent="0.25"/>
    <row r="123192" customFormat="1" x14ac:dyDescent="0.25"/>
    <row r="123193" customFormat="1" x14ac:dyDescent="0.25"/>
    <row r="123194" customFormat="1" x14ac:dyDescent="0.25"/>
    <row r="123195" customFormat="1" x14ac:dyDescent="0.25"/>
    <row r="123196" customFormat="1" x14ac:dyDescent="0.25"/>
    <row r="123197" customFormat="1" x14ac:dyDescent="0.25"/>
    <row r="123198" customFormat="1" x14ac:dyDescent="0.25"/>
    <row r="123199" customFormat="1" x14ac:dyDescent="0.25"/>
    <row r="123200" customFormat="1" x14ac:dyDescent="0.25"/>
    <row r="123201" customFormat="1" x14ac:dyDescent="0.25"/>
    <row r="123202" customFormat="1" x14ac:dyDescent="0.25"/>
    <row r="123203" customFormat="1" x14ac:dyDescent="0.25"/>
    <row r="123204" customFormat="1" x14ac:dyDescent="0.25"/>
    <row r="123205" customFormat="1" x14ac:dyDescent="0.25"/>
    <row r="123206" customFormat="1" x14ac:dyDescent="0.25"/>
    <row r="123207" customFormat="1" x14ac:dyDescent="0.25"/>
    <row r="123208" customFormat="1" x14ac:dyDescent="0.25"/>
    <row r="123209" customFormat="1" x14ac:dyDescent="0.25"/>
    <row r="123210" customFormat="1" x14ac:dyDescent="0.25"/>
    <row r="123211" customFormat="1" x14ac:dyDescent="0.25"/>
    <row r="123212" customFormat="1" x14ac:dyDescent="0.25"/>
    <row r="123213" customFormat="1" x14ac:dyDescent="0.25"/>
    <row r="123214" customFormat="1" x14ac:dyDescent="0.25"/>
    <row r="123215" customFormat="1" x14ac:dyDescent="0.25"/>
    <row r="123216" customFormat="1" x14ac:dyDescent="0.25"/>
    <row r="123217" customFormat="1" x14ac:dyDescent="0.25"/>
    <row r="123218" customFormat="1" x14ac:dyDescent="0.25"/>
    <row r="123219" customFormat="1" x14ac:dyDescent="0.25"/>
    <row r="123220" customFormat="1" x14ac:dyDescent="0.25"/>
    <row r="123221" customFormat="1" x14ac:dyDescent="0.25"/>
    <row r="123222" customFormat="1" x14ac:dyDescent="0.25"/>
    <row r="123223" customFormat="1" x14ac:dyDescent="0.25"/>
    <row r="123224" customFormat="1" x14ac:dyDescent="0.25"/>
    <row r="123225" customFormat="1" x14ac:dyDescent="0.25"/>
    <row r="123226" customFormat="1" x14ac:dyDescent="0.25"/>
    <row r="123227" customFormat="1" x14ac:dyDescent="0.25"/>
    <row r="123228" customFormat="1" x14ac:dyDescent="0.25"/>
    <row r="123229" customFormat="1" x14ac:dyDescent="0.25"/>
    <row r="123230" customFormat="1" x14ac:dyDescent="0.25"/>
    <row r="123231" customFormat="1" x14ac:dyDescent="0.25"/>
    <row r="123232" customFormat="1" x14ac:dyDescent="0.25"/>
    <row r="123233" customFormat="1" x14ac:dyDescent="0.25"/>
    <row r="123234" customFormat="1" x14ac:dyDescent="0.25"/>
    <row r="123235" customFormat="1" x14ac:dyDescent="0.25"/>
    <row r="123236" customFormat="1" x14ac:dyDescent="0.25"/>
    <row r="123237" customFormat="1" x14ac:dyDescent="0.25"/>
    <row r="123238" customFormat="1" x14ac:dyDescent="0.25"/>
    <row r="123239" customFormat="1" x14ac:dyDescent="0.25"/>
    <row r="123240" customFormat="1" x14ac:dyDescent="0.25"/>
    <row r="123241" customFormat="1" x14ac:dyDescent="0.25"/>
    <row r="123242" customFormat="1" x14ac:dyDescent="0.25"/>
    <row r="123243" customFormat="1" x14ac:dyDescent="0.25"/>
    <row r="123244" customFormat="1" x14ac:dyDescent="0.25"/>
    <row r="123245" customFormat="1" x14ac:dyDescent="0.25"/>
    <row r="123246" customFormat="1" x14ac:dyDescent="0.25"/>
    <row r="123247" customFormat="1" x14ac:dyDescent="0.25"/>
    <row r="123248" customFormat="1" x14ac:dyDescent="0.25"/>
    <row r="123249" customFormat="1" x14ac:dyDescent="0.25"/>
    <row r="123250" customFormat="1" x14ac:dyDescent="0.25"/>
    <row r="123251" customFormat="1" x14ac:dyDescent="0.25"/>
    <row r="123252" customFormat="1" x14ac:dyDescent="0.25"/>
    <row r="123253" customFormat="1" x14ac:dyDescent="0.25"/>
    <row r="123254" customFormat="1" x14ac:dyDescent="0.25"/>
    <row r="123255" customFormat="1" x14ac:dyDescent="0.25"/>
    <row r="123256" customFormat="1" x14ac:dyDescent="0.25"/>
    <row r="123257" customFormat="1" x14ac:dyDescent="0.25"/>
    <row r="123258" customFormat="1" x14ac:dyDescent="0.25"/>
    <row r="123259" customFormat="1" x14ac:dyDescent="0.25"/>
    <row r="123260" customFormat="1" x14ac:dyDescent="0.25"/>
    <row r="123261" customFormat="1" x14ac:dyDescent="0.25"/>
    <row r="123262" customFormat="1" x14ac:dyDescent="0.25"/>
    <row r="123263" customFormat="1" x14ac:dyDescent="0.25"/>
    <row r="123264" customFormat="1" x14ac:dyDescent="0.25"/>
    <row r="123265" customFormat="1" x14ac:dyDescent="0.25"/>
    <row r="123266" customFormat="1" x14ac:dyDescent="0.25"/>
    <row r="123267" customFormat="1" x14ac:dyDescent="0.25"/>
    <row r="123268" customFormat="1" x14ac:dyDescent="0.25"/>
    <row r="123269" customFormat="1" x14ac:dyDescent="0.25"/>
    <row r="123270" customFormat="1" x14ac:dyDescent="0.25"/>
    <row r="123271" customFormat="1" x14ac:dyDescent="0.25"/>
    <row r="123272" customFormat="1" x14ac:dyDescent="0.25"/>
    <row r="123273" customFormat="1" x14ac:dyDescent="0.25"/>
    <row r="123274" customFormat="1" x14ac:dyDescent="0.25"/>
    <row r="123275" customFormat="1" x14ac:dyDescent="0.25"/>
    <row r="123276" customFormat="1" x14ac:dyDescent="0.25"/>
    <row r="123277" customFormat="1" x14ac:dyDescent="0.25"/>
    <row r="123278" customFormat="1" x14ac:dyDescent="0.25"/>
    <row r="123279" customFormat="1" x14ac:dyDescent="0.25"/>
    <row r="123280" customFormat="1" x14ac:dyDescent="0.25"/>
    <row r="123281" customFormat="1" x14ac:dyDescent="0.25"/>
    <row r="123282" customFormat="1" x14ac:dyDescent="0.25"/>
    <row r="123283" customFormat="1" x14ac:dyDescent="0.25"/>
    <row r="123284" customFormat="1" x14ac:dyDescent="0.25"/>
    <row r="123285" customFormat="1" x14ac:dyDescent="0.25"/>
    <row r="123286" customFormat="1" x14ac:dyDescent="0.25"/>
    <row r="123287" customFormat="1" x14ac:dyDescent="0.25"/>
    <row r="123288" customFormat="1" x14ac:dyDescent="0.25"/>
    <row r="123289" customFormat="1" x14ac:dyDescent="0.25"/>
    <row r="123290" customFormat="1" x14ac:dyDescent="0.25"/>
    <row r="123291" customFormat="1" x14ac:dyDescent="0.25"/>
    <row r="123292" customFormat="1" x14ac:dyDescent="0.25"/>
    <row r="123293" customFormat="1" x14ac:dyDescent="0.25"/>
    <row r="123294" customFormat="1" x14ac:dyDescent="0.25"/>
    <row r="123295" customFormat="1" x14ac:dyDescent="0.25"/>
    <row r="123296" customFormat="1" x14ac:dyDescent="0.25"/>
    <row r="123297" customFormat="1" x14ac:dyDescent="0.25"/>
    <row r="123298" customFormat="1" x14ac:dyDescent="0.25"/>
    <row r="123299" customFormat="1" x14ac:dyDescent="0.25"/>
    <row r="123300" customFormat="1" x14ac:dyDescent="0.25"/>
    <row r="123301" customFormat="1" x14ac:dyDescent="0.25"/>
    <row r="123302" customFormat="1" x14ac:dyDescent="0.25"/>
    <row r="123303" customFormat="1" x14ac:dyDescent="0.25"/>
    <row r="123304" customFormat="1" x14ac:dyDescent="0.25"/>
    <row r="123305" customFormat="1" x14ac:dyDescent="0.25"/>
    <row r="123306" customFormat="1" x14ac:dyDescent="0.25"/>
    <row r="123307" customFormat="1" x14ac:dyDescent="0.25"/>
    <row r="123308" customFormat="1" x14ac:dyDescent="0.25"/>
    <row r="123309" customFormat="1" x14ac:dyDescent="0.25"/>
    <row r="123310" customFormat="1" x14ac:dyDescent="0.25"/>
    <row r="123311" customFormat="1" x14ac:dyDescent="0.25"/>
    <row r="123312" customFormat="1" x14ac:dyDescent="0.25"/>
    <row r="123313" customFormat="1" x14ac:dyDescent="0.25"/>
    <row r="123314" customFormat="1" x14ac:dyDescent="0.25"/>
    <row r="123315" customFormat="1" x14ac:dyDescent="0.25"/>
    <row r="123316" customFormat="1" x14ac:dyDescent="0.25"/>
    <row r="123317" customFormat="1" x14ac:dyDescent="0.25"/>
    <row r="123318" customFormat="1" x14ac:dyDescent="0.25"/>
    <row r="123319" customFormat="1" x14ac:dyDescent="0.25"/>
    <row r="123320" customFormat="1" x14ac:dyDescent="0.25"/>
    <row r="123321" customFormat="1" x14ac:dyDescent="0.25"/>
    <row r="123322" customFormat="1" x14ac:dyDescent="0.25"/>
    <row r="123323" customFormat="1" x14ac:dyDescent="0.25"/>
    <row r="123324" customFormat="1" x14ac:dyDescent="0.25"/>
    <row r="123325" customFormat="1" x14ac:dyDescent="0.25"/>
    <row r="123326" customFormat="1" x14ac:dyDescent="0.25"/>
    <row r="123327" customFormat="1" x14ac:dyDescent="0.25"/>
    <row r="123328" customFormat="1" x14ac:dyDescent="0.25"/>
    <row r="123329" customFormat="1" x14ac:dyDescent="0.25"/>
    <row r="123330" customFormat="1" x14ac:dyDescent="0.25"/>
    <row r="123331" customFormat="1" x14ac:dyDescent="0.25"/>
    <row r="123332" customFormat="1" x14ac:dyDescent="0.25"/>
    <row r="123333" customFormat="1" x14ac:dyDescent="0.25"/>
    <row r="123334" customFormat="1" x14ac:dyDescent="0.25"/>
    <row r="123335" customFormat="1" x14ac:dyDescent="0.25"/>
    <row r="123336" customFormat="1" x14ac:dyDescent="0.25"/>
    <row r="123337" customFormat="1" x14ac:dyDescent="0.25"/>
    <row r="123338" customFormat="1" x14ac:dyDescent="0.25"/>
    <row r="123339" customFormat="1" x14ac:dyDescent="0.25"/>
    <row r="123340" customFormat="1" x14ac:dyDescent="0.25"/>
    <row r="123341" customFormat="1" x14ac:dyDescent="0.25"/>
    <row r="123342" customFormat="1" x14ac:dyDescent="0.25"/>
    <row r="123343" customFormat="1" x14ac:dyDescent="0.25"/>
    <row r="123344" customFormat="1" x14ac:dyDescent="0.25"/>
    <row r="123345" customFormat="1" x14ac:dyDescent="0.25"/>
    <row r="123346" customFormat="1" x14ac:dyDescent="0.25"/>
    <row r="123347" customFormat="1" x14ac:dyDescent="0.25"/>
    <row r="123348" customFormat="1" x14ac:dyDescent="0.25"/>
    <row r="123349" customFormat="1" x14ac:dyDescent="0.25"/>
    <row r="123350" customFormat="1" x14ac:dyDescent="0.25"/>
    <row r="123351" customFormat="1" x14ac:dyDescent="0.25"/>
    <row r="123352" customFormat="1" x14ac:dyDescent="0.25"/>
    <row r="123353" customFormat="1" x14ac:dyDescent="0.25"/>
    <row r="123354" customFormat="1" x14ac:dyDescent="0.25"/>
    <row r="123355" customFormat="1" x14ac:dyDescent="0.25"/>
    <row r="123356" customFormat="1" x14ac:dyDescent="0.25"/>
    <row r="123357" customFormat="1" x14ac:dyDescent="0.25"/>
    <row r="123358" customFormat="1" x14ac:dyDescent="0.25"/>
    <row r="123359" customFormat="1" x14ac:dyDescent="0.25"/>
    <row r="123360" customFormat="1" x14ac:dyDescent="0.25"/>
    <row r="123361" customFormat="1" x14ac:dyDescent="0.25"/>
    <row r="123362" customFormat="1" x14ac:dyDescent="0.25"/>
    <row r="123363" customFormat="1" x14ac:dyDescent="0.25"/>
    <row r="123364" customFormat="1" x14ac:dyDescent="0.25"/>
    <row r="123365" customFormat="1" x14ac:dyDescent="0.25"/>
    <row r="123366" customFormat="1" x14ac:dyDescent="0.25"/>
    <row r="123367" customFormat="1" x14ac:dyDescent="0.25"/>
    <row r="123368" customFormat="1" x14ac:dyDescent="0.25"/>
    <row r="123369" customFormat="1" x14ac:dyDescent="0.25"/>
    <row r="123370" customFormat="1" x14ac:dyDescent="0.25"/>
    <row r="123371" customFormat="1" x14ac:dyDescent="0.25"/>
    <row r="123372" customFormat="1" x14ac:dyDescent="0.25"/>
    <row r="123373" customFormat="1" x14ac:dyDescent="0.25"/>
    <row r="123374" customFormat="1" x14ac:dyDescent="0.25"/>
    <row r="123375" customFormat="1" x14ac:dyDescent="0.25"/>
    <row r="123376" customFormat="1" x14ac:dyDescent="0.25"/>
    <row r="123377" customFormat="1" x14ac:dyDescent="0.25"/>
    <row r="123378" customFormat="1" x14ac:dyDescent="0.25"/>
    <row r="123379" customFormat="1" x14ac:dyDescent="0.25"/>
    <row r="123380" customFormat="1" x14ac:dyDescent="0.25"/>
    <row r="123381" customFormat="1" x14ac:dyDescent="0.25"/>
    <row r="123382" customFormat="1" x14ac:dyDescent="0.25"/>
    <row r="123383" customFormat="1" x14ac:dyDescent="0.25"/>
    <row r="123384" customFormat="1" x14ac:dyDescent="0.25"/>
    <row r="123385" customFormat="1" x14ac:dyDescent="0.25"/>
    <row r="123386" customFormat="1" x14ac:dyDescent="0.25"/>
    <row r="123387" customFormat="1" x14ac:dyDescent="0.25"/>
    <row r="123388" customFormat="1" x14ac:dyDescent="0.25"/>
    <row r="123389" customFormat="1" x14ac:dyDescent="0.25"/>
    <row r="123390" customFormat="1" x14ac:dyDescent="0.25"/>
    <row r="123391" customFormat="1" x14ac:dyDescent="0.25"/>
    <row r="123392" customFormat="1" x14ac:dyDescent="0.25"/>
    <row r="123393" customFormat="1" x14ac:dyDescent="0.25"/>
    <row r="123394" customFormat="1" x14ac:dyDescent="0.25"/>
    <row r="123395" customFormat="1" x14ac:dyDescent="0.25"/>
    <row r="123396" customFormat="1" x14ac:dyDescent="0.25"/>
    <row r="123397" customFormat="1" x14ac:dyDescent="0.25"/>
    <row r="123398" customFormat="1" x14ac:dyDescent="0.25"/>
    <row r="123399" customFormat="1" x14ac:dyDescent="0.25"/>
    <row r="123400" customFormat="1" x14ac:dyDescent="0.25"/>
    <row r="123401" customFormat="1" x14ac:dyDescent="0.25"/>
    <row r="123402" customFormat="1" x14ac:dyDescent="0.25"/>
    <row r="123403" customFormat="1" x14ac:dyDescent="0.25"/>
    <row r="123404" customFormat="1" x14ac:dyDescent="0.25"/>
    <row r="123405" customFormat="1" x14ac:dyDescent="0.25"/>
    <row r="123406" customFormat="1" x14ac:dyDescent="0.25"/>
    <row r="123407" customFormat="1" x14ac:dyDescent="0.25"/>
    <row r="123408" customFormat="1" x14ac:dyDescent="0.25"/>
    <row r="123409" customFormat="1" x14ac:dyDescent="0.25"/>
    <row r="123410" customFormat="1" x14ac:dyDescent="0.25"/>
    <row r="123411" customFormat="1" x14ac:dyDescent="0.25"/>
    <row r="123412" customFormat="1" x14ac:dyDescent="0.25"/>
    <row r="123413" customFormat="1" x14ac:dyDescent="0.25"/>
    <row r="123414" customFormat="1" x14ac:dyDescent="0.25"/>
    <row r="123415" customFormat="1" x14ac:dyDescent="0.25"/>
    <row r="123416" customFormat="1" x14ac:dyDescent="0.25"/>
    <row r="123417" customFormat="1" x14ac:dyDescent="0.25"/>
    <row r="123418" customFormat="1" x14ac:dyDescent="0.25"/>
    <row r="123419" customFormat="1" x14ac:dyDescent="0.25"/>
    <row r="123420" customFormat="1" x14ac:dyDescent="0.25"/>
    <row r="123421" customFormat="1" x14ac:dyDescent="0.25"/>
    <row r="123422" customFormat="1" x14ac:dyDescent="0.25"/>
    <row r="123423" customFormat="1" x14ac:dyDescent="0.25"/>
    <row r="123424" customFormat="1" x14ac:dyDescent="0.25"/>
    <row r="123425" customFormat="1" x14ac:dyDescent="0.25"/>
    <row r="123426" customFormat="1" x14ac:dyDescent="0.25"/>
    <row r="123427" customFormat="1" x14ac:dyDescent="0.25"/>
    <row r="123428" customFormat="1" x14ac:dyDescent="0.25"/>
    <row r="123429" customFormat="1" x14ac:dyDescent="0.25"/>
    <row r="123430" customFormat="1" x14ac:dyDescent="0.25"/>
    <row r="123431" customFormat="1" x14ac:dyDescent="0.25"/>
    <row r="123432" customFormat="1" x14ac:dyDescent="0.25"/>
    <row r="123433" customFormat="1" x14ac:dyDescent="0.25"/>
    <row r="123434" customFormat="1" x14ac:dyDescent="0.25"/>
    <row r="123435" customFormat="1" x14ac:dyDescent="0.25"/>
    <row r="123436" customFormat="1" x14ac:dyDescent="0.25"/>
    <row r="123437" customFormat="1" x14ac:dyDescent="0.25"/>
    <row r="123438" customFormat="1" x14ac:dyDescent="0.25"/>
    <row r="123439" customFormat="1" x14ac:dyDescent="0.25"/>
    <row r="123440" customFormat="1" x14ac:dyDescent="0.25"/>
    <row r="123441" customFormat="1" x14ac:dyDescent="0.25"/>
    <row r="123442" customFormat="1" x14ac:dyDescent="0.25"/>
    <row r="123443" customFormat="1" x14ac:dyDescent="0.25"/>
    <row r="123444" customFormat="1" x14ac:dyDescent="0.25"/>
    <row r="123445" customFormat="1" x14ac:dyDescent="0.25"/>
    <row r="123446" customFormat="1" x14ac:dyDescent="0.25"/>
    <row r="123447" customFormat="1" x14ac:dyDescent="0.25"/>
    <row r="123448" customFormat="1" x14ac:dyDescent="0.25"/>
    <row r="123449" customFormat="1" x14ac:dyDescent="0.25"/>
    <row r="123450" customFormat="1" x14ac:dyDescent="0.25"/>
    <row r="123451" customFormat="1" x14ac:dyDescent="0.25"/>
    <row r="123452" customFormat="1" x14ac:dyDescent="0.25"/>
    <row r="123453" customFormat="1" x14ac:dyDescent="0.25"/>
    <row r="123454" customFormat="1" x14ac:dyDescent="0.25"/>
    <row r="123455" customFormat="1" x14ac:dyDescent="0.25"/>
    <row r="123456" customFormat="1" x14ac:dyDescent="0.25"/>
    <row r="123457" customFormat="1" x14ac:dyDescent="0.25"/>
    <row r="123458" customFormat="1" x14ac:dyDescent="0.25"/>
    <row r="123459" customFormat="1" x14ac:dyDescent="0.25"/>
    <row r="123460" customFormat="1" x14ac:dyDescent="0.25"/>
    <row r="123461" customFormat="1" x14ac:dyDescent="0.25"/>
    <row r="123462" customFormat="1" x14ac:dyDescent="0.25"/>
    <row r="123463" customFormat="1" x14ac:dyDescent="0.25"/>
    <row r="123464" customFormat="1" x14ac:dyDescent="0.25"/>
    <row r="123465" customFormat="1" x14ac:dyDescent="0.25"/>
    <row r="123466" customFormat="1" x14ac:dyDescent="0.25"/>
    <row r="123467" customFormat="1" x14ac:dyDescent="0.25"/>
    <row r="123468" customFormat="1" x14ac:dyDescent="0.25"/>
    <row r="123469" customFormat="1" x14ac:dyDescent="0.25"/>
    <row r="123470" customFormat="1" x14ac:dyDescent="0.25"/>
    <row r="123471" customFormat="1" x14ac:dyDescent="0.25"/>
    <row r="123472" customFormat="1" x14ac:dyDescent="0.25"/>
    <row r="123473" customFormat="1" x14ac:dyDescent="0.25"/>
    <row r="123474" customFormat="1" x14ac:dyDescent="0.25"/>
    <row r="123475" customFormat="1" x14ac:dyDescent="0.25"/>
    <row r="123476" customFormat="1" x14ac:dyDescent="0.25"/>
    <row r="123477" customFormat="1" x14ac:dyDescent="0.25"/>
    <row r="123478" customFormat="1" x14ac:dyDescent="0.25"/>
    <row r="123479" customFormat="1" x14ac:dyDescent="0.25"/>
    <row r="123480" customFormat="1" x14ac:dyDescent="0.25"/>
    <row r="123481" customFormat="1" x14ac:dyDescent="0.25"/>
    <row r="123482" customFormat="1" x14ac:dyDescent="0.25"/>
    <row r="123483" customFormat="1" x14ac:dyDescent="0.25"/>
    <row r="123484" customFormat="1" x14ac:dyDescent="0.25"/>
    <row r="123485" customFormat="1" x14ac:dyDescent="0.25"/>
    <row r="123486" customFormat="1" x14ac:dyDescent="0.25"/>
    <row r="123487" customFormat="1" x14ac:dyDescent="0.25"/>
    <row r="123488" customFormat="1" x14ac:dyDescent="0.25"/>
    <row r="123489" customFormat="1" x14ac:dyDescent="0.25"/>
    <row r="123490" customFormat="1" x14ac:dyDescent="0.25"/>
    <row r="123491" customFormat="1" x14ac:dyDescent="0.25"/>
    <row r="123492" customFormat="1" x14ac:dyDescent="0.25"/>
    <row r="123493" customFormat="1" x14ac:dyDescent="0.25"/>
    <row r="123494" customFormat="1" x14ac:dyDescent="0.25"/>
    <row r="123495" customFormat="1" x14ac:dyDescent="0.25"/>
    <row r="123496" customFormat="1" x14ac:dyDescent="0.25"/>
    <row r="123497" customFormat="1" x14ac:dyDescent="0.25"/>
    <row r="123498" customFormat="1" x14ac:dyDescent="0.25"/>
    <row r="123499" customFormat="1" x14ac:dyDescent="0.25"/>
    <row r="123500" customFormat="1" x14ac:dyDescent="0.25"/>
    <row r="123501" customFormat="1" x14ac:dyDescent="0.25"/>
    <row r="123502" customFormat="1" x14ac:dyDescent="0.25"/>
    <row r="123503" customFormat="1" x14ac:dyDescent="0.25"/>
    <row r="123504" customFormat="1" x14ac:dyDescent="0.25"/>
    <row r="123505" customFormat="1" x14ac:dyDescent="0.25"/>
    <row r="123506" customFormat="1" x14ac:dyDescent="0.25"/>
    <row r="123507" customFormat="1" x14ac:dyDescent="0.25"/>
    <row r="123508" customFormat="1" x14ac:dyDescent="0.25"/>
    <row r="123509" customFormat="1" x14ac:dyDescent="0.25"/>
    <row r="123510" customFormat="1" x14ac:dyDescent="0.25"/>
    <row r="123511" customFormat="1" x14ac:dyDescent="0.25"/>
    <row r="123512" customFormat="1" x14ac:dyDescent="0.25"/>
    <row r="123513" customFormat="1" x14ac:dyDescent="0.25"/>
    <row r="123514" customFormat="1" x14ac:dyDescent="0.25"/>
    <row r="123515" customFormat="1" x14ac:dyDescent="0.25"/>
    <row r="123516" customFormat="1" x14ac:dyDescent="0.25"/>
    <row r="123517" customFormat="1" x14ac:dyDescent="0.25"/>
    <row r="123518" customFormat="1" x14ac:dyDescent="0.25"/>
    <row r="123519" customFormat="1" x14ac:dyDescent="0.25"/>
    <row r="123520" customFormat="1" x14ac:dyDescent="0.25"/>
    <row r="123521" customFormat="1" x14ac:dyDescent="0.25"/>
    <row r="123522" customFormat="1" x14ac:dyDescent="0.25"/>
    <row r="123523" customFormat="1" x14ac:dyDescent="0.25"/>
    <row r="123524" customFormat="1" x14ac:dyDescent="0.25"/>
    <row r="123525" customFormat="1" x14ac:dyDescent="0.25"/>
    <row r="123526" customFormat="1" x14ac:dyDescent="0.25"/>
    <row r="123527" customFormat="1" x14ac:dyDescent="0.25"/>
    <row r="123528" customFormat="1" x14ac:dyDescent="0.25"/>
    <row r="123529" customFormat="1" x14ac:dyDescent="0.25"/>
    <row r="123530" customFormat="1" x14ac:dyDescent="0.25"/>
    <row r="123531" customFormat="1" x14ac:dyDescent="0.25"/>
    <row r="123532" customFormat="1" x14ac:dyDescent="0.25"/>
    <row r="123533" customFormat="1" x14ac:dyDescent="0.25"/>
    <row r="123534" customFormat="1" x14ac:dyDescent="0.25"/>
    <row r="123535" customFormat="1" x14ac:dyDescent="0.25"/>
    <row r="123536" customFormat="1" x14ac:dyDescent="0.25"/>
    <row r="123537" customFormat="1" x14ac:dyDescent="0.25"/>
    <row r="123538" customFormat="1" x14ac:dyDescent="0.25"/>
    <row r="123539" customFormat="1" x14ac:dyDescent="0.25"/>
    <row r="123540" customFormat="1" x14ac:dyDescent="0.25"/>
    <row r="123541" customFormat="1" x14ac:dyDescent="0.25"/>
    <row r="123542" customFormat="1" x14ac:dyDescent="0.25"/>
    <row r="123543" customFormat="1" x14ac:dyDescent="0.25"/>
    <row r="123544" customFormat="1" x14ac:dyDescent="0.25"/>
    <row r="123545" customFormat="1" x14ac:dyDescent="0.25"/>
    <row r="123546" customFormat="1" x14ac:dyDescent="0.25"/>
    <row r="123547" customFormat="1" x14ac:dyDescent="0.25"/>
    <row r="123548" customFormat="1" x14ac:dyDescent="0.25"/>
    <row r="123549" customFormat="1" x14ac:dyDescent="0.25"/>
    <row r="123550" customFormat="1" x14ac:dyDescent="0.25"/>
    <row r="123551" customFormat="1" x14ac:dyDescent="0.25"/>
    <row r="123552" customFormat="1" x14ac:dyDescent="0.25"/>
    <row r="123553" customFormat="1" x14ac:dyDescent="0.25"/>
    <row r="123554" customFormat="1" x14ac:dyDescent="0.25"/>
    <row r="123555" customFormat="1" x14ac:dyDescent="0.25"/>
    <row r="123556" customFormat="1" x14ac:dyDescent="0.25"/>
    <row r="123557" customFormat="1" x14ac:dyDescent="0.25"/>
    <row r="123558" customFormat="1" x14ac:dyDescent="0.25"/>
    <row r="123559" customFormat="1" x14ac:dyDescent="0.25"/>
    <row r="123560" customFormat="1" x14ac:dyDescent="0.25"/>
    <row r="123561" customFormat="1" x14ac:dyDescent="0.25"/>
    <row r="123562" customFormat="1" x14ac:dyDescent="0.25"/>
    <row r="123563" customFormat="1" x14ac:dyDescent="0.25"/>
    <row r="123564" customFormat="1" x14ac:dyDescent="0.25"/>
    <row r="123565" customFormat="1" x14ac:dyDescent="0.25"/>
    <row r="123566" customFormat="1" x14ac:dyDescent="0.25"/>
    <row r="123567" customFormat="1" x14ac:dyDescent="0.25"/>
    <row r="123568" customFormat="1" x14ac:dyDescent="0.25"/>
    <row r="123569" customFormat="1" x14ac:dyDescent="0.25"/>
    <row r="123570" customFormat="1" x14ac:dyDescent="0.25"/>
    <row r="123571" customFormat="1" x14ac:dyDescent="0.25"/>
    <row r="123572" customFormat="1" x14ac:dyDescent="0.25"/>
    <row r="123573" customFormat="1" x14ac:dyDescent="0.25"/>
    <row r="123574" customFormat="1" x14ac:dyDescent="0.25"/>
    <row r="123575" customFormat="1" x14ac:dyDescent="0.25"/>
    <row r="123576" customFormat="1" x14ac:dyDescent="0.25"/>
    <row r="123577" customFormat="1" x14ac:dyDescent="0.25"/>
    <row r="123578" customFormat="1" x14ac:dyDescent="0.25"/>
    <row r="123579" customFormat="1" x14ac:dyDescent="0.25"/>
    <row r="123580" customFormat="1" x14ac:dyDescent="0.25"/>
    <row r="123581" customFormat="1" x14ac:dyDescent="0.25"/>
    <row r="123582" customFormat="1" x14ac:dyDescent="0.25"/>
    <row r="123583" customFormat="1" x14ac:dyDescent="0.25"/>
    <row r="123584" customFormat="1" x14ac:dyDescent="0.25"/>
    <row r="123585" customFormat="1" x14ac:dyDescent="0.25"/>
    <row r="123586" customFormat="1" x14ac:dyDescent="0.25"/>
    <row r="123587" customFormat="1" x14ac:dyDescent="0.25"/>
    <row r="123588" customFormat="1" x14ac:dyDescent="0.25"/>
    <row r="123589" customFormat="1" x14ac:dyDescent="0.25"/>
    <row r="123590" customFormat="1" x14ac:dyDescent="0.25"/>
    <row r="123591" customFormat="1" x14ac:dyDescent="0.25"/>
    <row r="123592" customFormat="1" x14ac:dyDescent="0.25"/>
    <row r="123593" customFormat="1" x14ac:dyDescent="0.25"/>
    <row r="123594" customFormat="1" x14ac:dyDescent="0.25"/>
    <row r="123595" customFormat="1" x14ac:dyDescent="0.25"/>
    <row r="123596" customFormat="1" x14ac:dyDescent="0.25"/>
    <row r="123597" customFormat="1" x14ac:dyDescent="0.25"/>
    <row r="123598" customFormat="1" x14ac:dyDescent="0.25"/>
    <row r="123599" customFormat="1" x14ac:dyDescent="0.25"/>
    <row r="123600" customFormat="1" x14ac:dyDescent="0.25"/>
    <row r="123601" customFormat="1" x14ac:dyDescent="0.25"/>
    <row r="123602" customFormat="1" x14ac:dyDescent="0.25"/>
    <row r="123603" customFormat="1" x14ac:dyDescent="0.25"/>
    <row r="123604" customFormat="1" x14ac:dyDescent="0.25"/>
    <row r="123605" customFormat="1" x14ac:dyDescent="0.25"/>
    <row r="123606" customFormat="1" x14ac:dyDescent="0.25"/>
    <row r="123607" customFormat="1" x14ac:dyDescent="0.25"/>
    <row r="123608" customFormat="1" x14ac:dyDescent="0.25"/>
    <row r="123609" customFormat="1" x14ac:dyDescent="0.25"/>
    <row r="123610" customFormat="1" x14ac:dyDescent="0.25"/>
    <row r="123611" customFormat="1" x14ac:dyDescent="0.25"/>
    <row r="123612" customFormat="1" x14ac:dyDescent="0.25"/>
    <row r="123613" customFormat="1" x14ac:dyDescent="0.25"/>
    <row r="123614" customFormat="1" x14ac:dyDescent="0.25"/>
    <row r="123615" customFormat="1" x14ac:dyDescent="0.25"/>
    <row r="123616" customFormat="1" x14ac:dyDescent="0.25"/>
    <row r="123617" customFormat="1" x14ac:dyDescent="0.25"/>
    <row r="123618" customFormat="1" x14ac:dyDescent="0.25"/>
    <row r="123619" customFormat="1" x14ac:dyDescent="0.25"/>
    <row r="123620" customFormat="1" x14ac:dyDescent="0.25"/>
    <row r="123621" customFormat="1" x14ac:dyDescent="0.25"/>
    <row r="123622" customFormat="1" x14ac:dyDescent="0.25"/>
    <row r="123623" customFormat="1" x14ac:dyDescent="0.25"/>
    <row r="123624" customFormat="1" x14ac:dyDescent="0.25"/>
    <row r="123625" customFormat="1" x14ac:dyDescent="0.25"/>
    <row r="123626" customFormat="1" x14ac:dyDescent="0.25"/>
    <row r="123627" customFormat="1" x14ac:dyDescent="0.25"/>
    <row r="123628" customFormat="1" x14ac:dyDescent="0.25"/>
    <row r="123629" customFormat="1" x14ac:dyDescent="0.25"/>
    <row r="123630" customFormat="1" x14ac:dyDescent="0.25"/>
    <row r="123631" customFormat="1" x14ac:dyDescent="0.25"/>
    <row r="123632" customFormat="1" x14ac:dyDescent="0.25"/>
    <row r="123633" customFormat="1" x14ac:dyDescent="0.25"/>
    <row r="123634" customFormat="1" x14ac:dyDescent="0.25"/>
    <row r="123635" customFormat="1" x14ac:dyDescent="0.25"/>
    <row r="123636" customFormat="1" x14ac:dyDescent="0.25"/>
    <row r="123637" customFormat="1" x14ac:dyDescent="0.25"/>
    <row r="123638" customFormat="1" x14ac:dyDescent="0.25"/>
    <row r="123639" customFormat="1" x14ac:dyDescent="0.25"/>
    <row r="123640" customFormat="1" x14ac:dyDescent="0.25"/>
    <row r="123641" customFormat="1" x14ac:dyDescent="0.25"/>
    <row r="123642" customFormat="1" x14ac:dyDescent="0.25"/>
    <row r="123643" customFormat="1" x14ac:dyDescent="0.25"/>
    <row r="123644" customFormat="1" x14ac:dyDescent="0.25"/>
    <row r="123645" customFormat="1" x14ac:dyDescent="0.25"/>
    <row r="123646" customFormat="1" x14ac:dyDescent="0.25"/>
    <row r="123647" customFormat="1" x14ac:dyDescent="0.25"/>
    <row r="123648" customFormat="1" x14ac:dyDescent="0.25"/>
    <row r="123649" customFormat="1" x14ac:dyDescent="0.25"/>
    <row r="123650" customFormat="1" x14ac:dyDescent="0.25"/>
    <row r="123651" customFormat="1" x14ac:dyDescent="0.25"/>
    <row r="123652" customFormat="1" x14ac:dyDescent="0.25"/>
    <row r="123653" customFormat="1" x14ac:dyDescent="0.25"/>
    <row r="123654" customFormat="1" x14ac:dyDescent="0.25"/>
    <row r="123655" customFormat="1" x14ac:dyDescent="0.25"/>
    <row r="123656" customFormat="1" x14ac:dyDescent="0.25"/>
    <row r="123657" customFormat="1" x14ac:dyDescent="0.25"/>
    <row r="123658" customFormat="1" x14ac:dyDescent="0.25"/>
    <row r="123659" customFormat="1" x14ac:dyDescent="0.25"/>
    <row r="123660" customFormat="1" x14ac:dyDescent="0.25"/>
    <row r="123661" customFormat="1" x14ac:dyDescent="0.25"/>
    <row r="123662" customFormat="1" x14ac:dyDescent="0.25"/>
    <row r="123663" customFormat="1" x14ac:dyDescent="0.25"/>
    <row r="123664" customFormat="1" x14ac:dyDescent="0.25"/>
    <row r="123665" customFormat="1" x14ac:dyDescent="0.25"/>
    <row r="123666" customFormat="1" x14ac:dyDescent="0.25"/>
    <row r="123667" customFormat="1" x14ac:dyDescent="0.25"/>
    <row r="123668" customFormat="1" x14ac:dyDescent="0.25"/>
    <row r="123669" customFormat="1" x14ac:dyDescent="0.25"/>
    <row r="123670" customFormat="1" x14ac:dyDescent="0.25"/>
    <row r="123671" customFormat="1" x14ac:dyDescent="0.25"/>
    <row r="123672" customFormat="1" x14ac:dyDescent="0.25"/>
    <row r="123673" customFormat="1" x14ac:dyDescent="0.25"/>
    <row r="123674" customFormat="1" x14ac:dyDescent="0.25"/>
    <row r="123675" customFormat="1" x14ac:dyDescent="0.25"/>
    <row r="123676" customFormat="1" x14ac:dyDescent="0.25"/>
    <row r="123677" customFormat="1" x14ac:dyDescent="0.25"/>
    <row r="123678" customFormat="1" x14ac:dyDescent="0.25"/>
    <row r="123679" customFormat="1" x14ac:dyDescent="0.25"/>
    <row r="123680" customFormat="1" x14ac:dyDescent="0.25"/>
    <row r="123681" customFormat="1" x14ac:dyDescent="0.25"/>
    <row r="123682" customFormat="1" x14ac:dyDescent="0.25"/>
    <row r="123683" customFormat="1" x14ac:dyDescent="0.25"/>
    <row r="123684" customFormat="1" x14ac:dyDescent="0.25"/>
    <row r="123685" customFormat="1" x14ac:dyDescent="0.25"/>
    <row r="123686" customFormat="1" x14ac:dyDescent="0.25"/>
    <row r="123687" customFormat="1" x14ac:dyDescent="0.25"/>
    <row r="123688" customFormat="1" x14ac:dyDescent="0.25"/>
    <row r="123689" customFormat="1" x14ac:dyDescent="0.25"/>
    <row r="123690" customFormat="1" x14ac:dyDescent="0.25"/>
    <row r="123691" customFormat="1" x14ac:dyDescent="0.25"/>
    <row r="123692" customFormat="1" x14ac:dyDescent="0.25"/>
    <row r="123693" customFormat="1" x14ac:dyDescent="0.25"/>
    <row r="123694" customFormat="1" x14ac:dyDescent="0.25"/>
    <row r="123695" customFormat="1" x14ac:dyDescent="0.25"/>
    <row r="123696" customFormat="1" x14ac:dyDescent="0.25"/>
    <row r="123697" customFormat="1" x14ac:dyDescent="0.25"/>
    <row r="123698" customFormat="1" x14ac:dyDescent="0.25"/>
    <row r="123699" customFormat="1" x14ac:dyDescent="0.25"/>
    <row r="123700" customFormat="1" x14ac:dyDescent="0.25"/>
    <row r="123701" customFormat="1" x14ac:dyDescent="0.25"/>
    <row r="123702" customFormat="1" x14ac:dyDescent="0.25"/>
    <row r="123703" customFormat="1" x14ac:dyDescent="0.25"/>
    <row r="123704" customFormat="1" x14ac:dyDescent="0.25"/>
    <row r="123705" customFormat="1" x14ac:dyDescent="0.25"/>
    <row r="123706" customFormat="1" x14ac:dyDescent="0.25"/>
    <row r="123707" customFormat="1" x14ac:dyDescent="0.25"/>
    <row r="123708" customFormat="1" x14ac:dyDescent="0.25"/>
    <row r="123709" customFormat="1" x14ac:dyDescent="0.25"/>
    <row r="123710" customFormat="1" x14ac:dyDescent="0.25"/>
    <row r="123711" customFormat="1" x14ac:dyDescent="0.25"/>
    <row r="123712" customFormat="1" x14ac:dyDescent="0.25"/>
    <row r="123713" customFormat="1" x14ac:dyDescent="0.25"/>
    <row r="123714" customFormat="1" x14ac:dyDescent="0.25"/>
    <row r="123715" customFormat="1" x14ac:dyDescent="0.25"/>
    <row r="123716" customFormat="1" x14ac:dyDescent="0.25"/>
    <row r="123717" customFormat="1" x14ac:dyDescent="0.25"/>
    <row r="123718" customFormat="1" x14ac:dyDescent="0.25"/>
    <row r="123719" customFormat="1" x14ac:dyDescent="0.25"/>
    <row r="123720" customFormat="1" x14ac:dyDescent="0.25"/>
    <row r="123721" customFormat="1" x14ac:dyDescent="0.25"/>
    <row r="123722" customFormat="1" x14ac:dyDescent="0.25"/>
    <row r="123723" customFormat="1" x14ac:dyDescent="0.25"/>
    <row r="123724" customFormat="1" x14ac:dyDescent="0.25"/>
    <row r="123725" customFormat="1" x14ac:dyDescent="0.25"/>
    <row r="123726" customFormat="1" x14ac:dyDescent="0.25"/>
    <row r="123727" customFormat="1" x14ac:dyDescent="0.25"/>
    <row r="123728" customFormat="1" x14ac:dyDescent="0.25"/>
    <row r="123729" customFormat="1" x14ac:dyDescent="0.25"/>
    <row r="123730" customFormat="1" x14ac:dyDescent="0.25"/>
    <row r="123731" customFormat="1" x14ac:dyDescent="0.25"/>
    <row r="123732" customFormat="1" x14ac:dyDescent="0.25"/>
    <row r="123733" customFormat="1" x14ac:dyDescent="0.25"/>
    <row r="123734" customFormat="1" x14ac:dyDescent="0.25"/>
    <row r="123735" customFormat="1" x14ac:dyDescent="0.25"/>
    <row r="123736" customFormat="1" x14ac:dyDescent="0.25"/>
    <row r="123737" customFormat="1" x14ac:dyDescent="0.25"/>
    <row r="123738" customFormat="1" x14ac:dyDescent="0.25"/>
    <row r="123739" customFormat="1" x14ac:dyDescent="0.25"/>
    <row r="123740" customFormat="1" x14ac:dyDescent="0.25"/>
    <row r="123741" customFormat="1" x14ac:dyDescent="0.25"/>
    <row r="123742" customFormat="1" x14ac:dyDescent="0.25"/>
    <row r="123743" customFormat="1" x14ac:dyDescent="0.25"/>
    <row r="123744" customFormat="1" x14ac:dyDescent="0.25"/>
    <row r="123745" customFormat="1" x14ac:dyDescent="0.25"/>
    <row r="123746" customFormat="1" x14ac:dyDescent="0.25"/>
    <row r="123747" customFormat="1" x14ac:dyDescent="0.25"/>
    <row r="123748" customFormat="1" x14ac:dyDescent="0.25"/>
    <row r="123749" customFormat="1" x14ac:dyDescent="0.25"/>
    <row r="123750" customFormat="1" x14ac:dyDescent="0.25"/>
    <row r="123751" customFormat="1" x14ac:dyDescent="0.25"/>
    <row r="123752" customFormat="1" x14ac:dyDescent="0.25"/>
    <row r="123753" customFormat="1" x14ac:dyDescent="0.25"/>
    <row r="123754" customFormat="1" x14ac:dyDescent="0.25"/>
    <row r="123755" customFormat="1" x14ac:dyDescent="0.25"/>
    <row r="123756" customFormat="1" x14ac:dyDescent="0.25"/>
    <row r="123757" customFormat="1" x14ac:dyDescent="0.25"/>
    <row r="123758" customFormat="1" x14ac:dyDescent="0.25"/>
    <row r="123759" customFormat="1" x14ac:dyDescent="0.25"/>
    <row r="123760" customFormat="1" x14ac:dyDescent="0.25"/>
    <row r="123761" customFormat="1" x14ac:dyDescent="0.25"/>
    <row r="123762" customFormat="1" x14ac:dyDescent="0.25"/>
    <row r="123763" customFormat="1" x14ac:dyDescent="0.25"/>
    <row r="123764" customFormat="1" x14ac:dyDescent="0.25"/>
    <row r="123765" customFormat="1" x14ac:dyDescent="0.25"/>
    <row r="123766" customFormat="1" x14ac:dyDescent="0.25"/>
    <row r="123767" customFormat="1" x14ac:dyDescent="0.25"/>
    <row r="123768" customFormat="1" x14ac:dyDescent="0.25"/>
    <row r="123769" customFormat="1" x14ac:dyDescent="0.25"/>
    <row r="123770" customFormat="1" x14ac:dyDescent="0.25"/>
    <row r="123771" customFormat="1" x14ac:dyDescent="0.25"/>
    <row r="123772" customFormat="1" x14ac:dyDescent="0.25"/>
    <row r="123773" customFormat="1" x14ac:dyDescent="0.25"/>
    <row r="123774" customFormat="1" x14ac:dyDescent="0.25"/>
    <row r="123775" customFormat="1" x14ac:dyDescent="0.25"/>
    <row r="123776" customFormat="1" x14ac:dyDescent="0.25"/>
    <row r="123777" customFormat="1" x14ac:dyDescent="0.25"/>
    <row r="123778" customFormat="1" x14ac:dyDescent="0.25"/>
    <row r="123779" customFormat="1" x14ac:dyDescent="0.25"/>
    <row r="123780" customFormat="1" x14ac:dyDescent="0.25"/>
    <row r="123781" customFormat="1" x14ac:dyDescent="0.25"/>
    <row r="123782" customFormat="1" x14ac:dyDescent="0.25"/>
    <row r="123783" customFormat="1" x14ac:dyDescent="0.25"/>
    <row r="123784" customFormat="1" x14ac:dyDescent="0.25"/>
    <row r="123785" customFormat="1" x14ac:dyDescent="0.25"/>
    <row r="123786" customFormat="1" x14ac:dyDescent="0.25"/>
    <row r="123787" customFormat="1" x14ac:dyDescent="0.25"/>
    <row r="123788" customFormat="1" x14ac:dyDescent="0.25"/>
    <row r="123789" customFormat="1" x14ac:dyDescent="0.25"/>
    <row r="123790" customFormat="1" x14ac:dyDescent="0.25"/>
    <row r="123791" customFormat="1" x14ac:dyDescent="0.25"/>
    <row r="123792" customFormat="1" x14ac:dyDescent="0.25"/>
    <row r="123793" customFormat="1" x14ac:dyDescent="0.25"/>
    <row r="123794" customFormat="1" x14ac:dyDescent="0.25"/>
    <row r="123795" customFormat="1" x14ac:dyDescent="0.25"/>
    <row r="123796" customFormat="1" x14ac:dyDescent="0.25"/>
    <row r="123797" customFormat="1" x14ac:dyDescent="0.25"/>
    <row r="123798" customFormat="1" x14ac:dyDescent="0.25"/>
    <row r="123799" customFormat="1" x14ac:dyDescent="0.25"/>
    <row r="123800" customFormat="1" x14ac:dyDescent="0.25"/>
    <row r="123801" customFormat="1" x14ac:dyDescent="0.25"/>
    <row r="123802" customFormat="1" x14ac:dyDescent="0.25"/>
    <row r="123803" customFormat="1" x14ac:dyDescent="0.25"/>
    <row r="123804" customFormat="1" x14ac:dyDescent="0.25"/>
    <row r="123805" customFormat="1" x14ac:dyDescent="0.25"/>
    <row r="123806" customFormat="1" x14ac:dyDescent="0.25"/>
    <row r="123807" customFormat="1" x14ac:dyDescent="0.25"/>
    <row r="123808" customFormat="1" x14ac:dyDescent="0.25"/>
    <row r="123809" customFormat="1" x14ac:dyDescent="0.25"/>
    <row r="123810" customFormat="1" x14ac:dyDescent="0.25"/>
    <row r="123811" customFormat="1" x14ac:dyDescent="0.25"/>
    <row r="123812" customFormat="1" x14ac:dyDescent="0.25"/>
    <row r="123813" customFormat="1" x14ac:dyDescent="0.25"/>
    <row r="123814" customFormat="1" x14ac:dyDescent="0.25"/>
    <row r="123815" customFormat="1" x14ac:dyDescent="0.25"/>
    <row r="123816" customFormat="1" x14ac:dyDescent="0.25"/>
    <row r="123817" customFormat="1" x14ac:dyDescent="0.25"/>
    <row r="123818" customFormat="1" x14ac:dyDescent="0.25"/>
    <row r="123819" customFormat="1" x14ac:dyDescent="0.25"/>
    <row r="123820" customFormat="1" x14ac:dyDescent="0.25"/>
    <row r="123821" customFormat="1" x14ac:dyDescent="0.25"/>
    <row r="123822" customFormat="1" x14ac:dyDescent="0.25"/>
    <row r="123823" customFormat="1" x14ac:dyDescent="0.25"/>
    <row r="123824" customFormat="1" x14ac:dyDescent="0.25"/>
    <row r="123825" customFormat="1" x14ac:dyDescent="0.25"/>
    <row r="123826" customFormat="1" x14ac:dyDescent="0.25"/>
    <row r="123827" customFormat="1" x14ac:dyDescent="0.25"/>
    <row r="123828" customFormat="1" x14ac:dyDescent="0.25"/>
    <row r="123829" customFormat="1" x14ac:dyDescent="0.25"/>
    <row r="123830" customFormat="1" x14ac:dyDescent="0.25"/>
    <row r="123831" customFormat="1" x14ac:dyDescent="0.25"/>
    <row r="123832" customFormat="1" x14ac:dyDescent="0.25"/>
    <row r="123833" customFormat="1" x14ac:dyDescent="0.25"/>
    <row r="123834" customFormat="1" x14ac:dyDescent="0.25"/>
    <row r="123835" customFormat="1" x14ac:dyDescent="0.25"/>
    <row r="123836" customFormat="1" x14ac:dyDescent="0.25"/>
    <row r="123837" customFormat="1" x14ac:dyDescent="0.25"/>
    <row r="123838" customFormat="1" x14ac:dyDescent="0.25"/>
    <row r="123839" customFormat="1" x14ac:dyDescent="0.25"/>
    <row r="123840" customFormat="1" x14ac:dyDescent="0.25"/>
    <row r="123841" customFormat="1" x14ac:dyDescent="0.25"/>
    <row r="123842" customFormat="1" x14ac:dyDescent="0.25"/>
    <row r="123843" customFormat="1" x14ac:dyDescent="0.25"/>
    <row r="123844" customFormat="1" x14ac:dyDescent="0.25"/>
    <row r="123845" customFormat="1" x14ac:dyDescent="0.25"/>
    <row r="123846" customFormat="1" x14ac:dyDescent="0.25"/>
    <row r="123847" customFormat="1" x14ac:dyDescent="0.25"/>
    <row r="123848" customFormat="1" x14ac:dyDescent="0.25"/>
    <row r="123849" customFormat="1" x14ac:dyDescent="0.25"/>
    <row r="123850" customFormat="1" x14ac:dyDescent="0.25"/>
    <row r="123851" customFormat="1" x14ac:dyDescent="0.25"/>
    <row r="123852" customFormat="1" x14ac:dyDescent="0.25"/>
    <row r="123853" customFormat="1" x14ac:dyDescent="0.25"/>
    <row r="123854" customFormat="1" x14ac:dyDescent="0.25"/>
    <row r="123855" customFormat="1" x14ac:dyDescent="0.25"/>
    <row r="123856" customFormat="1" x14ac:dyDescent="0.25"/>
    <row r="123857" customFormat="1" x14ac:dyDescent="0.25"/>
    <row r="123858" customFormat="1" x14ac:dyDescent="0.25"/>
    <row r="123859" customFormat="1" x14ac:dyDescent="0.25"/>
    <row r="123860" customFormat="1" x14ac:dyDescent="0.25"/>
    <row r="123861" customFormat="1" x14ac:dyDescent="0.25"/>
    <row r="123862" customFormat="1" x14ac:dyDescent="0.25"/>
    <row r="123863" customFormat="1" x14ac:dyDescent="0.25"/>
    <row r="123864" customFormat="1" x14ac:dyDescent="0.25"/>
    <row r="123865" customFormat="1" x14ac:dyDescent="0.25"/>
    <row r="123866" customFormat="1" x14ac:dyDescent="0.25"/>
    <row r="123867" customFormat="1" x14ac:dyDescent="0.25"/>
    <row r="123868" customFormat="1" x14ac:dyDescent="0.25"/>
    <row r="123869" customFormat="1" x14ac:dyDescent="0.25"/>
    <row r="123870" customFormat="1" x14ac:dyDescent="0.25"/>
    <row r="123871" customFormat="1" x14ac:dyDescent="0.25"/>
    <row r="123872" customFormat="1" x14ac:dyDescent="0.25"/>
    <row r="123873" customFormat="1" x14ac:dyDescent="0.25"/>
    <row r="123874" customFormat="1" x14ac:dyDescent="0.25"/>
    <row r="123875" customFormat="1" x14ac:dyDescent="0.25"/>
    <row r="123876" customFormat="1" x14ac:dyDescent="0.25"/>
    <row r="123877" customFormat="1" x14ac:dyDescent="0.25"/>
    <row r="123878" customFormat="1" x14ac:dyDescent="0.25"/>
    <row r="123879" customFormat="1" x14ac:dyDescent="0.25"/>
    <row r="123880" customFormat="1" x14ac:dyDescent="0.25"/>
    <row r="123881" customFormat="1" x14ac:dyDescent="0.25"/>
    <row r="123882" customFormat="1" x14ac:dyDescent="0.25"/>
    <row r="123883" customFormat="1" x14ac:dyDescent="0.25"/>
    <row r="123884" customFormat="1" x14ac:dyDescent="0.25"/>
    <row r="123885" customFormat="1" x14ac:dyDescent="0.25"/>
    <row r="123886" customFormat="1" x14ac:dyDescent="0.25"/>
    <row r="123887" customFormat="1" x14ac:dyDescent="0.25"/>
    <row r="123888" customFormat="1" x14ac:dyDescent="0.25"/>
    <row r="123889" customFormat="1" x14ac:dyDescent="0.25"/>
    <row r="123890" customFormat="1" x14ac:dyDescent="0.25"/>
    <row r="123891" customFormat="1" x14ac:dyDescent="0.25"/>
    <row r="123892" customFormat="1" x14ac:dyDescent="0.25"/>
    <row r="123893" customFormat="1" x14ac:dyDescent="0.25"/>
    <row r="123894" customFormat="1" x14ac:dyDescent="0.25"/>
    <row r="123895" customFormat="1" x14ac:dyDescent="0.25"/>
    <row r="123896" customFormat="1" x14ac:dyDescent="0.25"/>
    <row r="123897" customFormat="1" x14ac:dyDescent="0.25"/>
    <row r="123898" customFormat="1" x14ac:dyDescent="0.25"/>
    <row r="123899" customFormat="1" x14ac:dyDescent="0.25"/>
    <row r="123900" customFormat="1" x14ac:dyDescent="0.25"/>
    <row r="123901" customFormat="1" x14ac:dyDescent="0.25"/>
    <row r="123902" customFormat="1" x14ac:dyDescent="0.25"/>
    <row r="123903" customFormat="1" x14ac:dyDescent="0.25"/>
    <row r="123904" customFormat="1" x14ac:dyDescent="0.25"/>
    <row r="123905" customFormat="1" x14ac:dyDescent="0.25"/>
    <row r="123906" customFormat="1" x14ac:dyDescent="0.25"/>
    <row r="123907" customFormat="1" x14ac:dyDescent="0.25"/>
    <row r="123908" customFormat="1" x14ac:dyDescent="0.25"/>
    <row r="123909" customFormat="1" x14ac:dyDescent="0.25"/>
    <row r="123910" customFormat="1" x14ac:dyDescent="0.25"/>
    <row r="123911" customFormat="1" x14ac:dyDescent="0.25"/>
    <row r="123912" customFormat="1" x14ac:dyDescent="0.25"/>
    <row r="123913" customFormat="1" x14ac:dyDescent="0.25"/>
    <row r="123914" customFormat="1" x14ac:dyDescent="0.25"/>
    <row r="123915" customFormat="1" x14ac:dyDescent="0.25"/>
    <row r="123916" customFormat="1" x14ac:dyDescent="0.25"/>
    <row r="123917" customFormat="1" x14ac:dyDescent="0.25"/>
    <row r="123918" customFormat="1" x14ac:dyDescent="0.25"/>
    <row r="123919" customFormat="1" x14ac:dyDescent="0.25"/>
    <row r="123920" customFormat="1" x14ac:dyDescent="0.25"/>
    <row r="123921" customFormat="1" x14ac:dyDescent="0.25"/>
    <row r="123922" customFormat="1" x14ac:dyDescent="0.25"/>
    <row r="123923" customFormat="1" x14ac:dyDescent="0.25"/>
    <row r="123924" customFormat="1" x14ac:dyDescent="0.25"/>
    <row r="123925" customFormat="1" x14ac:dyDescent="0.25"/>
    <row r="123926" customFormat="1" x14ac:dyDescent="0.25"/>
    <row r="123927" customFormat="1" x14ac:dyDescent="0.25"/>
    <row r="123928" customFormat="1" x14ac:dyDescent="0.25"/>
    <row r="123929" customFormat="1" x14ac:dyDescent="0.25"/>
    <row r="123930" customFormat="1" x14ac:dyDescent="0.25"/>
    <row r="123931" customFormat="1" x14ac:dyDescent="0.25"/>
    <row r="123932" customFormat="1" x14ac:dyDescent="0.25"/>
    <row r="123933" customFormat="1" x14ac:dyDescent="0.25"/>
    <row r="123934" customFormat="1" x14ac:dyDescent="0.25"/>
    <row r="123935" customFormat="1" x14ac:dyDescent="0.25"/>
    <row r="123936" customFormat="1" x14ac:dyDescent="0.25"/>
    <row r="123937" customFormat="1" x14ac:dyDescent="0.25"/>
    <row r="123938" customFormat="1" x14ac:dyDescent="0.25"/>
    <row r="123939" customFormat="1" x14ac:dyDescent="0.25"/>
    <row r="123940" customFormat="1" x14ac:dyDescent="0.25"/>
    <row r="123941" customFormat="1" x14ac:dyDescent="0.25"/>
    <row r="123942" customFormat="1" x14ac:dyDescent="0.25"/>
    <row r="123943" customFormat="1" x14ac:dyDescent="0.25"/>
    <row r="123944" customFormat="1" x14ac:dyDescent="0.25"/>
    <row r="123945" customFormat="1" x14ac:dyDescent="0.25"/>
    <row r="123946" customFormat="1" x14ac:dyDescent="0.25"/>
    <row r="123947" customFormat="1" x14ac:dyDescent="0.25"/>
    <row r="123948" customFormat="1" x14ac:dyDescent="0.25"/>
    <row r="123949" customFormat="1" x14ac:dyDescent="0.25"/>
    <row r="123950" customFormat="1" x14ac:dyDescent="0.25"/>
    <row r="123951" customFormat="1" x14ac:dyDescent="0.25"/>
    <row r="123952" customFormat="1" x14ac:dyDescent="0.25"/>
    <row r="123953" customFormat="1" x14ac:dyDescent="0.25"/>
    <row r="123954" customFormat="1" x14ac:dyDescent="0.25"/>
    <row r="123955" customFormat="1" x14ac:dyDescent="0.25"/>
    <row r="123956" customFormat="1" x14ac:dyDescent="0.25"/>
    <row r="123957" customFormat="1" x14ac:dyDescent="0.25"/>
    <row r="123958" customFormat="1" x14ac:dyDescent="0.25"/>
    <row r="123959" customFormat="1" x14ac:dyDescent="0.25"/>
    <row r="123960" customFormat="1" x14ac:dyDescent="0.25"/>
    <row r="123961" customFormat="1" x14ac:dyDescent="0.25"/>
    <row r="123962" customFormat="1" x14ac:dyDescent="0.25"/>
    <row r="123963" customFormat="1" x14ac:dyDescent="0.25"/>
    <row r="123964" customFormat="1" x14ac:dyDescent="0.25"/>
    <row r="123965" customFormat="1" x14ac:dyDescent="0.25"/>
    <row r="123966" customFormat="1" x14ac:dyDescent="0.25"/>
    <row r="123967" customFormat="1" x14ac:dyDescent="0.25"/>
    <row r="123968" customFormat="1" x14ac:dyDescent="0.25"/>
    <row r="123969" customFormat="1" x14ac:dyDescent="0.25"/>
    <row r="123970" customFormat="1" x14ac:dyDescent="0.25"/>
    <row r="123971" customFormat="1" x14ac:dyDescent="0.25"/>
    <row r="123972" customFormat="1" x14ac:dyDescent="0.25"/>
    <row r="123973" customFormat="1" x14ac:dyDescent="0.25"/>
    <row r="123974" customFormat="1" x14ac:dyDescent="0.25"/>
    <row r="123975" customFormat="1" x14ac:dyDescent="0.25"/>
    <row r="123976" customFormat="1" x14ac:dyDescent="0.25"/>
    <row r="123977" customFormat="1" x14ac:dyDescent="0.25"/>
    <row r="123978" customFormat="1" x14ac:dyDescent="0.25"/>
    <row r="123979" customFormat="1" x14ac:dyDescent="0.25"/>
    <row r="123980" customFormat="1" x14ac:dyDescent="0.25"/>
    <row r="123981" customFormat="1" x14ac:dyDescent="0.25"/>
    <row r="123982" customFormat="1" x14ac:dyDescent="0.25"/>
    <row r="123983" customFormat="1" x14ac:dyDescent="0.25"/>
    <row r="123984" customFormat="1" x14ac:dyDescent="0.25"/>
    <row r="123985" customFormat="1" x14ac:dyDescent="0.25"/>
    <row r="123986" customFormat="1" x14ac:dyDescent="0.25"/>
    <row r="123987" customFormat="1" x14ac:dyDescent="0.25"/>
    <row r="123988" customFormat="1" x14ac:dyDescent="0.25"/>
    <row r="123989" customFormat="1" x14ac:dyDescent="0.25"/>
    <row r="123990" customFormat="1" x14ac:dyDescent="0.25"/>
    <row r="123991" customFormat="1" x14ac:dyDescent="0.25"/>
    <row r="123992" customFormat="1" x14ac:dyDescent="0.25"/>
    <row r="123993" customFormat="1" x14ac:dyDescent="0.25"/>
    <row r="123994" customFormat="1" x14ac:dyDescent="0.25"/>
    <row r="123995" customFormat="1" x14ac:dyDescent="0.25"/>
    <row r="123996" customFormat="1" x14ac:dyDescent="0.25"/>
    <row r="123997" customFormat="1" x14ac:dyDescent="0.25"/>
    <row r="123998" customFormat="1" x14ac:dyDescent="0.25"/>
    <row r="123999" customFormat="1" x14ac:dyDescent="0.25"/>
    <row r="124000" customFormat="1" x14ac:dyDescent="0.25"/>
    <row r="124001" customFormat="1" x14ac:dyDescent="0.25"/>
    <row r="124002" customFormat="1" x14ac:dyDescent="0.25"/>
    <row r="124003" customFormat="1" x14ac:dyDescent="0.25"/>
    <row r="124004" customFormat="1" x14ac:dyDescent="0.25"/>
    <row r="124005" customFormat="1" x14ac:dyDescent="0.25"/>
    <row r="124006" customFormat="1" x14ac:dyDescent="0.25"/>
    <row r="124007" customFormat="1" x14ac:dyDescent="0.25"/>
    <row r="124008" customFormat="1" x14ac:dyDescent="0.25"/>
    <row r="124009" customFormat="1" x14ac:dyDescent="0.25"/>
    <row r="124010" customFormat="1" x14ac:dyDescent="0.25"/>
    <row r="124011" customFormat="1" x14ac:dyDescent="0.25"/>
    <row r="124012" customFormat="1" x14ac:dyDescent="0.25"/>
    <row r="124013" customFormat="1" x14ac:dyDescent="0.25"/>
    <row r="124014" customFormat="1" x14ac:dyDescent="0.25"/>
    <row r="124015" customFormat="1" x14ac:dyDescent="0.25"/>
    <row r="124016" customFormat="1" x14ac:dyDescent="0.25"/>
    <row r="124017" customFormat="1" x14ac:dyDescent="0.25"/>
    <row r="124018" customFormat="1" x14ac:dyDescent="0.25"/>
    <row r="124019" customFormat="1" x14ac:dyDescent="0.25"/>
    <row r="124020" customFormat="1" x14ac:dyDescent="0.25"/>
    <row r="124021" customFormat="1" x14ac:dyDescent="0.25"/>
    <row r="124022" customFormat="1" x14ac:dyDescent="0.25"/>
    <row r="124023" customFormat="1" x14ac:dyDescent="0.25"/>
    <row r="124024" customFormat="1" x14ac:dyDescent="0.25"/>
    <row r="124025" customFormat="1" x14ac:dyDescent="0.25"/>
    <row r="124026" customFormat="1" x14ac:dyDescent="0.25"/>
    <row r="124027" customFormat="1" x14ac:dyDescent="0.25"/>
    <row r="124028" customFormat="1" x14ac:dyDescent="0.25"/>
    <row r="124029" customFormat="1" x14ac:dyDescent="0.25"/>
    <row r="124030" customFormat="1" x14ac:dyDescent="0.25"/>
    <row r="124031" customFormat="1" x14ac:dyDescent="0.25"/>
    <row r="124032" customFormat="1" x14ac:dyDescent="0.25"/>
    <row r="124033" customFormat="1" x14ac:dyDescent="0.25"/>
    <row r="124034" customFormat="1" x14ac:dyDescent="0.25"/>
    <row r="124035" customFormat="1" x14ac:dyDescent="0.25"/>
    <row r="124036" customFormat="1" x14ac:dyDescent="0.25"/>
    <row r="124037" customFormat="1" x14ac:dyDescent="0.25"/>
    <row r="124038" customFormat="1" x14ac:dyDescent="0.25"/>
    <row r="124039" customFormat="1" x14ac:dyDescent="0.25"/>
    <row r="124040" customFormat="1" x14ac:dyDescent="0.25"/>
    <row r="124041" customFormat="1" x14ac:dyDescent="0.25"/>
    <row r="124042" customFormat="1" x14ac:dyDescent="0.25"/>
    <row r="124043" customFormat="1" x14ac:dyDescent="0.25"/>
    <row r="124044" customFormat="1" x14ac:dyDescent="0.25"/>
    <row r="124045" customFormat="1" x14ac:dyDescent="0.25"/>
    <row r="124046" customFormat="1" x14ac:dyDescent="0.25"/>
    <row r="124047" customFormat="1" x14ac:dyDescent="0.25"/>
    <row r="124048" customFormat="1" x14ac:dyDescent="0.25"/>
    <row r="124049" customFormat="1" x14ac:dyDescent="0.25"/>
    <row r="124050" customFormat="1" x14ac:dyDescent="0.25"/>
    <row r="124051" customFormat="1" x14ac:dyDescent="0.25"/>
    <row r="124052" customFormat="1" x14ac:dyDescent="0.25"/>
    <row r="124053" customFormat="1" x14ac:dyDescent="0.25"/>
    <row r="124054" customFormat="1" x14ac:dyDescent="0.25"/>
    <row r="124055" customFormat="1" x14ac:dyDescent="0.25"/>
    <row r="124056" customFormat="1" x14ac:dyDescent="0.25"/>
    <row r="124057" customFormat="1" x14ac:dyDescent="0.25"/>
    <row r="124058" customFormat="1" x14ac:dyDescent="0.25"/>
    <row r="124059" customFormat="1" x14ac:dyDescent="0.25"/>
    <row r="124060" customFormat="1" x14ac:dyDescent="0.25"/>
    <row r="124061" customFormat="1" x14ac:dyDescent="0.25"/>
    <row r="124062" customFormat="1" x14ac:dyDescent="0.25"/>
    <row r="124063" customFormat="1" x14ac:dyDescent="0.25"/>
    <row r="124064" customFormat="1" x14ac:dyDescent="0.25"/>
    <row r="124065" customFormat="1" x14ac:dyDescent="0.25"/>
    <row r="124066" customFormat="1" x14ac:dyDescent="0.25"/>
    <row r="124067" customFormat="1" x14ac:dyDescent="0.25"/>
    <row r="124068" customFormat="1" x14ac:dyDescent="0.25"/>
    <row r="124069" customFormat="1" x14ac:dyDescent="0.25"/>
    <row r="124070" customFormat="1" x14ac:dyDescent="0.25"/>
    <row r="124071" customFormat="1" x14ac:dyDescent="0.25"/>
    <row r="124072" customFormat="1" x14ac:dyDescent="0.25"/>
    <row r="124073" customFormat="1" x14ac:dyDescent="0.25"/>
    <row r="124074" customFormat="1" x14ac:dyDescent="0.25"/>
    <row r="124075" customFormat="1" x14ac:dyDescent="0.25"/>
    <row r="124076" customFormat="1" x14ac:dyDescent="0.25"/>
    <row r="124077" customFormat="1" x14ac:dyDescent="0.25"/>
    <row r="124078" customFormat="1" x14ac:dyDescent="0.25"/>
    <row r="124079" customFormat="1" x14ac:dyDescent="0.25"/>
    <row r="124080" customFormat="1" x14ac:dyDescent="0.25"/>
    <row r="124081" customFormat="1" x14ac:dyDescent="0.25"/>
    <row r="124082" customFormat="1" x14ac:dyDescent="0.25"/>
    <row r="124083" customFormat="1" x14ac:dyDescent="0.25"/>
    <row r="124084" customFormat="1" x14ac:dyDescent="0.25"/>
    <row r="124085" customFormat="1" x14ac:dyDescent="0.25"/>
    <row r="124086" customFormat="1" x14ac:dyDescent="0.25"/>
    <row r="124087" customFormat="1" x14ac:dyDescent="0.25"/>
    <row r="124088" customFormat="1" x14ac:dyDescent="0.25"/>
    <row r="124089" customFormat="1" x14ac:dyDescent="0.25"/>
    <row r="124090" customFormat="1" x14ac:dyDescent="0.25"/>
    <row r="124091" customFormat="1" x14ac:dyDescent="0.25"/>
    <row r="124092" customFormat="1" x14ac:dyDescent="0.25"/>
    <row r="124093" customFormat="1" x14ac:dyDescent="0.25"/>
    <row r="124094" customFormat="1" x14ac:dyDescent="0.25"/>
    <row r="124095" customFormat="1" x14ac:dyDescent="0.25"/>
    <row r="124096" customFormat="1" x14ac:dyDescent="0.25"/>
    <row r="124097" customFormat="1" x14ac:dyDescent="0.25"/>
    <row r="124098" customFormat="1" x14ac:dyDescent="0.25"/>
    <row r="124099" customFormat="1" x14ac:dyDescent="0.25"/>
    <row r="124100" customFormat="1" x14ac:dyDescent="0.25"/>
    <row r="124101" customFormat="1" x14ac:dyDescent="0.25"/>
    <row r="124102" customFormat="1" x14ac:dyDescent="0.25"/>
    <row r="124103" customFormat="1" x14ac:dyDescent="0.25"/>
    <row r="124104" customFormat="1" x14ac:dyDescent="0.25"/>
    <row r="124105" customFormat="1" x14ac:dyDescent="0.25"/>
    <row r="124106" customFormat="1" x14ac:dyDescent="0.25"/>
    <row r="124107" customFormat="1" x14ac:dyDescent="0.25"/>
    <row r="124108" customFormat="1" x14ac:dyDescent="0.25"/>
    <row r="124109" customFormat="1" x14ac:dyDescent="0.25"/>
    <row r="124110" customFormat="1" x14ac:dyDescent="0.25"/>
    <row r="124111" customFormat="1" x14ac:dyDescent="0.25"/>
    <row r="124112" customFormat="1" x14ac:dyDescent="0.25"/>
    <row r="124113" customFormat="1" x14ac:dyDescent="0.25"/>
    <row r="124114" customFormat="1" x14ac:dyDescent="0.25"/>
    <row r="124115" customFormat="1" x14ac:dyDescent="0.25"/>
    <row r="124116" customFormat="1" x14ac:dyDescent="0.25"/>
    <row r="124117" customFormat="1" x14ac:dyDescent="0.25"/>
    <row r="124118" customFormat="1" x14ac:dyDescent="0.25"/>
    <row r="124119" customFormat="1" x14ac:dyDescent="0.25"/>
    <row r="124120" customFormat="1" x14ac:dyDescent="0.25"/>
    <row r="124121" customFormat="1" x14ac:dyDescent="0.25"/>
    <row r="124122" customFormat="1" x14ac:dyDescent="0.25"/>
    <row r="124123" customFormat="1" x14ac:dyDescent="0.25"/>
    <row r="124124" customFormat="1" x14ac:dyDescent="0.25"/>
    <row r="124125" customFormat="1" x14ac:dyDescent="0.25"/>
    <row r="124126" customFormat="1" x14ac:dyDescent="0.25"/>
    <row r="124127" customFormat="1" x14ac:dyDescent="0.25"/>
    <row r="124128" customFormat="1" x14ac:dyDescent="0.25"/>
    <row r="124129" customFormat="1" x14ac:dyDescent="0.25"/>
    <row r="124130" customFormat="1" x14ac:dyDescent="0.25"/>
    <row r="124131" customFormat="1" x14ac:dyDescent="0.25"/>
    <row r="124132" customFormat="1" x14ac:dyDescent="0.25"/>
    <row r="124133" customFormat="1" x14ac:dyDescent="0.25"/>
    <row r="124134" customFormat="1" x14ac:dyDescent="0.25"/>
    <row r="124135" customFormat="1" x14ac:dyDescent="0.25"/>
    <row r="124136" customFormat="1" x14ac:dyDescent="0.25"/>
    <row r="124137" customFormat="1" x14ac:dyDescent="0.25"/>
    <row r="124138" customFormat="1" x14ac:dyDescent="0.25"/>
    <row r="124139" customFormat="1" x14ac:dyDescent="0.25"/>
    <row r="124140" customFormat="1" x14ac:dyDescent="0.25"/>
    <row r="124141" customFormat="1" x14ac:dyDescent="0.25"/>
    <row r="124142" customFormat="1" x14ac:dyDescent="0.25"/>
    <row r="124143" customFormat="1" x14ac:dyDescent="0.25"/>
    <row r="124144" customFormat="1" x14ac:dyDescent="0.25"/>
    <row r="124145" customFormat="1" x14ac:dyDescent="0.25"/>
    <row r="124146" customFormat="1" x14ac:dyDescent="0.25"/>
    <row r="124147" customFormat="1" x14ac:dyDescent="0.25"/>
    <row r="124148" customFormat="1" x14ac:dyDescent="0.25"/>
    <row r="124149" customFormat="1" x14ac:dyDescent="0.25"/>
    <row r="124150" customFormat="1" x14ac:dyDescent="0.25"/>
    <row r="124151" customFormat="1" x14ac:dyDescent="0.25"/>
    <row r="124152" customFormat="1" x14ac:dyDescent="0.25"/>
    <row r="124153" customFormat="1" x14ac:dyDescent="0.25"/>
    <row r="124154" customFormat="1" x14ac:dyDescent="0.25"/>
    <row r="124155" customFormat="1" x14ac:dyDescent="0.25"/>
    <row r="124156" customFormat="1" x14ac:dyDescent="0.25"/>
    <row r="124157" customFormat="1" x14ac:dyDescent="0.25"/>
    <row r="124158" customFormat="1" x14ac:dyDescent="0.25"/>
    <row r="124159" customFormat="1" x14ac:dyDescent="0.25"/>
    <row r="124160" customFormat="1" x14ac:dyDescent="0.25"/>
    <row r="124161" customFormat="1" x14ac:dyDescent="0.25"/>
    <row r="124162" customFormat="1" x14ac:dyDescent="0.25"/>
    <row r="124163" customFormat="1" x14ac:dyDescent="0.25"/>
    <row r="124164" customFormat="1" x14ac:dyDescent="0.25"/>
    <row r="124165" customFormat="1" x14ac:dyDescent="0.25"/>
    <row r="124166" customFormat="1" x14ac:dyDescent="0.25"/>
    <row r="124167" customFormat="1" x14ac:dyDescent="0.25"/>
    <row r="124168" customFormat="1" x14ac:dyDescent="0.25"/>
    <row r="124169" customFormat="1" x14ac:dyDescent="0.25"/>
    <row r="124170" customFormat="1" x14ac:dyDescent="0.25"/>
    <row r="124171" customFormat="1" x14ac:dyDescent="0.25"/>
    <row r="124172" customFormat="1" x14ac:dyDescent="0.25"/>
    <row r="124173" customFormat="1" x14ac:dyDescent="0.25"/>
    <row r="124174" customFormat="1" x14ac:dyDescent="0.25"/>
    <row r="124175" customFormat="1" x14ac:dyDescent="0.25"/>
    <row r="124176" customFormat="1" x14ac:dyDescent="0.25"/>
    <row r="124177" customFormat="1" x14ac:dyDescent="0.25"/>
    <row r="124178" customFormat="1" x14ac:dyDescent="0.25"/>
    <row r="124179" customFormat="1" x14ac:dyDescent="0.25"/>
    <row r="124180" customFormat="1" x14ac:dyDescent="0.25"/>
    <row r="124181" customFormat="1" x14ac:dyDescent="0.25"/>
    <row r="124182" customFormat="1" x14ac:dyDescent="0.25"/>
    <row r="124183" customFormat="1" x14ac:dyDescent="0.25"/>
    <row r="124184" customFormat="1" x14ac:dyDescent="0.25"/>
    <row r="124185" customFormat="1" x14ac:dyDescent="0.25"/>
    <row r="124186" customFormat="1" x14ac:dyDescent="0.25"/>
    <row r="124187" customFormat="1" x14ac:dyDescent="0.25"/>
    <row r="124188" customFormat="1" x14ac:dyDescent="0.25"/>
    <row r="124189" customFormat="1" x14ac:dyDescent="0.25"/>
    <row r="124190" customFormat="1" x14ac:dyDescent="0.25"/>
    <row r="124191" customFormat="1" x14ac:dyDescent="0.25"/>
    <row r="124192" customFormat="1" x14ac:dyDescent="0.25"/>
    <row r="124193" customFormat="1" x14ac:dyDescent="0.25"/>
    <row r="124194" customFormat="1" x14ac:dyDescent="0.25"/>
    <row r="124195" customFormat="1" x14ac:dyDescent="0.25"/>
    <row r="124196" customFormat="1" x14ac:dyDescent="0.25"/>
    <row r="124197" customFormat="1" x14ac:dyDescent="0.25"/>
    <row r="124198" customFormat="1" x14ac:dyDescent="0.25"/>
    <row r="124199" customFormat="1" x14ac:dyDescent="0.25"/>
    <row r="124200" customFormat="1" x14ac:dyDescent="0.25"/>
    <row r="124201" customFormat="1" x14ac:dyDescent="0.25"/>
    <row r="124202" customFormat="1" x14ac:dyDescent="0.25"/>
    <row r="124203" customFormat="1" x14ac:dyDescent="0.25"/>
    <row r="124204" customFormat="1" x14ac:dyDescent="0.25"/>
    <row r="124205" customFormat="1" x14ac:dyDescent="0.25"/>
    <row r="124206" customFormat="1" x14ac:dyDescent="0.25"/>
    <row r="124207" customFormat="1" x14ac:dyDescent="0.25"/>
    <row r="124208" customFormat="1" x14ac:dyDescent="0.25"/>
    <row r="124209" customFormat="1" x14ac:dyDescent="0.25"/>
    <row r="124210" customFormat="1" x14ac:dyDescent="0.25"/>
    <row r="124211" customFormat="1" x14ac:dyDescent="0.25"/>
    <row r="124212" customFormat="1" x14ac:dyDescent="0.25"/>
    <row r="124213" customFormat="1" x14ac:dyDescent="0.25"/>
    <row r="124214" customFormat="1" x14ac:dyDescent="0.25"/>
    <row r="124215" customFormat="1" x14ac:dyDescent="0.25"/>
    <row r="124216" customFormat="1" x14ac:dyDescent="0.25"/>
    <row r="124217" customFormat="1" x14ac:dyDescent="0.25"/>
    <row r="124218" customFormat="1" x14ac:dyDescent="0.25"/>
    <row r="124219" customFormat="1" x14ac:dyDescent="0.25"/>
    <row r="124220" customFormat="1" x14ac:dyDescent="0.25"/>
    <row r="124221" customFormat="1" x14ac:dyDescent="0.25"/>
    <row r="124222" customFormat="1" x14ac:dyDescent="0.25"/>
    <row r="124223" customFormat="1" x14ac:dyDescent="0.25"/>
    <row r="124224" customFormat="1" x14ac:dyDescent="0.25"/>
    <row r="124225" customFormat="1" x14ac:dyDescent="0.25"/>
    <row r="124226" customFormat="1" x14ac:dyDescent="0.25"/>
    <row r="124227" customFormat="1" x14ac:dyDescent="0.25"/>
    <row r="124228" customFormat="1" x14ac:dyDescent="0.25"/>
    <row r="124229" customFormat="1" x14ac:dyDescent="0.25"/>
    <row r="124230" customFormat="1" x14ac:dyDescent="0.25"/>
    <row r="124231" customFormat="1" x14ac:dyDescent="0.25"/>
    <row r="124232" customFormat="1" x14ac:dyDescent="0.25"/>
    <row r="124233" customFormat="1" x14ac:dyDescent="0.25"/>
    <row r="124234" customFormat="1" x14ac:dyDescent="0.25"/>
    <row r="124235" customFormat="1" x14ac:dyDescent="0.25"/>
    <row r="124236" customFormat="1" x14ac:dyDescent="0.25"/>
    <row r="124237" customFormat="1" x14ac:dyDescent="0.25"/>
    <row r="124238" customFormat="1" x14ac:dyDescent="0.25"/>
    <row r="124239" customFormat="1" x14ac:dyDescent="0.25"/>
    <row r="124240" customFormat="1" x14ac:dyDescent="0.25"/>
    <row r="124241" customFormat="1" x14ac:dyDescent="0.25"/>
    <row r="124242" customFormat="1" x14ac:dyDescent="0.25"/>
    <row r="124243" customFormat="1" x14ac:dyDescent="0.25"/>
    <row r="124244" customFormat="1" x14ac:dyDescent="0.25"/>
    <row r="124245" customFormat="1" x14ac:dyDescent="0.25"/>
    <row r="124246" customFormat="1" x14ac:dyDescent="0.25"/>
    <row r="124247" customFormat="1" x14ac:dyDescent="0.25"/>
    <row r="124248" customFormat="1" x14ac:dyDescent="0.25"/>
    <row r="124249" customFormat="1" x14ac:dyDescent="0.25"/>
    <row r="124250" customFormat="1" x14ac:dyDescent="0.25"/>
    <row r="124251" customFormat="1" x14ac:dyDescent="0.25"/>
    <row r="124252" customFormat="1" x14ac:dyDescent="0.25"/>
    <row r="124253" customFormat="1" x14ac:dyDescent="0.25"/>
    <row r="124254" customFormat="1" x14ac:dyDescent="0.25"/>
    <row r="124255" customFormat="1" x14ac:dyDescent="0.25"/>
    <row r="124256" customFormat="1" x14ac:dyDescent="0.25"/>
    <row r="124257" customFormat="1" x14ac:dyDescent="0.25"/>
    <row r="124258" customFormat="1" x14ac:dyDescent="0.25"/>
    <row r="124259" customFormat="1" x14ac:dyDescent="0.25"/>
    <row r="124260" customFormat="1" x14ac:dyDescent="0.25"/>
    <row r="124261" customFormat="1" x14ac:dyDescent="0.25"/>
    <row r="124262" customFormat="1" x14ac:dyDescent="0.25"/>
    <row r="124263" customFormat="1" x14ac:dyDescent="0.25"/>
    <row r="124264" customFormat="1" x14ac:dyDescent="0.25"/>
    <row r="124265" customFormat="1" x14ac:dyDescent="0.25"/>
    <row r="124266" customFormat="1" x14ac:dyDescent="0.25"/>
    <row r="124267" customFormat="1" x14ac:dyDescent="0.25"/>
    <row r="124268" customFormat="1" x14ac:dyDescent="0.25"/>
    <row r="124269" customFormat="1" x14ac:dyDescent="0.25"/>
    <row r="124270" customFormat="1" x14ac:dyDescent="0.25"/>
    <row r="124271" customFormat="1" x14ac:dyDescent="0.25"/>
    <row r="124272" customFormat="1" x14ac:dyDescent="0.25"/>
    <row r="124273" customFormat="1" x14ac:dyDescent="0.25"/>
    <row r="124274" customFormat="1" x14ac:dyDescent="0.25"/>
    <row r="124275" customFormat="1" x14ac:dyDescent="0.25"/>
    <row r="124276" customFormat="1" x14ac:dyDescent="0.25"/>
    <row r="124277" customFormat="1" x14ac:dyDescent="0.25"/>
    <row r="124278" customFormat="1" x14ac:dyDescent="0.25"/>
    <row r="124279" customFormat="1" x14ac:dyDescent="0.25"/>
    <row r="124280" customFormat="1" x14ac:dyDescent="0.25"/>
    <row r="124281" customFormat="1" x14ac:dyDescent="0.25"/>
    <row r="124282" customFormat="1" x14ac:dyDescent="0.25"/>
    <row r="124283" customFormat="1" x14ac:dyDescent="0.25"/>
    <row r="124284" customFormat="1" x14ac:dyDescent="0.25"/>
    <row r="124285" customFormat="1" x14ac:dyDescent="0.25"/>
    <row r="124286" customFormat="1" x14ac:dyDescent="0.25"/>
    <row r="124287" customFormat="1" x14ac:dyDescent="0.25"/>
    <row r="124288" customFormat="1" x14ac:dyDescent="0.25"/>
    <row r="124289" customFormat="1" x14ac:dyDescent="0.25"/>
    <row r="124290" customFormat="1" x14ac:dyDescent="0.25"/>
    <row r="124291" customFormat="1" x14ac:dyDescent="0.25"/>
    <row r="124292" customFormat="1" x14ac:dyDescent="0.25"/>
    <row r="124293" customFormat="1" x14ac:dyDescent="0.25"/>
    <row r="124294" customFormat="1" x14ac:dyDescent="0.25"/>
    <row r="124295" customFormat="1" x14ac:dyDescent="0.25"/>
    <row r="124296" customFormat="1" x14ac:dyDescent="0.25"/>
    <row r="124297" customFormat="1" x14ac:dyDescent="0.25"/>
    <row r="124298" customFormat="1" x14ac:dyDescent="0.25"/>
    <row r="124299" customFormat="1" x14ac:dyDescent="0.25"/>
    <row r="124300" customFormat="1" x14ac:dyDescent="0.25"/>
    <row r="124301" customFormat="1" x14ac:dyDescent="0.25"/>
    <row r="124302" customFormat="1" x14ac:dyDescent="0.25"/>
    <row r="124303" customFormat="1" x14ac:dyDescent="0.25"/>
    <row r="124304" customFormat="1" x14ac:dyDescent="0.25"/>
    <row r="124305" customFormat="1" x14ac:dyDescent="0.25"/>
    <row r="124306" customFormat="1" x14ac:dyDescent="0.25"/>
    <row r="124307" customFormat="1" x14ac:dyDescent="0.25"/>
    <row r="124308" customFormat="1" x14ac:dyDescent="0.25"/>
    <row r="124309" customFormat="1" x14ac:dyDescent="0.25"/>
    <row r="124310" customFormat="1" x14ac:dyDescent="0.25"/>
    <row r="124311" customFormat="1" x14ac:dyDescent="0.25"/>
    <row r="124312" customFormat="1" x14ac:dyDescent="0.25"/>
    <row r="124313" customFormat="1" x14ac:dyDescent="0.25"/>
    <row r="124314" customFormat="1" x14ac:dyDescent="0.25"/>
    <row r="124315" customFormat="1" x14ac:dyDescent="0.25"/>
    <row r="124316" customFormat="1" x14ac:dyDescent="0.25"/>
    <row r="124317" customFormat="1" x14ac:dyDescent="0.25"/>
    <row r="124318" customFormat="1" x14ac:dyDescent="0.25"/>
    <row r="124319" customFormat="1" x14ac:dyDescent="0.25"/>
    <row r="124320" customFormat="1" x14ac:dyDescent="0.25"/>
    <row r="124321" customFormat="1" x14ac:dyDescent="0.25"/>
    <row r="124322" customFormat="1" x14ac:dyDescent="0.25"/>
    <row r="124323" customFormat="1" x14ac:dyDescent="0.25"/>
    <row r="124324" customFormat="1" x14ac:dyDescent="0.25"/>
    <row r="124325" customFormat="1" x14ac:dyDescent="0.25"/>
    <row r="124326" customFormat="1" x14ac:dyDescent="0.25"/>
    <row r="124327" customFormat="1" x14ac:dyDescent="0.25"/>
    <row r="124328" customFormat="1" x14ac:dyDescent="0.25"/>
    <row r="124329" customFormat="1" x14ac:dyDescent="0.25"/>
    <row r="124330" customFormat="1" x14ac:dyDescent="0.25"/>
    <row r="124331" customFormat="1" x14ac:dyDescent="0.25"/>
    <row r="124332" customFormat="1" x14ac:dyDescent="0.25"/>
    <row r="124333" customFormat="1" x14ac:dyDescent="0.25"/>
    <row r="124334" customFormat="1" x14ac:dyDescent="0.25"/>
    <row r="124335" customFormat="1" x14ac:dyDescent="0.25"/>
    <row r="124336" customFormat="1" x14ac:dyDescent="0.25"/>
    <row r="124337" customFormat="1" x14ac:dyDescent="0.25"/>
    <row r="124338" customFormat="1" x14ac:dyDescent="0.25"/>
    <row r="124339" customFormat="1" x14ac:dyDescent="0.25"/>
    <row r="124340" customFormat="1" x14ac:dyDescent="0.25"/>
    <row r="124341" customFormat="1" x14ac:dyDescent="0.25"/>
    <row r="124342" customFormat="1" x14ac:dyDescent="0.25"/>
    <row r="124343" customFormat="1" x14ac:dyDescent="0.25"/>
    <row r="124344" customFormat="1" x14ac:dyDescent="0.25"/>
    <row r="124345" customFormat="1" x14ac:dyDescent="0.25"/>
    <row r="124346" customFormat="1" x14ac:dyDescent="0.25"/>
    <row r="124347" customFormat="1" x14ac:dyDescent="0.25"/>
    <row r="124348" customFormat="1" x14ac:dyDescent="0.25"/>
    <row r="124349" customFormat="1" x14ac:dyDescent="0.25"/>
    <row r="124350" customFormat="1" x14ac:dyDescent="0.25"/>
    <row r="124351" customFormat="1" x14ac:dyDescent="0.25"/>
    <row r="124352" customFormat="1" x14ac:dyDescent="0.25"/>
    <row r="124353" customFormat="1" x14ac:dyDescent="0.25"/>
    <row r="124354" customFormat="1" x14ac:dyDescent="0.25"/>
    <row r="124355" customFormat="1" x14ac:dyDescent="0.25"/>
    <row r="124356" customFormat="1" x14ac:dyDescent="0.25"/>
    <row r="124357" customFormat="1" x14ac:dyDescent="0.25"/>
    <row r="124358" customFormat="1" x14ac:dyDescent="0.25"/>
    <row r="124359" customFormat="1" x14ac:dyDescent="0.25"/>
    <row r="124360" customFormat="1" x14ac:dyDescent="0.25"/>
    <row r="124361" customFormat="1" x14ac:dyDescent="0.25"/>
    <row r="124362" customFormat="1" x14ac:dyDescent="0.25"/>
    <row r="124363" customFormat="1" x14ac:dyDescent="0.25"/>
    <row r="124364" customFormat="1" x14ac:dyDescent="0.25"/>
    <row r="124365" customFormat="1" x14ac:dyDescent="0.25"/>
    <row r="124366" customFormat="1" x14ac:dyDescent="0.25"/>
    <row r="124367" customFormat="1" x14ac:dyDescent="0.25"/>
    <row r="124368" customFormat="1" x14ac:dyDescent="0.25"/>
    <row r="124369" customFormat="1" x14ac:dyDescent="0.25"/>
    <row r="124370" customFormat="1" x14ac:dyDescent="0.25"/>
    <row r="124371" customFormat="1" x14ac:dyDescent="0.25"/>
    <row r="124372" customFormat="1" x14ac:dyDescent="0.25"/>
    <row r="124373" customFormat="1" x14ac:dyDescent="0.25"/>
    <row r="124374" customFormat="1" x14ac:dyDescent="0.25"/>
    <row r="124375" customFormat="1" x14ac:dyDescent="0.25"/>
    <row r="124376" customFormat="1" x14ac:dyDescent="0.25"/>
    <row r="124377" customFormat="1" x14ac:dyDescent="0.25"/>
    <row r="124378" customFormat="1" x14ac:dyDescent="0.25"/>
    <row r="124379" customFormat="1" x14ac:dyDescent="0.25"/>
    <row r="124380" customFormat="1" x14ac:dyDescent="0.25"/>
    <row r="124381" customFormat="1" x14ac:dyDescent="0.25"/>
    <row r="124382" customFormat="1" x14ac:dyDescent="0.25"/>
    <row r="124383" customFormat="1" x14ac:dyDescent="0.25"/>
    <row r="124384" customFormat="1" x14ac:dyDescent="0.25"/>
    <row r="124385" customFormat="1" x14ac:dyDescent="0.25"/>
    <row r="124386" customFormat="1" x14ac:dyDescent="0.25"/>
    <row r="124387" customFormat="1" x14ac:dyDescent="0.25"/>
    <row r="124388" customFormat="1" x14ac:dyDescent="0.25"/>
    <row r="124389" customFormat="1" x14ac:dyDescent="0.25"/>
    <row r="124390" customFormat="1" x14ac:dyDescent="0.25"/>
    <row r="124391" customFormat="1" x14ac:dyDescent="0.25"/>
    <row r="124392" customFormat="1" x14ac:dyDescent="0.25"/>
    <row r="124393" customFormat="1" x14ac:dyDescent="0.25"/>
    <row r="124394" customFormat="1" x14ac:dyDescent="0.25"/>
    <row r="124395" customFormat="1" x14ac:dyDescent="0.25"/>
    <row r="124396" customFormat="1" x14ac:dyDescent="0.25"/>
    <row r="124397" customFormat="1" x14ac:dyDescent="0.25"/>
    <row r="124398" customFormat="1" x14ac:dyDescent="0.25"/>
    <row r="124399" customFormat="1" x14ac:dyDescent="0.25"/>
    <row r="124400" customFormat="1" x14ac:dyDescent="0.25"/>
    <row r="124401" customFormat="1" x14ac:dyDescent="0.25"/>
    <row r="124402" customFormat="1" x14ac:dyDescent="0.25"/>
    <row r="124403" customFormat="1" x14ac:dyDescent="0.25"/>
    <row r="124404" customFormat="1" x14ac:dyDescent="0.25"/>
    <row r="124405" customFormat="1" x14ac:dyDescent="0.25"/>
    <row r="124406" customFormat="1" x14ac:dyDescent="0.25"/>
    <row r="124407" customFormat="1" x14ac:dyDescent="0.25"/>
    <row r="124408" customFormat="1" x14ac:dyDescent="0.25"/>
    <row r="124409" customFormat="1" x14ac:dyDescent="0.25"/>
    <row r="124410" customFormat="1" x14ac:dyDescent="0.25"/>
    <row r="124411" customFormat="1" x14ac:dyDescent="0.25"/>
    <row r="124412" customFormat="1" x14ac:dyDescent="0.25"/>
    <row r="124413" customFormat="1" x14ac:dyDescent="0.25"/>
    <row r="124414" customFormat="1" x14ac:dyDescent="0.25"/>
    <row r="124415" customFormat="1" x14ac:dyDescent="0.25"/>
    <row r="124416" customFormat="1" x14ac:dyDescent="0.25"/>
    <row r="124417" customFormat="1" x14ac:dyDescent="0.25"/>
    <row r="124418" customFormat="1" x14ac:dyDescent="0.25"/>
    <row r="124419" customFormat="1" x14ac:dyDescent="0.25"/>
    <row r="124420" customFormat="1" x14ac:dyDescent="0.25"/>
    <row r="124421" customFormat="1" x14ac:dyDescent="0.25"/>
    <row r="124422" customFormat="1" x14ac:dyDescent="0.25"/>
    <row r="124423" customFormat="1" x14ac:dyDescent="0.25"/>
    <row r="124424" customFormat="1" x14ac:dyDescent="0.25"/>
    <row r="124425" customFormat="1" x14ac:dyDescent="0.25"/>
    <row r="124426" customFormat="1" x14ac:dyDescent="0.25"/>
    <row r="124427" customFormat="1" x14ac:dyDescent="0.25"/>
    <row r="124428" customFormat="1" x14ac:dyDescent="0.25"/>
    <row r="124429" customFormat="1" x14ac:dyDescent="0.25"/>
    <row r="124430" customFormat="1" x14ac:dyDescent="0.25"/>
    <row r="124431" customFormat="1" x14ac:dyDescent="0.25"/>
    <row r="124432" customFormat="1" x14ac:dyDescent="0.25"/>
    <row r="124433" customFormat="1" x14ac:dyDescent="0.25"/>
    <row r="124434" customFormat="1" x14ac:dyDescent="0.25"/>
    <row r="124435" customFormat="1" x14ac:dyDescent="0.25"/>
    <row r="124436" customFormat="1" x14ac:dyDescent="0.25"/>
    <row r="124437" customFormat="1" x14ac:dyDescent="0.25"/>
    <row r="124438" customFormat="1" x14ac:dyDescent="0.25"/>
    <row r="124439" customFormat="1" x14ac:dyDescent="0.25"/>
    <row r="124440" customFormat="1" x14ac:dyDescent="0.25"/>
    <row r="124441" customFormat="1" x14ac:dyDescent="0.25"/>
    <row r="124442" customFormat="1" x14ac:dyDescent="0.25"/>
    <row r="124443" customFormat="1" x14ac:dyDescent="0.25"/>
    <row r="124444" customFormat="1" x14ac:dyDescent="0.25"/>
    <row r="124445" customFormat="1" x14ac:dyDescent="0.25"/>
    <row r="124446" customFormat="1" x14ac:dyDescent="0.25"/>
    <row r="124447" customFormat="1" x14ac:dyDescent="0.25"/>
    <row r="124448" customFormat="1" x14ac:dyDescent="0.25"/>
    <row r="124449" customFormat="1" x14ac:dyDescent="0.25"/>
    <row r="124450" customFormat="1" x14ac:dyDescent="0.25"/>
    <row r="124451" customFormat="1" x14ac:dyDescent="0.25"/>
    <row r="124452" customFormat="1" x14ac:dyDescent="0.25"/>
    <row r="124453" customFormat="1" x14ac:dyDescent="0.25"/>
    <row r="124454" customFormat="1" x14ac:dyDescent="0.25"/>
    <row r="124455" customFormat="1" x14ac:dyDescent="0.25"/>
    <row r="124456" customFormat="1" x14ac:dyDescent="0.25"/>
    <row r="124457" customFormat="1" x14ac:dyDescent="0.25"/>
    <row r="124458" customFormat="1" x14ac:dyDescent="0.25"/>
    <row r="124459" customFormat="1" x14ac:dyDescent="0.25"/>
    <row r="124460" customFormat="1" x14ac:dyDescent="0.25"/>
    <row r="124461" customFormat="1" x14ac:dyDescent="0.25"/>
    <row r="124462" customFormat="1" x14ac:dyDescent="0.25"/>
    <row r="124463" customFormat="1" x14ac:dyDescent="0.25"/>
    <row r="124464" customFormat="1" x14ac:dyDescent="0.25"/>
    <row r="124465" customFormat="1" x14ac:dyDescent="0.25"/>
    <row r="124466" customFormat="1" x14ac:dyDescent="0.25"/>
    <row r="124467" customFormat="1" x14ac:dyDescent="0.25"/>
    <row r="124468" customFormat="1" x14ac:dyDescent="0.25"/>
    <row r="124469" customFormat="1" x14ac:dyDescent="0.25"/>
    <row r="124470" customFormat="1" x14ac:dyDescent="0.25"/>
    <row r="124471" customFormat="1" x14ac:dyDescent="0.25"/>
    <row r="124472" customFormat="1" x14ac:dyDescent="0.25"/>
    <row r="124473" customFormat="1" x14ac:dyDescent="0.25"/>
    <row r="124474" customFormat="1" x14ac:dyDescent="0.25"/>
    <row r="124475" customFormat="1" x14ac:dyDescent="0.25"/>
    <row r="124476" customFormat="1" x14ac:dyDescent="0.25"/>
    <row r="124477" customFormat="1" x14ac:dyDescent="0.25"/>
    <row r="124478" customFormat="1" x14ac:dyDescent="0.25"/>
    <row r="124479" customFormat="1" x14ac:dyDescent="0.25"/>
    <row r="124480" customFormat="1" x14ac:dyDescent="0.25"/>
    <row r="124481" customFormat="1" x14ac:dyDescent="0.25"/>
    <row r="124482" customFormat="1" x14ac:dyDescent="0.25"/>
    <row r="124483" customFormat="1" x14ac:dyDescent="0.25"/>
    <row r="124484" customFormat="1" x14ac:dyDescent="0.25"/>
    <row r="124485" customFormat="1" x14ac:dyDescent="0.25"/>
    <row r="124486" customFormat="1" x14ac:dyDescent="0.25"/>
    <row r="124487" customFormat="1" x14ac:dyDescent="0.25"/>
    <row r="124488" customFormat="1" x14ac:dyDescent="0.25"/>
    <row r="124489" customFormat="1" x14ac:dyDescent="0.25"/>
    <row r="124490" customFormat="1" x14ac:dyDescent="0.25"/>
    <row r="124491" customFormat="1" x14ac:dyDescent="0.25"/>
    <row r="124492" customFormat="1" x14ac:dyDescent="0.25"/>
    <row r="124493" customFormat="1" x14ac:dyDescent="0.25"/>
    <row r="124494" customFormat="1" x14ac:dyDescent="0.25"/>
    <row r="124495" customFormat="1" x14ac:dyDescent="0.25"/>
    <row r="124496" customFormat="1" x14ac:dyDescent="0.25"/>
    <row r="124497" customFormat="1" x14ac:dyDescent="0.25"/>
    <row r="124498" customFormat="1" x14ac:dyDescent="0.25"/>
    <row r="124499" customFormat="1" x14ac:dyDescent="0.25"/>
    <row r="124500" customFormat="1" x14ac:dyDescent="0.25"/>
    <row r="124501" customFormat="1" x14ac:dyDescent="0.25"/>
    <row r="124502" customFormat="1" x14ac:dyDescent="0.25"/>
    <row r="124503" customFormat="1" x14ac:dyDescent="0.25"/>
    <row r="124504" customFormat="1" x14ac:dyDescent="0.25"/>
    <row r="124505" customFormat="1" x14ac:dyDescent="0.25"/>
    <row r="124506" customFormat="1" x14ac:dyDescent="0.25"/>
    <row r="124507" customFormat="1" x14ac:dyDescent="0.25"/>
    <row r="124508" customFormat="1" x14ac:dyDescent="0.25"/>
    <row r="124509" customFormat="1" x14ac:dyDescent="0.25"/>
    <row r="124510" customFormat="1" x14ac:dyDescent="0.25"/>
    <row r="124511" customFormat="1" x14ac:dyDescent="0.25"/>
    <row r="124512" customFormat="1" x14ac:dyDescent="0.25"/>
    <row r="124513" customFormat="1" x14ac:dyDescent="0.25"/>
    <row r="124514" customFormat="1" x14ac:dyDescent="0.25"/>
    <row r="124515" customFormat="1" x14ac:dyDescent="0.25"/>
    <row r="124516" customFormat="1" x14ac:dyDescent="0.25"/>
    <row r="124517" customFormat="1" x14ac:dyDescent="0.25"/>
    <row r="124518" customFormat="1" x14ac:dyDescent="0.25"/>
    <row r="124519" customFormat="1" x14ac:dyDescent="0.25"/>
    <row r="124520" customFormat="1" x14ac:dyDescent="0.25"/>
    <row r="124521" customFormat="1" x14ac:dyDescent="0.25"/>
    <row r="124522" customFormat="1" x14ac:dyDescent="0.25"/>
    <row r="124523" customFormat="1" x14ac:dyDescent="0.25"/>
    <row r="124524" customFormat="1" x14ac:dyDescent="0.25"/>
    <row r="124525" customFormat="1" x14ac:dyDescent="0.25"/>
    <row r="124526" customFormat="1" x14ac:dyDescent="0.25"/>
    <row r="124527" customFormat="1" x14ac:dyDescent="0.25"/>
    <row r="124528" customFormat="1" x14ac:dyDescent="0.25"/>
    <row r="124529" customFormat="1" x14ac:dyDescent="0.25"/>
    <row r="124530" customFormat="1" x14ac:dyDescent="0.25"/>
    <row r="124531" customFormat="1" x14ac:dyDescent="0.25"/>
    <row r="124532" customFormat="1" x14ac:dyDescent="0.25"/>
    <row r="124533" customFormat="1" x14ac:dyDescent="0.25"/>
    <row r="124534" customFormat="1" x14ac:dyDescent="0.25"/>
    <row r="124535" customFormat="1" x14ac:dyDescent="0.25"/>
    <row r="124536" customFormat="1" x14ac:dyDescent="0.25"/>
    <row r="124537" customFormat="1" x14ac:dyDescent="0.25"/>
    <row r="124538" customFormat="1" x14ac:dyDescent="0.25"/>
    <row r="124539" customFormat="1" x14ac:dyDescent="0.25"/>
    <row r="124540" customFormat="1" x14ac:dyDescent="0.25"/>
    <row r="124541" customFormat="1" x14ac:dyDescent="0.25"/>
    <row r="124542" customFormat="1" x14ac:dyDescent="0.25"/>
    <row r="124543" customFormat="1" x14ac:dyDescent="0.25"/>
    <row r="124544" customFormat="1" x14ac:dyDescent="0.25"/>
    <row r="124545" customFormat="1" x14ac:dyDescent="0.25"/>
    <row r="124546" customFormat="1" x14ac:dyDescent="0.25"/>
    <row r="124547" customFormat="1" x14ac:dyDescent="0.25"/>
    <row r="124548" customFormat="1" x14ac:dyDescent="0.25"/>
    <row r="124549" customFormat="1" x14ac:dyDescent="0.25"/>
    <row r="124550" customFormat="1" x14ac:dyDescent="0.25"/>
    <row r="124551" customFormat="1" x14ac:dyDescent="0.25"/>
    <row r="124552" customFormat="1" x14ac:dyDescent="0.25"/>
    <row r="124553" customFormat="1" x14ac:dyDescent="0.25"/>
    <row r="124554" customFormat="1" x14ac:dyDescent="0.25"/>
    <row r="124555" customFormat="1" x14ac:dyDescent="0.25"/>
    <row r="124556" customFormat="1" x14ac:dyDescent="0.25"/>
    <row r="124557" customFormat="1" x14ac:dyDescent="0.25"/>
    <row r="124558" customFormat="1" x14ac:dyDescent="0.25"/>
    <row r="124559" customFormat="1" x14ac:dyDescent="0.25"/>
    <row r="124560" customFormat="1" x14ac:dyDescent="0.25"/>
    <row r="124561" customFormat="1" x14ac:dyDescent="0.25"/>
    <row r="124562" customFormat="1" x14ac:dyDescent="0.25"/>
    <row r="124563" customFormat="1" x14ac:dyDescent="0.25"/>
    <row r="124564" customFormat="1" x14ac:dyDescent="0.25"/>
    <row r="124565" customFormat="1" x14ac:dyDescent="0.25"/>
    <row r="124566" customFormat="1" x14ac:dyDescent="0.25"/>
    <row r="124567" customFormat="1" x14ac:dyDescent="0.25"/>
    <row r="124568" customFormat="1" x14ac:dyDescent="0.25"/>
    <row r="124569" customFormat="1" x14ac:dyDescent="0.25"/>
    <row r="124570" customFormat="1" x14ac:dyDescent="0.25"/>
    <row r="124571" customFormat="1" x14ac:dyDescent="0.25"/>
    <row r="124572" customFormat="1" x14ac:dyDescent="0.25"/>
    <row r="124573" customFormat="1" x14ac:dyDescent="0.25"/>
    <row r="124574" customFormat="1" x14ac:dyDescent="0.25"/>
    <row r="124575" customFormat="1" x14ac:dyDescent="0.25"/>
    <row r="124576" customFormat="1" x14ac:dyDescent="0.25"/>
    <row r="124577" customFormat="1" x14ac:dyDescent="0.25"/>
    <row r="124578" customFormat="1" x14ac:dyDescent="0.25"/>
    <row r="124579" customFormat="1" x14ac:dyDescent="0.25"/>
    <row r="124580" customFormat="1" x14ac:dyDescent="0.25"/>
    <row r="124581" customFormat="1" x14ac:dyDescent="0.25"/>
    <row r="124582" customFormat="1" x14ac:dyDescent="0.25"/>
    <row r="124583" customFormat="1" x14ac:dyDescent="0.25"/>
    <row r="124584" customFormat="1" x14ac:dyDescent="0.25"/>
    <row r="124585" customFormat="1" x14ac:dyDescent="0.25"/>
    <row r="124586" customFormat="1" x14ac:dyDescent="0.25"/>
    <row r="124587" customFormat="1" x14ac:dyDescent="0.25"/>
    <row r="124588" customFormat="1" x14ac:dyDescent="0.25"/>
    <row r="124589" customFormat="1" x14ac:dyDescent="0.25"/>
    <row r="124590" customFormat="1" x14ac:dyDescent="0.25"/>
    <row r="124591" customFormat="1" x14ac:dyDescent="0.25"/>
    <row r="124592" customFormat="1" x14ac:dyDescent="0.25"/>
    <row r="124593" customFormat="1" x14ac:dyDescent="0.25"/>
    <row r="124594" customFormat="1" x14ac:dyDescent="0.25"/>
    <row r="124595" customFormat="1" x14ac:dyDescent="0.25"/>
    <row r="124596" customFormat="1" x14ac:dyDescent="0.25"/>
    <row r="124597" customFormat="1" x14ac:dyDescent="0.25"/>
    <row r="124598" customFormat="1" x14ac:dyDescent="0.25"/>
    <row r="124599" customFormat="1" x14ac:dyDescent="0.25"/>
    <row r="124600" customFormat="1" x14ac:dyDescent="0.25"/>
    <row r="124601" customFormat="1" x14ac:dyDescent="0.25"/>
    <row r="124602" customFormat="1" x14ac:dyDescent="0.25"/>
    <row r="124603" customFormat="1" x14ac:dyDescent="0.25"/>
    <row r="124604" customFormat="1" x14ac:dyDescent="0.25"/>
    <row r="124605" customFormat="1" x14ac:dyDescent="0.25"/>
    <row r="124606" customFormat="1" x14ac:dyDescent="0.25"/>
    <row r="124607" customFormat="1" x14ac:dyDescent="0.25"/>
    <row r="124608" customFormat="1" x14ac:dyDescent="0.25"/>
    <row r="124609" customFormat="1" x14ac:dyDescent="0.25"/>
    <row r="124610" customFormat="1" x14ac:dyDescent="0.25"/>
    <row r="124611" customFormat="1" x14ac:dyDescent="0.25"/>
    <row r="124612" customFormat="1" x14ac:dyDescent="0.25"/>
    <row r="124613" customFormat="1" x14ac:dyDescent="0.25"/>
    <row r="124614" customFormat="1" x14ac:dyDescent="0.25"/>
    <row r="124615" customFormat="1" x14ac:dyDescent="0.25"/>
    <row r="124616" customFormat="1" x14ac:dyDescent="0.25"/>
    <row r="124617" customFormat="1" x14ac:dyDescent="0.25"/>
    <row r="124618" customFormat="1" x14ac:dyDescent="0.25"/>
    <row r="124619" customFormat="1" x14ac:dyDescent="0.25"/>
    <row r="124620" customFormat="1" x14ac:dyDescent="0.25"/>
    <row r="124621" customFormat="1" x14ac:dyDescent="0.25"/>
    <row r="124622" customFormat="1" x14ac:dyDescent="0.25"/>
    <row r="124623" customFormat="1" x14ac:dyDescent="0.25"/>
    <row r="124624" customFormat="1" x14ac:dyDescent="0.25"/>
    <row r="124625" customFormat="1" x14ac:dyDescent="0.25"/>
    <row r="124626" customFormat="1" x14ac:dyDescent="0.25"/>
    <row r="124627" customFormat="1" x14ac:dyDescent="0.25"/>
    <row r="124628" customFormat="1" x14ac:dyDescent="0.25"/>
    <row r="124629" customFormat="1" x14ac:dyDescent="0.25"/>
    <row r="124630" customFormat="1" x14ac:dyDescent="0.25"/>
    <row r="124631" customFormat="1" x14ac:dyDescent="0.25"/>
    <row r="124632" customFormat="1" x14ac:dyDescent="0.25"/>
    <row r="124633" customFormat="1" x14ac:dyDescent="0.25"/>
    <row r="124634" customFormat="1" x14ac:dyDescent="0.25"/>
    <row r="124635" customFormat="1" x14ac:dyDescent="0.25"/>
    <row r="124636" customFormat="1" x14ac:dyDescent="0.25"/>
    <row r="124637" customFormat="1" x14ac:dyDescent="0.25"/>
    <row r="124638" customFormat="1" x14ac:dyDescent="0.25"/>
    <row r="124639" customFormat="1" x14ac:dyDescent="0.25"/>
    <row r="124640" customFormat="1" x14ac:dyDescent="0.25"/>
    <row r="124641" customFormat="1" x14ac:dyDescent="0.25"/>
    <row r="124642" customFormat="1" x14ac:dyDescent="0.25"/>
    <row r="124643" customFormat="1" x14ac:dyDescent="0.25"/>
    <row r="124644" customFormat="1" x14ac:dyDescent="0.25"/>
    <row r="124645" customFormat="1" x14ac:dyDescent="0.25"/>
    <row r="124646" customFormat="1" x14ac:dyDescent="0.25"/>
    <row r="124647" customFormat="1" x14ac:dyDescent="0.25"/>
    <row r="124648" customFormat="1" x14ac:dyDescent="0.25"/>
    <row r="124649" customFormat="1" x14ac:dyDescent="0.25"/>
    <row r="124650" customFormat="1" x14ac:dyDescent="0.25"/>
    <row r="124651" customFormat="1" x14ac:dyDescent="0.25"/>
    <row r="124652" customFormat="1" x14ac:dyDescent="0.25"/>
    <row r="124653" customFormat="1" x14ac:dyDescent="0.25"/>
    <row r="124654" customFormat="1" x14ac:dyDescent="0.25"/>
    <row r="124655" customFormat="1" x14ac:dyDescent="0.25"/>
    <row r="124656" customFormat="1" x14ac:dyDescent="0.25"/>
    <row r="124657" customFormat="1" x14ac:dyDescent="0.25"/>
    <row r="124658" customFormat="1" x14ac:dyDescent="0.25"/>
    <row r="124659" customFormat="1" x14ac:dyDescent="0.25"/>
    <row r="124660" customFormat="1" x14ac:dyDescent="0.25"/>
    <row r="124661" customFormat="1" x14ac:dyDescent="0.25"/>
    <row r="124662" customFormat="1" x14ac:dyDescent="0.25"/>
    <row r="124663" customFormat="1" x14ac:dyDescent="0.25"/>
    <row r="124664" customFormat="1" x14ac:dyDescent="0.25"/>
    <row r="124665" customFormat="1" x14ac:dyDescent="0.25"/>
    <row r="124666" customFormat="1" x14ac:dyDescent="0.25"/>
    <row r="124667" customFormat="1" x14ac:dyDescent="0.25"/>
    <row r="124668" customFormat="1" x14ac:dyDescent="0.25"/>
    <row r="124669" customFormat="1" x14ac:dyDescent="0.25"/>
    <row r="124670" customFormat="1" x14ac:dyDescent="0.25"/>
    <row r="124671" customFormat="1" x14ac:dyDescent="0.25"/>
    <row r="124672" customFormat="1" x14ac:dyDescent="0.25"/>
    <row r="124673" customFormat="1" x14ac:dyDescent="0.25"/>
    <row r="124674" customFormat="1" x14ac:dyDescent="0.25"/>
    <row r="124675" customFormat="1" x14ac:dyDescent="0.25"/>
    <row r="124676" customFormat="1" x14ac:dyDescent="0.25"/>
    <row r="124677" customFormat="1" x14ac:dyDescent="0.25"/>
    <row r="124678" customFormat="1" x14ac:dyDescent="0.25"/>
    <row r="124679" customFormat="1" x14ac:dyDescent="0.25"/>
    <row r="124680" customFormat="1" x14ac:dyDescent="0.25"/>
    <row r="124681" customFormat="1" x14ac:dyDescent="0.25"/>
    <row r="124682" customFormat="1" x14ac:dyDescent="0.25"/>
    <row r="124683" customFormat="1" x14ac:dyDescent="0.25"/>
    <row r="124684" customFormat="1" x14ac:dyDescent="0.25"/>
    <row r="124685" customFormat="1" x14ac:dyDescent="0.25"/>
    <row r="124686" customFormat="1" x14ac:dyDescent="0.25"/>
    <row r="124687" customFormat="1" x14ac:dyDescent="0.25"/>
    <row r="124688" customFormat="1" x14ac:dyDescent="0.25"/>
    <row r="124689" customFormat="1" x14ac:dyDescent="0.25"/>
    <row r="124690" customFormat="1" x14ac:dyDescent="0.25"/>
    <row r="124691" customFormat="1" x14ac:dyDescent="0.25"/>
    <row r="124692" customFormat="1" x14ac:dyDescent="0.25"/>
    <row r="124693" customFormat="1" x14ac:dyDescent="0.25"/>
    <row r="124694" customFormat="1" x14ac:dyDescent="0.25"/>
    <row r="124695" customFormat="1" x14ac:dyDescent="0.25"/>
    <row r="124696" customFormat="1" x14ac:dyDescent="0.25"/>
    <row r="124697" customFormat="1" x14ac:dyDescent="0.25"/>
    <row r="124698" customFormat="1" x14ac:dyDescent="0.25"/>
    <row r="124699" customFormat="1" x14ac:dyDescent="0.25"/>
    <row r="124700" customFormat="1" x14ac:dyDescent="0.25"/>
    <row r="124701" customFormat="1" x14ac:dyDescent="0.25"/>
    <row r="124702" customFormat="1" x14ac:dyDescent="0.25"/>
    <row r="124703" customFormat="1" x14ac:dyDescent="0.25"/>
    <row r="124704" customFormat="1" x14ac:dyDescent="0.25"/>
    <row r="124705" customFormat="1" x14ac:dyDescent="0.25"/>
    <row r="124706" customFormat="1" x14ac:dyDescent="0.25"/>
    <row r="124707" customFormat="1" x14ac:dyDescent="0.25"/>
    <row r="124708" customFormat="1" x14ac:dyDescent="0.25"/>
    <row r="124709" customFormat="1" x14ac:dyDescent="0.25"/>
    <row r="124710" customFormat="1" x14ac:dyDescent="0.25"/>
    <row r="124711" customFormat="1" x14ac:dyDescent="0.25"/>
    <row r="124712" customFormat="1" x14ac:dyDescent="0.25"/>
    <row r="124713" customFormat="1" x14ac:dyDescent="0.25"/>
    <row r="124714" customFormat="1" x14ac:dyDescent="0.25"/>
    <row r="124715" customFormat="1" x14ac:dyDescent="0.25"/>
    <row r="124716" customFormat="1" x14ac:dyDescent="0.25"/>
    <row r="124717" customFormat="1" x14ac:dyDescent="0.25"/>
    <row r="124718" customFormat="1" x14ac:dyDescent="0.25"/>
    <row r="124719" customFormat="1" x14ac:dyDescent="0.25"/>
    <row r="124720" customFormat="1" x14ac:dyDescent="0.25"/>
    <row r="124721" customFormat="1" x14ac:dyDescent="0.25"/>
    <row r="124722" customFormat="1" x14ac:dyDescent="0.25"/>
    <row r="124723" customFormat="1" x14ac:dyDescent="0.25"/>
    <row r="124724" customFormat="1" x14ac:dyDescent="0.25"/>
    <row r="124725" customFormat="1" x14ac:dyDescent="0.25"/>
    <row r="124726" customFormat="1" x14ac:dyDescent="0.25"/>
    <row r="124727" customFormat="1" x14ac:dyDescent="0.25"/>
    <row r="124728" customFormat="1" x14ac:dyDescent="0.25"/>
    <row r="124729" customFormat="1" x14ac:dyDescent="0.25"/>
    <row r="124730" customFormat="1" x14ac:dyDescent="0.25"/>
    <row r="124731" customFormat="1" x14ac:dyDescent="0.25"/>
    <row r="124732" customFormat="1" x14ac:dyDescent="0.25"/>
    <row r="124733" customFormat="1" x14ac:dyDescent="0.25"/>
    <row r="124734" customFormat="1" x14ac:dyDescent="0.25"/>
    <row r="124735" customFormat="1" x14ac:dyDescent="0.25"/>
    <row r="124736" customFormat="1" x14ac:dyDescent="0.25"/>
    <row r="124737" customFormat="1" x14ac:dyDescent="0.25"/>
    <row r="124738" customFormat="1" x14ac:dyDescent="0.25"/>
    <row r="124739" customFormat="1" x14ac:dyDescent="0.25"/>
    <row r="124740" customFormat="1" x14ac:dyDescent="0.25"/>
    <row r="124741" customFormat="1" x14ac:dyDescent="0.25"/>
    <row r="124742" customFormat="1" x14ac:dyDescent="0.25"/>
    <row r="124743" customFormat="1" x14ac:dyDescent="0.25"/>
    <row r="124744" customFormat="1" x14ac:dyDescent="0.25"/>
    <row r="124745" customFormat="1" x14ac:dyDescent="0.25"/>
    <row r="124746" customFormat="1" x14ac:dyDescent="0.25"/>
    <row r="124747" customFormat="1" x14ac:dyDescent="0.25"/>
    <row r="124748" customFormat="1" x14ac:dyDescent="0.25"/>
    <row r="124749" customFormat="1" x14ac:dyDescent="0.25"/>
    <row r="124750" customFormat="1" x14ac:dyDescent="0.25"/>
    <row r="124751" customFormat="1" x14ac:dyDescent="0.25"/>
    <row r="124752" customFormat="1" x14ac:dyDescent="0.25"/>
    <row r="124753" customFormat="1" x14ac:dyDescent="0.25"/>
    <row r="124754" customFormat="1" x14ac:dyDescent="0.25"/>
    <row r="124755" customFormat="1" x14ac:dyDescent="0.25"/>
    <row r="124756" customFormat="1" x14ac:dyDescent="0.25"/>
    <row r="124757" customFormat="1" x14ac:dyDescent="0.25"/>
    <row r="124758" customFormat="1" x14ac:dyDescent="0.25"/>
    <row r="124759" customFormat="1" x14ac:dyDescent="0.25"/>
    <row r="124760" customFormat="1" x14ac:dyDescent="0.25"/>
    <row r="124761" customFormat="1" x14ac:dyDescent="0.25"/>
    <row r="124762" customFormat="1" x14ac:dyDescent="0.25"/>
    <row r="124763" customFormat="1" x14ac:dyDescent="0.25"/>
    <row r="124764" customFormat="1" x14ac:dyDescent="0.25"/>
    <row r="124765" customFormat="1" x14ac:dyDescent="0.25"/>
    <row r="124766" customFormat="1" x14ac:dyDescent="0.25"/>
    <row r="124767" customFormat="1" x14ac:dyDescent="0.25"/>
    <row r="124768" customFormat="1" x14ac:dyDescent="0.25"/>
    <row r="124769" customFormat="1" x14ac:dyDescent="0.25"/>
    <row r="124770" customFormat="1" x14ac:dyDescent="0.25"/>
    <row r="124771" customFormat="1" x14ac:dyDescent="0.25"/>
    <row r="124772" customFormat="1" x14ac:dyDescent="0.25"/>
    <row r="124773" customFormat="1" x14ac:dyDescent="0.25"/>
    <row r="124774" customFormat="1" x14ac:dyDescent="0.25"/>
    <row r="124775" customFormat="1" x14ac:dyDescent="0.25"/>
    <row r="124776" customFormat="1" x14ac:dyDescent="0.25"/>
    <row r="124777" customFormat="1" x14ac:dyDescent="0.25"/>
    <row r="124778" customFormat="1" x14ac:dyDescent="0.25"/>
    <row r="124779" customFormat="1" x14ac:dyDescent="0.25"/>
    <row r="124780" customFormat="1" x14ac:dyDescent="0.25"/>
    <row r="124781" customFormat="1" x14ac:dyDescent="0.25"/>
    <row r="124782" customFormat="1" x14ac:dyDescent="0.25"/>
    <row r="124783" customFormat="1" x14ac:dyDescent="0.25"/>
    <row r="124784" customFormat="1" x14ac:dyDescent="0.25"/>
    <row r="124785" customFormat="1" x14ac:dyDescent="0.25"/>
    <row r="124786" customFormat="1" x14ac:dyDescent="0.25"/>
    <row r="124787" customFormat="1" x14ac:dyDescent="0.25"/>
    <row r="124788" customFormat="1" x14ac:dyDescent="0.25"/>
    <row r="124789" customFormat="1" x14ac:dyDescent="0.25"/>
    <row r="124790" customFormat="1" x14ac:dyDescent="0.25"/>
    <row r="124791" customFormat="1" x14ac:dyDescent="0.25"/>
    <row r="124792" customFormat="1" x14ac:dyDescent="0.25"/>
    <row r="124793" customFormat="1" x14ac:dyDescent="0.25"/>
    <row r="124794" customFormat="1" x14ac:dyDescent="0.25"/>
    <row r="124795" customFormat="1" x14ac:dyDescent="0.25"/>
    <row r="124796" customFormat="1" x14ac:dyDescent="0.25"/>
    <row r="124797" customFormat="1" x14ac:dyDescent="0.25"/>
    <row r="124798" customFormat="1" x14ac:dyDescent="0.25"/>
    <row r="124799" customFormat="1" x14ac:dyDescent="0.25"/>
    <row r="124800" customFormat="1" x14ac:dyDescent="0.25"/>
    <row r="124801" customFormat="1" x14ac:dyDescent="0.25"/>
    <row r="124802" customFormat="1" x14ac:dyDescent="0.25"/>
    <row r="124803" customFormat="1" x14ac:dyDescent="0.25"/>
    <row r="124804" customFormat="1" x14ac:dyDescent="0.25"/>
    <row r="124805" customFormat="1" x14ac:dyDescent="0.25"/>
    <row r="124806" customFormat="1" x14ac:dyDescent="0.25"/>
    <row r="124807" customFormat="1" x14ac:dyDescent="0.25"/>
    <row r="124808" customFormat="1" x14ac:dyDescent="0.25"/>
    <row r="124809" customFormat="1" x14ac:dyDescent="0.25"/>
    <row r="124810" customFormat="1" x14ac:dyDescent="0.25"/>
    <row r="124811" customFormat="1" x14ac:dyDescent="0.25"/>
    <row r="124812" customFormat="1" x14ac:dyDescent="0.25"/>
    <row r="124813" customFormat="1" x14ac:dyDescent="0.25"/>
    <row r="124814" customFormat="1" x14ac:dyDescent="0.25"/>
    <row r="124815" customFormat="1" x14ac:dyDescent="0.25"/>
    <row r="124816" customFormat="1" x14ac:dyDescent="0.25"/>
    <row r="124817" customFormat="1" x14ac:dyDescent="0.25"/>
    <row r="124818" customFormat="1" x14ac:dyDescent="0.25"/>
    <row r="124819" customFormat="1" x14ac:dyDescent="0.25"/>
    <row r="124820" customFormat="1" x14ac:dyDescent="0.25"/>
    <row r="124821" customFormat="1" x14ac:dyDescent="0.25"/>
    <row r="124822" customFormat="1" x14ac:dyDescent="0.25"/>
    <row r="124823" customFormat="1" x14ac:dyDescent="0.25"/>
    <row r="124824" customFormat="1" x14ac:dyDescent="0.25"/>
    <row r="124825" customFormat="1" x14ac:dyDescent="0.25"/>
    <row r="124826" customFormat="1" x14ac:dyDescent="0.25"/>
    <row r="124827" customFormat="1" x14ac:dyDescent="0.25"/>
    <row r="124828" customFormat="1" x14ac:dyDescent="0.25"/>
    <row r="124829" customFormat="1" x14ac:dyDescent="0.25"/>
    <row r="124830" customFormat="1" x14ac:dyDescent="0.25"/>
    <row r="124831" customFormat="1" x14ac:dyDescent="0.25"/>
    <row r="124832" customFormat="1" x14ac:dyDescent="0.25"/>
    <row r="124833" customFormat="1" x14ac:dyDescent="0.25"/>
    <row r="124834" customFormat="1" x14ac:dyDescent="0.25"/>
    <row r="124835" customFormat="1" x14ac:dyDescent="0.25"/>
    <row r="124836" customFormat="1" x14ac:dyDescent="0.25"/>
    <row r="124837" customFormat="1" x14ac:dyDescent="0.25"/>
    <row r="124838" customFormat="1" x14ac:dyDescent="0.25"/>
    <row r="124839" customFormat="1" x14ac:dyDescent="0.25"/>
    <row r="124840" customFormat="1" x14ac:dyDescent="0.25"/>
    <row r="124841" customFormat="1" x14ac:dyDescent="0.25"/>
    <row r="124842" customFormat="1" x14ac:dyDescent="0.25"/>
    <row r="124843" customFormat="1" x14ac:dyDescent="0.25"/>
    <row r="124844" customFormat="1" x14ac:dyDescent="0.25"/>
    <row r="124845" customFormat="1" x14ac:dyDescent="0.25"/>
    <row r="124846" customFormat="1" x14ac:dyDescent="0.25"/>
    <row r="124847" customFormat="1" x14ac:dyDescent="0.25"/>
    <row r="124848" customFormat="1" x14ac:dyDescent="0.25"/>
    <row r="124849" customFormat="1" x14ac:dyDescent="0.25"/>
    <row r="124850" customFormat="1" x14ac:dyDescent="0.25"/>
    <row r="124851" customFormat="1" x14ac:dyDescent="0.25"/>
    <row r="124852" customFormat="1" x14ac:dyDescent="0.25"/>
    <row r="124853" customFormat="1" x14ac:dyDescent="0.25"/>
    <row r="124854" customFormat="1" x14ac:dyDescent="0.25"/>
    <row r="124855" customFormat="1" x14ac:dyDescent="0.25"/>
    <row r="124856" customFormat="1" x14ac:dyDescent="0.25"/>
    <row r="124857" customFormat="1" x14ac:dyDescent="0.25"/>
    <row r="124858" customFormat="1" x14ac:dyDescent="0.25"/>
    <row r="124859" customFormat="1" x14ac:dyDescent="0.25"/>
    <row r="124860" customFormat="1" x14ac:dyDescent="0.25"/>
    <row r="124861" customFormat="1" x14ac:dyDescent="0.25"/>
    <row r="124862" customFormat="1" x14ac:dyDescent="0.25"/>
    <row r="124863" customFormat="1" x14ac:dyDescent="0.25"/>
    <row r="124864" customFormat="1" x14ac:dyDescent="0.25"/>
    <row r="124865" customFormat="1" x14ac:dyDescent="0.25"/>
    <row r="124866" customFormat="1" x14ac:dyDescent="0.25"/>
    <row r="124867" customFormat="1" x14ac:dyDescent="0.25"/>
    <row r="124868" customFormat="1" x14ac:dyDescent="0.25"/>
    <row r="124869" customFormat="1" x14ac:dyDescent="0.25"/>
    <row r="124870" customFormat="1" x14ac:dyDescent="0.25"/>
    <row r="124871" customFormat="1" x14ac:dyDescent="0.25"/>
    <row r="124872" customFormat="1" x14ac:dyDescent="0.25"/>
    <row r="124873" customFormat="1" x14ac:dyDescent="0.25"/>
    <row r="124874" customFormat="1" x14ac:dyDescent="0.25"/>
    <row r="124875" customFormat="1" x14ac:dyDescent="0.25"/>
    <row r="124876" customFormat="1" x14ac:dyDescent="0.25"/>
    <row r="124877" customFormat="1" x14ac:dyDescent="0.25"/>
    <row r="124878" customFormat="1" x14ac:dyDescent="0.25"/>
    <row r="124879" customFormat="1" x14ac:dyDescent="0.25"/>
    <row r="124880" customFormat="1" x14ac:dyDescent="0.25"/>
    <row r="124881" customFormat="1" x14ac:dyDescent="0.25"/>
    <row r="124882" customFormat="1" x14ac:dyDescent="0.25"/>
    <row r="124883" customFormat="1" x14ac:dyDescent="0.25"/>
    <row r="124884" customFormat="1" x14ac:dyDescent="0.25"/>
    <row r="124885" customFormat="1" x14ac:dyDescent="0.25"/>
    <row r="124886" customFormat="1" x14ac:dyDescent="0.25"/>
    <row r="124887" customFormat="1" x14ac:dyDescent="0.25"/>
    <row r="124888" customFormat="1" x14ac:dyDescent="0.25"/>
    <row r="124889" customFormat="1" x14ac:dyDescent="0.25"/>
    <row r="124890" customFormat="1" x14ac:dyDescent="0.25"/>
    <row r="124891" customFormat="1" x14ac:dyDescent="0.25"/>
    <row r="124892" customFormat="1" x14ac:dyDescent="0.25"/>
    <row r="124893" customFormat="1" x14ac:dyDescent="0.25"/>
    <row r="124894" customFormat="1" x14ac:dyDescent="0.25"/>
    <row r="124895" customFormat="1" x14ac:dyDescent="0.25"/>
    <row r="124896" customFormat="1" x14ac:dyDescent="0.25"/>
    <row r="124897" customFormat="1" x14ac:dyDescent="0.25"/>
    <row r="124898" customFormat="1" x14ac:dyDescent="0.25"/>
    <row r="124899" customFormat="1" x14ac:dyDescent="0.25"/>
    <row r="124900" customFormat="1" x14ac:dyDescent="0.25"/>
    <row r="124901" customFormat="1" x14ac:dyDescent="0.25"/>
    <row r="124902" customFormat="1" x14ac:dyDescent="0.25"/>
    <row r="124903" customFormat="1" x14ac:dyDescent="0.25"/>
    <row r="124904" customFormat="1" x14ac:dyDescent="0.25"/>
    <row r="124905" customFormat="1" x14ac:dyDescent="0.25"/>
    <row r="124906" customFormat="1" x14ac:dyDescent="0.25"/>
    <row r="124907" customFormat="1" x14ac:dyDescent="0.25"/>
    <row r="124908" customFormat="1" x14ac:dyDescent="0.25"/>
    <row r="124909" customFormat="1" x14ac:dyDescent="0.25"/>
    <row r="124910" customFormat="1" x14ac:dyDescent="0.25"/>
    <row r="124911" customFormat="1" x14ac:dyDescent="0.25"/>
    <row r="124912" customFormat="1" x14ac:dyDescent="0.25"/>
    <row r="124913" customFormat="1" x14ac:dyDescent="0.25"/>
    <row r="124914" customFormat="1" x14ac:dyDescent="0.25"/>
    <row r="124915" customFormat="1" x14ac:dyDescent="0.25"/>
    <row r="124916" customFormat="1" x14ac:dyDescent="0.25"/>
    <row r="124917" customFormat="1" x14ac:dyDescent="0.25"/>
    <row r="124918" customFormat="1" x14ac:dyDescent="0.25"/>
    <row r="124919" customFormat="1" x14ac:dyDescent="0.25"/>
    <row r="124920" customFormat="1" x14ac:dyDescent="0.25"/>
    <row r="124921" customFormat="1" x14ac:dyDescent="0.25"/>
    <row r="124922" customFormat="1" x14ac:dyDescent="0.25"/>
    <row r="124923" customFormat="1" x14ac:dyDescent="0.25"/>
    <row r="124924" customFormat="1" x14ac:dyDescent="0.25"/>
    <row r="124925" customFormat="1" x14ac:dyDescent="0.25"/>
    <row r="124926" customFormat="1" x14ac:dyDescent="0.25"/>
    <row r="124927" customFormat="1" x14ac:dyDescent="0.25"/>
    <row r="124928" customFormat="1" x14ac:dyDescent="0.25"/>
    <row r="124929" customFormat="1" x14ac:dyDescent="0.25"/>
    <row r="124930" customFormat="1" x14ac:dyDescent="0.25"/>
    <row r="124931" customFormat="1" x14ac:dyDescent="0.25"/>
    <row r="124932" customFormat="1" x14ac:dyDescent="0.25"/>
    <row r="124933" customFormat="1" x14ac:dyDescent="0.25"/>
    <row r="124934" customFormat="1" x14ac:dyDescent="0.25"/>
    <row r="124935" customFormat="1" x14ac:dyDescent="0.25"/>
    <row r="124936" customFormat="1" x14ac:dyDescent="0.25"/>
    <row r="124937" customFormat="1" x14ac:dyDescent="0.25"/>
    <row r="124938" customFormat="1" x14ac:dyDescent="0.25"/>
    <row r="124939" customFormat="1" x14ac:dyDescent="0.25"/>
    <row r="124940" customFormat="1" x14ac:dyDescent="0.25"/>
    <row r="124941" customFormat="1" x14ac:dyDescent="0.25"/>
    <row r="124942" customFormat="1" x14ac:dyDescent="0.25"/>
    <row r="124943" customFormat="1" x14ac:dyDescent="0.25"/>
    <row r="124944" customFormat="1" x14ac:dyDescent="0.25"/>
    <row r="124945" customFormat="1" x14ac:dyDescent="0.25"/>
    <row r="124946" customFormat="1" x14ac:dyDescent="0.25"/>
    <row r="124947" customFormat="1" x14ac:dyDescent="0.25"/>
    <row r="124948" customFormat="1" x14ac:dyDescent="0.25"/>
    <row r="124949" customFormat="1" x14ac:dyDescent="0.25"/>
    <row r="124950" customFormat="1" x14ac:dyDescent="0.25"/>
    <row r="124951" customFormat="1" x14ac:dyDescent="0.25"/>
    <row r="124952" customFormat="1" x14ac:dyDescent="0.25"/>
    <row r="124953" customFormat="1" x14ac:dyDescent="0.25"/>
    <row r="124954" customFormat="1" x14ac:dyDescent="0.25"/>
    <row r="124955" customFormat="1" x14ac:dyDescent="0.25"/>
    <row r="124956" customFormat="1" x14ac:dyDescent="0.25"/>
    <row r="124957" customFormat="1" x14ac:dyDescent="0.25"/>
    <row r="124958" customFormat="1" x14ac:dyDescent="0.25"/>
    <row r="124959" customFormat="1" x14ac:dyDescent="0.25"/>
    <row r="124960" customFormat="1" x14ac:dyDescent="0.25"/>
    <row r="124961" customFormat="1" x14ac:dyDescent="0.25"/>
    <row r="124962" customFormat="1" x14ac:dyDescent="0.25"/>
    <row r="124963" customFormat="1" x14ac:dyDescent="0.25"/>
    <row r="124964" customFormat="1" x14ac:dyDescent="0.25"/>
    <row r="124965" customFormat="1" x14ac:dyDescent="0.25"/>
    <row r="124966" customFormat="1" x14ac:dyDescent="0.25"/>
    <row r="124967" customFormat="1" x14ac:dyDescent="0.25"/>
    <row r="124968" customFormat="1" x14ac:dyDescent="0.25"/>
    <row r="124969" customFormat="1" x14ac:dyDescent="0.25"/>
    <row r="124970" customFormat="1" x14ac:dyDescent="0.25"/>
    <row r="124971" customFormat="1" x14ac:dyDescent="0.25"/>
    <row r="124972" customFormat="1" x14ac:dyDescent="0.25"/>
    <row r="124973" customFormat="1" x14ac:dyDescent="0.25"/>
    <row r="124974" customFormat="1" x14ac:dyDescent="0.25"/>
    <row r="124975" customFormat="1" x14ac:dyDescent="0.25"/>
    <row r="124976" customFormat="1" x14ac:dyDescent="0.25"/>
    <row r="124977" customFormat="1" x14ac:dyDescent="0.25"/>
    <row r="124978" customFormat="1" x14ac:dyDescent="0.25"/>
    <row r="124979" customFormat="1" x14ac:dyDescent="0.25"/>
    <row r="124980" customFormat="1" x14ac:dyDescent="0.25"/>
    <row r="124981" customFormat="1" x14ac:dyDescent="0.25"/>
    <row r="124982" customFormat="1" x14ac:dyDescent="0.25"/>
    <row r="124983" customFormat="1" x14ac:dyDescent="0.25"/>
    <row r="124984" customFormat="1" x14ac:dyDescent="0.25"/>
    <row r="124985" customFormat="1" x14ac:dyDescent="0.25"/>
    <row r="124986" customFormat="1" x14ac:dyDescent="0.25"/>
    <row r="124987" customFormat="1" x14ac:dyDescent="0.25"/>
    <row r="124988" customFormat="1" x14ac:dyDescent="0.25"/>
    <row r="124989" customFormat="1" x14ac:dyDescent="0.25"/>
    <row r="124990" customFormat="1" x14ac:dyDescent="0.25"/>
    <row r="124991" customFormat="1" x14ac:dyDescent="0.25"/>
    <row r="124992" customFormat="1" x14ac:dyDescent="0.25"/>
    <row r="124993" customFormat="1" x14ac:dyDescent="0.25"/>
    <row r="124994" customFormat="1" x14ac:dyDescent="0.25"/>
    <row r="124995" customFormat="1" x14ac:dyDescent="0.25"/>
    <row r="124996" customFormat="1" x14ac:dyDescent="0.25"/>
    <row r="124997" customFormat="1" x14ac:dyDescent="0.25"/>
    <row r="124998" customFormat="1" x14ac:dyDescent="0.25"/>
    <row r="124999" customFormat="1" x14ac:dyDescent="0.25"/>
    <row r="125000" customFormat="1" x14ac:dyDescent="0.25"/>
    <row r="125001" customFormat="1" x14ac:dyDescent="0.25"/>
    <row r="125002" customFormat="1" x14ac:dyDescent="0.25"/>
    <row r="125003" customFormat="1" x14ac:dyDescent="0.25"/>
    <row r="125004" customFormat="1" x14ac:dyDescent="0.25"/>
    <row r="125005" customFormat="1" x14ac:dyDescent="0.25"/>
    <row r="125006" customFormat="1" x14ac:dyDescent="0.25"/>
    <row r="125007" customFormat="1" x14ac:dyDescent="0.25"/>
    <row r="125008" customFormat="1" x14ac:dyDescent="0.25"/>
    <row r="125009" customFormat="1" x14ac:dyDescent="0.25"/>
    <row r="125010" customFormat="1" x14ac:dyDescent="0.25"/>
    <row r="125011" customFormat="1" x14ac:dyDescent="0.25"/>
    <row r="125012" customFormat="1" x14ac:dyDescent="0.25"/>
    <row r="125013" customFormat="1" x14ac:dyDescent="0.25"/>
    <row r="125014" customFormat="1" x14ac:dyDescent="0.25"/>
    <row r="125015" customFormat="1" x14ac:dyDescent="0.25"/>
    <row r="125016" customFormat="1" x14ac:dyDescent="0.25"/>
    <row r="125017" customFormat="1" x14ac:dyDescent="0.25"/>
    <row r="125018" customFormat="1" x14ac:dyDescent="0.25"/>
    <row r="125019" customFormat="1" x14ac:dyDescent="0.25"/>
    <row r="125020" customFormat="1" x14ac:dyDescent="0.25"/>
    <row r="125021" customFormat="1" x14ac:dyDescent="0.25"/>
    <row r="125022" customFormat="1" x14ac:dyDescent="0.25"/>
    <row r="125023" customFormat="1" x14ac:dyDescent="0.25"/>
    <row r="125024" customFormat="1" x14ac:dyDescent="0.25"/>
    <row r="125025" customFormat="1" x14ac:dyDescent="0.25"/>
    <row r="125026" customFormat="1" x14ac:dyDescent="0.25"/>
    <row r="125027" customFormat="1" x14ac:dyDescent="0.25"/>
    <row r="125028" customFormat="1" x14ac:dyDescent="0.25"/>
    <row r="125029" customFormat="1" x14ac:dyDescent="0.25"/>
    <row r="125030" customFormat="1" x14ac:dyDescent="0.25"/>
    <row r="125031" customFormat="1" x14ac:dyDescent="0.25"/>
    <row r="125032" customFormat="1" x14ac:dyDescent="0.25"/>
    <row r="125033" customFormat="1" x14ac:dyDescent="0.25"/>
    <row r="125034" customFormat="1" x14ac:dyDescent="0.25"/>
    <row r="125035" customFormat="1" x14ac:dyDescent="0.25"/>
    <row r="125036" customFormat="1" x14ac:dyDescent="0.25"/>
    <row r="125037" customFormat="1" x14ac:dyDescent="0.25"/>
    <row r="125038" customFormat="1" x14ac:dyDescent="0.25"/>
    <row r="125039" customFormat="1" x14ac:dyDescent="0.25"/>
    <row r="125040" customFormat="1" x14ac:dyDescent="0.25"/>
    <row r="125041" customFormat="1" x14ac:dyDescent="0.25"/>
    <row r="125042" customFormat="1" x14ac:dyDescent="0.25"/>
    <row r="125043" customFormat="1" x14ac:dyDescent="0.25"/>
    <row r="125044" customFormat="1" x14ac:dyDescent="0.25"/>
    <row r="125045" customFormat="1" x14ac:dyDescent="0.25"/>
    <row r="125046" customFormat="1" x14ac:dyDescent="0.25"/>
    <row r="125047" customFormat="1" x14ac:dyDescent="0.25"/>
    <row r="125048" customFormat="1" x14ac:dyDescent="0.25"/>
    <row r="125049" customFormat="1" x14ac:dyDescent="0.25"/>
    <row r="125050" customFormat="1" x14ac:dyDescent="0.25"/>
    <row r="125051" customFormat="1" x14ac:dyDescent="0.25"/>
    <row r="125052" customFormat="1" x14ac:dyDescent="0.25"/>
    <row r="125053" customFormat="1" x14ac:dyDescent="0.25"/>
    <row r="125054" customFormat="1" x14ac:dyDescent="0.25"/>
    <row r="125055" customFormat="1" x14ac:dyDescent="0.25"/>
    <row r="125056" customFormat="1" x14ac:dyDescent="0.25"/>
    <row r="125057" customFormat="1" x14ac:dyDescent="0.25"/>
    <row r="125058" customFormat="1" x14ac:dyDescent="0.25"/>
    <row r="125059" customFormat="1" x14ac:dyDescent="0.25"/>
    <row r="125060" customFormat="1" x14ac:dyDescent="0.25"/>
    <row r="125061" customFormat="1" x14ac:dyDescent="0.25"/>
    <row r="125062" customFormat="1" x14ac:dyDescent="0.25"/>
    <row r="125063" customFormat="1" x14ac:dyDescent="0.25"/>
    <row r="125064" customFormat="1" x14ac:dyDescent="0.25"/>
    <row r="125065" customFormat="1" x14ac:dyDescent="0.25"/>
    <row r="125066" customFormat="1" x14ac:dyDescent="0.25"/>
    <row r="125067" customFormat="1" x14ac:dyDescent="0.25"/>
    <row r="125068" customFormat="1" x14ac:dyDescent="0.25"/>
    <row r="125069" customFormat="1" x14ac:dyDescent="0.25"/>
    <row r="125070" customFormat="1" x14ac:dyDescent="0.25"/>
    <row r="125071" customFormat="1" x14ac:dyDescent="0.25"/>
    <row r="125072" customFormat="1" x14ac:dyDescent="0.25"/>
    <row r="125073" customFormat="1" x14ac:dyDescent="0.25"/>
    <row r="125074" customFormat="1" x14ac:dyDescent="0.25"/>
    <row r="125075" customFormat="1" x14ac:dyDescent="0.25"/>
    <row r="125076" customFormat="1" x14ac:dyDescent="0.25"/>
    <row r="125077" customFormat="1" x14ac:dyDescent="0.25"/>
    <row r="125078" customFormat="1" x14ac:dyDescent="0.25"/>
    <row r="125079" customFormat="1" x14ac:dyDescent="0.25"/>
    <row r="125080" customFormat="1" x14ac:dyDescent="0.25"/>
    <row r="125081" customFormat="1" x14ac:dyDescent="0.25"/>
    <row r="125082" customFormat="1" x14ac:dyDescent="0.25"/>
    <row r="125083" customFormat="1" x14ac:dyDescent="0.25"/>
    <row r="125084" customFormat="1" x14ac:dyDescent="0.25"/>
    <row r="125085" customFormat="1" x14ac:dyDescent="0.25"/>
    <row r="125086" customFormat="1" x14ac:dyDescent="0.25"/>
    <row r="125087" customFormat="1" x14ac:dyDescent="0.25"/>
    <row r="125088" customFormat="1" x14ac:dyDescent="0.25"/>
    <row r="125089" customFormat="1" x14ac:dyDescent="0.25"/>
    <row r="125090" customFormat="1" x14ac:dyDescent="0.25"/>
    <row r="125091" customFormat="1" x14ac:dyDescent="0.25"/>
    <row r="125092" customFormat="1" x14ac:dyDescent="0.25"/>
    <row r="125093" customFormat="1" x14ac:dyDescent="0.25"/>
    <row r="125094" customFormat="1" x14ac:dyDescent="0.25"/>
    <row r="125095" customFormat="1" x14ac:dyDescent="0.25"/>
    <row r="125096" customFormat="1" x14ac:dyDescent="0.25"/>
    <row r="125097" customFormat="1" x14ac:dyDescent="0.25"/>
    <row r="125098" customFormat="1" x14ac:dyDescent="0.25"/>
    <row r="125099" customFormat="1" x14ac:dyDescent="0.25"/>
    <row r="125100" customFormat="1" x14ac:dyDescent="0.25"/>
    <row r="125101" customFormat="1" x14ac:dyDescent="0.25"/>
    <row r="125102" customFormat="1" x14ac:dyDescent="0.25"/>
    <row r="125103" customFormat="1" x14ac:dyDescent="0.25"/>
    <row r="125104" customFormat="1" x14ac:dyDescent="0.25"/>
    <row r="125105" customFormat="1" x14ac:dyDescent="0.25"/>
    <row r="125106" customFormat="1" x14ac:dyDescent="0.25"/>
    <row r="125107" customFormat="1" x14ac:dyDescent="0.25"/>
    <row r="125108" customFormat="1" x14ac:dyDescent="0.25"/>
    <row r="125109" customFormat="1" x14ac:dyDescent="0.25"/>
    <row r="125110" customFormat="1" x14ac:dyDescent="0.25"/>
    <row r="125111" customFormat="1" x14ac:dyDescent="0.25"/>
    <row r="125112" customFormat="1" x14ac:dyDescent="0.25"/>
    <row r="125113" customFormat="1" x14ac:dyDescent="0.25"/>
    <row r="125114" customFormat="1" x14ac:dyDescent="0.25"/>
    <row r="125115" customFormat="1" x14ac:dyDescent="0.25"/>
    <row r="125116" customFormat="1" x14ac:dyDescent="0.25"/>
    <row r="125117" customFormat="1" x14ac:dyDescent="0.25"/>
    <row r="125118" customFormat="1" x14ac:dyDescent="0.25"/>
    <row r="125119" customFormat="1" x14ac:dyDescent="0.25"/>
    <row r="125120" customFormat="1" x14ac:dyDescent="0.25"/>
    <row r="125121" customFormat="1" x14ac:dyDescent="0.25"/>
    <row r="125122" customFormat="1" x14ac:dyDescent="0.25"/>
    <row r="125123" customFormat="1" x14ac:dyDescent="0.25"/>
    <row r="125124" customFormat="1" x14ac:dyDescent="0.25"/>
    <row r="125125" customFormat="1" x14ac:dyDescent="0.25"/>
    <row r="125126" customFormat="1" x14ac:dyDescent="0.25"/>
    <row r="125127" customFormat="1" x14ac:dyDescent="0.25"/>
    <row r="125128" customFormat="1" x14ac:dyDescent="0.25"/>
    <row r="125129" customFormat="1" x14ac:dyDescent="0.25"/>
    <row r="125130" customFormat="1" x14ac:dyDescent="0.25"/>
    <row r="125131" customFormat="1" x14ac:dyDescent="0.25"/>
    <row r="125132" customFormat="1" x14ac:dyDescent="0.25"/>
    <row r="125133" customFormat="1" x14ac:dyDescent="0.25"/>
    <row r="125134" customFormat="1" x14ac:dyDescent="0.25"/>
    <row r="125135" customFormat="1" x14ac:dyDescent="0.25"/>
    <row r="125136" customFormat="1" x14ac:dyDescent="0.25"/>
    <row r="125137" customFormat="1" x14ac:dyDescent="0.25"/>
    <row r="125138" customFormat="1" x14ac:dyDescent="0.25"/>
    <row r="125139" customFormat="1" x14ac:dyDescent="0.25"/>
    <row r="125140" customFormat="1" x14ac:dyDescent="0.25"/>
    <row r="125141" customFormat="1" x14ac:dyDescent="0.25"/>
    <row r="125142" customFormat="1" x14ac:dyDescent="0.25"/>
    <row r="125143" customFormat="1" x14ac:dyDescent="0.25"/>
    <row r="125144" customFormat="1" x14ac:dyDescent="0.25"/>
    <row r="125145" customFormat="1" x14ac:dyDescent="0.25"/>
    <row r="125146" customFormat="1" x14ac:dyDescent="0.25"/>
    <row r="125147" customFormat="1" x14ac:dyDescent="0.25"/>
    <row r="125148" customFormat="1" x14ac:dyDescent="0.25"/>
    <row r="125149" customFormat="1" x14ac:dyDescent="0.25"/>
    <row r="125150" customFormat="1" x14ac:dyDescent="0.25"/>
    <row r="125151" customFormat="1" x14ac:dyDescent="0.25"/>
    <row r="125152" customFormat="1" x14ac:dyDescent="0.25"/>
    <row r="125153" customFormat="1" x14ac:dyDescent="0.25"/>
    <row r="125154" customFormat="1" x14ac:dyDescent="0.25"/>
    <row r="125155" customFormat="1" x14ac:dyDescent="0.25"/>
    <row r="125156" customFormat="1" x14ac:dyDescent="0.25"/>
    <row r="125157" customFormat="1" x14ac:dyDescent="0.25"/>
    <row r="125158" customFormat="1" x14ac:dyDescent="0.25"/>
    <row r="125159" customFormat="1" x14ac:dyDescent="0.25"/>
    <row r="125160" customFormat="1" x14ac:dyDescent="0.25"/>
    <row r="125161" customFormat="1" x14ac:dyDescent="0.25"/>
    <row r="125162" customFormat="1" x14ac:dyDescent="0.25"/>
    <row r="125163" customFormat="1" x14ac:dyDescent="0.25"/>
    <row r="125164" customFormat="1" x14ac:dyDescent="0.25"/>
    <row r="125165" customFormat="1" x14ac:dyDescent="0.25"/>
    <row r="125166" customFormat="1" x14ac:dyDescent="0.25"/>
    <row r="125167" customFormat="1" x14ac:dyDescent="0.25"/>
    <row r="125168" customFormat="1" x14ac:dyDescent="0.25"/>
    <row r="125169" customFormat="1" x14ac:dyDescent="0.25"/>
    <row r="125170" customFormat="1" x14ac:dyDescent="0.25"/>
    <row r="125171" customFormat="1" x14ac:dyDescent="0.25"/>
    <row r="125172" customFormat="1" x14ac:dyDescent="0.25"/>
    <row r="125173" customFormat="1" x14ac:dyDescent="0.25"/>
    <row r="125174" customFormat="1" x14ac:dyDescent="0.25"/>
    <row r="125175" customFormat="1" x14ac:dyDescent="0.25"/>
    <row r="125176" customFormat="1" x14ac:dyDescent="0.25"/>
    <row r="125177" customFormat="1" x14ac:dyDescent="0.25"/>
    <row r="125178" customFormat="1" x14ac:dyDescent="0.25"/>
    <row r="125179" customFormat="1" x14ac:dyDescent="0.25"/>
    <row r="125180" customFormat="1" x14ac:dyDescent="0.25"/>
    <row r="125181" customFormat="1" x14ac:dyDescent="0.25"/>
    <row r="125182" customFormat="1" x14ac:dyDescent="0.25"/>
    <row r="125183" customFormat="1" x14ac:dyDescent="0.25"/>
    <row r="125184" customFormat="1" x14ac:dyDescent="0.25"/>
    <row r="125185" customFormat="1" x14ac:dyDescent="0.25"/>
    <row r="125186" customFormat="1" x14ac:dyDescent="0.25"/>
    <row r="125187" customFormat="1" x14ac:dyDescent="0.25"/>
    <row r="125188" customFormat="1" x14ac:dyDescent="0.25"/>
    <row r="125189" customFormat="1" x14ac:dyDescent="0.25"/>
    <row r="125190" customFormat="1" x14ac:dyDescent="0.25"/>
    <row r="125191" customFormat="1" x14ac:dyDescent="0.25"/>
    <row r="125192" customFormat="1" x14ac:dyDescent="0.25"/>
    <row r="125193" customFormat="1" x14ac:dyDescent="0.25"/>
    <row r="125194" customFormat="1" x14ac:dyDescent="0.25"/>
    <row r="125195" customFormat="1" x14ac:dyDescent="0.25"/>
    <row r="125196" customFormat="1" x14ac:dyDescent="0.25"/>
    <row r="125197" customFormat="1" x14ac:dyDescent="0.25"/>
    <row r="125198" customFormat="1" x14ac:dyDescent="0.25"/>
    <row r="125199" customFormat="1" x14ac:dyDescent="0.25"/>
    <row r="125200" customFormat="1" x14ac:dyDescent="0.25"/>
    <row r="125201" customFormat="1" x14ac:dyDescent="0.25"/>
    <row r="125202" customFormat="1" x14ac:dyDescent="0.25"/>
    <row r="125203" customFormat="1" x14ac:dyDescent="0.25"/>
    <row r="125204" customFormat="1" x14ac:dyDescent="0.25"/>
    <row r="125205" customFormat="1" x14ac:dyDescent="0.25"/>
    <row r="125206" customFormat="1" x14ac:dyDescent="0.25"/>
    <row r="125207" customFormat="1" x14ac:dyDescent="0.25"/>
    <row r="125208" customFormat="1" x14ac:dyDescent="0.25"/>
    <row r="125209" customFormat="1" x14ac:dyDescent="0.25"/>
    <row r="125210" customFormat="1" x14ac:dyDescent="0.25"/>
    <row r="125211" customFormat="1" x14ac:dyDescent="0.25"/>
    <row r="125212" customFormat="1" x14ac:dyDescent="0.25"/>
    <row r="125213" customFormat="1" x14ac:dyDescent="0.25"/>
    <row r="125214" customFormat="1" x14ac:dyDescent="0.25"/>
    <row r="125215" customFormat="1" x14ac:dyDescent="0.25"/>
    <row r="125216" customFormat="1" x14ac:dyDescent="0.25"/>
    <row r="125217" customFormat="1" x14ac:dyDescent="0.25"/>
    <row r="125218" customFormat="1" x14ac:dyDescent="0.25"/>
    <row r="125219" customFormat="1" x14ac:dyDescent="0.25"/>
    <row r="125220" customFormat="1" x14ac:dyDescent="0.25"/>
    <row r="125221" customFormat="1" x14ac:dyDescent="0.25"/>
    <row r="125222" customFormat="1" x14ac:dyDescent="0.25"/>
    <row r="125223" customFormat="1" x14ac:dyDescent="0.25"/>
    <row r="125224" customFormat="1" x14ac:dyDescent="0.25"/>
    <row r="125225" customFormat="1" x14ac:dyDescent="0.25"/>
    <row r="125226" customFormat="1" x14ac:dyDescent="0.25"/>
    <row r="125227" customFormat="1" x14ac:dyDescent="0.25"/>
    <row r="125228" customFormat="1" x14ac:dyDescent="0.25"/>
    <row r="125229" customFormat="1" x14ac:dyDescent="0.25"/>
    <row r="125230" customFormat="1" x14ac:dyDescent="0.25"/>
    <row r="125231" customFormat="1" x14ac:dyDescent="0.25"/>
    <row r="125232" customFormat="1" x14ac:dyDescent="0.25"/>
    <row r="125233" customFormat="1" x14ac:dyDescent="0.25"/>
    <row r="125234" customFormat="1" x14ac:dyDescent="0.25"/>
    <row r="125235" customFormat="1" x14ac:dyDescent="0.25"/>
    <row r="125236" customFormat="1" x14ac:dyDescent="0.25"/>
    <row r="125237" customFormat="1" x14ac:dyDescent="0.25"/>
    <row r="125238" customFormat="1" x14ac:dyDescent="0.25"/>
    <row r="125239" customFormat="1" x14ac:dyDescent="0.25"/>
    <row r="125240" customFormat="1" x14ac:dyDescent="0.25"/>
    <row r="125241" customFormat="1" x14ac:dyDescent="0.25"/>
    <row r="125242" customFormat="1" x14ac:dyDescent="0.25"/>
    <row r="125243" customFormat="1" x14ac:dyDescent="0.25"/>
    <row r="125244" customFormat="1" x14ac:dyDescent="0.25"/>
    <row r="125245" customFormat="1" x14ac:dyDescent="0.25"/>
    <row r="125246" customFormat="1" x14ac:dyDescent="0.25"/>
    <row r="125247" customFormat="1" x14ac:dyDescent="0.25"/>
    <row r="125248" customFormat="1" x14ac:dyDescent="0.25"/>
    <row r="125249" customFormat="1" x14ac:dyDescent="0.25"/>
    <row r="125250" customFormat="1" x14ac:dyDescent="0.25"/>
    <row r="125251" customFormat="1" x14ac:dyDescent="0.25"/>
    <row r="125252" customFormat="1" x14ac:dyDescent="0.25"/>
    <row r="125253" customFormat="1" x14ac:dyDescent="0.25"/>
    <row r="125254" customFormat="1" x14ac:dyDescent="0.25"/>
    <row r="125255" customFormat="1" x14ac:dyDescent="0.25"/>
    <row r="125256" customFormat="1" x14ac:dyDescent="0.25"/>
    <row r="125257" customFormat="1" x14ac:dyDescent="0.25"/>
    <row r="125258" customFormat="1" x14ac:dyDescent="0.25"/>
    <row r="125259" customFormat="1" x14ac:dyDescent="0.25"/>
    <row r="125260" customFormat="1" x14ac:dyDescent="0.25"/>
    <row r="125261" customFormat="1" x14ac:dyDescent="0.25"/>
    <row r="125262" customFormat="1" x14ac:dyDescent="0.25"/>
    <row r="125263" customFormat="1" x14ac:dyDescent="0.25"/>
    <row r="125264" customFormat="1" x14ac:dyDescent="0.25"/>
    <row r="125265" customFormat="1" x14ac:dyDescent="0.25"/>
    <row r="125266" customFormat="1" x14ac:dyDescent="0.25"/>
    <row r="125267" customFormat="1" x14ac:dyDescent="0.25"/>
    <row r="125268" customFormat="1" x14ac:dyDescent="0.25"/>
    <row r="125269" customFormat="1" x14ac:dyDescent="0.25"/>
    <row r="125270" customFormat="1" x14ac:dyDescent="0.25"/>
    <row r="125271" customFormat="1" x14ac:dyDescent="0.25"/>
    <row r="125272" customFormat="1" x14ac:dyDescent="0.25"/>
    <row r="125273" customFormat="1" x14ac:dyDescent="0.25"/>
    <row r="125274" customFormat="1" x14ac:dyDescent="0.25"/>
    <row r="125275" customFormat="1" x14ac:dyDescent="0.25"/>
    <row r="125276" customFormat="1" x14ac:dyDescent="0.25"/>
    <row r="125277" customFormat="1" x14ac:dyDescent="0.25"/>
    <row r="125278" customFormat="1" x14ac:dyDescent="0.25"/>
    <row r="125279" customFormat="1" x14ac:dyDescent="0.25"/>
    <row r="125280" customFormat="1" x14ac:dyDescent="0.25"/>
    <row r="125281" customFormat="1" x14ac:dyDescent="0.25"/>
    <row r="125282" customFormat="1" x14ac:dyDescent="0.25"/>
    <row r="125283" customFormat="1" x14ac:dyDescent="0.25"/>
    <row r="125284" customFormat="1" x14ac:dyDescent="0.25"/>
    <row r="125285" customFormat="1" x14ac:dyDescent="0.25"/>
    <row r="125286" customFormat="1" x14ac:dyDescent="0.25"/>
    <row r="125287" customFormat="1" x14ac:dyDescent="0.25"/>
    <row r="125288" customFormat="1" x14ac:dyDescent="0.25"/>
    <row r="125289" customFormat="1" x14ac:dyDescent="0.25"/>
    <row r="125290" customFormat="1" x14ac:dyDescent="0.25"/>
    <row r="125291" customFormat="1" x14ac:dyDescent="0.25"/>
    <row r="125292" customFormat="1" x14ac:dyDescent="0.25"/>
    <row r="125293" customFormat="1" x14ac:dyDescent="0.25"/>
    <row r="125294" customFormat="1" x14ac:dyDescent="0.25"/>
    <row r="125295" customFormat="1" x14ac:dyDescent="0.25"/>
    <row r="125296" customFormat="1" x14ac:dyDescent="0.25"/>
    <row r="125297" customFormat="1" x14ac:dyDescent="0.25"/>
    <row r="125298" customFormat="1" x14ac:dyDescent="0.25"/>
    <row r="125299" customFormat="1" x14ac:dyDescent="0.25"/>
    <row r="125300" customFormat="1" x14ac:dyDescent="0.25"/>
    <row r="125301" customFormat="1" x14ac:dyDescent="0.25"/>
    <row r="125302" customFormat="1" x14ac:dyDescent="0.25"/>
    <row r="125303" customFormat="1" x14ac:dyDescent="0.25"/>
    <row r="125304" customFormat="1" x14ac:dyDescent="0.25"/>
    <row r="125305" customFormat="1" x14ac:dyDescent="0.25"/>
    <row r="125306" customFormat="1" x14ac:dyDescent="0.25"/>
    <row r="125307" customFormat="1" x14ac:dyDescent="0.25"/>
    <row r="125308" customFormat="1" x14ac:dyDescent="0.25"/>
    <row r="125309" customFormat="1" x14ac:dyDescent="0.25"/>
    <row r="125310" customFormat="1" x14ac:dyDescent="0.25"/>
    <row r="125311" customFormat="1" x14ac:dyDescent="0.25"/>
    <row r="125312" customFormat="1" x14ac:dyDescent="0.25"/>
    <row r="125313" customFormat="1" x14ac:dyDescent="0.25"/>
    <row r="125314" customFormat="1" x14ac:dyDescent="0.25"/>
    <row r="125315" customFormat="1" x14ac:dyDescent="0.25"/>
    <row r="125316" customFormat="1" x14ac:dyDescent="0.25"/>
    <row r="125317" customFormat="1" x14ac:dyDescent="0.25"/>
    <row r="125318" customFormat="1" x14ac:dyDescent="0.25"/>
    <row r="125319" customFormat="1" x14ac:dyDescent="0.25"/>
    <row r="125320" customFormat="1" x14ac:dyDescent="0.25"/>
    <row r="125321" customFormat="1" x14ac:dyDescent="0.25"/>
    <row r="125322" customFormat="1" x14ac:dyDescent="0.25"/>
    <row r="125323" customFormat="1" x14ac:dyDescent="0.25"/>
    <row r="125324" customFormat="1" x14ac:dyDescent="0.25"/>
    <row r="125325" customFormat="1" x14ac:dyDescent="0.25"/>
    <row r="125326" customFormat="1" x14ac:dyDescent="0.25"/>
    <row r="125327" customFormat="1" x14ac:dyDescent="0.25"/>
    <row r="125328" customFormat="1" x14ac:dyDescent="0.25"/>
    <row r="125329" customFormat="1" x14ac:dyDescent="0.25"/>
    <row r="125330" customFormat="1" x14ac:dyDescent="0.25"/>
    <row r="125331" customFormat="1" x14ac:dyDescent="0.25"/>
    <row r="125332" customFormat="1" x14ac:dyDescent="0.25"/>
    <row r="125333" customFormat="1" x14ac:dyDescent="0.25"/>
    <row r="125334" customFormat="1" x14ac:dyDescent="0.25"/>
    <row r="125335" customFormat="1" x14ac:dyDescent="0.25"/>
    <row r="125336" customFormat="1" x14ac:dyDescent="0.25"/>
    <row r="125337" customFormat="1" x14ac:dyDescent="0.25"/>
    <row r="125338" customFormat="1" x14ac:dyDescent="0.25"/>
    <row r="125339" customFormat="1" x14ac:dyDescent="0.25"/>
    <row r="125340" customFormat="1" x14ac:dyDescent="0.25"/>
    <row r="125341" customFormat="1" x14ac:dyDescent="0.25"/>
    <row r="125342" customFormat="1" x14ac:dyDescent="0.25"/>
    <row r="125343" customFormat="1" x14ac:dyDescent="0.25"/>
    <row r="125344" customFormat="1" x14ac:dyDescent="0.25"/>
    <row r="125345" customFormat="1" x14ac:dyDescent="0.25"/>
    <row r="125346" customFormat="1" x14ac:dyDescent="0.25"/>
    <row r="125347" customFormat="1" x14ac:dyDescent="0.25"/>
    <row r="125348" customFormat="1" x14ac:dyDescent="0.25"/>
    <row r="125349" customFormat="1" x14ac:dyDescent="0.25"/>
    <row r="125350" customFormat="1" x14ac:dyDescent="0.25"/>
    <row r="125351" customFormat="1" x14ac:dyDescent="0.25"/>
    <row r="125352" customFormat="1" x14ac:dyDescent="0.25"/>
    <row r="125353" customFormat="1" x14ac:dyDescent="0.25"/>
    <row r="125354" customFormat="1" x14ac:dyDescent="0.25"/>
    <row r="125355" customFormat="1" x14ac:dyDescent="0.25"/>
    <row r="125356" customFormat="1" x14ac:dyDescent="0.25"/>
    <row r="125357" customFormat="1" x14ac:dyDescent="0.25"/>
    <row r="125358" customFormat="1" x14ac:dyDescent="0.25"/>
    <row r="125359" customFormat="1" x14ac:dyDescent="0.25"/>
    <row r="125360" customFormat="1" x14ac:dyDescent="0.25"/>
    <row r="125361" customFormat="1" x14ac:dyDescent="0.25"/>
    <row r="125362" customFormat="1" x14ac:dyDescent="0.25"/>
    <row r="125363" customFormat="1" x14ac:dyDescent="0.25"/>
    <row r="125364" customFormat="1" x14ac:dyDescent="0.25"/>
    <row r="125365" customFormat="1" x14ac:dyDescent="0.25"/>
    <row r="125366" customFormat="1" x14ac:dyDescent="0.25"/>
    <row r="125367" customFormat="1" x14ac:dyDescent="0.25"/>
    <row r="125368" customFormat="1" x14ac:dyDescent="0.25"/>
    <row r="125369" customFormat="1" x14ac:dyDescent="0.25"/>
    <row r="125370" customFormat="1" x14ac:dyDescent="0.25"/>
    <row r="125371" customFormat="1" x14ac:dyDescent="0.25"/>
    <row r="125372" customFormat="1" x14ac:dyDescent="0.25"/>
    <row r="125373" customFormat="1" x14ac:dyDescent="0.25"/>
    <row r="125374" customFormat="1" x14ac:dyDescent="0.25"/>
    <row r="125375" customFormat="1" x14ac:dyDescent="0.25"/>
    <row r="125376" customFormat="1" x14ac:dyDescent="0.25"/>
    <row r="125377" customFormat="1" x14ac:dyDescent="0.25"/>
    <row r="125378" customFormat="1" x14ac:dyDescent="0.25"/>
    <row r="125379" customFormat="1" x14ac:dyDescent="0.25"/>
    <row r="125380" customFormat="1" x14ac:dyDescent="0.25"/>
    <row r="125381" customFormat="1" x14ac:dyDescent="0.25"/>
    <row r="125382" customFormat="1" x14ac:dyDescent="0.25"/>
    <row r="125383" customFormat="1" x14ac:dyDescent="0.25"/>
    <row r="125384" customFormat="1" x14ac:dyDescent="0.25"/>
    <row r="125385" customFormat="1" x14ac:dyDescent="0.25"/>
    <row r="125386" customFormat="1" x14ac:dyDescent="0.25"/>
    <row r="125387" customFormat="1" x14ac:dyDescent="0.25"/>
    <row r="125388" customFormat="1" x14ac:dyDescent="0.25"/>
    <row r="125389" customFormat="1" x14ac:dyDescent="0.25"/>
    <row r="125390" customFormat="1" x14ac:dyDescent="0.25"/>
    <row r="125391" customFormat="1" x14ac:dyDescent="0.25"/>
    <row r="125392" customFormat="1" x14ac:dyDescent="0.25"/>
    <row r="125393" customFormat="1" x14ac:dyDescent="0.25"/>
    <row r="125394" customFormat="1" x14ac:dyDescent="0.25"/>
    <row r="125395" customFormat="1" x14ac:dyDescent="0.25"/>
    <row r="125396" customFormat="1" x14ac:dyDescent="0.25"/>
    <row r="125397" customFormat="1" x14ac:dyDescent="0.25"/>
    <row r="125398" customFormat="1" x14ac:dyDescent="0.25"/>
    <row r="125399" customFormat="1" x14ac:dyDescent="0.25"/>
    <row r="125400" customFormat="1" x14ac:dyDescent="0.25"/>
    <row r="125401" customFormat="1" x14ac:dyDescent="0.25"/>
    <row r="125402" customFormat="1" x14ac:dyDescent="0.25"/>
    <row r="125403" customFormat="1" x14ac:dyDescent="0.25"/>
    <row r="125404" customFormat="1" x14ac:dyDescent="0.25"/>
    <row r="125405" customFormat="1" x14ac:dyDescent="0.25"/>
    <row r="125406" customFormat="1" x14ac:dyDescent="0.25"/>
    <row r="125407" customFormat="1" x14ac:dyDescent="0.25"/>
    <row r="125408" customFormat="1" x14ac:dyDescent="0.25"/>
    <row r="125409" customFormat="1" x14ac:dyDescent="0.25"/>
    <row r="125410" customFormat="1" x14ac:dyDescent="0.25"/>
    <row r="125411" customFormat="1" x14ac:dyDescent="0.25"/>
    <row r="125412" customFormat="1" x14ac:dyDescent="0.25"/>
    <row r="125413" customFormat="1" x14ac:dyDescent="0.25"/>
    <row r="125414" customFormat="1" x14ac:dyDescent="0.25"/>
    <row r="125415" customFormat="1" x14ac:dyDescent="0.25"/>
    <row r="125416" customFormat="1" x14ac:dyDescent="0.25"/>
    <row r="125417" customFormat="1" x14ac:dyDescent="0.25"/>
    <row r="125418" customFormat="1" x14ac:dyDescent="0.25"/>
    <row r="125419" customFormat="1" x14ac:dyDescent="0.25"/>
    <row r="125420" customFormat="1" x14ac:dyDescent="0.25"/>
    <row r="125421" customFormat="1" x14ac:dyDescent="0.25"/>
    <row r="125422" customFormat="1" x14ac:dyDescent="0.25"/>
    <row r="125423" customFormat="1" x14ac:dyDescent="0.25"/>
    <row r="125424" customFormat="1" x14ac:dyDescent="0.25"/>
    <row r="125425" customFormat="1" x14ac:dyDescent="0.25"/>
    <row r="125426" customFormat="1" x14ac:dyDescent="0.25"/>
    <row r="125427" customFormat="1" x14ac:dyDescent="0.25"/>
    <row r="125428" customFormat="1" x14ac:dyDescent="0.25"/>
    <row r="125429" customFormat="1" x14ac:dyDescent="0.25"/>
    <row r="125430" customFormat="1" x14ac:dyDescent="0.25"/>
    <row r="125431" customFormat="1" x14ac:dyDescent="0.25"/>
    <row r="125432" customFormat="1" x14ac:dyDescent="0.25"/>
    <row r="125433" customFormat="1" x14ac:dyDescent="0.25"/>
    <row r="125434" customFormat="1" x14ac:dyDescent="0.25"/>
    <row r="125435" customFormat="1" x14ac:dyDescent="0.25"/>
    <row r="125436" customFormat="1" x14ac:dyDescent="0.25"/>
    <row r="125437" customFormat="1" x14ac:dyDescent="0.25"/>
    <row r="125438" customFormat="1" x14ac:dyDescent="0.25"/>
    <row r="125439" customFormat="1" x14ac:dyDescent="0.25"/>
    <row r="125440" customFormat="1" x14ac:dyDescent="0.25"/>
    <row r="125441" customFormat="1" x14ac:dyDescent="0.25"/>
    <row r="125442" customFormat="1" x14ac:dyDescent="0.25"/>
    <row r="125443" customFormat="1" x14ac:dyDescent="0.25"/>
    <row r="125444" customFormat="1" x14ac:dyDescent="0.25"/>
    <row r="125445" customFormat="1" x14ac:dyDescent="0.25"/>
    <row r="125446" customFormat="1" x14ac:dyDescent="0.25"/>
    <row r="125447" customFormat="1" x14ac:dyDescent="0.25"/>
    <row r="125448" customFormat="1" x14ac:dyDescent="0.25"/>
    <row r="125449" customFormat="1" x14ac:dyDescent="0.25"/>
    <row r="125450" customFormat="1" x14ac:dyDescent="0.25"/>
    <row r="125451" customFormat="1" x14ac:dyDescent="0.25"/>
    <row r="125452" customFormat="1" x14ac:dyDescent="0.25"/>
    <row r="125453" customFormat="1" x14ac:dyDescent="0.25"/>
    <row r="125454" customFormat="1" x14ac:dyDescent="0.25"/>
    <row r="125455" customFormat="1" x14ac:dyDescent="0.25"/>
    <row r="125456" customFormat="1" x14ac:dyDescent="0.25"/>
    <row r="125457" customFormat="1" x14ac:dyDescent="0.25"/>
    <row r="125458" customFormat="1" x14ac:dyDescent="0.25"/>
    <row r="125459" customFormat="1" x14ac:dyDescent="0.25"/>
    <row r="125460" customFormat="1" x14ac:dyDescent="0.25"/>
    <row r="125461" customFormat="1" x14ac:dyDescent="0.25"/>
    <row r="125462" customFormat="1" x14ac:dyDescent="0.25"/>
    <row r="125463" customFormat="1" x14ac:dyDescent="0.25"/>
    <row r="125464" customFormat="1" x14ac:dyDescent="0.25"/>
    <row r="125465" customFormat="1" x14ac:dyDescent="0.25"/>
    <row r="125466" customFormat="1" x14ac:dyDescent="0.25"/>
    <row r="125467" customFormat="1" x14ac:dyDescent="0.25"/>
    <row r="125468" customFormat="1" x14ac:dyDescent="0.25"/>
    <row r="125469" customFormat="1" x14ac:dyDescent="0.25"/>
    <row r="125470" customFormat="1" x14ac:dyDescent="0.25"/>
    <row r="125471" customFormat="1" x14ac:dyDescent="0.25"/>
    <row r="125472" customFormat="1" x14ac:dyDescent="0.25"/>
    <row r="125473" customFormat="1" x14ac:dyDescent="0.25"/>
    <row r="125474" customFormat="1" x14ac:dyDescent="0.25"/>
    <row r="125475" customFormat="1" x14ac:dyDescent="0.25"/>
    <row r="125476" customFormat="1" x14ac:dyDescent="0.25"/>
    <row r="125477" customFormat="1" x14ac:dyDescent="0.25"/>
    <row r="125478" customFormat="1" x14ac:dyDescent="0.25"/>
    <row r="125479" customFormat="1" x14ac:dyDescent="0.25"/>
    <row r="125480" customFormat="1" x14ac:dyDescent="0.25"/>
    <row r="125481" customFormat="1" x14ac:dyDescent="0.25"/>
    <row r="125482" customFormat="1" x14ac:dyDescent="0.25"/>
    <row r="125483" customFormat="1" x14ac:dyDescent="0.25"/>
    <row r="125484" customFormat="1" x14ac:dyDescent="0.25"/>
    <row r="125485" customFormat="1" x14ac:dyDescent="0.25"/>
    <row r="125486" customFormat="1" x14ac:dyDescent="0.25"/>
    <row r="125487" customFormat="1" x14ac:dyDescent="0.25"/>
    <row r="125488" customFormat="1" x14ac:dyDescent="0.25"/>
    <row r="125489" customFormat="1" x14ac:dyDescent="0.25"/>
    <row r="125490" customFormat="1" x14ac:dyDescent="0.25"/>
    <row r="125491" customFormat="1" x14ac:dyDescent="0.25"/>
    <row r="125492" customFormat="1" x14ac:dyDescent="0.25"/>
    <row r="125493" customFormat="1" x14ac:dyDescent="0.25"/>
    <row r="125494" customFormat="1" x14ac:dyDescent="0.25"/>
    <row r="125495" customFormat="1" x14ac:dyDescent="0.25"/>
    <row r="125496" customFormat="1" x14ac:dyDescent="0.25"/>
    <row r="125497" customFormat="1" x14ac:dyDescent="0.25"/>
    <row r="125498" customFormat="1" x14ac:dyDescent="0.25"/>
    <row r="125499" customFormat="1" x14ac:dyDescent="0.25"/>
    <row r="125500" customFormat="1" x14ac:dyDescent="0.25"/>
    <row r="125501" customFormat="1" x14ac:dyDescent="0.25"/>
    <row r="125502" customFormat="1" x14ac:dyDescent="0.25"/>
    <row r="125503" customFormat="1" x14ac:dyDescent="0.25"/>
    <row r="125504" customFormat="1" x14ac:dyDescent="0.25"/>
    <row r="125505" customFormat="1" x14ac:dyDescent="0.25"/>
    <row r="125506" customFormat="1" x14ac:dyDescent="0.25"/>
    <row r="125507" customFormat="1" x14ac:dyDescent="0.25"/>
    <row r="125508" customFormat="1" x14ac:dyDescent="0.25"/>
    <row r="125509" customFormat="1" x14ac:dyDescent="0.25"/>
    <row r="125510" customFormat="1" x14ac:dyDescent="0.25"/>
    <row r="125511" customFormat="1" x14ac:dyDescent="0.25"/>
    <row r="125512" customFormat="1" x14ac:dyDescent="0.25"/>
    <row r="125513" customFormat="1" x14ac:dyDescent="0.25"/>
    <row r="125514" customFormat="1" x14ac:dyDescent="0.25"/>
    <row r="125515" customFormat="1" x14ac:dyDescent="0.25"/>
    <row r="125516" customFormat="1" x14ac:dyDescent="0.25"/>
    <row r="125517" customFormat="1" x14ac:dyDescent="0.25"/>
    <row r="125518" customFormat="1" x14ac:dyDescent="0.25"/>
    <row r="125519" customFormat="1" x14ac:dyDescent="0.25"/>
    <row r="125520" customFormat="1" x14ac:dyDescent="0.25"/>
    <row r="125521" customFormat="1" x14ac:dyDescent="0.25"/>
    <row r="125522" customFormat="1" x14ac:dyDescent="0.25"/>
    <row r="125523" customFormat="1" x14ac:dyDescent="0.25"/>
    <row r="125524" customFormat="1" x14ac:dyDescent="0.25"/>
    <row r="125525" customFormat="1" x14ac:dyDescent="0.25"/>
    <row r="125526" customFormat="1" x14ac:dyDescent="0.25"/>
    <row r="125527" customFormat="1" x14ac:dyDescent="0.25"/>
    <row r="125528" customFormat="1" x14ac:dyDescent="0.25"/>
    <row r="125529" customFormat="1" x14ac:dyDescent="0.25"/>
    <row r="125530" customFormat="1" x14ac:dyDescent="0.25"/>
    <row r="125531" customFormat="1" x14ac:dyDescent="0.25"/>
    <row r="125532" customFormat="1" x14ac:dyDescent="0.25"/>
    <row r="125533" customFormat="1" x14ac:dyDescent="0.25"/>
    <row r="125534" customFormat="1" x14ac:dyDescent="0.25"/>
    <row r="125535" customFormat="1" x14ac:dyDescent="0.25"/>
    <row r="125536" customFormat="1" x14ac:dyDescent="0.25"/>
    <row r="125537" customFormat="1" x14ac:dyDescent="0.25"/>
    <row r="125538" customFormat="1" x14ac:dyDescent="0.25"/>
    <row r="125539" customFormat="1" x14ac:dyDescent="0.25"/>
    <row r="125540" customFormat="1" x14ac:dyDescent="0.25"/>
    <row r="125541" customFormat="1" x14ac:dyDescent="0.25"/>
    <row r="125542" customFormat="1" x14ac:dyDescent="0.25"/>
    <row r="125543" customFormat="1" x14ac:dyDescent="0.25"/>
    <row r="125544" customFormat="1" x14ac:dyDescent="0.25"/>
    <row r="125545" customFormat="1" x14ac:dyDescent="0.25"/>
    <row r="125546" customFormat="1" x14ac:dyDescent="0.25"/>
    <row r="125547" customFormat="1" x14ac:dyDescent="0.25"/>
    <row r="125548" customFormat="1" x14ac:dyDescent="0.25"/>
    <row r="125549" customFormat="1" x14ac:dyDescent="0.25"/>
    <row r="125550" customFormat="1" x14ac:dyDescent="0.25"/>
    <row r="125551" customFormat="1" x14ac:dyDescent="0.25"/>
    <row r="125552" customFormat="1" x14ac:dyDescent="0.25"/>
    <row r="125553" customFormat="1" x14ac:dyDescent="0.25"/>
    <row r="125554" customFormat="1" x14ac:dyDescent="0.25"/>
    <row r="125555" customFormat="1" x14ac:dyDescent="0.25"/>
    <row r="125556" customFormat="1" x14ac:dyDescent="0.25"/>
    <row r="125557" customFormat="1" x14ac:dyDescent="0.25"/>
    <row r="125558" customFormat="1" x14ac:dyDescent="0.25"/>
    <row r="125559" customFormat="1" x14ac:dyDescent="0.25"/>
    <row r="125560" customFormat="1" x14ac:dyDescent="0.25"/>
    <row r="125561" customFormat="1" x14ac:dyDescent="0.25"/>
    <row r="125562" customFormat="1" x14ac:dyDescent="0.25"/>
    <row r="125563" customFormat="1" x14ac:dyDescent="0.25"/>
    <row r="125564" customFormat="1" x14ac:dyDescent="0.25"/>
    <row r="125565" customFormat="1" x14ac:dyDescent="0.25"/>
    <row r="125566" customFormat="1" x14ac:dyDescent="0.25"/>
    <row r="125567" customFormat="1" x14ac:dyDescent="0.25"/>
    <row r="125568" customFormat="1" x14ac:dyDescent="0.25"/>
    <row r="125569" customFormat="1" x14ac:dyDescent="0.25"/>
    <row r="125570" customFormat="1" x14ac:dyDescent="0.25"/>
    <row r="125571" customFormat="1" x14ac:dyDescent="0.25"/>
    <row r="125572" customFormat="1" x14ac:dyDescent="0.25"/>
    <row r="125573" customFormat="1" x14ac:dyDescent="0.25"/>
    <row r="125574" customFormat="1" x14ac:dyDescent="0.25"/>
    <row r="125575" customFormat="1" x14ac:dyDescent="0.25"/>
    <row r="125576" customFormat="1" x14ac:dyDescent="0.25"/>
    <row r="125577" customFormat="1" x14ac:dyDescent="0.25"/>
    <row r="125578" customFormat="1" x14ac:dyDescent="0.25"/>
    <row r="125579" customFormat="1" x14ac:dyDescent="0.25"/>
    <row r="125580" customFormat="1" x14ac:dyDescent="0.25"/>
    <row r="125581" customFormat="1" x14ac:dyDescent="0.25"/>
    <row r="125582" customFormat="1" x14ac:dyDescent="0.25"/>
    <row r="125583" customFormat="1" x14ac:dyDescent="0.25"/>
    <row r="125584" customFormat="1" x14ac:dyDescent="0.25"/>
    <row r="125585" customFormat="1" x14ac:dyDescent="0.25"/>
    <row r="125586" customFormat="1" x14ac:dyDescent="0.25"/>
    <row r="125587" customFormat="1" x14ac:dyDescent="0.25"/>
    <row r="125588" customFormat="1" x14ac:dyDescent="0.25"/>
    <row r="125589" customFormat="1" x14ac:dyDescent="0.25"/>
    <row r="125590" customFormat="1" x14ac:dyDescent="0.25"/>
    <row r="125591" customFormat="1" x14ac:dyDescent="0.25"/>
    <row r="125592" customFormat="1" x14ac:dyDescent="0.25"/>
    <row r="125593" customFormat="1" x14ac:dyDescent="0.25"/>
    <row r="125594" customFormat="1" x14ac:dyDescent="0.25"/>
    <row r="125595" customFormat="1" x14ac:dyDescent="0.25"/>
    <row r="125596" customFormat="1" x14ac:dyDescent="0.25"/>
    <row r="125597" customFormat="1" x14ac:dyDescent="0.25"/>
    <row r="125598" customFormat="1" x14ac:dyDescent="0.25"/>
    <row r="125599" customFormat="1" x14ac:dyDescent="0.25"/>
    <row r="125600" customFormat="1" x14ac:dyDescent="0.25"/>
    <row r="125601" customFormat="1" x14ac:dyDescent="0.25"/>
    <row r="125602" customFormat="1" x14ac:dyDescent="0.25"/>
    <row r="125603" customFormat="1" x14ac:dyDescent="0.25"/>
    <row r="125604" customFormat="1" x14ac:dyDescent="0.25"/>
    <row r="125605" customFormat="1" x14ac:dyDescent="0.25"/>
    <row r="125606" customFormat="1" x14ac:dyDescent="0.25"/>
    <row r="125607" customFormat="1" x14ac:dyDescent="0.25"/>
    <row r="125608" customFormat="1" x14ac:dyDescent="0.25"/>
    <row r="125609" customFormat="1" x14ac:dyDescent="0.25"/>
    <row r="125610" customFormat="1" x14ac:dyDescent="0.25"/>
    <row r="125611" customFormat="1" x14ac:dyDescent="0.25"/>
    <row r="125612" customFormat="1" x14ac:dyDescent="0.25"/>
    <row r="125613" customFormat="1" x14ac:dyDescent="0.25"/>
    <row r="125614" customFormat="1" x14ac:dyDescent="0.25"/>
    <row r="125615" customFormat="1" x14ac:dyDescent="0.25"/>
    <row r="125616" customFormat="1" x14ac:dyDescent="0.25"/>
    <row r="125617" customFormat="1" x14ac:dyDescent="0.25"/>
    <row r="125618" customFormat="1" x14ac:dyDescent="0.25"/>
    <row r="125619" customFormat="1" x14ac:dyDescent="0.25"/>
    <row r="125620" customFormat="1" x14ac:dyDescent="0.25"/>
    <row r="125621" customFormat="1" x14ac:dyDescent="0.25"/>
    <row r="125622" customFormat="1" x14ac:dyDescent="0.25"/>
    <row r="125623" customFormat="1" x14ac:dyDescent="0.25"/>
    <row r="125624" customFormat="1" x14ac:dyDescent="0.25"/>
    <row r="125625" customFormat="1" x14ac:dyDescent="0.25"/>
    <row r="125626" customFormat="1" x14ac:dyDescent="0.25"/>
    <row r="125627" customFormat="1" x14ac:dyDescent="0.25"/>
    <row r="125628" customFormat="1" x14ac:dyDescent="0.25"/>
    <row r="125629" customFormat="1" x14ac:dyDescent="0.25"/>
    <row r="125630" customFormat="1" x14ac:dyDescent="0.25"/>
    <row r="125631" customFormat="1" x14ac:dyDescent="0.25"/>
    <row r="125632" customFormat="1" x14ac:dyDescent="0.25"/>
    <row r="125633" customFormat="1" x14ac:dyDescent="0.25"/>
    <row r="125634" customFormat="1" x14ac:dyDescent="0.25"/>
    <row r="125635" customFormat="1" x14ac:dyDescent="0.25"/>
    <row r="125636" customFormat="1" x14ac:dyDescent="0.25"/>
    <row r="125637" customFormat="1" x14ac:dyDescent="0.25"/>
    <row r="125638" customFormat="1" x14ac:dyDescent="0.25"/>
    <row r="125639" customFormat="1" x14ac:dyDescent="0.25"/>
    <row r="125640" customFormat="1" x14ac:dyDescent="0.25"/>
    <row r="125641" customFormat="1" x14ac:dyDescent="0.25"/>
    <row r="125642" customFormat="1" x14ac:dyDescent="0.25"/>
    <row r="125643" customFormat="1" x14ac:dyDescent="0.25"/>
    <row r="125644" customFormat="1" x14ac:dyDescent="0.25"/>
    <row r="125645" customFormat="1" x14ac:dyDescent="0.25"/>
    <row r="125646" customFormat="1" x14ac:dyDescent="0.25"/>
    <row r="125647" customFormat="1" x14ac:dyDescent="0.25"/>
    <row r="125648" customFormat="1" x14ac:dyDescent="0.25"/>
    <row r="125649" customFormat="1" x14ac:dyDescent="0.25"/>
    <row r="125650" customFormat="1" x14ac:dyDescent="0.25"/>
    <row r="125651" customFormat="1" x14ac:dyDescent="0.25"/>
    <row r="125652" customFormat="1" x14ac:dyDescent="0.25"/>
    <row r="125653" customFormat="1" x14ac:dyDescent="0.25"/>
    <row r="125654" customFormat="1" x14ac:dyDescent="0.25"/>
    <row r="125655" customFormat="1" x14ac:dyDescent="0.25"/>
    <row r="125656" customFormat="1" x14ac:dyDescent="0.25"/>
    <row r="125657" customFormat="1" x14ac:dyDescent="0.25"/>
    <row r="125658" customFormat="1" x14ac:dyDescent="0.25"/>
    <row r="125659" customFormat="1" x14ac:dyDescent="0.25"/>
    <row r="125660" customFormat="1" x14ac:dyDescent="0.25"/>
    <row r="125661" customFormat="1" x14ac:dyDescent="0.25"/>
    <row r="125662" customFormat="1" x14ac:dyDescent="0.25"/>
    <row r="125663" customFormat="1" x14ac:dyDescent="0.25"/>
    <row r="125664" customFormat="1" x14ac:dyDescent="0.25"/>
    <row r="125665" customFormat="1" x14ac:dyDescent="0.25"/>
    <row r="125666" customFormat="1" x14ac:dyDescent="0.25"/>
    <row r="125667" customFormat="1" x14ac:dyDescent="0.25"/>
    <row r="125668" customFormat="1" x14ac:dyDescent="0.25"/>
    <row r="125669" customFormat="1" x14ac:dyDescent="0.25"/>
    <row r="125670" customFormat="1" x14ac:dyDescent="0.25"/>
    <row r="125671" customFormat="1" x14ac:dyDescent="0.25"/>
    <row r="125672" customFormat="1" x14ac:dyDescent="0.25"/>
    <row r="125673" customFormat="1" x14ac:dyDescent="0.25"/>
    <row r="125674" customFormat="1" x14ac:dyDescent="0.25"/>
    <row r="125675" customFormat="1" x14ac:dyDescent="0.25"/>
    <row r="125676" customFormat="1" x14ac:dyDescent="0.25"/>
    <row r="125677" customFormat="1" x14ac:dyDescent="0.25"/>
    <row r="125678" customFormat="1" x14ac:dyDescent="0.25"/>
    <row r="125679" customFormat="1" x14ac:dyDescent="0.25"/>
    <row r="125680" customFormat="1" x14ac:dyDescent="0.25"/>
    <row r="125681" customFormat="1" x14ac:dyDescent="0.25"/>
    <row r="125682" customFormat="1" x14ac:dyDescent="0.25"/>
    <row r="125683" customFormat="1" x14ac:dyDescent="0.25"/>
    <row r="125684" customFormat="1" x14ac:dyDescent="0.25"/>
    <row r="125685" customFormat="1" x14ac:dyDescent="0.25"/>
    <row r="125686" customFormat="1" x14ac:dyDescent="0.25"/>
    <row r="125687" customFormat="1" x14ac:dyDescent="0.25"/>
    <row r="125688" customFormat="1" x14ac:dyDescent="0.25"/>
    <row r="125689" customFormat="1" x14ac:dyDescent="0.25"/>
    <row r="125690" customFormat="1" x14ac:dyDescent="0.25"/>
    <row r="125691" customFormat="1" x14ac:dyDescent="0.25"/>
    <row r="125692" customFormat="1" x14ac:dyDescent="0.25"/>
    <row r="125693" customFormat="1" x14ac:dyDescent="0.25"/>
    <row r="125694" customFormat="1" x14ac:dyDescent="0.25"/>
    <row r="125695" customFormat="1" x14ac:dyDescent="0.25"/>
    <row r="125696" customFormat="1" x14ac:dyDescent="0.25"/>
    <row r="125697" customFormat="1" x14ac:dyDescent="0.25"/>
    <row r="125698" customFormat="1" x14ac:dyDescent="0.25"/>
    <row r="125699" customFormat="1" x14ac:dyDescent="0.25"/>
    <row r="125700" customFormat="1" x14ac:dyDescent="0.25"/>
    <row r="125701" customFormat="1" x14ac:dyDescent="0.25"/>
    <row r="125702" customFormat="1" x14ac:dyDescent="0.25"/>
    <row r="125703" customFormat="1" x14ac:dyDescent="0.25"/>
    <row r="125704" customFormat="1" x14ac:dyDescent="0.25"/>
    <row r="125705" customFormat="1" x14ac:dyDescent="0.25"/>
    <row r="125706" customFormat="1" x14ac:dyDescent="0.25"/>
    <row r="125707" customFormat="1" x14ac:dyDescent="0.25"/>
    <row r="125708" customFormat="1" x14ac:dyDescent="0.25"/>
    <row r="125709" customFormat="1" x14ac:dyDescent="0.25"/>
    <row r="125710" customFormat="1" x14ac:dyDescent="0.25"/>
    <row r="125711" customFormat="1" x14ac:dyDescent="0.25"/>
    <row r="125712" customFormat="1" x14ac:dyDescent="0.25"/>
    <row r="125713" customFormat="1" x14ac:dyDescent="0.25"/>
    <row r="125714" customFormat="1" x14ac:dyDescent="0.25"/>
    <row r="125715" customFormat="1" x14ac:dyDescent="0.25"/>
    <row r="125716" customFormat="1" x14ac:dyDescent="0.25"/>
    <row r="125717" customFormat="1" x14ac:dyDescent="0.25"/>
    <row r="125718" customFormat="1" x14ac:dyDescent="0.25"/>
    <row r="125719" customFormat="1" x14ac:dyDescent="0.25"/>
    <row r="125720" customFormat="1" x14ac:dyDescent="0.25"/>
    <row r="125721" customFormat="1" x14ac:dyDescent="0.25"/>
    <row r="125722" customFormat="1" x14ac:dyDescent="0.25"/>
    <row r="125723" customFormat="1" x14ac:dyDescent="0.25"/>
    <row r="125724" customFormat="1" x14ac:dyDescent="0.25"/>
    <row r="125725" customFormat="1" x14ac:dyDescent="0.25"/>
    <row r="125726" customFormat="1" x14ac:dyDescent="0.25"/>
    <row r="125727" customFormat="1" x14ac:dyDescent="0.25"/>
    <row r="125728" customFormat="1" x14ac:dyDescent="0.25"/>
    <row r="125729" customFormat="1" x14ac:dyDescent="0.25"/>
    <row r="125730" customFormat="1" x14ac:dyDescent="0.25"/>
    <row r="125731" customFormat="1" x14ac:dyDescent="0.25"/>
    <row r="125732" customFormat="1" x14ac:dyDescent="0.25"/>
    <row r="125733" customFormat="1" x14ac:dyDescent="0.25"/>
    <row r="125734" customFormat="1" x14ac:dyDescent="0.25"/>
    <row r="125735" customFormat="1" x14ac:dyDescent="0.25"/>
    <row r="125736" customFormat="1" x14ac:dyDescent="0.25"/>
    <row r="125737" customFormat="1" x14ac:dyDescent="0.25"/>
    <row r="125738" customFormat="1" x14ac:dyDescent="0.25"/>
    <row r="125739" customFormat="1" x14ac:dyDescent="0.25"/>
    <row r="125740" customFormat="1" x14ac:dyDescent="0.25"/>
    <row r="125741" customFormat="1" x14ac:dyDescent="0.25"/>
    <row r="125742" customFormat="1" x14ac:dyDescent="0.25"/>
    <row r="125743" customFormat="1" x14ac:dyDescent="0.25"/>
    <row r="125744" customFormat="1" x14ac:dyDescent="0.25"/>
    <row r="125745" customFormat="1" x14ac:dyDescent="0.25"/>
    <row r="125746" customFormat="1" x14ac:dyDescent="0.25"/>
    <row r="125747" customFormat="1" x14ac:dyDescent="0.25"/>
    <row r="125748" customFormat="1" x14ac:dyDescent="0.25"/>
    <row r="125749" customFormat="1" x14ac:dyDescent="0.25"/>
    <row r="125750" customFormat="1" x14ac:dyDescent="0.25"/>
    <row r="125751" customFormat="1" x14ac:dyDescent="0.25"/>
    <row r="125752" customFormat="1" x14ac:dyDescent="0.25"/>
    <row r="125753" customFormat="1" x14ac:dyDescent="0.25"/>
    <row r="125754" customFormat="1" x14ac:dyDescent="0.25"/>
    <row r="125755" customFormat="1" x14ac:dyDescent="0.25"/>
    <row r="125756" customFormat="1" x14ac:dyDescent="0.25"/>
    <row r="125757" customFormat="1" x14ac:dyDescent="0.25"/>
    <row r="125758" customFormat="1" x14ac:dyDescent="0.25"/>
    <row r="125759" customFormat="1" x14ac:dyDescent="0.25"/>
    <row r="125760" customFormat="1" x14ac:dyDescent="0.25"/>
    <row r="125761" customFormat="1" x14ac:dyDescent="0.25"/>
    <row r="125762" customFormat="1" x14ac:dyDescent="0.25"/>
    <row r="125763" customFormat="1" x14ac:dyDescent="0.25"/>
    <row r="125764" customFormat="1" x14ac:dyDescent="0.25"/>
    <row r="125765" customFormat="1" x14ac:dyDescent="0.25"/>
    <row r="125766" customFormat="1" x14ac:dyDescent="0.25"/>
    <row r="125767" customFormat="1" x14ac:dyDescent="0.25"/>
    <row r="125768" customFormat="1" x14ac:dyDescent="0.25"/>
    <row r="125769" customFormat="1" x14ac:dyDescent="0.25"/>
    <row r="125770" customFormat="1" x14ac:dyDescent="0.25"/>
    <row r="125771" customFormat="1" x14ac:dyDescent="0.25"/>
    <row r="125772" customFormat="1" x14ac:dyDescent="0.25"/>
    <row r="125773" customFormat="1" x14ac:dyDescent="0.25"/>
    <row r="125774" customFormat="1" x14ac:dyDescent="0.25"/>
    <row r="125775" customFormat="1" x14ac:dyDescent="0.25"/>
    <row r="125776" customFormat="1" x14ac:dyDescent="0.25"/>
    <row r="125777" customFormat="1" x14ac:dyDescent="0.25"/>
    <row r="125778" customFormat="1" x14ac:dyDescent="0.25"/>
    <row r="125779" customFormat="1" x14ac:dyDescent="0.25"/>
    <row r="125780" customFormat="1" x14ac:dyDescent="0.25"/>
    <row r="125781" customFormat="1" x14ac:dyDescent="0.25"/>
    <row r="125782" customFormat="1" x14ac:dyDescent="0.25"/>
    <row r="125783" customFormat="1" x14ac:dyDescent="0.25"/>
    <row r="125784" customFormat="1" x14ac:dyDescent="0.25"/>
    <row r="125785" customFormat="1" x14ac:dyDescent="0.25"/>
    <row r="125786" customFormat="1" x14ac:dyDescent="0.25"/>
    <row r="125787" customFormat="1" x14ac:dyDescent="0.25"/>
    <row r="125788" customFormat="1" x14ac:dyDescent="0.25"/>
    <row r="125789" customFormat="1" x14ac:dyDescent="0.25"/>
    <row r="125790" customFormat="1" x14ac:dyDescent="0.25"/>
    <row r="125791" customFormat="1" x14ac:dyDescent="0.25"/>
    <row r="125792" customFormat="1" x14ac:dyDescent="0.25"/>
    <row r="125793" customFormat="1" x14ac:dyDescent="0.25"/>
    <row r="125794" customFormat="1" x14ac:dyDescent="0.25"/>
    <row r="125795" customFormat="1" x14ac:dyDescent="0.25"/>
    <row r="125796" customFormat="1" x14ac:dyDescent="0.25"/>
    <row r="125797" customFormat="1" x14ac:dyDescent="0.25"/>
    <row r="125798" customFormat="1" x14ac:dyDescent="0.25"/>
    <row r="125799" customFormat="1" x14ac:dyDescent="0.25"/>
    <row r="125800" customFormat="1" x14ac:dyDescent="0.25"/>
    <row r="125801" customFormat="1" x14ac:dyDescent="0.25"/>
    <row r="125802" customFormat="1" x14ac:dyDescent="0.25"/>
    <row r="125803" customFormat="1" x14ac:dyDescent="0.25"/>
    <row r="125804" customFormat="1" x14ac:dyDescent="0.25"/>
    <row r="125805" customFormat="1" x14ac:dyDescent="0.25"/>
    <row r="125806" customFormat="1" x14ac:dyDescent="0.25"/>
    <row r="125807" customFormat="1" x14ac:dyDescent="0.25"/>
    <row r="125808" customFormat="1" x14ac:dyDescent="0.25"/>
    <row r="125809" customFormat="1" x14ac:dyDescent="0.25"/>
    <row r="125810" customFormat="1" x14ac:dyDescent="0.25"/>
    <row r="125811" customFormat="1" x14ac:dyDescent="0.25"/>
    <row r="125812" customFormat="1" x14ac:dyDescent="0.25"/>
    <row r="125813" customFormat="1" x14ac:dyDescent="0.25"/>
    <row r="125814" customFormat="1" x14ac:dyDescent="0.25"/>
    <row r="125815" customFormat="1" x14ac:dyDescent="0.25"/>
    <row r="125816" customFormat="1" x14ac:dyDescent="0.25"/>
    <row r="125817" customFormat="1" x14ac:dyDescent="0.25"/>
    <row r="125818" customFormat="1" x14ac:dyDescent="0.25"/>
    <row r="125819" customFormat="1" x14ac:dyDescent="0.25"/>
    <row r="125820" customFormat="1" x14ac:dyDescent="0.25"/>
    <row r="125821" customFormat="1" x14ac:dyDescent="0.25"/>
    <row r="125822" customFormat="1" x14ac:dyDescent="0.25"/>
    <row r="125823" customFormat="1" x14ac:dyDescent="0.25"/>
    <row r="125824" customFormat="1" x14ac:dyDescent="0.25"/>
    <row r="125825" customFormat="1" x14ac:dyDescent="0.25"/>
    <row r="125826" customFormat="1" x14ac:dyDescent="0.25"/>
    <row r="125827" customFormat="1" x14ac:dyDescent="0.25"/>
    <row r="125828" customFormat="1" x14ac:dyDescent="0.25"/>
    <row r="125829" customFormat="1" x14ac:dyDescent="0.25"/>
    <row r="125830" customFormat="1" x14ac:dyDescent="0.25"/>
    <row r="125831" customFormat="1" x14ac:dyDescent="0.25"/>
    <row r="125832" customFormat="1" x14ac:dyDescent="0.25"/>
    <row r="125833" customFormat="1" x14ac:dyDescent="0.25"/>
    <row r="125834" customFormat="1" x14ac:dyDescent="0.25"/>
    <row r="125835" customFormat="1" x14ac:dyDescent="0.25"/>
    <row r="125836" customFormat="1" x14ac:dyDescent="0.25"/>
    <row r="125837" customFormat="1" x14ac:dyDescent="0.25"/>
    <row r="125838" customFormat="1" x14ac:dyDescent="0.25"/>
    <row r="125839" customFormat="1" x14ac:dyDescent="0.25"/>
    <row r="125840" customFormat="1" x14ac:dyDescent="0.25"/>
    <row r="125841" customFormat="1" x14ac:dyDescent="0.25"/>
    <row r="125842" customFormat="1" x14ac:dyDescent="0.25"/>
    <row r="125843" customFormat="1" x14ac:dyDescent="0.25"/>
    <row r="125844" customFormat="1" x14ac:dyDescent="0.25"/>
    <row r="125845" customFormat="1" x14ac:dyDescent="0.25"/>
    <row r="125846" customFormat="1" x14ac:dyDescent="0.25"/>
    <row r="125847" customFormat="1" x14ac:dyDescent="0.25"/>
    <row r="125848" customFormat="1" x14ac:dyDescent="0.25"/>
    <row r="125849" customFormat="1" x14ac:dyDescent="0.25"/>
    <row r="125850" customFormat="1" x14ac:dyDescent="0.25"/>
    <row r="125851" customFormat="1" x14ac:dyDescent="0.25"/>
    <row r="125852" customFormat="1" x14ac:dyDescent="0.25"/>
    <row r="125853" customFormat="1" x14ac:dyDescent="0.25"/>
    <row r="125854" customFormat="1" x14ac:dyDescent="0.25"/>
    <row r="125855" customFormat="1" x14ac:dyDescent="0.25"/>
    <row r="125856" customFormat="1" x14ac:dyDescent="0.25"/>
    <row r="125857" customFormat="1" x14ac:dyDescent="0.25"/>
    <row r="125858" customFormat="1" x14ac:dyDescent="0.25"/>
    <row r="125859" customFormat="1" x14ac:dyDescent="0.25"/>
    <row r="125860" customFormat="1" x14ac:dyDescent="0.25"/>
    <row r="125861" customFormat="1" x14ac:dyDescent="0.25"/>
    <row r="125862" customFormat="1" x14ac:dyDescent="0.25"/>
    <row r="125863" customFormat="1" x14ac:dyDescent="0.25"/>
    <row r="125864" customFormat="1" x14ac:dyDescent="0.25"/>
    <row r="125865" customFormat="1" x14ac:dyDescent="0.25"/>
    <row r="125866" customFormat="1" x14ac:dyDescent="0.25"/>
    <row r="125867" customFormat="1" x14ac:dyDescent="0.25"/>
    <row r="125868" customFormat="1" x14ac:dyDescent="0.25"/>
    <row r="125869" customFormat="1" x14ac:dyDescent="0.25"/>
    <row r="125870" customFormat="1" x14ac:dyDescent="0.25"/>
    <row r="125871" customFormat="1" x14ac:dyDescent="0.25"/>
    <row r="125872" customFormat="1" x14ac:dyDescent="0.25"/>
    <row r="125873" customFormat="1" x14ac:dyDescent="0.25"/>
    <row r="125874" customFormat="1" x14ac:dyDescent="0.25"/>
    <row r="125875" customFormat="1" x14ac:dyDescent="0.25"/>
    <row r="125876" customFormat="1" x14ac:dyDescent="0.25"/>
    <row r="125877" customFormat="1" x14ac:dyDescent="0.25"/>
    <row r="125878" customFormat="1" x14ac:dyDescent="0.25"/>
    <row r="125879" customFormat="1" x14ac:dyDescent="0.25"/>
    <row r="125880" customFormat="1" x14ac:dyDescent="0.25"/>
    <row r="125881" customFormat="1" x14ac:dyDescent="0.25"/>
    <row r="125882" customFormat="1" x14ac:dyDescent="0.25"/>
    <row r="125883" customFormat="1" x14ac:dyDescent="0.25"/>
    <row r="125884" customFormat="1" x14ac:dyDescent="0.25"/>
    <row r="125885" customFormat="1" x14ac:dyDescent="0.25"/>
    <row r="125886" customFormat="1" x14ac:dyDescent="0.25"/>
    <row r="125887" customFormat="1" x14ac:dyDescent="0.25"/>
    <row r="125888" customFormat="1" x14ac:dyDescent="0.25"/>
    <row r="125889" customFormat="1" x14ac:dyDescent="0.25"/>
    <row r="125890" customFormat="1" x14ac:dyDescent="0.25"/>
    <row r="125891" customFormat="1" x14ac:dyDescent="0.25"/>
    <row r="125892" customFormat="1" x14ac:dyDescent="0.25"/>
    <row r="125893" customFormat="1" x14ac:dyDescent="0.25"/>
    <row r="125894" customFormat="1" x14ac:dyDescent="0.25"/>
    <row r="125895" customFormat="1" x14ac:dyDescent="0.25"/>
    <row r="125896" customFormat="1" x14ac:dyDescent="0.25"/>
    <row r="125897" customFormat="1" x14ac:dyDescent="0.25"/>
    <row r="125898" customFormat="1" x14ac:dyDescent="0.25"/>
    <row r="125899" customFormat="1" x14ac:dyDescent="0.25"/>
    <row r="125900" customFormat="1" x14ac:dyDescent="0.25"/>
    <row r="125901" customFormat="1" x14ac:dyDescent="0.25"/>
    <row r="125902" customFormat="1" x14ac:dyDescent="0.25"/>
    <row r="125903" customFormat="1" x14ac:dyDescent="0.25"/>
    <row r="125904" customFormat="1" x14ac:dyDescent="0.25"/>
    <row r="125905" customFormat="1" x14ac:dyDescent="0.25"/>
    <row r="125906" customFormat="1" x14ac:dyDescent="0.25"/>
    <row r="125907" customFormat="1" x14ac:dyDescent="0.25"/>
    <row r="125908" customFormat="1" x14ac:dyDescent="0.25"/>
    <row r="125909" customFormat="1" x14ac:dyDescent="0.25"/>
    <row r="125910" customFormat="1" x14ac:dyDescent="0.25"/>
    <row r="125911" customFormat="1" x14ac:dyDescent="0.25"/>
    <row r="125912" customFormat="1" x14ac:dyDescent="0.25"/>
    <row r="125913" customFormat="1" x14ac:dyDescent="0.25"/>
    <row r="125914" customFormat="1" x14ac:dyDescent="0.25"/>
    <row r="125915" customFormat="1" x14ac:dyDescent="0.25"/>
    <row r="125916" customFormat="1" x14ac:dyDescent="0.25"/>
    <row r="125917" customFormat="1" x14ac:dyDescent="0.25"/>
    <row r="125918" customFormat="1" x14ac:dyDescent="0.25"/>
    <row r="125919" customFormat="1" x14ac:dyDescent="0.25"/>
    <row r="125920" customFormat="1" x14ac:dyDescent="0.25"/>
    <row r="125921" customFormat="1" x14ac:dyDescent="0.25"/>
    <row r="125922" customFormat="1" x14ac:dyDescent="0.25"/>
    <row r="125923" customFormat="1" x14ac:dyDescent="0.25"/>
    <row r="125924" customFormat="1" x14ac:dyDescent="0.25"/>
    <row r="125925" customFormat="1" x14ac:dyDescent="0.25"/>
    <row r="125926" customFormat="1" x14ac:dyDescent="0.25"/>
    <row r="125927" customFormat="1" x14ac:dyDescent="0.25"/>
    <row r="125928" customFormat="1" x14ac:dyDescent="0.25"/>
    <row r="125929" customFormat="1" x14ac:dyDescent="0.25"/>
    <row r="125930" customFormat="1" x14ac:dyDescent="0.25"/>
    <row r="125931" customFormat="1" x14ac:dyDescent="0.25"/>
    <row r="125932" customFormat="1" x14ac:dyDescent="0.25"/>
    <row r="125933" customFormat="1" x14ac:dyDescent="0.25"/>
    <row r="125934" customFormat="1" x14ac:dyDescent="0.25"/>
    <row r="125935" customFormat="1" x14ac:dyDescent="0.25"/>
    <row r="125936" customFormat="1" x14ac:dyDescent="0.25"/>
    <row r="125937" customFormat="1" x14ac:dyDescent="0.25"/>
    <row r="125938" customFormat="1" x14ac:dyDescent="0.25"/>
    <row r="125939" customFormat="1" x14ac:dyDescent="0.25"/>
    <row r="125940" customFormat="1" x14ac:dyDescent="0.25"/>
    <row r="125941" customFormat="1" x14ac:dyDescent="0.25"/>
    <row r="125942" customFormat="1" x14ac:dyDescent="0.25"/>
    <row r="125943" customFormat="1" x14ac:dyDescent="0.25"/>
    <row r="125944" customFormat="1" x14ac:dyDescent="0.25"/>
    <row r="125945" customFormat="1" x14ac:dyDescent="0.25"/>
    <row r="125946" customFormat="1" x14ac:dyDescent="0.25"/>
    <row r="125947" customFormat="1" x14ac:dyDescent="0.25"/>
    <row r="125948" customFormat="1" x14ac:dyDescent="0.25"/>
    <row r="125949" customFormat="1" x14ac:dyDescent="0.25"/>
    <row r="125950" customFormat="1" x14ac:dyDescent="0.25"/>
    <row r="125951" customFormat="1" x14ac:dyDescent="0.25"/>
    <row r="125952" customFormat="1" x14ac:dyDescent="0.25"/>
    <row r="125953" customFormat="1" x14ac:dyDescent="0.25"/>
    <row r="125954" customFormat="1" x14ac:dyDescent="0.25"/>
    <row r="125955" customFormat="1" x14ac:dyDescent="0.25"/>
    <row r="125956" customFormat="1" x14ac:dyDescent="0.25"/>
    <row r="125957" customFormat="1" x14ac:dyDescent="0.25"/>
    <row r="125958" customFormat="1" x14ac:dyDescent="0.25"/>
    <row r="125959" customFormat="1" x14ac:dyDescent="0.25"/>
    <row r="125960" customFormat="1" x14ac:dyDescent="0.25"/>
    <row r="125961" customFormat="1" x14ac:dyDescent="0.25"/>
    <row r="125962" customFormat="1" x14ac:dyDescent="0.25"/>
    <row r="125963" customFormat="1" x14ac:dyDescent="0.25"/>
    <row r="125964" customFormat="1" x14ac:dyDescent="0.25"/>
    <row r="125965" customFormat="1" x14ac:dyDescent="0.25"/>
    <row r="125966" customFormat="1" x14ac:dyDescent="0.25"/>
    <row r="125967" customFormat="1" x14ac:dyDescent="0.25"/>
    <row r="125968" customFormat="1" x14ac:dyDescent="0.25"/>
    <row r="125969" customFormat="1" x14ac:dyDescent="0.25"/>
    <row r="125970" customFormat="1" x14ac:dyDescent="0.25"/>
    <row r="125971" customFormat="1" x14ac:dyDescent="0.25"/>
    <row r="125972" customFormat="1" x14ac:dyDescent="0.25"/>
    <row r="125973" customFormat="1" x14ac:dyDescent="0.25"/>
    <row r="125974" customFormat="1" x14ac:dyDescent="0.25"/>
    <row r="125975" customFormat="1" x14ac:dyDescent="0.25"/>
    <row r="125976" customFormat="1" x14ac:dyDescent="0.25"/>
    <row r="125977" customFormat="1" x14ac:dyDescent="0.25"/>
    <row r="125978" customFormat="1" x14ac:dyDescent="0.25"/>
    <row r="125979" customFormat="1" x14ac:dyDescent="0.25"/>
    <row r="125980" customFormat="1" x14ac:dyDescent="0.25"/>
    <row r="125981" customFormat="1" x14ac:dyDescent="0.25"/>
    <row r="125982" customFormat="1" x14ac:dyDescent="0.25"/>
    <row r="125983" customFormat="1" x14ac:dyDescent="0.25"/>
    <row r="125984" customFormat="1" x14ac:dyDescent="0.25"/>
    <row r="125985" customFormat="1" x14ac:dyDescent="0.25"/>
    <row r="125986" customFormat="1" x14ac:dyDescent="0.25"/>
    <row r="125987" customFormat="1" x14ac:dyDescent="0.25"/>
    <row r="125988" customFormat="1" x14ac:dyDescent="0.25"/>
    <row r="125989" customFormat="1" x14ac:dyDescent="0.25"/>
    <row r="125990" customFormat="1" x14ac:dyDescent="0.25"/>
    <row r="125991" customFormat="1" x14ac:dyDescent="0.25"/>
    <row r="125992" customFormat="1" x14ac:dyDescent="0.25"/>
    <row r="125993" customFormat="1" x14ac:dyDescent="0.25"/>
    <row r="125994" customFormat="1" x14ac:dyDescent="0.25"/>
    <row r="125995" customFormat="1" x14ac:dyDescent="0.25"/>
    <row r="125996" customFormat="1" x14ac:dyDescent="0.25"/>
    <row r="125997" customFormat="1" x14ac:dyDescent="0.25"/>
    <row r="125998" customFormat="1" x14ac:dyDescent="0.25"/>
    <row r="125999" customFormat="1" x14ac:dyDescent="0.25"/>
    <row r="126000" customFormat="1" x14ac:dyDescent="0.25"/>
    <row r="126001" customFormat="1" x14ac:dyDescent="0.25"/>
    <row r="126002" customFormat="1" x14ac:dyDescent="0.25"/>
    <row r="126003" customFormat="1" x14ac:dyDescent="0.25"/>
    <row r="126004" customFormat="1" x14ac:dyDescent="0.25"/>
    <row r="126005" customFormat="1" x14ac:dyDescent="0.25"/>
    <row r="126006" customFormat="1" x14ac:dyDescent="0.25"/>
    <row r="126007" customFormat="1" x14ac:dyDescent="0.25"/>
    <row r="126008" customFormat="1" x14ac:dyDescent="0.25"/>
    <row r="126009" customFormat="1" x14ac:dyDescent="0.25"/>
    <row r="126010" customFormat="1" x14ac:dyDescent="0.25"/>
    <row r="126011" customFormat="1" x14ac:dyDescent="0.25"/>
    <row r="126012" customFormat="1" x14ac:dyDescent="0.25"/>
    <row r="126013" customFormat="1" x14ac:dyDescent="0.25"/>
    <row r="126014" customFormat="1" x14ac:dyDescent="0.25"/>
    <row r="126015" customFormat="1" x14ac:dyDescent="0.25"/>
    <row r="126016" customFormat="1" x14ac:dyDescent="0.25"/>
    <row r="126017" customFormat="1" x14ac:dyDescent="0.25"/>
    <row r="126018" customFormat="1" x14ac:dyDescent="0.25"/>
    <row r="126019" customFormat="1" x14ac:dyDescent="0.25"/>
    <row r="126020" customFormat="1" x14ac:dyDescent="0.25"/>
    <row r="126021" customFormat="1" x14ac:dyDescent="0.25"/>
    <row r="126022" customFormat="1" x14ac:dyDescent="0.25"/>
    <row r="126023" customFormat="1" x14ac:dyDescent="0.25"/>
    <row r="126024" customFormat="1" x14ac:dyDescent="0.25"/>
    <row r="126025" customFormat="1" x14ac:dyDescent="0.25"/>
    <row r="126026" customFormat="1" x14ac:dyDescent="0.25"/>
    <row r="126027" customFormat="1" x14ac:dyDescent="0.25"/>
    <row r="126028" customFormat="1" x14ac:dyDescent="0.25"/>
    <row r="126029" customFormat="1" x14ac:dyDescent="0.25"/>
    <row r="126030" customFormat="1" x14ac:dyDescent="0.25"/>
    <row r="126031" customFormat="1" x14ac:dyDescent="0.25"/>
    <row r="126032" customFormat="1" x14ac:dyDescent="0.25"/>
    <row r="126033" customFormat="1" x14ac:dyDescent="0.25"/>
    <row r="126034" customFormat="1" x14ac:dyDescent="0.25"/>
    <row r="126035" customFormat="1" x14ac:dyDescent="0.25"/>
    <row r="126036" customFormat="1" x14ac:dyDescent="0.25"/>
    <row r="126037" customFormat="1" x14ac:dyDescent="0.25"/>
    <row r="126038" customFormat="1" x14ac:dyDescent="0.25"/>
    <row r="126039" customFormat="1" x14ac:dyDescent="0.25"/>
    <row r="126040" customFormat="1" x14ac:dyDescent="0.25"/>
    <row r="126041" customFormat="1" x14ac:dyDescent="0.25"/>
    <row r="126042" customFormat="1" x14ac:dyDescent="0.25"/>
    <row r="126043" customFormat="1" x14ac:dyDescent="0.25"/>
    <row r="126044" customFormat="1" x14ac:dyDescent="0.25"/>
    <row r="126045" customFormat="1" x14ac:dyDescent="0.25"/>
    <row r="126046" customFormat="1" x14ac:dyDescent="0.25"/>
    <row r="126047" customFormat="1" x14ac:dyDescent="0.25"/>
    <row r="126048" customFormat="1" x14ac:dyDescent="0.25"/>
    <row r="126049" customFormat="1" x14ac:dyDescent="0.25"/>
    <row r="126050" customFormat="1" x14ac:dyDescent="0.25"/>
    <row r="126051" customFormat="1" x14ac:dyDescent="0.25"/>
    <row r="126052" customFormat="1" x14ac:dyDescent="0.25"/>
    <row r="126053" customFormat="1" x14ac:dyDescent="0.25"/>
    <row r="126054" customFormat="1" x14ac:dyDescent="0.25"/>
    <row r="126055" customFormat="1" x14ac:dyDescent="0.25"/>
    <row r="126056" customFormat="1" x14ac:dyDescent="0.25"/>
    <row r="126057" customFormat="1" x14ac:dyDescent="0.25"/>
    <row r="126058" customFormat="1" x14ac:dyDescent="0.25"/>
    <row r="126059" customFormat="1" x14ac:dyDescent="0.25"/>
    <row r="126060" customFormat="1" x14ac:dyDescent="0.25"/>
    <row r="126061" customFormat="1" x14ac:dyDescent="0.25"/>
    <row r="126062" customFormat="1" x14ac:dyDescent="0.25"/>
    <row r="126063" customFormat="1" x14ac:dyDescent="0.25"/>
    <row r="126064" customFormat="1" x14ac:dyDescent="0.25"/>
    <row r="126065" customFormat="1" x14ac:dyDescent="0.25"/>
    <row r="126066" customFormat="1" x14ac:dyDescent="0.25"/>
    <row r="126067" customFormat="1" x14ac:dyDescent="0.25"/>
    <row r="126068" customFormat="1" x14ac:dyDescent="0.25"/>
    <row r="126069" customFormat="1" x14ac:dyDescent="0.25"/>
    <row r="126070" customFormat="1" x14ac:dyDescent="0.25"/>
    <row r="126071" customFormat="1" x14ac:dyDescent="0.25"/>
    <row r="126072" customFormat="1" x14ac:dyDescent="0.25"/>
    <row r="126073" customFormat="1" x14ac:dyDescent="0.25"/>
    <row r="126074" customFormat="1" x14ac:dyDescent="0.25"/>
    <row r="126075" customFormat="1" x14ac:dyDescent="0.25"/>
    <row r="126076" customFormat="1" x14ac:dyDescent="0.25"/>
    <row r="126077" customFormat="1" x14ac:dyDescent="0.25"/>
    <row r="126078" customFormat="1" x14ac:dyDescent="0.25"/>
    <row r="126079" customFormat="1" x14ac:dyDescent="0.25"/>
    <row r="126080" customFormat="1" x14ac:dyDescent="0.25"/>
    <row r="126081" customFormat="1" x14ac:dyDescent="0.25"/>
    <row r="126082" customFormat="1" x14ac:dyDescent="0.25"/>
    <row r="126083" customFormat="1" x14ac:dyDescent="0.25"/>
    <row r="126084" customFormat="1" x14ac:dyDescent="0.25"/>
    <row r="126085" customFormat="1" x14ac:dyDescent="0.25"/>
    <row r="126086" customFormat="1" x14ac:dyDescent="0.25"/>
    <row r="126087" customFormat="1" x14ac:dyDescent="0.25"/>
    <row r="126088" customFormat="1" x14ac:dyDescent="0.25"/>
    <row r="126089" customFormat="1" x14ac:dyDescent="0.25"/>
    <row r="126090" customFormat="1" x14ac:dyDescent="0.25"/>
    <row r="126091" customFormat="1" x14ac:dyDescent="0.25"/>
    <row r="126092" customFormat="1" x14ac:dyDescent="0.25"/>
    <row r="126093" customFormat="1" x14ac:dyDescent="0.25"/>
    <row r="126094" customFormat="1" x14ac:dyDescent="0.25"/>
    <row r="126095" customFormat="1" x14ac:dyDescent="0.25"/>
    <row r="126096" customFormat="1" x14ac:dyDescent="0.25"/>
    <row r="126097" customFormat="1" x14ac:dyDescent="0.25"/>
    <row r="126098" customFormat="1" x14ac:dyDescent="0.25"/>
    <row r="126099" customFormat="1" x14ac:dyDescent="0.25"/>
    <row r="126100" customFormat="1" x14ac:dyDescent="0.25"/>
    <row r="126101" customFormat="1" x14ac:dyDescent="0.25"/>
    <row r="126102" customFormat="1" x14ac:dyDescent="0.25"/>
    <row r="126103" customFormat="1" x14ac:dyDescent="0.25"/>
    <row r="126104" customFormat="1" x14ac:dyDescent="0.25"/>
    <row r="126105" customFormat="1" x14ac:dyDescent="0.25"/>
    <row r="126106" customFormat="1" x14ac:dyDescent="0.25"/>
    <row r="126107" customFormat="1" x14ac:dyDescent="0.25"/>
    <row r="126108" customFormat="1" x14ac:dyDescent="0.25"/>
    <row r="126109" customFormat="1" x14ac:dyDescent="0.25"/>
    <row r="126110" customFormat="1" x14ac:dyDescent="0.25"/>
    <row r="126111" customFormat="1" x14ac:dyDescent="0.25"/>
    <row r="126112" customFormat="1" x14ac:dyDescent="0.25"/>
    <row r="126113" customFormat="1" x14ac:dyDescent="0.25"/>
    <row r="126114" customFormat="1" x14ac:dyDescent="0.25"/>
    <row r="126115" customFormat="1" x14ac:dyDescent="0.25"/>
    <row r="126116" customFormat="1" x14ac:dyDescent="0.25"/>
    <row r="126117" customFormat="1" x14ac:dyDescent="0.25"/>
    <row r="126118" customFormat="1" x14ac:dyDescent="0.25"/>
    <row r="126119" customFormat="1" x14ac:dyDescent="0.25"/>
    <row r="126120" customFormat="1" x14ac:dyDescent="0.25"/>
    <row r="126121" customFormat="1" x14ac:dyDescent="0.25"/>
    <row r="126122" customFormat="1" x14ac:dyDescent="0.25"/>
    <row r="126123" customFormat="1" x14ac:dyDescent="0.25"/>
    <row r="126124" customFormat="1" x14ac:dyDescent="0.25"/>
    <row r="126125" customFormat="1" x14ac:dyDescent="0.25"/>
    <row r="126126" customFormat="1" x14ac:dyDescent="0.25"/>
    <row r="126127" customFormat="1" x14ac:dyDescent="0.25"/>
    <row r="126128" customFormat="1" x14ac:dyDescent="0.25"/>
    <row r="126129" customFormat="1" x14ac:dyDescent="0.25"/>
    <row r="126130" customFormat="1" x14ac:dyDescent="0.25"/>
    <row r="126131" customFormat="1" x14ac:dyDescent="0.25"/>
    <row r="126132" customFormat="1" x14ac:dyDescent="0.25"/>
    <row r="126133" customFormat="1" x14ac:dyDescent="0.25"/>
    <row r="126134" customFormat="1" x14ac:dyDescent="0.25"/>
    <row r="126135" customFormat="1" x14ac:dyDescent="0.25"/>
    <row r="126136" customFormat="1" x14ac:dyDescent="0.25"/>
    <row r="126137" customFormat="1" x14ac:dyDescent="0.25"/>
    <row r="126138" customFormat="1" x14ac:dyDescent="0.25"/>
    <row r="126139" customFormat="1" x14ac:dyDescent="0.25"/>
    <row r="126140" customFormat="1" x14ac:dyDescent="0.25"/>
    <row r="126141" customFormat="1" x14ac:dyDescent="0.25"/>
    <row r="126142" customFormat="1" x14ac:dyDescent="0.25"/>
    <row r="126143" customFormat="1" x14ac:dyDescent="0.25"/>
    <row r="126144" customFormat="1" x14ac:dyDescent="0.25"/>
    <row r="126145" customFormat="1" x14ac:dyDescent="0.25"/>
    <row r="126146" customFormat="1" x14ac:dyDescent="0.25"/>
    <row r="126147" customFormat="1" x14ac:dyDescent="0.25"/>
    <row r="126148" customFormat="1" x14ac:dyDescent="0.25"/>
    <row r="126149" customFormat="1" x14ac:dyDescent="0.25"/>
    <row r="126150" customFormat="1" x14ac:dyDescent="0.25"/>
    <row r="126151" customFormat="1" x14ac:dyDescent="0.25"/>
    <row r="126152" customFormat="1" x14ac:dyDescent="0.25"/>
    <row r="126153" customFormat="1" x14ac:dyDescent="0.25"/>
    <row r="126154" customFormat="1" x14ac:dyDescent="0.25"/>
    <row r="126155" customFormat="1" x14ac:dyDescent="0.25"/>
    <row r="126156" customFormat="1" x14ac:dyDescent="0.25"/>
    <row r="126157" customFormat="1" x14ac:dyDescent="0.25"/>
    <row r="126158" customFormat="1" x14ac:dyDescent="0.25"/>
    <row r="126159" customFormat="1" x14ac:dyDescent="0.25"/>
    <row r="126160" customFormat="1" x14ac:dyDescent="0.25"/>
    <row r="126161" customFormat="1" x14ac:dyDescent="0.25"/>
    <row r="126162" customFormat="1" x14ac:dyDescent="0.25"/>
    <row r="126163" customFormat="1" x14ac:dyDescent="0.25"/>
    <row r="126164" customFormat="1" x14ac:dyDescent="0.25"/>
    <row r="126165" customFormat="1" x14ac:dyDescent="0.25"/>
    <row r="126166" customFormat="1" x14ac:dyDescent="0.25"/>
    <row r="126167" customFormat="1" x14ac:dyDescent="0.25"/>
    <row r="126168" customFormat="1" x14ac:dyDescent="0.25"/>
    <row r="126169" customFormat="1" x14ac:dyDescent="0.25"/>
    <row r="126170" customFormat="1" x14ac:dyDescent="0.25"/>
    <row r="126171" customFormat="1" x14ac:dyDescent="0.25"/>
    <row r="126172" customFormat="1" x14ac:dyDescent="0.25"/>
    <row r="126173" customFormat="1" x14ac:dyDescent="0.25"/>
    <row r="126174" customFormat="1" x14ac:dyDescent="0.25"/>
    <row r="126175" customFormat="1" x14ac:dyDescent="0.25"/>
    <row r="126176" customFormat="1" x14ac:dyDescent="0.25"/>
    <row r="126177" customFormat="1" x14ac:dyDescent="0.25"/>
    <row r="126178" customFormat="1" x14ac:dyDescent="0.25"/>
    <row r="126179" customFormat="1" x14ac:dyDescent="0.25"/>
    <row r="126180" customFormat="1" x14ac:dyDescent="0.25"/>
    <row r="126181" customFormat="1" x14ac:dyDescent="0.25"/>
    <row r="126182" customFormat="1" x14ac:dyDescent="0.25"/>
    <row r="126183" customFormat="1" x14ac:dyDescent="0.25"/>
    <row r="126184" customFormat="1" x14ac:dyDescent="0.25"/>
    <row r="126185" customFormat="1" x14ac:dyDescent="0.25"/>
    <row r="126186" customFormat="1" x14ac:dyDescent="0.25"/>
    <row r="126187" customFormat="1" x14ac:dyDescent="0.25"/>
    <row r="126188" customFormat="1" x14ac:dyDescent="0.25"/>
    <row r="126189" customFormat="1" x14ac:dyDescent="0.25"/>
    <row r="126190" customFormat="1" x14ac:dyDescent="0.25"/>
    <row r="126191" customFormat="1" x14ac:dyDescent="0.25"/>
    <row r="126192" customFormat="1" x14ac:dyDescent="0.25"/>
    <row r="126193" customFormat="1" x14ac:dyDescent="0.25"/>
    <row r="126194" customFormat="1" x14ac:dyDescent="0.25"/>
    <row r="126195" customFormat="1" x14ac:dyDescent="0.25"/>
    <row r="126196" customFormat="1" x14ac:dyDescent="0.25"/>
    <row r="126197" customFormat="1" x14ac:dyDescent="0.25"/>
    <row r="126198" customFormat="1" x14ac:dyDescent="0.25"/>
    <row r="126199" customFormat="1" x14ac:dyDescent="0.25"/>
    <row r="126200" customFormat="1" x14ac:dyDescent="0.25"/>
    <row r="126201" customFormat="1" x14ac:dyDescent="0.25"/>
    <row r="126202" customFormat="1" x14ac:dyDescent="0.25"/>
    <row r="126203" customFormat="1" x14ac:dyDescent="0.25"/>
    <row r="126204" customFormat="1" x14ac:dyDescent="0.25"/>
    <row r="126205" customFormat="1" x14ac:dyDescent="0.25"/>
    <row r="126206" customFormat="1" x14ac:dyDescent="0.25"/>
    <row r="126207" customFormat="1" x14ac:dyDescent="0.25"/>
    <row r="126208" customFormat="1" x14ac:dyDescent="0.25"/>
    <row r="126209" customFormat="1" x14ac:dyDescent="0.25"/>
    <row r="126210" customFormat="1" x14ac:dyDescent="0.25"/>
    <row r="126211" customFormat="1" x14ac:dyDescent="0.25"/>
    <row r="126212" customFormat="1" x14ac:dyDescent="0.25"/>
    <row r="126213" customFormat="1" x14ac:dyDescent="0.25"/>
    <row r="126214" customFormat="1" x14ac:dyDescent="0.25"/>
    <row r="126215" customFormat="1" x14ac:dyDescent="0.25"/>
    <row r="126216" customFormat="1" x14ac:dyDescent="0.25"/>
    <row r="126217" customFormat="1" x14ac:dyDescent="0.25"/>
    <row r="126218" customFormat="1" x14ac:dyDescent="0.25"/>
    <row r="126219" customFormat="1" x14ac:dyDescent="0.25"/>
    <row r="126220" customFormat="1" x14ac:dyDescent="0.25"/>
    <row r="126221" customFormat="1" x14ac:dyDescent="0.25"/>
    <row r="126222" customFormat="1" x14ac:dyDescent="0.25"/>
    <row r="126223" customFormat="1" x14ac:dyDescent="0.25"/>
    <row r="126224" customFormat="1" x14ac:dyDescent="0.25"/>
    <row r="126225" customFormat="1" x14ac:dyDescent="0.25"/>
    <row r="126226" customFormat="1" x14ac:dyDescent="0.25"/>
    <row r="126227" customFormat="1" x14ac:dyDescent="0.25"/>
    <row r="126228" customFormat="1" x14ac:dyDescent="0.25"/>
    <row r="126229" customFormat="1" x14ac:dyDescent="0.25"/>
    <row r="126230" customFormat="1" x14ac:dyDescent="0.25"/>
    <row r="126231" customFormat="1" x14ac:dyDescent="0.25"/>
    <row r="126232" customFormat="1" x14ac:dyDescent="0.25"/>
    <row r="126233" customFormat="1" x14ac:dyDescent="0.25"/>
    <row r="126234" customFormat="1" x14ac:dyDescent="0.25"/>
    <row r="126235" customFormat="1" x14ac:dyDescent="0.25"/>
    <row r="126236" customFormat="1" x14ac:dyDescent="0.25"/>
    <row r="126237" customFormat="1" x14ac:dyDescent="0.25"/>
    <row r="126238" customFormat="1" x14ac:dyDescent="0.25"/>
    <row r="126239" customFormat="1" x14ac:dyDescent="0.25"/>
    <row r="126240" customFormat="1" x14ac:dyDescent="0.25"/>
    <row r="126241" customFormat="1" x14ac:dyDescent="0.25"/>
    <row r="126242" customFormat="1" x14ac:dyDescent="0.25"/>
    <row r="126243" customFormat="1" x14ac:dyDescent="0.25"/>
    <row r="126244" customFormat="1" x14ac:dyDescent="0.25"/>
    <row r="126245" customFormat="1" x14ac:dyDescent="0.25"/>
    <row r="126246" customFormat="1" x14ac:dyDescent="0.25"/>
    <row r="126247" customFormat="1" x14ac:dyDescent="0.25"/>
    <row r="126248" customFormat="1" x14ac:dyDescent="0.25"/>
    <row r="126249" customFormat="1" x14ac:dyDescent="0.25"/>
    <row r="126250" customFormat="1" x14ac:dyDescent="0.25"/>
    <row r="126251" customFormat="1" x14ac:dyDescent="0.25"/>
    <row r="126252" customFormat="1" x14ac:dyDescent="0.25"/>
    <row r="126253" customFormat="1" x14ac:dyDescent="0.25"/>
    <row r="126254" customFormat="1" x14ac:dyDescent="0.25"/>
    <row r="126255" customFormat="1" x14ac:dyDescent="0.25"/>
    <row r="126256" customFormat="1" x14ac:dyDescent="0.25"/>
    <row r="126257" customFormat="1" x14ac:dyDescent="0.25"/>
    <row r="126258" customFormat="1" x14ac:dyDescent="0.25"/>
    <row r="126259" customFormat="1" x14ac:dyDescent="0.25"/>
    <row r="126260" customFormat="1" x14ac:dyDescent="0.25"/>
    <row r="126261" customFormat="1" x14ac:dyDescent="0.25"/>
    <row r="126262" customFormat="1" x14ac:dyDescent="0.25"/>
    <row r="126263" customFormat="1" x14ac:dyDescent="0.25"/>
    <row r="126264" customFormat="1" x14ac:dyDescent="0.25"/>
    <row r="126265" customFormat="1" x14ac:dyDescent="0.25"/>
    <row r="126266" customFormat="1" x14ac:dyDescent="0.25"/>
    <row r="126267" customFormat="1" x14ac:dyDescent="0.25"/>
    <row r="126268" customFormat="1" x14ac:dyDescent="0.25"/>
    <row r="126269" customFormat="1" x14ac:dyDescent="0.25"/>
    <row r="126270" customFormat="1" x14ac:dyDescent="0.25"/>
    <row r="126271" customFormat="1" x14ac:dyDescent="0.25"/>
    <row r="126272" customFormat="1" x14ac:dyDescent="0.25"/>
    <row r="126273" customFormat="1" x14ac:dyDescent="0.25"/>
    <row r="126274" customFormat="1" x14ac:dyDescent="0.25"/>
    <row r="126275" customFormat="1" x14ac:dyDescent="0.25"/>
    <row r="126276" customFormat="1" x14ac:dyDescent="0.25"/>
    <row r="126277" customFormat="1" x14ac:dyDescent="0.25"/>
    <row r="126278" customFormat="1" x14ac:dyDescent="0.25"/>
    <row r="126279" customFormat="1" x14ac:dyDescent="0.25"/>
    <row r="126280" customFormat="1" x14ac:dyDescent="0.25"/>
    <row r="126281" customFormat="1" x14ac:dyDescent="0.25"/>
    <row r="126282" customFormat="1" x14ac:dyDescent="0.25"/>
    <row r="126283" customFormat="1" x14ac:dyDescent="0.25"/>
    <row r="126284" customFormat="1" x14ac:dyDescent="0.25"/>
    <row r="126285" customFormat="1" x14ac:dyDescent="0.25"/>
    <row r="126286" customFormat="1" x14ac:dyDescent="0.25"/>
    <row r="126287" customFormat="1" x14ac:dyDescent="0.25"/>
    <row r="126288" customFormat="1" x14ac:dyDescent="0.25"/>
    <row r="126289" customFormat="1" x14ac:dyDescent="0.25"/>
    <row r="126290" customFormat="1" x14ac:dyDescent="0.25"/>
    <row r="126291" customFormat="1" x14ac:dyDescent="0.25"/>
    <row r="126292" customFormat="1" x14ac:dyDescent="0.25"/>
    <row r="126293" customFormat="1" x14ac:dyDescent="0.25"/>
    <row r="126294" customFormat="1" x14ac:dyDescent="0.25"/>
    <row r="126295" customFormat="1" x14ac:dyDescent="0.25"/>
    <row r="126296" customFormat="1" x14ac:dyDescent="0.25"/>
    <row r="126297" customFormat="1" x14ac:dyDescent="0.25"/>
    <row r="126298" customFormat="1" x14ac:dyDescent="0.25"/>
    <row r="126299" customFormat="1" x14ac:dyDescent="0.25"/>
    <row r="126300" customFormat="1" x14ac:dyDescent="0.25"/>
    <row r="126301" customFormat="1" x14ac:dyDescent="0.25"/>
    <row r="126302" customFormat="1" x14ac:dyDescent="0.25"/>
    <row r="126303" customFormat="1" x14ac:dyDescent="0.25"/>
    <row r="126304" customFormat="1" x14ac:dyDescent="0.25"/>
    <row r="126305" customFormat="1" x14ac:dyDescent="0.25"/>
    <row r="126306" customFormat="1" x14ac:dyDescent="0.25"/>
    <row r="126307" customFormat="1" x14ac:dyDescent="0.25"/>
    <row r="126308" customFormat="1" x14ac:dyDescent="0.25"/>
    <row r="126309" customFormat="1" x14ac:dyDescent="0.25"/>
    <row r="126310" customFormat="1" x14ac:dyDescent="0.25"/>
    <row r="126311" customFormat="1" x14ac:dyDescent="0.25"/>
    <row r="126312" customFormat="1" x14ac:dyDescent="0.25"/>
    <row r="126313" customFormat="1" x14ac:dyDescent="0.25"/>
    <row r="126314" customFormat="1" x14ac:dyDescent="0.25"/>
    <row r="126315" customFormat="1" x14ac:dyDescent="0.25"/>
    <row r="126316" customFormat="1" x14ac:dyDescent="0.25"/>
    <row r="126317" customFormat="1" x14ac:dyDescent="0.25"/>
    <row r="126318" customFormat="1" x14ac:dyDescent="0.25"/>
    <row r="126319" customFormat="1" x14ac:dyDescent="0.25"/>
    <row r="126320" customFormat="1" x14ac:dyDescent="0.25"/>
    <row r="126321" customFormat="1" x14ac:dyDescent="0.25"/>
    <row r="126322" customFormat="1" x14ac:dyDescent="0.25"/>
    <row r="126323" customFormat="1" x14ac:dyDescent="0.25"/>
    <row r="126324" customFormat="1" x14ac:dyDescent="0.25"/>
    <row r="126325" customFormat="1" x14ac:dyDescent="0.25"/>
    <row r="126326" customFormat="1" x14ac:dyDescent="0.25"/>
    <row r="126327" customFormat="1" x14ac:dyDescent="0.25"/>
    <row r="126328" customFormat="1" x14ac:dyDescent="0.25"/>
    <row r="126329" customFormat="1" x14ac:dyDescent="0.25"/>
    <row r="126330" customFormat="1" x14ac:dyDescent="0.25"/>
    <row r="126331" customFormat="1" x14ac:dyDescent="0.25"/>
    <row r="126332" customFormat="1" x14ac:dyDescent="0.25"/>
    <row r="126333" customFormat="1" x14ac:dyDescent="0.25"/>
    <row r="126334" customFormat="1" x14ac:dyDescent="0.25"/>
    <row r="126335" customFormat="1" x14ac:dyDescent="0.25"/>
    <row r="126336" customFormat="1" x14ac:dyDescent="0.25"/>
    <row r="126337" customFormat="1" x14ac:dyDescent="0.25"/>
    <row r="126338" customFormat="1" x14ac:dyDescent="0.25"/>
    <row r="126339" customFormat="1" x14ac:dyDescent="0.25"/>
    <row r="126340" customFormat="1" x14ac:dyDescent="0.25"/>
    <row r="126341" customFormat="1" x14ac:dyDescent="0.25"/>
    <row r="126342" customFormat="1" x14ac:dyDescent="0.25"/>
    <row r="126343" customFormat="1" x14ac:dyDescent="0.25"/>
    <row r="126344" customFormat="1" x14ac:dyDescent="0.25"/>
    <row r="126345" customFormat="1" x14ac:dyDescent="0.25"/>
    <row r="126346" customFormat="1" x14ac:dyDescent="0.25"/>
    <row r="126347" customFormat="1" x14ac:dyDescent="0.25"/>
    <row r="126348" customFormat="1" x14ac:dyDescent="0.25"/>
    <row r="126349" customFormat="1" x14ac:dyDescent="0.25"/>
    <row r="126350" customFormat="1" x14ac:dyDescent="0.25"/>
    <row r="126351" customFormat="1" x14ac:dyDescent="0.25"/>
    <row r="126352" customFormat="1" x14ac:dyDescent="0.25"/>
    <row r="126353" customFormat="1" x14ac:dyDescent="0.25"/>
    <row r="126354" customFormat="1" x14ac:dyDescent="0.25"/>
    <row r="126355" customFormat="1" x14ac:dyDescent="0.25"/>
    <row r="126356" customFormat="1" x14ac:dyDescent="0.25"/>
    <row r="126357" customFormat="1" x14ac:dyDescent="0.25"/>
    <row r="126358" customFormat="1" x14ac:dyDescent="0.25"/>
    <row r="126359" customFormat="1" x14ac:dyDescent="0.25"/>
    <row r="126360" customFormat="1" x14ac:dyDescent="0.25"/>
    <row r="126361" customFormat="1" x14ac:dyDescent="0.25"/>
    <row r="126362" customFormat="1" x14ac:dyDescent="0.25"/>
    <row r="126363" customFormat="1" x14ac:dyDescent="0.25"/>
    <row r="126364" customFormat="1" x14ac:dyDescent="0.25"/>
    <row r="126365" customFormat="1" x14ac:dyDescent="0.25"/>
    <row r="126366" customFormat="1" x14ac:dyDescent="0.25"/>
    <row r="126367" customFormat="1" x14ac:dyDescent="0.25"/>
    <row r="126368" customFormat="1" x14ac:dyDescent="0.25"/>
    <row r="126369" customFormat="1" x14ac:dyDescent="0.25"/>
    <row r="126370" customFormat="1" x14ac:dyDescent="0.25"/>
    <row r="126371" customFormat="1" x14ac:dyDescent="0.25"/>
    <row r="126372" customFormat="1" x14ac:dyDescent="0.25"/>
    <row r="126373" customFormat="1" x14ac:dyDescent="0.25"/>
    <row r="126374" customFormat="1" x14ac:dyDescent="0.25"/>
    <row r="126375" customFormat="1" x14ac:dyDescent="0.25"/>
    <row r="126376" customFormat="1" x14ac:dyDescent="0.25"/>
    <row r="126377" customFormat="1" x14ac:dyDescent="0.25"/>
    <row r="126378" customFormat="1" x14ac:dyDescent="0.25"/>
    <row r="126379" customFormat="1" x14ac:dyDescent="0.25"/>
    <row r="126380" customFormat="1" x14ac:dyDescent="0.25"/>
    <row r="126381" customFormat="1" x14ac:dyDescent="0.25"/>
    <row r="126382" customFormat="1" x14ac:dyDescent="0.25"/>
    <row r="126383" customFormat="1" x14ac:dyDescent="0.25"/>
    <row r="126384" customFormat="1" x14ac:dyDescent="0.25"/>
    <row r="126385" customFormat="1" x14ac:dyDescent="0.25"/>
    <row r="126386" customFormat="1" x14ac:dyDescent="0.25"/>
    <row r="126387" customFormat="1" x14ac:dyDescent="0.25"/>
    <row r="126388" customFormat="1" x14ac:dyDescent="0.25"/>
    <row r="126389" customFormat="1" x14ac:dyDescent="0.25"/>
    <row r="126390" customFormat="1" x14ac:dyDescent="0.25"/>
    <row r="126391" customFormat="1" x14ac:dyDescent="0.25"/>
    <row r="126392" customFormat="1" x14ac:dyDescent="0.25"/>
    <row r="126393" customFormat="1" x14ac:dyDescent="0.25"/>
    <row r="126394" customFormat="1" x14ac:dyDescent="0.25"/>
    <row r="126395" customFormat="1" x14ac:dyDescent="0.25"/>
    <row r="126396" customFormat="1" x14ac:dyDescent="0.25"/>
    <row r="126397" customFormat="1" x14ac:dyDescent="0.25"/>
    <row r="126398" customFormat="1" x14ac:dyDescent="0.25"/>
    <row r="126399" customFormat="1" x14ac:dyDescent="0.25"/>
    <row r="126400" customFormat="1" x14ac:dyDescent="0.25"/>
    <row r="126401" customFormat="1" x14ac:dyDescent="0.25"/>
    <row r="126402" customFormat="1" x14ac:dyDescent="0.25"/>
    <row r="126403" customFormat="1" x14ac:dyDescent="0.25"/>
    <row r="126404" customFormat="1" x14ac:dyDescent="0.25"/>
    <row r="126405" customFormat="1" x14ac:dyDescent="0.25"/>
    <row r="126406" customFormat="1" x14ac:dyDescent="0.25"/>
    <row r="126407" customFormat="1" x14ac:dyDescent="0.25"/>
    <row r="126408" customFormat="1" x14ac:dyDescent="0.25"/>
    <row r="126409" customFormat="1" x14ac:dyDescent="0.25"/>
    <row r="126410" customFormat="1" x14ac:dyDescent="0.25"/>
    <row r="126411" customFormat="1" x14ac:dyDescent="0.25"/>
    <row r="126412" customFormat="1" x14ac:dyDescent="0.25"/>
    <row r="126413" customFormat="1" x14ac:dyDescent="0.25"/>
    <row r="126414" customFormat="1" x14ac:dyDescent="0.25"/>
    <row r="126415" customFormat="1" x14ac:dyDescent="0.25"/>
    <row r="126416" customFormat="1" x14ac:dyDescent="0.25"/>
    <row r="126417" customFormat="1" x14ac:dyDescent="0.25"/>
    <row r="126418" customFormat="1" x14ac:dyDescent="0.25"/>
    <row r="126419" customFormat="1" x14ac:dyDescent="0.25"/>
    <row r="126420" customFormat="1" x14ac:dyDescent="0.25"/>
    <row r="126421" customFormat="1" x14ac:dyDescent="0.25"/>
    <row r="126422" customFormat="1" x14ac:dyDescent="0.25"/>
    <row r="126423" customFormat="1" x14ac:dyDescent="0.25"/>
    <row r="126424" customFormat="1" x14ac:dyDescent="0.25"/>
    <row r="126425" customFormat="1" x14ac:dyDescent="0.25"/>
    <row r="126426" customFormat="1" x14ac:dyDescent="0.25"/>
    <row r="126427" customFormat="1" x14ac:dyDescent="0.25"/>
    <row r="126428" customFormat="1" x14ac:dyDescent="0.25"/>
    <row r="126429" customFormat="1" x14ac:dyDescent="0.25"/>
    <row r="126430" customFormat="1" x14ac:dyDescent="0.25"/>
    <row r="126431" customFormat="1" x14ac:dyDescent="0.25"/>
    <row r="126432" customFormat="1" x14ac:dyDescent="0.25"/>
    <row r="126433" customFormat="1" x14ac:dyDescent="0.25"/>
    <row r="126434" customFormat="1" x14ac:dyDescent="0.25"/>
    <row r="126435" customFormat="1" x14ac:dyDescent="0.25"/>
    <row r="126436" customFormat="1" x14ac:dyDescent="0.25"/>
    <row r="126437" customFormat="1" x14ac:dyDescent="0.25"/>
    <row r="126438" customFormat="1" x14ac:dyDescent="0.25"/>
    <row r="126439" customFormat="1" x14ac:dyDescent="0.25"/>
    <row r="126440" customFormat="1" x14ac:dyDescent="0.25"/>
    <row r="126441" customFormat="1" x14ac:dyDescent="0.25"/>
    <row r="126442" customFormat="1" x14ac:dyDescent="0.25"/>
    <row r="126443" customFormat="1" x14ac:dyDescent="0.25"/>
    <row r="126444" customFormat="1" x14ac:dyDescent="0.25"/>
    <row r="126445" customFormat="1" x14ac:dyDescent="0.25"/>
    <row r="126446" customFormat="1" x14ac:dyDescent="0.25"/>
    <row r="126447" customFormat="1" x14ac:dyDescent="0.25"/>
    <row r="126448" customFormat="1" x14ac:dyDescent="0.25"/>
    <row r="126449" customFormat="1" x14ac:dyDescent="0.25"/>
    <row r="126450" customFormat="1" x14ac:dyDescent="0.25"/>
    <row r="126451" customFormat="1" x14ac:dyDescent="0.25"/>
    <row r="126452" customFormat="1" x14ac:dyDescent="0.25"/>
    <row r="126453" customFormat="1" x14ac:dyDescent="0.25"/>
    <row r="126454" customFormat="1" x14ac:dyDescent="0.25"/>
    <row r="126455" customFormat="1" x14ac:dyDescent="0.25"/>
    <row r="126456" customFormat="1" x14ac:dyDescent="0.25"/>
    <row r="126457" customFormat="1" x14ac:dyDescent="0.25"/>
    <row r="126458" customFormat="1" x14ac:dyDescent="0.25"/>
    <row r="126459" customFormat="1" x14ac:dyDescent="0.25"/>
    <row r="126460" customFormat="1" x14ac:dyDescent="0.25"/>
    <row r="126461" customFormat="1" x14ac:dyDescent="0.25"/>
    <row r="126462" customFormat="1" x14ac:dyDescent="0.25"/>
    <row r="126463" customFormat="1" x14ac:dyDescent="0.25"/>
    <row r="126464" customFormat="1" x14ac:dyDescent="0.25"/>
    <row r="126465" customFormat="1" x14ac:dyDescent="0.25"/>
    <row r="126466" customFormat="1" x14ac:dyDescent="0.25"/>
    <row r="126467" customFormat="1" x14ac:dyDescent="0.25"/>
    <row r="126468" customFormat="1" x14ac:dyDescent="0.25"/>
    <row r="126469" customFormat="1" x14ac:dyDescent="0.25"/>
    <row r="126470" customFormat="1" x14ac:dyDescent="0.25"/>
    <row r="126471" customFormat="1" x14ac:dyDescent="0.25"/>
    <row r="126472" customFormat="1" x14ac:dyDescent="0.25"/>
    <row r="126473" customFormat="1" x14ac:dyDescent="0.25"/>
    <row r="126474" customFormat="1" x14ac:dyDescent="0.25"/>
    <row r="126475" customFormat="1" x14ac:dyDescent="0.25"/>
    <row r="126476" customFormat="1" x14ac:dyDescent="0.25"/>
    <row r="126477" customFormat="1" x14ac:dyDescent="0.25"/>
    <row r="126478" customFormat="1" x14ac:dyDescent="0.25"/>
    <row r="126479" customFormat="1" x14ac:dyDescent="0.25"/>
    <row r="126480" customFormat="1" x14ac:dyDescent="0.25"/>
    <row r="126481" customFormat="1" x14ac:dyDescent="0.25"/>
    <row r="126482" customFormat="1" x14ac:dyDescent="0.25"/>
    <row r="126483" customFormat="1" x14ac:dyDescent="0.25"/>
    <row r="126484" customFormat="1" x14ac:dyDescent="0.25"/>
    <row r="126485" customFormat="1" x14ac:dyDescent="0.25"/>
    <row r="126486" customFormat="1" x14ac:dyDescent="0.25"/>
    <row r="126487" customFormat="1" x14ac:dyDescent="0.25"/>
    <row r="126488" customFormat="1" x14ac:dyDescent="0.25"/>
    <row r="126489" customFormat="1" x14ac:dyDescent="0.25"/>
    <row r="126490" customFormat="1" x14ac:dyDescent="0.25"/>
    <row r="126491" customFormat="1" x14ac:dyDescent="0.25"/>
    <row r="126492" customFormat="1" x14ac:dyDescent="0.25"/>
    <row r="126493" customFormat="1" x14ac:dyDescent="0.25"/>
    <row r="126494" customFormat="1" x14ac:dyDescent="0.25"/>
    <row r="126495" customFormat="1" x14ac:dyDescent="0.25"/>
    <row r="126496" customFormat="1" x14ac:dyDescent="0.25"/>
    <row r="126497" customFormat="1" x14ac:dyDescent="0.25"/>
    <row r="126498" customFormat="1" x14ac:dyDescent="0.25"/>
    <row r="126499" customFormat="1" x14ac:dyDescent="0.25"/>
    <row r="126500" customFormat="1" x14ac:dyDescent="0.25"/>
    <row r="126501" customFormat="1" x14ac:dyDescent="0.25"/>
    <row r="126502" customFormat="1" x14ac:dyDescent="0.25"/>
    <row r="126503" customFormat="1" x14ac:dyDescent="0.25"/>
    <row r="126504" customFormat="1" x14ac:dyDescent="0.25"/>
    <row r="126505" customFormat="1" x14ac:dyDescent="0.25"/>
    <row r="126506" customFormat="1" x14ac:dyDescent="0.25"/>
    <row r="126507" customFormat="1" x14ac:dyDescent="0.25"/>
    <row r="126508" customFormat="1" x14ac:dyDescent="0.25"/>
    <row r="126509" customFormat="1" x14ac:dyDescent="0.25"/>
    <row r="126510" customFormat="1" x14ac:dyDescent="0.25"/>
    <row r="126511" customFormat="1" x14ac:dyDescent="0.25"/>
    <row r="126512" customFormat="1" x14ac:dyDescent="0.25"/>
    <row r="126513" customFormat="1" x14ac:dyDescent="0.25"/>
    <row r="126514" customFormat="1" x14ac:dyDescent="0.25"/>
    <row r="126515" customFormat="1" x14ac:dyDescent="0.25"/>
    <row r="126516" customFormat="1" x14ac:dyDescent="0.25"/>
    <row r="126517" customFormat="1" x14ac:dyDescent="0.25"/>
    <row r="126518" customFormat="1" x14ac:dyDescent="0.25"/>
    <row r="126519" customFormat="1" x14ac:dyDescent="0.25"/>
    <row r="126520" customFormat="1" x14ac:dyDescent="0.25"/>
    <row r="126521" customFormat="1" x14ac:dyDescent="0.25"/>
    <row r="126522" customFormat="1" x14ac:dyDescent="0.25"/>
    <row r="126523" customFormat="1" x14ac:dyDescent="0.25"/>
    <row r="126524" customFormat="1" x14ac:dyDescent="0.25"/>
    <row r="126525" customFormat="1" x14ac:dyDescent="0.25"/>
    <row r="126526" customFormat="1" x14ac:dyDescent="0.25"/>
    <row r="126527" customFormat="1" x14ac:dyDescent="0.25"/>
    <row r="126528" customFormat="1" x14ac:dyDescent="0.25"/>
    <row r="126529" customFormat="1" x14ac:dyDescent="0.25"/>
    <row r="126530" customFormat="1" x14ac:dyDescent="0.25"/>
    <row r="126531" customFormat="1" x14ac:dyDescent="0.25"/>
    <row r="126532" customFormat="1" x14ac:dyDescent="0.25"/>
    <row r="126533" customFormat="1" x14ac:dyDescent="0.25"/>
    <row r="126534" customFormat="1" x14ac:dyDescent="0.25"/>
    <row r="126535" customFormat="1" x14ac:dyDescent="0.25"/>
    <row r="126536" customFormat="1" x14ac:dyDescent="0.25"/>
    <row r="126537" customFormat="1" x14ac:dyDescent="0.25"/>
    <row r="126538" customFormat="1" x14ac:dyDescent="0.25"/>
    <row r="126539" customFormat="1" x14ac:dyDescent="0.25"/>
    <row r="126540" customFormat="1" x14ac:dyDescent="0.25"/>
    <row r="126541" customFormat="1" x14ac:dyDescent="0.25"/>
    <row r="126542" customFormat="1" x14ac:dyDescent="0.25"/>
    <row r="126543" customFormat="1" x14ac:dyDescent="0.25"/>
    <row r="126544" customFormat="1" x14ac:dyDescent="0.25"/>
    <row r="126545" customFormat="1" x14ac:dyDescent="0.25"/>
    <row r="126546" customFormat="1" x14ac:dyDescent="0.25"/>
    <row r="126547" customFormat="1" x14ac:dyDescent="0.25"/>
    <row r="126548" customFormat="1" x14ac:dyDescent="0.25"/>
    <row r="126549" customFormat="1" x14ac:dyDescent="0.25"/>
    <row r="126550" customFormat="1" x14ac:dyDescent="0.25"/>
    <row r="126551" customFormat="1" x14ac:dyDescent="0.25"/>
    <row r="126552" customFormat="1" x14ac:dyDescent="0.25"/>
    <row r="126553" customFormat="1" x14ac:dyDescent="0.25"/>
    <row r="126554" customFormat="1" x14ac:dyDescent="0.25"/>
    <row r="126555" customFormat="1" x14ac:dyDescent="0.25"/>
    <row r="126556" customFormat="1" x14ac:dyDescent="0.25"/>
    <row r="126557" customFormat="1" x14ac:dyDescent="0.25"/>
    <row r="126558" customFormat="1" x14ac:dyDescent="0.25"/>
    <row r="126559" customFormat="1" x14ac:dyDescent="0.25"/>
    <row r="126560" customFormat="1" x14ac:dyDescent="0.25"/>
    <row r="126561" customFormat="1" x14ac:dyDescent="0.25"/>
    <row r="126562" customFormat="1" x14ac:dyDescent="0.25"/>
    <row r="126563" customFormat="1" x14ac:dyDescent="0.25"/>
    <row r="126564" customFormat="1" x14ac:dyDescent="0.25"/>
    <row r="126565" customFormat="1" x14ac:dyDescent="0.25"/>
    <row r="126566" customFormat="1" x14ac:dyDescent="0.25"/>
    <row r="126567" customFormat="1" x14ac:dyDescent="0.25"/>
    <row r="126568" customFormat="1" x14ac:dyDescent="0.25"/>
    <row r="126569" customFormat="1" x14ac:dyDescent="0.25"/>
    <row r="126570" customFormat="1" x14ac:dyDescent="0.25"/>
    <row r="126571" customFormat="1" x14ac:dyDescent="0.25"/>
    <row r="126572" customFormat="1" x14ac:dyDescent="0.25"/>
    <row r="126573" customFormat="1" x14ac:dyDescent="0.25"/>
    <row r="126574" customFormat="1" x14ac:dyDescent="0.25"/>
    <row r="126575" customFormat="1" x14ac:dyDescent="0.25"/>
    <row r="126576" customFormat="1" x14ac:dyDescent="0.25"/>
    <row r="126577" customFormat="1" x14ac:dyDescent="0.25"/>
    <row r="126578" customFormat="1" x14ac:dyDescent="0.25"/>
    <row r="126579" customFormat="1" x14ac:dyDescent="0.25"/>
    <row r="126580" customFormat="1" x14ac:dyDescent="0.25"/>
    <row r="126581" customFormat="1" x14ac:dyDescent="0.25"/>
    <row r="126582" customFormat="1" x14ac:dyDescent="0.25"/>
    <row r="126583" customFormat="1" x14ac:dyDescent="0.25"/>
    <row r="126584" customFormat="1" x14ac:dyDescent="0.25"/>
    <row r="126585" customFormat="1" x14ac:dyDescent="0.25"/>
    <row r="126586" customFormat="1" x14ac:dyDescent="0.25"/>
    <row r="126587" customFormat="1" x14ac:dyDescent="0.25"/>
    <row r="126588" customFormat="1" x14ac:dyDescent="0.25"/>
    <row r="126589" customFormat="1" x14ac:dyDescent="0.25"/>
    <row r="126590" customFormat="1" x14ac:dyDescent="0.25"/>
    <row r="126591" customFormat="1" x14ac:dyDescent="0.25"/>
    <row r="126592" customFormat="1" x14ac:dyDescent="0.25"/>
    <row r="126593" customFormat="1" x14ac:dyDescent="0.25"/>
    <row r="126594" customFormat="1" x14ac:dyDescent="0.25"/>
    <row r="126595" customFormat="1" x14ac:dyDescent="0.25"/>
    <row r="126596" customFormat="1" x14ac:dyDescent="0.25"/>
    <row r="126597" customFormat="1" x14ac:dyDescent="0.25"/>
    <row r="126598" customFormat="1" x14ac:dyDescent="0.25"/>
    <row r="126599" customFormat="1" x14ac:dyDescent="0.25"/>
    <row r="126600" customFormat="1" x14ac:dyDescent="0.25"/>
    <row r="126601" customFormat="1" x14ac:dyDescent="0.25"/>
    <row r="126602" customFormat="1" x14ac:dyDescent="0.25"/>
    <row r="126603" customFormat="1" x14ac:dyDescent="0.25"/>
    <row r="126604" customFormat="1" x14ac:dyDescent="0.25"/>
    <row r="126605" customFormat="1" x14ac:dyDescent="0.25"/>
    <row r="126606" customFormat="1" x14ac:dyDescent="0.25"/>
    <row r="126607" customFormat="1" x14ac:dyDescent="0.25"/>
    <row r="126608" customFormat="1" x14ac:dyDescent="0.25"/>
    <row r="126609" customFormat="1" x14ac:dyDescent="0.25"/>
    <row r="126610" customFormat="1" x14ac:dyDescent="0.25"/>
    <row r="126611" customFormat="1" x14ac:dyDescent="0.25"/>
    <row r="126612" customFormat="1" x14ac:dyDescent="0.25"/>
    <row r="126613" customFormat="1" x14ac:dyDescent="0.25"/>
    <row r="126614" customFormat="1" x14ac:dyDescent="0.25"/>
    <row r="126615" customFormat="1" x14ac:dyDescent="0.25"/>
    <row r="126616" customFormat="1" x14ac:dyDescent="0.25"/>
    <row r="126617" customFormat="1" x14ac:dyDescent="0.25"/>
    <row r="126618" customFormat="1" x14ac:dyDescent="0.25"/>
    <row r="126619" customFormat="1" x14ac:dyDescent="0.25"/>
    <row r="126620" customFormat="1" x14ac:dyDescent="0.25"/>
    <row r="126621" customFormat="1" x14ac:dyDescent="0.25"/>
    <row r="126622" customFormat="1" x14ac:dyDescent="0.25"/>
    <row r="126623" customFormat="1" x14ac:dyDescent="0.25"/>
    <row r="126624" customFormat="1" x14ac:dyDescent="0.25"/>
    <row r="126625" customFormat="1" x14ac:dyDescent="0.25"/>
    <row r="126626" customFormat="1" x14ac:dyDescent="0.25"/>
    <row r="126627" customFormat="1" x14ac:dyDescent="0.25"/>
    <row r="126628" customFormat="1" x14ac:dyDescent="0.25"/>
    <row r="126629" customFormat="1" x14ac:dyDescent="0.25"/>
    <row r="126630" customFormat="1" x14ac:dyDescent="0.25"/>
    <row r="126631" customFormat="1" x14ac:dyDescent="0.25"/>
    <row r="126632" customFormat="1" x14ac:dyDescent="0.25"/>
    <row r="126633" customFormat="1" x14ac:dyDescent="0.25"/>
    <row r="126634" customFormat="1" x14ac:dyDescent="0.25"/>
    <row r="126635" customFormat="1" x14ac:dyDescent="0.25"/>
    <row r="126636" customFormat="1" x14ac:dyDescent="0.25"/>
    <row r="126637" customFormat="1" x14ac:dyDescent="0.25"/>
    <row r="126638" customFormat="1" x14ac:dyDescent="0.25"/>
    <row r="126639" customFormat="1" x14ac:dyDescent="0.25"/>
    <row r="126640" customFormat="1" x14ac:dyDescent="0.25"/>
    <row r="126641" customFormat="1" x14ac:dyDescent="0.25"/>
    <row r="126642" customFormat="1" x14ac:dyDescent="0.25"/>
    <row r="126643" customFormat="1" x14ac:dyDescent="0.25"/>
    <row r="126644" customFormat="1" x14ac:dyDescent="0.25"/>
    <row r="126645" customFormat="1" x14ac:dyDescent="0.25"/>
    <row r="126646" customFormat="1" x14ac:dyDescent="0.25"/>
    <row r="126647" customFormat="1" x14ac:dyDescent="0.25"/>
    <row r="126648" customFormat="1" x14ac:dyDescent="0.25"/>
    <row r="126649" customFormat="1" x14ac:dyDescent="0.25"/>
    <row r="126650" customFormat="1" x14ac:dyDescent="0.25"/>
    <row r="126651" customFormat="1" x14ac:dyDescent="0.25"/>
    <row r="126652" customFormat="1" x14ac:dyDescent="0.25"/>
    <row r="126653" customFormat="1" x14ac:dyDescent="0.25"/>
    <row r="126654" customFormat="1" x14ac:dyDescent="0.25"/>
    <row r="126655" customFormat="1" x14ac:dyDescent="0.25"/>
    <row r="126656" customFormat="1" x14ac:dyDescent="0.25"/>
    <row r="126657" customFormat="1" x14ac:dyDescent="0.25"/>
    <row r="126658" customFormat="1" x14ac:dyDescent="0.25"/>
    <row r="126659" customFormat="1" x14ac:dyDescent="0.25"/>
    <row r="126660" customFormat="1" x14ac:dyDescent="0.25"/>
    <row r="126661" customFormat="1" x14ac:dyDescent="0.25"/>
    <row r="126662" customFormat="1" x14ac:dyDescent="0.25"/>
    <row r="126663" customFormat="1" x14ac:dyDescent="0.25"/>
    <row r="126664" customFormat="1" x14ac:dyDescent="0.25"/>
    <row r="126665" customFormat="1" x14ac:dyDescent="0.25"/>
    <row r="126666" customFormat="1" x14ac:dyDescent="0.25"/>
    <row r="126667" customFormat="1" x14ac:dyDescent="0.25"/>
    <row r="126668" customFormat="1" x14ac:dyDescent="0.25"/>
    <row r="126669" customFormat="1" x14ac:dyDescent="0.25"/>
    <row r="126670" customFormat="1" x14ac:dyDescent="0.25"/>
    <row r="126671" customFormat="1" x14ac:dyDescent="0.25"/>
    <row r="126672" customFormat="1" x14ac:dyDescent="0.25"/>
    <row r="126673" customFormat="1" x14ac:dyDescent="0.25"/>
    <row r="126674" customFormat="1" x14ac:dyDescent="0.25"/>
    <row r="126675" customFormat="1" x14ac:dyDescent="0.25"/>
    <row r="126676" customFormat="1" x14ac:dyDescent="0.25"/>
    <row r="126677" customFormat="1" x14ac:dyDescent="0.25"/>
    <row r="126678" customFormat="1" x14ac:dyDescent="0.25"/>
    <row r="126679" customFormat="1" x14ac:dyDescent="0.25"/>
    <row r="126680" customFormat="1" x14ac:dyDescent="0.25"/>
    <row r="126681" customFormat="1" x14ac:dyDescent="0.25"/>
    <row r="126682" customFormat="1" x14ac:dyDescent="0.25"/>
    <row r="126683" customFormat="1" x14ac:dyDescent="0.25"/>
    <row r="126684" customFormat="1" x14ac:dyDescent="0.25"/>
    <row r="126685" customFormat="1" x14ac:dyDescent="0.25"/>
    <row r="126686" customFormat="1" x14ac:dyDescent="0.25"/>
    <row r="126687" customFormat="1" x14ac:dyDescent="0.25"/>
    <row r="126688" customFormat="1" x14ac:dyDescent="0.25"/>
    <row r="126689" customFormat="1" x14ac:dyDescent="0.25"/>
    <row r="126690" customFormat="1" x14ac:dyDescent="0.25"/>
    <row r="126691" customFormat="1" x14ac:dyDescent="0.25"/>
    <row r="126692" customFormat="1" x14ac:dyDescent="0.25"/>
    <row r="126693" customFormat="1" x14ac:dyDescent="0.25"/>
    <row r="126694" customFormat="1" x14ac:dyDescent="0.25"/>
    <row r="126695" customFormat="1" x14ac:dyDescent="0.25"/>
    <row r="126696" customFormat="1" x14ac:dyDescent="0.25"/>
    <row r="126697" customFormat="1" x14ac:dyDescent="0.25"/>
    <row r="126698" customFormat="1" x14ac:dyDescent="0.25"/>
    <row r="126699" customFormat="1" x14ac:dyDescent="0.25"/>
    <row r="126700" customFormat="1" x14ac:dyDescent="0.25"/>
    <row r="126701" customFormat="1" x14ac:dyDescent="0.25"/>
    <row r="126702" customFormat="1" x14ac:dyDescent="0.25"/>
    <row r="126703" customFormat="1" x14ac:dyDescent="0.25"/>
    <row r="126704" customFormat="1" x14ac:dyDescent="0.25"/>
    <row r="126705" customFormat="1" x14ac:dyDescent="0.25"/>
    <row r="126706" customFormat="1" x14ac:dyDescent="0.25"/>
    <row r="126707" customFormat="1" x14ac:dyDescent="0.25"/>
    <row r="126708" customFormat="1" x14ac:dyDescent="0.25"/>
    <row r="126709" customFormat="1" x14ac:dyDescent="0.25"/>
    <row r="126710" customFormat="1" x14ac:dyDescent="0.25"/>
    <row r="126711" customFormat="1" x14ac:dyDescent="0.25"/>
    <row r="126712" customFormat="1" x14ac:dyDescent="0.25"/>
    <row r="126713" customFormat="1" x14ac:dyDescent="0.25"/>
    <row r="126714" customFormat="1" x14ac:dyDescent="0.25"/>
    <row r="126715" customFormat="1" x14ac:dyDescent="0.25"/>
    <row r="126716" customFormat="1" x14ac:dyDescent="0.25"/>
    <row r="126717" customFormat="1" x14ac:dyDescent="0.25"/>
    <row r="126718" customFormat="1" x14ac:dyDescent="0.25"/>
    <row r="126719" customFormat="1" x14ac:dyDescent="0.25"/>
    <row r="126720" customFormat="1" x14ac:dyDescent="0.25"/>
    <row r="126721" customFormat="1" x14ac:dyDescent="0.25"/>
    <row r="126722" customFormat="1" x14ac:dyDescent="0.25"/>
    <row r="126723" customFormat="1" x14ac:dyDescent="0.25"/>
    <row r="126724" customFormat="1" x14ac:dyDescent="0.25"/>
    <row r="126725" customFormat="1" x14ac:dyDescent="0.25"/>
    <row r="126726" customFormat="1" x14ac:dyDescent="0.25"/>
    <row r="126727" customFormat="1" x14ac:dyDescent="0.25"/>
    <row r="126728" customFormat="1" x14ac:dyDescent="0.25"/>
    <row r="126729" customFormat="1" x14ac:dyDescent="0.25"/>
    <row r="126730" customFormat="1" x14ac:dyDescent="0.25"/>
    <row r="126731" customFormat="1" x14ac:dyDescent="0.25"/>
    <row r="126732" customFormat="1" x14ac:dyDescent="0.25"/>
    <row r="126733" customFormat="1" x14ac:dyDescent="0.25"/>
    <row r="126734" customFormat="1" x14ac:dyDescent="0.25"/>
    <row r="126735" customFormat="1" x14ac:dyDescent="0.25"/>
    <row r="126736" customFormat="1" x14ac:dyDescent="0.25"/>
    <row r="126737" customFormat="1" x14ac:dyDescent="0.25"/>
    <row r="126738" customFormat="1" x14ac:dyDescent="0.25"/>
    <row r="126739" customFormat="1" x14ac:dyDescent="0.25"/>
    <row r="126740" customFormat="1" x14ac:dyDescent="0.25"/>
    <row r="126741" customFormat="1" x14ac:dyDescent="0.25"/>
    <row r="126742" customFormat="1" x14ac:dyDescent="0.25"/>
    <row r="126743" customFormat="1" x14ac:dyDescent="0.25"/>
    <row r="126744" customFormat="1" x14ac:dyDescent="0.25"/>
    <row r="126745" customFormat="1" x14ac:dyDescent="0.25"/>
    <row r="126746" customFormat="1" x14ac:dyDescent="0.25"/>
    <row r="126747" customFormat="1" x14ac:dyDescent="0.25"/>
    <row r="126748" customFormat="1" x14ac:dyDescent="0.25"/>
    <row r="126749" customFormat="1" x14ac:dyDescent="0.25"/>
    <row r="126750" customFormat="1" x14ac:dyDescent="0.25"/>
    <row r="126751" customFormat="1" x14ac:dyDescent="0.25"/>
    <row r="126752" customFormat="1" x14ac:dyDescent="0.25"/>
    <row r="126753" customFormat="1" x14ac:dyDescent="0.25"/>
    <row r="126754" customFormat="1" x14ac:dyDescent="0.25"/>
    <row r="126755" customFormat="1" x14ac:dyDescent="0.25"/>
    <row r="126756" customFormat="1" x14ac:dyDescent="0.25"/>
    <row r="126757" customFormat="1" x14ac:dyDescent="0.25"/>
    <row r="126758" customFormat="1" x14ac:dyDescent="0.25"/>
    <row r="126759" customFormat="1" x14ac:dyDescent="0.25"/>
    <row r="126760" customFormat="1" x14ac:dyDescent="0.25"/>
    <row r="126761" customFormat="1" x14ac:dyDescent="0.25"/>
    <row r="126762" customFormat="1" x14ac:dyDescent="0.25"/>
    <row r="126763" customFormat="1" x14ac:dyDescent="0.25"/>
    <row r="126764" customFormat="1" x14ac:dyDescent="0.25"/>
    <row r="126765" customFormat="1" x14ac:dyDescent="0.25"/>
    <row r="126766" customFormat="1" x14ac:dyDescent="0.25"/>
    <row r="126767" customFormat="1" x14ac:dyDescent="0.25"/>
    <row r="126768" customFormat="1" x14ac:dyDescent="0.25"/>
    <row r="126769" customFormat="1" x14ac:dyDescent="0.25"/>
    <row r="126770" customFormat="1" x14ac:dyDescent="0.25"/>
    <row r="126771" customFormat="1" x14ac:dyDescent="0.25"/>
    <row r="126772" customFormat="1" x14ac:dyDescent="0.25"/>
    <row r="126773" customFormat="1" x14ac:dyDescent="0.25"/>
    <row r="126774" customFormat="1" x14ac:dyDescent="0.25"/>
    <row r="126775" customFormat="1" x14ac:dyDescent="0.25"/>
    <row r="126776" customFormat="1" x14ac:dyDescent="0.25"/>
    <row r="126777" customFormat="1" x14ac:dyDescent="0.25"/>
    <row r="126778" customFormat="1" x14ac:dyDescent="0.25"/>
    <row r="126779" customFormat="1" x14ac:dyDescent="0.25"/>
    <row r="126780" customFormat="1" x14ac:dyDescent="0.25"/>
    <row r="126781" customFormat="1" x14ac:dyDescent="0.25"/>
    <row r="126782" customFormat="1" x14ac:dyDescent="0.25"/>
    <row r="126783" customFormat="1" x14ac:dyDescent="0.25"/>
    <row r="126784" customFormat="1" x14ac:dyDescent="0.25"/>
    <row r="126785" customFormat="1" x14ac:dyDescent="0.25"/>
    <row r="126786" customFormat="1" x14ac:dyDescent="0.25"/>
    <row r="126787" customFormat="1" x14ac:dyDescent="0.25"/>
    <row r="126788" customFormat="1" x14ac:dyDescent="0.25"/>
    <row r="126789" customFormat="1" x14ac:dyDescent="0.25"/>
    <row r="126790" customFormat="1" x14ac:dyDescent="0.25"/>
    <row r="126791" customFormat="1" x14ac:dyDescent="0.25"/>
    <row r="126792" customFormat="1" x14ac:dyDescent="0.25"/>
    <row r="126793" customFormat="1" x14ac:dyDescent="0.25"/>
    <row r="126794" customFormat="1" x14ac:dyDescent="0.25"/>
    <row r="126795" customFormat="1" x14ac:dyDescent="0.25"/>
    <row r="126796" customFormat="1" x14ac:dyDescent="0.25"/>
    <row r="126797" customFormat="1" x14ac:dyDescent="0.25"/>
    <row r="126798" customFormat="1" x14ac:dyDescent="0.25"/>
    <row r="126799" customFormat="1" x14ac:dyDescent="0.25"/>
    <row r="126800" customFormat="1" x14ac:dyDescent="0.25"/>
    <row r="126801" customFormat="1" x14ac:dyDescent="0.25"/>
    <row r="126802" customFormat="1" x14ac:dyDescent="0.25"/>
    <row r="126803" customFormat="1" x14ac:dyDescent="0.25"/>
    <row r="126804" customFormat="1" x14ac:dyDescent="0.25"/>
    <row r="126805" customFormat="1" x14ac:dyDescent="0.25"/>
    <row r="126806" customFormat="1" x14ac:dyDescent="0.25"/>
    <row r="126807" customFormat="1" x14ac:dyDescent="0.25"/>
    <row r="126808" customFormat="1" x14ac:dyDescent="0.25"/>
    <row r="126809" customFormat="1" x14ac:dyDescent="0.25"/>
    <row r="126810" customFormat="1" x14ac:dyDescent="0.25"/>
    <row r="126811" customFormat="1" x14ac:dyDescent="0.25"/>
    <row r="126812" customFormat="1" x14ac:dyDescent="0.25"/>
    <row r="126813" customFormat="1" x14ac:dyDescent="0.25"/>
    <row r="126814" customFormat="1" x14ac:dyDescent="0.25"/>
    <row r="126815" customFormat="1" x14ac:dyDescent="0.25"/>
    <row r="126816" customFormat="1" x14ac:dyDescent="0.25"/>
    <row r="126817" customFormat="1" x14ac:dyDescent="0.25"/>
    <row r="126818" customFormat="1" x14ac:dyDescent="0.25"/>
    <row r="126819" customFormat="1" x14ac:dyDescent="0.25"/>
    <row r="126820" customFormat="1" x14ac:dyDescent="0.25"/>
    <row r="126821" customFormat="1" x14ac:dyDescent="0.25"/>
    <row r="126822" customFormat="1" x14ac:dyDescent="0.25"/>
    <row r="126823" customFormat="1" x14ac:dyDescent="0.25"/>
    <row r="126824" customFormat="1" x14ac:dyDescent="0.25"/>
    <row r="126825" customFormat="1" x14ac:dyDescent="0.25"/>
    <row r="126826" customFormat="1" x14ac:dyDescent="0.25"/>
    <row r="126827" customFormat="1" x14ac:dyDescent="0.25"/>
    <row r="126828" customFormat="1" x14ac:dyDescent="0.25"/>
    <row r="126829" customFormat="1" x14ac:dyDescent="0.25"/>
    <row r="126830" customFormat="1" x14ac:dyDescent="0.25"/>
    <row r="126831" customFormat="1" x14ac:dyDescent="0.25"/>
    <row r="126832" customFormat="1" x14ac:dyDescent="0.25"/>
    <row r="126833" customFormat="1" x14ac:dyDescent="0.25"/>
    <row r="126834" customFormat="1" x14ac:dyDescent="0.25"/>
    <row r="126835" customFormat="1" x14ac:dyDescent="0.25"/>
    <row r="126836" customFormat="1" x14ac:dyDescent="0.25"/>
    <row r="126837" customFormat="1" x14ac:dyDescent="0.25"/>
    <row r="126838" customFormat="1" x14ac:dyDescent="0.25"/>
    <row r="126839" customFormat="1" x14ac:dyDescent="0.25"/>
    <row r="126840" customFormat="1" x14ac:dyDescent="0.25"/>
    <row r="126841" customFormat="1" x14ac:dyDescent="0.25"/>
    <row r="126842" customFormat="1" x14ac:dyDescent="0.25"/>
    <row r="126843" customFormat="1" x14ac:dyDescent="0.25"/>
    <row r="126844" customFormat="1" x14ac:dyDescent="0.25"/>
    <row r="126845" customFormat="1" x14ac:dyDescent="0.25"/>
    <row r="126846" customFormat="1" x14ac:dyDescent="0.25"/>
    <row r="126847" customFormat="1" x14ac:dyDescent="0.25"/>
    <row r="126848" customFormat="1" x14ac:dyDescent="0.25"/>
    <row r="126849" customFormat="1" x14ac:dyDescent="0.25"/>
    <row r="126850" customFormat="1" x14ac:dyDescent="0.25"/>
    <row r="126851" customFormat="1" x14ac:dyDescent="0.25"/>
    <row r="126852" customFormat="1" x14ac:dyDescent="0.25"/>
    <row r="126853" customFormat="1" x14ac:dyDescent="0.25"/>
    <row r="126854" customFormat="1" x14ac:dyDescent="0.25"/>
    <row r="126855" customFormat="1" x14ac:dyDescent="0.25"/>
    <row r="126856" customFormat="1" x14ac:dyDescent="0.25"/>
    <row r="126857" customFormat="1" x14ac:dyDescent="0.25"/>
    <row r="126858" customFormat="1" x14ac:dyDescent="0.25"/>
    <row r="126859" customFormat="1" x14ac:dyDescent="0.25"/>
    <row r="126860" customFormat="1" x14ac:dyDescent="0.25"/>
    <row r="126861" customFormat="1" x14ac:dyDescent="0.25"/>
    <row r="126862" customFormat="1" x14ac:dyDescent="0.25"/>
    <row r="126863" customFormat="1" x14ac:dyDescent="0.25"/>
    <row r="126864" customFormat="1" x14ac:dyDescent="0.25"/>
    <row r="126865" customFormat="1" x14ac:dyDescent="0.25"/>
    <row r="126866" customFormat="1" x14ac:dyDescent="0.25"/>
    <row r="126867" customFormat="1" x14ac:dyDescent="0.25"/>
    <row r="126868" customFormat="1" x14ac:dyDescent="0.25"/>
    <row r="126869" customFormat="1" x14ac:dyDescent="0.25"/>
    <row r="126870" customFormat="1" x14ac:dyDescent="0.25"/>
    <row r="126871" customFormat="1" x14ac:dyDescent="0.25"/>
    <row r="126872" customFormat="1" x14ac:dyDescent="0.25"/>
    <row r="126873" customFormat="1" x14ac:dyDescent="0.25"/>
    <row r="126874" customFormat="1" x14ac:dyDescent="0.25"/>
    <row r="126875" customFormat="1" x14ac:dyDescent="0.25"/>
    <row r="126876" customFormat="1" x14ac:dyDescent="0.25"/>
    <row r="126877" customFormat="1" x14ac:dyDescent="0.25"/>
    <row r="126878" customFormat="1" x14ac:dyDescent="0.25"/>
    <row r="126879" customFormat="1" x14ac:dyDescent="0.25"/>
    <row r="126880" customFormat="1" x14ac:dyDescent="0.25"/>
    <row r="126881" customFormat="1" x14ac:dyDescent="0.25"/>
    <row r="126882" customFormat="1" x14ac:dyDescent="0.25"/>
    <row r="126883" customFormat="1" x14ac:dyDescent="0.25"/>
    <row r="126884" customFormat="1" x14ac:dyDescent="0.25"/>
    <row r="126885" customFormat="1" x14ac:dyDescent="0.25"/>
    <row r="126886" customFormat="1" x14ac:dyDescent="0.25"/>
    <row r="126887" customFormat="1" x14ac:dyDescent="0.25"/>
    <row r="126888" customFormat="1" x14ac:dyDescent="0.25"/>
    <row r="126889" customFormat="1" x14ac:dyDescent="0.25"/>
    <row r="126890" customFormat="1" x14ac:dyDescent="0.25"/>
    <row r="126891" customFormat="1" x14ac:dyDescent="0.25"/>
    <row r="126892" customFormat="1" x14ac:dyDescent="0.25"/>
    <row r="126893" customFormat="1" x14ac:dyDescent="0.25"/>
    <row r="126894" customFormat="1" x14ac:dyDescent="0.25"/>
    <row r="126895" customFormat="1" x14ac:dyDescent="0.25"/>
    <row r="126896" customFormat="1" x14ac:dyDescent="0.25"/>
    <row r="126897" customFormat="1" x14ac:dyDescent="0.25"/>
    <row r="126898" customFormat="1" x14ac:dyDescent="0.25"/>
    <row r="126899" customFormat="1" x14ac:dyDescent="0.25"/>
    <row r="126900" customFormat="1" x14ac:dyDescent="0.25"/>
    <row r="126901" customFormat="1" x14ac:dyDescent="0.25"/>
    <row r="126902" customFormat="1" x14ac:dyDescent="0.25"/>
    <row r="126903" customFormat="1" x14ac:dyDescent="0.25"/>
    <row r="126904" customFormat="1" x14ac:dyDescent="0.25"/>
    <row r="126905" customFormat="1" x14ac:dyDescent="0.25"/>
    <row r="126906" customFormat="1" x14ac:dyDescent="0.25"/>
    <row r="126907" customFormat="1" x14ac:dyDescent="0.25"/>
    <row r="126908" customFormat="1" x14ac:dyDescent="0.25"/>
    <row r="126909" customFormat="1" x14ac:dyDescent="0.25"/>
    <row r="126910" customFormat="1" x14ac:dyDescent="0.25"/>
    <row r="126911" customFormat="1" x14ac:dyDescent="0.25"/>
    <row r="126912" customFormat="1" x14ac:dyDescent="0.25"/>
    <row r="126913" customFormat="1" x14ac:dyDescent="0.25"/>
    <row r="126914" customFormat="1" x14ac:dyDescent="0.25"/>
    <row r="126915" customFormat="1" x14ac:dyDescent="0.25"/>
    <row r="126916" customFormat="1" x14ac:dyDescent="0.25"/>
    <row r="126917" customFormat="1" x14ac:dyDescent="0.25"/>
    <row r="126918" customFormat="1" x14ac:dyDescent="0.25"/>
    <row r="126919" customFormat="1" x14ac:dyDescent="0.25"/>
    <row r="126920" customFormat="1" x14ac:dyDescent="0.25"/>
    <row r="126921" customFormat="1" x14ac:dyDescent="0.25"/>
    <row r="126922" customFormat="1" x14ac:dyDescent="0.25"/>
    <row r="126923" customFormat="1" x14ac:dyDescent="0.25"/>
    <row r="126924" customFormat="1" x14ac:dyDescent="0.25"/>
    <row r="126925" customFormat="1" x14ac:dyDescent="0.25"/>
    <row r="126926" customFormat="1" x14ac:dyDescent="0.25"/>
    <row r="126927" customFormat="1" x14ac:dyDescent="0.25"/>
    <row r="126928" customFormat="1" x14ac:dyDescent="0.25"/>
    <row r="126929" customFormat="1" x14ac:dyDescent="0.25"/>
    <row r="126930" customFormat="1" x14ac:dyDescent="0.25"/>
    <row r="126931" customFormat="1" x14ac:dyDescent="0.25"/>
    <row r="126932" customFormat="1" x14ac:dyDescent="0.25"/>
    <row r="126933" customFormat="1" x14ac:dyDescent="0.25"/>
    <row r="126934" customFormat="1" x14ac:dyDescent="0.25"/>
    <row r="126935" customFormat="1" x14ac:dyDescent="0.25"/>
    <row r="126936" customFormat="1" x14ac:dyDescent="0.25"/>
    <row r="126937" customFormat="1" x14ac:dyDescent="0.25"/>
    <row r="126938" customFormat="1" x14ac:dyDescent="0.25"/>
    <row r="126939" customFormat="1" x14ac:dyDescent="0.25"/>
    <row r="126940" customFormat="1" x14ac:dyDescent="0.25"/>
    <row r="126941" customFormat="1" x14ac:dyDescent="0.25"/>
    <row r="126942" customFormat="1" x14ac:dyDescent="0.25"/>
    <row r="126943" customFormat="1" x14ac:dyDescent="0.25"/>
    <row r="126944" customFormat="1" x14ac:dyDescent="0.25"/>
    <row r="126945" customFormat="1" x14ac:dyDescent="0.25"/>
    <row r="126946" customFormat="1" x14ac:dyDescent="0.25"/>
    <row r="126947" customFormat="1" x14ac:dyDescent="0.25"/>
    <row r="126948" customFormat="1" x14ac:dyDescent="0.25"/>
    <row r="126949" customFormat="1" x14ac:dyDescent="0.25"/>
    <row r="126950" customFormat="1" x14ac:dyDescent="0.25"/>
    <row r="126951" customFormat="1" x14ac:dyDescent="0.25"/>
    <row r="126952" customFormat="1" x14ac:dyDescent="0.25"/>
    <row r="126953" customFormat="1" x14ac:dyDescent="0.25"/>
    <row r="126954" customFormat="1" x14ac:dyDescent="0.25"/>
    <row r="126955" customFormat="1" x14ac:dyDescent="0.25"/>
    <row r="126956" customFormat="1" x14ac:dyDescent="0.25"/>
    <row r="126957" customFormat="1" x14ac:dyDescent="0.25"/>
    <row r="126958" customFormat="1" x14ac:dyDescent="0.25"/>
    <row r="126959" customFormat="1" x14ac:dyDescent="0.25"/>
    <row r="126960" customFormat="1" x14ac:dyDescent="0.25"/>
    <row r="126961" customFormat="1" x14ac:dyDescent="0.25"/>
    <row r="126962" customFormat="1" x14ac:dyDescent="0.25"/>
    <row r="126963" customFormat="1" x14ac:dyDescent="0.25"/>
    <row r="126964" customFormat="1" x14ac:dyDescent="0.25"/>
    <row r="126965" customFormat="1" x14ac:dyDescent="0.25"/>
    <row r="126966" customFormat="1" x14ac:dyDescent="0.25"/>
    <row r="126967" customFormat="1" x14ac:dyDescent="0.25"/>
    <row r="126968" customFormat="1" x14ac:dyDescent="0.25"/>
    <row r="126969" customFormat="1" x14ac:dyDescent="0.25"/>
    <row r="126970" customFormat="1" x14ac:dyDescent="0.25"/>
    <row r="126971" customFormat="1" x14ac:dyDescent="0.25"/>
    <row r="126972" customFormat="1" x14ac:dyDescent="0.25"/>
    <row r="126973" customFormat="1" x14ac:dyDescent="0.25"/>
    <row r="126974" customFormat="1" x14ac:dyDescent="0.25"/>
    <row r="126975" customFormat="1" x14ac:dyDescent="0.25"/>
    <row r="126976" customFormat="1" x14ac:dyDescent="0.25"/>
    <row r="126977" customFormat="1" x14ac:dyDescent="0.25"/>
    <row r="126978" customFormat="1" x14ac:dyDescent="0.25"/>
    <row r="126979" customFormat="1" x14ac:dyDescent="0.25"/>
    <row r="126980" customFormat="1" x14ac:dyDescent="0.25"/>
    <row r="126981" customFormat="1" x14ac:dyDescent="0.25"/>
    <row r="126982" customFormat="1" x14ac:dyDescent="0.25"/>
    <row r="126983" customFormat="1" x14ac:dyDescent="0.25"/>
    <row r="126984" customFormat="1" x14ac:dyDescent="0.25"/>
    <row r="126985" customFormat="1" x14ac:dyDescent="0.25"/>
    <row r="126986" customFormat="1" x14ac:dyDescent="0.25"/>
    <row r="126987" customFormat="1" x14ac:dyDescent="0.25"/>
    <row r="126988" customFormat="1" x14ac:dyDescent="0.25"/>
    <row r="126989" customFormat="1" x14ac:dyDescent="0.25"/>
    <row r="126990" customFormat="1" x14ac:dyDescent="0.25"/>
    <row r="126991" customFormat="1" x14ac:dyDescent="0.25"/>
    <row r="126992" customFormat="1" x14ac:dyDescent="0.25"/>
    <row r="126993" customFormat="1" x14ac:dyDescent="0.25"/>
    <row r="126994" customFormat="1" x14ac:dyDescent="0.25"/>
    <row r="126995" customFormat="1" x14ac:dyDescent="0.25"/>
    <row r="126996" customFormat="1" x14ac:dyDescent="0.25"/>
    <row r="126997" customFormat="1" x14ac:dyDescent="0.25"/>
    <row r="126998" customFormat="1" x14ac:dyDescent="0.25"/>
    <row r="126999" customFormat="1" x14ac:dyDescent="0.25"/>
    <row r="127000" customFormat="1" x14ac:dyDescent="0.25"/>
    <row r="127001" customFormat="1" x14ac:dyDescent="0.25"/>
    <row r="127002" customFormat="1" x14ac:dyDescent="0.25"/>
    <row r="127003" customFormat="1" x14ac:dyDescent="0.25"/>
    <row r="127004" customFormat="1" x14ac:dyDescent="0.25"/>
    <row r="127005" customFormat="1" x14ac:dyDescent="0.25"/>
    <row r="127006" customFormat="1" x14ac:dyDescent="0.25"/>
    <row r="127007" customFormat="1" x14ac:dyDescent="0.25"/>
    <row r="127008" customFormat="1" x14ac:dyDescent="0.25"/>
    <row r="127009" customFormat="1" x14ac:dyDescent="0.25"/>
    <row r="127010" customFormat="1" x14ac:dyDescent="0.25"/>
    <row r="127011" customFormat="1" x14ac:dyDescent="0.25"/>
    <row r="127012" customFormat="1" x14ac:dyDescent="0.25"/>
    <row r="127013" customFormat="1" x14ac:dyDescent="0.25"/>
    <row r="127014" customFormat="1" x14ac:dyDescent="0.25"/>
    <row r="127015" customFormat="1" x14ac:dyDescent="0.25"/>
    <row r="127016" customFormat="1" x14ac:dyDescent="0.25"/>
    <row r="127017" customFormat="1" x14ac:dyDescent="0.25"/>
    <row r="127018" customFormat="1" x14ac:dyDescent="0.25"/>
    <row r="127019" customFormat="1" x14ac:dyDescent="0.25"/>
    <row r="127020" customFormat="1" x14ac:dyDescent="0.25"/>
    <row r="127021" customFormat="1" x14ac:dyDescent="0.25"/>
    <row r="127022" customFormat="1" x14ac:dyDescent="0.25"/>
    <row r="127023" customFormat="1" x14ac:dyDescent="0.25"/>
    <row r="127024" customFormat="1" x14ac:dyDescent="0.25"/>
    <row r="127025" customFormat="1" x14ac:dyDescent="0.25"/>
    <row r="127026" customFormat="1" x14ac:dyDescent="0.25"/>
    <row r="127027" customFormat="1" x14ac:dyDescent="0.25"/>
    <row r="127028" customFormat="1" x14ac:dyDescent="0.25"/>
    <row r="127029" customFormat="1" x14ac:dyDescent="0.25"/>
    <row r="127030" customFormat="1" x14ac:dyDescent="0.25"/>
    <row r="127031" customFormat="1" x14ac:dyDescent="0.25"/>
    <row r="127032" customFormat="1" x14ac:dyDescent="0.25"/>
    <row r="127033" customFormat="1" x14ac:dyDescent="0.25"/>
    <row r="127034" customFormat="1" x14ac:dyDescent="0.25"/>
    <row r="127035" customFormat="1" x14ac:dyDescent="0.25"/>
    <row r="127036" customFormat="1" x14ac:dyDescent="0.25"/>
    <row r="127037" customFormat="1" x14ac:dyDescent="0.25"/>
    <row r="127038" customFormat="1" x14ac:dyDescent="0.25"/>
    <row r="127039" customFormat="1" x14ac:dyDescent="0.25"/>
    <row r="127040" customFormat="1" x14ac:dyDescent="0.25"/>
    <row r="127041" customFormat="1" x14ac:dyDescent="0.25"/>
    <row r="127042" customFormat="1" x14ac:dyDescent="0.25"/>
    <row r="127043" customFormat="1" x14ac:dyDescent="0.25"/>
    <row r="127044" customFormat="1" x14ac:dyDescent="0.25"/>
    <row r="127045" customFormat="1" x14ac:dyDescent="0.25"/>
    <row r="127046" customFormat="1" x14ac:dyDescent="0.25"/>
    <row r="127047" customFormat="1" x14ac:dyDescent="0.25"/>
    <row r="127048" customFormat="1" x14ac:dyDescent="0.25"/>
    <row r="127049" customFormat="1" x14ac:dyDescent="0.25"/>
    <row r="127050" customFormat="1" x14ac:dyDescent="0.25"/>
    <row r="127051" customFormat="1" x14ac:dyDescent="0.25"/>
    <row r="127052" customFormat="1" x14ac:dyDescent="0.25"/>
    <row r="127053" customFormat="1" x14ac:dyDescent="0.25"/>
    <row r="127054" customFormat="1" x14ac:dyDescent="0.25"/>
    <row r="127055" customFormat="1" x14ac:dyDescent="0.25"/>
    <row r="127056" customFormat="1" x14ac:dyDescent="0.25"/>
    <row r="127057" customFormat="1" x14ac:dyDescent="0.25"/>
    <row r="127058" customFormat="1" x14ac:dyDescent="0.25"/>
    <row r="127059" customFormat="1" x14ac:dyDescent="0.25"/>
    <row r="127060" customFormat="1" x14ac:dyDescent="0.25"/>
    <row r="127061" customFormat="1" x14ac:dyDescent="0.25"/>
    <row r="127062" customFormat="1" x14ac:dyDescent="0.25"/>
    <row r="127063" customFormat="1" x14ac:dyDescent="0.25"/>
    <row r="127064" customFormat="1" x14ac:dyDescent="0.25"/>
    <row r="127065" customFormat="1" x14ac:dyDescent="0.25"/>
    <row r="127066" customFormat="1" x14ac:dyDescent="0.25"/>
    <row r="127067" customFormat="1" x14ac:dyDescent="0.25"/>
    <row r="127068" customFormat="1" x14ac:dyDescent="0.25"/>
    <row r="127069" customFormat="1" x14ac:dyDescent="0.25"/>
    <row r="127070" customFormat="1" x14ac:dyDescent="0.25"/>
    <row r="127071" customFormat="1" x14ac:dyDescent="0.25"/>
    <row r="127072" customFormat="1" x14ac:dyDescent="0.25"/>
    <row r="127073" customFormat="1" x14ac:dyDescent="0.25"/>
    <row r="127074" customFormat="1" x14ac:dyDescent="0.25"/>
    <row r="127075" customFormat="1" x14ac:dyDescent="0.25"/>
    <row r="127076" customFormat="1" x14ac:dyDescent="0.25"/>
    <row r="127077" customFormat="1" x14ac:dyDescent="0.25"/>
    <row r="127078" customFormat="1" x14ac:dyDescent="0.25"/>
    <row r="127079" customFormat="1" x14ac:dyDescent="0.25"/>
    <row r="127080" customFormat="1" x14ac:dyDescent="0.25"/>
    <row r="127081" customFormat="1" x14ac:dyDescent="0.25"/>
    <row r="127082" customFormat="1" x14ac:dyDescent="0.25"/>
    <row r="127083" customFormat="1" x14ac:dyDescent="0.25"/>
    <row r="127084" customFormat="1" x14ac:dyDescent="0.25"/>
    <row r="127085" customFormat="1" x14ac:dyDescent="0.25"/>
    <row r="127086" customFormat="1" x14ac:dyDescent="0.25"/>
    <row r="127087" customFormat="1" x14ac:dyDescent="0.25"/>
    <row r="127088" customFormat="1" x14ac:dyDescent="0.25"/>
    <row r="127089" customFormat="1" x14ac:dyDescent="0.25"/>
    <row r="127090" customFormat="1" x14ac:dyDescent="0.25"/>
    <row r="127091" customFormat="1" x14ac:dyDescent="0.25"/>
    <row r="127092" customFormat="1" x14ac:dyDescent="0.25"/>
    <row r="127093" customFormat="1" x14ac:dyDescent="0.25"/>
    <row r="127094" customFormat="1" x14ac:dyDescent="0.25"/>
    <row r="127095" customFormat="1" x14ac:dyDescent="0.25"/>
    <row r="127096" customFormat="1" x14ac:dyDescent="0.25"/>
    <row r="127097" customFormat="1" x14ac:dyDescent="0.25"/>
    <row r="127098" customFormat="1" x14ac:dyDescent="0.25"/>
    <row r="127099" customFormat="1" x14ac:dyDescent="0.25"/>
    <row r="127100" customFormat="1" x14ac:dyDescent="0.25"/>
    <row r="127101" customFormat="1" x14ac:dyDescent="0.25"/>
    <row r="127102" customFormat="1" x14ac:dyDescent="0.25"/>
    <row r="127103" customFormat="1" x14ac:dyDescent="0.25"/>
    <row r="127104" customFormat="1" x14ac:dyDescent="0.25"/>
    <row r="127105" customFormat="1" x14ac:dyDescent="0.25"/>
    <row r="127106" customFormat="1" x14ac:dyDescent="0.25"/>
    <row r="127107" customFormat="1" x14ac:dyDescent="0.25"/>
    <row r="127108" customFormat="1" x14ac:dyDescent="0.25"/>
    <row r="127109" customFormat="1" x14ac:dyDescent="0.25"/>
    <row r="127110" customFormat="1" x14ac:dyDescent="0.25"/>
    <row r="127111" customFormat="1" x14ac:dyDescent="0.25"/>
    <row r="127112" customFormat="1" x14ac:dyDescent="0.25"/>
    <row r="127113" customFormat="1" x14ac:dyDescent="0.25"/>
    <row r="127114" customFormat="1" x14ac:dyDescent="0.25"/>
    <row r="127115" customFormat="1" x14ac:dyDescent="0.25"/>
    <row r="127116" customFormat="1" x14ac:dyDescent="0.25"/>
    <row r="127117" customFormat="1" x14ac:dyDescent="0.25"/>
    <row r="127118" customFormat="1" x14ac:dyDescent="0.25"/>
    <row r="127119" customFormat="1" x14ac:dyDescent="0.25"/>
    <row r="127120" customFormat="1" x14ac:dyDescent="0.25"/>
    <row r="127121" customFormat="1" x14ac:dyDescent="0.25"/>
    <row r="127122" customFormat="1" x14ac:dyDescent="0.25"/>
    <row r="127123" customFormat="1" x14ac:dyDescent="0.25"/>
    <row r="127124" customFormat="1" x14ac:dyDescent="0.25"/>
    <row r="127125" customFormat="1" x14ac:dyDescent="0.25"/>
    <row r="127126" customFormat="1" x14ac:dyDescent="0.25"/>
    <row r="127127" customFormat="1" x14ac:dyDescent="0.25"/>
    <row r="127128" customFormat="1" x14ac:dyDescent="0.25"/>
    <row r="127129" customFormat="1" x14ac:dyDescent="0.25"/>
    <row r="127130" customFormat="1" x14ac:dyDescent="0.25"/>
    <row r="127131" customFormat="1" x14ac:dyDescent="0.25"/>
    <row r="127132" customFormat="1" x14ac:dyDescent="0.25"/>
    <row r="127133" customFormat="1" x14ac:dyDescent="0.25"/>
    <row r="127134" customFormat="1" x14ac:dyDescent="0.25"/>
    <row r="127135" customFormat="1" x14ac:dyDescent="0.25"/>
    <row r="127136" customFormat="1" x14ac:dyDescent="0.25"/>
    <row r="127137" customFormat="1" x14ac:dyDescent="0.25"/>
    <row r="127138" customFormat="1" x14ac:dyDescent="0.25"/>
    <row r="127139" customFormat="1" x14ac:dyDescent="0.25"/>
    <row r="127140" customFormat="1" x14ac:dyDescent="0.25"/>
    <row r="127141" customFormat="1" x14ac:dyDescent="0.25"/>
    <row r="127142" customFormat="1" x14ac:dyDescent="0.25"/>
    <row r="127143" customFormat="1" x14ac:dyDescent="0.25"/>
    <row r="127144" customFormat="1" x14ac:dyDescent="0.25"/>
    <row r="127145" customFormat="1" x14ac:dyDescent="0.25"/>
    <row r="127146" customFormat="1" x14ac:dyDescent="0.25"/>
    <row r="127147" customFormat="1" x14ac:dyDescent="0.25"/>
    <row r="127148" customFormat="1" x14ac:dyDescent="0.25"/>
    <row r="127149" customFormat="1" x14ac:dyDescent="0.25"/>
    <row r="127150" customFormat="1" x14ac:dyDescent="0.25"/>
    <row r="127151" customFormat="1" x14ac:dyDescent="0.25"/>
    <row r="127152" customFormat="1" x14ac:dyDescent="0.25"/>
    <row r="127153" customFormat="1" x14ac:dyDescent="0.25"/>
    <row r="127154" customFormat="1" x14ac:dyDescent="0.25"/>
    <row r="127155" customFormat="1" x14ac:dyDescent="0.25"/>
    <row r="127156" customFormat="1" x14ac:dyDescent="0.25"/>
    <row r="127157" customFormat="1" x14ac:dyDescent="0.25"/>
    <row r="127158" customFormat="1" x14ac:dyDescent="0.25"/>
    <row r="127159" customFormat="1" x14ac:dyDescent="0.25"/>
    <row r="127160" customFormat="1" x14ac:dyDescent="0.25"/>
    <row r="127161" customFormat="1" x14ac:dyDescent="0.25"/>
    <row r="127162" customFormat="1" x14ac:dyDescent="0.25"/>
    <row r="127163" customFormat="1" x14ac:dyDescent="0.25"/>
    <row r="127164" customFormat="1" x14ac:dyDescent="0.25"/>
    <row r="127165" customFormat="1" x14ac:dyDescent="0.25"/>
    <row r="127166" customFormat="1" x14ac:dyDescent="0.25"/>
    <row r="127167" customFormat="1" x14ac:dyDescent="0.25"/>
    <row r="127168" customFormat="1" x14ac:dyDescent="0.25"/>
    <row r="127169" customFormat="1" x14ac:dyDescent="0.25"/>
    <row r="127170" customFormat="1" x14ac:dyDescent="0.25"/>
    <row r="127171" customFormat="1" x14ac:dyDescent="0.25"/>
    <row r="127172" customFormat="1" x14ac:dyDescent="0.25"/>
    <row r="127173" customFormat="1" x14ac:dyDescent="0.25"/>
    <row r="127174" customFormat="1" x14ac:dyDescent="0.25"/>
    <row r="127175" customFormat="1" x14ac:dyDescent="0.25"/>
    <row r="127176" customFormat="1" x14ac:dyDescent="0.25"/>
    <row r="127177" customFormat="1" x14ac:dyDescent="0.25"/>
    <row r="127178" customFormat="1" x14ac:dyDescent="0.25"/>
    <row r="127179" customFormat="1" x14ac:dyDescent="0.25"/>
    <row r="127180" customFormat="1" x14ac:dyDescent="0.25"/>
    <row r="127181" customFormat="1" x14ac:dyDescent="0.25"/>
    <row r="127182" customFormat="1" x14ac:dyDescent="0.25"/>
    <row r="127183" customFormat="1" x14ac:dyDescent="0.25"/>
    <row r="127184" customFormat="1" x14ac:dyDescent="0.25"/>
    <row r="127185" customFormat="1" x14ac:dyDescent="0.25"/>
    <row r="127186" customFormat="1" x14ac:dyDescent="0.25"/>
    <row r="127187" customFormat="1" x14ac:dyDescent="0.25"/>
    <row r="127188" customFormat="1" x14ac:dyDescent="0.25"/>
    <row r="127189" customFormat="1" x14ac:dyDescent="0.25"/>
    <row r="127190" customFormat="1" x14ac:dyDescent="0.25"/>
    <row r="127191" customFormat="1" x14ac:dyDescent="0.25"/>
    <row r="127192" customFormat="1" x14ac:dyDescent="0.25"/>
    <row r="127193" customFormat="1" x14ac:dyDescent="0.25"/>
    <row r="127194" customFormat="1" x14ac:dyDescent="0.25"/>
    <row r="127195" customFormat="1" x14ac:dyDescent="0.25"/>
    <row r="127196" customFormat="1" x14ac:dyDescent="0.25"/>
    <row r="127197" customFormat="1" x14ac:dyDescent="0.25"/>
    <row r="127198" customFormat="1" x14ac:dyDescent="0.25"/>
    <row r="127199" customFormat="1" x14ac:dyDescent="0.25"/>
    <row r="127200" customFormat="1" x14ac:dyDescent="0.25"/>
    <row r="127201" customFormat="1" x14ac:dyDescent="0.25"/>
    <row r="127202" customFormat="1" x14ac:dyDescent="0.25"/>
    <row r="127203" customFormat="1" x14ac:dyDescent="0.25"/>
    <row r="127204" customFormat="1" x14ac:dyDescent="0.25"/>
    <row r="127205" customFormat="1" x14ac:dyDescent="0.25"/>
    <row r="127206" customFormat="1" x14ac:dyDescent="0.25"/>
    <row r="127207" customFormat="1" x14ac:dyDescent="0.25"/>
    <row r="127208" customFormat="1" x14ac:dyDescent="0.25"/>
    <row r="127209" customFormat="1" x14ac:dyDescent="0.25"/>
    <row r="127210" customFormat="1" x14ac:dyDescent="0.25"/>
    <row r="127211" customFormat="1" x14ac:dyDescent="0.25"/>
    <row r="127212" customFormat="1" x14ac:dyDescent="0.25"/>
    <row r="127213" customFormat="1" x14ac:dyDescent="0.25"/>
    <row r="127214" customFormat="1" x14ac:dyDescent="0.25"/>
    <row r="127215" customFormat="1" x14ac:dyDescent="0.25"/>
    <row r="127216" customFormat="1" x14ac:dyDescent="0.25"/>
    <row r="127217" customFormat="1" x14ac:dyDescent="0.25"/>
    <row r="127218" customFormat="1" x14ac:dyDescent="0.25"/>
    <row r="127219" customFormat="1" x14ac:dyDescent="0.25"/>
    <row r="127220" customFormat="1" x14ac:dyDescent="0.25"/>
    <row r="127221" customFormat="1" x14ac:dyDescent="0.25"/>
    <row r="127222" customFormat="1" x14ac:dyDescent="0.25"/>
    <row r="127223" customFormat="1" x14ac:dyDescent="0.25"/>
    <row r="127224" customFormat="1" x14ac:dyDescent="0.25"/>
    <row r="127225" customFormat="1" x14ac:dyDescent="0.25"/>
    <row r="127226" customFormat="1" x14ac:dyDescent="0.25"/>
    <row r="127227" customFormat="1" x14ac:dyDescent="0.25"/>
    <row r="127228" customFormat="1" x14ac:dyDescent="0.25"/>
    <row r="127229" customFormat="1" x14ac:dyDescent="0.25"/>
    <row r="127230" customFormat="1" x14ac:dyDescent="0.25"/>
    <row r="127231" customFormat="1" x14ac:dyDescent="0.25"/>
    <row r="127232" customFormat="1" x14ac:dyDescent="0.25"/>
    <row r="127233" customFormat="1" x14ac:dyDescent="0.25"/>
    <row r="127234" customFormat="1" x14ac:dyDescent="0.25"/>
    <row r="127235" customFormat="1" x14ac:dyDescent="0.25"/>
    <row r="127236" customFormat="1" x14ac:dyDescent="0.25"/>
    <row r="127237" customFormat="1" x14ac:dyDescent="0.25"/>
    <row r="127238" customFormat="1" x14ac:dyDescent="0.25"/>
    <row r="127239" customFormat="1" x14ac:dyDescent="0.25"/>
    <row r="127240" customFormat="1" x14ac:dyDescent="0.25"/>
    <row r="127241" customFormat="1" x14ac:dyDescent="0.25"/>
    <row r="127242" customFormat="1" x14ac:dyDescent="0.25"/>
    <row r="127243" customFormat="1" x14ac:dyDescent="0.25"/>
    <row r="127244" customFormat="1" x14ac:dyDescent="0.25"/>
    <row r="127245" customFormat="1" x14ac:dyDescent="0.25"/>
    <row r="127246" customFormat="1" x14ac:dyDescent="0.25"/>
    <row r="127247" customFormat="1" x14ac:dyDescent="0.25"/>
    <row r="127248" customFormat="1" x14ac:dyDescent="0.25"/>
    <row r="127249" customFormat="1" x14ac:dyDescent="0.25"/>
    <row r="127250" customFormat="1" x14ac:dyDescent="0.25"/>
    <row r="127251" customFormat="1" x14ac:dyDescent="0.25"/>
    <row r="127252" customFormat="1" x14ac:dyDescent="0.25"/>
    <row r="127253" customFormat="1" x14ac:dyDescent="0.25"/>
    <row r="127254" customFormat="1" x14ac:dyDescent="0.25"/>
    <row r="127255" customFormat="1" x14ac:dyDescent="0.25"/>
    <row r="127256" customFormat="1" x14ac:dyDescent="0.25"/>
    <row r="127257" customFormat="1" x14ac:dyDescent="0.25"/>
    <row r="127258" customFormat="1" x14ac:dyDescent="0.25"/>
    <row r="127259" customFormat="1" x14ac:dyDescent="0.25"/>
    <row r="127260" customFormat="1" x14ac:dyDescent="0.25"/>
    <row r="127261" customFormat="1" x14ac:dyDescent="0.25"/>
    <row r="127262" customFormat="1" x14ac:dyDescent="0.25"/>
    <row r="127263" customFormat="1" x14ac:dyDescent="0.25"/>
    <row r="127264" customFormat="1" x14ac:dyDescent="0.25"/>
    <row r="127265" customFormat="1" x14ac:dyDescent="0.25"/>
    <row r="127266" customFormat="1" x14ac:dyDescent="0.25"/>
    <row r="127267" customFormat="1" x14ac:dyDescent="0.25"/>
    <row r="127268" customFormat="1" x14ac:dyDescent="0.25"/>
    <row r="127269" customFormat="1" x14ac:dyDescent="0.25"/>
    <row r="127270" customFormat="1" x14ac:dyDescent="0.25"/>
    <row r="127271" customFormat="1" x14ac:dyDescent="0.25"/>
    <row r="127272" customFormat="1" x14ac:dyDescent="0.25"/>
    <row r="127273" customFormat="1" x14ac:dyDescent="0.25"/>
    <row r="127274" customFormat="1" x14ac:dyDescent="0.25"/>
    <row r="127275" customFormat="1" x14ac:dyDescent="0.25"/>
    <row r="127276" customFormat="1" x14ac:dyDescent="0.25"/>
    <row r="127277" customFormat="1" x14ac:dyDescent="0.25"/>
    <row r="127278" customFormat="1" x14ac:dyDescent="0.25"/>
    <row r="127279" customFormat="1" x14ac:dyDescent="0.25"/>
    <row r="127280" customFormat="1" x14ac:dyDescent="0.25"/>
    <row r="127281" customFormat="1" x14ac:dyDescent="0.25"/>
    <row r="127282" customFormat="1" x14ac:dyDescent="0.25"/>
    <row r="127283" customFormat="1" x14ac:dyDescent="0.25"/>
    <row r="127284" customFormat="1" x14ac:dyDescent="0.25"/>
    <row r="127285" customFormat="1" x14ac:dyDescent="0.25"/>
    <row r="127286" customFormat="1" x14ac:dyDescent="0.25"/>
    <row r="127287" customFormat="1" x14ac:dyDescent="0.25"/>
    <row r="127288" customFormat="1" x14ac:dyDescent="0.25"/>
    <row r="127289" customFormat="1" x14ac:dyDescent="0.25"/>
    <row r="127290" customFormat="1" x14ac:dyDescent="0.25"/>
    <row r="127291" customFormat="1" x14ac:dyDescent="0.25"/>
    <row r="127292" customFormat="1" x14ac:dyDescent="0.25"/>
    <row r="127293" customFormat="1" x14ac:dyDescent="0.25"/>
    <row r="127294" customFormat="1" x14ac:dyDescent="0.25"/>
    <row r="127295" customFormat="1" x14ac:dyDescent="0.25"/>
    <row r="127296" customFormat="1" x14ac:dyDescent="0.25"/>
    <row r="127297" customFormat="1" x14ac:dyDescent="0.25"/>
    <row r="127298" customFormat="1" x14ac:dyDescent="0.25"/>
    <row r="127299" customFormat="1" x14ac:dyDescent="0.25"/>
    <row r="127300" customFormat="1" x14ac:dyDescent="0.25"/>
    <row r="127301" customFormat="1" x14ac:dyDescent="0.25"/>
    <row r="127302" customFormat="1" x14ac:dyDescent="0.25"/>
    <row r="127303" customFormat="1" x14ac:dyDescent="0.25"/>
    <row r="127304" customFormat="1" x14ac:dyDescent="0.25"/>
    <row r="127305" customFormat="1" x14ac:dyDescent="0.25"/>
    <row r="127306" customFormat="1" x14ac:dyDescent="0.25"/>
    <row r="127307" customFormat="1" x14ac:dyDescent="0.25"/>
    <row r="127308" customFormat="1" x14ac:dyDescent="0.25"/>
    <row r="127309" customFormat="1" x14ac:dyDescent="0.25"/>
    <row r="127310" customFormat="1" x14ac:dyDescent="0.25"/>
    <row r="127311" customFormat="1" x14ac:dyDescent="0.25"/>
    <row r="127312" customFormat="1" x14ac:dyDescent="0.25"/>
    <row r="127313" customFormat="1" x14ac:dyDescent="0.25"/>
    <row r="127314" customFormat="1" x14ac:dyDescent="0.25"/>
    <row r="127315" customFormat="1" x14ac:dyDescent="0.25"/>
    <row r="127316" customFormat="1" x14ac:dyDescent="0.25"/>
    <row r="127317" customFormat="1" x14ac:dyDescent="0.25"/>
    <row r="127318" customFormat="1" x14ac:dyDescent="0.25"/>
    <row r="127319" customFormat="1" x14ac:dyDescent="0.25"/>
    <row r="127320" customFormat="1" x14ac:dyDescent="0.25"/>
    <row r="127321" customFormat="1" x14ac:dyDescent="0.25"/>
    <row r="127322" customFormat="1" x14ac:dyDescent="0.25"/>
    <row r="127323" customFormat="1" x14ac:dyDescent="0.25"/>
    <row r="127324" customFormat="1" x14ac:dyDescent="0.25"/>
    <row r="127325" customFormat="1" x14ac:dyDescent="0.25"/>
    <row r="127326" customFormat="1" x14ac:dyDescent="0.25"/>
    <row r="127327" customFormat="1" x14ac:dyDescent="0.25"/>
    <row r="127328" customFormat="1" x14ac:dyDescent="0.25"/>
    <row r="127329" customFormat="1" x14ac:dyDescent="0.25"/>
    <row r="127330" customFormat="1" x14ac:dyDescent="0.25"/>
    <row r="127331" customFormat="1" x14ac:dyDescent="0.25"/>
    <row r="127332" customFormat="1" x14ac:dyDescent="0.25"/>
    <row r="127333" customFormat="1" x14ac:dyDescent="0.25"/>
    <row r="127334" customFormat="1" x14ac:dyDescent="0.25"/>
    <row r="127335" customFormat="1" x14ac:dyDescent="0.25"/>
    <row r="127336" customFormat="1" x14ac:dyDescent="0.25"/>
    <row r="127337" customFormat="1" x14ac:dyDescent="0.25"/>
    <row r="127338" customFormat="1" x14ac:dyDescent="0.25"/>
    <row r="127339" customFormat="1" x14ac:dyDescent="0.25"/>
    <row r="127340" customFormat="1" x14ac:dyDescent="0.25"/>
    <row r="127341" customFormat="1" x14ac:dyDescent="0.25"/>
    <row r="127342" customFormat="1" x14ac:dyDescent="0.25"/>
    <row r="127343" customFormat="1" x14ac:dyDescent="0.25"/>
    <row r="127344" customFormat="1" x14ac:dyDescent="0.25"/>
    <row r="127345" customFormat="1" x14ac:dyDescent="0.25"/>
    <row r="127346" customFormat="1" x14ac:dyDescent="0.25"/>
    <row r="127347" customFormat="1" x14ac:dyDescent="0.25"/>
    <row r="127348" customFormat="1" x14ac:dyDescent="0.25"/>
    <row r="127349" customFormat="1" x14ac:dyDescent="0.25"/>
    <row r="127350" customFormat="1" x14ac:dyDescent="0.25"/>
    <row r="127351" customFormat="1" x14ac:dyDescent="0.25"/>
    <row r="127352" customFormat="1" x14ac:dyDescent="0.25"/>
    <row r="127353" customFormat="1" x14ac:dyDescent="0.25"/>
    <row r="127354" customFormat="1" x14ac:dyDescent="0.25"/>
    <row r="127355" customFormat="1" x14ac:dyDescent="0.25"/>
    <row r="127356" customFormat="1" x14ac:dyDescent="0.25"/>
    <row r="127357" customFormat="1" x14ac:dyDescent="0.25"/>
    <row r="127358" customFormat="1" x14ac:dyDescent="0.25"/>
    <row r="127359" customFormat="1" x14ac:dyDescent="0.25"/>
    <row r="127360" customFormat="1" x14ac:dyDescent="0.25"/>
    <row r="127361" customFormat="1" x14ac:dyDescent="0.25"/>
    <row r="127362" customFormat="1" x14ac:dyDescent="0.25"/>
    <row r="127363" customFormat="1" x14ac:dyDescent="0.25"/>
    <row r="127364" customFormat="1" x14ac:dyDescent="0.25"/>
    <row r="127365" customFormat="1" x14ac:dyDescent="0.25"/>
    <row r="127366" customFormat="1" x14ac:dyDescent="0.25"/>
    <row r="127367" customFormat="1" x14ac:dyDescent="0.25"/>
    <row r="127368" customFormat="1" x14ac:dyDescent="0.25"/>
    <row r="127369" customFormat="1" x14ac:dyDescent="0.25"/>
    <row r="127370" customFormat="1" x14ac:dyDescent="0.25"/>
    <row r="127371" customFormat="1" x14ac:dyDescent="0.25"/>
    <row r="127372" customFormat="1" x14ac:dyDescent="0.25"/>
    <row r="127373" customFormat="1" x14ac:dyDescent="0.25"/>
    <row r="127374" customFormat="1" x14ac:dyDescent="0.25"/>
    <row r="127375" customFormat="1" x14ac:dyDescent="0.25"/>
    <row r="127376" customFormat="1" x14ac:dyDescent="0.25"/>
    <row r="127377" customFormat="1" x14ac:dyDescent="0.25"/>
    <row r="127378" customFormat="1" x14ac:dyDescent="0.25"/>
    <row r="127379" customFormat="1" x14ac:dyDescent="0.25"/>
    <row r="127380" customFormat="1" x14ac:dyDescent="0.25"/>
    <row r="127381" customFormat="1" x14ac:dyDescent="0.25"/>
    <row r="127382" customFormat="1" x14ac:dyDescent="0.25"/>
    <row r="127383" customFormat="1" x14ac:dyDescent="0.25"/>
    <row r="127384" customFormat="1" x14ac:dyDescent="0.25"/>
    <row r="127385" customFormat="1" x14ac:dyDescent="0.25"/>
    <row r="127386" customFormat="1" x14ac:dyDescent="0.25"/>
    <row r="127387" customFormat="1" x14ac:dyDescent="0.25"/>
    <row r="127388" customFormat="1" x14ac:dyDescent="0.25"/>
    <row r="127389" customFormat="1" x14ac:dyDescent="0.25"/>
    <row r="127390" customFormat="1" x14ac:dyDescent="0.25"/>
    <row r="127391" customFormat="1" x14ac:dyDescent="0.25"/>
    <row r="127392" customFormat="1" x14ac:dyDescent="0.25"/>
    <row r="127393" customFormat="1" x14ac:dyDescent="0.25"/>
    <row r="127394" customFormat="1" x14ac:dyDescent="0.25"/>
    <row r="127395" customFormat="1" x14ac:dyDescent="0.25"/>
    <row r="127396" customFormat="1" x14ac:dyDescent="0.25"/>
    <row r="127397" customFormat="1" x14ac:dyDescent="0.25"/>
    <row r="127398" customFormat="1" x14ac:dyDescent="0.25"/>
    <row r="127399" customFormat="1" x14ac:dyDescent="0.25"/>
    <row r="127400" customFormat="1" x14ac:dyDescent="0.25"/>
    <row r="127401" customFormat="1" x14ac:dyDescent="0.25"/>
    <row r="127402" customFormat="1" x14ac:dyDescent="0.25"/>
    <row r="127403" customFormat="1" x14ac:dyDescent="0.25"/>
    <row r="127404" customFormat="1" x14ac:dyDescent="0.25"/>
    <row r="127405" customFormat="1" x14ac:dyDescent="0.25"/>
    <row r="127406" customFormat="1" x14ac:dyDescent="0.25"/>
    <row r="127407" customFormat="1" x14ac:dyDescent="0.25"/>
    <row r="127408" customFormat="1" x14ac:dyDescent="0.25"/>
    <row r="127409" customFormat="1" x14ac:dyDescent="0.25"/>
    <row r="127410" customFormat="1" x14ac:dyDescent="0.25"/>
    <row r="127411" customFormat="1" x14ac:dyDescent="0.25"/>
    <row r="127412" customFormat="1" x14ac:dyDescent="0.25"/>
    <row r="127413" customFormat="1" x14ac:dyDescent="0.25"/>
    <row r="127414" customFormat="1" x14ac:dyDescent="0.25"/>
    <row r="127415" customFormat="1" x14ac:dyDescent="0.25"/>
    <row r="127416" customFormat="1" x14ac:dyDescent="0.25"/>
    <row r="127417" customFormat="1" x14ac:dyDescent="0.25"/>
    <row r="127418" customFormat="1" x14ac:dyDescent="0.25"/>
    <row r="127419" customFormat="1" x14ac:dyDescent="0.25"/>
    <row r="127420" customFormat="1" x14ac:dyDescent="0.25"/>
    <row r="127421" customFormat="1" x14ac:dyDescent="0.25"/>
    <row r="127422" customFormat="1" x14ac:dyDescent="0.25"/>
    <row r="127423" customFormat="1" x14ac:dyDescent="0.25"/>
    <row r="127424" customFormat="1" x14ac:dyDescent="0.25"/>
    <row r="127425" customFormat="1" x14ac:dyDescent="0.25"/>
    <row r="127426" customFormat="1" x14ac:dyDescent="0.25"/>
    <row r="127427" customFormat="1" x14ac:dyDescent="0.25"/>
    <row r="127428" customFormat="1" x14ac:dyDescent="0.25"/>
    <row r="127429" customFormat="1" x14ac:dyDescent="0.25"/>
    <row r="127430" customFormat="1" x14ac:dyDescent="0.25"/>
    <row r="127431" customFormat="1" x14ac:dyDescent="0.25"/>
    <row r="127432" customFormat="1" x14ac:dyDescent="0.25"/>
    <row r="127433" customFormat="1" x14ac:dyDescent="0.25"/>
    <row r="127434" customFormat="1" x14ac:dyDescent="0.25"/>
    <row r="127435" customFormat="1" x14ac:dyDescent="0.25"/>
    <row r="127436" customFormat="1" x14ac:dyDescent="0.25"/>
    <row r="127437" customFormat="1" x14ac:dyDescent="0.25"/>
    <row r="127438" customFormat="1" x14ac:dyDescent="0.25"/>
    <row r="127439" customFormat="1" x14ac:dyDescent="0.25"/>
    <row r="127440" customFormat="1" x14ac:dyDescent="0.25"/>
    <row r="127441" customFormat="1" x14ac:dyDescent="0.25"/>
    <row r="127442" customFormat="1" x14ac:dyDescent="0.25"/>
    <row r="127443" customFormat="1" x14ac:dyDescent="0.25"/>
    <row r="127444" customFormat="1" x14ac:dyDescent="0.25"/>
    <row r="127445" customFormat="1" x14ac:dyDescent="0.25"/>
    <row r="127446" customFormat="1" x14ac:dyDescent="0.25"/>
    <row r="127447" customFormat="1" x14ac:dyDescent="0.25"/>
    <row r="127448" customFormat="1" x14ac:dyDescent="0.25"/>
    <row r="127449" customFormat="1" x14ac:dyDescent="0.25"/>
    <row r="127450" customFormat="1" x14ac:dyDescent="0.25"/>
    <row r="127451" customFormat="1" x14ac:dyDescent="0.25"/>
    <row r="127452" customFormat="1" x14ac:dyDescent="0.25"/>
    <row r="127453" customFormat="1" x14ac:dyDescent="0.25"/>
    <row r="127454" customFormat="1" x14ac:dyDescent="0.25"/>
    <row r="127455" customFormat="1" x14ac:dyDescent="0.25"/>
    <row r="127456" customFormat="1" x14ac:dyDescent="0.25"/>
    <row r="127457" customFormat="1" x14ac:dyDescent="0.25"/>
    <row r="127458" customFormat="1" x14ac:dyDescent="0.25"/>
    <row r="127459" customFormat="1" x14ac:dyDescent="0.25"/>
    <row r="127460" customFormat="1" x14ac:dyDescent="0.25"/>
    <row r="127461" customFormat="1" x14ac:dyDescent="0.25"/>
    <row r="127462" customFormat="1" x14ac:dyDescent="0.25"/>
    <row r="127463" customFormat="1" x14ac:dyDescent="0.25"/>
    <row r="127464" customFormat="1" x14ac:dyDescent="0.25"/>
    <row r="127465" customFormat="1" x14ac:dyDescent="0.25"/>
    <row r="127466" customFormat="1" x14ac:dyDescent="0.25"/>
    <row r="127467" customFormat="1" x14ac:dyDescent="0.25"/>
    <row r="127468" customFormat="1" x14ac:dyDescent="0.25"/>
    <row r="127469" customFormat="1" x14ac:dyDescent="0.25"/>
    <row r="127470" customFormat="1" x14ac:dyDescent="0.25"/>
    <row r="127471" customFormat="1" x14ac:dyDescent="0.25"/>
    <row r="127472" customFormat="1" x14ac:dyDescent="0.25"/>
    <row r="127473" customFormat="1" x14ac:dyDescent="0.25"/>
    <row r="127474" customFormat="1" x14ac:dyDescent="0.25"/>
    <row r="127475" customFormat="1" x14ac:dyDescent="0.25"/>
    <row r="127476" customFormat="1" x14ac:dyDescent="0.25"/>
    <row r="127477" customFormat="1" x14ac:dyDescent="0.25"/>
    <row r="127478" customFormat="1" x14ac:dyDescent="0.25"/>
    <row r="127479" customFormat="1" x14ac:dyDescent="0.25"/>
    <row r="127480" customFormat="1" x14ac:dyDescent="0.25"/>
    <row r="127481" customFormat="1" x14ac:dyDescent="0.25"/>
    <row r="127482" customFormat="1" x14ac:dyDescent="0.25"/>
    <row r="127483" customFormat="1" x14ac:dyDescent="0.25"/>
    <row r="127484" customFormat="1" x14ac:dyDescent="0.25"/>
    <row r="127485" customFormat="1" x14ac:dyDescent="0.25"/>
    <row r="127486" customFormat="1" x14ac:dyDescent="0.25"/>
    <row r="127487" customFormat="1" x14ac:dyDescent="0.25"/>
    <row r="127488" customFormat="1" x14ac:dyDescent="0.25"/>
    <row r="127489" customFormat="1" x14ac:dyDescent="0.25"/>
    <row r="127490" customFormat="1" x14ac:dyDescent="0.25"/>
    <row r="127491" customFormat="1" x14ac:dyDescent="0.25"/>
    <row r="127492" customFormat="1" x14ac:dyDescent="0.25"/>
    <row r="127493" customFormat="1" x14ac:dyDescent="0.25"/>
    <row r="127494" customFormat="1" x14ac:dyDescent="0.25"/>
    <row r="127495" customFormat="1" x14ac:dyDescent="0.25"/>
    <row r="127496" customFormat="1" x14ac:dyDescent="0.25"/>
    <row r="127497" customFormat="1" x14ac:dyDescent="0.25"/>
    <row r="127498" customFormat="1" x14ac:dyDescent="0.25"/>
    <row r="127499" customFormat="1" x14ac:dyDescent="0.25"/>
    <row r="127500" customFormat="1" x14ac:dyDescent="0.25"/>
    <row r="127501" customFormat="1" x14ac:dyDescent="0.25"/>
    <row r="127502" customFormat="1" x14ac:dyDescent="0.25"/>
    <row r="127503" customFormat="1" x14ac:dyDescent="0.25"/>
    <row r="127504" customFormat="1" x14ac:dyDescent="0.25"/>
    <row r="127505" customFormat="1" x14ac:dyDescent="0.25"/>
    <row r="127506" customFormat="1" x14ac:dyDescent="0.25"/>
    <row r="127507" customFormat="1" x14ac:dyDescent="0.25"/>
    <row r="127508" customFormat="1" x14ac:dyDescent="0.25"/>
    <row r="127509" customFormat="1" x14ac:dyDescent="0.25"/>
    <row r="127510" customFormat="1" x14ac:dyDescent="0.25"/>
    <row r="127511" customFormat="1" x14ac:dyDescent="0.25"/>
    <row r="127512" customFormat="1" x14ac:dyDescent="0.25"/>
    <row r="127513" customFormat="1" x14ac:dyDescent="0.25"/>
    <row r="127514" customFormat="1" x14ac:dyDescent="0.25"/>
    <row r="127515" customFormat="1" x14ac:dyDescent="0.25"/>
    <row r="127516" customFormat="1" x14ac:dyDescent="0.25"/>
    <row r="127517" customFormat="1" x14ac:dyDescent="0.25"/>
    <row r="127518" customFormat="1" x14ac:dyDescent="0.25"/>
    <row r="127519" customFormat="1" x14ac:dyDescent="0.25"/>
    <row r="127520" customFormat="1" x14ac:dyDescent="0.25"/>
    <row r="127521" customFormat="1" x14ac:dyDescent="0.25"/>
    <row r="127522" customFormat="1" x14ac:dyDescent="0.25"/>
    <row r="127523" customFormat="1" x14ac:dyDescent="0.25"/>
    <row r="127524" customFormat="1" x14ac:dyDescent="0.25"/>
    <row r="127525" customFormat="1" x14ac:dyDescent="0.25"/>
    <row r="127526" customFormat="1" x14ac:dyDescent="0.25"/>
    <row r="127527" customFormat="1" x14ac:dyDescent="0.25"/>
    <row r="127528" customFormat="1" x14ac:dyDescent="0.25"/>
    <row r="127529" customFormat="1" x14ac:dyDescent="0.25"/>
    <row r="127530" customFormat="1" x14ac:dyDescent="0.25"/>
    <row r="127531" customFormat="1" x14ac:dyDescent="0.25"/>
    <row r="127532" customFormat="1" x14ac:dyDescent="0.25"/>
    <row r="127533" customFormat="1" x14ac:dyDescent="0.25"/>
    <row r="127534" customFormat="1" x14ac:dyDescent="0.25"/>
    <row r="127535" customFormat="1" x14ac:dyDescent="0.25"/>
    <row r="127536" customFormat="1" x14ac:dyDescent="0.25"/>
    <row r="127537" customFormat="1" x14ac:dyDescent="0.25"/>
    <row r="127538" customFormat="1" x14ac:dyDescent="0.25"/>
    <row r="127539" customFormat="1" x14ac:dyDescent="0.25"/>
    <row r="127540" customFormat="1" x14ac:dyDescent="0.25"/>
    <row r="127541" customFormat="1" x14ac:dyDescent="0.25"/>
    <row r="127542" customFormat="1" x14ac:dyDescent="0.25"/>
    <row r="127543" customFormat="1" x14ac:dyDescent="0.25"/>
    <row r="127544" customFormat="1" x14ac:dyDescent="0.25"/>
    <row r="127545" customFormat="1" x14ac:dyDescent="0.25"/>
    <row r="127546" customFormat="1" x14ac:dyDescent="0.25"/>
    <row r="127547" customFormat="1" x14ac:dyDescent="0.25"/>
    <row r="127548" customFormat="1" x14ac:dyDescent="0.25"/>
    <row r="127549" customFormat="1" x14ac:dyDescent="0.25"/>
    <row r="127550" customFormat="1" x14ac:dyDescent="0.25"/>
    <row r="127551" customFormat="1" x14ac:dyDescent="0.25"/>
    <row r="127552" customFormat="1" x14ac:dyDescent="0.25"/>
    <row r="127553" customFormat="1" x14ac:dyDescent="0.25"/>
    <row r="127554" customFormat="1" x14ac:dyDescent="0.25"/>
    <row r="127555" customFormat="1" x14ac:dyDescent="0.25"/>
    <row r="127556" customFormat="1" x14ac:dyDescent="0.25"/>
    <row r="127557" customFormat="1" x14ac:dyDescent="0.25"/>
    <row r="127558" customFormat="1" x14ac:dyDescent="0.25"/>
    <row r="127559" customFormat="1" x14ac:dyDescent="0.25"/>
    <row r="127560" customFormat="1" x14ac:dyDescent="0.25"/>
    <row r="127561" customFormat="1" x14ac:dyDescent="0.25"/>
    <row r="127562" customFormat="1" x14ac:dyDescent="0.25"/>
    <row r="127563" customFormat="1" x14ac:dyDescent="0.25"/>
    <row r="127564" customFormat="1" x14ac:dyDescent="0.25"/>
    <row r="127565" customFormat="1" x14ac:dyDescent="0.25"/>
    <row r="127566" customFormat="1" x14ac:dyDescent="0.25"/>
    <row r="127567" customFormat="1" x14ac:dyDescent="0.25"/>
    <row r="127568" customFormat="1" x14ac:dyDescent="0.25"/>
    <row r="127569" customFormat="1" x14ac:dyDescent="0.25"/>
    <row r="127570" customFormat="1" x14ac:dyDescent="0.25"/>
    <row r="127571" customFormat="1" x14ac:dyDescent="0.25"/>
    <row r="127572" customFormat="1" x14ac:dyDescent="0.25"/>
    <row r="127573" customFormat="1" x14ac:dyDescent="0.25"/>
    <row r="127574" customFormat="1" x14ac:dyDescent="0.25"/>
    <row r="127575" customFormat="1" x14ac:dyDescent="0.25"/>
    <row r="127576" customFormat="1" x14ac:dyDescent="0.25"/>
    <row r="127577" customFormat="1" x14ac:dyDescent="0.25"/>
    <row r="127578" customFormat="1" x14ac:dyDescent="0.25"/>
    <row r="127579" customFormat="1" x14ac:dyDescent="0.25"/>
    <row r="127580" customFormat="1" x14ac:dyDescent="0.25"/>
    <row r="127581" customFormat="1" x14ac:dyDescent="0.25"/>
    <row r="127582" customFormat="1" x14ac:dyDescent="0.25"/>
    <row r="127583" customFormat="1" x14ac:dyDescent="0.25"/>
    <row r="127584" customFormat="1" x14ac:dyDescent="0.25"/>
    <row r="127585" customFormat="1" x14ac:dyDescent="0.25"/>
    <row r="127586" customFormat="1" x14ac:dyDescent="0.25"/>
    <row r="127587" customFormat="1" x14ac:dyDescent="0.25"/>
    <row r="127588" customFormat="1" x14ac:dyDescent="0.25"/>
    <row r="127589" customFormat="1" x14ac:dyDescent="0.25"/>
    <row r="127590" customFormat="1" x14ac:dyDescent="0.25"/>
    <row r="127591" customFormat="1" x14ac:dyDescent="0.25"/>
    <row r="127592" customFormat="1" x14ac:dyDescent="0.25"/>
    <row r="127593" customFormat="1" x14ac:dyDescent="0.25"/>
    <row r="127594" customFormat="1" x14ac:dyDescent="0.25"/>
    <row r="127595" customFormat="1" x14ac:dyDescent="0.25"/>
    <row r="127596" customFormat="1" x14ac:dyDescent="0.25"/>
    <row r="127597" customFormat="1" x14ac:dyDescent="0.25"/>
    <row r="127598" customFormat="1" x14ac:dyDescent="0.25"/>
    <row r="127599" customFormat="1" x14ac:dyDescent="0.25"/>
    <row r="127600" customFormat="1" x14ac:dyDescent="0.25"/>
    <row r="127601" customFormat="1" x14ac:dyDescent="0.25"/>
    <row r="127602" customFormat="1" x14ac:dyDescent="0.25"/>
    <row r="127603" customFormat="1" x14ac:dyDescent="0.25"/>
    <row r="127604" customFormat="1" x14ac:dyDescent="0.25"/>
    <row r="127605" customFormat="1" x14ac:dyDescent="0.25"/>
    <row r="127606" customFormat="1" x14ac:dyDescent="0.25"/>
    <row r="127607" customFormat="1" x14ac:dyDescent="0.25"/>
    <row r="127608" customFormat="1" x14ac:dyDescent="0.25"/>
    <row r="127609" customFormat="1" x14ac:dyDescent="0.25"/>
    <row r="127610" customFormat="1" x14ac:dyDescent="0.25"/>
    <row r="127611" customFormat="1" x14ac:dyDescent="0.25"/>
    <row r="127612" customFormat="1" x14ac:dyDescent="0.25"/>
    <row r="127613" customFormat="1" x14ac:dyDescent="0.25"/>
    <row r="127614" customFormat="1" x14ac:dyDescent="0.25"/>
    <row r="127615" customFormat="1" x14ac:dyDescent="0.25"/>
    <row r="127616" customFormat="1" x14ac:dyDescent="0.25"/>
    <row r="127617" customFormat="1" x14ac:dyDescent="0.25"/>
    <row r="127618" customFormat="1" x14ac:dyDescent="0.25"/>
    <row r="127619" customFormat="1" x14ac:dyDescent="0.25"/>
    <row r="127620" customFormat="1" x14ac:dyDescent="0.25"/>
    <row r="127621" customFormat="1" x14ac:dyDescent="0.25"/>
    <row r="127622" customFormat="1" x14ac:dyDescent="0.25"/>
    <row r="127623" customFormat="1" x14ac:dyDescent="0.25"/>
    <row r="127624" customFormat="1" x14ac:dyDescent="0.25"/>
    <row r="127625" customFormat="1" x14ac:dyDescent="0.25"/>
    <row r="127626" customFormat="1" x14ac:dyDescent="0.25"/>
    <row r="127627" customFormat="1" x14ac:dyDescent="0.25"/>
    <row r="127628" customFormat="1" x14ac:dyDescent="0.25"/>
    <row r="127629" customFormat="1" x14ac:dyDescent="0.25"/>
    <row r="127630" customFormat="1" x14ac:dyDescent="0.25"/>
    <row r="127631" customFormat="1" x14ac:dyDescent="0.25"/>
    <row r="127632" customFormat="1" x14ac:dyDescent="0.25"/>
    <row r="127633" customFormat="1" x14ac:dyDescent="0.25"/>
    <row r="127634" customFormat="1" x14ac:dyDescent="0.25"/>
    <row r="127635" customFormat="1" x14ac:dyDescent="0.25"/>
    <row r="127636" customFormat="1" x14ac:dyDescent="0.25"/>
    <row r="127637" customFormat="1" x14ac:dyDescent="0.25"/>
    <row r="127638" customFormat="1" x14ac:dyDescent="0.25"/>
    <row r="127639" customFormat="1" x14ac:dyDescent="0.25"/>
    <row r="127640" customFormat="1" x14ac:dyDescent="0.25"/>
    <row r="127641" customFormat="1" x14ac:dyDescent="0.25"/>
    <row r="127642" customFormat="1" x14ac:dyDescent="0.25"/>
    <row r="127643" customFormat="1" x14ac:dyDescent="0.25"/>
    <row r="127644" customFormat="1" x14ac:dyDescent="0.25"/>
    <row r="127645" customFormat="1" x14ac:dyDescent="0.25"/>
    <row r="127646" customFormat="1" x14ac:dyDescent="0.25"/>
    <row r="127647" customFormat="1" x14ac:dyDescent="0.25"/>
    <row r="127648" customFormat="1" x14ac:dyDescent="0.25"/>
    <row r="127649" customFormat="1" x14ac:dyDescent="0.25"/>
    <row r="127650" customFormat="1" x14ac:dyDescent="0.25"/>
    <row r="127651" customFormat="1" x14ac:dyDescent="0.25"/>
    <row r="127652" customFormat="1" x14ac:dyDescent="0.25"/>
    <row r="127653" customFormat="1" x14ac:dyDescent="0.25"/>
    <row r="127654" customFormat="1" x14ac:dyDescent="0.25"/>
    <row r="127655" customFormat="1" x14ac:dyDescent="0.25"/>
    <row r="127656" customFormat="1" x14ac:dyDescent="0.25"/>
    <row r="127657" customFormat="1" x14ac:dyDescent="0.25"/>
    <row r="127658" customFormat="1" x14ac:dyDescent="0.25"/>
    <row r="127659" customFormat="1" x14ac:dyDescent="0.25"/>
    <row r="127660" customFormat="1" x14ac:dyDescent="0.25"/>
    <row r="127661" customFormat="1" x14ac:dyDescent="0.25"/>
    <row r="127662" customFormat="1" x14ac:dyDescent="0.25"/>
    <row r="127663" customFormat="1" x14ac:dyDescent="0.25"/>
    <row r="127664" customFormat="1" x14ac:dyDescent="0.25"/>
    <row r="127665" customFormat="1" x14ac:dyDescent="0.25"/>
    <row r="127666" customFormat="1" x14ac:dyDescent="0.25"/>
    <row r="127667" customFormat="1" x14ac:dyDescent="0.25"/>
    <row r="127668" customFormat="1" x14ac:dyDescent="0.25"/>
    <row r="127669" customFormat="1" x14ac:dyDescent="0.25"/>
    <row r="127670" customFormat="1" x14ac:dyDescent="0.25"/>
    <row r="127671" customFormat="1" x14ac:dyDescent="0.25"/>
    <row r="127672" customFormat="1" x14ac:dyDescent="0.25"/>
    <row r="127673" customFormat="1" x14ac:dyDescent="0.25"/>
    <row r="127674" customFormat="1" x14ac:dyDescent="0.25"/>
    <row r="127675" customFormat="1" x14ac:dyDescent="0.25"/>
    <row r="127676" customFormat="1" x14ac:dyDescent="0.25"/>
    <row r="127677" customFormat="1" x14ac:dyDescent="0.25"/>
    <row r="127678" customFormat="1" x14ac:dyDescent="0.25"/>
    <row r="127679" customFormat="1" x14ac:dyDescent="0.25"/>
    <row r="127680" customFormat="1" x14ac:dyDescent="0.25"/>
    <row r="127681" customFormat="1" x14ac:dyDescent="0.25"/>
    <row r="127682" customFormat="1" x14ac:dyDescent="0.25"/>
    <row r="127683" customFormat="1" x14ac:dyDescent="0.25"/>
    <row r="127684" customFormat="1" x14ac:dyDescent="0.25"/>
    <row r="127685" customFormat="1" x14ac:dyDescent="0.25"/>
    <row r="127686" customFormat="1" x14ac:dyDescent="0.25"/>
    <row r="127687" customFormat="1" x14ac:dyDescent="0.25"/>
    <row r="127688" customFormat="1" x14ac:dyDescent="0.25"/>
    <row r="127689" customFormat="1" x14ac:dyDescent="0.25"/>
    <row r="127690" customFormat="1" x14ac:dyDescent="0.25"/>
    <row r="127691" customFormat="1" x14ac:dyDescent="0.25"/>
    <row r="127692" customFormat="1" x14ac:dyDescent="0.25"/>
    <row r="127693" customFormat="1" x14ac:dyDescent="0.25"/>
    <row r="127694" customFormat="1" x14ac:dyDescent="0.25"/>
    <row r="127695" customFormat="1" x14ac:dyDescent="0.25"/>
    <row r="127696" customFormat="1" x14ac:dyDescent="0.25"/>
    <row r="127697" customFormat="1" x14ac:dyDescent="0.25"/>
    <row r="127698" customFormat="1" x14ac:dyDescent="0.25"/>
    <row r="127699" customFormat="1" x14ac:dyDescent="0.25"/>
    <row r="127700" customFormat="1" x14ac:dyDescent="0.25"/>
    <row r="127701" customFormat="1" x14ac:dyDescent="0.25"/>
    <row r="127702" customFormat="1" x14ac:dyDescent="0.25"/>
    <row r="127703" customFormat="1" x14ac:dyDescent="0.25"/>
    <row r="127704" customFormat="1" x14ac:dyDescent="0.25"/>
    <row r="127705" customFormat="1" x14ac:dyDescent="0.25"/>
    <row r="127706" customFormat="1" x14ac:dyDescent="0.25"/>
    <row r="127707" customFormat="1" x14ac:dyDescent="0.25"/>
    <row r="127708" customFormat="1" x14ac:dyDescent="0.25"/>
    <row r="127709" customFormat="1" x14ac:dyDescent="0.25"/>
    <row r="127710" customFormat="1" x14ac:dyDescent="0.25"/>
    <row r="127711" customFormat="1" x14ac:dyDescent="0.25"/>
    <row r="127712" customFormat="1" x14ac:dyDescent="0.25"/>
    <row r="127713" customFormat="1" x14ac:dyDescent="0.25"/>
    <row r="127714" customFormat="1" x14ac:dyDescent="0.25"/>
    <row r="127715" customFormat="1" x14ac:dyDescent="0.25"/>
    <row r="127716" customFormat="1" x14ac:dyDescent="0.25"/>
    <row r="127717" customFormat="1" x14ac:dyDescent="0.25"/>
    <row r="127718" customFormat="1" x14ac:dyDescent="0.25"/>
    <row r="127719" customFormat="1" x14ac:dyDescent="0.25"/>
    <row r="127720" customFormat="1" x14ac:dyDescent="0.25"/>
    <row r="127721" customFormat="1" x14ac:dyDescent="0.25"/>
    <row r="127722" customFormat="1" x14ac:dyDescent="0.25"/>
    <row r="127723" customFormat="1" x14ac:dyDescent="0.25"/>
    <row r="127724" customFormat="1" x14ac:dyDescent="0.25"/>
    <row r="127725" customFormat="1" x14ac:dyDescent="0.25"/>
    <row r="127726" customFormat="1" x14ac:dyDescent="0.25"/>
    <row r="127727" customFormat="1" x14ac:dyDescent="0.25"/>
    <row r="127728" customFormat="1" x14ac:dyDescent="0.25"/>
    <row r="127729" customFormat="1" x14ac:dyDescent="0.25"/>
    <row r="127730" customFormat="1" x14ac:dyDescent="0.25"/>
    <row r="127731" customFormat="1" x14ac:dyDescent="0.25"/>
    <row r="127732" customFormat="1" x14ac:dyDescent="0.25"/>
    <row r="127733" customFormat="1" x14ac:dyDescent="0.25"/>
    <row r="127734" customFormat="1" x14ac:dyDescent="0.25"/>
    <row r="127735" customFormat="1" x14ac:dyDescent="0.25"/>
    <row r="127736" customFormat="1" x14ac:dyDescent="0.25"/>
    <row r="127737" customFormat="1" x14ac:dyDescent="0.25"/>
    <row r="127738" customFormat="1" x14ac:dyDescent="0.25"/>
    <row r="127739" customFormat="1" x14ac:dyDescent="0.25"/>
    <row r="127740" customFormat="1" x14ac:dyDescent="0.25"/>
    <row r="127741" customFormat="1" x14ac:dyDescent="0.25"/>
    <row r="127742" customFormat="1" x14ac:dyDescent="0.25"/>
    <row r="127743" customFormat="1" x14ac:dyDescent="0.25"/>
    <row r="127744" customFormat="1" x14ac:dyDescent="0.25"/>
    <row r="127745" customFormat="1" x14ac:dyDescent="0.25"/>
    <row r="127746" customFormat="1" x14ac:dyDescent="0.25"/>
    <row r="127747" customFormat="1" x14ac:dyDescent="0.25"/>
    <row r="127748" customFormat="1" x14ac:dyDescent="0.25"/>
    <row r="127749" customFormat="1" x14ac:dyDescent="0.25"/>
    <row r="127750" customFormat="1" x14ac:dyDescent="0.25"/>
    <row r="127751" customFormat="1" x14ac:dyDescent="0.25"/>
    <row r="127752" customFormat="1" x14ac:dyDescent="0.25"/>
    <row r="127753" customFormat="1" x14ac:dyDescent="0.25"/>
    <row r="127754" customFormat="1" x14ac:dyDescent="0.25"/>
    <row r="127755" customFormat="1" x14ac:dyDescent="0.25"/>
    <row r="127756" customFormat="1" x14ac:dyDescent="0.25"/>
    <row r="127757" customFormat="1" x14ac:dyDescent="0.25"/>
    <row r="127758" customFormat="1" x14ac:dyDescent="0.25"/>
    <row r="127759" customFormat="1" x14ac:dyDescent="0.25"/>
    <row r="127760" customFormat="1" x14ac:dyDescent="0.25"/>
    <row r="127761" customFormat="1" x14ac:dyDescent="0.25"/>
    <row r="127762" customFormat="1" x14ac:dyDescent="0.25"/>
    <row r="127763" customFormat="1" x14ac:dyDescent="0.25"/>
    <row r="127764" customFormat="1" x14ac:dyDescent="0.25"/>
    <row r="127765" customFormat="1" x14ac:dyDescent="0.25"/>
    <row r="127766" customFormat="1" x14ac:dyDescent="0.25"/>
    <row r="127767" customFormat="1" x14ac:dyDescent="0.25"/>
    <row r="127768" customFormat="1" x14ac:dyDescent="0.25"/>
    <row r="127769" customFormat="1" x14ac:dyDescent="0.25"/>
    <row r="127770" customFormat="1" x14ac:dyDescent="0.25"/>
    <row r="127771" customFormat="1" x14ac:dyDescent="0.25"/>
    <row r="127772" customFormat="1" x14ac:dyDescent="0.25"/>
    <row r="127773" customFormat="1" x14ac:dyDescent="0.25"/>
    <row r="127774" customFormat="1" x14ac:dyDescent="0.25"/>
    <row r="127775" customFormat="1" x14ac:dyDescent="0.25"/>
    <row r="127776" customFormat="1" x14ac:dyDescent="0.25"/>
    <row r="127777" customFormat="1" x14ac:dyDescent="0.25"/>
    <row r="127778" customFormat="1" x14ac:dyDescent="0.25"/>
    <row r="127779" customFormat="1" x14ac:dyDescent="0.25"/>
    <row r="127780" customFormat="1" x14ac:dyDescent="0.25"/>
    <row r="127781" customFormat="1" x14ac:dyDescent="0.25"/>
    <row r="127782" customFormat="1" x14ac:dyDescent="0.25"/>
    <row r="127783" customFormat="1" x14ac:dyDescent="0.25"/>
    <row r="127784" customFormat="1" x14ac:dyDescent="0.25"/>
    <row r="127785" customFormat="1" x14ac:dyDescent="0.25"/>
    <row r="127786" customFormat="1" x14ac:dyDescent="0.25"/>
    <row r="127787" customFormat="1" x14ac:dyDescent="0.25"/>
    <row r="127788" customFormat="1" x14ac:dyDescent="0.25"/>
    <row r="127789" customFormat="1" x14ac:dyDescent="0.25"/>
    <row r="127790" customFormat="1" x14ac:dyDescent="0.25"/>
    <row r="127791" customFormat="1" x14ac:dyDescent="0.25"/>
    <row r="127792" customFormat="1" x14ac:dyDescent="0.25"/>
    <row r="127793" customFormat="1" x14ac:dyDescent="0.25"/>
    <row r="127794" customFormat="1" x14ac:dyDescent="0.25"/>
    <row r="127795" customFormat="1" x14ac:dyDescent="0.25"/>
    <row r="127796" customFormat="1" x14ac:dyDescent="0.25"/>
    <row r="127797" customFormat="1" x14ac:dyDescent="0.25"/>
    <row r="127798" customFormat="1" x14ac:dyDescent="0.25"/>
    <row r="127799" customFormat="1" x14ac:dyDescent="0.25"/>
    <row r="127800" customFormat="1" x14ac:dyDescent="0.25"/>
    <row r="127801" customFormat="1" x14ac:dyDescent="0.25"/>
    <row r="127802" customFormat="1" x14ac:dyDescent="0.25"/>
    <row r="127803" customFormat="1" x14ac:dyDescent="0.25"/>
    <row r="127804" customFormat="1" x14ac:dyDescent="0.25"/>
    <row r="127805" customFormat="1" x14ac:dyDescent="0.25"/>
    <row r="127806" customFormat="1" x14ac:dyDescent="0.25"/>
    <row r="127807" customFormat="1" x14ac:dyDescent="0.25"/>
    <row r="127808" customFormat="1" x14ac:dyDescent="0.25"/>
    <row r="127809" customFormat="1" x14ac:dyDescent="0.25"/>
    <row r="127810" customFormat="1" x14ac:dyDescent="0.25"/>
    <row r="127811" customFormat="1" x14ac:dyDescent="0.25"/>
    <row r="127812" customFormat="1" x14ac:dyDescent="0.25"/>
    <row r="127813" customFormat="1" x14ac:dyDescent="0.25"/>
    <row r="127814" customFormat="1" x14ac:dyDescent="0.25"/>
    <row r="127815" customFormat="1" x14ac:dyDescent="0.25"/>
    <row r="127816" customFormat="1" x14ac:dyDescent="0.25"/>
    <row r="127817" customFormat="1" x14ac:dyDescent="0.25"/>
    <row r="127818" customFormat="1" x14ac:dyDescent="0.25"/>
    <row r="127819" customFormat="1" x14ac:dyDescent="0.25"/>
    <row r="127820" customFormat="1" x14ac:dyDescent="0.25"/>
    <row r="127821" customFormat="1" x14ac:dyDescent="0.25"/>
    <row r="127822" customFormat="1" x14ac:dyDescent="0.25"/>
    <row r="127823" customFormat="1" x14ac:dyDescent="0.25"/>
    <row r="127824" customFormat="1" x14ac:dyDescent="0.25"/>
    <row r="127825" customFormat="1" x14ac:dyDescent="0.25"/>
    <row r="127826" customFormat="1" x14ac:dyDescent="0.25"/>
    <row r="127827" customFormat="1" x14ac:dyDescent="0.25"/>
    <row r="127828" customFormat="1" x14ac:dyDescent="0.25"/>
    <row r="127829" customFormat="1" x14ac:dyDescent="0.25"/>
    <row r="127830" customFormat="1" x14ac:dyDescent="0.25"/>
    <row r="127831" customFormat="1" x14ac:dyDescent="0.25"/>
    <row r="127832" customFormat="1" x14ac:dyDescent="0.25"/>
    <row r="127833" customFormat="1" x14ac:dyDescent="0.25"/>
    <row r="127834" customFormat="1" x14ac:dyDescent="0.25"/>
    <row r="127835" customFormat="1" x14ac:dyDescent="0.25"/>
    <row r="127836" customFormat="1" x14ac:dyDescent="0.25"/>
    <row r="127837" customFormat="1" x14ac:dyDescent="0.25"/>
    <row r="127838" customFormat="1" x14ac:dyDescent="0.25"/>
    <row r="127839" customFormat="1" x14ac:dyDescent="0.25"/>
    <row r="127840" customFormat="1" x14ac:dyDescent="0.25"/>
    <row r="127841" customFormat="1" x14ac:dyDescent="0.25"/>
    <row r="127842" customFormat="1" x14ac:dyDescent="0.25"/>
    <row r="127843" customFormat="1" x14ac:dyDescent="0.25"/>
    <row r="127844" customFormat="1" x14ac:dyDescent="0.25"/>
    <row r="127845" customFormat="1" x14ac:dyDescent="0.25"/>
    <row r="127846" customFormat="1" x14ac:dyDescent="0.25"/>
    <row r="127847" customFormat="1" x14ac:dyDescent="0.25"/>
    <row r="127848" customFormat="1" x14ac:dyDescent="0.25"/>
    <row r="127849" customFormat="1" x14ac:dyDescent="0.25"/>
    <row r="127850" customFormat="1" x14ac:dyDescent="0.25"/>
    <row r="127851" customFormat="1" x14ac:dyDescent="0.25"/>
    <row r="127852" customFormat="1" x14ac:dyDescent="0.25"/>
    <row r="127853" customFormat="1" x14ac:dyDescent="0.25"/>
    <row r="127854" customFormat="1" x14ac:dyDescent="0.25"/>
    <row r="127855" customFormat="1" x14ac:dyDescent="0.25"/>
    <row r="127856" customFormat="1" x14ac:dyDescent="0.25"/>
    <row r="127857" customFormat="1" x14ac:dyDescent="0.25"/>
    <row r="127858" customFormat="1" x14ac:dyDescent="0.25"/>
    <row r="127859" customFormat="1" x14ac:dyDescent="0.25"/>
    <row r="127860" customFormat="1" x14ac:dyDescent="0.25"/>
    <row r="127861" customFormat="1" x14ac:dyDescent="0.25"/>
    <row r="127862" customFormat="1" x14ac:dyDescent="0.25"/>
    <row r="127863" customFormat="1" x14ac:dyDescent="0.25"/>
    <row r="127864" customFormat="1" x14ac:dyDescent="0.25"/>
    <row r="127865" customFormat="1" x14ac:dyDescent="0.25"/>
    <row r="127866" customFormat="1" x14ac:dyDescent="0.25"/>
    <row r="127867" customFormat="1" x14ac:dyDescent="0.25"/>
    <row r="127868" customFormat="1" x14ac:dyDescent="0.25"/>
    <row r="127869" customFormat="1" x14ac:dyDescent="0.25"/>
    <row r="127870" customFormat="1" x14ac:dyDescent="0.25"/>
    <row r="127871" customFormat="1" x14ac:dyDescent="0.25"/>
    <row r="127872" customFormat="1" x14ac:dyDescent="0.25"/>
    <row r="127873" customFormat="1" x14ac:dyDescent="0.25"/>
    <row r="127874" customFormat="1" x14ac:dyDescent="0.25"/>
    <row r="127875" customFormat="1" x14ac:dyDescent="0.25"/>
    <row r="127876" customFormat="1" x14ac:dyDescent="0.25"/>
    <row r="127877" customFormat="1" x14ac:dyDescent="0.25"/>
    <row r="127878" customFormat="1" x14ac:dyDescent="0.25"/>
    <row r="127879" customFormat="1" x14ac:dyDescent="0.25"/>
    <row r="127880" customFormat="1" x14ac:dyDescent="0.25"/>
    <row r="127881" customFormat="1" x14ac:dyDescent="0.25"/>
    <row r="127882" customFormat="1" x14ac:dyDescent="0.25"/>
    <row r="127883" customFormat="1" x14ac:dyDescent="0.25"/>
    <row r="127884" customFormat="1" x14ac:dyDescent="0.25"/>
    <row r="127885" customFormat="1" x14ac:dyDescent="0.25"/>
    <row r="127886" customFormat="1" x14ac:dyDescent="0.25"/>
    <row r="127887" customFormat="1" x14ac:dyDescent="0.25"/>
    <row r="127888" customFormat="1" x14ac:dyDescent="0.25"/>
    <row r="127889" customFormat="1" x14ac:dyDescent="0.25"/>
    <row r="127890" customFormat="1" x14ac:dyDescent="0.25"/>
    <row r="127891" customFormat="1" x14ac:dyDescent="0.25"/>
    <row r="127892" customFormat="1" x14ac:dyDescent="0.25"/>
    <row r="127893" customFormat="1" x14ac:dyDescent="0.25"/>
    <row r="127894" customFormat="1" x14ac:dyDescent="0.25"/>
    <row r="127895" customFormat="1" x14ac:dyDescent="0.25"/>
    <row r="127896" customFormat="1" x14ac:dyDescent="0.25"/>
    <row r="127897" customFormat="1" x14ac:dyDescent="0.25"/>
    <row r="127898" customFormat="1" x14ac:dyDescent="0.25"/>
    <row r="127899" customFormat="1" x14ac:dyDescent="0.25"/>
    <row r="127900" customFormat="1" x14ac:dyDescent="0.25"/>
    <row r="127901" customFormat="1" x14ac:dyDescent="0.25"/>
    <row r="127902" customFormat="1" x14ac:dyDescent="0.25"/>
    <row r="127903" customFormat="1" x14ac:dyDescent="0.25"/>
    <row r="127904" customFormat="1" x14ac:dyDescent="0.25"/>
    <row r="127905" customFormat="1" x14ac:dyDescent="0.25"/>
    <row r="127906" customFormat="1" x14ac:dyDescent="0.25"/>
    <row r="127907" customFormat="1" x14ac:dyDescent="0.25"/>
    <row r="127908" customFormat="1" x14ac:dyDescent="0.25"/>
    <row r="127909" customFormat="1" x14ac:dyDescent="0.25"/>
    <row r="127910" customFormat="1" x14ac:dyDescent="0.25"/>
    <row r="127911" customFormat="1" x14ac:dyDescent="0.25"/>
    <row r="127912" customFormat="1" x14ac:dyDescent="0.25"/>
    <row r="127913" customFormat="1" x14ac:dyDescent="0.25"/>
    <row r="127914" customFormat="1" x14ac:dyDescent="0.25"/>
    <row r="127915" customFormat="1" x14ac:dyDescent="0.25"/>
    <row r="127916" customFormat="1" x14ac:dyDescent="0.25"/>
    <row r="127917" customFormat="1" x14ac:dyDescent="0.25"/>
    <row r="127918" customFormat="1" x14ac:dyDescent="0.25"/>
    <row r="127919" customFormat="1" x14ac:dyDescent="0.25"/>
    <row r="127920" customFormat="1" x14ac:dyDescent="0.25"/>
    <row r="127921" customFormat="1" x14ac:dyDescent="0.25"/>
    <row r="127922" customFormat="1" x14ac:dyDescent="0.25"/>
    <row r="127923" customFormat="1" x14ac:dyDescent="0.25"/>
    <row r="127924" customFormat="1" x14ac:dyDescent="0.25"/>
    <row r="127925" customFormat="1" x14ac:dyDescent="0.25"/>
    <row r="127926" customFormat="1" x14ac:dyDescent="0.25"/>
    <row r="127927" customFormat="1" x14ac:dyDescent="0.25"/>
    <row r="127928" customFormat="1" x14ac:dyDescent="0.25"/>
    <row r="127929" customFormat="1" x14ac:dyDescent="0.25"/>
    <row r="127930" customFormat="1" x14ac:dyDescent="0.25"/>
    <row r="127931" customFormat="1" x14ac:dyDescent="0.25"/>
    <row r="127932" customFormat="1" x14ac:dyDescent="0.25"/>
    <row r="127933" customFormat="1" x14ac:dyDescent="0.25"/>
    <row r="127934" customFormat="1" x14ac:dyDescent="0.25"/>
    <row r="127935" customFormat="1" x14ac:dyDescent="0.25"/>
    <row r="127936" customFormat="1" x14ac:dyDescent="0.25"/>
    <row r="127937" customFormat="1" x14ac:dyDescent="0.25"/>
    <row r="127938" customFormat="1" x14ac:dyDescent="0.25"/>
    <row r="127939" customFormat="1" x14ac:dyDescent="0.25"/>
    <row r="127940" customFormat="1" x14ac:dyDescent="0.25"/>
    <row r="127941" customFormat="1" x14ac:dyDescent="0.25"/>
    <row r="127942" customFormat="1" x14ac:dyDescent="0.25"/>
    <row r="127943" customFormat="1" x14ac:dyDescent="0.25"/>
    <row r="127944" customFormat="1" x14ac:dyDescent="0.25"/>
    <row r="127945" customFormat="1" x14ac:dyDescent="0.25"/>
    <row r="127946" customFormat="1" x14ac:dyDescent="0.25"/>
    <row r="127947" customFormat="1" x14ac:dyDescent="0.25"/>
    <row r="127948" customFormat="1" x14ac:dyDescent="0.25"/>
    <row r="127949" customFormat="1" x14ac:dyDescent="0.25"/>
    <row r="127950" customFormat="1" x14ac:dyDescent="0.25"/>
    <row r="127951" customFormat="1" x14ac:dyDescent="0.25"/>
    <row r="127952" customFormat="1" x14ac:dyDescent="0.25"/>
    <row r="127953" customFormat="1" x14ac:dyDescent="0.25"/>
    <row r="127954" customFormat="1" x14ac:dyDescent="0.25"/>
    <row r="127955" customFormat="1" x14ac:dyDescent="0.25"/>
    <row r="127956" customFormat="1" x14ac:dyDescent="0.25"/>
    <row r="127957" customFormat="1" x14ac:dyDescent="0.25"/>
    <row r="127958" customFormat="1" x14ac:dyDescent="0.25"/>
    <row r="127959" customFormat="1" x14ac:dyDescent="0.25"/>
    <row r="127960" customFormat="1" x14ac:dyDescent="0.25"/>
    <row r="127961" customFormat="1" x14ac:dyDescent="0.25"/>
    <row r="127962" customFormat="1" x14ac:dyDescent="0.25"/>
    <row r="127963" customFormat="1" x14ac:dyDescent="0.25"/>
    <row r="127964" customFormat="1" x14ac:dyDescent="0.25"/>
    <row r="127965" customFormat="1" x14ac:dyDescent="0.25"/>
    <row r="127966" customFormat="1" x14ac:dyDescent="0.25"/>
    <row r="127967" customFormat="1" x14ac:dyDescent="0.25"/>
    <row r="127968" customFormat="1" x14ac:dyDescent="0.25"/>
    <row r="127969" customFormat="1" x14ac:dyDescent="0.25"/>
    <row r="127970" customFormat="1" x14ac:dyDescent="0.25"/>
    <row r="127971" customFormat="1" x14ac:dyDescent="0.25"/>
    <row r="127972" customFormat="1" x14ac:dyDescent="0.25"/>
    <row r="127973" customFormat="1" x14ac:dyDescent="0.25"/>
    <row r="127974" customFormat="1" x14ac:dyDescent="0.25"/>
    <row r="127975" customFormat="1" x14ac:dyDescent="0.25"/>
    <row r="127976" customFormat="1" x14ac:dyDescent="0.25"/>
    <row r="127977" customFormat="1" x14ac:dyDescent="0.25"/>
    <row r="127978" customFormat="1" x14ac:dyDescent="0.25"/>
    <row r="127979" customFormat="1" x14ac:dyDescent="0.25"/>
    <row r="127980" customFormat="1" x14ac:dyDescent="0.25"/>
    <row r="127981" customFormat="1" x14ac:dyDescent="0.25"/>
    <row r="127982" customFormat="1" x14ac:dyDescent="0.25"/>
    <row r="127983" customFormat="1" x14ac:dyDescent="0.25"/>
    <row r="127984" customFormat="1" x14ac:dyDescent="0.25"/>
    <row r="127985" customFormat="1" x14ac:dyDescent="0.25"/>
    <row r="127986" customFormat="1" x14ac:dyDescent="0.25"/>
    <row r="127987" customFormat="1" x14ac:dyDescent="0.25"/>
    <row r="127988" customFormat="1" x14ac:dyDescent="0.25"/>
    <row r="127989" customFormat="1" x14ac:dyDescent="0.25"/>
    <row r="127990" customFormat="1" x14ac:dyDescent="0.25"/>
    <row r="127991" customFormat="1" x14ac:dyDescent="0.25"/>
    <row r="127992" customFormat="1" x14ac:dyDescent="0.25"/>
    <row r="127993" customFormat="1" x14ac:dyDescent="0.25"/>
    <row r="127994" customFormat="1" x14ac:dyDescent="0.25"/>
    <row r="127995" customFormat="1" x14ac:dyDescent="0.25"/>
    <row r="127996" customFormat="1" x14ac:dyDescent="0.25"/>
    <row r="127997" customFormat="1" x14ac:dyDescent="0.25"/>
    <row r="127998" customFormat="1" x14ac:dyDescent="0.25"/>
    <row r="127999" customFormat="1" x14ac:dyDescent="0.25"/>
    <row r="128000" customFormat="1" x14ac:dyDescent="0.25"/>
    <row r="128001" customFormat="1" x14ac:dyDescent="0.25"/>
    <row r="128002" customFormat="1" x14ac:dyDescent="0.25"/>
    <row r="128003" customFormat="1" x14ac:dyDescent="0.25"/>
    <row r="128004" customFormat="1" x14ac:dyDescent="0.25"/>
    <row r="128005" customFormat="1" x14ac:dyDescent="0.25"/>
    <row r="128006" customFormat="1" x14ac:dyDescent="0.25"/>
    <row r="128007" customFormat="1" x14ac:dyDescent="0.25"/>
    <row r="128008" customFormat="1" x14ac:dyDescent="0.25"/>
    <row r="128009" customFormat="1" x14ac:dyDescent="0.25"/>
    <row r="128010" customFormat="1" x14ac:dyDescent="0.25"/>
    <row r="128011" customFormat="1" x14ac:dyDescent="0.25"/>
    <row r="128012" customFormat="1" x14ac:dyDescent="0.25"/>
    <row r="128013" customFormat="1" x14ac:dyDescent="0.25"/>
    <row r="128014" customFormat="1" x14ac:dyDescent="0.25"/>
    <row r="128015" customFormat="1" x14ac:dyDescent="0.25"/>
    <row r="128016" customFormat="1" x14ac:dyDescent="0.25"/>
    <row r="128017" customFormat="1" x14ac:dyDescent="0.25"/>
    <row r="128018" customFormat="1" x14ac:dyDescent="0.25"/>
    <row r="128019" customFormat="1" x14ac:dyDescent="0.25"/>
    <row r="128020" customFormat="1" x14ac:dyDescent="0.25"/>
    <row r="128021" customFormat="1" x14ac:dyDescent="0.25"/>
    <row r="128022" customFormat="1" x14ac:dyDescent="0.25"/>
    <row r="128023" customFormat="1" x14ac:dyDescent="0.25"/>
    <row r="128024" customFormat="1" x14ac:dyDescent="0.25"/>
    <row r="128025" customFormat="1" x14ac:dyDescent="0.25"/>
    <row r="128026" customFormat="1" x14ac:dyDescent="0.25"/>
    <row r="128027" customFormat="1" x14ac:dyDescent="0.25"/>
    <row r="128028" customFormat="1" x14ac:dyDescent="0.25"/>
    <row r="128029" customFormat="1" x14ac:dyDescent="0.25"/>
    <row r="128030" customFormat="1" x14ac:dyDescent="0.25"/>
    <row r="128031" customFormat="1" x14ac:dyDescent="0.25"/>
    <row r="128032" customFormat="1" x14ac:dyDescent="0.25"/>
    <row r="128033" customFormat="1" x14ac:dyDescent="0.25"/>
    <row r="128034" customFormat="1" x14ac:dyDescent="0.25"/>
    <row r="128035" customFormat="1" x14ac:dyDescent="0.25"/>
    <row r="128036" customFormat="1" x14ac:dyDescent="0.25"/>
    <row r="128037" customFormat="1" x14ac:dyDescent="0.25"/>
    <row r="128038" customFormat="1" x14ac:dyDescent="0.25"/>
    <row r="128039" customFormat="1" x14ac:dyDescent="0.25"/>
    <row r="128040" customFormat="1" x14ac:dyDescent="0.25"/>
    <row r="128041" customFormat="1" x14ac:dyDescent="0.25"/>
    <row r="128042" customFormat="1" x14ac:dyDescent="0.25"/>
    <row r="128043" customFormat="1" x14ac:dyDescent="0.25"/>
    <row r="128044" customFormat="1" x14ac:dyDescent="0.25"/>
    <row r="128045" customFormat="1" x14ac:dyDescent="0.25"/>
    <row r="128046" customFormat="1" x14ac:dyDescent="0.25"/>
    <row r="128047" customFormat="1" x14ac:dyDescent="0.25"/>
    <row r="128048" customFormat="1" x14ac:dyDescent="0.25"/>
    <row r="128049" customFormat="1" x14ac:dyDescent="0.25"/>
    <row r="128050" customFormat="1" x14ac:dyDescent="0.25"/>
    <row r="128051" customFormat="1" x14ac:dyDescent="0.25"/>
    <row r="128052" customFormat="1" x14ac:dyDescent="0.25"/>
    <row r="128053" customFormat="1" x14ac:dyDescent="0.25"/>
    <row r="128054" customFormat="1" x14ac:dyDescent="0.25"/>
    <row r="128055" customFormat="1" x14ac:dyDescent="0.25"/>
    <row r="128056" customFormat="1" x14ac:dyDescent="0.25"/>
    <row r="128057" customFormat="1" x14ac:dyDescent="0.25"/>
    <row r="128058" customFormat="1" x14ac:dyDescent="0.25"/>
    <row r="128059" customFormat="1" x14ac:dyDescent="0.25"/>
    <row r="128060" customFormat="1" x14ac:dyDescent="0.25"/>
    <row r="128061" customFormat="1" x14ac:dyDescent="0.25"/>
    <row r="128062" customFormat="1" x14ac:dyDescent="0.25"/>
    <row r="128063" customFormat="1" x14ac:dyDescent="0.25"/>
    <row r="128064" customFormat="1" x14ac:dyDescent="0.25"/>
    <row r="128065" customFormat="1" x14ac:dyDescent="0.25"/>
    <row r="128066" customFormat="1" x14ac:dyDescent="0.25"/>
    <row r="128067" customFormat="1" x14ac:dyDescent="0.25"/>
    <row r="128068" customFormat="1" x14ac:dyDescent="0.25"/>
    <row r="128069" customFormat="1" x14ac:dyDescent="0.25"/>
    <row r="128070" customFormat="1" x14ac:dyDescent="0.25"/>
    <row r="128071" customFormat="1" x14ac:dyDescent="0.25"/>
    <row r="128072" customFormat="1" x14ac:dyDescent="0.25"/>
    <row r="128073" customFormat="1" x14ac:dyDescent="0.25"/>
    <row r="128074" customFormat="1" x14ac:dyDescent="0.25"/>
    <row r="128075" customFormat="1" x14ac:dyDescent="0.25"/>
    <row r="128076" customFormat="1" x14ac:dyDescent="0.25"/>
    <row r="128077" customFormat="1" x14ac:dyDescent="0.25"/>
    <row r="128078" customFormat="1" x14ac:dyDescent="0.25"/>
    <row r="128079" customFormat="1" x14ac:dyDescent="0.25"/>
    <row r="128080" customFormat="1" x14ac:dyDescent="0.25"/>
    <row r="128081" customFormat="1" x14ac:dyDescent="0.25"/>
    <row r="128082" customFormat="1" x14ac:dyDescent="0.25"/>
    <row r="128083" customFormat="1" x14ac:dyDescent="0.25"/>
    <row r="128084" customFormat="1" x14ac:dyDescent="0.25"/>
    <row r="128085" customFormat="1" x14ac:dyDescent="0.25"/>
    <row r="128086" customFormat="1" x14ac:dyDescent="0.25"/>
    <row r="128087" customFormat="1" x14ac:dyDescent="0.25"/>
    <row r="128088" customFormat="1" x14ac:dyDescent="0.25"/>
    <row r="128089" customFormat="1" x14ac:dyDescent="0.25"/>
    <row r="128090" customFormat="1" x14ac:dyDescent="0.25"/>
    <row r="128091" customFormat="1" x14ac:dyDescent="0.25"/>
    <row r="128092" customFormat="1" x14ac:dyDescent="0.25"/>
    <row r="128093" customFormat="1" x14ac:dyDescent="0.25"/>
    <row r="128094" customFormat="1" x14ac:dyDescent="0.25"/>
    <row r="128095" customFormat="1" x14ac:dyDescent="0.25"/>
    <row r="128096" customFormat="1" x14ac:dyDescent="0.25"/>
    <row r="128097" customFormat="1" x14ac:dyDescent="0.25"/>
    <row r="128098" customFormat="1" x14ac:dyDescent="0.25"/>
    <row r="128099" customFormat="1" x14ac:dyDescent="0.25"/>
    <row r="128100" customFormat="1" x14ac:dyDescent="0.25"/>
    <row r="128101" customFormat="1" x14ac:dyDescent="0.25"/>
    <row r="128102" customFormat="1" x14ac:dyDescent="0.25"/>
    <row r="128103" customFormat="1" x14ac:dyDescent="0.25"/>
    <row r="128104" customFormat="1" x14ac:dyDescent="0.25"/>
    <row r="128105" customFormat="1" x14ac:dyDescent="0.25"/>
    <row r="128106" customFormat="1" x14ac:dyDescent="0.25"/>
    <row r="128107" customFormat="1" x14ac:dyDescent="0.25"/>
    <row r="128108" customFormat="1" x14ac:dyDescent="0.25"/>
    <row r="128109" customFormat="1" x14ac:dyDescent="0.25"/>
    <row r="128110" customFormat="1" x14ac:dyDescent="0.25"/>
    <row r="128111" customFormat="1" x14ac:dyDescent="0.25"/>
    <row r="128112" customFormat="1" x14ac:dyDescent="0.25"/>
    <row r="128113" customFormat="1" x14ac:dyDescent="0.25"/>
    <row r="128114" customFormat="1" x14ac:dyDescent="0.25"/>
    <row r="128115" customFormat="1" x14ac:dyDescent="0.25"/>
    <row r="128116" customFormat="1" x14ac:dyDescent="0.25"/>
    <row r="128117" customFormat="1" x14ac:dyDescent="0.25"/>
    <row r="128118" customFormat="1" x14ac:dyDescent="0.25"/>
    <row r="128119" customFormat="1" x14ac:dyDescent="0.25"/>
    <row r="128120" customFormat="1" x14ac:dyDescent="0.25"/>
    <row r="128121" customFormat="1" x14ac:dyDescent="0.25"/>
    <row r="128122" customFormat="1" x14ac:dyDescent="0.25"/>
    <row r="128123" customFormat="1" x14ac:dyDescent="0.25"/>
    <row r="128124" customFormat="1" x14ac:dyDescent="0.25"/>
    <row r="128125" customFormat="1" x14ac:dyDescent="0.25"/>
    <row r="128126" customFormat="1" x14ac:dyDescent="0.25"/>
    <row r="128127" customFormat="1" x14ac:dyDescent="0.25"/>
    <row r="128128" customFormat="1" x14ac:dyDescent="0.25"/>
    <row r="128129" customFormat="1" x14ac:dyDescent="0.25"/>
    <row r="128130" customFormat="1" x14ac:dyDescent="0.25"/>
    <row r="128131" customFormat="1" x14ac:dyDescent="0.25"/>
    <row r="128132" customFormat="1" x14ac:dyDescent="0.25"/>
    <row r="128133" customFormat="1" x14ac:dyDescent="0.25"/>
    <row r="128134" customFormat="1" x14ac:dyDescent="0.25"/>
    <row r="128135" customFormat="1" x14ac:dyDescent="0.25"/>
    <row r="128136" customFormat="1" x14ac:dyDescent="0.25"/>
    <row r="128137" customFormat="1" x14ac:dyDescent="0.25"/>
    <row r="128138" customFormat="1" x14ac:dyDescent="0.25"/>
    <row r="128139" customFormat="1" x14ac:dyDescent="0.25"/>
    <row r="128140" customFormat="1" x14ac:dyDescent="0.25"/>
    <row r="128141" customFormat="1" x14ac:dyDescent="0.25"/>
    <row r="128142" customFormat="1" x14ac:dyDescent="0.25"/>
    <row r="128143" customFormat="1" x14ac:dyDescent="0.25"/>
    <row r="128144" customFormat="1" x14ac:dyDescent="0.25"/>
    <row r="128145" customFormat="1" x14ac:dyDescent="0.25"/>
    <row r="128146" customFormat="1" x14ac:dyDescent="0.25"/>
    <row r="128147" customFormat="1" x14ac:dyDescent="0.25"/>
    <row r="128148" customFormat="1" x14ac:dyDescent="0.25"/>
    <row r="128149" customFormat="1" x14ac:dyDescent="0.25"/>
    <row r="128150" customFormat="1" x14ac:dyDescent="0.25"/>
    <row r="128151" customFormat="1" x14ac:dyDescent="0.25"/>
    <row r="128152" customFormat="1" x14ac:dyDescent="0.25"/>
    <row r="128153" customFormat="1" x14ac:dyDescent="0.25"/>
    <row r="128154" customFormat="1" x14ac:dyDescent="0.25"/>
    <row r="128155" customFormat="1" x14ac:dyDescent="0.25"/>
    <row r="128156" customFormat="1" x14ac:dyDescent="0.25"/>
    <row r="128157" customFormat="1" x14ac:dyDescent="0.25"/>
    <row r="128158" customFormat="1" x14ac:dyDescent="0.25"/>
    <row r="128159" customFormat="1" x14ac:dyDescent="0.25"/>
    <row r="128160" customFormat="1" x14ac:dyDescent="0.25"/>
    <row r="128161" customFormat="1" x14ac:dyDescent="0.25"/>
    <row r="128162" customFormat="1" x14ac:dyDescent="0.25"/>
    <row r="128163" customFormat="1" x14ac:dyDescent="0.25"/>
    <row r="128164" customFormat="1" x14ac:dyDescent="0.25"/>
    <row r="128165" customFormat="1" x14ac:dyDescent="0.25"/>
    <row r="128166" customFormat="1" x14ac:dyDescent="0.25"/>
    <row r="128167" customFormat="1" x14ac:dyDescent="0.25"/>
    <row r="128168" customFormat="1" x14ac:dyDescent="0.25"/>
    <row r="128169" customFormat="1" x14ac:dyDescent="0.25"/>
    <row r="128170" customFormat="1" x14ac:dyDescent="0.25"/>
    <row r="128171" customFormat="1" x14ac:dyDescent="0.25"/>
    <row r="128172" customFormat="1" x14ac:dyDescent="0.25"/>
    <row r="128173" customFormat="1" x14ac:dyDescent="0.25"/>
    <row r="128174" customFormat="1" x14ac:dyDescent="0.25"/>
    <row r="128175" customFormat="1" x14ac:dyDescent="0.25"/>
    <row r="128176" customFormat="1" x14ac:dyDescent="0.25"/>
    <row r="128177" customFormat="1" x14ac:dyDescent="0.25"/>
    <row r="128178" customFormat="1" x14ac:dyDescent="0.25"/>
    <row r="128179" customFormat="1" x14ac:dyDescent="0.25"/>
    <row r="128180" customFormat="1" x14ac:dyDescent="0.25"/>
    <row r="128181" customFormat="1" x14ac:dyDescent="0.25"/>
    <row r="128182" customFormat="1" x14ac:dyDescent="0.25"/>
    <row r="128183" customFormat="1" x14ac:dyDescent="0.25"/>
    <row r="128184" customFormat="1" x14ac:dyDescent="0.25"/>
    <row r="128185" customFormat="1" x14ac:dyDescent="0.25"/>
    <row r="128186" customFormat="1" x14ac:dyDescent="0.25"/>
    <row r="128187" customFormat="1" x14ac:dyDescent="0.25"/>
    <row r="128188" customFormat="1" x14ac:dyDescent="0.25"/>
    <row r="128189" customFormat="1" x14ac:dyDescent="0.25"/>
    <row r="128190" customFormat="1" x14ac:dyDescent="0.25"/>
    <row r="128191" customFormat="1" x14ac:dyDescent="0.25"/>
    <row r="128192" customFormat="1" x14ac:dyDescent="0.25"/>
    <row r="128193" customFormat="1" x14ac:dyDescent="0.25"/>
    <row r="128194" customFormat="1" x14ac:dyDescent="0.25"/>
    <row r="128195" customFormat="1" x14ac:dyDescent="0.25"/>
    <row r="128196" customFormat="1" x14ac:dyDescent="0.25"/>
    <row r="128197" customFormat="1" x14ac:dyDescent="0.25"/>
    <row r="128198" customFormat="1" x14ac:dyDescent="0.25"/>
    <row r="128199" customFormat="1" x14ac:dyDescent="0.25"/>
    <row r="128200" customFormat="1" x14ac:dyDescent="0.25"/>
    <row r="128201" customFormat="1" x14ac:dyDescent="0.25"/>
    <row r="128202" customFormat="1" x14ac:dyDescent="0.25"/>
    <row r="128203" customFormat="1" x14ac:dyDescent="0.25"/>
    <row r="128204" customFormat="1" x14ac:dyDescent="0.25"/>
    <row r="128205" customFormat="1" x14ac:dyDescent="0.25"/>
    <row r="128206" customFormat="1" x14ac:dyDescent="0.25"/>
    <row r="128207" customFormat="1" x14ac:dyDescent="0.25"/>
    <row r="128208" customFormat="1" x14ac:dyDescent="0.25"/>
    <row r="128209" customFormat="1" x14ac:dyDescent="0.25"/>
    <row r="128210" customFormat="1" x14ac:dyDescent="0.25"/>
    <row r="128211" customFormat="1" x14ac:dyDescent="0.25"/>
    <row r="128212" customFormat="1" x14ac:dyDescent="0.25"/>
    <row r="128213" customFormat="1" x14ac:dyDescent="0.25"/>
    <row r="128214" customFormat="1" x14ac:dyDescent="0.25"/>
    <row r="128215" customFormat="1" x14ac:dyDescent="0.25"/>
    <row r="128216" customFormat="1" x14ac:dyDescent="0.25"/>
    <row r="128217" customFormat="1" x14ac:dyDescent="0.25"/>
    <row r="128218" customFormat="1" x14ac:dyDescent="0.25"/>
    <row r="128219" customFormat="1" x14ac:dyDescent="0.25"/>
    <row r="128220" customFormat="1" x14ac:dyDescent="0.25"/>
    <row r="128221" customFormat="1" x14ac:dyDescent="0.25"/>
    <row r="128222" customFormat="1" x14ac:dyDescent="0.25"/>
    <row r="128223" customFormat="1" x14ac:dyDescent="0.25"/>
    <row r="128224" customFormat="1" x14ac:dyDescent="0.25"/>
    <row r="128225" customFormat="1" x14ac:dyDescent="0.25"/>
    <row r="128226" customFormat="1" x14ac:dyDescent="0.25"/>
    <row r="128227" customFormat="1" x14ac:dyDescent="0.25"/>
    <row r="128228" customFormat="1" x14ac:dyDescent="0.25"/>
    <row r="128229" customFormat="1" x14ac:dyDescent="0.25"/>
    <row r="128230" customFormat="1" x14ac:dyDescent="0.25"/>
    <row r="128231" customFormat="1" x14ac:dyDescent="0.25"/>
    <row r="128232" customFormat="1" x14ac:dyDescent="0.25"/>
    <row r="128233" customFormat="1" x14ac:dyDescent="0.25"/>
    <row r="128234" customFormat="1" x14ac:dyDescent="0.25"/>
    <row r="128235" customFormat="1" x14ac:dyDescent="0.25"/>
    <row r="128236" customFormat="1" x14ac:dyDescent="0.25"/>
    <row r="128237" customFormat="1" x14ac:dyDescent="0.25"/>
    <row r="128238" customFormat="1" x14ac:dyDescent="0.25"/>
    <row r="128239" customFormat="1" x14ac:dyDescent="0.25"/>
    <row r="128240" customFormat="1" x14ac:dyDescent="0.25"/>
    <row r="128241" customFormat="1" x14ac:dyDescent="0.25"/>
    <row r="128242" customFormat="1" x14ac:dyDescent="0.25"/>
    <row r="128243" customFormat="1" x14ac:dyDescent="0.25"/>
    <row r="128244" customFormat="1" x14ac:dyDescent="0.25"/>
    <row r="128245" customFormat="1" x14ac:dyDescent="0.25"/>
    <row r="128246" customFormat="1" x14ac:dyDescent="0.25"/>
    <row r="128247" customFormat="1" x14ac:dyDescent="0.25"/>
    <row r="128248" customFormat="1" x14ac:dyDescent="0.25"/>
    <row r="128249" customFormat="1" x14ac:dyDescent="0.25"/>
    <row r="128250" customFormat="1" x14ac:dyDescent="0.25"/>
    <row r="128251" customFormat="1" x14ac:dyDescent="0.25"/>
    <row r="128252" customFormat="1" x14ac:dyDescent="0.25"/>
    <row r="128253" customFormat="1" x14ac:dyDescent="0.25"/>
    <row r="128254" customFormat="1" x14ac:dyDescent="0.25"/>
    <row r="128255" customFormat="1" x14ac:dyDescent="0.25"/>
    <row r="128256" customFormat="1" x14ac:dyDescent="0.25"/>
    <row r="128257" customFormat="1" x14ac:dyDescent="0.25"/>
    <row r="128258" customFormat="1" x14ac:dyDescent="0.25"/>
    <row r="128259" customFormat="1" x14ac:dyDescent="0.25"/>
    <row r="128260" customFormat="1" x14ac:dyDescent="0.25"/>
    <row r="128261" customFormat="1" x14ac:dyDescent="0.25"/>
    <row r="128262" customFormat="1" x14ac:dyDescent="0.25"/>
    <row r="128263" customFormat="1" x14ac:dyDescent="0.25"/>
    <row r="128264" customFormat="1" x14ac:dyDescent="0.25"/>
    <row r="128265" customFormat="1" x14ac:dyDescent="0.25"/>
    <row r="128266" customFormat="1" x14ac:dyDescent="0.25"/>
    <row r="128267" customFormat="1" x14ac:dyDescent="0.25"/>
    <row r="128268" customFormat="1" x14ac:dyDescent="0.25"/>
    <row r="128269" customFormat="1" x14ac:dyDescent="0.25"/>
    <row r="128270" customFormat="1" x14ac:dyDescent="0.25"/>
    <row r="128271" customFormat="1" x14ac:dyDescent="0.25"/>
    <row r="128272" customFormat="1" x14ac:dyDescent="0.25"/>
    <row r="128273" customFormat="1" x14ac:dyDescent="0.25"/>
    <row r="128274" customFormat="1" x14ac:dyDescent="0.25"/>
    <row r="128275" customFormat="1" x14ac:dyDescent="0.25"/>
    <row r="128276" customFormat="1" x14ac:dyDescent="0.25"/>
    <row r="128277" customFormat="1" x14ac:dyDescent="0.25"/>
    <row r="128278" customFormat="1" x14ac:dyDescent="0.25"/>
    <row r="128279" customFormat="1" x14ac:dyDescent="0.25"/>
    <row r="128280" customFormat="1" x14ac:dyDescent="0.25"/>
    <row r="128281" customFormat="1" x14ac:dyDescent="0.25"/>
    <row r="128282" customFormat="1" x14ac:dyDescent="0.25"/>
    <row r="128283" customFormat="1" x14ac:dyDescent="0.25"/>
    <row r="128284" customFormat="1" x14ac:dyDescent="0.25"/>
    <row r="128285" customFormat="1" x14ac:dyDescent="0.25"/>
    <row r="128286" customFormat="1" x14ac:dyDescent="0.25"/>
    <row r="128287" customFormat="1" x14ac:dyDescent="0.25"/>
    <row r="128288" customFormat="1" x14ac:dyDescent="0.25"/>
    <row r="128289" customFormat="1" x14ac:dyDescent="0.25"/>
    <row r="128290" customFormat="1" x14ac:dyDescent="0.25"/>
    <row r="128291" customFormat="1" x14ac:dyDescent="0.25"/>
    <row r="128292" customFormat="1" x14ac:dyDescent="0.25"/>
    <row r="128293" customFormat="1" x14ac:dyDescent="0.25"/>
    <row r="128294" customFormat="1" x14ac:dyDescent="0.25"/>
    <row r="128295" customFormat="1" x14ac:dyDescent="0.25"/>
    <row r="128296" customFormat="1" x14ac:dyDescent="0.25"/>
    <row r="128297" customFormat="1" x14ac:dyDescent="0.25"/>
    <row r="128298" customFormat="1" x14ac:dyDescent="0.25"/>
    <row r="128299" customFormat="1" x14ac:dyDescent="0.25"/>
    <row r="128300" customFormat="1" x14ac:dyDescent="0.25"/>
    <row r="128301" customFormat="1" x14ac:dyDescent="0.25"/>
    <row r="128302" customFormat="1" x14ac:dyDescent="0.25"/>
    <row r="128303" customFormat="1" x14ac:dyDescent="0.25"/>
    <row r="128304" customFormat="1" x14ac:dyDescent="0.25"/>
    <row r="128305" customFormat="1" x14ac:dyDescent="0.25"/>
    <row r="128306" customFormat="1" x14ac:dyDescent="0.25"/>
    <row r="128307" customFormat="1" x14ac:dyDescent="0.25"/>
    <row r="128308" customFormat="1" x14ac:dyDescent="0.25"/>
    <row r="128309" customFormat="1" x14ac:dyDescent="0.25"/>
    <row r="128310" customFormat="1" x14ac:dyDescent="0.25"/>
    <row r="128311" customFormat="1" x14ac:dyDescent="0.25"/>
    <row r="128312" customFormat="1" x14ac:dyDescent="0.25"/>
    <row r="128313" customFormat="1" x14ac:dyDescent="0.25"/>
    <row r="128314" customFormat="1" x14ac:dyDescent="0.25"/>
    <row r="128315" customFormat="1" x14ac:dyDescent="0.25"/>
    <row r="128316" customFormat="1" x14ac:dyDescent="0.25"/>
    <row r="128317" customFormat="1" x14ac:dyDescent="0.25"/>
    <row r="128318" customFormat="1" x14ac:dyDescent="0.25"/>
    <row r="128319" customFormat="1" x14ac:dyDescent="0.25"/>
    <row r="128320" customFormat="1" x14ac:dyDescent="0.25"/>
    <row r="128321" customFormat="1" x14ac:dyDescent="0.25"/>
    <row r="128322" customFormat="1" x14ac:dyDescent="0.25"/>
    <row r="128323" customFormat="1" x14ac:dyDescent="0.25"/>
    <row r="128324" customFormat="1" x14ac:dyDescent="0.25"/>
    <row r="128325" customFormat="1" x14ac:dyDescent="0.25"/>
    <row r="128326" customFormat="1" x14ac:dyDescent="0.25"/>
    <row r="128327" customFormat="1" x14ac:dyDescent="0.25"/>
    <row r="128328" customFormat="1" x14ac:dyDescent="0.25"/>
    <row r="128329" customFormat="1" x14ac:dyDescent="0.25"/>
    <row r="128330" customFormat="1" x14ac:dyDescent="0.25"/>
    <row r="128331" customFormat="1" x14ac:dyDescent="0.25"/>
    <row r="128332" customFormat="1" x14ac:dyDescent="0.25"/>
    <row r="128333" customFormat="1" x14ac:dyDescent="0.25"/>
    <row r="128334" customFormat="1" x14ac:dyDescent="0.25"/>
    <row r="128335" customFormat="1" x14ac:dyDescent="0.25"/>
    <row r="128336" customFormat="1" x14ac:dyDescent="0.25"/>
    <row r="128337" customFormat="1" x14ac:dyDescent="0.25"/>
    <row r="128338" customFormat="1" x14ac:dyDescent="0.25"/>
    <row r="128339" customFormat="1" x14ac:dyDescent="0.25"/>
    <row r="128340" customFormat="1" x14ac:dyDescent="0.25"/>
    <row r="128341" customFormat="1" x14ac:dyDescent="0.25"/>
    <row r="128342" customFormat="1" x14ac:dyDescent="0.25"/>
    <row r="128343" customFormat="1" x14ac:dyDescent="0.25"/>
    <row r="128344" customFormat="1" x14ac:dyDescent="0.25"/>
    <row r="128345" customFormat="1" x14ac:dyDescent="0.25"/>
    <row r="128346" customFormat="1" x14ac:dyDescent="0.25"/>
    <row r="128347" customFormat="1" x14ac:dyDescent="0.25"/>
    <row r="128348" customFormat="1" x14ac:dyDescent="0.25"/>
    <row r="128349" customFormat="1" x14ac:dyDescent="0.25"/>
    <row r="128350" customFormat="1" x14ac:dyDescent="0.25"/>
    <row r="128351" customFormat="1" x14ac:dyDescent="0.25"/>
    <row r="128352" customFormat="1" x14ac:dyDescent="0.25"/>
    <row r="128353" customFormat="1" x14ac:dyDescent="0.25"/>
    <row r="128354" customFormat="1" x14ac:dyDescent="0.25"/>
    <row r="128355" customFormat="1" x14ac:dyDescent="0.25"/>
    <row r="128356" customFormat="1" x14ac:dyDescent="0.25"/>
    <row r="128357" customFormat="1" x14ac:dyDescent="0.25"/>
    <row r="128358" customFormat="1" x14ac:dyDescent="0.25"/>
    <row r="128359" customFormat="1" x14ac:dyDescent="0.25"/>
    <row r="128360" customFormat="1" x14ac:dyDescent="0.25"/>
    <row r="128361" customFormat="1" x14ac:dyDescent="0.25"/>
    <row r="128362" customFormat="1" x14ac:dyDescent="0.25"/>
    <row r="128363" customFormat="1" x14ac:dyDescent="0.25"/>
    <row r="128364" customFormat="1" x14ac:dyDescent="0.25"/>
    <row r="128365" customFormat="1" x14ac:dyDescent="0.25"/>
    <row r="128366" customFormat="1" x14ac:dyDescent="0.25"/>
    <row r="128367" customFormat="1" x14ac:dyDescent="0.25"/>
    <row r="128368" customFormat="1" x14ac:dyDescent="0.25"/>
    <row r="128369" customFormat="1" x14ac:dyDescent="0.25"/>
    <row r="128370" customFormat="1" x14ac:dyDescent="0.25"/>
    <row r="128371" customFormat="1" x14ac:dyDescent="0.25"/>
    <row r="128372" customFormat="1" x14ac:dyDescent="0.25"/>
    <row r="128373" customFormat="1" x14ac:dyDescent="0.25"/>
    <row r="128374" customFormat="1" x14ac:dyDescent="0.25"/>
    <row r="128375" customFormat="1" x14ac:dyDescent="0.25"/>
    <row r="128376" customFormat="1" x14ac:dyDescent="0.25"/>
    <row r="128377" customFormat="1" x14ac:dyDescent="0.25"/>
    <row r="128378" customFormat="1" x14ac:dyDescent="0.25"/>
    <row r="128379" customFormat="1" x14ac:dyDescent="0.25"/>
    <row r="128380" customFormat="1" x14ac:dyDescent="0.25"/>
    <row r="128381" customFormat="1" x14ac:dyDescent="0.25"/>
    <row r="128382" customFormat="1" x14ac:dyDescent="0.25"/>
    <row r="128383" customFormat="1" x14ac:dyDescent="0.25"/>
    <row r="128384" customFormat="1" x14ac:dyDescent="0.25"/>
    <row r="128385" customFormat="1" x14ac:dyDescent="0.25"/>
    <row r="128386" customFormat="1" x14ac:dyDescent="0.25"/>
    <row r="128387" customFormat="1" x14ac:dyDescent="0.25"/>
    <row r="128388" customFormat="1" x14ac:dyDescent="0.25"/>
    <row r="128389" customFormat="1" x14ac:dyDescent="0.25"/>
    <row r="128390" customFormat="1" x14ac:dyDescent="0.25"/>
    <row r="128391" customFormat="1" x14ac:dyDescent="0.25"/>
    <row r="128392" customFormat="1" x14ac:dyDescent="0.25"/>
    <row r="128393" customFormat="1" x14ac:dyDescent="0.25"/>
    <row r="128394" customFormat="1" x14ac:dyDescent="0.25"/>
    <row r="128395" customFormat="1" x14ac:dyDescent="0.25"/>
    <row r="128396" customFormat="1" x14ac:dyDescent="0.25"/>
    <row r="128397" customFormat="1" x14ac:dyDescent="0.25"/>
    <row r="128398" customFormat="1" x14ac:dyDescent="0.25"/>
    <row r="128399" customFormat="1" x14ac:dyDescent="0.25"/>
    <row r="128400" customFormat="1" x14ac:dyDescent="0.25"/>
    <row r="128401" customFormat="1" x14ac:dyDescent="0.25"/>
    <row r="128402" customFormat="1" x14ac:dyDescent="0.25"/>
    <row r="128403" customFormat="1" x14ac:dyDescent="0.25"/>
    <row r="128404" customFormat="1" x14ac:dyDescent="0.25"/>
    <row r="128405" customFormat="1" x14ac:dyDescent="0.25"/>
    <row r="128406" customFormat="1" x14ac:dyDescent="0.25"/>
    <row r="128407" customFormat="1" x14ac:dyDescent="0.25"/>
    <row r="128408" customFormat="1" x14ac:dyDescent="0.25"/>
    <row r="128409" customFormat="1" x14ac:dyDescent="0.25"/>
    <row r="128410" customFormat="1" x14ac:dyDescent="0.25"/>
    <row r="128411" customFormat="1" x14ac:dyDescent="0.25"/>
    <row r="128412" customFormat="1" x14ac:dyDescent="0.25"/>
    <row r="128413" customFormat="1" x14ac:dyDescent="0.25"/>
    <row r="128414" customFormat="1" x14ac:dyDescent="0.25"/>
    <row r="128415" customFormat="1" x14ac:dyDescent="0.25"/>
    <row r="128416" customFormat="1" x14ac:dyDescent="0.25"/>
    <row r="128417" customFormat="1" x14ac:dyDescent="0.25"/>
    <row r="128418" customFormat="1" x14ac:dyDescent="0.25"/>
    <row r="128419" customFormat="1" x14ac:dyDescent="0.25"/>
    <row r="128420" customFormat="1" x14ac:dyDescent="0.25"/>
    <row r="128421" customFormat="1" x14ac:dyDescent="0.25"/>
    <row r="128422" customFormat="1" x14ac:dyDescent="0.25"/>
    <row r="128423" customFormat="1" x14ac:dyDescent="0.25"/>
    <row r="128424" customFormat="1" x14ac:dyDescent="0.25"/>
    <row r="128425" customFormat="1" x14ac:dyDescent="0.25"/>
    <row r="128426" customFormat="1" x14ac:dyDescent="0.25"/>
    <row r="128427" customFormat="1" x14ac:dyDescent="0.25"/>
    <row r="128428" customFormat="1" x14ac:dyDescent="0.25"/>
    <row r="128429" customFormat="1" x14ac:dyDescent="0.25"/>
    <row r="128430" customFormat="1" x14ac:dyDescent="0.25"/>
    <row r="128431" customFormat="1" x14ac:dyDescent="0.25"/>
    <row r="128432" customFormat="1" x14ac:dyDescent="0.25"/>
    <row r="128433" customFormat="1" x14ac:dyDescent="0.25"/>
    <row r="128434" customFormat="1" x14ac:dyDescent="0.25"/>
    <row r="128435" customFormat="1" x14ac:dyDescent="0.25"/>
    <row r="128436" customFormat="1" x14ac:dyDescent="0.25"/>
    <row r="128437" customFormat="1" x14ac:dyDescent="0.25"/>
    <row r="128438" customFormat="1" x14ac:dyDescent="0.25"/>
    <row r="128439" customFormat="1" x14ac:dyDescent="0.25"/>
    <row r="128440" customFormat="1" x14ac:dyDescent="0.25"/>
    <row r="128441" customFormat="1" x14ac:dyDescent="0.25"/>
    <row r="128442" customFormat="1" x14ac:dyDescent="0.25"/>
    <row r="128443" customFormat="1" x14ac:dyDescent="0.25"/>
    <row r="128444" customFormat="1" x14ac:dyDescent="0.25"/>
    <row r="128445" customFormat="1" x14ac:dyDescent="0.25"/>
    <row r="128446" customFormat="1" x14ac:dyDescent="0.25"/>
    <row r="128447" customFormat="1" x14ac:dyDescent="0.25"/>
    <row r="128448" customFormat="1" x14ac:dyDescent="0.25"/>
    <row r="128449" customFormat="1" x14ac:dyDescent="0.25"/>
    <row r="128450" customFormat="1" x14ac:dyDescent="0.25"/>
    <row r="128451" customFormat="1" x14ac:dyDescent="0.25"/>
    <row r="128452" customFormat="1" x14ac:dyDescent="0.25"/>
    <row r="128453" customFormat="1" x14ac:dyDescent="0.25"/>
    <row r="128454" customFormat="1" x14ac:dyDescent="0.25"/>
    <row r="128455" customFormat="1" x14ac:dyDescent="0.25"/>
    <row r="128456" customFormat="1" x14ac:dyDescent="0.25"/>
    <row r="128457" customFormat="1" x14ac:dyDescent="0.25"/>
    <row r="128458" customFormat="1" x14ac:dyDescent="0.25"/>
    <row r="128459" customFormat="1" x14ac:dyDescent="0.25"/>
    <row r="128460" customFormat="1" x14ac:dyDescent="0.25"/>
    <row r="128461" customFormat="1" x14ac:dyDescent="0.25"/>
    <row r="128462" customFormat="1" x14ac:dyDescent="0.25"/>
    <row r="128463" customFormat="1" x14ac:dyDescent="0.25"/>
    <row r="128464" customFormat="1" x14ac:dyDescent="0.25"/>
    <row r="128465" customFormat="1" x14ac:dyDescent="0.25"/>
    <row r="128466" customFormat="1" x14ac:dyDescent="0.25"/>
    <row r="128467" customFormat="1" x14ac:dyDescent="0.25"/>
    <row r="128468" customFormat="1" x14ac:dyDescent="0.25"/>
    <row r="128469" customFormat="1" x14ac:dyDescent="0.25"/>
    <row r="128470" customFormat="1" x14ac:dyDescent="0.25"/>
    <row r="128471" customFormat="1" x14ac:dyDescent="0.25"/>
    <row r="128472" customFormat="1" x14ac:dyDescent="0.25"/>
    <row r="128473" customFormat="1" x14ac:dyDescent="0.25"/>
    <row r="128474" customFormat="1" x14ac:dyDescent="0.25"/>
    <row r="128475" customFormat="1" x14ac:dyDescent="0.25"/>
    <row r="128476" customFormat="1" x14ac:dyDescent="0.25"/>
    <row r="128477" customFormat="1" x14ac:dyDescent="0.25"/>
    <row r="128478" customFormat="1" x14ac:dyDescent="0.25"/>
    <row r="128479" customFormat="1" x14ac:dyDescent="0.25"/>
    <row r="128480" customFormat="1" x14ac:dyDescent="0.25"/>
    <row r="128481" customFormat="1" x14ac:dyDescent="0.25"/>
    <row r="128482" customFormat="1" x14ac:dyDescent="0.25"/>
    <row r="128483" customFormat="1" x14ac:dyDescent="0.25"/>
    <row r="128484" customFormat="1" x14ac:dyDescent="0.25"/>
    <row r="128485" customFormat="1" x14ac:dyDescent="0.25"/>
    <row r="128486" customFormat="1" x14ac:dyDescent="0.25"/>
    <row r="128487" customFormat="1" x14ac:dyDescent="0.25"/>
    <row r="128488" customFormat="1" x14ac:dyDescent="0.25"/>
    <row r="128489" customFormat="1" x14ac:dyDescent="0.25"/>
    <row r="128490" customFormat="1" x14ac:dyDescent="0.25"/>
    <row r="128491" customFormat="1" x14ac:dyDescent="0.25"/>
    <row r="128492" customFormat="1" x14ac:dyDescent="0.25"/>
    <row r="128493" customFormat="1" x14ac:dyDescent="0.25"/>
    <row r="128494" customFormat="1" x14ac:dyDescent="0.25"/>
    <row r="128495" customFormat="1" x14ac:dyDescent="0.25"/>
    <row r="128496" customFormat="1" x14ac:dyDescent="0.25"/>
    <row r="128497" customFormat="1" x14ac:dyDescent="0.25"/>
    <row r="128498" customFormat="1" x14ac:dyDescent="0.25"/>
    <row r="128499" customFormat="1" x14ac:dyDescent="0.25"/>
    <row r="128500" customFormat="1" x14ac:dyDescent="0.25"/>
    <row r="128501" customFormat="1" x14ac:dyDescent="0.25"/>
    <row r="128502" customFormat="1" x14ac:dyDescent="0.25"/>
    <row r="128503" customFormat="1" x14ac:dyDescent="0.25"/>
    <row r="128504" customFormat="1" x14ac:dyDescent="0.25"/>
    <row r="128505" customFormat="1" x14ac:dyDescent="0.25"/>
    <row r="128506" customFormat="1" x14ac:dyDescent="0.25"/>
    <row r="128507" customFormat="1" x14ac:dyDescent="0.25"/>
    <row r="128508" customFormat="1" x14ac:dyDescent="0.25"/>
    <row r="128509" customFormat="1" x14ac:dyDescent="0.25"/>
    <row r="128510" customFormat="1" x14ac:dyDescent="0.25"/>
    <row r="128511" customFormat="1" x14ac:dyDescent="0.25"/>
    <row r="128512" customFormat="1" x14ac:dyDescent="0.25"/>
    <row r="128513" customFormat="1" x14ac:dyDescent="0.25"/>
    <row r="128514" customFormat="1" x14ac:dyDescent="0.25"/>
    <row r="128515" customFormat="1" x14ac:dyDescent="0.25"/>
    <row r="128516" customFormat="1" x14ac:dyDescent="0.25"/>
    <row r="128517" customFormat="1" x14ac:dyDescent="0.25"/>
    <row r="128518" customFormat="1" x14ac:dyDescent="0.25"/>
    <row r="128519" customFormat="1" x14ac:dyDescent="0.25"/>
    <row r="128520" customFormat="1" x14ac:dyDescent="0.25"/>
    <row r="128521" customFormat="1" x14ac:dyDescent="0.25"/>
    <row r="128522" customFormat="1" x14ac:dyDescent="0.25"/>
    <row r="128523" customFormat="1" x14ac:dyDescent="0.25"/>
    <row r="128524" customFormat="1" x14ac:dyDescent="0.25"/>
    <row r="128525" customFormat="1" x14ac:dyDescent="0.25"/>
    <row r="128526" customFormat="1" x14ac:dyDescent="0.25"/>
    <row r="128527" customFormat="1" x14ac:dyDescent="0.25"/>
    <row r="128528" customFormat="1" x14ac:dyDescent="0.25"/>
    <row r="128529" customFormat="1" x14ac:dyDescent="0.25"/>
    <row r="128530" customFormat="1" x14ac:dyDescent="0.25"/>
    <row r="128531" customFormat="1" x14ac:dyDescent="0.25"/>
    <row r="128532" customFormat="1" x14ac:dyDescent="0.25"/>
    <row r="128533" customFormat="1" x14ac:dyDescent="0.25"/>
    <row r="128534" customFormat="1" x14ac:dyDescent="0.25"/>
    <row r="128535" customFormat="1" x14ac:dyDescent="0.25"/>
    <row r="128536" customFormat="1" x14ac:dyDescent="0.25"/>
    <row r="128537" customFormat="1" x14ac:dyDescent="0.25"/>
    <row r="128538" customFormat="1" x14ac:dyDescent="0.25"/>
    <row r="128539" customFormat="1" x14ac:dyDescent="0.25"/>
    <row r="128540" customFormat="1" x14ac:dyDescent="0.25"/>
    <row r="128541" customFormat="1" x14ac:dyDescent="0.25"/>
    <row r="128542" customFormat="1" x14ac:dyDescent="0.25"/>
    <row r="128543" customFormat="1" x14ac:dyDescent="0.25"/>
    <row r="128544" customFormat="1" x14ac:dyDescent="0.25"/>
    <row r="128545" customFormat="1" x14ac:dyDescent="0.25"/>
    <row r="128546" customFormat="1" x14ac:dyDescent="0.25"/>
    <row r="128547" customFormat="1" x14ac:dyDescent="0.25"/>
    <row r="128548" customFormat="1" x14ac:dyDescent="0.25"/>
    <row r="128549" customFormat="1" x14ac:dyDescent="0.25"/>
    <row r="128550" customFormat="1" x14ac:dyDescent="0.25"/>
    <row r="128551" customFormat="1" x14ac:dyDescent="0.25"/>
    <row r="128552" customFormat="1" x14ac:dyDescent="0.25"/>
    <row r="128553" customFormat="1" x14ac:dyDescent="0.25"/>
    <row r="128554" customFormat="1" x14ac:dyDescent="0.25"/>
    <row r="128555" customFormat="1" x14ac:dyDescent="0.25"/>
    <row r="128556" customFormat="1" x14ac:dyDescent="0.25"/>
    <row r="128557" customFormat="1" x14ac:dyDescent="0.25"/>
    <row r="128558" customFormat="1" x14ac:dyDescent="0.25"/>
    <row r="128559" customFormat="1" x14ac:dyDescent="0.25"/>
    <row r="128560" customFormat="1" x14ac:dyDescent="0.25"/>
    <row r="128561" customFormat="1" x14ac:dyDescent="0.25"/>
    <row r="128562" customFormat="1" x14ac:dyDescent="0.25"/>
    <row r="128563" customFormat="1" x14ac:dyDescent="0.25"/>
    <row r="128564" customFormat="1" x14ac:dyDescent="0.25"/>
    <row r="128565" customFormat="1" x14ac:dyDescent="0.25"/>
    <row r="128566" customFormat="1" x14ac:dyDescent="0.25"/>
    <row r="128567" customFormat="1" x14ac:dyDescent="0.25"/>
    <row r="128568" customFormat="1" x14ac:dyDescent="0.25"/>
    <row r="128569" customFormat="1" x14ac:dyDescent="0.25"/>
    <row r="128570" customFormat="1" x14ac:dyDescent="0.25"/>
    <row r="128571" customFormat="1" x14ac:dyDescent="0.25"/>
    <row r="128572" customFormat="1" x14ac:dyDescent="0.25"/>
    <row r="128573" customFormat="1" x14ac:dyDescent="0.25"/>
    <row r="128574" customFormat="1" x14ac:dyDescent="0.25"/>
    <row r="128575" customFormat="1" x14ac:dyDescent="0.25"/>
    <row r="128576" customFormat="1" x14ac:dyDescent="0.25"/>
    <row r="128577" customFormat="1" x14ac:dyDescent="0.25"/>
    <row r="128578" customFormat="1" x14ac:dyDescent="0.25"/>
    <row r="128579" customFormat="1" x14ac:dyDescent="0.25"/>
    <row r="128580" customFormat="1" x14ac:dyDescent="0.25"/>
    <row r="128581" customFormat="1" x14ac:dyDescent="0.25"/>
    <row r="128582" customFormat="1" x14ac:dyDescent="0.25"/>
    <row r="128583" customFormat="1" x14ac:dyDescent="0.25"/>
    <row r="128584" customFormat="1" x14ac:dyDescent="0.25"/>
    <row r="128585" customFormat="1" x14ac:dyDescent="0.25"/>
    <row r="128586" customFormat="1" x14ac:dyDescent="0.25"/>
    <row r="128587" customFormat="1" x14ac:dyDescent="0.25"/>
    <row r="128588" customFormat="1" x14ac:dyDescent="0.25"/>
    <row r="128589" customFormat="1" x14ac:dyDescent="0.25"/>
    <row r="128590" customFormat="1" x14ac:dyDescent="0.25"/>
    <row r="128591" customFormat="1" x14ac:dyDescent="0.25"/>
    <row r="128592" customFormat="1" x14ac:dyDescent="0.25"/>
    <row r="128593" customFormat="1" x14ac:dyDescent="0.25"/>
    <row r="128594" customFormat="1" x14ac:dyDescent="0.25"/>
    <row r="128595" customFormat="1" x14ac:dyDescent="0.25"/>
    <row r="128596" customFormat="1" x14ac:dyDescent="0.25"/>
    <row r="128597" customFormat="1" x14ac:dyDescent="0.25"/>
    <row r="128598" customFormat="1" x14ac:dyDescent="0.25"/>
    <row r="128599" customFormat="1" x14ac:dyDescent="0.25"/>
    <row r="128600" customFormat="1" x14ac:dyDescent="0.25"/>
    <row r="128601" customFormat="1" x14ac:dyDescent="0.25"/>
    <row r="128602" customFormat="1" x14ac:dyDescent="0.25"/>
    <row r="128603" customFormat="1" x14ac:dyDescent="0.25"/>
    <row r="128604" customFormat="1" x14ac:dyDescent="0.25"/>
    <row r="128605" customFormat="1" x14ac:dyDescent="0.25"/>
    <row r="128606" customFormat="1" x14ac:dyDescent="0.25"/>
    <row r="128607" customFormat="1" x14ac:dyDescent="0.25"/>
    <row r="128608" customFormat="1" x14ac:dyDescent="0.25"/>
    <row r="128609" customFormat="1" x14ac:dyDescent="0.25"/>
    <row r="128610" customFormat="1" x14ac:dyDescent="0.25"/>
    <row r="128611" customFormat="1" x14ac:dyDescent="0.25"/>
    <row r="128612" customFormat="1" x14ac:dyDescent="0.25"/>
    <row r="128613" customFormat="1" x14ac:dyDescent="0.25"/>
    <row r="128614" customFormat="1" x14ac:dyDescent="0.25"/>
    <row r="128615" customFormat="1" x14ac:dyDescent="0.25"/>
    <row r="128616" customFormat="1" x14ac:dyDescent="0.25"/>
    <row r="128617" customFormat="1" x14ac:dyDescent="0.25"/>
    <row r="128618" customFormat="1" x14ac:dyDescent="0.25"/>
    <row r="128619" customFormat="1" x14ac:dyDescent="0.25"/>
    <row r="128620" customFormat="1" x14ac:dyDescent="0.25"/>
    <row r="128621" customFormat="1" x14ac:dyDescent="0.25"/>
    <row r="128622" customFormat="1" x14ac:dyDescent="0.25"/>
    <row r="128623" customFormat="1" x14ac:dyDescent="0.25"/>
    <row r="128624" customFormat="1" x14ac:dyDescent="0.25"/>
    <row r="128625" customFormat="1" x14ac:dyDescent="0.25"/>
    <row r="128626" customFormat="1" x14ac:dyDescent="0.25"/>
    <row r="128627" customFormat="1" x14ac:dyDescent="0.25"/>
    <row r="128628" customFormat="1" x14ac:dyDescent="0.25"/>
    <row r="128629" customFormat="1" x14ac:dyDescent="0.25"/>
    <row r="128630" customFormat="1" x14ac:dyDescent="0.25"/>
    <row r="128631" customFormat="1" x14ac:dyDescent="0.25"/>
    <row r="128632" customFormat="1" x14ac:dyDescent="0.25"/>
    <row r="128633" customFormat="1" x14ac:dyDescent="0.25"/>
    <row r="128634" customFormat="1" x14ac:dyDescent="0.25"/>
    <row r="128635" customFormat="1" x14ac:dyDescent="0.25"/>
    <row r="128636" customFormat="1" x14ac:dyDescent="0.25"/>
    <row r="128637" customFormat="1" x14ac:dyDescent="0.25"/>
    <row r="128638" customFormat="1" x14ac:dyDescent="0.25"/>
    <row r="128639" customFormat="1" x14ac:dyDescent="0.25"/>
    <row r="128640" customFormat="1" x14ac:dyDescent="0.25"/>
    <row r="128641" customFormat="1" x14ac:dyDescent="0.25"/>
    <row r="128642" customFormat="1" x14ac:dyDescent="0.25"/>
    <row r="128643" customFormat="1" x14ac:dyDescent="0.25"/>
    <row r="128644" customFormat="1" x14ac:dyDescent="0.25"/>
    <row r="128645" customFormat="1" x14ac:dyDescent="0.25"/>
    <row r="128646" customFormat="1" x14ac:dyDescent="0.25"/>
    <row r="128647" customFormat="1" x14ac:dyDescent="0.25"/>
    <row r="128648" customFormat="1" x14ac:dyDescent="0.25"/>
    <row r="128649" customFormat="1" x14ac:dyDescent="0.25"/>
    <row r="128650" customFormat="1" x14ac:dyDescent="0.25"/>
    <row r="128651" customFormat="1" x14ac:dyDescent="0.25"/>
    <row r="128652" customFormat="1" x14ac:dyDescent="0.25"/>
    <row r="128653" customFormat="1" x14ac:dyDescent="0.25"/>
    <row r="128654" customFormat="1" x14ac:dyDescent="0.25"/>
    <row r="128655" customFormat="1" x14ac:dyDescent="0.25"/>
    <row r="128656" customFormat="1" x14ac:dyDescent="0.25"/>
    <row r="128657" customFormat="1" x14ac:dyDescent="0.25"/>
    <row r="128658" customFormat="1" x14ac:dyDescent="0.25"/>
    <row r="128659" customFormat="1" x14ac:dyDescent="0.25"/>
    <row r="128660" customFormat="1" x14ac:dyDescent="0.25"/>
    <row r="128661" customFormat="1" x14ac:dyDescent="0.25"/>
    <row r="128662" customFormat="1" x14ac:dyDescent="0.25"/>
    <row r="128663" customFormat="1" x14ac:dyDescent="0.25"/>
    <row r="128664" customFormat="1" x14ac:dyDescent="0.25"/>
    <row r="128665" customFormat="1" x14ac:dyDescent="0.25"/>
    <row r="128666" customFormat="1" x14ac:dyDescent="0.25"/>
    <row r="128667" customFormat="1" x14ac:dyDescent="0.25"/>
    <row r="128668" customFormat="1" x14ac:dyDescent="0.25"/>
    <row r="128669" customFormat="1" x14ac:dyDescent="0.25"/>
    <row r="128670" customFormat="1" x14ac:dyDescent="0.25"/>
    <row r="128671" customFormat="1" x14ac:dyDescent="0.25"/>
    <row r="128672" customFormat="1" x14ac:dyDescent="0.25"/>
    <row r="128673" customFormat="1" x14ac:dyDescent="0.25"/>
    <row r="128674" customFormat="1" x14ac:dyDescent="0.25"/>
    <row r="128675" customFormat="1" x14ac:dyDescent="0.25"/>
    <row r="128676" customFormat="1" x14ac:dyDescent="0.25"/>
    <row r="128677" customFormat="1" x14ac:dyDescent="0.25"/>
    <row r="128678" customFormat="1" x14ac:dyDescent="0.25"/>
    <row r="128679" customFormat="1" x14ac:dyDescent="0.25"/>
    <row r="128680" customFormat="1" x14ac:dyDescent="0.25"/>
    <row r="128681" customFormat="1" x14ac:dyDescent="0.25"/>
    <row r="128682" customFormat="1" x14ac:dyDescent="0.25"/>
    <row r="128683" customFormat="1" x14ac:dyDescent="0.25"/>
    <row r="128684" customFormat="1" x14ac:dyDescent="0.25"/>
    <row r="128685" customFormat="1" x14ac:dyDescent="0.25"/>
    <row r="128686" customFormat="1" x14ac:dyDescent="0.25"/>
    <row r="128687" customFormat="1" x14ac:dyDescent="0.25"/>
    <row r="128688" customFormat="1" x14ac:dyDescent="0.25"/>
    <row r="128689" customFormat="1" x14ac:dyDescent="0.25"/>
    <row r="128690" customFormat="1" x14ac:dyDescent="0.25"/>
    <row r="128691" customFormat="1" x14ac:dyDescent="0.25"/>
    <row r="128692" customFormat="1" x14ac:dyDescent="0.25"/>
    <row r="128693" customFormat="1" x14ac:dyDescent="0.25"/>
    <row r="128694" customFormat="1" x14ac:dyDescent="0.25"/>
    <row r="128695" customFormat="1" x14ac:dyDescent="0.25"/>
    <row r="128696" customFormat="1" x14ac:dyDescent="0.25"/>
    <row r="128697" customFormat="1" x14ac:dyDescent="0.25"/>
    <row r="128698" customFormat="1" x14ac:dyDescent="0.25"/>
    <row r="128699" customFormat="1" x14ac:dyDescent="0.25"/>
    <row r="128700" customFormat="1" x14ac:dyDescent="0.25"/>
    <row r="128701" customFormat="1" x14ac:dyDescent="0.25"/>
    <row r="128702" customFormat="1" x14ac:dyDescent="0.25"/>
    <row r="128703" customFormat="1" x14ac:dyDescent="0.25"/>
    <row r="128704" customFormat="1" x14ac:dyDescent="0.25"/>
    <row r="128705" customFormat="1" x14ac:dyDescent="0.25"/>
    <row r="128706" customFormat="1" x14ac:dyDescent="0.25"/>
    <row r="128707" customFormat="1" x14ac:dyDescent="0.25"/>
    <row r="128708" customFormat="1" x14ac:dyDescent="0.25"/>
    <row r="128709" customFormat="1" x14ac:dyDescent="0.25"/>
    <row r="128710" customFormat="1" x14ac:dyDescent="0.25"/>
    <row r="128711" customFormat="1" x14ac:dyDescent="0.25"/>
    <row r="128712" customFormat="1" x14ac:dyDescent="0.25"/>
    <row r="128713" customFormat="1" x14ac:dyDescent="0.25"/>
    <row r="128714" customFormat="1" x14ac:dyDescent="0.25"/>
    <row r="128715" customFormat="1" x14ac:dyDescent="0.25"/>
    <row r="128716" customFormat="1" x14ac:dyDescent="0.25"/>
    <row r="128717" customFormat="1" x14ac:dyDescent="0.25"/>
    <row r="128718" customFormat="1" x14ac:dyDescent="0.25"/>
    <row r="128719" customFormat="1" x14ac:dyDescent="0.25"/>
    <row r="128720" customFormat="1" x14ac:dyDescent="0.25"/>
    <row r="128721" customFormat="1" x14ac:dyDescent="0.25"/>
    <row r="128722" customFormat="1" x14ac:dyDescent="0.25"/>
    <row r="128723" customFormat="1" x14ac:dyDescent="0.25"/>
    <row r="128724" customFormat="1" x14ac:dyDescent="0.25"/>
    <row r="128725" customFormat="1" x14ac:dyDescent="0.25"/>
    <row r="128726" customFormat="1" x14ac:dyDescent="0.25"/>
    <row r="128727" customFormat="1" x14ac:dyDescent="0.25"/>
    <row r="128728" customFormat="1" x14ac:dyDescent="0.25"/>
    <row r="128729" customFormat="1" x14ac:dyDescent="0.25"/>
    <row r="128730" customFormat="1" x14ac:dyDescent="0.25"/>
    <row r="128731" customFormat="1" x14ac:dyDescent="0.25"/>
    <row r="128732" customFormat="1" x14ac:dyDescent="0.25"/>
    <row r="128733" customFormat="1" x14ac:dyDescent="0.25"/>
    <row r="128734" customFormat="1" x14ac:dyDescent="0.25"/>
    <row r="128735" customFormat="1" x14ac:dyDescent="0.25"/>
    <row r="128736" customFormat="1" x14ac:dyDescent="0.25"/>
    <row r="128737" customFormat="1" x14ac:dyDescent="0.25"/>
    <row r="128738" customFormat="1" x14ac:dyDescent="0.25"/>
    <row r="128739" customFormat="1" x14ac:dyDescent="0.25"/>
    <row r="128740" customFormat="1" x14ac:dyDescent="0.25"/>
    <row r="128741" customFormat="1" x14ac:dyDescent="0.25"/>
    <row r="128742" customFormat="1" x14ac:dyDescent="0.25"/>
    <row r="128743" customFormat="1" x14ac:dyDescent="0.25"/>
    <row r="128744" customFormat="1" x14ac:dyDescent="0.25"/>
    <row r="128745" customFormat="1" x14ac:dyDescent="0.25"/>
    <row r="128746" customFormat="1" x14ac:dyDescent="0.25"/>
    <row r="128747" customFormat="1" x14ac:dyDescent="0.25"/>
    <row r="128748" customFormat="1" x14ac:dyDescent="0.25"/>
    <row r="128749" customFormat="1" x14ac:dyDescent="0.25"/>
    <row r="128750" customFormat="1" x14ac:dyDescent="0.25"/>
    <row r="128751" customFormat="1" x14ac:dyDescent="0.25"/>
    <row r="128752" customFormat="1" x14ac:dyDescent="0.25"/>
    <row r="128753" customFormat="1" x14ac:dyDescent="0.25"/>
    <row r="128754" customFormat="1" x14ac:dyDescent="0.25"/>
    <row r="128755" customFormat="1" x14ac:dyDescent="0.25"/>
    <row r="128756" customFormat="1" x14ac:dyDescent="0.25"/>
    <row r="128757" customFormat="1" x14ac:dyDescent="0.25"/>
    <row r="128758" customFormat="1" x14ac:dyDescent="0.25"/>
    <row r="128759" customFormat="1" x14ac:dyDescent="0.25"/>
    <row r="128760" customFormat="1" x14ac:dyDescent="0.25"/>
    <row r="128761" customFormat="1" x14ac:dyDescent="0.25"/>
    <row r="128762" customFormat="1" x14ac:dyDescent="0.25"/>
    <row r="128763" customFormat="1" x14ac:dyDescent="0.25"/>
    <row r="128764" customFormat="1" x14ac:dyDescent="0.25"/>
    <row r="128765" customFormat="1" x14ac:dyDescent="0.25"/>
    <row r="128766" customFormat="1" x14ac:dyDescent="0.25"/>
    <row r="128767" customFormat="1" x14ac:dyDescent="0.25"/>
    <row r="128768" customFormat="1" x14ac:dyDescent="0.25"/>
    <row r="128769" customFormat="1" x14ac:dyDescent="0.25"/>
    <row r="128770" customFormat="1" x14ac:dyDescent="0.25"/>
    <row r="128771" customFormat="1" x14ac:dyDescent="0.25"/>
    <row r="128772" customFormat="1" x14ac:dyDescent="0.25"/>
    <row r="128773" customFormat="1" x14ac:dyDescent="0.25"/>
    <row r="128774" customFormat="1" x14ac:dyDescent="0.25"/>
    <row r="128775" customFormat="1" x14ac:dyDescent="0.25"/>
    <row r="128776" customFormat="1" x14ac:dyDescent="0.25"/>
    <row r="128777" customFormat="1" x14ac:dyDescent="0.25"/>
    <row r="128778" customFormat="1" x14ac:dyDescent="0.25"/>
    <row r="128779" customFormat="1" x14ac:dyDescent="0.25"/>
    <row r="128780" customFormat="1" x14ac:dyDescent="0.25"/>
    <row r="128781" customFormat="1" x14ac:dyDescent="0.25"/>
    <row r="128782" customFormat="1" x14ac:dyDescent="0.25"/>
    <row r="128783" customFormat="1" x14ac:dyDescent="0.25"/>
    <row r="128784" customFormat="1" x14ac:dyDescent="0.25"/>
    <row r="128785" customFormat="1" x14ac:dyDescent="0.25"/>
    <row r="128786" customFormat="1" x14ac:dyDescent="0.25"/>
    <row r="128787" customFormat="1" x14ac:dyDescent="0.25"/>
    <row r="128788" customFormat="1" x14ac:dyDescent="0.25"/>
    <row r="128789" customFormat="1" x14ac:dyDescent="0.25"/>
    <row r="128790" customFormat="1" x14ac:dyDescent="0.25"/>
    <row r="128791" customFormat="1" x14ac:dyDescent="0.25"/>
    <row r="128792" customFormat="1" x14ac:dyDescent="0.25"/>
    <row r="128793" customFormat="1" x14ac:dyDescent="0.25"/>
    <row r="128794" customFormat="1" x14ac:dyDescent="0.25"/>
    <row r="128795" customFormat="1" x14ac:dyDescent="0.25"/>
    <row r="128796" customFormat="1" x14ac:dyDescent="0.25"/>
    <row r="128797" customFormat="1" x14ac:dyDescent="0.25"/>
    <row r="128798" customFormat="1" x14ac:dyDescent="0.25"/>
    <row r="128799" customFormat="1" x14ac:dyDescent="0.25"/>
    <row r="128800" customFormat="1" x14ac:dyDescent="0.25"/>
    <row r="128801" customFormat="1" x14ac:dyDescent="0.25"/>
    <row r="128802" customFormat="1" x14ac:dyDescent="0.25"/>
    <row r="128803" customFormat="1" x14ac:dyDescent="0.25"/>
    <row r="128804" customFormat="1" x14ac:dyDescent="0.25"/>
    <row r="128805" customFormat="1" x14ac:dyDescent="0.25"/>
    <row r="128806" customFormat="1" x14ac:dyDescent="0.25"/>
    <row r="128807" customFormat="1" x14ac:dyDescent="0.25"/>
    <row r="128808" customFormat="1" x14ac:dyDescent="0.25"/>
    <row r="128809" customFormat="1" x14ac:dyDescent="0.25"/>
    <row r="128810" customFormat="1" x14ac:dyDescent="0.25"/>
    <row r="128811" customFormat="1" x14ac:dyDescent="0.25"/>
    <row r="128812" customFormat="1" x14ac:dyDescent="0.25"/>
    <row r="128813" customFormat="1" x14ac:dyDescent="0.25"/>
    <row r="128814" customFormat="1" x14ac:dyDescent="0.25"/>
    <row r="128815" customFormat="1" x14ac:dyDescent="0.25"/>
    <row r="128816" customFormat="1" x14ac:dyDescent="0.25"/>
    <row r="128817" customFormat="1" x14ac:dyDescent="0.25"/>
    <row r="128818" customFormat="1" x14ac:dyDescent="0.25"/>
    <row r="128819" customFormat="1" x14ac:dyDescent="0.25"/>
    <row r="128820" customFormat="1" x14ac:dyDescent="0.25"/>
    <row r="128821" customFormat="1" x14ac:dyDescent="0.25"/>
    <row r="128822" customFormat="1" x14ac:dyDescent="0.25"/>
    <row r="128823" customFormat="1" x14ac:dyDescent="0.25"/>
    <row r="128824" customFormat="1" x14ac:dyDescent="0.25"/>
    <row r="128825" customFormat="1" x14ac:dyDescent="0.25"/>
    <row r="128826" customFormat="1" x14ac:dyDescent="0.25"/>
    <row r="128827" customFormat="1" x14ac:dyDescent="0.25"/>
    <row r="128828" customFormat="1" x14ac:dyDescent="0.25"/>
    <row r="128829" customFormat="1" x14ac:dyDescent="0.25"/>
    <row r="128830" customFormat="1" x14ac:dyDescent="0.25"/>
    <row r="128831" customFormat="1" x14ac:dyDescent="0.25"/>
    <row r="128832" customFormat="1" x14ac:dyDescent="0.25"/>
    <row r="128833" customFormat="1" x14ac:dyDescent="0.25"/>
    <row r="128834" customFormat="1" x14ac:dyDescent="0.25"/>
    <row r="128835" customFormat="1" x14ac:dyDescent="0.25"/>
    <row r="128836" customFormat="1" x14ac:dyDescent="0.25"/>
    <row r="128837" customFormat="1" x14ac:dyDescent="0.25"/>
    <row r="128838" customFormat="1" x14ac:dyDescent="0.25"/>
    <row r="128839" customFormat="1" x14ac:dyDescent="0.25"/>
    <row r="128840" customFormat="1" x14ac:dyDescent="0.25"/>
    <row r="128841" customFormat="1" x14ac:dyDescent="0.25"/>
    <row r="128842" customFormat="1" x14ac:dyDescent="0.25"/>
    <row r="128843" customFormat="1" x14ac:dyDescent="0.25"/>
    <row r="128844" customFormat="1" x14ac:dyDescent="0.25"/>
    <row r="128845" customFormat="1" x14ac:dyDescent="0.25"/>
    <row r="128846" customFormat="1" x14ac:dyDescent="0.25"/>
    <row r="128847" customFormat="1" x14ac:dyDescent="0.25"/>
    <row r="128848" customFormat="1" x14ac:dyDescent="0.25"/>
    <row r="128849" customFormat="1" x14ac:dyDescent="0.25"/>
    <row r="128850" customFormat="1" x14ac:dyDescent="0.25"/>
    <row r="128851" customFormat="1" x14ac:dyDescent="0.25"/>
    <row r="128852" customFormat="1" x14ac:dyDescent="0.25"/>
    <row r="128853" customFormat="1" x14ac:dyDescent="0.25"/>
    <row r="128854" customFormat="1" x14ac:dyDescent="0.25"/>
    <row r="128855" customFormat="1" x14ac:dyDescent="0.25"/>
    <row r="128856" customFormat="1" x14ac:dyDescent="0.25"/>
    <row r="128857" customFormat="1" x14ac:dyDescent="0.25"/>
    <row r="128858" customFormat="1" x14ac:dyDescent="0.25"/>
    <row r="128859" customFormat="1" x14ac:dyDescent="0.25"/>
    <row r="128860" customFormat="1" x14ac:dyDescent="0.25"/>
    <row r="128861" customFormat="1" x14ac:dyDescent="0.25"/>
    <row r="128862" customFormat="1" x14ac:dyDescent="0.25"/>
    <row r="128863" customFormat="1" x14ac:dyDescent="0.25"/>
    <row r="128864" customFormat="1" x14ac:dyDescent="0.25"/>
    <row r="128865" customFormat="1" x14ac:dyDescent="0.25"/>
    <row r="128866" customFormat="1" x14ac:dyDescent="0.25"/>
    <row r="128867" customFormat="1" x14ac:dyDescent="0.25"/>
    <row r="128868" customFormat="1" x14ac:dyDescent="0.25"/>
    <row r="128869" customFormat="1" x14ac:dyDescent="0.25"/>
    <row r="128870" customFormat="1" x14ac:dyDescent="0.25"/>
    <row r="128871" customFormat="1" x14ac:dyDescent="0.25"/>
    <row r="128872" customFormat="1" x14ac:dyDescent="0.25"/>
    <row r="128873" customFormat="1" x14ac:dyDescent="0.25"/>
    <row r="128874" customFormat="1" x14ac:dyDescent="0.25"/>
    <row r="128875" customFormat="1" x14ac:dyDescent="0.25"/>
    <row r="128876" customFormat="1" x14ac:dyDescent="0.25"/>
    <row r="128877" customFormat="1" x14ac:dyDescent="0.25"/>
    <row r="128878" customFormat="1" x14ac:dyDescent="0.25"/>
    <row r="128879" customFormat="1" x14ac:dyDescent="0.25"/>
    <row r="128880" customFormat="1" x14ac:dyDescent="0.25"/>
    <row r="128881" customFormat="1" x14ac:dyDescent="0.25"/>
    <row r="128882" customFormat="1" x14ac:dyDescent="0.25"/>
    <row r="128883" customFormat="1" x14ac:dyDescent="0.25"/>
    <row r="128884" customFormat="1" x14ac:dyDescent="0.25"/>
    <row r="128885" customFormat="1" x14ac:dyDescent="0.25"/>
    <row r="128886" customFormat="1" x14ac:dyDescent="0.25"/>
    <row r="128887" customFormat="1" x14ac:dyDescent="0.25"/>
    <row r="128888" customFormat="1" x14ac:dyDescent="0.25"/>
    <row r="128889" customFormat="1" x14ac:dyDescent="0.25"/>
    <row r="128890" customFormat="1" x14ac:dyDescent="0.25"/>
    <row r="128891" customFormat="1" x14ac:dyDescent="0.25"/>
    <row r="128892" customFormat="1" x14ac:dyDescent="0.25"/>
    <row r="128893" customFormat="1" x14ac:dyDescent="0.25"/>
    <row r="128894" customFormat="1" x14ac:dyDescent="0.25"/>
    <row r="128895" customFormat="1" x14ac:dyDescent="0.25"/>
    <row r="128896" customFormat="1" x14ac:dyDescent="0.25"/>
    <row r="128897" customFormat="1" x14ac:dyDescent="0.25"/>
    <row r="128898" customFormat="1" x14ac:dyDescent="0.25"/>
    <row r="128899" customFormat="1" x14ac:dyDescent="0.25"/>
    <row r="128900" customFormat="1" x14ac:dyDescent="0.25"/>
    <row r="128901" customFormat="1" x14ac:dyDescent="0.25"/>
    <row r="128902" customFormat="1" x14ac:dyDescent="0.25"/>
    <row r="128903" customFormat="1" x14ac:dyDescent="0.25"/>
    <row r="128904" customFormat="1" x14ac:dyDescent="0.25"/>
    <row r="128905" customFormat="1" x14ac:dyDescent="0.25"/>
    <row r="128906" customFormat="1" x14ac:dyDescent="0.25"/>
    <row r="128907" customFormat="1" x14ac:dyDescent="0.25"/>
    <row r="128908" customFormat="1" x14ac:dyDescent="0.25"/>
    <row r="128909" customFormat="1" x14ac:dyDescent="0.25"/>
    <row r="128910" customFormat="1" x14ac:dyDescent="0.25"/>
    <row r="128911" customFormat="1" x14ac:dyDescent="0.25"/>
    <row r="128912" customFormat="1" x14ac:dyDescent="0.25"/>
    <row r="128913" customFormat="1" x14ac:dyDescent="0.25"/>
    <row r="128914" customFormat="1" x14ac:dyDescent="0.25"/>
    <row r="128915" customFormat="1" x14ac:dyDescent="0.25"/>
    <row r="128916" customFormat="1" x14ac:dyDescent="0.25"/>
    <row r="128917" customFormat="1" x14ac:dyDescent="0.25"/>
    <row r="128918" customFormat="1" x14ac:dyDescent="0.25"/>
    <row r="128919" customFormat="1" x14ac:dyDescent="0.25"/>
    <row r="128920" customFormat="1" x14ac:dyDescent="0.25"/>
    <row r="128921" customFormat="1" x14ac:dyDescent="0.25"/>
    <row r="128922" customFormat="1" x14ac:dyDescent="0.25"/>
    <row r="128923" customFormat="1" x14ac:dyDescent="0.25"/>
    <row r="128924" customFormat="1" x14ac:dyDescent="0.25"/>
    <row r="128925" customFormat="1" x14ac:dyDescent="0.25"/>
    <row r="128926" customFormat="1" x14ac:dyDescent="0.25"/>
    <row r="128927" customFormat="1" x14ac:dyDescent="0.25"/>
    <row r="128928" customFormat="1" x14ac:dyDescent="0.25"/>
    <row r="128929" customFormat="1" x14ac:dyDescent="0.25"/>
    <row r="128930" customFormat="1" x14ac:dyDescent="0.25"/>
    <row r="128931" customFormat="1" x14ac:dyDescent="0.25"/>
    <row r="128932" customFormat="1" x14ac:dyDescent="0.25"/>
    <row r="128933" customFormat="1" x14ac:dyDescent="0.25"/>
    <row r="128934" customFormat="1" x14ac:dyDescent="0.25"/>
    <row r="128935" customFormat="1" x14ac:dyDescent="0.25"/>
    <row r="128936" customFormat="1" x14ac:dyDescent="0.25"/>
    <row r="128937" customFormat="1" x14ac:dyDescent="0.25"/>
    <row r="128938" customFormat="1" x14ac:dyDescent="0.25"/>
    <row r="128939" customFormat="1" x14ac:dyDescent="0.25"/>
    <row r="128940" customFormat="1" x14ac:dyDescent="0.25"/>
    <row r="128941" customFormat="1" x14ac:dyDescent="0.25"/>
    <row r="128942" customFormat="1" x14ac:dyDescent="0.25"/>
    <row r="128943" customFormat="1" x14ac:dyDescent="0.25"/>
    <row r="128944" customFormat="1" x14ac:dyDescent="0.25"/>
    <row r="128945" customFormat="1" x14ac:dyDescent="0.25"/>
    <row r="128946" customFormat="1" x14ac:dyDescent="0.25"/>
    <row r="128947" customFormat="1" x14ac:dyDescent="0.25"/>
    <row r="128948" customFormat="1" x14ac:dyDescent="0.25"/>
    <row r="128949" customFormat="1" x14ac:dyDescent="0.25"/>
    <row r="128950" customFormat="1" x14ac:dyDescent="0.25"/>
    <row r="128951" customFormat="1" x14ac:dyDescent="0.25"/>
    <row r="128952" customFormat="1" x14ac:dyDescent="0.25"/>
    <row r="128953" customFormat="1" x14ac:dyDescent="0.25"/>
    <row r="128954" customFormat="1" x14ac:dyDescent="0.25"/>
    <row r="128955" customFormat="1" x14ac:dyDescent="0.25"/>
    <row r="128956" customFormat="1" x14ac:dyDescent="0.25"/>
    <row r="128957" customFormat="1" x14ac:dyDescent="0.25"/>
    <row r="128958" customFormat="1" x14ac:dyDescent="0.25"/>
    <row r="128959" customFormat="1" x14ac:dyDescent="0.25"/>
    <row r="128960" customFormat="1" x14ac:dyDescent="0.25"/>
    <row r="128961" customFormat="1" x14ac:dyDescent="0.25"/>
    <row r="128962" customFormat="1" x14ac:dyDescent="0.25"/>
    <row r="128963" customFormat="1" x14ac:dyDescent="0.25"/>
    <row r="128964" customFormat="1" x14ac:dyDescent="0.25"/>
    <row r="128965" customFormat="1" x14ac:dyDescent="0.25"/>
    <row r="128966" customFormat="1" x14ac:dyDescent="0.25"/>
    <row r="128967" customFormat="1" x14ac:dyDescent="0.25"/>
    <row r="128968" customFormat="1" x14ac:dyDescent="0.25"/>
    <row r="128969" customFormat="1" x14ac:dyDescent="0.25"/>
    <row r="128970" customFormat="1" x14ac:dyDescent="0.25"/>
    <row r="128971" customFormat="1" x14ac:dyDescent="0.25"/>
    <row r="128972" customFormat="1" x14ac:dyDescent="0.25"/>
    <row r="128973" customFormat="1" x14ac:dyDescent="0.25"/>
    <row r="128974" customFormat="1" x14ac:dyDescent="0.25"/>
    <row r="128975" customFormat="1" x14ac:dyDescent="0.25"/>
    <row r="128976" customFormat="1" x14ac:dyDescent="0.25"/>
    <row r="128977" customFormat="1" x14ac:dyDescent="0.25"/>
    <row r="128978" customFormat="1" x14ac:dyDescent="0.25"/>
    <row r="128979" customFormat="1" x14ac:dyDescent="0.25"/>
    <row r="128980" customFormat="1" x14ac:dyDescent="0.25"/>
    <row r="128981" customFormat="1" x14ac:dyDescent="0.25"/>
    <row r="128982" customFormat="1" x14ac:dyDescent="0.25"/>
    <row r="128983" customFormat="1" x14ac:dyDescent="0.25"/>
    <row r="128984" customFormat="1" x14ac:dyDescent="0.25"/>
    <row r="128985" customFormat="1" x14ac:dyDescent="0.25"/>
    <row r="128986" customFormat="1" x14ac:dyDescent="0.25"/>
    <row r="128987" customFormat="1" x14ac:dyDescent="0.25"/>
    <row r="128988" customFormat="1" x14ac:dyDescent="0.25"/>
    <row r="128989" customFormat="1" x14ac:dyDescent="0.25"/>
    <row r="128990" customFormat="1" x14ac:dyDescent="0.25"/>
    <row r="128991" customFormat="1" x14ac:dyDescent="0.25"/>
    <row r="128992" customFormat="1" x14ac:dyDescent="0.25"/>
    <row r="128993" customFormat="1" x14ac:dyDescent="0.25"/>
    <row r="128994" customFormat="1" x14ac:dyDescent="0.25"/>
    <row r="128995" customFormat="1" x14ac:dyDescent="0.25"/>
    <row r="128996" customFormat="1" x14ac:dyDescent="0.25"/>
    <row r="128997" customFormat="1" x14ac:dyDescent="0.25"/>
    <row r="128998" customFormat="1" x14ac:dyDescent="0.25"/>
    <row r="128999" customFormat="1" x14ac:dyDescent="0.25"/>
    <row r="129000" customFormat="1" x14ac:dyDescent="0.25"/>
    <row r="129001" customFormat="1" x14ac:dyDescent="0.25"/>
    <row r="129002" customFormat="1" x14ac:dyDescent="0.25"/>
    <row r="129003" customFormat="1" x14ac:dyDescent="0.25"/>
    <row r="129004" customFormat="1" x14ac:dyDescent="0.25"/>
    <row r="129005" customFormat="1" x14ac:dyDescent="0.25"/>
    <row r="129006" customFormat="1" x14ac:dyDescent="0.25"/>
    <row r="129007" customFormat="1" x14ac:dyDescent="0.25"/>
    <row r="129008" customFormat="1" x14ac:dyDescent="0.25"/>
    <row r="129009" customFormat="1" x14ac:dyDescent="0.25"/>
    <row r="129010" customFormat="1" x14ac:dyDescent="0.25"/>
    <row r="129011" customFormat="1" x14ac:dyDescent="0.25"/>
    <row r="129012" customFormat="1" x14ac:dyDescent="0.25"/>
    <row r="129013" customFormat="1" x14ac:dyDescent="0.25"/>
    <row r="129014" customFormat="1" x14ac:dyDescent="0.25"/>
    <row r="129015" customFormat="1" x14ac:dyDescent="0.25"/>
    <row r="129016" customFormat="1" x14ac:dyDescent="0.25"/>
    <row r="129017" customFormat="1" x14ac:dyDescent="0.25"/>
    <row r="129018" customFormat="1" x14ac:dyDescent="0.25"/>
    <row r="129019" customFormat="1" x14ac:dyDescent="0.25"/>
    <row r="129020" customFormat="1" x14ac:dyDescent="0.25"/>
    <row r="129021" customFormat="1" x14ac:dyDescent="0.25"/>
    <row r="129022" customFormat="1" x14ac:dyDescent="0.25"/>
    <row r="129023" customFormat="1" x14ac:dyDescent="0.25"/>
    <row r="129024" customFormat="1" x14ac:dyDescent="0.25"/>
    <row r="129025" customFormat="1" x14ac:dyDescent="0.25"/>
    <row r="129026" customFormat="1" x14ac:dyDescent="0.25"/>
    <row r="129027" customFormat="1" x14ac:dyDescent="0.25"/>
    <row r="129028" customFormat="1" x14ac:dyDescent="0.25"/>
    <row r="129029" customFormat="1" x14ac:dyDescent="0.25"/>
    <row r="129030" customFormat="1" x14ac:dyDescent="0.25"/>
    <row r="129031" customFormat="1" x14ac:dyDescent="0.25"/>
    <row r="129032" customFormat="1" x14ac:dyDescent="0.25"/>
    <row r="129033" customFormat="1" x14ac:dyDescent="0.25"/>
    <row r="129034" customFormat="1" x14ac:dyDescent="0.25"/>
    <row r="129035" customFormat="1" x14ac:dyDescent="0.25"/>
    <row r="129036" customFormat="1" x14ac:dyDescent="0.25"/>
    <row r="129037" customFormat="1" x14ac:dyDescent="0.25"/>
    <row r="129038" customFormat="1" x14ac:dyDescent="0.25"/>
    <row r="129039" customFormat="1" x14ac:dyDescent="0.25"/>
    <row r="129040" customFormat="1" x14ac:dyDescent="0.25"/>
    <row r="129041" customFormat="1" x14ac:dyDescent="0.25"/>
    <row r="129042" customFormat="1" x14ac:dyDescent="0.25"/>
    <row r="129043" customFormat="1" x14ac:dyDescent="0.25"/>
    <row r="129044" customFormat="1" x14ac:dyDescent="0.25"/>
    <row r="129045" customFormat="1" x14ac:dyDescent="0.25"/>
    <row r="129046" customFormat="1" x14ac:dyDescent="0.25"/>
    <row r="129047" customFormat="1" x14ac:dyDescent="0.25"/>
    <row r="129048" customFormat="1" x14ac:dyDescent="0.25"/>
    <row r="129049" customFormat="1" x14ac:dyDescent="0.25"/>
    <row r="129050" customFormat="1" x14ac:dyDescent="0.25"/>
    <row r="129051" customFormat="1" x14ac:dyDescent="0.25"/>
    <row r="129052" customFormat="1" x14ac:dyDescent="0.25"/>
    <row r="129053" customFormat="1" x14ac:dyDescent="0.25"/>
    <row r="129054" customFormat="1" x14ac:dyDescent="0.25"/>
    <row r="129055" customFormat="1" x14ac:dyDescent="0.25"/>
    <row r="129056" customFormat="1" x14ac:dyDescent="0.25"/>
    <row r="129057" customFormat="1" x14ac:dyDescent="0.25"/>
    <row r="129058" customFormat="1" x14ac:dyDescent="0.25"/>
    <row r="129059" customFormat="1" x14ac:dyDescent="0.25"/>
    <row r="129060" customFormat="1" x14ac:dyDescent="0.25"/>
    <row r="129061" customFormat="1" x14ac:dyDescent="0.25"/>
    <row r="129062" customFormat="1" x14ac:dyDescent="0.25"/>
    <row r="129063" customFormat="1" x14ac:dyDescent="0.25"/>
    <row r="129064" customFormat="1" x14ac:dyDescent="0.25"/>
    <row r="129065" customFormat="1" x14ac:dyDescent="0.25"/>
    <row r="129066" customFormat="1" x14ac:dyDescent="0.25"/>
    <row r="129067" customFormat="1" x14ac:dyDescent="0.25"/>
    <row r="129068" customFormat="1" x14ac:dyDescent="0.25"/>
    <row r="129069" customFormat="1" x14ac:dyDescent="0.25"/>
    <row r="129070" customFormat="1" x14ac:dyDescent="0.25"/>
    <row r="129071" customFormat="1" x14ac:dyDescent="0.25"/>
    <row r="129072" customFormat="1" x14ac:dyDescent="0.25"/>
    <row r="129073" customFormat="1" x14ac:dyDescent="0.25"/>
    <row r="129074" customFormat="1" x14ac:dyDescent="0.25"/>
    <row r="129075" customFormat="1" x14ac:dyDescent="0.25"/>
    <row r="129076" customFormat="1" x14ac:dyDescent="0.25"/>
    <row r="129077" customFormat="1" x14ac:dyDescent="0.25"/>
    <row r="129078" customFormat="1" x14ac:dyDescent="0.25"/>
    <row r="129079" customFormat="1" x14ac:dyDescent="0.25"/>
    <row r="129080" customFormat="1" x14ac:dyDescent="0.25"/>
    <row r="129081" customFormat="1" x14ac:dyDescent="0.25"/>
    <row r="129082" customFormat="1" x14ac:dyDescent="0.25"/>
    <row r="129083" customFormat="1" x14ac:dyDescent="0.25"/>
    <row r="129084" customFormat="1" x14ac:dyDescent="0.25"/>
    <row r="129085" customFormat="1" x14ac:dyDescent="0.25"/>
    <row r="129086" customFormat="1" x14ac:dyDescent="0.25"/>
    <row r="129087" customFormat="1" x14ac:dyDescent="0.25"/>
    <row r="129088" customFormat="1" x14ac:dyDescent="0.25"/>
    <row r="129089" customFormat="1" x14ac:dyDescent="0.25"/>
    <row r="129090" customFormat="1" x14ac:dyDescent="0.25"/>
    <row r="129091" customFormat="1" x14ac:dyDescent="0.25"/>
    <row r="129092" customFormat="1" x14ac:dyDescent="0.25"/>
    <row r="129093" customFormat="1" x14ac:dyDescent="0.25"/>
    <row r="129094" customFormat="1" x14ac:dyDescent="0.25"/>
    <row r="129095" customFormat="1" x14ac:dyDescent="0.25"/>
    <row r="129096" customFormat="1" x14ac:dyDescent="0.25"/>
    <row r="129097" customFormat="1" x14ac:dyDescent="0.25"/>
    <row r="129098" customFormat="1" x14ac:dyDescent="0.25"/>
    <row r="129099" customFormat="1" x14ac:dyDescent="0.25"/>
    <row r="129100" customFormat="1" x14ac:dyDescent="0.25"/>
    <row r="129101" customFormat="1" x14ac:dyDescent="0.25"/>
    <row r="129102" customFormat="1" x14ac:dyDescent="0.25"/>
    <row r="129103" customFormat="1" x14ac:dyDescent="0.25"/>
    <row r="129104" customFormat="1" x14ac:dyDescent="0.25"/>
    <row r="129105" customFormat="1" x14ac:dyDescent="0.25"/>
    <row r="129106" customFormat="1" x14ac:dyDescent="0.25"/>
    <row r="129107" customFormat="1" x14ac:dyDescent="0.25"/>
    <row r="129108" customFormat="1" x14ac:dyDescent="0.25"/>
    <row r="129109" customFormat="1" x14ac:dyDescent="0.25"/>
    <row r="129110" customFormat="1" x14ac:dyDescent="0.25"/>
    <row r="129111" customFormat="1" x14ac:dyDescent="0.25"/>
    <row r="129112" customFormat="1" x14ac:dyDescent="0.25"/>
    <row r="129113" customFormat="1" x14ac:dyDescent="0.25"/>
    <row r="129114" customFormat="1" x14ac:dyDescent="0.25"/>
    <row r="129115" customFormat="1" x14ac:dyDescent="0.25"/>
    <row r="129116" customFormat="1" x14ac:dyDescent="0.25"/>
    <row r="129117" customFormat="1" x14ac:dyDescent="0.25"/>
    <row r="129118" customFormat="1" x14ac:dyDescent="0.25"/>
    <row r="129119" customFormat="1" x14ac:dyDescent="0.25"/>
    <row r="129120" customFormat="1" x14ac:dyDescent="0.25"/>
    <row r="129121" customFormat="1" x14ac:dyDescent="0.25"/>
    <row r="129122" customFormat="1" x14ac:dyDescent="0.25"/>
    <row r="129123" customFormat="1" x14ac:dyDescent="0.25"/>
    <row r="129124" customFormat="1" x14ac:dyDescent="0.25"/>
    <row r="129125" customFormat="1" x14ac:dyDescent="0.25"/>
    <row r="129126" customFormat="1" x14ac:dyDescent="0.25"/>
    <row r="129127" customFormat="1" x14ac:dyDescent="0.25"/>
    <row r="129128" customFormat="1" x14ac:dyDescent="0.25"/>
    <row r="129129" customFormat="1" x14ac:dyDescent="0.25"/>
    <row r="129130" customFormat="1" x14ac:dyDescent="0.25"/>
    <row r="129131" customFormat="1" x14ac:dyDescent="0.25"/>
    <row r="129132" customFormat="1" x14ac:dyDescent="0.25"/>
    <row r="129133" customFormat="1" x14ac:dyDescent="0.25"/>
    <row r="129134" customFormat="1" x14ac:dyDescent="0.25"/>
    <row r="129135" customFormat="1" x14ac:dyDescent="0.25"/>
    <row r="129136" customFormat="1" x14ac:dyDescent="0.25"/>
    <row r="129137" customFormat="1" x14ac:dyDescent="0.25"/>
    <row r="129138" customFormat="1" x14ac:dyDescent="0.25"/>
    <row r="129139" customFormat="1" x14ac:dyDescent="0.25"/>
    <row r="129140" customFormat="1" x14ac:dyDescent="0.25"/>
    <row r="129141" customFormat="1" x14ac:dyDescent="0.25"/>
    <row r="129142" customFormat="1" x14ac:dyDescent="0.25"/>
    <row r="129143" customFormat="1" x14ac:dyDescent="0.25"/>
    <row r="129144" customFormat="1" x14ac:dyDescent="0.25"/>
    <row r="129145" customFormat="1" x14ac:dyDescent="0.25"/>
    <row r="129146" customFormat="1" x14ac:dyDescent="0.25"/>
    <row r="129147" customFormat="1" x14ac:dyDescent="0.25"/>
    <row r="129148" customFormat="1" x14ac:dyDescent="0.25"/>
    <row r="129149" customFormat="1" x14ac:dyDescent="0.25"/>
    <row r="129150" customFormat="1" x14ac:dyDescent="0.25"/>
    <row r="129151" customFormat="1" x14ac:dyDescent="0.25"/>
    <row r="129152" customFormat="1" x14ac:dyDescent="0.25"/>
    <row r="129153" customFormat="1" x14ac:dyDescent="0.25"/>
    <row r="129154" customFormat="1" x14ac:dyDescent="0.25"/>
    <row r="129155" customFormat="1" x14ac:dyDescent="0.25"/>
    <row r="129156" customFormat="1" x14ac:dyDescent="0.25"/>
    <row r="129157" customFormat="1" x14ac:dyDescent="0.25"/>
    <row r="129158" customFormat="1" x14ac:dyDescent="0.25"/>
    <row r="129159" customFormat="1" x14ac:dyDescent="0.25"/>
    <row r="129160" customFormat="1" x14ac:dyDescent="0.25"/>
    <row r="129161" customFormat="1" x14ac:dyDescent="0.25"/>
    <row r="129162" customFormat="1" x14ac:dyDescent="0.25"/>
    <row r="129163" customFormat="1" x14ac:dyDescent="0.25"/>
    <row r="129164" customFormat="1" x14ac:dyDescent="0.25"/>
    <row r="129165" customFormat="1" x14ac:dyDescent="0.25"/>
    <row r="129166" customFormat="1" x14ac:dyDescent="0.25"/>
    <row r="129167" customFormat="1" x14ac:dyDescent="0.25"/>
    <row r="129168" customFormat="1" x14ac:dyDescent="0.25"/>
    <row r="129169" customFormat="1" x14ac:dyDescent="0.25"/>
    <row r="129170" customFormat="1" x14ac:dyDescent="0.25"/>
    <row r="129171" customFormat="1" x14ac:dyDescent="0.25"/>
    <row r="129172" customFormat="1" x14ac:dyDescent="0.25"/>
    <row r="129173" customFormat="1" x14ac:dyDescent="0.25"/>
    <row r="129174" customFormat="1" x14ac:dyDescent="0.25"/>
    <row r="129175" customFormat="1" x14ac:dyDescent="0.25"/>
    <row r="129176" customFormat="1" x14ac:dyDescent="0.25"/>
    <row r="129177" customFormat="1" x14ac:dyDescent="0.25"/>
    <row r="129178" customFormat="1" x14ac:dyDescent="0.25"/>
    <row r="129179" customFormat="1" x14ac:dyDescent="0.25"/>
    <row r="129180" customFormat="1" x14ac:dyDescent="0.25"/>
    <row r="129181" customFormat="1" x14ac:dyDescent="0.25"/>
    <row r="129182" customFormat="1" x14ac:dyDescent="0.25"/>
    <row r="129183" customFormat="1" x14ac:dyDescent="0.25"/>
    <row r="129184" customFormat="1" x14ac:dyDescent="0.25"/>
    <row r="129185" customFormat="1" x14ac:dyDescent="0.25"/>
    <row r="129186" customFormat="1" x14ac:dyDescent="0.25"/>
    <row r="129187" customFormat="1" x14ac:dyDescent="0.25"/>
    <row r="129188" customFormat="1" x14ac:dyDescent="0.25"/>
    <row r="129189" customFormat="1" x14ac:dyDescent="0.25"/>
    <row r="129190" customFormat="1" x14ac:dyDescent="0.25"/>
    <row r="129191" customFormat="1" x14ac:dyDescent="0.25"/>
    <row r="129192" customFormat="1" x14ac:dyDescent="0.25"/>
    <row r="129193" customFormat="1" x14ac:dyDescent="0.25"/>
    <row r="129194" customFormat="1" x14ac:dyDescent="0.25"/>
    <row r="129195" customFormat="1" x14ac:dyDescent="0.25"/>
    <row r="129196" customFormat="1" x14ac:dyDescent="0.25"/>
    <row r="129197" customFormat="1" x14ac:dyDescent="0.25"/>
    <row r="129198" customFormat="1" x14ac:dyDescent="0.25"/>
    <row r="129199" customFormat="1" x14ac:dyDescent="0.25"/>
    <row r="129200" customFormat="1" x14ac:dyDescent="0.25"/>
    <row r="129201" customFormat="1" x14ac:dyDescent="0.25"/>
    <row r="129202" customFormat="1" x14ac:dyDescent="0.25"/>
    <row r="129203" customFormat="1" x14ac:dyDescent="0.25"/>
    <row r="129204" customFormat="1" x14ac:dyDescent="0.25"/>
    <row r="129205" customFormat="1" x14ac:dyDescent="0.25"/>
    <row r="129206" customFormat="1" x14ac:dyDescent="0.25"/>
    <row r="129207" customFormat="1" x14ac:dyDescent="0.25"/>
    <row r="129208" customFormat="1" x14ac:dyDescent="0.25"/>
    <row r="129209" customFormat="1" x14ac:dyDescent="0.25"/>
    <row r="129210" customFormat="1" x14ac:dyDescent="0.25"/>
    <row r="129211" customFormat="1" x14ac:dyDescent="0.25"/>
    <row r="129212" customFormat="1" x14ac:dyDescent="0.25"/>
    <row r="129213" customFormat="1" x14ac:dyDescent="0.25"/>
    <row r="129214" customFormat="1" x14ac:dyDescent="0.25"/>
    <row r="129215" customFormat="1" x14ac:dyDescent="0.25"/>
    <row r="129216" customFormat="1" x14ac:dyDescent="0.25"/>
    <row r="129217" customFormat="1" x14ac:dyDescent="0.25"/>
    <row r="129218" customFormat="1" x14ac:dyDescent="0.25"/>
    <row r="129219" customFormat="1" x14ac:dyDescent="0.25"/>
    <row r="129220" customFormat="1" x14ac:dyDescent="0.25"/>
    <row r="129221" customFormat="1" x14ac:dyDescent="0.25"/>
    <row r="129222" customFormat="1" x14ac:dyDescent="0.25"/>
    <row r="129223" customFormat="1" x14ac:dyDescent="0.25"/>
    <row r="129224" customFormat="1" x14ac:dyDescent="0.25"/>
    <row r="129225" customFormat="1" x14ac:dyDescent="0.25"/>
    <row r="129226" customFormat="1" x14ac:dyDescent="0.25"/>
    <row r="129227" customFormat="1" x14ac:dyDescent="0.25"/>
    <row r="129228" customFormat="1" x14ac:dyDescent="0.25"/>
    <row r="129229" customFormat="1" x14ac:dyDescent="0.25"/>
    <row r="129230" customFormat="1" x14ac:dyDescent="0.25"/>
    <row r="129231" customFormat="1" x14ac:dyDescent="0.25"/>
    <row r="129232" customFormat="1" x14ac:dyDescent="0.25"/>
    <row r="129233" customFormat="1" x14ac:dyDescent="0.25"/>
    <row r="129234" customFormat="1" x14ac:dyDescent="0.25"/>
    <row r="129235" customFormat="1" x14ac:dyDescent="0.25"/>
    <row r="129236" customFormat="1" x14ac:dyDescent="0.25"/>
    <row r="129237" customFormat="1" x14ac:dyDescent="0.25"/>
    <row r="129238" customFormat="1" x14ac:dyDescent="0.25"/>
    <row r="129239" customFormat="1" x14ac:dyDescent="0.25"/>
    <row r="129240" customFormat="1" x14ac:dyDescent="0.25"/>
    <row r="129241" customFormat="1" x14ac:dyDescent="0.25"/>
    <row r="129242" customFormat="1" x14ac:dyDescent="0.25"/>
    <row r="129243" customFormat="1" x14ac:dyDescent="0.25"/>
    <row r="129244" customFormat="1" x14ac:dyDescent="0.25"/>
    <row r="129245" customFormat="1" x14ac:dyDescent="0.25"/>
    <row r="129246" customFormat="1" x14ac:dyDescent="0.25"/>
    <row r="129247" customFormat="1" x14ac:dyDescent="0.25"/>
    <row r="129248" customFormat="1" x14ac:dyDescent="0.25"/>
    <row r="129249" customFormat="1" x14ac:dyDescent="0.25"/>
    <row r="129250" customFormat="1" x14ac:dyDescent="0.25"/>
    <row r="129251" customFormat="1" x14ac:dyDescent="0.25"/>
    <row r="129252" customFormat="1" x14ac:dyDescent="0.25"/>
    <row r="129253" customFormat="1" x14ac:dyDescent="0.25"/>
    <row r="129254" customFormat="1" x14ac:dyDescent="0.25"/>
    <row r="129255" customFormat="1" x14ac:dyDescent="0.25"/>
    <row r="129256" customFormat="1" x14ac:dyDescent="0.25"/>
    <row r="129257" customFormat="1" x14ac:dyDescent="0.25"/>
    <row r="129258" customFormat="1" x14ac:dyDescent="0.25"/>
    <row r="129259" customFormat="1" x14ac:dyDescent="0.25"/>
    <row r="129260" customFormat="1" x14ac:dyDescent="0.25"/>
    <row r="129261" customFormat="1" x14ac:dyDescent="0.25"/>
    <row r="129262" customFormat="1" x14ac:dyDescent="0.25"/>
    <row r="129263" customFormat="1" x14ac:dyDescent="0.25"/>
    <row r="129264" customFormat="1" x14ac:dyDescent="0.25"/>
    <row r="129265" customFormat="1" x14ac:dyDescent="0.25"/>
    <row r="129266" customFormat="1" x14ac:dyDescent="0.25"/>
    <row r="129267" customFormat="1" x14ac:dyDescent="0.25"/>
    <row r="129268" customFormat="1" x14ac:dyDescent="0.25"/>
    <row r="129269" customFormat="1" x14ac:dyDescent="0.25"/>
    <row r="129270" customFormat="1" x14ac:dyDescent="0.25"/>
    <row r="129271" customFormat="1" x14ac:dyDescent="0.25"/>
    <row r="129272" customFormat="1" x14ac:dyDescent="0.25"/>
    <row r="129273" customFormat="1" x14ac:dyDescent="0.25"/>
    <row r="129274" customFormat="1" x14ac:dyDescent="0.25"/>
    <row r="129275" customFormat="1" x14ac:dyDescent="0.25"/>
    <row r="129276" customFormat="1" x14ac:dyDescent="0.25"/>
    <row r="129277" customFormat="1" x14ac:dyDescent="0.25"/>
    <row r="129278" customFormat="1" x14ac:dyDescent="0.25"/>
    <row r="129279" customFormat="1" x14ac:dyDescent="0.25"/>
    <row r="129280" customFormat="1" x14ac:dyDescent="0.25"/>
    <row r="129281" customFormat="1" x14ac:dyDescent="0.25"/>
    <row r="129282" customFormat="1" x14ac:dyDescent="0.25"/>
    <row r="129283" customFormat="1" x14ac:dyDescent="0.25"/>
    <row r="129284" customFormat="1" x14ac:dyDescent="0.25"/>
    <row r="129285" customFormat="1" x14ac:dyDescent="0.25"/>
    <row r="129286" customFormat="1" x14ac:dyDescent="0.25"/>
    <row r="129287" customFormat="1" x14ac:dyDescent="0.25"/>
    <row r="129288" customFormat="1" x14ac:dyDescent="0.25"/>
    <row r="129289" customFormat="1" x14ac:dyDescent="0.25"/>
    <row r="129290" customFormat="1" x14ac:dyDescent="0.25"/>
    <row r="129291" customFormat="1" x14ac:dyDescent="0.25"/>
    <row r="129292" customFormat="1" x14ac:dyDescent="0.25"/>
    <row r="129293" customFormat="1" x14ac:dyDescent="0.25"/>
    <row r="129294" customFormat="1" x14ac:dyDescent="0.25"/>
    <row r="129295" customFormat="1" x14ac:dyDescent="0.25"/>
    <row r="129296" customFormat="1" x14ac:dyDescent="0.25"/>
    <row r="129297" customFormat="1" x14ac:dyDescent="0.25"/>
    <row r="129298" customFormat="1" x14ac:dyDescent="0.25"/>
    <row r="129299" customFormat="1" x14ac:dyDescent="0.25"/>
    <row r="129300" customFormat="1" x14ac:dyDescent="0.25"/>
    <row r="129301" customFormat="1" x14ac:dyDescent="0.25"/>
    <row r="129302" customFormat="1" x14ac:dyDescent="0.25"/>
    <row r="129303" customFormat="1" x14ac:dyDescent="0.25"/>
    <row r="129304" customFormat="1" x14ac:dyDescent="0.25"/>
    <row r="129305" customFormat="1" x14ac:dyDescent="0.25"/>
    <row r="129306" customFormat="1" x14ac:dyDescent="0.25"/>
    <row r="129307" customFormat="1" x14ac:dyDescent="0.25"/>
    <row r="129308" customFormat="1" x14ac:dyDescent="0.25"/>
    <row r="129309" customFormat="1" x14ac:dyDescent="0.25"/>
    <row r="129310" customFormat="1" x14ac:dyDescent="0.25"/>
    <row r="129311" customFormat="1" x14ac:dyDescent="0.25"/>
    <row r="129312" customFormat="1" x14ac:dyDescent="0.25"/>
    <row r="129313" customFormat="1" x14ac:dyDescent="0.25"/>
    <row r="129314" customFormat="1" x14ac:dyDescent="0.25"/>
    <row r="129315" customFormat="1" x14ac:dyDescent="0.25"/>
    <row r="129316" customFormat="1" x14ac:dyDescent="0.25"/>
    <row r="129317" customFormat="1" x14ac:dyDescent="0.25"/>
    <row r="129318" customFormat="1" x14ac:dyDescent="0.25"/>
    <row r="129319" customFormat="1" x14ac:dyDescent="0.25"/>
    <row r="129320" customFormat="1" x14ac:dyDescent="0.25"/>
    <row r="129321" customFormat="1" x14ac:dyDescent="0.25"/>
    <row r="129322" customFormat="1" x14ac:dyDescent="0.25"/>
    <row r="129323" customFormat="1" x14ac:dyDescent="0.25"/>
    <row r="129324" customFormat="1" x14ac:dyDescent="0.25"/>
    <row r="129325" customFormat="1" x14ac:dyDescent="0.25"/>
    <row r="129326" customFormat="1" x14ac:dyDescent="0.25"/>
    <row r="129327" customFormat="1" x14ac:dyDescent="0.25"/>
    <row r="129328" customFormat="1" x14ac:dyDescent="0.25"/>
    <row r="129329" customFormat="1" x14ac:dyDescent="0.25"/>
    <row r="129330" customFormat="1" x14ac:dyDescent="0.25"/>
    <row r="129331" customFormat="1" x14ac:dyDescent="0.25"/>
    <row r="129332" customFormat="1" x14ac:dyDescent="0.25"/>
    <row r="129333" customFormat="1" x14ac:dyDescent="0.25"/>
    <row r="129334" customFormat="1" x14ac:dyDescent="0.25"/>
    <row r="129335" customFormat="1" x14ac:dyDescent="0.25"/>
    <row r="129336" customFormat="1" x14ac:dyDescent="0.25"/>
    <row r="129337" customFormat="1" x14ac:dyDescent="0.25"/>
    <row r="129338" customFormat="1" x14ac:dyDescent="0.25"/>
    <row r="129339" customFormat="1" x14ac:dyDescent="0.25"/>
    <row r="129340" customFormat="1" x14ac:dyDescent="0.25"/>
    <row r="129341" customFormat="1" x14ac:dyDescent="0.25"/>
    <row r="129342" customFormat="1" x14ac:dyDescent="0.25"/>
    <row r="129343" customFormat="1" x14ac:dyDescent="0.25"/>
    <row r="129344" customFormat="1" x14ac:dyDescent="0.25"/>
    <row r="129345" customFormat="1" x14ac:dyDescent="0.25"/>
    <row r="129346" customFormat="1" x14ac:dyDescent="0.25"/>
    <row r="129347" customFormat="1" x14ac:dyDescent="0.25"/>
    <row r="129348" customFormat="1" x14ac:dyDescent="0.25"/>
    <row r="129349" customFormat="1" x14ac:dyDescent="0.25"/>
    <row r="129350" customFormat="1" x14ac:dyDescent="0.25"/>
    <row r="129351" customFormat="1" x14ac:dyDescent="0.25"/>
    <row r="129352" customFormat="1" x14ac:dyDescent="0.25"/>
    <row r="129353" customFormat="1" x14ac:dyDescent="0.25"/>
    <row r="129354" customFormat="1" x14ac:dyDescent="0.25"/>
    <row r="129355" customFormat="1" x14ac:dyDescent="0.25"/>
    <row r="129356" customFormat="1" x14ac:dyDescent="0.25"/>
    <row r="129357" customFormat="1" x14ac:dyDescent="0.25"/>
    <row r="129358" customFormat="1" x14ac:dyDescent="0.25"/>
    <row r="129359" customFormat="1" x14ac:dyDescent="0.25"/>
    <row r="129360" customFormat="1" x14ac:dyDescent="0.25"/>
    <row r="129361" customFormat="1" x14ac:dyDescent="0.25"/>
    <row r="129362" customFormat="1" x14ac:dyDescent="0.25"/>
    <row r="129363" customFormat="1" x14ac:dyDescent="0.25"/>
    <row r="129364" customFormat="1" x14ac:dyDescent="0.25"/>
    <row r="129365" customFormat="1" x14ac:dyDescent="0.25"/>
    <row r="129366" customFormat="1" x14ac:dyDescent="0.25"/>
    <row r="129367" customFormat="1" x14ac:dyDescent="0.25"/>
    <row r="129368" customFormat="1" x14ac:dyDescent="0.25"/>
    <row r="129369" customFormat="1" x14ac:dyDescent="0.25"/>
    <row r="129370" customFormat="1" x14ac:dyDescent="0.25"/>
    <row r="129371" customFormat="1" x14ac:dyDescent="0.25"/>
    <row r="129372" customFormat="1" x14ac:dyDescent="0.25"/>
    <row r="129373" customFormat="1" x14ac:dyDescent="0.25"/>
    <row r="129374" customFormat="1" x14ac:dyDescent="0.25"/>
    <row r="129375" customFormat="1" x14ac:dyDescent="0.25"/>
    <row r="129376" customFormat="1" x14ac:dyDescent="0.25"/>
    <row r="129377" customFormat="1" x14ac:dyDescent="0.25"/>
    <row r="129378" customFormat="1" x14ac:dyDescent="0.25"/>
    <row r="129379" customFormat="1" x14ac:dyDescent="0.25"/>
    <row r="129380" customFormat="1" x14ac:dyDescent="0.25"/>
    <row r="129381" customFormat="1" x14ac:dyDescent="0.25"/>
    <row r="129382" customFormat="1" x14ac:dyDescent="0.25"/>
    <row r="129383" customFormat="1" x14ac:dyDescent="0.25"/>
    <row r="129384" customFormat="1" x14ac:dyDescent="0.25"/>
    <row r="129385" customFormat="1" x14ac:dyDescent="0.25"/>
    <row r="129386" customFormat="1" x14ac:dyDescent="0.25"/>
    <row r="129387" customFormat="1" x14ac:dyDescent="0.25"/>
    <row r="129388" customFormat="1" x14ac:dyDescent="0.25"/>
    <row r="129389" customFormat="1" x14ac:dyDescent="0.25"/>
    <row r="129390" customFormat="1" x14ac:dyDescent="0.25"/>
    <row r="129391" customFormat="1" x14ac:dyDescent="0.25"/>
    <row r="129392" customFormat="1" x14ac:dyDescent="0.25"/>
    <row r="129393" customFormat="1" x14ac:dyDescent="0.25"/>
    <row r="129394" customFormat="1" x14ac:dyDescent="0.25"/>
    <row r="129395" customFormat="1" x14ac:dyDescent="0.25"/>
    <row r="129396" customFormat="1" x14ac:dyDescent="0.25"/>
    <row r="129397" customFormat="1" x14ac:dyDescent="0.25"/>
    <row r="129398" customFormat="1" x14ac:dyDescent="0.25"/>
    <row r="129399" customFormat="1" x14ac:dyDescent="0.25"/>
    <row r="129400" customFormat="1" x14ac:dyDescent="0.25"/>
    <row r="129401" customFormat="1" x14ac:dyDescent="0.25"/>
    <row r="129402" customFormat="1" x14ac:dyDescent="0.25"/>
    <row r="129403" customFormat="1" x14ac:dyDescent="0.25"/>
    <row r="129404" customFormat="1" x14ac:dyDescent="0.25"/>
    <row r="129405" customFormat="1" x14ac:dyDescent="0.25"/>
    <row r="129406" customFormat="1" x14ac:dyDescent="0.25"/>
    <row r="129407" customFormat="1" x14ac:dyDescent="0.25"/>
    <row r="129408" customFormat="1" x14ac:dyDescent="0.25"/>
    <row r="129409" customFormat="1" x14ac:dyDescent="0.25"/>
    <row r="129410" customFormat="1" x14ac:dyDescent="0.25"/>
    <row r="129411" customFormat="1" x14ac:dyDescent="0.25"/>
    <row r="129412" customFormat="1" x14ac:dyDescent="0.25"/>
    <row r="129413" customFormat="1" x14ac:dyDescent="0.25"/>
    <row r="129414" customFormat="1" x14ac:dyDescent="0.25"/>
    <row r="129415" customFormat="1" x14ac:dyDescent="0.25"/>
    <row r="129416" customFormat="1" x14ac:dyDescent="0.25"/>
    <row r="129417" customFormat="1" x14ac:dyDescent="0.25"/>
    <row r="129418" customFormat="1" x14ac:dyDescent="0.25"/>
    <row r="129419" customFormat="1" x14ac:dyDescent="0.25"/>
    <row r="129420" customFormat="1" x14ac:dyDescent="0.25"/>
    <row r="129421" customFormat="1" x14ac:dyDescent="0.25"/>
    <row r="129422" customFormat="1" x14ac:dyDescent="0.25"/>
    <row r="129423" customFormat="1" x14ac:dyDescent="0.25"/>
    <row r="129424" customFormat="1" x14ac:dyDescent="0.25"/>
    <row r="129425" customFormat="1" x14ac:dyDescent="0.25"/>
    <row r="129426" customFormat="1" x14ac:dyDescent="0.25"/>
    <row r="129427" customFormat="1" x14ac:dyDescent="0.25"/>
    <row r="129428" customFormat="1" x14ac:dyDescent="0.25"/>
    <row r="129429" customFormat="1" x14ac:dyDescent="0.25"/>
    <row r="129430" customFormat="1" x14ac:dyDescent="0.25"/>
    <row r="129431" customFormat="1" x14ac:dyDescent="0.25"/>
    <row r="129432" customFormat="1" x14ac:dyDescent="0.25"/>
    <row r="129433" customFormat="1" x14ac:dyDescent="0.25"/>
    <row r="129434" customFormat="1" x14ac:dyDescent="0.25"/>
    <row r="129435" customFormat="1" x14ac:dyDescent="0.25"/>
    <row r="129436" customFormat="1" x14ac:dyDescent="0.25"/>
    <row r="129437" customFormat="1" x14ac:dyDescent="0.25"/>
    <row r="129438" customFormat="1" x14ac:dyDescent="0.25"/>
    <row r="129439" customFormat="1" x14ac:dyDescent="0.25"/>
    <row r="129440" customFormat="1" x14ac:dyDescent="0.25"/>
    <row r="129441" customFormat="1" x14ac:dyDescent="0.25"/>
    <row r="129442" customFormat="1" x14ac:dyDescent="0.25"/>
    <row r="129443" customFormat="1" x14ac:dyDescent="0.25"/>
    <row r="129444" customFormat="1" x14ac:dyDescent="0.25"/>
    <row r="129445" customFormat="1" x14ac:dyDescent="0.25"/>
    <row r="129446" customFormat="1" x14ac:dyDescent="0.25"/>
    <row r="129447" customFormat="1" x14ac:dyDescent="0.25"/>
    <row r="129448" customFormat="1" x14ac:dyDescent="0.25"/>
    <row r="129449" customFormat="1" x14ac:dyDescent="0.25"/>
    <row r="129450" customFormat="1" x14ac:dyDescent="0.25"/>
    <row r="129451" customFormat="1" x14ac:dyDescent="0.25"/>
    <row r="129452" customFormat="1" x14ac:dyDescent="0.25"/>
    <row r="129453" customFormat="1" x14ac:dyDescent="0.25"/>
    <row r="129454" customFormat="1" x14ac:dyDescent="0.25"/>
    <row r="129455" customFormat="1" x14ac:dyDescent="0.25"/>
    <row r="129456" customFormat="1" x14ac:dyDescent="0.25"/>
    <row r="129457" customFormat="1" x14ac:dyDescent="0.25"/>
    <row r="129458" customFormat="1" x14ac:dyDescent="0.25"/>
    <row r="129459" customFormat="1" x14ac:dyDescent="0.25"/>
    <row r="129460" customFormat="1" x14ac:dyDescent="0.25"/>
    <row r="129461" customFormat="1" x14ac:dyDescent="0.25"/>
    <row r="129462" customFormat="1" x14ac:dyDescent="0.25"/>
    <row r="129463" customFormat="1" x14ac:dyDescent="0.25"/>
    <row r="129464" customFormat="1" x14ac:dyDescent="0.25"/>
    <row r="129465" customFormat="1" x14ac:dyDescent="0.25"/>
    <row r="129466" customFormat="1" x14ac:dyDescent="0.25"/>
    <row r="129467" customFormat="1" x14ac:dyDescent="0.25"/>
    <row r="129468" customFormat="1" x14ac:dyDescent="0.25"/>
    <row r="129469" customFormat="1" x14ac:dyDescent="0.25"/>
    <row r="129470" customFormat="1" x14ac:dyDescent="0.25"/>
    <row r="129471" customFormat="1" x14ac:dyDescent="0.25"/>
    <row r="129472" customFormat="1" x14ac:dyDescent="0.25"/>
    <row r="129473" customFormat="1" x14ac:dyDescent="0.25"/>
    <row r="129474" customFormat="1" x14ac:dyDescent="0.25"/>
    <row r="129475" customFormat="1" x14ac:dyDescent="0.25"/>
    <row r="129476" customFormat="1" x14ac:dyDescent="0.25"/>
    <row r="129477" customFormat="1" x14ac:dyDescent="0.25"/>
    <row r="129478" customFormat="1" x14ac:dyDescent="0.25"/>
    <row r="129479" customFormat="1" x14ac:dyDescent="0.25"/>
    <row r="129480" customFormat="1" x14ac:dyDescent="0.25"/>
    <row r="129481" customFormat="1" x14ac:dyDescent="0.25"/>
    <row r="129482" customFormat="1" x14ac:dyDescent="0.25"/>
    <row r="129483" customFormat="1" x14ac:dyDescent="0.25"/>
    <row r="129484" customFormat="1" x14ac:dyDescent="0.25"/>
    <row r="129485" customFormat="1" x14ac:dyDescent="0.25"/>
    <row r="129486" customFormat="1" x14ac:dyDescent="0.25"/>
    <row r="129487" customFormat="1" x14ac:dyDescent="0.25"/>
    <row r="129488" customFormat="1" x14ac:dyDescent="0.25"/>
    <row r="129489" customFormat="1" x14ac:dyDescent="0.25"/>
    <row r="129490" customFormat="1" x14ac:dyDescent="0.25"/>
    <row r="129491" customFormat="1" x14ac:dyDescent="0.25"/>
    <row r="129492" customFormat="1" x14ac:dyDescent="0.25"/>
    <row r="129493" customFormat="1" x14ac:dyDescent="0.25"/>
    <row r="129494" customFormat="1" x14ac:dyDescent="0.25"/>
    <row r="129495" customFormat="1" x14ac:dyDescent="0.25"/>
    <row r="129496" customFormat="1" x14ac:dyDescent="0.25"/>
    <row r="129497" customFormat="1" x14ac:dyDescent="0.25"/>
    <row r="129498" customFormat="1" x14ac:dyDescent="0.25"/>
    <row r="129499" customFormat="1" x14ac:dyDescent="0.25"/>
    <row r="129500" customFormat="1" x14ac:dyDescent="0.25"/>
    <row r="129501" customFormat="1" x14ac:dyDescent="0.25"/>
    <row r="129502" customFormat="1" x14ac:dyDescent="0.25"/>
    <row r="129503" customFormat="1" x14ac:dyDescent="0.25"/>
    <row r="129504" customFormat="1" x14ac:dyDescent="0.25"/>
    <row r="129505" customFormat="1" x14ac:dyDescent="0.25"/>
    <row r="129506" customFormat="1" x14ac:dyDescent="0.25"/>
    <row r="129507" customFormat="1" x14ac:dyDescent="0.25"/>
    <row r="129508" customFormat="1" x14ac:dyDescent="0.25"/>
    <row r="129509" customFormat="1" x14ac:dyDescent="0.25"/>
    <row r="129510" customFormat="1" x14ac:dyDescent="0.25"/>
    <row r="129511" customFormat="1" x14ac:dyDescent="0.25"/>
    <row r="129512" customFormat="1" x14ac:dyDescent="0.25"/>
    <row r="129513" customFormat="1" x14ac:dyDescent="0.25"/>
    <row r="129514" customFormat="1" x14ac:dyDescent="0.25"/>
    <row r="129515" customFormat="1" x14ac:dyDescent="0.25"/>
    <row r="129516" customFormat="1" x14ac:dyDescent="0.25"/>
    <row r="129517" customFormat="1" x14ac:dyDescent="0.25"/>
    <row r="129518" customFormat="1" x14ac:dyDescent="0.25"/>
    <row r="129519" customFormat="1" x14ac:dyDescent="0.25"/>
    <row r="129520" customFormat="1" x14ac:dyDescent="0.25"/>
    <row r="129521" customFormat="1" x14ac:dyDescent="0.25"/>
    <row r="129522" customFormat="1" x14ac:dyDescent="0.25"/>
    <row r="129523" customFormat="1" x14ac:dyDescent="0.25"/>
    <row r="129524" customFormat="1" x14ac:dyDescent="0.25"/>
    <row r="129525" customFormat="1" x14ac:dyDescent="0.25"/>
    <row r="129526" customFormat="1" x14ac:dyDescent="0.25"/>
    <row r="129527" customFormat="1" x14ac:dyDescent="0.25"/>
    <row r="129528" customFormat="1" x14ac:dyDescent="0.25"/>
    <row r="129529" customFormat="1" x14ac:dyDescent="0.25"/>
    <row r="129530" customFormat="1" x14ac:dyDescent="0.25"/>
    <row r="129531" customFormat="1" x14ac:dyDescent="0.25"/>
    <row r="129532" customFormat="1" x14ac:dyDescent="0.25"/>
    <row r="129533" customFormat="1" x14ac:dyDescent="0.25"/>
    <row r="129534" customFormat="1" x14ac:dyDescent="0.25"/>
    <row r="129535" customFormat="1" x14ac:dyDescent="0.25"/>
    <row r="129536" customFormat="1" x14ac:dyDescent="0.25"/>
    <row r="129537" customFormat="1" x14ac:dyDescent="0.25"/>
    <row r="129538" customFormat="1" x14ac:dyDescent="0.25"/>
    <row r="129539" customFormat="1" x14ac:dyDescent="0.25"/>
    <row r="129540" customFormat="1" x14ac:dyDescent="0.25"/>
    <row r="129541" customFormat="1" x14ac:dyDescent="0.25"/>
    <row r="129542" customFormat="1" x14ac:dyDescent="0.25"/>
    <row r="129543" customFormat="1" x14ac:dyDescent="0.25"/>
    <row r="129544" customFormat="1" x14ac:dyDescent="0.25"/>
    <row r="129545" customFormat="1" x14ac:dyDescent="0.25"/>
    <row r="129546" customFormat="1" x14ac:dyDescent="0.25"/>
    <row r="129547" customFormat="1" x14ac:dyDescent="0.25"/>
    <row r="129548" customFormat="1" x14ac:dyDescent="0.25"/>
    <row r="129549" customFormat="1" x14ac:dyDescent="0.25"/>
    <row r="129550" customFormat="1" x14ac:dyDescent="0.25"/>
    <row r="129551" customFormat="1" x14ac:dyDescent="0.25"/>
    <row r="129552" customFormat="1" x14ac:dyDescent="0.25"/>
    <row r="129553" customFormat="1" x14ac:dyDescent="0.25"/>
    <row r="129554" customFormat="1" x14ac:dyDescent="0.25"/>
    <row r="129555" customFormat="1" x14ac:dyDescent="0.25"/>
    <row r="129556" customFormat="1" x14ac:dyDescent="0.25"/>
    <row r="129557" customFormat="1" x14ac:dyDescent="0.25"/>
    <row r="129558" customFormat="1" x14ac:dyDescent="0.25"/>
    <row r="129559" customFormat="1" x14ac:dyDescent="0.25"/>
    <row r="129560" customFormat="1" x14ac:dyDescent="0.25"/>
    <row r="129561" customFormat="1" x14ac:dyDescent="0.25"/>
    <row r="129562" customFormat="1" x14ac:dyDescent="0.25"/>
    <row r="129563" customFormat="1" x14ac:dyDescent="0.25"/>
    <row r="129564" customFormat="1" x14ac:dyDescent="0.25"/>
    <row r="129565" customFormat="1" x14ac:dyDescent="0.25"/>
    <row r="129566" customFormat="1" x14ac:dyDescent="0.25"/>
    <row r="129567" customFormat="1" x14ac:dyDescent="0.25"/>
    <row r="129568" customFormat="1" x14ac:dyDescent="0.25"/>
    <row r="129569" customFormat="1" x14ac:dyDescent="0.25"/>
    <row r="129570" customFormat="1" x14ac:dyDescent="0.25"/>
    <row r="129571" customFormat="1" x14ac:dyDescent="0.25"/>
    <row r="129572" customFormat="1" x14ac:dyDescent="0.25"/>
    <row r="129573" customFormat="1" x14ac:dyDescent="0.25"/>
    <row r="129574" customFormat="1" x14ac:dyDescent="0.25"/>
    <row r="129575" customFormat="1" x14ac:dyDescent="0.25"/>
    <row r="129576" customFormat="1" x14ac:dyDescent="0.25"/>
    <row r="129577" customFormat="1" x14ac:dyDescent="0.25"/>
    <row r="129578" customFormat="1" x14ac:dyDescent="0.25"/>
    <row r="129579" customFormat="1" x14ac:dyDescent="0.25"/>
    <row r="129580" customFormat="1" x14ac:dyDescent="0.25"/>
    <row r="129581" customFormat="1" x14ac:dyDescent="0.25"/>
    <row r="129582" customFormat="1" x14ac:dyDescent="0.25"/>
    <row r="129583" customFormat="1" x14ac:dyDescent="0.25"/>
    <row r="129584" customFormat="1" x14ac:dyDescent="0.25"/>
    <row r="129585" customFormat="1" x14ac:dyDescent="0.25"/>
    <row r="129586" customFormat="1" x14ac:dyDescent="0.25"/>
    <row r="129587" customFormat="1" x14ac:dyDescent="0.25"/>
    <row r="129588" customFormat="1" x14ac:dyDescent="0.25"/>
    <row r="129589" customFormat="1" x14ac:dyDescent="0.25"/>
    <row r="129590" customFormat="1" x14ac:dyDescent="0.25"/>
    <row r="129591" customFormat="1" x14ac:dyDescent="0.25"/>
    <row r="129592" customFormat="1" x14ac:dyDescent="0.25"/>
    <row r="129593" customFormat="1" x14ac:dyDescent="0.25"/>
    <row r="129594" customFormat="1" x14ac:dyDescent="0.25"/>
    <row r="129595" customFormat="1" x14ac:dyDescent="0.25"/>
    <row r="129596" customFormat="1" x14ac:dyDescent="0.25"/>
    <row r="129597" customFormat="1" x14ac:dyDescent="0.25"/>
    <row r="129598" customFormat="1" x14ac:dyDescent="0.25"/>
    <row r="129599" customFormat="1" x14ac:dyDescent="0.25"/>
    <row r="129600" customFormat="1" x14ac:dyDescent="0.25"/>
    <row r="129601" customFormat="1" x14ac:dyDescent="0.25"/>
    <row r="129602" customFormat="1" x14ac:dyDescent="0.25"/>
    <row r="129603" customFormat="1" x14ac:dyDescent="0.25"/>
    <row r="129604" customFormat="1" x14ac:dyDescent="0.25"/>
    <row r="129605" customFormat="1" x14ac:dyDescent="0.25"/>
    <row r="129606" customFormat="1" x14ac:dyDescent="0.25"/>
    <row r="129607" customFormat="1" x14ac:dyDescent="0.25"/>
    <row r="129608" customFormat="1" x14ac:dyDescent="0.25"/>
    <row r="129609" customFormat="1" x14ac:dyDescent="0.25"/>
    <row r="129610" customFormat="1" x14ac:dyDescent="0.25"/>
    <row r="129611" customFormat="1" x14ac:dyDescent="0.25"/>
    <row r="129612" customFormat="1" x14ac:dyDescent="0.25"/>
    <row r="129613" customFormat="1" x14ac:dyDescent="0.25"/>
    <row r="129614" customFormat="1" x14ac:dyDescent="0.25"/>
    <row r="129615" customFormat="1" x14ac:dyDescent="0.25"/>
    <row r="129616" customFormat="1" x14ac:dyDescent="0.25"/>
    <row r="129617" customFormat="1" x14ac:dyDescent="0.25"/>
    <row r="129618" customFormat="1" x14ac:dyDescent="0.25"/>
    <row r="129619" customFormat="1" x14ac:dyDescent="0.25"/>
    <row r="129620" customFormat="1" x14ac:dyDescent="0.25"/>
    <row r="129621" customFormat="1" x14ac:dyDescent="0.25"/>
    <row r="129622" customFormat="1" x14ac:dyDescent="0.25"/>
    <row r="129623" customFormat="1" x14ac:dyDescent="0.25"/>
    <row r="129624" customFormat="1" x14ac:dyDescent="0.25"/>
    <row r="129625" customFormat="1" x14ac:dyDescent="0.25"/>
    <row r="129626" customFormat="1" x14ac:dyDescent="0.25"/>
    <row r="129627" customFormat="1" x14ac:dyDescent="0.25"/>
    <row r="129628" customFormat="1" x14ac:dyDescent="0.25"/>
    <row r="129629" customFormat="1" x14ac:dyDescent="0.25"/>
    <row r="129630" customFormat="1" x14ac:dyDescent="0.25"/>
    <row r="129631" customFormat="1" x14ac:dyDescent="0.25"/>
    <row r="129632" customFormat="1" x14ac:dyDescent="0.25"/>
    <row r="129633" customFormat="1" x14ac:dyDescent="0.25"/>
    <row r="129634" customFormat="1" x14ac:dyDescent="0.25"/>
    <row r="129635" customFormat="1" x14ac:dyDescent="0.25"/>
    <row r="129636" customFormat="1" x14ac:dyDescent="0.25"/>
    <row r="129637" customFormat="1" x14ac:dyDescent="0.25"/>
    <row r="129638" customFormat="1" x14ac:dyDescent="0.25"/>
    <row r="129639" customFormat="1" x14ac:dyDescent="0.25"/>
    <row r="129640" customFormat="1" x14ac:dyDescent="0.25"/>
    <row r="129641" customFormat="1" x14ac:dyDescent="0.25"/>
    <row r="129642" customFormat="1" x14ac:dyDescent="0.25"/>
    <row r="129643" customFormat="1" x14ac:dyDescent="0.25"/>
    <row r="129644" customFormat="1" x14ac:dyDescent="0.25"/>
    <row r="129645" customFormat="1" x14ac:dyDescent="0.25"/>
    <row r="129646" customFormat="1" x14ac:dyDescent="0.25"/>
    <row r="129647" customFormat="1" x14ac:dyDescent="0.25"/>
    <row r="129648" customFormat="1" x14ac:dyDescent="0.25"/>
    <row r="129649" customFormat="1" x14ac:dyDescent="0.25"/>
    <row r="129650" customFormat="1" x14ac:dyDescent="0.25"/>
    <row r="129651" customFormat="1" x14ac:dyDescent="0.25"/>
    <row r="129652" customFormat="1" x14ac:dyDescent="0.25"/>
    <row r="129653" customFormat="1" x14ac:dyDescent="0.25"/>
    <row r="129654" customFormat="1" x14ac:dyDescent="0.25"/>
    <row r="129655" customFormat="1" x14ac:dyDescent="0.25"/>
    <row r="129656" customFormat="1" x14ac:dyDescent="0.25"/>
    <row r="129657" customFormat="1" x14ac:dyDescent="0.25"/>
    <row r="129658" customFormat="1" x14ac:dyDescent="0.25"/>
    <row r="129659" customFormat="1" x14ac:dyDescent="0.25"/>
    <row r="129660" customFormat="1" x14ac:dyDescent="0.25"/>
    <row r="129661" customFormat="1" x14ac:dyDescent="0.25"/>
    <row r="129662" customFormat="1" x14ac:dyDescent="0.25"/>
    <row r="129663" customFormat="1" x14ac:dyDescent="0.25"/>
    <row r="129664" customFormat="1" x14ac:dyDescent="0.25"/>
    <row r="129665" customFormat="1" x14ac:dyDescent="0.25"/>
    <row r="129666" customFormat="1" x14ac:dyDescent="0.25"/>
    <row r="129667" customFormat="1" x14ac:dyDescent="0.25"/>
    <row r="129668" customFormat="1" x14ac:dyDescent="0.25"/>
    <row r="129669" customFormat="1" x14ac:dyDescent="0.25"/>
    <row r="129670" customFormat="1" x14ac:dyDescent="0.25"/>
    <row r="129671" customFormat="1" x14ac:dyDescent="0.25"/>
    <row r="129672" customFormat="1" x14ac:dyDescent="0.25"/>
    <row r="129673" customFormat="1" x14ac:dyDescent="0.25"/>
    <row r="129674" customFormat="1" x14ac:dyDescent="0.25"/>
    <row r="129675" customFormat="1" x14ac:dyDescent="0.25"/>
    <row r="129676" customFormat="1" x14ac:dyDescent="0.25"/>
    <row r="129677" customFormat="1" x14ac:dyDescent="0.25"/>
    <row r="129678" customFormat="1" x14ac:dyDescent="0.25"/>
    <row r="129679" customFormat="1" x14ac:dyDescent="0.25"/>
    <row r="129680" customFormat="1" x14ac:dyDescent="0.25"/>
    <row r="129681" customFormat="1" x14ac:dyDescent="0.25"/>
    <row r="129682" customFormat="1" x14ac:dyDescent="0.25"/>
    <row r="129683" customFormat="1" x14ac:dyDescent="0.25"/>
    <row r="129684" customFormat="1" x14ac:dyDescent="0.25"/>
    <row r="129685" customFormat="1" x14ac:dyDescent="0.25"/>
    <row r="129686" customFormat="1" x14ac:dyDescent="0.25"/>
    <row r="129687" customFormat="1" x14ac:dyDescent="0.25"/>
    <row r="129688" customFormat="1" x14ac:dyDescent="0.25"/>
    <row r="129689" customFormat="1" x14ac:dyDescent="0.25"/>
    <row r="129690" customFormat="1" x14ac:dyDescent="0.25"/>
    <row r="129691" customFormat="1" x14ac:dyDescent="0.25"/>
    <row r="129692" customFormat="1" x14ac:dyDescent="0.25"/>
    <row r="129693" customFormat="1" x14ac:dyDescent="0.25"/>
    <row r="129694" customFormat="1" x14ac:dyDescent="0.25"/>
    <row r="129695" customFormat="1" x14ac:dyDescent="0.25"/>
    <row r="129696" customFormat="1" x14ac:dyDescent="0.25"/>
    <row r="129697" customFormat="1" x14ac:dyDescent="0.25"/>
    <row r="129698" customFormat="1" x14ac:dyDescent="0.25"/>
    <row r="129699" customFormat="1" x14ac:dyDescent="0.25"/>
    <row r="129700" customFormat="1" x14ac:dyDescent="0.25"/>
    <row r="129701" customFormat="1" x14ac:dyDescent="0.25"/>
    <row r="129702" customFormat="1" x14ac:dyDescent="0.25"/>
    <row r="129703" customFormat="1" x14ac:dyDescent="0.25"/>
    <row r="129704" customFormat="1" x14ac:dyDescent="0.25"/>
    <row r="129705" customFormat="1" x14ac:dyDescent="0.25"/>
    <row r="129706" customFormat="1" x14ac:dyDescent="0.25"/>
    <row r="129707" customFormat="1" x14ac:dyDescent="0.25"/>
    <row r="129708" customFormat="1" x14ac:dyDescent="0.25"/>
    <row r="129709" customFormat="1" x14ac:dyDescent="0.25"/>
    <row r="129710" customFormat="1" x14ac:dyDescent="0.25"/>
    <row r="129711" customFormat="1" x14ac:dyDescent="0.25"/>
    <row r="129712" customFormat="1" x14ac:dyDescent="0.25"/>
    <row r="129713" customFormat="1" x14ac:dyDescent="0.25"/>
    <row r="129714" customFormat="1" x14ac:dyDescent="0.25"/>
    <row r="129715" customFormat="1" x14ac:dyDescent="0.25"/>
    <row r="129716" customFormat="1" x14ac:dyDescent="0.25"/>
    <row r="129717" customFormat="1" x14ac:dyDescent="0.25"/>
    <row r="129718" customFormat="1" x14ac:dyDescent="0.25"/>
    <row r="129719" customFormat="1" x14ac:dyDescent="0.25"/>
    <row r="129720" customFormat="1" x14ac:dyDescent="0.25"/>
    <row r="129721" customFormat="1" x14ac:dyDescent="0.25"/>
    <row r="129722" customFormat="1" x14ac:dyDescent="0.25"/>
    <row r="129723" customFormat="1" x14ac:dyDescent="0.25"/>
    <row r="129724" customFormat="1" x14ac:dyDescent="0.25"/>
    <row r="129725" customFormat="1" x14ac:dyDescent="0.25"/>
    <row r="129726" customFormat="1" x14ac:dyDescent="0.25"/>
    <row r="129727" customFormat="1" x14ac:dyDescent="0.25"/>
    <row r="129728" customFormat="1" x14ac:dyDescent="0.25"/>
    <row r="129729" customFormat="1" x14ac:dyDescent="0.25"/>
    <row r="129730" customFormat="1" x14ac:dyDescent="0.25"/>
    <row r="129731" customFormat="1" x14ac:dyDescent="0.25"/>
    <row r="129732" customFormat="1" x14ac:dyDescent="0.25"/>
    <row r="129733" customFormat="1" x14ac:dyDescent="0.25"/>
    <row r="129734" customFormat="1" x14ac:dyDescent="0.25"/>
    <row r="129735" customFormat="1" x14ac:dyDescent="0.25"/>
    <row r="129736" customFormat="1" x14ac:dyDescent="0.25"/>
    <row r="129737" customFormat="1" x14ac:dyDescent="0.25"/>
    <row r="129738" customFormat="1" x14ac:dyDescent="0.25"/>
    <row r="129739" customFormat="1" x14ac:dyDescent="0.25"/>
    <row r="129740" customFormat="1" x14ac:dyDescent="0.25"/>
    <row r="129741" customFormat="1" x14ac:dyDescent="0.25"/>
    <row r="129742" customFormat="1" x14ac:dyDescent="0.25"/>
    <row r="129743" customFormat="1" x14ac:dyDescent="0.25"/>
    <row r="129744" customFormat="1" x14ac:dyDescent="0.25"/>
    <row r="129745" customFormat="1" x14ac:dyDescent="0.25"/>
    <row r="129746" customFormat="1" x14ac:dyDescent="0.25"/>
    <row r="129747" customFormat="1" x14ac:dyDescent="0.25"/>
    <row r="129748" customFormat="1" x14ac:dyDescent="0.25"/>
    <row r="129749" customFormat="1" x14ac:dyDescent="0.25"/>
    <row r="129750" customFormat="1" x14ac:dyDescent="0.25"/>
    <row r="129751" customFormat="1" x14ac:dyDescent="0.25"/>
    <row r="129752" customFormat="1" x14ac:dyDescent="0.25"/>
    <row r="129753" customFormat="1" x14ac:dyDescent="0.25"/>
    <row r="129754" customFormat="1" x14ac:dyDescent="0.25"/>
    <row r="129755" customFormat="1" x14ac:dyDescent="0.25"/>
    <row r="129756" customFormat="1" x14ac:dyDescent="0.25"/>
    <row r="129757" customFormat="1" x14ac:dyDescent="0.25"/>
    <row r="129758" customFormat="1" x14ac:dyDescent="0.25"/>
    <row r="129759" customFormat="1" x14ac:dyDescent="0.25"/>
    <row r="129760" customFormat="1" x14ac:dyDescent="0.25"/>
    <row r="129761" customFormat="1" x14ac:dyDescent="0.25"/>
    <row r="129762" customFormat="1" x14ac:dyDescent="0.25"/>
    <row r="129763" customFormat="1" x14ac:dyDescent="0.25"/>
    <row r="129764" customFormat="1" x14ac:dyDescent="0.25"/>
    <row r="129765" customFormat="1" x14ac:dyDescent="0.25"/>
    <row r="129766" customFormat="1" x14ac:dyDescent="0.25"/>
    <row r="129767" customFormat="1" x14ac:dyDescent="0.25"/>
    <row r="129768" customFormat="1" x14ac:dyDescent="0.25"/>
    <row r="129769" customFormat="1" x14ac:dyDescent="0.25"/>
    <row r="129770" customFormat="1" x14ac:dyDescent="0.25"/>
    <row r="129771" customFormat="1" x14ac:dyDescent="0.25"/>
    <row r="129772" customFormat="1" x14ac:dyDescent="0.25"/>
    <row r="129773" customFormat="1" x14ac:dyDescent="0.25"/>
    <row r="129774" customFormat="1" x14ac:dyDescent="0.25"/>
    <row r="129775" customFormat="1" x14ac:dyDescent="0.25"/>
    <row r="129776" customFormat="1" x14ac:dyDescent="0.25"/>
    <row r="129777" customFormat="1" x14ac:dyDescent="0.25"/>
    <row r="129778" customFormat="1" x14ac:dyDescent="0.25"/>
    <row r="129779" customFormat="1" x14ac:dyDescent="0.25"/>
    <row r="129780" customFormat="1" x14ac:dyDescent="0.25"/>
    <row r="129781" customFormat="1" x14ac:dyDescent="0.25"/>
    <row r="129782" customFormat="1" x14ac:dyDescent="0.25"/>
    <row r="129783" customFormat="1" x14ac:dyDescent="0.25"/>
    <row r="129784" customFormat="1" x14ac:dyDescent="0.25"/>
    <row r="129785" customFormat="1" x14ac:dyDescent="0.25"/>
    <row r="129786" customFormat="1" x14ac:dyDescent="0.25"/>
    <row r="129787" customFormat="1" x14ac:dyDescent="0.25"/>
    <row r="129788" customFormat="1" x14ac:dyDescent="0.25"/>
    <row r="129789" customFormat="1" x14ac:dyDescent="0.25"/>
    <row r="129790" customFormat="1" x14ac:dyDescent="0.25"/>
    <row r="129791" customFormat="1" x14ac:dyDescent="0.25"/>
    <row r="129792" customFormat="1" x14ac:dyDescent="0.25"/>
    <row r="129793" customFormat="1" x14ac:dyDescent="0.25"/>
    <row r="129794" customFormat="1" x14ac:dyDescent="0.25"/>
    <row r="129795" customFormat="1" x14ac:dyDescent="0.25"/>
    <row r="129796" customFormat="1" x14ac:dyDescent="0.25"/>
    <row r="129797" customFormat="1" x14ac:dyDescent="0.25"/>
    <row r="129798" customFormat="1" x14ac:dyDescent="0.25"/>
    <row r="129799" customFormat="1" x14ac:dyDescent="0.25"/>
    <row r="129800" customFormat="1" x14ac:dyDescent="0.25"/>
    <row r="129801" customFormat="1" x14ac:dyDescent="0.25"/>
    <row r="129802" customFormat="1" x14ac:dyDescent="0.25"/>
    <row r="129803" customFormat="1" x14ac:dyDescent="0.25"/>
    <row r="129804" customFormat="1" x14ac:dyDescent="0.25"/>
    <row r="129805" customFormat="1" x14ac:dyDescent="0.25"/>
    <row r="129806" customFormat="1" x14ac:dyDescent="0.25"/>
    <row r="129807" customFormat="1" x14ac:dyDescent="0.25"/>
    <row r="129808" customFormat="1" x14ac:dyDescent="0.25"/>
    <row r="129809" customFormat="1" x14ac:dyDescent="0.25"/>
    <row r="129810" customFormat="1" x14ac:dyDescent="0.25"/>
    <row r="129811" customFormat="1" x14ac:dyDescent="0.25"/>
    <row r="129812" customFormat="1" x14ac:dyDescent="0.25"/>
    <row r="129813" customFormat="1" x14ac:dyDescent="0.25"/>
    <row r="129814" customFormat="1" x14ac:dyDescent="0.25"/>
    <row r="129815" customFormat="1" x14ac:dyDescent="0.25"/>
    <row r="129816" customFormat="1" x14ac:dyDescent="0.25"/>
    <row r="129817" customFormat="1" x14ac:dyDescent="0.25"/>
    <row r="129818" customFormat="1" x14ac:dyDescent="0.25"/>
    <row r="129819" customFormat="1" x14ac:dyDescent="0.25"/>
    <row r="129820" customFormat="1" x14ac:dyDescent="0.25"/>
    <row r="129821" customFormat="1" x14ac:dyDescent="0.25"/>
    <row r="129822" customFormat="1" x14ac:dyDescent="0.25"/>
    <row r="129823" customFormat="1" x14ac:dyDescent="0.25"/>
    <row r="129824" customFormat="1" x14ac:dyDescent="0.25"/>
    <row r="129825" customFormat="1" x14ac:dyDescent="0.25"/>
    <row r="129826" customFormat="1" x14ac:dyDescent="0.25"/>
    <row r="129827" customFormat="1" x14ac:dyDescent="0.25"/>
    <row r="129828" customFormat="1" x14ac:dyDescent="0.25"/>
    <row r="129829" customFormat="1" x14ac:dyDescent="0.25"/>
    <row r="129830" customFormat="1" x14ac:dyDescent="0.25"/>
    <row r="129831" customFormat="1" x14ac:dyDescent="0.25"/>
    <row r="129832" customFormat="1" x14ac:dyDescent="0.25"/>
    <row r="129833" customFormat="1" x14ac:dyDescent="0.25"/>
    <row r="129834" customFormat="1" x14ac:dyDescent="0.25"/>
    <row r="129835" customFormat="1" x14ac:dyDescent="0.25"/>
    <row r="129836" customFormat="1" x14ac:dyDescent="0.25"/>
    <row r="129837" customFormat="1" x14ac:dyDescent="0.25"/>
    <row r="129838" customFormat="1" x14ac:dyDescent="0.25"/>
    <row r="129839" customFormat="1" x14ac:dyDescent="0.25"/>
    <row r="129840" customFormat="1" x14ac:dyDescent="0.25"/>
    <row r="129841" customFormat="1" x14ac:dyDescent="0.25"/>
    <row r="129842" customFormat="1" x14ac:dyDescent="0.25"/>
    <row r="129843" customFormat="1" x14ac:dyDescent="0.25"/>
    <row r="129844" customFormat="1" x14ac:dyDescent="0.25"/>
    <row r="129845" customFormat="1" x14ac:dyDescent="0.25"/>
    <row r="129846" customFormat="1" x14ac:dyDescent="0.25"/>
    <row r="129847" customFormat="1" x14ac:dyDescent="0.25"/>
    <row r="129848" customFormat="1" x14ac:dyDescent="0.25"/>
    <row r="129849" customFormat="1" x14ac:dyDescent="0.25"/>
    <row r="129850" customFormat="1" x14ac:dyDescent="0.25"/>
    <row r="129851" customFormat="1" x14ac:dyDescent="0.25"/>
    <row r="129852" customFormat="1" x14ac:dyDescent="0.25"/>
    <row r="129853" customFormat="1" x14ac:dyDescent="0.25"/>
    <row r="129854" customFormat="1" x14ac:dyDescent="0.25"/>
    <row r="129855" customFormat="1" x14ac:dyDescent="0.25"/>
    <row r="129856" customFormat="1" x14ac:dyDescent="0.25"/>
    <row r="129857" customFormat="1" x14ac:dyDescent="0.25"/>
    <row r="129858" customFormat="1" x14ac:dyDescent="0.25"/>
    <row r="129859" customFormat="1" x14ac:dyDescent="0.25"/>
    <row r="129860" customFormat="1" x14ac:dyDescent="0.25"/>
    <row r="129861" customFormat="1" x14ac:dyDescent="0.25"/>
    <row r="129862" customFormat="1" x14ac:dyDescent="0.25"/>
    <row r="129863" customFormat="1" x14ac:dyDescent="0.25"/>
    <row r="129864" customFormat="1" x14ac:dyDescent="0.25"/>
    <row r="129865" customFormat="1" x14ac:dyDescent="0.25"/>
    <row r="129866" customFormat="1" x14ac:dyDescent="0.25"/>
    <row r="129867" customFormat="1" x14ac:dyDescent="0.25"/>
    <row r="129868" customFormat="1" x14ac:dyDescent="0.25"/>
    <row r="129869" customFormat="1" x14ac:dyDescent="0.25"/>
    <row r="129870" customFormat="1" x14ac:dyDescent="0.25"/>
    <row r="129871" customFormat="1" x14ac:dyDescent="0.25"/>
    <row r="129872" customFormat="1" x14ac:dyDescent="0.25"/>
    <row r="129873" customFormat="1" x14ac:dyDescent="0.25"/>
    <row r="129874" customFormat="1" x14ac:dyDescent="0.25"/>
    <row r="129875" customFormat="1" x14ac:dyDescent="0.25"/>
    <row r="129876" customFormat="1" x14ac:dyDescent="0.25"/>
    <row r="129877" customFormat="1" x14ac:dyDescent="0.25"/>
    <row r="129878" customFormat="1" x14ac:dyDescent="0.25"/>
    <row r="129879" customFormat="1" x14ac:dyDescent="0.25"/>
    <row r="129880" customFormat="1" x14ac:dyDescent="0.25"/>
    <row r="129881" customFormat="1" x14ac:dyDescent="0.25"/>
    <row r="129882" customFormat="1" x14ac:dyDescent="0.25"/>
    <row r="129883" customFormat="1" x14ac:dyDescent="0.25"/>
    <row r="129884" customFormat="1" x14ac:dyDescent="0.25"/>
    <row r="129885" customFormat="1" x14ac:dyDescent="0.25"/>
    <row r="129886" customFormat="1" x14ac:dyDescent="0.25"/>
    <row r="129887" customFormat="1" x14ac:dyDescent="0.25"/>
    <row r="129888" customFormat="1" x14ac:dyDescent="0.25"/>
    <row r="129889" customFormat="1" x14ac:dyDescent="0.25"/>
    <row r="129890" customFormat="1" x14ac:dyDescent="0.25"/>
    <row r="129891" customFormat="1" x14ac:dyDescent="0.25"/>
    <row r="129892" customFormat="1" x14ac:dyDescent="0.25"/>
    <row r="129893" customFormat="1" x14ac:dyDescent="0.25"/>
    <row r="129894" customFormat="1" x14ac:dyDescent="0.25"/>
    <row r="129895" customFormat="1" x14ac:dyDescent="0.25"/>
    <row r="129896" customFormat="1" x14ac:dyDescent="0.25"/>
    <row r="129897" customFormat="1" x14ac:dyDescent="0.25"/>
    <row r="129898" customFormat="1" x14ac:dyDescent="0.25"/>
    <row r="129899" customFormat="1" x14ac:dyDescent="0.25"/>
    <row r="129900" customFormat="1" x14ac:dyDescent="0.25"/>
    <row r="129901" customFormat="1" x14ac:dyDescent="0.25"/>
    <row r="129902" customFormat="1" x14ac:dyDescent="0.25"/>
    <row r="129903" customFormat="1" x14ac:dyDescent="0.25"/>
    <row r="129904" customFormat="1" x14ac:dyDescent="0.25"/>
    <row r="129905" customFormat="1" x14ac:dyDescent="0.25"/>
    <row r="129906" customFormat="1" x14ac:dyDescent="0.25"/>
    <row r="129907" customFormat="1" x14ac:dyDescent="0.25"/>
    <row r="129908" customFormat="1" x14ac:dyDescent="0.25"/>
    <row r="129909" customFormat="1" x14ac:dyDescent="0.25"/>
    <row r="129910" customFormat="1" x14ac:dyDescent="0.25"/>
    <row r="129911" customFormat="1" x14ac:dyDescent="0.25"/>
    <row r="129912" customFormat="1" x14ac:dyDescent="0.25"/>
    <row r="129913" customFormat="1" x14ac:dyDescent="0.25"/>
    <row r="129914" customFormat="1" x14ac:dyDescent="0.25"/>
    <row r="129915" customFormat="1" x14ac:dyDescent="0.25"/>
    <row r="129916" customFormat="1" x14ac:dyDescent="0.25"/>
    <row r="129917" customFormat="1" x14ac:dyDescent="0.25"/>
    <row r="129918" customFormat="1" x14ac:dyDescent="0.25"/>
    <row r="129919" customFormat="1" x14ac:dyDescent="0.25"/>
    <row r="129920" customFormat="1" x14ac:dyDescent="0.25"/>
    <row r="129921" customFormat="1" x14ac:dyDescent="0.25"/>
    <row r="129922" customFormat="1" x14ac:dyDescent="0.25"/>
    <row r="129923" customFormat="1" x14ac:dyDescent="0.25"/>
    <row r="129924" customFormat="1" x14ac:dyDescent="0.25"/>
    <row r="129925" customFormat="1" x14ac:dyDescent="0.25"/>
    <row r="129926" customFormat="1" x14ac:dyDescent="0.25"/>
    <row r="129927" customFormat="1" x14ac:dyDescent="0.25"/>
    <row r="129928" customFormat="1" x14ac:dyDescent="0.25"/>
    <row r="129929" customFormat="1" x14ac:dyDescent="0.25"/>
    <row r="129930" customFormat="1" x14ac:dyDescent="0.25"/>
    <row r="129931" customFormat="1" x14ac:dyDescent="0.25"/>
    <row r="129932" customFormat="1" x14ac:dyDescent="0.25"/>
    <row r="129933" customFormat="1" x14ac:dyDescent="0.25"/>
    <row r="129934" customFormat="1" x14ac:dyDescent="0.25"/>
    <row r="129935" customFormat="1" x14ac:dyDescent="0.25"/>
    <row r="129936" customFormat="1" x14ac:dyDescent="0.25"/>
    <row r="129937" customFormat="1" x14ac:dyDescent="0.25"/>
    <row r="129938" customFormat="1" x14ac:dyDescent="0.25"/>
    <row r="129939" customFormat="1" x14ac:dyDescent="0.25"/>
    <row r="129940" customFormat="1" x14ac:dyDescent="0.25"/>
    <row r="129941" customFormat="1" x14ac:dyDescent="0.25"/>
    <row r="129942" customFormat="1" x14ac:dyDescent="0.25"/>
    <row r="129943" customFormat="1" x14ac:dyDescent="0.25"/>
    <row r="129944" customFormat="1" x14ac:dyDescent="0.25"/>
    <row r="129945" customFormat="1" x14ac:dyDescent="0.25"/>
    <row r="129946" customFormat="1" x14ac:dyDescent="0.25"/>
    <row r="129947" customFormat="1" x14ac:dyDescent="0.25"/>
    <row r="129948" customFormat="1" x14ac:dyDescent="0.25"/>
    <row r="129949" customFormat="1" x14ac:dyDescent="0.25"/>
    <row r="129950" customFormat="1" x14ac:dyDescent="0.25"/>
    <row r="129951" customFormat="1" x14ac:dyDescent="0.25"/>
    <row r="129952" customFormat="1" x14ac:dyDescent="0.25"/>
    <row r="129953" customFormat="1" x14ac:dyDescent="0.25"/>
    <row r="129954" customFormat="1" x14ac:dyDescent="0.25"/>
    <row r="129955" customFormat="1" x14ac:dyDescent="0.25"/>
    <row r="129956" customFormat="1" x14ac:dyDescent="0.25"/>
    <row r="129957" customFormat="1" x14ac:dyDescent="0.25"/>
    <row r="129958" customFormat="1" x14ac:dyDescent="0.25"/>
    <row r="129959" customFormat="1" x14ac:dyDescent="0.25"/>
    <row r="129960" customFormat="1" x14ac:dyDescent="0.25"/>
    <row r="129961" customFormat="1" x14ac:dyDescent="0.25"/>
    <row r="129962" customFormat="1" x14ac:dyDescent="0.25"/>
    <row r="129963" customFormat="1" x14ac:dyDescent="0.25"/>
    <row r="129964" customFormat="1" x14ac:dyDescent="0.25"/>
    <row r="129965" customFormat="1" x14ac:dyDescent="0.25"/>
    <row r="129966" customFormat="1" x14ac:dyDescent="0.25"/>
    <row r="129967" customFormat="1" x14ac:dyDescent="0.25"/>
    <row r="129968" customFormat="1" x14ac:dyDescent="0.25"/>
    <row r="129969" customFormat="1" x14ac:dyDescent="0.25"/>
    <row r="129970" customFormat="1" x14ac:dyDescent="0.25"/>
    <row r="129971" customFormat="1" x14ac:dyDescent="0.25"/>
    <row r="129972" customFormat="1" x14ac:dyDescent="0.25"/>
    <row r="129973" customFormat="1" x14ac:dyDescent="0.25"/>
    <row r="129974" customFormat="1" x14ac:dyDescent="0.25"/>
    <row r="129975" customFormat="1" x14ac:dyDescent="0.25"/>
    <row r="129976" customFormat="1" x14ac:dyDescent="0.25"/>
    <row r="129977" customFormat="1" x14ac:dyDescent="0.25"/>
    <row r="129978" customFormat="1" x14ac:dyDescent="0.25"/>
    <row r="129979" customFormat="1" x14ac:dyDescent="0.25"/>
    <row r="129980" customFormat="1" x14ac:dyDescent="0.25"/>
    <row r="129981" customFormat="1" x14ac:dyDescent="0.25"/>
    <row r="129982" customFormat="1" x14ac:dyDescent="0.25"/>
    <row r="129983" customFormat="1" x14ac:dyDescent="0.25"/>
    <row r="129984" customFormat="1" x14ac:dyDescent="0.25"/>
    <row r="129985" customFormat="1" x14ac:dyDescent="0.25"/>
    <row r="129986" customFormat="1" x14ac:dyDescent="0.25"/>
    <row r="129987" customFormat="1" x14ac:dyDescent="0.25"/>
    <row r="129988" customFormat="1" x14ac:dyDescent="0.25"/>
    <row r="129989" customFormat="1" x14ac:dyDescent="0.25"/>
    <row r="129990" customFormat="1" x14ac:dyDescent="0.25"/>
    <row r="129991" customFormat="1" x14ac:dyDescent="0.25"/>
    <row r="129992" customFormat="1" x14ac:dyDescent="0.25"/>
    <row r="129993" customFormat="1" x14ac:dyDescent="0.25"/>
    <row r="129994" customFormat="1" x14ac:dyDescent="0.25"/>
    <row r="129995" customFormat="1" x14ac:dyDescent="0.25"/>
    <row r="129996" customFormat="1" x14ac:dyDescent="0.25"/>
    <row r="129997" customFormat="1" x14ac:dyDescent="0.25"/>
    <row r="129998" customFormat="1" x14ac:dyDescent="0.25"/>
    <row r="129999" customFormat="1" x14ac:dyDescent="0.25"/>
    <row r="130000" customFormat="1" x14ac:dyDescent="0.25"/>
    <row r="130001" customFormat="1" x14ac:dyDescent="0.25"/>
    <row r="130002" customFormat="1" x14ac:dyDescent="0.25"/>
    <row r="130003" customFormat="1" x14ac:dyDescent="0.25"/>
    <row r="130004" customFormat="1" x14ac:dyDescent="0.25"/>
    <row r="130005" customFormat="1" x14ac:dyDescent="0.25"/>
    <row r="130006" customFormat="1" x14ac:dyDescent="0.25"/>
    <row r="130007" customFormat="1" x14ac:dyDescent="0.25"/>
    <row r="130008" customFormat="1" x14ac:dyDescent="0.25"/>
    <row r="130009" customFormat="1" x14ac:dyDescent="0.25"/>
    <row r="130010" customFormat="1" x14ac:dyDescent="0.25"/>
    <row r="130011" customFormat="1" x14ac:dyDescent="0.25"/>
    <row r="130012" customFormat="1" x14ac:dyDescent="0.25"/>
    <row r="130013" customFormat="1" x14ac:dyDescent="0.25"/>
    <row r="130014" customFormat="1" x14ac:dyDescent="0.25"/>
    <row r="130015" customFormat="1" x14ac:dyDescent="0.25"/>
    <row r="130016" customFormat="1" x14ac:dyDescent="0.25"/>
    <row r="130017" customFormat="1" x14ac:dyDescent="0.25"/>
    <row r="130018" customFormat="1" x14ac:dyDescent="0.25"/>
    <row r="130019" customFormat="1" x14ac:dyDescent="0.25"/>
    <row r="130020" customFormat="1" x14ac:dyDescent="0.25"/>
    <row r="130021" customFormat="1" x14ac:dyDescent="0.25"/>
    <row r="130022" customFormat="1" x14ac:dyDescent="0.25"/>
    <row r="130023" customFormat="1" x14ac:dyDescent="0.25"/>
    <row r="130024" customFormat="1" x14ac:dyDescent="0.25"/>
    <row r="130025" customFormat="1" x14ac:dyDescent="0.25"/>
    <row r="130026" customFormat="1" x14ac:dyDescent="0.25"/>
    <row r="130027" customFormat="1" x14ac:dyDescent="0.25"/>
    <row r="130028" customFormat="1" x14ac:dyDescent="0.25"/>
    <row r="130029" customFormat="1" x14ac:dyDescent="0.25"/>
    <row r="130030" customFormat="1" x14ac:dyDescent="0.25"/>
    <row r="130031" customFormat="1" x14ac:dyDescent="0.25"/>
    <row r="130032" customFormat="1" x14ac:dyDescent="0.25"/>
    <row r="130033" customFormat="1" x14ac:dyDescent="0.25"/>
    <row r="130034" customFormat="1" x14ac:dyDescent="0.25"/>
    <row r="130035" customFormat="1" x14ac:dyDescent="0.25"/>
    <row r="130036" customFormat="1" x14ac:dyDescent="0.25"/>
    <row r="130037" customFormat="1" x14ac:dyDescent="0.25"/>
    <row r="130038" customFormat="1" x14ac:dyDescent="0.25"/>
    <row r="130039" customFormat="1" x14ac:dyDescent="0.25"/>
    <row r="130040" customFormat="1" x14ac:dyDescent="0.25"/>
    <row r="130041" customFormat="1" x14ac:dyDescent="0.25"/>
    <row r="130042" customFormat="1" x14ac:dyDescent="0.25"/>
    <row r="130043" customFormat="1" x14ac:dyDescent="0.25"/>
    <row r="130044" customFormat="1" x14ac:dyDescent="0.25"/>
    <row r="130045" customFormat="1" x14ac:dyDescent="0.25"/>
    <row r="130046" customFormat="1" x14ac:dyDescent="0.25"/>
    <row r="130047" customFormat="1" x14ac:dyDescent="0.25"/>
    <row r="130048" customFormat="1" x14ac:dyDescent="0.25"/>
    <row r="130049" customFormat="1" x14ac:dyDescent="0.25"/>
    <row r="130050" customFormat="1" x14ac:dyDescent="0.25"/>
    <row r="130051" customFormat="1" x14ac:dyDescent="0.25"/>
    <row r="130052" customFormat="1" x14ac:dyDescent="0.25"/>
    <row r="130053" customFormat="1" x14ac:dyDescent="0.25"/>
    <row r="130054" customFormat="1" x14ac:dyDescent="0.25"/>
    <row r="130055" customFormat="1" x14ac:dyDescent="0.25"/>
    <row r="130056" customFormat="1" x14ac:dyDescent="0.25"/>
    <row r="130057" customFormat="1" x14ac:dyDescent="0.25"/>
    <row r="130058" customFormat="1" x14ac:dyDescent="0.25"/>
    <row r="130059" customFormat="1" x14ac:dyDescent="0.25"/>
    <row r="130060" customFormat="1" x14ac:dyDescent="0.25"/>
    <row r="130061" customFormat="1" x14ac:dyDescent="0.25"/>
    <row r="130062" customFormat="1" x14ac:dyDescent="0.25"/>
    <row r="130063" customFormat="1" x14ac:dyDescent="0.25"/>
    <row r="130064" customFormat="1" x14ac:dyDescent="0.25"/>
    <row r="130065" customFormat="1" x14ac:dyDescent="0.25"/>
    <row r="130066" customFormat="1" x14ac:dyDescent="0.25"/>
    <row r="130067" customFormat="1" x14ac:dyDescent="0.25"/>
    <row r="130068" customFormat="1" x14ac:dyDescent="0.25"/>
    <row r="130069" customFormat="1" x14ac:dyDescent="0.25"/>
    <row r="130070" customFormat="1" x14ac:dyDescent="0.25"/>
    <row r="130071" customFormat="1" x14ac:dyDescent="0.25"/>
    <row r="130072" customFormat="1" x14ac:dyDescent="0.25"/>
    <row r="130073" customFormat="1" x14ac:dyDescent="0.25"/>
    <row r="130074" customFormat="1" x14ac:dyDescent="0.25"/>
    <row r="130075" customFormat="1" x14ac:dyDescent="0.25"/>
    <row r="130076" customFormat="1" x14ac:dyDescent="0.25"/>
    <row r="130077" customFormat="1" x14ac:dyDescent="0.25"/>
    <row r="130078" customFormat="1" x14ac:dyDescent="0.25"/>
    <row r="130079" customFormat="1" x14ac:dyDescent="0.25"/>
    <row r="130080" customFormat="1" x14ac:dyDescent="0.25"/>
    <row r="130081" customFormat="1" x14ac:dyDescent="0.25"/>
    <row r="130082" customFormat="1" x14ac:dyDescent="0.25"/>
    <row r="130083" customFormat="1" x14ac:dyDescent="0.25"/>
    <row r="130084" customFormat="1" x14ac:dyDescent="0.25"/>
    <row r="130085" customFormat="1" x14ac:dyDescent="0.25"/>
    <row r="130086" customFormat="1" x14ac:dyDescent="0.25"/>
    <row r="130087" customFormat="1" x14ac:dyDescent="0.25"/>
    <row r="130088" customFormat="1" x14ac:dyDescent="0.25"/>
    <row r="130089" customFormat="1" x14ac:dyDescent="0.25"/>
    <row r="130090" customFormat="1" x14ac:dyDescent="0.25"/>
    <row r="130091" customFormat="1" x14ac:dyDescent="0.25"/>
    <row r="130092" customFormat="1" x14ac:dyDescent="0.25"/>
    <row r="130093" customFormat="1" x14ac:dyDescent="0.25"/>
    <row r="130094" customFormat="1" x14ac:dyDescent="0.25"/>
    <row r="130095" customFormat="1" x14ac:dyDescent="0.25"/>
    <row r="130096" customFormat="1" x14ac:dyDescent="0.25"/>
    <row r="130097" customFormat="1" x14ac:dyDescent="0.25"/>
    <row r="130098" customFormat="1" x14ac:dyDescent="0.25"/>
    <row r="130099" customFormat="1" x14ac:dyDescent="0.25"/>
    <row r="130100" customFormat="1" x14ac:dyDescent="0.25"/>
    <row r="130101" customFormat="1" x14ac:dyDescent="0.25"/>
    <row r="130102" customFormat="1" x14ac:dyDescent="0.25"/>
    <row r="130103" customFormat="1" x14ac:dyDescent="0.25"/>
    <row r="130104" customFormat="1" x14ac:dyDescent="0.25"/>
    <row r="130105" customFormat="1" x14ac:dyDescent="0.25"/>
    <row r="130106" customFormat="1" x14ac:dyDescent="0.25"/>
    <row r="130107" customFormat="1" x14ac:dyDescent="0.25"/>
    <row r="130108" customFormat="1" x14ac:dyDescent="0.25"/>
    <row r="130109" customFormat="1" x14ac:dyDescent="0.25"/>
    <row r="130110" customFormat="1" x14ac:dyDescent="0.25"/>
    <row r="130111" customFormat="1" x14ac:dyDescent="0.25"/>
    <row r="130112" customFormat="1" x14ac:dyDescent="0.25"/>
    <row r="130113" customFormat="1" x14ac:dyDescent="0.25"/>
    <row r="130114" customFormat="1" x14ac:dyDescent="0.25"/>
    <row r="130115" customFormat="1" x14ac:dyDescent="0.25"/>
    <row r="130116" customFormat="1" x14ac:dyDescent="0.25"/>
    <row r="130117" customFormat="1" x14ac:dyDescent="0.25"/>
    <row r="130118" customFormat="1" x14ac:dyDescent="0.25"/>
    <row r="130119" customFormat="1" x14ac:dyDescent="0.25"/>
    <row r="130120" customFormat="1" x14ac:dyDescent="0.25"/>
    <row r="130121" customFormat="1" x14ac:dyDescent="0.25"/>
    <row r="130122" customFormat="1" x14ac:dyDescent="0.25"/>
    <row r="130123" customFormat="1" x14ac:dyDescent="0.25"/>
    <row r="130124" customFormat="1" x14ac:dyDescent="0.25"/>
    <row r="130125" customFormat="1" x14ac:dyDescent="0.25"/>
    <row r="130126" customFormat="1" x14ac:dyDescent="0.25"/>
    <row r="130127" customFormat="1" x14ac:dyDescent="0.25"/>
    <row r="130128" customFormat="1" x14ac:dyDescent="0.25"/>
    <row r="130129" customFormat="1" x14ac:dyDescent="0.25"/>
    <row r="130130" customFormat="1" x14ac:dyDescent="0.25"/>
    <row r="130131" customFormat="1" x14ac:dyDescent="0.25"/>
    <row r="130132" customFormat="1" x14ac:dyDescent="0.25"/>
    <row r="130133" customFormat="1" x14ac:dyDescent="0.25"/>
    <row r="130134" customFormat="1" x14ac:dyDescent="0.25"/>
    <row r="130135" customFormat="1" x14ac:dyDescent="0.25"/>
    <row r="130136" customFormat="1" x14ac:dyDescent="0.25"/>
    <row r="130137" customFormat="1" x14ac:dyDescent="0.25"/>
    <row r="130138" customFormat="1" x14ac:dyDescent="0.25"/>
    <row r="130139" customFormat="1" x14ac:dyDescent="0.25"/>
    <row r="130140" customFormat="1" x14ac:dyDescent="0.25"/>
    <row r="130141" customFormat="1" x14ac:dyDescent="0.25"/>
    <row r="130142" customFormat="1" x14ac:dyDescent="0.25"/>
    <row r="130143" customFormat="1" x14ac:dyDescent="0.25"/>
    <row r="130144" customFormat="1" x14ac:dyDescent="0.25"/>
    <row r="130145" customFormat="1" x14ac:dyDescent="0.25"/>
    <row r="130146" customFormat="1" x14ac:dyDescent="0.25"/>
    <row r="130147" customFormat="1" x14ac:dyDescent="0.25"/>
    <row r="130148" customFormat="1" x14ac:dyDescent="0.25"/>
    <row r="130149" customFormat="1" x14ac:dyDescent="0.25"/>
    <row r="130150" customFormat="1" x14ac:dyDescent="0.25"/>
    <row r="130151" customFormat="1" x14ac:dyDescent="0.25"/>
    <row r="130152" customFormat="1" x14ac:dyDescent="0.25"/>
    <row r="130153" customFormat="1" x14ac:dyDescent="0.25"/>
    <row r="130154" customFormat="1" x14ac:dyDescent="0.25"/>
    <row r="130155" customFormat="1" x14ac:dyDescent="0.25"/>
    <row r="130156" customFormat="1" x14ac:dyDescent="0.25"/>
    <row r="130157" customFormat="1" x14ac:dyDescent="0.25"/>
    <row r="130158" customFormat="1" x14ac:dyDescent="0.25"/>
    <row r="130159" customFormat="1" x14ac:dyDescent="0.25"/>
    <row r="130160" customFormat="1" x14ac:dyDescent="0.25"/>
    <row r="130161" customFormat="1" x14ac:dyDescent="0.25"/>
    <row r="130162" customFormat="1" x14ac:dyDescent="0.25"/>
    <row r="130163" customFormat="1" x14ac:dyDescent="0.25"/>
    <row r="130164" customFormat="1" x14ac:dyDescent="0.25"/>
    <row r="130165" customFormat="1" x14ac:dyDescent="0.25"/>
    <row r="130166" customFormat="1" x14ac:dyDescent="0.25"/>
    <row r="130167" customFormat="1" x14ac:dyDescent="0.25"/>
    <row r="130168" customFormat="1" x14ac:dyDescent="0.25"/>
    <row r="130169" customFormat="1" x14ac:dyDescent="0.25"/>
    <row r="130170" customFormat="1" x14ac:dyDescent="0.25"/>
    <row r="130171" customFormat="1" x14ac:dyDescent="0.25"/>
    <row r="130172" customFormat="1" x14ac:dyDescent="0.25"/>
    <row r="130173" customFormat="1" x14ac:dyDescent="0.25"/>
    <row r="130174" customFormat="1" x14ac:dyDescent="0.25"/>
    <row r="130175" customFormat="1" x14ac:dyDescent="0.25"/>
    <row r="130176" customFormat="1" x14ac:dyDescent="0.25"/>
    <row r="130177" customFormat="1" x14ac:dyDescent="0.25"/>
    <row r="130178" customFormat="1" x14ac:dyDescent="0.25"/>
    <row r="130179" customFormat="1" x14ac:dyDescent="0.25"/>
    <row r="130180" customFormat="1" x14ac:dyDescent="0.25"/>
    <row r="130181" customFormat="1" x14ac:dyDescent="0.25"/>
    <row r="130182" customFormat="1" x14ac:dyDescent="0.25"/>
    <row r="130183" customFormat="1" x14ac:dyDescent="0.25"/>
    <row r="130184" customFormat="1" x14ac:dyDescent="0.25"/>
    <row r="130185" customFormat="1" x14ac:dyDescent="0.25"/>
    <row r="130186" customFormat="1" x14ac:dyDescent="0.25"/>
    <row r="130187" customFormat="1" x14ac:dyDescent="0.25"/>
    <row r="130188" customFormat="1" x14ac:dyDescent="0.25"/>
    <row r="130189" customFormat="1" x14ac:dyDescent="0.25"/>
    <row r="130190" customFormat="1" x14ac:dyDescent="0.25"/>
    <row r="130191" customFormat="1" x14ac:dyDescent="0.25"/>
    <row r="130192" customFormat="1" x14ac:dyDescent="0.25"/>
    <row r="130193" customFormat="1" x14ac:dyDescent="0.25"/>
    <row r="130194" customFormat="1" x14ac:dyDescent="0.25"/>
    <row r="130195" customFormat="1" x14ac:dyDescent="0.25"/>
    <row r="130196" customFormat="1" x14ac:dyDescent="0.25"/>
    <row r="130197" customFormat="1" x14ac:dyDescent="0.25"/>
    <row r="130198" customFormat="1" x14ac:dyDescent="0.25"/>
    <row r="130199" customFormat="1" x14ac:dyDescent="0.25"/>
    <row r="130200" customFormat="1" x14ac:dyDescent="0.25"/>
    <row r="130201" customFormat="1" x14ac:dyDescent="0.25"/>
    <row r="130202" customFormat="1" x14ac:dyDescent="0.25"/>
    <row r="130203" customFormat="1" x14ac:dyDescent="0.25"/>
    <row r="130204" customFormat="1" x14ac:dyDescent="0.25"/>
    <row r="130205" customFormat="1" x14ac:dyDescent="0.25"/>
    <row r="130206" customFormat="1" x14ac:dyDescent="0.25"/>
    <row r="130207" customFormat="1" x14ac:dyDescent="0.25"/>
    <row r="130208" customFormat="1" x14ac:dyDescent="0.25"/>
    <row r="130209" customFormat="1" x14ac:dyDescent="0.25"/>
    <row r="130210" customFormat="1" x14ac:dyDescent="0.25"/>
    <row r="130211" customFormat="1" x14ac:dyDescent="0.25"/>
    <row r="130212" customFormat="1" x14ac:dyDescent="0.25"/>
    <row r="130213" customFormat="1" x14ac:dyDescent="0.25"/>
    <row r="130214" customFormat="1" x14ac:dyDescent="0.25"/>
    <row r="130215" customFormat="1" x14ac:dyDescent="0.25"/>
    <row r="130216" customFormat="1" x14ac:dyDescent="0.25"/>
    <row r="130217" customFormat="1" x14ac:dyDescent="0.25"/>
    <row r="130218" customFormat="1" x14ac:dyDescent="0.25"/>
    <row r="130219" customFormat="1" x14ac:dyDescent="0.25"/>
    <row r="130220" customFormat="1" x14ac:dyDescent="0.25"/>
    <row r="130221" customFormat="1" x14ac:dyDescent="0.25"/>
    <row r="130222" customFormat="1" x14ac:dyDescent="0.25"/>
    <row r="130223" customFormat="1" x14ac:dyDescent="0.25"/>
    <row r="130224" customFormat="1" x14ac:dyDescent="0.25"/>
    <row r="130225" customFormat="1" x14ac:dyDescent="0.25"/>
    <row r="130226" customFormat="1" x14ac:dyDescent="0.25"/>
    <row r="130227" customFormat="1" x14ac:dyDescent="0.25"/>
    <row r="130228" customFormat="1" x14ac:dyDescent="0.25"/>
    <row r="130229" customFormat="1" x14ac:dyDescent="0.25"/>
    <row r="130230" customFormat="1" x14ac:dyDescent="0.25"/>
    <row r="130231" customFormat="1" x14ac:dyDescent="0.25"/>
    <row r="130232" customFormat="1" x14ac:dyDescent="0.25"/>
    <row r="130233" customFormat="1" x14ac:dyDescent="0.25"/>
    <row r="130234" customFormat="1" x14ac:dyDescent="0.25"/>
    <row r="130235" customFormat="1" x14ac:dyDescent="0.25"/>
    <row r="130236" customFormat="1" x14ac:dyDescent="0.25"/>
    <row r="130237" customFormat="1" x14ac:dyDescent="0.25"/>
    <row r="130238" customFormat="1" x14ac:dyDescent="0.25"/>
    <row r="130239" customFormat="1" x14ac:dyDescent="0.25"/>
    <row r="130240" customFormat="1" x14ac:dyDescent="0.25"/>
    <row r="130241" customFormat="1" x14ac:dyDescent="0.25"/>
    <row r="130242" customFormat="1" x14ac:dyDescent="0.25"/>
    <row r="130243" customFormat="1" x14ac:dyDescent="0.25"/>
    <row r="130244" customFormat="1" x14ac:dyDescent="0.25"/>
    <row r="130245" customFormat="1" x14ac:dyDescent="0.25"/>
    <row r="130246" customFormat="1" x14ac:dyDescent="0.25"/>
    <row r="130247" customFormat="1" x14ac:dyDescent="0.25"/>
    <row r="130248" customFormat="1" x14ac:dyDescent="0.25"/>
    <row r="130249" customFormat="1" x14ac:dyDescent="0.25"/>
    <row r="130250" customFormat="1" x14ac:dyDescent="0.25"/>
    <row r="130251" customFormat="1" x14ac:dyDescent="0.25"/>
    <row r="130252" customFormat="1" x14ac:dyDescent="0.25"/>
    <row r="130253" customFormat="1" x14ac:dyDescent="0.25"/>
    <row r="130254" customFormat="1" x14ac:dyDescent="0.25"/>
    <row r="130255" customFormat="1" x14ac:dyDescent="0.25"/>
    <row r="130256" customFormat="1" x14ac:dyDescent="0.25"/>
    <row r="130257" customFormat="1" x14ac:dyDescent="0.25"/>
    <row r="130258" customFormat="1" x14ac:dyDescent="0.25"/>
    <row r="130259" customFormat="1" x14ac:dyDescent="0.25"/>
    <row r="130260" customFormat="1" x14ac:dyDescent="0.25"/>
    <row r="130261" customFormat="1" x14ac:dyDescent="0.25"/>
    <row r="130262" customFormat="1" x14ac:dyDescent="0.25"/>
    <row r="130263" customFormat="1" x14ac:dyDescent="0.25"/>
    <row r="130264" customFormat="1" x14ac:dyDescent="0.25"/>
    <row r="130265" customFormat="1" x14ac:dyDescent="0.25"/>
    <row r="130266" customFormat="1" x14ac:dyDescent="0.25"/>
    <row r="130267" customFormat="1" x14ac:dyDescent="0.25"/>
    <row r="130268" customFormat="1" x14ac:dyDescent="0.25"/>
    <row r="130269" customFormat="1" x14ac:dyDescent="0.25"/>
    <row r="130270" customFormat="1" x14ac:dyDescent="0.25"/>
    <row r="130271" customFormat="1" x14ac:dyDescent="0.25"/>
    <row r="130272" customFormat="1" x14ac:dyDescent="0.25"/>
    <row r="130273" customFormat="1" x14ac:dyDescent="0.25"/>
    <row r="130274" customFormat="1" x14ac:dyDescent="0.25"/>
    <row r="130275" customFormat="1" x14ac:dyDescent="0.25"/>
    <row r="130276" customFormat="1" x14ac:dyDescent="0.25"/>
    <row r="130277" customFormat="1" x14ac:dyDescent="0.25"/>
    <row r="130278" customFormat="1" x14ac:dyDescent="0.25"/>
    <row r="130279" customFormat="1" x14ac:dyDescent="0.25"/>
    <row r="130280" customFormat="1" x14ac:dyDescent="0.25"/>
    <row r="130281" customFormat="1" x14ac:dyDescent="0.25"/>
    <row r="130282" customFormat="1" x14ac:dyDescent="0.25"/>
    <row r="130283" customFormat="1" x14ac:dyDescent="0.25"/>
    <row r="130284" customFormat="1" x14ac:dyDescent="0.25"/>
    <row r="130285" customFormat="1" x14ac:dyDescent="0.25"/>
    <row r="130286" customFormat="1" x14ac:dyDescent="0.25"/>
    <row r="130287" customFormat="1" x14ac:dyDescent="0.25"/>
    <row r="130288" customFormat="1" x14ac:dyDescent="0.25"/>
    <row r="130289" customFormat="1" x14ac:dyDescent="0.25"/>
    <row r="130290" customFormat="1" x14ac:dyDescent="0.25"/>
    <row r="130291" customFormat="1" x14ac:dyDescent="0.25"/>
    <row r="130292" customFormat="1" x14ac:dyDescent="0.25"/>
    <row r="130293" customFormat="1" x14ac:dyDescent="0.25"/>
    <row r="130294" customFormat="1" x14ac:dyDescent="0.25"/>
    <row r="130295" customFormat="1" x14ac:dyDescent="0.25"/>
    <row r="130296" customFormat="1" x14ac:dyDescent="0.25"/>
    <row r="130297" customFormat="1" x14ac:dyDescent="0.25"/>
    <row r="130298" customFormat="1" x14ac:dyDescent="0.25"/>
    <row r="130299" customFormat="1" x14ac:dyDescent="0.25"/>
    <row r="130300" customFormat="1" x14ac:dyDescent="0.25"/>
    <row r="130301" customFormat="1" x14ac:dyDescent="0.25"/>
    <row r="130302" customFormat="1" x14ac:dyDescent="0.25"/>
    <row r="130303" customFormat="1" x14ac:dyDescent="0.25"/>
    <row r="130304" customFormat="1" x14ac:dyDescent="0.25"/>
    <row r="130305" customFormat="1" x14ac:dyDescent="0.25"/>
    <row r="130306" customFormat="1" x14ac:dyDescent="0.25"/>
    <row r="130307" customFormat="1" x14ac:dyDescent="0.25"/>
    <row r="130308" customFormat="1" x14ac:dyDescent="0.25"/>
    <row r="130309" customFormat="1" x14ac:dyDescent="0.25"/>
    <row r="130310" customFormat="1" x14ac:dyDescent="0.25"/>
    <row r="130311" customFormat="1" x14ac:dyDescent="0.25"/>
    <row r="130312" customFormat="1" x14ac:dyDescent="0.25"/>
    <row r="130313" customFormat="1" x14ac:dyDescent="0.25"/>
    <row r="130314" customFormat="1" x14ac:dyDescent="0.25"/>
    <row r="130315" customFormat="1" x14ac:dyDescent="0.25"/>
    <row r="130316" customFormat="1" x14ac:dyDescent="0.25"/>
    <row r="130317" customFormat="1" x14ac:dyDescent="0.25"/>
    <row r="130318" customFormat="1" x14ac:dyDescent="0.25"/>
    <row r="130319" customFormat="1" x14ac:dyDescent="0.25"/>
    <row r="130320" customFormat="1" x14ac:dyDescent="0.25"/>
    <row r="130321" customFormat="1" x14ac:dyDescent="0.25"/>
    <row r="130322" customFormat="1" x14ac:dyDescent="0.25"/>
    <row r="130323" customFormat="1" x14ac:dyDescent="0.25"/>
    <row r="130324" customFormat="1" x14ac:dyDescent="0.25"/>
    <row r="130325" customFormat="1" x14ac:dyDescent="0.25"/>
    <row r="130326" customFormat="1" x14ac:dyDescent="0.25"/>
    <row r="130327" customFormat="1" x14ac:dyDescent="0.25"/>
    <row r="130328" customFormat="1" x14ac:dyDescent="0.25"/>
    <row r="130329" customFormat="1" x14ac:dyDescent="0.25"/>
    <row r="130330" customFormat="1" x14ac:dyDescent="0.25"/>
    <row r="130331" customFormat="1" x14ac:dyDescent="0.25"/>
    <row r="130332" customFormat="1" x14ac:dyDescent="0.25"/>
    <row r="130333" customFormat="1" x14ac:dyDescent="0.25"/>
    <row r="130334" customFormat="1" x14ac:dyDescent="0.25"/>
    <row r="130335" customFormat="1" x14ac:dyDescent="0.25"/>
    <row r="130336" customFormat="1" x14ac:dyDescent="0.25"/>
    <row r="130337" customFormat="1" x14ac:dyDescent="0.25"/>
    <row r="130338" customFormat="1" x14ac:dyDescent="0.25"/>
    <row r="130339" customFormat="1" x14ac:dyDescent="0.25"/>
    <row r="130340" customFormat="1" x14ac:dyDescent="0.25"/>
    <row r="130341" customFormat="1" x14ac:dyDescent="0.25"/>
    <row r="130342" customFormat="1" x14ac:dyDescent="0.25"/>
    <row r="130343" customFormat="1" x14ac:dyDescent="0.25"/>
    <row r="130344" customFormat="1" x14ac:dyDescent="0.25"/>
    <row r="130345" customFormat="1" x14ac:dyDescent="0.25"/>
    <row r="130346" customFormat="1" x14ac:dyDescent="0.25"/>
    <row r="130347" customFormat="1" x14ac:dyDescent="0.25"/>
    <row r="130348" customFormat="1" x14ac:dyDescent="0.25"/>
    <row r="130349" customFormat="1" x14ac:dyDescent="0.25"/>
    <row r="130350" customFormat="1" x14ac:dyDescent="0.25"/>
    <row r="130351" customFormat="1" x14ac:dyDescent="0.25"/>
    <row r="130352" customFormat="1" x14ac:dyDescent="0.25"/>
    <row r="130353" customFormat="1" x14ac:dyDescent="0.25"/>
    <row r="130354" customFormat="1" x14ac:dyDescent="0.25"/>
    <row r="130355" customFormat="1" x14ac:dyDescent="0.25"/>
    <row r="130356" customFormat="1" x14ac:dyDescent="0.25"/>
    <row r="130357" customFormat="1" x14ac:dyDescent="0.25"/>
    <row r="130358" customFormat="1" x14ac:dyDescent="0.25"/>
    <row r="130359" customFormat="1" x14ac:dyDescent="0.25"/>
    <row r="130360" customFormat="1" x14ac:dyDescent="0.25"/>
    <row r="130361" customFormat="1" x14ac:dyDescent="0.25"/>
    <row r="130362" customFormat="1" x14ac:dyDescent="0.25"/>
    <row r="130363" customFormat="1" x14ac:dyDescent="0.25"/>
    <row r="130364" customFormat="1" x14ac:dyDescent="0.25"/>
    <row r="130365" customFormat="1" x14ac:dyDescent="0.25"/>
    <row r="130366" customFormat="1" x14ac:dyDescent="0.25"/>
    <row r="130367" customFormat="1" x14ac:dyDescent="0.25"/>
    <row r="130368" customFormat="1" x14ac:dyDescent="0.25"/>
    <row r="130369" customFormat="1" x14ac:dyDescent="0.25"/>
    <row r="130370" customFormat="1" x14ac:dyDescent="0.25"/>
    <row r="130371" customFormat="1" x14ac:dyDescent="0.25"/>
    <row r="130372" customFormat="1" x14ac:dyDescent="0.25"/>
    <row r="130373" customFormat="1" x14ac:dyDescent="0.25"/>
    <row r="130374" customFormat="1" x14ac:dyDescent="0.25"/>
    <row r="130375" customFormat="1" x14ac:dyDescent="0.25"/>
    <row r="130376" customFormat="1" x14ac:dyDescent="0.25"/>
    <row r="130377" customFormat="1" x14ac:dyDescent="0.25"/>
    <row r="130378" customFormat="1" x14ac:dyDescent="0.25"/>
    <row r="130379" customFormat="1" x14ac:dyDescent="0.25"/>
    <row r="130380" customFormat="1" x14ac:dyDescent="0.25"/>
    <row r="130381" customFormat="1" x14ac:dyDescent="0.25"/>
    <row r="130382" customFormat="1" x14ac:dyDescent="0.25"/>
    <row r="130383" customFormat="1" x14ac:dyDescent="0.25"/>
    <row r="130384" customFormat="1" x14ac:dyDescent="0.25"/>
    <row r="130385" customFormat="1" x14ac:dyDescent="0.25"/>
    <row r="130386" customFormat="1" x14ac:dyDescent="0.25"/>
    <row r="130387" customFormat="1" x14ac:dyDescent="0.25"/>
    <row r="130388" customFormat="1" x14ac:dyDescent="0.25"/>
    <row r="130389" customFormat="1" x14ac:dyDescent="0.25"/>
    <row r="130390" customFormat="1" x14ac:dyDescent="0.25"/>
    <row r="130391" customFormat="1" x14ac:dyDescent="0.25"/>
    <row r="130392" customFormat="1" x14ac:dyDescent="0.25"/>
    <row r="130393" customFormat="1" x14ac:dyDescent="0.25"/>
    <row r="130394" customFormat="1" x14ac:dyDescent="0.25"/>
    <row r="130395" customFormat="1" x14ac:dyDescent="0.25"/>
    <row r="130396" customFormat="1" x14ac:dyDescent="0.25"/>
    <row r="130397" customFormat="1" x14ac:dyDescent="0.25"/>
    <row r="130398" customFormat="1" x14ac:dyDescent="0.25"/>
    <row r="130399" customFormat="1" x14ac:dyDescent="0.25"/>
    <row r="130400" customFormat="1" x14ac:dyDescent="0.25"/>
    <row r="130401" customFormat="1" x14ac:dyDescent="0.25"/>
    <row r="130402" customFormat="1" x14ac:dyDescent="0.25"/>
    <row r="130403" customFormat="1" x14ac:dyDescent="0.25"/>
    <row r="130404" customFormat="1" x14ac:dyDescent="0.25"/>
    <row r="130405" customFormat="1" x14ac:dyDescent="0.25"/>
    <row r="130406" customFormat="1" x14ac:dyDescent="0.25"/>
    <row r="130407" customFormat="1" x14ac:dyDescent="0.25"/>
    <row r="130408" customFormat="1" x14ac:dyDescent="0.25"/>
    <row r="130409" customFormat="1" x14ac:dyDescent="0.25"/>
    <row r="130410" customFormat="1" x14ac:dyDescent="0.25"/>
    <row r="130411" customFormat="1" x14ac:dyDescent="0.25"/>
    <row r="130412" customFormat="1" x14ac:dyDescent="0.25"/>
    <row r="130413" customFormat="1" x14ac:dyDescent="0.25"/>
    <row r="130414" customFormat="1" x14ac:dyDescent="0.25"/>
    <row r="130415" customFormat="1" x14ac:dyDescent="0.25"/>
    <row r="130416" customFormat="1" x14ac:dyDescent="0.25"/>
    <row r="130417" customFormat="1" x14ac:dyDescent="0.25"/>
    <row r="130418" customFormat="1" x14ac:dyDescent="0.25"/>
    <row r="130419" customFormat="1" x14ac:dyDescent="0.25"/>
    <row r="130420" customFormat="1" x14ac:dyDescent="0.25"/>
    <row r="130421" customFormat="1" x14ac:dyDescent="0.25"/>
    <row r="130422" customFormat="1" x14ac:dyDescent="0.25"/>
    <row r="130423" customFormat="1" x14ac:dyDescent="0.25"/>
    <row r="130424" customFormat="1" x14ac:dyDescent="0.25"/>
    <row r="130425" customFormat="1" x14ac:dyDescent="0.25"/>
    <row r="130426" customFormat="1" x14ac:dyDescent="0.25"/>
    <row r="130427" customFormat="1" x14ac:dyDescent="0.25"/>
    <row r="130428" customFormat="1" x14ac:dyDescent="0.25"/>
    <row r="130429" customFormat="1" x14ac:dyDescent="0.25"/>
    <row r="130430" customFormat="1" x14ac:dyDescent="0.25"/>
    <row r="130431" customFormat="1" x14ac:dyDescent="0.25"/>
    <row r="130432" customFormat="1" x14ac:dyDescent="0.25"/>
    <row r="130433" customFormat="1" x14ac:dyDescent="0.25"/>
    <row r="130434" customFormat="1" x14ac:dyDescent="0.25"/>
    <row r="130435" customFormat="1" x14ac:dyDescent="0.25"/>
    <row r="130436" customFormat="1" x14ac:dyDescent="0.25"/>
    <row r="130437" customFormat="1" x14ac:dyDescent="0.25"/>
    <row r="130438" customFormat="1" x14ac:dyDescent="0.25"/>
    <row r="130439" customFormat="1" x14ac:dyDescent="0.25"/>
    <row r="130440" customFormat="1" x14ac:dyDescent="0.25"/>
    <row r="130441" customFormat="1" x14ac:dyDescent="0.25"/>
    <row r="130442" customFormat="1" x14ac:dyDescent="0.25"/>
    <row r="130443" customFormat="1" x14ac:dyDescent="0.25"/>
    <row r="130444" customFormat="1" x14ac:dyDescent="0.25"/>
    <row r="130445" customFormat="1" x14ac:dyDescent="0.25"/>
    <row r="130446" customFormat="1" x14ac:dyDescent="0.25"/>
    <row r="130447" customFormat="1" x14ac:dyDescent="0.25"/>
    <row r="130448" customFormat="1" x14ac:dyDescent="0.25"/>
    <row r="130449" customFormat="1" x14ac:dyDescent="0.25"/>
    <row r="130450" customFormat="1" x14ac:dyDescent="0.25"/>
    <row r="130451" customFormat="1" x14ac:dyDescent="0.25"/>
    <row r="130452" customFormat="1" x14ac:dyDescent="0.25"/>
    <row r="130453" customFormat="1" x14ac:dyDescent="0.25"/>
    <row r="130454" customFormat="1" x14ac:dyDescent="0.25"/>
    <row r="130455" customFormat="1" x14ac:dyDescent="0.25"/>
    <row r="130456" customFormat="1" x14ac:dyDescent="0.25"/>
    <row r="130457" customFormat="1" x14ac:dyDescent="0.25"/>
    <row r="130458" customFormat="1" x14ac:dyDescent="0.25"/>
    <row r="130459" customFormat="1" x14ac:dyDescent="0.25"/>
    <row r="130460" customFormat="1" x14ac:dyDescent="0.25"/>
    <row r="130461" customFormat="1" x14ac:dyDescent="0.25"/>
    <row r="130462" customFormat="1" x14ac:dyDescent="0.25"/>
    <row r="130463" customFormat="1" x14ac:dyDescent="0.25"/>
    <row r="130464" customFormat="1" x14ac:dyDescent="0.25"/>
    <row r="130465" customFormat="1" x14ac:dyDescent="0.25"/>
    <row r="130466" customFormat="1" x14ac:dyDescent="0.25"/>
    <row r="130467" customFormat="1" x14ac:dyDescent="0.25"/>
    <row r="130468" customFormat="1" x14ac:dyDescent="0.25"/>
    <row r="130469" customFormat="1" x14ac:dyDescent="0.25"/>
    <row r="130470" customFormat="1" x14ac:dyDescent="0.25"/>
    <row r="130471" customFormat="1" x14ac:dyDescent="0.25"/>
    <row r="130472" customFormat="1" x14ac:dyDescent="0.25"/>
    <row r="130473" customFormat="1" x14ac:dyDescent="0.25"/>
    <row r="130474" customFormat="1" x14ac:dyDescent="0.25"/>
    <row r="130475" customFormat="1" x14ac:dyDescent="0.25"/>
    <row r="130476" customFormat="1" x14ac:dyDescent="0.25"/>
    <row r="130477" customFormat="1" x14ac:dyDescent="0.25"/>
    <row r="130478" customFormat="1" x14ac:dyDescent="0.25"/>
    <row r="130479" customFormat="1" x14ac:dyDescent="0.25"/>
    <row r="130480" customFormat="1" x14ac:dyDescent="0.25"/>
    <row r="130481" customFormat="1" x14ac:dyDescent="0.25"/>
    <row r="130482" customFormat="1" x14ac:dyDescent="0.25"/>
    <row r="130483" customFormat="1" x14ac:dyDescent="0.25"/>
    <row r="130484" customFormat="1" x14ac:dyDescent="0.25"/>
    <row r="130485" customFormat="1" x14ac:dyDescent="0.25"/>
    <row r="130486" customFormat="1" x14ac:dyDescent="0.25"/>
    <row r="130487" customFormat="1" x14ac:dyDescent="0.25"/>
    <row r="130488" customFormat="1" x14ac:dyDescent="0.25"/>
    <row r="130489" customFormat="1" x14ac:dyDescent="0.25"/>
    <row r="130490" customFormat="1" x14ac:dyDescent="0.25"/>
    <row r="130491" customFormat="1" x14ac:dyDescent="0.25"/>
    <row r="130492" customFormat="1" x14ac:dyDescent="0.25"/>
    <row r="130493" customFormat="1" x14ac:dyDescent="0.25"/>
    <row r="130494" customFormat="1" x14ac:dyDescent="0.25"/>
    <row r="130495" customFormat="1" x14ac:dyDescent="0.25"/>
    <row r="130496" customFormat="1" x14ac:dyDescent="0.25"/>
    <row r="130497" customFormat="1" x14ac:dyDescent="0.25"/>
    <row r="130498" customFormat="1" x14ac:dyDescent="0.25"/>
    <row r="130499" customFormat="1" x14ac:dyDescent="0.25"/>
    <row r="130500" customFormat="1" x14ac:dyDescent="0.25"/>
    <row r="130501" customFormat="1" x14ac:dyDescent="0.25"/>
    <row r="130502" customFormat="1" x14ac:dyDescent="0.25"/>
    <row r="130503" customFormat="1" x14ac:dyDescent="0.25"/>
    <row r="130504" customFormat="1" x14ac:dyDescent="0.25"/>
    <row r="130505" customFormat="1" x14ac:dyDescent="0.25"/>
    <row r="130506" customFormat="1" x14ac:dyDescent="0.25"/>
    <row r="130507" customFormat="1" x14ac:dyDescent="0.25"/>
    <row r="130508" customFormat="1" x14ac:dyDescent="0.25"/>
    <row r="130509" customFormat="1" x14ac:dyDescent="0.25"/>
    <row r="130510" customFormat="1" x14ac:dyDescent="0.25"/>
    <row r="130511" customFormat="1" x14ac:dyDescent="0.25"/>
    <row r="130512" customFormat="1" x14ac:dyDescent="0.25"/>
    <row r="130513" customFormat="1" x14ac:dyDescent="0.25"/>
    <row r="130514" customFormat="1" x14ac:dyDescent="0.25"/>
    <row r="130515" customFormat="1" x14ac:dyDescent="0.25"/>
    <row r="130516" customFormat="1" x14ac:dyDescent="0.25"/>
    <row r="130517" customFormat="1" x14ac:dyDescent="0.25"/>
    <row r="130518" customFormat="1" x14ac:dyDescent="0.25"/>
    <row r="130519" customFormat="1" x14ac:dyDescent="0.25"/>
    <row r="130520" customFormat="1" x14ac:dyDescent="0.25"/>
    <row r="130521" customFormat="1" x14ac:dyDescent="0.25"/>
    <row r="130522" customFormat="1" x14ac:dyDescent="0.25"/>
    <row r="130523" customFormat="1" x14ac:dyDescent="0.25"/>
    <row r="130524" customFormat="1" x14ac:dyDescent="0.25"/>
    <row r="130525" customFormat="1" x14ac:dyDescent="0.25"/>
    <row r="130526" customFormat="1" x14ac:dyDescent="0.25"/>
    <row r="130527" customFormat="1" x14ac:dyDescent="0.25"/>
    <row r="130528" customFormat="1" x14ac:dyDescent="0.25"/>
    <row r="130529" customFormat="1" x14ac:dyDescent="0.25"/>
    <row r="130530" customFormat="1" x14ac:dyDescent="0.25"/>
    <row r="130531" customFormat="1" x14ac:dyDescent="0.25"/>
    <row r="130532" customFormat="1" x14ac:dyDescent="0.25"/>
    <row r="130533" customFormat="1" x14ac:dyDescent="0.25"/>
    <row r="130534" customFormat="1" x14ac:dyDescent="0.25"/>
    <row r="130535" customFormat="1" x14ac:dyDescent="0.25"/>
    <row r="130536" customFormat="1" x14ac:dyDescent="0.25"/>
    <row r="130537" customFormat="1" x14ac:dyDescent="0.25"/>
    <row r="130538" customFormat="1" x14ac:dyDescent="0.25"/>
    <row r="130539" customFormat="1" x14ac:dyDescent="0.25"/>
    <row r="130540" customFormat="1" x14ac:dyDescent="0.25"/>
    <row r="130541" customFormat="1" x14ac:dyDescent="0.25"/>
    <row r="130542" customFormat="1" x14ac:dyDescent="0.25"/>
    <row r="130543" customFormat="1" x14ac:dyDescent="0.25"/>
    <row r="130544" customFormat="1" x14ac:dyDescent="0.25"/>
    <row r="130545" customFormat="1" x14ac:dyDescent="0.25"/>
    <row r="130546" customFormat="1" x14ac:dyDescent="0.25"/>
    <row r="130547" customFormat="1" x14ac:dyDescent="0.25"/>
    <row r="130548" customFormat="1" x14ac:dyDescent="0.25"/>
    <row r="130549" customFormat="1" x14ac:dyDescent="0.25"/>
    <row r="130550" customFormat="1" x14ac:dyDescent="0.25"/>
    <row r="130551" customFormat="1" x14ac:dyDescent="0.25"/>
    <row r="130552" customFormat="1" x14ac:dyDescent="0.25"/>
    <row r="130553" customFormat="1" x14ac:dyDescent="0.25"/>
    <row r="130554" customFormat="1" x14ac:dyDescent="0.25"/>
    <row r="130555" customFormat="1" x14ac:dyDescent="0.25"/>
    <row r="130556" customFormat="1" x14ac:dyDescent="0.25"/>
    <row r="130557" customFormat="1" x14ac:dyDescent="0.25"/>
    <row r="130558" customFormat="1" x14ac:dyDescent="0.25"/>
    <row r="130559" customFormat="1" x14ac:dyDescent="0.25"/>
    <row r="130560" customFormat="1" x14ac:dyDescent="0.25"/>
    <row r="130561" customFormat="1" x14ac:dyDescent="0.25"/>
    <row r="130562" customFormat="1" x14ac:dyDescent="0.25"/>
    <row r="130563" customFormat="1" x14ac:dyDescent="0.25"/>
    <row r="130564" customFormat="1" x14ac:dyDescent="0.25"/>
    <row r="130565" customFormat="1" x14ac:dyDescent="0.25"/>
    <row r="130566" customFormat="1" x14ac:dyDescent="0.25"/>
    <row r="130567" customFormat="1" x14ac:dyDescent="0.25"/>
    <row r="130568" customFormat="1" x14ac:dyDescent="0.25"/>
    <row r="130569" customFormat="1" x14ac:dyDescent="0.25"/>
    <row r="130570" customFormat="1" x14ac:dyDescent="0.25"/>
    <row r="130571" customFormat="1" x14ac:dyDescent="0.25"/>
    <row r="130572" customFormat="1" x14ac:dyDescent="0.25"/>
    <row r="130573" customFormat="1" x14ac:dyDescent="0.25"/>
    <row r="130574" customFormat="1" x14ac:dyDescent="0.25"/>
    <row r="130575" customFormat="1" x14ac:dyDescent="0.25"/>
    <row r="130576" customFormat="1" x14ac:dyDescent="0.25"/>
    <row r="130577" customFormat="1" x14ac:dyDescent="0.25"/>
    <row r="130578" customFormat="1" x14ac:dyDescent="0.25"/>
    <row r="130579" customFormat="1" x14ac:dyDescent="0.25"/>
    <row r="130580" customFormat="1" x14ac:dyDescent="0.25"/>
    <row r="130581" customFormat="1" x14ac:dyDescent="0.25"/>
    <row r="130582" customFormat="1" x14ac:dyDescent="0.25"/>
    <row r="130583" customFormat="1" x14ac:dyDescent="0.25"/>
    <row r="130584" customFormat="1" x14ac:dyDescent="0.25"/>
    <row r="130585" customFormat="1" x14ac:dyDescent="0.25"/>
    <row r="130586" customFormat="1" x14ac:dyDescent="0.25"/>
    <row r="130587" customFormat="1" x14ac:dyDescent="0.25"/>
    <row r="130588" customFormat="1" x14ac:dyDescent="0.25"/>
    <row r="130589" customFormat="1" x14ac:dyDescent="0.25"/>
    <row r="130590" customFormat="1" x14ac:dyDescent="0.25"/>
    <row r="130591" customFormat="1" x14ac:dyDescent="0.25"/>
    <row r="130592" customFormat="1" x14ac:dyDescent="0.25"/>
    <row r="130593" customFormat="1" x14ac:dyDescent="0.25"/>
    <row r="130594" customFormat="1" x14ac:dyDescent="0.25"/>
    <row r="130595" customFormat="1" x14ac:dyDescent="0.25"/>
    <row r="130596" customFormat="1" x14ac:dyDescent="0.25"/>
    <row r="130597" customFormat="1" x14ac:dyDescent="0.25"/>
    <row r="130598" customFormat="1" x14ac:dyDescent="0.25"/>
    <row r="130599" customFormat="1" x14ac:dyDescent="0.25"/>
    <row r="130600" customFormat="1" x14ac:dyDescent="0.25"/>
    <row r="130601" customFormat="1" x14ac:dyDescent="0.25"/>
    <row r="130602" customFormat="1" x14ac:dyDescent="0.25"/>
    <row r="130603" customFormat="1" x14ac:dyDescent="0.25"/>
    <row r="130604" customFormat="1" x14ac:dyDescent="0.25"/>
    <row r="130605" customFormat="1" x14ac:dyDescent="0.25"/>
    <row r="130606" customFormat="1" x14ac:dyDescent="0.25"/>
    <row r="130607" customFormat="1" x14ac:dyDescent="0.25"/>
    <row r="130608" customFormat="1" x14ac:dyDescent="0.25"/>
    <row r="130609" customFormat="1" x14ac:dyDescent="0.25"/>
    <row r="130610" customFormat="1" x14ac:dyDescent="0.25"/>
    <row r="130611" customFormat="1" x14ac:dyDescent="0.25"/>
    <row r="130612" customFormat="1" x14ac:dyDescent="0.25"/>
    <row r="130613" customFormat="1" x14ac:dyDescent="0.25"/>
    <row r="130614" customFormat="1" x14ac:dyDescent="0.25"/>
    <row r="130615" customFormat="1" x14ac:dyDescent="0.25"/>
    <row r="130616" customFormat="1" x14ac:dyDescent="0.25"/>
    <row r="130617" customFormat="1" x14ac:dyDescent="0.25"/>
    <row r="130618" customFormat="1" x14ac:dyDescent="0.25"/>
    <row r="130619" customFormat="1" x14ac:dyDescent="0.25"/>
    <row r="130620" customFormat="1" x14ac:dyDescent="0.25"/>
    <row r="130621" customFormat="1" x14ac:dyDescent="0.25"/>
    <row r="130622" customFormat="1" x14ac:dyDescent="0.25"/>
    <row r="130623" customFormat="1" x14ac:dyDescent="0.25"/>
    <row r="130624" customFormat="1" x14ac:dyDescent="0.25"/>
    <row r="130625" customFormat="1" x14ac:dyDescent="0.25"/>
    <row r="130626" customFormat="1" x14ac:dyDescent="0.25"/>
    <row r="130627" customFormat="1" x14ac:dyDescent="0.25"/>
    <row r="130628" customFormat="1" x14ac:dyDescent="0.25"/>
    <row r="130629" customFormat="1" x14ac:dyDescent="0.25"/>
    <row r="130630" customFormat="1" x14ac:dyDescent="0.25"/>
    <row r="130631" customFormat="1" x14ac:dyDescent="0.25"/>
    <row r="130632" customFormat="1" x14ac:dyDescent="0.25"/>
    <row r="130633" customFormat="1" x14ac:dyDescent="0.25"/>
    <row r="130634" customFormat="1" x14ac:dyDescent="0.25"/>
    <row r="130635" customFormat="1" x14ac:dyDescent="0.25"/>
    <row r="130636" customFormat="1" x14ac:dyDescent="0.25"/>
    <row r="130637" customFormat="1" x14ac:dyDescent="0.25"/>
    <row r="130638" customFormat="1" x14ac:dyDescent="0.25"/>
    <row r="130639" customFormat="1" x14ac:dyDescent="0.25"/>
    <row r="130640" customFormat="1" x14ac:dyDescent="0.25"/>
    <row r="130641" customFormat="1" x14ac:dyDescent="0.25"/>
    <row r="130642" customFormat="1" x14ac:dyDescent="0.25"/>
    <row r="130643" customFormat="1" x14ac:dyDescent="0.25"/>
    <row r="130644" customFormat="1" x14ac:dyDescent="0.25"/>
    <row r="130645" customFormat="1" x14ac:dyDescent="0.25"/>
    <row r="130646" customFormat="1" x14ac:dyDescent="0.25"/>
    <row r="130647" customFormat="1" x14ac:dyDescent="0.25"/>
    <row r="130648" customFormat="1" x14ac:dyDescent="0.25"/>
    <row r="130649" customFormat="1" x14ac:dyDescent="0.25"/>
    <row r="130650" customFormat="1" x14ac:dyDescent="0.25"/>
    <row r="130651" customFormat="1" x14ac:dyDescent="0.25"/>
    <row r="130652" customFormat="1" x14ac:dyDescent="0.25"/>
    <row r="130653" customFormat="1" x14ac:dyDescent="0.25"/>
    <row r="130654" customFormat="1" x14ac:dyDescent="0.25"/>
    <row r="130655" customFormat="1" x14ac:dyDescent="0.25"/>
    <row r="130656" customFormat="1" x14ac:dyDescent="0.25"/>
    <row r="130657" customFormat="1" x14ac:dyDescent="0.25"/>
    <row r="130658" customFormat="1" x14ac:dyDescent="0.25"/>
    <row r="130659" customFormat="1" x14ac:dyDescent="0.25"/>
    <row r="130660" customFormat="1" x14ac:dyDescent="0.25"/>
    <row r="130661" customFormat="1" x14ac:dyDescent="0.25"/>
    <row r="130662" customFormat="1" x14ac:dyDescent="0.25"/>
    <row r="130663" customFormat="1" x14ac:dyDescent="0.25"/>
    <row r="130664" customFormat="1" x14ac:dyDescent="0.25"/>
    <row r="130665" customFormat="1" x14ac:dyDescent="0.25"/>
    <row r="130666" customFormat="1" x14ac:dyDescent="0.25"/>
    <row r="130667" customFormat="1" x14ac:dyDescent="0.25"/>
    <row r="130668" customFormat="1" x14ac:dyDescent="0.25"/>
    <row r="130669" customFormat="1" x14ac:dyDescent="0.25"/>
    <row r="130670" customFormat="1" x14ac:dyDescent="0.25"/>
    <row r="130671" customFormat="1" x14ac:dyDescent="0.25"/>
    <row r="130672" customFormat="1" x14ac:dyDescent="0.25"/>
    <row r="130673" customFormat="1" x14ac:dyDescent="0.25"/>
    <row r="130674" customFormat="1" x14ac:dyDescent="0.25"/>
    <row r="130675" customFormat="1" x14ac:dyDescent="0.25"/>
    <row r="130676" customFormat="1" x14ac:dyDescent="0.25"/>
    <row r="130677" customFormat="1" x14ac:dyDescent="0.25"/>
    <row r="130678" customFormat="1" x14ac:dyDescent="0.25"/>
    <row r="130679" customFormat="1" x14ac:dyDescent="0.25"/>
    <row r="130680" customFormat="1" x14ac:dyDescent="0.25"/>
    <row r="130681" customFormat="1" x14ac:dyDescent="0.25"/>
    <row r="130682" customFormat="1" x14ac:dyDescent="0.25"/>
    <row r="130683" customFormat="1" x14ac:dyDescent="0.25"/>
    <row r="130684" customFormat="1" x14ac:dyDescent="0.25"/>
    <row r="130685" customFormat="1" x14ac:dyDescent="0.25"/>
    <row r="130686" customFormat="1" x14ac:dyDescent="0.25"/>
    <row r="130687" customFormat="1" x14ac:dyDescent="0.25"/>
    <row r="130688" customFormat="1" x14ac:dyDescent="0.25"/>
    <row r="130689" customFormat="1" x14ac:dyDescent="0.25"/>
    <row r="130690" customFormat="1" x14ac:dyDescent="0.25"/>
    <row r="130691" customFormat="1" x14ac:dyDescent="0.25"/>
    <row r="130692" customFormat="1" x14ac:dyDescent="0.25"/>
    <row r="130693" customFormat="1" x14ac:dyDescent="0.25"/>
    <row r="130694" customFormat="1" x14ac:dyDescent="0.25"/>
    <row r="130695" customFormat="1" x14ac:dyDescent="0.25"/>
    <row r="130696" customFormat="1" x14ac:dyDescent="0.25"/>
    <row r="130697" customFormat="1" x14ac:dyDescent="0.25"/>
    <row r="130698" customFormat="1" x14ac:dyDescent="0.25"/>
    <row r="130699" customFormat="1" x14ac:dyDescent="0.25"/>
    <row r="130700" customFormat="1" x14ac:dyDescent="0.25"/>
    <row r="130701" customFormat="1" x14ac:dyDescent="0.25"/>
    <row r="130702" customFormat="1" x14ac:dyDescent="0.25"/>
    <row r="130703" customFormat="1" x14ac:dyDescent="0.25"/>
    <row r="130704" customFormat="1" x14ac:dyDescent="0.25"/>
    <row r="130705" customFormat="1" x14ac:dyDescent="0.25"/>
    <row r="130706" customFormat="1" x14ac:dyDescent="0.25"/>
    <row r="130707" customFormat="1" x14ac:dyDescent="0.25"/>
    <row r="130708" customFormat="1" x14ac:dyDescent="0.25"/>
    <row r="130709" customFormat="1" x14ac:dyDescent="0.25"/>
    <row r="130710" customFormat="1" x14ac:dyDescent="0.25"/>
    <row r="130711" customFormat="1" x14ac:dyDescent="0.25"/>
    <row r="130712" customFormat="1" x14ac:dyDescent="0.25"/>
    <row r="130713" customFormat="1" x14ac:dyDescent="0.25"/>
    <row r="130714" customFormat="1" x14ac:dyDescent="0.25"/>
    <row r="130715" customFormat="1" x14ac:dyDescent="0.25"/>
    <row r="130716" customFormat="1" x14ac:dyDescent="0.25"/>
    <row r="130717" customFormat="1" x14ac:dyDescent="0.25"/>
    <row r="130718" customFormat="1" x14ac:dyDescent="0.25"/>
    <row r="130719" customFormat="1" x14ac:dyDescent="0.25"/>
    <row r="130720" customFormat="1" x14ac:dyDescent="0.25"/>
    <row r="130721" customFormat="1" x14ac:dyDescent="0.25"/>
    <row r="130722" customFormat="1" x14ac:dyDescent="0.25"/>
    <row r="130723" customFormat="1" x14ac:dyDescent="0.25"/>
    <row r="130724" customFormat="1" x14ac:dyDescent="0.25"/>
    <row r="130725" customFormat="1" x14ac:dyDescent="0.25"/>
    <row r="130726" customFormat="1" x14ac:dyDescent="0.25"/>
    <row r="130727" customFormat="1" x14ac:dyDescent="0.25"/>
    <row r="130728" customFormat="1" x14ac:dyDescent="0.25"/>
    <row r="130729" customFormat="1" x14ac:dyDescent="0.25"/>
    <row r="130730" customFormat="1" x14ac:dyDescent="0.25"/>
    <row r="130731" customFormat="1" x14ac:dyDescent="0.25"/>
    <row r="130732" customFormat="1" x14ac:dyDescent="0.25"/>
    <row r="130733" customFormat="1" x14ac:dyDescent="0.25"/>
    <row r="130734" customFormat="1" x14ac:dyDescent="0.25"/>
    <row r="130735" customFormat="1" x14ac:dyDescent="0.25"/>
    <row r="130736" customFormat="1" x14ac:dyDescent="0.25"/>
    <row r="130737" customFormat="1" x14ac:dyDescent="0.25"/>
    <row r="130738" customFormat="1" x14ac:dyDescent="0.25"/>
    <row r="130739" customFormat="1" x14ac:dyDescent="0.25"/>
    <row r="130740" customFormat="1" x14ac:dyDescent="0.25"/>
    <row r="130741" customFormat="1" x14ac:dyDescent="0.25"/>
    <row r="130742" customFormat="1" x14ac:dyDescent="0.25"/>
    <row r="130743" customFormat="1" x14ac:dyDescent="0.25"/>
    <row r="130744" customFormat="1" x14ac:dyDescent="0.25"/>
    <row r="130745" customFormat="1" x14ac:dyDescent="0.25"/>
    <row r="130746" customFormat="1" x14ac:dyDescent="0.25"/>
    <row r="130747" customFormat="1" x14ac:dyDescent="0.25"/>
    <row r="130748" customFormat="1" x14ac:dyDescent="0.25"/>
    <row r="130749" customFormat="1" x14ac:dyDescent="0.25"/>
    <row r="130750" customFormat="1" x14ac:dyDescent="0.25"/>
    <row r="130751" customFormat="1" x14ac:dyDescent="0.25"/>
    <row r="130752" customFormat="1" x14ac:dyDescent="0.25"/>
    <row r="130753" customFormat="1" x14ac:dyDescent="0.25"/>
    <row r="130754" customFormat="1" x14ac:dyDescent="0.25"/>
    <row r="130755" customFormat="1" x14ac:dyDescent="0.25"/>
    <row r="130756" customFormat="1" x14ac:dyDescent="0.25"/>
    <row r="130757" customFormat="1" x14ac:dyDescent="0.25"/>
    <row r="130758" customFormat="1" x14ac:dyDescent="0.25"/>
    <row r="130759" customFormat="1" x14ac:dyDescent="0.25"/>
    <row r="130760" customFormat="1" x14ac:dyDescent="0.25"/>
    <row r="130761" customFormat="1" x14ac:dyDescent="0.25"/>
    <row r="130762" customFormat="1" x14ac:dyDescent="0.25"/>
    <row r="130763" customFormat="1" x14ac:dyDescent="0.25"/>
    <row r="130764" customFormat="1" x14ac:dyDescent="0.25"/>
    <row r="130765" customFormat="1" x14ac:dyDescent="0.25"/>
    <row r="130766" customFormat="1" x14ac:dyDescent="0.25"/>
    <row r="130767" customFormat="1" x14ac:dyDescent="0.25"/>
    <row r="130768" customFormat="1" x14ac:dyDescent="0.25"/>
    <row r="130769" customFormat="1" x14ac:dyDescent="0.25"/>
    <row r="130770" customFormat="1" x14ac:dyDescent="0.25"/>
    <row r="130771" customFormat="1" x14ac:dyDescent="0.25"/>
    <row r="130772" customFormat="1" x14ac:dyDescent="0.25"/>
    <row r="130773" customFormat="1" x14ac:dyDescent="0.25"/>
    <row r="130774" customFormat="1" x14ac:dyDescent="0.25"/>
    <row r="130775" customFormat="1" x14ac:dyDescent="0.25"/>
    <row r="130776" customFormat="1" x14ac:dyDescent="0.25"/>
    <row r="130777" customFormat="1" x14ac:dyDescent="0.25"/>
    <row r="130778" customFormat="1" x14ac:dyDescent="0.25"/>
    <row r="130779" customFormat="1" x14ac:dyDescent="0.25"/>
    <row r="130780" customFormat="1" x14ac:dyDescent="0.25"/>
    <row r="130781" customFormat="1" x14ac:dyDescent="0.25"/>
    <row r="130782" customFormat="1" x14ac:dyDescent="0.25"/>
    <row r="130783" customFormat="1" x14ac:dyDescent="0.25"/>
    <row r="130784" customFormat="1" x14ac:dyDescent="0.25"/>
    <row r="130785" customFormat="1" x14ac:dyDescent="0.25"/>
    <row r="130786" customFormat="1" x14ac:dyDescent="0.25"/>
    <row r="130787" customFormat="1" x14ac:dyDescent="0.25"/>
    <row r="130788" customFormat="1" x14ac:dyDescent="0.25"/>
    <row r="130789" customFormat="1" x14ac:dyDescent="0.25"/>
    <row r="130790" customFormat="1" x14ac:dyDescent="0.25"/>
    <row r="130791" customFormat="1" x14ac:dyDescent="0.25"/>
    <row r="130792" customFormat="1" x14ac:dyDescent="0.25"/>
    <row r="130793" customFormat="1" x14ac:dyDescent="0.25"/>
    <row r="130794" customFormat="1" x14ac:dyDescent="0.25"/>
    <row r="130795" customFormat="1" x14ac:dyDescent="0.25"/>
    <row r="130796" customFormat="1" x14ac:dyDescent="0.25"/>
    <row r="130797" customFormat="1" x14ac:dyDescent="0.25"/>
    <row r="130798" customFormat="1" x14ac:dyDescent="0.25"/>
    <row r="130799" customFormat="1" x14ac:dyDescent="0.25"/>
    <row r="130800" customFormat="1" x14ac:dyDescent="0.25"/>
    <row r="130801" customFormat="1" x14ac:dyDescent="0.25"/>
    <row r="130802" customFormat="1" x14ac:dyDescent="0.25"/>
    <row r="130803" customFormat="1" x14ac:dyDescent="0.25"/>
    <row r="130804" customFormat="1" x14ac:dyDescent="0.25"/>
    <row r="130805" customFormat="1" x14ac:dyDescent="0.25"/>
    <row r="130806" customFormat="1" x14ac:dyDescent="0.25"/>
    <row r="130807" customFormat="1" x14ac:dyDescent="0.25"/>
    <row r="130808" customFormat="1" x14ac:dyDescent="0.25"/>
    <row r="130809" customFormat="1" x14ac:dyDescent="0.25"/>
    <row r="130810" customFormat="1" x14ac:dyDescent="0.25"/>
    <row r="130811" customFormat="1" x14ac:dyDescent="0.25"/>
    <row r="130812" customFormat="1" x14ac:dyDescent="0.25"/>
    <row r="130813" customFormat="1" x14ac:dyDescent="0.25"/>
    <row r="130814" customFormat="1" x14ac:dyDescent="0.25"/>
    <row r="130815" customFormat="1" x14ac:dyDescent="0.25"/>
    <row r="130816" customFormat="1" x14ac:dyDescent="0.25"/>
    <row r="130817" customFormat="1" x14ac:dyDescent="0.25"/>
    <row r="130818" customFormat="1" x14ac:dyDescent="0.25"/>
    <row r="130819" customFormat="1" x14ac:dyDescent="0.25"/>
    <row r="130820" customFormat="1" x14ac:dyDescent="0.25"/>
    <row r="130821" customFormat="1" x14ac:dyDescent="0.25"/>
    <row r="130822" customFormat="1" x14ac:dyDescent="0.25"/>
    <row r="130823" customFormat="1" x14ac:dyDescent="0.25"/>
    <row r="130824" customFormat="1" x14ac:dyDescent="0.25"/>
    <row r="130825" customFormat="1" x14ac:dyDescent="0.25"/>
    <row r="130826" customFormat="1" x14ac:dyDescent="0.25"/>
    <row r="130827" customFormat="1" x14ac:dyDescent="0.25"/>
    <row r="130828" customFormat="1" x14ac:dyDescent="0.25"/>
    <row r="130829" customFormat="1" x14ac:dyDescent="0.25"/>
    <row r="130830" customFormat="1" x14ac:dyDescent="0.25"/>
    <row r="130831" customFormat="1" x14ac:dyDescent="0.25"/>
    <row r="130832" customFormat="1" x14ac:dyDescent="0.25"/>
    <row r="130833" customFormat="1" x14ac:dyDescent="0.25"/>
    <row r="130834" customFormat="1" x14ac:dyDescent="0.25"/>
    <row r="130835" customFormat="1" x14ac:dyDescent="0.25"/>
    <row r="130836" customFormat="1" x14ac:dyDescent="0.25"/>
    <row r="130837" customFormat="1" x14ac:dyDescent="0.25"/>
    <row r="130838" customFormat="1" x14ac:dyDescent="0.25"/>
    <row r="130839" customFormat="1" x14ac:dyDescent="0.25"/>
    <row r="130840" customFormat="1" x14ac:dyDescent="0.25"/>
    <row r="130841" customFormat="1" x14ac:dyDescent="0.25"/>
    <row r="130842" customFormat="1" x14ac:dyDescent="0.25"/>
    <row r="130843" customFormat="1" x14ac:dyDescent="0.25"/>
    <row r="130844" customFormat="1" x14ac:dyDescent="0.25"/>
    <row r="130845" customFormat="1" x14ac:dyDescent="0.25"/>
    <row r="130846" customFormat="1" x14ac:dyDescent="0.25"/>
    <row r="130847" customFormat="1" x14ac:dyDescent="0.25"/>
    <row r="130848" customFormat="1" x14ac:dyDescent="0.25"/>
    <row r="130849" customFormat="1" x14ac:dyDescent="0.25"/>
    <row r="130850" customFormat="1" x14ac:dyDescent="0.25"/>
    <row r="130851" customFormat="1" x14ac:dyDescent="0.25"/>
    <row r="130852" customFormat="1" x14ac:dyDescent="0.25"/>
    <row r="130853" customFormat="1" x14ac:dyDescent="0.25"/>
    <row r="130854" customFormat="1" x14ac:dyDescent="0.25"/>
    <row r="130855" customFormat="1" x14ac:dyDescent="0.25"/>
    <row r="130856" customFormat="1" x14ac:dyDescent="0.25"/>
    <row r="130857" customFormat="1" x14ac:dyDescent="0.25"/>
    <row r="130858" customFormat="1" x14ac:dyDescent="0.25"/>
    <row r="130859" customFormat="1" x14ac:dyDescent="0.25"/>
    <row r="130860" customFormat="1" x14ac:dyDescent="0.25"/>
    <row r="130861" customFormat="1" x14ac:dyDescent="0.25"/>
    <row r="130862" customFormat="1" x14ac:dyDescent="0.25"/>
    <row r="130863" customFormat="1" x14ac:dyDescent="0.25"/>
    <row r="130864" customFormat="1" x14ac:dyDescent="0.25"/>
    <row r="130865" customFormat="1" x14ac:dyDescent="0.25"/>
    <row r="130866" customFormat="1" x14ac:dyDescent="0.25"/>
    <row r="130867" customFormat="1" x14ac:dyDescent="0.25"/>
    <row r="130868" customFormat="1" x14ac:dyDescent="0.25"/>
    <row r="130869" customFormat="1" x14ac:dyDescent="0.25"/>
    <row r="130870" customFormat="1" x14ac:dyDescent="0.25"/>
    <row r="130871" customFormat="1" x14ac:dyDescent="0.25"/>
    <row r="130872" customFormat="1" x14ac:dyDescent="0.25"/>
    <row r="130873" customFormat="1" x14ac:dyDescent="0.25"/>
    <row r="130874" customFormat="1" x14ac:dyDescent="0.25"/>
    <row r="130875" customFormat="1" x14ac:dyDescent="0.25"/>
    <row r="130876" customFormat="1" x14ac:dyDescent="0.25"/>
    <row r="130877" customFormat="1" x14ac:dyDescent="0.25"/>
    <row r="130878" customFormat="1" x14ac:dyDescent="0.25"/>
    <row r="130879" customFormat="1" x14ac:dyDescent="0.25"/>
    <row r="130880" customFormat="1" x14ac:dyDescent="0.25"/>
    <row r="130881" customFormat="1" x14ac:dyDescent="0.25"/>
    <row r="130882" customFormat="1" x14ac:dyDescent="0.25"/>
    <row r="130883" customFormat="1" x14ac:dyDescent="0.25"/>
    <row r="130884" customFormat="1" x14ac:dyDescent="0.25"/>
    <row r="130885" customFormat="1" x14ac:dyDescent="0.25"/>
    <row r="130886" customFormat="1" x14ac:dyDescent="0.25"/>
    <row r="130887" customFormat="1" x14ac:dyDescent="0.25"/>
    <row r="130888" customFormat="1" x14ac:dyDescent="0.25"/>
    <row r="130889" customFormat="1" x14ac:dyDescent="0.25"/>
    <row r="130890" customFormat="1" x14ac:dyDescent="0.25"/>
    <row r="130891" customFormat="1" x14ac:dyDescent="0.25"/>
    <row r="130892" customFormat="1" x14ac:dyDescent="0.25"/>
    <row r="130893" customFormat="1" x14ac:dyDescent="0.25"/>
    <row r="130894" customFormat="1" x14ac:dyDescent="0.25"/>
    <row r="130895" customFormat="1" x14ac:dyDescent="0.25"/>
    <row r="130896" customFormat="1" x14ac:dyDescent="0.25"/>
    <row r="130897" customFormat="1" x14ac:dyDescent="0.25"/>
    <row r="130898" customFormat="1" x14ac:dyDescent="0.25"/>
    <row r="130899" customFormat="1" x14ac:dyDescent="0.25"/>
    <row r="130900" customFormat="1" x14ac:dyDescent="0.25"/>
    <row r="130901" customFormat="1" x14ac:dyDescent="0.25"/>
    <row r="130902" customFormat="1" x14ac:dyDescent="0.25"/>
    <row r="130903" customFormat="1" x14ac:dyDescent="0.25"/>
    <row r="130904" customFormat="1" x14ac:dyDescent="0.25"/>
    <row r="130905" customFormat="1" x14ac:dyDescent="0.25"/>
    <row r="130906" customFormat="1" x14ac:dyDescent="0.25"/>
    <row r="130907" customFormat="1" x14ac:dyDescent="0.25"/>
    <row r="130908" customFormat="1" x14ac:dyDescent="0.25"/>
    <row r="130909" customFormat="1" x14ac:dyDescent="0.25"/>
    <row r="130910" customFormat="1" x14ac:dyDescent="0.25"/>
    <row r="130911" customFormat="1" x14ac:dyDescent="0.25"/>
    <row r="130912" customFormat="1" x14ac:dyDescent="0.25"/>
    <row r="130913" customFormat="1" x14ac:dyDescent="0.25"/>
    <row r="130914" customFormat="1" x14ac:dyDescent="0.25"/>
    <row r="130915" customFormat="1" x14ac:dyDescent="0.25"/>
    <row r="130916" customFormat="1" x14ac:dyDescent="0.25"/>
    <row r="130917" customFormat="1" x14ac:dyDescent="0.25"/>
    <row r="130918" customFormat="1" x14ac:dyDescent="0.25"/>
    <row r="130919" customFormat="1" x14ac:dyDescent="0.25"/>
    <row r="130920" customFormat="1" x14ac:dyDescent="0.25"/>
    <row r="130921" customFormat="1" x14ac:dyDescent="0.25"/>
    <row r="130922" customFormat="1" x14ac:dyDescent="0.25"/>
    <row r="130923" customFormat="1" x14ac:dyDescent="0.25"/>
    <row r="130924" customFormat="1" x14ac:dyDescent="0.25"/>
    <row r="130925" customFormat="1" x14ac:dyDescent="0.25"/>
    <row r="130926" customFormat="1" x14ac:dyDescent="0.25"/>
    <row r="130927" customFormat="1" x14ac:dyDescent="0.25"/>
    <row r="130928" customFormat="1" x14ac:dyDescent="0.25"/>
    <row r="130929" customFormat="1" x14ac:dyDescent="0.25"/>
    <row r="130930" customFormat="1" x14ac:dyDescent="0.25"/>
    <row r="130931" customFormat="1" x14ac:dyDescent="0.25"/>
    <row r="130932" customFormat="1" x14ac:dyDescent="0.25"/>
    <row r="130933" customFormat="1" x14ac:dyDescent="0.25"/>
    <row r="130934" customFormat="1" x14ac:dyDescent="0.25"/>
    <row r="130935" customFormat="1" x14ac:dyDescent="0.25"/>
    <row r="130936" customFormat="1" x14ac:dyDescent="0.25"/>
    <row r="130937" customFormat="1" x14ac:dyDescent="0.25"/>
    <row r="130938" customFormat="1" x14ac:dyDescent="0.25"/>
    <row r="130939" customFormat="1" x14ac:dyDescent="0.25"/>
    <row r="130940" customFormat="1" x14ac:dyDescent="0.25"/>
    <row r="130941" customFormat="1" x14ac:dyDescent="0.25"/>
    <row r="130942" customFormat="1" x14ac:dyDescent="0.25"/>
    <row r="130943" customFormat="1" x14ac:dyDescent="0.25"/>
    <row r="130944" customFormat="1" x14ac:dyDescent="0.25"/>
    <row r="130945" customFormat="1" x14ac:dyDescent="0.25"/>
    <row r="130946" customFormat="1" x14ac:dyDescent="0.25"/>
    <row r="130947" customFormat="1" x14ac:dyDescent="0.25"/>
    <row r="130948" customFormat="1" x14ac:dyDescent="0.25"/>
    <row r="130949" customFormat="1" x14ac:dyDescent="0.25"/>
    <row r="130950" customFormat="1" x14ac:dyDescent="0.25"/>
    <row r="130951" customFormat="1" x14ac:dyDescent="0.25"/>
    <row r="130952" customFormat="1" x14ac:dyDescent="0.25"/>
    <row r="130953" customFormat="1" x14ac:dyDescent="0.25"/>
    <row r="130954" customFormat="1" x14ac:dyDescent="0.25"/>
    <row r="130955" customFormat="1" x14ac:dyDescent="0.25"/>
    <row r="130956" customFormat="1" x14ac:dyDescent="0.25"/>
    <row r="130957" customFormat="1" x14ac:dyDescent="0.25"/>
    <row r="130958" customFormat="1" x14ac:dyDescent="0.25"/>
    <row r="130959" customFormat="1" x14ac:dyDescent="0.25"/>
    <row r="130960" customFormat="1" x14ac:dyDescent="0.25"/>
    <row r="130961" customFormat="1" x14ac:dyDescent="0.25"/>
    <row r="130962" customFormat="1" x14ac:dyDescent="0.25"/>
    <row r="130963" customFormat="1" x14ac:dyDescent="0.25"/>
    <row r="130964" customFormat="1" x14ac:dyDescent="0.25"/>
    <row r="130965" customFormat="1" x14ac:dyDescent="0.25"/>
    <row r="130966" customFormat="1" x14ac:dyDescent="0.25"/>
    <row r="130967" customFormat="1" x14ac:dyDescent="0.25"/>
    <row r="130968" customFormat="1" x14ac:dyDescent="0.25"/>
    <row r="130969" customFormat="1" x14ac:dyDescent="0.25"/>
    <row r="130970" customFormat="1" x14ac:dyDescent="0.25"/>
    <row r="130971" customFormat="1" x14ac:dyDescent="0.25"/>
    <row r="130972" customFormat="1" x14ac:dyDescent="0.25"/>
    <row r="130973" customFormat="1" x14ac:dyDescent="0.25"/>
    <row r="130974" customFormat="1" x14ac:dyDescent="0.25"/>
    <row r="130975" customFormat="1" x14ac:dyDescent="0.25"/>
    <row r="130976" customFormat="1" x14ac:dyDescent="0.25"/>
    <row r="130977" customFormat="1" x14ac:dyDescent="0.25"/>
    <row r="130978" customFormat="1" x14ac:dyDescent="0.25"/>
    <row r="130979" customFormat="1" x14ac:dyDescent="0.25"/>
    <row r="130980" customFormat="1" x14ac:dyDescent="0.25"/>
    <row r="130981" customFormat="1" x14ac:dyDescent="0.25"/>
    <row r="130982" customFormat="1" x14ac:dyDescent="0.25"/>
    <row r="130983" customFormat="1" x14ac:dyDescent="0.25"/>
    <row r="130984" customFormat="1" x14ac:dyDescent="0.25"/>
    <row r="130985" customFormat="1" x14ac:dyDescent="0.25"/>
    <row r="130986" customFormat="1" x14ac:dyDescent="0.25"/>
    <row r="130987" customFormat="1" x14ac:dyDescent="0.25"/>
    <row r="130988" customFormat="1" x14ac:dyDescent="0.25"/>
    <row r="130989" customFormat="1" x14ac:dyDescent="0.25"/>
    <row r="130990" customFormat="1" x14ac:dyDescent="0.25"/>
    <row r="130991" customFormat="1" x14ac:dyDescent="0.25"/>
    <row r="130992" customFormat="1" x14ac:dyDescent="0.25"/>
    <row r="130993" customFormat="1" x14ac:dyDescent="0.25"/>
    <row r="130994" customFormat="1" x14ac:dyDescent="0.25"/>
    <row r="130995" customFormat="1" x14ac:dyDescent="0.25"/>
    <row r="130996" customFormat="1" x14ac:dyDescent="0.25"/>
    <row r="130997" customFormat="1" x14ac:dyDescent="0.25"/>
    <row r="130998" customFormat="1" x14ac:dyDescent="0.25"/>
    <row r="130999" customFormat="1" x14ac:dyDescent="0.25"/>
    <row r="131000" customFormat="1" x14ac:dyDescent="0.25"/>
    <row r="131001" customFormat="1" x14ac:dyDescent="0.25"/>
    <row r="131002" customFormat="1" x14ac:dyDescent="0.25"/>
    <row r="131003" customFormat="1" x14ac:dyDescent="0.25"/>
    <row r="131004" customFormat="1" x14ac:dyDescent="0.25"/>
    <row r="131005" customFormat="1" x14ac:dyDescent="0.25"/>
    <row r="131006" customFormat="1" x14ac:dyDescent="0.25"/>
    <row r="131007" customFormat="1" x14ac:dyDescent="0.25"/>
    <row r="131008" customFormat="1" x14ac:dyDescent="0.25"/>
    <row r="131009" customFormat="1" x14ac:dyDescent="0.25"/>
    <row r="131010" customFormat="1" x14ac:dyDescent="0.25"/>
    <row r="131011" customFormat="1" x14ac:dyDescent="0.25"/>
    <row r="131012" customFormat="1" x14ac:dyDescent="0.25"/>
    <row r="131013" customFormat="1" x14ac:dyDescent="0.25"/>
    <row r="131014" customFormat="1" x14ac:dyDescent="0.25"/>
    <row r="131015" customFormat="1" x14ac:dyDescent="0.25"/>
    <row r="131016" customFormat="1" x14ac:dyDescent="0.25"/>
    <row r="131017" customFormat="1" x14ac:dyDescent="0.25"/>
    <row r="131018" customFormat="1" x14ac:dyDescent="0.25"/>
    <row r="131019" customFormat="1" x14ac:dyDescent="0.25"/>
    <row r="131020" customFormat="1" x14ac:dyDescent="0.25"/>
    <row r="131021" customFormat="1" x14ac:dyDescent="0.25"/>
    <row r="131022" customFormat="1" x14ac:dyDescent="0.25"/>
    <row r="131023" customFormat="1" x14ac:dyDescent="0.25"/>
    <row r="131024" customFormat="1" x14ac:dyDescent="0.25"/>
    <row r="131025" customFormat="1" x14ac:dyDescent="0.25"/>
    <row r="131026" customFormat="1" x14ac:dyDescent="0.25"/>
    <row r="131027" customFormat="1" x14ac:dyDescent="0.25"/>
    <row r="131028" customFormat="1" x14ac:dyDescent="0.25"/>
    <row r="131029" customFormat="1" x14ac:dyDescent="0.25"/>
    <row r="131030" customFormat="1" x14ac:dyDescent="0.25"/>
    <row r="131031" customFormat="1" x14ac:dyDescent="0.25"/>
    <row r="131032" customFormat="1" x14ac:dyDescent="0.25"/>
    <row r="131033" customFormat="1" x14ac:dyDescent="0.25"/>
    <row r="131034" customFormat="1" x14ac:dyDescent="0.25"/>
    <row r="131035" customFormat="1" x14ac:dyDescent="0.25"/>
    <row r="131036" customFormat="1" x14ac:dyDescent="0.25"/>
    <row r="131037" customFormat="1" x14ac:dyDescent="0.25"/>
    <row r="131038" customFormat="1" x14ac:dyDescent="0.25"/>
    <row r="131039" customFormat="1" x14ac:dyDescent="0.25"/>
    <row r="131040" customFormat="1" x14ac:dyDescent="0.25"/>
    <row r="131041" customFormat="1" x14ac:dyDescent="0.25"/>
    <row r="131042" customFormat="1" x14ac:dyDescent="0.25"/>
    <row r="131043" customFormat="1" x14ac:dyDescent="0.25"/>
    <row r="131044" customFormat="1" x14ac:dyDescent="0.25"/>
    <row r="131045" customFormat="1" x14ac:dyDescent="0.25"/>
    <row r="131046" customFormat="1" x14ac:dyDescent="0.25"/>
    <row r="131047" customFormat="1" x14ac:dyDescent="0.25"/>
    <row r="131048" customFormat="1" x14ac:dyDescent="0.25"/>
    <row r="131049" customFormat="1" x14ac:dyDescent="0.25"/>
    <row r="131050" customFormat="1" x14ac:dyDescent="0.25"/>
    <row r="131051" customFormat="1" x14ac:dyDescent="0.25"/>
    <row r="131052" customFormat="1" x14ac:dyDescent="0.25"/>
    <row r="131053" customFormat="1" x14ac:dyDescent="0.25"/>
    <row r="131054" customFormat="1" x14ac:dyDescent="0.25"/>
    <row r="131055" customFormat="1" x14ac:dyDescent="0.25"/>
    <row r="131056" customFormat="1" x14ac:dyDescent="0.25"/>
    <row r="131057" customFormat="1" x14ac:dyDescent="0.25"/>
    <row r="131058" customFormat="1" x14ac:dyDescent="0.25"/>
    <row r="131059" customFormat="1" x14ac:dyDescent="0.25"/>
    <row r="131060" customFormat="1" x14ac:dyDescent="0.25"/>
    <row r="131061" customFormat="1" x14ac:dyDescent="0.25"/>
    <row r="131062" customFormat="1" x14ac:dyDescent="0.25"/>
    <row r="131063" customFormat="1" x14ac:dyDescent="0.25"/>
    <row r="131064" customFormat="1" x14ac:dyDescent="0.25"/>
    <row r="131065" customFormat="1" x14ac:dyDescent="0.25"/>
    <row r="131066" customFormat="1" x14ac:dyDescent="0.25"/>
    <row r="131067" customFormat="1" x14ac:dyDescent="0.25"/>
    <row r="131068" customFormat="1" x14ac:dyDescent="0.25"/>
    <row r="131069" customFormat="1" x14ac:dyDescent="0.25"/>
    <row r="131070" customFormat="1" x14ac:dyDescent="0.25"/>
    <row r="131071" customFormat="1" x14ac:dyDescent="0.25"/>
    <row r="131072" customFormat="1" x14ac:dyDescent="0.25"/>
    <row r="131073" customFormat="1" x14ac:dyDescent="0.25"/>
    <row r="131074" customFormat="1" x14ac:dyDescent="0.25"/>
    <row r="131075" customFormat="1" x14ac:dyDescent="0.25"/>
    <row r="131076" customFormat="1" x14ac:dyDescent="0.25"/>
    <row r="131077" customFormat="1" x14ac:dyDescent="0.25"/>
    <row r="131078" customFormat="1" x14ac:dyDescent="0.25"/>
    <row r="131079" customFormat="1" x14ac:dyDescent="0.25"/>
    <row r="131080" customFormat="1" x14ac:dyDescent="0.25"/>
    <row r="131081" customFormat="1" x14ac:dyDescent="0.25"/>
    <row r="131082" customFormat="1" x14ac:dyDescent="0.25"/>
    <row r="131083" customFormat="1" x14ac:dyDescent="0.25"/>
    <row r="131084" customFormat="1" x14ac:dyDescent="0.25"/>
    <row r="131085" customFormat="1" x14ac:dyDescent="0.25"/>
    <row r="131086" customFormat="1" x14ac:dyDescent="0.25"/>
    <row r="131087" customFormat="1" x14ac:dyDescent="0.25"/>
    <row r="131088" customFormat="1" x14ac:dyDescent="0.25"/>
    <row r="131089" customFormat="1" x14ac:dyDescent="0.25"/>
    <row r="131090" customFormat="1" x14ac:dyDescent="0.25"/>
    <row r="131091" customFormat="1" x14ac:dyDescent="0.25"/>
    <row r="131092" customFormat="1" x14ac:dyDescent="0.25"/>
    <row r="131093" customFormat="1" x14ac:dyDescent="0.25"/>
    <row r="131094" customFormat="1" x14ac:dyDescent="0.25"/>
    <row r="131095" customFormat="1" x14ac:dyDescent="0.25"/>
    <row r="131096" customFormat="1" x14ac:dyDescent="0.25"/>
    <row r="131097" customFormat="1" x14ac:dyDescent="0.25"/>
    <row r="131098" customFormat="1" x14ac:dyDescent="0.25"/>
    <row r="131099" customFormat="1" x14ac:dyDescent="0.25"/>
    <row r="131100" customFormat="1" x14ac:dyDescent="0.25"/>
    <row r="131101" customFormat="1" x14ac:dyDescent="0.25"/>
    <row r="131102" customFormat="1" x14ac:dyDescent="0.25"/>
    <row r="131103" customFormat="1" x14ac:dyDescent="0.25"/>
    <row r="131104" customFormat="1" x14ac:dyDescent="0.25"/>
    <row r="131105" customFormat="1" x14ac:dyDescent="0.25"/>
    <row r="131106" customFormat="1" x14ac:dyDescent="0.25"/>
    <row r="131107" customFormat="1" x14ac:dyDescent="0.25"/>
    <row r="131108" customFormat="1" x14ac:dyDescent="0.25"/>
    <row r="131109" customFormat="1" x14ac:dyDescent="0.25"/>
    <row r="131110" customFormat="1" x14ac:dyDescent="0.25"/>
    <row r="131111" customFormat="1" x14ac:dyDescent="0.25"/>
    <row r="131112" customFormat="1" x14ac:dyDescent="0.25"/>
    <row r="131113" customFormat="1" x14ac:dyDescent="0.25"/>
    <row r="131114" customFormat="1" x14ac:dyDescent="0.25"/>
    <row r="131115" customFormat="1" x14ac:dyDescent="0.25"/>
    <row r="131116" customFormat="1" x14ac:dyDescent="0.25"/>
    <row r="131117" customFormat="1" x14ac:dyDescent="0.25"/>
    <row r="131118" customFormat="1" x14ac:dyDescent="0.25"/>
    <row r="131119" customFormat="1" x14ac:dyDescent="0.25"/>
    <row r="131120" customFormat="1" x14ac:dyDescent="0.25"/>
    <row r="131121" customFormat="1" x14ac:dyDescent="0.25"/>
    <row r="131122" customFormat="1" x14ac:dyDescent="0.25"/>
    <row r="131123" customFormat="1" x14ac:dyDescent="0.25"/>
    <row r="131124" customFormat="1" x14ac:dyDescent="0.25"/>
    <row r="131125" customFormat="1" x14ac:dyDescent="0.25"/>
    <row r="131126" customFormat="1" x14ac:dyDescent="0.25"/>
    <row r="131127" customFormat="1" x14ac:dyDescent="0.25"/>
    <row r="131128" customFormat="1" x14ac:dyDescent="0.25"/>
    <row r="131129" customFormat="1" x14ac:dyDescent="0.25"/>
    <row r="131130" customFormat="1" x14ac:dyDescent="0.25"/>
    <row r="131131" customFormat="1" x14ac:dyDescent="0.25"/>
    <row r="131132" customFormat="1" x14ac:dyDescent="0.25"/>
    <row r="131133" customFormat="1" x14ac:dyDescent="0.25"/>
    <row r="131134" customFormat="1" x14ac:dyDescent="0.25"/>
    <row r="131135" customFormat="1" x14ac:dyDescent="0.25"/>
    <row r="131136" customFormat="1" x14ac:dyDescent="0.25"/>
    <row r="131137" customFormat="1" x14ac:dyDescent="0.25"/>
    <row r="131138" customFormat="1" x14ac:dyDescent="0.25"/>
    <row r="131139" customFormat="1" x14ac:dyDescent="0.25"/>
    <row r="131140" customFormat="1" x14ac:dyDescent="0.25"/>
    <row r="131141" customFormat="1" x14ac:dyDescent="0.25"/>
    <row r="131142" customFormat="1" x14ac:dyDescent="0.25"/>
    <row r="131143" customFormat="1" x14ac:dyDescent="0.25"/>
    <row r="131144" customFormat="1" x14ac:dyDescent="0.25"/>
    <row r="131145" customFormat="1" x14ac:dyDescent="0.25"/>
    <row r="131146" customFormat="1" x14ac:dyDescent="0.25"/>
    <row r="131147" customFormat="1" x14ac:dyDescent="0.25"/>
    <row r="131148" customFormat="1" x14ac:dyDescent="0.25"/>
    <row r="131149" customFormat="1" x14ac:dyDescent="0.25"/>
    <row r="131150" customFormat="1" x14ac:dyDescent="0.25"/>
    <row r="131151" customFormat="1" x14ac:dyDescent="0.25"/>
    <row r="131152" customFormat="1" x14ac:dyDescent="0.25"/>
    <row r="131153" customFormat="1" x14ac:dyDescent="0.25"/>
    <row r="131154" customFormat="1" x14ac:dyDescent="0.25"/>
    <row r="131155" customFormat="1" x14ac:dyDescent="0.25"/>
    <row r="131156" customFormat="1" x14ac:dyDescent="0.25"/>
    <row r="131157" customFormat="1" x14ac:dyDescent="0.25"/>
    <row r="131158" customFormat="1" x14ac:dyDescent="0.25"/>
    <row r="131159" customFormat="1" x14ac:dyDescent="0.25"/>
    <row r="131160" customFormat="1" x14ac:dyDescent="0.25"/>
    <row r="131161" customFormat="1" x14ac:dyDescent="0.25"/>
    <row r="131162" customFormat="1" x14ac:dyDescent="0.25"/>
    <row r="131163" customFormat="1" x14ac:dyDescent="0.25"/>
    <row r="131164" customFormat="1" x14ac:dyDescent="0.25"/>
    <row r="131165" customFormat="1" x14ac:dyDescent="0.25"/>
    <row r="131166" customFormat="1" x14ac:dyDescent="0.25"/>
    <row r="131167" customFormat="1" x14ac:dyDescent="0.25"/>
    <row r="131168" customFormat="1" x14ac:dyDescent="0.25"/>
    <row r="131169" customFormat="1" x14ac:dyDescent="0.25"/>
    <row r="131170" customFormat="1" x14ac:dyDescent="0.25"/>
    <row r="131171" customFormat="1" x14ac:dyDescent="0.25"/>
    <row r="131172" customFormat="1" x14ac:dyDescent="0.25"/>
    <row r="131173" customFormat="1" x14ac:dyDescent="0.25"/>
    <row r="131174" customFormat="1" x14ac:dyDescent="0.25"/>
    <row r="131175" customFormat="1" x14ac:dyDescent="0.25"/>
    <row r="131176" customFormat="1" x14ac:dyDescent="0.25"/>
    <row r="131177" customFormat="1" x14ac:dyDescent="0.25"/>
    <row r="131178" customFormat="1" x14ac:dyDescent="0.25"/>
    <row r="131179" customFormat="1" x14ac:dyDescent="0.25"/>
    <row r="131180" customFormat="1" x14ac:dyDescent="0.25"/>
    <row r="131181" customFormat="1" x14ac:dyDescent="0.25"/>
    <row r="131182" customFormat="1" x14ac:dyDescent="0.25"/>
    <row r="131183" customFormat="1" x14ac:dyDescent="0.25"/>
    <row r="131184" customFormat="1" x14ac:dyDescent="0.25"/>
    <row r="131185" customFormat="1" x14ac:dyDescent="0.25"/>
    <row r="131186" customFormat="1" x14ac:dyDescent="0.25"/>
    <row r="131187" customFormat="1" x14ac:dyDescent="0.25"/>
    <row r="131188" customFormat="1" x14ac:dyDescent="0.25"/>
    <row r="131189" customFormat="1" x14ac:dyDescent="0.25"/>
    <row r="131190" customFormat="1" x14ac:dyDescent="0.25"/>
    <row r="131191" customFormat="1" x14ac:dyDescent="0.25"/>
    <row r="131192" customFormat="1" x14ac:dyDescent="0.25"/>
    <row r="131193" customFormat="1" x14ac:dyDescent="0.25"/>
    <row r="131194" customFormat="1" x14ac:dyDescent="0.25"/>
    <row r="131195" customFormat="1" x14ac:dyDescent="0.25"/>
    <row r="131196" customFormat="1" x14ac:dyDescent="0.25"/>
    <row r="131197" customFormat="1" x14ac:dyDescent="0.25"/>
    <row r="131198" customFormat="1" x14ac:dyDescent="0.25"/>
    <row r="131199" customFormat="1" x14ac:dyDescent="0.25"/>
    <row r="131200" customFormat="1" x14ac:dyDescent="0.25"/>
    <row r="131201" customFormat="1" x14ac:dyDescent="0.25"/>
    <row r="131202" customFormat="1" x14ac:dyDescent="0.25"/>
    <row r="131203" customFormat="1" x14ac:dyDescent="0.25"/>
    <row r="131204" customFormat="1" x14ac:dyDescent="0.25"/>
    <row r="131205" customFormat="1" x14ac:dyDescent="0.25"/>
    <row r="131206" customFormat="1" x14ac:dyDescent="0.25"/>
    <row r="131207" customFormat="1" x14ac:dyDescent="0.25"/>
    <row r="131208" customFormat="1" x14ac:dyDescent="0.25"/>
    <row r="131209" customFormat="1" x14ac:dyDescent="0.25"/>
    <row r="131210" customFormat="1" x14ac:dyDescent="0.25"/>
    <row r="131211" customFormat="1" x14ac:dyDescent="0.25"/>
    <row r="131212" customFormat="1" x14ac:dyDescent="0.25"/>
    <row r="131213" customFormat="1" x14ac:dyDescent="0.25"/>
    <row r="131214" customFormat="1" x14ac:dyDescent="0.25"/>
    <row r="131215" customFormat="1" x14ac:dyDescent="0.25"/>
    <row r="131216" customFormat="1" x14ac:dyDescent="0.25"/>
    <row r="131217" customFormat="1" x14ac:dyDescent="0.25"/>
    <row r="131218" customFormat="1" x14ac:dyDescent="0.25"/>
    <row r="131219" customFormat="1" x14ac:dyDescent="0.25"/>
    <row r="131220" customFormat="1" x14ac:dyDescent="0.25"/>
    <row r="131221" customFormat="1" x14ac:dyDescent="0.25"/>
    <row r="131222" customFormat="1" x14ac:dyDescent="0.25"/>
    <row r="131223" customFormat="1" x14ac:dyDescent="0.25"/>
    <row r="131224" customFormat="1" x14ac:dyDescent="0.25"/>
    <row r="131225" customFormat="1" x14ac:dyDescent="0.25"/>
    <row r="131226" customFormat="1" x14ac:dyDescent="0.25"/>
    <row r="131227" customFormat="1" x14ac:dyDescent="0.25"/>
    <row r="131228" customFormat="1" x14ac:dyDescent="0.25"/>
    <row r="131229" customFormat="1" x14ac:dyDescent="0.25"/>
    <row r="131230" customFormat="1" x14ac:dyDescent="0.25"/>
    <row r="131231" customFormat="1" x14ac:dyDescent="0.25"/>
    <row r="131232" customFormat="1" x14ac:dyDescent="0.25"/>
    <row r="131233" customFormat="1" x14ac:dyDescent="0.25"/>
    <row r="131234" customFormat="1" x14ac:dyDescent="0.25"/>
    <row r="131235" customFormat="1" x14ac:dyDescent="0.25"/>
    <row r="131236" customFormat="1" x14ac:dyDescent="0.25"/>
    <row r="131237" customFormat="1" x14ac:dyDescent="0.25"/>
    <row r="131238" customFormat="1" x14ac:dyDescent="0.25"/>
    <row r="131239" customFormat="1" x14ac:dyDescent="0.25"/>
    <row r="131240" customFormat="1" x14ac:dyDescent="0.25"/>
    <row r="131241" customFormat="1" x14ac:dyDescent="0.25"/>
    <row r="131242" customFormat="1" x14ac:dyDescent="0.25"/>
    <row r="131243" customFormat="1" x14ac:dyDescent="0.25"/>
    <row r="131244" customFormat="1" x14ac:dyDescent="0.25"/>
    <row r="131245" customFormat="1" x14ac:dyDescent="0.25"/>
    <row r="131246" customFormat="1" x14ac:dyDescent="0.25"/>
    <row r="131247" customFormat="1" x14ac:dyDescent="0.25"/>
    <row r="131248" customFormat="1" x14ac:dyDescent="0.25"/>
    <row r="131249" customFormat="1" x14ac:dyDescent="0.25"/>
    <row r="131250" customFormat="1" x14ac:dyDescent="0.25"/>
    <row r="131251" customFormat="1" x14ac:dyDescent="0.25"/>
    <row r="131252" customFormat="1" x14ac:dyDescent="0.25"/>
    <row r="131253" customFormat="1" x14ac:dyDescent="0.25"/>
    <row r="131254" customFormat="1" x14ac:dyDescent="0.25"/>
    <row r="131255" customFormat="1" x14ac:dyDescent="0.25"/>
    <row r="131256" customFormat="1" x14ac:dyDescent="0.25"/>
    <row r="131257" customFormat="1" x14ac:dyDescent="0.25"/>
    <row r="131258" customFormat="1" x14ac:dyDescent="0.25"/>
    <row r="131259" customFormat="1" x14ac:dyDescent="0.25"/>
    <row r="131260" customFormat="1" x14ac:dyDescent="0.25"/>
    <row r="131261" customFormat="1" x14ac:dyDescent="0.25"/>
    <row r="131262" customFormat="1" x14ac:dyDescent="0.25"/>
    <row r="131263" customFormat="1" x14ac:dyDescent="0.25"/>
    <row r="131264" customFormat="1" x14ac:dyDescent="0.25"/>
    <row r="131265" customFormat="1" x14ac:dyDescent="0.25"/>
    <row r="131266" customFormat="1" x14ac:dyDescent="0.25"/>
    <row r="131267" customFormat="1" x14ac:dyDescent="0.25"/>
    <row r="131268" customFormat="1" x14ac:dyDescent="0.25"/>
    <row r="131269" customFormat="1" x14ac:dyDescent="0.25"/>
    <row r="131270" customFormat="1" x14ac:dyDescent="0.25"/>
    <row r="131271" customFormat="1" x14ac:dyDescent="0.25"/>
    <row r="131272" customFormat="1" x14ac:dyDescent="0.25"/>
    <row r="131273" customFormat="1" x14ac:dyDescent="0.25"/>
    <row r="131274" customFormat="1" x14ac:dyDescent="0.25"/>
    <row r="131275" customFormat="1" x14ac:dyDescent="0.25"/>
    <row r="131276" customFormat="1" x14ac:dyDescent="0.25"/>
    <row r="131277" customFormat="1" x14ac:dyDescent="0.25"/>
    <row r="131278" customFormat="1" x14ac:dyDescent="0.25"/>
    <row r="131279" customFormat="1" x14ac:dyDescent="0.25"/>
    <row r="131280" customFormat="1" x14ac:dyDescent="0.25"/>
    <row r="131281" customFormat="1" x14ac:dyDescent="0.25"/>
    <row r="131282" customFormat="1" x14ac:dyDescent="0.25"/>
    <row r="131283" customFormat="1" x14ac:dyDescent="0.25"/>
    <row r="131284" customFormat="1" x14ac:dyDescent="0.25"/>
    <row r="131285" customFormat="1" x14ac:dyDescent="0.25"/>
    <row r="131286" customFormat="1" x14ac:dyDescent="0.25"/>
    <row r="131287" customFormat="1" x14ac:dyDescent="0.25"/>
    <row r="131288" customFormat="1" x14ac:dyDescent="0.25"/>
    <row r="131289" customFormat="1" x14ac:dyDescent="0.25"/>
    <row r="131290" customFormat="1" x14ac:dyDescent="0.25"/>
    <row r="131291" customFormat="1" x14ac:dyDescent="0.25"/>
    <row r="131292" customFormat="1" x14ac:dyDescent="0.25"/>
    <row r="131293" customFormat="1" x14ac:dyDescent="0.25"/>
    <row r="131294" customFormat="1" x14ac:dyDescent="0.25"/>
    <row r="131295" customFormat="1" x14ac:dyDescent="0.25"/>
    <row r="131296" customFormat="1" x14ac:dyDescent="0.25"/>
    <row r="131297" customFormat="1" x14ac:dyDescent="0.25"/>
    <row r="131298" customFormat="1" x14ac:dyDescent="0.25"/>
    <row r="131299" customFormat="1" x14ac:dyDescent="0.25"/>
    <row r="131300" customFormat="1" x14ac:dyDescent="0.25"/>
    <row r="131301" customFormat="1" x14ac:dyDescent="0.25"/>
    <row r="131302" customFormat="1" x14ac:dyDescent="0.25"/>
    <row r="131303" customFormat="1" x14ac:dyDescent="0.25"/>
    <row r="131304" customFormat="1" x14ac:dyDescent="0.25"/>
    <row r="131305" customFormat="1" x14ac:dyDescent="0.25"/>
    <row r="131306" customFormat="1" x14ac:dyDescent="0.25"/>
    <row r="131307" customFormat="1" x14ac:dyDescent="0.25"/>
    <row r="131308" customFormat="1" x14ac:dyDescent="0.25"/>
    <row r="131309" customFormat="1" x14ac:dyDescent="0.25"/>
    <row r="131310" customFormat="1" x14ac:dyDescent="0.25"/>
    <row r="131311" customFormat="1" x14ac:dyDescent="0.25"/>
    <row r="131312" customFormat="1" x14ac:dyDescent="0.25"/>
    <row r="131313" customFormat="1" x14ac:dyDescent="0.25"/>
    <row r="131314" customFormat="1" x14ac:dyDescent="0.25"/>
    <row r="131315" customFormat="1" x14ac:dyDescent="0.25"/>
    <row r="131316" customFormat="1" x14ac:dyDescent="0.25"/>
    <row r="131317" customFormat="1" x14ac:dyDescent="0.25"/>
    <row r="131318" customFormat="1" x14ac:dyDescent="0.25"/>
    <row r="131319" customFormat="1" x14ac:dyDescent="0.25"/>
    <row r="131320" customFormat="1" x14ac:dyDescent="0.25"/>
    <row r="131321" customFormat="1" x14ac:dyDescent="0.25"/>
    <row r="131322" customFormat="1" x14ac:dyDescent="0.25"/>
    <row r="131323" customFormat="1" x14ac:dyDescent="0.25"/>
    <row r="131324" customFormat="1" x14ac:dyDescent="0.25"/>
    <row r="131325" customFormat="1" x14ac:dyDescent="0.25"/>
    <row r="131326" customFormat="1" x14ac:dyDescent="0.25"/>
    <row r="131327" customFormat="1" x14ac:dyDescent="0.25"/>
    <row r="131328" customFormat="1" x14ac:dyDescent="0.25"/>
    <row r="131329" customFormat="1" x14ac:dyDescent="0.25"/>
    <row r="131330" customFormat="1" x14ac:dyDescent="0.25"/>
    <row r="131331" customFormat="1" x14ac:dyDescent="0.25"/>
    <row r="131332" customFormat="1" x14ac:dyDescent="0.25"/>
    <row r="131333" customFormat="1" x14ac:dyDescent="0.25"/>
    <row r="131334" customFormat="1" x14ac:dyDescent="0.25"/>
    <row r="131335" customFormat="1" x14ac:dyDescent="0.25"/>
    <row r="131336" customFormat="1" x14ac:dyDescent="0.25"/>
    <row r="131337" customFormat="1" x14ac:dyDescent="0.25"/>
    <row r="131338" customFormat="1" x14ac:dyDescent="0.25"/>
    <row r="131339" customFormat="1" x14ac:dyDescent="0.25"/>
    <row r="131340" customFormat="1" x14ac:dyDescent="0.25"/>
    <row r="131341" customFormat="1" x14ac:dyDescent="0.25"/>
    <row r="131342" customFormat="1" x14ac:dyDescent="0.25"/>
    <row r="131343" customFormat="1" x14ac:dyDescent="0.25"/>
    <row r="131344" customFormat="1" x14ac:dyDescent="0.25"/>
    <row r="131345" customFormat="1" x14ac:dyDescent="0.25"/>
    <row r="131346" customFormat="1" x14ac:dyDescent="0.25"/>
    <row r="131347" customFormat="1" x14ac:dyDescent="0.25"/>
    <row r="131348" customFormat="1" x14ac:dyDescent="0.25"/>
    <row r="131349" customFormat="1" x14ac:dyDescent="0.25"/>
    <row r="131350" customFormat="1" x14ac:dyDescent="0.25"/>
    <row r="131351" customFormat="1" x14ac:dyDescent="0.25"/>
    <row r="131352" customFormat="1" x14ac:dyDescent="0.25"/>
    <row r="131353" customFormat="1" x14ac:dyDescent="0.25"/>
    <row r="131354" customFormat="1" x14ac:dyDescent="0.25"/>
    <row r="131355" customFormat="1" x14ac:dyDescent="0.25"/>
    <row r="131356" customFormat="1" x14ac:dyDescent="0.25"/>
    <row r="131357" customFormat="1" x14ac:dyDescent="0.25"/>
    <row r="131358" customFormat="1" x14ac:dyDescent="0.25"/>
    <row r="131359" customFormat="1" x14ac:dyDescent="0.25"/>
    <row r="131360" customFormat="1" x14ac:dyDescent="0.25"/>
    <row r="131361" customFormat="1" x14ac:dyDescent="0.25"/>
    <row r="131362" customFormat="1" x14ac:dyDescent="0.25"/>
    <row r="131363" customFormat="1" x14ac:dyDescent="0.25"/>
    <row r="131364" customFormat="1" x14ac:dyDescent="0.25"/>
    <row r="131365" customFormat="1" x14ac:dyDescent="0.25"/>
    <row r="131366" customFormat="1" x14ac:dyDescent="0.25"/>
    <row r="131367" customFormat="1" x14ac:dyDescent="0.25"/>
    <row r="131368" customFormat="1" x14ac:dyDescent="0.25"/>
    <row r="131369" customFormat="1" x14ac:dyDescent="0.25"/>
    <row r="131370" customFormat="1" x14ac:dyDescent="0.25"/>
    <row r="131371" customFormat="1" x14ac:dyDescent="0.25"/>
    <row r="131372" customFormat="1" x14ac:dyDescent="0.25"/>
    <row r="131373" customFormat="1" x14ac:dyDescent="0.25"/>
    <row r="131374" customFormat="1" x14ac:dyDescent="0.25"/>
    <row r="131375" customFormat="1" x14ac:dyDescent="0.25"/>
    <row r="131376" customFormat="1" x14ac:dyDescent="0.25"/>
    <row r="131377" customFormat="1" x14ac:dyDescent="0.25"/>
    <row r="131378" customFormat="1" x14ac:dyDescent="0.25"/>
    <row r="131379" customFormat="1" x14ac:dyDescent="0.25"/>
    <row r="131380" customFormat="1" x14ac:dyDescent="0.25"/>
    <row r="131381" customFormat="1" x14ac:dyDescent="0.25"/>
    <row r="131382" customFormat="1" x14ac:dyDescent="0.25"/>
    <row r="131383" customFormat="1" x14ac:dyDescent="0.25"/>
    <row r="131384" customFormat="1" x14ac:dyDescent="0.25"/>
    <row r="131385" customFormat="1" x14ac:dyDescent="0.25"/>
    <row r="131386" customFormat="1" x14ac:dyDescent="0.25"/>
    <row r="131387" customFormat="1" x14ac:dyDescent="0.25"/>
    <row r="131388" customFormat="1" x14ac:dyDescent="0.25"/>
    <row r="131389" customFormat="1" x14ac:dyDescent="0.25"/>
    <row r="131390" customFormat="1" x14ac:dyDescent="0.25"/>
    <row r="131391" customFormat="1" x14ac:dyDescent="0.25"/>
    <row r="131392" customFormat="1" x14ac:dyDescent="0.25"/>
    <row r="131393" customFormat="1" x14ac:dyDescent="0.25"/>
    <row r="131394" customFormat="1" x14ac:dyDescent="0.25"/>
    <row r="131395" customFormat="1" x14ac:dyDescent="0.25"/>
    <row r="131396" customFormat="1" x14ac:dyDescent="0.25"/>
    <row r="131397" customFormat="1" x14ac:dyDescent="0.25"/>
    <row r="131398" customFormat="1" x14ac:dyDescent="0.25"/>
    <row r="131399" customFormat="1" x14ac:dyDescent="0.25"/>
    <row r="131400" customFormat="1" x14ac:dyDescent="0.25"/>
    <row r="131401" customFormat="1" x14ac:dyDescent="0.25"/>
    <row r="131402" customFormat="1" x14ac:dyDescent="0.25"/>
    <row r="131403" customFormat="1" x14ac:dyDescent="0.25"/>
    <row r="131404" customFormat="1" x14ac:dyDescent="0.25"/>
    <row r="131405" customFormat="1" x14ac:dyDescent="0.25"/>
    <row r="131406" customFormat="1" x14ac:dyDescent="0.25"/>
    <row r="131407" customFormat="1" x14ac:dyDescent="0.25"/>
    <row r="131408" customFormat="1" x14ac:dyDescent="0.25"/>
    <row r="131409" customFormat="1" x14ac:dyDescent="0.25"/>
    <row r="131410" customFormat="1" x14ac:dyDescent="0.25"/>
    <row r="131411" customFormat="1" x14ac:dyDescent="0.25"/>
    <row r="131412" customFormat="1" x14ac:dyDescent="0.25"/>
    <row r="131413" customFormat="1" x14ac:dyDescent="0.25"/>
    <row r="131414" customFormat="1" x14ac:dyDescent="0.25"/>
    <row r="131415" customFormat="1" x14ac:dyDescent="0.25"/>
    <row r="131416" customFormat="1" x14ac:dyDescent="0.25"/>
    <row r="131417" customFormat="1" x14ac:dyDescent="0.25"/>
    <row r="131418" customFormat="1" x14ac:dyDescent="0.25"/>
    <row r="131419" customFormat="1" x14ac:dyDescent="0.25"/>
    <row r="131420" customFormat="1" x14ac:dyDescent="0.25"/>
    <row r="131421" customFormat="1" x14ac:dyDescent="0.25"/>
    <row r="131422" customFormat="1" x14ac:dyDescent="0.25"/>
    <row r="131423" customFormat="1" x14ac:dyDescent="0.25"/>
    <row r="131424" customFormat="1" x14ac:dyDescent="0.25"/>
    <row r="131425" customFormat="1" x14ac:dyDescent="0.25"/>
    <row r="131426" customFormat="1" x14ac:dyDescent="0.25"/>
    <row r="131427" customFormat="1" x14ac:dyDescent="0.25"/>
    <row r="131428" customFormat="1" x14ac:dyDescent="0.25"/>
    <row r="131429" customFormat="1" x14ac:dyDescent="0.25"/>
    <row r="131430" customFormat="1" x14ac:dyDescent="0.25"/>
    <row r="131431" customFormat="1" x14ac:dyDescent="0.25"/>
    <row r="131432" customFormat="1" x14ac:dyDescent="0.25"/>
    <row r="131433" customFormat="1" x14ac:dyDescent="0.25"/>
    <row r="131434" customFormat="1" x14ac:dyDescent="0.25"/>
    <row r="131435" customFormat="1" x14ac:dyDescent="0.25"/>
    <row r="131436" customFormat="1" x14ac:dyDescent="0.25"/>
    <row r="131437" customFormat="1" x14ac:dyDescent="0.25"/>
    <row r="131438" customFormat="1" x14ac:dyDescent="0.25"/>
    <row r="131439" customFormat="1" x14ac:dyDescent="0.25"/>
    <row r="131440" customFormat="1" x14ac:dyDescent="0.25"/>
    <row r="131441" customFormat="1" x14ac:dyDescent="0.25"/>
    <row r="131442" customFormat="1" x14ac:dyDescent="0.25"/>
    <row r="131443" customFormat="1" x14ac:dyDescent="0.25"/>
    <row r="131444" customFormat="1" x14ac:dyDescent="0.25"/>
    <row r="131445" customFormat="1" x14ac:dyDescent="0.25"/>
    <row r="131446" customFormat="1" x14ac:dyDescent="0.25"/>
    <row r="131447" customFormat="1" x14ac:dyDescent="0.25"/>
    <row r="131448" customFormat="1" x14ac:dyDescent="0.25"/>
    <row r="131449" customFormat="1" x14ac:dyDescent="0.25"/>
    <row r="131450" customFormat="1" x14ac:dyDescent="0.25"/>
    <row r="131451" customFormat="1" x14ac:dyDescent="0.25"/>
    <row r="131452" customFormat="1" x14ac:dyDescent="0.25"/>
    <row r="131453" customFormat="1" x14ac:dyDescent="0.25"/>
    <row r="131454" customFormat="1" x14ac:dyDescent="0.25"/>
    <row r="131455" customFormat="1" x14ac:dyDescent="0.25"/>
    <row r="131456" customFormat="1" x14ac:dyDescent="0.25"/>
    <row r="131457" customFormat="1" x14ac:dyDescent="0.25"/>
    <row r="131458" customFormat="1" x14ac:dyDescent="0.25"/>
    <row r="131459" customFormat="1" x14ac:dyDescent="0.25"/>
    <row r="131460" customFormat="1" x14ac:dyDescent="0.25"/>
    <row r="131461" customFormat="1" x14ac:dyDescent="0.25"/>
    <row r="131462" customFormat="1" x14ac:dyDescent="0.25"/>
    <row r="131463" customFormat="1" x14ac:dyDescent="0.25"/>
    <row r="131464" customFormat="1" x14ac:dyDescent="0.25"/>
    <row r="131465" customFormat="1" x14ac:dyDescent="0.25"/>
    <row r="131466" customFormat="1" x14ac:dyDescent="0.25"/>
    <row r="131467" customFormat="1" x14ac:dyDescent="0.25"/>
    <row r="131468" customFormat="1" x14ac:dyDescent="0.25"/>
    <row r="131469" customFormat="1" x14ac:dyDescent="0.25"/>
    <row r="131470" customFormat="1" x14ac:dyDescent="0.25"/>
    <row r="131471" customFormat="1" x14ac:dyDescent="0.25"/>
    <row r="131472" customFormat="1" x14ac:dyDescent="0.25"/>
    <row r="131473" customFormat="1" x14ac:dyDescent="0.25"/>
    <row r="131474" customFormat="1" x14ac:dyDescent="0.25"/>
    <row r="131475" customFormat="1" x14ac:dyDescent="0.25"/>
    <row r="131476" customFormat="1" x14ac:dyDescent="0.25"/>
    <row r="131477" customFormat="1" x14ac:dyDescent="0.25"/>
    <row r="131478" customFormat="1" x14ac:dyDescent="0.25"/>
    <row r="131479" customFormat="1" x14ac:dyDescent="0.25"/>
    <row r="131480" customFormat="1" x14ac:dyDescent="0.25"/>
    <row r="131481" customFormat="1" x14ac:dyDescent="0.25"/>
    <row r="131482" customFormat="1" x14ac:dyDescent="0.25"/>
    <row r="131483" customFormat="1" x14ac:dyDescent="0.25"/>
    <row r="131484" customFormat="1" x14ac:dyDescent="0.25"/>
    <row r="131485" customFormat="1" x14ac:dyDescent="0.25"/>
    <row r="131486" customFormat="1" x14ac:dyDescent="0.25"/>
    <row r="131487" customFormat="1" x14ac:dyDescent="0.25"/>
    <row r="131488" customFormat="1" x14ac:dyDescent="0.25"/>
    <row r="131489" customFormat="1" x14ac:dyDescent="0.25"/>
    <row r="131490" customFormat="1" x14ac:dyDescent="0.25"/>
    <row r="131491" customFormat="1" x14ac:dyDescent="0.25"/>
    <row r="131492" customFormat="1" x14ac:dyDescent="0.25"/>
    <row r="131493" customFormat="1" x14ac:dyDescent="0.25"/>
    <row r="131494" customFormat="1" x14ac:dyDescent="0.25"/>
    <row r="131495" customFormat="1" x14ac:dyDescent="0.25"/>
    <row r="131496" customFormat="1" x14ac:dyDescent="0.25"/>
    <row r="131497" customFormat="1" x14ac:dyDescent="0.25"/>
    <row r="131498" customFormat="1" x14ac:dyDescent="0.25"/>
    <row r="131499" customFormat="1" x14ac:dyDescent="0.25"/>
    <row r="131500" customFormat="1" x14ac:dyDescent="0.25"/>
    <row r="131501" customFormat="1" x14ac:dyDescent="0.25"/>
    <row r="131502" customFormat="1" x14ac:dyDescent="0.25"/>
    <row r="131503" customFormat="1" x14ac:dyDescent="0.25"/>
    <row r="131504" customFormat="1" x14ac:dyDescent="0.25"/>
    <row r="131505" customFormat="1" x14ac:dyDescent="0.25"/>
    <row r="131506" customFormat="1" x14ac:dyDescent="0.25"/>
    <row r="131507" customFormat="1" x14ac:dyDescent="0.25"/>
    <row r="131508" customFormat="1" x14ac:dyDescent="0.25"/>
    <row r="131509" customFormat="1" x14ac:dyDescent="0.25"/>
    <row r="131510" customFormat="1" x14ac:dyDescent="0.25"/>
    <row r="131511" customFormat="1" x14ac:dyDescent="0.25"/>
    <row r="131512" customFormat="1" x14ac:dyDescent="0.25"/>
    <row r="131513" customFormat="1" x14ac:dyDescent="0.25"/>
    <row r="131514" customFormat="1" x14ac:dyDescent="0.25"/>
    <row r="131515" customFormat="1" x14ac:dyDescent="0.25"/>
    <row r="131516" customFormat="1" x14ac:dyDescent="0.25"/>
    <row r="131517" customFormat="1" x14ac:dyDescent="0.25"/>
    <row r="131518" customFormat="1" x14ac:dyDescent="0.25"/>
    <row r="131519" customFormat="1" x14ac:dyDescent="0.25"/>
    <row r="131520" customFormat="1" x14ac:dyDescent="0.25"/>
    <row r="131521" customFormat="1" x14ac:dyDescent="0.25"/>
    <row r="131522" customFormat="1" x14ac:dyDescent="0.25"/>
    <row r="131523" customFormat="1" x14ac:dyDescent="0.25"/>
    <row r="131524" customFormat="1" x14ac:dyDescent="0.25"/>
    <row r="131525" customFormat="1" x14ac:dyDescent="0.25"/>
    <row r="131526" customFormat="1" x14ac:dyDescent="0.25"/>
    <row r="131527" customFormat="1" x14ac:dyDescent="0.25"/>
    <row r="131528" customFormat="1" x14ac:dyDescent="0.25"/>
    <row r="131529" customFormat="1" x14ac:dyDescent="0.25"/>
    <row r="131530" customFormat="1" x14ac:dyDescent="0.25"/>
    <row r="131531" customFormat="1" x14ac:dyDescent="0.25"/>
    <row r="131532" customFormat="1" x14ac:dyDescent="0.25"/>
    <row r="131533" customFormat="1" x14ac:dyDescent="0.25"/>
    <row r="131534" customFormat="1" x14ac:dyDescent="0.25"/>
    <row r="131535" customFormat="1" x14ac:dyDescent="0.25"/>
    <row r="131536" customFormat="1" x14ac:dyDescent="0.25"/>
    <row r="131537" customFormat="1" x14ac:dyDescent="0.25"/>
    <row r="131538" customFormat="1" x14ac:dyDescent="0.25"/>
    <row r="131539" customFormat="1" x14ac:dyDescent="0.25"/>
    <row r="131540" customFormat="1" x14ac:dyDescent="0.25"/>
    <row r="131541" customFormat="1" x14ac:dyDescent="0.25"/>
    <row r="131542" customFormat="1" x14ac:dyDescent="0.25"/>
    <row r="131543" customFormat="1" x14ac:dyDescent="0.25"/>
    <row r="131544" customFormat="1" x14ac:dyDescent="0.25"/>
    <row r="131545" customFormat="1" x14ac:dyDescent="0.25"/>
    <row r="131546" customFormat="1" x14ac:dyDescent="0.25"/>
    <row r="131547" customFormat="1" x14ac:dyDescent="0.25"/>
    <row r="131548" customFormat="1" x14ac:dyDescent="0.25"/>
    <row r="131549" customFormat="1" x14ac:dyDescent="0.25"/>
    <row r="131550" customFormat="1" x14ac:dyDescent="0.25"/>
    <row r="131551" customFormat="1" x14ac:dyDescent="0.25"/>
    <row r="131552" customFormat="1" x14ac:dyDescent="0.25"/>
    <row r="131553" customFormat="1" x14ac:dyDescent="0.25"/>
    <row r="131554" customFormat="1" x14ac:dyDescent="0.25"/>
    <row r="131555" customFormat="1" x14ac:dyDescent="0.25"/>
    <row r="131556" customFormat="1" x14ac:dyDescent="0.25"/>
    <row r="131557" customFormat="1" x14ac:dyDescent="0.25"/>
    <row r="131558" customFormat="1" x14ac:dyDescent="0.25"/>
    <row r="131559" customFormat="1" x14ac:dyDescent="0.25"/>
    <row r="131560" customFormat="1" x14ac:dyDescent="0.25"/>
    <row r="131561" customFormat="1" x14ac:dyDescent="0.25"/>
    <row r="131562" customFormat="1" x14ac:dyDescent="0.25"/>
    <row r="131563" customFormat="1" x14ac:dyDescent="0.25"/>
    <row r="131564" customFormat="1" x14ac:dyDescent="0.25"/>
    <row r="131565" customFormat="1" x14ac:dyDescent="0.25"/>
    <row r="131566" customFormat="1" x14ac:dyDescent="0.25"/>
    <row r="131567" customFormat="1" x14ac:dyDescent="0.25"/>
    <row r="131568" customFormat="1" x14ac:dyDescent="0.25"/>
    <row r="131569" customFormat="1" x14ac:dyDescent="0.25"/>
    <row r="131570" customFormat="1" x14ac:dyDescent="0.25"/>
    <row r="131571" customFormat="1" x14ac:dyDescent="0.25"/>
    <row r="131572" customFormat="1" x14ac:dyDescent="0.25"/>
    <row r="131573" customFormat="1" x14ac:dyDescent="0.25"/>
    <row r="131574" customFormat="1" x14ac:dyDescent="0.25"/>
    <row r="131575" customFormat="1" x14ac:dyDescent="0.25"/>
    <row r="131576" customFormat="1" x14ac:dyDescent="0.25"/>
    <row r="131577" customFormat="1" x14ac:dyDescent="0.25"/>
    <row r="131578" customFormat="1" x14ac:dyDescent="0.25"/>
    <row r="131579" customFormat="1" x14ac:dyDescent="0.25"/>
    <row r="131580" customFormat="1" x14ac:dyDescent="0.25"/>
    <row r="131581" customFormat="1" x14ac:dyDescent="0.25"/>
    <row r="131582" customFormat="1" x14ac:dyDescent="0.25"/>
    <row r="131583" customFormat="1" x14ac:dyDescent="0.25"/>
    <row r="131584" customFormat="1" x14ac:dyDescent="0.25"/>
    <row r="131585" customFormat="1" x14ac:dyDescent="0.25"/>
    <row r="131586" customFormat="1" x14ac:dyDescent="0.25"/>
    <row r="131587" customFormat="1" x14ac:dyDescent="0.25"/>
    <row r="131588" customFormat="1" x14ac:dyDescent="0.25"/>
    <row r="131589" customFormat="1" x14ac:dyDescent="0.25"/>
    <row r="131590" customFormat="1" x14ac:dyDescent="0.25"/>
    <row r="131591" customFormat="1" x14ac:dyDescent="0.25"/>
    <row r="131592" customFormat="1" x14ac:dyDescent="0.25"/>
    <row r="131593" customFormat="1" x14ac:dyDescent="0.25"/>
    <row r="131594" customFormat="1" x14ac:dyDescent="0.25"/>
    <row r="131595" customFormat="1" x14ac:dyDescent="0.25"/>
    <row r="131596" customFormat="1" x14ac:dyDescent="0.25"/>
    <row r="131597" customFormat="1" x14ac:dyDescent="0.25"/>
    <row r="131598" customFormat="1" x14ac:dyDescent="0.25"/>
    <row r="131599" customFormat="1" x14ac:dyDescent="0.25"/>
    <row r="131600" customFormat="1" x14ac:dyDescent="0.25"/>
    <row r="131601" customFormat="1" x14ac:dyDescent="0.25"/>
    <row r="131602" customFormat="1" x14ac:dyDescent="0.25"/>
    <row r="131603" customFormat="1" x14ac:dyDescent="0.25"/>
    <row r="131604" customFormat="1" x14ac:dyDescent="0.25"/>
    <row r="131605" customFormat="1" x14ac:dyDescent="0.25"/>
    <row r="131606" customFormat="1" x14ac:dyDescent="0.25"/>
    <row r="131607" customFormat="1" x14ac:dyDescent="0.25"/>
    <row r="131608" customFormat="1" x14ac:dyDescent="0.25"/>
    <row r="131609" customFormat="1" x14ac:dyDescent="0.25"/>
    <row r="131610" customFormat="1" x14ac:dyDescent="0.25"/>
    <row r="131611" customFormat="1" x14ac:dyDescent="0.25"/>
    <row r="131612" customFormat="1" x14ac:dyDescent="0.25"/>
    <row r="131613" customFormat="1" x14ac:dyDescent="0.25"/>
    <row r="131614" customFormat="1" x14ac:dyDescent="0.25"/>
    <row r="131615" customFormat="1" x14ac:dyDescent="0.25"/>
    <row r="131616" customFormat="1" x14ac:dyDescent="0.25"/>
    <row r="131617" customFormat="1" x14ac:dyDescent="0.25"/>
    <row r="131618" customFormat="1" x14ac:dyDescent="0.25"/>
    <row r="131619" customFormat="1" x14ac:dyDescent="0.25"/>
    <row r="131620" customFormat="1" x14ac:dyDescent="0.25"/>
    <row r="131621" customFormat="1" x14ac:dyDescent="0.25"/>
    <row r="131622" customFormat="1" x14ac:dyDescent="0.25"/>
    <row r="131623" customFormat="1" x14ac:dyDescent="0.25"/>
    <row r="131624" customFormat="1" x14ac:dyDescent="0.25"/>
    <row r="131625" customFormat="1" x14ac:dyDescent="0.25"/>
    <row r="131626" customFormat="1" x14ac:dyDescent="0.25"/>
    <row r="131627" customFormat="1" x14ac:dyDescent="0.25"/>
    <row r="131628" customFormat="1" x14ac:dyDescent="0.25"/>
    <row r="131629" customFormat="1" x14ac:dyDescent="0.25"/>
    <row r="131630" customFormat="1" x14ac:dyDescent="0.25"/>
    <row r="131631" customFormat="1" x14ac:dyDescent="0.25"/>
    <row r="131632" customFormat="1" x14ac:dyDescent="0.25"/>
    <row r="131633" customFormat="1" x14ac:dyDescent="0.25"/>
    <row r="131634" customFormat="1" x14ac:dyDescent="0.25"/>
    <row r="131635" customFormat="1" x14ac:dyDescent="0.25"/>
    <row r="131636" customFormat="1" x14ac:dyDescent="0.25"/>
    <row r="131637" customFormat="1" x14ac:dyDescent="0.25"/>
    <row r="131638" customFormat="1" x14ac:dyDescent="0.25"/>
    <row r="131639" customFormat="1" x14ac:dyDescent="0.25"/>
    <row r="131640" customFormat="1" x14ac:dyDescent="0.25"/>
    <row r="131641" customFormat="1" x14ac:dyDescent="0.25"/>
    <row r="131642" customFormat="1" x14ac:dyDescent="0.25"/>
    <row r="131643" customFormat="1" x14ac:dyDescent="0.25"/>
    <row r="131644" customFormat="1" x14ac:dyDescent="0.25"/>
    <row r="131645" customFormat="1" x14ac:dyDescent="0.25"/>
    <row r="131646" customFormat="1" x14ac:dyDescent="0.25"/>
    <row r="131647" customFormat="1" x14ac:dyDescent="0.25"/>
    <row r="131648" customFormat="1" x14ac:dyDescent="0.25"/>
    <row r="131649" customFormat="1" x14ac:dyDescent="0.25"/>
    <row r="131650" customFormat="1" x14ac:dyDescent="0.25"/>
    <row r="131651" customFormat="1" x14ac:dyDescent="0.25"/>
    <row r="131652" customFormat="1" x14ac:dyDescent="0.25"/>
    <row r="131653" customFormat="1" x14ac:dyDescent="0.25"/>
    <row r="131654" customFormat="1" x14ac:dyDescent="0.25"/>
    <row r="131655" customFormat="1" x14ac:dyDescent="0.25"/>
    <row r="131656" customFormat="1" x14ac:dyDescent="0.25"/>
    <row r="131657" customFormat="1" x14ac:dyDescent="0.25"/>
    <row r="131658" customFormat="1" x14ac:dyDescent="0.25"/>
    <row r="131659" customFormat="1" x14ac:dyDescent="0.25"/>
    <row r="131660" customFormat="1" x14ac:dyDescent="0.25"/>
    <row r="131661" customFormat="1" x14ac:dyDescent="0.25"/>
    <row r="131662" customFormat="1" x14ac:dyDescent="0.25"/>
    <row r="131663" customFormat="1" x14ac:dyDescent="0.25"/>
    <row r="131664" customFormat="1" x14ac:dyDescent="0.25"/>
    <row r="131665" customFormat="1" x14ac:dyDescent="0.25"/>
    <row r="131666" customFormat="1" x14ac:dyDescent="0.25"/>
    <row r="131667" customFormat="1" x14ac:dyDescent="0.25"/>
    <row r="131668" customFormat="1" x14ac:dyDescent="0.25"/>
    <row r="131669" customFormat="1" x14ac:dyDescent="0.25"/>
    <row r="131670" customFormat="1" x14ac:dyDescent="0.25"/>
    <row r="131671" customFormat="1" x14ac:dyDescent="0.25"/>
    <row r="131672" customFormat="1" x14ac:dyDescent="0.25"/>
    <row r="131673" customFormat="1" x14ac:dyDescent="0.25"/>
    <row r="131674" customFormat="1" x14ac:dyDescent="0.25"/>
    <row r="131675" customFormat="1" x14ac:dyDescent="0.25"/>
    <row r="131676" customFormat="1" x14ac:dyDescent="0.25"/>
    <row r="131677" customFormat="1" x14ac:dyDescent="0.25"/>
    <row r="131678" customFormat="1" x14ac:dyDescent="0.25"/>
    <row r="131679" customFormat="1" x14ac:dyDescent="0.25"/>
    <row r="131680" customFormat="1" x14ac:dyDescent="0.25"/>
    <row r="131681" customFormat="1" x14ac:dyDescent="0.25"/>
    <row r="131682" customFormat="1" x14ac:dyDescent="0.25"/>
    <row r="131683" customFormat="1" x14ac:dyDescent="0.25"/>
    <row r="131684" customFormat="1" x14ac:dyDescent="0.25"/>
    <row r="131685" customFormat="1" x14ac:dyDescent="0.25"/>
    <row r="131686" customFormat="1" x14ac:dyDescent="0.25"/>
    <row r="131687" customFormat="1" x14ac:dyDescent="0.25"/>
    <row r="131688" customFormat="1" x14ac:dyDescent="0.25"/>
    <row r="131689" customFormat="1" x14ac:dyDescent="0.25"/>
    <row r="131690" customFormat="1" x14ac:dyDescent="0.25"/>
    <row r="131691" customFormat="1" x14ac:dyDescent="0.25"/>
    <row r="131692" customFormat="1" x14ac:dyDescent="0.25"/>
    <row r="131693" customFormat="1" x14ac:dyDescent="0.25"/>
    <row r="131694" customFormat="1" x14ac:dyDescent="0.25"/>
    <row r="131695" customFormat="1" x14ac:dyDescent="0.25"/>
    <row r="131696" customFormat="1" x14ac:dyDescent="0.25"/>
    <row r="131697" customFormat="1" x14ac:dyDescent="0.25"/>
    <row r="131698" customFormat="1" x14ac:dyDescent="0.25"/>
    <row r="131699" customFormat="1" x14ac:dyDescent="0.25"/>
    <row r="131700" customFormat="1" x14ac:dyDescent="0.25"/>
    <row r="131701" customFormat="1" x14ac:dyDescent="0.25"/>
    <row r="131702" customFormat="1" x14ac:dyDescent="0.25"/>
    <row r="131703" customFormat="1" x14ac:dyDescent="0.25"/>
    <row r="131704" customFormat="1" x14ac:dyDescent="0.25"/>
    <row r="131705" customFormat="1" x14ac:dyDescent="0.25"/>
    <row r="131706" customFormat="1" x14ac:dyDescent="0.25"/>
    <row r="131707" customFormat="1" x14ac:dyDescent="0.25"/>
    <row r="131708" customFormat="1" x14ac:dyDescent="0.25"/>
    <row r="131709" customFormat="1" x14ac:dyDescent="0.25"/>
    <row r="131710" customFormat="1" x14ac:dyDescent="0.25"/>
    <row r="131711" customFormat="1" x14ac:dyDescent="0.25"/>
    <row r="131712" customFormat="1" x14ac:dyDescent="0.25"/>
    <row r="131713" customFormat="1" x14ac:dyDescent="0.25"/>
    <row r="131714" customFormat="1" x14ac:dyDescent="0.25"/>
    <row r="131715" customFormat="1" x14ac:dyDescent="0.25"/>
    <row r="131716" customFormat="1" x14ac:dyDescent="0.25"/>
    <row r="131717" customFormat="1" x14ac:dyDescent="0.25"/>
    <row r="131718" customFormat="1" x14ac:dyDescent="0.25"/>
    <row r="131719" customFormat="1" x14ac:dyDescent="0.25"/>
    <row r="131720" customFormat="1" x14ac:dyDescent="0.25"/>
    <row r="131721" customFormat="1" x14ac:dyDescent="0.25"/>
    <row r="131722" customFormat="1" x14ac:dyDescent="0.25"/>
    <row r="131723" customFormat="1" x14ac:dyDescent="0.25"/>
    <row r="131724" customFormat="1" x14ac:dyDescent="0.25"/>
    <row r="131725" customFormat="1" x14ac:dyDescent="0.25"/>
    <row r="131726" customFormat="1" x14ac:dyDescent="0.25"/>
    <row r="131727" customFormat="1" x14ac:dyDescent="0.25"/>
    <row r="131728" customFormat="1" x14ac:dyDescent="0.25"/>
    <row r="131729" customFormat="1" x14ac:dyDescent="0.25"/>
    <row r="131730" customFormat="1" x14ac:dyDescent="0.25"/>
    <row r="131731" customFormat="1" x14ac:dyDescent="0.25"/>
    <row r="131732" customFormat="1" x14ac:dyDescent="0.25"/>
    <row r="131733" customFormat="1" x14ac:dyDescent="0.25"/>
    <row r="131734" customFormat="1" x14ac:dyDescent="0.25"/>
    <row r="131735" customFormat="1" x14ac:dyDescent="0.25"/>
    <row r="131736" customFormat="1" x14ac:dyDescent="0.25"/>
    <row r="131737" customFormat="1" x14ac:dyDescent="0.25"/>
    <row r="131738" customFormat="1" x14ac:dyDescent="0.25"/>
    <row r="131739" customFormat="1" x14ac:dyDescent="0.25"/>
    <row r="131740" customFormat="1" x14ac:dyDescent="0.25"/>
    <row r="131741" customFormat="1" x14ac:dyDescent="0.25"/>
    <row r="131742" customFormat="1" x14ac:dyDescent="0.25"/>
    <row r="131743" customFormat="1" x14ac:dyDescent="0.25"/>
    <row r="131744" customFormat="1" x14ac:dyDescent="0.25"/>
    <row r="131745" customFormat="1" x14ac:dyDescent="0.25"/>
    <row r="131746" customFormat="1" x14ac:dyDescent="0.25"/>
    <row r="131747" customFormat="1" x14ac:dyDescent="0.25"/>
    <row r="131748" customFormat="1" x14ac:dyDescent="0.25"/>
    <row r="131749" customFormat="1" x14ac:dyDescent="0.25"/>
    <row r="131750" customFormat="1" x14ac:dyDescent="0.25"/>
    <row r="131751" customFormat="1" x14ac:dyDescent="0.25"/>
    <row r="131752" customFormat="1" x14ac:dyDescent="0.25"/>
    <row r="131753" customFormat="1" x14ac:dyDescent="0.25"/>
    <row r="131754" customFormat="1" x14ac:dyDescent="0.25"/>
    <row r="131755" customFormat="1" x14ac:dyDescent="0.25"/>
    <row r="131756" customFormat="1" x14ac:dyDescent="0.25"/>
    <row r="131757" customFormat="1" x14ac:dyDescent="0.25"/>
    <row r="131758" customFormat="1" x14ac:dyDescent="0.25"/>
    <row r="131759" customFormat="1" x14ac:dyDescent="0.25"/>
    <row r="131760" customFormat="1" x14ac:dyDescent="0.25"/>
    <row r="131761" customFormat="1" x14ac:dyDescent="0.25"/>
    <row r="131762" customFormat="1" x14ac:dyDescent="0.25"/>
    <row r="131763" customFormat="1" x14ac:dyDescent="0.25"/>
    <row r="131764" customFormat="1" x14ac:dyDescent="0.25"/>
    <row r="131765" customFormat="1" x14ac:dyDescent="0.25"/>
    <row r="131766" customFormat="1" x14ac:dyDescent="0.25"/>
    <row r="131767" customFormat="1" x14ac:dyDescent="0.25"/>
    <row r="131768" customFormat="1" x14ac:dyDescent="0.25"/>
    <row r="131769" customFormat="1" x14ac:dyDescent="0.25"/>
    <row r="131770" customFormat="1" x14ac:dyDescent="0.25"/>
    <row r="131771" customFormat="1" x14ac:dyDescent="0.25"/>
    <row r="131772" customFormat="1" x14ac:dyDescent="0.25"/>
    <row r="131773" customFormat="1" x14ac:dyDescent="0.25"/>
    <row r="131774" customFormat="1" x14ac:dyDescent="0.25"/>
    <row r="131775" customFormat="1" x14ac:dyDescent="0.25"/>
    <row r="131776" customFormat="1" x14ac:dyDescent="0.25"/>
    <row r="131777" customFormat="1" x14ac:dyDescent="0.25"/>
    <row r="131778" customFormat="1" x14ac:dyDescent="0.25"/>
    <row r="131779" customFormat="1" x14ac:dyDescent="0.25"/>
    <row r="131780" customFormat="1" x14ac:dyDescent="0.25"/>
    <row r="131781" customFormat="1" x14ac:dyDescent="0.25"/>
    <row r="131782" customFormat="1" x14ac:dyDescent="0.25"/>
    <row r="131783" customFormat="1" x14ac:dyDescent="0.25"/>
    <row r="131784" customFormat="1" x14ac:dyDescent="0.25"/>
    <row r="131785" customFormat="1" x14ac:dyDescent="0.25"/>
    <row r="131786" customFormat="1" x14ac:dyDescent="0.25"/>
    <row r="131787" customFormat="1" x14ac:dyDescent="0.25"/>
    <row r="131788" customFormat="1" x14ac:dyDescent="0.25"/>
    <row r="131789" customFormat="1" x14ac:dyDescent="0.25"/>
    <row r="131790" customFormat="1" x14ac:dyDescent="0.25"/>
    <row r="131791" customFormat="1" x14ac:dyDescent="0.25"/>
    <row r="131792" customFormat="1" x14ac:dyDescent="0.25"/>
    <row r="131793" customFormat="1" x14ac:dyDescent="0.25"/>
    <row r="131794" customFormat="1" x14ac:dyDescent="0.25"/>
    <row r="131795" customFormat="1" x14ac:dyDescent="0.25"/>
    <row r="131796" customFormat="1" x14ac:dyDescent="0.25"/>
    <row r="131797" customFormat="1" x14ac:dyDescent="0.25"/>
    <row r="131798" customFormat="1" x14ac:dyDescent="0.25"/>
    <row r="131799" customFormat="1" x14ac:dyDescent="0.25"/>
    <row r="131800" customFormat="1" x14ac:dyDescent="0.25"/>
    <row r="131801" customFormat="1" x14ac:dyDescent="0.25"/>
    <row r="131802" customFormat="1" x14ac:dyDescent="0.25"/>
    <row r="131803" customFormat="1" x14ac:dyDescent="0.25"/>
    <row r="131804" customFormat="1" x14ac:dyDescent="0.25"/>
    <row r="131805" customFormat="1" x14ac:dyDescent="0.25"/>
    <row r="131806" customFormat="1" x14ac:dyDescent="0.25"/>
    <row r="131807" customFormat="1" x14ac:dyDescent="0.25"/>
    <row r="131808" customFormat="1" x14ac:dyDescent="0.25"/>
    <row r="131809" customFormat="1" x14ac:dyDescent="0.25"/>
    <row r="131810" customFormat="1" x14ac:dyDescent="0.25"/>
    <row r="131811" customFormat="1" x14ac:dyDescent="0.25"/>
    <row r="131812" customFormat="1" x14ac:dyDescent="0.25"/>
    <row r="131813" customFormat="1" x14ac:dyDescent="0.25"/>
    <row r="131814" customFormat="1" x14ac:dyDescent="0.25"/>
    <row r="131815" customFormat="1" x14ac:dyDescent="0.25"/>
    <row r="131816" customFormat="1" x14ac:dyDescent="0.25"/>
    <row r="131817" customFormat="1" x14ac:dyDescent="0.25"/>
    <row r="131818" customFormat="1" x14ac:dyDescent="0.25"/>
    <row r="131819" customFormat="1" x14ac:dyDescent="0.25"/>
    <row r="131820" customFormat="1" x14ac:dyDescent="0.25"/>
    <row r="131821" customFormat="1" x14ac:dyDescent="0.25"/>
    <row r="131822" customFormat="1" x14ac:dyDescent="0.25"/>
    <row r="131823" customFormat="1" x14ac:dyDescent="0.25"/>
    <row r="131824" customFormat="1" x14ac:dyDescent="0.25"/>
    <row r="131825" customFormat="1" x14ac:dyDescent="0.25"/>
    <row r="131826" customFormat="1" x14ac:dyDescent="0.25"/>
    <row r="131827" customFormat="1" x14ac:dyDescent="0.25"/>
    <row r="131828" customFormat="1" x14ac:dyDescent="0.25"/>
    <row r="131829" customFormat="1" x14ac:dyDescent="0.25"/>
    <row r="131830" customFormat="1" x14ac:dyDescent="0.25"/>
    <row r="131831" customFormat="1" x14ac:dyDescent="0.25"/>
    <row r="131832" customFormat="1" x14ac:dyDescent="0.25"/>
    <row r="131833" customFormat="1" x14ac:dyDescent="0.25"/>
    <row r="131834" customFormat="1" x14ac:dyDescent="0.25"/>
    <row r="131835" customFormat="1" x14ac:dyDescent="0.25"/>
    <row r="131836" customFormat="1" x14ac:dyDescent="0.25"/>
    <row r="131837" customFormat="1" x14ac:dyDescent="0.25"/>
    <row r="131838" customFormat="1" x14ac:dyDescent="0.25"/>
    <row r="131839" customFormat="1" x14ac:dyDescent="0.25"/>
    <row r="131840" customFormat="1" x14ac:dyDescent="0.25"/>
    <row r="131841" customFormat="1" x14ac:dyDescent="0.25"/>
    <row r="131842" customFormat="1" x14ac:dyDescent="0.25"/>
    <row r="131843" customFormat="1" x14ac:dyDescent="0.25"/>
    <row r="131844" customFormat="1" x14ac:dyDescent="0.25"/>
    <row r="131845" customFormat="1" x14ac:dyDescent="0.25"/>
    <row r="131846" customFormat="1" x14ac:dyDescent="0.25"/>
    <row r="131847" customFormat="1" x14ac:dyDescent="0.25"/>
    <row r="131848" customFormat="1" x14ac:dyDescent="0.25"/>
    <row r="131849" customFormat="1" x14ac:dyDescent="0.25"/>
    <row r="131850" customFormat="1" x14ac:dyDescent="0.25"/>
    <row r="131851" customFormat="1" x14ac:dyDescent="0.25"/>
    <row r="131852" customFormat="1" x14ac:dyDescent="0.25"/>
    <row r="131853" customFormat="1" x14ac:dyDescent="0.25"/>
    <row r="131854" customFormat="1" x14ac:dyDescent="0.25"/>
    <row r="131855" customFormat="1" x14ac:dyDescent="0.25"/>
    <row r="131856" customFormat="1" x14ac:dyDescent="0.25"/>
    <row r="131857" customFormat="1" x14ac:dyDescent="0.25"/>
    <row r="131858" customFormat="1" x14ac:dyDescent="0.25"/>
    <row r="131859" customFormat="1" x14ac:dyDescent="0.25"/>
    <row r="131860" customFormat="1" x14ac:dyDescent="0.25"/>
    <row r="131861" customFormat="1" x14ac:dyDescent="0.25"/>
    <row r="131862" customFormat="1" x14ac:dyDescent="0.25"/>
    <row r="131863" customFormat="1" x14ac:dyDescent="0.25"/>
    <row r="131864" customFormat="1" x14ac:dyDescent="0.25"/>
    <row r="131865" customFormat="1" x14ac:dyDescent="0.25"/>
    <row r="131866" customFormat="1" x14ac:dyDescent="0.25"/>
    <row r="131867" customFormat="1" x14ac:dyDescent="0.25"/>
    <row r="131868" customFormat="1" x14ac:dyDescent="0.25"/>
    <row r="131869" customFormat="1" x14ac:dyDescent="0.25"/>
    <row r="131870" customFormat="1" x14ac:dyDescent="0.25"/>
    <row r="131871" customFormat="1" x14ac:dyDescent="0.25"/>
    <row r="131872" customFormat="1" x14ac:dyDescent="0.25"/>
    <row r="131873" customFormat="1" x14ac:dyDescent="0.25"/>
    <row r="131874" customFormat="1" x14ac:dyDescent="0.25"/>
    <row r="131875" customFormat="1" x14ac:dyDescent="0.25"/>
    <row r="131876" customFormat="1" x14ac:dyDescent="0.25"/>
    <row r="131877" customFormat="1" x14ac:dyDescent="0.25"/>
    <row r="131878" customFormat="1" x14ac:dyDescent="0.25"/>
    <row r="131879" customFormat="1" x14ac:dyDescent="0.25"/>
    <row r="131880" customFormat="1" x14ac:dyDescent="0.25"/>
    <row r="131881" customFormat="1" x14ac:dyDescent="0.25"/>
    <row r="131882" customFormat="1" x14ac:dyDescent="0.25"/>
    <row r="131883" customFormat="1" x14ac:dyDescent="0.25"/>
    <row r="131884" customFormat="1" x14ac:dyDescent="0.25"/>
    <row r="131885" customFormat="1" x14ac:dyDescent="0.25"/>
    <row r="131886" customFormat="1" x14ac:dyDescent="0.25"/>
    <row r="131887" customFormat="1" x14ac:dyDescent="0.25"/>
    <row r="131888" customFormat="1" x14ac:dyDescent="0.25"/>
    <row r="131889" customFormat="1" x14ac:dyDescent="0.25"/>
    <row r="131890" customFormat="1" x14ac:dyDescent="0.25"/>
    <row r="131891" customFormat="1" x14ac:dyDescent="0.25"/>
    <row r="131892" customFormat="1" x14ac:dyDescent="0.25"/>
    <row r="131893" customFormat="1" x14ac:dyDescent="0.25"/>
    <row r="131894" customFormat="1" x14ac:dyDescent="0.25"/>
    <row r="131895" customFormat="1" x14ac:dyDescent="0.25"/>
    <row r="131896" customFormat="1" x14ac:dyDescent="0.25"/>
    <row r="131897" customFormat="1" x14ac:dyDescent="0.25"/>
    <row r="131898" customFormat="1" x14ac:dyDescent="0.25"/>
    <row r="131899" customFormat="1" x14ac:dyDescent="0.25"/>
    <row r="131900" customFormat="1" x14ac:dyDescent="0.25"/>
    <row r="131901" customFormat="1" x14ac:dyDescent="0.25"/>
    <row r="131902" customFormat="1" x14ac:dyDescent="0.25"/>
    <row r="131903" customFormat="1" x14ac:dyDescent="0.25"/>
    <row r="131904" customFormat="1" x14ac:dyDescent="0.25"/>
    <row r="131905" customFormat="1" x14ac:dyDescent="0.25"/>
    <row r="131906" customFormat="1" x14ac:dyDescent="0.25"/>
    <row r="131907" customFormat="1" x14ac:dyDescent="0.25"/>
    <row r="131908" customFormat="1" x14ac:dyDescent="0.25"/>
    <row r="131909" customFormat="1" x14ac:dyDescent="0.25"/>
    <row r="131910" customFormat="1" x14ac:dyDescent="0.25"/>
    <row r="131911" customFormat="1" x14ac:dyDescent="0.25"/>
    <row r="131912" customFormat="1" x14ac:dyDescent="0.25"/>
    <row r="131913" customFormat="1" x14ac:dyDescent="0.25"/>
    <row r="131914" customFormat="1" x14ac:dyDescent="0.25"/>
    <row r="131915" customFormat="1" x14ac:dyDescent="0.25"/>
    <row r="131916" customFormat="1" x14ac:dyDescent="0.25"/>
    <row r="131917" customFormat="1" x14ac:dyDescent="0.25"/>
    <row r="131918" customFormat="1" x14ac:dyDescent="0.25"/>
    <row r="131919" customFormat="1" x14ac:dyDescent="0.25"/>
    <row r="131920" customFormat="1" x14ac:dyDescent="0.25"/>
    <row r="131921" customFormat="1" x14ac:dyDescent="0.25"/>
    <row r="131922" customFormat="1" x14ac:dyDescent="0.25"/>
    <row r="131923" customFormat="1" x14ac:dyDescent="0.25"/>
    <row r="131924" customFormat="1" x14ac:dyDescent="0.25"/>
    <row r="131925" customFormat="1" x14ac:dyDescent="0.25"/>
    <row r="131926" customFormat="1" x14ac:dyDescent="0.25"/>
    <row r="131927" customFormat="1" x14ac:dyDescent="0.25"/>
    <row r="131928" customFormat="1" x14ac:dyDescent="0.25"/>
    <row r="131929" customFormat="1" x14ac:dyDescent="0.25"/>
    <row r="131930" customFormat="1" x14ac:dyDescent="0.25"/>
    <row r="131931" customFormat="1" x14ac:dyDescent="0.25"/>
    <row r="131932" customFormat="1" x14ac:dyDescent="0.25"/>
    <row r="131933" customFormat="1" x14ac:dyDescent="0.25"/>
    <row r="131934" customFormat="1" x14ac:dyDescent="0.25"/>
    <row r="131935" customFormat="1" x14ac:dyDescent="0.25"/>
    <row r="131936" customFormat="1" x14ac:dyDescent="0.25"/>
    <row r="131937" customFormat="1" x14ac:dyDescent="0.25"/>
    <row r="131938" customFormat="1" x14ac:dyDescent="0.25"/>
    <row r="131939" customFormat="1" x14ac:dyDescent="0.25"/>
    <row r="131940" customFormat="1" x14ac:dyDescent="0.25"/>
    <row r="131941" customFormat="1" x14ac:dyDescent="0.25"/>
    <row r="131942" customFormat="1" x14ac:dyDescent="0.25"/>
    <row r="131943" customFormat="1" x14ac:dyDescent="0.25"/>
    <row r="131944" customFormat="1" x14ac:dyDescent="0.25"/>
    <row r="131945" customFormat="1" x14ac:dyDescent="0.25"/>
    <row r="131946" customFormat="1" x14ac:dyDescent="0.25"/>
    <row r="131947" customFormat="1" x14ac:dyDescent="0.25"/>
    <row r="131948" customFormat="1" x14ac:dyDescent="0.25"/>
    <row r="131949" customFormat="1" x14ac:dyDescent="0.25"/>
    <row r="131950" customFormat="1" x14ac:dyDescent="0.25"/>
    <row r="131951" customFormat="1" x14ac:dyDescent="0.25"/>
    <row r="131952" customFormat="1" x14ac:dyDescent="0.25"/>
    <row r="131953" customFormat="1" x14ac:dyDescent="0.25"/>
    <row r="131954" customFormat="1" x14ac:dyDescent="0.25"/>
    <row r="131955" customFormat="1" x14ac:dyDescent="0.25"/>
    <row r="131956" customFormat="1" x14ac:dyDescent="0.25"/>
    <row r="131957" customFormat="1" x14ac:dyDescent="0.25"/>
    <row r="131958" customFormat="1" x14ac:dyDescent="0.25"/>
    <row r="131959" customFormat="1" x14ac:dyDescent="0.25"/>
    <row r="131960" customFormat="1" x14ac:dyDescent="0.25"/>
    <row r="131961" customFormat="1" x14ac:dyDescent="0.25"/>
    <row r="131962" customFormat="1" x14ac:dyDescent="0.25"/>
    <row r="131963" customFormat="1" x14ac:dyDescent="0.25"/>
    <row r="131964" customFormat="1" x14ac:dyDescent="0.25"/>
    <row r="131965" customFormat="1" x14ac:dyDescent="0.25"/>
    <row r="131966" customFormat="1" x14ac:dyDescent="0.25"/>
    <row r="131967" customFormat="1" x14ac:dyDescent="0.25"/>
    <row r="131968" customFormat="1" x14ac:dyDescent="0.25"/>
    <row r="131969" customFormat="1" x14ac:dyDescent="0.25"/>
    <row r="131970" customFormat="1" x14ac:dyDescent="0.25"/>
    <row r="131971" customFormat="1" x14ac:dyDescent="0.25"/>
    <row r="131972" customFormat="1" x14ac:dyDescent="0.25"/>
    <row r="131973" customFormat="1" x14ac:dyDescent="0.25"/>
    <row r="131974" customFormat="1" x14ac:dyDescent="0.25"/>
    <row r="131975" customFormat="1" x14ac:dyDescent="0.25"/>
    <row r="131976" customFormat="1" x14ac:dyDescent="0.25"/>
    <row r="131977" customFormat="1" x14ac:dyDescent="0.25"/>
    <row r="131978" customFormat="1" x14ac:dyDescent="0.25"/>
    <row r="131979" customFormat="1" x14ac:dyDescent="0.25"/>
    <row r="131980" customFormat="1" x14ac:dyDescent="0.25"/>
    <row r="131981" customFormat="1" x14ac:dyDescent="0.25"/>
    <row r="131982" customFormat="1" x14ac:dyDescent="0.25"/>
    <row r="131983" customFormat="1" x14ac:dyDescent="0.25"/>
    <row r="131984" customFormat="1" x14ac:dyDescent="0.25"/>
    <row r="131985" customFormat="1" x14ac:dyDescent="0.25"/>
    <row r="131986" customFormat="1" x14ac:dyDescent="0.25"/>
    <row r="131987" customFormat="1" x14ac:dyDescent="0.25"/>
    <row r="131988" customFormat="1" x14ac:dyDescent="0.25"/>
    <row r="131989" customFormat="1" x14ac:dyDescent="0.25"/>
    <row r="131990" customFormat="1" x14ac:dyDescent="0.25"/>
    <row r="131991" customFormat="1" x14ac:dyDescent="0.25"/>
    <row r="131992" customFormat="1" x14ac:dyDescent="0.25"/>
    <row r="131993" customFormat="1" x14ac:dyDescent="0.25"/>
    <row r="131994" customFormat="1" x14ac:dyDescent="0.25"/>
    <row r="131995" customFormat="1" x14ac:dyDescent="0.25"/>
    <row r="131996" customFormat="1" x14ac:dyDescent="0.25"/>
    <row r="131997" customFormat="1" x14ac:dyDescent="0.25"/>
    <row r="131998" customFormat="1" x14ac:dyDescent="0.25"/>
    <row r="131999" customFormat="1" x14ac:dyDescent="0.25"/>
    <row r="132000" customFormat="1" x14ac:dyDescent="0.25"/>
    <row r="132001" customFormat="1" x14ac:dyDescent="0.25"/>
    <row r="132002" customFormat="1" x14ac:dyDescent="0.25"/>
    <row r="132003" customFormat="1" x14ac:dyDescent="0.25"/>
    <row r="132004" customFormat="1" x14ac:dyDescent="0.25"/>
    <row r="132005" customFormat="1" x14ac:dyDescent="0.25"/>
    <row r="132006" customFormat="1" x14ac:dyDescent="0.25"/>
    <row r="132007" customFormat="1" x14ac:dyDescent="0.25"/>
    <row r="132008" customFormat="1" x14ac:dyDescent="0.25"/>
    <row r="132009" customFormat="1" x14ac:dyDescent="0.25"/>
    <row r="132010" customFormat="1" x14ac:dyDescent="0.25"/>
    <row r="132011" customFormat="1" x14ac:dyDescent="0.25"/>
    <row r="132012" customFormat="1" x14ac:dyDescent="0.25"/>
    <row r="132013" customFormat="1" x14ac:dyDescent="0.25"/>
    <row r="132014" customFormat="1" x14ac:dyDescent="0.25"/>
    <row r="132015" customFormat="1" x14ac:dyDescent="0.25"/>
    <row r="132016" customFormat="1" x14ac:dyDescent="0.25"/>
    <row r="132017" customFormat="1" x14ac:dyDescent="0.25"/>
    <row r="132018" customFormat="1" x14ac:dyDescent="0.25"/>
    <row r="132019" customFormat="1" x14ac:dyDescent="0.25"/>
    <row r="132020" customFormat="1" x14ac:dyDescent="0.25"/>
    <row r="132021" customFormat="1" x14ac:dyDescent="0.25"/>
    <row r="132022" customFormat="1" x14ac:dyDescent="0.25"/>
    <row r="132023" customFormat="1" x14ac:dyDescent="0.25"/>
    <row r="132024" customFormat="1" x14ac:dyDescent="0.25"/>
    <row r="132025" customFormat="1" x14ac:dyDescent="0.25"/>
    <row r="132026" customFormat="1" x14ac:dyDescent="0.25"/>
    <row r="132027" customFormat="1" x14ac:dyDescent="0.25"/>
    <row r="132028" customFormat="1" x14ac:dyDescent="0.25"/>
    <row r="132029" customFormat="1" x14ac:dyDescent="0.25"/>
    <row r="132030" customFormat="1" x14ac:dyDescent="0.25"/>
    <row r="132031" customFormat="1" x14ac:dyDescent="0.25"/>
    <row r="132032" customFormat="1" x14ac:dyDescent="0.25"/>
    <row r="132033" customFormat="1" x14ac:dyDescent="0.25"/>
    <row r="132034" customFormat="1" x14ac:dyDescent="0.25"/>
    <row r="132035" customFormat="1" x14ac:dyDescent="0.25"/>
    <row r="132036" customFormat="1" x14ac:dyDescent="0.25"/>
    <row r="132037" customFormat="1" x14ac:dyDescent="0.25"/>
    <row r="132038" customFormat="1" x14ac:dyDescent="0.25"/>
    <row r="132039" customFormat="1" x14ac:dyDescent="0.25"/>
    <row r="132040" customFormat="1" x14ac:dyDescent="0.25"/>
    <row r="132041" customFormat="1" x14ac:dyDescent="0.25"/>
    <row r="132042" customFormat="1" x14ac:dyDescent="0.25"/>
    <row r="132043" customFormat="1" x14ac:dyDescent="0.25"/>
    <row r="132044" customFormat="1" x14ac:dyDescent="0.25"/>
    <row r="132045" customFormat="1" x14ac:dyDescent="0.25"/>
    <row r="132046" customFormat="1" x14ac:dyDescent="0.25"/>
    <row r="132047" customFormat="1" x14ac:dyDescent="0.25"/>
    <row r="132048" customFormat="1" x14ac:dyDescent="0.25"/>
    <row r="132049" customFormat="1" x14ac:dyDescent="0.25"/>
    <row r="132050" customFormat="1" x14ac:dyDescent="0.25"/>
    <row r="132051" customFormat="1" x14ac:dyDescent="0.25"/>
    <row r="132052" customFormat="1" x14ac:dyDescent="0.25"/>
    <row r="132053" customFormat="1" x14ac:dyDescent="0.25"/>
    <row r="132054" customFormat="1" x14ac:dyDescent="0.25"/>
    <row r="132055" customFormat="1" x14ac:dyDescent="0.25"/>
    <row r="132056" customFormat="1" x14ac:dyDescent="0.25"/>
    <row r="132057" customFormat="1" x14ac:dyDescent="0.25"/>
    <row r="132058" customFormat="1" x14ac:dyDescent="0.25"/>
    <row r="132059" customFormat="1" x14ac:dyDescent="0.25"/>
    <row r="132060" customFormat="1" x14ac:dyDescent="0.25"/>
    <row r="132061" customFormat="1" x14ac:dyDescent="0.25"/>
    <row r="132062" customFormat="1" x14ac:dyDescent="0.25"/>
    <row r="132063" customFormat="1" x14ac:dyDescent="0.25"/>
    <row r="132064" customFormat="1" x14ac:dyDescent="0.25"/>
    <row r="132065" customFormat="1" x14ac:dyDescent="0.25"/>
    <row r="132066" customFormat="1" x14ac:dyDescent="0.25"/>
    <row r="132067" customFormat="1" x14ac:dyDescent="0.25"/>
    <row r="132068" customFormat="1" x14ac:dyDescent="0.25"/>
    <row r="132069" customFormat="1" x14ac:dyDescent="0.25"/>
    <row r="132070" customFormat="1" x14ac:dyDescent="0.25"/>
    <row r="132071" customFormat="1" x14ac:dyDescent="0.25"/>
    <row r="132072" customFormat="1" x14ac:dyDescent="0.25"/>
    <row r="132073" customFormat="1" x14ac:dyDescent="0.25"/>
    <row r="132074" customFormat="1" x14ac:dyDescent="0.25"/>
    <row r="132075" customFormat="1" x14ac:dyDescent="0.25"/>
    <row r="132076" customFormat="1" x14ac:dyDescent="0.25"/>
    <row r="132077" customFormat="1" x14ac:dyDescent="0.25"/>
    <row r="132078" customFormat="1" x14ac:dyDescent="0.25"/>
    <row r="132079" customFormat="1" x14ac:dyDescent="0.25"/>
    <row r="132080" customFormat="1" x14ac:dyDescent="0.25"/>
    <row r="132081" customFormat="1" x14ac:dyDescent="0.25"/>
    <row r="132082" customFormat="1" x14ac:dyDescent="0.25"/>
    <row r="132083" customFormat="1" x14ac:dyDescent="0.25"/>
    <row r="132084" customFormat="1" x14ac:dyDescent="0.25"/>
    <row r="132085" customFormat="1" x14ac:dyDescent="0.25"/>
    <row r="132086" customFormat="1" x14ac:dyDescent="0.25"/>
    <row r="132087" customFormat="1" x14ac:dyDescent="0.25"/>
    <row r="132088" customFormat="1" x14ac:dyDescent="0.25"/>
    <row r="132089" customFormat="1" x14ac:dyDescent="0.25"/>
    <row r="132090" customFormat="1" x14ac:dyDescent="0.25"/>
    <row r="132091" customFormat="1" x14ac:dyDescent="0.25"/>
    <row r="132092" customFormat="1" x14ac:dyDescent="0.25"/>
    <row r="132093" customFormat="1" x14ac:dyDescent="0.25"/>
    <row r="132094" customFormat="1" x14ac:dyDescent="0.25"/>
    <row r="132095" customFormat="1" x14ac:dyDescent="0.25"/>
    <row r="132096" customFormat="1" x14ac:dyDescent="0.25"/>
    <row r="132097" customFormat="1" x14ac:dyDescent="0.25"/>
    <row r="132098" customFormat="1" x14ac:dyDescent="0.25"/>
    <row r="132099" customFormat="1" x14ac:dyDescent="0.25"/>
    <row r="132100" customFormat="1" x14ac:dyDescent="0.25"/>
    <row r="132101" customFormat="1" x14ac:dyDescent="0.25"/>
    <row r="132102" customFormat="1" x14ac:dyDescent="0.25"/>
    <row r="132103" customFormat="1" x14ac:dyDescent="0.25"/>
    <row r="132104" customFormat="1" x14ac:dyDescent="0.25"/>
    <row r="132105" customFormat="1" x14ac:dyDescent="0.25"/>
    <row r="132106" customFormat="1" x14ac:dyDescent="0.25"/>
    <row r="132107" customFormat="1" x14ac:dyDescent="0.25"/>
    <row r="132108" customFormat="1" x14ac:dyDescent="0.25"/>
    <row r="132109" customFormat="1" x14ac:dyDescent="0.25"/>
    <row r="132110" customFormat="1" x14ac:dyDescent="0.25"/>
    <row r="132111" customFormat="1" x14ac:dyDescent="0.25"/>
    <row r="132112" customFormat="1" x14ac:dyDescent="0.25"/>
    <row r="132113" customFormat="1" x14ac:dyDescent="0.25"/>
    <row r="132114" customFormat="1" x14ac:dyDescent="0.25"/>
    <row r="132115" customFormat="1" x14ac:dyDescent="0.25"/>
    <row r="132116" customFormat="1" x14ac:dyDescent="0.25"/>
    <row r="132117" customFormat="1" x14ac:dyDescent="0.25"/>
    <row r="132118" customFormat="1" x14ac:dyDescent="0.25"/>
    <row r="132119" customFormat="1" x14ac:dyDescent="0.25"/>
    <row r="132120" customFormat="1" x14ac:dyDescent="0.25"/>
    <row r="132121" customFormat="1" x14ac:dyDescent="0.25"/>
    <row r="132122" customFormat="1" x14ac:dyDescent="0.25"/>
    <row r="132123" customFormat="1" x14ac:dyDescent="0.25"/>
    <row r="132124" customFormat="1" x14ac:dyDescent="0.25"/>
    <row r="132125" customFormat="1" x14ac:dyDescent="0.25"/>
    <row r="132126" customFormat="1" x14ac:dyDescent="0.25"/>
    <row r="132127" customFormat="1" x14ac:dyDescent="0.25"/>
    <row r="132128" customFormat="1" x14ac:dyDescent="0.25"/>
    <row r="132129" customFormat="1" x14ac:dyDescent="0.25"/>
    <row r="132130" customFormat="1" x14ac:dyDescent="0.25"/>
    <row r="132131" customFormat="1" x14ac:dyDescent="0.25"/>
    <row r="132132" customFormat="1" x14ac:dyDescent="0.25"/>
    <row r="132133" customFormat="1" x14ac:dyDescent="0.25"/>
    <row r="132134" customFormat="1" x14ac:dyDescent="0.25"/>
    <row r="132135" customFormat="1" x14ac:dyDescent="0.25"/>
    <row r="132136" customFormat="1" x14ac:dyDescent="0.25"/>
    <row r="132137" customFormat="1" x14ac:dyDescent="0.25"/>
    <row r="132138" customFormat="1" x14ac:dyDescent="0.25"/>
    <row r="132139" customFormat="1" x14ac:dyDescent="0.25"/>
    <row r="132140" customFormat="1" x14ac:dyDescent="0.25"/>
    <row r="132141" customFormat="1" x14ac:dyDescent="0.25"/>
    <row r="132142" customFormat="1" x14ac:dyDescent="0.25"/>
    <row r="132143" customFormat="1" x14ac:dyDescent="0.25"/>
    <row r="132144" customFormat="1" x14ac:dyDescent="0.25"/>
    <row r="132145" customFormat="1" x14ac:dyDescent="0.25"/>
    <row r="132146" customFormat="1" x14ac:dyDescent="0.25"/>
    <row r="132147" customFormat="1" x14ac:dyDescent="0.25"/>
    <row r="132148" customFormat="1" x14ac:dyDescent="0.25"/>
    <row r="132149" customFormat="1" x14ac:dyDescent="0.25"/>
    <row r="132150" customFormat="1" x14ac:dyDescent="0.25"/>
    <row r="132151" customFormat="1" x14ac:dyDescent="0.25"/>
    <row r="132152" customFormat="1" x14ac:dyDescent="0.25"/>
    <row r="132153" customFormat="1" x14ac:dyDescent="0.25"/>
    <row r="132154" customFormat="1" x14ac:dyDescent="0.25"/>
    <row r="132155" customFormat="1" x14ac:dyDescent="0.25"/>
    <row r="132156" customFormat="1" x14ac:dyDescent="0.25"/>
    <row r="132157" customFormat="1" x14ac:dyDescent="0.25"/>
    <row r="132158" customFormat="1" x14ac:dyDescent="0.25"/>
    <row r="132159" customFormat="1" x14ac:dyDescent="0.25"/>
    <row r="132160" customFormat="1" x14ac:dyDescent="0.25"/>
    <row r="132161" customFormat="1" x14ac:dyDescent="0.25"/>
    <row r="132162" customFormat="1" x14ac:dyDescent="0.25"/>
    <row r="132163" customFormat="1" x14ac:dyDescent="0.25"/>
    <row r="132164" customFormat="1" x14ac:dyDescent="0.25"/>
    <row r="132165" customFormat="1" x14ac:dyDescent="0.25"/>
    <row r="132166" customFormat="1" x14ac:dyDescent="0.25"/>
    <row r="132167" customFormat="1" x14ac:dyDescent="0.25"/>
    <row r="132168" customFormat="1" x14ac:dyDescent="0.25"/>
    <row r="132169" customFormat="1" x14ac:dyDescent="0.25"/>
    <row r="132170" customFormat="1" x14ac:dyDescent="0.25"/>
    <row r="132171" customFormat="1" x14ac:dyDescent="0.25"/>
    <row r="132172" customFormat="1" x14ac:dyDescent="0.25"/>
    <row r="132173" customFormat="1" x14ac:dyDescent="0.25"/>
    <row r="132174" customFormat="1" x14ac:dyDescent="0.25"/>
    <row r="132175" customFormat="1" x14ac:dyDescent="0.25"/>
    <row r="132176" customFormat="1" x14ac:dyDescent="0.25"/>
    <row r="132177" customFormat="1" x14ac:dyDescent="0.25"/>
    <row r="132178" customFormat="1" x14ac:dyDescent="0.25"/>
    <row r="132179" customFormat="1" x14ac:dyDescent="0.25"/>
    <row r="132180" customFormat="1" x14ac:dyDescent="0.25"/>
    <row r="132181" customFormat="1" x14ac:dyDescent="0.25"/>
    <row r="132182" customFormat="1" x14ac:dyDescent="0.25"/>
    <row r="132183" customFormat="1" x14ac:dyDescent="0.25"/>
    <row r="132184" customFormat="1" x14ac:dyDescent="0.25"/>
    <row r="132185" customFormat="1" x14ac:dyDescent="0.25"/>
    <row r="132186" customFormat="1" x14ac:dyDescent="0.25"/>
    <row r="132187" customFormat="1" x14ac:dyDescent="0.25"/>
    <row r="132188" customFormat="1" x14ac:dyDescent="0.25"/>
    <row r="132189" customFormat="1" x14ac:dyDescent="0.25"/>
    <row r="132190" customFormat="1" x14ac:dyDescent="0.25"/>
    <row r="132191" customFormat="1" x14ac:dyDescent="0.25"/>
    <row r="132192" customFormat="1" x14ac:dyDescent="0.25"/>
    <row r="132193" customFormat="1" x14ac:dyDescent="0.25"/>
    <row r="132194" customFormat="1" x14ac:dyDescent="0.25"/>
    <row r="132195" customFormat="1" x14ac:dyDescent="0.25"/>
    <row r="132196" customFormat="1" x14ac:dyDescent="0.25"/>
    <row r="132197" customFormat="1" x14ac:dyDescent="0.25"/>
    <row r="132198" customFormat="1" x14ac:dyDescent="0.25"/>
    <row r="132199" customFormat="1" x14ac:dyDescent="0.25"/>
    <row r="132200" customFormat="1" x14ac:dyDescent="0.25"/>
    <row r="132201" customFormat="1" x14ac:dyDescent="0.25"/>
    <row r="132202" customFormat="1" x14ac:dyDescent="0.25"/>
    <row r="132203" customFormat="1" x14ac:dyDescent="0.25"/>
    <row r="132204" customFormat="1" x14ac:dyDescent="0.25"/>
    <row r="132205" customFormat="1" x14ac:dyDescent="0.25"/>
    <row r="132206" customFormat="1" x14ac:dyDescent="0.25"/>
    <row r="132207" customFormat="1" x14ac:dyDescent="0.25"/>
    <row r="132208" customFormat="1" x14ac:dyDescent="0.25"/>
    <row r="132209" customFormat="1" x14ac:dyDescent="0.25"/>
    <row r="132210" customFormat="1" x14ac:dyDescent="0.25"/>
    <row r="132211" customFormat="1" x14ac:dyDescent="0.25"/>
    <row r="132212" customFormat="1" x14ac:dyDescent="0.25"/>
    <row r="132213" customFormat="1" x14ac:dyDescent="0.25"/>
    <row r="132214" customFormat="1" x14ac:dyDescent="0.25"/>
    <row r="132215" customFormat="1" x14ac:dyDescent="0.25"/>
    <row r="132216" customFormat="1" x14ac:dyDescent="0.25"/>
    <row r="132217" customFormat="1" x14ac:dyDescent="0.25"/>
    <row r="132218" customFormat="1" x14ac:dyDescent="0.25"/>
    <row r="132219" customFormat="1" x14ac:dyDescent="0.25"/>
    <row r="132220" customFormat="1" x14ac:dyDescent="0.25"/>
    <row r="132221" customFormat="1" x14ac:dyDescent="0.25"/>
    <row r="132222" customFormat="1" x14ac:dyDescent="0.25"/>
    <row r="132223" customFormat="1" x14ac:dyDescent="0.25"/>
    <row r="132224" customFormat="1" x14ac:dyDescent="0.25"/>
    <row r="132225" customFormat="1" x14ac:dyDescent="0.25"/>
    <row r="132226" customFormat="1" x14ac:dyDescent="0.25"/>
    <row r="132227" customFormat="1" x14ac:dyDescent="0.25"/>
    <row r="132228" customFormat="1" x14ac:dyDescent="0.25"/>
    <row r="132229" customFormat="1" x14ac:dyDescent="0.25"/>
    <row r="132230" customFormat="1" x14ac:dyDescent="0.25"/>
    <row r="132231" customFormat="1" x14ac:dyDescent="0.25"/>
    <row r="132232" customFormat="1" x14ac:dyDescent="0.25"/>
    <row r="132233" customFormat="1" x14ac:dyDescent="0.25"/>
    <row r="132234" customFormat="1" x14ac:dyDescent="0.25"/>
    <row r="132235" customFormat="1" x14ac:dyDescent="0.25"/>
    <row r="132236" customFormat="1" x14ac:dyDescent="0.25"/>
    <row r="132237" customFormat="1" x14ac:dyDescent="0.25"/>
    <row r="132238" customFormat="1" x14ac:dyDescent="0.25"/>
    <row r="132239" customFormat="1" x14ac:dyDescent="0.25"/>
    <row r="132240" customFormat="1" x14ac:dyDescent="0.25"/>
    <row r="132241" customFormat="1" x14ac:dyDescent="0.25"/>
    <row r="132242" customFormat="1" x14ac:dyDescent="0.25"/>
    <row r="132243" customFormat="1" x14ac:dyDescent="0.25"/>
    <row r="132244" customFormat="1" x14ac:dyDescent="0.25"/>
    <row r="132245" customFormat="1" x14ac:dyDescent="0.25"/>
    <row r="132246" customFormat="1" x14ac:dyDescent="0.25"/>
    <row r="132247" customFormat="1" x14ac:dyDescent="0.25"/>
    <row r="132248" customFormat="1" x14ac:dyDescent="0.25"/>
    <row r="132249" customFormat="1" x14ac:dyDescent="0.25"/>
    <row r="132250" customFormat="1" x14ac:dyDescent="0.25"/>
    <row r="132251" customFormat="1" x14ac:dyDescent="0.25"/>
    <row r="132252" customFormat="1" x14ac:dyDescent="0.25"/>
    <row r="132253" customFormat="1" x14ac:dyDescent="0.25"/>
    <row r="132254" customFormat="1" x14ac:dyDescent="0.25"/>
    <row r="132255" customFormat="1" x14ac:dyDescent="0.25"/>
    <row r="132256" customFormat="1" x14ac:dyDescent="0.25"/>
    <row r="132257" customFormat="1" x14ac:dyDescent="0.25"/>
    <row r="132258" customFormat="1" x14ac:dyDescent="0.25"/>
    <row r="132259" customFormat="1" x14ac:dyDescent="0.25"/>
    <row r="132260" customFormat="1" x14ac:dyDescent="0.25"/>
    <row r="132261" customFormat="1" x14ac:dyDescent="0.25"/>
    <row r="132262" customFormat="1" x14ac:dyDescent="0.25"/>
    <row r="132263" customFormat="1" x14ac:dyDescent="0.25"/>
    <row r="132264" customFormat="1" x14ac:dyDescent="0.25"/>
    <row r="132265" customFormat="1" x14ac:dyDescent="0.25"/>
    <row r="132266" customFormat="1" x14ac:dyDescent="0.25"/>
    <row r="132267" customFormat="1" x14ac:dyDescent="0.25"/>
    <row r="132268" customFormat="1" x14ac:dyDescent="0.25"/>
    <row r="132269" customFormat="1" x14ac:dyDescent="0.25"/>
    <row r="132270" customFormat="1" x14ac:dyDescent="0.25"/>
    <row r="132271" customFormat="1" x14ac:dyDescent="0.25"/>
    <row r="132272" customFormat="1" x14ac:dyDescent="0.25"/>
    <row r="132273" customFormat="1" x14ac:dyDescent="0.25"/>
    <row r="132274" customFormat="1" x14ac:dyDescent="0.25"/>
    <row r="132275" customFormat="1" x14ac:dyDescent="0.25"/>
    <row r="132276" customFormat="1" x14ac:dyDescent="0.25"/>
    <row r="132277" customFormat="1" x14ac:dyDescent="0.25"/>
    <row r="132278" customFormat="1" x14ac:dyDescent="0.25"/>
    <row r="132279" customFormat="1" x14ac:dyDescent="0.25"/>
    <row r="132280" customFormat="1" x14ac:dyDescent="0.25"/>
    <row r="132281" customFormat="1" x14ac:dyDescent="0.25"/>
    <row r="132282" customFormat="1" x14ac:dyDescent="0.25"/>
    <row r="132283" customFormat="1" x14ac:dyDescent="0.25"/>
    <row r="132284" customFormat="1" x14ac:dyDescent="0.25"/>
    <row r="132285" customFormat="1" x14ac:dyDescent="0.25"/>
    <row r="132286" customFormat="1" x14ac:dyDescent="0.25"/>
    <row r="132287" customFormat="1" x14ac:dyDescent="0.25"/>
    <row r="132288" customFormat="1" x14ac:dyDescent="0.25"/>
    <row r="132289" customFormat="1" x14ac:dyDescent="0.25"/>
    <row r="132290" customFormat="1" x14ac:dyDescent="0.25"/>
    <row r="132291" customFormat="1" x14ac:dyDescent="0.25"/>
    <row r="132292" customFormat="1" x14ac:dyDescent="0.25"/>
    <row r="132293" customFormat="1" x14ac:dyDescent="0.25"/>
    <row r="132294" customFormat="1" x14ac:dyDescent="0.25"/>
    <row r="132295" customFormat="1" x14ac:dyDescent="0.25"/>
    <row r="132296" customFormat="1" x14ac:dyDescent="0.25"/>
    <row r="132297" customFormat="1" x14ac:dyDescent="0.25"/>
    <row r="132298" customFormat="1" x14ac:dyDescent="0.25"/>
    <row r="132299" customFormat="1" x14ac:dyDescent="0.25"/>
    <row r="132300" customFormat="1" x14ac:dyDescent="0.25"/>
    <row r="132301" customFormat="1" x14ac:dyDescent="0.25"/>
    <row r="132302" customFormat="1" x14ac:dyDescent="0.25"/>
    <row r="132303" customFormat="1" x14ac:dyDescent="0.25"/>
    <row r="132304" customFormat="1" x14ac:dyDescent="0.25"/>
    <row r="132305" customFormat="1" x14ac:dyDescent="0.25"/>
    <row r="132306" customFormat="1" x14ac:dyDescent="0.25"/>
    <row r="132307" customFormat="1" x14ac:dyDescent="0.25"/>
    <row r="132308" customFormat="1" x14ac:dyDescent="0.25"/>
    <row r="132309" customFormat="1" x14ac:dyDescent="0.25"/>
    <row r="132310" customFormat="1" x14ac:dyDescent="0.25"/>
    <row r="132311" customFormat="1" x14ac:dyDescent="0.25"/>
    <row r="132312" customFormat="1" x14ac:dyDescent="0.25"/>
    <row r="132313" customFormat="1" x14ac:dyDescent="0.25"/>
    <row r="132314" customFormat="1" x14ac:dyDescent="0.25"/>
    <row r="132315" customFormat="1" x14ac:dyDescent="0.25"/>
    <row r="132316" customFormat="1" x14ac:dyDescent="0.25"/>
    <row r="132317" customFormat="1" x14ac:dyDescent="0.25"/>
    <row r="132318" customFormat="1" x14ac:dyDescent="0.25"/>
    <row r="132319" customFormat="1" x14ac:dyDescent="0.25"/>
    <row r="132320" customFormat="1" x14ac:dyDescent="0.25"/>
    <row r="132321" customFormat="1" x14ac:dyDescent="0.25"/>
    <row r="132322" customFormat="1" x14ac:dyDescent="0.25"/>
    <row r="132323" customFormat="1" x14ac:dyDescent="0.25"/>
    <row r="132324" customFormat="1" x14ac:dyDescent="0.25"/>
    <row r="132325" customFormat="1" x14ac:dyDescent="0.25"/>
    <row r="132326" customFormat="1" x14ac:dyDescent="0.25"/>
    <row r="132327" customFormat="1" x14ac:dyDescent="0.25"/>
    <row r="132328" customFormat="1" x14ac:dyDescent="0.25"/>
    <row r="132329" customFormat="1" x14ac:dyDescent="0.25"/>
    <row r="132330" customFormat="1" x14ac:dyDescent="0.25"/>
    <row r="132331" customFormat="1" x14ac:dyDescent="0.25"/>
    <row r="132332" customFormat="1" x14ac:dyDescent="0.25"/>
    <row r="132333" customFormat="1" x14ac:dyDescent="0.25"/>
    <row r="132334" customFormat="1" x14ac:dyDescent="0.25"/>
    <row r="132335" customFormat="1" x14ac:dyDescent="0.25"/>
    <row r="132336" customFormat="1" x14ac:dyDescent="0.25"/>
    <row r="132337" customFormat="1" x14ac:dyDescent="0.25"/>
    <row r="132338" customFormat="1" x14ac:dyDescent="0.25"/>
    <row r="132339" customFormat="1" x14ac:dyDescent="0.25"/>
    <row r="132340" customFormat="1" x14ac:dyDescent="0.25"/>
    <row r="132341" customFormat="1" x14ac:dyDescent="0.25"/>
    <row r="132342" customFormat="1" x14ac:dyDescent="0.25"/>
    <row r="132343" customFormat="1" x14ac:dyDescent="0.25"/>
    <row r="132344" customFormat="1" x14ac:dyDescent="0.25"/>
    <row r="132345" customFormat="1" x14ac:dyDescent="0.25"/>
    <row r="132346" customFormat="1" x14ac:dyDescent="0.25"/>
    <row r="132347" customFormat="1" x14ac:dyDescent="0.25"/>
    <row r="132348" customFormat="1" x14ac:dyDescent="0.25"/>
    <row r="132349" customFormat="1" x14ac:dyDescent="0.25"/>
    <row r="132350" customFormat="1" x14ac:dyDescent="0.25"/>
    <row r="132351" customFormat="1" x14ac:dyDescent="0.25"/>
    <row r="132352" customFormat="1" x14ac:dyDescent="0.25"/>
    <row r="132353" customFormat="1" x14ac:dyDescent="0.25"/>
    <row r="132354" customFormat="1" x14ac:dyDescent="0.25"/>
    <row r="132355" customFormat="1" x14ac:dyDescent="0.25"/>
    <row r="132356" customFormat="1" x14ac:dyDescent="0.25"/>
    <row r="132357" customFormat="1" x14ac:dyDescent="0.25"/>
    <row r="132358" customFormat="1" x14ac:dyDescent="0.25"/>
    <row r="132359" customFormat="1" x14ac:dyDescent="0.25"/>
    <row r="132360" customFormat="1" x14ac:dyDescent="0.25"/>
    <row r="132361" customFormat="1" x14ac:dyDescent="0.25"/>
    <row r="132362" customFormat="1" x14ac:dyDescent="0.25"/>
    <row r="132363" customFormat="1" x14ac:dyDescent="0.25"/>
    <row r="132364" customFormat="1" x14ac:dyDescent="0.25"/>
    <row r="132365" customFormat="1" x14ac:dyDescent="0.25"/>
    <row r="132366" customFormat="1" x14ac:dyDescent="0.25"/>
    <row r="132367" customFormat="1" x14ac:dyDescent="0.25"/>
    <row r="132368" customFormat="1" x14ac:dyDescent="0.25"/>
    <row r="132369" customFormat="1" x14ac:dyDescent="0.25"/>
    <row r="132370" customFormat="1" x14ac:dyDescent="0.25"/>
    <row r="132371" customFormat="1" x14ac:dyDescent="0.25"/>
    <row r="132372" customFormat="1" x14ac:dyDescent="0.25"/>
    <row r="132373" customFormat="1" x14ac:dyDescent="0.25"/>
    <row r="132374" customFormat="1" x14ac:dyDescent="0.25"/>
    <row r="132375" customFormat="1" x14ac:dyDescent="0.25"/>
    <row r="132376" customFormat="1" x14ac:dyDescent="0.25"/>
    <row r="132377" customFormat="1" x14ac:dyDescent="0.25"/>
    <row r="132378" customFormat="1" x14ac:dyDescent="0.25"/>
    <row r="132379" customFormat="1" x14ac:dyDescent="0.25"/>
    <row r="132380" customFormat="1" x14ac:dyDescent="0.25"/>
    <row r="132381" customFormat="1" x14ac:dyDescent="0.25"/>
    <row r="132382" customFormat="1" x14ac:dyDescent="0.25"/>
    <row r="132383" customFormat="1" x14ac:dyDescent="0.25"/>
    <row r="132384" customFormat="1" x14ac:dyDescent="0.25"/>
    <row r="132385" customFormat="1" x14ac:dyDescent="0.25"/>
    <row r="132386" customFormat="1" x14ac:dyDescent="0.25"/>
    <row r="132387" customFormat="1" x14ac:dyDescent="0.25"/>
    <row r="132388" customFormat="1" x14ac:dyDescent="0.25"/>
    <row r="132389" customFormat="1" x14ac:dyDescent="0.25"/>
    <row r="132390" customFormat="1" x14ac:dyDescent="0.25"/>
    <row r="132391" customFormat="1" x14ac:dyDescent="0.25"/>
    <row r="132392" customFormat="1" x14ac:dyDescent="0.25"/>
    <row r="132393" customFormat="1" x14ac:dyDescent="0.25"/>
    <row r="132394" customFormat="1" x14ac:dyDescent="0.25"/>
    <row r="132395" customFormat="1" x14ac:dyDescent="0.25"/>
    <row r="132396" customFormat="1" x14ac:dyDescent="0.25"/>
    <row r="132397" customFormat="1" x14ac:dyDescent="0.25"/>
    <row r="132398" customFormat="1" x14ac:dyDescent="0.25"/>
    <row r="132399" customFormat="1" x14ac:dyDescent="0.25"/>
    <row r="132400" customFormat="1" x14ac:dyDescent="0.25"/>
    <row r="132401" customFormat="1" x14ac:dyDescent="0.25"/>
    <row r="132402" customFormat="1" x14ac:dyDescent="0.25"/>
    <row r="132403" customFormat="1" x14ac:dyDescent="0.25"/>
    <row r="132404" customFormat="1" x14ac:dyDescent="0.25"/>
    <row r="132405" customFormat="1" x14ac:dyDescent="0.25"/>
    <row r="132406" customFormat="1" x14ac:dyDescent="0.25"/>
    <row r="132407" customFormat="1" x14ac:dyDescent="0.25"/>
    <row r="132408" customFormat="1" x14ac:dyDescent="0.25"/>
    <row r="132409" customFormat="1" x14ac:dyDescent="0.25"/>
    <row r="132410" customFormat="1" x14ac:dyDescent="0.25"/>
    <row r="132411" customFormat="1" x14ac:dyDescent="0.25"/>
    <row r="132412" customFormat="1" x14ac:dyDescent="0.25"/>
    <row r="132413" customFormat="1" x14ac:dyDescent="0.25"/>
    <row r="132414" customFormat="1" x14ac:dyDescent="0.25"/>
    <row r="132415" customFormat="1" x14ac:dyDescent="0.25"/>
    <row r="132416" customFormat="1" x14ac:dyDescent="0.25"/>
    <row r="132417" customFormat="1" x14ac:dyDescent="0.25"/>
    <row r="132418" customFormat="1" x14ac:dyDescent="0.25"/>
    <row r="132419" customFormat="1" x14ac:dyDescent="0.25"/>
    <row r="132420" customFormat="1" x14ac:dyDescent="0.25"/>
    <row r="132421" customFormat="1" x14ac:dyDescent="0.25"/>
    <row r="132422" customFormat="1" x14ac:dyDescent="0.25"/>
    <row r="132423" customFormat="1" x14ac:dyDescent="0.25"/>
    <row r="132424" customFormat="1" x14ac:dyDescent="0.25"/>
    <row r="132425" customFormat="1" x14ac:dyDescent="0.25"/>
    <row r="132426" customFormat="1" x14ac:dyDescent="0.25"/>
    <row r="132427" customFormat="1" x14ac:dyDescent="0.25"/>
    <row r="132428" customFormat="1" x14ac:dyDescent="0.25"/>
    <row r="132429" customFormat="1" x14ac:dyDescent="0.25"/>
    <row r="132430" customFormat="1" x14ac:dyDescent="0.25"/>
    <row r="132431" customFormat="1" x14ac:dyDescent="0.25"/>
    <row r="132432" customFormat="1" x14ac:dyDescent="0.25"/>
    <row r="132433" customFormat="1" x14ac:dyDescent="0.25"/>
    <row r="132434" customFormat="1" x14ac:dyDescent="0.25"/>
    <row r="132435" customFormat="1" x14ac:dyDescent="0.25"/>
    <row r="132436" customFormat="1" x14ac:dyDescent="0.25"/>
    <row r="132437" customFormat="1" x14ac:dyDescent="0.25"/>
    <row r="132438" customFormat="1" x14ac:dyDescent="0.25"/>
    <row r="132439" customFormat="1" x14ac:dyDescent="0.25"/>
    <row r="132440" customFormat="1" x14ac:dyDescent="0.25"/>
    <row r="132441" customFormat="1" x14ac:dyDescent="0.25"/>
    <row r="132442" customFormat="1" x14ac:dyDescent="0.25"/>
    <row r="132443" customFormat="1" x14ac:dyDescent="0.25"/>
    <row r="132444" customFormat="1" x14ac:dyDescent="0.25"/>
    <row r="132445" customFormat="1" x14ac:dyDescent="0.25"/>
    <row r="132446" customFormat="1" x14ac:dyDescent="0.25"/>
    <row r="132447" customFormat="1" x14ac:dyDescent="0.25"/>
    <row r="132448" customFormat="1" x14ac:dyDescent="0.25"/>
    <row r="132449" customFormat="1" x14ac:dyDescent="0.25"/>
    <row r="132450" customFormat="1" x14ac:dyDescent="0.25"/>
    <row r="132451" customFormat="1" x14ac:dyDescent="0.25"/>
    <row r="132452" customFormat="1" x14ac:dyDescent="0.25"/>
    <row r="132453" customFormat="1" x14ac:dyDescent="0.25"/>
    <row r="132454" customFormat="1" x14ac:dyDescent="0.25"/>
    <row r="132455" customFormat="1" x14ac:dyDescent="0.25"/>
    <row r="132456" customFormat="1" x14ac:dyDescent="0.25"/>
    <row r="132457" customFormat="1" x14ac:dyDescent="0.25"/>
    <row r="132458" customFormat="1" x14ac:dyDescent="0.25"/>
    <row r="132459" customFormat="1" x14ac:dyDescent="0.25"/>
    <row r="132460" customFormat="1" x14ac:dyDescent="0.25"/>
    <row r="132461" customFormat="1" x14ac:dyDescent="0.25"/>
    <row r="132462" customFormat="1" x14ac:dyDescent="0.25"/>
    <row r="132463" customFormat="1" x14ac:dyDescent="0.25"/>
    <row r="132464" customFormat="1" x14ac:dyDescent="0.25"/>
    <row r="132465" customFormat="1" x14ac:dyDescent="0.25"/>
    <row r="132466" customFormat="1" x14ac:dyDescent="0.25"/>
    <row r="132467" customFormat="1" x14ac:dyDescent="0.25"/>
    <row r="132468" customFormat="1" x14ac:dyDescent="0.25"/>
    <row r="132469" customFormat="1" x14ac:dyDescent="0.25"/>
    <row r="132470" customFormat="1" x14ac:dyDescent="0.25"/>
    <row r="132471" customFormat="1" x14ac:dyDescent="0.25"/>
    <row r="132472" customFormat="1" x14ac:dyDescent="0.25"/>
    <row r="132473" customFormat="1" x14ac:dyDescent="0.25"/>
    <row r="132474" customFormat="1" x14ac:dyDescent="0.25"/>
    <row r="132475" customFormat="1" x14ac:dyDescent="0.25"/>
    <row r="132476" customFormat="1" x14ac:dyDescent="0.25"/>
    <row r="132477" customFormat="1" x14ac:dyDescent="0.25"/>
    <row r="132478" customFormat="1" x14ac:dyDescent="0.25"/>
    <row r="132479" customFormat="1" x14ac:dyDescent="0.25"/>
    <row r="132480" customFormat="1" x14ac:dyDescent="0.25"/>
    <row r="132481" customFormat="1" x14ac:dyDescent="0.25"/>
    <row r="132482" customFormat="1" x14ac:dyDescent="0.25"/>
    <row r="132483" customFormat="1" x14ac:dyDescent="0.25"/>
    <row r="132484" customFormat="1" x14ac:dyDescent="0.25"/>
    <row r="132485" customFormat="1" x14ac:dyDescent="0.25"/>
    <row r="132486" customFormat="1" x14ac:dyDescent="0.25"/>
    <row r="132487" customFormat="1" x14ac:dyDescent="0.25"/>
    <row r="132488" customFormat="1" x14ac:dyDescent="0.25"/>
    <row r="132489" customFormat="1" x14ac:dyDescent="0.25"/>
    <row r="132490" customFormat="1" x14ac:dyDescent="0.25"/>
    <row r="132491" customFormat="1" x14ac:dyDescent="0.25"/>
    <row r="132492" customFormat="1" x14ac:dyDescent="0.25"/>
    <row r="132493" customFormat="1" x14ac:dyDescent="0.25"/>
    <row r="132494" customFormat="1" x14ac:dyDescent="0.25"/>
    <row r="132495" customFormat="1" x14ac:dyDescent="0.25"/>
    <row r="132496" customFormat="1" x14ac:dyDescent="0.25"/>
    <row r="132497" customFormat="1" x14ac:dyDescent="0.25"/>
    <row r="132498" customFormat="1" x14ac:dyDescent="0.25"/>
    <row r="132499" customFormat="1" x14ac:dyDescent="0.25"/>
    <row r="132500" customFormat="1" x14ac:dyDescent="0.25"/>
    <row r="132501" customFormat="1" x14ac:dyDescent="0.25"/>
    <row r="132502" customFormat="1" x14ac:dyDescent="0.25"/>
    <row r="132503" customFormat="1" x14ac:dyDescent="0.25"/>
    <row r="132504" customFormat="1" x14ac:dyDescent="0.25"/>
    <row r="132505" customFormat="1" x14ac:dyDescent="0.25"/>
    <row r="132506" customFormat="1" x14ac:dyDescent="0.25"/>
    <row r="132507" customFormat="1" x14ac:dyDescent="0.25"/>
    <row r="132508" customFormat="1" x14ac:dyDescent="0.25"/>
    <row r="132509" customFormat="1" x14ac:dyDescent="0.25"/>
    <row r="132510" customFormat="1" x14ac:dyDescent="0.25"/>
    <row r="132511" customFormat="1" x14ac:dyDescent="0.25"/>
    <row r="132512" customFormat="1" x14ac:dyDescent="0.25"/>
    <row r="132513" customFormat="1" x14ac:dyDescent="0.25"/>
    <row r="132514" customFormat="1" x14ac:dyDescent="0.25"/>
    <row r="132515" customFormat="1" x14ac:dyDescent="0.25"/>
    <row r="132516" customFormat="1" x14ac:dyDescent="0.25"/>
    <row r="132517" customFormat="1" x14ac:dyDescent="0.25"/>
    <row r="132518" customFormat="1" x14ac:dyDescent="0.25"/>
    <row r="132519" customFormat="1" x14ac:dyDescent="0.25"/>
    <row r="132520" customFormat="1" x14ac:dyDescent="0.25"/>
    <row r="132521" customFormat="1" x14ac:dyDescent="0.25"/>
    <row r="132522" customFormat="1" x14ac:dyDescent="0.25"/>
    <row r="132523" customFormat="1" x14ac:dyDescent="0.25"/>
    <row r="132524" customFormat="1" x14ac:dyDescent="0.25"/>
    <row r="132525" customFormat="1" x14ac:dyDescent="0.25"/>
    <row r="132526" customFormat="1" x14ac:dyDescent="0.25"/>
    <row r="132527" customFormat="1" x14ac:dyDescent="0.25"/>
    <row r="132528" customFormat="1" x14ac:dyDescent="0.25"/>
    <row r="132529" customFormat="1" x14ac:dyDescent="0.25"/>
    <row r="132530" customFormat="1" x14ac:dyDescent="0.25"/>
    <row r="132531" customFormat="1" x14ac:dyDescent="0.25"/>
    <row r="132532" customFormat="1" x14ac:dyDescent="0.25"/>
    <row r="132533" customFormat="1" x14ac:dyDescent="0.25"/>
    <row r="132534" customFormat="1" x14ac:dyDescent="0.25"/>
    <row r="132535" customFormat="1" x14ac:dyDescent="0.25"/>
    <row r="132536" customFormat="1" x14ac:dyDescent="0.25"/>
    <row r="132537" customFormat="1" x14ac:dyDescent="0.25"/>
    <row r="132538" customFormat="1" x14ac:dyDescent="0.25"/>
    <row r="132539" customFormat="1" x14ac:dyDescent="0.25"/>
    <row r="132540" customFormat="1" x14ac:dyDescent="0.25"/>
    <row r="132541" customFormat="1" x14ac:dyDescent="0.25"/>
    <row r="132542" customFormat="1" x14ac:dyDescent="0.25"/>
    <row r="132543" customFormat="1" x14ac:dyDescent="0.25"/>
    <row r="132544" customFormat="1" x14ac:dyDescent="0.25"/>
    <row r="132545" customFormat="1" x14ac:dyDescent="0.25"/>
    <row r="132546" customFormat="1" x14ac:dyDescent="0.25"/>
    <row r="132547" customFormat="1" x14ac:dyDescent="0.25"/>
    <row r="132548" customFormat="1" x14ac:dyDescent="0.25"/>
    <row r="132549" customFormat="1" x14ac:dyDescent="0.25"/>
    <row r="132550" customFormat="1" x14ac:dyDescent="0.25"/>
    <row r="132551" customFormat="1" x14ac:dyDescent="0.25"/>
    <row r="132552" customFormat="1" x14ac:dyDescent="0.25"/>
    <row r="132553" customFormat="1" x14ac:dyDescent="0.25"/>
    <row r="132554" customFormat="1" x14ac:dyDescent="0.25"/>
    <row r="132555" customFormat="1" x14ac:dyDescent="0.25"/>
    <row r="132556" customFormat="1" x14ac:dyDescent="0.25"/>
    <row r="132557" customFormat="1" x14ac:dyDescent="0.25"/>
    <row r="132558" customFormat="1" x14ac:dyDescent="0.25"/>
    <row r="132559" customFormat="1" x14ac:dyDescent="0.25"/>
    <row r="132560" customFormat="1" x14ac:dyDescent="0.25"/>
    <row r="132561" customFormat="1" x14ac:dyDescent="0.25"/>
    <row r="132562" customFormat="1" x14ac:dyDescent="0.25"/>
    <row r="132563" customFormat="1" x14ac:dyDescent="0.25"/>
    <row r="132564" customFormat="1" x14ac:dyDescent="0.25"/>
    <row r="132565" customFormat="1" x14ac:dyDescent="0.25"/>
    <row r="132566" customFormat="1" x14ac:dyDescent="0.25"/>
    <row r="132567" customFormat="1" x14ac:dyDescent="0.25"/>
    <row r="132568" customFormat="1" x14ac:dyDescent="0.25"/>
    <row r="132569" customFormat="1" x14ac:dyDescent="0.25"/>
    <row r="132570" customFormat="1" x14ac:dyDescent="0.25"/>
    <row r="132571" customFormat="1" x14ac:dyDescent="0.25"/>
    <row r="132572" customFormat="1" x14ac:dyDescent="0.25"/>
    <row r="132573" customFormat="1" x14ac:dyDescent="0.25"/>
    <row r="132574" customFormat="1" x14ac:dyDescent="0.25"/>
    <row r="132575" customFormat="1" x14ac:dyDescent="0.25"/>
    <row r="132576" customFormat="1" x14ac:dyDescent="0.25"/>
    <row r="132577" customFormat="1" x14ac:dyDescent="0.25"/>
    <row r="132578" customFormat="1" x14ac:dyDescent="0.25"/>
    <row r="132579" customFormat="1" x14ac:dyDescent="0.25"/>
    <row r="132580" customFormat="1" x14ac:dyDescent="0.25"/>
    <row r="132581" customFormat="1" x14ac:dyDescent="0.25"/>
    <row r="132582" customFormat="1" x14ac:dyDescent="0.25"/>
    <row r="132583" customFormat="1" x14ac:dyDescent="0.25"/>
    <row r="132584" customFormat="1" x14ac:dyDescent="0.25"/>
    <row r="132585" customFormat="1" x14ac:dyDescent="0.25"/>
    <row r="132586" customFormat="1" x14ac:dyDescent="0.25"/>
    <row r="132587" customFormat="1" x14ac:dyDescent="0.25"/>
    <row r="132588" customFormat="1" x14ac:dyDescent="0.25"/>
    <row r="132589" customFormat="1" x14ac:dyDescent="0.25"/>
    <row r="132590" customFormat="1" x14ac:dyDescent="0.25"/>
    <row r="132591" customFormat="1" x14ac:dyDescent="0.25"/>
    <row r="132592" customFormat="1" x14ac:dyDescent="0.25"/>
    <row r="132593" customFormat="1" x14ac:dyDescent="0.25"/>
    <row r="132594" customFormat="1" x14ac:dyDescent="0.25"/>
    <row r="132595" customFormat="1" x14ac:dyDescent="0.25"/>
    <row r="132596" customFormat="1" x14ac:dyDescent="0.25"/>
    <row r="132597" customFormat="1" x14ac:dyDescent="0.25"/>
    <row r="132598" customFormat="1" x14ac:dyDescent="0.25"/>
    <row r="132599" customFormat="1" x14ac:dyDescent="0.25"/>
    <row r="132600" customFormat="1" x14ac:dyDescent="0.25"/>
    <row r="132601" customFormat="1" x14ac:dyDescent="0.25"/>
    <row r="132602" customFormat="1" x14ac:dyDescent="0.25"/>
    <row r="132603" customFormat="1" x14ac:dyDescent="0.25"/>
    <row r="132604" customFormat="1" x14ac:dyDescent="0.25"/>
    <row r="132605" customFormat="1" x14ac:dyDescent="0.25"/>
    <row r="132606" customFormat="1" x14ac:dyDescent="0.25"/>
    <row r="132607" customFormat="1" x14ac:dyDescent="0.25"/>
    <row r="132608" customFormat="1" x14ac:dyDescent="0.25"/>
    <row r="132609" customFormat="1" x14ac:dyDescent="0.25"/>
    <row r="132610" customFormat="1" x14ac:dyDescent="0.25"/>
    <row r="132611" customFormat="1" x14ac:dyDescent="0.25"/>
    <row r="132612" customFormat="1" x14ac:dyDescent="0.25"/>
    <row r="132613" customFormat="1" x14ac:dyDescent="0.25"/>
    <row r="132614" customFormat="1" x14ac:dyDescent="0.25"/>
    <row r="132615" customFormat="1" x14ac:dyDescent="0.25"/>
    <row r="132616" customFormat="1" x14ac:dyDescent="0.25"/>
    <row r="132617" customFormat="1" x14ac:dyDescent="0.25"/>
    <row r="132618" customFormat="1" x14ac:dyDescent="0.25"/>
    <row r="132619" customFormat="1" x14ac:dyDescent="0.25"/>
    <row r="132620" customFormat="1" x14ac:dyDescent="0.25"/>
    <row r="132621" customFormat="1" x14ac:dyDescent="0.25"/>
    <row r="132622" customFormat="1" x14ac:dyDescent="0.25"/>
    <row r="132623" customFormat="1" x14ac:dyDescent="0.25"/>
    <row r="132624" customFormat="1" x14ac:dyDescent="0.25"/>
    <row r="132625" customFormat="1" x14ac:dyDescent="0.25"/>
    <row r="132626" customFormat="1" x14ac:dyDescent="0.25"/>
    <row r="132627" customFormat="1" x14ac:dyDescent="0.25"/>
    <row r="132628" customFormat="1" x14ac:dyDescent="0.25"/>
    <row r="132629" customFormat="1" x14ac:dyDescent="0.25"/>
    <row r="132630" customFormat="1" x14ac:dyDescent="0.25"/>
    <row r="132631" customFormat="1" x14ac:dyDescent="0.25"/>
    <row r="132632" customFormat="1" x14ac:dyDescent="0.25"/>
    <row r="132633" customFormat="1" x14ac:dyDescent="0.25"/>
    <row r="132634" customFormat="1" x14ac:dyDescent="0.25"/>
    <row r="132635" customFormat="1" x14ac:dyDescent="0.25"/>
    <row r="132636" customFormat="1" x14ac:dyDescent="0.25"/>
    <row r="132637" customFormat="1" x14ac:dyDescent="0.25"/>
    <row r="132638" customFormat="1" x14ac:dyDescent="0.25"/>
    <row r="132639" customFormat="1" x14ac:dyDescent="0.25"/>
    <row r="132640" customFormat="1" x14ac:dyDescent="0.25"/>
    <row r="132641" customFormat="1" x14ac:dyDescent="0.25"/>
    <row r="132642" customFormat="1" x14ac:dyDescent="0.25"/>
    <row r="132643" customFormat="1" x14ac:dyDescent="0.25"/>
    <row r="132644" customFormat="1" x14ac:dyDescent="0.25"/>
    <row r="132645" customFormat="1" x14ac:dyDescent="0.25"/>
    <row r="132646" customFormat="1" x14ac:dyDescent="0.25"/>
    <row r="132647" customFormat="1" x14ac:dyDescent="0.25"/>
    <row r="132648" customFormat="1" x14ac:dyDescent="0.25"/>
    <row r="132649" customFormat="1" x14ac:dyDescent="0.25"/>
    <row r="132650" customFormat="1" x14ac:dyDescent="0.25"/>
    <row r="132651" customFormat="1" x14ac:dyDescent="0.25"/>
    <row r="132652" customFormat="1" x14ac:dyDescent="0.25"/>
    <row r="132653" customFormat="1" x14ac:dyDescent="0.25"/>
    <row r="132654" customFormat="1" x14ac:dyDescent="0.25"/>
    <row r="132655" customFormat="1" x14ac:dyDescent="0.25"/>
    <row r="132656" customFormat="1" x14ac:dyDescent="0.25"/>
    <row r="132657" customFormat="1" x14ac:dyDescent="0.25"/>
    <row r="132658" customFormat="1" x14ac:dyDescent="0.25"/>
    <row r="132659" customFormat="1" x14ac:dyDescent="0.25"/>
    <row r="132660" customFormat="1" x14ac:dyDescent="0.25"/>
    <row r="132661" customFormat="1" x14ac:dyDescent="0.25"/>
    <row r="132662" customFormat="1" x14ac:dyDescent="0.25"/>
    <row r="132663" customFormat="1" x14ac:dyDescent="0.25"/>
    <row r="132664" customFormat="1" x14ac:dyDescent="0.25"/>
    <row r="132665" customFormat="1" x14ac:dyDescent="0.25"/>
    <row r="132666" customFormat="1" x14ac:dyDescent="0.25"/>
    <row r="132667" customFormat="1" x14ac:dyDescent="0.25"/>
    <row r="132668" customFormat="1" x14ac:dyDescent="0.25"/>
    <row r="132669" customFormat="1" x14ac:dyDescent="0.25"/>
    <row r="132670" customFormat="1" x14ac:dyDescent="0.25"/>
    <row r="132671" customFormat="1" x14ac:dyDescent="0.25"/>
    <row r="132672" customFormat="1" x14ac:dyDescent="0.25"/>
    <row r="132673" customFormat="1" x14ac:dyDescent="0.25"/>
    <row r="132674" customFormat="1" x14ac:dyDescent="0.25"/>
    <row r="132675" customFormat="1" x14ac:dyDescent="0.25"/>
    <row r="132676" customFormat="1" x14ac:dyDescent="0.25"/>
    <row r="132677" customFormat="1" x14ac:dyDescent="0.25"/>
    <row r="132678" customFormat="1" x14ac:dyDescent="0.25"/>
    <row r="132679" customFormat="1" x14ac:dyDescent="0.25"/>
    <row r="132680" customFormat="1" x14ac:dyDescent="0.25"/>
    <row r="132681" customFormat="1" x14ac:dyDescent="0.25"/>
    <row r="132682" customFormat="1" x14ac:dyDescent="0.25"/>
    <row r="132683" customFormat="1" x14ac:dyDescent="0.25"/>
    <row r="132684" customFormat="1" x14ac:dyDescent="0.25"/>
    <row r="132685" customFormat="1" x14ac:dyDescent="0.25"/>
    <row r="132686" customFormat="1" x14ac:dyDescent="0.25"/>
    <row r="132687" customFormat="1" x14ac:dyDescent="0.25"/>
    <row r="132688" customFormat="1" x14ac:dyDescent="0.25"/>
    <row r="132689" customFormat="1" x14ac:dyDescent="0.25"/>
    <row r="132690" customFormat="1" x14ac:dyDescent="0.25"/>
    <row r="132691" customFormat="1" x14ac:dyDescent="0.25"/>
    <row r="132692" customFormat="1" x14ac:dyDescent="0.25"/>
    <row r="132693" customFormat="1" x14ac:dyDescent="0.25"/>
    <row r="132694" customFormat="1" x14ac:dyDescent="0.25"/>
    <row r="132695" customFormat="1" x14ac:dyDescent="0.25"/>
    <row r="132696" customFormat="1" x14ac:dyDescent="0.25"/>
    <row r="132697" customFormat="1" x14ac:dyDescent="0.25"/>
    <row r="132698" customFormat="1" x14ac:dyDescent="0.25"/>
    <row r="132699" customFormat="1" x14ac:dyDescent="0.25"/>
    <row r="132700" customFormat="1" x14ac:dyDescent="0.25"/>
    <row r="132701" customFormat="1" x14ac:dyDescent="0.25"/>
    <row r="132702" customFormat="1" x14ac:dyDescent="0.25"/>
    <row r="132703" customFormat="1" x14ac:dyDescent="0.25"/>
    <row r="132704" customFormat="1" x14ac:dyDescent="0.25"/>
    <row r="132705" customFormat="1" x14ac:dyDescent="0.25"/>
    <row r="132706" customFormat="1" x14ac:dyDescent="0.25"/>
    <row r="132707" customFormat="1" x14ac:dyDescent="0.25"/>
    <row r="132708" customFormat="1" x14ac:dyDescent="0.25"/>
    <row r="132709" customFormat="1" x14ac:dyDescent="0.25"/>
    <row r="132710" customFormat="1" x14ac:dyDescent="0.25"/>
    <row r="132711" customFormat="1" x14ac:dyDescent="0.25"/>
    <row r="132712" customFormat="1" x14ac:dyDescent="0.25"/>
    <row r="132713" customFormat="1" x14ac:dyDescent="0.25"/>
    <row r="132714" customFormat="1" x14ac:dyDescent="0.25"/>
    <row r="132715" customFormat="1" x14ac:dyDescent="0.25"/>
    <row r="132716" customFormat="1" x14ac:dyDescent="0.25"/>
    <row r="132717" customFormat="1" x14ac:dyDescent="0.25"/>
    <row r="132718" customFormat="1" x14ac:dyDescent="0.25"/>
    <row r="132719" customFormat="1" x14ac:dyDescent="0.25"/>
    <row r="132720" customFormat="1" x14ac:dyDescent="0.25"/>
    <row r="132721" customFormat="1" x14ac:dyDescent="0.25"/>
    <row r="132722" customFormat="1" x14ac:dyDescent="0.25"/>
    <row r="132723" customFormat="1" x14ac:dyDescent="0.25"/>
    <row r="132724" customFormat="1" x14ac:dyDescent="0.25"/>
    <row r="132725" customFormat="1" x14ac:dyDescent="0.25"/>
    <row r="132726" customFormat="1" x14ac:dyDescent="0.25"/>
    <row r="132727" customFormat="1" x14ac:dyDescent="0.25"/>
    <row r="132728" customFormat="1" x14ac:dyDescent="0.25"/>
    <row r="132729" customFormat="1" x14ac:dyDescent="0.25"/>
    <row r="132730" customFormat="1" x14ac:dyDescent="0.25"/>
    <row r="132731" customFormat="1" x14ac:dyDescent="0.25"/>
    <row r="132732" customFormat="1" x14ac:dyDescent="0.25"/>
    <row r="132733" customFormat="1" x14ac:dyDescent="0.25"/>
    <row r="132734" customFormat="1" x14ac:dyDescent="0.25"/>
    <row r="132735" customFormat="1" x14ac:dyDescent="0.25"/>
    <row r="132736" customFormat="1" x14ac:dyDescent="0.25"/>
    <row r="132737" customFormat="1" x14ac:dyDescent="0.25"/>
    <row r="132738" customFormat="1" x14ac:dyDescent="0.25"/>
    <row r="132739" customFormat="1" x14ac:dyDescent="0.25"/>
    <row r="132740" customFormat="1" x14ac:dyDescent="0.25"/>
    <row r="132741" customFormat="1" x14ac:dyDescent="0.25"/>
    <row r="132742" customFormat="1" x14ac:dyDescent="0.25"/>
    <row r="132743" customFormat="1" x14ac:dyDescent="0.25"/>
    <row r="132744" customFormat="1" x14ac:dyDescent="0.25"/>
    <row r="132745" customFormat="1" x14ac:dyDescent="0.25"/>
    <row r="132746" customFormat="1" x14ac:dyDescent="0.25"/>
    <row r="132747" customFormat="1" x14ac:dyDescent="0.25"/>
    <row r="132748" customFormat="1" x14ac:dyDescent="0.25"/>
    <row r="132749" customFormat="1" x14ac:dyDescent="0.25"/>
    <row r="132750" customFormat="1" x14ac:dyDescent="0.25"/>
    <row r="132751" customFormat="1" x14ac:dyDescent="0.25"/>
    <row r="132752" customFormat="1" x14ac:dyDescent="0.25"/>
    <row r="132753" customFormat="1" x14ac:dyDescent="0.25"/>
    <row r="132754" customFormat="1" x14ac:dyDescent="0.25"/>
    <row r="132755" customFormat="1" x14ac:dyDescent="0.25"/>
    <row r="132756" customFormat="1" x14ac:dyDescent="0.25"/>
    <row r="132757" customFormat="1" x14ac:dyDescent="0.25"/>
    <row r="132758" customFormat="1" x14ac:dyDescent="0.25"/>
    <row r="132759" customFormat="1" x14ac:dyDescent="0.25"/>
    <row r="132760" customFormat="1" x14ac:dyDescent="0.25"/>
    <row r="132761" customFormat="1" x14ac:dyDescent="0.25"/>
    <row r="132762" customFormat="1" x14ac:dyDescent="0.25"/>
    <row r="132763" customFormat="1" x14ac:dyDescent="0.25"/>
    <row r="132764" customFormat="1" x14ac:dyDescent="0.25"/>
    <row r="132765" customFormat="1" x14ac:dyDescent="0.25"/>
    <row r="132766" customFormat="1" x14ac:dyDescent="0.25"/>
    <row r="132767" customFormat="1" x14ac:dyDescent="0.25"/>
    <row r="132768" customFormat="1" x14ac:dyDescent="0.25"/>
    <row r="132769" customFormat="1" x14ac:dyDescent="0.25"/>
    <row r="132770" customFormat="1" x14ac:dyDescent="0.25"/>
    <row r="132771" customFormat="1" x14ac:dyDescent="0.25"/>
    <row r="132772" customFormat="1" x14ac:dyDescent="0.25"/>
    <row r="132773" customFormat="1" x14ac:dyDescent="0.25"/>
    <row r="132774" customFormat="1" x14ac:dyDescent="0.25"/>
    <row r="132775" customFormat="1" x14ac:dyDescent="0.25"/>
    <row r="132776" customFormat="1" x14ac:dyDescent="0.25"/>
    <row r="132777" customFormat="1" x14ac:dyDescent="0.25"/>
    <row r="132778" customFormat="1" x14ac:dyDescent="0.25"/>
    <row r="132779" customFormat="1" x14ac:dyDescent="0.25"/>
    <row r="132780" customFormat="1" x14ac:dyDescent="0.25"/>
    <row r="132781" customFormat="1" x14ac:dyDescent="0.25"/>
    <row r="132782" customFormat="1" x14ac:dyDescent="0.25"/>
    <row r="132783" customFormat="1" x14ac:dyDescent="0.25"/>
    <row r="132784" customFormat="1" x14ac:dyDescent="0.25"/>
    <row r="132785" customFormat="1" x14ac:dyDescent="0.25"/>
    <row r="132786" customFormat="1" x14ac:dyDescent="0.25"/>
    <row r="132787" customFormat="1" x14ac:dyDescent="0.25"/>
    <row r="132788" customFormat="1" x14ac:dyDescent="0.25"/>
    <row r="132789" customFormat="1" x14ac:dyDescent="0.25"/>
    <row r="132790" customFormat="1" x14ac:dyDescent="0.25"/>
    <row r="132791" customFormat="1" x14ac:dyDescent="0.25"/>
    <row r="132792" customFormat="1" x14ac:dyDescent="0.25"/>
    <row r="132793" customFormat="1" x14ac:dyDescent="0.25"/>
    <row r="132794" customFormat="1" x14ac:dyDescent="0.25"/>
    <row r="132795" customFormat="1" x14ac:dyDescent="0.25"/>
    <row r="132796" customFormat="1" x14ac:dyDescent="0.25"/>
    <row r="132797" customFormat="1" x14ac:dyDescent="0.25"/>
    <row r="132798" customFormat="1" x14ac:dyDescent="0.25"/>
    <row r="132799" customFormat="1" x14ac:dyDescent="0.25"/>
    <row r="132800" customFormat="1" x14ac:dyDescent="0.25"/>
    <row r="132801" customFormat="1" x14ac:dyDescent="0.25"/>
    <row r="132802" customFormat="1" x14ac:dyDescent="0.25"/>
    <row r="132803" customFormat="1" x14ac:dyDescent="0.25"/>
    <row r="132804" customFormat="1" x14ac:dyDescent="0.25"/>
    <row r="132805" customFormat="1" x14ac:dyDescent="0.25"/>
    <row r="132806" customFormat="1" x14ac:dyDescent="0.25"/>
    <row r="132807" customFormat="1" x14ac:dyDescent="0.25"/>
    <row r="132808" customFormat="1" x14ac:dyDescent="0.25"/>
    <row r="132809" customFormat="1" x14ac:dyDescent="0.25"/>
    <row r="132810" customFormat="1" x14ac:dyDescent="0.25"/>
    <row r="132811" customFormat="1" x14ac:dyDescent="0.25"/>
    <row r="132812" customFormat="1" x14ac:dyDescent="0.25"/>
    <row r="132813" customFormat="1" x14ac:dyDescent="0.25"/>
    <row r="132814" customFormat="1" x14ac:dyDescent="0.25"/>
    <row r="132815" customFormat="1" x14ac:dyDescent="0.25"/>
    <row r="132816" customFormat="1" x14ac:dyDescent="0.25"/>
    <row r="132817" customFormat="1" x14ac:dyDescent="0.25"/>
    <row r="132818" customFormat="1" x14ac:dyDescent="0.25"/>
    <row r="132819" customFormat="1" x14ac:dyDescent="0.25"/>
    <row r="132820" customFormat="1" x14ac:dyDescent="0.25"/>
    <row r="132821" customFormat="1" x14ac:dyDescent="0.25"/>
    <row r="132822" customFormat="1" x14ac:dyDescent="0.25"/>
    <row r="132823" customFormat="1" x14ac:dyDescent="0.25"/>
    <row r="132824" customFormat="1" x14ac:dyDescent="0.25"/>
    <row r="132825" customFormat="1" x14ac:dyDescent="0.25"/>
    <row r="132826" customFormat="1" x14ac:dyDescent="0.25"/>
    <row r="132827" customFormat="1" x14ac:dyDescent="0.25"/>
    <row r="132828" customFormat="1" x14ac:dyDescent="0.25"/>
    <row r="132829" customFormat="1" x14ac:dyDescent="0.25"/>
    <row r="132830" customFormat="1" x14ac:dyDescent="0.25"/>
    <row r="132831" customFormat="1" x14ac:dyDescent="0.25"/>
    <row r="132832" customFormat="1" x14ac:dyDescent="0.25"/>
    <row r="132833" customFormat="1" x14ac:dyDescent="0.25"/>
    <row r="132834" customFormat="1" x14ac:dyDescent="0.25"/>
    <row r="132835" customFormat="1" x14ac:dyDescent="0.25"/>
    <row r="132836" customFormat="1" x14ac:dyDescent="0.25"/>
    <row r="132837" customFormat="1" x14ac:dyDescent="0.25"/>
    <row r="132838" customFormat="1" x14ac:dyDescent="0.25"/>
    <row r="132839" customFormat="1" x14ac:dyDescent="0.25"/>
    <row r="132840" customFormat="1" x14ac:dyDescent="0.25"/>
    <row r="132841" customFormat="1" x14ac:dyDescent="0.25"/>
    <row r="132842" customFormat="1" x14ac:dyDescent="0.25"/>
    <row r="132843" customFormat="1" x14ac:dyDescent="0.25"/>
    <row r="132844" customFormat="1" x14ac:dyDescent="0.25"/>
    <row r="132845" customFormat="1" x14ac:dyDescent="0.25"/>
    <row r="132846" customFormat="1" x14ac:dyDescent="0.25"/>
    <row r="132847" customFormat="1" x14ac:dyDescent="0.25"/>
    <row r="132848" customFormat="1" x14ac:dyDescent="0.25"/>
    <row r="132849" customFormat="1" x14ac:dyDescent="0.25"/>
    <row r="132850" customFormat="1" x14ac:dyDescent="0.25"/>
    <row r="132851" customFormat="1" x14ac:dyDescent="0.25"/>
    <row r="132852" customFormat="1" x14ac:dyDescent="0.25"/>
    <row r="132853" customFormat="1" x14ac:dyDescent="0.25"/>
    <row r="132854" customFormat="1" x14ac:dyDescent="0.25"/>
    <row r="132855" customFormat="1" x14ac:dyDescent="0.25"/>
    <row r="132856" customFormat="1" x14ac:dyDescent="0.25"/>
    <row r="132857" customFormat="1" x14ac:dyDescent="0.25"/>
    <row r="132858" customFormat="1" x14ac:dyDescent="0.25"/>
    <row r="132859" customFormat="1" x14ac:dyDescent="0.25"/>
    <row r="132860" customFormat="1" x14ac:dyDescent="0.25"/>
    <row r="132861" customFormat="1" x14ac:dyDescent="0.25"/>
    <row r="132862" customFormat="1" x14ac:dyDescent="0.25"/>
    <row r="132863" customFormat="1" x14ac:dyDescent="0.25"/>
    <row r="132864" customFormat="1" x14ac:dyDescent="0.25"/>
    <row r="132865" customFormat="1" x14ac:dyDescent="0.25"/>
    <row r="132866" customFormat="1" x14ac:dyDescent="0.25"/>
    <row r="132867" customFormat="1" x14ac:dyDescent="0.25"/>
    <row r="132868" customFormat="1" x14ac:dyDescent="0.25"/>
    <row r="132869" customFormat="1" x14ac:dyDescent="0.25"/>
    <row r="132870" customFormat="1" x14ac:dyDescent="0.25"/>
    <row r="132871" customFormat="1" x14ac:dyDescent="0.25"/>
    <row r="132872" customFormat="1" x14ac:dyDescent="0.25"/>
    <row r="132873" customFormat="1" x14ac:dyDescent="0.25"/>
    <row r="132874" customFormat="1" x14ac:dyDescent="0.25"/>
    <row r="132875" customFormat="1" x14ac:dyDescent="0.25"/>
    <row r="132876" customFormat="1" x14ac:dyDescent="0.25"/>
    <row r="132877" customFormat="1" x14ac:dyDescent="0.25"/>
    <row r="132878" customFormat="1" x14ac:dyDescent="0.25"/>
    <row r="132879" customFormat="1" x14ac:dyDescent="0.25"/>
    <row r="132880" customFormat="1" x14ac:dyDescent="0.25"/>
    <row r="132881" customFormat="1" x14ac:dyDescent="0.25"/>
    <row r="132882" customFormat="1" x14ac:dyDescent="0.25"/>
    <row r="132883" customFormat="1" x14ac:dyDescent="0.25"/>
    <row r="132884" customFormat="1" x14ac:dyDescent="0.25"/>
    <row r="132885" customFormat="1" x14ac:dyDescent="0.25"/>
    <row r="132886" customFormat="1" x14ac:dyDescent="0.25"/>
    <row r="132887" customFormat="1" x14ac:dyDescent="0.25"/>
    <row r="132888" customFormat="1" x14ac:dyDescent="0.25"/>
    <row r="132889" customFormat="1" x14ac:dyDescent="0.25"/>
    <row r="132890" customFormat="1" x14ac:dyDescent="0.25"/>
    <row r="132891" customFormat="1" x14ac:dyDescent="0.25"/>
    <row r="132892" customFormat="1" x14ac:dyDescent="0.25"/>
    <row r="132893" customFormat="1" x14ac:dyDescent="0.25"/>
    <row r="132894" customFormat="1" x14ac:dyDescent="0.25"/>
    <row r="132895" customFormat="1" x14ac:dyDescent="0.25"/>
    <row r="132896" customFormat="1" x14ac:dyDescent="0.25"/>
    <row r="132897" customFormat="1" x14ac:dyDescent="0.25"/>
    <row r="132898" customFormat="1" x14ac:dyDescent="0.25"/>
    <row r="132899" customFormat="1" x14ac:dyDescent="0.25"/>
    <row r="132900" customFormat="1" x14ac:dyDescent="0.25"/>
    <row r="132901" customFormat="1" x14ac:dyDescent="0.25"/>
    <row r="132902" customFormat="1" x14ac:dyDescent="0.25"/>
    <row r="132903" customFormat="1" x14ac:dyDescent="0.25"/>
    <row r="132904" customFormat="1" x14ac:dyDescent="0.25"/>
    <row r="132905" customFormat="1" x14ac:dyDescent="0.25"/>
    <row r="132906" customFormat="1" x14ac:dyDescent="0.25"/>
    <row r="132907" customFormat="1" x14ac:dyDescent="0.25"/>
    <row r="132908" customFormat="1" x14ac:dyDescent="0.25"/>
    <row r="132909" customFormat="1" x14ac:dyDescent="0.25"/>
    <row r="132910" customFormat="1" x14ac:dyDescent="0.25"/>
    <row r="132911" customFormat="1" x14ac:dyDescent="0.25"/>
    <row r="132912" customFormat="1" x14ac:dyDescent="0.25"/>
    <row r="132913" customFormat="1" x14ac:dyDescent="0.25"/>
    <row r="132914" customFormat="1" x14ac:dyDescent="0.25"/>
    <row r="132915" customFormat="1" x14ac:dyDescent="0.25"/>
    <row r="132916" customFormat="1" x14ac:dyDescent="0.25"/>
    <row r="132917" customFormat="1" x14ac:dyDescent="0.25"/>
    <row r="132918" customFormat="1" x14ac:dyDescent="0.25"/>
    <row r="132919" customFormat="1" x14ac:dyDescent="0.25"/>
    <row r="132920" customFormat="1" x14ac:dyDescent="0.25"/>
    <row r="132921" customFormat="1" x14ac:dyDescent="0.25"/>
    <row r="132922" customFormat="1" x14ac:dyDescent="0.25"/>
    <row r="132923" customFormat="1" x14ac:dyDescent="0.25"/>
    <row r="132924" customFormat="1" x14ac:dyDescent="0.25"/>
    <row r="132925" customFormat="1" x14ac:dyDescent="0.25"/>
    <row r="132926" customFormat="1" x14ac:dyDescent="0.25"/>
    <row r="132927" customFormat="1" x14ac:dyDescent="0.25"/>
    <row r="132928" customFormat="1" x14ac:dyDescent="0.25"/>
    <row r="132929" customFormat="1" x14ac:dyDescent="0.25"/>
    <row r="132930" customFormat="1" x14ac:dyDescent="0.25"/>
    <row r="132931" customFormat="1" x14ac:dyDescent="0.25"/>
    <row r="132932" customFormat="1" x14ac:dyDescent="0.25"/>
    <row r="132933" customFormat="1" x14ac:dyDescent="0.25"/>
    <row r="132934" customFormat="1" x14ac:dyDescent="0.25"/>
    <row r="132935" customFormat="1" x14ac:dyDescent="0.25"/>
    <row r="132936" customFormat="1" x14ac:dyDescent="0.25"/>
    <row r="132937" customFormat="1" x14ac:dyDescent="0.25"/>
    <row r="132938" customFormat="1" x14ac:dyDescent="0.25"/>
    <row r="132939" customFormat="1" x14ac:dyDescent="0.25"/>
    <row r="132940" customFormat="1" x14ac:dyDescent="0.25"/>
    <row r="132941" customFormat="1" x14ac:dyDescent="0.25"/>
    <row r="132942" customFormat="1" x14ac:dyDescent="0.25"/>
    <row r="132943" customFormat="1" x14ac:dyDescent="0.25"/>
    <row r="132944" customFormat="1" x14ac:dyDescent="0.25"/>
    <row r="132945" customFormat="1" x14ac:dyDescent="0.25"/>
    <row r="132946" customFormat="1" x14ac:dyDescent="0.25"/>
    <row r="132947" customFormat="1" x14ac:dyDescent="0.25"/>
    <row r="132948" customFormat="1" x14ac:dyDescent="0.25"/>
    <row r="132949" customFormat="1" x14ac:dyDescent="0.25"/>
    <row r="132950" customFormat="1" x14ac:dyDescent="0.25"/>
    <row r="132951" customFormat="1" x14ac:dyDescent="0.25"/>
    <row r="132952" customFormat="1" x14ac:dyDescent="0.25"/>
    <row r="132953" customFormat="1" x14ac:dyDescent="0.25"/>
    <row r="132954" customFormat="1" x14ac:dyDescent="0.25"/>
    <row r="132955" customFormat="1" x14ac:dyDescent="0.25"/>
    <row r="132956" customFormat="1" x14ac:dyDescent="0.25"/>
    <row r="132957" customFormat="1" x14ac:dyDescent="0.25"/>
    <row r="132958" customFormat="1" x14ac:dyDescent="0.25"/>
    <row r="132959" customFormat="1" x14ac:dyDescent="0.25"/>
    <row r="132960" customFormat="1" x14ac:dyDescent="0.25"/>
    <row r="132961" customFormat="1" x14ac:dyDescent="0.25"/>
    <row r="132962" customFormat="1" x14ac:dyDescent="0.25"/>
    <row r="132963" customFormat="1" x14ac:dyDescent="0.25"/>
    <row r="132964" customFormat="1" x14ac:dyDescent="0.25"/>
    <row r="132965" customFormat="1" x14ac:dyDescent="0.25"/>
    <row r="132966" customFormat="1" x14ac:dyDescent="0.25"/>
    <row r="132967" customFormat="1" x14ac:dyDescent="0.25"/>
    <row r="132968" customFormat="1" x14ac:dyDescent="0.25"/>
    <row r="132969" customFormat="1" x14ac:dyDescent="0.25"/>
    <row r="132970" customFormat="1" x14ac:dyDescent="0.25"/>
    <row r="132971" customFormat="1" x14ac:dyDescent="0.25"/>
    <row r="132972" customFormat="1" x14ac:dyDescent="0.25"/>
    <row r="132973" customFormat="1" x14ac:dyDescent="0.25"/>
    <row r="132974" customFormat="1" x14ac:dyDescent="0.25"/>
    <row r="132975" customFormat="1" x14ac:dyDescent="0.25"/>
    <row r="132976" customFormat="1" x14ac:dyDescent="0.25"/>
    <row r="132977" customFormat="1" x14ac:dyDescent="0.25"/>
    <row r="132978" customFormat="1" x14ac:dyDescent="0.25"/>
    <row r="132979" customFormat="1" x14ac:dyDescent="0.25"/>
    <row r="132980" customFormat="1" x14ac:dyDescent="0.25"/>
    <row r="132981" customFormat="1" x14ac:dyDescent="0.25"/>
    <row r="132982" customFormat="1" x14ac:dyDescent="0.25"/>
    <row r="132983" customFormat="1" x14ac:dyDescent="0.25"/>
    <row r="132984" customFormat="1" x14ac:dyDescent="0.25"/>
    <row r="132985" customFormat="1" x14ac:dyDescent="0.25"/>
    <row r="132986" customFormat="1" x14ac:dyDescent="0.25"/>
    <row r="132987" customFormat="1" x14ac:dyDescent="0.25"/>
    <row r="132988" customFormat="1" x14ac:dyDescent="0.25"/>
    <row r="132989" customFormat="1" x14ac:dyDescent="0.25"/>
    <row r="132990" customFormat="1" x14ac:dyDescent="0.25"/>
    <row r="132991" customFormat="1" x14ac:dyDescent="0.25"/>
    <row r="132992" customFormat="1" x14ac:dyDescent="0.25"/>
    <row r="132993" customFormat="1" x14ac:dyDescent="0.25"/>
    <row r="132994" customFormat="1" x14ac:dyDescent="0.25"/>
    <row r="132995" customFormat="1" x14ac:dyDescent="0.25"/>
    <row r="132996" customFormat="1" x14ac:dyDescent="0.25"/>
    <row r="132997" customFormat="1" x14ac:dyDescent="0.25"/>
    <row r="132998" customFormat="1" x14ac:dyDescent="0.25"/>
    <row r="132999" customFormat="1" x14ac:dyDescent="0.25"/>
    <row r="133000" customFormat="1" x14ac:dyDescent="0.25"/>
    <row r="133001" customFormat="1" x14ac:dyDescent="0.25"/>
    <row r="133002" customFormat="1" x14ac:dyDescent="0.25"/>
    <row r="133003" customFormat="1" x14ac:dyDescent="0.25"/>
    <row r="133004" customFormat="1" x14ac:dyDescent="0.25"/>
    <row r="133005" customFormat="1" x14ac:dyDescent="0.25"/>
    <row r="133006" customFormat="1" x14ac:dyDescent="0.25"/>
    <row r="133007" customFormat="1" x14ac:dyDescent="0.25"/>
    <row r="133008" customFormat="1" x14ac:dyDescent="0.25"/>
    <row r="133009" customFormat="1" x14ac:dyDescent="0.25"/>
    <row r="133010" customFormat="1" x14ac:dyDescent="0.25"/>
    <row r="133011" customFormat="1" x14ac:dyDescent="0.25"/>
    <row r="133012" customFormat="1" x14ac:dyDescent="0.25"/>
    <row r="133013" customFormat="1" x14ac:dyDescent="0.25"/>
    <row r="133014" customFormat="1" x14ac:dyDescent="0.25"/>
    <row r="133015" customFormat="1" x14ac:dyDescent="0.25"/>
    <row r="133016" customFormat="1" x14ac:dyDescent="0.25"/>
    <row r="133017" customFormat="1" x14ac:dyDescent="0.25"/>
    <row r="133018" customFormat="1" x14ac:dyDescent="0.25"/>
    <row r="133019" customFormat="1" x14ac:dyDescent="0.25"/>
    <row r="133020" customFormat="1" x14ac:dyDescent="0.25"/>
    <row r="133021" customFormat="1" x14ac:dyDescent="0.25"/>
    <row r="133022" customFormat="1" x14ac:dyDescent="0.25"/>
    <row r="133023" customFormat="1" x14ac:dyDescent="0.25"/>
    <row r="133024" customFormat="1" x14ac:dyDescent="0.25"/>
    <row r="133025" customFormat="1" x14ac:dyDescent="0.25"/>
    <row r="133026" customFormat="1" x14ac:dyDescent="0.25"/>
    <row r="133027" customFormat="1" x14ac:dyDescent="0.25"/>
    <row r="133028" customFormat="1" x14ac:dyDescent="0.25"/>
    <row r="133029" customFormat="1" x14ac:dyDescent="0.25"/>
    <row r="133030" customFormat="1" x14ac:dyDescent="0.25"/>
    <row r="133031" customFormat="1" x14ac:dyDescent="0.25"/>
    <row r="133032" customFormat="1" x14ac:dyDescent="0.25"/>
    <row r="133033" customFormat="1" x14ac:dyDescent="0.25"/>
    <row r="133034" customFormat="1" x14ac:dyDescent="0.25"/>
    <row r="133035" customFormat="1" x14ac:dyDescent="0.25"/>
    <row r="133036" customFormat="1" x14ac:dyDescent="0.25"/>
    <row r="133037" customFormat="1" x14ac:dyDescent="0.25"/>
    <row r="133038" customFormat="1" x14ac:dyDescent="0.25"/>
    <row r="133039" customFormat="1" x14ac:dyDescent="0.25"/>
    <row r="133040" customFormat="1" x14ac:dyDescent="0.25"/>
    <row r="133041" customFormat="1" x14ac:dyDescent="0.25"/>
    <row r="133042" customFormat="1" x14ac:dyDescent="0.25"/>
    <row r="133043" customFormat="1" x14ac:dyDescent="0.25"/>
    <row r="133044" customFormat="1" x14ac:dyDescent="0.25"/>
    <row r="133045" customFormat="1" x14ac:dyDescent="0.25"/>
    <row r="133046" customFormat="1" x14ac:dyDescent="0.25"/>
    <row r="133047" customFormat="1" x14ac:dyDescent="0.25"/>
    <row r="133048" customFormat="1" x14ac:dyDescent="0.25"/>
    <row r="133049" customFormat="1" x14ac:dyDescent="0.25"/>
    <row r="133050" customFormat="1" x14ac:dyDescent="0.25"/>
    <row r="133051" customFormat="1" x14ac:dyDescent="0.25"/>
    <row r="133052" customFormat="1" x14ac:dyDescent="0.25"/>
    <row r="133053" customFormat="1" x14ac:dyDescent="0.25"/>
    <row r="133054" customFormat="1" x14ac:dyDescent="0.25"/>
    <row r="133055" customFormat="1" x14ac:dyDescent="0.25"/>
    <row r="133056" customFormat="1" x14ac:dyDescent="0.25"/>
    <row r="133057" customFormat="1" x14ac:dyDescent="0.25"/>
    <row r="133058" customFormat="1" x14ac:dyDescent="0.25"/>
    <row r="133059" customFormat="1" x14ac:dyDescent="0.25"/>
    <row r="133060" customFormat="1" x14ac:dyDescent="0.25"/>
    <row r="133061" customFormat="1" x14ac:dyDescent="0.25"/>
    <row r="133062" customFormat="1" x14ac:dyDescent="0.25"/>
    <row r="133063" customFormat="1" x14ac:dyDescent="0.25"/>
    <row r="133064" customFormat="1" x14ac:dyDescent="0.25"/>
    <row r="133065" customFormat="1" x14ac:dyDescent="0.25"/>
    <row r="133066" customFormat="1" x14ac:dyDescent="0.25"/>
    <row r="133067" customFormat="1" x14ac:dyDescent="0.25"/>
    <row r="133068" customFormat="1" x14ac:dyDescent="0.25"/>
    <row r="133069" customFormat="1" x14ac:dyDescent="0.25"/>
    <row r="133070" customFormat="1" x14ac:dyDescent="0.25"/>
    <row r="133071" customFormat="1" x14ac:dyDescent="0.25"/>
    <row r="133072" customFormat="1" x14ac:dyDescent="0.25"/>
    <row r="133073" customFormat="1" x14ac:dyDescent="0.25"/>
    <row r="133074" customFormat="1" x14ac:dyDescent="0.25"/>
    <row r="133075" customFormat="1" x14ac:dyDescent="0.25"/>
    <row r="133076" customFormat="1" x14ac:dyDescent="0.25"/>
    <row r="133077" customFormat="1" x14ac:dyDescent="0.25"/>
    <row r="133078" customFormat="1" x14ac:dyDescent="0.25"/>
    <row r="133079" customFormat="1" x14ac:dyDescent="0.25"/>
    <row r="133080" customFormat="1" x14ac:dyDescent="0.25"/>
    <row r="133081" customFormat="1" x14ac:dyDescent="0.25"/>
    <row r="133082" customFormat="1" x14ac:dyDescent="0.25"/>
    <row r="133083" customFormat="1" x14ac:dyDescent="0.25"/>
    <row r="133084" customFormat="1" x14ac:dyDescent="0.25"/>
    <row r="133085" customFormat="1" x14ac:dyDescent="0.25"/>
    <row r="133086" customFormat="1" x14ac:dyDescent="0.25"/>
    <row r="133087" customFormat="1" x14ac:dyDescent="0.25"/>
    <row r="133088" customFormat="1" x14ac:dyDescent="0.25"/>
    <row r="133089" customFormat="1" x14ac:dyDescent="0.25"/>
    <row r="133090" customFormat="1" x14ac:dyDescent="0.25"/>
    <row r="133091" customFormat="1" x14ac:dyDescent="0.25"/>
    <row r="133092" customFormat="1" x14ac:dyDescent="0.25"/>
    <row r="133093" customFormat="1" x14ac:dyDescent="0.25"/>
    <row r="133094" customFormat="1" x14ac:dyDescent="0.25"/>
    <row r="133095" customFormat="1" x14ac:dyDescent="0.25"/>
    <row r="133096" customFormat="1" x14ac:dyDescent="0.25"/>
    <row r="133097" customFormat="1" x14ac:dyDescent="0.25"/>
    <row r="133098" customFormat="1" x14ac:dyDescent="0.25"/>
    <row r="133099" customFormat="1" x14ac:dyDescent="0.25"/>
    <row r="133100" customFormat="1" x14ac:dyDescent="0.25"/>
    <row r="133101" customFormat="1" x14ac:dyDescent="0.25"/>
    <row r="133102" customFormat="1" x14ac:dyDescent="0.25"/>
    <row r="133103" customFormat="1" x14ac:dyDescent="0.25"/>
    <row r="133104" customFormat="1" x14ac:dyDescent="0.25"/>
    <row r="133105" customFormat="1" x14ac:dyDescent="0.25"/>
    <row r="133106" customFormat="1" x14ac:dyDescent="0.25"/>
    <row r="133107" customFormat="1" x14ac:dyDescent="0.25"/>
    <row r="133108" customFormat="1" x14ac:dyDescent="0.25"/>
    <row r="133109" customFormat="1" x14ac:dyDescent="0.25"/>
    <row r="133110" customFormat="1" x14ac:dyDescent="0.25"/>
    <row r="133111" customFormat="1" x14ac:dyDescent="0.25"/>
    <row r="133112" customFormat="1" x14ac:dyDescent="0.25"/>
    <row r="133113" customFormat="1" x14ac:dyDescent="0.25"/>
    <row r="133114" customFormat="1" x14ac:dyDescent="0.25"/>
    <row r="133115" customFormat="1" x14ac:dyDescent="0.25"/>
    <row r="133116" customFormat="1" x14ac:dyDescent="0.25"/>
    <row r="133117" customFormat="1" x14ac:dyDescent="0.25"/>
    <row r="133118" customFormat="1" x14ac:dyDescent="0.25"/>
    <row r="133119" customFormat="1" x14ac:dyDescent="0.25"/>
    <row r="133120" customFormat="1" x14ac:dyDescent="0.25"/>
    <row r="133121" customFormat="1" x14ac:dyDescent="0.25"/>
    <row r="133122" customFormat="1" x14ac:dyDescent="0.25"/>
    <row r="133123" customFormat="1" x14ac:dyDescent="0.25"/>
    <row r="133124" customFormat="1" x14ac:dyDescent="0.25"/>
    <row r="133125" customFormat="1" x14ac:dyDescent="0.25"/>
    <row r="133126" customFormat="1" x14ac:dyDescent="0.25"/>
    <row r="133127" customFormat="1" x14ac:dyDescent="0.25"/>
    <row r="133128" customFormat="1" x14ac:dyDescent="0.25"/>
    <row r="133129" customFormat="1" x14ac:dyDescent="0.25"/>
    <row r="133130" customFormat="1" x14ac:dyDescent="0.25"/>
    <row r="133131" customFormat="1" x14ac:dyDescent="0.25"/>
    <row r="133132" customFormat="1" x14ac:dyDescent="0.25"/>
    <row r="133133" customFormat="1" x14ac:dyDescent="0.25"/>
    <row r="133134" customFormat="1" x14ac:dyDescent="0.25"/>
    <row r="133135" customFormat="1" x14ac:dyDescent="0.25"/>
    <row r="133136" customFormat="1" x14ac:dyDescent="0.25"/>
    <row r="133137" customFormat="1" x14ac:dyDescent="0.25"/>
    <row r="133138" customFormat="1" x14ac:dyDescent="0.25"/>
    <row r="133139" customFormat="1" x14ac:dyDescent="0.25"/>
    <row r="133140" customFormat="1" x14ac:dyDescent="0.25"/>
    <row r="133141" customFormat="1" x14ac:dyDescent="0.25"/>
    <row r="133142" customFormat="1" x14ac:dyDescent="0.25"/>
    <row r="133143" customFormat="1" x14ac:dyDescent="0.25"/>
    <row r="133144" customFormat="1" x14ac:dyDescent="0.25"/>
    <row r="133145" customFormat="1" x14ac:dyDescent="0.25"/>
    <row r="133146" customFormat="1" x14ac:dyDescent="0.25"/>
    <row r="133147" customFormat="1" x14ac:dyDescent="0.25"/>
    <row r="133148" customFormat="1" x14ac:dyDescent="0.25"/>
    <row r="133149" customFormat="1" x14ac:dyDescent="0.25"/>
    <row r="133150" customFormat="1" x14ac:dyDescent="0.25"/>
    <row r="133151" customFormat="1" x14ac:dyDescent="0.25"/>
    <row r="133152" customFormat="1" x14ac:dyDescent="0.25"/>
    <row r="133153" customFormat="1" x14ac:dyDescent="0.25"/>
    <row r="133154" customFormat="1" x14ac:dyDescent="0.25"/>
    <row r="133155" customFormat="1" x14ac:dyDescent="0.25"/>
    <row r="133156" customFormat="1" x14ac:dyDescent="0.25"/>
    <row r="133157" customFormat="1" x14ac:dyDescent="0.25"/>
    <row r="133158" customFormat="1" x14ac:dyDescent="0.25"/>
    <row r="133159" customFormat="1" x14ac:dyDescent="0.25"/>
    <row r="133160" customFormat="1" x14ac:dyDescent="0.25"/>
    <row r="133161" customFormat="1" x14ac:dyDescent="0.25"/>
    <row r="133162" customFormat="1" x14ac:dyDescent="0.25"/>
    <row r="133163" customFormat="1" x14ac:dyDescent="0.25"/>
    <row r="133164" customFormat="1" x14ac:dyDescent="0.25"/>
    <row r="133165" customFormat="1" x14ac:dyDescent="0.25"/>
    <row r="133166" customFormat="1" x14ac:dyDescent="0.25"/>
    <row r="133167" customFormat="1" x14ac:dyDescent="0.25"/>
    <row r="133168" customFormat="1" x14ac:dyDescent="0.25"/>
    <row r="133169" customFormat="1" x14ac:dyDescent="0.25"/>
    <row r="133170" customFormat="1" x14ac:dyDescent="0.25"/>
    <row r="133171" customFormat="1" x14ac:dyDescent="0.25"/>
    <row r="133172" customFormat="1" x14ac:dyDescent="0.25"/>
    <row r="133173" customFormat="1" x14ac:dyDescent="0.25"/>
    <row r="133174" customFormat="1" x14ac:dyDescent="0.25"/>
    <row r="133175" customFormat="1" x14ac:dyDescent="0.25"/>
    <row r="133176" customFormat="1" x14ac:dyDescent="0.25"/>
    <row r="133177" customFormat="1" x14ac:dyDescent="0.25"/>
    <row r="133178" customFormat="1" x14ac:dyDescent="0.25"/>
    <row r="133179" customFormat="1" x14ac:dyDescent="0.25"/>
    <row r="133180" customFormat="1" x14ac:dyDescent="0.25"/>
    <row r="133181" customFormat="1" x14ac:dyDescent="0.25"/>
    <row r="133182" customFormat="1" x14ac:dyDescent="0.25"/>
    <row r="133183" customFormat="1" x14ac:dyDescent="0.25"/>
    <row r="133184" customFormat="1" x14ac:dyDescent="0.25"/>
    <row r="133185" customFormat="1" x14ac:dyDescent="0.25"/>
    <row r="133186" customFormat="1" x14ac:dyDescent="0.25"/>
    <row r="133187" customFormat="1" x14ac:dyDescent="0.25"/>
    <row r="133188" customFormat="1" x14ac:dyDescent="0.25"/>
    <row r="133189" customFormat="1" x14ac:dyDescent="0.25"/>
    <row r="133190" customFormat="1" x14ac:dyDescent="0.25"/>
    <row r="133191" customFormat="1" x14ac:dyDescent="0.25"/>
    <row r="133192" customFormat="1" x14ac:dyDescent="0.25"/>
    <row r="133193" customFormat="1" x14ac:dyDescent="0.25"/>
    <row r="133194" customFormat="1" x14ac:dyDescent="0.25"/>
    <row r="133195" customFormat="1" x14ac:dyDescent="0.25"/>
    <row r="133196" customFormat="1" x14ac:dyDescent="0.25"/>
    <row r="133197" customFormat="1" x14ac:dyDescent="0.25"/>
    <row r="133198" customFormat="1" x14ac:dyDescent="0.25"/>
    <row r="133199" customFormat="1" x14ac:dyDescent="0.25"/>
    <row r="133200" customFormat="1" x14ac:dyDescent="0.25"/>
    <row r="133201" customFormat="1" x14ac:dyDescent="0.25"/>
    <row r="133202" customFormat="1" x14ac:dyDescent="0.25"/>
    <row r="133203" customFormat="1" x14ac:dyDescent="0.25"/>
    <row r="133204" customFormat="1" x14ac:dyDescent="0.25"/>
    <row r="133205" customFormat="1" x14ac:dyDescent="0.25"/>
    <row r="133206" customFormat="1" x14ac:dyDescent="0.25"/>
    <row r="133207" customFormat="1" x14ac:dyDescent="0.25"/>
    <row r="133208" customFormat="1" x14ac:dyDescent="0.25"/>
    <row r="133209" customFormat="1" x14ac:dyDescent="0.25"/>
    <row r="133210" customFormat="1" x14ac:dyDescent="0.25"/>
    <row r="133211" customFormat="1" x14ac:dyDescent="0.25"/>
    <row r="133212" customFormat="1" x14ac:dyDescent="0.25"/>
    <row r="133213" customFormat="1" x14ac:dyDescent="0.25"/>
    <row r="133214" customFormat="1" x14ac:dyDescent="0.25"/>
    <row r="133215" customFormat="1" x14ac:dyDescent="0.25"/>
    <row r="133216" customFormat="1" x14ac:dyDescent="0.25"/>
    <row r="133217" customFormat="1" x14ac:dyDescent="0.25"/>
    <row r="133218" customFormat="1" x14ac:dyDescent="0.25"/>
    <row r="133219" customFormat="1" x14ac:dyDescent="0.25"/>
    <row r="133220" customFormat="1" x14ac:dyDescent="0.25"/>
    <row r="133221" customFormat="1" x14ac:dyDescent="0.25"/>
    <row r="133222" customFormat="1" x14ac:dyDescent="0.25"/>
    <row r="133223" customFormat="1" x14ac:dyDescent="0.25"/>
    <row r="133224" customFormat="1" x14ac:dyDescent="0.25"/>
    <row r="133225" customFormat="1" x14ac:dyDescent="0.25"/>
    <row r="133226" customFormat="1" x14ac:dyDescent="0.25"/>
    <row r="133227" customFormat="1" x14ac:dyDescent="0.25"/>
    <row r="133228" customFormat="1" x14ac:dyDescent="0.25"/>
    <row r="133229" customFormat="1" x14ac:dyDescent="0.25"/>
    <row r="133230" customFormat="1" x14ac:dyDescent="0.25"/>
    <row r="133231" customFormat="1" x14ac:dyDescent="0.25"/>
    <row r="133232" customFormat="1" x14ac:dyDescent="0.25"/>
    <row r="133233" customFormat="1" x14ac:dyDescent="0.25"/>
    <row r="133234" customFormat="1" x14ac:dyDescent="0.25"/>
    <row r="133235" customFormat="1" x14ac:dyDescent="0.25"/>
    <row r="133236" customFormat="1" x14ac:dyDescent="0.25"/>
    <row r="133237" customFormat="1" x14ac:dyDescent="0.25"/>
    <row r="133238" customFormat="1" x14ac:dyDescent="0.25"/>
    <row r="133239" customFormat="1" x14ac:dyDescent="0.25"/>
    <row r="133240" customFormat="1" x14ac:dyDescent="0.25"/>
    <row r="133241" customFormat="1" x14ac:dyDescent="0.25"/>
    <row r="133242" customFormat="1" x14ac:dyDescent="0.25"/>
    <row r="133243" customFormat="1" x14ac:dyDescent="0.25"/>
    <row r="133244" customFormat="1" x14ac:dyDescent="0.25"/>
    <row r="133245" customFormat="1" x14ac:dyDescent="0.25"/>
    <row r="133246" customFormat="1" x14ac:dyDescent="0.25"/>
    <row r="133247" customFormat="1" x14ac:dyDescent="0.25"/>
    <row r="133248" customFormat="1" x14ac:dyDescent="0.25"/>
    <row r="133249" customFormat="1" x14ac:dyDescent="0.25"/>
    <row r="133250" customFormat="1" x14ac:dyDescent="0.25"/>
    <row r="133251" customFormat="1" x14ac:dyDescent="0.25"/>
    <row r="133252" customFormat="1" x14ac:dyDescent="0.25"/>
    <row r="133253" customFormat="1" x14ac:dyDescent="0.25"/>
    <row r="133254" customFormat="1" x14ac:dyDescent="0.25"/>
    <row r="133255" customFormat="1" x14ac:dyDescent="0.25"/>
    <row r="133256" customFormat="1" x14ac:dyDescent="0.25"/>
    <row r="133257" customFormat="1" x14ac:dyDescent="0.25"/>
    <row r="133258" customFormat="1" x14ac:dyDescent="0.25"/>
    <row r="133259" customFormat="1" x14ac:dyDescent="0.25"/>
    <row r="133260" customFormat="1" x14ac:dyDescent="0.25"/>
    <row r="133261" customFormat="1" x14ac:dyDescent="0.25"/>
    <row r="133262" customFormat="1" x14ac:dyDescent="0.25"/>
    <row r="133263" customFormat="1" x14ac:dyDescent="0.25"/>
    <row r="133264" customFormat="1" x14ac:dyDescent="0.25"/>
    <row r="133265" customFormat="1" x14ac:dyDescent="0.25"/>
    <row r="133266" customFormat="1" x14ac:dyDescent="0.25"/>
    <row r="133267" customFormat="1" x14ac:dyDescent="0.25"/>
    <row r="133268" customFormat="1" x14ac:dyDescent="0.25"/>
    <row r="133269" customFormat="1" x14ac:dyDescent="0.25"/>
    <row r="133270" customFormat="1" x14ac:dyDescent="0.25"/>
    <row r="133271" customFormat="1" x14ac:dyDescent="0.25"/>
    <row r="133272" customFormat="1" x14ac:dyDescent="0.25"/>
    <row r="133273" customFormat="1" x14ac:dyDescent="0.25"/>
    <row r="133274" customFormat="1" x14ac:dyDescent="0.25"/>
    <row r="133275" customFormat="1" x14ac:dyDescent="0.25"/>
    <row r="133276" customFormat="1" x14ac:dyDescent="0.25"/>
    <row r="133277" customFormat="1" x14ac:dyDescent="0.25"/>
    <row r="133278" customFormat="1" x14ac:dyDescent="0.25"/>
    <row r="133279" customFormat="1" x14ac:dyDescent="0.25"/>
    <row r="133280" customFormat="1" x14ac:dyDescent="0.25"/>
    <row r="133281" customFormat="1" x14ac:dyDescent="0.25"/>
    <row r="133282" customFormat="1" x14ac:dyDescent="0.25"/>
    <row r="133283" customFormat="1" x14ac:dyDescent="0.25"/>
    <row r="133284" customFormat="1" x14ac:dyDescent="0.25"/>
    <row r="133285" customFormat="1" x14ac:dyDescent="0.25"/>
    <row r="133286" customFormat="1" x14ac:dyDescent="0.25"/>
    <row r="133287" customFormat="1" x14ac:dyDescent="0.25"/>
    <row r="133288" customFormat="1" x14ac:dyDescent="0.25"/>
    <row r="133289" customFormat="1" x14ac:dyDescent="0.25"/>
    <row r="133290" customFormat="1" x14ac:dyDescent="0.25"/>
    <row r="133291" customFormat="1" x14ac:dyDescent="0.25"/>
    <row r="133292" customFormat="1" x14ac:dyDescent="0.25"/>
    <row r="133293" customFormat="1" x14ac:dyDescent="0.25"/>
    <row r="133294" customFormat="1" x14ac:dyDescent="0.25"/>
    <row r="133295" customFormat="1" x14ac:dyDescent="0.25"/>
    <row r="133296" customFormat="1" x14ac:dyDescent="0.25"/>
    <row r="133297" customFormat="1" x14ac:dyDescent="0.25"/>
    <row r="133298" customFormat="1" x14ac:dyDescent="0.25"/>
    <row r="133299" customFormat="1" x14ac:dyDescent="0.25"/>
    <row r="133300" customFormat="1" x14ac:dyDescent="0.25"/>
    <row r="133301" customFormat="1" x14ac:dyDescent="0.25"/>
    <row r="133302" customFormat="1" x14ac:dyDescent="0.25"/>
    <row r="133303" customFormat="1" x14ac:dyDescent="0.25"/>
    <row r="133304" customFormat="1" x14ac:dyDescent="0.25"/>
    <row r="133305" customFormat="1" x14ac:dyDescent="0.25"/>
    <row r="133306" customFormat="1" x14ac:dyDescent="0.25"/>
    <row r="133307" customFormat="1" x14ac:dyDescent="0.25"/>
    <row r="133308" customFormat="1" x14ac:dyDescent="0.25"/>
    <row r="133309" customFormat="1" x14ac:dyDescent="0.25"/>
    <row r="133310" customFormat="1" x14ac:dyDescent="0.25"/>
    <row r="133311" customFormat="1" x14ac:dyDescent="0.25"/>
    <row r="133312" customFormat="1" x14ac:dyDescent="0.25"/>
    <row r="133313" customFormat="1" x14ac:dyDescent="0.25"/>
    <row r="133314" customFormat="1" x14ac:dyDescent="0.25"/>
    <row r="133315" customFormat="1" x14ac:dyDescent="0.25"/>
    <row r="133316" customFormat="1" x14ac:dyDescent="0.25"/>
    <row r="133317" customFormat="1" x14ac:dyDescent="0.25"/>
    <row r="133318" customFormat="1" x14ac:dyDescent="0.25"/>
    <row r="133319" customFormat="1" x14ac:dyDescent="0.25"/>
    <row r="133320" customFormat="1" x14ac:dyDescent="0.25"/>
    <row r="133321" customFormat="1" x14ac:dyDescent="0.25"/>
    <row r="133322" customFormat="1" x14ac:dyDescent="0.25"/>
    <row r="133323" customFormat="1" x14ac:dyDescent="0.25"/>
    <row r="133324" customFormat="1" x14ac:dyDescent="0.25"/>
    <row r="133325" customFormat="1" x14ac:dyDescent="0.25"/>
    <row r="133326" customFormat="1" x14ac:dyDescent="0.25"/>
    <row r="133327" customFormat="1" x14ac:dyDescent="0.25"/>
    <row r="133328" customFormat="1" x14ac:dyDescent="0.25"/>
    <row r="133329" customFormat="1" x14ac:dyDescent="0.25"/>
    <row r="133330" customFormat="1" x14ac:dyDescent="0.25"/>
    <row r="133331" customFormat="1" x14ac:dyDescent="0.25"/>
    <row r="133332" customFormat="1" x14ac:dyDescent="0.25"/>
    <row r="133333" customFormat="1" x14ac:dyDescent="0.25"/>
    <row r="133334" customFormat="1" x14ac:dyDescent="0.25"/>
    <row r="133335" customFormat="1" x14ac:dyDescent="0.25"/>
    <row r="133336" customFormat="1" x14ac:dyDescent="0.25"/>
    <row r="133337" customFormat="1" x14ac:dyDescent="0.25"/>
    <row r="133338" customFormat="1" x14ac:dyDescent="0.25"/>
    <row r="133339" customFormat="1" x14ac:dyDescent="0.25"/>
    <row r="133340" customFormat="1" x14ac:dyDescent="0.25"/>
    <row r="133341" customFormat="1" x14ac:dyDescent="0.25"/>
    <row r="133342" customFormat="1" x14ac:dyDescent="0.25"/>
    <row r="133343" customFormat="1" x14ac:dyDescent="0.25"/>
    <row r="133344" customFormat="1" x14ac:dyDescent="0.25"/>
    <row r="133345" customFormat="1" x14ac:dyDescent="0.25"/>
    <row r="133346" customFormat="1" x14ac:dyDescent="0.25"/>
    <row r="133347" customFormat="1" x14ac:dyDescent="0.25"/>
    <row r="133348" customFormat="1" x14ac:dyDescent="0.25"/>
    <row r="133349" customFormat="1" x14ac:dyDescent="0.25"/>
    <row r="133350" customFormat="1" x14ac:dyDescent="0.25"/>
    <row r="133351" customFormat="1" x14ac:dyDescent="0.25"/>
    <row r="133352" customFormat="1" x14ac:dyDescent="0.25"/>
    <row r="133353" customFormat="1" x14ac:dyDescent="0.25"/>
    <row r="133354" customFormat="1" x14ac:dyDescent="0.25"/>
    <row r="133355" customFormat="1" x14ac:dyDescent="0.25"/>
    <row r="133356" customFormat="1" x14ac:dyDescent="0.25"/>
    <row r="133357" customFormat="1" x14ac:dyDescent="0.25"/>
    <row r="133358" customFormat="1" x14ac:dyDescent="0.25"/>
    <row r="133359" customFormat="1" x14ac:dyDescent="0.25"/>
    <row r="133360" customFormat="1" x14ac:dyDescent="0.25"/>
    <row r="133361" customFormat="1" x14ac:dyDescent="0.25"/>
    <row r="133362" customFormat="1" x14ac:dyDescent="0.25"/>
    <row r="133363" customFormat="1" x14ac:dyDescent="0.25"/>
    <row r="133364" customFormat="1" x14ac:dyDescent="0.25"/>
    <row r="133365" customFormat="1" x14ac:dyDescent="0.25"/>
    <row r="133366" customFormat="1" x14ac:dyDescent="0.25"/>
    <row r="133367" customFormat="1" x14ac:dyDescent="0.25"/>
    <row r="133368" customFormat="1" x14ac:dyDescent="0.25"/>
    <row r="133369" customFormat="1" x14ac:dyDescent="0.25"/>
    <row r="133370" customFormat="1" x14ac:dyDescent="0.25"/>
    <row r="133371" customFormat="1" x14ac:dyDescent="0.25"/>
    <row r="133372" customFormat="1" x14ac:dyDescent="0.25"/>
    <row r="133373" customFormat="1" x14ac:dyDescent="0.25"/>
    <row r="133374" customFormat="1" x14ac:dyDescent="0.25"/>
    <row r="133375" customFormat="1" x14ac:dyDescent="0.25"/>
    <row r="133376" customFormat="1" x14ac:dyDescent="0.25"/>
    <row r="133377" customFormat="1" x14ac:dyDescent="0.25"/>
    <row r="133378" customFormat="1" x14ac:dyDescent="0.25"/>
    <row r="133379" customFormat="1" x14ac:dyDescent="0.25"/>
    <row r="133380" customFormat="1" x14ac:dyDescent="0.25"/>
    <row r="133381" customFormat="1" x14ac:dyDescent="0.25"/>
    <row r="133382" customFormat="1" x14ac:dyDescent="0.25"/>
    <row r="133383" customFormat="1" x14ac:dyDescent="0.25"/>
    <row r="133384" customFormat="1" x14ac:dyDescent="0.25"/>
    <row r="133385" customFormat="1" x14ac:dyDescent="0.25"/>
    <row r="133386" customFormat="1" x14ac:dyDescent="0.25"/>
    <row r="133387" customFormat="1" x14ac:dyDescent="0.25"/>
    <row r="133388" customFormat="1" x14ac:dyDescent="0.25"/>
    <row r="133389" customFormat="1" x14ac:dyDescent="0.25"/>
    <row r="133390" customFormat="1" x14ac:dyDescent="0.25"/>
    <row r="133391" customFormat="1" x14ac:dyDescent="0.25"/>
    <row r="133392" customFormat="1" x14ac:dyDescent="0.25"/>
    <row r="133393" customFormat="1" x14ac:dyDescent="0.25"/>
    <row r="133394" customFormat="1" x14ac:dyDescent="0.25"/>
    <row r="133395" customFormat="1" x14ac:dyDescent="0.25"/>
    <row r="133396" customFormat="1" x14ac:dyDescent="0.25"/>
    <row r="133397" customFormat="1" x14ac:dyDescent="0.25"/>
    <row r="133398" customFormat="1" x14ac:dyDescent="0.25"/>
    <row r="133399" customFormat="1" x14ac:dyDescent="0.25"/>
    <row r="133400" customFormat="1" x14ac:dyDescent="0.25"/>
    <row r="133401" customFormat="1" x14ac:dyDescent="0.25"/>
    <row r="133402" customFormat="1" x14ac:dyDescent="0.25"/>
    <row r="133403" customFormat="1" x14ac:dyDescent="0.25"/>
    <row r="133404" customFormat="1" x14ac:dyDescent="0.25"/>
    <row r="133405" customFormat="1" x14ac:dyDescent="0.25"/>
    <row r="133406" customFormat="1" x14ac:dyDescent="0.25"/>
    <row r="133407" customFormat="1" x14ac:dyDescent="0.25"/>
    <row r="133408" customFormat="1" x14ac:dyDescent="0.25"/>
    <row r="133409" customFormat="1" x14ac:dyDescent="0.25"/>
    <row r="133410" customFormat="1" x14ac:dyDescent="0.25"/>
    <row r="133411" customFormat="1" x14ac:dyDescent="0.25"/>
    <row r="133412" customFormat="1" x14ac:dyDescent="0.25"/>
    <row r="133413" customFormat="1" x14ac:dyDescent="0.25"/>
    <row r="133414" customFormat="1" x14ac:dyDescent="0.25"/>
    <row r="133415" customFormat="1" x14ac:dyDescent="0.25"/>
    <row r="133416" customFormat="1" x14ac:dyDescent="0.25"/>
    <row r="133417" customFormat="1" x14ac:dyDescent="0.25"/>
    <row r="133418" customFormat="1" x14ac:dyDescent="0.25"/>
    <row r="133419" customFormat="1" x14ac:dyDescent="0.25"/>
    <row r="133420" customFormat="1" x14ac:dyDescent="0.25"/>
    <row r="133421" customFormat="1" x14ac:dyDescent="0.25"/>
    <row r="133422" customFormat="1" x14ac:dyDescent="0.25"/>
    <row r="133423" customFormat="1" x14ac:dyDescent="0.25"/>
    <row r="133424" customFormat="1" x14ac:dyDescent="0.25"/>
    <row r="133425" customFormat="1" x14ac:dyDescent="0.25"/>
    <row r="133426" customFormat="1" x14ac:dyDescent="0.25"/>
    <row r="133427" customFormat="1" x14ac:dyDescent="0.25"/>
    <row r="133428" customFormat="1" x14ac:dyDescent="0.25"/>
    <row r="133429" customFormat="1" x14ac:dyDescent="0.25"/>
    <row r="133430" customFormat="1" x14ac:dyDescent="0.25"/>
    <row r="133431" customFormat="1" x14ac:dyDescent="0.25"/>
    <row r="133432" customFormat="1" x14ac:dyDescent="0.25"/>
    <row r="133433" customFormat="1" x14ac:dyDescent="0.25"/>
    <row r="133434" customFormat="1" x14ac:dyDescent="0.25"/>
    <row r="133435" customFormat="1" x14ac:dyDescent="0.25"/>
    <row r="133436" customFormat="1" x14ac:dyDescent="0.25"/>
    <row r="133437" customFormat="1" x14ac:dyDescent="0.25"/>
    <row r="133438" customFormat="1" x14ac:dyDescent="0.25"/>
    <row r="133439" customFormat="1" x14ac:dyDescent="0.25"/>
    <row r="133440" customFormat="1" x14ac:dyDescent="0.25"/>
    <row r="133441" customFormat="1" x14ac:dyDescent="0.25"/>
    <row r="133442" customFormat="1" x14ac:dyDescent="0.25"/>
    <row r="133443" customFormat="1" x14ac:dyDescent="0.25"/>
    <row r="133444" customFormat="1" x14ac:dyDescent="0.25"/>
    <row r="133445" customFormat="1" x14ac:dyDescent="0.25"/>
    <row r="133446" customFormat="1" x14ac:dyDescent="0.25"/>
    <row r="133447" customFormat="1" x14ac:dyDescent="0.25"/>
    <row r="133448" customFormat="1" x14ac:dyDescent="0.25"/>
    <row r="133449" customFormat="1" x14ac:dyDescent="0.25"/>
    <row r="133450" customFormat="1" x14ac:dyDescent="0.25"/>
    <row r="133451" customFormat="1" x14ac:dyDescent="0.25"/>
    <row r="133452" customFormat="1" x14ac:dyDescent="0.25"/>
    <row r="133453" customFormat="1" x14ac:dyDescent="0.25"/>
    <row r="133454" customFormat="1" x14ac:dyDescent="0.25"/>
    <row r="133455" customFormat="1" x14ac:dyDescent="0.25"/>
    <row r="133456" customFormat="1" x14ac:dyDescent="0.25"/>
    <row r="133457" customFormat="1" x14ac:dyDescent="0.25"/>
    <row r="133458" customFormat="1" x14ac:dyDescent="0.25"/>
    <row r="133459" customFormat="1" x14ac:dyDescent="0.25"/>
    <row r="133460" customFormat="1" x14ac:dyDescent="0.25"/>
    <row r="133461" customFormat="1" x14ac:dyDescent="0.25"/>
    <row r="133462" customFormat="1" x14ac:dyDescent="0.25"/>
    <row r="133463" customFormat="1" x14ac:dyDescent="0.25"/>
    <row r="133464" customFormat="1" x14ac:dyDescent="0.25"/>
    <row r="133465" customFormat="1" x14ac:dyDescent="0.25"/>
    <row r="133466" customFormat="1" x14ac:dyDescent="0.25"/>
    <row r="133467" customFormat="1" x14ac:dyDescent="0.25"/>
    <row r="133468" customFormat="1" x14ac:dyDescent="0.25"/>
    <row r="133469" customFormat="1" x14ac:dyDescent="0.25"/>
    <row r="133470" customFormat="1" x14ac:dyDescent="0.25"/>
    <row r="133471" customFormat="1" x14ac:dyDescent="0.25"/>
    <row r="133472" customFormat="1" x14ac:dyDescent="0.25"/>
    <row r="133473" customFormat="1" x14ac:dyDescent="0.25"/>
    <row r="133474" customFormat="1" x14ac:dyDescent="0.25"/>
    <row r="133475" customFormat="1" x14ac:dyDescent="0.25"/>
    <row r="133476" customFormat="1" x14ac:dyDescent="0.25"/>
    <row r="133477" customFormat="1" x14ac:dyDescent="0.25"/>
    <row r="133478" customFormat="1" x14ac:dyDescent="0.25"/>
    <row r="133479" customFormat="1" x14ac:dyDescent="0.25"/>
    <row r="133480" customFormat="1" x14ac:dyDescent="0.25"/>
    <row r="133481" customFormat="1" x14ac:dyDescent="0.25"/>
    <row r="133482" customFormat="1" x14ac:dyDescent="0.25"/>
    <row r="133483" customFormat="1" x14ac:dyDescent="0.25"/>
    <row r="133484" customFormat="1" x14ac:dyDescent="0.25"/>
    <row r="133485" customFormat="1" x14ac:dyDescent="0.25"/>
    <row r="133486" customFormat="1" x14ac:dyDescent="0.25"/>
    <row r="133487" customFormat="1" x14ac:dyDescent="0.25"/>
    <row r="133488" customFormat="1" x14ac:dyDescent="0.25"/>
    <row r="133489" customFormat="1" x14ac:dyDescent="0.25"/>
    <row r="133490" customFormat="1" x14ac:dyDescent="0.25"/>
    <row r="133491" customFormat="1" x14ac:dyDescent="0.25"/>
    <row r="133492" customFormat="1" x14ac:dyDescent="0.25"/>
    <row r="133493" customFormat="1" x14ac:dyDescent="0.25"/>
    <row r="133494" customFormat="1" x14ac:dyDescent="0.25"/>
    <row r="133495" customFormat="1" x14ac:dyDescent="0.25"/>
    <row r="133496" customFormat="1" x14ac:dyDescent="0.25"/>
    <row r="133497" customFormat="1" x14ac:dyDescent="0.25"/>
    <row r="133498" customFormat="1" x14ac:dyDescent="0.25"/>
    <row r="133499" customFormat="1" x14ac:dyDescent="0.25"/>
    <row r="133500" customFormat="1" x14ac:dyDescent="0.25"/>
    <row r="133501" customFormat="1" x14ac:dyDescent="0.25"/>
    <row r="133502" customFormat="1" x14ac:dyDescent="0.25"/>
    <row r="133503" customFormat="1" x14ac:dyDescent="0.25"/>
    <row r="133504" customFormat="1" x14ac:dyDescent="0.25"/>
    <row r="133505" customFormat="1" x14ac:dyDescent="0.25"/>
    <row r="133506" customFormat="1" x14ac:dyDescent="0.25"/>
    <row r="133507" customFormat="1" x14ac:dyDescent="0.25"/>
    <row r="133508" customFormat="1" x14ac:dyDescent="0.25"/>
    <row r="133509" customFormat="1" x14ac:dyDescent="0.25"/>
    <row r="133510" customFormat="1" x14ac:dyDescent="0.25"/>
    <row r="133511" customFormat="1" x14ac:dyDescent="0.25"/>
    <row r="133512" customFormat="1" x14ac:dyDescent="0.25"/>
    <row r="133513" customFormat="1" x14ac:dyDescent="0.25"/>
    <row r="133514" customFormat="1" x14ac:dyDescent="0.25"/>
    <row r="133515" customFormat="1" x14ac:dyDescent="0.25"/>
    <row r="133516" customFormat="1" x14ac:dyDescent="0.25"/>
    <row r="133517" customFormat="1" x14ac:dyDescent="0.25"/>
    <row r="133518" customFormat="1" x14ac:dyDescent="0.25"/>
    <row r="133519" customFormat="1" x14ac:dyDescent="0.25"/>
    <row r="133520" customFormat="1" x14ac:dyDescent="0.25"/>
    <row r="133521" customFormat="1" x14ac:dyDescent="0.25"/>
    <row r="133522" customFormat="1" x14ac:dyDescent="0.25"/>
    <row r="133523" customFormat="1" x14ac:dyDescent="0.25"/>
    <row r="133524" customFormat="1" x14ac:dyDescent="0.25"/>
    <row r="133525" customFormat="1" x14ac:dyDescent="0.25"/>
    <row r="133526" customFormat="1" x14ac:dyDescent="0.25"/>
    <row r="133527" customFormat="1" x14ac:dyDescent="0.25"/>
    <row r="133528" customFormat="1" x14ac:dyDescent="0.25"/>
    <row r="133529" customFormat="1" x14ac:dyDescent="0.25"/>
    <row r="133530" customFormat="1" x14ac:dyDescent="0.25"/>
    <row r="133531" customFormat="1" x14ac:dyDescent="0.25"/>
    <row r="133532" customFormat="1" x14ac:dyDescent="0.25"/>
    <row r="133533" customFormat="1" x14ac:dyDescent="0.25"/>
    <row r="133534" customFormat="1" x14ac:dyDescent="0.25"/>
    <row r="133535" customFormat="1" x14ac:dyDescent="0.25"/>
    <row r="133536" customFormat="1" x14ac:dyDescent="0.25"/>
    <row r="133537" customFormat="1" x14ac:dyDescent="0.25"/>
    <row r="133538" customFormat="1" x14ac:dyDescent="0.25"/>
    <row r="133539" customFormat="1" x14ac:dyDescent="0.25"/>
    <row r="133540" customFormat="1" x14ac:dyDescent="0.25"/>
    <row r="133541" customFormat="1" x14ac:dyDescent="0.25"/>
    <row r="133542" customFormat="1" x14ac:dyDescent="0.25"/>
    <row r="133543" customFormat="1" x14ac:dyDescent="0.25"/>
    <row r="133544" customFormat="1" x14ac:dyDescent="0.25"/>
    <row r="133545" customFormat="1" x14ac:dyDescent="0.25"/>
    <row r="133546" customFormat="1" x14ac:dyDescent="0.25"/>
    <row r="133547" customFormat="1" x14ac:dyDescent="0.25"/>
    <row r="133548" customFormat="1" x14ac:dyDescent="0.25"/>
    <row r="133549" customFormat="1" x14ac:dyDescent="0.25"/>
    <row r="133550" customFormat="1" x14ac:dyDescent="0.25"/>
    <row r="133551" customFormat="1" x14ac:dyDescent="0.25"/>
    <row r="133552" customFormat="1" x14ac:dyDescent="0.25"/>
    <row r="133553" customFormat="1" x14ac:dyDescent="0.25"/>
    <row r="133554" customFormat="1" x14ac:dyDescent="0.25"/>
    <row r="133555" customFormat="1" x14ac:dyDescent="0.25"/>
    <row r="133556" customFormat="1" x14ac:dyDescent="0.25"/>
    <row r="133557" customFormat="1" x14ac:dyDescent="0.25"/>
    <row r="133558" customFormat="1" x14ac:dyDescent="0.25"/>
    <row r="133559" customFormat="1" x14ac:dyDescent="0.25"/>
    <row r="133560" customFormat="1" x14ac:dyDescent="0.25"/>
    <row r="133561" customFormat="1" x14ac:dyDescent="0.25"/>
    <row r="133562" customFormat="1" x14ac:dyDescent="0.25"/>
    <row r="133563" customFormat="1" x14ac:dyDescent="0.25"/>
    <row r="133564" customFormat="1" x14ac:dyDescent="0.25"/>
    <row r="133565" customFormat="1" x14ac:dyDescent="0.25"/>
    <row r="133566" customFormat="1" x14ac:dyDescent="0.25"/>
    <row r="133567" customFormat="1" x14ac:dyDescent="0.25"/>
    <row r="133568" customFormat="1" x14ac:dyDescent="0.25"/>
    <row r="133569" customFormat="1" x14ac:dyDescent="0.25"/>
    <row r="133570" customFormat="1" x14ac:dyDescent="0.25"/>
    <row r="133571" customFormat="1" x14ac:dyDescent="0.25"/>
    <row r="133572" customFormat="1" x14ac:dyDescent="0.25"/>
    <row r="133573" customFormat="1" x14ac:dyDescent="0.25"/>
    <row r="133574" customFormat="1" x14ac:dyDescent="0.25"/>
    <row r="133575" customFormat="1" x14ac:dyDescent="0.25"/>
    <row r="133576" customFormat="1" x14ac:dyDescent="0.25"/>
    <row r="133577" customFormat="1" x14ac:dyDescent="0.25"/>
    <row r="133578" customFormat="1" x14ac:dyDescent="0.25"/>
    <row r="133579" customFormat="1" x14ac:dyDescent="0.25"/>
    <row r="133580" customFormat="1" x14ac:dyDescent="0.25"/>
    <row r="133581" customFormat="1" x14ac:dyDescent="0.25"/>
    <row r="133582" customFormat="1" x14ac:dyDescent="0.25"/>
    <row r="133583" customFormat="1" x14ac:dyDescent="0.25"/>
    <row r="133584" customFormat="1" x14ac:dyDescent="0.25"/>
    <row r="133585" customFormat="1" x14ac:dyDescent="0.25"/>
    <row r="133586" customFormat="1" x14ac:dyDescent="0.25"/>
    <row r="133587" customFormat="1" x14ac:dyDescent="0.25"/>
    <row r="133588" customFormat="1" x14ac:dyDescent="0.25"/>
    <row r="133589" customFormat="1" x14ac:dyDescent="0.25"/>
    <row r="133590" customFormat="1" x14ac:dyDescent="0.25"/>
    <row r="133591" customFormat="1" x14ac:dyDescent="0.25"/>
    <row r="133592" customFormat="1" x14ac:dyDescent="0.25"/>
    <row r="133593" customFormat="1" x14ac:dyDescent="0.25"/>
    <row r="133594" customFormat="1" x14ac:dyDescent="0.25"/>
    <row r="133595" customFormat="1" x14ac:dyDescent="0.25"/>
    <row r="133596" customFormat="1" x14ac:dyDescent="0.25"/>
    <row r="133597" customFormat="1" x14ac:dyDescent="0.25"/>
    <row r="133598" customFormat="1" x14ac:dyDescent="0.25"/>
    <row r="133599" customFormat="1" x14ac:dyDescent="0.25"/>
    <row r="133600" customFormat="1" x14ac:dyDescent="0.25"/>
    <row r="133601" customFormat="1" x14ac:dyDescent="0.25"/>
    <row r="133602" customFormat="1" x14ac:dyDescent="0.25"/>
    <row r="133603" customFormat="1" x14ac:dyDescent="0.25"/>
    <row r="133604" customFormat="1" x14ac:dyDescent="0.25"/>
    <row r="133605" customFormat="1" x14ac:dyDescent="0.25"/>
    <row r="133606" customFormat="1" x14ac:dyDescent="0.25"/>
    <row r="133607" customFormat="1" x14ac:dyDescent="0.25"/>
    <row r="133608" customFormat="1" x14ac:dyDescent="0.25"/>
    <row r="133609" customFormat="1" x14ac:dyDescent="0.25"/>
    <row r="133610" customFormat="1" x14ac:dyDescent="0.25"/>
    <row r="133611" customFormat="1" x14ac:dyDescent="0.25"/>
    <row r="133612" customFormat="1" x14ac:dyDescent="0.25"/>
    <row r="133613" customFormat="1" x14ac:dyDescent="0.25"/>
    <row r="133614" customFormat="1" x14ac:dyDescent="0.25"/>
    <row r="133615" customFormat="1" x14ac:dyDescent="0.25"/>
    <row r="133616" customFormat="1" x14ac:dyDescent="0.25"/>
    <row r="133617" customFormat="1" x14ac:dyDescent="0.25"/>
    <row r="133618" customFormat="1" x14ac:dyDescent="0.25"/>
    <row r="133619" customFormat="1" x14ac:dyDescent="0.25"/>
    <row r="133620" customFormat="1" x14ac:dyDescent="0.25"/>
    <row r="133621" customFormat="1" x14ac:dyDescent="0.25"/>
    <row r="133622" customFormat="1" x14ac:dyDescent="0.25"/>
    <row r="133623" customFormat="1" x14ac:dyDescent="0.25"/>
    <row r="133624" customFormat="1" x14ac:dyDescent="0.25"/>
    <row r="133625" customFormat="1" x14ac:dyDescent="0.25"/>
    <row r="133626" customFormat="1" x14ac:dyDescent="0.25"/>
    <row r="133627" customFormat="1" x14ac:dyDescent="0.25"/>
    <row r="133628" customFormat="1" x14ac:dyDescent="0.25"/>
    <row r="133629" customFormat="1" x14ac:dyDescent="0.25"/>
    <row r="133630" customFormat="1" x14ac:dyDescent="0.25"/>
    <row r="133631" customFormat="1" x14ac:dyDescent="0.25"/>
    <row r="133632" customFormat="1" x14ac:dyDescent="0.25"/>
    <row r="133633" customFormat="1" x14ac:dyDescent="0.25"/>
    <row r="133634" customFormat="1" x14ac:dyDescent="0.25"/>
    <row r="133635" customFormat="1" x14ac:dyDescent="0.25"/>
    <row r="133636" customFormat="1" x14ac:dyDescent="0.25"/>
    <row r="133637" customFormat="1" x14ac:dyDescent="0.25"/>
    <row r="133638" customFormat="1" x14ac:dyDescent="0.25"/>
    <row r="133639" customFormat="1" x14ac:dyDescent="0.25"/>
    <row r="133640" customFormat="1" x14ac:dyDescent="0.25"/>
    <row r="133641" customFormat="1" x14ac:dyDescent="0.25"/>
    <row r="133642" customFormat="1" x14ac:dyDescent="0.25"/>
    <row r="133643" customFormat="1" x14ac:dyDescent="0.25"/>
    <row r="133644" customFormat="1" x14ac:dyDescent="0.25"/>
    <row r="133645" customFormat="1" x14ac:dyDescent="0.25"/>
    <row r="133646" customFormat="1" x14ac:dyDescent="0.25"/>
    <row r="133647" customFormat="1" x14ac:dyDescent="0.25"/>
    <row r="133648" customFormat="1" x14ac:dyDescent="0.25"/>
    <row r="133649" customFormat="1" x14ac:dyDescent="0.25"/>
    <row r="133650" customFormat="1" x14ac:dyDescent="0.25"/>
    <row r="133651" customFormat="1" x14ac:dyDescent="0.25"/>
    <row r="133652" customFormat="1" x14ac:dyDescent="0.25"/>
    <row r="133653" customFormat="1" x14ac:dyDescent="0.25"/>
    <row r="133654" customFormat="1" x14ac:dyDescent="0.25"/>
    <row r="133655" customFormat="1" x14ac:dyDescent="0.25"/>
    <row r="133656" customFormat="1" x14ac:dyDescent="0.25"/>
    <row r="133657" customFormat="1" x14ac:dyDescent="0.25"/>
    <row r="133658" customFormat="1" x14ac:dyDescent="0.25"/>
    <row r="133659" customFormat="1" x14ac:dyDescent="0.25"/>
    <row r="133660" customFormat="1" x14ac:dyDescent="0.25"/>
    <row r="133661" customFormat="1" x14ac:dyDescent="0.25"/>
    <row r="133662" customFormat="1" x14ac:dyDescent="0.25"/>
    <row r="133663" customFormat="1" x14ac:dyDescent="0.25"/>
    <row r="133664" customFormat="1" x14ac:dyDescent="0.25"/>
    <row r="133665" customFormat="1" x14ac:dyDescent="0.25"/>
    <row r="133666" customFormat="1" x14ac:dyDescent="0.25"/>
    <row r="133667" customFormat="1" x14ac:dyDescent="0.25"/>
    <row r="133668" customFormat="1" x14ac:dyDescent="0.25"/>
    <row r="133669" customFormat="1" x14ac:dyDescent="0.25"/>
    <row r="133670" customFormat="1" x14ac:dyDescent="0.25"/>
    <row r="133671" customFormat="1" x14ac:dyDescent="0.25"/>
    <row r="133672" customFormat="1" x14ac:dyDescent="0.25"/>
    <row r="133673" customFormat="1" x14ac:dyDescent="0.25"/>
    <row r="133674" customFormat="1" x14ac:dyDescent="0.25"/>
    <row r="133675" customFormat="1" x14ac:dyDescent="0.25"/>
    <row r="133676" customFormat="1" x14ac:dyDescent="0.25"/>
    <row r="133677" customFormat="1" x14ac:dyDescent="0.25"/>
    <row r="133678" customFormat="1" x14ac:dyDescent="0.25"/>
    <row r="133679" customFormat="1" x14ac:dyDescent="0.25"/>
    <row r="133680" customFormat="1" x14ac:dyDescent="0.25"/>
    <row r="133681" customFormat="1" x14ac:dyDescent="0.25"/>
    <row r="133682" customFormat="1" x14ac:dyDescent="0.25"/>
    <row r="133683" customFormat="1" x14ac:dyDescent="0.25"/>
    <row r="133684" customFormat="1" x14ac:dyDescent="0.25"/>
    <row r="133685" customFormat="1" x14ac:dyDescent="0.25"/>
    <row r="133686" customFormat="1" x14ac:dyDescent="0.25"/>
    <row r="133687" customFormat="1" x14ac:dyDescent="0.25"/>
    <row r="133688" customFormat="1" x14ac:dyDescent="0.25"/>
    <row r="133689" customFormat="1" x14ac:dyDescent="0.25"/>
    <row r="133690" customFormat="1" x14ac:dyDescent="0.25"/>
    <row r="133691" customFormat="1" x14ac:dyDescent="0.25"/>
    <row r="133692" customFormat="1" x14ac:dyDescent="0.25"/>
    <row r="133693" customFormat="1" x14ac:dyDescent="0.25"/>
    <row r="133694" customFormat="1" x14ac:dyDescent="0.25"/>
    <row r="133695" customFormat="1" x14ac:dyDescent="0.25"/>
    <row r="133696" customFormat="1" x14ac:dyDescent="0.25"/>
    <row r="133697" customFormat="1" x14ac:dyDescent="0.25"/>
    <row r="133698" customFormat="1" x14ac:dyDescent="0.25"/>
    <row r="133699" customFormat="1" x14ac:dyDescent="0.25"/>
    <row r="133700" customFormat="1" x14ac:dyDescent="0.25"/>
    <row r="133701" customFormat="1" x14ac:dyDescent="0.25"/>
    <row r="133702" customFormat="1" x14ac:dyDescent="0.25"/>
    <row r="133703" customFormat="1" x14ac:dyDescent="0.25"/>
    <row r="133704" customFormat="1" x14ac:dyDescent="0.25"/>
    <row r="133705" customFormat="1" x14ac:dyDescent="0.25"/>
    <row r="133706" customFormat="1" x14ac:dyDescent="0.25"/>
    <row r="133707" customFormat="1" x14ac:dyDescent="0.25"/>
    <row r="133708" customFormat="1" x14ac:dyDescent="0.25"/>
    <row r="133709" customFormat="1" x14ac:dyDescent="0.25"/>
    <row r="133710" customFormat="1" x14ac:dyDescent="0.25"/>
    <row r="133711" customFormat="1" x14ac:dyDescent="0.25"/>
    <row r="133712" customFormat="1" x14ac:dyDescent="0.25"/>
    <row r="133713" customFormat="1" x14ac:dyDescent="0.25"/>
    <row r="133714" customFormat="1" x14ac:dyDescent="0.25"/>
    <row r="133715" customFormat="1" x14ac:dyDescent="0.25"/>
    <row r="133716" customFormat="1" x14ac:dyDescent="0.25"/>
    <row r="133717" customFormat="1" x14ac:dyDescent="0.25"/>
    <row r="133718" customFormat="1" x14ac:dyDescent="0.25"/>
    <row r="133719" customFormat="1" x14ac:dyDescent="0.25"/>
    <row r="133720" customFormat="1" x14ac:dyDescent="0.25"/>
    <row r="133721" customFormat="1" x14ac:dyDescent="0.25"/>
    <row r="133722" customFormat="1" x14ac:dyDescent="0.25"/>
    <row r="133723" customFormat="1" x14ac:dyDescent="0.25"/>
    <row r="133724" customFormat="1" x14ac:dyDescent="0.25"/>
    <row r="133725" customFormat="1" x14ac:dyDescent="0.25"/>
    <row r="133726" customFormat="1" x14ac:dyDescent="0.25"/>
    <row r="133727" customFormat="1" x14ac:dyDescent="0.25"/>
    <row r="133728" customFormat="1" x14ac:dyDescent="0.25"/>
    <row r="133729" customFormat="1" x14ac:dyDescent="0.25"/>
    <row r="133730" customFormat="1" x14ac:dyDescent="0.25"/>
    <row r="133731" customFormat="1" x14ac:dyDescent="0.25"/>
    <row r="133732" customFormat="1" x14ac:dyDescent="0.25"/>
    <row r="133733" customFormat="1" x14ac:dyDescent="0.25"/>
    <row r="133734" customFormat="1" x14ac:dyDescent="0.25"/>
    <row r="133735" customFormat="1" x14ac:dyDescent="0.25"/>
    <row r="133736" customFormat="1" x14ac:dyDescent="0.25"/>
    <row r="133737" customFormat="1" x14ac:dyDescent="0.25"/>
    <row r="133738" customFormat="1" x14ac:dyDescent="0.25"/>
    <row r="133739" customFormat="1" x14ac:dyDescent="0.25"/>
    <row r="133740" customFormat="1" x14ac:dyDescent="0.25"/>
    <row r="133741" customFormat="1" x14ac:dyDescent="0.25"/>
    <row r="133742" customFormat="1" x14ac:dyDescent="0.25"/>
    <row r="133743" customFormat="1" x14ac:dyDescent="0.25"/>
    <row r="133744" customFormat="1" x14ac:dyDescent="0.25"/>
    <row r="133745" customFormat="1" x14ac:dyDescent="0.25"/>
    <row r="133746" customFormat="1" x14ac:dyDescent="0.25"/>
    <row r="133747" customFormat="1" x14ac:dyDescent="0.25"/>
    <row r="133748" customFormat="1" x14ac:dyDescent="0.25"/>
    <row r="133749" customFormat="1" x14ac:dyDescent="0.25"/>
    <row r="133750" customFormat="1" x14ac:dyDescent="0.25"/>
    <row r="133751" customFormat="1" x14ac:dyDescent="0.25"/>
    <row r="133752" customFormat="1" x14ac:dyDescent="0.25"/>
    <row r="133753" customFormat="1" x14ac:dyDescent="0.25"/>
    <row r="133754" customFormat="1" x14ac:dyDescent="0.25"/>
    <row r="133755" customFormat="1" x14ac:dyDescent="0.25"/>
    <row r="133756" customFormat="1" x14ac:dyDescent="0.25"/>
    <row r="133757" customFormat="1" x14ac:dyDescent="0.25"/>
    <row r="133758" customFormat="1" x14ac:dyDescent="0.25"/>
    <row r="133759" customFormat="1" x14ac:dyDescent="0.25"/>
    <row r="133760" customFormat="1" x14ac:dyDescent="0.25"/>
    <row r="133761" customFormat="1" x14ac:dyDescent="0.25"/>
    <row r="133762" customFormat="1" x14ac:dyDescent="0.25"/>
    <row r="133763" customFormat="1" x14ac:dyDescent="0.25"/>
    <row r="133764" customFormat="1" x14ac:dyDescent="0.25"/>
    <row r="133765" customFormat="1" x14ac:dyDescent="0.25"/>
    <row r="133766" customFormat="1" x14ac:dyDescent="0.25"/>
    <row r="133767" customFormat="1" x14ac:dyDescent="0.25"/>
    <row r="133768" customFormat="1" x14ac:dyDescent="0.25"/>
    <row r="133769" customFormat="1" x14ac:dyDescent="0.25"/>
    <row r="133770" customFormat="1" x14ac:dyDescent="0.25"/>
    <row r="133771" customFormat="1" x14ac:dyDescent="0.25"/>
    <row r="133772" customFormat="1" x14ac:dyDescent="0.25"/>
    <row r="133773" customFormat="1" x14ac:dyDescent="0.25"/>
    <row r="133774" customFormat="1" x14ac:dyDescent="0.25"/>
    <row r="133775" customFormat="1" x14ac:dyDescent="0.25"/>
    <row r="133776" customFormat="1" x14ac:dyDescent="0.25"/>
    <row r="133777" customFormat="1" x14ac:dyDescent="0.25"/>
    <row r="133778" customFormat="1" x14ac:dyDescent="0.25"/>
    <row r="133779" customFormat="1" x14ac:dyDescent="0.25"/>
    <row r="133780" customFormat="1" x14ac:dyDescent="0.25"/>
    <row r="133781" customFormat="1" x14ac:dyDescent="0.25"/>
    <row r="133782" customFormat="1" x14ac:dyDescent="0.25"/>
    <row r="133783" customFormat="1" x14ac:dyDescent="0.25"/>
    <row r="133784" customFormat="1" x14ac:dyDescent="0.25"/>
    <row r="133785" customFormat="1" x14ac:dyDescent="0.25"/>
    <row r="133786" customFormat="1" x14ac:dyDescent="0.25"/>
    <row r="133787" customFormat="1" x14ac:dyDescent="0.25"/>
    <row r="133788" customFormat="1" x14ac:dyDescent="0.25"/>
    <row r="133789" customFormat="1" x14ac:dyDescent="0.25"/>
    <row r="133790" customFormat="1" x14ac:dyDescent="0.25"/>
    <row r="133791" customFormat="1" x14ac:dyDescent="0.25"/>
    <row r="133792" customFormat="1" x14ac:dyDescent="0.25"/>
    <row r="133793" customFormat="1" x14ac:dyDescent="0.25"/>
    <row r="133794" customFormat="1" x14ac:dyDescent="0.25"/>
    <row r="133795" customFormat="1" x14ac:dyDescent="0.25"/>
    <row r="133796" customFormat="1" x14ac:dyDescent="0.25"/>
    <row r="133797" customFormat="1" x14ac:dyDescent="0.25"/>
    <row r="133798" customFormat="1" x14ac:dyDescent="0.25"/>
    <row r="133799" customFormat="1" x14ac:dyDescent="0.25"/>
    <row r="133800" customFormat="1" x14ac:dyDescent="0.25"/>
    <row r="133801" customFormat="1" x14ac:dyDescent="0.25"/>
    <row r="133802" customFormat="1" x14ac:dyDescent="0.25"/>
    <row r="133803" customFormat="1" x14ac:dyDescent="0.25"/>
    <row r="133804" customFormat="1" x14ac:dyDescent="0.25"/>
    <row r="133805" customFormat="1" x14ac:dyDescent="0.25"/>
    <row r="133806" customFormat="1" x14ac:dyDescent="0.25"/>
    <row r="133807" customFormat="1" x14ac:dyDescent="0.25"/>
    <row r="133808" customFormat="1" x14ac:dyDescent="0.25"/>
    <row r="133809" customFormat="1" x14ac:dyDescent="0.25"/>
    <row r="133810" customFormat="1" x14ac:dyDescent="0.25"/>
    <row r="133811" customFormat="1" x14ac:dyDescent="0.25"/>
    <row r="133812" customFormat="1" x14ac:dyDescent="0.25"/>
    <row r="133813" customFormat="1" x14ac:dyDescent="0.25"/>
    <row r="133814" customFormat="1" x14ac:dyDescent="0.25"/>
    <row r="133815" customFormat="1" x14ac:dyDescent="0.25"/>
    <row r="133816" customFormat="1" x14ac:dyDescent="0.25"/>
    <row r="133817" customFormat="1" x14ac:dyDescent="0.25"/>
    <row r="133818" customFormat="1" x14ac:dyDescent="0.25"/>
    <row r="133819" customFormat="1" x14ac:dyDescent="0.25"/>
    <row r="133820" customFormat="1" x14ac:dyDescent="0.25"/>
    <row r="133821" customFormat="1" x14ac:dyDescent="0.25"/>
    <row r="133822" customFormat="1" x14ac:dyDescent="0.25"/>
    <row r="133823" customFormat="1" x14ac:dyDescent="0.25"/>
    <row r="133824" customFormat="1" x14ac:dyDescent="0.25"/>
    <row r="133825" customFormat="1" x14ac:dyDescent="0.25"/>
    <row r="133826" customFormat="1" x14ac:dyDescent="0.25"/>
    <row r="133827" customFormat="1" x14ac:dyDescent="0.25"/>
    <row r="133828" customFormat="1" x14ac:dyDescent="0.25"/>
    <row r="133829" customFormat="1" x14ac:dyDescent="0.25"/>
    <row r="133830" customFormat="1" x14ac:dyDescent="0.25"/>
    <row r="133831" customFormat="1" x14ac:dyDescent="0.25"/>
    <row r="133832" customFormat="1" x14ac:dyDescent="0.25"/>
    <row r="133833" customFormat="1" x14ac:dyDescent="0.25"/>
    <row r="133834" customFormat="1" x14ac:dyDescent="0.25"/>
    <row r="133835" customFormat="1" x14ac:dyDescent="0.25"/>
    <row r="133836" customFormat="1" x14ac:dyDescent="0.25"/>
    <row r="133837" customFormat="1" x14ac:dyDescent="0.25"/>
    <row r="133838" customFormat="1" x14ac:dyDescent="0.25"/>
    <row r="133839" customFormat="1" x14ac:dyDescent="0.25"/>
    <row r="133840" customFormat="1" x14ac:dyDescent="0.25"/>
    <row r="133841" customFormat="1" x14ac:dyDescent="0.25"/>
    <row r="133842" customFormat="1" x14ac:dyDescent="0.25"/>
    <row r="133843" customFormat="1" x14ac:dyDescent="0.25"/>
    <row r="133844" customFormat="1" x14ac:dyDescent="0.25"/>
    <row r="133845" customFormat="1" x14ac:dyDescent="0.25"/>
    <row r="133846" customFormat="1" x14ac:dyDescent="0.25"/>
    <row r="133847" customFormat="1" x14ac:dyDescent="0.25"/>
    <row r="133848" customFormat="1" x14ac:dyDescent="0.25"/>
    <row r="133849" customFormat="1" x14ac:dyDescent="0.25"/>
    <row r="133850" customFormat="1" x14ac:dyDescent="0.25"/>
    <row r="133851" customFormat="1" x14ac:dyDescent="0.25"/>
    <row r="133852" customFormat="1" x14ac:dyDescent="0.25"/>
    <row r="133853" customFormat="1" x14ac:dyDescent="0.25"/>
    <row r="133854" customFormat="1" x14ac:dyDescent="0.25"/>
    <row r="133855" customFormat="1" x14ac:dyDescent="0.25"/>
    <row r="133856" customFormat="1" x14ac:dyDescent="0.25"/>
    <row r="133857" customFormat="1" x14ac:dyDescent="0.25"/>
    <row r="133858" customFormat="1" x14ac:dyDescent="0.25"/>
    <row r="133859" customFormat="1" x14ac:dyDescent="0.25"/>
    <row r="133860" customFormat="1" x14ac:dyDescent="0.25"/>
    <row r="133861" customFormat="1" x14ac:dyDescent="0.25"/>
    <row r="133862" customFormat="1" x14ac:dyDescent="0.25"/>
    <row r="133863" customFormat="1" x14ac:dyDescent="0.25"/>
    <row r="133864" customFormat="1" x14ac:dyDescent="0.25"/>
    <row r="133865" customFormat="1" x14ac:dyDescent="0.25"/>
    <row r="133866" customFormat="1" x14ac:dyDescent="0.25"/>
    <row r="133867" customFormat="1" x14ac:dyDescent="0.25"/>
    <row r="133868" customFormat="1" x14ac:dyDescent="0.25"/>
    <row r="133869" customFormat="1" x14ac:dyDescent="0.25"/>
    <row r="133870" customFormat="1" x14ac:dyDescent="0.25"/>
    <row r="133871" customFormat="1" x14ac:dyDescent="0.25"/>
    <row r="133872" customFormat="1" x14ac:dyDescent="0.25"/>
    <row r="133873" customFormat="1" x14ac:dyDescent="0.25"/>
    <row r="133874" customFormat="1" x14ac:dyDescent="0.25"/>
    <row r="133875" customFormat="1" x14ac:dyDescent="0.25"/>
    <row r="133876" customFormat="1" x14ac:dyDescent="0.25"/>
    <row r="133877" customFormat="1" x14ac:dyDescent="0.25"/>
    <row r="133878" customFormat="1" x14ac:dyDescent="0.25"/>
    <row r="133879" customFormat="1" x14ac:dyDescent="0.25"/>
    <row r="133880" customFormat="1" x14ac:dyDescent="0.25"/>
    <row r="133881" customFormat="1" x14ac:dyDescent="0.25"/>
    <row r="133882" customFormat="1" x14ac:dyDescent="0.25"/>
    <row r="133883" customFormat="1" x14ac:dyDescent="0.25"/>
    <row r="133884" customFormat="1" x14ac:dyDescent="0.25"/>
    <row r="133885" customFormat="1" x14ac:dyDescent="0.25"/>
    <row r="133886" customFormat="1" x14ac:dyDescent="0.25"/>
    <row r="133887" customFormat="1" x14ac:dyDescent="0.25"/>
    <row r="133888" customFormat="1" x14ac:dyDescent="0.25"/>
    <row r="133889" customFormat="1" x14ac:dyDescent="0.25"/>
    <row r="133890" customFormat="1" x14ac:dyDescent="0.25"/>
    <row r="133891" customFormat="1" x14ac:dyDescent="0.25"/>
    <row r="133892" customFormat="1" x14ac:dyDescent="0.25"/>
    <row r="133893" customFormat="1" x14ac:dyDescent="0.25"/>
    <row r="133894" customFormat="1" x14ac:dyDescent="0.25"/>
    <row r="133895" customFormat="1" x14ac:dyDescent="0.25"/>
    <row r="133896" customFormat="1" x14ac:dyDescent="0.25"/>
    <row r="133897" customFormat="1" x14ac:dyDescent="0.25"/>
    <row r="133898" customFormat="1" x14ac:dyDescent="0.25"/>
    <row r="133899" customFormat="1" x14ac:dyDescent="0.25"/>
    <row r="133900" customFormat="1" x14ac:dyDescent="0.25"/>
    <row r="133901" customFormat="1" x14ac:dyDescent="0.25"/>
    <row r="133902" customFormat="1" x14ac:dyDescent="0.25"/>
    <row r="133903" customFormat="1" x14ac:dyDescent="0.25"/>
    <row r="133904" customFormat="1" x14ac:dyDescent="0.25"/>
    <row r="133905" customFormat="1" x14ac:dyDescent="0.25"/>
    <row r="133906" customFormat="1" x14ac:dyDescent="0.25"/>
    <row r="133907" customFormat="1" x14ac:dyDescent="0.25"/>
    <row r="133908" customFormat="1" x14ac:dyDescent="0.25"/>
    <row r="133909" customFormat="1" x14ac:dyDescent="0.25"/>
    <row r="133910" customFormat="1" x14ac:dyDescent="0.25"/>
    <row r="133911" customFormat="1" x14ac:dyDescent="0.25"/>
    <row r="133912" customFormat="1" x14ac:dyDescent="0.25"/>
    <row r="133913" customFormat="1" x14ac:dyDescent="0.25"/>
    <row r="133914" customFormat="1" x14ac:dyDescent="0.25"/>
    <row r="133915" customFormat="1" x14ac:dyDescent="0.25"/>
    <row r="133916" customFormat="1" x14ac:dyDescent="0.25"/>
    <row r="133917" customFormat="1" x14ac:dyDescent="0.25"/>
    <row r="133918" customFormat="1" x14ac:dyDescent="0.25"/>
    <row r="133919" customFormat="1" x14ac:dyDescent="0.25"/>
    <row r="133920" customFormat="1" x14ac:dyDescent="0.25"/>
    <row r="133921" customFormat="1" x14ac:dyDescent="0.25"/>
    <row r="133922" customFormat="1" x14ac:dyDescent="0.25"/>
    <row r="133923" customFormat="1" x14ac:dyDescent="0.25"/>
    <row r="133924" customFormat="1" x14ac:dyDescent="0.25"/>
    <row r="133925" customFormat="1" x14ac:dyDescent="0.25"/>
    <row r="133926" customFormat="1" x14ac:dyDescent="0.25"/>
    <row r="133927" customFormat="1" x14ac:dyDescent="0.25"/>
    <row r="133928" customFormat="1" x14ac:dyDescent="0.25"/>
    <row r="133929" customFormat="1" x14ac:dyDescent="0.25"/>
    <row r="133930" customFormat="1" x14ac:dyDescent="0.25"/>
    <row r="133931" customFormat="1" x14ac:dyDescent="0.25"/>
    <row r="133932" customFormat="1" x14ac:dyDescent="0.25"/>
    <row r="133933" customFormat="1" x14ac:dyDescent="0.25"/>
    <row r="133934" customFormat="1" x14ac:dyDescent="0.25"/>
    <row r="133935" customFormat="1" x14ac:dyDescent="0.25"/>
    <row r="133936" customFormat="1" x14ac:dyDescent="0.25"/>
    <row r="133937" customFormat="1" x14ac:dyDescent="0.25"/>
    <row r="133938" customFormat="1" x14ac:dyDescent="0.25"/>
    <row r="133939" customFormat="1" x14ac:dyDescent="0.25"/>
    <row r="133940" customFormat="1" x14ac:dyDescent="0.25"/>
    <row r="133941" customFormat="1" x14ac:dyDescent="0.25"/>
    <row r="133942" customFormat="1" x14ac:dyDescent="0.25"/>
    <row r="133943" customFormat="1" x14ac:dyDescent="0.25"/>
    <row r="133944" customFormat="1" x14ac:dyDescent="0.25"/>
    <row r="133945" customFormat="1" x14ac:dyDescent="0.25"/>
    <row r="133946" customFormat="1" x14ac:dyDescent="0.25"/>
    <row r="133947" customFormat="1" x14ac:dyDescent="0.25"/>
    <row r="133948" customFormat="1" x14ac:dyDescent="0.25"/>
    <row r="133949" customFormat="1" x14ac:dyDescent="0.25"/>
    <row r="133950" customFormat="1" x14ac:dyDescent="0.25"/>
    <row r="133951" customFormat="1" x14ac:dyDescent="0.25"/>
    <row r="133952" customFormat="1" x14ac:dyDescent="0.25"/>
    <row r="133953" customFormat="1" x14ac:dyDescent="0.25"/>
    <row r="133954" customFormat="1" x14ac:dyDescent="0.25"/>
    <row r="133955" customFormat="1" x14ac:dyDescent="0.25"/>
    <row r="133956" customFormat="1" x14ac:dyDescent="0.25"/>
    <row r="133957" customFormat="1" x14ac:dyDescent="0.25"/>
    <row r="133958" customFormat="1" x14ac:dyDescent="0.25"/>
    <row r="133959" customFormat="1" x14ac:dyDescent="0.25"/>
    <row r="133960" customFormat="1" x14ac:dyDescent="0.25"/>
    <row r="133961" customFormat="1" x14ac:dyDescent="0.25"/>
    <row r="133962" customFormat="1" x14ac:dyDescent="0.25"/>
    <row r="133963" customFormat="1" x14ac:dyDescent="0.25"/>
    <row r="133964" customFormat="1" x14ac:dyDescent="0.25"/>
    <row r="133965" customFormat="1" x14ac:dyDescent="0.25"/>
    <row r="133966" customFormat="1" x14ac:dyDescent="0.25"/>
    <row r="133967" customFormat="1" x14ac:dyDescent="0.25"/>
    <row r="133968" customFormat="1" x14ac:dyDescent="0.25"/>
    <row r="133969" customFormat="1" x14ac:dyDescent="0.25"/>
    <row r="133970" customFormat="1" x14ac:dyDescent="0.25"/>
    <row r="133971" customFormat="1" x14ac:dyDescent="0.25"/>
    <row r="133972" customFormat="1" x14ac:dyDescent="0.25"/>
    <row r="133973" customFormat="1" x14ac:dyDescent="0.25"/>
    <row r="133974" customFormat="1" x14ac:dyDescent="0.25"/>
    <row r="133975" customFormat="1" x14ac:dyDescent="0.25"/>
    <row r="133976" customFormat="1" x14ac:dyDescent="0.25"/>
    <row r="133977" customFormat="1" x14ac:dyDescent="0.25"/>
    <row r="133978" customFormat="1" x14ac:dyDescent="0.25"/>
    <row r="133979" customFormat="1" x14ac:dyDescent="0.25"/>
    <row r="133980" customFormat="1" x14ac:dyDescent="0.25"/>
    <row r="133981" customFormat="1" x14ac:dyDescent="0.25"/>
    <row r="133982" customFormat="1" x14ac:dyDescent="0.25"/>
    <row r="133983" customFormat="1" x14ac:dyDescent="0.25"/>
    <row r="133984" customFormat="1" x14ac:dyDescent="0.25"/>
    <row r="133985" customFormat="1" x14ac:dyDescent="0.25"/>
    <row r="133986" customFormat="1" x14ac:dyDescent="0.25"/>
    <row r="133987" customFormat="1" x14ac:dyDescent="0.25"/>
    <row r="133988" customFormat="1" x14ac:dyDescent="0.25"/>
    <row r="133989" customFormat="1" x14ac:dyDescent="0.25"/>
    <row r="133990" customFormat="1" x14ac:dyDescent="0.25"/>
    <row r="133991" customFormat="1" x14ac:dyDescent="0.25"/>
    <row r="133992" customFormat="1" x14ac:dyDescent="0.25"/>
    <row r="133993" customFormat="1" x14ac:dyDescent="0.25"/>
    <row r="133994" customFormat="1" x14ac:dyDescent="0.25"/>
    <row r="133995" customFormat="1" x14ac:dyDescent="0.25"/>
    <row r="133996" customFormat="1" x14ac:dyDescent="0.25"/>
    <row r="133997" customFormat="1" x14ac:dyDescent="0.25"/>
    <row r="133998" customFormat="1" x14ac:dyDescent="0.25"/>
    <row r="133999" customFormat="1" x14ac:dyDescent="0.25"/>
    <row r="134000" customFormat="1" x14ac:dyDescent="0.25"/>
    <row r="134001" customFormat="1" x14ac:dyDescent="0.25"/>
    <row r="134002" customFormat="1" x14ac:dyDescent="0.25"/>
    <row r="134003" customFormat="1" x14ac:dyDescent="0.25"/>
    <row r="134004" customFormat="1" x14ac:dyDescent="0.25"/>
    <row r="134005" customFormat="1" x14ac:dyDescent="0.25"/>
    <row r="134006" customFormat="1" x14ac:dyDescent="0.25"/>
    <row r="134007" customFormat="1" x14ac:dyDescent="0.25"/>
    <row r="134008" customFormat="1" x14ac:dyDescent="0.25"/>
    <row r="134009" customFormat="1" x14ac:dyDescent="0.25"/>
    <row r="134010" customFormat="1" x14ac:dyDescent="0.25"/>
    <row r="134011" customFormat="1" x14ac:dyDescent="0.25"/>
    <row r="134012" customFormat="1" x14ac:dyDescent="0.25"/>
    <row r="134013" customFormat="1" x14ac:dyDescent="0.25"/>
    <row r="134014" customFormat="1" x14ac:dyDescent="0.25"/>
    <row r="134015" customFormat="1" x14ac:dyDescent="0.25"/>
    <row r="134016" customFormat="1" x14ac:dyDescent="0.25"/>
    <row r="134017" customFormat="1" x14ac:dyDescent="0.25"/>
    <row r="134018" customFormat="1" x14ac:dyDescent="0.25"/>
    <row r="134019" customFormat="1" x14ac:dyDescent="0.25"/>
    <row r="134020" customFormat="1" x14ac:dyDescent="0.25"/>
    <row r="134021" customFormat="1" x14ac:dyDescent="0.25"/>
    <row r="134022" customFormat="1" x14ac:dyDescent="0.25"/>
    <row r="134023" customFormat="1" x14ac:dyDescent="0.25"/>
    <row r="134024" customFormat="1" x14ac:dyDescent="0.25"/>
    <row r="134025" customFormat="1" x14ac:dyDescent="0.25"/>
    <row r="134026" customFormat="1" x14ac:dyDescent="0.25"/>
    <row r="134027" customFormat="1" x14ac:dyDescent="0.25"/>
    <row r="134028" customFormat="1" x14ac:dyDescent="0.25"/>
    <row r="134029" customFormat="1" x14ac:dyDescent="0.25"/>
    <row r="134030" customFormat="1" x14ac:dyDescent="0.25"/>
    <row r="134031" customFormat="1" x14ac:dyDescent="0.25"/>
    <row r="134032" customFormat="1" x14ac:dyDescent="0.25"/>
    <row r="134033" customFormat="1" x14ac:dyDescent="0.25"/>
    <row r="134034" customFormat="1" x14ac:dyDescent="0.25"/>
    <row r="134035" customFormat="1" x14ac:dyDescent="0.25"/>
    <row r="134036" customFormat="1" x14ac:dyDescent="0.25"/>
    <row r="134037" customFormat="1" x14ac:dyDescent="0.25"/>
    <row r="134038" customFormat="1" x14ac:dyDescent="0.25"/>
    <row r="134039" customFormat="1" x14ac:dyDescent="0.25"/>
    <row r="134040" customFormat="1" x14ac:dyDescent="0.25"/>
    <row r="134041" customFormat="1" x14ac:dyDescent="0.25"/>
    <row r="134042" customFormat="1" x14ac:dyDescent="0.25"/>
    <row r="134043" customFormat="1" x14ac:dyDescent="0.25"/>
    <row r="134044" customFormat="1" x14ac:dyDescent="0.25"/>
    <row r="134045" customFormat="1" x14ac:dyDescent="0.25"/>
    <row r="134046" customFormat="1" x14ac:dyDescent="0.25"/>
    <row r="134047" customFormat="1" x14ac:dyDescent="0.25"/>
    <row r="134048" customFormat="1" x14ac:dyDescent="0.25"/>
    <row r="134049" customFormat="1" x14ac:dyDescent="0.25"/>
    <row r="134050" customFormat="1" x14ac:dyDescent="0.25"/>
    <row r="134051" customFormat="1" x14ac:dyDescent="0.25"/>
    <row r="134052" customFormat="1" x14ac:dyDescent="0.25"/>
    <row r="134053" customFormat="1" x14ac:dyDescent="0.25"/>
    <row r="134054" customFormat="1" x14ac:dyDescent="0.25"/>
    <row r="134055" customFormat="1" x14ac:dyDescent="0.25"/>
    <row r="134056" customFormat="1" x14ac:dyDescent="0.25"/>
    <row r="134057" customFormat="1" x14ac:dyDescent="0.25"/>
    <row r="134058" customFormat="1" x14ac:dyDescent="0.25"/>
    <row r="134059" customFormat="1" x14ac:dyDescent="0.25"/>
    <row r="134060" customFormat="1" x14ac:dyDescent="0.25"/>
    <row r="134061" customFormat="1" x14ac:dyDescent="0.25"/>
    <row r="134062" customFormat="1" x14ac:dyDescent="0.25"/>
    <row r="134063" customFormat="1" x14ac:dyDescent="0.25"/>
    <row r="134064" customFormat="1" x14ac:dyDescent="0.25"/>
    <row r="134065" customFormat="1" x14ac:dyDescent="0.25"/>
    <row r="134066" customFormat="1" x14ac:dyDescent="0.25"/>
    <row r="134067" customFormat="1" x14ac:dyDescent="0.25"/>
    <row r="134068" customFormat="1" x14ac:dyDescent="0.25"/>
    <row r="134069" customFormat="1" x14ac:dyDescent="0.25"/>
    <row r="134070" customFormat="1" x14ac:dyDescent="0.25"/>
    <row r="134071" customFormat="1" x14ac:dyDescent="0.25"/>
    <row r="134072" customFormat="1" x14ac:dyDescent="0.25"/>
    <row r="134073" customFormat="1" x14ac:dyDescent="0.25"/>
    <row r="134074" customFormat="1" x14ac:dyDescent="0.25"/>
    <row r="134075" customFormat="1" x14ac:dyDescent="0.25"/>
    <row r="134076" customFormat="1" x14ac:dyDescent="0.25"/>
    <row r="134077" customFormat="1" x14ac:dyDescent="0.25"/>
    <row r="134078" customFormat="1" x14ac:dyDescent="0.25"/>
    <row r="134079" customFormat="1" x14ac:dyDescent="0.25"/>
    <row r="134080" customFormat="1" x14ac:dyDescent="0.25"/>
    <row r="134081" customFormat="1" x14ac:dyDescent="0.25"/>
    <row r="134082" customFormat="1" x14ac:dyDescent="0.25"/>
    <row r="134083" customFormat="1" x14ac:dyDescent="0.25"/>
    <row r="134084" customFormat="1" x14ac:dyDescent="0.25"/>
    <row r="134085" customFormat="1" x14ac:dyDescent="0.25"/>
    <row r="134086" customFormat="1" x14ac:dyDescent="0.25"/>
    <row r="134087" customFormat="1" x14ac:dyDescent="0.25"/>
    <row r="134088" customFormat="1" x14ac:dyDescent="0.25"/>
    <row r="134089" customFormat="1" x14ac:dyDescent="0.25"/>
    <row r="134090" customFormat="1" x14ac:dyDescent="0.25"/>
    <row r="134091" customFormat="1" x14ac:dyDescent="0.25"/>
    <row r="134092" customFormat="1" x14ac:dyDescent="0.25"/>
    <row r="134093" customFormat="1" x14ac:dyDescent="0.25"/>
    <row r="134094" customFormat="1" x14ac:dyDescent="0.25"/>
    <row r="134095" customFormat="1" x14ac:dyDescent="0.25"/>
    <row r="134096" customFormat="1" x14ac:dyDescent="0.25"/>
    <row r="134097" customFormat="1" x14ac:dyDescent="0.25"/>
    <row r="134098" customFormat="1" x14ac:dyDescent="0.25"/>
    <row r="134099" customFormat="1" x14ac:dyDescent="0.25"/>
    <row r="134100" customFormat="1" x14ac:dyDescent="0.25"/>
    <row r="134101" customFormat="1" x14ac:dyDescent="0.25"/>
    <row r="134102" customFormat="1" x14ac:dyDescent="0.25"/>
    <row r="134103" customFormat="1" x14ac:dyDescent="0.25"/>
    <row r="134104" customFormat="1" x14ac:dyDescent="0.25"/>
    <row r="134105" customFormat="1" x14ac:dyDescent="0.25"/>
    <row r="134106" customFormat="1" x14ac:dyDescent="0.25"/>
    <row r="134107" customFormat="1" x14ac:dyDescent="0.25"/>
    <row r="134108" customFormat="1" x14ac:dyDescent="0.25"/>
    <row r="134109" customFormat="1" x14ac:dyDescent="0.25"/>
    <row r="134110" customFormat="1" x14ac:dyDescent="0.25"/>
    <row r="134111" customFormat="1" x14ac:dyDescent="0.25"/>
    <row r="134112" customFormat="1" x14ac:dyDescent="0.25"/>
    <row r="134113" customFormat="1" x14ac:dyDescent="0.25"/>
    <row r="134114" customFormat="1" x14ac:dyDescent="0.25"/>
    <row r="134115" customFormat="1" x14ac:dyDescent="0.25"/>
    <row r="134116" customFormat="1" x14ac:dyDescent="0.25"/>
    <row r="134117" customFormat="1" x14ac:dyDescent="0.25"/>
    <row r="134118" customFormat="1" x14ac:dyDescent="0.25"/>
    <row r="134119" customFormat="1" x14ac:dyDescent="0.25"/>
    <row r="134120" customFormat="1" x14ac:dyDescent="0.25"/>
    <row r="134121" customFormat="1" x14ac:dyDescent="0.25"/>
    <row r="134122" customFormat="1" x14ac:dyDescent="0.25"/>
    <row r="134123" customFormat="1" x14ac:dyDescent="0.25"/>
    <row r="134124" customFormat="1" x14ac:dyDescent="0.25"/>
    <row r="134125" customFormat="1" x14ac:dyDescent="0.25"/>
    <row r="134126" customFormat="1" x14ac:dyDescent="0.25"/>
    <row r="134127" customFormat="1" x14ac:dyDescent="0.25"/>
    <row r="134128" customFormat="1" x14ac:dyDescent="0.25"/>
    <row r="134129" customFormat="1" x14ac:dyDescent="0.25"/>
    <row r="134130" customFormat="1" x14ac:dyDescent="0.25"/>
    <row r="134131" customFormat="1" x14ac:dyDescent="0.25"/>
    <row r="134132" customFormat="1" x14ac:dyDescent="0.25"/>
    <row r="134133" customFormat="1" x14ac:dyDescent="0.25"/>
    <row r="134134" customFormat="1" x14ac:dyDescent="0.25"/>
    <row r="134135" customFormat="1" x14ac:dyDescent="0.25"/>
    <row r="134136" customFormat="1" x14ac:dyDescent="0.25"/>
    <row r="134137" customFormat="1" x14ac:dyDescent="0.25"/>
    <row r="134138" customFormat="1" x14ac:dyDescent="0.25"/>
    <row r="134139" customFormat="1" x14ac:dyDescent="0.25"/>
    <row r="134140" customFormat="1" x14ac:dyDescent="0.25"/>
    <row r="134141" customFormat="1" x14ac:dyDescent="0.25"/>
    <row r="134142" customFormat="1" x14ac:dyDescent="0.25"/>
    <row r="134143" customFormat="1" x14ac:dyDescent="0.25"/>
    <row r="134144" customFormat="1" x14ac:dyDescent="0.25"/>
    <row r="134145" customFormat="1" x14ac:dyDescent="0.25"/>
    <row r="134146" customFormat="1" x14ac:dyDescent="0.25"/>
    <row r="134147" customFormat="1" x14ac:dyDescent="0.25"/>
    <row r="134148" customFormat="1" x14ac:dyDescent="0.25"/>
    <row r="134149" customFormat="1" x14ac:dyDescent="0.25"/>
    <row r="134150" customFormat="1" x14ac:dyDescent="0.25"/>
    <row r="134151" customFormat="1" x14ac:dyDescent="0.25"/>
    <row r="134152" customFormat="1" x14ac:dyDescent="0.25"/>
    <row r="134153" customFormat="1" x14ac:dyDescent="0.25"/>
    <row r="134154" customFormat="1" x14ac:dyDescent="0.25"/>
    <row r="134155" customFormat="1" x14ac:dyDescent="0.25"/>
    <row r="134156" customFormat="1" x14ac:dyDescent="0.25"/>
    <row r="134157" customFormat="1" x14ac:dyDescent="0.25"/>
    <row r="134158" customFormat="1" x14ac:dyDescent="0.25"/>
    <row r="134159" customFormat="1" x14ac:dyDescent="0.25"/>
    <row r="134160" customFormat="1" x14ac:dyDescent="0.25"/>
    <row r="134161" customFormat="1" x14ac:dyDescent="0.25"/>
    <row r="134162" customFormat="1" x14ac:dyDescent="0.25"/>
    <row r="134163" customFormat="1" x14ac:dyDescent="0.25"/>
    <row r="134164" customFormat="1" x14ac:dyDescent="0.25"/>
    <row r="134165" customFormat="1" x14ac:dyDescent="0.25"/>
    <row r="134166" customFormat="1" x14ac:dyDescent="0.25"/>
    <row r="134167" customFormat="1" x14ac:dyDescent="0.25"/>
    <row r="134168" customFormat="1" x14ac:dyDescent="0.25"/>
    <row r="134169" customFormat="1" x14ac:dyDescent="0.25"/>
    <row r="134170" customFormat="1" x14ac:dyDescent="0.25"/>
    <row r="134171" customFormat="1" x14ac:dyDescent="0.25"/>
    <row r="134172" customFormat="1" x14ac:dyDescent="0.25"/>
    <row r="134173" customFormat="1" x14ac:dyDescent="0.25"/>
    <row r="134174" customFormat="1" x14ac:dyDescent="0.25"/>
    <row r="134175" customFormat="1" x14ac:dyDescent="0.25"/>
    <row r="134176" customFormat="1" x14ac:dyDescent="0.25"/>
    <row r="134177" customFormat="1" x14ac:dyDescent="0.25"/>
    <row r="134178" customFormat="1" x14ac:dyDescent="0.25"/>
    <row r="134179" customFormat="1" x14ac:dyDescent="0.25"/>
    <row r="134180" customFormat="1" x14ac:dyDescent="0.25"/>
    <row r="134181" customFormat="1" x14ac:dyDescent="0.25"/>
    <row r="134182" customFormat="1" x14ac:dyDescent="0.25"/>
    <row r="134183" customFormat="1" x14ac:dyDescent="0.25"/>
    <row r="134184" customFormat="1" x14ac:dyDescent="0.25"/>
    <row r="134185" customFormat="1" x14ac:dyDescent="0.25"/>
    <row r="134186" customFormat="1" x14ac:dyDescent="0.25"/>
    <row r="134187" customFormat="1" x14ac:dyDescent="0.25"/>
    <row r="134188" customFormat="1" x14ac:dyDescent="0.25"/>
    <row r="134189" customFormat="1" x14ac:dyDescent="0.25"/>
    <row r="134190" customFormat="1" x14ac:dyDescent="0.25"/>
    <row r="134191" customFormat="1" x14ac:dyDescent="0.25"/>
    <row r="134192" customFormat="1" x14ac:dyDescent="0.25"/>
    <row r="134193" customFormat="1" x14ac:dyDescent="0.25"/>
    <row r="134194" customFormat="1" x14ac:dyDescent="0.25"/>
    <row r="134195" customFormat="1" x14ac:dyDescent="0.25"/>
    <row r="134196" customFormat="1" x14ac:dyDescent="0.25"/>
    <row r="134197" customFormat="1" x14ac:dyDescent="0.25"/>
    <row r="134198" customFormat="1" x14ac:dyDescent="0.25"/>
    <row r="134199" customFormat="1" x14ac:dyDescent="0.25"/>
    <row r="134200" customFormat="1" x14ac:dyDescent="0.25"/>
    <row r="134201" customFormat="1" x14ac:dyDescent="0.25"/>
    <row r="134202" customFormat="1" x14ac:dyDescent="0.25"/>
    <row r="134203" customFormat="1" x14ac:dyDescent="0.25"/>
    <row r="134204" customFormat="1" x14ac:dyDescent="0.25"/>
    <row r="134205" customFormat="1" x14ac:dyDescent="0.25"/>
    <row r="134206" customFormat="1" x14ac:dyDescent="0.25"/>
    <row r="134207" customFormat="1" x14ac:dyDescent="0.25"/>
    <row r="134208" customFormat="1" x14ac:dyDescent="0.25"/>
    <row r="134209" customFormat="1" x14ac:dyDescent="0.25"/>
    <row r="134210" customFormat="1" x14ac:dyDescent="0.25"/>
    <row r="134211" customFormat="1" x14ac:dyDescent="0.25"/>
    <row r="134212" customFormat="1" x14ac:dyDescent="0.25"/>
    <row r="134213" customFormat="1" x14ac:dyDescent="0.25"/>
    <row r="134214" customFormat="1" x14ac:dyDescent="0.25"/>
    <row r="134215" customFormat="1" x14ac:dyDescent="0.25"/>
    <row r="134216" customFormat="1" x14ac:dyDescent="0.25"/>
    <row r="134217" customFormat="1" x14ac:dyDescent="0.25"/>
    <row r="134218" customFormat="1" x14ac:dyDescent="0.25"/>
    <row r="134219" customFormat="1" x14ac:dyDescent="0.25"/>
    <row r="134220" customFormat="1" x14ac:dyDescent="0.25"/>
    <row r="134221" customFormat="1" x14ac:dyDescent="0.25"/>
    <row r="134222" customFormat="1" x14ac:dyDescent="0.25"/>
    <row r="134223" customFormat="1" x14ac:dyDescent="0.25"/>
    <row r="134224" customFormat="1" x14ac:dyDescent="0.25"/>
    <row r="134225" customFormat="1" x14ac:dyDescent="0.25"/>
    <row r="134226" customFormat="1" x14ac:dyDescent="0.25"/>
    <row r="134227" customFormat="1" x14ac:dyDescent="0.25"/>
    <row r="134228" customFormat="1" x14ac:dyDescent="0.25"/>
    <row r="134229" customFormat="1" x14ac:dyDescent="0.25"/>
    <row r="134230" customFormat="1" x14ac:dyDescent="0.25"/>
    <row r="134231" customFormat="1" x14ac:dyDescent="0.25"/>
    <row r="134232" customFormat="1" x14ac:dyDescent="0.25"/>
    <row r="134233" customFormat="1" x14ac:dyDescent="0.25"/>
    <row r="134234" customFormat="1" x14ac:dyDescent="0.25"/>
    <row r="134235" customFormat="1" x14ac:dyDescent="0.25"/>
    <row r="134236" customFormat="1" x14ac:dyDescent="0.25"/>
    <row r="134237" customFormat="1" x14ac:dyDescent="0.25"/>
    <row r="134238" customFormat="1" x14ac:dyDescent="0.25"/>
    <row r="134239" customFormat="1" x14ac:dyDescent="0.25"/>
    <row r="134240" customFormat="1" x14ac:dyDescent="0.25"/>
    <row r="134241" customFormat="1" x14ac:dyDescent="0.25"/>
    <row r="134242" customFormat="1" x14ac:dyDescent="0.25"/>
    <row r="134243" customFormat="1" x14ac:dyDescent="0.25"/>
    <row r="134244" customFormat="1" x14ac:dyDescent="0.25"/>
    <row r="134245" customFormat="1" x14ac:dyDescent="0.25"/>
    <row r="134246" customFormat="1" x14ac:dyDescent="0.25"/>
    <row r="134247" customFormat="1" x14ac:dyDescent="0.25"/>
    <row r="134248" customFormat="1" x14ac:dyDescent="0.25"/>
    <row r="134249" customFormat="1" x14ac:dyDescent="0.25"/>
    <row r="134250" customFormat="1" x14ac:dyDescent="0.25"/>
    <row r="134251" customFormat="1" x14ac:dyDescent="0.25"/>
    <row r="134252" customFormat="1" x14ac:dyDescent="0.25"/>
    <row r="134253" customFormat="1" x14ac:dyDescent="0.25"/>
    <row r="134254" customFormat="1" x14ac:dyDescent="0.25"/>
    <row r="134255" customFormat="1" x14ac:dyDescent="0.25"/>
    <row r="134256" customFormat="1" x14ac:dyDescent="0.25"/>
    <row r="134257" customFormat="1" x14ac:dyDescent="0.25"/>
    <row r="134258" customFormat="1" x14ac:dyDescent="0.25"/>
    <row r="134259" customFormat="1" x14ac:dyDescent="0.25"/>
    <row r="134260" customFormat="1" x14ac:dyDescent="0.25"/>
    <row r="134261" customFormat="1" x14ac:dyDescent="0.25"/>
    <row r="134262" customFormat="1" x14ac:dyDescent="0.25"/>
    <row r="134263" customFormat="1" x14ac:dyDescent="0.25"/>
    <row r="134264" customFormat="1" x14ac:dyDescent="0.25"/>
    <row r="134265" customFormat="1" x14ac:dyDescent="0.25"/>
    <row r="134266" customFormat="1" x14ac:dyDescent="0.25"/>
    <row r="134267" customFormat="1" x14ac:dyDescent="0.25"/>
    <row r="134268" customFormat="1" x14ac:dyDescent="0.25"/>
    <row r="134269" customFormat="1" x14ac:dyDescent="0.25"/>
    <row r="134270" customFormat="1" x14ac:dyDescent="0.25"/>
    <row r="134271" customFormat="1" x14ac:dyDescent="0.25"/>
    <row r="134272" customFormat="1" x14ac:dyDescent="0.25"/>
    <row r="134273" customFormat="1" x14ac:dyDescent="0.25"/>
    <row r="134274" customFormat="1" x14ac:dyDescent="0.25"/>
    <row r="134275" customFormat="1" x14ac:dyDescent="0.25"/>
    <row r="134276" customFormat="1" x14ac:dyDescent="0.25"/>
    <row r="134277" customFormat="1" x14ac:dyDescent="0.25"/>
    <row r="134278" customFormat="1" x14ac:dyDescent="0.25"/>
    <row r="134279" customFormat="1" x14ac:dyDescent="0.25"/>
    <row r="134280" customFormat="1" x14ac:dyDescent="0.25"/>
    <row r="134281" customFormat="1" x14ac:dyDescent="0.25"/>
    <row r="134282" customFormat="1" x14ac:dyDescent="0.25"/>
    <row r="134283" customFormat="1" x14ac:dyDescent="0.25"/>
    <row r="134284" customFormat="1" x14ac:dyDescent="0.25"/>
    <row r="134285" customFormat="1" x14ac:dyDescent="0.25"/>
    <row r="134286" customFormat="1" x14ac:dyDescent="0.25"/>
    <row r="134287" customFormat="1" x14ac:dyDescent="0.25"/>
    <row r="134288" customFormat="1" x14ac:dyDescent="0.25"/>
    <row r="134289" customFormat="1" x14ac:dyDescent="0.25"/>
    <row r="134290" customFormat="1" x14ac:dyDescent="0.25"/>
    <row r="134291" customFormat="1" x14ac:dyDescent="0.25"/>
    <row r="134292" customFormat="1" x14ac:dyDescent="0.25"/>
    <row r="134293" customFormat="1" x14ac:dyDescent="0.25"/>
    <row r="134294" customFormat="1" x14ac:dyDescent="0.25"/>
    <row r="134295" customFormat="1" x14ac:dyDescent="0.25"/>
    <row r="134296" customFormat="1" x14ac:dyDescent="0.25"/>
    <row r="134297" customFormat="1" x14ac:dyDescent="0.25"/>
    <row r="134298" customFormat="1" x14ac:dyDescent="0.25"/>
    <row r="134299" customFormat="1" x14ac:dyDescent="0.25"/>
    <row r="134300" customFormat="1" x14ac:dyDescent="0.25"/>
    <row r="134301" customFormat="1" x14ac:dyDescent="0.25"/>
    <row r="134302" customFormat="1" x14ac:dyDescent="0.25"/>
    <row r="134303" customFormat="1" x14ac:dyDescent="0.25"/>
    <row r="134304" customFormat="1" x14ac:dyDescent="0.25"/>
    <row r="134305" customFormat="1" x14ac:dyDescent="0.25"/>
    <row r="134306" customFormat="1" x14ac:dyDescent="0.25"/>
    <row r="134307" customFormat="1" x14ac:dyDescent="0.25"/>
    <row r="134308" customFormat="1" x14ac:dyDescent="0.25"/>
    <row r="134309" customFormat="1" x14ac:dyDescent="0.25"/>
    <row r="134310" customFormat="1" x14ac:dyDescent="0.25"/>
    <row r="134311" customFormat="1" x14ac:dyDescent="0.25"/>
    <row r="134312" customFormat="1" x14ac:dyDescent="0.25"/>
    <row r="134313" customFormat="1" x14ac:dyDescent="0.25"/>
    <row r="134314" customFormat="1" x14ac:dyDescent="0.25"/>
    <row r="134315" customFormat="1" x14ac:dyDescent="0.25"/>
    <row r="134316" customFormat="1" x14ac:dyDescent="0.25"/>
    <row r="134317" customFormat="1" x14ac:dyDescent="0.25"/>
    <row r="134318" customFormat="1" x14ac:dyDescent="0.25"/>
    <row r="134319" customFormat="1" x14ac:dyDescent="0.25"/>
    <row r="134320" customFormat="1" x14ac:dyDescent="0.25"/>
    <row r="134321" customFormat="1" x14ac:dyDescent="0.25"/>
    <row r="134322" customFormat="1" x14ac:dyDescent="0.25"/>
    <row r="134323" customFormat="1" x14ac:dyDescent="0.25"/>
    <row r="134324" customFormat="1" x14ac:dyDescent="0.25"/>
    <row r="134325" customFormat="1" x14ac:dyDescent="0.25"/>
    <row r="134326" customFormat="1" x14ac:dyDescent="0.25"/>
    <row r="134327" customFormat="1" x14ac:dyDescent="0.25"/>
    <row r="134328" customFormat="1" x14ac:dyDescent="0.25"/>
    <row r="134329" customFormat="1" x14ac:dyDescent="0.25"/>
    <row r="134330" customFormat="1" x14ac:dyDescent="0.25"/>
    <row r="134331" customFormat="1" x14ac:dyDescent="0.25"/>
    <row r="134332" customFormat="1" x14ac:dyDescent="0.25"/>
    <row r="134333" customFormat="1" x14ac:dyDescent="0.25"/>
    <row r="134334" customFormat="1" x14ac:dyDescent="0.25"/>
    <row r="134335" customFormat="1" x14ac:dyDescent="0.25"/>
    <row r="134336" customFormat="1" x14ac:dyDescent="0.25"/>
    <row r="134337" customFormat="1" x14ac:dyDescent="0.25"/>
    <row r="134338" customFormat="1" x14ac:dyDescent="0.25"/>
    <row r="134339" customFormat="1" x14ac:dyDescent="0.25"/>
    <row r="134340" customFormat="1" x14ac:dyDescent="0.25"/>
    <row r="134341" customFormat="1" x14ac:dyDescent="0.25"/>
    <row r="134342" customFormat="1" x14ac:dyDescent="0.25"/>
    <row r="134343" customFormat="1" x14ac:dyDescent="0.25"/>
    <row r="134344" customFormat="1" x14ac:dyDescent="0.25"/>
    <row r="134345" customFormat="1" x14ac:dyDescent="0.25"/>
    <row r="134346" customFormat="1" x14ac:dyDescent="0.25"/>
    <row r="134347" customFormat="1" x14ac:dyDescent="0.25"/>
    <row r="134348" customFormat="1" x14ac:dyDescent="0.25"/>
    <row r="134349" customFormat="1" x14ac:dyDescent="0.25"/>
    <row r="134350" customFormat="1" x14ac:dyDescent="0.25"/>
    <row r="134351" customFormat="1" x14ac:dyDescent="0.25"/>
    <row r="134352" customFormat="1" x14ac:dyDescent="0.25"/>
    <row r="134353" customFormat="1" x14ac:dyDescent="0.25"/>
    <row r="134354" customFormat="1" x14ac:dyDescent="0.25"/>
    <row r="134355" customFormat="1" x14ac:dyDescent="0.25"/>
    <row r="134356" customFormat="1" x14ac:dyDescent="0.25"/>
    <row r="134357" customFormat="1" x14ac:dyDescent="0.25"/>
    <row r="134358" customFormat="1" x14ac:dyDescent="0.25"/>
    <row r="134359" customFormat="1" x14ac:dyDescent="0.25"/>
    <row r="134360" customFormat="1" x14ac:dyDescent="0.25"/>
    <row r="134361" customFormat="1" x14ac:dyDescent="0.25"/>
    <row r="134362" customFormat="1" x14ac:dyDescent="0.25"/>
    <row r="134363" customFormat="1" x14ac:dyDescent="0.25"/>
    <row r="134364" customFormat="1" x14ac:dyDescent="0.25"/>
    <row r="134365" customFormat="1" x14ac:dyDescent="0.25"/>
    <row r="134366" customFormat="1" x14ac:dyDescent="0.25"/>
    <row r="134367" customFormat="1" x14ac:dyDescent="0.25"/>
    <row r="134368" customFormat="1" x14ac:dyDescent="0.25"/>
    <row r="134369" customFormat="1" x14ac:dyDescent="0.25"/>
    <row r="134370" customFormat="1" x14ac:dyDescent="0.25"/>
    <row r="134371" customFormat="1" x14ac:dyDescent="0.25"/>
    <row r="134372" customFormat="1" x14ac:dyDescent="0.25"/>
    <row r="134373" customFormat="1" x14ac:dyDescent="0.25"/>
    <row r="134374" customFormat="1" x14ac:dyDescent="0.25"/>
    <row r="134375" customFormat="1" x14ac:dyDescent="0.25"/>
    <row r="134376" customFormat="1" x14ac:dyDescent="0.25"/>
    <row r="134377" customFormat="1" x14ac:dyDescent="0.25"/>
    <row r="134378" customFormat="1" x14ac:dyDescent="0.25"/>
    <row r="134379" customFormat="1" x14ac:dyDescent="0.25"/>
    <row r="134380" customFormat="1" x14ac:dyDescent="0.25"/>
    <row r="134381" customFormat="1" x14ac:dyDescent="0.25"/>
    <row r="134382" customFormat="1" x14ac:dyDescent="0.25"/>
    <row r="134383" customFormat="1" x14ac:dyDescent="0.25"/>
    <row r="134384" customFormat="1" x14ac:dyDescent="0.25"/>
    <row r="134385" customFormat="1" x14ac:dyDescent="0.25"/>
    <row r="134386" customFormat="1" x14ac:dyDescent="0.25"/>
    <row r="134387" customFormat="1" x14ac:dyDescent="0.25"/>
    <row r="134388" customFormat="1" x14ac:dyDescent="0.25"/>
    <row r="134389" customFormat="1" x14ac:dyDescent="0.25"/>
    <row r="134390" customFormat="1" x14ac:dyDescent="0.25"/>
    <row r="134391" customFormat="1" x14ac:dyDescent="0.25"/>
    <row r="134392" customFormat="1" x14ac:dyDescent="0.25"/>
    <row r="134393" customFormat="1" x14ac:dyDescent="0.25"/>
    <row r="134394" customFormat="1" x14ac:dyDescent="0.25"/>
    <row r="134395" customFormat="1" x14ac:dyDescent="0.25"/>
    <row r="134396" customFormat="1" x14ac:dyDescent="0.25"/>
    <row r="134397" customFormat="1" x14ac:dyDescent="0.25"/>
    <row r="134398" customFormat="1" x14ac:dyDescent="0.25"/>
    <row r="134399" customFormat="1" x14ac:dyDescent="0.25"/>
    <row r="134400" customFormat="1" x14ac:dyDescent="0.25"/>
    <row r="134401" customFormat="1" x14ac:dyDescent="0.25"/>
    <row r="134402" customFormat="1" x14ac:dyDescent="0.25"/>
    <row r="134403" customFormat="1" x14ac:dyDescent="0.25"/>
    <row r="134404" customFormat="1" x14ac:dyDescent="0.25"/>
    <row r="134405" customFormat="1" x14ac:dyDescent="0.25"/>
    <row r="134406" customFormat="1" x14ac:dyDescent="0.25"/>
    <row r="134407" customFormat="1" x14ac:dyDescent="0.25"/>
    <row r="134408" customFormat="1" x14ac:dyDescent="0.25"/>
    <row r="134409" customFormat="1" x14ac:dyDescent="0.25"/>
    <row r="134410" customFormat="1" x14ac:dyDescent="0.25"/>
    <row r="134411" customFormat="1" x14ac:dyDescent="0.25"/>
    <row r="134412" customFormat="1" x14ac:dyDescent="0.25"/>
    <row r="134413" customFormat="1" x14ac:dyDescent="0.25"/>
    <row r="134414" customFormat="1" x14ac:dyDescent="0.25"/>
    <row r="134415" customFormat="1" x14ac:dyDescent="0.25"/>
    <row r="134416" customFormat="1" x14ac:dyDescent="0.25"/>
    <row r="134417" customFormat="1" x14ac:dyDescent="0.25"/>
    <row r="134418" customFormat="1" x14ac:dyDescent="0.25"/>
    <row r="134419" customFormat="1" x14ac:dyDescent="0.25"/>
    <row r="134420" customFormat="1" x14ac:dyDescent="0.25"/>
    <row r="134421" customFormat="1" x14ac:dyDescent="0.25"/>
    <row r="134422" customFormat="1" x14ac:dyDescent="0.25"/>
    <row r="134423" customFormat="1" x14ac:dyDescent="0.25"/>
    <row r="134424" customFormat="1" x14ac:dyDescent="0.25"/>
    <row r="134425" customFormat="1" x14ac:dyDescent="0.25"/>
    <row r="134426" customFormat="1" x14ac:dyDescent="0.25"/>
    <row r="134427" customFormat="1" x14ac:dyDescent="0.25"/>
    <row r="134428" customFormat="1" x14ac:dyDescent="0.25"/>
    <row r="134429" customFormat="1" x14ac:dyDescent="0.25"/>
    <row r="134430" customFormat="1" x14ac:dyDescent="0.25"/>
    <row r="134431" customFormat="1" x14ac:dyDescent="0.25"/>
    <row r="134432" customFormat="1" x14ac:dyDescent="0.25"/>
    <row r="134433" customFormat="1" x14ac:dyDescent="0.25"/>
    <row r="134434" customFormat="1" x14ac:dyDescent="0.25"/>
    <row r="134435" customFormat="1" x14ac:dyDescent="0.25"/>
    <row r="134436" customFormat="1" x14ac:dyDescent="0.25"/>
    <row r="134437" customFormat="1" x14ac:dyDescent="0.25"/>
    <row r="134438" customFormat="1" x14ac:dyDescent="0.25"/>
    <row r="134439" customFormat="1" x14ac:dyDescent="0.25"/>
    <row r="134440" customFormat="1" x14ac:dyDescent="0.25"/>
    <row r="134441" customFormat="1" x14ac:dyDescent="0.25"/>
    <row r="134442" customFormat="1" x14ac:dyDescent="0.25"/>
    <row r="134443" customFormat="1" x14ac:dyDescent="0.25"/>
    <row r="134444" customFormat="1" x14ac:dyDescent="0.25"/>
    <row r="134445" customFormat="1" x14ac:dyDescent="0.25"/>
    <row r="134446" customFormat="1" x14ac:dyDescent="0.25"/>
    <row r="134447" customFormat="1" x14ac:dyDescent="0.25"/>
    <row r="134448" customFormat="1" x14ac:dyDescent="0.25"/>
    <row r="134449" customFormat="1" x14ac:dyDescent="0.25"/>
    <row r="134450" customFormat="1" x14ac:dyDescent="0.25"/>
    <row r="134451" customFormat="1" x14ac:dyDescent="0.25"/>
    <row r="134452" customFormat="1" x14ac:dyDescent="0.25"/>
    <row r="134453" customFormat="1" x14ac:dyDescent="0.25"/>
    <row r="134454" customFormat="1" x14ac:dyDescent="0.25"/>
    <row r="134455" customFormat="1" x14ac:dyDescent="0.25"/>
    <row r="134456" customFormat="1" x14ac:dyDescent="0.25"/>
    <row r="134457" customFormat="1" x14ac:dyDescent="0.25"/>
    <row r="134458" customFormat="1" x14ac:dyDescent="0.25"/>
    <row r="134459" customFormat="1" x14ac:dyDescent="0.25"/>
    <row r="134460" customFormat="1" x14ac:dyDescent="0.25"/>
    <row r="134461" customFormat="1" x14ac:dyDescent="0.25"/>
    <row r="134462" customFormat="1" x14ac:dyDescent="0.25"/>
    <row r="134463" customFormat="1" x14ac:dyDescent="0.25"/>
    <row r="134464" customFormat="1" x14ac:dyDescent="0.25"/>
    <row r="134465" customFormat="1" x14ac:dyDescent="0.25"/>
    <row r="134466" customFormat="1" x14ac:dyDescent="0.25"/>
    <row r="134467" customFormat="1" x14ac:dyDescent="0.25"/>
    <row r="134468" customFormat="1" x14ac:dyDescent="0.25"/>
    <row r="134469" customFormat="1" x14ac:dyDescent="0.25"/>
    <row r="134470" customFormat="1" x14ac:dyDescent="0.25"/>
    <row r="134471" customFormat="1" x14ac:dyDescent="0.25"/>
    <row r="134472" customFormat="1" x14ac:dyDescent="0.25"/>
    <row r="134473" customFormat="1" x14ac:dyDescent="0.25"/>
    <row r="134474" customFormat="1" x14ac:dyDescent="0.25"/>
    <row r="134475" customFormat="1" x14ac:dyDescent="0.25"/>
    <row r="134476" customFormat="1" x14ac:dyDescent="0.25"/>
    <row r="134477" customFormat="1" x14ac:dyDescent="0.25"/>
    <row r="134478" customFormat="1" x14ac:dyDescent="0.25"/>
    <row r="134479" customFormat="1" x14ac:dyDescent="0.25"/>
    <row r="134480" customFormat="1" x14ac:dyDescent="0.25"/>
    <row r="134481" customFormat="1" x14ac:dyDescent="0.25"/>
    <row r="134482" customFormat="1" x14ac:dyDescent="0.25"/>
    <row r="134483" customFormat="1" x14ac:dyDescent="0.25"/>
    <row r="134484" customFormat="1" x14ac:dyDescent="0.25"/>
    <row r="134485" customFormat="1" x14ac:dyDescent="0.25"/>
    <row r="134486" customFormat="1" x14ac:dyDescent="0.25"/>
    <row r="134487" customFormat="1" x14ac:dyDescent="0.25"/>
    <row r="134488" customFormat="1" x14ac:dyDescent="0.25"/>
    <row r="134489" customFormat="1" x14ac:dyDescent="0.25"/>
    <row r="134490" customFormat="1" x14ac:dyDescent="0.25"/>
    <row r="134491" customFormat="1" x14ac:dyDescent="0.25"/>
    <row r="134492" customFormat="1" x14ac:dyDescent="0.25"/>
    <row r="134493" customFormat="1" x14ac:dyDescent="0.25"/>
    <row r="134494" customFormat="1" x14ac:dyDescent="0.25"/>
    <row r="134495" customFormat="1" x14ac:dyDescent="0.25"/>
    <row r="134496" customFormat="1" x14ac:dyDescent="0.25"/>
    <row r="134497" customFormat="1" x14ac:dyDescent="0.25"/>
    <row r="134498" customFormat="1" x14ac:dyDescent="0.25"/>
    <row r="134499" customFormat="1" x14ac:dyDescent="0.25"/>
    <row r="134500" customFormat="1" x14ac:dyDescent="0.25"/>
    <row r="134501" customFormat="1" x14ac:dyDescent="0.25"/>
    <row r="134502" customFormat="1" x14ac:dyDescent="0.25"/>
    <row r="134503" customFormat="1" x14ac:dyDescent="0.25"/>
    <row r="134504" customFormat="1" x14ac:dyDescent="0.25"/>
    <row r="134505" customFormat="1" x14ac:dyDescent="0.25"/>
    <row r="134506" customFormat="1" x14ac:dyDescent="0.25"/>
    <row r="134507" customFormat="1" x14ac:dyDescent="0.25"/>
    <row r="134508" customFormat="1" x14ac:dyDescent="0.25"/>
    <row r="134509" customFormat="1" x14ac:dyDescent="0.25"/>
    <row r="134510" customFormat="1" x14ac:dyDescent="0.25"/>
    <row r="134511" customFormat="1" x14ac:dyDescent="0.25"/>
    <row r="134512" customFormat="1" x14ac:dyDescent="0.25"/>
    <row r="134513" customFormat="1" x14ac:dyDescent="0.25"/>
    <row r="134514" customFormat="1" x14ac:dyDescent="0.25"/>
    <row r="134515" customFormat="1" x14ac:dyDescent="0.25"/>
    <row r="134516" customFormat="1" x14ac:dyDescent="0.25"/>
    <row r="134517" customFormat="1" x14ac:dyDescent="0.25"/>
    <row r="134518" customFormat="1" x14ac:dyDescent="0.25"/>
    <row r="134519" customFormat="1" x14ac:dyDescent="0.25"/>
    <row r="134520" customFormat="1" x14ac:dyDescent="0.25"/>
    <row r="134521" customFormat="1" x14ac:dyDescent="0.25"/>
    <row r="134522" customFormat="1" x14ac:dyDescent="0.25"/>
    <row r="134523" customFormat="1" x14ac:dyDescent="0.25"/>
    <row r="134524" customFormat="1" x14ac:dyDescent="0.25"/>
    <row r="134525" customFormat="1" x14ac:dyDescent="0.25"/>
    <row r="134526" customFormat="1" x14ac:dyDescent="0.25"/>
    <row r="134527" customFormat="1" x14ac:dyDescent="0.25"/>
    <row r="134528" customFormat="1" x14ac:dyDescent="0.25"/>
    <row r="134529" customFormat="1" x14ac:dyDescent="0.25"/>
    <row r="134530" customFormat="1" x14ac:dyDescent="0.25"/>
    <row r="134531" customFormat="1" x14ac:dyDescent="0.25"/>
    <row r="134532" customFormat="1" x14ac:dyDescent="0.25"/>
    <row r="134533" customFormat="1" x14ac:dyDescent="0.25"/>
    <row r="134534" customFormat="1" x14ac:dyDescent="0.25"/>
    <row r="134535" customFormat="1" x14ac:dyDescent="0.25"/>
    <row r="134536" customFormat="1" x14ac:dyDescent="0.25"/>
    <row r="134537" customFormat="1" x14ac:dyDescent="0.25"/>
    <row r="134538" customFormat="1" x14ac:dyDescent="0.25"/>
    <row r="134539" customFormat="1" x14ac:dyDescent="0.25"/>
    <row r="134540" customFormat="1" x14ac:dyDescent="0.25"/>
    <row r="134541" customFormat="1" x14ac:dyDescent="0.25"/>
    <row r="134542" customFormat="1" x14ac:dyDescent="0.25"/>
    <row r="134543" customFormat="1" x14ac:dyDescent="0.25"/>
    <row r="134544" customFormat="1" x14ac:dyDescent="0.25"/>
    <row r="134545" customFormat="1" x14ac:dyDescent="0.25"/>
    <row r="134546" customFormat="1" x14ac:dyDescent="0.25"/>
    <row r="134547" customFormat="1" x14ac:dyDescent="0.25"/>
    <row r="134548" customFormat="1" x14ac:dyDescent="0.25"/>
    <row r="134549" customFormat="1" x14ac:dyDescent="0.25"/>
    <row r="134550" customFormat="1" x14ac:dyDescent="0.25"/>
    <row r="134551" customFormat="1" x14ac:dyDescent="0.25"/>
    <row r="134552" customFormat="1" x14ac:dyDescent="0.25"/>
    <row r="134553" customFormat="1" x14ac:dyDescent="0.25"/>
    <row r="134554" customFormat="1" x14ac:dyDescent="0.25"/>
    <row r="134555" customFormat="1" x14ac:dyDescent="0.25"/>
    <row r="134556" customFormat="1" x14ac:dyDescent="0.25"/>
    <row r="134557" customFormat="1" x14ac:dyDescent="0.25"/>
    <row r="134558" customFormat="1" x14ac:dyDescent="0.25"/>
    <row r="134559" customFormat="1" x14ac:dyDescent="0.25"/>
    <row r="134560" customFormat="1" x14ac:dyDescent="0.25"/>
    <row r="134561" customFormat="1" x14ac:dyDescent="0.25"/>
    <row r="134562" customFormat="1" x14ac:dyDescent="0.25"/>
    <row r="134563" customFormat="1" x14ac:dyDescent="0.25"/>
    <row r="134564" customFormat="1" x14ac:dyDescent="0.25"/>
    <row r="134565" customFormat="1" x14ac:dyDescent="0.25"/>
    <row r="134566" customFormat="1" x14ac:dyDescent="0.25"/>
    <row r="134567" customFormat="1" x14ac:dyDescent="0.25"/>
    <row r="134568" customFormat="1" x14ac:dyDescent="0.25"/>
    <row r="134569" customFormat="1" x14ac:dyDescent="0.25"/>
    <row r="134570" customFormat="1" x14ac:dyDescent="0.25"/>
    <row r="134571" customFormat="1" x14ac:dyDescent="0.25"/>
    <row r="134572" customFormat="1" x14ac:dyDescent="0.25"/>
    <row r="134573" customFormat="1" x14ac:dyDescent="0.25"/>
    <row r="134574" customFormat="1" x14ac:dyDescent="0.25"/>
    <row r="134575" customFormat="1" x14ac:dyDescent="0.25"/>
    <row r="134576" customFormat="1" x14ac:dyDescent="0.25"/>
    <row r="134577" customFormat="1" x14ac:dyDescent="0.25"/>
    <row r="134578" customFormat="1" x14ac:dyDescent="0.25"/>
    <row r="134579" customFormat="1" x14ac:dyDescent="0.25"/>
    <row r="134580" customFormat="1" x14ac:dyDescent="0.25"/>
    <row r="134581" customFormat="1" x14ac:dyDescent="0.25"/>
    <row r="134582" customFormat="1" x14ac:dyDescent="0.25"/>
    <row r="134583" customFormat="1" x14ac:dyDescent="0.25"/>
    <row r="134584" customFormat="1" x14ac:dyDescent="0.25"/>
    <row r="134585" customFormat="1" x14ac:dyDescent="0.25"/>
    <row r="134586" customFormat="1" x14ac:dyDescent="0.25"/>
    <row r="134587" customFormat="1" x14ac:dyDescent="0.25"/>
    <row r="134588" customFormat="1" x14ac:dyDescent="0.25"/>
    <row r="134589" customFormat="1" x14ac:dyDescent="0.25"/>
    <row r="134590" customFormat="1" x14ac:dyDescent="0.25"/>
    <row r="134591" customFormat="1" x14ac:dyDescent="0.25"/>
    <row r="134592" customFormat="1" x14ac:dyDescent="0.25"/>
    <row r="134593" customFormat="1" x14ac:dyDescent="0.25"/>
    <row r="134594" customFormat="1" x14ac:dyDescent="0.25"/>
    <row r="134595" customFormat="1" x14ac:dyDescent="0.25"/>
    <row r="134596" customFormat="1" x14ac:dyDescent="0.25"/>
    <row r="134597" customFormat="1" x14ac:dyDescent="0.25"/>
    <row r="134598" customFormat="1" x14ac:dyDescent="0.25"/>
    <row r="134599" customFormat="1" x14ac:dyDescent="0.25"/>
    <row r="134600" customFormat="1" x14ac:dyDescent="0.25"/>
    <row r="134601" customFormat="1" x14ac:dyDescent="0.25"/>
    <row r="134602" customFormat="1" x14ac:dyDescent="0.25"/>
    <row r="134603" customFormat="1" x14ac:dyDescent="0.25"/>
    <row r="134604" customFormat="1" x14ac:dyDescent="0.25"/>
    <row r="134605" customFormat="1" x14ac:dyDescent="0.25"/>
    <row r="134606" customFormat="1" x14ac:dyDescent="0.25"/>
    <row r="134607" customFormat="1" x14ac:dyDescent="0.25"/>
    <row r="134608" customFormat="1" x14ac:dyDescent="0.25"/>
    <row r="134609" customFormat="1" x14ac:dyDescent="0.25"/>
    <row r="134610" customFormat="1" x14ac:dyDescent="0.25"/>
    <row r="134611" customFormat="1" x14ac:dyDescent="0.25"/>
    <row r="134612" customFormat="1" x14ac:dyDescent="0.25"/>
    <row r="134613" customFormat="1" x14ac:dyDescent="0.25"/>
    <row r="134614" customFormat="1" x14ac:dyDescent="0.25"/>
    <row r="134615" customFormat="1" x14ac:dyDescent="0.25"/>
    <row r="134616" customFormat="1" x14ac:dyDescent="0.25"/>
    <row r="134617" customFormat="1" x14ac:dyDescent="0.25"/>
    <row r="134618" customFormat="1" x14ac:dyDescent="0.25"/>
    <row r="134619" customFormat="1" x14ac:dyDescent="0.25"/>
    <row r="134620" customFormat="1" x14ac:dyDescent="0.25"/>
    <row r="134621" customFormat="1" x14ac:dyDescent="0.25"/>
    <row r="134622" customFormat="1" x14ac:dyDescent="0.25"/>
    <row r="134623" customFormat="1" x14ac:dyDescent="0.25"/>
    <row r="134624" customFormat="1" x14ac:dyDescent="0.25"/>
    <row r="134625" customFormat="1" x14ac:dyDescent="0.25"/>
    <row r="134626" customFormat="1" x14ac:dyDescent="0.25"/>
    <row r="134627" customFormat="1" x14ac:dyDescent="0.25"/>
    <row r="134628" customFormat="1" x14ac:dyDescent="0.25"/>
    <row r="134629" customFormat="1" x14ac:dyDescent="0.25"/>
    <row r="134630" customFormat="1" x14ac:dyDescent="0.25"/>
    <row r="134631" customFormat="1" x14ac:dyDescent="0.25"/>
    <row r="134632" customFormat="1" x14ac:dyDescent="0.25"/>
    <row r="134633" customFormat="1" x14ac:dyDescent="0.25"/>
    <row r="134634" customFormat="1" x14ac:dyDescent="0.25"/>
    <row r="134635" customFormat="1" x14ac:dyDescent="0.25"/>
    <row r="134636" customFormat="1" x14ac:dyDescent="0.25"/>
    <row r="134637" customFormat="1" x14ac:dyDescent="0.25"/>
    <row r="134638" customFormat="1" x14ac:dyDescent="0.25"/>
    <row r="134639" customFormat="1" x14ac:dyDescent="0.25"/>
    <row r="134640" customFormat="1" x14ac:dyDescent="0.25"/>
    <row r="134641" customFormat="1" x14ac:dyDescent="0.25"/>
    <row r="134642" customFormat="1" x14ac:dyDescent="0.25"/>
    <row r="134643" customFormat="1" x14ac:dyDescent="0.25"/>
    <row r="134644" customFormat="1" x14ac:dyDescent="0.25"/>
    <row r="134645" customFormat="1" x14ac:dyDescent="0.25"/>
    <row r="134646" customFormat="1" x14ac:dyDescent="0.25"/>
    <row r="134647" customFormat="1" x14ac:dyDescent="0.25"/>
    <row r="134648" customFormat="1" x14ac:dyDescent="0.25"/>
    <row r="134649" customFormat="1" x14ac:dyDescent="0.25"/>
    <row r="134650" customFormat="1" x14ac:dyDescent="0.25"/>
    <row r="134651" customFormat="1" x14ac:dyDescent="0.25"/>
    <row r="134652" customFormat="1" x14ac:dyDescent="0.25"/>
    <row r="134653" customFormat="1" x14ac:dyDescent="0.25"/>
    <row r="134654" customFormat="1" x14ac:dyDescent="0.25"/>
    <row r="134655" customFormat="1" x14ac:dyDescent="0.25"/>
    <row r="134656" customFormat="1" x14ac:dyDescent="0.25"/>
    <row r="134657" customFormat="1" x14ac:dyDescent="0.25"/>
    <row r="134658" customFormat="1" x14ac:dyDescent="0.25"/>
    <row r="134659" customFormat="1" x14ac:dyDescent="0.25"/>
    <row r="134660" customFormat="1" x14ac:dyDescent="0.25"/>
    <row r="134661" customFormat="1" x14ac:dyDescent="0.25"/>
    <row r="134662" customFormat="1" x14ac:dyDescent="0.25"/>
    <row r="134663" customFormat="1" x14ac:dyDescent="0.25"/>
    <row r="134664" customFormat="1" x14ac:dyDescent="0.25"/>
    <row r="134665" customFormat="1" x14ac:dyDescent="0.25"/>
    <row r="134666" customFormat="1" x14ac:dyDescent="0.25"/>
    <row r="134667" customFormat="1" x14ac:dyDescent="0.25"/>
    <row r="134668" customFormat="1" x14ac:dyDescent="0.25"/>
    <row r="134669" customFormat="1" x14ac:dyDescent="0.25"/>
    <row r="134670" customFormat="1" x14ac:dyDescent="0.25"/>
    <row r="134671" customFormat="1" x14ac:dyDescent="0.25"/>
    <row r="134672" customFormat="1" x14ac:dyDescent="0.25"/>
    <row r="134673" customFormat="1" x14ac:dyDescent="0.25"/>
    <row r="134674" customFormat="1" x14ac:dyDescent="0.25"/>
    <row r="134675" customFormat="1" x14ac:dyDescent="0.25"/>
    <row r="134676" customFormat="1" x14ac:dyDescent="0.25"/>
    <row r="134677" customFormat="1" x14ac:dyDescent="0.25"/>
    <row r="134678" customFormat="1" x14ac:dyDescent="0.25"/>
    <row r="134679" customFormat="1" x14ac:dyDescent="0.25"/>
    <row r="134680" customFormat="1" x14ac:dyDescent="0.25"/>
    <row r="134681" customFormat="1" x14ac:dyDescent="0.25"/>
    <row r="134682" customFormat="1" x14ac:dyDescent="0.25"/>
    <row r="134683" customFormat="1" x14ac:dyDescent="0.25"/>
    <row r="134684" customFormat="1" x14ac:dyDescent="0.25"/>
    <row r="134685" customFormat="1" x14ac:dyDescent="0.25"/>
    <row r="134686" customFormat="1" x14ac:dyDescent="0.25"/>
    <row r="134687" customFormat="1" x14ac:dyDescent="0.25"/>
    <row r="134688" customFormat="1" x14ac:dyDescent="0.25"/>
    <row r="134689" customFormat="1" x14ac:dyDescent="0.25"/>
    <row r="134690" customFormat="1" x14ac:dyDescent="0.25"/>
    <row r="134691" customFormat="1" x14ac:dyDescent="0.25"/>
    <row r="134692" customFormat="1" x14ac:dyDescent="0.25"/>
    <row r="134693" customFormat="1" x14ac:dyDescent="0.25"/>
    <row r="134694" customFormat="1" x14ac:dyDescent="0.25"/>
    <row r="134695" customFormat="1" x14ac:dyDescent="0.25"/>
    <row r="134696" customFormat="1" x14ac:dyDescent="0.25"/>
    <row r="134697" customFormat="1" x14ac:dyDescent="0.25"/>
    <row r="134698" customFormat="1" x14ac:dyDescent="0.25"/>
    <row r="134699" customFormat="1" x14ac:dyDescent="0.25"/>
    <row r="134700" customFormat="1" x14ac:dyDescent="0.25"/>
    <row r="134701" customFormat="1" x14ac:dyDescent="0.25"/>
    <row r="134702" customFormat="1" x14ac:dyDescent="0.25"/>
    <row r="134703" customFormat="1" x14ac:dyDescent="0.25"/>
    <row r="134704" customFormat="1" x14ac:dyDescent="0.25"/>
    <row r="134705" customFormat="1" x14ac:dyDescent="0.25"/>
    <row r="134706" customFormat="1" x14ac:dyDescent="0.25"/>
    <row r="134707" customFormat="1" x14ac:dyDescent="0.25"/>
    <row r="134708" customFormat="1" x14ac:dyDescent="0.25"/>
    <row r="134709" customFormat="1" x14ac:dyDescent="0.25"/>
    <row r="134710" customFormat="1" x14ac:dyDescent="0.25"/>
    <row r="134711" customFormat="1" x14ac:dyDescent="0.25"/>
    <row r="134712" customFormat="1" x14ac:dyDescent="0.25"/>
    <row r="134713" customFormat="1" x14ac:dyDescent="0.25"/>
    <row r="134714" customFormat="1" x14ac:dyDescent="0.25"/>
    <row r="134715" customFormat="1" x14ac:dyDescent="0.25"/>
    <row r="134716" customFormat="1" x14ac:dyDescent="0.25"/>
    <row r="134717" customFormat="1" x14ac:dyDescent="0.25"/>
    <row r="134718" customFormat="1" x14ac:dyDescent="0.25"/>
    <row r="134719" customFormat="1" x14ac:dyDescent="0.25"/>
    <row r="134720" customFormat="1" x14ac:dyDescent="0.25"/>
    <row r="134721" customFormat="1" x14ac:dyDescent="0.25"/>
    <row r="134722" customFormat="1" x14ac:dyDescent="0.25"/>
    <row r="134723" customFormat="1" x14ac:dyDescent="0.25"/>
    <row r="134724" customFormat="1" x14ac:dyDescent="0.25"/>
    <row r="134725" customFormat="1" x14ac:dyDescent="0.25"/>
    <row r="134726" customFormat="1" x14ac:dyDescent="0.25"/>
    <row r="134727" customFormat="1" x14ac:dyDescent="0.25"/>
    <row r="134728" customFormat="1" x14ac:dyDescent="0.25"/>
    <row r="134729" customFormat="1" x14ac:dyDescent="0.25"/>
    <row r="134730" customFormat="1" x14ac:dyDescent="0.25"/>
    <row r="134731" customFormat="1" x14ac:dyDescent="0.25"/>
    <row r="134732" customFormat="1" x14ac:dyDescent="0.25"/>
    <row r="134733" customFormat="1" x14ac:dyDescent="0.25"/>
    <row r="134734" customFormat="1" x14ac:dyDescent="0.25"/>
    <row r="134735" customFormat="1" x14ac:dyDescent="0.25"/>
    <row r="134736" customFormat="1" x14ac:dyDescent="0.25"/>
    <row r="134737" customFormat="1" x14ac:dyDescent="0.25"/>
    <row r="134738" customFormat="1" x14ac:dyDescent="0.25"/>
    <row r="134739" customFormat="1" x14ac:dyDescent="0.25"/>
    <row r="134740" customFormat="1" x14ac:dyDescent="0.25"/>
    <row r="134741" customFormat="1" x14ac:dyDescent="0.25"/>
    <row r="134742" customFormat="1" x14ac:dyDescent="0.25"/>
    <row r="134743" customFormat="1" x14ac:dyDescent="0.25"/>
    <row r="134744" customFormat="1" x14ac:dyDescent="0.25"/>
    <row r="134745" customFormat="1" x14ac:dyDescent="0.25"/>
    <row r="134746" customFormat="1" x14ac:dyDescent="0.25"/>
    <row r="134747" customFormat="1" x14ac:dyDescent="0.25"/>
    <row r="134748" customFormat="1" x14ac:dyDescent="0.25"/>
    <row r="134749" customFormat="1" x14ac:dyDescent="0.25"/>
    <row r="134750" customFormat="1" x14ac:dyDescent="0.25"/>
    <row r="134751" customFormat="1" x14ac:dyDescent="0.25"/>
    <row r="134752" customFormat="1" x14ac:dyDescent="0.25"/>
    <row r="134753" customFormat="1" x14ac:dyDescent="0.25"/>
    <row r="134754" customFormat="1" x14ac:dyDescent="0.25"/>
    <row r="134755" customFormat="1" x14ac:dyDescent="0.25"/>
    <row r="134756" customFormat="1" x14ac:dyDescent="0.25"/>
    <row r="134757" customFormat="1" x14ac:dyDescent="0.25"/>
    <row r="134758" customFormat="1" x14ac:dyDescent="0.25"/>
    <row r="134759" customFormat="1" x14ac:dyDescent="0.25"/>
    <row r="134760" customFormat="1" x14ac:dyDescent="0.25"/>
    <row r="134761" customFormat="1" x14ac:dyDescent="0.25"/>
    <row r="134762" customFormat="1" x14ac:dyDescent="0.25"/>
    <row r="134763" customFormat="1" x14ac:dyDescent="0.25"/>
    <row r="134764" customFormat="1" x14ac:dyDescent="0.25"/>
    <row r="134765" customFormat="1" x14ac:dyDescent="0.25"/>
    <row r="134766" customFormat="1" x14ac:dyDescent="0.25"/>
    <row r="134767" customFormat="1" x14ac:dyDescent="0.25"/>
    <row r="134768" customFormat="1" x14ac:dyDescent="0.25"/>
    <row r="134769" customFormat="1" x14ac:dyDescent="0.25"/>
    <row r="134770" customFormat="1" x14ac:dyDescent="0.25"/>
    <row r="134771" customFormat="1" x14ac:dyDescent="0.25"/>
    <row r="134772" customFormat="1" x14ac:dyDescent="0.25"/>
    <row r="134773" customFormat="1" x14ac:dyDescent="0.25"/>
    <row r="134774" customFormat="1" x14ac:dyDescent="0.25"/>
    <row r="134775" customFormat="1" x14ac:dyDescent="0.25"/>
    <row r="134776" customFormat="1" x14ac:dyDescent="0.25"/>
    <row r="134777" customFormat="1" x14ac:dyDescent="0.25"/>
    <row r="134778" customFormat="1" x14ac:dyDescent="0.25"/>
    <row r="134779" customFormat="1" x14ac:dyDescent="0.25"/>
    <row r="134780" customFormat="1" x14ac:dyDescent="0.25"/>
    <row r="134781" customFormat="1" x14ac:dyDescent="0.25"/>
    <row r="134782" customFormat="1" x14ac:dyDescent="0.25"/>
    <row r="134783" customFormat="1" x14ac:dyDescent="0.25"/>
    <row r="134784" customFormat="1" x14ac:dyDescent="0.25"/>
    <row r="134785" customFormat="1" x14ac:dyDescent="0.25"/>
    <row r="134786" customFormat="1" x14ac:dyDescent="0.25"/>
    <row r="134787" customFormat="1" x14ac:dyDescent="0.25"/>
    <row r="134788" customFormat="1" x14ac:dyDescent="0.25"/>
    <row r="134789" customFormat="1" x14ac:dyDescent="0.25"/>
    <row r="134790" customFormat="1" x14ac:dyDescent="0.25"/>
    <row r="134791" customFormat="1" x14ac:dyDescent="0.25"/>
    <row r="134792" customFormat="1" x14ac:dyDescent="0.25"/>
    <row r="134793" customFormat="1" x14ac:dyDescent="0.25"/>
    <row r="134794" customFormat="1" x14ac:dyDescent="0.25"/>
    <row r="134795" customFormat="1" x14ac:dyDescent="0.25"/>
    <row r="134796" customFormat="1" x14ac:dyDescent="0.25"/>
    <row r="134797" customFormat="1" x14ac:dyDescent="0.25"/>
    <row r="134798" customFormat="1" x14ac:dyDescent="0.25"/>
    <row r="134799" customFormat="1" x14ac:dyDescent="0.25"/>
    <row r="134800" customFormat="1" x14ac:dyDescent="0.25"/>
    <row r="134801" customFormat="1" x14ac:dyDescent="0.25"/>
    <row r="134802" customFormat="1" x14ac:dyDescent="0.25"/>
    <row r="134803" customFormat="1" x14ac:dyDescent="0.25"/>
    <row r="134804" customFormat="1" x14ac:dyDescent="0.25"/>
    <row r="134805" customFormat="1" x14ac:dyDescent="0.25"/>
    <row r="134806" customFormat="1" x14ac:dyDescent="0.25"/>
    <row r="134807" customFormat="1" x14ac:dyDescent="0.25"/>
    <row r="134808" customFormat="1" x14ac:dyDescent="0.25"/>
    <row r="134809" customFormat="1" x14ac:dyDescent="0.25"/>
    <row r="134810" customFormat="1" x14ac:dyDescent="0.25"/>
    <row r="134811" customFormat="1" x14ac:dyDescent="0.25"/>
    <row r="134812" customFormat="1" x14ac:dyDescent="0.25"/>
    <row r="134813" customFormat="1" x14ac:dyDescent="0.25"/>
    <row r="134814" customFormat="1" x14ac:dyDescent="0.25"/>
    <row r="134815" customFormat="1" x14ac:dyDescent="0.25"/>
    <row r="134816" customFormat="1" x14ac:dyDescent="0.25"/>
    <row r="134817" customFormat="1" x14ac:dyDescent="0.25"/>
    <row r="134818" customFormat="1" x14ac:dyDescent="0.25"/>
    <row r="134819" customFormat="1" x14ac:dyDescent="0.25"/>
    <row r="134820" customFormat="1" x14ac:dyDescent="0.25"/>
    <row r="134821" customFormat="1" x14ac:dyDescent="0.25"/>
    <row r="134822" customFormat="1" x14ac:dyDescent="0.25"/>
    <row r="134823" customFormat="1" x14ac:dyDescent="0.25"/>
    <row r="134824" customFormat="1" x14ac:dyDescent="0.25"/>
    <row r="134825" customFormat="1" x14ac:dyDescent="0.25"/>
    <row r="134826" customFormat="1" x14ac:dyDescent="0.25"/>
    <row r="134827" customFormat="1" x14ac:dyDescent="0.25"/>
    <row r="134828" customFormat="1" x14ac:dyDescent="0.25"/>
    <row r="134829" customFormat="1" x14ac:dyDescent="0.25"/>
    <row r="134830" customFormat="1" x14ac:dyDescent="0.25"/>
    <row r="134831" customFormat="1" x14ac:dyDescent="0.25"/>
    <row r="134832" customFormat="1" x14ac:dyDescent="0.25"/>
    <row r="134833" customFormat="1" x14ac:dyDescent="0.25"/>
    <row r="134834" customFormat="1" x14ac:dyDescent="0.25"/>
    <row r="134835" customFormat="1" x14ac:dyDescent="0.25"/>
    <row r="134836" customFormat="1" x14ac:dyDescent="0.25"/>
    <row r="134837" customFormat="1" x14ac:dyDescent="0.25"/>
    <row r="134838" customFormat="1" x14ac:dyDescent="0.25"/>
    <row r="134839" customFormat="1" x14ac:dyDescent="0.25"/>
    <row r="134840" customFormat="1" x14ac:dyDescent="0.25"/>
    <row r="134841" customFormat="1" x14ac:dyDescent="0.25"/>
    <row r="134842" customFormat="1" x14ac:dyDescent="0.25"/>
    <row r="134843" customFormat="1" x14ac:dyDescent="0.25"/>
    <row r="134844" customFormat="1" x14ac:dyDescent="0.25"/>
    <row r="134845" customFormat="1" x14ac:dyDescent="0.25"/>
    <row r="134846" customFormat="1" x14ac:dyDescent="0.25"/>
    <row r="134847" customFormat="1" x14ac:dyDescent="0.25"/>
    <row r="134848" customFormat="1" x14ac:dyDescent="0.25"/>
    <row r="134849" customFormat="1" x14ac:dyDescent="0.25"/>
    <row r="134850" customFormat="1" x14ac:dyDescent="0.25"/>
    <row r="134851" customFormat="1" x14ac:dyDescent="0.25"/>
    <row r="134852" customFormat="1" x14ac:dyDescent="0.25"/>
    <row r="134853" customFormat="1" x14ac:dyDescent="0.25"/>
    <row r="134854" customFormat="1" x14ac:dyDescent="0.25"/>
    <row r="134855" customFormat="1" x14ac:dyDescent="0.25"/>
    <row r="134856" customFormat="1" x14ac:dyDescent="0.25"/>
    <row r="134857" customFormat="1" x14ac:dyDescent="0.25"/>
    <row r="134858" customFormat="1" x14ac:dyDescent="0.25"/>
    <row r="134859" customFormat="1" x14ac:dyDescent="0.25"/>
    <row r="134860" customFormat="1" x14ac:dyDescent="0.25"/>
    <row r="134861" customFormat="1" x14ac:dyDescent="0.25"/>
    <row r="134862" customFormat="1" x14ac:dyDescent="0.25"/>
    <row r="134863" customFormat="1" x14ac:dyDescent="0.25"/>
    <row r="134864" customFormat="1" x14ac:dyDescent="0.25"/>
    <row r="134865" customFormat="1" x14ac:dyDescent="0.25"/>
    <row r="134866" customFormat="1" x14ac:dyDescent="0.25"/>
    <row r="134867" customFormat="1" x14ac:dyDescent="0.25"/>
    <row r="134868" customFormat="1" x14ac:dyDescent="0.25"/>
    <row r="134869" customFormat="1" x14ac:dyDescent="0.25"/>
    <row r="134870" customFormat="1" x14ac:dyDescent="0.25"/>
    <row r="134871" customFormat="1" x14ac:dyDescent="0.25"/>
    <row r="134872" customFormat="1" x14ac:dyDescent="0.25"/>
    <row r="134873" customFormat="1" x14ac:dyDescent="0.25"/>
    <row r="134874" customFormat="1" x14ac:dyDescent="0.25"/>
    <row r="134875" customFormat="1" x14ac:dyDescent="0.25"/>
    <row r="134876" customFormat="1" x14ac:dyDescent="0.25"/>
    <row r="134877" customFormat="1" x14ac:dyDescent="0.25"/>
    <row r="134878" customFormat="1" x14ac:dyDescent="0.25"/>
    <row r="134879" customFormat="1" x14ac:dyDescent="0.25"/>
    <row r="134880" customFormat="1" x14ac:dyDescent="0.25"/>
    <row r="134881" customFormat="1" x14ac:dyDescent="0.25"/>
    <row r="134882" customFormat="1" x14ac:dyDescent="0.25"/>
    <row r="134883" customFormat="1" x14ac:dyDescent="0.25"/>
    <row r="134884" customFormat="1" x14ac:dyDescent="0.25"/>
    <row r="134885" customFormat="1" x14ac:dyDescent="0.25"/>
    <row r="134886" customFormat="1" x14ac:dyDescent="0.25"/>
    <row r="134887" customFormat="1" x14ac:dyDescent="0.25"/>
    <row r="134888" customFormat="1" x14ac:dyDescent="0.25"/>
    <row r="134889" customFormat="1" x14ac:dyDescent="0.25"/>
    <row r="134890" customFormat="1" x14ac:dyDescent="0.25"/>
    <row r="134891" customFormat="1" x14ac:dyDescent="0.25"/>
    <row r="134892" customFormat="1" x14ac:dyDescent="0.25"/>
    <row r="134893" customFormat="1" x14ac:dyDescent="0.25"/>
    <row r="134894" customFormat="1" x14ac:dyDescent="0.25"/>
    <row r="134895" customFormat="1" x14ac:dyDescent="0.25"/>
    <row r="134896" customFormat="1" x14ac:dyDescent="0.25"/>
    <row r="134897" customFormat="1" x14ac:dyDescent="0.25"/>
    <row r="134898" customFormat="1" x14ac:dyDescent="0.25"/>
    <row r="134899" customFormat="1" x14ac:dyDescent="0.25"/>
    <row r="134900" customFormat="1" x14ac:dyDescent="0.25"/>
    <row r="134901" customFormat="1" x14ac:dyDescent="0.25"/>
    <row r="134902" customFormat="1" x14ac:dyDescent="0.25"/>
    <row r="134903" customFormat="1" x14ac:dyDescent="0.25"/>
    <row r="134904" customFormat="1" x14ac:dyDescent="0.25"/>
    <row r="134905" customFormat="1" x14ac:dyDescent="0.25"/>
    <row r="134906" customFormat="1" x14ac:dyDescent="0.25"/>
    <row r="134907" customFormat="1" x14ac:dyDescent="0.25"/>
    <row r="134908" customFormat="1" x14ac:dyDescent="0.25"/>
    <row r="134909" customFormat="1" x14ac:dyDescent="0.25"/>
    <row r="134910" customFormat="1" x14ac:dyDescent="0.25"/>
    <row r="134911" customFormat="1" x14ac:dyDescent="0.25"/>
    <row r="134912" customFormat="1" x14ac:dyDescent="0.25"/>
    <row r="134913" customFormat="1" x14ac:dyDescent="0.25"/>
    <row r="134914" customFormat="1" x14ac:dyDescent="0.25"/>
    <row r="134915" customFormat="1" x14ac:dyDescent="0.25"/>
    <row r="134916" customFormat="1" x14ac:dyDescent="0.25"/>
    <row r="134917" customFormat="1" x14ac:dyDescent="0.25"/>
    <row r="134918" customFormat="1" x14ac:dyDescent="0.25"/>
    <row r="134919" customFormat="1" x14ac:dyDescent="0.25"/>
    <row r="134920" customFormat="1" x14ac:dyDescent="0.25"/>
    <row r="134921" customFormat="1" x14ac:dyDescent="0.25"/>
    <row r="134922" customFormat="1" x14ac:dyDescent="0.25"/>
    <row r="134923" customFormat="1" x14ac:dyDescent="0.25"/>
    <row r="134924" customFormat="1" x14ac:dyDescent="0.25"/>
    <row r="134925" customFormat="1" x14ac:dyDescent="0.25"/>
    <row r="134926" customFormat="1" x14ac:dyDescent="0.25"/>
    <row r="134927" customFormat="1" x14ac:dyDescent="0.25"/>
    <row r="134928" customFormat="1" x14ac:dyDescent="0.25"/>
    <row r="134929" customFormat="1" x14ac:dyDescent="0.25"/>
    <row r="134930" customFormat="1" x14ac:dyDescent="0.25"/>
    <row r="134931" customFormat="1" x14ac:dyDescent="0.25"/>
    <row r="134932" customFormat="1" x14ac:dyDescent="0.25"/>
    <row r="134933" customFormat="1" x14ac:dyDescent="0.25"/>
    <row r="134934" customFormat="1" x14ac:dyDescent="0.25"/>
    <row r="134935" customFormat="1" x14ac:dyDescent="0.25"/>
    <row r="134936" customFormat="1" x14ac:dyDescent="0.25"/>
    <row r="134937" customFormat="1" x14ac:dyDescent="0.25"/>
    <row r="134938" customFormat="1" x14ac:dyDescent="0.25"/>
    <row r="134939" customFormat="1" x14ac:dyDescent="0.25"/>
    <row r="134940" customFormat="1" x14ac:dyDescent="0.25"/>
    <row r="134941" customFormat="1" x14ac:dyDescent="0.25"/>
    <row r="134942" customFormat="1" x14ac:dyDescent="0.25"/>
    <row r="134943" customFormat="1" x14ac:dyDescent="0.25"/>
    <row r="134944" customFormat="1" x14ac:dyDescent="0.25"/>
    <row r="134945" customFormat="1" x14ac:dyDescent="0.25"/>
    <row r="134946" customFormat="1" x14ac:dyDescent="0.25"/>
    <row r="134947" customFormat="1" x14ac:dyDescent="0.25"/>
    <row r="134948" customFormat="1" x14ac:dyDescent="0.25"/>
    <row r="134949" customFormat="1" x14ac:dyDescent="0.25"/>
    <row r="134950" customFormat="1" x14ac:dyDescent="0.25"/>
    <row r="134951" customFormat="1" x14ac:dyDescent="0.25"/>
    <row r="134952" customFormat="1" x14ac:dyDescent="0.25"/>
    <row r="134953" customFormat="1" x14ac:dyDescent="0.25"/>
    <row r="134954" customFormat="1" x14ac:dyDescent="0.25"/>
    <row r="134955" customFormat="1" x14ac:dyDescent="0.25"/>
    <row r="134956" customFormat="1" x14ac:dyDescent="0.25"/>
    <row r="134957" customFormat="1" x14ac:dyDescent="0.25"/>
    <row r="134958" customFormat="1" x14ac:dyDescent="0.25"/>
    <row r="134959" customFormat="1" x14ac:dyDescent="0.25"/>
    <row r="134960" customFormat="1" x14ac:dyDescent="0.25"/>
    <row r="134961" customFormat="1" x14ac:dyDescent="0.25"/>
    <row r="134962" customFormat="1" x14ac:dyDescent="0.25"/>
    <row r="134963" customFormat="1" x14ac:dyDescent="0.25"/>
    <row r="134964" customFormat="1" x14ac:dyDescent="0.25"/>
    <row r="134965" customFormat="1" x14ac:dyDescent="0.25"/>
    <row r="134966" customFormat="1" x14ac:dyDescent="0.25"/>
    <row r="134967" customFormat="1" x14ac:dyDescent="0.25"/>
    <row r="134968" customFormat="1" x14ac:dyDescent="0.25"/>
    <row r="134969" customFormat="1" x14ac:dyDescent="0.25"/>
    <row r="134970" customFormat="1" x14ac:dyDescent="0.25"/>
    <row r="134971" customFormat="1" x14ac:dyDescent="0.25"/>
    <row r="134972" customFormat="1" x14ac:dyDescent="0.25"/>
    <row r="134973" customFormat="1" x14ac:dyDescent="0.25"/>
    <row r="134974" customFormat="1" x14ac:dyDescent="0.25"/>
    <row r="134975" customFormat="1" x14ac:dyDescent="0.25"/>
    <row r="134976" customFormat="1" x14ac:dyDescent="0.25"/>
    <row r="134977" customFormat="1" x14ac:dyDescent="0.25"/>
    <row r="134978" customFormat="1" x14ac:dyDescent="0.25"/>
    <row r="134979" customFormat="1" x14ac:dyDescent="0.25"/>
    <row r="134980" customFormat="1" x14ac:dyDescent="0.25"/>
    <row r="134981" customFormat="1" x14ac:dyDescent="0.25"/>
    <row r="134982" customFormat="1" x14ac:dyDescent="0.25"/>
    <row r="134983" customFormat="1" x14ac:dyDescent="0.25"/>
    <row r="134984" customFormat="1" x14ac:dyDescent="0.25"/>
    <row r="134985" customFormat="1" x14ac:dyDescent="0.25"/>
    <row r="134986" customFormat="1" x14ac:dyDescent="0.25"/>
    <row r="134987" customFormat="1" x14ac:dyDescent="0.25"/>
    <row r="134988" customFormat="1" x14ac:dyDescent="0.25"/>
    <row r="134989" customFormat="1" x14ac:dyDescent="0.25"/>
    <row r="134990" customFormat="1" x14ac:dyDescent="0.25"/>
    <row r="134991" customFormat="1" x14ac:dyDescent="0.25"/>
    <row r="134992" customFormat="1" x14ac:dyDescent="0.25"/>
    <row r="134993" customFormat="1" x14ac:dyDescent="0.25"/>
    <row r="134994" customFormat="1" x14ac:dyDescent="0.25"/>
    <row r="134995" customFormat="1" x14ac:dyDescent="0.25"/>
    <row r="134996" customFormat="1" x14ac:dyDescent="0.25"/>
    <row r="134997" customFormat="1" x14ac:dyDescent="0.25"/>
    <row r="134998" customFormat="1" x14ac:dyDescent="0.25"/>
    <row r="134999" customFormat="1" x14ac:dyDescent="0.25"/>
    <row r="135000" customFormat="1" x14ac:dyDescent="0.25"/>
    <row r="135001" customFormat="1" x14ac:dyDescent="0.25"/>
    <row r="135002" customFormat="1" x14ac:dyDescent="0.25"/>
    <row r="135003" customFormat="1" x14ac:dyDescent="0.25"/>
    <row r="135004" customFormat="1" x14ac:dyDescent="0.25"/>
    <row r="135005" customFormat="1" x14ac:dyDescent="0.25"/>
    <row r="135006" customFormat="1" x14ac:dyDescent="0.25"/>
    <row r="135007" customFormat="1" x14ac:dyDescent="0.25"/>
    <row r="135008" customFormat="1" x14ac:dyDescent="0.25"/>
    <row r="135009" customFormat="1" x14ac:dyDescent="0.25"/>
    <row r="135010" customFormat="1" x14ac:dyDescent="0.25"/>
    <row r="135011" customFormat="1" x14ac:dyDescent="0.25"/>
    <row r="135012" customFormat="1" x14ac:dyDescent="0.25"/>
    <row r="135013" customFormat="1" x14ac:dyDescent="0.25"/>
    <row r="135014" customFormat="1" x14ac:dyDescent="0.25"/>
    <row r="135015" customFormat="1" x14ac:dyDescent="0.25"/>
    <row r="135016" customFormat="1" x14ac:dyDescent="0.25"/>
    <row r="135017" customFormat="1" x14ac:dyDescent="0.25"/>
    <row r="135018" customFormat="1" x14ac:dyDescent="0.25"/>
    <row r="135019" customFormat="1" x14ac:dyDescent="0.25"/>
    <row r="135020" customFormat="1" x14ac:dyDescent="0.25"/>
    <row r="135021" customFormat="1" x14ac:dyDescent="0.25"/>
    <row r="135022" customFormat="1" x14ac:dyDescent="0.25"/>
    <row r="135023" customFormat="1" x14ac:dyDescent="0.25"/>
    <row r="135024" customFormat="1" x14ac:dyDescent="0.25"/>
    <row r="135025" customFormat="1" x14ac:dyDescent="0.25"/>
    <row r="135026" customFormat="1" x14ac:dyDescent="0.25"/>
    <row r="135027" customFormat="1" x14ac:dyDescent="0.25"/>
    <row r="135028" customFormat="1" x14ac:dyDescent="0.25"/>
    <row r="135029" customFormat="1" x14ac:dyDescent="0.25"/>
    <row r="135030" customFormat="1" x14ac:dyDescent="0.25"/>
    <row r="135031" customFormat="1" x14ac:dyDescent="0.25"/>
    <row r="135032" customFormat="1" x14ac:dyDescent="0.25"/>
    <row r="135033" customFormat="1" x14ac:dyDescent="0.25"/>
    <row r="135034" customFormat="1" x14ac:dyDescent="0.25"/>
    <row r="135035" customFormat="1" x14ac:dyDescent="0.25"/>
    <row r="135036" customFormat="1" x14ac:dyDescent="0.25"/>
    <row r="135037" customFormat="1" x14ac:dyDescent="0.25"/>
    <row r="135038" customFormat="1" x14ac:dyDescent="0.25"/>
    <row r="135039" customFormat="1" x14ac:dyDescent="0.25"/>
    <row r="135040" customFormat="1" x14ac:dyDescent="0.25"/>
    <row r="135041" customFormat="1" x14ac:dyDescent="0.25"/>
    <row r="135042" customFormat="1" x14ac:dyDescent="0.25"/>
    <row r="135043" customFormat="1" x14ac:dyDescent="0.25"/>
    <row r="135044" customFormat="1" x14ac:dyDescent="0.25"/>
    <row r="135045" customFormat="1" x14ac:dyDescent="0.25"/>
    <row r="135046" customFormat="1" x14ac:dyDescent="0.25"/>
    <row r="135047" customFormat="1" x14ac:dyDescent="0.25"/>
    <row r="135048" customFormat="1" x14ac:dyDescent="0.25"/>
    <row r="135049" customFormat="1" x14ac:dyDescent="0.25"/>
    <row r="135050" customFormat="1" x14ac:dyDescent="0.25"/>
    <row r="135051" customFormat="1" x14ac:dyDescent="0.25"/>
    <row r="135052" customFormat="1" x14ac:dyDescent="0.25"/>
    <row r="135053" customFormat="1" x14ac:dyDescent="0.25"/>
    <row r="135054" customFormat="1" x14ac:dyDescent="0.25"/>
    <row r="135055" customFormat="1" x14ac:dyDescent="0.25"/>
    <row r="135056" customFormat="1" x14ac:dyDescent="0.25"/>
    <row r="135057" customFormat="1" x14ac:dyDescent="0.25"/>
    <row r="135058" customFormat="1" x14ac:dyDescent="0.25"/>
    <row r="135059" customFormat="1" x14ac:dyDescent="0.25"/>
    <row r="135060" customFormat="1" x14ac:dyDescent="0.25"/>
    <row r="135061" customFormat="1" x14ac:dyDescent="0.25"/>
    <row r="135062" customFormat="1" x14ac:dyDescent="0.25"/>
    <row r="135063" customFormat="1" x14ac:dyDescent="0.25"/>
    <row r="135064" customFormat="1" x14ac:dyDescent="0.25"/>
    <row r="135065" customFormat="1" x14ac:dyDescent="0.25"/>
    <row r="135066" customFormat="1" x14ac:dyDescent="0.25"/>
    <row r="135067" customFormat="1" x14ac:dyDescent="0.25"/>
    <row r="135068" customFormat="1" x14ac:dyDescent="0.25"/>
    <row r="135069" customFormat="1" x14ac:dyDescent="0.25"/>
    <row r="135070" customFormat="1" x14ac:dyDescent="0.25"/>
    <row r="135071" customFormat="1" x14ac:dyDescent="0.25"/>
    <row r="135072" customFormat="1" x14ac:dyDescent="0.25"/>
    <row r="135073" customFormat="1" x14ac:dyDescent="0.25"/>
    <row r="135074" customFormat="1" x14ac:dyDescent="0.25"/>
    <row r="135075" customFormat="1" x14ac:dyDescent="0.25"/>
    <row r="135076" customFormat="1" x14ac:dyDescent="0.25"/>
    <row r="135077" customFormat="1" x14ac:dyDescent="0.25"/>
    <row r="135078" customFormat="1" x14ac:dyDescent="0.25"/>
    <row r="135079" customFormat="1" x14ac:dyDescent="0.25"/>
    <row r="135080" customFormat="1" x14ac:dyDescent="0.25"/>
    <row r="135081" customFormat="1" x14ac:dyDescent="0.25"/>
    <row r="135082" customFormat="1" x14ac:dyDescent="0.25"/>
    <row r="135083" customFormat="1" x14ac:dyDescent="0.25"/>
    <row r="135084" customFormat="1" x14ac:dyDescent="0.25"/>
    <row r="135085" customFormat="1" x14ac:dyDescent="0.25"/>
    <row r="135086" customFormat="1" x14ac:dyDescent="0.25"/>
    <row r="135087" customFormat="1" x14ac:dyDescent="0.25"/>
    <row r="135088" customFormat="1" x14ac:dyDescent="0.25"/>
    <row r="135089" customFormat="1" x14ac:dyDescent="0.25"/>
    <row r="135090" customFormat="1" x14ac:dyDescent="0.25"/>
    <row r="135091" customFormat="1" x14ac:dyDescent="0.25"/>
    <row r="135092" customFormat="1" x14ac:dyDescent="0.25"/>
    <row r="135093" customFormat="1" x14ac:dyDescent="0.25"/>
    <row r="135094" customFormat="1" x14ac:dyDescent="0.25"/>
    <row r="135095" customFormat="1" x14ac:dyDescent="0.25"/>
    <row r="135096" customFormat="1" x14ac:dyDescent="0.25"/>
    <row r="135097" customFormat="1" x14ac:dyDescent="0.25"/>
    <row r="135098" customFormat="1" x14ac:dyDescent="0.25"/>
    <row r="135099" customFormat="1" x14ac:dyDescent="0.25"/>
    <row r="135100" customFormat="1" x14ac:dyDescent="0.25"/>
    <row r="135101" customFormat="1" x14ac:dyDescent="0.25"/>
    <row r="135102" customFormat="1" x14ac:dyDescent="0.25"/>
    <row r="135103" customFormat="1" x14ac:dyDescent="0.25"/>
    <row r="135104" customFormat="1" x14ac:dyDescent="0.25"/>
    <row r="135105" customFormat="1" x14ac:dyDescent="0.25"/>
    <row r="135106" customFormat="1" x14ac:dyDescent="0.25"/>
    <row r="135107" customFormat="1" x14ac:dyDescent="0.25"/>
    <row r="135108" customFormat="1" x14ac:dyDescent="0.25"/>
    <row r="135109" customFormat="1" x14ac:dyDescent="0.25"/>
    <row r="135110" customFormat="1" x14ac:dyDescent="0.25"/>
    <row r="135111" customFormat="1" x14ac:dyDescent="0.25"/>
    <row r="135112" customFormat="1" x14ac:dyDescent="0.25"/>
    <row r="135113" customFormat="1" x14ac:dyDescent="0.25"/>
    <row r="135114" customFormat="1" x14ac:dyDescent="0.25"/>
    <row r="135115" customFormat="1" x14ac:dyDescent="0.25"/>
    <row r="135116" customFormat="1" x14ac:dyDescent="0.25"/>
    <row r="135117" customFormat="1" x14ac:dyDescent="0.25"/>
    <row r="135118" customFormat="1" x14ac:dyDescent="0.25"/>
    <row r="135119" customFormat="1" x14ac:dyDescent="0.25"/>
    <row r="135120" customFormat="1" x14ac:dyDescent="0.25"/>
    <row r="135121" customFormat="1" x14ac:dyDescent="0.25"/>
    <row r="135122" customFormat="1" x14ac:dyDescent="0.25"/>
    <row r="135123" customFormat="1" x14ac:dyDescent="0.25"/>
    <row r="135124" customFormat="1" x14ac:dyDescent="0.25"/>
    <row r="135125" customFormat="1" x14ac:dyDescent="0.25"/>
    <row r="135126" customFormat="1" x14ac:dyDescent="0.25"/>
    <row r="135127" customFormat="1" x14ac:dyDescent="0.25"/>
    <row r="135128" customFormat="1" x14ac:dyDescent="0.25"/>
    <row r="135129" customFormat="1" x14ac:dyDescent="0.25"/>
    <row r="135130" customFormat="1" x14ac:dyDescent="0.25"/>
    <row r="135131" customFormat="1" x14ac:dyDescent="0.25"/>
    <row r="135132" customFormat="1" x14ac:dyDescent="0.25"/>
    <row r="135133" customFormat="1" x14ac:dyDescent="0.25"/>
    <row r="135134" customFormat="1" x14ac:dyDescent="0.25"/>
    <row r="135135" customFormat="1" x14ac:dyDescent="0.25"/>
    <row r="135136" customFormat="1" x14ac:dyDescent="0.25"/>
    <row r="135137" customFormat="1" x14ac:dyDescent="0.25"/>
    <row r="135138" customFormat="1" x14ac:dyDescent="0.25"/>
    <row r="135139" customFormat="1" x14ac:dyDescent="0.25"/>
    <row r="135140" customFormat="1" x14ac:dyDescent="0.25"/>
    <row r="135141" customFormat="1" x14ac:dyDescent="0.25"/>
    <row r="135142" customFormat="1" x14ac:dyDescent="0.25"/>
    <row r="135143" customFormat="1" x14ac:dyDescent="0.25"/>
    <row r="135144" customFormat="1" x14ac:dyDescent="0.25"/>
    <row r="135145" customFormat="1" x14ac:dyDescent="0.25"/>
    <row r="135146" customFormat="1" x14ac:dyDescent="0.25"/>
    <row r="135147" customFormat="1" x14ac:dyDescent="0.25"/>
    <row r="135148" customFormat="1" x14ac:dyDescent="0.25"/>
    <row r="135149" customFormat="1" x14ac:dyDescent="0.25"/>
    <row r="135150" customFormat="1" x14ac:dyDescent="0.25"/>
    <row r="135151" customFormat="1" x14ac:dyDescent="0.25"/>
    <row r="135152" customFormat="1" x14ac:dyDescent="0.25"/>
    <row r="135153" customFormat="1" x14ac:dyDescent="0.25"/>
    <row r="135154" customFormat="1" x14ac:dyDescent="0.25"/>
    <row r="135155" customFormat="1" x14ac:dyDescent="0.25"/>
    <row r="135156" customFormat="1" x14ac:dyDescent="0.25"/>
    <row r="135157" customFormat="1" x14ac:dyDescent="0.25"/>
    <row r="135158" customFormat="1" x14ac:dyDescent="0.25"/>
    <row r="135159" customFormat="1" x14ac:dyDescent="0.25"/>
    <row r="135160" customFormat="1" x14ac:dyDescent="0.25"/>
    <row r="135161" customFormat="1" x14ac:dyDescent="0.25"/>
    <row r="135162" customFormat="1" x14ac:dyDescent="0.25"/>
    <row r="135163" customFormat="1" x14ac:dyDescent="0.25"/>
    <row r="135164" customFormat="1" x14ac:dyDescent="0.25"/>
    <row r="135165" customFormat="1" x14ac:dyDescent="0.25"/>
    <row r="135166" customFormat="1" x14ac:dyDescent="0.25"/>
    <row r="135167" customFormat="1" x14ac:dyDescent="0.25"/>
    <row r="135168" customFormat="1" x14ac:dyDescent="0.25"/>
    <row r="135169" customFormat="1" x14ac:dyDescent="0.25"/>
    <row r="135170" customFormat="1" x14ac:dyDescent="0.25"/>
    <row r="135171" customFormat="1" x14ac:dyDescent="0.25"/>
    <row r="135172" customFormat="1" x14ac:dyDescent="0.25"/>
    <row r="135173" customFormat="1" x14ac:dyDescent="0.25"/>
    <row r="135174" customFormat="1" x14ac:dyDescent="0.25"/>
    <row r="135175" customFormat="1" x14ac:dyDescent="0.25"/>
    <row r="135176" customFormat="1" x14ac:dyDescent="0.25"/>
    <row r="135177" customFormat="1" x14ac:dyDescent="0.25"/>
    <row r="135178" customFormat="1" x14ac:dyDescent="0.25"/>
    <row r="135179" customFormat="1" x14ac:dyDescent="0.25"/>
    <row r="135180" customFormat="1" x14ac:dyDescent="0.25"/>
    <row r="135181" customFormat="1" x14ac:dyDescent="0.25"/>
    <row r="135182" customFormat="1" x14ac:dyDescent="0.25"/>
    <row r="135183" customFormat="1" x14ac:dyDescent="0.25"/>
    <row r="135184" customFormat="1" x14ac:dyDescent="0.25"/>
    <row r="135185" customFormat="1" x14ac:dyDescent="0.25"/>
    <row r="135186" customFormat="1" x14ac:dyDescent="0.25"/>
    <row r="135187" customFormat="1" x14ac:dyDescent="0.25"/>
    <row r="135188" customFormat="1" x14ac:dyDescent="0.25"/>
    <row r="135189" customFormat="1" x14ac:dyDescent="0.25"/>
    <row r="135190" customFormat="1" x14ac:dyDescent="0.25"/>
    <row r="135191" customFormat="1" x14ac:dyDescent="0.25"/>
    <row r="135192" customFormat="1" x14ac:dyDescent="0.25"/>
    <row r="135193" customFormat="1" x14ac:dyDescent="0.25"/>
    <row r="135194" customFormat="1" x14ac:dyDescent="0.25"/>
    <row r="135195" customFormat="1" x14ac:dyDescent="0.25"/>
    <row r="135196" customFormat="1" x14ac:dyDescent="0.25"/>
    <row r="135197" customFormat="1" x14ac:dyDescent="0.25"/>
    <row r="135198" customFormat="1" x14ac:dyDescent="0.25"/>
    <row r="135199" customFormat="1" x14ac:dyDescent="0.25"/>
    <row r="135200" customFormat="1" x14ac:dyDescent="0.25"/>
    <row r="135201" customFormat="1" x14ac:dyDescent="0.25"/>
    <row r="135202" customFormat="1" x14ac:dyDescent="0.25"/>
    <row r="135203" customFormat="1" x14ac:dyDescent="0.25"/>
    <row r="135204" customFormat="1" x14ac:dyDescent="0.25"/>
    <row r="135205" customFormat="1" x14ac:dyDescent="0.25"/>
    <row r="135206" customFormat="1" x14ac:dyDescent="0.25"/>
    <row r="135207" customFormat="1" x14ac:dyDescent="0.25"/>
    <row r="135208" customFormat="1" x14ac:dyDescent="0.25"/>
    <row r="135209" customFormat="1" x14ac:dyDescent="0.25"/>
    <row r="135210" customFormat="1" x14ac:dyDescent="0.25"/>
    <row r="135211" customFormat="1" x14ac:dyDescent="0.25"/>
    <row r="135212" customFormat="1" x14ac:dyDescent="0.25"/>
    <row r="135213" customFormat="1" x14ac:dyDescent="0.25"/>
    <row r="135214" customFormat="1" x14ac:dyDescent="0.25"/>
    <row r="135215" customFormat="1" x14ac:dyDescent="0.25"/>
    <row r="135216" customFormat="1" x14ac:dyDescent="0.25"/>
    <row r="135217" customFormat="1" x14ac:dyDescent="0.25"/>
    <row r="135218" customFormat="1" x14ac:dyDescent="0.25"/>
    <row r="135219" customFormat="1" x14ac:dyDescent="0.25"/>
    <row r="135220" customFormat="1" x14ac:dyDescent="0.25"/>
    <row r="135221" customFormat="1" x14ac:dyDescent="0.25"/>
    <row r="135222" customFormat="1" x14ac:dyDescent="0.25"/>
    <row r="135223" customFormat="1" x14ac:dyDescent="0.25"/>
    <row r="135224" customFormat="1" x14ac:dyDescent="0.25"/>
    <row r="135225" customFormat="1" x14ac:dyDescent="0.25"/>
    <row r="135226" customFormat="1" x14ac:dyDescent="0.25"/>
    <row r="135227" customFormat="1" x14ac:dyDescent="0.25"/>
    <row r="135228" customFormat="1" x14ac:dyDescent="0.25"/>
    <row r="135229" customFormat="1" x14ac:dyDescent="0.25"/>
    <row r="135230" customFormat="1" x14ac:dyDescent="0.25"/>
    <row r="135231" customFormat="1" x14ac:dyDescent="0.25"/>
    <row r="135232" customFormat="1" x14ac:dyDescent="0.25"/>
    <row r="135233" customFormat="1" x14ac:dyDescent="0.25"/>
    <row r="135234" customFormat="1" x14ac:dyDescent="0.25"/>
    <row r="135235" customFormat="1" x14ac:dyDescent="0.25"/>
    <row r="135236" customFormat="1" x14ac:dyDescent="0.25"/>
    <row r="135237" customFormat="1" x14ac:dyDescent="0.25"/>
    <row r="135238" customFormat="1" x14ac:dyDescent="0.25"/>
    <row r="135239" customFormat="1" x14ac:dyDescent="0.25"/>
    <row r="135240" customFormat="1" x14ac:dyDescent="0.25"/>
    <row r="135241" customFormat="1" x14ac:dyDescent="0.25"/>
    <row r="135242" customFormat="1" x14ac:dyDescent="0.25"/>
    <row r="135243" customFormat="1" x14ac:dyDescent="0.25"/>
    <row r="135244" customFormat="1" x14ac:dyDescent="0.25"/>
    <row r="135245" customFormat="1" x14ac:dyDescent="0.25"/>
    <row r="135246" customFormat="1" x14ac:dyDescent="0.25"/>
    <row r="135247" customFormat="1" x14ac:dyDescent="0.25"/>
    <row r="135248" customFormat="1" x14ac:dyDescent="0.25"/>
    <row r="135249" customFormat="1" x14ac:dyDescent="0.25"/>
    <row r="135250" customFormat="1" x14ac:dyDescent="0.25"/>
    <row r="135251" customFormat="1" x14ac:dyDescent="0.25"/>
    <row r="135252" customFormat="1" x14ac:dyDescent="0.25"/>
    <row r="135253" customFormat="1" x14ac:dyDescent="0.25"/>
    <row r="135254" customFormat="1" x14ac:dyDescent="0.25"/>
    <row r="135255" customFormat="1" x14ac:dyDescent="0.25"/>
    <row r="135256" customFormat="1" x14ac:dyDescent="0.25"/>
    <row r="135257" customFormat="1" x14ac:dyDescent="0.25"/>
    <row r="135258" customFormat="1" x14ac:dyDescent="0.25"/>
    <row r="135259" customFormat="1" x14ac:dyDescent="0.25"/>
    <row r="135260" customFormat="1" x14ac:dyDescent="0.25"/>
    <row r="135261" customFormat="1" x14ac:dyDescent="0.25"/>
    <row r="135262" customFormat="1" x14ac:dyDescent="0.25"/>
    <row r="135263" customFormat="1" x14ac:dyDescent="0.25"/>
    <row r="135264" customFormat="1" x14ac:dyDescent="0.25"/>
    <row r="135265" customFormat="1" x14ac:dyDescent="0.25"/>
    <row r="135266" customFormat="1" x14ac:dyDescent="0.25"/>
    <row r="135267" customFormat="1" x14ac:dyDescent="0.25"/>
    <row r="135268" customFormat="1" x14ac:dyDescent="0.25"/>
    <row r="135269" customFormat="1" x14ac:dyDescent="0.25"/>
    <row r="135270" customFormat="1" x14ac:dyDescent="0.25"/>
    <row r="135271" customFormat="1" x14ac:dyDescent="0.25"/>
    <row r="135272" customFormat="1" x14ac:dyDescent="0.25"/>
    <row r="135273" customFormat="1" x14ac:dyDescent="0.25"/>
    <row r="135274" customFormat="1" x14ac:dyDescent="0.25"/>
    <row r="135275" customFormat="1" x14ac:dyDescent="0.25"/>
    <row r="135276" customFormat="1" x14ac:dyDescent="0.25"/>
    <row r="135277" customFormat="1" x14ac:dyDescent="0.25"/>
    <row r="135278" customFormat="1" x14ac:dyDescent="0.25"/>
    <row r="135279" customFormat="1" x14ac:dyDescent="0.25"/>
    <row r="135280" customFormat="1" x14ac:dyDescent="0.25"/>
    <row r="135281" customFormat="1" x14ac:dyDescent="0.25"/>
    <row r="135282" customFormat="1" x14ac:dyDescent="0.25"/>
    <row r="135283" customFormat="1" x14ac:dyDescent="0.25"/>
    <row r="135284" customFormat="1" x14ac:dyDescent="0.25"/>
    <row r="135285" customFormat="1" x14ac:dyDescent="0.25"/>
    <row r="135286" customFormat="1" x14ac:dyDescent="0.25"/>
    <row r="135287" customFormat="1" x14ac:dyDescent="0.25"/>
    <row r="135288" customFormat="1" x14ac:dyDescent="0.25"/>
    <row r="135289" customFormat="1" x14ac:dyDescent="0.25"/>
    <row r="135290" customFormat="1" x14ac:dyDescent="0.25"/>
    <row r="135291" customFormat="1" x14ac:dyDescent="0.25"/>
    <row r="135292" customFormat="1" x14ac:dyDescent="0.25"/>
    <row r="135293" customFormat="1" x14ac:dyDescent="0.25"/>
    <row r="135294" customFormat="1" x14ac:dyDescent="0.25"/>
    <row r="135295" customFormat="1" x14ac:dyDescent="0.25"/>
    <row r="135296" customFormat="1" x14ac:dyDescent="0.25"/>
    <row r="135297" customFormat="1" x14ac:dyDescent="0.25"/>
    <row r="135298" customFormat="1" x14ac:dyDescent="0.25"/>
    <row r="135299" customFormat="1" x14ac:dyDescent="0.25"/>
    <row r="135300" customFormat="1" x14ac:dyDescent="0.25"/>
    <row r="135301" customFormat="1" x14ac:dyDescent="0.25"/>
    <row r="135302" customFormat="1" x14ac:dyDescent="0.25"/>
    <row r="135303" customFormat="1" x14ac:dyDescent="0.25"/>
    <row r="135304" customFormat="1" x14ac:dyDescent="0.25"/>
    <row r="135305" customFormat="1" x14ac:dyDescent="0.25"/>
    <row r="135306" customFormat="1" x14ac:dyDescent="0.25"/>
    <row r="135307" customFormat="1" x14ac:dyDescent="0.25"/>
    <row r="135308" customFormat="1" x14ac:dyDescent="0.25"/>
    <row r="135309" customFormat="1" x14ac:dyDescent="0.25"/>
    <row r="135310" customFormat="1" x14ac:dyDescent="0.25"/>
    <row r="135311" customFormat="1" x14ac:dyDescent="0.25"/>
    <row r="135312" customFormat="1" x14ac:dyDescent="0.25"/>
    <row r="135313" customFormat="1" x14ac:dyDescent="0.25"/>
    <row r="135314" customFormat="1" x14ac:dyDescent="0.25"/>
    <row r="135315" customFormat="1" x14ac:dyDescent="0.25"/>
    <row r="135316" customFormat="1" x14ac:dyDescent="0.25"/>
    <row r="135317" customFormat="1" x14ac:dyDescent="0.25"/>
    <row r="135318" customFormat="1" x14ac:dyDescent="0.25"/>
    <row r="135319" customFormat="1" x14ac:dyDescent="0.25"/>
    <row r="135320" customFormat="1" x14ac:dyDescent="0.25"/>
    <row r="135321" customFormat="1" x14ac:dyDescent="0.25"/>
    <row r="135322" customFormat="1" x14ac:dyDescent="0.25"/>
    <row r="135323" customFormat="1" x14ac:dyDescent="0.25"/>
    <row r="135324" customFormat="1" x14ac:dyDescent="0.25"/>
    <row r="135325" customFormat="1" x14ac:dyDescent="0.25"/>
    <row r="135326" customFormat="1" x14ac:dyDescent="0.25"/>
    <row r="135327" customFormat="1" x14ac:dyDescent="0.25"/>
    <row r="135328" customFormat="1" x14ac:dyDescent="0.25"/>
    <row r="135329" customFormat="1" x14ac:dyDescent="0.25"/>
    <row r="135330" customFormat="1" x14ac:dyDescent="0.25"/>
    <row r="135331" customFormat="1" x14ac:dyDescent="0.25"/>
    <row r="135332" customFormat="1" x14ac:dyDescent="0.25"/>
    <row r="135333" customFormat="1" x14ac:dyDescent="0.25"/>
    <row r="135334" customFormat="1" x14ac:dyDescent="0.25"/>
    <row r="135335" customFormat="1" x14ac:dyDescent="0.25"/>
    <row r="135336" customFormat="1" x14ac:dyDescent="0.25"/>
    <row r="135337" customFormat="1" x14ac:dyDescent="0.25"/>
    <row r="135338" customFormat="1" x14ac:dyDescent="0.25"/>
    <row r="135339" customFormat="1" x14ac:dyDescent="0.25"/>
    <row r="135340" customFormat="1" x14ac:dyDescent="0.25"/>
    <row r="135341" customFormat="1" x14ac:dyDescent="0.25"/>
    <row r="135342" customFormat="1" x14ac:dyDescent="0.25"/>
    <row r="135343" customFormat="1" x14ac:dyDescent="0.25"/>
    <row r="135344" customFormat="1" x14ac:dyDescent="0.25"/>
    <row r="135345" customFormat="1" x14ac:dyDescent="0.25"/>
    <row r="135346" customFormat="1" x14ac:dyDescent="0.25"/>
    <row r="135347" customFormat="1" x14ac:dyDescent="0.25"/>
    <row r="135348" customFormat="1" x14ac:dyDescent="0.25"/>
    <row r="135349" customFormat="1" x14ac:dyDescent="0.25"/>
    <row r="135350" customFormat="1" x14ac:dyDescent="0.25"/>
    <row r="135351" customFormat="1" x14ac:dyDescent="0.25"/>
    <row r="135352" customFormat="1" x14ac:dyDescent="0.25"/>
    <row r="135353" customFormat="1" x14ac:dyDescent="0.25"/>
    <row r="135354" customFormat="1" x14ac:dyDescent="0.25"/>
    <row r="135355" customFormat="1" x14ac:dyDescent="0.25"/>
    <row r="135356" customFormat="1" x14ac:dyDescent="0.25"/>
    <row r="135357" customFormat="1" x14ac:dyDescent="0.25"/>
    <row r="135358" customFormat="1" x14ac:dyDescent="0.25"/>
    <row r="135359" customFormat="1" x14ac:dyDescent="0.25"/>
    <row r="135360" customFormat="1" x14ac:dyDescent="0.25"/>
    <row r="135361" customFormat="1" x14ac:dyDescent="0.25"/>
    <row r="135362" customFormat="1" x14ac:dyDescent="0.25"/>
    <row r="135363" customFormat="1" x14ac:dyDescent="0.25"/>
    <row r="135364" customFormat="1" x14ac:dyDescent="0.25"/>
    <row r="135365" customFormat="1" x14ac:dyDescent="0.25"/>
    <row r="135366" customFormat="1" x14ac:dyDescent="0.25"/>
    <row r="135367" customFormat="1" x14ac:dyDescent="0.25"/>
    <row r="135368" customFormat="1" x14ac:dyDescent="0.25"/>
    <row r="135369" customFormat="1" x14ac:dyDescent="0.25"/>
    <row r="135370" customFormat="1" x14ac:dyDescent="0.25"/>
    <row r="135371" customFormat="1" x14ac:dyDescent="0.25"/>
    <row r="135372" customFormat="1" x14ac:dyDescent="0.25"/>
    <row r="135373" customFormat="1" x14ac:dyDescent="0.25"/>
    <row r="135374" customFormat="1" x14ac:dyDescent="0.25"/>
    <row r="135375" customFormat="1" x14ac:dyDescent="0.25"/>
    <row r="135376" customFormat="1" x14ac:dyDescent="0.25"/>
    <row r="135377" customFormat="1" x14ac:dyDescent="0.25"/>
    <row r="135378" customFormat="1" x14ac:dyDescent="0.25"/>
    <row r="135379" customFormat="1" x14ac:dyDescent="0.25"/>
    <row r="135380" customFormat="1" x14ac:dyDescent="0.25"/>
    <row r="135381" customFormat="1" x14ac:dyDescent="0.25"/>
    <row r="135382" customFormat="1" x14ac:dyDescent="0.25"/>
    <row r="135383" customFormat="1" x14ac:dyDescent="0.25"/>
    <row r="135384" customFormat="1" x14ac:dyDescent="0.25"/>
    <row r="135385" customFormat="1" x14ac:dyDescent="0.25"/>
    <row r="135386" customFormat="1" x14ac:dyDescent="0.25"/>
    <row r="135387" customFormat="1" x14ac:dyDescent="0.25"/>
    <row r="135388" customFormat="1" x14ac:dyDescent="0.25"/>
    <row r="135389" customFormat="1" x14ac:dyDescent="0.25"/>
    <row r="135390" customFormat="1" x14ac:dyDescent="0.25"/>
    <row r="135391" customFormat="1" x14ac:dyDescent="0.25"/>
    <row r="135392" customFormat="1" x14ac:dyDescent="0.25"/>
    <row r="135393" customFormat="1" x14ac:dyDescent="0.25"/>
    <row r="135394" customFormat="1" x14ac:dyDescent="0.25"/>
    <row r="135395" customFormat="1" x14ac:dyDescent="0.25"/>
    <row r="135396" customFormat="1" x14ac:dyDescent="0.25"/>
    <row r="135397" customFormat="1" x14ac:dyDescent="0.25"/>
    <row r="135398" customFormat="1" x14ac:dyDescent="0.25"/>
    <row r="135399" customFormat="1" x14ac:dyDescent="0.25"/>
    <row r="135400" customFormat="1" x14ac:dyDescent="0.25"/>
    <row r="135401" customFormat="1" x14ac:dyDescent="0.25"/>
    <row r="135402" customFormat="1" x14ac:dyDescent="0.25"/>
    <row r="135403" customFormat="1" x14ac:dyDescent="0.25"/>
    <row r="135404" customFormat="1" x14ac:dyDescent="0.25"/>
    <row r="135405" customFormat="1" x14ac:dyDescent="0.25"/>
    <row r="135406" customFormat="1" x14ac:dyDescent="0.25"/>
    <row r="135407" customFormat="1" x14ac:dyDescent="0.25"/>
    <row r="135408" customFormat="1" x14ac:dyDescent="0.25"/>
    <row r="135409" customFormat="1" x14ac:dyDescent="0.25"/>
    <row r="135410" customFormat="1" x14ac:dyDescent="0.25"/>
    <row r="135411" customFormat="1" x14ac:dyDescent="0.25"/>
    <row r="135412" customFormat="1" x14ac:dyDescent="0.25"/>
    <row r="135413" customFormat="1" x14ac:dyDescent="0.25"/>
    <row r="135414" customFormat="1" x14ac:dyDescent="0.25"/>
    <row r="135415" customFormat="1" x14ac:dyDescent="0.25"/>
    <row r="135416" customFormat="1" x14ac:dyDescent="0.25"/>
    <row r="135417" customFormat="1" x14ac:dyDescent="0.25"/>
    <row r="135418" customFormat="1" x14ac:dyDescent="0.25"/>
    <row r="135419" customFormat="1" x14ac:dyDescent="0.25"/>
    <row r="135420" customFormat="1" x14ac:dyDescent="0.25"/>
    <row r="135421" customFormat="1" x14ac:dyDescent="0.25"/>
    <row r="135422" customFormat="1" x14ac:dyDescent="0.25"/>
    <row r="135423" customFormat="1" x14ac:dyDescent="0.25"/>
    <row r="135424" customFormat="1" x14ac:dyDescent="0.25"/>
    <row r="135425" customFormat="1" x14ac:dyDescent="0.25"/>
    <row r="135426" customFormat="1" x14ac:dyDescent="0.25"/>
    <row r="135427" customFormat="1" x14ac:dyDescent="0.25"/>
    <row r="135428" customFormat="1" x14ac:dyDescent="0.25"/>
    <row r="135429" customFormat="1" x14ac:dyDescent="0.25"/>
    <row r="135430" customFormat="1" x14ac:dyDescent="0.25"/>
    <row r="135431" customFormat="1" x14ac:dyDescent="0.25"/>
    <row r="135432" customFormat="1" x14ac:dyDescent="0.25"/>
    <row r="135433" customFormat="1" x14ac:dyDescent="0.25"/>
    <row r="135434" customFormat="1" x14ac:dyDescent="0.25"/>
    <row r="135435" customFormat="1" x14ac:dyDescent="0.25"/>
    <row r="135436" customFormat="1" x14ac:dyDescent="0.25"/>
    <row r="135437" customFormat="1" x14ac:dyDescent="0.25"/>
    <row r="135438" customFormat="1" x14ac:dyDescent="0.25"/>
    <row r="135439" customFormat="1" x14ac:dyDescent="0.25"/>
    <row r="135440" customFormat="1" x14ac:dyDescent="0.25"/>
    <row r="135441" customFormat="1" x14ac:dyDescent="0.25"/>
    <row r="135442" customFormat="1" x14ac:dyDescent="0.25"/>
    <row r="135443" customFormat="1" x14ac:dyDescent="0.25"/>
    <row r="135444" customFormat="1" x14ac:dyDescent="0.25"/>
    <row r="135445" customFormat="1" x14ac:dyDescent="0.25"/>
    <row r="135446" customFormat="1" x14ac:dyDescent="0.25"/>
    <row r="135447" customFormat="1" x14ac:dyDescent="0.25"/>
    <row r="135448" customFormat="1" x14ac:dyDescent="0.25"/>
    <row r="135449" customFormat="1" x14ac:dyDescent="0.25"/>
    <row r="135450" customFormat="1" x14ac:dyDescent="0.25"/>
    <row r="135451" customFormat="1" x14ac:dyDescent="0.25"/>
    <row r="135452" customFormat="1" x14ac:dyDescent="0.25"/>
    <row r="135453" customFormat="1" x14ac:dyDescent="0.25"/>
    <row r="135454" customFormat="1" x14ac:dyDescent="0.25"/>
    <row r="135455" customFormat="1" x14ac:dyDescent="0.25"/>
    <row r="135456" customFormat="1" x14ac:dyDescent="0.25"/>
    <row r="135457" customFormat="1" x14ac:dyDescent="0.25"/>
    <row r="135458" customFormat="1" x14ac:dyDescent="0.25"/>
    <row r="135459" customFormat="1" x14ac:dyDescent="0.25"/>
    <row r="135460" customFormat="1" x14ac:dyDescent="0.25"/>
    <row r="135461" customFormat="1" x14ac:dyDescent="0.25"/>
    <row r="135462" customFormat="1" x14ac:dyDescent="0.25"/>
    <row r="135463" customFormat="1" x14ac:dyDescent="0.25"/>
    <row r="135464" customFormat="1" x14ac:dyDescent="0.25"/>
    <row r="135465" customFormat="1" x14ac:dyDescent="0.25"/>
    <row r="135466" customFormat="1" x14ac:dyDescent="0.25"/>
    <row r="135467" customFormat="1" x14ac:dyDescent="0.25"/>
    <row r="135468" customFormat="1" x14ac:dyDescent="0.25"/>
    <row r="135469" customFormat="1" x14ac:dyDescent="0.25"/>
    <row r="135470" customFormat="1" x14ac:dyDescent="0.25"/>
    <row r="135471" customFormat="1" x14ac:dyDescent="0.25"/>
    <row r="135472" customFormat="1" x14ac:dyDescent="0.25"/>
    <row r="135473" customFormat="1" x14ac:dyDescent="0.25"/>
    <row r="135474" customFormat="1" x14ac:dyDescent="0.25"/>
    <row r="135475" customFormat="1" x14ac:dyDescent="0.25"/>
    <row r="135476" customFormat="1" x14ac:dyDescent="0.25"/>
    <row r="135477" customFormat="1" x14ac:dyDescent="0.25"/>
    <row r="135478" customFormat="1" x14ac:dyDescent="0.25"/>
    <row r="135479" customFormat="1" x14ac:dyDescent="0.25"/>
    <row r="135480" customFormat="1" x14ac:dyDescent="0.25"/>
    <row r="135481" customFormat="1" x14ac:dyDescent="0.25"/>
    <row r="135482" customFormat="1" x14ac:dyDescent="0.25"/>
    <row r="135483" customFormat="1" x14ac:dyDescent="0.25"/>
    <row r="135484" customFormat="1" x14ac:dyDescent="0.25"/>
    <row r="135485" customFormat="1" x14ac:dyDescent="0.25"/>
    <row r="135486" customFormat="1" x14ac:dyDescent="0.25"/>
    <row r="135487" customFormat="1" x14ac:dyDescent="0.25"/>
    <row r="135488" customFormat="1" x14ac:dyDescent="0.25"/>
    <row r="135489" customFormat="1" x14ac:dyDescent="0.25"/>
    <row r="135490" customFormat="1" x14ac:dyDescent="0.25"/>
    <row r="135491" customFormat="1" x14ac:dyDescent="0.25"/>
    <row r="135492" customFormat="1" x14ac:dyDescent="0.25"/>
    <row r="135493" customFormat="1" x14ac:dyDescent="0.25"/>
    <row r="135494" customFormat="1" x14ac:dyDescent="0.25"/>
    <row r="135495" customFormat="1" x14ac:dyDescent="0.25"/>
    <row r="135496" customFormat="1" x14ac:dyDescent="0.25"/>
    <row r="135497" customFormat="1" x14ac:dyDescent="0.25"/>
    <row r="135498" customFormat="1" x14ac:dyDescent="0.25"/>
    <row r="135499" customFormat="1" x14ac:dyDescent="0.25"/>
    <row r="135500" customFormat="1" x14ac:dyDescent="0.25"/>
    <row r="135501" customFormat="1" x14ac:dyDescent="0.25"/>
    <row r="135502" customFormat="1" x14ac:dyDescent="0.25"/>
    <row r="135503" customFormat="1" x14ac:dyDescent="0.25"/>
    <row r="135504" customFormat="1" x14ac:dyDescent="0.25"/>
    <row r="135505" customFormat="1" x14ac:dyDescent="0.25"/>
    <row r="135506" customFormat="1" x14ac:dyDescent="0.25"/>
    <row r="135507" customFormat="1" x14ac:dyDescent="0.25"/>
    <row r="135508" customFormat="1" x14ac:dyDescent="0.25"/>
    <row r="135509" customFormat="1" x14ac:dyDescent="0.25"/>
    <row r="135510" customFormat="1" x14ac:dyDescent="0.25"/>
    <row r="135511" customFormat="1" x14ac:dyDescent="0.25"/>
    <row r="135512" customFormat="1" x14ac:dyDescent="0.25"/>
    <row r="135513" customFormat="1" x14ac:dyDescent="0.25"/>
    <row r="135514" customFormat="1" x14ac:dyDescent="0.25"/>
    <row r="135515" customFormat="1" x14ac:dyDescent="0.25"/>
    <row r="135516" customFormat="1" x14ac:dyDescent="0.25"/>
    <row r="135517" customFormat="1" x14ac:dyDescent="0.25"/>
    <row r="135518" customFormat="1" x14ac:dyDescent="0.25"/>
    <row r="135519" customFormat="1" x14ac:dyDescent="0.25"/>
    <row r="135520" customFormat="1" x14ac:dyDescent="0.25"/>
    <row r="135521" customFormat="1" x14ac:dyDescent="0.25"/>
    <row r="135522" customFormat="1" x14ac:dyDescent="0.25"/>
    <row r="135523" customFormat="1" x14ac:dyDescent="0.25"/>
    <row r="135524" customFormat="1" x14ac:dyDescent="0.25"/>
    <row r="135525" customFormat="1" x14ac:dyDescent="0.25"/>
    <row r="135526" customFormat="1" x14ac:dyDescent="0.25"/>
    <row r="135527" customFormat="1" x14ac:dyDescent="0.25"/>
    <row r="135528" customFormat="1" x14ac:dyDescent="0.25"/>
    <row r="135529" customFormat="1" x14ac:dyDescent="0.25"/>
    <row r="135530" customFormat="1" x14ac:dyDescent="0.25"/>
    <row r="135531" customFormat="1" x14ac:dyDescent="0.25"/>
    <row r="135532" customFormat="1" x14ac:dyDescent="0.25"/>
    <row r="135533" customFormat="1" x14ac:dyDescent="0.25"/>
    <row r="135534" customFormat="1" x14ac:dyDescent="0.25"/>
    <row r="135535" customFormat="1" x14ac:dyDescent="0.25"/>
    <row r="135536" customFormat="1" x14ac:dyDescent="0.25"/>
    <row r="135537" customFormat="1" x14ac:dyDescent="0.25"/>
    <row r="135538" customFormat="1" x14ac:dyDescent="0.25"/>
    <row r="135539" customFormat="1" x14ac:dyDescent="0.25"/>
    <row r="135540" customFormat="1" x14ac:dyDescent="0.25"/>
    <row r="135541" customFormat="1" x14ac:dyDescent="0.25"/>
    <row r="135542" customFormat="1" x14ac:dyDescent="0.25"/>
    <row r="135543" customFormat="1" x14ac:dyDescent="0.25"/>
    <row r="135544" customFormat="1" x14ac:dyDescent="0.25"/>
    <row r="135545" customFormat="1" x14ac:dyDescent="0.25"/>
    <row r="135546" customFormat="1" x14ac:dyDescent="0.25"/>
    <row r="135547" customFormat="1" x14ac:dyDescent="0.25"/>
    <row r="135548" customFormat="1" x14ac:dyDescent="0.25"/>
    <row r="135549" customFormat="1" x14ac:dyDescent="0.25"/>
    <row r="135550" customFormat="1" x14ac:dyDescent="0.25"/>
    <row r="135551" customFormat="1" x14ac:dyDescent="0.25"/>
    <row r="135552" customFormat="1" x14ac:dyDescent="0.25"/>
    <row r="135553" customFormat="1" x14ac:dyDescent="0.25"/>
    <row r="135554" customFormat="1" x14ac:dyDescent="0.25"/>
    <row r="135555" customFormat="1" x14ac:dyDescent="0.25"/>
    <row r="135556" customFormat="1" x14ac:dyDescent="0.25"/>
    <row r="135557" customFormat="1" x14ac:dyDescent="0.25"/>
    <row r="135558" customFormat="1" x14ac:dyDescent="0.25"/>
    <row r="135559" customFormat="1" x14ac:dyDescent="0.25"/>
    <row r="135560" customFormat="1" x14ac:dyDescent="0.25"/>
    <row r="135561" customFormat="1" x14ac:dyDescent="0.25"/>
    <row r="135562" customFormat="1" x14ac:dyDescent="0.25"/>
    <row r="135563" customFormat="1" x14ac:dyDescent="0.25"/>
    <row r="135564" customFormat="1" x14ac:dyDescent="0.25"/>
    <row r="135565" customFormat="1" x14ac:dyDescent="0.25"/>
    <row r="135566" customFormat="1" x14ac:dyDescent="0.25"/>
    <row r="135567" customFormat="1" x14ac:dyDescent="0.25"/>
    <row r="135568" customFormat="1" x14ac:dyDescent="0.25"/>
    <row r="135569" customFormat="1" x14ac:dyDescent="0.25"/>
    <row r="135570" customFormat="1" x14ac:dyDescent="0.25"/>
    <row r="135571" customFormat="1" x14ac:dyDescent="0.25"/>
    <row r="135572" customFormat="1" x14ac:dyDescent="0.25"/>
    <row r="135573" customFormat="1" x14ac:dyDescent="0.25"/>
    <row r="135574" customFormat="1" x14ac:dyDescent="0.25"/>
    <row r="135575" customFormat="1" x14ac:dyDescent="0.25"/>
    <row r="135576" customFormat="1" x14ac:dyDescent="0.25"/>
    <row r="135577" customFormat="1" x14ac:dyDescent="0.25"/>
    <row r="135578" customFormat="1" x14ac:dyDescent="0.25"/>
    <row r="135579" customFormat="1" x14ac:dyDescent="0.25"/>
    <row r="135580" customFormat="1" x14ac:dyDescent="0.25"/>
    <row r="135581" customFormat="1" x14ac:dyDescent="0.25"/>
    <row r="135582" customFormat="1" x14ac:dyDescent="0.25"/>
    <row r="135583" customFormat="1" x14ac:dyDescent="0.25"/>
    <row r="135584" customFormat="1" x14ac:dyDescent="0.25"/>
    <row r="135585" customFormat="1" x14ac:dyDescent="0.25"/>
    <row r="135586" customFormat="1" x14ac:dyDescent="0.25"/>
    <row r="135587" customFormat="1" x14ac:dyDescent="0.25"/>
    <row r="135588" customFormat="1" x14ac:dyDescent="0.25"/>
    <row r="135589" customFormat="1" x14ac:dyDescent="0.25"/>
    <row r="135590" customFormat="1" x14ac:dyDescent="0.25"/>
    <row r="135591" customFormat="1" x14ac:dyDescent="0.25"/>
    <row r="135592" customFormat="1" x14ac:dyDescent="0.25"/>
    <row r="135593" customFormat="1" x14ac:dyDescent="0.25"/>
    <row r="135594" customFormat="1" x14ac:dyDescent="0.25"/>
    <row r="135595" customFormat="1" x14ac:dyDescent="0.25"/>
    <row r="135596" customFormat="1" x14ac:dyDescent="0.25"/>
    <row r="135597" customFormat="1" x14ac:dyDescent="0.25"/>
    <row r="135598" customFormat="1" x14ac:dyDescent="0.25"/>
    <row r="135599" customFormat="1" x14ac:dyDescent="0.25"/>
    <row r="135600" customFormat="1" x14ac:dyDescent="0.25"/>
    <row r="135601" customFormat="1" x14ac:dyDescent="0.25"/>
    <row r="135602" customFormat="1" x14ac:dyDescent="0.25"/>
    <row r="135603" customFormat="1" x14ac:dyDescent="0.25"/>
    <row r="135604" customFormat="1" x14ac:dyDescent="0.25"/>
    <row r="135605" customFormat="1" x14ac:dyDescent="0.25"/>
    <row r="135606" customFormat="1" x14ac:dyDescent="0.25"/>
    <row r="135607" customFormat="1" x14ac:dyDescent="0.25"/>
    <row r="135608" customFormat="1" x14ac:dyDescent="0.25"/>
    <row r="135609" customFormat="1" x14ac:dyDescent="0.25"/>
    <row r="135610" customFormat="1" x14ac:dyDescent="0.25"/>
    <row r="135611" customFormat="1" x14ac:dyDescent="0.25"/>
    <row r="135612" customFormat="1" x14ac:dyDescent="0.25"/>
    <row r="135613" customFormat="1" x14ac:dyDescent="0.25"/>
    <row r="135614" customFormat="1" x14ac:dyDescent="0.25"/>
    <row r="135615" customFormat="1" x14ac:dyDescent="0.25"/>
    <row r="135616" customFormat="1" x14ac:dyDescent="0.25"/>
    <row r="135617" customFormat="1" x14ac:dyDescent="0.25"/>
    <row r="135618" customFormat="1" x14ac:dyDescent="0.25"/>
    <row r="135619" customFormat="1" x14ac:dyDescent="0.25"/>
    <row r="135620" customFormat="1" x14ac:dyDescent="0.25"/>
    <row r="135621" customFormat="1" x14ac:dyDescent="0.25"/>
    <row r="135622" customFormat="1" x14ac:dyDescent="0.25"/>
    <row r="135623" customFormat="1" x14ac:dyDescent="0.25"/>
    <row r="135624" customFormat="1" x14ac:dyDescent="0.25"/>
    <row r="135625" customFormat="1" x14ac:dyDescent="0.25"/>
    <row r="135626" customFormat="1" x14ac:dyDescent="0.25"/>
    <row r="135627" customFormat="1" x14ac:dyDescent="0.25"/>
    <row r="135628" customFormat="1" x14ac:dyDescent="0.25"/>
    <row r="135629" customFormat="1" x14ac:dyDescent="0.25"/>
    <row r="135630" customFormat="1" x14ac:dyDescent="0.25"/>
    <row r="135631" customFormat="1" x14ac:dyDescent="0.25"/>
    <row r="135632" customFormat="1" x14ac:dyDescent="0.25"/>
    <row r="135633" customFormat="1" x14ac:dyDescent="0.25"/>
    <row r="135634" customFormat="1" x14ac:dyDescent="0.25"/>
    <row r="135635" customFormat="1" x14ac:dyDescent="0.25"/>
    <row r="135636" customFormat="1" x14ac:dyDescent="0.25"/>
    <row r="135637" customFormat="1" x14ac:dyDescent="0.25"/>
    <row r="135638" customFormat="1" x14ac:dyDescent="0.25"/>
    <row r="135639" customFormat="1" x14ac:dyDescent="0.25"/>
    <row r="135640" customFormat="1" x14ac:dyDescent="0.25"/>
    <row r="135641" customFormat="1" x14ac:dyDescent="0.25"/>
    <row r="135642" customFormat="1" x14ac:dyDescent="0.25"/>
    <row r="135643" customFormat="1" x14ac:dyDescent="0.25"/>
    <row r="135644" customFormat="1" x14ac:dyDescent="0.25"/>
    <row r="135645" customFormat="1" x14ac:dyDescent="0.25"/>
    <row r="135646" customFormat="1" x14ac:dyDescent="0.25"/>
    <row r="135647" customFormat="1" x14ac:dyDescent="0.25"/>
    <row r="135648" customFormat="1" x14ac:dyDescent="0.25"/>
    <row r="135649" customFormat="1" x14ac:dyDescent="0.25"/>
    <row r="135650" customFormat="1" x14ac:dyDescent="0.25"/>
    <row r="135651" customFormat="1" x14ac:dyDescent="0.25"/>
    <row r="135652" customFormat="1" x14ac:dyDescent="0.25"/>
    <row r="135653" customFormat="1" x14ac:dyDescent="0.25"/>
    <row r="135654" customFormat="1" x14ac:dyDescent="0.25"/>
    <row r="135655" customFormat="1" x14ac:dyDescent="0.25"/>
    <row r="135656" customFormat="1" x14ac:dyDescent="0.25"/>
    <row r="135657" customFormat="1" x14ac:dyDescent="0.25"/>
    <row r="135658" customFormat="1" x14ac:dyDescent="0.25"/>
    <row r="135659" customFormat="1" x14ac:dyDescent="0.25"/>
    <row r="135660" customFormat="1" x14ac:dyDescent="0.25"/>
    <row r="135661" customFormat="1" x14ac:dyDescent="0.25"/>
    <row r="135662" customFormat="1" x14ac:dyDescent="0.25"/>
    <row r="135663" customFormat="1" x14ac:dyDescent="0.25"/>
    <row r="135664" customFormat="1" x14ac:dyDescent="0.25"/>
    <row r="135665" customFormat="1" x14ac:dyDescent="0.25"/>
    <row r="135666" customFormat="1" x14ac:dyDescent="0.25"/>
    <row r="135667" customFormat="1" x14ac:dyDescent="0.25"/>
    <row r="135668" customFormat="1" x14ac:dyDescent="0.25"/>
    <row r="135669" customFormat="1" x14ac:dyDescent="0.25"/>
    <row r="135670" customFormat="1" x14ac:dyDescent="0.25"/>
    <row r="135671" customFormat="1" x14ac:dyDescent="0.25"/>
    <row r="135672" customFormat="1" x14ac:dyDescent="0.25"/>
    <row r="135673" customFormat="1" x14ac:dyDescent="0.25"/>
    <row r="135674" customFormat="1" x14ac:dyDescent="0.25"/>
    <row r="135675" customFormat="1" x14ac:dyDescent="0.25"/>
    <row r="135676" customFormat="1" x14ac:dyDescent="0.25"/>
    <row r="135677" customFormat="1" x14ac:dyDescent="0.25"/>
    <row r="135678" customFormat="1" x14ac:dyDescent="0.25"/>
    <row r="135679" customFormat="1" x14ac:dyDescent="0.25"/>
    <row r="135680" customFormat="1" x14ac:dyDescent="0.25"/>
    <row r="135681" customFormat="1" x14ac:dyDescent="0.25"/>
    <row r="135682" customFormat="1" x14ac:dyDescent="0.25"/>
    <row r="135683" customFormat="1" x14ac:dyDescent="0.25"/>
    <row r="135684" customFormat="1" x14ac:dyDescent="0.25"/>
    <row r="135685" customFormat="1" x14ac:dyDescent="0.25"/>
    <row r="135686" customFormat="1" x14ac:dyDescent="0.25"/>
    <row r="135687" customFormat="1" x14ac:dyDescent="0.25"/>
    <row r="135688" customFormat="1" x14ac:dyDescent="0.25"/>
    <row r="135689" customFormat="1" x14ac:dyDescent="0.25"/>
    <row r="135690" customFormat="1" x14ac:dyDescent="0.25"/>
    <row r="135691" customFormat="1" x14ac:dyDescent="0.25"/>
    <row r="135692" customFormat="1" x14ac:dyDescent="0.25"/>
    <row r="135693" customFormat="1" x14ac:dyDescent="0.25"/>
    <row r="135694" customFormat="1" x14ac:dyDescent="0.25"/>
    <row r="135695" customFormat="1" x14ac:dyDescent="0.25"/>
    <row r="135696" customFormat="1" x14ac:dyDescent="0.25"/>
    <row r="135697" customFormat="1" x14ac:dyDescent="0.25"/>
    <row r="135698" customFormat="1" x14ac:dyDescent="0.25"/>
    <row r="135699" customFormat="1" x14ac:dyDescent="0.25"/>
    <row r="135700" customFormat="1" x14ac:dyDescent="0.25"/>
    <row r="135701" customFormat="1" x14ac:dyDescent="0.25"/>
    <row r="135702" customFormat="1" x14ac:dyDescent="0.25"/>
    <row r="135703" customFormat="1" x14ac:dyDescent="0.25"/>
    <row r="135704" customFormat="1" x14ac:dyDescent="0.25"/>
    <row r="135705" customFormat="1" x14ac:dyDescent="0.25"/>
    <row r="135706" customFormat="1" x14ac:dyDescent="0.25"/>
    <row r="135707" customFormat="1" x14ac:dyDescent="0.25"/>
    <row r="135708" customFormat="1" x14ac:dyDescent="0.25"/>
    <row r="135709" customFormat="1" x14ac:dyDescent="0.25"/>
    <row r="135710" customFormat="1" x14ac:dyDescent="0.25"/>
    <row r="135711" customFormat="1" x14ac:dyDescent="0.25"/>
    <row r="135712" customFormat="1" x14ac:dyDescent="0.25"/>
    <row r="135713" customFormat="1" x14ac:dyDescent="0.25"/>
    <row r="135714" customFormat="1" x14ac:dyDescent="0.25"/>
    <row r="135715" customFormat="1" x14ac:dyDescent="0.25"/>
    <row r="135716" customFormat="1" x14ac:dyDescent="0.25"/>
    <row r="135717" customFormat="1" x14ac:dyDescent="0.25"/>
    <row r="135718" customFormat="1" x14ac:dyDescent="0.25"/>
    <row r="135719" customFormat="1" x14ac:dyDescent="0.25"/>
    <row r="135720" customFormat="1" x14ac:dyDescent="0.25"/>
    <row r="135721" customFormat="1" x14ac:dyDescent="0.25"/>
    <row r="135722" customFormat="1" x14ac:dyDescent="0.25"/>
    <row r="135723" customFormat="1" x14ac:dyDescent="0.25"/>
    <row r="135724" customFormat="1" x14ac:dyDescent="0.25"/>
    <row r="135725" customFormat="1" x14ac:dyDescent="0.25"/>
    <row r="135726" customFormat="1" x14ac:dyDescent="0.25"/>
    <row r="135727" customFormat="1" x14ac:dyDescent="0.25"/>
    <row r="135728" customFormat="1" x14ac:dyDescent="0.25"/>
    <row r="135729" customFormat="1" x14ac:dyDescent="0.25"/>
    <row r="135730" customFormat="1" x14ac:dyDescent="0.25"/>
    <row r="135731" customFormat="1" x14ac:dyDescent="0.25"/>
    <row r="135732" customFormat="1" x14ac:dyDescent="0.25"/>
    <row r="135733" customFormat="1" x14ac:dyDescent="0.25"/>
    <row r="135734" customFormat="1" x14ac:dyDescent="0.25"/>
    <row r="135735" customFormat="1" x14ac:dyDescent="0.25"/>
    <row r="135736" customFormat="1" x14ac:dyDescent="0.25"/>
    <row r="135737" customFormat="1" x14ac:dyDescent="0.25"/>
    <row r="135738" customFormat="1" x14ac:dyDescent="0.25"/>
    <row r="135739" customFormat="1" x14ac:dyDescent="0.25"/>
    <row r="135740" customFormat="1" x14ac:dyDescent="0.25"/>
    <row r="135741" customFormat="1" x14ac:dyDescent="0.25"/>
    <row r="135742" customFormat="1" x14ac:dyDescent="0.25"/>
    <row r="135743" customFormat="1" x14ac:dyDescent="0.25"/>
    <row r="135744" customFormat="1" x14ac:dyDescent="0.25"/>
    <row r="135745" customFormat="1" x14ac:dyDescent="0.25"/>
    <row r="135746" customFormat="1" x14ac:dyDescent="0.25"/>
    <row r="135747" customFormat="1" x14ac:dyDescent="0.25"/>
    <row r="135748" customFormat="1" x14ac:dyDescent="0.25"/>
    <row r="135749" customFormat="1" x14ac:dyDescent="0.25"/>
    <row r="135750" customFormat="1" x14ac:dyDescent="0.25"/>
    <row r="135751" customFormat="1" x14ac:dyDescent="0.25"/>
    <row r="135752" customFormat="1" x14ac:dyDescent="0.25"/>
    <row r="135753" customFormat="1" x14ac:dyDescent="0.25"/>
    <row r="135754" customFormat="1" x14ac:dyDescent="0.25"/>
    <row r="135755" customFormat="1" x14ac:dyDescent="0.25"/>
    <row r="135756" customFormat="1" x14ac:dyDescent="0.25"/>
    <row r="135757" customFormat="1" x14ac:dyDescent="0.25"/>
    <row r="135758" customFormat="1" x14ac:dyDescent="0.25"/>
    <row r="135759" customFormat="1" x14ac:dyDescent="0.25"/>
    <row r="135760" customFormat="1" x14ac:dyDescent="0.25"/>
    <row r="135761" customFormat="1" x14ac:dyDescent="0.25"/>
    <row r="135762" customFormat="1" x14ac:dyDescent="0.25"/>
    <row r="135763" customFormat="1" x14ac:dyDescent="0.25"/>
    <row r="135764" customFormat="1" x14ac:dyDescent="0.25"/>
    <row r="135765" customFormat="1" x14ac:dyDescent="0.25"/>
    <row r="135766" customFormat="1" x14ac:dyDescent="0.25"/>
    <row r="135767" customFormat="1" x14ac:dyDescent="0.25"/>
    <row r="135768" customFormat="1" x14ac:dyDescent="0.25"/>
    <row r="135769" customFormat="1" x14ac:dyDescent="0.25"/>
    <row r="135770" customFormat="1" x14ac:dyDescent="0.25"/>
    <row r="135771" customFormat="1" x14ac:dyDescent="0.25"/>
    <row r="135772" customFormat="1" x14ac:dyDescent="0.25"/>
    <row r="135773" customFormat="1" x14ac:dyDescent="0.25"/>
    <row r="135774" customFormat="1" x14ac:dyDescent="0.25"/>
    <row r="135775" customFormat="1" x14ac:dyDescent="0.25"/>
    <row r="135776" customFormat="1" x14ac:dyDescent="0.25"/>
    <row r="135777" customFormat="1" x14ac:dyDescent="0.25"/>
    <row r="135778" customFormat="1" x14ac:dyDescent="0.25"/>
    <row r="135779" customFormat="1" x14ac:dyDescent="0.25"/>
    <row r="135780" customFormat="1" x14ac:dyDescent="0.25"/>
    <row r="135781" customFormat="1" x14ac:dyDescent="0.25"/>
    <row r="135782" customFormat="1" x14ac:dyDescent="0.25"/>
    <row r="135783" customFormat="1" x14ac:dyDescent="0.25"/>
    <row r="135784" customFormat="1" x14ac:dyDescent="0.25"/>
    <row r="135785" customFormat="1" x14ac:dyDescent="0.25"/>
    <row r="135786" customFormat="1" x14ac:dyDescent="0.25"/>
    <row r="135787" customFormat="1" x14ac:dyDescent="0.25"/>
    <row r="135788" customFormat="1" x14ac:dyDescent="0.25"/>
    <row r="135789" customFormat="1" x14ac:dyDescent="0.25"/>
    <row r="135790" customFormat="1" x14ac:dyDescent="0.25"/>
    <row r="135791" customFormat="1" x14ac:dyDescent="0.25"/>
    <row r="135792" customFormat="1" x14ac:dyDescent="0.25"/>
    <row r="135793" customFormat="1" x14ac:dyDescent="0.25"/>
    <row r="135794" customFormat="1" x14ac:dyDescent="0.25"/>
    <row r="135795" customFormat="1" x14ac:dyDescent="0.25"/>
    <row r="135796" customFormat="1" x14ac:dyDescent="0.25"/>
    <row r="135797" customFormat="1" x14ac:dyDescent="0.25"/>
    <row r="135798" customFormat="1" x14ac:dyDescent="0.25"/>
    <row r="135799" customFormat="1" x14ac:dyDescent="0.25"/>
    <row r="135800" customFormat="1" x14ac:dyDescent="0.25"/>
    <row r="135801" customFormat="1" x14ac:dyDescent="0.25"/>
    <row r="135802" customFormat="1" x14ac:dyDescent="0.25"/>
    <row r="135803" customFormat="1" x14ac:dyDescent="0.25"/>
    <row r="135804" customFormat="1" x14ac:dyDescent="0.25"/>
    <row r="135805" customFormat="1" x14ac:dyDescent="0.25"/>
    <row r="135806" customFormat="1" x14ac:dyDescent="0.25"/>
    <row r="135807" customFormat="1" x14ac:dyDescent="0.25"/>
    <row r="135808" customFormat="1" x14ac:dyDescent="0.25"/>
    <row r="135809" customFormat="1" x14ac:dyDescent="0.25"/>
    <row r="135810" customFormat="1" x14ac:dyDescent="0.25"/>
    <row r="135811" customFormat="1" x14ac:dyDescent="0.25"/>
    <row r="135812" customFormat="1" x14ac:dyDescent="0.25"/>
    <row r="135813" customFormat="1" x14ac:dyDescent="0.25"/>
    <row r="135814" customFormat="1" x14ac:dyDescent="0.25"/>
    <row r="135815" customFormat="1" x14ac:dyDescent="0.25"/>
    <row r="135816" customFormat="1" x14ac:dyDescent="0.25"/>
    <row r="135817" customFormat="1" x14ac:dyDescent="0.25"/>
    <row r="135818" customFormat="1" x14ac:dyDescent="0.25"/>
    <row r="135819" customFormat="1" x14ac:dyDescent="0.25"/>
    <row r="135820" customFormat="1" x14ac:dyDescent="0.25"/>
    <row r="135821" customFormat="1" x14ac:dyDescent="0.25"/>
    <row r="135822" customFormat="1" x14ac:dyDescent="0.25"/>
    <row r="135823" customFormat="1" x14ac:dyDescent="0.25"/>
    <row r="135824" customFormat="1" x14ac:dyDescent="0.25"/>
    <row r="135825" customFormat="1" x14ac:dyDescent="0.25"/>
    <row r="135826" customFormat="1" x14ac:dyDescent="0.25"/>
    <row r="135827" customFormat="1" x14ac:dyDescent="0.25"/>
    <row r="135828" customFormat="1" x14ac:dyDescent="0.25"/>
    <row r="135829" customFormat="1" x14ac:dyDescent="0.25"/>
    <row r="135830" customFormat="1" x14ac:dyDescent="0.25"/>
    <row r="135831" customFormat="1" x14ac:dyDescent="0.25"/>
    <row r="135832" customFormat="1" x14ac:dyDescent="0.25"/>
    <row r="135833" customFormat="1" x14ac:dyDescent="0.25"/>
    <row r="135834" customFormat="1" x14ac:dyDescent="0.25"/>
    <row r="135835" customFormat="1" x14ac:dyDescent="0.25"/>
    <row r="135836" customFormat="1" x14ac:dyDescent="0.25"/>
    <row r="135837" customFormat="1" x14ac:dyDescent="0.25"/>
    <row r="135838" customFormat="1" x14ac:dyDescent="0.25"/>
    <row r="135839" customFormat="1" x14ac:dyDescent="0.25"/>
    <row r="135840" customFormat="1" x14ac:dyDescent="0.25"/>
    <row r="135841" customFormat="1" x14ac:dyDescent="0.25"/>
    <row r="135842" customFormat="1" x14ac:dyDescent="0.25"/>
    <row r="135843" customFormat="1" x14ac:dyDescent="0.25"/>
    <row r="135844" customFormat="1" x14ac:dyDescent="0.25"/>
    <row r="135845" customFormat="1" x14ac:dyDescent="0.25"/>
    <row r="135846" customFormat="1" x14ac:dyDescent="0.25"/>
    <row r="135847" customFormat="1" x14ac:dyDescent="0.25"/>
    <row r="135848" customFormat="1" x14ac:dyDescent="0.25"/>
    <row r="135849" customFormat="1" x14ac:dyDescent="0.25"/>
    <row r="135850" customFormat="1" x14ac:dyDescent="0.25"/>
    <row r="135851" customFormat="1" x14ac:dyDescent="0.25"/>
    <row r="135852" customFormat="1" x14ac:dyDescent="0.25"/>
    <row r="135853" customFormat="1" x14ac:dyDescent="0.25"/>
    <row r="135854" customFormat="1" x14ac:dyDescent="0.25"/>
    <row r="135855" customFormat="1" x14ac:dyDescent="0.25"/>
    <row r="135856" customFormat="1" x14ac:dyDescent="0.25"/>
    <row r="135857" customFormat="1" x14ac:dyDescent="0.25"/>
    <row r="135858" customFormat="1" x14ac:dyDescent="0.25"/>
    <row r="135859" customFormat="1" x14ac:dyDescent="0.25"/>
    <row r="135860" customFormat="1" x14ac:dyDescent="0.25"/>
    <row r="135861" customFormat="1" x14ac:dyDescent="0.25"/>
    <row r="135862" customFormat="1" x14ac:dyDescent="0.25"/>
    <row r="135863" customFormat="1" x14ac:dyDescent="0.25"/>
    <row r="135864" customFormat="1" x14ac:dyDescent="0.25"/>
    <row r="135865" customFormat="1" x14ac:dyDescent="0.25"/>
    <row r="135866" customFormat="1" x14ac:dyDescent="0.25"/>
    <row r="135867" customFormat="1" x14ac:dyDescent="0.25"/>
    <row r="135868" customFormat="1" x14ac:dyDescent="0.25"/>
    <row r="135869" customFormat="1" x14ac:dyDescent="0.25"/>
    <row r="135870" customFormat="1" x14ac:dyDescent="0.25"/>
    <row r="135871" customFormat="1" x14ac:dyDescent="0.25"/>
    <row r="135872" customFormat="1" x14ac:dyDescent="0.25"/>
    <row r="135873" customFormat="1" x14ac:dyDescent="0.25"/>
    <row r="135874" customFormat="1" x14ac:dyDescent="0.25"/>
    <row r="135875" customFormat="1" x14ac:dyDescent="0.25"/>
    <row r="135876" customFormat="1" x14ac:dyDescent="0.25"/>
    <row r="135877" customFormat="1" x14ac:dyDescent="0.25"/>
    <row r="135878" customFormat="1" x14ac:dyDescent="0.25"/>
    <row r="135879" customFormat="1" x14ac:dyDescent="0.25"/>
    <row r="135880" customFormat="1" x14ac:dyDescent="0.25"/>
    <row r="135881" customFormat="1" x14ac:dyDescent="0.25"/>
    <row r="135882" customFormat="1" x14ac:dyDescent="0.25"/>
    <row r="135883" customFormat="1" x14ac:dyDescent="0.25"/>
    <row r="135884" customFormat="1" x14ac:dyDescent="0.25"/>
    <row r="135885" customFormat="1" x14ac:dyDescent="0.25"/>
    <row r="135886" customFormat="1" x14ac:dyDescent="0.25"/>
    <row r="135887" customFormat="1" x14ac:dyDescent="0.25"/>
    <row r="135888" customFormat="1" x14ac:dyDescent="0.25"/>
    <row r="135889" customFormat="1" x14ac:dyDescent="0.25"/>
    <row r="135890" customFormat="1" x14ac:dyDescent="0.25"/>
    <row r="135891" customFormat="1" x14ac:dyDescent="0.25"/>
    <row r="135892" customFormat="1" x14ac:dyDescent="0.25"/>
    <row r="135893" customFormat="1" x14ac:dyDescent="0.25"/>
    <row r="135894" customFormat="1" x14ac:dyDescent="0.25"/>
    <row r="135895" customFormat="1" x14ac:dyDescent="0.25"/>
    <row r="135896" customFormat="1" x14ac:dyDescent="0.25"/>
    <row r="135897" customFormat="1" x14ac:dyDescent="0.25"/>
    <row r="135898" customFormat="1" x14ac:dyDescent="0.25"/>
    <row r="135899" customFormat="1" x14ac:dyDescent="0.25"/>
    <row r="135900" customFormat="1" x14ac:dyDescent="0.25"/>
    <row r="135901" customFormat="1" x14ac:dyDescent="0.25"/>
    <row r="135902" customFormat="1" x14ac:dyDescent="0.25"/>
    <row r="135903" customFormat="1" x14ac:dyDescent="0.25"/>
    <row r="135904" customFormat="1" x14ac:dyDescent="0.25"/>
    <row r="135905" customFormat="1" x14ac:dyDescent="0.25"/>
    <row r="135906" customFormat="1" x14ac:dyDescent="0.25"/>
    <row r="135907" customFormat="1" x14ac:dyDescent="0.25"/>
    <row r="135908" customFormat="1" x14ac:dyDescent="0.25"/>
    <row r="135909" customFormat="1" x14ac:dyDescent="0.25"/>
    <row r="135910" customFormat="1" x14ac:dyDescent="0.25"/>
    <row r="135911" customFormat="1" x14ac:dyDescent="0.25"/>
    <row r="135912" customFormat="1" x14ac:dyDescent="0.25"/>
    <row r="135913" customFormat="1" x14ac:dyDescent="0.25"/>
    <row r="135914" customFormat="1" x14ac:dyDescent="0.25"/>
    <row r="135915" customFormat="1" x14ac:dyDescent="0.25"/>
    <row r="135916" customFormat="1" x14ac:dyDescent="0.25"/>
    <row r="135917" customFormat="1" x14ac:dyDescent="0.25"/>
    <row r="135918" customFormat="1" x14ac:dyDescent="0.25"/>
    <row r="135919" customFormat="1" x14ac:dyDescent="0.25"/>
    <row r="135920" customFormat="1" x14ac:dyDescent="0.25"/>
    <row r="135921" customFormat="1" x14ac:dyDescent="0.25"/>
    <row r="135922" customFormat="1" x14ac:dyDescent="0.25"/>
    <row r="135923" customFormat="1" x14ac:dyDescent="0.25"/>
    <row r="135924" customFormat="1" x14ac:dyDescent="0.25"/>
    <row r="135925" customFormat="1" x14ac:dyDescent="0.25"/>
    <row r="135926" customFormat="1" x14ac:dyDescent="0.25"/>
    <row r="135927" customFormat="1" x14ac:dyDescent="0.25"/>
    <row r="135928" customFormat="1" x14ac:dyDescent="0.25"/>
    <row r="135929" customFormat="1" x14ac:dyDescent="0.25"/>
    <row r="135930" customFormat="1" x14ac:dyDescent="0.25"/>
    <row r="135931" customFormat="1" x14ac:dyDescent="0.25"/>
    <row r="135932" customFormat="1" x14ac:dyDescent="0.25"/>
    <row r="135933" customFormat="1" x14ac:dyDescent="0.25"/>
    <row r="135934" customFormat="1" x14ac:dyDescent="0.25"/>
    <row r="135935" customFormat="1" x14ac:dyDescent="0.25"/>
    <row r="135936" customFormat="1" x14ac:dyDescent="0.25"/>
    <row r="135937" customFormat="1" x14ac:dyDescent="0.25"/>
    <row r="135938" customFormat="1" x14ac:dyDescent="0.25"/>
    <row r="135939" customFormat="1" x14ac:dyDescent="0.25"/>
    <row r="135940" customFormat="1" x14ac:dyDescent="0.25"/>
    <row r="135941" customFormat="1" x14ac:dyDescent="0.25"/>
    <row r="135942" customFormat="1" x14ac:dyDescent="0.25"/>
    <row r="135943" customFormat="1" x14ac:dyDescent="0.25"/>
    <row r="135944" customFormat="1" x14ac:dyDescent="0.25"/>
    <row r="135945" customFormat="1" x14ac:dyDescent="0.25"/>
    <row r="135946" customFormat="1" x14ac:dyDescent="0.25"/>
    <row r="135947" customFormat="1" x14ac:dyDescent="0.25"/>
    <row r="135948" customFormat="1" x14ac:dyDescent="0.25"/>
    <row r="135949" customFormat="1" x14ac:dyDescent="0.25"/>
    <row r="135950" customFormat="1" x14ac:dyDescent="0.25"/>
    <row r="135951" customFormat="1" x14ac:dyDescent="0.25"/>
    <row r="135952" customFormat="1" x14ac:dyDescent="0.25"/>
    <row r="135953" customFormat="1" x14ac:dyDescent="0.25"/>
    <row r="135954" customFormat="1" x14ac:dyDescent="0.25"/>
    <row r="135955" customFormat="1" x14ac:dyDescent="0.25"/>
    <row r="135956" customFormat="1" x14ac:dyDescent="0.25"/>
    <row r="135957" customFormat="1" x14ac:dyDescent="0.25"/>
    <row r="135958" customFormat="1" x14ac:dyDescent="0.25"/>
    <row r="135959" customFormat="1" x14ac:dyDescent="0.25"/>
    <row r="135960" customFormat="1" x14ac:dyDescent="0.25"/>
    <row r="135961" customFormat="1" x14ac:dyDescent="0.25"/>
    <row r="135962" customFormat="1" x14ac:dyDescent="0.25"/>
    <row r="135963" customFormat="1" x14ac:dyDescent="0.25"/>
    <row r="135964" customFormat="1" x14ac:dyDescent="0.25"/>
    <row r="135965" customFormat="1" x14ac:dyDescent="0.25"/>
    <row r="135966" customFormat="1" x14ac:dyDescent="0.25"/>
    <row r="135967" customFormat="1" x14ac:dyDescent="0.25"/>
    <row r="135968" customFormat="1" x14ac:dyDescent="0.25"/>
    <row r="135969" customFormat="1" x14ac:dyDescent="0.25"/>
    <row r="135970" customFormat="1" x14ac:dyDescent="0.25"/>
    <row r="135971" customFormat="1" x14ac:dyDescent="0.25"/>
    <row r="135972" customFormat="1" x14ac:dyDescent="0.25"/>
    <row r="135973" customFormat="1" x14ac:dyDescent="0.25"/>
    <row r="135974" customFormat="1" x14ac:dyDescent="0.25"/>
    <row r="135975" customFormat="1" x14ac:dyDescent="0.25"/>
    <row r="135976" customFormat="1" x14ac:dyDescent="0.25"/>
    <row r="135977" customFormat="1" x14ac:dyDescent="0.25"/>
    <row r="135978" customFormat="1" x14ac:dyDescent="0.25"/>
    <row r="135979" customFormat="1" x14ac:dyDescent="0.25"/>
    <row r="135980" customFormat="1" x14ac:dyDescent="0.25"/>
    <row r="135981" customFormat="1" x14ac:dyDescent="0.25"/>
    <row r="135982" customFormat="1" x14ac:dyDescent="0.25"/>
    <row r="135983" customFormat="1" x14ac:dyDescent="0.25"/>
    <row r="135984" customFormat="1" x14ac:dyDescent="0.25"/>
    <row r="135985" customFormat="1" x14ac:dyDescent="0.25"/>
    <row r="135986" customFormat="1" x14ac:dyDescent="0.25"/>
    <row r="135987" customFormat="1" x14ac:dyDescent="0.25"/>
    <row r="135988" customFormat="1" x14ac:dyDescent="0.25"/>
    <row r="135989" customFormat="1" x14ac:dyDescent="0.25"/>
    <row r="135990" customFormat="1" x14ac:dyDescent="0.25"/>
    <row r="135991" customFormat="1" x14ac:dyDescent="0.25"/>
    <row r="135992" customFormat="1" x14ac:dyDescent="0.25"/>
    <row r="135993" customFormat="1" x14ac:dyDescent="0.25"/>
    <row r="135994" customFormat="1" x14ac:dyDescent="0.25"/>
    <row r="135995" customFormat="1" x14ac:dyDescent="0.25"/>
    <row r="135996" customFormat="1" x14ac:dyDescent="0.25"/>
    <row r="135997" customFormat="1" x14ac:dyDescent="0.25"/>
    <row r="135998" customFormat="1" x14ac:dyDescent="0.25"/>
    <row r="135999" customFormat="1" x14ac:dyDescent="0.25"/>
    <row r="136000" customFormat="1" x14ac:dyDescent="0.25"/>
    <row r="136001" customFormat="1" x14ac:dyDescent="0.25"/>
    <row r="136002" customFormat="1" x14ac:dyDescent="0.25"/>
    <row r="136003" customFormat="1" x14ac:dyDescent="0.25"/>
    <row r="136004" customFormat="1" x14ac:dyDescent="0.25"/>
    <row r="136005" customFormat="1" x14ac:dyDescent="0.25"/>
    <row r="136006" customFormat="1" x14ac:dyDescent="0.25"/>
    <row r="136007" customFormat="1" x14ac:dyDescent="0.25"/>
    <row r="136008" customFormat="1" x14ac:dyDescent="0.25"/>
    <row r="136009" customFormat="1" x14ac:dyDescent="0.25"/>
    <row r="136010" customFormat="1" x14ac:dyDescent="0.25"/>
    <row r="136011" customFormat="1" x14ac:dyDescent="0.25"/>
    <row r="136012" customFormat="1" x14ac:dyDescent="0.25"/>
    <row r="136013" customFormat="1" x14ac:dyDescent="0.25"/>
    <row r="136014" customFormat="1" x14ac:dyDescent="0.25"/>
    <row r="136015" customFormat="1" x14ac:dyDescent="0.25"/>
    <row r="136016" customFormat="1" x14ac:dyDescent="0.25"/>
    <row r="136017" customFormat="1" x14ac:dyDescent="0.25"/>
    <row r="136018" customFormat="1" x14ac:dyDescent="0.25"/>
    <row r="136019" customFormat="1" x14ac:dyDescent="0.25"/>
    <row r="136020" customFormat="1" x14ac:dyDescent="0.25"/>
    <row r="136021" customFormat="1" x14ac:dyDescent="0.25"/>
    <row r="136022" customFormat="1" x14ac:dyDescent="0.25"/>
    <row r="136023" customFormat="1" x14ac:dyDescent="0.25"/>
    <row r="136024" customFormat="1" x14ac:dyDescent="0.25"/>
    <row r="136025" customFormat="1" x14ac:dyDescent="0.25"/>
    <row r="136026" customFormat="1" x14ac:dyDescent="0.25"/>
    <row r="136027" customFormat="1" x14ac:dyDescent="0.25"/>
    <row r="136028" customFormat="1" x14ac:dyDescent="0.25"/>
    <row r="136029" customFormat="1" x14ac:dyDescent="0.25"/>
    <row r="136030" customFormat="1" x14ac:dyDescent="0.25"/>
    <row r="136031" customFormat="1" x14ac:dyDescent="0.25"/>
    <row r="136032" customFormat="1" x14ac:dyDescent="0.25"/>
    <row r="136033" customFormat="1" x14ac:dyDescent="0.25"/>
    <row r="136034" customFormat="1" x14ac:dyDescent="0.25"/>
    <row r="136035" customFormat="1" x14ac:dyDescent="0.25"/>
    <row r="136036" customFormat="1" x14ac:dyDescent="0.25"/>
    <row r="136037" customFormat="1" x14ac:dyDescent="0.25"/>
    <row r="136038" customFormat="1" x14ac:dyDescent="0.25"/>
    <row r="136039" customFormat="1" x14ac:dyDescent="0.25"/>
    <row r="136040" customFormat="1" x14ac:dyDescent="0.25"/>
    <row r="136041" customFormat="1" x14ac:dyDescent="0.25"/>
    <row r="136042" customFormat="1" x14ac:dyDescent="0.25"/>
    <row r="136043" customFormat="1" x14ac:dyDescent="0.25"/>
    <row r="136044" customFormat="1" x14ac:dyDescent="0.25"/>
    <row r="136045" customFormat="1" x14ac:dyDescent="0.25"/>
    <row r="136046" customFormat="1" x14ac:dyDescent="0.25"/>
    <row r="136047" customFormat="1" x14ac:dyDescent="0.25"/>
    <row r="136048" customFormat="1" x14ac:dyDescent="0.25"/>
    <row r="136049" customFormat="1" x14ac:dyDescent="0.25"/>
    <row r="136050" customFormat="1" x14ac:dyDescent="0.25"/>
    <row r="136051" customFormat="1" x14ac:dyDescent="0.25"/>
    <row r="136052" customFormat="1" x14ac:dyDescent="0.25"/>
    <row r="136053" customFormat="1" x14ac:dyDescent="0.25"/>
    <row r="136054" customFormat="1" x14ac:dyDescent="0.25"/>
    <row r="136055" customFormat="1" x14ac:dyDescent="0.25"/>
    <row r="136056" customFormat="1" x14ac:dyDescent="0.25"/>
    <row r="136057" customFormat="1" x14ac:dyDescent="0.25"/>
    <row r="136058" customFormat="1" x14ac:dyDescent="0.25"/>
    <row r="136059" customFormat="1" x14ac:dyDescent="0.25"/>
    <row r="136060" customFormat="1" x14ac:dyDescent="0.25"/>
    <row r="136061" customFormat="1" x14ac:dyDescent="0.25"/>
    <row r="136062" customFormat="1" x14ac:dyDescent="0.25"/>
    <row r="136063" customFormat="1" x14ac:dyDescent="0.25"/>
    <row r="136064" customFormat="1" x14ac:dyDescent="0.25"/>
    <row r="136065" customFormat="1" x14ac:dyDescent="0.25"/>
    <row r="136066" customFormat="1" x14ac:dyDescent="0.25"/>
    <row r="136067" customFormat="1" x14ac:dyDescent="0.25"/>
    <row r="136068" customFormat="1" x14ac:dyDescent="0.25"/>
    <row r="136069" customFormat="1" x14ac:dyDescent="0.25"/>
    <row r="136070" customFormat="1" x14ac:dyDescent="0.25"/>
    <row r="136071" customFormat="1" x14ac:dyDescent="0.25"/>
    <row r="136072" customFormat="1" x14ac:dyDescent="0.25"/>
    <row r="136073" customFormat="1" x14ac:dyDescent="0.25"/>
    <row r="136074" customFormat="1" x14ac:dyDescent="0.25"/>
    <row r="136075" customFormat="1" x14ac:dyDescent="0.25"/>
    <row r="136076" customFormat="1" x14ac:dyDescent="0.25"/>
    <row r="136077" customFormat="1" x14ac:dyDescent="0.25"/>
    <row r="136078" customFormat="1" x14ac:dyDescent="0.25"/>
    <row r="136079" customFormat="1" x14ac:dyDescent="0.25"/>
    <row r="136080" customFormat="1" x14ac:dyDescent="0.25"/>
    <row r="136081" customFormat="1" x14ac:dyDescent="0.25"/>
    <row r="136082" customFormat="1" x14ac:dyDescent="0.25"/>
    <row r="136083" customFormat="1" x14ac:dyDescent="0.25"/>
    <row r="136084" customFormat="1" x14ac:dyDescent="0.25"/>
    <row r="136085" customFormat="1" x14ac:dyDescent="0.25"/>
    <row r="136086" customFormat="1" x14ac:dyDescent="0.25"/>
    <row r="136087" customFormat="1" x14ac:dyDescent="0.25"/>
    <row r="136088" customFormat="1" x14ac:dyDescent="0.25"/>
    <row r="136089" customFormat="1" x14ac:dyDescent="0.25"/>
    <row r="136090" customFormat="1" x14ac:dyDescent="0.25"/>
    <row r="136091" customFormat="1" x14ac:dyDescent="0.25"/>
    <row r="136092" customFormat="1" x14ac:dyDescent="0.25"/>
    <row r="136093" customFormat="1" x14ac:dyDescent="0.25"/>
    <row r="136094" customFormat="1" x14ac:dyDescent="0.25"/>
    <row r="136095" customFormat="1" x14ac:dyDescent="0.25"/>
    <row r="136096" customFormat="1" x14ac:dyDescent="0.25"/>
    <row r="136097" customFormat="1" x14ac:dyDescent="0.25"/>
    <row r="136098" customFormat="1" x14ac:dyDescent="0.25"/>
    <row r="136099" customFormat="1" x14ac:dyDescent="0.25"/>
    <row r="136100" customFormat="1" x14ac:dyDescent="0.25"/>
    <row r="136101" customFormat="1" x14ac:dyDescent="0.25"/>
    <row r="136102" customFormat="1" x14ac:dyDescent="0.25"/>
    <row r="136103" customFormat="1" x14ac:dyDescent="0.25"/>
    <row r="136104" customFormat="1" x14ac:dyDescent="0.25"/>
    <row r="136105" customFormat="1" x14ac:dyDescent="0.25"/>
    <row r="136106" customFormat="1" x14ac:dyDescent="0.25"/>
    <row r="136107" customFormat="1" x14ac:dyDescent="0.25"/>
    <row r="136108" customFormat="1" x14ac:dyDescent="0.25"/>
    <row r="136109" customFormat="1" x14ac:dyDescent="0.25"/>
    <row r="136110" customFormat="1" x14ac:dyDescent="0.25"/>
    <row r="136111" customFormat="1" x14ac:dyDescent="0.25"/>
    <row r="136112" customFormat="1" x14ac:dyDescent="0.25"/>
    <row r="136113" customFormat="1" x14ac:dyDescent="0.25"/>
    <row r="136114" customFormat="1" x14ac:dyDescent="0.25"/>
    <row r="136115" customFormat="1" x14ac:dyDescent="0.25"/>
    <row r="136116" customFormat="1" x14ac:dyDescent="0.25"/>
    <row r="136117" customFormat="1" x14ac:dyDescent="0.25"/>
    <row r="136118" customFormat="1" x14ac:dyDescent="0.25"/>
    <row r="136119" customFormat="1" x14ac:dyDescent="0.25"/>
    <row r="136120" customFormat="1" x14ac:dyDescent="0.25"/>
    <row r="136121" customFormat="1" x14ac:dyDescent="0.25"/>
    <row r="136122" customFormat="1" x14ac:dyDescent="0.25"/>
    <row r="136123" customFormat="1" x14ac:dyDescent="0.25"/>
    <row r="136124" customFormat="1" x14ac:dyDescent="0.25"/>
    <row r="136125" customFormat="1" x14ac:dyDescent="0.25"/>
    <row r="136126" customFormat="1" x14ac:dyDescent="0.25"/>
    <row r="136127" customFormat="1" x14ac:dyDescent="0.25"/>
    <row r="136128" customFormat="1" x14ac:dyDescent="0.25"/>
    <row r="136129" customFormat="1" x14ac:dyDescent="0.25"/>
    <row r="136130" customFormat="1" x14ac:dyDescent="0.25"/>
    <row r="136131" customFormat="1" x14ac:dyDescent="0.25"/>
    <row r="136132" customFormat="1" x14ac:dyDescent="0.25"/>
    <row r="136133" customFormat="1" x14ac:dyDescent="0.25"/>
    <row r="136134" customFormat="1" x14ac:dyDescent="0.25"/>
    <row r="136135" customFormat="1" x14ac:dyDescent="0.25"/>
    <row r="136136" customFormat="1" x14ac:dyDescent="0.25"/>
    <row r="136137" customFormat="1" x14ac:dyDescent="0.25"/>
    <row r="136138" customFormat="1" x14ac:dyDescent="0.25"/>
    <row r="136139" customFormat="1" x14ac:dyDescent="0.25"/>
    <row r="136140" customFormat="1" x14ac:dyDescent="0.25"/>
    <row r="136141" customFormat="1" x14ac:dyDescent="0.25"/>
    <row r="136142" customFormat="1" x14ac:dyDescent="0.25"/>
    <row r="136143" customFormat="1" x14ac:dyDescent="0.25"/>
    <row r="136144" customFormat="1" x14ac:dyDescent="0.25"/>
    <row r="136145" customFormat="1" x14ac:dyDescent="0.25"/>
    <row r="136146" customFormat="1" x14ac:dyDescent="0.25"/>
    <row r="136147" customFormat="1" x14ac:dyDescent="0.25"/>
    <row r="136148" customFormat="1" x14ac:dyDescent="0.25"/>
    <row r="136149" customFormat="1" x14ac:dyDescent="0.25"/>
    <row r="136150" customFormat="1" x14ac:dyDescent="0.25"/>
    <row r="136151" customFormat="1" x14ac:dyDescent="0.25"/>
    <row r="136152" customFormat="1" x14ac:dyDescent="0.25"/>
    <row r="136153" customFormat="1" x14ac:dyDescent="0.25"/>
    <row r="136154" customFormat="1" x14ac:dyDescent="0.25"/>
    <row r="136155" customFormat="1" x14ac:dyDescent="0.25"/>
    <row r="136156" customFormat="1" x14ac:dyDescent="0.25"/>
    <row r="136157" customFormat="1" x14ac:dyDescent="0.25"/>
    <row r="136158" customFormat="1" x14ac:dyDescent="0.25"/>
    <row r="136159" customFormat="1" x14ac:dyDescent="0.25"/>
    <row r="136160" customFormat="1" x14ac:dyDescent="0.25"/>
    <row r="136161" customFormat="1" x14ac:dyDescent="0.25"/>
    <row r="136162" customFormat="1" x14ac:dyDescent="0.25"/>
    <row r="136163" customFormat="1" x14ac:dyDescent="0.25"/>
    <row r="136164" customFormat="1" x14ac:dyDescent="0.25"/>
    <row r="136165" customFormat="1" x14ac:dyDescent="0.25"/>
    <row r="136166" customFormat="1" x14ac:dyDescent="0.25"/>
    <row r="136167" customFormat="1" x14ac:dyDescent="0.25"/>
    <row r="136168" customFormat="1" x14ac:dyDescent="0.25"/>
    <row r="136169" customFormat="1" x14ac:dyDescent="0.25"/>
    <row r="136170" customFormat="1" x14ac:dyDescent="0.25"/>
    <row r="136171" customFormat="1" x14ac:dyDescent="0.25"/>
    <row r="136172" customFormat="1" x14ac:dyDescent="0.25"/>
    <row r="136173" customFormat="1" x14ac:dyDescent="0.25"/>
    <row r="136174" customFormat="1" x14ac:dyDescent="0.25"/>
    <row r="136175" customFormat="1" x14ac:dyDescent="0.25"/>
    <row r="136176" customFormat="1" x14ac:dyDescent="0.25"/>
    <row r="136177" customFormat="1" x14ac:dyDescent="0.25"/>
    <row r="136178" customFormat="1" x14ac:dyDescent="0.25"/>
    <row r="136179" customFormat="1" x14ac:dyDescent="0.25"/>
    <row r="136180" customFormat="1" x14ac:dyDescent="0.25"/>
    <row r="136181" customFormat="1" x14ac:dyDescent="0.25"/>
    <row r="136182" customFormat="1" x14ac:dyDescent="0.25"/>
    <row r="136183" customFormat="1" x14ac:dyDescent="0.25"/>
    <row r="136184" customFormat="1" x14ac:dyDescent="0.25"/>
    <row r="136185" customFormat="1" x14ac:dyDescent="0.25"/>
    <row r="136186" customFormat="1" x14ac:dyDescent="0.25"/>
    <row r="136187" customFormat="1" x14ac:dyDescent="0.25"/>
    <row r="136188" customFormat="1" x14ac:dyDescent="0.25"/>
    <row r="136189" customFormat="1" x14ac:dyDescent="0.25"/>
    <row r="136190" customFormat="1" x14ac:dyDescent="0.25"/>
    <row r="136191" customFormat="1" x14ac:dyDescent="0.25"/>
    <row r="136192" customFormat="1" x14ac:dyDescent="0.25"/>
    <row r="136193" customFormat="1" x14ac:dyDescent="0.25"/>
    <row r="136194" customFormat="1" x14ac:dyDescent="0.25"/>
    <row r="136195" customFormat="1" x14ac:dyDescent="0.25"/>
    <row r="136196" customFormat="1" x14ac:dyDescent="0.25"/>
    <row r="136197" customFormat="1" x14ac:dyDescent="0.25"/>
    <row r="136198" customFormat="1" x14ac:dyDescent="0.25"/>
    <row r="136199" customFormat="1" x14ac:dyDescent="0.25"/>
    <row r="136200" customFormat="1" x14ac:dyDescent="0.25"/>
    <row r="136201" customFormat="1" x14ac:dyDescent="0.25"/>
    <row r="136202" customFormat="1" x14ac:dyDescent="0.25"/>
    <row r="136203" customFormat="1" x14ac:dyDescent="0.25"/>
    <row r="136204" customFormat="1" x14ac:dyDescent="0.25"/>
    <row r="136205" customFormat="1" x14ac:dyDescent="0.25"/>
    <row r="136206" customFormat="1" x14ac:dyDescent="0.25"/>
    <row r="136207" customFormat="1" x14ac:dyDescent="0.25"/>
    <row r="136208" customFormat="1" x14ac:dyDescent="0.25"/>
    <row r="136209" customFormat="1" x14ac:dyDescent="0.25"/>
    <row r="136210" customFormat="1" x14ac:dyDescent="0.25"/>
    <row r="136211" customFormat="1" x14ac:dyDescent="0.25"/>
    <row r="136212" customFormat="1" x14ac:dyDescent="0.25"/>
    <row r="136213" customFormat="1" x14ac:dyDescent="0.25"/>
    <row r="136214" customFormat="1" x14ac:dyDescent="0.25"/>
    <row r="136215" customFormat="1" x14ac:dyDescent="0.25"/>
    <row r="136216" customFormat="1" x14ac:dyDescent="0.25"/>
    <row r="136217" customFormat="1" x14ac:dyDescent="0.25"/>
    <row r="136218" customFormat="1" x14ac:dyDescent="0.25"/>
    <row r="136219" customFormat="1" x14ac:dyDescent="0.25"/>
    <row r="136220" customFormat="1" x14ac:dyDescent="0.25"/>
    <row r="136221" customFormat="1" x14ac:dyDescent="0.25"/>
    <row r="136222" customFormat="1" x14ac:dyDescent="0.25"/>
    <row r="136223" customFormat="1" x14ac:dyDescent="0.25"/>
    <row r="136224" customFormat="1" x14ac:dyDescent="0.25"/>
    <row r="136225" customFormat="1" x14ac:dyDescent="0.25"/>
    <row r="136226" customFormat="1" x14ac:dyDescent="0.25"/>
    <row r="136227" customFormat="1" x14ac:dyDescent="0.25"/>
    <row r="136228" customFormat="1" x14ac:dyDescent="0.25"/>
    <row r="136229" customFormat="1" x14ac:dyDescent="0.25"/>
    <row r="136230" customFormat="1" x14ac:dyDescent="0.25"/>
    <row r="136231" customFormat="1" x14ac:dyDescent="0.25"/>
    <row r="136232" customFormat="1" x14ac:dyDescent="0.25"/>
    <row r="136233" customFormat="1" x14ac:dyDescent="0.25"/>
    <row r="136234" customFormat="1" x14ac:dyDescent="0.25"/>
    <row r="136235" customFormat="1" x14ac:dyDescent="0.25"/>
    <row r="136236" customFormat="1" x14ac:dyDescent="0.25"/>
    <row r="136237" customFormat="1" x14ac:dyDescent="0.25"/>
    <row r="136238" customFormat="1" x14ac:dyDescent="0.25"/>
    <row r="136239" customFormat="1" x14ac:dyDescent="0.25"/>
    <row r="136240" customFormat="1" x14ac:dyDescent="0.25"/>
    <row r="136241" customFormat="1" x14ac:dyDescent="0.25"/>
    <row r="136242" customFormat="1" x14ac:dyDescent="0.25"/>
    <row r="136243" customFormat="1" x14ac:dyDescent="0.25"/>
    <row r="136244" customFormat="1" x14ac:dyDescent="0.25"/>
    <row r="136245" customFormat="1" x14ac:dyDescent="0.25"/>
    <row r="136246" customFormat="1" x14ac:dyDescent="0.25"/>
    <row r="136247" customFormat="1" x14ac:dyDescent="0.25"/>
    <row r="136248" customFormat="1" x14ac:dyDescent="0.25"/>
    <row r="136249" customFormat="1" x14ac:dyDescent="0.25"/>
    <row r="136250" customFormat="1" x14ac:dyDescent="0.25"/>
    <row r="136251" customFormat="1" x14ac:dyDescent="0.25"/>
    <row r="136252" customFormat="1" x14ac:dyDescent="0.25"/>
    <row r="136253" customFormat="1" x14ac:dyDescent="0.25"/>
    <row r="136254" customFormat="1" x14ac:dyDescent="0.25"/>
    <row r="136255" customFormat="1" x14ac:dyDescent="0.25"/>
    <row r="136256" customFormat="1" x14ac:dyDescent="0.25"/>
    <row r="136257" customFormat="1" x14ac:dyDescent="0.25"/>
    <row r="136258" customFormat="1" x14ac:dyDescent="0.25"/>
    <row r="136259" customFormat="1" x14ac:dyDescent="0.25"/>
    <row r="136260" customFormat="1" x14ac:dyDescent="0.25"/>
    <row r="136261" customFormat="1" x14ac:dyDescent="0.25"/>
    <row r="136262" customFormat="1" x14ac:dyDescent="0.25"/>
    <row r="136263" customFormat="1" x14ac:dyDescent="0.25"/>
    <row r="136264" customFormat="1" x14ac:dyDescent="0.25"/>
    <row r="136265" customFormat="1" x14ac:dyDescent="0.25"/>
    <row r="136266" customFormat="1" x14ac:dyDescent="0.25"/>
    <row r="136267" customFormat="1" x14ac:dyDescent="0.25"/>
    <row r="136268" customFormat="1" x14ac:dyDescent="0.25"/>
    <row r="136269" customFormat="1" x14ac:dyDescent="0.25"/>
    <row r="136270" customFormat="1" x14ac:dyDescent="0.25"/>
    <row r="136271" customFormat="1" x14ac:dyDescent="0.25"/>
    <row r="136272" customFormat="1" x14ac:dyDescent="0.25"/>
    <row r="136273" customFormat="1" x14ac:dyDescent="0.25"/>
    <row r="136274" customFormat="1" x14ac:dyDescent="0.25"/>
    <row r="136275" customFormat="1" x14ac:dyDescent="0.25"/>
    <row r="136276" customFormat="1" x14ac:dyDescent="0.25"/>
    <row r="136277" customFormat="1" x14ac:dyDescent="0.25"/>
    <row r="136278" customFormat="1" x14ac:dyDescent="0.25"/>
    <row r="136279" customFormat="1" x14ac:dyDescent="0.25"/>
    <row r="136280" customFormat="1" x14ac:dyDescent="0.25"/>
    <row r="136281" customFormat="1" x14ac:dyDescent="0.25"/>
    <row r="136282" customFormat="1" x14ac:dyDescent="0.25"/>
    <row r="136283" customFormat="1" x14ac:dyDescent="0.25"/>
    <row r="136284" customFormat="1" x14ac:dyDescent="0.25"/>
    <row r="136285" customFormat="1" x14ac:dyDescent="0.25"/>
    <row r="136286" customFormat="1" x14ac:dyDescent="0.25"/>
    <row r="136287" customFormat="1" x14ac:dyDescent="0.25"/>
    <row r="136288" customFormat="1" x14ac:dyDescent="0.25"/>
    <row r="136289" customFormat="1" x14ac:dyDescent="0.25"/>
    <row r="136290" customFormat="1" x14ac:dyDescent="0.25"/>
    <row r="136291" customFormat="1" x14ac:dyDescent="0.25"/>
    <row r="136292" customFormat="1" x14ac:dyDescent="0.25"/>
    <row r="136293" customFormat="1" x14ac:dyDescent="0.25"/>
    <row r="136294" customFormat="1" x14ac:dyDescent="0.25"/>
    <row r="136295" customFormat="1" x14ac:dyDescent="0.25"/>
    <row r="136296" customFormat="1" x14ac:dyDescent="0.25"/>
    <row r="136297" customFormat="1" x14ac:dyDescent="0.25"/>
    <row r="136298" customFormat="1" x14ac:dyDescent="0.25"/>
    <row r="136299" customFormat="1" x14ac:dyDescent="0.25"/>
    <row r="136300" customFormat="1" x14ac:dyDescent="0.25"/>
    <row r="136301" customFormat="1" x14ac:dyDescent="0.25"/>
    <row r="136302" customFormat="1" x14ac:dyDescent="0.25"/>
    <row r="136303" customFormat="1" x14ac:dyDescent="0.25"/>
    <row r="136304" customFormat="1" x14ac:dyDescent="0.25"/>
    <row r="136305" customFormat="1" x14ac:dyDescent="0.25"/>
    <row r="136306" customFormat="1" x14ac:dyDescent="0.25"/>
    <row r="136307" customFormat="1" x14ac:dyDescent="0.25"/>
    <row r="136308" customFormat="1" x14ac:dyDescent="0.25"/>
    <row r="136309" customFormat="1" x14ac:dyDescent="0.25"/>
    <row r="136310" customFormat="1" x14ac:dyDescent="0.25"/>
    <row r="136311" customFormat="1" x14ac:dyDescent="0.25"/>
    <row r="136312" customFormat="1" x14ac:dyDescent="0.25"/>
    <row r="136313" customFormat="1" x14ac:dyDescent="0.25"/>
    <row r="136314" customFormat="1" x14ac:dyDescent="0.25"/>
    <row r="136315" customFormat="1" x14ac:dyDescent="0.25"/>
    <row r="136316" customFormat="1" x14ac:dyDescent="0.25"/>
    <row r="136317" customFormat="1" x14ac:dyDescent="0.25"/>
    <row r="136318" customFormat="1" x14ac:dyDescent="0.25"/>
    <row r="136319" customFormat="1" x14ac:dyDescent="0.25"/>
    <row r="136320" customFormat="1" x14ac:dyDescent="0.25"/>
    <row r="136321" customFormat="1" x14ac:dyDescent="0.25"/>
    <row r="136322" customFormat="1" x14ac:dyDescent="0.25"/>
    <row r="136323" customFormat="1" x14ac:dyDescent="0.25"/>
    <row r="136324" customFormat="1" x14ac:dyDescent="0.25"/>
    <row r="136325" customFormat="1" x14ac:dyDescent="0.25"/>
    <row r="136326" customFormat="1" x14ac:dyDescent="0.25"/>
    <row r="136327" customFormat="1" x14ac:dyDescent="0.25"/>
    <row r="136328" customFormat="1" x14ac:dyDescent="0.25"/>
    <row r="136329" customFormat="1" x14ac:dyDescent="0.25"/>
    <row r="136330" customFormat="1" x14ac:dyDescent="0.25"/>
    <row r="136331" customFormat="1" x14ac:dyDescent="0.25"/>
    <row r="136332" customFormat="1" x14ac:dyDescent="0.25"/>
    <row r="136333" customFormat="1" x14ac:dyDescent="0.25"/>
    <row r="136334" customFormat="1" x14ac:dyDescent="0.25"/>
    <row r="136335" customFormat="1" x14ac:dyDescent="0.25"/>
    <row r="136336" customFormat="1" x14ac:dyDescent="0.25"/>
    <row r="136337" customFormat="1" x14ac:dyDescent="0.25"/>
    <row r="136338" customFormat="1" x14ac:dyDescent="0.25"/>
    <row r="136339" customFormat="1" x14ac:dyDescent="0.25"/>
    <row r="136340" customFormat="1" x14ac:dyDescent="0.25"/>
    <row r="136341" customFormat="1" x14ac:dyDescent="0.25"/>
    <row r="136342" customFormat="1" x14ac:dyDescent="0.25"/>
    <row r="136343" customFormat="1" x14ac:dyDescent="0.25"/>
    <row r="136344" customFormat="1" x14ac:dyDescent="0.25"/>
    <row r="136345" customFormat="1" x14ac:dyDescent="0.25"/>
    <row r="136346" customFormat="1" x14ac:dyDescent="0.25"/>
    <row r="136347" customFormat="1" x14ac:dyDescent="0.25"/>
    <row r="136348" customFormat="1" x14ac:dyDescent="0.25"/>
    <row r="136349" customFormat="1" x14ac:dyDescent="0.25"/>
    <row r="136350" customFormat="1" x14ac:dyDescent="0.25"/>
    <row r="136351" customFormat="1" x14ac:dyDescent="0.25"/>
    <row r="136352" customFormat="1" x14ac:dyDescent="0.25"/>
    <row r="136353" customFormat="1" x14ac:dyDescent="0.25"/>
    <row r="136354" customFormat="1" x14ac:dyDescent="0.25"/>
    <row r="136355" customFormat="1" x14ac:dyDescent="0.25"/>
    <row r="136356" customFormat="1" x14ac:dyDescent="0.25"/>
    <row r="136357" customFormat="1" x14ac:dyDescent="0.25"/>
    <row r="136358" customFormat="1" x14ac:dyDescent="0.25"/>
    <row r="136359" customFormat="1" x14ac:dyDescent="0.25"/>
    <row r="136360" customFormat="1" x14ac:dyDescent="0.25"/>
    <row r="136361" customFormat="1" x14ac:dyDescent="0.25"/>
    <row r="136362" customFormat="1" x14ac:dyDescent="0.25"/>
    <row r="136363" customFormat="1" x14ac:dyDescent="0.25"/>
    <row r="136364" customFormat="1" x14ac:dyDescent="0.25"/>
    <row r="136365" customFormat="1" x14ac:dyDescent="0.25"/>
    <row r="136366" customFormat="1" x14ac:dyDescent="0.25"/>
    <row r="136367" customFormat="1" x14ac:dyDescent="0.25"/>
    <row r="136368" customFormat="1" x14ac:dyDescent="0.25"/>
    <row r="136369" customFormat="1" x14ac:dyDescent="0.25"/>
    <row r="136370" customFormat="1" x14ac:dyDescent="0.25"/>
    <row r="136371" customFormat="1" x14ac:dyDescent="0.25"/>
    <row r="136372" customFormat="1" x14ac:dyDescent="0.25"/>
    <row r="136373" customFormat="1" x14ac:dyDescent="0.25"/>
    <row r="136374" customFormat="1" x14ac:dyDescent="0.25"/>
    <row r="136375" customFormat="1" x14ac:dyDescent="0.25"/>
    <row r="136376" customFormat="1" x14ac:dyDescent="0.25"/>
    <row r="136377" customFormat="1" x14ac:dyDescent="0.25"/>
    <row r="136378" customFormat="1" x14ac:dyDescent="0.25"/>
    <row r="136379" customFormat="1" x14ac:dyDescent="0.25"/>
    <row r="136380" customFormat="1" x14ac:dyDescent="0.25"/>
    <row r="136381" customFormat="1" x14ac:dyDescent="0.25"/>
    <row r="136382" customFormat="1" x14ac:dyDescent="0.25"/>
    <row r="136383" customFormat="1" x14ac:dyDescent="0.25"/>
    <row r="136384" customFormat="1" x14ac:dyDescent="0.25"/>
    <row r="136385" customFormat="1" x14ac:dyDescent="0.25"/>
    <row r="136386" customFormat="1" x14ac:dyDescent="0.25"/>
    <row r="136387" customFormat="1" x14ac:dyDescent="0.25"/>
    <row r="136388" customFormat="1" x14ac:dyDescent="0.25"/>
    <row r="136389" customFormat="1" x14ac:dyDescent="0.25"/>
    <row r="136390" customFormat="1" x14ac:dyDescent="0.25"/>
    <row r="136391" customFormat="1" x14ac:dyDescent="0.25"/>
    <row r="136392" customFormat="1" x14ac:dyDescent="0.25"/>
    <row r="136393" customFormat="1" x14ac:dyDescent="0.25"/>
    <row r="136394" customFormat="1" x14ac:dyDescent="0.25"/>
    <row r="136395" customFormat="1" x14ac:dyDescent="0.25"/>
    <row r="136396" customFormat="1" x14ac:dyDescent="0.25"/>
    <row r="136397" customFormat="1" x14ac:dyDescent="0.25"/>
    <row r="136398" customFormat="1" x14ac:dyDescent="0.25"/>
    <row r="136399" customFormat="1" x14ac:dyDescent="0.25"/>
    <row r="136400" customFormat="1" x14ac:dyDescent="0.25"/>
    <row r="136401" customFormat="1" x14ac:dyDescent="0.25"/>
    <row r="136402" customFormat="1" x14ac:dyDescent="0.25"/>
    <row r="136403" customFormat="1" x14ac:dyDescent="0.25"/>
    <row r="136404" customFormat="1" x14ac:dyDescent="0.25"/>
    <row r="136405" customFormat="1" x14ac:dyDescent="0.25"/>
    <row r="136406" customFormat="1" x14ac:dyDescent="0.25"/>
    <row r="136407" customFormat="1" x14ac:dyDescent="0.25"/>
    <row r="136408" customFormat="1" x14ac:dyDescent="0.25"/>
    <row r="136409" customFormat="1" x14ac:dyDescent="0.25"/>
    <row r="136410" customFormat="1" x14ac:dyDescent="0.25"/>
    <row r="136411" customFormat="1" x14ac:dyDescent="0.25"/>
    <row r="136412" customFormat="1" x14ac:dyDescent="0.25"/>
    <row r="136413" customFormat="1" x14ac:dyDescent="0.25"/>
    <row r="136414" customFormat="1" x14ac:dyDescent="0.25"/>
    <row r="136415" customFormat="1" x14ac:dyDescent="0.25"/>
    <row r="136416" customFormat="1" x14ac:dyDescent="0.25"/>
    <row r="136417" customFormat="1" x14ac:dyDescent="0.25"/>
    <row r="136418" customFormat="1" x14ac:dyDescent="0.25"/>
    <row r="136419" customFormat="1" x14ac:dyDescent="0.25"/>
    <row r="136420" customFormat="1" x14ac:dyDescent="0.25"/>
    <row r="136421" customFormat="1" x14ac:dyDescent="0.25"/>
    <row r="136422" customFormat="1" x14ac:dyDescent="0.25"/>
    <row r="136423" customFormat="1" x14ac:dyDescent="0.25"/>
    <row r="136424" customFormat="1" x14ac:dyDescent="0.25"/>
    <row r="136425" customFormat="1" x14ac:dyDescent="0.25"/>
    <row r="136426" customFormat="1" x14ac:dyDescent="0.25"/>
    <row r="136427" customFormat="1" x14ac:dyDescent="0.25"/>
    <row r="136428" customFormat="1" x14ac:dyDescent="0.25"/>
    <row r="136429" customFormat="1" x14ac:dyDescent="0.25"/>
    <row r="136430" customFormat="1" x14ac:dyDescent="0.25"/>
    <row r="136431" customFormat="1" x14ac:dyDescent="0.25"/>
    <row r="136432" customFormat="1" x14ac:dyDescent="0.25"/>
    <row r="136433" customFormat="1" x14ac:dyDescent="0.25"/>
    <row r="136434" customFormat="1" x14ac:dyDescent="0.25"/>
    <row r="136435" customFormat="1" x14ac:dyDescent="0.25"/>
    <row r="136436" customFormat="1" x14ac:dyDescent="0.25"/>
    <row r="136437" customFormat="1" x14ac:dyDescent="0.25"/>
    <row r="136438" customFormat="1" x14ac:dyDescent="0.25"/>
    <row r="136439" customFormat="1" x14ac:dyDescent="0.25"/>
    <row r="136440" customFormat="1" x14ac:dyDescent="0.25"/>
    <row r="136441" customFormat="1" x14ac:dyDescent="0.25"/>
    <row r="136442" customFormat="1" x14ac:dyDescent="0.25"/>
    <row r="136443" customFormat="1" x14ac:dyDescent="0.25"/>
    <row r="136444" customFormat="1" x14ac:dyDescent="0.25"/>
    <row r="136445" customFormat="1" x14ac:dyDescent="0.25"/>
    <row r="136446" customFormat="1" x14ac:dyDescent="0.25"/>
    <row r="136447" customFormat="1" x14ac:dyDescent="0.25"/>
    <row r="136448" customFormat="1" x14ac:dyDescent="0.25"/>
    <row r="136449" customFormat="1" x14ac:dyDescent="0.25"/>
    <row r="136450" customFormat="1" x14ac:dyDescent="0.25"/>
    <row r="136451" customFormat="1" x14ac:dyDescent="0.25"/>
    <row r="136452" customFormat="1" x14ac:dyDescent="0.25"/>
    <row r="136453" customFormat="1" x14ac:dyDescent="0.25"/>
    <row r="136454" customFormat="1" x14ac:dyDescent="0.25"/>
    <row r="136455" customFormat="1" x14ac:dyDescent="0.25"/>
    <row r="136456" customFormat="1" x14ac:dyDescent="0.25"/>
    <row r="136457" customFormat="1" x14ac:dyDescent="0.25"/>
    <row r="136458" customFormat="1" x14ac:dyDescent="0.25"/>
    <row r="136459" customFormat="1" x14ac:dyDescent="0.25"/>
    <row r="136460" customFormat="1" x14ac:dyDescent="0.25"/>
    <row r="136461" customFormat="1" x14ac:dyDescent="0.25"/>
    <row r="136462" customFormat="1" x14ac:dyDescent="0.25"/>
    <row r="136463" customFormat="1" x14ac:dyDescent="0.25"/>
    <row r="136464" customFormat="1" x14ac:dyDescent="0.25"/>
    <row r="136465" customFormat="1" x14ac:dyDescent="0.25"/>
    <row r="136466" customFormat="1" x14ac:dyDescent="0.25"/>
    <row r="136467" customFormat="1" x14ac:dyDescent="0.25"/>
    <row r="136468" customFormat="1" x14ac:dyDescent="0.25"/>
    <row r="136469" customFormat="1" x14ac:dyDescent="0.25"/>
    <row r="136470" customFormat="1" x14ac:dyDescent="0.25"/>
    <row r="136471" customFormat="1" x14ac:dyDescent="0.25"/>
    <row r="136472" customFormat="1" x14ac:dyDescent="0.25"/>
    <row r="136473" customFormat="1" x14ac:dyDescent="0.25"/>
    <row r="136474" customFormat="1" x14ac:dyDescent="0.25"/>
    <row r="136475" customFormat="1" x14ac:dyDescent="0.25"/>
    <row r="136476" customFormat="1" x14ac:dyDescent="0.25"/>
    <row r="136477" customFormat="1" x14ac:dyDescent="0.25"/>
    <row r="136478" customFormat="1" x14ac:dyDescent="0.25"/>
    <row r="136479" customFormat="1" x14ac:dyDescent="0.25"/>
    <row r="136480" customFormat="1" x14ac:dyDescent="0.25"/>
    <row r="136481" customFormat="1" x14ac:dyDescent="0.25"/>
    <row r="136482" customFormat="1" x14ac:dyDescent="0.25"/>
    <row r="136483" customFormat="1" x14ac:dyDescent="0.25"/>
    <row r="136484" customFormat="1" x14ac:dyDescent="0.25"/>
    <row r="136485" customFormat="1" x14ac:dyDescent="0.25"/>
    <row r="136486" customFormat="1" x14ac:dyDescent="0.25"/>
    <row r="136487" customFormat="1" x14ac:dyDescent="0.25"/>
    <row r="136488" customFormat="1" x14ac:dyDescent="0.25"/>
    <row r="136489" customFormat="1" x14ac:dyDescent="0.25"/>
    <row r="136490" customFormat="1" x14ac:dyDescent="0.25"/>
    <row r="136491" customFormat="1" x14ac:dyDescent="0.25"/>
    <row r="136492" customFormat="1" x14ac:dyDescent="0.25"/>
    <row r="136493" customFormat="1" x14ac:dyDescent="0.25"/>
    <row r="136494" customFormat="1" x14ac:dyDescent="0.25"/>
    <row r="136495" customFormat="1" x14ac:dyDescent="0.25"/>
    <row r="136496" customFormat="1" x14ac:dyDescent="0.25"/>
    <row r="136497" customFormat="1" x14ac:dyDescent="0.25"/>
    <row r="136498" customFormat="1" x14ac:dyDescent="0.25"/>
    <row r="136499" customFormat="1" x14ac:dyDescent="0.25"/>
    <row r="136500" customFormat="1" x14ac:dyDescent="0.25"/>
    <row r="136501" customFormat="1" x14ac:dyDescent="0.25"/>
    <row r="136502" customFormat="1" x14ac:dyDescent="0.25"/>
    <row r="136503" customFormat="1" x14ac:dyDescent="0.25"/>
    <row r="136504" customFormat="1" x14ac:dyDescent="0.25"/>
    <row r="136505" customFormat="1" x14ac:dyDescent="0.25"/>
    <row r="136506" customFormat="1" x14ac:dyDescent="0.25"/>
    <row r="136507" customFormat="1" x14ac:dyDescent="0.25"/>
    <row r="136508" customFormat="1" x14ac:dyDescent="0.25"/>
    <row r="136509" customFormat="1" x14ac:dyDescent="0.25"/>
    <row r="136510" customFormat="1" x14ac:dyDescent="0.25"/>
    <row r="136511" customFormat="1" x14ac:dyDescent="0.25"/>
    <row r="136512" customFormat="1" x14ac:dyDescent="0.25"/>
    <row r="136513" customFormat="1" x14ac:dyDescent="0.25"/>
    <row r="136514" customFormat="1" x14ac:dyDescent="0.25"/>
    <row r="136515" customFormat="1" x14ac:dyDescent="0.25"/>
    <row r="136516" customFormat="1" x14ac:dyDescent="0.25"/>
    <row r="136517" customFormat="1" x14ac:dyDescent="0.25"/>
    <row r="136518" customFormat="1" x14ac:dyDescent="0.25"/>
    <row r="136519" customFormat="1" x14ac:dyDescent="0.25"/>
    <row r="136520" customFormat="1" x14ac:dyDescent="0.25"/>
    <row r="136521" customFormat="1" x14ac:dyDescent="0.25"/>
    <row r="136522" customFormat="1" x14ac:dyDescent="0.25"/>
    <row r="136523" customFormat="1" x14ac:dyDescent="0.25"/>
    <row r="136524" customFormat="1" x14ac:dyDescent="0.25"/>
    <row r="136525" customFormat="1" x14ac:dyDescent="0.25"/>
    <row r="136526" customFormat="1" x14ac:dyDescent="0.25"/>
    <row r="136527" customFormat="1" x14ac:dyDescent="0.25"/>
    <row r="136528" customFormat="1" x14ac:dyDescent="0.25"/>
    <row r="136529" customFormat="1" x14ac:dyDescent="0.25"/>
    <row r="136530" customFormat="1" x14ac:dyDescent="0.25"/>
    <row r="136531" customFormat="1" x14ac:dyDescent="0.25"/>
    <row r="136532" customFormat="1" x14ac:dyDescent="0.25"/>
    <row r="136533" customFormat="1" x14ac:dyDescent="0.25"/>
    <row r="136534" customFormat="1" x14ac:dyDescent="0.25"/>
    <row r="136535" customFormat="1" x14ac:dyDescent="0.25"/>
    <row r="136536" customFormat="1" x14ac:dyDescent="0.25"/>
    <row r="136537" customFormat="1" x14ac:dyDescent="0.25"/>
    <row r="136538" customFormat="1" x14ac:dyDescent="0.25"/>
    <row r="136539" customFormat="1" x14ac:dyDescent="0.25"/>
    <row r="136540" customFormat="1" x14ac:dyDescent="0.25"/>
    <row r="136541" customFormat="1" x14ac:dyDescent="0.25"/>
    <row r="136542" customFormat="1" x14ac:dyDescent="0.25"/>
    <row r="136543" customFormat="1" x14ac:dyDescent="0.25"/>
    <row r="136544" customFormat="1" x14ac:dyDescent="0.25"/>
    <row r="136545" customFormat="1" x14ac:dyDescent="0.25"/>
    <row r="136546" customFormat="1" x14ac:dyDescent="0.25"/>
    <row r="136547" customFormat="1" x14ac:dyDescent="0.25"/>
    <row r="136548" customFormat="1" x14ac:dyDescent="0.25"/>
    <row r="136549" customFormat="1" x14ac:dyDescent="0.25"/>
    <row r="136550" customFormat="1" x14ac:dyDescent="0.25"/>
    <row r="136551" customFormat="1" x14ac:dyDescent="0.25"/>
    <row r="136552" customFormat="1" x14ac:dyDescent="0.25"/>
    <row r="136553" customFormat="1" x14ac:dyDescent="0.25"/>
    <row r="136554" customFormat="1" x14ac:dyDescent="0.25"/>
    <row r="136555" customFormat="1" x14ac:dyDescent="0.25"/>
    <row r="136556" customFormat="1" x14ac:dyDescent="0.25"/>
    <row r="136557" customFormat="1" x14ac:dyDescent="0.25"/>
    <row r="136558" customFormat="1" x14ac:dyDescent="0.25"/>
    <row r="136559" customFormat="1" x14ac:dyDescent="0.25"/>
    <row r="136560" customFormat="1" x14ac:dyDescent="0.25"/>
    <row r="136561" customFormat="1" x14ac:dyDescent="0.25"/>
    <row r="136562" customFormat="1" x14ac:dyDescent="0.25"/>
    <row r="136563" customFormat="1" x14ac:dyDescent="0.25"/>
    <row r="136564" customFormat="1" x14ac:dyDescent="0.25"/>
    <row r="136565" customFormat="1" x14ac:dyDescent="0.25"/>
    <row r="136566" customFormat="1" x14ac:dyDescent="0.25"/>
    <row r="136567" customFormat="1" x14ac:dyDescent="0.25"/>
    <row r="136568" customFormat="1" x14ac:dyDescent="0.25"/>
    <row r="136569" customFormat="1" x14ac:dyDescent="0.25"/>
    <row r="136570" customFormat="1" x14ac:dyDescent="0.25"/>
    <row r="136571" customFormat="1" x14ac:dyDescent="0.25"/>
    <row r="136572" customFormat="1" x14ac:dyDescent="0.25"/>
    <row r="136573" customFormat="1" x14ac:dyDescent="0.25"/>
    <row r="136574" customFormat="1" x14ac:dyDescent="0.25"/>
    <row r="136575" customFormat="1" x14ac:dyDescent="0.25"/>
    <row r="136576" customFormat="1" x14ac:dyDescent="0.25"/>
    <row r="136577" customFormat="1" x14ac:dyDescent="0.25"/>
    <row r="136578" customFormat="1" x14ac:dyDescent="0.25"/>
    <row r="136579" customFormat="1" x14ac:dyDescent="0.25"/>
    <row r="136580" customFormat="1" x14ac:dyDescent="0.25"/>
    <row r="136581" customFormat="1" x14ac:dyDescent="0.25"/>
    <row r="136582" customFormat="1" x14ac:dyDescent="0.25"/>
    <row r="136583" customFormat="1" x14ac:dyDescent="0.25"/>
    <row r="136584" customFormat="1" x14ac:dyDescent="0.25"/>
    <row r="136585" customFormat="1" x14ac:dyDescent="0.25"/>
    <row r="136586" customFormat="1" x14ac:dyDescent="0.25"/>
    <row r="136587" customFormat="1" x14ac:dyDescent="0.25"/>
    <row r="136588" customFormat="1" x14ac:dyDescent="0.25"/>
    <row r="136589" customFormat="1" x14ac:dyDescent="0.25"/>
    <row r="136590" customFormat="1" x14ac:dyDescent="0.25"/>
    <row r="136591" customFormat="1" x14ac:dyDescent="0.25"/>
    <row r="136592" customFormat="1" x14ac:dyDescent="0.25"/>
    <row r="136593" customFormat="1" x14ac:dyDescent="0.25"/>
    <row r="136594" customFormat="1" x14ac:dyDescent="0.25"/>
    <row r="136595" customFormat="1" x14ac:dyDescent="0.25"/>
    <row r="136596" customFormat="1" x14ac:dyDescent="0.25"/>
    <row r="136597" customFormat="1" x14ac:dyDescent="0.25"/>
    <row r="136598" customFormat="1" x14ac:dyDescent="0.25"/>
    <row r="136599" customFormat="1" x14ac:dyDescent="0.25"/>
    <row r="136600" customFormat="1" x14ac:dyDescent="0.25"/>
    <row r="136601" customFormat="1" x14ac:dyDescent="0.25"/>
    <row r="136602" customFormat="1" x14ac:dyDescent="0.25"/>
    <row r="136603" customFormat="1" x14ac:dyDescent="0.25"/>
    <row r="136604" customFormat="1" x14ac:dyDescent="0.25"/>
    <row r="136605" customFormat="1" x14ac:dyDescent="0.25"/>
    <row r="136606" customFormat="1" x14ac:dyDescent="0.25"/>
    <row r="136607" customFormat="1" x14ac:dyDescent="0.25"/>
    <row r="136608" customFormat="1" x14ac:dyDescent="0.25"/>
    <row r="136609" customFormat="1" x14ac:dyDescent="0.25"/>
    <row r="136610" customFormat="1" x14ac:dyDescent="0.25"/>
    <row r="136611" customFormat="1" x14ac:dyDescent="0.25"/>
    <row r="136612" customFormat="1" x14ac:dyDescent="0.25"/>
    <row r="136613" customFormat="1" x14ac:dyDescent="0.25"/>
    <row r="136614" customFormat="1" x14ac:dyDescent="0.25"/>
    <row r="136615" customFormat="1" x14ac:dyDescent="0.25"/>
    <row r="136616" customFormat="1" x14ac:dyDescent="0.25"/>
    <row r="136617" customFormat="1" x14ac:dyDescent="0.25"/>
    <row r="136618" customFormat="1" x14ac:dyDescent="0.25"/>
    <row r="136619" customFormat="1" x14ac:dyDescent="0.25"/>
    <row r="136620" customFormat="1" x14ac:dyDescent="0.25"/>
    <row r="136621" customFormat="1" x14ac:dyDescent="0.25"/>
    <row r="136622" customFormat="1" x14ac:dyDescent="0.25"/>
    <row r="136623" customFormat="1" x14ac:dyDescent="0.25"/>
    <row r="136624" customFormat="1" x14ac:dyDescent="0.25"/>
    <row r="136625" customFormat="1" x14ac:dyDescent="0.25"/>
    <row r="136626" customFormat="1" x14ac:dyDescent="0.25"/>
    <row r="136627" customFormat="1" x14ac:dyDescent="0.25"/>
    <row r="136628" customFormat="1" x14ac:dyDescent="0.25"/>
    <row r="136629" customFormat="1" x14ac:dyDescent="0.25"/>
    <row r="136630" customFormat="1" x14ac:dyDescent="0.25"/>
    <row r="136631" customFormat="1" x14ac:dyDescent="0.25"/>
    <row r="136632" customFormat="1" x14ac:dyDescent="0.25"/>
    <row r="136633" customFormat="1" x14ac:dyDescent="0.25"/>
    <row r="136634" customFormat="1" x14ac:dyDescent="0.25"/>
    <row r="136635" customFormat="1" x14ac:dyDescent="0.25"/>
    <row r="136636" customFormat="1" x14ac:dyDescent="0.25"/>
    <row r="136637" customFormat="1" x14ac:dyDescent="0.25"/>
    <row r="136638" customFormat="1" x14ac:dyDescent="0.25"/>
    <row r="136639" customFormat="1" x14ac:dyDescent="0.25"/>
    <row r="136640" customFormat="1" x14ac:dyDescent="0.25"/>
    <row r="136641" customFormat="1" x14ac:dyDescent="0.25"/>
    <row r="136642" customFormat="1" x14ac:dyDescent="0.25"/>
    <row r="136643" customFormat="1" x14ac:dyDescent="0.25"/>
    <row r="136644" customFormat="1" x14ac:dyDescent="0.25"/>
    <row r="136645" customFormat="1" x14ac:dyDescent="0.25"/>
    <row r="136646" customFormat="1" x14ac:dyDescent="0.25"/>
    <row r="136647" customFormat="1" x14ac:dyDescent="0.25"/>
    <row r="136648" customFormat="1" x14ac:dyDescent="0.25"/>
    <row r="136649" customFormat="1" x14ac:dyDescent="0.25"/>
    <row r="136650" customFormat="1" x14ac:dyDescent="0.25"/>
    <row r="136651" customFormat="1" x14ac:dyDescent="0.25"/>
    <row r="136652" customFormat="1" x14ac:dyDescent="0.25"/>
    <row r="136653" customFormat="1" x14ac:dyDescent="0.25"/>
    <row r="136654" customFormat="1" x14ac:dyDescent="0.25"/>
    <row r="136655" customFormat="1" x14ac:dyDescent="0.25"/>
    <row r="136656" customFormat="1" x14ac:dyDescent="0.25"/>
    <row r="136657" customFormat="1" x14ac:dyDescent="0.25"/>
    <row r="136658" customFormat="1" x14ac:dyDescent="0.25"/>
    <row r="136659" customFormat="1" x14ac:dyDescent="0.25"/>
    <row r="136660" customFormat="1" x14ac:dyDescent="0.25"/>
    <row r="136661" customFormat="1" x14ac:dyDescent="0.25"/>
    <row r="136662" customFormat="1" x14ac:dyDescent="0.25"/>
    <row r="136663" customFormat="1" x14ac:dyDescent="0.25"/>
    <row r="136664" customFormat="1" x14ac:dyDescent="0.25"/>
    <row r="136665" customFormat="1" x14ac:dyDescent="0.25"/>
    <row r="136666" customFormat="1" x14ac:dyDescent="0.25"/>
    <row r="136667" customFormat="1" x14ac:dyDescent="0.25"/>
    <row r="136668" customFormat="1" x14ac:dyDescent="0.25"/>
    <row r="136669" customFormat="1" x14ac:dyDescent="0.25"/>
    <row r="136670" customFormat="1" x14ac:dyDescent="0.25"/>
    <row r="136671" customFormat="1" x14ac:dyDescent="0.25"/>
    <row r="136672" customFormat="1" x14ac:dyDescent="0.25"/>
    <row r="136673" customFormat="1" x14ac:dyDescent="0.25"/>
    <row r="136674" customFormat="1" x14ac:dyDescent="0.25"/>
    <row r="136675" customFormat="1" x14ac:dyDescent="0.25"/>
    <row r="136676" customFormat="1" x14ac:dyDescent="0.25"/>
    <row r="136677" customFormat="1" x14ac:dyDescent="0.25"/>
    <row r="136678" customFormat="1" x14ac:dyDescent="0.25"/>
    <row r="136679" customFormat="1" x14ac:dyDescent="0.25"/>
    <row r="136680" customFormat="1" x14ac:dyDescent="0.25"/>
    <row r="136681" customFormat="1" x14ac:dyDescent="0.25"/>
    <row r="136682" customFormat="1" x14ac:dyDescent="0.25"/>
    <row r="136683" customFormat="1" x14ac:dyDescent="0.25"/>
    <row r="136684" customFormat="1" x14ac:dyDescent="0.25"/>
    <row r="136685" customFormat="1" x14ac:dyDescent="0.25"/>
    <row r="136686" customFormat="1" x14ac:dyDescent="0.25"/>
    <row r="136687" customFormat="1" x14ac:dyDescent="0.25"/>
    <row r="136688" customFormat="1" x14ac:dyDescent="0.25"/>
    <row r="136689" customFormat="1" x14ac:dyDescent="0.25"/>
    <row r="136690" customFormat="1" x14ac:dyDescent="0.25"/>
    <row r="136691" customFormat="1" x14ac:dyDescent="0.25"/>
    <row r="136692" customFormat="1" x14ac:dyDescent="0.25"/>
    <row r="136693" customFormat="1" x14ac:dyDescent="0.25"/>
    <row r="136694" customFormat="1" x14ac:dyDescent="0.25"/>
    <row r="136695" customFormat="1" x14ac:dyDescent="0.25"/>
    <row r="136696" customFormat="1" x14ac:dyDescent="0.25"/>
    <row r="136697" customFormat="1" x14ac:dyDescent="0.25"/>
    <row r="136698" customFormat="1" x14ac:dyDescent="0.25"/>
    <row r="136699" customFormat="1" x14ac:dyDescent="0.25"/>
    <row r="136700" customFormat="1" x14ac:dyDescent="0.25"/>
    <row r="136701" customFormat="1" x14ac:dyDescent="0.25"/>
    <row r="136702" customFormat="1" x14ac:dyDescent="0.25"/>
    <row r="136703" customFormat="1" x14ac:dyDescent="0.25"/>
    <row r="136704" customFormat="1" x14ac:dyDescent="0.25"/>
    <row r="136705" customFormat="1" x14ac:dyDescent="0.25"/>
    <row r="136706" customFormat="1" x14ac:dyDescent="0.25"/>
    <row r="136707" customFormat="1" x14ac:dyDescent="0.25"/>
    <row r="136708" customFormat="1" x14ac:dyDescent="0.25"/>
    <row r="136709" customFormat="1" x14ac:dyDescent="0.25"/>
    <row r="136710" customFormat="1" x14ac:dyDescent="0.25"/>
    <row r="136711" customFormat="1" x14ac:dyDescent="0.25"/>
    <row r="136712" customFormat="1" x14ac:dyDescent="0.25"/>
    <row r="136713" customFormat="1" x14ac:dyDescent="0.25"/>
    <row r="136714" customFormat="1" x14ac:dyDescent="0.25"/>
    <row r="136715" customFormat="1" x14ac:dyDescent="0.25"/>
    <row r="136716" customFormat="1" x14ac:dyDescent="0.25"/>
    <row r="136717" customFormat="1" x14ac:dyDescent="0.25"/>
    <row r="136718" customFormat="1" x14ac:dyDescent="0.25"/>
    <row r="136719" customFormat="1" x14ac:dyDescent="0.25"/>
    <row r="136720" customFormat="1" x14ac:dyDescent="0.25"/>
    <row r="136721" customFormat="1" x14ac:dyDescent="0.25"/>
    <row r="136722" customFormat="1" x14ac:dyDescent="0.25"/>
    <row r="136723" customFormat="1" x14ac:dyDescent="0.25"/>
    <row r="136724" customFormat="1" x14ac:dyDescent="0.25"/>
    <row r="136725" customFormat="1" x14ac:dyDescent="0.25"/>
    <row r="136726" customFormat="1" x14ac:dyDescent="0.25"/>
    <row r="136727" customFormat="1" x14ac:dyDescent="0.25"/>
    <row r="136728" customFormat="1" x14ac:dyDescent="0.25"/>
    <row r="136729" customFormat="1" x14ac:dyDescent="0.25"/>
    <row r="136730" customFormat="1" x14ac:dyDescent="0.25"/>
    <row r="136731" customFormat="1" x14ac:dyDescent="0.25"/>
    <row r="136732" customFormat="1" x14ac:dyDescent="0.25"/>
    <row r="136733" customFormat="1" x14ac:dyDescent="0.25"/>
    <row r="136734" customFormat="1" x14ac:dyDescent="0.25"/>
    <row r="136735" customFormat="1" x14ac:dyDescent="0.25"/>
    <row r="136736" customFormat="1" x14ac:dyDescent="0.25"/>
    <row r="136737" customFormat="1" x14ac:dyDescent="0.25"/>
    <row r="136738" customFormat="1" x14ac:dyDescent="0.25"/>
    <row r="136739" customFormat="1" x14ac:dyDescent="0.25"/>
    <row r="136740" customFormat="1" x14ac:dyDescent="0.25"/>
    <row r="136741" customFormat="1" x14ac:dyDescent="0.25"/>
    <row r="136742" customFormat="1" x14ac:dyDescent="0.25"/>
    <row r="136743" customFormat="1" x14ac:dyDescent="0.25"/>
    <row r="136744" customFormat="1" x14ac:dyDescent="0.25"/>
    <row r="136745" customFormat="1" x14ac:dyDescent="0.25"/>
    <row r="136746" customFormat="1" x14ac:dyDescent="0.25"/>
    <row r="136747" customFormat="1" x14ac:dyDescent="0.25"/>
    <row r="136748" customFormat="1" x14ac:dyDescent="0.25"/>
    <row r="136749" customFormat="1" x14ac:dyDescent="0.25"/>
    <row r="136750" customFormat="1" x14ac:dyDescent="0.25"/>
    <row r="136751" customFormat="1" x14ac:dyDescent="0.25"/>
    <row r="136752" customFormat="1" x14ac:dyDescent="0.25"/>
    <row r="136753" customFormat="1" x14ac:dyDescent="0.25"/>
    <row r="136754" customFormat="1" x14ac:dyDescent="0.25"/>
    <row r="136755" customFormat="1" x14ac:dyDescent="0.25"/>
    <row r="136756" customFormat="1" x14ac:dyDescent="0.25"/>
    <row r="136757" customFormat="1" x14ac:dyDescent="0.25"/>
    <row r="136758" customFormat="1" x14ac:dyDescent="0.25"/>
    <row r="136759" customFormat="1" x14ac:dyDescent="0.25"/>
    <row r="136760" customFormat="1" x14ac:dyDescent="0.25"/>
    <row r="136761" customFormat="1" x14ac:dyDescent="0.25"/>
    <row r="136762" customFormat="1" x14ac:dyDescent="0.25"/>
    <row r="136763" customFormat="1" x14ac:dyDescent="0.25"/>
    <row r="136764" customFormat="1" x14ac:dyDescent="0.25"/>
    <row r="136765" customFormat="1" x14ac:dyDescent="0.25"/>
    <row r="136766" customFormat="1" x14ac:dyDescent="0.25"/>
    <row r="136767" customFormat="1" x14ac:dyDescent="0.25"/>
    <row r="136768" customFormat="1" x14ac:dyDescent="0.25"/>
    <row r="136769" customFormat="1" x14ac:dyDescent="0.25"/>
    <row r="136770" customFormat="1" x14ac:dyDescent="0.25"/>
    <row r="136771" customFormat="1" x14ac:dyDescent="0.25"/>
    <row r="136772" customFormat="1" x14ac:dyDescent="0.25"/>
    <row r="136773" customFormat="1" x14ac:dyDescent="0.25"/>
    <row r="136774" customFormat="1" x14ac:dyDescent="0.25"/>
    <row r="136775" customFormat="1" x14ac:dyDescent="0.25"/>
    <row r="136776" customFormat="1" x14ac:dyDescent="0.25"/>
    <row r="136777" customFormat="1" x14ac:dyDescent="0.25"/>
    <row r="136778" customFormat="1" x14ac:dyDescent="0.25"/>
    <row r="136779" customFormat="1" x14ac:dyDescent="0.25"/>
    <row r="136780" customFormat="1" x14ac:dyDescent="0.25"/>
    <row r="136781" customFormat="1" x14ac:dyDescent="0.25"/>
    <row r="136782" customFormat="1" x14ac:dyDescent="0.25"/>
    <row r="136783" customFormat="1" x14ac:dyDescent="0.25"/>
    <row r="136784" customFormat="1" x14ac:dyDescent="0.25"/>
    <row r="136785" customFormat="1" x14ac:dyDescent="0.25"/>
    <row r="136786" customFormat="1" x14ac:dyDescent="0.25"/>
    <row r="136787" customFormat="1" x14ac:dyDescent="0.25"/>
    <row r="136788" customFormat="1" x14ac:dyDescent="0.25"/>
    <row r="136789" customFormat="1" x14ac:dyDescent="0.25"/>
    <row r="136790" customFormat="1" x14ac:dyDescent="0.25"/>
    <row r="136791" customFormat="1" x14ac:dyDescent="0.25"/>
    <row r="136792" customFormat="1" x14ac:dyDescent="0.25"/>
    <row r="136793" customFormat="1" x14ac:dyDescent="0.25"/>
    <row r="136794" customFormat="1" x14ac:dyDescent="0.25"/>
    <row r="136795" customFormat="1" x14ac:dyDescent="0.25"/>
    <row r="136796" customFormat="1" x14ac:dyDescent="0.25"/>
    <row r="136797" customFormat="1" x14ac:dyDescent="0.25"/>
    <row r="136798" customFormat="1" x14ac:dyDescent="0.25"/>
    <row r="136799" customFormat="1" x14ac:dyDescent="0.25"/>
    <row r="136800" customFormat="1" x14ac:dyDescent="0.25"/>
    <row r="136801" customFormat="1" x14ac:dyDescent="0.25"/>
    <row r="136802" customFormat="1" x14ac:dyDescent="0.25"/>
    <row r="136803" customFormat="1" x14ac:dyDescent="0.25"/>
    <row r="136804" customFormat="1" x14ac:dyDescent="0.25"/>
    <row r="136805" customFormat="1" x14ac:dyDescent="0.25"/>
    <row r="136806" customFormat="1" x14ac:dyDescent="0.25"/>
    <row r="136807" customFormat="1" x14ac:dyDescent="0.25"/>
    <row r="136808" customFormat="1" x14ac:dyDescent="0.25"/>
    <row r="136809" customFormat="1" x14ac:dyDescent="0.25"/>
    <row r="136810" customFormat="1" x14ac:dyDescent="0.25"/>
    <row r="136811" customFormat="1" x14ac:dyDescent="0.25"/>
    <row r="136812" customFormat="1" x14ac:dyDescent="0.25"/>
    <row r="136813" customFormat="1" x14ac:dyDescent="0.25"/>
    <row r="136814" customFormat="1" x14ac:dyDescent="0.25"/>
    <row r="136815" customFormat="1" x14ac:dyDescent="0.25"/>
    <row r="136816" customFormat="1" x14ac:dyDescent="0.25"/>
    <row r="136817" customFormat="1" x14ac:dyDescent="0.25"/>
    <row r="136818" customFormat="1" x14ac:dyDescent="0.25"/>
    <row r="136819" customFormat="1" x14ac:dyDescent="0.25"/>
    <row r="136820" customFormat="1" x14ac:dyDescent="0.25"/>
    <row r="136821" customFormat="1" x14ac:dyDescent="0.25"/>
    <row r="136822" customFormat="1" x14ac:dyDescent="0.25"/>
    <row r="136823" customFormat="1" x14ac:dyDescent="0.25"/>
    <row r="136824" customFormat="1" x14ac:dyDescent="0.25"/>
    <row r="136825" customFormat="1" x14ac:dyDescent="0.25"/>
    <row r="136826" customFormat="1" x14ac:dyDescent="0.25"/>
    <row r="136827" customFormat="1" x14ac:dyDescent="0.25"/>
    <row r="136828" customFormat="1" x14ac:dyDescent="0.25"/>
    <row r="136829" customFormat="1" x14ac:dyDescent="0.25"/>
    <row r="136830" customFormat="1" x14ac:dyDescent="0.25"/>
    <row r="136831" customFormat="1" x14ac:dyDescent="0.25"/>
    <row r="136832" customFormat="1" x14ac:dyDescent="0.25"/>
    <row r="136833" customFormat="1" x14ac:dyDescent="0.25"/>
    <row r="136834" customFormat="1" x14ac:dyDescent="0.25"/>
    <row r="136835" customFormat="1" x14ac:dyDescent="0.25"/>
    <row r="136836" customFormat="1" x14ac:dyDescent="0.25"/>
    <row r="136837" customFormat="1" x14ac:dyDescent="0.25"/>
    <row r="136838" customFormat="1" x14ac:dyDescent="0.25"/>
    <row r="136839" customFormat="1" x14ac:dyDescent="0.25"/>
    <row r="136840" customFormat="1" x14ac:dyDescent="0.25"/>
    <row r="136841" customFormat="1" x14ac:dyDescent="0.25"/>
    <row r="136842" customFormat="1" x14ac:dyDescent="0.25"/>
    <row r="136843" customFormat="1" x14ac:dyDescent="0.25"/>
    <row r="136844" customFormat="1" x14ac:dyDescent="0.25"/>
    <row r="136845" customFormat="1" x14ac:dyDescent="0.25"/>
    <row r="136846" customFormat="1" x14ac:dyDescent="0.25"/>
    <row r="136847" customFormat="1" x14ac:dyDescent="0.25"/>
    <row r="136848" customFormat="1" x14ac:dyDescent="0.25"/>
    <row r="136849" customFormat="1" x14ac:dyDescent="0.25"/>
    <row r="136850" customFormat="1" x14ac:dyDescent="0.25"/>
    <row r="136851" customFormat="1" x14ac:dyDescent="0.25"/>
    <row r="136852" customFormat="1" x14ac:dyDescent="0.25"/>
    <row r="136853" customFormat="1" x14ac:dyDescent="0.25"/>
    <row r="136854" customFormat="1" x14ac:dyDescent="0.25"/>
    <row r="136855" customFormat="1" x14ac:dyDescent="0.25"/>
    <row r="136856" customFormat="1" x14ac:dyDescent="0.25"/>
    <row r="136857" customFormat="1" x14ac:dyDescent="0.25"/>
    <row r="136858" customFormat="1" x14ac:dyDescent="0.25"/>
    <row r="136859" customFormat="1" x14ac:dyDescent="0.25"/>
    <row r="136860" customFormat="1" x14ac:dyDescent="0.25"/>
    <row r="136861" customFormat="1" x14ac:dyDescent="0.25"/>
    <row r="136862" customFormat="1" x14ac:dyDescent="0.25"/>
    <row r="136863" customFormat="1" x14ac:dyDescent="0.25"/>
    <row r="136864" customFormat="1" x14ac:dyDescent="0.25"/>
    <row r="136865" customFormat="1" x14ac:dyDescent="0.25"/>
    <row r="136866" customFormat="1" x14ac:dyDescent="0.25"/>
    <row r="136867" customFormat="1" x14ac:dyDescent="0.25"/>
    <row r="136868" customFormat="1" x14ac:dyDescent="0.25"/>
    <row r="136869" customFormat="1" x14ac:dyDescent="0.25"/>
    <row r="136870" customFormat="1" x14ac:dyDescent="0.25"/>
    <row r="136871" customFormat="1" x14ac:dyDescent="0.25"/>
    <row r="136872" customFormat="1" x14ac:dyDescent="0.25"/>
    <row r="136873" customFormat="1" x14ac:dyDescent="0.25"/>
    <row r="136874" customFormat="1" x14ac:dyDescent="0.25"/>
    <row r="136875" customFormat="1" x14ac:dyDescent="0.25"/>
    <row r="136876" customFormat="1" x14ac:dyDescent="0.25"/>
    <row r="136877" customFormat="1" x14ac:dyDescent="0.25"/>
    <row r="136878" customFormat="1" x14ac:dyDescent="0.25"/>
    <row r="136879" customFormat="1" x14ac:dyDescent="0.25"/>
    <row r="136880" customFormat="1" x14ac:dyDescent="0.25"/>
    <row r="136881" customFormat="1" x14ac:dyDescent="0.25"/>
    <row r="136882" customFormat="1" x14ac:dyDescent="0.25"/>
    <row r="136883" customFormat="1" x14ac:dyDescent="0.25"/>
    <row r="136884" customFormat="1" x14ac:dyDescent="0.25"/>
    <row r="136885" customFormat="1" x14ac:dyDescent="0.25"/>
    <row r="136886" customFormat="1" x14ac:dyDescent="0.25"/>
    <row r="136887" customFormat="1" x14ac:dyDescent="0.25"/>
    <row r="136888" customFormat="1" x14ac:dyDescent="0.25"/>
    <row r="136889" customFormat="1" x14ac:dyDescent="0.25"/>
    <row r="136890" customFormat="1" x14ac:dyDescent="0.25"/>
    <row r="136891" customFormat="1" x14ac:dyDescent="0.25"/>
    <row r="136892" customFormat="1" x14ac:dyDescent="0.25"/>
    <row r="136893" customFormat="1" x14ac:dyDescent="0.25"/>
    <row r="136894" customFormat="1" x14ac:dyDescent="0.25"/>
    <row r="136895" customFormat="1" x14ac:dyDescent="0.25"/>
    <row r="136896" customFormat="1" x14ac:dyDescent="0.25"/>
    <row r="136897" customFormat="1" x14ac:dyDescent="0.25"/>
    <row r="136898" customFormat="1" x14ac:dyDescent="0.25"/>
    <row r="136899" customFormat="1" x14ac:dyDescent="0.25"/>
    <row r="136900" customFormat="1" x14ac:dyDescent="0.25"/>
    <row r="136901" customFormat="1" x14ac:dyDescent="0.25"/>
    <row r="136902" customFormat="1" x14ac:dyDescent="0.25"/>
    <row r="136903" customFormat="1" x14ac:dyDescent="0.25"/>
    <row r="136904" customFormat="1" x14ac:dyDescent="0.25"/>
    <row r="136905" customFormat="1" x14ac:dyDescent="0.25"/>
    <row r="136906" customFormat="1" x14ac:dyDescent="0.25"/>
    <row r="136907" customFormat="1" x14ac:dyDescent="0.25"/>
    <row r="136908" customFormat="1" x14ac:dyDescent="0.25"/>
    <row r="136909" customFormat="1" x14ac:dyDescent="0.25"/>
    <row r="136910" customFormat="1" x14ac:dyDescent="0.25"/>
    <row r="136911" customFormat="1" x14ac:dyDescent="0.25"/>
    <row r="136912" customFormat="1" x14ac:dyDescent="0.25"/>
    <row r="136913" customFormat="1" x14ac:dyDescent="0.25"/>
    <row r="136914" customFormat="1" x14ac:dyDescent="0.25"/>
    <row r="136915" customFormat="1" x14ac:dyDescent="0.25"/>
    <row r="136916" customFormat="1" x14ac:dyDescent="0.25"/>
    <row r="136917" customFormat="1" x14ac:dyDescent="0.25"/>
    <row r="136918" customFormat="1" x14ac:dyDescent="0.25"/>
    <row r="136919" customFormat="1" x14ac:dyDescent="0.25"/>
    <row r="136920" customFormat="1" x14ac:dyDescent="0.25"/>
    <row r="136921" customFormat="1" x14ac:dyDescent="0.25"/>
    <row r="136922" customFormat="1" x14ac:dyDescent="0.25"/>
    <row r="136923" customFormat="1" x14ac:dyDescent="0.25"/>
    <row r="136924" customFormat="1" x14ac:dyDescent="0.25"/>
    <row r="136925" customFormat="1" x14ac:dyDescent="0.25"/>
    <row r="136926" customFormat="1" x14ac:dyDescent="0.25"/>
    <row r="136927" customFormat="1" x14ac:dyDescent="0.25"/>
    <row r="136928" customFormat="1" x14ac:dyDescent="0.25"/>
    <row r="136929" customFormat="1" x14ac:dyDescent="0.25"/>
    <row r="136930" customFormat="1" x14ac:dyDescent="0.25"/>
    <row r="136931" customFormat="1" x14ac:dyDescent="0.25"/>
    <row r="136932" customFormat="1" x14ac:dyDescent="0.25"/>
    <row r="136933" customFormat="1" x14ac:dyDescent="0.25"/>
    <row r="136934" customFormat="1" x14ac:dyDescent="0.25"/>
    <row r="136935" customFormat="1" x14ac:dyDescent="0.25"/>
    <row r="136936" customFormat="1" x14ac:dyDescent="0.25"/>
    <row r="136937" customFormat="1" x14ac:dyDescent="0.25"/>
    <row r="136938" customFormat="1" x14ac:dyDescent="0.25"/>
    <row r="136939" customFormat="1" x14ac:dyDescent="0.25"/>
    <row r="136940" customFormat="1" x14ac:dyDescent="0.25"/>
    <row r="136941" customFormat="1" x14ac:dyDescent="0.25"/>
    <row r="136942" customFormat="1" x14ac:dyDescent="0.25"/>
    <row r="136943" customFormat="1" x14ac:dyDescent="0.25"/>
    <row r="136944" customFormat="1" x14ac:dyDescent="0.25"/>
    <row r="136945" customFormat="1" x14ac:dyDescent="0.25"/>
    <row r="136946" customFormat="1" x14ac:dyDescent="0.25"/>
    <row r="136947" customFormat="1" x14ac:dyDescent="0.25"/>
    <row r="136948" customFormat="1" x14ac:dyDescent="0.25"/>
    <row r="136949" customFormat="1" x14ac:dyDescent="0.25"/>
    <row r="136950" customFormat="1" x14ac:dyDescent="0.25"/>
    <row r="136951" customFormat="1" x14ac:dyDescent="0.25"/>
    <row r="136952" customFormat="1" x14ac:dyDescent="0.25"/>
    <row r="136953" customFormat="1" x14ac:dyDescent="0.25"/>
    <row r="136954" customFormat="1" x14ac:dyDescent="0.25"/>
    <row r="136955" customFormat="1" x14ac:dyDescent="0.25"/>
    <row r="136956" customFormat="1" x14ac:dyDescent="0.25"/>
    <row r="136957" customFormat="1" x14ac:dyDescent="0.25"/>
    <row r="136958" customFormat="1" x14ac:dyDescent="0.25"/>
    <row r="136959" customFormat="1" x14ac:dyDescent="0.25"/>
    <row r="136960" customFormat="1" x14ac:dyDescent="0.25"/>
    <row r="136961" customFormat="1" x14ac:dyDescent="0.25"/>
    <row r="136962" customFormat="1" x14ac:dyDescent="0.25"/>
    <row r="136963" customFormat="1" x14ac:dyDescent="0.25"/>
    <row r="136964" customFormat="1" x14ac:dyDescent="0.25"/>
    <row r="136965" customFormat="1" x14ac:dyDescent="0.25"/>
    <row r="136966" customFormat="1" x14ac:dyDescent="0.25"/>
    <row r="136967" customFormat="1" x14ac:dyDescent="0.25"/>
    <row r="136968" customFormat="1" x14ac:dyDescent="0.25"/>
    <row r="136969" customFormat="1" x14ac:dyDescent="0.25"/>
    <row r="136970" customFormat="1" x14ac:dyDescent="0.25"/>
    <row r="136971" customFormat="1" x14ac:dyDescent="0.25"/>
    <row r="136972" customFormat="1" x14ac:dyDescent="0.25"/>
    <row r="136973" customFormat="1" x14ac:dyDescent="0.25"/>
    <row r="136974" customFormat="1" x14ac:dyDescent="0.25"/>
    <row r="136975" customFormat="1" x14ac:dyDescent="0.25"/>
    <row r="136976" customFormat="1" x14ac:dyDescent="0.25"/>
    <row r="136977" customFormat="1" x14ac:dyDescent="0.25"/>
    <row r="136978" customFormat="1" x14ac:dyDescent="0.25"/>
    <row r="136979" customFormat="1" x14ac:dyDescent="0.25"/>
    <row r="136980" customFormat="1" x14ac:dyDescent="0.25"/>
    <row r="136981" customFormat="1" x14ac:dyDescent="0.25"/>
    <row r="136982" customFormat="1" x14ac:dyDescent="0.25"/>
    <row r="136983" customFormat="1" x14ac:dyDescent="0.25"/>
    <row r="136984" customFormat="1" x14ac:dyDescent="0.25"/>
    <row r="136985" customFormat="1" x14ac:dyDescent="0.25"/>
    <row r="136986" customFormat="1" x14ac:dyDescent="0.25"/>
    <row r="136987" customFormat="1" x14ac:dyDescent="0.25"/>
    <row r="136988" customFormat="1" x14ac:dyDescent="0.25"/>
    <row r="136989" customFormat="1" x14ac:dyDescent="0.25"/>
    <row r="136990" customFormat="1" x14ac:dyDescent="0.25"/>
    <row r="136991" customFormat="1" x14ac:dyDescent="0.25"/>
    <row r="136992" customFormat="1" x14ac:dyDescent="0.25"/>
    <row r="136993" customFormat="1" x14ac:dyDescent="0.25"/>
    <row r="136994" customFormat="1" x14ac:dyDescent="0.25"/>
    <row r="136995" customFormat="1" x14ac:dyDescent="0.25"/>
    <row r="136996" customFormat="1" x14ac:dyDescent="0.25"/>
    <row r="136997" customFormat="1" x14ac:dyDescent="0.25"/>
    <row r="136998" customFormat="1" x14ac:dyDescent="0.25"/>
    <row r="136999" customFormat="1" x14ac:dyDescent="0.25"/>
    <row r="137000" customFormat="1" x14ac:dyDescent="0.25"/>
    <row r="137001" customFormat="1" x14ac:dyDescent="0.25"/>
    <row r="137002" customFormat="1" x14ac:dyDescent="0.25"/>
    <row r="137003" customFormat="1" x14ac:dyDescent="0.25"/>
    <row r="137004" customFormat="1" x14ac:dyDescent="0.25"/>
    <row r="137005" customFormat="1" x14ac:dyDescent="0.25"/>
    <row r="137006" customFormat="1" x14ac:dyDescent="0.25"/>
    <row r="137007" customFormat="1" x14ac:dyDescent="0.25"/>
    <row r="137008" customFormat="1" x14ac:dyDescent="0.25"/>
    <row r="137009" customFormat="1" x14ac:dyDescent="0.25"/>
    <row r="137010" customFormat="1" x14ac:dyDescent="0.25"/>
    <row r="137011" customFormat="1" x14ac:dyDescent="0.25"/>
    <row r="137012" customFormat="1" x14ac:dyDescent="0.25"/>
    <row r="137013" customFormat="1" x14ac:dyDescent="0.25"/>
    <row r="137014" customFormat="1" x14ac:dyDescent="0.25"/>
    <row r="137015" customFormat="1" x14ac:dyDescent="0.25"/>
    <row r="137016" customFormat="1" x14ac:dyDescent="0.25"/>
    <row r="137017" customFormat="1" x14ac:dyDescent="0.25"/>
    <row r="137018" customFormat="1" x14ac:dyDescent="0.25"/>
    <row r="137019" customFormat="1" x14ac:dyDescent="0.25"/>
    <row r="137020" customFormat="1" x14ac:dyDescent="0.25"/>
    <row r="137021" customFormat="1" x14ac:dyDescent="0.25"/>
    <row r="137022" customFormat="1" x14ac:dyDescent="0.25"/>
    <row r="137023" customFormat="1" x14ac:dyDescent="0.25"/>
    <row r="137024" customFormat="1" x14ac:dyDescent="0.25"/>
    <row r="137025" customFormat="1" x14ac:dyDescent="0.25"/>
    <row r="137026" customFormat="1" x14ac:dyDescent="0.25"/>
    <row r="137027" customFormat="1" x14ac:dyDescent="0.25"/>
    <row r="137028" customFormat="1" x14ac:dyDescent="0.25"/>
    <row r="137029" customFormat="1" x14ac:dyDescent="0.25"/>
    <row r="137030" customFormat="1" x14ac:dyDescent="0.25"/>
    <row r="137031" customFormat="1" x14ac:dyDescent="0.25"/>
    <row r="137032" customFormat="1" x14ac:dyDescent="0.25"/>
    <row r="137033" customFormat="1" x14ac:dyDescent="0.25"/>
    <row r="137034" customFormat="1" x14ac:dyDescent="0.25"/>
    <row r="137035" customFormat="1" x14ac:dyDescent="0.25"/>
    <row r="137036" customFormat="1" x14ac:dyDescent="0.25"/>
    <row r="137037" customFormat="1" x14ac:dyDescent="0.25"/>
    <row r="137038" customFormat="1" x14ac:dyDescent="0.25"/>
    <row r="137039" customFormat="1" x14ac:dyDescent="0.25"/>
    <row r="137040" customFormat="1" x14ac:dyDescent="0.25"/>
    <row r="137041" customFormat="1" x14ac:dyDescent="0.25"/>
    <row r="137042" customFormat="1" x14ac:dyDescent="0.25"/>
    <row r="137043" customFormat="1" x14ac:dyDescent="0.25"/>
    <row r="137044" customFormat="1" x14ac:dyDescent="0.25"/>
    <row r="137045" customFormat="1" x14ac:dyDescent="0.25"/>
    <row r="137046" customFormat="1" x14ac:dyDescent="0.25"/>
    <row r="137047" customFormat="1" x14ac:dyDescent="0.25"/>
    <row r="137048" customFormat="1" x14ac:dyDescent="0.25"/>
    <row r="137049" customFormat="1" x14ac:dyDescent="0.25"/>
    <row r="137050" customFormat="1" x14ac:dyDescent="0.25"/>
    <row r="137051" customFormat="1" x14ac:dyDescent="0.25"/>
    <row r="137052" customFormat="1" x14ac:dyDescent="0.25"/>
    <row r="137053" customFormat="1" x14ac:dyDescent="0.25"/>
    <row r="137054" customFormat="1" x14ac:dyDescent="0.25"/>
    <row r="137055" customFormat="1" x14ac:dyDescent="0.25"/>
    <row r="137056" customFormat="1" x14ac:dyDescent="0.25"/>
    <row r="137057" customFormat="1" x14ac:dyDescent="0.25"/>
    <row r="137058" customFormat="1" x14ac:dyDescent="0.25"/>
    <row r="137059" customFormat="1" x14ac:dyDescent="0.25"/>
    <row r="137060" customFormat="1" x14ac:dyDescent="0.25"/>
    <row r="137061" customFormat="1" x14ac:dyDescent="0.25"/>
    <row r="137062" customFormat="1" x14ac:dyDescent="0.25"/>
    <row r="137063" customFormat="1" x14ac:dyDescent="0.25"/>
    <row r="137064" customFormat="1" x14ac:dyDescent="0.25"/>
    <row r="137065" customFormat="1" x14ac:dyDescent="0.25"/>
    <row r="137066" customFormat="1" x14ac:dyDescent="0.25"/>
    <row r="137067" customFormat="1" x14ac:dyDescent="0.25"/>
    <row r="137068" customFormat="1" x14ac:dyDescent="0.25"/>
    <row r="137069" customFormat="1" x14ac:dyDescent="0.25"/>
    <row r="137070" customFormat="1" x14ac:dyDescent="0.25"/>
    <row r="137071" customFormat="1" x14ac:dyDescent="0.25"/>
    <row r="137072" customFormat="1" x14ac:dyDescent="0.25"/>
    <row r="137073" customFormat="1" x14ac:dyDescent="0.25"/>
    <row r="137074" customFormat="1" x14ac:dyDescent="0.25"/>
    <row r="137075" customFormat="1" x14ac:dyDescent="0.25"/>
    <row r="137076" customFormat="1" x14ac:dyDescent="0.25"/>
    <row r="137077" customFormat="1" x14ac:dyDescent="0.25"/>
    <row r="137078" customFormat="1" x14ac:dyDescent="0.25"/>
    <row r="137079" customFormat="1" x14ac:dyDescent="0.25"/>
    <row r="137080" customFormat="1" x14ac:dyDescent="0.25"/>
    <row r="137081" customFormat="1" x14ac:dyDescent="0.25"/>
    <row r="137082" customFormat="1" x14ac:dyDescent="0.25"/>
    <row r="137083" customFormat="1" x14ac:dyDescent="0.25"/>
    <row r="137084" customFormat="1" x14ac:dyDescent="0.25"/>
    <row r="137085" customFormat="1" x14ac:dyDescent="0.25"/>
    <row r="137086" customFormat="1" x14ac:dyDescent="0.25"/>
    <row r="137087" customFormat="1" x14ac:dyDescent="0.25"/>
    <row r="137088" customFormat="1" x14ac:dyDescent="0.25"/>
    <row r="137089" customFormat="1" x14ac:dyDescent="0.25"/>
    <row r="137090" customFormat="1" x14ac:dyDescent="0.25"/>
    <row r="137091" customFormat="1" x14ac:dyDescent="0.25"/>
    <row r="137092" customFormat="1" x14ac:dyDescent="0.25"/>
    <row r="137093" customFormat="1" x14ac:dyDescent="0.25"/>
    <row r="137094" customFormat="1" x14ac:dyDescent="0.25"/>
    <row r="137095" customFormat="1" x14ac:dyDescent="0.25"/>
    <row r="137096" customFormat="1" x14ac:dyDescent="0.25"/>
    <row r="137097" customFormat="1" x14ac:dyDescent="0.25"/>
    <row r="137098" customFormat="1" x14ac:dyDescent="0.25"/>
    <row r="137099" customFormat="1" x14ac:dyDescent="0.25"/>
    <row r="137100" customFormat="1" x14ac:dyDescent="0.25"/>
    <row r="137101" customFormat="1" x14ac:dyDescent="0.25"/>
    <row r="137102" customFormat="1" x14ac:dyDescent="0.25"/>
    <row r="137103" customFormat="1" x14ac:dyDescent="0.25"/>
    <row r="137104" customFormat="1" x14ac:dyDescent="0.25"/>
    <row r="137105" customFormat="1" x14ac:dyDescent="0.25"/>
    <row r="137106" customFormat="1" x14ac:dyDescent="0.25"/>
    <row r="137107" customFormat="1" x14ac:dyDescent="0.25"/>
    <row r="137108" customFormat="1" x14ac:dyDescent="0.25"/>
    <row r="137109" customFormat="1" x14ac:dyDescent="0.25"/>
    <row r="137110" customFormat="1" x14ac:dyDescent="0.25"/>
    <row r="137111" customFormat="1" x14ac:dyDescent="0.25"/>
    <row r="137112" customFormat="1" x14ac:dyDescent="0.25"/>
    <row r="137113" customFormat="1" x14ac:dyDescent="0.25"/>
    <row r="137114" customFormat="1" x14ac:dyDescent="0.25"/>
    <row r="137115" customFormat="1" x14ac:dyDescent="0.25"/>
    <row r="137116" customFormat="1" x14ac:dyDescent="0.25"/>
    <row r="137117" customFormat="1" x14ac:dyDescent="0.25"/>
    <row r="137118" customFormat="1" x14ac:dyDescent="0.25"/>
    <row r="137119" customFormat="1" x14ac:dyDescent="0.25"/>
    <row r="137120" customFormat="1" x14ac:dyDescent="0.25"/>
    <row r="137121" customFormat="1" x14ac:dyDescent="0.25"/>
    <row r="137122" customFormat="1" x14ac:dyDescent="0.25"/>
    <row r="137123" customFormat="1" x14ac:dyDescent="0.25"/>
    <row r="137124" customFormat="1" x14ac:dyDescent="0.25"/>
    <row r="137125" customFormat="1" x14ac:dyDescent="0.25"/>
    <row r="137126" customFormat="1" x14ac:dyDescent="0.25"/>
    <row r="137127" customFormat="1" x14ac:dyDescent="0.25"/>
    <row r="137128" customFormat="1" x14ac:dyDescent="0.25"/>
    <row r="137129" customFormat="1" x14ac:dyDescent="0.25"/>
    <row r="137130" customFormat="1" x14ac:dyDescent="0.25"/>
    <row r="137131" customFormat="1" x14ac:dyDescent="0.25"/>
    <row r="137132" customFormat="1" x14ac:dyDescent="0.25"/>
    <row r="137133" customFormat="1" x14ac:dyDescent="0.25"/>
    <row r="137134" customFormat="1" x14ac:dyDescent="0.25"/>
    <row r="137135" customFormat="1" x14ac:dyDescent="0.25"/>
    <row r="137136" customFormat="1" x14ac:dyDescent="0.25"/>
    <row r="137137" customFormat="1" x14ac:dyDescent="0.25"/>
    <row r="137138" customFormat="1" x14ac:dyDescent="0.25"/>
    <row r="137139" customFormat="1" x14ac:dyDescent="0.25"/>
    <row r="137140" customFormat="1" x14ac:dyDescent="0.25"/>
    <row r="137141" customFormat="1" x14ac:dyDescent="0.25"/>
    <row r="137142" customFormat="1" x14ac:dyDescent="0.25"/>
    <row r="137143" customFormat="1" x14ac:dyDescent="0.25"/>
    <row r="137144" customFormat="1" x14ac:dyDescent="0.25"/>
    <row r="137145" customFormat="1" x14ac:dyDescent="0.25"/>
    <row r="137146" customFormat="1" x14ac:dyDescent="0.25"/>
    <row r="137147" customFormat="1" x14ac:dyDescent="0.25"/>
    <row r="137148" customFormat="1" x14ac:dyDescent="0.25"/>
    <row r="137149" customFormat="1" x14ac:dyDescent="0.25"/>
    <row r="137150" customFormat="1" x14ac:dyDescent="0.25"/>
    <row r="137151" customFormat="1" x14ac:dyDescent="0.25"/>
    <row r="137152" customFormat="1" x14ac:dyDescent="0.25"/>
    <row r="137153" customFormat="1" x14ac:dyDescent="0.25"/>
    <row r="137154" customFormat="1" x14ac:dyDescent="0.25"/>
    <row r="137155" customFormat="1" x14ac:dyDescent="0.25"/>
    <row r="137156" customFormat="1" x14ac:dyDescent="0.25"/>
    <row r="137157" customFormat="1" x14ac:dyDescent="0.25"/>
    <row r="137158" customFormat="1" x14ac:dyDescent="0.25"/>
    <row r="137159" customFormat="1" x14ac:dyDescent="0.25"/>
    <row r="137160" customFormat="1" x14ac:dyDescent="0.25"/>
    <row r="137161" customFormat="1" x14ac:dyDescent="0.25"/>
    <row r="137162" customFormat="1" x14ac:dyDescent="0.25"/>
    <row r="137163" customFormat="1" x14ac:dyDescent="0.25"/>
    <row r="137164" customFormat="1" x14ac:dyDescent="0.25"/>
    <row r="137165" customFormat="1" x14ac:dyDescent="0.25"/>
    <row r="137166" customFormat="1" x14ac:dyDescent="0.25"/>
    <row r="137167" customFormat="1" x14ac:dyDescent="0.25"/>
    <row r="137168" customFormat="1" x14ac:dyDescent="0.25"/>
    <row r="137169" customFormat="1" x14ac:dyDescent="0.25"/>
    <row r="137170" customFormat="1" x14ac:dyDescent="0.25"/>
    <row r="137171" customFormat="1" x14ac:dyDescent="0.25"/>
    <row r="137172" customFormat="1" x14ac:dyDescent="0.25"/>
    <row r="137173" customFormat="1" x14ac:dyDescent="0.25"/>
    <row r="137174" customFormat="1" x14ac:dyDescent="0.25"/>
    <row r="137175" customFormat="1" x14ac:dyDescent="0.25"/>
    <row r="137176" customFormat="1" x14ac:dyDescent="0.25"/>
    <row r="137177" customFormat="1" x14ac:dyDescent="0.25"/>
    <row r="137178" customFormat="1" x14ac:dyDescent="0.25"/>
    <row r="137179" customFormat="1" x14ac:dyDescent="0.25"/>
    <row r="137180" customFormat="1" x14ac:dyDescent="0.25"/>
    <row r="137181" customFormat="1" x14ac:dyDescent="0.25"/>
    <row r="137182" customFormat="1" x14ac:dyDescent="0.25"/>
    <row r="137183" customFormat="1" x14ac:dyDescent="0.25"/>
    <row r="137184" customFormat="1" x14ac:dyDescent="0.25"/>
    <row r="137185" customFormat="1" x14ac:dyDescent="0.25"/>
    <row r="137186" customFormat="1" x14ac:dyDescent="0.25"/>
    <row r="137187" customFormat="1" x14ac:dyDescent="0.25"/>
    <row r="137188" customFormat="1" x14ac:dyDescent="0.25"/>
    <row r="137189" customFormat="1" x14ac:dyDescent="0.25"/>
    <row r="137190" customFormat="1" x14ac:dyDescent="0.25"/>
    <row r="137191" customFormat="1" x14ac:dyDescent="0.25"/>
    <row r="137192" customFormat="1" x14ac:dyDescent="0.25"/>
    <row r="137193" customFormat="1" x14ac:dyDescent="0.25"/>
    <row r="137194" customFormat="1" x14ac:dyDescent="0.25"/>
    <row r="137195" customFormat="1" x14ac:dyDescent="0.25"/>
    <row r="137196" customFormat="1" x14ac:dyDescent="0.25"/>
    <row r="137197" customFormat="1" x14ac:dyDescent="0.25"/>
    <row r="137198" customFormat="1" x14ac:dyDescent="0.25"/>
    <row r="137199" customFormat="1" x14ac:dyDescent="0.25"/>
    <row r="137200" customFormat="1" x14ac:dyDescent="0.25"/>
    <row r="137201" customFormat="1" x14ac:dyDescent="0.25"/>
    <row r="137202" customFormat="1" x14ac:dyDescent="0.25"/>
    <row r="137203" customFormat="1" x14ac:dyDescent="0.25"/>
    <row r="137204" customFormat="1" x14ac:dyDescent="0.25"/>
    <row r="137205" customFormat="1" x14ac:dyDescent="0.25"/>
    <row r="137206" customFormat="1" x14ac:dyDescent="0.25"/>
    <row r="137207" customFormat="1" x14ac:dyDescent="0.25"/>
    <row r="137208" customFormat="1" x14ac:dyDescent="0.25"/>
    <row r="137209" customFormat="1" x14ac:dyDescent="0.25"/>
    <row r="137210" customFormat="1" x14ac:dyDescent="0.25"/>
    <row r="137211" customFormat="1" x14ac:dyDescent="0.25"/>
    <row r="137212" customFormat="1" x14ac:dyDescent="0.25"/>
    <row r="137213" customFormat="1" x14ac:dyDescent="0.25"/>
    <row r="137214" customFormat="1" x14ac:dyDescent="0.25"/>
    <row r="137215" customFormat="1" x14ac:dyDescent="0.25"/>
    <row r="137216" customFormat="1" x14ac:dyDescent="0.25"/>
    <row r="137217" customFormat="1" x14ac:dyDescent="0.25"/>
    <row r="137218" customFormat="1" x14ac:dyDescent="0.25"/>
    <row r="137219" customFormat="1" x14ac:dyDescent="0.25"/>
    <row r="137220" customFormat="1" x14ac:dyDescent="0.25"/>
    <row r="137221" customFormat="1" x14ac:dyDescent="0.25"/>
    <row r="137222" customFormat="1" x14ac:dyDescent="0.25"/>
    <row r="137223" customFormat="1" x14ac:dyDescent="0.25"/>
    <row r="137224" customFormat="1" x14ac:dyDescent="0.25"/>
    <row r="137225" customFormat="1" x14ac:dyDescent="0.25"/>
    <row r="137226" customFormat="1" x14ac:dyDescent="0.25"/>
    <row r="137227" customFormat="1" x14ac:dyDescent="0.25"/>
    <row r="137228" customFormat="1" x14ac:dyDescent="0.25"/>
    <row r="137229" customFormat="1" x14ac:dyDescent="0.25"/>
    <row r="137230" customFormat="1" x14ac:dyDescent="0.25"/>
    <row r="137231" customFormat="1" x14ac:dyDescent="0.25"/>
    <row r="137232" customFormat="1" x14ac:dyDescent="0.25"/>
    <row r="137233" customFormat="1" x14ac:dyDescent="0.25"/>
    <row r="137234" customFormat="1" x14ac:dyDescent="0.25"/>
    <row r="137235" customFormat="1" x14ac:dyDescent="0.25"/>
    <row r="137236" customFormat="1" x14ac:dyDescent="0.25"/>
    <row r="137237" customFormat="1" x14ac:dyDescent="0.25"/>
    <row r="137238" customFormat="1" x14ac:dyDescent="0.25"/>
    <row r="137239" customFormat="1" x14ac:dyDescent="0.25"/>
    <row r="137240" customFormat="1" x14ac:dyDescent="0.25"/>
    <row r="137241" customFormat="1" x14ac:dyDescent="0.25"/>
    <row r="137242" customFormat="1" x14ac:dyDescent="0.25"/>
    <row r="137243" customFormat="1" x14ac:dyDescent="0.25"/>
    <row r="137244" customFormat="1" x14ac:dyDescent="0.25"/>
    <row r="137245" customFormat="1" x14ac:dyDescent="0.25"/>
    <row r="137246" customFormat="1" x14ac:dyDescent="0.25"/>
    <row r="137247" customFormat="1" x14ac:dyDescent="0.25"/>
    <row r="137248" customFormat="1" x14ac:dyDescent="0.25"/>
    <row r="137249" customFormat="1" x14ac:dyDescent="0.25"/>
    <row r="137250" customFormat="1" x14ac:dyDescent="0.25"/>
    <row r="137251" customFormat="1" x14ac:dyDescent="0.25"/>
    <row r="137252" customFormat="1" x14ac:dyDescent="0.25"/>
    <row r="137253" customFormat="1" x14ac:dyDescent="0.25"/>
    <row r="137254" customFormat="1" x14ac:dyDescent="0.25"/>
    <row r="137255" customFormat="1" x14ac:dyDescent="0.25"/>
    <row r="137256" customFormat="1" x14ac:dyDescent="0.25"/>
    <row r="137257" customFormat="1" x14ac:dyDescent="0.25"/>
    <row r="137258" customFormat="1" x14ac:dyDescent="0.25"/>
    <row r="137259" customFormat="1" x14ac:dyDescent="0.25"/>
    <row r="137260" customFormat="1" x14ac:dyDescent="0.25"/>
    <row r="137261" customFormat="1" x14ac:dyDescent="0.25"/>
    <row r="137262" customFormat="1" x14ac:dyDescent="0.25"/>
    <row r="137263" customFormat="1" x14ac:dyDescent="0.25"/>
    <row r="137264" customFormat="1" x14ac:dyDescent="0.25"/>
    <row r="137265" customFormat="1" x14ac:dyDescent="0.25"/>
    <row r="137266" customFormat="1" x14ac:dyDescent="0.25"/>
    <row r="137267" customFormat="1" x14ac:dyDescent="0.25"/>
    <row r="137268" customFormat="1" x14ac:dyDescent="0.25"/>
    <row r="137269" customFormat="1" x14ac:dyDescent="0.25"/>
    <row r="137270" customFormat="1" x14ac:dyDescent="0.25"/>
    <row r="137271" customFormat="1" x14ac:dyDescent="0.25"/>
    <row r="137272" customFormat="1" x14ac:dyDescent="0.25"/>
    <row r="137273" customFormat="1" x14ac:dyDescent="0.25"/>
    <row r="137274" customFormat="1" x14ac:dyDescent="0.25"/>
    <row r="137275" customFormat="1" x14ac:dyDescent="0.25"/>
    <row r="137276" customFormat="1" x14ac:dyDescent="0.25"/>
    <row r="137277" customFormat="1" x14ac:dyDescent="0.25"/>
    <row r="137278" customFormat="1" x14ac:dyDescent="0.25"/>
    <row r="137279" customFormat="1" x14ac:dyDescent="0.25"/>
    <row r="137280" customFormat="1" x14ac:dyDescent="0.25"/>
    <row r="137281" customFormat="1" x14ac:dyDescent="0.25"/>
    <row r="137282" customFormat="1" x14ac:dyDescent="0.25"/>
    <row r="137283" customFormat="1" x14ac:dyDescent="0.25"/>
    <row r="137284" customFormat="1" x14ac:dyDescent="0.25"/>
    <row r="137285" customFormat="1" x14ac:dyDescent="0.25"/>
    <row r="137286" customFormat="1" x14ac:dyDescent="0.25"/>
    <row r="137287" customFormat="1" x14ac:dyDescent="0.25"/>
    <row r="137288" customFormat="1" x14ac:dyDescent="0.25"/>
    <row r="137289" customFormat="1" x14ac:dyDescent="0.25"/>
    <row r="137290" customFormat="1" x14ac:dyDescent="0.25"/>
    <row r="137291" customFormat="1" x14ac:dyDescent="0.25"/>
    <row r="137292" customFormat="1" x14ac:dyDescent="0.25"/>
    <row r="137293" customFormat="1" x14ac:dyDescent="0.25"/>
    <row r="137294" customFormat="1" x14ac:dyDescent="0.25"/>
    <row r="137295" customFormat="1" x14ac:dyDescent="0.25"/>
    <row r="137296" customFormat="1" x14ac:dyDescent="0.25"/>
    <row r="137297" customFormat="1" x14ac:dyDescent="0.25"/>
    <row r="137298" customFormat="1" x14ac:dyDescent="0.25"/>
    <row r="137299" customFormat="1" x14ac:dyDescent="0.25"/>
    <row r="137300" customFormat="1" x14ac:dyDescent="0.25"/>
    <row r="137301" customFormat="1" x14ac:dyDescent="0.25"/>
    <row r="137302" customFormat="1" x14ac:dyDescent="0.25"/>
    <row r="137303" customFormat="1" x14ac:dyDescent="0.25"/>
    <row r="137304" customFormat="1" x14ac:dyDescent="0.25"/>
    <row r="137305" customFormat="1" x14ac:dyDescent="0.25"/>
    <row r="137306" customFormat="1" x14ac:dyDescent="0.25"/>
    <row r="137307" customFormat="1" x14ac:dyDescent="0.25"/>
    <row r="137308" customFormat="1" x14ac:dyDescent="0.25"/>
    <row r="137309" customFormat="1" x14ac:dyDescent="0.25"/>
    <row r="137310" customFormat="1" x14ac:dyDescent="0.25"/>
    <row r="137311" customFormat="1" x14ac:dyDescent="0.25"/>
    <row r="137312" customFormat="1" x14ac:dyDescent="0.25"/>
    <row r="137313" customFormat="1" x14ac:dyDescent="0.25"/>
    <row r="137314" customFormat="1" x14ac:dyDescent="0.25"/>
    <row r="137315" customFormat="1" x14ac:dyDescent="0.25"/>
    <row r="137316" customFormat="1" x14ac:dyDescent="0.25"/>
    <row r="137317" customFormat="1" x14ac:dyDescent="0.25"/>
    <row r="137318" customFormat="1" x14ac:dyDescent="0.25"/>
    <row r="137319" customFormat="1" x14ac:dyDescent="0.25"/>
    <row r="137320" customFormat="1" x14ac:dyDescent="0.25"/>
    <row r="137321" customFormat="1" x14ac:dyDescent="0.25"/>
    <row r="137322" customFormat="1" x14ac:dyDescent="0.25"/>
    <row r="137323" customFormat="1" x14ac:dyDescent="0.25"/>
    <row r="137324" customFormat="1" x14ac:dyDescent="0.25"/>
    <row r="137325" customFormat="1" x14ac:dyDescent="0.25"/>
    <row r="137326" customFormat="1" x14ac:dyDescent="0.25"/>
    <row r="137327" customFormat="1" x14ac:dyDescent="0.25"/>
    <row r="137328" customFormat="1" x14ac:dyDescent="0.25"/>
    <row r="137329" customFormat="1" x14ac:dyDescent="0.25"/>
    <row r="137330" customFormat="1" x14ac:dyDescent="0.25"/>
    <row r="137331" customFormat="1" x14ac:dyDescent="0.25"/>
    <row r="137332" customFormat="1" x14ac:dyDescent="0.25"/>
    <row r="137333" customFormat="1" x14ac:dyDescent="0.25"/>
    <row r="137334" customFormat="1" x14ac:dyDescent="0.25"/>
    <row r="137335" customFormat="1" x14ac:dyDescent="0.25"/>
    <row r="137336" customFormat="1" x14ac:dyDescent="0.25"/>
    <row r="137337" customFormat="1" x14ac:dyDescent="0.25"/>
    <row r="137338" customFormat="1" x14ac:dyDescent="0.25"/>
    <row r="137339" customFormat="1" x14ac:dyDescent="0.25"/>
    <row r="137340" customFormat="1" x14ac:dyDescent="0.25"/>
    <row r="137341" customFormat="1" x14ac:dyDescent="0.25"/>
    <row r="137342" customFormat="1" x14ac:dyDescent="0.25"/>
    <row r="137343" customFormat="1" x14ac:dyDescent="0.25"/>
    <row r="137344" customFormat="1" x14ac:dyDescent="0.25"/>
    <row r="137345" customFormat="1" x14ac:dyDescent="0.25"/>
    <row r="137346" customFormat="1" x14ac:dyDescent="0.25"/>
    <row r="137347" customFormat="1" x14ac:dyDescent="0.25"/>
    <row r="137348" customFormat="1" x14ac:dyDescent="0.25"/>
    <row r="137349" customFormat="1" x14ac:dyDescent="0.25"/>
    <row r="137350" customFormat="1" x14ac:dyDescent="0.25"/>
    <row r="137351" customFormat="1" x14ac:dyDescent="0.25"/>
    <row r="137352" customFormat="1" x14ac:dyDescent="0.25"/>
    <row r="137353" customFormat="1" x14ac:dyDescent="0.25"/>
    <row r="137354" customFormat="1" x14ac:dyDescent="0.25"/>
    <row r="137355" customFormat="1" x14ac:dyDescent="0.25"/>
    <row r="137356" customFormat="1" x14ac:dyDescent="0.25"/>
    <row r="137357" customFormat="1" x14ac:dyDescent="0.25"/>
    <row r="137358" customFormat="1" x14ac:dyDescent="0.25"/>
    <row r="137359" customFormat="1" x14ac:dyDescent="0.25"/>
    <row r="137360" customFormat="1" x14ac:dyDescent="0.25"/>
    <row r="137361" customFormat="1" x14ac:dyDescent="0.25"/>
    <row r="137362" customFormat="1" x14ac:dyDescent="0.25"/>
    <row r="137363" customFormat="1" x14ac:dyDescent="0.25"/>
    <row r="137364" customFormat="1" x14ac:dyDescent="0.25"/>
    <row r="137365" customFormat="1" x14ac:dyDescent="0.25"/>
    <row r="137366" customFormat="1" x14ac:dyDescent="0.25"/>
    <row r="137367" customFormat="1" x14ac:dyDescent="0.25"/>
    <row r="137368" customFormat="1" x14ac:dyDescent="0.25"/>
    <row r="137369" customFormat="1" x14ac:dyDescent="0.25"/>
    <row r="137370" customFormat="1" x14ac:dyDescent="0.25"/>
    <row r="137371" customFormat="1" x14ac:dyDescent="0.25"/>
    <row r="137372" customFormat="1" x14ac:dyDescent="0.25"/>
    <row r="137373" customFormat="1" x14ac:dyDescent="0.25"/>
    <row r="137374" customFormat="1" x14ac:dyDescent="0.25"/>
    <row r="137375" customFormat="1" x14ac:dyDescent="0.25"/>
    <row r="137376" customFormat="1" x14ac:dyDescent="0.25"/>
    <row r="137377" customFormat="1" x14ac:dyDescent="0.25"/>
    <row r="137378" customFormat="1" x14ac:dyDescent="0.25"/>
    <row r="137379" customFormat="1" x14ac:dyDescent="0.25"/>
    <row r="137380" customFormat="1" x14ac:dyDescent="0.25"/>
    <row r="137381" customFormat="1" x14ac:dyDescent="0.25"/>
    <row r="137382" customFormat="1" x14ac:dyDescent="0.25"/>
    <row r="137383" customFormat="1" x14ac:dyDescent="0.25"/>
    <row r="137384" customFormat="1" x14ac:dyDescent="0.25"/>
    <row r="137385" customFormat="1" x14ac:dyDescent="0.25"/>
    <row r="137386" customFormat="1" x14ac:dyDescent="0.25"/>
    <row r="137387" customFormat="1" x14ac:dyDescent="0.25"/>
    <row r="137388" customFormat="1" x14ac:dyDescent="0.25"/>
    <row r="137389" customFormat="1" x14ac:dyDescent="0.25"/>
    <row r="137390" customFormat="1" x14ac:dyDescent="0.25"/>
    <row r="137391" customFormat="1" x14ac:dyDescent="0.25"/>
    <row r="137392" customFormat="1" x14ac:dyDescent="0.25"/>
    <row r="137393" customFormat="1" x14ac:dyDescent="0.25"/>
    <row r="137394" customFormat="1" x14ac:dyDescent="0.25"/>
    <row r="137395" customFormat="1" x14ac:dyDescent="0.25"/>
    <row r="137396" customFormat="1" x14ac:dyDescent="0.25"/>
    <row r="137397" customFormat="1" x14ac:dyDescent="0.25"/>
    <row r="137398" customFormat="1" x14ac:dyDescent="0.25"/>
    <row r="137399" customFormat="1" x14ac:dyDescent="0.25"/>
    <row r="137400" customFormat="1" x14ac:dyDescent="0.25"/>
    <row r="137401" customFormat="1" x14ac:dyDescent="0.25"/>
    <row r="137402" customFormat="1" x14ac:dyDescent="0.25"/>
    <row r="137403" customFormat="1" x14ac:dyDescent="0.25"/>
    <row r="137404" customFormat="1" x14ac:dyDescent="0.25"/>
    <row r="137405" customFormat="1" x14ac:dyDescent="0.25"/>
    <row r="137406" customFormat="1" x14ac:dyDescent="0.25"/>
    <row r="137407" customFormat="1" x14ac:dyDescent="0.25"/>
    <row r="137408" customFormat="1" x14ac:dyDescent="0.25"/>
    <row r="137409" customFormat="1" x14ac:dyDescent="0.25"/>
    <row r="137410" customFormat="1" x14ac:dyDescent="0.25"/>
    <row r="137411" customFormat="1" x14ac:dyDescent="0.25"/>
    <row r="137412" customFormat="1" x14ac:dyDescent="0.25"/>
    <row r="137413" customFormat="1" x14ac:dyDescent="0.25"/>
    <row r="137414" customFormat="1" x14ac:dyDescent="0.25"/>
    <row r="137415" customFormat="1" x14ac:dyDescent="0.25"/>
    <row r="137416" customFormat="1" x14ac:dyDescent="0.25"/>
    <row r="137417" customFormat="1" x14ac:dyDescent="0.25"/>
    <row r="137418" customFormat="1" x14ac:dyDescent="0.25"/>
    <row r="137419" customFormat="1" x14ac:dyDescent="0.25"/>
    <row r="137420" customFormat="1" x14ac:dyDescent="0.25"/>
    <row r="137421" customFormat="1" x14ac:dyDescent="0.25"/>
    <row r="137422" customFormat="1" x14ac:dyDescent="0.25"/>
    <row r="137423" customFormat="1" x14ac:dyDescent="0.25"/>
    <row r="137424" customFormat="1" x14ac:dyDescent="0.25"/>
    <row r="137425" customFormat="1" x14ac:dyDescent="0.25"/>
    <row r="137426" customFormat="1" x14ac:dyDescent="0.25"/>
    <row r="137427" customFormat="1" x14ac:dyDescent="0.25"/>
    <row r="137428" customFormat="1" x14ac:dyDescent="0.25"/>
    <row r="137429" customFormat="1" x14ac:dyDescent="0.25"/>
    <row r="137430" customFormat="1" x14ac:dyDescent="0.25"/>
    <row r="137431" customFormat="1" x14ac:dyDescent="0.25"/>
    <row r="137432" customFormat="1" x14ac:dyDescent="0.25"/>
    <row r="137433" customFormat="1" x14ac:dyDescent="0.25"/>
    <row r="137434" customFormat="1" x14ac:dyDescent="0.25"/>
    <row r="137435" customFormat="1" x14ac:dyDescent="0.25"/>
    <row r="137436" customFormat="1" x14ac:dyDescent="0.25"/>
    <row r="137437" customFormat="1" x14ac:dyDescent="0.25"/>
    <row r="137438" customFormat="1" x14ac:dyDescent="0.25"/>
    <row r="137439" customFormat="1" x14ac:dyDescent="0.25"/>
    <row r="137440" customFormat="1" x14ac:dyDescent="0.25"/>
    <row r="137441" customFormat="1" x14ac:dyDescent="0.25"/>
    <row r="137442" customFormat="1" x14ac:dyDescent="0.25"/>
    <row r="137443" customFormat="1" x14ac:dyDescent="0.25"/>
    <row r="137444" customFormat="1" x14ac:dyDescent="0.25"/>
    <row r="137445" customFormat="1" x14ac:dyDescent="0.25"/>
    <row r="137446" customFormat="1" x14ac:dyDescent="0.25"/>
    <row r="137447" customFormat="1" x14ac:dyDescent="0.25"/>
    <row r="137448" customFormat="1" x14ac:dyDescent="0.25"/>
    <row r="137449" customFormat="1" x14ac:dyDescent="0.25"/>
    <row r="137450" customFormat="1" x14ac:dyDescent="0.25"/>
    <row r="137451" customFormat="1" x14ac:dyDescent="0.25"/>
    <row r="137452" customFormat="1" x14ac:dyDescent="0.25"/>
    <row r="137453" customFormat="1" x14ac:dyDescent="0.25"/>
    <row r="137454" customFormat="1" x14ac:dyDescent="0.25"/>
    <row r="137455" customFormat="1" x14ac:dyDescent="0.25"/>
    <row r="137456" customFormat="1" x14ac:dyDescent="0.25"/>
    <row r="137457" customFormat="1" x14ac:dyDescent="0.25"/>
    <row r="137458" customFormat="1" x14ac:dyDescent="0.25"/>
    <row r="137459" customFormat="1" x14ac:dyDescent="0.25"/>
    <row r="137460" customFormat="1" x14ac:dyDescent="0.25"/>
    <row r="137461" customFormat="1" x14ac:dyDescent="0.25"/>
    <row r="137462" customFormat="1" x14ac:dyDescent="0.25"/>
    <row r="137463" customFormat="1" x14ac:dyDescent="0.25"/>
    <row r="137464" customFormat="1" x14ac:dyDescent="0.25"/>
    <row r="137465" customFormat="1" x14ac:dyDescent="0.25"/>
    <row r="137466" customFormat="1" x14ac:dyDescent="0.25"/>
    <row r="137467" customFormat="1" x14ac:dyDescent="0.25"/>
    <row r="137468" customFormat="1" x14ac:dyDescent="0.25"/>
    <row r="137469" customFormat="1" x14ac:dyDescent="0.25"/>
    <row r="137470" customFormat="1" x14ac:dyDescent="0.25"/>
    <row r="137471" customFormat="1" x14ac:dyDescent="0.25"/>
    <row r="137472" customFormat="1" x14ac:dyDescent="0.25"/>
    <row r="137473" customFormat="1" x14ac:dyDescent="0.25"/>
    <row r="137474" customFormat="1" x14ac:dyDescent="0.25"/>
    <row r="137475" customFormat="1" x14ac:dyDescent="0.25"/>
    <row r="137476" customFormat="1" x14ac:dyDescent="0.25"/>
    <row r="137477" customFormat="1" x14ac:dyDescent="0.25"/>
    <row r="137478" customFormat="1" x14ac:dyDescent="0.25"/>
    <row r="137479" customFormat="1" x14ac:dyDescent="0.25"/>
    <row r="137480" customFormat="1" x14ac:dyDescent="0.25"/>
    <row r="137481" customFormat="1" x14ac:dyDescent="0.25"/>
    <row r="137482" customFormat="1" x14ac:dyDescent="0.25"/>
    <row r="137483" customFormat="1" x14ac:dyDescent="0.25"/>
    <row r="137484" customFormat="1" x14ac:dyDescent="0.25"/>
    <row r="137485" customFormat="1" x14ac:dyDescent="0.25"/>
    <row r="137486" customFormat="1" x14ac:dyDescent="0.25"/>
    <row r="137487" customFormat="1" x14ac:dyDescent="0.25"/>
    <row r="137488" customFormat="1" x14ac:dyDescent="0.25"/>
    <row r="137489" customFormat="1" x14ac:dyDescent="0.25"/>
    <row r="137490" customFormat="1" x14ac:dyDescent="0.25"/>
    <row r="137491" customFormat="1" x14ac:dyDescent="0.25"/>
    <row r="137492" customFormat="1" x14ac:dyDescent="0.25"/>
    <row r="137493" customFormat="1" x14ac:dyDescent="0.25"/>
    <row r="137494" customFormat="1" x14ac:dyDescent="0.25"/>
    <row r="137495" customFormat="1" x14ac:dyDescent="0.25"/>
    <row r="137496" customFormat="1" x14ac:dyDescent="0.25"/>
    <row r="137497" customFormat="1" x14ac:dyDescent="0.25"/>
    <row r="137498" customFormat="1" x14ac:dyDescent="0.25"/>
    <row r="137499" customFormat="1" x14ac:dyDescent="0.25"/>
    <row r="137500" customFormat="1" x14ac:dyDescent="0.25"/>
    <row r="137501" customFormat="1" x14ac:dyDescent="0.25"/>
    <row r="137502" customFormat="1" x14ac:dyDescent="0.25"/>
    <row r="137503" customFormat="1" x14ac:dyDescent="0.25"/>
    <row r="137504" customFormat="1" x14ac:dyDescent="0.25"/>
    <row r="137505" customFormat="1" x14ac:dyDescent="0.25"/>
    <row r="137506" customFormat="1" x14ac:dyDescent="0.25"/>
    <row r="137507" customFormat="1" x14ac:dyDescent="0.25"/>
    <row r="137508" customFormat="1" x14ac:dyDescent="0.25"/>
    <row r="137509" customFormat="1" x14ac:dyDescent="0.25"/>
    <row r="137510" customFormat="1" x14ac:dyDescent="0.25"/>
    <row r="137511" customFormat="1" x14ac:dyDescent="0.25"/>
    <row r="137512" customFormat="1" x14ac:dyDescent="0.25"/>
    <row r="137513" customFormat="1" x14ac:dyDescent="0.25"/>
    <row r="137514" customFormat="1" x14ac:dyDescent="0.25"/>
    <row r="137515" customFormat="1" x14ac:dyDescent="0.25"/>
    <row r="137516" customFormat="1" x14ac:dyDescent="0.25"/>
    <row r="137517" customFormat="1" x14ac:dyDescent="0.25"/>
    <row r="137518" customFormat="1" x14ac:dyDescent="0.25"/>
    <row r="137519" customFormat="1" x14ac:dyDescent="0.25"/>
    <row r="137520" customFormat="1" x14ac:dyDescent="0.25"/>
    <row r="137521" customFormat="1" x14ac:dyDescent="0.25"/>
    <row r="137522" customFormat="1" x14ac:dyDescent="0.25"/>
    <row r="137523" customFormat="1" x14ac:dyDescent="0.25"/>
    <row r="137524" customFormat="1" x14ac:dyDescent="0.25"/>
    <row r="137525" customFormat="1" x14ac:dyDescent="0.25"/>
    <row r="137526" customFormat="1" x14ac:dyDescent="0.25"/>
    <row r="137527" customFormat="1" x14ac:dyDescent="0.25"/>
    <row r="137528" customFormat="1" x14ac:dyDescent="0.25"/>
    <row r="137529" customFormat="1" x14ac:dyDescent="0.25"/>
    <row r="137530" customFormat="1" x14ac:dyDescent="0.25"/>
    <row r="137531" customFormat="1" x14ac:dyDescent="0.25"/>
    <row r="137532" customFormat="1" x14ac:dyDescent="0.25"/>
    <row r="137533" customFormat="1" x14ac:dyDescent="0.25"/>
    <row r="137534" customFormat="1" x14ac:dyDescent="0.25"/>
    <row r="137535" customFormat="1" x14ac:dyDescent="0.25"/>
    <row r="137536" customFormat="1" x14ac:dyDescent="0.25"/>
    <row r="137537" customFormat="1" x14ac:dyDescent="0.25"/>
    <row r="137538" customFormat="1" x14ac:dyDescent="0.25"/>
    <row r="137539" customFormat="1" x14ac:dyDescent="0.25"/>
    <row r="137540" customFormat="1" x14ac:dyDescent="0.25"/>
    <row r="137541" customFormat="1" x14ac:dyDescent="0.25"/>
    <row r="137542" customFormat="1" x14ac:dyDescent="0.25"/>
    <row r="137543" customFormat="1" x14ac:dyDescent="0.25"/>
    <row r="137544" customFormat="1" x14ac:dyDescent="0.25"/>
    <row r="137545" customFormat="1" x14ac:dyDescent="0.25"/>
    <row r="137546" customFormat="1" x14ac:dyDescent="0.25"/>
    <row r="137547" customFormat="1" x14ac:dyDescent="0.25"/>
    <row r="137548" customFormat="1" x14ac:dyDescent="0.25"/>
    <row r="137549" customFormat="1" x14ac:dyDescent="0.25"/>
    <row r="137550" customFormat="1" x14ac:dyDescent="0.25"/>
    <row r="137551" customFormat="1" x14ac:dyDescent="0.25"/>
    <row r="137552" customFormat="1" x14ac:dyDescent="0.25"/>
    <row r="137553" customFormat="1" x14ac:dyDescent="0.25"/>
    <row r="137554" customFormat="1" x14ac:dyDescent="0.25"/>
    <row r="137555" customFormat="1" x14ac:dyDescent="0.25"/>
    <row r="137556" customFormat="1" x14ac:dyDescent="0.25"/>
    <row r="137557" customFormat="1" x14ac:dyDescent="0.25"/>
    <row r="137558" customFormat="1" x14ac:dyDescent="0.25"/>
    <row r="137559" customFormat="1" x14ac:dyDescent="0.25"/>
    <row r="137560" customFormat="1" x14ac:dyDescent="0.25"/>
    <row r="137561" customFormat="1" x14ac:dyDescent="0.25"/>
    <row r="137562" customFormat="1" x14ac:dyDescent="0.25"/>
    <row r="137563" customFormat="1" x14ac:dyDescent="0.25"/>
    <row r="137564" customFormat="1" x14ac:dyDescent="0.25"/>
    <row r="137565" customFormat="1" x14ac:dyDescent="0.25"/>
    <row r="137566" customFormat="1" x14ac:dyDescent="0.25"/>
    <row r="137567" customFormat="1" x14ac:dyDescent="0.25"/>
    <row r="137568" customFormat="1" x14ac:dyDescent="0.25"/>
    <row r="137569" customFormat="1" x14ac:dyDescent="0.25"/>
    <row r="137570" customFormat="1" x14ac:dyDescent="0.25"/>
    <row r="137571" customFormat="1" x14ac:dyDescent="0.25"/>
    <row r="137572" customFormat="1" x14ac:dyDescent="0.25"/>
    <row r="137573" customFormat="1" x14ac:dyDescent="0.25"/>
    <row r="137574" customFormat="1" x14ac:dyDescent="0.25"/>
    <row r="137575" customFormat="1" x14ac:dyDescent="0.25"/>
    <row r="137576" customFormat="1" x14ac:dyDescent="0.25"/>
    <row r="137577" customFormat="1" x14ac:dyDescent="0.25"/>
    <row r="137578" customFormat="1" x14ac:dyDescent="0.25"/>
    <row r="137579" customFormat="1" x14ac:dyDescent="0.25"/>
    <row r="137580" customFormat="1" x14ac:dyDescent="0.25"/>
    <row r="137581" customFormat="1" x14ac:dyDescent="0.25"/>
    <row r="137582" customFormat="1" x14ac:dyDescent="0.25"/>
    <row r="137583" customFormat="1" x14ac:dyDescent="0.25"/>
    <row r="137584" customFormat="1" x14ac:dyDescent="0.25"/>
    <row r="137585" customFormat="1" x14ac:dyDescent="0.25"/>
    <row r="137586" customFormat="1" x14ac:dyDescent="0.25"/>
    <row r="137587" customFormat="1" x14ac:dyDescent="0.25"/>
    <row r="137588" customFormat="1" x14ac:dyDescent="0.25"/>
    <row r="137589" customFormat="1" x14ac:dyDescent="0.25"/>
    <row r="137590" customFormat="1" x14ac:dyDescent="0.25"/>
    <row r="137591" customFormat="1" x14ac:dyDescent="0.25"/>
    <row r="137592" customFormat="1" x14ac:dyDescent="0.25"/>
    <row r="137593" customFormat="1" x14ac:dyDescent="0.25"/>
    <row r="137594" customFormat="1" x14ac:dyDescent="0.25"/>
    <row r="137595" customFormat="1" x14ac:dyDescent="0.25"/>
    <row r="137596" customFormat="1" x14ac:dyDescent="0.25"/>
    <row r="137597" customFormat="1" x14ac:dyDescent="0.25"/>
    <row r="137598" customFormat="1" x14ac:dyDescent="0.25"/>
    <row r="137599" customFormat="1" x14ac:dyDescent="0.25"/>
    <row r="137600" customFormat="1" x14ac:dyDescent="0.25"/>
    <row r="137601" customFormat="1" x14ac:dyDescent="0.25"/>
    <row r="137602" customFormat="1" x14ac:dyDescent="0.25"/>
    <row r="137603" customFormat="1" x14ac:dyDescent="0.25"/>
    <row r="137604" customFormat="1" x14ac:dyDescent="0.25"/>
    <row r="137605" customFormat="1" x14ac:dyDescent="0.25"/>
    <row r="137606" customFormat="1" x14ac:dyDescent="0.25"/>
    <row r="137607" customFormat="1" x14ac:dyDescent="0.25"/>
    <row r="137608" customFormat="1" x14ac:dyDescent="0.25"/>
    <row r="137609" customFormat="1" x14ac:dyDescent="0.25"/>
    <row r="137610" customFormat="1" x14ac:dyDescent="0.25"/>
    <row r="137611" customFormat="1" x14ac:dyDescent="0.25"/>
    <row r="137612" customFormat="1" x14ac:dyDescent="0.25"/>
    <row r="137613" customFormat="1" x14ac:dyDescent="0.25"/>
    <row r="137614" customFormat="1" x14ac:dyDescent="0.25"/>
    <row r="137615" customFormat="1" x14ac:dyDescent="0.25"/>
    <row r="137616" customFormat="1" x14ac:dyDescent="0.25"/>
    <row r="137617" customFormat="1" x14ac:dyDescent="0.25"/>
    <row r="137618" customFormat="1" x14ac:dyDescent="0.25"/>
    <row r="137619" customFormat="1" x14ac:dyDescent="0.25"/>
    <row r="137620" customFormat="1" x14ac:dyDescent="0.25"/>
    <row r="137621" customFormat="1" x14ac:dyDescent="0.25"/>
    <row r="137622" customFormat="1" x14ac:dyDescent="0.25"/>
    <row r="137623" customFormat="1" x14ac:dyDescent="0.25"/>
    <row r="137624" customFormat="1" x14ac:dyDescent="0.25"/>
    <row r="137625" customFormat="1" x14ac:dyDescent="0.25"/>
    <row r="137626" customFormat="1" x14ac:dyDescent="0.25"/>
    <row r="137627" customFormat="1" x14ac:dyDescent="0.25"/>
    <row r="137628" customFormat="1" x14ac:dyDescent="0.25"/>
    <row r="137629" customFormat="1" x14ac:dyDescent="0.25"/>
    <row r="137630" customFormat="1" x14ac:dyDescent="0.25"/>
    <row r="137631" customFormat="1" x14ac:dyDescent="0.25"/>
    <row r="137632" customFormat="1" x14ac:dyDescent="0.25"/>
    <row r="137633" customFormat="1" x14ac:dyDescent="0.25"/>
    <row r="137634" customFormat="1" x14ac:dyDescent="0.25"/>
    <row r="137635" customFormat="1" x14ac:dyDescent="0.25"/>
    <row r="137636" customFormat="1" x14ac:dyDescent="0.25"/>
    <row r="137637" customFormat="1" x14ac:dyDescent="0.25"/>
    <row r="137638" customFormat="1" x14ac:dyDescent="0.25"/>
    <row r="137639" customFormat="1" x14ac:dyDescent="0.25"/>
    <row r="137640" customFormat="1" x14ac:dyDescent="0.25"/>
    <row r="137641" customFormat="1" x14ac:dyDescent="0.25"/>
    <row r="137642" customFormat="1" x14ac:dyDescent="0.25"/>
    <row r="137643" customFormat="1" x14ac:dyDescent="0.25"/>
    <row r="137644" customFormat="1" x14ac:dyDescent="0.25"/>
    <row r="137645" customFormat="1" x14ac:dyDescent="0.25"/>
    <row r="137646" customFormat="1" x14ac:dyDescent="0.25"/>
    <row r="137647" customFormat="1" x14ac:dyDescent="0.25"/>
    <row r="137648" customFormat="1" x14ac:dyDescent="0.25"/>
    <row r="137649" customFormat="1" x14ac:dyDescent="0.25"/>
    <row r="137650" customFormat="1" x14ac:dyDescent="0.25"/>
    <row r="137651" customFormat="1" x14ac:dyDescent="0.25"/>
    <row r="137652" customFormat="1" x14ac:dyDescent="0.25"/>
    <row r="137653" customFormat="1" x14ac:dyDescent="0.25"/>
    <row r="137654" customFormat="1" x14ac:dyDescent="0.25"/>
    <row r="137655" customFormat="1" x14ac:dyDescent="0.25"/>
    <row r="137656" customFormat="1" x14ac:dyDescent="0.25"/>
    <row r="137657" customFormat="1" x14ac:dyDescent="0.25"/>
    <row r="137658" customFormat="1" x14ac:dyDescent="0.25"/>
    <row r="137659" customFormat="1" x14ac:dyDescent="0.25"/>
    <row r="137660" customFormat="1" x14ac:dyDescent="0.25"/>
    <row r="137661" customFormat="1" x14ac:dyDescent="0.25"/>
    <row r="137662" customFormat="1" x14ac:dyDescent="0.25"/>
    <row r="137663" customFormat="1" x14ac:dyDescent="0.25"/>
    <row r="137664" customFormat="1" x14ac:dyDescent="0.25"/>
    <row r="137665" customFormat="1" x14ac:dyDescent="0.25"/>
    <row r="137666" customFormat="1" x14ac:dyDescent="0.25"/>
    <row r="137667" customFormat="1" x14ac:dyDescent="0.25"/>
    <row r="137668" customFormat="1" x14ac:dyDescent="0.25"/>
    <row r="137669" customFormat="1" x14ac:dyDescent="0.25"/>
    <row r="137670" customFormat="1" x14ac:dyDescent="0.25"/>
    <row r="137671" customFormat="1" x14ac:dyDescent="0.25"/>
    <row r="137672" customFormat="1" x14ac:dyDescent="0.25"/>
    <row r="137673" customFormat="1" x14ac:dyDescent="0.25"/>
    <row r="137674" customFormat="1" x14ac:dyDescent="0.25"/>
    <row r="137675" customFormat="1" x14ac:dyDescent="0.25"/>
    <row r="137676" customFormat="1" x14ac:dyDescent="0.25"/>
    <row r="137677" customFormat="1" x14ac:dyDescent="0.25"/>
    <row r="137678" customFormat="1" x14ac:dyDescent="0.25"/>
    <row r="137679" customFormat="1" x14ac:dyDescent="0.25"/>
    <row r="137680" customFormat="1" x14ac:dyDescent="0.25"/>
    <row r="137681" customFormat="1" x14ac:dyDescent="0.25"/>
    <row r="137682" customFormat="1" x14ac:dyDescent="0.25"/>
    <row r="137683" customFormat="1" x14ac:dyDescent="0.25"/>
    <row r="137684" customFormat="1" x14ac:dyDescent="0.25"/>
    <row r="137685" customFormat="1" x14ac:dyDescent="0.25"/>
    <row r="137686" customFormat="1" x14ac:dyDescent="0.25"/>
    <row r="137687" customFormat="1" x14ac:dyDescent="0.25"/>
    <row r="137688" customFormat="1" x14ac:dyDescent="0.25"/>
    <row r="137689" customFormat="1" x14ac:dyDescent="0.25"/>
    <row r="137690" customFormat="1" x14ac:dyDescent="0.25"/>
    <row r="137691" customFormat="1" x14ac:dyDescent="0.25"/>
    <row r="137692" customFormat="1" x14ac:dyDescent="0.25"/>
    <row r="137693" customFormat="1" x14ac:dyDescent="0.25"/>
    <row r="137694" customFormat="1" x14ac:dyDescent="0.25"/>
    <row r="137695" customFormat="1" x14ac:dyDescent="0.25"/>
    <row r="137696" customFormat="1" x14ac:dyDescent="0.25"/>
    <row r="137697" customFormat="1" x14ac:dyDescent="0.25"/>
    <row r="137698" customFormat="1" x14ac:dyDescent="0.25"/>
    <row r="137699" customFormat="1" x14ac:dyDescent="0.25"/>
    <row r="137700" customFormat="1" x14ac:dyDescent="0.25"/>
    <row r="137701" customFormat="1" x14ac:dyDescent="0.25"/>
    <row r="137702" customFormat="1" x14ac:dyDescent="0.25"/>
    <row r="137703" customFormat="1" x14ac:dyDescent="0.25"/>
    <row r="137704" customFormat="1" x14ac:dyDescent="0.25"/>
    <row r="137705" customFormat="1" x14ac:dyDescent="0.25"/>
    <row r="137706" customFormat="1" x14ac:dyDescent="0.25"/>
    <row r="137707" customFormat="1" x14ac:dyDescent="0.25"/>
    <row r="137708" customFormat="1" x14ac:dyDescent="0.25"/>
    <row r="137709" customFormat="1" x14ac:dyDescent="0.25"/>
    <row r="137710" customFormat="1" x14ac:dyDescent="0.25"/>
    <row r="137711" customFormat="1" x14ac:dyDescent="0.25"/>
    <row r="137712" customFormat="1" x14ac:dyDescent="0.25"/>
    <row r="137713" customFormat="1" x14ac:dyDescent="0.25"/>
    <row r="137714" customFormat="1" x14ac:dyDescent="0.25"/>
    <row r="137715" customFormat="1" x14ac:dyDescent="0.25"/>
    <row r="137716" customFormat="1" x14ac:dyDescent="0.25"/>
    <row r="137717" customFormat="1" x14ac:dyDescent="0.25"/>
    <row r="137718" customFormat="1" x14ac:dyDescent="0.25"/>
    <row r="137719" customFormat="1" x14ac:dyDescent="0.25"/>
    <row r="137720" customFormat="1" x14ac:dyDescent="0.25"/>
    <row r="137721" customFormat="1" x14ac:dyDescent="0.25"/>
    <row r="137722" customFormat="1" x14ac:dyDescent="0.25"/>
    <row r="137723" customFormat="1" x14ac:dyDescent="0.25"/>
    <row r="137724" customFormat="1" x14ac:dyDescent="0.25"/>
    <row r="137725" customFormat="1" x14ac:dyDescent="0.25"/>
    <row r="137726" customFormat="1" x14ac:dyDescent="0.25"/>
    <row r="137727" customFormat="1" x14ac:dyDescent="0.25"/>
    <row r="137728" customFormat="1" x14ac:dyDescent="0.25"/>
    <row r="137729" customFormat="1" x14ac:dyDescent="0.25"/>
    <row r="137730" customFormat="1" x14ac:dyDescent="0.25"/>
    <row r="137731" customFormat="1" x14ac:dyDescent="0.25"/>
    <row r="137732" customFormat="1" x14ac:dyDescent="0.25"/>
    <row r="137733" customFormat="1" x14ac:dyDescent="0.25"/>
    <row r="137734" customFormat="1" x14ac:dyDescent="0.25"/>
    <row r="137735" customFormat="1" x14ac:dyDescent="0.25"/>
    <row r="137736" customFormat="1" x14ac:dyDescent="0.25"/>
    <row r="137737" customFormat="1" x14ac:dyDescent="0.25"/>
    <row r="137738" customFormat="1" x14ac:dyDescent="0.25"/>
    <row r="137739" customFormat="1" x14ac:dyDescent="0.25"/>
    <row r="137740" customFormat="1" x14ac:dyDescent="0.25"/>
    <row r="137741" customFormat="1" x14ac:dyDescent="0.25"/>
    <row r="137742" customFormat="1" x14ac:dyDescent="0.25"/>
    <row r="137743" customFormat="1" x14ac:dyDescent="0.25"/>
    <row r="137744" customFormat="1" x14ac:dyDescent="0.25"/>
    <row r="137745" customFormat="1" x14ac:dyDescent="0.25"/>
    <row r="137746" customFormat="1" x14ac:dyDescent="0.25"/>
    <row r="137747" customFormat="1" x14ac:dyDescent="0.25"/>
    <row r="137748" customFormat="1" x14ac:dyDescent="0.25"/>
    <row r="137749" customFormat="1" x14ac:dyDescent="0.25"/>
    <row r="137750" customFormat="1" x14ac:dyDescent="0.25"/>
    <row r="137751" customFormat="1" x14ac:dyDescent="0.25"/>
    <row r="137752" customFormat="1" x14ac:dyDescent="0.25"/>
    <row r="137753" customFormat="1" x14ac:dyDescent="0.25"/>
    <row r="137754" customFormat="1" x14ac:dyDescent="0.25"/>
    <row r="137755" customFormat="1" x14ac:dyDescent="0.25"/>
    <row r="137756" customFormat="1" x14ac:dyDescent="0.25"/>
    <row r="137757" customFormat="1" x14ac:dyDescent="0.25"/>
    <row r="137758" customFormat="1" x14ac:dyDescent="0.25"/>
    <row r="137759" customFormat="1" x14ac:dyDescent="0.25"/>
    <row r="137760" customFormat="1" x14ac:dyDescent="0.25"/>
    <row r="137761" customFormat="1" x14ac:dyDescent="0.25"/>
    <row r="137762" customFormat="1" x14ac:dyDescent="0.25"/>
    <row r="137763" customFormat="1" x14ac:dyDescent="0.25"/>
    <row r="137764" customFormat="1" x14ac:dyDescent="0.25"/>
    <row r="137765" customFormat="1" x14ac:dyDescent="0.25"/>
    <row r="137766" customFormat="1" x14ac:dyDescent="0.25"/>
    <row r="137767" customFormat="1" x14ac:dyDescent="0.25"/>
    <row r="137768" customFormat="1" x14ac:dyDescent="0.25"/>
    <row r="137769" customFormat="1" x14ac:dyDescent="0.25"/>
    <row r="137770" customFormat="1" x14ac:dyDescent="0.25"/>
    <row r="137771" customFormat="1" x14ac:dyDescent="0.25"/>
    <row r="137772" customFormat="1" x14ac:dyDescent="0.25"/>
    <row r="137773" customFormat="1" x14ac:dyDescent="0.25"/>
    <row r="137774" customFormat="1" x14ac:dyDescent="0.25"/>
    <row r="137775" customFormat="1" x14ac:dyDescent="0.25"/>
    <row r="137776" customFormat="1" x14ac:dyDescent="0.25"/>
    <row r="137777" customFormat="1" x14ac:dyDescent="0.25"/>
    <row r="137778" customFormat="1" x14ac:dyDescent="0.25"/>
    <row r="137779" customFormat="1" x14ac:dyDescent="0.25"/>
    <row r="137780" customFormat="1" x14ac:dyDescent="0.25"/>
    <row r="137781" customFormat="1" x14ac:dyDescent="0.25"/>
    <row r="137782" customFormat="1" x14ac:dyDescent="0.25"/>
    <row r="137783" customFormat="1" x14ac:dyDescent="0.25"/>
    <row r="137784" customFormat="1" x14ac:dyDescent="0.25"/>
    <row r="137785" customFormat="1" x14ac:dyDescent="0.25"/>
    <row r="137786" customFormat="1" x14ac:dyDescent="0.25"/>
    <row r="137787" customFormat="1" x14ac:dyDescent="0.25"/>
    <row r="137788" customFormat="1" x14ac:dyDescent="0.25"/>
    <row r="137789" customFormat="1" x14ac:dyDescent="0.25"/>
    <row r="137790" customFormat="1" x14ac:dyDescent="0.25"/>
    <row r="137791" customFormat="1" x14ac:dyDescent="0.25"/>
    <row r="137792" customFormat="1" x14ac:dyDescent="0.25"/>
    <row r="137793" customFormat="1" x14ac:dyDescent="0.25"/>
    <row r="137794" customFormat="1" x14ac:dyDescent="0.25"/>
    <row r="137795" customFormat="1" x14ac:dyDescent="0.25"/>
    <row r="137796" customFormat="1" x14ac:dyDescent="0.25"/>
    <row r="137797" customFormat="1" x14ac:dyDescent="0.25"/>
    <row r="137798" customFormat="1" x14ac:dyDescent="0.25"/>
    <row r="137799" customFormat="1" x14ac:dyDescent="0.25"/>
    <row r="137800" customFormat="1" x14ac:dyDescent="0.25"/>
    <row r="137801" customFormat="1" x14ac:dyDescent="0.25"/>
    <row r="137802" customFormat="1" x14ac:dyDescent="0.25"/>
    <row r="137803" customFormat="1" x14ac:dyDescent="0.25"/>
    <row r="137804" customFormat="1" x14ac:dyDescent="0.25"/>
    <row r="137805" customFormat="1" x14ac:dyDescent="0.25"/>
    <row r="137806" customFormat="1" x14ac:dyDescent="0.25"/>
    <row r="137807" customFormat="1" x14ac:dyDescent="0.25"/>
    <row r="137808" customFormat="1" x14ac:dyDescent="0.25"/>
    <row r="137809" customFormat="1" x14ac:dyDescent="0.25"/>
    <row r="137810" customFormat="1" x14ac:dyDescent="0.25"/>
    <row r="137811" customFormat="1" x14ac:dyDescent="0.25"/>
    <row r="137812" customFormat="1" x14ac:dyDescent="0.25"/>
    <row r="137813" customFormat="1" x14ac:dyDescent="0.25"/>
    <row r="137814" customFormat="1" x14ac:dyDescent="0.25"/>
    <row r="137815" customFormat="1" x14ac:dyDescent="0.25"/>
    <row r="137816" customFormat="1" x14ac:dyDescent="0.25"/>
    <row r="137817" customFormat="1" x14ac:dyDescent="0.25"/>
    <row r="137818" customFormat="1" x14ac:dyDescent="0.25"/>
    <row r="137819" customFormat="1" x14ac:dyDescent="0.25"/>
    <row r="137820" customFormat="1" x14ac:dyDescent="0.25"/>
    <row r="137821" customFormat="1" x14ac:dyDescent="0.25"/>
    <row r="137822" customFormat="1" x14ac:dyDescent="0.25"/>
    <row r="137823" customFormat="1" x14ac:dyDescent="0.25"/>
    <row r="137824" customFormat="1" x14ac:dyDescent="0.25"/>
    <row r="137825" customFormat="1" x14ac:dyDescent="0.25"/>
    <row r="137826" customFormat="1" x14ac:dyDescent="0.25"/>
    <row r="137827" customFormat="1" x14ac:dyDescent="0.25"/>
    <row r="137828" customFormat="1" x14ac:dyDescent="0.25"/>
    <row r="137829" customFormat="1" x14ac:dyDescent="0.25"/>
    <row r="137830" customFormat="1" x14ac:dyDescent="0.25"/>
    <row r="137831" customFormat="1" x14ac:dyDescent="0.25"/>
    <row r="137832" customFormat="1" x14ac:dyDescent="0.25"/>
    <row r="137833" customFormat="1" x14ac:dyDescent="0.25"/>
    <row r="137834" customFormat="1" x14ac:dyDescent="0.25"/>
    <row r="137835" customFormat="1" x14ac:dyDescent="0.25"/>
    <row r="137836" customFormat="1" x14ac:dyDescent="0.25"/>
    <row r="137837" customFormat="1" x14ac:dyDescent="0.25"/>
    <row r="137838" customFormat="1" x14ac:dyDescent="0.25"/>
    <row r="137839" customFormat="1" x14ac:dyDescent="0.25"/>
    <row r="137840" customFormat="1" x14ac:dyDescent="0.25"/>
    <row r="137841" customFormat="1" x14ac:dyDescent="0.25"/>
    <row r="137842" customFormat="1" x14ac:dyDescent="0.25"/>
    <row r="137843" customFormat="1" x14ac:dyDescent="0.25"/>
    <row r="137844" customFormat="1" x14ac:dyDescent="0.25"/>
    <row r="137845" customFormat="1" x14ac:dyDescent="0.25"/>
    <row r="137846" customFormat="1" x14ac:dyDescent="0.25"/>
    <row r="137847" customFormat="1" x14ac:dyDescent="0.25"/>
    <row r="137848" customFormat="1" x14ac:dyDescent="0.25"/>
    <row r="137849" customFormat="1" x14ac:dyDescent="0.25"/>
    <row r="137850" customFormat="1" x14ac:dyDescent="0.25"/>
    <row r="137851" customFormat="1" x14ac:dyDescent="0.25"/>
    <row r="137852" customFormat="1" x14ac:dyDescent="0.25"/>
    <row r="137853" customFormat="1" x14ac:dyDescent="0.25"/>
    <row r="137854" customFormat="1" x14ac:dyDescent="0.25"/>
    <row r="137855" customFormat="1" x14ac:dyDescent="0.25"/>
    <row r="137856" customFormat="1" x14ac:dyDescent="0.25"/>
    <row r="137857" customFormat="1" x14ac:dyDescent="0.25"/>
    <row r="137858" customFormat="1" x14ac:dyDescent="0.25"/>
    <row r="137859" customFormat="1" x14ac:dyDescent="0.25"/>
    <row r="137860" customFormat="1" x14ac:dyDescent="0.25"/>
    <row r="137861" customFormat="1" x14ac:dyDescent="0.25"/>
    <row r="137862" customFormat="1" x14ac:dyDescent="0.25"/>
    <row r="137863" customFormat="1" x14ac:dyDescent="0.25"/>
    <row r="137864" customFormat="1" x14ac:dyDescent="0.25"/>
    <row r="137865" customFormat="1" x14ac:dyDescent="0.25"/>
    <row r="137866" customFormat="1" x14ac:dyDescent="0.25"/>
    <row r="137867" customFormat="1" x14ac:dyDescent="0.25"/>
    <row r="137868" customFormat="1" x14ac:dyDescent="0.25"/>
    <row r="137869" customFormat="1" x14ac:dyDescent="0.25"/>
    <row r="137870" customFormat="1" x14ac:dyDescent="0.25"/>
    <row r="137871" customFormat="1" x14ac:dyDescent="0.25"/>
    <row r="137872" customFormat="1" x14ac:dyDescent="0.25"/>
    <row r="137873" customFormat="1" x14ac:dyDescent="0.25"/>
    <row r="137874" customFormat="1" x14ac:dyDescent="0.25"/>
    <row r="137875" customFormat="1" x14ac:dyDescent="0.25"/>
    <row r="137876" customFormat="1" x14ac:dyDescent="0.25"/>
    <row r="137877" customFormat="1" x14ac:dyDescent="0.25"/>
    <row r="137878" customFormat="1" x14ac:dyDescent="0.25"/>
    <row r="137879" customFormat="1" x14ac:dyDescent="0.25"/>
    <row r="137880" customFormat="1" x14ac:dyDescent="0.25"/>
    <row r="137881" customFormat="1" x14ac:dyDescent="0.25"/>
    <row r="137882" customFormat="1" x14ac:dyDescent="0.25"/>
    <row r="137883" customFormat="1" x14ac:dyDescent="0.25"/>
    <row r="137884" customFormat="1" x14ac:dyDescent="0.25"/>
    <row r="137885" customFormat="1" x14ac:dyDescent="0.25"/>
    <row r="137886" customFormat="1" x14ac:dyDescent="0.25"/>
    <row r="137887" customFormat="1" x14ac:dyDescent="0.25"/>
    <row r="137888" customFormat="1" x14ac:dyDescent="0.25"/>
    <row r="137889" customFormat="1" x14ac:dyDescent="0.25"/>
    <row r="137890" customFormat="1" x14ac:dyDescent="0.25"/>
    <row r="137891" customFormat="1" x14ac:dyDescent="0.25"/>
    <row r="137892" customFormat="1" x14ac:dyDescent="0.25"/>
    <row r="137893" customFormat="1" x14ac:dyDescent="0.25"/>
    <row r="137894" customFormat="1" x14ac:dyDescent="0.25"/>
    <row r="137895" customFormat="1" x14ac:dyDescent="0.25"/>
    <row r="137896" customFormat="1" x14ac:dyDescent="0.25"/>
    <row r="137897" customFormat="1" x14ac:dyDescent="0.25"/>
    <row r="137898" customFormat="1" x14ac:dyDescent="0.25"/>
    <row r="137899" customFormat="1" x14ac:dyDescent="0.25"/>
    <row r="137900" customFormat="1" x14ac:dyDescent="0.25"/>
    <row r="137901" customFormat="1" x14ac:dyDescent="0.25"/>
    <row r="137902" customFormat="1" x14ac:dyDescent="0.25"/>
    <row r="137903" customFormat="1" x14ac:dyDescent="0.25"/>
    <row r="137904" customFormat="1" x14ac:dyDescent="0.25"/>
    <row r="137905" customFormat="1" x14ac:dyDescent="0.25"/>
    <row r="137906" customFormat="1" x14ac:dyDescent="0.25"/>
    <row r="137907" customFormat="1" x14ac:dyDescent="0.25"/>
    <row r="137908" customFormat="1" x14ac:dyDescent="0.25"/>
    <row r="137909" customFormat="1" x14ac:dyDescent="0.25"/>
    <row r="137910" customFormat="1" x14ac:dyDescent="0.25"/>
    <row r="137911" customFormat="1" x14ac:dyDescent="0.25"/>
    <row r="137912" customFormat="1" x14ac:dyDescent="0.25"/>
    <row r="137913" customFormat="1" x14ac:dyDescent="0.25"/>
    <row r="137914" customFormat="1" x14ac:dyDescent="0.25"/>
    <row r="137915" customFormat="1" x14ac:dyDescent="0.25"/>
    <row r="137916" customFormat="1" x14ac:dyDescent="0.25"/>
    <row r="137917" customFormat="1" x14ac:dyDescent="0.25"/>
    <row r="137918" customFormat="1" x14ac:dyDescent="0.25"/>
    <row r="137919" customFormat="1" x14ac:dyDescent="0.25"/>
    <row r="137920" customFormat="1" x14ac:dyDescent="0.25"/>
    <row r="137921" customFormat="1" x14ac:dyDescent="0.25"/>
    <row r="137922" customFormat="1" x14ac:dyDescent="0.25"/>
    <row r="137923" customFormat="1" x14ac:dyDescent="0.25"/>
    <row r="137924" customFormat="1" x14ac:dyDescent="0.25"/>
    <row r="137925" customFormat="1" x14ac:dyDescent="0.25"/>
    <row r="137926" customFormat="1" x14ac:dyDescent="0.25"/>
    <row r="137927" customFormat="1" x14ac:dyDescent="0.25"/>
    <row r="137928" customFormat="1" x14ac:dyDescent="0.25"/>
    <row r="137929" customFormat="1" x14ac:dyDescent="0.25"/>
    <row r="137930" customFormat="1" x14ac:dyDescent="0.25"/>
    <row r="137931" customFormat="1" x14ac:dyDescent="0.25"/>
    <row r="137932" customFormat="1" x14ac:dyDescent="0.25"/>
    <row r="137933" customFormat="1" x14ac:dyDescent="0.25"/>
    <row r="137934" customFormat="1" x14ac:dyDescent="0.25"/>
    <row r="137935" customFormat="1" x14ac:dyDescent="0.25"/>
    <row r="137936" customFormat="1" x14ac:dyDescent="0.25"/>
    <row r="137937" customFormat="1" x14ac:dyDescent="0.25"/>
    <row r="137938" customFormat="1" x14ac:dyDescent="0.25"/>
    <row r="137939" customFormat="1" x14ac:dyDescent="0.25"/>
    <row r="137940" customFormat="1" x14ac:dyDescent="0.25"/>
    <row r="137941" customFormat="1" x14ac:dyDescent="0.25"/>
    <row r="137942" customFormat="1" x14ac:dyDescent="0.25"/>
    <row r="137943" customFormat="1" x14ac:dyDescent="0.25"/>
    <row r="137944" customFormat="1" x14ac:dyDescent="0.25"/>
    <row r="137945" customFormat="1" x14ac:dyDescent="0.25"/>
    <row r="137946" customFormat="1" x14ac:dyDescent="0.25"/>
    <row r="137947" customFormat="1" x14ac:dyDescent="0.25"/>
    <row r="137948" customFormat="1" x14ac:dyDescent="0.25"/>
    <row r="137949" customFormat="1" x14ac:dyDescent="0.25"/>
    <row r="137950" customFormat="1" x14ac:dyDescent="0.25"/>
    <row r="137951" customFormat="1" x14ac:dyDescent="0.25"/>
    <row r="137952" customFormat="1" x14ac:dyDescent="0.25"/>
    <row r="137953" customFormat="1" x14ac:dyDescent="0.25"/>
    <row r="137954" customFormat="1" x14ac:dyDescent="0.25"/>
    <row r="137955" customFormat="1" x14ac:dyDescent="0.25"/>
    <row r="137956" customFormat="1" x14ac:dyDescent="0.25"/>
    <row r="137957" customFormat="1" x14ac:dyDescent="0.25"/>
    <row r="137958" customFormat="1" x14ac:dyDescent="0.25"/>
    <row r="137959" customFormat="1" x14ac:dyDescent="0.25"/>
    <row r="137960" customFormat="1" x14ac:dyDescent="0.25"/>
    <row r="137961" customFormat="1" x14ac:dyDescent="0.25"/>
    <row r="137962" customFormat="1" x14ac:dyDescent="0.25"/>
    <row r="137963" customFormat="1" x14ac:dyDescent="0.25"/>
    <row r="137964" customFormat="1" x14ac:dyDescent="0.25"/>
    <row r="137965" customFormat="1" x14ac:dyDescent="0.25"/>
    <row r="137966" customFormat="1" x14ac:dyDescent="0.25"/>
    <row r="137967" customFormat="1" x14ac:dyDescent="0.25"/>
    <row r="137968" customFormat="1" x14ac:dyDescent="0.25"/>
    <row r="137969" customFormat="1" x14ac:dyDescent="0.25"/>
    <row r="137970" customFormat="1" x14ac:dyDescent="0.25"/>
    <row r="137971" customFormat="1" x14ac:dyDescent="0.25"/>
    <row r="137972" customFormat="1" x14ac:dyDescent="0.25"/>
    <row r="137973" customFormat="1" x14ac:dyDescent="0.25"/>
    <row r="137974" customFormat="1" x14ac:dyDescent="0.25"/>
    <row r="137975" customFormat="1" x14ac:dyDescent="0.25"/>
    <row r="137976" customFormat="1" x14ac:dyDescent="0.25"/>
    <row r="137977" customFormat="1" x14ac:dyDescent="0.25"/>
    <row r="137978" customFormat="1" x14ac:dyDescent="0.25"/>
    <row r="137979" customFormat="1" x14ac:dyDescent="0.25"/>
    <row r="137980" customFormat="1" x14ac:dyDescent="0.25"/>
    <row r="137981" customFormat="1" x14ac:dyDescent="0.25"/>
    <row r="137982" customFormat="1" x14ac:dyDescent="0.25"/>
    <row r="137983" customFormat="1" x14ac:dyDescent="0.25"/>
    <row r="137984" customFormat="1" x14ac:dyDescent="0.25"/>
    <row r="137985" customFormat="1" x14ac:dyDescent="0.25"/>
    <row r="137986" customFormat="1" x14ac:dyDescent="0.25"/>
    <row r="137987" customFormat="1" x14ac:dyDescent="0.25"/>
    <row r="137988" customFormat="1" x14ac:dyDescent="0.25"/>
    <row r="137989" customFormat="1" x14ac:dyDescent="0.25"/>
    <row r="137990" customFormat="1" x14ac:dyDescent="0.25"/>
    <row r="137991" customFormat="1" x14ac:dyDescent="0.25"/>
    <row r="137992" customFormat="1" x14ac:dyDescent="0.25"/>
    <row r="137993" customFormat="1" x14ac:dyDescent="0.25"/>
    <row r="137994" customFormat="1" x14ac:dyDescent="0.25"/>
    <row r="137995" customFormat="1" x14ac:dyDescent="0.25"/>
    <row r="137996" customFormat="1" x14ac:dyDescent="0.25"/>
    <row r="137997" customFormat="1" x14ac:dyDescent="0.25"/>
    <row r="137998" customFormat="1" x14ac:dyDescent="0.25"/>
    <row r="137999" customFormat="1" x14ac:dyDescent="0.25"/>
    <row r="138000" customFormat="1" x14ac:dyDescent="0.25"/>
    <row r="138001" customFormat="1" x14ac:dyDescent="0.25"/>
    <row r="138002" customFormat="1" x14ac:dyDescent="0.25"/>
    <row r="138003" customFormat="1" x14ac:dyDescent="0.25"/>
    <row r="138004" customFormat="1" x14ac:dyDescent="0.25"/>
    <row r="138005" customFormat="1" x14ac:dyDescent="0.25"/>
    <row r="138006" customFormat="1" x14ac:dyDescent="0.25"/>
    <row r="138007" customFormat="1" x14ac:dyDescent="0.25"/>
    <row r="138008" customFormat="1" x14ac:dyDescent="0.25"/>
    <row r="138009" customFormat="1" x14ac:dyDescent="0.25"/>
    <row r="138010" customFormat="1" x14ac:dyDescent="0.25"/>
    <row r="138011" customFormat="1" x14ac:dyDescent="0.25"/>
    <row r="138012" customFormat="1" x14ac:dyDescent="0.25"/>
    <row r="138013" customFormat="1" x14ac:dyDescent="0.25"/>
    <row r="138014" customFormat="1" x14ac:dyDescent="0.25"/>
    <row r="138015" customFormat="1" x14ac:dyDescent="0.25"/>
    <row r="138016" customFormat="1" x14ac:dyDescent="0.25"/>
    <row r="138017" customFormat="1" x14ac:dyDescent="0.25"/>
    <row r="138018" customFormat="1" x14ac:dyDescent="0.25"/>
    <row r="138019" customFormat="1" x14ac:dyDescent="0.25"/>
    <row r="138020" customFormat="1" x14ac:dyDescent="0.25"/>
    <row r="138021" customFormat="1" x14ac:dyDescent="0.25"/>
    <row r="138022" customFormat="1" x14ac:dyDescent="0.25"/>
    <row r="138023" customFormat="1" x14ac:dyDescent="0.25"/>
    <row r="138024" customFormat="1" x14ac:dyDescent="0.25"/>
    <row r="138025" customFormat="1" x14ac:dyDescent="0.25"/>
    <row r="138026" customFormat="1" x14ac:dyDescent="0.25"/>
    <row r="138027" customFormat="1" x14ac:dyDescent="0.25"/>
    <row r="138028" customFormat="1" x14ac:dyDescent="0.25"/>
    <row r="138029" customFormat="1" x14ac:dyDescent="0.25"/>
    <row r="138030" customFormat="1" x14ac:dyDescent="0.25"/>
    <row r="138031" customFormat="1" x14ac:dyDescent="0.25"/>
    <row r="138032" customFormat="1" x14ac:dyDescent="0.25"/>
    <row r="138033" customFormat="1" x14ac:dyDescent="0.25"/>
    <row r="138034" customFormat="1" x14ac:dyDescent="0.25"/>
    <row r="138035" customFormat="1" x14ac:dyDescent="0.25"/>
    <row r="138036" customFormat="1" x14ac:dyDescent="0.25"/>
    <row r="138037" customFormat="1" x14ac:dyDescent="0.25"/>
    <row r="138038" customFormat="1" x14ac:dyDescent="0.25"/>
    <row r="138039" customFormat="1" x14ac:dyDescent="0.25"/>
    <row r="138040" customFormat="1" x14ac:dyDescent="0.25"/>
    <row r="138041" customFormat="1" x14ac:dyDescent="0.25"/>
    <row r="138042" customFormat="1" x14ac:dyDescent="0.25"/>
    <row r="138043" customFormat="1" x14ac:dyDescent="0.25"/>
    <row r="138044" customFormat="1" x14ac:dyDescent="0.25"/>
    <row r="138045" customFormat="1" x14ac:dyDescent="0.25"/>
    <row r="138046" customFormat="1" x14ac:dyDescent="0.25"/>
    <row r="138047" customFormat="1" x14ac:dyDescent="0.25"/>
    <row r="138048" customFormat="1" x14ac:dyDescent="0.25"/>
    <row r="138049" customFormat="1" x14ac:dyDescent="0.25"/>
    <row r="138050" customFormat="1" x14ac:dyDescent="0.25"/>
    <row r="138051" customFormat="1" x14ac:dyDescent="0.25"/>
    <row r="138052" customFormat="1" x14ac:dyDescent="0.25"/>
    <row r="138053" customFormat="1" x14ac:dyDescent="0.25"/>
    <row r="138054" customFormat="1" x14ac:dyDescent="0.25"/>
    <row r="138055" customFormat="1" x14ac:dyDescent="0.25"/>
    <row r="138056" customFormat="1" x14ac:dyDescent="0.25"/>
    <row r="138057" customFormat="1" x14ac:dyDescent="0.25"/>
    <row r="138058" customFormat="1" x14ac:dyDescent="0.25"/>
    <row r="138059" customFormat="1" x14ac:dyDescent="0.25"/>
    <row r="138060" customFormat="1" x14ac:dyDescent="0.25"/>
    <row r="138061" customFormat="1" x14ac:dyDescent="0.25"/>
    <row r="138062" customFormat="1" x14ac:dyDescent="0.25"/>
    <row r="138063" customFormat="1" x14ac:dyDescent="0.25"/>
    <row r="138064" customFormat="1" x14ac:dyDescent="0.25"/>
    <row r="138065" customFormat="1" x14ac:dyDescent="0.25"/>
    <row r="138066" customFormat="1" x14ac:dyDescent="0.25"/>
    <row r="138067" customFormat="1" x14ac:dyDescent="0.25"/>
    <row r="138068" customFormat="1" x14ac:dyDescent="0.25"/>
    <row r="138069" customFormat="1" x14ac:dyDescent="0.25"/>
    <row r="138070" customFormat="1" x14ac:dyDescent="0.25"/>
    <row r="138071" customFormat="1" x14ac:dyDescent="0.25"/>
    <row r="138072" customFormat="1" x14ac:dyDescent="0.25"/>
    <row r="138073" customFormat="1" x14ac:dyDescent="0.25"/>
    <row r="138074" customFormat="1" x14ac:dyDescent="0.25"/>
    <row r="138075" customFormat="1" x14ac:dyDescent="0.25"/>
    <row r="138076" customFormat="1" x14ac:dyDescent="0.25"/>
    <row r="138077" customFormat="1" x14ac:dyDescent="0.25"/>
    <row r="138078" customFormat="1" x14ac:dyDescent="0.25"/>
    <row r="138079" customFormat="1" x14ac:dyDescent="0.25"/>
    <row r="138080" customFormat="1" x14ac:dyDescent="0.25"/>
    <row r="138081" customFormat="1" x14ac:dyDescent="0.25"/>
    <row r="138082" customFormat="1" x14ac:dyDescent="0.25"/>
    <row r="138083" customFormat="1" x14ac:dyDescent="0.25"/>
    <row r="138084" customFormat="1" x14ac:dyDescent="0.25"/>
    <row r="138085" customFormat="1" x14ac:dyDescent="0.25"/>
    <row r="138086" customFormat="1" x14ac:dyDescent="0.25"/>
    <row r="138087" customFormat="1" x14ac:dyDescent="0.25"/>
    <row r="138088" customFormat="1" x14ac:dyDescent="0.25"/>
    <row r="138089" customFormat="1" x14ac:dyDescent="0.25"/>
    <row r="138090" customFormat="1" x14ac:dyDescent="0.25"/>
    <row r="138091" customFormat="1" x14ac:dyDescent="0.25"/>
    <row r="138092" customFormat="1" x14ac:dyDescent="0.25"/>
    <row r="138093" customFormat="1" x14ac:dyDescent="0.25"/>
    <row r="138094" customFormat="1" x14ac:dyDescent="0.25"/>
    <row r="138095" customFormat="1" x14ac:dyDescent="0.25"/>
    <row r="138096" customFormat="1" x14ac:dyDescent="0.25"/>
    <row r="138097" customFormat="1" x14ac:dyDescent="0.25"/>
    <row r="138098" customFormat="1" x14ac:dyDescent="0.25"/>
    <row r="138099" customFormat="1" x14ac:dyDescent="0.25"/>
    <row r="138100" customFormat="1" x14ac:dyDescent="0.25"/>
    <row r="138101" customFormat="1" x14ac:dyDescent="0.25"/>
    <row r="138102" customFormat="1" x14ac:dyDescent="0.25"/>
    <row r="138103" customFormat="1" x14ac:dyDescent="0.25"/>
    <row r="138104" customFormat="1" x14ac:dyDescent="0.25"/>
    <row r="138105" customFormat="1" x14ac:dyDescent="0.25"/>
    <row r="138106" customFormat="1" x14ac:dyDescent="0.25"/>
    <row r="138107" customFormat="1" x14ac:dyDescent="0.25"/>
    <row r="138108" customFormat="1" x14ac:dyDescent="0.25"/>
    <row r="138109" customFormat="1" x14ac:dyDescent="0.25"/>
    <row r="138110" customFormat="1" x14ac:dyDescent="0.25"/>
    <row r="138111" customFormat="1" x14ac:dyDescent="0.25"/>
    <row r="138112" customFormat="1" x14ac:dyDescent="0.25"/>
    <row r="138113" customFormat="1" x14ac:dyDescent="0.25"/>
    <row r="138114" customFormat="1" x14ac:dyDescent="0.25"/>
    <row r="138115" customFormat="1" x14ac:dyDescent="0.25"/>
    <row r="138116" customFormat="1" x14ac:dyDescent="0.25"/>
    <row r="138117" customFormat="1" x14ac:dyDescent="0.25"/>
    <row r="138118" customFormat="1" x14ac:dyDescent="0.25"/>
    <row r="138119" customFormat="1" x14ac:dyDescent="0.25"/>
    <row r="138120" customFormat="1" x14ac:dyDescent="0.25"/>
    <row r="138121" customFormat="1" x14ac:dyDescent="0.25"/>
    <row r="138122" customFormat="1" x14ac:dyDescent="0.25"/>
    <row r="138123" customFormat="1" x14ac:dyDescent="0.25"/>
    <row r="138124" customFormat="1" x14ac:dyDescent="0.25"/>
    <row r="138125" customFormat="1" x14ac:dyDescent="0.25"/>
    <row r="138126" customFormat="1" x14ac:dyDescent="0.25"/>
    <row r="138127" customFormat="1" x14ac:dyDescent="0.25"/>
    <row r="138128" customFormat="1" x14ac:dyDescent="0.25"/>
    <row r="138129" customFormat="1" x14ac:dyDescent="0.25"/>
    <row r="138130" customFormat="1" x14ac:dyDescent="0.25"/>
    <row r="138131" customFormat="1" x14ac:dyDescent="0.25"/>
    <row r="138132" customFormat="1" x14ac:dyDescent="0.25"/>
    <row r="138133" customFormat="1" x14ac:dyDescent="0.25"/>
    <row r="138134" customFormat="1" x14ac:dyDescent="0.25"/>
    <row r="138135" customFormat="1" x14ac:dyDescent="0.25"/>
    <row r="138136" customFormat="1" x14ac:dyDescent="0.25"/>
    <row r="138137" customFormat="1" x14ac:dyDescent="0.25"/>
    <row r="138138" customFormat="1" x14ac:dyDescent="0.25"/>
    <row r="138139" customFormat="1" x14ac:dyDescent="0.25"/>
    <row r="138140" customFormat="1" x14ac:dyDescent="0.25"/>
    <row r="138141" customFormat="1" x14ac:dyDescent="0.25"/>
    <row r="138142" customFormat="1" x14ac:dyDescent="0.25"/>
    <row r="138143" customFormat="1" x14ac:dyDescent="0.25"/>
    <row r="138144" customFormat="1" x14ac:dyDescent="0.25"/>
    <row r="138145" customFormat="1" x14ac:dyDescent="0.25"/>
    <row r="138146" customFormat="1" x14ac:dyDescent="0.25"/>
    <row r="138147" customFormat="1" x14ac:dyDescent="0.25"/>
    <row r="138148" customFormat="1" x14ac:dyDescent="0.25"/>
    <row r="138149" customFormat="1" x14ac:dyDescent="0.25"/>
    <row r="138150" customFormat="1" x14ac:dyDescent="0.25"/>
    <row r="138151" customFormat="1" x14ac:dyDescent="0.25"/>
    <row r="138152" customFormat="1" x14ac:dyDescent="0.25"/>
    <row r="138153" customFormat="1" x14ac:dyDescent="0.25"/>
    <row r="138154" customFormat="1" x14ac:dyDescent="0.25"/>
    <row r="138155" customFormat="1" x14ac:dyDescent="0.25"/>
    <row r="138156" customFormat="1" x14ac:dyDescent="0.25"/>
    <row r="138157" customFormat="1" x14ac:dyDescent="0.25"/>
    <row r="138158" customFormat="1" x14ac:dyDescent="0.25"/>
    <row r="138159" customFormat="1" x14ac:dyDescent="0.25"/>
    <row r="138160" customFormat="1" x14ac:dyDescent="0.25"/>
    <row r="138161" customFormat="1" x14ac:dyDescent="0.25"/>
    <row r="138162" customFormat="1" x14ac:dyDescent="0.25"/>
    <row r="138163" customFormat="1" x14ac:dyDescent="0.25"/>
    <row r="138164" customFormat="1" x14ac:dyDescent="0.25"/>
    <row r="138165" customFormat="1" x14ac:dyDescent="0.25"/>
    <row r="138166" customFormat="1" x14ac:dyDescent="0.25"/>
    <row r="138167" customFormat="1" x14ac:dyDescent="0.25"/>
    <row r="138168" customFormat="1" x14ac:dyDescent="0.25"/>
    <row r="138169" customFormat="1" x14ac:dyDescent="0.25"/>
    <row r="138170" customFormat="1" x14ac:dyDescent="0.25"/>
    <row r="138171" customFormat="1" x14ac:dyDescent="0.25"/>
    <row r="138172" customFormat="1" x14ac:dyDescent="0.25"/>
    <row r="138173" customFormat="1" x14ac:dyDescent="0.25"/>
    <row r="138174" customFormat="1" x14ac:dyDescent="0.25"/>
    <row r="138175" customFormat="1" x14ac:dyDescent="0.25"/>
    <row r="138176" customFormat="1" x14ac:dyDescent="0.25"/>
    <row r="138177" customFormat="1" x14ac:dyDescent="0.25"/>
    <row r="138178" customFormat="1" x14ac:dyDescent="0.25"/>
    <row r="138179" customFormat="1" x14ac:dyDescent="0.25"/>
    <row r="138180" customFormat="1" x14ac:dyDescent="0.25"/>
    <row r="138181" customFormat="1" x14ac:dyDescent="0.25"/>
    <row r="138182" customFormat="1" x14ac:dyDescent="0.25"/>
    <row r="138183" customFormat="1" x14ac:dyDescent="0.25"/>
    <row r="138184" customFormat="1" x14ac:dyDescent="0.25"/>
    <row r="138185" customFormat="1" x14ac:dyDescent="0.25"/>
    <row r="138186" customFormat="1" x14ac:dyDescent="0.25"/>
    <row r="138187" customFormat="1" x14ac:dyDescent="0.25"/>
    <row r="138188" customFormat="1" x14ac:dyDescent="0.25"/>
    <row r="138189" customFormat="1" x14ac:dyDescent="0.25"/>
    <row r="138190" customFormat="1" x14ac:dyDescent="0.25"/>
    <row r="138191" customFormat="1" x14ac:dyDescent="0.25"/>
    <row r="138192" customFormat="1" x14ac:dyDescent="0.25"/>
    <row r="138193" customFormat="1" x14ac:dyDescent="0.25"/>
    <row r="138194" customFormat="1" x14ac:dyDescent="0.25"/>
    <row r="138195" customFormat="1" x14ac:dyDescent="0.25"/>
    <row r="138196" customFormat="1" x14ac:dyDescent="0.25"/>
    <row r="138197" customFormat="1" x14ac:dyDescent="0.25"/>
    <row r="138198" customFormat="1" x14ac:dyDescent="0.25"/>
    <row r="138199" customFormat="1" x14ac:dyDescent="0.25"/>
    <row r="138200" customFormat="1" x14ac:dyDescent="0.25"/>
    <row r="138201" customFormat="1" x14ac:dyDescent="0.25"/>
    <row r="138202" customFormat="1" x14ac:dyDescent="0.25"/>
    <row r="138203" customFormat="1" x14ac:dyDescent="0.25"/>
    <row r="138204" customFormat="1" x14ac:dyDescent="0.25"/>
    <row r="138205" customFormat="1" x14ac:dyDescent="0.25"/>
    <row r="138206" customFormat="1" x14ac:dyDescent="0.25"/>
    <row r="138207" customFormat="1" x14ac:dyDescent="0.25"/>
    <row r="138208" customFormat="1" x14ac:dyDescent="0.25"/>
    <row r="138209" customFormat="1" x14ac:dyDescent="0.25"/>
    <row r="138210" customFormat="1" x14ac:dyDescent="0.25"/>
    <row r="138211" customFormat="1" x14ac:dyDescent="0.25"/>
    <row r="138212" customFormat="1" x14ac:dyDescent="0.25"/>
    <row r="138213" customFormat="1" x14ac:dyDescent="0.25"/>
    <row r="138214" customFormat="1" x14ac:dyDescent="0.25"/>
    <row r="138215" customFormat="1" x14ac:dyDescent="0.25"/>
    <row r="138216" customFormat="1" x14ac:dyDescent="0.25"/>
    <row r="138217" customFormat="1" x14ac:dyDescent="0.25"/>
    <row r="138218" customFormat="1" x14ac:dyDescent="0.25"/>
    <row r="138219" customFormat="1" x14ac:dyDescent="0.25"/>
    <row r="138220" customFormat="1" x14ac:dyDescent="0.25"/>
    <row r="138221" customFormat="1" x14ac:dyDescent="0.25"/>
    <row r="138222" customFormat="1" x14ac:dyDescent="0.25"/>
    <row r="138223" customFormat="1" x14ac:dyDescent="0.25"/>
    <row r="138224" customFormat="1" x14ac:dyDescent="0.25"/>
    <row r="138225" customFormat="1" x14ac:dyDescent="0.25"/>
    <row r="138226" customFormat="1" x14ac:dyDescent="0.25"/>
    <row r="138227" customFormat="1" x14ac:dyDescent="0.25"/>
    <row r="138228" customFormat="1" x14ac:dyDescent="0.25"/>
    <row r="138229" customFormat="1" x14ac:dyDescent="0.25"/>
    <row r="138230" customFormat="1" x14ac:dyDescent="0.25"/>
    <row r="138231" customFormat="1" x14ac:dyDescent="0.25"/>
    <row r="138232" customFormat="1" x14ac:dyDescent="0.25"/>
    <row r="138233" customFormat="1" x14ac:dyDescent="0.25"/>
    <row r="138234" customFormat="1" x14ac:dyDescent="0.25"/>
    <row r="138235" customFormat="1" x14ac:dyDescent="0.25"/>
    <row r="138236" customFormat="1" x14ac:dyDescent="0.25"/>
    <row r="138237" customFormat="1" x14ac:dyDescent="0.25"/>
    <row r="138238" customFormat="1" x14ac:dyDescent="0.25"/>
    <row r="138239" customFormat="1" x14ac:dyDescent="0.25"/>
    <row r="138240" customFormat="1" x14ac:dyDescent="0.25"/>
    <row r="138241" customFormat="1" x14ac:dyDescent="0.25"/>
    <row r="138242" customFormat="1" x14ac:dyDescent="0.25"/>
    <row r="138243" customFormat="1" x14ac:dyDescent="0.25"/>
    <row r="138244" customFormat="1" x14ac:dyDescent="0.25"/>
    <row r="138245" customFormat="1" x14ac:dyDescent="0.25"/>
    <row r="138246" customFormat="1" x14ac:dyDescent="0.25"/>
    <row r="138247" customFormat="1" x14ac:dyDescent="0.25"/>
    <row r="138248" customFormat="1" x14ac:dyDescent="0.25"/>
    <row r="138249" customFormat="1" x14ac:dyDescent="0.25"/>
    <row r="138250" customFormat="1" x14ac:dyDescent="0.25"/>
    <row r="138251" customFormat="1" x14ac:dyDescent="0.25"/>
    <row r="138252" customFormat="1" x14ac:dyDescent="0.25"/>
    <row r="138253" customFormat="1" x14ac:dyDescent="0.25"/>
    <row r="138254" customFormat="1" x14ac:dyDescent="0.25"/>
    <row r="138255" customFormat="1" x14ac:dyDescent="0.25"/>
    <row r="138256" customFormat="1" x14ac:dyDescent="0.25"/>
    <row r="138257" customFormat="1" x14ac:dyDescent="0.25"/>
    <row r="138258" customFormat="1" x14ac:dyDescent="0.25"/>
    <row r="138259" customFormat="1" x14ac:dyDescent="0.25"/>
    <row r="138260" customFormat="1" x14ac:dyDescent="0.25"/>
    <row r="138261" customFormat="1" x14ac:dyDescent="0.25"/>
    <row r="138262" customFormat="1" x14ac:dyDescent="0.25"/>
    <row r="138263" customFormat="1" x14ac:dyDescent="0.25"/>
    <row r="138264" customFormat="1" x14ac:dyDescent="0.25"/>
    <row r="138265" customFormat="1" x14ac:dyDescent="0.25"/>
    <row r="138266" customFormat="1" x14ac:dyDescent="0.25"/>
    <row r="138267" customFormat="1" x14ac:dyDescent="0.25"/>
    <row r="138268" customFormat="1" x14ac:dyDescent="0.25"/>
    <row r="138269" customFormat="1" x14ac:dyDescent="0.25"/>
    <row r="138270" customFormat="1" x14ac:dyDescent="0.25"/>
    <row r="138271" customFormat="1" x14ac:dyDescent="0.25"/>
    <row r="138272" customFormat="1" x14ac:dyDescent="0.25"/>
    <row r="138273" customFormat="1" x14ac:dyDescent="0.25"/>
    <row r="138274" customFormat="1" x14ac:dyDescent="0.25"/>
    <row r="138275" customFormat="1" x14ac:dyDescent="0.25"/>
    <row r="138276" customFormat="1" x14ac:dyDescent="0.25"/>
    <row r="138277" customFormat="1" x14ac:dyDescent="0.25"/>
    <row r="138278" customFormat="1" x14ac:dyDescent="0.25"/>
    <row r="138279" customFormat="1" x14ac:dyDescent="0.25"/>
    <row r="138280" customFormat="1" x14ac:dyDescent="0.25"/>
    <row r="138281" customFormat="1" x14ac:dyDescent="0.25"/>
    <row r="138282" customFormat="1" x14ac:dyDescent="0.25"/>
    <row r="138283" customFormat="1" x14ac:dyDescent="0.25"/>
    <row r="138284" customFormat="1" x14ac:dyDescent="0.25"/>
    <row r="138285" customFormat="1" x14ac:dyDescent="0.25"/>
    <row r="138286" customFormat="1" x14ac:dyDescent="0.25"/>
    <row r="138287" customFormat="1" x14ac:dyDescent="0.25"/>
    <row r="138288" customFormat="1" x14ac:dyDescent="0.25"/>
    <row r="138289" customFormat="1" x14ac:dyDescent="0.25"/>
    <row r="138290" customFormat="1" x14ac:dyDescent="0.25"/>
    <row r="138291" customFormat="1" x14ac:dyDescent="0.25"/>
    <row r="138292" customFormat="1" x14ac:dyDescent="0.25"/>
    <row r="138293" customFormat="1" x14ac:dyDescent="0.25"/>
    <row r="138294" customFormat="1" x14ac:dyDescent="0.25"/>
    <row r="138295" customFormat="1" x14ac:dyDescent="0.25"/>
    <row r="138296" customFormat="1" x14ac:dyDescent="0.25"/>
    <row r="138297" customFormat="1" x14ac:dyDescent="0.25"/>
    <row r="138298" customFormat="1" x14ac:dyDescent="0.25"/>
    <row r="138299" customFormat="1" x14ac:dyDescent="0.25"/>
    <row r="138300" customFormat="1" x14ac:dyDescent="0.25"/>
    <row r="138301" customFormat="1" x14ac:dyDescent="0.25"/>
    <row r="138302" customFormat="1" x14ac:dyDescent="0.25"/>
    <row r="138303" customFormat="1" x14ac:dyDescent="0.25"/>
    <row r="138304" customFormat="1" x14ac:dyDescent="0.25"/>
    <row r="138305" customFormat="1" x14ac:dyDescent="0.25"/>
    <row r="138306" customFormat="1" x14ac:dyDescent="0.25"/>
    <row r="138307" customFormat="1" x14ac:dyDescent="0.25"/>
    <row r="138308" customFormat="1" x14ac:dyDescent="0.25"/>
    <row r="138309" customFormat="1" x14ac:dyDescent="0.25"/>
    <row r="138310" customFormat="1" x14ac:dyDescent="0.25"/>
    <row r="138311" customFormat="1" x14ac:dyDescent="0.25"/>
    <row r="138312" customFormat="1" x14ac:dyDescent="0.25"/>
    <row r="138313" customFormat="1" x14ac:dyDescent="0.25"/>
    <row r="138314" customFormat="1" x14ac:dyDescent="0.25"/>
    <row r="138315" customFormat="1" x14ac:dyDescent="0.25"/>
    <row r="138316" customFormat="1" x14ac:dyDescent="0.25"/>
    <row r="138317" customFormat="1" x14ac:dyDescent="0.25"/>
    <row r="138318" customFormat="1" x14ac:dyDescent="0.25"/>
    <row r="138319" customFormat="1" x14ac:dyDescent="0.25"/>
    <row r="138320" customFormat="1" x14ac:dyDescent="0.25"/>
    <row r="138321" customFormat="1" x14ac:dyDescent="0.25"/>
    <row r="138322" customFormat="1" x14ac:dyDescent="0.25"/>
    <row r="138323" customFormat="1" x14ac:dyDescent="0.25"/>
    <row r="138324" customFormat="1" x14ac:dyDescent="0.25"/>
    <row r="138325" customFormat="1" x14ac:dyDescent="0.25"/>
    <row r="138326" customFormat="1" x14ac:dyDescent="0.25"/>
    <row r="138327" customFormat="1" x14ac:dyDescent="0.25"/>
    <row r="138328" customFormat="1" x14ac:dyDescent="0.25"/>
    <row r="138329" customFormat="1" x14ac:dyDescent="0.25"/>
    <row r="138330" customFormat="1" x14ac:dyDescent="0.25"/>
    <row r="138331" customFormat="1" x14ac:dyDescent="0.25"/>
    <row r="138332" customFormat="1" x14ac:dyDescent="0.25"/>
    <row r="138333" customFormat="1" x14ac:dyDescent="0.25"/>
    <row r="138334" customFormat="1" x14ac:dyDescent="0.25"/>
    <row r="138335" customFormat="1" x14ac:dyDescent="0.25"/>
    <row r="138336" customFormat="1" x14ac:dyDescent="0.25"/>
    <row r="138337" customFormat="1" x14ac:dyDescent="0.25"/>
    <row r="138338" customFormat="1" x14ac:dyDescent="0.25"/>
    <row r="138339" customFormat="1" x14ac:dyDescent="0.25"/>
    <row r="138340" customFormat="1" x14ac:dyDescent="0.25"/>
    <row r="138341" customFormat="1" x14ac:dyDescent="0.25"/>
    <row r="138342" customFormat="1" x14ac:dyDescent="0.25"/>
    <row r="138343" customFormat="1" x14ac:dyDescent="0.25"/>
    <row r="138344" customFormat="1" x14ac:dyDescent="0.25"/>
    <row r="138345" customFormat="1" x14ac:dyDescent="0.25"/>
    <row r="138346" customFormat="1" x14ac:dyDescent="0.25"/>
    <row r="138347" customFormat="1" x14ac:dyDescent="0.25"/>
    <row r="138348" customFormat="1" x14ac:dyDescent="0.25"/>
    <row r="138349" customFormat="1" x14ac:dyDescent="0.25"/>
    <row r="138350" customFormat="1" x14ac:dyDescent="0.25"/>
    <row r="138351" customFormat="1" x14ac:dyDescent="0.25"/>
    <row r="138352" customFormat="1" x14ac:dyDescent="0.25"/>
    <row r="138353" customFormat="1" x14ac:dyDescent="0.25"/>
    <row r="138354" customFormat="1" x14ac:dyDescent="0.25"/>
    <row r="138355" customFormat="1" x14ac:dyDescent="0.25"/>
    <row r="138356" customFormat="1" x14ac:dyDescent="0.25"/>
    <row r="138357" customFormat="1" x14ac:dyDescent="0.25"/>
    <row r="138358" customFormat="1" x14ac:dyDescent="0.25"/>
    <row r="138359" customFormat="1" x14ac:dyDescent="0.25"/>
    <row r="138360" customFormat="1" x14ac:dyDescent="0.25"/>
    <row r="138361" customFormat="1" x14ac:dyDescent="0.25"/>
    <row r="138362" customFormat="1" x14ac:dyDescent="0.25"/>
    <row r="138363" customFormat="1" x14ac:dyDescent="0.25"/>
    <row r="138364" customFormat="1" x14ac:dyDescent="0.25"/>
    <row r="138365" customFormat="1" x14ac:dyDescent="0.25"/>
    <row r="138366" customFormat="1" x14ac:dyDescent="0.25"/>
    <row r="138367" customFormat="1" x14ac:dyDescent="0.25"/>
    <row r="138368" customFormat="1" x14ac:dyDescent="0.25"/>
    <row r="138369" customFormat="1" x14ac:dyDescent="0.25"/>
    <row r="138370" customFormat="1" x14ac:dyDescent="0.25"/>
    <row r="138371" customFormat="1" x14ac:dyDescent="0.25"/>
    <row r="138372" customFormat="1" x14ac:dyDescent="0.25"/>
    <row r="138373" customFormat="1" x14ac:dyDescent="0.25"/>
    <row r="138374" customFormat="1" x14ac:dyDescent="0.25"/>
    <row r="138375" customFormat="1" x14ac:dyDescent="0.25"/>
    <row r="138376" customFormat="1" x14ac:dyDescent="0.25"/>
    <row r="138377" customFormat="1" x14ac:dyDescent="0.25"/>
    <row r="138378" customFormat="1" x14ac:dyDescent="0.25"/>
    <row r="138379" customFormat="1" x14ac:dyDescent="0.25"/>
    <row r="138380" customFormat="1" x14ac:dyDescent="0.25"/>
    <row r="138381" customFormat="1" x14ac:dyDescent="0.25"/>
    <row r="138382" customFormat="1" x14ac:dyDescent="0.25"/>
    <row r="138383" customFormat="1" x14ac:dyDescent="0.25"/>
    <row r="138384" customFormat="1" x14ac:dyDescent="0.25"/>
    <row r="138385" customFormat="1" x14ac:dyDescent="0.25"/>
    <row r="138386" customFormat="1" x14ac:dyDescent="0.25"/>
    <row r="138387" customFormat="1" x14ac:dyDescent="0.25"/>
    <row r="138388" customFormat="1" x14ac:dyDescent="0.25"/>
    <row r="138389" customFormat="1" x14ac:dyDescent="0.25"/>
    <row r="138390" customFormat="1" x14ac:dyDescent="0.25"/>
    <row r="138391" customFormat="1" x14ac:dyDescent="0.25"/>
    <row r="138392" customFormat="1" x14ac:dyDescent="0.25"/>
    <row r="138393" customFormat="1" x14ac:dyDescent="0.25"/>
    <row r="138394" customFormat="1" x14ac:dyDescent="0.25"/>
    <row r="138395" customFormat="1" x14ac:dyDescent="0.25"/>
    <row r="138396" customFormat="1" x14ac:dyDescent="0.25"/>
    <row r="138397" customFormat="1" x14ac:dyDescent="0.25"/>
    <row r="138398" customFormat="1" x14ac:dyDescent="0.25"/>
    <row r="138399" customFormat="1" x14ac:dyDescent="0.25"/>
    <row r="138400" customFormat="1" x14ac:dyDescent="0.25"/>
    <row r="138401" customFormat="1" x14ac:dyDescent="0.25"/>
    <row r="138402" customFormat="1" x14ac:dyDescent="0.25"/>
    <row r="138403" customFormat="1" x14ac:dyDescent="0.25"/>
    <row r="138404" customFormat="1" x14ac:dyDescent="0.25"/>
    <row r="138405" customFormat="1" x14ac:dyDescent="0.25"/>
    <row r="138406" customFormat="1" x14ac:dyDescent="0.25"/>
    <row r="138407" customFormat="1" x14ac:dyDescent="0.25"/>
    <row r="138408" customFormat="1" x14ac:dyDescent="0.25"/>
    <row r="138409" customFormat="1" x14ac:dyDescent="0.25"/>
    <row r="138410" customFormat="1" x14ac:dyDescent="0.25"/>
    <row r="138411" customFormat="1" x14ac:dyDescent="0.25"/>
    <row r="138412" customFormat="1" x14ac:dyDescent="0.25"/>
    <row r="138413" customFormat="1" x14ac:dyDescent="0.25"/>
    <row r="138414" customFormat="1" x14ac:dyDescent="0.25"/>
    <row r="138415" customFormat="1" x14ac:dyDescent="0.25"/>
    <row r="138416" customFormat="1" x14ac:dyDescent="0.25"/>
    <row r="138417" customFormat="1" x14ac:dyDescent="0.25"/>
    <row r="138418" customFormat="1" x14ac:dyDescent="0.25"/>
    <row r="138419" customFormat="1" x14ac:dyDescent="0.25"/>
    <row r="138420" customFormat="1" x14ac:dyDescent="0.25"/>
    <row r="138421" customFormat="1" x14ac:dyDescent="0.25"/>
    <row r="138422" customFormat="1" x14ac:dyDescent="0.25"/>
    <row r="138423" customFormat="1" x14ac:dyDescent="0.25"/>
    <row r="138424" customFormat="1" x14ac:dyDescent="0.25"/>
    <row r="138425" customFormat="1" x14ac:dyDescent="0.25"/>
    <row r="138426" customFormat="1" x14ac:dyDescent="0.25"/>
    <row r="138427" customFormat="1" x14ac:dyDescent="0.25"/>
    <row r="138428" customFormat="1" x14ac:dyDescent="0.25"/>
    <row r="138429" customFormat="1" x14ac:dyDescent="0.25"/>
    <row r="138430" customFormat="1" x14ac:dyDescent="0.25"/>
    <row r="138431" customFormat="1" x14ac:dyDescent="0.25"/>
    <row r="138432" customFormat="1" x14ac:dyDescent="0.25"/>
    <row r="138433" customFormat="1" x14ac:dyDescent="0.25"/>
    <row r="138434" customFormat="1" x14ac:dyDescent="0.25"/>
    <row r="138435" customFormat="1" x14ac:dyDescent="0.25"/>
    <row r="138436" customFormat="1" x14ac:dyDescent="0.25"/>
    <row r="138437" customFormat="1" x14ac:dyDescent="0.25"/>
    <row r="138438" customFormat="1" x14ac:dyDescent="0.25"/>
    <row r="138439" customFormat="1" x14ac:dyDescent="0.25"/>
    <row r="138440" customFormat="1" x14ac:dyDescent="0.25"/>
    <row r="138441" customFormat="1" x14ac:dyDescent="0.25"/>
    <row r="138442" customFormat="1" x14ac:dyDescent="0.25"/>
    <row r="138443" customFormat="1" x14ac:dyDescent="0.25"/>
    <row r="138444" customFormat="1" x14ac:dyDescent="0.25"/>
    <row r="138445" customFormat="1" x14ac:dyDescent="0.25"/>
    <row r="138446" customFormat="1" x14ac:dyDescent="0.25"/>
    <row r="138447" customFormat="1" x14ac:dyDescent="0.25"/>
    <row r="138448" customFormat="1" x14ac:dyDescent="0.25"/>
    <row r="138449" customFormat="1" x14ac:dyDescent="0.25"/>
    <row r="138450" customFormat="1" x14ac:dyDescent="0.25"/>
    <row r="138451" customFormat="1" x14ac:dyDescent="0.25"/>
    <row r="138452" customFormat="1" x14ac:dyDescent="0.25"/>
    <row r="138453" customFormat="1" x14ac:dyDescent="0.25"/>
    <row r="138454" customFormat="1" x14ac:dyDescent="0.25"/>
    <row r="138455" customFormat="1" x14ac:dyDescent="0.25"/>
    <row r="138456" customFormat="1" x14ac:dyDescent="0.25"/>
    <row r="138457" customFormat="1" x14ac:dyDescent="0.25"/>
    <row r="138458" customFormat="1" x14ac:dyDescent="0.25"/>
    <row r="138459" customFormat="1" x14ac:dyDescent="0.25"/>
    <row r="138460" customFormat="1" x14ac:dyDescent="0.25"/>
    <row r="138461" customFormat="1" x14ac:dyDescent="0.25"/>
    <row r="138462" customFormat="1" x14ac:dyDescent="0.25"/>
    <row r="138463" customFormat="1" x14ac:dyDescent="0.25"/>
    <row r="138464" customFormat="1" x14ac:dyDescent="0.25"/>
    <row r="138465" customFormat="1" x14ac:dyDescent="0.25"/>
    <row r="138466" customFormat="1" x14ac:dyDescent="0.25"/>
    <row r="138467" customFormat="1" x14ac:dyDescent="0.25"/>
    <row r="138468" customFormat="1" x14ac:dyDescent="0.25"/>
    <row r="138469" customFormat="1" x14ac:dyDescent="0.25"/>
    <row r="138470" customFormat="1" x14ac:dyDescent="0.25"/>
    <row r="138471" customFormat="1" x14ac:dyDescent="0.25"/>
    <row r="138472" customFormat="1" x14ac:dyDescent="0.25"/>
    <row r="138473" customFormat="1" x14ac:dyDescent="0.25"/>
    <row r="138474" customFormat="1" x14ac:dyDescent="0.25"/>
    <row r="138475" customFormat="1" x14ac:dyDescent="0.25"/>
    <row r="138476" customFormat="1" x14ac:dyDescent="0.25"/>
    <row r="138477" customFormat="1" x14ac:dyDescent="0.25"/>
    <row r="138478" customFormat="1" x14ac:dyDescent="0.25"/>
    <row r="138479" customFormat="1" x14ac:dyDescent="0.25"/>
    <row r="138480" customFormat="1" x14ac:dyDescent="0.25"/>
    <row r="138481" customFormat="1" x14ac:dyDescent="0.25"/>
    <row r="138482" customFormat="1" x14ac:dyDescent="0.25"/>
    <row r="138483" customFormat="1" x14ac:dyDescent="0.25"/>
    <row r="138484" customFormat="1" x14ac:dyDescent="0.25"/>
    <row r="138485" customFormat="1" x14ac:dyDescent="0.25"/>
    <row r="138486" customFormat="1" x14ac:dyDescent="0.25"/>
    <row r="138487" customFormat="1" x14ac:dyDescent="0.25"/>
    <row r="138488" customFormat="1" x14ac:dyDescent="0.25"/>
    <row r="138489" customFormat="1" x14ac:dyDescent="0.25"/>
    <row r="138490" customFormat="1" x14ac:dyDescent="0.25"/>
    <row r="138491" customFormat="1" x14ac:dyDescent="0.25"/>
    <row r="138492" customFormat="1" x14ac:dyDescent="0.25"/>
    <row r="138493" customFormat="1" x14ac:dyDescent="0.25"/>
    <row r="138494" customFormat="1" x14ac:dyDescent="0.25"/>
    <row r="138495" customFormat="1" x14ac:dyDescent="0.25"/>
    <row r="138496" customFormat="1" x14ac:dyDescent="0.25"/>
    <row r="138497" customFormat="1" x14ac:dyDescent="0.25"/>
    <row r="138498" customFormat="1" x14ac:dyDescent="0.25"/>
    <row r="138499" customFormat="1" x14ac:dyDescent="0.25"/>
    <row r="138500" customFormat="1" x14ac:dyDescent="0.25"/>
    <row r="138501" customFormat="1" x14ac:dyDescent="0.25"/>
    <row r="138502" customFormat="1" x14ac:dyDescent="0.25"/>
    <row r="138503" customFormat="1" x14ac:dyDescent="0.25"/>
    <row r="138504" customFormat="1" x14ac:dyDescent="0.25"/>
    <row r="138505" customFormat="1" x14ac:dyDescent="0.25"/>
    <row r="138506" customFormat="1" x14ac:dyDescent="0.25"/>
    <row r="138507" customFormat="1" x14ac:dyDescent="0.25"/>
    <row r="138508" customFormat="1" x14ac:dyDescent="0.25"/>
    <row r="138509" customFormat="1" x14ac:dyDescent="0.25"/>
    <row r="138510" customFormat="1" x14ac:dyDescent="0.25"/>
    <row r="138511" customFormat="1" x14ac:dyDescent="0.25"/>
    <row r="138512" customFormat="1" x14ac:dyDescent="0.25"/>
    <row r="138513" customFormat="1" x14ac:dyDescent="0.25"/>
    <row r="138514" customFormat="1" x14ac:dyDescent="0.25"/>
    <row r="138515" customFormat="1" x14ac:dyDescent="0.25"/>
    <row r="138516" customFormat="1" x14ac:dyDescent="0.25"/>
    <row r="138517" customFormat="1" x14ac:dyDescent="0.25"/>
    <row r="138518" customFormat="1" x14ac:dyDescent="0.25"/>
    <row r="138519" customFormat="1" x14ac:dyDescent="0.25"/>
    <row r="138520" customFormat="1" x14ac:dyDescent="0.25"/>
    <row r="138521" customFormat="1" x14ac:dyDescent="0.25"/>
    <row r="138522" customFormat="1" x14ac:dyDescent="0.25"/>
    <row r="138523" customFormat="1" x14ac:dyDescent="0.25"/>
    <row r="138524" customFormat="1" x14ac:dyDescent="0.25"/>
    <row r="138525" customFormat="1" x14ac:dyDescent="0.25"/>
    <row r="138526" customFormat="1" x14ac:dyDescent="0.25"/>
    <row r="138527" customFormat="1" x14ac:dyDescent="0.25"/>
    <row r="138528" customFormat="1" x14ac:dyDescent="0.25"/>
    <row r="138529" customFormat="1" x14ac:dyDescent="0.25"/>
    <row r="138530" customFormat="1" x14ac:dyDescent="0.25"/>
    <row r="138531" customFormat="1" x14ac:dyDescent="0.25"/>
    <row r="138532" customFormat="1" x14ac:dyDescent="0.25"/>
    <row r="138533" customFormat="1" x14ac:dyDescent="0.25"/>
    <row r="138534" customFormat="1" x14ac:dyDescent="0.25"/>
    <row r="138535" customFormat="1" x14ac:dyDescent="0.25"/>
    <row r="138536" customFormat="1" x14ac:dyDescent="0.25"/>
    <row r="138537" customFormat="1" x14ac:dyDescent="0.25"/>
    <row r="138538" customFormat="1" x14ac:dyDescent="0.25"/>
    <row r="138539" customFormat="1" x14ac:dyDescent="0.25"/>
    <row r="138540" customFormat="1" x14ac:dyDescent="0.25"/>
    <row r="138541" customFormat="1" x14ac:dyDescent="0.25"/>
    <row r="138542" customFormat="1" x14ac:dyDescent="0.25"/>
    <row r="138543" customFormat="1" x14ac:dyDescent="0.25"/>
    <row r="138544" customFormat="1" x14ac:dyDescent="0.25"/>
    <row r="138545" customFormat="1" x14ac:dyDescent="0.25"/>
    <row r="138546" customFormat="1" x14ac:dyDescent="0.25"/>
    <row r="138547" customFormat="1" x14ac:dyDescent="0.25"/>
    <row r="138548" customFormat="1" x14ac:dyDescent="0.25"/>
    <row r="138549" customFormat="1" x14ac:dyDescent="0.25"/>
    <row r="138550" customFormat="1" x14ac:dyDescent="0.25"/>
    <row r="138551" customFormat="1" x14ac:dyDescent="0.25"/>
    <row r="138552" customFormat="1" x14ac:dyDescent="0.25"/>
    <row r="138553" customFormat="1" x14ac:dyDescent="0.25"/>
    <row r="138554" customFormat="1" x14ac:dyDescent="0.25"/>
    <row r="138555" customFormat="1" x14ac:dyDescent="0.25"/>
    <row r="138556" customFormat="1" x14ac:dyDescent="0.25"/>
    <row r="138557" customFormat="1" x14ac:dyDescent="0.25"/>
    <row r="138558" customFormat="1" x14ac:dyDescent="0.25"/>
    <row r="138559" customFormat="1" x14ac:dyDescent="0.25"/>
    <row r="138560" customFormat="1" x14ac:dyDescent="0.25"/>
    <row r="138561" customFormat="1" x14ac:dyDescent="0.25"/>
    <row r="138562" customFormat="1" x14ac:dyDescent="0.25"/>
    <row r="138563" customFormat="1" x14ac:dyDescent="0.25"/>
    <row r="138564" customFormat="1" x14ac:dyDescent="0.25"/>
    <row r="138565" customFormat="1" x14ac:dyDescent="0.25"/>
    <row r="138566" customFormat="1" x14ac:dyDescent="0.25"/>
    <row r="138567" customFormat="1" x14ac:dyDescent="0.25"/>
    <row r="138568" customFormat="1" x14ac:dyDescent="0.25"/>
    <row r="138569" customFormat="1" x14ac:dyDescent="0.25"/>
    <row r="138570" customFormat="1" x14ac:dyDescent="0.25"/>
    <row r="138571" customFormat="1" x14ac:dyDescent="0.25"/>
    <row r="138572" customFormat="1" x14ac:dyDescent="0.25"/>
    <row r="138573" customFormat="1" x14ac:dyDescent="0.25"/>
    <row r="138574" customFormat="1" x14ac:dyDescent="0.25"/>
    <row r="138575" customFormat="1" x14ac:dyDescent="0.25"/>
    <row r="138576" customFormat="1" x14ac:dyDescent="0.25"/>
    <row r="138577" customFormat="1" x14ac:dyDescent="0.25"/>
    <row r="138578" customFormat="1" x14ac:dyDescent="0.25"/>
    <row r="138579" customFormat="1" x14ac:dyDescent="0.25"/>
    <row r="138580" customFormat="1" x14ac:dyDescent="0.25"/>
    <row r="138581" customFormat="1" x14ac:dyDescent="0.25"/>
    <row r="138582" customFormat="1" x14ac:dyDescent="0.25"/>
    <row r="138583" customFormat="1" x14ac:dyDescent="0.25"/>
    <row r="138584" customFormat="1" x14ac:dyDescent="0.25"/>
    <row r="138585" customFormat="1" x14ac:dyDescent="0.25"/>
    <row r="138586" customFormat="1" x14ac:dyDescent="0.25"/>
    <row r="138587" customFormat="1" x14ac:dyDescent="0.25"/>
    <row r="138588" customFormat="1" x14ac:dyDescent="0.25"/>
    <row r="138589" customFormat="1" x14ac:dyDescent="0.25"/>
    <row r="138590" customFormat="1" x14ac:dyDescent="0.25"/>
    <row r="138591" customFormat="1" x14ac:dyDescent="0.25"/>
    <row r="138592" customFormat="1" x14ac:dyDescent="0.25"/>
    <row r="138593" customFormat="1" x14ac:dyDescent="0.25"/>
    <row r="138594" customFormat="1" x14ac:dyDescent="0.25"/>
    <row r="138595" customFormat="1" x14ac:dyDescent="0.25"/>
    <row r="138596" customFormat="1" x14ac:dyDescent="0.25"/>
    <row r="138597" customFormat="1" x14ac:dyDescent="0.25"/>
    <row r="138598" customFormat="1" x14ac:dyDescent="0.25"/>
    <row r="138599" customFormat="1" x14ac:dyDescent="0.25"/>
    <row r="138600" customFormat="1" x14ac:dyDescent="0.25"/>
    <row r="138601" customFormat="1" x14ac:dyDescent="0.25"/>
    <row r="138602" customFormat="1" x14ac:dyDescent="0.25"/>
    <row r="138603" customFormat="1" x14ac:dyDescent="0.25"/>
    <row r="138604" customFormat="1" x14ac:dyDescent="0.25"/>
    <row r="138605" customFormat="1" x14ac:dyDescent="0.25"/>
    <row r="138606" customFormat="1" x14ac:dyDescent="0.25"/>
    <row r="138607" customFormat="1" x14ac:dyDescent="0.25"/>
    <row r="138608" customFormat="1" x14ac:dyDescent="0.25"/>
    <row r="138609" customFormat="1" x14ac:dyDescent="0.25"/>
    <row r="138610" customFormat="1" x14ac:dyDescent="0.25"/>
    <row r="138611" customFormat="1" x14ac:dyDescent="0.25"/>
    <row r="138612" customFormat="1" x14ac:dyDescent="0.25"/>
    <row r="138613" customFormat="1" x14ac:dyDescent="0.25"/>
    <row r="138614" customFormat="1" x14ac:dyDescent="0.25"/>
    <row r="138615" customFormat="1" x14ac:dyDescent="0.25"/>
    <row r="138616" customFormat="1" x14ac:dyDescent="0.25"/>
    <row r="138617" customFormat="1" x14ac:dyDescent="0.25"/>
    <row r="138618" customFormat="1" x14ac:dyDescent="0.25"/>
    <row r="138619" customFormat="1" x14ac:dyDescent="0.25"/>
    <row r="138620" customFormat="1" x14ac:dyDescent="0.25"/>
    <row r="138621" customFormat="1" x14ac:dyDescent="0.25"/>
    <row r="138622" customFormat="1" x14ac:dyDescent="0.25"/>
    <row r="138623" customFormat="1" x14ac:dyDescent="0.25"/>
    <row r="138624" customFormat="1" x14ac:dyDescent="0.25"/>
    <row r="138625" customFormat="1" x14ac:dyDescent="0.25"/>
    <row r="138626" customFormat="1" x14ac:dyDescent="0.25"/>
    <row r="138627" customFormat="1" x14ac:dyDescent="0.25"/>
    <row r="138628" customFormat="1" x14ac:dyDescent="0.25"/>
    <row r="138629" customFormat="1" x14ac:dyDescent="0.25"/>
    <row r="138630" customFormat="1" x14ac:dyDescent="0.25"/>
    <row r="138631" customFormat="1" x14ac:dyDescent="0.25"/>
    <row r="138632" customFormat="1" x14ac:dyDescent="0.25"/>
    <row r="138633" customFormat="1" x14ac:dyDescent="0.25"/>
    <row r="138634" customFormat="1" x14ac:dyDescent="0.25"/>
    <row r="138635" customFormat="1" x14ac:dyDescent="0.25"/>
    <row r="138636" customFormat="1" x14ac:dyDescent="0.25"/>
    <row r="138637" customFormat="1" x14ac:dyDescent="0.25"/>
    <row r="138638" customFormat="1" x14ac:dyDescent="0.25"/>
    <row r="138639" customFormat="1" x14ac:dyDescent="0.25"/>
    <row r="138640" customFormat="1" x14ac:dyDescent="0.25"/>
    <row r="138641" customFormat="1" x14ac:dyDescent="0.25"/>
    <row r="138642" customFormat="1" x14ac:dyDescent="0.25"/>
    <row r="138643" customFormat="1" x14ac:dyDescent="0.25"/>
    <row r="138644" customFormat="1" x14ac:dyDescent="0.25"/>
    <row r="138645" customFormat="1" x14ac:dyDescent="0.25"/>
    <row r="138646" customFormat="1" x14ac:dyDescent="0.25"/>
    <row r="138647" customFormat="1" x14ac:dyDescent="0.25"/>
    <row r="138648" customFormat="1" x14ac:dyDescent="0.25"/>
    <row r="138649" customFormat="1" x14ac:dyDescent="0.25"/>
    <row r="138650" customFormat="1" x14ac:dyDescent="0.25"/>
    <row r="138651" customFormat="1" x14ac:dyDescent="0.25"/>
    <row r="138652" customFormat="1" x14ac:dyDescent="0.25"/>
    <row r="138653" customFormat="1" x14ac:dyDescent="0.25"/>
    <row r="138654" customFormat="1" x14ac:dyDescent="0.25"/>
    <row r="138655" customFormat="1" x14ac:dyDescent="0.25"/>
    <row r="138656" customFormat="1" x14ac:dyDescent="0.25"/>
    <row r="138657" customFormat="1" x14ac:dyDescent="0.25"/>
    <row r="138658" customFormat="1" x14ac:dyDescent="0.25"/>
    <row r="138659" customFormat="1" x14ac:dyDescent="0.25"/>
    <row r="138660" customFormat="1" x14ac:dyDescent="0.25"/>
    <row r="138661" customFormat="1" x14ac:dyDescent="0.25"/>
    <row r="138662" customFormat="1" x14ac:dyDescent="0.25"/>
    <row r="138663" customFormat="1" x14ac:dyDescent="0.25"/>
    <row r="138664" customFormat="1" x14ac:dyDescent="0.25"/>
    <row r="138665" customFormat="1" x14ac:dyDescent="0.25"/>
    <row r="138666" customFormat="1" x14ac:dyDescent="0.25"/>
    <row r="138667" customFormat="1" x14ac:dyDescent="0.25"/>
    <row r="138668" customFormat="1" x14ac:dyDescent="0.25"/>
    <row r="138669" customFormat="1" x14ac:dyDescent="0.25"/>
    <row r="138670" customFormat="1" x14ac:dyDescent="0.25"/>
    <row r="138671" customFormat="1" x14ac:dyDescent="0.25"/>
    <row r="138672" customFormat="1" x14ac:dyDescent="0.25"/>
    <row r="138673" customFormat="1" x14ac:dyDescent="0.25"/>
    <row r="138674" customFormat="1" x14ac:dyDescent="0.25"/>
    <row r="138675" customFormat="1" x14ac:dyDescent="0.25"/>
    <row r="138676" customFormat="1" x14ac:dyDescent="0.25"/>
    <row r="138677" customFormat="1" x14ac:dyDescent="0.25"/>
    <row r="138678" customFormat="1" x14ac:dyDescent="0.25"/>
    <row r="138679" customFormat="1" x14ac:dyDescent="0.25"/>
    <row r="138680" customFormat="1" x14ac:dyDescent="0.25"/>
    <row r="138681" customFormat="1" x14ac:dyDescent="0.25"/>
    <row r="138682" customFormat="1" x14ac:dyDescent="0.25"/>
    <row r="138683" customFormat="1" x14ac:dyDescent="0.25"/>
    <row r="138684" customFormat="1" x14ac:dyDescent="0.25"/>
    <row r="138685" customFormat="1" x14ac:dyDescent="0.25"/>
    <row r="138686" customFormat="1" x14ac:dyDescent="0.25"/>
    <row r="138687" customFormat="1" x14ac:dyDescent="0.25"/>
    <row r="138688" customFormat="1" x14ac:dyDescent="0.25"/>
    <row r="138689" customFormat="1" x14ac:dyDescent="0.25"/>
    <row r="138690" customFormat="1" x14ac:dyDescent="0.25"/>
    <row r="138691" customFormat="1" x14ac:dyDescent="0.25"/>
    <row r="138692" customFormat="1" x14ac:dyDescent="0.25"/>
    <row r="138693" customFormat="1" x14ac:dyDescent="0.25"/>
    <row r="138694" customFormat="1" x14ac:dyDescent="0.25"/>
    <row r="138695" customFormat="1" x14ac:dyDescent="0.25"/>
    <row r="138696" customFormat="1" x14ac:dyDescent="0.25"/>
    <row r="138697" customFormat="1" x14ac:dyDescent="0.25"/>
    <row r="138698" customFormat="1" x14ac:dyDescent="0.25"/>
    <row r="138699" customFormat="1" x14ac:dyDescent="0.25"/>
    <row r="138700" customFormat="1" x14ac:dyDescent="0.25"/>
    <row r="138701" customFormat="1" x14ac:dyDescent="0.25"/>
    <row r="138702" customFormat="1" x14ac:dyDescent="0.25"/>
    <row r="138703" customFormat="1" x14ac:dyDescent="0.25"/>
    <row r="138704" customFormat="1" x14ac:dyDescent="0.25"/>
    <row r="138705" customFormat="1" x14ac:dyDescent="0.25"/>
    <row r="138706" customFormat="1" x14ac:dyDescent="0.25"/>
    <row r="138707" customFormat="1" x14ac:dyDescent="0.25"/>
    <row r="138708" customFormat="1" x14ac:dyDescent="0.25"/>
    <row r="138709" customFormat="1" x14ac:dyDescent="0.25"/>
    <row r="138710" customFormat="1" x14ac:dyDescent="0.25"/>
    <row r="138711" customFormat="1" x14ac:dyDescent="0.25"/>
    <row r="138712" customFormat="1" x14ac:dyDescent="0.25"/>
    <row r="138713" customFormat="1" x14ac:dyDescent="0.25"/>
    <row r="138714" customFormat="1" x14ac:dyDescent="0.25"/>
    <row r="138715" customFormat="1" x14ac:dyDescent="0.25"/>
    <row r="138716" customFormat="1" x14ac:dyDescent="0.25"/>
    <row r="138717" customFormat="1" x14ac:dyDescent="0.25"/>
    <row r="138718" customFormat="1" x14ac:dyDescent="0.25"/>
    <row r="138719" customFormat="1" x14ac:dyDescent="0.25"/>
    <row r="138720" customFormat="1" x14ac:dyDescent="0.25"/>
    <row r="138721" customFormat="1" x14ac:dyDescent="0.25"/>
    <row r="138722" customFormat="1" x14ac:dyDescent="0.25"/>
    <row r="138723" customFormat="1" x14ac:dyDescent="0.25"/>
    <row r="138724" customFormat="1" x14ac:dyDescent="0.25"/>
    <row r="138725" customFormat="1" x14ac:dyDescent="0.25"/>
    <row r="138726" customFormat="1" x14ac:dyDescent="0.25"/>
    <row r="138727" customFormat="1" x14ac:dyDescent="0.25"/>
    <row r="138728" customFormat="1" x14ac:dyDescent="0.25"/>
    <row r="138729" customFormat="1" x14ac:dyDescent="0.25"/>
    <row r="138730" customFormat="1" x14ac:dyDescent="0.25"/>
    <row r="138731" customFormat="1" x14ac:dyDescent="0.25"/>
    <row r="138732" customFormat="1" x14ac:dyDescent="0.25"/>
    <row r="138733" customFormat="1" x14ac:dyDescent="0.25"/>
    <row r="138734" customFormat="1" x14ac:dyDescent="0.25"/>
    <row r="138735" customFormat="1" x14ac:dyDescent="0.25"/>
    <row r="138736" customFormat="1" x14ac:dyDescent="0.25"/>
    <row r="138737" customFormat="1" x14ac:dyDescent="0.25"/>
    <row r="138738" customFormat="1" x14ac:dyDescent="0.25"/>
    <row r="138739" customFormat="1" x14ac:dyDescent="0.25"/>
    <row r="138740" customFormat="1" x14ac:dyDescent="0.25"/>
    <row r="138741" customFormat="1" x14ac:dyDescent="0.25"/>
    <row r="138742" customFormat="1" x14ac:dyDescent="0.25"/>
    <row r="138743" customFormat="1" x14ac:dyDescent="0.25"/>
    <row r="138744" customFormat="1" x14ac:dyDescent="0.25"/>
    <row r="138745" customFormat="1" x14ac:dyDescent="0.25"/>
    <row r="138746" customFormat="1" x14ac:dyDescent="0.25"/>
    <row r="138747" customFormat="1" x14ac:dyDescent="0.25"/>
    <row r="138748" customFormat="1" x14ac:dyDescent="0.25"/>
    <row r="138749" customFormat="1" x14ac:dyDescent="0.25"/>
    <row r="138750" customFormat="1" x14ac:dyDescent="0.25"/>
    <row r="138751" customFormat="1" x14ac:dyDescent="0.25"/>
    <row r="138752" customFormat="1" x14ac:dyDescent="0.25"/>
    <row r="138753" customFormat="1" x14ac:dyDescent="0.25"/>
    <row r="138754" customFormat="1" x14ac:dyDescent="0.25"/>
    <row r="138755" customFormat="1" x14ac:dyDescent="0.25"/>
    <row r="138756" customFormat="1" x14ac:dyDescent="0.25"/>
    <row r="138757" customFormat="1" x14ac:dyDescent="0.25"/>
    <row r="138758" customFormat="1" x14ac:dyDescent="0.25"/>
    <row r="138759" customFormat="1" x14ac:dyDescent="0.25"/>
    <row r="138760" customFormat="1" x14ac:dyDescent="0.25"/>
    <row r="138761" customFormat="1" x14ac:dyDescent="0.25"/>
    <row r="138762" customFormat="1" x14ac:dyDescent="0.25"/>
    <row r="138763" customFormat="1" x14ac:dyDescent="0.25"/>
    <row r="138764" customFormat="1" x14ac:dyDescent="0.25"/>
    <row r="138765" customFormat="1" x14ac:dyDescent="0.25"/>
    <row r="138766" customFormat="1" x14ac:dyDescent="0.25"/>
    <row r="138767" customFormat="1" x14ac:dyDescent="0.25"/>
    <row r="138768" customFormat="1" x14ac:dyDescent="0.25"/>
    <row r="138769" customFormat="1" x14ac:dyDescent="0.25"/>
    <row r="138770" customFormat="1" x14ac:dyDescent="0.25"/>
    <row r="138771" customFormat="1" x14ac:dyDescent="0.25"/>
    <row r="138772" customFormat="1" x14ac:dyDescent="0.25"/>
    <row r="138773" customFormat="1" x14ac:dyDescent="0.25"/>
    <row r="138774" customFormat="1" x14ac:dyDescent="0.25"/>
    <row r="138775" customFormat="1" x14ac:dyDescent="0.25"/>
    <row r="138776" customFormat="1" x14ac:dyDescent="0.25"/>
    <row r="138777" customFormat="1" x14ac:dyDescent="0.25"/>
    <row r="138778" customFormat="1" x14ac:dyDescent="0.25"/>
    <row r="138779" customFormat="1" x14ac:dyDescent="0.25"/>
    <row r="138780" customFormat="1" x14ac:dyDescent="0.25"/>
    <row r="138781" customFormat="1" x14ac:dyDescent="0.25"/>
    <row r="138782" customFormat="1" x14ac:dyDescent="0.25"/>
    <row r="138783" customFormat="1" x14ac:dyDescent="0.25"/>
    <row r="138784" customFormat="1" x14ac:dyDescent="0.25"/>
    <row r="138785" customFormat="1" x14ac:dyDescent="0.25"/>
    <row r="138786" customFormat="1" x14ac:dyDescent="0.25"/>
    <row r="138787" customFormat="1" x14ac:dyDescent="0.25"/>
    <row r="138788" customFormat="1" x14ac:dyDescent="0.25"/>
    <row r="138789" customFormat="1" x14ac:dyDescent="0.25"/>
    <row r="138790" customFormat="1" x14ac:dyDescent="0.25"/>
    <row r="138791" customFormat="1" x14ac:dyDescent="0.25"/>
    <row r="138792" customFormat="1" x14ac:dyDescent="0.25"/>
    <row r="138793" customFormat="1" x14ac:dyDescent="0.25"/>
    <row r="138794" customFormat="1" x14ac:dyDescent="0.25"/>
    <row r="138795" customFormat="1" x14ac:dyDescent="0.25"/>
    <row r="138796" customFormat="1" x14ac:dyDescent="0.25"/>
    <row r="138797" customFormat="1" x14ac:dyDescent="0.25"/>
    <row r="138798" customFormat="1" x14ac:dyDescent="0.25"/>
    <row r="138799" customFormat="1" x14ac:dyDescent="0.25"/>
    <row r="138800" customFormat="1" x14ac:dyDescent="0.25"/>
    <row r="138801" customFormat="1" x14ac:dyDescent="0.25"/>
    <row r="138802" customFormat="1" x14ac:dyDescent="0.25"/>
    <row r="138803" customFormat="1" x14ac:dyDescent="0.25"/>
    <row r="138804" customFormat="1" x14ac:dyDescent="0.25"/>
    <row r="138805" customFormat="1" x14ac:dyDescent="0.25"/>
    <row r="138806" customFormat="1" x14ac:dyDescent="0.25"/>
    <row r="138807" customFormat="1" x14ac:dyDescent="0.25"/>
    <row r="138808" customFormat="1" x14ac:dyDescent="0.25"/>
    <row r="138809" customFormat="1" x14ac:dyDescent="0.25"/>
    <row r="138810" customFormat="1" x14ac:dyDescent="0.25"/>
    <row r="138811" customFormat="1" x14ac:dyDescent="0.25"/>
    <row r="138812" customFormat="1" x14ac:dyDescent="0.25"/>
    <row r="138813" customFormat="1" x14ac:dyDescent="0.25"/>
    <row r="138814" customFormat="1" x14ac:dyDescent="0.25"/>
    <row r="138815" customFormat="1" x14ac:dyDescent="0.25"/>
    <row r="138816" customFormat="1" x14ac:dyDescent="0.25"/>
    <row r="138817" customFormat="1" x14ac:dyDescent="0.25"/>
    <row r="138818" customFormat="1" x14ac:dyDescent="0.25"/>
    <row r="138819" customFormat="1" x14ac:dyDescent="0.25"/>
    <row r="138820" customFormat="1" x14ac:dyDescent="0.25"/>
    <row r="138821" customFormat="1" x14ac:dyDescent="0.25"/>
    <row r="138822" customFormat="1" x14ac:dyDescent="0.25"/>
    <row r="138823" customFormat="1" x14ac:dyDescent="0.25"/>
    <row r="138824" customFormat="1" x14ac:dyDescent="0.25"/>
    <row r="138825" customFormat="1" x14ac:dyDescent="0.25"/>
    <row r="138826" customFormat="1" x14ac:dyDescent="0.25"/>
    <row r="138827" customFormat="1" x14ac:dyDescent="0.25"/>
    <row r="138828" customFormat="1" x14ac:dyDescent="0.25"/>
    <row r="138829" customFormat="1" x14ac:dyDescent="0.25"/>
    <row r="138830" customFormat="1" x14ac:dyDescent="0.25"/>
    <row r="138831" customFormat="1" x14ac:dyDescent="0.25"/>
    <row r="138832" customFormat="1" x14ac:dyDescent="0.25"/>
    <row r="138833" customFormat="1" x14ac:dyDescent="0.25"/>
    <row r="138834" customFormat="1" x14ac:dyDescent="0.25"/>
    <row r="138835" customFormat="1" x14ac:dyDescent="0.25"/>
    <row r="138836" customFormat="1" x14ac:dyDescent="0.25"/>
    <row r="138837" customFormat="1" x14ac:dyDescent="0.25"/>
    <row r="138838" customFormat="1" x14ac:dyDescent="0.25"/>
    <row r="138839" customFormat="1" x14ac:dyDescent="0.25"/>
    <row r="138840" customFormat="1" x14ac:dyDescent="0.25"/>
    <row r="138841" customFormat="1" x14ac:dyDescent="0.25"/>
    <row r="138842" customFormat="1" x14ac:dyDescent="0.25"/>
    <row r="138843" customFormat="1" x14ac:dyDescent="0.25"/>
    <row r="138844" customFormat="1" x14ac:dyDescent="0.25"/>
    <row r="138845" customFormat="1" x14ac:dyDescent="0.25"/>
    <row r="138846" customFormat="1" x14ac:dyDescent="0.25"/>
    <row r="138847" customFormat="1" x14ac:dyDescent="0.25"/>
    <row r="138848" customFormat="1" x14ac:dyDescent="0.25"/>
    <row r="138849" customFormat="1" x14ac:dyDescent="0.25"/>
    <row r="138850" customFormat="1" x14ac:dyDescent="0.25"/>
    <row r="138851" customFormat="1" x14ac:dyDescent="0.25"/>
    <row r="138852" customFormat="1" x14ac:dyDescent="0.25"/>
    <row r="138853" customFormat="1" x14ac:dyDescent="0.25"/>
    <row r="138854" customFormat="1" x14ac:dyDescent="0.25"/>
    <row r="138855" customFormat="1" x14ac:dyDescent="0.25"/>
    <row r="138856" customFormat="1" x14ac:dyDescent="0.25"/>
    <row r="138857" customFormat="1" x14ac:dyDescent="0.25"/>
    <row r="138858" customFormat="1" x14ac:dyDescent="0.25"/>
    <row r="138859" customFormat="1" x14ac:dyDescent="0.25"/>
    <row r="138860" customFormat="1" x14ac:dyDescent="0.25"/>
    <row r="138861" customFormat="1" x14ac:dyDescent="0.25"/>
    <row r="138862" customFormat="1" x14ac:dyDescent="0.25"/>
    <row r="138863" customFormat="1" x14ac:dyDescent="0.25"/>
    <row r="138864" customFormat="1" x14ac:dyDescent="0.25"/>
    <row r="138865" customFormat="1" x14ac:dyDescent="0.25"/>
    <row r="138866" customFormat="1" x14ac:dyDescent="0.25"/>
    <row r="138867" customFormat="1" x14ac:dyDescent="0.25"/>
    <row r="138868" customFormat="1" x14ac:dyDescent="0.25"/>
    <row r="138869" customFormat="1" x14ac:dyDescent="0.25"/>
    <row r="138870" customFormat="1" x14ac:dyDescent="0.25"/>
    <row r="138871" customFormat="1" x14ac:dyDescent="0.25"/>
    <row r="138872" customFormat="1" x14ac:dyDescent="0.25"/>
    <row r="138873" customFormat="1" x14ac:dyDescent="0.25"/>
    <row r="138874" customFormat="1" x14ac:dyDescent="0.25"/>
    <row r="138875" customFormat="1" x14ac:dyDescent="0.25"/>
    <row r="138876" customFormat="1" x14ac:dyDescent="0.25"/>
    <row r="138877" customFormat="1" x14ac:dyDescent="0.25"/>
    <row r="138878" customFormat="1" x14ac:dyDescent="0.25"/>
    <row r="138879" customFormat="1" x14ac:dyDescent="0.25"/>
    <row r="138880" customFormat="1" x14ac:dyDescent="0.25"/>
    <row r="138881" customFormat="1" x14ac:dyDescent="0.25"/>
    <row r="138882" customFormat="1" x14ac:dyDescent="0.25"/>
    <row r="138883" customFormat="1" x14ac:dyDescent="0.25"/>
    <row r="138884" customFormat="1" x14ac:dyDescent="0.25"/>
    <row r="138885" customFormat="1" x14ac:dyDescent="0.25"/>
    <row r="138886" customFormat="1" x14ac:dyDescent="0.25"/>
    <row r="138887" customFormat="1" x14ac:dyDescent="0.25"/>
    <row r="138888" customFormat="1" x14ac:dyDescent="0.25"/>
    <row r="138889" customFormat="1" x14ac:dyDescent="0.25"/>
    <row r="138890" customFormat="1" x14ac:dyDescent="0.25"/>
    <row r="138891" customFormat="1" x14ac:dyDescent="0.25"/>
    <row r="138892" customFormat="1" x14ac:dyDescent="0.25"/>
    <row r="138893" customFormat="1" x14ac:dyDescent="0.25"/>
    <row r="138894" customFormat="1" x14ac:dyDescent="0.25"/>
    <row r="138895" customFormat="1" x14ac:dyDescent="0.25"/>
    <row r="138896" customFormat="1" x14ac:dyDescent="0.25"/>
    <row r="138897" customFormat="1" x14ac:dyDescent="0.25"/>
    <row r="138898" customFormat="1" x14ac:dyDescent="0.25"/>
    <row r="138899" customFormat="1" x14ac:dyDescent="0.25"/>
    <row r="138900" customFormat="1" x14ac:dyDescent="0.25"/>
    <row r="138901" customFormat="1" x14ac:dyDescent="0.25"/>
    <row r="138902" customFormat="1" x14ac:dyDescent="0.25"/>
    <row r="138903" customFormat="1" x14ac:dyDescent="0.25"/>
    <row r="138904" customFormat="1" x14ac:dyDescent="0.25"/>
    <row r="138905" customFormat="1" x14ac:dyDescent="0.25"/>
    <row r="138906" customFormat="1" x14ac:dyDescent="0.25"/>
    <row r="138907" customFormat="1" x14ac:dyDescent="0.25"/>
    <row r="138908" customFormat="1" x14ac:dyDescent="0.25"/>
    <row r="138909" customFormat="1" x14ac:dyDescent="0.25"/>
    <row r="138910" customFormat="1" x14ac:dyDescent="0.25"/>
    <row r="138911" customFormat="1" x14ac:dyDescent="0.25"/>
    <row r="138912" customFormat="1" x14ac:dyDescent="0.25"/>
    <row r="138913" customFormat="1" x14ac:dyDescent="0.25"/>
    <row r="138914" customFormat="1" x14ac:dyDescent="0.25"/>
    <row r="138915" customFormat="1" x14ac:dyDescent="0.25"/>
    <row r="138916" customFormat="1" x14ac:dyDescent="0.25"/>
    <row r="138917" customFormat="1" x14ac:dyDescent="0.25"/>
    <row r="138918" customFormat="1" x14ac:dyDescent="0.25"/>
    <row r="138919" customFormat="1" x14ac:dyDescent="0.25"/>
    <row r="138920" customFormat="1" x14ac:dyDescent="0.25"/>
    <row r="138921" customFormat="1" x14ac:dyDescent="0.25"/>
    <row r="138922" customFormat="1" x14ac:dyDescent="0.25"/>
    <row r="138923" customFormat="1" x14ac:dyDescent="0.25"/>
    <row r="138924" customFormat="1" x14ac:dyDescent="0.25"/>
    <row r="138925" customFormat="1" x14ac:dyDescent="0.25"/>
    <row r="138926" customFormat="1" x14ac:dyDescent="0.25"/>
    <row r="138927" customFormat="1" x14ac:dyDescent="0.25"/>
    <row r="138928" customFormat="1" x14ac:dyDescent="0.25"/>
    <row r="138929" customFormat="1" x14ac:dyDescent="0.25"/>
    <row r="138930" customFormat="1" x14ac:dyDescent="0.25"/>
    <row r="138931" customFormat="1" x14ac:dyDescent="0.25"/>
    <row r="138932" customFormat="1" x14ac:dyDescent="0.25"/>
    <row r="138933" customFormat="1" x14ac:dyDescent="0.25"/>
    <row r="138934" customFormat="1" x14ac:dyDescent="0.25"/>
    <row r="138935" customFormat="1" x14ac:dyDescent="0.25"/>
    <row r="138936" customFormat="1" x14ac:dyDescent="0.25"/>
    <row r="138937" customFormat="1" x14ac:dyDescent="0.25"/>
    <row r="138938" customFormat="1" x14ac:dyDescent="0.25"/>
    <row r="138939" customFormat="1" x14ac:dyDescent="0.25"/>
    <row r="138940" customFormat="1" x14ac:dyDescent="0.25"/>
    <row r="138941" customFormat="1" x14ac:dyDescent="0.25"/>
    <row r="138942" customFormat="1" x14ac:dyDescent="0.25"/>
    <row r="138943" customFormat="1" x14ac:dyDescent="0.25"/>
    <row r="138944" customFormat="1" x14ac:dyDescent="0.25"/>
    <row r="138945" customFormat="1" x14ac:dyDescent="0.25"/>
    <row r="138946" customFormat="1" x14ac:dyDescent="0.25"/>
    <row r="138947" customFormat="1" x14ac:dyDescent="0.25"/>
    <row r="138948" customFormat="1" x14ac:dyDescent="0.25"/>
    <row r="138949" customFormat="1" x14ac:dyDescent="0.25"/>
    <row r="138950" customFormat="1" x14ac:dyDescent="0.25"/>
    <row r="138951" customFormat="1" x14ac:dyDescent="0.25"/>
    <row r="138952" customFormat="1" x14ac:dyDescent="0.25"/>
    <row r="138953" customFormat="1" x14ac:dyDescent="0.25"/>
    <row r="138954" customFormat="1" x14ac:dyDescent="0.25"/>
    <row r="138955" customFormat="1" x14ac:dyDescent="0.25"/>
    <row r="138956" customFormat="1" x14ac:dyDescent="0.25"/>
    <row r="138957" customFormat="1" x14ac:dyDescent="0.25"/>
    <row r="138958" customFormat="1" x14ac:dyDescent="0.25"/>
    <row r="138959" customFormat="1" x14ac:dyDescent="0.25"/>
    <row r="138960" customFormat="1" x14ac:dyDescent="0.25"/>
    <row r="138961" customFormat="1" x14ac:dyDescent="0.25"/>
    <row r="138962" customFormat="1" x14ac:dyDescent="0.25"/>
    <row r="138963" customFormat="1" x14ac:dyDescent="0.25"/>
    <row r="138964" customFormat="1" x14ac:dyDescent="0.25"/>
    <row r="138965" customFormat="1" x14ac:dyDescent="0.25"/>
    <row r="138966" customFormat="1" x14ac:dyDescent="0.25"/>
    <row r="138967" customFormat="1" x14ac:dyDescent="0.25"/>
    <row r="138968" customFormat="1" x14ac:dyDescent="0.25"/>
    <row r="138969" customFormat="1" x14ac:dyDescent="0.25"/>
    <row r="138970" customFormat="1" x14ac:dyDescent="0.25"/>
    <row r="138971" customFormat="1" x14ac:dyDescent="0.25"/>
    <row r="138972" customFormat="1" x14ac:dyDescent="0.25"/>
    <row r="138973" customFormat="1" x14ac:dyDescent="0.25"/>
    <row r="138974" customFormat="1" x14ac:dyDescent="0.25"/>
    <row r="138975" customFormat="1" x14ac:dyDescent="0.25"/>
    <row r="138976" customFormat="1" x14ac:dyDescent="0.25"/>
    <row r="138977" customFormat="1" x14ac:dyDescent="0.25"/>
    <row r="138978" customFormat="1" x14ac:dyDescent="0.25"/>
    <row r="138979" customFormat="1" x14ac:dyDescent="0.25"/>
    <row r="138980" customFormat="1" x14ac:dyDescent="0.25"/>
    <row r="138981" customFormat="1" x14ac:dyDescent="0.25"/>
    <row r="138982" customFormat="1" x14ac:dyDescent="0.25"/>
    <row r="138983" customFormat="1" x14ac:dyDescent="0.25"/>
    <row r="138984" customFormat="1" x14ac:dyDescent="0.25"/>
    <row r="138985" customFormat="1" x14ac:dyDescent="0.25"/>
    <row r="138986" customFormat="1" x14ac:dyDescent="0.25"/>
    <row r="138987" customFormat="1" x14ac:dyDescent="0.25"/>
    <row r="138988" customFormat="1" x14ac:dyDescent="0.25"/>
    <row r="138989" customFormat="1" x14ac:dyDescent="0.25"/>
    <row r="138990" customFormat="1" x14ac:dyDescent="0.25"/>
    <row r="138991" customFormat="1" x14ac:dyDescent="0.25"/>
    <row r="138992" customFormat="1" x14ac:dyDescent="0.25"/>
    <row r="138993" customFormat="1" x14ac:dyDescent="0.25"/>
    <row r="138994" customFormat="1" x14ac:dyDescent="0.25"/>
    <row r="138995" customFormat="1" x14ac:dyDescent="0.25"/>
    <row r="138996" customFormat="1" x14ac:dyDescent="0.25"/>
    <row r="138997" customFormat="1" x14ac:dyDescent="0.25"/>
    <row r="138998" customFormat="1" x14ac:dyDescent="0.25"/>
    <row r="138999" customFormat="1" x14ac:dyDescent="0.25"/>
    <row r="139000" customFormat="1" x14ac:dyDescent="0.25"/>
    <row r="139001" customFormat="1" x14ac:dyDescent="0.25"/>
    <row r="139002" customFormat="1" x14ac:dyDescent="0.25"/>
    <row r="139003" customFormat="1" x14ac:dyDescent="0.25"/>
    <row r="139004" customFormat="1" x14ac:dyDescent="0.25"/>
    <row r="139005" customFormat="1" x14ac:dyDescent="0.25"/>
    <row r="139006" customFormat="1" x14ac:dyDescent="0.25"/>
    <row r="139007" customFormat="1" x14ac:dyDescent="0.25"/>
    <row r="139008" customFormat="1" x14ac:dyDescent="0.25"/>
    <row r="139009" customFormat="1" x14ac:dyDescent="0.25"/>
    <row r="139010" customFormat="1" x14ac:dyDescent="0.25"/>
    <row r="139011" customFormat="1" x14ac:dyDescent="0.25"/>
    <row r="139012" customFormat="1" x14ac:dyDescent="0.25"/>
    <row r="139013" customFormat="1" x14ac:dyDescent="0.25"/>
    <row r="139014" customFormat="1" x14ac:dyDescent="0.25"/>
    <row r="139015" customFormat="1" x14ac:dyDescent="0.25"/>
    <row r="139016" customFormat="1" x14ac:dyDescent="0.25"/>
    <row r="139017" customFormat="1" x14ac:dyDescent="0.25"/>
    <row r="139018" customFormat="1" x14ac:dyDescent="0.25"/>
    <row r="139019" customFormat="1" x14ac:dyDescent="0.25"/>
    <row r="139020" customFormat="1" x14ac:dyDescent="0.25"/>
    <row r="139021" customFormat="1" x14ac:dyDescent="0.25"/>
    <row r="139022" customFormat="1" x14ac:dyDescent="0.25"/>
    <row r="139023" customFormat="1" x14ac:dyDescent="0.25"/>
    <row r="139024" customFormat="1" x14ac:dyDescent="0.25"/>
    <row r="139025" customFormat="1" x14ac:dyDescent="0.25"/>
    <row r="139026" customFormat="1" x14ac:dyDescent="0.25"/>
    <row r="139027" customFormat="1" x14ac:dyDescent="0.25"/>
    <row r="139028" customFormat="1" x14ac:dyDescent="0.25"/>
    <row r="139029" customFormat="1" x14ac:dyDescent="0.25"/>
    <row r="139030" customFormat="1" x14ac:dyDescent="0.25"/>
    <row r="139031" customFormat="1" x14ac:dyDescent="0.25"/>
    <row r="139032" customFormat="1" x14ac:dyDescent="0.25"/>
    <row r="139033" customFormat="1" x14ac:dyDescent="0.25"/>
    <row r="139034" customFormat="1" x14ac:dyDescent="0.25"/>
    <row r="139035" customFormat="1" x14ac:dyDescent="0.25"/>
    <row r="139036" customFormat="1" x14ac:dyDescent="0.25"/>
    <row r="139037" customFormat="1" x14ac:dyDescent="0.25"/>
    <row r="139038" customFormat="1" x14ac:dyDescent="0.25"/>
    <row r="139039" customFormat="1" x14ac:dyDescent="0.25"/>
    <row r="139040" customFormat="1" x14ac:dyDescent="0.25"/>
    <row r="139041" customFormat="1" x14ac:dyDescent="0.25"/>
    <row r="139042" customFormat="1" x14ac:dyDescent="0.25"/>
    <row r="139043" customFormat="1" x14ac:dyDescent="0.25"/>
    <row r="139044" customFormat="1" x14ac:dyDescent="0.25"/>
    <row r="139045" customFormat="1" x14ac:dyDescent="0.25"/>
    <row r="139046" customFormat="1" x14ac:dyDescent="0.25"/>
    <row r="139047" customFormat="1" x14ac:dyDescent="0.25"/>
    <row r="139048" customFormat="1" x14ac:dyDescent="0.25"/>
    <row r="139049" customFormat="1" x14ac:dyDescent="0.25"/>
    <row r="139050" customFormat="1" x14ac:dyDescent="0.25"/>
    <row r="139051" customFormat="1" x14ac:dyDescent="0.25"/>
    <row r="139052" customFormat="1" x14ac:dyDescent="0.25"/>
    <row r="139053" customFormat="1" x14ac:dyDescent="0.25"/>
    <row r="139054" customFormat="1" x14ac:dyDescent="0.25"/>
    <row r="139055" customFormat="1" x14ac:dyDescent="0.25"/>
    <row r="139056" customFormat="1" x14ac:dyDescent="0.25"/>
    <row r="139057" customFormat="1" x14ac:dyDescent="0.25"/>
    <row r="139058" customFormat="1" x14ac:dyDescent="0.25"/>
    <row r="139059" customFormat="1" x14ac:dyDescent="0.25"/>
    <row r="139060" customFormat="1" x14ac:dyDescent="0.25"/>
    <row r="139061" customFormat="1" x14ac:dyDescent="0.25"/>
    <row r="139062" customFormat="1" x14ac:dyDescent="0.25"/>
    <row r="139063" customFormat="1" x14ac:dyDescent="0.25"/>
    <row r="139064" customFormat="1" x14ac:dyDescent="0.25"/>
    <row r="139065" customFormat="1" x14ac:dyDescent="0.25"/>
    <row r="139066" customFormat="1" x14ac:dyDescent="0.25"/>
    <row r="139067" customFormat="1" x14ac:dyDescent="0.25"/>
    <row r="139068" customFormat="1" x14ac:dyDescent="0.25"/>
    <row r="139069" customFormat="1" x14ac:dyDescent="0.25"/>
    <row r="139070" customFormat="1" x14ac:dyDescent="0.25"/>
    <row r="139071" customFormat="1" x14ac:dyDescent="0.25"/>
    <row r="139072" customFormat="1" x14ac:dyDescent="0.25"/>
    <row r="139073" customFormat="1" x14ac:dyDescent="0.25"/>
    <row r="139074" customFormat="1" x14ac:dyDescent="0.25"/>
    <row r="139075" customFormat="1" x14ac:dyDescent="0.25"/>
    <row r="139076" customFormat="1" x14ac:dyDescent="0.25"/>
    <row r="139077" customFormat="1" x14ac:dyDescent="0.25"/>
    <row r="139078" customFormat="1" x14ac:dyDescent="0.25"/>
    <row r="139079" customFormat="1" x14ac:dyDescent="0.25"/>
    <row r="139080" customFormat="1" x14ac:dyDescent="0.25"/>
    <row r="139081" customFormat="1" x14ac:dyDescent="0.25"/>
    <row r="139082" customFormat="1" x14ac:dyDescent="0.25"/>
    <row r="139083" customFormat="1" x14ac:dyDescent="0.25"/>
    <row r="139084" customFormat="1" x14ac:dyDescent="0.25"/>
    <row r="139085" customFormat="1" x14ac:dyDescent="0.25"/>
    <row r="139086" customFormat="1" x14ac:dyDescent="0.25"/>
    <row r="139087" customFormat="1" x14ac:dyDescent="0.25"/>
    <row r="139088" customFormat="1" x14ac:dyDescent="0.25"/>
    <row r="139089" customFormat="1" x14ac:dyDescent="0.25"/>
    <row r="139090" customFormat="1" x14ac:dyDescent="0.25"/>
    <row r="139091" customFormat="1" x14ac:dyDescent="0.25"/>
    <row r="139092" customFormat="1" x14ac:dyDescent="0.25"/>
    <row r="139093" customFormat="1" x14ac:dyDescent="0.25"/>
    <row r="139094" customFormat="1" x14ac:dyDescent="0.25"/>
    <row r="139095" customFormat="1" x14ac:dyDescent="0.25"/>
    <row r="139096" customFormat="1" x14ac:dyDescent="0.25"/>
    <row r="139097" customFormat="1" x14ac:dyDescent="0.25"/>
    <row r="139098" customFormat="1" x14ac:dyDescent="0.25"/>
    <row r="139099" customFormat="1" x14ac:dyDescent="0.25"/>
    <row r="139100" customFormat="1" x14ac:dyDescent="0.25"/>
    <row r="139101" customFormat="1" x14ac:dyDescent="0.25"/>
    <row r="139102" customFormat="1" x14ac:dyDescent="0.25"/>
    <row r="139103" customFormat="1" x14ac:dyDescent="0.25"/>
    <row r="139104" customFormat="1" x14ac:dyDescent="0.25"/>
    <row r="139105" customFormat="1" x14ac:dyDescent="0.25"/>
    <row r="139106" customFormat="1" x14ac:dyDescent="0.25"/>
    <row r="139107" customFormat="1" x14ac:dyDescent="0.25"/>
    <row r="139108" customFormat="1" x14ac:dyDescent="0.25"/>
    <row r="139109" customFormat="1" x14ac:dyDescent="0.25"/>
    <row r="139110" customFormat="1" x14ac:dyDescent="0.25"/>
    <row r="139111" customFormat="1" x14ac:dyDescent="0.25"/>
    <row r="139112" customFormat="1" x14ac:dyDescent="0.25"/>
    <row r="139113" customFormat="1" x14ac:dyDescent="0.25"/>
    <row r="139114" customFormat="1" x14ac:dyDescent="0.25"/>
    <row r="139115" customFormat="1" x14ac:dyDescent="0.25"/>
    <row r="139116" customFormat="1" x14ac:dyDescent="0.25"/>
    <row r="139117" customFormat="1" x14ac:dyDescent="0.25"/>
    <row r="139118" customFormat="1" x14ac:dyDescent="0.25"/>
    <row r="139119" customFormat="1" x14ac:dyDescent="0.25"/>
    <row r="139120" customFormat="1" x14ac:dyDescent="0.25"/>
    <row r="139121" customFormat="1" x14ac:dyDescent="0.25"/>
    <row r="139122" customFormat="1" x14ac:dyDescent="0.25"/>
    <row r="139123" customFormat="1" x14ac:dyDescent="0.25"/>
    <row r="139124" customFormat="1" x14ac:dyDescent="0.25"/>
    <row r="139125" customFormat="1" x14ac:dyDescent="0.25"/>
    <row r="139126" customFormat="1" x14ac:dyDescent="0.25"/>
    <row r="139127" customFormat="1" x14ac:dyDescent="0.25"/>
    <row r="139128" customFormat="1" x14ac:dyDescent="0.25"/>
    <row r="139129" customFormat="1" x14ac:dyDescent="0.25"/>
    <row r="139130" customFormat="1" x14ac:dyDescent="0.25"/>
    <row r="139131" customFormat="1" x14ac:dyDescent="0.25"/>
    <row r="139132" customFormat="1" x14ac:dyDescent="0.25"/>
    <row r="139133" customFormat="1" x14ac:dyDescent="0.25"/>
    <row r="139134" customFormat="1" x14ac:dyDescent="0.25"/>
    <row r="139135" customFormat="1" x14ac:dyDescent="0.25"/>
    <row r="139136" customFormat="1" x14ac:dyDescent="0.25"/>
    <row r="139137" customFormat="1" x14ac:dyDescent="0.25"/>
    <row r="139138" customFormat="1" x14ac:dyDescent="0.25"/>
    <row r="139139" customFormat="1" x14ac:dyDescent="0.25"/>
    <row r="139140" customFormat="1" x14ac:dyDescent="0.25"/>
    <row r="139141" customFormat="1" x14ac:dyDescent="0.25"/>
    <row r="139142" customFormat="1" x14ac:dyDescent="0.25"/>
    <row r="139143" customFormat="1" x14ac:dyDescent="0.25"/>
    <row r="139144" customFormat="1" x14ac:dyDescent="0.25"/>
    <row r="139145" customFormat="1" x14ac:dyDescent="0.25"/>
    <row r="139146" customFormat="1" x14ac:dyDescent="0.25"/>
    <row r="139147" customFormat="1" x14ac:dyDescent="0.25"/>
    <row r="139148" customFormat="1" x14ac:dyDescent="0.25"/>
    <row r="139149" customFormat="1" x14ac:dyDescent="0.25"/>
    <row r="139150" customFormat="1" x14ac:dyDescent="0.25"/>
    <row r="139151" customFormat="1" x14ac:dyDescent="0.25"/>
    <row r="139152" customFormat="1" x14ac:dyDescent="0.25"/>
    <row r="139153" customFormat="1" x14ac:dyDescent="0.25"/>
    <row r="139154" customFormat="1" x14ac:dyDescent="0.25"/>
    <row r="139155" customFormat="1" x14ac:dyDescent="0.25"/>
    <row r="139156" customFormat="1" x14ac:dyDescent="0.25"/>
    <row r="139157" customFormat="1" x14ac:dyDescent="0.25"/>
    <row r="139158" customFormat="1" x14ac:dyDescent="0.25"/>
    <row r="139159" customFormat="1" x14ac:dyDescent="0.25"/>
    <row r="139160" customFormat="1" x14ac:dyDescent="0.25"/>
    <row r="139161" customFormat="1" x14ac:dyDescent="0.25"/>
    <row r="139162" customFormat="1" x14ac:dyDescent="0.25"/>
    <row r="139163" customFormat="1" x14ac:dyDescent="0.25"/>
    <row r="139164" customFormat="1" x14ac:dyDescent="0.25"/>
    <row r="139165" customFormat="1" x14ac:dyDescent="0.25"/>
    <row r="139166" customFormat="1" x14ac:dyDescent="0.25"/>
    <row r="139167" customFormat="1" x14ac:dyDescent="0.25"/>
    <row r="139168" customFormat="1" x14ac:dyDescent="0.25"/>
    <row r="139169" customFormat="1" x14ac:dyDescent="0.25"/>
    <row r="139170" customFormat="1" x14ac:dyDescent="0.25"/>
    <row r="139171" customFormat="1" x14ac:dyDescent="0.25"/>
    <row r="139172" customFormat="1" x14ac:dyDescent="0.25"/>
    <row r="139173" customFormat="1" x14ac:dyDescent="0.25"/>
    <row r="139174" customFormat="1" x14ac:dyDescent="0.25"/>
    <row r="139175" customFormat="1" x14ac:dyDescent="0.25"/>
    <row r="139176" customFormat="1" x14ac:dyDescent="0.25"/>
    <row r="139177" customFormat="1" x14ac:dyDescent="0.25"/>
    <row r="139178" customFormat="1" x14ac:dyDescent="0.25"/>
    <row r="139179" customFormat="1" x14ac:dyDescent="0.25"/>
    <row r="139180" customFormat="1" x14ac:dyDescent="0.25"/>
    <row r="139181" customFormat="1" x14ac:dyDescent="0.25"/>
    <row r="139182" customFormat="1" x14ac:dyDescent="0.25"/>
    <row r="139183" customFormat="1" x14ac:dyDescent="0.25"/>
    <row r="139184" customFormat="1" x14ac:dyDescent="0.25"/>
    <row r="139185" customFormat="1" x14ac:dyDescent="0.25"/>
    <row r="139186" customFormat="1" x14ac:dyDescent="0.25"/>
    <row r="139187" customFormat="1" x14ac:dyDescent="0.25"/>
    <row r="139188" customFormat="1" x14ac:dyDescent="0.25"/>
    <row r="139189" customFormat="1" x14ac:dyDescent="0.25"/>
    <row r="139190" customFormat="1" x14ac:dyDescent="0.25"/>
    <row r="139191" customFormat="1" x14ac:dyDescent="0.25"/>
    <row r="139192" customFormat="1" x14ac:dyDescent="0.25"/>
    <row r="139193" customFormat="1" x14ac:dyDescent="0.25"/>
    <row r="139194" customFormat="1" x14ac:dyDescent="0.25"/>
    <row r="139195" customFormat="1" x14ac:dyDescent="0.25"/>
    <row r="139196" customFormat="1" x14ac:dyDescent="0.25"/>
    <row r="139197" customFormat="1" x14ac:dyDescent="0.25"/>
    <row r="139198" customFormat="1" x14ac:dyDescent="0.25"/>
    <row r="139199" customFormat="1" x14ac:dyDescent="0.25"/>
    <row r="139200" customFormat="1" x14ac:dyDescent="0.25"/>
    <row r="139201" customFormat="1" x14ac:dyDescent="0.25"/>
    <row r="139202" customFormat="1" x14ac:dyDescent="0.25"/>
    <row r="139203" customFormat="1" x14ac:dyDescent="0.25"/>
    <row r="139204" customFormat="1" x14ac:dyDescent="0.25"/>
    <row r="139205" customFormat="1" x14ac:dyDescent="0.25"/>
    <row r="139206" customFormat="1" x14ac:dyDescent="0.25"/>
    <row r="139207" customFormat="1" x14ac:dyDescent="0.25"/>
    <row r="139208" customFormat="1" x14ac:dyDescent="0.25"/>
    <row r="139209" customFormat="1" x14ac:dyDescent="0.25"/>
    <row r="139210" customFormat="1" x14ac:dyDescent="0.25"/>
    <row r="139211" customFormat="1" x14ac:dyDescent="0.25"/>
    <row r="139212" customFormat="1" x14ac:dyDescent="0.25"/>
    <row r="139213" customFormat="1" x14ac:dyDescent="0.25"/>
    <row r="139214" customFormat="1" x14ac:dyDescent="0.25"/>
    <row r="139215" customFormat="1" x14ac:dyDescent="0.25"/>
    <row r="139216" customFormat="1" x14ac:dyDescent="0.25"/>
    <row r="139217" customFormat="1" x14ac:dyDescent="0.25"/>
    <row r="139218" customFormat="1" x14ac:dyDescent="0.25"/>
    <row r="139219" customFormat="1" x14ac:dyDescent="0.25"/>
    <row r="139220" customFormat="1" x14ac:dyDescent="0.25"/>
    <row r="139221" customFormat="1" x14ac:dyDescent="0.25"/>
    <row r="139222" customFormat="1" x14ac:dyDescent="0.25"/>
    <row r="139223" customFormat="1" x14ac:dyDescent="0.25"/>
    <row r="139224" customFormat="1" x14ac:dyDescent="0.25"/>
    <row r="139225" customFormat="1" x14ac:dyDescent="0.25"/>
    <row r="139226" customFormat="1" x14ac:dyDescent="0.25"/>
    <row r="139227" customFormat="1" x14ac:dyDescent="0.25"/>
    <row r="139228" customFormat="1" x14ac:dyDescent="0.25"/>
    <row r="139229" customFormat="1" x14ac:dyDescent="0.25"/>
    <row r="139230" customFormat="1" x14ac:dyDescent="0.25"/>
    <row r="139231" customFormat="1" x14ac:dyDescent="0.25"/>
    <row r="139232" customFormat="1" x14ac:dyDescent="0.25"/>
    <row r="139233" customFormat="1" x14ac:dyDescent="0.25"/>
    <row r="139234" customFormat="1" x14ac:dyDescent="0.25"/>
    <row r="139235" customFormat="1" x14ac:dyDescent="0.25"/>
    <row r="139236" customFormat="1" x14ac:dyDescent="0.25"/>
    <row r="139237" customFormat="1" x14ac:dyDescent="0.25"/>
    <row r="139238" customFormat="1" x14ac:dyDescent="0.25"/>
    <row r="139239" customFormat="1" x14ac:dyDescent="0.25"/>
    <row r="139240" customFormat="1" x14ac:dyDescent="0.25"/>
    <row r="139241" customFormat="1" x14ac:dyDescent="0.25"/>
    <row r="139242" customFormat="1" x14ac:dyDescent="0.25"/>
    <row r="139243" customFormat="1" x14ac:dyDescent="0.25"/>
    <row r="139244" customFormat="1" x14ac:dyDescent="0.25"/>
    <row r="139245" customFormat="1" x14ac:dyDescent="0.25"/>
    <row r="139246" customFormat="1" x14ac:dyDescent="0.25"/>
    <row r="139247" customFormat="1" x14ac:dyDescent="0.25"/>
    <row r="139248" customFormat="1" x14ac:dyDescent="0.25"/>
    <row r="139249" customFormat="1" x14ac:dyDescent="0.25"/>
    <row r="139250" customFormat="1" x14ac:dyDescent="0.25"/>
    <row r="139251" customFormat="1" x14ac:dyDescent="0.25"/>
    <row r="139252" customFormat="1" x14ac:dyDescent="0.25"/>
    <row r="139253" customFormat="1" x14ac:dyDescent="0.25"/>
    <row r="139254" customFormat="1" x14ac:dyDescent="0.25"/>
    <row r="139255" customFormat="1" x14ac:dyDescent="0.25"/>
    <row r="139256" customFormat="1" x14ac:dyDescent="0.25"/>
    <row r="139257" customFormat="1" x14ac:dyDescent="0.25"/>
    <row r="139258" customFormat="1" x14ac:dyDescent="0.25"/>
    <row r="139259" customFormat="1" x14ac:dyDescent="0.25"/>
    <row r="139260" customFormat="1" x14ac:dyDescent="0.25"/>
    <row r="139261" customFormat="1" x14ac:dyDescent="0.25"/>
    <row r="139262" customFormat="1" x14ac:dyDescent="0.25"/>
    <row r="139263" customFormat="1" x14ac:dyDescent="0.25"/>
    <row r="139264" customFormat="1" x14ac:dyDescent="0.25"/>
    <row r="139265" customFormat="1" x14ac:dyDescent="0.25"/>
    <row r="139266" customFormat="1" x14ac:dyDescent="0.25"/>
    <row r="139267" customFormat="1" x14ac:dyDescent="0.25"/>
    <row r="139268" customFormat="1" x14ac:dyDescent="0.25"/>
    <row r="139269" customFormat="1" x14ac:dyDescent="0.25"/>
    <row r="139270" customFormat="1" x14ac:dyDescent="0.25"/>
    <row r="139271" customFormat="1" x14ac:dyDescent="0.25"/>
    <row r="139272" customFormat="1" x14ac:dyDescent="0.25"/>
    <row r="139273" customFormat="1" x14ac:dyDescent="0.25"/>
    <row r="139274" customFormat="1" x14ac:dyDescent="0.25"/>
    <row r="139275" customFormat="1" x14ac:dyDescent="0.25"/>
    <row r="139276" customFormat="1" x14ac:dyDescent="0.25"/>
    <row r="139277" customFormat="1" x14ac:dyDescent="0.25"/>
    <row r="139278" customFormat="1" x14ac:dyDescent="0.25"/>
    <row r="139279" customFormat="1" x14ac:dyDescent="0.25"/>
    <row r="139280" customFormat="1" x14ac:dyDescent="0.25"/>
    <row r="139281" customFormat="1" x14ac:dyDescent="0.25"/>
    <row r="139282" customFormat="1" x14ac:dyDescent="0.25"/>
    <row r="139283" customFormat="1" x14ac:dyDescent="0.25"/>
    <row r="139284" customFormat="1" x14ac:dyDescent="0.25"/>
    <row r="139285" customFormat="1" x14ac:dyDescent="0.25"/>
    <row r="139286" customFormat="1" x14ac:dyDescent="0.25"/>
    <row r="139287" customFormat="1" x14ac:dyDescent="0.25"/>
    <row r="139288" customFormat="1" x14ac:dyDescent="0.25"/>
    <row r="139289" customFormat="1" x14ac:dyDescent="0.25"/>
    <row r="139290" customFormat="1" x14ac:dyDescent="0.25"/>
    <row r="139291" customFormat="1" x14ac:dyDescent="0.25"/>
    <row r="139292" customFormat="1" x14ac:dyDescent="0.25"/>
    <row r="139293" customFormat="1" x14ac:dyDescent="0.25"/>
    <row r="139294" customFormat="1" x14ac:dyDescent="0.25"/>
    <row r="139295" customFormat="1" x14ac:dyDescent="0.25"/>
    <row r="139296" customFormat="1" x14ac:dyDescent="0.25"/>
    <row r="139297" customFormat="1" x14ac:dyDescent="0.25"/>
    <row r="139298" customFormat="1" x14ac:dyDescent="0.25"/>
    <row r="139299" customFormat="1" x14ac:dyDescent="0.25"/>
    <row r="139300" customFormat="1" x14ac:dyDescent="0.25"/>
    <row r="139301" customFormat="1" x14ac:dyDescent="0.25"/>
    <row r="139302" customFormat="1" x14ac:dyDescent="0.25"/>
    <row r="139303" customFormat="1" x14ac:dyDescent="0.25"/>
    <row r="139304" customFormat="1" x14ac:dyDescent="0.25"/>
    <row r="139305" customFormat="1" x14ac:dyDescent="0.25"/>
    <row r="139306" customFormat="1" x14ac:dyDescent="0.25"/>
    <row r="139307" customFormat="1" x14ac:dyDescent="0.25"/>
    <row r="139308" customFormat="1" x14ac:dyDescent="0.25"/>
    <row r="139309" customFormat="1" x14ac:dyDescent="0.25"/>
    <row r="139310" customFormat="1" x14ac:dyDescent="0.25"/>
    <row r="139311" customFormat="1" x14ac:dyDescent="0.25"/>
    <row r="139312" customFormat="1" x14ac:dyDescent="0.25"/>
    <row r="139313" customFormat="1" x14ac:dyDescent="0.25"/>
    <row r="139314" customFormat="1" x14ac:dyDescent="0.25"/>
    <row r="139315" customFormat="1" x14ac:dyDescent="0.25"/>
    <row r="139316" customFormat="1" x14ac:dyDescent="0.25"/>
    <row r="139317" customFormat="1" x14ac:dyDescent="0.25"/>
    <row r="139318" customFormat="1" x14ac:dyDescent="0.25"/>
    <row r="139319" customFormat="1" x14ac:dyDescent="0.25"/>
    <row r="139320" customFormat="1" x14ac:dyDescent="0.25"/>
    <row r="139321" customFormat="1" x14ac:dyDescent="0.25"/>
    <row r="139322" customFormat="1" x14ac:dyDescent="0.25"/>
    <row r="139323" customFormat="1" x14ac:dyDescent="0.25"/>
    <row r="139324" customFormat="1" x14ac:dyDescent="0.25"/>
    <row r="139325" customFormat="1" x14ac:dyDescent="0.25"/>
    <row r="139326" customFormat="1" x14ac:dyDescent="0.25"/>
    <row r="139327" customFormat="1" x14ac:dyDescent="0.25"/>
    <row r="139328" customFormat="1" x14ac:dyDescent="0.25"/>
    <row r="139329" customFormat="1" x14ac:dyDescent="0.25"/>
    <row r="139330" customFormat="1" x14ac:dyDescent="0.25"/>
    <row r="139331" customFormat="1" x14ac:dyDescent="0.25"/>
    <row r="139332" customFormat="1" x14ac:dyDescent="0.25"/>
    <row r="139333" customFormat="1" x14ac:dyDescent="0.25"/>
    <row r="139334" customFormat="1" x14ac:dyDescent="0.25"/>
    <row r="139335" customFormat="1" x14ac:dyDescent="0.25"/>
    <row r="139336" customFormat="1" x14ac:dyDescent="0.25"/>
    <row r="139337" customFormat="1" x14ac:dyDescent="0.25"/>
    <row r="139338" customFormat="1" x14ac:dyDescent="0.25"/>
    <row r="139339" customFormat="1" x14ac:dyDescent="0.25"/>
    <row r="139340" customFormat="1" x14ac:dyDescent="0.25"/>
    <row r="139341" customFormat="1" x14ac:dyDescent="0.25"/>
    <row r="139342" customFormat="1" x14ac:dyDescent="0.25"/>
    <row r="139343" customFormat="1" x14ac:dyDescent="0.25"/>
    <row r="139344" customFormat="1" x14ac:dyDescent="0.25"/>
    <row r="139345" customFormat="1" x14ac:dyDescent="0.25"/>
    <row r="139346" customFormat="1" x14ac:dyDescent="0.25"/>
    <row r="139347" customFormat="1" x14ac:dyDescent="0.25"/>
    <row r="139348" customFormat="1" x14ac:dyDescent="0.25"/>
    <row r="139349" customFormat="1" x14ac:dyDescent="0.25"/>
    <row r="139350" customFormat="1" x14ac:dyDescent="0.25"/>
    <row r="139351" customFormat="1" x14ac:dyDescent="0.25"/>
    <row r="139352" customFormat="1" x14ac:dyDescent="0.25"/>
    <row r="139353" customFormat="1" x14ac:dyDescent="0.25"/>
    <row r="139354" customFormat="1" x14ac:dyDescent="0.25"/>
    <row r="139355" customFormat="1" x14ac:dyDescent="0.25"/>
    <row r="139356" customFormat="1" x14ac:dyDescent="0.25"/>
    <row r="139357" customFormat="1" x14ac:dyDescent="0.25"/>
    <row r="139358" customFormat="1" x14ac:dyDescent="0.25"/>
    <row r="139359" customFormat="1" x14ac:dyDescent="0.25"/>
    <row r="139360" customFormat="1" x14ac:dyDescent="0.25"/>
    <row r="139361" customFormat="1" x14ac:dyDescent="0.25"/>
    <row r="139362" customFormat="1" x14ac:dyDescent="0.25"/>
    <row r="139363" customFormat="1" x14ac:dyDescent="0.25"/>
    <row r="139364" customFormat="1" x14ac:dyDescent="0.25"/>
    <row r="139365" customFormat="1" x14ac:dyDescent="0.25"/>
    <row r="139366" customFormat="1" x14ac:dyDescent="0.25"/>
    <row r="139367" customFormat="1" x14ac:dyDescent="0.25"/>
    <row r="139368" customFormat="1" x14ac:dyDescent="0.25"/>
    <row r="139369" customFormat="1" x14ac:dyDescent="0.25"/>
    <row r="139370" customFormat="1" x14ac:dyDescent="0.25"/>
    <row r="139371" customFormat="1" x14ac:dyDescent="0.25"/>
    <row r="139372" customFormat="1" x14ac:dyDescent="0.25"/>
    <row r="139373" customFormat="1" x14ac:dyDescent="0.25"/>
    <row r="139374" customFormat="1" x14ac:dyDescent="0.25"/>
    <row r="139375" customFormat="1" x14ac:dyDescent="0.25"/>
    <row r="139376" customFormat="1" x14ac:dyDescent="0.25"/>
    <row r="139377" customFormat="1" x14ac:dyDescent="0.25"/>
    <row r="139378" customFormat="1" x14ac:dyDescent="0.25"/>
    <row r="139379" customFormat="1" x14ac:dyDescent="0.25"/>
    <row r="139380" customFormat="1" x14ac:dyDescent="0.25"/>
    <row r="139381" customFormat="1" x14ac:dyDescent="0.25"/>
    <row r="139382" customFormat="1" x14ac:dyDescent="0.25"/>
    <row r="139383" customFormat="1" x14ac:dyDescent="0.25"/>
    <row r="139384" customFormat="1" x14ac:dyDescent="0.25"/>
    <row r="139385" customFormat="1" x14ac:dyDescent="0.25"/>
    <row r="139386" customFormat="1" x14ac:dyDescent="0.25"/>
    <row r="139387" customFormat="1" x14ac:dyDescent="0.25"/>
    <row r="139388" customFormat="1" x14ac:dyDescent="0.25"/>
    <row r="139389" customFormat="1" x14ac:dyDescent="0.25"/>
    <row r="139390" customFormat="1" x14ac:dyDescent="0.25"/>
    <row r="139391" customFormat="1" x14ac:dyDescent="0.25"/>
    <row r="139392" customFormat="1" x14ac:dyDescent="0.25"/>
    <row r="139393" customFormat="1" x14ac:dyDescent="0.25"/>
    <row r="139394" customFormat="1" x14ac:dyDescent="0.25"/>
    <row r="139395" customFormat="1" x14ac:dyDescent="0.25"/>
    <row r="139396" customFormat="1" x14ac:dyDescent="0.25"/>
    <row r="139397" customFormat="1" x14ac:dyDescent="0.25"/>
    <row r="139398" customFormat="1" x14ac:dyDescent="0.25"/>
    <row r="139399" customFormat="1" x14ac:dyDescent="0.25"/>
    <row r="139400" customFormat="1" x14ac:dyDescent="0.25"/>
    <row r="139401" customFormat="1" x14ac:dyDescent="0.25"/>
    <row r="139402" customFormat="1" x14ac:dyDescent="0.25"/>
    <row r="139403" customFormat="1" x14ac:dyDescent="0.25"/>
    <row r="139404" customFormat="1" x14ac:dyDescent="0.25"/>
    <row r="139405" customFormat="1" x14ac:dyDescent="0.25"/>
    <row r="139406" customFormat="1" x14ac:dyDescent="0.25"/>
    <row r="139407" customFormat="1" x14ac:dyDescent="0.25"/>
    <row r="139408" customFormat="1" x14ac:dyDescent="0.25"/>
    <row r="139409" customFormat="1" x14ac:dyDescent="0.25"/>
    <row r="139410" customFormat="1" x14ac:dyDescent="0.25"/>
    <row r="139411" customFormat="1" x14ac:dyDescent="0.25"/>
    <row r="139412" customFormat="1" x14ac:dyDescent="0.25"/>
    <row r="139413" customFormat="1" x14ac:dyDescent="0.25"/>
    <row r="139414" customFormat="1" x14ac:dyDescent="0.25"/>
    <row r="139415" customFormat="1" x14ac:dyDescent="0.25"/>
    <row r="139416" customFormat="1" x14ac:dyDescent="0.25"/>
    <row r="139417" customFormat="1" x14ac:dyDescent="0.25"/>
    <row r="139418" customFormat="1" x14ac:dyDescent="0.25"/>
    <row r="139419" customFormat="1" x14ac:dyDescent="0.25"/>
    <row r="139420" customFormat="1" x14ac:dyDescent="0.25"/>
    <row r="139421" customFormat="1" x14ac:dyDescent="0.25"/>
    <row r="139422" customFormat="1" x14ac:dyDescent="0.25"/>
    <row r="139423" customFormat="1" x14ac:dyDescent="0.25"/>
    <row r="139424" customFormat="1" x14ac:dyDescent="0.25"/>
    <row r="139425" customFormat="1" x14ac:dyDescent="0.25"/>
    <row r="139426" customFormat="1" x14ac:dyDescent="0.25"/>
    <row r="139427" customFormat="1" x14ac:dyDescent="0.25"/>
    <row r="139428" customFormat="1" x14ac:dyDescent="0.25"/>
    <row r="139429" customFormat="1" x14ac:dyDescent="0.25"/>
    <row r="139430" customFormat="1" x14ac:dyDescent="0.25"/>
    <row r="139431" customFormat="1" x14ac:dyDescent="0.25"/>
    <row r="139432" customFormat="1" x14ac:dyDescent="0.25"/>
    <row r="139433" customFormat="1" x14ac:dyDescent="0.25"/>
    <row r="139434" customFormat="1" x14ac:dyDescent="0.25"/>
    <row r="139435" customFormat="1" x14ac:dyDescent="0.25"/>
    <row r="139436" customFormat="1" x14ac:dyDescent="0.25"/>
    <row r="139437" customFormat="1" x14ac:dyDescent="0.25"/>
    <row r="139438" customFormat="1" x14ac:dyDescent="0.25"/>
    <row r="139439" customFormat="1" x14ac:dyDescent="0.25"/>
    <row r="139440" customFormat="1" x14ac:dyDescent="0.25"/>
    <row r="139441" customFormat="1" x14ac:dyDescent="0.25"/>
    <row r="139442" customFormat="1" x14ac:dyDescent="0.25"/>
    <row r="139443" customFormat="1" x14ac:dyDescent="0.25"/>
    <row r="139444" customFormat="1" x14ac:dyDescent="0.25"/>
    <row r="139445" customFormat="1" x14ac:dyDescent="0.25"/>
    <row r="139446" customFormat="1" x14ac:dyDescent="0.25"/>
    <row r="139447" customFormat="1" x14ac:dyDescent="0.25"/>
    <row r="139448" customFormat="1" x14ac:dyDescent="0.25"/>
    <row r="139449" customFormat="1" x14ac:dyDescent="0.25"/>
    <row r="139450" customFormat="1" x14ac:dyDescent="0.25"/>
    <row r="139451" customFormat="1" x14ac:dyDescent="0.25"/>
    <row r="139452" customFormat="1" x14ac:dyDescent="0.25"/>
    <row r="139453" customFormat="1" x14ac:dyDescent="0.25"/>
    <row r="139454" customFormat="1" x14ac:dyDescent="0.25"/>
    <row r="139455" customFormat="1" x14ac:dyDescent="0.25"/>
    <row r="139456" customFormat="1" x14ac:dyDescent="0.25"/>
    <row r="139457" customFormat="1" x14ac:dyDescent="0.25"/>
    <row r="139458" customFormat="1" x14ac:dyDescent="0.25"/>
    <row r="139459" customFormat="1" x14ac:dyDescent="0.25"/>
    <row r="139460" customFormat="1" x14ac:dyDescent="0.25"/>
    <row r="139461" customFormat="1" x14ac:dyDescent="0.25"/>
    <row r="139462" customFormat="1" x14ac:dyDescent="0.25"/>
    <row r="139463" customFormat="1" x14ac:dyDescent="0.25"/>
    <row r="139464" customFormat="1" x14ac:dyDescent="0.25"/>
    <row r="139465" customFormat="1" x14ac:dyDescent="0.25"/>
    <row r="139466" customFormat="1" x14ac:dyDescent="0.25"/>
    <row r="139467" customFormat="1" x14ac:dyDescent="0.25"/>
    <row r="139468" customFormat="1" x14ac:dyDescent="0.25"/>
    <row r="139469" customFormat="1" x14ac:dyDescent="0.25"/>
    <row r="139470" customFormat="1" x14ac:dyDescent="0.25"/>
    <row r="139471" customFormat="1" x14ac:dyDescent="0.25"/>
    <row r="139472" customFormat="1" x14ac:dyDescent="0.25"/>
    <row r="139473" customFormat="1" x14ac:dyDescent="0.25"/>
    <row r="139474" customFormat="1" x14ac:dyDescent="0.25"/>
    <row r="139475" customFormat="1" x14ac:dyDescent="0.25"/>
    <row r="139476" customFormat="1" x14ac:dyDescent="0.25"/>
    <row r="139477" customFormat="1" x14ac:dyDescent="0.25"/>
    <row r="139478" customFormat="1" x14ac:dyDescent="0.25"/>
    <row r="139479" customFormat="1" x14ac:dyDescent="0.25"/>
    <row r="139480" customFormat="1" x14ac:dyDescent="0.25"/>
    <row r="139481" customFormat="1" x14ac:dyDescent="0.25"/>
    <row r="139482" customFormat="1" x14ac:dyDescent="0.25"/>
    <row r="139483" customFormat="1" x14ac:dyDescent="0.25"/>
    <row r="139484" customFormat="1" x14ac:dyDescent="0.25"/>
    <row r="139485" customFormat="1" x14ac:dyDescent="0.25"/>
    <row r="139486" customFormat="1" x14ac:dyDescent="0.25"/>
    <row r="139487" customFormat="1" x14ac:dyDescent="0.25"/>
    <row r="139488" customFormat="1" x14ac:dyDescent="0.25"/>
    <row r="139489" customFormat="1" x14ac:dyDescent="0.25"/>
    <row r="139490" customFormat="1" x14ac:dyDescent="0.25"/>
    <row r="139491" customFormat="1" x14ac:dyDescent="0.25"/>
    <row r="139492" customFormat="1" x14ac:dyDescent="0.25"/>
    <row r="139493" customFormat="1" x14ac:dyDescent="0.25"/>
    <row r="139494" customFormat="1" x14ac:dyDescent="0.25"/>
    <row r="139495" customFormat="1" x14ac:dyDescent="0.25"/>
    <row r="139496" customFormat="1" x14ac:dyDescent="0.25"/>
    <row r="139497" customFormat="1" x14ac:dyDescent="0.25"/>
    <row r="139498" customFormat="1" x14ac:dyDescent="0.25"/>
    <row r="139499" customFormat="1" x14ac:dyDescent="0.25"/>
    <row r="139500" customFormat="1" x14ac:dyDescent="0.25"/>
    <row r="139501" customFormat="1" x14ac:dyDescent="0.25"/>
    <row r="139502" customFormat="1" x14ac:dyDescent="0.25"/>
    <row r="139503" customFormat="1" x14ac:dyDescent="0.25"/>
    <row r="139504" customFormat="1" x14ac:dyDescent="0.25"/>
    <row r="139505" customFormat="1" x14ac:dyDescent="0.25"/>
    <row r="139506" customFormat="1" x14ac:dyDescent="0.25"/>
    <row r="139507" customFormat="1" x14ac:dyDescent="0.25"/>
    <row r="139508" customFormat="1" x14ac:dyDescent="0.25"/>
    <row r="139509" customFormat="1" x14ac:dyDescent="0.25"/>
    <row r="139510" customFormat="1" x14ac:dyDescent="0.25"/>
    <row r="139511" customFormat="1" x14ac:dyDescent="0.25"/>
    <row r="139512" customFormat="1" x14ac:dyDescent="0.25"/>
    <row r="139513" customFormat="1" x14ac:dyDescent="0.25"/>
    <row r="139514" customFormat="1" x14ac:dyDescent="0.25"/>
    <row r="139515" customFormat="1" x14ac:dyDescent="0.25"/>
    <row r="139516" customFormat="1" x14ac:dyDescent="0.25"/>
    <row r="139517" customFormat="1" x14ac:dyDescent="0.25"/>
    <row r="139518" customFormat="1" x14ac:dyDescent="0.25"/>
    <row r="139519" customFormat="1" x14ac:dyDescent="0.25"/>
    <row r="139520" customFormat="1" x14ac:dyDescent="0.25"/>
    <row r="139521" customFormat="1" x14ac:dyDescent="0.25"/>
    <row r="139522" customFormat="1" x14ac:dyDescent="0.25"/>
    <row r="139523" customFormat="1" x14ac:dyDescent="0.25"/>
    <row r="139524" customFormat="1" x14ac:dyDescent="0.25"/>
    <row r="139525" customFormat="1" x14ac:dyDescent="0.25"/>
    <row r="139526" customFormat="1" x14ac:dyDescent="0.25"/>
    <row r="139527" customFormat="1" x14ac:dyDescent="0.25"/>
    <row r="139528" customFormat="1" x14ac:dyDescent="0.25"/>
    <row r="139529" customFormat="1" x14ac:dyDescent="0.25"/>
    <row r="139530" customFormat="1" x14ac:dyDescent="0.25"/>
    <row r="139531" customFormat="1" x14ac:dyDescent="0.25"/>
    <row r="139532" customFormat="1" x14ac:dyDescent="0.25"/>
    <row r="139533" customFormat="1" x14ac:dyDescent="0.25"/>
    <row r="139534" customFormat="1" x14ac:dyDescent="0.25"/>
    <row r="139535" customFormat="1" x14ac:dyDescent="0.25"/>
    <row r="139536" customFormat="1" x14ac:dyDescent="0.25"/>
    <row r="139537" customFormat="1" x14ac:dyDescent="0.25"/>
    <row r="139538" customFormat="1" x14ac:dyDescent="0.25"/>
    <row r="139539" customFormat="1" x14ac:dyDescent="0.25"/>
    <row r="139540" customFormat="1" x14ac:dyDescent="0.25"/>
    <row r="139541" customFormat="1" x14ac:dyDescent="0.25"/>
    <row r="139542" customFormat="1" x14ac:dyDescent="0.25"/>
    <row r="139543" customFormat="1" x14ac:dyDescent="0.25"/>
    <row r="139544" customFormat="1" x14ac:dyDescent="0.25"/>
    <row r="139545" customFormat="1" x14ac:dyDescent="0.25"/>
    <row r="139546" customFormat="1" x14ac:dyDescent="0.25"/>
    <row r="139547" customFormat="1" x14ac:dyDescent="0.25"/>
    <row r="139548" customFormat="1" x14ac:dyDescent="0.25"/>
    <row r="139549" customFormat="1" x14ac:dyDescent="0.25"/>
    <row r="139550" customFormat="1" x14ac:dyDescent="0.25"/>
    <row r="139551" customFormat="1" x14ac:dyDescent="0.25"/>
    <row r="139552" customFormat="1" x14ac:dyDescent="0.25"/>
    <row r="139553" customFormat="1" x14ac:dyDescent="0.25"/>
    <row r="139554" customFormat="1" x14ac:dyDescent="0.25"/>
    <row r="139555" customFormat="1" x14ac:dyDescent="0.25"/>
    <row r="139556" customFormat="1" x14ac:dyDescent="0.25"/>
    <row r="139557" customFormat="1" x14ac:dyDescent="0.25"/>
    <row r="139558" customFormat="1" x14ac:dyDescent="0.25"/>
    <row r="139559" customFormat="1" x14ac:dyDescent="0.25"/>
    <row r="139560" customFormat="1" x14ac:dyDescent="0.25"/>
    <row r="139561" customFormat="1" x14ac:dyDescent="0.25"/>
    <row r="139562" customFormat="1" x14ac:dyDescent="0.25"/>
    <row r="139563" customFormat="1" x14ac:dyDescent="0.25"/>
    <row r="139564" customFormat="1" x14ac:dyDescent="0.25"/>
    <row r="139565" customFormat="1" x14ac:dyDescent="0.25"/>
    <row r="139566" customFormat="1" x14ac:dyDescent="0.25"/>
    <row r="139567" customFormat="1" x14ac:dyDescent="0.25"/>
    <row r="139568" customFormat="1" x14ac:dyDescent="0.25"/>
    <row r="139569" customFormat="1" x14ac:dyDescent="0.25"/>
    <row r="139570" customFormat="1" x14ac:dyDescent="0.25"/>
    <row r="139571" customFormat="1" x14ac:dyDescent="0.25"/>
    <row r="139572" customFormat="1" x14ac:dyDescent="0.25"/>
    <row r="139573" customFormat="1" x14ac:dyDescent="0.25"/>
    <row r="139574" customFormat="1" x14ac:dyDescent="0.25"/>
    <row r="139575" customFormat="1" x14ac:dyDescent="0.25"/>
    <row r="139576" customFormat="1" x14ac:dyDescent="0.25"/>
    <row r="139577" customFormat="1" x14ac:dyDescent="0.25"/>
    <row r="139578" customFormat="1" x14ac:dyDescent="0.25"/>
    <row r="139579" customFormat="1" x14ac:dyDescent="0.25"/>
    <row r="139580" customFormat="1" x14ac:dyDescent="0.25"/>
    <row r="139581" customFormat="1" x14ac:dyDescent="0.25"/>
    <row r="139582" customFormat="1" x14ac:dyDescent="0.25"/>
    <row r="139583" customFormat="1" x14ac:dyDescent="0.25"/>
    <row r="139584" customFormat="1" x14ac:dyDescent="0.25"/>
    <row r="139585" customFormat="1" x14ac:dyDescent="0.25"/>
    <row r="139586" customFormat="1" x14ac:dyDescent="0.25"/>
    <row r="139587" customFormat="1" x14ac:dyDescent="0.25"/>
    <row r="139588" customFormat="1" x14ac:dyDescent="0.25"/>
    <row r="139589" customFormat="1" x14ac:dyDescent="0.25"/>
    <row r="139590" customFormat="1" x14ac:dyDescent="0.25"/>
    <row r="139591" customFormat="1" x14ac:dyDescent="0.25"/>
    <row r="139592" customFormat="1" x14ac:dyDescent="0.25"/>
    <row r="139593" customFormat="1" x14ac:dyDescent="0.25"/>
    <row r="139594" customFormat="1" x14ac:dyDescent="0.25"/>
    <row r="139595" customFormat="1" x14ac:dyDescent="0.25"/>
    <row r="139596" customFormat="1" x14ac:dyDescent="0.25"/>
    <row r="139597" customFormat="1" x14ac:dyDescent="0.25"/>
    <row r="139598" customFormat="1" x14ac:dyDescent="0.25"/>
    <row r="139599" customFormat="1" x14ac:dyDescent="0.25"/>
    <row r="139600" customFormat="1" x14ac:dyDescent="0.25"/>
    <row r="139601" customFormat="1" x14ac:dyDescent="0.25"/>
    <row r="139602" customFormat="1" x14ac:dyDescent="0.25"/>
    <row r="139603" customFormat="1" x14ac:dyDescent="0.25"/>
    <row r="139604" customFormat="1" x14ac:dyDescent="0.25"/>
    <row r="139605" customFormat="1" x14ac:dyDescent="0.25"/>
    <row r="139606" customFormat="1" x14ac:dyDescent="0.25"/>
    <row r="139607" customFormat="1" x14ac:dyDescent="0.25"/>
    <row r="139608" customFormat="1" x14ac:dyDescent="0.25"/>
    <row r="139609" customFormat="1" x14ac:dyDescent="0.25"/>
    <row r="139610" customFormat="1" x14ac:dyDescent="0.25"/>
    <row r="139611" customFormat="1" x14ac:dyDescent="0.25"/>
    <row r="139612" customFormat="1" x14ac:dyDescent="0.25"/>
    <row r="139613" customFormat="1" x14ac:dyDescent="0.25"/>
    <row r="139614" customFormat="1" x14ac:dyDescent="0.25"/>
    <row r="139615" customFormat="1" x14ac:dyDescent="0.25"/>
    <row r="139616" customFormat="1" x14ac:dyDescent="0.25"/>
    <row r="139617" customFormat="1" x14ac:dyDescent="0.25"/>
    <row r="139618" customFormat="1" x14ac:dyDescent="0.25"/>
    <row r="139619" customFormat="1" x14ac:dyDescent="0.25"/>
    <row r="139620" customFormat="1" x14ac:dyDescent="0.25"/>
    <row r="139621" customFormat="1" x14ac:dyDescent="0.25"/>
    <row r="139622" customFormat="1" x14ac:dyDescent="0.25"/>
    <row r="139623" customFormat="1" x14ac:dyDescent="0.25"/>
    <row r="139624" customFormat="1" x14ac:dyDescent="0.25"/>
    <row r="139625" customFormat="1" x14ac:dyDescent="0.25"/>
    <row r="139626" customFormat="1" x14ac:dyDescent="0.25"/>
    <row r="139627" customFormat="1" x14ac:dyDescent="0.25"/>
    <row r="139628" customFormat="1" x14ac:dyDescent="0.25"/>
    <row r="139629" customFormat="1" x14ac:dyDescent="0.25"/>
    <row r="139630" customFormat="1" x14ac:dyDescent="0.25"/>
    <row r="139631" customFormat="1" x14ac:dyDescent="0.25"/>
    <row r="139632" customFormat="1" x14ac:dyDescent="0.25"/>
    <row r="139633" customFormat="1" x14ac:dyDescent="0.25"/>
    <row r="139634" customFormat="1" x14ac:dyDescent="0.25"/>
    <row r="139635" customFormat="1" x14ac:dyDescent="0.25"/>
    <row r="139636" customFormat="1" x14ac:dyDescent="0.25"/>
    <row r="139637" customFormat="1" x14ac:dyDescent="0.25"/>
    <row r="139638" customFormat="1" x14ac:dyDescent="0.25"/>
    <row r="139639" customFormat="1" x14ac:dyDescent="0.25"/>
    <row r="139640" customFormat="1" x14ac:dyDescent="0.25"/>
    <row r="139641" customFormat="1" x14ac:dyDescent="0.25"/>
    <row r="139642" customFormat="1" x14ac:dyDescent="0.25"/>
    <row r="139643" customFormat="1" x14ac:dyDescent="0.25"/>
    <row r="139644" customFormat="1" x14ac:dyDescent="0.25"/>
    <row r="139645" customFormat="1" x14ac:dyDescent="0.25"/>
    <row r="139646" customFormat="1" x14ac:dyDescent="0.25"/>
    <row r="139647" customFormat="1" x14ac:dyDescent="0.25"/>
    <row r="139648" customFormat="1" x14ac:dyDescent="0.25"/>
    <row r="139649" customFormat="1" x14ac:dyDescent="0.25"/>
    <row r="139650" customFormat="1" x14ac:dyDescent="0.25"/>
    <row r="139651" customFormat="1" x14ac:dyDescent="0.25"/>
    <row r="139652" customFormat="1" x14ac:dyDescent="0.25"/>
    <row r="139653" customFormat="1" x14ac:dyDescent="0.25"/>
    <row r="139654" customFormat="1" x14ac:dyDescent="0.25"/>
    <row r="139655" customFormat="1" x14ac:dyDescent="0.25"/>
    <row r="139656" customFormat="1" x14ac:dyDescent="0.25"/>
    <row r="139657" customFormat="1" x14ac:dyDescent="0.25"/>
    <row r="139658" customFormat="1" x14ac:dyDescent="0.25"/>
    <row r="139659" customFormat="1" x14ac:dyDescent="0.25"/>
    <row r="139660" customFormat="1" x14ac:dyDescent="0.25"/>
    <row r="139661" customFormat="1" x14ac:dyDescent="0.25"/>
    <row r="139662" customFormat="1" x14ac:dyDescent="0.25"/>
    <row r="139663" customFormat="1" x14ac:dyDescent="0.25"/>
    <row r="139664" customFormat="1" x14ac:dyDescent="0.25"/>
    <row r="139665" customFormat="1" x14ac:dyDescent="0.25"/>
    <row r="139666" customFormat="1" x14ac:dyDescent="0.25"/>
    <row r="139667" customFormat="1" x14ac:dyDescent="0.25"/>
    <row r="139668" customFormat="1" x14ac:dyDescent="0.25"/>
    <row r="139669" customFormat="1" x14ac:dyDescent="0.25"/>
    <row r="139670" customFormat="1" x14ac:dyDescent="0.25"/>
    <row r="139671" customFormat="1" x14ac:dyDescent="0.25"/>
    <row r="139672" customFormat="1" x14ac:dyDescent="0.25"/>
    <row r="139673" customFormat="1" x14ac:dyDescent="0.25"/>
    <row r="139674" customFormat="1" x14ac:dyDescent="0.25"/>
    <row r="139675" customFormat="1" x14ac:dyDescent="0.25"/>
    <row r="139676" customFormat="1" x14ac:dyDescent="0.25"/>
    <row r="139677" customFormat="1" x14ac:dyDescent="0.25"/>
    <row r="139678" customFormat="1" x14ac:dyDescent="0.25"/>
    <row r="139679" customFormat="1" x14ac:dyDescent="0.25"/>
    <row r="139680" customFormat="1" x14ac:dyDescent="0.25"/>
    <row r="139681" customFormat="1" x14ac:dyDescent="0.25"/>
    <row r="139682" customFormat="1" x14ac:dyDescent="0.25"/>
    <row r="139683" customFormat="1" x14ac:dyDescent="0.25"/>
    <row r="139684" customFormat="1" x14ac:dyDescent="0.25"/>
    <row r="139685" customFormat="1" x14ac:dyDescent="0.25"/>
    <row r="139686" customFormat="1" x14ac:dyDescent="0.25"/>
    <row r="139687" customFormat="1" x14ac:dyDescent="0.25"/>
    <row r="139688" customFormat="1" x14ac:dyDescent="0.25"/>
    <row r="139689" customFormat="1" x14ac:dyDescent="0.25"/>
    <row r="139690" customFormat="1" x14ac:dyDescent="0.25"/>
    <row r="139691" customFormat="1" x14ac:dyDescent="0.25"/>
    <row r="139692" customFormat="1" x14ac:dyDescent="0.25"/>
    <row r="139693" customFormat="1" x14ac:dyDescent="0.25"/>
    <row r="139694" customFormat="1" x14ac:dyDescent="0.25"/>
    <row r="139695" customFormat="1" x14ac:dyDescent="0.25"/>
    <row r="139696" customFormat="1" x14ac:dyDescent="0.25"/>
    <row r="139697" customFormat="1" x14ac:dyDescent="0.25"/>
    <row r="139698" customFormat="1" x14ac:dyDescent="0.25"/>
    <row r="139699" customFormat="1" x14ac:dyDescent="0.25"/>
    <row r="139700" customFormat="1" x14ac:dyDescent="0.25"/>
    <row r="139701" customFormat="1" x14ac:dyDescent="0.25"/>
    <row r="139702" customFormat="1" x14ac:dyDescent="0.25"/>
    <row r="139703" customFormat="1" x14ac:dyDescent="0.25"/>
    <row r="139704" customFormat="1" x14ac:dyDescent="0.25"/>
    <row r="139705" customFormat="1" x14ac:dyDescent="0.25"/>
    <row r="139706" customFormat="1" x14ac:dyDescent="0.25"/>
    <row r="139707" customFormat="1" x14ac:dyDescent="0.25"/>
    <row r="139708" customFormat="1" x14ac:dyDescent="0.25"/>
    <row r="139709" customFormat="1" x14ac:dyDescent="0.25"/>
    <row r="139710" customFormat="1" x14ac:dyDescent="0.25"/>
    <row r="139711" customFormat="1" x14ac:dyDescent="0.25"/>
    <row r="139712" customFormat="1" x14ac:dyDescent="0.25"/>
    <row r="139713" customFormat="1" x14ac:dyDescent="0.25"/>
    <row r="139714" customFormat="1" x14ac:dyDescent="0.25"/>
    <row r="139715" customFormat="1" x14ac:dyDescent="0.25"/>
    <row r="139716" customFormat="1" x14ac:dyDescent="0.25"/>
    <row r="139717" customFormat="1" x14ac:dyDescent="0.25"/>
    <row r="139718" customFormat="1" x14ac:dyDescent="0.25"/>
    <row r="139719" customFormat="1" x14ac:dyDescent="0.25"/>
    <row r="139720" customFormat="1" x14ac:dyDescent="0.25"/>
    <row r="139721" customFormat="1" x14ac:dyDescent="0.25"/>
    <row r="139722" customFormat="1" x14ac:dyDescent="0.25"/>
    <row r="139723" customFormat="1" x14ac:dyDescent="0.25"/>
    <row r="139724" customFormat="1" x14ac:dyDescent="0.25"/>
    <row r="139725" customFormat="1" x14ac:dyDescent="0.25"/>
    <row r="139726" customFormat="1" x14ac:dyDescent="0.25"/>
    <row r="139727" customFormat="1" x14ac:dyDescent="0.25"/>
    <row r="139728" customFormat="1" x14ac:dyDescent="0.25"/>
    <row r="139729" customFormat="1" x14ac:dyDescent="0.25"/>
    <row r="139730" customFormat="1" x14ac:dyDescent="0.25"/>
    <row r="139731" customFormat="1" x14ac:dyDescent="0.25"/>
    <row r="139732" customFormat="1" x14ac:dyDescent="0.25"/>
    <row r="139733" customFormat="1" x14ac:dyDescent="0.25"/>
    <row r="139734" customFormat="1" x14ac:dyDescent="0.25"/>
    <row r="139735" customFormat="1" x14ac:dyDescent="0.25"/>
    <row r="139736" customFormat="1" x14ac:dyDescent="0.25"/>
    <row r="139737" customFormat="1" x14ac:dyDescent="0.25"/>
    <row r="139738" customFormat="1" x14ac:dyDescent="0.25"/>
    <row r="139739" customFormat="1" x14ac:dyDescent="0.25"/>
    <row r="139740" customFormat="1" x14ac:dyDescent="0.25"/>
    <row r="139741" customFormat="1" x14ac:dyDescent="0.25"/>
    <row r="139742" customFormat="1" x14ac:dyDescent="0.25"/>
    <row r="139743" customFormat="1" x14ac:dyDescent="0.25"/>
    <row r="139744" customFormat="1" x14ac:dyDescent="0.25"/>
    <row r="139745" customFormat="1" x14ac:dyDescent="0.25"/>
    <row r="139746" customFormat="1" x14ac:dyDescent="0.25"/>
    <row r="139747" customFormat="1" x14ac:dyDescent="0.25"/>
    <row r="139748" customFormat="1" x14ac:dyDescent="0.25"/>
    <row r="139749" customFormat="1" x14ac:dyDescent="0.25"/>
    <row r="139750" customFormat="1" x14ac:dyDescent="0.25"/>
    <row r="139751" customFormat="1" x14ac:dyDescent="0.25"/>
    <row r="139752" customFormat="1" x14ac:dyDescent="0.25"/>
    <row r="139753" customFormat="1" x14ac:dyDescent="0.25"/>
    <row r="139754" customFormat="1" x14ac:dyDescent="0.25"/>
    <row r="139755" customFormat="1" x14ac:dyDescent="0.25"/>
    <row r="139756" customFormat="1" x14ac:dyDescent="0.25"/>
    <row r="139757" customFormat="1" x14ac:dyDescent="0.25"/>
    <row r="139758" customFormat="1" x14ac:dyDescent="0.25"/>
    <row r="139759" customFormat="1" x14ac:dyDescent="0.25"/>
    <row r="139760" customFormat="1" x14ac:dyDescent="0.25"/>
    <row r="139761" customFormat="1" x14ac:dyDescent="0.25"/>
    <row r="139762" customFormat="1" x14ac:dyDescent="0.25"/>
    <row r="139763" customFormat="1" x14ac:dyDescent="0.25"/>
    <row r="139764" customFormat="1" x14ac:dyDescent="0.25"/>
    <row r="139765" customFormat="1" x14ac:dyDescent="0.25"/>
    <row r="139766" customFormat="1" x14ac:dyDescent="0.25"/>
    <row r="139767" customFormat="1" x14ac:dyDescent="0.25"/>
    <row r="139768" customFormat="1" x14ac:dyDescent="0.25"/>
    <row r="139769" customFormat="1" x14ac:dyDescent="0.25"/>
    <row r="139770" customFormat="1" x14ac:dyDescent="0.25"/>
    <row r="139771" customFormat="1" x14ac:dyDescent="0.25"/>
    <row r="139772" customFormat="1" x14ac:dyDescent="0.25"/>
    <row r="139773" customFormat="1" x14ac:dyDescent="0.25"/>
    <row r="139774" customFormat="1" x14ac:dyDescent="0.25"/>
    <row r="139775" customFormat="1" x14ac:dyDescent="0.25"/>
    <row r="139776" customFormat="1" x14ac:dyDescent="0.25"/>
    <row r="139777" customFormat="1" x14ac:dyDescent="0.25"/>
    <row r="139778" customFormat="1" x14ac:dyDescent="0.25"/>
    <row r="139779" customFormat="1" x14ac:dyDescent="0.25"/>
    <row r="139780" customFormat="1" x14ac:dyDescent="0.25"/>
    <row r="139781" customFormat="1" x14ac:dyDescent="0.25"/>
    <row r="139782" customFormat="1" x14ac:dyDescent="0.25"/>
    <row r="139783" customFormat="1" x14ac:dyDescent="0.25"/>
    <row r="139784" customFormat="1" x14ac:dyDescent="0.25"/>
    <row r="139785" customFormat="1" x14ac:dyDescent="0.25"/>
    <row r="139786" customFormat="1" x14ac:dyDescent="0.25"/>
    <row r="139787" customFormat="1" x14ac:dyDescent="0.25"/>
    <row r="139788" customFormat="1" x14ac:dyDescent="0.25"/>
    <row r="139789" customFormat="1" x14ac:dyDescent="0.25"/>
    <row r="139790" customFormat="1" x14ac:dyDescent="0.25"/>
    <row r="139791" customFormat="1" x14ac:dyDescent="0.25"/>
    <row r="139792" customFormat="1" x14ac:dyDescent="0.25"/>
    <row r="139793" customFormat="1" x14ac:dyDescent="0.25"/>
    <row r="139794" customFormat="1" x14ac:dyDescent="0.25"/>
    <row r="139795" customFormat="1" x14ac:dyDescent="0.25"/>
    <row r="139796" customFormat="1" x14ac:dyDescent="0.25"/>
    <row r="139797" customFormat="1" x14ac:dyDescent="0.25"/>
    <row r="139798" customFormat="1" x14ac:dyDescent="0.25"/>
    <row r="139799" customFormat="1" x14ac:dyDescent="0.25"/>
    <row r="139800" customFormat="1" x14ac:dyDescent="0.25"/>
    <row r="139801" customFormat="1" x14ac:dyDescent="0.25"/>
    <row r="139802" customFormat="1" x14ac:dyDescent="0.25"/>
    <row r="139803" customFormat="1" x14ac:dyDescent="0.25"/>
    <row r="139804" customFormat="1" x14ac:dyDescent="0.25"/>
    <row r="139805" customFormat="1" x14ac:dyDescent="0.25"/>
    <row r="139806" customFormat="1" x14ac:dyDescent="0.25"/>
    <row r="139807" customFormat="1" x14ac:dyDescent="0.25"/>
    <row r="139808" customFormat="1" x14ac:dyDescent="0.25"/>
    <row r="139809" customFormat="1" x14ac:dyDescent="0.25"/>
    <row r="139810" customFormat="1" x14ac:dyDescent="0.25"/>
    <row r="139811" customFormat="1" x14ac:dyDescent="0.25"/>
    <row r="139812" customFormat="1" x14ac:dyDescent="0.25"/>
    <row r="139813" customFormat="1" x14ac:dyDescent="0.25"/>
    <row r="139814" customFormat="1" x14ac:dyDescent="0.25"/>
    <row r="139815" customFormat="1" x14ac:dyDescent="0.25"/>
    <row r="139816" customFormat="1" x14ac:dyDescent="0.25"/>
    <row r="139817" customFormat="1" x14ac:dyDescent="0.25"/>
    <row r="139818" customFormat="1" x14ac:dyDescent="0.25"/>
    <row r="139819" customFormat="1" x14ac:dyDescent="0.25"/>
    <row r="139820" customFormat="1" x14ac:dyDescent="0.25"/>
    <row r="139821" customFormat="1" x14ac:dyDescent="0.25"/>
    <row r="139822" customFormat="1" x14ac:dyDescent="0.25"/>
    <row r="139823" customFormat="1" x14ac:dyDescent="0.25"/>
    <row r="139824" customFormat="1" x14ac:dyDescent="0.25"/>
    <row r="139825" customFormat="1" x14ac:dyDescent="0.25"/>
    <row r="139826" customFormat="1" x14ac:dyDescent="0.25"/>
    <row r="139827" customFormat="1" x14ac:dyDescent="0.25"/>
    <row r="139828" customFormat="1" x14ac:dyDescent="0.25"/>
    <row r="139829" customFormat="1" x14ac:dyDescent="0.25"/>
    <row r="139830" customFormat="1" x14ac:dyDescent="0.25"/>
    <row r="139831" customFormat="1" x14ac:dyDescent="0.25"/>
    <row r="139832" customFormat="1" x14ac:dyDescent="0.25"/>
    <row r="139833" customFormat="1" x14ac:dyDescent="0.25"/>
    <row r="139834" customFormat="1" x14ac:dyDescent="0.25"/>
    <row r="139835" customFormat="1" x14ac:dyDescent="0.25"/>
    <row r="139836" customFormat="1" x14ac:dyDescent="0.25"/>
    <row r="139837" customFormat="1" x14ac:dyDescent="0.25"/>
    <row r="139838" customFormat="1" x14ac:dyDescent="0.25"/>
    <row r="139839" customFormat="1" x14ac:dyDescent="0.25"/>
    <row r="139840" customFormat="1" x14ac:dyDescent="0.25"/>
    <row r="139841" customFormat="1" x14ac:dyDescent="0.25"/>
    <row r="139842" customFormat="1" x14ac:dyDescent="0.25"/>
    <row r="139843" customFormat="1" x14ac:dyDescent="0.25"/>
    <row r="139844" customFormat="1" x14ac:dyDescent="0.25"/>
    <row r="139845" customFormat="1" x14ac:dyDescent="0.25"/>
    <row r="139846" customFormat="1" x14ac:dyDescent="0.25"/>
    <row r="139847" customFormat="1" x14ac:dyDescent="0.25"/>
    <row r="139848" customFormat="1" x14ac:dyDescent="0.25"/>
    <row r="139849" customFormat="1" x14ac:dyDescent="0.25"/>
    <row r="139850" customFormat="1" x14ac:dyDescent="0.25"/>
    <row r="139851" customFormat="1" x14ac:dyDescent="0.25"/>
    <row r="139852" customFormat="1" x14ac:dyDescent="0.25"/>
    <row r="139853" customFormat="1" x14ac:dyDescent="0.25"/>
    <row r="139854" customFormat="1" x14ac:dyDescent="0.25"/>
    <row r="139855" customFormat="1" x14ac:dyDescent="0.25"/>
    <row r="139856" customFormat="1" x14ac:dyDescent="0.25"/>
    <row r="139857" customFormat="1" x14ac:dyDescent="0.25"/>
    <row r="139858" customFormat="1" x14ac:dyDescent="0.25"/>
    <row r="139859" customFormat="1" x14ac:dyDescent="0.25"/>
    <row r="139860" customFormat="1" x14ac:dyDescent="0.25"/>
    <row r="139861" customFormat="1" x14ac:dyDescent="0.25"/>
    <row r="139862" customFormat="1" x14ac:dyDescent="0.25"/>
    <row r="139863" customFormat="1" x14ac:dyDescent="0.25"/>
    <row r="139864" customFormat="1" x14ac:dyDescent="0.25"/>
    <row r="139865" customFormat="1" x14ac:dyDescent="0.25"/>
    <row r="139866" customFormat="1" x14ac:dyDescent="0.25"/>
    <row r="139867" customFormat="1" x14ac:dyDescent="0.25"/>
    <row r="139868" customFormat="1" x14ac:dyDescent="0.25"/>
    <row r="139869" customFormat="1" x14ac:dyDescent="0.25"/>
    <row r="139870" customFormat="1" x14ac:dyDescent="0.25"/>
    <row r="139871" customFormat="1" x14ac:dyDescent="0.25"/>
    <row r="139872" customFormat="1" x14ac:dyDescent="0.25"/>
    <row r="139873" customFormat="1" x14ac:dyDescent="0.25"/>
    <row r="139874" customFormat="1" x14ac:dyDescent="0.25"/>
    <row r="139875" customFormat="1" x14ac:dyDescent="0.25"/>
    <row r="139876" customFormat="1" x14ac:dyDescent="0.25"/>
    <row r="139877" customFormat="1" x14ac:dyDescent="0.25"/>
    <row r="139878" customFormat="1" x14ac:dyDescent="0.25"/>
    <row r="139879" customFormat="1" x14ac:dyDescent="0.25"/>
    <row r="139880" customFormat="1" x14ac:dyDescent="0.25"/>
    <row r="139881" customFormat="1" x14ac:dyDescent="0.25"/>
    <row r="139882" customFormat="1" x14ac:dyDescent="0.25"/>
    <row r="139883" customFormat="1" x14ac:dyDescent="0.25"/>
    <row r="139884" customFormat="1" x14ac:dyDescent="0.25"/>
    <row r="139885" customFormat="1" x14ac:dyDescent="0.25"/>
    <row r="139886" customFormat="1" x14ac:dyDescent="0.25"/>
    <row r="139887" customFormat="1" x14ac:dyDescent="0.25"/>
    <row r="139888" customFormat="1" x14ac:dyDescent="0.25"/>
    <row r="139889" customFormat="1" x14ac:dyDescent="0.25"/>
    <row r="139890" customFormat="1" x14ac:dyDescent="0.25"/>
    <row r="139891" customFormat="1" x14ac:dyDescent="0.25"/>
    <row r="139892" customFormat="1" x14ac:dyDescent="0.25"/>
    <row r="139893" customFormat="1" x14ac:dyDescent="0.25"/>
    <row r="139894" customFormat="1" x14ac:dyDescent="0.25"/>
    <row r="139895" customFormat="1" x14ac:dyDescent="0.25"/>
    <row r="139896" customFormat="1" x14ac:dyDescent="0.25"/>
    <row r="139897" customFormat="1" x14ac:dyDescent="0.25"/>
    <row r="139898" customFormat="1" x14ac:dyDescent="0.25"/>
    <row r="139899" customFormat="1" x14ac:dyDescent="0.25"/>
    <row r="139900" customFormat="1" x14ac:dyDescent="0.25"/>
    <row r="139901" customFormat="1" x14ac:dyDescent="0.25"/>
    <row r="139902" customFormat="1" x14ac:dyDescent="0.25"/>
    <row r="139903" customFormat="1" x14ac:dyDescent="0.25"/>
    <row r="139904" customFormat="1" x14ac:dyDescent="0.25"/>
    <row r="139905" customFormat="1" x14ac:dyDescent="0.25"/>
    <row r="139906" customFormat="1" x14ac:dyDescent="0.25"/>
    <row r="139907" customFormat="1" x14ac:dyDescent="0.25"/>
    <row r="139908" customFormat="1" x14ac:dyDescent="0.25"/>
    <row r="139909" customFormat="1" x14ac:dyDescent="0.25"/>
    <row r="139910" customFormat="1" x14ac:dyDescent="0.25"/>
    <row r="139911" customFormat="1" x14ac:dyDescent="0.25"/>
    <row r="139912" customFormat="1" x14ac:dyDescent="0.25"/>
    <row r="139913" customFormat="1" x14ac:dyDescent="0.25"/>
    <row r="139914" customFormat="1" x14ac:dyDescent="0.25"/>
    <row r="139915" customFormat="1" x14ac:dyDescent="0.25"/>
    <row r="139916" customFormat="1" x14ac:dyDescent="0.25"/>
    <row r="139917" customFormat="1" x14ac:dyDescent="0.25"/>
    <row r="139918" customFormat="1" x14ac:dyDescent="0.25"/>
    <row r="139919" customFormat="1" x14ac:dyDescent="0.25"/>
    <row r="139920" customFormat="1" x14ac:dyDescent="0.25"/>
    <row r="139921" customFormat="1" x14ac:dyDescent="0.25"/>
    <row r="139922" customFormat="1" x14ac:dyDescent="0.25"/>
    <row r="139923" customFormat="1" x14ac:dyDescent="0.25"/>
    <row r="139924" customFormat="1" x14ac:dyDescent="0.25"/>
    <row r="139925" customFormat="1" x14ac:dyDescent="0.25"/>
    <row r="139926" customFormat="1" x14ac:dyDescent="0.25"/>
    <row r="139927" customFormat="1" x14ac:dyDescent="0.25"/>
    <row r="139928" customFormat="1" x14ac:dyDescent="0.25"/>
    <row r="139929" customFormat="1" x14ac:dyDescent="0.25"/>
    <row r="139930" customFormat="1" x14ac:dyDescent="0.25"/>
    <row r="139931" customFormat="1" x14ac:dyDescent="0.25"/>
    <row r="139932" customFormat="1" x14ac:dyDescent="0.25"/>
    <row r="139933" customFormat="1" x14ac:dyDescent="0.25"/>
    <row r="139934" customFormat="1" x14ac:dyDescent="0.25"/>
    <row r="139935" customFormat="1" x14ac:dyDescent="0.25"/>
    <row r="139936" customFormat="1" x14ac:dyDescent="0.25"/>
    <row r="139937" customFormat="1" x14ac:dyDescent="0.25"/>
    <row r="139938" customFormat="1" x14ac:dyDescent="0.25"/>
    <row r="139939" customFormat="1" x14ac:dyDescent="0.25"/>
    <row r="139940" customFormat="1" x14ac:dyDescent="0.25"/>
    <row r="139941" customFormat="1" x14ac:dyDescent="0.25"/>
    <row r="139942" customFormat="1" x14ac:dyDescent="0.25"/>
    <row r="139943" customFormat="1" x14ac:dyDescent="0.25"/>
    <row r="139944" customFormat="1" x14ac:dyDescent="0.25"/>
    <row r="139945" customFormat="1" x14ac:dyDescent="0.25"/>
    <row r="139946" customFormat="1" x14ac:dyDescent="0.25"/>
    <row r="139947" customFormat="1" x14ac:dyDescent="0.25"/>
    <row r="139948" customFormat="1" x14ac:dyDescent="0.25"/>
    <row r="139949" customFormat="1" x14ac:dyDescent="0.25"/>
    <row r="139950" customFormat="1" x14ac:dyDescent="0.25"/>
    <row r="139951" customFormat="1" x14ac:dyDescent="0.25"/>
    <row r="139952" customFormat="1" x14ac:dyDescent="0.25"/>
    <row r="139953" customFormat="1" x14ac:dyDescent="0.25"/>
    <row r="139954" customFormat="1" x14ac:dyDescent="0.25"/>
    <row r="139955" customFormat="1" x14ac:dyDescent="0.25"/>
    <row r="139956" customFormat="1" x14ac:dyDescent="0.25"/>
    <row r="139957" customFormat="1" x14ac:dyDescent="0.25"/>
    <row r="139958" customFormat="1" x14ac:dyDescent="0.25"/>
    <row r="139959" customFormat="1" x14ac:dyDescent="0.25"/>
    <row r="139960" customFormat="1" x14ac:dyDescent="0.25"/>
    <row r="139961" customFormat="1" x14ac:dyDescent="0.25"/>
    <row r="139962" customFormat="1" x14ac:dyDescent="0.25"/>
    <row r="139963" customFormat="1" x14ac:dyDescent="0.25"/>
    <row r="139964" customFormat="1" x14ac:dyDescent="0.25"/>
    <row r="139965" customFormat="1" x14ac:dyDescent="0.25"/>
    <row r="139966" customFormat="1" x14ac:dyDescent="0.25"/>
    <row r="139967" customFormat="1" x14ac:dyDescent="0.25"/>
    <row r="139968" customFormat="1" x14ac:dyDescent="0.25"/>
    <row r="139969" customFormat="1" x14ac:dyDescent="0.25"/>
    <row r="139970" customFormat="1" x14ac:dyDescent="0.25"/>
    <row r="139971" customFormat="1" x14ac:dyDescent="0.25"/>
    <row r="139972" customFormat="1" x14ac:dyDescent="0.25"/>
    <row r="139973" customFormat="1" x14ac:dyDescent="0.25"/>
    <row r="139974" customFormat="1" x14ac:dyDescent="0.25"/>
    <row r="139975" customFormat="1" x14ac:dyDescent="0.25"/>
    <row r="139976" customFormat="1" x14ac:dyDescent="0.25"/>
    <row r="139977" customFormat="1" x14ac:dyDescent="0.25"/>
    <row r="139978" customFormat="1" x14ac:dyDescent="0.25"/>
    <row r="139979" customFormat="1" x14ac:dyDescent="0.25"/>
    <row r="139980" customFormat="1" x14ac:dyDescent="0.25"/>
    <row r="139981" customFormat="1" x14ac:dyDescent="0.25"/>
    <row r="139982" customFormat="1" x14ac:dyDescent="0.25"/>
    <row r="139983" customFormat="1" x14ac:dyDescent="0.25"/>
    <row r="139984" customFormat="1" x14ac:dyDescent="0.25"/>
    <row r="139985" customFormat="1" x14ac:dyDescent="0.25"/>
    <row r="139986" customFormat="1" x14ac:dyDescent="0.25"/>
    <row r="139987" customFormat="1" x14ac:dyDescent="0.25"/>
    <row r="139988" customFormat="1" x14ac:dyDescent="0.25"/>
    <row r="139989" customFormat="1" x14ac:dyDescent="0.25"/>
    <row r="139990" customFormat="1" x14ac:dyDescent="0.25"/>
    <row r="139991" customFormat="1" x14ac:dyDescent="0.25"/>
    <row r="139992" customFormat="1" x14ac:dyDescent="0.25"/>
    <row r="139993" customFormat="1" x14ac:dyDescent="0.25"/>
    <row r="139994" customFormat="1" x14ac:dyDescent="0.25"/>
    <row r="139995" customFormat="1" x14ac:dyDescent="0.25"/>
    <row r="139996" customFormat="1" x14ac:dyDescent="0.25"/>
    <row r="139997" customFormat="1" x14ac:dyDescent="0.25"/>
    <row r="139998" customFormat="1" x14ac:dyDescent="0.25"/>
    <row r="139999" customFormat="1" x14ac:dyDescent="0.25"/>
    <row r="140000" customFormat="1" x14ac:dyDescent="0.25"/>
    <row r="140001" customFormat="1" x14ac:dyDescent="0.25"/>
    <row r="140002" customFormat="1" x14ac:dyDescent="0.25"/>
    <row r="140003" customFormat="1" x14ac:dyDescent="0.25"/>
    <row r="140004" customFormat="1" x14ac:dyDescent="0.25"/>
    <row r="140005" customFormat="1" x14ac:dyDescent="0.25"/>
    <row r="140006" customFormat="1" x14ac:dyDescent="0.25"/>
    <row r="140007" customFormat="1" x14ac:dyDescent="0.25"/>
    <row r="140008" customFormat="1" x14ac:dyDescent="0.25"/>
    <row r="140009" customFormat="1" x14ac:dyDescent="0.25"/>
    <row r="140010" customFormat="1" x14ac:dyDescent="0.25"/>
    <row r="140011" customFormat="1" x14ac:dyDescent="0.25"/>
    <row r="140012" customFormat="1" x14ac:dyDescent="0.25"/>
    <row r="140013" customFormat="1" x14ac:dyDescent="0.25"/>
    <row r="140014" customFormat="1" x14ac:dyDescent="0.25"/>
    <row r="140015" customFormat="1" x14ac:dyDescent="0.25"/>
    <row r="140016" customFormat="1" x14ac:dyDescent="0.25"/>
    <row r="140017" customFormat="1" x14ac:dyDescent="0.25"/>
    <row r="140018" customFormat="1" x14ac:dyDescent="0.25"/>
    <row r="140019" customFormat="1" x14ac:dyDescent="0.25"/>
    <row r="140020" customFormat="1" x14ac:dyDescent="0.25"/>
    <row r="140021" customFormat="1" x14ac:dyDescent="0.25"/>
    <row r="140022" customFormat="1" x14ac:dyDescent="0.25"/>
    <row r="140023" customFormat="1" x14ac:dyDescent="0.25"/>
    <row r="140024" customFormat="1" x14ac:dyDescent="0.25"/>
    <row r="140025" customFormat="1" x14ac:dyDescent="0.25"/>
    <row r="140026" customFormat="1" x14ac:dyDescent="0.25"/>
    <row r="140027" customFormat="1" x14ac:dyDescent="0.25"/>
    <row r="140028" customFormat="1" x14ac:dyDescent="0.25"/>
    <row r="140029" customFormat="1" x14ac:dyDescent="0.25"/>
    <row r="140030" customFormat="1" x14ac:dyDescent="0.25"/>
    <row r="140031" customFormat="1" x14ac:dyDescent="0.25"/>
    <row r="140032" customFormat="1" x14ac:dyDescent="0.25"/>
    <row r="140033" customFormat="1" x14ac:dyDescent="0.25"/>
    <row r="140034" customFormat="1" x14ac:dyDescent="0.25"/>
    <row r="140035" customFormat="1" x14ac:dyDescent="0.25"/>
    <row r="140036" customFormat="1" x14ac:dyDescent="0.25"/>
    <row r="140037" customFormat="1" x14ac:dyDescent="0.25"/>
    <row r="140038" customFormat="1" x14ac:dyDescent="0.25"/>
    <row r="140039" customFormat="1" x14ac:dyDescent="0.25"/>
    <row r="140040" customFormat="1" x14ac:dyDescent="0.25"/>
    <row r="140041" customFormat="1" x14ac:dyDescent="0.25"/>
    <row r="140042" customFormat="1" x14ac:dyDescent="0.25"/>
    <row r="140043" customFormat="1" x14ac:dyDescent="0.25"/>
    <row r="140044" customFormat="1" x14ac:dyDescent="0.25"/>
    <row r="140045" customFormat="1" x14ac:dyDescent="0.25"/>
    <row r="140046" customFormat="1" x14ac:dyDescent="0.25"/>
    <row r="140047" customFormat="1" x14ac:dyDescent="0.25"/>
    <row r="140048" customFormat="1" x14ac:dyDescent="0.25"/>
    <row r="140049" customFormat="1" x14ac:dyDescent="0.25"/>
    <row r="140050" customFormat="1" x14ac:dyDescent="0.25"/>
    <row r="140051" customFormat="1" x14ac:dyDescent="0.25"/>
    <row r="140052" customFormat="1" x14ac:dyDescent="0.25"/>
    <row r="140053" customFormat="1" x14ac:dyDescent="0.25"/>
    <row r="140054" customFormat="1" x14ac:dyDescent="0.25"/>
    <row r="140055" customFormat="1" x14ac:dyDescent="0.25"/>
    <row r="140056" customFormat="1" x14ac:dyDescent="0.25"/>
    <row r="140057" customFormat="1" x14ac:dyDescent="0.25"/>
    <row r="140058" customFormat="1" x14ac:dyDescent="0.25"/>
    <row r="140059" customFormat="1" x14ac:dyDescent="0.25"/>
    <row r="140060" customFormat="1" x14ac:dyDescent="0.25"/>
    <row r="140061" customFormat="1" x14ac:dyDescent="0.25"/>
    <row r="140062" customFormat="1" x14ac:dyDescent="0.25"/>
    <row r="140063" customFormat="1" x14ac:dyDescent="0.25"/>
    <row r="140064" customFormat="1" x14ac:dyDescent="0.25"/>
    <row r="140065" customFormat="1" x14ac:dyDescent="0.25"/>
    <row r="140066" customFormat="1" x14ac:dyDescent="0.25"/>
    <row r="140067" customFormat="1" x14ac:dyDescent="0.25"/>
    <row r="140068" customFormat="1" x14ac:dyDescent="0.25"/>
    <row r="140069" customFormat="1" x14ac:dyDescent="0.25"/>
    <row r="140070" customFormat="1" x14ac:dyDescent="0.25"/>
    <row r="140071" customFormat="1" x14ac:dyDescent="0.25"/>
    <row r="140072" customFormat="1" x14ac:dyDescent="0.25"/>
    <row r="140073" customFormat="1" x14ac:dyDescent="0.25"/>
    <row r="140074" customFormat="1" x14ac:dyDescent="0.25"/>
    <row r="140075" customFormat="1" x14ac:dyDescent="0.25"/>
    <row r="140076" customFormat="1" x14ac:dyDescent="0.25"/>
    <row r="140077" customFormat="1" x14ac:dyDescent="0.25"/>
    <row r="140078" customFormat="1" x14ac:dyDescent="0.25"/>
    <row r="140079" customFormat="1" x14ac:dyDescent="0.25"/>
    <row r="140080" customFormat="1" x14ac:dyDescent="0.25"/>
    <row r="140081" customFormat="1" x14ac:dyDescent="0.25"/>
    <row r="140082" customFormat="1" x14ac:dyDescent="0.25"/>
    <row r="140083" customFormat="1" x14ac:dyDescent="0.25"/>
    <row r="140084" customFormat="1" x14ac:dyDescent="0.25"/>
    <row r="140085" customFormat="1" x14ac:dyDescent="0.25"/>
    <row r="140086" customFormat="1" x14ac:dyDescent="0.25"/>
    <row r="140087" customFormat="1" x14ac:dyDescent="0.25"/>
    <row r="140088" customFormat="1" x14ac:dyDescent="0.25"/>
    <row r="140089" customFormat="1" x14ac:dyDescent="0.25"/>
    <row r="140090" customFormat="1" x14ac:dyDescent="0.25"/>
    <row r="140091" customFormat="1" x14ac:dyDescent="0.25"/>
    <row r="140092" customFormat="1" x14ac:dyDescent="0.25"/>
    <row r="140093" customFormat="1" x14ac:dyDescent="0.25"/>
    <row r="140094" customFormat="1" x14ac:dyDescent="0.25"/>
    <row r="140095" customFormat="1" x14ac:dyDescent="0.25"/>
    <row r="140096" customFormat="1" x14ac:dyDescent="0.25"/>
    <row r="140097" customFormat="1" x14ac:dyDescent="0.25"/>
    <row r="140098" customFormat="1" x14ac:dyDescent="0.25"/>
    <row r="140099" customFormat="1" x14ac:dyDescent="0.25"/>
    <row r="140100" customFormat="1" x14ac:dyDescent="0.25"/>
    <row r="140101" customFormat="1" x14ac:dyDescent="0.25"/>
    <row r="140102" customFormat="1" x14ac:dyDescent="0.25"/>
    <row r="140103" customFormat="1" x14ac:dyDescent="0.25"/>
    <row r="140104" customFormat="1" x14ac:dyDescent="0.25"/>
    <row r="140105" customFormat="1" x14ac:dyDescent="0.25"/>
    <row r="140106" customFormat="1" x14ac:dyDescent="0.25"/>
    <row r="140107" customFormat="1" x14ac:dyDescent="0.25"/>
    <row r="140108" customFormat="1" x14ac:dyDescent="0.25"/>
    <row r="140109" customFormat="1" x14ac:dyDescent="0.25"/>
    <row r="140110" customFormat="1" x14ac:dyDescent="0.25"/>
    <row r="140111" customFormat="1" x14ac:dyDescent="0.25"/>
    <row r="140112" customFormat="1" x14ac:dyDescent="0.25"/>
    <row r="140113" customFormat="1" x14ac:dyDescent="0.25"/>
    <row r="140114" customFormat="1" x14ac:dyDescent="0.25"/>
    <row r="140115" customFormat="1" x14ac:dyDescent="0.25"/>
    <row r="140116" customFormat="1" x14ac:dyDescent="0.25"/>
    <row r="140117" customFormat="1" x14ac:dyDescent="0.25"/>
    <row r="140118" customFormat="1" x14ac:dyDescent="0.25"/>
    <row r="140119" customFormat="1" x14ac:dyDescent="0.25"/>
    <row r="140120" customFormat="1" x14ac:dyDescent="0.25"/>
    <row r="140121" customFormat="1" x14ac:dyDescent="0.25"/>
    <row r="140122" customFormat="1" x14ac:dyDescent="0.25"/>
    <row r="140123" customFormat="1" x14ac:dyDescent="0.25"/>
    <row r="140124" customFormat="1" x14ac:dyDescent="0.25"/>
    <row r="140125" customFormat="1" x14ac:dyDescent="0.25"/>
    <row r="140126" customFormat="1" x14ac:dyDescent="0.25"/>
    <row r="140127" customFormat="1" x14ac:dyDescent="0.25"/>
    <row r="140128" customFormat="1" x14ac:dyDescent="0.25"/>
    <row r="140129" customFormat="1" x14ac:dyDescent="0.25"/>
    <row r="140130" customFormat="1" x14ac:dyDescent="0.25"/>
    <row r="140131" customFormat="1" x14ac:dyDescent="0.25"/>
    <row r="140132" customFormat="1" x14ac:dyDescent="0.25"/>
    <row r="140133" customFormat="1" x14ac:dyDescent="0.25"/>
    <row r="140134" customFormat="1" x14ac:dyDescent="0.25"/>
    <row r="140135" customFormat="1" x14ac:dyDescent="0.25"/>
    <row r="140136" customFormat="1" x14ac:dyDescent="0.25"/>
    <row r="140137" customFormat="1" x14ac:dyDescent="0.25"/>
    <row r="140138" customFormat="1" x14ac:dyDescent="0.25"/>
    <row r="140139" customFormat="1" x14ac:dyDescent="0.25"/>
    <row r="140140" customFormat="1" x14ac:dyDescent="0.25"/>
    <row r="140141" customFormat="1" x14ac:dyDescent="0.25"/>
    <row r="140142" customFormat="1" x14ac:dyDescent="0.25"/>
    <row r="140143" customFormat="1" x14ac:dyDescent="0.25"/>
    <row r="140144" customFormat="1" x14ac:dyDescent="0.25"/>
    <row r="140145" customFormat="1" x14ac:dyDescent="0.25"/>
    <row r="140146" customFormat="1" x14ac:dyDescent="0.25"/>
    <row r="140147" customFormat="1" x14ac:dyDescent="0.25"/>
    <row r="140148" customFormat="1" x14ac:dyDescent="0.25"/>
    <row r="140149" customFormat="1" x14ac:dyDescent="0.25"/>
    <row r="140150" customFormat="1" x14ac:dyDescent="0.25"/>
    <row r="140151" customFormat="1" x14ac:dyDescent="0.25"/>
    <row r="140152" customFormat="1" x14ac:dyDescent="0.25"/>
    <row r="140153" customFormat="1" x14ac:dyDescent="0.25"/>
    <row r="140154" customFormat="1" x14ac:dyDescent="0.25"/>
    <row r="140155" customFormat="1" x14ac:dyDescent="0.25"/>
    <row r="140156" customFormat="1" x14ac:dyDescent="0.25"/>
    <row r="140157" customFormat="1" x14ac:dyDescent="0.25"/>
    <row r="140158" customFormat="1" x14ac:dyDescent="0.25"/>
    <row r="140159" customFormat="1" x14ac:dyDescent="0.25"/>
    <row r="140160" customFormat="1" x14ac:dyDescent="0.25"/>
    <row r="140161" customFormat="1" x14ac:dyDescent="0.25"/>
    <row r="140162" customFormat="1" x14ac:dyDescent="0.25"/>
    <row r="140163" customFormat="1" x14ac:dyDescent="0.25"/>
    <row r="140164" customFormat="1" x14ac:dyDescent="0.25"/>
    <row r="140165" customFormat="1" x14ac:dyDescent="0.25"/>
    <row r="140166" customFormat="1" x14ac:dyDescent="0.25"/>
    <row r="140167" customFormat="1" x14ac:dyDescent="0.25"/>
    <row r="140168" customFormat="1" x14ac:dyDescent="0.25"/>
    <row r="140169" customFormat="1" x14ac:dyDescent="0.25"/>
    <row r="140170" customFormat="1" x14ac:dyDescent="0.25"/>
    <row r="140171" customFormat="1" x14ac:dyDescent="0.25"/>
    <row r="140172" customFormat="1" x14ac:dyDescent="0.25"/>
    <row r="140173" customFormat="1" x14ac:dyDescent="0.25"/>
    <row r="140174" customFormat="1" x14ac:dyDescent="0.25"/>
    <row r="140175" customFormat="1" x14ac:dyDescent="0.25"/>
    <row r="140176" customFormat="1" x14ac:dyDescent="0.25"/>
    <row r="140177" customFormat="1" x14ac:dyDescent="0.25"/>
    <row r="140178" customFormat="1" x14ac:dyDescent="0.25"/>
    <row r="140179" customFormat="1" x14ac:dyDescent="0.25"/>
    <row r="140180" customFormat="1" x14ac:dyDescent="0.25"/>
    <row r="140181" customFormat="1" x14ac:dyDescent="0.25"/>
    <row r="140182" customFormat="1" x14ac:dyDescent="0.25"/>
    <row r="140183" customFormat="1" x14ac:dyDescent="0.25"/>
    <row r="140184" customFormat="1" x14ac:dyDescent="0.25"/>
    <row r="140185" customFormat="1" x14ac:dyDescent="0.25"/>
    <row r="140186" customFormat="1" x14ac:dyDescent="0.25"/>
    <row r="140187" customFormat="1" x14ac:dyDescent="0.25"/>
    <row r="140188" customFormat="1" x14ac:dyDescent="0.25"/>
    <row r="140189" customFormat="1" x14ac:dyDescent="0.25"/>
    <row r="140190" customFormat="1" x14ac:dyDescent="0.25"/>
    <row r="140191" customFormat="1" x14ac:dyDescent="0.25"/>
    <row r="140192" customFormat="1" x14ac:dyDescent="0.25"/>
    <row r="140193" customFormat="1" x14ac:dyDescent="0.25"/>
    <row r="140194" customFormat="1" x14ac:dyDescent="0.25"/>
    <row r="140195" customFormat="1" x14ac:dyDescent="0.25"/>
    <row r="140196" customFormat="1" x14ac:dyDescent="0.25"/>
    <row r="140197" customFormat="1" x14ac:dyDescent="0.25"/>
    <row r="140198" customFormat="1" x14ac:dyDescent="0.25"/>
    <row r="140199" customFormat="1" x14ac:dyDescent="0.25"/>
    <row r="140200" customFormat="1" x14ac:dyDescent="0.25"/>
    <row r="140201" customFormat="1" x14ac:dyDescent="0.25"/>
    <row r="140202" customFormat="1" x14ac:dyDescent="0.25"/>
    <row r="140203" customFormat="1" x14ac:dyDescent="0.25"/>
    <row r="140204" customFormat="1" x14ac:dyDescent="0.25"/>
    <row r="140205" customFormat="1" x14ac:dyDescent="0.25"/>
    <row r="140206" customFormat="1" x14ac:dyDescent="0.25"/>
    <row r="140207" customFormat="1" x14ac:dyDescent="0.25"/>
    <row r="140208" customFormat="1" x14ac:dyDescent="0.25"/>
    <row r="140209" customFormat="1" x14ac:dyDescent="0.25"/>
    <row r="140210" customFormat="1" x14ac:dyDescent="0.25"/>
    <row r="140211" customFormat="1" x14ac:dyDescent="0.25"/>
    <row r="140212" customFormat="1" x14ac:dyDescent="0.25"/>
    <row r="140213" customFormat="1" x14ac:dyDescent="0.25"/>
    <row r="140214" customFormat="1" x14ac:dyDescent="0.25"/>
    <row r="140215" customFormat="1" x14ac:dyDescent="0.25"/>
    <row r="140216" customFormat="1" x14ac:dyDescent="0.25"/>
    <row r="140217" customFormat="1" x14ac:dyDescent="0.25"/>
    <row r="140218" customFormat="1" x14ac:dyDescent="0.25"/>
    <row r="140219" customFormat="1" x14ac:dyDescent="0.25"/>
    <row r="140220" customFormat="1" x14ac:dyDescent="0.25"/>
    <row r="140221" customFormat="1" x14ac:dyDescent="0.25"/>
    <row r="140222" customFormat="1" x14ac:dyDescent="0.25"/>
    <row r="140223" customFormat="1" x14ac:dyDescent="0.25"/>
    <row r="140224" customFormat="1" x14ac:dyDescent="0.25"/>
    <row r="140225" customFormat="1" x14ac:dyDescent="0.25"/>
    <row r="140226" customFormat="1" x14ac:dyDescent="0.25"/>
    <row r="140227" customFormat="1" x14ac:dyDescent="0.25"/>
    <row r="140228" customFormat="1" x14ac:dyDescent="0.25"/>
    <row r="140229" customFormat="1" x14ac:dyDescent="0.25"/>
    <row r="140230" customFormat="1" x14ac:dyDescent="0.25"/>
    <row r="140231" customFormat="1" x14ac:dyDescent="0.25"/>
    <row r="140232" customFormat="1" x14ac:dyDescent="0.25"/>
    <row r="140233" customFormat="1" x14ac:dyDescent="0.25"/>
    <row r="140234" customFormat="1" x14ac:dyDescent="0.25"/>
    <row r="140235" customFormat="1" x14ac:dyDescent="0.25"/>
    <row r="140236" customFormat="1" x14ac:dyDescent="0.25"/>
    <row r="140237" customFormat="1" x14ac:dyDescent="0.25"/>
    <row r="140238" customFormat="1" x14ac:dyDescent="0.25"/>
    <row r="140239" customFormat="1" x14ac:dyDescent="0.25"/>
    <row r="140240" customFormat="1" x14ac:dyDescent="0.25"/>
    <row r="140241" customFormat="1" x14ac:dyDescent="0.25"/>
    <row r="140242" customFormat="1" x14ac:dyDescent="0.25"/>
    <row r="140243" customFormat="1" x14ac:dyDescent="0.25"/>
    <row r="140244" customFormat="1" x14ac:dyDescent="0.25"/>
    <row r="140245" customFormat="1" x14ac:dyDescent="0.25"/>
    <row r="140246" customFormat="1" x14ac:dyDescent="0.25"/>
    <row r="140247" customFormat="1" x14ac:dyDescent="0.25"/>
    <row r="140248" customFormat="1" x14ac:dyDescent="0.25"/>
    <row r="140249" customFormat="1" x14ac:dyDescent="0.25"/>
    <row r="140250" customFormat="1" x14ac:dyDescent="0.25"/>
    <row r="140251" customFormat="1" x14ac:dyDescent="0.25"/>
    <row r="140252" customFormat="1" x14ac:dyDescent="0.25"/>
    <row r="140253" customFormat="1" x14ac:dyDescent="0.25"/>
    <row r="140254" customFormat="1" x14ac:dyDescent="0.25"/>
    <row r="140255" customFormat="1" x14ac:dyDescent="0.25"/>
    <row r="140256" customFormat="1" x14ac:dyDescent="0.25"/>
    <row r="140257" customFormat="1" x14ac:dyDescent="0.25"/>
    <row r="140258" customFormat="1" x14ac:dyDescent="0.25"/>
    <row r="140259" customFormat="1" x14ac:dyDescent="0.25"/>
    <row r="140260" customFormat="1" x14ac:dyDescent="0.25"/>
    <row r="140261" customFormat="1" x14ac:dyDescent="0.25"/>
    <row r="140262" customFormat="1" x14ac:dyDescent="0.25"/>
    <row r="140263" customFormat="1" x14ac:dyDescent="0.25"/>
    <row r="140264" customFormat="1" x14ac:dyDescent="0.25"/>
    <row r="140265" customFormat="1" x14ac:dyDescent="0.25"/>
    <row r="140266" customFormat="1" x14ac:dyDescent="0.25"/>
    <row r="140267" customFormat="1" x14ac:dyDescent="0.25"/>
    <row r="140268" customFormat="1" x14ac:dyDescent="0.25"/>
    <row r="140269" customFormat="1" x14ac:dyDescent="0.25"/>
    <row r="140270" customFormat="1" x14ac:dyDescent="0.25"/>
    <row r="140271" customFormat="1" x14ac:dyDescent="0.25"/>
    <row r="140272" customFormat="1" x14ac:dyDescent="0.25"/>
    <row r="140273" customFormat="1" x14ac:dyDescent="0.25"/>
    <row r="140274" customFormat="1" x14ac:dyDescent="0.25"/>
    <row r="140275" customFormat="1" x14ac:dyDescent="0.25"/>
    <row r="140276" customFormat="1" x14ac:dyDescent="0.25"/>
    <row r="140277" customFormat="1" x14ac:dyDescent="0.25"/>
    <row r="140278" customFormat="1" x14ac:dyDescent="0.25"/>
    <row r="140279" customFormat="1" x14ac:dyDescent="0.25"/>
    <row r="140280" customFormat="1" x14ac:dyDescent="0.25"/>
    <row r="140281" customFormat="1" x14ac:dyDescent="0.25"/>
    <row r="140282" customFormat="1" x14ac:dyDescent="0.25"/>
    <row r="140283" customFormat="1" x14ac:dyDescent="0.25"/>
    <row r="140284" customFormat="1" x14ac:dyDescent="0.25"/>
    <row r="140285" customFormat="1" x14ac:dyDescent="0.25"/>
    <row r="140286" customFormat="1" x14ac:dyDescent="0.25"/>
    <row r="140287" customFormat="1" x14ac:dyDescent="0.25"/>
    <row r="140288" customFormat="1" x14ac:dyDescent="0.25"/>
    <row r="140289" customFormat="1" x14ac:dyDescent="0.25"/>
    <row r="140290" customFormat="1" x14ac:dyDescent="0.25"/>
    <row r="140291" customFormat="1" x14ac:dyDescent="0.25"/>
    <row r="140292" customFormat="1" x14ac:dyDescent="0.25"/>
    <row r="140293" customFormat="1" x14ac:dyDescent="0.25"/>
    <row r="140294" customFormat="1" x14ac:dyDescent="0.25"/>
    <row r="140295" customFormat="1" x14ac:dyDescent="0.25"/>
    <row r="140296" customFormat="1" x14ac:dyDescent="0.25"/>
    <row r="140297" customFormat="1" x14ac:dyDescent="0.25"/>
    <row r="140298" customFormat="1" x14ac:dyDescent="0.25"/>
    <row r="140299" customFormat="1" x14ac:dyDescent="0.25"/>
    <row r="140300" customFormat="1" x14ac:dyDescent="0.25"/>
    <row r="140301" customFormat="1" x14ac:dyDescent="0.25"/>
    <row r="140302" customFormat="1" x14ac:dyDescent="0.25"/>
    <row r="140303" customFormat="1" x14ac:dyDescent="0.25"/>
    <row r="140304" customFormat="1" x14ac:dyDescent="0.25"/>
    <row r="140305" customFormat="1" x14ac:dyDescent="0.25"/>
    <row r="140306" customFormat="1" x14ac:dyDescent="0.25"/>
    <row r="140307" customFormat="1" x14ac:dyDescent="0.25"/>
    <row r="140308" customFormat="1" x14ac:dyDescent="0.25"/>
    <row r="140309" customFormat="1" x14ac:dyDescent="0.25"/>
    <row r="140310" customFormat="1" x14ac:dyDescent="0.25"/>
    <row r="140311" customFormat="1" x14ac:dyDescent="0.25"/>
    <row r="140312" customFormat="1" x14ac:dyDescent="0.25"/>
    <row r="140313" customFormat="1" x14ac:dyDescent="0.25"/>
    <row r="140314" customFormat="1" x14ac:dyDescent="0.25"/>
    <row r="140315" customFormat="1" x14ac:dyDescent="0.25"/>
    <row r="140316" customFormat="1" x14ac:dyDescent="0.25"/>
    <row r="140317" customFormat="1" x14ac:dyDescent="0.25"/>
    <row r="140318" customFormat="1" x14ac:dyDescent="0.25"/>
    <row r="140319" customFormat="1" x14ac:dyDescent="0.25"/>
    <row r="140320" customFormat="1" x14ac:dyDescent="0.25"/>
    <row r="140321" customFormat="1" x14ac:dyDescent="0.25"/>
    <row r="140322" customFormat="1" x14ac:dyDescent="0.25"/>
    <row r="140323" customFormat="1" x14ac:dyDescent="0.25"/>
    <row r="140324" customFormat="1" x14ac:dyDescent="0.25"/>
    <row r="140325" customFormat="1" x14ac:dyDescent="0.25"/>
    <row r="140326" customFormat="1" x14ac:dyDescent="0.25"/>
    <row r="140327" customFormat="1" x14ac:dyDescent="0.25"/>
    <row r="140328" customFormat="1" x14ac:dyDescent="0.25"/>
    <row r="140329" customFormat="1" x14ac:dyDescent="0.25"/>
    <row r="140330" customFormat="1" x14ac:dyDescent="0.25"/>
    <row r="140331" customFormat="1" x14ac:dyDescent="0.25"/>
    <row r="140332" customFormat="1" x14ac:dyDescent="0.25"/>
    <row r="140333" customFormat="1" x14ac:dyDescent="0.25"/>
    <row r="140334" customFormat="1" x14ac:dyDescent="0.25"/>
    <row r="140335" customFormat="1" x14ac:dyDescent="0.25"/>
    <row r="140336" customFormat="1" x14ac:dyDescent="0.25"/>
    <row r="140337" customFormat="1" x14ac:dyDescent="0.25"/>
    <row r="140338" customFormat="1" x14ac:dyDescent="0.25"/>
    <row r="140339" customFormat="1" x14ac:dyDescent="0.25"/>
    <row r="140340" customFormat="1" x14ac:dyDescent="0.25"/>
    <row r="140341" customFormat="1" x14ac:dyDescent="0.25"/>
    <row r="140342" customFormat="1" x14ac:dyDescent="0.25"/>
    <row r="140343" customFormat="1" x14ac:dyDescent="0.25"/>
    <row r="140344" customFormat="1" x14ac:dyDescent="0.25"/>
    <row r="140345" customFormat="1" x14ac:dyDescent="0.25"/>
    <row r="140346" customFormat="1" x14ac:dyDescent="0.25"/>
    <row r="140347" customFormat="1" x14ac:dyDescent="0.25"/>
    <row r="140348" customFormat="1" x14ac:dyDescent="0.25"/>
    <row r="140349" customFormat="1" x14ac:dyDescent="0.25"/>
    <row r="140350" customFormat="1" x14ac:dyDescent="0.25"/>
    <row r="140351" customFormat="1" x14ac:dyDescent="0.25"/>
    <row r="140352" customFormat="1" x14ac:dyDescent="0.25"/>
    <row r="140353" customFormat="1" x14ac:dyDescent="0.25"/>
    <row r="140354" customFormat="1" x14ac:dyDescent="0.25"/>
    <row r="140355" customFormat="1" x14ac:dyDescent="0.25"/>
    <row r="140356" customFormat="1" x14ac:dyDescent="0.25"/>
    <row r="140357" customFormat="1" x14ac:dyDescent="0.25"/>
    <row r="140358" customFormat="1" x14ac:dyDescent="0.25"/>
    <row r="140359" customFormat="1" x14ac:dyDescent="0.25"/>
    <row r="140360" customFormat="1" x14ac:dyDescent="0.25"/>
    <row r="140361" customFormat="1" x14ac:dyDescent="0.25"/>
    <row r="140362" customFormat="1" x14ac:dyDescent="0.25"/>
    <row r="140363" customFormat="1" x14ac:dyDescent="0.25"/>
    <row r="140364" customFormat="1" x14ac:dyDescent="0.25"/>
    <row r="140365" customFormat="1" x14ac:dyDescent="0.25"/>
    <row r="140366" customFormat="1" x14ac:dyDescent="0.25"/>
    <row r="140367" customFormat="1" x14ac:dyDescent="0.25"/>
    <row r="140368" customFormat="1" x14ac:dyDescent="0.25"/>
    <row r="140369" customFormat="1" x14ac:dyDescent="0.25"/>
    <row r="140370" customFormat="1" x14ac:dyDescent="0.25"/>
    <row r="140371" customFormat="1" x14ac:dyDescent="0.25"/>
    <row r="140372" customFormat="1" x14ac:dyDescent="0.25"/>
    <row r="140373" customFormat="1" x14ac:dyDescent="0.25"/>
    <row r="140374" customFormat="1" x14ac:dyDescent="0.25"/>
    <row r="140375" customFormat="1" x14ac:dyDescent="0.25"/>
    <row r="140376" customFormat="1" x14ac:dyDescent="0.25"/>
    <row r="140377" customFormat="1" x14ac:dyDescent="0.25"/>
    <row r="140378" customFormat="1" x14ac:dyDescent="0.25"/>
    <row r="140379" customFormat="1" x14ac:dyDescent="0.25"/>
    <row r="140380" customFormat="1" x14ac:dyDescent="0.25"/>
    <row r="140381" customFormat="1" x14ac:dyDescent="0.25"/>
    <row r="140382" customFormat="1" x14ac:dyDescent="0.25"/>
    <row r="140383" customFormat="1" x14ac:dyDescent="0.25"/>
    <row r="140384" customFormat="1" x14ac:dyDescent="0.25"/>
    <row r="140385" customFormat="1" x14ac:dyDescent="0.25"/>
    <row r="140386" customFormat="1" x14ac:dyDescent="0.25"/>
    <row r="140387" customFormat="1" x14ac:dyDescent="0.25"/>
    <row r="140388" customFormat="1" x14ac:dyDescent="0.25"/>
    <row r="140389" customFormat="1" x14ac:dyDescent="0.25"/>
    <row r="140390" customFormat="1" x14ac:dyDescent="0.25"/>
    <row r="140391" customFormat="1" x14ac:dyDescent="0.25"/>
    <row r="140392" customFormat="1" x14ac:dyDescent="0.25"/>
    <row r="140393" customFormat="1" x14ac:dyDescent="0.25"/>
    <row r="140394" customFormat="1" x14ac:dyDescent="0.25"/>
    <row r="140395" customFormat="1" x14ac:dyDescent="0.25"/>
    <row r="140396" customFormat="1" x14ac:dyDescent="0.25"/>
    <row r="140397" customFormat="1" x14ac:dyDescent="0.25"/>
    <row r="140398" customFormat="1" x14ac:dyDescent="0.25"/>
    <row r="140399" customFormat="1" x14ac:dyDescent="0.25"/>
    <row r="140400" customFormat="1" x14ac:dyDescent="0.25"/>
    <row r="140401" customFormat="1" x14ac:dyDescent="0.25"/>
    <row r="140402" customFormat="1" x14ac:dyDescent="0.25"/>
    <row r="140403" customFormat="1" x14ac:dyDescent="0.25"/>
    <row r="140404" customFormat="1" x14ac:dyDescent="0.25"/>
    <row r="140405" customFormat="1" x14ac:dyDescent="0.25"/>
    <row r="140406" customFormat="1" x14ac:dyDescent="0.25"/>
    <row r="140407" customFormat="1" x14ac:dyDescent="0.25"/>
    <row r="140408" customFormat="1" x14ac:dyDescent="0.25"/>
    <row r="140409" customFormat="1" x14ac:dyDescent="0.25"/>
    <row r="140410" customFormat="1" x14ac:dyDescent="0.25"/>
    <row r="140411" customFormat="1" x14ac:dyDescent="0.25"/>
    <row r="140412" customFormat="1" x14ac:dyDescent="0.25"/>
    <row r="140413" customFormat="1" x14ac:dyDescent="0.25"/>
    <row r="140414" customFormat="1" x14ac:dyDescent="0.25"/>
    <row r="140415" customFormat="1" x14ac:dyDescent="0.25"/>
    <row r="140416" customFormat="1" x14ac:dyDescent="0.25"/>
    <row r="140417" customFormat="1" x14ac:dyDescent="0.25"/>
    <row r="140418" customFormat="1" x14ac:dyDescent="0.25"/>
    <row r="140419" customFormat="1" x14ac:dyDescent="0.25"/>
    <row r="140420" customFormat="1" x14ac:dyDescent="0.25"/>
    <row r="140421" customFormat="1" x14ac:dyDescent="0.25"/>
    <row r="140422" customFormat="1" x14ac:dyDescent="0.25"/>
    <row r="140423" customFormat="1" x14ac:dyDescent="0.25"/>
    <row r="140424" customFormat="1" x14ac:dyDescent="0.25"/>
    <row r="140425" customFormat="1" x14ac:dyDescent="0.25"/>
    <row r="140426" customFormat="1" x14ac:dyDescent="0.25"/>
    <row r="140427" customFormat="1" x14ac:dyDescent="0.25"/>
    <row r="140428" customFormat="1" x14ac:dyDescent="0.25"/>
    <row r="140429" customFormat="1" x14ac:dyDescent="0.25"/>
    <row r="140430" customFormat="1" x14ac:dyDescent="0.25"/>
    <row r="140431" customFormat="1" x14ac:dyDescent="0.25"/>
    <row r="140432" customFormat="1" x14ac:dyDescent="0.25"/>
    <row r="140433" customFormat="1" x14ac:dyDescent="0.25"/>
    <row r="140434" customFormat="1" x14ac:dyDescent="0.25"/>
    <row r="140435" customFormat="1" x14ac:dyDescent="0.25"/>
    <row r="140436" customFormat="1" x14ac:dyDescent="0.25"/>
    <row r="140437" customFormat="1" x14ac:dyDescent="0.25"/>
    <row r="140438" customFormat="1" x14ac:dyDescent="0.25"/>
    <row r="140439" customFormat="1" x14ac:dyDescent="0.25"/>
    <row r="140440" customFormat="1" x14ac:dyDescent="0.25"/>
    <row r="140441" customFormat="1" x14ac:dyDescent="0.25"/>
    <row r="140442" customFormat="1" x14ac:dyDescent="0.25"/>
    <row r="140443" customFormat="1" x14ac:dyDescent="0.25"/>
    <row r="140444" customFormat="1" x14ac:dyDescent="0.25"/>
    <row r="140445" customFormat="1" x14ac:dyDescent="0.25"/>
    <row r="140446" customFormat="1" x14ac:dyDescent="0.25"/>
    <row r="140447" customFormat="1" x14ac:dyDescent="0.25"/>
    <row r="140448" customFormat="1" x14ac:dyDescent="0.25"/>
    <row r="140449" customFormat="1" x14ac:dyDescent="0.25"/>
    <row r="140450" customFormat="1" x14ac:dyDescent="0.25"/>
    <row r="140451" customFormat="1" x14ac:dyDescent="0.25"/>
    <row r="140452" customFormat="1" x14ac:dyDescent="0.25"/>
    <row r="140453" customFormat="1" x14ac:dyDescent="0.25"/>
    <row r="140454" customFormat="1" x14ac:dyDescent="0.25"/>
    <row r="140455" customFormat="1" x14ac:dyDescent="0.25"/>
    <row r="140456" customFormat="1" x14ac:dyDescent="0.25"/>
    <row r="140457" customFormat="1" x14ac:dyDescent="0.25"/>
    <row r="140458" customFormat="1" x14ac:dyDescent="0.25"/>
    <row r="140459" customFormat="1" x14ac:dyDescent="0.25"/>
    <row r="140460" customFormat="1" x14ac:dyDescent="0.25"/>
    <row r="140461" customFormat="1" x14ac:dyDescent="0.25"/>
    <row r="140462" customFormat="1" x14ac:dyDescent="0.25"/>
    <row r="140463" customFormat="1" x14ac:dyDescent="0.25"/>
    <row r="140464" customFormat="1" x14ac:dyDescent="0.25"/>
    <row r="140465" customFormat="1" x14ac:dyDescent="0.25"/>
    <row r="140466" customFormat="1" x14ac:dyDescent="0.25"/>
    <row r="140467" customFormat="1" x14ac:dyDescent="0.25"/>
    <row r="140468" customFormat="1" x14ac:dyDescent="0.25"/>
    <row r="140469" customFormat="1" x14ac:dyDescent="0.25"/>
    <row r="140470" customFormat="1" x14ac:dyDescent="0.25"/>
    <row r="140471" customFormat="1" x14ac:dyDescent="0.25"/>
    <row r="140472" customFormat="1" x14ac:dyDescent="0.25"/>
    <row r="140473" customFormat="1" x14ac:dyDescent="0.25"/>
    <row r="140474" customFormat="1" x14ac:dyDescent="0.25"/>
    <row r="140475" customFormat="1" x14ac:dyDescent="0.25"/>
    <row r="140476" customFormat="1" x14ac:dyDescent="0.25"/>
    <row r="140477" customFormat="1" x14ac:dyDescent="0.25"/>
    <row r="140478" customFormat="1" x14ac:dyDescent="0.25"/>
    <row r="140479" customFormat="1" x14ac:dyDescent="0.25"/>
    <row r="140480" customFormat="1" x14ac:dyDescent="0.25"/>
    <row r="140481" customFormat="1" x14ac:dyDescent="0.25"/>
    <row r="140482" customFormat="1" x14ac:dyDescent="0.25"/>
    <row r="140483" customFormat="1" x14ac:dyDescent="0.25"/>
    <row r="140484" customFormat="1" x14ac:dyDescent="0.25"/>
    <row r="140485" customFormat="1" x14ac:dyDescent="0.25"/>
    <row r="140486" customFormat="1" x14ac:dyDescent="0.25"/>
    <row r="140487" customFormat="1" x14ac:dyDescent="0.25"/>
    <row r="140488" customFormat="1" x14ac:dyDescent="0.25"/>
    <row r="140489" customFormat="1" x14ac:dyDescent="0.25"/>
    <row r="140490" customFormat="1" x14ac:dyDescent="0.25"/>
    <row r="140491" customFormat="1" x14ac:dyDescent="0.25"/>
    <row r="140492" customFormat="1" x14ac:dyDescent="0.25"/>
    <row r="140493" customFormat="1" x14ac:dyDescent="0.25"/>
    <row r="140494" customFormat="1" x14ac:dyDescent="0.25"/>
    <row r="140495" customFormat="1" x14ac:dyDescent="0.25"/>
    <row r="140496" customFormat="1" x14ac:dyDescent="0.25"/>
    <row r="140497" customFormat="1" x14ac:dyDescent="0.25"/>
    <row r="140498" customFormat="1" x14ac:dyDescent="0.25"/>
    <row r="140499" customFormat="1" x14ac:dyDescent="0.25"/>
    <row r="140500" customFormat="1" x14ac:dyDescent="0.25"/>
    <row r="140501" customFormat="1" x14ac:dyDescent="0.25"/>
    <row r="140502" customFormat="1" x14ac:dyDescent="0.25"/>
    <row r="140503" customFormat="1" x14ac:dyDescent="0.25"/>
    <row r="140504" customFormat="1" x14ac:dyDescent="0.25"/>
    <row r="140505" customFormat="1" x14ac:dyDescent="0.25"/>
    <row r="140506" customFormat="1" x14ac:dyDescent="0.25"/>
    <row r="140507" customFormat="1" x14ac:dyDescent="0.25"/>
    <row r="140508" customFormat="1" x14ac:dyDescent="0.25"/>
    <row r="140509" customFormat="1" x14ac:dyDescent="0.25"/>
    <row r="140510" customFormat="1" x14ac:dyDescent="0.25"/>
    <row r="140511" customFormat="1" x14ac:dyDescent="0.25"/>
    <row r="140512" customFormat="1" x14ac:dyDescent="0.25"/>
    <row r="140513" customFormat="1" x14ac:dyDescent="0.25"/>
    <row r="140514" customFormat="1" x14ac:dyDescent="0.25"/>
    <row r="140515" customFormat="1" x14ac:dyDescent="0.25"/>
    <row r="140516" customFormat="1" x14ac:dyDescent="0.25"/>
    <row r="140517" customFormat="1" x14ac:dyDescent="0.25"/>
    <row r="140518" customFormat="1" x14ac:dyDescent="0.25"/>
    <row r="140519" customFormat="1" x14ac:dyDescent="0.25"/>
    <row r="140520" customFormat="1" x14ac:dyDescent="0.25"/>
    <row r="140521" customFormat="1" x14ac:dyDescent="0.25"/>
    <row r="140522" customFormat="1" x14ac:dyDescent="0.25"/>
    <row r="140523" customFormat="1" x14ac:dyDescent="0.25"/>
    <row r="140524" customFormat="1" x14ac:dyDescent="0.25"/>
    <row r="140525" customFormat="1" x14ac:dyDescent="0.25"/>
    <row r="140526" customFormat="1" x14ac:dyDescent="0.25"/>
    <row r="140527" customFormat="1" x14ac:dyDescent="0.25"/>
    <row r="140528" customFormat="1" x14ac:dyDescent="0.25"/>
    <row r="140529" customFormat="1" x14ac:dyDescent="0.25"/>
    <row r="140530" customFormat="1" x14ac:dyDescent="0.25"/>
    <row r="140531" customFormat="1" x14ac:dyDescent="0.25"/>
    <row r="140532" customFormat="1" x14ac:dyDescent="0.25"/>
    <row r="140533" customFormat="1" x14ac:dyDescent="0.25"/>
    <row r="140534" customFormat="1" x14ac:dyDescent="0.25"/>
    <row r="140535" customFormat="1" x14ac:dyDescent="0.25"/>
    <row r="140536" customFormat="1" x14ac:dyDescent="0.25"/>
    <row r="140537" customFormat="1" x14ac:dyDescent="0.25"/>
    <row r="140538" customFormat="1" x14ac:dyDescent="0.25"/>
    <row r="140539" customFormat="1" x14ac:dyDescent="0.25"/>
    <row r="140540" customFormat="1" x14ac:dyDescent="0.25"/>
    <row r="140541" customFormat="1" x14ac:dyDescent="0.25"/>
    <row r="140542" customFormat="1" x14ac:dyDescent="0.25"/>
    <row r="140543" customFormat="1" x14ac:dyDescent="0.25"/>
    <row r="140544" customFormat="1" x14ac:dyDescent="0.25"/>
    <row r="140545" customFormat="1" x14ac:dyDescent="0.25"/>
    <row r="140546" customFormat="1" x14ac:dyDescent="0.25"/>
    <row r="140547" customFormat="1" x14ac:dyDescent="0.25"/>
    <row r="140548" customFormat="1" x14ac:dyDescent="0.25"/>
    <row r="140549" customFormat="1" x14ac:dyDescent="0.25"/>
    <row r="140550" customFormat="1" x14ac:dyDescent="0.25"/>
    <row r="140551" customFormat="1" x14ac:dyDescent="0.25"/>
    <row r="140552" customFormat="1" x14ac:dyDescent="0.25"/>
    <row r="140553" customFormat="1" x14ac:dyDescent="0.25"/>
    <row r="140554" customFormat="1" x14ac:dyDescent="0.25"/>
    <row r="140555" customFormat="1" x14ac:dyDescent="0.25"/>
    <row r="140556" customFormat="1" x14ac:dyDescent="0.25"/>
    <row r="140557" customFormat="1" x14ac:dyDescent="0.25"/>
    <row r="140558" customFormat="1" x14ac:dyDescent="0.25"/>
    <row r="140559" customFormat="1" x14ac:dyDescent="0.25"/>
    <row r="140560" customFormat="1" x14ac:dyDescent="0.25"/>
    <row r="140561" customFormat="1" x14ac:dyDescent="0.25"/>
    <row r="140562" customFormat="1" x14ac:dyDescent="0.25"/>
    <row r="140563" customFormat="1" x14ac:dyDescent="0.25"/>
    <row r="140564" customFormat="1" x14ac:dyDescent="0.25"/>
    <row r="140565" customFormat="1" x14ac:dyDescent="0.25"/>
    <row r="140566" customFormat="1" x14ac:dyDescent="0.25"/>
    <row r="140567" customFormat="1" x14ac:dyDescent="0.25"/>
    <row r="140568" customFormat="1" x14ac:dyDescent="0.25"/>
    <row r="140569" customFormat="1" x14ac:dyDescent="0.25"/>
    <row r="140570" customFormat="1" x14ac:dyDescent="0.25"/>
    <row r="140571" customFormat="1" x14ac:dyDescent="0.25"/>
    <row r="140572" customFormat="1" x14ac:dyDescent="0.25"/>
    <row r="140573" customFormat="1" x14ac:dyDescent="0.25"/>
    <row r="140574" customFormat="1" x14ac:dyDescent="0.25"/>
    <row r="140575" customFormat="1" x14ac:dyDescent="0.25"/>
    <row r="140576" customFormat="1" x14ac:dyDescent="0.25"/>
    <row r="140577" customFormat="1" x14ac:dyDescent="0.25"/>
    <row r="140578" customFormat="1" x14ac:dyDescent="0.25"/>
    <row r="140579" customFormat="1" x14ac:dyDescent="0.25"/>
    <row r="140580" customFormat="1" x14ac:dyDescent="0.25"/>
    <row r="140581" customFormat="1" x14ac:dyDescent="0.25"/>
    <row r="140582" customFormat="1" x14ac:dyDescent="0.25"/>
    <row r="140583" customFormat="1" x14ac:dyDescent="0.25"/>
    <row r="140584" customFormat="1" x14ac:dyDescent="0.25"/>
    <row r="140585" customFormat="1" x14ac:dyDescent="0.25"/>
    <row r="140586" customFormat="1" x14ac:dyDescent="0.25"/>
    <row r="140587" customFormat="1" x14ac:dyDescent="0.25"/>
    <row r="140588" customFormat="1" x14ac:dyDescent="0.25"/>
    <row r="140589" customFormat="1" x14ac:dyDescent="0.25"/>
    <row r="140590" customFormat="1" x14ac:dyDescent="0.25"/>
    <row r="140591" customFormat="1" x14ac:dyDescent="0.25"/>
    <row r="140592" customFormat="1" x14ac:dyDescent="0.25"/>
    <row r="140593" customFormat="1" x14ac:dyDescent="0.25"/>
    <row r="140594" customFormat="1" x14ac:dyDescent="0.25"/>
    <row r="140595" customFormat="1" x14ac:dyDescent="0.25"/>
    <row r="140596" customFormat="1" x14ac:dyDescent="0.25"/>
    <row r="140597" customFormat="1" x14ac:dyDescent="0.25"/>
    <row r="140598" customFormat="1" x14ac:dyDescent="0.25"/>
    <row r="140599" customFormat="1" x14ac:dyDescent="0.25"/>
    <row r="140600" customFormat="1" x14ac:dyDescent="0.25"/>
    <row r="140601" customFormat="1" x14ac:dyDescent="0.25"/>
    <row r="140602" customFormat="1" x14ac:dyDescent="0.25"/>
    <row r="140603" customFormat="1" x14ac:dyDescent="0.25"/>
    <row r="140604" customFormat="1" x14ac:dyDescent="0.25"/>
    <row r="140605" customFormat="1" x14ac:dyDescent="0.25"/>
    <row r="140606" customFormat="1" x14ac:dyDescent="0.25"/>
    <row r="140607" customFormat="1" x14ac:dyDescent="0.25"/>
    <row r="140608" customFormat="1" x14ac:dyDescent="0.25"/>
    <row r="140609" customFormat="1" x14ac:dyDescent="0.25"/>
    <row r="140610" customFormat="1" x14ac:dyDescent="0.25"/>
    <row r="140611" customFormat="1" x14ac:dyDescent="0.25"/>
    <row r="140612" customFormat="1" x14ac:dyDescent="0.25"/>
    <row r="140613" customFormat="1" x14ac:dyDescent="0.25"/>
    <row r="140614" customFormat="1" x14ac:dyDescent="0.25"/>
    <row r="140615" customFormat="1" x14ac:dyDescent="0.25"/>
    <row r="140616" customFormat="1" x14ac:dyDescent="0.25"/>
    <row r="140617" customFormat="1" x14ac:dyDescent="0.25"/>
    <row r="140618" customFormat="1" x14ac:dyDescent="0.25"/>
    <row r="140619" customFormat="1" x14ac:dyDescent="0.25"/>
    <row r="140620" customFormat="1" x14ac:dyDescent="0.25"/>
    <row r="140621" customFormat="1" x14ac:dyDescent="0.25"/>
    <row r="140622" customFormat="1" x14ac:dyDescent="0.25"/>
    <row r="140623" customFormat="1" x14ac:dyDescent="0.25"/>
    <row r="140624" customFormat="1" x14ac:dyDescent="0.25"/>
    <row r="140625" customFormat="1" x14ac:dyDescent="0.25"/>
    <row r="140626" customFormat="1" x14ac:dyDescent="0.25"/>
    <row r="140627" customFormat="1" x14ac:dyDescent="0.25"/>
    <row r="140628" customFormat="1" x14ac:dyDescent="0.25"/>
    <row r="140629" customFormat="1" x14ac:dyDescent="0.25"/>
    <row r="140630" customFormat="1" x14ac:dyDescent="0.25"/>
    <row r="140631" customFormat="1" x14ac:dyDescent="0.25"/>
    <row r="140632" customFormat="1" x14ac:dyDescent="0.25"/>
    <row r="140633" customFormat="1" x14ac:dyDescent="0.25"/>
    <row r="140634" customFormat="1" x14ac:dyDescent="0.25"/>
    <row r="140635" customFormat="1" x14ac:dyDescent="0.25"/>
    <row r="140636" customFormat="1" x14ac:dyDescent="0.25"/>
    <row r="140637" customFormat="1" x14ac:dyDescent="0.25"/>
    <row r="140638" customFormat="1" x14ac:dyDescent="0.25"/>
    <row r="140639" customFormat="1" x14ac:dyDescent="0.25"/>
    <row r="140640" customFormat="1" x14ac:dyDescent="0.25"/>
    <row r="140641" customFormat="1" x14ac:dyDescent="0.25"/>
    <row r="140642" customFormat="1" x14ac:dyDescent="0.25"/>
    <row r="140643" customFormat="1" x14ac:dyDescent="0.25"/>
    <row r="140644" customFormat="1" x14ac:dyDescent="0.25"/>
    <row r="140645" customFormat="1" x14ac:dyDescent="0.25"/>
    <row r="140646" customFormat="1" x14ac:dyDescent="0.25"/>
    <row r="140647" customFormat="1" x14ac:dyDescent="0.25"/>
    <row r="140648" customFormat="1" x14ac:dyDescent="0.25"/>
    <row r="140649" customFormat="1" x14ac:dyDescent="0.25"/>
    <row r="140650" customFormat="1" x14ac:dyDescent="0.25"/>
    <row r="140651" customFormat="1" x14ac:dyDescent="0.25"/>
    <row r="140652" customFormat="1" x14ac:dyDescent="0.25"/>
    <row r="140653" customFormat="1" x14ac:dyDescent="0.25"/>
    <row r="140654" customFormat="1" x14ac:dyDescent="0.25"/>
    <row r="140655" customFormat="1" x14ac:dyDescent="0.25"/>
    <row r="140656" customFormat="1" x14ac:dyDescent="0.25"/>
    <row r="140657" customFormat="1" x14ac:dyDescent="0.25"/>
    <row r="140658" customFormat="1" x14ac:dyDescent="0.25"/>
    <row r="140659" customFormat="1" x14ac:dyDescent="0.25"/>
    <row r="140660" customFormat="1" x14ac:dyDescent="0.25"/>
    <row r="140661" customFormat="1" x14ac:dyDescent="0.25"/>
    <row r="140662" customFormat="1" x14ac:dyDescent="0.25"/>
    <row r="140663" customFormat="1" x14ac:dyDescent="0.25"/>
    <row r="140664" customFormat="1" x14ac:dyDescent="0.25"/>
    <row r="140665" customFormat="1" x14ac:dyDescent="0.25"/>
    <row r="140666" customFormat="1" x14ac:dyDescent="0.25"/>
    <row r="140667" customFormat="1" x14ac:dyDescent="0.25"/>
    <row r="140668" customFormat="1" x14ac:dyDescent="0.25"/>
    <row r="140669" customFormat="1" x14ac:dyDescent="0.25"/>
    <row r="140670" customFormat="1" x14ac:dyDescent="0.25"/>
    <row r="140671" customFormat="1" x14ac:dyDescent="0.25"/>
    <row r="140672" customFormat="1" x14ac:dyDescent="0.25"/>
    <row r="140673" customFormat="1" x14ac:dyDescent="0.25"/>
    <row r="140674" customFormat="1" x14ac:dyDescent="0.25"/>
    <row r="140675" customFormat="1" x14ac:dyDescent="0.25"/>
    <row r="140676" customFormat="1" x14ac:dyDescent="0.25"/>
    <row r="140677" customFormat="1" x14ac:dyDescent="0.25"/>
    <row r="140678" customFormat="1" x14ac:dyDescent="0.25"/>
    <row r="140679" customFormat="1" x14ac:dyDescent="0.25"/>
    <row r="140680" customFormat="1" x14ac:dyDescent="0.25"/>
    <row r="140681" customFormat="1" x14ac:dyDescent="0.25"/>
    <row r="140682" customFormat="1" x14ac:dyDescent="0.25"/>
    <row r="140683" customFormat="1" x14ac:dyDescent="0.25"/>
    <row r="140684" customFormat="1" x14ac:dyDescent="0.25"/>
    <row r="140685" customFormat="1" x14ac:dyDescent="0.25"/>
    <row r="140686" customFormat="1" x14ac:dyDescent="0.25"/>
    <row r="140687" customFormat="1" x14ac:dyDescent="0.25"/>
    <row r="140688" customFormat="1" x14ac:dyDescent="0.25"/>
    <row r="140689" customFormat="1" x14ac:dyDescent="0.25"/>
    <row r="140690" customFormat="1" x14ac:dyDescent="0.25"/>
    <row r="140691" customFormat="1" x14ac:dyDescent="0.25"/>
    <row r="140692" customFormat="1" x14ac:dyDescent="0.25"/>
    <row r="140693" customFormat="1" x14ac:dyDescent="0.25"/>
    <row r="140694" customFormat="1" x14ac:dyDescent="0.25"/>
    <row r="140695" customFormat="1" x14ac:dyDescent="0.25"/>
    <row r="140696" customFormat="1" x14ac:dyDescent="0.25"/>
    <row r="140697" customFormat="1" x14ac:dyDescent="0.25"/>
    <row r="140698" customFormat="1" x14ac:dyDescent="0.25"/>
    <row r="140699" customFormat="1" x14ac:dyDescent="0.25"/>
    <row r="140700" customFormat="1" x14ac:dyDescent="0.25"/>
    <row r="140701" customFormat="1" x14ac:dyDescent="0.25"/>
    <row r="140702" customFormat="1" x14ac:dyDescent="0.25"/>
    <row r="140703" customFormat="1" x14ac:dyDescent="0.25"/>
    <row r="140704" customFormat="1" x14ac:dyDescent="0.25"/>
    <row r="140705" customFormat="1" x14ac:dyDescent="0.25"/>
    <row r="140706" customFormat="1" x14ac:dyDescent="0.25"/>
    <row r="140707" customFormat="1" x14ac:dyDescent="0.25"/>
    <row r="140708" customFormat="1" x14ac:dyDescent="0.25"/>
    <row r="140709" customFormat="1" x14ac:dyDescent="0.25"/>
    <row r="140710" customFormat="1" x14ac:dyDescent="0.25"/>
    <row r="140711" customFormat="1" x14ac:dyDescent="0.25"/>
    <row r="140712" customFormat="1" x14ac:dyDescent="0.25"/>
    <row r="140713" customFormat="1" x14ac:dyDescent="0.25"/>
    <row r="140714" customFormat="1" x14ac:dyDescent="0.25"/>
    <row r="140715" customFormat="1" x14ac:dyDescent="0.25"/>
    <row r="140716" customFormat="1" x14ac:dyDescent="0.25"/>
    <row r="140717" customFormat="1" x14ac:dyDescent="0.25"/>
    <row r="140718" customFormat="1" x14ac:dyDescent="0.25"/>
    <row r="140719" customFormat="1" x14ac:dyDescent="0.25"/>
    <row r="140720" customFormat="1" x14ac:dyDescent="0.25"/>
    <row r="140721" customFormat="1" x14ac:dyDescent="0.25"/>
    <row r="140722" customFormat="1" x14ac:dyDescent="0.25"/>
    <row r="140723" customFormat="1" x14ac:dyDescent="0.25"/>
    <row r="140724" customFormat="1" x14ac:dyDescent="0.25"/>
    <row r="140725" customFormat="1" x14ac:dyDescent="0.25"/>
    <row r="140726" customFormat="1" x14ac:dyDescent="0.25"/>
    <row r="140727" customFormat="1" x14ac:dyDescent="0.25"/>
    <row r="140728" customFormat="1" x14ac:dyDescent="0.25"/>
    <row r="140729" customFormat="1" x14ac:dyDescent="0.25"/>
    <row r="140730" customFormat="1" x14ac:dyDescent="0.25"/>
    <row r="140731" customFormat="1" x14ac:dyDescent="0.25"/>
    <row r="140732" customFormat="1" x14ac:dyDescent="0.25"/>
    <row r="140733" customFormat="1" x14ac:dyDescent="0.25"/>
    <row r="140734" customFormat="1" x14ac:dyDescent="0.25"/>
    <row r="140735" customFormat="1" x14ac:dyDescent="0.25"/>
    <row r="140736" customFormat="1" x14ac:dyDescent="0.25"/>
    <row r="140737" customFormat="1" x14ac:dyDescent="0.25"/>
    <row r="140738" customFormat="1" x14ac:dyDescent="0.25"/>
    <row r="140739" customFormat="1" x14ac:dyDescent="0.25"/>
    <row r="140740" customFormat="1" x14ac:dyDescent="0.25"/>
    <row r="140741" customFormat="1" x14ac:dyDescent="0.25"/>
    <row r="140742" customFormat="1" x14ac:dyDescent="0.25"/>
    <row r="140743" customFormat="1" x14ac:dyDescent="0.25"/>
    <row r="140744" customFormat="1" x14ac:dyDescent="0.25"/>
    <row r="140745" customFormat="1" x14ac:dyDescent="0.25"/>
    <row r="140746" customFormat="1" x14ac:dyDescent="0.25"/>
    <row r="140747" customFormat="1" x14ac:dyDescent="0.25"/>
    <row r="140748" customFormat="1" x14ac:dyDescent="0.25"/>
    <row r="140749" customFormat="1" x14ac:dyDescent="0.25"/>
    <row r="140750" customFormat="1" x14ac:dyDescent="0.25"/>
    <row r="140751" customFormat="1" x14ac:dyDescent="0.25"/>
    <row r="140752" customFormat="1" x14ac:dyDescent="0.25"/>
    <row r="140753" customFormat="1" x14ac:dyDescent="0.25"/>
    <row r="140754" customFormat="1" x14ac:dyDescent="0.25"/>
    <row r="140755" customFormat="1" x14ac:dyDescent="0.25"/>
    <row r="140756" customFormat="1" x14ac:dyDescent="0.25"/>
    <row r="140757" customFormat="1" x14ac:dyDescent="0.25"/>
    <row r="140758" customFormat="1" x14ac:dyDescent="0.25"/>
    <row r="140759" customFormat="1" x14ac:dyDescent="0.25"/>
    <row r="140760" customFormat="1" x14ac:dyDescent="0.25"/>
    <row r="140761" customFormat="1" x14ac:dyDescent="0.25"/>
    <row r="140762" customFormat="1" x14ac:dyDescent="0.25"/>
    <row r="140763" customFormat="1" x14ac:dyDescent="0.25"/>
    <row r="140764" customFormat="1" x14ac:dyDescent="0.25"/>
    <row r="140765" customFormat="1" x14ac:dyDescent="0.25"/>
    <row r="140766" customFormat="1" x14ac:dyDescent="0.25"/>
    <row r="140767" customFormat="1" x14ac:dyDescent="0.25"/>
    <row r="140768" customFormat="1" x14ac:dyDescent="0.25"/>
    <row r="140769" customFormat="1" x14ac:dyDescent="0.25"/>
    <row r="140770" customFormat="1" x14ac:dyDescent="0.25"/>
    <row r="140771" customFormat="1" x14ac:dyDescent="0.25"/>
    <row r="140772" customFormat="1" x14ac:dyDescent="0.25"/>
    <row r="140773" customFormat="1" x14ac:dyDescent="0.25"/>
    <row r="140774" customFormat="1" x14ac:dyDescent="0.25"/>
    <row r="140775" customFormat="1" x14ac:dyDescent="0.25"/>
    <row r="140776" customFormat="1" x14ac:dyDescent="0.25"/>
    <row r="140777" customFormat="1" x14ac:dyDescent="0.25"/>
    <row r="140778" customFormat="1" x14ac:dyDescent="0.25"/>
    <row r="140779" customFormat="1" x14ac:dyDescent="0.25"/>
    <row r="140780" customFormat="1" x14ac:dyDescent="0.25"/>
    <row r="140781" customFormat="1" x14ac:dyDescent="0.25"/>
    <row r="140782" customFormat="1" x14ac:dyDescent="0.25"/>
    <row r="140783" customFormat="1" x14ac:dyDescent="0.25"/>
    <row r="140784" customFormat="1" x14ac:dyDescent="0.25"/>
    <row r="140785" customFormat="1" x14ac:dyDescent="0.25"/>
    <row r="140786" customFormat="1" x14ac:dyDescent="0.25"/>
    <row r="140787" customFormat="1" x14ac:dyDescent="0.25"/>
    <row r="140788" customFormat="1" x14ac:dyDescent="0.25"/>
    <row r="140789" customFormat="1" x14ac:dyDescent="0.25"/>
    <row r="140790" customFormat="1" x14ac:dyDescent="0.25"/>
    <row r="140791" customFormat="1" x14ac:dyDescent="0.25"/>
    <row r="140792" customFormat="1" x14ac:dyDescent="0.25"/>
    <row r="140793" customFormat="1" x14ac:dyDescent="0.25"/>
    <row r="140794" customFormat="1" x14ac:dyDescent="0.25"/>
    <row r="140795" customFormat="1" x14ac:dyDescent="0.25"/>
    <row r="140796" customFormat="1" x14ac:dyDescent="0.25"/>
    <row r="140797" customFormat="1" x14ac:dyDescent="0.25"/>
    <row r="140798" customFormat="1" x14ac:dyDescent="0.25"/>
    <row r="140799" customFormat="1" x14ac:dyDescent="0.25"/>
    <row r="140800" customFormat="1" x14ac:dyDescent="0.25"/>
    <row r="140801" customFormat="1" x14ac:dyDescent="0.25"/>
    <row r="140802" customFormat="1" x14ac:dyDescent="0.25"/>
    <row r="140803" customFormat="1" x14ac:dyDescent="0.25"/>
    <row r="140804" customFormat="1" x14ac:dyDescent="0.25"/>
    <row r="140805" customFormat="1" x14ac:dyDescent="0.25"/>
    <row r="140806" customFormat="1" x14ac:dyDescent="0.25"/>
    <row r="140807" customFormat="1" x14ac:dyDescent="0.25"/>
    <row r="140808" customFormat="1" x14ac:dyDescent="0.25"/>
    <row r="140809" customFormat="1" x14ac:dyDescent="0.25"/>
    <row r="140810" customFormat="1" x14ac:dyDescent="0.25"/>
    <row r="140811" customFormat="1" x14ac:dyDescent="0.25"/>
    <row r="140812" customFormat="1" x14ac:dyDescent="0.25"/>
    <row r="140813" customFormat="1" x14ac:dyDescent="0.25"/>
    <row r="140814" customFormat="1" x14ac:dyDescent="0.25"/>
    <row r="140815" customFormat="1" x14ac:dyDescent="0.25"/>
    <row r="140816" customFormat="1" x14ac:dyDescent="0.25"/>
    <row r="140817" customFormat="1" x14ac:dyDescent="0.25"/>
    <row r="140818" customFormat="1" x14ac:dyDescent="0.25"/>
    <row r="140819" customFormat="1" x14ac:dyDescent="0.25"/>
    <row r="140820" customFormat="1" x14ac:dyDescent="0.25"/>
    <row r="140821" customFormat="1" x14ac:dyDescent="0.25"/>
    <row r="140822" customFormat="1" x14ac:dyDescent="0.25"/>
    <row r="140823" customFormat="1" x14ac:dyDescent="0.25"/>
    <row r="140824" customFormat="1" x14ac:dyDescent="0.25"/>
    <row r="140825" customFormat="1" x14ac:dyDescent="0.25"/>
    <row r="140826" customFormat="1" x14ac:dyDescent="0.25"/>
    <row r="140827" customFormat="1" x14ac:dyDescent="0.25"/>
    <row r="140828" customFormat="1" x14ac:dyDescent="0.25"/>
    <row r="140829" customFormat="1" x14ac:dyDescent="0.25"/>
    <row r="140830" customFormat="1" x14ac:dyDescent="0.25"/>
    <row r="140831" customFormat="1" x14ac:dyDescent="0.25"/>
    <row r="140832" customFormat="1" x14ac:dyDescent="0.25"/>
    <row r="140833" customFormat="1" x14ac:dyDescent="0.25"/>
    <row r="140834" customFormat="1" x14ac:dyDescent="0.25"/>
    <row r="140835" customFormat="1" x14ac:dyDescent="0.25"/>
    <row r="140836" customFormat="1" x14ac:dyDescent="0.25"/>
    <row r="140837" customFormat="1" x14ac:dyDescent="0.25"/>
    <row r="140838" customFormat="1" x14ac:dyDescent="0.25"/>
    <row r="140839" customFormat="1" x14ac:dyDescent="0.25"/>
    <row r="140840" customFormat="1" x14ac:dyDescent="0.25"/>
    <row r="140841" customFormat="1" x14ac:dyDescent="0.25"/>
    <row r="140842" customFormat="1" x14ac:dyDescent="0.25"/>
    <row r="140843" customFormat="1" x14ac:dyDescent="0.25"/>
    <row r="140844" customFormat="1" x14ac:dyDescent="0.25"/>
    <row r="140845" customFormat="1" x14ac:dyDescent="0.25"/>
    <row r="140846" customFormat="1" x14ac:dyDescent="0.25"/>
    <row r="140847" customFormat="1" x14ac:dyDescent="0.25"/>
    <row r="140848" customFormat="1" x14ac:dyDescent="0.25"/>
    <row r="140849" customFormat="1" x14ac:dyDescent="0.25"/>
    <row r="140850" customFormat="1" x14ac:dyDescent="0.25"/>
    <row r="140851" customFormat="1" x14ac:dyDescent="0.25"/>
    <row r="140852" customFormat="1" x14ac:dyDescent="0.25"/>
    <row r="140853" customFormat="1" x14ac:dyDescent="0.25"/>
    <row r="140854" customFormat="1" x14ac:dyDescent="0.25"/>
    <row r="140855" customFormat="1" x14ac:dyDescent="0.25"/>
    <row r="140856" customFormat="1" x14ac:dyDescent="0.25"/>
    <row r="140857" customFormat="1" x14ac:dyDescent="0.25"/>
    <row r="140858" customFormat="1" x14ac:dyDescent="0.25"/>
    <row r="140859" customFormat="1" x14ac:dyDescent="0.25"/>
    <row r="140860" customFormat="1" x14ac:dyDescent="0.25"/>
    <row r="140861" customFormat="1" x14ac:dyDescent="0.25"/>
    <row r="140862" customFormat="1" x14ac:dyDescent="0.25"/>
    <row r="140863" customFormat="1" x14ac:dyDescent="0.25"/>
    <row r="140864" customFormat="1" x14ac:dyDescent="0.25"/>
    <row r="140865" customFormat="1" x14ac:dyDescent="0.25"/>
    <row r="140866" customFormat="1" x14ac:dyDescent="0.25"/>
    <row r="140867" customFormat="1" x14ac:dyDescent="0.25"/>
    <row r="140868" customFormat="1" x14ac:dyDescent="0.25"/>
    <row r="140869" customFormat="1" x14ac:dyDescent="0.25"/>
    <row r="140870" customFormat="1" x14ac:dyDescent="0.25"/>
    <row r="140871" customFormat="1" x14ac:dyDescent="0.25"/>
    <row r="140872" customFormat="1" x14ac:dyDescent="0.25"/>
    <row r="140873" customFormat="1" x14ac:dyDescent="0.25"/>
    <row r="140874" customFormat="1" x14ac:dyDescent="0.25"/>
    <row r="140875" customFormat="1" x14ac:dyDescent="0.25"/>
    <row r="140876" customFormat="1" x14ac:dyDescent="0.25"/>
    <row r="140877" customFormat="1" x14ac:dyDescent="0.25"/>
    <row r="140878" customFormat="1" x14ac:dyDescent="0.25"/>
    <row r="140879" customFormat="1" x14ac:dyDescent="0.25"/>
    <row r="140880" customFormat="1" x14ac:dyDescent="0.25"/>
    <row r="140881" customFormat="1" x14ac:dyDescent="0.25"/>
    <row r="140882" customFormat="1" x14ac:dyDescent="0.25"/>
    <row r="140883" customFormat="1" x14ac:dyDescent="0.25"/>
    <row r="140884" customFormat="1" x14ac:dyDescent="0.25"/>
    <row r="140885" customFormat="1" x14ac:dyDescent="0.25"/>
    <row r="140886" customFormat="1" x14ac:dyDescent="0.25"/>
    <row r="140887" customFormat="1" x14ac:dyDescent="0.25"/>
    <row r="140888" customFormat="1" x14ac:dyDescent="0.25"/>
    <row r="140889" customFormat="1" x14ac:dyDescent="0.25"/>
    <row r="140890" customFormat="1" x14ac:dyDescent="0.25"/>
    <row r="140891" customFormat="1" x14ac:dyDescent="0.25"/>
    <row r="140892" customFormat="1" x14ac:dyDescent="0.25"/>
    <row r="140893" customFormat="1" x14ac:dyDescent="0.25"/>
    <row r="140894" customFormat="1" x14ac:dyDescent="0.25"/>
    <row r="140895" customFormat="1" x14ac:dyDescent="0.25"/>
    <row r="140896" customFormat="1" x14ac:dyDescent="0.25"/>
    <row r="140897" customFormat="1" x14ac:dyDescent="0.25"/>
    <row r="140898" customFormat="1" x14ac:dyDescent="0.25"/>
    <row r="140899" customFormat="1" x14ac:dyDescent="0.25"/>
    <row r="140900" customFormat="1" x14ac:dyDescent="0.25"/>
    <row r="140901" customFormat="1" x14ac:dyDescent="0.25"/>
    <row r="140902" customFormat="1" x14ac:dyDescent="0.25"/>
    <row r="140903" customFormat="1" x14ac:dyDescent="0.25"/>
    <row r="140904" customFormat="1" x14ac:dyDescent="0.25"/>
    <row r="140905" customFormat="1" x14ac:dyDescent="0.25"/>
    <row r="140906" customFormat="1" x14ac:dyDescent="0.25"/>
    <row r="140907" customFormat="1" x14ac:dyDescent="0.25"/>
    <row r="140908" customFormat="1" x14ac:dyDescent="0.25"/>
    <row r="140909" customFormat="1" x14ac:dyDescent="0.25"/>
    <row r="140910" customFormat="1" x14ac:dyDescent="0.25"/>
    <row r="140911" customFormat="1" x14ac:dyDescent="0.25"/>
    <row r="140912" customFormat="1" x14ac:dyDescent="0.25"/>
    <row r="140913" customFormat="1" x14ac:dyDescent="0.25"/>
    <row r="140914" customFormat="1" x14ac:dyDescent="0.25"/>
    <row r="140915" customFormat="1" x14ac:dyDescent="0.25"/>
    <row r="140916" customFormat="1" x14ac:dyDescent="0.25"/>
    <row r="140917" customFormat="1" x14ac:dyDescent="0.25"/>
    <row r="140918" customFormat="1" x14ac:dyDescent="0.25"/>
    <row r="140919" customFormat="1" x14ac:dyDescent="0.25"/>
    <row r="140920" customFormat="1" x14ac:dyDescent="0.25"/>
    <row r="140921" customFormat="1" x14ac:dyDescent="0.25"/>
    <row r="140922" customFormat="1" x14ac:dyDescent="0.25"/>
    <row r="140923" customFormat="1" x14ac:dyDescent="0.25"/>
    <row r="140924" customFormat="1" x14ac:dyDescent="0.25"/>
    <row r="140925" customFormat="1" x14ac:dyDescent="0.25"/>
    <row r="140926" customFormat="1" x14ac:dyDescent="0.25"/>
    <row r="140927" customFormat="1" x14ac:dyDescent="0.25"/>
    <row r="140928" customFormat="1" x14ac:dyDescent="0.25"/>
    <row r="140929" customFormat="1" x14ac:dyDescent="0.25"/>
    <row r="140930" customFormat="1" x14ac:dyDescent="0.25"/>
    <row r="140931" customFormat="1" x14ac:dyDescent="0.25"/>
    <row r="140932" customFormat="1" x14ac:dyDescent="0.25"/>
    <row r="140933" customFormat="1" x14ac:dyDescent="0.25"/>
    <row r="140934" customFormat="1" x14ac:dyDescent="0.25"/>
    <row r="140935" customFormat="1" x14ac:dyDescent="0.25"/>
    <row r="140936" customFormat="1" x14ac:dyDescent="0.25"/>
    <row r="140937" customFormat="1" x14ac:dyDescent="0.25"/>
    <row r="140938" customFormat="1" x14ac:dyDescent="0.25"/>
    <row r="140939" customFormat="1" x14ac:dyDescent="0.25"/>
    <row r="140940" customFormat="1" x14ac:dyDescent="0.25"/>
    <row r="140941" customFormat="1" x14ac:dyDescent="0.25"/>
    <row r="140942" customFormat="1" x14ac:dyDescent="0.25"/>
    <row r="140943" customFormat="1" x14ac:dyDescent="0.25"/>
    <row r="140944" customFormat="1" x14ac:dyDescent="0.25"/>
    <row r="140945" customFormat="1" x14ac:dyDescent="0.25"/>
    <row r="140946" customFormat="1" x14ac:dyDescent="0.25"/>
    <row r="140947" customFormat="1" x14ac:dyDescent="0.25"/>
    <row r="140948" customFormat="1" x14ac:dyDescent="0.25"/>
    <row r="140949" customFormat="1" x14ac:dyDescent="0.25"/>
    <row r="140950" customFormat="1" x14ac:dyDescent="0.25"/>
    <row r="140951" customFormat="1" x14ac:dyDescent="0.25"/>
    <row r="140952" customFormat="1" x14ac:dyDescent="0.25"/>
    <row r="140953" customFormat="1" x14ac:dyDescent="0.25"/>
    <row r="140954" customFormat="1" x14ac:dyDescent="0.25"/>
    <row r="140955" customFormat="1" x14ac:dyDescent="0.25"/>
    <row r="140956" customFormat="1" x14ac:dyDescent="0.25"/>
    <row r="140957" customFormat="1" x14ac:dyDescent="0.25"/>
    <row r="140958" customFormat="1" x14ac:dyDescent="0.25"/>
    <row r="140959" customFormat="1" x14ac:dyDescent="0.25"/>
    <row r="140960" customFormat="1" x14ac:dyDescent="0.25"/>
    <row r="140961" customFormat="1" x14ac:dyDescent="0.25"/>
    <row r="140962" customFormat="1" x14ac:dyDescent="0.25"/>
    <row r="140963" customFormat="1" x14ac:dyDescent="0.25"/>
    <row r="140964" customFormat="1" x14ac:dyDescent="0.25"/>
    <row r="140965" customFormat="1" x14ac:dyDescent="0.25"/>
    <row r="140966" customFormat="1" x14ac:dyDescent="0.25"/>
    <row r="140967" customFormat="1" x14ac:dyDescent="0.25"/>
    <row r="140968" customFormat="1" x14ac:dyDescent="0.25"/>
    <row r="140969" customFormat="1" x14ac:dyDescent="0.25"/>
    <row r="140970" customFormat="1" x14ac:dyDescent="0.25"/>
    <row r="140971" customFormat="1" x14ac:dyDescent="0.25"/>
    <row r="140972" customFormat="1" x14ac:dyDescent="0.25"/>
    <row r="140973" customFormat="1" x14ac:dyDescent="0.25"/>
    <row r="140974" customFormat="1" x14ac:dyDescent="0.25"/>
    <row r="140975" customFormat="1" x14ac:dyDescent="0.25"/>
    <row r="140976" customFormat="1" x14ac:dyDescent="0.25"/>
    <row r="140977" customFormat="1" x14ac:dyDescent="0.25"/>
    <row r="140978" customFormat="1" x14ac:dyDescent="0.25"/>
    <row r="140979" customFormat="1" x14ac:dyDescent="0.25"/>
    <row r="140980" customFormat="1" x14ac:dyDescent="0.25"/>
    <row r="140981" customFormat="1" x14ac:dyDescent="0.25"/>
    <row r="140982" customFormat="1" x14ac:dyDescent="0.25"/>
    <row r="140983" customFormat="1" x14ac:dyDescent="0.25"/>
    <row r="140984" customFormat="1" x14ac:dyDescent="0.25"/>
    <row r="140985" customFormat="1" x14ac:dyDescent="0.25"/>
    <row r="140986" customFormat="1" x14ac:dyDescent="0.25"/>
    <row r="140987" customFormat="1" x14ac:dyDescent="0.25"/>
    <row r="140988" customFormat="1" x14ac:dyDescent="0.25"/>
    <row r="140989" customFormat="1" x14ac:dyDescent="0.25"/>
    <row r="140990" customFormat="1" x14ac:dyDescent="0.25"/>
    <row r="140991" customFormat="1" x14ac:dyDescent="0.25"/>
    <row r="140992" customFormat="1" x14ac:dyDescent="0.25"/>
    <row r="140993" customFormat="1" x14ac:dyDescent="0.25"/>
    <row r="140994" customFormat="1" x14ac:dyDescent="0.25"/>
    <row r="140995" customFormat="1" x14ac:dyDescent="0.25"/>
    <row r="140996" customFormat="1" x14ac:dyDescent="0.25"/>
    <row r="140997" customFormat="1" x14ac:dyDescent="0.25"/>
    <row r="140998" customFormat="1" x14ac:dyDescent="0.25"/>
    <row r="140999" customFormat="1" x14ac:dyDescent="0.25"/>
    <row r="141000" customFormat="1" x14ac:dyDescent="0.25"/>
    <row r="141001" customFormat="1" x14ac:dyDescent="0.25"/>
    <row r="141002" customFormat="1" x14ac:dyDescent="0.25"/>
    <row r="141003" customFormat="1" x14ac:dyDescent="0.25"/>
    <row r="141004" customFormat="1" x14ac:dyDescent="0.25"/>
    <row r="141005" customFormat="1" x14ac:dyDescent="0.25"/>
    <row r="141006" customFormat="1" x14ac:dyDescent="0.25"/>
    <row r="141007" customFormat="1" x14ac:dyDescent="0.25"/>
    <row r="141008" customFormat="1" x14ac:dyDescent="0.25"/>
    <row r="141009" customFormat="1" x14ac:dyDescent="0.25"/>
    <row r="141010" customFormat="1" x14ac:dyDescent="0.25"/>
    <row r="141011" customFormat="1" x14ac:dyDescent="0.25"/>
    <row r="141012" customFormat="1" x14ac:dyDescent="0.25"/>
    <row r="141013" customFormat="1" x14ac:dyDescent="0.25"/>
    <row r="141014" customFormat="1" x14ac:dyDescent="0.25"/>
    <row r="141015" customFormat="1" x14ac:dyDescent="0.25"/>
    <row r="141016" customFormat="1" x14ac:dyDescent="0.25"/>
    <row r="141017" customFormat="1" x14ac:dyDescent="0.25"/>
    <row r="141018" customFormat="1" x14ac:dyDescent="0.25"/>
    <row r="141019" customFormat="1" x14ac:dyDescent="0.25"/>
    <row r="141020" customFormat="1" x14ac:dyDescent="0.25"/>
    <row r="141021" customFormat="1" x14ac:dyDescent="0.25"/>
    <row r="141022" customFormat="1" x14ac:dyDescent="0.25"/>
    <row r="141023" customFormat="1" x14ac:dyDescent="0.25"/>
    <row r="141024" customFormat="1" x14ac:dyDescent="0.25"/>
    <row r="141025" customFormat="1" x14ac:dyDescent="0.25"/>
    <row r="141026" customFormat="1" x14ac:dyDescent="0.25"/>
    <row r="141027" customFormat="1" x14ac:dyDescent="0.25"/>
    <row r="141028" customFormat="1" x14ac:dyDescent="0.25"/>
    <row r="141029" customFormat="1" x14ac:dyDescent="0.25"/>
    <row r="141030" customFormat="1" x14ac:dyDescent="0.25"/>
    <row r="141031" customFormat="1" x14ac:dyDescent="0.25"/>
    <row r="141032" customFormat="1" x14ac:dyDescent="0.25"/>
    <row r="141033" customFormat="1" x14ac:dyDescent="0.25"/>
    <row r="141034" customFormat="1" x14ac:dyDescent="0.25"/>
    <row r="141035" customFormat="1" x14ac:dyDescent="0.25"/>
    <row r="141036" customFormat="1" x14ac:dyDescent="0.25"/>
    <row r="141037" customFormat="1" x14ac:dyDescent="0.25"/>
    <row r="141038" customFormat="1" x14ac:dyDescent="0.25"/>
    <row r="141039" customFormat="1" x14ac:dyDescent="0.25"/>
    <row r="141040" customFormat="1" x14ac:dyDescent="0.25"/>
    <row r="141041" customFormat="1" x14ac:dyDescent="0.25"/>
    <row r="141042" customFormat="1" x14ac:dyDescent="0.25"/>
    <row r="141043" customFormat="1" x14ac:dyDescent="0.25"/>
    <row r="141044" customFormat="1" x14ac:dyDescent="0.25"/>
    <row r="141045" customFormat="1" x14ac:dyDescent="0.25"/>
    <row r="141046" customFormat="1" x14ac:dyDescent="0.25"/>
    <row r="141047" customFormat="1" x14ac:dyDescent="0.25"/>
    <row r="141048" customFormat="1" x14ac:dyDescent="0.25"/>
    <row r="141049" customFormat="1" x14ac:dyDescent="0.25"/>
    <row r="141050" customFormat="1" x14ac:dyDescent="0.25"/>
    <row r="141051" customFormat="1" x14ac:dyDescent="0.25"/>
    <row r="141052" customFormat="1" x14ac:dyDescent="0.25"/>
    <row r="141053" customFormat="1" x14ac:dyDescent="0.25"/>
    <row r="141054" customFormat="1" x14ac:dyDescent="0.25"/>
    <row r="141055" customFormat="1" x14ac:dyDescent="0.25"/>
    <row r="141056" customFormat="1" x14ac:dyDescent="0.25"/>
    <row r="141057" customFormat="1" x14ac:dyDescent="0.25"/>
    <row r="141058" customFormat="1" x14ac:dyDescent="0.25"/>
    <row r="141059" customFormat="1" x14ac:dyDescent="0.25"/>
    <row r="141060" customFormat="1" x14ac:dyDescent="0.25"/>
    <row r="141061" customFormat="1" x14ac:dyDescent="0.25"/>
    <row r="141062" customFormat="1" x14ac:dyDescent="0.25"/>
    <row r="141063" customFormat="1" x14ac:dyDescent="0.25"/>
    <row r="141064" customFormat="1" x14ac:dyDescent="0.25"/>
    <row r="141065" customFormat="1" x14ac:dyDescent="0.25"/>
    <row r="141066" customFormat="1" x14ac:dyDescent="0.25"/>
    <row r="141067" customFormat="1" x14ac:dyDescent="0.25"/>
    <row r="141068" customFormat="1" x14ac:dyDescent="0.25"/>
    <row r="141069" customFormat="1" x14ac:dyDescent="0.25"/>
    <row r="141070" customFormat="1" x14ac:dyDescent="0.25"/>
    <row r="141071" customFormat="1" x14ac:dyDescent="0.25"/>
    <row r="141072" customFormat="1" x14ac:dyDescent="0.25"/>
    <row r="141073" customFormat="1" x14ac:dyDescent="0.25"/>
    <row r="141074" customFormat="1" x14ac:dyDescent="0.25"/>
    <row r="141075" customFormat="1" x14ac:dyDescent="0.25"/>
    <row r="141076" customFormat="1" x14ac:dyDescent="0.25"/>
    <row r="141077" customFormat="1" x14ac:dyDescent="0.25"/>
    <row r="141078" customFormat="1" x14ac:dyDescent="0.25"/>
    <row r="141079" customFormat="1" x14ac:dyDescent="0.25"/>
    <row r="141080" customFormat="1" x14ac:dyDescent="0.25"/>
    <row r="141081" customFormat="1" x14ac:dyDescent="0.25"/>
    <row r="141082" customFormat="1" x14ac:dyDescent="0.25"/>
    <row r="141083" customFormat="1" x14ac:dyDescent="0.25"/>
    <row r="141084" customFormat="1" x14ac:dyDescent="0.25"/>
    <row r="141085" customFormat="1" x14ac:dyDescent="0.25"/>
    <row r="141086" customFormat="1" x14ac:dyDescent="0.25"/>
    <row r="141087" customFormat="1" x14ac:dyDescent="0.25"/>
    <row r="141088" customFormat="1" x14ac:dyDescent="0.25"/>
    <row r="141089" customFormat="1" x14ac:dyDescent="0.25"/>
    <row r="141090" customFormat="1" x14ac:dyDescent="0.25"/>
    <row r="141091" customFormat="1" x14ac:dyDescent="0.25"/>
    <row r="141092" customFormat="1" x14ac:dyDescent="0.25"/>
    <row r="141093" customFormat="1" x14ac:dyDescent="0.25"/>
    <row r="141094" customFormat="1" x14ac:dyDescent="0.25"/>
    <row r="141095" customFormat="1" x14ac:dyDescent="0.25"/>
    <row r="141096" customFormat="1" x14ac:dyDescent="0.25"/>
    <row r="141097" customFormat="1" x14ac:dyDescent="0.25"/>
    <row r="141098" customFormat="1" x14ac:dyDescent="0.25"/>
    <row r="141099" customFormat="1" x14ac:dyDescent="0.25"/>
    <row r="141100" customFormat="1" x14ac:dyDescent="0.25"/>
    <row r="141101" customFormat="1" x14ac:dyDescent="0.25"/>
    <row r="141102" customFormat="1" x14ac:dyDescent="0.25"/>
    <row r="141103" customFormat="1" x14ac:dyDescent="0.25"/>
    <row r="141104" customFormat="1" x14ac:dyDescent="0.25"/>
    <row r="141105" customFormat="1" x14ac:dyDescent="0.25"/>
    <row r="141106" customFormat="1" x14ac:dyDescent="0.25"/>
    <row r="141107" customFormat="1" x14ac:dyDescent="0.25"/>
    <row r="141108" customFormat="1" x14ac:dyDescent="0.25"/>
    <row r="141109" customFormat="1" x14ac:dyDescent="0.25"/>
    <row r="141110" customFormat="1" x14ac:dyDescent="0.25"/>
    <row r="141111" customFormat="1" x14ac:dyDescent="0.25"/>
    <row r="141112" customFormat="1" x14ac:dyDescent="0.25"/>
    <row r="141113" customFormat="1" x14ac:dyDescent="0.25"/>
    <row r="141114" customFormat="1" x14ac:dyDescent="0.25"/>
    <row r="141115" customFormat="1" x14ac:dyDescent="0.25"/>
    <row r="141116" customFormat="1" x14ac:dyDescent="0.25"/>
    <row r="141117" customFormat="1" x14ac:dyDescent="0.25"/>
    <row r="141118" customFormat="1" x14ac:dyDescent="0.25"/>
    <row r="141119" customFormat="1" x14ac:dyDescent="0.25"/>
    <row r="141120" customFormat="1" x14ac:dyDescent="0.25"/>
    <row r="141121" customFormat="1" x14ac:dyDescent="0.25"/>
    <row r="141122" customFormat="1" x14ac:dyDescent="0.25"/>
    <row r="141123" customFormat="1" x14ac:dyDescent="0.25"/>
    <row r="141124" customFormat="1" x14ac:dyDescent="0.25"/>
    <row r="141125" customFormat="1" x14ac:dyDescent="0.25"/>
    <row r="141126" customFormat="1" x14ac:dyDescent="0.25"/>
    <row r="141127" customFormat="1" x14ac:dyDescent="0.25"/>
    <row r="141128" customFormat="1" x14ac:dyDescent="0.25"/>
    <row r="141129" customFormat="1" x14ac:dyDescent="0.25"/>
    <row r="141130" customFormat="1" x14ac:dyDescent="0.25"/>
    <row r="141131" customFormat="1" x14ac:dyDescent="0.25"/>
    <row r="141132" customFormat="1" x14ac:dyDescent="0.25"/>
    <row r="141133" customFormat="1" x14ac:dyDescent="0.25"/>
    <row r="141134" customFormat="1" x14ac:dyDescent="0.25"/>
    <row r="141135" customFormat="1" x14ac:dyDescent="0.25"/>
    <row r="141136" customFormat="1" x14ac:dyDescent="0.25"/>
    <row r="141137" customFormat="1" x14ac:dyDescent="0.25"/>
    <row r="141138" customFormat="1" x14ac:dyDescent="0.25"/>
    <row r="141139" customFormat="1" x14ac:dyDescent="0.25"/>
    <row r="141140" customFormat="1" x14ac:dyDescent="0.25"/>
    <row r="141141" customFormat="1" x14ac:dyDescent="0.25"/>
    <row r="141142" customFormat="1" x14ac:dyDescent="0.25"/>
    <row r="141143" customFormat="1" x14ac:dyDescent="0.25"/>
    <row r="141144" customFormat="1" x14ac:dyDescent="0.25"/>
    <row r="141145" customFormat="1" x14ac:dyDescent="0.25"/>
    <row r="141146" customFormat="1" x14ac:dyDescent="0.25"/>
    <row r="141147" customFormat="1" x14ac:dyDescent="0.25"/>
    <row r="141148" customFormat="1" x14ac:dyDescent="0.25"/>
    <row r="141149" customFormat="1" x14ac:dyDescent="0.25"/>
    <row r="141150" customFormat="1" x14ac:dyDescent="0.25"/>
    <row r="141151" customFormat="1" x14ac:dyDescent="0.25"/>
    <row r="141152" customFormat="1" x14ac:dyDescent="0.25"/>
    <row r="141153" customFormat="1" x14ac:dyDescent="0.25"/>
    <row r="141154" customFormat="1" x14ac:dyDescent="0.25"/>
    <row r="141155" customFormat="1" x14ac:dyDescent="0.25"/>
    <row r="141156" customFormat="1" x14ac:dyDescent="0.25"/>
    <row r="141157" customFormat="1" x14ac:dyDescent="0.25"/>
    <row r="141158" customFormat="1" x14ac:dyDescent="0.25"/>
    <row r="141159" customFormat="1" x14ac:dyDescent="0.25"/>
    <row r="141160" customFormat="1" x14ac:dyDescent="0.25"/>
    <row r="141161" customFormat="1" x14ac:dyDescent="0.25"/>
    <row r="141162" customFormat="1" x14ac:dyDescent="0.25"/>
    <row r="141163" customFormat="1" x14ac:dyDescent="0.25"/>
    <row r="141164" customFormat="1" x14ac:dyDescent="0.25"/>
    <row r="141165" customFormat="1" x14ac:dyDescent="0.25"/>
    <row r="141166" customFormat="1" x14ac:dyDescent="0.25"/>
    <row r="141167" customFormat="1" x14ac:dyDescent="0.25"/>
    <row r="141168" customFormat="1" x14ac:dyDescent="0.25"/>
    <row r="141169" customFormat="1" x14ac:dyDescent="0.25"/>
    <row r="141170" customFormat="1" x14ac:dyDescent="0.25"/>
    <row r="141171" customFormat="1" x14ac:dyDescent="0.25"/>
    <row r="141172" customFormat="1" x14ac:dyDescent="0.25"/>
    <row r="141173" customFormat="1" x14ac:dyDescent="0.25"/>
    <row r="141174" customFormat="1" x14ac:dyDescent="0.25"/>
    <row r="141175" customFormat="1" x14ac:dyDescent="0.25"/>
    <row r="141176" customFormat="1" x14ac:dyDescent="0.25"/>
    <row r="141177" customFormat="1" x14ac:dyDescent="0.25"/>
    <row r="141178" customFormat="1" x14ac:dyDescent="0.25"/>
    <row r="141179" customFormat="1" x14ac:dyDescent="0.25"/>
    <row r="141180" customFormat="1" x14ac:dyDescent="0.25"/>
    <row r="141181" customFormat="1" x14ac:dyDescent="0.25"/>
    <row r="141182" customFormat="1" x14ac:dyDescent="0.25"/>
    <row r="141183" customFormat="1" x14ac:dyDescent="0.25"/>
    <row r="141184" customFormat="1" x14ac:dyDescent="0.25"/>
    <row r="141185" customFormat="1" x14ac:dyDescent="0.25"/>
    <row r="141186" customFormat="1" x14ac:dyDescent="0.25"/>
    <row r="141187" customFormat="1" x14ac:dyDescent="0.25"/>
    <row r="141188" customFormat="1" x14ac:dyDescent="0.25"/>
    <row r="141189" customFormat="1" x14ac:dyDescent="0.25"/>
    <row r="141190" customFormat="1" x14ac:dyDescent="0.25"/>
    <row r="141191" customFormat="1" x14ac:dyDescent="0.25"/>
    <row r="141192" customFormat="1" x14ac:dyDescent="0.25"/>
    <row r="141193" customFormat="1" x14ac:dyDescent="0.25"/>
    <row r="141194" customFormat="1" x14ac:dyDescent="0.25"/>
    <row r="141195" customFormat="1" x14ac:dyDescent="0.25"/>
    <row r="141196" customFormat="1" x14ac:dyDescent="0.25"/>
    <row r="141197" customFormat="1" x14ac:dyDescent="0.25"/>
    <row r="141198" customFormat="1" x14ac:dyDescent="0.25"/>
    <row r="141199" customFormat="1" x14ac:dyDescent="0.25"/>
    <row r="141200" customFormat="1" x14ac:dyDescent="0.25"/>
    <row r="141201" customFormat="1" x14ac:dyDescent="0.25"/>
    <row r="141202" customFormat="1" x14ac:dyDescent="0.25"/>
    <row r="141203" customFormat="1" x14ac:dyDescent="0.25"/>
    <row r="141204" customFormat="1" x14ac:dyDescent="0.25"/>
    <row r="141205" customFormat="1" x14ac:dyDescent="0.25"/>
    <row r="141206" customFormat="1" x14ac:dyDescent="0.25"/>
    <row r="141207" customFormat="1" x14ac:dyDescent="0.25"/>
    <row r="141208" customFormat="1" x14ac:dyDescent="0.25"/>
    <row r="141209" customFormat="1" x14ac:dyDescent="0.25"/>
    <row r="141210" customFormat="1" x14ac:dyDescent="0.25"/>
    <row r="141211" customFormat="1" x14ac:dyDescent="0.25"/>
    <row r="141212" customFormat="1" x14ac:dyDescent="0.25"/>
    <row r="141213" customFormat="1" x14ac:dyDescent="0.25"/>
    <row r="141214" customFormat="1" x14ac:dyDescent="0.25"/>
    <row r="141215" customFormat="1" x14ac:dyDescent="0.25"/>
    <row r="141216" customFormat="1" x14ac:dyDescent="0.25"/>
    <row r="141217" customFormat="1" x14ac:dyDescent="0.25"/>
    <row r="141218" customFormat="1" x14ac:dyDescent="0.25"/>
    <row r="141219" customFormat="1" x14ac:dyDescent="0.25"/>
    <row r="141220" customFormat="1" x14ac:dyDescent="0.25"/>
    <row r="141221" customFormat="1" x14ac:dyDescent="0.25"/>
    <row r="141222" customFormat="1" x14ac:dyDescent="0.25"/>
    <row r="141223" customFormat="1" x14ac:dyDescent="0.25"/>
    <row r="141224" customFormat="1" x14ac:dyDescent="0.25"/>
    <row r="141225" customFormat="1" x14ac:dyDescent="0.25"/>
    <row r="141226" customFormat="1" x14ac:dyDescent="0.25"/>
    <row r="141227" customFormat="1" x14ac:dyDescent="0.25"/>
    <row r="141228" customFormat="1" x14ac:dyDescent="0.25"/>
    <row r="141229" customFormat="1" x14ac:dyDescent="0.25"/>
    <row r="141230" customFormat="1" x14ac:dyDescent="0.25"/>
    <row r="141231" customFormat="1" x14ac:dyDescent="0.25"/>
    <row r="141232" customFormat="1" x14ac:dyDescent="0.25"/>
    <row r="141233" customFormat="1" x14ac:dyDescent="0.25"/>
    <row r="141234" customFormat="1" x14ac:dyDescent="0.25"/>
    <row r="141235" customFormat="1" x14ac:dyDescent="0.25"/>
    <row r="141236" customFormat="1" x14ac:dyDescent="0.25"/>
    <row r="141237" customFormat="1" x14ac:dyDescent="0.25"/>
    <row r="141238" customFormat="1" x14ac:dyDescent="0.25"/>
    <row r="141239" customFormat="1" x14ac:dyDescent="0.25"/>
    <row r="141240" customFormat="1" x14ac:dyDescent="0.25"/>
    <row r="141241" customFormat="1" x14ac:dyDescent="0.25"/>
    <row r="141242" customFormat="1" x14ac:dyDescent="0.25"/>
    <row r="141243" customFormat="1" x14ac:dyDescent="0.25"/>
    <row r="141244" customFormat="1" x14ac:dyDescent="0.25"/>
    <row r="141245" customFormat="1" x14ac:dyDescent="0.25"/>
    <row r="141246" customFormat="1" x14ac:dyDescent="0.25"/>
    <row r="141247" customFormat="1" x14ac:dyDescent="0.25"/>
    <row r="141248" customFormat="1" x14ac:dyDescent="0.25"/>
    <row r="141249" customFormat="1" x14ac:dyDescent="0.25"/>
    <row r="141250" customFormat="1" x14ac:dyDescent="0.25"/>
    <row r="141251" customFormat="1" x14ac:dyDescent="0.25"/>
    <row r="141252" customFormat="1" x14ac:dyDescent="0.25"/>
    <row r="141253" customFormat="1" x14ac:dyDescent="0.25"/>
    <row r="141254" customFormat="1" x14ac:dyDescent="0.25"/>
    <row r="141255" customFormat="1" x14ac:dyDescent="0.25"/>
    <row r="141256" customFormat="1" x14ac:dyDescent="0.25"/>
    <row r="141257" customFormat="1" x14ac:dyDescent="0.25"/>
    <row r="141258" customFormat="1" x14ac:dyDescent="0.25"/>
    <row r="141259" customFormat="1" x14ac:dyDescent="0.25"/>
    <row r="141260" customFormat="1" x14ac:dyDescent="0.25"/>
    <row r="141261" customFormat="1" x14ac:dyDescent="0.25"/>
    <row r="141262" customFormat="1" x14ac:dyDescent="0.25"/>
    <row r="141263" customFormat="1" x14ac:dyDescent="0.25"/>
    <row r="141264" customFormat="1" x14ac:dyDescent="0.25"/>
    <row r="141265" customFormat="1" x14ac:dyDescent="0.25"/>
    <row r="141266" customFormat="1" x14ac:dyDescent="0.25"/>
    <row r="141267" customFormat="1" x14ac:dyDescent="0.25"/>
    <row r="141268" customFormat="1" x14ac:dyDescent="0.25"/>
    <row r="141269" customFormat="1" x14ac:dyDescent="0.25"/>
    <row r="141270" customFormat="1" x14ac:dyDescent="0.25"/>
    <row r="141271" customFormat="1" x14ac:dyDescent="0.25"/>
    <row r="141272" customFormat="1" x14ac:dyDescent="0.25"/>
    <row r="141273" customFormat="1" x14ac:dyDescent="0.25"/>
    <row r="141274" customFormat="1" x14ac:dyDescent="0.25"/>
    <row r="141275" customFormat="1" x14ac:dyDescent="0.25"/>
    <row r="141276" customFormat="1" x14ac:dyDescent="0.25"/>
    <row r="141277" customFormat="1" x14ac:dyDescent="0.25"/>
    <row r="141278" customFormat="1" x14ac:dyDescent="0.25"/>
    <row r="141279" customFormat="1" x14ac:dyDescent="0.25"/>
    <row r="141280" customFormat="1" x14ac:dyDescent="0.25"/>
    <row r="141281" customFormat="1" x14ac:dyDescent="0.25"/>
    <row r="141282" customFormat="1" x14ac:dyDescent="0.25"/>
    <row r="141283" customFormat="1" x14ac:dyDescent="0.25"/>
    <row r="141284" customFormat="1" x14ac:dyDescent="0.25"/>
    <row r="141285" customFormat="1" x14ac:dyDescent="0.25"/>
    <row r="141286" customFormat="1" x14ac:dyDescent="0.25"/>
    <row r="141287" customFormat="1" x14ac:dyDescent="0.25"/>
    <row r="141288" customFormat="1" x14ac:dyDescent="0.25"/>
    <row r="141289" customFormat="1" x14ac:dyDescent="0.25"/>
    <row r="141290" customFormat="1" x14ac:dyDescent="0.25"/>
    <row r="141291" customFormat="1" x14ac:dyDescent="0.25"/>
    <row r="141292" customFormat="1" x14ac:dyDescent="0.25"/>
    <row r="141293" customFormat="1" x14ac:dyDescent="0.25"/>
    <row r="141294" customFormat="1" x14ac:dyDescent="0.25"/>
    <row r="141295" customFormat="1" x14ac:dyDescent="0.25"/>
    <row r="141296" customFormat="1" x14ac:dyDescent="0.25"/>
    <row r="141297" customFormat="1" x14ac:dyDescent="0.25"/>
    <row r="141298" customFormat="1" x14ac:dyDescent="0.25"/>
    <row r="141299" customFormat="1" x14ac:dyDescent="0.25"/>
    <row r="141300" customFormat="1" x14ac:dyDescent="0.25"/>
    <row r="141301" customFormat="1" x14ac:dyDescent="0.25"/>
    <row r="141302" customFormat="1" x14ac:dyDescent="0.25"/>
    <row r="141303" customFormat="1" x14ac:dyDescent="0.25"/>
    <row r="141304" customFormat="1" x14ac:dyDescent="0.25"/>
    <row r="141305" customFormat="1" x14ac:dyDescent="0.25"/>
    <row r="141306" customFormat="1" x14ac:dyDescent="0.25"/>
    <row r="141307" customFormat="1" x14ac:dyDescent="0.25"/>
    <row r="141308" customFormat="1" x14ac:dyDescent="0.25"/>
    <row r="141309" customFormat="1" x14ac:dyDescent="0.25"/>
    <row r="141310" customFormat="1" x14ac:dyDescent="0.25"/>
    <row r="141311" customFormat="1" x14ac:dyDescent="0.25"/>
    <row r="141312" customFormat="1" x14ac:dyDescent="0.25"/>
    <row r="141313" customFormat="1" x14ac:dyDescent="0.25"/>
    <row r="141314" customFormat="1" x14ac:dyDescent="0.25"/>
    <row r="141315" customFormat="1" x14ac:dyDescent="0.25"/>
    <row r="141316" customFormat="1" x14ac:dyDescent="0.25"/>
    <row r="141317" customFormat="1" x14ac:dyDescent="0.25"/>
    <row r="141318" customFormat="1" x14ac:dyDescent="0.25"/>
    <row r="141319" customFormat="1" x14ac:dyDescent="0.25"/>
    <row r="141320" customFormat="1" x14ac:dyDescent="0.25"/>
    <row r="141321" customFormat="1" x14ac:dyDescent="0.25"/>
    <row r="141322" customFormat="1" x14ac:dyDescent="0.25"/>
    <row r="141323" customFormat="1" x14ac:dyDescent="0.25"/>
    <row r="141324" customFormat="1" x14ac:dyDescent="0.25"/>
    <row r="141325" customFormat="1" x14ac:dyDescent="0.25"/>
    <row r="141326" customFormat="1" x14ac:dyDescent="0.25"/>
    <row r="141327" customFormat="1" x14ac:dyDescent="0.25"/>
    <row r="141328" customFormat="1" x14ac:dyDescent="0.25"/>
    <row r="141329" customFormat="1" x14ac:dyDescent="0.25"/>
    <row r="141330" customFormat="1" x14ac:dyDescent="0.25"/>
    <row r="141331" customFormat="1" x14ac:dyDescent="0.25"/>
    <row r="141332" customFormat="1" x14ac:dyDescent="0.25"/>
    <row r="141333" customFormat="1" x14ac:dyDescent="0.25"/>
    <row r="141334" customFormat="1" x14ac:dyDescent="0.25"/>
    <row r="141335" customFormat="1" x14ac:dyDescent="0.25"/>
    <row r="141336" customFormat="1" x14ac:dyDescent="0.25"/>
    <row r="141337" customFormat="1" x14ac:dyDescent="0.25"/>
    <row r="141338" customFormat="1" x14ac:dyDescent="0.25"/>
    <row r="141339" customFormat="1" x14ac:dyDescent="0.25"/>
    <row r="141340" customFormat="1" x14ac:dyDescent="0.25"/>
    <row r="141341" customFormat="1" x14ac:dyDescent="0.25"/>
    <row r="141342" customFormat="1" x14ac:dyDescent="0.25"/>
    <row r="141343" customFormat="1" x14ac:dyDescent="0.25"/>
    <row r="141344" customFormat="1" x14ac:dyDescent="0.25"/>
    <row r="141345" customFormat="1" x14ac:dyDescent="0.25"/>
    <row r="141346" customFormat="1" x14ac:dyDescent="0.25"/>
    <row r="141347" customFormat="1" x14ac:dyDescent="0.25"/>
    <row r="141348" customFormat="1" x14ac:dyDescent="0.25"/>
    <row r="141349" customFormat="1" x14ac:dyDescent="0.25"/>
    <row r="141350" customFormat="1" x14ac:dyDescent="0.25"/>
    <row r="141351" customFormat="1" x14ac:dyDescent="0.25"/>
    <row r="141352" customFormat="1" x14ac:dyDescent="0.25"/>
    <row r="141353" customFormat="1" x14ac:dyDescent="0.25"/>
    <row r="141354" customFormat="1" x14ac:dyDescent="0.25"/>
    <row r="141355" customFormat="1" x14ac:dyDescent="0.25"/>
    <row r="141356" customFormat="1" x14ac:dyDescent="0.25"/>
    <row r="141357" customFormat="1" x14ac:dyDescent="0.25"/>
    <row r="141358" customFormat="1" x14ac:dyDescent="0.25"/>
    <row r="141359" customFormat="1" x14ac:dyDescent="0.25"/>
    <row r="141360" customFormat="1" x14ac:dyDescent="0.25"/>
    <row r="141361" customFormat="1" x14ac:dyDescent="0.25"/>
    <row r="141362" customFormat="1" x14ac:dyDescent="0.25"/>
    <row r="141363" customFormat="1" x14ac:dyDescent="0.25"/>
    <row r="141364" customFormat="1" x14ac:dyDescent="0.25"/>
    <row r="141365" customFormat="1" x14ac:dyDescent="0.25"/>
    <row r="141366" customFormat="1" x14ac:dyDescent="0.25"/>
    <row r="141367" customFormat="1" x14ac:dyDescent="0.25"/>
    <row r="141368" customFormat="1" x14ac:dyDescent="0.25"/>
    <row r="141369" customFormat="1" x14ac:dyDescent="0.25"/>
    <row r="141370" customFormat="1" x14ac:dyDescent="0.25"/>
    <row r="141371" customFormat="1" x14ac:dyDescent="0.25"/>
    <row r="141372" customFormat="1" x14ac:dyDescent="0.25"/>
    <row r="141373" customFormat="1" x14ac:dyDescent="0.25"/>
    <row r="141374" customFormat="1" x14ac:dyDescent="0.25"/>
    <row r="141375" customFormat="1" x14ac:dyDescent="0.25"/>
    <row r="141376" customFormat="1" x14ac:dyDescent="0.25"/>
    <row r="141377" customFormat="1" x14ac:dyDescent="0.25"/>
    <row r="141378" customFormat="1" x14ac:dyDescent="0.25"/>
    <row r="141379" customFormat="1" x14ac:dyDescent="0.25"/>
    <row r="141380" customFormat="1" x14ac:dyDescent="0.25"/>
    <row r="141381" customFormat="1" x14ac:dyDescent="0.25"/>
    <row r="141382" customFormat="1" x14ac:dyDescent="0.25"/>
    <row r="141383" customFormat="1" x14ac:dyDescent="0.25"/>
    <row r="141384" customFormat="1" x14ac:dyDescent="0.25"/>
    <row r="141385" customFormat="1" x14ac:dyDescent="0.25"/>
    <row r="141386" customFormat="1" x14ac:dyDescent="0.25"/>
    <row r="141387" customFormat="1" x14ac:dyDescent="0.25"/>
    <row r="141388" customFormat="1" x14ac:dyDescent="0.25"/>
    <row r="141389" customFormat="1" x14ac:dyDescent="0.25"/>
    <row r="141390" customFormat="1" x14ac:dyDescent="0.25"/>
    <row r="141391" customFormat="1" x14ac:dyDescent="0.25"/>
    <row r="141392" customFormat="1" x14ac:dyDescent="0.25"/>
    <row r="141393" customFormat="1" x14ac:dyDescent="0.25"/>
    <row r="141394" customFormat="1" x14ac:dyDescent="0.25"/>
    <row r="141395" customFormat="1" x14ac:dyDescent="0.25"/>
    <row r="141396" customFormat="1" x14ac:dyDescent="0.25"/>
    <row r="141397" customFormat="1" x14ac:dyDescent="0.25"/>
    <row r="141398" customFormat="1" x14ac:dyDescent="0.25"/>
    <row r="141399" customFormat="1" x14ac:dyDescent="0.25"/>
    <row r="141400" customFormat="1" x14ac:dyDescent="0.25"/>
    <row r="141401" customFormat="1" x14ac:dyDescent="0.25"/>
    <row r="141402" customFormat="1" x14ac:dyDescent="0.25"/>
    <row r="141403" customFormat="1" x14ac:dyDescent="0.25"/>
    <row r="141404" customFormat="1" x14ac:dyDescent="0.25"/>
    <row r="141405" customFormat="1" x14ac:dyDescent="0.25"/>
    <row r="141406" customFormat="1" x14ac:dyDescent="0.25"/>
    <row r="141407" customFormat="1" x14ac:dyDescent="0.25"/>
    <row r="141408" customFormat="1" x14ac:dyDescent="0.25"/>
    <row r="141409" customFormat="1" x14ac:dyDescent="0.25"/>
    <row r="141410" customFormat="1" x14ac:dyDescent="0.25"/>
    <row r="141411" customFormat="1" x14ac:dyDescent="0.25"/>
    <row r="141412" customFormat="1" x14ac:dyDescent="0.25"/>
    <row r="141413" customFormat="1" x14ac:dyDescent="0.25"/>
    <row r="141414" customFormat="1" x14ac:dyDescent="0.25"/>
    <row r="141415" customFormat="1" x14ac:dyDescent="0.25"/>
    <row r="141416" customFormat="1" x14ac:dyDescent="0.25"/>
    <row r="141417" customFormat="1" x14ac:dyDescent="0.25"/>
    <row r="141418" customFormat="1" x14ac:dyDescent="0.25"/>
    <row r="141419" customFormat="1" x14ac:dyDescent="0.25"/>
    <row r="141420" customFormat="1" x14ac:dyDescent="0.25"/>
    <row r="141421" customFormat="1" x14ac:dyDescent="0.25"/>
    <row r="141422" customFormat="1" x14ac:dyDescent="0.25"/>
    <row r="141423" customFormat="1" x14ac:dyDescent="0.25"/>
    <row r="141424" customFormat="1" x14ac:dyDescent="0.25"/>
    <row r="141425" customFormat="1" x14ac:dyDescent="0.25"/>
    <row r="141426" customFormat="1" x14ac:dyDescent="0.25"/>
    <row r="141427" customFormat="1" x14ac:dyDescent="0.25"/>
    <row r="141428" customFormat="1" x14ac:dyDescent="0.25"/>
    <row r="141429" customFormat="1" x14ac:dyDescent="0.25"/>
    <row r="141430" customFormat="1" x14ac:dyDescent="0.25"/>
    <row r="141431" customFormat="1" x14ac:dyDescent="0.25"/>
    <row r="141432" customFormat="1" x14ac:dyDescent="0.25"/>
    <row r="141433" customFormat="1" x14ac:dyDescent="0.25"/>
    <row r="141434" customFormat="1" x14ac:dyDescent="0.25"/>
    <row r="141435" customFormat="1" x14ac:dyDescent="0.25"/>
    <row r="141436" customFormat="1" x14ac:dyDescent="0.25"/>
    <row r="141437" customFormat="1" x14ac:dyDescent="0.25"/>
    <row r="141438" customFormat="1" x14ac:dyDescent="0.25"/>
    <row r="141439" customFormat="1" x14ac:dyDescent="0.25"/>
    <row r="141440" customFormat="1" x14ac:dyDescent="0.25"/>
    <row r="141441" customFormat="1" x14ac:dyDescent="0.25"/>
    <row r="141442" customFormat="1" x14ac:dyDescent="0.25"/>
    <row r="141443" customFormat="1" x14ac:dyDescent="0.25"/>
    <row r="141444" customFormat="1" x14ac:dyDescent="0.25"/>
    <row r="141445" customFormat="1" x14ac:dyDescent="0.25"/>
    <row r="141446" customFormat="1" x14ac:dyDescent="0.25"/>
    <row r="141447" customFormat="1" x14ac:dyDescent="0.25"/>
    <row r="141448" customFormat="1" x14ac:dyDescent="0.25"/>
    <row r="141449" customFormat="1" x14ac:dyDescent="0.25"/>
    <row r="141450" customFormat="1" x14ac:dyDescent="0.25"/>
    <row r="141451" customFormat="1" x14ac:dyDescent="0.25"/>
    <row r="141452" customFormat="1" x14ac:dyDescent="0.25"/>
    <row r="141453" customFormat="1" x14ac:dyDescent="0.25"/>
    <row r="141454" customFormat="1" x14ac:dyDescent="0.25"/>
    <row r="141455" customFormat="1" x14ac:dyDescent="0.25"/>
    <row r="141456" customFormat="1" x14ac:dyDescent="0.25"/>
    <row r="141457" customFormat="1" x14ac:dyDescent="0.25"/>
    <row r="141458" customFormat="1" x14ac:dyDescent="0.25"/>
    <row r="141459" customFormat="1" x14ac:dyDescent="0.25"/>
    <row r="141460" customFormat="1" x14ac:dyDescent="0.25"/>
    <row r="141461" customFormat="1" x14ac:dyDescent="0.25"/>
    <row r="141462" customFormat="1" x14ac:dyDescent="0.25"/>
    <row r="141463" customFormat="1" x14ac:dyDescent="0.25"/>
    <row r="141464" customFormat="1" x14ac:dyDescent="0.25"/>
    <row r="141465" customFormat="1" x14ac:dyDescent="0.25"/>
    <row r="141466" customFormat="1" x14ac:dyDescent="0.25"/>
    <row r="141467" customFormat="1" x14ac:dyDescent="0.25"/>
    <row r="141468" customFormat="1" x14ac:dyDescent="0.25"/>
    <row r="141469" customFormat="1" x14ac:dyDescent="0.25"/>
    <row r="141470" customFormat="1" x14ac:dyDescent="0.25"/>
    <row r="141471" customFormat="1" x14ac:dyDescent="0.25"/>
    <row r="141472" customFormat="1" x14ac:dyDescent="0.25"/>
    <row r="141473" customFormat="1" x14ac:dyDescent="0.25"/>
    <row r="141474" customFormat="1" x14ac:dyDescent="0.25"/>
    <row r="141475" customFormat="1" x14ac:dyDescent="0.25"/>
    <row r="141476" customFormat="1" x14ac:dyDescent="0.25"/>
    <row r="141477" customFormat="1" x14ac:dyDescent="0.25"/>
    <row r="141478" customFormat="1" x14ac:dyDescent="0.25"/>
    <row r="141479" customFormat="1" x14ac:dyDescent="0.25"/>
    <row r="141480" customFormat="1" x14ac:dyDescent="0.25"/>
    <row r="141481" customFormat="1" x14ac:dyDescent="0.25"/>
    <row r="141482" customFormat="1" x14ac:dyDescent="0.25"/>
    <row r="141483" customFormat="1" x14ac:dyDescent="0.25"/>
    <row r="141484" customFormat="1" x14ac:dyDescent="0.25"/>
    <row r="141485" customFormat="1" x14ac:dyDescent="0.25"/>
    <row r="141486" customFormat="1" x14ac:dyDescent="0.25"/>
    <row r="141487" customFormat="1" x14ac:dyDescent="0.25"/>
    <row r="141488" customFormat="1" x14ac:dyDescent="0.25"/>
    <row r="141489" customFormat="1" x14ac:dyDescent="0.25"/>
    <row r="141490" customFormat="1" x14ac:dyDescent="0.25"/>
    <row r="141491" customFormat="1" x14ac:dyDescent="0.25"/>
    <row r="141492" customFormat="1" x14ac:dyDescent="0.25"/>
    <row r="141493" customFormat="1" x14ac:dyDescent="0.25"/>
    <row r="141494" customFormat="1" x14ac:dyDescent="0.25"/>
    <row r="141495" customFormat="1" x14ac:dyDescent="0.25"/>
    <row r="141496" customFormat="1" x14ac:dyDescent="0.25"/>
    <row r="141497" customFormat="1" x14ac:dyDescent="0.25"/>
    <row r="141498" customFormat="1" x14ac:dyDescent="0.25"/>
    <row r="141499" customFormat="1" x14ac:dyDescent="0.25"/>
    <row r="141500" customFormat="1" x14ac:dyDescent="0.25"/>
    <row r="141501" customFormat="1" x14ac:dyDescent="0.25"/>
    <row r="141502" customFormat="1" x14ac:dyDescent="0.25"/>
    <row r="141503" customFormat="1" x14ac:dyDescent="0.25"/>
    <row r="141504" customFormat="1" x14ac:dyDescent="0.25"/>
    <row r="141505" customFormat="1" x14ac:dyDescent="0.25"/>
    <row r="141506" customFormat="1" x14ac:dyDescent="0.25"/>
    <row r="141507" customFormat="1" x14ac:dyDescent="0.25"/>
    <row r="141508" customFormat="1" x14ac:dyDescent="0.25"/>
    <row r="141509" customFormat="1" x14ac:dyDescent="0.25"/>
    <row r="141510" customFormat="1" x14ac:dyDescent="0.25"/>
    <row r="141511" customFormat="1" x14ac:dyDescent="0.25"/>
    <row r="141512" customFormat="1" x14ac:dyDescent="0.25"/>
    <row r="141513" customFormat="1" x14ac:dyDescent="0.25"/>
    <row r="141514" customFormat="1" x14ac:dyDescent="0.25"/>
    <row r="141515" customFormat="1" x14ac:dyDescent="0.25"/>
    <row r="141516" customFormat="1" x14ac:dyDescent="0.25"/>
    <row r="141517" customFormat="1" x14ac:dyDescent="0.25"/>
    <row r="141518" customFormat="1" x14ac:dyDescent="0.25"/>
    <row r="141519" customFormat="1" x14ac:dyDescent="0.25"/>
    <row r="141520" customFormat="1" x14ac:dyDescent="0.25"/>
    <row r="141521" customFormat="1" x14ac:dyDescent="0.25"/>
    <row r="141522" customFormat="1" x14ac:dyDescent="0.25"/>
    <row r="141523" customFormat="1" x14ac:dyDescent="0.25"/>
    <row r="141524" customFormat="1" x14ac:dyDescent="0.25"/>
    <row r="141525" customFormat="1" x14ac:dyDescent="0.25"/>
    <row r="141526" customFormat="1" x14ac:dyDescent="0.25"/>
    <row r="141527" customFormat="1" x14ac:dyDescent="0.25"/>
    <row r="141528" customFormat="1" x14ac:dyDescent="0.25"/>
    <row r="141529" customFormat="1" x14ac:dyDescent="0.25"/>
    <row r="141530" customFormat="1" x14ac:dyDescent="0.25"/>
    <row r="141531" customFormat="1" x14ac:dyDescent="0.25"/>
    <row r="141532" customFormat="1" x14ac:dyDescent="0.25"/>
    <row r="141533" customFormat="1" x14ac:dyDescent="0.25"/>
    <row r="141534" customFormat="1" x14ac:dyDescent="0.25"/>
    <row r="141535" customFormat="1" x14ac:dyDescent="0.25"/>
    <row r="141536" customFormat="1" x14ac:dyDescent="0.25"/>
    <row r="141537" customFormat="1" x14ac:dyDescent="0.25"/>
    <row r="141538" customFormat="1" x14ac:dyDescent="0.25"/>
    <row r="141539" customFormat="1" x14ac:dyDescent="0.25"/>
    <row r="141540" customFormat="1" x14ac:dyDescent="0.25"/>
    <row r="141541" customFormat="1" x14ac:dyDescent="0.25"/>
    <row r="141542" customFormat="1" x14ac:dyDescent="0.25"/>
    <row r="141543" customFormat="1" x14ac:dyDescent="0.25"/>
    <row r="141544" customFormat="1" x14ac:dyDescent="0.25"/>
    <row r="141545" customFormat="1" x14ac:dyDescent="0.25"/>
    <row r="141546" customFormat="1" x14ac:dyDescent="0.25"/>
    <row r="141547" customFormat="1" x14ac:dyDescent="0.25"/>
    <row r="141548" customFormat="1" x14ac:dyDescent="0.25"/>
    <row r="141549" customFormat="1" x14ac:dyDescent="0.25"/>
    <row r="141550" customFormat="1" x14ac:dyDescent="0.25"/>
    <row r="141551" customFormat="1" x14ac:dyDescent="0.25"/>
    <row r="141552" customFormat="1" x14ac:dyDescent="0.25"/>
    <row r="141553" customFormat="1" x14ac:dyDescent="0.25"/>
    <row r="141554" customFormat="1" x14ac:dyDescent="0.25"/>
    <row r="141555" customFormat="1" x14ac:dyDescent="0.25"/>
    <row r="141556" customFormat="1" x14ac:dyDescent="0.25"/>
    <row r="141557" customFormat="1" x14ac:dyDescent="0.25"/>
    <row r="141558" customFormat="1" x14ac:dyDescent="0.25"/>
    <row r="141559" customFormat="1" x14ac:dyDescent="0.25"/>
    <row r="141560" customFormat="1" x14ac:dyDescent="0.25"/>
    <row r="141561" customFormat="1" x14ac:dyDescent="0.25"/>
    <row r="141562" customFormat="1" x14ac:dyDescent="0.25"/>
    <row r="141563" customFormat="1" x14ac:dyDescent="0.25"/>
    <row r="141564" customFormat="1" x14ac:dyDescent="0.25"/>
    <row r="141565" customFormat="1" x14ac:dyDescent="0.25"/>
    <row r="141566" customFormat="1" x14ac:dyDescent="0.25"/>
    <row r="141567" customFormat="1" x14ac:dyDescent="0.25"/>
    <row r="141568" customFormat="1" x14ac:dyDescent="0.25"/>
    <row r="141569" customFormat="1" x14ac:dyDescent="0.25"/>
    <row r="141570" customFormat="1" x14ac:dyDescent="0.25"/>
    <row r="141571" customFormat="1" x14ac:dyDescent="0.25"/>
    <row r="141572" customFormat="1" x14ac:dyDescent="0.25"/>
    <row r="141573" customFormat="1" x14ac:dyDescent="0.25"/>
    <row r="141574" customFormat="1" x14ac:dyDescent="0.25"/>
    <row r="141575" customFormat="1" x14ac:dyDescent="0.25"/>
    <row r="141576" customFormat="1" x14ac:dyDescent="0.25"/>
    <row r="141577" customFormat="1" x14ac:dyDescent="0.25"/>
    <row r="141578" customFormat="1" x14ac:dyDescent="0.25"/>
    <row r="141579" customFormat="1" x14ac:dyDescent="0.25"/>
    <row r="141580" customFormat="1" x14ac:dyDescent="0.25"/>
    <row r="141581" customFormat="1" x14ac:dyDescent="0.25"/>
    <row r="141582" customFormat="1" x14ac:dyDescent="0.25"/>
    <row r="141583" customFormat="1" x14ac:dyDescent="0.25"/>
    <row r="141584" customFormat="1" x14ac:dyDescent="0.25"/>
    <row r="141585" customFormat="1" x14ac:dyDescent="0.25"/>
    <row r="141586" customFormat="1" x14ac:dyDescent="0.25"/>
    <row r="141587" customFormat="1" x14ac:dyDescent="0.25"/>
    <row r="141588" customFormat="1" x14ac:dyDescent="0.25"/>
    <row r="141589" customFormat="1" x14ac:dyDescent="0.25"/>
    <row r="141590" customFormat="1" x14ac:dyDescent="0.25"/>
    <row r="141591" customFormat="1" x14ac:dyDescent="0.25"/>
    <row r="141592" customFormat="1" x14ac:dyDescent="0.25"/>
    <row r="141593" customFormat="1" x14ac:dyDescent="0.25"/>
    <row r="141594" customFormat="1" x14ac:dyDescent="0.25"/>
    <row r="141595" customFormat="1" x14ac:dyDescent="0.25"/>
    <row r="141596" customFormat="1" x14ac:dyDescent="0.25"/>
    <row r="141597" customFormat="1" x14ac:dyDescent="0.25"/>
    <row r="141598" customFormat="1" x14ac:dyDescent="0.25"/>
    <row r="141599" customFormat="1" x14ac:dyDescent="0.25"/>
    <row r="141600" customFormat="1" x14ac:dyDescent="0.25"/>
    <row r="141601" customFormat="1" x14ac:dyDescent="0.25"/>
    <row r="141602" customFormat="1" x14ac:dyDescent="0.25"/>
    <row r="141603" customFormat="1" x14ac:dyDescent="0.25"/>
    <row r="141604" customFormat="1" x14ac:dyDescent="0.25"/>
    <row r="141605" customFormat="1" x14ac:dyDescent="0.25"/>
    <row r="141606" customFormat="1" x14ac:dyDescent="0.25"/>
    <row r="141607" customFormat="1" x14ac:dyDescent="0.25"/>
    <row r="141608" customFormat="1" x14ac:dyDescent="0.25"/>
    <row r="141609" customFormat="1" x14ac:dyDescent="0.25"/>
    <row r="141610" customFormat="1" x14ac:dyDescent="0.25"/>
    <row r="141611" customFormat="1" x14ac:dyDescent="0.25"/>
    <row r="141612" customFormat="1" x14ac:dyDescent="0.25"/>
    <row r="141613" customFormat="1" x14ac:dyDescent="0.25"/>
    <row r="141614" customFormat="1" x14ac:dyDescent="0.25"/>
    <row r="141615" customFormat="1" x14ac:dyDescent="0.25"/>
    <row r="141616" customFormat="1" x14ac:dyDescent="0.25"/>
    <row r="141617" customFormat="1" x14ac:dyDescent="0.25"/>
    <row r="141618" customFormat="1" x14ac:dyDescent="0.25"/>
    <row r="141619" customFormat="1" x14ac:dyDescent="0.25"/>
    <row r="141620" customFormat="1" x14ac:dyDescent="0.25"/>
    <row r="141621" customFormat="1" x14ac:dyDescent="0.25"/>
    <row r="141622" customFormat="1" x14ac:dyDescent="0.25"/>
    <row r="141623" customFormat="1" x14ac:dyDescent="0.25"/>
    <row r="141624" customFormat="1" x14ac:dyDescent="0.25"/>
    <row r="141625" customFormat="1" x14ac:dyDescent="0.25"/>
    <row r="141626" customFormat="1" x14ac:dyDescent="0.25"/>
    <row r="141627" customFormat="1" x14ac:dyDescent="0.25"/>
    <row r="141628" customFormat="1" x14ac:dyDescent="0.25"/>
    <row r="141629" customFormat="1" x14ac:dyDescent="0.25"/>
    <row r="141630" customFormat="1" x14ac:dyDescent="0.25"/>
    <row r="141631" customFormat="1" x14ac:dyDescent="0.25"/>
    <row r="141632" customFormat="1" x14ac:dyDescent="0.25"/>
    <row r="141633" customFormat="1" x14ac:dyDescent="0.25"/>
    <row r="141634" customFormat="1" x14ac:dyDescent="0.25"/>
    <row r="141635" customFormat="1" x14ac:dyDescent="0.25"/>
    <row r="141636" customFormat="1" x14ac:dyDescent="0.25"/>
    <row r="141637" customFormat="1" x14ac:dyDescent="0.25"/>
    <row r="141638" customFormat="1" x14ac:dyDescent="0.25"/>
    <row r="141639" customFormat="1" x14ac:dyDescent="0.25"/>
    <row r="141640" customFormat="1" x14ac:dyDescent="0.25"/>
    <row r="141641" customFormat="1" x14ac:dyDescent="0.25"/>
    <row r="141642" customFormat="1" x14ac:dyDescent="0.25"/>
    <row r="141643" customFormat="1" x14ac:dyDescent="0.25"/>
    <row r="141644" customFormat="1" x14ac:dyDescent="0.25"/>
    <row r="141645" customFormat="1" x14ac:dyDescent="0.25"/>
    <row r="141646" customFormat="1" x14ac:dyDescent="0.25"/>
    <row r="141647" customFormat="1" x14ac:dyDescent="0.25"/>
    <row r="141648" customFormat="1" x14ac:dyDescent="0.25"/>
    <row r="141649" customFormat="1" x14ac:dyDescent="0.25"/>
    <row r="141650" customFormat="1" x14ac:dyDescent="0.25"/>
    <row r="141651" customFormat="1" x14ac:dyDescent="0.25"/>
    <row r="141652" customFormat="1" x14ac:dyDescent="0.25"/>
    <row r="141653" customFormat="1" x14ac:dyDescent="0.25"/>
    <row r="141654" customFormat="1" x14ac:dyDescent="0.25"/>
    <row r="141655" customFormat="1" x14ac:dyDescent="0.25"/>
    <row r="141656" customFormat="1" x14ac:dyDescent="0.25"/>
    <row r="141657" customFormat="1" x14ac:dyDescent="0.25"/>
    <row r="141658" customFormat="1" x14ac:dyDescent="0.25"/>
    <row r="141659" customFormat="1" x14ac:dyDescent="0.25"/>
    <row r="141660" customFormat="1" x14ac:dyDescent="0.25"/>
    <row r="141661" customFormat="1" x14ac:dyDescent="0.25"/>
    <row r="141662" customFormat="1" x14ac:dyDescent="0.25"/>
    <row r="141663" customFormat="1" x14ac:dyDescent="0.25"/>
    <row r="141664" customFormat="1" x14ac:dyDescent="0.25"/>
    <row r="141665" customFormat="1" x14ac:dyDescent="0.25"/>
    <row r="141666" customFormat="1" x14ac:dyDescent="0.25"/>
    <row r="141667" customFormat="1" x14ac:dyDescent="0.25"/>
    <row r="141668" customFormat="1" x14ac:dyDescent="0.25"/>
    <row r="141669" customFormat="1" x14ac:dyDescent="0.25"/>
    <row r="141670" customFormat="1" x14ac:dyDescent="0.25"/>
    <row r="141671" customFormat="1" x14ac:dyDescent="0.25"/>
    <row r="141672" customFormat="1" x14ac:dyDescent="0.25"/>
    <row r="141673" customFormat="1" x14ac:dyDescent="0.25"/>
    <row r="141674" customFormat="1" x14ac:dyDescent="0.25"/>
    <row r="141675" customFormat="1" x14ac:dyDescent="0.25"/>
    <row r="141676" customFormat="1" x14ac:dyDescent="0.25"/>
    <row r="141677" customFormat="1" x14ac:dyDescent="0.25"/>
    <row r="141678" customFormat="1" x14ac:dyDescent="0.25"/>
    <row r="141679" customFormat="1" x14ac:dyDescent="0.25"/>
    <row r="141680" customFormat="1" x14ac:dyDescent="0.25"/>
    <row r="141681" customFormat="1" x14ac:dyDescent="0.25"/>
    <row r="141682" customFormat="1" x14ac:dyDescent="0.25"/>
    <row r="141683" customFormat="1" x14ac:dyDescent="0.25"/>
    <row r="141684" customFormat="1" x14ac:dyDescent="0.25"/>
    <row r="141685" customFormat="1" x14ac:dyDescent="0.25"/>
    <row r="141686" customFormat="1" x14ac:dyDescent="0.25"/>
    <row r="141687" customFormat="1" x14ac:dyDescent="0.25"/>
    <row r="141688" customFormat="1" x14ac:dyDescent="0.25"/>
    <row r="141689" customFormat="1" x14ac:dyDescent="0.25"/>
    <row r="141690" customFormat="1" x14ac:dyDescent="0.25"/>
    <row r="141691" customFormat="1" x14ac:dyDescent="0.25"/>
    <row r="141692" customFormat="1" x14ac:dyDescent="0.25"/>
    <row r="141693" customFormat="1" x14ac:dyDescent="0.25"/>
    <row r="141694" customFormat="1" x14ac:dyDescent="0.25"/>
    <row r="141695" customFormat="1" x14ac:dyDescent="0.25"/>
    <row r="141696" customFormat="1" x14ac:dyDescent="0.25"/>
    <row r="141697" customFormat="1" x14ac:dyDescent="0.25"/>
    <row r="141698" customFormat="1" x14ac:dyDescent="0.25"/>
    <row r="141699" customFormat="1" x14ac:dyDescent="0.25"/>
    <row r="141700" customFormat="1" x14ac:dyDescent="0.25"/>
    <row r="141701" customFormat="1" x14ac:dyDescent="0.25"/>
    <row r="141702" customFormat="1" x14ac:dyDescent="0.25"/>
    <row r="141703" customFormat="1" x14ac:dyDescent="0.25"/>
    <row r="141704" customFormat="1" x14ac:dyDescent="0.25"/>
    <row r="141705" customFormat="1" x14ac:dyDescent="0.25"/>
    <row r="141706" customFormat="1" x14ac:dyDescent="0.25"/>
    <row r="141707" customFormat="1" x14ac:dyDescent="0.25"/>
    <row r="141708" customFormat="1" x14ac:dyDescent="0.25"/>
    <row r="141709" customFormat="1" x14ac:dyDescent="0.25"/>
    <row r="141710" customFormat="1" x14ac:dyDescent="0.25"/>
    <row r="141711" customFormat="1" x14ac:dyDescent="0.25"/>
    <row r="141712" customFormat="1" x14ac:dyDescent="0.25"/>
    <row r="141713" customFormat="1" x14ac:dyDescent="0.25"/>
    <row r="141714" customFormat="1" x14ac:dyDescent="0.25"/>
    <row r="141715" customFormat="1" x14ac:dyDescent="0.25"/>
    <row r="141716" customFormat="1" x14ac:dyDescent="0.25"/>
    <row r="141717" customFormat="1" x14ac:dyDescent="0.25"/>
    <row r="141718" customFormat="1" x14ac:dyDescent="0.25"/>
    <row r="141719" customFormat="1" x14ac:dyDescent="0.25"/>
    <row r="141720" customFormat="1" x14ac:dyDescent="0.25"/>
    <row r="141721" customFormat="1" x14ac:dyDescent="0.25"/>
    <row r="141722" customFormat="1" x14ac:dyDescent="0.25"/>
    <row r="141723" customFormat="1" x14ac:dyDescent="0.25"/>
    <row r="141724" customFormat="1" x14ac:dyDescent="0.25"/>
    <row r="141725" customFormat="1" x14ac:dyDescent="0.25"/>
    <row r="141726" customFormat="1" x14ac:dyDescent="0.25"/>
    <row r="141727" customFormat="1" x14ac:dyDescent="0.25"/>
    <row r="141728" customFormat="1" x14ac:dyDescent="0.25"/>
    <row r="141729" customFormat="1" x14ac:dyDescent="0.25"/>
    <row r="141730" customFormat="1" x14ac:dyDescent="0.25"/>
    <row r="141731" customFormat="1" x14ac:dyDescent="0.25"/>
    <row r="141732" customFormat="1" x14ac:dyDescent="0.25"/>
    <row r="141733" customFormat="1" x14ac:dyDescent="0.25"/>
    <row r="141734" customFormat="1" x14ac:dyDescent="0.25"/>
    <row r="141735" customFormat="1" x14ac:dyDescent="0.25"/>
    <row r="141736" customFormat="1" x14ac:dyDescent="0.25"/>
    <row r="141737" customFormat="1" x14ac:dyDescent="0.25"/>
    <row r="141738" customFormat="1" x14ac:dyDescent="0.25"/>
    <row r="141739" customFormat="1" x14ac:dyDescent="0.25"/>
    <row r="141740" customFormat="1" x14ac:dyDescent="0.25"/>
    <row r="141741" customFormat="1" x14ac:dyDescent="0.25"/>
    <row r="141742" customFormat="1" x14ac:dyDescent="0.25"/>
    <row r="141743" customFormat="1" x14ac:dyDescent="0.25"/>
    <row r="141744" customFormat="1" x14ac:dyDescent="0.25"/>
    <row r="141745" customFormat="1" x14ac:dyDescent="0.25"/>
    <row r="141746" customFormat="1" x14ac:dyDescent="0.25"/>
    <row r="141747" customFormat="1" x14ac:dyDescent="0.25"/>
    <row r="141748" customFormat="1" x14ac:dyDescent="0.25"/>
    <row r="141749" customFormat="1" x14ac:dyDescent="0.25"/>
    <row r="141750" customFormat="1" x14ac:dyDescent="0.25"/>
    <row r="141751" customFormat="1" x14ac:dyDescent="0.25"/>
    <row r="141752" customFormat="1" x14ac:dyDescent="0.25"/>
    <row r="141753" customFormat="1" x14ac:dyDescent="0.25"/>
    <row r="141754" customFormat="1" x14ac:dyDescent="0.25"/>
    <row r="141755" customFormat="1" x14ac:dyDescent="0.25"/>
    <row r="141756" customFormat="1" x14ac:dyDescent="0.25"/>
    <row r="141757" customFormat="1" x14ac:dyDescent="0.25"/>
    <row r="141758" customFormat="1" x14ac:dyDescent="0.25"/>
    <row r="141759" customFormat="1" x14ac:dyDescent="0.25"/>
    <row r="141760" customFormat="1" x14ac:dyDescent="0.25"/>
    <row r="141761" customFormat="1" x14ac:dyDescent="0.25"/>
    <row r="141762" customFormat="1" x14ac:dyDescent="0.25"/>
    <row r="141763" customFormat="1" x14ac:dyDescent="0.25"/>
    <row r="141764" customFormat="1" x14ac:dyDescent="0.25"/>
    <row r="141765" customFormat="1" x14ac:dyDescent="0.25"/>
    <row r="141766" customFormat="1" x14ac:dyDescent="0.25"/>
    <row r="141767" customFormat="1" x14ac:dyDescent="0.25"/>
    <row r="141768" customFormat="1" x14ac:dyDescent="0.25"/>
    <row r="141769" customFormat="1" x14ac:dyDescent="0.25"/>
    <row r="141770" customFormat="1" x14ac:dyDescent="0.25"/>
    <row r="141771" customFormat="1" x14ac:dyDescent="0.25"/>
    <row r="141772" customFormat="1" x14ac:dyDescent="0.25"/>
    <row r="141773" customFormat="1" x14ac:dyDescent="0.25"/>
    <row r="141774" customFormat="1" x14ac:dyDescent="0.25"/>
    <row r="141775" customFormat="1" x14ac:dyDescent="0.25"/>
    <row r="141776" customFormat="1" x14ac:dyDescent="0.25"/>
    <row r="141777" customFormat="1" x14ac:dyDescent="0.25"/>
    <row r="141778" customFormat="1" x14ac:dyDescent="0.25"/>
    <row r="141779" customFormat="1" x14ac:dyDescent="0.25"/>
    <row r="141780" customFormat="1" x14ac:dyDescent="0.25"/>
    <row r="141781" customFormat="1" x14ac:dyDescent="0.25"/>
    <row r="141782" customFormat="1" x14ac:dyDescent="0.25"/>
    <row r="141783" customFormat="1" x14ac:dyDescent="0.25"/>
    <row r="141784" customFormat="1" x14ac:dyDescent="0.25"/>
    <row r="141785" customFormat="1" x14ac:dyDescent="0.25"/>
    <row r="141786" customFormat="1" x14ac:dyDescent="0.25"/>
    <row r="141787" customFormat="1" x14ac:dyDescent="0.25"/>
    <row r="141788" customFormat="1" x14ac:dyDescent="0.25"/>
    <row r="141789" customFormat="1" x14ac:dyDescent="0.25"/>
    <row r="141790" customFormat="1" x14ac:dyDescent="0.25"/>
    <row r="141791" customFormat="1" x14ac:dyDescent="0.25"/>
    <row r="141792" customFormat="1" x14ac:dyDescent="0.25"/>
    <row r="141793" customFormat="1" x14ac:dyDescent="0.25"/>
    <row r="141794" customFormat="1" x14ac:dyDescent="0.25"/>
    <row r="141795" customFormat="1" x14ac:dyDescent="0.25"/>
    <row r="141796" customFormat="1" x14ac:dyDescent="0.25"/>
    <row r="141797" customFormat="1" x14ac:dyDescent="0.25"/>
    <row r="141798" customFormat="1" x14ac:dyDescent="0.25"/>
    <row r="141799" customFormat="1" x14ac:dyDescent="0.25"/>
    <row r="141800" customFormat="1" x14ac:dyDescent="0.25"/>
    <row r="141801" customFormat="1" x14ac:dyDescent="0.25"/>
    <row r="141802" customFormat="1" x14ac:dyDescent="0.25"/>
    <row r="141803" customFormat="1" x14ac:dyDescent="0.25"/>
    <row r="141804" customFormat="1" x14ac:dyDescent="0.25"/>
    <row r="141805" customFormat="1" x14ac:dyDescent="0.25"/>
    <row r="141806" customFormat="1" x14ac:dyDescent="0.25"/>
    <row r="141807" customFormat="1" x14ac:dyDescent="0.25"/>
    <row r="141808" customFormat="1" x14ac:dyDescent="0.25"/>
    <row r="141809" customFormat="1" x14ac:dyDescent="0.25"/>
    <row r="141810" customFormat="1" x14ac:dyDescent="0.25"/>
    <row r="141811" customFormat="1" x14ac:dyDescent="0.25"/>
    <row r="141812" customFormat="1" x14ac:dyDescent="0.25"/>
    <row r="141813" customFormat="1" x14ac:dyDescent="0.25"/>
    <row r="141814" customFormat="1" x14ac:dyDescent="0.25"/>
    <row r="141815" customFormat="1" x14ac:dyDescent="0.25"/>
    <row r="141816" customFormat="1" x14ac:dyDescent="0.25"/>
    <row r="141817" customFormat="1" x14ac:dyDescent="0.25"/>
    <row r="141818" customFormat="1" x14ac:dyDescent="0.25"/>
    <row r="141819" customFormat="1" x14ac:dyDescent="0.25"/>
    <row r="141820" customFormat="1" x14ac:dyDescent="0.25"/>
    <row r="141821" customFormat="1" x14ac:dyDescent="0.25"/>
    <row r="141822" customFormat="1" x14ac:dyDescent="0.25"/>
    <row r="141823" customFormat="1" x14ac:dyDescent="0.25"/>
    <row r="141824" customFormat="1" x14ac:dyDescent="0.25"/>
    <row r="141825" customFormat="1" x14ac:dyDescent="0.25"/>
    <row r="141826" customFormat="1" x14ac:dyDescent="0.25"/>
    <row r="141827" customFormat="1" x14ac:dyDescent="0.25"/>
    <row r="141828" customFormat="1" x14ac:dyDescent="0.25"/>
    <row r="141829" customFormat="1" x14ac:dyDescent="0.25"/>
    <row r="141830" customFormat="1" x14ac:dyDescent="0.25"/>
    <row r="141831" customFormat="1" x14ac:dyDescent="0.25"/>
    <row r="141832" customFormat="1" x14ac:dyDescent="0.25"/>
    <row r="141833" customFormat="1" x14ac:dyDescent="0.25"/>
    <row r="141834" customFormat="1" x14ac:dyDescent="0.25"/>
    <row r="141835" customFormat="1" x14ac:dyDescent="0.25"/>
    <row r="141836" customFormat="1" x14ac:dyDescent="0.25"/>
    <row r="141837" customFormat="1" x14ac:dyDescent="0.25"/>
    <row r="141838" customFormat="1" x14ac:dyDescent="0.25"/>
    <row r="141839" customFormat="1" x14ac:dyDescent="0.25"/>
    <row r="141840" customFormat="1" x14ac:dyDescent="0.25"/>
    <row r="141841" customFormat="1" x14ac:dyDescent="0.25"/>
    <row r="141842" customFormat="1" x14ac:dyDescent="0.25"/>
    <row r="141843" customFormat="1" x14ac:dyDescent="0.25"/>
    <row r="141844" customFormat="1" x14ac:dyDescent="0.25"/>
    <row r="141845" customFormat="1" x14ac:dyDescent="0.25"/>
    <row r="141846" customFormat="1" x14ac:dyDescent="0.25"/>
    <row r="141847" customFormat="1" x14ac:dyDescent="0.25"/>
    <row r="141848" customFormat="1" x14ac:dyDescent="0.25"/>
    <row r="141849" customFormat="1" x14ac:dyDescent="0.25"/>
    <row r="141850" customFormat="1" x14ac:dyDescent="0.25"/>
    <row r="141851" customFormat="1" x14ac:dyDescent="0.25"/>
    <row r="141852" customFormat="1" x14ac:dyDescent="0.25"/>
    <row r="141853" customFormat="1" x14ac:dyDescent="0.25"/>
    <row r="141854" customFormat="1" x14ac:dyDescent="0.25"/>
    <row r="141855" customFormat="1" x14ac:dyDescent="0.25"/>
    <row r="141856" customFormat="1" x14ac:dyDescent="0.25"/>
    <row r="141857" customFormat="1" x14ac:dyDescent="0.25"/>
    <row r="141858" customFormat="1" x14ac:dyDescent="0.25"/>
    <row r="141859" customFormat="1" x14ac:dyDescent="0.25"/>
    <row r="141860" customFormat="1" x14ac:dyDescent="0.25"/>
    <row r="141861" customFormat="1" x14ac:dyDescent="0.25"/>
    <row r="141862" customFormat="1" x14ac:dyDescent="0.25"/>
    <row r="141863" customFormat="1" x14ac:dyDescent="0.25"/>
    <row r="141864" customFormat="1" x14ac:dyDescent="0.25"/>
    <row r="141865" customFormat="1" x14ac:dyDescent="0.25"/>
    <row r="141866" customFormat="1" x14ac:dyDescent="0.25"/>
    <row r="141867" customFormat="1" x14ac:dyDescent="0.25"/>
    <row r="141868" customFormat="1" x14ac:dyDescent="0.25"/>
    <row r="141869" customFormat="1" x14ac:dyDescent="0.25"/>
    <row r="141870" customFormat="1" x14ac:dyDescent="0.25"/>
    <row r="141871" customFormat="1" x14ac:dyDescent="0.25"/>
    <row r="141872" customFormat="1" x14ac:dyDescent="0.25"/>
    <row r="141873" customFormat="1" x14ac:dyDescent="0.25"/>
    <row r="141874" customFormat="1" x14ac:dyDescent="0.25"/>
    <row r="141875" customFormat="1" x14ac:dyDescent="0.25"/>
    <row r="141876" customFormat="1" x14ac:dyDescent="0.25"/>
    <row r="141877" customFormat="1" x14ac:dyDescent="0.25"/>
    <row r="141878" customFormat="1" x14ac:dyDescent="0.25"/>
    <row r="141879" customFormat="1" x14ac:dyDescent="0.25"/>
    <row r="141880" customFormat="1" x14ac:dyDescent="0.25"/>
    <row r="141881" customFormat="1" x14ac:dyDescent="0.25"/>
    <row r="141882" customFormat="1" x14ac:dyDescent="0.25"/>
    <row r="141883" customFormat="1" x14ac:dyDescent="0.25"/>
    <row r="141884" customFormat="1" x14ac:dyDescent="0.25"/>
    <row r="141885" customFormat="1" x14ac:dyDescent="0.25"/>
    <row r="141886" customFormat="1" x14ac:dyDescent="0.25"/>
    <row r="141887" customFormat="1" x14ac:dyDescent="0.25"/>
    <row r="141888" customFormat="1" x14ac:dyDescent="0.25"/>
    <row r="141889" customFormat="1" x14ac:dyDescent="0.25"/>
    <row r="141890" customFormat="1" x14ac:dyDescent="0.25"/>
    <row r="141891" customFormat="1" x14ac:dyDescent="0.25"/>
    <row r="141892" customFormat="1" x14ac:dyDescent="0.25"/>
    <row r="141893" customFormat="1" x14ac:dyDescent="0.25"/>
    <row r="141894" customFormat="1" x14ac:dyDescent="0.25"/>
    <row r="141895" customFormat="1" x14ac:dyDescent="0.25"/>
    <row r="141896" customFormat="1" x14ac:dyDescent="0.25"/>
    <row r="141897" customFormat="1" x14ac:dyDescent="0.25"/>
    <row r="141898" customFormat="1" x14ac:dyDescent="0.25"/>
    <row r="141899" customFormat="1" x14ac:dyDescent="0.25"/>
    <row r="141900" customFormat="1" x14ac:dyDescent="0.25"/>
    <row r="141901" customFormat="1" x14ac:dyDescent="0.25"/>
    <row r="141902" customFormat="1" x14ac:dyDescent="0.25"/>
    <row r="141903" customFormat="1" x14ac:dyDescent="0.25"/>
    <row r="141904" customFormat="1" x14ac:dyDescent="0.25"/>
    <row r="141905" customFormat="1" x14ac:dyDescent="0.25"/>
    <row r="141906" customFormat="1" x14ac:dyDescent="0.25"/>
    <row r="141907" customFormat="1" x14ac:dyDescent="0.25"/>
    <row r="141908" customFormat="1" x14ac:dyDescent="0.25"/>
    <row r="141909" customFormat="1" x14ac:dyDescent="0.25"/>
    <row r="141910" customFormat="1" x14ac:dyDescent="0.25"/>
    <row r="141911" customFormat="1" x14ac:dyDescent="0.25"/>
    <row r="141912" customFormat="1" x14ac:dyDescent="0.25"/>
    <row r="141913" customFormat="1" x14ac:dyDescent="0.25"/>
    <row r="141914" customFormat="1" x14ac:dyDescent="0.25"/>
    <row r="141915" customFormat="1" x14ac:dyDescent="0.25"/>
    <row r="141916" customFormat="1" x14ac:dyDescent="0.25"/>
    <row r="141917" customFormat="1" x14ac:dyDescent="0.25"/>
    <row r="141918" customFormat="1" x14ac:dyDescent="0.25"/>
    <row r="141919" customFormat="1" x14ac:dyDescent="0.25"/>
    <row r="141920" customFormat="1" x14ac:dyDescent="0.25"/>
    <row r="141921" customFormat="1" x14ac:dyDescent="0.25"/>
    <row r="141922" customFormat="1" x14ac:dyDescent="0.25"/>
    <row r="141923" customFormat="1" x14ac:dyDescent="0.25"/>
    <row r="141924" customFormat="1" x14ac:dyDescent="0.25"/>
    <row r="141925" customFormat="1" x14ac:dyDescent="0.25"/>
    <row r="141926" customFormat="1" x14ac:dyDescent="0.25"/>
    <row r="141927" customFormat="1" x14ac:dyDescent="0.25"/>
    <row r="141928" customFormat="1" x14ac:dyDescent="0.25"/>
    <row r="141929" customFormat="1" x14ac:dyDescent="0.25"/>
    <row r="141930" customFormat="1" x14ac:dyDescent="0.25"/>
    <row r="141931" customFormat="1" x14ac:dyDescent="0.25"/>
    <row r="141932" customFormat="1" x14ac:dyDescent="0.25"/>
    <row r="141933" customFormat="1" x14ac:dyDescent="0.25"/>
    <row r="141934" customFormat="1" x14ac:dyDescent="0.25"/>
    <row r="141935" customFormat="1" x14ac:dyDescent="0.25"/>
    <row r="141936" customFormat="1" x14ac:dyDescent="0.25"/>
    <row r="141937" customFormat="1" x14ac:dyDescent="0.25"/>
    <row r="141938" customFormat="1" x14ac:dyDescent="0.25"/>
    <row r="141939" customFormat="1" x14ac:dyDescent="0.25"/>
    <row r="141940" customFormat="1" x14ac:dyDescent="0.25"/>
    <row r="141941" customFormat="1" x14ac:dyDescent="0.25"/>
    <row r="141942" customFormat="1" x14ac:dyDescent="0.25"/>
    <row r="141943" customFormat="1" x14ac:dyDescent="0.25"/>
    <row r="141944" customFormat="1" x14ac:dyDescent="0.25"/>
    <row r="141945" customFormat="1" x14ac:dyDescent="0.25"/>
    <row r="141946" customFormat="1" x14ac:dyDescent="0.25"/>
    <row r="141947" customFormat="1" x14ac:dyDescent="0.25"/>
    <row r="141948" customFormat="1" x14ac:dyDescent="0.25"/>
    <row r="141949" customFormat="1" x14ac:dyDescent="0.25"/>
    <row r="141950" customFormat="1" x14ac:dyDescent="0.25"/>
    <row r="141951" customFormat="1" x14ac:dyDescent="0.25"/>
    <row r="141952" customFormat="1" x14ac:dyDescent="0.25"/>
    <row r="141953" customFormat="1" x14ac:dyDescent="0.25"/>
    <row r="141954" customFormat="1" x14ac:dyDescent="0.25"/>
    <row r="141955" customFormat="1" x14ac:dyDescent="0.25"/>
    <row r="141956" customFormat="1" x14ac:dyDescent="0.25"/>
    <row r="141957" customFormat="1" x14ac:dyDescent="0.25"/>
    <row r="141958" customFormat="1" x14ac:dyDescent="0.25"/>
    <row r="141959" customFormat="1" x14ac:dyDescent="0.25"/>
    <row r="141960" customFormat="1" x14ac:dyDescent="0.25"/>
    <row r="141961" customFormat="1" x14ac:dyDescent="0.25"/>
    <row r="141962" customFormat="1" x14ac:dyDescent="0.25"/>
    <row r="141963" customFormat="1" x14ac:dyDescent="0.25"/>
    <row r="141964" customFormat="1" x14ac:dyDescent="0.25"/>
    <row r="141965" customFormat="1" x14ac:dyDescent="0.25"/>
    <row r="141966" customFormat="1" x14ac:dyDescent="0.25"/>
    <row r="141967" customFormat="1" x14ac:dyDescent="0.25"/>
    <row r="141968" customFormat="1" x14ac:dyDescent="0.25"/>
    <row r="141969" customFormat="1" x14ac:dyDescent="0.25"/>
    <row r="141970" customFormat="1" x14ac:dyDescent="0.25"/>
    <row r="141971" customFormat="1" x14ac:dyDescent="0.25"/>
    <row r="141972" customFormat="1" x14ac:dyDescent="0.25"/>
    <row r="141973" customFormat="1" x14ac:dyDescent="0.25"/>
    <row r="141974" customFormat="1" x14ac:dyDescent="0.25"/>
    <row r="141975" customFormat="1" x14ac:dyDescent="0.25"/>
    <row r="141976" customFormat="1" x14ac:dyDescent="0.25"/>
    <row r="141977" customFormat="1" x14ac:dyDescent="0.25"/>
    <row r="141978" customFormat="1" x14ac:dyDescent="0.25"/>
    <row r="141979" customFormat="1" x14ac:dyDescent="0.25"/>
    <row r="141980" customFormat="1" x14ac:dyDescent="0.25"/>
    <row r="141981" customFormat="1" x14ac:dyDescent="0.25"/>
    <row r="141982" customFormat="1" x14ac:dyDescent="0.25"/>
    <row r="141983" customFormat="1" x14ac:dyDescent="0.25"/>
    <row r="141984" customFormat="1" x14ac:dyDescent="0.25"/>
    <row r="141985" customFormat="1" x14ac:dyDescent="0.25"/>
    <row r="141986" customFormat="1" x14ac:dyDescent="0.25"/>
    <row r="141987" customFormat="1" x14ac:dyDescent="0.25"/>
    <row r="141988" customFormat="1" x14ac:dyDescent="0.25"/>
    <row r="141989" customFormat="1" x14ac:dyDescent="0.25"/>
    <row r="141990" customFormat="1" x14ac:dyDescent="0.25"/>
    <row r="141991" customFormat="1" x14ac:dyDescent="0.25"/>
    <row r="141992" customFormat="1" x14ac:dyDescent="0.25"/>
    <row r="141993" customFormat="1" x14ac:dyDescent="0.25"/>
    <row r="141994" customFormat="1" x14ac:dyDescent="0.25"/>
    <row r="141995" customFormat="1" x14ac:dyDescent="0.25"/>
    <row r="141996" customFormat="1" x14ac:dyDescent="0.25"/>
    <row r="141997" customFormat="1" x14ac:dyDescent="0.25"/>
    <row r="141998" customFormat="1" x14ac:dyDescent="0.25"/>
    <row r="141999" customFormat="1" x14ac:dyDescent="0.25"/>
    <row r="142000" customFormat="1" x14ac:dyDescent="0.25"/>
    <row r="142001" customFormat="1" x14ac:dyDescent="0.25"/>
    <row r="142002" customFormat="1" x14ac:dyDescent="0.25"/>
    <row r="142003" customFormat="1" x14ac:dyDescent="0.25"/>
    <row r="142004" customFormat="1" x14ac:dyDescent="0.25"/>
    <row r="142005" customFormat="1" x14ac:dyDescent="0.25"/>
    <row r="142006" customFormat="1" x14ac:dyDescent="0.25"/>
    <row r="142007" customFormat="1" x14ac:dyDescent="0.25"/>
    <row r="142008" customFormat="1" x14ac:dyDescent="0.25"/>
    <row r="142009" customFormat="1" x14ac:dyDescent="0.25"/>
    <row r="142010" customFormat="1" x14ac:dyDescent="0.25"/>
    <row r="142011" customFormat="1" x14ac:dyDescent="0.25"/>
    <row r="142012" customFormat="1" x14ac:dyDescent="0.25"/>
    <row r="142013" customFormat="1" x14ac:dyDescent="0.25"/>
    <row r="142014" customFormat="1" x14ac:dyDescent="0.25"/>
    <row r="142015" customFormat="1" x14ac:dyDescent="0.25"/>
    <row r="142016" customFormat="1" x14ac:dyDescent="0.25"/>
    <row r="142017" customFormat="1" x14ac:dyDescent="0.25"/>
    <row r="142018" customFormat="1" x14ac:dyDescent="0.25"/>
    <row r="142019" customFormat="1" x14ac:dyDescent="0.25"/>
    <row r="142020" customFormat="1" x14ac:dyDescent="0.25"/>
    <row r="142021" customFormat="1" x14ac:dyDescent="0.25"/>
    <row r="142022" customFormat="1" x14ac:dyDescent="0.25"/>
    <row r="142023" customFormat="1" x14ac:dyDescent="0.25"/>
    <row r="142024" customFormat="1" x14ac:dyDescent="0.25"/>
    <row r="142025" customFormat="1" x14ac:dyDescent="0.25"/>
    <row r="142026" customFormat="1" x14ac:dyDescent="0.25"/>
    <row r="142027" customFormat="1" x14ac:dyDescent="0.25"/>
    <row r="142028" customFormat="1" x14ac:dyDescent="0.25"/>
    <row r="142029" customFormat="1" x14ac:dyDescent="0.25"/>
    <row r="142030" customFormat="1" x14ac:dyDescent="0.25"/>
    <row r="142031" customFormat="1" x14ac:dyDescent="0.25"/>
    <row r="142032" customFormat="1" x14ac:dyDescent="0.25"/>
    <row r="142033" customFormat="1" x14ac:dyDescent="0.25"/>
    <row r="142034" customFormat="1" x14ac:dyDescent="0.25"/>
    <row r="142035" customFormat="1" x14ac:dyDescent="0.25"/>
    <row r="142036" customFormat="1" x14ac:dyDescent="0.25"/>
    <row r="142037" customFormat="1" x14ac:dyDescent="0.25"/>
    <row r="142038" customFormat="1" x14ac:dyDescent="0.25"/>
    <row r="142039" customFormat="1" x14ac:dyDescent="0.25"/>
    <row r="142040" customFormat="1" x14ac:dyDescent="0.25"/>
    <row r="142041" customFormat="1" x14ac:dyDescent="0.25"/>
    <row r="142042" customFormat="1" x14ac:dyDescent="0.25"/>
    <row r="142043" customFormat="1" x14ac:dyDescent="0.25"/>
    <row r="142044" customFormat="1" x14ac:dyDescent="0.25"/>
    <row r="142045" customFormat="1" x14ac:dyDescent="0.25"/>
    <row r="142046" customFormat="1" x14ac:dyDescent="0.25"/>
    <row r="142047" customFormat="1" x14ac:dyDescent="0.25"/>
    <row r="142048" customFormat="1" x14ac:dyDescent="0.25"/>
    <row r="142049" customFormat="1" x14ac:dyDescent="0.25"/>
    <row r="142050" customFormat="1" x14ac:dyDescent="0.25"/>
    <row r="142051" customFormat="1" x14ac:dyDescent="0.25"/>
    <row r="142052" customFormat="1" x14ac:dyDescent="0.25"/>
    <row r="142053" customFormat="1" x14ac:dyDescent="0.25"/>
    <row r="142054" customFormat="1" x14ac:dyDescent="0.25"/>
    <row r="142055" customFormat="1" x14ac:dyDescent="0.25"/>
    <row r="142056" customFormat="1" x14ac:dyDescent="0.25"/>
    <row r="142057" customFormat="1" x14ac:dyDescent="0.25"/>
    <row r="142058" customFormat="1" x14ac:dyDescent="0.25"/>
    <row r="142059" customFormat="1" x14ac:dyDescent="0.25"/>
    <row r="142060" customFormat="1" x14ac:dyDescent="0.25"/>
    <row r="142061" customFormat="1" x14ac:dyDescent="0.25"/>
    <row r="142062" customFormat="1" x14ac:dyDescent="0.25"/>
    <row r="142063" customFormat="1" x14ac:dyDescent="0.25"/>
    <row r="142064" customFormat="1" x14ac:dyDescent="0.25"/>
    <row r="142065" customFormat="1" x14ac:dyDescent="0.25"/>
    <row r="142066" customFormat="1" x14ac:dyDescent="0.25"/>
    <row r="142067" customFormat="1" x14ac:dyDescent="0.25"/>
    <row r="142068" customFormat="1" x14ac:dyDescent="0.25"/>
    <row r="142069" customFormat="1" x14ac:dyDescent="0.25"/>
    <row r="142070" customFormat="1" x14ac:dyDescent="0.25"/>
    <row r="142071" customFormat="1" x14ac:dyDescent="0.25"/>
    <row r="142072" customFormat="1" x14ac:dyDescent="0.25"/>
    <row r="142073" customFormat="1" x14ac:dyDescent="0.25"/>
    <row r="142074" customFormat="1" x14ac:dyDescent="0.25"/>
    <row r="142075" customFormat="1" x14ac:dyDescent="0.25"/>
    <row r="142076" customFormat="1" x14ac:dyDescent="0.25"/>
    <row r="142077" customFormat="1" x14ac:dyDescent="0.25"/>
    <row r="142078" customFormat="1" x14ac:dyDescent="0.25"/>
    <row r="142079" customFormat="1" x14ac:dyDescent="0.25"/>
    <row r="142080" customFormat="1" x14ac:dyDescent="0.25"/>
    <row r="142081" customFormat="1" x14ac:dyDescent="0.25"/>
    <row r="142082" customFormat="1" x14ac:dyDescent="0.25"/>
    <row r="142083" customFormat="1" x14ac:dyDescent="0.25"/>
    <row r="142084" customFormat="1" x14ac:dyDescent="0.25"/>
    <row r="142085" customFormat="1" x14ac:dyDescent="0.25"/>
    <row r="142086" customFormat="1" x14ac:dyDescent="0.25"/>
    <row r="142087" customFormat="1" x14ac:dyDescent="0.25"/>
    <row r="142088" customFormat="1" x14ac:dyDescent="0.25"/>
    <row r="142089" customFormat="1" x14ac:dyDescent="0.25"/>
    <row r="142090" customFormat="1" x14ac:dyDescent="0.25"/>
    <row r="142091" customFormat="1" x14ac:dyDescent="0.25"/>
    <row r="142092" customFormat="1" x14ac:dyDescent="0.25"/>
    <row r="142093" customFormat="1" x14ac:dyDescent="0.25"/>
    <row r="142094" customFormat="1" x14ac:dyDescent="0.25"/>
    <row r="142095" customFormat="1" x14ac:dyDescent="0.25"/>
    <row r="142096" customFormat="1" x14ac:dyDescent="0.25"/>
    <row r="142097" customFormat="1" x14ac:dyDescent="0.25"/>
    <row r="142098" customFormat="1" x14ac:dyDescent="0.25"/>
    <row r="142099" customFormat="1" x14ac:dyDescent="0.25"/>
    <row r="142100" customFormat="1" x14ac:dyDescent="0.25"/>
    <row r="142101" customFormat="1" x14ac:dyDescent="0.25"/>
    <row r="142102" customFormat="1" x14ac:dyDescent="0.25"/>
    <row r="142103" customFormat="1" x14ac:dyDescent="0.25"/>
    <row r="142104" customFormat="1" x14ac:dyDescent="0.25"/>
    <row r="142105" customFormat="1" x14ac:dyDescent="0.25"/>
    <row r="142106" customFormat="1" x14ac:dyDescent="0.25"/>
    <row r="142107" customFormat="1" x14ac:dyDescent="0.25"/>
    <row r="142108" customFormat="1" x14ac:dyDescent="0.25"/>
    <row r="142109" customFormat="1" x14ac:dyDescent="0.25"/>
    <row r="142110" customFormat="1" x14ac:dyDescent="0.25"/>
    <row r="142111" customFormat="1" x14ac:dyDescent="0.25"/>
    <row r="142112" customFormat="1" x14ac:dyDescent="0.25"/>
    <row r="142113" customFormat="1" x14ac:dyDescent="0.25"/>
    <row r="142114" customFormat="1" x14ac:dyDescent="0.25"/>
    <row r="142115" customFormat="1" x14ac:dyDescent="0.25"/>
    <row r="142116" customFormat="1" x14ac:dyDescent="0.25"/>
    <row r="142117" customFormat="1" x14ac:dyDescent="0.25"/>
    <row r="142118" customFormat="1" x14ac:dyDescent="0.25"/>
    <row r="142119" customFormat="1" x14ac:dyDescent="0.25"/>
    <row r="142120" customFormat="1" x14ac:dyDescent="0.25"/>
    <row r="142121" customFormat="1" x14ac:dyDescent="0.25"/>
    <row r="142122" customFormat="1" x14ac:dyDescent="0.25"/>
    <row r="142123" customFormat="1" x14ac:dyDescent="0.25"/>
    <row r="142124" customFormat="1" x14ac:dyDescent="0.25"/>
    <row r="142125" customFormat="1" x14ac:dyDescent="0.25"/>
    <row r="142126" customFormat="1" x14ac:dyDescent="0.25"/>
    <row r="142127" customFormat="1" x14ac:dyDescent="0.25"/>
    <row r="142128" customFormat="1" x14ac:dyDescent="0.25"/>
    <row r="142129" customFormat="1" x14ac:dyDescent="0.25"/>
    <row r="142130" customFormat="1" x14ac:dyDescent="0.25"/>
    <row r="142131" customFormat="1" x14ac:dyDescent="0.25"/>
    <row r="142132" customFormat="1" x14ac:dyDescent="0.25"/>
    <row r="142133" customFormat="1" x14ac:dyDescent="0.25"/>
    <row r="142134" customFormat="1" x14ac:dyDescent="0.25"/>
    <row r="142135" customFormat="1" x14ac:dyDescent="0.25"/>
    <row r="142136" customFormat="1" x14ac:dyDescent="0.25"/>
    <row r="142137" customFormat="1" x14ac:dyDescent="0.25"/>
    <row r="142138" customFormat="1" x14ac:dyDescent="0.25"/>
    <row r="142139" customFormat="1" x14ac:dyDescent="0.25"/>
    <row r="142140" customFormat="1" x14ac:dyDescent="0.25"/>
    <row r="142141" customFormat="1" x14ac:dyDescent="0.25"/>
    <row r="142142" customFormat="1" x14ac:dyDescent="0.25"/>
    <row r="142143" customFormat="1" x14ac:dyDescent="0.25"/>
    <row r="142144" customFormat="1" x14ac:dyDescent="0.25"/>
    <row r="142145" customFormat="1" x14ac:dyDescent="0.25"/>
    <row r="142146" customFormat="1" x14ac:dyDescent="0.25"/>
    <row r="142147" customFormat="1" x14ac:dyDescent="0.25"/>
    <row r="142148" customFormat="1" x14ac:dyDescent="0.25"/>
    <row r="142149" customFormat="1" x14ac:dyDescent="0.25"/>
    <row r="142150" customFormat="1" x14ac:dyDescent="0.25"/>
    <row r="142151" customFormat="1" x14ac:dyDescent="0.25"/>
    <row r="142152" customFormat="1" x14ac:dyDescent="0.25"/>
    <row r="142153" customFormat="1" x14ac:dyDescent="0.25"/>
    <row r="142154" customFormat="1" x14ac:dyDescent="0.25"/>
    <row r="142155" customFormat="1" x14ac:dyDescent="0.25"/>
    <row r="142156" customFormat="1" x14ac:dyDescent="0.25"/>
    <row r="142157" customFormat="1" x14ac:dyDescent="0.25"/>
    <row r="142158" customFormat="1" x14ac:dyDescent="0.25"/>
    <row r="142159" customFormat="1" x14ac:dyDescent="0.25"/>
    <row r="142160" customFormat="1" x14ac:dyDescent="0.25"/>
    <row r="142161" customFormat="1" x14ac:dyDescent="0.25"/>
    <row r="142162" customFormat="1" x14ac:dyDescent="0.25"/>
    <row r="142163" customFormat="1" x14ac:dyDescent="0.25"/>
    <row r="142164" customFormat="1" x14ac:dyDescent="0.25"/>
    <row r="142165" customFormat="1" x14ac:dyDescent="0.25"/>
    <row r="142166" customFormat="1" x14ac:dyDescent="0.25"/>
    <row r="142167" customFormat="1" x14ac:dyDescent="0.25"/>
    <row r="142168" customFormat="1" x14ac:dyDescent="0.25"/>
    <row r="142169" customFormat="1" x14ac:dyDescent="0.25"/>
    <row r="142170" customFormat="1" x14ac:dyDescent="0.25"/>
    <row r="142171" customFormat="1" x14ac:dyDescent="0.25"/>
    <row r="142172" customFormat="1" x14ac:dyDescent="0.25"/>
    <row r="142173" customFormat="1" x14ac:dyDescent="0.25"/>
    <row r="142174" customFormat="1" x14ac:dyDescent="0.25"/>
    <row r="142175" customFormat="1" x14ac:dyDescent="0.25"/>
    <row r="142176" customFormat="1" x14ac:dyDescent="0.25"/>
    <row r="142177" customFormat="1" x14ac:dyDescent="0.25"/>
    <row r="142178" customFormat="1" x14ac:dyDescent="0.25"/>
    <row r="142179" customFormat="1" x14ac:dyDescent="0.25"/>
    <row r="142180" customFormat="1" x14ac:dyDescent="0.25"/>
    <row r="142181" customFormat="1" x14ac:dyDescent="0.25"/>
    <row r="142182" customFormat="1" x14ac:dyDescent="0.25"/>
    <row r="142183" customFormat="1" x14ac:dyDescent="0.25"/>
    <row r="142184" customFormat="1" x14ac:dyDescent="0.25"/>
    <row r="142185" customFormat="1" x14ac:dyDescent="0.25"/>
    <row r="142186" customFormat="1" x14ac:dyDescent="0.25"/>
    <row r="142187" customFormat="1" x14ac:dyDescent="0.25"/>
    <row r="142188" customFormat="1" x14ac:dyDescent="0.25"/>
    <row r="142189" customFormat="1" x14ac:dyDescent="0.25"/>
    <row r="142190" customFormat="1" x14ac:dyDescent="0.25"/>
    <row r="142191" customFormat="1" x14ac:dyDescent="0.25"/>
    <row r="142192" customFormat="1" x14ac:dyDescent="0.25"/>
    <row r="142193" customFormat="1" x14ac:dyDescent="0.25"/>
    <row r="142194" customFormat="1" x14ac:dyDescent="0.25"/>
    <row r="142195" customFormat="1" x14ac:dyDescent="0.25"/>
    <row r="142196" customFormat="1" x14ac:dyDescent="0.25"/>
    <row r="142197" customFormat="1" x14ac:dyDescent="0.25"/>
    <row r="142198" customFormat="1" x14ac:dyDescent="0.25"/>
    <row r="142199" customFormat="1" x14ac:dyDescent="0.25"/>
    <row r="142200" customFormat="1" x14ac:dyDescent="0.25"/>
    <row r="142201" customFormat="1" x14ac:dyDescent="0.25"/>
    <row r="142202" customFormat="1" x14ac:dyDescent="0.25"/>
    <row r="142203" customFormat="1" x14ac:dyDescent="0.25"/>
    <row r="142204" customFormat="1" x14ac:dyDescent="0.25"/>
    <row r="142205" customFormat="1" x14ac:dyDescent="0.25"/>
    <row r="142206" customFormat="1" x14ac:dyDescent="0.25"/>
    <row r="142207" customFormat="1" x14ac:dyDescent="0.25"/>
    <row r="142208" customFormat="1" x14ac:dyDescent="0.25"/>
    <row r="142209" customFormat="1" x14ac:dyDescent="0.25"/>
    <row r="142210" customFormat="1" x14ac:dyDescent="0.25"/>
    <row r="142211" customFormat="1" x14ac:dyDescent="0.25"/>
    <row r="142212" customFormat="1" x14ac:dyDescent="0.25"/>
    <row r="142213" customFormat="1" x14ac:dyDescent="0.25"/>
    <row r="142214" customFormat="1" x14ac:dyDescent="0.25"/>
    <row r="142215" customFormat="1" x14ac:dyDescent="0.25"/>
    <row r="142216" customFormat="1" x14ac:dyDescent="0.25"/>
    <row r="142217" customFormat="1" x14ac:dyDescent="0.25"/>
    <row r="142218" customFormat="1" x14ac:dyDescent="0.25"/>
    <row r="142219" customFormat="1" x14ac:dyDescent="0.25"/>
    <row r="142220" customFormat="1" x14ac:dyDescent="0.25"/>
    <row r="142221" customFormat="1" x14ac:dyDescent="0.25"/>
    <row r="142222" customFormat="1" x14ac:dyDescent="0.25"/>
    <row r="142223" customFormat="1" x14ac:dyDescent="0.25"/>
    <row r="142224" customFormat="1" x14ac:dyDescent="0.25"/>
    <row r="142225" customFormat="1" x14ac:dyDescent="0.25"/>
    <row r="142226" customFormat="1" x14ac:dyDescent="0.25"/>
    <row r="142227" customFormat="1" x14ac:dyDescent="0.25"/>
    <row r="142228" customFormat="1" x14ac:dyDescent="0.25"/>
    <row r="142229" customFormat="1" x14ac:dyDescent="0.25"/>
    <row r="142230" customFormat="1" x14ac:dyDescent="0.25"/>
    <row r="142231" customFormat="1" x14ac:dyDescent="0.25"/>
    <row r="142232" customFormat="1" x14ac:dyDescent="0.25"/>
    <row r="142233" customFormat="1" x14ac:dyDescent="0.25"/>
    <row r="142234" customFormat="1" x14ac:dyDescent="0.25"/>
    <row r="142235" customFormat="1" x14ac:dyDescent="0.25"/>
    <row r="142236" customFormat="1" x14ac:dyDescent="0.25"/>
    <row r="142237" customFormat="1" x14ac:dyDescent="0.25"/>
    <row r="142238" customFormat="1" x14ac:dyDescent="0.25"/>
    <row r="142239" customFormat="1" x14ac:dyDescent="0.25"/>
    <row r="142240" customFormat="1" x14ac:dyDescent="0.25"/>
    <row r="142241" customFormat="1" x14ac:dyDescent="0.25"/>
    <row r="142242" customFormat="1" x14ac:dyDescent="0.25"/>
    <row r="142243" customFormat="1" x14ac:dyDescent="0.25"/>
    <row r="142244" customFormat="1" x14ac:dyDescent="0.25"/>
    <row r="142245" customFormat="1" x14ac:dyDescent="0.25"/>
    <row r="142246" customFormat="1" x14ac:dyDescent="0.25"/>
    <row r="142247" customFormat="1" x14ac:dyDescent="0.25"/>
    <row r="142248" customFormat="1" x14ac:dyDescent="0.25"/>
    <row r="142249" customFormat="1" x14ac:dyDescent="0.25"/>
    <row r="142250" customFormat="1" x14ac:dyDescent="0.25"/>
    <row r="142251" customFormat="1" x14ac:dyDescent="0.25"/>
    <row r="142252" customFormat="1" x14ac:dyDescent="0.25"/>
    <row r="142253" customFormat="1" x14ac:dyDescent="0.25"/>
    <row r="142254" customFormat="1" x14ac:dyDescent="0.25"/>
    <row r="142255" customFormat="1" x14ac:dyDescent="0.25"/>
    <row r="142256" customFormat="1" x14ac:dyDescent="0.25"/>
    <row r="142257" customFormat="1" x14ac:dyDescent="0.25"/>
    <row r="142258" customFormat="1" x14ac:dyDescent="0.25"/>
    <row r="142259" customFormat="1" x14ac:dyDescent="0.25"/>
    <row r="142260" customFormat="1" x14ac:dyDescent="0.25"/>
    <row r="142261" customFormat="1" x14ac:dyDescent="0.25"/>
    <row r="142262" customFormat="1" x14ac:dyDescent="0.25"/>
    <row r="142263" customFormat="1" x14ac:dyDescent="0.25"/>
    <row r="142264" customFormat="1" x14ac:dyDescent="0.25"/>
    <row r="142265" customFormat="1" x14ac:dyDescent="0.25"/>
    <row r="142266" customFormat="1" x14ac:dyDescent="0.25"/>
    <row r="142267" customFormat="1" x14ac:dyDescent="0.25"/>
    <row r="142268" customFormat="1" x14ac:dyDescent="0.25"/>
    <row r="142269" customFormat="1" x14ac:dyDescent="0.25"/>
    <row r="142270" customFormat="1" x14ac:dyDescent="0.25"/>
    <row r="142271" customFormat="1" x14ac:dyDescent="0.25"/>
    <row r="142272" customFormat="1" x14ac:dyDescent="0.25"/>
    <row r="142273" customFormat="1" x14ac:dyDescent="0.25"/>
    <row r="142274" customFormat="1" x14ac:dyDescent="0.25"/>
    <row r="142275" customFormat="1" x14ac:dyDescent="0.25"/>
    <row r="142276" customFormat="1" x14ac:dyDescent="0.25"/>
    <row r="142277" customFormat="1" x14ac:dyDescent="0.25"/>
    <row r="142278" customFormat="1" x14ac:dyDescent="0.25"/>
    <row r="142279" customFormat="1" x14ac:dyDescent="0.25"/>
    <row r="142280" customFormat="1" x14ac:dyDescent="0.25"/>
    <row r="142281" customFormat="1" x14ac:dyDescent="0.25"/>
    <row r="142282" customFormat="1" x14ac:dyDescent="0.25"/>
    <row r="142283" customFormat="1" x14ac:dyDescent="0.25"/>
    <row r="142284" customFormat="1" x14ac:dyDescent="0.25"/>
    <row r="142285" customFormat="1" x14ac:dyDescent="0.25"/>
    <row r="142286" customFormat="1" x14ac:dyDescent="0.25"/>
    <row r="142287" customFormat="1" x14ac:dyDescent="0.25"/>
    <row r="142288" customFormat="1" x14ac:dyDescent="0.25"/>
    <row r="142289" customFormat="1" x14ac:dyDescent="0.25"/>
    <row r="142290" customFormat="1" x14ac:dyDescent="0.25"/>
    <row r="142291" customFormat="1" x14ac:dyDescent="0.25"/>
    <row r="142292" customFormat="1" x14ac:dyDescent="0.25"/>
    <row r="142293" customFormat="1" x14ac:dyDescent="0.25"/>
    <row r="142294" customFormat="1" x14ac:dyDescent="0.25"/>
    <row r="142295" customFormat="1" x14ac:dyDescent="0.25"/>
    <row r="142296" customFormat="1" x14ac:dyDescent="0.25"/>
    <row r="142297" customFormat="1" x14ac:dyDescent="0.25"/>
    <row r="142298" customFormat="1" x14ac:dyDescent="0.25"/>
    <row r="142299" customFormat="1" x14ac:dyDescent="0.25"/>
    <row r="142300" customFormat="1" x14ac:dyDescent="0.25"/>
    <row r="142301" customFormat="1" x14ac:dyDescent="0.25"/>
    <row r="142302" customFormat="1" x14ac:dyDescent="0.25"/>
    <row r="142303" customFormat="1" x14ac:dyDescent="0.25"/>
    <row r="142304" customFormat="1" x14ac:dyDescent="0.25"/>
    <row r="142305" customFormat="1" x14ac:dyDescent="0.25"/>
    <row r="142306" customFormat="1" x14ac:dyDescent="0.25"/>
    <row r="142307" customFormat="1" x14ac:dyDescent="0.25"/>
    <row r="142308" customFormat="1" x14ac:dyDescent="0.25"/>
    <row r="142309" customFormat="1" x14ac:dyDescent="0.25"/>
    <row r="142310" customFormat="1" x14ac:dyDescent="0.25"/>
    <row r="142311" customFormat="1" x14ac:dyDescent="0.25"/>
    <row r="142312" customFormat="1" x14ac:dyDescent="0.25"/>
    <row r="142313" customFormat="1" x14ac:dyDescent="0.25"/>
    <row r="142314" customFormat="1" x14ac:dyDescent="0.25"/>
    <row r="142315" customFormat="1" x14ac:dyDescent="0.25"/>
    <row r="142316" customFormat="1" x14ac:dyDescent="0.25"/>
    <row r="142317" customFormat="1" x14ac:dyDescent="0.25"/>
    <row r="142318" customFormat="1" x14ac:dyDescent="0.25"/>
    <row r="142319" customFormat="1" x14ac:dyDescent="0.25"/>
    <row r="142320" customFormat="1" x14ac:dyDescent="0.25"/>
    <row r="142321" customFormat="1" x14ac:dyDescent="0.25"/>
    <row r="142322" customFormat="1" x14ac:dyDescent="0.25"/>
    <row r="142323" customFormat="1" x14ac:dyDescent="0.25"/>
    <row r="142324" customFormat="1" x14ac:dyDescent="0.25"/>
    <row r="142325" customFormat="1" x14ac:dyDescent="0.25"/>
    <row r="142326" customFormat="1" x14ac:dyDescent="0.25"/>
    <row r="142327" customFormat="1" x14ac:dyDescent="0.25"/>
    <row r="142328" customFormat="1" x14ac:dyDescent="0.25"/>
    <row r="142329" customFormat="1" x14ac:dyDescent="0.25"/>
    <row r="142330" customFormat="1" x14ac:dyDescent="0.25"/>
    <row r="142331" customFormat="1" x14ac:dyDescent="0.25"/>
    <row r="142332" customFormat="1" x14ac:dyDescent="0.25"/>
    <row r="142333" customFormat="1" x14ac:dyDescent="0.25"/>
    <row r="142334" customFormat="1" x14ac:dyDescent="0.25"/>
    <row r="142335" customFormat="1" x14ac:dyDescent="0.25"/>
    <row r="142336" customFormat="1" x14ac:dyDescent="0.25"/>
    <row r="142337" customFormat="1" x14ac:dyDescent="0.25"/>
    <row r="142338" customFormat="1" x14ac:dyDescent="0.25"/>
    <row r="142339" customFormat="1" x14ac:dyDescent="0.25"/>
    <row r="142340" customFormat="1" x14ac:dyDescent="0.25"/>
    <row r="142341" customFormat="1" x14ac:dyDescent="0.25"/>
    <row r="142342" customFormat="1" x14ac:dyDescent="0.25"/>
    <row r="142343" customFormat="1" x14ac:dyDescent="0.25"/>
    <row r="142344" customFormat="1" x14ac:dyDescent="0.25"/>
    <row r="142345" customFormat="1" x14ac:dyDescent="0.25"/>
    <row r="142346" customFormat="1" x14ac:dyDescent="0.25"/>
    <row r="142347" customFormat="1" x14ac:dyDescent="0.25"/>
    <row r="142348" customFormat="1" x14ac:dyDescent="0.25"/>
    <row r="142349" customFormat="1" x14ac:dyDescent="0.25"/>
    <row r="142350" customFormat="1" x14ac:dyDescent="0.25"/>
    <row r="142351" customFormat="1" x14ac:dyDescent="0.25"/>
    <row r="142352" customFormat="1" x14ac:dyDescent="0.25"/>
    <row r="142353" customFormat="1" x14ac:dyDescent="0.25"/>
    <row r="142354" customFormat="1" x14ac:dyDescent="0.25"/>
    <row r="142355" customFormat="1" x14ac:dyDescent="0.25"/>
    <row r="142356" customFormat="1" x14ac:dyDescent="0.25"/>
    <row r="142357" customFormat="1" x14ac:dyDescent="0.25"/>
    <row r="142358" customFormat="1" x14ac:dyDescent="0.25"/>
    <row r="142359" customFormat="1" x14ac:dyDescent="0.25"/>
    <row r="142360" customFormat="1" x14ac:dyDescent="0.25"/>
    <row r="142361" customFormat="1" x14ac:dyDescent="0.25"/>
    <row r="142362" customFormat="1" x14ac:dyDescent="0.25"/>
    <row r="142363" customFormat="1" x14ac:dyDescent="0.25"/>
    <row r="142364" customFormat="1" x14ac:dyDescent="0.25"/>
    <row r="142365" customFormat="1" x14ac:dyDescent="0.25"/>
    <row r="142366" customFormat="1" x14ac:dyDescent="0.25"/>
    <row r="142367" customFormat="1" x14ac:dyDescent="0.25"/>
    <row r="142368" customFormat="1" x14ac:dyDescent="0.25"/>
    <row r="142369" customFormat="1" x14ac:dyDescent="0.25"/>
    <row r="142370" customFormat="1" x14ac:dyDescent="0.25"/>
    <row r="142371" customFormat="1" x14ac:dyDescent="0.25"/>
    <row r="142372" customFormat="1" x14ac:dyDescent="0.25"/>
    <row r="142373" customFormat="1" x14ac:dyDescent="0.25"/>
    <row r="142374" customFormat="1" x14ac:dyDescent="0.25"/>
    <row r="142375" customFormat="1" x14ac:dyDescent="0.25"/>
    <row r="142376" customFormat="1" x14ac:dyDescent="0.25"/>
    <row r="142377" customFormat="1" x14ac:dyDescent="0.25"/>
    <row r="142378" customFormat="1" x14ac:dyDescent="0.25"/>
    <row r="142379" customFormat="1" x14ac:dyDescent="0.25"/>
    <row r="142380" customFormat="1" x14ac:dyDescent="0.25"/>
    <row r="142381" customFormat="1" x14ac:dyDescent="0.25"/>
    <row r="142382" customFormat="1" x14ac:dyDescent="0.25"/>
    <row r="142383" customFormat="1" x14ac:dyDescent="0.25"/>
    <row r="142384" customFormat="1" x14ac:dyDescent="0.25"/>
    <row r="142385" customFormat="1" x14ac:dyDescent="0.25"/>
    <row r="142386" customFormat="1" x14ac:dyDescent="0.25"/>
    <row r="142387" customFormat="1" x14ac:dyDescent="0.25"/>
    <row r="142388" customFormat="1" x14ac:dyDescent="0.25"/>
    <row r="142389" customFormat="1" x14ac:dyDescent="0.25"/>
    <row r="142390" customFormat="1" x14ac:dyDescent="0.25"/>
    <row r="142391" customFormat="1" x14ac:dyDescent="0.25"/>
    <row r="142392" customFormat="1" x14ac:dyDescent="0.25"/>
    <row r="142393" customFormat="1" x14ac:dyDescent="0.25"/>
    <row r="142394" customFormat="1" x14ac:dyDescent="0.25"/>
    <row r="142395" customFormat="1" x14ac:dyDescent="0.25"/>
    <row r="142396" customFormat="1" x14ac:dyDescent="0.25"/>
    <row r="142397" customFormat="1" x14ac:dyDescent="0.25"/>
    <row r="142398" customFormat="1" x14ac:dyDescent="0.25"/>
    <row r="142399" customFormat="1" x14ac:dyDescent="0.25"/>
    <row r="142400" customFormat="1" x14ac:dyDescent="0.25"/>
    <row r="142401" customFormat="1" x14ac:dyDescent="0.25"/>
    <row r="142402" customFormat="1" x14ac:dyDescent="0.25"/>
    <row r="142403" customFormat="1" x14ac:dyDescent="0.25"/>
    <row r="142404" customFormat="1" x14ac:dyDescent="0.25"/>
    <row r="142405" customFormat="1" x14ac:dyDescent="0.25"/>
    <row r="142406" customFormat="1" x14ac:dyDescent="0.25"/>
    <row r="142407" customFormat="1" x14ac:dyDescent="0.25"/>
    <row r="142408" customFormat="1" x14ac:dyDescent="0.25"/>
    <row r="142409" customFormat="1" x14ac:dyDescent="0.25"/>
    <row r="142410" customFormat="1" x14ac:dyDescent="0.25"/>
    <row r="142411" customFormat="1" x14ac:dyDescent="0.25"/>
    <row r="142412" customFormat="1" x14ac:dyDescent="0.25"/>
    <row r="142413" customFormat="1" x14ac:dyDescent="0.25"/>
    <row r="142414" customFormat="1" x14ac:dyDescent="0.25"/>
    <row r="142415" customFormat="1" x14ac:dyDescent="0.25"/>
    <row r="142416" customFormat="1" x14ac:dyDescent="0.25"/>
    <row r="142417" customFormat="1" x14ac:dyDescent="0.25"/>
    <row r="142418" customFormat="1" x14ac:dyDescent="0.25"/>
    <row r="142419" customFormat="1" x14ac:dyDescent="0.25"/>
    <row r="142420" customFormat="1" x14ac:dyDescent="0.25"/>
    <row r="142421" customFormat="1" x14ac:dyDescent="0.25"/>
    <row r="142422" customFormat="1" x14ac:dyDescent="0.25"/>
    <row r="142423" customFormat="1" x14ac:dyDescent="0.25"/>
    <row r="142424" customFormat="1" x14ac:dyDescent="0.25"/>
    <row r="142425" customFormat="1" x14ac:dyDescent="0.25"/>
    <row r="142426" customFormat="1" x14ac:dyDescent="0.25"/>
    <row r="142427" customFormat="1" x14ac:dyDescent="0.25"/>
    <row r="142428" customFormat="1" x14ac:dyDescent="0.25"/>
    <row r="142429" customFormat="1" x14ac:dyDescent="0.25"/>
    <row r="142430" customFormat="1" x14ac:dyDescent="0.25"/>
    <row r="142431" customFormat="1" x14ac:dyDescent="0.25"/>
    <row r="142432" customFormat="1" x14ac:dyDescent="0.25"/>
    <row r="142433" customFormat="1" x14ac:dyDescent="0.25"/>
    <row r="142434" customFormat="1" x14ac:dyDescent="0.25"/>
    <row r="142435" customFormat="1" x14ac:dyDescent="0.25"/>
    <row r="142436" customFormat="1" x14ac:dyDescent="0.25"/>
    <row r="142437" customFormat="1" x14ac:dyDescent="0.25"/>
    <row r="142438" customFormat="1" x14ac:dyDescent="0.25"/>
    <row r="142439" customFormat="1" x14ac:dyDescent="0.25"/>
    <row r="142440" customFormat="1" x14ac:dyDescent="0.25"/>
    <row r="142441" customFormat="1" x14ac:dyDescent="0.25"/>
    <row r="142442" customFormat="1" x14ac:dyDescent="0.25"/>
    <row r="142443" customFormat="1" x14ac:dyDescent="0.25"/>
    <row r="142444" customFormat="1" x14ac:dyDescent="0.25"/>
    <row r="142445" customFormat="1" x14ac:dyDescent="0.25"/>
    <row r="142446" customFormat="1" x14ac:dyDescent="0.25"/>
    <row r="142447" customFormat="1" x14ac:dyDescent="0.25"/>
    <row r="142448" customFormat="1" x14ac:dyDescent="0.25"/>
    <row r="142449" customFormat="1" x14ac:dyDescent="0.25"/>
    <row r="142450" customFormat="1" x14ac:dyDescent="0.25"/>
    <row r="142451" customFormat="1" x14ac:dyDescent="0.25"/>
    <row r="142452" customFormat="1" x14ac:dyDescent="0.25"/>
    <row r="142453" customFormat="1" x14ac:dyDescent="0.25"/>
    <row r="142454" customFormat="1" x14ac:dyDescent="0.25"/>
    <row r="142455" customFormat="1" x14ac:dyDescent="0.25"/>
    <row r="142456" customFormat="1" x14ac:dyDescent="0.25"/>
    <row r="142457" customFormat="1" x14ac:dyDescent="0.25"/>
    <row r="142458" customFormat="1" x14ac:dyDescent="0.25"/>
    <row r="142459" customFormat="1" x14ac:dyDescent="0.25"/>
    <row r="142460" customFormat="1" x14ac:dyDescent="0.25"/>
    <row r="142461" customFormat="1" x14ac:dyDescent="0.25"/>
    <row r="142462" customFormat="1" x14ac:dyDescent="0.25"/>
    <row r="142463" customFormat="1" x14ac:dyDescent="0.25"/>
    <row r="142464" customFormat="1" x14ac:dyDescent="0.25"/>
    <row r="142465" customFormat="1" x14ac:dyDescent="0.25"/>
    <row r="142466" customFormat="1" x14ac:dyDescent="0.25"/>
    <row r="142467" customFormat="1" x14ac:dyDescent="0.25"/>
    <row r="142468" customFormat="1" x14ac:dyDescent="0.25"/>
    <row r="142469" customFormat="1" x14ac:dyDescent="0.25"/>
    <row r="142470" customFormat="1" x14ac:dyDescent="0.25"/>
    <row r="142471" customFormat="1" x14ac:dyDescent="0.25"/>
    <row r="142472" customFormat="1" x14ac:dyDescent="0.25"/>
    <row r="142473" customFormat="1" x14ac:dyDescent="0.25"/>
    <row r="142474" customFormat="1" x14ac:dyDescent="0.25"/>
    <row r="142475" customFormat="1" x14ac:dyDescent="0.25"/>
    <row r="142476" customFormat="1" x14ac:dyDescent="0.25"/>
    <row r="142477" customFormat="1" x14ac:dyDescent="0.25"/>
    <row r="142478" customFormat="1" x14ac:dyDescent="0.25"/>
    <row r="142479" customFormat="1" x14ac:dyDescent="0.25"/>
    <row r="142480" customFormat="1" x14ac:dyDescent="0.25"/>
    <row r="142481" customFormat="1" x14ac:dyDescent="0.25"/>
    <row r="142482" customFormat="1" x14ac:dyDescent="0.25"/>
    <row r="142483" customFormat="1" x14ac:dyDescent="0.25"/>
    <row r="142484" customFormat="1" x14ac:dyDescent="0.25"/>
    <row r="142485" customFormat="1" x14ac:dyDescent="0.25"/>
    <row r="142486" customFormat="1" x14ac:dyDescent="0.25"/>
    <row r="142487" customFormat="1" x14ac:dyDescent="0.25"/>
    <row r="142488" customFormat="1" x14ac:dyDescent="0.25"/>
    <row r="142489" customFormat="1" x14ac:dyDescent="0.25"/>
    <row r="142490" customFormat="1" x14ac:dyDescent="0.25"/>
    <row r="142491" customFormat="1" x14ac:dyDescent="0.25"/>
    <row r="142492" customFormat="1" x14ac:dyDescent="0.25"/>
    <row r="142493" customFormat="1" x14ac:dyDescent="0.25"/>
    <row r="142494" customFormat="1" x14ac:dyDescent="0.25"/>
    <row r="142495" customFormat="1" x14ac:dyDescent="0.25"/>
    <row r="142496" customFormat="1" x14ac:dyDescent="0.25"/>
    <row r="142497" customFormat="1" x14ac:dyDescent="0.25"/>
    <row r="142498" customFormat="1" x14ac:dyDescent="0.25"/>
    <row r="142499" customFormat="1" x14ac:dyDescent="0.25"/>
    <row r="142500" customFormat="1" x14ac:dyDescent="0.25"/>
    <row r="142501" customFormat="1" x14ac:dyDescent="0.25"/>
    <row r="142502" customFormat="1" x14ac:dyDescent="0.25"/>
    <row r="142503" customFormat="1" x14ac:dyDescent="0.25"/>
    <row r="142504" customFormat="1" x14ac:dyDescent="0.25"/>
    <row r="142505" customFormat="1" x14ac:dyDescent="0.25"/>
    <row r="142506" customFormat="1" x14ac:dyDescent="0.25"/>
    <row r="142507" customFormat="1" x14ac:dyDescent="0.25"/>
    <row r="142508" customFormat="1" x14ac:dyDescent="0.25"/>
    <row r="142509" customFormat="1" x14ac:dyDescent="0.25"/>
    <row r="142510" customFormat="1" x14ac:dyDescent="0.25"/>
    <row r="142511" customFormat="1" x14ac:dyDescent="0.25"/>
    <row r="142512" customFormat="1" x14ac:dyDescent="0.25"/>
    <row r="142513" customFormat="1" x14ac:dyDescent="0.25"/>
    <row r="142514" customFormat="1" x14ac:dyDescent="0.25"/>
    <row r="142515" customFormat="1" x14ac:dyDescent="0.25"/>
    <row r="142516" customFormat="1" x14ac:dyDescent="0.25"/>
    <row r="142517" customFormat="1" x14ac:dyDescent="0.25"/>
    <row r="142518" customFormat="1" x14ac:dyDescent="0.25"/>
    <row r="142519" customFormat="1" x14ac:dyDescent="0.25"/>
    <row r="142520" customFormat="1" x14ac:dyDescent="0.25"/>
    <row r="142521" customFormat="1" x14ac:dyDescent="0.25"/>
    <row r="142522" customFormat="1" x14ac:dyDescent="0.25"/>
    <row r="142523" customFormat="1" x14ac:dyDescent="0.25"/>
    <row r="142524" customFormat="1" x14ac:dyDescent="0.25"/>
    <row r="142525" customFormat="1" x14ac:dyDescent="0.25"/>
    <row r="142526" customFormat="1" x14ac:dyDescent="0.25"/>
    <row r="142527" customFormat="1" x14ac:dyDescent="0.25"/>
    <row r="142528" customFormat="1" x14ac:dyDescent="0.25"/>
    <row r="142529" customFormat="1" x14ac:dyDescent="0.25"/>
    <row r="142530" customFormat="1" x14ac:dyDescent="0.25"/>
    <row r="142531" customFormat="1" x14ac:dyDescent="0.25"/>
    <row r="142532" customFormat="1" x14ac:dyDescent="0.25"/>
    <row r="142533" customFormat="1" x14ac:dyDescent="0.25"/>
    <row r="142534" customFormat="1" x14ac:dyDescent="0.25"/>
    <row r="142535" customFormat="1" x14ac:dyDescent="0.25"/>
    <row r="142536" customFormat="1" x14ac:dyDescent="0.25"/>
    <row r="142537" customFormat="1" x14ac:dyDescent="0.25"/>
    <row r="142538" customFormat="1" x14ac:dyDescent="0.25"/>
    <row r="142539" customFormat="1" x14ac:dyDescent="0.25"/>
    <row r="142540" customFormat="1" x14ac:dyDescent="0.25"/>
    <row r="142541" customFormat="1" x14ac:dyDescent="0.25"/>
    <row r="142542" customFormat="1" x14ac:dyDescent="0.25"/>
    <row r="142543" customFormat="1" x14ac:dyDescent="0.25"/>
    <row r="142544" customFormat="1" x14ac:dyDescent="0.25"/>
    <row r="142545" customFormat="1" x14ac:dyDescent="0.25"/>
    <row r="142546" customFormat="1" x14ac:dyDescent="0.25"/>
    <row r="142547" customFormat="1" x14ac:dyDescent="0.25"/>
    <row r="142548" customFormat="1" x14ac:dyDescent="0.25"/>
    <row r="142549" customFormat="1" x14ac:dyDescent="0.25"/>
    <row r="142550" customFormat="1" x14ac:dyDescent="0.25"/>
    <row r="142551" customFormat="1" x14ac:dyDescent="0.25"/>
    <row r="142552" customFormat="1" x14ac:dyDescent="0.25"/>
    <row r="142553" customFormat="1" x14ac:dyDescent="0.25"/>
    <row r="142554" customFormat="1" x14ac:dyDescent="0.25"/>
    <row r="142555" customFormat="1" x14ac:dyDescent="0.25"/>
    <row r="142556" customFormat="1" x14ac:dyDescent="0.25"/>
    <row r="142557" customFormat="1" x14ac:dyDescent="0.25"/>
    <row r="142558" customFormat="1" x14ac:dyDescent="0.25"/>
    <row r="142559" customFormat="1" x14ac:dyDescent="0.25"/>
    <row r="142560" customFormat="1" x14ac:dyDescent="0.25"/>
    <row r="142561" customFormat="1" x14ac:dyDescent="0.25"/>
    <row r="142562" customFormat="1" x14ac:dyDescent="0.25"/>
    <row r="142563" customFormat="1" x14ac:dyDescent="0.25"/>
    <row r="142564" customFormat="1" x14ac:dyDescent="0.25"/>
    <row r="142565" customFormat="1" x14ac:dyDescent="0.25"/>
    <row r="142566" customFormat="1" x14ac:dyDescent="0.25"/>
    <row r="142567" customFormat="1" x14ac:dyDescent="0.25"/>
    <row r="142568" customFormat="1" x14ac:dyDescent="0.25"/>
    <row r="142569" customFormat="1" x14ac:dyDescent="0.25"/>
    <row r="142570" customFormat="1" x14ac:dyDescent="0.25"/>
    <row r="142571" customFormat="1" x14ac:dyDescent="0.25"/>
    <row r="142572" customFormat="1" x14ac:dyDescent="0.25"/>
    <row r="142573" customFormat="1" x14ac:dyDescent="0.25"/>
    <row r="142574" customFormat="1" x14ac:dyDescent="0.25"/>
    <row r="142575" customFormat="1" x14ac:dyDescent="0.25"/>
    <row r="142576" customFormat="1" x14ac:dyDescent="0.25"/>
    <row r="142577" customFormat="1" x14ac:dyDescent="0.25"/>
    <row r="142578" customFormat="1" x14ac:dyDescent="0.25"/>
    <row r="142579" customFormat="1" x14ac:dyDescent="0.25"/>
    <row r="142580" customFormat="1" x14ac:dyDescent="0.25"/>
    <row r="142581" customFormat="1" x14ac:dyDescent="0.25"/>
    <row r="142582" customFormat="1" x14ac:dyDescent="0.25"/>
    <row r="142583" customFormat="1" x14ac:dyDescent="0.25"/>
    <row r="142584" customFormat="1" x14ac:dyDescent="0.25"/>
    <row r="142585" customFormat="1" x14ac:dyDescent="0.25"/>
    <row r="142586" customFormat="1" x14ac:dyDescent="0.25"/>
    <row r="142587" customFormat="1" x14ac:dyDescent="0.25"/>
    <row r="142588" customFormat="1" x14ac:dyDescent="0.25"/>
    <row r="142589" customFormat="1" x14ac:dyDescent="0.25"/>
    <row r="142590" customFormat="1" x14ac:dyDescent="0.25"/>
    <row r="142591" customFormat="1" x14ac:dyDescent="0.25"/>
    <row r="142592" customFormat="1" x14ac:dyDescent="0.25"/>
    <row r="142593" customFormat="1" x14ac:dyDescent="0.25"/>
    <row r="142594" customFormat="1" x14ac:dyDescent="0.25"/>
    <row r="142595" customFormat="1" x14ac:dyDescent="0.25"/>
    <row r="142596" customFormat="1" x14ac:dyDescent="0.25"/>
    <row r="142597" customFormat="1" x14ac:dyDescent="0.25"/>
    <row r="142598" customFormat="1" x14ac:dyDescent="0.25"/>
    <row r="142599" customFormat="1" x14ac:dyDescent="0.25"/>
    <row r="142600" customFormat="1" x14ac:dyDescent="0.25"/>
    <row r="142601" customFormat="1" x14ac:dyDescent="0.25"/>
    <row r="142602" customFormat="1" x14ac:dyDescent="0.25"/>
    <row r="142603" customFormat="1" x14ac:dyDescent="0.25"/>
    <row r="142604" customFormat="1" x14ac:dyDescent="0.25"/>
    <row r="142605" customFormat="1" x14ac:dyDescent="0.25"/>
    <row r="142606" customFormat="1" x14ac:dyDescent="0.25"/>
    <row r="142607" customFormat="1" x14ac:dyDescent="0.25"/>
    <row r="142608" customFormat="1" x14ac:dyDescent="0.25"/>
    <row r="142609" customFormat="1" x14ac:dyDescent="0.25"/>
    <row r="142610" customFormat="1" x14ac:dyDescent="0.25"/>
    <row r="142611" customFormat="1" x14ac:dyDescent="0.25"/>
    <row r="142612" customFormat="1" x14ac:dyDescent="0.25"/>
    <row r="142613" customFormat="1" x14ac:dyDescent="0.25"/>
    <row r="142614" customFormat="1" x14ac:dyDescent="0.25"/>
    <row r="142615" customFormat="1" x14ac:dyDescent="0.25"/>
    <row r="142616" customFormat="1" x14ac:dyDescent="0.25"/>
    <row r="142617" customFormat="1" x14ac:dyDescent="0.25"/>
    <row r="142618" customFormat="1" x14ac:dyDescent="0.25"/>
    <row r="142619" customFormat="1" x14ac:dyDescent="0.25"/>
    <row r="142620" customFormat="1" x14ac:dyDescent="0.25"/>
    <row r="142621" customFormat="1" x14ac:dyDescent="0.25"/>
    <row r="142622" customFormat="1" x14ac:dyDescent="0.25"/>
    <row r="142623" customFormat="1" x14ac:dyDescent="0.25"/>
    <row r="142624" customFormat="1" x14ac:dyDescent="0.25"/>
    <row r="142625" customFormat="1" x14ac:dyDescent="0.25"/>
    <row r="142626" customFormat="1" x14ac:dyDescent="0.25"/>
    <row r="142627" customFormat="1" x14ac:dyDescent="0.25"/>
    <row r="142628" customFormat="1" x14ac:dyDescent="0.25"/>
    <row r="142629" customFormat="1" x14ac:dyDescent="0.25"/>
    <row r="142630" customFormat="1" x14ac:dyDescent="0.25"/>
    <row r="142631" customFormat="1" x14ac:dyDescent="0.25"/>
    <row r="142632" customFormat="1" x14ac:dyDescent="0.25"/>
    <row r="142633" customFormat="1" x14ac:dyDescent="0.25"/>
    <row r="142634" customFormat="1" x14ac:dyDescent="0.25"/>
    <row r="142635" customFormat="1" x14ac:dyDescent="0.25"/>
    <row r="142636" customFormat="1" x14ac:dyDescent="0.25"/>
    <row r="142637" customFormat="1" x14ac:dyDescent="0.25"/>
    <row r="142638" customFormat="1" x14ac:dyDescent="0.25"/>
    <row r="142639" customFormat="1" x14ac:dyDescent="0.25"/>
    <row r="142640" customFormat="1" x14ac:dyDescent="0.25"/>
    <row r="142641" customFormat="1" x14ac:dyDescent="0.25"/>
    <row r="142642" customFormat="1" x14ac:dyDescent="0.25"/>
    <row r="142643" customFormat="1" x14ac:dyDescent="0.25"/>
    <row r="142644" customFormat="1" x14ac:dyDescent="0.25"/>
    <row r="142645" customFormat="1" x14ac:dyDescent="0.25"/>
    <row r="142646" customFormat="1" x14ac:dyDescent="0.25"/>
    <row r="142647" customFormat="1" x14ac:dyDescent="0.25"/>
    <row r="142648" customFormat="1" x14ac:dyDescent="0.25"/>
    <row r="142649" customFormat="1" x14ac:dyDescent="0.25"/>
    <row r="142650" customFormat="1" x14ac:dyDescent="0.25"/>
    <row r="142651" customFormat="1" x14ac:dyDescent="0.25"/>
    <row r="142652" customFormat="1" x14ac:dyDescent="0.25"/>
    <row r="142653" customFormat="1" x14ac:dyDescent="0.25"/>
    <row r="142654" customFormat="1" x14ac:dyDescent="0.25"/>
    <row r="142655" customFormat="1" x14ac:dyDescent="0.25"/>
    <row r="142656" customFormat="1" x14ac:dyDescent="0.25"/>
    <row r="142657" customFormat="1" x14ac:dyDescent="0.25"/>
    <row r="142658" customFormat="1" x14ac:dyDescent="0.25"/>
    <row r="142659" customFormat="1" x14ac:dyDescent="0.25"/>
    <row r="142660" customFormat="1" x14ac:dyDescent="0.25"/>
    <row r="142661" customFormat="1" x14ac:dyDescent="0.25"/>
    <row r="142662" customFormat="1" x14ac:dyDescent="0.25"/>
    <row r="142663" customFormat="1" x14ac:dyDescent="0.25"/>
    <row r="142664" customFormat="1" x14ac:dyDescent="0.25"/>
    <row r="142665" customFormat="1" x14ac:dyDescent="0.25"/>
    <row r="142666" customFormat="1" x14ac:dyDescent="0.25"/>
    <row r="142667" customFormat="1" x14ac:dyDescent="0.25"/>
    <row r="142668" customFormat="1" x14ac:dyDescent="0.25"/>
    <row r="142669" customFormat="1" x14ac:dyDescent="0.25"/>
    <row r="142670" customFormat="1" x14ac:dyDescent="0.25"/>
    <row r="142671" customFormat="1" x14ac:dyDescent="0.25"/>
    <row r="142672" customFormat="1" x14ac:dyDescent="0.25"/>
    <row r="142673" customFormat="1" x14ac:dyDescent="0.25"/>
    <row r="142674" customFormat="1" x14ac:dyDescent="0.25"/>
    <row r="142675" customFormat="1" x14ac:dyDescent="0.25"/>
    <row r="142676" customFormat="1" x14ac:dyDescent="0.25"/>
    <row r="142677" customFormat="1" x14ac:dyDescent="0.25"/>
    <row r="142678" customFormat="1" x14ac:dyDescent="0.25"/>
    <row r="142679" customFormat="1" x14ac:dyDescent="0.25"/>
    <row r="142680" customFormat="1" x14ac:dyDescent="0.25"/>
    <row r="142681" customFormat="1" x14ac:dyDescent="0.25"/>
    <row r="142682" customFormat="1" x14ac:dyDescent="0.25"/>
    <row r="142683" customFormat="1" x14ac:dyDescent="0.25"/>
    <row r="142684" customFormat="1" x14ac:dyDescent="0.25"/>
    <row r="142685" customFormat="1" x14ac:dyDescent="0.25"/>
    <row r="142686" customFormat="1" x14ac:dyDescent="0.25"/>
    <row r="142687" customFormat="1" x14ac:dyDescent="0.25"/>
    <row r="142688" customFormat="1" x14ac:dyDescent="0.25"/>
    <row r="142689" customFormat="1" x14ac:dyDescent="0.25"/>
    <row r="142690" customFormat="1" x14ac:dyDescent="0.25"/>
    <row r="142691" customFormat="1" x14ac:dyDescent="0.25"/>
    <row r="142692" customFormat="1" x14ac:dyDescent="0.25"/>
    <row r="142693" customFormat="1" x14ac:dyDescent="0.25"/>
    <row r="142694" customFormat="1" x14ac:dyDescent="0.25"/>
    <row r="142695" customFormat="1" x14ac:dyDescent="0.25"/>
    <row r="142696" customFormat="1" x14ac:dyDescent="0.25"/>
    <row r="142697" customFormat="1" x14ac:dyDescent="0.25"/>
    <row r="142698" customFormat="1" x14ac:dyDescent="0.25"/>
    <row r="142699" customFormat="1" x14ac:dyDescent="0.25"/>
    <row r="142700" customFormat="1" x14ac:dyDescent="0.25"/>
    <row r="142701" customFormat="1" x14ac:dyDescent="0.25"/>
    <row r="142702" customFormat="1" x14ac:dyDescent="0.25"/>
    <row r="142703" customFormat="1" x14ac:dyDescent="0.25"/>
    <row r="142704" customFormat="1" x14ac:dyDescent="0.25"/>
    <row r="142705" customFormat="1" x14ac:dyDescent="0.25"/>
    <row r="142706" customFormat="1" x14ac:dyDescent="0.25"/>
    <row r="142707" customFormat="1" x14ac:dyDescent="0.25"/>
    <row r="142708" customFormat="1" x14ac:dyDescent="0.25"/>
    <row r="142709" customFormat="1" x14ac:dyDescent="0.25"/>
    <row r="142710" customFormat="1" x14ac:dyDescent="0.25"/>
    <row r="142711" customFormat="1" x14ac:dyDescent="0.25"/>
    <row r="142712" customFormat="1" x14ac:dyDescent="0.25"/>
    <row r="142713" customFormat="1" x14ac:dyDescent="0.25"/>
    <row r="142714" customFormat="1" x14ac:dyDescent="0.25"/>
    <row r="142715" customFormat="1" x14ac:dyDescent="0.25"/>
    <row r="142716" customFormat="1" x14ac:dyDescent="0.25"/>
    <row r="142717" customFormat="1" x14ac:dyDescent="0.25"/>
    <row r="142718" customFormat="1" x14ac:dyDescent="0.25"/>
    <row r="142719" customFormat="1" x14ac:dyDescent="0.25"/>
    <row r="142720" customFormat="1" x14ac:dyDescent="0.25"/>
    <row r="142721" customFormat="1" x14ac:dyDescent="0.25"/>
    <row r="142722" customFormat="1" x14ac:dyDescent="0.25"/>
    <row r="142723" customFormat="1" x14ac:dyDescent="0.25"/>
    <row r="142724" customFormat="1" x14ac:dyDescent="0.25"/>
    <row r="142725" customFormat="1" x14ac:dyDescent="0.25"/>
    <row r="142726" customFormat="1" x14ac:dyDescent="0.25"/>
    <row r="142727" customFormat="1" x14ac:dyDescent="0.25"/>
    <row r="142728" customFormat="1" x14ac:dyDescent="0.25"/>
    <row r="142729" customFormat="1" x14ac:dyDescent="0.25"/>
    <row r="142730" customFormat="1" x14ac:dyDescent="0.25"/>
    <row r="142731" customFormat="1" x14ac:dyDescent="0.25"/>
    <row r="142732" customFormat="1" x14ac:dyDescent="0.25"/>
    <row r="142733" customFormat="1" x14ac:dyDescent="0.25"/>
    <row r="142734" customFormat="1" x14ac:dyDescent="0.25"/>
    <row r="142735" customFormat="1" x14ac:dyDescent="0.25"/>
    <row r="142736" customFormat="1" x14ac:dyDescent="0.25"/>
    <row r="142737" customFormat="1" x14ac:dyDescent="0.25"/>
    <row r="142738" customFormat="1" x14ac:dyDescent="0.25"/>
    <row r="142739" customFormat="1" x14ac:dyDescent="0.25"/>
    <row r="142740" customFormat="1" x14ac:dyDescent="0.25"/>
    <row r="142741" customFormat="1" x14ac:dyDescent="0.25"/>
    <row r="142742" customFormat="1" x14ac:dyDescent="0.25"/>
    <row r="142743" customFormat="1" x14ac:dyDescent="0.25"/>
    <row r="142744" customFormat="1" x14ac:dyDescent="0.25"/>
    <row r="142745" customFormat="1" x14ac:dyDescent="0.25"/>
    <row r="142746" customFormat="1" x14ac:dyDescent="0.25"/>
    <row r="142747" customFormat="1" x14ac:dyDescent="0.25"/>
    <row r="142748" customFormat="1" x14ac:dyDescent="0.25"/>
    <row r="142749" customFormat="1" x14ac:dyDescent="0.25"/>
    <row r="142750" customFormat="1" x14ac:dyDescent="0.25"/>
    <row r="142751" customFormat="1" x14ac:dyDescent="0.25"/>
    <row r="142752" customFormat="1" x14ac:dyDescent="0.25"/>
    <row r="142753" customFormat="1" x14ac:dyDescent="0.25"/>
    <row r="142754" customFormat="1" x14ac:dyDescent="0.25"/>
    <row r="142755" customFormat="1" x14ac:dyDescent="0.25"/>
    <row r="142756" customFormat="1" x14ac:dyDescent="0.25"/>
    <row r="142757" customFormat="1" x14ac:dyDescent="0.25"/>
    <row r="142758" customFormat="1" x14ac:dyDescent="0.25"/>
    <row r="142759" customFormat="1" x14ac:dyDescent="0.25"/>
    <row r="142760" customFormat="1" x14ac:dyDescent="0.25"/>
    <row r="142761" customFormat="1" x14ac:dyDescent="0.25"/>
    <row r="142762" customFormat="1" x14ac:dyDescent="0.25"/>
    <row r="142763" customFormat="1" x14ac:dyDescent="0.25"/>
    <row r="142764" customFormat="1" x14ac:dyDescent="0.25"/>
    <row r="142765" customFormat="1" x14ac:dyDescent="0.25"/>
    <row r="142766" customFormat="1" x14ac:dyDescent="0.25"/>
    <row r="142767" customFormat="1" x14ac:dyDescent="0.25"/>
    <row r="142768" customFormat="1" x14ac:dyDescent="0.25"/>
    <row r="142769" customFormat="1" x14ac:dyDescent="0.25"/>
    <row r="142770" customFormat="1" x14ac:dyDescent="0.25"/>
    <row r="142771" customFormat="1" x14ac:dyDescent="0.25"/>
    <row r="142772" customFormat="1" x14ac:dyDescent="0.25"/>
    <row r="142773" customFormat="1" x14ac:dyDescent="0.25"/>
    <row r="142774" customFormat="1" x14ac:dyDescent="0.25"/>
    <row r="142775" customFormat="1" x14ac:dyDescent="0.25"/>
    <row r="142776" customFormat="1" x14ac:dyDescent="0.25"/>
    <row r="142777" customFormat="1" x14ac:dyDescent="0.25"/>
    <row r="142778" customFormat="1" x14ac:dyDescent="0.25"/>
    <row r="142779" customFormat="1" x14ac:dyDescent="0.25"/>
    <row r="142780" customFormat="1" x14ac:dyDescent="0.25"/>
    <row r="142781" customFormat="1" x14ac:dyDescent="0.25"/>
    <row r="142782" customFormat="1" x14ac:dyDescent="0.25"/>
    <row r="142783" customFormat="1" x14ac:dyDescent="0.25"/>
    <row r="142784" customFormat="1" x14ac:dyDescent="0.25"/>
    <row r="142785" customFormat="1" x14ac:dyDescent="0.25"/>
    <row r="142786" customFormat="1" x14ac:dyDescent="0.25"/>
    <row r="142787" customFormat="1" x14ac:dyDescent="0.25"/>
    <row r="142788" customFormat="1" x14ac:dyDescent="0.25"/>
    <row r="142789" customFormat="1" x14ac:dyDescent="0.25"/>
    <row r="142790" customFormat="1" x14ac:dyDescent="0.25"/>
    <row r="142791" customFormat="1" x14ac:dyDescent="0.25"/>
    <row r="142792" customFormat="1" x14ac:dyDescent="0.25"/>
    <row r="142793" customFormat="1" x14ac:dyDescent="0.25"/>
    <row r="142794" customFormat="1" x14ac:dyDescent="0.25"/>
    <row r="142795" customFormat="1" x14ac:dyDescent="0.25"/>
    <row r="142796" customFormat="1" x14ac:dyDescent="0.25"/>
    <row r="142797" customFormat="1" x14ac:dyDescent="0.25"/>
    <row r="142798" customFormat="1" x14ac:dyDescent="0.25"/>
    <row r="142799" customFormat="1" x14ac:dyDescent="0.25"/>
    <row r="142800" customFormat="1" x14ac:dyDescent="0.25"/>
    <row r="142801" customFormat="1" x14ac:dyDescent="0.25"/>
    <row r="142802" customFormat="1" x14ac:dyDescent="0.25"/>
    <row r="142803" customFormat="1" x14ac:dyDescent="0.25"/>
    <row r="142804" customFormat="1" x14ac:dyDescent="0.25"/>
    <row r="142805" customFormat="1" x14ac:dyDescent="0.25"/>
    <row r="142806" customFormat="1" x14ac:dyDescent="0.25"/>
    <row r="142807" customFormat="1" x14ac:dyDescent="0.25"/>
    <row r="142808" customFormat="1" x14ac:dyDescent="0.25"/>
    <row r="142809" customFormat="1" x14ac:dyDescent="0.25"/>
    <row r="142810" customFormat="1" x14ac:dyDescent="0.25"/>
    <row r="142811" customFormat="1" x14ac:dyDescent="0.25"/>
    <row r="142812" customFormat="1" x14ac:dyDescent="0.25"/>
    <row r="142813" customFormat="1" x14ac:dyDescent="0.25"/>
    <row r="142814" customFormat="1" x14ac:dyDescent="0.25"/>
    <row r="142815" customFormat="1" x14ac:dyDescent="0.25"/>
    <row r="142816" customFormat="1" x14ac:dyDescent="0.25"/>
    <row r="142817" customFormat="1" x14ac:dyDescent="0.25"/>
    <row r="142818" customFormat="1" x14ac:dyDescent="0.25"/>
    <row r="142819" customFormat="1" x14ac:dyDescent="0.25"/>
    <row r="142820" customFormat="1" x14ac:dyDescent="0.25"/>
    <row r="142821" customFormat="1" x14ac:dyDescent="0.25"/>
    <row r="142822" customFormat="1" x14ac:dyDescent="0.25"/>
    <row r="142823" customFormat="1" x14ac:dyDescent="0.25"/>
    <row r="142824" customFormat="1" x14ac:dyDescent="0.25"/>
    <row r="142825" customFormat="1" x14ac:dyDescent="0.25"/>
    <row r="142826" customFormat="1" x14ac:dyDescent="0.25"/>
    <row r="142827" customFormat="1" x14ac:dyDescent="0.25"/>
    <row r="142828" customFormat="1" x14ac:dyDescent="0.25"/>
    <row r="142829" customFormat="1" x14ac:dyDescent="0.25"/>
    <row r="142830" customFormat="1" x14ac:dyDescent="0.25"/>
    <row r="142831" customFormat="1" x14ac:dyDescent="0.25"/>
    <row r="142832" customFormat="1" x14ac:dyDescent="0.25"/>
    <row r="142833" customFormat="1" x14ac:dyDescent="0.25"/>
    <row r="142834" customFormat="1" x14ac:dyDescent="0.25"/>
    <row r="142835" customFormat="1" x14ac:dyDescent="0.25"/>
    <row r="142836" customFormat="1" x14ac:dyDescent="0.25"/>
    <row r="142837" customFormat="1" x14ac:dyDescent="0.25"/>
    <row r="142838" customFormat="1" x14ac:dyDescent="0.25"/>
    <row r="142839" customFormat="1" x14ac:dyDescent="0.25"/>
    <row r="142840" customFormat="1" x14ac:dyDescent="0.25"/>
    <row r="142841" customFormat="1" x14ac:dyDescent="0.25"/>
    <row r="142842" customFormat="1" x14ac:dyDescent="0.25"/>
    <row r="142843" customFormat="1" x14ac:dyDescent="0.25"/>
    <row r="142844" customFormat="1" x14ac:dyDescent="0.25"/>
    <row r="142845" customFormat="1" x14ac:dyDescent="0.25"/>
    <row r="142846" customFormat="1" x14ac:dyDescent="0.25"/>
    <row r="142847" customFormat="1" x14ac:dyDescent="0.25"/>
    <row r="142848" customFormat="1" x14ac:dyDescent="0.25"/>
    <row r="142849" customFormat="1" x14ac:dyDescent="0.25"/>
    <row r="142850" customFormat="1" x14ac:dyDescent="0.25"/>
    <row r="142851" customFormat="1" x14ac:dyDescent="0.25"/>
    <row r="142852" customFormat="1" x14ac:dyDescent="0.25"/>
    <row r="142853" customFormat="1" x14ac:dyDescent="0.25"/>
    <row r="142854" customFormat="1" x14ac:dyDescent="0.25"/>
    <row r="142855" customFormat="1" x14ac:dyDescent="0.25"/>
    <row r="142856" customFormat="1" x14ac:dyDescent="0.25"/>
    <row r="142857" customFormat="1" x14ac:dyDescent="0.25"/>
    <row r="142858" customFormat="1" x14ac:dyDescent="0.25"/>
    <row r="142859" customFormat="1" x14ac:dyDescent="0.25"/>
    <row r="142860" customFormat="1" x14ac:dyDescent="0.25"/>
    <row r="142861" customFormat="1" x14ac:dyDescent="0.25"/>
    <row r="142862" customFormat="1" x14ac:dyDescent="0.25"/>
    <row r="142863" customFormat="1" x14ac:dyDescent="0.25"/>
    <row r="142864" customFormat="1" x14ac:dyDescent="0.25"/>
    <row r="142865" customFormat="1" x14ac:dyDescent="0.25"/>
    <row r="142866" customFormat="1" x14ac:dyDescent="0.25"/>
    <row r="142867" customFormat="1" x14ac:dyDescent="0.25"/>
    <row r="142868" customFormat="1" x14ac:dyDescent="0.25"/>
    <row r="142869" customFormat="1" x14ac:dyDescent="0.25"/>
    <row r="142870" customFormat="1" x14ac:dyDescent="0.25"/>
    <row r="142871" customFormat="1" x14ac:dyDescent="0.25"/>
    <row r="142872" customFormat="1" x14ac:dyDescent="0.25"/>
    <row r="142873" customFormat="1" x14ac:dyDescent="0.25"/>
    <row r="142874" customFormat="1" x14ac:dyDescent="0.25"/>
    <row r="142875" customFormat="1" x14ac:dyDescent="0.25"/>
    <row r="142876" customFormat="1" x14ac:dyDescent="0.25"/>
    <row r="142877" customFormat="1" x14ac:dyDescent="0.25"/>
    <row r="142878" customFormat="1" x14ac:dyDescent="0.25"/>
    <row r="142879" customFormat="1" x14ac:dyDescent="0.25"/>
    <row r="142880" customFormat="1" x14ac:dyDescent="0.25"/>
    <row r="142881" customFormat="1" x14ac:dyDescent="0.25"/>
    <row r="142882" customFormat="1" x14ac:dyDescent="0.25"/>
    <row r="142883" customFormat="1" x14ac:dyDescent="0.25"/>
    <row r="142884" customFormat="1" x14ac:dyDescent="0.25"/>
    <row r="142885" customFormat="1" x14ac:dyDescent="0.25"/>
    <row r="142886" customFormat="1" x14ac:dyDescent="0.25"/>
    <row r="142887" customFormat="1" x14ac:dyDescent="0.25"/>
    <row r="142888" customFormat="1" x14ac:dyDescent="0.25"/>
    <row r="142889" customFormat="1" x14ac:dyDescent="0.25"/>
    <row r="142890" customFormat="1" x14ac:dyDescent="0.25"/>
    <row r="142891" customFormat="1" x14ac:dyDescent="0.25"/>
    <row r="142892" customFormat="1" x14ac:dyDescent="0.25"/>
    <row r="142893" customFormat="1" x14ac:dyDescent="0.25"/>
    <row r="142894" customFormat="1" x14ac:dyDescent="0.25"/>
    <row r="142895" customFormat="1" x14ac:dyDescent="0.25"/>
    <row r="142896" customFormat="1" x14ac:dyDescent="0.25"/>
    <row r="142897" customFormat="1" x14ac:dyDescent="0.25"/>
    <row r="142898" customFormat="1" x14ac:dyDescent="0.25"/>
    <row r="142899" customFormat="1" x14ac:dyDescent="0.25"/>
    <row r="142900" customFormat="1" x14ac:dyDescent="0.25"/>
    <row r="142901" customFormat="1" x14ac:dyDescent="0.25"/>
    <row r="142902" customFormat="1" x14ac:dyDescent="0.25"/>
    <row r="142903" customFormat="1" x14ac:dyDescent="0.25"/>
    <row r="142904" customFormat="1" x14ac:dyDescent="0.25"/>
    <row r="142905" customFormat="1" x14ac:dyDescent="0.25"/>
    <row r="142906" customFormat="1" x14ac:dyDescent="0.25"/>
    <row r="142907" customFormat="1" x14ac:dyDescent="0.25"/>
    <row r="142908" customFormat="1" x14ac:dyDescent="0.25"/>
    <row r="142909" customFormat="1" x14ac:dyDescent="0.25"/>
    <row r="142910" customFormat="1" x14ac:dyDescent="0.25"/>
    <row r="142911" customFormat="1" x14ac:dyDescent="0.25"/>
    <row r="142912" customFormat="1" x14ac:dyDescent="0.25"/>
    <row r="142913" customFormat="1" x14ac:dyDescent="0.25"/>
    <row r="142914" customFormat="1" x14ac:dyDescent="0.25"/>
    <row r="142915" customFormat="1" x14ac:dyDescent="0.25"/>
    <row r="142916" customFormat="1" x14ac:dyDescent="0.25"/>
    <row r="142917" customFormat="1" x14ac:dyDescent="0.25"/>
    <row r="142918" customFormat="1" x14ac:dyDescent="0.25"/>
    <row r="142919" customFormat="1" x14ac:dyDescent="0.25"/>
    <row r="142920" customFormat="1" x14ac:dyDescent="0.25"/>
    <row r="142921" customFormat="1" x14ac:dyDescent="0.25"/>
    <row r="142922" customFormat="1" x14ac:dyDescent="0.25"/>
    <row r="142923" customFormat="1" x14ac:dyDescent="0.25"/>
    <row r="142924" customFormat="1" x14ac:dyDescent="0.25"/>
    <row r="142925" customFormat="1" x14ac:dyDescent="0.25"/>
    <row r="142926" customFormat="1" x14ac:dyDescent="0.25"/>
    <row r="142927" customFormat="1" x14ac:dyDescent="0.25"/>
    <row r="142928" customFormat="1" x14ac:dyDescent="0.25"/>
    <row r="142929" customFormat="1" x14ac:dyDescent="0.25"/>
    <row r="142930" customFormat="1" x14ac:dyDescent="0.25"/>
    <row r="142931" customFormat="1" x14ac:dyDescent="0.25"/>
    <row r="142932" customFormat="1" x14ac:dyDescent="0.25"/>
    <row r="142933" customFormat="1" x14ac:dyDescent="0.25"/>
    <row r="142934" customFormat="1" x14ac:dyDescent="0.25"/>
    <row r="142935" customFormat="1" x14ac:dyDescent="0.25"/>
    <row r="142936" customFormat="1" x14ac:dyDescent="0.25"/>
    <row r="142937" customFormat="1" x14ac:dyDescent="0.25"/>
    <row r="142938" customFormat="1" x14ac:dyDescent="0.25"/>
    <row r="142939" customFormat="1" x14ac:dyDescent="0.25"/>
    <row r="142940" customFormat="1" x14ac:dyDescent="0.25"/>
    <row r="142941" customFormat="1" x14ac:dyDescent="0.25"/>
    <row r="142942" customFormat="1" x14ac:dyDescent="0.25"/>
    <row r="142943" customFormat="1" x14ac:dyDescent="0.25"/>
    <row r="142944" customFormat="1" x14ac:dyDescent="0.25"/>
    <row r="142945" customFormat="1" x14ac:dyDescent="0.25"/>
    <row r="142946" customFormat="1" x14ac:dyDescent="0.25"/>
    <row r="142947" customFormat="1" x14ac:dyDescent="0.25"/>
    <row r="142948" customFormat="1" x14ac:dyDescent="0.25"/>
    <row r="142949" customFormat="1" x14ac:dyDescent="0.25"/>
    <row r="142950" customFormat="1" x14ac:dyDescent="0.25"/>
    <row r="142951" customFormat="1" x14ac:dyDescent="0.25"/>
    <row r="142952" customFormat="1" x14ac:dyDescent="0.25"/>
    <row r="142953" customFormat="1" x14ac:dyDescent="0.25"/>
    <row r="142954" customFormat="1" x14ac:dyDescent="0.25"/>
    <row r="142955" customFormat="1" x14ac:dyDescent="0.25"/>
    <row r="142956" customFormat="1" x14ac:dyDescent="0.25"/>
    <row r="142957" customFormat="1" x14ac:dyDescent="0.25"/>
    <row r="142958" customFormat="1" x14ac:dyDescent="0.25"/>
    <row r="142959" customFormat="1" x14ac:dyDescent="0.25"/>
    <row r="142960" customFormat="1" x14ac:dyDescent="0.25"/>
    <row r="142961" customFormat="1" x14ac:dyDescent="0.25"/>
    <row r="142962" customFormat="1" x14ac:dyDescent="0.25"/>
    <row r="142963" customFormat="1" x14ac:dyDescent="0.25"/>
    <row r="142964" customFormat="1" x14ac:dyDescent="0.25"/>
    <row r="142965" customFormat="1" x14ac:dyDescent="0.25"/>
    <row r="142966" customFormat="1" x14ac:dyDescent="0.25"/>
    <row r="142967" customFormat="1" x14ac:dyDescent="0.25"/>
    <row r="142968" customFormat="1" x14ac:dyDescent="0.25"/>
    <row r="142969" customFormat="1" x14ac:dyDescent="0.25"/>
    <row r="142970" customFormat="1" x14ac:dyDescent="0.25"/>
    <row r="142971" customFormat="1" x14ac:dyDescent="0.25"/>
    <row r="142972" customFormat="1" x14ac:dyDescent="0.25"/>
    <row r="142973" customFormat="1" x14ac:dyDescent="0.25"/>
    <row r="142974" customFormat="1" x14ac:dyDescent="0.25"/>
    <row r="142975" customFormat="1" x14ac:dyDescent="0.25"/>
    <row r="142976" customFormat="1" x14ac:dyDescent="0.25"/>
    <row r="142977" customFormat="1" x14ac:dyDescent="0.25"/>
    <row r="142978" customFormat="1" x14ac:dyDescent="0.25"/>
    <row r="142979" customFormat="1" x14ac:dyDescent="0.25"/>
    <row r="142980" customFormat="1" x14ac:dyDescent="0.25"/>
    <row r="142981" customFormat="1" x14ac:dyDescent="0.25"/>
    <row r="142982" customFormat="1" x14ac:dyDescent="0.25"/>
    <row r="142983" customFormat="1" x14ac:dyDescent="0.25"/>
    <row r="142984" customFormat="1" x14ac:dyDescent="0.25"/>
    <row r="142985" customFormat="1" x14ac:dyDescent="0.25"/>
    <row r="142986" customFormat="1" x14ac:dyDescent="0.25"/>
    <row r="142987" customFormat="1" x14ac:dyDescent="0.25"/>
    <row r="142988" customFormat="1" x14ac:dyDescent="0.25"/>
    <row r="142989" customFormat="1" x14ac:dyDescent="0.25"/>
    <row r="142990" customFormat="1" x14ac:dyDescent="0.25"/>
    <row r="142991" customFormat="1" x14ac:dyDescent="0.25"/>
    <row r="142992" customFormat="1" x14ac:dyDescent="0.25"/>
    <row r="142993" customFormat="1" x14ac:dyDescent="0.25"/>
    <row r="142994" customFormat="1" x14ac:dyDescent="0.25"/>
    <row r="142995" customFormat="1" x14ac:dyDescent="0.25"/>
    <row r="142996" customFormat="1" x14ac:dyDescent="0.25"/>
    <row r="142997" customFormat="1" x14ac:dyDescent="0.25"/>
    <row r="142998" customFormat="1" x14ac:dyDescent="0.25"/>
    <row r="142999" customFormat="1" x14ac:dyDescent="0.25"/>
    <row r="143000" customFormat="1" x14ac:dyDescent="0.25"/>
    <row r="143001" customFormat="1" x14ac:dyDescent="0.25"/>
    <row r="143002" customFormat="1" x14ac:dyDescent="0.25"/>
    <row r="143003" customFormat="1" x14ac:dyDescent="0.25"/>
    <row r="143004" customFormat="1" x14ac:dyDescent="0.25"/>
    <row r="143005" customFormat="1" x14ac:dyDescent="0.25"/>
    <row r="143006" customFormat="1" x14ac:dyDescent="0.25"/>
    <row r="143007" customFormat="1" x14ac:dyDescent="0.25"/>
    <row r="143008" customFormat="1" x14ac:dyDescent="0.25"/>
    <row r="143009" customFormat="1" x14ac:dyDescent="0.25"/>
    <row r="143010" customFormat="1" x14ac:dyDescent="0.25"/>
    <row r="143011" customFormat="1" x14ac:dyDescent="0.25"/>
    <row r="143012" customFormat="1" x14ac:dyDescent="0.25"/>
    <row r="143013" customFormat="1" x14ac:dyDescent="0.25"/>
    <row r="143014" customFormat="1" x14ac:dyDescent="0.25"/>
    <row r="143015" customFormat="1" x14ac:dyDescent="0.25"/>
    <row r="143016" customFormat="1" x14ac:dyDescent="0.25"/>
    <row r="143017" customFormat="1" x14ac:dyDescent="0.25"/>
    <row r="143018" customFormat="1" x14ac:dyDescent="0.25"/>
    <row r="143019" customFormat="1" x14ac:dyDescent="0.25"/>
    <row r="143020" customFormat="1" x14ac:dyDescent="0.25"/>
    <row r="143021" customFormat="1" x14ac:dyDescent="0.25"/>
    <row r="143022" customFormat="1" x14ac:dyDescent="0.25"/>
    <row r="143023" customFormat="1" x14ac:dyDescent="0.25"/>
    <row r="143024" customFormat="1" x14ac:dyDescent="0.25"/>
    <row r="143025" customFormat="1" x14ac:dyDescent="0.25"/>
    <row r="143026" customFormat="1" x14ac:dyDescent="0.25"/>
    <row r="143027" customFormat="1" x14ac:dyDescent="0.25"/>
    <row r="143028" customFormat="1" x14ac:dyDescent="0.25"/>
    <row r="143029" customFormat="1" x14ac:dyDescent="0.25"/>
    <row r="143030" customFormat="1" x14ac:dyDescent="0.25"/>
    <row r="143031" customFormat="1" x14ac:dyDescent="0.25"/>
    <row r="143032" customFormat="1" x14ac:dyDescent="0.25"/>
    <row r="143033" customFormat="1" x14ac:dyDescent="0.25"/>
    <row r="143034" customFormat="1" x14ac:dyDescent="0.25"/>
    <row r="143035" customFormat="1" x14ac:dyDescent="0.25"/>
    <row r="143036" customFormat="1" x14ac:dyDescent="0.25"/>
    <row r="143037" customFormat="1" x14ac:dyDescent="0.25"/>
    <row r="143038" customFormat="1" x14ac:dyDescent="0.25"/>
    <row r="143039" customFormat="1" x14ac:dyDescent="0.25"/>
    <row r="143040" customFormat="1" x14ac:dyDescent="0.25"/>
    <row r="143041" customFormat="1" x14ac:dyDescent="0.25"/>
    <row r="143042" customFormat="1" x14ac:dyDescent="0.25"/>
    <row r="143043" customFormat="1" x14ac:dyDescent="0.25"/>
    <row r="143044" customFormat="1" x14ac:dyDescent="0.25"/>
    <row r="143045" customFormat="1" x14ac:dyDescent="0.25"/>
    <row r="143046" customFormat="1" x14ac:dyDescent="0.25"/>
    <row r="143047" customFormat="1" x14ac:dyDescent="0.25"/>
    <row r="143048" customFormat="1" x14ac:dyDescent="0.25"/>
    <row r="143049" customFormat="1" x14ac:dyDescent="0.25"/>
    <row r="143050" customFormat="1" x14ac:dyDescent="0.25"/>
    <row r="143051" customFormat="1" x14ac:dyDescent="0.25"/>
    <row r="143052" customFormat="1" x14ac:dyDescent="0.25"/>
    <row r="143053" customFormat="1" x14ac:dyDescent="0.25"/>
    <row r="143054" customFormat="1" x14ac:dyDescent="0.25"/>
    <row r="143055" customFormat="1" x14ac:dyDescent="0.25"/>
    <row r="143056" customFormat="1" x14ac:dyDescent="0.25"/>
    <row r="143057" customFormat="1" x14ac:dyDescent="0.25"/>
    <row r="143058" customFormat="1" x14ac:dyDescent="0.25"/>
    <row r="143059" customFormat="1" x14ac:dyDescent="0.25"/>
    <row r="143060" customFormat="1" x14ac:dyDescent="0.25"/>
    <row r="143061" customFormat="1" x14ac:dyDescent="0.25"/>
    <row r="143062" customFormat="1" x14ac:dyDescent="0.25"/>
    <row r="143063" customFormat="1" x14ac:dyDescent="0.25"/>
    <row r="143064" customFormat="1" x14ac:dyDescent="0.25"/>
    <row r="143065" customFormat="1" x14ac:dyDescent="0.25"/>
    <row r="143066" customFormat="1" x14ac:dyDescent="0.25"/>
    <row r="143067" customFormat="1" x14ac:dyDescent="0.25"/>
    <row r="143068" customFormat="1" x14ac:dyDescent="0.25"/>
    <row r="143069" customFormat="1" x14ac:dyDescent="0.25"/>
    <row r="143070" customFormat="1" x14ac:dyDescent="0.25"/>
    <row r="143071" customFormat="1" x14ac:dyDescent="0.25"/>
    <row r="143072" customFormat="1" x14ac:dyDescent="0.25"/>
    <row r="143073" customFormat="1" x14ac:dyDescent="0.25"/>
    <row r="143074" customFormat="1" x14ac:dyDescent="0.25"/>
    <row r="143075" customFormat="1" x14ac:dyDescent="0.25"/>
    <row r="143076" customFormat="1" x14ac:dyDescent="0.25"/>
    <row r="143077" customFormat="1" x14ac:dyDescent="0.25"/>
    <row r="143078" customFormat="1" x14ac:dyDescent="0.25"/>
    <row r="143079" customFormat="1" x14ac:dyDescent="0.25"/>
    <row r="143080" customFormat="1" x14ac:dyDescent="0.25"/>
    <row r="143081" customFormat="1" x14ac:dyDescent="0.25"/>
    <row r="143082" customFormat="1" x14ac:dyDescent="0.25"/>
    <row r="143083" customFormat="1" x14ac:dyDescent="0.25"/>
    <row r="143084" customFormat="1" x14ac:dyDescent="0.25"/>
    <row r="143085" customFormat="1" x14ac:dyDescent="0.25"/>
    <row r="143086" customFormat="1" x14ac:dyDescent="0.25"/>
    <row r="143087" customFormat="1" x14ac:dyDescent="0.25"/>
    <row r="143088" customFormat="1" x14ac:dyDescent="0.25"/>
    <row r="143089" customFormat="1" x14ac:dyDescent="0.25"/>
    <row r="143090" customFormat="1" x14ac:dyDescent="0.25"/>
    <row r="143091" customFormat="1" x14ac:dyDescent="0.25"/>
    <row r="143092" customFormat="1" x14ac:dyDescent="0.25"/>
    <row r="143093" customFormat="1" x14ac:dyDescent="0.25"/>
    <row r="143094" customFormat="1" x14ac:dyDescent="0.25"/>
    <row r="143095" customFormat="1" x14ac:dyDescent="0.25"/>
    <row r="143096" customFormat="1" x14ac:dyDescent="0.25"/>
    <row r="143097" customFormat="1" x14ac:dyDescent="0.25"/>
    <row r="143098" customFormat="1" x14ac:dyDescent="0.25"/>
    <row r="143099" customFormat="1" x14ac:dyDescent="0.25"/>
    <row r="143100" customFormat="1" x14ac:dyDescent="0.25"/>
    <row r="143101" customFormat="1" x14ac:dyDescent="0.25"/>
    <row r="143102" customFormat="1" x14ac:dyDescent="0.25"/>
    <row r="143103" customFormat="1" x14ac:dyDescent="0.25"/>
    <row r="143104" customFormat="1" x14ac:dyDescent="0.25"/>
    <row r="143105" customFormat="1" x14ac:dyDescent="0.25"/>
    <row r="143106" customFormat="1" x14ac:dyDescent="0.25"/>
    <row r="143107" customFormat="1" x14ac:dyDescent="0.25"/>
    <row r="143108" customFormat="1" x14ac:dyDescent="0.25"/>
    <row r="143109" customFormat="1" x14ac:dyDescent="0.25"/>
    <row r="143110" customFormat="1" x14ac:dyDescent="0.25"/>
    <row r="143111" customFormat="1" x14ac:dyDescent="0.25"/>
    <row r="143112" customFormat="1" x14ac:dyDescent="0.25"/>
    <row r="143113" customFormat="1" x14ac:dyDescent="0.25"/>
    <row r="143114" customFormat="1" x14ac:dyDescent="0.25"/>
    <row r="143115" customFormat="1" x14ac:dyDescent="0.25"/>
    <row r="143116" customFormat="1" x14ac:dyDescent="0.25"/>
    <row r="143117" customFormat="1" x14ac:dyDescent="0.25"/>
    <row r="143118" customFormat="1" x14ac:dyDescent="0.25"/>
    <row r="143119" customFormat="1" x14ac:dyDescent="0.25"/>
    <row r="143120" customFormat="1" x14ac:dyDescent="0.25"/>
    <row r="143121" customFormat="1" x14ac:dyDescent="0.25"/>
    <row r="143122" customFormat="1" x14ac:dyDescent="0.25"/>
    <row r="143123" customFormat="1" x14ac:dyDescent="0.25"/>
    <row r="143124" customFormat="1" x14ac:dyDescent="0.25"/>
    <row r="143125" customFormat="1" x14ac:dyDescent="0.25"/>
    <row r="143126" customFormat="1" x14ac:dyDescent="0.25"/>
    <row r="143127" customFormat="1" x14ac:dyDescent="0.25"/>
    <row r="143128" customFormat="1" x14ac:dyDescent="0.25"/>
    <row r="143129" customFormat="1" x14ac:dyDescent="0.25"/>
    <row r="143130" customFormat="1" x14ac:dyDescent="0.25"/>
    <row r="143131" customFormat="1" x14ac:dyDescent="0.25"/>
    <row r="143132" customFormat="1" x14ac:dyDescent="0.25"/>
    <row r="143133" customFormat="1" x14ac:dyDescent="0.25"/>
    <row r="143134" customFormat="1" x14ac:dyDescent="0.25"/>
    <row r="143135" customFormat="1" x14ac:dyDescent="0.25"/>
    <row r="143136" customFormat="1" x14ac:dyDescent="0.25"/>
    <row r="143137" customFormat="1" x14ac:dyDescent="0.25"/>
    <row r="143138" customFormat="1" x14ac:dyDescent="0.25"/>
    <row r="143139" customFormat="1" x14ac:dyDescent="0.25"/>
    <row r="143140" customFormat="1" x14ac:dyDescent="0.25"/>
    <row r="143141" customFormat="1" x14ac:dyDescent="0.25"/>
    <row r="143142" customFormat="1" x14ac:dyDescent="0.25"/>
    <row r="143143" customFormat="1" x14ac:dyDescent="0.25"/>
    <row r="143144" customFormat="1" x14ac:dyDescent="0.25"/>
    <row r="143145" customFormat="1" x14ac:dyDescent="0.25"/>
    <row r="143146" customFormat="1" x14ac:dyDescent="0.25"/>
    <row r="143147" customFormat="1" x14ac:dyDescent="0.25"/>
    <row r="143148" customFormat="1" x14ac:dyDescent="0.25"/>
    <row r="143149" customFormat="1" x14ac:dyDescent="0.25"/>
    <row r="143150" customFormat="1" x14ac:dyDescent="0.25"/>
    <row r="143151" customFormat="1" x14ac:dyDescent="0.25"/>
    <row r="143152" customFormat="1" x14ac:dyDescent="0.25"/>
    <row r="143153" customFormat="1" x14ac:dyDescent="0.25"/>
    <row r="143154" customFormat="1" x14ac:dyDescent="0.25"/>
    <row r="143155" customFormat="1" x14ac:dyDescent="0.25"/>
    <row r="143156" customFormat="1" x14ac:dyDescent="0.25"/>
    <row r="143157" customFormat="1" x14ac:dyDescent="0.25"/>
    <row r="143158" customFormat="1" x14ac:dyDescent="0.25"/>
    <row r="143159" customFormat="1" x14ac:dyDescent="0.25"/>
    <row r="143160" customFormat="1" x14ac:dyDescent="0.25"/>
    <row r="143161" customFormat="1" x14ac:dyDescent="0.25"/>
    <row r="143162" customFormat="1" x14ac:dyDescent="0.25"/>
    <row r="143163" customFormat="1" x14ac:dyDescent="0.25"/>
    <row r="143164" customFormat="1" x14ac:dyDescent="0.25"/>
    <row r="143165" customFormat="1" x14ac:dyDescent="0.25"/>
    <row r="143166" customFormat="1" x14ac:dyDescent="0.25"/>
    <row r="143167" customFormat="1" x14ac:dyDescent="0.25"/>
    <row r="143168" customFormat="1" x14ac:dyDescent="0.25"/>
    <row r="143169" customFormat="1" x14ac:dyDescent="0.25"/>
    <row r="143170" customFormat="1" x14ac:dyDescent="0.25"/>
    <row r="143171" customFormat="1" x14ac:dyDescent="0.25"/>
    <row r="143172" customFormat="1" x14ac:dyDescent="0.25"/>
    <row r="143173" customFormat="1" x14ac:dyDescent="0.25"/>
    <row r="143174" customFormat="1" x14ac:dyDescent="0.25"/>
    <row r="143175" customFormat="1" x14ac:dyDescent="0.25"/>
    <row r="143176" customFormat="1" x14ac:dyDescent="0.25"/>
    <row r="143177" customFormat="1" x14ac:dyDescent="0.25"/>
    <row r="143178" customFormat="1" x14ac:dyDescent="0.25"/>
    <row r="143179" customFormat="1" x14ac:dyDescent="0.25"/>
    <row r="143180" customFormat="1" x14ac:dyDescent="0.25"/>
    <row r="143181" customFormat="1" x14ac:dyDescent="0.25"/>
    <row r="143182" customFormat="1" x14ac:dyDescent="0.25"/>
    <row r="143183" customFormat="1" x14ac:dyDescent="0.25"/>
    <row r="143184" customFormat="1" x14ac:dyDescent="0.25"/>
    <row r="143185" customFormat="1" x14ac:dyDescent="0.25"/>
    <row r="143186" customFormat="1" x14ac:dyDescent="0.25"/>
    <row r="143187" customFormat="1" x14ac:dyDescent="0.25"/>
    <row r="143188" customFormat="1" x14ac:dyDescent="0.25"/>
    <row r="143189" customFormat="1" x14ac:dyDescent="0.25"/>
    <row r="143190" customFormat="1" x14ac:dyDescent="0.25"/>
    <row r="143191" customFormat="1" x14ac:dyDescent="0.25"/>
    <row r="143192" customFormat="1" x14ac:dyDescent="0.25"/>
    <row r="143193" customFormat="1" x14ac:dyDescent="0.25"/>
    <row r="143194" customFormat="1" x14ac:dyDescent="0.25"/>
    <row r="143195" customFormat="1" x14ac:dyDescent="0.25"/>
    <row r="143196" customFormat="1" x14ac:dyDescent="0.25"/>
    <row r="143197" customFormat="1" x14ac:dyDescent="0.25"/>
    <row r="143198" customFormat="1" x14ac:dyDescent="0.25"/>
    <row r="143199" customFormat="1" x14ac:dyDescent="0.25"/>
    <row r="143200" customFormat="1" x14ac:dyDescent="0.25"/>
    <row r="143201" customFormat="1" x14ac:dyDescent="0.25"/>
    <row r="143202" customFormat="1" x14ac:dyDescent="0.25"/>
    <row r="143203" customFormat="1" x14ac:dyDescent="0.25"/>
    <row r="143204" customFormat="1" x14ac:dyDescent="0.25"/>
    <row r="143205" customFormat="1" x14ac:dyDescent="0.25"/>
    <row r="143206" customFormat="1" x14ac:dyDescent="0.25"/>
    <row r="143207" customFormat="1" x14ac:dyDescent="0.25"/>
    <row r="143208" customFormat="1" x14ac:dyDescent="0.25"/>
    <row r="143209" customFormat="1" x14ac:dyDescent="0.25"/>
    <row r="143210" customFormat="1" x14ac:dyDescent="0.25"/>
    <row r="143211" customFormat="1" x14ac:dyDescent="0.25"/>
    <row r="143212" customFormat="1" x14ac:dyDescent="0.25"/>
    <row r="143213" customFormat="1" x14ac:dyDescent="0.25"/>
    <row r="143214" customFormat="1" x14ac:dyDescent="0.25"/>
    <row r="143215" customFormat="1" x14ac:dyDescent="0.25"/>
    <row r="143216" customFormat="1" x14ac:dyDescent="0.25"/>
    <row r="143217" customFormat="1" x14ac:dyDescent="0.25"/>
    <row r="143218" customFormat="1" x14ac:dyDescent="0.25"/>
    <row r="143219" customFormat="1" x14ac:dyDescent="0.25"/>
    <row r="143220" customFormat="1" x14ac:dyDescent="0.25"/>
    <row r="143221" customFormat="1" x14ac:dyDescent="0.25"/>
    <row r="143222" customFormat="1" x14ac:dyDescent="0.25"/>
    <row r="143223" customFormat="1" x14ac:dyDescent="0.25"/>
    <row r="143224" customFormat="1" x14ac:dyDescent="0.25"/>
    <row r="143225" customFormat="1" x14ac:dyDescent="0.25"/>
    <row r="143226" customFormat="1" x14ac:dyDescent="0.25"/>
    <row r="143227" customFormat="1" x14ac:dyDescent="0.25"/>
    <row r="143228" customFormat="1" x14ac:dyDescent="0.25"/>
    <row r="143229" customFormat="1" x14ac:dyDescent="0.25"/>
    <row r="143230" customFormat="1" x14ac:dyDescent="0.25"/>
    <row r="143231" customFormat="1" x14ac:dyDescent="0.25"/>
    <row r="143232" customFormat="1" x14ac:dyDescent="0.25"/>
    <row r="143233" customFormat="1" x14ac:dyDescent="0.25"/>
    <row r="143234" customFormat="1" x14ac:dyDescent="0.25"/>
    <row r="143235" customFormat="1" x14ac:dyDescent="0.25"/>
    <row r="143236" customFormat="1" x14ac:dyDescent="0.25"/>
    <row r="143237" customFormat="1" x14ac:dyDescent="0.25"/>
    <row r="143238" customFormat="1" x14ac:dyDescent="0.25"/>
    <row r="143239" customFormat="1" x14ac:dyDescent="0.25"/>
    <row r="143240" customFormat="1" x14ac:dyDescent="0.25"/>
    <row r="143241" customFormat="1" x14ac:dyDescent="0.25"/>
    <row r="143242" customFormat="1" x14ac:dyDescent="0.25"/>
    <row r="143243" customFormat="1" x14ac:dyDescent="0.25"/>
    <row r="143244" customFormat="1" x14ac:dyDescent="0.25"/>
    <row r="143245" customFormat="1" x14ac:dyDescent="0.25"/>
    <row r="143246" customFormat="1" x14ac:dyDescent="0.25"/>
    <row r="143247" customFormat="1" x14ac:dyDescent="0.25"/>
    <row r="143248" customFormat="1" x14ac:dyDescent="0.25"/>
    <row r="143249" customFormat="1" x14ac:dyDescent="0.25"/>
    <row r="143250" customFormat="1" x14ac:dyDescent="0.25"/>
    <row r="143251" customFormat="1" x14ac:dyDescent="0.25"/>
    <row r="143252" customFormat="1" x14ac:dyDescent="0.25"/>
    <row r="143253" customFormat="1" x14ac:dyDescent="0.25"/>
    <row r="143254" customFormat="1" x14ac:dyDescent="0.25"/>
    <row r="143255" customFormat="1" x14ac:dyDescent="0.25"/>
    <row r="143256" customFormat="1" x14ac:dyDescent="0.25"/>
    <row r="143257" customFormat="1" x14ac:dyDescent="0.25"/>
    <row r="143258" customFormat="1" x14ac:dyDescent="0.25"/>
    <row r="143259" customFormat="1" x14ac:dyDescent="0.25"/>
    <row r="143260" customFormat="1" x14ac:dyDescent="0.25"/>
    <row r="143261" customFormat="1" x14ac:dyDescent="0.25"/>
    <row r="143262" customFormat="1" x14ac:dyDescent="0.25"/>
    <row r="143263" customFormat="1" x14ac:dyDescent="0.25"/>
    <row r="143264" customFormat="1" x14ac:dyDescent="0.25"/>
    <row r="143265" customFormat="1" x14ac:dyDescent="0.25"/>
    <row r="143266" customFormat="1" x14ac:dyDescent="0.25"/>
    <row r="143267" customFormat="1" x14ac:dyDescent="0.25"/>
    <row r="143268" customFormat="1" x14ac:dyDescent="0.25"/>
    <row r="143269" customFormat="1" x14ac:dyDescent="0.25"/>
    <row r="143270" customFormat="1" x14ac:dyDescent="0.25"/>
    <row r="143271" customFormat="1" x14ac:dyDescent="0.25"/>
    <row r="143272" customFormat="1" x14ac:dyDescent="0.25"/>
    <row r="143273" customFormat="1" x14ac:dyDescent="0.25"/>
    <row r="143274" customFormat="1" x14ac:dyDescent="0.25"/>
    <row r="143275" customFormat="1" x14ac:dyDescent="0.25"/>
    <row r="143276" customFormat="1" x14ac:dyDescent="0.25"/>
    <row r="143277" customFormat="1" x14ac:dyDescent="0.25"/>
    <row r="143278" customFormat="1" x14ac:dyDescent="0.25"/>
    <row r="143279" customFormat="1" x14ac:dyDescent="0.25"/>
    <row r="143280" customFormat="1" x14ac:dyDescent="0.25"/>
    <row r="143281" customFormat="1" x14ac:dyDescent="0.25"/>
    <row r="143282" customFormat="1" x14ac:dyDescent="0.25"/>
    <row r="143283" customFormat="1" x14ac:dyDescent="0.25"/>
    <row r="143284" customFormat="1" x14ac:dyDescent="0.25"/>
    <row r="143285" customFormat="1" x14ac:dyDescent="0.25"/>
    <row r="143286" customFormat="1" x14ac:dyDescent="0.25"/>
    <row r="143287" customFormat="1" x14ac:dyDescent="0.25"/>
    <row r="143288" customFormat="1" x14ac:dyDescent="0.25"/>
    <row r="143289" customFormat="1" x14ac:dyDescent="0.25"/>
    <row r="143290" customFormat="1" x14ac:dyDescent="0.25"/>
    <row r="143291" customFormat="1" x14ac:dyDescent="0.25"/>
    <row r="143292" customFormat="1" x14ac:dyDescent="0.25"/>
    <row r="143293" customFormat="1" x14ac:dyDescent="0.25"/>
    <row r="143294" customFormat="1" x14ac:dyDescent="0.25"/>
    <row r="143295" customFormat="1" x14ac:dyDescent="0.25"/>
    <row r="143296" customFormat="1" x14ac:dyDescent="0.25"/>
    <row r="143297" customFormat="1" x14ac:dyDescent="0.25"/>
    <row r="143298" customFormat="1" x14ac:dyDescent="0.25"/>
    <row r="143299" customFormat="1" x14ac:dyDescent="0.25"/>
    <row r="143300" customFormat="1" x14ac:dyDescent="0.25"/>
    <row r="143301" customFormat="1" x14ac:dyDescent="0.25"/>
    <row r="143302" customFormat="1" x14ac:dyDescent="0.25"/>
    <row r="143303" customFormat="1" x14ac:dyDescent="0.25"/>
    <row r="143304" customFormat="1" x14ac:dyDescent="0.25"/>
    <row r="143305" customFormat="1" x14ac:dyDescent="0.25"/>
    <row r="143306" customFormat="1" x14ac:dyDescent="0.25"/>
    <row r="143307" customFormat="1" x14ac:dyDescent="0.25"/>
    <row r="143308" customFormat="1" x14ac:dyDescent="0.25"/>
    <row r="143309" customFormat="1" x14ac:dyDescent="0.25"/>
    <row r="143310" customFormat="1" x14ac:dyDescent="0.25"/>
    <row r="143311" customFormat="1" x14ac:dyDescent="0.25"/>
    <row r="143312" customFormat="1" x14ac:dyDescent="0.25"/>
    <row r="143313" customFormat="1" x14ac:dyDescent="0.25"/>
    <row r="143314" customFormat="1" x14ac:dyDescent="0.25"/>
    <row r="143315" customFormat="1" x14ac:dyDescent="0.25"/>
    <row r="143316" customFormat="1" x14ac:dyDescent="0.25"/>
    <row r="143317" customFormat="1" x14ac:dyDescent="0.25"/>
    <row r="143318" customFormat="1" x14ac:dyDescent="0.25"/>
    <row r="143319" customFormat="1" x14ac:dyDescent="0.25"/>
    <row r="143320" customFormat="1" x14ac:dyDescent="0.25"/>
    <row r="143321" customFormat="1" x14ac:dyDescent="0.25"/>
    <row r="143322" customFormat="1" x14ac:dyDescent="0.25"/>
    <row r="143323" customFormat="1" x14ac:dyDescent="0.25"/>
    <row r="143324" customFormat="1" x14ac:dyDescent="0.25"/>
    <row r="143325" customFormat="1" x14ac:dyDescent="0.25"/>
    <row r="143326" customFormat="1" x14ac:dyDescent="0.25"/>
    <row r="143327" customFormat="1" x14ac:dyDescent="0.25"/>
    <row r="143328" customFormat="1" x14ac:dyDescent="0.25"/>
    <row r="143329" customFormat="1" x14ac:dyDescent="0.25"/>
    <row r="143330" customFormat="1" x14ac:dyDescent="0.25"/>
    <row r="143331" customFormat="1" x14ac:dyDescent="0.25"/>
    <row r="143332" customFormat="1" x14ac:dyDescent="0.25"/>
    <row r="143333" customFormat="1" x14ac:dyDescent="0.25"/>
    <row r="143334" customFormat="1" x14ac:dyDescent="0.25"/>
    <row r="143335" customFormat="1" x14ac:dyDescent="0.25"/>
    <row r="143336" customFormat="1" x14ac:dyDescent="0.25"/>
    <row r="143337" customFormat="1" x14ac:dyDescent="0.25"/>
    <row r="143338" customFormat="1" x14ac:dyDescent="0.25"/>
    <row r="143339" customFormat="1" x14ac:dyDescent="0.25"/>
    <row r="143340" customFormat="1" x14ac:dyDescent="0.25"/>
    <row r="143341" customFormat="1" x14ac:dyDescent="0.25"/>
    <row r="143342" customFormat="1" x14ac:dyDescent="0.25"/>
    <row r="143343" customFormat="1" x14ac:dyDescent="0.25"/>
    <row r="143344" customFormat="1" x14ac:dyDescent="0.25"/>
    <row r="143345" customFormat="1" x14ac:dyDescent="0.25"/>
    <row r="143346" customFormat="1" x14ac:dyDescent="0.25"/>
    <row r="143347" customFormat="1" x14ac:dyDescent="0.25"/>
    <row r="143348" customFormat="1" x14ac:dyDescent="0.25"/>
    <row r="143349" customFormat="1" x14ac:dyDescent="0.25"/>
    <row r="143350" customFormat="1" x14ac:dyDescent="0.25"/>
    <row r="143351" customFormat="1" x14ac:dyDescent="0.25"/>
    <row r="143352" customFormat="1" x14ac:dyDescent="0.25"/>
    <row r="143353" customFormat="1" x14ac:dyDescent="0.25"/>
    <row r="143354" customFormat="1" x14ac:dyDescent="0.25"/>
    <row r="143355" customFormat="1" x14ac:dyDescent="0.25"/>
    <row r="143356" customFormat="1" x14ac:dyDescent="0.25"/>
    <row r="143357" customFormat="1" x14ac:dyDescent="0.25"/>
    <row r="143358" customFormat="1" x14ac:dyDescent="0.25"/>
    <row r="143359" customFormat="1" x14ac:dyDescent="0.25"/>
    <row r="143360" customFormat="1" x14ac:dyDescent="0.25"/>
    <row r="143361" customFormat="1" x14ac:dyDescent="0.25"/>
    <row r="143362" customFormat="1" x14ac:dyDescent="0.25"/>
    <row r="143363" customFormat="1" x14ac:dyDescent="0.25"/>
    <row r="143364" customFormat="1" x14ac:dyDescent="0.25"/>
    <row r="143365" customFormat="1" x14ac:dyDescent="0.25"/>
    <row r="143366" customFormat="1" x14ac:dyDescent="0.25"/>
    <row r="143367" customFormat="1" x14ac:dyDescent="0.25"/>
    <row r="143368" customFormat="1" x14ac:dyDescent="0.25"/>
    <row r="143369" customFormat="1" x14ac:dyDescent="0.25"/>
    <row r="143370" customFormat="1" x14ac:dyDescent="0.25"/>
    <row r="143371" customFormat="1" x14ac:dyDescent="0.25"/>
    <row r="143372" customFormat="1" x14ac:dyDescent="0.25"/>
    <row r="143373" customFormat="1" x14ac:dyDescent="0.25"/>
    <row r="143374" customFormat="1" x14ac:dyDescent="0.25"/>
    <row r="143375" customFormat="1" x14ac:dyDescent="0.25"/>
    <row r="143376" customFormat="1" x14ac:dyDescent="0.25"/>
    <row r="143377" customFormat="1" x14ac:dyDescent="0.25"/>
    <row r="143378" customFormat="1" x14ac:dyDescent="0.25"/>
    <row r="143379" customFormat="1" x14ac:dyDescent="0.25"/>
    <row r="143380" customFormat="1" x14ac:dyDescent="0.25"/>
    <row r="143381" customFormat="1" x14ac:dyDescent="0.25"/>
    <row r="143382" customFormat="1" x14ac:dyDescent="0.25"/>
    <row r="143383" customFormat="1" x14ac:dyDescent="0.25"/>
    <row r="143384" customFormat="1" x14ac:dyDescent="0.25"/>
    <row r="143385" customFormat="1" x14ac:dyDescent="0.25"/>
    <row r="143386" customFormat="1" x14ac:dyDescent="0.25"/>
    <row r="143387" customFormat="1" x14ac:dyDescent="0.25"/>
    <row r="143388" customFormat="1" x14ac:dyDescent="0.25"/>
    <row r="143389" customFormat="1" x14ac:dyDescent="0.25"/>
    <row r="143390" customFormat="1" x14ac:dyDescent="0.25"/>
    <row r="143391" customFormat="1" x14ac:dyDescent="0.25"/>
    <row r="143392" customFormat="1" x14ac:dyDescent="0.25"/>
    <row r="143393" customFormat="1" x14ac:dyDescent="0.25"/>
    <row r="143394" customFormat="1" x14ac:dyDescent="0.25"/>
    <row r="143395" customFormat="1" x14ac:dyDescent="0.25"/>
    <row r="143396" customFormat="1" x14ac:dyDescent="0.25"/>
    <row r="143397" customFormat="1" x14ac:dyDescent="0.25"/>
    <row r="143398" customFormat="1" x14ac:dyDescent="0.25"/>
    <row r="143399" customFormat="1" x14ac:dyDescent="0.25"/>
    <row r="143400" customFormat="1" x14ac:dyDescent="0.25"/>
    <row r="143401" customFormat="1" x14ac:dyDescent="0.25"/>
    <row r="143402" customFormat="1" x14ac:dyDescent="0.25"/>
    <row r="143403" customFormat="1" x14ac:dyDescent="0.25"/>
    <row r="143404" customFormat="1" x14ac:dyDescent="0.25"/>
    <row r="143405" customFormat="1" x14ac:dyDescent="0.25"/>
    <row r="143406" customFormat="1" x14ac:dyDescent="0.25"/>
    <row r="143407" customFormat="1" x14ac:dyDescent="0.25"/>
    <row r="143408" customFormat="1" x14ac:dyDescent="0.25"/>
    <row r="143409" customFormat="1" x14ac:dyDescent="0.25"/>
    <row r="143410" customFormat="1" x14ac:dyDescent="0.25"/>
    <row r="143411" customFormat="1" x14ac:dyDescent="0.25"/>
    <row r="143412" customFormat="1" x14ac:dyDescent="0.25"/>
    <row r="143413" customFormat="1" x14ac:dyDescent="0.25"/>
    <row r="143414" customFormat="1" x14ac:dyDescent="0.25"/>
    <row r="143415" customFormat="1" x14ac:dyDescent="0.25"/>
    <row r="143416" customFormat="1" x14ac:dyDescent="0.25"/>
    <row r="143417" customFormat="1" x14ac:dyDescent="0.25"/>
    <row r="143418" customFormat="1" x14ac:dyDescent="0.25"/>
    <row r="143419" customFormat="1" x14ac:dyDescent="0.25"/>
    <row r="143420" customFormat="1" x14ac:dyDescent="0.25"/>
    <row r="143421" customFormat="1" x14ac:dyDescent="0.25"/>
    <row r="143422" customFormat="1" x14ac:dyDescent="0.25"/>
    <row r="143423" customFormat="1" x14ac:dyDescent="0.25"/>
    <row r="143424" customFormat="1" x14ac:dyDescent="0.25"/>
    <row r="143425" customFormat="1" x14ac:dyDescent="0.25"/>
    <row r="143426" customFormat="1" x14ac:dyDescent="0.25"/>
    <row r="143427" customFormat="1" x14ac:dyDescent="0.25"/>
    <row r="143428" customFormat="1" x14ac:dyDescent="0.25"/>
    <row r="143429" customFormat="1" x14ac:dyDescent="0.25"/>
    <row r="143430" customFormat="1" x14ac:dyDescent="0.25"/>
    <row r="143431" customFormat="1" x14ac:dyDescent="0.25"/>
    <row r="143432" customFormat="1" x14ac:dyDescent="0.25"/>
    <row r="143433" customFormat="1" x14ac:dyDescent="0.25"/>
    <row r="143434" customFormat="1" x14ac:dyDescent="0.25"/>
    <row r="143435" customFormat="1" x14ac:dyDescent="0.25"/>
    <row r="143436" customFormat="1" x14ac:dyDescent="0.25"/>
    <row r="143437" customFormat="1" x14ac:dyDescent="0.25"/>
    <row r="143438" customFormat="1" x14ac:dyDescent="0.25"/>
    <row r="143439" customFormat="1" x14ac:dyDescent="0.25"/>
    <row r="143440" customFormat="1" x14ac:dyDescent="0.25"/>
    <row r="143441" customFormat="1" x14ac:dyDescent="0.25"/>
    <row r="143442" customFormat="1" x14ac:dyDescent="0.25"/>
    <row r="143443" customFormat="1" x14ac:dyDescent="0.25"/>
    <row r="143444" customFormat="1" x14ac:dyDescent="0.25"/>
    <row r="143445" customFormat="1" x14ac:dyDescent="0.25"/>
    <row r="143446" customFormat="1" x14ac:dyDescent="0.25"/>
    <row r="143447" customFormat="1" x14ac:dyDescent="0.25"/>
    <row r="143448" customFormat="1" x14ac:dyDescent="0.25"/>
    <row r="143449" customFormat="1" x14ac:dyDescent="0.25"/>
    <row r="143450" customFormat="1" x14ac:dyDescent="0.25"/>
    <row r="143451" customFormat="1" x14ac:dyDescent="0.25"/>
    <row r="143452" customFormat="1" x14ac:dyDescent="0.25"/>
    <row r="143453" customFormat="1" x14ac:dyDescent="0.25"/>
    <row r="143454" customFormat="1" x14ac:dyDescent="0.25"/>
    <row r="143455" customFormat="1" x14ac:dyDescent="0.25"/>
    <row r="143456" customFormat="1" x14ac:dyDescent="0.25"/>
    <row r="143457" customFormat="1" x14ac:dyDescent="0.25"/>
    <row r="143458" customFormat="1" x14ac:dyDescent="0.25"/>
    <row r="143459" customFormat="1" x14ac:dyDescent="0.25"/>
    <row r="143460" customFormat="1" x14ac:dyDescent="0.25"/>
    <row r="143461" customFormat="1" x14ac:dyDescent="0.25"/>
    <row r="143462" customFormat="1" x14ac:dyDescent="0.25"/>
    <row r="143463" customFormat="1" x14ac:dyDescent="0.25"/>
    <row r="143464" customFormat="1" x14ac:dyDescent="0.25"/>
    <row r="143465" customFormat="1" x14ac:dyDescent="0.25"/>
    <row r="143466" customFormat="1" x14ac:dyDescent="0.25"/>
    <row r="143467" customFormat="1" x14ac:dyDescent="0.25"/>
    <row r="143468" customFormat="1" x14ac:dyDescent="0.25"/>
    <row r="143469" customFormat="1" x14ac:dyDescent="0.25"/>
    <row r="143470" customFormat="1" x14ac:dyDescent="0.25"/>
    <row r="143471" customFormat="1" x14ac:dyDescent="0.25"/>
    <row r="143472" customFormat="1" x14ac:dyDescent="0.25"/>
    <row r="143473" customFormat="1" x14ac:dyDescent="0.25"/>
    <row r="143474" customFormat="1" x14ac:dyDescent="0.25"/>
    <row r="143475" customFormat="1" x14ac:dyDescent="0.25"/>
    <row r="143476" customFormat="1" x14ac:dyDescent="0.25"/>
    <row r="143477" customFormat="1" x14ac:dyDescent="0.25"/>
    <row r="143478" customFormat="1" x14ac:dyDescent="0.25"/>
    <row r="143479" customFormat="1" x14ac:dyDescent="0.25"/>
    <row r="143480" customFormat="1" x14ac:dyDescent="0.25"/>
    <row r="143481" customFormat="1" x14ac:dyDescent="0.25"/>
    <row r="143482" customFormat="1" x14ac:dyDescent="0.25"/>
    <row r="143483" customFormat="1" x14ac:dyDescent="0.25"/>
    <row r="143484" customFormat="1" x14ac:dyDescent="0.25"/>
    <row r="143485" customFormat="1" x14ac:dyDescent="0.25"/>
    <row r="143486" customFormat="1" x14ac:dyDescent="0.25"/>
    <row r="143487" customFormat="1" x14ac:dyDescent="0.25"/>
    <row r="143488" customFormat="1" x14ac:dyDescent="0.25"/>
    <row r="143489" customFormat="1" x14ac:dyDescent="0.25"/>
    <row r="143490" customFormat="1" x14ac:dyDescent="0.25"/>
    <row r="143491" customFormat="1" x14ac:dyDescent="0.25"/>
    <row r="143492" customFormat="1" x14ac:dyDescent="0.25"/>
    <row r="143493" customFormat="1" x14ac:dyDescent="0.25"/>
    <row r="143494" customFormat="1" x14ac:dyDescent="0.25"/>
    <row r="143495" customFormat="1" x14ac:dyDescent="0.25"/>
    <row r="143496" customFormat="1" x14ac:dyDescent="0.25"/>
    <row r="143497" customFormat="1" x14ac:dyDescent="0.25"/>
    <row r="143498" customFormat="1" x14ac:dyDescent="0.25"/>
    <row r="143499" customFormat="1" x14ac:dyDescent="0.25"/>
    <row r="143500" customFormat="1" x14ac:dyDescent="0.25"/>
    <row r="143501" customFormat="1" x14ac:dyDescent="0.25"/>
    <row r="143502" customFormat="1" x14ac:dyDescent="0.25"/>
    <row r="143503" customFormat="1" x14ac:dyDescent="0.25"/>
    <row r="143504" customFormat="1" x14ac:dyDescent="0.25"/>
    <row r="143505" customFormat="1" x14ac:dyDescent="0.25"/>
    <row r="143506" customFormat="1" x14ac:dyDescent="0.25"/>
    <row r="143507" customFormat="1" x14ac:dyDescent="0.25"/>
    <row r="143508" customFormat="1" x14ac:dyDescent="0.25"/>
    <row r="143509" customFormat="1" x14ac:dyDescent="0.25"/>
    <row r="143510" customFormat="1" x14ac:dyDescent="0.25"/>
    <row r="143511" customFormat="1" x14ac:dyDescent="0.25"/>
    <row r="143512" customFormat="1" x14ac:dyDescent="0.25"/>
    <row r="143513" customFormat="1" x14ac:dyDescent="0.25"/>
    <row r="143514" customFormat="1" x14ac:dyDescent="0.25"/>
    <row r="143515" customFormat="1" x14ac:dyDescent="0.25"/>
    <row r="143516" customFormat="1" x14ac:dyDescent="0.25"/>
    <row r="143517" customFormat="1" x14ac:dyDescent="0.25"/>
    <row r="143518" customFormat="1" x14ac:dyDescent="0.25"/>
    <row r="143519" customFormat="1" x14ac:dyDescent="0.25"/>
    <row r="143520" customFormat="1" x14ac:dyDescent="0.25"/>
    <row r="143521" customFormat="1" x14ac:dyDescent="0.25"/>
    <row r="143522" customFormat="1" x14ac:dyDescent="0.25"/>
    <row r="143523" customFormat="1" x14ac:dyDescent="0.25"/>
    <row r="143524" customFormat="1" x14ac:dyDescent="0.25"/>
    <row r="143525" customFormat="1" x14ac:dyDescent="0.25"/>
    <row r="143526" customFormat="1" x14ac:dyDescent="0.25"/>
    <row r="143527" customFormat="1" x14ac:dyDescent="0.25"/>
    <row r="143528" customFormat="1" x14ac:dyDescent="0.25"/>
    <row r="143529" customFormat="1" x14ac:dyDescent="0.25"/>
    <row r="143530" customFormat="1" x14ac:dyDescent="0.25"/>
    <row r="143531" customFormat="1" x14ac:dyDescent="0.25"/>
    <row r="143532" customFormat="1" x14ac:dyDescent="0.25"/>
    <row r="143533" customFormat="1" x14ac:dyDescent="0.25"/>
    <row r="143534" customFormat="1" x14ac:dyDescent="0.25"/>
    <row r="143535" customFormat="1" x14ac:dyDescent="0.25"/>
    <row r="143536" customFormat="1" x14ac:dyDescent="0.25"/>
    <row r="143537" customFormat="1" x14ac:dyDescent="0.25"/>
    <row r="143538" customFormat="1" x14ac:dyDescent="0.25"/>
    <row r="143539" customFormat="1" x14ac:dyDescent="0.25"/>
    <row r="143540" customFormat="1" x14ac:dyDescent="0.25"/>
    <row r="143541" customFormat="1" x14ac:dyDescent="0.25"/>
    <row r="143542" customFormat="1" x14ac:dyDescent="0.25"/>
    <row r="143543" customFormat="1" x14ac:dyDescent="0.25"/>
    <row r="143544" customFormat="1" x14ac:dyDescent="0.25"/>
    <row r="143545" customFormat="1" x14ac:dyDescent="0.25"/>
    <row r="143546" customFormat="1" x14ac:dyDescent="0.25"/>
    <row r="143547" customFormat="1" x14ac:dyDescent="0.25"/>
    <row r="143548" customFormat="1" x14ac:dyDescent="0.25"/>
    <row r="143549" customFormat="1" x14ac:dyDescent="0.25"/>
    <row r="143550" customFormat="1" x14ac:dyDescent="0.25"/>
    <row r="143551" customFormat="1" x14ac:dyDescent="0.25"/>
    <row r="143552" customFormat="1" x14ac:dyDescent="0.25"/>
    <row r="143553" customFormat="1" x14ac:dyDescent="0.25"/>
    <row r="143554" customFormat="1" x14ac:dyDescent="0.25"/>
    <row r="143555" customFormat="1" x14ac:dyDescent="0.25"/>
    <row r="143556" customFormat="1" x14ac:dyDescent="0.25"/>
    <row r="143557" customFormat="1" x14ac:dyDescent="0.25"/>
    <row r="143558" customFormat="1" x14ac:dyDescent="0.25"/>
    <row r="143559" customFormat="1" x14ac:dyDescent="0.25"/>
    <row r="143560" customFormat="1" x14ac:dyDescent="0.25"/>
    <row r="143561" customFormat="1" x14ac:dyDescent="0.25"/>
    <row r="143562" customFormat="1" x14ac:dyDescent="0.25"/>
    <row r="143563" customFormat="1" x14ac:dyDescent="0.25"/>
    <row r="143564" customFormat="1" x14ac:dyDescent="0.25"/>
    <row r="143565" customFormat="1" x14ac:dyDescent="0.25"/>
    <row r="143566" customFormat="1" x14ac:dyDescent="0.25"/>
    <row r="143567" customFormat="1" x14ac:dyDescent="0.25"/>
    <row r="143568" customFormat="1" x14ac:dyDescent="0.25"/>
    <row r="143569" customFormat="1" x14ac:dyDescent="0.25"/>
    <row r="143570" customFormat="1" x14ac:dyDescent="0.25"/>
    <row r="143571" customFormat="1" x14ac:dyDescent="0.25"/>
    <row r="143572" customFormat="1" x14ac:dyDescent="0.25"/>
    <row r="143573" customFormat="1" x14ac:dyDescent="0.25"/>
    <row r="143574" customFormat="1" x14ac:dyDescent="0.25"/>
    <row r="143575" customFormat="1" x14ac:dyDescent="0.25"/>
    <row r="143576" customFormat="1" x14ac:dyDescent="0.25"/>
    <row r="143577" customFormat="1" x14ac:dyDescent="0.25"/>
    <row r="143578" customFormat="1" x14ac:dyDescent="0.25"/>
    <row r="143579" customFormat="1" x14ac:dyDescent="0.25"/>
    <row r="143580" customFormat="1" x14ac:dyDescent="0.25"/>
    <row r="143581" customFormat="1" x14ac:dyDescent="0.25"/>
    <row r="143582" customFormat="1" x14ac:dyDescent="0.25"/>
    <row r="143583" customFormat="1" x14ac:dyDescent="0.25"/>
    <row r="143584" customFormat="1" x14ac:dyDescent="0.25"/>
    <row r="143585" customFormat="1" x14ac:dyDescent="0.25"/>
    <row r="143586" customFormat="1" x14ac:dyDescent="0.25"/>
    <row r="143587" customFormat="1" x14ac:dyDescent="0.25"/>
    <row r="143588" customFormat="1" x14ac:dyDescent="0.25"/>
    <row r="143589" customFormat="1" x14ac:dyDescent="0.25"/>
    <row r="143590" customFormat="1" x14ac:dyDescent="0.25"/>
    <row r="143591" customFormat="1" x14ac:dyDescent="0.25"/>
    <row r="143592" customFormat="1" x14ac:dyDescent="0.25"/>
    <row r="143593" customFormat="1" x14ac:dyDescent="0.25"/>
    <row r="143594" customFormat="1" x14ac:dyDescent="0.25"/>
    <row r="143595" customFormat="1" x14ac:dyDescent="0.25"/>
    <row r="143596" customFormat="1" x14ac:dyDescent="0.25"/>
    <row r="143597" customFormat="1" x14ac:dyDescent="0.25"/>
    <row r="143598" customFormat="1" x14ac:dyDescent="0.25"/>
    <row r="143599" customFormat="1" x14ac:dyDescent="0.25"/>
    <row r="143600" customFormat="1" x14ac:dyDescent="0.25"/>
    <row r="143601" customFormat="1" x14ac:dyDescent="0.25"/>
    <row r="143602" customFormat="1" x14ac:dyDescent="0.25"/>
    <row r="143603" customFormat="1" x14ac:dyDescent="0.25"/>
    <row r="143604" customFormat="1" x14ac:dyDescent="0.25"/>
    <row r="143605" customFormat="1" x14ac:dyDescent="0.25"/>
    <row r="143606" customFormat="1" x14ac:dyDescent="0.25"/>
    <row r="143607" customFormat="1" x14ac:dyDescent="0.25"/>
    <row r="143608" customFormat="1" x14ac:dyDescent="0.25"/>
    <row r="143609" customFormat="1" x14ac:dyDescent="0.25"/>
    <row r="143610" customFormat="1" x14ac:dyDescent="0.25"/>
    <row r="143611" customFormat="1" x14ac:dyDescent="0.25"/>
    <row r="143612" customFormat="1" x14ac:dyDescent="0.25"/>
    <row r="143613" customFormat="1" x14ac:dyDescent="0.25"/>
    <row r="143614" customFormat="1" x14ac:dyDescent="0.25"/>
    <row r="143615" customFormat="1" x14ac:dyDescent="0.25"/>
    <row r="143616" customFormat="1" x14ac:dyDescent="0.25"/>
    <row r="143617" customFormat="1" x14ac:dyDescent="0.25"/>
    <row r="143618" customFormat="1" x14ac:dyDescent="0.25"/>
    <row r="143619" customFormat="1" x14ac:dyDescent="0.25"/>
    <row r="143620" customFormat="1" x14ac:dyDescent="0.25"/>
    <row r="143621" customFormat="1" x14ac:dyDescent="0.25"/>
    <row r="143622" customFormat="1" x14ac:dyDescent="0.25"/>
    <row r="143623" customFormat="1" x14ac:dyDescent="0.25"/>
    <row r="143624" customFormat="1" x14ac:dyDescent="0.25"/>
    <row r="143625" customFormat="1" x14ac:dyDescent="0.25"/>
    <row r="143626" customFormat="1" x14ac:dyDescent="0.25"/>
    <row r="143627" customFormat="1" x14ac:dyDescent="0.25"/>
    <row r="143628" customFormat="1" x14ac:dyDescent="0.25"/>
    <row r="143629" customFormat="1" x14ac:dyDescent="0.25"/>
    <row r="143630" customFormat="1" x14ac:dyDescent="0.25"/>
    <row r="143631" customFormat="1" x14ac:dyDescent="0.25"/>
    <row r="143632" customFormat="1" x14ac:dyDescent="0.25"/>
    <row r="143633" customFormat="1" x14ac:dyDescent="0.25"/>
    <row r="143634" customFormat="1" x14ac:dyDescent="0.25"/>
    <row r="143635" customFormat="1" x14ac:dyDescent="0.25"/>
    <row r="143636" customFormat="1" x14ac:dyDescent="0.25"/>
    <row r="143637" customFormat="1" x14ac:dyDescent="0.25"/>
    <row r="143638" customFormat="1" x14ac:dyDescent="0.25"/>
    <row r="143639" customFormat="1" x14ac:dyDescent="0.25"/>
    <row r="143640" customFormat="1" x14ac:dyDescent="0.25"/>
    <row r="143641" customFormat="1" x14ac:dyDescent="0.25"/>
    <row r="143642" customFormat="1" x14ac:dyDescent="0.25"/>
    <row r="143643" customFormat="1" x14ac:dyDescent="0.25"/>
    <row r="143644" customFormat="1" x14ac:dyDescent="0.25"/>
    <row r="143645" customFormat="1" x14ac:dyDescent="0.25"/>
    <row r="143646" customFormat="1" x14ac:dyDescent="0.25"/>
    <row r="143647" customFormat="1" x14ac:dyDescent="0.25"/>
    <row r="143648" customFormat="1" x14ac:dyDescent="0.25"/>
    <row r="143649" customFormat="1" x14ac:dyDescent="0.25"/>
    <row r="143650" customFormat="1" x14ac:dyDescent="0.25"/>
    <row r="143651" customFormat="1" x14ac:dyDescent="0.25"/>
    <row r="143652" customFormat="1" x14ac:dyDescent="0.25"/>
    <row r="143653" customFormat="1" x14ac:dyDescent="0.25"/>
    <row r="143654" customFormat="1" x14ac:dyDescent="0.25"/>
    <row r="143655" customFormat="1" x14ac:dyDescent="0.25"/>
    <row r="143656" customFormat="1" x14ac:dyDescent="0.25"/>
    <row r="143657" customFormat="1" x14ac:dyDescent="0.25"/>
    <row r="143658" customFormat="1" x14ac:dyDescent="0.25"/>
    <row r="143659" customFormat="1" x14ac:dyDescent="0.25"/>
    <row r="143660" customFormat="1" x14ac:dyDescent="0.25"/>
    <row r="143661" customFormat="1" x14ac:dyDescent="0.25"/>
    <row r="143662" customFormat="1" x14ac:dyDescent="0.25"/>
    <row r="143663" customFormat="1" x14ac:dyDescent="0.25"/>
    <row r="143664" customFormat="1" x14ac:dyDescent="0.25"/>
    <row r="143665" customFormat="1" x14ac:dyDescent="0.25"/>
    <row r="143666" customFormat="1" x14ac:dyDescent="0.25"/>
    <row r="143667" customFormat="1" x14ac:dyDescent="0.25"/>
    <row r="143668" customFormat="1" x14ac:dyDescent="0.25"/>
    <row r="143669" customFormat="1" x14ac:dyDescent="0.25"/>
    <row r="143670" customFormat="1" x14ac:dyDescent="0.25"/>
    <row r="143671" customFormat="1" x14ac:dyDescent="0.25"/>
    <row r="143672" customFormat="1" x14ac:dyDescent="0.25"/>
    <row r="143673" customFormat="1" x14ac:dyDescent="0.25"/>
    <row r="143674" customFormat="1" x14ac:dyDescent="0.25"/>
    <row r="143675" customFormat="1" x14ac:dyDescent="0.25"/>
    <row r="143676" customFormat="1" x14ac:dyDescent="0.25"/>
    <row r="143677" customFormat="1" x14ac:dyDescent="0.25"/>
    <row r="143678" customFormat="1" x14ac:dyDescent="0.25"/>
    <row r="143679" customFormat="1" x14ac:dyDescent="0.25"/>
    <row r="143680" customFormat="1" x14ac:dyDescent="0.25"/>
    <row r="143681" customFormat="1" x14ac:dyDescent="0.25"/>
    <row r="143682" customFormat="1" x14ac:dyDescent="0.25"/>
    <row r="143683" customFormat="1" x14ac:dyDescent="0.25"/>
    <row r="143684" customFormat="1" x14ac:dyDescent="0.25"/>
    <row r="143685" customFormat="1" x14ac:dyDescent="0.25"/>
    <row r="143686" customFormat="1" x14ac:dyDescent="0.25"/>
    <row r="143687" customFormat="1" x14ac:dyDescent="0.25"/>
    <row r="143688" customFormat="1" x14ac:dyDescent="0.25"/>
    <row r="143689" customFormat="1" x14ac:dyDescent="0.25"/>
    <row r="143690" customFormat="1" x14ac:dyDescent="0.25"/>
    <row r="143691" customFormat="1" x14ac:dyDescent="0.25"/>
    <row r="143692" customFormat="1" x14ac:dyDescent="0.25"/>
    <row r="143693" customFormat="1" x14ac:dyDescent="0.25"/>
    <row r="143694" customFormat="1" x14ac:dyDescent="0.25"/>
    <row r="143695" customFormat="1" x14ac:dyDescent="0.25"/>
    <row r="143696" customFormat="1" x14ac:dyDescent="0.25"/>
    <row r="143697" customFormat="1" x14ac:dyDescent="0.25"/>
    <row r="143698" customFormat="1" x14ac:dyDescent="0.25"/>
    <row r="143699" customFormat="1" x14ac:dyDescent="0.25"/>
    <row r="143700" customFormat="1" x14ac:dyDescent="0.25"/>
    <row r="143701" customFormat="1" x14ac:dyDescent="0.25"/>
    <row r="143702" customFormat="1" x14ac:dyDescent="0.25"/>
    <row r="143703" customFormat="1" x14ac:dyDescent="0.25"/>
    <row r="143704" customFormat="1" x14ac:dyDescent="0.25"/>
    <row r="143705" customFormat="1" x14ac:dyDescent="0.25"/>
    <row r="143706" customFormat="1" x14ac:dyDescent="0.25"/>
    <row r="143707" customFormat="1" x14ac:dyDescent="0.25"/>
    <row r="143708" customFormat="1" x14ac:dyDescent="0.25"/>
    <row r="143709" customFormat="1" x14ac:dyDescent="0.25"/>
    <row r="143710" customFormat="1" x14ac:dyDescent="0.25"/>
    <row r="143711" customFormat="1" x14ac:dyDescent="0.25"/>
    <row r="143712" customFormat="1" x14ac:dyDescent="0.25"/>
    <row r="143713" customFormat="1" x14ac:dyDescent="0.25"/>
    <row r="143714" customFormat="1" x14ac:dyDescent="0.25"/>
    <row r="143715" customFormat="1" x14ac:dyDescent="0.25"/>
    <row r="143716" customFormat="1" x14ac:dyDescent="0.25"/>
    <row r="143717" customFormat="1" x14ac:dyDescent="0.25"/>
    <row r="143718" customFormat="1" x14ac:dyDescent="0.25"/>
    <row r="143719" customFormat="1" x14ac:dyDescent="0.25"/>
    <row r="143720" customFormat="1" x14ac:dyDescent="0.25"/>
    <row r="143721" customFormat="1" x14ac:dyDescent="0.25"/>
    <row r="143722" customFormat="1" x14ac:dyDescent="0.25"/>
    <row r="143723" customFormat="1" x14ac:dyDescent="0.25"/>
    <row r="143724" customFormat="1" x14ac:dyDescent="0.25"/>
    <row r="143725" customFormat="1" x14ac:dyDescent="0.25"/>
    <row r="143726" customFormat="1" x14ac:dyDescent="0.25"/>
    <row r="143727" customFormat="1" x14ac:dyDescent="0.25"/>
    <row r="143728" customFormat="1" x14ac:dyDescent="0.25"/>
    <row r="143729" customFormat="1" x14ac:dyDescent="0.25"/>
    <row r="143730" customFormat="1" x14ac:dyDescent="0.25"/>
    <row r="143731" customFormat="1" x14ac:dyDescent="0.25"/>
    <row r="143732" customFormat="1" x14ac:dyDescent="0.25"/>
    <row r="143733" customFormat="1" x14ac:dyDescent="0.25"/>
    <row r="143734" customFormat="1" x14ac:dyDescent="0.25"/>
    <row r="143735" customFormat="1" x14ac:dyDescent="0.25"/>
    <row r="143736" customFormat="1" x14ac:dyDescent="0.25"/>
    <row r="143737" customFormat="1" x14ac:dyDescent="0.25"/>
    <row r="143738" customFormat="1" x14ac:dyDescent="0.25"/>
    <row r="143739" customFormat="1" x14ac:dyDescent="0.25"/>
    <row r="143740" customFormat="1" x14ac:dyDescent="0.25"/>
    <row r="143741" customFormat="1" x14ac:dyDescent="0.25"/>
    <row r="143742" customFormat="1" x14ac:dyDescent="0.25"/>
    <row r="143743" customFormat="1" x14ac:dyDescent="0.25"/>
    <row r="143744" customFormat="1" x14ac:dyDescent="0.25"/>
    <row r="143745" customFormat="1" x14ac:dyDescent="0.25"/>
    <row r="143746" customFormat="1" x14ac:dyDescent="0.25"/>
    <row r="143747" customFormat="1" x14ac:dyDescent="0.25"/>
    <row r="143748" customFormat="1" x14ac:dyDescent="0.25"/>
    <row r="143749" customFormat="1" x14ac:dyDescent="0.25"/>
    <row r="143750" customFormat="1" x14ac:dyDescent="0.25"/>
    <row r="143751" customFormat="1" x14ac:dyDescent="0.25"/>
    <row r="143752" customFormat="1" x14ac:dyDescent="0.25"/>
    <row r="143753" customFormat="1" x14ac:dyDescent="0.25"/>
    <row r="143754" customFormat="1" x14ac:dyDescent="0.25"/>
    <row r="143755" customFormat="1" x14ac:dyDescent="0.25"/>
    <row r="143756" customFormat="1" x14ac:dyDescent="0.25"/>
    <row r="143757" customFormat="1" x14ac:dyDescent="0.25"/>
    <row r="143758" customFormat="1" x14ac:dyDescent="0.25"/>
    <row r="143759" customFormat="1" x14ac:dyDescent="0.25"/>
    <row r="143760" customFormat="1" x14ac:dyDescent="0.25"/>
    <row r="143761" customFormat="1" x14ac:dyDescent="0.25"/>
    <row r="143762" customFormat="1" x14ac:dyDescent="0.25"/>
    <row r="143763" customFormat="1" x14ac:dyDescent="0.25"/>
    <row r="143764" customFormat="1" x14ac:dyDescent="0.25"/>
    <row r="143765" customFormat="1" x14ac:dyDescent="0.25"/>
    <row r="143766" customFormat="1" x14ac:dyDescent="0.25"/>
    <row r="143767" customFormat="1" x14ac:dyDescent="0.25"/>
    <row r="143768" customFormat="1" x14ac:dyDescent="0.25"/>
    <row r="143769" customFormat="1" x14ac:dyDescent="0.25"/>
    <row r="143770" customFormat="1" x14ac:dyDescent="0.25"/>
    <row r="143771" customFormat="1" x14ac:dyDescent="0.25"/>
    <row r="143772" customFormat="1" x14ac:dyDescent="0.25"/>
    <row r="143773" customFormat="1" x14ac:dyDescent="0.25"/>
    <row r="143774" customFormat="1" x14ac:dyDescent="0.25"/>
    <row r="143775" customFormat="1" x14ac:dyDescent="0.25"/>
    <row r="143776" customFormat="1" x14ac:dyDescent="0.25"/>
    <row r="143777" customFormat="1" x14ac:dyDescent="0.25"/>
    <row r="143778" customFormat="1" x14ac:dyDescent="0.25"/>
    <row r="143779" customFormat="1" x14ac:dyDescent="0.25"/>
    <row r="143780" customFormat="1" x14ac:dyDescent="0.25"/>
    <row r="143781" customFormat="1" x14ac:dyDescent="0.25"/>
    <row r="143782" customFormat="1" x14ac:dyDescent="0.25"/>
    <row r="143783" customFormat="1" x14ac:dyDescent="0.25"/>
    <row r="143784" customFormat="1" x14ac:dyDescent="0.25"/>
    <row r="143785" customFormat="1" x14ac:dyDescent="0.25"/>
    <row r="143786" customFormat="1" x14ac:dyDescent="0.25"/>
    <row r="143787" customFormat="1" x14ac:dyDescent="0.25"/>
    <row r="143788" customFormat="1" x14ac:dyDescent="0.25"/>
    <row r="143789" customFormat="1" x14ac:dyDescent="0.25"/>
    <row r="143790" customFormat="1" x14ac:dyDescent="0.25"/>
    <row r="143791" customFormat="1" x14ac:dyDescent="0.25"/>
    <row r="143792" customFormat="1" x14ac:dyDescent="0.25"/>
    <row r="143793" customFormat="1" x14ac:dyDescent="0.25"/>
    <row r="143794" customFormat="1" x14ac:dyDescent="0.25"/>
    <row r="143795" customFormat="1" x14ac:dyDescent="0.25"/>
    <row r="143796" customFormat="1" x14ac:dyDescent="0.25"/>
    <row r="143797" customFormat="1" x14ac:dyDescent="0.25"/>
    <row r="143798" customFormat="1" x14ac:dyDescent="0.25"/>
    <row r="143799" customFormat="1" x14ac:dyDescent="0.25"/>
    <row r="143800" customFormat="1" x14ac:dyDescent="0.25"/>
    <row r="143801" customFormat="1" x14ac:dyDescent="0.25"/>
    <row r="143802" customFormat="1" x14ac:dyDescent="0.25"/>
    <row r="143803" customFormat="1" x14ac:dyDescent="0.25"/>
    <row r="143804" customFormat="1" x14ac:dyDescent="0.25"/>
    <row r="143805" customFormat="1" x14ac:dyDescent="0.25"/>
    <row r="143806" customFormat="1" x14ac:dyDescent="0.25"/>
    <row r="143807" customFormat="1" x14ac:dyDescent="0.25"/>
    <row r="143808" customFormat="1" x14ac:dyDescent="0.25"/>
    <row r="143809" customFormat="1" x14ac:dyDescent="0.25"/>
    <row r="143810" customFormat="1" x14ac:dyDescent="0.25"/>
    <row r="143811" customFormat="1" x14ac:dyDescent="0.25"/>
    <row r="143812" customFormat="1" x14ac:dyDescent="0.25"/>
    <row r="143813" customFormat="1" x14ac:dyDescent="0.25"/>
    <row r="143814" customFormat="1" x14ac:dyDescent="0.25"/>
    <row r="143815" customFormat="1" x14ac:dyDescent="0.25"/>
    <row r="143816" customFormat="1" x14ac:dyDescent="0.25"/>
    <row r="143817" customFormat="1" x14ac:dyDescent="0.25"/>
    <row r="143818" customFormat="1" x14ac:dyDescent="0.25"/>
    <row r="143819" customFormat="1" x14ac:dyDescent="0.25"/>
    <row r="143820" customFormat="1" x14ac:dyDescent="0.25"/>
    <row r="143821" customFormat="1" x14ac:dyDescent="0.25"/>
    <row r="143822" customFormat="1" x14ac:dyDescent="0.25"/>
    <row r="143823" customFormat="1" x14ac:dyDescent="0.25"/>
    <row r="143824" customFormat="1" x14ac:dyDescent="0.25"/>
    <row r="143825" customFormat="1" x14ac:dyDescent="0.25"/>
    <row r="143826" customFormat="1" x14ac:dyDescent="0.25"/>
    <row r="143827" customFormat="1" x14ac:dyDescent="0.25"/>
    <row r="143828" customFormat="1" x14ac:dyDescent="0.25"/>
    <row r="143829" customFormat="1" x14ac:dyDescent="0.25"/>
    <row r="143830" customFormat="1" x14ac:dyDescent="0.25"/>
    <row r="143831" customFormat="1" x14ac:dyDescent="0.25"/>
    <row r="143832" customFormat="1" x14ac:dyDescent="0.25"/>
    <row r="143833" customFormat="1" x14ac:dyDescent="0.25"/>
    <row r="143834" customFormat="1" x14ac:dyDescent="0.25"/>
    <row r="143835" customFormat="1" x14ac:dyDescent="0.25"/>
    <row r="143836" customFormat="1" x14ac:dyDescent="0.25"/>
    <row r="143837" customFormat="1" x14ac:dyDescent="0.25"/>
    <row r="143838" customFormat="1" x14ac:dyDescent="0.25"/>
    <row r="143839" customFormat="1" x14ac:dyDescent="0.25"/>
    <row r="143840" customFormat="1" x14ac:dyDescent="0.25"/>
    <row r="143841" customFormat="1" x14ac:dyDescent="0.25"/>
    <row r="143842" customFormat="1" x14ac:dyDescent="0.25"/>
    <row r="143843" customFormat="1" x14ac:dyDescent="0.25"/>
    <row r="143844" customFormat="1" x14ac:dyDescent="0.25"/>
    <row r="143845" customFormat="1" x14ac:dyDescent="0.25"/>
    <row r="143846" customFormat="1" x14ac:dyDescent="0.25"/>
    <row r="143847" customFormat="1" x14ac:dyDescent="0.25"/>
    <row r="143848" customFormat="1" x14ac:dyDescent="0.25"/>
    <row r="143849" customFormat="1" x14ac:dyDescent="0.25"/>
    <row r="143850" customFormat="1" x14ac:dyDescent="0.25"/>
    <row r="143851" customFormat="1" x14ac:dyDescent="0.25"/>
    <row r="143852" customFormat="1" x14ac:dyDescent="0.25"/>
    <row r="143853" customFormat="1" x14ac:dyDescent="0.25"/>
    <row r="143854" customFormat="1" x14ac:dyDescent="0.25"/>
    <row r="143855" customFormat="1" x14ac:dyDescent="0.25"/>
    <row r="143856" customFormat="1" x14ac:dyDescent="0.25"/>
    <row r="143857" customFormat="1" x14ac:dyDescent="0.25"/>
    <row r="143858" customFormat="1" x14ac:dyDescent="0.25"/>
    <row r="143859" customFormat="1" x14ac:dyDescent="0.25"/>
    <row r="143860" customFormat="1" x14ac:dyDescent="0.25"/>
    <row r="143861" customFormat="1" x14ac:dyDescent="0.25"/>
    <row r="143862" customFormat="1" x14ac:dyDescent="0.25"/>
    <row r="143863" customFormat="1" x14ac:dyDescent="0.25"/>
    <row r="143864" customFormat="1" x14ac:dyDescent="0.25"/>
    <row r="143865" customFormat="1" x14ac:dyDescent="0.25"/>
    <row r="143866" customFormat="1" x14ac:dyDescent="0.25"/>
    <row r="143867" customFormat="1" x14ac:dyDescent="0.25"/>
    <row r="143868" customFormat="1" x14ac:dyDescent="0.25"/>
    <row r="143869" customFormat="1" x14ac:dyDescent="0.25"/>
    <row r="143870" customFormat="1" x14ac:dyDescent="0.25"/>
    <row r="143871" customFormat="1" x14ac:dyDescent="0.25"/>
    <row r="143872" customFormat="1" x14ac:dyDescent="0.25"/>
    <row r="143873" customFormat="1" x14ac:dyDescent="0.25"/>
    <row r="143874" customFormat="1" x14ac:dyDescent="0.25"/>
    <row r="143875" customFormat="1" x14ac:dyDescent="0.25"/>
    <row r="143876" customFormat="1" x14ac:dyDescent="0.25"/>
    <row r="143877" customFormat="1" x14ac:dyDescent="0.25"/>
    <row r="143878" customFormat="1" x14ac:dyDescent="0.25"/>
    <row r="143879" customFormat="1" x14ac:dyDescent="0.25"/>
    <row r="143880" customFormat="1" x14ac:dyDescent="0.25"/>
    <row r="143881" customFormat="1" x14ac:dyDescent="0.25"/>
    <row r="143882" customFormat="1" x14ac:dyDescent="0.25"/>
    <row r="143883" customFormat="1" x14ac:dyDescent="0.25"/>
    <row r="143884" customFormat="1" x14ac:dyDescent="0.25"/>
    <row r="143885" customFormat="1" x14ac:dyDescent="0.25"/>
    <row r="143886" customFormat="1" x14ac:dyDescent="0.25"/>
    <row r="143887" customFormat="1" x14ac:dyDescent="0.25"/>
    <row r="143888" customFormat="1" x14ac:dyDescent="0.25"/>
    <row r="143889" customFormat="1" x14ac:dyDescent="0.25"/>
    <row r="143890" customFormat="1" x14ac:dyDescent="0.25"/>
    <row r="143891" customFormat="1" x14ac:dyDescent="0.25"/>
    <row r="143892" customFormat="1" x14ac:dyDescent="0.25"/>
    <row r="143893" customFormat="1" x14ac:dyDescent="0.25"/>
    <row r="143894" customFormat="1" x14ac:dyDescent="0.25"/>
    <row r="143895" customFormat="1" x14ac:dyDescent="0.25"/>
    <row r="143896" customFormat="1" x14ac:dyDescent="0.25"/>
    <row r="143897" customFormat="1" x14ac:dyDescent="0.25"/>
    <row r="143898" customFormat="1" x14ac:dyDescent="0.25"/>
    <row r="143899" customFormat="1" x14ac:dyDescent="0.25"/>
    <row r="143900" customFormat="1" x14ac:dyDescent="0.25"/>
    <row r="143901" customFormat="1" x14ac:dyDescent="0.25"/>
    <row r="143902" customFormat="1" x14ac:dyDescent="0.25"/>
    <row r="143903" customFormat="1" x14ac:dyDescent="0.25"/>
    <row r="143904" customFormat="1" x14ac:dyDescent="0.25"/>
    <row r="143905" customFormat="1" x14ac:dyDescent="0.25"/>
    <row r="143906" customFormat="1" x14ac:dyDescent="0.25"/>
    <row r="143907" customFormat="1" x14ac:dyDescent="0.25"/>
    <row r="143908" customFormat="1" x14ac:dyDescent="0.25"/>
    <row r="143909" customFormat="1" x14ac:dyDescent="0.25"/>
    <row r="143910" customFormat="1" x14ac:dyDescent="0.25"/>
    <row r="143911" customFormat="1" x14ac:dyDescent="0.25"/>
    <row r="143912" customFormat="1" x14ac:dyDescent="0.25"/>
    <row r="143913" customFormat="1" x14ac:dyDescent="0.25"/>
    <row r="143914" customFormat="1" x14ac:dyDescent="0.25"/>
    <row r="143915" customFormat="1" x14ac:dyDescent="0.25"/>
    <row r="143916" customFormat="1" x14ac:dyDescent="0.25"/>
    <row r="143917" customFormat="1" x14ac:dyDescent="0.25"/>
    <row r="143918" customFormat="1" x14ac:dyDescent="0.25"/>
    <row r="143919" customFormat="1" x14ac:dyDescent="0.25"/>
    <row r="143920" customFormat="1" x14ac:dyDescent="0.25"/>
    <row r="143921" customFormat="1" x14ac:dyDescent="0.25"/>
    <row r="143922" customFormat="1" x14ac:dyDescent="0.25"/>
    <row r="143923" customFormat="1" x14ac:dyDescent="0.25"/>
    <row r="143924" customFormat="1" x14ac:dyDescent="0.25"/>
    <row r="143925" customFormat="1" x14ac:dyDescent="0.25"/>
    <row r="143926" customFormat="1" x14ac:dyDescent="0.25"/>
    <row r="143927" customFormat="1" x14ac:dyDescent="0.25"/>
    <row r="143928" customFormat="1" x14ac:dyDescent="0.25"/>
    <row r="143929" customFormat="1" x14ac:dyDescent="0.25"/>
    <row r="143930" customFormat="1" x14ac:dyDescent="0.25"/>
    <row r="143931" customFormat="1" x14ac:dyDescent="0.25"/>
    <row r="143932" customFormat="1" x14ac:dyDescent="0.25"/>
    <row r="143933" customFormat="1" x14ac:dyDescent="0.25"/>
    <row r="143934" customFormat="1" x14ac:dyDescent="0.25"/>
    <row r="143935" customFormat="1" x14ac:dyDescent="0.25"/>
    <row r="143936" customFormat="1" x14ac:dyDescent="0.25"/>
    <row r="143937" customFormat="1" x14ac:dyDescent="0.25"/>
    <row r="143938" customFormat="1" x14ac:dyDescent="0.25"/>
    <row r="143939" customFormat="1" x14ac:dyDescent="0.25"/>
    <row r="143940" customFormat="1" x14ac:dyDescent="0.25"/>
    <row r="143941" customFormat="1" x14ac:dyDescent="0.25"/>
    <row r="143942" customFormat="1" x14ac:dyDescent="0.25"/>
    <row r="143943" customFormat="1" x14ac:dyDescent="0.25"/>
    <row r="143944" customFormat="1" x14ac:dyDescent="0.25"/>
    <row r="143945" customFormat="1" x14ac:dyDescent="0.25"/>
    <row r="143946" customFormat="1" x14ac:dyDescent="0.25"/>
    <row r="143947" customFormat="1" x14ac:dyDescent="0.25"/>
    <row r="143948" customFormat="1" x14ac:dyDescent="0.25"/>
    <row r="143949" customFormat="1" x14ac:dyDescent="0.25"/>
    <row r="143950" customFormat="1" x14ac:dyDescent="0.25"/>
    <row r="143951" customFormat="1" x14ac:dyDescent="0.25"/>
    <row r="143952" customFormat="1" x14ac:dyDescent="0.25"/>
    <row r="143953" customFormat="1" x14ac:dyDescent="0.25"/>
    <row r="143954" customFormat="1" x14ac:dyDescent="0.25"/>
    <row r="143955" customFormat="1" x14ac:dyDescent="0.25"/>
    <row r="143956" customFormat="1" x14ac:dyDescent="0.25"/>
    <row r="143957" customFormat="1" x14ac:dyDescent="0.25"/>
    <row r="143958" customFormat="1" x14ac:dyDescent="0.25"/>
    <row r="143959" customFormat="1" x14ac:dyDescent="0.25"/>
    <row r="143960" customFormat="1" x14ac:dyDescent="0.25"/>
    <row r="143961" customFormat="1" x14ac:dyDescent="0.25"/>
    <row r="143962" customFormat="1" x14ac:dyDescent="0.25"/>
    <row r="143963" customFormat="1" x14ac:dyDescent="0.25"/>
    <row r="143964" customFormat="1" x14ac:dyDescent="0.25"/>
    <row r="143965" customFormat="1" x14ac:dyDescent="0.25"/>
    <row r="143966" customFormat="1" x14ac:dyDescent="0.25"/>
    <row r="143967" customFormat="1" x14ac:dyDescent="0.25"/>
    <row r="143968" customFormat="1" x14ac:dyDescent="0.25"/>
    <row r="143969" customFormat="1" x14ac:dyDescent="0.25"/>
    <row r="143970" customFormat="1" x14ac:dyDescent="0.25"/>
    <row r="143971" customFormat="1" x14ac:dyDescent="0.25"/>
    <row r="143972" customFormat="1" x14ac:dyDescent="0.25"/>
    <row r="143973" customFormat="1" x14ac:dyDescent="0.25"/>
    <row r="143974" customFormat="1" x14ac:dyDescent="0.25"/>
    <row r="143975" customFormat="1" x14ac:dyDescent="0.25"/>
    <row r="143976" customFormat="1" x14ac:dyDescent="0.25"/>
    <row r="143977" customFormat="1" x14ac:dyDescent="0.25"/>
    <row r="143978" customFormat="1" x14ac:dyDescent="0.25"/>
    <row r="143979" customFormat="1" x14ac:dyDescent="0.25"/>
    <row r="143980" customFormat="1" x14ac:dyDescent="0.25"/>
    <row r="143981" customFormat="1" x14ac:dyDescent="0.25"/>
    <row r="143982" customFormat="1" x14ac:dyDescent="0.25"/>
    <row r="143983" customFormat="1" x14ac:dyDescent="0.25"/>
    <row r="143984" customFormat="1" x14ac:dyDescent="0.25"/>
    <row r="143985" customFormat="1" x14ac:dyDescent="0.25"/>
    <row r="143986" customFormat="1" x14ac:dyDescent="0.25"/>
    <row r="143987" customFormat="1" x14ac:dyDescent="0.25"/>
    <row r="143988" customFormat="1" x14ac:dyDescent="0.25"/>
    <row r="143989" customFormat="1" x14ac:dyDescent="0.25"/>
    <row r="143990" customFormat="1" x14ac:dyDescent="0.25"/>
    <row r="143991" customFormat="1" x14ac:dyDescent="0.25"/>
    <row r="143992" customFormat="1" x14ac:dyDescent="0.25"/>
    <row r="143993" customFormat="1" x14ac:dyDescent="0.25"/>
    <row r="143994" customFormat="1" x14ac:dyDescent="0.25"/>
    <row r="143995" customFormat="1" x14ac:dyDescent="0.25"/>
    <row r="143996" customFormat="1" x14ac:dyDescent="0.25"/>
    <row r="143997" customFormat="1" x14ac:dyDescent="0.25"/>
    <row r="143998" customFormat="1" x14ac:dyDescent="0.25"/>
    <row r="143999" customFormat="1" x14ac:dyDescent="0.25"/>
    <row r="144000" customFormat="1" x14ac:dyDescent="0.25"/>
    <row r="144001" customFormat="1" x14ac:dyDescent="0.25"/>
    <row r="144002" customFormat="1" x14ac:dyDescent="0.25"/>
    <row r="144003" customFormat="1" x14ac:dyDescent="0.25"/>
    <row r="144004" customFormat="1" x14ac:dyDescent="0.25"/>
    <row r="144005" customFormat="1" x14ac:dyDescent="0.25"/>
    <row r="144006" customFormat="1" x14ac:dyDescent="0.25"/>
    <row r="144007" customFormat="1" x14ac:dyDescent="0.25"/>
    <row r="144008" customFormat="1" x14ac:dyDescent="0.25"/>
    <row r="144009" customFormat="1" x14ac:dyDescent="0.25"/>
    <row r="144010" customFormat="1" x14ac:dyDescent="0.25"/>
    <row r="144011" customFormat="1" x14ac:dyDescent="0.25"/>
    <row r="144012" customFormat="1" x14ac:dyDescent="0.25"/>
    <row r="144013" customFormat="1" x14ac:dyDescent="0.25"/>
    <row r="144014" customFormat="1" x14ac:dyDescent="0.25"/>
    <row r="144015" customFormat="1" x14ac:dyDescent="0.25"/>
    <row r="144016" customFormat="1" x14ac:dyDescent="0.25"/>
    <row r="144017" customFormat="1" x14ac:dyDescent="0.25"/>
    <row r="144018" customFormat="1" x14ac:dyDescent="0.25"/>
    <row r="144019" customFormat="1" x14ac:dyDescent="0.25"/>
    <row r="144020" customFormat="1" x14ac:dyDescent="0.25"/>
    <row r="144021" customFormat="1" x14ac:dyDescent="0.25"/>
    <row r="144022" customFormat="1" x14ac:dyDescent="0.25"/>
    <row r="144023" customFormat="1" x14ac:dyDescent="0.25"/>
    <row r="144024" customFormat="1" x14ac:dyDescent="0.25"/>
    <row r="144025" customFormat="1" x14ac:dyDescent="0.25"/>
    <row r="144026" customFormat="1" x14ac:dyDescent="0.25"/>
    <row r="144027" customFormat="1" x14ac:dyDescent="0.25"/>
    <row r="144028" customFormat="1" x14ac:dyDescent="0.25"/>
    <row r="144029" customFormat="1" x14ac:dyDescent="0.25"/>
    <row r="144030" customFormat="1" x14ac:dyDescent="0.25"/>
    <row r="144031" customFormat="1" x14ac:dyDescent="0.25"/>
    <row r="144032" customFormat="1" x14ac:dyDescent="0.25"/>
    <row r="144033" customFormat="1" x14ac:dyDescent="0.25"/>
    <row r="144034" customFormat="1" x14ac:dyDescent="0.25"/>
    <row r="144035" customFormat="1" x14ac:dyDescent="0.25"/>
    <row r="144036" customFormat="1" x14ac:dyDescent="0.25"/>
    <row r="144037" customFormat="1" x14ac:dyDescent="0.25"/>
    <row r="144038" customFormat="1" x14ac:dyDescent="0.25"/>
    <row r="144039" customFormat="1" x14ac:dyDescent="0.25"/>
    <row r="144040" customFormat="1" x14ac:dyDescent="0.25"/>
    <row r="144041" customFormat="1" x14ac:dyDescent="0.25"/>
    <row r="144042" customFormat="1" x14ac:dyDescent="0.25"/>
    <row r="144043" customFormat="1" x14ac:dyDescent="0.25"/>
    <row r="144044" customFormat="1" x14ac:dyDescent="0.25"/>
    <row r="144045" customFormat="1" x14ac:dyDescent="0.25"/>
    <row r="144046" customFormat="1" x14ac:dyDescent="0.25"/>
    <row r="144047" customFormat="1" x14ac:dyDescent="0.25"/>
    <row r="144048" customFormat="1" x14ac:dyDescent="0.25"/>
    <row r="144049" customFormat="1" x14ac:dyDescent="0.25"/>
    <row r="144050" customFormat="1" x14ac:dyDescent="0.25"/>
    <row r="144051" customFormat="1" x14ac:dyDescent="0.25"/>
    <row r="144052" customFormat="1" x14ac:dyDescent="0.25"/>
    <row r="144053" customFormat="1" x14ac:dyDescent="0.25"/>
    <row r="144054" customFormat="1" x14ac:dyDescent="0.25"/>
    <row r="144055" customFormat="1" x14ac:dyDescent="0.25"/>
    <row r="144056" customFormat="1" x14ac:dyDescent="0.25"/>
    <row r="144057" customFormat="1" x14ac:dyDescent="0.25"/>
    <row r="144058" customFormat="1" x14ac:dyDescent="0.25"/>
    <row r="144059" customFormat="1" x14ac:dyDescent="0.25"/>
    <row r="144060" customFormat="1" x14ac:dyDescent="0.25"/>
    <row r="144061" customFormat="1" x14ac:dyDescent="0.25"/>
    <row r="144062" customFormat="1" x14ac:dyDescent="0.25"/>
    <row r="144063" customFormat="1" x14ac:dyDescent="0.25"/>
    <row r="144064" customFormat="1" x14ac:dyDescent="0.25"/>
    <row r="144065" customFormat="1" x14ac:dyDescent="0.25"/>
    <row r="144066" customFormat="1" x14ac:dyDescent="0.25"/>
    <row r="144067" customFormat="1" x14ac:dyDescent="0.25"/>
    <row r="144068" customFormat="1" x14ac:dyDescent="0.25"/>
    <row r="144069" customFormat="1" x14ac:dyDescent="0.25"/>
    <row r="144070" customFormat="1" x14ac:dyDescent="0.25"/>
    <row r="144071" customFormat="1" x14ac:dyDescent="0.25"/>
    <row r="144072" customFormat="1" x14ac:dyDescent="0.25"/>
    <row r="144073" customFormat="1" x14ac:dyDescent="0.25"/>
    <row r="144074" customFormat="1" x14ac:dyDescent="0.25"/>
    <row r="144075" customFormat="1" x14ac:dyDescent="0.25"/>
    <row r="144076" customFormat="1" x14ac:dyDescent="0.25"/>
    <row r="144077" customFormat="1" x14ac:dyDescent="0.25"/>
    <row r="144078" customFormat="1" x14ac:dyDescent="0.25"/>
    <row r="144079" customFormat="1" x14ac:dyDescent="0.25"/>
    <row r="144080" customFormat="1" x14ac:dyDescent="0.25"/>
    <row r="144081" customFormat="1" x14ac:dyDescent="0.25"/>
    <row r="144082" customFormat="1" x14ac:dyDescent="0.25"/>
    <row r="144083" customFormat="1" x14ac:dyDescent="0.25"/>
    <row r="144084" customFormat="1" x14ac:dyDescent="0.25"/>
    <row r="144085" customFormat="1" x14ac:dyDescent="0.25"/>
    <row r="144086" customFormat="1" x14ac:dyDescent="0.25"/>
    <row r="144087" customFormat="1" x14ac:dyDescent="0.25"/>
    <row r="144088" customFormat="1" x14ac:dyDescent="0.25"/>
    <row r="144089" customFormat="1" x14ac:dyDescent="0.25"/>
    <row r="144090" customFormat="1" x14ac:dyDescent="0.25"/>
    <row r="144091" customFormat="1" x14ac:dyDescent="0.25"/>
    <row r="144092" customFormat="1" x14ac:dyDescent="0.25"/>
    <row r="144093" customFormat="1" x14ac:dyDescent="0.25"/>
    <row r="144094" customFormat="1" x14ac:dyDescent="0.25"/>
    <row r="144095" customFormat="1" x14ac:dyDescent="0.25"/>
    <row r="144096" customFormat="1" x14ac:dyDescent="0.25"/>
    <row r="144097" customFormat="1" x14ac:dyDescent="0.25"/>
    <row r="144098" customFormat="1" x14ac:dyDescent="0.25"/>
    <row r="144099" customFormat="1" x14ac:dyDescent="0.25"/>
    <row r="144100" customFormat="1" x14ac:dyDescent="0.25"/>
    <row r="144101" customFormat="1" x14ac:dyDescent="0.25"/>
    <row r="144102" customFormat="1" x14ac:dyDescent="0.25"/>
    <row r="144103" customFormat="1" x14ac:dyDescent="0.25"/>
    <row r="144104" customFormat="1" x14ac:dyDescent="0.25"/>
    <row r="144105" customFormat="1" x14ac:dyDescent="0.25"/>
    <row r="144106" customFormat="1" x14ac:dyDescent="0.25"/>
    <row r="144107" customFormat="1" x14ac:dyDescent="0.25"/>
    <row r="144108" customFormat="1" x14ac:dyDescent="0.25"/>
    <row r="144109" customFormat="1" x14ac:dyDescent="0.25"/>
    <row r="144110" customFormat="1" x14ac:dyDescent="0.25"/>
    <row r="144111" customFormat="1" x14ac:dyDescent="0.25"/>
    <row r="144112" customFormat="1" x14ac:dyDescent="0.25"/>
    <row r="144113" customFormat="1" x14ac:dyDescent="0.25"/>
    <row r="144114" customFormat="1" x14ac:dyDescent="0.25"/>
    <row r="144115" customFormat="1" x14ac:dyDescent="0.25"/>
    <row r="144116" customFormat="1" x14ac:dyDescent="0.25"/>
    <row r="144117" customFormat="1" x14ac:dyDescent="0.25"/>
    <row r="144118" customFormat="1" x14ac:dyDescent="0.25"/>
    <row r="144119" customFormat="1" x14ac:dyDescent="0.25"/>
    <row r="144120" customFormat="1" x14ac:dyDescent="0.25"/>
    <row r="144121" customFormat="1" x14ac:dyDescent="0.25"/>
    <row r="144122" customFormat="1" x14ac:dyDescent="0.25"/>
    <row r="144123" customFormat="1" x14ac:dyDescent="0.25"/>
    <row r="144124" customFormat="1" x14ac:dyDescent="0.25"/>
    <row r="144125" customFormat="1" x14ac:dyDescent="0.25"/>
    <row r="144126" customFormat="1" x14ac:dyDescent="0.25"/>
    <row r="144127" customFormat="1" x14ac:dyDescent="0.25"/>
    <row r="144128" customFormat="1" x14ac:dyDescent="0.25"/>
    <row r="144129" customFormat="1" x14ac:dyDescent="0.25"/>
    <row r="144130" customFormat="1" x14ac:dyDescent="0.25"/>
    <row r="144131" customFormat="1" x14ac:dyDescent="0.25"/>
    <row r="144132" customFormat="1" x14ac:dyDescent="0.25"/>
    <row r="144133" customFormat="1" x14ac:dyDescent="0.25"/>
    <row r="144134" customFormat="1" x14ac:dyDescent="0.25"/>
    <row r="144135" customFormat="1" x14ac:dyDescent="0.25"/>
    <row r="144136" customFormat="1" x14ac:dyDescent="0.25"/>
    <row r="144137" customFormat="1" x14ac:dyDescent="0.25"/>
    <row r="144138" customFormat="1" x14ac:dyDescent="0.25"/>
    <row r="144139" customFormat="1" x14ac:dyDescent="0.25"/>
    <row r="144140" customFormat="1" x14ac:dyDescent="0.25"/>
    <row r="144141" customFormat="1" x14ac:dyDescent="0.25"/>
    <row r="144142" customFormat="1" x14ac:dyDescent="0.25"/>
    <row r="144143" customFormat="1" x14ac:dyDescent="0.25"/>
    <row r="144144" customFormat="1" x14ac:dyDescent="0.25"/>
    <row r="144145" customFormat="1" x14ac:dyDescent="0.25"/>
    <row r="144146" customFormat="1" x14ac:dyDescent="0.25"/>
    <row r="144147" customFormat="1" x14ac:dyDescent="0.25"/>
    <row r="144148" customFormat="1" x14ac:dyDescent="0.25"/>
    <row r="144149" customFormat="1" x14ac:dyDescent="0.25"/>
    <row r="144150" customFormat="1" x14ac:dyDescent="0.25"/>
    <row r="144151" customFormat="1" x14ac:dyDescent="0.25"/>
    <row r="144152" customFormat="1" x14ac:dyDescent="0.25"/>
    <row r="144153" customFormat="1" x14ac:dyDescent="0.25"/>
    <row r="144154" customFormat="1" x14ac:dyDescent="0.25"/>
    <row r="144155" customFormat="1" x14ac:dyDescent="0.25"/>
    <row r="144156" customFormat="1" x14ac:dyDescent="0.25"/>
    <row r="144157" customFormat="1" x14ac:dyDescent="0.25"/>
    <row r="144158" customFormat="1" x14ac:dyDescent="0.25"/>
    <row r="144159" customFormat="1" x14ac:dyDescent="0.25"/>
    <row r="144160" customFormat="1" x14ac:dyDescent="0.25"/>
    <row r="144161" customFormat="1" x14ac:dyDescent="0.25"/>
    <row r="144162" customFormat="1" x14ac:dyDescent="0.25"/>
    <row r="144163" customFormat="1" x14ac:dyDescent="0.25"/>
    <row r="144164" customFormat="1" x14ac:dyDescent="0.25"/>
    <row r="144165" customFormat="1" x14ac:dyDescent="0.25"/>
    <row r="144166" customFormat="1" x14ac:dyDescent="0.25"/>
    <row r="144167" customFormat="1" x14ac:dyDescent="0.25"/>
    <row r="144168" customFormat="1" x14ac:dyDescent="0.25"/>
    <row r="144169" customFormat="1" x14ac:dyDescent="0.25"/>
    <row r="144170" customFormat="1" x14ac:dyDescent="0.25"/>
    <row r="144171" customFormat="1" x14ac:dyDescent="0.25"/>
    <row r="144172" customFormat="1" x14ac:dyDescent="0.25"/>
    <row r="144173" customFormat="1" x14ac:dyDescent="0.25"/>
    <row r="144174" customFormat="1" x14ac:dyDescent="0.25"/>
    <row r="144175" customFormat="1" x14ac:dyDescent="0.25"/>
    <row r="144176" customFormat="1" x14ac:dyDescent="0.25"/>
    <row r="144177" customFormat="1" x14ac:dyDescent="0.25"/>
    <row r="144178" customFormat="1" x14ac:dyDescent="0.25"/>
    <row r="144179" customFormat="1" x14ac:dyDescent="0.25"/>
    <row r="144180" customFormat="1" x14ac:dyDescent="0.25"/>
    <row r="144181" customFormat="1" x14ac:dyDescent="0.25"/>
    <row r="144182" customFormat="1" x14ac:dyDescent="0.25"/>
    <row r="144183" customFormat="1" x14ac:dyDescent="0.25"/>
    <row r="144184" customFormat="1" x14ac:dyDescent="0.25"/>
    <row r="144185" customFormat="1" x14ac:dyDescent="0.25"/>
    <row r="144186" customFormat="1" x14ac:dyDescent="0.25"/>
    <row r="144187" customFormat="1" x14ac:dyDescent="0.25"/>
    <row r="144188" customFormat="1" x14ac:dyDescent="0.25"/>
    <row r="144189" customFormat="1" x14ac:dyDescent="0.25"/>
    <row r="144190" customFormat="1" x14ac:dyDescent="0.25"/>
    <row r="144191" customFormat="1" x14ac:dyDescent="0.25"/>
    <row r="144192" customFormat="1" x14ac:dyDescent="0.25"/>
    <row r="144193" customFormat="1" x14ac:dyDescent="0.25"/>
    <row r="144194" customFormat="1" x14ac:dyDescent="0.25"/>
    <row r="144195" customFormat="1" x14ac:dyDescent="0.25"/>
    <row r="144196" customFormat="1" x14ac:dyDescent="0.25"/>
    <row r="144197" customFormat="1" x14ac:dyDescent="0.25"/>
    <row r="144198" customFormat="1" x14ac:dyDescent="0.25"/>
    <row r="144199" customFormat="1" x14ac:dyDescent="0.25"/>
    <row r="144200" customFormat="1" x14ac:dyDescent="0.25"/>
    <row r="144201" customFormat="1" x14ac:dyDescent="0.25"/>
    <row r="144202" customFormat="1" x14ac:dyDescent="0.25"/>
    <row r="144203" customFormat="1" x14ac:dyDescent="0.25"/>
    <row r="144204" customFormat="1" x14ac:dyDescent="0.25"/>
    <row r="144205" customFormat="1" x14ac:dyDescent="0.25"/>
    <row r="144206" customFormat="1" x14ac:dyDescent="0.25"/>
    <row r="144207" customFormat="1" x14ac:dyDescent="0.25"/>
    <row r="144208" customFormat="1" x14ac:dyDescent="0.25"/>
    <row r="144209" customFormat="1" x14ac:dyDescent="0.25"/>
    <row r="144210" customFormat="1" x14ac:dyDescent="0.25"/>
    <row r="144211" customFormat="1" x14ac:dyDescent="0.25"/>
    <row r="144212" customFormat="1" x14ac:dyDescent="0.25"/>
    <row r="144213" customFormat="1" x14ac:dyDescent="0.25"/>
    <row r="144214" customFormat="1" x14ac:dyDescent="0.25"/>
    <row r="144215" customFormat="1" x14ac:dyDescent="0.25"/>
    <row r="144216" customFormat="1" x14ac:dyDescent="0.25"/>
    <row r="144217" customFormat="1" x14ac:dyDescent="0.25"/>
    <row r="144218" customFormat="1" x14ac:dyDescent="0.25"/>
    <row r="144219" customFormat="1" x14ac:dyDescent="0.25"/>
    <row r="144220" customFormat="1" x14ac:dyDescent="0.25"/>
    <row r="144221" customFormat="1" x14ac:dyDescent="0.25"/>
    <row r="144222" customFormat="1" x14ac:dyDescent="0.25"/>
    <row r="144223" customFormat="1" x14ac:dyDescent="0.25"/>
    <row r="144224" customFormat="1" x14ac:dyDescent="0.25"/>
    <row r="144225" customFormat="1" x14ac:dyDescent="0.25"/>
    <row r="144226" customFormat="1" x14ac:dyDescent="0.25"/>
    <row r="144227" customFormat="1" x14ac:dyDescent="0.25"/>
    <row r="144228" customFormat="1" x14ac:dyDescent="0.25"/>
    <row r="144229" customFormat="1" x14ac:dyDescent="0.25"/>
    <row r="144230" customFormat="1" x14ac:dyDescent="0.25"/>
    <row r="144231" customFormat="1" x14ac:dyDescent="0.25"/>
    <row r="144232" customFormat="1" x14ac:dyDescent="0.25"/>
    <row r="144233" customFormat="1" x14ac:dyDescent="0.25"/>
    <row r="144234" customFormat="1" x14ac:dyDescent="0.25"/>
    <row r="144235" customFormat="1" x14ac:dyDescent="0.25"/>
    <row r="144236" customFormat="1" x14ac:dyDescent="0.25"/>
    <row r="144237" customFormat="1" x14ac:dyDescent="0.25"/>
    <row r="144238" customFormat="1" x14ac:dyDescent="0.25"/>
    <row r="144239" customFormat="1" x14ac:dyDescent="0.25"/>
    <row r="144240" customFormat="1" x14ac:dyDescent="0.25"/>
    <row r="144241" customFormat="1" x14ac:dyDescent="0.25"/>
    <row r="144242" customFormat="1" x14ac:dyDescent="0.25"/>
    <row r="144243" customFormat="1" x14ac:dyDescent="0.25"/>
    <row r="144244" customFormat="1" x14ac:dyDescent="0.25"/>
    <row r="144245" customFormat="1" x14ac:dyDescent="0.25"/>
    <row r="144246" customFormat="1" x14ac:dyDescent="0.25"/>
    <row r="144247" customFormat="1" x14ac:dyDescent="0.25"/>
    <row r="144248" customFormat="1" x14ac:dyDescent="0.25"/>
    <row r="144249" customFormat="1" x14ac:dyDescent="0.25"/>
    <row r="144250" customFormat="1" x14ac:dyDescent="0.25"/>
    <row r="144251" customFormat="1" x14ac:dyDescent="0.25"/>
    <row r="144252" customFormat="1" x14ac:dyDescent="0.25"/>
    <row r="144253" customFormat="1" x14ac:dyDescent="0.25"/>
    <row r="144254" customFormat="1" x14ac:dyDescent="0.25"/>
    <row r="144255" customFormat="1" x14ac:dyDescent="0.25"/>
    <row r="144256" customFormat="1" x14ac:dyDescent="0.25"/>
    <row r="144257" customFormat="1" x14ac:dyDescent="0.25"/>
    <row r="144258" customFormat="1" x14ac:dyDescent="0.25"/>
    <row r="144259" customFormat="1" x14ac:dyDescent="0.25"/>
    <row r="144260" customFormat="1" x14ac:dyDescent="0.25"/>
    <row r="144261" customFormat="1" x14ac:dyDescent="0.25"/>
    <row r="144262" customFormat="1" x14ac:dyDescent="0.25"/>
    <row r="144263" customFormat="1" x14ac:dyDescent="0.25"/>
    <row r="144264" customFormat="1" x14ac:dyDescent="0.25"/>
    <row r="144265" customFormat="1" x14ac:dyDescent="0.25"/>
    <row r="144266" customFormat="1" x14ac:dyDescent="0.25"/>
    <row r="144267" customFormat="1" x14ac:dyDescent="0.25"/>
    <row r="144268" customFormat="1" x14ac:dyDescent="0.25"/>
    <row r="144269" customFormat="1" x14ac:dyDescent="0.25"/>
    <row r="144270" customFormat="1" x14ac:dyDescent="0.25"/>
    <row r="144271" customFormat="1" x14ac:dyDescent="0.25"/>
    <row r="144272" customFormat="1" x14ac:dyDescent="0.25"/>
    <row r="144273" customFormat="1" x14ac:dyDescent="0.25"/>
    <row r="144274" customFormat="1" x14ac:dyDescent="0.25"/>
    <row r="144275" customFormat="1" x14ac:dyDescent="0.25"/>
    <row r="144276" customFormat="1" x14ac:dyDescent="0.25"/>
    <row r="144277" customFormat="1" x14ac:dyDescent="0.25"/>
    <row r="144278" customFormat="1" x14ac:dyDescent="0.25"/>
    <row r="144279" customFormat="1" x14ac:dyDescent="0.25"/>
    <row r="144280" customFormat="1" x14ac:dyDescent="0.25"/>
    <row r="144281" customFormat="1" x14ac:dyDescent="0.25"/>
    <row r="144282" customFormat="1" x14ac:dyDescent="0.25"/>
    <row r="144283" customFormat="1" x14ac:dyDescent="0.25"/>
    <row r="144284" customFormat="1" x14ac:dyDescent="0.25"/>
    <row r="144285" customFormat="1" x14ac:dyDescent="0.25"/>
    <row r="144286" customFormat="1" x14ac:dyDescent="0.25"/>
    <row r="144287" customFormat="1" x14ac:dyDescent="0.25"/>
    <row r="144288" customFormat="1" x14ac:dyDescent="0.25"/>
    <row r="144289" customFormat="1" x14ac:dyDescent="0.25"/>
    <row r="144290" customFormat="1" x14ac:dyDescent="0.25"/>
    <row r="144291" customFormat="1" x14ac:dyDescent="0.25"/>
    <row r="144292" customFormat="1" x14ac:dyDescent="0.25"/>
    <row r="144293" customFormat="1" x14ac:dyDescent="0.25"/>
    <row r="144294" customFormat="1" x14ac:dyDescent="0.25"/>
    <row r="144295" customFormat="1" x14ac:dyDescent="0.25"/>
    <row r="144296" customFormat="1" x14ac:dyDescent="0.25"/>
    <row r="144297" customFormat="1" x14ac:dyDescent="0.25"/>
    <row r="144298" customFormat="1" x14ac:dyDescent="0.25"/>
    <row r="144299" customFormat="1" x14ac:dyDescent="0.25"/>
    <row r="144300" customFormat="1" x14ac:dyDescent="0.25"/>
    <row r="144301" customFormat="1" x14ac:dyDescent="0.25"/>
    <row r="144302" customFormat="1" x14ac:dyDescent="0.25"/>
    <row r="144303" customFormat="1" x14ac:dyDescent="0.25"/>
    <row r="144304" customFormat="1" x14ac:dyDescent="0.25"/>
    <row r="144305" customFormat="1" x14ac:dyDescent="0.25"/>
    <row r="144306" customFormat="1" x14ac:dyDescent="0.25"/>
    <row r="144307" customFormat="1" x14ac:dyDescent="0.25"/>
    <row r="144308" customFormat="1" x14ac:dyDescent="0.25"/>
    <row r="144309" customFormat="1" x14ac:dyDescent="0.25"/>
    <row r="144310" customFormat="1" x14ac:dyDescent="0.25"/>
    <row r="144311" customFormat="1" x14ac:dyDescent="0.25"/>
    <row r="144312" customFormat="1" x14ac:dyDescent="0.25"/>
    <row r="144313" customFormat="1" x14ac:dyDescent="0.25"/>
    <row r="144314" customFormat="1" x14ac:dyDescent="0.25"/>
    <row r="144315" customFormat="1" x14ac:dyDescent="0.25"/>
    <row r="144316" customFormat="1" x14ac:dyDescent="0.25"/>
    <row r="144317" customFormat="1" x14ac:dyDescent="0.25"/>
    <row r="144318" customFormat="1" x14ac:dyDescent="0.25"/>
    <row r="144319" customFormat="1" x14ac:dyDescent="0.25"/>
    <row r="144320" customFormat="1" x14ac:dyDescent="0.25"/>
    <row r="144321" customFormat="1" x14ac:dyDescent="0.25"/>
    <row r="144322" customFormat="1" x14ac:dyDescent="0.25"/>
    <row r="144323" customFormat="1" x14ac:dyDescent="0.25"/>
    <row r="144324" customFormat="1" x14ac:dyDescent="0.25"/>
    <row r="144325" customFormat="1" x14ac:dyDescent="0.25"/>
    <row r="144326" customFormat="1" x14ac:dyDescent="0.25"/>
    <row r="144327" customFormat="1" x14ac:dyDescent="0.25"/>
    <row r="144328" customFormat="1" x14ac:dyDescent="0.25"/>
    <row r="144329" customFormat="1" x14ac:dyDescent="0.25"/>
    <row r="144330" customFormat="1" x14ac:dyDescent="0.25"/>
    <row r="144331" customFormat="1" x14ac:dyDescent="0.25"/>
    <row r="144332" customFormat="1" x14ac:dyDescent="0.25"/>
    <row r="144333" customFormat="1" x14ac:dyDescent="0.25"/>
    <row r="144334" customFormat="1" x14ac:dyDescent="0.25"/>
    <row r="144335" customFormat="1" x14ac:dyDescent="0.25"/>
    <row r="144336" customFormat="1" x14ac:dyDescent="0.25"/>
    <row r="144337" customFormat="1" x14ac:dyDescent="0.25"/>
    <row r="144338" customFormat="1" x14ac:dyDescent="0.25"/>
    <row r="144339" customFormat="1" x14ac:dyDescent="0.25"/>
    <row r="144340" customFormat="1" x14ac:dyDescent="0.25"/>
    <row r="144341" customFormat="1" x14ac:dyDescent="0.25"/>
    <row r="144342" customFormat="1" x14ac:dyDescent="0.25"/>
    <row r="144343" customFormat="1" x14ac:dyDescent="0.25"/>
    <row r="144344" customFormat="1" x14ac:dyDescent="0.25"/>
    <row r="144345" customFormat="1" x14ac:dyDescent="0.25"/>
    <row r="144346" customFormat="1" x14ac:dyDescent="0.25"/>
    <row r="144347" customFormat="1" x14ac:dyDescent="0.25"/>
    <row r="144348" customFormat="1" x14ac:dyDescent="0.25"/>
    <row r="144349" customFormat="1" x14ac:dyDescent="0.25"/>
    <row r="144350" customFormat="1" x14ac:dyDescent="0.25"/>
    <row r="144351" customFormat="1" x14ac:dyDescent="0.25"/>
    <row r="144352" customFormat="1" x14ac:dyDescent="0.25"/>
    <row r="144353" customFormat="1" x14ac:dyDescent="0.25"/>
    <row r="144354" customFormat="1" x14ac:dyDescent="0.25"/>
    <row r="144355" customFormat="1" x14ac:dyDescent="0.25"/>
    <row r="144356" customFormat="1" x14ac:dyDescent="0.25"/>
    <row r="144357" customFormat="1" x14ac:dyDescent="0.25"/>
    <row r="144358" customFormat="1" x14ac:dyDescent="0.25"/>
    <row r="144359" customFormat="1" x14ac:dyDescent="0.25"/>
    <row r="144360" customFormat="1" x14ac:dyDescent="0.25"/>
    <row r="144361" customFormat="1" x14ac:dyDescent="0.25"/>
    <row r="144362" customFormat="1" x14ac:dyDescent="0.25"/>
    <row r="144363" customFormat="1" x14ac:dyDescent="0.25"/>
    <row r="144364" customFormat="1" x14ac:dyDescent="0.25"/>
    <row r="144365" customFormat="1" x14ac:dyDescent="0.25"/>
    <row r="144366" customFormat="1" x14ac:dyDescent="0.25"/>
    <row r="144367" customFormat="1" x14ac:dyDescent="0.25"/>
    <row r="144368" customFormat="1" x14ac:dyDescent="0.25"/>
    <row r="144369" customFormat="1" x14ac:dyDescent="0.25"/>
    <row r="144370" customFormat="1" x14ac:dyDescent="0.25"/>
    <row r="144371" customFormat="1" x14ac:dyDescent="0.25"/>
    <row r="144372" customFormat="1" x14ac:dyDescent="0.25"/>
    <row r="144373" customFormat="1" x14ac:dyDescent="0.25"/>
    <row r="144374" customFormat="1" x14ac:dyDescent="0.25"/>
    <row r="144375" customFormat="1" x14ac:dyDescent="0.25"/>
    <row r="144376" customFormat="1" x14ac:dyDescent="0.25"/>
    <row r="144377" customFormat="1" x14ac:dyDescent="0.25"/>
    <row r="144378" customFormat="1" x14ac:dyDescent="0.25"/>
    <row r="144379" customFormat="1" x14ac:dyDescent="0.25"/>
    <row r="144380" customFormat="1" x14ac:dyDescent="0.25"/>
    <row r="144381" customFormat="1" x14ac:dyDescent="0.25"/>
    <row r="144382" customFormat="1" x14ac:dyDescent="0.25"/>
    <row r="144383" customFormat="1" x14ac:dyDescent="0.25"/>
    <row r="144384" customFormat="1" x14ac:dyDescent="0.25"/>
    <row r="144385" customFormat="1" x14ac:dyDescent="0.25"/>
    <row r="144386" customFormat="1" x14ac:dyDescent="0.25"/>
    <row r="144387" customFormat="1" x14ac:dyDescent="0.25"/>
    <row r="144388" customFormat="1" x14ac:dyDescent="0.25"/>
    <row r="144389" customFormat="1" x14ac:dyDescent="0.25"/>
    <row r="144390" customFormat="1" x14ac:dyDescent="0.25"/>
    <row r="144391" customFormat="1" x14ac:dyDescent="0.25"/>
    <row r="144392" customFormat="1" x14ac:dyDescent="0.25"/>
    <row r="144393" customFormat="1" x14ac:dyDescent="0.25"/>
    <row r="144394" customFormat="1" x14ac:dyDescent="0.25"/>
    <row r="144395" customFormat="1" x14ac:dyDescent="0.25"/>
    <row r="144396" customFormat="1" x14ac:dyDescent="0.25"/>
    <row r="144397" customFormat="1" x14ac:dyDescent="0.25"/>
    <row r="144398" customFormat="1" x14ac:dyDescent="0.25"/>
    <row r="144399" customFormat="1" x14ac:dyDescent="0.25"/>
    <row r="144400" customFormat="1" x14ac:dyDescent="0.25"/>
    <row r="144401" customFormat="1" x14ac:dyDescent="0.25"/>
    <row r="144402" customFormat="1" x14ac:dyDescent="0.25"/>
    <row r="144403" customFormat="1" x14ac:dyDescent="0.25"/>
    <row r="144404" customFormat="1" x14ac:dyDescent="0.25"/>
    <row r="144405" customFormat="1" x14ac:dyDescent="0.25"/>
    <row r="144406" customFormat="1" x14ac:dyDescent="0.25"/>
    <row r="144407" customFormat="1" x14ac:dyDescent="0.25"/>
    <row r="144408" customFormat="1" x14ac:dyDescent="0.25"/>
    <row r="144409" customFormat="1" x14ac:dyDescent="0.25"/>
    <row r="144410" customFormat="1" x14ac:dyDescent="0.25"/>
    <row r="144411" customFormat="1" x14ac:dyDescent="0.25"/>
    <row r="144412" customFormat="1" x14ac:dyDescent="0.25"/>
    <row r="144413" customFormat="1" x14ac:dyDescent="0.25"/>
    <row r="144414" customFormat="1" x14ac:dyDescent="0.25"/>
    <row r="144415" customFormat="1" x14ac:dyDescent="0.25"/>
    <row r="144416" customFormat="1" x14ac:dyDescent="0.25"/>
    <row r="144417" customFormat="1" x14ac:dyDescent="0.25"/>
    <row r="144418" customFormat="1" x14ac:dyDescent="0.25"/>
    <row r="144419" customFormat="1" x14ac:dyDescent="0.25"/>
    <row r="144420" customFormat="1" x14ac:dyDescent="0.25"/>
    <row r="144421" customFormat="1" x14ac:dyDescent="0.25"/>
    <row r="144422" customFormat="1" x14ac:dyDescent="0.25"/>
    <row r="144423" customFormat="1" x14ac:dyDescent="0.25"/>
    <row r="144424" customFormat="1" x14ac:dyDescent="0.25"/>
    <row r="144425" customFormat="1" x14ac:dyDescent="0.25"/>
    <row r="144426" customFormat="1" x14ac:dyDescent="0.25"/>
    <row r="144427" customFormat="1" x14ac:dyDescent="0.25"/>
    <row r="144428" customFormat="1" x14ac:dyDescent="0.25"/>
    <row r="144429" customFormat="1" x14ac:dyDescent="0.25"/>
    <row r="144430" customFormat="1" x14ac:dyDescent="0.25"/>
    <row r="144431" customFormat="1" x14ac:dyDescent="0.25"/>
    <row r="144432" customFormat="1" x14ac:dyDescent="0.25"/>
    <row r="144433" customFormat="1" x14ac:dyDescent="0.25"/>
    <row r="144434" customFormat="1" x14ac:dyDescent="0.25"/>
    <row r="144435" customFormat="1" x14ac:dyDescent="0.25"/>
    <row r="144436" customFormat="1" x14ac:dyDescent="0.25"/>
    <row r="144437" customFormat="1" x14ac:dyDescent="0.25"/>
    <row r="144438" customFormat="1" x14ac:dyDescent="0.25"/>
    <row r="144439" customFormat="1" x14ac:dyDescent="0.25"/>
    <row r="144440" customFormat="1" x14ac:dyDescent="0.25"/>
    <row r="144441" customFormat="1" x14ac:dyDescent="0.25"/>
    <row r="144442" customFormat="1" x14ac:dyDescent="0.25"/>
    <row r="144443" customFormat="1" x14ac:dyDescent="0.25"/>
    <row r="144444" customFormat="1" x14ac:dyDescent="0.25"/>
    <row r="144445" customFormat="1" x14ac:dyDescent="0.25"/>
    <row r="144446" customFormat="1" x14ac:dyDescent="0.25"/>
    <row r="144447" customFormat="1" x14ac:dyDescent="0.25"/>
    <row r="144448" customFormat="1" x14ac:dyDescent="0.25"/>
    <row r="144449" customFormat="1" x14ac:dyDescent="0.25"/>
    <row r="144450" customFormat="1" x14ac:dyDescent="0.25"/>
    <row r="144451" customFormat="1" x14ac:dyDescent="0.25"/>
    <row r="144452" customFormat="1" x14ac:dyDescent="0.25"/>
    <row r="144453" customFormat="1" x14ac:dyDescent="0.25"/>
    <row r="144454" customFormat="1" x14ac:dyDescent="0.25"/>
    <row r="144455" customFormat="1" x14ac:dyDescent="0.25"/>
    <row r="144456" customFormat="1" x14ac:dyDescent="0.25"/>
    <row r="144457" customFormat="1" x14ac:dyDescent="0.25"/>
    <row r="144458" customFormat="1" x14ac:dyDescent="0.25"/>
    <row r="144459" customFormat="1" x14ac:dyDescent="0.25"/>
    <row r="144460" customFormat="1" x14ac:dyDescent="0.25"/>
    <row r="144461" customFormat="1" x14ac:dyDescent="0.25"/>
    <row r="144462" customFormat="1" x14ac:dyDescent="0.25"/>
    <row r="144463" customFormat="1" x14ac:dyDescent="0.25"/>
    <row r="144464" customFormat="1" x14ac:dyDescent="0.25"/>
    <row r="144465" customFormat="1" x14ac:dyDescent="0.25"/>
    <row r="144466" customFormat="1" x14ac:dyDescent="0.25"/>
    <row r="144467" customFormat="1" x14ac:dyDescent="0.25"/>
    <row r="144468" customFormat="1" x14ac:dyDescent="0.25"/>
    <row r="144469" customFormat="1" x14ac:dyDescent="0.25"/>
    <row r="144470" customFormat="1" x14ac:dyDescent="0.25"/>
    <row r="144471" customFormat="1" x14ac:dyDescent="0.25"/>
    <row r="144472" customFormat="1" x14ac:dyDescent="0.25"/>
    <row r="144473" customFormat="1" x14ac:dyDescent="0.25"/>
    <row r="144474" customFormat="1" x14ac:dyDescent="0.25"/>
    <row r="144475" customFormat="1" x14ac:dyDescent="0.25"/>
    <row r="144476" customFormat="1" x14ac:dyDescent="0.25"/>
    <row r="144477" customFormat="1" x14ac:dyDescent="0.25"/>
    <row r="144478" customFormat="1" x14ac:dyDescent="0.25"/>
    <row r="144479" customFormat="1" x14ac:dyDescent="0.25"/>
    <row r="144480" customFormat="1" x14ac:dyDescent="0.25"/>
    <row r="144481" customFormat="1" x14ac:dyDescent="0.25"/>
    <row r="144482" customFormat="1" x14ac:dyDescent="0.25"/>
    <row r="144483" customFormat="1" x14ac:dyDescent="0.25"/>
    <row r="144484" customFormat="1" x14ac:dyDescent="0.25"/>
    <row r="144485" customFormat="1" x14ac:dyDescent="0.25"/>
    <row r="144486" customFormat="1" x14ac:dyDescent="0.25"/>
    <row r="144487" customFormat="1" x14ac:dyDescent="0.25"/>
    <row r="144488" customFormat="1" x14ac:dyDescent="0.25"/>
    <row r="144489" customFormat="1" x14ac:dyDescent="0.25"/>
    <row r="144490" customFormat="1" x14ac:dyDescent="0.25"/>
    <row r="144491" customFormat="1" x14ac:dyDescent="0.25"/>
    <row r="144492" customFormat="1" x14ac:dyDescent="0.25"/>
    <row r="144493" customFormat="1" x14ac:dyDescent="0.25"/>
    <row r="144494" customFormat="1" x14ac:dyDescent="0.25"/>
    <row r="144495" customFormat="1" x14ac:dyDescent="0.25"/>
    <row r="144496" customFormat="1" x14ac:dyDescent="0.25"/>
    <row r="144497" customFormat="1" x14ac:dyDescent="0.25"/>
    <row r="144498" customFormat="1" x14ac:dyDescent="0.25"/>
    <row r="144499" customFormat="1" x14ac:dyDescent="0.25"/>
    <row r="144500" customFormat="1" x14ac:dyDescent="0.25"/>
    <row r="144501" customFormat="1" x14ac:dyDescent="0.25"/>
    <row r="144502" customFormat="1" x14ac:dyDescent="0.25"/>
    <row r="144503" customFormat="1" x14ac:dyDescent="0.25"/>
    <row r="144504" customFormat="1" x14ac:dyDescent="0.25"/>
    <row r="144505" customFormat="1" x14ac:dyDescent="0.25"/>
    <row r="144506" customFormat="1" x14ac:dyDescent="0.25"/>
    <row r="144507" customFormat="1" x14ac:dyDescent="0.25"/>
    <row r="144508" customFormat="1" x14ac:dyDescent="0.25"/>
    <row r="144509" customFormat="1" x14ac:dyDescent="0.25"/>
    <row r="144510" customFormat="1" x14ac:dyDescent="0.25"/>
    <row r="144511" customFormat="1" x14ac:dyDescent="0.25"/>
    <row r="144512" customFormat="1" x14ac:dyDescent="0.25"/>
    <row r="144513" customFormat="1" x14ac:dyDescent="0.25"/>
    <row r="144514" customFormat="1" x14ac:dyDescent="0.25"/>
    <row r="144515" customFormat="1" x14ac:dyDescent="0.25"/>
    <row r="144516" customFormat="1" x14ac:dyDescent="0.25"/>
    <row r="144517" customFormat="1" x14ac:dyDescent="0.25"/>
    <row r="144518" customFormat="1" x14ac:dyDescent="0.25"/>
    <row r="144519" customFormat="1" x14ac:dyDescent="0.25"/>
    <row r="144520" customFormat="1" x14ac:dyDescent="0.25"/>
    <row r="144521" customFormat="1" x14ac:dyDescent="0.25"/>
    <row r="144522" customFormat="1" x14ac:dyDescent="0.25"/>
    <row r="144523" customFormat="1" x14ac:dyDescent="0.25"/>
    <row r="144524" customFormat="1" x14ac:dyDescent="0.25"/>
    <row r="144525" customFormat="1" x14ac:dyDescent="0.25"/>
    <row r="144526" customFormat="1" x14ac:dyDescent="0.25"/>
    <row r="144527" customFormat="1" x14ac:dyDescent="0.25"/>
    <row r="144528" customFormat="1" x14ac:dyDescent="0.25"/>
    <row r="144529" customFormat="1" x14ac:dyDescent="0.25"/>
    <row r="144530" customFormat="1" x14ac:dyDescent="0.25"/>
    <row r="144531" customFormat="1" x14ac:dyDescent="0.25"/>
    <row r="144532" customFormat="1" x14ac:dyDescent="0.25"/>
    <row r="144533" customFormat="1" x14ac:dyDescent="0.25"/>
    <row r="144534" customFormat="1" x14ac:dyDescent="0.25"/>
    <row r="144535" customFormat="1" x14ac:dyDescent="0.25"/>
    <row r="144536" customFormat="1" x14ac:dyDescent="0.25"/>
    <row r="144537" customFormat="1" x14ac:dyDescent="0.25"/>
    <row r="144538" customFormat="1" x14ac:dyDescent="0.25"/>
    <row r="144539" customFormat="1" x14ac:dyDescent="0.25"/>
    <row r="144540" customFormat="1" x14ac:dyDescent="0.25"/>
    <row r="144541" customFormat="1" x14ac:dyDescent="0.25"/>
    <row r="144542" customFormat="1" x14ac:dyDescent="0.25"/>
    <row r="144543" customFormat="1" x14ac:dyDescent="0.25"/>
    <row r="144544" customFormat="1" x14ac:dyDescent="0.25"/>
    <row r="144545" customFormat="1" x14ac:dyDescent="0.25"/>
    <row r="144546" customFormat="1" x14ac:dyDescent="0.25"/>
    <row r="144547" customFormat="1" x14ac:dyDescent="0.25"/>
    <row r="144548" customFormat="1" x14ac:dyDescent="0.25"/>
    <row r="144549" customFormat="1" x14ac:dyDescent="0.25"/>
    <row r="144550" customFormat="1" x14ac:dyDescent="0.25"/>
    <row r="144551" customFormat="1" x14ac:dyDescent="0.25"/>
    <row r="144552" customFormat="1" x14ac:dyDescent="0.25"/>
    <row r="144553" customFormat="1" x14ac:dyDescent="0.25"/>
    <row r="144554" customFormat="1" x14ac:dyDescent="0.25"/>
    <row r="144555" customFormat="1" x14ac:dyDescent="0.25"/>
    <row r="144556" customFormat="1" x14ac:dyDescent="0.25"/>
    <row r="144557" customFormat="1" x14ac:dyDescent="0.25"/>
    <row r="144558" customFormat="1" x14ac:dyDescent="0.25"/>
    <row r="144559" customFormat="1" x14ac:dyDescent="0.25"/>
    <row r="144560" customFormat="1" x14ac:dyDescent="0.25"/>
    <row r="144561" customFormat="1" x14ac:dyDescent="0.25"/>
    <row r="144562" customFormat="1" x14ac:dyDescent="0.25"/>
    <row r="144563" customFormat="1" x14ac:dyDescent="0.25"/>
    <row r="144564" customFormat="1" x14ac:dyDescent="0.25"/>
    <row r="144565" customFormat="1" x14ac:dyDescent="0.25"/>
    <row r="144566" customFormat="1" x14ac:dyDescent="0.25"/>
    <row r="144567" customFormat="1" x14ac:dyDescent="0.25"/>
    <row r="144568" customFormat="1" x14ac:dyDescent="0.25"/>
    <row r="144569" customFormat="1" x14ac:dyDescent="0.25"/>
    <row r="144570" customFormat="1" x14ac:dyDescent="0.25"/>
    <row r="144571" customFormat="1" x14ac:dyDescent="0.25"/>
    <row r="144572" customFormat="1" x14ac:dyDescent="0.25"/>
    <row r="144573" customFormat="1" x14ac:dyDescent="0.25"/>
    <row r="144574" customFormat="1" x14ac:dyDescent="0.25"/>
    <row r="144575" customFormat="1" x14ac:dyDescent="0.25"/>
    <row r="144576" customFormat="1" x14ac:dyDescent="0.25"/>
    <row r="144577" customFormat="1" x14ac:dyDescent="0.25"/>
    <row r="144578" customFormat="1" x14ac:dyDescent="0.25"/>
    <row r="144579" customFormat="1" x14ac:dyDescent="0.25"/>
    <row r="144580" customFormat="1" x14ac:dyDescent="0.25"/>
    <row r="144581" customFormat="1" x14ac:dyDescent="0.25"/>
    <row r="144582" customFormat="1" x14ac:dyDescent="0.25"/>
    <row r="144583" customFormat="1" x14ac:dyDescent="0.25"/>
    <row r="144584" customFormat="1" x14ac:dyDescent="0.25"/>
    <row r="144585" customFormat="1" x14ac:dyDescent="0.25"/>
    <row r="144586" customFormat="1" x14ac:dyDescent="0.25"/>
    <row r="144587" customFormat="1" x14ac:dyDescent="0.25"/>
    <row r="144588" customFormat="1" x14ac:dyDescent="0.25"/>
    <row r="144589" customFormat="1" x14ac:dyDescent="0.25"/>
    <row r="144590" customFormat="1" x14ac:dyDescent="0.25"/>
    <row r="144591" customFormat="1" x14ac:dyDescent="0.25"/>
    <row r="144592" customFormat="1" x14ac:dyDescent="0.25"/>
    <row r="144593" customFormat="1" x14ac:dyDescent="0.25"/>
    <row r="144594" customFormat="1" x14ac:dyDescent="0.25"/>
    <row r="144595" customFormat="1" x14ac:dyDescent="0.25"/>
    <row r="144596" customFormat="1" x14ac:dyDescent="0.25"/>
    <row r="144597" customFormat="1" x14ac:dyDescent="0.25"/>
    <row r="144598" customFormat="1" x14ac:dyDescent="0.25"/>
    <row r="144599" customFormat="1" x14ac:dyDescent="0.25"/>
    <row r="144600" customFormat="1" x14ac:dyDescent="0.25"/>
    <row r="144601" customFormat="1" x14ac:dyDescent="0.25"/>
    <row r="144602" customFormat="1" x14ac:dyDescent="0.25"/>
    <row r="144603" customFormat="1" x14ac:dyDescent="0.25"/>
    <row r="144604" customFormat="1" x14ac:dyDescent="0.25"/>
    <row r="144605" customFormat="1" x14ac:dyDescent="0.25"/>
    <row r="144606" customFormat="1" x14ac:dyDescent="0.25"/>
    <row r="144607" customFormat="1" x14ac:dyDescent="0.25"/>
    <row r="144608" customFormat="1" x14ac:dyDescent="0.25"/>
    <row r="144609" customFormat="1" x14ac:dyDescent="0.25"/>
    <row r="144610" customFormat="1" x14ac:dyDescent="0.25"/>
    <row r="144611" customFormat="1" x14ac:dyDescent="0.25"/>
    <row r="144612" customFormat="1" x14ac:dyDescent="0.25"/>
    <row r="144613" customFormat="1" x14ac:dyDescent="0.25"/>
    <row r="144614" customFormat="1" x14ac:dyDescent="0.25"/>
    <row r="144615" customFormat="1" x14ac:dyDescent="0.25"/>
    <row r="144616" customFormat="1" x14ac:dyDescent="0.25"/>
    <row r="144617" customFormat="1" x14ac:dyDescent="0.25"/>
    <row r="144618" customFormat="1" x14ac:dyDescent="0.25"/>
    <row r="144619" customFormat="1" x14ac:dyDescent="0.25"/>
    <row r="144620" customFormat="1" x14ac:dyDescent="0.25"/>
    <row r="144621" customFormat="1" x14ac:dyDescent="0.25"/>
    <row r="144622" customFormat="1" x14ac:dyDescent="0.25"/>
    <row r="144623" customFormat="1" x14ac:dyDescent="0.25"/>
    <row r="144624" customFormat="1" x14ac:dyDescent="0.25"/>
    <row r="144625" customFormat="1" x14ac:dyDescent="0.25"/>
    <row r="144626" customFormat="1" x14ac:dyDescent="0.25"/>
    <row r="144627" customFormat="1" x14ac:dyDescent="0.25"/>
    <row r="144628" customFormat="1" x14ac:dyDescent="0.25"/>
    <row r="144629" customFormat="1" x14ac:dyDescent="0.25"/>
    <row r="144630" customFormat="1" x14ac:dyDescent="0.25"/>
    <row r="144631" customFormat="1" x14ac:dyDescent="0.25"/>
    <row r="144632" customFormat="1" x14ac:dyDescent="0.25"/>
    <row r="144633" customFormat="1" x14ac:dyDescent="0.25"/>
    <row r="144634" customFormat="1" x14ac:dyDescent="0.25"/>
    <row r="144635" customFormat="1" x14ac:dyDescent="0.25"/>
    <row r="144636" customFormat="1" x14ac:dyDescent="0.25"/>
    <row r="144637" customFormat="1" x14ac:dyDescent="0.25"/>
    <row r="144638" customFormat="1" x14ac:dyDescent="0.25"/>
    <row r="144639" customFormat="1" x14ac:dyDescent="0.25"/>
    <row r="144640" customFormat="1" x14ac:dyDescent="0.25"/>
    <row r="144641" customFormat="1" x14ac:dyDescent="0.25"/>
    <row r="144642" customFormat="1" x14ac:dyDescent="0.25"/>
    <row r="144643" customFormat="1" x14ac:dyDescent="0.25"/>
    <row r="144644" customFormat="1" x14ac:dyDescent="0.25"/>
    <row r="144645" customFormat="1" x14ac:dyDescent="0.25"/>
    <row r="144646" customFormat="1" x14ac:dyDescent="0.25"/>
    <row r="144647" customFormat="1" x14ac:dyDescent="0.25"/>
    <row r="144648" customFormat="1" x14ac:dyDescent="0.25"/>
    <row r="144649" customFormat="1" x14ac:dyDescent="0.25"/>
    <row r="144650" customFormat="1" x14ac:dyDescent="0.25"/>
    <row r="144651" customFormat="1" x14ac:dyDescent="0.25"/>
    <row r="144652" customFormat="1" x14ac:dyDescent="0.25"/>
    <row r="144653" customFormat="1" x14ac:dyDescent="0.25"/>
    <row r="144654" customFormat="1" x14ac:dyDescent="0.25"/>
    <row r="144655" customFormat="1" x14ac:dyDescent="0.25"/>
    <row r="144656" customFormat="1" x14ac:dyDescent="0.25"/>
    <row r="144657" customFormat="1" x14ac:dyDescent="0.25"/>
    <row r="144658" customFormat="1" x14ac:dyDescent="0.25"/>
    <row r="144659" customFormat="1" x14ac:dyDescent="0.25"/>
    <row r="144660" customFormat="1" x14ac:dyDescent="0.25"/>
    <row r="144661" customFormat="1" x14ac:dyDescent="0.25"/>
    <row r="144662" customFormat="1" x14ac:dyDescent="0.25"/>
    <row r="144663" customFormat="1" x14ac:dyDescent="0.25"/>
    <row r="144664" customFormat="1" x14ac:dyDescent="0.25"/>
    <row r="144665" customFormat="1" x14ac:dyDescent="0.25"/>
    <row r="144666" customFormat="1" x14ac:dyDescent="0.25"/>
    <row r="144667" customFormat="1" x14ac:dyDescent="0.25"/>
    <row r="144668" customFormat="1" x14ac:dyDescent="0.25"/>
    <row r="144669" customFormat="1" x14ac:dyDescent="0.25"/>
    <row r="144670" customFormat="1" x14ac:dyDescent="0.25"/>
    <row r="144671" customFormat="1" x14ac:dyDescent="0.25"/>
    <row r="144672" customFormat="1" x14ac:dyDescent="0.25"/>
    <row r="144673" customFormat="1" x14ac:dyDescent="0.25"/>
    <row r="144674" customFormat="1" x14ac:dyDescent="0.25"/>
    <row r="144675" customFormat="1" x14ac:dyDescent="0.25"/>
    <row r="144676" customFormat="1" x14ac:dyDescent="0.25"/>
    <row r="144677" customFormat="1" x14ac:dyDescent="0.25"/>
    <row r="144678" customFormat="1" x14ac:dyDescent="0.25"/>
    <row r="144679" customFormat="1" x14ac:dyDescent="0.25"/>
    <row r="144680" customFormat="1" x14ac:dyDescent="0.25"/>
    <row r="144681" customFormat="1" x14ac:dyDescent="0.25"/>
    <row r="144682" customFormat="1" x14ac:dyDescent="0.25"/>
    <row r="144683" customFormat="1" x14ac:dyDescent="0.25"/>
    <row r="144684" customFormat="1" x14ac:dyDescent="0.25"/>
    <row r="144685" customFormat="1" x14ac:dyDescent="0.25"/>
    <row r="144686" customFormat="1" x14ac:dyDescent="0.25"/>
    <row r="144687" customFormat="1" x14ac:dyDescent="0.25"/>
    <row r="144688" customFormat="1" x14ac:dyDescent="0.25"/>
    <row r="144689" customFormat="1" x14ac:dyDescent="0.25"/>
    <row r="144690" customFormat="1" x14ac:dyDescent="0.25"/>
    <row r="144691" customFormat="1" x14ac:dyDescent="0.25"/>
    <row r="144692" customFormat="1" x14ac:dyDescent="0.25"/>
    <row r="144693" customFormat="1" x14ac:dyDescent="0.25"/>
    <row r="144694" customFormat="1" x14ac:dyDescent="0.25"/>
    <row r="144695" customFormat="1" x14ac:dyDescent="0.25"/>
    <row r="144696" customFormat="1" x14ac:dyDescent="0.25"/>
    <row r="144697" customFormat="1" x14ac:dyDescent="0.25"/>
    <row r="144698" customFormat="1" x14ac:dyDescent="0.25"/>
    <row r="144699" customFormat="1" x14ac:dyDescent="0.25"/>
    <row r="144700" customFormat="1" x14ac:dyDescent="0.25"/>
    <row r="144701" customFormat="1" x14ac:dyDescent="0.25"/>
    <row r="144702" customFormat="1" x14ac:dyDescent="0.25"/>
    <row r="144703" customFormat="1" x14ac:dyDescent="0.25"/>
    <row r="144704" customFormat="1" x14ac:dyDescent="0.25"/>
    <row r="144705" customFormat="1" x14ac:dyDescent="0.25"/>
    <row r="144706" customFormat="1" x14ac:dyDescent="0.25"/>
    <row r="144707" customFormat="1" x14ac:dyDescent="0.25"/>
    <row r="144708" customFormat="1" x14ac:dyDescent="0.25"/>
    <row r="144709" customFormat="1" x14ac:dyDescent="0.25"/>
    <row r="144710" customFormat="1" x14ac:dyDescent="0.25"/>
    <row r="144711" customFormat="1" x14ac:dyDescent="0.25"/>
    <row r="144712" customFormat="1" x14ac:dyDescent="0.25"/>
    <row r="144713" customFormat="1" x14ac:dyDescent="0.25"/>
    <row r="144714" customFormat="1" x14ac:dyDescent="0.25"/>
    <row r="144715" customFormat="1" x14ac:dyDescent="0.25"/>
    <row r="144716" customFormat="1" x14ac:dyDescent="0.25"/>
    <row r="144717" customFormat="1" x14ac:dyDescent="0.25"/>
    <row r="144718" customFormat="1" x14ac:dyDescent="0.25"/>
    <row r="144719" customFormat="1" x14ac:dyDescent="0.25"/>
    <row r="144720" customFormat="1" x14ac:dyDescent="0.25"/>
    <row r="144721" customFormat="1" x14ac:dyDescent="0.25"/>
    <row r="144722" customFormat="1" x14ac:dyDescent="0.25"/>
    <row r="144723" customFormat="1" x14ac:dyDescent="0.25"/>
    <row r="144724" customFormat="1" x14ac:dyDescent="0.25"/>
    <row r="144725" customFormat="1" x14ac:dyDescent="0.25"/>
    <row r="144726" customFormat="1" x14ac:dyDescent="0.25"/>
    <row r="144727" customFormat="1" x14ac:dyDescent="0.25"/>
    <row r="144728" customFormat="1" x14ac:dyDescent="0.25"/>
    <row r="144729" customFormat="1" x14ac:dyDescent="0.25"/>
    <row r="144730" customFormat="1" x14ac:dyDescent="0.25"/>
    <row r="144731" customFormat="1" x14ac:dyDescent="0.25"/>
    <row r="144732" customFormat="1" x14ac:dyDescent="0.25"/>
    <row r="144733" customFormat="1" x14ac:dyDescent="0.25"/>
    <row r="144734" customFormat="1" x14ac:dyDescent="0.25"/>
    <row r="144735" customFormat="1" x14ac:dyDescent="0.25"/>
    <row r="144736" customFormat="1" x14ac:dyDescent="0.25"/>
    <row r="144737" customFormat="1" x14ac:dyDescent="0.25"/>
    <row r="144738" customFormat="1" x14ac:dyDescent="0.25"/>
    <row r="144739" customFormat="1" x14ac:dyDescent="0.25"/>
    <row r="144740" customFormat="1" x14ac:dyDescent="0.25"/>
    <row r="144741" customFormat="1" x14ac:dyDescent="0.25"/>
    <row r="144742" customFormat="1" x14ac:dyDescent="0.25"/>
    <row r="144743" customFormat="1" x14ac:dyDescent="0.25"/>
    <row r="144744" customFormat="1" x14ac:dyDescent="0.25"/>
    <row r="144745" customFormat="1" x14ac:dyDescent="0.25"/>
    <row r="144746" customFormat="1" x14ac:dyDescent="0.25"/>
    <row r="144747" customFormat="1" x14ac:dyDescent="0.25"/>
    <row r="144748" customFormat="1" x14ac:dyDescent="0.25"/>
    <row r="144749" customFormat="1" x14ac:dyDescent="0.25"/>
    <row r="144750" customFormat="1" x14ac:dyDescent="0.25"/>
    <row r="144751" customFormat="1" x14ac:dyDescent="0.25"/>
    <row r="144752" customFormat="1" x14ac:dyDescent="0.25"/>
    <row r="144753" customFormat="1" x14ac:dyDescent="0.25"/>
    <row r="144754" customFormat="1" x14ac:dyDescent="0.25"/>
    <row r="144755" customFormat="1" x14ac:dyDescent="0.25"/>
    <row r="144756" customFormat="1" x14ac:dyDescent="0.25"/>
    <row r="144757" customFormat="1" x14ac:dyDescent="0.25"/>
    <row r="144758" customFormat="1" x14ac:dyDescent="0.25"/>
    <row r="144759" customFormat="1" x14ac:dyDescent="0.25"/>
    <row r="144760" customFormat="1" x14ac:dyDescent="0.25"/>
    <row r="144761" customFormat="1" x14ac:dyDescent="0.25"/>
    <row r="144762" customFormat="1" x14ac:dyDescent="0.25"/>
    <row r="144763" customFormat="1" x14ac:dyDescent="0.25"/>
    <row r="144764" customFormat="1" x14ac:dyDescent="0.25"/>
    <row r="144765" customFormat="1" x14ac:dyDescent="0.25"/>
    <row r="144766" customFormat="1" x14ac:dyDescent="0.25"/>
    <row r="144767" customFormat="1" x14ac:dyDescent="0.25"/>
    <row r="144768" customFormat="1" x14ac:dyDescent="0.25"/>
    <row r="144769" customFormat="1" x14ac:dyDescent="0.25"/>
    <row r="144770" customFormat="1" x14ac:dyDescent="0.25"/>
    <row r="144771" customFormat="1" x14ac:dyDescent="0.25"/>
    <row r="144772" customFormat="1" x14ac:dyDescent="0.25"/>
    <row r="144773" customFormat="1" x14ac:dyDescent="0.25"/>
    <row r="144774" customFormat="1" x14ac:dyDescent="0.25"/>
    <row r="144775" customFormat="1" x14ac:dyDescent="0.25"/>
    <row r="144776" customFormat="1" x14ac:dyDescent="0.25"/>
    <row r="144777" customFormat="1" x14ac:dyDescent="0.25"/>
    <row r="144778" customFormat="1" x14ac:dyDescent="0.25"/>
    <row r="144779" customFormat="1" x14ac:dyDescent="0.25"/>
    <row r="144780" customFormat="1" x14ac:dyDescent="0.25"/>
    <row r="144781" customFormat="1" x14ac:dyDescent="0.25"/>
    <row r="144782" customFormat="1" x14ac:dyDescent="0.25"/>
    <row r="144783" customFormat="1" x14ac:dyDescent="0.25"/>
    <row r="144784" customFormat="1" x14ac:dyDescent="0.25"/>
    <row r="144785" customFormat="1" x14ac:dyDescent="0.25"/>
    <row r="144786" customFormat="1" x14ac:dyDescent="0.25"/>
    <row r="144787" customFormat="1" x14ac:dyDescent="0.25"/>
    <row r="144788" customFormat="1" x14ac:dyDescent="0.25"/>
    <row r="144789" customFormat="1" x14ac:dyDescent="0.25"/>
    <row r="144790" customFormat="1" x14ac:dyDescent="0.25"/>
    <row r="144791" customFormat="1" x14ac:dyDescent="0.25"/>
    <row r="144792" customFormat="1" x14ac:dyDescent="0.25"/>
    <row r="144793" customFormat="1" x14ac:dyDescent="0.25"/>
    <row r="144794" customFormat="1" x14ac:dyDescent="0.25"/>
    <row r="144795" customFormat="1" x14ac:dyDescent="0.25"/>
    <row r="144796" customFormat="1" x14ac:dyDescent="0.25"/>
    <row r="144797" customFormat="1" x14ac:dyDescent="0.25"/>
    <row r="144798" customFormat="1" x14ac:dyDescent="0.25"/>
    <row r="144799" customFormat="1" x14ac:dyDescent="0.25"/>
    <row r="144800" customFormat="1" x14ac:dyDescent="0.25"/>
    <row r="144801" customFormat="1" x14ac:dyDescent="0.25"/>
    <row r="144802" customFormat="1" x14ac:dyDescent="0.25"/>
    <row r="144803" customFormat="1" x14ac:dyDescent="0.25"/>
    <row r="144804" customFormat="1" x14ac:dyDescent="0.25"/>
    <row r="144805" customFormat="1" x14ac:dyDescent="0.25"/>
    <row r="144806" customFormat="1" x14ac:dyDescent="0.25"/>
    <row r="144807" customFormat="1" x14ac:dyDescent="0.25"/>
    <row r="144808" customFormat="1" x14ac:dyDescent="0.25"/>
    <row r="144809" customFormat="1" x14ac:dyDescent="0.25"/>
    <row r="144810" customFormat="1" x14ac:dyDescent="0.25"/>
    <row r="144811" customFormat="1" x14ac:dyDescent="0.25"/>
    <row r="144812" customFormat="1" x14ac:dyDescent="0.25"/>
    <row r="144813" customFormat="1" x14ac:dyDescent="0.25"/>
    <row r="144814" customFormat="1" x14ac:dyDescent="0.25"/>
    <row r="144815" customFormat="1" x14ac:dyDescent="0.25"/>
    <row r="144816" customFormat="1" x14ac:dyDescent="0.25"/>
    <row r="144817" customFormat="1" x14ac:dyDescent="0.25"/>
    <row r="144818" customFormat="1" x14ac:dyDescent="0.25"/>
    <row r="144819" customFormat="1" x14ac:dyDescent="0.25"/>
    <row r="144820" customFormat="1" x14ac:dyDescent="0.25"/>
    <row r="144821" customFormat="1" x14ac:dyDescent="0.25"/>
    <row r="144822" customFormat="1" x14ac:dyDescent="0.25"/>
    <row r="144823" customFormat="1" x14ac:dyDescent="0.25"/>
    <row r="144824" customFormat="1" x14ac:dyDescent="0.25"/>
    <row r="144825" customFormat="1" x14ac:dyDescent="0.25"/>
    <row r="144826" customFormat="1" x14ac:dyDescent="0.25"/>
    <row r="144827" customFormat="1" x14ac:dyDescent="0.25"/>
    <row r="144828" customFormat="1" x14ac:dyDescent="0.25"/>
    <row r="144829" customFormat="1" x14ac:dyDescent="0.25"/>
    <row r="144830" customFormat="1" x14ac:dyDescent="0.25"/>
    <row r="144831" customFormat="1" x14ac:dyDescent="0.25"/>
    <row r="144832" customFormat="1" x14ac:dyDescent="0.25"/>
    <row r="144833" customFormat="1" x14ac:dyDescent="0.25"/>
    <row r="144834" customFormat="1" x14ac:dyDescent="0.25"/>
    <row r="144835" customFormat="1" x14ac:dyDescent="0.25"/>
    <row r="144836" customFormat="1" x14ac:dyDescent="0.25"/>
    <row r="144837" customFormat="1" x14ac:dyDescent="0.25"/>
    <row r="144838" customFormat="1" x14ac:dyDescent="0.25"/>
    <row r="144839" customFormat="1" x14ac:dyDescent="0.25"/>
    <row r="144840" customFormat="1" x14ac:dyDescent="0.25"/>
    <row r="144841" customFormat="1" x14ac:dyDescent="0.25"/>
    <row r="144842" customFormat="1" x14ac:dyDescent="0.25"/>
    <row r="144843" customFormat="1" x14ac:dyDescent="0.25"/>
    <row r="144844" customFormat="1" x14ac:dyDescent="0.25"/>
    <row r="144845" customFormat="1" x14ac:dyDescent="0.25"/>
    <row r="144846" customFormat="1" x14ac:dyDescent="0.25"/>
    <row r="144847" customFormat="1" x14ac:dyDescent="0.25"/>
    <row r="144848" customFormat="1" x14ac:dyDescent="0.25"/>
    <row r="144849" customFormat="1" x14ac:dyDescent="0.25"/>
    <row r="144850" customFormat="1" x14ac:dyDescent="0.25"/>
    <row r="144851" customFormat="1" x14ac:dyDescent="0.25"/>
    <row r="144852" customFormat="1" x14ac:dyDescent="0.25"/>
    <row r="144853" customFormat="1" x14ac:dyDescent="0.25"/>
    <row r="144854" customFormat="1" x14ac:dyDescent="0.25"/>
    <row r="144855" customFormat="1" x14ac:dyDescent="0.25"/>
    <row r="144856" customFormat="1" x14ac:dyDescent="0.25"/>
    <row r="144857" customFormat="1" x14ac:dyDescent="0.25"/>
    <row r="144858" customFormat="1" x14ac:dyDescent="0.25"/>
    <row r="144859" customFormat="1" x14ac:dyDescent="0.25"/>
    <row r="144860" customFormat="1" x14ac:dyDescent="0.25"/>
    <row r="144861" customFormat="1" x14ac:dyDescent="0.25"/>
    <row r="144862" customFormat="1" x14ac:dyDescent="0.25"/>
    <row r="144863" customFormat="1" x14ac:dyDescent="0.25"/>
    <row r="144864" customFormat="1" x14ac:dyDescent="0.25"/>
    <row r="144865" customFormat="1" x14ac:dyDescent="0.25"/>
    <row r="144866" customFormat="1" x14ac:dyDescent="0.25"/>
    <row r="144867" customFormat="1" x14ac:dyDescent="0.25"/>
    <row r="144868" customFormat="1" x14ac:dyDescent="0.25"/>
    <row r="144869" customFormat="1" x14ac:dyDescent="0.25"/>
    <row r="144870" customFormat="1" x14ac:dyDescent="0.25"/>
    <row r="144871" customFormat="1" x14ac:dyDescent="0.25"/>
    <row r="144872" customFormat="1" x14ac:dyDescent="0.25"/>
    <row r="144873" customFormat="1" x14ac:dyDescent="0.25"/>
    <row r="144874" customFormat="1" x14ac:dyDescent="0.25"/>
    <row r="144875" customFormat="1" x14ac:dyDescent="0.25"/>
    <row r="144876" customFormat="1" x14ac:dyDescent="0.25"/>
    <row r="144877" customFormat="1" x14ac:dyDescent="0.25"/>
    <row r="144878" customFormat="1" x14ac:dyDescent="0.25"/>
    <row r="144879" customFormat="1" x14ac:dyDescent="0.25"/>
    <row r="144880" customFormat="1" x14ac:dyDescent="0.25"/>
    <row r="144881" customFormat="1" x14ac:dyDescent="0.25"/>
    <row r="144882" customFormat="1" x14ac:dyDescent="0.25"/>
    <row r="144883" customFormat="1" x14ac:dyDescent="0.25"/>
    <row r="144884" customFormat="1" x14ac:dyDescent="0.25"/>
    <row r="144885" customFormat="1" x14ac:dyDescent="0.25"/>
    <row r="144886" customFormat="1" x14ac:dyDescent="0.25"/>
    <row r="144887" customFormat="1" x14ac:dyDescent="0.25"/>
    <row r="144888" customFormat="1" x14ac:dyDescent="0.25"/>
    <row r="144889" customFormat="1" x14ac:dyDescent="0.25"/>
    <row r="144890" customFormat="1" x14ac:dyDescent="0.25"/>
    <row r="144891" customFormat="1" x14ac:dyDescent="0.25"/>
    <row r="144892" customFormat="1" x14ac:dyDescent="0.25"/>
    <row r="144893" customFormat="1" x14ac:dyDescent="0.25"/>
    <row r="144894" customFormat="1" x14ac:dyDescent="0.25"/>
    <row r="144895" customFormat="1" x14ac:dyDescent="0.25"/>
    <row r="144896" customFormat="1" x14ac:dyDescent="0.25"/>
    <row r="144897" customFormat="1" x14ac:dyDescent="0.25"/>
    <row r="144898" customFormat="1" x14ac:dyDescent="0.25"/>
    <row r="144899" customFormat="1" x14ac:dyDescent="0.25"/>
    <row r="144900" customFormat="1" x14ac:dyDescent="0.25"/>
    <row r="144901" customFormat="1" x14ac:dyDescent="0.25"/>
    <row r="144902" customFormat="1" x14ac:dyDescent="0.25"/>
    <row r="144903" customFormat="1" x14ac:dyDescent="0.25"/>
    <row r="144904" customFormat="1" x14ac:dyDescent="0.25"/>
    <row r="144905" customFormat="1" x14ac:dyDescent="0.25"/>
    <row r="144906" customFormat="1" x14ac:dyDescent="0.25"/>
    <row r="144907" customFormat="1" x14ac:dyDescent="0.25"/>
    <row r="144908" customFormat="1" x14ac:dyDescent="0.25"/>
    <row r="144909" customFormat="1" x14ac:dyDescent="0.25"/>
    <row r="144910" customFormat="1" x14ac:dyDescent="0.25"/>
    <row r="144911" customFormat="1" x14ac:dyDescent="0.25"/>
    <row r="144912" customFormat="1" x14ac:dyDescent="0.25"/>
    <row r="144913" customFormat="1" x14ac:dyDescent="0.25"/>
    <row r="144914" customFormat="1" x14ac:dyDescent="0.25"/>
    <row r="144915" customFormat="1" x14ac:dyDescent="0.25"/>
    <row r="144916" customFormat="1" x14ac:dyDescent="0.25"/>
    <row r="144917" customFormat="1" x14ac:dyDescent="0.25"/>
    <row r="144918" customFormat="1" x14ac:dyDescent="0.25"/>
    <row r="144919" customFormat="1" x14ac:dyDescent="0.25"/>
    <row r="144920" customFormat="1" x14ac:dyDescent="0.25"/>
    <row r="144921" customFormat="1" x14ac:dyDescent="0.25"/>
    <row r="144922" customFormat="1" x14ac:dyDescent="0.25"/>
    <row r="144923" customFormat="1" x14ac:dyDescent="0.25"/>
    <row r="144924" customFormat="1" x14ac:dyDescent="0.25"/>
    <row r="144925" customFormat="1" x14ac:dyDescent="0.25"/>
    <row r="144926" customFormat="1" x14ac:dyDescent="0.25"/>
    <row r="144927" customFormat="1" x14ac:dyDescent="0.25"/>
    <row r="144928" customFormat="1" x14ac:dyDescent="0.25"/>
    <row r="144929" customFormat="1" x14ac:dyDescent="0.25"/>
    <row r="144930" customFormat="1" x14ac:dyDescent="0.25"/>
    <row r="144931" customFormat="1" x14ac:dyDescent="0.25"/>
    <row r="144932" customFormat="1" x14ac:dyDescent="0.25"/>
    <row r="144933" customFormat="1" x14ac:dyDescent="0.25"/>
    <row r="144934" customFormat="1" x14ac:dyDescent="0.25"/>
    <row r="144935" customFormat="1" x14ac:dyDescent="0.25"/>
    <row r="144936" customFormat="1" x14ac:dyDescent="0.25"/>
    <row r="144937" customFormat="1" x14ac:dyDescent="0.25"/>
    <row r="144938" customFormat="1" x14ac:dyDescent="0.25"/>
    <row r="144939" customFormat="1" x14ac:dyDescent="0.25"/>
    <row r="144940" customFormat="1" x14ac:dyDescent="0.25"/>
    <row r="144941" customFormat="1" x14ac:dyDescent="0.25"/>
    <row r="144942" customFormat="1" x14ac:dyDescent="0.25"/>
    <row r="144943" customFormat="1" x14ac:dyDescent="0.25"/>
    <row r="144944" customFormat="1" x14ac:dyDescent="0.25"/>
    <row r="144945" customFormat="1" x14ac:dyDescent="0.25"/>
    <row r="144946" customFormat="1" x14ac:dyDescent="0.25"/>
    <row r="144947" customFormat="1" x14ac:dyDescent="0.25"/>
    <row r="144948" customFormat="1" x14ac:dyDescent="0.25"/>
    <row r="144949" customFormat="1" x14ac:dyDescent="0.25"/>
    <row r="144950" customFormat="1" x14ac:dyDescent="0.25"/>
    <row r="144951" customFormat="1" x14ac:dyDescent="0.25"/>
    <row r="144952" customFormat="1" x14ac:dyDescent="0.25"/>
    <row r="144953" customFormat="1" x14ac:dyDescent="0.25"/>
    <row r="144954" customFormat="1" x14ac:dyDescent="0.25"/>
    <row r="144955" customFormat="1" x14ac:dyDescent="0.25"/>
    <row r="144956" customFormat="1" x14ac:dyDescent="0.25"/>
    <row r="144957" customFormat="1" x14ac:dyDescent="0.25"/>
    <row r="144958" customFormat="1" x14ac:dyDescent="0.25"/>
    <row r="144959" customFormat="1" x14ac:dyDescent="0.25"/>
    <row r="144960" customFormat="1" x14ac:dyDescent="0.25"/>
    <row r="144961" customFormat="1" x14ac:dyDescent="0.25"/>
    <row r="144962" customFormat="1" x14ac:dyDescent="0.25"/>
    <row r="144963" customFormat="1" x14ac:dyDescent="0.25"/>
    <row r="144964" customFormat="1" x14ac:dyDescent="0.25"/>
    <row r="144965" customFormat="1" x14ac:dyDescent="0.25"/>
    <row r="144966" customFormat="1" x14ac:dyDescent="0.25"/>
    <row r="144967" customFormat="1" x14ac:dyDescent="0.25"/>
    <row r="144968" customFormat="1" x14ac:dyDescent="0.25"/>
    <row r="144969" customFormat="1" x14ac:dyDescent="0.25"/>
    <row r="144970" customFormat="1" x14ac:dyDescent="0.25"/>
    <row r="144971" customFormat="1" x14ac:dyDescent="0.25"/>
    <row r="144972" customFormat="1" x14ac:dyDescent="0.25"/>
    <row r="144973" customFormat="1" x14ac:dyDescent="0.25"/>
    <row r="144974" customFormat="1" x14ac:dyDescent="0.25"/>
    <row r="144975" customFormat="1" x14ac:dyDescent="0.25"/>
    <row r="144976" customFormat="1" x14ac:dyDescent="0.25"/>
    <row r="144977" customFormat="1" x14ac:dyDescent="0.25"/>
    <row r="144978" customFormat="1" x14ac:dyDescent="0.25"/>
    <row r="144979" customFormat="1" x14ac:dyDescent="0.25"/>
    <row r="144980" customFormat="1" x14ac:dyDescent="0.25"/>
    <row r="144981" customFormat="1" x14ac:dyDescent="0.25"/>
    <row r="144982" customFormat="1" x14ac:dyDescent="0.25"/>
    <row r="144983" customFormat="1" x14ac:dyDescent="0.25"/>
    <row r="144984" customFormat="1" x14ac:dyDescent="0.25"/>
    <row r="144985" customFormat="1" x14ac:dyDescent="0.25"/>
    <row r="144986" customFormat="1" x14ac:dyDescent="0.25"/>
    <row r="144987" customFormat="1" x14ac:dyDescent="0.25"/>
    <row r="144988" customFormat="1" x14ac:dyDescent="0.25"/>
    <row r="144989" customFormat="1" x14ac:dyDescent="0.25"/>
    <row r="144990" customFormat="1" x14ac:dyDescent="0.25"/>
    <row r="144991" customFormat="1" x14ac:dyDescent="0.25"/>
    <row r="144992" customFormat="1" x14ac:dyDescent="0.25"/>
    <row r="144993" customFormat="1" x14ac:dyDescent="0.25"/>
    <row r="144994" customFormat="1" x14ac:dyDescent="0.25"/>
    <row r="144995" customFormat="1" x14ac:dyDescent="0.25"/>
    <row r="144996" customFormat="1" x14ac:dyDescent="0.25"/>
    <row r="144997" customFormat="1" x14ac:dyDescent="0.25"/>
    <row r="144998" customFormat="1" x14ac:dyDescent="0.25"/>
    <row r="144999" customFormat="1" x14ac:dyDescent="0.25"/>
    <row r="145000" customFormat="1" x14ac:dyDescent="0.25"/>
    <row r="145001" customFormat="1" x14ac:dyDescent="0.25"/>
    <row r="145002" customFormat="1" x14ac:dyDescent="0.25"/>
    <row r="145003" customFormat="1" x14ac:dyDescent="0.25"/>
    <row r="145004" customFormat="1" x14ac:dyDescent="0.25"/>
    <row r="145005" customFormat="1" x14ac:dyDescent="0.25"/>
    <row r="145006" customFormat="1" x14ac:dyDescent="0.25"/>
    <row r="145007" customFormat="1" x14ac:dyDescent="0.25"/>
    <row r="145008" customFormat="1" x14ac:dyDescent="0.25"/>
    <row r="145009" customFormat="1" x14ac:dyDescent="0.25"/>
    <row r="145010" customFormat="1" x14ac:dyDescent="0.25"/>
    <row r="145011" customFormat="1" x14ac:dyDescent="0.25"/>
    <row r="145012" customFormat="1" x14ac:dyDescent="0.25"/>
    <row r="145013" customFormat="1" x14ac:dyDescent="0.25"/>
    <row r="145014" customFormat="1" x14ac:dyDescent="0.25"/>
    <row r="145015" customFormat="1" x14ac:dyDescent="0.25"/>
    <row r="145016" customFormat="1" x14ac:dyDescent="0.25"/>
    <row r="145017" customFormat="1" x14ac:dyDescent="0.25"/>
    <row r="145018" customFormat="1" x14ac:dyDescent="0.25"/>
    <row r="145019" customFormat="1" x14ac:dyDescent="0.25"/>
    <row r="145020" customFormat="1" x14ac:dyDescent="0.25"/>
    <row r="145021" customFormat="1" x14ac:dyDescent="0.25"/>
    <row r="145022" customFormat="1" x14ac:dyDescent="0.25"/>
    <row r="145023" customFormat="1" x14ac:dyDescent="0.25"/>
    <row r="145024" customFormat="1" x14ac:dyDescent="0.25"/>
    <row r="145025" customFormat="1" x14ac:dyDescent="0.25"/>
    <row r="145026" customFormat="1" x14ac:dyDescent="0.25"/>
    <row r="145027" customFormat="1" x14ac:dyDescent="0.25"/>
    <row r="145028" customFormat="1" x14ac:dyDescent="0.25"/>
    <row r="145029" customFormat="1" x14ac:dyDescent="0.25"/>
    <row r="145030" customFormat="1" x14ac:dyDescent="0.25"/>
    <row r="145031" customFormat="1" x14ac:dyDescent="0.25"/>
    <row r="145032" customFormat="1" x14ac:dyDescent="0.25"/>
    <row r="145033" customFormat="1" x14ac:dyDescent="0.25"/>
    <row r="145034" customFormat="1" x14ac:dyDescent="0.25"/>
    <row r="145035" customFormat="1" x14ac:dyDescent="0.25"/>
    <row r="145036" customFormat="1" x14ac:dyDescent="0.25"/>
    <row r="145037" customFormat="1" x14ac:dyDescent="0.25"/>
    <row r="145038" customFormat="1" x14ac:dyDescent="0.25"/>
    <row r="145039" customFormat="1" x14ac:dyDescent="0.25"/>
    <row r="145040" customFormat="1" x14ac:dyDescent="0.25"/>
    <row r="145041" customFormat="1" x14ac:dyDescent="0.25"/>
    <row r="145042" customFormat="1" x14ac:dyDescent="0.25"/>
    <row r="145043" customFormat="1" x14ac:dyDescent="0.25"/>
    <row r="145044" customFormat="1" x14ac:dyDescent="0.25"/>
    <row r="145045" customFormat="1" x14ac:dyDescent="0.25"/>
    <row r="145046" customFormat="1" x14ac:dyDescent="0.25"/>
    <row r="145047" customFormat="1" x14ac:dyDescent="0.25"/>
    <row r="145048" customFormat="1" x14ac:dyDescent="0.25"/>
    <row r="145049" customFormat="1" x14ac:dyDescent="0.25"/>
    <row r="145050" customFormat="1" x14ac:dyDescent="0.25"/>
    <row r="145051" customFormat="1" x14ac:dyDescent="0.25"/>
    <row r="145052" customFormat="1" x14ac:dyDescent="0.25"/>
    <row r="145053" customFormat="1" x14ac:dyDescent="0.25"/>
    <row r="145054" customFormat="1" x14ac:dyDescent="0.25"/>
    <row r="145055" customFormat="1" x14ac:dyDescent="0.25"/>
    <row r="145056" customFormat="1" x14ac:dyDescent="0.25"/>
    <row r="145057" customFormat="1" x14ac:dyDescent="0.25"/>
    <row r="145058" customFormat="1" x14ac:dyDescent="0.25"/>
    <row r="145059" customFormat="1" x14ac:dyDescent="0.25"/>
    <row r="145060" customFormat="1" x14ac:dyDescent="0.25"/>
    <row r="145061" customFormat="1" x14ac:dyDescent="0.25"/>
    <row r="145062" customFormat="1" x14ac:dyDescent="0.25"/>
    <row r="145063" customFormat="1" x14ac:dyDescent="0.25"/>
    <row r="145064" customFormat="1" x14ac:dyDescent="0.25"/>
    <row r="145065" customFormat="1" x14ac:dyDescent="0.25"/>
    <row r="145066" customFormat="1" x14ac:dyDescent="0.25"/>
    <row r="145067" customFormat="1" x14ac:dyDescent="0.25"/>
    <row r="145068" customFormat="1" x14ac:dyDescent="0.25"/>
    <row r="145069" customFormat="1" x14ac:dyDescent="0.25"/>
    <row r="145070" customFormat="1" x14ac:dyDescent="0.25"/>
    <row r="145071" customFormat="1" x14ac:dyDescent="0.25"/>
    <row r="145072" customFormat="1" x14ac:dyDescent="0.25"/>
    <row r="145073" customFormat="1" x14ac:dyDescent="0.25"/>
    <row r="145074" customFormat="1" x14ac:dyDescent="0.25"/>
    <row r="145075" customFormat="1" x14ac:dyDescent="0.25"/>
    <row r="145076" customFormat="1" x14ac:dyDescent="0.25"/>
    <row r="145077" customFormat="1" x14ac:dyDescent="0.25"/>
    <row r="145078" customFormat="1" x14ac:dyDescent="0.25"/>
    <row r="145079" customFormat="1" x14ac:dyDescent="0.25"/>
    <row r="145080" customFormat="1" x14ac:dyDescent="0.25"/>
    <row r="145081" customFormat="1" x14ac:dyDescent="0.25"/>
    <row r="145082" customFormat="1" x14ac:dyDescent="0.25"/>
    <row r="145083" customFormat="1" x14ac:dyDescent="0.25"/>
    <row r="145084" customFormat="1" x14ac:dyDescent="0.25"/>
    <row r="145085" customFormat="1" x14ac:dyDescent="0.25"/>
    <row r="145086" customFormat="1" x14ac:dyDescent="0.25"/>
    <row r="145087" customFormat="1" x14ac:dyDescent="0.25"/>
    <row r="145088" customFormat="1" x14ac:dyDescent="0.25"/>
    <row r="145089" customFormat="1" x14ac:dyDescent="0.25"/>
    <row r="145090" customFormat="1" x14ac:dyDescent="0.25"/>
    <row r="145091" customFormat="1" x14ac:dyDescent="0.25"/>
    <row r="145092" customFormat="1" x14ac:dyDescent="0.25"/>
    <row r="145093" customFormat="1" x14ac:dyDescent="0.25"/>
    <row r="145094" customFormat="1" x14ac:dyDescent="0.25"/>
    <row r="145095" customFormat="1" x14ac:dyDescent="0.25"/>
    <row r="145096" customFormat="1" x14ac:dyDescent="0.25"/>
    <row r="145097" customFormat="1" x14ac:dyDescent="0.25"/>
    <row r="145098" customFormat="1" x14ac:dyDescent="0.25"/>
    <row r="145099" customFormat="1" x14ac:dyDescent="0.25"/>
    <row r="145100" customFormat="1" x14ac:dyDescent="0.25"/>
    <row r="145101" customFormat="1" x14ac:dyDescent="0.25"/>
    <row r="145102" customFormat="1" x14ac:dyDescent="0.25"/>
    <row r="145103" customFormat="1" x14ac:dyDescent="0.25"/>
    <row r="145104" customFormat="1" x14ac:dyDescent="0.25"/>
    <row r="145105" customFormat="1" x14ac:dyDescent="0.25"/>
    <row r="145106" customFormat="1" x14ac:dyDescent="0.25"/>
    <row r="145107" customFormat="1" x14ac:dyDescent="0.25"/>
    <row r="145108" customFormat="1" x14ac:dyDescent="0.25"/>
    <row r="145109" customFormat="1" x14ac:dyDescent="0.25"/>
    <row r="145110" customFormat="1" x14ac:dyDescent="0.25"/>
    <row r="145111" customFormat="1" x14ac:dyDescent="0.25"/>
    <row r="145112" customFormat="1" x14ac:dyDescent="0.25"/>
    <row r="145113" customFormat="1" x14ac:dyDescent="0.25"/>
    <row r="145114" customFormat="1" x14ac:dyDescent="0.25"/>
    <row r="145115" customFormat="1" x14ac:dyDescent="0.25"/>
    <row r="145116" customFormat="1" x14ac:dyDescent="0.25"/>
    <row r="145117" customFormat="1" x14ac:dyDescent="0.25"/>
    <row r="145118" customFormat="1" x14ac:dyDescent="0.25"/>
    <row r="145119" customFormat="1" x14ac:dyDescent="0.25"/>
    <row r="145120" customFormat="1" x14ac:dyDescent="0.25"/>
    <row r="145121" customFormat="1" x14ac:dyDescent="0.25"/>
    <row r="145122" customFormat="1" x14ac:dyDescent="0.25"/>
    <row r="145123" customFormat="1" x14ac:dyDescent="0.25"/>
    <row r="145124" customFormat="1" x14ac:dyDescent="0.25"/>
    <row r="145125" customFormat="1" x14ac:dyDescent="0.25"/>
    <row r="145126" customFormat="1" x14ac:dyDescent="0.25"/>
    <row r="145127" customFormat="1" x14ac:dyDescent="0.25"/>
    <row r="145128" customFormat="1" x14ac:dyDescent="0.25"/>
    <row r="145129" customFormat="1" x14ac:dyDescent="0.25"/>
    <row r="145130" customFormat="1" x14ac:dyDescent="0.25"/>
    <row r="145131" customFormat="1" x14ac:dyDescent="0.25"/>
    <row r="145132" customFormat="1" x14ac:dyDescent="0.25"/>
    <row r="145133" customFormat="1" x14ac:dyDescent="0.25"/>
    <row r="145134" customFormat="1" x14ac:dyDescent="0.25"/>
    <row r="145135" customFormat="1" x14ac:dyDescent="0.25"/>
    <row r="145136" customFormat="1" x14ac:dyDescent="0.25"/>
    <row r="145137" customFormat="1" x14ac:dyDescent="0.25"/>
    <row r="145138" customFormat="1" x14ac:dyDescent="0.25"/>
    <row r="145139" customFormat="1" x14ac:dyDescent="0.25"/>
    <row r="145140" customFormat="1" x14ac:dyDescent="0.25"/>
    <row r="145141" customFormat="1" x14ac:dyDescent="0.25"/>
    <row r="145142" customFormat="1" x14ac:dyDescent="0.25"/>
    <row r="145143" customFormat="1" x14ac:dyDescent="0.25"/>
    <row r="145144" customFormat="1" x14ac:dyDescent="0.25"/>
    <row r="145145" customFormat="1" x14ac:dyDescent="0.25"/>
    <row r="145146" customFormat="1" x14ac:dyDescent="0.25"/>
    <row r="145147" customFormat="1" x14ac:dyDescent="0.25"/>
    <row r="145148" customFormat="1" x14ac:dyDescent="0.25"/>
    <row r="145149" customFormat="1" x14ac:dyDescent="0.25"/>
    <row r="145150" customFormat="1" x14ac:dyDescent="0.25"/>
    <row r="145151" customFormat="1" x14ac:dyDescent="0.25"/>
    <row r="145152" customFormat="1" x14ac:dyDescent="0.25"/>
    <row r="145153" customFormat="1" x14ac:dyDescent="0.25"/>
    <row r="145154" customFormat="1" x14ac:dyDescent="0.25"/>
    <row r="145155" customFormat="1" x14ac:dyDescent="0.25"/>
    <row r="145156" customFormat="1" x14ac:dyDescent="0.25"/>
    <row r="145157" customFormat="1" x14ac:dyDescent="0.25"/>
    <row r="145158" customFormat="1" x14ac:dyDescent="0.25"/>
    <row r="145159" customFormat="1" x14ac:dyDescent="0.25"/>
    <row r="145160" customFormat="1" x14ac:dyDescent="0.25"/>
    <row r="145161" customFormat="1" x14ac:dyDescent="0.25"/>
    <row r="145162" customFormat="1" x14ac:dyDescent="0.25"/>
    <row r="145163" customFormat="1" x14ac:dyDescent="0.25"/>
    <row r="145164" customFormat="1" x14ac:dyDescent="0.25"/>
    <row r="145165" customFormat="1" x14ac:dyDescent="0.25"/>
    <row r="145166" customFormat="1" x14ac:dyDescent="0.25"/>
    <row r="145167" customFormat="1" x14ac:dyDescent="0.25"/>
    <row r="145168" customFormat="1" x14ac:dyDescent="0.25"/>
    <row r="145169" customFormat="1" x14ac:dyDescent="0.25"/>
    <row r="145170" customFormat="1" x14ac:dyDescent="0.25"/>
    <row r="145171" customFormat="1" x14ac:dyDescent="0.25"/>
    <row r="145172" customFormat="1" x14ac:dyDescent="0.25"/>
    <row r="145173" customFormat="1" x14ac:dyDescent="0.25"/>
    <row r="145174" customFormat="1" x14ac:dyDescent="0.25"/>
    <row r="145175" customFormat="1" x14ac:dyDescent="0.25"/>
    <row r="145176" customFormat="1" x14ac:dyDescent="0.25"/>
    <row r="145177" customFormat="1" x14ac:dyDescent="0.25"/>
    <row r="145178" customFormat="1" x14ac:dyDescent="0.25"/>
    <row r="145179" customFormat="1" x14ac:dyDescent="0.25"/>
    <row r="145180" customFormat="1" x14ac:dyDescent="0.25"/>
    <row r="145181" customFormat="1" x14ac:dyDescent="0.25"/>
    <row r="145182" customFormat="1" x14ac:dyDescent="0.25"/>
    <row r="145183" customFormat="1" x14ac:dyDescent="0.25"/>
    <row r="145184" customFormat="1" x14ac:dyDescent="0.25"/>
    <row r="145185" customFormat="1" x14ac:dyDescent="0.25"/>
    <row r="145186" customFormat="1" x14ac:dyDescent="0.25"/>
    <row r="145187" customFormat="1" x14ac:dyDescent="0.25"/>
    <row r="145188" customFormat="1" x14ac:dyDescent="0.25"/>
    <row r="145189" customFormat="1" x14ac:dyDescent="0.25"/>
    <row r="145190" customFormat="1" x14ac:dyDescent="0.25"/>
    <row r="145191" customFormat="1" x14ac:dyDescent="0.25"/>
    <row r="145192" customFormat="1" x14ac:dyDescent="0.25"/>
    <row r="145193" customFormat="1" x14ac:dyDescent="0.25"/>
    <row r="145194" customFormat="1" x14ac:dyDescent="0.25"/>
    <row r="145195" customFormat="1" x14ac:dyDescent="0.25"/>
    <row r="145196" customFormat="1" x14ac:dyDescent="0.25"/>
    <row r="145197" customFormat="1" x14ac:dyDescent="0.25"/>
    <row r="145198" customFormat="1" x14ac:dyDescent="0.25"/>
    <row r="145199" customFormat="1" x14ac:dyDescent="0.25"/>
    <row r="145200" customFormat="1" x14ac:dyDescent="0.25"/>
    <row r="145201" customFormat="1" x14ac:dyDescent="0.25"/>
    <row r="145202" customFormat="1" x14ac:dyDescent="0.25"/>
    <row r="145203" customFormat="1" x14ac:dyDescent="0.25"/>
    <row r="145204" customFormat="1" x14ac:dyDescent="0.25"/>
    <row r="145205" customFormat="1" x14ac:dyDescent="0.25"/>
    <row r="145206" customFormat="1" x14ac:dyDescent="0.25"/>
    <row r="145207" customFormat="1" x14ac:dyDescent="0.25"/>
    <row r="145208" customFormat="1" x14ac:dyDescent="0.25"/>
    <row r="145209" customFormat="1" x14ac:dyDescent="0.25"/>
    <row r="145210" customFormat="1" x14ac:dyDescent="0.25"/>
    <row r="145211" customFormat="1" x14ac:dyDescent="0.25"/>
    <row r="145212" customFormat="1" x14ac:dyDescent="0.25"/>
    <row r="145213" customFormat="1" x14ac:dyDescent="0.25"/>
    <row r="145214" customFormat="1" x14ac:dyDescent="0.25"/>
    <row r="145215" customFormat="1" x14ac:dyDescent="0.25"/>
    <row r="145216" customFormat="1" x14ac:dyDescent="0.25"/>
    <row r="145217" customFormat="1" x14ac:dyDescent="0.25"/>
    <row r="145218" customFormat="1" x14ac:dyDescent="0.25"/>
    <row r="145219" customFormat="1" x14ac:dyDescent="0.25"/>
    <row r="145220" customFormat="1" x14ac:dyDescent="0.25"/>
    <row r="145221" customFormat="1" x14ac:dyDescent="0.25"/>
    <row r="145222" customFormat="1" x14ac:dyDescent="0.25"/>
    <row r="145223" customFormat="1" x14ac:dyDescent="0.25"/>
    <row r="145224" customFormat="1" x14ac:dyDescent="0.25"/>
    <row r="145225" customFormat="1" x14ac:dyDescent="0.25"/>
    <row r="145226" customFormat="1" x14ac:dyDescent="0.25"/>
    <row r="145227" customFormat="1" x14ac:dyDescent="0.25"/>
    <row r="145228" customFormat="1" x14ac:dyDescent="0.25"/>
    <row r="145229" customFormat="1" x14ac:dyDescent="0.25"/>
    <row r="145230" customFormat="1" x14ac:dyDescent="0.25"/>
    <row r="145231" customFormat="1" x14ac:dyDescent="0.25"/>
    <row r="145232" customFormat="1" x14ac:dyDescent="0.25"/>
    <row r="145233" customFormat="1" x14ac:dyDescent="0.25"/>
    <row r="145234" customFormat="1" x14ac:dyDescent="0.25"/>
    <row r="145235" customFormat="1" x14ac:dyDescent="0.25"/>
    <row r="145236" customFormat="1" x14ac:dyDescent="0.25"/>
    <row r="145237" customFormat="1" x14ac:dyDescent="0.25"/>
    <row r="145238" customFormat="1" x14ac:dyDescent="0.25"/>
    <row r="145239" customFormat="1" x14ac:dyDescent="0.25"/>
    <row r="145240" customFormat="1" x14ac:dyDescent="0.25"/>
    <row r="145241" customFormat="1" x14ac:dyDescent="0.25"/>
    <row r="145242" customFormat="1" x14ac:dyDescent="0.25"/>
    <row r="145243" customFormat="1" x14ac:dyDescent="0.25"/>
    <row r="145244" customFormat="1" x14ac:dyDescent="0.25"/>
    <row r="145245" customFormat="1" x14ac:dyDescent="0.25"/>
    <row r="145246" customFormat="1" x14ac:dyDescent="0.25"/>
    <row r="145247" customFormat="1" x14ac:dyDescent="0.25"/>
    <row r="145248" customFormat="1" x14ac:dyDescent="0.25"/>
    <row r="145249" customFormat="1" x14ac:dyDescent="0.25"/>
    <row r="145250" customFormat="1" x14ac:dyDescent="0.25"/>
    <row r="145251" customFormat="1" x14ac:dyDescent="0.25"/>
    <row r="145252" customFormat="1" x14ac:dyDescent="0.25"/>
    <row r="145253" customFormat="1" x14ac:dyDescent="0.25"/>
    <row r="145254" customFormat="1" x14ac:dyDescent="0.25"/>
    <row r="145255" customFormat="1" x14ac:dyDescent="0.25"/>
    <row r="145256" customFormat="1" x14ac:dyDescent="0.25"/>
    <row r="145257" customFormat="1" x14ac:dyDescent="0.25"/>
    <row r="145258" customFormat="1" x14ac:dyDescent="0.25"/>
    <row r="145259" customFormat="1" x14ac:dyDescent="0.25"/>
    <row r="145260" customFormat="1" x14ac:dyDescent="0.25"/>
    <row r="145261" customFormat="1" x14ac:dyDescent="0.25"/>
    <row r="145262" customFormat="1" x14ac:dyDescent="0.25"/>
    <row r="145263" customFormat="1" x14ac:dyDescent="0.25"/>
    <row r="145264" customFormat="1" x14ac:dyDescent="0.25"/>
    <row r="145265" customFormat="1" x14ac:dyDescent="0.25"/>
    <row r="145266" customFormat="1" x14ac:dyDescent="0.25"/>
    <row r="145267" customFormat="1" x14ac:dyDescent="0.25"/>
    <row r="145268" customFormat="1" x14ac:dyDescent="0.25"/>
    <row r="145269" customFormat="1" x14ac:dyDescent="0.25"/>
    <row r="145270" customFormat="1" x14ac:dyDescent="0.25"/>
    <row r="145271" customFormat="1" x14ac:dyDescent="0.25"/>
    <row r="145272" customFormat="1" x14ac:dyDescent="0.25"/>
    <row r="145273" customFormat="1" x14ac:dyDescent="0.25"/>
    <row r="145274" customFormat="1" x14ac:dyDescent="0.25"/>
    <row r="145275" customFormat="1" x14ac:dyDescent="0.25"/>
    <row r="145276" customFormat="1" x14ac:dyDescent="0.25"/>
    <row r="145277" customFormat="1" x14ac:dyDescent="0.25"/>
    <row r="145278" customFormat="1" x14ac:dyDescent="0.25"/>
    <row r="145279" customFormat="1" x14ac:dyDescent="0.25"/>
    <row r="145280" customFormat="1" x14ac:dyDescent="0.25"/>
    <row r="145281" customFormat="1" x14ac:dyDescent="0.25"/>
    <row r="145282" customFormat="1" x14ac:dyDescent="0.25"/>
    <row r="145283" customFormat="1" x14ac:dyDescent="0.25"/>
    <row r="145284" customFormat="1" x14ac:dyDescent="0.25"/>
    <row r="145285" customFormat="1" x14ac:dyDescent="0.25"/>
    <row r="145286" customFormat="1" x14ac:dyDescent="0.25"/>
    <row r="145287" customFormat="1" x14ac:dyDescent="0.25"/>
    <row r="145288" customFormat="1" x14ac:dyDescent="0.25"/>
    <row r="145289" customFormat="1" x14ac:dyDescent="0.25"/>
    <row r="145290" customFormat="1" x14ac:dyDescent="0.25"/>
    <row r="145291" customFormat="1" x14ac:dyDescent="0.25"/>
    <row r="145292" customFormat="1" x14ac:dyDescent="0.25"/>
    <row r="145293" customFormat="1" x14ac:dyDescent="0.25"/>
    <row r="145294" customFormat="1" x14ac:dyDescent="0.25"/>
    <row r="145295" customFormat="1" x14ac:dyDescent="0.25"/>
    <row r="145296" customFormat="1" x14ac:dyDescent="0.25"/>
    <row r="145297" customFormat="1" x14ac:dyDescent="0.25"/>
    <row r="145298" customFormat="1" x14ac:dyDescent="0.25"/>
    <row r="145299" customFormat="1" x14ac:dyDescent="0.25"/>
    <row r="145300" customFormat="1" x14ac:dyDescent="0.25"/>
    <row r="145301" customFormat="1" x14ac:dyDescent="0.25"/>
    <row r="145302" customFormat="1" x14ac:dyDescent="0.25"/>
    <row r="145303" customFormat="1" x14ac:dyDescent="0.25"/>
    <row r="145304" customFormat="1" x14ac:dyDescent="0.25"/>
    <row r="145305" customFormat="1" x14ac:dyDescent="0.25"/>
    <row r="145306" customFormat="1" x14ac:dyDescent="0.25"/>
    <row r="145307" customFormat="1" x14ac:dyDescent="0.25"/>
    <row r="145308" customFormat="1" x14ac:dyDescent="0.25"/>
    <row r="145309" customFormat="1" x14ac:dyDescent="0.25"/>
    <row r="145310" customFormat="1" x14ac:dyDescent="0.25"/>
    <row r="145311" customFormat="1" x14ac:dyDescent="0.25"/>
    <row r="145312" customFormat="1" x14ac:dyDescent="0.25"/>
    <row r="145313" customFormat="1" x14ac:dyDescent="0.25"/>
    <row r="145314" customFormat="1" x14ac:dyDescent="0.25"/>
    <row r="145315" customFormat="1" x14ac:dyDescent="0.25"/>
    <row r="145316" customFormat="1" x14ac:dyDescent="0.25"/>
    <row r="145317" customFormat="1" x14ac:dyDescent="0.25"/>
    <row r="145318" customFormat="1" x14ac:dyDescent="0.25"/>
    <row r="145319" customFormat="1" x14ac:dyDescent="0.25"/>
    <row r="145320" customFormat="1" x14ac:dyDescent="0.25"/>
    <row r="145321" customFormat="1" x14ac:dyDescent="0.25"/>
    <row r="145322" customFormat="1" x14ac:dyDescent="0.25"/>
    <row r="145323" customFormat="1" x14ac:dyDescent="0.25"/>
    <row r="145324" customFormat="1" x14ac:dyDescent="0.25"/>
    <row r="145325" customFormat="1" x14ac:dyDescent="0.25"/>
    <row r="145326" customFormat="1" x14ac:dyDescent="0.25"/>
    <row r="145327" customFormat="1" x14ac:dyDescent="0.25"/>
    <row r="145328" customFormat="1" x14ac:dyDescent="0.25"/>
    <row r="145329" customFormat="1" x14ac:dyDescent="0.25"/>
    <row r="145330" customFormat="1" x14ac:dyDescent="0.25"/>
    <row r="145331" customFormat="1" x14ac:dyDescent="0.25"/>
    <row r="145332" customFormat="1" x14ac:dyDescent="0.25"/>
    <row r="145333" customFormat="1" x14ac:dyDescent="0.25"/>
    <row r="145334" customFormat="1" x14ac:dyDescent="0.25"/>
    <row r="145335" customFormat="1" x14ac:dyDescent="0.25"/>
    <row r="145336" customFormat="1" x14ac:dyDescent="0.25"/>
    <row r="145337" customFormat="1" x14ac:dyDescent="0.25"/>
    <row r="145338" customFormat="1" x14ac:dyDescent="0.25"/>
    <row r="145339" customFormat="1" x14ac:dyDescent="0.25"/>
    <row r="145340" customFormat="1" x14ac:dyDescent="0.25"/>
    <row r="145341" customFormat="1" x14ac:dyDescent="0.25"/>
    <row r="145342" customFormat="1" x14ac:dyDescent="0.25"/>
    <row r="145343" customFormat="1" x14ac:dyDescent="0.25"/>
    <row r="145344" customFormat="1" x14ac:dyDescent="0.25"/>
    <row r="145345" customFormat="1" x14ac:dyDescent="0.25"/>
    <row r="145346" customFormat="1" x14ac:dyDescent="0.25"/>
    <row r="145347" customFormat="1" x14ac:dyDescent="0.25"/>
    <row r="145348" customFormat="1" x14ac:dyDescent="0.25"/>
    <row r="145349" customFormat="1" x14ac:dyDescent="0.25"/>
    <row r="145350" customFormat="1" x14ac:dyDescent="0.25"/>
    <row r="145351" customFormat="1" x14ac:dyDescent="0.25"/>
    <row r="145352" customFormat="1" x14ac:dyDescent="0.25"/>
    <row r="145353" customFormat="1" x14ac:dyDescent="0.25"/>
    <row r="145354" customFormat="1" x14ac:dyDescent="0.25"/>
    <row r="145355" customFormat="1" x14ac:dyDescent="0.25"/>
    <row r="145356" customFormat="1" x14ac:dyDescent="0.25"/>
    <row r="145357" customFormat="1" x14ac:dyDescent="0.25"/>
    <row r="145358" customFormat="1" x14ac:dyDescent="0.25"/>
    <row r="145359" customFormat="1" x14ac:dyDescent="0.25"/>
    <row r="145360" customFormat="1" x14ac:dyDescent="0.25"/>
    <row r="145361" customFormat="1" x14ac:dyDescent="0.25"/>
    <row r="145362" customFormat="1" x14ac:dyDescent="0.25"/>
    <row r="145363" customFormat="1" x14ac:dyDescent="0.25"/>
    <row r="145364" customFormat="1" x14ac:dyDescent="0.25"/>
    <row r="145365" customFormat="1" x14ac:dyDescent="0.25"/>
    <row r="145366" customFormat="1" x14ac:dyDescent="0.25"/>
    <row r="145367" customFormat="1" x14ac:dyDescent="0.25"/>
    <row r="145368" customFormat="1" x14ac:dyDescent="0.25"/>
    <row r="145369" customFormat="1" x14ac:dyDescent="0.25"/>
    <row r="145370" customFormat="1" x14ac:dyDescent="0.25"/>
    <row r="145371" customFormat="1" x14ac:dyDescent="0.25"/>
    <row r="145372" customFormat="1" x14ac:dyDescent="0.25"/>
    <row r="145373" customFormat="1" x14ac:dyDescent="0.25"/>
    <row r="145374" customFormat="1" x14ac:dyDescent="0.25"/>
    <row r="145375" customFormat="1" x14ac:dyDescent="0.25"/>
    <row r="145376" customFormat="1" x14ac:dyDescent="0.25"/>
    <row r="145377" customFormat="1" x14ac:dyDescent="0.25"/>
    <row r="145378" customFormat="1" x14ac:dyDescent="0.25"/>
    <row r="145379" customFormat="1" x14ac:dyDescent="0.25"/>
    <row r="145380" customFormat="1" x14ac:dyDescent="0.25"/>
    <row r="145381" customFormat="1" x14ac:dyDescent="0.25"/>
    <row r="145382" customFormat="1" x14ac:dyDescent="0.25"/>
    <row r="145383" customFormat="1" x14ac:dyDescent="0.25"/>
    <row r="145384" customFormat="1" x14ac:dyDescent="0.25"/>
    <row r="145385" customFormat="1" x14ac:dyDescent="0.25"/>
    <row r="145386" customFormat="1" x14ac:dyDescent="0.25"/>
    <row r="145387" customFormat="1" x14ac:dyDescent="0.25"/>
    <row r="145388" customFormat="1" x14ac:dyDescent="0.25"/>
    <row r="145389" customFormat="1" x14ac:dyDescent="0.25"/>
    <row r="145390" customFormat="1" x14ac:dyDescent="0.25"/>
    <row r="145391" customFormat="1" x14ac:dyDescent="0.25"/>
    <row r="145392" customFormat="1" x14ac:dyDescent="0.25"/>
    <row r="145393" customFormat="1" x14ac:dyDescent="0.25"/>
    <row r="145394" customFormat="1" x14ac:dyDescent="0.25"/>
    <row r="145395" customFormat="1" x14ac:dyDescent="0.25"/>
    <row r="145396" customFormat="1" x14ac:dyDescent="0.25"/>
    <row r="145397" customFormat="1" x14ac:dyDescent="0.25"/>
    <row r="145398" customFormat="1" x14ac:dyDescent="0.25"/>
    <row r="145399" customFormat="1" x14ac:dyDescent="0.25"/>
    <row r="145400" customFormat="1" x14ac:dyDescent="0.25"/>
    <row r="145401" customFormat="1" x14ac:dyDescent="0.25"/>
    <row r="145402" customFormat="1" x14ac:dyDescent="0.25"/>
    <row r="145403" customFormat="1" x14ac:dyDescent="0.25"/>
    <row r="145404" customFormat="1" x14ac:dyDescent="0.25"/>
    <row r="145405" customFormat="1" x14ac:dyDescent="0.25"/>
    <row r="145406" customFormat="1" x14ac:dyDescent="0.25"/>
    <row r="145407" customFormat="1" x14ac:dyDescent="0.25"/>
    <row r="145408" customFormat="1" x14ac:dyDescent="0.25"/>
    <row r="145409" customFormat="1" x14ac:dyDescent="0.25"/>
    <row r="145410" customFormat="1" x14ac:dyDescent="0.25"/>
    <row r="145411" customFormat="1" x14ac:dyDescent="0.25"/>
    <row r="145412" customFormat="1" x14ac:dyDescent="0.25"/>
    <row r="145413" customFormat="1" x14ac:dyDescent="0.25"/>
    <row r="145414" customFormat="1" x14ac:dyDescent="0.25"/>
    <row r="145415" customFormat="1" x14ac:dyDescent="0.25"/>
    <row r="145416" customFormat="1" x14ac:dyDescent="0.25"/>
    <row r="145417" customFormat="1" x14ac:dyDescent="0.25"/>
    <row r="145418" customFormat="1" x14ac:dyDescent="0.25"/>
    <row r="145419" customFormat="1" x14ac:dyDescent="0.25"/>
    <row r="145420" customFormat="1" x14ac:dyDescent="0.25"/>
    <row r="145421" customFormat="1" x14ac:dyDescent="0.25"/>
    <row r="145422" customFormat="1" x14ac:dyDescent="0.25"/>
    <row r="145423" customFormat="1" x14ac:dyDescent="0.25"/>
    <row r="145424" customFormat="1" x14ac:dyDescent="0.25"/>
    <row r="145425" customFormat="1" x14ac:dyDescent="0.25"/>
    <row r="145426" customFormat="1" x14ac:dyDescent="0.25"/>
    <row r="145427" customFormat="1" x14ac:dyDescent="0.25"/>
    <row r="145428" customFormat="1" x14ac:dyDescent="0.25"/>
    <row r="145429" customFormat="1" x14ac:dyDescent="0.25"/>
    <row r="145430" customFormat="1" x14ac:dyDescent="0.25"/>
    <row r="145431" customFormat="1" x14ac:dyDescent="0.25"/>
    <row r="145432" customFormat="1" x14ac:dyDescent="0.25"/>
    <row r="145433" customFormat="1" x14ac:dyDescent="0.25"/>
    <row r="145434" customFormat="1" x14ac:dyDescent="0.25"/>
    <row r="145435" customFormat="1" x14ac:dyDescent="0.25"/>
    <row r="145436" customFormat="1" x14ac:dyDescent="0.25"/>
    <row r="145437" customFormat="1" x14ac:dyDescent="0.25"/>
    <row r="145438" customFormat="1" x14ac:dyDescent="0.25"/>
    <row r="145439" customFormat="1" x14ac:dyDescent="0.25"/>
    <row r="145440" customFormat="1" x14ac:dyDescent="0.25"/>
    <row r="145441" customFormat="1" x14ac:dyDescent="0.25"/>
    <row r="145442" customFormat="1" x14ac:dyDescent="0.25"/>
    <row r="145443" customFormat="1" x14ac:dyDescent="0.25"/>
    <row r="145444" customFormat="1" x14ac:dyDescent="0.25"/>
    <row r="145445" customFormat="1" x14ac:dyDescent="0.25"/>
    <row r="145446" customFormat="1" x14ac:dyDescent="0.25"/>
    <row r="145447" customFormat="1" x14ac:dyDescent="0.25"/>
    <row r="145448" customFormat="1" x14ac:dyDescent="0.25"/>
    <row r="145449" customFormat="1" x14ac:dyDescent="0.25"/>
    <row r="145450" customFormat="1" x14ac:dyDescent="0.25"/>
    <row r="145451" customFormat="1" x14ac:dyDescent="0.25"/>
    <row r="145452" customFormat="1" x14ac:dyDescent="0.25"/>
    <row r="145453" customFormat="1" x14ac:dyDescent="0.25"/>
    <row r="145454" customFormat="1" x14ac:dyDescent="0.25"/>
    <row r="145455" customFormat="1" x14ac:dyDescent="0.25"/>
    <row r="145456" customFormat="1" x14ac:dyDescent="0.25"/>
    <row r="145457" customFormat="1" x14ac:dyDescent="0.25"/>
    <row r="145458" customFormat="1" x14ac:dyDescent="0.25"/>
    <row r="145459" customFormat="1" x14ac:dyDescent="0.25"/>
    <row r="145460" customFormat="1" x14ac:dyDescent="0.25"/>
    <row r="145461" customFormat="1" x14ac:dyDescent="0.25"/>
    <row r="145462" customFormat="1" x14ac:dyDescent="0.25"/>
    <row r="145463" customFormat="1" x14ac:dyDescent="0.25"/>
    <row r="145464" customFormat="1" x14ac:dyDescent="0.25"/>
    <row r="145465" customFormat="1" x14ac:dyDescent="0.25"/>
    <row r="145466" customFormat="1" x14ac:dyDescent="0.25"/>
    <row r="145467" customFormat="1" x14ac:dyDescent="0.25"/>
    <row r="145468" customFormat="1" x14ac:dyDescent="0.25"/>
    <row r="145469" customFormat="1" x14ac:dyDescent="0.25"/>
    <row r="145470" customFormat="1" x14ac:dyDescent="0.25"/>
    <row r="145471" customFormat="1" x14ac:dyDescent="0.25"/>
    <row r="145472" customFormat="1" x14ac:dyDescent="0.25"/>
    <row r="145473" customFormat="1" x14ac:dyDescent="0.25"/>
    <row r="145474" customFormat="1" x14ac:dyDescent="0.25"/>
    <row r="145475" customFormat="1" x14ac:dyDescent="0.25"/>
    <row r="145476" customFormat="1" x14ac:dyDescent="0.25"/>
    <row r="145477" customFormat="1" x14ac:dyDescent="0.25"/>
    <row r="145478" customFormat="1" x14ac:dyDescent="0.25"/>
    <row r="145479" customFormat="1" x14ac:dyDescent="0.25"/>
    <row r="145480" customFormat="1" x14ac:dyDescent="0.25"/>
    <row r="145481" customFormat="1" x14ac:dyDescent="0.25"/>
    <row r="145482" customFormat="1" x14ac:dyDescent="0.25"/>
    <row r="145483" customFormat="1" x14ac:dyDescent="0.25"/>
    <row r="145484" customFormat="1" x14ac:dyDescent="0.25"/>
    <row r="145485" customFormat="1" x14ac:dyDescent="0.25"/>
    <row r="145486" customFormat="1" x14ac:dyDescent="0.25"/>
    <row r="145487" customFormat="1" x14ac:dyDescent="0.25"/>
    <row r="145488" customFormat="1" x14ac:dyDescent="0.25"/>
    <row r="145489" customFormat="1" x14ac:dyDescent="0.25"/>
    <row r="145490" customFormat="1" x14ac:dyDescent="0.25"/>
    <row r="145491" customFormat="1" x14ac:dyDescent="0.25"/>
    <row r="145492" customFormat="1" x14ac:dyDescent="0.25"/>
    <row r="145493" customFormat="1" x14ac:dyDescent="0.25"/>
    <row r="145494" customFormat="1" x14ac:dyDescent="0.25"/>
    <row r="145495" customFormat="1" x14ac:dyDescent="0.25"/>
    <row r="145496" customFormat="1" x14ac:dyDescent="0.25"/>
    <row r="145497" customFormat="1" x14ac:dyDescent="0.25"/>
    <row r="145498" customFormat="1" x14ac:dyDescent="0.25"/>
    <row r="145499" customFormat="1" x14ac:dyDescent="0.25"/>
    <row r="145500" customFormat="1" x14ac:dyDescent="0.25"/>
    <row r="145501" customFormat="1" x14ac:dyDescent="0.25"/>
    <row r="145502" customFormat="1" x14ac:dyDescent="0.25"/>
    <row r="145503" customFormat="1" x14ac:dyDescent="0.25"/>
    <row r="145504" customFormat="1" x14ac:dyDescent="0.25"/>
    <row r="145505" customFormat="1" x14ac:dyDescent="0.25"/>
    <row r="145506" customFormat="1" x14ac:dyDescent="0.25"/>
    <row r="145507" customFormat="1" x14ac:dyDescent="0.25"/>
    <row r="145508" customFormat="1" x14ac:dyDescent="0.25"/>
    <row r="145509" customFormat="1" x14ac:dyDescent="0.25"/>
    <row r="145510" customFormat="1" x14ac:dyDescent="0.25"/>
    <row r="145511" customFormat="1" x14ac:dyDescent="0.25"/>
    <row r="145512" customFormat="1" x14ac:dyDescent="0.25"/>
    <row r="145513" customFormat="1" x14ac:dyDescent="0.25"/>
    <row r="145514" customFormat="1" x14ac:dyDescent="0.25"/>
    <row r="145515" customFormat="1" x14ac:dyDescent="0.25"/>
    <row r="145516" customFormat="1" x14ac:dyDescent="0.25"/>
    <row r="145517" customFormat="1" x14ac:dyDescent="0.25"/>
    <row r="145518" customFormat="1" x14ac:dyDescent="0.25"/>
    <row r="145519" customFormat="1" x14ac:dyDescent="0.25"/>
    <row r="145520" customFormat="1" x14ac:dyDescent="0.25"/>
    <row r="145521" customFormat="1" x14ac:dyDescent="0.25"/>
    <row r="145522" customFormat="1" x14ac:dyDescent="0.25"/>
    <row r="145523" customFormat="1" x14ac:dyDescent="0.25"/>
    <row r="145524" customFormat="1" x14ac:dyDescent="0.25"/>
    <row r="145525" customFormat="1" x14ac:dyDescent="0.25"/>
    <row r="145526" customFormat="1" x14ac:dyDescent="0.25"/>
    <row r="145527" customFormat="1" x14ac:dyDescent="0.25"/>
    <row r="145528" customFormat="1" x14ac:dyDescent="0.25"/>
    <row r="145529" customFormat="1" x14ac:dyDescent="0.25"/>
    <row r="145530" customFormat="1" x14ac:dyDescent="0.25"/>
    <row r="145531" customFormat="1" x14ac:dyDescent="0.25"/>
    <row r="145532" customFormat="1" x14ac:dyDescent="0.25"/>
    <row r="145533" customFormat="1" x14ac:dyDescent="0.25"/>
    <row r="145534" customFormat="1" x14ac:dyDescent="0.25"/>
    <row r="145535" customFormat="1" x14ac:dyDescent="0.25"/>
    <row r="145536" customFormat="1" x14ac:dyDescent="0.25"/>
    <row r="145537" customFormat="1" x14ac:dyDescent="0.25"/>
    <row r="145538" customFormat="1" x14ac:dyDescent="0.25"/>
    <row r="145539" customFormat="1" x14ac:dyDescent="0.25"/>
    <row r="145540" customFormat="1" x14ac:dyDescent="0.25"/>
    <row r="145541" customFormat="1" x14ac:dyDescent="0.25"/>
    <row r="145542" customFormat="1" x14ac:dyDescent="0.25"/>
    <row r="145543" customFormat="1" x14ac:dyDescent="0.25"/>
    <row r="145544" customFormat="1" x14ac:dyDescent="0.25"/>
    <row r="145545" customFormat="1" x14ac:dyDescent="0.25"/>
    <row r="145546" customFormat="1" x14ac:dyDescent="0.25"/>
    <row r="145547" customFormat="1" x14ac:dyDescent="0.25"/>
    <row r="145548" customFormat="1" x14ac:dyDescent="0.25"/>
    <row r="145549" customFormat="1" x14ac:dyDescent="0.25"/>
    <row r="145550" customFormat="1" x14ac:dyDescent="0.25"/>
    <row r="145551" customFormat="1" x14ac:dyDescent="0.25"/>
    <row r="145552" customFormat="1" x14ac:dyDescent="0.25"/>
    <row r="145553" customFormat="1" x14ac:dyDescent="0.25"/>
    <row r="145554" customFormat="1" x14ac:dyDescent="0.25"/>
    <row r="145555" customFormat="1" x14ac:dyDescent="0.25"/>
    <row r="145556" customFormat="1" x14ac:dyDescent="0.25"/>
    <row r="145557" customFormat="1" x14ac:dyDescent="0.25"/>
    <row r="145558" customFormat="1" x14ac:dyDescent="0.25"/>
    <row r="145559" customFormat="1" x14ac:dyDescent="0.25"/>
    <row r="145560" customFormat="1" x14ac:dyDescent="0.25"/>
    <row r="145561" customFormat="1" x14ac:dyDescent="0.25"/>
    <row r="145562" customFormat="1" x14ac:dyDescent="0.25"/>
    <row r="145563" customFormat="1" x14ac:dyDescent="0.25"/>
    <row r="145564" customFormat="1" x14ac:dyDescent="0.25"/>
    <row r="145565" customFormat="1" x14ac:dyDescent="0.25"/>
    <row r="145566" customFormat="1" x14ac:dyDescent="0.25"/>
    <row r="145567" customFormat="1" x14ac:dyDescent="0.25"/>
    <row r="145568" customFormat="1" x14ac:dyDescent="0.25"/>
    <row r="145569" customFormat="1" x14ac:dyDescent="0.25"/>
    <row r="145570" customFormat="1" x14ac:dyDescent="0.25"/>
    <row r="145571" customFormat="1" x14ac:dyDescent="0.25"/>
    <row r="145572" customFormat="1" x14ac:dyDescent="0.25"/>
    <row r="145573" customFormat="1" x14ac:dyDescent="0.25"/>
    <row r="145574" customFormat="1" x14ac:dyDescent="0.25"/>
    <row r="145575" customFormat="1" x14ac:dyDescent="0.25"/>
    <row r="145576" customFormat="1" x14ac:dyDescent="0.25"/>
    <row r="145577" customFormat="1" x14ac:dyDescent="0.25"/>
    <row r="145578" customFormat="1" x14ac:dyDescent="0.25"/>
    <row r="145579" customFormat="1" x14ac:dyDescent="0.25"/>
    <row r="145580" customFormat="1" x14ac:dyDescent="0.25"/>
    <row r="145581" customFormat="1" x14ac:dyDescent="0.25"/>
    <row r="145582" customFormat="1" x14ac:dyDescent="0.25"/>
    <row r="145583" customFormat="1" x14ac:dyDescent="0.25"/>
    <row r="145584" customFormat="1" x14ac:dyDescent="0.25"/>
    <row r="145585" customFormat="1" x14ac:dyDescent="0.25"/>
    <row r="145586" customFormat="1" x14ac:dyDescent="0.25"/>
    <row r="145587" customFormat="1" x14ac:dyDescent="0.25"/>
    <row r="145588" customFormat="1" x14ac:dyDescent="0.25"/>
    <row r="145589" customFormat="1" x14ac:dyDescent="0.25"/>
    <row r="145590" customFormat="1" x14ac:dyDescent="0.25"/>
    <row r="145591" customFormat="1" x14ac:dyDescent="0.25"/>
    <row r="145592" customFormat="1" x14ac:dyDescent="0.25"/>
    <row r="145593" customFormat="1" x14ac:dyDescent="0.25"/>
    <row r="145594" customFormat="1" x14ac:dyDescent="0.25"/>
    <row r="145595" customFormat="1" x14ac:dyDescent="0.25"/>
    <row r="145596" customFormat="1" x14ac:dyDescent="0.25"/>
    <row r="145597" customFormat="1" x14ac:dyDescent="0.25"/>
    <row r="145598" customFormat="1" x14ac:dyDescent="0.25"/>
    <row r="145599" customFormat="1" x14ac:dyDescent="0.25"/>
    <row r="145600" customFormat="1" x14ac:dyDescent="0.25"/>
    <row r="145601" customFormat="1" x14ac:dyDescent="0.25"/>
    <row r="145602" customFormat="1" x14ac:dyDescent="0.25"/>
    <row r="145603" customFormat="1" x14ac:dyDescent="0.25"/>
    <row r="145604" customFormat="1" x14ac:dyDescent="0.25"/>
    <row r="145605" customFormat="1" x14ac:dyDescent="0.25"/>
    <row r="145606" customFormat="1" x14ac:dyDescent="0.25"/>
    <row r="145607" customFormat="1" x14ac:dyDescent="0.25"/>
    <row r="145608" customFormat="1" x14ac:dyDescent="0.25"/>
    <row r="145609" customFormat="1" x14ac:dyDescent="0.25"/>
    <row r="145610" customFormat="1" x14ac:dyDescent="0.25"/>
    <row r="145611" customFormat="1" x14ac:dyDescent="0.25"/>
    <row r="145612" customFormat="1" x14ac:dyDescent="0.25"/>
    <row r="145613" customFormat="1" x14ac:dyDescent="0.25"/>
    <row r="145614" customFormat="1" x14ac:dyDescent="0.25"/>
    <row r="145615" customFormat="1" x14ac:dyDescent="0.25"/>
    <row r="145616" customFormat="1" x14ac:dyDescent="0.25"/>
    <row r="145617" customFormat="1" x14ac:dyDescent="0.25"/>
    <row r="145618" customFormat="1" x14ac:dyDescent="0.25"/>
    <row r="145619" customFormat="1" x14ac:dyDescent="0.25"/>
    <row r="145620" customFormat="1" x14ac:dyDescent="0.25"/>
    <row r="145621" customFormat="1" x14ac:dyDescent="0.25"/>
    <row r="145622" customFormat="1" x14ac:dyDescent="0.25"/>
    <row r="145623" customFormat="1" x14ac:dyDescent="0.25"/>
    <row r="145624" customFormat="1" x14ac:dyDescent="0.25"/>
    <row r="145625" customFormat="1" x14ac:dyDescent="0.25"/>
    <row r="145626" customFormat="1" x14ac:dyDescent="0.25"/>
    <row r="145627" customFormat="1" x14ac:dyDescent="0.25"/>
    <row r="145628" customFormat="1" x14ac:dyDescent="0.25"/>
    <row r="145629" customFormat="1" x14ac:dyDescent="0.25"/>
    <row r="145630" customFormat="1" x14ac:dyDescent="0.25"/>
    <row r="145631" customFormat="1" x14ac:dyDescent="0.25"/>
    <row r="145632" customFormat="1" x14ac:dyDescent="0.25"/>
    <row r="145633" customFormat="1" x14ac:dyDescent="0.25"/>
    <row r="145634" customFormat="1" x14ac:dyDescent="0.25"/>
    <row r="145635" customFormat="1" x14ac:dyDescent="0.25"/>
    <row r="145636" customFormat="1" x14ac:dyDescent="0.25"/>
    <row r="145637" customFormat="1" x14ac:dyDescent="0.25"/>
    <row r="145638" customFormat="1" x14ac:dyDescent="0.25"/>
    <row r="145639" customFormat="1" x14ac:dyDescent="0.25"/>
    <row r="145640" customFormat="1" x14ac:dyDescent="0.25"/>
    <row r="145641" customFormat="1" x14ac:dyDescent="0.25"/>
    <row r="145642" customFormat="1" x14ac:dyDescent="0.25"/>
    <row r="145643" customFormat="1" x14ac:dyDescent="0.25"/>
    <row r="145644" customFormat="1" x14ac:dyDescent="0.25"/>
    <row r="145645" customFormat="1" x14ac:dyDescent="0.25"/>
    <row r="145646" customFormat="1" x14ac:dyDescent="0.25"/>
    <row r="145647" customFormat="1" x14ac:dyDescent="0.25"/>
    <row r="145648" customFormat="1" x14ac:dyDescent="0.25"/>
    <row r="145649" customFormat="1" x14ac:dyDescent="0.25"/>
    <row r="145650" customFormat="1" x14ac:dyDescent="0.25"/>
    <row r="145651" customFormat="1" x14ac:dyDescent="0.25"/>
    <row r="145652" customFormat="1" x14ac:dyDescent="0.25"/>
    <row r="145653" customFormat="1" x14ac:dyDescent="0.25"/>
    <row r="145654" customFormat="1" x14ac:dyDescent="0.25"/>
    <row r="145655" customFormat="1" x14ac:dyDescent="0.25"/>
    <row r="145656" customFormat="1" x14ac:dyDescent="0.25"/>
    <row r="145657" customFormat="1" x14ac:dyDescent="0.25"/>
    <row r="145658" customFormat="1" x14ac:dyDescent="0.25"/>
    <row r="145659" customFormat="1" x14ac:dyDescent="0.25"/>
    <row r="145660" customFormat="1" x14ac:dyDescent="0.25"/>
    <row r="145661" customFormat="1" x14ac:dyDescent="0.25"/>
    <row r="145662" customFormat="1" x14ac:dyDescent="0.25"/>
    <row r="145663" customFormat="1" x14ac:dyDescent="0.25"/>
    <row r="145664" customFormat="1" x14ac:dyDescent="0.25"/>
    <row r="145665" customFormat="1" x14ac:dyDescent="0.25"/>
    <row r="145666" customFormat="1" x14ac:dyDescent="0.25"/>
    <row r="145667" customFormat="1" x14ac:dyDescent="0.25"/>
    <row r="145668" customFormat="1" x14ac:dyDescent="0.25"/>
    <row r="145669" customFormat="1" x14ac:dyDescent="0.25"/>
    <row r="145670" customFormat="1" x14ac:dyDescent="0.25"/>
    <row r="145671" customFormat="1" x14ac:dyDescent="0.25"/>
    <row r="145672" customFormat="1" x14ac:dyDescent="0.25"/>
    <row r="145673" customFormat="1" x14ac:dyDescent="0.25"/>
    <row r="145674" customFormat="1" x14ac:dyDescent="0.25"/>
    <row r="145675" customFormat="1" x14ac:dyDescent="0.25"/>
    <row r="145676" customFormat="1" x14ac:dyDescent="0.25"/>
    <row r="145677" customFormat="1" x14ac:dyDescent="0.25"/>
    <row r="145678" customFormat="1" x14ac:dyDescent="0.25"/>
    <row r="145679" customFormat="1" x14ac:dyDescent="0.25"/>
    <row r="145680" customFormat="1" x14ac:dyDescent="0.25"/>
    <row r="145681" customFormat="1" x14ac:dyDescent="0.25"/>
    <row r="145682" customFormat="1" x14ac:dyDescent="0.25"/>
    <row r="145683" customFormat="1" x14ac:dyDescent="0.25"/>
    <row r="145684" customFormat="1" x14ac:dyDescent="0.25"/>
    <row r="145685" customFormat="1" x14ac:dyDescent="0.25"/>
    <row r="145686" customFormat="1" x14ac:dyDescent="0.25"/>
    <row r="145687" customFormat="1" x14ac:dyDescent="0.25"/>
    <row r="145688" customFormat="1" x14ac:dyDescent="0.25"/>
    <row r="145689" customFormat="1" x14ac:dyDescent="0.25"/>
    <row r="145690" customFormat="1" x14ac:dyDescent="0.25"/>
    <row r="145691" customFormat="1" x14ac:dyDescent="0.25"/>
    <row r="145692" customFormat="1" x14ac:dyDescent="0.25"/>
    <row r="145693" customFormat="1" x14ac:dyDescent="0.25"/>
    <row r="145694" customFormat="1" x14ac:dyDescent="0.25"/>
    <row r="145695" customFormat="1" x14ac:dyDescent="0.25"/>
    <row r="145696" customFormat="1" x14ac:dyDescent="0.25"/>
    <row r="145697" customFormat="1" x14ac:dyDescent="0.25"/>
    <row r="145698" customFormat="1" x14ac:dyDescent="0.25"/>
    <row r="145699" customFormat="1" x14ac:dyDescent="0.25"/>
    <row r="145700" customFormat="1" x14ac:dyDescent="0.25"/>
    <row r="145701" customFormat="1" x14ac:dyDescent="0.25"/>
    <row r="145702" customFormat="1" x14ac:dyDescent="0.25"/>
    <row r="145703" customFormat="1" x14ac:dyDescent="0.25"/>
    <row r="145704" customFormat="1" x14ac:dyDescent="0.25"/>
    <row r="145705" customFormat="1" x14ac:dyDescent="0.25"/>
    <row r="145706" customFormat="1" x14ac:dyDescent="0.25"/>
    <row r="145707" customFormat="1" x14ac:dyDescent="0.25"/>
    <row r="145708" customFormat="1" x14ac:dyDescent="0.25"/>
    <row r="145709" customFormat="1" x14ac:dyDescent="0.25"/>
    <row r="145710" customFormat="1" x14ac:dyDescent="0.25"/>
    <row r="145711" customFormat="1" x14ac:dyDescent="0.25"/>
    <row r="145712" customFormat="1" x14ac:dyDescent="0.25"/>
    <row r="145713" customFormat="1" x14ac:dyDescent="0.25"/>
    <row r="145714" customFormat="1" x14ac:dyDescent="0.25"/>
    <row r="145715" customFormat="1" x14ac:dyDescent="0.25"/>
    <row r="145716" customFormat="1" x14ac:dyDescent="0.25"/>
    <row r="145717" customFormat="1" x14ac:dyDescent="0.25"/>
    <row r="145718" customFormat="1" x14ac:dyDescent="0.25"/>
    <row r="145719" customFormat="1" x14ac:dyDescent="0.25"/>
    <row r="145720" customFormat="1" x14ac:dyDescent="0.25"/>
    <row r="145721" customFormat="1" x14ac:dyDescent="0.25"/>
    <row r="145722" customFormat="1" x14ac:dyDescent="0.25"/>
    <row r="145723" customFormat="1" x14ac:dyDescent="0.25"/>
    <row r="145724" customFormat="1" x14ac:dyDescent="0.25"/>
    <row r="145725" customFormat="1" x14ac:dyDescent="0.25"/>
    <row r="145726" customFormat="1" x14ac:dyDescent="0.25"/>
    <row r="145727" customFormat="1" x14ac:dyDescent="0.25"/>
    <row r="145728" customFormat="1" x14ac:dyDescent="0.25"/>
    <row r="145729" customFormat="1" x14ac:dyDescent="0.25"/>
    <row r="145730" customFormat="1" x14ac:dyDescent="0.25"/>
    <row r="145731" customFormat="1" x14ac:dyDescent="0.25"/>
    <row r="145732" customFormat="1" x14ac:dyDescent="0.25"/>
    <row r="145733" customFormat="1" x14ac:dyDescent="0.25"/>
    <row r="145734" customFormat="1" x14ac:dyDescent="0.25"/>
    <row r="145735" customFormat="1" x14ac:dyDescent="0.25"/>
    <row r="145736" customFormat="1" x14ac:dyDescent="0.25"/>
    <row r="145737" customFormat="1" x14ac:dyDescent="0.25"/>
    <row r="145738" customFormat="1" x14ac:dyDescent="0.25"/>
    <row r="145739" customFormat="1" x14ac:dyDescent="0.25"/>
    <row r="145740" customFormat="1" x14ac:dyDescent="0.25"/>
    <row r="145741" customFormat="1" x14ac:dyDescent="0.25"/>
    <row r="145742" customFormat="1" x14ac:dyDescent="0.25"/>
    <row r="145743" customFormat="1" x14ac:dyDescent="0.25"/>
    <row r="145744" customFormat="1" x14ac:dyDescent="0.25"/>
    <row r="145745" customFormat="1" x14ac:dyDescent="0.25"/>
    <row r="145746" customFormat="1" x14ac:dyDescent="0.25"/>
    <row r="145747" customFormat="1" x14ac:dyDescent="0.25"/>
    <row r="145748" customFormat="1" x14ac:dyDescent="0.25"/>
    <row r="145749" customFormat="1" x14ac:dyDescent="0.25"/>
    <row r="145750" customFormat="1" x14ac:dyDescent="0.25"/>
    <row r="145751" customFormat="1" x14ac:dyDescent="0.25"/>
    <row r="145752" customFormat="1" x14ac:dyDescent="0.25"/>
    <row r="145753" customFormat="1" x14ac:dyDescent="0.25"/>
    <row r="145754" customFormat="1" x14ac:dyDescent="0.25"/>
    <row r="145755" customFormat="1" x14ac:dyDescent="0.25"/>
    <row r="145756" customFormat="1" x14ac:dyDescent="0.25"/>
    <row r="145757" customFormat="1" x14ac:dyDescent="0.25"/>
    <row r="145758" customFormat="1" x14ac:dyDescent="0.25"/>
    <row r="145759" customFormat="1" x14ac:dyDescent="0.25"/>
    <row r="145760" customFormat="1" x14ac:dyDescent="0.25"/>
    <row r="145761" customFormat="1" x14ac:dyDescent="0.25"/>
    <row r="145762" customFormat="1" x14ac:dyDescent="0.25"/>
    <row r="145763" customFormat="1" x14ac:dyDescent="0.25"/>
    <row r="145764" customFormat="1" x14ac:dyDescent="0.25"/>
    <row r="145765" customFormat="1" x14ac:dyDescent="0.25"/>
    <row r="145766" customFormat="1" x14ac:dyDescent="0.25"/>
    <row r="145767" customFormat="1" x14ac:dyDescent="0.25"/>
    <row r="145768" customFormat="1" x14ac:dyDescent="0.25"/>
    <row r="145769" customFormat="1" x14ac:dyDescent="0.25"/>
    <row r="145770" customFormat="1" x14ac:dyDescent="0.25"/>
    <row r="145771" customFormat="1" x14ac:dyDescent="0.25"/>
    <row r="145772" customFormat="1" x14ac:dyDescent="0.25"/>
    <row r="145773" customFormat="1" x14ac:dyDescent="0.25"/>
    <row r="145774" customFormat="1" x14ac:dyDescent="0.25"/>
    <row r="145775" customFormat="1" x14ac:dyDescent="0.25"/>
    <row r="145776" customFormat="1" x14ac:dyDescent="0.25"/>
    <row r="145777" customFormat="1" x14ac:dyDescent="0.25"/>
    <row r="145778" customFormat="1" x14ac:dyDescent="0.25"/>
    <row r="145779" customFormat="1" x14ac:dyDescent="0.25"/>
    <row r="145780" customFormat="1" x14ac:dyDescent="0.25"/>
    <row r="145781" customFormat="1" x14ac:dyDescent="0.25"/>
    <row r="145782" customFormat="1" x14ac:dyDescent="0.25"/>
    <row r="145783" customFormat="1" x14ac:dyDescent="0.25"/>
    <row r="145784" customFormat="1" x14ac:dyDescent="0.25"/>
    <row r="145785" customFormat="1" x14ac:dyDescent="0.25"/>
    <row r="145786" customFormat="1" x14ac:dyDescent="0.25"/>
    <row r="145787" customFormat="1" x14ac:dyDescent="0.25"/>
    <row r="145788" customFormat="1" x14ac:dyDescent="0.25"/>
    <row r="145789" customFormat="1" x14ac:dyDescent="0.25"/>
    <row r="145790" customFormat="1" x14ac:dyDescent="0.25"/>
    <row r="145791" customFormat="1" x14ac:dyDescent="0.25"/>
    <row r="145792" customFormat="1" x14ac:dyDescent="0.25"/>
    <row r="145793" customFormat="1" x14ac:dyDescent="0.25"/>
    <row r="145794" customFormat="1" x14ac:dyDescent="0.25"/>
    <row r="145795" customFormat="1" x14ac:dyDescent="0.25"/>
    <row r="145796" customFormat="1" x14ac:dyDescent="0.25"/>
    <row r="145797" customFormat="1" x14ac:dyDescent="0.25"/>
    <row r="145798" customFormat="1" x14ac:dyDescent="0.25"/>
    <row r="145799" customFormat="1" x14ac:dyDescent="0.25"/>
    <row r="145800" customFormat="1" x14ac:dyDescent="0.25"/>
    <row r="145801" customFormat="1" x14ac:dyDescent="0.25"/>
    <row r="145802" customFormat="1" x14ac:dyDescent="0.25"/>
    <row r="145803" customFormat="1" x14ac:dyDescent="0.25"/>
    <row r="145804" customFormat="1" x14ac:dyDescent="0.25"/>
    <row r="145805" customFormat="1" x14ac:dyDescent="0.25"/>
    <row r="145806" customFormat="1" x14ac:dyDescent="0.25"/>
    <row r="145807" customFormat="1" x14ac:dyDescent="0.25"/>
    <row r="145808" customFormat="1" x14ac:dyDescent="0.25"/>
    <row r="145809" customFormat="1" x14ac:dyDescent="0.25"/>
    <row r="145810" customFormat="1" x14ac:dyDescent="0.25"/>
    <row r="145811" customFormat="1" x14ac:dyDescent="0.25"/>
    <row r="145812" customFormat="1" x14ac:dyDescent="0.25"/>
    <row r="145813" customFormat="1" x14ac:dyDescent="0.25"/>
    <row r="145814" customFormat="1" x14ac:dyDescent="0.25"/>
    <row r="145815" customFormat="1" x14ac:dyDescent="0.25"/>
    <row r="145816" customFormat="1" x14ac:dyDescent="0.25"/>
    <row r="145817" customFormat="1" x14ac:dyDescent="0.25"/>
    <row r="145818" customFormat="1" x14ac:dyDescent="0.25"/>
    <row r="145819" customFormat="1" x14ac:dyDescent="0.25"/>
    <row r="145820" customFormat="1" x14ac:dyDescent="0.25"/>
    <row r="145821" customFormat="1" x14ac:dyDescent="0.25"/>
    <row r="145822" customFormat="1" x14ac:dyDescent="0.25"/>
    <row r="145823" customFormat="1" x14ac:dyDescent="0.25"/>
    <row r="145824" customFormat="1" x14ac:dyDescent="0.25"/>
    <row r="145825" customFormat="1" x14ac:dyDescent="0.25"/>
    <row r="145826" customFormat="1" x14ac:dyDescent="0.25"/>
    <row r="145827" customFormat="1" x14ac:dyDescent="0.25"/>
    <row r="145828" customFormat="1" x14ac:dyDescent="0.25"/>
    <row r="145829" customFormat="1" x14ac:dyDescent="0.25"/>
    <row r="145830" customFormat="1" x14ac:dyDescent="0.25"/>
    <row r="145831" customFormat="1" x14ac:dyDescent="0.25"/>
    <row r="145832" customFormat="1" x14ac:dyDescent="0.25"/>
    <row r="145833" customFormat="1" x14ac:dyDescent="0.25"/>
    <row r="145834" customFormat="1" x14ac:dyDescent="0.25"/>
    <row r="145835" customFormat="1" x14ac:dyDescent="0.25"/>
    <row r="145836" customFormat="1" x14ac:dyDescent="0.25"/>
    <row r="145837" customFormat="1" x14ac:dyDescent="0.25"/>
    <row r="145838" customFormat="1" x14ac:dyDescent="0.25"/>
    <row r="145839" customFormat="1" x14ac:dyDescent="0.25"/>
    <row r="145840" customFormat="1" x14ac:dyDescent="0.25"/>
    <row r="145841" customFormat="1" x14ac:dyDescent="0.25"/>
    <row r="145842" customFormat="1" x14ac:dyDescent="0.25"/>
    <row r="145843" customFormat="1" x14ac:dyDescent="0.25"/>
    <row r="145844" customFormat="1" x14ac:dyDescent="0.25"/>
    <row r="145845" customFormat="1" x14ac:dyDescent="0.25"/>
    <row r="145846" customFormat="1" x14ac:dyDescent="0.25"/>
    <row r="145847" customFormat="1" x14ac:dyDescent="0.25"/>
    <row r="145848" customFormat="1" x14ac:dyDescent="0.25"/>
    <row r="145849" customFormat="1" x14ac:dyDescent="0.25"/>
    <row r="145850" customFormat="1" x14ac:dyDescent="0.25"/>
    <row r="145851" customFormat="1" x14ac:dyDescent="0.25"/>
    <row r="145852" customFormat="1" x14ac:dyDescent="0.25"/>
    <row r="145853" customFormat="1" x14ac:dyDescent="0.25"/>
    <row r="145854" customFormat="1" x14ac:dyDescent="0.25"/>
    <row r="145855" customFormat="1" x14ac:dyDescent="0.25"/>
    <row r="145856" customFormat="1" x14ac:dyDescent="0.25"/>
    <row r="145857" customFormat="1" x14ac:dyDescent="0.25"/>
    <row r="145858" customFormat="1" x14ac:dyDescent="0.25"/>
    <row r="145859" customFormat="1" x14ac:dyDescent="0.25"/>
    <row r="145860" customFormat="1" x14ac:dyDescent="0.25"/>
    <row r="145861" customFormat="1" x14ac:dyDescent="0.25"/>
    <row r="145862" customFormat="1" x14ac:dyDescent="0.25"/>
    <row r="145863" customFormat="1" x14ac:dyDescent="0.25"/>
    <row r="145864" customFormat="1" x14ac:dyDescent="0.25"/>
    <row r="145865" customFormat="1" x14ac:dyDescent="0.25"/>
    <row r="145866" customFormat="1" x14ac:dyDescent="0.25"/>
    <row r="145867" customFormat="1" x14ac:dyDescent="0.25"/>
    <row r="145868" customFormat="1" x14ac:dyDescent="0.25"/>
    <row r="145869" customFormat="1" x14ac:dyDescent="0.25"/>
    <row r="145870" customFormat="1" x14ac:dyDescent="0.25"/>
    <row r="145871" customFormat="1" x14ac:dyDescent="0.25"/>
    <row r="145872" customFormat="1" x14ac:dyDescent="0.25"/>
    <row r="145873" customFormat="1" x14ac:dyDescent="0.25"/>
    <row r="145874" customFormat="1" x14ac:dyDescent="0.25"/>
    <row r="145875" customFormat="1" x14ac:dyDescent="0.25"/>
    <row r="145876" customFormat="1" x14ac:dyDescent="0.25"/>
    <row r="145877" customFormat="1" x14ac:dyDescent="0.25"/>
    <row r="145878" customFormat="1" x14ac:dyDescent="0.25"/>
    <row r="145879" customFormat="1" x14ac:dyDescent="0.25"/>
    <row r="145880" customFormat="1" x14ac:dyDescent="0.25"/>
    <row r="145881" customFormat="1" x14ac:dyDescent="0.25"/>
    <row r="145882" customFormat="1" x14ac:dyDescent="0.25"/>
    <row r="145883" customFormat="1" x14ac:dyDescent="0.25"/>
    <row r="145884" customFormat="1" x14ac:dyDescent="0.25"/>
    <row r="145885" customFormat="1" x14ac:dyDescent="0.25"/>
    <row r="145886" customFormat="1" x14ac:dyDescent="0.25"/>
    <row r="145887" customFormat="1" x14ac:dyDescent="0.25"/>
    <row r="145888" customFormat="1" x14ac:dyDescent="0.25"/>
    <row r="145889" customFormat="1" x14ac:dyDescent="0.25"/>
    <row r="145890" customFormat="1" x14ac:dyDescent="0.25"/>
    <row r="145891" customFormat="1" x14ac:dyDescent="0.25"/>
    <row r="145892" customFormat="1" x14ac:dyDescent="0.25"/>
    <row r="145893" customFormat="1" x14ac:dyDescent="0.25"/>
    <row r="145894" customFormat="1" x14ac:dyDescent="0.25"/>
    <row r="145895" customFormat="1" x14ac:dyDescent="0.25"/>
    <row r="145896" customFormat="1" x14ac:dyDescent="0.25"/>
    <row r="145897" customFormat="1" x14ac:dyDescent="0.25"/>
    <row r="145898" customFormat="1" x14ac:dyDescent="0.25"/>
    <row r="145899" customFormat="1" x14ac:dyDescent="0.25"/>
    <row r="145900" customFormat="1" x14ac:dyDescent="0.25"/>
    <row r="145901" customFormat="1" x14ac:dyDescent="0.25"/>
    <row r="145902" customFormat="1" x14ac:dyDescent="0.25"/>
    <row r="145903" customFormat="1" x14ac:dyDescent="0.25"/>
    <row r="145904" customFormat="1" x14ac:dyDescent="0.25"/>
    <row r="145905" customFormat="1" x14ac:dyDescent="0.25"/>
    <row r="145906" customFormat="1" x14ac:dyDescent="0.25"/>
    <row r="145907" customFormat="1" x14ac:dyDescent="0.25"/>
    <row r="145908" customFormat="1" x14ac:dyDescent="0.25"/>
    <row r="145909" customFormat="1" x14ac:dyDescent="0.25"/>
    <row r="145910" customFormat="1" x14ac:dyDescent="0.25"/>
    <row r="145911" customFormat="1" x14ac:dyDescent="0.25"/>
    <row r="145912" customFormat="1" x14ac:dyDescent="0.25"/>
    <row r="145913" customFormat="1" x14ac:dyDescent="0.25"/>
    <row r="145914" customFormat="1" x14ac:dyDescent="0.25"/>
    <row r="145915" customFormat="1" x14ac:dyDescent="0.25"/>
    <row r="145916" customFormat="1" x14ac:dyDescent="0.25"/>
    <row r="145917" customFormat="1" x14ac:dyDescent="0.25"/>
    <row r="145918" customFormat="1" x14ac:dyDescent="0.25"/>
    <row r="145919" customFormat="1" x14ac:dyDescent="0.25"/>
    <row r="145920" customFormat="1" x14ac:dyDescent="0.25"/>
    <row r="145921" customFormat="1" x14ac:dyDescent="0.25"/>
    <row r="145922" customFormat="1" x14ac:dyDescent="0.25"/>
    <row r="145923" customFormat="1" x14ac:dyDescent="0.25"/>
    <row r="145924" customFormat="1" x14ac:dyDescent="0.25"/>
    <row r="145925" customFormat="1" x14ac:dyDescent="0.25"/>
    <row r="145926" customFormat="1" x14ac:dyDescent="0.25"/>
    <row r="145927" customFormat="1" x14ac:dyDescent="0.25"/>
    <row r="145928" customFormat="1" x14ac:dyDescent="0.25"/>
    <row r="145929" customFormat="1" x14ac:dyDescent="0.25"/>
    <row r="145930" customFormat="1" x14ac:dyDescent="0.25"/>
    <row r="145931" customFormat="1" x14ac:dyDescent="0.25"/>
    <row r="145932" customFormat="1" x14ac:dyDescent="0.25"/>
    <row r="145933" customFormat="1" x14ac:dyDescent="0.25"/>
    <row r="145934" customFormat="1" x14ac:dyDescent="0.25"/>
    <row r="145935" customFormat="1" x14ac:dyDescent="0.25"/>
    <row r="145936" customFormat="1" x14ac:dyDescent="0.25"/>
    <row r="145937" customFormat="1" x14ac:dyDescent="0.25"/>
    <row r="145938" customFormat="1" x14ac:dyDescent="0.25"/>
    <row r="145939" customFormat="1" x14ac:dyDescent="0.25"/>
    <row r="145940" customFormat="1" x14ac:dyDescent="0.25"/>
    <row r="145941" customFormat="1" x14ac:dyDescent="0.25"/>
    <row r="145942" customFormat="1" x14ac:dyDescent="0.25"/>
    <row r="145943" customFormat="1" x14ac:dyDescent="0.25"/>
    <row r="145944" customFormat="1" x14ac:dyDescent="0.25"/>
    <row r="145945" customFormat="1" x14ac:dyDescent="0.25"/>
    <row r="145946" customFormat="1" x14ac:dyDescent="0.25"/>
    <row r="145947" customFormat="1" x14ac:dyDescent="0.25"/>
    <row r="145948" customFormat="1" x14ac:dyDescent="0.25"/>
    <row r="145949" customFormat="1" x14ac:dyDescent="0.25"/>
    <row r="145950" customFormat="1" x14ac:dyDescent="0.25"/>
    <row r="145951" customFormat="1" x14ac:dyDescent="0.25"/>
    <row r="145952" customFormat="1" x14ac:dyDescent="0.25"/>
    <row r="145953" customFormat="1" x14ac:dyDescent="0.25"/>
    <row r="145954" customFormat="1" x14ac:dyDescent="0.25"/>
    <row r="145955" customFormat="1" x14ac:dyDescent="0.25"/>
    <row r="145956" customFormat="1" x14ac:dyDescent="0.25"/>
    <row r="145957" customFormat="1" x14ac:dyDescent="0.25"/>
    <row r="145958" customFormat="1" x14ac:dyDescent="0.25"/>
    <row r="145959" customFormat="1" x14ac:dyDescent="0.25"/>
    <row r="145960" customFormat="1" x14ac:dyDescent="0.25"/>
    <row r="145961" customFormat="1" x14ac:dyDescent="0.25"/>
    <row r="145962" customFormat="1" x14ac:dyDescent="0.25"/>
    <row r="145963" customFormat="1" x14ac:dyDescent="0.25"/>
    <row r="145964" customFormat="1" x14ac:dyDescent="0.25"/>
    <row r="145965" customFormat="1" x14ac:dyDescent="0.25"/>
    <row r="145966" customFormat="1" x14ac:dyDescent="0.25"/>
    <row r="145967" customFormat="1" x14ac:dyDescent="0.25"/>
    <row r="145968" customFormat="1" x14ac:dyDescent="0.25"/>
    <row r="145969" customFormat="1" x14ac:dyDescent="0.25"/>
    <row r="145970" customFormat="1" x14ac:dyDescent="0.25"/>
    <row r="145971" customFormat="1" x14ac:dyDescent="0.25"/>
    <row r="145972" customFormat="1" x14ac:dyDescent="0.25"/>
    <row r="145973" customFormat="1" x14ac:dyDescent="0.25"/>
    <row r="145974" customFormat="1" x14ac:dyDescent="0.25"/>
    <row r="145975" customFormat="1" x14ac:dyDescent="0.25"/>
    <row r="145976" customFormat="1" x14ac:dyDescent="0.25"/>
    <row r="145977" customFormat="1" x14ac:dyDescent="0.25"/>
    <row r="145978" customFormat="1" x14ac:dyDescent="0.25"/>
    <row r="145979" customFormat="1" x14ac:dyDescent="0.25"/>
    <row r="145980" customFormat="1" x14ac:dyDescent="0.25"/>
    <row r="145981" customFormat="1" x14ac:dyDescent="0.25"/>
    <row r="145982" customFormat="1" x14ac:dyDescent="0.25"/>
    <row r="145983" customFormat="1" x14ac:dyDescent="0.25"/>
    <row r="145984" customFormat="1" x14ac:dyDescent="0.25"/>
    <row r="145985" customFormat="1" x14ac:dyDescent="0.25"/>
    <row r="145986" customFormat="1" x14ac:dyDescent="0.25"/>
    <row r="145987" customFormat="1" x14ac:dyDescent="0.25"/>
    <row r="145988" customFormat="1" x14ac:dyDescent="0.25"/>
    <row r="145989" customFormat="1" x14ac:dyDescent="0.25"/>
    <row r="145990" customFormat="1" x14ac:dyDescent="0.25"/>
    <row r="145991" customFormat="1" x14ac:dyDescent="0.25"/>
    <row r="145992" customFormat="1" x14ac:dyDescent="0.25"/>
    <row r="145993" customFormat="1" x14ac:dyDescent="0.25"/>
    <row r="145994" customFormat="1" x14ac:dyDescent="0.25"/>
    <row r="145995" customFormat="1" x14ac:dyDescent="0.25"/>
    <row r="145996" customFormat="1" x14ac:dyDescent="0.25"/>
    <row r="145997" customFormat="1" x14ac:dyDescent="0.25"/>
    <row r="145998" customFormat="1" x14ac:dyDescent="0.25"/>
    <row r="145999" customFormat="1" x14ac:dyDescent="0.25"/>
    <row r="146000" customFormat="1" x14ac:dyDescent="0.25"/>
    <row r="146001" customFormat="1" x14ac:dyDescent="0.25"/>
    <row r="146002" customFormat="1" x14ac:dyDescent="0.25"/>
    <row r="146003" customFormat="1" x14ac:dyDescent="0.25"/>
    <row r="146004" customFormat="1" x14ac:dyDescent="0.25"/>
    <row r="146005" customFormat="1" x14ac:dyDescent="0.25"/>
    <row r="146006" customFormat="1" x14ac:dyDescent="0.25"/>
    <row r="146007" customFormat="1" x14ac:dyDescent="0.25"/>
    <row r="146008" customFormat="1" x14ac:dyDescent="0.25"/>
    <row r="146009" customFormat="1" x14ac:dyDescent="0.25"/>
    <row r="146010" customFormat="1" x14ac:dyDescent="0.25"/>
    <row r="146011" customFormat="1" x14ac:dyDescent="0.25"/>
    <row r="146012" customFormat="1" x14ac:dyDescent="0.25"/>
    <row r="146013" customFormat="1" x14ac:dyDescent="0.25"/>
    <row r="146014" customFormat="1" x14ac:dyDescent="0.25"/>
    <row r="146015" customFormat="1" x14ac:dyDescent="0.25"/>
    <row r="146016" customFormat="1" x14ac:dyDescent="0.25"/>
    <row r="146017" customFormat="1" x14ac:dyDescent="0.25"/>
    <row r="146018" customFormat="1" x14ac:dyDescent="0.25"/>
    <row r="146019" customFormat="1" x14ac:dyDescent="0.25"/>
    <row r="146020" customFormat="1" x14ac:dyDescent="0.25"/>
    <row r="146021" customFormat="1" x14ac:dyDescent="0.25"/>
    <row r="146022" customFormat="1" x14ac:dyDescent="0.25"/>
    <row r="146023" customFormat="1" x14ac:dyDescent="0.25"/>
    <row r="146024" customFormat="1" x14ac:dyDescent="0.25"/>
    <row r="146025" customFormat="1" x14ac:dyDescent="0.25"/>
    <row r="146026" customFormat="1" x14ac:dyDescent="0.25"/>
    <row r="146027" customFormat="1" x14ac:dyDescent="0.25"/>
    <row r="146028" customFormat="1" x14ac:dyDescent="0.25"/>
    <row r="146029" customFormat="1" x14ac:dyDescent="0.25"/>
    <row r="146030" customFormat="1" x14ac:dyDescent="0.25"/>
    <row r="146031" customFormat="1" x14ac:dyDescent="0.25"/>
    <row r="146032" customFormat="1" x14ac:dyDescent="0.25"/>
    <row r="146033" customFormat="1" x14ac:dyDescent="0.25"/>
    <row r="146034" customFormat="1" x14ac:dyDescent="0.25"/>
    <row r="146035" customFormat="1" x14ac:dyDescent="0.25"/>
    <row r="146036" customFormat="1" x14ac:dyDescent="0.25"/>
    <row r="146037" customFormat="1" x14ac:dyDescent="0.25"/>
    <row r="146038" customFormat="1" x14ac:dyDescent="0.25"/>
    <row r="146039" customFormat="1" x14ac:dyDescent="0.25"/>
    <row r="146040" customFormat="1" x14ac:dyDescent="0.25"/>
    <row r="146041" customFormat="1" x14ac:dyDescent="0.25"/>
    <row r="146042" customFormat="1" x14ac:dyDescent="0.25"/>
    <row r="146043" customFormat="1" x14ac:dyDescent="0.25"/>
    <row r="146044" customFormat="1" x14ac:dyDescent="0.25"/>
    <row r="146045" customFormat="1" x14ac:dyDescent="0.25"/>
    <row r="146046" customFormat="1" x14ac:dyDescent="0.25"/>
    <row r="146047" customFormat="1" x14ac:dyDescent="0.25"/>
    <row r="146048" customFormat="1" x14ac:dyDescent="0.25"/>
    <row r="146049" customFormat="1" x14ac:dyDescent="0.25"/>
    <row r="146050" customFormat="1" x14ac:dyDescent="0.25"/>
    <row r="146051" customFormat="1" x14ac:dyDescent="0.25"/>
    <row r="146052" customFormat="1" x14ac:dyDescent="0.25"/>
    <row r="146053" customFormat="1" x14ac:dyDescent="0.25"/>
    <row r="146054" customFormat="1" x14ac:dyDescent="0.25"/>
    <row r="146055" customFormat="1" x14ac:dyDescent="0.25"/>
    <row r="146056" customFormat="1" x14ac:dyDescent="0.25"/>
    <row r="146057" customFormat="1" x14ac:dyDescent="0.25"/>
    <row r="146058" customFormat="1" x14ac:dyDescent="0.25"/>
    <row r="146059" customFormat="1" x14ac:dyDescent="0.25"/>
    <row r="146060" customFormat="1" x14ac:dyDescent="0.25"/>
    <row r="146061" customFormat="1" x14ac:dyDescent="0.25"/>
    <row r="146062" customFormat="1" x14ac:dyDescent="0.25"/>
    <row r="146063" customFormat="1" x14ac:dyDescent="0.25"/>
    <row r="146064" customFormat="1" x14ac:dyDescent="0.25"/>
    <row r="146065" customFormat="1" x14ac:dyDescent="0.25"/>
    <row r="146066" customFormat="1" x14ac:dyDescent="0.25"/>
    <row r="146067" customFormat="1" x14ac:dyDescent="0.25"/>
    <row r="146068" customFormat="1" x14ac:dyDescent="0.25"/>
    <row r="146069" customFormat="1" x14ac:dyDescent="0.25"/>
    <row r="146070" customFormat="1" x14ac:dyDescent="0.25"/>
    <row r="146071" customFormat="1" x14ac:dyDescent="0.25"/>
    <row r="146072" customFormat="1" x14ac:dyDescent="0.25"/>
    <row r="146073" customFormat="1" x14ac:dyDescent="0.25"/>
    <row r="146074" customFormat="1" x14ac:dyDescent="0.25"/>
    <row r="146075" customFormat="1" x14ac:dyDescent="0.25"/>
    <row r="146076" customFormat="1" x14ac:dyDescent="0.25"/>
    <row r="146077" customFormat="1" x14ac:dyDescent="0.25"/>
    <row r="146078" customFormat="1" x14ac:dyDescent="0.25"/>
    <row r="146079" customFormat="1" x14ac:dyDescent="0.25"/>
    <row r="146080" customFormat="1" x14ac:dyDescent="0.25"/>
    <row r="146081" customFormat="1" x14ac:dyDescent="0.25"/>
    <row r="146082" customFormat="1" x14ac:dyDescent="0.25"/>
    <row r="146083" customFormat="1" x14ac:dyDescent="0.25"/>
    <row r="146084" customFormat="1" x14ac:dyDescent="0.25"/>
    <row r="146085" customFormat="1" x14ac:dyDescent="0.25"/>
    <row r="146086" customFormat="1" x14ac:dyDescent="0.25"/>
    <row r="146087" customFormat="1" x14ac:dyDescent="0.25"/>
    <row r="146088" customFormat="1" x14ac:dyDescent="0.25"/>
    <row r="146089" customFormat="1" x14ac:dyDescent="0.25"/>
    <row r="146090" customFormat="1" x14ac:dyDescent="0.25"/>
    <row r="146091" customFormat="1" x14ac:dyDescent="0.25"/>
    <row r="146092" customFormat="1" x14ac:dyDescent="0.25"/>
    <row r="146093" customFormat="1" x14ac:dyDescent="0.25"/>
    <row r="146094" customFormat="1" x14ac:dyDescent="0.25"/>
    <row r="146095" customFormat="1" x14ac:dyDescent="0.25"/>
    <row r="146096" customFormat="1" x14ac:dyDescent="0.25"/>
    <row r="146097" customFormat="1" x14ac:dyDescent="0.25"/>
    <row r="146098" customFormat="1" x14ac:dyDescent="0.25"/>
    <row r="146099" customFormat="1" x14ac:dyDescent="0.25"/>
    <row r="146100" customFormat="1" x14ac:dyDescent="0.25"/>
    <row r="146101" customFormat="1" x14ac:dyDescent="0.25"/>
    <row r="146102" customFormat="1" x14ac:dyDescent="0.25"/>
    <row r="146103" customFormat="1" x14ac:dyDescent="0.25"/>
    <row r="146104" customFormat="1" x14ac:dyDescent="0.25"/>
    <row r="146105" customFormat="1" x14ac:dyDescent="0.25"/>
    <row r="146106" customFormat="1" x14ac:dyDescent="0.25"/>
    <row r="146107" customFormat="1" x14ac:dyDescent="0.25"/>
    <row r="146108" customFormat="1" x14ac:dyDescent="0.25"/>
    <row r="146109" customFormat="1" x14ac:dyDescent="0.25"/>
    <row r="146110" customFormat="1" x14ac:dyDescent="0.25"/>
    <row r="146111" customFormat="1" x14ac:dyDescent="0.25"/>
    <row r="146112" customFormat="1" x14ac:dyDescent="0.25"/>
    <row r="146113" customFormat="1" x14ac:dyDescent="0.25"/>
    <row r="146114" customFormat="1" x14ac:dyDescent="0.25"/>
    <row r="146115" customFormat="1" x14ac:dyDescent="0.25"/>
    <row r="146116" customFormat="1" x14ac:dyDescent="0.25"/>
    <row r="146117" customFormat="1" x14ac:dyDescent="0.25"/>
    <row r="146118" customFormat="1" x14ac:dyDescent="0.25"/>
    <row r="146119" customFormat="1" x14ac:dyDescent="0.25"/>
    <row r="146120" customFormat="1" x14ac:dyDescent="0.25"/>
    <row r="146121" customFormat="1" x14ac:dyDescent="0.25"/>
    <row r="146122" customFormat="1" x14ac:dyDescent="0.25"/>
    <row r="146123" customFormat="1" x14ac:dyDescent="0.25"/>
    <row r="146124" customFormat="1" x14ac:dyDescent="0.25"/>
    <row r="146125" customFormat="1" x14ac:dyDescent="0.25"/>
    <row r="146126" customFormat="1" x14ac:dyDescent="0.25"/>
    <row r="146127" customFormat="1" x14ac:dyDescent="0.25"/>
    <row r="146128" customFormat="1" x14ac:dyDescent="0.25"/>
    <row r="146129" customFormat="1" x14ac:dyDescent="0.25"/>
    <row r="146130" customFormat="1" x14ac:dyDescent="0.25"/>
    <row r="146131" customFormat="1" x14ac:dyDescent="0.25"/>
    <row r="146132" customFormat="1" x14ac:dyDescent="0.25"/>
    <row r="146133" customFormat="1" x14ac:dyDescent="0.25"/>
    <row r="146134" customFormat="1" x14ac:dyDescent="0.25"/>
    <row r="146135" customFormat="1" x14ac:dyDescent="0.25"/>
    <row r="146136" customFormat="1" x14ac:dyDescent="0.25"/>
    <row r="146137" customFormat="1" x14ac:dyDescent="0.25"/>
    <row r="146138" customFormat="1" x14ac:dyDescent="0.25"/>
    <row r="146139" customFormat="1" x14ac:dyDescent="0.25"/>
    <row r="146140" customFormat="1" x14ac:dyDescent="0.25"/>
    <row r="146141" customFormat="1" x14ac:dyDescent="0.25"/>
    <row r="146142" customFormat="1" x14ac:dyDescent="0.25"/>
    <row r="146143" customFormat="1" x14ac:dyDescent="0.25"/>
    <row r="146144" customFormat="1" x14ac:dyDescent="0.25"/>
    <row r="146145" customFormat="1" x14ac:dyDescent="0.25"/>
    <row r="146146" customFormat="1" x14ac:dyDescent="0.25"/>
    <row r="146147" customFormat="1" x14ac:dyDescent="0.25"/>
    <row r="146148" customFormat="1" x14ac:dyDescent="0.25"/>
    <row r="146149" customFormat="1" x14ac:dyDescent="0.25"/>
    <row r="146150" customFormat="1" x14ac:dyDescent="0.25"/>
    <row r="146151" customFormat="1" x14ac:dyDescent="0.25"/>
    <row r="146152" customFormat="1" x14ac:dyDescent="0.25"/>
    <row r="146153" customFormat="1" x14ac:dyDescent="0.25"/>
    <row r="146154" customFormat="1" x14ac:dyDescent="0.25"/>
    <row r="146155" customFormat="1" x14ac:dyDescent="0.25"/>
    <row r="146156" customFormat="1" x14ac:dyDescent="0.25"/>
    <row r="146157" customFormat="1" x14ac:dyDescent="0.25"/>
    <row r="146158" customFormat="1" x14ac:dyDescent="0.25"/>
    <row r="146159" customFormat="1" x14ac:dyDescent="0.25"/>
    <row r="146160" customFormat="1" x14ac:dyDescent="0.25"/>
    <row r="146161" customFormat="1" x14ac:dyDescent="0.25"/>
    <row r="146162" customFormat="1" x14ac:dyDescent="0.25"/>
    <row r="146163" customFormat="1" x14ac:dyDescent="0.25"/>
    <row r="146164" customFormat="1" x14ac:dyDescent="0.25"/>
    <row r="146165" customFormat="1" x14ac:dyDescent="0.25"/>
    <row r="146166" customFormat="1" x14ac:dyDescent="0.25"/>
    <row r="146167" customFormat="1" x14ac:dyDescent="0.25"/>
    <row r="146168" customFormat="1" x14ac:dyDescent="0.25"/>
    <row r="146169" customFormat="1" x14ac:dyDescent="0.25"/>
    <row r="146170" customFormat="1" x14ac:dyDescent="0.25"/>
    <row r="146171" customFormat="1" x14ac:dyDescent="0.25"/>
    <row r="146172" customFormat="1" x14ac:dyDescent="0.25"/>
    <row r="146173" customFormat="1" x14ac:dyDescent="0.25"/>
    <row r="146174" customFormat="1" x14ac:dyDescent="0.25"/>
    <row r="146175" customFormat="1" x14ac:dyDescent="0.25"/>
    <row r="146176" customFormat="1" x14ac:dyDescent="0.25"/>
    <row r="146177" customFormat="1" x14ac:dyDescent="0.25"/>
    <row r="146178" customFormat="1" x14ac:dyDescent="0.25"/>
    <row r="146179" customFormat="1" x14ac:dyDescent="0.25"/>
    <row r="146180" customFormat="1" x14ac:dyDescent="0.25"/>
    <row r="146181" customFormat="1" x14ac:dyDescent="0.25"/>
    <row r="146182" customFormat="1" x14ac:dyDescent="0.25"/>
    <row r="146183" customFormat="1" x14ac:dyDescent="0.25"/>
    <row r="146184" customFormat="1" x14ac:dyDescent="0.25"/>
    <row r="146185" customFormat="1" x14ac:dyDescent="0.25"/>
    <row r="146186" customFormat="1" x14ac:dyDescent="0.25"/>
    <row r="146187" customFormat="1" x14ac:dyDescent="0.25"/>
    <row r="146188" customFormat="1" x14ac:dyDescent="0.25"/>
    <row r="146189" customFormat="1" x14ac:dyDescent="0.25"/>
    <row r="146190" customFormat="1" x14ac:dyDescent="0.25"/>
    <row r="146191" customFormat="1" x14ac:dyDescent="0.25"/>
    <row r="146192" customFormat="1" x14ac:dyDescent="0.25"/>
    <row r="146193" customFormat="1" x14ac:dyDescent="0.25"/>
    <row r="146194" customFormat="1" x14ac:dyDescent="0.25"/>
    <row r="146195" customFormat="1" x14ac:dyDescent="0.25"/>
    <row r="146196" customFormat="1" x14ac:dyDescent="0.25"/>
    <row r="146197" customFormat="1" x14ac:dyDescent="0.25"/>
    <row r="146198" customFormat="1" x14ac:dyDescent="0.25"/>
    <row r="146199" customFormat="1" x14ac:dyDescent="0.25"/>
    <row r="146200" customFormat="1" x14ac:dyDescent="0.25"/>
    <row r="146201" customFormat="1" x14ac:dyDescent="0.25"/>
    <row r="146202" customFormat="1" x14ac:dyDescent="0.25"/>
    <row r="146203" customFormat="1" x14ac:dyDescent="0.25"/>
    <row r="146204" customFormat="1" x14ac:dyDescent="0.25"/>
    <row r="146205" customFormat="1" x14ac:dyDescent="0.25"/>
    <row r="146206" customFormat="1" x14ac:dyDescent="0.25"/>
    <row r="146207" customFormat="1" x14ac:dyDescent="0.25"/>
    <row r="146208" customFormat="1" x14ac:dyDescent="0.25"/>
    <row r="146209" customFormat="1" x14ac:dyDescent="0.25"/>
    <row r="146210" customFormat="1" x14ac:dyDescent="0.25"/>
    <row r="146211" customFormat="1" x14ac:dyDescent="0.25"/>
    <row r="146212" customFormat="1" x14ac:dyDescent="0.25"/>
    <row r="146213" customFormat="1" x14ac:dyDescent="0.25"/>
    <row r="146214" customFormat="1" x14ac:dyDescent="0.25"/>
    <row r="146215" customFormat="1" x14ac:dyDescent="0.25"/>
    <row r="146216" customFormat="1" x14ac:dyDescent="0.25"/>
    <row r="146217" customFormat="1" x14ac:dyDescent="0.25"/>
    <row r="146218" customFormat="1" x14ac:dyDescent="0.25"/>
    <row r="146219" customFormat="1" x14ac:dyDescent="0.25"/>
    <row r="146220" customFormat="1" x14ac:dyDescent="0.25"/>
    <row r="146221" customFormat="1" x14ac:dyDescent="0.25"/>
    <row r="146222" customFormat="1" x14ac:dyDescent="0.25"/>
    <row r="146223" customFormat="1" x14ac:dyDescent="0.25"/>
    <row r="146224" customFormat="1" x14ac:dyDescent="0.25"/>
    <row r="146225" customFormat="1" x14ac:dyDescent="0.25"/>
    <row r="146226" customFormat="1" x14ac:dyDescent="0.25"/>
    <row r="146227" customFormat="1" x14ac:dyDescent="0.25"/>
    <row r="146228" customFormat="1" x14ac:dyDescent="0.25"/>
    <row r="146229" customFormat="1" x14ac:dyDescent="0.25"/>
    <row r="146230" customFormat="1" x14ac:dyDescent="0.25"/>
    <row r="146231" customFormat="1" x14ac:dyDescent="0.25"/>
    <row r="146232" customFormat="1" x14ac:dyDescent="0.25"/>
    <row r="146233" customFormat="1" x14ac:dyDescent="0.25"/>
    <row r="146234" customFormat="1" x14ac:dyDescent="0.25"/>
    <row r="146235" customFormat="1" x14ac:dyDescent="0.25"/>
    <row r="146236" customFormat="1" x14ac:dyDescent="0.25"/>
    <row r="146237" customFormat="1" x14ac:dyDescent="0.25"/>
    <row r="146238" customFormat="1" x14ac:dyDescent="0.25"/>
    <row r="146239" customFormat="1" x14ac:dyDescent="0.25"/>
    <row r="146240" customFormat="1" x14ac:dyDescent="0.25"/>
    <row r="146241" customFormat="1" x14ac:dyDescent="0.25"/>
    <row r="146242" customFormat="1" x14ac:dyDescent="0.25"/>
    <row r="146243" customFormat="1" x14ac:dyDescent="0.25"/>
    <row r="146244" customFormat="1" x14ac:dyDescent="0.25"/>
    <row r="146245" customFormat="1" x14ac:dyDescent="0.25"/>
    <row r="146246" customFormat="1" x14ac:dyDescent="0.25"/>
    <row r="146247" customFormat="1" x14ac:dyDescent="0.25"/>
    <row r="146248" customFormat="1" x14ac:dyDescent="0.25"/>
    <row r="146249" customFormat="1" x14ac:dyDescent="0.25"/>
    <row r="146250" customFormat="1" x14ac:dyDescent="0.25"/>
    <row r="146251" customFormat="1" x14ac:dyDescent="0.25"/>
    <row r="146252" customFormat="1" x14ac:dyDescent="0.25"/>
    <row r="146253" customFormat="1" x14ac:dyDescent="0.25"/>
    <row r="146254" customFormat="1" x14ac:dyDescent="0.25"/>
    <row r="146255" customFormat="1" x14ac:dyDescent="0.25"/>
    <row r="146256" customFormat="1" x14ac:dyDescent="0.25"/>
    <row r="146257" customFormat="1" x14ac:dyDescent="0.25"/>
    <row r="146258" customFormat="1" x14ac:dyDescent="0.25"/>
    <row r="146259" customFormat="1" x14ac:dyDescent="0.25"/>
    <row r="146260" customFormat="1" x14ac:dyDescent="0.25"/>
    <row r="146261" customFormat="1" x14ac:dyDescent="0.25"/>
    <row r="146262" customFormat="1" x14ac:dyDescent="0.25"/>
    <row r="146263" customFormat="1" x14ac:dyDescent="0.25"/>
    <row r="146264" customFormat="1" x14ac:dyDescent="0.25"/>
    <row r="146265" customFormat="1" x14ac:dyDescent="0.25"/>
    <row r="146266" customFormat="1" x14ac:dyDescent="0.25"/>
    <row r="146267" customFormat="1" x14ac:dyDescent="0.25"/>
    <row r="146268" customFormat="1" x14ac:dyDescent="0.25"/>
    <row r="146269" customFormat="1" x14ac:dyDescent="0.25"/>
    <row r="146270" customFormat="1" x14ac:dyDescent="0.25"/>
    <row r="146271" customFormat="1" x14ac:dyDescent="0.25"/>
    <row r="146272" customFormat="1" x14ac:dyDescent="0.25"/>
    <row r="146273" customFormat="1" x14ac:dyDescent="0.25"/>
    <row r="146274" customFormat="1" x14ac:dyDescent="0.25"/>
    <row r="146275" customFormat="1" x14ac:dyDescent="0.25"/>
    <row r="146276" customFormat="1" x14ac:dyDescent="0.25"/>
    <row r="146277" customFormat="1" x14ac:dyDescent="0.25"/>
    <row r="146278" customFormat="1" x14ac:dyDescent="0.25"/>
    <row r="146279" customFormat="1" x14ac:dyDescent="0.25"/>
    <row r="146280" customFormat="1" x14ac:dyDescent="0.25"/>
    <row r="146281" customFormat="1" x14ac:dyDescent="0.25"/>
    <row r="146282" customFormat="1" x14ac:dyDescent="0.25"/>
    <row r="146283" customFormat="1" x14ac:dyDescent="0.25"/>
    <row r="146284" customFormat="1" x14ac:dyDescent="0.25"/>
    <row r="146285" customFormat="1" x14ac:dyDescent="0.25"/>
    <row r="146286" customFormat="1" x14ac:dyDescent="0.25"/>
    <row r="146287" customFormat="1" x14ac:dyDescent="0.25"/>
    <row r="146288" customFormat="1" x14ac:dyDescent="0.25"/>
    <row r="146289" customFormat="1" x14ac:dyDescent="0.25"/>
    <row r="146290" customFormat="1" x14ac:dyDescent="0.25"/>
    <row r="146291" customFormat="1" x14ac:dyDescent="0.25"/>
    <row r="146292" customFormat="1" x14ac:dyDescent="0.25"/>
    <row r="146293" customFormat="1" x14ac:dyDescent="0.25"/>
    <row r="146294" customFormat="1" x14ac:dyDescent="0.25"/>
    <row r="146295" customFormat="1" x14ac:dyDescent="0.25"/>
    <row r="146296" customFormat="1" x14ac:dyDescent="0.25"/>
    <row r="146297" customFormat="1" x14ac:dyDescent="0.25"/>
    <row r="146298" customFormat="1" x14ac:dyDescent="0.25"/>
    <row r="146299" customFormat="1" x14ac:dyDescent="0.25"/>
    <row r="146300" customFormat="1" x14ac:dyDescent="0.25"/>
    <row r="146301" customFormat="1" x14ac:dyDescent="0.25"/>
    <row r="146302" customFormat="1" x14ac:dyDescent="0.25"/>
    <row r="146303" customFormat="1" x14ac:dyDescent="0.25"/>
    <row r="146304" customFormat="1" x14ac:dyDescent="0.25"/>
    <row r="146305" customFormat="1" x14ac:dyDescent="0.25"/>
    <row r="146306" customFormat="1" x14ac:dyDescent="0.25"/>
    <row r="146307" customFormat="1" x14ac:dyDescent="0.25"/>
    <row r="146308" customFormat="1" x14ac:dyDescent="0.25"/>
    <row r="146309" customFormat="1" x14ac:dyDescent="0.25"/>
    <row r="146310" customFormat="1" x14ac:dyDescent="0.25"/>
    <row r="146311" customFormat="1" x14ac:dyDescent="0.25"/>
    <row r="146312" customFormat="1" x14ac:dyDescent="0.25"/>
    <row r="146313" customFormat="1" x14ac:dyDescent="0.25"/>
    <row r="146314" customFormat="1" x14ac:dyDescent="0.25"/>
    <row r="146315" customFormat="1" x14ac:dyDescent="0.25"/>
    <row r="146316" customFormat="1" x14ac:dyDescent="0.25"/>
    <row r="146317" customFormat="1" x14ac:dyDescent="0.25"/>
    <row r="146318" customFormat="1" x14ac:dyDescent="0.25"/>
    <row r="146319" customFormat="1" x14ac:dyDescent="0.25"/>
    <row r="146320" customFormat="1" x14ac:dyDescent="0.25"/>
    <row r="146321" customFormat="1" x14ac:dyDescent="0.25"/>
    <row r="146322" customFormat="1" x14ac:dyDescent="0.25"/>
    <row r="146323" customFormat="1" x14ac:dyDescent="0.25"/>
    <row r="146324" customFormat="1" x14ac:dyDescent="0.25"/>
    <row r="146325" customFormat="1" x14ac:dyDescent="0.25"/>
    <row r="146326" customFormat="1" x14ac:dyDescent="0.25"/>
    <row r="146327" customFormat="1" x14ac:dyDescent="0.25"/>
    <row r="146328" customFormat="1" x14ac:dyDescent="0.25"/>
    <row r="146329" customFormat="1" x14ac:dyDescent="0.25"/>
    <row r="146330" customFormat="1" x14ac:dyDescent="0.25"/>
    <row r="146331" customFormat="1" x14ac:dyDescent="0.25"/>
    <row r="146332" customFormat="1" x14ac:dyDescent="0.25"/>
    <row r="146333" customFormat="1" x14ac:dyDescent="0.25"/>
    <row r="146334" customFormat="1" x14ac:dyDescent="0.25"/>
    <row r="146335" customFormat="1" x14ac:dyDescent="0.25"/>
    <row r="146336" customFormat="1" x14ac:dyDescent="0.25"/>
    <row r="146337" customFormat="1" x14ac:dyDescent="0.25"/>
    <row r="146338" customFormat="1" x14ac:dyDescent="0.25"/>
    <row r="146339" customFormat="1" x14ac:dyDescent="0.25"/>
    <row r="146340" customFormat="1" x14ac:dyDescent="0.25"/>
    <row r="146341" customFormat="1" x14ac:dyDescent="0.25"/>
    <row r="146342" customFormat="1" x14ac:dyDescent="0.25"/>
    <row r="146343" customFormat="1" x14ac:dyDescent="0.25"/>
    <row r="146344" customFormat="1" x14ac:dyDescent="0.25"/>
    <row r="146345" customFormat="1" x14ac:dyDescent="0.25"/>
    <row r="146346" customFormat="1" x14ac:dyDescent="0.25"/>
    <row r="146347" customFormat="1" x14ac:dyDescent="0.25"/>
    <row r="146348" customFormat="1" x14ac:dyDescent="0.25"/>
    <row r="146349" customFormat="1" x14ac:dyDescent="0.25"/>
    <row r="146350" customFormat="1" x14ac:dyDescent="0.25"/>
    <row r="146351" customFormat="1" x14ac:dyDescent="0.25"/>
    <row r="146352" customFormat="1" x14ac:dyDescent="0.25"/>
    <row r="146353" customFormat="1" x14ac:dyDescent="0.25"/>
    <row r="146354" customFormat="1" x14ac:dyDescent="0.25"/>
    <row r="146355" customFormat="1" x14ac:dyDescent="0.25"/>
    <row r="146356" customFormat="1" x14ac:dyDescent="0.25"/>
    <row r="146357" customFormat="1" x14ac:dyDescent="0.25"/>
    <row r="146358" customFormat="1" x14ac:dyDescent="0.25"/>
    <row r="146359" customFormat="1" x14ac:dyDescent="0.25"/>
    <row r="146360" customFormat="1" x14ac:dyDescent="0.25"/>
    <row r="146361" customFormat="1" x14ac:dyDescent="0.25"/>
    <row r="146362" customFormat="1" x14ac:dyDescent="0.25"/>
    <row r="146363" customFormat="1" x14ac:dyDescent="0.25"/>
    <row r="146364" customFormat="1" x14ac:dyDescent="0.25"/>
    <row r="146365" customFormat="1" x14ac:dyDescent="0.25"/>
    <row r="146366" customFormat="1" x14ac:dyDescent="0.25"/>
    <row r="146367" customFormat="1" x14ac:dyDescent="0.25"/>
    <row r="146368" customFormat="1" x14ac:dyDescent="0.25"/>
    <row r="146369" customFormat="1" x14ac:dyDescent="0.25"/>
    <row r="146370" customFormat="1" x14ac:dyDescent="0.25"/>
    <row r="146371" customFormat="1" x14ac:dyDescent="0.25"/>
    <row r="146372" customFormat="1" x14ac:dyDescent="0.25"/>
    <row r="146373" customFormat="1" x14ac:dyDescent="0.25"/>
    <row r="146374" customFormat="1" x14ac:dyDescent="0.25"/>
    <row r="146375" customFormat="1" x14ac:dyDescent="0.25"/>
    <row r="146376" customFormat="1" x14ac:dyDescent="0.25"/>
    <row r="146377" customFormat="1" x14ac:dyDescent="0.25"/>
    <row r="146378" customFormat="1" x14ac:dyDescent="0.25"/>
    <row r="146379" customFormat="1" x14ac:dyDescent="0.25"/>
    <row r="146380" customFormat="1" x14ac:dyDescent="0.25"/>
    <row r="146381" customFormat="1" x14ac:dyDescent="0.25"/>
    <row r="146382" customFormat="1" x14ac:dyDescent="0.25"/>
    <row r="146383" customFormat="1" x14ac:dyDescent="0.25"/>
    <row r="146384" customFormat="1" x14ac:dyDescent="0.25"/>
    <row r="146385" customFormat="1" x14ac:dyDescent="0.25"/>
    <row r="146386" customFormat="1" x14ac:dyDescent="0.25"/>
    <row r="146387" customFormat="1" x14ac:dyDescent="0.25"/>
    <row r="146388" customFormat="1" x14ac:dyDescent="0.25"/>
    <row r="146389" customFormat="1" x14ac:dyDescent="0.25"/>
    <row r="146390" customFormat="1" x14ac:dyDescent="0.25"/>
    <row r="146391" customFormat="1" x14ac:dyDescent="0.25"/>
    <row r="146392" customFormat="1" x14ac:dyDescent="0.25"/>
    <row r="146393" customFormat="1" x14ac:dyDescent="0.25"/>
    <row r="146394" customFormat="1" x14ac:dyDescent="0.25"/>
    <row r="146395" customFormat="1" x14ac:dyDescent="0.25"/>
    <row r="146396" customFormat="1" x14ac:dyDescent="0.25"/>
    <row r="146397" customFormat="1" x14ac:dyDescent="0.25"/>
    <row r="146398" customFormat="1" x14ac:dyDescent="0.25"/>
    <row r="146399" customFormat="1" x14ac:dyDescent="0.25"/>
    <row r="146400" customFormat="1" x14ac:dyDescent="0.25"/>
    <row r="146401" customFormat="1" x14ac:dyDescent="0.25"/>
    <row r="146402" customFormat="1" x14ac:dyDescent="0.25"/>
    <row r="146403" customFormat="1" x14ac:dyDescent="0.25"/>
    <row r="146404" customFormat="1" x14ac:dyDescent="0.25"/>
    <row r="146405" customFormat="1" x14ac:dyDescent="0.25"/>
    <row r="146406" customFormat="1" x14ac:dyDescent="0.25"/>
    <row r="146407" customFormat="1" x14ac:dyDescent="0.25"/>
    <row r="146408" customFormat="1" x14ac:dyDescent="0.25"/>
    <row r="146409" customFormat="1" x14ac:dyDescent="0.25"/>
    <row r="146410" customFormat="1" x14ac:dyDescent="0.25"/>
    <row r="146411" customFormat="1" x14ac:dyDescent="0.25"/>
    <row r="146412" customFormat="1" x14ac:dyDescent="0.25"/>
    <row r="146413" customFormat="1" x14ac:dyDescent="0.25"/>
    <row r="146414" customFormat="1" x14ac:dyDescent="0.25"/>
    <row r="146415" customFormat="1" x14ac:dyDescent="0.25"/>
    <row r="146416" customFormat="1" x14ac:dyDescent="0.25"/>
    <row r="146417" customFormat="1" x14ac:dyDescent="0.25"/>
    <row r="146418" customFormat="1" x14ac:dyDescent="0.25"/>
    <row r="146419" customFormat="1" x14ac:dyDescent="0.25"/>
    <row r="146420" customFormat="1" x14ac:dyDescent="0.25"/>
    <row r="146421" customFormat="1" x14ac:dyDescent="0.25"/>
    <row r="146422" customFormat="1" x14ac:dyDescent="0.25"/>
    <row r="146423" customFormat="1" x14ac:dyDescent="0.25"/>
    <row r="146424" customFormat="1" x14ac:dyDescent="0.25"/>
    <row r="146425" customFormat="1" x14ac:dyDescent="0.25"/>
    <row r="146426" customFormat="1" x14ac:dyDescent="0.25"/>
    <row r="146427" customFormat="1" x14ac:dyDescent="0.25"/>
    <row r="146428" customFormat="1" x14ac:dyDescent="0.25"/>
    <row r="146429" customFormat="1" x14ac:dyDescent="0.25"/>
    <row r="146430" customFormat="1" x14ac:dyDescent="0.25"/>
    <row r="146431" customFormat="1" x14ac:dyDescent="0.25"/>
    <row r="146432" customFormat="1" x14ac:dyDescent="0.25"/>
    <row r="146433" customFormat="1" x14ac:dyDescent="0.25"/>
    <row r="146434" customFormat="1" x14ac:dyDescent="0.25"/>
    <row r="146435" customFormat="1" x14ac:dyDescent="0.25"/>
    <row r="146436" customFormat="1" x14ac:dyDescent="0.25"/>
    <row r="146437" customFormat="1" x14ac:dyDescent="0.25"/>
    <row r="146438" customFormat="1" x14ac:dyDescent="0.25"/>
    <row r="146439" customFormat="1" x14ac:dyDescent="0.25"/>
    <row r="146440" customFormat="1" x14ac:dyDescent="0.25"/>
    <row r="146441" customFormat="1" x14ac:dyDescent="0.25"/>
    <row r="146442" customFormat="1" x14ac:dyDescent="0.25"/>
    <row r="146443" customFormat="1" x14ac:dyDescent="0.25"/>
    <row r="146444" customFormat="1" x14ac:dyDescent="0.25"/>
    <row r="146445" customFormat="1" x14ac:dyDescent="0.25"/>
    <row r="146446" customFormat="1" x14ac:dyDescent="0.25"/>
    <row r="146447" customFormat="1" x14ac:dyDescent="0.25"/>
    <row r="146448" customFormat="1" x14ac:dyDescent="0.25"/>
    <row r="146449" customFormat="1" x14ac:dyDescent="0.25"/>
    <row r="146450" customFormat="1" x14ac:dyDescent="0.25"/>
    <row r="146451" customFormat="1" x14ac:dyDescent="0.25"/>
    <row r="146452" customFormat="1" x14ac:dyDescent="0.25"/>
    <row r="146453" customFormat="1" x14ac:dyDescent="0.25"/>
    <row r="146454" customFormat="1" x14ac:dyDescent="0.25"/>
    <row r="146455" customFormat="1" x14ac:dyDescent="0.25"/>
    <row r="146456" customFormat="1" x14ac:dyDescent="0.25"/>
    <row r="146457" customFormat="1" x14ac:dyDescent="0.25"/>
    <row r="146458" customFormat="1" x14ac:dyDescent="0.25"/>
    <row r="146459" customFormat="1" x14ac:dyDescent="0.25"/>
    <row r="146460" customFormat="1" x14ac:dyDescent="0.25"/>
    <row r="146461" customFormat="1" x14ac:dyDescent="0.25"/>
    <row r="146462" customFormat="1" x14ac:dyDescent="0.25"/>
    <row r="146463" customFormat="1" x14ac:dyDescent="0.25"/>
    <row r="146464" customFormat="1" x14ac:dyDescent="0.25"/>
    <row r="146465" customFormat="1" x14ac:dyDescent="0.25"/>
    <row r="146466" customFormat="1" x14ac:dyDescent="0.25"/>
    <row r="146467" customFormat="1" x14ac:dyDescent="0.25"/>
    <row r="146468" customFormat="1" x14ac:dyDescent="0.25"/>
    <row r="146469" customFormat="1" x14ac:dyDescent="0.25"/>
    <row r="146470" customFormat="1" x14ac:dyDescent="0.25"/>
    <row r="146471" customFormat="1" x14ac:dyDescent="0.25"/>
    <row r="146472" customFormat="1" x14ac:dyDescent="0.25"/>
    <row r="146473" customFormat="1" x14ac:dyDescent="0.25"/>
    <row r="146474" customFormat="1" x14ac:dyDescent="0.25"/>
    <row r="146475" customFormat="1" x14ac:dyDescent="0.25"/>
    <row r="146476" customFormat="1" x14ac:dyDescent="0.25"/>
    <row r="146477" customFormat="1" x14ac:dyDescent="0.25"/>
    <row r="146478" customFormat="1" x14ac:dyDescent="0.25"/>
    <row r="146479" customFormat="1" x14ac:dyDescent="0.25"/>
    <row r="146480" customFormat="1" x14ac:dyDescent="0.25"/>
    <row r="146481" customFormat="1" x14ac:dyDescent="0.25"/>
    <row r="146482" customFormat="1" x14ac:dyDescent="0.25"/>
    <row r="146483" customFormat="1" x14ac:dyDescent="0.25"/>
    <row r="146484" customFormat="1" x14ac:dyDescent="0.25"/>
    <row r="146485" customFormat="1" x14ac:dyDescent="0.25"/>
    <row r="146486" customFormat="1" x14ac:dyDescent="0.25"/>
    <row r="146487" customFormat="1" x14ac:dyDescent="0.25"/>
    <row r="146488" customFormat="1" x14ac:dyDescent="0.25"/>
    <row r="146489" customFormat="1" x14ac:dyDescent="0.25"/>
    <row r="146490" customFormat="1" x14ac:dyDescent="0.25"/>
    <row r="146491" customFormat="1" x14ac:dyDescent="0.25"/>
    <row r="146492" customFormat="1" x14ac:dyDescent="0.25"/>
    <row r="146493" customFormat="1" x14ac:dyDescent="0.25"/>
    <row r="146494" customFormat="1" x14ac:dyDescent="0.25"/>
    <row r="146495" customFormat="1" x14ac:dyDescent="0.25"/>
    <row r="146496" customFormat="1" x14ac:dyDescent="0.25"/>
    <row r="146497" customFormat="1" x14ac:dyDescent="0.25"/>
    <row r="146498" customFormat="1" x14ac:dyDescent="0.25"/>
    <row r="146499" customFormat="1" x14ac:dyDescent="0.25"/>
    <row r="146500" customFormat="1" x14ac:dyDescent="0.25"/>
    <row r="146501" customFormat="1" x14ac:dyDescent="0.25"/>
    <row r="146502" customFormat="1" x14ac:dyDescent="0.25"/>
    <row r="146503" customFormat="1" x14ac:dyDescent="0.25"/>
    <row r="146504" customFormat="1" x14ac:dyDescent="0.25"/>
    <row r="146505" customFormat="1" x14ac:dyDescent="0.25"/>
    <row r="146506" customFormat="1" x14ac:dyDescent="0.25"/>
    <row r="146507" customFormat="1" x14ac:dyDescent="0.25"/>
    <row r="146508" customFormat="1" x14ac:dyDescent="0.25"/>
    <row r="146509" customFormat="1" x14ac:dyDescent="0.25"/>
    <row r="146510" customFormat="1" x14ac:dyDescent="0.25"/>
    <row r="146511" customFormat="1" x14ac:dyDescent="0.25"/>
    <row r="146512" customFormat="1" x14ac:dyDescent="0.25"/>
    <row r="146513" customFormat="1" x14ac:dyDescent="0.25"/>
    <row r="146514" customFormat="1" x14ac:dyDescent="0.25"/>
    <row r="146515" customFormat="1" x14ac:dyDescent="0.25"/>
    <row r="146516" customFormat="1" x14ac:dyDescent="0.25"/>
    <row r="146517" customFormat="1" x14ac:dyDescent="0.25"/>
    <row r="146518" customFormat="1" x14ac:dyDescent="0.25"/>
    <row r="146519" customFormat="1" x14ac:dyDescent="0.25"/>
    <row r="146520" customFormat="1" x14ac:dyDescent="0.25"/>
    <row r="146521" customFormat="1" x14ac:dyDescent="0.25"/>
    <row r="146522" customFormat="1" x14ac:dyDescent="0.25"/>
    <row r="146523" customFormat="1" x14ac:dyDescent="0.25"/>
    <row r="146524" customFormat="1" x14ac:dyDescent="0.25"/>
    <row r="146525" customFormat="1" x14ac:dyDescent="0.25"/>
    <row r="146526" customFormat="1" x14ac:dyDescent="0.25"/>
    <row r="146527" customFormat="1" x14ac:dyDescent="0.25"/>
    <row r="146528" customFormat="1" x14ac:dyDescent="0.25"/>
    <row r="146529" customFormat="1" x14ac:dyDescent="0.25"/>
    <row r="146530" customFormat="1" x14ac:dyDescent="0.25"/>
    <row r="146531" customFormat="1" x14ac:dyDescent="0.25"/>
    <row r="146532" customFormat="1" x14ac:dyDescent="0.25"/>
    <row r="146533" customFormat="1" x14ac:dyDescent="0.25"/>
    <row r="146534" customFormat="1" x14ac:dyDescent="0.25"/>
    <row r="146535" customFormat="1" x14ac:dyDescent="0.25"/>
    <row r="146536" customFormat="1" x14ac:dyDescent="0.25"/>
    <row r="146537" customFormat="1" x14ac:dyDescent="0.25"/>
    <row r="146538" customFormat="1" x14ac:dyDescent="0.25"/>
    <row r="146539" customFormat="1" x14ac:dyDescent="0.25"/>
    <row r="146540" customFormat="1" x14ac:dyDescent="0.25"/>
    <row r="146541" customFormat="1" x14ac:dyDescent="0.25"/>
    <row r="146542" customFormat="1" x14ac:dyDescent="0.25"/>
    <row r="146543" customFormat="1" x14ac:dyDescent="0.25"/>
    <row r="146544" customFormat="1" x14ac:dyDescent="0.25"/>
    <row r="146545" customFormat="1" x14ac:dyDescent="0.25"/>
    <row r="146546" customFormat="1" x14ac:dyDescent="0.25"/>
    <row r="146547" customFormat="1" x14ac:dyDescent="0.25"/>
    <row r="146548" customFormat="1" x14ac:dyDescent="0.25"/>
    <row r="146549" customFormat="1" x14ac:dyDescent="0.25"/>
    <row r="146550" customFormat="1" x14ac:dyDescent="0.25"/>
    <row r="146551" customFormat="1" x14ac:dyDescent="0.25"/>
    <row r="146552" customFormat="1" x14ac:dyDescent="0.25"/>
    <row r="146553" customFormat="1" x14ac:dyDescent="0.25"/>
    <row r="146554" customFormat="1" x14ac:dyDescent="0.25"/>
    <row r="146555" customFormat="1" x14ac:dyDescent="0.25"/>
    <row r="146556" customFormat="1" x14ac:dyDescent="0.25"/>
    <row r="146557" customFormat="1" x14ac:dyDescent="0.25"/>
    <row r="146558" customFormat="1" x14ac:dyDescent="0.25"/>
    <row r="146559" customFormat="1" x14ac:dyDescent="0.25"/>
    <row r="146560" customFormat="1" x14ac:dyDescent="0.25"/>
    <row r="146561" customFormat="1" x14ac:dyDescent="0.25"/>
    <row r="146562" customFormat="1" x14ac:dyDescent="0.25"/>
    <row r="146563" customFormat="1" x14ac:dyDescent="0.25"/>
    <row r="146564" customFormat="1" x14ac:dyDescent="0.25"/>
    <row r="146565" customFormat="1" x14ac:dyDescent="0.25"/>
    <row r="146566" customFormat="1" x14ac:dyDescent="0.25"/>
    <row r="146567" customFormat="1" x14ac:dyDescent="0.25"/>
    <row r="146568" customFormat="1" x14ac:dyDescent="0.25"/>
    <row r="146569" customFormat="1" x14ac:dyDescent="0.25"/>
    <row r="146570" customFormat="1" x14ac:dyDescent="0.25"/>
    <row r="146571" customFormat="1" x14ac:dyDescent="0.25"/>
    <row r="146572" customFormat="1" x14ac:dyDescent="0.25"/>
    <row r="146573" customFormat="1" x14ac:dyDescent="0.25"/>
    <row r="146574" customFormat="1" x14ac:dyDescent="0.25"/>
    <row r="146575" customFormat="1" x14ac:dyDescent="0.25"/>
    <row r="146576" customFormat="1" x14ac:dyDescent="0.25"/>
    <row r="146577" customFormat="1" x14ac:dyDescent="0.25"/>
    <row r="146578" customFormat="1" x14ac:dyDescent="0.25"/>
    <row r="146579" customFormat="1" x14ac:dyDescent="0.25"/>
    <row r="146580" customFormat="1" x14ac:dyDescent="0.25"/>
    <row r="146581" customFormat="1" x14ac:dyDescent="0.25"/>
    <row r="146582" customFormat="1" x14ac:dyDescent="0.25"/>
    <row r="146583" customFormat="1" x14ac:dyDescent="0.25"/>
    <row r="146584" customFormat="1" x14ac:dyDescent="0.25"/>
    <row r="146585" customFormat="1" x14ac:dyDescent="0.25"/>
    <row r="146586" customFormat="1" x14ac:dyDescent="0.25"/>
    <row r="146587" customFormat="1" x14ac:dyDescent="0.25"/>
    <row r="146588" customFormat="1" x14ac:dyDescent="0.25"/>
    <row r="146589" customFormat="1" x14ac:dyDescent="0.25"/>
    <row r="146590" customFormat="1" x14ac:dyDescent="0.25"/>
    <row r="146591" customFormat="1" x14ac:dyDescent="0.25"/>
    <row r="146592" customFormat="1" x14ac:dyDescent="0.25"/>
    <row r="146593" customFormat="1" x14ac:dyDescent="0.25"/>
    <row r="146594" customFormat="1" x14ac:dyDescent="0.25"/>
    <row r="146595" customFormat="1" x14ac:dyDescent="0.25"/>
    <row r="146596" customFormat="1" x14ac:dyDescent="0.25"/>
    <row r="146597" customFormat="1" x14ac:dyDescent="0.25"/>
    <row r="146598" customFormat="1" x14ac:dyDescent="0.25"/>
    <row r="146599" customFormat="1" x14ac:dyDescent="0.25"/>
    <row r="146600" customFormat="1" x14ac:dyDescent="0.25"/>
    <row r="146601" customFormat="1" x14ac:dyDescent="0.25"/>
    <row r="146602" customFormat="1" x14ac:dyDescent="0.25"/>
    <row r="146603" customFormat="1" x14ac:dyDescent="0.25"/>
    <row r="146604" customFormat="1" x14ac:dyDescent="0.25"/>
    <row r="146605" customFormat="1" x14ac:dyDescent="0.25"/>
    <row r="146606" customFormat="1" x14ac:dyDescent="0.25"/>
    <row r="146607" customFormat="1" x14ac:dyDescent="0.25"/>
    <row r="146608" customFormat="1" x14ac:dyDescent="0.25"/>
    <row r="146609" customFormat="1" x14ac:dyDescent="0.25"/>
    <row r="146610" customFormat="1" x14ac:dyDescent="0.25"/>
    <row r="146611" customFormat="1" x14ac:dyDescent="0.25"/>
    <row r="146612" customFormat="1" x14ac:dyDescent="0.25"/>
    <row r="146613" customFormat="1" x14ac:dyDescent="0.25"/>
    <row r="146614" customFormat="1" x14ac:dyDescent="0.25"/>
    <row r="146615" customFormat="1" x14ac:dyDescent="0.25"/>
    <row r="146616" customFormat="1" x14ac:dyDescent="0.25"/>
    <row r="146617" customFormat="1" x14ac:dyDescent="0.25"/>
    <row r="146618" customFormat="1" x14ac:dyDescent="0.25"/>
    <row r="146619" customFormat="1" x14ac:dyDescent="0.25"/>
    <row r="146620" customFormat="1" x14ac:dyDescent="0.25"/>
    <row r="146621" customFormat="1" x14ac:dyDescent="0.25"/>
    <row r="146622" customFormat="1" x14ac:dyDescent="0.25"/>
    <row r="146623" customFormat="1" x14ac:dyDescent="0.25"/>
    <row r="146624" customFormat="1" x14ac:dyDescent="0.25"/>
    <row r="146625" customFormat="1" x14ac:dyDescent="0.25"/>
    <row r="146626" customFormat="1" x14ac:dyDescent="0.25"/>
    <row r="146627" customFormat="1" x14ac:dyDescent="0.25"/>
    <row r="146628" customFormat="1" x14ac:dyDescent="0.25"/>
    <row r="146629" customFormat="1" x14ac:dyDescent="0.25"/>
    <row r="146630" customFormat="1" x14ac:dyDescent="0.25"/>
    <row r="146631" customFormat="1" x14ac:dyDescent="0.25"/>
    <row r="146632" customFormat="1" x14ac:dyDescent="0.25"/>
    <row r="146633" customFormat="1" x14ac:dyDescent="0.25"/>
    <row r="146634" customFormat="1" x14ac:dyDescent="0.25"/>
    <row r="146635" customFormat="1" x14ac:dyDescent="0.25"/>
    <row r="146636" customFormat="1" x14ac:dyDescent="0.25"/>
    <row r="146637" customFormat="1" x14ac:dyDescent="0.25"/>
    <row r="146638" customFormat="1" x14ac:dyDescent="0.25"/>
    <row r="146639" customFormat="1" x14ac:dyDescent="0.25"/>
    <row r="146640" customFormat="1" x14ac:dyDescent="0.25"/>
    <row r="146641" customFormat="1" x14ac:dyDescent="0.25"/>
    <row r="146642" customFormat="1" x14ac:dyDescent="0.25"/>
    <row r="146643" customFormat="1" x14ac:dyDescent="0.25"/>
    <row r="146644" customFormat="1" x14ac:dyDescent="0.25"/>
    <row r="146645" customFormat="1" x14ac:dyDescent="0.25"/>
    <row r="146646" customFormat="1" x14ac:dyDescent="0.25"/>
    <row r="146647" customFormat="1" x14ac:dyDescent="0.25"/>
    <row r="146648" customFormat="1" x14ac:dyDescent="0.25"/>
    <row r="146649" customFormat="1" x14ac:dyDescent="0.25"/>
    <row r="146650" customFormat="1" x14ac:dyDescent="0.25"/>
    <row r="146651" customFormat="1" x14ac:dyDescent="0.25"/>
    <row r="146652" customFormat="1" x14ac:dyDescent="0.25"/>
    <row r="146653" customFormat="1" x14ac:dyDescent="0.25"/>
    <row r="146654" customFormat="1" x14ac:dyDescent="0.25"/>
    <row r="146655" customFormat="1" x14ac:dyDescent="0.25"/>
    <row r="146656" customFormat="1" x14ac:dyDescent="0.25"/>
    <row r="146657" customFormat="1" x14ac:dyDescent="0.25"/>
    <row r="146658" customFormat="1" x14ac:dyDescent="0.25"/>
    <row r="146659" customFormat="1" x14ac:dyDescent="0.25"/>
    <row r="146660" customFormat="1" x14ac:dyDescent="0.25"/>
    <row r="146661" customFormat="1" x14ac:dyDescent="0.25"/>
    <row r="146662" customFormat="1" x14ac:dyDescent="0.25"/>
    <row r="146663" customFormat="1" x14ac:dyDescent="0.25"/>
    <row r="146664" customFormat="1" x14ac:dyDescent="0.25"/>
    <row r="146665" customFormat="1" x14ac:dyDescent="0.25"/>
    <row r="146666" customFormat="1" x14ac:dyDescent="0.25"/>
    <row r="146667" customFormat="1" x14ac:dyDescent="0.25"/>
    <row r="146668" customFormat="1" x14ac:dyDescent="0.25"/>
    <row r="146669" customFormat="1" x14ac:dyDescent="0.25"/>
    <row r="146670" customFormat="1" x14ac:dyDescent="0.25"/>
    <row r="146671" customFormat="1" x14ac:dyDescent="0.25"/>
    <row r="146672" customFormat="1" x14ac:dyDescent="0.25"/>
    <row r="146673" customFormat="1" x14ac:dyDescent="0.25"/>
    <row r="146674" customFormat="1" x14ac:dyDescent="0.25"/>
    <row r="146675" customFormat="1" x14ac:dyDescent="0.25"/>
    <row r="146676" customFormat="1" x14ac:dyDescent="0.25"/>
    <row r="146677" customFormat="1" x14ac:dyDescent="0.25"/>
    <row r="146678" customFormat="1" x14ac:dyDescent="0.25"/>
    <row r="146679" customFormat="1" x14ac:dyDescent="0.25"/>
    <row r="146680" customFormat="1" x14ac:dyDescent="0.25"/>
    <row r="146681" customFormat="1" x14ac:dyDescent="0.25"/>
    <row r="146682" customFormat="1" x14ac:dyDescent="0.25"/>
    <row r="146683" customFormat="1" x14ac:dyDescent="0.25"/>
    <row r="146684" customFormat="1" x14ac:dyDescent="0.25"/>
    <row r="146685" customFormat="1" x14ac:dyDescent="0.25"/>
    <row r="146686" customFormat="1" x14ac:dyDescent="0.25"/>
    <row r="146687" customFormat="1" x14ac:dyDescent="0.25"/>
    <row r="146688" customFormat="1" x14ac:dyDescent="0.25"/>
    <row r="146689" customFormat="1" x14ac:dyDescent="0.25"/>
    <row r="146690" customFormat="1" x14ac:dyDescent="0.25"/>
    <row r="146691" customFormat="1" x14ac:dyDescent="0.25"/>
    <row r="146692" customFormat="1" x14ac:dyDescent="0.25"/>
    <row r="146693" customFormat="1" x14ac:dyDescent="0.25"/>
    <row r="146694" customFormat="1" x14ac:dyDescent="0.25"/>
    <row r="146695" customFormat="1" x14ac:dyDescent="0.25"/>
    <row r="146696" customFormat="1" x14ac:dyDescent="0.25"/>
    <row r="146697" customFormat="1" x14ac:dyDescent="0.25"/>
    <row r="146698" customFormat="1" x14ac:dyDescent="0.25"/>
    <row r="146699" customFormat="1" x14ac:dyDescent="0.25"/>
    <row r="146700" customFormat="1" x14ac:dyDescent="0.25"/>
    <row r="146701" customFormat="1" x14ac:dyDescent="0.25"/>
    <row r="146702" customFormat="1" x14ac:dyDescent="0.25"/>
    <row r="146703" customFormat="1" x14ac:dyDescent="0.25"/>
    <row r="146704" customFormat="1" x14ac:dyDescent="0.25"/>
    <row r="146705" customFormat="1" x14ac:dyDescent="0.25"/>
    <row r="146706" customFormat="1" x14ac:dyDescent="0.25"/>
    <row r="146707" customFormat="1" x14ac:dyDescent="0.25"/>
    <row r="146708" customFormat="1" x14ac:dyDescent="0.25"/>
    <row r="146709" customFormat="1" x14ac:dyDescent="0.25"/>
    <row r="146710" customFormat="1" x14ac:dyDescent="0.25"/>
    <row r="146711" customFormat="1" x14ac:dyDescent="0.25"/>
    <row r="146712" customFormat="1" x14ac:dyDescent="0.25"/>
    <row r="146713" customFormat="1" x14ac:dyDescent="0.25"/>
    <row r="146714" customFormat="1" x14ac:dyDescent="0.25"/>
    <row r="146715" customFormat="1" x14ac:dyDescent="0.25"/>
    <row r="146716" customFormat="1" x14ac:dyDescent="0.25"/>
    <row r="146717" customFormat="1" x14ac:dyDescent="0.25"/>
    <row r="146718" customFormat="1" x14ac:dyDescent="0.25"/>
    <row r="146719" customFormat="1" x14ac:dyDescent="0.25"/>
    <row r="146720" customFormat="1" x14ac:dyDescent="0.25"/>
    <row r="146721" customFormat="1" x14ac:dyDescent="0.25"/>
    <row r="146722" customFormat="1" x14ac:dyDescent="0.25"/>
    <row r="146723" customFormat="1" x14ac:dyDescent="0.25"/>
    <row r="146724" customFormat="1" x14ac:dyDescent="0.25"/>
    <row r="146725" customFormat="1" x14ac:dyDescent="0.25"/>
    <row r="146726" customFormat="1" x14ac:dyDescent="0.25"/>
    <row r="146727" customFormat="1" x14ac:dyDescent="0.25"/>
    <row r="146728" customFormat="1" x14ac:dyDescent="0.25"/>
    <row r="146729" customFormat="1" x14ac:dyDescent="0.25"/>
    <row r="146730" customFormat="1" x14ac:dyDescent="0.25"/>
    <row r="146731" customFormat="1" x14ac:dyDescent="0.25"/>
    <row r="146732" customFormat="1" x14ac:dyDescent="0.25"/>
    <row r="146733" customFormat="1" x14ac:dyDescent="0.25"/>
    <row r="146734" customFormat="1" x14ac:dyDescent="0.25"/>
    <row r="146735" customFormat="1" x14ac:dyDescent="0.25"/>
    <row r="146736" customFormat="1" x14ac:dyDescent="0.25"/>
    <row r="146737" customFormat="1" x14ac:dyDescent="0.25"/>
    <row r="146738" customFormat="1" x14ac:dyDescent="0.25"/>
    <row r="146739" customFormat="1" x14ac:dyDescent="0.25"/>
    <row r="146740" customFormat="1" x14ac:dyDescent="0.25"/>
    <row r="146741" customFormat="1" x14ac:dyDescent="0.25"/>
    <row r="146742" customFormat="1" x14ac:dyDescent="0.25"/>
    <row r="146743" customFormat="1" x14ac:dyDescent="0.25"/>
    <row r="146744" customFormat="1" x14ac:dyDescent="0.25"/>
    <row r="146745" customFormat="1" x14ac:dyDescent="0.25"/>
    <row r="146746" customFormat="1" x14ac:dyDescent="0.25"/>
    <row r="146747" customFormat="1" x14ac:dyDescent="0.25"/>
    <row r="146748" customFormat="1" x14ac:dyDescent="0.25"/>
    <row r="146749" customFormat="1" x14ac:dyDescent="0.25"/>
    <row r="146750" customFormat="1" x14ac:dyDescent="0.25"/>
    <row r="146751" customFormat="1" x14ac:dyDescent="0.25"/>
    <row r="146752" customFormat="1" x14ac:dyDescent="0.25"/>
    <row r="146753" customFormat="1" x14ac:dyDescent="0.25"/>
    <row r="146754" customFormat="1" x14ac:dyDescent="0.25"/>
    <row r="146755" customFormat="1" x14ac:dyDescent="0.25"/>
    <row r="146756" customFormat="1" x14ac:dyDescent="0.25"/>
    <row r="146757" customFormat="1" x14ac:dyDescent="0.25"/>
    <row r="146758" customFormat="1" x14ac:dyDescent="0.25"/>
    <row r="146759" customFormat="1" x14ac:dyDescent="0.25"/>
    <row r="146760" customFormat="1" x14ac:dyDescent="0.25"/>
    <row r="146761" customFormat="1" x14ac:dyDescent="0.25"/>
    <row r="146762" customFormat="1" x14ac:dyDescent="0.25"/>
    <row r="146763" customFormat="1" x14ac:dyDescent="0.25"/>
    <row r="146764" customFormat="1" x14ac:dyDescent="0.25"/>
    <row r="146765" customFormat="1" x14ac:dyDescent="0.25"/>
    <row r="146766" customFormat="1" x14ac:dyDescent="0.25"/>
    <row r="146767" customFormat="1" x14ac:dyDescent="0.25"/>
    <row r="146768" customFormat="1" x14ac:dyDescent="0.25"/>
    <row r="146769" customFormat="1" x14ac:dyDescent="0.25"/>
    <row r="146770" customFormat="1" x14ac:dyDescent="0.25"/>
    <row r="146771" customFormat="1" x14ac:dyDescent="0.25"/>
    <row r="146772" customFormat="1" x14ac:dyDescent="0.25"/>
    <row r="146773" customFormat="1" x14ac:dyDescent="0.25"/>
    <row r="146774" customFormat="1" x14ac:dyDescent="0.25"/>
    <row r="146775" customFormat="1" x14ac:dyDescent="0.25"/>
    <row r="146776" customFormat="1" x14ac:dyDescent="0.25"/>
    <row r="146777" customFormat="1" x14ac:dyDescent="0.25"/>
    <row r="146778" customFormat="1" x14ac:dyDescent="0.25"/>
    <row r="146779" customFormat="1" x14ac:dyDescent="0.25"/>
    <row r="146780" customFormat="1" x14ac:dyDescent="0.25"/>
    <row r="146781" customFormat="1" x14ac:dyDescent="0.25"/>
    <row r="146782" customFormat="1" x14ac:dyDescent="0.25"/>
    <row r="146783" customFormat="1" x14ac:dyDescent="0.25"/>
    <row r="146784" customFormat="1" x14ac:dyDescent="0.25"/>
    <row r="146785" customFormat="1" x14ac:dyDescent="0.25"/>
    <row r="146786" customFormat="1" x14ac:dyDescent="0.25"/>
    <row r="146787" customFormat="1" x14ac:dyDescent="0.25"/>
    <row r="146788" customFormat="1" x14ac:dyDescent="0.25"/>
    <row r="146789" customFormat="1" x14ac:dyDescent="0.25"/>
    <row r="146790" customFormat="1" x14ac:dyDescent="0.25"/>
    <row r="146791" customFormat="1" x14ac:dyDescent="0.25"/>
    <row r="146792" customFormat="1" x14ac:dyDescent="0.25"/>
    <row r="146793" customFormat="1" x14ac:dyDescent="0.25"/>
    <row r="146794" customFormat="1" x14ac:dyDescent="0.25"/>
    <row r="146795" customFormat="1" x14ac:dyDescent="0.25"/>
    <row r="146796" customFormat="1" x14ac:dyDescent="0.25"/>
    <row r="146797" customFormat="1" x14ac:dyDescent="0.25"/>
    <row r="146798" customFormat="1" x14ac:dyDescent="0.25"/>
    <row r="146799" customFormat="1" x14ac:dyDescent="0.25"/>
    <row r="146800" customFormat="1" x14ac:dyDescent="0.25"/>
    <row r="146801" customFormat="1" x14ac:dyDescent="0.25"/>
    <row r="146802" customFormat="1" x14ac:dyDescent="0.25"/>
    <row r="146803" customFormat="1" x14ac:dyDescent="0.25"/>
    <row r="146804" customFormat="1" x14ac:dyDescent="0.25"/>
    <row r="146805" customFormat="1" x14ac:dyDescent="0.25"/>
    <row r="146806" customFormat="1" x14ac:dyDescent="0.25"/>
    <row r="146807" customFormat="1" x14ac:dyDescent="0.25"/>
    <row r="146808" customFormat="1" x14ac:dyDescent="0.25"/>
    <row r="146809" customFormat="1" x14ac:dyDescent="0.25"/>
    <row r="146810" customFormat="1" x14ac:dyDescent="0.25"/>
    <row r="146811" customFormat="1" x14ac:dyDescent="0.25"/>
    <row r="146812" customFormat="1" x14ac:dyDescent="0.25"/>
    <row r="146813" customFormat="1" x14ac:dyDescent="0.25"/>
    <row r="146814" customFormat="1" x14ac:dyDescent="0.25"/>
    <row r="146815" customFormat="1" x14ac:dyDescent="0.25"/>
    <row r="146816" customFormat="1" x14ac:dyDescent="0.25"/>
    <row r="146817" customFormat="1" x14ac:dyDescent="0.25"/>
    <row r="146818" customFormat="1" x14ac:dyDescent="0.25"/>
    <row r="146819" customFormat="1" x14ac:dyDescent="0.25"/>
    <row r="146820" customFormat="1" x14ac:dyDescent="0.25"/>
    <row r="146821" customFormat="1" x14ac:dyDescent="0.25"/>
    <row r="146822" customFormat="1" x14ac:dyDescent="0.25"/>
    <row r="146823" customFormat="1" x14ac:dyDescent="0.25"/>
    <row r="146824" customFormat="1" x14ac:dyDescent="0.25"/>
    <row r="146825" customFormat="1" x14ac:dyDescent="0.25"/>
    <row r="146826" customFormat="1" x14ac:dyDescent="0.25"/>
    <row r="146827" customFormat="1" x14ac:dyDescent="0.25"/>
    <row r="146828" customFormat="1" x14ac:dyDescent="0.25"/>
    <row r="146829" customFormat="1" x14ac:dyDescent="0.25"/>
    <row r="146830" customFormat="1" x14ac:dyDescent="0.25"/>
    <row r="146831" customFormat="1" x14ac:dyDescent="0.25"/>
    <row r="146832" customFormat="1" x14ac:dyDescent="0.25"/>
    <row r="146833" customFormat="1" x14ac:dyDescent="0.25"/>
    <row r="146834" customFormat="1" x14ac:dyDescent="0.25"/>
    <row r="146835" customFormat="1" x14ac:dyDescent="0.25"/>
    <row r="146836" customFormat="1" x14ac:dyDescent="0.25"/>
    <row r="146837" customFormat="1" x14ac:dyDescent="0.25"/>
    <row r="146838" customFormat="1" x14ac:dyDescent="0.25"/>
    <row r="146839" customFormat="1" x14ac:dyDescent="0.25"/>
    <row r="146840" customFormat="1" x14ac:dyDescent="0.25"/>
    <row r="146841" customFormat="1" x14ac:dyDescent="0.25"/>
    <row r="146842" customFormat="1" x14ac:dyDescent="0.25"/>
    <row r="146843" customFormat="1" x14ac:dyDescent="0.25"/>
    <row r="146844" customFormat="1" x14ac:dyDescent="0.25"/>
    <row r="146845" customFormat="1" x14ac:dyDescent="0.25"/>
    <row r="146846" customFormat="1" x14ac:dyDescent="0.25"/>
    <row r="146847" customFormat="1" x14ac:dyDescent="0.25"/>
    <row r="146848" customFormat="1" x14ac:dyDescent="0.25"/>
    <row r="146849" customFormat="1" x14ac:dyDescent="0.25"/>
    <row r="146850" customFormat="1" x14ac:dyDescent="0.25"/>
    <row r="146851" customFormat="1" x14ac:dyDescent="0.25"/>
    <row r="146852" customFormat="1" x14ac:dyDescent="0.25"/>
    <row r="146853" customFormat="1" x14ac:dyDescent="0.25"/>
    <row r="146854" customFormat="1" x14ac:dyDescent="0.25"/>
    <row r="146855" customFormat="1" x14ac:dyDescent="0.25"/>
    <row r="146856" customFormat="1" x14ac:dyDescent="0.25"/>
    <row r="146857" customFormat="1" x14ac:dyDescent="0.25"/>
    <row r="146858" customFormat="1" x14ac:dyDescent="0.25"/>
    <row r="146859" customFormat="1" x14ac:dyDescent="0.25"/>
    <row r="146860" customFormat="1" x14ac:dyDescent="0.25"/>
    <row r="146861" customFormat="1" x14ac:dyDescent="0.25"/>
    <row r="146862" customFormat="1" x14ac:dyDescent="0.25"/>
    <row r="146863" customFormat="1" x14ac:dyDescent="0.25"/>
    <row r="146864" customFormat="1" x14ac:dyDescent="0.25"/>
    <row r="146865" customFormat="1" x14ac:dyDescent="0.25"/>
    <row r="146866" customFormat="1" x14ac:dyDescent="0.25"/>
    <row r="146867" customFormat="1" x14ac:dyDescent="0.25"/>
    <row r="146868" customFormat="1" x14ac:dyDescent="0.25"/>
    <row r="146869" customFormat="1" x14ac:dyDescent="0.25"/>
    <row r="146870" customFormat="1" x14ac:dyDescent="0.25"/>
    <row r="146871" customFormat="1" x14ac:dyDescent="0.25"/>
    <row r="146872" customFormat="1" x14ac:dyDescent="0.25"/>
    <row r="146873" customFormat="1" x14ac:dyDescent="0.25"/>
    <row r="146874" customFormat="1" x14ac:dyDescent="0.25"/>
    <row r="146875" customFormat="1" x14ac:dyDescent="0.25"/>
    <row r="146876" customFormat="1" x14ac:dyDescent="0.25"/>
    <row r="146877" customFormat="1" x14ac:dyDescent="0.25"/>
    <row r="146878" customFormat="1" x14ac:dyDescent="0.25"/>
    <row r="146879" customFormat="1" x14ac:dyDescent="0.25"/>
    <row r="146880" customFormat="1" x14ac:dyDescent="0.25"/>
    <row r="146881" customFormat="1" x14ac:dyDescent="0.25"/>
    <row r="146882" customFormat="1" x14ac:dyDescent="0.25"/>
    <row r="146883" customFormat="1" x14ac:dyDescent="0.25"/>
    <row r="146884" customFormat="1" x14ac:dyDescent="0.25"/>
    <row r="146885" customFormat="1" x14ac:dyDescent="0.25"/>
    <row r="146886" customFormat="1" x14ac:dyDescent="0.25"/>
    <row r="146887" customFormat="1" x14ac:dyDescent="0.25"/>
    <row r="146888" customFormat="1" x14ac:dyDescent="0.25"/>
    <row r="146889" customFormat="1" x14ac:dyDescent="0.25"/>
    <row r="146890" customFormat="1" x14ac:dyDescent="0.25"/>
    <row r="146891" customFormat="1" x14ac:dyDescent="0.25"/>
    <row r="146892" customFormat="1" x14ac:dyDescent="0.25"/>
    <row r="146893" customFormat="1" x14ac:dyDescent="0.25"/>
    <row r="146894" customFormat="1" x14ac:dyDescent="0.25"/>
    <row r="146895" customFormat="1" x14ac:dyDescent="0.25"/>
    <row r="146896" customFormat="1" x14ac:dyDescent="0.25"/>
    <row r="146897" customFormat="1" x14ac:dyDescent="0.25"/>
    <row r="146898" customFormat="1" x14ac:dyDescent="0.25"/>
    <row r="146899" customFormat="1" x14ac:dyDescent="0.25"/>
    <row r="146900" customFormat="1" x14ac:dyDescent="0.25"/>
    <row r="146901" customFormat="1" x14ac:dyDescent="0.25"/>
    <row r="146902" customFormat="1" x14ac:dyDescent="0.25"/>
    <row r="146903" customFormat="1" x14ac:dyDescent="0.25"/>
    <row r="146904" customFormat="1" x14ac:dyDescent="0.25"/>
    <row r="146905" customFormat="1" x14ac:dyDescent="0.25"/>
    <row r="146906" customFormat="1" x14ac:dyDescent="0.25"/>
    <row r="146907" customFormat="1" x14ac:dyDescent="0.25"/>
    <row r="146908" customFormat="1" x14ac:dyDescent="0.25"/>
    <row r="146909" customFormat="1" x14ac:dyDescent="0.25"/>
    <row r="146910" customFormat="1" x14ac:dyDescent="0.25"/>
    <row r="146911" customFormat="1" x14ac:dyDescent="0.25"/>
    <row r="146912" customFormat="1" x14ac:dyDescent="0.25"/>
    <row r="146913" customFormat="1" x14ac:dyDescent="0.25"/>
    <row r="146914" customFormat="1" x14ac:dyDescent="0.25"/>
    <row r="146915" customFormat="1" x14ac:dyDescent="0.25"/>
    <row r="146916" customFormat="1" x14ac:dyDescent="0.25"/>
    <row r="146917" customFormat="1" x14ac:dyDescent="0.25"/>
    <row r="146918" customFormat="1" x14ac:dyDescent="0.25"/>
    <row r="146919" customFormat="1" x14ac:dyDescent="0.25"/>
    <row r="146920" customFormat="1" x14ac:dyDescent="0.25"/>
    <row r="146921" customFormat="1" x14ac:dyDescent="0.25"/>
    <row r="146922" customFormat="1" x14ac:dyDescent="0.25"/>
    <row r="146923" customFormat="1" x14ac:dyDescent="0.25"/>
    <row r="146924" customFormat="1" x14ac:dyDescent="0.25"/>
    <row r="146925" customFormat="1" x14ac:dyDescent="0.25"/>
    <row r="146926" customFormat="1" x14ac:dyDescent="0.25"/>
    <row r="146927" customFormat="1" x14ac:dyDescent="0.25"/>
    <row r="146928" customFormat="1" x14ac:dyDescent="0.25"/>
    <row r="146929" customFormat="1" x14ac:dyDescent="0.25"/>
    <row r="146930" customFormat="1" x14ac:dyDescent="0.25"/>
    <row r="146931" customFormat="1" x14ac:dyDescent="0.25"/>
    <row r="146932" customFormat="1" x14ac:dyDescent="0.25"/>
    <row r="146933" customFormat="1" x14ac:dyDescent="0.25"/>
    <row r="146934" customFormat="1" x14ac:dyDescent="0.25"/>
    <row r="146935" customFormat="1" x14ac:dyDescent="0.25"/>
    <row r="146936" customFormat="1" x14ac:dyDescent="0.25"/>
    <row r="146937" customFormat="1" x14ac:dyDescent="0.25"/>
    <row r="146938" customFormat="1" x14ac:dyDescent="0.25"/>
    <row r="146939" customFormat="1" x14ac:dyDescent="0.25"/>
    <row r="146940" customFormat="1" x14ac:dyDescent="0.25"/>
    <row r="146941" customFormat="1" x14ac:dyDescent="0.25"/>
    <row r="146942" customFormat="1" x14ac:dyDescent="0.25"/>
    <row r="146943" customFormat="1" x14ac:dyDescent="0.25"/>
    <row r="146944" customFormat="1" x14ac:dyDescent="0.25"/>
    <row r="146945" customFormat="1" x14ac:dyDescent="0.25"/>
    <row r="146946" customFormat="1" x14ac:dyDescent="0.25"/>
    <row r="146947" customFormat="1" x14ac:dyDescent="0.25"/>
    <row r="146948" customFormat="1" x14ac:dyDescent="0.25"/>
    <row r="146949" customFormat="1" x14ac:dyDescent="0.25"/>
    <row r="146950" customFormat="1" x14ac:dyDescent="0.25"/>
    <row r="146951" customFormat="1" x14ac:dyDescent="0.25"/>
    <row r="146952" customFormat="1" x14ac:dyDescent="0.25"/>
    <row r="146953" customFormat="1" x14ac:dyDescent="0.25"/>
    <row r="146954" customFormat="1" x14ac:dyDescent="0.25"/>
    <row r="146955" customFormat="1" x14ac:dyDescent="0.25"/>
    <row r="146956" customFormat="1" x14ac:dyDescent="0.25"/>
    <row r="146957" customFormat="1" x14ac:dyDescent="0.25"/>
    <row r="146958" customFormat="1" x14ac:dyDescent="0.25"/>
    <row r="146959" customFormat="1" x14ac:dyDescent="0.25"/>
    <row r="146960" customFormat="1" x14ac:dyDescent="0.25"/>
    <row r="146961" customFormat="1" x14ac:dyDescent="0.25"/>
    <row r="146962" customFormat="1" x14ac:dyDescent="0.25"/>
    <row r="146963" customFormat="1" x14ac:dyDescent="0.25"/>
    <row r="146964" customFormat="1" x14ac:dyDescent="0.25"/>
    <row r="146965" customFormat="1" x14ac:dyDescent="0.25"/>
    <row r="146966" customFormat="1" x14ac:dyDescent="0.25"/>
    <row r="146967" customFormat="1" x14ac:dyDescent="0.25"/>
    <row r="146968" customFormat="1" x14ac:dyDescent="0.25"/>
    <row r="146969" customFormat="1" x14ac:dyDescent="0.25"/>
    <row r="146970" customFormat="1" x14ac:dyDescent="0.25"/>
    <row r="146971" customFormat="1" x14ac:dyDescent="0.25"/>
    <row r="146972" customFormat="1" x14ac:dyDescent="0.25"/>
    <row r="146973" customFormat="1" x14ac:dyDescent="0.25"/>
    <row r="146974" customFormat="1" x14ac:dyDescent="0.25"/>
    <row r="146975" customFormat="1" x14ac:dyDescent="0.25"/>
    <row r="146976" customFormat="1" x14ac:dyDescent="0.25"/>
    <row r="146977" customFormat="1" x14ac:dyDescent="0.25"/>
    <row r="146978" customFormat="1" x14ac:dyDescent="0.25"/>
    <row r="146979" customFormat="1" x14ac:dyDescent="0.25"/>
    <row r="146980" customFormat="1" x14ac:dyDescent="0.25"/>
    <row r="146981" customFormat="1" x14ac:dyDescent="0.25"/>
    <row r="146982" customFormat="1" x14ac:dyDescent="0.25"/>
    <row r="146983" customFormat="1" x14ac:dyDescent="0.25"/>
    <row r="146984" customFormat="1" x14ac:dyDescent="0.25"/>
    <row r="146985" customFormat="1" x14ac:dyDescent="0.25"/>
    <row r="146986" customFormat="1" x14ac:dyDescent="0.25"/>
    <row r="146987" customFormat="1" x14ac:dyDescent="0.25"/>
    <row r="146988" customFormat="1" x14ac:dyDescent="0.25"/>
    <row r="146989" customFormat="1" x14ac:dyDescent="0.25"/>
    <row r="146990" customFormat="1" x14ac:dyDescent="0.25"/>
    <row r="146991" customFormat="1" x14ac:dyDescent="0.25"/>
    <row r="146992" customFormat="1" x14ac:dyDescent="0.25"/>
    <row r="146993" customFormat="1" x14ac:dyDescent="0.25"/>
    <row r="146994" customFormat="1" x14ac:dyDescent="0.25"/>
    <row r="146995" customFormat="1" x14ac:dyDescent="0.25"/>
    <row r="146996" customFormat="1" x14ac:dyDescent="0.25"/>
    <row r="146997" customFormat="1" x14ac:dyDescent="0.25"/>
    <row r="146998" customFormat="1" x14ac:dyDescent="0.25"/>
    <row r="146999" customFormat="1" x14ac:dyDescent="0.25"/>
    <row r="147000" customFormat="1" x14ac:dyDescent="0.25"/>
    <row r="147001" customFormat="1" x14ac:dyDescent="0.25"/>
    <row r="147002" customFormat="1" x14ac:dyDescent="0.25"/>
    <row r="147003" customFormat="1" x14ac:dyDescent="0.25"/>
    <row r="147004" customFormat="1" x14ac:dyDescent="0.25"/>
    <row r="147005" customFormat="1" x14ac:dyDescent="0.25"/>
    <row r="147006" customFormat="1" x14ac:dyDescent="0.25"/>
    <row r="147007" customFormat="1" x14ac:dyDescent="0.25"/>
    <row r="147008" customFormat="1" x14ac:dyDescent="0.25"/>
    <row r="147009" customFormat="1" x14ac:dyDescent="0.25"/>
    <row r="147010" customFormat="1" x14ac:dyDescent="0.25"/>
    <row r="147011" customFormat="1" x14ac:dyDescent="0.25"/>
    <row r="147012" customFormat="1" x14ac:dyDescent="0.25"/>
    <row r="147013" customFormat="1" x14ac:dyDescent="0.25"/>
    <row r="147014" customFormat="1" x14ac:dyDescent="0.25"/>
    <row r="147015" customFormat="1" x14ac:dyDescent="0.25"/>
    <row r="147016" customFormat="1" x14ac:dyDescent="0.25"/>
    <row r="147017" customFormat="1" x14ac:dyDescent="0.25"/>
    <row r="147018" customFormat="1" x14ac:dyDescent="0.25"/>
    <row r="147019" customFormat="1" x14ac:dyDescent="0.25"/>
    <row r="147020" customFormat="1" x14ac:dyDescent="0.25"/>
    <row r="147021" customFormat="1" x14ac:dyDescent="0.25"/>
    <row r="147022" customFormat="1" x14ac:dyDescent="0.25"/>
    <row r="147023" customFormat="1" x14ac:dyDescent="0.25"/>
    <row r="147024" customFormat="1" x14ac:dyDescent="0.25"/>
    <row r="147025" customFormat="1" x14ac:dyDescent="0.25"/>
    <row r="147026" customFormat="1" x14ac:dyDescent="0.25"/>
    <row r="147027" customFormat="1" x14ac:dyDescent="0.25"/>
    <row r="147028" customFormat="1" x14ac:dyDescent="0.25"/>
    <row r="147029" customFormat="1" x14ac:dyDescent="0.25"/>
    <row r="147030" customFormat="1" x14ac:dyDescent="0.25"/>
    <row r="147031" customFormat="1" x14ac:dyDescent="0.25"/>
    <row r="147032" customFormat="1" x14ac:dyDescent="0.25"/>
    <row r="147033" customFormat="1" x14ac:dyDescent="0.25"/>
    <row r="147034" customFormat="1" x14ac:dyDescent="0.25"/>
    <row r="147035" customFormat="1" x14ac:dyDescent="0.25"/>
    <row r="147036" customFormat="1" x14ac:dyDescent="0.25"/>
    <row r="147037" customFormat="1" x14ac:dyDescent="0.25"/>
    <row r="147038" customFormat="1" x14ac:dyDescent="0.25"/>
    <row r="147039" customFormat="1" x14ac:dyDescent="0.25"/>
    <row r="147040" customFormat="1" x14ac:dyDescent="0.25"/>
    <row r="147041" customFormat="1" x14ac:dyDescent="0.25"/>
    <row r="147042" customFormat="1" x14ac:dyDescent="0.25"/>
    <row r="147043" customFormat="1" x14ac:dyDescent="0.25"/>
    <row r="147044" customFormat="1" x14ac:dyDescent="0.25"/>
    <row r="147045" customFormat="1" x14ac:dyDescent="0.25"/>
    <row r="147046" customFormat="1" x14ac:dyDescent="0.25"/>
    <row r="147047" customFormat="1" x14ac:dyDescent="0.25"/>
    <row r="147048" customFormat="1" x14ac:dyDescent="0.25"/>
    <row r="147049" customFormat="1" x14ac:dyDescent="0.25"/>
    <row r="147050" customFormat="1" x14ac:dyDescent="0.25"/>
    <row r="147051" customFormat="1" x14ac:dyDescent="0.25"/>
    <row r="147052" customFormat="1" x14ac:dyDescent="0.25"/>
    <row r="147053" customFormat="1" x14ac:dyDescent="0.25"/>
    <row r="147054" customFormat="1" x14ac:dyDescent="0.25"/>
    <row r="147055" customFormat="1" x14ac:dyDescent="0.25"/>
    <row r="147056" customFormat="1" x14ac:dyDescent="0.25"/>
    <row r="147057" customFormat="1" x14ac:dyDescent="0.25"/>
    <row r="147058" customFormat="1" x14ac:dyDescent="0.25"/>
    <row r="147059" customFormat="1" x14ac:dyDescent="0.25"/>
    <row r="147060" customFormat="1" x14ac:dyDescent="0.25"/>
    <row r="147061" customFormat="1" x14ac:dyDescent="0.25"/>
    <row r="147062" customFormat="1" x14ac:dyDescent="0.25"/>
    <row r="147063" customFormat="1" x14ac:dyDescent="0.25"/>
    <row r="147064" customFormat="1" x14ac:dyDescent="0.25"/>
    <row r="147065" customFormat="1" x14ac:dyDescent="0.25"/>
    <row r="147066" customFormat="1" x14ac:dyDescent="0.25"/>
    <row r="147067" customFormat="1" x14ac:dyDescent="0.25"/>
    <row r="147068" customFormat="1" x14ac:dyDescent="0.25"/>
    <row r="147069" customFormat="1" x14ac:dyDescent="0.25"/>
    <row r="147070" customFormat="1" x14ac:dyDescent="0.25"/>
    <row r="147071" customFormat="1" x14ac:dyDescent="0.25"/>
    <row r="147072" customFormat="1" x14ac:dyDescent="0.25"/>
    <row r="147073" customFormat="1" x14ac:dyDescent="0.25"/>
    <row r="147074" customFormat="1" x14ac:dyDescent="0.25"/>
    <row r="147075" customFormat="1" x14ac:dyDescent="0.25"/>
    <row r="147076" customFormat="1" x14ac:dyDescent="0.25"/>
    <row r="147077" customFormat="1" x14ac:dyDescent="0.25"/>
    <row r="147078" customFormat="1" x14ac:dyDescent="0.25"/>
    <row r="147079" customFormat="1" x14ac:dyDescent="0.25"/>
    <row r="147080" customFormat="1" x14ac:dyDescent="0.25"/>
    <row r="147081" customFormat="1" x14ac:dyDescent="0.25"/>
    <row r="147082" customFormat="1" x14ac:dyDescent="0.25"/>
    <row r="147083" customFormat="1" x14ac:dyDescent="0.25"/>
    <row r="147084" customFormat="1" x14ac:dyDescent="0.25"/>
    <row r="147085" customFormat="1" x14ac:dyDescent="0.25"/>
    <row r="147086" customFormat="1" x14ac:dyDescent="0.25"/>
    <row r="147087" customFormat="1" x14ac:dyDescent="0.25"/>
    <row r="147088" customFormat="1" x14ac:dyDescent="0.25"/>
    <row r="147089" customFormat="1" x14ac:dyDescent="0.25"/>
    <row r="147090" customFormat="1" x14ac:dyDescent="0.25"/>
    <row r="147091" customFormat="1" x14ac:dyDescent="0.25"/>
    <row r="147092" customFormat="1" x14ac:dyDescent="0.25"/>
    <row r="147093" customFormat="1" x14ac:dyDescent="0.25"/>
    <row r="147094" customFormat="1" x14ac:dyDescent="0.25"/>
    <row r="147095" customFormat="1" x14ac:dyDescent="0.25"/>
    <row r="147096" customFormat="1" x14ac:dyDescent="0.25"/>
    <row r="147097" customFormat="1" x14ac:dyDescent="0.25"/>
    <row r="147098" customFormat="1" x14ac:dyDescent="0.25"/>
    <row r="147099" customFormat="1" x14ac:dyDescent="0.25"/>
    <row r="147100" customFormat="1" x14ac:dyDescent="0.25"/>
    <row r="147101" customFormat="1" x14ac:dyDescent="0.25"/>
    <row r="147102" customFormat="1" x14ac:dyDescent="0.25"/>
    <row r="147103" customFormat="1" x14ac:dyDescent="0.25"/>
    <row r="147104" customFormat="1" x14ac:dyDescent="0.25"/>
    <row r="147105" customFormat="1" x14ac:dyDescent="0.25"/>
    <row r="147106" customFormat="1" x14ac:dyDescent="0.25"/>
    <row r="147107" customFormat="1" x14ac:dyDescent="0.25"/>
    <row r="147108" customFormat="1" x14ac:dyDescent="0.25"/>
    <row r="147109" customFormat="1" x14ac:dyDescent="0.25"/>
    <row r="147110" customFormat="1" x14ac:dyDescent="0.25"/>
    <row r="147111" customFormat="1" x14ac:dyDescent="0.25"/>
    <row r="147112" customFormat="1" x14ac:dyDescent="0.25"/>
    <row r="147113" customFormat="1" x14ac:dyDescent="0.25"/>
    <row r="147114" customFormat="1" x14ac:dyDescent="0.25"/>
    <row r="147115" customFormat="1" x14ac:dyDescent="0.25"/>
    <row r="147116" customFormat="1" x14ac:dyDescent="0.25"/>
    <row r="147117" customFormat="1" x14ac:dyDescent="0.25"/>
    <row r="147118" customFormat="1" x14ac:dyDescent="0.25"/>
    <row r="147119" customFormat="1" x14ac:dyDescent="0.25"/>
    <row r="147120" customFormat="1" x14ac:dyDescent="0.25"/>
    <row r="147121" customFormat="1" x14ac:dyDescent="0.25"/>
    <row r="147122" customFormat="1" x14ac:dyDescent="0.25"/>
    <row r="147123" customFormat="1" x14ac:dyDescent="0.25"/>
    <row r="147124" customFormat="1" x14ac:dyDescent="0.25"/>
    <row r="147125" customFormat="1" x14ac:dyDescent="0.25"/>
    <row r="147126" customFormat="1" x14ac:dyDescent="0.25"/>
    <row r="147127" customFormat="1" x14ac:dyDescent="0.25"/>
    <row r="147128" customFormat="1" x14ac:dyDescent="0.25"/>
    <row r="147129" customFormat="1" x14ac:dyDescent="0.25"/>
    <row r="147130" customFormat="1" x14ac:dyDescent="0.25"/>
    <row r="147131" customFormat="1" x14ac:dyDescent="0.25"/>
    <row r="147132" customFormat="1" x14ac:dyDescent="0.25"/>
    <row r="147133" customFormat="1" x14ac:dyDescent="0.25"/>
    <row r="147134" customFormat="1" x14ac:dyDescent="0.25"/>
    <row r="147135" customFormat="1" x14ac:dyDescent="0.25"/>
    <row r="147136" customFormat="1" x14ac:dyDescent="0.25"/>
    <row r="147137" customFormat="1" x14ac:dyDescent="0.25"/>
    <row r="147138" customFormat="1" x14ac:dyDescent="0.25"/>
    <row r="147139" customFormat="1" x14ac:dyDescent="0.25"/>
    <row r="147140" customFormat="1" x14ac:dyDescent="0.25"/>
    <row r="147141" customFormat="1" x14ac:dyDescent="0.25"/>
    <row r="147142" customFormat="1" x14ac:dyDescent="0.25"/>
    <row r="147143" customFormat="1" x14ac:dyDescent="0.25"/>
    <row r="147144" customFormat="1" x14ac:dyDescent="0.25"/>
    <row r="147145" customFormat="1" x14ac:dyDescent="0.25"/>
    <row r="147146" customFormat="1" x14ac:dyDescent="0.25"/>
    <row r="147147" customFormat="1" x14ac:dyDescent="0.25"/>
    <row r="147148" customFormat="1" x14ac:dyDescent="0.25"/>
    <row r="147149" customFormat="1" x14ac:dyDescent="0.25"/>
    <row r="147150" customFormat="1" x14ac:dyDescent="0.25"/>
    <row r="147151" customFormat="1" x14ac:dyDescent="0.25"/>
    <row r="147152" customFormat="1" x14ac:dyDescent="0.25"/>
    <row r="147153" customFormat="1" x14ac:dyDescent="0.25"/>
    <row r="147154" customFormat="1" x14ac:dyDescent="0.25"/>
    <row r="147155" customFormat="1" x14ac:dyDescent="0.25"/>
    <row r="147156" customFormat="1" x14ac:dyDescent="0.25"/>
    <row r="147157" customFormat="1" x14ac:dyDescent="0.25"/>
    <row r="147158" customFormat="1" x14ac:dyDescent="0.25"/>
    <row r="147159" customFormat="1" x14ac:dyDescent="0.25"/>
    <row r="147160" customFormat="1" x14ac:dyDescent="0.25"/>
    <row r="147161" customFormat="1" x14ac:dyDescent="0.25"/>
    <row r="147162" customFormat="1" x14ac:dyDescent="0.25"/>
    <row r="147163" customFormat="1" x14ac:dyDescent="0.25"/>
    <row r="147164" customFormat="1" x14ac:dyDescent="0.25"/>
    <row r="147165" customFormat="1" x14ac:dyDescent="0.25"/>
    <row r="147166" customFormat="1" x14ac:dyDescent="0.25"/>
    <row r="147167" customFormat="1" x14ac:dyDescent="0.25"/>
    <row r="147168" customFormat="1" x14ac:dyDescent="0.25"/>
    <row r="147169" customFormat="1" x14ac:dyDescent="0.25"/>
    <row r="147170" customFormat="1" x14ac:dyDescent="0.25"/>
    <row r="147171" customFormat="1" x14ac:dyDescent="0.25"/>
    <row r="147172" customFormat="1" x14ac:dyDescent="0.25"/>
    <row r="147173" customFormat="1" x14ac:dyDescent="0.25"/>
    <row r="147174" customFormat="1" x14ac:dyDescent="0.25"/>
    <row r="147175" customFormat="1" x14ac:dyDescent="0.25"/>
    <row r="147176" customFormat="1" x14ac:dyDescent="0.25"/>
    <row r="147177" customFormat="1" x14ac:dyDescent="0.25"/>
    <row r="147178" customFormat="1" x14ac:dyDescent="0.25"/>
    <row r="147179" customFormat="1" x14ac:dyDescent="0.25"/>
    <row r="147180" customFormat="1" x14ac:dyDescent="0.25"/>
    <row r="147181" customFormat="1" x14ac:dyDescent="0.25"/>
    <row r="147182" customFormat="1" x14ac:dyDescent="0.25"/>
    <row r="147183" customFormat="1" x14ac:dyDescent="0.25"/>
    <row r="147184" customFormat="1" x14ac:dyDescent="0.25"/>
    <row r="147185" customFormat="1" x14ac:dyDescent="0.25"/>
    <row r="147186" customFormat="1" x14ac:dyDescent="0.25"/>
    <row r="147187" customFormat="1" x14ac:dyDescent="0.25"/>
    <row r="147188" customFormat="1" x14ac:dyDescent="0.25"/>
    <row r="147189" customFormat="1" x14ac:dyDescent="0.25"/>
    <row r="147190" customFormat="1" x14ac:dyDescent="0.25"/>
    <row r="147191" customFormat="1" x14ac:dyDescent="0.25"/>
    <row r="147192" customFormat="1" x14ac:dyDescent="0.25"/>
    <row r="147193" customFormat="1" x14ac:dyDescent="0.25"/>
    <row r="147194" customFormat="1" x14ac:dyDescent="0.25"/>
    <row r="147195" customFormat="1" x14ac:dyDescent="0.25"/>
    <row r="147196" customFormat="1" x14ac:dyDescent="0.25"/>
    <row r="147197" customFormat="1" x14ac:dyDescent="0.25"/>
    <row r="147198" customFormat="1" x14ac:dyDescent="0.25"/>
    <row r="147199" customFormat="1" x14ac:dyDescent="0.25"/>
    <row r="147200" customFormat="1" x14ac:dyDescent="0.25"/>
    <row r="147201" customFormat="1" x14ac:dyDescent="0.25"/>
    <row r="147202" customFormat="1" x14ac:dyDescent="0.25"/>
    <row r="147203" customFormat="1" x14ac:dyDescent="0.25"/>
    <row r="147204" customFormat="1" x14ac:dyDescent="0.25"/>
    <row r="147205" customFormat="1" x14ac:dyDescent="0.25"/>
    <row r="147206" customFormat="1" x14ac:dyDescent="0.25"/>
    <row r="147207" customFormat="1" x14ac:dyDescent="0.25"/>
    <row r="147208" customFormat="1" x14ac:dyDescent="0.25"/>
    <row r="147209" customFormat="1" x14ac:dyDescent="0.25"/>
    <row r="147210" customFormat="1" x14ac:dyDescent="0.25"/>
    <row r="147211" customFormat="1" x14ac:dyDescent="0.25"/>
    <row r="147212" customFormat="1" x14ac:dyDescent="0.25"/>
    <row r="147213" customFormat="1" x14ac:dyDescent="0.25"/>
    <row r="147214" customFormat="1" x14ac:dyDescent="0.25"/>
    <row r="147215" customFormat="1" x14ac:dyDescent="0.25"/>
    <row r="147216" customFormat="1" x14ac:dyDescent="0.25"/>
    <row r="147217" customFormat="1" x14ac:dyDescent="0.25"/>
    <row r="147218" customFormat="1" x14ac:dyDescent="0.25"/>
    <row r="147219" customFormat="1" x14ac:dyDescent="0.25"/>
    <row r="147220" customFormat="1" x14ac:dyDescent="0.25"/>
    <row r="147221" customFormat="1" x14ac:dyDescent="0.25"/>
    <row r="147222" customFormat="1" x14ac:dyDescent="0.25"/>
    <row r="147223" customFormat="1" x14ac:dyDescent="0.25"/>
    <row r="147224" customFormat="1" x14ac:dyDescent="0.25"/>
    <row r="147225" customFormat="1" x14ac:dyDescent="0.25"/>
    <row r="147226" customFormat="1" x14ac:dyDescent="0.25"/>
    <row r="147227" customFormat="1" x14ac:dyDescent="0.25"/>
    <row r="147228" customFormat="1" x14ac:dyDescent="0.25"/>
    <row r="147229" customFormat="1" x14ac:dyDescent="0.25"/>
    <row r="147230" customFormat="1" x14ac:dyDescent="0.25"/>
    <row r="147231" customFormat="1" x14ac:dyDescent="0.25"/>
    <row r="147232" customFormat="1" x14ac:dyDescent="0.25"/>
    <row r="147233" customFormat="1" x14ac:dyDescent="0.25"/>
    <row r="147234" customFormat="1" x14ac:dyDescent="0.25"/>
    <row r="147235" customFormat="1" x14ac:dyDescent="0.25"/>
    <row r="147236" customFormat="1" x14ac:dyDescent="0.25"/>
    <row r="147237" customFormat="1" x14ac:dyDescent="0.25"/>
    <row r="147238" customFormat="1" x14ac:dyDescent="0.25"/>
    <row r="147239" customFormat="1" x14ac:dyDescent="0.25"/>
    <row r="147240" customFormat="1" x14ac:dyDescent="0.25"/>
    <row r="147241" customFormat="1" x14ac:dyDescent="0.25"/>
    <row r="147242" customFormat="1" x14ac:dyDescent="0.25"/>
    <row r="147243" customFormat="1" x14ac:dyDescent="0.25"/>
    <row r="147244" customFormat="1" x14ac:dyDescent="0.25"/>
    <row r="147245" customFormat="1" x14ac:dyDescent="0.25"/>
    <row r="147246" customFormat="1" x14ac:dyDescent="0.25"/>
    <row r="147247" customFormat="1" x14ac:dyDescent="0.25"/>
    <row r="147248" customFormat="1" x14ac:dyDescent="0.25"/>
    <row r="147249" customFormat="1" x14ac:dyDescent="0.25"/>
    <row r="147250" customFormat="1" x14ac:dyDescent="0.25"/>
    <row r="147251" customFormat="1" x14ac:dyDescent="0.25"/>
    <row r="147252" customFormat="1" x14ac:dyDescent="0.25"/>
    <row r="147253" customFormat="1" x14ac:dyDescent="0.25"/>
    <row r="147254" customFormat="1" x14ac:dyDescent="0.25"/>
    <row r="147255" customFormat="1" x14ac:dyDescent="0.25"/>
    <row r="147256" customFormat="1" x14ac:dyDescent="0.25"/>
    <row r="147257" customFormat="1" x14ac:dyDescent="0.25"/>
    <row r="147258" customFormat="1" x14ac:dyDescent="0.25"/>
    <row r="147259" customFormat="1" x14ac:dyDescent="0.25"/>
    <row r="147260" customFormat="1" x14ac:dyDescent="0.25"/>
    <row r="147261" customFormat="1" x14ac:dyDescent="0.25"/>
    <row r="147262" customFormat="1" x14ac:dyDescent="0.25"/>
    <row r="147263" customFormat="1" x14ac:dyDescent="0.25"/>
    <row r="147264" customFormat="1" x14ac:dyDescent="0.25"/>
    <row r="147265" customFormat="1" x14ac:dyDescent="0.25"/>
    <row r="147266" customFormat="1" x14ac:dyDescent="0.25"/>
    <row r="147267" customFormat="1" x14ac:dyDescent="0.25"/>
    <row r="147268" customFormat="1" x14ac:dyDescent="0.25"/>
    <row r="147269" customFormat="1" x14ac:dyDescent="0.25"/>
    <row r="147270" customFormat="1" x14ac:dyDescent="0.25"/>
    <row r="147271" customFormat="1" x14ac:dyDescent="0.25"/>
    <row r="147272" customFormat="1" x14ac:dyDescent="0.25"/>
    <row r="147273" customFormat="1" x14ac:dyDescent="0.25"/>
    <row r="147274" customFormat="1" x14ac:dyDescent="0.25"/>
    <row r="147275" customFormat="1" x14ac:dyDescent="0.25"/>
    <row r="147276" customFormat="1" x14ac:dyDescent="0.25"/>
    <row r="147277" customFormat="1" x14ac:dyDescent="0.25"/>
    <row r="147278" customFormat="1" x14ac:dyDescent="0.25"/>
    <row r="147279" customFormat="1" x14ac:dyDescent="0.25"/>
    <row r="147280" customFormat="1" x14ac:dyDescent="0.25"/>
    <row r="147281" customFormat="1" x14ac:dyDescent="0.25"/>
    <row r="147282" customFormat="1" x14ac:dyDescent="0.25"/>
    <row r="147283" customFormat="1" x14ac:dyDescent="0.25"/>
    <row r="147284" customFormat="1" x14ac:dyDescent="0.25"/>
    <row r="147285" customFormat="1" x14ac:dyDescent="0.25"/>
    <row r="147286" customFormat="1" x14ac:dyDescent="0.25"/>
    <row r="147287" customFormat="1" x14ac:dyDescent="0.25"/>
    <row r="147288" customFormat="1" x14ac:dyDescent="0.25"/>
    <row r="147289" customFormat="1" x14ac:dyDescent="0.25"/>
    <row r="147290" customFormat="1" x14ac:dyDescent="0.25"/>
    <row r="147291" customFormat="1" x14ac:dyDescent="0.25"/>
    <row r="147292" customFormat="1" x14ac:dyDescent="0.25"/>
    <row r="147293" customFormat="1" x14ac:dyDescent="0.25"/>
    <row r="147294" customFormat="1" x14ac:dyDescent="0.25"/>
    <row r="147295" customFormat="1" x14ac:dyDescent="0.25"/>
    <row r="147296" customFormat="1" x14ac:dyDescent="0.25"/>
    <row r="147297" customFormat="1" x14ac:dyDescent="0.25"/>
    <row r="147298" customFormat="1" x14ac:dyDescent="0.25"/>
    <row r="147299" customFormat="1" x14ac:dyDescent="0.25"/>
    <row r="147300" customFormat="1" x14ac:dyDescent="0.25"/>
    <row r="147301" customFormat="1" x14ac:dyDescent="0.25"/>
    <row r="147302" customFormat="1" x14ac:dyDescent="0.25"/>
    <row r="147303" customFormat="1" x14ac:dyDescent="0.25"/>
    <row r="147304" customFormat="1" x14ac:dyDescent="0.25"/>
    <row r="147305" customFormat="1" x14ac:dyDescent="0.25"/>
    <row r="147306" customFormat="1" x14ac:dyDescent="0.25"/>
    <row r="147307" customFormat="1" x14ac:dyDescent="0.25"/>
    <row r="147308" customFormat="1" x14ac:dyDescent="0.25"/>
    <row r="147309" customFormat="1" x14ac:dyDescent="0.25"/>
    <row r="147310" customFormat="1" x14ac:dyDescent="0.25"/>
    <row r="147311" customFormat="1" x14ac:dyDescent="0.25"/>
    <row r="147312" customFormat="1" x14ac:dyDescent="0.25"/>
    <row r="147313" customFormat="1" x14ac:dyDescent="0.25"/>
    <row r="147314" customFormat="1" x14ac:dyDescent="0.25"/>
    <row r="147315" customFormat="1" x14ac:dyDescent="0.25"/>
    <row r="147316" customFormat="1" x14ac:dyDescent="0.25"/>
    <row r="147317" customFormat="1" x14ac:dyDescent="0.25"/>
    <row r="147318" customFormat="1" x14ac:dyDescent="0.25"/>
    <row r="147319" customFormat="1" x14ac:dyDescent="0.25"/>
    <row r="147320" customFormat="1" x14ac:dyDescent="0.25"/>
    <row r="147321" customFormat="1" x14ac:dyDescent="0.25"/>
    <row r="147322" customFormat="1" x14ac:dyDescent="0.25"/>
    <row r="147323" customFormat="1" x14ac:dyDescent="0.25"/>
    <row r="147324" customFormat="1" x14ac:dyDescent="0.25"/>
    <row r="147325" customFormat="1" x14ac:dyDescent="0.25"/>
    <row r="147326" customFormat="1" x14ac:dyDescent="0.25"/>
    <row r="147327" customFormat="1" x14ac:dyDescent="0.25"/>
    <row r="147328" customFormat="1" x14ac:dyDescent="0.25"/>
    <row r="147329" customFormat="1" x14ac:dyDescent="0.25"/>
    <row r="147330" customFormat="1" x14ac:dyDescent="0.25"/>
    <row r="147331" customFormat="1" x14ac:dyDescent="0.25"/>
    <row r="147332" customFormat="1" x14ac:dyDescent="0.25"/>
    <row r="147333" customFormat="1" x14ac:dyDescent="0.25"/>
    <row r="147334" customFormat="1" x14ac:dyDescent="0.25"/>
    <row r="147335" customFormat="1" x14ac:dyDescent="0.25"/>
    <row r="147336" customFormat="1" x14ac:dyDescent="0.25"/>
    <row r="147337" customFormat="1" x14ac:dyDescent="0.25"/>
    <row r="147338" customFormat="1" x14ac:dyDescent="0.25"/>
    <row r="147339" customFormat="1" x14ac:dyDescent="0.25"/>
    <row r="147340" customFormat="1" x14ac:dyDescent="0.25"/>
    <row r="147341" customFormat="1" x14ac:dyDescent="0.25"/>
    <row r="147342" customFormat="1" x14ac:dyDescent="0.25"/>
    <row r="147343" customFormat="1" x14ac:dyDescent="0.25"/>
    <row r="147344" customFormat="1" x14ac:dyDescent="0.25"/>
    <row r="147345" customFormat="1" x14ac:dyDescent="0.25"/>
    <row r="147346" customFormat="1" x14ac:dyDescent="0.25"/>
    <row r="147347" customFormat="1" x14ac:dyDescent="0.25"/>
    <row r="147348" customFormat="1" x14ac:dyDescent="0.25"/>
    <row r="147349" customFormat="1" x14ac:dyDescent="0.25"/>
    <row r="147350" customFormat="1" x14ac:dyDescent="0.25"/>
    <row r="147351" customFormat="1" x14ac:dyDescent="0.25"/>
    <row r="147352" customFormat="1" x14ac:dyDescent="0.25"/>
    <row r="147353" customFormat="1" x14ac:dyDescent="0.25"/>
    <row r="147354" customFormat="1" x14ac:dyDescent="0.25"/>
    <row r="147355" customFormat="1" x14ac:dyDescent="0.25"/>
    <row r="147356" customFormat="1" x14ac:dyDescent="0.25"/>
    <row r="147357" customFormat="1" x14ac:dyDescent="0.25"/>
    <row r="147358" customFormat="1" x14ac:dyDescent="0.25"/>
    <row r="147359" customFormat="1" x14ac:dyDescent="0.25"/>
    <row r="147360" customFormat="1" x14ac:dyDescent="0.25"/>
    <row r="147361" customFormat="1" x14ac:dyDescent="0.25"/>
    <row r="147362" customFormat="1" x14ac:dyDescent="0.25"/>
    <row r="147363" customFormat="1" x14ac:dyDescent="0.25"/>
    <row r="147364" customFormat="1" x14ac:dyDescent="0.25"/>
    <row r="147365" customFormat="1" x14ac:dyDescent="0.25"/>
    <row r="147366" customFormat="1" x14ac:dyDescent="0.25"/>
    <row r="147367" customFormat="1" x14ac:dyDescent="0.25"/>
    <row r="147368" customFormat="1" x14ac:dyDescent="0.25"/>
    <row r="147369" customFormat="1" x14ac:dyDescent="0.25"/>
    <row r="147370" customFormat="1" x14ac:dyDescent="0.25"/>
    <row r="147371" customFormat="1" x14ac:dyDescent="0.25"/>
    <row r="147372" customFormat="1" x14ac:dyDescent="0.25"/>
    <row r="147373" customFormat="1" x14ac:dyDescent="0.25"/>
    <row r="147374" customFormat="1" x14ac:dyDescent="0.25"/>
    <row r="147375" customFormat="1" x14ac:dyDescent="0.25"/>
    <row r="147376" customFormat="1" x14ac:dyDescent="0.25"/>
    <row r="147377" customFormat="1" x14ac:dyDescent="0.25"/>
    <row r="147378" customFormat="1" x14ac:dyDescent="0.25"/>
    <row r="147379" customFormat="1" x14ac:dyDescent="0.25"/>
    <row r="147380" customFormat="1" x14ac:dyDescent="0.25"/>
    <row r="147381" customFormat="1" x14ac:dyDescent="0.25"/>
    <row r="147382" customFormat="1" x14ac:dyDescent="0.25"/>
    <row r="147383" customFormat="1" x14ac:dyDescent="0.25"/>
    <row r="147384" customFormat="1" x14ac:dyDescent="0.25"/>
    <row r="147385" customFormat="1" x14ac:dyDescent="0.25"/>
    <row r="147386" customFormat="1" x14ac:dyDescent="0.25"/>
    <row r="147387" customFormat="1" x14ac:dyDescent="0.25"/>
    <row r="147388" customFormat="1" x14ac:dyDescent="0.25"/>
    <row r="147389" customFormat="1" x14ac:dyDescent="0.25"/>
    <row r="147390" customFormat="1" x14ac:dyDescent="0.25"/>
    <row r="147391" customFormat="1" x14ac:dyDescent="0.25"/>
    <row r="147392" customFormat="1" x14ac:dyDescent="0.25"/>
    <row r="147393" customFormat="1" x14ac:dyDescent="0.25"/>
    <row r="147394" customFormat="1" x14ac:dyDescent="0.25"/>
    <row r="147395" customFormat="1" x14ac:dyDescent="0.25"/>
    <row r="147396" customFormat="1" x14ac:dyDescent="0.25"/>
    <row r="147397" customFormat="1" x14ac:dyDescent="0.25"/>
    <row r="147398" customFormat="1" x14ac:dyDescent="0.25"/>
    <row r="147399" customFormat="1" x14ac:dyDescent="0.25"/>
    <row r="147400" customFormat="1" x14ac:dyDescent="0.25"/>
    <row r="147401" customFormat="1" x14ac:dyDescent="0.25"/>
    <row r="147402" customFormat="1" x14ac:dyDescent="0.25"/>
    <row r="147403" customFormat="1" x14ac:dyDescent="0.25"/>
    <row r="147404" customFormat="1" x14ac:dyDescent="0.25"/>
    <row r="147405" customFormat="1" x14ac:dyDescent="0.25"/>
    <row r="147406" customFormat="1" x14ac:dyDescent="0.25"/>
    <row r="147407" customFormat="1" x14ac:dyDescent="0.25"/>
    <row r="147408" customFormat="1" x14ac:dyDescent="0.25"/>
    <row r="147409" customFormat="1" x14ac:dyDescent="0.25"/>
    <row r="147410" customFormat="1" x14ac:dyDescent="0.25"/>
    <row r="147411" customFormat="1" x14ac:dyDescent="0.25"/>
    <row r="147412" customFormat="1" x14ac:dyDescent="0.25"/>
    <row r="147413" customFormat="1" x14ac:dyDescent="0.25"/>
    <row r="147414" customFormat="1" x14ac:dyDescent="0.25"/>
    <row r="147415" customFormat="1" x14ac:dyDescent="0.25"/>
    <row r="147416" customFormat="1" x14ac:dyDescent="0.25"/>
    <row r="147417" customFormat="1" x14ac:dyDescent="0.25"/>
    <row r="147418" customFormat="1" x14ac:dyDescent="0.25"/>
    <row r="147419" customFormat="1" x14ac:dyDescent="0.25"/>
    <row r="147420" customFormat="1" x14ac:dyDescent="0.25"/>
    <row r="147421" customFormat="1" x14ac:dyDescent="0.25"/>
    <row r="147422" customFormat="1" x14ac:dyDescent="0.25"/>
    <row r="147423" customFormat="1" x14ac:dyDescent="0.25"/>
    <row r="147424" customFormat="1" x14ac:dyDescent="0.25"/>
    <row r="147425" customFormat="1" x14ac:dyDescent="0.25"/>
    <row r="147426" customFormat="1" x14ac:dyDescent="0.25"/>
    <row r="147427" customFormat="1" x14ac:dyDescent="0.25"/>
    <row r="147428" customFormat="1" x14ac:dyDescent="0.25"/>
    <row r="147429" customFormat="1" x14ac:dyDescent="0.25"/>
    <row r="147430" customFormat="1" x14ac:dyDescent="0.25"/>
    <row r="147431" customFormat="1" x14ac:dyDescent="0.25"/>
    <row r="147432" customFormat="1" x14ac:dyDescent="0.25"/>
    <row r="147433" customFormat="1" x14ac:dyDescent="0.25"/>
    <row r="147434" customFormat="1" x14ac:dyDescent="0.25"/>
    <row r="147435" customFormat="1" x14ac:dyDescent="0.25"/>
    <row r="147436" customFormat="1" x14ac:dyDescent="0.25"/>
    <row r="147437" customFormat="1" x14ac:dyDescent="0.25"/>
    <row r="147438" customFormat="1" x14ac:dyDescent="0.25"/>
    <row r="147439" customFormat="1" x14ac:dyDescent="0.25"/>
    <row r="147440" customFormat="1" x14ac:dyDescent="0.25"/>
    <row r="147441" customFormat="1" x14ac:dyDescent="0.25"/>
    <row r="147442" customFormat="1" x14ac:dyDescent="0.25"/>
    <row r="147443" customFormat="1" x14ac:dyDescent="0.25"/>
    <row r="147444" customFormat="1" x14ac:dyDescent="0.25"/>
    <row r="147445" customFormat="1" x14ac:dyDescent="0.25"/>
    <row r="147446" customFormat="1" x14ac:dyDescent="0.25"/>
    <row r="147447" customFormat="1" x14ac:dyDescent="0.25"/>
    <row r="147448" customFormat="1" x14ac:dyDescent="0.25"/>
    <row r="147449" customFormat="1" x14ac:dyDescent="0.25"/>
    <row r="147450" customFormat="1" x14ac:dyDescent="0.25"/>
    <row r="147451" customFormat="1" x14ac:dyDescent="0.25"/>
    <row r="147452" customFormat="1" x14ac:dyDescent="0.25"/>
    <row r="147453" customFormat="1" x14ac:dyDescent="0.25"/>
    <row r="147454" customFormat="1" x14ac:dyDescent="0.25"/>
    <row r="147455" customFormat="1" x14ac:dyDescent="0.25"/>
    <row r="147456" customFormat="1" x14ac:dyDescent="0.25"/>
    <row r="147457" customFormat="1" x14ac:dyDescent="0.25"/>
    <row r="147458" customFormat="1" x14ac:dyDescent="0.25"/>
    <row r="147459" customFormat="1" x14ac:dyDescent="0.25"/>
    <row r="147460" customFormat="1" x14ac:dyDescent="0.25"/>
    <row r="147461" customFormat="1" x14ac:dyDescent="0.25"/>
    <row r="147462" customFormat="1" x14ac:dyDescent="0.25"/>
    <row r="147463" customFormat="1" x14ac:dyDescent="0.25"/>
    <row r="147464" customFormat="1" x14ac:dyDescent="0.25"/>
    <row r="147465" customFormat="1" x14ac:dyDescent="0.25"/>
    <row r="147466" customFormat="1" x14ac:dyDescent="0.25"/>
    <row r="147467" customFormat="1" x14ac:dyDescent="0.25"/>
    <row r="147468" customFormat="1" x14ac:dyDescent="0.25"/>
    <row r="147469" customFormat="1" x14ac:dyDescent="0.25"/>
    <row r="147470" customFormat="1" x14ac:dyDescent="0.25"/>
    <row r="147471" customFormat="1" x14ac:dyDescent="0.25"/>
    <row r="147472" customFormat="1" x14ac:dyDescent="0.25"/>
    <row r="147473" customFormat="1" x14ac:dyDescent="0.25"/>
    <row r="147474" customFormat="1" x14ac:dyDescent="0.25"/>
    <row r="147475" customFormat="1" x14ac:dyDescent="0.25"/>
    <row r="147476" customFormat="1" x14ac:dyDescent="0.25"/>
    <row r="147477" customFormat="1" x14ac:dyDescent="0.25"/>
    <row r="147478" customFormat="1" x14ac:dyDescent="0.25"/>
    <row r="147479" customFormat="1" x14ac:dyDescent="0.25"/>
    <row r="147480" customFormat="1" x14ac:dyDescent="0.25"/>
    <row r="147481" customFormat="1" x14ac:dyDescent="0.25"/>
    <row r="147482" customFormat="1" x14ac:dyDescent="0.25"/>
    <row r="147483" customFormat="1" x14ac:dyDescent="0.25"/>
    <row r="147484" customFormat="1" x14ac:dyDescent="0.25"/>
    <row r="147485" customFormat="1" x14ac:dyDescent="0.25"/>
    <row r="147486" customFormat="1" x14ac:dyDescent="0.25"/>
    <row r="147487" customFormat="1" x14ac:dyDescent="0.25"/>
    <row r="147488" customFormat="1" x14ac:dyDescent="0.25"/>
    <row r="147489" customFormat="1" x14ac:dyDescent="0.25"/>
    <row r="147490" customFormat="1" x14ac:dyDescent="0.25"/>
    <row r="147491" customFormat="1" x14ac:dyDescent="0.25"/>
    <row r="147492" customFormat="1" x14ac:dyDescent="0.25"/>
    <row r="147493" customFormat="1" x14ac:dyDescent="0.25"/>
    <row r="147494" customFormat="1" x14ac:dyDescent="0.25"/>
    <row r="147495" customFormat="1" x14ac:dyDescent="0.25"/>
    <row r="147496" customFormat="1" x14ac:dyDescent="0.25"/>
    <row r="147497" customFormat="1" x14ac:dyDescent="0.25"/>
    <row r="147498" customFormat="1" x14ac:dyDescent="0.25"/>
    <row r="147499" customFormat="1" x14ac:dyDescent="0.25"/>
    <row r="147500" customFormat="1" x14ac:dyDescent="0.25"/>
    <row r="147501" customFormat="1" x14ac:dyDescent="0.25"/>
    <row r="147502" customFormat="1" x14ac:dyDescent="0.25"/>
    <row r="147503" customFormat="1" x14ac:dyDescent="0.25"/>
    <row r="147504" customFormat="1" x14ac:dyDescent="0.25"/>
    <row r="147505" customFormat="1" x14ac:dyDescent="0.25"/>
    <row r="147506" customFormat="1" x14ac:dyDescent="0.25"/>
    <row r="147507" customFormat="1" x14ac:dyDescent="0.25"/>
    <row r="147508" customFormat="1" x14ac:dyDescent="0.25"/>
    <row r="147509" customFormat="1" x14ac:dyDescent="0.25"/>
    <row r="147510" customFormat="1" x14ac:dyDescent="0.25"/>
    <row r="147511" customFormat="1" x14ac:dyDescent="0.25"/>
    <row r="147512" customFormat="1" x14ac:dyDescent="0.25"/>
    <row r="147513" customFormat="1" x14ac:dyDescent="0.25"/>
    <row r="147514" customFormat="1" x14ac:dyDescent="0.25"/>
    <row r="147515" customFormat="1" x14ac:dyDescent="0.25"/>
    <row r="147516" customFormat="1" x14ac:dyDescent="0.25"/>
    <row r="147517" customFormat="1" x14ac:dyDescent="0.25"/>
    <row r="147518" customFormat="1" x14ac:dyDescent="0.25"/>
    <row r="147519" customFormat="1" x14ac:dyDescent="0.25"/>
    <row r="147520" customFormat="1" x14ac:dyDescent="0.25"/>
    <row r="147521" customFormat="1" x14ac:dyDescent="0.25"/>
    <row r="147522" customFormat="1" x14ac:dyDescent="0.25"/>
    <row r="147523" customFormat="1" x14ac:dyDescent="0.25"/>
    <row r="147524" customFormat="1" x14ac:dyDescent="0.25"/>
    <row r="147525" customFormat="1" x14ac:dyDescent="0.25"/>
    <row r="147526" customFormat="1" x14ac:dyDescent="0.25"/>
    <row r="147527" customFormat="1" x14ac:dyDescent="0.25"/>
    <row r="147528" customFormat="1" x14ac:dyDescent="0.25"/>
    <row r="147529" customFormat="1" x14ac:dyDescent="0.25"/>
    <row r="147530" customFormat="1" x14ac:dyDescent="0.25"/>
    <row r="147531" customFormat="1" x14ac:dyDescent="0.25"/>
    <row r="147532" customFormat="1" x14ac:dyDescent="0.25"/>
    <row r="147533" customFormat="1" x14ac:dyDescent="0.25"/>
    <row r="147534" customFormat="1" x14ac:dyDescent="0.25"/>
    <row r="147535" customFormat="1" x14ac:dyDescent="0.25"/>
    <row r="147536" customFormat="1" x14ac:dyDescent="0.25"/>
    <row r="147537" customFormat="1" x14ac:dyDescent="0.25"/>
    <row r="147538" customFormat="1" x14ac:dyDescent="0.25"/>
    <row r="147539" customFormat="1" x14ac:dyDescent="0.25"/>
    <row r="147540" customFormat="1" x14ac:dyDescent="0.25"/>
    <row r="147541" customFormat="1" x14ac:dyDescent="0.25"/>
    <row r="147542" customFormat="1" x14ac:dyDescent="0.25"/>
    <row r="147543" customFormat="1" x14ac:dyDescent="0.25"/>
    <row r="147544" customFormat="1" x14ac:dyDescent="0.25"/>
    <row r="147545" customFormat="1" x14ac:dyDescent="0.25"/>
    <row r="147546" customFormat="1" x14ac:dyDescent="0.25"/>
    <row r="147547" customFormat="1" x14ac:dyDescent="0.25"/>
    <row r="147548" customFormat="1" x14ac:dyDescent="0.25"/>
    <row r="147549" customFormat="1" x14ac:dyDescent="0.25"/>
    <row r="147550" customFormat="1" x14ac:dyDescent="0.25"/>
    <row r="147551" customFormat="1" x14ac:dyDescent="0.25"/>
    <row r="147552" customFormat="1" x14ac:dyDescent="0.25"/>
    <row r="147553" customFormat="1" x14ac:dyDescent="0.25"/>
    <row r="147554" customFormat="1" x14ac:dyDescent="0.25"/>
    <row r="147555" customFormat="1" x14ac:dyDescent="0.25"/>
    <row r="147556" customFormat="1" x14ac:dyDescent="0.25"/>
    <row r="147557" customFormat="1" x14ac:dyDescent="0.25"/>
    <row r="147558" customFormat="1" x14ac:dyDescent="0.25"/>
    <row r="147559" customFormat="1" x14ac:dyDescent="0.25"/>
    <row r="147560" customFormat="1" x14ac:dyDescent="0.25"/>
    <row r="147561" customFormat="1" x14ac:dyDescent="0.25"/>
    <row r="147562" customFormat="1" x14ac:dyDescent="0.25"/>
    <row r="147563" customFormat="1" x14ac:dyDescent="0.25"/>
    <row r="147564" customFormat="1" x14ac:dyDescent="0.25"/>
    <row r="147565" customFormat="1" x14ac:dyDescent="0.25"/>
    <row r="147566" customFormat="1" x14ac:dyDescent="0.25"/>
    <row r="147567" customFormat="1" x14ac:dyDescent="0.25"/>
    <row r="147568" customFormat="1" x14ac:dyDescent="0.25"/>
    <row r="147569" customFormat="1" x14ac:dyDescent="0.25"/>
    <row r="147570" customFormat="1" x14ac:dyDescent="0.25"/>
    <row r="147571" customFormat="1" x14ac:dyDescent="0.25"/>
    <row r="147572" customFormat="1" x14ac:dyDescent="0.25"/>
    <row r="147573" customFormat="1" x14ac:dyDescent="0.25"/>
    <row r="147574" customFormat="1" x14ac:dyDescent="0.25"/>
    <row r="147575" customFormat="1" x14ac:dyDescent="0.25"/>
    <row r="147576" customFormat="1" x14ac:dyDescent="0.25"/>
    <row r="147577" customFormat="1" x14ac:dyDescent="0.25"/>
    <row r="147578" customFormat="1" x14ac:dyDescent="0.25"/>
    <row r="147579" customFormat="1" x14ac:dyDescent="0.25"/>
    <row r="147580" customFormat="1" x14ac:dyDescent="0.25"/>
    <row r="147581" customFormat="1" x14ac:dyDescent="0.25"/>
    <row r="147582" customFormat="1" x14ac:dyDescent="0.25"/>
    <row r="147583" customFormat="1" x14ac:dyDescent="0.25"/>
    <row r="147584" customFormat="1" x14ac:dyDescent="0.25"/>
    <row r="147585" customFormat="1" x14ac:dyDescent="0.25"/>
    <row r="147586" customFormat="1" x14ac:dyDescent="0.25"/>
    <row r="147587" customFormat="1" x14ac:dyDescent="0.25"/>
    <row r="147588" customFormat="1" x14ac:dyDescent="0.25"/>
    <row r="147589" customFormat="1" x14ac:dyDescent="0.25"/>
    <row r="147590" customFormat="1" x14ac:dyDescent="0.25"/>
    <row r="147591" customFormat="1" x14ac:dyDescent="0.25"/>
    <row r="147592" customFormat="1" x14ac:dyDescent="0.25"/>
    <row r="147593" customFormat="1" x14ac:dyDescent="0.25"/>
    <row r="147594" customFormat="1" x14ac:dyDescent="0.25"/>
    <row r="147595" customFormat="1" x14ac:dyDescent="0.25"/>
    <row r="147596" customFormat="1" x14ac:dyDescent="0.25"/>
    <row r="147597" customFormat="1" x14ac:dyDescent="0.25"/>
    <row r="147598" customFormat="1" x14ac:dyDescent="0.25"/>
    <row r="147599" customFormat="1" x14ac:dyDescent="0.25"/>
    <row r="147600" customFormat="1" x14ac:dyDescent="0.25"/>
    <row r="147601" customFormat="1" x14ac:dyDescent="0.25"/>
    <row r="147602" customFormat="1" x14ac:dyDescent="0.25"/>
    <row r="147603" customFormat="1" x14ac:dyDescent="0.25"/>
    <row r="147604" customFormat="1" x14ac:dyDescent="0.25"/>
    <row r="147605" customFormat="1" x14ac:dyDescent="0.25"/>
    <row r="147606" customFormat="1" x14ac:dyDescent="0.25"/>
    <row r="147607" customFormat="1" x14ac:dyDescent="0.25"/>
    <row r="147608" customFormat="1" x14ac:dyDescent="0.25"/>
    <row r="147609" customFormat="1" x14ac:dyDescent="0.25"/>
    <row r="147610" customFormat="1" x14ac:dyDescent="0.25"/>
    <row r="147611" customFormat="1" x14ac:dyDescent="0.25"/>
    <row r="147612" customFormat="1" x14ac:dyDescent="0.25"/>
    <row r="147613" customFormat="1" x14ac:dyDescent="0.25"/>
    <row r="147614" customFormat="1" x14ac:dyDescent="0.25"/>
    <row r="147615" customFormat="1" x14ac:dyDescent="0.25"/>
    <row r="147616" customFormat="1" x14ac:dyDescent="0.25"/>
    <row r="147617" customFormat="1" x14ac:dyDescent="0.25"/>
    <row r="147618" customFormat="1" x14ac:dyDescent="0.25"/>
    <row r="147619" customFormat="1" x14ac:dyDescent="0.25"/>
    <row r="147620" customFormat="1" x14ac:dyDescent="0.25"/>
    <row r="147621" customFormat="1" x14ac:dyDescent="0.25"/>
    <row r="147622" customFormat="1" x14ac:dyDescent="0.25"/>
    <row r="147623" customFormat="1" x14ac:dyDescent="0.25"/>
    <row r="147624" customFormat="1" x14ac:dyDescent="0.25"/>
    <row r="147625" customFormat="1" x14ac:dyDescent="0.25"/>
    <row r="147626" customFormat="1" x14ac:dyDescent="0.25"/>
    <row r="147627" customFormat="1" x14ac:dyDescent="0.25"/>
    <row r="147628" customFormat="1" x14ac:dyDescent="0.25"/>
    <row r="147629" customFormat="1" x14ac:dyDescent="0.25"/>
    <row r="147630" customFormat="1" x14ac:dyDescent="0.25"/>
    <row r="147631" customFormat="1" x14ac:dyDescent="0.25"/>
    <row r="147632" customFormat="1" x14ac:dyDescent="0.25"/>
    <row r="147633" customFormat="1" x14ac:dyDescent="0.25"/>
    <row r="147634" customFormat="1" x14ac:dyDescent="0.25"/>
    <row r="147635" customFormat="1" x14ac:dyDescent="0.25"/>
    <row r="147636" customFormat="1" x14ac:dyDescent="0.25"/>
    <row r="147637" customFormat="1" x14ac:dyDescent="0.25"/>
    <row r="147638" customFormat="1" x14ac:dyDescent="0.25"/>
    <row r="147639" customFormat="1" x14ac:dyDescent="0.25"/>
    <row r="147640" customFormat="1" x14ac:dyDescent="0.25"/>
    <row r="147641" customFormat="1" x14ac:dyDescent="0.25"/>
    <row r="147642" customFormat="1" x14ac:dyDescent="0.25"/>
    <row r="147643" customFormat="1" x14ac:dyDescent="0.25"/>
    <row r="147644" customFormat="1" x14ac:dyDescent="0.25"/>
    <row r="147645" customFormat="1" x14ac:dyDescent="0.25"/>
    <row r="147646" customFormat="1" x14ac:dyDescent="0.25"/>
    <row r="147647" customFormat="1" x14ac:dyDescent="0.25"/>
    <row r="147648" customFormat="1" x14ac:dyDescent="0.25"/>
    <row r="147649" customFormat="1" x14ac:dyDescent="0.25"/>
    <row r="147650" customFormat="1" x14ac:dyDescent="0.25"/>
    <row r="147651" customFormat="1" x14ac:dyDescent="0.25"/>
    <row r="147652" customFormat="1" x14ac:dyDescent="0.25"/>
    <row r="147653" customFormat="1" x14ac:dyDescent="0.25"/>
    <row r="147654" customFormat="1" x14ac:dyDescent="0.25"/>
    <row r="147655" customFormat="1" x14ac:dyDescent="0.25"/>
    <row r="147656" customFormat="1" x14ac:dyDescent="0.25"/>
    <row r="147657" customFormat="1" x14ac:dyDescent="0.25"/>
    <row r="147658" customFormat="1" x14ac:dyDescent="0.25"/>
    <row r="147659" customFormat="1" x14ac:dyDescent="0.25"/>
    <row r="147660" customFormat="1" x14ac:dyDescent="0.25"/>
    <row r="147661" customFormat="1" x14ac:dyDescent="0.25"/>
    <row r="147662" customFormat="1" x14ac:dyDescent="0.25"/>
    <row r="147663" customFormat="1" x14ac:dyDescent="0.25"/>
    <row r="147664" customFormat="1" x14ac:dyDescent="0.25"/>
    <row r="147665" customFormat="1" x14ac:dyDescent="0.25"/>
    <row r="147666" customFormat="1" x14ac:dyDescent="0.25"/>
    <row r="147667" customFormat="1" x14ac:dyDescent="0.25"/>
    <row r="147668" customFormat="1" x14ac:dyDescent="0.25"/>
    <row r="147669" customFormat="1" x14ac:dyDescent="0.25"/>
    <row r="147670" customFormat="1" x14ac:dyDescent="0.25"/>
    <row r="147671" customFormat="1" x14ac:dyDescent="0.25"/>
    <row r="147672" customFormat="1" x14ac:dyDescent="0.25"/>
    <row r="147673" customFormat="1" x14ac:dyDescent="0.25"/>
    <row r="147674" customFormat="1" x14ac:dyDescent="0.25"/>
    <row r="147675" customFormat="1" x14ac:dyDescent="0.25"/>
    <row r="147676" customFormat="1" x14ac:dyDescent="0.25"/>
    <row r="147677" customFormat="1" x14ac:dyDescent="0.25"/>
    <row r="147678" customFormat="1" x14ac:dyDescent="0.25"/>
    <row r="147679" customFormat="1" x14ac:dyDescent="0.25"/>
    <row r="147680" customFormat="1" x14ac:dyDescent="0.25"/>
    <row r="147681" customFormat="1" x14ac:dyDescent="0.25"/>
    <row r="147682" customFormat="1" x14ac:dyDescent="0.25"/>
    <row r="147683" customFormat="1" x14ac:dyDescent="0.25"/>
    <row r="147684" customFormat="1" x14ac:dyDescent="0.25"/>
    <row r="147685" customFormat="1" x14ac:dyDescent="0.25"/>
    <row r="147686" customFormat="1" x14ac:dyDescent="0.25"/>
    <row r="147687" customFormat="1" x14ac:dyDescent="0.25"/>
    <row r="147688" customFormat="1" x14ac:dyDescent="0.25"/>
    <row r="147689" customFormat="1" x14ac:dyDescent="0.25"/>
    <row r="147690" customFormat="1" x14ac:dyDescent="0.25"/>
    <row r="147691" customFormat="1" x14ac:dyDescent="0.25"/>
    <row r="147692" customFormat="1" x14ac:dyDescent="0.25"/>
    <row r="147693" customFormat="1" x14ac:dyDescent="0.25"/>
    <row r="147694" customFormat="1" x14ac:dyDescent="0.25"/>
    <row r="147695" customFormat="1" x14ac:dyDescent="0.25"/>
    <row r="147696" customFormat="1" x14ac:dyDescent="0.25"/>
    <row r="147697" customFormat="1" x14ac:dyDescent="0.25"/>
    <row r="147698" customFormat="1" x14ac:dyDescent="0.25"/>
    <row r="147699" customFormat="1" x14ac:dyDescent="0.25"/>
    <row r="147700" customFormat="1" x14ac:dyDescent="0.25"/>
    <row r="147701" customFormat="1" x14ac:dyDescent="0.25"/>
    <row r="147702" customFormat="1" x14ac:dyDescent="0.25"/>
    <row r="147703" customFormat="1" x14ac:dyDescent="0.25"/>
    <row r="147704" customFormat="1" x14ac:dyDescent="0.25"/>
    <row r="147705" customFormat="1" x14ac:dyDescent="0.25"/>
    <row r="147706" customFormat="1" x14ac:dyDescent="0.25"/>
    <row r="147707" customFormat="1" x14ac:dyDescent="0.25"/>
    <row r="147708" customFormat="1" x14ac:dyDescent="0.25"/>
    <row r="147709" customFormat="1" x14ac:dyDescent="0.25"/>
    <row r="147710" customFormat="1" x14ac:dyDescent="0.25"/>
    <row r="147711" customFormat="1" x14ac:dyDescent="0.25"/>
    <row r="147712" customFormat="1" x14ac:dyDescent="0.25"/>
    <row r="147713" customFormat="1" x14ac:dyDescent="0.25"/>
    <row r="147714" customFormat="1" x14ac:dyDescent="0.25"/>
    <row r="147715" customFormat="1" x14ac:dyDescent="0.25"/>
    <row r="147716" customFormat="1" x14ac:dyDescent="0.25"/>
    <row r="147717" customFormat="1" x14ac:dyDescent="0.25"/>
    <row r="147718" customFormat="1" x14ac:dyDescent="0.25"/>
    <row r="147719" customFormat="1" x14ac:dyDescent="0.25"/>
    <row r="147720" customFormat="1" x14ac:dyDescent="0.25"/>
    <row r="147721" customFormat="1" x14ac:dyDescent="0.25"/>
    <row r="147722" customFormat="1" x14ac:dyDescent="0.25"/>
    <row r="147723" customFormat="1" x14ac:dyDescent="0.25"/>
    <row r="147724" customFormat="1" x14ac:dyDescent="0.25"/>
    <row r="147725" customFormat="1" x14ac:dyDescent="0.25"/>
    <row r="147726" customFormat="1" x14ac:dyDescent="0.25"/>
    <row r="147727" customFormat="1" x14ac:dyDescent="0.25"/>
    <row r="147728" customFormat="1" x14ac:dyDescent="0.25"/>
    <row r="147729" customFormat="1" x14ac:dyDescent="0.25"/>
    <row r="147730" customFormat="1" x14ac:dyDescent="0.25"/>
    <row r="147731" customFormat="1" x14ac:dyDescent="0.25"/>
    <row r="147732" customFormat="1" x14ac:dyDescent="0.25"/>
    <row r="147733" customFormat="1" x14ac:dyDescent="0.25"/>
    <row r="147734" customFormat="1" x14ac:dyDescent="0.25"/>
    <row r="147735" customFormat="1" x14ac:dyDescent="0.25"/>
    <row r="147736" customFormat="1" x14ac:dyDescent="0.25"/>
    <row r="147737" customFormat="1" x14ac:dyDescent="0.25"/>
    <row r="147738" customFormat="1" x14ac:dyDescent="0.25"/>
    <row r="147739" customFormat="1" x14ac:dyDescent="0.25"/>
    <row r="147740" customFormat="1" x14ac:dyDescent="0.25"/>
    <row r="147741" customFormat="1" x14ac:dyDescent="0.25"/>
    <row r="147742" customFormat="1" x14ac:dyDescent="0.25"/>
    <row r="147743" customFormat="1" x14ac:dyDescent="0.25"/>
    <row r="147744" customFormat="1" x14ac:dyDescent="0.25"/>
    <row r="147745" customFormat="1" x14ac:dyDescent="0.25"/>
    <row r="147746" customFormat="1" x14ac:dyDescent="0.25"/>
    <row r="147747" customFormat="1" x14ac:dyDescent="0.25"/>
    <row r="147748" customFormat="1" x14ac:dyDescent="0.25"/>
    <row r="147749" customFormat="1" x14ac:dyDescent="0.25"/>
    <row r="147750" customFormat="1" x14ac:dyDescent="0.25"/>
    <row r="147751" customFormat="1" x14ac:dyDescent="0.25"/>
    <row r="147752" customFormat="1" x14ac:dyDescent="0.25"/>
    <row r="147753" customFormat="1" x14ac:dyDescent="0.25"/>
    <row r="147754" customFormat="1" x14ac:dyDescent="0.25"/>
    <row r="147755" customFormat="1" x14ac:dyDescent="0.25"/>
    <row r="147756" customFormat="1" x14ac:dyDescent="0.25"/>
    <row r="147757" customFormat="1" x14ac:dyDescent="0.25"/>
    <row r="147758" customFormat="1" x14ac:dyDescent="0.25"/>
    <row r="147759" customFormat="1" x14ac:dyDescent="0.25"/>
    <row r="147760" customFormat="1" x14ac:dyDescent="0.25"/>
    <row r="147761" customFormat="1" x14ac:dyDescent="0.25"/>
    <row r="147762" customFormat="1" x14ac:dyDescent="0.25"/>
    <row r="147763" customFormat="1" x14ac:dyDescent="0.25"/>
    <row r="147764" customFormat="1" x14ac:dyDescent="0.25"/>
    <row r="147765" customFormat="1" x14ac:dyDescent="0.25"/>
    <row r="147766" customFormat="1" x14ac:dyDescent="0.25"/>
    <row r="147767" customFormat="1" x14ac:dyDescent="0.25"/>
    <row r="147768" customFormat="1" x14ac:dyDescent="0.25"/>
    <row r="147769" customFormat="1" x14ac:dyDescent="0.25"/>
    <row r="147770" customFormat="1" x14ac:dyDescent="0.25"/>
    <row r="147771" customFormat="1" x14ac:dyDescent="0.25"/>
    <row r="147772" customFormat="1" x14ac:dyDescent="0.25"/>
    <row r="147773" customFormat="1" x14ac:dyDescent="0.25"/>
    <row r="147774" customFormat="1" x14ac:dyDescent="0.25"/>
    <row r="147775" customFormat="1" x14ac:dyDescent="0.25"/>
    <row r="147776" customFormat="1" x14ac:dyDescent="0.25"/>
    <row r="147777" customFormat="1" x14ac:dyDescent="0.25"/>
    <row r="147778" customFormat="1" x14ac:dyDescent="0.25"/>
    <row r="147779" customFormat="1" x14ac:dyDescent="0.25"/>
    <row r="147780" customFormat="1" x14ac:dyDescent="0.25"/>
    <row r="147781" customFormat="1" x14ac:dyDescent="0.25"/>
    <row r="147782" customFormat="1" x14ac:dyDescent="0.25"/>
    <row r="147783" customFormat="1" x14ac:dyDescent="0.25"/>
    <row r="147784" customFormat="1" x14ac:dyDescent="0.25"/>
    <row r="147785" customFormat="1" x14ac:dyDescent="0.25"/>
    <row r="147786" customFormat="1" x14ac:dyDescent="0.25"/>
    <row r="147787" customFormat="1" x14ac:dyDescent="0.25"/>
    <row r="147788" customFormat="1" x14ac:dyDescent="0.25"/>
    <row r="147789" customFormat="1" x14ac:dyDescent="0.25"/>
    <row r="147790" customFormat="1" x14ac:dyDescent="0.25"/>
    <row r="147791" customFormat="1" x14ac:dyDescent="0.25"/>
    <row r="147792" customFormat="1" x14ac:dyDescent="0.25"/>
    <row r="147793" customFormat="1" x14ac:dyDescent="0.25"/>
    <row r="147794" customFormat="1" x14ac:dyDescent="0.25"/>
    <row r="147795" customFormat="1" x14ac:dyDescent="0.25"/>
    <row r="147796" customFormat="1" x14ac:dyDescent="0.25"/>
    <row r="147797" customFormat="1" x14ac:dyDescent="0.25"/>
    <row r="147798" customFormat="1" x14ac:dyDescent="0.25"/>
    <row r="147799" customFormat="1" x14ac:dyDescent="0.25"/>
    <row r="147800" customFormat="1" x14ac:dyDescent="0.25"/>
    <row r="147801" customFormat="1" x14ac:dyDescent="0.25"/>
    <row r="147802" customFormat="1" x14ac:dyDescent="0.25"/>
    <row r="147803" customFormat="1" x14ac:dyDescent="0.25"/>
    <row r="147804" customFormat="1" x14ac:dyDescent="0.25"/>
    <row r="147805" customFormat="1" x14ac:dyDescent="0.25"/>
    <row r="147806" customFormat="1" x14ac:dyDescent="0.25"/>
    <row r="147807" customFormat="1" x14ac:dyDescent="0.25"/>
    <row r="147808" customFormat="1" x14ac:dyDescent="0.25"/>
    <row r="147809" customFormat="1" x14ac:dyDescent="0.25"/>
    <row r="147810" customFormat="1" x14ac:dyDescent="0.25"/>
    <row r="147811" customFormat="1" x14ac:dyDescent="0.25"/>
    <row r="147812" customFormat="1" x14ac:dyDescent="0.25"/>
    <row r="147813" customFormat="1" x14ac:dyDescent="0.25"/>
    <row r="147814" customFormat="1" x14ac:dyDescent="0.25"/>
    <row r="147815" customFormat="1" x14ac:dyDescent="0.25"/>
    <row r="147816" customFormat="1" x14ac:dyDescent="0.25"/>
    <row r="147817" customFormat="1" x14ac:dyDescent="0.25"/>
    <row r="147818" customFormat="1" x14ac:dyDescent="0.25"/>
    <row r="147819" customFormat="1" x14ac:dyDescent="0.25"/>
    <row r="147820" customFormat="1" x14ac:dyDescent="0.25"/>
    <row r="147821" customFormat="1" x14ac:dyDescent="0.25"/>
    <row r="147822" customFormat="1" x14ac:dyDescent="0.25"/>
    <row r="147823" customFormat="1" x14ac:dyDescent="0.25"/>
    <row r="147824" customFormat="1" x14ac:dyDescent="0.25"/>
    <row r="147825" customFormat="1" x14ac:dyDescent="0.25"/>
    <row r="147826" customFormat="1" x14ac:dyDescent="0.25"/>
    <row r="147827" customFormat="1" x14ac:dyDescent="0.25"/>
    <row r="147828" customFormat="1" x14ac:dyDescent="0.25"/>
    <row r="147829" customFormat="1" x14ac:dyDescent="0.25"/>
    <row r="147830" customFormat="1" x14ac:dyDescent="0.25"/>
    <row r="147831" customFormat="1" x14ac:dyDescent="0.25"/>
    <row r="147832" customFormat="1" x14ac:dyDescent="0.25"/>
    <row r="147833" customFormat="1" x14ac:dyDescent="0.25"/>
    <row r="147834" customFormat="1" x14ac:dyDescent="0.25"/>
    <row r="147835" customFormat="1" x14ac:dyDescent="0.25"/>
    <row r="147836" customFormat="1" x14ac:dyDescent="0.25"/>
    <row r="147837" customFormat="1" x14ac:dyDescent="0.25"/>
    <row r="147838" customFormat="1" x14ac:dyDescent="0.25"/>
    <row r="147839" customFormat="1" x14ac:dyDescent="0.25"/>
    <row r="147840" customFormat="1" x14ac:dyDescent="0.25"/>
    <row r="147841" customFormat="1" x14ac:dyDescent="0.25"/>
    <row r="147842" customFormat="1" x14ac:dyDescent="0.25"/>
    <row r="147843" customFormat="1" x14ac:dyDescent="0.25"/>
    <row r="147844" customFormat="1" x14ac:dyDescent="0.25"/>
    <row r="147845" customFormat="1" x14ac:dyDescent="0.25"/>
    <row r="147846" customFormat="1" x14ac:dyDescent="0.25"/>
    <row r="147847" customFormat="1" x14ac:dyDescent="0.25"/>
    <row r="147848" customFormat="1" x14ac:dyDescent="0.25"/>
    <row r="147849" customFormat="1" x14ac:dyDescent="0.25"/>
    <row r="147850" customFormat="1" x14ac:dyDescent="0.25"/>
    <row r="147851" customFormat="1" x14ac:dyDescent="0.25"/>
    <row r="147852" customFormat="1" x14ac:dyDescent="0.25"/>
    <row r="147853" customFormat="1" x14ac:dyDescent="0.25"/>
    <row r="147854" customFormat="1" x14ac:dyDescent="0.25"/>
    <row r="147855" customFormat="1" x14ac:dyDescent="0.25"/>
    <row r="147856" customFormat="1" x14ac:dyDescent="0.25"/>
    <row r="147857" customFormat="1" x14ac:dyDescent="0.25"/>
    <row r="147858" customFormat="1" x14ac:dyDescent="0.25"/>
    <row r="147859" customFormat="1" x14ac:dyDescent="0.25"/>
    <row r="147860" customFormat="1" x14ac:dyDescent="0.25"/>
    <row r="147861" customFormat="1" x14ac:dyDescent="0.25"/>
    <row r="147862" customFormat="1" x14ac:dyDescent="0.25"/>
    <row r="147863" customFormat="1" x14ac:dyDescent="0.25"/>
    <row r="147864" customFormat="1" x14ac:dyDescent="0.25"/>
    <row r="147865" customFormat="1" x14ac:dyDescent="0.25"/>
    <row r="147866" customFormat="1" x14ac:dyDescent="0.25"/>
    <row r="147867" customFormat="1" x14ac:dyDescent="0.25"/>
    <row r="147868" customFormat="1" x14ac:dyDescent="0.25"/>
    <row r="147869" customFormat="1" x14ac:dyDescent="0.25"/>
    <row r="147870" customFormat="1" x14ac:dyDescent="0.25"/>
    <row r="147871" customFormat="1" x14ac:dyDescent="0.25"/>
    <row r="147872" customFormat="1" x14ac:dyDescent="0.25"/>
    <row r="147873" customFormat="1" x14ac:dyDescent="0.25"/>
    <row r="147874" customFormat="1" x14ac:dyDescent="0.25"/>
    <row r="147875" customFormat="1" x14ac:dyDescent="0.25"/>
    <row r="147876" customFormat="1" x14ac:dyDescent="0.25"/>
    <row r="147877" customFormat="1" x14ac:dyDescent="0.25"/>
    <row r="147878" customFormat="1" x14ac:dyDescent="0.25"/>
    <row r="147879" customFormat="1" x14ac:dyDescent="0.25"/>
    <row r="147880" customFormat="1" x14ac:dyDescent="0.25"/>
    <row r="147881" customFormat="1" x14ac:dyDescent="0.25"/>
    <row r="147882" customFormat="1" x14ac:dyDescent="0.25"/>
    <row r="147883" customFormat="1" x14ac:dyDescent="0.25"/>
    <row r="147884" customFormat="1" x14ac:dyDescent="0.25"/>
    <row r="147885" customFormat="1" x14ac:dyDescent="0.25"/>
    <row r="147886" customFormat="1" x14ac:dyDescent="0.25"/>
    <row r="147887" customFormat="1" x14ac:dyDescent="0.25"/>
    <row r="147888" customFormat="1" x14ac:dyDescent="0.25"/>
    <row r="147889" customFormat="1" x14ac:dyDescent="0.25"/>
    <row r="147890" customFormat="1" x14ac:dyDescent="0.25"/>
    <row r="147891" customFormat="1" x14ac:dyDescent="0.25"/>
    <row r="147892" customFormat="1" x14ac:dyDescent="0.25"/>
    <row r="147893" customFormat="1" x14ac:dyDescent="0.25"/>
    <row r="147894" customFormat="1" x14ac:dyDescent="0.25"/>
    <row r="147895" customFormat="1" x14ac:dyDescent="0.25"/>
    <row r="147896" customFormat="1" x14ac:dyDescent="0.25"/>
    <row r="147897" customFormat="1" x14ac:dyDescent="0.25"/>
    <row r="147898" customFormat="1" x14ac:dyDescent="0.25"/>
    <row r="147899" customFormat="1" x14ac:dyDescent="0.25"/>
    <row r="147900" customFormat="1" x14ac:dyDescent="0.25"/>
    <row r="147901" customFormat="1" x14ac:dyDescent="0.25"/>
    <row r="147902" customFormat="1" x14ac:dyDescent="0.25"/>
    <row r="147903" customFormat="1" x14ac:dyDescent="0.25"/>
    <row r="147904" customFormat="1" x14ac:dyDescent="0.25"/>
    <row r="147905" customFormat="1" x14ac:dyDescent="0.25"/>
    <row r="147906" customFormat="1" x14ac:dyDescent="0.25"/>
    <row r="147907" customFormat="1" x14ac:dyDescent="0.25"/>
    <row r="147908" customFormat="1" x14ac:dyDescent="0.25"/>
    <row r="147909" customFormat="1" x14ac:dyDescent="0.25"/>
    <row r="147910" customFormat="1" x14ac:dyDescent="0.25"/>
    <row r="147911" customFormat="1" x14ac:dyDescent="0.25"/>
    <row r="147912" customFormat="1" x14ac:dyDescent="0.25"/>
    <row r="147913" customFormat="1" x14ac:dyDescent="0.25"/>
    <row r="147914" customFormat="1" x14ac:dyDescent="0.25"/>
    <row r="147915" customFormat="1" x14ac:dyDescent="0.25"/>
    <row r="147916" customFormat="1" x14ac:dyDescent="0.25"/>
    <row r="147917" customFormat="1" x14ac:dyDescent="0.25"/>
    <row r="147918" customFormat="1" x14ac:dyDescent="0.25"/>
    <row r="147919" customFormat="1" x14ac:dyDescent="0.25"/>
    <row r="147920" customFormat="1" x14ac:dyDescent="0.25"/>
    <row r="147921" customFormat="1" x14ac:dyDescent="0.25"/>
    <row r="147922" customFormat="1" x14ac:dyDescent="0.25"/>
    <row r="147923" customFormat="1" x14ac:dyDescent="0.25"/>
    <row r="147924" customFormat="1" x14ac:dyDescent="0.25"/>
    <row r="147925" customFormat="1" x14ac:dyDescent="0.25"/>
    <row r="147926" customFormat="1" x14ac:dyDescent="0.25"/>
    <row r="147927" customFormat="1" x14ac:dyDescent="0.25"/>
    <row r="147928" customFormat="1" x14ac:dyDescent="0.25"/>
    <row r="147929" customFormat="1" x14ac:dyDescent="0.25"/>
    <row r="147930" customFormat="1" x14ac:dyDescent="0.25"/>
    <row r="147931" customFormat="1" x14ac:dyDescent="0.25"/>
    <row r="147932" customFormat="1" x14ac:dyDescent="0.25"/>
    <row r="147933" customFormat="1" x14ac:dyDescent="0.25"/>
    <row r="147934" customFormat="1" x14ac:dyDescent="0.25"/>
    <row r="147935" customFormat="1" x14ac:dyDescent="0.25"/>
    <row r="147936" customFormat="1" x14ac:dyDescent="0.25"/>
    <row r="147937" customFormat="1" x14ac:dyDescent="0.25"/>
    <row r="147938" customFormat="1" x14ac:dyDescent="0.25"/>
    <row r="147939" customFormat="1" x14ac:dyDescent="0.25"/>
    <row r="147940" customFormat="1" x14ac:dyDescent="0.25"/>
    <row r="147941" customFormat="1" x14ac:dyDescent="0.25"/>
    <row r="147942" customFormat="1" x14ac:dyDescent="0.25"/>
    <row r="147943" customFormat="1" x14ac:dyDescent="0.25"/>
    <row r="147944" customFormat="1" x14ac:dyDescent="0.25"/>
    <row r="147945" customFormat="1" x14ac:dyDescent="0.25"/>
    <row r="147946" customFormat="1" x14ac:dyDescent="0.25"/>
    <row r="147947" customFormat="1" x14ac:dyDescent="0.25"/>
    <row r="147948" customFormat="1" x14ac:dyDescent="0.25"/>
    <row r="147949" customFormat="1" x14ac:dyDescent="0.25"/>
    <row r="147950" customFormat="1" x14ac:dyDescent="0.25"/>
    <row r="147951" customFormat="1" x14ac:dyDescent="0.25"/>
    <row r="147952" customFormat="1" x14ac:dyDescent="0.25"/>
    <row r="147953" customFormat="1" x14ac:dyDescent="0.25"/>
    <row r="147954" customFormat="1" x14ac:dyDescent="0.25"/>
    <row r="147955" customFormat="1" x14ac:dyDescent="0.25"/>
    <row r="147956" customFormat="1" x14ac:dyDescent="0.25"/>
    <row r="147957" customFormat="1" x14ac:dyDescent="0.25"/>
    <row r="147958" customFormat="1" x14ac:dyDescent="0.25"/>
    <row r="147959" customFormat="1" x14ac:dyDescent="0.25"/>
    <row r="147960" customFormat="1" x14ac:dyDescent="0.25"/>
    <row r="147961" customFormat="1" x14ac:dyDescent="0.25"/>
    <row r="147962" customFormat="1" x14ac:dyDescent="0.25"/>
    <row r="147963" customFormat="1" x14ac:dyDescent="0.25"/>
    <row r="147964" customFormat="1" x14ac:dyDescent="0.25"/>
    <row r="147965" customFormat="1" x14ac:dyDescent="0.25"/>
    <row r="147966" customFormat="1" x14ac:dyDescent="0.25"/>
    <row r="147967" customFormat="1" x14ac:dyDescent="0.25"/>
    <row r="147968" customFormat="1" x14ac:dyDescent="0.25"/>
    <row r="147969" customFormat="1" x14ac:dyDescent="0.25"/>
    <row r="147970" customFormat="1" x14ac:dyDescent="0.25"/>
    <row r="147971" customFormat="1" x14ac:dyDescent="0.25"/>
    <row r="147972" customFormat="1" x14ac:dyDescent="0.25"/>
    <row r="147973" customFormat="1" x14ac:dyDescent="0.25"/>
    <row r="147974" customFormat="1" x14ac:dyDescent="0.25"/>
    <row r="147975" customFormat="1" x14ac:dyDescent="0.25"/>
    <row r="147976" customFormat="1" x14ac:dyDescent="0.25"/>
    <row r="147977" customFormat="1" x14ac:dyDescent="0.25"/>
    <row r="147978" customFormat="1" x14ac:dyDescent="0.25"/>
    <row r="147979" customFormat="1" x14ac:dyDescent="0.25"/>
    <row r="147980" customFormat="1" x14ac:dyDescent="0.25"/>
    <row r="147981" customFormat="1" x14ac:dyDescent="0.25"/>
    <row r="147982" customFormat="1" x14ac:dyDescent="0.25"/>
    <row r="147983" customFormat="1" x14ac:dyDescent="0.25"/>
    <row r="147984" customFormat="1" x14ac:dyDescent="0.25"/>
    <row r="147985" customFormat="1" x14ac:dyDescent="0.25"/>
    <row r="147986" customFormat="1" x14ac:dyDescent="0.25"/>
    <row r="147987" customFormat="1" x14ac:dyDescent="0.25"/>
    <row r="147988" customFormat="1" x14ac:dyDescent="0.25"/>
    <row r="147989" customFormat="1" x14ac:dyDescent="0.25"/>
    <row r="147990" customFormat="1" x14ac:dyDescent="0.25"/>
    <row r="147991" customFormat="1" x14ac:dyDescent="0.25"/>
    <row r="147992" customFormat="1" x14ac:dyDescent="0.25"/>
    <row r="147993" customFormat="1" x14ac:dyDescent="0.25"/>
    <row r="147994" customFormat="1" x14ac:dyDescent="0.25"/>
    <row r="147995" customFormat="1" x14ac:dyDescent="0.25"/>
    <row r="147996" customFormat="1" x14ac:dyDescent="0.25"/>
    <row r="147997" customFormat="1" x14ac:dyDescent="0.25"/>
    <row r="147998" customFormat="1" x14ac:dyDescent="0.25"/>
    <row r="147999" customFormat="1" x14ac:dyDescent="0.25"/>
    <row r="148000" customFormat="1" x14ac:dyDescent="0.25"/>
    <row r="148001" customFormat="1" x14ac:dyDescent="0.25"/>
    <row r="148002" customFormat="1" x14ac:dyDescent="0.25"/>
    <row r="148003" customFormat="1" x14ac:dyDescent="0.25"/>
    <row r="148004" customFormat="1" x14ac:dyDescent="0.25"/>
    <row r="148005" customFormat="1" x14ac:dyDescent="0.25"/>
    <row r="148006" customFormat="1" x14ac:dyDescent="0.25"/>
    <row r="148007" customFormat="1" x14ac:dyDescent="0.25"/>
    <row r="148008" customFormat="1" x14ac:dyDescent="0.25"/>
    <row r="148009" customFormat="1" x14ac:dyDescent="0.25"/>
    <row r="148010" customFormat="1" x14ac:dyDescent="0.25"/>
    <row r="148011" customFormat="1" x14ac:dyDescent="0.25"/>
    <row r="148012" customFormat="1" x14ac:dyDescent="0.25"/>
    <row r="148013" customFormat="1" x14ac:dyDescent="0.25"/>
    <row r="148014" customFormat="1" x14ac:dyDescent="0.25"/>
    <row r="148015" customFormat="1" x14ac:dyDescent="0.25"/>
    <row r="148016" customFormat="1" x14ac:dyDescent="0.25"/>
    <row r="148017" customFormat="1" x14ac:dyDescent="0.25"/>
    <row r="148018" customFormat="1" x14ac:dyDescent="0.25"/>
    <row r="148019" customFormat="1" x14ac:dyDescent="0.25"/>
    <row r="148020" customFormat="1" x14ac:dyDescent="0.25"/>
    <row r="148021" customFormat="1" x14ac:dyDescent="0.25"/>
    <row r="148022" customFormat="1" x14ac:dyDescent="0.25"/>
    <row r="148023" customFormat="1" x14ac:dyDescent="0.25"/>
    <row r="148024" customFormat="1" x14ac:dyDescent="0.25"/>
    <row r="148025" customFormat="1" x14ac:dyDescent="0.25"/>
    <row r="148026" customFormat="1" x14ac:dyDescent="0.25"/>
    <row r="148027" customFormat="1" x14ac:dyDescent="0.25"/>
    <row r="148028" customFormat="1" x14ac:dyDescent="0.25"/>
    <row r="148029" customFormat="1" x14ac:dyDescent="0.25"/>
    <row r="148030" customFormat="1" x14ac:dyDescent="0.25"/>
    <row r="148031" customFormat="1" x14ac:dyDescent="0.25"/>
    <row r="148032" customFormat="1" x14ac:dyDescent="0.25"/>
    <row r="148033" customFormat="1" x14ac:dyDescent="0.25"/>
    <row r="148034" customFormat="1" x14ac:dyDescent="0.25"/>
    <row r="148035" customFormat="1" x14ac:dyDescent="0.25"/>
    <row r="148036" customFormat="1" x14ac:dyDescent="0.25"/>
    <row r="148037" customFormat="1" x14ac:dyDescent="0.25"/>
    <row r="148038" customFormat="1" x14ac:dyDescent="0.25"/>
    <row r="148039" customFormat="1" x14ac:dyDescent="0.25"/>
    <row r="148040" customFormat="1" x14ac:dyDescent="0.25"/>
    <row r="148041" customFormat="1" x14ac:dyDescent="0.25"/>
    <row r="148042" customFormat="1" x14ac:dyDescent="0.25"/>
    <row r="148043" customFormat="1" x14ac:dyDescent="0.25"/>
    <row r="148044" customFormat="1" x14ac:dyDescent="0.25"/>
    <row r="148045" customFormat="1" x14ac:dyDescent="0.25"/>
    <row r="148046" customFormat="1" x14ac:dyDescent="0.25"/>
    <row r="148047" customFormat="1" x14ac:dyDescent="0.25"/>
    <row r="148048" customFormat="1" x14ac:dyDescent="0.25"/>
    <row r="148049" customFormat="1" x14ac:dyDescent="0.25"/>
    <row r="148050" customFormat="1" x14ac:dyDescent="0.25"/>
    <row r="148051" customFormat="1" x14ac:dyDescent="0.25"/>
    <row r="148052" customFormat="1" x14ac:dyDescent="0.25"/>
    <row r="148053" customFormat="1" x14ac:dyDescent="0.25"/>
    <row r="148054" customFormat="1" x14ac:dyDescent="0.25"/>
    <row r="148055" customFormat="1" x14ac:dyDescent="0.25"/>
    <row r="148056" customFormat="1" x14ac:dyDescent="0.25"/>
    <row r="148057" customFormat="1" x14ac:dyDescent="0.25"/>
    <row r="148058" customFormat="1" x14ac:dyDescent="0.25"/>
    <row r="148059" customFormat="1" x14ac:dyDescent="0.25"/>
    <row r="148060" customFormat="1" x14ac:dyDescent="0.25"/>
    <row r="148061" customFormat="1" x14ac:dyDescent="0.25"/>
    <row r="148062" customFormat="1" x14ac:dyDescent="0.25"/>
    <row r="148063" customFormat="1" x14ac:dyDescent="0.25"/>
    <row r="148064" customFormat="1" x14ac:dyDescent="0.25"/>
    <row r="148065" customFormat="1" x14ac:dyDescent="0.25"/>
    <row r="148066" customFormat="1" x14ac:dyDescent="0.25"/>
    <row r="148067" customFormat="1" x14ac:dyDescent="0.25"/>
    <row r="148068" customFormat="1" x14ac:dyDescent="0.25"/>
    <row r="148069" customFormat="1" x14ac:dyDescent="0.25"/>
    <row r="148070" customFormat="1" x14ac:dyDescent="0.25"/>
    <row r="148071" customFormat="1" x14ac:dyDescent="0.25"/>
    <row r="148072" customFormat="1" x14ac:dyDescent="0.25"/>
    <row r="148073" customFormat="1" x14ac:dyDescent="0.25"/>
    <row r="148074" customFormat="1" x14ac:dyDescent="0.25"/>
    <row r="148075" customFormat="1" x14ac:dyDescent="0.25"/>
    <row r="148076" customFormat="1" x14ac:dyDescent="0.25"/>
    <row r="148077" customFormat="1" x14ac:dyDescent="0.25"/>
    <row r="148078" customFormat="1" x14ac:dyDescent="0.25"/>
    <row r="148079" customFormat="1" x14ac:dyDescent="0.25"/>
    <row r="148080" customFormat="1" x14ac:dyDescent="0.25"/>
    <row r="148081" customFormat="1" x14ac:dyDescent="0.25"/>
    <row r="148082" customFormat="1" x14ac:dyDescent="0.25"/>
    <row r="148083" customFormat="1" x14ac:dyDescent="0.25"/>
    <row r="148084" customFormat="1" x14ac:dyDescent="0.25"/>
    <row r="148085" customFormat="1" x14ac:dyDescent="0.25"/>
    <row r="148086" customFormat="1" x14ac:dyDescent="0.25"/>
    <row r="148087" customFormat="1" x14ac:dyDescent="0.25"/>
    <row r="148088" customFormat="1" x14ac:dyDescent="0.25"/>
    <row r="148089" customFormat="1" x14ac:dyDescent="0.25"/>
    <row r="148090" customFormat="1" x14ac:dyDescent="0.25"/>
    <row r="148091" customFormat="1" x14ac:dyDescent="0.25"/>
    <row r="148092" customFormat="1" x14ac:dyDescent="0.25"/>
    <row r="148093" customFormat="1" x14ac:dyDescent="0.25"/>
    <row r="148094" customFormat="1" x14ac:dyDescent="0.25"/>
    <row r="148095" customFormat="1" x14ac:dyDescent="0.25"/>
    <row r="148096" customFormat="1" x14ac:dyDescent="0.25"/>
    <row r="148097" customFormat="1" x14ac:dyDescent="0.25"/>
    <row r="148098" customFormat="1" x14ac:dyDescent="0.25"/>
    <row r="148099" customFormat="1" x14ac:dyDescent="0.25"/>
    <row r="148100" customFormat="1" x14ac:dyDescent="0.25"/>
    <row r="148101" customFormat="1" x14ac:dyDescent="0.25"/>
    <row r="148102" customFormat="1" x14ac:dyDescent="0.25"/>
    <row r="148103" customFormat="1" x14ac:dyDescent="0.25"/>
    <row r="148104" customFormat="1" x14ac:dyDescent="0.25"/>
    <row r="148105" customFormat="1" x14ac:dyDescent="0.25"/>
    <row r="148106" customFormat="1" x14ac:dyDescent="0.25"/>
    <row r="148107" customFormat="1" x14ac:dyDescent="0.25"/>
    <row r="148108" customFormat="1" x14ac:dyDescent="0.25"/>
    <row r="148109" customFormat="1" x14ac:dyDescent="0.25"/>
    <row r="148110" customFormat="1" x14ac:dyDescent="0.25"/>
    <row r="148111" customFormat="1" x14ac:dyDescent="0.25"/>
    <row r="148112" customFormat="1" x14ac:dyDescent="0.25"/>
    <row r="148113" customFormat="1" x14ac:dyDescent="0.25"/>
    <row r="148114" customFormat="1" x14ac:dyDescent="0.25"/>
    <row r="148115" customFormat="1" x14ac:dyDescent="0.25"/>
    <row r="148116" customFormat="1" x14ac:dyDescent="0.25"/>
    <row r="148117" customFormat="1" x14ac:dyDescent="0.25"/>
    <row r="148118" customFormat="1" x14ac:dyDescent="0.25"/>
    <row r="148119" customFormat="1" x14ac:dyDescent="0.25"/>
    <row r="148120" customFormat="1" x14ac:dyDescent="0.25"/>
    <row r="148121" customFormat="1" x14ac:dyDescent="0.25"/>
    <row r="148122" customFormat="1" x14ac:dyDescent="0.25"/>
    <row r="148123" customFormat="1" x14ac:dyDescent="0.25"/>
    <row r="148124" customFormat="1" x14ac:dyDescent="0.25"/>
    <row r="148125" customFormat="1" x14ac:dyDescent="0.25"/>
    <row r="148126" customFormat="1" x14ac:dyDescent="0.25"/>
    <row r="148127" customFormat="1" x14ac:dyDescent="0.25"/>
    <row r="148128" customFormat="1" x14ac:dyDescent="0.25"/>
    <row r="148129" customFormat="1" x14ac:dyDescent="0.25"/>
    <row r="148130" customFormat="1" x14ac:dyDescent="0.25"/>
    <row r="148131" customFormat="1" x14ac:dyDescent="0.25"/>
    <row r="148132" customFormat="1" x14ac:dyDescent="0.25"/>
    <row r="148133" customFormat="1" x14ac:dyDescent="0.25"/>
    <row r="148134" customFormat="1" x14ac:dyDescent="0.25"/>
    <row r="148135" customFormat="1" x14ac:dyDescent="0.25"/>
    <row r="148136" customFormat="1" x14ac:dyDescent="0.25"/>
    <row r="148137" customFormat="1" x14ac:dyDescent="0.25"/>
    <row r="148138" customFormat="1" x14ac:dyDescent="0.25"/>
    <row r="148139" customFormat="1" x14ac:dyDescent="0.25"/>
    <row r="148140" customFormat="1" x14ac:dyDescent="0.25"/>
    <row r="148141" customFormat="1" x14ac:dyDescent="0.25"/>
    <row r="148142" customFormat="1" x14ac:dyDescent="0.25"/>
    <row r="148143" customFormat="1" x14ac:dyDescent="0.25"/>
    <row r="148144" customFormat="1" x14ac:dyDescent="0.25"/>
    <row r="148145" customFormat="1" x14ac:dyDescent="0.25"/>
    <row r="148146" customFormat="1" x14ac:dyDescent="0.25"/>
    <row r="148147" customFormat="1" x14ac:dyDescent="0.25"/>
    <row r="148148" customFormat="1" x14ac:dyDescent="0.25"/>
    <row r="148149" customFormat="1" x14ac:dyDescent="0.25"/>
    <row r="148150" customFormat="1" x14ac:dyDescent="0.25"/>
    <row r="148151" customFormat="1" x14ac:dyDescent="0.25"/>
    <row r="148152" customFormat="1" x14ac:dyDescent="0.25"/>
    <row r="148153" customFormat="1" x14ac:dyDescent="0.25"/>
    <row r="148154" customFormat="1" x14ac:dyDescent="0.25"/>
    <row r="148155" customFormat="1" x14ac:dyDescent="0.25"/>
    <row r="148156" customFormat="1" x14ac:dyDescent="0.25"/>
    <row r="148157" customFormat="1" x14ac:dyDescent="0.25"/>
    <row r="148158" customFormat="1" x14ac:dyDescent="0.25"/>
    <row r="148159" customFormat="1" x14ac:dyDescent="0.25"/>
    <row r="148160" customFormat="1" x14ac:dyDescent="0.25"/>
    <row r="148161" customFormat="1" x14ac:dyDescent="0.25"/>
    <row r="148162" customFormat="1" x14ac:dyDescent="0.25"/>
    <row r="148163" customFormat="1" x14ac:dyDescent="0.25"/>
    <row r="148164" customFormat="1" x14ac:dyDescent="0.25"/>
    <row r="148165" customFormat="1" x14ac:dyDescent="0.25"/>
    <row r="148166" customFormat="1" x14ac:dyDescent="0.25"/>
    <row r="148167" customFormat="1" x14ac:dyDescent="0.25"/>
    <row r="148168" customFormat="1" x14ac:dyDescent="0.25"/>
    <row r="148169" customFormat="1" x14ac:dyDescent="0.25"/>
    <row r="148170" customFormat="1" x14ac:dyDescent="0.25"/>
    <row r="148171" customFormat="1" x14ac:dyDescent="0.25"/>
    <row r="148172" customFormat="1" x14ac:dyDescent="0.25"/>
    <row r="148173" customFormat="1" x14ac:dyDescent="0.25"/>
    <row r="148174" customFormat="1" x14ac:dyDescent="0.25"/>
    <row r="148175" customFormat="1" x14ac:dyDescent="0.25"/>
    <row r="148176" customFormat="1" x14ac:dyDescent="0.25"/>
    <row r="148177" customFormat="1" x14ac:dyDescent="0.25"/>
    <row r="148178" customFormat="1" x14ac:dyDescent="0.25"/>
    <row r="148179" customFormat="1" x14ac:dyDescent="0.25"/>
    <row r="148180" customFormat="1" x14ac:dyDescent="0.25"/>
    <row r="148181" customFormat="1" x14ac:dyDescent="0.25"/>
    <row r="148182" customFormat="1" x14ac:dyDescent="0.25"/>
    <row r="148183" customFormat="1" x14ac:dyDescent="0.25"/>
    <row r="148184" customFormat="1" x14ac:dyDescent="0.25"/>
    <row r="148185" customFormat="1" x14ac:dyDescent="0.25"/>
    <row r="148186" customFormat="1" x14ac:dyDescent="0.25"/>
    <row r="148187" customFormat="1" x14ac:dyDescent="0.25"/>
    <row r="148188" customFormat="1" x14ac:dyDescent="0.25"/>
    <row r="148189" customFormat="1" x14ac:dyDescent="0.25"/>
    <row r="148190" customFormat="1" x14ac:dyDescent="0.25"/>
    <row r="148191" customFormat="1" x14ac:dyDescent="0.25"/>
    <row r="148192" customFormat="1" x14ac:dyDescent="0.25"/>
    <row r="148193" customFormat="1" x14ac:dyDescent="0.25"/>
    <row r="148194" customFormat="1" x14ac:dyDescent="0.25"/>
    <row r="148195" customFormat="1" x14ac:dyDescent="0.25"/>
    <row r="148196" customFormat="1" x14ac:dyDescent="0.25"/>
    <row r="148197" customFormat="1" x14ac:dyDescent="0.25"/>
    <row r="148198" customFormat="1" x14ac:dyDescent="0.25"/>
    <row r="148199" customFormat="1" x14ac:dyDescent="0.25"/>
    <row r="148200" customFormat="1" x14ac:dyDescent="0.25"/>
    <row r="148201" customFormat="1" x14ac:dyDescent="0.25"/>
    <row r="148202" customFormat="1" x14ac:dyDescent="0.25"/>
    <row r="148203" customFormat="1" x14ac:dyDescent="0.25"/>
    <row r="148204" customFormat="1" x14ac:dyDescent="0.25"/>
    <row r="148205" customFormat="1" x14ac:dyDescent="0.25"/>
    <row r="148206" customFormat="1" x14ac:dyDescent="0.25"/>
    <row r="148207" customFormat="1" x14ac:dyDescent="0.25"/>
    <row r="148208" customFormat="1" x14ac:dyDescent="0.25"/>
    <row r="148209" customFormat="1" x14ac:dyDescent="0.25"/>
    <row r="148210" customFormat="1" x14ac:dyDescent="0.25"/>
    <row r="148211" customFormat="1" x14ac:dyDescent="0.25"/>
    <row r="148212" customFormat="1" x14ac:dyDescent="0.25"/>
    <row r="148213" customFormat="1" x14ac:dyDescent="0.25"/>
    <row r="148214" customFormat="1" x14ac:dyDescent="0.25"/>
    <row r="148215" customFormat="1" x14ac:dyDescent="0.25"/>
    <row r="148216" customFormat="1" x14ac:dyDescent="0.25"/>
    <row r="148217" customFormat="1" x14ac:dyDescent="0.25"/>
    <row r="148218" customFormat="1" x14ac:dyDescent="0.25"/>
    <row r="148219" customFormat="1" x14ac:dyDescent="0.25"/>
    <row r="148220" customFormat="1" x14ac:dyDescent="0.25"/>
    <row r="148221" customFormat="1" x14ac:dyDescent="0.25"/>
    <row r="148222" customFormat="1" x14ac:dyDescent="0.25"/>
    <row r="148223" customFormat="1" x14ac:dyDescent="0.25"/>
    <row r="148224" customFormat="1" x14ac:dyDescent="0.25"/>
    <row r="148225" customFormat="1" x14ac:dyDescent="0.25"/>
    <row r="148226" customFormat="1" x14ac:dyDescent="0.25"/>
    <row r="148227" customFormat="1" x14ac:dyDescent="0.25"/>
    <row r="148228" customFormat="1" x14ac:dyDescent="0.25"/>
    <row r="148229" customFormat="1" x14ac:dyDescent="0.25"/>
    <row r="148230" customFormat="1" x14ac:dyDescent="0.25"/>
    <row r="148231" customFormat="1" x14ac:dyDescent="0.25"/>
    <row r="148232" customFormat="1" x14ac:dyDescent="0.25"/>
    <row r="148233" customFormat="1" x14ac:dyDescent="0.25"/>
    <row r="148234" customFormat="1" x14ac:dyDescent="0.25"/>
    <row r="148235" customFormat="1" x14ac:dyDescent="0.25"/>
    <row r="148236" customFormat="1" x14ac:dyDescent="0.25"/>
    <row r="148237" customFormat="1" x14ac:dyDescent="0.25"/>
    <row r="148238" customFormat="1" x14ac:dyDescent="0.25"/>
    <row r="148239" customFormat="1" x14ac:dyDescent="0.25"/>
    <row r="148240" customFormat="1" x14ac:dyDescent="0.25"/>
    <row r="148241" customFormat="1" x14ac:dyDescent="0.25"/>
    <row r="148242" customFormat="1" x14ac:dyDescent="0.25"/>
    <row r="148243" customFormat="1" x14ac:dyDescent="0.25"/>
    <row r="148244" customFormat="1" x14ac:dyDescent="0.25"/>
    <row r="148245" customFormat="1" x14ac:dyDescent="0.25"/>
    <row r="148246" customFormat="1" x14ac:dyDescent="0.25"/>
    <row r="148247" customFormat="1" x14ac:dyDescent="0.25"/>
    <row r="148248" customFormat="1" x14ac:dyDescent="0.25"/>
    <row r="148249" customFormat="1" x14ac:dyDescent="0.25"/>
    <row r="148250" customFormat="1" x14ac:dyDescent="0.25"/>
    <row r="148251" customFormat="1" x14ac:dyDescent="0.25"/>
    <row r="148252" customFormat="1" x14ac:dyDescent="0.25"/>
    <row r="148253" customFormat="1" x14ac:dyDescent="0.25"/>
    <row r="148254" customFormat="1" x14ac:dyDescent="0.25"/>
    <row r="148255" customFormat="1" x14ac:dyDescent="0.25"/>
    <row r="148256" customFormat="1" x14ac:dyDescent="0.25"/>
    <row r="148257" customFormat="1" x14ac:dyDescent="0.25"/>
    <row r="148258" customFormat="1" x14ac:dyDescent="0.25"/>
    <row r="148259" customFormat="1" x14ac:dyDescent="0.25"/>
    <row r="148260" customFormat="1" x14ac:dyDescent="0.25"/>
    <row r="148261" customFormat="1" x14ac:dyDescent="0.25"/>
    <row r="148262" customFormat="1" x14ac:dyDescent="0.25"/>
    <row r="148263" customFormat="1" x14ac:dyDescent="0.25"/>
    <row r="148264" customFormat="1" x14ac:dyDescent="0.25"/>
    <row r="148265" customFormat="1" x14ac:dyDescent="0.25"/>
    <row r="148266" customFormat="1" x14ac:dyDescent="0.25"/>
    <row r="148267" customFormat="1" x14ac:dyDescent="0.25"/>
    <row r="148268" customFormat="1" x14ac:dyDescent="0.25"/>
    <row r="148269" customFormat="1" x14ac:dyDescent="0.25"/>
    <row r="148270" customFormat="1" x14ac:dyDescent="0.25"/>
    <row r="148271" customFormat="1" x14ac:dyDescent="0.25"/>
    <row r="148272" customFormat="1" x14ac:dyDescent="0.25"/>
    <row r="148273" customFormat="1" x14ac:dyDescent="0.25"/>
    <row r="148274" customFormat="1" x14ac:dyDescent="0.25"/>
    <row r="148275" customFormat="1" x14ac:dyDescent="0.25"/>
    <row r="148276" customFormat="1" x14ac:dyDescent="0.25"/>
    <row r="148277" customFormat="1" x14ac:dyDescent="0.25"/>
    <row r="148278" customFormat="1" x14ac:dyDescent="0.25"/>
    <row r="148279" customFormat="1" x14ac:dyDescent="0.25"/>
    <row r="148280" customFormat="1" x14ac:dyDescent="0.25"/>
    <row r="148281" customFormat="1" x14ac:dyDescent="0.25"/>
    <row r="148282" customFormat="1" x14ac:dyDescent="0.25"/>
    <row r="148283" customFormat="1" x14ac:dyDescent="0.25"/>
    <row r="148284" customFormat="1" x14ac:dyDescent="0.25"/>
    <row r="148285" customFormat="1" x14ac:dyDescent="0.25"/>
    <row r="148286" customFormat="1" x14ac:dyDescent="0.25"/>
    <row r="148287" customFormat="1" x14ac:dyDescent="0.25"/>
    <row r="148288" customFormat="1" x14ac:dyDescent="0.25"/>
    <row r="148289" customFormat="1" x14ac:dyDescent="0.25"/>
    <row r="148290" customFormat="1" x14ac:dyDescent="0.25"/>
    <row r="148291" customFormat="1" x14ac:dyDescent="0.25"/>
    <row r="148292" customFormat="1" x14ac:dyDescent="0.25"/>
    <row r="148293" customFormat="1" x14ac:dyDescent="0.25"/>
    <row r="148294" customFormat="1" x14ac:dyDescent="0.25"/>
    <row r="148295" customFormat="1" x14ac:dyDescent="0.25"/>
    <row r="148296" customFormat="1" x14ac:dyDescent="0.25"/>
    <row r="148297" customFormat="1" x14ac:dyDescent="0.25"/>
    <row r="148298" customFormat="1" x14ac:dyDescent="0.25"/>
    <row r="148299" customFormat="1" x14ac:dyDescent="0.25"/>
    <row r="148300" customFormat="1" x14ac:dyDescent="0.25"/>
    <row r="148301" customFormat="1" x14ac:dyDescent="0.25"/>
    <row r="148302" customFormat="1" x14ac:dyDescent="0.25"/>
    <row r="148303" customFormat="1" x14ac:dyDescent="0.25"/>
    <row r="148304" customFormat="1" x14ac:dyDescent="0.25"/>
    <row r="148305" customFormat="1" x14ac:dyDescent="0.25"/>
    <row r="148306" customFormat="1" x14ac:dyDescent="0.25"/>
    <row r="148307" customFormat="1" x14ac:dyDescent="0.25"/>
    <row r="148308" customFormat="1" x14ac:dyDescent="0.25"/>
    <row r="148309" customFormat="1" x14ac:dyDescent="0.25"/>
    <row r="148310" customFormat="1" x14ac:dyDescent="0.25"/>
    <row r="148311" customFormat="1" x14ac:dyDescent="0.25"/>
    <row r="148312" customFormat="1" x14ac:dyDescent="0.25"/>
    <row r="148313" customFormat="1" x14ac:dyDescent="0.25"/>
    <row r="148314" customFormat="1" x14ac:dyDescent="0.25"/>
    <row r="148315" customFormat="1" x14ac:dyDescent="0.25"/>
    <row r="148316" customFormat="1" x14ac:dyDescent="0.25"/>
    <row r="148317" customFormat="1" x14ac:dyDescent="0.25"/>
    <row r="148318" customFormat="1" x14ac:dyDescent="0.25"/>
    <row r="148319" customFormat="1" x14ac:dyDescent="0.25"/>
    <row r="148320" customFormat="1" x14ac:dyDescent="0.25"/>
    <row r="148321" customFormat="1" x14ac:dyDescent="0.25"/>
    <row r="148322" customFormat="1" x14ac:dyDescent="0.25"/>
    <row r="148323" customFormat="1" x14ac:dyDescent="0.25"/>
    <row r="148324" customFormat="1" x14ac:dyDescent="0.25"/>
    <row r="148325" customFormat="1" x14ac:dyDescent="0.25"/>
    <row r="148326" customFormat="1" x14ac:dyDescent="0.25"/>
    <row r="148327" customFormat="1" x14ac:dyDescent="0.25"/>
    <row r="148328" customFormat="1" x14ac:dyDescent="0.25"/>
    <row r="148329" customFormat="1" x14ac:dyDescent="0.25"/>
    <row r="148330" customFormat="1" x14ac:dyDescent="0.25"/>
    <row r="148331" customFormat="1" x14ac:dyDescent="0.25"/>
    <row r="148332" customFormat="1" x14ac:dyDescent="0.25"/>
    <row r="148333" customFormat="1" x14ac:dyDescent="0.25"/>
    <row r="148334" customFormat="1" x14ac:dyDescent="0.25"/>
    <row r="148335" customFormat="1" x14ac:dyDescent="0.25"/>
    <row r="148336" customFormat="1" x14ac:dyDescent="0.25"/>
    <row r="148337" customFormat="1" x14ac:dyDescent="0.25"/>
    <row r="148338" customFormat="1" x14ac:dyDescent="0.25"/>
    <row r="148339" customFormat="1" x14ac:dyDescent="0.25"/>
    <row r="148340" customFormat="1" x14ac:dyDescent="0.25"/>
    <row r="148341" customFormat="1" x14ac:dyDescent="0.25"/>
    <row r="148342" customFormat="1" x14ac:dyDescent="0.25"/>
    <row r="148343" customFormat="1" x14ac:dyDescent="0.25"/>
    <row r="148344" customFormat="1" x14ac:dyDescent="0.25"/>
    <row r="148345" customFormat="1" x14ac:dyDescent="0.25"/>
    <row r="148346" customFormat="1" x14ac:dyDescent="0.25"/>
    <row r="148347" customFormat="1" x14ac:dyDescent="0.25"/>
    <row r="148348" customFormat="1" x14ac:dyDescent="0.25"/>
    <row r="148349" customFormat="1" x14ac:dyDescent="0.25"/>
    <row r="148350" customFormat="1" x14ac:dyDescent="0.25"/>
    <row r="148351" customFormat="1" x14ac:dyDescent="0.25"/>
    <row r="148352" customFormat="1" x14ac:dyDescent="0.25"/>
    <row r="148353" customFormat="1" x14ac:dyDescent="0.25"/>
    <row r="148354" customFormat="1" x14ac:dyDescent="0.25"/>
    <row r="148355" customFormat="1" x14ac:dyDescent="0.25"/>
    <row r="148356" customFormat="1" x14ac:dyDescent="0.25"/>
    <row r="148357" customFormat="1" x14ac:dyDescent="0.25"/>
    <row r="148358" customFormat="1" x14ac:dyDescent="0.25"/>
    <row r="148359" customFormat="1" x14ac:dyDescent="0.25"/>
    <row r="148360" customFormat="1" x14ac:dyDescent="0.25"/>
    <row r="148361" customFormat="1" x14ac:dyDescent="0.25"/>
    <row r="148362" customFormat="1" x14ac:dyDescent="0.25"/>
    <row r="148363" customFormat="1" x14ac:dyDescent="0.25"/>
    <row r="148364" customFormat="1" x14ac:dyDescent="0.25"/>
    <row r="148365" customFormat="1" x14ac:dyDescent="0.25"/>
    <row r="148366" customFormat="1" x14ac:dyDescent="0.25"/>
    <row r="148367" customFormat="1" x14ac:dyDescent="0.25"/>
    <row r="148368" customFormat="1" x14ac:dyDescent="0.25"/>
    <row r="148369" customFormat="1" x14ac:dyDescent="0.25"/>
    <row r="148370" customFormat="1" x14ac:dyDescent="0.25"/>
    <row r="148371" customFormat="1" x14ac:dyDescent="0.25"/>
    <row r="148372" customFormat="1" x14ac:dyDescent="0.25"/>
    <row r="148373" customFormat="1" x14ac:dyDescent="0.25"/>
    <row r="148374" customFormat="1" x14ac:dyDescent="0.25"/>
    <row r="148375" customFormat="1" x14ac:dyDescent="0.25"/>
    <row r="148376" customFormat="1" x14ac:dyDescent="0.25"/>
    <row r="148377" customFormat="1" x14ac:dyDescent="0.25"/>
    <row r="148378" customFormat="1" x14ac:dyDescent="0.25"/>
    <row r="148379" customFormat="1" x14ac:dyDescent="0.25"/>
    <row r="148380" customFormat="1" x14ac:dyDescent="0.25"/>
    <row r="148381" customFormat="1" x14ac:dyDescent="0.25"/>
    <row r="148382" customFormat="1" x14ac:dyDescent="0.25"/>
    <row r="148383" customFormat="1" x14ac:dyDescent="0.25"/>
    <row r="148384" customFormat="1" x14ac:dyDescent="0.25"/>
    <row r="148385" customFormat="1" x14ac:dyDescent="0.25"/>
    <row r="148386" customFormat="1" x14ac:dyDescent="0.25"/>
    <row r="148387" customFormat="1" x14ac:dyDescent="0.25"/>
    <row r="148388" customFormat="1" x14ac:dyDescent="0.25"/>
    <row r="148389" customFormat="1" x14ac:dyDescent="0.25"/>
    <row r="148390" customFormat="1" x14ac:dyDescent="0.25"/>
    <row r="148391" customFormat="1" x14ac:dyDescent="0.25"/>
    <row r="148392" customFormat="1" x14ac:dyDescent="0.25"/>
    <row r="148393" customFormat="1" x14ac:dyDescent="0.25"/>
    <row r="148394" customFormat="1" x14ac:dyDescent="0.25"/>
    <row r="148395" customFormat="1" x14ac:dyDescent="0.25"/>
    <row r="148396" customFormat="1" x14ac:dyDescent="0.25"/>
    <row r="148397" customFormat="1" x14ac:dyDescent="0.25"/>
    <row r="148398" customFormat="1" x14ac:dyDescent="0.25"/>
    <row r="148399" customFormat="1" x14ac:dyDescent="0.25"/>
    <row r="148400" customFormat="1" x14ac:dyDescent="0.25"/>
    <row r="148401" customFormat="1" x14ac:dyDescent="0.25"/>
    <row r="148402" customFormat="1" x14ac:dyDescent="0.25"/>
    <row r="148403" customFormat="1" x14ac:dyDescent="0.25"/>
    <row r="148404" customFormat="1" x14ac:dyDescent="0.25"/>
    <row r="148405" customFormat="1" x14ac:dyDescent="0.25"/>
    <row r="148406" customFormat="1" x14ac:dyDescent="0.25"/>
    <row r="148407" customFormat="1" x14ac:dyDescent="0.25"/>
    <row r="148408" customFormat="1" x14ac:dyDescent="0.25"/>
    <row r="148409" customFormat="1" x14ac:dyDescent="0.25"/>
    <row r="148410" customFormat="1" x14ac:dyDescent="0.25"/>
    <row r="148411" customFormat="1" x14ac:dyDescent="0.25"/>
    <row r="148412" customFormat="1" x14ac:dyDescent="0.25"/>
    <row r="148413" customFormat="1" x14ac:dyDescent="0.25"/>
    <row r="148414" customFormat="1" x14ac:dyDescent="0.25"/>
    <row r="148415" customFormat="1" x14ac:dyDescent="0.25"/>
    <row r="148416" customFormat="1" x14ac:dyDescent="0.25"/>
    <row r="148417" customFormat="1" x14ac:dyDescent="0.25"/>
    <row r="148418" customFormat="1" x14ac:dyDescent="0.25"/>
    <row r="148419" customFormat="1" x14ac:dyDescent="0.25"/>
    <row r="148420" customFormat="1" x14ac:dyDescent="0.25"/>
    <row r="148421" customFormat="1" x14ac:dyDescent="0.25"/>
    <row r="148422" customFormat="1" x14ac:dyDescent="0.25"/>
    <row r="148423" customFormat="1" x14ac:dyDescent="0.25"/>
    <row r="148424" customFormat="1" x14ac:dyDescent="0.25"/>
    <row r="148425" customFormat="1" x14ac:dyDescent="0.25"/>
    <row r="148426" customFormat="1" x14ac:dyDescent="0.25"/>
    <row r="148427" customFormat="1" x14ac:dyDescent="0.25"/>
    <row r="148428" customFormat="1" x14ac:dyDescent="0.25"/>
    <row r="148429" customFormat="1" x14ac:dyDescent="0.25"/>
    <row r="148430" customFormat="1" x14ac:dyDescent="0.25"/>
    <row r="148431" customFormat="1" x14ac:dyDescent="0.25"/>
    <row r="148432" customFormat="1" x14ac:dyDescent="0.25"/>
    <row r="148433" customFormat="1" x14ac:dyDescent="0.25"/>
    <row r="148434" customFormat="1" x14ac:dyDescent="0.25"/>
    <row r="148435" customFormat="1" x14ac:dyDescent="0.25"/>
    <row r="148436" customFormat="1" x14ac:dyDescent="0.25"/>
    <row r="148437" customFormat="1" x14ac:dyDescent="0.25"/>
    <row r="148438" customFormat="1" x14ac:dyDescent="0.25"/>
    <row r="148439" customFormat="1" x14ac:dyDescent="0.25"/>
    <row r="148440" customFormat="1" x14ac:dyDescent="0.25"/>
    <row r="148441" customFormat="1" x14ac:dyDescent="0.25"/>
    <row r="148442" customFormat="1" x14ac:dyDescent="0.25"/>
    <row r="148443" customFormat="1" x14ac:dyDescent="0.25"/>
    <row r="148444" customFormat="1" x14ac:dyDescent="0.25"/>
    <row r="148445" customFormat="1" x14ac:dyDescent="0.25"/>
    <row r="148446" customFormat="1" x14ac:dyDescent="0.25"/>
    <row r="148447" customFormat="1" x14ac:dyDescent="0.25"/>
    <row r="148448" customFormat="1" x14ac:dyDescent="0.25"/>
    <row r="148449" customFormat="1" x14ac:dyDescent="0.25"/>
    <row r="148450" customFormat="1" x14ac:dyDescent="0.25"/>
    <row r="148451" customFormat="1" x14ac:dyDescent="0.25"/>
    <row r="148452" customFormat="1" x14ac:dyDescent="0.25"/>
    <row r="148453" customFormat="1" x14ac:dyDescent="0.25"/>
    <row r="148454" customFormat="1" x14ac:dyDescent="0.25"/>
    <row r="148455" customFormat="1" x14ac:dyDescent="0.25"/>
    <row r="148456" customFormat="1" x14ac:dyDescent="0.25"/>
    <row r="148457" customFormat="1" x14ac:dyDescent="0.25"/>
    <row r="148458" customFormat="1" x14ac:dyDescent="0.25"/>
    <row r="148459" customFormat="1" x14ac:dyDescent="0.25"/>
    <row r="148460" customFormat="1" x14ac:dyDescent="0.25"/>
    <row r="148461" customFormat="1" x14ac:dyDescent="0.25"/>
    <row r="148462" customFormat="1" x14ac:dyDescent="0.25"/>
    <row r="148463" customFormat="1" x14ac:dyDescent="0.25"/>
    <row r="148464" customFormat="1" x14ac:dyDescent="0.25"/>
    <row r="148465" customFormat="1" x14ac:dyDescent="0.25"/>
    <row r="148466" customFormat="1" x14ac:dyDescent="0.25"/>
    <row r="148467" customFormat="1" x14ac:dyDescent="0.25"/>
    <row r="148468" customFormat="1" x14ac:dyDescent="0.25"/>
    <row r="148469" customFormat="1" x14ac:dyDescent="0.25"/>
    <row r="148470" customFormat="1" x14ac:dyDescent="0.25"/>
    <row r="148471" customFormat="1" x14ac:dyDescent="0.25"/>
    <row r="148472" customFormat="1" x14ac:dyDescent="0.25"/>
    <row r="148473" customFormat="1" x14ac:dyDescent="0.25"/>
    <row r="148474" customFormat="1" x14ac:dyDescent="0.25"/>
    <row r="148475" customFormat="1" x14ac:dyDescent="0.25"/>
    <row r="148476" customFormat="1" x14ac:dyDescent="0.25"/>
    <row r="148477" customFormat="1" x14ac:dyDescent="0.25"/>
    <row r="148478" customFormat="1" x14ac:dyDescent="0.25"/>
    <row r="148479" customFormat="1" x14ac:dyDescent="0.25"/>
    <row r="148480" customFormat="1" x14ac:dyDescent="0.25"/>
    <row r="148481" customFormat="1" x14ac:dyDescent="0.25"/>
    <row r="148482" customFormat="1" x14ac:dyDescent="0.25"/>
    <row r="148483" customFormat="1" x14ac:dyDescent="0.25"/>
    <row r="148484" customFormat="1" x14ac:dyDescent="0.25"/>
    <row r="148485" customFormat="1" x14ac:dyDescent="0.25"/>
    <row r="148486" customFormat="1" x14ac:dyDescent="0.25"/>
    <row r="148487" customFormat="1" x14ac:dyDescent="0.25"/>
    <row r="148488" customFormat="1" x14ac:dyDescent="0.25"/>
    <row r="148489" customFormat="1" x14ac:dyDescent="0.25"/>
    <row r="148490" customFormat="1" x14ac:dyDescent="0.25"/>
    <row r="148491" customFormat="1" x14ac:dyDescent="0.25"/>
    <row r="148492" customFormat="1" x14ac:dyDescent="0.25"/>
    <row r="148493" customFormat="1" x14ac:dyDescent="0.25"/>
    <row r="148494" customFormat="1" x14ac:dyDescent="0.25"/>
    <row r="148495" customFormat="1" x14ac:dyDescent="0.25"/>
    <row r="148496" customFormat="1" x14ac:dyDescent="0.25"/>
    <row r="148497" customFormat="1" x14ac:dyDescent="0.25"/>
    <row r="148498" customFormat="1" x14ac:dyDescent="0.25"/>
    <row r="148499" customFormat="1" x14ac:dyDescent="0.25"/>
    <row r="148500" customFormat="1" x14ac:dyDescent="0.25"/>
    <row r="148501" customFormat="1" x14ac:dyDescent="0.25"/>
    <row r="148502" customFormat="1" x14ac:dyDescent="0.25"/>
    <row r="148503" customFormat="1" x14ac:dyDescent="0.25"/>
    <row r="148504" customFormat="1" x14ac:dyDescent="0.25"/>
    <row r="148505" customFormat="1" x14ac:dyDescent="0.25"/>
    <row r="148506" customFormat="1" x14ac:dyDescent="0.25"/>
    <row r="148507" customFormat="1" x14ac:dyDescent="0.25"/>
    <row r="148508" customFormat="1" x14ac:dyDescent="0.25"/>
    <row r="148509" customFormat="1" x14ac:dyDescent="0.25"/>
    <row r="148510" customFormat="1" x14ac:dyDescent="0.25"/>
    <row r="148511" customFormat="1" x14ac:dyDescent="0.25"/>
    <row r="148512" customFormat="1" x14ac:dyDescent="0.25"/>
    <row r="148513" customFormat="1" x14ac:dyDescent="0.25"/>
    <row r="148514" customFormat="1" x14ac:dyDescent="0.25"/>
    <row r="148515" customFormat="1" x14ac:dyDescent="0.25"/>
    <row r="148516" customFormat="1" x14ac:dyDescent="0.25"/>
    <row r="148517" customFormat="1" x14ac:dyDescent="0.25"/>
    <row r="148518" customFormat="1" x14ac:dyDescent="0.25"/>
    <row r="148519" customFormat="1" x14ac:dyDescent="0.25"/>
    <row r="148520" customFormat="1" x14ac:dyDescent="0.25"/>
    <row r="148521" customFormat="1" x14ac:dyDescent="0.25"/>
    <row r="148522" customFormat="1" x14ac:dyDescent="0.25"/>
    <row r="148523" customFormat="1" x14ac:dyDescent="0.25"/>
    <row r="148524" customFormat="1" x14ac:dyDescent="0.25"/>
    <row r="148525" customFormat="1" x14ac:dyDescent="0.25"/>
    <row r="148526" customFormat="1" x14ac:dyDescent="0.25"/>
    <row r="148527" customFormat="1" x14ac:dyDescent="0.25"/>
    <row r="148528" customFormat="1" x14ac:dyDescent="0.25"/>
    <row r="148529" customFormat="1" x14ac:dyDescent="0.25"/>
    <row r="148530" customFormat="1" x14ac:dyDescent="0.25"/>
    <row r="148531" customFormat="1" x14ac:dyDescent="0.25"/>
    <row r="148532" customFormat="1" x14ac:dyDescent="0.25"/>
    <row r="148533" customFormat="1" x14ac:dyDescent="0.25"/>
    <row r="148534" customFormat="1" x14ac:dyDescent="0.25"/>
    <row r="148535" customFormat="1" x14ac:dyDescent="0.25"/>
    <row r="148536" customFormat="1" x14ac:dyDescent="0.25"/>
    <row r="148537" customFormat="1" x14ac:dyDescent="0.25"/>
    <row r="148538" customFormat="1" x14ac:dyDescent="0.25"/>
    <row r="148539" customFormat="1" x14ac:dyDescent="0.25"/>
    <row r="148540" customFormat="1" x14ac:dyDescent="0.25"/>
    <row r="148541" customFormat="1" x14ac:dyDescent="0.25"/>
    <row r="148542" customFormat="1" x14ac:dyDescent="0.25"/>
    <row r="148543" customFormat="1" x14ac:dyDescent="0.25"/>
    <row r="148544" customFormat="1" x14ac:dyDescent="0.25"/>
    <row r="148545" customFormat="1" x14ac:dyDescent="0.25"/>
    <row r="148546" customFormat="1" x14ac:dyDescent="0.25"/>
    <row r="148547" customFormat="1" x14ac:dyDescent="0.25"/>
    <row r="148548" customFormat="1" x14ac:dyDescent="0.25"/>
    <row r="148549" customFormat="1" x14ac:dyDescent="0.25"/>
    <row r="148550" customFormat="1" x14ac:dyDescent="0.25"/>
    <row r="148551" customFormat="1" x14ac:dyDescent="0.25"/>
    <row r="148552" customFormat="1" x14ac:dyDescent="0.25"/>
    <row r="148553" customFormat="1" x14ac:dyDescent="0.25"/>
    <row r="148554" customFormat="1" x14ac:dyDescent="0.25"/>
    <row r="148555" customFormat="1" x14ac:dyDescent="0.25"/>
    <row r="148556" customFormat="1" x14ac:dyDescent="0.25"/>
    <row r="148557" customFormat="1" x14ac:dyDescent="0.25"/>
    <row r="148558" customFormat="1" x14ac:dyDescent="0.25"/>
    <row r="148559" customFormat="1" x14ac:dyDescent="0.25"/>
    <row r="148560" customFormat="1" x14ac:dyDescent="0.25"/>
    <row r="148561" customFormat="1" x14ac:dyDescent="0.25"/>
    <row r="148562" customFormat="1" x14ac:dyDescent="0.25"/>
    <row r="148563" customFormat="1" x14ac:dyDescent="0.25"/>
    <row r="148564" customFormat="1" x14ac:dyDescent="0.25"/>
    <row r="148565" customFormat="1" x14ac:dyDescent="0.25"/>
    <row r="148566" customFormat="1" x14ac:dyDescent="0.25"/>
    <row r="148567" customFormat="1" x14ac:dyDescent="0.25"/>
    <row r="148568" customFormat="1" x14ac:dyDescent="0.25"/>
    <row r="148569" customFormat="1" x14ac:dyDescent="0.25"/>
    <row r="148570" customFormat="1" x14ac:dyDescent="0.25"/>
    <row r="148571" customFormat="1" x14ac:dyDescent="0.25"/>
    <row r="148572" customFormat="1" x14ac:dyDescent="0.25"/>
    <row r="148573" customFormat="1" x14ac:dyDescent="0.25"/>
    <row r="148574" customFormat="1" x14ac:dyDescent="0.25"/>
    <row r="148575" customFormat="1" x14ac:dyDescent="0.25"/>
    <row r="148576" customFormat="1" x14ac:dyDescent="0.25"/>
    <row r="148577" customFormat="1" x14ac:dyDescent="0.25"/>
    <row r="148578" customFormat="1" x14ac:dyDescent="0.25"/>
    <row r="148579" customFormat="1" x14ac:dyDescent="0.25"/>
    <row r="148580" customFormat="1" x14ac:dyDescent="0.25"/>
    <row r="148581" customFormat="1" x14ac:dyDescent="0.25"/>
    <row r="148582" customFormat="1" x14ac:dyDescent="0.25"/>
    <row r="148583" customFormat="1" x14ac:dyDescent="0.25"/>
    <row r="148584" customFormat="1" x14ac:dyDescent="0.25"/>
    <row r="148585" customFormat="1" x14ac:dyDescent="0.25"/>
    <row r="148586" customFormat="1" x14ac:dyDescent="0.25"/>
    <row r="148587" customFormat="1" x14ac:dyDescent="0.25"/>
    <row r="148588" customFormat="1" x14ac:dyDescent="0.25"/>
    <row r="148589" customFormat="1" x14ac:dyDescent="0.25"/>
    <row r="148590" customFormat="1" x14ac:dyDescent="0.25"/>
    <row r="148591" customFormat="1" x14ac:dyDescent="0.25"/>
    <row r="148592" customFormat="1" x14ac:dyDescent="0.25"/>
    <row r="148593" customFormat="1" x14ac:dyDescent="0.25"/>
    <row r="148594" customFormat="1" x14ac:dyDescent="0.25"/>
    <row r="148595" customFormat="1" x14ac:dyDescent="0.25"/>
    <row r="148596" customFormat="1" x14ac:dyDescent="0.25"/>
    <row r="148597" customFormat="1" x14ac:dyDescent="0.25"/>
    <row r="148598" customFormat="1" x14ac:dyDescent="0.25"/>
    <row r="148599" customFormat="1" x14ac:dyDescent="0.25"/>
    <row r="148600" customFormat="1" x14ac:dyDescent="0.25"/>
    <row r="148601" customFormat="1" x14ac:dyDescent="0.25"/>
    <row r="148602" customFormat="1" x14ac:dyDescent="0.25"/>
    <row r="148603" customFormat="1" x14ac:dyDescent="0.25"/>
    <row r="148604" customFormat="1" x14ac:dyDescent="0.25"/>
    <row r="148605" customFormat="1" x14ac:dyDescent="0.25"/>
    <row r="148606" customFormat="1" x14ac:dyDescent="0.25"/>
    <row r="148607" customFormat="1" x14ac:dyDescent="0.25"/>
    <row r="148608" customFormat="1" x14ac:dyDescent="0.25"/>
    <row r="148609" customFormat="1" x14ac:dyDescent="0.25"/>
    <row r="148610" customFormat="1" x14ac:dyDescent="0.25"/>
    <row r="148611" customFormat="1" x14ac:dyDescent="0.25"/>
    <row r="148612" customFormat="1" x14ac:dyDescent="0.25"/>
    <row r="148613" customFormat="1" x14ac:dyDescent="0.25"/>
    <row r="148614" customFormat="1" x14ac:dyDescent="0.25"/>
    <row r="148615" customFormat="1" x14ac:dyDescent="0.25"/>
    <row r="148616" customFormat="1" x14ac:dyDescent="0.25"/>
    <row r="148617" customFormat="1" x14ac:dyDescent="0.25"/>
    <row r="148618" customFormat="1" x14ac:dyDescent="0.25"/>
    <row r="148619" customFormat="1" x14ac:dyDescent="0.25"/>
    <row r="148620" customFormat="1" x14ac:dyDescent="0.25"/>
    <row r="148621" customFormat="1" x14ac:dyDescent="0.25"/>
    <row r="148622" customFormat="1" x14ac:dyDescent="0.25"/>
    <row r="148623" customFormat="1" x14ac:dyDescent="0.25"/>
    <row r="148624" customFormat="1" x14ac:dyDescent="0.25"/>
    <row r="148625" customFormat="1" x14ac:dyDescent="0.25"/>
    <row r="148626" customFormat="1" x14ac:dyDescent="0.25"/>
    <row r="148627" customFormat="1" x14ac:dyDescent="0.25"/>
    <row r="148628" customFormat="1" x14ac:dyDescent="0.25"/>
    <row r="148629" customFormat="1" x14ac:dyDescent="0.25"/>
    <row r="148630" customFormat="1" x14ac:dyDescent="0.25"/>
    <row r="148631" customFormat="1" x14ac:dyDescent="0.25"/>
    <row r="148632" customFormat="1" x14ac:dyDescent="0.25"/>
    <row r="148633" customFormat="1" x14ac:dyDescent="0.25"/>
    <row r="148634" customFormat="1" x14ac:dyDescent="0.25"/>
    <row r="148635" customFormat="1" x14ac:dyDescent="0.25"/>
    <row r="148636" customFormat="1" x14ac:dyDescent="0.25"/>
    <row r="148637" customFormat="1" x14ac:dyDescent="0.25"/>
    <row r="148638" customFormat="1" x14ac:dyDescent="0.25"/>
    <row r="148639" customFormat="1" x14ac:dyDescent="0.25"/>
    <row r="148640" customFormat="1" x14ac:dyDescent="0.25"/>
    <row r="148641" customFormat="1" x14ac:dyDescent="0.25"/>
    <row r="148642" customFormat="1" x14ac:dyDescent="0.25"/>
    <row r="148643" customFormat="1" x14ac:dyDescent="0.25"/>
    <row r="148644" customFormat="1" x14ac:dyDescent="0.25"/>
    <row r="148645" customFormat="1" x14ac:dyDescent="0.25"/>
    <row r="148646" customFormat="1" x14ac:dyDescent="0.25"/>
    <row r="148647" customFormat="1" x14ac:dyDescent="0.25"/>
    <row r="148648" customFormat="1" x14ac:dyDescent="0.25"/>
    <row r="148649" customFormat="1" x14ac:dyDescent="0.25"/>
    <row r="148650" customFormat="1" x14ac:dyDescent="0.25"/>
    <row r="148651" customFormat="1" x14ac:dyDescent="0.25"/>
    <row r="148652" customFormat="1" x14ac:dyDescent="0.25"/>
    <row r="148653" customFormat="1" x14ac:dyDescent="0.25"/>
    <row r="148654" customFormat="1" x14ac:dyDescent="0.25"/>
    <row r="148655" customFormat="1" x14ac:dyDescent="0.25"/>
    <row r="148656" customFormat="1" x14ac:dyDescent="0.25"/>
    <row r="148657" customFormat="1" x14ac:dyDescent="0.25"/>
    <row r="148658" customFormat="1" x14ac:dyDescent="0.25"/>
    <row r="148659" customFormat="1" x14ac:dyDescent="0.25"/>
    <row r="148660" customFormat="1" x14ac:dyDescent="0.25"/>
    <row r="148661" customFormat="1" x14ac:dyDescent="0.25"/>
    <row r="148662" customFormat="1" x14ac:dyDescent="0.25"/>
    <row r="148663" customFormat="1" x14ac:dyDescent="0.25"/>
    <row r="148664" customFormat="1" x14ac:dyDescent="0.25"/>
    <row r="148665" customFormat="1" x14ac:dyDescent="0.25"/>
    <row r="148666" customFormat="1" x14ac:dyDescent="0.25"/>
    <row r="148667" customFormat="1" x14ac:dyDescent="0.25"/>
    <row r="148668" customFormat="1" x14ac:dyDescent="0.25"/>
    <row r="148669" customFormat="1" x14ac:dyDescent="0.25"/>
    <row r="148670" customFormat="1" x14ac:dyDescent="0.25"/>
    <row r="148671" customFormat="1" x14ac:dyDescent="0.25"/>
    <row r="148672" customFormat="1" x14ac:dyDescent="0.25"/>
    <row r="148673" customFormat="1" x14ac:dyDescent="0.25"/>
    <row r="148674" customFormat="1" x14ac:dyDescent="0.25"/>
    <row r="148675" customFormat="1" x14ac:dyDescent="0.25"/>
    <row r="148676" customFormat="1" x14ac:dyDescent="0.25"/>
    <row r="148677" customFormat="1" x14ac:dyDescent="0.25"/>
    <row r="148678" customFormat="1" x14ac:dyDescent="0.25"/>
    <row r="148679" customFormat="1" x14ac:dyDescent="0.25"/>
    <row r="148680" customFormat="1" x14ac:dyDescent="0.25"/>
    <row r="148681" customFormat="1" x14ac:dyDescent="0.25"/>
    <row r="148682" customFormat="1" x14ac:dyDescent="0.25"/>
    <row r="148683" customFormat="1" x14ac:dyDescent="0.25"/>
    <row r="148684" customFormat="1" x14ac:dyDescent="0.25"/>
    <row r="148685" customFormat="1" x14ac:dyDescent="0.25"/>
    <row r="148686" customFormat="1" x14ac:dyDescent="0.25"/>
    <row r="148687" customFormat="1" x14ac:dyDescent="0.25"/>
    <row r="148688" customFormat="1" x14ac:dyDescent="0.25"/>
    <row r="148689" customFormat="1" x14ac:dyDescent="0.25"/>
    <row r="148690" customFormat="1" x14ac:dyDescent="0.25"/>
    <row r="148691" customFormat="1" x14ac:dyDescent="0.25"/>
    <row r="148692" customFormat="1" x14ac:dyDescent="0.25"/>
    <row r="148693" customFormat="1" x14ac:dyDescent="0.25"/>
    <row r="148694" customFormat="1" x14ac:dyDescent="0.25"/>
    <row r="148695" customFormat="1" x14ac:dyDescent="0.25"/>
    <row r="148696" customFormat="1" x14ac:dyDescent="0.25"/>
    <row r="148697" customFormat="1" x14ac:dyDescent="0.25"/>
    <row r="148698" customFormat="1" x14ac:dyDescent="0.25"/>
    <row r="148699" customFormat="1" x14ac:dyDescent="0.25"/>
    <row r="148700" customFormat="1" x14ac:dyDescent="0.25"/>
    <row r="148701" customFormat="1" x14ac:dyDescent="0.25"/>
    <row r="148702" customFormat="1" x14ac:dyDescent="0.25"/>
    <row r="148703" customFormat="1" x14ac:dyDescent="0.25"/>
    <row r="148704" customFormat="1" x14ac:dyDescent="0.25"/>
    <row r="148705" customFormat="1" x14ac:dyDescent="0.25"/>
    <row r="148706" customFormat="1" x14ac:dyDescent="0.25"/>
    <row r="148707" customFormat="1" x14ac:dyDescent="0.25"/>
    <row r="148708" customFormat="1" x14ac:dyDescent="0.25"/>
    <row r="148709" customFormat="1" x14ac:dyDescent="0.25"/>
    <row r="148710" customFormat="1" x14ac:dyDescent="0.25"/>
    <row r="148711" customFormat="1" x14ac:dyDescent="0.25"/>
    <row r="148712" customFormat="1" x14ac:dyDescent="0.25"/>
    <row r="148713" customFormat="1" x14ac:dyDescent="0.25"/>
    <row r="148714" customFormat="1" x14ac:dyDescent="0.25"/>
    <row r="148715" customFormat="1" x14ac:dyDescent="0.25"/>
    <row r="148716" customFormat="1" x14ac:dyDescent="0.25"/>
    <row r="148717" customFormat="1" x14ac:dyDescent="0.25"/>
    <row r="148718" customFormat="1" x14ac:dyDescent="0.25"/>
    <row r="148719" customFormat="1" x14ac:dyDescent="0.25"/>
    <row r="148720" customFormat="1" x14ac:dyDescent="0.25"/>
    <row r="148721" customFormat="1" x14ac:dyDescent="0.25"/>
    <row r="148722" customFormat="1" x14ac:dyDescent="0.25"/>
    <row r="148723" customFormat="1" x14ac:dyDescent="0.25"/>
    <row r="148724" customFormat="1" x14ac:dyDescent="0.25"/>
    <row r="148725" customFormat="1" x14ac:dyDescent="0.25"/>
    <row r="148726" customFormat="1" x14ac:dyDescent="0.25"/>
    <row r="148727" customFormat="1" x14ac:dyDescent="0.25"/>
    <row r="148728" customFormat="1" x14ac:dyDescent="0.25"/>
    <row r="148729" customFormat="1" x14ac:dyDescent="0.25"/>
    <row r="148730" customFormat="1" x14ac:dyDescent="0.25"/>
    <row r="148731" customFormat="1" x14ac:dyDescent="0.25"/>
    <row r="148732" customFormat="1" x14ac:dyDescent="0.25"/>
    <row r="148733" customFormat="1" x14ac:dyDescent="0.25"/>
    <row r="148734" customFormat="1" x14ac:dyDescent="0.25"/>
    <row r="148735" customFormat="1" x14ac:dyDescent="0.25"/>
    <row r="148736" customFormat="1" x14ac:dyDescent="0.25"/>
    <row r="148737" customFormat="1" x14ac:dyDescent="0.25"/>
    <row r="148738" customFormat="1" x14ac:dyDescent="0.25"/>
    <row r="148739" customFormat="1" x14ac:dyDescent="0.25"/>
    <row r="148740" customFormat="1" x14ac:dyDescent="0.25"/>
    <row r="148741" customFormat="1" x14ac:dyDescent="0.25"/>
    <row r="148742" customFormat="1" x14ac:dyDescent="0.25"/>
    <row r="148743" customFormat="1" x14ac:dyDescent="0.25"/>
    <row r="148744" customFormat="1" x14ac:dyDescent="0.25"/>
    <row r="148745" customFormat="1" x14ac:dyDescent="0.25"/>
    <row r="148746" customFormat="1" x14ac:dyDescent="0.25"/>
    <row r="148747" customFormat="1" x14ac:dyDescent="0.25"/>
    <row r="148748" customFormat="1" x14ac:dyDescent="0.25"/>
    <row r="148749" customFormat="1" x14ac:dyDescent="0.25"/>
    <row r="148750" customFormat="1" x14ac:dyDescent="0.25"/>
    <row r="148751" customFormat="1" x14ac:dyDescent="0.25"/>
    <row r="148752" customFormat="1" x14ac:dyDescent="0.25"/>
    <row r="148753" customFormat="1" x14ac:dyDescent="0.25"/>
    <row r="148754" customFormat="1" x14ac:dyDescent="0.25"/>
    <row r="148755" customFormat="1" x14ac:dyDescent="0.25"/>
    <row r="148756" customFormat="1" x14ac:dyDescent="0.25"/>
    <row r="148757" customFormat="1" x14ac:dyDescent="0.25"/>
    <row r="148758" customFormat="1" x14ac:dyDescent="0.25"/>
    <row r="148759" customFormat="1" x14ac:dyDescent="0.25"/>
    <row r="148760" customFormat="1" x14ac:dyDescent="0.25"/>
    <row r="148761" customFormat="1" x14ac:dyDescent="0.25"/>
    <row r="148762" customFormat="1" x14ac:dyDescent="0.25"/>
    <row r="148763" customFormat="1" x14ac:dyDescent="0.25"/>
    <row r="148764" customFormat="1" x14ac:dyDescent="0.25"/>
    <row r="148765" customFormat="1" x14ac:dyDescent="0.25"/>
    <row r="148766" customFormat="1" x14ac:dyDescent="0.25"/>
    <row r="148767" customFormat="1" x14ac:dyDescent="0.25"/>
    <row r="148768" customFormat="1" x14ac:dyDescent="0.25"/>
    <row r="148769" customFormat="1" x14ac:dyDescent="0.25"/>
    <row r="148770" customFormat="1" x14ac:dyDescent="0.25"/>
    <row r="148771" customFormat="1" x14ac:dyDescent="0.25"/>
    <row r="148772" customFormat="1" x14ac:dyDescent="0.25"/>
    <row r="148773" customFormat="1" x14ac:dyDescent="0.25"/>
    <row r="148774" customFormat="1" x14ac:dyDescent="0.25"/>
    <row r="148775" customFormat="1" x14ac:dyDescent="0.25"/>
    <row r="148776" customFormat="1" x14ac:dyDescent="0.25"/>
    <row r="148777" customFormat="1" x14ac:dyDescent="0.25"/>
    <row r="148778" customFormat="1" x14ac:dyDescent="0.25"/>
    <row r="148779" customFormat="1" x14ac:dyDescent="0.25"/>
    <row r="148780" customFormat="1" x14ac:dyDescent="0.25"/>
    <row r="148781" customFormat="1" x14ac:dyDescent="0.25"/>
    <row r="148782" customFormat="1" x14ac:dyDescent="0.25"/>
    <row r="148783" customFormat="1" x14ac:dyDescent="0.25"/>
    <row r="148784" customFormat="1" x14ac:dyDescent="0.25"/>
    <row r="148785" customFormat="1" x14ac:dyDescent="0.25"/>
    <row r="148786" customFormat="1" x14ac:dyDescent="0.25"/>
    <row r="148787" customFormat="1" x14ac:dyDescent="0.25"/>
    <row r="148788" customFormat="1" x14ac:dyDescent="0.25"/>
    <row r="148789" customFormat="1" x14ac:dyDescent="0.25"/>
    <row r="148790" customFormat="1" x14ac:dyDescent="0.25"/>
    <row r="148791" customFormat="1" x14ac:dyDescent="0.25"/>
    <row r="148792" customFormat="1" x14ac:dyDescent="0.25"/>
    <row r="148793" customFormat="1" x14ac:dyDescent="0.25"/>
    <row r="148794" customFormat="1" x14ac:dyDescent="0.25"/>
    <row r="148795" customFormat="1" x14ac:dyDescent="0.25"/>
    <row r="148796" customFormat="1" x14ac:dyDescent="0.25"/>
    <row r="148797" customFormat="1" x14ac:dyDescent="0.25"/>
    <row r="148798" customFormat="1" x14ac:dyDescent="0.25"/>
    <row r="148799" customFormat="1" x14ac:dyDescent="0.25"/>
    <row r="148800" customFormat="1" x14ac:dyDescent="0.25"/>
    <row r="148801" customFormat="1" x14ac:dyDescent="0.25"/>
    <row r="148802" customFormat="1" x14ac:dyDescent="0.25"/>
    <row r="148803" customFormat="1" x14ac:dyDescent="0.25"/>
    <row r="148804" customFormat="1" x14ac:dyDescent="0.25"/>
    <row r="148805" customFormat="1" x14ac:dyDescent="0.25"/>
    <row r="148806" customFormat="1" x14ac:dyDescent="0.25"/>
    <row r="148807" customFormat="1" x14ac:dyDescent="0.25"/>
    <row r="148808" customFormat="1" x14ac:dyDescent="0.25"/>
    <row r="148809" customFormat="1" x14ac:dyDescent="0.25"/>
    <row r="148810" customFormat="1" x14ac:dyDescent="0.25"/>
    <row r="148811" customFormat="1" x14ac:dyDescent="0.25"/>
    <row r="148812" customFormat="1" x14ac:dyDescent="0.25"/>
    <row r="148813" customFormat="1" x14ac:dyDescent="0.25"/>
    <row r="148814" customFormat="1" x14ac:dyDescent="0.25"/>
    <row r="148815" customFormat="1" x14ac:dyDescent="0.25"/>
    <row r="148816" customFormat="1" x14ac:dyDescent="0.25"/>
    <row r="148817" customFormat="1" x14ac:dyDescent="0.25"/>
    <row r="148818" customFormat="1" x14ac:dyDescent="0.25"/>
    <row r="148819" customFormat="1" x14ac:dyDescent="0.25"/>
    <row r="148820" customFormat="1" x14ac:dyDescent="0.25"/>
    <row r="148821" customFormat="1" x14ac:dyDescent="0.25"/>
    <row r="148822" customFormat="1" x14ac:dyDescent="0.25"/>
    <row r="148823" customFormat="1" x14ac:dyDescent="0.25"/>
    <row r="148824" customFormat="1" x14ac:dyDescent="0.25"/>
    <row r="148825" customFormat="1" x14ac:dyDescent="0.25"/>
    <row r="148826" customFormat="1" x14ac:dyDescent="0.25"/>
    <row r="148827" customFormat="1" x14ac:dyDescent="0.25"/>
    <row r="148828" customFormat="1" x14ac:dyDescent="0.25"/>
    <row r="148829" customFormat="1" x14ac:dyDescent="0.25"/>
    <row r="148830" customFormat="1" x14ac:dyDescent="0.25"/>
    <row r="148831" customFormat="1" x14ac:dyDescent="0.25"/>
    <row r="148832" customFormat="1" x14ac:dyDescent="0.25"/>
    <row r="148833" customFormat="1" x14ac:dyDescent="0.25"/>
    <row r="148834" customFormat="1" x14ac:dyDescent="0.25"/>
    <row r="148835" customFormat="1" x14ac:dyDescent="0.25"/>
    <row r="148836" customFormat="1" x14ac:dyDescent="0.25"/>
    <row r="148837" customFormat="1" x14ac:dyDescent="0.25"/>
    <row r="148838" customFormat="1" x14ac:dyDescent="0.25"/>
    <row r="148839" customFormat="1" x14ac:dyDescent="0.25"/>
    <row r="148840" customFormat="1" x14ac:dyDescent="0.25"/>
    <row r="148841" customFormat="1" x14ac:dyDescent="0.25"/>
    <row r="148842" customFormat="1" x14ac:dyDescent="0.25"/>
    <row r="148843" customFormat="1" x14ac:dyDescent="0.25"/>
    <row r="148844" customFormat="1" x14ac:dyDescent="0.25"/>
    <row r="148845" customFormat="1" x14ac:dyDescent="0.25"/>
    <row r="148846" customFormat="1" x14ac:dyDescent="0.25"/>
    <row r="148847" customFormat="1" x14ac:dyDescent="0.25"/>
    <row r="148848" customFormat="1" x14ac:dyDescent="0.25"/>
    <row r="148849" customFormat="1" x14ac:dyDescent="0.25"/>
    <row r="148850" customFormat="1" x14ac:dyDescent="0.25"/>
    <row r="148851" customFormat="1" x14ac:dyDescent="0.25"/>
    <row r="148852" customFormat="1" x14ac:dyDescent="0.25"/>
    <row r="148853" customFormat="1" x14ac:dyDescent="0.25"/>
    <row r="148854" customFormat="1" x14ac:dyDescent="0.25"/>
    <row r="148855" customFormat="1" x14ac:dyDescent="0.25"/>
    <row r="148856" customFormat="1" x14ac:dyDescent="0.25"/>
    <row r="148857" customFormat="1" x14ac:dyDescent="0.25"/>
    <row r="148858" customFormat="1" x14ac:dyDescent="0.25"/>
    <row r="148859" customFormat="1" x14ac:dyDescent="0.25"/>
    <row r="148860" customFormat="1" x14ac:dyDescent="0.25"/>
    <row r="148861" customFormat="1" x14ac:dyDescent="0.25"/>
    <row r="148862" customFormat="1" x14ac:dyDescent="0.25"/>
    <row r="148863" customFormat="1" x14ac:dyDescent="0.25"/>
    <row r="148864" customFormat="1" x14ac:dyDescent="0.25"/>
    <row r="148865" customFormat="1" x14ac:dyDescent="0.25"/>
    <row r="148866" customFormat="1" x14ac:dyDescent="0.25"/>
    <row r="148867" customFormat="1" x14ac:dyDescent="0.25"/>
    <row r="148868" customFormat="1" x14ac:dyDescent="0.25"/>
    <row r="148869" customFormat="1" x14ac:dyDescent="0.25"/>
    <row r="148870" customFormat="1" x14ac:dyDescent="0.25"/>
    <row r="148871" customFormat="1" x14ac:dyDescent="0.25"/>
    <row r="148872" customFormat="1" x14ac:dyDescent="0.25"/>
    <row r="148873" customFormat="1" x14ac:dyDescent="0.25"/>
    <row r="148874" customFormat="1" x14ac:dyDescent="0.25"/>
    <row r="148875" customFormat="1" x14ac:dyDescent="0.25"/>
    <row r="148876" customFormat="1" x14ac:dyDescent="0.25"/>
    <row r="148877" customFormat="1" x14ac:dyDescent="0.25"/>
    <row r="148878" customFormat="1" x14ac:dyDescent="0.25"/>
    <row r="148879" customFormat="1" x14ac:dyDescent="0.25"/>
    <row r="148880" customFormat="1" x14ac:dyDescent="0.25"/>
    <row r="148881" customFormat="1" x14ac:dyDescent="0.25"/>
    <row r="148882" customFormat="1" x14ac:dyDescent="0.25"/>
    <row r="148883" customFormat="1" x14ac:dyDescent="0.25"/>
    <row r="148884" customFormat="1" x14ac:dyDescent="0.25"/>
    <row r="148885" customFormat="1" x14ac:dyDescent="0.25"/>
    <row r="148886" customFormat="1" x14ac:dyDescent="0.25"/>
    <row r="148887" customFormat="1" x14ac:dyDescent="0.25"/>
    <row r="148888" customFormat="1" x14ac:dyDescent="0.25"/>
    <row r="148889" customFormat="1" x14ac:dyDescent="0.25"/>
    <row r="148890" customFormat="1" x14ac:dyDescent="0.25"/>
    <row r="148891" customFormat="1" x14ac:dyDescent="0.25"/>
    <row r="148892" customFormat="1" x14ac:dyDescent="0.25"/>
    <row r="148893" customFormat="1" x14ac:dyDescent="0.25"/>
    <row r="148894" customFormat="1" x14ac:dyDescent="0.25"/>
    <row r="148895" customFormat="1" x14ac:dyDescent="0.25"/>
    <row r="148896" customFormat="1" x14ac:dyDescent="0.25"/>
    <row r="148897" customFormat="1" x14ac:dyDescent="0.25"/>
    <row r="148898" customFormat="1" x14ac:dyDescent="0.25"/>
    <row r="148899" customFormat="1" x14ac:dyDescent="0.25"/>
    <row r="148900" customFormat="1" x14ac:dyDescent="0.25"/>
    <row r="148901" customFormat="1" x14ac:dyDescent="0.25"/>
    <row r="148902" customFormat="1" x14ac:dyDescent="0.25"/>
    <row r="148903" customFormat="1" x14ac:dyDescent="0.25"/>
    <row r="148904" customFormat="1" x14ac:dyDescent="0.25"/>
    <row r="148905" customFormat="1" x14ac:dyDescent="0.25"/>
    <row r="148906" customFormat="1" x14ac:dyDescent="0.25"/>
    <row r="148907" customFormat="1" x14ac:dyDescent="0.25"/>
    <row r="148908" customFormat="1" x14ac:dyDescent="0.25"/>
    <row r="148909" customFormat="1" x14ac:dyDescent="0.25"/>
    <row r="148910" customFormat="1" x14ac:dyDescent="0.25"/>
    <row r="148911" customFormat="1" x14ac:dyDescent="0.25"/>
    <row r="148912" customFormat="1" x14ac:dyDescent="0.25"/>
    <row r="148913" customFormat="1" x14ac:dyDescent="0.25"/>
    <row r="148914" customFormat="1" x14ac:dyDescent="0.25"/>
    <row r="148915" customFormat="1" x14ac:dyDescent="0.25"/>
    <row r="148916" customFormat="1" x14ac:dyDescent="0.25"/>
    <row r="148917" customFormat="1" x14ac:dyDescent="0.25"/>
    <row r="148918" customFormat="1" x14ac:dyDescent="0.25"/>
    <row r="148919" customFormat="1" x14ac:dyDescent="0.25"/>
    <row r="148920" customFormat="1" x14ac:dyDescent="0.25"/>
    <row r="148921" customFormat="1" x14ac:dyDescent="0.25"/>
    <row r="148922" customFormat="1" x14ac:dyDescent="0.25"/>
    <row r="148923" customFormat="1" x14ac:dyDescent="0.25"/>
    <row r="148924" customFormat="1" x14ac:dyDescent="0.25"/>
    <row r="148925" customFormat="1" x14ac:dyDescent="0.25"/>
    <row r="148926" customFormat="1" x14ac:dyDescent="0.25"/>
    <row r="148927" customFormat="1" x14ac:dyDescent="0.25"/>
    <row r="148928" customFormat="1" x14ac:dyDescent="0.25"/>
    <row r="148929" customFormat="1" x14ac:dyDescent="0.25"/>
    <row r="148930" customFormat="1" x14ac:dyDescent="0.25"/>
    <row r="148931" customFormat="1" x14ac:dyDescent="0.25"/>
    <row r="148932" customFormat="1" x14ac:dyDescent="0.25"/>
    <row r="148933" customFormat="1" x14ac:dyDescent="0.25"/>
    <row r="148934" customFormat="1" x14ac:dyDescent="0.25"/>
    <row r="148935" customFormat="1" x14ac:dyDescent="0.25"/>
    <row r="148936" customFormat="1" x14ac:dyDescent="0.25"/>
    <row r="148937" customFormat="1" x14ac:dyDescent="0.25"/>
    <row r="148938" customFormat="1" x14ac:dyDescent="0.25"/>
    <row r="148939" customFormat="1" x14ac:dyDescent="0.25"/>
    <row r="148940" customFormat="1" x14ac:dyDescent="0.25"/>
    <row r="148941" customFormat="1" x14ac:dyDescent="0.25"/>
    <row r="148942" customFormat="1" x14ac:dyDescent="0.25"/>
    <row r="148943" customFormat="1" x14ac:dyDescent="0.25"/>
    <row r="148944" customFormat="1" x14ac:dyDescent="0.25"/>
    <row r="148945" customFormat="1" x14ac:dyDescent="0.25"/>
    <row r="148946" customFormat="1" x14ac:dyDescent="0.25"/>
    <row r="148947" customFormat="1" x14ac:dyDescent="0.25"/>
    <row r="148948" customFormat="1" x14ac:dyDescent="0.25"/>
    <row r="148949" customFormat="1" x14ac:dyDescent="0.25"/>
    <row r="148950" customFormat="1" x14ac:dyDescent="0.25"/>
    <row r="148951" customFormat="1" x14ac:dyDescent="0.25"/>
    <row r="148952" customFormat="1" x14ac:dyDescent="0.25"/>
    <row r="148953" customFormat="1" x14ac:dyDescent="0.25"/>
    <row r="148954" customFormat="1" x14ac:dyDescent="0.25"/>
    <row r="148955" customFormat="1" x14ac:dyDescent="0.25"/>
    <row r="148956" customFormat="1" x14ac:dyDescent="0.25"/>
    <row r="148957" customFormat="1" x14ac:dyDescent="0.25"/>
    <row r="148958" customFormat="1" x14ac:dyDescent="0.25"/>
    <row r="148959" customFormat="1" x14ac:dyDescent="0.25"/>
    <row r="148960" customFormat="1" x14ac:dyDescent="0.25"/>
    <row r="148961" customFormat="1" x14ac:dyDescent="0.25"/>
    <row r="148962" customFormat="1" x14ac:dyDescent="0.25"/>
    <row r="148963" customFormat="1" x14ac:dyDescent="0.25"/>
    <row r="148964" customFormat="1" x14ac:dyDescent="0.25"/>
    <row r="148965" customFormat="1" x14ac:dyDescent="0.25"/>
    <row r="148966" customFormat="1" x14ac:dyDescent="0.25"/>
    <row r="148967" customFormat="1" x14ac:dyDescent="0.25"/>
    <row r="148968" customFormat="1" x14ac:dyDescent="0.25"/>
    <row r="148969" customFormat="1" x14ac:dyDescent="0.25"/>
    <row r="148970" customFormat="1" x14ac:dyDescent="0.25"/>
    <row r="148971" customFormat="1" x14ac:dyDescent="0.25"/>
    <row r="148972" customFormat="1" x14ac:dyDescent="0.25"/>
    <row r="148973" customFormat="1" x14ac:dyDescent="0.25"/>
    <row r="148974" customFormat="1" x14ac:dyDescent="0.25"/>
    <row r="148975" customFormat="1" x14ac:dyDescent="0.25"/>
    <row r="148976" customFormat="1" x14ac:dyDescent="0.25"/>
    <row r="148977" customFormat="1" x14ac:dyDescent="0.25"/>
    <row r="148978" customFormat="1" x14ac:dyDescent="0.25"/>
    <row r="148979" customFormat="1" x14ac:dyDescent="0.25"/>
    <row r="148980" customFormat="1" x14ac:dyDescent="0.25"/>
    <row r="148981" customFormat="1" x14ac:dyDescent="0.25"/>
    <row r="148982" customFormat="1" x14ac:dyDescent="0.25"/>
    <row r="148983" customFormat="1" x14ac:dyDescent="0.25"/>
    <row r="148984" customFormat="1" x14ac:dyDescent="0.25"/>
    <row r="148985" customFormat="1" x14ac:dyDescent="0.25"/>
    <row r="148986" customFormat="1" x14ac:dyDescent="0.25"/>
    <row r="148987" customFormat="1" x14ac:dyDescent="0.25"/>
    <row r="148988" customFormat="1" x14ac:dyDescent="0.25"/>
    <row r="148989" customFormat="1" x14ac:dyDescent="0.25"/>
    <row r="148990" customFormat="1" x14ac:dyDescent="0.25"/>
    <row r="148991" customFormat="1" x14ac:dyDescent="0.25"/>
    <row r="148992" customFormat="1" x14ac:dyDescent="0.25"/>
    <row r="148993" customFormat="1" x14ac:dyDescent="0.25"/>
    <row r="148994" customFormat="1" x14ac:dyDescent="0.25"/>
    <row r="148995" customFormat="1" x14ac:dyDescent="0.25"/>
    <row r="148996" customFormat="1" x14ac:dyDescent="0.25"/>
    <row r="148997" customFormat="1" x14ac:dyDescent="0.25"/>
    <row r="148998" customFormat="1" x14ac:dyDescent="0.25"/>
    <row r="148999" customFormat="1" x14ac:dyDescent="0.25"/>
    <row r="149000" customFormat="1" x14ac:dyDescent="0.25"/>
    <row r="149001" customFormat="1" x14ac:dyDescent="0.25"/>
    <row r="149002" customFormat="1" x14ac:dyDescent="0.25"/>
    <row r="149003" customFormat="1" x14ac:dyDescent="0.25"/>
    <row r="149004" customFormat="1" x14ac:dyDescent="0.25"/>
    <row r="149005" customFormat="1" x14ac:dyDescent="0.25"/>
    <row r="149006" customFormat="1" x14ac:dyDescent="0.25"/>
    <row r="149007" customFormat="1" x14ac:dyDescent="0.25"/>
    <row r="149008" customFormat="1" x14ac:dyDescent="0.25"/>
    <row r="149009" customFormat="1" x14ac:dyDescent="0.25"/>
    <row r="149010" customFormat="1" x14ac:dyDescent="0.25"/>
    <row r="149011" customFormat="1" x14ac:dyDescent="0.25"/>
    <row r="149012" customFormat="1" x14ac:dyDescent="0.25"/>
    <row r="149013" customFormat="1" x14ac:dyDescent="0.25"/>
    <row r="149014" customFormat="1" x14ac:dyDescent="0.25"/>
    <row r="149015" customFormat="1" x14ac:dyDescent="0.25"/>
    <row r="149016" customFormat="1" x14ac:dyDescent="0.25"/>
    <row r="149017" customFormat="1" x14ac:dyDescent="0.25"/>
    <row r="149018" customFormat="1" x14ac:dyDescent="0.25"/>
    <row r="149019" customFormat="1" x14ac:dyDescent="0.25"/>
    <row r="149020" customFormat="1" x14ac:dyDescent="0.25"/>
    <row r="149021" customFormat="1" x14ac:dyDescent="0.25"/>
    <row r="149022" customFormat="1" x14ac:dyDescent="0.25"/>
    <row r="149023" customFormat="1" x14ac:dyDescent="0.25"/>
    <row r="149024" customFormat="1" x14ac:dyDescent="0.25"/>
    <row r="149025" customFormat="1" x14ac:dyDescent="0.25"/>
    <row r="149026" customFormat="1" x14ac:dyDescent="0.25"/>
    <row r="149027" customFormat="1" x14ac:dyDescent="0.25"/>
    <row r="149028" customFormat="1" x14ac:dyDescent="0.25"/>
    <row r="149029" customFormat="1" x14ac:dyDescent="0.25"/>
    <row r="149030" customFormat="1" x14ac:dyDescent="0.25"/>
    <row r="149031" customFormat="1" x14ac:dyDescent="0.25"/>
    <row r="149032" customFormat="1" x14ac:dyDescent="0.25"/>
    <row r="149033" customFormat="1" x14ac:dyDescent="0.25"/>
    <row r="149034" customFormat="1" x14ac:dyDescent="0.25"/>
    <row r="149035" customFormat="1" x14ac:dyDescent="0.25"/>
    <row r="149036" customFormat="1" x14ac:dyDescent="0.25"/>
    <row r="149037" customFormat="1" x14ac:dyDescent="0.25"/>
    <row r="149038" customFormat="1" x14ac:dyDescent="0.25"/>
    <row r="149039" customFormat="1" x14ac:dyDescent="0.25"/>
    <row r="149040" customFormat="1" x14ac:dyDescent="0.25"/>
    <row r="149041" customFormat="1" x14ac:dyDescent="0.25"/>
    <row r="149042" customFormat="1" x14ac:dyDescent="0.25"/>
    <row r="149043" customFormat="1" x14ac:dyDescent="0.25"/>
    <row r="149044" customFormat="1" x14ac:dyDescent="0.25"/>
    <row r="149045" customFormat="1" x14ac:dyDescent="0.25"/>
    <row r="149046" customFormat="1" x14ac:dyDescent="0.25"/>
    <row r="149047" customFormat="1" x14ac:dyDescent="0.25"/>
    <row r="149048" customFormat="1" x14ac:dyDescent="0.25"/>
    <row r="149049" customFormat="1" x14ac:dyDescent="0.25"/>
    <row r="149050" customFormat="1" x14ac:dyDescent="0.25"/>
    <row r="149051" customFormat="1" x14ac:dyDescent="0.25"/>
    <row r="149052" customFormat="1" x14ac:dyDescent="0.25"/>
    <row r="149053" customFormat="1" x14ac:dyDescent="0.25"/>
    <row r="149054" customFormat="1" x14ac:dyDescent="0.25"/>
    <row r="149055" customFormat="1" x14ac:dyDescent="0.25"/>
    <row r="149056" customFormat="1" x14ac:dyDescent="0.25"/>
    <row r="149057" customFormat="1" x14ac:dyDescent="0.25"/>
    <row r="149058" customFormat="1" x14ac:dyDescent="0.25"/>
    <row r="149059" customFormat="1" x14ac:dyDescent="0.25"/>
    <row r="149060" customFormat="1" x14ac:dyDescent="0.25"/>
    <row r="149061" customFormat="1" x14ac:dyDescent="0.25"/>
    <row r="149062" customFormat="1" x14ac:dyDescent="0.25"/>
    <row r="149063" customFormat="1" x14ac:dyDescent="0.25"/>
    <row r="149064" customFormat="1" x14ac:dyDescent="0.25"/>
    <row r="149065" customFormat="1" x14ac:dyDescent="0.25"/>
    <row r="149066" customFormat="1" x14ac:dyDescent="0.25"/>
    <row r="149067" customFormat="1" x14ac:dyDescent="0.25"/>
    <row r="149068" customFormat="1" x14ac:dyDescent="0.25"/>
    <row r="149069" customFormat="1" x14ac:dyDescent="0.25"/>
    <row r="149070" customFormat="1" x14ac:dyDescent="0.25"/>
    <row r="149071" customFormat="1" x14ac:dyDescent="0.25"/>
    <row r="149072" customFormat="1" x14ac:dyDescent="0.25"/>
    <row r="149073" customFormat="1" x14ac:dyDescent="0.25"/>
    <row r="149074" customFormat="1" x14ac:dyDescent="0.25"/>
    <row r="149075" customFormat="1" x14ac:dyDescent="0.25"/>
    <row r="149076" customFormat="1" x14ac:dyDescent="0.25"/>
    <row r="149077" customFormat="1" x14ac:dyDescent="0.25"/>
    <row r="149078" customFormat="1" x14ac:dyDescent="0.25"/>
    <row r="149079" customFormat="1" x14ac:dyDescent="0.25"/>
    <row r="149080" customFormat="1" x14ac:dyDescent="0.25"/>
    <row r="149081" customFormat="1" x14ac:dyDescent="0.25"/>
    <row r="149082" customFormat="1" x14ac:dyDescent="0.25"/>
    <row r="149083" customFormat="1" x14ac:dyDescent="0.25"/>
    <row r="149084" customFormat="1" x14ac:dyDescent="0.25"/>
    <row r="149085" customFormat="1" x14ac:dyDescent="0.25"/>
    <row r="149086" customFormat="1" x14ac:dyDescent="0.25"/>
    <row r="149087" customFormat="1" x14ac:dyDescent="0.25"/>
    <row r="149088" customFormat="1" x14ac:dyDescent="0.25"/>
    <row r="149089" customFormat="1" x14ac:dyDescent="0.25"/>
    <row r="149090" customFormat="1" x14ac:dyDescent="0.25"/>
    <row r="149091" customFormat="1" x14ac:dyDescent="0.25"/>
    <row r="149092" customFormat="1" x14ac:dyDescent="0.25"/>
    <row r="149093" customFormat="1" x14ac:dyDescent="0.25"/>
    <row r="149094" customFormat="1" x14ac:dyDescent="0.25"/>
    <row r="149095" customFormat="1" x14ac:dyDescent="0.25"/>
    <row r="149096" customFormat="1" x14ac:dyDescent="0.25"/>
    <row r="149097" customFormat="1" x14ac:dyDescent="0.25"/>
    <row r="149098" customFormat="1" x14ac:dyDescent="0.25"/>
    <row r="149099" customFormat="1" x14ac:dyDescent="0.25"/>
    <row r="149100" customFormat="1" x14ac:dyDescent="0.25"/>
    <row r="149101" customFormat="1" x14ac:dyDescent="0.25"/>
    <row r="149102" customFormat="1" x14ac:dyDescent="0.25"/>
    <row r="149103" customFormat="1" x14ac:dyDescent="0.25"/>
    <row r="149104" customFormat="1" x14ac:dyDescent="0.25"/>
    <row r="149105" customFormat="1" x14ac:dyDescent="0.25"/>
    <row r="149106" customFormat="1" x14ac:dyDescent="0.25"/>
    <row r="149107" customFormat="1" x14ac:dyDescent="0.25"/>
    <row r="149108" customFormat="1" x14ac:dyDescent="0.25"/>
    <row r="149109" customFormat="1" x14ac:dyDescent="0.25"/>
    <row r="149110" customFormat="1" x14ac:dyDescent="0.25"/>
    <row r="149111" customFormat="1" x14ac:dyDescent="0.25"/>
    <row r="149112" customFormat="1" x14ac:dyDescent="0.25"/>
    <row r="149113" customFormat="1" x14ac:dyDescent="0.25"/>
    <row r="149114" customFormat="1" x14ac:dyDescent="0.25"/>
    <row r="149115" customFormat="1" x14ac:dyDescent="0.25"/>
    <row r="149116" customFormat="1" x14ac:dyDescent="0.25"/>
    <row r="149117" customFormat="1" x14ac:dyDescent="0.25"/>
    <row r="149118" customFormat="1" x14ac:dyDescent="0.25"/>
    <row r="149119" customFormat="1" x14ac:dyDescent="0.25"/>
    <row r="149120" customFormat="1" x14ac:dyDescent="0.25"/>
    <row r="149121" customFormat="1" x14ac:dyDescent="0.25"/>
    <row r="149122" customFormat="1" x14ac:dyDescent="0.25"/>
    <row r="149123" customFormat="1" x14ac:dyDescent="0.25"/>
    <row r="149124" customFormat="1" x14ac:dyDescent="0.25"/>
    <row r="149125" customFormat="1" x14ac:dyDescent="0.25"/>
    <row r="149126" customFormat="1" x14ac:dyDescent="0.25"/>
    <row r="149127" customFormat="1" x14ac:dyDescent="0.25"/>
    <row r="149128" customFormat="1" x14ac:dyDescent="0.25"/>
    <row r="149129" customFormat="1" x14ac:dyDescent="0.25"/>
    <row r="149130" customFormat="1" x14ac:dyDescent="0.25"/>
    <row r="149131" customFormat="1" x14ac:dyDescent="0.25"/>
    <row r="149132" customFormat="1" x14ac:dyDescent="0.25"/>
    <row r="149133" customFormat="1" x14ac:dyDescent="0.25"/>
    <row r="149134" customFormat="1" x14ac:dyDescent="0.25"/>
    <row r="149135" customFormat="1" x14ac:dyDescent="0.25"/>
    <row r="149136" customFormat="1" x14ac:dyDescent="0.25"/>
    <row r="149137" customFormat="1" x14ac:dyDescent="0.25"/>
    <row r="149138" customFormat="1" x14ac:dyDescent="0.25"/>
    <row r="149139" customFormat="1" x14ac:dyDescent="0.25"/>
    <row r="149140" customFormat="1" x14ac:dyDescent="0.25"/>
    <row r="149141" customFormat="1" x14ac:dyDescent="0.25"/>
    <row r="149142" customFormat="1" x14ac:dyDescent="0.25"/>
    <row r="149143" customFormat="1" x14ac:dyDescent="0.25"/>
    <row r="149144" customFormat="1" x14ac:dyDescent="0.25"/>
    <row r="149145" customFormat="1" x14ac:dyDescent="0.25"/>
    <row r="149146" customFormat="1" x14ac:dyDescent="0.25"/>
    <row r="149147" customFormat="1" x14ac:dyDescent="0.25"/>
    <row r="149148" customFormat="1" x14ac:dyDescent="0.25"/>
    <row r="149149" customFormat="1" x14ac:dyDescent="0.25"/>
    <row r="149150" customFormat="1" x14ac:dyDescent="0.25"/>
    <row r="149151" customFormat="1" x14ac:dyDescent="0.25"/>
    <row r="149152" customFormat="1" x14ac:dyDescent="0.25"/>
    <row r="149153" customFormat="1" x14ac:dyDescent="0.25"/>
    <row r="149154" customFormat="1" x14ac:dyDescent="0.25"/>
    <row r="149155" customFormat="1" x14ac:dyDescent="0.25"/>
    <row r="149156" customFormat="1" x14ac:dyDescent="0.25"/>
    <row r="149157" customFormat="1" x14ac:dyDescent="0.25"/>
    <row r="149158" customFormat="1" x14ac:dyDescent="0.25"/>
    <row r="149159" customFormat="1" x14ac:dyDescent="0.25"/>
    <row r="149160" customFormat="1" x14ac:dyDescent="0.25"/>
    <row r="149161" customFormat="1" x14ac:dyDescent="0.25"/>
    <row r="149162" customFormat="1" x14ac:dyDescent="0.25"/>
    <row r="149163" customFormat="1" x14ac:dyDescent="0.25"/>
    <row r="149164" customFormat="1" x14ac:dyDescent="0.25"/>
    <row r="149165" customFormat="1" x14ac:dyDescent="0.25"/>
    <row r="149166" customFormat="1" x14ac:dyDescent="0.25"/>
    <row r="149167" customFormat="1" x14ac:dyDescent="0.25"/>
    <row r="149168" customFormat="1" x14ac:dyDescent="0.25"/>
    <row r="149169" customFormat="1" x14ac:dyDescent="0.25"/>
    <row r="149170" customFormat="1" x14ac:dyDescent="0.25"/>
    <row r="149171" customFormat="1" x14ac:dyDescent="0.25"/>
    <row r="149172" customFormat="1" x14ac:dyDescent="0.25"/>
    <row r="149173" customFormat="1" x14ac:dyDescent="0.25"/>
    <row r="149174" customFormat="1" x14ac:dyDescent="0.25"/>
    <row r="149175" customFormat="1" x14ac:dyDescent="0.25"/>
    <row r="149176" customFormat="1" x14ac:dyDescent="0.25"/>
    <row r="149177" customFormat="1" x14ac:dyDescent="0.25"/>
    <row r="149178" customFormat="1" x14ac:dyDescent="0.25"/>
    <row r="149179" customFormat="1" x14ac:dyDescent="0.25"/>
    <row r="149180" customFormat="1" x14ac:dyDescent="0.25"/>
    <row r="149181" customFormat="1" x14ac:dyDescent="0.25"/>
    <row r="149182" customFormat="1" x14ac:dyDescent="0.25"/>
    <row r="149183" customFormat="1" x14ac:dyDescent="0.25"/>
    <row r="149184" customFormat="1" x14ac:dyDescent="0.25"/>
    <row r="149185" customFormat="1" x14ac:dyDescent="0.25"/>
    <row r="149186" customFormat="1" x14ac:dyDescent="0.25"/>
    <row r="149187" customFormat="1" x14ac:dyDescent="0.25"/>
    <row r="149188" customFormat="1" x14ac:dyDescent="0.25"/>
    <row r="149189" customFormat="1" x14ac:dyDescent="0.25"/>
    <row r="149190" customFormat="1" x14ac:dyDescent="0.25"/>
    <row r="149191" customFormat="1" x14ac:dyDescent="0.25"/>
    <row r="149192" customFormat="1" x14ac:dyDescent="0.25"/>
    <row r="149193" customFormat="1" x14ac:dyDescent="0.25"/>
    <row r="149194" customFormat="1" x14ac:dyDescent="0.25"/>
    <row r="149195" customFormat="1" x14ac:dyDescent="0.25"/>
    <row r="149196" customFormat="1" x14ac:dyDescent="0.25"/>
    <row r="149197" customFormat="1" x14ac:dyDescent="0.25"/>
    <row r="149198" customFormat="1" x14ac:dyDescent="0.25"/>
    <row r="149199" customFormat="1" x14ac:dyDescent="0.25"/>
    <row r="149200" customFormat="1" x14ac:dyDescent="0.25"/>
    <row r="149201" customFormat="1" x14ac:dyDescent="0.25"/>
    <row r="149202" customFormat="1" x14ac:dyDescent="0.25"/>
    <row r="149203" customFormat="1" x14ac:dyDescent="0.25"/>
    <row r="149204" customFormat="1" x14ac:dyDescent="0.25"/>
    <row r="149205" customFormat="1" x14ac:dyDescent="0.25"/>
    <row r="149206" customFormat="1" x14ac:dyDescent="0.25"/>
    <row r="149207" customFormat="1" x14ac:dyDescent="0.25"/>
    <row r="149208" customFormat="1" x14ac:dyDescent="0.25"/>
    <row r="149209" customFormat="1" x14ac:dyDescent="0.25"/>
    <row r="149210" customFormat="1" x14ac:dyDescent="0.25"/>
    <row r="149211" customFormat="1" x14ac:dyDescent="0.25"/>
    <row r="149212" customFormat="1" x14ac:dyDescent="0.25"/>
    <row r="149213" customFormat="1" x14ac:dyDescent="0.25"/>
    <row r="149214" customFormat="1" x14ac:dyDescent="0.25"/>
    <row r="149215" customFormat="1" x14ac:dyDescent="0.25"/>
    <row r="149216" customFormat="1" x14ac:dyDescent="0.25"/>
    <row r="149217" customFormat="1" x14ac:dyDescent="0.25"/>
    <row r="149218" customFormat="1" x14ac:dyDescent="0.25"/>
    <row r="149219" customFormat="1" x14ac:dyDescent="0.25"/>
    <row r="149220" customFormat="1" x14ac:dyDescent="0.25"/>
    <row r="149221" customFormat="1" x14ac:dyDescent="0.25"/>
    <row r="149222" customFormat="1" x14ac:dyDescent="0.25"/>
    <row r="149223" customFormat="1" x14ac:dyDescent="0.25"/>
    <row r="149224" customFormat="1" x14ac:dyDescent="0.25"/>
    <row r="149225" customFormat="1" x14ac:dyDescent="0.25"/>
    <row r="149226" customFormat="1" x14ac:dyDescent="0.25"/>
    <row r="149227" customFormat="1" x14ac:dyDescent="0.25"/>
    <row r="149228" customFormat="1" x14ac:dyDescent="0.25"/>
    <row r="149229" customFormat="1" x14ac:dyDescent="0.25"/>
    <row r="149230" customFormat="1" x14ac:dyDescent="0.25"/>
    <row r="149231" customFormat="1" x14ac:dyDescent="0.25"/>
    <row r="149232" customFormat="1" x14ac:dyDescent="0.25"/>
    <row r="149233" customFormat="1" x14ac:dyDescent="0.25"/>
    <row r="149234" customFormat="1" x14ac:dyDescent="0.25"/>
    <row r="149235" customFormat="1" x14ac:dyDescent="0.25"/>
    <row r="149236" customFormat="1" x14ac:dyDescent="0.25"/>
    <row r="149237" customFormat="1" x14ac:dyDescent="0.25"/>
    <row r="149238" customFormat="1" x14ac:dyDescent="0.25"/>
    <row r="149239" customFormat="1" x14ac:dyDescent="0.25"/>
    <row r="149240" customFormat="1" x14ac:dyDescent="0.25"/>
    <row r="149241" customFormat="1" x14ac:dyDescent="0.25"/>
    <row r="149242" customFormat="1" x14ac:dyDescent="0.25"/>
    <row r="149243" customFormat="1" x14ac:dyDescent="0.25"/>
    <row r="149244" customFormat="1" x14ac:dyDescent="0.25"/>
    <row r="149245" customFormat="1" x14ac:dyDescent="0.25"/>
    <row r="149246" customFormat="1" x14ac:dyDescent="0.25"/>
    <row r="149247" customFormat="1" x14ac:dyDescent="0.25"/>
    <row r="149248" customFormat="1" x14ac:dyDescent="0.25"/>
    <row r="149249" customFormat="1" x14ac:dyDescent="0.25"/>
    <row r="149250" customFormat="1" x14ac:dyDescent="0.25"/>
    <row r="149251" customFormat="1" x14ac:dyDescent="0.25"/>
    <row r="149252" customFormat="1" x14ac:dyDescent="0.25"/>
    <row r="149253" customFormat="1" x14ac:dyDescent="0.25"/>
    <row r="149254" customFormat="1" x14ac:dyDescent="0.25"/>
    <row r="149255" customFormat="1" x14ac:dyDescent="0.25"/>
    <row r="149256" customFormat="1" x14ac:dyDescent="0.25"/>
    <row r="149257" customFormat="1" x14ac:dyDescent="0.25"/>
    <row r="149258" customFormat="1" x14ac:dyDescent="0.25"/>
    <row r="149259" customFormat="1" x14ac:dyDescent="0.25"/>
    <row r="149260" customFormat="1" x14ac:dyDescent="0.25"/>
    <row r="149261" customFormat="1" x14ac:dyDescent="0.25"/>
    <row r="149262" customFormat="1" x14ac:dyDescent="0.25"/>
    <row r="149263" customFormat="1" x14ac:dyDescent="0.25"/>
    <row r="149264" customFormat="1" x14ac:dyDescent="0.25"/>
    <row r="149265" customFormat="1" x14ac:dyDescent="0.25"/>
    <row r="149266" customFormat="1" x14ac:dyDescent="0.25"/>
    <row r="149267" customFormat="1" x14ac:dyDescent="0.25"/>
    <row r="149268" customFormat="1" x14ac:dyDescent="0.25"/>
    <row r="149269" customFormat="1" x14ac:dyDescent="0.25"/>
    <row r="149270" customFormat="1" x14ac:dyDescent="0.25"/>
    <row r="149271" customFormat="1" x14ac:dyDescent="0.25"/>
    <row r="149272" customFormat="1" x14ac:dyDescent="0.25"/>
    <row r="149273" customFormat="1" x14ac:dyDescent="0.25"/>
    <row r="149274" customFormat="1" x14ac:dyDescent="0.25"/>
    <row r="149275" customFormat="1" x14ac:dyDescent="0.25"/>
    <row r="149276" customFormat="1" x14ac:dyDescent="0.25"/>
    <row r="149277" customFormat="1" x14ac:dyDescent="0.25"/>
    <row r="149278" customFormat="1" x14ac:dyDescent="0.25"/>
    <row r="149279" customFormat="1" x14ac:dyDescent="0.25"/>
    <row r="149280" customFormat="1" x14ac:dyDescent="0.25"/>
    <row r="149281" customFormat="1" x14ac:dyDescent="0.25"/>
    <row r="149282" customFormat="1" x14ac:dyDescent="0.25"/>
    <row r="149283" customFormat="1" x14ac:dyDescent="0.25"/>
    <row r="149284" customFormat="1" x14ac:dyDescent="0.25"/>
    <row r="149285" customFormat="1" x14ac:dyDescent="0.25"/>
    <row r="149286" customFormat="1" x14ac:dyDescent="0.25"/>
    <row r="149287" customFormat="1" x14ac:dyDescent="0.25"/>
    <row r="149288" customFormat="1" x14ac:dyDescent="0.25"/>
    <row r="149289" customFormat="1" x14ac:dyDescent="0.25"/>
    <row r="149290" customFormat="1" x14ac:dyDescent="0.25"/>
    <row r="149291" customFormat="1" x14ac:dyDescent="0.25"/>
    <row r="149292" customFormat="1" x14ac:dyDescent="0.25"/>
    <row r="149293" customFormat="1" x14ac:dyDescent="0.25"/>
    <row r="149294" customFormat="1" x14ac:dyDescent="0.25"/>
    <row r="149295" customFormat="1" x14ac:dyDescent="0.25"/>
    <row r="149296" customFormat="1" x14ac:dyDescent="0.25"/>
    <row r="149297" customFormat="1" x14ac:dyDescent="0.25"/>
    <row r="149298" customFormat="1" x14ac:dyDescent="0.25"/>
    <row r="149299" customFormat="1" x14ac:dyDescent="0.25"/>
    <row r="149300" customFormat="1" x14ac:dyDescent="0.25"/>
    <row r="149301" customFormat="1" x14ac:dyDescent="0.25"/>
    <row r="149302" customFormat="1" x14ac:dyDescent="0.25"/>
    <row r="149303" customFormat="1" x14ac:dyDescent="0.25"/>
    <row r="149304" customFormat="1" x14ac:dyDescent="0.25"/>
    <row r="149305" customFormat="1" x14ac:dyDescent="0.25"/>
    <row r="149306" customFormat="1" x14ac:dyDescent="0.25"/>
    <row r="149307" customFormat="1" x14ac:dyDescent="0.25"/>
    <row r="149308" customFormat="1" x14ac:dyDescent="0.25"/>
    <row r="149309" customFormat="1" x14ac:dyDescent="0.25"/>
    <row r="149310" customFormat="1" x14ac:dyDescent="0.25"/>
    <row r="149311" customFormat="1" x14ac:dyDescent="0.25"/>
    <row r="149312" customFormat="1" x14ac:dyDescent="0.25"/>
    <row r="149313" customFormat="1" x14ac:dyDescent="0.25"/>
    <row r="149314" customFormat="1" x14ac:dyDescent="0.25"/>
    <row r="149315" customFormat="1" x14ac:dyDescent="0.25"/>
    <row r="149316" customFormat="1" x14ac:dyDescent="0.25"/>
    <row r="149317" customFormat="1" x14ac:dyDescent="0.25"/>
    <row r="149318" customFormat="1" x14ac:dyDescent="0.25"/>
    <row r="149319" customFormat="1" x14ac:dyDescent="0.25"/>
    <row r="149320" customFormat="1" x14ac:dyDescent="0.25"/>
    <row r="149321" customFormat="1" x14ac:dyDescent="0.25"/>
    <row r="149322" customFormat="1" x14ac:dyDescent="0.25"/>
    <row r="149323" customFormat="1" x14ac:dyDescent="0.25"/>
    <row r="149324" customFormat="1" x14ac:dyDescent="0.25"/>
    <row r="149325" customFormat="1" x14ac:dyDescent="0.25"/>
    <row r="149326" customFormat="1" x14ac:dyDescent="0.25"/>
    <row r="149327" customFormat="1" x14ac:dyDescent="0.25"/>
    <row r="149328" customFormat="1" x14ac:dyDescent="0.25"/>
    <row r="149329" customFormat="1" x14ac:dyDescent="0.25"/>
    <row r="149330" customFormat="1" x14ac:dyDescent="0.25"/>
    <row r="149331" customFormat="1" x14ac:dyDescent="0.25"/>
    <row r="149332" customFormat="1" x14ac:dyDescent="0.25"/>
    <row r="149333" customFormat="1" x14ac:dyDescent="0.25"/>
    <row r="149334" customFormat="1" x14ac:dyDescent="0.25"/>
    <row r="149335" customFormat="1" x14ac:dyDescent="0.25"/>
    <row r="149336" customFormat="1" x14ac:dyDescent="0.25"/>
    <row r="149337" customFormat="1" x14ac:dyDescent="0.25"/>
    <row r="149338" customFormat="1" x14ac:dyDescent="0.25"/>
    <row r="149339" customFormat="1" x14ac:dyDescent="0.25"/>
    <row r="149340" customFormat="1" x14ac:dyDescent="0.25"/>
    <row r="149341" customFormat="1" x14ac:dyDescent="0.25"/>
    <row r="149342" customFormat="1" x14ac:dyDescent="0.25"/>
    <row r="149343" customFormat="1" x14ac:dyDescent="0.25"/>
    <row r="149344" customFormat="1" x14ac:dyDescent="0.25"/>
    <row r="149345" customFormat="1" x14ac:dyDescent="0.25"/>
    <row r="149346" customFormat="1" x14ac:dyDescent="0.25"/>
    <row r="149347" customFormat="1" x14ac:dyDescent="0.25"/>
    <row r="149348" customFormat="1" x14ac:dyDescent="0.25"/>
    <row r="149349" customFormat="1" x14ac:dyDescent="0.25"/>
    <row r="149350" customFormat="1" x14ac:dyDescent="0.25"/>
    <row r="149351" customFormat="1" x14ac:dyDescent="0.25"/>
    <row r="149352" customFormat="1" x14ac:dyDescent="0.25"/>
    <row r="149353" customFormat="1" x14ac:dyDescent="0.25"/>
    <row r="149354" customFormat="1" x14ac:dyDescent="0.25"/>
    <row r="149355" customFormat="1" x14ac:dyDescent="0.25"/>
    <row r="149356" customFormat="1" x14ac:dyDescent="0.25"/>
    <row r="149357" customFormat="1" x14ac:dyDescent="0.25"/>
    <row r="149358" customFormat="1" x14ac:dyDescent="0.25"/>
    <row r="149359" customFormat="1" x14ac:dyDescent="0.25"/>
    <row r="149360" customFormat="1" x14ac:dyDescent="0.25"/>
    <row r="149361" customFormat="1" x14ac:dyDescent="0.25"/>
    <row r="149362" customFormat="1" x14ac:dyDescent="0.25"/>
    <row r="149363" customFormat="1" x14ac:dyDescent="0.25"/>
    <row r="149364" customFormat="1" x14ac:dyDescent="0.25"/>
    <row r="149365" customFormat="1" x14ac:dyDescent="0.25"/>
    <row r="149366" customFormat="1" x14ac:dyDescent="0.25"/>
    <row r="149367" customFormat="1" x14ac:dyDescent="0.25"/>
    <row r="149368" customFormat="1" x14ac:dyDescent="0.25"/>
    <row r="149369" customFormat="1" x14ac:dyDescent="0.25"/>
    <row r="149370" customFormat="1" x14ac:dyDescent="0.25"/>
    <row r="149371" customFormat="1" x14ac:dyDescent="0.25"/>
    <row r="149372" customFormat="1" x14ac:dyDescent="0.25"/>
    <row r="149373" customFormat="1" x14ac:dyDescent="0.25"/>
    <row r="149374" customFormat="1" x14ac:dyDescent="0.25"/>
    <row r="149375" customFormat="1" x14ac:dyDescent="0.25"/>
    <row r="149376" customFormat="1" x14ac:dyDescent="0.25"/>
    <row r="149377" customFormat="1" x14ac:dyDescent="0.25"/>
    <row r="149378" customFormat="1" x14ac:dyDescent="0.25"/>
    <row r="149379" customFormat="1" x14ac:dyDescent="0.25"/>
    <row r="149380" customFormat="1" x14ac:dyDescent="0.25"/>
    <row r="149381" customFormat="1" x14ac:dyDescent="0.25"/>
    <row r="149382" customFormat="1" x14ac:dyDescent="0.25"/>
    <row r="149383" customFormat="1" x14ac:dyDescent="0.25"/>
    <row r="149384" customFormat="1" x14ac:dyDescent="0.25"/>
    <row r="149385" customFormat="1" x14ac:dyDescent="0.25"/>
    <row r="149386" customFormat="1" x14ac:dyDescent="0.25"/>
    <row r="149387" customFormat="1" x14ac:dyDescent="0.25"/>
    <row r="149388" customFormat="1" x14ac:dyDescent="0.25"/>
    <row r="149389" customFormat="1" x14ac:dyDescent="0.25"/>
    <row r="149390" customFormat="1" x14ac:dyDescent="0.25"/>
    <row r="149391" customFormat="1" x14ac:dyDescent="0.25"/>
    <row r="149392" customFormat="1" x14ac:dyDescent="0.25"/>
    <row r="149393" customFormat="1" x14ac:dyDescent="0.25"/>
    <row r="149394" customFormat="1" x14ac:dyDescent="0.25"/>
    <row r="149395" customFormat="1" x14ac:dyDescent="0.25"/>
    <row r="149396" customFormat="1" x14ac:dyDescent="0.25"/>
    <row r="149397" customFormat="1" x14ac:dyDescent="0.25"/>
    <row r="149398" customFormat="1" x14ac:dyDescent="0.25"/>
    <row r="149399" customFormat="1" x14ac:dyDescent="0.25"/>
    <row r="149400" customFormat="1" x14ac:dyDescent="0.25"/>
    <row r="149401" customFormat="1" x14ac:dyDescent="0.25"/>
    <row r="149402" customFormat="1" x14ac:dyDescent="0.25"/>
    <row r="149403" customFormat="1" x14ac:dyDescent="0.25"/>
    <row r="149404" customFormat="1" x14ac:dyDescent="0.25"/>
    <row r="149405" customFormat="1" x14ac:dyDescent="0.25"/>
    <row r="149406" customFormat="1" x14ac:dyDescent="0.25"/>
    <row r="149407" customFormat="1" x14ac:dyDescent="0.25"/>
    <row r="149408" customFormat="1" x14ac:dyDescent="0.25"/>
    <row r="149409" customFormat="1" x14ac:dyDescent="0.25"/>
    <row r="149410" customFormat="1" x14ac:dyDescent="0.25"/>
    <row r="149411" customFormat="1" x14ac:dyDescent="0.25"/>
    <row r="149412" customFormat="1" x14ac:dyDescent="0.25"/>
    <row r="149413" customFormat="1" x14ac:dyDescent="0.25"/>
    <row r="149414" customFormat="1" x14ac:dyDescent="0.25"/>
    <row r="149415" customFormat="1" x14ac:dyDescent="0.25"/>
    <row r="149416" customFormat="1" x14ac:dyDescent="0.25"/>
    <row r="149417" customFormat="1" x14ac:dyDescent="0.25"/>
    <row r="149418" customFormat="1" x14ac:dyDescent="0.25"/>
    <row r="149419" customFormat="1" x14ac:dyDescent="0.25"/>
    <row r="149420" customFormat="1" x14ac:dyDescent="0.25"/>
    <row r="149421" customFormat="1" x14ac:dyDescent="0.25"/>
    <row r="149422" customFormat="1" x14ac:dyDescent="0.25"/>
    <row r="149423" customFormat="1" x14ac:dyDescent="0.25"/>
    <row r="149424" customFormat="1" x14ac:dyDescent="0.25"/>
    <row r="149425" customFormat="1" x14ac:dyDescent="0.25"/>
    <row r="149426" customFormat="1" x14ac:dyDescent="0.25"/>
    <row r="149427" customFormat="1" x14ac:dyDescent="0.25"/>
    <row r="149428" customFormat="1" x14ac:dyDescent="0.25"/>
    <row r="149429" customFormat="1" x14ac:dyDescent="0.25"/>
    <row r="149430" customFormat="1" x14ac:dyDescent="0.25"/>
    <row r="149431" customFormat="1" x14ac:dyDescent="0.25"/>
    <row r="149432" customFormat="1" x14ac:dyDescent="0.25"/>
    <row r="149433" customFormat="1" x14ac:dyDescent="0.25"/>
    <row r="149434" customFormat="1" x14ac:dyDescent="0.25"/>
    <row r="149435" customFormat="1" x14ac:dyDescent="0.25"/>
    <row r="149436" customFormat="1" x14ac:dyDescent="0.25"/>
    <row r="149437" customFormat="1" x14ac:dyDescent="0.25"/>
    <row r="149438" customFormat="1" x14ac:dyDescent="0.25"/>
    <row r="149439" customFormat="1" x14ac:dyDescent="0.25"/>
    <row r="149440" customFormat="1" x14ac:dyDescent="0.25"/>
    <row r="149441" customFormat="1" x14ac:dyDescent="0.25"/>
    <row r="149442" customFormat="1" x14ac:dyDescent="0.25"/>
    <row r="149443" customFormat="1" x14ac:dyDescent="0.25"/>
    <row r="149444" customFormat="1" x14ac:dyDescent="0.25"/>
    <row r="149445" customFormat="1" x14ac:dyDescent="0.25"/>
    <row r="149446" customFormat="1" x14ac:dyDescent="0.25"/>
    <row r="149447" customFormat="1" x14ac:dyDescent="0.25"/>
    <row r="149448" customFormat="1" x14ac:dyDescent="0.25"/>
    <row r="149449" customFormat="1" x14ac:dyDescent="0.25"/>
    <row r="149450" customFormat="1" x14ac:dyDescent="0.25"/>
    <row r="149451" customFormat="1" x14ac:dyDescent="0.25"/>
    <row r="149452" customFormat="1" x14ac:dyDescent="0.25"/>
    <row r="149453" customFormat="1" x14ac:dyDescent="0.25"/>
    <row r="149454" customFormat="1" x14ac:dyDescent="0.25"/>
    <row r="149455" customFormat="1" x14ac:dyDescent="0.25"/>
    <row r="149456" customFormat="1" x14ac:dyDescent="0.25"/>
    <row r="149457" customFormat="1" x14ac:dyDescent="0.25"/>
    <row r="149458" customFormat="1" x14ac:dyDescent="0.25"/>
    <row r="149459" customFormat="1" x14ac:dyDescent="0.25"/>
    <row r="149460" customFormat="1" x14ac:dyDescent="0.25"/>
    <row r="149461" customFormat="1" x14ac:dyDescent="0.25"/>
    <row r="149462" customFormat="1" x14ac:dyDescent="0.25"/>
    <row r="149463" customFormat="1" x14ac:dyDescent="0.25"/>
    <row r="149464" customFormat="1" x14ac:dyDescent="0.25"/>
    <row r="149465" customFormat="1" x14ac:dyDescent="0.25"/>
    <row r="149466" customFormat="1" x14ac:dyDescent="0.25"/>
    <row r="149467" customFormat="1" x14ac:dyDescent="0.25"/>
    <row r="149468" customFormat="1" x14ac:dyDescent="0.25"/>
    <row r="149469" customFormat="1" x14ac:dyDescent="0.25"/>
    <row r="149470" customFormat="1" x14ac:dyDescent="0.25"/>
    <row r="149471" customFormat="1" x14ac:dyDescent="0.25"/>
    <row r="149472" customFormat="1" x14ac:dyDescent="0.25"/>
    <row r="149473" customFormat="1" x14ac:dyDescent="0.25"/>
    <row r="149474" customFormat="1" x14ac:dyDescent="0.25"/>
    <row r="149475" customFormat="1" x14ac:dyDescent="0.25"/>
    <row r="149476" customFormat="1" x14ac:dyDescent="0.25"/>
    <row r="149477" customFormat="1" x14ac:dyDescent="0.25"/>
    <row r="149478" customFormat="1" x14ac:dyDescent="0.25"/>
    <row r="149479" customFormat="1" x14ac:dyDescent="0.25"/>
    <row r="149480" customFormat="1" x14ac:dyDescent="0.25"/>
    <row r="149481" customFormat="1" x14ac:dyDescent="0.25"/>
    <row r="149482" customFormat="1" x14ac:dyDescent="0.25"/>
    <row r="149483" customFormat="1" x14ac:dyDescent="0.25"/>
    <row r="149484" customFormat="1" x14ac:dyDescent="0.25"/>
    <row r="149485" customFormat="1" x14ac:dyDescent="0.25"/>
    <row r="149486" customFormat="1" x14ac:dyDescent="0.25"/>
    <row r="149487" customFormat="1" x14ac:dyDescent="0.25"/>
    <row r="149488" customFormat="1" x14ac:dyDescent="0.25"/>
    <row r="149489" customFormat="1" x14ac:dyDescent="0.25"/>
    <row r="149490" customFormat="1" x14ac:dyDescent="0.25"/>
    <row r="149491" customFormat="1" x14ac:dyDescent="0.25"/>
    <row r="149492" customFormat="1" x14ac:dyDescent="0.25"/>
    <row r="149493" customFormat="1" x14ac:dyDescent="0.25"/>
    <row r="149494" customFormat="1" x14ac:dyDescent="0.25"/>
    <row r="149495" customFormat="1" x14ac:dyDescent="0.25"/>
    <row r="149496" customFormat="1" x14ac:dyDescent="0.25"/>
    <row r="149497" customFormat="1" x14ac:dyDescent="0.25"/>
    <row r="149498" customFormat="1" x14ac:dyDescent="0.25"/>
    <row r="149499" customFormat="1" x14ac:dyDescent="0.25"/>
    <row r="149500" customFormat="1" x14ac:dyDescent="0.25"/>
    <row r="149501" customFormat="1" x14ac:dyDescent="0.25"/>
    <row r="149502" customFormat="1" x14ac:dyDescent="0.25"/>
    <row r="149503" customFormat="1" x14ac:dyDescent="0.25"/>
    <row r="149504" customFormat="1" x14ac:dyDescent="0.25"/>
    <row r="149505" customFormat="1" x14ac:dyDescent="0.25"/>
    <row r="149506" customFormat="1" x14ac:dyDescent="0.25"/>
    <row r="149507" customFormat="1" x14ac:dyDescent="0.25"/>
    <row r="149508" customFormat="1" x14ac:dyDescent="0.25"/>
    <row r="149509" customFormat="1" x14ac:dyDescent="0.25"/>
    <row r="149510" customFormat="1" x14ac:dyDescent="0.25"/>
    <row r="149511" customFormat="1" x14ac:dyDescent="0.25"/>
    <row r="149512" customFormat="1" x14ac:dyDescent="0.25"/>
    <row r="149513" customFormat="1" x14ac:dyDescent="0.25"/>
    <row r="149514" customFormat="1" x14ac:dyDescent="0.25"/>
    <row r="149515" customFormat="1" x14ac:dyDescent="0.25"/>
    <row r="149516" customFormat="1" x14ac:dyDescent="0.25"/>
    <row r="149517" customFormat="1" x14ac:dyDescent="0.25"/>
    <row r="149518" customFormat="1" x14ac:dyDescent="0.25"/>
    <row r="149519" customFormat="1" x14ac:dyDescent="0.25"/>
    <row r="149520" customFormat="1" x14ac:dyDescent="0.25"/>
    <row r="149521" customFormat="1" x14ac:dyDescent="0.25"/>
    <row r="149522" customFormat="1" x14ac:dyDescent="0.25"/>
    <row r="149523" customFormat="1" x14ac:dyDescent="0.25"/>
    <row r="149524" customFormat="1" x14ac:dyDescent="0.25"/>
    <row r="149525" customFormat="1" x14ac:dyDescent="0.25"/>
    <row r="149526" customFormat="1" x14ac:dyDescent="0.25"/>
    <row r="149527" customFormat="1" x14ac:dyDescent="0.25"/>
    <row r="149528" customFormat="1" x14ac:dyDescent="0.25"/>
    <row r="149529" customFormat="1" x14ac:dyDescent="0.25"/>
    <row r="149530" customFormat="1" x14ac:dyDescent="0.25"/>
    <row r="149531" customFormat="1" x14ac:dyDescent="0.25"/>
    <row r="149532" customFormat="1" x14ac:dyDescent="0.25"/>
    <row r="149533" customFormat="1" x14ac:dyDescent="0.25"/>
    <row r="149534" customFormat="1" x14ac:dyDescent="0.25"/>
    <row r="149535" customFormat="1" x14ac:dyDescent="0.25"/>
    <row r="149536" customFormat="1" x14ac:dyDescent="0.25"/>
    <row r="149537" customFormat="1" x14ac:dyDescent="0.25"/>
    <row r="149538" customFormat="1" x14ac:dyDescent="0.25"/>
    <row r="149539" customFormat="1" x14ac:dyDescent="0.25"/>
    <row r="149540" customFormat="1" x14ac:dyDescent="0.25"/>
    <row r="149541" customFormat="1" x14ac:dyDescent="0.25"/>
    <row r="149542" customFormat="1" x14ac:dyDescent="0.25"/>
    <row r="149543" customFormat="1" x14ac:dyDescent="0.25"/>
    <row r="149544" customFormat="1" x14ac:dyDescent="0.25"/>
    <row r="149545" customFormat="1" x14ac:dyDescent="0.25"/>
    <row r="149546" customFormat="1" x14ac:dyDescent="0.25"/>
    <row r="149547" customFormat="1" x14ac:dyDescent="0.25"/>
    <row r="149548" customFormat="1" x14ac:dyDescent="0.25"/>
    <row r="149549" customFormat="1" x14ac:dyDescent="0.25"/>
    <row r="149550" customFormat="1" x14ac:dyDescent="0.25"/>
    <row r="149551" customFormat="1" x14ac:dyDescent="0.25"/>
    <row r="149552" customFormat="1" x14ac:dyDescent="0.25"/>
    <row r="149553" customFormat="1" x14ac:dyDescent="0.25"/>
    <row r="149554" customFormat="1" x14ac:dyDescent="0.25"/>
    <row r="149555" customFormat="1" x14ac:dyDescent="0.25"/>
    <row r="149556" customFormat="1" x14ac:dyDescent="0.25"/>
    <row r="149557" customFormat="1" x14ac:dyDescent="0.25"/>
    <row r="149558" customFormat="1" x14ac:dyDescent="0.25"/>
    <row r="149559" customFormat="1" x14ac:dyDescent="0.25"/>
    <row r="149560" customFormat="1" x14ac:dyDescent="0.25"/>
    <row r="149561" customFormat="1" x14ac:dyDescent="0.25"/>
    <row r="149562" customFormat="1" x14ac:dyDescent="0.25"/>
    <row r="149563" customFormat="1" x14ac:dyDescent="0.25"/>
    <row r="149564" customFormat="1" x14ac:dyDescent="0.25"/>
    <row r="149565" customFormat="1" x14ac:dyDescent="0.25"/>
    <row r="149566" customFormat="1" x14ac:dyDescent="0.25"/>
    <row r="149567" customFormat="1" x14ac:dyDescent="0.25"/>
    <row r="149568" customFormat="1" x14ac:dyDescent="0.25"/>
    <row r="149569" customFormat="1" x14ac:dyDescent="0.25"/>
    <row r="149570" customFormat="1" x14ac:dyDescent="0.25"/>
    <row r="149571" customFormat="1" x14ac:dyDescent="0.25"/>
    <row r="149572" customFormat="1" x14ac:dyDescent="0.25"/>
    <row r="149573" customFormat="1" x14ac:dyDescent="0.25"/>
    <row r="149574" customFormat="1" x14ac:dyDescent="0.25"/>
    <row r="149575" customFormat="1" x14ac:dyDescent="0.25"/>
    <row r="149576" customFormat="1" x14ac:dyDescent="0.25"/>
    <row r="149577" customFormat="1" x14ac:dyDescent="0.25"/>
    <row r="149578" customFormat="1" x14ac:dyDescent="0.25"/>
    <row r="149579" customFormat="1" x14ac:dyDescent="0.25"/>
    <row r="149580" customFormat="1" x14ac:dyDescent="0.25"/>
    <row r="149581" customFormat="1" x14ac:dyDescent="0.25"/>
    <row r="149582" customFormat="1" x14ac:dyDescent="0.25"/>
    <row r="149583" customFormat="1" x14ac:dyDescent="0.25"/>
    <row r="149584" customFormat="1" x14ac:dyDescent="0.25"/>
    <row r="149585" customFormat="1" x14ac:dyDescent="0.25"/>
    <row r="149586" customFormat="1" x14ac:dyDescent="0.25"/>
    <row r="149587" customFormat="1" x14ac:dyDescent="0.25"/>
    <row r="149588" customFormat="1" x14ac:dyDescent="0.25"/>
    <row r="149589" customFormat="1" x14ac:dyDescent="0.25"/>
    <row r="149590" customFormat="1" x14ac:dyDescent="0.25"/>
    <row r="149591" customFormat="1" x14ac:dyDescent="0.25"/>
    <row r="149592" customFormat="1" x14ac:dyDescent="0.25"/>
    <row r="149593" customFormat="1" x14ac:dyDescent="0.25"/>
    <row r="149594" customFormat="1" x14ac:dyDescent="0.25"/>
    <row r="149595" customFormat="1" x14ac:dyDescent="0.25"/>
    <row r="149596" customFormat="1" x14ac:dyDescent="0.25"/>
    <row r="149597" customFormat="1" x14ac:dyDescent="0.25"/>
    <row r="149598" customFormat="1" x14ac:dyDescent="0.25"/>
    <row r="149599" customFormat="1" x14ac:dyDescent="0.25"/>
    <row r="149600" customFormat="1" x14ac:dyDescent="0.25"/>
    <row r="149601" customFormat="1" x14ac:dyDescent="0.25"/>
    <row r="149602" customFormat="1" x14ac:dyDescent="0.25"/>
    <row r="149603" customFormat="1" x14ac:dyDescent="0.25"/>
    <row r="149604" customFormat="1" x14ac:dyDescent="0.25"/>
    <row r="149605" customFormat="1" x14ac:dyDescent="0.25"/>
    <row r="149606" customFormat="1" x14ac:dyDescent="0.25"/>
    <row r="149607" customFormat="1" x14ac:dyDescent="0.25"/>
    <row r="149608" customFormat="1" x14ac:dyDescent="0.25"/>
    <row r="149609" customFormat="1" x14ac:dyDescent="0.25"/>
    <row r="149610" customFormat="1" x14ac:dyDescent="0.25"/>
    <row r="149611" customFormat="1" x14ac:dyDescent="0.25"/>
    <row r="149612" customFormat="1" x14ac:dyDescent="0.25"/>
    <row r="149613" customFormat="1" x14ac:dyDescent="0.25"/>
    <row r="149614" customFormat="1" x14ac:dyDescent="0.25"/>
    <row r="149615" customFormat="1" x14ac:dyDescent="0.25"/>
    <row r="149616" customFormat="1" x14ac:dyDescent="0.25"/>
    <row r="149617" customFormat="1" x14ac:dyDescent="0.25"/>
    <row r="149618" customFormat="1" x14ac:dyDescent="0.25"/>
    <row r="149619" customFormat="1" x14ac:dyDescent="0.25"/>
    <row r="149620" customFormat="1" x14ac:dyDescent="0.25"/>
    <row r="149621" customFormat="1" x14ac:dyDescent="0.25"/>
    <row r="149622" customFormat="1" x14ac:dyDescent="0.25"/>
    <row r="149623" customFormat="1" x14ac:dyDescent="0.25"/>
    <row r="149624" customFormat="1" x14ac:dyDescent="0.25"/>
    <row r="149625" customFormat="1" x14ac:dyDescent="0.25"/>
    <row r="149626" customFormat="1" x14ac:dyDescent="0.25"/>
    <row r="149627" customFormat="1" x14ac:dyDescent="0.25"/>
    <row r="149628" customFormat="1" x14ac:dyDescent="0.25"/>
    <row r="149629" customFormat="1" x14ac:dyDescent="0.25"/>
    <row r="149630" customFormat="1" x14ac:dyDescent="0.25"/>
    <row r="149631" customFormat="1" x14ac:dyDescent="0.25"/>
    <row r="149632" customFormat="1" x14ac:dyDescent="0.25"/>
    <row r="149633" customFormat="1" x14ac:dyDescent="0.25"/>
    <row r="149634" customFormat="1" x14ac:dyDescent="0.25"/>
    <row r="149635" customFormat="1" x14ac:dyDescent="0.25"/>
    <row r="149636" customFormat="1" x14ac:dyDescent="0.25"/>
    <row r="149637" customFormat="1" x14ac:dyDescent="0.25"/>
    <row r="149638" customFormat="1" x14ac:dyDescent="0.25"/>
    <row r="149639" customFormat="1" x14ac:dyDescent="0.25"/>
    <row r="149640" customFormat="1" x14ac:dyDescent="0.25"/>
    <row r="149641" customFormat="1" x14ac:dyDescent="0.25"/>
    <row r="149642" customFormat="1" x14ac:dyDescent="0.25"/>
    <row r="149643" customFormat="1" x14ac:dyDescent="0.25"/>
    <row r="149644" customFormat="1" x14ac:dyDescent="0.25"/>
    <row r="149645" customFormat="1" x14ac:dyDescent="0.25"/>
    <row r="149646" customFormat="1" x14ac:dyDescent="0.25"/>
    <row r="149647" customFormat="1" x14ac:dyDescent="0.25"/>
    <row r="149648" customFormat="1" x14ac:dyDescent="0.25"/>
    <row r="149649" customFormat="1" x14ac:dyDescent="0.25"/>
    <row r="149650" customFormat="1" x14ac:dyDescent="0.25"/>
    <row r="149651" customFormat="1" x14ac:dyDescent="0.25"/>
    <row r="149652" customFormat="1" x14ac:dyDescent="0.25"/>
    <row r="149653" customFormat="1" x14ac:dyDescent="0.25"/>
    <row r="149654" customFormat="1" x14ac:dyDescent="0.25"/>
    <row r="149655" customFormat="1" x14ac:dyDescent="0.25"/>
    <row r="149656" customFormat="1" x14ac:dyDescent="0.25"/>
    <row r="149657" customFormat="1" x14ac:dyDescent="0.25"/>
    <row r="149658" customFormat="1" x14ac:dyDescent="0.25"/>
    <row r="149659" customFormat="1" x14ac:dyDescent="0.25"/>
    <row r="149660" customFormat="1" x14ac:dyDescent="0.25"/>
    <row r="149661" customFormat="1" x14ac:dyDescent="0.25"/>
    <row r="149662" customFormat="1" x14ac:dyDescent="0.25"/>
    <row r="149663" customFormat="1" x14ac:dyDescent="0.25"/>
    <row r="149664" customFormat="1" x14ac:dyDescent="0.25"/>
    <row r="149665" customFormat="1" x14ac:dyDescent="0.25"/>
    <row r="149666" customFormat="1" x14ac:dyDescent="0.25"/>
    <row r="149667" customFormat="1" x14ac:dyDescent="0.25"/>
    <row r="149668" customFormat="1" x14ac:dyDescent="0.25"/>
    <row r="149669" customFormat="1" x14ac:dyDescent="0.25"/>
    <row r="149670" customFormat="1" x14ac:dyDescent="0.25"/>
    <row r="149671" customFormat="1" x14ac:dyDescent="0.25"/>
    <row r="149672" customFormat="1" x14ac:dyDescent="0.25"/>
    <row r="149673" customFormat="1" x14ac:dyDescent="0.25"/>
    <row r="149674" customFormat="1" x14ac:dyDescent="0.25"/>
    <row r="149675" customFormat="1" x14ac:dyDescent="0.25"/>
    <row r="149676" customFormat="1" x14ac:dyDescent="0.25"/>
    <row r="149677" customFormat="1" x14ac:dyDescent="0.25"/>
    <row r="149678" customFormat="1" x14ac:dyDescent="0.25"/>
    <row r="149679" customFormat="1" x14ac:dyDescent="0.25"/>
    <row r="149680" customFormat="1" x14ac:dyDescent="0.25"/>
    <row r="149681" customFormat="1" x14ac:dyDescent="0.25"/>
    <row r="149682" customFormat="1" x14ac:dyDescent="0.25"/>
    <row r="149683" customFormat="1" x14ac:dyDescent="0.25"/>
    <row r="149684" customFormat="1" x14ac:dyDescent="0.25"/>
    <row r="149685" customFormat="1" x14ac:dyDescent="0.25"/>
    <row r="149686" customFormat="1" x14ac:dyDescent="0.25"/>
    <row r="149687" customFormat="1" x14ac:dyDescent="0.25"/>
    <row r="149688" customFormat="1" x14ac:dyDescent="0.25"/>
    <row r="149689" customFormat="1" x14ac:dyDescent="0.25"/>
    <row r="149690" customFormat="1" x14ac:dyDescent="0.25"/>
    <row r="149691" customFormat="1" x14ac:dyDescent="0.25"/>
    <row r="149692" customFormat="1" x14ac:dyDescent="0.25"/>
    <row r="149693" customFormat="1" x14ac:dyDescent="0.25"/>
    <row r="149694" customFormat="1" x14ac:dyDescent="0.25"/>
    <row r="149695" customFormat="1" x14ac:dyDescent="0.25"/>
    <row r="149696" customFormat="1" x14ac:dyDescent="0.25"/>
    <row r="149697" customFormat="1" x14ac:dyDescent="0.25"/>
    <row r="149698" customFormat="1" x14ac:dyDescent="0.25"/>
    <row r="149699" customFormat="1" x14ac:dyDescent="0.25"/>
    <row r="149700" customFormat="1" x14ac:dyDescent="0.25"/>
    <row r="149701" customFormat="1" x14ac:dyDescent="0.25"/>
    <row r="149702" customFormat="1" x14ac:dyDescent="0.25"/>
    <row r="149703" customFormat="1" x14ac:dyDescent="0.25"/>
    <row r="149704" customFormat="1" x14ac:dyDescent="0.25"/>
    <row r="149705" customFormat="1" x14ac:dyDescent="0.25"/>
    <row r="149706" customFormat="1" x14ac:dyDescent="0.25"/>
    <row r="149707" customFormat="1" x14ac:dyDescent="0.25"/>
    <row r="149708" customFormat="1" x14ac:dyDescent="0.25"/>
    <row r="149709" customFormat="1" x14ac:dyDescent="0.25"/>
    <row r="149710" customFormat="1" x14ac:dyDescent="0.25"/>
    <row r="149711" customFormat="1" x14ac:dyDescent="0.25"/>
    <row r="149712" customFormat="1" x14ac:dyDescent="0.25"/>
    <row r="149713" customFormat="1" x14ac:dyDescent="0.25"/>
    <row r="149714" customFormat="1" x14ac:dyDescent="0.25"/>
    <row r="149715" customFormat="1" x14ac:dyDescent="0.25"/>
    <row r="149716" customFormat="1" x14ac:dyDescent="0.25"/>
    <row r="149717" customFormat="1" x14ac:dyDescent="0.25"/>
    <row r="149718" customFormat="1" x14ac:dyDescent="0.25"/>
    <row r="149719" customFormat="1" x14ac:dyDescent="0.25"/>
    <row r="149720" customFormat="1" x14ac:dyDescent="0.25"/>
    <row r="149721" customFormat="1" x14ac:dyDescent="0.25"/>
    <row r="149722" customFormat="1" x14ac:dyDescent="0.25"/>
    <row r="149723" customFormat="1" x14ac:dyDescent="0.25"/>
    <row r="149724" customFormat="1" x14ac:dyDescent="0.25"/>
    <row r="149725" customFormat="1" x14ac:dyDescent="0.25"/>
    <row r="149726" customFormat="1" x14ac:dyDescent="0.25"/>
    <row r="149727" customFormat="1" x14ac:dyDescent="0.25"/>
    <row r="149728" customFormat="1" x14ac:dyDescent="0.25"/>
    <row r="149729" customFormat="1" x14ac:dyDescent="0.25"/>
    <row r="149730" customFormat="1" x14ac:dyDescent="0.25"/>
    <row r="149731" customFormat="1" x14ac:dyDescent="0.25"/>
    <row r="149732" customFormat="1" x14ac:dyDescent="0.25"/>
    <row r="149733" customFormat="1" x14ac:dyDescent="0.25"/>
    <row r="149734" customFormat="1" x14ac:dyDescent="0.25"/>
    <row r="149735" customFormat="1" x14ac:dyDescent="0.25"/>
    <row r="149736" customFormat="1" x14ac:dyDescent="0.25"/>
    <row r="149737" customFormat="1" x14ac:dyDescent="0.25"/>
    <row r="149738" customFormat="1" x14ac:dyDescent="0.25"/>
    <row r="149739" customFormat="1" x14ac:dyDescent="0.25"/>
    <row r="149740" customFormat="1" x14ac:dyDescent="0.25"/>
    <row r="149741" customFormat="1" x14ac:dyDescent="0.25"/>
    <row r="149742" customFormat="1" x14ac:dyDescent="0.25"/>
    <row r="149743" customFormat="1" x14ac:dyDescent="0.25"/>
    <row r="149744" customFormat="1" x14ac:dyDescent="0.25"/>
    <row r="149745" customFormat="1" x14ac:dyDescent="0.25"/>
    <row r="149746" customFormat="1" x14ac:dyDescent="0.25"/>
    <row r="149747" customFormat="1" x14ac:dyDescent="0.25"/>
    <row r="149748" customFormat="1" x14ac:dyDescent="0.25"/>
    <row r="149749" customFormat="1" x14ac:dyDescent="0.25"/>
    <row r="149750" customFormat="1" x14ac:dyDescent="0.25"/>
    <row r="149751" customFormat="1" x14ac:dyDescent="0.25"/>
    <row r="149752" customFormat="1" x14ac:dyDescent="0.25"/>
    <row r="149753" customFormat="1" x14ac:dyDescent="0.25"/>
    <row r="149754" customFormat="1" x14ac:dyDescent="0.25"/>
    <row r="149755" customFormat="1" x14ac:dyDescent="0.25"/>
    <row r="149756" customFormat="1" x14ac:dyDescent="0.25"/>
    <row r="149757" customFormat="1" x14ac:dyDescent="0.25"/>
    <row r="149758" customFormat="1" x14ac:dyDescent="0.25"/>
    <row r="149759" customFormat="1" x14ac:dyDescent="0.25"/>
    <row r="149760" customFormat="1" x14ac:dyDescent="0.25"/>
    <row r="149761" customFormat="1" x14ac:dyDescent="0.25"/>
    <row r="149762" customFormat="1" x14ac:dyDescent="0.25"/>
    <row r="149763" customFormat="1" x14ac:dyDescent="0.25"/>
    <row r="149764" customFormat="1" x14ac:dyDescent="0.25"/>
    <row r="149765" customFormat="1" x14ac:dyDescent="0.25"/>
    <row r="149766" customFormat="1" x14ac:dyDescent="0.25"/>
    <row r="149767" customFormat="1" x14ac:dyDescent="0.25"/>
    <row r="149768" customFormat="1" x14ac:dyDescent="0.25"/>
    <row r="149769" customFormat="1" x14ac:dyDescent="0.25"/>
    <row r="149770" customFormat="1" x14ac:dyDescent="0.25"/>
    <row r="149771" customFormat="1" x14ac:dyDescent="0.25"/>
    <row r="149772" customFormat="1" x14ac:dyDescent="0.25"/>
    <row r="149773" customFormat="1" x14ac:dyDescent="0.25"/>
    <row r="149774" customFormat="1" x14ac:dyDescent="0.25"/>
    <row r="149775" customFormat="1" x14ac:dyDescent="0.25"/>
    <row r="149776" customFormat="1" x14ac:dyDescent="0.25"/>
    <row r="149777" customFormat="1" x14ac:dyDescent="0.25"/>
    <row r="149778" customFormat="1" x14ac:dyDescent="0.25"/>
    <row r="149779" customFormat="1" x14ac:dyDescent="0.25"/>
    <row r="149780" customFormat="1" x14ac:dyDescent="0.25"/>
    <row r="149781" customFormat="1" x14ac:dyDescent="0.25"/>
    <row r="149782" customFormat="1" x14ac:dyDescent="0.25"/>
    <row r="149783" customFormat="1" x14ac:dyDescent="0.25"/>
    <row r="149784" customFormat="1" x14ac:dyDescent="0.25"/>
    <row r="149785" customFormat="1" x14ac:dyDescent="0.25"/>
    <row r="149786" customFormat="1" x14ac:dyDescent="0.25"/>
    <row r="149787" customFormat="1" x14ac:dyDescent="0.25"/>
    <row r="149788" customFormat="1" x14ac:dyDescent="0.25"/>
    <row r="149789" customFormat="1" x14ac:dyDescent="0.25"/>
    <row r="149790" customFormat="1" x14ac:dyDescent="0.25"/>
    <row r="149791" customFormat="1" x14ac:dyDescent="0.25"/>
    <row r="149792" customFormat="1" x14ac:dyDescent="0.25"/>
    <row r="149793" customFormat="1" x14ac:dyDescent="0.25"/>
    <row r="149794" customFormat="1" x14ac:dyDescent="0.25"/>
    <row r="149795" customFormat="1" x14ac:dyDescent="0.25"/>
    <row r="149796" customFormat="1" x14ac:dyDescent="0.25"/>
    <row r="149797" customFormat="1" x14ac:dyDescent="0.25"/>
    <row r="149798" customFormat="1" x14ac:dyDescent="0.25"/>
    <row r="149799" customFormat="1" x14ac:dyDescent="0.25"/>
    <row r="149800" customFormat="1" x14ac:dyDescent="0.25"/>
    <row r="149801" customFormat="1" x14ac:dyDescent="0.25"/>
    <row r="149802" customFormat="1" x14ac:dyDescent="0.25"/>
    <row r="149803" customFormat="1" x14ac:dyDescent="0.25"/>
    <row r="149804" customFormat="1" x14ac:dyDescent="0.25"/>
    <row r="149805" customFormat="1" x14ac:dyDescent="0.25"/>
    <row r="149806" customFormat="1" x14ac:dyDescent="0.25"/>
    <row r="149807" customFormat="1" x14ac:dyDescent="0.25"/>
    <row r="149808" customFormat="1" x14ac:dyDescent="0.25"/>
    <row r="149809" customFormat="1" x14ac:dyDescent="0.25"/>
    <row r="149810" customFormat="1" x14ac:dyDescent="0.25"/>
    <row r="149811" customFormat="1" x14ac:dyDescent="0.25"/>
    <row r="149812" customFormat="1" x14ac:dyDescent="0.25"/>
    <row r="149813" customFormat="1" x14ac:dyDescent="0.25"/>
    <row r="149814" customFormat="1" x14ac:dyDescent="0.25"/>
    <row r="149815" customFormat="1" x14ac:dyDescent="0.25"/>
    <row r="149816" customFormat="1" x14ac:dyDescent="0.25"/>
    <row r="149817" customFormat="1" x14ac:dyDescent="0.25"/>
    <row r="149818" customFormat="1" x14ac:dyDescent="0.25"/>
    <row r="149819" customFormat="1" x14ac:dyDescent="0.25"/>
    <row r="149820" customFormat="1" x14ac:dyDescent="0.25"/>
    <row r="149821" customFormat="1" x14ac:dyDescent="0.25"/>
    <row r="149822" customFormat="1" x14ac:dyDescent="0.25"/>
    <row r="149823" customFormat="1" x14ac:dyDescent="0.25"/>
    <row r="149824" customFormat="1" x14ac:dyDescent="0.25"/>
    <row r="149825" customFormat="1" x14ac:dyDescent="0.25"/>
    <row r="149826" customFormat="1" x14ac:dyDescent="0.25"/>
    <row r="149827" customFormat="1" x14ac:dyDescent="0.25"/>
    <row r="149828" customFormat="1" x14ac:dyDescent="0.25"/>
    <row r="149829" customFormat="1" x14ac:dyDescent="0.25"/>
    <row r="149830" customFormat="1" x14ac:dyDescent="0.25"/>
    <row r="149831" customFormat="1" x14ac:dyDescent="0.25"/>
    <row r="149832" customFormat="1" x14ac:dyDescent="0.25"/>
    <row r="149833" customFormat="1" x14ac:dyDescent="0.25"/>
    <row r="149834" customFormat="1" x14ac:dyDescent="0.25"/>
    <row r="149835" customFormat="1" x14ac:dyDescent="0.25"/>
    <row r="149836" customFormat="1" x14ac:dyDescent="0.25"/>
    <row r="149837" customFormat="1" x14ac:dyDescent="0.25"/>
    <row r="149838" customFormat="1" x14ac:dyDescent="0.25"/>
    <row r="149839" customFormat="1" x14ac:dyDescent="0.25"/>
    <row r="149840" customFormat="1" x14ac:dyDescent="0.25"/>
    <row r="149841" customFormat="1" x14ac:dyDescent="0.25"/>
    <row r="149842" customFormat="1" x14ac:dyDescent="0.25"/>
    <row r="149843" customFormat="1" x14ac:dyDescent="0.25"/>
    <row r="149844" customFormat="1" x14ac:dyDescent="0.25"/>
    <row r="149845" customFormat="1" x14ac:dyDescent="0.25"/>
    <row r="149846" customFormat="1" x14ac:dyDescent="0.25"/>
    <row r="149847" customFormat="1" x14ac:dyDescent="0.25"/>
    <row r="149848" customFormat="1" x14ac:dyDescent="0.25"/>
    <row r="149849" customFormat="1" x14ac:dyDescent="0.25"/>
    <row r="149850" customFormat="1" x14ac:dyDescent="0.25"/>
    <row r="149851" customFormat="1" x14ac:dyDescent="0.25"/>
    <row r="149852" customFormat="1" x14ac:dyDescent="0.25"/>
    <row r="149853" customFormat="1" x14ac:dyDescent="0.25"/>
    <row r="149854" customFormat="1" x14ac:dyDescent="0.25"/>
    <row r="149855" customFormat="1" x14ac:dyDescent="0.25"/>
    <row r="149856" customFormat="1" x14ac:dyDescent="0.25"/>
    <row r="149857" customFormat="1" x14ac:dyDescent="0.25"/>
    <row r="149858" customFormat="1" x14ac:dyDescent="0.25"/>
    <row r="149859" customFormat="1" x14ac:dyDescent="0.25"/>
    <row r="149860" customFormat="1" x14ac:dyDescent="0.25"/>
    <row r="149861" customFormat="1" x14ac:dyDescent="0.25"/>
    <row r="149862" customFormat="1" x14ac:dyDescent="0.25"/>
    <row r="149863" customFormat="1" x14ac:dyDescent="0.25"/>
    <row r="149864" customFormat="1" x14ac:dyDescent="0.25"/>
    <row r="149865" customFormat="1" x14ac:dyDescent="0.25"/>
    <row r="149866" customFormat="1" x14ac:dyDescent="0.25"/>
    <row r="149867" customFormat="1" x14ac:dyDescent="0.25"/>
    <row r="149868" customFormat="1" x14ac:dyDescent="0.25"/>
    <row r="149869" customFormat="1" x14ac:dyDescent="0.25"/>
    <row r="149870" customFormat="1" x14ac:dyDescent="0.25"/>
    <row r="149871" customFormat="1" x14ac:dyDescent="0.25"/>
    <row r="149872" customFormat="1" x14ac:dyDescent="0.25"/>
    <row r="149873" customFormat="1" x14ac:dyDescent="0.25"/>
    <row r="149874" customFormat="1" x14ac:dyDescent="0.25"/>
    <row r="149875" customFormat="1" x14ac:dyDescent="0.25"/>
    <row r="149876" customFormat="1" x14ac:dyDescent="0.25"/>
    <row r="149877" customFormat="1" x14ac:dyDescent="0.25"/>
    <row r="149878" customFormat="1" x14ac:dyDescent="0.25"/>
    <row r="149879" customFormat="1" x14ac:dyDescent="0.25"/>
    <row r="149880" customFormat="1" x14ac:dyDescent="0.25"/>
    <row r="149881" customFormat="1" x14ac:dyDescent="0.25"/>
    <row r="149882" customFormat="1" x14ac:dyDescent="0.25"/>
    <row r="149883" customFormat="1" x14ac:dyDescent="0.25"/>
    <row r="149884" customFormat="1" x14ac:dyDescent="0.25"/>
    <row r="149885" customFormat="1" x14ac:dyDescent="0.25"/>
    <row r="149886" customFormat="1" x14ac:dyDescent="0.25"/>
    <row r="149887" customFormat="1" x14ac:dyDescent="0.25"/>
    <row r="149888" customFormat="1" x14ac:dyDescent="0.25"/>
    <row r="149889" customFormat="1" x14ac:dyDescent="0.25"/>
    <row r="149890" customFormat="1" x14ac:dyDescent="0.25"/>
    <row r="149891" customFormat="1" x14ac:dyDescent="0.25"/>
    <row r="149892" customFormat="1" x14ac:dyDescent="0.25"/>
    <row r="149893" customFormat="1" x14ac:dyDescent="0.25"/>
    <row r="149894" customFormat="1" x14ac:dyDescent="0.25"/>
    <row r="149895" customFormat="1" x14ac:dyDescent="0.25"/>
    <row r="149896" customFormat="1" x14ac:dyDescent="0.25"/>
    <row r="149897" customFormat="1" x14ac:dyDescent="0.25"/>
    <row r="149898" customFormat="1" x14ac:dyDescent="0.25"/>
    <row r="149899" customFormat="1" x14ac:dyDescent="0.25"/>
    <row r="149900" customFormat="1" x14ac:dyDescent="0.25"/>
    <row r="149901" customFormat="1" x14ac:dyDescent="0.25"/>
    <row r="149902" customFormat="1" x14ac:dyDescent="0.25"/>
    <row r="149903" customFormat="1" x14ac:dyDescent="0.25"/>
    <row r="149904" customFormat="1" x14ac:dyDescent="0.25"/>
    <row r="149905" customFormat="1" x14ac:dyDescent="0.25"/>
    <row r="149906" customFormat="1" x14ac:dyDescent="0.25"/>
    <row r="149907" customFormat="1" x14ac:dyDescent="0.25"/>
    <row r="149908" customFormat="1" x14ac:dyDescent="0.25"/>
    <row r="149909" customFormat="1" x14ac:dyDescent="0.25"/>
    <row r="149910" customFormat="1" x14ac:dyDescent="0.25"/>
    <row r="149911" customFormat="1" x14ac:dyDescent="0.25"/>
    <row r="149912" customFormat="1" x14ac:dyDescent="0.25"/>
    <row r="149913" customFormat="1" x14ac:dyDescent="0.25"/>
    <row r="149914" customFormat="1" x14ac:dyDescent="0.25"/>
    <row r="149915" customFormat="1" x14ac:dyDescent="0.25"/>
    <row r="149916" customFormat="1" x14ac:dyDescent="0.25"/>
    <row r="149917" customFormat="1" x14ac:dyDescent="0.25"/>
    <row r="149918" customFormat="1" x14ac:dyDescent="0.25"/>
    <row r="149919" customFormat="1" x14ac:dyDescent="0.25"/>
    <row r="149920" customFormat="1" x14ac:dyDescent="0.25"/>
    <row r="149921" customFormat="1" x14ac:dyDescent="0.25"/>
    <row r="149922" customFormat="1" x14ac:dyDescent="0.25"/>
    <row r="149923" customFormat="1" x14ac:dyDescent="0.25"/>
    <row r="149924" customFormat="1" x14ac:dyDescent="0.25"/>
    <row r="149925" customFormat="1" x14ac:dyDescent="0.25"/>
    <row r="149926" customFormat="1" x14ac:dyDescent="0.25"/>
    <row r="149927" customFormat="1" x14ac:dyDescent="0.25"/>
    <row r="149928" customFormat="1" x14ac:dyDescent="0.25"/>
    <row r="149929" customFormat="1" x14ac:dyDescent="0.25"/>
    <row r="149930" customFormat="1" x14ac:dyDescent="0.25"/>
    <row r="149931" customFormat="1" x14ac:dyDescent="0.25"/>
    <row r="149932" customFormat="1" x14ac:dyDescent="0.25"/>
    <row r="149933" customFormat="1" x14ac:dyDescent="0.25"/>
    <row r="149934" customFormat="1" x14ac:dyDescent="0.25"/>
    <row r="149935" customFormat="1" x14ac:dyDescent="0.25"/>
    <row r="149936" customFormat="1" x14ac:dyDescent="0.25"/>
    <row r="149937" customFormat="1" x14ac:dyDescent="0.25"/>
    <row r="149938" customFormat="1" x14ac:dyDescent="0.25"/>
    <row r="149939" customFormat="1" x14ac:dyDescent="0.25"/>
    <row r="149940" customFormat="1" x14ac:dyDescent="0.25"/>
    <row r="149941" customFormat="1" x14ac:dyDescent="0.25"/>
    <row r="149942" customFormat="1" x14ac:dyDescent="0.25"/>
    <row r="149943" customFormat="1" x14ac:dyDescent="0.25"/>
    <row r="149944" customFormat="1" x14ac:dyDescent="0.25"/>
    <row r="149945" customFormat="1" x14ac:dyDescent="0.25"/>
    <row r="149946" customFormat="1" x14ac:dyDescent="0.25"/>
    <row r="149947" customFormat="1" x14ac:dyDescent="0.25"/>
    <row r="149948" customFormat="1" x14ac:dyDescent="0.25"/>
    <row r="149949" customFormat="1" x14ac:dyDescent="0.25"/>
    <row r="149950" customFormat="1" x14ac:dyDescent="0.25"/>
    <row r="149951" customFormat="1" x14ac:dyDescent="0.25"/>
    <row r="149952" customFormat="1" x14ac:dyDescent="0.25"/>
    <row r="149953" customFormat="1" x14ac:dyDescent="0.25"/>
    <row r="149954" customFormat="1" x14ac:dyDescent="0.25"/>
    <row r="149955" customFormat="1" x14ac:dyDescent="0.25"/>
    <row r="149956" customFormat="1" x14ac:dyDescent="0.25"/>
    <row r="149957" customFormat="1" x14ac:dyDescent="0.25"/>
    <row r="149958" customFormat="1" x14ac:dyDescent="0.25"/>
    <row r="149959" customFormat="1" x14ac:dyDescent="0.25"/>
    <row r="149960" customFormat="1" x14ac:dyDescent="0.25"/>
    <row r="149961" customFormat="1" x14ac:dyDescent="0.25"/>
    <row r="149962" customFormat="1" x14ac:dyDescent="0.25"/>
    <row r="149963" customFormat="1" x14ac:dyDescent="0.25"/>
    <row r="149964" customFormat="1" x14ac:dyDescent="0.25"/>
    <row r="149965" customFormat="1" x14ac:dyDescent="0.25"/>
    <row r="149966" customFormat="1" x14ac:dyDescent="0.25"/>
    <row r="149967" customFormat="1" x14ac:dyDescent="0.25"/>
    <row r="149968" customFormat="1" x14ac:dyDescent="0.25"/>
    <row r="149969" customFormat="1" x14ac:dyDescent="0.25"/>
    <row r="149970" customFormat="1" x14ac:dyDescent="0.25"/>
    <row r="149971" customFormat="1" x14ac:dyDescent="0.25"/>
    <row r="149972" customFormat="1" x14ac:dyDescent="0.25"/>
    <row r="149973" customFormat="1" x14ac:dyDescent="0.25"/>
    <row r="149974" customFormat="1" x14ac:dyDescent="0.25"/>
    <row r="149975" customFormat="1" x14ac:dyDescent="0.25"/>
    <row r="149976" customFormat="1" x14ac:dyDescent="0.25"/>
    <row r="149977" customFormat="1" x14ac:dyDescent="0.25"/>
    <row r="149978" customFormat="1" x14ac:dyDescent="0.25"/>
    <row r="149979" customFormat="1" x14ac:dyDescent="0.25"/>
    <row r="149980" customFormat="1" x14ac:dyDescent="0.25"/>
    <row r="149981" customFormat="1" x14ac:dyDescent="0.25"/>
    <row r="149982" customFormat="1" x14ac:dyDescent="0.25"/>
    <row r="149983" customFormat="1" x14ac:dyDescent="0.25"/>
    <row r="149984" customFormat="1" x14ac:dyDescent="0.25"/>
    <row r="149985" customFormat="1" x14ac:dyDescent="0.25"/>
    <row r="149986" customFormat="1" x14ac:dyDescent="0.25"/>
    <row r="149987" customFormat="1" x14ac:dyDescent="0.25"/>
    <row r="149988" customFormat="1" x14ac:dyDescent="0.25"/>
    <row r="149989" customFormat="1" x14ac:dyDescent="0.25"/>
    <row r="149990" customFormat="1" x14ac:dyDescent="0.25"/>
    <row r="149991" customFormat="1" x14ac:dyDescent="0.25"/>
    <row r="149992" customFormat="1" x14ac:dyDescent="0.25"/>
    <row r="149993" customFormat="1" x14ac:dyDescent="0.25"/>
    <row r="149994" customFormat="1" x14ac:dyDescent="0.25"/>
    <row r="149995" customFormat="1" x14ac:dyDescent="0.25"/>
    <row r="149996" customFormat="1" x14ac:dyDescent="0.25"/>
    <row r="149997" customFormat="1" x14ac:dyDescent="0.25"/>
    <row r="149998" customFormat="1" x14ac:dyDescent="0.25"/>
    <row r="149999" customFormat="1" x14ac:dyDescent="0.25"/>
    <row r="150000" customFormat="1" x14ac:dyDescent="0.25"/>
    <row r="150001" customFormat="1" x14ac:dyDescent="0.25"/>
    <row r="150002" customFormat="1" x14ac:dyDescent="0.25"/>
    <row r="150003" customFormat="1" x14ac:dyDescent="0.25"/>
    <row r="150004" customFormat="1" x14ac:dyDescent="0.25"/>
    <row r="150005" customFormat="1" x14ac:dyDescent="0.25"/>
    <row r="150006" customFormat="1" x14ac:dyDescent="0.25"/>
    <row r="150007" customFormat="1" x14ac:dyDescent="0.25"/>
    <row r="150008" customFormat="1" x14ac:dyDescent="0.25"/>
    <row r="150009" customFormat="1" x14ac:dyDescent="0.25"/>
    <row r="150010" customFormat="1" x14ac:dyDescent="0.25"/>
    <row r="150011" customFormat="1" x14ac:dyDescent="0.25"/>
    <row r="150012" customFormat="1" x14ac:dyDescent="0.25"/>
    <row r="150013" customFormat="1" x14ac:dyDescent="0.25"/>
    <row r="150014" customFormat="1" x14ac:dyDescent="0.25"/>
    <row r="150015" customFormat="1" x14ac:dyDescent="0.25"/>
    <row r="150016" customFormat="1" x14ac:dyDescent="0.25"/>
    <row r="150017" customFormat="1" x14ac:dyDescent="0.25"/>
    <row r="150018" customFormat="1" x14ac:dyDescent="0.25"/>
    <row r="150019" customFormat="1" x14ac:dyDescent="0.25"/>
    <row r="150020" customFormat="1" x14ac:dyDescent="0.25"/>
    <row r="150021" customFormat="1" x14ac:dyDescent="0.25"/>
    <row r="150022" customFormat="1" x14ac:dyDescent="0.25"/>
    <row r="150023" customFormat="1" x14ac:dyDescent="0.25"/>
    <row r="150024" customFormat="1" x14ac:dyDescent="0.25"/>
    <row r="150025" customFormat="1" x14ac:dyDescent="0.25"/>
    <row r="150026" customFormat="1" x14ac:dyDescent="0.25"/>
    <row r="150027" customFormat="1" x14ac:dyDescent="0.25"/>
    <row r="150028" customFormat="1" x14ac:dyDescent="0.25"/>
    <row r="150029" customFormat="1" x14ac:dyDescent="0.25"/>
    <row r="150030" customFormat="1" x14ac:dyDescent="0.25"/>
    <row r="150031" customFormat="1" x14ac:dyDescent="0.25"/>
    <row r="150032" customFormat="1" x14ac:dyDescent="0.25"/>
    <row r="150033" customFormat="1" x14ac:dyDescent="0.25"/>
    <row r="150034" customFormat="1" x14ac:dyDescent="0.25"/>
    <row r="150035" customFormat="1" x14ac:dyDescent="0.25"/>
    <row r="150036" customFormat="1" x14ac:dyDescent="0.25"/>
    <row r="150037" customFormat="1" x14ac:dyDescent="0.25"/>
    <row r="150038" customFormat="1" x14ac:dyDescent="0.25"/>
    <row r="150039" customFormat="1" x14ac:dyDescent="0.25"/>
    <row r="150040" customFormat="1" x14ac:dyDescent="0.25"/>
    <row r="150041" customFormat="1" x14ac:dyDescent="0.25"/>
    <row r="150042" customFormat="1" x14ac:dyDescent="0.25"/>
    <row r="150043" customFormat="1" x14ac:dyDescent="0.25"/>
    <row r="150044" customFormat="1" x14ac:dyDescent="0.25"/>
    <row r="150045" customFormat="1" x14ac:dyDescent="0.25"/>
    <row r="150046" customFormat="1" x14ac:dyDescent="0.25"/>
    <row r="150047" customFormat="1" x14ac:dyDescent="0.25"/>
    <row r="150048" customFormat="1" x14ac:dyDescent="0.25"/>
    <row r="150049" customFormat="1" x14ac:dyDescent="0.25"/>
    <row r="150050" customFormat="1" x14ac:dyDescent="0.25"/>
    <row r="150051" customFormat="1" x14ac:dyDescent="0.25"/>
    <row r="150052" customFormat="1" x14ac:dyDescent="0.25"/>
    <row r="150053" customFormat="1" x14ac:dyDescent="0.25"/>
    <row r="150054" customFormat="1" x14ac:dyDescent="0.25"/>
    <row r="150055" customFormat="1" x14ac:dyDescent="0.25"/>
    <row r="150056" customFormat="1" x14ac:dyDescent="0.25"/>
    <row r="150057" customFormat="1" x14ac:dyDescent="0.25"/>
    <row r="150058" customFormat="1" x14ac:dyDescent="0.25"/>
    <row r="150059" customFormat="1" x14ac:dyDescent="0.25"/>
    <row r="150060" customFormat="1" x14ac:dyDescent="0.25"/>
    <row r="150061" customFormat="1" x14ac:dyDescent="0.25"/>
    <row r="150062" customFormat="1" x14ac:dyDescent="0.25"/>
    <row r="150063" customFormat="1" x14ac:dyDescent="0.25"/>
    <row r="150064" customFormat="1" x14ac:dyDescent="0.25"/>
    <row r="150065" customFormat="1" x14ac:dyDescent="0.25"/>
    <row r="150066" customFormat="1" x14ac:dyDescent="0.25"/>
    <row r="150067" customFormat="1" x14ac:dyDescent="0.25"/>
    <row r="150068" customFormat="1" x14ac:dyDescent="0.25"/>
    <row r="150069" customFormat="1" x14ac:dyDescent="0.25"/>
    <row r="150070" customFormat="1" x14ac:dyDescent="0.25"/>
    <row r="150071" customFormat="1" x14ac:dyDescent="0.25"/>
    <row r="150072" customFormat="1" x14ac:dyDescent="0.25"/>
    <row r="150073" customFormat="1" x14ac:dyDescent="0.25"/>
    <row r="150074" customFormat="1" x14ac:dyDescent="0.25"/>
    <row r="150075" customFormat="1" x14ac:dyDescent="0.25"/>
    <row r="150076" customFormat="1" x14ac:dyDescent="0.25"/>
    <row r="150077" customFormat="1" x14ac:dyDescent="0.25"/>
    <row r="150078" customFormat="1" x14ac:dyDescent="0.25"/>
    <row r="150079" customFormat="1" x14ac:dyDescent="0.25"/>
    <row r="150080" customFormat="1" x14ac:dyDescent="0.25"/>
    <row r="150081" customFormat="1" x14ac:dyDescent="0.25"/>
    <row r="150082" customFormat="1" x14ac:dyDescent="0.25"/>
    <row r="150083" customFormat="1" x14ac:dyDescent="0.25"/>
    <row r="150084" customFormat="1" x14ac:dyDescent="0.25"/>
    <row r="150085" customFormat="1" x14ac:dyDescent="0.25"/>
    <row r="150086" customFormat="1" x14ac:dyDescent="0.25"/>
    <row r="150087" customFormat="1" x14ac:dyDescent="0.25"/>
    <row r="150088" customFormat="1" x14ac:dyDescent="0.25"/>
    <row r="150089" customFormat="1" x14ac:dyDescent="0.25"/>
    <row r="150090" customFormat="1" x14ac:dyDescent="0.25"/>
    <row r="150091" customFormat="1" x14ac:dyDescent="0.25"/>
    <row r="150092" customFormat="1" x14ac:dyDescent="0.25"/>
    <row r="150093" customFormat="1" x14ac:dyDescent="0.25"/>
    <row r="150094" customFormat="1" x14ac:dyDescent="0.25"/>
    <row r="150095" customFormat="1" x14ac:dyDescent="0.25"/>
    <row r="150096" customFormat="1" x14ac:dyDescent="0.25"/>
    <row r="150097" customFormat="1" x14ac:dyDescent="0.25"/>
    <row r="150098" customFormat="1" x14ac:dyDescent="0.25"/>
    <row r="150099" customFormat="1" x14ac:dyDescent="0.25"/>
    <row r="150100" customFormat="1" x14ac:dyDescent="0.25"/>
    <row r="150101" customFormat="1" x14ac:dyDescent="0.25"/>
    <row r="150102" customFormat="1" x14ac:dyDescent="0.25"/>
    <row r="150103" customFormat="1" x14ac:dyDescent="0.25"/>
    <row r="150104" customFormat="1" x14ac:dyDescent="0.25"/>
    <row r="150105" customFormat="1" x14ac:dyDescent="0.25"/>
    <row r="150106" customFormat="1" x14ac:dyDescent="0.25"/>
    <row r="150107" customFormat="1" x14ac:dyDescent="0.25"/>
    <row r="150108" customFormat="1" x14ac:dyDescent="0.25"/>
    <row r="150109" customFormat="1" x14ac:dyDescent="0.25"/>
    <row r="150110" customFormat="1" x14ac:dyDescent="0.25"/>
    <row r="150111" customFormat="1" x14ac:dyDescent="0.25"/>
    <row r="150112" customFormat="1" x14ac:dyDescent="0.25"/>
    <row r="150113" customFormat="1" x14ac:dyDescent="0.25"/>
    <row r="150114" customFormat="1" x14ac:dyDescent="0.25"/>
    <row r="150115" customFormat="1" x14ac:dyDescent="0.25"/>
    <row r="150116" customFormat="1" x14ac:dyDescent="0.25"/>
    <row r="150117" customFormat="1" x14ac:dyDescent="0.25"/>
    <row r="150118" customFormat="1" x14ac:dyDescent="0.25"/>
    <row r="150119" customFormat="1" x14ac:dyDescent="0.25"/>
    <row r="150120" customFormat="1" x14ac:dyDescent="0.25"/>
    <row r="150121" customFormat="1" x14ac:dyDescent="0.25"/>
    <row r="150122" customFormat="1" x14ac:dyDescent="0.25"/>
    <row r="150123" customFormat="1" x14ac:dyDescent="0.25"/>
    <row r="150124" customFormat="1" x14ac:dyDescent="0.25"/>
    <row r="150125" customFormat="1" x14ac:dyDescent="0.25"/>
    <row r="150126" customFormat="1" x14ac:dyDescent="0.25"/>
    <row r="150127" customFormat="1" x14ac:dyDescent="0.25"/>
    <row r="150128" customFormat="1" x14ac:dyDescent="0.25"/>
    <row r="150129" customFormat="1" x14ac:dyDescent="0.25"/>
    <row r="150130" customFormat="1" x14ac:dyDescent="0.25"/>
    <row r="150131" customFormat="1" x14ac:dyDescent="0.25"/>
    <row r="150132" customFormat="1" x14ac:dyDescent="0.25"/>
    <row r="150133" customFormat="1" x14ac:dyDescent="0.25"/>
    <row r="150134" customFormat="1" x14ac:dyDescent="0.25"/>
    <row r="150135" customFormat="1" x14ac:dyDescent="0.25"/>
    <row r="150136" customFormat="1" x14ac:dyDescent="0.25"/>
    <row r="150137" customFormat="1" x14ac:dyDescent="0.25"/>
    <row r="150138" customFormat="1" x14ac:dyDescent="0.25"/>
    <row r="150139" customFormat="1" x14ac:dyDescent="0.25"/>
    <row r="150140" customFormat="1" x14ac:dyDescent="0.25"/>
    <row r="150141" customFormat="1" x14ac:dyDescent="0.25"/>
    <row r="150142" customFormat="1" x14ac:dyDescent="0.25"/>
    <row r="150143" customFormat="1" x14ac:dyDescent="0.25"/>
    <row r="150144" customFormat="1" x14ac:dyDescent="0.25"/>
    <row r="150145" customFormat="1" x14ac:dyDescent="0.25"/>
    <row r="150146" customFormat="1" x14ac:dyDescent="0.25"/>
    <row r="150147" customFormat="1" x14ac:dyDescent="0.25"/>
    <row r="150148" customFormat="1" x14ac:dyDescent="0.25"/>
    <row r="150149" customFormat="1" x14ac:dyDescent="0.25"/>
    <row r="150150" customFormat="1" x14ac:dyDescent="0.25"/>
    <row r="150151" customFormat="1" x14ac:dyDescent="0.25"/>
    <row r="150152" customFormat="1" x14ac:dyDescent="0.25"/>
    <row r="150153" customFormat="1" x14ac:dyDescent="0.25"/>
    <row r="150154" customFormat="1" x14ac:dyDescent="0.25"/>
    <row r="150155" customFormat="1" x14ac:dyDescent="0.25"/>
    <row r="150156" customFormat="1" x14ac:dyDescent="0.25"/>
    <row r="150157" customFormat="1" x14ac:dyDescent="0.25"/>
    <row r="150158" customFormat="1" x14ac:dyDescent="0.25"/>
    <row r="150159" customFormat="1" x14ac:dyDescent="0.25"/>
    <row r="150160" customFormat="1" x14ac:dyDescent="0.25"/>
    <row r="150161" customFormat="1" x14ac:dyDescent="0.25"/>
    <row r="150162" customFormat="1" x14ac:dyDescent="0.25"/>
    <row r="150163" customFormat="1" x14ac:dyDescent="0.25"/>
    <row r="150164" customFormat="1" x14ac:dyDescent="0.25"/>
    <row r="150165" customFormat="1" x14ac:dyDescent="0.25"/>
    <row r="150166" customFormat="1" x14ac:dyDescent="0.25"/>
    <row r="150167" customFormat="1" x14ac:dyDescent="0.25"/>
    <row r="150168" customFormat="1" x14ac:dyDescent="0.25"/>
    <row r="150169" customFormat="1" x14ac:dyDescent="0.25"/>
    <row r="150170" customFormat="1" x14ac:dyDescent="0.25"/>
    <row r="150171" customFormat="1" x14ac:dyDescent="0.25"/>
    <row r="150172" customFormat="1" x14ac:dyDescent="0.25"/>
    <row r="150173" customFormat="1" x14ac:dyDescent="0.25"/>
    <row r="150174" customFormat="1" x14ac:dyDescent="0.25"/>
    <row r="150175" customFormat="1" x14ac:dyDescent="0.25"/>
    <row r="150176" customFormat="1" x14ac:dyDescent="0.25"/>
    <row r="150177" customFormat="1" x14ac:dyDescent="0.25"/>
    <row r="150178" customFormat="1" x14ac:dyDescent="0.25"/>
    <row r="150179" customFormat="1" x14ac:dyDescent="0.25"/>
    <row r="150180" customFormat="1" x14ac:dyDescent="0.25"/>
    <row r="150181" customFormat="1" x14ac:dyDescent="0.25"/>
    <row r="150182" customFormat="1" x14ac:dyDescent="0.25"/>
    <row r="150183" customFormat="1" x14ac:dyDescent="0.25"/>
    <row r="150184" customFormat="1" x14ac:dyDescent="0.25"/>
    <row r="150185" customFormat="1" x14ac:dyDescent="0.25"/>
    <row r="150186" customFormat="1" x14ac:dyDescent="0.25"/>
    <row r="150187" customFormat="1" x14ac:dyDescent="0.25"/>
    <row r="150188" customFormat="1" x14ac:dyDescent="0.25"/>
    <row r="150189" customFormat="1" x14ac:dyDescent="0.25"/>
    <row r="150190" customFormat="1" x14ac:dyDescent="0.25"/>
    <row r="150191" customFormat="1" x14ac:dyDescent="0.25"/>
    <row r="150192" customFormat="1" x14ac:dyDescent="0.25"/>
    <row r="150193" customFormat="1" x14ac:dyDescent="0.25"/>
    <row r="150194" customFormat="1" x14ac:dyDescent="0.25"/>
    <row r="150195" customFormat="1" x14ac:dyDescent="0.25"/>
    <row r="150196" customFormat="1" x14ac:dyDescent="0.25"/>
    <row r="150197" customFormat="1" x14ac:dyDescent="0.25"/>
    <row r="150198" customFormat="1" x14ac:dyDescent="0.25"/>
    <row r="150199" customFormat="1" x14ac:dyDescent="0.25"/>
    <row r="150200" customFormat="1" x14ac:dyDescent="0.25"/>
    <row r="150201" customFormat="1" x14ac:dyDescent="0.25"/>
    <row r="150202" customFormat="1" x14ac:dyDescent="0.25"/>
    <row r="150203" customFormat="1" x14ac:dyDescent="0.25"/>
    <row r="150204" customFormat="1" x14ac:dyDescent="0.25"/>
    <row r="150205" customFormat="1" x14ac:dyDescent="0.25"/>
    <row r="150206" customFormat="1" x14ac:dyDescent="0.25"/>
    <row r="150207" customFormat="1" x14ac:dyDescent="0.25"/>
    <row r="150208" customFormat="1" x14ac:dyDescent="0.25"/>
    <row r="150209" customFormat="1" x14ac:dyDescent="0.25"/>
    <row r="150210" customFormat="1" x14ac:dyDescent="0.25"/>
    <row r="150211" customFormat="1" x14ac:dyDescent="0.25"/>
    <row r="150212" customFormat="1" x14ac:dyDescent="0.25"/>
    <row r="150213" customFormat="1" x14ac:dyDescent="0.25"/>
    <row r="150214" customFormat="1" x14ac:dyDescent="0.25"/>
    <row r="150215" customFormat="1" x14ac:dyDescent="0.25"/>
    <row r="150216" customFormat="1" x14ac:dyDescent="0.25"/>
    <row r="150217" customFormat="1" x14ac:dyDescent="0.25"/>
    <row r="150218" customFormat="1" x14ac:dyDescent="0.25"/>
    <row r="150219" customFormat="1" x14ac:dyDescent="0.25"/>
    <row r="150220" customFormat="1" x14ac:dyDescent="0.25"/>
    <row r="150221" customFormat="1" x14ac:dyDescent="0.25"/>
    <row r="150222" customFormat="1" x14ac:dyDescent="0.25"/>
    <row r="150223" customFormat="1" x14ac:dyDescent="0.25"/>
    <row r="150224" customFormat="1" x14ac:dyDescent="0.25"/>
    <row r="150225" customFormat="1" x14ac:dyDescent="0.25"/>
    <row r="150226" customFormat="1" x14ac:dyDescent="0.25"/>
    <row r="150227" customFormat="1" x14ac:dyDescent="0.25"/>
    <row r="150228" customFormat="1" x14ac:dyDescent="0.25"/>
    <row r="150229" customFormat="1" x14ac:dyDescent="0.25"/>
    <row r="150230" customFormat="1" x14ac:dyDescent="0.25"/>
    <row r="150231" customFormat="1" x14ac:dyDescent="0.25"/>
    <row r="150232" customFormat="1" x14ac:dyDescent="0.25"/>
    <row r="150233" customFormat="1" x14ac:dyDescent="0.25"/>
    <row r="150234" customFormat="1" x14ac:dyDescent="0.25"/>
    <row r="150235" customFormat="1" x14ac:dyDescent="0.25"/>
    <row r="150236" customFormat="1" x14ac:dyDescent="0.25"/>
    <row r="150237" customFormat="1" x14ac:dyDescent="0.25"/>
    <row r="150238" customFormat="1" x14ac:dyDescent="0.25"/>
    <row r="150239" customFormat="1" x14ac:dyDescent="0.25"/>
    <row r="150240" customFormat="1" x14ac:dyDescent="0.25"/>
    <row r="150241" customFormat="1" x14ac:dyDescent="0.25"/>
    <row r="150242" customFormat="1" x14ac:dyDescent="0.25"/>
    <row r="150243" customFormat="1" x14ac:dyDescent="0.25"/>
    <row r="150244" customFormat="1" x14ac:dyDescent="0.25"/>
    <row r="150245" customFormat="1" x14ac:dyDescent="0.25"/>
    <row r="150246" customFormat="1" x14ac:dyDescent="0.25"/>
    <row r="150247" customFormat="1" x14ac:dyDescent="0.25"/>
    <row r="150248" customFormat="1" x14ac:dyDescent="0.25"/>
    <row r="150249" customFormat="1" x14ac:dyDescent="0.25"/>
    <row r="150250" customFormat="1" x14ac:dyDescent="0.25"/>
    <row r="150251" customFormat="1" x14ac:dyDescent="0.25"/>
    <row r="150252" customFormat="1" x14ac:dyDescent="0.25"/>
    <row r="150253" customFormat="1" x14ac:dyDescent="0.25"/>
    <row r="150254" customFormat="1" x14ac:dyDescent="0.25"/>
    <row r="150255" customFormat="1" x14ac:dyDescent="0.25"/>
    <row r="150256" customFormat="1" x14ac:dyDescent="0.25"/>
    <row r="150257" customFormat="1" x14ac:dyDescent="0.25"/>
    <row r="150258" customFormat="1" x14ac:dyDescent="0.25"/>
    <row r="150259" customFormat="1" x14ac:dyDescent="0.25"/>
    <row r="150260" customFormat="1" x14ac:dyDescent="0.25"/>
    <row r="150261" customFormat="1" x14ac:dyDescent="0.25"/>
    <row r="150262" customFormat="1" x14ac:dyDescent="0.25"/>
    <row r="150263" customFormat="1" x14ac:dyDescent="0.25"/>
    <row r="150264" customFormat="1" x14ac:dyDescent="0.25"/>
    <row r="150265" customFormat="1" x14ac:dyDescent="0.25"/>
    <row r="150266" customFormat="1" x14ac:dyDescent="0.25"/>
    <row r="150267" customFormat="1" x14ac:dyDescent="0.25"/>
    <row r="150268" customFormat="1" x14ac:dyDescent="0.25"/>
    <row r="150269" customFormat="1" x14ac:dyDescent="0.25"/>
    <row r="150270" customFormat="1" x14ac:dyDescent="0.25"/>
    <row r="150271" customFormat="1" x14ac:dyDescent="0.25"/>
    <row r="150272" customFormat="1" x14ac:dyDescent="0.25"/>
    <row r="150273" customFormat="1" x14ac:dyDescent="0.25"/>
    <row r="150274" customFormat="1" x14ac:dyDescent="0.25"/>
    <row r="150275" customFormat="1" x14ac:dyDescent="0.25"/>
    <row r="150276" customFormat="1" x14ac:dyDescent="0.25"/>
    <row r="150277" customFormat="1" x14ac:dyDescent="0.25"/>
    <row r="150278" customFormat="1" x14ac:dyDescent="0.25"/>
    <row r="150279" customFormat="1" x14ac:dyDescent="0.25"/>
    <row r="150280" customFormat="1" x14ac:dyDescent="0.25"/>
    <row r="150281" customFormat="1" x14ac:dyDescent="0.25"/>
    <row r="150282" customFormat="1" x14ac:dyDescent="0.25"/>
    <row r="150283" customFormat="1" x14ac:dyDescent="0.25"/>
    <row r="150284" customFormat="1" x14ac:dyDescent="0.25"/>
    <row r="150285" customFormat="1" x14ac:dyDescent="0.25"/>
    <row r="150286" customFormat="1" x14ac:dyDescent="0.25"/>
    <row r="150287" customFormat="1" x14ac:dyDescent="0.25"/>
    <row r="150288" customFormat="1" x14ac:dyDescent="0.25"/>
    <row r="150289" customFormat="1" x14ac:dyDescent="0.25"/>
    <row r="150290" customFormat="1" x14ac:dyDescent="0.25"/>
    <row r="150291" customFormat="1" x14ac:dyDescent="0.25"/>
    <row r="150292" customFormat="1" x14ac:dyDescent="0.25"/>
    <row r="150293" customFormat="1" x14ac:dyDescent="0.25"/>
    <row r="150294" customFormat="1" x14ac:dyDescent="0.25"/>
    <row r="150295" customFormat="1" x14ac:dyDescent="0.25"/>
    <row r="150296" customFormat="1" x14ac:dyDescent="0.25"/>
    <row r="150297" customFormat="1" x14ac:dyDescent="0.25"/>
    <row r="150298" customFormat="1" x14ac:dyDescent="0.25"/>
    <row r="150299" customFormat="1" x14ac:dyDescent="0.25"/>
    <row r="150300" customFormat="1" x14ac:dyDescent="0.25"/>
    <row r="150301" customFormat="1" x14ac:dyDescent="0.25"/>
    <row r="150302" customFormat="1" x14ac:dyDescent="0.25"/>
    <row r="150303" customFormat="1" x14ac:dyDescent="0.25"/>
    <row r="150304" customFormat="1" x14ac:dyDescent="0.25"/>
    <row r="150305" customFormat="1" x14ac:dyDescent="0.25"/>
    <row r="150306" customFormat="1" x14ac:dyDescent="0.25"/>
    <row r="150307" customFormat="1" x14ac:dyDescent="0.25"/>
    <row r="150308" customFormat="1" x14ac:dyDescent="0.25"/>
    <row r="150309" customFormat="1" x14ac:dyDescent="0.25"/>
    <row r="150310" customFormat="1" x14ac:dyDescent="0.25"/>
    <row r="150311" customFormat="1" x14ac:dyDescent="0.25"/>
    <row r="150312" customFormat="1" x14ac:dyDescent="0.25"/>
    <row r="150313" customFormat="1" x14ac:dyDescent="0.25"/>
    <row r="150314" customFormat="1" x14ac:dyDescent="0.25"/>
    <row r="150315" customFormat="1" x14ac:dyDescent="0.25"/>
    <row r="150316" customFormat="1" x14ac:dyDescent="0.25"/>
    <row r="150317" customFormat="1" x14ac:dyDescent="0.25"/>
    <row r="150318" customFormat="1" x14ac:dyDescent="0.25"/>
    <row r="150319" customFormat="1" x14ac:dyDescent="0.25"/>
    <row r="150320" customFormat="1" x14ac:dyDescent="0.25"/>
    <row r="150321" customFormat="1" x14ac:dyDescent="0.25"/>
    <row r="150322" customFormat="1" x14ac:dyDescent="0.25"/>
    <row r="150323" customFormat="1" x14ac:dyDescent="0.25"/>
    <row r="150324" customFormat="1" x14ac:dyDescent="0.25"/>
    <row r="150325" customFormat="1" x14ac:dyDescent="0.25"/>
    <row r="150326" customFormat="1" x14ac:dyDescent="0.25"/>
    <row r="150327" customFormat="1" x14ac:dyDescent="0.25"/>
    <row r="150328" customFormat="1" x14ac:dyDescent="0.25"/>
    <row r="150329" customFormat="1" x14ac:dyDescent="0.25"/>
    <row r="150330" customFormat="1" x14ac:dyDescent="0.25"/>
    <row r="150331" customFormat="1" x14ac:dyDescent="0.25"/>
    <row r="150332" customFormat="1" x14ac:dyDescent="0.25"/>
    <row r="150333" customFormat="1" x14ac:dyDescent="0.25"/>
    <row r="150334" customFormat="1" x14ac:dyDescent="0.25"/>
    <row r="150335" customFormat="1" x14ac:dyDescent="0.25"/>
    <row r="150336" customFormat="1" x14ac:dyDescent="0.25"/>
    <row r="150337" customFormat="1" x14ac:dyDescent="0.25"/>
    <row r="150338" customFormat="1" x14ac:dyDescent="0.25"/>
    <row r="150339" customFormat="1" x14ac:dyDescent="0.25"/>
    <row r="150340" customFormat="1" x14ac:dyDescent="0.25"/>
    <row r="150341" customFormat="1" x14ac:dyDescent="0.25"/>
    <row r="150342" customFormat="1" x14ac:dyDescent="0.25"/>
    <row r="150343" customFormat="1" x14ac:dyDescent="0.25"/>
    <row r="150344" customFormat="1" x14ac:dyDescent="0.25"/>
    <row r="150345" customFormat="1" x14ac:dyDescent="0.25"/>
    <row r="150346" customFormat="1" x14ac:dyDescent="0.25"/>
    <row r="150347" customFormat="1" x14ac:dyDescent="0.25"/>
    <row r="150348" customFormat="1" x14ac:dyDescent="0.25"/>
    <row r="150349" customFormat="1" x14ac:dyDescent="0.25"/>
    <row r="150350" customFormat="1" x14ac:dyDescent="0.25"/>
    <row r="150351" customFormat="1" x14ac:dyDescent="0.25"/>
    <row r="150352" customFormat="1" x14ac:dyDescent="0.25"/>
    <row r="150353" customFormat="1" x14ac:dyDescent="0.25"/>
    <row r="150354" customFormat="1" x14ac:dyDescent="0.25"/>
    <row r="150355" customFormat="1" x14ac:dyDescent="0.25"/>
    <row r="150356" customFormat="1" x14ac:dyDescent="0.25"/>
    <row r="150357" customFormat="1" x14ac:dyDescent="0.25"/>
    <row r="150358" customFormat="1" x14ac:dyDescent="0.25"/>
    <row r="150359" customFormat="1" x14ac:dyDescent="0.25"/>
    <row r="150360" customFormat="1" x14ac:dyDescent="0.25"/>
    <row r="150361" customFormat="1" x14ac:dyDescent="0.25"/>
    <row r="150362" customFormat="1" x14ac:dyDescent="0.25"/>
    <row r="150363" customFormat="1" x14ac:dyDescent="0.25"/>
    <row r="150364" customFormat="1" x14ac:dyDescent="0.25"/>
    <row r="150365" customFormat="1" x14ac:dyDescent="0.25"/>
    <row r="150366" customFormat="1" x14ac:dyDescent="0.25"/>
    <row r="150367" customFormat="1" x14ac:dyDescent="0.25"/>
    <row r="150368" customFormat="1" x14ac:dyDescent="0.25"/>
    <row r="150369" customFormat="1" x14ac:dyDescent="0.25"/>
    <row r="150370" customFormat="1" x14ac:dyDescent="0.25"/>
    <row r="150371" customFormat="1" x14ac:dyDescent="0.25"/>
    <row r="150372" customFormat="1" x14ac:dyDescent="0.25"/>
    <row r="150373" customFormat="1" x14ac:dyDescent="0.25"/>
    <row r="150374" customFormat="1" x14ac:dyDescent="0.25"/>
    <row r="150375" customFormat="1" x14ac:dyDescent="0.25"/>
    <row r="150376" customFormat="1" x14ac:dyDescent="0.25"/>
    <row r="150377" customFormat="1" x14ac:dyDescent="0.25"/>
    <row r="150378" customFormat="1" x14ac:dyDescent="0.25"/>
    <row r="150379" customFormat="1" x14ac:dyDescent="0.25"/>
    <row r="150380" customFormat="1" x14ac:dyDescent="0.25"/>
    <row r="150381" customFormat="1" x14ac:dyDescent="0.25"/>
    <row r="150382" customFormat="1" x14ac:dyDescent="0.25"/>
    <row r="150383" customFormat="1" x14ac:dyDescent="0.25"/>
    <row r="150384" customFormat="1" x14ac:dyDescent="0.25"/>
    <row r="150385" customFormat="1" x14ac:dyDescent="0.25"/>
    <row r="150386" customFormat="1" x14ac:dyDescent="0.25"/>
    <row r="150387" customFormat="1" x14ac:dyDescent="0.25"/>
    <row r="150388" customFormat="1" x14ac:dyDescent="0.25"/>
    <row r="150389" customFormat="1" x14ac:dyDescent="0.25"/>
    <row r="150390" customFormat="1" x14ac:dyDescent="0.25"/>
    <row r="150391" customFormat="1" x14ac:dyDescent="0.25"/>
    <row r="150392" customFormat="1" x14ac:dyDescent="0.25"/>
    <row r="150393" customFormat="1" x14ac:dyDescent="0.25"/>
    <row r="150394" customFormat="1" x14ac:dyDescent="0.25"/>
    <row r="150395" customFormat="1" x14ac:dyDescent="0.25"/>
    <row r="150396" customFormat="1" x14ac:dyDescent="0.25"/>
    <row r="150397" customFormat="1" x14ac:dyDescent="0.25"/>
    <row r="150398" customFormat="1" x14ac:dyDescent="0.25"/>
    <row r="150399" customFormat="1" x14ac:dyDescent="0.25"/>
    <row r="150400" customFormat="1" x14ac:dyDescent="0.25"/>
    <row r="150401" customFormat="1" x14ac:dyDescent="0.25"/>
    <row r="150402" customFormat="1" x14ac:dyDescent="0.25"/>
    <row r="150403" customFormat="1" x14ac:dyDescent="0.25"/>
    <row r="150404" customFormat="1" x14ac:dyDescent="0.25"/>
    <row r="150405" customFormat="1" x14ac:dyDescent="0.25"/>
    <row r="150406" customFormat="1" x14ac:dyDescent="0.25"/>
    <row r="150407" customFormat="1" x14ac:dyDescent="0.25"/>
    <row r="150408" customFormat="1" x14ac:dyDescent="0.25"/>
    <row r="150409" customFormat="1" x14ac:dyDescent="0.25"/>
    <row r="150410" customFormat="1" x14ac:dyDescent="0.25"/>
    <row r="150411" customFormat="1" x14ac:dyDescent="0.25"/>
    <row r="150412" customFormat="1" x14ac:dyDescent="0.25"/>
    <row r="150413" customFormat="1" x14ac:dyDescent="0.25"/>
    <row r="150414" customFormat="1" x14ac:dyDescent="0.25"/>
    <row r="150415" customFormat="1" x14ac:dyDescent="0.25"/>
    <row r="150416" customFormat="1" x14ac:dyDescent="0.25"/>
    <row r="150417" customFormat="1" x14ac:dyDescent="0.25"/>
    <row r="150418" customFormat="1" x14ac:dyDescent="0.25"/>
    <row r="150419" customFormat="1" x14ac:dyDescent="0.25"/>
    <row r="150420" customFormat="1" x14ac:dyDescent="0.25"/>
    <row r="150421" customFormat="1" x14ac:dyDescent="0.25"/>
    <row r="150422" customFormat="1" x14ac:dyDescent="0.25"/>
    <row r="150423" customFormat="1" x14ac:dyDescent="0.25"/>
    <row r="150424" customFormat="1" x14ac:dyDescent="0.25"/>
    <row r="150425" customFormat="1" x14ac:dyDescent="0.25"/>
    <row r="150426" customFormat="1" x14ac:dyDescent="0.25"/>
    <row r="150427" customFormat="1" x14ac:dyDescent="0.25"/>
    <row r="150428" customFormat="1" x14ac:dyDescent="0.25"/>
    <row r="150429" customFormat="1" x14ac:dyDescent="0.25"/>
    <row r="150430" customFormat="1" x14ac:dyDescent="0.25"/>
    <row r="150431" customFormat="1" x14ac:dyDescent="0.25"/>
    <row r="150432" customFormat="1" x14ac:dyDescent="0.25"/>
    <row r="150433" customFormat="1" x14ac:dyDescent="0.25"/>
    <row r="150434" customFormat="1" x14ac:dyDescent="0.25"/>
    <row r="150435" customFormat="1" x14ac:dyDescent="0.25"/>
    <row r="150436" customFormat="1" x14ac:dyDescent="0.25"/>
    <row r="150437" customFormat="1" x14ac:dyDescent="0.25"/>
    <row r="150438" customFormat="1" x14ac:dyDescent="0.25"/>
    <row r="150439" customFormat="1" x14ac:dyDescent="0.25"/>
    <row r="150440" customFormat="1" x14ac:dyDescent="0.25"/>
    <row r="150441" customFormat="1" x14ac:dyDescent="0.25"/>
    <row r="150442" customFormat="1" x14ac:dyDescent="0.25"/>
    <row r="150443" customFormat="1" x14ac:dyDescent="0.25"/>
    <row r="150444" customFormat="1" x14ac:dyDescent="0.25"/>
    <row r="150445" customFormat="1" x14ac:dyDescent="0.25"/>
    <row r="150446" customFormat="1" x14ac:dyDescent="0.25"/>
    <row r="150447" customFormat="1" x14ac:dyDescent="0.25"/>
    <row r="150448" customFormat="1" x14ac:dyDescent="0.25"/>
    <row r="150449" customFormat="1" x14ac:dyDescent="0.25"/>
    <row r="150450" customFormat="1" x14ac:dyDescent="0.25"/>
    <row r="150451" customFormat="1" x14ac:dyDescent="0.25"/>
    <row r="150452" customFormat="1" x14ac:dyDescent="0.25"/>
    <row r="150453" customFormat="1" x14ac:dyDescent="0.25"/>
    <row r="150454" customFormat="1" x14ac:dyDescent="0.25"/>
    <row r="150455" customFormat="1" x14ac:dyDescent="0.25"/>
    <row r="150456" customFormat="1" x14ac:dyDescent="0.25"/>
    <row r="150457" customFormat="1" x14ac:dyDescent="0.25"/>
    <row r="150458" customFormat="1" x14ac:dyDescent="0.25"/>
    <row r="150459" customFormat="1" x14ac:dyDescent="0.25"/>
    <row r="150460" customFormat="1" x14ac:dyDescent="0.25"/>
    <row r="150461" customFormat="1" x14ac:dyDescent="0.25"/>
    <row r="150462" customFormat="1" x14ac:dyDescent="0.25"/>
    <row r="150463" customFormat="1" x14ac:dyDescent="0.25"/>
    <row r="150464" customFormat="1" x14ac:dyDescent="0.25"/>
    <row r="150465" customFormat="1" x14ac:dyDescent="0.25"/>
    <row r="150466" customFormat="1" x14ac:dyDescent="0.25"/>
    <row r="150467" customFormat="1" x14ac:dyDescent="0.25"/>
    <row r="150468" customFormat="1" x14ac:dyDescent="0.25"/>
    <row r="150469" customFormat="1" x14ac:dyDescent="0.25"/>
    <row r="150470" customFormat="1" x14ac:dyDescent="0.25"/>
    <row r="150471" customFormat="1" x14ac:dyDescent="0.25"/>
    <row r="150472" customFormat="1" x14ac:dyDescent="0.25"/>
    <row r="150473" customFormat="1" x14ac:dyDescent="0.25"/>
    <row r="150474" customFormat="1" x14ac:dyDescent="0.25"/>
    <row r="150475" customFormat="1" x14ac:dyDescent="0.25"/>
    <row r="150476" customFormat="1" x14ac:dyDescent="0.25"/>
    <row r="150477" customFormat="1" x14ac:dyDescent="0.25"/>
    <row r="150478" customFormat="1" x14ac:dyDescent="0.25"/>
    <row r="150479" customFormat="1" x14ac:dyDescent="0.25"/>
    <row r="150480" customFormat="1" x14ac:dyDescent="0.25"/>
    <row r="150481" customFormat="1" x14ac:dyDescent="0.25"/>
    <row r="150482" customFormat="1" x14ac:dyDescent="0.25"/>
    <row r="150483" customFormat="1" x14ac:dyDescent="0.25"/>
    <row r="150484" customFormat="1" x14ac:dyDescent="0.25"/>
    <row r="150485" customFormat="1" x14ac:dyDescent="0.25"/>
    <row r="150486" customFormat="1" x14ac:dyDescent="0.25"/>
    <row r="150487" customFormat="1" x14ac:dyDescent="0.25"/>
    <row r="150488" customFormat="1" x14ac:dyDescent="0.25"/>
    <row r="150489" customFormat="1" x14ac:dyDescent="0.25"/>
    <row r="150490" customFormat="1" x14ac:dyDescent="0.25"/>
    <row r="150491" customFormat="1" x14ac:dyDescent="0.25"/>
    <row r="150492" customFormat="1" x14ac:dyDescent="0.25"/>
    <row r="150493" customFormat="1" x14ac:dyDescent="0.25"/>
    <row r="150494" customFormat="1" x14ac:dyDescent="0.25"/>
    <row r="150495" customFormat="1" x14ac:dyDescent="0.25"/>
    <row r="150496" customFormat="1" x14ac:dyDescent="0.25"/>
    <row r="150497" customFormat="1" x14ac:dyDescent="0.25"/>
    <row r="150498" customFormat="1" x14ac:dyDescent="0.25"/>
    <row r="150499" customFormat="1" x14ac:dyDescent="0.25"/>
    <row r="150500" customFormat="1" x14ac:dyDescent="0.25"/>
    <row r="150501" customFormat="1" x14ac:dyDescent="0.25"/>
    <row r="150502" customFormat="1" x14ac:dyDescent="0.25"/>
    <row r="150503" customFormat="1" x14ac:dyDescent="0.25"/>
    <row r="150504" customFormat="1" x14ac:dyDescent="0.25"/>
    <row r="150505" customFormat="1" x14ac:dyDescent="0.25"/>
    <row r="150506" customFormat="1" x14ac:dyDescent="0.25"/>
    <row r="150507" customFormat="1" x14ac:dyDescent="0.25"/>
    <row r="150508" customFormat="1" x14ac:dyDescent="0.25"/>
    <row r="150509" customFormat="1" x14ac:dyDescent="0.25"/>
    <row r="150510" customFormat="1" x14ac:dyDescent="0.25"/>
    <row r="150511" customFormat="1" x14ac:dyDescent="0.25"/>
    <row r="150512" customFormat="1" x14ac:dyDescent="0.25"/>
    <row r="150513" customFormat="1" x14ac:dyDescent="0.25"/>
    <row r="150514" customFormat="1" x14ac:dyDescent="0.25"/>
    <row r="150515" customFormat="1" x14ac:dyDescent="0.25"/>
    <row r="150516" customFormat="1" x14ac:dyDescent="0.25"/>
    <row r="150517" customFormat="1" x14ac:dyDescent="0.25"/>
    <row r="150518" customFormat="1" x14ac:dyDescent="0.25"/>
    <row r="150519" customFormat="1" x14ac:dyDescent="0.25"/>
    <row r="150520" customFormat="1" x14ac:dyDescent="0.25"/>
    <row r="150521" customFormat="1" x14ac:dyDescent="0.25"/>
    <row r="150522" customFormat="1" x14ac:dyDescent="0.25"/>
    <row r="150523" customFormat="1" x14ac:dyDescent="0.25"/>
    <row r="150524" customFormat="1" x14ac:dyDescent="0.25"/>
    <row r="150525" customFormat="1" x14ac:dyDescent="0.25"/>
    <row r="150526" customFormat="1" x14ac:dyDescent="0.25"/>
    <row r="150527" customFormat="1" x14ac:dyDescent="0.25"/>
    <row r="150528" customFormat="1" x14ac:dyDescent="0.25"/>
    <row r="150529" customFormat="1" x14ac:dyDescent="0.25"/>
    <row r="150530" customFormat="1" x14ac:dyDescent="0.25"/>
    <row r="150531" customFormat="1" x14ac:dyDescent="0.25"/>
    <row r="150532" customFormat="1" x14ac:dyDescent="0.25"/>
    <row r="150533" customFormat="1" x14ac:dyDescent="0.25"/>
    <row r="150534" customFormat="1" x14ac:dyDescent="0.25"/>
    <row r="150535" customFormat="1" x14ac:dyDescent="0.25"/>
    <row r="150536" customFormat="1" x14ac:dyDescent="0.25"/>
    <row r="150537" customFormat="1" x14ac:dyDescent="0.25"/>
    <row r="150538" customFormat="1" x14ac:dyDescent="0.25"/>
    <row r="150539" customFormat="1" x14ac:dyDescent="0.25"/>
    <row r="150540" customFormat="1" x14ac:dyDescent="0.25"/>
    <row r="150541" customFormat="1" x14ac:dyDescent="0.25"/>
    <row r="150542" customFormat="1" x14ac:dyDescent="0.25"/>
    <row r="150543" customFormat="1" x14ac:dyDescent="0.25"/>
    <row r="150544" customFormat="1" x14ac:dyDescent="0.25"/>
    <row r="150545" customFormat="1" x14ac:dyDescent="0.25"/>
    <row r="150546" customFormat="1" x14ac:dyDescent="0.25"/>
    <row r="150547" customFormat="1" x14ac:dyDescent="0.25"/>
    <row r="150548" customFormat="1" x14ac:dyDescent="0.25"/>
    <row r="150549" customFormat="1" x14ac:dyDescent="0.25"/>
    <row r="150550" customFormat="1" x14ac:dyDescent="0.25"/>
    <row r="150551" customFormat="1" x14ac:dyDescent="0.25"/>
    <row r="150552" customFormat="1" x14ac:dyDescent="0.25"/>
    <row r="150553" customFormat="1" x14ac:dyDescent="0.25"/>
    <row r="150554" customFormat="1" x14ac:dyDescent="0.25"/>
    <row r="150555" customFormat="1" x14ac:dyDescent="0.25"/>
    <row r="150556" customFormat="1" x14ac:dyDescent="0.25"/>
    <row r="150557" customFormat="1" x14ac:dyDescent="0.25"/>
    <row r="150558" customFormat="1" x14ac:dyDescent="0.25"/>
    <row r="150559" customFormat="1" x14ac:dyDescent="0.25"/>
    <row r="150560" customFormat="1" x14ac:dyDescent="0.25"/>
    <row r="150561" customFormat="1" x14ac:dyDescent="0.25"/>
    <row r="150562" customFormat="1" x14ac:dyDescent="0.25"/>
    <row r="150563" customFormat="1" x14ac:dyDescent="0.25"/>
    <row r="150564" customFormat="1" x14ac:dyDescent="0.25"/>
    <row r="150565" customFormat="1" x14ac:dyDescent="0.25"/>
    <row r="150566" customFormat="1" x14ac:dyDescent="0.25"/>
    <row r="150567" customFormat="1" x14ac:dyDescent="0.25"/>
    <row r="150568" customFormat="1" x14ac:dyDescent="0.25"/>
    <row r="150569" customFormat="1" x14ac:dyDescent="0.25"/>
    <row r="150570" customFormat="1" x14ac:dyDescent="0.25"/>
    <row r="150571" customFormat="1" x14ac:dyDescent="0.25"/>
    <row r="150572" customFormat="1" x14ac:dyDescent="0.25"/>
    <row r="150573" customFormat="1" x14ac:dyDescent="0.25"/>
    <row r="150574" customFormat="1" x14ac:dyDescent="0.25"/>
    <row r="150575" customFormat="1" x14ac:dyDescent="0.25"/>
    <row r="150576" customFormat="1" x14ac:dyDescent="0.25"/>
    <row r="150577" customFormat="1" x14ac:dyDescent="0.25"/>
    <row r="150578" customFormat="1" x14ac:dyDescent="0.25"/>
    <row r="150579" customFormat="1" x14ac:dyDescent="0.25"/>
    <row r="150580" customFormat="1" x14ac:dyDescent="0.25"/>
    <row r="150581" customFormat="1" x14ac:dyDescent="0.25"/>
    <row r="150582" customFormat="1" x14ac:dyDescent="0.25"/>
    <row r="150583" customFormat="1" x14ac:dyDescent="0.25"/>
    <row r="150584" customFormat="1" x14ac:dyDescent="0.25"/>
    <row r="150585" customFormat="1" x14ac:dyDescent="0.25"/>
    <row r="150586" customFormat="1" x14ac:dyDescent="0.25"/>
    <row r="150587" customFormat="1" x14ac:dyDescent="0.25"/>
    <row r="150588" customFormat="1" x14ac:dyDescent="0.25"/>
    <row r="150589" customFormat="1" x14ac:dyDescent="0.25"/>
    <row r="150590" customFormat="1" x14ac:dyDescent="0.25"/>
    <row r="150591" customFormat="1" x14ac:dyDescent="0.25"/>
    <row r="150592" customFormat="1" x14ac:dyDescent="0.25"/>
    <row r="150593" customFormat="1" x14ac:dyDescent="0.25"/>
    <row r="150594" customFormat="1" x14ac:dyDescent="0.25"/>
    <row r="150595" customFormat="1" x14ac:dyDescent="0.25"/>
    <row r="150596" customFormat="1" x14ac:dyDescent="0.25"/>
    <row r="150597" customFormat="1" x14ac:dyDescent="0.25"/>
    <row r="150598" customFormat="1" x14ac:dyDescent="0.25"/>
    <row r="150599" customFormat="1" x14ac:dyDescent="0.25"/>
    <row r="150600" customFormat="1" x14ac:dyDescent="0.25"/>
    <row r="150601" customFormat="1" x14ac:dyDescent="0.25"/>
    <row r="150602" customFormat="1" x14ac:dyDescent="0.25"/>
    <row r="150603" customFormat="1" x14ac:dyDescent="0.25"/>
    <row r="150604" customFormat="1" x14ac:dyDescent="0.25"/>
    <row r="150605" customFormat="1" x14ac:dyDescent="0.25"/>
    <row r="150606" customFormat="1" x14ac:dyDescent="0.25"/>
    <row r="150607" customFormat="1" x14ac:dyDescent="0.25"/>
    <row r="150608" customFormat="1" x14ac:dyDescent="0.25"/>
    <row r="150609" customFormat="1" x14ac:dyDescent="0.25"/>
    <row r="150610" customFormat="1" x14ac:dyDescent="0.25"/>
    <row r="150611" customFormat="1" x14ac:dyDescent="0.25"/>
    <row r="150612" customFormat="1" x14ac:dyDescent="0.25"/>
    <row r="150613" customFormat="1" x14ac:dyDescent="0.25"/>
    <row r="150614" customFormat="1" x14ac:dyDescent="0.25"/>
    <row r="150615" customFormat="1" x14ac:dyDescent="0.25"/>
    <row r="150616" customFormat="1" x14ac:dyDescent="0.25"/>
    <row r="150617" customFormat="1" x14ac:dyDescent="0.25"/>
    <row r="150618" customFormat="1" x14ac:dyDescent="0.25"/>
    <row r="150619" customFormat="1" x14ac:dyDescent="0.25"/>
    <row r="150620" customFormat="1" x14ac:dyDescent="0.25"/>
    <row r="150621" customFormat="1" x14ac:dyDescent="0.25"/>
    <row r="150622" customFormat="1" x14ac:dyDescent="0.25"/>
    <row r="150623" customFormat="1" x14ac:dyDescent="0.25"/>
    <row r="150624" customFormat="1" x14ac:dyDescent="0.25"/>
    <row r="150625" customFormat="1" x14ac:dyDescent="0.25"/>
    <row r="150626" customFormat="1" x14ac:dyDescent="0.25"/>
    <row r="150627" customFormat="1" x14ac:dyDescent="0.25"/>
    <row r="150628" customFormat="1" x14ac:dyDescent="0.25"/>
    <row r="150629" customFormat="1" x14ac:dyDescent="0.25"/>
    <row r="150630" customFormat="1" x14ac:dyDescent="0.25"/>
    <row r="150631" customFormat="1" x14ac:dyDescent="0.25"/>
    <row r="150632" customFormat="1" x14ac:dyDescent="0.25"/>
    <row r="150633" customFormat="1" x14ac:dyDescent="0.25"/>
    <row r="150634" customFormat="1" x14ac:dyDescent="0.25"/>
    <row r="150635" customFormat="1" x14ac:dyDescent="0.25"/>
    <row r="150636" customFormat="1" x14ac:dyDescent="0.25"/>
    <row r="150637" customFormat="1" x14ac:dyDescent="0.25"/>
    <row r="150638" customFormat="1" x14ac:dyDescent="0.25"/>
    <row r="150639" customFormat="1" x14ac:dyDescent="0.25"/>
    <row r="150640" customFormat="1" x14ac:dyDescent="0.25"/>
    <row r="150641" customFormat="1" x14ac:dyDescent="0.25"/>
    <row r="150642" customFormat="1" x14ac:dyDescent="0.25"/>
    <row r="150643" customFormat="1" x14ac:dyDescent="0.25"/>
    <row r="150644" customFormat="1" x14ac:dyDescent="0.25"/>
    <row r="150645" customFormat="1" x14ac:dyDescent="0.25"/>
    <row r="150646" customFormat="1" x14ac:dyDescent="0.25"/>
    <row r="150647" customFormat="1" x14ac:dyDescent="0.25"/>
    <row r="150648" customFormat="1" x14ac:dyDescent="0.25"/>
    <row r="150649" customFormat="1" x14ac:dyDescent="0.25"/>
    <row r="150650" customFormat="1" x14ac:dyDescent="0.25"/>
    <row r="150651" customFormat="1" x14ac:dyDescent="0.25"/>
    <row r="150652" customFormat="1" x14ac:dyDescent="0.25"/>
    <row r="150653" customFormat="1" x14ac:dyDescent="0.25"/>
    <row r="150654" customFormat="1" x14ac:dyDescent="0.25"/>
    <row r="150655" customFormat="1" x14ac:dyDescent="0.25"/>
    <row r="150656" customFormat="1" x14ac:dyDescent="0.25"/>
    <row r="150657" customFormat="1" x14ac:dyDescent="0.25"/>
    <row r="150658" customFormat="1" x14ac:dyDescent="0.25"/>
    <row r="150659" customFormat="1" x14ac:dyDescent="0.25"/>
    <row r="150660" customFormat="1" x14ac:dyDescent="0.25"/>
    <row r="150661" customFormat="1" x14ac:dyDescent="0.25"/>
    <row r="150662" customFormat="1" x14ac:dyDescent="0.25"/>
    <row r="150663" customFormat="1" x14ac:dyDescent="0.25"/>
    <row r="150664" customFormat="1" x14ac:dyDescent="0.25"/>
    <row r="150665" customFormat="1" x14ac:dyDescent="0.25"/>
    <row r="150666" customFormat="1" x14ac:dyDescent="0.25"/>
    <row r="150667" customFormat="1" x14ac:dyDescent="0.25"/>
    <row r="150668" customFormat="1" x14ac:dyDescent="0.25"/>
    <row r="150669" customFormat="1" x14ac:dyDescent="0.25"/>
    <row r="150670" customFormat="1" x14ac:dyDescent="0.25"/>
    <row r="150671" customFormat="1" x14ac:dyDescent="0.25"/>
    <row r="150672" customFormat="1" x14ac:dyDescent="0.25"/>
    <row r="150673" customFormat="1" x14ac:dyDescent="0.25"/>
    <row r="150674" customFormat="1" x14ac:dyDescent="0.25"/>
    <row r="150675" customFormat="1" x14ac:dyDescent="0.25"/>
    <row r="150676" customFormat="1" x14ac:dyDescent="0.25"/>
    <row r="150677" customFormat="1" x14ac:dyDescent="0.25"/>
    <row r="150678" customFormat="1" x14ac:dyDescent="0.25"/>
    <row r="150679" customFormat="1" x14ac:dyDescent="0.25"/>
    <row r="150680" customFormat="1" x14ac:dyDescent="0.25"/>
    <row r="150681" customFormat="1" x14ac:dyDescent="0.25"/>
    <row r="150682" customFormat="1" x14ac:dyDescent="0.25"/>
    <row r="150683" customFormat="1" x14ac:dyDescent="0.25"/>
    <row r="150684" customFormat="1" x14ac:dyDescent="0.25"/>
    <row r="150685" customFormat="1" x14ac:dyDescent="0.25"/>
    <row r="150686" customFormat="1" x14ac:dyDescent="0.25"/>
    <row r="150687" customFormat="1" x14ac:dyDescent="0.25"/>
    <row r="150688" customFormat="1" x14ac:dyDescent="0.25"/>
    <row r="150689" customFormat="1" x14ac:dyDescent="0.25"/>
    <row r="150690" customFormat="1" x14ac:dyDescent="0.25"/>
    <row r="150691" customFormat="1" x14ac:dyDescent="0.25"/>
    <row r="150692" customFormat="1" x14ac:dyDescent="0.25"/>
    <row r="150693" customFormat="1" x14ac:dyDescent="0.25"/>
    <row r="150694" customFormat="1" x14ac:dyDescent="0.25"/>
    <row r="150695" customFormat="1" x14ac:dyDescent="0.25"/>
    <row r="150696" customFormat="1" x14ac:dyDescent="0.25"/>
    <row r="150697" customFormat="1" x14ac:dyDescent="0.25"/>
    <row r="150698" customFormat="1" x14ac:dyDescent="0.25"/>
    <row r="150699" customFormat="1" x14ac:dyDescent="0.25"/>
    <row r="150700" customFormat="1" x14ac:dyDescent="0.25"/>
    <row r="150701" customFormat="1" x14ac:dyDescent="0.25"/>
    <row r="150702" customFormat="1" x14ac:dyDescent="0.25"/>
    <row r="150703" customFormat="1" x14ac:dyDescent="0.25"/>
    <row r="150704" customFormat="1" x14ac:dyDescent="0.25"/>
    <row r="150705" customFormat="1" x14ac:dyDescent="0.25"/>
    <row r="150706" customFormat="1" x14ac:dyDescent="0.25"/>
    <row r="150707" customFormat="1" x14ac:dyDescent="0.25"/>
    <row r="150708" customFormat="1" x14ac:dyDescent="0.25"/>
    <row r="150709" customFormat="1" x14ac:dyDescent="0.25"/>
    <row r="150710" customFormat="1" x14ac:dyDescent="0.25"/>
    <row r="150711" customFormat="1" x14ac:dyDescent="0.25"/>
    <row r="150712" customFormat="1" x14ac:dyDescent="0.25"/>
    <row r="150713" customFormat="1" x14ac:dyDescent="0.25"/>
    <row r="150714" customFormat="1" x14ac:dyDescent="0.25"/>
    <row r="150715" customFormat="1" x14ac:dyDescent="0.25"/>
    <row r="150716" customFormat="1" x14ac:dyDescent="0.25"/>
    <row r="150717" customFormat="1" x14ac:dyDescent="0.25"/>
    <row r="150718" customFormat="1" x14ac:dyDescent="0.25"/>
    <row r="150719" customFormat="1" x14ac:dyDescent="0.25"/>
    <row r="150720" customFormat="1" x14ac:dyDescent="0.25"/>
    <row r="150721" customFormat="1" x14ac:dyDescent="0.25"/>
    <row r="150722" customFormat="1" x14ac:dyDescent="0.25"/>
    <row r="150723" customFormat="1" x14ac:dyDescent="0.25"/>
    <row r="150724" customFormat="1" x14ac:dyDescent="0.25"/>
    <row r="150725" customFormat="1" x14ac:dyDescent="0.25"/>
    <row r="150726" customFormat="1" x14ac:dyDescent="0.25"/>
    <row r="150727" customFormat="1" x14ac:dyDescent="0.25"/>
    <row r="150728" customFormat="1" x14ac:dyDescent="0.25"/>
    <row r="150729" customFormat="1" x14ac:dyDescent="0.25"/>
    <row r="150730" customFormat="1" x14ac:dyDescent="0.25"/>
    <row r="150731" customFormat="1" x14ac:dyDescent="0.25"/>
    <row r="150732" customFormat="1" x14ac:dyDescent="0.25"/>
    <row r="150733" customFormat="1" x14ac:dyDescent="0.25"/>
    <row r="150734" customFormat="1" x14ac:dyDescent="0.25"/>
    <row r="150735" customFormat="1" x14ac:dyDescent="0.25"/>
    <row r="150736" customFormat="1" x14ac:dyDescent="0.25"/>
    <row r="150737" customFormat="1" x14ac:dyDescent="0.25"/>
    <row r="150738" customFormat="1" x14ac:dyDescent="0.25"/>
    <row r="150739" customFormat="1" x14ac:dyDescent="0.25"/>
    <row r="150740" customFormat="1" x14ac:dyDescent="0.25"/>
    <row r="150741" customFormat="1" x14ac:dyDescent="0.25"/>
    <row r="150742" customFormat="1" x14ac:dyDescent="0.25"/>
    <row r="150743" customFormat="1" x14ac:dyDescent="0.25"/>
    <row r="150744" customFormat="1" x14ac:dyDescent="0.25"/>
    <row r="150745" customFormat="1" x14ac:dyDescent="0.25"/>
    <row r="150746" customFormat="1" x14ac:dyDescent="0.25"/>
    <row r="150747" customFormat="1" x14ac:dyDescent="0.25"/>
    <row r="150748" customFormat="1" x14ac:dyDescent="0.25"/>
    <row r="150749" customFormat="1" x14ac:dyDescent="0.25"/>
    <row r="150750" customFormat="1" x14ac:dyDescent="0.25"/>
    <row r="150751" customFormat="1" x14ac:dyDescent="0.25"/>
    <row r="150752" customFormat="1" x14ac:dyDescent="0.25"/>
    <row r="150753" customFormat="1" x14ac:dyDescent="0.25"/>
    <row r="150754" customFormat="1" x14ac:dyDescent="0.25"/>
    <row r="150755" customFormat="1" x14ac:dyDescent="0.25"/>
    <row r="150756" customFormat="1" x14ac:dyDescent="0.25"/>
    <row r="150757" customFormat="1" x14ac:dyDescent="0.25"/>
    <row r="150758" customFormat="1" x14ac:dyDescent="0.25"/>
    <row r="150759" customFormat="1" x14ac:dyDescent="0.25"/>
    <row r="150760" customFormat="1" x14ac:dyDescent="0.25"/>
    <row r="150761" customFormat="1" x14ac:dyDescent="0.25"/>
    <row r="150762" customFormat="1" x14ac:dyDescent="0.25"/>
    <row r="150763" customFormat="1" x14ac:dyDescent="0.25"/>
    <row r="150764" customFormat="1" x14ac:dyDescent="0.25"/>
    <row r="150765" customFormat="1" x14ac:dyDescent="0.25"/>
    <row r="150766" customFormat="1" x14ac:dyDescent="0.25"/>
    <row r="150767" customFormat="1" x14ac:dyDescent="0.25"/>
    <row r="150768" customFormat="1" x14ac:dyDescent="0.25"/>
    <row r="150769" customFormat="1" x14ac:dyDescent="0.25"/>
    <row r="150770" customFormat="1" x14ac:dyDescent="0.25"/>
    <row r="150771" customFormat="1" x14ac:dyDescent="0.25"/>
    <row r="150772" customFormat="1" x14ac:dyDescent="0.25"/>
    <row r="150773" customFormat="1" x14ac:dyDescent="0.25"/>
    <row r="150774" customFormat="1" x14ac:dyDescent="0.25"/>
    <row r="150775" customFormat="1" x14ac:dyDescent="0.25"/>
    <row r="150776" customFormat="1" x14ac:dyDescent="0.25"/>
    <row r="150777" customFormat="1" x14ac:dyDescent="0.25"/>
    <row r="150778" customFormat="1" x14ac:dyDescent="0.25"/>
    <row r="150779" customFormat="1" x14ac:dyDescent="0.25"/>
    <row r="150780" customFormat="1" x14ac:dyDescent="0.25"/>
    <row r="150781" customFormat="1" x14ac:dyDescent="0.25"/>
    <row r="150782" customFormat="1" x14ac:dyDescent="0.25"/>
    <row r="150783" customFormat="1" x14ac:dyDescent="0.25"/>
    <row r="150784" customFormat="1" x14ac:dyDescent="0.25"/>
    <row r="150785" customFormat="1" x14ac:dyDescent="0.25"/>
    <row r="150786" customFormat="1" x14ac:dyDescent="0.25"/>
    <row r="150787" customFormat="1" x14ac:dyDescent="0.25"/>
    <row r="150788" customFormat="1" x14ac:dyDescent="0.25"/>
    <row r="150789" customFormat="1" x14ac:dyDescent="0.25"/>
    <row r="150790" customFormat="1" x14ac:dyDescent="0.25"/>
    <row r="150791" customFormat="1" x14ac:dyDescent="0.25"/>
    <row r="150792" customFormat="1" x14ac:dyDescent="0.25"/>
    <row r="150793" customFormat="1" x14ac:dyDescent="0.25"/>
    <row r="150794" customFormat="1" x14ac:dyDescent="0.25"/>
    <row r="150795" customFormat="1" x14ac:dyDescent="0.25"/>
    <row r="150796" customFormat="1" x14ac:dyDescent="0.25"/>
    <row r="150797" customFormat="1" x14ac:dyDescent="0.25"/>
    <row r="150798" customFormat="1" x14ac:dyDescent="0.25"/>
    <row r="150799" customFormat="1" x14ac:dyDescent="0.25"/>
    <row r="150800" customFormat="1" x14ac:dyDescent="0.25"/>
    <row r="150801" customFormat="1" x14ac:dyDescent="0.25"/>
    <row r="150802" customFormat="1" x14ac:dyDescent="0.25"/>
    <row r="150803" customFormat="1" x14ac:dyDescent="0.25"/>
    <row r="150804" customFormat="1" x14ac:dyDescent="0.25"/>
    <row r="150805" customFormat="1" x14ac:dyDescent="0.25"/>
    <row r="150806" customFormat="1" x14ac:dyDescent="0.25"/>
    <row r="150807" customFormat="1" x14ac:dyDescent="0.25"/>
    <row r="150808" customFormat="1" x14ac:dyDescent="0.25"/>
    <row r="150809" customFormat="1" x14ac:dyDescent="0.25"/>
    <row r="150810" customFormat="1" x14ac:dyDescent="0.25"/>
    <row r="150811" customFormat="1" x14ac:dyDescent="0.25"/>
    <row r="150812" customFormat="1" x14ac:dyDescent="0.25"/>
    <row r="150813" customFormat="1" x14ac:dyDescent="0.25"/>
    <row r="150814" customFormat="1" x14ac:dyDescent="0.25"/>
    <row r="150815" customFormat="1" x14ac:dyDescent="0.25"/>
    <row r="150816" customFormat="1" x14ac:dyDescent="0.25"/>
    <row r="150817" customFormat="1" x14ac:dyDescent="0.25"/>
    <row r="150818" customFormat="1" x14ac:dyDescent="0.25"/>
    <row r="150819" customFormat="1" x14ac:dyDescent="0.25"/>
    <row r="150820" customFormat="1" x14ac:dyDescent="0.25"/>
    <row r="150821" customFormat="1" x14ac:dyDescent="0.25"/>
    <row r="150822" customFormat="1" x14ac:dyDescent="0.25"/>
    <row r="150823" customFormat="1" x14ac:dyDescent="0.25"/>
    <row r="150824" customFormat="1" x14ac:dyDescent="0.25"/>
    <row r="150825" customFormat="1" x14ac:dyDescent="0.25"/>
    <row r="150826" customFormat="1" x14ac:dyDescent="0.25"/>
    <row r="150827" customFormat="1" x14ac:dyDescent="0.25"/>
    <row r="150828" customFormat="1" x14ac:dyDescent="0.25"/>
    <row r="150829" customFormat="1" x14ac:dyDescent="0.25"/>
    <row r="150830" customFormat="1" x14ac:dyDescent="0.25"/>
    <row r="150831" customFormat="1" x14ac:dyDescent="0.25"/>
    <row r="150832" customFormat="1" x14ac:dyDescent="0.25"/>
    <row r="150833" customFormat="1" x14ac:dyDescent="0.25"/>
    <row r="150834" customFormat="1" x14ac:dyDescent="0.25"/>
    <row r="150835" customFormat="1" x14ac:dyDescent="0.25"/>
    <row r="150836" customFormat="1" x14ac:dyDescent="0.25"/>
    <row r="150837" customFormat="1" x14ac:dyDescent="0.25"/>
    <row r="150838" customFormat="1" x14ac:dyDescent="0.25"/>
    <row r="150839" customFormat="1" x14ac:dyDescent="0.25"/>
    <row r="150840" customFormat="1" x14ac:dyDescent="0.25"/>
    <row r="150841" customFormat="1" x14ac:dyDescent="0.25"/>
    <row r="150842" customFormat="1" x14ac:dyDescent="0.25"/>
    <row r="150843" customFormat="1" x14ac:dyDescent="0.25"/>
    <row r="150844" customFormat="1" x14ac:dyDescent="0.25"/>
    <row r="150845" customFormat="1" x14ac:dyDescent="0.25"/>
    <row r="150846" customFormat="1" x14ac:dyDescent="0.25"/>
    <row r="150847" customFormat="1" x14ac:dyDescent="0.25"/>
    <row r="150848" customFormat="1" x14ac:dyDescent="0.25"/>
    <row r="150849" customFormat="1" x14ac:dyDescent="0.25"/>
    <row r="150850" customFormat="1" x14ac:dyDescent="0.25"/>
    <row r="150851" customFormat="1" x14ac:dyDescent="0.25"/>
    <row r="150852" customFormat="1" x14ac:dyDescent="0.25"/>
    <row r="150853" customFormat="1" x14ac:dyDescent="0.25"/>
    <row r="150854" customFormat="1" x14ac:dyDescent="0.25"/>
    <row r="150855" customFormat="1" x14ac:dyDescent="0.25"/>
    <row r="150856" customFormat="1" x14ac:dyDescent="0.25"/>
    <row r="150857" customFormat="1" x14ac:dyDescent="0.25"/>
    <row r="150858" customFormat="1" x14ac:dyDescent="0.25"/>
    <row r="150859" customFormat="1" x14ac:dyDescent="0.25"/>
    <row r="150860" customFormat="1" x14ac:dyDescent="0.25"/>
    <row r="150861" customFormat="1" x14ac:dyDescent="0.25"/>
    <row r="150862" customFormat="1" x14ac:dyDescent="0.25"/>
    <row r="150863" customFormat="1" x14ac:dyDescent="0.25"/>
    <row r="150864" customFormat="1" x14ac:dyDescent="0.25"/>
    <row r="150865" customFormat="1" x14ac:dyDescent="0.25"/>
    <row r="150866" customFormat="1" x14ac:dyDescent="0.25"/>
    <row r="150867" customFormat="1" x14ac:dyDescent="0.25"/>
    <row r="150868" customFormat="1" x14ac:dyDescent="0.25"/>
    <row r="150869" customFormat="1" x14ac:dyDescent="0.25"/>
    <row r="150870" customFormat="1" x14ac:dyDescent="0.25"/>
    <row r="150871" customFormat="1" x14ac:dyDescent="0.25"/>
    <row r="150872" customFormat="1" x14ac:dyDescent="0.25"/>
    <row r="150873" customFormat="1" x14ac:dyDescent="0.25"/>
    <row r="150874" customFormat="1" x14ac:dyDescent="0.25"/>
    <row r="150875" customFormat="1" x14ac:dyDescent="0.25"/>
    <row r="150876" customFormat="1" x14ac:dyDescent="0.25"/>
    <row r="150877" customFormat="1" x14ac:dyDescent="0.25"/>
    <row r="150878" customFormat="1" x14ac:dyDescent="0.25"/>
    <row r="150879" customFormat="1" x14ac:dyDescent="0.25"/>
    <row r="150880" customFormat="1" x14ac:dyDescent="0.25"/>
    <row r="150881" customFormat="1" x14ac:dyDescent="0.25"/>
    <row r="150882" customFormat="1" x14ac:dyDescent="0.25"/>
    <row r="150883" customFormat="1" x14ac:dyDescent="0.25"/>
    <row r="150884" customFormat="1" x14ac:dyDescent="0.25"/>
    <row r="150885" customFormat="1" x14ac:dyDescent="0.25"/>
    <row r="150886" customFormat="1" x14ac:dyDescent="0.25"/>
    <row r="150887" customFormat="1" x14ac:dyDescent="0.25"/>
    <row r="150888" customFormat="1" x14ac:dyDescent="0.25"/>
    <row r="150889" customFormat="1" x14ac:dyDescent="0.25"/>
    <row r="150890" customFormat="1" x14ac:dyDescent="0.25"/>
    <row r="150891" customFormat="1" x14ac:dyDescent="0.25"/>
    <row r="150892" customFormat="1" x14ac:dyDescent="0.25"/>
    <row r="150893" customFormat="1" x14ac:dyDescent="0.25"/>
    <row r="150894" customFormat="1" x14ac:dyDescent="0.25"/>
    <row r="150895" customFormat="1" x14ac:dyDescent="0.25"/>
    <row r="150896" customFormat="1" x14ac:dyDescent="0.25"/>
    <row r="150897" customFormat="1" x14ac:dyDescent="0.25"/>
    <row r="150898" customFormat="1" x14ac:dyDescent="0.25"/>
    <row r="150899" customFormat="1" x14ac:dyDescent="0.25"/>
    <row r="150900" customFormat="1" x14ac:dyDescent="0.25"/>
    <row r="150901" customFormat="1" x14ac:dyDescent="0.25"/>
    <row r="150902" customFormat="1" x14ac:dyDescent="0.25"/>
    <row r="150903" customFormat="1" x14ac:dyDescent="0.25"/>
    <row r="150904" customFormat="1" x14ac:dyDescent="0.25"/>
    <row r="150905" customFormat="1" x14ac:dyDescent="0.25"/>
    <row r="150906" customFormat="1" x14ac:dyDescent="0.25"/>
    <row r="150907" customFormat="1" x14ac:dyDescent="0.25"/>
    <row r="150908" customFormat="1" x14ac:dyDescent="0.25"/>
    <row r="150909" customFormat="1" x14ac:dyDescent="0.25"/>
    <row r="150910" customFormat="1" x14ac:dyDescent="0.25"/>
    <row r="150911" customFormat="1" x14ac:dyDescent="0.25"/>
    <row r="150912" customFormat="1" x14ac:dyDescent="0.25"/>
    <row r="150913" customFormat="1" x14ac:dyDescent="0.25"/>
    <row r="150914" customFormat="1" x14ac:dyDescent="0.25"/>
    <row r="150915" customFormat="1" x14ac:dyDescent="0.25"/>
    <row r="150916" customFormat="1" x14ac:dyDescent="0.25"/>
    <row r="150917" customFormat="1" x14ac:dyDescent="0.25"/>
    <row r="150918" customFormat="1" x14ac:dyDescent="0.25"/>
    <row r="150919" customFormat="1" x14ac:dyDescent="0.25"/>
    <row r="150920" customFormat="1" x14ac:dyDescent="0.25"/>
    <row r="150921" customFormat="1" x14ac:dyDescent="0.25"/>
    <row r="150922" customFormat="1" x14ac:dyDescent="0.25"/>
    <row r="150923" customFormat="1" x14ac:dyDescent="0.25"/>
    <row r="150924" customFormat="1" x14ac:dyDescent="0.25"/>
    <row r="150925" customFormat="1" x14ac:dyDescent="0.25"/>
    <row r="150926" customFormat="1" x14ac:dyDescent="0.25"/>
    <row r="150927" customFormat="1" x14ac:dyDescent="0.25"/>
    <row r="150928" customFormat="1" x14ac:dyDescent="0.25"/>
    <row r="150929" customFormat="1" x14ac:dyDescent="0.25"/>
    <row r="150930" customFormat="1" x14ac:dyDescent="0.25"/>
    <row r="150931" customFormat="1" x14ac:dyDescent="0.25"/>
    <row r="150932" customFormat="1" x14ac:dyDescent="0.25"/>
    <row r="150933" customFormat="1" x14ac:dyDescent="0.25"/>
    <row r="150934" customFormat="1" x14ac:dyDescent="0.25"/>
    <row r="150935" customFormat="1" x14ac:dyDescent="0.25"/>
    <row r="150936" customFormat="1" x14ac:dyDescent="0.25"/>
    <row r="150937" customFormat="1" x14ac:dyDescent="0.25"/>
    <row r="150938" customFormat="1" x14ac:dyDescent="0.25"/>
    <row r="150939" customFormat="1" x14ac:dyDescent="0.25"/>
    <row r="150940" customFormat="1" x14ac:dyDescent="0.25"/>
    <row r="150941" customFormat="1" x14ac:dyDescent="0.25"/>
    <row r="150942" customFormat="1" x14ac:dyDescent="0.25"/>
    <row r="150943" customFormat="1" x14ac:dyDescent="0.25"/>
    <row r="150944" customFormat="1" x14ac:dyDescent="0.25"/>
    <row r="150945" customFormat="1" x14ac:dyDescent="0.25"/>
    <row r="150946" customFormat="1" x14ac:dyDescent="0.25"/>
    <row r="150947" customFormat="1" x14ac:dyDescent="0.25"/>
    <row r="150948" customFormat="1" x14ac:dyDescent="0.25"/>
    <row r="150949" customFormat="1" x14ac:dyDescent="0.25"/>
    <row r="150950" customFormat="1" x14ac:dyDescent="0.25"/>
    <row r="150951" customFormat="1" x14ac:dyDescent="0.25"/>
    <row r="150952" customFormat="1" x14ac:dyDescent="0.25"/>
    <row r="150953" customFormat="1" x14ac:dyDescent="0.25"/>
    <row r="150954" customFormat="1" x14ac:dyDescent="0.25"/>
    <row r="150955" customFormat="1" x14ac:dyDescent="0.25"/>
    <row r="150956" customFormat="1" x14ac:dyDescent="0.25"/>
    <row r="150957" customFormat="1" x14ac:dyDescent="0.25"/>
    <row r="150958" customFormat="1" x14ac:dyDescent="0.25"/>
    <row r="150959" customFormat="1" x14ac:dyDescent="0.25"/>
    <row r="150960" customFormat="1" x14ac:dyDescent="0.25"/>
    <row r="150961" customFormat="1" x14ac:dyDescent="0.25"/>
    <row r="150962" customFormat="1" x14ac:dyDescent="0.25"/>
    <row r="150963" customFormat="1" x14ac:dyDescent="0.25"/>
    <row r="150964" customFormat="1" x14ac:dyDescent="0.25"/>
    <row r="150965" customFormat="1" x14ac:dyDescent="0.25"/>
    <row r="150966" customFormat="1" x14ac:dyDescent="0.25"/>
    <row r="150967" customFormat="1" x14ac:dyDescent="0.25"/>
    <row r="150968" customFormat="1" x14ac:dyDescent="0.25"/>
    <row r="150969" customFormat="1" x14ac:dyDescent="0.25"/>
    <row r="150970" customFormat="1" x14ac:dyDescent="0.25"/>
    <row r="150971" customFormat="1" x14ac:dyDescent="0.25"/>
    <row r="150972" customFormat="1" x14ac:dyDescent="0.25"/>
    <row r="150973" customFormat="1" x14ac:dyDescent="0.25"/>
    <row r="150974" customFormat="1" x14ac:dyDescent="0.25"/>
    <row r="150975" customFormat="1" x14ac:dyDescent="0.25"/>
    <row r="150976" customFormat="1" x14ac:dyDescent="0.25"/>
    <row r="150977" customFormat="1" x14ac:dyDescent="0.25"/>
    <row r="150978" customFormat="1" x14ac:dyDescent="0.25"/>
    <row r="150979" customFormat="1" x14ac:dyDescent="0.25"/>
    <row r="150980" customFormat="1" x14ac:dyDescent="0.25"/>
    <row r="150981" customFormat="1" x14ac:dyDescent="0.25"/>
    <row r="150982" customFormat="1" x14ac:dyDescent="0.25"/>
    <row r="150983" customFormat="1" x14ac:dyDescent="0.25"/>
    <row r="150984" customFormat="1" x14ac:dyDescent="0.25"/>
    <row r="150985" customFormat="1" x14ac:dyDescent="0.25"/>
    <row r="150986" customFormat="1" x14ac:dyDescent="0.25"/>
    <row r="150987" customFormat="1" x14ac:dyDescent="0.25"/>
    <row r="150988" customFormat="1" x14ac:dyDescent="0.25"/>
    <row r="150989" customFormat="1" x14ac:dyDescent="0.25"/>
    <row r="150990" customFormat="1" x14ac:dyDescent="0.25"/>
    <row r="150991" customFormat="1" x14ac:dyDescent="0.25"/>
    <row r="150992" customFormat="1" x14ac:dyDescent="0.25"/>
    <row r="150993" customFormat="1" x14ac:dyDescent="0.25"/>
    <row r="150994" customFormat="1" x14ac:dyDescent="0.25"/>
    <row r="150995" customFormat="1" x14ac:dyDescent="0.25"/>
    <row r="150996" customFormat="1" x14ac:dyDescent="0.25"/>
    <row r="150997" customFormat="1" x14ac:dyDescent="0.25"/>
    <row r="150998" customFormat="1" x14ac:dyDescent="0.25"/>
    <row r="150999" customFormat="1" x14ac:dyDescent="0.25"/>
    <row r="151000" customFormat="1" x14ac:dyDescent="0.25"/>
    <row r="151001" customFormat="1" x14ac:dyDescent="0.25"/>
    <row r="151002" customFormat="1" x14ac:dyDescent="0.25"/>
    <row r="151003" customFormat="1" x14ac:dyDescent="0.25"/>
    <row r="151004" customFormat="1" x14ac:dyDescent="0.25"/>
    <row r="151005" customFormat="1" x14ac:dyDescent="0.25"/>
    <row r="151006" customFormat="1" x14ac:dyDescent="0.25"/>
    <row r="151007" customFormat="1" x14ac:dyDescent="0.25"/>
    <row r="151008" customFormat="1" x14ac:dyDescent="0.25"/>
    <row r="151009" customFormat="1" x14ac:dyDescent="0.25"/>
    <row r="151010" customFormat="1" x14ac:dyDescent="0.25"/>
    <row r="151011" customFormat="1" x14ac:dyDescent="0.25"/>
    <row r="151012" customFormat="1" x14ac:dyDescent="0.25"/>
    <row r="151013" customFormat="1" x14ac:dyDescent="0.25"/>
    <row r="151014" customFormat="1" x14ac:dyDescent="0.25"/>
    <row r="151015" customFormat="1" x14ac:dyDescent="0.25"/>
    <row r="151016" customFormat="1" x14ac:dyDescent="0.25"/>
    <row r="151017" customFormat="1" x14ac:dyDescent="0.25"/>
    <row r="151018" customFormat="1" x14ac:dyDescent="0.25"/>
    <row r="151019" customFormat="1" x14ac:dyDescent="0.25"/>
    <row r="151020" customFormat="1" x14ac:dyDescent="0.25"/>
    <row r="151021" customFormat="1" x14ac:dyDescent="0.25"/>
    <row r="151022" customFormat="1" x14ac:dyDescent="0.25"/>
    <row r="151023" customFormat="1" x14ac:dyDescent="0.25"/>
    <row r="151024" customFormat="1" x14ac:dyDescent="0.25"/>
    <row r="151025" customFormat="1" x14ac:dyDescent="0.25"/>
    <row r="151026" customFormat="1" x14ac:dyDescent="0.25"/>
    <row r="151027" customFormat="1" x14ac:dyDescent="0.25"/>
    <row r="151028" customFormat="1" x14ac:dyDescent="0.25"/>
    <row r="151029" customFormat="1" x14ac:dyDescent="0.25"/>
    <row r="151030" customFormat="1" x14ac:dyDescent="0.25"/>
    <row r="151031" customFormat="1" x14ac:dyDescent="0.25"/>
    <row r="151032" customFormat="1" x14ac:dyDescent="0.25"/>
    <row r="151033" customFormat="1" x14ac:dyDescent="0.25"/>
    <row r="151034" customFormat="1" x14ac:dyDescent="0.25"/>
    <row r="151035" customFormat="1" x14ac:dyDescent="0.25"/>
    <row r="151036" customFormat="1" x14ac:dyDescent="0.25"/>
    <row r="151037" customFormat="1" x14ac:dyDescent="0.25"/>
    <row r="151038" customFormat="1" x14ac:dyDescent="0.25"/>
    <row r="151039" customFormat="1" x14ac:dyDescent="0.25"/>
    <row r="151040" customFormat="1" x14ac:dyDescent="0.25"/>
    <row r="151041" customFormat="1" x14ac:dyDescent="0.25"/>
    <row r="151042" customFormat="1" x14ac:dyDescent="0.25"/>
    <row r="151043" customFormat="1" x14ac:dyDescent="0.25"/>
    <row r="151044" customFormat="1" x14ac:dyDescent="0.25"/>
    <row r="151045" customFormat="1" x14ac:dyDescent="0.25"/>
    <row r="151046" customFormat="1" x14ac:dyDescent="0.25"/>
    <row r="151047" customFormat="1" x14ac:dyDescent="0.25"/>
    <row r="151048" customFormat="1" x14ac:dyDescent="0.25"/>
    <row r="151049" customFormat="1" x14ac:dyDescent="0.25"/>
    <row r="151050" customFormat="1" x14ac:dyDescent="0.25"/>
    <row r="151051" customFormat="1" x14ac:dyDescent="0.25"/>
    <row r="151052" customFormat="1" x14ac:dyDescent="0.25"/>
    <row r="151053" customFormat="1" x14ac:dyDescent="0.25"/>
    <row r="151054" customFormat="1" x14ac:dyDescent="0.25"/>
    <row r="151055" customFormat="1" x14ac:dyDescent="0.25"/>
    <row r="151056" customFormat="1" x14ac:dyDescent="0.25"/>
    <row r="151057" customFormat="1" x14ac:dyDescent="0.25"/>
    <row r="151058" customFormat="1" x14ac:dyDescent="0.25"/>
    <row r="151059" customFormat="1" x14ac:dyDescent="0.25"/>
    <row r="151060" customFormat="1" x14ac:dyDescent="0.25"/>
    <row r="151061" customFormat="1" x14ac:dyDescent="0.25"/>
    <row r="151062" customFormat="1" x14ac:dyDescent="0.25"/>
    <row r="151063" customFormat="1" x14ac:dyDescent="0.25"/>
    <row r="151064" customFormat="1" x14ac:dyDescent="0.25"/>
    <row r="151065" customFormat="1" x14ac:dyDescent="0.25"/>
    <row r="151066" customFormat="1" x14ac:dyDescent="0.25"/>
    <row r="151067" customFormat="1" x14ac:dyDescent="0.25"/>
    <row r="151068" customFormat="1" x14ac:dyDescent="0.25"/>
    <row r="151069" customFormat="1" x14ac:dyDescent="0.25"/>
    <row r="151070" customFormat="1" x14ac:dyDescent="0.25"/>
    <row r="151071" customFormat="1" x14ac:dyDescent="0.25"/>
    <row r="151072" customFormat="1" x14ac:dyDescent="0.25"/>
    <row r="151073" customFormat="1" x14ac:dyDescent="0.25"/>
    <row r="151074" customFormat="1" x14ac:dyDescent="0.25"/>
    <row r="151075" customFormat="1" x14ac:dyDescent="0.25"/>
    <row r="151076" customFormat="1" x14ac:dyDescent="0.25"/>
    <row r="151077" customFormat="1" x14ac:dyDescent="0.25"/>
    <row r="151078" customFormat="1" x14ac:dyDescent="0.25"/>
    <row r="151079" customFormat="1" x14ac:dyDescent="0.25"/>
    <row r="151080" customFormat="1" x14ac:dyDescent="0.25"/>
    <row r="151081" customFormat="1" x14ac:dyDescent="0.25"/>
    <row r="151082" customFormat="1" x14ac:dyDescent="0.25"/>
    <row r="151083" customFormat="1" x14ac:dyDescent="0.25"/>
    <row r="151084" customFormat="1" x14ac:dyDescent="0.25"/>
    <row r="151085" customFormat="1" x14ac:dyDescent="0.25"/>
    <row r="151086" customFormat="1" x14ac:dyDescent="0.25"/>
    <row r="151087" customFormat="1" x14ac:dyDescent="0.25"/>
    <row r="151088" customFormat="1" x14ac:dyDescent="0.25"/>
    <row r="151089" customFormat="1" x14ac:dyDescent="0.25"/>
    <row r="151090" customFormat="1" x14ac:dyDescent="0.25"/>
    <row r="151091" customFormat="1" x14ac:dyDescent="0.25"/>
    <row r="151092" customFormat="1" x14ac:dyDescent="0.25"/>
    <row r="151093" customFormat="1" x14ac:dyDescent="0.25"/>
    <row r="151094" customFormat="1" x14ac:dyDescent="0.25"/>
    <row r="151095" customFormat="1" x14ac:dyDescent="0.25"/>
    <row r="151096" customFormat="1" x14ac:dyDescent="0.25"/>
    <row r="151097" customFormat="1" x14ac:dyDescent="0.25"/>
    <row r="151098" customFormat="1" x14ac:dyDescent="0.25"/>
    <row r="151099" customFormat="1" x14ac:dyDescent="0.25"/>
    <row r="151100" customFormat="1" x14ac:dyDescent="0.25"/>
    <row r="151101" customFormat="1" x14ac:dyDescent="0.25"/>
    <row r="151102" customFormat="1" x14ac:dyDescent="0.25"/>
    <row r="151103" customFormat="1" x14ac:dyDescent="0.25"/>
    <row r="151104" customFormat="1" x14ac:dyDescent="0.25"/>
    <row r="151105" customFormat="1" x14ac:dyDescent="0.25"/>
    <row r="151106" customFormat="1" x14ac:dyDescent="0.25"/>
    <row r="151107" customFormat="1" x14ac:dyDescent="0.25"/>
    <row r="151108" customFormat="1" x14ac:dyDescent="0.25"/>
    <row r="151109" customFormat="1" x14ac:dyDescent="0.25"/>
    <row r="151110" customFormat="1" x14ac:dyDescent="0.25"/>
    <row r="151111" customFormat="1" x14ac:dyDescent="0.25"/>
    <row r="151112" customFormat="1" x14ac:dyDescent="0.25"/>
    <row r="151113" customFormat="1" x14ac:dyDescent="0.25"/>
    <row r="151114" customFormat="1" x14ac:dyDescent="0.25"/>
    <row r="151115" customFormat="1" x14ac:dyDescent="0.25"/>
    <row r="151116" customFormat="1" x14ac:dyDescent="0.25"/>
    <row r="151117" customFormat="1" x14ac:dyDescent="0.25"/>
    <row r="151118" customFormat="1" x14ac:dyDescent="0.25"/>
    <row r="151119" customFormat="1" x14ac:dyDescent="0.25"/>
    <row r="151120" customFormat="1" x14ac:dyDescent="0.25"/>
    <row r="151121" customFormat="1" x14ac:dyDescent="0.25"/>
    <row r="151122" customFormat="1" x14ac:dyDescent="0.25"/>
    <row r="151123" customFormat="1" x14ac:dyDescent="0.25"/>
    <row r="151124" customFormat="1" x14ac:dyDescent="0.25"/>
    <row r="151125" customFormat="1" x14ac:dyDescent="0.25"/>
    <row r="151126" customFormat="1" x14ac:dyDescent="0.25"/>
    <row r="151127" customFormat="1" x14ac:dyDescent="0.25"/>
    <row r="151128" customFormat="1" x14ac:dyDescent="0.25"/>
    <row r="151129" customFormat="1" x14ac:dyDescent="0.25"/>
    <row r="151130" customFormat="1" x14ac:dyDescent="0.25"/>
    <row r="151131" customFormat="1" x14ac:dyDescent="0.25"/>
    <row r="151132" customFormat="1" x14ac:dyDescent="0.25"/>
    <row r="151133" customFormat="1" x14ac:dyDescent="0.25"/>
    <row r="151134" customFormat="1" x14ac:dyDescent="0.25"/>
    <row r="151135" customFormat="1" x14ac:dyDescent="0.25"/>
    <row r="151136" customFormat="1" x14ac:dyDescent="0.25"/>
    <row r="151137" customFormat="1" x14ac:dyDescent="0.25"/>
    <row r="151138" customFormat="1" x14ac:dyDescent="0.25"/>
    <row r="151139" customFormat="1" x14ac:dyDescent="0.25"/>
    <row r="151140" customFormat="1" x14ac:dyDescent="0.25"/>
    <row r="151141" customFormat="1" x14ac:dyDescent="0.25"/>
    <row r="151142" customFormat="1" x14ac:dyDescent="0.25"/>
    <row r="151143" customFormat="1" x14ac:dyDescent="0.25"/>
    <row r="151144" customFormat="1" x14ac:dyDescent="0.25"/>
    <row r="151145" customFormat="1" x14ac:dyDescent="0.25"/>
    <row r="151146" customFormat="1" x14ac:dyDescent="0.25"/>
    <row r="151147" customFormat="1" x14ac:dyDescent="0.25"/>
    <row r="151148" customFormat="1" x14ac:dyDescent="0.25"/>
    <row r="151149" customFormat="1" x14ac:dyDescent="0.25"/>
    <row r="151150" customFormat="1" x14ac:dyDescent="0.25"/>
    <row r="151151" customFormat="1" x14ac:dyDescent="0.25"/>
    <row r="151152" customFormat="1" x14ac:dyDescent="0.25"/>
    <row r="151153" customFormat="1" x14ac:dyDescent="0.25"/>
    <row r="151154" customFormat="1" x14ac:dyDescent="0.25"/>
    <row r="151155" customFormat="1" x14ac:dyDescent="0.25"/>
    <row r="151156" customFormat="1" x14ac:dyDescent="0.25"/>
    <row r="151157" customFormat="1" x14ac:dyDescent="0.25"/>
    <row r="151158" customFormat="1" x14ac:dyDescent="0.25"/>
    <row r="151159" customFormat="1" x14ac:dyDescent="0.25"/>
    <row r="151160" customFormat="1" x14ac:dyDescent="0.25"/>
    <row r="151161" customFormat="1" x14ac:dyDescent="0.25"/>
    <row r="151162" customFormat="1" x14ac:dyDescent="0.25"/>
    <row r="151163" customFormat="1" x14ac:dyDescent="0.25"/>
    <row r="151164" customFormat="1" x14ac:dyDescent="0.25"/>
    <row r="151165" customFormat="1" x14ac:dyDescent="0.25"/>
    <row r="151166" customFormat="1" x14ac:dyDescent="0.25"/>
    <row r="151167" customFormat="1" x14ac:dyDescent="0.25"/>
    <row r="151168" customFormat="1" x14ac:dyDescent="0.25"/>
    <row r="151169" customFormat="1" x14ac:dyDescent="0.25"/>
    <row r="151170" customFormat="1" x14ac:dyDescent="0.25"/>
    <row r="151171" customFormat="1" x14ac:dyDescent="0.25"/>
    <row r="151172" customFormat="1" x14ac:dyDescent="0.25"/>
    <row r="151173" customFormat="1" x14ac:dyDescent="0.25"/>
    <row r="151174" customFormat="1" x14ac:dyDescent="0.25"/>
    <row r="151175" customFormat="1" x14ac:dyDescent="0.25"/>
    <row r="151176" customFormat="1" x14ac:dyDescent="0.25"/>
    <row r="151177" customFormat="1" x14ac:dyDescent="0.25"/>
    <row r="151178" customFormat="1" x14ac:dyDescent="0.25"/>
    <row r="151179" customFormat="1" x14ac:dyDescent="0.25"/>
    <row r="151180" customFormat="1" x14ac:dyDescent="0.25"/>
    <row r="151181" customFormat="1" x14ac:dyDescent="0.25"/>
    <row r="151182" customFormat="1" x14ac:dyDescent="0.25"/>
    <row r="151183" customFormat="1" x14ac:dyDescent="0.25"/>
    <row r="151184" customFormat="1" x14ac:dyDescent="0.25"/>
    <row r="151185" customFormat="1" x14ac:dyDescent="0.25"/>
    <row r="151186" customFormat="1" x14ac:dyDescent="0.25"/>
    <row r="151187" customFormat="1" x14ac:dyDescent="0.25"/>
    <row r="151188" customFormat="1" x14ac:dyDescent="0.25"/>
    <row r="151189" customFormat="1" x14ac:dyDescent="0.25"/>
    <row r="151190" customFormat="1" x14ac:dyDescent="0.25"/>
    <row r="151191" customFormat="1" x14ac:dyDescent="0.25"/>
    <row r="151192" customFormat="1" x14ac:dyDescent="0.25"/>
    <row r="151193" customFormat="1" x14ac:dyDescent="0.25"/>
    <row r="151194" customFormat="1" x14ac:dyDescent="0.25"/>
    <row r="151195" customFormat="1" x14ac:dyDescent="0.25"/>
    <row r="151196" customFormat="1" x14ac:dyDescent="0.25"/>
    <row r="151197" customFormat="1" x14ac:dyDescent="0.25"/>
    <row r="151198" customFormat="1" x14ac:dyDescent="0.25"/>
    <row r="151199" customFormat="1" x14ac:dyDescent="0.25"/>
    <row r="151200" customFormat="1" x14ac:dyDescent="0.25"/>
    <row r="151201" customFormat="1" x14ac:dyDescent="0.25"/>
    <row r="151202" customFormat="1" x14ac:dyDescent="0.25"/>
    <row r="151203" customFormat="1" x14ac:dyDescent="0.25"/>
    <row r="151204" customFormat="1" x14ac:dyDescent="0.25"/>
    <row r="151205" customFormat="1" x14ac:dyDescent="0.25"/>
    <row r="151206" customFormat="1" x14ac:dyDescent="0.25"/>
    <row r="151207" customFormat="1" x14ac:dyDescent="0.25"/>
    <row r="151208" customFormat="1" x14ac:dyDescent="0.25"/>
    <row r="151209" customFormat="1" x14ac:dyDescent="0.25"/>
    <row r="151210" customFormat="1" x14ac:dyDescent="0.25"/>
    <row r="151211" customFormat="1" x14ac:dyDescent="0.25"/>
    <row r="151212" customFormat="1" x14ac:dyDescent="0.25"/>
    <row r="151213" customFormat="1" x14ac:dyDescent="0.25"/>
    <row r="151214" customFormat="1" x14ac:dyDescent="0.25"/>
    <row r="151215" customFormat="1" x14ac:dyDescent="0.25"/>
    <row r="151216" customFormat="1" x14ac:dyDescent="0.25"/>
    <row r="151217" customFormat="1" x14ac:dyDescent="0.25"/>
    <row r="151218" customFormat="1" x14ac:dyDescent="0.25"/>
    <row r="151219" customFormat="1" x14ac:dyDescent="0.25"/>
    <row r="151220" customFormat="1" x14ac:dyDescent="0.25"/>
    <row r="151221" customFormat="1" x14ac:dyDescent="0.25"/>
    <row r="151222" customFormat="1" x14ac:dyDescent="0.25"/>
    <row r="151223" customFormat="1" x14ac:dyDescent="0.25"/>
    <row r="151224" customFormat="1" x14ac:dyDescent="0.25"/>
    <row r="151225" customFormat="1" x14ac:dyDescent="0.25"/>
    <row r="151226" customFormat="1" x14ac:dyDescent="0.25"/>
    <row r="151227" customFormat="1" x14ac:dyDescent="0.25"/>
    <row r="151228" customFormat="1" x14ac:dyDescent="0.25"/>
    <row r="151229" customFormat="1" x14ac:dyDescent="0.25"/>
    <row r="151230" customFormat="1" x14ac:dyDescent="0.25"/>
    <row r="151231" customFormat="1" x14ac:dyDescent="0.25"/>
    <row r="151232" customFormat="1" x14ac:dyDescent="0.25"/>
    <row r="151233" customFormat="1" x14ac:dyDescent="0.25"/>
    <row r="151234" customFormat="1" x14ac:dyDescent="0.25"/>
    <row r="151235" customFormat="1" x14ac:dyDescent="0.25"/>
    <row r="151236" customFormat="1" x14ac:dyDescent="0.25"/>
    <row r="151237" customFormat="1" x14ac:dyDescent="0.25"/>
    <row r="151238" customFormat="1" x14ac:dyDescent="0.25"/>
    <row r="151239" customFormat="1" x14ac:dyDescent="0.25"/>
    <row r="151240" customFormat="1" x14ac:dyDescent="0.25"/>
    <row r="151241" customFormat="1" x14ac:dyDescent="0.25"/>
    <row r="151242" customFormat="1" x14ac:dyDescent="0.25"/>
    <row r="151243" customFormat="1" x14ac:dyDescent="0.25"/>
    <row r="151244" customFormat="1" x14ac:dyDescent="0.25"/>
    <row r="151245" customFormat="1" x14ac:dyDescent="0.25"/>
    <row r="151246" customFormat="1" x14ac:dyDescent="0.25"/>
    <row r="151247" customFormat="1" x14ac:dyDescent="0.25"/>
    <row r="151248" customFormat="1" x14ac:dyDescent="0.25"/>
    <row r="151249" customFormat="1" x14ac:dyDescent="0.25"/>
    <row r="151250" customFormat="1" x14ac:dyDescent="0.25"/>
    <row r="151251" customFormat="1" x14ac:dyDescent="0.25"/>
    <row r="151252" customFormat="1" x14ac:dyDescent="0.25"/>
    <row r="151253" customFormat="1" x14ac:dyDescent="0.25"/>
    <row r="151254" customFormat="1" x14ac:dyDescent="0.25"/>
    <row r="151255" customFormat="1" x14ac:dyDescent="0.25"/>
    <row r="151256" customFormat="1" x14ac:dyDescent="0.25"/>
    <row r="151257" customFormat="1" x14ac:dyDescent="0.25"/>
    <row r="151258" customFormat="1" x14ac:dyDescent="0.25"/>
    <row r="151259" customFormat="1" x14ac:dyDescent="0.25"/>
    <row r="151260" customFormat="1" x14ac:dyDescent="0.25"/>
    <row r="151261" customFormat="1" x14ac:dyDescent="0.25"/>
    <row r="151262" customFormat="1" x14ac:dyDescent="0.25"/>
    <row r="151263" customFormat="1" x14ac:dyDescent="0.25"/>
    <row r="151264" customFormat="1" x14ac:dyDescent="0.25"/>
    <row r="151265" customFormat="1" x14ac:dyDescent="0.25"/>
    <row r="151266" customFormat="1" x14ac:dyDescent="0.25"/>
    <row r="151267" customFormat="1" x14ac:dyDescent="0.25"/>
    <row r="151268" customFormat="1" x14ac:dyDescent="0.25"/>
    <row r="151269" customFormat="1" x14ac:dyDescent="0.25"/>
    <row r="151270" customFormat="1" x14ac:dyDescent="0.25"/>
    <row r="151271" customFormat="1" x14ac:dyDescent="0.25"/>
    <row r="151272" customFormat="1" x14ac:dyDescent="0.25"/>
    <row r="151273" customFormat="1" x14ac:dyDescent="0.25"/>
    <row r="151274" customFormat="1" x14ac:dyDescent="0.25"/>
    <row r="151275" customFormat="1" x14ac:dyDescent="0.25"/>
    <row r="151276" customFormat="1" x14ac:dyDescent="0.25"/>
    <row r="151277" customFormat="1" x14ac:dyDescent="0.25"/>
    <row r="151278" customFormat="1" x14ac:dyDescent="0.25"/>
    <row r="151279" customFormat="1" x14ac:dyDescent="0.25"/>
    <row r="151280" customFormat="1" x14ac:dyDescent="0.25"/>
    <row r="151281" customFormat="1" x14ac:dyDescent="0.25"/>
    <row r="151282" customFormat="1" x14ac:dyDescent="0.25"/>
    <row r="151283" customFormat="1" x14ac:dyDescent="0.25"/>
    <row r="151284" customFormat="1" x14ac:dyDescent="0.25"/>
    <row r="151285" customFormat="1" x14ac:dyDescent="0.25"/>
    <row r="151286" customFormat="1" x14ac:dyDescent="0.25"/>
    <row r="151287" customFormat="1" x14ac:dyDescent="0.25"/>
    <row r="151288" customFormat="1" x14ac:dyDescent="0.25"/>
    <row r="151289" customFormat="1" x14ac:dyDescent="0.25"/>
    <row r="151290" customFormat="1" x14ac:dyDescent="0.25"/>
    <row r="151291" customFormat="1" x14ac:dyDescent="0.25"/>
    <row r="151292" customFormat="1" x14ac:dyDescent="0.25"/>
    <row r="151293" customFormat="1" x14ac:dyDescent="0.25"/>
    <row r="151294" customFormat="1" x14ac:dyDescent="0.25"/>
    <row r="151295" customFormat="1" x14ac:dyDescent="0.25"/>
    <row r="151296" customFormat="1" x14ac:dyDescent="0.25"/>
    <row r="151297" customFormat="1" x14ac:dyDescent="0.25"/>
    <row r="151298" customFormat="1" x14ac:dyDescent="0.25"/>
    <row r="151299" customFormat="1" x14ac:dyDescent="0.25"/>
    <row r="151300" customFormat="1" x14ac:dyDescent="0.25"/>
    <row r="151301" customFormat="1" x14ac:dyDescent="0.25"/>
    <row r="151302" customFormat="1" x14ac:dyDescent="0.25"/>
    <row r="151303" customFormat="1" x14ac:dyDescent="0.25"/>
    <row r="151304" customFormat="1" x14ac:dyDescent="0.25"/>
    <row r="151305" customFormat="1" x14ac:dyDescent="0.25"/>
    <row r="151306" customFormat="1" x14ac:dyDescent="0.25"/>
    <row r="151307" customFormat="1" x14ac:dyDescent="0.25"/>
    <row r="151308" customFormat="1" x14ac:dyDescent="0.25"/>
    <row r="151309" customFormat="1" x14ac:dyDescent="0.25"/>
    <row r="151310" customFormat="1" x14ac:dyDescent="0.25"/>
    <row r="151311" customFormat="1" x14ac:dyDescent="0.25"/>
    <row r="151312" customFormat="1" x14ac:dyDescent="0.25"/>
    <row r="151313" customFormat="1" x14ac:dyDescent="0.25"/>
    <row r="151314" customFormat="1" x14ac:dyDescent="0.25"/>
    <row r="151315" customFormat="1" x14ac:dyDescent="0.25"/>
    <row r="151316" customFormat="1" x14ac:dyDescent="0.25"/>
    <row r="151317" customFormat="1" x14ac:dyDescent="0.25"/>
    <row r="151318" customFormat="1" x14ac:dyDescent="0.25"/>
    <row r="151319" customFormat="1" x14ac:dyDescent="0.25"/>
    <row r="151320" customFormat="1" x14ac:dyDescent="0.25"/>
    <row r="151321" customFormat="1" x14ac:dyDescent="0.25"/>
    <row r="151322" customFormat="1" x14ac:dyDescent="0.25"/>
    <row r="151323" customFormat="1" x14ac:dyDescent="0.25"/>
    <row r="151324" customFormat="1" x14ac:dyDescent="0.25"/>
    <row r="151325" customFormat="1" x14ac:dyDescent="0.25"/>
    <row r="151326" customFormat="1" x14ac:dyDescent="0.25"/>
    <row r="151327" customFormat="1" x14ac:dyDescent="0.25"/>
    <row r="151328" customFormat="1" x14ac:dyDescent="0.25"/>
    <row r="151329" customFormat="1" x14ac:dyDescent="0.25"/>
    <row r="151330" customFormat="1" x14ac:dyDescent="0.25"/>
    <row r="151331" customFormat="1" x14ac:dyDescent="0.25"/>
    <row r="151332" customFormat="1" x14ac:dyDescent="0.25"/>
    <row r="151333" customFormat="1" x14ac:dyDescent="0.25"/>
    <row r="151334" customFormat="1" x14ac:dyDescent="0.25"/>
    <row r="151335" customFormat="1" x14ac:dyDescent="0.25"/>
    <row r="151336" customFormat="1" x14ac:dyDescent="0.25"/>
    <row r="151337" customFormat="1" x14ac:dyDescent="0.25"/>
    <row r="151338" customFormat="1" x14ac:dyDescent="0.25"/>
    <row r="151339" customFormat="1" x14ac:dyDescent="0.25"/>
    <row r="151340" customFormat="1" x14ac:dyDescent="0.25"/>
    <row r="151341" customFormat="1" x14ac:dyDescent="0.25"/>
    <row r="151342" customFormat="1" x14ac:dyDescent="0.25"/>
    <row r="151343" customFormat="1" x14ac:dyDescent="0.25"/>
    <row r="151344" customFormat="1" x14ac:dyDescent="0.25"/>
    <row r="151345" customFormat="1" x14ac:dyDescent="0.25"/>
    <row r="151346" customFormat="1" x14ac:dyDescent="0.25"/>
    <row r="151347" customFormat="1" x14ac:dyDescent="0.25"/>
    <row r="151348" customFormat="1" x14ac:dyDescent="0.25"/>
    <row r="151349" customFormat="1" x14ac:dyDescent="0.25"/>
    <row r="151350" customFormat="1" x14ac:dyDescent="0.25"/>
    <row r="151351" customFormat="1" x14ac:dyDescent="0.25"/>
    <row r="151352" customFormat="1" x14ac:dyDescent="0.25"/>
    <row r="151353" customFormat="1" x14ac:dyDescent="0.25"/>
    <row r="151354" customFormat="1" x14ac:dyDescent="0.25"/>
    <row r="151355" customFormat="1" x14ac:dyDescent="0.25"/>
    <row r="151356" customFormat="1" x14ac:dyDescent="0.25"/>
    <row r="151357" customFormat="1" x14ac:dyDescent="0.25"/>
    <row r="151358" customFormat="1" x14ac:dyDescent="0.25"/>
    <row r="151359" customFormat="1" x14ac:dyDescent="0.25"/>
    <row r="151360" customFormat="1" x14ac:dyDescent="0.25"/>
    <row r="151361" customFormat="1" x14ac:dyDescent="0.25"/>
    <row r="151362" customFormat="1" x14ac:dyDescent="0.25"/>
    <row r="151363" customFormat="1" x14ac:dyDescent="0.25"/>
    <row r="151364" customFormat="1" x14ac:dyDescent="0.25"/>
    <row r="151365" customFormat="1" x14ac:dyDescent="0.25"/>
    <row r="151366" customFormat="1" x14ac:dyDescent="0.25"/>
    <row r="151367" customFormat="1" x14ac:dyDescent="0.25"/>
    <row r="151368" customFormat="1" x14ac:dyDescent="0.25"/>
    <row r="151369" customFormat="1" x14ac:dyDescent="0.25"/>
    <row r="151370" customFormat="1" x14ac:dyDescent="0.25"/>
    <row r="151371" customFormat="1" x14ac:dyDescent="0.25"/>
    <row r="151372" customFormat="1" x14ac:dyDescent="0.25"/>
    <row r="151373" customFormat="1" x14ac:dyDescent="0.25"/>
    <row r="151374" customFormat="1" x14ac:dyDescent="0.25"/>
    <row r="151375" customFormat="1" x14ac:dyDescent="0.25"/>
    <row r="151376" customFormat="1" x14ac:dyDescent="0.25"/>
    <row r="151377" customFormat="1" x14ac:dyDescent="0.25"/>
    <row r="151378" customFormat="1" x14ac:dyDescent="0.25"/>
    <row r="151379" customFormat="1" x14ac:dyDescent="0.25"/>
    <row r="151380" customFormat="1" x14ac:dyDescent="0.25"/>
    <row r="151381" customFormat="1" x14ac:dyDescent="0.25"/>
    <row r="151382" customFormat="1" x14ac:dyDescent="0.25"/>
    <row r="151383" customFormat="1" x14ac:dyDescent="0.25"/>
    <row r="151384" customFormat="1" x14ac:dyDescent="0.25"/>
    <row r="151385" customFormat="1" x14ac:dyDescent="0.25"/>
    <row r="151386" customFormat="1" x14ac:dyDescent="0.25"/>
    <row r="151387" customFormat="1" x14ac:dyDescent="0.25"/>
    <row r="151388" customFormat="1" x14ac:dyDescent="0.25"/>
    <row r="151389" customFormat="1" x14ac:dyDescent="0.25"/>
    <row r="151390" customFormat="1" x14ac:dyDescent="0.25"/>
    <row r="151391" customFormat="1" x14ac:dyDescent="0.25"/>
    <row r="151392" customFormat="1" x14ac:dyDescent="0.25"/>
    <row r="151393" customFormat="1" x14ac:dyDescent="0.25"/>
    <row r="151394" customFormat="1" x14ac:dyDescent="0.25"/>
    <row r="151395" customFormat="1" x14ac:dyDescent="0.25"/>
    <row r="151396" customFormat="1" x14ac:dyDescent="0.25"/>
    <row r="151397" customFormat="1" x14ac:dyDescent="0.25"/>
    <row r="151398" customFormat="1" x14ac:dyDescent="0.25"/>
    <row r="151399" customFormat="1" x14ac:dyDescent="0.25"/>
    <row r="151400" customFormat="1" x14ac:dyDescent="0.25"/>
    <row r="151401" customFormat="1" x14ac:dyDescent="0.25"/>
    <row r="151402" customFormat="1" x14ac:dyDescent="0.25"/>
    <row r="151403" customFormat="1" x14ac:dyDescent="0.25"/>
    <row r="151404" customFormat="1" x14ac:dyDescent="0.25"/>
    <row r="151405" customFormat="1" x14ac:dyDescent="0.25"/>
    <row r="151406" customFormat="1" x14ac:dyDescent="0.25"/>
    <row r="151407" customFormat="1" x14ac:dyDescent="0.25"/>
    <row r="151408" customFormat="1" x14ac:dyDescent="0.25"/>
    <row r="151409" customFormat="1" x14ac:dyDescent="0.25"/>
    <row r="151410" customFormat="1" x14ac:dyDescent="0.25"/>
    <row r="151411" customFormat="1" x14ac:dyDescent="0.25"/>
    <row r="151412" customFormat="1" x14ac:dyDescent="0.25"/>
    <row r="151413" customFormat="1" x14ac:dyDescent="0.25"/>
    <row r="151414" customFormat="1" x14ac:dyDescent="0.25"/>
    <row r="151415" customFormat="1" x14ac:dyDescent="0.25"/>
    <row r="151416" customFormat="1" x14ac:dyDescent="0.25"/>
    <row r="151417" customFormat="1" x14ac:dyDescent="0.25"/>
    <row r="151418" customFormat="1" x14ac:dyDescent="0.25"/>
    <row r="151419" customFormat="1" x14ac:dyDescent="0.25"/>
    <row r="151420" customFormat="1" x14ac:dyDescent="0.25"/>
    <row r="151421" customFormat="1" x14ac:dyDescent="0.25"/>
    <row r="151422" customFormat="1" x14ac:dyDescent="0.25"/>
    <row r="151423" customFormat="1" x14ac:dyDescent="0.25"/>
    <row r="151424" customFormat="1" x14ac:dyDescent="0.25"/>
    <row r="151425" customFormat="1" x14ac:dyDescent="0.25"/>
    <row r="151426" customFormat="1" x14ac:dyDescent="0.25"/>
    <row r="151427" customFormat="1" x14ac:dyDescent="0.25"/>
    <row r="151428" customFormat="1" x14ac:dyDescent="0.25"/>
    <row r="151429" customFormat="1" x14ac:dyDescent="0.25"/>
    <row r="151430" customFormat="1" x14ac:dyDescent="0.25"/>
    <row r="151431" customFormat="1" x14ac:dyDescent="0.25"/>
    <row r="151432" customFormat="1" x14ac:dyDescent="0.25"/>
    <row r="151433" customFormat="1" x14ac:dyDescent="0.25"/>
    <row r="151434" customFormat="1" x14ac:dyDescent="0.25"/>
    <row r="151435" customFormat="1" x14ac:dyDescent="0.25"/>
    <row r="151436" customFormat="1" x14ac:dyDescent="0.25"/>
    <row r="151437" customFormat="1" x14ac:dyDescent="0.25"/>
    <row r="151438" customFormat="1" x14ac:dyDescent="0.25"/>
    <row r="151439" customFormat="1" x14ac:dyDescent="0.25"/>
    <row r="151440" customFormat="1" x14ac:dyDescent="0.25"/>
    <row r="151441" customFormat="1" x14ac:dyDescent="0.25"/>
    <row r="151442" customFormat="1" x14ac:dyDescent="0.25"/>
    <row r="151443" customFormat="1" x14ac:dyDescent="0.25"/>
    <row r="151444" customFormat="1" x14ac:dyDescent="0.25"/>
    <row r="151445" customFormat="1" x14ac:dyDescent="0.25"/>
    <row r="151446" customFormat="1" x14ac:dyDescent="0.25"/>
    <row r="151447" customFormat="1" x14ac:dyDescent="0.25"/>
    <row r="151448" customFormat="1" x14ac:dyDescent="0.25"/>
    <row r="151449" customFormat="1" x14ac:dyDescent="0.25"/>
    <row r="151450" customFormat="1" x14ac:dyDescent="0.25"/>
    <row r="151451" customFormat="1" x14ac:dyDescent="0.25"/>
    <row r="151452" customFormat="1" x14ac:dyDescent="0.25"/>
    <row r="151453" customFormat="1" x14ac:dyDescent="0.25"/>
    <row r="151454" customFormat="1" x14ac:dyDescent="0.25"/>
    <row r="151455" customFormat="1" x14ac:dyDescent="0.25"/>
    <row r="151456" customFormat="1" x14ac:dyDescent="0.25"/>
    <row r="151457" customFormat="1" x14ac:dyDescent="0.25"/>
    <row r="151458" customFormat="1" x14ac:dyDescent="0.25"/>
    <row r="151459" customFormat="1" x14ac:dyDescent="0.25"/>
    <row r="151460" customFormat="1" x14ac:dyDescent="0.25"/>
    <row r="151461" customFormat="1" x14ac:dyDescent="0.25"/>
    <row r="151462" customFormat="1" x14ac:dyDescent="0.25"/>
    <row r="151463" customFormat="1" x14ac:dyDescent="0.25"/>
    <row r="151464" customFormat="1" x14ac:dyDescent="0.25"/>
    <row r="151465" customFormat="1" x14ac:dyDescent="0.25"/>
    <row r="151466" customFormat="1" x14ac:dyDescent="0.25"/>
    <row r="151467" customFormat="1" x14ac:dyDescent="0.25"/>
    <row r="151468" customFormat="1" x14ac:dyDescent="0.25"/>
    <row r="151469" customFormat="1" x14ac:dyDescent="0.25"/>
    <row r="151470" customFormat="1" x14ac:dyDescent="0.25"/>
    <row r="151471" customFormat="1" x14ac:dyDescent="0.25"/>
    <row r="151472" customFormat="1" x14ac:dyDescent="0.25"/>
    <row r="151473" customFormat="1" x14ac:dyDescent="0.25"/>
    <row r="151474" customFormat="1" x14ac:dyDescent="0.25"/>
    <row r="151475" customFormat="1" x14ac:dyDescent="0.25"/>
    <row r="151476" customFormat="1" x14ac:dyDescent="0.25"/>
    <row r="151477" customFormat="1" x14ac:dyDescent="0.25"/>
    <row r="151478" customFormat="1" x14ac:dyDescent="0.25"/>
    <row r="151479" customFormat="1" x14ac:dyDescent="0.25"/>
    <row r="151480" customFormat="1" x14ac:dyDescent="0.25"/>
    <row r="151481" customFormat="1" x14ac:dyDescent="0.25"/>
    <row r="151482" customFormat="1" x14ac:dyDescent="0.25"/>
    <row r="151483" customFormat="1" x14ac:dyDescent="0.25"/>
    <row r="151484" customFormat="1" x14ac:dyDescent="0.25"/>
    <row r="151485" customFormat="1" x14ac:dyDescent="0.25"/>
    <row r="151486" customFormat="1" x14ac:dyDescent="0.25"/>
    <row r="151487" customFormat="1" x14ac:dyDescent="0.25"/>
    <row r="151488" customFormat="1" x14ac:dyDescent="0.25"/>
    <row r="151489" customFormat="1" x14ac:dyDescent="0.25"/>
    <row r="151490" customFormat="1" x14ac:dyDescent="0.25"/>
    <row r="151491" customFormat="1" x14ac:dyDescent="0.25"/>
    <row r="151492" customFormat="1" x14ac:dyDescent="0.25"/>
    <row r="151493" customFormat="1" x14ac:dyDescent="0.25"/>
    <row r="151494" customFormat="1" x14ac:dyDescent="0.25"/>
    <row r="151495" customFormat="1" x14ac:dyDescent="0.25"/>
    <row r="151496" customFormat="1" x14ac:dyDescent="0.25"/>
    <row r="151497" customFormat="1" x14ac:dyDescent="0.25"/>
    <row r="151498" customFormat="1" x14ac:dyDescent="0.25"/>
    <row r="151499" customFormat="1" x14ac:dyDescent="0.25"/>
    <row r="151500" customFormat="1" x14ac:dyDescent="0.25"/>
    <row r="151501" customFormat="1" x14ac:dyDescent="0.25"/>
    <row r="151502" customFormat="1" x14ac:dyDescent="0.25"/>
    <row r="151503" customFormat="1" x14ac:dyDescent="0.25"/>
    <row r="151504" customFormat="1" x14ac:dyDescent="0.25"/>
    <row r="151505" customFormat="1" x14ac:dyDescent="0.25"/>
    <row r="151506" customFormat="1" x14ac:dyDescent="0.25"/>
    <row r="151507" customFormat="1" x14ac:dyDescent="0.25"/>
    <row r="151508" customFormat="1" x14ac:dyDescent="0.25"/>
    <row r="151509" customFormat="1" x14ac:dyDescent="0.25"/>
    <row r="151510" customFormat="1" x14ac:dyDescent="0.25"/>
    <row r="151511" customFormat="1" x14ac:dyDescent="0.25"/>
    <row r="151512" customFormat="1" x14ac:dyDescent="0.25"/>
    <row r="151513" customFormat="1" x14ac:dyDescent="0.25"/>
    <row r="151514" customFormat="1" x14ac:dyDescent="0.25"/>
    <row r="151515" customFormat="1" x14ac:dyDescent="0.25"/>
    <row r="151516" customFormat="1" x14ac:dyDescent="0.25"/>
    <row r="151517" customFormat="1" x14ac:dyDescent="0.25"/>
    <row r="151518" customFormat="1" x14ac:dyDescent="0.25"/>
    <row r="151519" customFormat="1" x14ac:dyDescent="0.25"/>
    <row r="151520" customFormat="1" x14ac:dyDescent="0.25"/>
    <row r="151521" customFormat="1" x14ac:dyDescent="0.25"/>
    <row r="151522" customFormat="1" x14ac:dyDescent="0.25"/>
    <row r="151523" customFormat="1" x14ac:dyDescent="0.25"/>
    <row r="151524" customFormat="1" x14ac:dyDescent="0.25"/>
    <row r="151525" customFormat="1" x14ac:dyDescent="0.25"/>
    <row r="151526" customFormat="1" x14ac:dyDescent="0.25"/>
    <row r="151527" customFormat="1" x14ac:dyDescent="0.25"/>
    <row r="151528" customFormat="1" x14ac:dyDescent="0.25"/>
    <row r="151529" customFormat="1" x14ac:dyDescent="0.25"/>
    <row r="151530" customFormat="1" x14ac:dyDescent="0.25"/>
    <row r="151531" customFormat="1" x14ac:dyDescent="0.25"/>
    <row r="151532" customFormat="1" x14ac:dyDescent="0.25"/>
    <row r="151533" customFormat="1" x14ac:dyDescent="0.25"/>
    <row r="151534" customFormat="1" x14ac:dyDescent="0.25"/>
    <row r="151535" customFormat="1" x14ac:dyDescent="0.25"/>
    <row r="151536" customFormat="1" x14ac:dyDescent="0.25"/>
    <row r="151537" customFormat="1" x14ac:dyDescent="0.25"/>
    <row r="151538" customFormat="1" x14ac:dyDescent="0.25"/>
    <row r="151539" customFormat="1" x14ac:dyDescent="0.25"/>
    <row r="151540" customFormat="1" x14ac:dyDescent="0.25"/>
    <row r="151541" customFormat="1" x14ac:dyDescent="0.25"/>
    <row r="151542" customFormat="1" x14ac:dyDescent="0.25"/>
    <row r="151543" customFormat="1" x14ac:dyDescent="0.25"/>
    <row r="151544" customFormat="1" x14ac:dyDescent="0.25"/>
    <row r="151545" customFormat="1" x14ac:dyDescent="0.25"/>
    <row r="151546" customFormat="1" x14ac:dyDescent="0.25"/>
    <row r="151547" customFormat="1" x14ac:dyDescent="0.25"/>
    <row r="151548" customFormat="1" x14ac:dyDescent="0.25"/>
    <row r="151549" customFormat="1" x14ac:dyDescent="0.25"/>
    <row r="151550" customFormat="1" x14ac:dyDescent="0.25"/>
    <row r="151551" customFormat="1" x14ac:dyDescent="0.25"/>
    <row r="151552" customFormat="1" x14ac:dyDescent="0.25"/>
    <row r="151553" customFormat="1" x14ac:dyDescent="0.25"/>
    <row r="151554" customFormat="1" x14ac:dyDescent="0.25"/>
    <row r="151555" customFormat="1" x14ac:dyDescent="0.25"/>
    <row r="151556" customFormat="1" x14ac:dyDescent="0.25"/>
    <row r="151557" customFormat="1" x14ac:dyDescent="0.25"/>
    <row r="151558" customFormat="1" x14ac:dyDescent="0.25"/>
    <row r="151559" customFormat="1" x14ac:dyDescent="0.25"/>
    <row r="151560" customFormat="1" x14ac:dyDescent="0.25"/>
    <row r="151561" customFormat="1" x14ac:dyDescent="0.25"/>
    <row r="151562" customFormat="1" x14ac:dyDescent="0.25"/>
    <row r="151563" customFormat="1" x14ac:dyDescent="0.25"/>
    <row r="151564" customFormat="1" x14ac:dyDescent="0.25"/>
    <row r="151565" customFormat="1" x14ac:dyDescent="0.25"/>
    <row r="151566" customFormat="1" x14ac:dyDescent="0.25"/>
    <row r="151567" customFormat="1" x14ac:dyDescent="0.25"/>
    <row r="151568" customFormat="1" x14ac:dyDescent="0.25"/>
    <row r="151569" customFormat="1" x14ac:dyDescent="0.25"/>
    <row r="151570" customFormat="1" x14ac:dyDescent="0.25"/>
    <row r="151571" customFormat="1" x14ac:dyDescent="0.25"/>
    <row r="151572" customFormat="1" x14ac:dyDescent="0.25"/>
    <row r="151573" customFormat="1" x14ac:dyDescent="0.25"/>
    <row r="151574" customFormat="1" x14ac:dyDescent="0.25"/>
    <row r="151575" customFormat="1" x14ac:dyDescent="0.25"/>
    <row r="151576" customFormat="1" x14ac:dyDescent="0.25"/>
    <row r="151577" customFormat="1" x14ac:dyDescent="0.25"/>
    <row r="151578" customFormat="1" x14ac:dyDescent="0.25"/>
    <row r="151579" customFormat="1" x14ac:dyDescent="0.25"/>
    <row r="151580" customFormat="1" x14ac:dyDescent="0.25"/>
    <row r="151581" customFormat="1" x14ac:dyDescent="0.25"/>
    <row r="151582" customFormat="1" x14ac:dyDescent="0.25"/>
    <row r="151583" customFormat="1" x14ac:dyDescent="0.25"/>
    <row r="151584" customFormat="1" x14ac:dyDescent="0.25"/>
    <row r="151585" customFormat="1" x14ac:dyDescent="0.25"/>
    <row r="151586" customFormat="1" x14ac:dyDescent="0.25"/>
    <row r="151587" customFormat="1" x14ac:dyDescent="0.25"/>
    <row r="151588" customFormat="1" x14ac:dyDescent="0.25"/>
    <row r="151589" customFormat="1" x14ac:dyDescent="0.25"/>
    <row r="151590" customFormat="1" x14ac:dyDescent="0.25"/>
    <row r="151591" customFormat="1" x14ac:dyDescent="0.25"/>
    <row r="151592" customFormat="1" x14ac:dyDescent="0.25"/>
    <row r="151593" customFormat="1" x14ac:dyDescent="0.25"/>
    <row r="151594" customFormat="1" x14ac:dyDescent="0.25"/>
    <row r="151595" customFormat="1" x14ac:dyDescent="0.25"/>
    <row r="151596" customFormat="1" x14ac:dyDescent="0.25"/>
    <row r="151597" customFormat="1" x14ac:dyDescent="0.25"/>
    <row r="151598" customFormat="1" x14ac:dyDescent="0.25"/>
    <row r="151599" customFormat="1" x14ac:dyDescent="0.25"/>
    <row r="151600" customFormat="1" x14ac:dyDescent="0.25"/>
    <row r="151601" customFormat="1" x14ac:dyDescent="0.25"/>
    <row r="151602" customFormat="1" x14ac:dyDescent="0.25"/>
    <row r="151603" customFormat="1" x14ac:dyDescent="0.25"/>
    <row r="151604" customFormat="1" x14ac:dyDescent="0.25"/>
    <row r="151605" customFormat="1" x14ac:dyDescent="0.25"/>
    <row r="151606" customFormat="1" x14ac:dyDescent="0.25"/>
    <row r="151607" customFormat="1" x14ac:dyDescent="0.25"/>
    <row r="151608" customFormat="1" x14ac:dyDescent="0.25"/>
    <row r="151609" customFormat="1" x14ac:dyDescent="0.25"/>
    <row r="151610" customFormat="1" x14ac:dyDescent="0.25"/>
    <row r="151611" customFormat="1" x14ac:dyDescent="0.25"/>
    <row r="151612" customFormat="1" x14ac:dyDescent="0.25"/>
    <row r="151613" customFormat="1" x14ac:dyDescent="0.25"/>
    <row r="151614" customFormat="1" x14ac:dyDescent="0.25"/>
    <row r="151615" customFormat="1" x14ac:dyDescent="0.25"/>
    <row r="151616" customFormat="1" x14ac:dyDescent="0.25"/>
    <row r="151617" customFormat="1" x14ac:dyDescent="0.25"/>
    <row r="151618" customFormat="1" x14ac:dyDescent="0.25"/>
    <row r="151619" customFormat="1" x14ac:dyDescent="0.25"/>
    <row r="151620" customFormat="1" x14ac:dyDescent="0.25"/>
    <row r="151621" customFormat="1" x14ac:dyDescent="0.25"/>
    <row r="151622" customFormat="1" x14ac:dyDescent="0.25"/>
    <row r="151623" customFormat="1" x14ac:dyDescent="0.25"/>
    <row r="151624" customFormat="1" x14ac:dyDescent="0.25"/>
    <row r="151625" customFormat="1" x14ac:dyDescent="0.25"/>
    <row r="151626" customFormat="1" x14ac:dyDescent="0.25"/>
    <row r="151627" customFormat="1" x14ac:dyDescent="0.25"/>
    <row r="151628" customFormat="1" x14ac:dyDescent="0.25"/>
    <row r="151629" customFormat="1" x14ac:dyDescent="0.25"/>
    <row r="151630" customFormat="1" x14ac:dyDescent="0.25"/>
    <row r="151631" customFormat="1" x14ac:dyDescent="0.25"/>
    <row r="151632" customFormat="1" x14ac:dyDescent="0.25"/>
    <row r="151633" customFormat="1" x14ac:dyDescent="0.25"/>
    <row r="151634" customFormat="1" x14ac:dyDescent="0.25"/>
    <row r="151635" customFormat="1" x14ac:dyDescent="0.25"/>
    <row r="151636" customFormat="1" x14ac:dyDescent="0.25"/>
    <row r="151637" customFormat="1" x14ac:dyDescent="0.25"/>
    <row r="151638" customFormat="1" x14ac:dyDescent="0.25"/>
    <row r="151639" customFormat="1" x14ac:dyDescent="0.25"/>
    <row r="151640" customFormat="1" x14ac:dyDescent="0.25"/>
    <row r="151641" customFormat="1" x14ac:dyDescent="0.25"/>
    <row r="151642" customFormat="1" x14ac:dyDescent="0.25"/>
    <row r="151643" customFormat="1" x14ac:dyDescent="0.25"/>
    <row r="151644" customFormat="1" x14ac:dyDescent="0.25"/>
    <row r="151645" customFormat="1" x14ac:dyDescent="0.25"/>
    <row r="151646" customFormat="1" x14ac:dyDescent="0.25"/>
    <row r="151647" customFormat="1" x14ac:dyDescent="0.25"/>
    <row r="151648" customFormat="1" x14ac:dyDescent="0.25"/>
    <row r="151649" customFormat="1" x14ac:dyDescent="0.25"/>
    <row r="151650" customFormat="1" x14ac:dyDescent="0.25"/>
    <row r="151651" customFormat="1" x14ac:dyDescent="0.25"/>
    <row r="151652" customFormat="1" x14ac:dyDescent="0.25"/>
    <row r="151653" customFormat="1" x14ac:dyDescent="0.25"/>
    <row r="151654" customFormat="1" x14ac:dyDescent="0.25"/>
    <row r="151655" customFormat="1" x14ac:dyDescent="0.25"/>
    <row r="151656" customFormat="1" x14ac:dyDescent="0.25"/>
    <row r="151657" customFormat="1" x14ac:dyDescent="0.25"/>
    <row r="151658" customFormat="1" x14ac:dyDescent="0.25"/>
    <row r="151659" customFormat="1" x14ac:dyDescent="0.25"/>
    <row r="151660" customFormat="1" x14ac:dyDescent="0.25"/>
    <row r="151661" customFormat="1" x14ac:dyDescent="0.25"/>
    <row r="151662" customFormat="1" x14ac:dyDescent="0.25"/>
    <row r="151663" customFormat="1" x14ac:dyDescent="0.25"/>
    <row r="151664" customFormat="1" x14ac:dyDescent="0.25"/>
    <row r="151665" customFormat="1" x14ac:dyDescent="0.25"/>
    <row r="151666" customFormat="1" x14ac:dyDescent="0.25"/>
    <row r="151667" customFormat="1" x14ac:dyDescent="0.25"/>
    <row r="151668" customFormat="1" x14ac:dyDescent="0.25"/>
    <row r="151669" customFormat="1" x14ac:dyDescent="0.25"/>
    <row r="151670" customFormat="1" x14ac:dyDescent="0.25"/>
    <row r="151671" customFormat="1" x14ac:dyDescent="0.25"/>
    <row r="151672" customFormat="1" x14ac:dyDescent="0.25"/>
    <row r="151673" customFormat="1" x14ac:dyDescent="0.25"/>
    <row r="151674" customFormat="1" x14ac:dyDescent="0.25"/>
    <row r="151675" customFormat="1" x14ac:dyDescent="0.25"/>
    <row r="151676" customFormat="1" x14ac:dyDescent="0.25"/>
    <row r="151677" customFormat="1" x14ac:dyDescent="0.25"/>
    <row r="151678" customFormat="1" x14ac:dyDescent="0.25"/>
    <row r="151679" customFormat="1" x14ac:dyDescent="0.25"/>
    <row r="151680" customFormat="1" x14ac:dyDescent="0.25"/>
    <row r="151681" customFormat="1" x14ac:dyDescent="0.25"/>
    <row r="151682" customFormat="1" x14ac:dyDescent="0.25"/>
    <row r="151683" customFormat="1" x14ac:dyDescent="0.25"/>
    <row r="151684" customFormat="1" x14ac:dyDescent="0.25"/>
    <row r="151685" customFormat="1" x14ac:dyDescent="0.25"/>
    <row r="151686" customFormat="1" x14ac:dyDescent="0.25"/>
    <row r="151687" customFormat="1" x14ac:dyDescent="0.25"/>
    <row r="151688" customFormat="1" x14ac:dyDescent="0.25"/>
    <row r="151689" customFormat="1" x14ac:dyDescent="0.25"/>
    <row r="151690" customFormat="1" x14ac:dyDescent="0.25"/>
    <row r="151691" customFormat="1" x14ac:dyDescent="0.25"/>
    <row r="151692" customFormat="1" x14ac:dyDescent="0.25"/>
    <row r="151693" customFormat="1" x14ac:dyDescent="0.25"/>
    <row r="151694" customFormat="1" x14ac:dyDescent="0.25"/>
    <row r="151695" customFormat="1" x14ac:dyDescent="0.25"/>
    <row r="151696" customFormat="1" x14ac:dyDescent="0.25"/>
    <row r="151697" customFormat="1" x14ac:dyDescent="0.25"/>
    <row r="151698" customFormat="1" x14ac:dyDescent="0.25"/>
    <row r="151699" customFormat="1" x14ac:dyDescent="0.25"/>
    <row r="151700" customFormat="1" x14ac:dyDescent="0.25"/>
    <row r="151701" customFormat="1" x14ac:dyDescent="0.25"/>
    <row r="151702" customFormat="1" x14ac:dyDescent="0.25"/>
    <row r="151703" customFormat="1" x14ac:dyDescent="0.25"/>
    <row r="151704" customFormat="1" x14ac:dyDescent="0.25"/>
    <row r="151705" customFormat="1" x14ac:dyDescent="0.25"/>
    <row r="151706" customFormat="1" x14ac:dyDescent="0.25"/>
    <row r="151707" customFormat="1" x14ac:dyDescent="0.25"/>
    <row r="151708" customFormat="1" x14ac:dyDescent="0.25"/>
    <row r="151709" customFormat="1" x14ac:dyDescent="0.25"/>
    <row r="151710" customFormat="1" x14ac:dyDescent="0.25"/>
    <row r="151711" customFormat="1" x14ac:dyDescent="0.25"/>
    <row r="151712" customFormat="1" x14ac:dyDescent="0.25"/>
    <row r="151713" customFormat="1" x14ac:dyDescent="0.25"/>
    <row r="151714" customFormat="1" x14ac:dyDescent="0.25"/>
    <row r="151715" customFormat="1" x14ac:dyDescent="0.25"/>
    <row r="151716" customFormat="1" x14ac:dyDescent="0.25"/>
    <row r="151717" customFormat="1" x14ac:dyDescent="0.25"/>
    <row r="151718" customFormat="1" x14ac:dyDescent="0.25"/>
    <row r="151719" customFormat="1" x14ac:dyDescent="0.25"/>
    <row r="151720" customFormat="1" x14ac:dyDescent="0.25"/>
    <row r="151721" customFormat="1" x14ac:dyDescent="0.25"/>
    <row r="151722" customFormat="1" x14ac:dyDescent="0.25"/>
    <row r="151723" customFormat="1" x14ac:dyDescent="0.25"/>
    <row r="151724" customFormat="1" x14ac:dyDescent="0.25"/>
    <row r="151725" customFormat="1" x14ac:dyDescent="0.25"/>
    <row r="151726" customFormat="1" x14ac:dyDescent="0.25"/>
    <row r="151727" customFormat="1" x14ac:dyDescent="0.25"/>
    <row r="151728" customFormat="1" x14ac:dyDescent="0.25"/>
    <row r="151729" customFormat="1" x14ac:dyDescent="0.25"/>
    <row r="151730" customFormat="1" x14ac:dyDescent="0.25"/>
    <row r="151731" customFormat="1" x14ac:dyDescent="0.25"/>
    <row r="151732" customFormat="1" x14ac:dyDescent="0.25"/>
    <row r="151733" customFormat="1" x14ac:dyDescent="0.25"/>
    <row r="151734" customFormat="1" x14ac:dyDescent="0.25"/>
    <row r="151735" customFormat="1" x14ac:dyDescent="0.25"/>
    <row r="151736" customFormat="1" x14ac:dyDescent="0.25"/>
    <row r="151737" customFormat="1" x14ac:dyDescent="0.25"/>
    <row r="151738" customFormat="1" x14ac:dyDescent="0.25"/>
    <row r="151739" customFormat="1" x14ac:dyDescent="0.25"/>
    <row r="151740" customFormat="1" x14ac:dyDescent="0.25"/>
    <row r="151741" customFormat="1" x14ac:dyDescent="0.25"/>
    <row r="151742" customFormat="1" x14ac:dyDescent="0.25"/>
    <row r="151743" customFormat="1" x14ac:dyDescent="0.25"/>
    <row r="151744" customFormat="1" x14ac:dyDescent="0.25"/>
    <row r="151745" customFormat="1" x14ac:dyDescent="0.25"/>
    <row r="151746" customFormat="1" x14ac:dyDescent="0.25"/>
    <row r="151747" customFormat="1" x14ac:dyDescent="0.25"/>
    <row r="151748" customFormat="1" x14ac:dyDescent="0.25"/>
    <row r="151749" customFormat="1" x14ac:dyDescent="0.25"/>
    <row r="151750" customFormat="1" x14ac:dyDescent="0.25"/>
    <row r="151751" customFormat="1" x14ac:dyDescent="0.25"/>
    <row r="151752" customFormat="1" x14ac:dyDescent="0.25"/>
    <row r="151753" customFormat="1" x14ac:dyDescent="0.25"/>
    <row r="151754" customFormat="1" x14ac:dyDescent="0.25"/>
    <row r="151755" customFormat="1" x14ac:dyDescent="0.25"/>
    <row r="151756" customFormat="1" x14ac:dyDescent="0.25"/>
    <row r="151757" customFormat="1" x14ac:dyDescent="0.25"/>
    <row r="151758" customFormat="1" x14ac:dyDescent="0.25"/>
    <row r="151759" customFormat="1" x14ac:dyDescent="0.25"/>
    <row r="151760" customFormat="1" x14ac:dyDescent="0.25"/>
    <row r="151761" customFormat="1" x14ac:dyDescent="0.25"/>
    <row r="151762" customFormat="1" x14ac:dyDescent="0.25"/>
    <row r="151763" customFormat="1" x14ac:dyDescent="0.25"/>
    <row r="151764" customFormat="1" x14ac:dyDescent="0.25"/>
    <row r="151765" customFormat="1" x14ac:dyDescent="0.25"/>
    <row r="151766" customFormat="1" x14ac:dyDescent="0.25"/>
    <row r="151767" customFormat="1" x14ac:dyDescent="0.25"/>
    <row r="151768" customFormat="1" x14ac:dyDescent="0.25"/>
    <row r="151769" customFormat="1" x14ac:dyDescent="0.25"/>
    <row r="151770" customFormat="1" x14ac:dyDescent="0.25"/>
    <row r="151771" customFormat="1" x14ac:dyDescent="0.25"/>
    <row r="151772" customFormat="1" x14ac:dyDescent="0.25"/>
    <row r="151773" customFormat="1" x14ac:dyDescent="0.25"/>
    <row r="151774" customFormat="1" x14ac:dyDescent="0.25"/>
    <row r="151775" customFormat="1" x14ac:dyDescent="0.25"/>
    <row r="151776" customFormat="1" x14ac:dyDescent="0.25"/>
    <row r="151777" customFormat="1" x14ac:dyDescent="0.25"/>
    <row r="151778" customFormat="1" x14ac:dyDescent="0.25"/>
    <row r="151779" customFormat="1" x14ac:dyDescent="0.25"/>
    <row r="151780" customFormat="1" x14ac:dyDescent="0.25"/>
    <row r="151781" customFormat="1" x14ac:dyDescent="0.25"/>
    <row r="151782" customFormat="1" x14ac:dyDescent="0.25"/>
    <row r="151783" customFormat="1" x14ac:dyDescent="0.25"/>
    <row r="151784" customFormat="1" x14ac:dyDescent="0.25"/>
    <row r="151785" customFormat="1" x14ac:dyDescent="0.25"/>
    <row r="151786" customFormat="1" x14ac:dyDescent="0.25"/>
    <row r="151787" customFormat="1" x14ac:dyDescent="0.25"/>
    <row r="151788" customFormat="1" x14ac:dyDescent="0.25"/>
    <row r="151789" customFormat="1" x14ac:dyDescent="0.25"/>
    <row r="151790" customFormat="1" x14ac:dyDescent="0.25"/>
    <row r="151791" customFormat="1" x14ac:dyDescent="0.25"/>
    <row r="151792" customFormat="1" x14ac:dyDescent="0.25"/>
    <row r="151793" customFormat="1" x14ac:dyDescent="0.25"/>
    <row r="151794" customFormat="1" x14ac:dyDescent="0.25"/>
    <row r="151795" customFormat="1" x14ac:dyDescent="0.25"/>
    <row r="151796" customFormat="1" x14ac:dyDescent="0.25"/>
    <row r="151797" customFormat="1" x14ac:dyDescent="0.25"/>
    <row r="151798" customFormat="1" x14ac:dyDescent="0.25"/>
    <row r="151799" customFormat="1" x14ac:dyDescent="0.25"/>
    <row r="151800" customFormat="1" x14ac:dyDescent="0.25"/>
    <row r="151801" customFormat="1" x14ac:dyDescent="0.25"/>
    <row r="151802" customFormat="1" x14ac:dyDescent="0.25"/>
    <row r="151803" customFormat="1" x14ac:dyDescent="0.25"/>
    <row r="151804" customFormat="1" x14ac:dyDescent="0.25"/>
    <row r="151805" customFormat="1" x14ac:dyDescent="0.25"/>
    <row r="151806" customFormat="1" x14ac:dyDescent="0.25"/>
    <row r="151807" customFormat="1" x14ac:dyDescent="0.25"/>
    <row r="151808" customFormat="1" x14ac:dyDescent="0.25"/>
    <row r="151809" customFormat="1" x14ac:dyDescent="0.25"/>
    <row r="151810" customFormat="1" x14ac:dyDescent="0.25"/>
    <row r="151811" customFormat="1" x14ac:dyDescent="0.25"/>
    <row r="151812" customFormat="1" x14ac:dyDescent="0.25"/>
    <row r="151813" customFormat="1" x14ac:dyDescent="0.25"/>
    <row r="151814" customFormat="1" x14ac:dyDescent="0.25"/>
    <row r="151815" customFormat="1" x14ac:dyDescent="0.25"/>
    <row r="151816" customFormat="1" x14ac:dyDescent="0.25"/>
    <row r="151817" customFormat="1" x14ac:dyDescent="0.25"/>
    <row r="151818" customFormat="1" x14ac:dyDescent="0.25"/>
    <row r="151819" customFormat="1" x14ac:dyDescent="0.25"/>
    <row r="151820" customFormat="1" x14ac:dyDescent="0.25"/>
    <row r="151821" customFormat="1" x14ac:dyDescent="0.25"/>
    <row r="151822" customFormat="1" x14ac:dyDescent="0.25"/>
    <row r="151823" customFormat="1" x14ac:dyDescent="0.25"/>
    <row r="151824" customFormat="1" x14ac:dyDescent="0.25"/>
    <row r="151825" customFormat="1" x14ac:dyDescent="0.25"/>
    <row r="151826" customFormat="1" x14ac:dyDescent="0.25"/>
    <row r="151827" customFormat="1" x14ac:dyDescent="0.25"/>
    <row r="151828" customFormat="1" x14ac:dyDescent="0.25"/>
    <row r="151829" customFormat="1" x14ac:dyDescent="0.25"/>
    <row r="151830" customFormat="1" x14ac:dyDescent="0.25"/>
    <row r="151831" customFormat="1" x14ac:dyDescent="0.25"/>
    <row r="151832" customFormat="1" x14ac:dyDescent="0.25"/>
    <row r="151833" customFormat="1" x14ac:dyDescent="0.25"/>
    <row r="151834" customFormat="1" x14ac:dyDescent="0.25"/>
    <row r="151835" customFormat="1" x14ac:dyDescent="0.25"/>
    <row r="151836" customFormat="1" x14ac:dyDescent="0.25"/>
    <row r="151837" customFormat="1" x14ac:dyDescent="0.25"/>
    <row r="151838" customFormat="1" x14ac:dyDescent="0.25"/>
    <row r="151839" customFormat="1" x14ac:dyDescent="0.25"/>
    <row r="151840" customFormat="1" x14ac:dyDescent="0.25"/>
    <row r="151841" customFormat="1" x14ac:dyDescent="0.25"/>
    <row r="151842" customFormat="1" x14ac:dyDescent="0.25"/>
    <row r="151843" customFormat="1" x14ac:dyDescent="0.25"/>
    <row r="151844" customFormat="1" x14ac:dyDescent="0.25"/>
    <row r="151845" customFormat="1" x14ac:dyDescent="0.25"/>
    <row r="151846" customFormat="1" x14ac:dyDescent="0.25"/>
    <row r="151847" customFormat="1" x14ac:dyDescent="0.25"/>
    <row r="151848" customFormat="1" x14ac:dyDescent="0.25"/>
    <row r="151849" customFormat="1" x14ac:dyDescent="0.25"/>
    <row r="151850" customFormat="1" x14ac:dyDescent="0.25"/>
    <row r="151851" customFormat="1" x14ac:dyDescent="0.25"/>
    <row r="151852" customFormat="1" x14ac:dyDescent="0.25"/>
    <row r="151853" customFormat="1" x14ac:dyDescent="0.25"/>
    <row r="151854" customFormat="1" x14ac:dyDescent="0.25"/>
    <row r="151855" customFormat="1" x14ac:dyDescent="0.25"/>
    <row r="151856" customFormat="1" x14ac:dyDescent="0.25"/>
    <row r="151857" customFormat="1" x14ac:dyDescent="0.25"/>
    <row r="151858" customFormat="1" x14ac:dyDescent="0.25"/>
    <row r="151859" customFormat="1" x14ac:dyDescent="0.25"/>
    <row r="151860" customFormat="1" x14ac:dyDescent="0.25"/>
    <row r="151861" customFormat="1" x14ac:dyDescent="0.25"/>
    <row r="151862" customFormat="1" x14ac:dyDescent="0.25"/>
    <row r="151863" customFormat="1" x14ac:dyDescent="0.25"/>
    <row r="151864" customFormat="1" x14ac:dyDescent="0.25"/>
    <row r="151865" customFormat="1" x14ac:dyDescent="0.25"/>
    <row r="151866" customFormat="1" x14ac:dyDescent="0.25"/>
    <row r="151867" customFormat="1" x14ac:dyDescent="0.25"/>
    <row r="151868" customFormat="1" x14ac:dyDescent="0.25"/>
    <row r="151869" customFormat="1" x14ac:dyDescent="0.25"/>
    <row r="151870" customFormat="1" x14ac:dyDescent="0.25"/>
    <row r="151871" customFormat="1" x14ac:dyDescent="0.25"/>
    <row r="151872" customFormat="1" x14ac:dyDescent="0.25"/>
    <row r="151873" customFormat="1" x14ac:dyDescent="0.25"/>
    <row r="151874" customFormat="1" x14ac:dyDescent="0.25"/>
    <row r="151875" customFormat="1" x14ac:dyDescent="0.25"/>
    <row r="151876" customFormat="1" x14ac:dyDescent="0.25"/>
    <row r="151877" customFormat="1" x14ac:dyDescent="0.25"/>
    <row r="151878" customFormat="1" x14ac:dyDescent="0.25"/>
    <row r="151879" customFormat="1" x14ac:dyDescent="0.25"/>
    <row r="151880" customFormat="1" x14ac:dyDescent="0.25"/>
    <row r="151881" customFormat="1" x14ac:dyDescent="0.25"/>
    <row r="151882" customFormat="1" x14ac:dyDescent="0.25"/>
    <row r="151883" customFormat="1" x14ac:dyDescent="0.25"/>
    <row r="151884" customFormat="1" x14ac:dyDescent="0.25"/>
    <row r="151885" customFormat="1" x14ac:dyDescent="0.25"/>
    <row r="151886" customFormat="1" x14ac:dyDescent="0.25"/>
    <row r="151887" customFormat="1" x14ac:dyDescent="0.25"/>
    <row r="151888" customFormat="1" x14ac:dyDescent="0.25"/>
    <row r="151889" customFormat="1" x14ac:dyDescent="0.25"/>
    <row r="151890" customFormat="1" x14ac:dyDescent="0.25"/>
    <row r="151891" customFormat="1" x14ac:dyDescent="0.25"/>
    <row r="151892" customFormat="1" x14ac:dyDescent="0.25"/>
    <row r="151893" customFormat="1" x14ac:dyDescent="0.25"/>
    <row r="151894" customFormat="1" x14ac:dyDescent="0.25"/>
    <row r="151895" customFormat="1" x14ac:dyDescent="0.25"/>
    <row r="151896" customFormat="1" x14ac:dyDescent="0.25"/>
    <row r="151897" customFormat="1" x14ac:dyDescent="0.25"/>
    <row r="151898" customFormat="1" x14ac:dyDescent="0.25"/>
    <row r="151899" customFormat="1" x14ac:dyDescent="0.25"/>
    <row r="151900" customFormat="1" x14ac:dyDescent="0.25"/>
    <row r="151901" customFormat="1" x14ac:dyDescent="0.25"/>
    <row r="151902" customFormat="1" x14ac:dyDescent="0.25"/>
    <row r="151903" customFormat="1" x14ac:dyDescent="0.25"/>
    <row r="151904" customFormat="1" x14ac:dyDescent="0.25"/>
    <row r="151905" customFormat="1" x14ac:dyDescent="0.25"/>
    <row r="151906" customFormat="1" x14ac:dyDescent="0.25"/>
    <row r="151907" customFormat="1" x14ac:dyDescent="0.25"/>
    <row r="151908" customFormat="1" x14ac:dyDescent="0.25"/>
    <row r="151909" customFormat="1" x14ac:dyDescent="0.25"/>
    <row r="151910" customFormat="1" x14ac:dyDescent="0.25"/>
    <row r="151911" customFormat="1" x14ac:dyDescent="0.25"/>
    <row r="151912" customFormat="1" x14ac:dyDescent="0.25"/>
    <row r="151913" customFormat="1" x14ac:dyDescent="0.25"/>
    <row r="151914" customFormat="1" x14ac:dyDescent="0.25"/>
    <row r="151915" customFormat="1" x14ac:dyDescent="0.25"/>
    <row r="151916" customFormat="1" x14ac:dyDescent="0.25"/>
    <row r="151917" customFormat="1" x14ac:dyDescent="0.25"/>
    <row r="151918" customFormat="1" x14ac:dyDescent="0.25"/>
    <row r="151919" customFormat="1" x14ac:dyDescent="0.25"/>
    <row r="151920" customFormat="1" x14ac:dyDescent="0.25"/>
    <row r="151921" customFormat="1" x14ac:dyDescent="0.25"/>
    <row r="151922" customFormat="1" x14ac:dyDescent="0.25"/>
    <row r="151923" customFormat="1" x14ac:dyDescent="0.25"/>
    <row r="151924" customFormat="1" x14ac:dyDescent="0.25"/>
    <row r="151925" customFormat="1" x14ac:dyDescent="0.25"/>
    <row r="151926" customFormat="1" x14ac:dyDescent="0.25"/>
    <row r="151927" customFormat="1" x14ac:dyDescent="0.25"/>
    <row r="151928" customFormat="1" x14ac:dyDescent="0.25"/>
    <row r="151929" customFormat="1" x14ac:dyDescent="0.25"/>
    <row r="151930" customFormat="1" x14ac:dyDescent="0.25"/>
    <row r="151931" customFormat="1" x14ac:dyDescent="0.25"/>
    <row r="151932" customFormat="1" x14ac:dyDescent="0.25"/>
    <row r="151933" customFormat="1" x14ac:dyDescent="0.25"/>
    <row r="151934" customFormat="1" x14ac:dyDescent="0.25"/>
    <row r="151935" customFormat="1" x14ac:dyDescent="0.25"/>
    <row r="151936" customFormat="1" x14ac:dyDescent="0.25"/>
    <row r="151937" customFormat="1" x14ac:dyDescent="0.25"/>
    <row r="151938" customFormat="1" x14ac:dyDescent="0.25"/>
    <row r="151939" customFormat="1" x14ac:dyDescent="0.25"/>
    <row r="151940" customFormat="1" x14ac:dyDescent="0.25"/>
    <row r="151941" customFormat="1" x14ac:dyDescent="0.25"/>
    <row r="151942" customFormat="1" x14ac:dyDescent="0.25"/>
    <row r="151943" customFormat="1" x14ac:dyDescent="0.25"/>
    <row r="151944" customFormat="1" x14ac:dyDescent="0.25"/>
    <row r="151945" customFormat="1" x14ac:dyDescent="0.25"/>
    <row r="151946" customFormat="1" x14ac:dyDescent="0.25"/>
    <row r="151947" customFormat="1" x14ac:dyDescent="0.25"/>
    <row r="151948" customFormat="1" x14ac:dyDescent="0.25"/>
    <row r="151949" customFormat="1" x14ac:dyDescent="0.25"/>
    <row r="151950" customFormat="1" x14ac:dyDescent="0.25"/>
    <row r="151951" customFormat="1" x14ac:dyDescent="0.25"/>
    <row r="151952" customFormat="1" x14ac:dyDescent="0.25"/>
    <row r="151953" customFormat="1" x14ac:dyDescent="0.25"/>
    <row r="151954" customFormat="1" x14ac:dyDescent="0.25"/>
    <row r="151955" customFormat="1" x14ac:dyDescent="0.25"/>
    <row r="151956" customFormat="1" x14ac:dyDescent="0.25"/>
    <row r="151957" customFormat="1" x14ac:dyDescent="0.25"/>
    <row r="151958" customFormat="1" x14ac:dyDescent="0.25"/>
    <row r="151959" customFormat="1" x14ac:dyDescent="0.25"/>
    <row r="151960" customFormat="1" x14ac:dyDescent="0.25"/>
    <row r="151961" customFormat="1" x14ac:dyDescent="0.25"/>
    <row r="151962" customFormat="1" x14ac:dyDescent="0.25"/>
    <row r="151963" customFormat="1" x14ac:dyDescent="0.25"/>
    <row r="151964" customFormat="1" x14ac:dyDescent="0.25"/>
    <row r="151965" customFormat="1" x14ac:dyDescent="0.25"/>
    <row r="151966" customFormat="1" x14ac:dyDescent="0.25"/>
    <row r="151967" customFormat="1" x14ac:dyDescent="0.25"/>
    <row r="151968" customFormat="1" x14ac:dyDescent="0.25"/>
    <row r="151969" customFormat="1" x14ac:dyDescent="0.25"/>
    <row r="151970" customFormat="1" x14ac:dyDescent="0.25"/>
    <row r="151971" customFormat="1" x14ac:dyDescent="0.25"/>
    <row r="151972" customFormat="1" x14ac:dyDescent="0.25"/>
    <row r="151973" customFormat="1" x14ac:dyDescent="0.25"/>
    <row r="151974" customFormat="1" x14ac:dyDescent="0.25"/>
    <row r="151975" customFormat="1" x14ac:dyDescent="0.25"/>
    <row r="151976" customFormat="1" x14ac:dyDescent="0.25"/>
    <row r="151977" customFormat="1" x14ac:dyDescent="0.25"/>
    <row r="151978" customFormat="1" x14ac:dyDescent="0.25"/>
    <row r="151979" customFormat="1" x14ac:dyDescent="0.25"/>
    <row r="151980" customFormat="1" x14ac:dyDescent="0.25"/>
    <row r="151981" customFormat="1" x14ac:dyDescent="0.25"/>
    <row r="151982" customFormat="1" x14ac:dyDescent="0.25"/>
    <row r="151983" customFormat="1" x14ac:dyDescent="0.25"/>
    <row r="151984" customFormat="1" x14ac:dyDescent="0.25"/>
    <row r="151985" customFormat="1" x14ac:dyDescent="0.25"/>
    <row r="151986" customFormat="1" x14ac:dyDescent="0.25"/>
    <row r="151987" customFormat="1" x14ac:dyDescent="0.25"/>
    <row r="151988" customFormat="1" x14ac:dyDescent="0.25"/>
    <row r="151989" customFormat="1" x14ac:dyDescent="0.25"/>
    <row r="151990" customFormat="1" x14ac:dyDescent="0.25"/>
    <row r="151991" customFormat="1" x14ac:dyDescent="0.25"/>
    <row r="151992" customFormat="1" x14ac:dyDescent="0.25"/>
    <row r="151993" customFormat="1" x14ac:dyDescent="0.25"/>
    <row r="151994" customFormat="1" x14ac:dyDescent="0.25"/>
    <row r="151995" customFormat="1" x14ac:dyDescent="0.25"/>
    <row r="151996" customFormat="1" x14ac:dyDescent="0.25"/>
    <row r="151997" customFormat="1" x14ac:dyDescent="0.25"/>
    <row r="151998" customFormat="1" x14ac:dyDescent="0.25"/>
    <row r="151999" customFormat="1" x14ac:dyDescent="0.25"/>
    <row r="152000" customFormat="1" x14ac:dyDescent="0.25"/>
    <row r="152001" customFormat="1" x14ac:dyDescent="0.25"/>
    <row r="152002" customFormat="1" x14ac:dyDescent="0.25"/>
    <row r="152003" customFormat="1" x14ac:dyDescent="0.25"/>
    <row r="152004" customFormat="1" x14ac:dyDescent="0.25"/>
    <row r="152005" customFormat="1" x14ac:dyDescent="0.25"/>
    <row r="152006" customFormat="1" x14ac:dyDescent="0.25"/>
    <row r="152007" customFormat="1" x14ac:dyDescent="0.25"/>
    <row r="152008" customFormat="1" x14ac:dyDescent="0.25"/>
    <row r="152009" customFormat="1" x14ac:dyDescent="0.25"/>
    <row r="152010" customFormat="1" x14ac:dyDescent="0.25"/>
    <row r="152011" customFormat="1" x14ac:dyDescent="0.25"/>
    <row r="152012" customFormat="1" x14ac:dyDescent="0.25"/>
    <row r="152013" customFormat="1" x14ac:dyDescent="0.25"/>
    <row r="152014" customFormat="1" x14ac:dyDescent="0.25"/>
    <row r="152015" customFormat="1" x14ac:dyDescent="0.25"/>
    <row r="152016" customFormat="1" x14ac:dyDescent="0.25"/>
    <row r="152017" customFormat="1" x14ac:dyDescent="0.25"/>
    <row r="152018" customFormat="1" x14ac:dyDescent="0.25"/>
    <row r="152019" customFormat="1" x14ac:dyDescent="0.25"/>
    <row r="152020" customFormat="1" x14ac:dyDescent="0.25"/>
    <row r="152021" customFormat="1" x14ac:dyDescent="0.25"/>
    <row r="152022" customFormat="1" x14ac:dyDescent="0.25"/>
    <row r="152023" customFormat="1" x14ac:dyDescent="0.25"/>
    <row r="152024" customFormat="1" x14ac:dyDescent="0.25"/>
    <row r="152025" customFormat="1" x14ac:dyDescent="0.25"/>
    <row r="152026" customFormat="1" x14ac:dyDescent="0.25"/>
    <row r="152027" customFormat="1" x14ac:dyDescent="0.25"/>
    <row r="152028" customFormat="1" x14ac:dyDescent="0.25"/>
    <row r="152029" customFormat="1" x14ac:dyDescent="0.25"/>
    <row r="152030" customFormat="1" x14ac:dyDescent="0.25"/>
    <row r="152031" customFormat="1" x14ac:dyDescent="0.25"/>
    <row r="152032" customFormat="1" x14ac:dyDescent="0.25"/>
    <row r="152033" customFormat="1" x14ac:dyDescent="0.25"/>
    <row r="152034" customFormat="1" x14ac:dyDescent="0.25"/>
    <row r="152035" customFormat="1" x14ac:dyDescent="0.25"/>
    <row r="152036" customFormat="1" x14ac:dyDescent="0.25"/>
    <row r="152037" customFormat="1" x14ac:dyDescent="0.25"/>
    <row r="152038" customFormat="1" x14ac:dyDescent="0.25"/>
    <row r="152039" customFormat="1" x14ac:dyDescent="0.25"/>
    <row r="152040" customFormat="1" x14ac:dyDescent="0.25"/>
    <row r="152041" customFormat="1" x14ac:dyDescent="0.25"/>
    <row r="152042" customFormat="1" x14ac:dyDescent="0.25"/>
    <row r="152043" customFormat="1" x14ac:dyDescent="0.25"/>
    <row r="152044" customFormat="1" x14ac:dyDescent="0.25"/>
    <row r="152045" customFormat="1" x14ac:dyDescent="0.25"/>
    <row r="152046" customFormat="1" x14ac:dyDescent="0.25"/>
    <row r="152047" customFormat="1" x14ac:dyDescent="0.25"/>
    <row r="152048" customFormat="1" x14ac:dyDescent="0.25"/>
    <row r="152049" customFormat="1" x14ac:dyDescent="0.25"/>
    <row r="152050" customFormat="1" x14ac:dyDescent="0.25"/>
    <row r="152051" customFormat="1" x14ac:dyDescent="0.25"/>
    <row r="152052" customFormat="1" x14ac:dyDescent="0.25"/>
    <row r="152053" customFormat="1" x14ac:dyDescent="0.25"/>
    <row r="152054" customFormat="1" x14ac:dyDescent="0.25"/>
    <row r="152055" customFormat="1" x14ac:dyDescent="0.25"/>
    <row r="152056" customFormat="1" x14ac:dyDescent="0.25"/>
    <row r="152057" customFormat="1" x14ac:dyDescent="0.25"/>
    <row r="152058" customFormat="1" x14ac:dyDescent="0.25"/>
    <row r="152059" customFormat="1" x14ac:dyDescent="0.25"/>
    <row r="152060" customFormat="1" x14ac:dyDescent="0.25"/>
    <row r="152061" customFormat="1" x14ac:dyDescent="0.25"/>
    <row r="152062" customFormat="1" x14ac:dyDescent="0.25"/>
    <row r="152063" customFormat="1" x14ac:dyDescent="0.25"/>
    <row r="152064" customFormat="1" x14ac:dyDescent="0.25"/>
    <row r="152065" customFormat="1" x14ac:dyDescent="0.25"/>
    <row r="152066" customFormat="1" x14ac:dyDescent="0.25"/>
    <row r="152067" customFormat="1" x14ac:dyDescent="0.25"/>
    <row r="152068" customFormat="1" x14ac:dyDescent="0.25"/>
    <row r="152069" customFormat="1" x14ac:dyDescent="0.25"/>
    <row r="152070" customFormat="1" x14ac:dyDescent="0.25"/>
    <row r="152071" customFormat="1" x14ac:dyDescent="0.25"/>
    <row r="152072" customFormat="1" x14ac:dyDescent="0.25"/>
    <row r="152073" customFormat="1" x14ac:dyDescent="0.25"/>
    <row r="152074" customFormat="1" x14ac:dyDescent="0.25"/>
    <row r="152075" customFormat="1" x14ac:dyDescent="0.25"/>
    <row r="152076" customFormat="1" x14ac:dyDescent="0.25"/>
    <row r="152077" customFormat="1" x14ac:dyDescent="0.25"/>
    <row r="152078" customFormat="1" x14ac:dyDescent="0.25"/>
    <row r="152079" customFormat="1" x14ac:dyDescent="0.25"/>
    <row r="152080" customFormat="1" x14ac:dyDescent="0.25"/>
    <row r="152081" customFormat="1" x14ac:dyDescent="0.25"/>
    <row r="152082" customFormat="1" x14ac:dyDescent="0.25"/>
    <row r="152083" customFormat="1" x14ac:dyDescent="0.25"/>
    <row r="152084" customFormat="1" x14ac:dyDescent="0.25"/>
    <row r="152085" customFormat="1" x14ac:dyDescent="0.25"/>
    <row r="152086" customFormat="1" x14ac:dyDescent="0.25"/>
    <row r="152087" customFormat="1" x14ac:dyDescent="0.25"/>
    <row r="152088" customFormat="1" x14ac:dyDescent="0.25"/>
    <row r="152089" customFormat="1" x14ac:dyDescent="0.25"/>
    <row r="152090" customFormat="1" x14ac:dyDescent="0.25"/>
    <row r="152091" customFormat="1" x14ac:dyDescent="0.25"/>
    <row r="152092" customFormat="1" x14ac:dyDescent="0.25"/>
    <row r="152093" customFormat="1" x14ac:dyDescent="0.25"/>
    <row r="152094" customFormat="1" x14ac:dyDescent="0.25"/>
    <row r="152095" customFormat="1" x14ac:dyDescent="0.25"/>
    <row r="152096" customFormat="1" x14ac:dyDescent="0.25"/>
    <row r="152097" customFormat="1" x14ac:dyDescent="0.25"/>
    <row r="152098" customFormat="1" x14ac:dyDescent="0.25"/>
    <row r="152099" customFormat="1" x14ac:dyDescent="0.25"/>
    <row r="152100" customFormat="1" x14ac:dyDescent="0.25"/>
    <row r="152101" customFormat="1" x14ac:dyDescent="0.25"/>
    <row r="152102" customFormat="1" x14ac:dyDescent="0.25"/>
    <row r="152103" customFormat="1" x14ac:dyDescent="0.25"/>
    <row r="152104" customFormat="1" x14ac:dyDescent="0.25"/>
    <row r="152105" customFormat="1" x14ac:dyDescent="0.25"/>
    <row r="152106" customFormat="1" x14ac:dyDescent="0.25"/>
    <row r="152107" customFormat="1" x14ac:dyDescent="0.25"/>
    <row r="152108" customFormat="1" x14ac:dyDescent="0.25"/>
    <row r="152109" customFormat="1" x14ac:dyDescent="0.25"/>
    <row r="152110" customFormat="1" x14ac:dyDescent="0.25"/>
    <row r="152111" customFormat="1" x14ac:dyDescent="0.25"/>
    <row r="152112" customFormat="1" x14ac:dyDescent="0.25"/>
    <row r="152113" customFormat="1" x14ac:dyDescent="0.25"/>
    <row r="152114" customFormat="1" x14ac:dyDescent="0.25"/>
    <row r="152115" customFormat="1" x14ac:dyDescent="0.25"/>
    <row r="152116" customFormat="1" x14ac:dyDescent="0.25"/>
    <row r="152117" customFormat="1" x14ac:dyDescent="0.25"/>
    <row r="152118" customFormat="1" x14ac:dyDescent="0.25"/>
    <row r="152119" customFormat="1" x14ac:dyDescent="0.25"/>
    <row r="152120" customFormat="1" x14ac:dyDescent="0.25"/>
    <row r="152121" customFormat="1" x14ac:dyDescent="0.25"/>
    <row r="152122" customFormat="1" x14ac:dyDescent="0.25"/>
    <row r="152123" customFormat="1" x14ac:dyDescent="0.25"/>
    <row r="152124" customFormat="1" x14ac:dyDescent="0.25"/>
    <row r="152125" customFormat="1" x14ac:dyDescent="0.25"/>
    <row r="152126" customFormat="1" x14ac:dyDescent="0.25"/>
    <row r="152127" customFormat="1" x14ac:dyDescent="0.25"/>
    <row r="152128" customFormat="1" x14ac:dyDescent="0.25"/>
    <row r="152129" customFormat="1" x14ac:dyDescent="0.25"/>
    <row r="152130" customFormat="1" x14ac:dyDescent="0.25"/>
    <row r="152131" customFormat="1" x14ac:dyDescent="0.25"/>
    <row r="152132" customFormat="1" x14ac:dyDescent="0.25"/>
    <row r="152133" customFormat="1" x14ac:dyDescent="0.25"/>
    <row r="152134" customFormat="1" x14ac:dyDescent="0.25"/>
    <row r="152135" customFormat="1" x14ac:dyDescent="0.25"/>
    <row r="152136" customFormat="1" x14ac:dyDescent="0.25"/>
    <row r="152137" customFormat="1" x14ac:dyDescent="0.25"/>
    <row r="152138" customFormat="1" x14ac:dyDescent="0.25"/>
    <row r="152139" customFormat="1" x14ac:dyDescent="0.25"/>
    <row r="152140" customFormat="1" x14ac:dyDescent="0.25"/>
    <row r="152141" customFormat="1" x14ac:dyDescent="0.25"/>
    <row r="152142" customFormat="1" x14ac:dyDescent="0.25"/>
    <row r="152143" customFormat="1" x14ac:dyDescent="0.25"/>
    <row r="152144" customFormat="1" x14ac:dyDescent="0.25"/>
    <row r="152145" customFormat="1" x14ac:dyDescent="0.25"/>
    <row r="152146" customFormat="1" x14ac:dyDescent="0.25"/>
    <row r="152147" customFormat="1" x14ac:dyDescent="0.25"/>
    <row r="152148" customFormat="1" x14ac:dyDescent="0.25"/>
    <row r="152149" customFormat="1" x14ac:dyDescent="0.25"/>
    <row r="152150" customFormat="1" x14ac:dyDescent="0.25"/>
    <row r="152151" customFormat="1" x14ac:dyDescent="0.25"/>
    <row r="152152" customFormat="1" x14ac:dyDescent="0.25"/>
    <row r="152153" customFormat="1" x14ac:dyDescent="0.25"/>
    <row r="152154" customFormat="1" x14ac:dyDescent="0.25"/>
    <row r="152155" customFormat="1" x14ac:dyDescent="0.25"/>
    <row r="152156" customFormat="1" x14ac:dyDescent="0.25"/>
    <row r="152157" customFormat="1" x14ac:dyDescent="0.25"/>
    <row r="152158" customFormat="1" x14ac:dyDescent="0.25"/>
    <row r="152159" customFormat="1" x14ac:dyDescent="0.25"/>
    <row r="152160" customFormat="1" x14ac:dyDescent="0.25"/>
    <row r="152161" customFormat="1" x14ac:dyDescent="0.25"/>
    <row r="152162" customFormat="1" x14ac:dyDescent="0.25"/>
    <row r="152163" customFormat="1" x14ac:dyDescent="0.25"/>
    <row r="152164" customFormat="1" x14ac:dyDescent="0.25"/>
    <row r="152165" customFormat="1" x14ac:dyDescent="0.25"/>
    <row r="152166" customFormat="1" x14ac:dyDescent="0.25"/>
    <row r="152167" customFormat="1" x14ac:dyDescent="0.25"/>
    <row r="152168" customFormat="1" x14ac:dyDescent="0.25"/>
    <row r="152169" customFormat="1" x14ac:dyDescent="0.25"/>
    <row r="152170" customFormat="1" x14ac:dyDescent="0.25"/>
    <row r="152171" customFormat="1" x14ac:dyDescent="0.25"/>
    <row r="152172" customFormat="1" x14ac:dyDescent="0.25"/>
    <row r="152173" customFormat="1" x14ac:dyDescent="0.25"/>
    <row r="152174" customFormat="1" x14ac:dyDescent="0.25"/>
    <row r="152175" customFormat="1" x14ac:dyDescent="0.25"/>
    <row r="152176" customFormat="1" x14ac:dyDescent="0.25"/>
    <row r="152177" customFormat="1" x14ac:dyDescent="0.25"/>
    <row r="152178" customFormat="1" x14ac:dyDescent="0.25"/>
    <row r="152179" customFormat="1" x14ac:dyDescent="0.25"/>
    <row r="152180" customFormat="1" x14ac:dyDescent="0.25"/>
    <row r="152181" customFormat="1" x14ac:dyDescent="0.25"/>
    <row r="152182" customFormat="1" x14ac:dyDescent="0.25"/>
    <row r="152183" customFormat="1" x14ac:dyDescent="0.25"/>
    <row r="152184" customFormat="1" x14ac:dyDescent="0.25"/>
    <row r="152185" customFormat="1" x14ac:dyDescent="0.25"/>
    <row r="152186" customFormat="1" x14ac:dyDescent="0.25"/>
    <row r="152187" customFormat="1" x14ac:dyDescent="0.25"/>
    <row r="152188" customFormat="1" x14ac:dyDescent="0.25"/>
    <row r="152189" customFormat="1" x14ac:dyDescent="0.25"/>
    <row r="152190" customFormat="1" x14ac:dyDescent="0.25"/>
    <row r="152191" customFormat="1" x14ac:dyDescent="0.25"/>
    <row r="152192" customFormat="1" x14ac:dyDescent="0.25"/>
    <row r="152193" customFormat="1" x14ac:dyDescent="0.25"/>
    <row r="152194" customFormat="1" x14ac:dyDescent="0.25"/>
    <row r="152195" customFormat="1" x14ac:dyDescent="0.25"/>
    <row r="152196" customFormat="1" x14ac:dyDescent="0.25"/>
    <row r="152197" customFormat="1" x14ac:dyDescent="0.25"/>
    <row r="152198" customFormat="1" x14ac:dyDescent="0.25"/>
    <row r="152199" customFormat="1" x14ac:dyDescent="0.25"/>
    <row r="152200" customFormat="1" x14ac:dyDescent="0.25"/>
    <row r="152201" customFormat="1" x14ac:dyDescent="0.25"/>
    <row r="152202" customFormat="1" x14ac:dyDescent="0.25"/>
    <row r="152203" customFormat="1" x14ac:dyDescent="0.25"/>
    <row r="152204" customFormat="1" x14ac:dyDescent="0.25"/>
    <row r="152205" customFormat="1" x14ac:dyDescent="0.25"/>
    <row r="152206" customFormat="1" x14ac:dyDescent="0.25"/>
    <row r="152207" customFormat="1" x14ac:dyDescent="0.25"/>
    <row r="152208" customFormat="1" x14ac:dyDescent="0.25"/>
    <row r="152209" customFormat="1" x14ac:dyDescent="0.25"/>
    <row r="152210" customFormat="1" x14ac:dyDescent="0.25"/>
    <row r="152211" customFormat="1" x14ac:dyDescent="0.25"/>
    <row r="152212" customFormat="1" x14ac:dyDescent="0.25"/>
    <row r="152213" customFormat="1" x14ac:dyDescent="0.25"/>
    <row r="152214" customFormat="1" x14ac:dyDescent="0.25"/>
    <row r="152215" customFormat="1" x14ac:dyDescent="0.25"/>
    <row r="152216" customFormat="1" x14ac:dyDescent="0.25"/>
    <row r="152217" customFormat="1" x14ac:dyDescent="0.25"/>
    <row r="152218" customFormat="1" x14ac:dyDescent="0.25"/>
    <row r="152219" customFormat="1" x14ac:dyDescent="0.25"/>
    <row r="152220" customFormat="1" x14ac:dyDescent="0.25"/>
    <row r="152221" customFormat="1" x14ac:dyDescent="0.25"/>
    <row r="152222" customFormat="1" x14ac:dyDescent="0.25"/>
    <row r="152223" customFormat="1" x14ac:dyDescent="0.25"/>
    <row r="152224" customFormat="1" x14ac:dyDescent="0.25"/>
    <row r="152225" customFormat="1" x14ac:dyDescent="0.25"/>
    <row r="152226" customFormat="1" x14ac:dyDescent="0.25"/>
    <row r="152227" customFormat="1" x14ac:dyDescent="0.25"/>
    <row r="152228" customFormat="1" x14ac:dyDescent="0.25"/>
    <row r="152229" customFormat="1" x14ac:dyDescent="0.25"/>
    <row r="152230" customFormat="1" x14ac:dyDescent="0.25"/>
    <row r="152231" customFormat="1" x14ac:dyDescent="0.25"/>
    <row r="152232" customFormat="1" x14ac:dyDescent="0.25"/>
    <row r="152233" customFormat="1" x14ac:dyDescent="0.25"/>
    <row r="152234" customFormat="1" x14ac:dyDescent="0.25"/>
    <row r="152235" customFormat="1" x14ac:dyDescent="0.25"/>
    <row r="152236" customFormat="1" x14ac:dyDescent="0.25"/>
    <row r="152237" customFormat="1" x14ac:dyDescent="0.25"/>
    <row r="152238" customFormat="1" x14ac:dyDescent="0.25"/>
    <row r="152239" customFormat="1" x14ac:dyDescent="0.25"/>
    <row r="152240" customFormat="1" x14ac:dyDescent="0.25"/>
    <row r="152241" customFormat="1" x14ac:dyDescent="0.25"/>
    <row r="152242" customFormat="1" x14ac:dyDescent="0.25"/>
    <row r="152243" customFormat="1" x14ac:dyDescent="0.25"/>
    <row r="152244" customFormat="1" x14ac:dyDescent="0.25"/>
    <row r="152245" customFormat="1" x14ac:dyDescent="0.25"/>
    <row r="152246" customFormat="1" x14ac:dyDescent="0.25"/>
    <row r="152247" customFormat="1" x14ac:dyDescent="0.25"/>
    <row r="152248" customFormat="1" x14ac:dyDescent="0.25"/>
    <row r="152249" customFormat="1" x14ac:dyDescent="0.25"/>
    <row r="152250" customFormat="1" x14ac:dyDescent="0.25"/>
    <row r="152251" customFormat="1" x14ac:dyDescent="0.25"/>
    <row r="152252" customFormat="1" x14ac:dyDescent="0.25"/>
    <row r="152253" customFormat="1" x14ac:dyDescent="0.25"/>
    <row r="152254" customFormat="1" x14ac:dyDescent="0.25"/>
    <row r="152255" customFormat="1" x14ac:dyDescent="0.25"/>
    <row r="152256" customFormat="1" x14ac:dyDescent="0.25"/>
    <row r="152257" customFormat="1" x14ac:dyDescent="0.25"/>
    <row r="152258" customFormat="1" x14ac:dyDescent="0.25"/>
    <row r="152259" customFormat="1" x14ac:dyDescent="0.25"/>
    <row r="152260" customFormat="1" x14ac:dyDescent="0.25"/>
    <row r="152261" customFormat="1" x14ac:dyDescent="0.25"/>
    <row r="152262" customFormat="1" x14ac:dyDescent="0.25"/>
    <row r="152263" customFormat="1" x14ac:dyDescent="0.25"/>
    <row r="152264" customFormat="1" x14ac:dyDescent="0.25"/>
    <row r="152265" customFormat="1" x14ac:dyDescent="0.25"/>
    <row r="152266" customFormat="1" x14ac:dyDescent="0.25"/>
    <row r="152267" customFormat="1" x14ac:dyDescent="0.25"/>
    <row r="152268" customFormat="1" x14ac:dyDescent="0.25"/>
    <row r="152269" customFormat="1" x14ac:dyDescent="0.25"/>
    <row r="152270" customFormat="1" x14ac:dyDescent="0.25"/>
    <row r="152271" customFormat="1" x14ac:dyDescent="0.25"/>
    <row r="152272" customFormat="1" x14ac:dyDescent="0.25"/>
    <row r="152273" customFormat="1" x14ac:dyDescent="0.25"/>
    <row r="152274" customFormat="1" x14ac:dyDescent="0.25"/>
    <row r="152275" customFormat="1" x14ac:dyDescent="0.25"/>
    <row r="152276" customFormat="1" x14ac:dyDescent="0.25"/>
    <row r="152277" customFormat="1" x14ac:dyDescent="0.25"/>
    <row r="152278" customFormat="1" x14ac:dyDescent="0.25"/>
    <row r="152279" customFormat="1" x14ac:dyDescent="0.25"/>
    <row r="152280" customFormat="1" x14ac:dyDescent="0.25"/>
    <row r="152281" customFormat="1" x14ac:dyDescent="0.25"/>
    <row r="152282" customFormat="1" x14ac:dyDescent="0.25"/>
    <row r="152283" customFormat="1" x14ac:dyDescent="0.25"/>
    <row r="152284" customFormat="1" x14ac:dyDescent="0.25"/>
    <row r="152285" customFormat="1" x14ac:dyDescent="0.25"/>
    <row r="152286" customFormat="1" x14ac:dyDescent="0.25"/>
    <row r="152287" customFormat="1" x14ac:dyDescent="0.25"/>
    <row r="152288" customFormat="1" x14ac:dyDescent="0.25"/>
    <row r="152289" customFormat="1" x14ac:dyDescent="0.25"/>
    <row r="152290" customFormat="1" x14ac:dyDescent="0.25"/>
    <row r="152291" customFormat="1" x14ac:dyDescent="0.25"/>
    <row r="152292" customFormat="1" x14ac:dyDescent="0.25"/>
    <row r="152293" customFormat="1" x14ac:dyDescent="0.25"/>
    <row r="152294" customFormat="1" x14ac:dyDescent="0.25"/>
    <row r="152295" customFormat="1" x14ac:dyDescent="0.25"/>
    <row r="152296" customFormat="1" x14ac:dyDescent="0.25"/>
    <row r="152297" customFormat="1" x14ac:dyDescent="0.25"/>
    <row r="152298" customFormat="1" x14ac:dyDescent="0.25"/>
    <row r="152299" customFormat="1" x14ac:dyDescent="0.25"/>
    <row r="152300" customFormat="1" x14ac:dyDescent="0.25"/>
    <row r="152301" customFormat="1" x14ac:dyDescent="0.25"/>
    <row r="152302" customFormat="1" x14ac:dyDescent="0.25"/>
    <row r="152303" customFormat="1" x14ac:dyDescent="0.25"/>
    <row r="152304" customFormat="1" x14ac:dyDescent="0.25"/>
    <row r="152305" customFormat="1" x14ac:dyDescent="0.25"/>
    <row r="152306" customFormat="1" x14ac:dyDescent="0.25"/>
    <row r="152307" customFormat="1" x14ac:dyDescent="0.25"/>
    <row r="152308" customFormat="1" x14ac:dyDescent="0.25"/>
    <row r="152309" customFormat="1" x14ac:dyDescent="0.25"/>
    <row r="152310" customFormat="1" x14ac:dyDescent="0.25"/>
    <row r="152311" customFormat="1" x14ac:dyDescent="0.25"/>
    <row r="152312" customFormat="1" x14ac:dyDescent="0.25"/>
    <row r="152313" customFormat="1" x14ac:dyDescent="0.25"/>
    <row r="152314" customFormat="1" x14ac:dyDescent="0.25"/>
    <row r="152315" customFormat="1" x14ac:dyDescent="0.25"/>
    <row r="152316" customFormat="1" x14ac:dyDescent="0.25"/>
    <row r="152317" customFormat="1" x14ac:dyDescent="0.25"/>
    <row r="152318" customFormat="1" x14ac:dyDescent="0.25"/>
    <row r="152319" customFormat="1" x14ac:dyDescent="0.25"/>
    <row r="152320" customFormat="1" x14ac:dyDescent="0.25"/>
    <row r="152321" customFormat="1" x14ac:dyDescent="0.25"/>
    <row r="152322" customFormat="1" x14ac:dyDescent="0.25"/>
    <row r="152323" customFormat="1" x14ac:dyDescent="0.25"/>
    <row r="152324" customFormat="1" x14ac:dyDescent="0.25"/>
    <row r="152325" customFormat="1" x14ac:dyDescent="0.25"/>
    <row r="152326" customFormat="1" x14ac:dyDescent="0.25"/>
    <row r="152327" customFormat="1" x14ac:dyDescent="0.25"/>
    <row r="152328" customFormat="1" x14ac:dyDescent="0.25"/>
    <row r="152329" customFormat="1" x14ac:dyDescent="0.25"/>
    <row r="152330" customFormat="1" x14ac:dyDescent="0.25"/>
    <row r="152331" customFormat="1" x14ac:dyDescent="0.25"/>
    <row r="152332" customFormat="1" x14ac:dyDescent="0.25"/>
    <row r="152333" customFormat="1" x14ac:dyDescent="0.25"/>
    <row r="152334" customFormat="1" x14ac:dyDescent="0.25"/>
    <row r="152335" customFormat="1" x14ac:dyDescent="0.25"/>
    <row r="152336" customFormat="1" x14ac:dyDescent="0.25"/>
    <row r="152337" customFormat="1" x14ac:dyDescent="0.25"/>
    <row r="152338" customFormat="1" x14ac:dyDescent="0.25"/>
    <row r="152339" customFormat="1" x14ac:dyDescent="0.25"/>
    <row r="152340" customFormat="1" x14ac:dyDescent="0.25"/>
    <row r="152341" customFormat="1" x14ac:dyDescent="0.25"/>
    <row r="152342" customFormat="1" x14ac:dyDescent="0.25"/>
    <row r="152343" customFormat="1" x14ac:dyDescent="0.25"/>
    <row r="152344" customFormat="1" x14ac:dyDescent="0.25"/>
    <row r="152345" customFormat="1" x14ac:dyDescent="0.25"/>
    <row r="152346" customFormat="1" x14ac:dyDescent="0.25"/>
    <row r="152347" customFormat="1" x14ac:dyDescent="0.25"/>
    <row r="152348" customFormat="1" x14ac:dyDescent="0.25"/>
    <row r="152349" customFormat="1" x14ac:dyDescent="0.25"/>
    <row r="152350" customFormat="1" x14ac:dyDescent="0.25"/>
    <row r="152351" customFormat="1" x14ac:dyDescent="0.25"/>
    <row r="152352" customFormat="1" x14ac:dyDescent="0.25"/>
    <row r="152353" customFormat="1" x14ac:dyDescent="0.25"/>
    <row r="152354" customFormat="1" x14ac:dyDescent="0.25"/>
    <row r="152355" customFormat="1" x14ac:dyDescent="0.25"/>
    <row r="152356" customFormat="1" x14ac:dyDescent="0.25"/>
    <row r="152357" customFormat="1" x14ac:dyDescent="0.25"/>
    <row r="152358" customFormat="1" x14ac:dyDescent="0.25"/>
    <row r="152359" customFormat="1" x14ac:dyDescent="0.25"/>
    <row r="152360" customFormat="1" x14ac:dyDescent="0.25"/>
    <row r="152361" customFormat="1" x14ac:dyDescent="0.25"/>
    <row r="152362" customFormat="1" x14ac:dyDescent="0.25"/>
    <row r="152363" customFormat="1" x14ac:dyDescent="0.25"/>
    <row r="152364" customFormat="1" x14ac:dyDescent="0.25"/>
    <row r="152365" customFormat="1" x14ac:dyDescent="0.25"/>
    <row r="152366" customFormat="1" x14ac:dyDescent="0.25"/>
    <row r="152367" customFormat="1" x14ac:dyDescent="0.25"/>
    <row r="152368" customFormat="1" x14ac:dyDescent="0.25"/>
    <row r="152369" customFormat="1" x14ac:dyDescent="0.25"/>
    <row r="152370" customFormat="1" x14ac:dyDescent="0.25"/>
    <row r="152371" customFormat="1" x14ac:dyDescent="0.25"/>
    <row r="152372" customFormat="1" x14ac:dyDescent="0.25"/>
    <row r="152373" customFormat="1" x14ac:dyDescent="0.25"/>
    <row r="152374" customFormat="1" x14ac:dyDescent="0.25"/>
    <row r="152375" customFormat="1" x14ac:dyDescent="0.25"/>
    <row r="152376" customFormat="1" x14ac:dyDescent="0.25"/>
    <row r="152377" customFormat="1" x14ac:dyDescent="0.25"/>
    <row r="152378" customFormat="1" x14ac:dyDescent="0.25"/>
    <row r="152379" customFormat="1" x14ac:dyDescent="0.25"/>
    <row r="152380" customFormat="1" x14ac:dyDescent="0.25"/>
    <row r="152381" customFormat="1" x14ac:dyDescent="0.25"/>
    <row r="152382" customFormat="1" x14ac:dyDescent="0.25"/>
    <row r="152383" customFormat="1" x14ac:dyDescent="0.25"/>
    <row r="152384" customFormat="1" x14ac:dyDescent="0.25"/>
    <row r="152385" customFormat="1" x14ac:dyDescent="0.25"/>
    <row r="152386" customFormat="1" x14ac:dyDescent="0.25"/>
    <row r="152387" customFormat="1" x14ac:dyDescent="0.25"/>
    <row r="152388" customFormat="1" x14ac:dyDescent="0.25"/>
    <row r="152389" customFormat="1" x14ac:dyDescent="0.25"/>
    <row r="152390" customFormat="1" x14ac:dyDescent="0.25"/>
    <row r="152391" customFormat="1" x14ac:dyDescent="0.25"/>
    <row r="152392" customFormat="1" x14ac:dyDescent="0.25"/>
    <row r="152393" customFormat="1" x14ac:dyDescent="0.25"/>
    <row r="152394" customFormat="1" x14ac:dyDescent="0.25"/>
    <row r="152395" customFormat="1" x14ac:dyDescent="0.25"/>
    <row r="152396" customFormat="1" x14ac:dyDescent="0.25"/>
    <row r="152397" customFormat="1" x14ac:dyDescent="0.25"/>
    <row r="152398" customFormat="1" x14ac:dyDescent="0.25"/>
    <row r="152399" customFormat="1" x14ac:dyDescent="0.25"/>
    <row r="152400" customFormat="1" x14ac:dyDescent="0.25"/>
    <row r="152401" customFormat="1" x14ac:dyDescent="0.25"/>
    <row r="152402" customFormat="1" x14ac:dyDescent="0.25"/>
    <row r="152403" customFormat="1" x14ac:dyDescent="0.25"/>
    <row r="152404" customFormat="1" x14ac:dyDescent="0.25"/>
    <row r="152405" customFormat="1" x14ac:dyDescent="0.25"/>
    <row r="152406" customFormat="1" x14ac:dyDescent="0.25"/>
    <row r="152407" customFormat="1" x14ac:dyDescent="0.25"/>
    <row r="152408" customFormat="1" x14ac:dyDescent="0.25"/>
    <row r="152409" customFormat="1" x14ac:dyDescent="0.25"/>
    <row r="152410" customFormat="1" x14ac:dyDescent="0.25"/>
    <row r="152411" customFormat="1" x14ac:dyDescent="0.25"/>
    <row r="152412" customFormat="1" x14ac:dyDescent="0.25"/>
    <row r="152413" customFormat="1" x14ac:dyDescent="0.25"/>
    <row r="152414" customFormat="1" x14ac:dyDescent="0.25"/>
    <row r="152415" customFormat="1" x14ac:dyDescent="0.25"/>
    <row r="152416" customFormat="1" x14ac:dyDescent="0.25"/>
    <row r="152417" customFormat="1" x14ac:dyDescent="0.25"/>
    <row r="152418" customFormat="1" x14ac:dyDescent="0.25"/>
    <row r="152419" customFormat="1" x14ac:dyDescent="0.25"/>
    <row r="152420" customFormat="1" x14ac:dyDescent="0.25"/>
    <row r="152421" customFormat="1" x14ac:dyDescent="0.25"/>
    <row r="152422" customFormat="1" x14ac:dyDescent="0.25"/>
    <row r="152423" customFormat="1" x14ac:dyDescent="0.25"/>
    <row r="152424" customFormat="1" x14ac:dyDescent="0.25"/>
    <row r="152425" customFormat="1" x14ac:dyDescent="0.25"/>
    <row r="152426" customFormat="1" x14ac:dyDescent="0.25"/>
    <row r="152427" customFormat="1" x14ac:dyDescent="0.25"/>
    <row r="152428" customFormat="1" x14ac:dyDescent="0.25"/>
    <row r="152429" customFormat="1" x14ac:dyDescent="0.25"/>
    <row r="152430" customFormat="1" x14ac:dyDescent="0.25"/>
    <row r="152431" customFormat="1" x14ac:dyDescent="0.25"/>
    <row r="152432" customFormat="1" x14ac:dyDescent="0.25"/>
    <row r="152433" customFormat="1" x14ac:dyDescent="0.25"/>
    <row r="152434" customFormat="1" x14ac:dyDescent="0.25"/>
    <row r="152435" customFormat="1" x14ac:dyDescent="0.25"/>
    <row r="152436" customFormat="1" x14ac:dyDescent="0.25"/>
    <row r="152437" customFormat="1" x14ac:dyDescent="0.25"/>
    <row r="152438" customFormat="1" x14ac:dyDescent="0.25"/>
    <row r="152439" customFormat="1" x14ac:dyDescent="0.25"/>
    <row r="152440" customFormat="1" x14ac:dyDescent="0.25"/>
    <row r="152441" customFormat="1" x14ac:dyDescent="0.25"/>
    <row r="152442" customFormat="1" x14ac:dyDescent="0.25"/>
    <row r="152443" customFormat="1" x14ac:dyDescent="0.25"/>
    <row r="152444" customFormat="1" x14ac:dyDescent="0.25"/>
    <row r="152445" customFormat="1" x14ac:dyDescent="0.25"/>
    <row r="152446" customFormat="1" x14ac:dyDescent="0.25"/>
    <row r="152447" customFormat="1" x14ac:dyDescent="0.25"/>
    <row r="152448" customFormat="1" x14ac:dyDescent="0.25"/>
    <row r="152449" customFormat="1" x14ac:dyDescent="0.25"/>
    <row r="152450" customFormat="1" x14ac:dyDescent="0.25"/>
    <row r="152451" customFormat="1" x14ac:dyDescent="0.25"/>
    <row r="152452" customFormat="1" x14ac:dyDescent="0.25"/>
    <row r="152453" customFormat="1" x14ac:dyDescent="0.25"/>
    <row r="152454" customFormat="1" x14ac:dyDescent="0.25"/>
    <row r="152455" customFormat="1" x14ac:dyDescent="0.25"/>
    <row r="152456" customFormat="1" x14ac:dyDescent="0.25"/>
    <row r="152457" customFormat="1" x14ac:dyDescent="0.25"/>
    <row r="152458" customFormat="1" x14ac:dyDescent="0.25"/>
    <row r="152459" customFormat="1" x14ac:dyDescent="0.25"/>
    <row r="152460" customFormat="1" x14ac:dyDescent="0.25"/>
    <row r="152461" customFormat="1" x14ac:dyDescent="0.25"/>
    <row r="152462" customFormat="1" x14ac:dyDescent="0.25"/>
    <row r="152463" customFormat="1" x14ac:dyDescent="0.25"/>
    <row r="152464" customFormat="1" x14ac:dyDescent="0.25"/>
    <row r="152465" customFormat="1" x14ac:dyDescent="0.25"/>
    <row r="152466" customFormat="1" x14ac:dyDescent="0.25"/>
    <row r="152467" customFormat="1" x14ac:dyDescent="0.25"/>
    <row r="152468" customFormat="1" x14ac:dyDescent="0.25"/>
    <row r="152469" customFormat="1" x14ac:dyDescent="0.25"/>
    <row r="152470" customFormat="1" x14ac:dyDescent="0.25"/>
    <row r="152471" customFormat="1" x14ac:dyDescent="0.25"/>
    <row r="152472" customFormat="1" x14ac:dyDescent="0.25"/>
    <row r="152473" customFormat="1" x14ac:dyDescent="0.25"/>
    <row r="152474" customFormat="1" x14ac:dyDescent="0.25"/>
    <row r="152475" customFormat="1" x14ac:dyDescent="0.25"/>
    <row r="152476" customFormat="1" x14ac:dyDescent="0.25"/>
    <row r="152477" customFormat="1" x14ac:dyDescent="0.25"/>
    <row r="152478" customFormat="1" x14ac:dyDescent="0.25"/>
    <row r="152479" customFormat="1" x14ac:dyDescent="0.25"/>
    <row r="152480" customFormat="1" x14ac:dyDescent="0.25"/>
    <row r="152481" customFormat="1" x14ac:dyDescent="0.25"/>
    <row r="152482" customFormat="1" x14ac:dyDescent="0.25"/>
    <row r="152483" customFormat="1" x14ac:dyDescent="0.25"/>
    <row r="152484" customFormat="1" x14ac:dyDescent="0.25"/>
    <row r="152485" customFormat="1" x14ac:dyDescent="0.25"/>
    <row r="152486" customFormat="1" x14ac:dyDescent="0.25"/>
    <row r="152487" customFormat="1" x14ac:dyDescent="0.25"/>
    <row r="152488" customFormat="1" x14ac:dyDescent="0.25"/>
    <row r="152489" customFormat="1" x14ac:dyDescent="0.25"/>
    <row r="152490" customFormat="1" x14ac:dyDescent="0.25"/>
    <row r="152491" customFormat="1" x14ac:dyDescent="0.25"/>
    <row r="152492" customFormat="1" x14ac:dyDescent="0.25"/>
    <row r="152493" customFormat="1" x14ac:dyDescent="0.25"/>
    <row r="152494" customFormat="1" x14ac:dyDescent="0.25"/>
    <row r="152495" customFormat="1" x14ac:dyDescent="0.25"/>
    <row r="152496" customFormat="1" x14ac:dyDescent="0.25"/>
    <row r="152497" customFormat="1" x14ac:dyDescent="0.25"/>
    <row r="152498" customFormat="1" x14ac:dyDescent="0.25"/>
    <row r="152499" customFormat="1" x14ac:dyDescent="0.25"/>
    <row r="152500" customFormat="1" x14ac:dyDescent="0.25"/>
    <row r="152501" customFormat="1" x14ac:dyDescent="0.25"/>
    <row r="152502" customFormat="1" x14ac:dyDescent="0.25"/>
    <row r="152503" customFormat="1" x14ac:dyDescent="0.25"/>
    <row r="152504" customFormat="1" x14ac:dyDescent="0.25"/>
    <row r="152505" customFormat="1" x14ac:dyDescent="0.25"/>
    <row r="152506" customFormat="1" x14ac:dyDescent="0.25"/>
    <row r="152507" customFormat="1" x14ac:dyDescent="0.25"/>
    <row r="152508" customFormat="1" x14ac:dyDescent="0.25"/>
    <row r="152509" customFormat="1" x14ac:dyDescent="0.25"/>
    <row r="152510" customFormat="1" x14ac:dyDescent="0.25"/>
    <row r="152511" customFormat="1" x14ac:dyDescent="0.25"/>
    <row r="152512" customFormat="1" x14ac:dyDescent="0.25"/>
    <row r="152513" customFormat="1" x14ac:dyDescent="0.25"/>
    <row r="152514" customFormat="1" x14ac:dyDescent="0.25"/>
    <row r="152515" customFormat="1" x14ac:dyDescent="0.25"/>
    <row r="152516" customFormat="1" x14ac:dyDescent="0.25"/>
    <row r="152517" customFormat="1" x14ac:dyDescent="0.25"/>
    <row r="152518" customFormat="1" x14ac:dyDescent="0.25"/>
    <row r="152519" customFormat="1" x14ac:dyDescent="0.25"/>
    <row r="152520" customFormat="1" x14ac:dyDescent="0.25"/>
    <row r="152521" customFormat="1" x14ac:dyDescent="0.25"/>
    <row r="152522" customFormat="1" x14ac:dyDescent="0.25"/>
    <row r="152523" customFormat="1" x14ac:dyDescent="0.25"/>
    <row r="152524" customFormat="1" x14ac:dyDescent="0.25"/>
    <row r="152525" customFormat="1" x14ac:dyDescent="0.25"/>
    <row r="152526" customFormat="1" x14ac:dyDescent="0.25"/>
    <row r="152527" customFormat="1" x14ac:dyDescent="0.25"/>
    <row r="152528" customFormat="1" x14ac:dyDescent="0.25"/>
    <row r="152529" customFormat="1" x14ac:dyDescent="0.25"/>
    <row r="152530" customFormat="1" x14ac:dyDescent="0.25"/>
    <row r="152531" customFormat="1" x14ac:dyDescent="0.25"/>
    <row r="152532" customFormat="1" x14ac:dyDescent="0.25"/>
    <row r="152533" customFormat="1" x14ac:dyDescent="0.25"/>
    <row r="152534" customFormat="1" x14ac:dyDescent="0.25"/>
    <row r="152535" customFormat="1" x14ac:dyDescent="0.25"/>
    <row r="152536" customFormat="1" x14ac:dyDescent="0.25"/>
    <row r="152537" customFormat="1" x14ac:dyDescent="0.25"/>
    <row r="152538" customFormat="1" x14ac:dyDescent="0.25"/>
    <row r="152539" customFormat="1" x14ac:dyDescent="0.25"/>
    <row r="152540" customFormat="1" x14ac:dyDescent="0.25"/>
    <row r="152541" customFormat="1" x14ac:dyDescent="0.25"/>
    <row r="152542" customFormat="1" x14ac:dyDescent="0.25"/>
    <row r="152543" customFormat="1" x14ac:dyDescent="0.25"/>
    <row r="152544" customFormat="1" x14ac:dyDescent="0.25"/>
    <row r="152545" customFormat="1" x14ac:dyDescent="0.25"/>
    <row r="152546" customFormat="1" x14ac:dyDescent="0.25"/>
    <row r="152547" customFormat="1" x14ac:dyDescent="0.25"/>
    <row r="152548" customFormat="1" x14ac:dyDescent="0.25"/>
    <row r="152549" customFormat="1" x14ac:dyDescent="0.25"/>
    <row r="152550" customFormat="1" x14ac:dyDescent="0.25"/>
    <row r="152551" customFormat="1" x14ac:dyDescent="0.25"/>
    <row r="152552" customFormat="1" x14ac:dyDescent="0.25"/>
    <row r="152553" customFormat="1" x14ac:dyDescent="0.25"/>
    <row r="152554" customFormat="1" x14ac:dyDescent="0.25"/>
    <row r="152555" customFormat="1" x14ac:dyDescent="0.25"/>
    <row r="152556" customFormat="1" x14ac:dyDescent="0.25"/>
    <row r="152557" customFormat="1" x14ac:dyDescent="0.25"/>
    <row r="152558" customFormat="1" x14ac:dyDescent="0.25"/>
    <row r="152559" customFormat="1" x14ac:dyDescent="0.25"/>
    <row r="152560" customFormat="1" x14ac:dyDescent="0.25"/>
    <row r="152561" customFormat="1" x14ac:dyDescent="0.25"/>
    <row r="152562" customFormat="1" x14ac:dyDescent="0.25"/>
    <row r="152563" customFormat="1" x14ac:dyDescent="0.25"/>
    <row r="152564" customFormat="1" x14ac:dyDescent="0.25"/>
    <row r="152565" customFormat="1" x14ac:dyDescent="0.25"/>
    <row r="152566" customFormat="1" x14ac:dyDescent="0.25"/>
    <row r="152567" customFormat="1" x14ac:dyDescent="0.25"/>
    <row r="152568" customFormat="1" x14ac:dyDescent="0.25"/>
    <row r="152569" customFormat="1" x14ac:dyDescent="0.25"/>
    <row r="152570" customFormat="1" x14ac:dyDescent="0.25"/>
    <row r="152571" customFormat="1" x14ac:dyDescent="0.25"/>
    <row r="152572" customFormat="1" x14ac:dyDescent="0.25"/>
    <row r="152573" customFormat="1" x14ac:dyDescent="0.25"/>
    <row r="152574" customFormat="1" x14ac:dyDescent="0.25"/>
    <row r="152575" customFormat="1" x14ac:dyDescent="0.25"/>
    <row r="152576" customFormat="1" x14ac:dyDescent="0.25"/>
    <row r="152577" customFormat="1" x14ac:dyDescent="0.25"/>
    <row r="152578" customFormat="1" x14ac:dyDescent="0.25"/>
    <row r="152579" customFormat="1" x14ac:dyDescent="0.25"/>
    <row r="152580" customFormat="1" x14ac:dyDescent="0.25"/>
    <row r="152581" customFormat="1" x14ac:dyDescent="0.25"/>
    <row r="152582" customFormat="1" x14ac:dyDescent="0.25"/>
    <row r="152583" customFormat="1" x14ac:dyDescent="0.25"/>
    <row r="152584" customFormat="1" x14ac:dyDescent="0.25"/>
    <row r="152585" customFormat="1" x14ac:dyDescent="0.25"/>
    <row r="152586" customFormat="1" x14ac:dyDescent="0.25"/>
    <row r="152587" customFormat="1" x14ac:dyDescent="0.25"/>
    <row r="152588" customFormat="1" x14ac:dyDescent="0.25"/>
    <row r="152589" customFormat="1" x14ac:dyDescent="0.25"/>
    <row r="152590" customFormat="1" x14ac:dyDescent="0.25"/>
    <row r="152591" customFormat="1" x14ac:dyDescent="0.25"/>
    <row r="152592" customFormat="1" x14ac:dyDescent="0.25"/>
    <row r="152593" customFormat="1" x14ac:dyDescent="0.25"/>
    <row r="152594" customFormat="1" x14ac:dyDescent="0.25"/>
    <row r="152595" customFormat="1" x14ac:dyDescent="0.25"/>
    <row r="152596" customFormat="1" x14ac:dyDescent="0.25"/>
    <row r="152597" customFormat="1" x14ac:dyDescent="0.25"/>
    <row r="152598" customFormat="1" x14ac:dyDescent="0.25"/>
    <row r="152599" customFormat="1" x14ac:dyDescent="0.25"/>
    <row r="152600" customFormat="1" x14ac:dyDescent="0.25"/>
    <row r="152601" customFormat="1" x14ac:dyDescent="0.25"/>
    <row r="152602" customFormat="1" x14ac:dyDescent="0.25"/>
    <row r="152603" customFormat="1" x14ac:dyDescent="0.25"/>
    <row r="152604" customFormat="1" x14ac:dyDescent="0.25"/>
    <row r="152605" customFormat="1" x14ac:dyDescent="0.25"/>
    <row r="152606" customFormat="1" x14ac:dyDescent="0.25"/>
    <row r="152607" customFormat="1" x14ac:dyDescent="0.25"/>
    <row r="152608" customFormat="1" x14ac:dyDescent="0.25"/>
    <row r="152609" customFormat="1" x14ac:dyDescent="0.25"/>
    <row r="152610" customFormat="1" x14ac:dyDescent="0.25"/>
    <row r="152611" customFormat="1" x14ac:dyDescent="0.25"/>
    <row r="152612" customFormat="1" x14ac:dyDescent="0.25"/>
    <row r="152613" customFormat="1" x14ac:dyDescent="0.25"/>
    <row r="152614" customFormat="1" x14ac:dyDescent="0.25"/>
    <row r="152615" customFormat="1" x14ac:dyDescent="0.25"/>
    <row r="152616" customFormat="1" x14ac:dyDescent="0.25"/>
    <row r="152617" customFormat="1" x14ac:dyDescent="0.25"/>
    <row r="152618" customFormat="1" x14ac:dyDescent="0.25"/>
    <row r="152619" customFormat="1" x14ac:dyDescent="0.25"/>
    <row r="152620" customFormat="1" x14ac:dyDescent="0.25"/>
    <row r="152621" customFormat="1" x14ac:dyDescent="0.25"/>
    <row r="152622" customFormat="1" x14ac:dyDescent="0.25"/>
    <row r="152623" customFormat="1" x14ac:dyDescent="0.25"/>
    <row r="152624" customFormat="1" x14ac:dyDescent="0.25"/>
    <row r="152625" customFormat="1" x14ac:dyDescent="0.25"/>
    <row r="152626" customFormat="1" x14ac:dyDescent="0.25"/>
    <row r="152627" customFormat="1" x14ac:dyDescent="0.25"/>
    <row r="152628" customFormat="1" x14ac:dyDescent="0.25"/>
    <row r="152629" customFormat="1" x14ac:dyDescent="0.25"/>
    <row r="152630" customFormat="1" x14ac:dyDescent="0.25"/>
    <row r="152631" customFormat="1" x14ac:dyDescent="0.25"/>
    <row r="152632" customFormat="1" x14ac:dyDescent="0.25"/>
    <row r="152633" customFormat="1" x14ac:dyDescent="0.25"/>
    <row r="152634" customFormat="1" x14ac:dyDescent="0.25"/>
    <row r="152635" customFormat="1" x14ac:dyDescent="0.25"/>
    <row r="152636" customFormat="1" x14ac:dyDescent="0.25"/>
    <row r="152637" customFormat="1" x14ac:dyDescent="0.25"/>
    <row r="152638" customFormat="1" x14ac:dyDescent="0.25"/>
    <row r="152639" customFormat="1" x14ac:dyDescent="0.25"/>
    <row r="152640" customFormat="1" x14ac:dyDescent="0.25"/>
    <row r="152641" customFormat="1" x14ac:dyDescent="0.25"/>
    <row r="152642" customFormat="1" x14ac:dyDescent="0.25"/>
    <row r="152643" customFormat="1" x14ac:dyDescent="0.25"/>
    <row r="152644" customFormat="1" x14ac:dyDescent="0.25"/>
    <row r="152645" customFormat="1" x14ac:dyDescent="0.25"/>
    <row r="152646" customFormat="1" x14ac:dyDescent="0.25"/>
    <row r="152647" customFormat="1" x14ac:dyDescent="0.25"/>
    <row r="152648" customFormat="1" x14ac:dyDescent="0.25"/>
    <row r="152649" customFormat="1" x14ac:dyDescent="0.25"/>
    <row r="152650" customFormat="1" x14ac:dyDescent="0.25"/>
    <row r="152651" customFormat="1" x14ac:dyDescent="0.25"/>
    <row r="152652" customFormat="1" x14ac:dyDescent="0.25"/>
    <row r="152653" customFormat="1" x14ac:dyDescent="0.25"/>
    <row r="152654" customFormat="1" x14ac:dyDescent="0.25"/>
    <row r="152655" customFormat="1" x14ac:dyDescent="0.25"/>
    <row r="152656" customFormat="1" x14ac:dyDescent="0.25"/>
    <row r="152657" customFormat="1" x14ac:dyDescent="0.25"/>
    <row r="152658" customFormat="1" x14ac:dyDescent="0.25"/>
    <row r="152659" customFormat="1" x14ac:dyDescent="0.25"/>
    <row r="152660" customFormat="1" x14ac:dyDescent="0.25"/>
    <row r="152661" customFormat="1" x14ac:dyDescent="0.25"/>
    <row r="152662" customFormat="1" x14ac:dyDescent="0.25"/>
    <row r="152663" customFormat="1" x14ac:dyDescent="0.25"/>
    <row r="152664" customFormat="1" x14ac:dyDescent="0.25"/>
    <row r="152665" customFormat="1" x14ac:dyDescent="0.25"/>
    <row r="152666" customFormat="1" x14ac:dyDescent="0.25"/>
    <row r="152667" customFormat="1" x14ac:dyDescent="0.25"/>
    <row r="152668" customFormat="1" x14ac:dyDescent="0.25"/>
    <row r="152669" customFormat="1" x14ac:dyDescent="0.25"/>
    <row r="152670" customFormat="1" x14ac:dyDescent="0.25"/>
    <row r="152671" customFormat="1" x14ac:dyDescent="0.25"/>
    <row r="152672" customFormat="1" x14ac:dyDescent="0.25"/>
    <row r="152673" customFormat="1" x14ac:dyDescent="0.25"/>
    <row r="152674" customFormat="1" x14ac:dyDescent="0.25"/>
    <row r="152675" customFormat="1" x14ac:dyDescent="0.25"/>
    <row r="152676" customFormat="1" x14ac:dyDescent="0.25"/>
    <row r="152677" customFormat="1" x14ac:dyDescent="0.25"/>
    <row r="152678" customFormat="1" x14ac:dyDescent="0.25"/>
    <row r="152679" customFormat="1" x14ac:dyDescent="0.25"/>
    <row r="152680" customFormat="1" x14ac:dyDescent="0.25"/>
    <row r="152681" customFormat="1" x14ac:dyDescent="0.25"/>
    <row r="152682" customFormat="1" x14ac:dyDescent="0.25"/>
    <row r="152683" customFormat="1" x14ac:dyDescent="0.25"/>
    <row r="152684" customFormat="1" x14ac:dyDescent="0.25"/>
    <row r="152685" customFormat="1" x14ac:dyDescent="0.25"/>
    <row r="152686" customFormat="1" x14ac:dyDescent="0.25"/>
    <row r="152687" customFormat="1" x14ac:dyDescent="0.25"/>
    <row r="152688" customFormat="1" x14ac:dyDescent="0.25"/>
    <row r="152689" customFormat="1" x14ac:dyDescent="0.25"/>
    <row r="152690" customFormat="1" x14ac:dyDescent="0.25"/>
    <row r="152691" customFormat="1" x14ac:dyDescent="0.25"/>
    <row r="152692" customFormat="1" x14ac:dyDescent="0.25"/>
    <row r="152693" customFormat="1" x14ac:dyDescent="0.25"/>
    <row r="152694" customFormat="1" x14ac:dyDescent="0.25"/>
    <row r="152695" customFormat="1" x14ac:dyDescent="0.25"/>
    <row r="152696" customFormat="1" x14ac:dyDescent="0.25"/>
    <row r="152697" customFormat="1" x14ac:dyDescent="0.25"/>
    <row r="152698" customFormat="1" x14ac:dyDescent="0.25"/>
    <row r="152699" customFormat="1" x14ac:dyDescent="0.25"/>
    <row r="152700" customFormat="1" x14ac:dyDescent="0.25"/>
    <row r="152701" customFormat="1" x14ac:dyDescent="0.25"/>
    <row r="152702" customFormat="1" x14ac:dyDescent="0.25"/>
    <row r="152703" customFormat="1" x14ac:dyDescent="0.25"/>
    <row r="152704" customFormat="1" x14ac:dyDescent="0.25"/>
    <row r="152705" customFormat="1" x14ac:dyDescent="0.25"/>
    <row r="152706" customFormat="1" x14ac:dyDescent="0.25"/>
    <row r="152707" customFormat="1" x14ac:dyDescent="0.25"/>
    <row r="152708" customFormat="1" x14ac:dyDescent="0.25"/>
    <row r="152709" customFormat="1" x14ac:dyDescent="0.25"/>
    <row r="152710" customFormat="1" x14ac:dyDescent="0.25"/>
    <row r="152711" customFormat="1" x14ac:dyDescent="0.25"/>
    <row r="152712" customFormat="1" x14ac:dyDescent="0.25"/>
    <row r="152713" customFormat="1" x14ac:dyDescent="0.25"/>
    <row r="152714" customFormat="1" x14ac:dyDescent="0.25"/>
    <row r="152715" customFormat="1" x14ac:dyDescent="0.25"/>
    <row r="152716" customFormat="1" x14ac:dyDescent="0.25"/>
    <row r="152717" customFormat="1" x14ac:dyDescent="0.25"/>
    <row r="152718" customFormat="1" x14ac:dyDescent="0.25"/>
    <row r="152719" customFormat="1" x14ac:dyDescent="0.25"/>
    <row r="152720" customFormat="1" x14ac:dyDescent="0.25"/>
    <row r="152721" customFormat="1" x14ac:dyDescent="0.25"/>
    <row r="152722" customFormat="1" x14ac:dyDescent="0.25"/>
    <row r="152723" customFormat="1" x14ac:dyDescent="0.25"/>
    <row r="152724" customFormat="1" x14ac:dyDescent="0.25"/>
    <row r="152725" customFormat="1" x14ac:dyDescent="0.25"/>
    <row r="152726" customFormat="1" x14ac:dyDescent="0.25"/>
    <row r="152727" customFormat="1" x14ac:dyDescent="0.25"/>
    <row r="152728" customFormat="1" x14ac:dyDescent="0.25"/>
    <row r="152729" customFormat="1" x14ac:dyDescent="0.25"/>
    <row r="152730" customFormat="1" x14ac:dyDescent="0.25"/>
    <row r="152731" customFormat="1" x14ac:dyDescent="0.25"/>
    <row r="152732" customFormat="1" x14ac:dyDescent="0.25"/>
    <row r="152733" customFormat="1" x14ac:dyDescent="0.25"/>
    <row r="152734" customFormat="1" x14ac:dyDescent="0.25"/>
    <row r="152735" customFormat="1" x14ac:dyDescent="0.25"/>
    <row r="152736" customFormat="1" x14ac:dyDescent="0.25"/>
    <row r="152737" customFormat="1" x14ac:dyDescent="0.25"/>
    <row r="152738" customFormat="1" x14ac:dyDescent="0.25"/>
    <row r="152739" customFormat="1" x14ac:dyDescent="0.25"/>
    <row r="152740" customFormat="1" x14ac:dyDescent="0.25"/>
    <row r="152741" customFormat="1" x14ac:dyDescent="0.25"/>
    <row r="152742" customFormat="1" x14ac:dyDescent="0.25"/>
    <row r="152743" customFormat="1" x14ac:dyDescent="0.25"/>
    <row r="152744" customFormat="1" x14ac:dyDescent="0.25"/>
    <row r="152745" customFormat="1" x14ac:dyDescent="0.25"/>
    <row r="152746" customFormat="1" x14ac:dyDescent="0.25"/>
    <row r="152747" customFormat="1" x14ac:dyDescent="0.25"/>
    <row r="152748" customFormat="1" x14ac:dyDescent="0.25"/>
    <row r="152749" customFormat="1" x14ac:dyDescent="0.25"/>
    <row r="152750" customFormat="1" x14ac:dyDescent="0.25"/>
    <row r="152751" customFormat="1" x14ac:dyDescent="0.25"/>
    <row r="152752" customFormat="1" x14ac:dyDescent="0.25"/>
    <row r="152753" customFormat="1" x14ac:dyDescent="0.25"/>
    <row r="152754" customFormat="1" x14ac:dyDescent="0.25"/>
    <row r="152755" customFormat="1" x14ac:dyDescent="0.25"/>
    <row r="152756" customFormat="1" x14ac:dyDescent="0.25"/>
    <row r="152757" customFormat="1" x14ac:dyDescent="0.25"/>
    <row r="152758" customFormat="1" x14ac:dyDescent="0.25"/>
    <row r="152759" customFormat="1" x14ac:dyDescent="0.25"/>
    <row r="152760" customFormat="1" x14ac:dyDescent="0.25"/>
    <row r="152761" customFormat="1" x14ac:dyDescent="0.25"/>
    <row r="152762" customFormat="1" x14ac:dyDescent="0.25"/>
    <row r="152763" customFormat="1" x14ac:dyDescent="0.25"/>
    <row r="152764" customFormat="1" x14ac:dyDescent="0.25"/>
    <row r="152765" customFormat="1" x14ac:dyDescent="0.25"/>
    <row r="152766" customFormat="1" x14ac:dyDescent="0.25"/>
    <row r="152767" customFormat="1" x14ac:dyDescent="0.25"/>
    <row r="152768" customFormat="1" x14ac:dyDescent="0.25"/>
    <row r="152769" customFormat="1" x14ac:dyDescent="0.25"/>
    <row r="152770" customFormat="1" x14ac:dyDescent="0.25"/>
    <row r="152771" customFormat="1" x14ac:dyDescent="0.25"/>
    <row r="152772" customFormat="1" x14ac:dyDescent="0.25"/>
    <row r="152773" customFormat="1" x14ac:dyDescent="0.25"/>
    <row r="152774" customFormat="1" x14ac:dyDescent="0.25"/>
    <row r="152775" customFormat="1" x14ac:dyDescent="0.25"/>
    <row r="152776" customFormat="1" x14ac:dyDescent="0.25"/>
    <row r="152777" customFormat="1" x14ac:dyDescent="0.25"/>
    <row r="152778" customFormat="1" x14ac:dyDescent="0.25"/>
    <row r="152779" customFormat="1" x14ac:dyDescent="0.25"/>
    <row r="152780" customFormat="1" x14ac:dyDescent="0.25"/>
    <row r="152781" customFormat="1" x14ac:dyDescent="0.25"/>
    <row r="152782" customFormat="1" x14ac:dyDescent="0.25"/>
    <row r="152783" customFormat="1" x14ac:dyDescent="0.25"/>
    <row r="152784" customFormat="1" x14ac:dyDescent="0.25"/>
    <row r="152785" customFormat="1" x14ac:dyDescent="0.25"/>
    <row r="152786" customFormat="1" x14ac:dyDescent="0.25"/>
    <row r="152787" customFormat="1" x14ac:dyDescent="0.25"/>
    <row r="152788" customFormat="1" x14ac:dyDescent="0.25"/>
    <row r="152789" customFormat="1" x14ac:dyDescent="0.25"/>
    <row r="152790" customFormat="1" x14ac:dyDescent="0.25"/>
    <row r="152791" customFormat="1" x14ac:dyDescent="0.25"/>
    <row r="152792" customFormat="1" x14ac:dyDescent="0.25"/>
    <row r="152793" customFormat="1" x14ac:dyDescent="0.25"/>
    <row r="152794" customFormat="1" x14ac:dyDescent="0.25"/>
    <row r="152795" customFormat="1" x14ac:dyDescent="0.25"/>
    <row r="152796" customFormat="1" x14ac:dyDescent="0.25"/>
    <row r="152797" customFormat="1" x14ac:dyDescent="0.25"/>
    <row r="152798" customFormat="1" x14ac:dyDescent="0.25"/>
    <row r="152799" customFormat="1" x14ac:dyDescent="0.25"/>
    <row r="152800" customFormat="1" x14ac:dyDescent="0.25"/>
    <row r="152801" customFormat="1" x14ac:dyDescent="0.25"/>
    <row r="152802" customFormat="1" x14ac:dyDescent="0.25"/>
    <row r="152803" customFormat="1" x14ac:dyDescent="0.25"/>
    <row r="152804" customFormat="1" x14ac:dyDescent="0.25"/>
    <row r="152805" customFormat="1" x14ac:dyDescent="0.25"/>
    <row r="152806" customFormat="1" x14ac:dyDescent="0.25"/>
    <row r="152807" customFormat="1" x14ac:dyDescent="0.25"/>
    <row r="152808" customFormat="1" x14ac:dyDescent="0.25"/>
    <row r="152809" customFormat="1" x14ac:dyDescent="0.25"/>
    <row r="152810" customFormat="1" x14ac:dyDescent="0.25"/>
    <row r="152811" customFormat="1" x14ac:dyDescent="0.25"/>
    <row r="152812" customFormat="1" x14ac:dyDescent="0.25"/>
    <row r="152813" customFormat="1" x14ac:dyDescent="0.25"/>
    <row r="152814" customFormat="1" x14ac:dyDescent="0.25"/>
    <row r="152815" customFormat="1" x14ac:dyDescent="0.25"/>
    <row r="152816" customFormat="1" x14ac:dyDescent="0.25"/>
    <row r="152817" customFormat="1" x14ac:dyDescent="0.25"/>
    <row r="152818" customFormat="1" x14ac:dyDescent="0.25"/>
    <row r="152819" customFormat="1" x14ac:dyDescent="0.25"/>
    <row r="152820" customFormat="1" x14ac:dyDescent="0.25"/>
    <row r="152821" customFormat="1" x14ac:dyDescent="0.25"/>
    <row r="152822" customFormat="1" x14ac:dyDescent="0.25"/>
    <row r="152823" customFormat="1" x14ac:dyDescent="0.25"/>
    <row r="152824" customFormat="1" x14ac:dyDescent="0.25"/>
    <row r="152825" customFormat="1" x14ac:dyDescent="0.25"/>
    <row r="152826" customFormat="1" x14ac:dyDescent="0.25"/>
    <row r="152827" customFormat="1" x14ac:dyDescent="0.25"/>
    <row r="152828" customFormat="1" x14ac:dyDescent="0.25"/>
    <row r="152829" customFormat="1" x14ac:dyDescent="0.25"/>
    <row r="152830" customFormat="1" x14ac:dyDescent="0.25"/>
    <row r="152831" customFormat="1" x14ac:dyDescent="0.25"/>
    <row r="152832" customFormat="1" x14ac:dyDescent="0.25"/>
    <row r="152833" customFormat="1" x14ac:dyDescent="0.25"/>
    <row r="152834" customFormat="1" x14ac:dyDescent="0.25"/>
    <row r="152835" customFormat="1" x14ac:dyDescent="0.25"/>
    <row r="152836" customFormat="1" x14ac:dyDescent="0.25"/>
    <row r="152837" customFormat="1" x14ac:dyDescent="0.25"/>
    <row r="152838" customFormat="1" x14ac:dyDescent="0.25"/>
    <row r="152839" customFormat="1" x14ac:dyDescent="0.25"/>
    <row r="152840" customFormat="1" x14ac:dyDescent="0.25"/>
    <row r="152841" customFormat="1" x14ac:dyDescent="0.25"/>
    <row r="152842" customFormat="1" x14ac:dyDescent="0.25"/>
    <row r="152843" customFormat="1" x14ac:dyDescent="0.25"/>
    <row r="152844" customFormat="1" x14ac:dyDescent="0.25"/>
    <row r="152845" customFormat="1" x14ac:dyDescent="0.25"/>
    <row r="152846" customFormat="1" x14ac:dyDescent="0.25"/>
    <row r="152847" customFormat="1" x14ac:dyDescent="0.25"/>
    <row r="152848" customFormat="1" x14ac:dyDescent="0.25"/>
    <row r="152849" customFormat="1" x14ac:dyDescent="0.25"/>
    <row r="152850" customFormat="1" x14ac:dyDescent="0.25"/>
    <row r="152851" customFormat="1" x14ac:dyDescent="0.25"/>
    <row r="152852" customFormat="1" x14ac:dyDescent="0.25"/>
    <row r="152853" customFormat="1" x14ac:dyDescent="0.25"/>
    <row r="152854" customFormat="1" x14ac:dyDescent="0.25"/>
    <row r="152855" customFormat="1" x14ac:dyDescent="0.25"/>
    <row r="152856" customFormat="1" x14ac:dyDescent="0.25"/>
    <row r="152857" customFormat="1" x14ac:dyDescent="0.25"/>
    <row r="152858" customFormat="1" x14ac:dyDescent="0.25"/>
    <row r="152859" customFormat="1" x14ac:dyDescent="0.25"/>
    <row r="152860" customFormat="1" x14ac:dyDescent="0.25"/>
    <row r="152861" customFormat="1" x14ac:dyDescent="0.25"/>
    <row r="152862" customFormat="1" x14ac:dyDescent="0.25"/>
    <row r="152863" customFormat="1" x14ac:dyDescent="0.25"/>
    <row r="152864" customFormat="1" x14ac:dyDescent="0.25"/>
    <row r="152865" customFormat="1" x14ac:dyDescent="0.25"/>
    <row r="152866" customFormat="1" x14ac:dyDescent="0.25"/>
    <row r="152867" customFormat="1" x14ac:dyDescent="0.25"/>
    <row r="152868" customFormat="1" x14ac:dyDescent="0.25"/>
    <row r="152869" customFormat="1" x14ac:dyDescent="0.25"/>
    <row r="152870" customFormat="1" x14ac:dyDescent="0.25"/>
    <row r="152871" customFormat="1" x14ac:dyDescent="0.25"/>
    <row r="152872" customFormat="1" x14ac:dyDescent="0.25"/>
    <row r="152873" customFormat="1" x14ac:dyDescent="0.25"/>
    <row r="152874" customFormat="1" x14ac:dyDescent="0.25"/>
    <row r="152875" customFormat="1" x14ac:dyDescent="0.25"/>
    <row r="152876" customFormat="1" x14ac:dyDescent="0.25"/>
    <row r="152877" customFormat="1" x14ac:dyDescent="0.25"/>
    <row r="152878" customFormat="1" x14ac:dyDescent="0.25"/>
    <row r="152879" customFormat="1" x14ac:dyDescent="0.25"/>
    <row r="152880" customFormat="1" x14ac:dyDescent="0.25"/>
    <row r="152881" customFormat="1" x14ac:dyDescent="0.25"/>
    <row r="152882" customFormat="1" x14ac:dyDescent="0.25"/>
    <row r="152883" customFormat="1" x14ac:dyDescent="0.25"/>
    <row r="152884" customFormat="1" x14ac:dyDescent="0.25"/>
    <row r="152885" customFormat="1" x14ac:dyDescent="0.25"/>
    <row r="152886" customFormat="1" x14ac:dyDescent="0.25"/>
    <row r="152887" customFormat="1" x14ac:dyDescent="0.25"/>
    <row r="152888" customFormat="1" x14ac:dyDescent="0.25"/>
    <row r="152889" customFormat="1" x14ac:dyDescent="0.25"/>
    <row r="152890" customFormat="1" x14ac:dyDescent="0.25"/>
    <row r="152891" customFormat="1" x14ac:dyDescent="0.25"/>
    <row r="152892" customFormat="1" x14ac:dyDescent="0.25"/>
    <row r="152893" customFormat="1" x14ac:dyDescent="0.25"/>
    <row r="152894" customFormat="1" x14ac:dyDescent="0.25"/>
    <row r="152895" customFormat="1" x14ac:dyDescent="0.25"/>
    <row r="152896" customFormat="1" x14ac:dyDescent="0.25"/>
    <row r="152897" customFormat="1" x14ac:dyDescent="0.25"/>
    <row r="152898" customFormat="1" x14ac:dyDescent="0.25"/>
    <row r="152899" customFormat="1" x14ac:dyDescent="0.25"/>
    <row r="152900" customFormat="1" x14ac:dyDescent="0.25"/>
    <row r="152901" customFormat="1" x14ac:dyDescent="0.25"/>
    <row r="152902" customFormat="1" x14ac:dyDescent="0.25"/>
    <row r="152903" customFormat="1" x14ac:dyDescent="0.25"/>
    <row r="152904" customFormat="1" x14ac:dyDescent="0.25"/>
    <row r="152905" customFormat="1" x14ac:dyDescent="0.25"/>
    <row r="152906" customFormat="1" x14ac:dyDescent="0.25"/>
    <row r="152907" customFormat="1" x14ac:dyDescent="0.25"/>
    <row r="152908" customFormat="1" x14ac:dyDescent="0.25"/>
    <row r="152909" customFormat="1" x14ac:dyDescent="0.25"/>
    <row r="152910" customFormat="1" x14ac:dyDescent="0.25"/>
    <row r="152911" customFormat="1" x14ac:dyDescent="0.25"/>
    <row r="152912" customFormat="1" x14ac:dyDescent="0.25"/>
    <row r="152913" customFormat="1" x14ac:dyDescent="0.25"/>
    <row r="152914" customFormat="1" x14ac:dyDescent="0.25"/>
    <row r="152915" customFormat="1" x14ac:dyDescent="0.25"/>
    <row r="152916" customFormat="1" x14ac:dyDescent="0.25"/>
    <row r="152917" customFormat="1" x14ac:dyDescent="0.25"/>
    <row r="152918" customFormat="1" x14ac:dyDescent="0.25"/>
    <row r="152919" customFormat="1" x14ac:dyDescent="0.25"/>
    <row r="152920" customFormat="1" x14ac:dyDescent="0.25"/>
    <row r="152921" customFormat="1" x14ac:dyDescent="0.25"/>
    <row r="152922" customFormat="1" x14ac:dyDescent="0.25"/>
    <row r="152923" customFormat="1" x14ac:dyDescent="0.25"/>
    <row r="152924" customFormat="1" x14ac:dyDescent="0.25"/>
    <row r="152925" customFormat="1" x14ac:dyDescent="0.25"/>
    <row r="152926" customFormat="1" x14ac:dyDescent="0.25"/>
    <row r="152927" customFormat="1" x14ac:dyDescent="0.25"/>
    <row r="152928" customFormat="1" x14ac:dyDescent="0.25"/>
    <row r="152929" customFormat="1" x14ac:dyDescent="0.25"/>
    <row r="152930" customFormat="1" x14ac:dyDescent="0.25"/>
    <row r="152931" customFormat="1" x14ac:dyDescent="0.25"/>
    <row r="152932" customFormat="1" x14ac:dyDescent="0.25"/>
    <row r="152933" customFormat="1" x14ac:dyDescent="0.25"/>
    <row r="152934" customFormat="1" x14ac:dyDescent="0.25"/>
    <row r="152935" customFormat="1" x14ac:dyDescent="0.25"/>
    <row r="152936" customFormat="1" x14ac:dyDescent="0.25"/>
    <row r="152937" customFormat="1" x14ac:dyDescent="0.25"/>
    <row r="152938" customFormat="1" x14ac:dyDescent="0.25"/>
    <row r="152939" customFormat="1" x14ac:dyDescent="0.25"/>
    <row r="152940" customFormat="1" x14ac:dyDescent="0.25"/>
    <row r="152941" customFormat="1" x14ac:dyDescent="0.25"/>
    <row r="152942" customFormat="1" x14ac:dyDescent="0.25"/>
    <row r="152943" customFormat="1" x14ac:dyDescent="0.25"/>
    <row r="152944" customFormat="1" x14ac:dyDescent="0.25"/>
    <row r="152945" customFormat="1" x14ac:dyDescent="0.25"/>
    <row r="152946" customFormat="1" x14ac:dyDescent="0.25"/>
    <row r="152947" customFormat="1" x14ac:dyDescent="0.25"/>
    <row r="152948" customFormat="1" x14ac:dyDescent="0.25"/>
    <row r="152949" customFormat="1" x14ac:dyDescent="0.25"/>
    <row r="152950" customFormat="1" x14ac:dyDescent="0.25"/>
    <row r="152951" customFormat="1" x14ac:dyDescent="0.25"/>
    <row r="152952" customFormat="1" x14ac:dyDescent="0.25"/>
    <row r="152953" customFormat="1" x14ac:dyDescent="0.25"/>
    <row r="152954" customFormat="1" x14ac:dyDescent="0.25"/>
    <row r="152955" customFormat="1" x14ac:dyDescent="0.25"/>
    <row r="152956" customFormat="1" x14ac:dyDescent="0.25"/>
    <row r="152957" customFormat="1" x14ac:dyDescent="0.25"/>
    <row r="152958" customFormat="1" x14ac:dyDescent="0.25"/>
    <row r="152959" customFormat="1" x14ac:dyDescent="0.25"/>
    <row r="152960" customFormat="1" x14ac:dyDescent="0.25"/>
    <row r="152961" customFormat="1" x14ac:dyDescent="0.25"/>
    <row r="152962" customFormat="1" x14ac:dyDescent="0.25"/>
    <row r="152963" customFormat="1" x14ac:dyDescent="0.25"/>
    <row r="152964" customFormat="1" x14ac:dyDescent="0.25"/>
    <row r="152965" customFormat="1" x14ac:dyDescent="0.25"/>
    <row r="152966" customFormat="1" x14ac:dyDescent="0.25"/>
    <row r="152967" customFormat="1" x14ac:dyDescent="0.25"/>
    <row r="152968" customFormat="1" x14ac:dyDescent="0.25"/>
    <row r="152969" customFormat="1" x14ac:dyDescent="0.25"/>
    <row r="152970" customFormat="1" x14ac:dyDescent="0.25"/>
    <row r="152971" customFormat="1" x14ac:dyDescent="0.25"/>
    <row r="152972" customFormat="1" x14ac:dyDescent="0.25"/>
    <row r="152973" customFormat="1" x14ac:dyDescent="0.25"/>
    <row r="152974" customFormat="1" x14ac:dyDescent="0.25"/>
    <row r="152975" customFormat="1" x14ac:dyDescent="0.25"/>
    <row r="152976" customFormat="1" x14ac:dyDescent="0.25"/>
    <row r="152977" customFormat="1" x14ac:dyDescent="0.25"/>
    <row r="152978" customFormat="1" x14ac:dyDescent="0.25"/>
    <row r="152979" customFormat="1" x14ac:dyDescent="0.25"/>
    <row r="152980" customFormat="1" x14ac:dyDescent="0.25"/>
    <row r="152981" customFormat="1" x14ac:dyDescent="0.25"/>
    <row r="152982" customFormat="1" x14ac:dyDescent="0.25"/>
    <row r="152983" customFormat="1" x14ac:dyDescent="0.25"/>
    <row r="152984" customFormat="1" x14ac:dyDescent="0.25"/>
    <row r="152985" customFormat="1" x14ac:dyDescent="0.25"/>
    <row r="152986" customFormat="1" x14ac:dyDescent="0.25"/>
    <row r="152987" customFormat="1" x14ac:dyDescent="0.25"/>
    <row r="152988" customFormat="1" x14ac:dyDescent="0.25"/>
    <row r="152989" customFormat="1" x14ac:dyDescent="0.25"/>
    <row r="152990" customFormat="1" x14ac:dyDescent="0.25"/>
    <row r="152991" customFormat="1" x14ac:dyDescent="0.25"/>
    <row r="152992" customFormat="1" x14ac:dyDescent="0.25"/>
    <row r="152993" customFormat="1" x14ac:dyDescent="0.25"/>
    <row r="152994" customFormat="1" x14ac:dyDescent="0.25"/>
    <row r="152995" customFormat="1" x14ac:dyDescent="0.25"/>
    <row r="152996" customFormat="1" x14ac:dyDescent="0.25"/>
    <row r="152997" customFormat="1" x14ac:dyDescent="0.25"/>
    <row r="152998" customFormat="1" x14ac:dyDescent="0.25"/>
    <row r="152999" customFormat="1" x14ac:dyDescent="0.25"/>
    <row r="153000" customFormat="1" x14ac:dyDescent="0.25"/>
    <row r="153001" customFormat="1" x14ac:dyDescent="0.25"/>
    <row r="153002" customFormat="1" x14ac:dyDescent="0.25"/>
    <row r="153003" customFormat="1" x14ac:dyDescent="0.25"/>
    <row r="153004" customFormat="1" x14ac:dyDescent="0.25"/>
    <row r="153005" customFormat="1" x14ac:dyDescent="0.25"/>
    <row r="153006" customFormat="1" x14ac:dyDescent="0.25"/>
    <row r="153007" customFormat="1" x14ac:dyDescent="0.25"/>
    <row r="153008" customFormat="1" x14ac:dyDescent="0.25"/>
    <row r="153009" customFormat="1" x14ac:dyDescent="0.25"/>
    <row r="153010" customFormat="1" x14ac:dyDescent="0.25"/>
    <row r="153011" customFormat="1" x14ac:dyDescent="0.25"/>
    <row r="153012" customFormat="1" x14ac:dyDescent="0.25"/>
    <row r="153013" customFormat="1" x14ac:dyDescent="0.25"/>
    <row r="153014" customFormat="1" x14ac:dyDescent="0.25"/>
    <row r="153015" customFormat="1" x14ac:dyDescent="0.25"/>
    <row r="153016" customFormat="1" x14ac:dyDescent="0.25"/>
    <row r="153017" customFormat="1" x14ac:dyDescent="0.25"/>
    <row r="153018" customFormat="1" x14ac:dyDescent="0.25"/>
    <row r="153019" customFormat="1" x14ac:dyDescent="0.25"/>
    <row r="153020" customFormat="1" x14ac:dyDescent="0.25"/>
    <row r="153021" customFormat="1" x14ac:dyDescent="0.25"/>
    <row r="153022" customFormat="1" x14ac:dyDescent="0.25"/>
    <row r="153023" customFormat="1" x14ac:dyDescent="0.25"/>
    <row r="153024" customFormat="1" x14ac:dyDescent="0.25"/>
    <row r="153025" customFormat="1" x14ac:dyDescent="0.25"/>
    <row r="153026" customFormat="1" x14ac:dyDescent="0.25"/>
    <row r="153027" customFormat="1" x14ac:dyDescent="0.25"/>
    <row r="153028" customFormat="1" x14ac:dyDescent="0.25"/>
    <row r="153029" customFormat="1" x14ac:dyDescent="0.25"/>
    <row r="153030" customFormat="1" x14ac:dyDescent="0.25"/>
    <row r="153031" customFormat="1" x14ac:dyDescent="0.25"/>
    <row r="153032" customFormat="1" x14ac:dyDescent="0.25"/>
    <row r="153033" customFormat="1" x14ac:dyDescent="0.25"/>
    <row r="153034" customFormat="1" x14ac:dyDescent="0.25"/>
    <row r="153035" customFormat="1" x14ac:dyDescent="0.25"/>
    <row r="153036" customFormat="1" x14ac:dyDescent="0.25"/>
    <row r="153037" customFormat="1" x14ac:dyDescent="0.25"/>
    <row r="153038" customFormat="1" x14ac:dyDescent="0.25"/>
    <row r="153039" customFormat="1" x14ac:dyDescent="0.25"/>
    <row r="153040" customFormat="1" x14ac:dyDescent="0.25"/>
    <row r="153041" customFormat="1" x14ac:dyDescent="0.25"/>
    <row r="153042" customFormat="1" x14ac:dyDescent="0.25"/>
    <row r="153043" customFormat="1" x14ac:dyDescent="0.25"/>
    <row r="153044" customFormat="1" x14ac:dyDescent="0.25"/>
    <row r="153045" customFormat="1" x14ac:dyDescent="0.25"/>
    <row r="153046" customFormat="1" x14ac:dyDescent="0.25"/>
    <row r="153047" customFormat="1" x14ac:dyDescent="0.25"/>
    <row r="153048" customFormat="1" x14ac:dyDescent="0.25"/>
    <row r="153049" customFormat="1" x14ac:dyDescent="0.25"/>
    <row r="153050" customFormat="1" x14ac:dyDescent="0.25"/>
    <row r="153051" customFormat="1" x14ac:dyDescent="0.25"/>
    <row r="153052" customFormat="1" x14ac:dyDescent="0.25"/>
    <row r="153053" customFormat="1" x14ac:dyDescent="0.25"/>
    <row r="153054" customFormat="1" x14ac:dyDescent="0.25"/>
    <row r="153055" customFormat="1" x14ac:dyDescent="0.25"/>
    <row r="153056" customFormat="1" x14ac:dyDescent="0.25"/>
    <row r="153057" customFormat="1" x14ac:dyDescent="0.25"/>
    <row r="153058" customFormat="1" x14ac:dyDescent="0.25"/>
    <row r="153059" customFormat="1" x14ac:dyDescent="0.25"/>
    <row r="153060" customFormat="1" x14ac:dyDescent="0.25"/>
    <row r="153061" customFormat="1" x14ac:dyDescent="0.25"/>
    <row r="153062" customFormat="1" x14ac:dyDescent="0.25"/>
    <row r="153063" customFormat="1" x14ac:dyDescent="0.25"/>
    <row r="153064" customFormat="1" x14ac:dyDescent="0.25"/>
    <row r="153065" customFormat="1" x14ac:dyDescent="0.25"/>
    <row r="153066" customFormat="1" x14ac:dyDescent="0.25"/>
    <row r="153067" customFormat="1" x14ac:dyDescent="0.25"/>
    <row r="153068" customFormat="1" x14ac:dyDescent="0.25"/>
    <row r="153069" customFormat="1" x14ac:dyDescent="0.25"/>
    <row r="153070" customFormat="1" x14ac:dyDescent="0.25"/>
    <row r="153071" customFormat="1" x14ac:dyDescent="0.25"/>
    <row r="153072" customFormat="1" x14ac:dyDescent="0.25"/>
    <row r="153073" customFormat="1" x14ac:dyDescent="0.25"/>
    <row r="153074" customFormat="1" x14ac:dyDescent="0.25"/>
    <row r="153075" customFormat="1" x14ac:dyDescent="0.25"/>
    <row r="153076" customFormat="1" x14ac:dyDescent="0.25"/>
    <row r="153077" customFormat="1" x14ac:dyDescent="0.25"/>
    <row r="153078" customFormat="1" x14ac:dyDescent="0.25"/>
    <row r="153079" customFormat="1" x14ac:dyDescent="0.25"/>
    <row r="153080" customFormat="1" x14ac:dyDescent="0.25"/>
    <row r="153081" customFormat="1" x14ac:dyDescent="0.25"/>
    <row r="153082" customFormat="1" x14ac:dyDescent="0.25"/>
    <row r="153083" customFormat="1" x14ac:dyDescent="0.25"/>
    <row r="153084" customFormat="1" x14ac:dyDescent="0.25"/>
    <row r="153085" customFormat="1" x14ac:dyDescent="0.25"/>
    <row r="153086" customFormat="1" x14ac:dyDescent="0.25"/>
    <row r="153087" customFormat="1" x14ac:dyDescent="0.25"/>
    <row r="153088" customFormat="1" x14ac:dyDescent="0.25"/>
    <row r="153089" customFormat="1" x14ac:dyDescent="0.25"/>
    <row r="153090" customFormat="1" x14ac:dyDescent="0.25"/>
    <row r="153091" customFormat="1" x14ac:dyDescent="0.25"/>
    <row r="153092" customFormat="1" x14ac:dyDescent="0.25"/>
    <row r="153093" customFormat="1" x14ac:dyDescent="0.25"/>
    <row r="153094" customFormat="1" x14ac:dyDescent="0.25"/>
    <row r="153095" customFormat="1" x14ac:dyDescent="0.25"/>
    <row r="153096" customFormat="1" x14ac:dyDescent="0.25"/>
    <row r="153097" customFormat="1" x14ac:dyDescent="0.25"/>
    <row r="153098" customFormat="1" x14ac:dyDescent="0.25"/>
    <row r="153099" customFormat="1" x14ac:dyDescent="0.25"/>
    <row r="153100" customFormat="1" x14ac:dyDescent="0.25"/>
    <row r="153101" customFormat="1" x14ac:dyDescent="0.25"/>
    <row r="153102" customFormat="1" x14ac:dyDescent="0.25"/>
    <row r="153103" customFormat="1" x14ac:dyDescent="0.25"/>
    <row r="153104" customFormat="1" x14ac:dyDescent="0.25"/>
    <row r="153105" customFormat="1" x14ac:dyDescent="0.25"/>
    <row r="153106" customFormat="1" x14ac:dyDescent="0.25"/>
    <row r="153107" customFormat="1" x14ac:dyDescent="0.25"/>
    <row r="153108" customFormat="1" x14ac:dyDescent="0.25"/>
    <row r="153109" customFormat="1" x14ac:dyDescent="0.25"/>
    <row r="153110" customFormat="1" x14ac:dyDescent="0.25"/>
    <row r="153111" customFormat="1" x14ac:dyDescent="0.25"/>
    <row r="153112" customFormat="1" x14ac:dyDescent="0.25"/>
    <row r="153113" customFormat="1" x14ac:dyDescent="0.25"/>
    <row r="153114" customFormat="1" x14ac:dyDescent="0.25"/>
    <row r="153115" customFormat="1" x14ac:dyDescent="0.25"/>
    <row r="153116" customFormat="1" x14ac:dyDescent="0.25"/>
    <row r="153117" customFormat="1" x14ac:dyDescent="0.25"/>
    <row r="153118" customFormat="1" x14ac:dyDescent="0.25"/>
    <row r="153119" customFormat="1" x14ac:dyDescent="0.25"/>
    <row r="153120" customFormat="1" x14ac:dyDescent="0.25"/>
    <row r="153121" customFormat="1" x14ac:dyDescent="0.25"/>
    <row r="153122" customFormat="1" x14ac:dyDescent="0.25"/>
    <row r="153123" customFormat="1" x14ac:dyDescent="0.25"/>
    <row r="153124" customFormat="1" x14ac:dyDescent="0.25"/>
    <row r="153125" customFormat="1" x14ac:dyDescent="0.25"/>
    <row r="153126" customFormat="1" x14ac:dyDescent="0.25"/>
    <row r="153127" customFormat="1" x14ac:dyDescent="0.25"/>
    <row r="153128" customFormat="1" x14ac:dyDescent="0.25"/>
    <row r="153129" customFormat="1" x14ac:dyDescent="0.25"/>
    <row r="153130" customFormat="1" x14ac:dyDescent="0.25"/>
    <row r="153131" customFormat="1" x14ac:dyDescent="0.25"/>
    <row r="153132" customFormat="1" x14ac:dyDescent="0.25"/>
    <row r="153133" customFormat="1" x14ac:dyDescent="0.25"/>
    <row r="153134" customFormat="1" x14ac:dyDescent="0.25"/>
    <row r="153135" customFormat="1" x14ac:dyDescent="0.25"/>
    <row r="153136" customFormat="1" x14ac:dyDescent="0.25"/>
    <row r="153137" customFormat="1" x14ac:dyDescent="0.25"/>
    <row r="153138" customFormat="1" x14ac:dyDescent="0.25"/>
    <row r="153139" customFormat="1" x14ac:dyDescent="0.25"/>
    <row r="153140" customFormat="1" x14ac:dyDescent="0.25"/>
    <row r="153141" customFormat="1" x14ac:dyDescent="0.25"/>
    <row r="153142" customFormat="1" x14ac:dyDescent="0.25"/>
    <row r="153143" customFormat="1" x14ac:dyDescent="0.25"/>
    <row r="153144" customFormat="1" x14ac:dyDescent="0.25"/>
    <row r="153145" customFormat="1" x14ac:dyDescent="0.25"/>
    <row r="153146" customFormat="1" x14ac:dyDescent="0.25"/>
    <row r="153147" customFormat="1" x14ac:dyDescent="0.25"/>
    <row r="153148" customFormat="1" x14ac:dyDescent="0.25"/>
    <row r="153149" customFormat="1" x14ac:dyDescent="0.25"/>
    <row r="153150" customFormat="1" x14ac:dyDescent="0.25"/>
    <row r="153151" customFormat="1" x14ac:dyDescent="0.25"/>
    <row r="153152" customFormat="1" x14ac:dyDescent="0.25"/>
    <row r="153153" customFormat="1" x14ac:dyDescent="0.25"/>
    <row r="153154" customFormat="1" x14ac:dyDescent="0.25"/>
    <row r="153155" customFormat="1" x14ac:dyDescent="0.25"/>
    <row r="153156" customFormat="1" x14ac:dyDescent="0.25"/>
    <row r="153157" customFormat="1" x14ac:dyDescent="0.25"/>
    <row r="153158" customFormat="1" x14ac:dyDescent="0.25"/>
    <row r="153159" customFormat="1" x14ac:dyDescent="0.25"/>
    <row r="153160" customFormat="1" x14ac:dyDescent="0.25"/>
    <row r="153161" customFormat="1" x14ac:dyDescent="0.25"/>
    <row r="153162" customFormat="1" x14ac:dyDescent="0.25"/>
    <row r="153163" customFormat="1" x14ac:dyDescent="0.25"/>
    <row r="153164" customFormat="1" x14ac:dyDescent="0.25"/>
    <row r="153165" customFormat="1" x14ac:dyDescent="0.25"/>
    <row r="153166" customFormat="1" x14ac:dyDescent="0.25"/>
    <row r="153167" customFormat="1" x14ac:dyDescent="0.25"/>
    <row r="153168" customFormat="1" x14ac:dyDescent="0.25"/>
    <row r="153169" customFormat="1" x14ac:dyDescent="0.25"/>
    <row r="153170" customFormat="1" x14ac:dyDescent="0.25"/>
    <row r="153171" customFormat="1" x14ac:dyDescent="0.25"/>
    <row r="153172" customFormat="1" x14ac:dyDescent="0.25"/>
    <row r="153173" customFormat="1" x14ac:dyDescent="0.25"/>
    <row r="153174" customFormat="1" x14ac:dyDescent="0.25"/>
    <row r="153175" customFormat="1" x14ac:dyDescent="0.25"/>
    <row r="153176" customFormat="1" x14ac:dyDescent="0.25"/>
    <row r="153177" customFormat="1" x14ac:dyDescent="0.25"/>
    <row r="153178" customFormat="1" x14ac:dyDescent="0.25"/>
    <row r="153179" customFormat="1" x14ac:dyDescent="0.25"/>
    <row r="153180" customFormat="1" x14ac:dyDescent="0.25"/>
    <row r="153181" customFormat="1" x14ac:dyDescent="0.25"/>
    <row r="153182" customFormat="1" x14ac:dyDescent="0.25"/>
    <row r="153183" customFormat="1" x14ac:dyDescent="0.25"/>
    <row r="153184" customFormat="1" x14ac:dyDescent="0.25"/>
    <row r="153185" customFormat="1" x14ac:dyDescent="0.25"/>
    <row r="153186" customFormat="1" x14ac:dyDescent="0.25"/>
    <row r="153187" customFormat="1" x14ac:dyDescent="0.25"/>
    <row r="153188" customFormat="1" x14ac:dyDescent="0.25"/>
    <row r="153189" customFormat="1" x14ac:dyDescent="0.25"/>
    <row r="153190" customFormat="1" x14ac:dyDescent="0.25"/>
    <row r="153191" customFormat="1" x14ac:dyDescent="0.25"/>
    <row r="153192" customFormat="1" x14ac:dyDescent="0.25"/>
    <row r="153193" customFormat="1" x14ac:dyDescent="0.25"/>
    <row r="153194" customFormat="1" x14ac:dyDescent="0.25"/>
    <row r="153195" customFormat="1" x14ac:dyDescent="0.25"/>
    <row r="153196" customFormat="1" x14ac:dyDescent="0.25"/>
    <row r="153197" customFormat="1" x14ac:dyDescent="0.25"/>
    <row r="153198" customFormat="1" x14ac:dyDescent="0.25"/>
    <row r="153199" customFormat="1" x14ac:dyDescent="0.25"/>
    <row r="153200" customFormat="1" x14ac:dyDescent="0.25"/>
    <row r="153201" customFormat="1" x14ac:dyDescent="0.25"/>
    <row r="153202" customFormat="1" x14ac:dyDescent="0.25"/>
    <row r="153203" customFormat="1" x14ac:dyDescent="0.25"/>
    <row r="153204" customFormat="1" x14ac:dyDescent="0.25"/>
    <row r="153205" customFormat="1" x14ac:dyDescent="0.25"/>
    <row r="153206" customFormat="1" x14ac:dyDescent="0.25"/>
    <row r="153207" customFormat="1" x14ac:dyDescent="0.25"/>
    <row r="153208" customFormat="1" x14ac:dyDescent="0.25"/>
    <row r="153209" customFormat="1" x14ac:dyDescent="0.25"/>
    <row r="153210" customFormat="1" x14ac:dyDescent="0.25"/>
    <row r="153211" customFormat="1" x14ac:dyDescent="0.25"/>
    <row r="153212" customFormat="1" x14ac:dyDescent="0.25"/>
    <row r="153213" customFormat="1" x14ac:dyDescent="0.25"/>
    <row r="153214" customFormat="1" x14ac:dyDescent="0.25"/>
    <row r="153215" customFormat="1" x14ac:dyDescent="0.25"/>
    <row r="153216" customFormat="1" x14ac:dyDescent="0.25"/>
    <row r="153217" customFormat="1" x14ac:dyDescent="0.25"/>
    <row r="153218" customFormat="1" x14ac:dyDescent="0.25"/>
    <row r="153219" customFormat="1" x14ac:dyDescent="0.25"/>
    <row r="153220" customFormat="1" x14ac:dyDescent="0.25"/>
    <row r="153221" customFormat="1" x14ac:dyDescent="0.25"/>
    <row r="153222" customFormat="1" x14ac:dyDescent="0.25"/>
    <row r="153223" customFormat="1" x14ac:dyDescent="0.25"/>
    <row r="153224" customFormat="1" x14ac:dyDescent="0.25"/>
    <row r="153225" customFormat="1" x14ac:dyDescent="0.25"/>
    <row r="153226" customFormat="1" x14ac:dyDescent="0.25"/>
    <row r="153227" customFormat="1" x14ac:dyDescent="0.25"/>
    <row r="153228" customFormat="1" x14ac:dyDescent="0.25"/>
    <row r="153229" customFormat="1" x14ac:dyDescent="0.25"/>
    <row r="153230" customFormat="1" x14ac:dyDescent="0.25"/>
    <row r="153231" customFormat="1" x14ac:dyDescent="0.25"/>
    <row r="153232" customFormat="1" x14ac:dyDescent="0.25"/>
    <row r="153233" customFormat="1" x14ac:dyDescent="0.25"/>
    <row r="153234" customFormat="1" x14ac:dyDescent="0.25"/>
    <row r="153235" customFormat="1" x14ac:dyDescent="0.25"/>
    <row r="153236" customFormat="1" x14ac:dyDescent="0.25"/>
    <row r="153237" customFormat="1" x14ac:dyDescent="0.25"/>
    <row r="153238" customFormat="1" x14ac:dyDescent="0.25"/>
    <row r="153239" customFormat="1" x14ac:dyDescent="0.25"/>
    <row r="153240" customFormat="1" x14ac:dyDescent="0.25"/>
    <row r="153241" customFormat="1" x14ac:dyDescent="0.25"/>
    <row r="153242" customFormat="1" x14ac:dyDescent="0.25"/>
    <row r="153243" customFormat="1" x14ac:dyDescent="0.25"/>
    <row r="153244" customFormat="1" x14ac:dyDescent="0.25"/>
    <row r="153245" customFormat="1" x14ac:dyDescent="0.25"/>
    <row r="153246" customFormat="1" x14ac:dyDescent="0.25"/>
    <row r="153247" customFormat="1" x14ac:dyDescent="0.25"/>
    <row r="153248" customFormat="1" x14ac:dyDescent="0.25"/>
    <row r="153249" customFormat="1" x14ac:dyDescent="0.25"/>
    <row r="153250" customFormat="1" x14ac:dyDescent="0.25"/>
    <row r="153251" customFormat="1" x14ac:dyDescent="0.25"/>
    <row r="153252" customFormat="1" x14ac:dyDescent="0.25"/>
    <row r="153253" customFormat="1" x14ac:dyDescent="0.25"/>
    <row r="153254" customFormat="1" x14ac:dyDescent="0.25"/>
    <row r="153255" customFormat="1" x14ac:dyDescent="0.25"/>
    <row r="153256" customFormat="1" x14ac:dyDescent="0.25"/>
    <row r="153257" customFormat="1" x14ac:dyDescent="0.25"/>
    <row r="153258" customFormat="1" x14ac:dyDescent="0.25"/>
    <row r="153259" customFormat="1" x14ac:dyDescent="0.25"/>
    <row r="153260" customFormat="1" x14ac:dyDescent="0.25"/>
    <row r="153261" customFormat="1" x14ac:dyDescent="0.25"/>
    <row r="153262" customFormat="1" x14ac:dyDescent="0.25"/>
    <row r="153263" customFormat="1" x14ac:dyDescent="0.25"/>
    <row r="153264" customFormat="1" x14ac:dyDescent="0.25"/>
    <row r="153265" customFormat="1" x14ac:dyDescent="0.25"/>
    <row r="153266" customFormat="1" x14ac:dyDescent="0.25"/>
    <row r="153267" customFormat="1" x14ac:dyDescent="0.25"/>
    <row r="153268" customFormat="1" x14ac:dyDescent="0.25"/>
    <row r="153269" customFormat="1" x14ac:dyDescent="0.25"/>
    <row r="153270" customFormat="1" x14ac:dyDescent="0.25"/>
    <row r="153271" customFormat="1" x14ac:dyDescent="0.25"/>
    <row r="153272" customFormat="1" x14ac:dyDescent="0.25"/>
    <row r="153273" customFormat="1" x14ac:dyDescent="0.25"/>
    <row r="153274" customFormat="1" x14ac:dyDescent="0.25"/>
    <row r="153275" customFormat="1" x14ac:dyDescent="0.25"/>
    <row r="153276" customFormat="1" x14ac:dyDescent="0.25"/>
    <row r="153277" customFormat="1" x14ac:dyDescent="0.25"/>
    <row r="153278" customFormat="1" x14ac:dyDescent="0.25"/>
    <row r="153279" customFormat="1" x14ac:dyDescent="0.25"/>
    <row r="153280" customFormat="1" x14ac:dyDescent="0.25"/>
    <row r="153281" customFormat="1" x14ac:dyDescent="0.25"/>
    <row r="153282" customFormat="1" x14ac:dyDescent="0.25"/>
    <row r="153283" customFormat="1" x14ac:dyDescent="0.25"/>
    <row r="153284" customFormat="1" x14ac:dyDescent="0.25"/>
    <row r="153285" customFormat="1" x14ac:dyDescent="0.25"/>
    <row r="153286" customFormat="1" x14ac:dyDescent="0.25"/>
    <row r="153287" customFormat="1" x14ac:dyDescent="0.25"/>
    <row r="153288" customFormat="1" x14ac:dyDescent="0.25"/>
    <row r="153289" customFormat="1" x14ac:dyDescent="0.25"/>
    <row r="153290" customFormat="1" x14ac:dyDescent="0.25"/>
    <row r="153291" customFormat="1" x14ac:dyDescent="0.25"/>
    <row r="153292" customFormat="1" x14ac:dyDescent="0.25"/>
    <row r="153293" customFormat="1" x14ac:dyDescent="0.25"/>
    <row r="153294" customFormat="1" x14ac:dyDescent="0.25"/>
    <row r="153295" customFormat="1" x14ac:dyDescent="0.25"/>
    <row r="153296" customFormat="1" x14ac:dyDescent="0.25"/>
    <row r="153297" customFormat="1" x14ac:dyDescent="0.25"/>
    <row r="153298" customFormat="1" x14ac:dyDescent="0.25"/>
    <row r="153299" customFormat="1" x14ac:dyDescent="0.25"/>
    <row r="153300" customFormat="1" x14ac:dyDescent="0.25"/>
    <row r="153301" customFormat="1" x14ac:dyDescent="0.25"/>
    <row r="153302" customFormat="1" x14ac:dyDescent="0.25"/>
    <row r="153303" customFormat="1" x14ac:dyDescent="0.25"/>
    <row r="153304" customFormat="1" x14ac:dyDescent="0.25"/>
    <row r="153305" customFormat="1" x14ac:dyDescent="0.25"/>
    <row r="153306" customFormat="1" x14ac:dyDescent="0.25"/>
    <row r="153307" customFormat="1" x14ac:dyDescent="0.25"/>
    <row r="153308" customFormat="1" x14ac:dyDescent="0.25"/>
    <row r="153309" customFormat="1" x14ac:dyDescent="0.25"/>
    <row r="153310" customFormat="1" x14ac:dyDescent="0.25"/>
    <row r="153311" customFormat="1" x14ac:dyDescent="0.25"/>
    <row r="153312" customFormat="1" x14ac:dyDescent="0.25"/>
    <row r="153313" customFormat="1" x14ac:dyDescent="0.25"/>
    <row r="153314" customFormat="1" x14ac:dyDescent="0.25"/>
    <row r="153315" customFormat="1" x14ac:dyDescent="0.25"/>
    <row r="153316" customFormat="1" x14ac:dyDescent="0.25"/>
    <row r="153317" customFormat="1" x14ac:dyDescent="0.25"/>
    <row r="153318" customFormat="1" x14ac:dyDescent="0.25"/>
    <row r="153319" customFormat="1" x14ac:dyDescent="0.25"/>
    <row r="153320" customFormat="1" x14ac:dyDescent="0.25"/>
    <row r="153321" customFormat="1" x14ac:dyDescent="0.25"/>
    <row r="153322" customFormat="1" x14ac:dyDescent="0.25"/>
    <row r="153323" customFormat="1" x14ac:dyDescent="0.25"/>
    <row r="153324" customFormat="1" x14ac:dyDescent="0.25"/>
    <row r="153325" customFormat="1" x14ac:dyDescent="0.25"/>
    <row r="153326" customFormat="1" x14ac:dyDescent="0.25"/>
    <row r="153327" customFormat="1" x14ac:dyDescent="0.25"/>
    <row r="153328" customFormat="1" x14ac:dyDescent="0.25"/>
    <row r="153329" customFormat="1" x14ac:dyDescent="0.25"/>
    <row r="153330" customFormat="1" x14ac:dyDescent="0.25"/>
    <row r="153331" customFormat="1" x14ac:dyDescent="0.25"/>
    <row r="153332" customFormat="1" x14ac:dyDescent="0.25"/>
    <row r="153333" customFormat="1" x14ac:dyDescent="0.25"/>
    <row r="153334" customFormat="1" x14ac:dyDescent="0.25"/>
    <row r="153335" customFormat="1" x14ac:dyDescent="0.25"/>
    <row r="153336" customFormat="1" x14ac:dyDescent="0.25"/>
    <row r="153337" customFormat="1" x14ac:dyDescent="0.25"/>
    <row r="153338" customFormat="1" x14ac:dyDescent="0.25"/>
    <row r="153339" customFormat="1" x14ac:dyDescent="0.25"/>
    <row r="153340" customFormat="1" x14ac:dyDescent="0.25"/>
    <row r="153341" customFormat="1" x14ac:dyDescent="0.25"/>
    <row r="153342" customFormat="1" x14ac:dyDescent="0.25"/>
    <row r="153343" customFormat="1" x14ac:dyDescent="0.25"/>
    <row r="153344" customFormat="1" x14ac:dyDescent="0.25"/>
    <row r="153345" customFormat="1" x14ac:dyDescent="0.25"/>
    <row r="153346" customFormat="1" x14ac:dyDescent="0.25"/>
    <row r="153347" customFormat="1" x14ac:dyDescent="0.25"/>
    <row r="153348" customFormat="1" x14ac:dyDescent="0.25"/>
    <row r="153349" customFormat="1" x14ac:dyDescent="0.25"/>
    <row r="153350" customFormat="1" x14ac:dyDescent="0.25"/>
    <row r="153351" customFormat="1" x14ac:dyDescent="0.25"/>
    <row r="153352" customFormat="1" x14ac:dyDescent="0.25"/>
    <row r="153353" customFormat="1" x14ac:dyDescent="0.25"/>
    <row r="153354" customFormat="1" x14ac:dyDescent="0.25"/>
    <row r="153355" customFormat="1" x14ac:dyDescent="0.25"/>
    <row r="153356" customFormat="1" x14ac:dyDescent="0.25"/>
    <row r="153357" customFormat="1" x14ac:dyDescent="0.25"/>
    <row r="153358" customFormat="1" x14ac:dyDescent="0.25"/>
    <row r="153359" customFormat="1" x14ac:dyDescent="0.25"/>
    <row r="153360" customFormat="1" x14ac:dyDescent="0.25"/>
    <row r="153361" customFormat="1" x14ac:dyDescent="0.25"/>
    <row r="153362" customFormat="1" x14ac:dyDescent="0.25"/>
    <row r="153363" customFormat="1" x14ac:dyDescent="0.25"/>
    <row r="153364" customFormat="1" x14ac:dyDescent="0.25"/>
    <row r="153365" customFormat="1" x14ac:dyDescent="0.25"/>
    <row r="153366" customFormat="1" x14ac:dyDescent="0.25"/>
    <row r="153367" customFormat="1" x14ac:dyDescent="0.25"/>
    <row r="153368" customFormat="1" x14ac:dyDescent="0.25"/>
    <row r="153369" customFormat="1" x14ac:dyDescent="0.25"/>
    <row r="153370" customFormat="1" x14ac:dyDescent="0.25"/>
    <row r="153371" customFormat="1" x14ac:dyDescent="0.25"/>
    <row r="153372" customFormat="1" x14ac:dyDescent="0.25"/>
    <row r="153373" customFormat="1" x14ac:dyDescent="0.25"/>
    <row r="153374" customFormat="1" x14ac:dyDescent="0.25"/>
    <row r="153375" customFormat="1" x14ac:dyDescent="0.25"/>
    <row r="153376" customFormat="1" x14ac:dyDescent="0.25"/>
    <row r="153377" customFormat="1" x14ac:dyDescent="0.25"/>
    <row r="153378" customFormat="1" x14ac:dyDescent="0.25"/>
    <row r="153379" customFormat="1" x14ac:dyDescent="0.25"/>
    <row r="153380" customFormat="1" x14ac:dyDescent="0.25"/>
    <row r="153381" customFormat="1" x14ac:dyDescent="0.25"/>
    <row r="153382" customFormat="1" x14ac:dyDescent="0.25"/>
    <row r="153383" customFormat="1" x14ac:dyDescent="0.25"/>
    <row r="153384" customFormat="1" x14ac:dyDescent="0.25"/>
    <row r="153385" customFormat="1" x14ac:dyDescent="0.25"/>
    <row r="153386" customFormat="1" x14ac:dyDescent="0.25"/>
    <row r="153387" customFormat="1" x14ac:dyDescent="0.25"/>
    <row r="153388" customFormat="1" x14ac:dyDescent="0.25"/>
    <row r="153389" customFormat="1" x14ac:dyDescent="0.25"/>
    <row r="153390" customFormat="1" x14ac:dyDescent="0.25"/>
    <row r="153391" customFormat="1" x14ac:dyDescent="0.25"/>
    <row r="153392" customFormat="1" x14ac:dyDescent="0.25"/>
    <row r="153393" customFormat="1" x14ac:dyDescent="0.25"/>
    <row r="153394" customFormat="1" x14ac:dyDescent="0.25"/>
    <row r="153395" customFormat="1" x14ac:dyDescent="0.25"/>
    <row r="153396" customFormat="1" x14ac:dyDescent="0.25"/>
    <row r="153397" customFormat="1" x14ac:dyDescent="0.25"/>
    <row r="153398" customFormat="1" x14ac:dyDescent="0.25"/>
    <row r="153399" customFormat="1" x14ac:dyDescent="0.25"/>
    <row r="153400" customFormat="1" x14ac:dyDescent="0.25"/>
    <row r="153401" customFormat="1" x14ac:dyDescent="0.25"/>
    <row r="153402" customFormat="1" x14ac:dyDescent="0.25"/>
    <row r="153403" customFormat="1" x14ac:dyDescent="0.25"/>
    <row r="153404" customFormat="1" x14ac:dyDescent="0.25"/>
    <row r="153405" customFormat="1" x14ac:dyDescent="0.25"/>
    <row r="153406" customFormat="1" x14ac:dyDescent="0.25"/>
    <row r="153407" customFormat="1" x14ac:dyDescent="0.25"/>
    <row r="153408" customFormat="1" x14ac:dyDescent="0.25"/>
    <row r="153409" customFormat="1" x14ac:dyDescent="0.25"/>
    <row r="153410" customFormat="1" x14ac:dyDescent="0.25"/>
    <row r="153411" customFormat="1" x14ac:dyDescent="0.25"/>
    <row r="153412" customFormat="1" x14ac:dyDescent="0.25"/>
    <row r="153413" customFormat="1" x14ac:dyDescent="0.25"/>
    <row r="153414" customFormat="1" x14ac:dyDescent="0.25"/>
    <row r="153415" customFormat="1" x14ac:dyDescent="0.25"/>
    <row r="153416" customFormat="1" x14ac:dyDescent="0.25"/>
    <row r="153417" customFormat="1" x14ac:dyDescent="0.25"/>
    <row r="153418" customFormat="1" x14ac:dyDescent="0.25"/>
    <row r="153419" customFormat="1" x14ac:dyDescent="0.25"/>
    <row r="153420" customFormat="1" x14ac:dyDescent="0.25"/>
    <row r="153421" customFormat="1" x14ac:dyDescent="0.25"/>
    <row r="153422" customFormat="1" x14ac:dyDescent="0.25"/>
    <row r="153423" customFormat="1" x14ac:dyDescent="0.25"/>
    <row r="153424" customFormat="1" x14ac:dyDescent="0.25"/>
    <row r="153425" customFormat="1" x14ac:dyDescent="0.25"/>
    <row r="153426" customFormat="1" x14ac:dyDescent="0.25"/>
    <row r="153427" customFormat="1" x14ac:dyDescent="0.25"/>
    <row r="153428" customFormat="1" x14ac:dyDescent="0.25"/>
    <row r="153429" customFormat="1" x14ac:dyDescent="0.25"/>
    <row r="153430" customFormat="1" x14ac:dyDescent="0.25"/>
    <row r="153431" customFormat="1" x14ac:dyDescent="0.25"/>
    <row r="153432" customFormat="1" x14ac:dyDescent="0.25"/>
    <row r="153433" customFormat="1" x14ac:dyDescent="0.25"/>
    <row r="153434" customFormat="1" x14ac:dyDescent="0.25"/>
    <row r="153435" customFormat="1" x14ac:dyDescent="0.25"/>
    <row r="153436" customFormat="1" x14ac:dyDescent="0.25"/>
    <row r="153437" customFormat="1" x14ac:dyDescent="0.25"/>
    <row r="153438" customFormat="1" x14ac:dyDescent="0.25"/>
    <row r="153439" customFormat="1" x14ac:dyDescent="0.25"/>
    <row r="153440" customFormat="1" x14ac:dyDescent="0.25"/>
    <row r="153441" customFormat="1" x14ac:dyDescent="0.25"/>
    <row r="153442" customFormat="1" x14ac:dyDescent="0.25"/>
    <row r="153443" customFormat="1" x14ac:dyDescent="0.25"/>
    <row r="153444" customFormat="1" x14ac:dyDescent="0.25"/>
    <row r="153445" customFormat="1" x14ac:dyDescent="0.25"/>
    <row r="153446" customFormat="1" x14ac:dyDescent="0.25"/>
    <row r="153447" customFormat="1" x14ac:dyDescent="0.25"/>
    <row r="153448" customFormat="1" x14ac:dyDescent="0.25"/>
    <row r="153449" customFormat="1" x14ac:dyDescent="0.25"/>
    <row r="153450" customFormat="1" x14ac:dyDescent="0.25"/>
    <row r="153451" customFormat="1" x14ac:dyDescent="0.25"/>
    <row r="153452" customFormat="1" x14ac:dyDescent="0.25"/>
    <row r="153453" customFormat="1" x14ac:dyDescent="0.25"/>
    <row r="153454" customFormat="1" x14ac:dyDescent="0.25"/>
    <row r="153455" customFormat="1" x14ac:dyDescent="0.25"/>
    <row r="153456" customFormat="1" x14ac:dyDescent="0.25"/>
    <row r="153457" customFormat="1" x14ac:dyDescent="0.25"/>
    <row r="153458" customFormat="1" x14ac:dyDescent="0.25"/>
    <row r="153459" customFormat="1" x14ac:dyDescent="0.25"/>
    <row r="153460" customFormat="1" x14ac:dyDescent="0.25"/>
    <row r="153461" customFormat="1" x14ac:dyDescent="0.25"/>
    <row r="153462" customFormat="1" x14ac:dyDescent="0.25"/>
    <row r="153463" customFormat="1" x14ac:dyDescent="0.25"/>
    <row r="153464" customFormat="1" x14ac:dyDescent="0.25"/>
    <row r="153465" customFormat="1" x14ac:dyDescent="0.25"/>
    <row r="153466" customFormat="1" x14ac:dyDescent="0.25"/>
    <row r="153467" customFormat="1" x14ac:dyDescent="0.25"/>
    <row r="153468" customFormat="1" x14ac:dyDescent="0.25"/>
    <row r="153469" customFormat="1" x14ac:dyDescent="0.25"/>
    <row r="153470" customFormat="1" x14ac:dyDescent="0.25"/>
    <row r="153471" customFormat="1" x14ac:dyDescent="0.25"/>
    <row r="153472" customFormat="1" x14ac:dyDescent="0.25"/>
    <row r="153473" customFormat="1" x14ac:dyDescent="0.25"/>
    <row r="153474" customFormat="1" x14ac:dyDescent="0.25"/>
    <row r="153475" customFormat="1" x14ac:dyDescent="0.25"/>
    <row r="153476" customFormat="1" x14ac:dyDescent="0.25"/>
    <row r="153477" customFormat="1" x14ac:dyDescent="0.25"/>
    <row r="153478" customFormat="1" x14ac:dyDescent="0.25"/>
    <row r="153479" customFormat="1" x14ac:dyDescent="0.25"/>
    <row r="153480" customFormat="1" x14ac:dyDescent="0.25"/>
    <row r="153481" customFormat="1" x14ac:dyDescent="0.25"/>
    <row r="153482" customFormat="1" x14ac:dyDescent="0.25"/>
    <row r="153483" customFormat="1" x14ac:dyDescent="0.25"/>
    <row r="153484" customFormat="1" x14ac:dyDescent="0.25"/>
    <row r="153485" customFormat="1" x14ac:dyDescent="0.25"/>
    <row r="153486" customFormat="1" x14ac:dyDescent="0.25"/>
    <row r="153487" customFormat="1" x14ac:dyDescent="0.25"/>
    <row r="153488" customFormat="1" x14ac:dyDescent="0.25"/>
    <row r="153489" customFormat="1" x14ac:dyDescent="0.25"/>
    <row r="153490" customFormat="1" x14ac:dyDescent="0.25"/>
    <row r="153491" customFormat="1" x14ac:dyDescent="0.25"/>
    <row r="153492" customFormat="1" x14ac:dyDescent="0.25"/>
    <row r="153493" customFormat="1" x14ac:dyDescent="0.25"/>
    <row r="153494" customFormat="1" x14ac:dyDescent="0.25"/>
    <row r="153495" customFormat="1" x14ac:dyDescent="0.25"/>
    <row r="153496" customFormat="1" x14ac:dyDescent="0.25"/>
    <row r="153497" customFormat="1" x14ac:dyDescent="0.25"/>
    <row r="153498" customFormat="1" x14ac:dyDescent="0.25"/>
    <row r="153499" customFormat="1" x14ac:dyDescent="0.25"/>
    <row r="153500" customFormat="1" x14ac:dyDescent="0.25"/>
    <row r="153501" customFormat="1" x14ac:dyDescent="0.25"/>
    <row r="153502" customFormat="1" x14ac:dyDescent="0.25"/>
    <row r="153503" customFormat="1" x14ac:dyDescent="0.25"/>
    <row r="153504" customFormat="1" x14ac:dyDescent="0.25"/>
    <row r="153505" customFormat="1" x14ac:dyDescent="0.25"/>
    <row r="153506" customFormat="1" x14ac:dyDescent="0.25"/>
    <row r="153507" customFormat="1" x14ac:dyDescent="0.25"/>
    <row r="153508" customFormat="1" x14ac:dyDescent="0.25"/>
    <row r="153509" customFormat="1" x14ac:dyDescent="0.25"/>
    <row r="153510" customFormat="1" x14ac:dyDescent="0.25"/>
    <row r="153511" customFormat="1" x14ac:dyDescent="0.25"/>
    <row r="153512" customFormat="1" x14ac:dyDescent="0.25"/>
    <row r="153513" customFormat="1" x14ac:dyDescent="0.25"/>
    <row r="153514" customFormat="1" x14ac:dyDescent="0.25"/>
    <row r="153515" customFormat="1" x14ac:dyDescent="0.25"/>
    <row r="153516" customFormat="1" x14ac:dyDescent="0.25"/>
    <row r="153517" customFormat="1" x14ac:dyDescent="0.25"/>
    <row r="153518" customFormat="1" x14ac:dyDescent="0.25"/>
    <row r="153519" customFormat="1" x14ac:dyDescent="0.25"/>
    <row r="153520" customFormat="1" x14ac:dyDescent="0.25"/>
    <row r="153521" customFormat="1" x14ac:dyDescent="0.25"/>
    <row r="153522" customFormat="1" x14ac:dyDescent="0.25"/>
    <row r="153523" customFormat="1" x14ac:dyDescent="0.25"/>
    <row r="153524" customFormat="1" x14ac:dyDescent="0.25"/>
    <row r="153525" customFormat="1" x14ac:dyDescent="0.25"/>
    <row r="153526" customFormat="1" x14ac:dyDescent="0.25"/>
    <row r="153527" customFormat="1" x14ac:dyDescent="0.25"/>
    <row r="153528" customFormat="1" x14ac:dyDescent="0.25"/>
    <row r="153529" customFormat="1" x14ac:dyDescent="0.25"/>
    <row r="153530" customFormat="1" x14ac:dyDescent="0.25"/>
    <row r="153531" customFormat="1" x14ac:dyDescent="0.25"/>
    <row r="153532" customFormat="1" x14ac:dyDescent="0.25"/>
    <row r="153533" customFormat="1" x14ac:dyDescent="0.25"/>
    <row r="153534" customFormat="1" x14ac:dyDescent="0.25"/>
    <row r="153535" customFormat="1" x14ac:dyDescent="0.25"/>
    <row r="153536" customFormat="1" x14ac:dyDescent="0.25"/>
    <row r="153537" customFormat="1" x14ac:dyDescent="0.25"/>
    <row r="153538" customFormat="1" x14ac:dyDescent="0.25"/>
    <row r="153539" customFormat="1" x14ac:dyDescent="0.25"/>
    <row r="153540" customFormat="1" x14ac:dyDescent="0.25"/>
    <row r="153541" customFormat="1" x14ac:dyDescent="0.25"/>
    <row r="153542" customFormat="1" x14ac:dyDescent="0.25"/>
    <row r="153543" customFormat="1" x14ac:dyDescent="0.25"/>
    <row r="153544" customFormat="1" x14ac:dyDescent="0.25"/>
    <row r="153545" customFormat="1" x14ac:dyDescent="0.25"/>
    <row r="153546" customFormat="1" x14ac:dyDescent="0.25"/>
    <row r="153547" customFormat="1" x14ac:dyDescent="0.25"/>
    <row r="153548" customFormat="1" x14ac:dyDescent="0.25"/>
    <row r="153549" customFormat="1" x14ac:dyDescent="0.25"/>
    <row r="153550" customFormat="1" x14ac:dyDescent="0.25"/>
    <row r="153551" customFormat="1" x14ac:dyDescent="0.25"/>
    <row r="153552" customFormat="1" x14ac:dyDescent="0.25"/>
    <row r="153553" customFormat="1" x14ac:dyDescent="0.25"/>
    <row r="153554" customFormat="1" x14ac:dyDescent="0.25"/>
    <row r="153555" customFormat="1" x14ac:dyDescent="0.25"/>
    <row r="153556" customFormat="1" x14ac:dyDescent="0.25"/>
    <row r="153557" customFormat="1" x14ac:dyDescent="0.25"/>
    <row r="153558" customFormat="1" x14ac:dyDescent="0.25"/>
    <row r="153559" customFormat="1" x14ac:dyDescent="0.25"/>
    <row r="153560" customFormat="1" x14ac:dyDescent="0.25"/>
    <row r="153561" customFormat="1" x14ac:dyDescent="0.25"/>
    <row r="153562" customFormat="1" x14ac:dyDescent="0.25"/>
    <row r="153563" customFormat="1" x14ac:dyDescent="0.25"/>
    <row r="153564" customFormat="1" x14ac:dyDescent="0.25"/>
    <row r="153565" customFormat="1" x14ac:dyDescent="0.25"/>
    <row r="153566" customFormat="1" x14ac:dyDescent="0.25"/>
    <row r="153567" customFormat="1" x14ac:dyDescent="0.25"/>
    <row r="153568" customFormat="1" x14ac:dyDescent="0.25"/>
    <row r="153569" customFormat="1" x14ac:dyDescent="0.25"/>
    <row r="153570" customFormat="1" x14ac:dyDescent="0.25"/>
    <row r="153571" customFormat="1" x14ac:dyDescent="0.25"/>
    <row r="153572" customFormat="1" x14ac:dyDescent="0.25"/>
    <row r="153573" customFormat="1" x14ac:dyDescent="0.25"/>
    <row r="153574" customFormat="1" x14ac:dyDescent="0.25"/>
    <row r="153575" customFormat="1" x14ac:dyDescent="0.25"/>
    <row r="153576" customFormat="1" x14ac:dyDescent="0.25"/>
    <row r="153577" customFormat="1" x14ac:dyDescent="0.25"/>
    <row r="153578" customFormat="1" x14ac:dyDescent="0.25"/>
    <row r="153579" customFormat="1" x14ac:dyDescent="0.25"/>
    <row r="153580" customFormat="1" x14ac:dyDescent="0.25"/>
    <row r="153581" customFormat="1" x14ac:dyDescent="0.25"/>
    <row r="153582" customFormat="1" x14ac:dyDescent="0.25"/>
    <row r="153583" customFormat="1" x14ac:dyDescent="0.25"/>
    <row r="153584" customFormat="1" x14ac:dyDescent="0.25"/>
    <row r="153585" customFormat="1" x14ac:dyDescent="0.25"/>
    <row r="153586" customFormat="1" x14ac:dyDescent="0.25"/>
    <row r="153587" customFormat="1" x14ac:dyDescent="0.25"/>
    <row r="153588" customFormat="1" x14ac:dyDescent="0.25"/>
    <row r="153589" customFormat="1" x14ac:dyDescent="0.25"/>
    <row r="153590" customFormat="1" x14ac:dyDescent="0.25"/>
    <row r="153591" customFormat="1" x14ac:dyDescent="0.25"/>
    <row r="153592" customFormat="1" x14ac:dyDescent="0.25"/>
    <row r="153593" customFormat="1" x14ac:dyDescent="0.25"/>
    <row r="153594" customFormat="1" x14ac:dyDescent="0.25"/>
    <row r="153595" customFormat="1" x14ac:dyDescent="0.25"/>
    <row r="153596" customFormat="1" x14ac:dyDescent="0.25"/>
    <row r="153597" customFormat="1" x14ac:dyDescent="0.25"/>
    <row r="153598" customFormat="1" x14ac:dyDescent="0.25"/>
    <row r="153599" customFormat="1" x14ac:dyDescent="0.25"/>
    <row r="153600" customFormat="1" x14ac:dyDescent="0.25"/>
    <row r="153601" customFormat="1" x14ac:dyDescent="0.25"/>
    <row r="153602" customFormat="1" x14ac:dyDescent="0.25"/>
    <row r="153603" customFormat="1" x14ac:dyDescent="0.25"/>
    <row r="153604" customFormat="1" x14ac:dyDescent="0.25"/>
    <row r="153605" customFormat="1" x14ac:dyDescent="0.25"/>
    <row r="153606" customFormat="1" x14ac:dyDescent="0.25"/>
    <row r="153607" customFormat="1" x14ac:dyDescent="0.25"/>
    <row r="153608" customFormat="1" x14ac:dyDescent="0.25"/>
    <row r="153609" customFormat="1" x14ac:dyDescent="0.25"/>
    <row r="153610" customFormat="1" x14ac:dyDescent="0.25"/>
    <row r="153611" customFormat="1" x14ac:dyDescent="0.25"/>
    <row r="153612" customFormat="1" x14ac:dyDescent="0.25"/>
    <row r="153613" customFormat="1" x14ac:dyDescent="0.25"/>
    <row r="153614" customFormat="1" x14ac:dyDescent="0.25"/>
    <row r="153615" customFormat="1" x14ac:dyDescent="0.25"/>
    <row r="153616" customFormat="1" x14ac:dyDescent="0.25"/>
    <row r="153617" customFormat="1" x14ac:dyDescent="0.25"/>
    <row r="153618" customFormat="1" x14ac:dyDescent="0.25"/>
    <row r="153619" customFormat="1" x14ac:dyDescent="0.25"/>
    <row r="153620" customFormat="1" x14ac:dyDescent="0.25"/>
    <row r="153621" customFormat="1" x14ac:dyDescent="0.25"/>
    <row r="153622" customFormat="1" x14ac:dyDescent="0.25"/>
    <row r="153623" customFormat="1" x14ac:dyDescent="0.25"/>
    <row r="153624" customFormat="1" x14ac:dyDescent="0.25"/>
    <row r="153625" customFormat="1" x14ac:dyDescent="0.25"/>
    <row r="153626" customFormat="1" x14ac:dyDescent="0.25"/>
    <row r="153627" customFormat="1" x14ac:dyDescent="0.25"/>
    <row r="153628" customFormat="1" x14ac:dyDescent="0.25"/>
    <row r="153629" customFormat="1" x14ac:dyDescent="0.25"/>
    <row r="153630" customFormat="1" x14ac:dyDescent="0.25"/>
    <row r="153631" customFormat="1" x14ac:dyDescent="0.25"/>
    <row r="153632" customFormat="1" x14ac:dyDescent="0.25"/>
    <row r="153633" customFormat="1" x14ac:dyDescent="0.25"/>
    <row r="153634" customFormat="1" x14ac:dyDescent="0.25"/>
    <row r="153635" customFormat="1" x14ac:dyDescent="0.25"/>
    <row r="153636" customFormat="1" x14ac:dyDescent="0.25"/>
    <row r="153637" customFormat="1" x14ac:dyDescent="0.25"/>
    <row r="153638" customFormat="1" x14ac:dyDescent="0.25"/>
    <row r="153639" customFormat="1" x14ac:dyDescent="0.25"/>
    <row r="153640" customFormat="1" x14ac:dyDescent="0.25"/>
    <row r="153641" customFormat="1" x14ac:dyDescent="0.25"/>
    <row r="153642" customFormat="1" x14ac:dyDescent="0.25"/>
    <row r="153643" customFormat="1" x14ac:dyDescent="0.25"/>
    <row r="153644" customFormat="1" x14ac:dyDescent="0.25"/>
    <row r="153645" customFormat="1" x14ac:dyDescent="0.25"/>
    <row r="153646" customFormat="1" x14ac:dyDescent="0.25"/>
    <row r="153647" customFormat="1" x14ac:dyDescent="0.25"/>
    <row r="153648" customFormat="1" x14ac:dyDescent="0.25"/>
    <row r="153649" customFormat="1" x14ac:dyDescent="0.25"/>
    <row r="153650" customFormat="1" x14ac:dyDescent="0.25"/>
    <row r="153651" customFormat="1" x14ac:dyDescent="0.25"/>
    <row r="153652" customFormat="1" x14ac:dyDescent="0.25"/>
    <row r="153653" customFormat="1" x14ac:dyDescent="0.25"/>
    <row r="153654" customFormat="1" x14ac:dyDescent="0.25"/>
    <row r="153655" customFormat="1" x14ac:dyDescent="0.25"/>
    <row r="153656" customFormat="1" x14ac:dyDescent="0.25"/>
    <row r="153657" customFormat="1" x14ac:dyDescent="0.25"/>
    <row r="153658" customFormat="1" x14ac:dyDescent="0.25"/>
    <row r="153659" customFormat="1" x14ac:dyDescent="0.25"/>
    <row r="153660" customFormat="1" x14ac:dyDescent="0.25"/>
    <row r="153661" customFormat="1" x14ac:dyDescent="0.25"/>
    <row r="153662" customFormat="1" x14ac:dyDescent="0.25"/>
    <row r="153663" customFormat="1" x14ac:dyDescent="0.25"/>
    <row r="153664" customFormat="1" x14ac:dyDescent="0.25"/>
    <row r="153665" customFormat="1" x14ac:dyDescent="0.25"/>
    <row r="153666" customFormat="1" x14ac:dyDescent="0.25"/>
    <row r="153667" customFormat="1" x14ac:dyDescent="0.25"/>
    <row r="153668" customFormat="1" x14ac:dyDescent="0.25"/>
    <row r="153669" customFormat="1" x14ac:dyDescent="0.25"/>
    <row r="153670" customFormat="1" x14ac:dyDescent="0.25"/>
    <row r="153671" customFormat="1" x14ac:dyDescent="0.25"/>
    <row r="153672" customFormat="1" x14ac:dyDescent="0.25"/>
    <row r="153673" customFormat="1" x14ac:dyDescent="0.25"/>
    <row r="153674" customFormat="1" x14ac:dyDescent="0.25"/>
    <row r="153675" customFormat="1" x14ac:dyDescent="0.25"/>
    <row r="153676" customFormat="1" x14ac:dyDescent="0.25"/>
    <row r="153677" customFormat="1" x14ac:dyDescent="0.25"/>
    <row r="153678" customFormat="1" x14ac:dyDescent="0.25"/>
    <row r="153679" customFormat="1" x14ac:dyDescent="0.25"/>
    <row r="153680" customFormat="1" x14ac:dyDescent="0.25"/>
    <row r="153681" customFormat="1" x14ac:dyDescent="0.25"/>
    <row r="153682" customFormat="1" x14ac:dyDescent="0.25"/>
    <row r="153683" customFormat="1" x14ac:dyDescent="0.25"/>
    <row r="153684" customFormat="1" x14ac:dyDescent="0.25"/>
    <row r="153685" customFormat="1" x14ac:dyDescent="0.25"/>
    <row r="153686" customFormat="1" x14ac:dyDescent="0.25"/>
    <row r="153687" customFormat="1" x14ac:dyDescent="0.25"/>
    <row r="153688" customFormat="1" x14ac:dyDescent="0.25"/>
    <row r="153689" customFormat="1" x14ac:dyDescent="0.25"/>
    <row r="153690" customFormat="1" x14ac:dyDescent="0.25"/>
    <row r="153691" customFormat="1" x14ac:dyDescent="0.25"/>
    <row r="153692" customFormat="1" x14ac:dyDescent="0.25"/>
    <row r="153693" customFormat="1" x14ac:dyDescent="0.25"/>
    <row r="153694" customFormat="1" x14ac:dyDescent="0.25"/>
    <row r="153695" customFormat="1" x14ac:dyDescent="0.25"/>
    <row r="153696" customFormat="1" x14ac:dyDescent="0.25"/>
    <row r="153697" customFormat="1" x14ac:dyDescent="0.25"/>
    <row r="153698" customFormat="1" x14ac:dyDescent="0.25"/>
    <row r="153699" customFormat="1" x14ac:dyDescent="0.25"/>
    <row r="153700" customFormat="1" x14ac:dyDescent="0.25"/>
    <row r="153701" customFormat="1" x14ac:dyDescent="0.25"/>
    <row r="153702" customFormat="1" x14ac:dyDescent="0.25"/>
    <row r="153703" customFormat="1" x14ac:dyDescent="0.25"/>
    <row r="153704" customFormat="1" x14ac:dyDescent="0.25"/>
    <row r="153705" customFormat="1" x14ac:dyDescent="0.25"/>
    <row r="153706" customFormat="1" x14ac:dyDescent="0.25"/>
    <row r="153707" customFormat="1" x14ac:dyDescent="0.25"/>
    <row r="153708" customFormat="1" x14ac:dyDescent="0.25"/>
    <row r="153709" customFormat="1" x14ac:dyDescent="0.25"/>
    <row r="153710" customFormat="1" x14ac:dyDescent="0.25"/>
    <row r="153711" customFormat="1" x14ac:dyDescent="0.25"/>
    <row r="153712" customFormat="1" x14ac:dyDescent="0.25"/>
    <row r="153713" customFormat="1" x14ac:dyDescent="0.25"/>
    <row r="153714" customFormat="1" x14ac:dyDescent="0.25"/>
    <row r="153715" customFormat="1" x14ac:dyDescent="0.25"/>
    <row r="153716" customFormat="1" x14ac:dyDescent="0.25"/>
    <row r="153717" customFormat="1" x14ac:dyDescent="0.25"/>
    <row r="153718" customFormat="1" x14ac:dyDescent="0.25"/>
    <row r="153719" customFormat="1" x14ac:dyDescent="0.25"/>
    <row r="153720" customFormat="1" x14ac:dyDescent="0.25"/>
    <row r="153721" customFormat="1" x14ac:dyDescent="0.25"/>
    <row r="153722" customFormat="1" x14ac:dyDescent="0.25"/>
    <row r="153723" customFormat="1" x14ac:dyDescent="0.25"/>
    <row r="153724" customFormat="1" x14ac:dyDescent="0.25"/>
    <row r="153725" customFormat="1" x14ac:dyDescent="0.25"/>
    <row r="153726" customFormat="1" x14ac:dyDescent="0.25"/>
    <row r="153727" customFormat="1" x14ac:dyDescent="0.25"/>
    <row r="153728" customFormat="1" x14ac:dyDescent="0.25"/>
    <row r="153729" customFormat="1" x14ac:dyDescent="0.25"/>
    <row r="153730" customFormat="1" x14ac:dyDescent="0.25"/>
    <row r="153731" customFormat="1" x14ac:dyDescent="0.25"/>
    <row r="153732" customFormat="1" x14ac:dyDescent="0.25"/>
    <row r="153733" customFormat="1" x14ac:dyDescent="0.25"/>
    <row r="153734" customFormat="1" x14ac:dyDescent="0.25"/>
    <row r="153735" customFormat="1" x14ac:dyDescent="0.25"/>
    <row r="153736" customFormat="1" x14ac:dyDescent="0.25"/>
    <row r="153737" customFormat="1" x14ac:dyDescent="0.25"/>
    <row r="153738" customFormat="1" x14ac:dyDescent="0.25"/>
    <row r="153739" customFormat="1" x14ac:dyDescent="0.25"/>
    <row r="153740" customFormat="1" x14ac:dyDescent="0.25"/>
    <row r="153741" customFormat="1" x14ac:dyDescent="0.25"/>
    <row r="153742" customFormat="1" x14ac:dyDescent="0.25"/>
    <row r="153743" customFormat="1" x14ac:dyDescent="0.25"/>
    <row r="153744" customFormat="1" x14ac:dyDescent="0.25"/>
    <row r="153745" customFormat="1" x14ac:dyDescent="0.25"/>
    <row r="153746" customFormat="1" x14ac:dyDescent="0.25"/>
    <row r="153747" customFormat="1" x14ac:dyDescent="0.25"/>
    <row r="153748" customFormat="1" x14ac:dyDescent="0.25"/>
    <row r="153749" customFormat="1" x14ac:dyDescent="0.25"/>
    <row r="153750" customFormat="1" x14ac:dyDescent="0.25"/>
    <row r="153751" customFormat="1" x14ac:dyDescent="0.25"/>
    <row r="153752" customFormat="1" x14ac:dyDescent="0.25"/>
    <row r="153753" customFormat="1" x14ac:dyDescent="0.25"/>
    <row r="153754" customFormat="1" x14ac:dyDescent="0.25"/>
    <row r="153755" customFormat="1" x14ac:dyDescent="0.25"/>
    <row r="153756" customFormat="1" x14ac:dyDescent="0.25"/>
    <row r="153757" customFormat="1" x14ac:dyDescent="0.25"/>
    <row r="153758" customFormat="1" x14ac:dyDescent="0.25"/>
    <row r="153759" customFormat="1" x14ac:dyDescent="0.25"/>
    <row r="153760" customFormat="1" x14ac:dyDescent="0.25"/>
    <row r="153761" customFormat="1" x14ac:dyDescent="0.25"/>
    <row r="153762" customFormat="1" x14ac:dyDescent="0.25"/>
    <row r="153763" customFormat="1" x14ac:dyDescent="0.25"/>
    <row r="153764" customFormat="1" x14ac:dyDescent="0.25"/>
    <row r="153765" customFormat="1" x14ac:dyDescent="0.25"/>
    <row r="153766" customFormat="1" x14ac:dyDescent="0.25"/>
    <row r="153767" customFormat="1" x14ac:dyDescent="0.25"/>
    <row r="153768" customFormat="1" x14ac:dyDescent="0.25"/>
    <row r="153769" customFormat="1" x14ac:dyDescent="0.25"/>
    <row r="153770" customFormat="1" x14ac:dyDescent="0.25"/>
    <row r="153771" customFormat="1" x14ac:dyDescent="0.25"/>
    <row r="153772" customFormat="1" x14ac:dyDescent="0.25"/>
    <row r="153773" customFormat="1" x14ac:dyDescent="0.25"/>
    <row r="153774" customFormat="1" x14ac:dyDescent="0.25"/>
    <row r="153775" customFormat="1" x14ac:dyDescent="0.25"/>
    <row r="153776" customFormat="1" x14ac:dyDescent="0.25"/>
    <row r="153777" customFormat="1" x14ac:dyDescent="0.25"/>
    <row r="153778" customFormat="1" x14ac:dyDescent="0.25"/>
    <row r="153779" customFormat="1" x14ac:dyDescent="0.25"/>
    <row r="153780" customFormat="1" x14ac:dyDescent="0.25"/>
    <row r="153781" customFormat="1" x14ac:dyDescent="0.25"/>
    <row r="153782" customFormat="1" x14ac:dyDescent="0.25"/>
    <row r="153783" customFormat="1" x14ac:dyDescent="0.25"/>
    <row r="153784" customFormat="1" x14ac:dyDescent="0.25"/>
    <row r="153785" customFormat="1" x14ac:dyDescent="0.25"/>
    <row r="153786" customFormat="1" x14ac:dyDescent="0.25"/>
    <row r="153787" customFormat="1" x14ac:dyDescent="0.25"/>
    <row r="153788" customFormat="1" x14ac:dyDescent="0.25"/>
    <row r="153789" customFormat="1" x14ac:dyDescent="0.25"/>
    <row r="153790" customFormat="1" x14ac:dyDescent="0.25"/>
    <row r="153791" customFormat="1" x14ac:dyDescent="0.25"/>
    <row r="153792" customFormat="1" x14ac:dyDescent="0.25"/>
    <row r="153793" customFormat="1" x14ac:dyDescent="0.25"/>
    <row r="153794" customFormat="1" x14ac:dyDescent="0.25"/>
    <row r="153795" customFormat="1" x14ac:dyDescent="0.25"/>
    <row r="153796" customFormat="1" x14ac:dyDescent="0.25"/>
    <row r="153797" customFormat="1" x14ac:dyDescent="0.25"/>
    <row r="153798" customFormat="1" x14ac:dyDescent="0.25"/>
    <row r="153799" customFormat="1" x14ac:dyDescent="0.25"/>
    <row r="153800" customFormat="1" x14ac:dyDescent="0.25"/>
    <row r="153801" customFormat="1" x14ac:dyDescent="0.25"/>
    <row r="153802" customFormat="1" x14ac:dyDescent="0.25"/>
    <row r="153803" customFormat="1" x14ac:dyDescent="0.25"/>
    <row r="153804" customFormat="1" x14ac:dyDescent="0.25"/>
    <row r="153805" customFormat="1" x14ac:dyDescent="0.25"/>
    <row r="153806" customFormat="1" x14ac:dyDescent="0.25"/>
    <row r="153807" customFormat="1" x14ac:dyDescent="0.25"/>
    <row r="153808" customFormat="1" x14ac:dyDescent="0.25"/>
    <row r="153809" customFormat="1" x14ac:dyDescent="0.25"/>
    <row r="153810" customFormat="1" x14ac:dyDescent="0.25"/>
    <row r="153811" customFormat="1" x14ac:dyDescent="0.25"/>
    <row r="153812" customFormat="1" x14ac:dyDescent="0.25"/>
    <row r="153813" customFormat="1" x14ac:dyDescent="0.25"/>
    <row r="153814" customFormat="1" x14ac:dyDescent="0.25"/>
    <row r="153815" customFormat="1" x14ac:dyDescent="0.25"/>
    <row r="153816" customFormat="1" x14ac:dyDescent="0.25"/>
    <row r="153817" customFormat="1" x14ac:dyDescent="0.25"/>
    <row r="153818" customFormat="1" x14ac:dyDescent="0.25"/>
    <row r="153819" customFormat="1" x14ac:dyDescent="0.25"/>
    <row r="153820" customFormat="1" x14ac:dyDescent="0.25"/>
    <row r="153821" customFormat="1" x14ac:dyDescent="0.25"/>
    <row r="153822" customFormat="1" x14ac:dyDescent="0.25"/>
    <row r="153823" customFormat="1" x14ac:dyDescent="0.25"/>
    <row r="153824" customFormat="1" x14ac:dyDescent="0.25"/>
    <row r="153825" customFormat="1" x14ac:dyDescent="0.25"/>
    <row r="153826" customFormat="1" x14ac:dyDescent="0.25"/>
    <row r="153827" customFormat="1" x14ac:dyDescent="0.25"/>
    <row r="153828" customFormat="1" x14ac:dyDescent="0.25"/>
    <row r="153829" customFormat="1" x14ac:dyDescent="0.25"/>
    <row r="153830" customFormat="1" x14ac:dyDescent="0.25"/>
    <row r="153831" customFormat="1" x14ac:dyDescent="0.25"/>
    <row r="153832" customFormat="1" x14ac:dyDescent="0.25"/>
    <row r="153833" customFormat="1" x14ac:dyDescent="0.25"/>
    <row r="153834" customFormat="1" x14ac:dyDescent="0.25"/>
    <row r="153835" customFormat="1" x14ac:dyDescent="0.25"/>
    <row r="153836" customFormat="1" x14ac:dyDescent="0.25"/>
    <row r="153837" customFormat="1" x14ac:dyDescent="0.25"/>
    <row r="153838" customFormat="1" x14ac:dyDescent="0.25"/>
    <row r="153839" customFormat="1" x14ac:dyDescent="0.25"/>
    <row r="153840" customFormat="1" x14ac:dyDescent="0.25"/>
    <row r="153841" customFormat="1" x14ac:dyDescent="0.25"/>
    <row r="153842" customFormat="1" x14ac:dyDescent="0.25"/>
    <row r="153843" customFormat="1" x14ac:dyDescent="0.25"/>
    <row r="153844" customFormat="1" x14ac:dyDescent="0.25"/>
    <row r="153845" customFormat="1" x14ac:dyDescent="0.25"/>
    <row r="153846" customFormat="1" x14ac:dyDescent="0.25"/>
    <row r="153847" customFormat="1" x14ac:dyDescent="0.25"/>
    <row r="153848" customFormat="1" x14ac:dyDescent="0.25"/>
    <row r="153849" customFormat="1" x14ac:dyDescent="0.25"/>
    <row r="153850" customFormat="1" x14ac:dyDescent="0.25"/>
    <row r="153851" customFormat="1" x14ac:dyDescent="0.25"/>
    <row r="153852" customFormat="1" x14ac:dyDescent="0.25"/>
    <row r="153853" customFormat="1" x14ac:dyDescent="0.25"/>
    <row r="153854" customFormat="1" x14ac:dyDescent="0.25"/>
    <row r="153855" customFormat="1" x14ac:dyDescent="0.25"/>
    <row r="153856" customFormat="1" x14ac:dyDescent="0.25"/>
    <row r="153857" customFormat="1" x14ac:dyDescent="0.25"/>
    <row r="153858" customFormat="1" x14ac:dyDescent="0.25"/>
    <row r="153859" customFormat="1" x14ac:dyDescent="0.25"/>
    <row r="153860" customFormat="1" x14ac:dyDescent="0.25"/>
    <row r="153861" customFormat="1" x14ac:dyDescent="0.25"/>
    <row r="153862" customFormat="1" x14ac:dyDescent="0.25"/>
    <row r="153863" customFormat="1" x14ac:dyDescent="0.25"/>
    <row r="153864" customFormat="1" x14ac:dyDescent="0.25"/>
    <row r="153865" customFormat="1" x14ac:dyDescent="0.25"/>
    <row r="153866" customFormat="1" x14ac:dyDescent="0.25"/>
    <row r="153867" customFormat="1" x14ac:dyDescent="0.25"/>
    <row r="153868" customFormat="1" x14ac:dyDescent="0.25"/>
    <row r="153869" customFormat="1" x14ac:dyDescent="0.25"/>
    <row r="153870" customFormat="1" x14ac:dyDescent="0.25"/>
    <row r="153871" customFormat="1" x14ac:dyDescent="0.25"/>
    <row r="153872" customFormat="1" x14ac:dyDescent="0.25"/>
    <row r="153873" customFormat="1" x14ac:dyDescent="0.25"/>
    <row r="153874" customFormat="1" x14ac:dyDescent="0.25"/>
    <row r="153875" customFormat="1" x14ac:dyDescent="0.25"/>
    <row r="153876" customFormat="1" x14ac:dyDescent="0.25"/>
    <row r="153877" customFormat="1" x14ac:dyDescent="0.25"/>
    <row r="153878" customFormat="1" x14ac:dyDescent="0.25"/>
    <row r="153879" customFormat="1" x14ac:dyDescent="0.25"/>
    <row r="153880" customFormat="1" x14ac:dyDescent="0.25"/>
    <row r="153881" customFormat="1" x14ac:dyDescent="0.25"/>
    <row r="153882" customFormat="1" x14ac:dyDescent="0.25"/>
    <row r="153883" customFormat="1" x14ac:dyDescent="0.25"/>
    <row r="153884" customFormat="1" x14ac:dyDescent="0.25"/>
    <row r="153885" customFormat="1" x14ac:dyDescent="0.25"/>
    <row r="153886" customFormat="1" x14ac:dyDescent="0.25"/>
    <row r="153887" customFormat="1" x14ac:dyDescent="0.25"/>
    <row r="153888" customFormat="1" x14ac:dyDescent="0.25"/>
    <row r="153889" customFormat="1" x14ac:dyDescent="0.25"/>
    <row r="153890" customFormat="1" x14ac:dyDescent="0.25"/>
    <row r="153891" customFormat="1" x14ac:dyDescent="0.25"/>
    <row r="153892" customFormat="1" x14ac:dyDescent="0.25"/>
    <row r="153893" customFormat="1" x14ac:dyDescent="0.25"/>
    <row r="153894" customFormat="1" x14ac:dyDescent="0.25"/>
    <row r="153895" customFormat="1" x14ac:dyDescent="0.25"/>
    <row r="153896" customFormat="1" x14ac:dyDescent="0.25"/>
    <row r="153897" customFormat="1" x14ac:dyDescent="0.25"/>
    <row r="153898" customFormat="1" x14ac:dyDescent="0.25"/>
    <row r="153899" customFormat="1" x14ac:dyDescent="0.25"/>
    <row r="153900" customFormat="1" x14ac:dyDescent="0.25"/>
    <row r="153901" customFormat="1" x14ac:dyDescent="0.25"/>
    <row r="153902" customFormat="1" x14ac:dyDescent="0.25"/>
    <row r="153903" customFormat="1" x14ac:dyDescent="0.25"/>
    <row r="153904" customFormat="1" x14ac:dyDescent="0.25"/>
    <row r="153905" customFormat="1" x14ac:dyDescent="0.25"/>
    <row r="153906" customFormat="1" x14ac:dyDescent="0.25"/>
    <row r="153907" customFormat="1" x14ac:dyDescent="0.25"/>
    <row r="153908" customFormat="1" x14ac:dyDescent="0.25"/>
    <row r="153909" customFormat="1" x14ac:dyDescent="0.25"/>
    <row r="153910" customFormat="1" x14ac:dyDescent="0.25"/>
    <row r="153911" customFormat="1" x14ac:dyDescent="0.25"/>
    <row r="153912" customFormat="1" x14ac:dyDescent="0.25"/>
    <row r="153913" customFormat="1" x14ac:dyDescent="0.25"/>
    <row r="153914" customFormat="1" x14ac:dyDescent="0.25"/>
    <row r="153915" customFormat="1" x14ac:dyDescent="0.25"/>
    <row r="153916" customFormat="1" x14ac:dyDescent="0.25"/>
    <row r="153917" customFormat="1" x14ac:dyDescent="0.25"/>
    <row r="153918" customFormat="1" x14ac:dyDescent="0.25"/>
    <row r="153919" customFormat="1" x14ac:dyDescent="0.25"/>
    <row r="153920" customFormat="1" x14ac:dyDescent="0.25"/>
    <row r="153921" customFormat="1" x14ac:dyDescent="0.25"/>
    <row r="153922" customFormat="1" x14ac:dyDescent="0.25"/>
    <row r="153923" customFormat="1" x14ac:dyDescent="0.25"/>
    <row r="153924" customFormat="1" x14ac:dyDescent="0.25"/>
    <row r="153925" customFormat="1" x14ac:dyDescent="0.25"/>
    <row r="153926" customFormat="1" x14ac:dyDescent="0.25"/>
    <row r="153927" customFormat="1" x14ac:dyDescent="0.25"/>
    <row r="153928" customFormat="1" x14ac:dyDescent="0.25"/>
    <row r="153929" customFormat="1" x14ac:dyDescent="0.25"/>
    <row r="153930" customFormat="1" x14ac:dyDescent="0.25"/>
    <row r="153931" customFormat="1" x14ac:dyDescent="0.25"/>
    <row r="153932" customFormat="1" x14ac:dyDescent="0.25"/>
    <row r="153933" customFormat="1" x14ac:dyDescent="0.25"/>
    <row r="153934" customFormat="1" x14ac:dyDescent="0.25"/>
    <row r="153935" customFormat="1" x14ac:dyDescent="0.25"/>
    <row r="153936" customFormat="1" x14ac:dyDescent="0.25"/>
    <row r="153937" customFormat="1" x14ac:dyDescent="0.25"/>
    <row r="153938" customFormat="1" x14ac:dyDescent="0.25"/>
    <row r="153939" customFormat="1" x14ac:dyDescent="0.25"/>
    <row r="153940" customFormat="1" x14ac:dyDescent="0.25"/>
    <row r="153941" customFormat="1" x14ac:dyDescent="0.25"/>
    <row r="153942" customFormat="1" x14ac:dyDescent="0.25"/>
    <row r="153943" customFormat="1" x14ac:dyDescent="0.25"/>
    <row r="153944" customFormat="1" x14ac:dyDescent="0.25"/>
    <row r="153945" customFormat="1" x14ac:dyDescent="0.25"/>
    <row r="153946" customFormat="1" x14ac:dyDescent="0.25"/>
    <row r="153947" customFormat="1" x14ac:dyDescent="0.25"/>
    <row r="153948" customFormat="1" x14ac:dyDescent="0.25"/>
    <row r="153949" customFormat="1" x14ac:dyDescent="0.25"/>
    <row r="153950" customFormat="1" x14ac:dyDescent="0.25"/>
    <row r="153951" customFormat="1" x14ac:dyDescent="0.25"/>
    <row r="153952" customFormat="1" x14ac:dyDescent="0.25"/>
    <row r="153953" customFormat="1" x14ac:dyDescent="0.25"/>
    <row r="153954" customFormat="1" x14ac:dyDescent="0.25"/>
    <row r="153955" customFormat="1" x14ac:dyDescent="0.25"/>
    <row r="153956" customFormat="1" x14ac:dyDescent="0.25"/>
    <row r="153957" customFormat="1" x14ac:dyDescent="0.25"/>
    <row r="153958" customFormat="1" x14ac:dyDescent="0.25"/>
    <row r="153959" customFormat="1" x14ac:dyDescent="0.25"/>
    <row r="153960" customFormat="1" x14ac:dyDescent="0.25"/>
    <row r="153961" customFormat="1" x14ac:dyDescent="0.25"/>
    <row r="153962" customFormat="1" x14ac:dyDescent="0.25"/>
    <row r="153963" customFormat="1" x14ac:dyDescent="0.25"/>
    <row r="153964" customFormat="1" x14ac:dyDescent="0.25"/>
    <row r="153965" customFormat="1" x14ac:dyDescent="0.25"/>
    <row r="153966" customFormat="1" x14ac:dyDescent="0.25"/>
    <row r="153967" customFormat="1" x14ac:dyDescent="0.25"/>
    <row r="153968" customFormat="1" x14ac:dyDescent="0.25"/>
    <row r="153969" customFormat="1" x14ac:dyDescent="0.25"/>
    <row r="153970" customFormat="1" x14ac:dyDescent="0.25"/>
    <row r="153971" customFormat="1" x14ac:dyDescent="0.25"/>
    <row r="153972" customFormat="1" x14ac:dyDescent="0.25"/>
    <row r="153973" customFormat="1" x14ac:dyDescent="0.25"/>
    <row r="153974" customFormat="1" x14ac:dyDescent="0.25"/>
    <row r="153975" customFormat="1" x14ac:dyDescent="0.25"/>
    <row r="153976" customFormat="1" x14ac:dyDescent="0.25"/>
    <row r="153977" customFormat="1" x14ac:dyDescent="0.25"/>
    <row r="153978" customFormat="1" x14ac:dyDescent="0.25"/>
    <row r="153979" customFormat="1" x14ac:dyDescent="0.25"/>
    <row r="153980" customFormat="1" x14ac:dyDescent="0.25"/>
    <row r="153981" customFormat="1" x14ac:dyDescent="0.25"/>
    <row r="153982" customFormat="1" x14ac:dyDescent="0.25"/>
    <row r="153983" customFormat="1" x14ac:dyDescent="0.25"/>
    <row r="153984" customFormat="1" x14ac:dyDescent="0.25"/>
    <row r="153985" customFormat="1" x14ac:dyDescent="0.25"/>
    <row r="153986" customFormat="1" x14ac:dyDescent="0.25"/>
    <row r="153987" customFormat="1" x14ac:dyDescent="0.25"/>
    <row r="153988" customFormat="1" x14ac:dyDescent="0.25"/>
    <row r="153989" customFormat="1" x14ac:dyDescent="0.25"/>
    <row r="153990" customFormat="1" x14ac:dyDescent="0.25"/>
    <row r="153991" customFormat="1" x14ac:dyDescent="0.25"/>
    <row r="153992" customFormat="1" x14ac:dyDescent="0.25"/>
    <row r="153993" customFormat="1" x14ac:dyDescent="0.25"/>
    <row r="153994" customFormat="1" x14ac:dyDescent="0.25"/>
    <row r="153995" customFormat="1" x14ac:dyDescent="0.25"/>
    <row r="153996" customFormat="1" x14ac:dyDescent="0.25"/>
    <row r="153997" customFormat="1" x14ac:dyDescent="0.25"/>
    <row r="153998" customFormat="1" x14ac:dyDescent="0.25"/>
    <row r="153999" customFormat="1" x14ac:dyDescent="0.25"/>
    <row r="154000" customFormat="1" x14ac:dyDescent="0.25"/>
    <row r="154001" customFormat="1" x14ac:dyDescent="0.25"/>
    <row r="154002" customFormat="1" x14ac:dyDescent="0.25"/>
    <row r="154003" customFormat="1" x14ac:dyDescent="0.25"/>
    <row r="154004" customFormat="1" x14ac:dyDescent="0.25"/>
    <row r="154005" customFormat="1" x14ac:dyDescent="0.25"/>
    <row r="154006" customFormat="1" x14ac:dyDescent="0.25"/>
    <row r="154007" customFormat="1" x14ac:dyDescent="0.25"/>
    <row r="154008" customFormat="1" x14ac:dyDescent="0.25"/>
    <row r="154009" customFormat="1" x14ac:dyDescent="0.25"/>
    <row r="154010" customFormat="1" x14ac:dyDescent="0.25"/>
    <row r="154011" customFormat="1" x14ac:dyDescent="0.25"/>
    <row r="154012" customFormat="1" x14ac:dyDescent="0.25"/>
    <row r="154013" customFormat="1" x14ac:dyDescent="0.25"/>
    <row r="154014" customFormat="1" x14ac:dyDescent="0.25"/>
    <row r="154015" customFormat="1" x14ac:dyDescent="0.25"/>
    <row r="154016" customFormat="1" x14ac:dyDescent="0.25"/>
    <row r="154017" customFormat="1" x14ac:dyDescent="0.25"/>
    <row r="154018" customFormat="1" x14ac:dyDescent="0.25"/>
    <row r="154019" customFormat="1" x14ac:dyDescent="0.25"/>
    <row r="154020" customFormat="1" x14ac:dyDescent="0.25"/>
    <row r="154021" customFormat="1" x14ac:dyDescent="0.25"/>
    <row r="154022" customFormat="1" x14ac:dyDescent="0.25"/>
    <row r="154023" customFormat="1" x14ac:dyDescent="0.25"/>
    <row r="154024" customFormat="1" x14ac:dyDescent="0.25"/>
    <row r="154025" customFormat="1" x14ac:dyDescent="0.25"/>
    <row r="154026" customFormat="1" x14ac:dyDescent="0.25"/>
    <row r="154027" customFormat="1" x14ac:dyDescent="0.25"/>
    <row r="154028" customFormat="1" x14ac:dyDescent="0.25"/>
    <row r="154029" customFormat="1" x14ac:dyDescent="0.25"/>
    <row r="154030" customFormat="1" x14ac:dyDescent="0.25"/>
    <row r="154031" customFormat="1" x14ac:dyDescent="0.25"/>
    <row r="154032" customFormat="1" x14ac:dyDescent="0.25"/>
    <row r="154033" customFormat="1" x14ac:dyDescent="0.25"/>
    <row r="154034" customFormat="1" x14ac:dyDescent="0.25"/>
    <row r="154035" customFormat="1" x14ac:dyDescent="0.25"/>
    <row r="154036" customFormat="1" x14ac:dyDescent="0.25"/>
    <row r="154037" customFormat="1" x14ac:dyDescent="0.25"/>
    <row r="154038" customFormat="1" x14ac:dyDescent="0.25"/>
    <row r="154039" customFormat="1" x14ac:dyDescent="0.25"/>
    <row r="154040" customFormat="1" x14ac:dyDescent="0.25"/>
    <row r="154041" customFormat="1" x14ac:dyDescent="0.25"/>
    <row r="154042" customFormat="1" x14ac:dyDescent="0.25"/>
    <row r="154043" customFormat="1" x14ac:dyDescent="0.25"/>
    <row r="154044" customFormat="1" x14ac:dyDescent="0.25"/>
    <row r="154045" customFormat="1" x14ac:dyDescent="0.25"/>
    <row r="154046" customFormat="1" x14ac:dyDescent="0.25"/>
    <row r="154047" customFormat="1" x14ac:dyDescent="0.25"/>
    <row r="154048" customFormat="1" x14ac:dyDescent="0.25"/>
    <row r="154049" customFormat="1" x14ac:dyDescent="0.25"/>
    <row r="154050" customFormat="1" x14ac:dyDescent="0.25"/>
    <row r="154051" customFormat="1" x14ac:dyDescent="0.25"/>
    <row r="154052" customFormat="1" x14ac:dyDescent="0.25"/>
    <row r="154053" customFormat="1" x14ac:dyDescent="0.25"/>
    <row r="154054" customFormat="1" x14ac:dyDescent="0.25"/>
    <row r="154055" customFormat="1" x14ac:dyDescent="0.25"/>
    <row r="154056" customFormat="1" x14ac:dyDescent="0.25"/>
    <row r="154057" customFormat="1" x14ac:dyDescent="0.25"/>
    <row r="154058" customFormat="1" x14ac:dyDescent="0.25"/>
    <row r="154059" customFormat="1" x14ac:dyDescent="0.25"/>
    <row r="154060" customFormat="1" x14ac:dyDescent="0.25"/>
    <row r="154061" customFormat="1" x14ac:dyDescent="0.25"/>
    <row r="154062" customFormat="1" x14ac:dyDescent="0.25"/>
    <row r="154063" customFormat="1" x14ac:dyDescent="0.25"/>
    <row r="154064" customFormat="1" x14ac:dyDescent="0.25"/>
    <row r="154065" customFormat="1" x14ac:dyDescent="0.25"/>
    <row r="154066" customFormat="1" x14ac:dyDescent="0.25"/>
    <row r="154067" customFormat="1" x14ac:dyDescent="0.25"/>
    <row r="154068" customFormat="1" x14ac:dyDescent="0.25"/>
    <row r="154069" customFormat="1" x14ac:dyDescent="0.25"/>
    <row r="154070" customFormat="1" x14ac:dyDescent="0.25"/>
    <row r="154071" customFormat="1" x14ac:dyDescent="0.25"/>
    <row r="154072" customFormat="1" x14ac:dyDescent="0.25"/>
    <row r="154073" customFormat="1" x14ac:dyDescent="0.25"/>
    <row r="154074" customFormat="1" x14ac:dyDescent="0.25"/>
    <row r="154075" customFormat="1" x14ac:dyDescent="0.25"/>
    <row r="154076" customFormat="1" x14ac:dyDescent="0.25"/>
    <row r="154077" customFormat="1" x14ac:dyDescent="0.25"/>
    <row r="154078" customFormat="1" x14ac:dyDescent="0.25"/>
    <row r="154079" customFormat="1" x14ac:dyDescent="0.25"/>
    <row r="154080" customFormat="1" x14ac:dyDescent="0.25"/>
    <row r="154081" customFormat="1" x14ac:dyDescent="0.25"/>
    <row r="154082" customFormat="1" x14ac:dyDescent="0.25"/>
    <row r="154083" customFormat="1" x14ac:dyDescent="0.25"/>
    <row r="154084" customFormat="1" x14ac:dyDescent="0.25"/>
    <row r="154085" customFormat="1" x14ac:dyDescent="0.25"/>
    <row r="154086" customFormat="1" x14ac:dyDescent="0.25"/>
    <row r="154087" customFormat="1" x14ac:dyDescent="0.25"/>
    <row r="154088" customFormat="1" x14ac:dyDescent="0.25"/>
    <row r="154089" customFormat="1" x14ac:dyDescent="0.25"/>
    <row r="154090" customFormat="1" x14ac:dyDescent="0.25"/>
    <row r="154091" customFormat="1" x14ac:dyDescent="0.25"/>
    <row r="154092" customFormat="1" x14ac:dyDescent="0.25"/>
    <row r="154093" customFormat="1" x14ac:dyDescent="0.25"/>
    <row r="154094" customFormat="1" x14ac:dyDescent="0.25"/>
    <row r="154095" customFormat="1" x14ac:dyDescent="0.25"/>
    <row r="154096" customFormat="1" x14ac:dyDescent="0.25"/>
    <row r="154097" customFormat="1" x14ac:dyDescent="0.25"/>
    <row r="154098" customFormat="1" x14ac:dyDescent="0.25"/>
    <row r="154099" customFormat="1" x14ac:dyDescent="0.25"/>
    <row r="154100" customFormat="1" x14ac:dyDescent="0.25"/>
    <row r="154101" customFormat="1" x14ac:dyDescent="0.25"/>
    <row r="154102" customFormat="1" x14ac:dyDescent="0.25"/>
    <row r="154103" customFormat="1" x14ac:dyDescent="0.25"/>
    <row r="154104" customFormat="1" x14ac:dyDescent="0.25"/>
    <row r="154105" customFormat="1" x14ac:dyDescent="0.25"/>
    <row r="154106" customFormat="1" x14ac:dyDescent="0.25"/>
    <row r="154107" customFormat="1" x14ac:dyDescent="0.25"/>
    <row r="154108" customFormat="1" x14ac:dyDescent="0.25"/>
    <row r="154109" customFormat="1" x14ac:dyDescent="0.25"/>
    <row r="154110" customFormat="1" x14ac:dyDescent="0.25"/>
    <row r="154111" customFormat="1" x14ac:dyDescent="0.25"/>
    <row r="154112" customFormat="1" x14ac:dyDescent="0.25"/>
    <row r="154113" customFormat="1" x14ac:dyDescent="0.25"/>
    <row r="154114" customFormat="1" x14ac:dyDescent="0.25"/>
    <row r="154115" customFormat="1" x14ac:dyDescent="0.25"/>
    <row r="154116" customFormat="1" x14ac:dyDescent="0.25"/>
    <row r="154117" customFormat="1" x14ac:dyDescent="0.25"/>
    <row r="154118" customFormat="1" x14ac:dyDescent="0.25"/>
    <row r="154119" customFormat="1" x14ac:dyDescent="0.25"/>
    <row r="154120" customFormat="1" x14ac:dyDescent="0.25"/>
    <row r="154121" customFormat="1" x14ac:dyDescent="0.25"/>
    <row r="154122" customFormat="1" x14ac:dyDescent="0.25"/>
    <row r="154123" customFormat="1" x14ac:dyDescent="0.25"/>
    <row r="154124" customFormat="1" x14ac:dyDescent="0.25"/>
    <row r="154125" customFormat="1" x14ac:dyDescent="0.25"/>
    <row r="154126" customFormat="1" x14ac:dyDescent="0.25"/>
    <row r="154127" customFormat="1" x14ac:dyDescent="0.25"/>
    <row r="154128" customFormat="1" x14ac:dyDescent="0.25"/>
    <row r="154129" customFormat="1" x14ac:dyDescent="0.25"/>
    <row r="154130" customFormat="1" x14ac:dyDescent="0.25"/>
    <row r="154131" customFormat="1" x14ac:dyDescent="0.25"/>
    <row r="154132" customFormat="1" x14ac:dyDescent="0.25"/>
    <row r="154133" customFormat="1" x14ac:dyDescent="0.25"/>
    <row r="154134" customFormat="1" x14ac:dyDescent="0.25"/>
    <row r="154135" customFormat="1" x14ac:dyDescent="0.25"/>
    <row r="154136" customFormat="1" x14ac:dyDescent="0.25"/>
    <row r="154137" customFormat="1" x14ac:dyDescent="0.25"/>
    <row r="154138" customFormat="1" x14ac:dyDescent="0.25"/>
    <row r="154139" customFormat="1" x14ac:dyDescent="0.25"/>
    <row r="154140" customFormat="1" x14ac:dyDescent="0.25"/>
    <row r="154141" customFormat="1" x14ac:dyDescent="0.25"/>
    <row r="154142" customFormat="1" x14ac:dyDescent="0.25"/>
    <row r="154143" customFormat="1" x14ac:dyDescent="0.25"/>
    <row r="154144" customFormat="1" x14ac:dyDescent="0.25"/>
    <row r="154145" customFormat="1" x14ac:dyDescent="0.25"/>
    <row r="154146" customFormat="1" x14ac:dyDescent="0.25"/>
    <row r="154147" customFormat="1" x14ac:dyDescent="0.25"/>
    <row r="154148" customFormat="1" x14ac:dyDescent="0.25"/>
    <row r="154149" customFormat="1" x14ac:dyDescent="0.25"/>
    <row r="154150" customFormat="1" x14ac:dyDescent="0.25"/>
    <row r="154151" customFormat="1" x14ac:dyDescent="0.25"/>
    <row r="154152" customFormat="1" x14ac:dyDescent="0.25"/>
    <row r="154153" customFormat="1" x14ac:dyDescent="0.25"/>
    <row r="154154" customFormat="1" x14ac:dyDescent="0.25"/>
    <row r="154155" customFormat="1" x14ac:dyDescent="0.25"/>
    <row r="154156" customFormat="1" x14ac:dyDescent="0.25"/>
    <row r="154157" customFormat="1" x14ac:dyDescent="0.25"/>
    <row r="154158" customFormat="1" x14ac:dyDescent="0.25"/>
    <row r="154159" customFormat="1" x14ac:dyDescent="0.25"/>
    <row r="154160" customFormat="1" x14ac:dyDescent="0.25"/>
    <row r="154161" customFormat="1" x14ac:dyDescent="0.25"/>
    <row r="154162" customFormat="1" x14ac:dyDescent="0.25"/>
    <row r="154163" customFormat="1" x14ac:dyDescent="0.25"/>
    <row r="154164" customFormat="1" x14ac:dyDescent="0.25"/>
    <row r="154165" customFormat="1" x14ac:dyDescent="0.25"/>
    <row r="154166" customFormat="1" x14ac:dyDescent="0.25"/>
    <row r="154167" customFormat="1" x14ac:dyDescent="0.25"/>
    <row r="154168" customFormat="1" x14ac:dyDescent="0.25"/>
    <row r="154169" customFormat="1" x14ac:dyDescent="0.25"/>
    <row r="154170" customFormat="1" x14ac:dyDescent="0.25"/>
    <row r="154171" customFormat="1" x14ac:dyDescent="0.25"/>
    <row r="154172" customFormat="1" x14ac:dyDescent="0.25"/>
    <row r="154173" customFormat="1" x14ac:dyDescent="0.25"/>
    <row r="154174" customFormat="1" x14ac:dyDescent="0.25"/>
    <row r="154175" customFormat="1" x14ac:dyDescent="0.25"/>
    <row r="154176" customFormat="1" x14ac:dyDescent="0.25"/>
    <row r="154177" customFormat="1" x14ac:dyDescent="0.25"/>
    <row r="154178" customFormat="1" x14ac:dyDescent="0.25"/>
    <row r="154179" customFormat="1" x14ac:dyDescent="0.25"/>
    <row r="154180" customFormat="1" x14ac:dyDescent="0.25"/>
    <row r="154181" customFormat="1" x14ac:dyDescent="0.25"/>
    <row r="154182" customFormat="1" x14ac:dyDescent="0.25"/>
    <row r="154183" customFormat="1" x14ac:dyDescent="0.25"/>
    <row r="154184" customFormat="1" x14ac:dyDescent="0.25"/>
    <row r="154185" customFormat="1" x14ac:dyDescent="0.25"/>
    <row r="154186" customFormat="1" x14ac:dyDescent="0.25"/>
    <row r="154187" customFormat="1" x14ac:dyDescent="0.25"/>
    <row r="154188" customFormat="1" x14ac:dyDescent="0.25"/>
    <row r="154189" customFormat="1" x14ac:dyDescent="0.25"/>
    <row r="154190" customFormat="1" x14ac:dyDescent="0.25"/>
    <row r="154191" customFormat="1" x14ac:dyDescent="0.25"/>
    <row r="154192" customFormat="1" x14ac:dyDescent="0.25"/>
    <row r="154193" customFormat="1" x14ac:dyDescent="0.25"/>
    <row r="154194" customFormat="1" x14ac:dyDescent="0.25"/>
    <row r="154195" customFormat="1" x14ac:dyDescent="0.25"/>
    <row r="154196" customFormat="1" x14ac:dyDescent="0.25"/>
    <row r="154197" customFormat="1" x14ac:dyDescent="0.25"/>
    <row r="154198" customFormat="1" x14ac:dyDescent="0.25"/>
    <row r="154199" customFormat="1" x14ac:dyDescent="0.25"/>
    <row r="154200" customFormat="1" x14ac:dyDescent="0.25"/>
    <row r="154201" customFormat="1" x14ac:dyDescent="0.25"/>
    <row r="154202" customFormat="1" x14ac:dyDescent="0.25"/>
    <row r="154203" customFormat="1" x14ac:dyDescent="0.25"/>
    <row r="154204" customFormat="1" x14ac:dyDescent="0.25"/>
    <row r="154205" customFormat="1" x14ac:dyDescent="0.25"/>
    <row r="154206" customFormat="1" x14ac:dyDescent="0.25"/>
    <row r="154207" customFormat="1" x14ac:dyDescent="0.25"/>
    <row r="154208" customFormat="1" x14ac:dyDescent="0.25"/>
    <row r="154209" customFormat="1" x14ac:dyDescent="0.25"/>
    <row r="154210" customFormat="1" x14ac:dyDescent="0.25"/>
    <row r="154211" customFormat="1" x14ac:dyDescent="0.25"/>
    <row r="154212" customFormat="1" x14ac:dyDescent="0.25"/>
    <row r="154213" customFormat="1" x14ac:dyDescent="0.25"/>
    <row r="154214" customFormat="1" x14ac:dyDescent="0.25"/>
    <row r="154215" customFormat="1" x14ac:dyDescent="0.25"/>
    <row r="154216" customFormat="1" x14ac:dyDescent="0.25"/>
    <row r="154217" customFormat="1" x14ac:dyDescent="0.25"/>
    <row r="154218" customFormat="1" x14ac:dyDescent="0.25"/>
    <row r="154219" customFormat="1" x14ac:dyDescent="0.25"/>
    <row r="154220" customFormat="1" x14ac:dyDescent="0.25"/>
    <row r="154221" customFormat="1" x14ac:dyDescent="0.25"/>
    <row r="154222" customFormat="1" x14ac:dyDescent="0.25"/>
    <row r="154223" customFormat="1" x14ac:dyDescent="0.25"/>
    <row r="154224" customFormat="1" x14ac:dyDescent="0.25"/>
    <row r="154225" customFormat="1" x14ac:dyDescent="0.25"/>
    <row r="154226" customFormat="1" x14ac:dyDescent="0.25"/>
    <row r="154227" customFormat="1" x14ac:dyDescent="0.25"/>
    <row r="154228" customFormat="1" x14ac:dyDescent="0.25"/>
    <row r="154229" customFormat="1" x14ac:dyDescent="0.25"/>
    <row r="154230" customFormat="1" x14ac:dyDescent="0.25"/>
    <row r="154231" customFormat="1" x14ac:dyDescent="0.25"/>
    <row r="154232" customFormat="1" x14ac:dyDescent="0.25"/>
    <row r="154233" customFormat="1" x14ac:dyDescent="0.25"/>
    <row r="154234" customFormat="1" x14ac:dyDescent="0.25"/>
    <row r="154235" customFormat="1" x14ac:dyDescent="0.25"/>
    <row r="154236" customFormat="1" x14ac:dyDescent="0.25"/>
    <row r="154237" customFormat="1" x14ac:dyDescent="0.25"/>
    <row r="154238" customFormat="1" x14ac:dyDescent="0.25"/>
    <row r="154239" customFormat="1" x14ac:dyDescent="0.25"/>
    <row r="154240" customFormat="1" x14ac:dyDescent="0.25"/>
    <row r="154241" customFormat="1" x14ac:dyDescent="0.25"/>
    <row r="154242" customFormat="1" x14ac:dyDescent="0.25"/>
    <row r="154243" customFormat="1" x14ac:dyDescent="0.25"/>
    <row r="154244" customFormat="1" x14ac:dyDescent="0.25"/>
    <row r="154245" customFormat="1" x14ac:dyDescent="0.25"/>
    <row r="154246" customFormat="1" x14ac:dyDescent="0.25"/>
    <row r="154247" customFormat="1" x14ac:dyDescent="0.25"/>
    <row r="154248" customFormat="1" x14ac:dyDescent="0.25"/>
    <row r="154249" customFormat="1" x14ac:dyDescent="0.25"/>
    <row r="154250" customFormat="1" x14ac:dyDescent="0.25"/>
    <row r="154251" customFormat="1" x14ac:dyDescent="0.25"/>
    <row r="154252" customFormat="1" x14ac:dyDescent="0.25"/>
    <row r="154253" customFormat="1" x14ac:dyDescent="0.25"/>
    <row r="154254" customFormat="1" x14ac:dyDescent="0.25"/>
    <row r="154255" customFormat="1" x14ac:dyDescent="0.25"/>
    <row r="154256" customFormat="1" x14ac:dyDescent="0.25"/>
    <row r="154257" customFormat="1" x14ac:dyDescent="0.25"/>
    <row r="154258" customFormat="1" x14ac:dyDescent="0.25"/>
    <row r="154259" customFormat="1" x14ac:dyDescent="0.25"/>
    <row r="154260" customFormat="1" x14ac:dyDescent="0.25"/>
    <row r="154261" customFormat="1" x14ac:dyDescent="0.25"/>
    <row r="154262" customFormat="1" x14ac:dyDescent="0.25"/>
    <row r="154263" customFormat="1" x14ac:dyDescent="0.25"/>
    <row r="154264" customFormat="1" x14ac:dyDescent="0.25"/>
    <row r="154265" customFormat="1" x14ac:dyDescent="0.25"/>
    <row r="154266" customFormat="1" x14ac:dyDescent="0.25"/>
    <row r="154267" customFormat="1" x14ac:dyDescent="0.25"/>
    <row r="154268" customFormat="1" x14ac:dyDescent="0.25"/>
    <row r="154269" customFormat="1" x14ac:dyDescent="0.25"/>
    <row r="154270" customFormat="1" x14ac:dyDescent="0.25"/>
    <row r="154271" customFormat="1" x14ac:dyDescent="0.25"/>
    <row r="154272" customFormat="1" x14ac:dyDescent="0.25"/>
    <row r="154273" customFormat="1" x14ac:dyDescent="0.25"/>
    <row r="154274" customFormat="1" x14ac:dyDescent="0.25"/>
    <row r="154275" customFormat="1" x14ac:dyDescent="0.25"/>
    <row r="154276" customFormat="1" x14ac:dyDescent="0.25"/>
    <row r="154277" customFormat="1" x14ac:dyDescent="0.25"/>
    <row r="154278" customFormat="1" x14ac:dyDescent="0.25"/>
    <row r="154279" customFormat="1" x14ac:dyDescent="0.25"/>
    <row r="154280" customFormat="1" x14ac:dyDescent="0.25"/>
    <row r="154281" customFormat="1" x14ac:dyDescent="0.25"/>
    <row r="154282" customFormat="1" x14ac:dyDescent="0.25"/>
    <row r="154283" customFormat="1" x14ac:dyDescent="0.25"/>
    <row r="154284" customFormat="1" x14ac:dyDescent="0.25"/>
    <row r="154285" customFormat="1" x14ac:dyDescent="0.25"/>
    <row r="154286" customFormat="1" x14ac:dyDescent="0.25"/>
    <row r="154287" customFormat="1" x14ac:dyDescent="0.25"/>
    <row r="154288" customFormat="1" x14ac:dyDescent="0.25"/>
    <row r="154289" customFormat="1" x14ac:dyDescent="0.25"/>
    <row r="154290" customFormat="1" x14ac:dyDescent="0.25"/>
    <row r="154291" customFormat="1" x14ac:dyDescent="0.25"/>
    <row r="154292" customFormat="1" x14ac:dyDescent="0.25"/>
    <row r="154293" customFormat="1" x14ac:dyDescent="0.25"/>
    <row r="154294" customFormat="1" x14ac:dyDescent="0.25"/>
    <row r="154295" customFormat="1" x14ac:dyDescent="0.25"/>
    <row r="154296" customFormat="1" x14ac:dyDescent="0.25"/>
    <row r="154297" customFormat="1" x14ac:dyDescent="0.25"/>
    <row r="154298" customFormat="1" x14ac:dyDescent="0.25"/>
    <row r="154299" customFormat="1" x14ac:dyDescent="0.25"/>
    <row r="154300" customFormat="1" x14ac:dyDescent="0.25"/>
    <row r="154301" customFormat="1" x14ac:dyDescent="0.25"/>
    <row r="154302" customFormat="1" x14ac:dyDescent="0.25"/>
    <row r="154303" customFormat="1" x14ac:dyDescent="0.25"/>
    <row r="154304" customFormat="1" x14ac:dyDescent="0.25"/>
    <row r="154305" customFormat="1" x14ac:dyDescent="0.25"/>
    <row r="154306" customFormat="1" x14ac:dyDescent="0.25"/>
    <row r="154307" customFormat="1" x14ac:dyDescent="0.25"/>
    <row r="154308" customFormat="1" x14ac:dyDescent="0.25"/>
    <row r="154309" customFormat="1" x14ac:dyDescent="0.25"/>
    <row r="154310" customFormat="1" x14ac:dyDescent="0.25"/>
    <row r="154311" customFormat="1" x14ac:dyDescent="0.25"/>
    <row r="154312" customFormat="1" x14ac:dyDescent="0.25"/>
    <row r="154313" customFormat="1" x14ac:dyDescent="0.25"/>
    <row r="154314" customFormat="1" x14ac:dyDescent="0.25"/>
    <row r="154315" customFormat="1" x14ac:dyDescent="0.25"/>
    <row r="154316" customFormat="1" x14ac:dyDescent="0.25"/>
    <row r="154317" customFormat="1" x14ac:dyDescent="0.25"/>
    <row r="154318" customFormat="1" x14ac:dyDescent="0.25"/>
    <row r="154319" customFormat="1" x14ac:dyDescent="0.25"/>
    <row r="154320" customFormat="1" x14ac:dyDescent="0.25"/>
    <row r="154321" customFormat="1" x14ac:dyDescent="0.25"/>
    <row r="154322" customFormat="1" x14ac:dyDescent="0.25"/>
    <row r="154323" customFormat="1" x14ac:dyDescent="0.25"/>
    <row r="154324" customFormat="1" x14ac:dyDescent="0.25"/>
    <row r="154325" customFormat="1" x14ac:dyDescent="0.25"/>
    <row r="154326" customFormat="1" x14ac:dyDescent="0.25"/>
    <row r="154327" customFormat="1" x14ac:dyDescent="0.25"/>
    <row r="154328" customFormat="1" x14ac:dyDescent="0.25"/>
    <row r="154329" customFormat="1" x14ac:dyDescent="0.25"/>
    <row r="154330" customFormat="1" x14ac:dyDescent="0.25"/>
    <row r="154331" customFormat="1" x14ac:dyDescent="0.25"/>
    <row r="154332" customFormat="1" x14ac:dyDescent="0.25"/>
    <row r="154333" customFormat="1" x14ac:dyDescent="0.25"/>
    <row r="154334" customFormat="1" x14ac:dyDescent="0.25"/>
    <row r="154335" customFormat="1" x14ac:dyDescent="0.25"/>
    <row r="154336" customFormat="1" x14ac:dyDescent="0.25"/>
    <row r="154337" customFormat="1" x14ac:dyDescent="0.25"/>
    <row r="154338" customFormat="1" x14ac:dyDescent="0.25"/>
    <row r="154339" customFormat="1" x14ac:dyDescent="0.25"/>
    <row r="154340" customFormat="1" x14ac:dyDescent="0.25"/>
    <row r="154341" customFormat="1" x14ac:dyDescent="0.25"/>
    <row r="154342" customFormat="1" x14ac:dyDescent="0.25"/>
    <row r="154343" customFormat="1" x14ac:dyDescent="0.25"/>
    <row r="154344" customFormat="1" x14ac:dyDescent="0.25"/>
    <row r="154345" customFormat="1" x14ac:dyDescent="0.25"/>
    <row r="154346" customFormat="1" x14ac:dyDescent="0.25"/>
    <row r="154347" customFormat="1" x14ac:dyDescent="0.25"/>
    <row r="154348" customFormat="1" x14ac:dyDescent="0.25"/>
    <row r="154349" customFormat="1" x14ac:dyDescent="0.25"/>
    <row r="154350" customFormat="1" x14ac:dyDescent="0.25"/>
    <row r="154351" customFormat="1" x14ac:dyDescent="0.25"/>
    <row r="154352" customFormat="1" x14ac:dyDescent="0.25"/>
    <row r="154353" customFormat="1" x14ac:dyDescent="0.25"/>
    <row r="154354" customFormat="1" x14ac:dyDescent="0.25"/>
    <row r="154355" customFormat="1" x14ac:dyDescent="0.25"/>
    <row r="154356" customFormat="1" x14ac:dyDescent="0.25"/>
    <row r="154357" customFormat="1" x14ac:dyDescent="0.25"/>
    <row r="154358" customFormat="1" x14ac:dyDescent="0.25"/>
    <row r="154359" customFormat="1" x14ac:dyDescent="0.25"/>
    <row r="154360" customFormat="1" x14ac:dyDescent="0.25"/>
    <row r="154361" customFormat="1" x14ac:dyDescent="0.25"/>
    <row r="154362" customFormat="1" x14ac:dyDescent="0.25"/>
    <row r="154363" customFormat="1" x14ac:dyDescent="0.25"/>
    <row r="154364" customFormat="1" x14ac:dyDescent="0.25"/>
    <row r="154365" customFormat="1" x14ac:dyDescent="0.25"/>
    <row r="154366" customFormat="1" x14ac:dyDescent="0.25"/>
    <row r="154367" customFormat="1" x14ac:dyDescent="0.25"/>
    <row r="154368" customFormat="1" x14ac:dyDescent="0.25"/>
    <row r="154369" customFormat="1" x14ac:dyDescent="0.25"/>
    <row r="154370" customFormat="1" x14ac:dyDescent="0.25"/>
    <row r="154371" customFormat="1" x14ac:dyDescent="0.25"/>
    <row r="154372" customFormat="1" x14ac:dyDescent="0.25"/>
    <row r="154373" customFormat="1" x14ac:dyDescent="0.25"/>
    <row r="154374" customFormat="1" x14ac:dyDescent="0.25"/>
    <row r="154375" customFormat="1" x14ac:dyDescent="0.25"/>
    <row r="154376" customFormat="1" x14ac:dyDescent="0.25"/>
    <row r="154377" customFormat="1" x14ac:dyDescent="0.25"/>
    <row r="154378" customFormat="1" x14ac:dyDescent="0.25"/>
    <row r="154379" customFormat="1" x14ac:dyDescent="0.25"/>
    <row r="154380" customFormat="1" x14ac:dyDescent="0.25"/>
    <row r="154381" customFormat="1" x14ac:dyDescent="0.25"/>
    <row r="154382" customFormat="1" x14ac:dyDescent="0.25"/>
    <row r="154383" customFormat="1" x14ac:dyDescent="0.25"/>
    <row r="154384" customFormat="1" x14ac:dyDescent="0.25"/>
    <row r="154385" customFormat="1" x14ac:dyDescent="0.25"/>
    <row r="154386" customFormat="1" x14ac:dyDescent="0.25"/>
    <row r="154387" customFormat="1" x14ac:dyDescent="0.25"/>
    <row r="154388" customFormat="1" x14ac:dyDescent="0.25"/>
    <row r="154389" customFormat="1" x14ac:dyDescent="0.25"/>
    <row r="154390" customFormat="1" x14ac:dyDescent="0.25"/>
    <row r="154391" customFormat="1" x14ac:dyDescent="0.25"/>
    <row r="154392" customFormat="1" x14ac:dyDescent="0.25"/>
    <row r="154393" customFormat="1" x14ac:dyDescent="0.25"/>
    <row r="154394" customFormat="1" x14ac:dyDescent="0.25"/>
    <row r="154395" customFormat="1" x14ac:dyDescent="0.25"/>
    <row r="154396" customFormat="1" x14ac:dyDescent="0.25"/>
    <row r="154397" customFormat="1" x14ac:dyDescent="0.25"/>
    <row r="154398" customFormat="1" x14ac:dyDescent="0.25"/>
    <row r="154399" customFormat="1" x14ac:dyDescent="0.25"/>
    <row r="154400" customFormat="1" x14ac:dyDescent="0.25"/>
    <row r="154401" customFormat="1" x14ac:dyDescent="0.25"/>
    <row r="154402" customFormat="1" x14ac:dyDescent="0.25"/>
    <row r="154403" customFormat="1" x14ac:dyDescent="0.25"/>
    <row r="154404" customFormat="1" x14ac:dyDescent="0.25"/>
    <row r="154405" customFormat="1" x14ac:dyDescent="0.25"/>
    <row r="154406" customFormat="1" x14ac:dyDescent="0.25"/>
    <row r="154407" customFormat="1" x14ac:dyDescent="0.25"/>
    <row r="154408" customFormat="1" x14ac:dyDescent="0.25"/>
    <row r="154409" customFormat="1" x14ac:dyDescent="0.25"/>
    <row r="154410" customFormat="1" x14ac:dyDescent="0.25"/>
    <row r="154411" customFormat="1" x14ac:dyDescent="0.25"/>
    <row r="154412" customFormat="1" x14ac:dyDescent="0.25"/>
    <row r="154413" customFormat="1" x14ac:dyDescent="0.25"/>
    <row r="154414" customFormat="1" x14ac:dyDescent="0.25"/>
    <row r="154415" customFormat="1" x14ac:dyDescent="0.25"/>
    <row r="154416" customFormat="1" x14ac:dyDescent="0.25"/>
    <row r="154417" customFormat="1" x14ac:dyDescent="0.25"/>
    <row r="154418" customFormat="1" x14ac:dyDescent="0.25"/>
    <row r="154419" customFormat="1" x14ac:dyDescent="0.25"/>
    <row r="154420" customFormat="1" x14ac:dyDescent="0.25"/>
    <row r="154421" customFormat="1" x14ac:dyDescent="0.25"/>
    <row r="154422" customFormat="1" x14ac:dyDescent="0.25"/>
    <row r="154423" customFormat="1" x14ac:dyDescent="0.25"/>
    <row r="154424" customFormat="1" x14ac:dyDescent="0.25"/>
    <row r="154425" customFormat="1" x14ac:dyDescent="0.25"/>
    <row r="154426" customFormat="1" x14ac:dyDescent="0.25"/>
    <row r="154427" customFormat="1" x14ac:dyDescent="0.25"/>
    <row r="154428" customFormat="1" x14ac:dyDescent="0.25"/>
    <row r="154429" customFormat="1" x14ac:dyDescent="0.25"/>
    <row r="154430" customFormat="1" x14ac:dyDescent="0.25"/>
    <row r="154431" customFormat="1" x14ac:dyDescent="0.25"/>
    <row r="154432" customFormat="1" x14ac:dyDescent="0.25"/>
    <row r="154433" customFormat="1" x14ac:dyDescent="0.25"/>
    <row r="154434" customFormat="1" x14ac:dyDescent="0.25"/>
    <row r="154435" customFormat="1" x14ac:dyDescent="0.25"/>
    <row r="154436" customFormat="1" x14ac:dyDescent="0.25"/>
    <row r="154437" customFormat="1" x14ac:dyDescent="0.25"/>
    <row r="154438" customFormat="1" x14ac:dyDescent="0.25"/>
    <row r="154439" customFormat="1" x14ac:dyDescent="0.25"/>
    <row r="154440" customFormat="1" x14ac:dyDescent="0.25"/>
    <row r="154441" customFormat="1" x14ac:dyDescent="0.25"/>
    <row r="154442" customFormat="1" x14ac:dyDescent="0.25"/>
    <row r="154443" customFormat="1" x14ac:dyDescent="0.25"/>
    <row r="154444" customFormat="1" x14ac:dyDescent="0.25"/>
    <row r="154445" customFormat="1" x14ac:dyDescent="0.25"/>
    <row r="154446" customFormat="1" x14ac:dyDescent="0.25"/>
    <row r="154447" customFormat="1" x14ac:dyDescent="0.25"/>
    <row r="154448" customFormat="1" x14ac:dyDescent="0.25"/>
    <row r="154449" customFormat="1" x14ac:dyDescent="0.25"/>
    <row r="154450" customFormat="1" x14ac:dyDescent="0.25"/>
    <row r="154451" customFormat="1" x14ac:dyDescent="0.25"/>
    <row r="154452" customFormat="1" x14ac:dyDescent="0.25"/>
    <row r="154453" customFormat="1" x14ac:dyDescent="0.25"/>
    <row r="154454" customFormat="1" x14ac:dyDescent="0.25"/>
    <row r="154455" customFormat="1" x14ac:dyDescent="0.25"/>
    <row r="154456" customFormat="1" x14ac:dyDescent="0.25"/>
    <row r="154457" customFormat="1" x14ac:dyDescent="0.25"/>
    <row r="154458" customFormat="1" x14ac:dyDescent="0.25"/>
    <row r="154459" customFormat="1" x14ac:dyDescent="0.25"/>
    <row r="154460" customFormat="1" x14ac:dyDescent="0.25"/>
    <row r="154461" customFormat="1" x14ac:dyDescent="0.25"/>
    <row r="154462" customFormat="1" x14ac:dyDescent="0.25"/>
    <row r="154463" customFormat="1" x14ac:dyDescent="0.25"/>
    <row r="154464" customFormat="1" x14ac:dyDescent="0.25"/>
    <row r="154465" customFormat="1" x14ac:dyDescent="0.25"/>
    <row r="154466" customFormat="1" x14ac:dyDescent="0.25"/>
    <row r="154467" customFormat="1" x14ac:dyDescent="0.25"/>
    <row r="154468" customFormat="1" x14ac:dyDescent="0.25"/>
    <row r="154469" customFormat="1" x14ac:dyDescent="0.25"/>
    <row r="154470" customFormat="1" x14ac:dyDescent="0.25"/>
    <row r="154471" customFormat="1" x14ac:dyDescent="0.25"/>
    <row r="154472" customFormat="1" x14ac:dyDescent="0.25"/>
    <row r="154473" customFormat="1" x14ac:dyDescent="0.25"/>
    <row r="154474" customFormat="1" x14ac:dyDescent="0.25"/>
    <row r="154475" customFormat="1" x14ac:dyDescent="0.25"/>
    <row r="154476" customFormat="1" x14ac:dyDescent="0.25"/>
    <row r="154477" customFormat="1" x14ac:dyDescent="0.25"/>
    <row r="154478" customFormat="1" x14ac:dyDescent="0.25"/>
    <row r="154479" customFormat="1" x14ac:dyDescent="0.25"/>
    <row r="154480" customFormat="1" x14ac:dyDescent="0.25"/>
    <row r="154481" customFormat="1" x14ac:dyDescent="0.25"/>
    <row r="154482" customFormat="1" x14ac:dyDescent="0.25"/>
    <row r="154483" customFormat="1" x14ac:dyDescent="0.25"/>
    <row r="154484" customFormat="1" x14ac:dyDescent="0.25"/>
    <row r="154485" customFormat="1" x14ac:dyDescent="0.25"/>
    <row r="154486" customFormat="1" x14ac:dyDescent="0.25"/>
    <row r="154487" customFormat="1" x14ac:dyDescent="0.25"/>
    <row r="154488" customFormat="1" x14ac:dyDescent="0.25"/>
    <row r="154489" customFormat="1" x14ac:dyDescent="0.25"/>
    <row r="154490" customFormat="1" x14ac:dyDescent="0.25"/>
    <row r="154491" customFormat="1" x14ac:dyDescent="0.25"/>
    <row r="154492" customFormat="1" x14ac:dyDescent="0.25"/>
    <row r="154493" customFormat="1" x14ac:dyDescent="0.25"/>
    <row r="154494" customFormat="1" x14ac:dyDescent="0.25"/>
    <row r="154495" customFormat="1" x14ac:dyDescent="0.25"/>
    <row r="154496" customFormat="1" x14ac:dyDescent="0.25"/>
    <row r="154497" customFormat="1" x14ac:dyDescent="0.25"/>
    <row r="154498" customFormat="1" x14ac:dyDescent="0.25"/>
    <row r="154499" customFormat="1" x14ac:dyDescent="0.25"/>
    <row r="154500" customFormat="1" x14ac:dyDescent="0.25"/>
    <row r="154501" customFormat="1" x14ac:dyDescent="0.25"/>
    <row r="154502" customFormat="1" x14ac:dyDescent="0.25"/>
    <row r="154503" customFormat="1" x14ac:dyDescent="0.25"/>
    <row r="154504" customFormat="1" x14ac:dyDescent="0.25"/>
    <row r="154505" customFormat="1" x14ac:dyDescent="0.25"/>
    <row r="154506" customFormat="1" x14ac:dyDescent="0.25"/>
    <row r="154507" customFormat="1" x14ac:dyDescent="0.25"/>
    <row r="154508" customFormat="1" x14ac:dyDescent="0.25"/>
    <row r="154509" customFormat="1" x14ac:dyDescent="0.25"/>
    <row r="154510" customFormat="1" x14ac:dyDescent="0.25"/>
    <row r="154511" customFormat="1" x14ac:dyDescent="0.25"/>
    <row r="154512" customFormat="1" x14ac:dyDescent="0.25"/>
    <row r="154513" customFormat="1" x14ac:dyDescent="0.25"/>
    <row r="154514" customFormat="1" x14ac:dyDescent="0.25"/>
    <row r="154515" customFormat="1" x14ac:dyDescent="0.25"/>
    <row r="154516" customFormat="1" x14ac:dyDescent="0.25"/>
    <row r="154517" customFormat="1" x14ac:dyDescent="0.25"/>
    <row r="154518" customFormat="1" x14ac:dyDescent="0.25"/>
    <row r="154519" customFormat="1" x14ac:dyDescent="0.25"/>
    <row r="154520" customFormat="1" x14ac:dyDescent="0.25"/>
    <row r="154521" customFormat="1" x14ac:dyDescent="0.25"/>
    <row r="154522" customFormat="1" x14ac:dyDescent="0.25"/>
    <row r="154523" customFormat="1" x14ac:dyDescent="0.25"/>
    <row r="154524" customFormat="1" x14ac:dyDescent="0.25"/>
    <row r="154525" customFormat="1" x14ac:dyDescent="0.25"/>
    <row r="154526" customFormat="1" x14ac:dyDescent="0.25"/>
    <row r="154527" customFormat="1" x14ac:dyDescent="0.25"/>
    <row r="154528" customFormat="1" x14ac:dyDescent="0.25"/>
    <row r="154529" customFormat="1" x14ac:dyDescent="0.25"/>
    <row r="154530" customFormat="1" x14ac:dyDescent="0.25"/>
    <row r="154531" customFormat="1" x14ac:dyDescent="0.25"/>
    <row r="154532" customFormat="1" x14ac:dyDescent="0.25"/>
    <row r="154533" customFormat="1" x14ac:dyDescent="0.25"/>
    <row r="154534" customFormat="1" x14ac:dyDescent="0.25"/>
    <row r="154535" customFormat="1" x14ac:dyDescent="0.25"/>
    <row r="154536" customFormat="1" x14ac:dyDescent="0.25"/>
    <row r="154537" customFormat="1" x14ac:dyDescent="0.25"/>
    <row r="154538" customFormat="1" x14ac:dyDescent="0.25"/>
    <row r="154539" customFormat="1" x14ac:dyDescent="0.25"/>
    <row r="154540" customFormat="1" x14ac:dyDescent="0.25"/>
    <row r="154541" customFormat="1" x14ac:dyDescent="0.25"/>
    <row r="154542" customFormat="1" x14ac:dyDescent="0.25"/>
    <row r="154543" customFormat="1" x14ac:dyDescent="0.25"/>
    <row r="154544" customFormat="1" x14ac:dyDescent="0.25"/>
    <row r="154545" customFormat="1" x14ac:dyDescent="0.25"/>
    <row r="154546" customFormat="1" x14ac:dyDescent="0.25"/>
    <row r="154547" customFormat="1" x14ac:dyDescent="0.25"/>
    <row r="154548" customFormat="1" x14ac:dyDescent="0.25"/>
    <row r="154549" customFormat="1" x14ac:dyDescent="0.25"/>
    <row r="154550" customFormat="1" x14ac:dyDescent="0.25"/>
    <row r="154551" customFormat="1" x14ac:dyDescent="0.25"/>
    <row r="154552" customFormat="1" x14ac:dyDescent="0.25"/>
    <row r="154553" customFormat="1" x14ac:dyDescent="0.25"/>
    <row r="154554" customFormat="1" x14ac:dyDescent="0.25"/>
    <row r="154555" customFormat="1" x14ac:dyDescent="0.25"/>
    <row r="154556" customFormat="1" x14ac:dyDescent="0.25"/>
    <row r="154557" customFormat="1" x14ac:dyDescent="0.25"/>
    <row r="154558" customFormat="1" x14ac:dyDescent="0.25"/>
    <row r="154559" customFormat="1" x14ac:dyDescent="0.25"/>
    <row r="154560" customFormat="1" x14ac:dyDescent="0.25"/>
    <row r="154561" customFormat="1" x14ac:dyDescent="0.25"/>
    <row r="154562" customFormat="1" x14ac:dyDescent="0.25"/>
    <row r="154563" customFormat="1" x14ac:dyDescent="0.25"/>
    <row r="154564" customFormat="1" x14ac:dyDescent="0.25"/>
    <row r="154565" customFormat="1" x14ac:dyDescent="0.25"/>
    <row r="154566" customFormat="1" x14ac:dyDescent="0.25"/>
    <row r="154567" customFormat="1" x14ac:dyDescent="0.25"/>
    <row r="154568" customFormat="1" x14ac:dyDescent="0.25"/>
    <row r="154569" customFormat="1" x14ac:dyDescent="0.25"/>
    <row r="154570" customFormat="1" x14ac:dyDescent="0.25"/>
    <row r="154571" customFormat="1" x14ac:dyDescent="0.25"/>
    <row r="154572" customFormat="1" x14ac:dyDescent="0.25"/>
    <row r="154573" customFormat="1" x14ac:dyDescent="0.25"/>
    <row r="154574" customFormat="1" x14ac:dyDescent="0.25"/>
    <row r="154575" customFormat="1" x14ac:dyDescent="0.25"/>
    <row r="154576" customFormat="1" x14ac:dyDescent="0.25"/>
    <row r="154577" customFormat="1" x14ac:dyDescent="0.25"/>
    <row r="154578" customFormat="1" x14ac:dyDescent="0.25"/>
    <row r="154579" customFormat="1" x14ac:dyDescent="0.25"/>
    <row r="154580" customFormat="1" x14ac:dyDescent="0.25"/>
    <row r="154581" customFormat="1" x14ac:dyDescent="0.25"/>
    <row r="154582" customFormat="1" x14ac:dyDescent="0.25"/>
    <row r="154583" customFormat="1" x14ac:dyDescent="0.25"/>
    <row r="154584" customFormat="1" x14ac:dyDescent="0.25"/>
    <row r="154585" customFormat="1" x14ac:dyDescent="0.25"/>
    <row r="154586" customFormat="1" x14ac:dyDescent="0.25"/>
    <row r="154587" customFormat="1" x14ac:dyDescent="0.25"/>
    <row r="154588" customFormat="1" x14ac:dyDescent="0.25"/>
    <row r="154589" customFormat="1" x14ac:dyDescent="0.25"/>
    <row r="154590" customFormat="1" x14ac:dyDescent="0.25"/>
    <row r="154591" customFormat="1" x14ac:dyDescent="0.25"/>
    <row r="154592" customFormat="1" x14ac:dyDescent="0.25"/>
    <row r="154593" customFormat="1" x14ac:dyDescent="0.25"/>
    <row r="154594" customFormat="1" x14ac:dyDescent="0.25"/>
    <row r="154595" customFormat="1" x14ac:dyDescent="0.25"/>
    <row r="154596" customFormat="1" x14ac:dyDescent="0.25"/>
    <row r="154597" customFormat="1" x14ac:dyDescent="0.25"/>
    <row r="154598" customFormat="1" x14ac:dyDescent="0.25"/>
    <row r="154599" customFormat="1" x14ac:dyDescent="0.25"/>
    <row r="154600" customFormat="1" x14ac:dyDescent="0.25"/>
    <row r="154601" customFormat="1" x14ac:dyDescent="0.25"/>
    <row r="154602" customFormat="1" x14ac:dyDescent="0.25"/>
    <row r="154603" customFormat="1" x14ac:dyDescent="0.25"/>
    <row r="154604" customFormat="1" x14ac:dyDescent="0.25"/>
    <row r="154605" customFormat="1" x14ac:dyDescent="0.25"/>
    <row r="154606" customFormat="1" x14ac:dyDescent="0.25"/>
    <row r="154607" customFormat="1" x14ac:dyDescent="0.25"/>
    <row r="154608" customFormat="1" x14ac:dyDescent="0.25"/>
    <row r="154609" customFormat="1" x14ac:dyDescent="0.25"/>
    <row r="154610" customFormat="1" x14ac:dyDescent="0.25"/>
    <row r="154611" customFormat="1" x14ac:dyDescent="0.25"/>
    <row r="154612" customFormat="1" x14ac:dyDescent="0.25"/>
    <row r="154613" customFormat="1" x14ac:dyDescent="0.25"/>
    <row r="154614" customFormat="1" x14ac:dyDescent="0.25"/>
    <row r="154615" customFormat="1" x14ac:dyDescent="0.25"/>
    <row r="154616" customFormat="1" x14ac:dyDescent="0.25"/>
    <row r="154617" customFormat="1" x14ac:dyDescent="0.25"/>
    <row r="154618" customFormat="1" x14ac:dyDescent="0.25"/>
    <row r="154619" customFormat="1" x14ac:dyDescent="0.25"/>
    <row r="154620" customFormat="1" x14ac:dyDescent="0.25"/>
    <row r="154621" customFormat="1" x14ac:dyDescent="0.25"/>
    <row r="154622" customFormat="1" x14ac:dyDescent="0.25"/>
    <row r="154623" customFormat="1" x14ac:dyDescent="0.25"/>
    <row r="154624" customFormat="1" x14ac:dyDescent="0.25"/>
    <row r="154625" customFormat="1" x14ac:dyDescent="0.25"/>
    <row r="154626" customFormat="1" x14ac:dyDescent="0.25"/>
    <row r="154627" customFormat="1" x14ac:dyDescent="0.25"/>
    <row r="154628" customFormat="1" x14ac:dyDescent="0.25"/>
    <row r="154629" customFormat="1" x14ac:dyDescent="0.25"/>
    <row r="154630" customFormat="1" x14ac:dyDescent="0.25"/>
    <row r="154631" customFormat="1" x14ac:dyDescent="0.25"/>
    <row r="154632" customFormat="1" x14ac:dyDescent="0.25"/>
    <row r="154633" customFormat="1" x14ac:dyDescent="0.25"/>
    <row r="154634" customFormat="1" x14ac:dyDescent="0.25"/>
    <row r="154635" customFormat="1" x14ac:dyDescent="0.25"/>
    <row r="154636" customFormat="1" x14ac:dyDescent="0.25"/>
    <row r="154637" customFormat="1" x14ac:dyDescent="0.25"/>
    <row r="154638" customFormat="1" x14ac:dyDescent="0.25"/>
    <row r="154639" customFormat="1" x14ac:dyDescent="0.25"/>
    <row r="154640" customFormat="1" x14ac:dyDescent="0.25"/>
    <row r="154641" customFormat="1" x14ac:dyDescent="0.25"/>
    <row r="154642" customFormat="1" x14ac:dyDescent="0.25"/>
    <row r="154643" customFormat="1" x14ac:dyDescent="0.25"/>
    <row r="154644" customFormat="1" x14ac:dyDescent="0.25"/>
    <row r="154645" customFormat="1" x14ac:dyDescent="0.25"/>
    <row r="154646" customFormat="1" x14ac:dyDescent="0.25"/>
    <row r="154647" customFormat="1" x14ac:dyDescent="0.25"/>
    <row r="154648" customFormat="1" x14ac:dyDescent="0.25"/>
    <row r="154649" customFormat="1" x14ac:dyDescent="0.25"/>
    <row r="154650" customFormat="1" x14ac:dyDescent="0.25"/>
    <row r="154651" customFormat="1" x14ac:dyDescent="0.25"/>
    <row r="154652" customFormat="1" x14ac:dyDescent="0.25"/>
    <row r="154653" customFormat="1" x14ac:dyDescent="0.25"/>
    <row r="154654" customFormat="1" x14ac:dyDescent="0.25"/>
    <row r="154655" customFormat="1" x14ac:dyDescent="0.25"/>
    <row r="154656" customFormat="1" x14ac:dyDescent="0.25"/>
    <row r="154657" customFormat="1" x14ac:dyDescent="0.25"/>
    <row r="154658" customFormat="1" x14ac:dyDescent="0.25"/>
    <row r="154659" customFormat="1" x14ac:dyDescent="0.25"/>
    <row r="154660" customFormat="1" x14ac:dyDescent="0.25"/>
    <row r="154661" customFormat="1" x14ac:dyDescent="0.25"/>
    <row r="154662" customFormat="1" x14ac:dyDescent="0.25"/>
    <row r="154663" customFormat="1" x14ac:dyDescent="0.25"/>
    <row r="154664" customFormat="1" x14ac:dyDescent="0.25"/>
    <row r="154665" customFormat="1" x14ac:dyDescent="0.25"/>
    <row r="154666" customFormat="1" x14ac:dyDescent="0.25"/>
    <row r="154667" customFormat="1" x14ac:dyDescent="0.25"/>
    <row r="154668" customFormat="1" x14ac:dyDescent="0.25"/>
    <row r="154669" customFormat="1" x14ac:dyDescent="0.25"/>
    <row r="154670" customFormat="1" x14ac:dyDescent="0.25"/>
    <row r="154671" customFormat="1" x14ac:dyDescent="0.25"/>
    <row r="154672" customFormat="1" x14ac:dyDescent="0.25"/>
    <row r="154673" customFormat="1" x14ac:dyDescent="0.25"/>
    <row r="154674" customFormat="1" x14ac:dyDescent="0.25"/>
    <row r="154675" customFormat="1" x14ac:dyDescent="0.25"/>
    <row r="154676" customFormat="1" x14ac:dyDescent="0.25"/>
    <row r="154677" customFormat="1" x14ac:dyDescent="0.25"/>
    <row r="154678" customFormat="1" x14ac:dyDescent="0.25"/>
    <row r="154679" customFormat="1" x14ac:dyDescent="0.25"/>
    <row r="154680" customFormat="1" x14ac:dyDescent="0.25"/>
    <row r="154681" customFormat="1" x14ac:dyDescent="0.25"/>
    <row r="154682" customFormat="1" x14ac:dyDescent="0.25"/>
    <row r="154683" customFormat="1" x14ac:dyDescent="0.25"/>
    <row r="154684" customFormat="1" x14ac:dyDescent="0.25"/>
    <row r="154685" customFormat="1" x14ac:dyDescent="0.25"/>
    <row r="154686" customFormat="1" x14ac:dyDescent="0.25"/>
    <row r="154687" customFormat="1" x14ac:dyDescent="0.25"/>
    <row r="154688" customFormat="1" x14ac:dyDescent="0.25"/>
    <row r="154689" customFormat="1" x14ac:dyDescent="0.25"/>
    <row r="154690" customFormat="1" x14ac:dyDescent="0.25"/>
    <row r="154691" customFormat="1" x14ac:dyDescent="0.25"/>
    <row r="154692" customFormat="1" x14ac:dyDescent="0.25"/>
    <row r="154693" customFormat="1" x14ac:dyDescent="0.25"/>
    <row r="154694" customFormat="1" x14ac:dyDescent="0.25"/>
    <row r="154695" customFormat="1" x14ac:dyDescent="0.25"/>
    <row r="154696" customFormat="1" x14ac:dyDescent="0.25"/>
    <row r="154697" customFormat="1" x14ac:dyDescent="0.25"/>
    <row r="154698" customFormat="1" x14ac:dyDescent="0.25"/>
    <row r="154699" customFormat="1" x14ac:dyDescent="0.25"/>
    <row r="154700" customFormat="1" x14ac:dyDescent="0.25"/>
    <row r="154701" customFormat="1" x14ac:dyDescent="0.25"/>
    <row r="154702" customFormat="1" x14ac:dyDescent="0.25"/>
    <row r="154703" customFormat="1" x14ac:dyDescent="0.25"/>
    <row r="154704" customFormat="1" x14ac:dyDescent="0.25"/>
    <row r="154705" customFormat="1" x14ac:dyDescent="0.25"/>
    <row r="154706" customFormat="1" x14ac:dyDescent="0.25"/>
    <row r="154707" customFormat="1" x14ac:dyDescent="0.25"/>
    <row r="154708" customFormat="1" x14ac:dyDescent="0.25"/>
    <row r="154709" customFormat="1" x14ac:dyDescent="0.25"/>
    <row r="154710" customFormat="1" x14ac:dyDescent="0.25"/>
    <row r="154711" customFormat="1" x14ac:dyDescent="0.25"/>
    <row r="154712" customFormat="1" x14ac:dyDescent="0.25"/>
    <row r="154713" customFormat="1" x14ac:dyDescent="0.25"/>
    <row r="154714" customFormat="1" x14ac:dyDescent="0.25"/>
    <row r="154715" customFormat="1" x14ac:dyDescent="0.25"/>
    <row r="154716" customFormat="1" x14ac:dyDescent="0.25"/>
    <row r="154717" customFormat="1" x14ac:dyDescent="0.25"/>
    <row r="154718" customFormat="1" x14ac:dyDescent="0.25"/>
    <row r="154719" customFormat="1" x14ac:dyDescent="0.25"/>
    <row r="154720" customFormat="1" x14ac:dyDescent="0.25"/>
    <row r="154721" customFormat="1" x14ac:dyDescent="0.25"/>
    <row r="154722" customFormat="1" x14ac:dyDescent="0.25"/>
    <row r="154723" customFormat="1" x14ac:dyDescent="0.25"/>
    <row r="154724" customFormat="1" x14ac:dyDescent="0.25"/>
    <row r="154725" customFormat="1" x14ac:dyDescent="0.25"/>
    <row r="154726" customFormat="1" x14ac:dyDescent="0.25"/>
    <row r="154727" customFormat="1" x14ac:dyDescent="0.25"/>
    <row r="154728" customFormat="1" x14ac:dyDescent="0.25"/>
    <row r="154729" customFormat="1" x14ac:dyDescent="0.25"/>
    <row r="154730" customFormat="1" x14ac:dyDescent="0.25"/>
    <row r="154731" customFormat="1" x14ac:dyDescent="0.25"/>
    <row r="154732" customFormat="1" x14ac:dyDescent="0.25"/>
    <row r="154733" customFormat="1" x14ac:dyDescent="0.25"/>
    <row r="154734" customFormat="1" x14ac:dyDescent="0.25"/>
    <row r="154735" customFormat="1" x14ac:dyDescent="0.25"/>
    <row r="154736" customFormat="1" x14ac:dyDescent="0.25"/>
    <row r="154737" customFormat="1" x14ac:dyDescent="0.25"/>
    <row r="154738" customFormat="1" x14ac:dyDescent="0.25"/>
    <row r="154739" customFormat="1" x14ac:dyDescent="0.25"/>
    <row r="154740" customFormat="1" x14ac:dyDescent="0.25"/>
    <row r="154741" customFormat="1" x14ac:dyDescent="0.25"/>
    <row r="154742" customFormat="1" x14ac:dyDescent="0.25"/>
    <row r="154743" customFormat="1" x14ac:dyDescent="0.25"/>
    <row r="154744" customFormat="1" x14ac:dyDescent="0.25"/>
    <row r="154745" customFormat="1" x14ac:dyDescent="0.25"/>
    <row r="154746" customFormat="1" x14ac:dyDescent="0.25"/>
    <row r="154747" customFormat="1" x14ac:dyDescent="0.25"/>
    <row r="154748" customFormat="1" x14ac:dyDescent="0.25"/>
    <row r="154749" customFormat="1" x14ac:dyDescent="0.25"/>
    <row r="154750" customFormat="1" x14ac:dyDescent="0.25"/>
    <row r="154751" customFormat="1" x14ac:dyDescent="0.25"/>
    <row r="154752" customFormat="1" x14ac:dyDescent="0.25"/>
    <row r="154753" customFormat="1" x14ac:dyDescent="0.25"/>
    <row r="154754" customFormat="1" x14ac:dyDescent="0.25"/>
    <row r="154755" customFormat="1" x14ac:dyDescent="0.25"/>
    <row r="154756" customFormat="1" x14ac:dyDescent="0.25"/>
    <row r="154757" customFormat="1" x14ac:dyDescent="0.25"/>
    <row r="154758" customFormat="1" x14ac:dyDescent="0.25"/>
    <row r="154759" customFormat="1" x14ac:dyDescent="0.25"/>
    <row r="154760" customFormat="1" x14ac:dyDescent="0.25"/>
    <row r="154761" customFormat="1" x14ac:dyDescent="0.25"/>
    <row r="154762" customFormat="1" x14ac:dyDescent="0.25"/>
    <row r="154763" customFormat="1" x14ac:dyDescent="0.25"/>
    <row r="154764" customFormat="1" x14ac:dyDescent="0.25"/>
    <row r="154765" customFormat="1" x14ac:dyDescent="0.25"/>
    <row r="154766" customFormat="1" x14ac:dyDescent="0.25"/>
    <row r="154767" customFormat="1" x14ac:dyDescent="0.25"/>
    <row r="154768" customFormat="1" x14ac:dyDescent="0.25"/>
    <row r="154769" customFormat="1" x14ac:dyDescent="0.25"/>
    <row r="154770" customFormat="1" x14ac:dyDescent="0.25"/>
    <row r="154771" customFormat="1" x14ac:dyDescent="0.25"/>
    <row r="154772" customFormat="1" x14ac:dyDescent="0.25"/>
    <row r="154773" customFormat="1" x14ac:dyDescent="0.25"/>
    <row r="154774" customFormat="1" x14ac:dyDescent="0.25"/>
    <row r="154775" customFormat="1" x14ac:dyDescent="0.25"/>
    <row r="154776" customFormat="1" x14ac:dyDescent="0.25"/>
    <row r="154777" customFormat="1" x14ac:dyDescent="0.25"/>
    <row r="154778" customFormat="1" x14ac:dyDescent="0.25"/>
    <row r="154779" customFormat="1" x14ac:dyDescent="0.25"/>
    <row r="154780" customFormat="1" x14ac:dyDescent="0.25"/>
    <row r="154781" customFormat="1" x14ac:dyDescent="0.25"/>
    <row r="154782" customFormat="1" x14ac:dyDescent="0.25"/>
    <row r="154783" customFormat="1" x14ac:dyDescent="0.25"/>
    <row r="154784" customFormat="1" x14ac:dyDescent="0.25"/>
    <row r="154785" customFormat="1" x14ac:dyDescent="0.25"/>
    <row r="154786" customFormat="1" x14ac:dyDescent="0.25"/>
    <row r="154787" customFormat="1" x14ac:dyDescent="0.25"/>
    <row r="154788" customFormat="1" x14ac:dyDescent="0.25"/>
    <row r="154789" customFormat="1" x14ac:dyDescent="0.25"/>
    <row r="154790" customFormat="1" x14ac:dyDescent="0.25"/>
    <row r="154791" customFormat="1" x14ac:dyDescent="0.25"/>
    <row r="154792" customFormat="1" x14ac:dyDescent="0.25"/>
    <row r="154793" customFormat="1" x14ac:dyDescent="0.25"/>
    <row r="154794" customFormat="1" x14ac:dyDescent="0.25"/>
    <row r="154795" customFormat="1" x14ac:dyDescent="0.25"/>
    <row r="154796" customFormat="1" x14ac:dyDescent="0.25"/>
    <row r="154797" customFormat="1" x14ac:dyDescent="0.25"/>
    <row r="154798" customFormat="1" x14ac:dyDescent="0.25"/>
    <row r="154799" customFormat="1" x14ac:dyDescent="0.25"/>
    <row r="154800" customFormat="1" x14ac:dyDescent="0.25"/>
    <row r="154801" customFormat="1" x14ac:dyDescent="0.25"/>
    <row r="154802" customFormat="1" x14ac:dyDescent="0.25"/>
    <row r="154803" customFormat="1" x14ac:dyDescent="0.25"/>
    <row r="154804" customFormat="1" x14ac:dyDescent="0.25"/>
    <row r="154805" customFormat="1" x14ac:dyDescent="0.25"/>
    <row r="154806" customFormat="1" x14ac:dyDescent="0.25"/>
    <row r="154807" customFormat="1" x14ac:dyDescent="0.25"/>
    <row r="154808" customFormat="1" x14ac:dyDescent="0.25"/>
    <row r="154809" customFormat="1" x14ac:dyDescent="0.25"/>
    <row r="154810" customFormat="1" x14ac:dyDescent="0.25"/>
    <row r="154811" customFormat="1" x14ac:dyDescent="0.25"/>
    <row r="154812" customFormat="1" x14ac:dyDescent="0.25"/>
    <row r="154813" customFormat="1" x14ac:dyDescent="0.25"/>
    <row r="154814" customFormat="1" x14ac:dyDescent="0.25"/>
    <row r="154815" customFormat="1" x14ac:dyDescent="0.25"/>
    <row r="154816" customFormat="1" x14ac:dyDescent="0.25"/>
    <row r="154817" customFormat="1" x14ac:dyDescent="0.25"/>
    <row r="154818" customFormat="1" x14ac:dyDescent="0.25"/>
    <row r="154819" customFormat="1" x14ac:dyDescent="0.25"/>
    <row r="154820" customFormat="1" x14ac:dyDescent="0.25"/>
    <row r="154821" customFormat="1" x14ac:dyDescent="0.25"/>
    <row r="154822" customFormat="1" x14ac:dyDescent="0.25"/>
    <row r="154823" customFormat="1" x14ac:dyDescent="0.25"/>
    <row r="154824" customFormat="1" x14ac:dyDescent="0.25"/>
    <row r="154825" customFormat="1" x14ac:dyDescent="0.25"/>
    <row r="154826" customFormat="1" x14ac:dyDescent="0.25"/>
    <row r="154827" customFormat="1" x14ac:dyDescent="0.25"/>
    <row r="154828" customFormat="1" x14ac:dyDescent="0.25"/>
    <row r="154829" customFormat="1" x14ac:dyDescent="0.25"/>
    <row r="154830" customFormat="1" x14ac:dyDescent="0.25"/>
    <row r="154831" customFormat="1" x14ac:dyDescent="0.25"/>
    <row r="154832" customFormat="1" x14ac:dyDescent="0.25"/>
    <row r="154833" customFormat="1" x14ac:dyDescent="0.25"/>
    <row r="154834" customFormat="1" x14ac:dyDescent="0.25"/>
    <row r="154835" customFormat="1" x14ac:dyDescent="0.25"/>
    <row r="154836" customFormat="1" x14ac:dyDescent="0.25"/>
    <row r="154837" customFormat="1" x14ac:dyDescent="0.25"/>
    <row r="154838" customFormat="1" x14ac:dyDescent="0.25"/>
    <row r="154839" customFormat="1" x14ac:dyDescent="0.25"/>
    <row r="154840" customFormat="1" x14ac:dyDescent="0.25"/>
    <row r="154841" customFormat="1" x14ac:dyDescent="0.25"/>
    <row r="154842" customFormat="1" x14ac:dyDescent="0.25"/>
    <row r="154843" customFormat="1" x14ac:dyDescent="0.25"/>
    <row r="154844" customFormat="1" x14ac:dyDescent="0.25"/>
    <row r="154845" customFormat="1" x14ac:dyDescent="0.25"/>
    <row r="154846" customFormat="1" x14ac:dyDescent="0.25"/>
    <row r="154847" customFormat="1" x14ac:dyDescent="0.25"/>
    <row r="154848" customFormat="1" x14ac:dyDescent="0.25"/>
    <row r="154849" customFormat="1" x14ac:dyDescent="0.25"/>
    <row r="154850" customFormat="1" x14ac:dyDescent="0.25"/>
    <row r="154851" customFormat="1" x14ac:dyDescent="0.25"/>
    <row r="154852" customFormat="1" x14ac:dyDescent="0.25"/>
    <row r="154853" customFormat="1" x14ac:dyDescent="0.25"/>
    <row r="154854" customFormat="1" x14ac:dyDescent="0.25"/>
    <row r="154855" customFormat="1" x14ac:dyDescent="0.25"/>
    <row r="154856" customFormat="1" x14ac:dyDescent="0.25"/>
    <row r="154857" customFormat="1" x14ac:dyDescent="0.25"/>
    <row r="154858" customFormat="1" x14ac:dyDescent="0.25"/>
    <row r="154859" customFormat="1" x14ac:dyDescent="0.25"/>
    <row r="154860" customFormat="1" x14ac:dyDescent="0.25"/>
    <row r="154861" customFormat="1" x14ac:dyDescent="0.25"/>
    <row r="154862" customFormat="1" x14ac:dyDescent="0.25"/>
    <row r="154863" customFormat="1" x14ac:dyDescent="0.25"/>
    <row r="154864" customFormat="1" x14ac:dyDescent="0.25"/>
    <row r="154865" customFormat="1" x14ac:dyDescent="0.25"/>
    <row r="154866" customFormat="1" x14ac:dyDescent="0.25"/>
    <row r="154867" customFormat="1" x14ac:dyDescent="0.25"/>
    <row r="154868" customFormat="1" x14ac:dyDescent="0.25"/>
    <row r="154869" customFormat="1" x14ac:dyDescent="0.25"/>
    <row r="154870" customFormat="1" x14ac:dyDescent="0.25"/>
    <row r="154871" customFormat="1" x14ac:dyDescent="0.25"/>
    <row r="154872" customFormat="1" x14ac:dyDescent="0.25"/>
    <row r="154873" customFormat="1" x14ac:dyDescent="0.25"/>
    <row r="154874" customFormat="1" x14ac:dyDescent="0.25"/>
    <row r="154875" customFormat="1" x14ac:dyDescent="0.25"/>
    <row r="154876" customFormat="1" x14ac:dyDescent="0.25"/>
    <row r="154877" customFormat="1" x14ac:dyDescent="0.25"/>
    <row r="154878" customFormat="1" x14ac:dyDescent="0.25"/>
    <row r="154879" customFormat="1" x14ac:dyDescent="0.25"/>
    <row r="154880" customFormat="1" x14ac:dyDescent="0.25"/>
    <row r="154881" customFormat="1" x14ac:dyDescent="0.25"/>
    <row r="154882" customFormat="1" x14ac:dyDescent="0.25"/>
    <row r="154883" customFormat="1" x14ac:dyDescent="0.25"/>
    <row r="154884" customFormat="1" x14ac:dyDescent="0.25"/>
    <row r="154885" customFormat="1" x14ac:dyDescent="0.25"/>
    <row r="154886" customFormat="1" x14ac:dyDescent="0.25"/>
    <row r="154887" customFormat="1" x14ac:dyDescent="0.25"/>
    <row r="154888" customFormat="1" x14ac:dyDescent="0.25"/>
    <row r="154889" customFormat="1" x14ac:dyDescent="0.25"/>
    <row r="154890" customFormat="1" x14ac:dyDescent="0.25"/>
    <row r="154891" customFormat="1" x14ac:dyDescent="0.25"/>
    <row r="154892" customFormat="1" x14ac:dyDescent="0.25"/>
    <row r="154893" customFormat="1" x14ac:dyDescent="0.25"/>
    <row r="154894" customFormat="1" x14ac:dyDescent="0.25"/>
    <row r="154895" customFormat="1" x14ac:dyDescent="0.25"/>
    <row r="154896" customFormat="1" x14ac:dyDescent="0.25"/>
    <row r="154897" customFormat="1" x14ac:dyDescent="0.25"/>
    <row r="154898" customFormat="1" x14ac:dyDescent="0.25"/>
    <row r="154899" customFormat="1" x14ac:dyDescent="0.25"/>
    <row r="154900" customFormat="1" x14ac:dyDescent="0.25"/>
    <row r="154901" customFormat="1" x14ac:dyDescent="0.25"/>
    <row r="154902" customFormat="1" x14ac:dyDescent="0.25"/>
    <row r="154903" customFormat="1" x14ac:dyDescent="0.25"/>
    <row r="154904" customFormat="1" x14ac:dyDescent="0.25"/>
    <row r="154905" customFormat="1" x14ac:dyDescent="0.25"/>
    <row r="154906" customFormat="1" x14ac:dyDescent="0.25"/>
    <row r="154907" customFormat="1" x14ac:dyDescent="0.25"/>
    <row r="154908" customFormat="1" x14ac:dyDescent="0.25"/>
    <row r="154909" customFormat="1" x14ac:dyDescent="0.25"/>
    <row r="154910" customFormat="1" x14ac:dyDescent="0.25"/>
    <row r="154911" customFormat="1" x14ac:dyDescent="0.25"/>
    <row r="154912" customFormat="1" x14ac:dyDescent="0.25"/>
    <row r="154913" customFormat="1" x14ac:dyDescent="0.25"/>
    <row r="154914" customFormat="1" x14ac:dyDescent="0.25"/>
    <row r="154915" customFormat="1" x14ac:dyDescent="0.25"/>
    <row r="154916" customFormat="1" x14ac:dyDescent="0.25"/>
    <row r="154917" customFormat="1" x14ac:dyDescent="0.25"/>
    <row r="154918" customFormat="1" x14ac:dyDescent="0.25"/>
    <row r="154919" customFormat="1" x14ac:dyDescent="0.25"/>
    <row r="154920" customFormat="1" x14ac:dyDescent="0.25"/>
    <row r="154921" customFormat="1" x14ac:dyDescent="0.25"/>
    <row r="154922" customFormat="1" x14ac:dyDescent="0.25"/>
    <row r="154923" customFormat="1" x14ac:dyDescent="0.25"/>
    <row r="154924" customFormat="1" x14ac:dyDescent="0.25"/>
    <row r="154925" customFormat="1" x14ac:dyDescent="0.25"/>
    <row r="154926" customFormat="1" x14ac:dyDescent="0.25"/>
    <row r="154927" customFormat="1" x14ac:dyDescent="0.25"/>
    <row r="154928" customFormat="1" x14ac:dyDescent="0.25"/>
    <row r="154929" customFormat="1" x14ac:dyDescent="0.25"/>
    <row r="154930" customFormat="1" x14ac:dyDescent="0.25"/>
    <row r="154931" customFormat="1" x14ac:dyDescent="0.25"/>
    <row r="154932" customFormat="1" x14ac:dyDescent="0.25"/>
    <row r="154933" customFormat="1" x14ac:dyDescent="0.25"/>
    <row r="154934" customFormat="1" x14ac:dyDescent="0.25"/>
    <row r="154935" customFormat="1" x14ac:dyDescent="0.25"/>
    <row r="154936" customFormat="1" x14ac:dyDescent="0.25"/>
    <row r="154937" customFormat="1" x14ac:dyDescent="0.25"/>
    <row r="154938" customFormat="1" x14ac:dyDescent="0.25"/>
    <row r="154939" customFormat="1" x14ac:dyDescent="0.25"/>
    <row r="154940" customFormat="1" x14ac:dyDescent="0.25"/>
    <row r="154941" customFormat="1" x14ac:dyDescent="0.25"/>
    <row r="154942" customFormat="1" x14ac:dyDescent="0.25"/>
    <row r="154943" customFormat="1" x14ac:dyDescent="0.25"/>
    <row r="154944" customFormat="1" x14ac:dyDescent="0.25"/>
    <row r="154945" customFormat="1" x14ac:dyDescent="0.25"/>
    <row r="154946" customFormat="1" x14ac:dyDescent="0.25"/>
    <row r="154947" customFormat="1" x14ac:dyDescent="0.25"/>
    <row r="154948" customFormat="1" x14ac:dyDescent="0.25"/>
    <row r="154949" customFormat="1" x14ac:dyDescent="0.25"/>
    <row r="154950" customFormat="1" x14ac:dyDescent="0.25"/>
    <row r="154951" customFormat="1" x14ac:dyDescent="0.25"/>
    <row r="154952" customFormat="1" x14ac:dyDescent="0.25"/>
    <row r="154953" customFormat="1" x14ac:dyDescent="0.25"/>
    <row r="154954" customFormat="1" x14ac:dyDescent="0.25"/>
    <row r="154955" customFormat="1" x14ac:dyDescent="0.25"/>
    <row r="154956" customFormat="1" x14ac:dyDescent="0.25"/>
    <row r="154957" customFormat="1" x14ac:dyDescent="0.25"/>
    <row r="154958" customFormat="1" x14ac:dyDescent="0.25"/>
    <row r="154959" customFormat="1" x14ac:dyDescent="0.25"/>
    <row r="154960" customFormat="1" x14ac:dyDescent="0.25"/>
    <row r="154961" customFormat="1" x14ac:dyDescent="0.25"/>
    <row r="154962" customFormat="1" x14ac:dyDescent="0.25"/>
    <row r="154963" customFormat="1" x14ac:dyDescent="0.25"/>
    <row r="154964" customFormat="1" x14ac:dyDescent="0.25"/>
    <row r="154965" customFormat="1" x14ac:dyDescent="0.25"/>
    <row r="154966" customFormat="1" x14ac:dyDescent="0.25"/>
    <row r="154967" customFormat="1" x14ac:dyDescent="0.25"/>
    <row r="154968" customFormat="1" x14ac:dyDescent="0.25"/>
    <row r="154969" customFormat="1" x14ac:dyDescent="0.25"/>
    <row r="154970" customFormat="1" x14ac:dyDescent="0.25"/>
    <row r="154971" customFormat="1" x14ac:dyDescent="0.25"/>
    <row r="154972" customFormat="1" x14ac:dyDescent="0.25"/>
    <row r="154973" customFormat="1" x14ac:dyDescent="0.25"/>
    <row r="154974" customFormat="1" x14ac:dyDescent="0.25"/>
    <row r="154975" customFormat="1" x14ac:dyDescent="0.25"/>
    <row r="154976" customFormat="1" x14ac:dyDescent="0.25"/>
    <row r="154977" customFormat="1" x14ac:dyDescent="0.25"/>
    <row r="154978" customFormat="1" x14ac:dyDescent="0.25"/>
    <row r="154979" customFormat="1" x14ac:dyDescent="0.25"/>
    <row r="154980" customFormat="1" x14ac:dyDescent="0.25"/>
    <row r="154981" customFormat="1" x14ac:dyDescent="0.25"/>
    <row r="154982" customFormat="1" x14ac:dyDescent="0.25"/>
    <row r="154983" customFormat="1" x14ac:dyDescent="0.25"/>
    <row r="154984" customFormat="1" x14ac:dyDescent="0.25"/>
    <row r="154985" customFormat="1" x14ac:dyDescent="0.25"/>
    <row r="154986" customFormat="1" x14ac:dyDescent="0.25"/>
    <row r="154987" customFormat="1" x14ac:dyDescent="0.25"/>
    <row r="154988" customFormat="1" x14ac:dyDescent="0.25"/>
    <row r="154989" customFormat="1" x14ac:dyDescent="0.25"/>
    <row r="154990" customFormat="1" x14ac:dyDescent="0.25"/>
    <row r="154991" customFormat="1" x14ac:dyDescent="0.25"/>
    <row r="154992" customFormat="1" x14ac:dyDescent="0.25"/>
    <row r="154993" customFormat="1" x14ac:dyDescent="0.25"/>
    <row r="154994" customFormat="1" x14ac:dyDescent="0.25"/>
    <row r="154995" customFormat="1" x14ac:dyDescent="0.25"/>
    <row r="154996" customFormat="1" x14ac:dyDescent="0.25"/>
    <row r="154997" customFormat="1" x14ac:dyDescent="0.25"/>
    <row r="154998" customFormat="1" x14ac:dyDescent="0.25"/>
    <row r="154999" customFormat="1" x14ac:dyDescent="0.25"/>
    <row r="155000" customFormat="1" x14ac:dyDescent="0.25"/>
    <row r="155001" customFormat="1" x14ac:dyDescent="0.25"/>
    <row r="155002" customFormat="1" x14ac:dyDescent="0.25"/>
    <row r="155003" customFormat="1" x14ac:dyDescent="0.25"/>
    <row r="155004" customFormat="1" x14ac:dyDescent="0.25"/>
    <row r="155005" customFormat="1" x14ac:dyDescent="0.25"/>
    <row r="155006" customFormat="1" x14ac:dyDescent="0.25"/>
    <row r="155007" customFormat="1" x14ac:dyDescent="0.25"/>
    <row r="155008" customFormat="1" x14ac:dyDescent="0.25"/>
    <row r="155009" customFormat="1" x14ac:dyDescent="0.25"/>
    <row r="155010" customFormat="1" x14ac:dyDescent="0.25"/>
    <row r="155011" customFormat="1" x14ac:dyDescent="0.25"/>
    <row r="155012" customFormat="1" x14ac:dyDescent="0.25"/>
    <row r="155013" customFormat="1" x14ac:dyDescent="0.25"/>
    <row r="155014" customFormat="1" x14ac:dyDescent="0.25"/>
    <row r="155015" customFormat="1" x14ac:dyDescent="0.25"/>
    <row r="155016" customFormat="1" x14ac:dyDescent="0.25"/>
    <row r="155017" customFormat="1" x14ac:dyDescent="0.25"/>
    <row r="155018" customFormat="1" x14ac:dyDescent="0.25"/>
    <row r="155019" customFormat="1" x14ac:dyDescent="0.25"/>
    <row r="155020" customFormat="1" x14ac:dyDescent="0.25"/>
    <row r="155021" customFormat="1" x14ac:dyDescent="0.25"/>
    <row r="155022" customFormat="1" x14ac:dyDescent="0.25"/>
    <row r="155023" customFormat="1" x14ac:dyDescent="0.25"/>
    <row r="155024" customFormat="1" x14ac:dyDescent="0.25"/>
    <row r="155025" customFormat="1" x14ac:dyDescent="0.25"/>
    <row r="155026" customFormat="1" x14ac:dyDescent="0.25"/>
    <row r="155027" customFormat="1" x14ac:dyDescent="0.25"/>
    <row r="155028" customFormat="1" x14ac:dyDescent="0.25"/>
    <row r="155029" customFormat="1" x14ac:dyDescent="0.25"/>
    <row r="155030" customFormat="1" x14ac:dyDescent="0.25"/>
    <row r="155031" customFormat="1" x14ac:dyDescent="0.25"/>
    <row r="155032" customFormat="1" x14ac:dyDescent="0.25"/>
    <row r="155033" customFormat="1" x14ac:dyDescent="0.25"/>
    <row r="155034" customFormat="1" x14ac:dyDescent="0.25"/>
    <row r="155035" customFormat="1" x14ac:dyDescent="0.25"/>
    <row r="155036" customFormat="1" x14ac:dyDescent="0.25"/>
    <row r="155037" customFormat="1" x14ac:dyDescent="0.25"/>
    <row r="155038" customFormat="1" x14ac:dyDescent="0.25"/>
    <row r="155039" customFormat="1" x14ac:dyDescent="0.25"/>
    <row r="155040" customFormat="1" x14ac:dyDescent="0.25"/>
    <row r="155041" customFormat="1" x14ac:dyDescent="0.25"/>
    <row r="155042" customFormat="1" x14ac:dyDescent="0.25"/>
    <row r="155043" customFormat="1" x14ac:dyDescent="0.25"/>
    <row r="155044" customFormat="1" x14ac:dyDescent="0.25"/>
    <row r="155045" customFormat="1" x14ac:dyDescent="0.25"/>
    <row r="155046" customFormat="1" x14ac:dyDescent="0.25"/>
    <row r="155047" customFormat="1" x14ac:dyDescent="0.25"/>
    <row r="155048" customFormat="1" x14ac:dyDescent="0.25"/>
    <row r="155049" customFormat="1" x14ac:dyDescent="0.25"/>
    <row r="155050" customFormat="1" x14ac:dyDescent="0.25"/>
    <row r="155051" customFormat="1" x14ac:dyDescent="0.25"/>
    <row r="155052" customFormat="1" x14ac:dyDescent="0.25"/>
    <row r="155053" customFormat="1" x14ac:dyDescent="0.25"/>
    <row r="155054" customFormat="1" x14ac:dyDescent="0.25"/>
    <row r="155055" customFormat="1" x14ac:dyDescent="0.25"/>
    <row r="155056" customFormat="1" x14ac:dyDescent="0.25"/>
    <row r="155057" customFormat="1" x14ac:dyDescent="0.25"/>
    <row r="155058" customFormat="1" x14ac:dyDescent="0.25"/>
    <row r="155059" customFormat="1" x14ac:dyDescent="0.25"/>
    <row r="155060" customFormat="1" x14ac:dyDescent="0.25"/>
    <row r="155061" customFormat="1" x14ac:dyDescent="0.25"/>
    <row r="155062" customFormat="1" x14ac:dyDescent="0.25"/>
    <row r="155063" customFormat="1" x14ac:dyDescent="0.25"/>
    <row r="155064" customFormat="1" x14ac:dyDescent="0.25"/>
    <row r="155065" customFormat="1" x14ac:dyDescent="0.25"/>
    <row r="155066" customFormat="1" x14ac:dyDescent="0.25"/>
    <row r="155067" customFormat="1" x14ac:dyDescent="0.25"/>
    <row r="155068" customFormat="1" x14ac:dyDescent="0.25"/>
    <row r="155069" customFormat="1" x14ac:dyDescent="0.25"/>
    <row r="155070" customFormat="1" x14ac:dyDescent="0.25"/>
    <row r="155071" customFormat="1" x14ac:dyDescent="0.25"/>
    <row r="155072" customFormat="1" x14ac:dyDescent="0.25"/>
    <row r="155073" customFormat="1" x14ac:dyDescent="0.25"/>
    <row r="155074" customFormat="1" x14ac:dyDescent="0.25"/>
    <row r="155075" customFormat="1" x14ac:dyDescent="0.25"/>
    <row r="155076" customFormat="1" x14ac:dyDescent="0.25"/>
    <row r="155077" customFormat="1" x14ac:dyDescent="0.25"/>
    <row r="155078" customFormat="1" x14ac:dyDescent="0.25"/>
    <row r="155079" customFormat="1" x14ac:dyDescent="0.25"/>
    <row r="155080" customFormat="1" x14ac:dyDescent="0.25"/>
    <row r="155081" customFormat="1" x14ac:dyDescent="0.25"/>
    <row r="155082" customFormat="1" x14ac:dyDescent="0.25"/>
    <row r="155083" customFormat="1" x14ac:dyDescent="0.25"/>
    <row r="155084" customFormat="1" x14ac:dyDescent="0.25"/>
    <row r="155085" customFormat="1" x14ac:dyDescent="0.25"/>
    <row r="155086" customFormat="1" x14ac:dyDescent="0.25"/>
    <row r="155087" customFormat="1" x14ac:dyDescent="0.25"/>
    <row r="155088" customFormat="1" x14ac:dyDescent="0.25"/>
    <row r="155089" customFormat="1" x14ac:dyDescent="0.25"/>
    <row r="155090" customFormat="1" x14ac:dyDescent="0.25"/>
    <row r="155091" customFormat="1" x14ac:dyDescent="0.25"/>
    <row r="155092" customFormat="1" x14ac:dyDescent="0.25"/>
    <row r="155093" customFormat="1" x14ac:dyDescent="0.25"/>
    <row r="155094" customFormat="1" x14ac:dyDescent="0.25"/>
    <row r="155095" customFormat="1" x14ac:dyDescent="0.25"/>
    <row r="155096" customFormat="1" x14ac:dyDescent="0.25"/>
    <row r="155097" customFormat="1" x14ac:dyDescent="0.25"/>
    <row r="155098" customFormat="1" x14ac:dyDescent="0.25"/>
    <row r="155099" customFormat="1" x14ac:dyDescent="0.25"/>
    <row r="155100" customFormat="1" x14ac:dyDescent="0.25"/>
    <row r="155101" customFormat="1" x14ac:dyDescent="0.25"/>
    <row r="155102" customFormat="1" x14ac:dyDescent="0.25"/>
    <row r="155103" customFormat="1" x14ac:dyDescent="0.25"/>
    <row r="155104" customFormat="1" x14ac:dyDescent="0.25"/>
    <row r="155105" customFormat="1" x14ac:dyDescent="0.25"/>
    <row r="155106" customFormat="1" x14ac:dyDescent="0.25"/>
    <row r="155107" customFormat="1" x14ac:dyDescent="0.25"/>
    <row r="155108" customFormat="1" x14ac:dyDescent="0.25"/>
    <row r="155109" customFormat="1" x14ac:dyDescent="0.25"/>
    <row r="155110" customFormat="1" x14ac:dyDescent="0.25"/>
    <row r="155111" customFormat="1" x14ac:dyDescent="0.25"/>
    <row r="155112" customFormat="1" x14ac:dyDescent="0.25"/>
    <row r="155113" customFormat="1" x14ac:dyDescent="0.25"/>
    <row r="155114" customFormat="1" x14ac:dyDescent="0.25"/>
    <row r="155115" customFormat="1" x14ac:dyDescent="0.25"/>
    <row r="155116" customFormat="1" x14ac:dyDescent="0.25"/>
    <row r="155117" customFormat="1" x14ac:dyDescent="0.25"/>
    <row r="155118" customFormat="1" x14ac:dyDescent="0.25"/>
    <row r="155119" customFormat="1" x14ac:dyDescent="0.25"/>
    <row r="155120" customFormat="1" x14ac:dyDescent="0.25"/>
    <row r="155121" customFormat="1" x14ac:dyDescent="0.25"/>
    <row r="155122" customFormat="1" x14ac:dyDescent="0.25"/>
    <row r="155123" customFormat="1" x14ac:dyDescent="0.25"/>
    <row r="155124" customFormat="1" x14ac:dyDescent="0.25"/>
    <row r="155125" customFormat="1" x14ac:dyDescent="0.25"/>
    <row r="155126" customFormat="1" x14ac:dyDescent="0.25"/>
    <row r="155127" customFormat="1" x14ac:dyDescent="0.25"/>
    <row r="155128" customFormat="1" x14ac:dyDescent="0.25"/>
    <row r="155129" customFormat="1" x14ac:dyDescent="0.25"/>
    <row r="155130" customFormat="1" x14ac:dyDescent="0.25"/>
    <row r="155131" customFormat="1" x14ac:dyDescent="0.25"/>
    <row r="155132" customFormat="1" x14ac:dyDescent="0.25"/>
    <row r="155133" customFormat="1" x14ac:dyDescent="0.25"/>
    <row r="155134" customFormat="1" x14ac:dyDescent="0.25"/>
    <row r="155135" customFormat="1" x14ac:dyDescent="0.25"/>
    <row r="155136" customFormat="1" x14ac:dyDescent="0.25"/>
    <row r="155137" customFormat="1" x14ac:dyDescent="0.25"/>
    <row r="155138" customFormat="1" x14ac:dyDescent="0.25"/>
    <row r="155139" customFormat="1" x14ac:dyDescent="0.25"/>
    <row r="155140" customFormat="1" x14ac:dyDescent="0.25"/>
    <row r="155141" customFormat="1" x14ac:dyDescent="0.25"/>
    <row r="155142" customFormat="1" x14ac:dyDescent="0.25"/>
    <row r="155143" customFormat="1" x14ac:dyDescent="0.25"/>
    <row r="155144" customFormat="1" x14ac:dyDescent="0.25"/>
    <row r="155145" customFormat="1" x14ac:dyDescent="0.25"/>
    <row r="155146" customFormat="1" x14ac:dyDescent="0.25"/>
    <row r="155147" customFormat="1" x14ac:dyDescent="0.25"/>
    <row r="155148" customFormat="1" x14ac:dyDescent="0.25"/>
    <row r="155149" customFormat="1" x14ac:dyDescent="0.25"/>
    <row r="155150" customFormat="1" x14ac:dyDescent="0.25"/>
    <row r="155151" customFormat="1" x14ac:dyDescent="0.25"/>
    <row r="155152" customFormat="1" x14ac:dyDescent="0.25"/>
    <row r="155153" customFormat="1" x14ac:dyDescent="0.25"/>
    <row r="155154" customFormat="1" x14ac:dyDescent="0.25"/>
    <row r="155155" customFormat="1" x14ac:dyDescent="0.25"/>
    <row r="155156" customFormat="1" x14ac:dyDescent="0.25"/>
    <row r="155157" customFormat="1" x14ac:dyDescent="0.25"/>
    <row r="155158" customFormat="1" x14ac:dyDescent="0.25"/>
    <row r="155159" customFormat="1" x14ac:dyDescent="0.25"/>
    <row r="155160" customFormat="1" x14ac:dyDescent="0.25"/>
    <row r="155161" customFormat="1" x14ac:dyDescent="0.25"/>
    <row r="155162" customFormat="1" x14ac:dyDescent="0.25"/>
    <row r="155163" customFormat="1" x14ac:dyDescent="0.25"/>
    <row r="155164" customFormat="1" x14ac:dyDescent="0.25"/>
    <row r="155165" customFormat="1" x14ac:dyDescent="0.25"/>
    <row r="155166" customFormat="1" x14ac:dyDescent="0.25"/>
    <row r="155167" customFormat="1" x14ac:dyDescent="0.25"/>
    <row r="155168" customFormat="1" x14ac:dyDescent="0.25"/>
    <row r="155169" customFormat="1" x14ac:dyDescent="0.25"/>
    <row r="155170" customFormat="1" x14ac:dyDescent="0.25"/>
    <row r="155171" customFormat="1" x14ac:dyDescent="0.25"/>
    <row r="155172" customFormat="1" x14ac:dyDescent="0.25"/>
    <row r="155173" customFormat="1" x14ac:dyDescent="0.25"/>
    <row r="155174" customFormat="1" x14ac:dyDescent="0.25"/>
    <row r="155175" customFormat="1" x14ac:dyDescent="0.25"/>
    <row r="155176" customFormat="1" x14ac:dyDescent="0.25"/>
    <row r="155177" customFormat="1" x14ac:dyDescent="0.25"/>
    <row r="155178" customFormat="1" x14ac:dyDescent="0.25"/>
    <row r="155179" customFormat="1" x14ac:dyDescent="0.25"/>
    <row r="155180" customFormat="1" x14ac:dyDescent="0.25"/>
    <row r="155181" customFormat="1" x14ac:dyDescent="0.25"/>
    <row r="155182" customFormat="1" x14ac:dyDescent="0.25"/>
    <row r="155183" customFormat="1" x14ac:dyDescent="0.25"/>
    <row r="155184" customFormat="1" x14ac:dyDescent="0.25"/>
    <row r="155185" customFormat="1" x14ac:dyDescent="0.25"/>
    <row r="155186" customFormat="1" x14ac:dyDescent="0.25"/>
    <row r="155187" customFormat="1" x14ac:dyDescent="0.25"/>
    <row r="155188" customFormat="1" x14ac:dyDescent="0.25"/>
    <row r="155189" customFormat="1" x14ac:dyDescent="0.25"/>
    <row r="155190" customFormat="1" x14ac:dyDescent="0.25"/>
    <row r="155191" customFormat="1" x14ac:dyDescent="0.25"/>
    <row r="155192" customFormat="1" x14ac:dyDescent="0.25"/>
    <row r="155193" customFormat="1" x14ac:dyDescent="0.25"/>
    <row r="155194" customFormat="1" x14ac:dyDescent="0.25"/>
    <row r="155195" customFormat="1" x14ac:dyDescent="0.25"/>
    <row r="155196" customFormat="1" x14ac:dyDescent="0.25"/>
    <row r="155197" customFormat="1" x14ac:dyDescent="0.25"/>
    <row r="155198" customFormat="1" x14ac:dyDescent="0.25"/>
    <row r="155199" customFormat="1" x14ac:dyDescent="0.25"/>
    <row r="155200" customFormat="1" x14ac:dyDescent="0.25"/>
    <row r="155201" customFormat="1" x14ac:dyDescent="0.25"/>
    <row r="155202" customFormat="1" x14ac:dyDescent="0.25"/>
    <row r="155203" customFormat="1" x14ac:dyDescent="0.25"/>
    <row r="155204" customFormat="1" x14ac:dyDescent="0.25"/>
    <row r="155205" customFormat="1" x14ac:dyDescent="0.25"/>
    <row r="155206" customFormat="1" x14ac:dyDescent="0.25"/>
    <row r="155207" customFormat="1" x14ac:dyDescent="0.25"/>
    <row r="155208" customFormat="1" x14ac:dyDescent="0.25"/>
    <row r="155209" customFormat="1" x14ac:dyDescent="0.25"/>
    <row r="155210" customFormat="1" x14ac:dyDescent="0.25"/>
    <row r="155211" customFormat="1" x14ac:dyDescent="0.25"/>
    <row r="155212" customFormat="1" x14ac:dyDescent="0.25"/>
    <row r="155213" customFormat="1" x14ac:dyDescent="0.25"/>
    <row r="155214" customFormat="1" x14ac:dyDescent="0.25"/>
    <row r="155215" customFormat="1" x14ac:dyDescent="0.25"/>
    <row r="155216" customFormat="1" x14ac:dyDescent="0.25"/>
    <row r="155217" customFormat="1" x14ac:dyDescent="0.25"/>
    <row r="155218" customFormat="1" x14ac:dyDescent="0.25"/>
    <row r="155219" customFormat="1" x14ac:dyDescent="0.25"/>
    <row r="155220" customFormat="1" x14ac:dyDescent="0.25"/>
    <row r="155221" customFormat="1" x14ac:dyDescent="0.25"/>
    <row r="155222" customFormat="1" x14ac:dyDescent="0.25"/>
    <row r="155223" customFormat="1" x14ac:dyDescent="0.25"/>
    <row r="155224" customFormat="1" x14ac:dyDescent="0.25"/>
    <row r="155225" customFormat="1" x14ac:dyDescent="0.25"/>
    <row r="155226" customFormat="1" x14ac:dyDescent="0.25"/>
    <row r="155227" customFormat="1" x14ac:dyDescent="0.25"/>
    <row r="155228" customFormat="1" x14ac:dyDescent="0.25"/>
    <row r="155229" customFormat="1" x14ac:dyDescent="0.25"/>
    <row r="155230" customFormat="1" x14ac:dyDescent="0.25"/>
    <row r="155231" customFormat="1" x14ac:dyDescent="0.25"/>
    <row r="155232" customFormat="1" x14ac:dyDescent="0.25"/>
    <row r="155233" customFormat="1" x14ac:dyDescent="0.25"/>
    <row r="155234" customFormat="1" x14ac:dyDescent="0.25"/>
    <row r="155235" customFormat="1" x14ac:dyDescent="0.25"/>
    <row r="155236" customFormat="1" x14ac:dyDescent="0.25"/>
    <row r="155237" customFormat="1" x14ac:dyDescent="0.25"/>
    <row r="155238" customFormat="1" x14ac:dyDescent="0.25"/>
    <row r="155239" customFormat="1" x14ac:dyDescent="0.25"/>
    <row r="155240" customFormat="1" x14ac:dyDescent="0.25"/>
    <row r="155241" customFormat="1" x14ac:dyDescent="0.25"/>
    <row r="155242" customFormat="1" x14ac:dyDescent="0.25"/>
    <row r="155243" customFormat="1" x14ac:dyDescent="0.25"/>
    <row r="155244" customFormat="1" x14ac:dyDescent="0.25"/>
    <row r="155245" customFormat="1" x14ac:dyDescent="0.25"/>
    <row r="155246" customFormat="1" x14ac:dyDescent="0.25"/>
    <row r="155247" customFormat="1" x14ac:dyDescent="0.25"/>
    <row r="155248" customFormat="1" x14ac:dyDescent="0.25"/>
    <row r="155249" customFormat="1" x14ac:dyDescent="0.25"/>
    <row r="155250" customFormat="1" x14ac:dyDescent="0.25"/>
    <row r="155251" customFormat="1" x14ac:dyDescent="0.25"/>
    <row r="155252" customFormat="1" x14ac:dyDescent="0.25"/>
    <row r="155253" customFormat="1" x14ac:dyDescent="0.25"/>
    <row r="155254" customFormat="1" x14ac:dyDescent="0.25"/>
    <row r="155255" customFormat="1" x14ac:dyDescent="0.25"/>
    <row r="155256" customFormat="1" x14ac:dyDescent="0.25"/>
    <row r="155257" customFormat="1" x14ac:dyDescent="0.25"/>
    <row r="155258" customFormat="1" x14ac:dyDescent="0.25"/>
    <row r="155259" customFormat="1" x14ac:dyDescent="0.25"/>
    <row r="155260" customFormat="1" x14ac:dyDescent="0.25"/>
    <row r="155261" customFormat="1" x14ac:dyDescent="0.25"/>
    <row r="155262" customFormat="1" x14ac:dyDescent="0.25"/>
    <row r="155263" customFormat="1" x14ac:dyDescent="0.25"/>
    <row r="155264" customFormat="1" x14ac:dyDescent="0.25"/>
    <row r="155265" customFormat="1" x14ac:dyDescent="0.25"/>
    <row r="155266" customFormat="1" x14ac:dyDescent="0.25"/>
    <row r="155267" customFormat="1" x14ac:dyDescent="0.25"/>
    <row r="155268" customFormat="1" x14ac:dyDescent="0.25"/>
    <row r="155269" customFormat="1" x14ac:dyDescent="0.25"/>
    <row r="155270" customFormat="1" x14ac:dyDescent="0.25"/>
    <row r="155271" customFormat="1" x14ac:dyDescent="0.25"/>
    <row r="155272" customFormat="1" x14ac:dyDescent="0.25"/>
    <row r="155273" customFormat="1" x14ac:dyDescent="0.25"/>
    <row r="155274" customFormat="1" x14ac:dyDescent="0.25"/>
    <row r="155275" customFormat="1" x14ac:dyDescent="0.25"/>
    <row r="155276" customFormat="1" x14ac:dyDescent="0.25"/>
    <row r="155277" customFormat="1" x14ac:dyDescent="0.25"/>
    <row r="155278" customFormat="1" x14ac:dyDescent="0.25"/>
    <row r="155279" customFormat="1" x14ac:dyDescent="0.25"/>
    <row r="155280" customFormat="1" x14ac:dyDescent="0.25"/>
    <row r="155281" customFormat="1" x14ac:dyDescent="0.25"/>
    <row r="155282" customFormat="1" x14ac:dyDescent="0.25"/>
    <row r="155283" customFormat="1" x14ac:dyDescent="0.25"/>
    <row r="155284" customFormat="1" x14ac:dyDescent="0.25"/>
    <row r="155285" customFormat="1" x14ac:dyDescent="0.25"/>
    <row r="155286" customFormat="1" x14ac:dyDescent="0.25"/>
    <row r="155287" customFormat="1" x14ac:dyDescent="0.25"/>
    <row r="155288" customFormat="1" x14ac:dyDescent="0.25"/>
    <row r="155289" customFormat="1" x14ac:dyDescent="0.25"/>
    <row r="155290" customFormat="1" x14ac:dyDescent="0.25"/>
    <row r="155291" customFormat="1" x14ac:dyDescent="0.25"/>
    <row r="155292" customFormat="1" x14ac:dyDescent="0.25"/>
    <row r="155293" customFormat="1" x14ac:dyDescent="0.25"/>
    <row r="155294" customFormat="1" x14ac:dyDescent="0.25"/>
    <row r="155295" customFormat="1" x14ac:dyDescent="0.25"/>
    <row r="155296" customFormat="1" x14ac:dyDescent="0.25"/>
    <row r="155297" customFormat="1" x14ac:dyDescent="0.25"/>
    <row r="155298" customFormat="1" x14ac:dyDescent="0.25"/>
    <row r="155299" customFormat="1" x14ac:dyDescent="0.25"/>
    <row r="155300" customFormat="1" x14ac:dyDescent="0.25"/>
    <row r="155301" customFormat="1" x14ac:dyDescent="0.25"/>
    <row r="155302" customFormat="1" x14ac:dyDescent="0.25"/>
    <row r="155303" customFormat="1" x14ac:dyDescent="0.25"/>
    <row r="155304" customFormat="1" x14ac:dyDescent="0.25"/>
    <row r="155305" customFormat="1" x14ac:dyDescent="0.25"/>
    <row r="155306" customFormat="1" x14ac:dyDescent="0.25"/>
    <row r="155307" customFormat="1" x14ac:dyDescent="0.25"/>
    <row r="155308" customFormat="1" x14ac:dyDescent="0.25"/>
    <row r="155309" customFormat="1" x14ac:dyDescent="0.25"/>
    <row r="155310" customFormat="1" x14ac:dyDescent="0.25"/>
    <row r="155311" customFormat="1" x14ac:dyDescent="0.25"/>
    <row r="155312" customFormat="1" x14ac:dyDescent="0.25"/>
    <row r="155313" customFormat="1" x14ac:dyDescent="0.25"/>
    <row r="155314" customFormat="1" x14ac:dyDescent="0.25"/>
    <row r="155315" customFormat="1" x14ac:dyDescent="0.25"/>
    <row r="155316" customFormat="1" x14ac:dyDescent="0.25"/>
    <row r="155317" customFormat="1" x14ac:dyDescent="0.25"/>
    <row r="155318" customFormat="1" x14ac:dyDescent="0.25"/>
    <row r="155319" customFormat="1" x14ac:dyDescent="0.25"/>
    <row r="155320" customFormat="1" x14ac:dyDescent="0.25"/>
    <row r="155321" customFormat="1" x14ac:dyDescent="0.25"/>
    <row r="155322" customFormat="1" x14ac:dyDescent="0.25"/>
    <row r="155323" customFormat="1" x14ac:dyDescent="0.25"/>
    <row r="155324" customFormat="1" x14ac:dyDescent="0.25"/>
    <row r="155325" customFormat="1" x14ac:dyDescent="0.25"/>
    <row r="155326" customFormat="1" x14ac:dyDescent="0.25"/>
    <row r="155327" customFormat="1" x14ac:dyDescent="0.25"/>
    <row r="155328" customFormat="1" x14ac:dyDescent="0.25"/>
    <row r="155329" customFormat="1" x14ac:dyDescent="0.25"/>
    <row r="155330" customFormat="1" x14ac:dyDescent="0.25"/>
    <row r="155331" customFormat="1" x14ac:dyDescent="0.25"/>
    <row r="155332" customFormat="1" x14ac:dyDescent="0.25"/>
    <row r="155333" customFormat="1" x14ac:dyDescent="0.25"/>
    <row r="155334" customFormat="1" x14ac:dyDescent="0.25"/>
    <row r="155335" customFormat="1" x14ac:dyDescent="0.25"/>
    <row r="155336" customFormat="1" x14ac:dyDescent="0.25"/>
    <row r="155337" customFormat="1" x14ac:dyDescent="0.25"/>
    <row r="155338" customFormat="1" x14ac:dyDescent="0.25"/>
    <row r="155339" customFormat="1" x14ac:dyDescent="0.25"/>
    <row r="155340" customFormat="1" x14ac:dyDescent="0.25"/>
    <row r="155341" customFormat="1" x14ac:dyDescent="0.25"/>
    <row r="155342" customFormat="1" x14ac:dyDescent="0.25"/>
    <row r="155343" customFormat="1" x14ac:dyDescent="0.25"/>
    <row r="155344" customFormat="1" x14ac:dyDescent="0.25"/>
    <row r="155345" customFormat="1" x14ac:dyDescent="0.25"/>
    <row r="155346" customFormat="1" x14ac:dyDescent="0.25"/>
    <row r="155347" customFormat="1" x14ac:dyDescent="0.25"/>
    <row r="155348" customFormat="1" x14ac:dyDescent="0.25"/>
    <row r="155349" customFormat="1" x14ac:dyDescent="0.25"/>
    <row r="155350" customFormat="1" x14ac:dyDescent="0.25"/>
    <row r="155351" customFormat="1" x14ac:dyDescent="0.25"/>
    <row r="155352" customFormat="1" x14ac:dyDescent="0.25"/>
    <row r="155353" customFormat="1" x14ac:dyDescent="0.25"/>
    <row r="155354" customFormat="1" x14ac:dyDescent="0.25"/>
    <row r="155355" customFormat="1" x14ac:dyDescent="0.25"/>
    <row r="155356" customFormat="1" x14ac:dyDescent="0.25"/>
    <row r="155357" customFormat="1" x14ac:dyDescent="0.25"/>
    <row r="155358" customFormat="1" x14ac:dyDescent="0.25"/>
    <row r="155359" customFormat="1" x14ac:dyDescent="0.25"/>
    <row r="155360" customFormat="1" x14ac:dyDescent="0.25"/>
    <row r="155361" customFormat="1" x14ac:dyDescent="0.25"/>
    <row r="155362" customFormat="1" x14ac:dyDescent="0.25"/>
    <row r="155363" customFormat="1" x14ac:dyDescent="0.25"/>
    <row r="155364" customFormat="1" x14ac:dyDescent="0.25"/>
    <row r="155365" customFormat="1" x14ac:dyDescent="0.25"/>
    <row r="155366" customFormat="1" x14ac:dyDescent="0.25"/>
    <row r="155367" customFormat="1" x14ac:dyDescent="0.25"/>
    <row r="155368" customFormat="1" x14ac:dyDescent="0.25"/>
    <row r="155369" customFormat="1" x14ac:dyDescent="0.25"/>
    <row r="155370" customFormat="1" x14ac:dyDescent="0.25"/>
    <row r="155371" customFormat="1" x14ac:dyDescent="0.25"/>
    <row r="155372" customFormat="1" x14ac:dyDescent="0.25"/>
    <row r="155373" customFormat="1" x14ac:dyDescent="0.25"/>
    <row r="155374" customFormat="1" x14ac:dyDescent="0.25"/>
    <row r="155375" customFormat="1" x14ac:dyDescent="0.25"/>
    <row r="155376" customFormat="1" x14ac:dyDescent="0.25"/>
    <row r="155377" customFormat="1" x14ac:dyDescent="0.25"/>
    <row r="155378" customFormat="1" x14ac:dyDescent="0.25"/>
    <row r="155379" customFormat="1" x14ac:dyDescent="0.25"/>
    <row r="155380" customFormat="1" x14ac:dyDescent="0.25"/>
    <row r="155381" customFormat="1" x14ac:dyDescent="0.25"/>
    <row r="155382" customFormat="1" x14ac:dyDescent="0.25"/>
    <row r="155383" customFormat="1" x14ac:dyDescent="0.25"/>
    <row r="155384" customFormat="1" x14ac:dyDescent="0.25"/>
    <row r="155385" customFormat="1" x14ac:dyDescent="0.25"/>
    <row r="155386" customFormat="1" x14ac:dyDescent="0.25"/>
    <row r="155387" customFormat="1" x14ac:dyDescent="0.25"/>
    <row r="155388" customFormat="1" x14ac:dyDescent="0.25"/>
    <row r="155389" customFormat="1" x14ac:dyDescent="0.25"/>
    <row r="155390" customFormat="1" x14ac:dyDescent="0.25"/>
    <row r="155391" customFormat="1" x14ac:dyDescent="0.25"/>
    <row r="155392" customFormat="1" x14ac:dyDescent="0.25"/>
    <row r="155393" customFormat="1" x14ac:dyDescent="0.25"/>
    <row r="155394" customFormat="1" x14ac:dyDescent="0.25"/>
    <row r="155395" customFormat="1" x14ac:dyDescent="0.25"/>
    <row r="155396" customFormat="1" x14ac:dyDescent="0.25"/>
    <row r="155397" customFormat="1" x14ac:dyDescent="0.25"/>
    <row r="155398" customFormat="1" x14ac:dyDescent="0.25"/>
    <row r="155399" customFormat="1" x14ac:dyDescent="0.25"/>
    <row r="155400" customFormat="1" x14ac:dyDescent="0.25"/>
    <row r="155401" customFormat="1" x14ac:dyDescent="0.25"/>
    <row r="155402" customFormat="1" x14ac:dyDescent="0.25"/>
    <row r="155403" customFormat="1" x14ac:dyDescent="0.25"/>
    <row r="155404" customFormat="1" x14ac:dyDescent="0.25"/>
    <row r="155405" customFormat="1" x14ac:dyDescent="0.25"/>
    <row r="155406" customFormat="1" x14ac:dyDescent="0.25"/>
    <row r="155407" customFormat="1" x14ac:dyDescent="0.25"/>
    <row r="155408" customFormat="1" x14ac:dyDescent="0.25"/>
    <row r="155409" customFormat="1" x14ac:dyDescent="0.25"/>
    <row r="155410" customFormat="1" x14ac:dyDescent="0.25"/>
    <row r="155411" customFormat="1" x14ac:dyDescent="0.25"/>
    <row r="155412" customFormat="1" x14ac:dyDescent="0.25"/>
    <row r="155413" customFormat="1" x14ac:dyDescent="0.25"/>
    <row r="155414" customFormat="1" x14ac:dyDescent="0.25"/>
    <row r="155415" customFormat="1" x14ac:dyDescent="0.25"/>
    <row r="155416" customFormat="1" x14ac:dyDescent="0.25"/>
    <row r="155417" customFormat="1" x14ac:dyDescent="0.25"/>
    <row r="155418" customFormat="1" x14ac:dyDescent="0.25"/>
    <row r="155419" customFormat="1" x14ac:dyDescent="0.25"/>
    <row r="155420" customFormat="1" x14ac:dyDescent="0.25"/>
    <row r="155421" customFormat="1" x14ac:dyDescent="0.25"/>
    <row r="155422" customFormat="1" x14ac:dyDescent="0.25"/>
    <row r="155423" customFormat="1" x14ac:dyDescent="0.25"/>
    <row r="155424" customFormat="1" x14ac:dyDescent="0.25"/>
    <row r="155425" customFormat="1" x14ac:dyDescent="0.25"/>
    <row r="155426" customFormat="1" x14ac:dyDescent="0.25"/>
    <row r="155427" customFormat="1" x14ac:dyDescent="0.25"/>
    <row r="155428" customFormat="1" x14ac:dyDescent="0.25"/>
    <row r="155429" customFormat="1" x14ac:dyDescent="0.25"/>
    <row r="155430" customFormat="1" x14ac:dyDescent="0.25"/>
    <row r="155431" customFormat="1" x14ac:dyDescent="0.25"/>
    <row r="155432" customFormat="1" x14ac:dyDescent="0.25"/>
    <row r="155433" customFormat="1" x14ac:dyDescent="0.25"/>
    <row r="155434" customFormat="1" x14ac:dyDescent="0.25"/>
    <row r="155435" customFormat="1" x14ac:dyDescent="0.25"/>
    <row r="155436" customFormat="1" x14ac:dyDescent="0.25"/>
    <row r="155437" customFormat="1" x14ac:dyDescent="0.25"/>
    <row r="155438" customFormat="1" x14ac:dyDescent="0.25"/>
    <row r="155439" customFormat="1" x14ac:dyDescent="0.25"/>
    <row r="155440" customFormat="1" x14ac:dyDescent="0.25"/>
    <row r="155441" customFormat="1" x14ac:dyDescent="0.25"/>
    <row r="155442" customFormat="1" x14ac:dyDescent="0.25"/>
    <row r="155443" customFormat="1" x14ac:dyDescent="0.25"/>
    <row r="155444" customFormat="1" x14ac:dyDescent="0.25"/>
    <row r="155445" customFormat="1" x14ac:dyDescent="0.25"/>
    <row r="155446" customFormat="1" x14ac:dyDescent="0.25"/>
    <row r="155447" customFormat="1" x14ac:dyDescent="0.25"/>
    <row r="155448" customFormat="1" x14ac:dyDescent="0.25"/>
    <row r="155449" customFormat="1" x14ac:dyDescent="0.25"/>
    <row r="155450" customFormat="1" x14ac:dyDescent="0.25"/>
    <row r="155451" customFormat="1" x14ac:dyDescent="0.25"/>
    <row r="155452" customFormat="1" x14ac:dyDescent="0.25"/>
    <row r="155453" customFormat="1" x14ac:dyDescent="0.25"/>
    <row r="155454" customFormat="1" x14ac:dyDescent="0.25"/>
    <row r="155455" customFormat="1" x14ac:dyDescent="0.25"/>
    <row r="155456" customFormat="1" x14ac:dyDescent="0.25"/>
    <row r="155457" customFormat="1" x14ac:dyDescent="0.25"/>
    <row r="155458" customFormat="1" x14ac:dyDescent="0.25"/>
    <row r="155459" customFormat="1" x14ac:dyDescent="0.25"/>
    <row r="155460" customFormat="1" x14ac:dyDescent="0.25"/>
    <row r="155461" customFormat="1" x14ac:dyDescent="0.25"/>
    <row r="155462" customFormat="1" x14ac:dyDescent="0.25"/>
    <row r="155463" customFormat="1" x14ac:dyDescent="0.25"/>
    <row r="155464" customFormat="1" x14ac:dyDescent="0.25"/>
    <row r="155465" customFormat="1" x14ac:dyDescent="0.25"/>
    <row r="155466" customFormat="1" x14ac:dyDescent="0.25"/>
    <row r="155467" customFormat="1" x14ac:dyDescent="0.25"/>
    <row r="155468" customFormat="1" x14ac:dyDescent="0.25"/>
    <row r="155469" customFormat="1" x14ac:dyDescent="0.25"/>
    <row r="155470" customFormat="1" x14ac:dyDescent="0.25"/>
    <row r="155471" customFormat="1" x14ac:dyDescent="0.25"/>
    <row r="155472" customFormat="1" x14ac:dyDescent="0.25"/>
    <row r="155473" customFormat="1" x14ac:dyDescent="0.25"/>
    <row r="155474" customFormat="1" x14ac:dyDescent="0.25"/>
    <row r="155475" customFormat="1" x14ac:dyDescent="0.25"/>
    <row r="155476" customFormat="1" x14ac:dyDescent="0.25"/>
    <row r="155477" customFormat="1" x14ac:dyDescent="0.25"/>
    <row r="155478" customFormat="1" x14ac:dyDescent="0.25"/>
    <row r="155479" customFormat="1" x14ac:dyDescent="0.25"/>
    <row r="155480" customFormat="1" x14ac:dyDescent="0.25"/>
    <row r="155481" customFormat="1" x14ac:dyDescent="0.25"/>
    <row r="155482" customFormat="1" x14ac:dyDescent="0.25"/>
    <row r="155483" customFormat="1" x14ac:dyDescent="0.25"/>
    <row r="155484" customFormat="1" x14ac:dyDescent="0.25"/>
    <row r="155485" customFormat="1" x14ac:dyDescent="0.25"/>
    <row r="155486" customFormat="1" x14ac:dyDescent="0.25"/>
    <row r="155487" customFormat="1" x14ac:dyDescent="0.25"/>
    <row r="155488" customFormat="1" x14ac:dyDescent="0.25"/>
    <row r="155489" customFormat="1" x14ac:dyDescent="0.25"/>
    <row r="155490" customFormat="1" x14ac:dyDescent="0.25"/>
    <row r="155491" customFormat="1" x14ac:dyDescent="0.25"/>
    <row r="155492" customFormat="1" x14ac:dyDescent="0.25"/>
    <row r="155493" customFormat="1" x14ac:dyDescent="0.25"/>
    <row r="155494" customFormat="1" x14ac:dyDescent="0.25"/>
    <row r="155495" customFormat="1" x14ac:dyDescent="0.25"/>
    <row r="155496" customFormat="1" x14ac:dyDescent="0.25"/>
    <row r="155497" customFormat="1" x14ac:dyDescent="0.25"/>
    <row r="155498" customFormat="1" x14ac:dyDescent="0.25"/>
    <row r="155499" customFormat="1" x14ac:dyDescent="0.25"/>
    <row r="155500" customFormat="1" x14ac:dyDescent="0.25"/>
    <row r="155501" customFormat="1" x14ac:dyDescent="0.25"/>
    <row r="155502" customFormat="1" x14ac:dyDescent="0.25"/>
    <row r="155503" customFormat="1" x14ac:dyDescent="0.25"/>
    <row r="155504" customFormat="1" x14ac:dyDescent="0.25"/>
    <row r="155505" customFormat="1" x14ac:dyDescent="0.25"/>
    <row r="155506" customFormat="1" x14ac:dyDescent="0.25"/>
    <row r="155507" customFormat="1" x14ac:dyDescent="0.25"/>
    <row r="155508" customFormat="1" x14ac:dyDescent="0.25"/>
    <row r="155509" customFormat="1" x14ac:dyDescent="0.25"/>
    <row r="155510" customFormat="1" x14ac:dyDescent="0.25"/>
    <row r="155511" customFormat="1" x14ac:dyDescent="0.25"/>
    <row r="155512" customFormat="1" x14ac:dyDescent="0.25"/>
    <row r="155513" customFormat="1" x14ac:dyDescent="0.25"/>
    <row r="155514" customFormat="1" x14ac:dyDescent="0.25"/>
    <row r="155515" customFormat="1" x14ac:dyDescent="0.25"/>
    <row r="155516" customFormat="1" x14ac:dyDescent="0.25"/>
    <row r="155517" customFormat="1" x14ac:dyDescent="0.25"/>
    <row r="155518" customFormat="1" x14ac:dyDescent="0.25"/>
    <row r="155519" customFormat="1" x14ac:dyDescent="0.25"/>
    <row r="155520" customFormat="1" x14ac:dyDescent="0.25"/>
    <row r="155521" customFormat="1" x14ac:dyDescent="0.25"/>
    <row r="155522" customFormat="1" x14ac:dyDescent="0.25"/>
    <row r="155523" customFormat="1" x14ac:dyDescent="0.25"/>
    <row r="155524" customFormat="1" x14ac:dyDescent="0.25"/>
    <row r="155525" customFormat="1" x14ac:dyDescent="0.25"/>
    <row r="155526" customFormat="1" x14ac:dyDescent="0.25"/>
    <row r="155527" customFormat="1" x14ac:dyDescent="0.25"/>
    <row r="155528" customFormat="1" x14ac:dyDescent="0.25"/>
    <row r="155529" customFormat="1" x14ac:dyDescent="0.25"/>
    <row r="155530" customFormat="1" x14ac:dyDescent="0.25"/>
    <row r="155531" customFormat="1" x14ac:dyDescent="0.25"/>
    <row r="155532" customFormat="1" x14ac:dyDescent="0.25"/>
    <row r="155533" customFormat="1" x14ac:dyDescent="0.25"/>
    <row r="155534" customFormat="1" x14ac:dyDescent="0.25"/>
    <row r="155535" customFormat="1" x14ac:dyDescent="0.25"/>
    <row r="155536" customFormat="1" x14ac:dyDescent="0.25"/>
    <row r="155537" customFormat="1" x14ac:dyDescent="0.25"/>
    <row r="155538" customFormat="1" x14ac:dyDescent="0.25"/>
    <row r="155539" customFormat="1" x14ac:dyDescent="0.25"/>
    <row r="155540" customFormat="1" x14ac:dyDescent="0.25"/>
    <row r="155541" customFormat="1" x14ac:dyDescent="0.25"/>
    <row r="155542" customFormat="1" x14ac:dyDescent="0.25"/>
    <row r="155543" customFormat="1" x14ac:dyDescent="0.25"/>
    <row r="155544" customFormat="1" x14ac:dyDescent="0.25"/>
    <row r="155545" customFormat="1" x14ac:dyDescent="0.25"/>
    <row r="155546" customFormat="1" x14ac:dyDescent="0.25"/>
    <row r="155547" customFormat="1" x14ac:dyDescent="0.25"/>
    <row r="155548" customFormat="1" x14ac:dyDescent="0.25"/>
    <row r="155549" customFormat="1" x14ac:dyDescent="0.25"/>
    <row r="155550" customFormat="1" x14ac:dyDescent="0.25"/>
    <row r="155551" customFormat="1" x14ac:dyDescent="0.25"/>
    <row r="155552" customFormat="1" x14ac:dyDescent="0.25"/>
    <row r="155553" customFormat="1" x14ac:dyDescent="0.25"/>
    <row r="155554" customFormat="1" x14ac:dyDescent="0.25"/>
    <row r="155555" customFormat="1" x14ac:dyDescent="0.25"/>
    <row r="155556" customFormat="1" x14ac:dyDescent="0.25"/>
    <row r="155557" customFormat="1" x14ac:dyDescent="0.25"/>
    <row r="155558" customFormat="1" x14ac:dyDescent="0.25"/>
    <row r="155559" customFormat="1" x14ac:dyDescent="0.25"/>
    <row r="155560" customFormat="1" x14ac:dyDescent="0.25"/>
    <row r="155561" customFormat="1" x14ac:dyDescent="0.25"/>
    <row r="155562" customFormat="1" x14ac:dyDescent="0.25"/>
    <row r="155563" customFormat="1" x14ac:dyDescent="0.25"/>
    <row r="155564" customFormat="1" x14ac:dyDescent="0.25"/>
    <row r="155565" customFormat="1" x14ac:dyDescent="0.25"/>
    <row r="155566" customFormat="1" x14ac:dyDescent="0.25"/>
    <row r="155567" customFormat="1" x14ac:dyDescent="0.25"/>
    <row r="155568" customFormat="1" x14ac:dyDescent="0.25"/>
    <row r="155569" customFormat="1" x14ac:dyDescent="0.25"/>
    <row r="155570" customFormat="1" x14ac:dyDescent="0.25"/>
    <row r="155571" customFormat="1" x14ac:dyDescent="0.25"/>
    <row r="155572" customFormat="1" x14ac:dyDescent="0.25"/>
    <row r="155573" customFormat="1" x14ac:dyDescent="0.25"/>
    <row r="155574" customFormat="1" x14ac:dyDescent="0.25"/>
    <row r="155575" customFormat="1" x14ac:dyDescent="0.25"/>
    <row r="155576" customFormat="1" x14ac:dyDescent="0.25"/>
    <row r="155577" customFormat="1" x14ac:dyDescent="0.25"/>
    <row r="155578" customFormat="1" x14ac:dyDescent="0.25"/>
    <row r="155579" customFormat="1" x14ac:dyDescent="0.25"/>
    <row r="155580" customFormat="1" x14ac:dyDescent="0.25"/>
    <row r="155581" customFormat="1" x14ac:dyDescent="0.25"/>
    <row r="155582" customFormat="1" x14ac:dyDescent="0.25"/>
    <row r="155583" customFormat="1" x14ac:dyDescent="0.25"/>
    <row r="155584" customFormat="1" x14ac:dyDescent="0.25"/>
    <row r="155585" customFormat="1" x14ac:dyDescent="0.25"/>
    <row r="155586" customFormat="1" x14ac:dyDescent="0.25"/>
    <row r="155587" customFormat="1" x14ac:dyDescent="0.25"/>
    <row r="155588" customFormat="1" x14ac:dyDescent="0.25"/>
    <row r="155589" customFormat="1" x14ac:dyDescent="0.25"/>
    <row r="155590" customFormat="1" x14ac:dyDescent="0.25"/>
    <row r="155591" customFormat="1" x14ac:dyDescent="0.25"/>
    <row r="155592" customFormat="1" x14ac:dyDescent="0.25"/>
    <row r="155593" customFormat="1" x14ac:dyDescent="0.25"/>
    <row r="155594" customFormat="1" x14ac:dyDescent="0.25"/>
    <row r="155595" customFormat="1" x14ac:dyDescent="0.25"/>
    <row r="155596" customFormat="1" x14ac:dyDescent="0.25"/>
    <row r="155597" customFormat="1" x14ac:dyDescent="0.25"/>
    <row r="155598" customFormat="1" x14ac:dyDescent="0.25"/>
    <row r="155599" customFormat="1" x14ac:dyDescent="0.25"/>
    <row r="155600" customFormat="1" x14ac:dyDescent="0.25"/>
    <row r="155601" customFormat="1" x14ac:dyDescent="0.25"/>
    <row r="155602" customFormat="1" x14ac:dyDescent="0.25"/>
    <row r="155603" customFormat="1" x14ac:dyDescent="0.25"/>
    <row r="155604" customFormat="1" x14ac:dyDescent="0.25"/>
    <row r="155605" customFormat="1" x14ac:dyDescent="0.25"/>
    <row r="155606" customFormat="1" x14ac:dyDescent="0.25"/>
    <row r="155607" customFormat="1" x14ac:dyDescent="0.25"/>
    <row r="155608" customFormat="1" x14ac:dyDescent="0.25"/>
    <row r="155609" customFormat="1" x14ac:dyDescent="0.25"/>
    <row r="155610" customFormat="1" x14ac:dyDescent="0.25"/>
    <row r="155611" customFormat="1" x14ac:dyDescent="0.25"/>
    <row r="155612" customFormat="1" x14ac:dyDescent="0.25"/>
    <row r="155613" customFormat="1" x14ac:dyDescent="0.25"/>
    <row r="155614" customFormat="1" x14ac:dyDescent="0.25"/>
    <row r="155615" customFormat="1" x14ac:dyDescent="0.25"/>
    <row r="155616" customFormat="1" x14ac:dyDescent="0.25"/>
    <row r="155617" customFormat="1" x14ac:dyDescent="0.25"/>
    <row r="155618" customFormat="1" x14ac:dyDescent="0.25"/>
    <row r="155619" customFormat="1" x14ac:dyDescent="0.25"/>
    <row r="155620" customFormat="1" x14ac:dyDescent="0.25"/>
    <row r="155621" customFormat="1" x14ac:dyDescent="0.25"/>
    <row r="155622" customFormat="1" x14ac:dyDescent="0.25"/>
    <row r="155623" customFormat="1" x14ac:dyDescent="0.25"/>
    <row r="155624" customFormat="1" x14ac:dyDescent="0.25"/>
    <row r="155625" customFormat="1" x14ac:dyDescent="0.25"/>
    <row r="155626" customFormat="1" x14ac:dyDescent="0.25"/>
    <row r="155627" customFormat="1" x14ac:dyDescent="0.25"/>
    <row r="155628" customFormat="1" x14ac:dyDescent="0.25"/>
    <row r="155629" customFormat="1" x14ac:dyDescent="0.25"/>
    <row r="155630" customFormat="1" x14ac:dyDescent="0.25"/>
    <row r="155631" customFormat="1" x14ac:dyDescent="0.25"/>
    <row r="155632" customFormat="1" x14ac:dyDescent="0.25"/>
    <row r="155633" customFormat="1" x14ac:dyDescent="0.25"/>
    <row r="155634" customFormat="1" x14ac:dyDescent="0.25"/>
    <row r="155635" customFormat="1" x14ac:dyDescent="0.25"/>
    <row r="155636" customFormat="1" x14ac:dyDescent="0.25"/>
    <row r="155637" customFormat="1" x14ac:dyDescent="0.25"/>
    <row r="155638" customFormat="1" x14ac:dyDescent="0.25"/>
    <row r="155639" customFormat="1" x14ac:dyDescent="0.25"/>
    <row r="155640" customFormat="1" x14ac:dyDescent="0.25"/>
    <row r="155641" customFormat="1" x14ac:dyDescent="0.25"/>
    <row r="155642" customFormat="1" x14ac:dyDescent="0.25"/>
    <row r="155643" customFormat="1" x14ac:dyDescent="0.25"/>
    <row r="155644" customFormat="1" x14ac:dyDescent="0.25"/>
    <row r="155645" customFormat="1" x14ac:dyDescent="0.25"/>
    <row r="155646" customFormat="1" x14ac:dyDescent="0.25"/>
    <row r="155647" customFormat="1" x14ac:dyDescent="0.25"/>
    <row r="155648" customFormat="1" x14ac:dyDescent="0.25"/>
    <row r="155649" customFormat="1" x14ac:dyDescent="0.25"/>
    <row r="155650" customFormat="1" x14ac:dyDescent="0.25"/>
    <row r="155651" customFormat="1" x14ac:dyDescent="0.25"/>
    <row r="155652" customFormat="1" x14ac:dyDescent="0.25"/>
    <row r="155653" customFormat="1" x14ac:dyDescent="0.25"/>
    <row r="155654" customFormat="1" x14ac:dyDescent="0.25"/>
    <row r="155655" customFormat="1" x14ac:dyDescent="0.25"/>
    <row r="155656" customFormat="1" x14ac:dyDescent="0.25"/>
    <row r="155657" customFormat="1" x14ac:dyDescent="0.25"/>
    <row r="155658" customFormat="1" x14ac:dyDescent="0.25"/>
    <row r="155659" customFormat="1" x14ac:dyDescent="0.25"/>
    <row r="155660" customFormat="1" x14ac:dyDescent="0.25"/>
    <row r="155661" customFormat="1" x14ac:dyDescent="0.25"/>
    <row r="155662" customFormat="1" x14ac:dyDescent="0.25"/>
    <row r="155663" customFormat="1" x14ac:dyDescent="0.25"/>
    <row r="155664" customFormat="1" x14ac:dyDescent="0.25"/>
    <row r="155665" customFormat="1" x14ac:dyDescent="0.25"/>
    <row r="155666" customFormat="1" x14ac:dyDescent="0.25"/>
    <row r="155667" customFormat="1" x14ac:dyDescent="0.25"/>
    <row r="155668" customFormat="1" x14ac:dyDescent="0.25"/>
    <row r="155669" customFormat="1" x14ac:dyDescent="0.25"/>
    <row r="155670" customFormat="1" x14ac:dyDescent="0.25"/>
    <row r="155671" customFormat="1" x14ac:dyDescent="0.25"/>
    <row r="155672" customFormat="1" x14ac:dyDescent="0.25"/>
    <row r="155673" customFormat="1" x14ac:dyDescent="0.25"/>
    <row r="155674" customFormat="1" x14ac:dyDescent="0.25"/>
    <row r="155675" customFormat="1" x14ac:dyDescent="0.25"/>
    <row r="155676" customFormat="1" x14ac:dyDescent="0.25"/>
    <row r="155677" customFormat="1" x14ac:dyDescent="0.25"/>
    <row r="155678" customFormat="1" x14ac:dyDescent="0.25"/>
    <row r="155679" customFormat="1" x14ac:dyDescent="0.25"/>
    <row r="155680" customFormat="1" x14ac:dyDescent="0.25"/>
    <row r="155681" customFormat="1" x14ac:dyDescent="0.25"/>
    <row r="155682" customFormat="1" x14ac:dyDescent="0.25"/>
    <row r="155683" customFormat="1" x14ac:dyDescent="0.25"/>
    <row r="155684" customFormat="1" x14ac:dyDescent="0.25"/>
    <row r="155685" customFormat="1" x14ac:dyDescent="0.25"/>
    <row r="155686" customFormat="1" x14ac:dyDescent="0.25"/>
    <row r="155687" customFormat="1" x14ac:dyDescent="0.25"/>
    <row r="155688" customFormat="1" x14ac:dyDescent="0.25"/>
    <row r="155689" customFormat="1" x14ac:dyDescent="0.25"/>
    <row r="155690" customFormat="1" x14ac:dyDescent="0.25"/>
    <row r="155691" customFormat="1" x14ac:dyDescent="0.25"/>
    <row r="155692" customFormat="1" x14ac:dyDescent="0.25"/>
    <row r="155693" customFormat="1" x14ac:dyDescent="0.25"/>
    <row r="155694" customFormat="1" x14ac:dyDescent="0.25"/>
    <row r="155695" customFormat="1" x14ac:dyDescent="0.25"/>
    <row r="155696" customFormat="1" x14ac:dyDescent="0.25"/>
    <row r="155697" customFormat="1" x14ac:dyDescent="0.25"/>
    <row r="155698" customFormat="1" x14ac:dyDescent="0.25"/>
    <row r="155699" customFormat="1" x14ac:dyDescent="0.25"/>
    <row r="155700" customFormat="1" x14ac:dyDescent="0.25"/>
    <row r="155701" customFormat="1" x14ac:dyDescent="0.25"/>
    <row r="155702" customFormat="1" x14ac:dyDescent="0.25"/>
    <row r="155703" customFormat="1" x14ac:dyDescent="0.25"/>
    <row r="155704" customFormat="1" x14ac:dyDescent="0.25"/>
    <row r="155705" customFormat="1" x14ac:dyDescent="0.25"/>
    <row r="155706" customFormat="1" x14ac:dyDescent="0.25"/>
    <row r="155707" customFormat="1" x14ac:dyDescent="0.25"/>
    <row r="155708" customFormat="1" x14ac:dyDescent="0.25"/>
    <row r="155709" customFormat="1" x14ac:dyDescent="0.25"/>
    <row r="155710" customFormat="1" x14ac:dyDescent="0.25"/>
    <row r="155711" customFormat="1" x14ac:dyDescent="0.25"/>
    <row r="155712" customFormat="1" x14ac:dyDescent="0.25"/>
    <row r="155713" customFormat="1" x14ac:dyDescent="0.25"/>
    <row r="155714" customFormat="1" x14ac:dyDescent="0.25"/>
    <row r="155715" customFormat="1" x14ac:dyDescent="0.25"/>
    <row r="155716" customFormat="1" x14ac:dyDescent="0.25"/>
    <row r="155717" customFormat="1" x14ac:dyDescent="0.25"/>
    <row r="155718" customFormat="1" x14ac:dyDescent="0.25"/>
    <row r="155719" customFormat="1" x14ac:dyDescent="0.25"/>
    <row r="155720" customFormat="1" x14ac:dyDescent="0.25"/>
    <row r="155721" customFormat="1" x14ac:dyDescent="0.25"/>
    <row r="155722" customFormat="1" x14ac:dyDescent="0.25"/>
    <row r="155723" customFormat="1" x14ac:dyDescent="0.25"/>
    <row r="155724" customFormat="1" x14ac:dyDescent="0.25"/>
    <row r="155725" customFormat="1" x14ac:dyDescent="0.25"/>
    <row r="155726" customFormat="1" x14ac:dyDescent="0.25"/>
    <row r="155727" customFormat="1" x14ac:dyDescent="0.25"/>
    <row r="155728" customFormat="1" x14ac:dyDescent="0.25"/>
    <row r="155729" customFormat="1" x14ac:dyDescent="0.25"/>
    <row r="155730" customFormat="1" x14ac:dyDescent="0.25"/>
    <row r="155731" customFormat="1" x14ac:dyDescent="0.25"/>
    <row r="155732" customFormat="1" x14ac:dyDescent="0.25"/>
    <row r="155733" customFormat="1" x14ac:dyDescent="0.25"/>
    <row r="155734" customFormat="1" x14ac:dyDescent="0.25"/>
    <row r="155735" customFormat="1" x14ac:dyDescent="0.25"/>
    <row r="155736" customFormat="1" x14ac:dyDescent="0.25"/>
    <row r="155737" customFormat="1" x14ac:dyDescent="0.25"/>
    <row r="155738" customFormat="1" x14ac:dyDescent="0.25"/>
    <row r="155739" customFormat="1" x14ac:dyDescent="0.25"/>
    <row r="155740" customFormat="1" x14ac:dyDescent="0.25"/>
    <row r="155741" customFormat="1" x14ac:dyDescent="0.25"/>
    <row r="155742" customFormat="1" x14ac:dyDescent="0.25"/>
    <row r="155743" customFormat="1" x14ac:dyDescent="0.25"/>
    <row r="155744" customFormat="1" x14ac:dyDescent="0.25"/>
    <row r="155745" customFormat="1" x14ac:dyDescent="0.25"/>
    <row r="155746" customFormat="1" x14ac:dyDescent="0.25"/>
    <row r="155747" customFormat="1" x14ac:dyDescent="0.25"/>
    <row r="155748" customFormat="1" x14ac:dyDescent="0.25"/>
    <row r="155749" customFormat="1" x14ac:dyDescent="0.25"/>
    <row r="155750" customFormat="1" x14ac:dyDescent="0.25"/>
    <row r="155751" customFormat="1" x14ac:dyDescent="0.25"/>
    <row r="155752" customFormat="1" x14ac:dyDescent="0.25"/>
    <row r="155753" customFormat="1" x14ac:dyDescent="0.25"/>
    <row r="155754" customFormat="1" x14ac:dyDescent="0.25"/>
    <row r="155755" customFormat="1" x14ac:dyDescent="0.25"/>
    <row r="155756" customFormat="1" x14ac:dyDescent="0.25"/>
    <row r="155757" customFormat="1" x14ac:dyDescent="0.25"/>
    <row r="155758" customFormat="1" x14ac:dyDescent="0.25"/>
    <row r="155759" customFormat="1" x14ac:dyDescent="0.25"/>
    <row r="155760" customFormat="1" x14ac:dyDescent="0.25"/>
    <row r="155761" customFormat="1" x14ac:dyDescent="0.25"/>
    <row r="155762" customFormat="1" x14ac:dyDescent="0.25"/>
    <row r="155763" customFormat="1" x14ac:dyDescent="0.25"/>
    <row r="155764" customFormat="1" x14ac:dyDescent="0.25"/>
    <row r="155765" customFormat="1" x14ac:dyDescent="0.25"/>
    <row r="155766" customFormat="1" x14ac:dyDescent="0.25"/>
    <row r="155767" customFormat="1" x14ac:dyDescent="0.25"/>
    <row r="155768" customFormat="1" x14ac:dyDescent="0.25"/>
    <row r="155769" customFormat="1" x14ac:dyDescent="0.25"/>
    <row r="155770" customFormat="1" x14ac:dyDescent="0.25"/>
    <row r="155771" customFormat="1" x14ac:dyDescent="0.25"/>
    <row r="155772" customFormat="1" x14ac:dyDescent="0.25"/>
    <row r="155773" customFormat="1" x14ac:dyDescent="0.25"/>
    <row r="155774" customFormat="1" x14ac:dyDescent="0.25"/>
    <row r="155775" customFormat="1" x14ac:dyDescent="0.25"/>
    <row r="155776" customFormat="1" x14ac:dyDescent="0.25"/>
    <row r="155777" customFormat="1" x14ac:dyDescent="0.25"/>
    <row r="155778" customFormat="1" x14ac:dyDescent="0.25"/>
    <row r="155779" customFormat="1" x14ac:dyDescent="0.25"/>
    <row r="155780" customFormat="1" x14ac:dyDescent="0.25"/>
    <row r="155781" customFormat="1" x14ac:dyDescent="0.25"/>
    <row r="155782" customFormat="1" x14ac:dyDescent="0.25"/>
    <row r="155783" customFormat="1" x14ac:dyDescent="0.25"/>
    <row r="155784" customFormat="1" x14ac:dyDescent="0.25"/>
    <row r="155785" customFormat="1" x14ac:dyDescent="0.25"/>
    <row r="155786" customFormat="1" x14ac:dyDescent="0.25"/>
    <row r="155787" customFormat="1" x14ac:dyDescent="0.25"/>
    <row r="155788" customFormat="1" x14ac:dyDescent="0.25"/>
    <row r="155789" customFormat="1" x14ac:dyDescent="0.25"/>
    <row r="155790" customFormat="1" x14ac:dyDescent="0.25"/>
    <row r="155791" customFormat="1" x14ac:dyDescent="0.25"/>
    <row r="155792" customFormat="1" x14ac:dyDescent="0.25"/>
    <row r="155793" customFormat="1" x14ac:dyDescent="0.25"/>
    <row r="155794" customFormat="1" x14ac:dyDescent="0.25"/>
    <row r="155795" customFormat="1" x14ac:dyDescent="0.25"/>
    <row r="155796" customFormat="1" x14ac:dyDescent="0.25"/>
    <row r="155797" customFormat="1" x14ac:dyDescent="0.25"/>
    <row r="155798" customFormat="1" x14ac:dyDescent="0.25"/>
    <row r="155799" customFormat="1" x14ac:dyDescent="0.25"/>
    <row r="155800" customFormat="1" x14ac:dyDescent="0.25"/>
    <row r="155801" customFormat="1" x14ac:dyDescent="0.25"/>
    <row r="155802" customFormat="1" x14ac:dyDescent="0.25"/>
    <row r="155803" customFormat="1" x14ac:dyDescent="0.25"/>
    <row r="155804" customFormat="1" x14ac:dyDescent="0.25"/>
    <row r="155805" customFormat="1" x14ac:dyDescent="0.25"/>
    <row r="155806" customFormat="1" x14ac:dyDescent="0.25"/>
    <row r="155807" customFormat="1" x14ac:dyDescent="0.25"/>
    <row r="155808" customFormat="1" x14ac:dyDescent="0.25"/>
    <row r="155809" customFormat="1" x14ac:dyDescent="0.25"/>
    <row r="155810" customFormat="1" x14ac:dyDescent="0.25"/>
    <row r="155811" customFormat="1" x14ac:dyDescent="0.25"/>
    <row r="155812" customFormat="1" x14ac:dyDescent="0.25"/>
    <row r="155813" customFormat="1" x14ac:dyDescent="0.25"/>
    <row r="155814" customFormat="1" x14ac:dyDescent="0.25"/>
    <row r="155815" customFormat="1" x14ac:dyDescent="0.25"/>
    <row r="155816" customFormat="1" x14ac:dyDescent="0.25"/>
    <row r="155817" customFormat="1" x14ac:dyDescent="0.25"/>
    <row r="155818" customFormat="1" x14ac:dyDescent="0.25"/>
    <row r="155819" customFormat="1" x14ac:dyDescent="0.25"/>
    <row r="155820" customFormat="1" x14ac:dyDescent="0.25"/>
    <row r="155821" customFormat="1" x14ac:dyDescent="0.25"/>
    <row r="155822" customFormat="1" x14ac:dyDescent="0.25"/>
    <row r="155823" customFormat="1" x14ac:dyDescent="0.25"/>
    <row r="155824" customFormat="1" x14ac:dyDescent="0.25"/>
    <row r="155825" customFormat="1" x14ac:dyDescent="0.25"/>
    <row r="155826" customFormat="1" x14ac:dyDescent="0.25"/>
    <row r="155827" customFormat="1" x14ac:dyDescent="0.25"/>
    <row r="155828" customFormat="1" x14ac:dyDescent="0.25"/>
    <row r="155829" customFormat="1" x14ac:dyDescent="0.25"/>
    <row r="155830" customFormat="1" x14ac:dyDescent="0.25"/>
    <row r="155831" customFormat="1" x14ac:dyDescent="0.25"/>
    <row r="155832" customFormat="1" x14ac:dyDescent="0.25"/>
    <row r="155833" customFormat="1" x14ac:dyDescent="0.25"/>
    <row r="155834" customFormat="1" x14ac:dyDescent="0.25"/>
    <row r="155835" customFormat="1" x14ac:dyDescent="0.25"/>
    <row r="155836" customFormat="1" x14ac:dyDescent="0.25"/>
    <row r="155837" customFormat="1" x14ac:dyDescent="0.25"/>
    <row r="155838" customFormat="1" x14ac:dyDescent="0.25"/>
    <row r="155839" customFormat="1" x14ac:dyDescent="0.25"/>
    <row r="155840" customFormat="1" x14ac:dyDescent="0.25"/>
    <row r="155841" customFormat="1" x14ac:dyDescent="0.25"/>
    <row r="155842" customFormat="1" x14ac:dyDescent="0.25"/>
    <row r="155843" customFormat="1" x14ac:dyDescent="0.25"/>
    <row r="155844" customFormat="1" x14ac:dyDescent="0.25"/>
    <row r="155845" customFormat="1" x14ac:dyDescent="0.25"/>
    <row r="155846" customFormat="1" x14ac:dyDescent="0.25"/>
    <row r="155847" customFormat="1" x14ac:dyDescent="0.25"/>
    <row r="155848" customFormat="1" x14ac:dyDescent="0.25"/>
    <row r="155849" customFormat="1" x14ac:dyDescent="0.25"/>
    <row r="155850" customFormat="1" x14ac:dyDescent="0.25"/>
    <row r="155851" customFormat="1" x14ac:dyDescent="0.25"/>
    <row r="155852" customFormat="1" x14ac:dyDescent="0.25"/>
    <row r="155853" customFormat="1" x14ac:dyDescent="0.25"/>
    <row r="155854" customFormat="1" x14ac:dyDescent="0.25"/>
    <row r="155855" customFormat="1" x14ac:dyDescent="0.25"/>
    <row r="155856" customFormat="1" x14ac:dyDescent="0.25"/>
    <row r="155857" customFormat="1" x14ac:dyDescent="0.25"/>
    <row r="155858" customFormat="1" x14ac:dyDescent="0.25"/>
    <row r="155859" customFormat="1" x14ac:dyDescent="0.25"/>
    <row r="155860" customFormat="1" x14ac:dyDescent="0.25"/>
    <row r="155861" customFormat="1" x14ac:dyDescent="0.25"/>
    <row r="155862" customFormat="1" x14ac:dyDescent="0.25"/>
    <row r="155863" customFormat="1" x14ac:dyDescent="0.25"/>
    <row r="155864" customFormat="1" x14ac:dyDescent="0.25"/>
    <row r="155865" customFormat="1" x14ac:dyDescent="0.25"/>
    <row r="155866" customFormat="1" x14ac:dyDescent="0.25"/>
    <row r="155867" customFormat="1" x14ac:dyDescent="0.25"/>
    <row r="155868" customFormat="1" x14ac:dyDescent="0.25"/>
    <row r="155869" customFormat="1" x14ac:dyDescent="0.25"/>
    <row r="155870" customFormat="1" x14ac:dyDescent="0.25"/>
    <row r="155871" customFormat="1" x14ac:dyDescent="0.25"/>
    <row r="155872" customFormat="1" x14ac:dyDescent="0.25"/>
    <row r="155873" customFormat="1" x14ac:dyDescent="0.25"/>
    <row r="155874" customFormat="1" x14ac:dyDescent="0.25"/>
    <row r="155875" customFormat="1" x14ac:dyDescent="0.25"/>
    <row r="155876" customFormat="1" x14ac:dyDescent="0.25"/>
    <row r="155877" customFormat="1" x14ac:dyDescent="0.25"/>
    <row r="155878" customFormat="1" x14ac:dyDescent="0.25"/>
    <row r="155879" customFormat="1" x14ac:dyDescent="0.25"/>
    <row r="155880" customFormat="1" x14ac:dyDescent="0.25"/>
    <row r="155881" customFormat="1" x14ac:dyDescent="0.25"/>
    <row r="155882" customFormat="1" x14ac:dyDescent="0.25"/>
    <row r="155883" customFormat="1" x14ac:dyDescent="0.25"/>
    <row r="155884" customFormat="1" x14ac:dyDescent="0.25"/>
    <row r="155885" customFormat="1" x14ac:dyDescent="0.25"/>
    <row r="155886" customFormat="1" x14ac:dyDescent="0.25"/>
    <row r="155887" customFormat="1" x14ac:dyDescent="0.25"/>
    <row r="155888" customFormat="1" x14ac:dyDescent="0.25"/>
    <row r="155889" customFormat="1" x14ac:dyDescent="0.25"/>
    <row r="155890" customFormat="1" x14ac:dyDescent="0.25"/>
    <row r="155891" customFormat="1" x14ac:dyDescent="0.25"/>
    <row r="155892" customFormat="1" x14ac:dyDescent="0.25"/>
    <row r="155893" customFormat="1" x14ac:dyDescent="0.25"/>
    <row r="155894" customFormat="1" x14ac:dyDescent="0.25"/>
    <row r="155895" customFormat="1" x14ac:dyDescent="0.25"/>
    <row r="155896" customFormat="1" x14ac:dyDescent="0.25"/>
    <row r="155897" customFormat="1" x14ac:dyDescent="0.25"/>
    <row r="155898" customFormat="1" x14ac:dyDescent="0.25"/>
    <row r="155899" customFormat="1" x14ac:dyDescent="0.25"/>
    <row r="155900" customFormat="1" x14ac:dyDescent="0.25"/>
    <row r="155901" customFormat="1" x14ac:dyDescent="0.25"/>
    <row r="155902" customFormat="1" x14ac:dyDescent="0.25"/>
    <row r="155903" customFormat="1" x14ac:dyDescent="0.25"/>
    <row r="155904" customFormat="1" x14ac:dyDescent="0.25"/>
    <row r="155905" customFormat="1" x14ac:dyDescent="0.25"/>
    <row r="155906" customFormat="1" x14ac:dyDescent="0.25"/>
    <row r="155907" customFormat="1" x14ac:dyDescent="0.25"/>
    <row r="155908" customFormat="1" x14ac:dyDescent="0.25"/>
    <row r="155909" customFormat="1" x14ac:dyDescent="0.25"/>
    <row r="155910" customFormat="1" x14ac:dyDescent="0.25"/>
    <row r="155911" customFormat="1" x14ac:dyDescent="0.25"/>
    <row r="155912" customFormat="1" x14ac:dyDescent="0.25"/>
    <row r="155913" customFormat="1" x14ac:dyDescent="0.25"/>
    <row r="155914" customFormat="1" x14ac:dyDescent="0.25"/>
    <row r="155915" customFormat="1" x14ac:dyDescent="0.25"/>
    <row r="155916" customFormat="1" x14ac:dyDescent="0.25"/>
    <row r="155917" customFormat="1" x14ac:dyDescent="0.25"/>
    <row r="155918" customFormat="1" x14ac:dyDescent="0.25"/>
    <row r="155919" customFormat="1" x14ac:dyDescent="0.25"/>
    <row r="155920" customFormat="1" x14ac:dyDescent="0.25"/>
    <row r="155921" customFormat="1" x14ac:dyDescent="0.25"/>
    <row r="155922" customFormat="1" x14ac:dyDescent="0.25"/>
    <row r="155923" customFormat="1" x14ac:dyDescent="0.25"/>
    <row r="155924" customFormat="1" x14ac:dyDescent="0.25"/>
    <row r="155925" customFormat="1" x14ac:dyDescent="0.25"/>
    <row r="155926" customFormat="1" x14ac:dyDescent="0.25"/>
    <row r="155927" customFormat="1" x14ac:dyDescent="0.25"/>
    <row r="155928" customFormat="1" x14ac:dyDescent="0.25"/>
    <row r="155929" customFormat="1" x14ac:dyDescent="0.25"/>
    <row r="155930" customFormat="1" x14ac:dyDescent="0.25"/>
    <row r="155931" customFormat="1" x14ac:dyDescent="0.25"/>
    <row r="155932" customFormat="1" x14ac:dyDescent="0.25"/>
    <row r="155933" customFormat="1" x14ac:dyDescent="0.25"/>
    <row r="155934" customFormat="1" x14ac:dyDescent="0.25"/>
    <row r="155935" customFormat="1" x14ac:dyDescent="0.25"/>
    <row r="155936" customFormat="1" x14ac:dyDescent="0.25"/>
    <row r="155937" customFormat="1" x14ac:dyDescent="0.25"/>
    <row r="155938" customFormat="1" x14ac:dyDescent="0.25"/>
    <row r="155939" customFormat="1" x14ac:dyDescent="0.25"/>
    <row r="155940" customFormat="1" x14ac:dyDescent="0.25"/>
    <row r="155941" customFormat="1" x14ac:dyDescent="0.25"/>
    <row r="155942" customFormat="1" x14ac:dyDescent="0.25"/>
    <row r="155943" customFormat="1" x14ac:dyDescent="0.25"/>
    <row r="155944" customFormat="1" x14ac:dyDescent="0.25"/>
    <row r="155945" customFormat="1" x14ac:dyDescent="0.25"/>
    <row r="155946" customFormat="1" x14ac:dyDescent="0.25"/>
    <row r="155947" customFormat="1" x14ac:dyDescent="0.25"/>
    <row r="155948" customFormat="1" x14ac:dyDescent="0.25"/>
    <row r="155949" customFormat="1" x14ac:dyDescent="0.25"/>
    <row r="155950" customFormat="1" x14ac:dyDescent="0.25"/>
    <row r="155951" customFormat="1" x14ac:dyDescent="0.25"/>
    <row r="155952" customFormat="1" x14ac:dyDescent="0.25"/>
    <row r="155953" customFormat="1" x14ac:dyDescent="0.25"/>
    <row r="155954" customFormat="1" x14ac:dyDescent="0.25"/>
    <row r="155955" customFormat="1" x14ac:dyDescent="0.25"/>
    <row r="155956" customFormat="1" x14ac:dyDescent="0.25"/>
    <row r="155957" customFormat="1" x14ac:dyDescent="0.25"/>
    <row r="155958" customFormat="1" x14ac:dyDescent="0.25"/>
    <row r="155959" customFormat="1" x14ac:dyDescent="0.25"/>
    <row r="155960" customFormat="1" x14ac:dyDescent="0.25"/>
    <row r="155961" customFormat="1" x14ac:dyDescent="0.25"/>
    <row r="155962" customFormat="1" x14ac:dyDescent="0.25"/>
    <row r="155963" customFormat="1" x14ac:dyDescent="0.25"/>
    <row r="155964" customFormat="1" x14ac:dyDescent="0.25"/>
    <row r="155965" customFormat="1" x14ac:dyDescent="0.25"/>
    <row r="155966" customFormat="1" x14ac:dyDescent="0.25"/>
    <row r="155967" customFormat="1" x14ac:dyDescent="0.25"/>
    <row r="155968" customFormat="1" x14ac:dyDescent="0.25"/>
    <row r="155969" customFormat="1" x14ac:dyDescent="0.25"/>
    <row r="155970" customFormat="1" x14ac:dyDescent="0.25"/>
    <row r="155971" customFormat="1" x14ac:dyDescent="0.25"/>
    <row r="155972" customFormat="1" x14ac:dyDescent="0.25"/>
    <row r="155973" customFormat="1" x14ac:dyDescent="0.25"/>
    <row r="155974" customFormat="1" x14ac:dyDescent="0.25"/>
    <row r="155975" customFormat="1" x14ac:dyDescent="0.25"/>
    <row r="155976" customFormat="1" x14ac:dyDescent="0.25"/>
    <row r="155977" customFormat="1" x14ac:dyDescent="0.25"/>
    <row r="155978" customFormat="1" x14ac:dyDescent="0.25"/>
    <row r="155979" customFormat="1" x14ac:dyDescent="0.25"/>
    <row r="155980" customFormat="1" x14ac:dyDescent="0.25"/>
    <row r="155981" customFormat="1" x14ac:dyDescent="0.25"/>
    <row r="155982" customFormat="1" x14ac:dyDescent="0.25"/>
    <row r="155983" customFormat="1" x14ac:dyDescent="0.25"/>
    <row r="155984" customFormat="1" x14ac:dyDescent="0.25"/>
    <row r="155985" customFormat="1" x14ac:dyDescent="0.25"/>
    <row r="155986" customFormat="1" x14ac:dyDescent="0.25"/>
    <row r="155987" customFormat="1" x14ac:dyDescent="0.25"/>
    <row r="155988" customFormat="1" x14ac:dyDescent="0.25"/>
    <row r="155989" customFormat="1" x14ac:dyDescent="0.25"/>
    <row r="155990" customFormat="1" x14ac:dyDescent="0.25"/>
    <row r="155991" customFormat="1" x14ac:dyDescent="0.25"/>
    <row r="155992" customFormat="1" x14ac:dyDescent="0.25"/>
    <row r="155993" customFormat="1" x14ac:dyDescent="0.25"/>
    <row r="155994" customFormat="1" x14ac:dyDescent="0.25"/>
    <row r="155995" customFormat="1" x14ac:dyDescent="0.25"/>
    <row r="155996" customFormat="1" x14ac:dyDescent="0.25"/>
    <row r="155997" customFormat="1" x14ac:dyDescent="0.25"/>
    <row r="155998" customFormat="1" x14ac:dyDescent="0.25"/>
    <row r="155999" customFormat="1" x14ac:dyDescent="0.25"/>
    <row r="156000" customFormat="1" x14ac:dyDescent="0.25"/>
    <row r="156001" customFormat="1" x14ac:dyDescent="0.25"/>
    <row r="156002" customFormat="1" x14ac:dyDescent="0.25"/>
    <row r="156003" customFormat="1" x14ac:dyDescent="0.25"/>
    <row r="156004" customFormat="1" x14ac:dyDescent="0.25"/>
    <row r="156005" customFormat="1" x14ac:dyDescent="0.25"/>
    <row r="156006" customFormat="1" x14ac:dyDescent="0.25"/>
    <row r="156007" customFormat="1" x14ac:dyDescent="0.25"/>
    <row r="156008" customFormat="1" x14ac:dyDescent="0.25"/>
    <row r="156009" customFormat="1" x14ac:dyDescent="0.25"/>
    <row r="156010" customFormat="1" x14ac:dyDescent="0.25"/>
    <row r="156011" customFormat="1" x14ac:dyDescent="0.25"/>
    <row r="156012" customFormat="1" x14ac:dyDescent="0.25"/>
    <row r="156013" customFormat="1" x14ac:dyDescent="0.25"/>
    <row r="156014" customFormat="1" x14ac:dyDescent="0.25"/>
    <row r="156015" customFormat="1" x14ac:dyDescent="0.25"/>
    <row r="156016" customFormat="1" x14ac:dyDescent="0.25"/>
    <row r="156017" customFormat="1" x14ac:dyDescent="0.25"/>
    <row r="156018" customFormat="1" x14ac:dyDescent="0.25"/>
    <row r="156019" customFormat="1" x14ac:dyDescent="0.25"/>
    <row r="156020" customFormat="1" x14ac:dyDescent="0.25"/>
    <row r="156021" customFormat="1" x14ac:dyDescent="0.25"/>
    <row r="156022" customFormat="1" x14ac:dyDescent="0.25"/>
    <row r="156023" customFormat="1" x14ac:dyDescent="0.25"/>
    <row r="156024" customFormat="1" x14ac:dyDescent="0.25"/>
    <row r="156025" customFormat="1" x14ac:dyDescent="0.25"/>
    <row r="156026" customFormat="1" x14ac:dyDescent="0.25"/>
    <row r="156027" customFormat="1" x14ac:dyDescent="0.25"/>
    <row r="156028" customFormat="1" x14ac:dyDescent="0.25"/>
    <row r="156029" customFormat="1" x14ac:dyDescent="0.25"/>
    <row r="156030" customFormat="1" x14ac:dyDescent="0.25"/>
    <row r="156031" customFormat="1" x14ac:dyDescent="0.25"/>
    <row r="156032" customFormat="1" x14ac:dyDescent="0.25"/>
    <row r="156033" customFormat="1" x14ac:dyDescent="0.25"/>
    <row r="156034" customFormat="1" x14ac:dyDescent="0.25"/>
    <row r="156035" customFormat="1" x14ac:dyDescent="0.25"/>
    <row r="156036" customFormat="1" x14ac:dyDescent="0.25"/>
    <row r="156037" customFormat="1" x14ac:dyDescent="0.25"/>
    <row r="156038" customFormat="1" x14ac:dyDescent="0.25"/>
    <row r="156039" customFormat="1" x14ac:dyDescent="0.25"/>
    <row r="156040" customFormat="1" x14ac:dyDescent="0.25"/>
    <row r="156041" customFormat="1" x14ac:dyDescent="0.25"/>
    <row r="156042" customFormat="1" x14ac:dyDescent="0.25"/>
    <row r="156043" customFormat="1" x14ac:dyDescent="0.25"/>
    <row r="156044" customFormat="1" x14ac:dyDescent="0.25"/>
    <row r="156045" customFormat="1" x14ac:dyDescent="0.25"/>
    <row r="156046" customFormat="1" x14ac:dyDescent="0.25"/>
    <row r="156047" customFormat="1" x14ac:dyDescent="0.25"/>
    <row r="156048" customFormat="1" x14ac:dyDescent="0.25"/>
    <row r="156049" customFormat="1" x14ac:dyDescent="0.25"/>
    <row r="156050" customFormat="1" x14ac:dyDescent="0.25"/>
    <row r="156051" customFormat="1" x14ac:dyDescent="0.25"/>
    <row r="156052" customFormat="1" x14ac:dyDescent="0.25"/>
    <row r="156053" customFormat="1" x14ac:dyDescent="0.25"/>
    <row r="156054" customFormat="1" x14ac:dyDescent="0.25"/>
    <row r="156055" customFormat="1" x14ac:dyDescent="0.25"/>
    <row r="156056" customFormat="1" x14ac:dyDescent="0.25"/>
    <row r="156057" customFormat="1" x14ac:dyDescent="0.25"/>
    <row r="156058" customFormat="1" x14ac:dyDescent="0.25"/>
    <row r="156059" customFormat="1" x14ac:dyDescent="0.25"/>
    <row r="156060" customFormat="1" x14ac:dyDescent="0.25"/>
    <row r="156061" customFormat="1" x14ac:dyDescent="0.25"/>
    <row r="156062" customFormat="1" x14ac:dyDescent="0.25"/>
    <row r="156063" customFormat="1" x14ac:dyDescent="0.25"/>
    <row r="156064" customFormat="1" x14ac:dyDescent="0.25"/>
    <row r="156065" customFormat="1" x14ac:dyDescent="0.25"/>
    <row r="156066" customFormat="1" x14ac:dyDescent="0.25"/>
    <row r="156067" customFormat="1" x14ac:dyDescent="0.25"/>
    <row r="156068" customFormat="1" x14ac:dyDescent="0.25"/>
    <row r="156069" customFormat="1" x14ac:dyDescent="0.25"/>
    <row r="156070" customFormat="1" x14ac:dyDescent="0.25"/>
    <row r="156071" customFormat="1" x14ac:dyDescent="0.25"/>
    <row r="156072" customFormat="1" x14ac:dyDescent="0.25"/>
    <row r="156073" customFormat="1" x14ac:dyDescent="0.25"/>
    <row r="156074" customFormat="1" x14ac:dyDescent="0.25"/>
    <row r="156075" customFormat="1" x14ac:dyDescent="0.25"/>
    <row r="156076" customFormat="1" x14ac:dyDescent="0.25"/>
    <row r="156077" customFormat="1" x14ac:dyDescent="0.25"/>
    <row r="156078" customFormat="1" x14ac:dyDescent="0.25"/>
    <row r="156079" customFormat="1" x14ac:dyDescent="0.25"/>
    <row r="156080" customFormat="1" x14ac:dyDescent="0.25"/>
    <row r="156081" customFormat="1" x14ac:dyDescent="0.25"/>
    <row r="156082" customFormat="1" x14ac:dyDescent="0.25"/>
    <row r="156083" customFormat="1" x14ac:dyDescent="0.25"/>
    <row r="156084" customFormat="1" x14ac:dyDescent="0.25"/>
    <row r="156085" customFormat="1" x14ac:dyDescent="0.25"/>
    <row r="156086" customFormat="1" x14ac:dyDescent="0.25"/>
    <row r="156087" customFormat="1" x14ac:dyDescent="0.25"/>
    <row r="156088" customFormat="1" x14ac:dyDescent="0.25"/>
    <row r="156089" customFormat="1" x14ac:dyDescent="0.25"/>
    <row r="156090" customFormat="1" x14ac:dyDescent="0.25"/>
    <row r="156091" customFormat="1" x14ac:dyDescent="0.25"/>
    <row r="156092" customFormat="1" x14ac:dyDescent="0.25"/>
    <row r="156093" customFormat="1" x14ac:dyDescent="0.25"/>
    <row r="156094" customFormat="1" x14ac:dyDescent="0.25"/>
    <row r="156095" customFormat="1" x14ac:dyDescent="0.25"/>
    <row r="156096" customFormat="1" x14ac:dyDescent="0.25"/>
    <row r="156097" customFormat="1" x14ac:dyDescent="0.25"/>
    <row r="156098" customFormat="1" x14ac:dyDescent="0.25"/>
    <row r="156099" customFormat="1" x14ac:dyDescent="0.25"/>
    <row r="156100" customFormat="1" x14ac:dyDescent="0.25"/>
    <row r="156101" customFormat="1" x14ac:dyDescent="0.25"/>
    <row r="156102" customFormat="1" x14ac:dyDescent="0.25"/>
    <row r="156103" customFormat="1" x14ac:dyDescent="0.25"/>
    <row r="156104" customFormat="1" x14ac:dyDescent="0.25"/>
    <row r="156105" customFormat="1" x14ac:dyDescent="0.25"/>
    <row r="156106" customFormat="1" x14ac:dyDescent="0.25"/>
    <row r="156107" customFormat="1" x14ac:dyDescent="0.25"/>
    <row r="156108" customFormat="1" x14ac:dyDescent="0.25"/>
    <row r="156109" customFormat="1" x14ac:dyDescent="0.25"/>
    <row r="156110" customFormat="1" x14ac:dyDescent="0.25"/>
    <row r="156111" customFormat="1" x14ac:dyDescent="0.25"/>
    <row r="156112" customFormat="1" x14ac:dyDescent="0.25"/>
    <row r="156113" customFormat="1" x14ac:dyDescent="0.25"/>
    <row r="156114" customFormat="1" x14ac:dyDescent="0.25"/>
    <row r="156115" customFormat="1" x14ac:dyDescent="0.25"/>
    <row r="156116" customFormat="1" x14ac:dyDescent="0.25"/>
    <row r="156117" customFormat="1" x14ac:dyDescent="0.25"/>
    <row r="156118" customFormat="1" x14ac:dyDescent="0.25"/>
    <row r="156119" customFormat="1" x14ac:dyDescent="0.25"/>
    <row r="156120" customFormat="1" x14ac:dyDescent="0.25"/>
    <row r="156121" customFormat="1" x14ac:dyDescent="0.25"/>
    <row r="156122" customFormat="1" x14ac:dyDescent="0.25"/>
    <row r="156123" customFormat="1" x14ac:dyDescent="0.25"/>
    <row r="156124" customFormat="1" x14ac:dyDescent="0.25"/>
    <row r="156125" customFormat="1" x14ac:dyDescent="0.25"/>
    <row r="156126" customFormat="1" x14ac:dyDescent="0.25"/>
    <row r="156127" customFormat="1" x14ac:dyDescent="0.25"/>
    <row r="156128" customFormat="1" x14ac:dyDescent="0.25"/>
    <row r="156129" customFormat="1" x14ac:dyDescent="0.25"/>
    <row r="156130" customFormat="1" x14ac:dyDescent="0.25"/>
    <row r="156131" customFormat="1" x14ac:dyDescent="0.25"/>
    <row r="156132" customFormat="1" x14ac:dyDescent="0.25"/>
    <row r="156133" customFormat="1" x14ac:dyDescent="0.25"/>
    <row r="156134" customFormat="1" x14ac:dyDescent="0.25"/>
    <row r="156135" customFormat="1" x14ac:dyDescent="0.25"/>
    <row r="156136" customFormat="1" x14ac:dyDescent="0.25"/>
    <row r="156137" customFormat="1" x14ac:dyDescent="0.25"/>
    <row r="156138" customFormat="1" x14ac:dyDescent="0.25"/>
    <row r="156139" customFormat="1" x14ac:dyDescent="0.25"/>
    <row r="156140" customFormat="1" x14ac:dyDescent="0.25"/>
    <row r="156141" customFormat="1" x14ac:dyDescent="0.25"/>
    <row r="156142" customFormat="1" x14ac:dyDescent="0.25"/>
    <row r="156143" customFormat="1" x14ac:dyDescent="0.25"/>
    <row r="156144" customFormat="1" x14ac:dyDescent="0.25"/>
    <row r="156145" customFormat="1" x14ac:dyDescent="0.25"/>
    <row r="156146" customFormat="1" x14ac:dyDescent="0.25"/>
    <row r="156147" customFormat="1" x14ac:dyDescent="0.25"/>
    <row r="156148" customFormat="1" x14ac:dyDescent="0.25"/>
    <row r="156149" customFormat="1" x14ac:dyDescent="0.25"/>
    <row r="156150" customFormat="1" x14ac:dyDescent="0.25"/>
    <row r="156151" customFormat="1" x14ac:dyDescent="0.25"/>
    <row r="156152" customFormat="1" x14ac:dyDescent="0.25"/>
    <row r="156153" customFormat="1" x14ac:dyDescent="0.25"/>
    <row r="156154" customFormat="1" x14ac:dyDescent="0.25"/>
    <row r="156155" customFormat="1" x14ac:dyDescent="0.25"/>
    <row r="156156" customFormat="1" x14ac:dyDescent="0.25"/>
    <row r="156157" customFormat="1" x14ac:dyDescent="0.25"/>
    <row r="156158" customFormat="1" x14ac:dyDescent="0.25"/>
    <row r="156159" customFormat="1" x14ac:dyDescent="0.25"/>
    <row r="156160" customFormat="1" x14ac:dyDescent="0.25"/>
    <row r="156161" customFormat="1" x14ac:dyDescent="0.25"/>
    <row r="156162" customFormat="1" x14ac:dyDescent="0.25"/>
    <row r="156163" customFormat="1" x14ac:dyDescent="0.25"/>
    <row r="156164" customFormat="1" x14ac:dyDescent="0.25"/>
    <row r="156165" customFormat="1" x14ac:dyDescent="0.25"/>
    <row r="156166" customFormat="1" x14ac:dyDescent="0.25"/>
    <row r="156167" customFormat="1" x14ac:dyDescent="0.25"/>
    <row r="156168" customFormat="1" x14ac:dyDescent="0.25"/>
    <row r="156169" customFormat="1" x14ac:dyDescent="0.25"/>
    <row r="156170" customFormat="1" x14ac:dyDescent="0.25"/>
    <row r="156171" customFormat="1" x14ac:dyDescent="0.25"/>
    <row r="156172" customFormat="1" x14ac:dyDescent="0.25"/>
    <row r="156173" customFormat="1" x14ac:dyDescent="0.25"/>
    <row r="156174" customFormat="1" x14ac:dyDescent="0.25"/>
    <row r="156175" customFormat="1" x14ac:dyDescent="0.25"/>
    <row r="156176" customFormat="1" x14ac:dyDescent="0.25"/>
    <row r="156177" customFormat="1" x14ac:dyDescent="0.25"/>
    <row r="156178" customFormat="1" x14ac:dyDescent="0.25"/>
    <row r="156179" customFormat="1" x14ac:dyDescent="0.25"/>
    <row r="156180" customFormat="1" x14ac:dyDescent="0.25"/>
    <row r="156181" customFormat="1" x14ac:dyDescent="0.25"/>
    <row r="156182" customFormat="1" x14ac:dyDescent="0.25"/>
    <row r="156183" customFormat="1" x14ac:dyDescent="0.25"/>
    <row r="156184" customFormat="1" x14ac:dyDescent="0.25"/>
    <row r="156185" customFormat="1" x14ac:dyDescent="0.25"/>
    <row r="156186" customFormat="1" x14ac:dyDescent="0.25"/>
    <row r="156187" customFormat="1" x14ac:dyDescent="0.25"/>
    <row r="156188" customFormat="1" x14ac:dyDescent="0.25"/>
    <row r="156189" customFormat="1" x14ac:dyDescent="0.25"/>
    <row r="156190" customFormat="1" x14ac:dyDescent="0.25"/>
    <row r="156191" customFormat="1" x14ac:dyDescent="0.25"/>
    <row r="156192" customFormat="1" x14ac:dyDescent="0.25"/>
    <row r="156193" customFormat="1" x14ac:dyDescent="0.25"/>
    <row r="156194" customFormat="1" x14ac:dyDescent="0.25"/>
    <row r="156195" customFormat="1" x14ac:dyDescent="0.25"/>
    <row r="156196" customFormat="1" x14ac:dyDescent="0.25"/>
    <row r="156197" customFormat="1" x14ac:dyDescent="0.25"/>
    <row r="156198" customFormat="1" x14ac:dyDescent="0.25"/>
    <row r="156199" customFormat="1" x14ac:dyDescent="0.25"/>
    <row r="156200" customFormat="1" x14ac:dyDescent="0.25"/>
    <row r="156201" customFormat="1" x14ac:dyDescent="0.25"/>
    <row r="156202" customFormat="1" x14ac:dyDescent="0.25"/>
    <row r="156203" customFormat="1" x14ac:dyDescent="0.25"/>
    <row r="156204" customFormat="1" x14ac:dyDescent="0.25"/>
    <row r="156205" customFormat="1" x14ac:dyDescent="0.25"/>
    <row r="156206" customFormat="1" x14ac:dyDescent="0.25"/>
    <row r="156207" customFormat="1" x14ac:dyDescent="0.25"/>
    <row r="156208" customFormat="1" x14ac:dyDescent="0.25"/>
    <row r="156209" customFormat="1" x14ac:dyDescent="0.25"/>
    <row r="156210" customFormat="1" x14ac:dyDescent="0.25"/>
    <row r="156211" customFormat="1" x14ac:dyDescent="0.25"/>
    <row r="156212" customFormat="1" x14ac:dyDescent="0.25"/>
    <row r="156213" customFormat="1" x14ac:dyDescent="0.25"/>
    <row r="156214" customFormat="1" x14ac:dyDescent="0.25"/>
    <row r="156215" customFormat="1" x14ac:dyDescent="0.25"/>
    <row r="156216" customFormat="1" x14ac:dyDescent="0.25"/>
    <row r="156217" customFormat="1" x14ac:dyDescent="0.25"/>
    <row r="156218" customFormat="1" x14ac:dyDescent="0.25"/>
    <row r="156219" customFormat="1" x14ac:dyDescent="0.25"/>
    <row r="156220" customFormat="1" x14ac:dyDescent="0.25"/>
    <row r="156221" customFormat="1" x14ac:dyDescent="0.25"/>
    <row r="156222" customFormat="1" x14ac:dyDescent="0.25"/>
    <row r="156223" customFormat="1" x14ac:dyDescent="0.25"/>
    <row r="156224" customFormat="1" x14ac:dyDescent="0.25"/>
    <row r="156225" customFormat="1" x14ac:dyDescent="0.25"/>
    <row r="156226" customFormat="1" x14ac:dyDescent="0.25"/>
    <row r="156227" customFormat="1" x14ac:dyDescent="0.25"/>
    <row r="156228" customFormat="1" x14ac:dyDescent="0.25"/>
    <row r="156229" customFormat="1" x14ac:dyDescent="0.25"/>
    <row r="156230" customFormat="1" x14ac:dyDescent="0.25"/>
    <row r="156231" customFormat="1" x14ac:dyDescent="0.25"/>
    <row r="156232" customFormat="1" x14ac:dyDescent="0.25"/>
    <row r="156233" customFormat="1" x14ac:dyDescent="0.25"/>
    <row r="156234" customFormat="1" x14ac:dyDescent="0.25"/>
    <row r="156235" customFormat="1" x14ac:dyDescent="0.25"/>
    <row r="156236" customFormat="1" x14ac:dyDescent="0.25"/>
    <row r="156237" customFormat="1" x14ac:dyDescent="0.25"/>
    <row r="156238" customFormat="1" x14ac:dyDescent="0.25"/>
    <row r="156239" customFormat="1" x14ac:dyDescent="0.25"/>
    <row r="156240" customFormat="1" x14ac:dyDescent="0.25"/>
    <row r="156241" customFormat="1" x14ac:dyDescent="0.25"/>
    <row r="156242" customFormat="1" x14ac:dyDescent="0.25"/>
    <row r="156243" customFormat="1" x14ac:dyDescent="0.25"/>
    <row r="156244" customFormat="1" x14ac:dyDescent="0.25"/>
    <row r="156245" customFormat="1" x14ac:dyDescent="0.25"/>
    <row r="156246" customFormat="1" x14ac:dyDescent="0.25"/>
    <row r="156247" customFormat="1" x14ac:dyDescent="0.25"/>
    <row r="156248" customFormat="1" x14ac:dyDescent="0.25"/>
    <row r="156249" customFormat="1" x14ac:dyDescent="0.25"/>
    <row r="156250" customFormat="1" x14ac:dyDescent="0.25"/>
    <row r="156251" customFormat="1" x14ac:dyDescent="0.25"/>
    <row r="156252" customFormat="1" x14ac:dyDescent="0.25"/>
    <row r="156253" customFormat="1" x14ac:dyDescent="0.25"/>
    <row r="156254" customFormat="1" x14ac:dyDescent="0.25"/>
    <row r="156255" customFormat="1" x14ac:dyDescent="0.25"/>
    <row r="156256" customFormat="1" x14ac:dyDescent="0.25"/>
    <row r="156257" customFormat="1" x14ac:dyDescent="0.25"/>
    <row r="156258" customFormat="1" x14ac:dyDescent="0.25"/>
    <row r="156259" customFormat="1" x14ac:dyDescent="0.25"/>
    <row r="156260" customFormat="1" x14ac:dyDescent="0.25"/>
    <row r="156261" customFormat="1" x14ac:dyDescent="0.25"/>
    <row r="156262" customFormat="1" x14ac:dyDescent="0.25"/>
    <row r="156263" customFormat="1" x14ac:dyDescent="0.25"/>
    <row r="156264" customFormat="1" x14ac:dyDescent="0.25"/>
    <row r="156265" customFormat="1" x14ac:dyDescent="0.25"/>
    <row r="156266" customFormat="1" x14ac:dyDescent="0.25"/>
    <row r="156267" customFormat="1" x14ac:dyDescent="0.25"/>
    <row r="156268" customFormat="1" x14ac:dyDescent="0.25"/>
    <row r="156269" customFormat="1" x14ac:dyDescent="0.25"/>
    <row r="156270" customFormat="1" x14ac:dyDescent="0.25"/>
    <row r="156271" customFormat="1" x14ac:dyDescent="0.25"/>
    <row r="156272" customFormat="1" x14ac:dyDescent="0.25"/>
    <row r="156273" customFormat="1" x14ac:dyDescent="0.25"/>
    <row r="156274" customFormat="1" x14ac:dyDescent="0.25"/>
    <row r="156275" customFormat="1" x14ac:dyDescent="0.25"/>
    <row r="156276" customFormat="1" x14ac:dyDescent="0.25"/>
    <row r="156277" customFormat="1" x14ac:dyDescent="0.25"/>
    <row r="156278" customFormat="1" x14ac:dyDescent="0.25"/>
    <row r="156279" customFormat="1" x14ac:dyDescent="0.25"/>
    <row r="156280" customFormat="1" x14ac:dyDescent="0.25"/>
    <row r="156281" customFormat="1" x14ac:dyDescent="0.25"/>
    <row r="156282" customFormat="1" x14ac:dyDescent="0.25"/>
    <row r="156283" customFormat="1" x14ac:dyDescent="0.25"/>
    <row r="156284" customFormat="1" x14ac:dyDescent="0.25"/>
    <row r="156285" customFormat="1" x14ac:dyDescent="0.25"/>
    <row r="156286" customFormat="1" x14ac:dyDescent="0.25"/>
    <row r="156287" customFormat="1" x14ac:dyDescent="0.25"/>
    <row r="156288" customFormat="1" x14ac:dyDescent="0.25"/>
    <row r="156289" customFormat="1" x14ac:dyDescent="0.25"/>
    <row r="156290" customFormat="1" x14ac:dyDescent="0.25"/>
    <row r="156291" customFormat="1" x14ac:dyDescent="0.25"/>
    <row r="156292" customFormat="1" x14ac:dyDescent="0.25"/>
    <row r="156293" customFormat="1" x14ac:dyDescent="0.25"/>
    <row r="156294" customFormat="1" x14ac:dyDescent="0.25"/>
    <row r="156295" customFormat="1" x14ac:dyDescent="0.25"/>
    <row r="156296" customFormat="1" x14ac:dyDescent="0.25"/>
    <row r="156297" customFormat="1" x14ac:dyDescent="0.25"/>
    <row r="156298" customFormat="1" x14ac:dyDescent="0.25"/>
    <row r="156299" customFormat="1" x14ac:dyDescent="0.25"/>
    <row r="156300" customFormat="1" x14ac:dyDescent="0.25"/>
    <row r="156301" customFormat="1" x14ac:dyDescent="0.25"/>
    <row r="156302" customFormat="1" x14ac:dyDescent="0.25"/>
    <row r="156303" customFormat="1" x14ac:dyDescent="0.25"/>
    <row r="156304" customFormat="1" x14ac:dyDescent="0.25"/>
    <row r="156305" customFormat="1" x14ac:dyDescent="0.25"/>
    <row r="156306" customFormat="1" x14ac:dyDescent="0.25"/>
    <row r="156307" customFormat="1" x14ac:dyDescent="0.25"/>
    <row r="156308" customFormat="1" x14ac:dyDescent="0.25"/>
    <row r="156309" customFormat="1" x14ac:dyDescent="0.25"/>
    <row r="156310" customFormat="1" x14ac:dyDescent="0.25"/>
    <row r="156311" customFormat="1" x14ac:dyDescent="0.25"/>
    <row r="156312" customFormat="1" x14ac:dyDescent="0.25"/>
    <row r="156313" customFormat="1" x14ac:dyDescent="0.25"/>
    <row r="156314" customFormat="1" x14ac:dyDescent="0.25"/>
    <row r="156315" customFormat="1" x14ac:dyDescent="0.25"/>
    <row r="156316" customFormat="1" x14ac:dyDescent="0.25"/>
    <row r="156317" customFormat="1" x14ac:dyDescent="0.25"/>
    <row r="156318" customFormat="1" x14ac:dyDescent="0.25"/>
    <row r="156319" customFormat="1" x14ac:dyDescent="0.25"/>
    <row r="156320" customFormat="1" x14ac:dyDescent="0.25"/>
    <row r="156321" customFormat="1" x14ac:dyDescent="0.25"/>
    <row r="156322" customFormat="1" x14ac:dyDescent="0.25"/>
    <row r="156323" customFormat="1" x14ac:dyDescent="0.25"/>
    <row r="156324" customFormat="1" x14ac:dyDescent="0.25"/>
    <row r="156325" customFormat="1" x14ac:dyDescent="0.25"/>
    <row r="156326" customFormat="1" x14ac:dyDescent="0.25"/>
    <row r="156327" customFormat="1" x14ac:dyDescent="0.25"/>
    <row r="156328" customFormat="1" x14ac:dyDescent="0.25"/>
    <row r="156329" customFormat="1" x14ac:dyDescent="0.25"/>
    <row r="156330" customFormat="1" x14ac:dyDescent="0.25"/>
    <row r="156331" customFormat="1" x14ac:dyDescent="0.25"/>
    <row r="156332" customFormat="1" x14ac:dyDescent="0.25"/>
    <row r="156333" customFormat="1" x14ac:dyDescent="0.25"/>
    <row r="156334" customFormat="1" x14ac:dyDescent="0.25"/>
    <row r="156335" customFormat="1" x14ac:dyDescent="0.25"/>
    <row r="156336" customFormat="1" x14ac:dyDescent="0.25"/>
    <row r="156337" customFormat="1" x14ac:dyDescent="0.25"/>
    <row r="156338" customFormat="1" x14ac:dyDescent="0.25"/>
    <row r="156339" customFormat="1" x14ac:dyDescent="0.25"/>
    <row r="156340" customFormat="1" x14ac:dyDescent="0.25"/>
    <row r="156341" customFormat="1" x14ac:dyDescent="0.25"/>
    <row r="156342" customFormat="1" x14ac:dyDescent="0.25"/>
    <row r="156343" customFormat="1" x14ac:dyDescent="0.25"/>
    <row r="156344" customFormat="1" x14ac:dyDescent="0.25"/>
    <row r="156345" customFormat="1" x14ac:dyDescent="0.25"/>
    <row r="156346" customFormat="1" x14ac:dyDescent="0.25"/>
    <row r="156347" customFormat="1" x14ac:dyDescent="0.25"/>
    <row r="156348" customFormat="1" x14ac:dyDescent="0.25"/>
    <row r="156349" customFormat="1" x14ac:dyDescent="0.25"/>
    <row r="156350" customFormat="1" x14ac:dyDescent="0.25"/>
    <row r="156351" customFormat="1" x14ac:dyDescent="0.25"/>
    <row r="156352" customFormat="1" x14ac:dyDescent="0.25"/>
    <row r="156353" customFormat="1" x14ac:dyDescent="0.25"/>
    <row r="156354" customFormat="1" x14ac:dyDescent="0.25"/>
    <row r="156355" customFormat="1" x14ac:dyDescent="0.25"/>
    <row r="156356" customFormat="1" x14ac:dyDescent="0.25"/>
    <row r="156357" customFormat="1" x14ac:dyDescent="0.25"/>
    <row r="156358" customFormat="1" x14ac:dyDescent="0.25"/>
    <row r="156359" customFormat="1" x14ac:dyDescent="0.25"/>
    <row r="156360" customFormat="1" x14ac:dyDescent="0.25"/>
    <row r="156361" customFormat="1" x14ac:dyDescent="0.25"/>
    <row r="156362" customFormat="1" x14ac:dyDescent="0.25"/>
    <row r="156363" customFormat="1" x14ac:dyDescent="0.25"/>
    <row r="156364" customFormat="1" x14ac:dyDescent="0.25"/>
    <row r="156365" customFormat="1" x14ac:dyDescent="0.25"/>
    <row r="156366" customFormat="1" x14ac:dyDescent="0.25"/>
    <row r="156367" customFormat="1" x14ac:dyDescent="0.25"/>
    <row r="156368" customFormat="1" x14ac:dyDescent="0.25"/>
    <row r="156369" customFormat="1" x14ac:dyDescent="0.25"/>
    <row r="156370" customFormat="1" x14ac:dyDescent="0.25"/>
    <row r="156371" customFormat="1" x14ac:dyDescent="0.25"/>
    <row r="156372" customFormat="1" x14ac:dyDescent="0.25"/>
    <row r="156373" customFormat="1" x14ac:dyDescent="0.25"/>
    <row r="156374" customFormat="1" x14ac:dyDescent="0.25"/>
    <row r="156375" customFormat="1" x14ac:dyDescent="0.25"/>
    <row r="156376" customFormat="1" x14ac:dyDescent="0.25"/>
    <row r="156377" customFormat="1" x14ac:dyDescent="0.25"/>
    <row r="156378" customFormat="1" x14ac:dyDescent="0.25"/>
    <row r="156379" customFormat="1" x14ac:dyDescent="0.25"/>
    <row r="156380" customFormat="1" x14ac:dyDescent="0.25"/>
    <row r="156381" customFormat="1" x14ac:dyDescent="0.25"/>
    <row r="156382" customFormat="1" x14ac:dyDescent="0.25"/>
    <row r="156383" customFormat="1" x14ac:dyDescent="0.25"/>
    <row r="156384" customFormat="1" x14ac:dyDescent="0.25"/>
    <row r="156385" customFormat="1" x14ac:dyDescent="0.25"/>
    <row r="156386" customFormat="1" x14ac:dyDescent="0.25"/>
    <row r="156387" customFormat="1" x14ac:dyDescent="0.25"/>
    <row r="156388" customFormat="1" x14ac:dyDescent="0.25"/>
    <row r="156389" customFormat="1" x14ac:dyDescent="0.25"/>
    <row r="156390" customFormat="1" x14ac:dyDescent="0.25"/>
    <row r="156391" customFormat="1" x14ac:dyDescent="0.25"/>
    <row r="156392" customFormat="1" x14ac:dyDescent="0.25"/>
    <row r="156393" customFormat="1" x14ac:dyDescent="0.25"/>
    <row r="156394" customFormat="1" x14ac:dyDescent="0.25"/>
    <row r="156395" customFormat="1" x14ac:dyDescent="0.25"/>
    <row r="156396" customFormat="1" x14ac:dyDescent="0.25"/>
    <row r="156397" customFormat="1" x14ac:dyDescent="0.25"/>
    <row r="156398" customFormat="1" x14ac:dyDescent="0.25"/>
    <row r="156399" customFormat="1" x14ac:dyDescent="0.25"/>
    <row r="156400" customFormat="1" x14ac:dyDescent="0.25"/>
    <row r="156401" customFormat="1" x14ac:dyDescent="0.25"/>
    <row r="156402" customFormat="1" x14ac:dyDescent="0.25"/>
    <row r="156403" customFormat="1" x14ac:dyDescent="0.25"/>
    <row r="156404" customFormat="1" x14ac:dyDescent="0.25"/>
    <row r="156405" customFormat="1" x14ac:dyDescent="0.25"/>
    <row r="156406" customFormat="1" x14ac:dyDescent="0.25"/>
    <row r="156407" customFormat="1" x14ac:dyDescent="0.25"/>
    <row r="156408" customFormat="1" x14ac:dyDescent="0.25"/>
    <row r="156409" customFormat="1" x14ac:dyDescent="0.25"/>
    <row r="156410" customFormat="1" x14ac:dyDescent="0.25"/>
    <row r="156411" customFormat="1" x14ac:dyDescent="0.25"/>
    <row r="156412" customFormat="1" x14ac:dyDescent="0.25"/>
    <row r="156413" customFormat="1" x14ac:dyDescent="0.25"/>
    <row r="156414" customFormat="1" x14ac:dyDescent="0.25"/>
    <row r="156415" customFormat="1" x14ac:dyDescent="0.25"/>
    <row r="156416" customFormat="1" x14ac:dyDescent="0.25"/>
    <row r="156417" customFormat="1" x14ac:dyDescent="0.25"/>
    <row r="156418" customFormat="1" x14ac:dyDescent="0.25"/>
    <row r="156419" customFormat="1" x14ac:dyDescent="0.25"/>
    <row r="156420" customFormat="1" x14ac:dyDescent="0.25"/>
    <row r="156421" customFormat="1" x14ac:dyDescent="0.25"/>
    <row r="156422" customFormat="1" x14ac:dyDescent="0.25"/>
    <row r="156423" customFormat="1" x14ac:dyDescent="0.25"/>
    <row r="156424" customFormat="1" x14ac:dyDescent="0.25"/>
    <row r="156425" customFormat="1" x14ac:dyDescent="0.25"/>
    <row r="156426" customFormat="1" x14ac:dyDescent="0.25"/>
    <row r="156427" customFormat="1" x14ac:dyDescent="0.25"/>
    <row r="156428" customFormat="1" x14ac:dyDescent="0.25"/>
    <row r="156429" customFormat="1" x14ac:dyDescent="0.25"/>
    <row r="156430" customFormat="1" x14ac:dyDescent="0.25"/>
    <row r="156431" customFormat="1" x14ac:dyDescent="0.25"/>
    <row r="156432" customFormat="1" x14ac:dyDescent="0.25"/>
    <row r="156433" customFormat="1" x14ac:dyDescent="0.25"/>
    <row r="156434" customFormat="1" x14ac:dyDescent="0.25"/>
    <row r="156435" customFormat="1" x14ac:dyDescent="0.25"/>
    <row r="156436" customFormat="1" x14ac:dyDescent="0.25"/>
    <row r="156437" customFormat="1" x14ac:dyDescent="0.25"/>
    <row r="156438" customFormat="1" x14ac:dyDescent="0.25"/>
    <row r="156439" customFormat="1" x14ac:dyDescent="0.25"/>
    <row r="156440" customFormat="1" x14ac:dyDescent="0.25"/>
    <row r="156441" customFormat="1" x14ac:dyDescent="0.25"/>
    <row r="156442" customFormat="1" x14ac:dyDescent="0.25"/>
    <row r="156443" customFormat="1" x14ac:dyDescent="0.25"/>
    <row r="156444" customFormat="1" x14ac:dyDescent="0.25"/>
    <row r="156445" customFormat="1" x14ac:dyDescent="0.25"/>
    <row r="156446" customFormat="1" x14ac:dyDescent="0.25"/>
    <row r="156447" customFormat="1" x14ac:dyDescent="0.25"/>
    <row r="156448" customFormat="1" x14ac:dyDescent="0.25"/>
    <row r="156449" customFormat="1" x14ac:dyDescent="0.25"/>
    <row r="156450" customFormat="1" x14ac:dyDescent="0.25"/>
    <row r="156451" customFormat="1" x14ac:dyDescent="0.25"/>
    <row r="156452" customFormat="1" x14ac:dyDescent="0.25"/>
    <row r="156453" customFormat="1" x14ac:dyDescent="0.25"/>
    <row r="156454" customFormat="1" x14ac:dyDescent="0.25"/>
    <row r="156455" customFormat="1" x14ac:dyDescent="0.25"/>
    <row r="156456" customFormat="1" x14ac:dyDescent="0.25"/>
    <row r="156457" customFormat="1" x14ac:dyDescent="0.25"/>
    <row r="156458" customFormat="1" x14ac:dyDescent="0.25"/>
    <row r="156459" customFormat="1" x14ac:dyDescent="0.25"/>
    <row r="156460" customFormat="1" x14ac:dyDescent="0.25"/>
    <row r="156461" customFormat="1" x14ac:dyDescent="0.25"/>
    <row r="156462" customFormat="1" x14ac:dyDescent="0.25"/>
    <row r="156463" customFormat="1" x14ac:dyDescent="0.25"/>
    <row r="156464" customFormat="1" x14ac:dyDescent="0.25"/>
    <row r="156465" customFormat="1" x14ac:dyDescent="0.25"/>
    <row r="156466" customFormat="1" x14ac:dyDescent="0.25"/>
    <row r="156467" customFormat="1" x14ac:dyDescent="0.25"/>
    <row r="156468" customFormat="1" x14ac:dyDescent="0.25"/>
    <row r="156469" customFormat="1" x14ac:dyDescent="0.25"/>
    <row r="156470" customFormat="1" x14ac:dyDescent="0.25"/>
    <row r="156471" customFormat="1" x14ac:dyDescent="0.25"/>
    <row r="156472" customFormat="1" x14ac:dyDescent="0.25"/>
    <row r="156473" customFormat="1" x14ac:dyDescent="0.25"/>
    <row r="156474" customFormat="1" x14ac:dyDescent="0.25"/>
    <row r="156475" customFormat="1" x14ac:dyDescent="0.25"/>
    <row r="156476" customFormat="1" x14ac:dyDescent="0.25"/>
    <row r="156477" customFormat="1" x14ac:dyDescent="0.25"/>
    <row r="156478" customFormat="1" x14ac:dyDescent="0.25"/>
    <row r="156479" customFormat="1" x14ac:dyDescent="0.25"/>
    <row r="156480" customFormat="1" x14ac:dyDescent="0.25"/>
    <row r="156481" customFormat="1" x14ac:dyDescent="0.25"/>
    <row r="156482" customFormat="1" x14ac:dyDescent="0.25"/>
    <row r="156483" customFormat="1" x14ac:dyDescent="0.25"/>
    <row r="156484" customFormat="1" x14ac:dyDescent="0.25"/>
    <row r="156485" customFormat="1" x14ac:dyDescent="0.25"/>
    <row r="156486" customFormat="1" x14ac:dyDescent="0.25"/>
    <row r="156487" customFormat="1" x14ac:dyDescent="0.25"/>
    <row r="156488" customFormat="1" x14ac:dyDescent="0.25"/>
    <row r="156489" customFormat="1" x14ac:dyDescent="0.25"/>
    <row r="156490" customFormat="1" x14ac:dyDescent="0.25"/>
    <row r="156491" customFormat="1" x14ac:dyDescent="0.25"/>
    <row r="156492" customFormat="1" x14ac:dyDescent="0.25"/>
    <row r="156493" customFormat="1" x14ac:dyDescent="0.25"/>
    <row r="156494" customFormat="1" x14ac:dyDescent="0.25"/>
    <row r="156495" customFormat="1" x14ac:dyDescent="0.25"/>
    <row r="156496" customFormat="1" x14ac:dyDescent="0.25"/>
    <row r="156497" customFormat="1" x14ac:dyDescent="0.25"/>
    <row r="156498" customFormat="1" x14ac:dyDescent="0.25"/>
    <row r="156499" customFormat="1" x14ac:dyDescent="0.25"/>
    <row r="156500" customFormat="1" x14ac:dyDescent="0.25"/>
    <row r="156501" customFormat="1" x14ac:dyDescent="0.25"/>
    <row r="156502" customFormat="1" x14ac:dyDescent="0.25"/>
    <row r="156503" customFormat="1" x14ac:dyDescent="0.25"/>
    <row r="156504" customFormat="1" x14ac:dyDescent="0.25"/>
    <row r="156505" customFormat="1" x14ac:dyDescent="0.25"/>
    <row r="156506" customFormat="1" x14ac:dyDescent="0.25"/>
    <row r="156507" customFormat="1" x14ac:dyDescent="0.25"/>
    <row r="156508" customFormat="1" x14ac:dyDescent="0.25"/>
    <row r="156509" customFormat="1" x14ac:dyDescent="0.25"/>
    <row r="156510" customFormat="1" x14ac:dyDescent="0.25"/>
    <row r="156511" customFormat="1" x14ac:dyDescent="0.25"/>
    <row r="156512" customFormat="1" x14ac:dyDescent="0.25"/>
    <row r="156513" customFormat="1" x14ac:dyDescent="0.25"/>
    <row r="156514" customFormat="1" x14ac:dyDescent="0.25"/>
    <row r="156515" customFormat="1" x14ac:dyDescent="0.25"/>
    <row r="156516" customFormat="1" x14ac:dyDescent="0.25"/>
    <row r="156517" customFormat="1" x14ac:dyDescent="0.25"/>
    <row r="156518" customFormat="1" x14ac:dyDescent="0.25"/>
    <row r="156519" customFormat="1" x14ac:dyDescent="0.25"/>
    <row r="156520" customFormat="1" x14ac:dyDescent="0.25"/>
    <row r="156521" customFormat="1" x14ac:dyDescent="0.25"/>
    <row r="156522" customFormat="1" x14ac:dyDescent="0.25"/>
    <row r="156523" customFormat="1" x14ac:dyDescent="0.25"/>
    <row r="156524" customFormat="1" x14ac:dyDescent="0.25"/>
    <row r="156525" customFormat="1" x14ac:dyDescent="0.25"/>
    <row r="156526" customFormat="1" x14ac:dyDescent="0.25"/>
    <row r="156527" customFormat="1" x14ac:dyDescent="0.25"/>
    <row r="156528" customFormat="1" x14ac:dyDescent="0.25"/>
    <row r="156529" customFormat="1" x14ac:dyDescent="0.25"/>
    <row r="156530" customFormat="1" x14ac:dyDescent="0.25"/>
    <row r="156531" customFormat="1" x14ac:dyDescent="0.25"/>
    <row r="156532" customFormat="1" x14ac:dyDescent="0.25"/>
    <row r="156533" customFormat="1" x14ac:dyDescent="0.25"/>
    <row r="156534" customFormat="1" x14ac:dyDescent="0.25"/>
    <row r="156535" customFormat="1" x14ac:dyDescent="0.25"/>
    <row r="156536" customFormat="1" x14ac:dyDescent="0.25"/>
    <row r="156537" customFormat="1" x14ac:dyDescent="0.25"/>
    <row r="156538" customFormat="1" x14ac:dyDescent="0.25"/>
    <row r="156539" customFormat="1" x14ac:dyDescent="0.25"/>
    <row r="156540" customFormat="1" x14ac:dyDescent="0.25"/>
    <row r="156541" customFormat="1" x14ac:dyDescent="0.25"/>
    <row r="156542" customFormat="1" x14ac:dyDescent="0.25"/>
    <row r="156543" customFormat="1" x14ac:dyDescent="0.25"/>
    <row r="156544" customFormat="1" x14ac:dyDescent="0.25"/>
    <row r="156545" customFormat="1" x14ac:dyDescent="0.25"/>
    <row r="156546" customFormat="1" x14ac:dyDescent="0.25"/>
    <row r="156547" customFormat="1" x14ac:dyDescent="0.25"/>
    <row r="156548" customFormat="1" x14ac:dyDescent="0.25"/>
    <row r="156549" customFormat="1" x14ac:dyDescent="0.25"/>
    <row r="156550" customFormat="1" x14ac:dyDescent="0.25"/>
    <row r="156551" customFormat="1" x14ac:dyDescent="0.25"/>
    <row r="156552" customFormat="1" x14ac:dyDescent="0.25"/>
    <row r="156553" customFormat="1" x14ac:dyDescent="0.25"/>
    <row r="156554" customFormat="1" x14ac:dyDescent="0.25"/>
    <row r="156555" customFormat="1" x14ac:dyDescent="0.25"/>
    <row r="156556" customFormat="1" x14ac:dyDescent="0.25"/>
    <row r="156557" customFormat="1" x14ac:dyDescent="0.25"/>
    <row r="156558" customFormat="1" x14ac:dyDescent="0.25"/>
    <row r="156559" customFormat="1" x14ac:dyDescent="0.25"/>
    <row r="156560" customFormat="1" x14ac:dyDescent="0.25"/>
    <row r="156561" customFormat="1" x14ac:dyDescent="0.25"/>
    <row r="156562" customFormat="1" x14ac:dyDescent="0.25"/>
    <row r="156563" customFormat="1" x14ac:dyDescent="0.25"/>
    <row r="156564" customFormat="1" x14ac:dyDescent="0.25"/>
    <row r="156565" customFormat="1" x14ac:dyDescent="0.25"/>
    <row r="156566" customFormat="1" x14ac:dyDescent="0.25"/>
    <row r="156567" customFormat="1" x14ac:dyDescent="0.25"/>
    <row r="156568" customFormat="1" x14ac:dyDescent="0.25"/>
    <row r="156569" customFormat="1" x14ac:dyDescent="0.25"/>
    <row r="156570" customFormat="1" x14ac:dyDescent="0.25"/>
    <row r="156571" customFormat="1" x14ac:dyDescent="0.25"/>
    <row r="156572" customFormat="1" x14ac:dyDescent="0.25"/>
    <row r="156573" customFormat="1" x14ac:dyDescent="0.25"/>
    <row r="156574" customFormat="1" x14ac:dyDescent="0.25"/>
    <row r="156575" customFormat="1" x14ac:dyDescent="0.25"/>
    <row r="156576" customFormat="1" x14ac:dyDescent="0.25"/>
    <row r="156577" customFormat="1" x14ac:dyDescent="0.25"/>
    <row r="156578" customFormat="1" x14ac:dyDescent="0.25"/>
    <row r="156579" customFormat="1" x14ac:dyDescent="0.25"/>
    <row r="156580" customFormat="1" x14ac:dyDescent="0.25"/>
    <row r="156581" customFormat="1" x14ac:dyDescent="0.25"/>
    <row r="156582" customFormat="1" x14ac:dyDescent="0.25"/>
    <row r="156583" customFormat="1" x14ac:dyDescent="0.25"/>
    <row r="156584" customFormat="1" x14ac:dyDescent="0.25"/>
    <row r="156585" customFormat="1" x14ac:dyDescent="0.25"/>
    <row r="156586" customFormat="1" x14ac:dyDescent="0.25"/>
    <row r="156587" customFormat="1" x14ac:dyDescent="0.25"/>
    <row r="156588" customFormat="1" x14ac:dyDescent="0.25"/>
    <row r="156589" customFormat="1" x14ac:dyDescent="0.25"/>
    <row r="156590" customFormat="1" x14ac:dyDescent="0.25"/>
    <row r="156591" customFormat="1" x14ac:dyDescent="0.25"/>
    <row r="156592" customFormat="1" x14ac:dyDescent="0.25"/>
    <row r="156593" customFormat="1" x14ac:dyDescent="0.25"/>
    <row r="156594" customFormat="1" x14ac:dyDescent="0.25"/>
    <row r="156595" customFormat="1" x14ac:dyDescent="0.25"/>
    <row r="156596" customFormat="1" x14ac:dyDescent="0.25"/>
    <row r="156597" customFormat="1" x14ac:dyDescent="0.25"/>
    <row r="156598" customFormat="1" x14ac:dyDescent="0.25"/>
    <row r="156599" customFormat="1" x14ac:dyDescent="0.25"/>
    <row r="156600" customFormat="1" x14ac:dyDescent="0.25"/>
    <row r="156601" customFormat="1" x14ac:dyDescent="0.25"/>
    <row r="156602" customFormat="1" x14ac:dyDescent="0.25"/>
    <row r="156603" customFormat="1" x14ac:dyDescent="0.25"/>
    <row r="156604" customFormat="1" x14ac:dyDescent="0.25"/>
    <row r="156605" customFormat="1" x14ac:dyDescent="0.25"/>
    <row r="156606" customFormat="1" x14ac:dyDescent="0.25"/>
    <row r="156607" customFormat="1" x14ac:dyDescent="0.25"/>
    <row r="156608" customFormat="1" x14ac:dyDescent="0.25"/>
    <row r="156609" customFormat="1" x14ac:dyDescent="0.25"/>
    <row r="156610" customFormat="1" x14ac:dyDescent="0.25"/>
    <row r="156611" customFormat="1" x14ac:dyDescent="0.25"/>
    <row r="156612" customFormat="1" x14ac:dyDescent="0.25"/>
    <row r="156613" customFormat="1" x14ac:dyDescent="0.25"/>
    <row r="156614" customFormat="1" x14ac:dyDescent="0.25"/>
    <row r="156615" customFormat="1" x14ac:dyDescent="0.25"/>
    <row r="156616" customFormat="1" x14ac:dyDescent="0.25"/>
    <row r="156617" customFormat="1" x14ac:dyDescent="0.25"/>
    <row r="156618" customFormat="1" x14ac:dyDescent="0.25"/>
    <row r="156619" customFormat="1" x14ac:dyDescent="0.25"/>
    <row r="156620" customFormat="1" x14ac:dyDescent="0.25"/>
    <row r="156621" customFormat="1" x14ac:dyDescent="0.25"/>
    <row r="156622" customFormat="1" x14ac:dyDescent="0.25"/>
    <row r="156623" customFormat="1" x14ac:dyDescent="0.25"/>
    <row r="156624" customFormat="1" x14ac:dyDescent="0.25"/>
    <row r="156625" customFormat="1" x14ac:dyDescent="0.25"/>
    <row r="156626" customFormat="1" x14ac:dyDescent="0.25"/>
    <row r="156627" customFormat="1" x14ac:dyDescent="0.25"/>
    <row r="156628" customFormat="1" x14ac:dyDescent="0.25"/>
    <row r="156629" customFormat="1" x14ac:dyDescent="0.25"/>
    <row r="156630" customFormat="1" x14ac:dyDescent="0.25"/>
    <row r="156631" customFormat="1" x14ac:dyDescent="0.25"/>
    <row r="156632" customFormat="1" x14ac:dyDescent="0.25"/>
    <row r="156633" customFormat="1" x14ac:dyDescent="0.25"/>
    <row r="156634" customFormat="1" x14ac:dyDescent="0.25"/>
    <row r="156635" customFormat="1" x14ac:dyDescent="0.25"/>
    <row r="156636" customFormat="1" x14ac:dyDescent="0.25"/>
    <row r="156637" customFormat="1" x14ac:dyDescent="0.25"/>
    <row r="156638" customFormat="1" x14ac:dyDescent="0.25"/>
    <row r="156639" customFormat="1" x14ac:dyDescent="0.25"/>
    <row r="156640" customFormat="1" x14ac:dyDescent="0.25"/>
    <row r="156641" customFormat="1" x14ac:dyDescent="0.25"/>
    <row r="156642" customFormat="1" x14ac:dyDescent="0.25"/>
    <row r="156643" customFormat="1" x14ac:dyDescent="0.25"/>
    <row r="156644" customFormat="1" x14ac:dyDescent="0.25"/>
    <row r="156645" customFormat="1" x14ac:dyDescent="0.25"/>
    <row r="156646" customFormat="1" x14ac:dyDescent="0.25"/>
    <row r="156647" customFormat="1" x14ac:dyDescent="0.25"/>
    <row r="156648" customFormat="1" x14ac:dyDescent="0.25"/>
    <row r="156649" customFormat="1" x14ac:dyDescent="0.25"/>
    <row r="156650" customFormat="1" x14ac:dyDescent="0.25"/>
    <row r="156651" customFormat="1" x14ac:dyDescent="0.25"/>
    <row r="156652" customFormat="1" x14ac:dyDescent="0.25"/>
    <row r="156653" customFormat="1" x14ac:dyDescent="0.25"/>
    <row r="156654" customFormat="1" x14ac:dyDescent="0.25"/>
    <row r="156655" customFormat="1" x14ac:dyDescent="0.25"/>
    <row r="156656" customFormat="1" x14ac:dyDescent="0.25"/>
    <row r="156657" customFormat="1" x14ac:dyDescent="0.25"/>
    <row r="156658" customFormat="1" x14ac:dyDescent="0.25"/>
    <row r="156659" customFormat="1" x14ac:dyDescent="0.25"/>
    <row r="156660" customFormat="1" x14ac:dyDescent="0.25"/>
    <row r="156661" customFormat="1" x14ac:dyDescent="0.25"/>
    <row r="156662" customFormat="1" x14ac:dyDescent="0.25"/>
    <row r="156663" customFormat="1" x14ac:dyDescent="0.25"/>
    <row r="156664" customFormat="1" x14ac:dyDescent="0.25"/>
    <row r="156665" customFormat="1" x14ac:dyDescent="0.25"/>
    <row r="156666" customFormat="1" x14ac:dyDescent="0.25"/>
    <row r="156667" customFormat="1" x14ac:dyDescent="0.25"/>
    <row r="156668" customFormat="1" x14ac:dyDescent="0.25"/>
    <row r="156669" customFormat="1" x14ac:dyDescent="0.25"/>
    <row r="156670" customFormat="1" x14ac:dyDescent="0.25"/>
    <row r="156671" customFormat="1" x14ac:dyDescent="0.25"/>
    <row r="156672" customFormat="1" x14ac:dyDescent="0.25"/>
    <row r="156673" customFormat="1" x14ac:dyDescent="0.25"/>
    <row r="156674" customFormat="1" x14ac:dyDescent="0.25"/>
    <row r="156675" customFormat="1" x14ac:dyDescent="0.25"/>
    <row r="156676" customFormat="1" x14ac:dyDescent="0.25"/>
    <row r="156677" customFormat="1" x14ac:dyDescent="0.25"/>
    <row r="156678" customFormat="1" x14ac:dyDescent="0.25"/>
    <row r="156679" customFormat="1" x14ac:dyDescent="0.25"/>
    <row r="156680" customFormat="1" x14ac:dyDescent="0.25"/>
    <row r="156681" customFormat="1" x14ac:dyDescent="0.25"/>
    <row r="156682" customFormat="1" x14ac:dyDescent="0.25"/>
    <row r="156683" customFormat="1" x14ac:dyDescent="0.25"/>
    <row r="156684" customFormat="1" x14ac:dyDescent="0.25"/>
    <row r="156685" customFormat="1" x14ac:dyDescent="0.25"/>
    <row r="156686" customFormat="1" x14ac:dyDescent="0.25"/>
    <row r="156687" customFormat="1" x14ac:dyDescent="0.25"/>
    <row r="156688" customFormat="1" x14ac:dyDescent="0.25"/>
    <row r="156689" customFormat="1" x14ac:dyDescent="0.25"/>
    <row r="156690" customFormat="1" x14ac:dyDescent="0.25"/>
    <row r="156691" customFormat="1" x14ac:dyDescent="0.25"/>
    <row r="156692" customFormat="1" x14ac:dyDescent="0.25"/>
    <row r="156693" customFormat="1" x14ac:dyDescent="0.25"/>
    <row r="156694" customFormat="1" x14ac:dyDescent="0.25"/>
    <row r="156695" customFormat="1" x14ac:dyDescent="0.25"/>
    <row r="156696" customFormat="1" x14ac:dyDescent="0.25"/>
    <row r="156697" customFormat="1" x14ac:dyDescent="0.25"/>
    <row r="156698" customFormat="1" x14ac:dyDescent="0.25"/>
    <row r="156699" customFormat="1" x14ac:dyDescent="0.25"/>
    <row r="156700" customFormat="1" x14ac:dyDescent="0.25"/>
    <row r="156701" customFormat="1" x14ac:dyDescent="0.25"/>
    <row r="156702" customFormat="1" x14ac:dyDescent="0.25"/>
    <row r="156703" customFormat="1" x14ac:dyDescent="0.25"/>
    <row r="156704" customFormat="1" x14ac:dyDescent="0.25"/>
    <row r="156705" customFormat="1" x14ac:dyDescent="0.25"/>
    <row r="156706" customFormat="1" x14ac:dyDescent="0.25"/>
    <row r="156707" customFormat="1" x14ac:dyDescent="0.25"/>
    <row r="156708" customFormat="1" x14ac:dyDescent="0.25"/>
    <row r="156709" customFormat="1" x14ac:dyDescent="0.25"/>
    <row r="156710" customFormat="1" x14ac:dyDescent="0.25"/>
    <row r="156711" customFormat="1" x14ac:dyDescent="0.25"/>
    <row r="156712" customFormat="1" x14ac:dyDescent="0.25"/>
    <row r="156713" customFormat="1" x14ac:dyDescent="0.25"/>
    <row r="156714" customFormat="1" x14ac:dyDescent="0.25"/>
    <row r="156715" customFormat="1" x14ac:dyDescent="0.25"/>
    <row r="156716" customFormat="1" x14ac:dyDescent="0.25"/>
    <row r="156717" customFormat="1" x14ac:dyDescent="0.25"/>
    <row r="156718" customFormat="1" x14ac:dyDescent="0.25"/>
    <row r="156719" customFormat="1" x14ac:dyDescent="0.25"/>
    <row r="156720" customFormat="1" x14ac:dyDescent="0.25"/>
    <row r="156721" customFormat="1" x14ac:dyDescent="0.25"/>
    <row r="156722" customFormat="1" x14ac:dyDescent="0.25"/>
    <row r="156723" customFormat="1" x14ac:dyDescent="0.25"/>
    <row r="156724" customFormat="1" x14ac:dyDescent="0.25"/>
    <row r="156725" customFormat="1" x14ac:dyDescent="0.25"/>
    <row r="156726" customFormat="1" x14ac:dyDescent="0.25"/>
    <row r="156727" customFormat="1" x14ac:dyDescent="0.25"/>
    <row r="156728" customFormat="1" x14ac:dyDescent="0.25"/>
    <row r="156729" customFormat="1" x14ac:dyDescent="0.25"/>
    <row r="156730" customFormat="1" x14ac:dyDescent="0.25"/>
    <row r="156731" customFormat="1" x14ac:dyDescent="0.25"/>
    <row r="156732" customFormat="1" x14ac:dyDescent="0.25"/>
    <row r="156733" customFormat="1" x14ac:dyDescent="0.25"/>
    <row r="156734" customFormat="1" x14ac:dyDescent="0.25"/>
    <row r="156735" customFormat="1" x14ac:dyDescent="0.25"/>
    <row r="156736" customFormat="1" x14ac:dyDescent="0.25"/>
    <row r="156737" customFormat="1" x14ac:dyDescent="0.25"/>
    <row r="156738" customFormat="1" x14ac:dyDescent="0.25"/>
    <row r="156739" customFormat="1" x14ac:dyDescent="0.25"/>
    <row r="156740" customFormat="1" x14ac:dyDescent="0.25"/>
    <row r="156741" customFormat="1" x14ac:dyDescent="0.25"/>
    <row r="156742" customFormat="1" x14ac:dyDescent="0.25"/>
    <row r="156743" customFormat="1" x14ac:dyDescent="0.25"/>
    <row r="156744" customFormat="1" x14ac:dyDescent="0.25"/>
    <row r="156745" customFormat="1" x14ac:dyDescent="0.25"/>
    <row r="156746" customFormat="1" x14ac:dyDescent="0.25"/>
    <row r="156747" customFormat="1" x14ac:dyDescent="0.25"/>
    <row r="156748" customFormat="1" x14ac:dyDescent="0.25"/>
    <row r="156749" customFormat="1" x14ac:dyDescent="0.25"/>
    <row r="156750" customFormat="1" x14ac:dyDescent="0.25"/>
    <row r="156751" customFormat="1" x14ac:dyDescent="0.25"/>
    <row r="156752" customFormat="1" x14ac:dyDescent="0.25"/>
    <row r="156753" customFormat="1" x14ac:dyDescent="0.25"/>
    <row r="156754" customFormat="1" x14ac:dyDescent="0.25"/>
    <row r="156755" customFormat="1" x14ac:dyDescent="0.25"/>
    <row r="156756" customFormat="1" x14ac:dyDescent="0.25"/>
    <row r="156757" customFormat="1" x14ac:dyDescent="0.25"/>
    <row r="156758" customFormat="1" x14ac:dyDescent="0.25"/>
    <row r="156759" customFormat="1" x14ac:dyDescent="0.25"/>
    <row r="156760" customFormat="1" x14ac:dyDescent="0.25"/>
    <row r="156761" customFormat="1" x14ac:dyDescent="0.25"/>
    <row r="156762" customFormat="1" x14ac:dyDescent="0.25"/>
    <row r="156763" customFormat="1" x14ac:dyDescent="0.25"/>
    <row r="156764" customFormat="1" x14ac:dyDescent="0.25"/>
    <row r="156765" customFormat="1" x14ac:dyDescent="0.25"/>
    <row r="156766" customFormat="1" x14ac:dyDescent="0.25"/>
    <row r="156767" customFormat="1" x14ac:dyDescent="0.25"/>
    <row r="156768" customFormat="1" x14ac:dyDescent="0.25"/>
    <row r="156769" customFormat="1" x14ac:dyDescent="0.25"/>
    <row r="156770" customFormat="1" x14ac:dyDescent="0.25"/>
    <row r="156771" customFormat="1" x14ac:dyDescent="0.25"/>
    <row r="156772" customFormat="1" x14ac:dyDescent="0.25"/>
    <row r="156773" customFormat="1" x14ac:dyDescent="0.25"/>
    <row r="156774" customFormat="1" x14ac:dyDescent="0.25"/>
    <row r="156775" customFormat="1" x14ac:dyDescent="0.25"/>
    <row r="156776" customFormat="1" x14ac:dyDescent="0.25"/>
    <row r="156777" customFormat="1" x14ac:dyDescent="0.25"/>
    <row r="156778" customFormat="1" x14ac:dyDescent="0.25"/>
    <row r="156779" customFormat="1" x14ac:dyDescent="0.25"/>
    <row r="156780" customFormat="1" x14ac:dyDescent="0.25"/>
    <row r="156781" customFormat="1" x14ac:dyDescent="0.25"/>
    <row r="156782" customFormat="1" x14ac:dyDescent="0.25"/>
    <row r="156783" customFormat="1" x14ac:dyDescent="0.25"/>
    <row r="156784" customFormat="1" x14ac:dyDescent="0.25"/>
    <row r="156785" customFormat="1" x14ac:dyDescent="0.25"/>
    <row r="156786" customFormat="1" x14ac:dyDescent="0.25"/>
    <row r="156787" customFormat="1" x14ac:dyDescent="0.25"/>
    <row r="156788" customFormat="1" x14ac:dyDescent="0.25"/>
    <row r="156789" customFormat="1" x14ac:dyDescent="0.25"/>
    <row r="156790" customFormat="1" x14ac:dyDescent="0.25"/>
    <row r="156791" customFormat="1" x14ac:dyDescent="0.25"/>
    <row r="156792" customFormat="1" x14ac:dyDescent="0.25"/>
    <row r="156793" customFormat="1" x14ac:dyDescent="0.25"/>
    <row r="156794" customFormat="1" x14ac:dyDescent="0.25"/>
    <row r="156795" customFormat="1" x14ac:dyDescent="0.25"/>
    <row r="156796" customFormat="1" x14ac:dyDescent="0.25"/>
    <row r="156797" customFormat="1" x14ac:dyDescent="0.25"/>
    <row r="156798" customFormat="1" x14ac:dyDescent="0.25"/>
    <row r="156799" customFormat="1" x14ac:dyDescent="0.25"/>
    <row r="156800" customFormat="1" x14ac:dyDescent="0.25"/>
    <row r="156801" customFormat="1" x14ac:dyDescent="0.25"/>
    <row r="156802" customFormat="1" x14ac:dyDescent="0.25"/>
    <row r="156803" customFormat="1" x14ac:dyDescent="0.25"/>
    <row r="156804" customFormat="1" x14ac:dyDescent="0.25"/>
    <row r="156805" customFormat="1" x14ac:dyDescent="0.25"/>
    <row r="156806" customFormat="1" x14ac:dyDescent="0.25"/>
    <row r="156807" customFormat="1" x14ac:dyDescent="0.25"/>
    <row r="156808" customFormat="1" x14ac:dyDescent="0.25"/>
    <row r="156809" customFormat="1" x14ac:dyDescent="0.25"/>
    <row r="156810" customFormat="1" x14ac:dyDescent="0.25"/>
    <row r="156811" customFormat="1" x14ac:dyDescent="0.25"/>
    <row r="156812" customFormat="1" x14ac:dyDescent="0.25"/>
    <row r="156813" customFormat="1" x14ac:dyDescent="0.25"/>
    <row r="156814" customFormat="1" x14ac:dyDescent="0.25"/>
    <row r="156815" customFormat="1" x14ac:dyDescent="0.25"/>
    <row r="156816" customFormat="1" x14ac:dyDescent="0.25"/>
    <row r="156817" customFormat="1" x14ac:dyDescent="0.25"/>
    <row r="156818" customFormat="1" x14ac:dyDescent="0.25"/>
    <row r="156819" customFormat="1" x14ac:dyDescent="0.25"/>
    <row r="156820" customFormat="1" x14ac:dyDescent="0.25"/>
    <row r="156821" customFormat="1" x14ac:dyDescent="0.25"/>
    <row r="156822" customFormat="1" x14ac:dyDescent="0.25"/>
    <row r="156823" customFormat="1" x14ac:dyDescent="0.25"/>
    <row r="156824" customFormat="1" x14ac:dyDescent="0.25"/>
    <row r="156825" customFormat="1" x14ac:dyDescent="0.25"/>
    <row r="156826" customFormat="1" x14ac:dyDescent="0.25"/>
    <row r="156827" customFormat="1" x14ac:dyDescent="0.25"/>
    <row r="156828" customFormat="1" x14ac:dyDescent="0.25"/>
    <row r="156829" customFormat="1" x14ac:dyDescent="0.25"/>
    <row r="156830" customFormat="1" x14ac:dyDescent="0.25"/>
    <row r="156831" customFormat="1" x14ac:dyDescent="0.25"/>
    <row r="156832" customFormat="1" x14ac:dyDescent="0.25"/>
    <row r="156833" customFormat="1" x14ac:dyDescent="0.25"/>
    <row r="156834" customFormat="1" x14ac:dyDescent="0.25"/>
    <row r="156835" customFormat="1" x14ac:dyDescent="0.25"/>
    <row r="156836" customFormat="1" x14ac:dyDescent="0.25"/>
    <row r="156837" customFormat="1" x14ac:dyDescent="0.25"/>
    <row r="156838" customFormat="1" x14ac:dyDescent="0.25"/>
    <row r="156839" customFormat="1" x14ac:dyDescent="0.25"/>
    <row r="156840" customFormat="1" x14ac:dyDescent="0.25"/>
    <row r="156841" customFormat="1" x14ac:dyDescent="0.25"/>
    <row r="156842" customFormat="1" x14ac:dyDescent="0.25"/>
    <row r="156843" customFormat="1" x14ac:dyDescent="0.25"/>
    <row r="156844" customFormat="1" x14ac:dyDescent="0.25"/>
    <row r="156845" customFormat="1" x14ac:dyDescent="0.25"/>
    <row r="156846" customFormat="1" x14ac:dyDescent="0.25"/>
    <row r="156847" customFormat="1" x14ac:dyDescent="0.25"/>
    <row r="156848" customFormat="1" x14ac:dyDescent="0.25"/>
    <row r="156849" customFormat="1" x14ac:dyDescent="0.25"/>
    <row r="156850" customFormat="1" x14ac:dyDescent="0.25"/>
    <row r="156851" customFormat="1" x14ac:dyDescent="0.25"/>
    <row r="156852" customFormat="1" x14ac:dyDescent="0.25"/>
    <row r="156853" customFormat="1" x14ac:dyDescent="0.25"/>
    <row r="156854" customFormat="1" x14ac:dyDescent="0.25"/>
    <row r="156855" customFormat="1" x14ac:dyDescent="0.25"/>
    <row r="156856" customFormat="1" x14ac:dyDescent="0.25"/>
    <row r="156857" customFormat="1" x14ac:dyDescent="0.25"/>
    <row r="156858" customFormat="1" x14ac:dyDescent="0.25"/>
    <row r="156859" customFormat="1" x14ac:dyDescent="0.25"/>
    <row r="156860" customFormat="1" x14ac:dyDescent="0.25"/>
    <row r="156861" customFormat="1" x14ac:dyDescent="0.25"/>
    <row r="156862" customFormat="1" x14ac:dyDescent="0.25"/>
    <row r="156863" customFormat="1" x14ac:dyDescent="0.25"/>
    <row r="156864" customFormat="1" x14ac:dyDescent="0.25"/>
    <row r="156865" customFormat="1" x14ac:dyDescent="0.25"/>
    <row r="156866" customFormat="1" x14ac:dyDescent="0.25"/>
    <row r="156867" customFormat="1" x14ac:dyDescent="0.25"/>
    <row r="156868" customFormat="1" x14ac:dyDescent="0.25"/>
    <row r="156869" customFormat="1" x14ac:dyDescent="0.25"/>
    <row r="156870" customFormat="1" x14ac:dyDescent="0.25"/>
    <row r="156871" customFormat="1" x14ac:dyDescent="0.25"/>
    <row r="156872" customFormat="1" x14ac:dyDescent="0.25"/>
    <row r="156873" customFormat="1" x14ac:dyDescent="0.25"/>
    <row r="156874" customFormat="1" x14ac:dyDescent="0.25"/>
    <row r="156875" customFormat="1" x14ac:dyDescent="0.25"/>
    <row r="156876" customFormat="1" x14ac:dyDescent="0.25"/>
    <row r="156877" customFormat="1" x14ac:dyDescent="0.25"/>
    <row r="156878" customFormat="1" x14ac:dyDescent="0.25"/>
    <row r="156879" customFormat="1" x14ac:dyDescent="0.25"/>
    <row r="156880" customFormat="1" x14ac:dyDescent="0.25"/>
    <row r="156881" customFormat="1" x14ac:dyDescent="0.25"/>
    <row r="156882" customFormat="1" x14ac:dyDescent="0.25"/>
    <row r="156883" customFormat="1" x14ac:dyDescent="0.25"/>
    <row r="156884" customFormat="1" x14ac:dyDescent="0.25"/>
    <row r="156885" customFormat="1" x14ac:dyDescent="0.25"/>
    <row r="156886" customFormat="1" x14ac:dyDescent="0.25"/>
    <row r="156887" customFormat="1" x14ac:dyDescent="0.25"/>
    <row r="156888" customFormat="1" x14ac:dyDescent="0.25"/>
    <row r="156889" customFormat="1" x14ac:dyDescent="0.25"/>
    <row r="156890" customFormat="1" x14ac:dyDescent="0.25"/>
    <row r="156891" customFormat="1" x14ac:dyDescent="0.25"/>
    <row r="156892" customFormat="1" x14ac:dyDescent="0.25"/>
    <row r="156893" customFormat="1" x14ac:dyDescent="0.25"/>
    <row r="156894" customFormat="1" x14ac:dyDescent="0.25"/>
    <row r="156895" customFormat="1" x14ac:dyDescent="0.25"/>
    <row r="156896" customFormat="1" x14ac:dyDescent="0.25"/>
    <row r="156897" customFormat="1" x14ac:dyDescent="0.25"/>
    <row r="156898" customFormat="1" x14ac:dyDescent="0.25"/>
    <row r="156899" customFormat="1" x14ac:dyDescent="0.25"/>
    <row r="156900" customFormat="1" x14ac:dyDescent="0.25"/>
    <row r="156901" customFormat="1" x14ac:dyDescent="0.25"/>
    <row r="156902" customFormat="1" x14ac:dyDescent="0.25"/>
    <row r="156903" customFormat="1" x14ac:dyDescent="0.25"/>
    <row r="156904" customFormat="1" x14ac:dyDescent="0.25"/>
    <row r="156905" customFormat="1" x14ac:dyDescent="0.25"/>
    <row r="156906" customFormat="1" x14ac:dyDescent="0.25"/>
    <row r="156907" customFormat="1" x14ac:dyDescent="0.25"/>
    <row r="156908" customFormat="1" x14ac:dyDescent="0.25"/>
    <row r="156909" customFormat="1" x14ac:dyDescent="0.25"/>
    <row r="156910" customFormat="1" x14ac:dyDescent="0.25"/>
    <row r="156911" customFormat="1" x14ac:dyDescent="0.25"/>
    <row r="156912" customFormat="1" x14ac:dyDescent="0.25"/>
    <row r="156913" customFormat="1" x14ac:dyDescent="0.25"/>
    <row r="156914" customFormat="1" x14ac:dyDescent="0.25"/>
    <row r="156915" customFormat="1" x14ac:dyDescent="0.25"/>
    <row r="156916" customFormat="1" x14ac:dyDescent="0.25"/>
    <row r="156917" customFormat="1" x14ac:dyDescent="0.25"/>
    <row r="156918" customFormat="1" x14ac:dyDescent="0.25"/>
    <row r="156919" customFormat="1" x14ac:dyDescent="0.25"/>
    <row r="156920" customFormat="1" x14ac:dyDescent="0.25"/>
    <row r="156921" customFormat="1" x14ac:dyDescent="0.25"/>
    <row r="156922" customFormat="1" x14ac:dyDescent="0.25"/>
    <row r="156923" customFormat="1" x14ac:dyDescent="0.25"/>
    <row r="156924" customFormat="1" x14ac:dyDescent="0.25"/>
    <row r="156925" customFormat="1" x14ac:dyDescent="0.25"/>
    <row r="156926" customFormat="1" x14ac:dyDescent="0.25"/>
    <row r="156927" customFormat="1" x14ac:dyDescent="0.25"/>
    <row r="156928" customFormat="1" x14ac:dyDescent="0.25"/>
    <row r="156929" customFormat="1" x14ac:dyDescent="0.25"/>
    <row r="156930" customFormat="1" x14ac:dyDescent="0.25"/>
    <row r="156931" customFormat="1" x14ac:dyDescent="0.25"/>
    <row r="156932" customFormat="1" x14ac:dyDescent="0.25"/>
    <row r="156933" customFormat="1" x14ac:dyDescent="0.25"/>
    <row r="156934" customFormat="1" x14ac:dyDescent="0.25"/>
    <row r="156935" customFormat="1" x14ac:dyDescent="0.25"/>
    <row r="156936" customFormat="1" x14ac:dyDescent="0.25"/>
    <row r="156937" customFormat="1" x14ac:dyDescent="0.25"/>
    <row r="156938" customFormat="1" x14ac:dyDescent="0.25"/>
    <row r="156939" customFormat="1" x14ac:dyDescent="0.25"/>
    <row r="156940" customFormat="1" x14ac:dyDescent="0.25"/>
    <row r="156941" customFormat="1" x14ac:dyDescent="0.25"/>
    <row r="156942" customFormat="1" x14ac:dyDescent="0.25"/>
    <row r="156943" customFormat="1" x14ac:dyDescent="0.25"/>
    <row r="156944" customFormat="1" x14ac:dyDescent="0.25"/>
    <row r="156945" customFormat="1" x14ac:dyDescent="0.25"/>
    <row r="156946" customFormat="1" x14ac:dyDescent="0.25"/>
    <row r="156947" customFormat="1" x14ac:dyDescent="0.25"/>
    <row r="156948" customFormat="1" x14ac:dyDescent="0.25"/>
    <row r="156949" customFormat="1" x14ac:dyDescent="0.25"/>
    <row r="156950" customFormat="1" x14ac:dyDescent="0.25"/>
    <row r="156951" customFormat="1" x14ac:dyDescent="0.25"/>
    <row r="156952" customFormat="1" x14ac:dyDescent="0.25"/>
    <row r="156953" customFormat="1" x14ac:dyDescent="0.25"/>
    <row r="156954" customFormat="1" x14ac:dyDescent="0.25"/>
    <row r="156955" customFormat="1" x14ac:dyDescent="0.25"/>
    <row r="156956" customFormat="1" x14ac:dyDescent="0.25"/>
    <row r="156957" customFormat="1" x14ac:dyDescent="0.25"/>
    <row r="156958" customFormat="1" x14ac:dyDescent="0.25"/>
    <row r="156959" customFormat="1" x14ac:dyDescent="0.25"/>
    <row r="156960" customFormat="1" x14ac:dyDescent="0.25"/>
    <row r="156961" customFormat="1" x14ac:dyDescent="0.25"/>
    <row r="156962" customFormat="1" x14ac:dyDescent="0.25"/>
    <row r="156963" customFormat="1" x14ac:dyDescent="0.25"/>
    <row r="156964" customFormat="1" x14ac:dyDescent="0.25"/>
    <row r="156965" customFormat="1" x14ac:dyDescent="0.25"/>
    <row r="156966" customFormat="1" x14ac:dyDescent="0.25"/>
    <row r="156967" customFormat="1" x14ac:dyDescent="0.25"/>
    <row r="156968" customFormat="1" x14ac:dyDescent="0.25"/>
    <row r="156969" customFormat="1" x14ac:dyDescent="0.25"/>
    <row r="156970" customFormat="1" x14ac:dyDescent="0.25"/>
    <row r="156971" customFormat="1" x14ac:dyDescent="0.25"/>
    <row r="156972" customFormat="1" x14ac:dyDescent="0.25"/>
    <row r="156973" customFormat="1" x14ac:dyDescent="0.25"/>
    <row r="156974" customFormat="1" x14ac:dyDescent="0.25"/>
    <row r="156975" customFormat="1" x14ac:dyDescent="0.25"/>
    <row r="156976" customFormat="1" x14ac:dyDescent="0.25"/>
    <row r="156977" customFormat="1" x14ac:dyDescent="0.25"/>
    <row r="156978" customFormat="1" x14ac:dyDescent="0.25"/>
    <row r="156979" customFormat="1" x14ac:dyDescent="0.25"/>
    <row r="156980" customFormat="1" x14ac:dyDescent="0.25"/>
    <row r="156981" customFormat="1" x14ac:dyDescent="0.25"/>
    <row r="156982" customFormat="1" x14ac:dyDescent="0.25"/>
    <row r="156983" customFormat="1" x14ac:dyDescent="0.25"/>
    <row r="156984" customFormat="1" x14ac:dyDescent="0.25"/>
    <row r="156985" customFormat="1" x14ac:dyDescent="0.25"/>
    <row r="156986" customFormat="1" x14ac:dyDescent="0.25"/>
    <row r="156987" customFormat="1" x14ac:dyDescent="0.25"/>
    <row r="156988" customFormat="1" x14ac:dyDescent="0.25"/>
    <row r="156989" customFormat="1" x14ac:dyDescent="0.25"/>
    <row r="156990" customFormat="1" x14ac:dyDescent="0.25"/>
    <row r="156991" customFormat="1" x14ac:dyDescent="0.25"/>
    <row r="156992" customFormat="1" x14ac:dyDescent="0.25"/>
    <row r="156993" customFormat="1" x14ac:dyDescent="0.25"/>
    <row r="156994" customFormat="1" x14ac:dyDescent="0.25"/>
    <row r="156995" customFormat="1" x14ac:dyDescent="0.25"/>
    <row r="156996" customFormat="1" x14ac:dyDescent="0.25"/>
    <row r="156997" customFormat="1" x14ac:dyDescent="0.25"/>
    <row r="156998" customFormat="1" x14ac:dyDescent="0.25"/>
    <row r="156999" customFormat="1" x14ac:dyDescent="0.25"/>
    <row r="157000" customFormat="1" x14ac:dyDescent="0.25"/>
    <row r="157001" customFormat="1" x14ac:dyDescent="0.25"/>
    <row r="157002" customFormat="1" x14ac:dyDescent="0.25"/>
    <row r="157003" customFormat="1" x14ac:dyDescent="0.25"/>
    <row r="157004" customFormat="1" x14ac:dyDescent="0.25"/>
    <row r="157005" customFormat="1" x14ac:dyDescent="0.25"/>
    <row r="157006" customFormat="1" x14ac:dyDescent="0.25"/>
    <row r="157007" customFormat="1" x14ac:dyDescent="0.25"/>
    <row r="157008" customFormat="1" x14ac:dyDescent="0.25"/>
    <row r="157009" customFormat="1" x14ac:dyDescent="0.25"/>
    <row r="157010" customFormat="1" x14ac:dyDescent="0.25"/>
    <row r="157011" customFormat="1" x14ac:dyDescent="0.25"/>
    <row r="157012" customFormat="1" x14ac:dyDescent="0.25"/>
    <row r="157013" customFormat="1" x14ac:dyDescent="0.25"/>
    <row r="157014" customFormat="1" x14ac:dyDescent="0.25"/>
    <row r="157015" customFormat="1" x14ac:dyDescent="0.25"/>
    <row r="157016" customFormat="1" x14ac:dyDescent="0.25"/>
    <row r="157017" customFormat="1" x14ac:dyDescent="0.25"/>
    <row r="157018" customFormat="1" x14ac:dyDescent="0.25"/>
    <row r="157019" customFormat="1" x14ac:dyDescent="0.25"/>
    <row r="157020" customFormat="1" x14ac:dyDescent="0.25"/>
    <row r="157021" customFormat="1" x14ac:dyDescent="0.25"/>
    <row r="157022" customFormat="1" x14ac:dyDescent="0.25"/>
    <row r="157023" customFormat="1" x14ac:dyDescent="0.25"/>
    <row r="157024" customFormat="1" x14ac:dyDescent="0.25"/>
    <row r="157025" customFormat="1" x14ac:dyDescent="0.25"/>
    <row r="157026" customFormat="1" x14ac:dyDescent="0.25"/>
    <row r="157027" customFormat="1" x14ac:dyDescent="0.25"/>
    <row r="157028" customFormat="1" x14ac:dyDescent="0.25"/>
    <row r="157029" customFormat="1" x14ac:dyDescent="0.25"/>
    <row r="157030" customFormat="1" x14ac:dyDescent="0.25"/>
    <row r="157031" customFormat="1" x14ac:dyDescent="0.25"/>
    <row r="157032" customFormat="1" x14ac:dyDescent="0.25"/>
    <row r="157033" customFormat="1" x14ac:dyDescent="0.25"/>
    <row r="157034" customFormat="1" x14ac:dyDescent="0.25"/>
    <row r="157035" customFormat="1" x14ac:dyDescent="0.25"/>
    <row r="157036" customFormat="1" x14ac:dyDescent="0.25"/>
    <row r="157037" customFormat="1" x14ac:dyDescent="0.25"/>
    <row r="157038" customFormat="1" x14ac:dyDescent="0.25"/>
    <row r="157039" customFormat="1" x14ac:dyDescent="0.25"/>
    <row r="157040" customFormat="1" x14ac:dyDescent="0.25"/>
    <row r="157041" customFormat="1" x14ac:dyDescent="0.25"/>
    <row r="157042" customFormat="1" x14ac:dyDescent="0.25"/>
    <row r="157043" customFormat="1" x14ac:dyDescent="0.25"/>
    <row r="157044" customFormat="1" x14ac:dyDescent="0.25"/>
    <row r="157045" customFormat="1" x14ac:dyDescent="0.25"/>
    <row r="157046" customFormat="1" x14ac:dyDescent="0.25"/>
    <row r="157047" customFormat="1" x14ac:dyDescent="0.25"/>
    <row r="157048" customFormat="1" x14ac:dyDescent="0.25"/>
    <row r="157049" customFormat="1" x14ac:dyDescent="0.25"/>
    <row r="157050" customFormat="1" x14ac:dyDescent="0.25"/>
    <row r="157051" customFormat="1" x14ac:dyDescent="0.25"/>
    <row r="157052" customFormat="1" x14ac:dyDescent="0.25"/>
    <row r="157053" customFormat="1" x14ac:dyDescent="0.25"/>
    <row r="157054" customFormat="1" x14ac:dyDescent="0.25"/>
    <row r="157055" customFormat="1" x14ac:dyDescent="0.25"/>
    <row r="157056" customFormat="1" x14ac:dyDescent="0.25"/>
    <row r="157057" customFormat="1" x14ac:dyDescent="0.25"/>
    <row r="157058" customFormat="1" x14ac:dyDescent="0.25"/>
    <row r="157059" customFormat="1" x14ac:dyDescent="0.25"/>
    <row r="157060" customFormat="1" x14ac:dyDescent="0.25"/>
    <row r="157061" customFormat="1" x14ac:dyDescent="0.25"/>
    <row r="157062" customFormat="1" x14ac:dyDescent="0.25"/>
    <row r="157063" customFormat="1" x14ac:dyDescent="0.25"/>
    <row r="157064" customFormat="1" x14ac:dyDescent="0.25"/>
    <row r="157065" customFormat="1" x14ac:dyDescent="0.25"/>
    <row r="157066" customFormat="1" x14ac:dyDescent="0.25"/>
    <row r="157067" customFormat="1" x14ac:dyDescent="0.25"/>
    <row r="157068" customFormat="1" x14ac:dyDescent="0.25"/>
    <row r="157069" customFormat="1" x14ac:dyDescent="0.25"/>
    <row r="157070" customFormat="1" x14ac:dyDescent="0.25"/>
    <row r="157071" customFormat="1" x14ac:dyDescent="0.25"/>
    <row r="157072" customFormat="1" x14ac:dyDescent="0.25"/>
    <row r="157073" customFormat="1" x14ac:dyDescent="0.25"/>
    <row r="157074" customFormat="1" x14ac:dyDescent="0.25"/>
    <row r="157075" customFormat="1" x14ac:dyDescent="0.25"/>
    <row r="157076" customFormat="1" x14ac:dyDescent="0.25"/>
    <row r="157077" customFormat="1" x14ac:dyDescent="0.25"/>
    <row r="157078" customFormat="1" x14ac:dyDescent="0.25"/>
    <row r="157079" customFormat="1" x14ac:dyDescent="0.25"/>
    <row r="157080" customFormat="1" x14ac:dyDescent="0.25"/>
    <row r="157081" customFormat="1" x14ac:dyDescent="0.25"/>
    <row r="157082" customFormat="1" x14ac:dyDescent="0.25"/>
    <row r="157083" customFormat="1" x14ac:dyDescent="0.25"/>
    <row r="157084" customFormat="1" x14ac:dyDescent="0.25"/>
    <row r="157085" customFormat="1" x14ac:dyDescent="0.25"/>
    <row r="157086" customFormat="1" x14ac:dyDescent="0.25"/>
    <row r="157087" customFormat="1" x14ac:dyDescent="0.25"/>
    <row r="157088" customFormat="1" x14ac:dyDescent="0.25"/>
    <row r="157089" customFormat="1" x14ac:dyDescent="0.25"/>
    <row r="157090" customFormat="1" x14ac:dyDescent="0.25"/>
    <row r="157091" customFormat="1" x14ac:dyDescent="0.25"/>
    <row r="157092" customFormat="1" x14ac:dyDescent="0.25"/>
    <row r="157093" customFormat="1" x14ac:dyDescent="0.25"/>
    <row r="157094" customFormat="1" x14ac:dyDescent="0.25"/>
    <row r="157095" customFormat="1" x14ac:dyDescent="0.25"/>
    <row r="157096" customFormat="1" x14ac:dyDescent="0.25"/>
    <row r="157097" customFormat="1" x14ac:dyDescent="0.25"/>
    <row r="157098" customFormat="1" x14ac:dyDescent="0.25"/>
    <row r="157099" customFormat="1" x14ac:dyDescent="0.25"/>
    <row r="157100" customFormat="1" x14ac:dyDescent="0.25"/>
    <row r="157101" customFormat="1" x14ac:dyDescent="0.25"/>
    <row r="157102" customFormat="1" x14ac:dyDescent="0.25"/>
    <row r="157103" customFormat="1" x14ac:dyDescent="0.25"/>
    <row r="157104" customFormat="1" x14ac:dyDescent="0.25"/>
    <row r="157105" customFormat="1" x14ac:dyDescent="0.25"/>
    <row r="157106" customFormat="1" x14ac:dyDescent="0.25"/>
    <row r="157107" customFormat="1" x14ac:dyDescent="0.25"/>
    <row r="157108" customFormat="1" x14ac:dyDescent="0.25"/>
    <row r="157109" customFormat="1" x14ac:dyDescent="0.25"/>
    <row r="157110" customFormat="1" x14ac:dyDescent="0.25"/>
    <row r="157111" customFormat="1" x14ac:dyDescent="0.25"/>
    <row r="157112" customFormat="1" x14ac:dyDescent="0.25"/>
    <row r="157113" customFormat="1" x14ac:dyDescent="0.25"/>
    <row r="157114" customFormat="1" x14ac:dyDescent="0.25"/>
    <row r="157115" customFormat="1" x14ac:dyDescent="0.25"/>
    <row r="157116" customFormat="1" x14ac:dyDescent="0.25"/>
    <row r="157117" customFormat="1" x14ac:dyDescent="0.25"/>
    <row r="157118" customFormat="1" x14ac:dyDescent="0.25"/>
    <row r="157119" customFormat="1" x14ac:dyDescent="0.25"/>
    <row r="157120" customFormat="1" x14ac:dyDescent="0.25"/>
    <row r="157121" customFormat="1" x14ac:dyDescent="0.25"/>
    <row r="157122" customFormat="1" x14ac:dyDescent="0.25"/>
    <row r="157123" customFormat="1" x14ac:dyDescent="0.25"/>
    <row r="157124" customFormat="1" x14ac:dyDescent="0.25"/>
    <row r="157125" customFormat="1" x14ac:dyDescent="0.25"/>
    <row r="157126" customFormat="1" x14ac:dyDescent="0.25"/>
    <row r="157127" customFormat="1" x14ac:dyDescent="0.25"/>
    <row r="157128" customFormat="1" x14ac:dyDescent="0.25"/>
    <row r="157129" customFormat="1" x14ac:dyDescent="0.25"/>
    <row r="157130" customFormat="1" x14ac:dyDescent="0.25"/>
    <row r="157131" customFormat="1" x14ac:dyDescent="0.25"/>
    <row r="157132" customFormat="1" x14ac:dyDescent="0.25"/>
    <row r="157133" customFormat="1" x14ac:dyDescent="0.25"/>
    <row r="157134" customFormat="1" x14ac:dyDescent="0.25"/>
    <row r="157135" customFormat="1" x14ac:dyDescent="0.25"/>
    <row r="157136" customFormat="1" x14ac:dyDescent="0.25"/>
    <row r="157137" customFormat="1" x14ac:dyDescent="0.25"/>
    <row r="157138" customFormat="1" x14ac:dyDescent="0.25"/>
    <row r="157139" customFormat="1" x14ac:dyDescent="0.25"/>
    <row r="157140" customFormat="1" x14ac:dyDescent="0.25"/>
    <row r="157141" customFormat="1" x14ac:dyDescent="0.25"/>
    <row r="157142" customFormat="1" x14ac:dyDescent="0.25"/>
    <row r="157143" customFormat="1" x14ac:dyDescent="0.25"/>
    <row r="157144" customFormat="1" x14ac:dyDescent="0.25"/>
    <row r="157145" customFormat="1" x14ac:dyDescent="0.25"/>
    <row r="157146" customFormat="1" x14ac:dyDescent="0.25"/>
    <row r="157147" customFormat="1" x14ac:dyDescent="0.25"/>
    <row r="157148" customFormat="1" x14ac:dyDescent="0.25"/>
    <row r="157149" customFormat="1" x14ac:dyDescent="0.25"/>
    <row r="157150" customFormat="1" x14ac:dyDescent="0.25"/>
    <row r="157151" customFormat="1" x14ac:dyDescent="0.25"/>
    <row r="157152" customFormat="1" x14ac:dyDescent="0.25"/>
    <row r="157153" customFormat="1" x14ac:dyDescent="0.25"/>
    <row r="157154" customFormat="1" x14ac:dyDescent="0.25"/>
    <row r="157155" customFormat="1" x14ac:dyDescent="0.25"/>
    <row r="157156" customFormat="1" x14ac:dyDescent="0.25"/>
    <row r="157157" customFormat="1" x14ac:dyDescent="0.25"/>
    <row r="157158" customFormat="1" x14ac:dyDescent="0.25"/>
    <row r="157159" customFormat="1" x14ac:dyDescent="0.25"/>
    <row r="157160" customFormat="1" x14ac:dyDescent="0.25"/>
    <row r="157161" customFormat="1" x14ac:dyDescent="0.25"/>
    <row r="157162" customFormat="1" x14ac:dyDescent="0.25"/>
    <row r="157163" customFormat="1" x14ac:dyDescent="0.25"/>
    <row r="157164" customFormat="1" x14ac:dyDescent="0.25"/>
    <row r="157165" customFormat="1" x14ac:dyDescent="0.25"/>
    <row r="157166" customFormat="1" x14ac:dyDescent="0.25"/>
    <row r="157167" customFormat="1" x14ac:dyDescent="0.25"/>
    <row r="157168" customFormat="1" x14ac:dyDescent="0.25"/>
    <row r="157169" customFormat="1" x14ac:dyDescent="0.25"/>
    <row r="157170" customFormat="1" x14ac:dyDescent="0.25"/>
    <row r="157171" customFormat="1" x14ac:dyDescent="0.25"/>
    <row r="157172" customFormat="1" x14ac:dyDescent="0.25"/>
    <row r="157173" customFormat="1" x14ac:dyDescent="0.25"/>
    <row r="157174" customFormat="1" x14ac:dyDescent="0.25"/>
    <row r="157175" customFormat="1" x14ac:dyDescent="0.25"/>
    <row r="157176" customFormat="1" x14ac:dyDescent="0.25"/>
    <row r="157177" customFormat="1" x14ac:dyDescent="0.25"/>
    <row r="157178" customFormat="1" x14ac:dyDescent="0.25"/>
    <row r="157179" customFormat="1" x14ac:dyDescent="0.25"/>
    <row r="157180" customFormat="1" x14ac:dyDescent="0.25"/>
    <row r="157181" customFormat="1" x14ac:dyDescent="0.25"/>
    <row r="157182" customFormat="1" x14ac:dyDescent="0.25"/>
    <row r="157183" customFormat="1" x14ac:dyDescent="0.25"/>
    <row r="157184" customFormat="1" x14ac:dyDescent="0.25"/>
    <row r="157185" customFormat="1" x14ac:dyDescent="0.25"/>
    <row r="157186" customFormat="1" x14ac:dyDescent="0.25"/>
    <row r="157187" customFormat="1" x14ac:dyDescent="0.25"/>
    <row r="157188" customFormat="1" x14ac:dyDescent="0.25"/>
    <row r="157189" customFormat="1" x14ac:dyDescent="0.25"/>
    <row r="157190" customFormat="1" x14ac:dyDescent="0.25"/>
    <row r="157191" customFormat="1" x14ac:dyDescent="0.25"/>
    <row r="157192" customFormat="1" x14ac:dyDescent="0.25"/>
    <row r="157193" customFormat="1" x14ac:dyDescent="0.25"/>
    <row r="157194" customFormat="1" x14ac:dyDescent="0.25"/>
    <row r="157195" customFormat="1" x14ac:dyDescent="0.25"/>
    <row r="157196" customFormat="1" x14ac:dyDescent="0.25"/>
    <row r="157197" customFormat="1" x14ac:dyDescent="0.25"/>
    <row r="157198" customFormat="1" x14ac:dyDescent="0.25"/>
    <row r="157199" customFormat="1" x14ac:dyDescent="0.25"/>
    <row r="157200" customFormat="1" x14ac:dyDescent="0.25"/>
    <row r="157201" customFormat="1" x14ac:dyDescent="0.25"/>
    <row r="157202" customFormat="1" x14ac:dyDescent="0.25"/>
    <row r="157203" customFormat="1" x14ac:dyDescent="0.25"/>
    <row r="157204" customFormat="1" x14ac:dyDescent="0.25"/>
    <row r="157205" customFormat="1" x14ac:dyDescent="0.25"/>
    <row r="157206" customFormat="1" x14ac:dyDescent="0.25"/>
    <row r="157207" customFormat="1" x14ac:dyDescent="0.25"/>
    <row r="157208" customFormat="1" x14ac:dyDescent="0.25"/>
    <row r="157209" customFormat="1" x14ac:dyDescent="0.25"/>
    <row r="157210" customFormat="1" x14ac:dyDescent="0.25"/>
    <row r="157211" customFormat="1" x14ac:dyDescent="0.25"/>
    <row r="157212" customFormat="1" x14ac:dyDescent="0.25"/>
    <row r="157213" customFormat="1" x14ac:dyDescent="0.25"/>
    <row r="157214" customFormat="1" x14ac:dyDescent="0.25"/>
    <row r="157215" customFormat="1" x14ac:dyDescent="0.25"/>
    <row r="157216" customFormat="1" x14ac:dyDescent="0.25"/>
    <row r="157217" customFormat="1" x14ac:dyDescent="0.25"/>
    <row r="157218" customFormat="1" x14ac:dyDescent="0.25"/>
    <row r="157219" customFormat="1" x14ac:dyDescent="0.25"/>
    <row r="157220" customFormat="1" x14ac:dyDescent="0.25"/>
    <row r="157221" customFormat="1" x14ac:dyDescent="0.25"/>
    <row r="157222" customFormat="1" x14ac:dyDescent="0.25"/>
    <row r="157223" customFormat="1" x14ac:dyDescent="0.25"/>
    <row r="157224" customFormat="1" x14ac:dyDescent="0.25"/>
    <row r="157225" customFormat="1" x14ac:dyDescent="0.25"/>
    <row r="157226" customFormat="1" x14ac:dyDescent="0.25"/>
    <row r="157227" customFormat="1" x14ac:dyDescent="0.25"/>
    <row r="157228" customFormat="1" x14ac:dyDescent="0.25"/>
    <row r="157229" customFormat="1" x14ac:dyDescent="0.25"/>
    <row r="157230" customFormat="1" x14ac:dyDescent="0.25"/>
    <row r="157231" customFormat="1" x14ac:dyDescent="0.25"/>
    <row r="157232" customFormat="1" x14ac:dyDescent="0.25"/>
    <row r="157233" customFormat="1" x14ac:dyDescent="0.25"/>
    <row r="157234" customFormat="1" x14ac:dyDescent="0.25"/>
    <row r="157235" customFormat="1" x14ac:dyDescent="0.25"/>
    <row r="157236" customFormat="1" x14ac:dyDescent="0.25"/>
    <row r="157237" customFormat="1" x14ac:dyDescent="0.25"/>
    <row r="157238" customFormat="1" x14ac:dyDescent="0.25"/>
    <row r="157239" customFormat="1" x14ac:dyDescent="0.25"/>
    <row r="157240" customFormat="1" x14ac:dyDescent="0.25"/>
    <row r="157241" customFormat="1" x14ac:dyDescent="0.25"/>
    <row r="157242" customFormat="1" x14ac:dyDescent="0.25"/>
    <row r="157243" customFormat="1" x14ac:dyDescent="0.25"/>
    <row r="157244" customFormat="1" x14ac:dyDescent="0.25"/>
    <row r="157245" customFormat="1" x14ac:dyDescent="0.25"/>
    <row r="157246" customFormat="1" x14ac:dyDescent="0.25"/>
    <row r="157247" customFormat="1" x14ac:dyDescent="0.25"/>
    <row r="157248" customFormat="1" x14ac:dyDescent="0.25"/>
    <row r="157249" customFormat="1" x14ac:dyDescent="0.25"/>
    <row r="157250" customFormat="1" x14ac:dyDescent="0.25"/>
    <row r="157251" customFormat="1" x14ac:dyDescent="0.25"/>
    <row r="157252" customFormat="1" x14ac:dyDescent="0.25"/>
    <row r="157253" customFormat="1" x14ac:dyDescent="0.25"/>
    <row r="157254" customFormat="1" x14ac:dyDescent="0.25"/>
    <row r="157255" customFormat="1" x14ac:dyDescent="0.25"/>
    <row r="157256" customFormat="1" x14ac:dyDescent="0.25"/>
    <row r="157257" customFormat="1" x14ac:dyDescent="0.25"/>
    <row r="157258" customFormat="1" x14ac:dyDescent="0.25"/>
    <row r="157259" customFormat="1" x14ac:dyDescent="0.25"/>
    <row r="157260" customFormat="1" x14ac:dyDescent="0.25"/>
    <row r="157261" customFormat="1" x14ac:dyDescent="0.25"/>
    <row r="157262" customFormat="1" x14ac:dyDescent="0.25"/>
    <row r="157263" customFormat="1" x14ac:dyDescent="0.25"/>
    <row r="157264" customFormat="1" x14ac:dyDescent="0.25"/>
    <row r="157265" customFormat="1" x14ac:dyDescent="0.25"/>
    <row r="157266" customFormat="1" x14ac:dyDescent="0.25"/>
    <row r="157267" customFormat="1" x14ac:dyDescent="0.25"/>
    <row r="157268" customFormat="1" x14ac:dyDescent="0.25"/>
    <row r="157269" customFormat="1" x14ac:dyDescent="0.25"/>
    <row r="157270" customFormat="1" x14ac:dyDescent="0.25"/>
    <row r="157271" customFormat="1" x14ac:dyDescent="0.25"/>
    <row r="157272" customFormat="1" x14ac:dyDescent="0.25"/>
    <row r="157273" customFormat="1" x14ac:dyDescent="0.25"/>
    <row r="157274" customFormat="1" x14ac:dyDescent="0.25"/>
    <row r="157275" customFormat="1" x14ac:dyDescent="0.25"/>
    <row r="157276" customFormat="1" x14ac:dyDescent="0.25"/>
    <row r="157277" customFormat="1" x14ac:dyDescent="0.25"/>
    <row r="157278" customFormat="1" x14ac:dyDescent="0.25"/>
    <row r="157279" customFormat="1" x14ac:dyDescent="0.25"/>
    <row r="157280" customFormat="1" x14ac:dyDescent="0.25"/>
    <row r="157281" customFormat="1" x14ac:dyDescent="0.25"/>
    <row r="157282" customFormat="1" x14ac:dyDescent="0.25"/>
    <row r="157283" customFormat="1" x14ac:dyDescent="0.25"/>
    <row r="157284" customFormat="1" x14ac:dyDescent="0.25"/>
    <row r="157285" customFormat="1" x14ac:dyDescent="0.25"/>
    <row r="157286" customFormat="1" x14ac:dyDescent="0.25"/>
    <row r="157287" customFormat="1" x14ac:dyDescent="0.25"/>
    <row r="157288" customFormat="1" x14ac:dyDescent="0.25"/>
    <row r="157289" customFormat="1" x14ac:dyDescent="0.25"/>
    <row r="157290" customFormat="1" x14ac:dyDescent="0.25"/>
    <row r="157291" customFormat="1" x14ac:dyDescent="0.25"/>
    <row r="157292" customFormat="1" x14ac:dyDescent="0.25"/>
    <row r="157293" customFormat="1" x14ac:dyDescent="0.25"/>
    <row r="157294" customFormat="1" x14ac:dyDescent="0.25"/>
    <row r="157295" customFormat="1" x14ac:dyDescent="0.25"/>
    <row r="157296" customFormat="1" x14ac:dyDescent="0.25"/>
    <row r="157297" customFormat="1" x14ac:dyDescent="0.25"/>
    <row r="157298" customFormat="1" x14ac:dyDescent="0.25"/>
    <row r="157299" customFormat="1" x14ac:dyDescent="0.25"/>
    <row r="157300" customFormat="1" x14ac:dyDescent="0.25"/>
    <row r="157301" customFormat="1" x14ac:dyDescent="0.25"/>
    <row r="157302" customFormat="1" x14ac:dyDescent="0.25"/>
    <row r="157303" customFormat="1" x14ac:dyDescent="0.25"/>
    <row r="157304" customFormat="1" x14ac:dyDescent="0.25"/>
    <row r="157305" customFormat="1" x14ac:dyDescent="0.25"/>
    <row r="157306" customFormat="1" x14ac:dyDescent="0.25"/>
    <row r="157307" customFormat="1" x14ac:dyDescent="0.25"/>
    <row r="157308" customFormat="1" x14ac:dyDescent="0.25"/>
    <row r="157309" customFormat="1" x14ac:dyDescent="0.25"/>
    <row r="157310" customFormat="1" x14ac:dyDescent="0.25"/>
    <row r="157311" customFormat="1" x14ac:dyDescent="0.25"/>
    <row r="157312" customFormat="1" x14ac:dyDescent="0.25"/>
    <row r="157313" customFormat="1" x14ac:dyDescent="0.25"/>
    <row r="157314" customFormat="1" x14ac:dyDescent="0.25"/>
    <row r="157315" customFormat="1" x14ac:dyDescent="0.25"/>
    <row r="157316" customFormat="1" x14ac:dyDescent="0.25"/>
    <row r="157317" customFormat="1" x14ac:dyDescent="0.25"/>
    <row r="157318" customFormat="1" x14ac:dyDescent="0.25"/>
    <row r="157319" customFormat="1" x14ac:dyDescent="0.25"/>
    <row r="157320" customFormat="1" x14ac:dyDescent="0.25"/>
    <row r="157321" customFormat="1" x14ac:dyDescent="0.25"/>
    <row r="157322" customFormat="1" x14ac:dyDescent="0.25"/>
    <row r="157323" customFormat="1" x14ac:dyDescent="0.25"/>
    <row r="157324" customFormat="1" x14ac:dyDescent="0.25"/>
    <row r="157325" customFormat="1" x14ac:dyDescent="0.25"/>
    <row r="157326" customFormat="1" x14ac:dyDescent="0.25"/>
    <row r="157327" customFormat="1" x14ac:dyDescent="0.25"/>
    <row r="157328" customFormat="1" x14ac:dyDescent="0.25"/>
    <row r="157329" customFormat="1" x14ac:dyDescent="0.25"/>
    <row r="157330" customFormat="1" x14ac:dyDescent="0.25"/>
    <row r="157331" customFormat="1" x14ac:dyDescent="0.25"/>
    <row r="157332" customFormat="1" x14ac:dyDescent="0.25"/>
    <row r="157333" customFormat="1" x14ac:dyDescent="0.25"/>
    <row r="157334" customFormat="1" x14ac:dyDescent="0.25"/>
    <row r="157335" customFormat="1" x14ac:dyDescent="0.25"/>
    <row r="157336" customFormat="1" x14ac:dyDescent="0.25"/>
    <row r="157337" customFormat="1" x14ac:dyDescent="0.25"/>
    <row r="157338" customFormat="1" x14ac:dyDescent="0.25"/>
    <row r="157339" customFormat="1" x14ac:dyDescent="0.25"/>
    <row r="157340" customFormat="1" x14ac:dyDescent="0.25"/>
    <row r="157341" customFormat="1" x14ac:dyDescent="0.25"/>
    <row r="157342" customFormat="1" x14ac:dyDescent="0.25"/>
    <row r="157343" customFormat="1" x14ac:dyDescent="0.25"/>
    <row r="157344" customFormat="1" x14ac:dyDescent="0.25"/>
    <row r="157345" customFormat="1" x14ac:dyDescent="0.25"/>
    <row r="157346" customFormat="1" x14ac:dyDescent="0.25"/>
    <row r="157347" customFormat="1" x14ac:dyDescent="0.25"/>
    <row r="157348" customFormat="1" x14ac:dyDescent="0.25"/>
    <row r="157349" customFormat="1" x14ac:dyDescent="0.25"/>
    <row r="157350" customFormat="1" x14ac:dyDescent="0.25"/>
    <row r="157351" customFormat="1" x14ac:dyDescent="0.25"/>
    <row r="157352" customFormat="1" x14ac:dyDescent="0.25"/>
    <row r="157353" customFormat="1" x14ac:dyDescent="0.25"/>
    <row r="157354" customFormat="1" x14ac:dyDescent="0.25"/>
    <row r="157355" customFormat="1" x14ac:dyDescent="0.25"/>
    <row r="157356" customFormat="1" x14ac:dyDescent="0.25"/>
    <row r="157357" customFormat="1" x14ac:dyDescent="0.25"/>
    <row r="157358" customFormat="1" x14ac:dyDescent="0.25"/>
    <row r="157359" customFormat="1" x14ac:dyDescent="0.25"/>
    <row r="157360" customFormat="1" x14ac:dyDescent="0.25"/>
    <row r="157361" customFormat="1" x14ac:dyDescent="0.25"/>
    <row r="157362" customFormat="1" x14ac:dyDescent="0.25"/>
    <row r="157363" customFormat="1" x14ac:dyDescent="0.25"/>
    <row r="157364" customFormat="1" x14ac:dyDescent="0.25"/>
    <row r="157365" customFormat="1" x14ac:dyDescent="0.25"/>
    <row r="157366" customFormat="1" x14ac:dyDescent="0.25"/>
    <row r="157367" customFormat="1" x14ac:dyDescent="0.25"/>
    <row r="157368" customFormat="1" x14ac:dyDescent="0.25"/>
    <row r="157369" customFormat="1" x14ac:dyDescent="0.25"/>
    <row r="157370" customFormat="1" x14ac:dyDescent="0.25"/>
    <row r="157371" customFormat="1" x14ac:dyDescent="0.25"/>
    <row r="157372" customFormat="1" x14ac:dyDescent="0.25"/>
    <row r="157373" customFormat="1" x14ac:dyDescent="0.25"/>
    <row r="157374" customFormat="1" x14ac:dyDescent="0.25"/>
    <row r="157375" customFormat="1" x14ac:dyDescent="0.25"/>
    <row r="157376" customFormat="1" x14ac:dyDescent="0.25"/>
    <row r="157377" customFormat="1" x14ac:dyDescent="0.25"/>
    <row r="157378" customFormat="1" x14ac:dyDescent="0.25"/>
    <row r="157379" customFormat="1" x14ac:dyDescent="0.25"/>
    <row r="157380" customFormat="1" x14ac:dyDescent="0.25"/>
    <row r="157381" customFormat="1" x14ac:dyDescent="0.25"/>
    <row r="157382" customFormat="1" x14ac:dyDescent="0.25"/>
    <row r="157383" customFormat="1" x14ac:dyDescent="0.25"/>
    <row r="157384" customFormat="1" x14ac:dyDescent="0.25"/>
    <row r="157385" customFormat="1" x14ac:dyDescent="0.25"/>
    <row r="157386" customFormat="1" x14ac:dyDescent="0.25"/>
    <row r="157387" customFormat="1" x14ac:dyDescent="0.25"/>
    <row r="157388" customFormat="1" x14ac:dyDescent="0.25"/>
    <row r="157389" customFormat="1" x14ac:dyDescent="0.25"/>
    <row r="157390" customFormat="1" x14ac:dyDescent="0.25"/>
    <row r="157391" customFormat="1" x14ac:dyDescent="0.25"/>
    <row r="157392" customFormat="1" x14ac:dyDescent="0.25"/>
    <row r="157393" customFormat="1" x14ac:dyDescent="0.25"/>
    <row r="157394" customFormat="1" x14ac:dyDescent="0.25"/>
    <row r="157395" customFormat="1" x14ac:dyDescent="0.25"/>
    <row r="157396" customFormat="1" x14ac:dyDescent="0.25"/>
    <row r="157397" customFormat="1" x14ac:dyDescent="0.25"/>
    <row r="157398" customFormat="1" x14ac:dyDescent="0.25"/>
    <row r="157399" customFormat="1" x14ac:dyDescent="0.25"/>
    <row r="157400" customFormat="1" x14ac:dyDescent="0.25"/>
    <row r="157401" customFormat="1" x14ac:dyDescent="0.25"/>
    <row r="157402" customFormat="1" x14ac:dyDescent="0.25"/>
    <row r="157403" customFormat="1" x14ac:dyDescent="0.25"/>
    <row r="157404" customFormat="1" x14ac:dyDescent="0.25"/>
    <row r="157405" customFormat="1" x14ac:dyDescent="0.25"/>
    <row r="157406" customFormat="1" x14ac:dyDescent="0.25"/>
    <row r="157407" customFormat="1" x14ac:dyDescent="0.25"/>
    <row r="157408" customFormat="1" x14ac:dyDescent="0.25"/>
    <row r="157409" customFormat="1" x14ac:dyDescent="0.25"/>
    <row r="157410" customFormat="1" x14ac:dyDescent="0.25"/>
    <row r="157411" customFormat="1" x14ac:dyDescent="0.25"/>
    <row r="157412" customFormat="1" x14ac:dyDescent="0.25"/>
    <row r="157413" customFormat="1" x14ac:dyDescent="0.25"/>
    <row r="157414" customFormat="1" x14ac:dyDescent="0.25"/>
    <row r="157415" customFormat="1" x14ac:dyDescent="0.25"/>
    <row r="157416" customFormat="1" x14ac:dyDescent="0.25"/>
    <row r="157417" customFormat="1" x14ac:dyDescent="0.25"/>
    <row r="157418" customFormat="1" x14ac:dyDescent="0.25"/>
    <row r="157419" customFormat="1" x14ac:dyDescent="0.25"/>
    <row r="157420" customFormat="1" x14ac:dyDescent="0.25"/>
    <row r="157421" customFormat="1" x14ac:dyDescent="0.25"/>
    <row r="157422" customFormat="1" x14ac:dyDescent="0.25"/>
    <row r="157423" customFormat="1" x14ac:dyDescent="0.25"/>
    <row r="157424" customFormat="1" x14ac:dyDescent="0.25"/>
    <row r="157425" customFormat="1" x14ac:dyDescent="0.25"/>
    <row r="157426" customFormat="1" x14ac:dyDescent="0.25"/>
    <row r="157427" customFormat="1" x14ac:dyDescent="0.25"/>
    <row r="157428" customFormat="1" x14ac:dyDescent="0.25"/>
    <row r="157429" customFormat="1" x14ac:dyDescent="0.25"/>
    <row r="157430" customFormat="1" x14ac:dyDescent="0.25"/>
    <row r="157431" customFormat="1" x14ac:dyDescent="0.25"/>
    <row r="157432" customFormat="1" x14ac:dyDescent="0.25"/>
    <row r="157433" customFormat="1" x14ac:dyDescent="0.25"/>
    <row r="157434" customFormat="1" x14ac:dyDescent="0.25"/>
    <row r="157435" customFormat="1" x14ac:dyDescent="0.25"/>
    <row r="157436" customFormat="1" x14ac:dyDescent="0.25"/>
    <row r="157437" customFormat="1" x14ac:dyDescent="0.25"/>
    <row r="157438" customFormat="1" x14ac:dyDescent="0.25"/>
    <row r="157439" customFormat="1" x14ac:dyDescent="0.25"/>
    <row r="157440" customFormat="1" x14ac:dyDescent="0.25"/>
    <row r="157441" customFormat="1" x14ac:dyDescent="0.25"/>
    <row r="157442" customFormat="1" x14ac:dyDescent="0.25"/>
    <row r="157443" customFormat="1" x14ac:dyDescent="0.25"/>
    <row r="157444" customFormat="1" x14ac:dyDescent="0.25"/>
    <row r="157445" customFormat="1" x14ac:dyDescent="0.25"/>
    <row r="157446" customFormat="1" x14ac:dyDescent="0.25"/>
    <row r="157447" customFormat="1" x14ac:dyDescent="0.25"/>
    <row r="157448" customFormat="1" x14ac:dyDescent="0.25"/>
    <row r="157449" customFormat="1" x14ac:dyDescent="0.25"/>
    <row r="157450" customFormat="1" x14ac:dyDescent="0.25"/>
    <row r="157451" customFormat="1" x14ac:dyDescent="0.25"/>
    <row r="157452" customFormat="1" x14ac:dyDescent="0.25"/>
    <row r="157453" customFormat="1" x14ac:dyDescent="0.25"/>
    <row r="157454" customFormat="1" x14ac:dyDescent="0.25"/>
    <row r="157455" customFormat="1" x14ac:dyDescent="0.25"/>
    <row r="157456" customFormat="1" x14ac:dyDescent="0.25"/>
    <row r="157457" customFormat="1" x14ac:dyDescent="0.25"/>
    <row r="157458" customFormat="1" x14ac:dyDescent="0.25"/>
    <row r="157459" customFormat="1" x14ac:dyDescent="0.25"/>
    <row r="157460" customFormat="1" x14ac:dyDescent="0.25"/>
    <row r="157461" customFormat="1" x14ac:dyDescent="0.25"/>
    <row r="157462" customFormat="1" x14ac:dyDescent="0.25"/>
    <row r="157463" customFormat="1" x14ac:dyDescent="0.25"/>
    <row r="157464" customFormat="1" x14ac:dyDescent="0.25"/>
    <row r="157465" customFormat="1" x14ac:dyDescent="0.25"/>
    <row r="157466" customFormat="1" x14ac:dyDescent="0.25"/>
    <row r="157467" customFormat="1" x14ac:dyDescent="0.25"/>
    <row r="157468" customFormat="1" x14ac:dyDescent="0.25"/>
    <row r="157469" customFormat="1" x14ac:dyDescent="0.25"/>
    <row r="157470" customFormat="1" x14ac:dyDescent="0.25"/>
    <row r="157471" customFormat="1" x14ac:dyDescent="0.25"/>
    <row r="157472" customFormat="1" x14ac:dyDescent="0.25"/>
    <row r="157473" customFormat="1" x14ac:dyDescent="0.25"/>
    <row r="157474" customFormat="1" x14ac:dyDescent="0.25"/>
    <row r="157475" customFormat="1" x14ac:dyDescent="0.25"/>
    <row r="157476" customFormat="1" x14ac:dyDescent="0.25"/>
    <row r="157477" customFormat="1" x14ac:dyDescent="0.25"/>
    <row r="157478" customFormat="1" x14ac:dyDescent="0.25"/>
    <row r="157479" customFormat="1" x14ac:dyDescent="0.25"/>
    <row r="157480" customFormat="1" x14ac:dyDescent="0.25"/>
    <row r="157481" customFormat="1" x14ac:dyDescent="0.25"/>
    <row r="157482" customFormat="1" x14ac:dyDescent="0.25"/>
    <row r="157483" customFormat="1" x14ac:dyDescent="0.25"/>
    <row r="157484" customFormat="1" x14ac:dyDescent="0.25"/>
    <row r="157485" customFormat="1" x14ac:dyDescent="0.25"/>
    <row r="157486" customFormat="1" x14ac:dyDescent="0.25"/>
    <row r="157487" customFormat="1" x14ac:dyDescent="0.25"/>
    <row r="157488" customFormat="1" x14ac:dyDescent="0.25"/>
    <row r="157489" customFormat="1" x14ac:dyDescent="0.25"/>
    <row r="157490" customFormat="1" x14ac:dyDescent="0.25"/>
    <row r="157491" customFormat="1" x14ac:dyDescent="0.25"/>
    <row r="157492" customFormat="1" x14ac:dyDescent="0.25"/>
    <row r="157493" customFormat="1" x14ac:dyDescent="0.25"/>
    <row r="157494" customFormat="1" x14ac:dyDescent="0.25"/>
    <row r="157495" customFormat="1" x14ac:dyDescent="0.25"/>
    <row r="157496" customFormat="1" x14ac:dyDescent="0.25"/>
    <row r="157497" customFormat="1" x14ac:dyDescent="0.25"/>
    <row r="157498" customFormat="1" x14ac:dyDescent="0.25"/>
    <row r="157499" customFormat="1" x14ac:dyDescent="0.25"/>
    <row r="157500" customFormat="1" x14ac:dyDescent="0.25"/>
    <row r="157501" customFormat="1" x14ac:dyDescent="0.25"/>
    <row r="157502" customFormat="1" x14ac:dyDescent="0.25"/>
    <row r="157503" customFormat="1" x14ac:dyDescent="0.25"/>
    <row r="157504" customFormat="1" x14ac:dyDescent="0.25"/>
    <row r="157505" customFormat="1" x14ac:dyDescent="0.25"/>
    <row r="157506" customFormat="1" x14ac:dyDescent="0.25"/>
    <row r="157507" customFormat="1" x14ac:dyDescent="0.25"/>
    <row r="157508" customFormat="1" x14ac:dyDescent="0.25"/>
    <row r="157509" customFormat="1" x14ac:dyDescent="0.25"/>
    <row r="157510" customFormat="1" x14ac:dyDescent="0.25"/>
    <row r="157511" customFormat="1" x14ac:dyDescent="0.25"/>
    <row r="157512" customFormat="1" x14ac:dyDescent="0.25"/>
    <row r="157513" customFormat="1" x14ac:dyDescent="0.25"/>
    <row r="157514" customFormat="1" x14ac:dyDescent="0.25"/>
    <row r="157515" customFormat="1" x14ac:dyDescent="0.25"/>
    <row r="157516" customFormat="1" x14ac:dyDescent="0.25"/>
    <row r="157517" customFormat="1" x14ac:dyDescent="0.25"/>
    <row r="157518" customFormat="1" x14ac:dyDescent="0.25"/>
    <row r="157519" customFormat="1" x14ac:dyDescent="0.25"/>
    <row r="157520" customFormat="1" x14ac:dyDescent="0.25"/>
    <row r="157521" customFormat="1" x14ac:dyDescent="0.25"/>
    <row r="157522" customFormat="1" x14ac:dyDescent="0.25"/>
    <row r="157523" customFormat="1" x14ac:dyDescent="0.25"/>
    <row r="157524" customFormat="1" x14ac:dyDescent="0.25"/>
    <row r="157525" customFormat="1" x14ac:dyDescent="0.25"/>
    <row r="157526" customFormat="1" x14ac:dyDescent="0.25"/>
    <row r="157527" customFormat="1" x14ac:dyDescent="0.25"/>
    <row r="157528" customFormat="1" x14ac:dyDescent="0.25"/>
    <row r="157529" customFormat="1" x14ac:dyDescent="0.25"/>
    <row r="157530" customFormat="1" x14ac:dyDescent="0.25"/>
    <row r="157531" customFormat="1" x14ac:dyDescent="0.25"/>
    <row r="157532" customFormat="1" x14ac:dyDescent="0.25"/>
    <row r="157533" customFormat="1" x14ac:dyDescent="0.25"/>
    <row r="157534" customFormat="1" x14ac:dyDescent="0.25"/>
    <row r="157535" customFormat="1" x14ac:dyDescent="0.25"/>
    <row r="157536" customFormat="1" x14ac:dyDescent="0.25"/>
    <row r="157537" customFormat="1" x14ac:dyDescent="0.25"/>
    <row r="157538" customFormat="1" x14ac:dyDescent="0.25"/>
    <row r="157539" customFormat="1" x14ac:dyDescent="0.25"/>
    <row r="157540" customFormat="1" x14ac:dyDescent="0.25"/>
    <row r="157541" customFormat="1" x14ac:dyDescent="0.25"/>
    <row r="157542" customFormat="1" x14ac:dyDescent="0.25"/>
    <row r="157543" customFormat="1" x14ac:dyDescent="0.25"/>
    <row r="157544" customFormat="1" x14ac:dyDescent="0.25"/>
    <row r="157545" customFormat="1" x14ac:dyDescent="0.25"/>
    <row r="157546" customFormat="1" x14ac:dyDescent="0.25"/>
    <row r="157547" customFormat="1" x14ac:dyDescent="0.25"/>
    <row r="157548" customFormat="1" x14ac:dyDescent="0.25"/>
    <row r="157549" customFormat="1" x14ac:dyDescent="0.25"/>
    <row r="157550" customFormat="1" x14ac:dyDescent="0.25"/>
    <row r="157551" customFormat="1" x14ac:dyDescent="0.25"/>
    <row r="157552" customFormat="1" x14ac:dyDescent="0.25"/>
    <row r="157553" customFormat="1" x14ac:dyDescent="0.25"/>
    <row r="157554" customFormat="1" x14ac:dyDescent="0.25"/>
    <row r="157555" customFormat="1" x14ac:dyDescent="0.25"/>
    <row r="157556" customFormat="1" x14ac:dyDescent="0.25"/>
    <row r="157557" customFormat="1" x14ac:dyDescent="0.25"/>
    <row r="157558" customFormat="1" x14ac:dyDescent="0.25"/>
    <row r="157559" customFormat="1" x14ac:dyDescent="0.25"/>
    <row r="157560" customFormat="1" x14ac:dyDescent="0.25"/>
    <row r="157561" customFormat="1" x14ac:dyDescent="0.25"/>
    <row r="157562" customFormat="1" x14ac:dyDescent="0.25"/>
    <row r="157563" customFormat="1" x14ac:dyDescent="0.25"/>
    <row r="157564" customFormat="1" x14ac:dyDescent="0.25"/>
    <row r="157565" customFormat="1" x14ac:dyDescent="0.25"/>
    <row r="157566" customFormat="1" x14ac:dyDescent="0.25"/>
    <row r="157567" customFormat="1" x14ac:dyDescent="0.25"/>
    <row r="157568" customFormat="1" x14ac:dyDescent="0.25"/>
    <row r="157569" customFormat="1" x14ac:dyDescent="0.25"/>
    <row r="157570" customFormat="1" x14ac:dyDescent="0.25"/>
    <row r="157571" customFormat="1" x14ac:dyDescent="0.25"/>
    <row r="157572" customFormat="1" x14ac:dyDescent="0.25"/>
    <row r="157573" customFormat="1" x14ac:dyDescent="0.25"/>
    <row r="157574" customFormat="1" x14ac:dyDescent="0.25"/>
    <row r="157575" customFormat="1" x14ac:dyDescent="0.25"/>
    <row r="157576" customFormat="1" x14ac:dyDescent="0.25"/>
    <row r="157577" customFormat="1" x14ac:dyDescent="0.25"/>
    <row r="157578" customFormat="1" x14ac:dyDescent="0.25"/>
    <row r="157579" customFormat="1" x14ac:dyDescent="0.25"/>
    <row r="157580" customFormat="1" x14ac:dyDescent="0.25"/>
    <row r="157581" customFormat="1" x14ac:dyDescent="0.25"/>
    <row r="157582" customFormat="1" x14ac:dyDescent="0.25"/>
    <row r="157583" customFormat="1" x14ac:dyDescent="0.25"/>
    <row r="157584" customFormat="1" x14ac:dyDescent="0.25"/>
    <row r="157585" customFormat="1" x14ac:dyDescent="0.25"/>
    <row r="157586" customFormat="1" x14ac:dyDescent="0.25"/>
    <row r="157587" customFormat="1" x14ac:dyDescent="0.25"/>
    <row r="157588" customFormat="1" x14ac:dyDescent="0.25"/>
    <row r="157589" customFormat="1" x14ac:dyDescent="0.25"/>
    <row r="157590" customFormat="1" x14ac:dyDescent="0.25"/>
    <row r="157591" customFormat="1" x14ac:dyDescent="0.25"/>
    <row r="157592" customFormat="1" x14ac:dyDescent="0.25"/>
    <row r="157593" customFormat="1" x14ac:dyDescent="0.25"/>
    <row r="157594" customFormat="1" x14ac:dyDescent="0.25"/>
    <row r="157595" customFormat="1" x14ac:dyDescent="0.25"/>
    <row r="157596" customFormat="1" x14ac:dyDescent="0.25"/>
    <row r="157597" customFormat="1" x14ac:dyDescent="0.25"/>
    <row r="157598" customFormat="1" x14ac:dyDescent="0.25"/>
    <row r="157599" customFormat="1" x14ac:dyDescent="0.25"/>
    <row r="157600" customFormat="1" x14ac:dyDescent="0.25"/>
    <row r="157601" customFormat="1" x14ac:dyDescent="0.25"/>
    <row r="157602" customFormat="1" x14ac:dyDescent="0.25"/>
    <row r="157603" customFormat="1" x14ac:dyDescent="0.25"/>
    <row r="157604" customFormat="1" x14ac:dyDescent="0.25"/>
    <row r="157605" customFormat="1" x14ac:dyDescent="0.25"/>
    <row r="157606" customFormat="1" x14ac:dyDescent="0.25"/>
    <row r="157607" customFormat="1" x14ac:dyDescent="0.25"/>
    <row r="157608" customFormat="1" x14ac:dyDescent="0.25"/>
    <row r="157609" customFormat="1" x14ac:dyDescent="0.25"/>
    <row r="157610" customFormat="1" x14ac:dyDescent="0.25"/>
    <row r="157611" customFormat="1" x14ac:dyDescent="0.25"/>
    <row r="157612" customFormat="1" x14ac:dyDescent="0.25"/>
    <row r="157613" customFormat="1" x14ac:dyDescent="0.25"/>
    <row r="157614" customFormat="1" x14ac:dyDescent="0.25"/>
    <row r="157615" customFormat="1" x14ac:dyDescent="0.25"/>
    <row r="157616" customFormat="1" x14ac:dyDescent="0.25"/>
    <row r="157617" customFormat="1" x14ac:dyDescent="0.25"/>
    <row r="157618" customFormat="1" x14ac:dyDescent="0.25"/>
    <row r="157619" customFormat="1" x14ac:dyDescent="0.25"/>
    <row r="157620" customFormat="1" x14ac:dyDescent="0.25"/>
    <row r="157621" customFormat="1" x14ac:dyDescent="0.25"/>
    <row r="157622" customFormat="1" x14ac:dyDescent="0.25"/>
    <row r="157623" customFormat="1" x14ac:dyDescent="0.25"/>
    <row r="157624" customFormat="1" x14ac:dyDescent="0.25"/>
    <row r="157625" customFormat="1" x14ac:dyDescent="0.25"/>
    <row r="157626" customFormat="1" x14ac:dyDescent="0.25"/>
    <row r="157627" customFormat="1" x14ac:dyDescent="0.25"/>
    <row r="157628" customFormat="1" x14ac:dyDescent="0.25"/>
    <row r="157629" customFormat="1" x14ac:dyDescent="0.25"/>
    <row r="157630" customFormat="1" x14ac:dyDescent="0.25"/>
    <row r="157631" customFormat="1" x14ac:dyDescent="0.25"/>
    <row r="157632" customFormat="1" x14ac:dyDescent="0.25"/>
    <row r="157633" customFormat="1" x14ac:dyDescent="0.25"/>
    <row r="157634" customFormat="1" x14ac:dyDescent="0.25"/>
    <row r="157635" customFormat="1" x14ac:dyDescent="0.25"/>
    <row r="157636" customFormat="1" x14ac:dyDescent="0.25"/>
    <row r="157637" customFormat="1" x14ac:dyDescent="0.25"/>
    <row r="157638" customFormat="1" x14ac:dyDescent="0.25"/>
    <row r="157639" customFormat="1" x14ac:dyDescent="0.25"/>
    <row r="157640" customFormat="1" x14ac:dyDescent="0.25"/>
    <row r="157641" customFormat="1" x14ac:dyDescent="0.25"/>
    <row r="157642" customFormat="1" x14ac:dyDescent="0.25"/>
    <row r="157643" customFormat="1" x14ac:dyDescent="0.25"/>
    <row r="157644" customFormat="1" x14ac:dyDescent="0.25"/>
    <row r="157645" customFormat="1" x14ac:dyDescent="0.25"/>
    <row r="157646" customFormat="1" x14ac:dyDescent="0.25"/>
    <row r="157647" customFormat="1" x14ac:dyDescent="0.25"/>
    <row r="157648" customFormat="1" x14ac:dyDescent="0.25"/>
    <row r="157649" customFormat="1" x14ac:dyDescent="0.25"/>
    <row r="157650" customFormat="1" x14ac:dyDescent="0.25"/>
    <row r="157651" customFormat="1" x14ac:dyDescent="0.25"/>
    <row r="157652" customFormat="1" x14ac:dyDescent="0.25"/>
    <row r="157653" customFormat="1" x14ac:dyDescent="0.25"/>
    <row r="157654" customFormat="1" x14ac:dyDescent="0.25"/>
    <row r="157655" customFormat="1" x14ac:dyDescent="0.25"/>
    <row r="157656" customFormat="1" x14ac:dyDescent="0.25"/>
    <row r="157657" customFormat="1" x14ac:dyDescent="0.25"/>
    <row r="157658" customFormat="1" x14ac:dyDescent="0.25"/>
    <row r="157659" customFormat="1" x14ac:dyDescent="0.25"/>
    <row r="157660" customFormat="1" x14ac:dyDescent="0.25"/>
    <row r="157661" customFormat="1" x14ac:dyDescent="0.25"/>
    <row r="157662" customFormat="1" x14ac:dyDescent="0.25"/>
    <row r="157663" customFormat="1" x14ac:dyDescent="0.25"/>
    <row r="157664" customFormat="1" x14ac:dyDescent="0.25"/>
    <row r="157665" customFormat="1" x14ac:dyDescent="0.25"/>
    <row r="157666" customFormat="1" x14ac:dyDescent="0.25"/>
    <row r="157667" customFormat="1" x14ac:dyDescent="0.25"/>
    <row r="157668" customFormat="1" x14ac:dyDescent="0.25"/>
    <row r="157669" customFormat="1" x14ac:dyDescent="0.25"/>
    <row r="157670" customFormat="1" x14ac:dyDescent="0.25"/>
    <row r="157671" customFormat="1" x14ac:dyDescent="0.25"/>
    <row r="157672" customFormat="1" x14ac:dyDescent="0.25"/>
    <row r="157673" customFormat="1" x14ac:dyDescent="0.25"/>
    <row r="157674" customFormat="1" x14ac:dyDescent="0.25"/>
    <row r="157675" customFormat="1" x14ac:dyDescent="0.25"/>
    <row r="157676" customFormat="1" x14ac:dyDescent="0.25"/>
    <row r="157677" customFormat="1" x14ac:dyDescent="0.25"/>
    <row r="157678" customFormat="1" x14ac:dyDescent="0.25"/>
    <row r="157679" customFormat="1" x14ac:dyDescent="0.25"/>
    <row r="157680" customFormat="1" x14ac:dyDescent="0.25"/>
    <row r="157681" customFormat="1" x14ac:dyDescent="0.25"/>
    <row r="157682" customFormat="1" x14ac:dyDescent="0.25"/>
    <row r="157683" customFormat="1" x14ac:dyDescent="0.25"/>
    <row r="157684" customFormat="1" x14ac:dyDescent="0.25"/>
    <row r="157685" customFormat="1" x14ac:dyDescent="0.25"/>
    <row r="157686" customFormat="1" x14ac:dyDescent="0.25"/>
    <row r="157687" customFormat="1" x14ac:dyDescent="0.25"/>
    <row r="157688" customFormat="1" x14ac:dyDescent="0.25"/>
    <row r="157689" customFormat="1" x14ac:dyDescent="0.25"/>
    <row r="157690" customFormat="1" x14ac:dyDescent="0.25"/>
    <row r="157691" customFormat="1" x14ac:dyDescent="0.25"/>
    <row r="157692" customFormat="1" x14ac:dyDescent="0.25"/>
    <row r="157693" customFormat="1" x14ac:dyDescent="0.25"/>
    <row r="157694" customFormat="1" x14ac:dyDescent="0.25"/>
    <row r="157695" customFormat="1" x14ac:dyDescent="0.25"/>
    <row r="157696" customFormat="1" x14ac:dyDescent="0.25"/>
    <row r="157697" customFormat="1" x14ac:dyDescent="0.25"/>
    <row r="157698" customFormat="1" x14ac:dyDescent="0.25"/>
    <row r="157699" customFormat="1" x14ac:dyDescent="0.25"/>
    <row r="157700" customFormat="1" x14ac:dyDescent="0.25"/>
    <row r="157701" customFormat="1" x14ac:dyDescent="0.25"/>
    <row r="157702" customFormat="1" x14ac:dyDescent="0.25"/>
    <row r="157703" customFormat="1" x14ac:dyDescent="0.25"/>
    <row r="157704" customFormat="1" x14ac:dyDescent="0.25"/>
    <row r="157705" customFormat="1" x14ac:dyDescent="0.25"/>
    <row r="157706" customFormat="1" x14ac:dyDescent="0.25"/>
    <row r="157707" customFormat="1" x14ac:dyDescent="0.25"/>
    <row r="157708" customFormat="1" x14ac:dyDescent="0.25"/>
    <row r="157709" customFormat="1" x14ac:dyDescent="0.25"/>
    <row r="157710" customFormat="1" x14ac:dyDescent="0.25"/>
    <row r="157711" customFormat="1" x14ac:dyDescent="0.25"/>
    <row r="157712" customFormat="1" x14ac:dyDescent="0.25"/>
    <row r="157713" customFormat="1" x14ac:dyDescent="0.25"/>
    <row r="157714" customFormat="1" x14ac:dyDescent="0.25"/>
    <row r="157715" customFormat="1" x14ac:dyDescent="0.25"/>
    <row r="157716" customFormat="1" x14ac:dyDescent="0.25"/>
    <row r="157717" customFormat="1" x14ac:dyDescent="0.25"/>
    <row r="157718" customFormat="1" x14ac:dyDescent="0.25"/>
    <row r="157719" customFormat="1" x14ac:dyDescent="0.25"/>
    <row r="157720" customFormat="1" x14ac:dyDescent="0.25"/>
    <row r="157721" customFormat="1" x14ac:dyDescent="0.25"/>
    <row r="157722" customFormat="1" x14ac:dyDescent="0.25"/>
    <row r="157723" customFormat="1" x14ac:dyDescent="0.25"/>
    <row r="157724" customFormat="1" x14ac:dyDescent="0.25"/>
    <row r="157725" customFormat="1" x14ac:dyDescent="0.25"/>
    <row r="157726" customFormat="1" x14ac:dyDescent="0.25"/>
    <row r="157727" customFormat="1" x14ac:dyDescent="0.25"/>
    <row r="157728" customFormat="1" x14ac:dyDescent="0.25"/>
    <row r="157729" customFormat="1" x14ac:dyDescent="0.25"/>
    <row r="157730" customFormat="1" x14ac:dyDescent="0.25"/>
    <row r="157731" customFormat="1" x14ac:dyDescent="0.25"/>
    <row r="157732" customFormat="1" x14ac:dyDescent="0.25"/>
    <row r="157733" customFormat="1" x14ac:dyDescent="0.25"/>
    <row r="157734" customFormat="1" x14ac:dyDescent="0.25"/>
    <row r="157735" customFormat="1" x14ac:dyDescent="0.25"/>
    <row r="157736" customFormat="1" x14ac:dyDescent="0.25"/>
    <row r="157737" customFormat="1" x14ac:dyDescent="0.25"/>
    <row r="157738" customFormat="1" x14ac:dyDescent="0.25"/>
    <row r="157739" customFormat="1" x14ac:dyDescent="0.25"/>
    <row r="157740" customFormat="1" x14ac:dyDescent="0.25"/>
    <row r="157741" customFormat="1" x14ac:dyDescent="0.25"/>
    <row r="157742" customFormat="1" x14ac:dyDescent="0.25"/>
    <row r="157743" customFormat="1" x14ac:dyDescent="0.25"/>
    <row r="157744" customFormat="1" x14ac:dyDescent="0.25"/>
    <row r="157745" customFormat="1" x14ac:dyDescent="0.25"/>
    <row r="157746" customFormat="1" x14ac:dyDescent="0.25"/>
    <row r="157747" customFormat="1" x14ac:dyDescent="0.25"/>
    <row r="157748" customFormat="1" x14ac:dyDescent="0.25"/>
    <row r="157749" customFormat="1" x14ac:dyDescent="0.25"/>
    <row r="157750" customFormat="1" x14ac:dyDescent="0.25"/>
    <row r="157751" customFormat="1" x14ac:dyDescent="0.25"/>
    <row r="157752" customFormat="1" x14ac:dyDescent="0.25"/>
    <row r="157753" customFormat="1" x14ac:dyDescent="0.25"/>
    <row r="157754" customFormat="1" x14ac:dyDescent="0.25"/>
    <row r="157755" customFormat="1" x14ac:dyDescent="0.25"/>
    <row r="157756" customFormat="1" x14ac:dyDescent="0.25"/>
    <row r="157757" customFormat="1" x14ac:dyDescent="0.25"/>
    <row r="157758" customFormat="1" x14ac:dyDescent="0.25"/>
    <row r="157759" customFormat="1" x14ac:dyDescent="0.25"/>
    <row r="157760" customFormat="1" x14ac:dyDescent="0.25"/>
    <row r="157761" customFormat="1" x14ac:dyDescent="0.25"/>
    <row r="157762" customFormat="1" x14ac:dyDescent="0.25"/>
    <row r="157763" customFormat="1" x14ac:dyDescent="0.25"/>
    <row r="157764" customFormat="1" x14ac:dyDescent="0.25"/>
    <row r="157765" customFormat="1" x14ac:dyDescent="0.25"/>
    <row r="157766" customFormat="1" x14ac:dyDescent="0.25"/>
    <row r="157767" customFormat="1" x14ac:dyDescent="0.25"/>
    <row r="157768" customFormat="1" x14ac:dyDescent="0.25"/>
    <row r="157769" customFormat="1" x14ac:dyDescent="0.25"/>
    <row r="157770" customFormat="1" x14ac:dyDescent="0.25"/>
    <row r="157771" customFormat="1" x14ac:dyDescent="0.25"/>
    <row r="157772" customFormat="1" x14ac:dyDescent="0.25"/>
    <row r="157773" customFormat="1" x14ac:dyDescent="0.25"/>
    <row r="157774" customFormat="1" x14ac:dyDescent="0.25"/>
    <row r="157775" customFormat="1" x14ac:dyDescent="0.25"/>
    <row r="157776" customFormat="1" x14ac:dyDescent="0.25"/>
    <row r="157777" customFormat="1" x14ac:dyDescent="0.25"/>
    <row r="157778" customFormat="1" x14ac:dyDescent="0.25"/>
    <row r="157779" customFormat="1" x14ac:dyDescent="0.25"/>
    <row r="157780" customFormat="1" x14ac:dyDescent="0.25"/>
    <row r="157781" customFormat="1" x14ac:dyDescent="0.25"/>
    <row r="157782" customFormat="1" x14ac:dyDescent="0.25"/>
    <row r="157783" customFormat="1" x14ac:dyDescent="0.25"/>
    <row r="157784" customFormat="1" x14ac:dyDescent="0.25"/>
    <row r="157785" customFormat="1" x14ac:dyDescent="0.25"/>
    <row r="157786" customFormat="1" x14ac:dyDescent="0.25"/>
    <row r="157787" customFormat="1" x14ac:dyDescent="0.25"/>
    <row r="157788" customFormat="1" x14ac:dyDescent="0.25"/>
    <row r="157789" customFormat="1" x14ac:dyDescent="0.25"/>
    <row r="157790" customFormat="1" x14ac:dyDescent="0.25"/>
    <row r="157791" customFormat="1" x14ac:dyDescent="0.25"/>
    <row r="157792" customFormat="1" x14ac:dyDescent="0.25"/>
    <row r="157793" customFormat="1" x14ac:dyDescent="0.25"/>
    <row r="157794" customFormat="1" x14ac:dyDescent="0.25"/>
    <row r="157795" customFormat="1" x14ac:dyDescent="0.25"/>
    <row r="157796" customFormat="1" x14ac:dyDescent="0.25"/>
    <row r="157797" customFormat="1" x14ac:dyDescent="0.25"/>
    <row r="157798" customFormat="1" x14ac:dyDescent="0.25"/>
    <row r="157799" customFormat="1" x14ac:dyDescent="0.25"/>
    <row r="157800" customFormat="1" x14ac:dyDescent="0.25"/>
    <row r="157801" customFormat="1" x14ac:dyDescent="0.25"/>
    <row r="157802" customFormat="1" x14ac:dyDescent="0.25"/>
    <row r="157803" customFormat="1" x14ac:dyDescent="0.25"/>
    <row r="157804" customFormat="1" x14ac:dyDescent="0.25"/>
    <row r="157805" customFormat="1" x14ac:dyDescent="0.25"/>
    <row r="157806" customFormat="1" x14ac:dyDescent="0.25"/>
    <row r="157807" customFormat="1" x14ac:dyDescent="0.25"/>
    <row r="157808" customFormat="1" x14ac:dyDescent="0.25"/>
    <row r="157809" customFormat="1" x14ac:dyDescent="0.25"/>
    <row r="157810" customFormat="1" x14ac:dyDescent="0.25"/>
    <row r="157811" customFormat="1" x14ac:dyDescent="0.25"/>
    <row r="157812" customFormat="1" x14ac:dyDescent="0.25"/>
    <row r="157813" customFormat="1" x14ac:dyDescent="0.25"/>
    <row r="157814" customFormat="1" x14ac:dyDescent="0.25"/>
    <row r="157815" customFormat="1" x14ac:dyDescent="0.25"/>
    <row r="157816" customFormat="1" x14ac:dyDescent="0.25"/>
    <row r="157817" customFormat="1" x14ac:dyDescent="0.25"/>
    <row r="157818" customFormat="1" x14ac:dyDescent="0.25"/>
    <row r="157819" customFormat="1" x14ac:dyDescent="0.25"/>
    <row r="157820" customFormat="1" x14ac:dyDescent="0.25"/>
    <row r="157821" customFormat="1" x14ac:dyDescent="0.25"/>
    <row r="157822" customFormat="1" x14ac:dyDescent="0.25"/>
    <row r="157823" customFormat="1" x14ac:dyDescent="0.25"/>
    <row r="157824" customFormat="1" x14ac:dyDescent="0.25"/>
    <row r="157825" customFormat="1" x14ac:dyDescent="0.25"/>
    <row r="157826" customFormat="1" x14ac:dyDescent="0.25"/>
    <row r="157827" customFormat="1" x14ac:dyDescent="0.25"/>
    <row r="157828" customFormat="1" x14ac:dyDescent="0.25"/>
    <row r="157829" customFormat="1" x14ac:dyDescent="0.25"/>
    <row r="157830" customFormat="1" x14ac:dyDescent="0.25"/>
    <row r="157831" customFormat="1" x14ac:dyDescent="0.25"/>
    <row r="157832" customFormat="1" x14ac:dyDescent="0.25"/>
    <row r="157833" customFormat="1" x14ac:dyDescent="0.25"/>
    <row r="157834" customFormat="1" x14ac:dyDescent="0.25"/>
    <row r="157835" customFormat="1" x14ac:dyDescent="0.25"/>
    <row r="157836" customFormat="1" x14ac:dyDescent="0.25"/>
    <row r="157837" customFormat="1" x14ac:dyDescent="0.25"/>
    <row r="157838" customFormat="1" x14ac:dyDescent="0.25"/>
    <row r="157839" customFormat="1" x14ac:dyDescent="0.25"/>
    <row r="157840" customFormat="1" x14ac:dyDescent="0.25"/>
    <row r="157841" customFormat="1" x14ac:dyDescent="0.25"/>
    <row r="157842" customFormat="1" x14ac:dyDescent="0.25"/>
    <row r="157843" customFormat="1" x14ac:dyDescent="0.25"/>
    <row r="157844" customFormat="1" x14ac:dyDescent="0.25"/>
    <row r="157845" customFormat="1" x14ac:dyDescent="0.25"/>
    <row r="157846" customFormat="1" x14ac:dyDescent="0.25"/>
    <row r="157847" customFormat="1" x14ac:dyDescent="0.25"/>
    <row r="157848" customFormat="1" x14ac:dyDescent="0.25"/>
    <row r="157849" customFormat="1" x14ac:dyDescent="0.25"/>
    <row r="157850" customFormat="1" x14ac:dyDescent="0.25"/>
    <row r="157851" customFormat="1" x14ac:dyDescent="0.25"/>
    <row r="157852" customFormat="1" x14ac:dyDescent="0.25"/>
    <row r="157853" customFormat="1" x14ac:dyDescent="0.25"/>
    <row r="157854" customFormat="1" x14ac:dyDescent="0.25"/>
    <row r="157855" customFormat="1" x14ac:dyDescent="0.25"/>
    <row r="157856" customFormat="1" x14ac:dyDescent="0.25"/>
    <row r="157857" customFormat="1" x14ac:dyDescent="0.25"/>
    <row r="157858" customFormat="1" x14ac:dyDescent="0.25"/>
    <row r="157859" customFormat="1" x14ac:dyDescent="0.25"/>
    <row r="157860" customFormat="1" x14ac:dyDescent="0.25"/>
    <row r="157861" customFormat="1" x14ac:dyDescent="0.25"/>
    <row r="157862" customFormat="1" x14ac:dyDescent="0.25"/>
    <row r="157863" customFormat="1" x14ac:dyDescent="0.25"/>
    <row r="157864" customFormat="1" x14ac:dyDescent="0.25"/>
    <row r="157865" customFormat="1" x14ac:dyDescent="0.25"/>
    <row r="157866" customFormat="1" x14ac:dyDescent="0.25"/>
    <row r="157867" customFormat="1" x14ac:dyDescent="0.25"/>
    <row r="157868" customFormat="1" x14ac:dyDescent="0.25"/>
    <row r="157869" customFormat="1" x14ac:dyDescent="0.25"/>
    <row r="157870" customFormat="1" x14ac:dyDescent="0.25"/>
    <row r="157871" customFormat="1" x14ac:dyDescent="0.25"/>
    <row r="157872" customFormat="1" x14ac:dyDescent="0.25"/>
    <row r="157873" customFormat="1" x14ac:dyDescent="0.25"/>
    <row r="157874" customFormat="1" x14ac:dyDescent="0.25"/>
    <row r="157875" customFormat="1" x14ac:dyDescent="0.25"/>
    <row r="157876" customFormat="1" x14ac:dyDescent="0.25"/>
    <row r="157877" customFormat="1" x14ac:dyDescent="0.25"/>
    <row r="157878" customFormat="1" x14ac:dyDescent="0.25"/>
    <row r="157879" customFormat="1" x14ac:dyDescent="0.25"/>
    <row r="157880" customFormat="1" x14ac:dyDescent="0.25"/>
    <row r="157881" customFormat="1" x14ac:dyDescent="0.25"/>
    <row r="157882" customFormat="1" x14ac:dyDescent="0.25"/>
    <row r="157883" customFormat="1" x14ac:dyDescent="0.25"/>
    <row r="157884" customFormat="1" x14ac:dyDescent="0.25"/>
    <row r="157885" customFormat="1" x14ac:dyDescent="0.25"/>
    <row r="157886" customFormat="1" x14ac:dyDescent="0.25"/>
    <row r="157887" customFormat="1" x14ac:dyDescent="0.25"/>
    <row r="157888" customFormat="1" x14ac:dyDescent="0.25"/>
    <row r="157889" customFormat="1" x14ac:dyDescent="0.25"/>
    <row r="157890" customFormat="1" x14ac:dyDescent="0.25"/>
    <row r="157891" customFormat="1" x14ac:dyDescent="0.25"/>
    <row r="157892" customFormat="1" x14ac:dyDescent="0.25"/>
    <row r="157893" customFormat="1" x14ac:dyDescent="0.25"/>
    <row r="157894" customFormat="1" x14ac:dyDescent="0.25"/>
    <row r="157895" customFormat="1" x14ac:dyDescent="0.25"/>
    <row r="157896" customFormat="1" x14ac:dyDescent="0.25"/>
    <row r="157897" customFormat="1" x14ac:dyDescent="0.25"/>
    <row r="157898" customFormat="1" x14ac:dyDescent="0.25"/>
    <row r="157899" customFormat="1" x14ac:dyDescent="0.25"/>
    <row r="157900" customFormat="1" x14ac:dyDescent="0.25"/>
    <row r="157901" customFormat="1" x14ac:dyDescent="0.25"/>
    <row r="157902" customFormat="1" x14ac:dyDescent="0.25"/>
    <row r="157903" customFormat="1" x14ac:dyDescent="0.25"/>
    <row r="157904" customFormat="1" x14ac:dyDescent="0.25"/>
    <row r="157905" customFormat="1" x14ac:dyDescent="0.25"/>
    <row r="157906" customFormat="1" x14ac:dyDescent="0.25"/>
    <row r="157907" customFormat="1" x14ac:dyDescent="0.25"/>
    <row r="157908" customFormat="1" x14ac:dyDescent="0.25"/>
    <row r="157909" customFormat="1" x14ac:dyDescent="0.25"/>
    <row r="157910" customFormat="1" x14ac:dyDescent="0.25"/>
    <row r="157911" customFormat="1" x14ac:dyDescent="0.25"/>
    <row r="157912" customFormat="1" x14ac:dyDescent="0.25"/>
    <row r="157913" customFormat="1" x14ac:dyDescent="0.25"/>
    <row r="157914" customFormat="1" x14ac:dyDescent="0.25"/>
    <row r="157915" customFormat="1" x14ac:dyDescent="0.25"/>
    <row r="157916" customFormat="1" x14ac:dyDescent="0.25"/>
    <row r="157917" customFormat="1" x14ac:dyDescent="0.25"/>
    <row r="157918" customFormat="1" x14ac:dyDescent="0.25"/>
    <row r="157919" customFormat="1" x14ac:dyDescent="0.25"/>
    <row r="157920" customFormat="1" x14ac:dyDescent="0.25"/>
    <row r="157921" customFormat="1" x14ac:dyDescent="0.25"/>
    <row r="157922" customFormat="1" x14ac:dyDescent="0.25"/>
    <row r="157923" customFormat="1" x14ac:dyDescent="0.25"/>
    <row r="157924" customFormat="1" x14ac:dyDescent="0.25"/>
    <row r="157925" customFormat="1" x14ac:dyDescent="0.25"/>
    <row r="157926" customFormat="1" x14ac:dyDescent="0.25"/>
    <row r="157927" customFormat="1" x14ac:dyDescent="0.25"/>
    <row r="157928" customFormat="1" x14ac:dyDescent="0.25"/>
    <row r="157929" customFormat="1" x14ac:dyDescent="0.25"/>
    <row r="157930" customFormat="1" x14ac:dyDescent="0.25"/>
    <row r="157931" customFormat="1" x14ac:dyDescent="0.25"/>
    <row r="157932" customFormat="1" x14ac:dyDescent="0.25"/>
    <row r="157933" customFormat="1" x14ac:dyDescent="0.25"/>
    <row r="157934" customFormat="1" x14ac:dyDescent="0.25"/>
    <row r="157935" customFormat="1" x14ac:dyDescent="0.25"/>
    <row r="157936" customFormat="1" x14ac:dyDescent="0.25"/>
    <row r="157937" customFormat="1" x14ac:dyDescent="0.25"/>
    <row r="157938" customFormat="1" x14ac:dyDescent="0.25"/>
    <row r="157939" customFormat="1" x14ac:dyDescent="0.25"/>
    <row r="157940" customFormat="1" x14ac:dyDescent="0.25"/>
    <row r="157941" customFormat="1" x14ac:dyDescent="0.25"/>
    <row r="157942" customFormat="1" x14ac:dyDescent="0.25"/>
    <row r="157943" customFormat="1" x14ac:dyDescent="0.25"/>
    <row r="157944" customFormat="1" x14ac:dyDescent="0.25"/>
    <row r="157945" customFormat="1" x14ac:dyDescent="0.25"/>
    <row r="157946" customFormat="1" x14ac:dyDescent="0.25"/>
    <row r="157947" customFormat="1" x14ac:dyDescent="0.25"/>
    <row r="157948" customFormat="1" x14ac:dyDescent="0.25"/>
    <row r="157949" customFormat="1" x14ac:dyDescent="0.25"/>
    <row r="157950" customFormat="1" x14ac:dyDescent="0.25"/>
    <row r="157951" customFormat="1" x14ac:dyDescent="0.25"/>
    <row r="157952" customFormat="1" x14ac:dyDescent="0.25"/>
    <row r="157953" customFormat="1" x14ac:dyDescent="0.25"/>
    <row r="157954" customFormat="1" x14ac:dyDescent="0.25"/>
    <row r="157955" customFormat="1" x14ac:dyDescent="0.25"/>
    <row r="157956" customFormat="1" x14ac:dyDescent="0.25"/>
    <row r="157957" customFormat="1" x14ac:dyDescent="0.25"/>
    <row r="157958" customFormat="1" x14ac:dyDescent="0.25"/>
    <row r="157959" customFormat="1" x14ac:dyDescent="0.25"/>
    <row r="157960" customFormat="1" x14ac:dyDescent="0.25"/>
    <row r="157961" customFormat="1" x14ac:dyDescent="0.25"/>
    <row r="157962" customFormat="1" x14ac:dyDescent="0.25"/>
    <row r="157963" customFormat="1" x14ac:dyDescent="0.25"/>
    <row r="157964" customFormat="1" x14ac:dyDescent="0.25"/>
    <row r="157965" customFormat="1" x14ac:dyDescent="0.25"/>
    <row r="157966" customFormat="1" x14ac:dyDescent="0.25"/>
    <row r="157967" customFormat="1" x14ac:dyDescent="0.25"/>
    <row r="157968" customFormat="1" x14ac:dyDescent="0.25"/>
    <row r="157969" customFormat="1" x14ac:dyDescent="0.25"/>
    <row r="157970" customFormat="1" x14ac:dyDescent="0.25"/>
    <row r="157971" customFormat="1" x14ac:dyDescent="0.25"/>
    <row r="157972" customFormat="1" x14ac:dyDescent="0.25"/>
    <row r="157973" customFormat="1" x14ac:dyDescent="0.25"/>
    <row r="157974" customFormat="1" x14ac:dyDescent="0.25"/>
    <row r="157975" customFormat="1" x14ac:dyDescent="0.25"/>
    <row r="157976" customFormat="1" x14ac:dyDescent="0.25"/>
    <row r="157977" customFormat="1" x14ac:dyDescent="0.25"/>
    <row r="157978" customFormat="1" x14ac:dyDescent="0.25"/>
    <row r="157979" customFormat="1" x14ac:dyDescent="0.25"/>
    <row r="157980" customFormat="1" x14ac:dyDescent="0.25"/>
    <row r="157981" customFormat="1" x14ac:dyDescent="0.25"/>
    <row r="157982" customFormat="1" x14ac:dyDescent="0.25"/>
    <row r="157983" customFormat="1" x14ac:dyDescent="0.25"/>
    <row r="157984" customFormat="1" x14ac:dyDescent="0.25"/>
    <row r="157985" customFormat="1" x14ac:dyDescent="0.25"/>
    <row r="157986" customFormat="1" x14ac:dyDescent="0.25"/>
    <row r="157987" customFormat="1" x14ac:dyDescent="0.25"/>
    <row r="157988" customFormat="1" x14ac:dyDescent="0.25"/>
    <row r="157989" customFormat="1" x14ac:dyDescent="0.25"/>
    <row r="157990" customFormat="1" x14ac:dyDescent="0.25"/>
    <row r="157991" customFormat="1" x14ac:dyDescent="0.25"/>
    <row r="157992" customFormat="1" x14ac:dyDescent="0.25"/>
    <row r="157993" customFormat="1" x14ac:dyDescent="0.25"/>
    <row r="157994" customFormat="1" x14ac:dyDescent="0.25"/>
    <row r="157995" customFormat="1" x14ac:dyDescent="0.25"/>
    <row r="157996" customFormat="1" x14ac:dyDescent="0.25"/>
    <row r="157997" customFormat="1" x14ac:dyDescent="0.25"/>
    <row r="157998" customFormat="1" x14ac:dyDescent="0.25"/>
    <row r="157999" customFormat="1" x14ac:dyDescent="0.25"/>
    <row r="158000" customFormat="1" x14ac:dyDescent="0.25"/>
    <row r="158001" customFormat="1" x14ac:dyDescent="0.25"/>
    <row r="158002" customFormat="1" x14ac:dyDescent="0.25"/>
    <row r="158003" customFormat="1" x14ac:dyDescent="0.25"/>
    <row r="158004" customFormat="1" x14ac:dyDescent="0.25"/>
    <row r="158005" customFormat="1" x14ac:dyDescent="0.25"/>
    <row r="158006" customFormat="1" x14ac:dyDescent="0.25"/>
    <row r="158007" customFormat="1" x14ac:dyDescent="0.25"/>
    <row r="158008" customFormat="1" x14ac:dyDescent="0.25"/>
    <row r="158009" customFormat="1" x14ac:dyDescent="0.25"/>
    <row r="158010" customFormat="1" x14ac:dyDescent="0.25"/>
    <row r="158011" customFormat="1" x14ac:dyDescent="0.25"/>
    <row r="158012" customFormat="1" x14ac:dyDescent="0.25"/>
    <row r="158013" customFormat="1" x14ac:dyDescent="0.25"/>
    <row r="158014" customFormat="1" x14ac:dyDescent="0.25"/>
    <row r="158015" customFormat="1" x14ac:dyDescent="0.25"/>
    <row r="158016" customFormat="1" x14ac:dyDescent="0.25"/>
    <row r="158017" customFormat="1" x14ac:dyDescent="0.25"/>
    <row r="158018" customFormat="1" x14ac:dyDescent="0.25"/>
    <row r="158019" customFormat="1" x14ac:dyDescent="0.25"/>
    <row r="158020" customFormat="1" x14ac:dyDescent="0.25"/>
    <row r="158021" customFormat="1" x14ac:dyDescent="0.25"/>
    <row r="158022" customFormat="1" x14ac:dyDescent="0.25"/>
    <row r="158023" customFormat="1" x14ac:dyDescent="0.25"/>
    <row r="158024" customFormat="1" x14ac:dyDescent="0.25"/>
    <row r="158025" customFormat="1" x14ac:dyDescent="0.25"/>
    <row r="158026" customFormat="1" x14ac:dyDescent="0.25"/>
    <row r="158027" customFormat="1" x14ac:dyDescent="0.25"/>
    <row r="158028" customFormat="1" x14ac:dyDescent="0.25"/>
    <row r="158029" customFormat="1" x14ac:dyDescent="0.25"/>
    <row r="158030" customFormat="1" x14ac:dyDescent="0.25"/>
    <row r="158031" customFormat="1" x14ac:dyDescent="0.25"/>
    <row r="158032" customFormat="1" x14ac:dyDescent="0.25"/>
    <row r="158033" customFormat="1" x14ac:dyDescent="0.25"/>
    <row r="158034" customFormat="1" x14ac:dyDescent="0.25"/>
    <row r="158035" customFormat="1" x14ac:dyDescent="0.25"/>
    <row r="158036" customFormat="1" x14ac:dyDescent="0.25"/>
    <row r="158037" customFormat="1" x14ac:dyDescent="0.25"/>
    <row r="158038" customFormat="1" x14ac:dyDescent="0.25"/>
    <row r="158039" customFormat="1" x14ac:dyDescent="0.25"/>
    <row r="158040" customFormat="1" x14ac:dyDescent="0.25"/>
    <row r="158041" customFormat="1" x14ac:dyDescent="0.25"/>
    <row r="158042" customFormat="1" x14ac:dyDescent="0.25"/>
    <row r="158043" customFormat="1" x14ac:dyDescent="0.25"/>
    <row r="158044" customFormat="1" x14ac:dyDescent="0.25"/>
    <row r="158045" customFormat="1" x14ac:dyDescent="0.25"/>
    <row r="158046" customFormat="1" x14ac:dyDescent="0.25"/>
    <row r="158047" customFormat="1" x14ac:dyDescent="0.25"/>
    <row r="158048" customFormat="1" x14ac:dyDescent="0.25"/>
    <row r="158049" customFormat="1" x14ac:dyDescent="0.25"/>
    <row r="158050" customFormat="1" x14ac:dyDescent="0.25"/>
    <row r="158051" customFormat="1" x14ac:dyDescent="0.25"/>
    <row r="158052" customFormat="1" x14ac:dyDescent="0.25"/>
    <row r="158053" customFormat="1" x14ac:dyDescent="0.25"/>
    <row r="158054" customFormat="1" x14ac:dyDescent="0.25"/>
    <row r="158055" customFormat="1" x14ac:dyDescent="0.25"/>
    <row r="158056" customFormat="1" x14ac:dyDescent="0.25"/>
    <row r="158057" customFormat="1" x14ac:dyDescent="0.25"/>
    <row r="158058" customFormat="1" x14ac:dyDescent="0.25"/>
    <row r="158059" customFormat="1" x14ac:dyDescent="0.25"/>
    <row r="158060" customFormat="1" x14ac:dyDescent="0.25"/>
    <row r="158061" customFormat="1" x14ac:dyDescent="0.25"/>
    <row r="158062" customFormat="1" x14ac:dyDescent="0.25"/>
    <row r="158063" customFormat="1" x14ac:dyDescent="0.25"/>
    <row r="158064" customFormat="1" x14ac:dyDescent="0.25"/>
    <row r="158065" customFormat="1" x14ac:dyDescent="0.25"/>
    <row r="158066" customFormat="1" x14ac:dyDescent="0.25"/>
    <row r="158067" customFormat="1" x14ac:dyDescent="0.25"/>
    <row r="158068" customFormat="1" x14ac:dyDescent="0.25"/>
    <row r="158069" customFormat="1" x14ac:dyDescent="0.25"/>
    <row r="158070" customFormat="1" x14ac:dyDescent="0.25"/>
    <row r="158071" customFormat="1" x14ac:dyDescent="0.25"/>
    <row r="158072" customFormat="1" x14ac:dyDescent="0.25"/>
    <row r="158073" customFormat="1" x14ac:dyDescent="0.25"/>
    <row r="158074" customFormat="1" x14ac:dyDescent="0.25"/>
    <row r="158075" customFormat="1" x14ac:dyDescent="0.25"/>
    <row r="158076" customFormat="1" x14ac:dyDescent="0.25"/>
    <row r="158077" customFormat="1" x14ac:dyDescent="0.25"/>
    <row r="158078" customFormat="1" x14ac:dyDescent="0.25"/>
    <row r="158079" customFormat="1" x14ac:dyDescent="0.25"/>
    <row r="158080" customFormat="1" x14ac:dyDescent="0.25"/>
    <row r="158081" customFormat="1" x14ac:dyDescent="0.25"/>
    <row r="158082" customFormat="1" x14ac:dyDescent="0.25"/>
    <row r="158083" customFormat="1" x14ac:dyDescent="0.25"/>
    <row r="158084" customFormat="1" x14ac:dyDescent="0.25"/>
    <row r="158085" customFormat="1" x14ac:dyDescent="0.25"/>
    <row r="158086" customFormat="1" x14ac:dyDescent="0.25"/>
    <row r="158087" customFormat="1" x14ac:dyDescent="0.25"/>
    <row r="158088" customFormat="1" x14ac:dyDescent="0.25"/>
    <row r="158089" customFormat="1" x14ac:dyDescent="0.25"/>
    <row r="158090" customFormat="1" x14ac:dyDescent="0.25"/>
    <row r="158091" customFormat="1" x14ac:dyDescent="0.25"/>
    <row r="158092" customFormat="1" x14ac:dyDescent="0.25"/>
    <row r="158093" customFormat="1" x14ac:dyDescent="0.25"/>
    <row r="158094" customFormat="1" x14ac:dyDescent="0.25"/>
    <row r="158095" customFormat="1" x14ac:dyDescent="0.25"/>
    <row r="158096" customFormat="1" x14ac:dyDescent="0.25"/>
    <row r="158097" customFormat="1" x14ac:dyDescent="0.25"/>
    <row r="158098" customFormat="1" x14ac:dyDescent="0.25"/>
    <row r="158099" customFormat="1" x14ac:dyDescent="0.25"/>
    <row r="158100" customFormat="1" x14ac:dyDescent="0.25"/>
    <row r="158101" customFormat="1" x14ac:dyDescent="0.25"/>
    <row r="158102" customFormat="1" x14ac:dyDescent="0.25"/>
    <row r="158103" customFormat="1" x14ac:dyDescent="0.25"/>
    <row r="158104" customFormat="1" x14ac:dyDescent="0.25"/>
    <row r="158105" customFormat="1" x14ac:dyDescent="0.25"/>
    <row r="158106" customFormat="1" x14ac:dyDescent="0.25"/>
    <row r="158107" customFormat="1" x14ac:dyDescent="0.25"/>
    <row r="158108" customFormat="1" x14ac:dyDescent="0.25"/>
    <row r="158109" customFormat="1" x14ac:dyDescent="0.25"/>
    <row r="158110" customFormat="1" x14ac:dyDescent="0.25"/>
    <row r="158111" customFormat="1" x14ac:dyDescent="0.25"/>
    <row r="158112" customFormat="1" x14ac:dyDescent="0.25"/>
    <row r="158113" customFormat="1" x14ac:dyDescent="0.25"/>
    <row r="158114" customFormat="1" x14ac:dyDescent="0.25"/>
    <row r="158115" customFormat="1" x14ac:dyDescent="0.25"/>
    <row r="158116" customFormat="1" x14ac:dyDescent="0.25"/>
    <row r="158117" customFormat="1" x14ac:dyDescent="0.25"/>
    <row r="158118" customFormat="1" x14ac:dyDescent="0.25"/>
    <row r="158119" customFormat="1" x14ac:dyDescent="0.25"/>
    <row r="158120" customFormat="1" x14ac:dyDescent="0.25"/>
    <row r="158121" customFormat="1" x14ac:dyDescent="0.25"/>
    <row r="158122" customFormat="1" x14ac:dyDescent="0.25"/>
    <row r="158123" customFormat="1" x14ac:dyDescent="0.25"/>
    <row r="158124" customFormat="1" x14ac:dyDescent="0.25"/>
    <row r="158125" customFormat="1" x14ac:dyDescent="0.25"/>
    <row r="158126" customFormat="1" x14ac:dyDescent="0.25"/>
    <row r="158127" customFormat="1" x14ac:dyDescent="0.25"/>
    <row r="158128" customFormat="1" x14ac:dyDescent="0.25"/>
    <row r="158129" customFormat="1" x14ac:dyDescent="0.25"/>
    <row r="158130" customFormat="1" x14ac:dyDescent="0.25"/>
    <row r="158131" customFormat="1" x14ac:dyDescent="0.25"/>
    <row r="158132" customFormat="1" x14ac:dyDescent="0.25"/>
    <row r="158133" customFormat="1" x14ac:dyDescent="0.25"/>
    <row r="158134" customFormat="1" x14ac:dyDescent="0.25"/>
    <row r="158135" customFormat="1" x14ac:dyDescent="0.25"/>
    <row r="158136" customFormat="1" x14ac:dyDescent="0.25"/>
    <row r="158137" customFormat="1" x14ac:dyDescent="0.25"/>
    <row r="158138" customFormat="1" x14ac:dyDescent="0.25"/>
    <row r="158139" customFormat="1" x14ac:dyDescent="0.25"/>
    <row r="158140" customFormat="1" x14ac:dyDescent="0.25"/>
    <row r="158141" customFormat="1" x14ac:dyDescent="0.25"/>
    <row r="158142" customFormat="1" x14ac:dyDescent="0.25"/>
    <row r="158143" customFormat="1" x14ac:dyDescent="0.25"/>
    <row r="158144" customFormat="1" x14ac:dyDescent="0.25"/>
    <row r="158145" customFormat="1" x14ac:dyDescent="0.25"/>
    <row r="158146" customFormat="1" x14ac:dyDescent="0.25"/>
    <row r="158147" customFormat="1" x14ac:dyDescent="0.25"/>
    <row r="158148" customFormat="1" x14ac:dyDescent="0.25"/>
    <row r="158149" customFormat="1" x14ac:dyDescent="0.25"/>
    <row r="158150" customFormat="1" x14ac:dyDescent="0.25"/>
    <row r="158151" customFormat="1" x14ac:dyDescent="0.25"/>
    <row r="158152" customFormat="1" x14ac:dyDescent="0.25"/>
    <row r="158153" customFormat="1" x14ac:dyDescent="0.25"/>
    <row r="158154" customFormat="1" x14ac:dyDescent="0.25"/>
    <row r="158155" customFormat="1" x14ac:dyDescent="0.25"/>
    <row r="158156" customFormat="1" x14ac:dyDescent="0.25"/>
    <row r="158157" customFormat="1" x14ac:dyDescent="0.25"/>
    <row r="158158" customFormat="1" x14ac:dyDescent="0.25"/>
    <row r="158159" customFormat="1" x14ac:dyDescent="0.25"/>
    <row r="158160" customFormat="1" x14ac:dyDescent="0.25"/>
    <row r="158161" customFormat="1" x14ac:dyDescent="0.25"/>
    <row r="158162" customFormat="1" x14ac:dyDescent="0.25"/>
    <row r="158163" customFormat="1" x14ac:dyDescent="0.25"/>
    <row r="158164" customFormat="1" x14ac:dyDescent="0.25"/>
    <row r="158165" customFormat="1" x14ac:dyDescent="0.25"/>
    <row r="158166" customFormat="1" x14ac:dyDescent="0.25"/>
    <row r="158167" customFormat="1" x14ac:dyDescent="0.25"/>
    <row r="158168" customFormat="1" x14ac:dyDescent="0.25"/>
    <row r="158169" customFormat="1" x14ac:dyDescent="0.25"/>
    <row r="158170" customFormat="1" x14ac:dyDescent="0.25"/>
    <row r="158171" customFormat="1" x14ac:dyDescent="0.25"/>
    <row r="158172" customFormat="1" x14ac:dyDescent="0.25"/>
    <row r="158173" customFormat="1" x14ac:dyDescent="0.25"/>
    <row r="158174" customFormat="1" x14ac:dyDescent="0.25"/>
    <row r="158175" customFormat="1" x14ac:dyDescent="0.25"/>
    <row r="158176" customFormat="1" x14ac:dyDescent="0.25"/>
    <row r="158177" customFormat="1" x14ac:dyDescent="0.25"/>
    <row r="158178" customFormat="1" x14ac:dyDescent="0.25"/>
    <row r="158179" customFormat="1" x14ac:dyDescent="0.25"/>
    <row r="158180" customFormat="1" x14ac:dyDescent="0.25"/>
    <row r="158181" customFormat="1" x14ac:dyDescent="0.25"/>
    <row r="158182" customFormat="1" x14ac:dyDescent="0.25"/>
    <row r="158183" customFormat="1" x14ac:dyDescent="0.25"/>
    <row r="158184" customFormat="1" x14ac:dyDescent="0.25"/>
    <row r="158185" customFormat="1" x14ac:dyDescent="0.25"/>
    <row r="158186" customFormat="1" x14ac:dyDescent="0.25"/>
    <row r="158187" customFormat="1" x14ac:dyDescent="0.25"/>
    <row r="158188" customFormat="1" x14ac:dyDescent="0.25"/>
    <row r="158189" customFormat="1" x14ac:dyDescent="0.25"/>
    <row r="158190" customFormat="1" x14ac:dyDescent="0.25"/>
    <row r="158191" customFormat="1" x14ac:dyDescent="0.25"/>
    <row r="158192" customFormat="1" x14ac:dyDescent="0.25"/>
    <row r="158193" customFormat="1" x14ac:dyDescent="0.25"/>
    <row r="158194" customFormat="1" x14ac:dyDescent="0.25"/>
    <row r="158195" customFormat="1" x14ac:dyDescent="0.25"/>
    <row r="158196" customFormat="1" x14ac:dyDescent="0.25"/>
    <row r="158197" customFormat="1" x14ac:dyDescent="0.25"/>
    <row r="158198" customFormat="1" x14ac:dyDescent="0.25"/>
    <row r="158199" customFormat="1" x14ac:dyDescent="0.25"/>
    <row r="158200" customFormat="1" x14ac:dyDescent="0.25"/>
    <row r="158201" customFormat="1" x14ac:dyDescent="0.25"/>
    <row r="158202" customFormat="1" x14ac:dyDescent="0.25"/>
    <row r="158203" customFormat="1" x14ac:dyDescent="0.25"/>
    <row r="158204" customFormat="1" x14ac:dyDescent="0.25"/>
    <row r="158205" customFormat="1" x14ac:dyDescent="0.25"/>
    <row r="158206" customFormat="1" x14ac:dyDescent="0.25"/>
    <row r="158207" customFormat="1" x14ac:dyDescent="0.25"/>
    <row r="158208" customFormat="1" x14ac:dyDescent="0.25"/>
    <row r="158209" customFormat="1" x14ac:dyDescent="0.25"/>
    <row r="158210" customFormat="1" x14ac:dyDescent="0.25"/>
    <row r="158211" customFormat="1" x14ac:dyDescent="0.25"/>
    <row r="158212" customFormat="1" x14ac:dyDescent="0.25"/>
    <row r="158213" customFormat="1" x14ac:dyDescent="0.25"/>
    <row r="158214" customFormat="1" x14ac:dyDescent="0.25"/>
    <row r="158215" customFormat="1" x14ac:dyDescent="0.25"/>
    <row r="158216" customFormat="1" x14ac:dyDescent="0.25"/>
    <row r="158217" customFormat="1" x14ac:dyDescent="0.25"/>
    <row r="158218" customFormat="1" x14ac:dyDescent="0.25"/>
    <row r="158219" customFormat="1" x14ac:dyDescent="0.25"/>
    <row r="158220" customFormat="1" x14ac:dyDescent="0.25"/>
    <row r="158221" customFormat="1" x14ac:dyDescent="0.25"/>
    <row r="158222" customFormat="1" x14ac:dyDescent="0.25"/>
    <row r="158223" customFormat="1" x14ac:dyDescent="0.25"/>
    <row r="158224" customFormat="1" x14ac:dyDescent="0.25"/>
    <row r="158225" customFormat="1" x14ac:dyDescent="0.25"/>
    <row r="158226" customFormat="1" x14ac:dyDescent="0.25"/>
    <row r="158227" customFormat="1" x14ac:dyDescent="0.25"/>
    <row r="158228" customFormat="1" x14ac:dyDescent="0.25"/>
    <row r="158229" customFormat="1" x14ac:dyDescent="0.25"/>
    <row r="158230" customFormat="1" x14ac:dyDescent="0.25"/>
    <row r="158231" customFormat="1" x14ac:dyDescent="0.25"/>
    <row r="158232" customFormat="1" x14ac:dyDescent="0.25"/>
    <row r="158233" customFormat="1" x14ac:dyDescent="0.25"/>
    <row r="158234" customFormat="1" x14ac:dyDescent="0.25"/>
    <row r="158235" customFormat="1" x14ac:dyDescent="0.25"/>
    <row r="158236" customFormat="1" x14ac:dyDescent="0.25"/>
    <row r="158237" customFormat="1" x14ac:dyDescent="0.25"/>
    <row r="158238" customFormat="1" x14ac:dyDescent="0.25"/>
    <row r="158239" customFormat="1" x14ac:dyDescent="0.25"/>
    <row r="158240" customFormat="1" x14ac:dyDescent="0.25"/>
    <row r="158241" customFormat="1" x14ac:dyDescent="0.25"/>
    <row r="158242" customFormat="1" x14ac:dyDescent="0.25"/>
    <row r="158243" customFormat="1" x14ac:dyDescent="0.25"/>
    <row r="158244" customFormat="1" x14ac:dyDescent="0.25"/>
    <row r="158245" customFormat="1" x14ac:dyDescent="0.25"/>
    <row r="158246" customFormat="1" x14ac:dyDescent="0.25"/>
    <row r="158247" customFormat="1" x14ac:dyDescent="0.25"/>
    <row r="158248" customFormat="1" x14ac:dyDescent="0.25"/>
    <row r="158249" customFormat="1" x14ac:dyDescent="0.25"/>
    <row r="158250" customFormat="1" x14ac:dyDescent="0.25"/>
    <row r="158251" customFormat="1" x14ac:dyDescent="0.25"/>
    <row r="158252" customFormat="1" x14ac:dyDescent="0.25"/>
    <row r="158253" customFormat="1" x14ac:dyDescent="0.25"/>
    <row r="158254" customFormat="1" x14ac:dyDescent="0.25"/>
    <row r="158255" customFormat="1" x14ac:dyDescent="0.25"/>
    <row r="158256" customFormat="1" x14ac:dyDescent="0.25"/>
    <row r="158257" customFormat="1" x14ac:dyDescent="0.25"/>
    <row r="158258" customFormat="1" x14ac:dyDescent="0.25"/>
    <row r="158259" customFormat="1" x14ac:dyDescent="0.25"/>
    <row r="158260" customFormat="1" x14ac:dyDescent="0.25"/>
    <row r="158261" customFormat="1" x14ac:dyDescent="0.25"/>
    <row r="158262" customFormat="1" x14ac:dyDescent="0.25"/>
    <row r="158263" customFormat="1" x14ac:dyDescent="0.25"/>
    <row r="158264" customFormat="1" x14ac:dyDescent="0.25"/>
    <row r="158265" customFormat="1" x14ac:dyDescent="0.25"/>
    <row r="158266" customFormat="1" x14ac:dyDescent="0.25"/>
    <row r="158267" customFormat="1" x14ac:dyDescent="0.25"/>
    <row r="158268" customFormat="1" x14ac:dyDescent="0.25"/>
    <row r="158269" customFormat="1" x14ac:dyDescent="0.25"/>
    <row r="158270" customFormat="1" x14ac:dyDescent="0.25"/>
    <row r="158271" customFormat="1" x14ac:dyDescent="0.25"/>
    <row r="158272" customFormat="1" x14ac:dyDescent="0.25"/>
    <row r="158273" customFormat="1" x14ac:dyDescent="0.25"/>
    <row r="158274" customFormat="1" x14ac:dyDescent="0.25"/>
    <row r="158275" customFormat="1" x14ac:dyDescent="0.25"/>
    <row r="158276" customFormat="1" x14ac:dyDescent="0.25"/>
    <row r="158277" customFormat="1" x14ac:dyDescent="0.25"/>
    <row r="158278" customFormat="1" x14ac:dyDescent="0.25"/>
    <row r="158279" customFormat="1" x14ac:dyDescent="0.25"/>
    <row r="158280" customFormat="1" x14ac:dyDescent="0.25"/>
    <row r="158281" customFormat="1" x14ac:dyDescent="0.25"/>
    <row r="158282" customFormat="1" x14ac:dyDescent="0.25"/>
    <row r="158283" customFormat="1" x14ac:dyDescent="0.25"/>
    <row r="158284" customFormat="1" x14ac:dyDescent="0.25"/>
    <row r="158285" customFormat="1" x14ac:dyDescent="0.25"/>
    <row r="158286" customFormat="1" x14ac:dyDescent="0.25"/>
    <row r="158287" customFormat="1" x14ac:dyDescent="0.25"/>
    <row r="158288" customFormat="1" x14ac:dyDescent="0.25"/>
    <row r="158289" customFormat="1" x14ac:dyDescent="0.25"/>
    <row r="158290" customFormat="1" x14ac:dyDescent="0.25"/>
    <row r="158291" customFormat="1" x14ac:dyDescent="0.25"/>
    <row r="158292" customFormat="1" x14ac:dyDescent="0.25"/>
    <row r="158293" customFormat="1" x14ac:dyDescent="0.25"/>
    <row r="158294" customFormat="1" x14ac:dyDescent="0.25"/>
    <row r="158295" customFormat="1" x14ac:dyDescent="0.25"/>
    <row r="158296" customFormat="1" x14ac:dyDescent="0.25"/>
    <row r="158297" customFormat="1" x14ac:dyDescent="0.25"/>
    <row r="158298" customFormat="1" x14ac:dyDescent="0.25"/>
    <row r="158299" customFormat="1" x14ac:dyDescent="0.25"/>
    <row r="158300" customFormat="1" x14ac:dyDescent="0.25"/>
    <row r="158301" customFormat="1" x14ac:dyDescent="0.25"/>
    <row r="158302" customFormat="1" x14ac:dyDescent="0.25"/>
    <row r="158303" customFormat="1" x14ac:dyDescent="0.25"/>
    <row r="158304" customFormat="1" x14ac:dyDescent="0.25"/>
    <row r="158305" customFormat="1" x14ac:dyDescent="0.25"/>
    <row r="158306" customFormat="1" x14ac:dyDescent="0.25"/>
    <row r="158307" customFormat="1" x14ac:dyDescent="0.25"/>
    <row r="158308" customFormat="1" x14ac:dyDescent="0.25"/>
    <row r="158309" customFormat="1" x14ac:dyDescent="0.25"/>
    <row r="158310" customFormat="1" x14ac:dyDescent="0.25"/>
    <row r="158311" customFormat="1" x14ac:dyDescent="0.25"/>
    <row r="158312" customFormat="1" x14ac:dyDescent="0.25"/>
    <row r="158313" customFormat="1" x14ac:dyDescent="0.25"/>
    <row r="158314" customFormat="1" x14ac:dyDescent="0.25"/>
    <row r="158315" customFormat="1" x14ac:dyDescent="0.25"/>
    <row r="158316" customFormat="1" x14ac:dyDescent="0.25"/>
    <row r="158317" customFormat="1" x14ac:dyDescent="0.25"/>
    <row r="158318" customFormat="1" x14ac:dyDescent="0.25"/>
    <row r="158319" customFormat="1" x14ac:dyDescent="0.25"/>
    <row r="158320" customFormat="1" x14ac:dyDescent="0.25"/>
    <row r="158321" customFormat="1" x14ac:dyDescent="0.25"/>
    <row r="158322" customFormat="1" x14ac:dyDescent="0.25"/>
    <row r="158323" customFormat="1" x14ac:dyDescent="0.25"/>
    <row r="158324" customFormat="1" x14ac:dyDescent="0.25"/>
    <row r="158325" customFormat="1" x14ac:dyDescent="0.25"/>
    <row r="158326" customFormat="1" x14ac:dyDescent="0.25"/>
    <row r="158327" customFormat="1" x14ac:dyDescent="0.25"/>
    <row r="158328" customFormat="1" x14ac:dyDescent="0.25"/>
    <row r="158329" customFormat="1" x14ac:dyDescent="0.25"/>
    <row r="158330" customFormat="1" x14ac:dyDescent="0.25"/>
    <row r="158331" customFormat="1" x14ac:dyDescent="0.25"/>
    <row r="158332" customFormat="1" x14ac:dyDescent="0.25"/>
    <row r="158333" customFormat="1" x14ac:dyDescent="0.25"/>
    <row r="158334" customFormat="1" x14ac:dyDescent="0.25"/>
    <row r="158335" customFormat="1" x14ac:dyDescent="0.25"/>
    <row r="158336" customFormat="1" x14ac:dyDescent="0.25"/>
    <row r="158337" customFormat="1" x14ac:dyDescent="0.25"/>
    <row r="158338" customFormat="1" x14ac:dyDescent="0.25"/>
    <row r="158339" customFormat="1" x14ac:dyDescent="0.25"/>
    <row r="158340" customFormat="1" x14ac:dyDescent="0.25"/>
    <row r="158341" customFormat="1" x14ac:dyDescent="0.25"/>
    <row r="158342" customFormat="1" x14ac:dyDescent="0.25"/>
    <row r="158343" customFormat="1" x14ac:dyDescent="0.25"/>
    <row r="158344" customFormat="1" x14ac:dyDescent="0.25"/>
    <row r="158345" customFormat="1" x14ac:dyDescent="0.25"/>
    <row r="158346" customFormat="1" x14ac:dyDescent="0.25"/>
    <row r="158347" customFormat="1" x14ac:dyDescent="0.25"/>
    <row r="158348" customFormat="1" x14ac:dyDescent="0.25"/>
    <row r="158349" customFormat="1" x14ac:dyDescent="0.25"/>
    <row r="158350" customFormat="1" x14ac:dyDescent="0.25"/>
    <row r="158351" customFormat="1" x14ac:dyDescent="0.25"/>
    <row r="158352" customFormat="1" x14ac:dyDescent="0.25"/>
    <row r="158353" customFormat="1" x14ac:dyDescent="0.25"/>
    <row r="158354" customFormat="1" x14ac:dyDescent="0.25"/>
    <row r="158355" customFormat="1" x14ac:dyDescent="0.25"/>
    <row r="158356" customFormat="1" x14ac:dyDescent="0.25"/>
    <row r="158357" customFormat="1" x14ac:dyDescent="0.25"/>
    <row r="158358" customFormat="1" x14ac:dyDescent="0.25"/>
    <row r="158359" customFormat="1" x14ac:dyDescent="0.25"/>
    <row r="158360" customFormat="1" x14ac:dyDescent="0.25"/>
    <row r="158361" customFormat="1" x14ac:dyDescent="0.25"/>
    <row r="158362" customFormat="1" x14ac:dyDescent="0.25"/>
    <row r="158363" customFormat="1" x14ac:dyDescent="0.25"/>
    <row r="158364" customFormat="1" x14ac:dyDescent="0.25"/>
    <row r="158365" customFormat="1" x14ac:dyDescent="0.25"/>
    <row r="158366" customFormat="1" x14ac:dyDescent="0.25"/>
    <row r="158367" customFormat="1" x14ac:dyDescent="0.25"/>
    <row r="158368" customFormat="1" x14ac:dyDescent="0.25"/>
    <row r="158369" customFormat="1" x14ac:dyDescent="0.25"/>
    <row r="158370" customFormat="1" x14ac:dyDescent="0.25"/>
    <row r="158371" customFormat="1" x14ac:dyDescent="0.25"/>
    <row r="158372" customFormat="1" x14ac:dyDescent="0.25"/>
    <row r="158373" customFormat="1" x14ac:dyDescent="0.25"/>
    <row r="158374" customFormat="1" x14ac:dyDescent="0.25"/>
    <row r="158375" customFormat="1" x14ac:dyDescent="0.25"/>
    <row r="158376" customFormat="1" x14ac:dyDescent="0.25"/>
    <row r="158377" customFormat="1" x14ac:dyDescent="0.25"/>
    <row r="158378" customFormat="1" x14ac:dyDescent="0.25"/>
    <row r="158379" customFormat="1" x14ac:dyDescent="0.25"/>
    <row r="158380" customFormat="1" x14ac:dyDescent="0.25"/>
    <row r="158381" customFormat="1" x14ac:dyDescent="0.25"/>
    <row r="158382" customFormat="1" x14ac:dyDescent="0.25"/>
    <row r="158383" customFormat="1" x14ac:dyDescent="0.25"/>
    <row r="158384" customFormat="1" x14ac:dyDescent="0.25"/>
    <row r="158385" customFormat="1" x14ac:dyDescent="0.25"/>
    <row r="158386" customFormat="1" x14ac:dyDescent="0.25"/>
    <row r="158387" customFormat="1" x14ac:dyDescent="0.25"/>
    <row r="158388" customFormat="1" x14ac:dyDescent="0.25"/>
    <row r="158389" customFormat="1" x14ac:dyDescent="0.25"/>
    <row r="158390" customFormat="1" x14ac:dyDescent="0.25"/>
    <row r="158391" customFormat="1" x14ac:dyDescent="0.25"/>
    <row r="158392" customFormat="1" x14ac:dyDescent="0.25"/>
    <row r="158393" customFormat="1" x14ac:dyDescent="0.25"/>
    <row r="158394" customFormat="1" x14ac:dyDescent="0.25"/>
    <row r="158395" customFormat="1" x14ac:dyDescent="0.25"/>
    <row r="158396" customFormat="1" x14ac:dyDescent="0.25"/>
    <row r="158397" customFormat="1" x14ac:dyDescent="0.25"/>
    <row r="158398" customFormat="1" x14ac:dyDescent="0.25"/>
    <row r="158399" customFormat="1" x14ac:dyDescent="0.25"/>
    <row r="158400" customFormat="1" x14ac:dyDescent="0.25"/>
    <row r="158401" customFormat="1" x14ac:dyDescent="0.25"/>
    <row r="158402" customFormat="1" x14ac:dyDescent="0.25"/>
    <row r="158403" customFormat="1" x14ac:dyDescent="0.25"/>
    <row r="158404" customFormat="1" x14ac:dyDescent="0.25"/>
    <row r="158405" customFormat="1" x14ac:dyDescent="0.25"/>
    <row r="158406" customFormat="1" x14ac:dyDescent="0.25"/>
    <row r="158407" customFormat="1" x14ac:dyDescent="0.25"/>
    <row r="158408" customFormat="1" x14ac:dyDescent="0.25"/>
    <row r="158409" customFormat="1" x14ac:dyDescent="0.25"/>
    <row r="158410" customFormat="1" x14ac:dyDescent="0.25"/>
    <row r="158411" customFormat="1" x14ac:dyDescent="0.25"/>
    <row r="158412" customFormat="1" x14ac:dyDescent="0.25"/>
    <row r="158413" customFormat="1" x14ac:dyDescent="0.25"/>
    <row r="158414" customFormat="1" x14ac:dyDescent="0.25"/>
    <row r="158415" customFormat="1" x14ac:dyDescent="0.25"/>
    <row r="158416" customFormat="1" x14ac:dyDescent="0.25"/>
    <row r="158417" customFormat="1" x14ac:dyDescent="0.25"/>
    <row r="158418" customFormat="1" x14ac:dyDescent="0.25"/>
    <row r="158419" customFormat="1" x14ac:dyDescent="0.25"/>
    <row r="158420" customFormat="1" x14ac:dyDescent="0.25"/>
    <row r="158421" customFormat="1" x14ac:dyDescent="0.25"/>
    <row r="158422" customFormat="1" x14ac:dyDescent="0.25"/>
    <row r="158423" customFormat="1" x14ac:dyDescent="0.25"/>
    <row r="158424" customFormat="1" x14ac:dyDescent="0.25"/>
    <row r="158425" customFormat="1" x14ac:dyDescent="0.25"/>
    <row r="158426" customFormat="1" x14ac:dyDescent="0.25"/>
    <row r="158427" customFormat="1" x14ac:dyDescent="0.25"/>
    <row r="158428" customFormat="1" x14ac:dyDescent="0.25"/>
    <row r="158429" customFormat="1" x14ac:dyDescent="0.25"/>
    <row r="158430" customFormat="1" x14ac:dyDescent="0.25"/>
    <row r="158431" customFormat="1" x14ac:dyDescent="0.25"/>
    <row r="158432" customFormat="1" x14ac:dyDescent="0.25"/>
    <row r="158433" customFormat="1" x14ac:dyDescent="0.25"/>
    <row r="158434" customFormat="1" x14ac:dyDescent="0.25"/>
    <row r="158435" customFormat="1" x14ac:dyDescent="0.25"/>
    <row r="158436" customFormat="1" x14ac:dyDescent="0.25"/>
    <row r="158437" customFormat="1" x14ac:dyDescent="0.25"/>
    <row r="158438" customFormat="1" x14ac:dyDescent="0.25"/>
    <row r="158439" customFormat="1" x14ac:dyDescent="0.25"/>
    <row r="158440" customFormat="1" x14ac:dyDescent="0.25"/>
    <row r="158441" customFormat="1" x14ac:dyDescent="0.25"/>
    <row r="158442" customFormat="1" x14ac:dyDescent="0.25"/>
    <row r="158443" customFormat="1" x14ac:dyDescent="0.25"/>
    <row r="158444" customFormat="1" x14ac:dyDescent="0.25"/>
    <row r="158445" customFormat="1" x14ac:dyDescent="0.25"/>
    <row r="158446" customFormat="1" x14ac:dyDescent="0.25"/>
    <row r="158447" customFormat="1" x14ac:dyDescent="0.25"/>
    <row r="158448" customFormat="1" x14ac:dyDescent="0.25"/>
    <row r="158449" customFormat="1" x14ac:dyDescent="0.25"/>
    <row r="158450" customFormat="1" x14ac:dyDescent="0.25"/>
    <row r="158451" customFormat="1" x14ac:dyDescent="0.25"/>
    <row r="158452" customFormat="1" x14ac:dyDescent="0.25"/>
    <row r="158453" customFormat="1" x14ac:dyDescent="0.25"/>
    <row r="158454" customFormat="1" x14ac:dyDescent="0.25"/>
    <row r="158455" customFormat="1" x14ac:dyDescent="0.25"/>
    <row r="158456" customFormat="1" x14ac:dyDescent="0.25"/>
    <row r="158457" customFormat="1" x14ac:dyDescent="0.25"/>
    <row r="158458" customFormat="1" x14ac:dyDescent="0.25"/>
    <row r="158459" customFormat="1" x14ac:dyDescent="0.25"/>
    <row r="158460" customFormat="1" x14ac:dyDescent="0.25"/>
    <row r="158461" customFormat="1" x14ac:dyDescent="0.25"/>
    <row r="158462" customFormat="1" x14ac:dyDescent="0.25"/>
    <row r="158463" customFormat="1" x14ac:dyDescent="0.25"/>
    <row r="158464" customFormat="1" x14ac:dyDescent="0.25"/>
    <row r="158465" customFormat="1" x14ac:dyDescent="0.25"/>
    <row r="158466" customFormat="1" x14ac:dyDescent="0.25"/>
    <row r="158467" customFormat="1" x14ac:dyDescent="0.25"/>
    <row r="158468" customFormat="1" x14ac:dyDescent="0.25"/>
    <row r="158469" customFormat="1" x14ac:dyDescent="0.25"/>
    <row r="158470" customFormat="1" x14ac:dyDescent="0.25"/>
    <row r="158471" customFormat="1" x14ac:dyDescent="0.25"/>
    <row r="158472" customFormat="1" x14ac:dyDescent="0.25"/>
    <row r="158473" customFormat="1" x14ac:dyDescent="0.25"/>
    <row r="158474" customFormat="1" x14ac:dyDescent="0.25"/>
    <row r="158475" customFormat="1" x14ac:dyDescent="0.25"/>
    <row r="158476" customFormat="1" x14ac:dyDescent="0.25"/>
    <row r="158477" customFormat="1" x14ac:dyDescent="0.25"/>
    <row r="158478" customFormat="1" x14ac:dyDescent="0.25"/>
    <row r="158479" customFormat="1" x14ac:dyDescent="0.25"/>
    <row r="158480" customFormat="1" x14ac:dyDescent="0.25"/>
    <row r="158481" customFormat="1" x14ac:dyDescent="0.25"/>
    <row r="158482" customFormat="1" x14ac:dyDescent="0.25"/>
    <row r="158483" customFormat="1" x14ac:dyDescent="0.25"/>
    <row r="158484" customFormat="1" x14ac:dyDescent="0.25"/>
    <row r="158485" customFormat="1" x14ac:dyDescent="0.25"/>
    <row r="158486" customFormat="1" x14ac:dyDescent="0.25"/>
    <row r="158487" customFormat="1" x14ac:dyDescent="0.25"/>
    <row r="158488" customFormat="1" x14ac:dyDescent="0.25"/>
    <row r="158489" customFormat="1" x14ac:dyDescent="0.25"/>
    <row r="158490" customFormat="1" x14ac:dyDescent="0.25"/>
    <row r="158491" customFormat="1" x14ac:dyDescent="0.25"/>
    <row r="158492" customFormat="1" x14ac:dyDescent="0.25"/>
    <row r="158493" customFormat="1" x14ac:dyDescent="0.25"/>
    <row r="158494" customFormat="1" x14ac:dyDescent="0.25"/>
    <row r="158495" customFormat="1" x14ac:dyDescent="0.25"/>
    <row r="158496" customFormat="1" x14ac:dyDescent="0.25"/>
    <row r="158497" customFormat="1" x14ac:dyDescent="0.25"/>
    <row r="158498" customFormat="1" x14ac:dyDescent="0.25"/>
    <row r="158499" customFormat="1" x14ac:dyDescent="0.25"/>
    <row r="158500" customFormat="1" x14ac:dyDescent="0.25"/>
    <row r="158501" customFormat="1" x14ac:dyDescent="0.25"/>
    <row r="158502" customFormat="1" x14ac:dyDescent="0.25"/>
    <row r="158503" customFormat="1" x14ac:dyDescent="0.25"/>
    <row r="158504" customFormat="1" x14ac:dyDescent="0.25"/>
    <row r="158505" customFormat="1" x14ac:dyDescent="0.25"/>
    <row r="158506" customFormat="1" x14ac:dyDescent="0.25"/>
    <row r="158507" customFormat="1" x14ac:dyDescent="0.25"/>
    <row r="158508" customFormat="1" x14ac:dyDescent="0.25"/>
    <row r="158509" customFormat="1" x14ac:dyDescent="0.25"/>
    <row r="158510" customFormat="1" x14ac:dyDescent="0.25"/>
    <row r="158511" customFormat="1" x14ac:dyDescent="0.25"/>
    <row r="158512" customFormat="1" x14ac:dyDescent="0.25"/>
    <row r="158513" customFormat="1" x14ac:dyDescent="0.25"/>
    <row r="158514" customFormat="1" x14ac:dyDescent="0.25"/>
    <row r="158515" customFormat="1" x14ac:dyDescent="0.25"/>
    <row r="158516" customFormat="1" x14ac:dyDescent="0.25"/>
    <row r="158517" customFormat="1" x14ac:dyDescent="0.25"/>
    <row r="158518" customFormat="1" x14ac:dyDescent="0.25"/>
    <row r="158519" customFormat="1" x14ac:dyDescent="0.25"/>
    <row r="158520" customFormat="1" x14ac:dyDescent="0.25"/>
    <row r="158521" customFormat="1" x14ac:dyDescent="0.25"/>
    <row r="158522" customFormat="1" x14ac:dyDescent="0.25"/>
    <row r="158523" customFormat="1" x14ac:dyDescent="0.25"/>
    <row r="158524" customFormat="1" x14ac:dyDescent="0.25"/>
    <row r="158525" customFormat="1" x14ac:dyDescent="0.25"/>
    <row r="158526" customFormat="1" x14ac:dyDescent="0.25"/>
    <row r="158527" customFormat="1" x14ac:dyDescent="0.25"/>
    <row r="158528" customFormat="1" x14ac:dyDescent="0.25"/>
    <row r="158529" customFormat="1" x14ac:dyDescent="0.25"/>
    <row r="158530" customFormat="1" x14ac:dyDescent="0.25"/>
    <row r="158531" customFormat="1" x14ac:dyDescent="0.25"/>
    <row r="158532" customFormat="1" x14ac:dyDescent="0.25"/>
    <row r="158533" customFormat="1" x14ac:dyDescent="0.25"/>
    <row r="158534" customFormat="1" x14ac:dyDescent="0.25"/>
    <row r="158535" customFormat="1" x14ac:dyDescent="0.25"/>
    <row r="158536" customFormat="1" x14ac:dyDescent="0.25"/>
    <row r="158537" customFormat="1" x14ac:dyDescent="0.25"/>
    <row r="158538" customFormat="1" x14ac:dyDescent="0.25"/>
    <row r="158539" customFormat="1" x14ac:dyDescent="0.25"/>
    <row r="158540" customFormat="1" x14ac:dyDescent="0.25"/>
    <row r="158541" customFormat="1" x14ac:dyDescent="0.25"/>
    <row r="158542" customFormat="1" x14ac:dyDescent="0.25"/>
    <row r="158543" customFormat="1" x14ac:dyDescent="0.25"/>
    <row r="158544" customFormat="1" x14ac:dyDescent="0.25"/>
    <row r="158545" customFormat="1" x14ac:dyDescent="0.25"/>
    <row r="158546" customFormat="1" x14ac:dyDescent="0.25"/>
    <row r="158547" customFormat="1" x14ac:dyDescent="0.25"/>
    <row r="158548" customFormat="1" x14ac:dyDescent="0.25"/>
    <row r="158549" customFormat="1" x14ac:dyDescent="0.25"/>
    <row r="158550" customFormat="1" x14ac:dyDescent="0.25"/>
    <row r="158551" customFormat="1" x14ac:dyDescent="0.25"/>
    <row r="158552" customFormat="1" x14ac:dyDescent="0.25"/>
    <row r="158553" customFormat="1" x14ac:dyDescent="0.25"/>
    <row r="158554" customFormat="1" x14ac:dyDescent="0.25"/>
    <row r="158555" customFormat="1" x14ac:dyDescent="0.25"/>
    <row r="158556" customFormat="1" x14ac:dyDescent="0.25"/>
    <row r="158557" customFormat="1" x14ac:dyDescent="0.25"/>
    <row r="158558" customFormat="1" x14ac:dyDescent="0.25"/>
    <row r="158559" customFormat="1" x14ac:dyDescent="0.25"/>
    <row r="158560" customFormat="1" x14ac:dyDescent="0.25"/>
    <row r="158561" customFormat="1" x14ac:dyDescent="0.25"/>
    <row r="158562" customFormat="1" x14ac:dyDescent="0.25"/>
    <row r="158563" customFormat="1" x14ac:dyDescent="0.25"/>
    <row r="158564" customFormat="1" x14ac:dyDescent="0.25"/>
    <row r="158565" customFormat="1" x14ac:dyDescent="0.25"/>
    <row r="158566" customFormat="1" x14ac:dyDescent="0.25"/>
    <row r="158567" customFormat="1" x14ac:dyDescent="0.25"/>
    <row r="158568" customFormat="1" x14ac:dyDescent="0.25"/>
    <row r="158569" customFormat="1" x14ac:dyDescent="0.25"/>
    <row r="158570" customFormat="1" x14ac:dyDescent="0.25"/>
    <row r="158571" customFormat="1" x14ac:dyDescent="0.25"/>
    <row r="158572" customFormat="1" x14ac:dyDescent="0.25"/>
    <row r="158573" customFormat="1" x14ac:dyDescent="0.25"/>
    <row r="158574" customFormat="1" x14ac:dyDescent="0.25"/>
    <row r="158575" customFormat="1" x14ac:dyDescent="0.25"/>
    <row r="158576" customFormat="1" x14ac:dyDescent="0.25"/>
    <row r="158577" customFormat="1" x14ac:dyDescent="0.25"/>
    <row r="158578" customFormat="1" x14ac:dyDescent="0.25"/>
    <row r="158579" customFormat="1" x14ac:dyDescent="0.25"/>
    <row r="158580" customFormat="1" x14ac:dyDescent="0.25"/>
    <row r="158581" customFormat="1" x14ac:dyDescent="0.25"/>
    <row r="158582" customFormat="1" x14ac:dyDescent="0.25"/>
    <row r="158583" customFormat="1" x14ac:dyDescent="0.25"/>
    <row r="158584" customFormat="1" x14ac:dyDescent="0.25"/>
    <row r="158585" customFormat="1" x14ac:dyDescent="0.25"/>
    <row r="158586" customFormat="1" x14ac:dyDescent="0.25"/>
    <row r="158587" customFormat="1" x14ac:dyDescent="0.25"/>
    <row r="158588" customFormat="1" x14ac:dyDescent="0.25"/>
    <row r="158589" customFormat="1" x14ac:dyDescent="0.25"/>
    <row r="158590" customFormat="1" x14ac:dyDescent="0.25"/>
    <row r="158591" customFormat="1" x14ac:dyDescent="0.25"/>
    <row r="158592" customFormat="1" x14ac:dyDescent="0.25"/>
    <row r="158593" customFormat="1" x14ac:dyDescent="0.25"/>
    <row r="158594" customFormat="1" x14ac:dyDescent="0.25"/>
    <row r="158595" customFormat="1" x14ac:dyDescent="0.25"/>
    <row r="158596" customFormat="1" x14ac:dyDescent="0.25"/>
    <row r="158597" customFormat="1" x14ac:dyDescent="0.25"/>
    <row r="158598" customFormat="1" x14ac:dyDescent="0.25"/>
    <row r="158599" customFormat="1" x14ac:dyDescent="0.25"/>
    <row r="158600" customFormat="1" x14ac:dyDescent="0.25"/>
    <row r="158601" customFormat="1" x14ac:dyDescent="0.25"/>
    <row r="158602" customFormat="1" x14ac:dyDescent="0.25"/>
    <row r="158603" customFormat="1" x14ac:dyDescent="0.25"/>
    <row r="158604" customFormat="1" x14ac:dyDescent="0.25"/>
    <row r="158605" customFormat="1" x14ac:dyDescent="0.25"/>
    <row r="158606" customFormat="1" x14ac:dyDescent="0.25"/>
    <row r="158607" customFormat="1" x14ac:dyDescent="0.25"/>
    <row r="158608" customFormat="1" x14ac:dyDescent="0.25"/>
    <row r="158609" customFormat="1" x14ac:dyDescent="0.25"/>
    <row r="158610" customFormat="1" x14ac:dyDescent="0.25"/>
    <row r="158611" customFormat="1" x14ac:dyDescent="0.25"/>
    <row r="158612" customFormat="1" x14ac:dyDescent="0.25"/>
    <row r="158613" customFormat="1" x14ac:dyDescent="0.25"/>
    <row r="158614" customFormat="1" x14ac:dyDescent="0.25"/>
    <row r="158615" customFormat="1" x14ac:dyDescent="0.25"/>
    <row r="158616" customFormat="1" x14ac:dyDescent="0.25"/>
    <row r="158617" customFormat="1" x14ac:dyDescent="0.25"/>
    <row r="158618" customFormat="1" x14ac:dyDescent="0.25"/>
    <row r="158619" customFormat="1" x14ac:dyDescent="0.25"/>
    <row r="158620" customFormat="1" x14ac:dyDescent="0.25"/>
    <row r="158621" customFormat="1" x14ac:dyDescent="0.25"/>
    <row r="158622" customFormat="1" x14ac:dyDescent="0.25"/>
    <row r="158623" customFormat="1" x14ac:dyDescent="0.25"/>
    <row r="158624" customFormat="1" x14ac:dyDescent="0.25"/>
    <row r="158625" customFormat="1" x14ac:dyDescent="0.25"/>
    <row r="158626" customFormat="1" x14ac:dyDescent="0.25"/>
    <row r="158627" customFormat="1" x14ac:dyDescent="0.25"/>
    <row r="158628" customFormat="1" x14ac:dyDescent="0.25"/>
    <row r="158629" customFormat="1" x14ac:dyDescent="0.25"/>
    <row r="158630" customFormat="1" x14ac:dyDescent="0.25"/>
    <row r="158631" customFormat="1" x14ac:dyDescent="0.25"/>
    <row r="158632" customFormat="1" x14ac:dyDescent="0.25"/>
    <row r="158633" customFormat="1" x14ac:dyDescent="0.25"/>
    <row r="158634" customFormat="1" x14ac:dyDescent="0.25"/>
    <row r="158635" customFormat="1" x14ac:dyDescent="0.25"/>
    <row r="158636" customFormat="1" x14ac:dyDescent="0.25"/>
    <row r="158637" customFormat="1" x14ac:dyDescent="0.25"/>
    <row r="158638" customFormat="1" x14ac:dyDescent="0.25"/>
    <row r="158639" customFormat="1" x14ac:dyDescent="0.25"/>
    <row r="158640" customFormat="1" x14ac:dyDescent="0.25"/>
    <row r="158641" customFormat="1" x14ac:dyDescent="0.25"/>
    <row r="158642" customFormat="1" x14ac:dyDescent="0.25"/>
    <row r="158643" customFormat="1" x14ac:dyDescent="0.25"/>
    <row r="158644" customFormat="1" x14ac:dyDescent="0.25"/>
    <row r="158645" customFormat="1" x14ac:dyDescent="0.25"/>
    <row r="158646" customFormat="1" x14ac:dyDescent="0.25"/>
    <row r="158647" customFormat="1" x14ac:dyDescent="0.25"/>
    <row r="158648" customFormat="1" x14ac:dyDescent="0.25"/>
    <row r="158649" customFormat="1" x14ac:dyDescent="0.25"/>
    <row r="158650" customFormat="1" x14ac:dyDescent="0.25"/>
    <row r="158651" customFormat="1" x14ac:dyDescent="0.25"/>
    <row r="158652" customFormat="1" x14ac:dyDescent="0.25"/>
    <row r="158653" customFormat="1" x14ac:dyDescent="0.25"/>
    <row r="158654" customFormat="1" x14ac:dyDescent="0.25"/>
    <row r="158655" customFormat="1" x14ac:dyDescent="0.25"/>
    <row r="158656" customFormat="1" x14ac:dyDescent="0.25"/>
    <row r="158657" customFormat="1" x14ac:dyDescent="0.25"/>
    <row r="158658" customFormat="1" x14ac:dyDescent="0.25"/>
    <row r="158659" customFormat="1" x14ac:dyDescent="0.25"/>
    <row r="158660" customFormat="1" x14ac:dyDescent="0.25"/>
    <row r="158661" customFormat="1" x14ac:dyDescent="0.25"/>
    <row r="158662" customFormat="1" x14ac:dyDescent="0.25"/>
    <row r="158663" customFormat="1" x14ac:dyDescent="0.25"/>
    <row r="158664" customFormat="1" x14ac:dyDescent="0.25"/>
    <row r="158665" customFormat="1" x14ac:dyDescent="0.25"/>
    <row r="158666" customFormat="1" x14ac:dyDescent="0.25"/>
    <row r="158667" customFormat="1" x14ac:dyDescent="0.25"/>
    <row r="158668" customFormat="1" x14ac:dyDescent="0.25"/>
    <row r="158669" customFormat="1" x14ac:dyDescent="0.25"/>
    <row r="158670" customFormat="1" x14ac:dyDescent="0.25"/>
    <row r="158671" customFormat="1" x14ac:dyDescent="0.25"/>
    <row r="158672" customFormat="1" x14ac:dyDescent="0.25"/>
    <row r="158673" customFormat="1" x14ac:dyDescent="0.25"/>
    <row r="158674" customFormat="1" x14ac:dyDescent="0.25"/>
    <row r="158675" customFormat="1" x14ac:dyDescent="0.25"/>
    <row r="158676" customFormat="1" x14ac:dyDescent="0.25"/>
    <row r="158677" customFormat="1" x14ac:dyDescent="0.25"/>
    <row r="158678" customFormat="1" x14ac:dyDescent="0.25"/>
    <row r="158679" customFormat="1" x14ac:dyDescent="0.25"/>
    <row r="158680" customFormat="1" x14ac:dyDescent="0.25"/>
    <row r="158681" customFormat="1" x14ac:dyDescent="0.25"/>
    <row r="158682" customFormat="1" x14ac:dyDescent="0.25"/>
    <row r="158683" customFormat="1" x14ac:dyDescent="0.25"/>
    <row r="158684" customFormat="1" x14ac:dyDescent="0.25"/>
    <row r="158685" customFormat="1" x14ac:dyDescent="0.25"/>
    <row r="158686" customFormat="1" x14ac:dyDescent="0.25"/>
    <row r="158687" customFormat="1" x14ac:dyDescent="0.25"/>
    <row r="158688" customFormat="1" x14ac:dyDescent="0.25"/>
    <row r="158689" customFormat="1" x14ac:dyDescent="0.25"/>
    <row r="158690" customFormat="1" x14ac:dyDescent="0.25"/>
    <row r="158691" customFormat="1" x14ac:dyDescent="0.25"/>
    <row r="158692" customFormat="1" x14ac:dyDescent="0.25"/>
    <row r="158693" customFormat="1" x14ac:dyDescent="0.25"/>
    <row r="158694" customFormat="1" x14ac:dyDescent="0.25"/>
    <row r="158695" customFormat="1" x14ac:dyDescent="0.25"/>
    <row r="158696" customFormat="1" x14ac:dyDescent="0.25"/>
    <row r="158697" customFormat="1" x14ac:dyDescent="0.25"/>
    <row r="158698" customFormat="1" x14ac:dyDescent="0.25"/>
    <row r="158699" customFormat="1" x14ac:dyDescent="0.25"/>
    <row r="158700" customFormat="1" x14ac:dyDescent="0.25"/>
    <row r="158701" customFormat="1" x14ac:dyDescent="0.25"/>
    <row r="158702" customFormat="1" x14ac:dyDescent="0.25"/>
    <row r="158703" customFormat="1" x14ac:dyDescent="0.25"/>
    <row r="158704" customFormat="1" x14ac:dyDescent="0.25"/>
    <row r="158705" customFormat="1" x14ac:dyDescent="0.25"/>
    <row r="158706" customFormat="1" x14ac:dyDescent="0.25"/>
    <row r="158707" customFormat="1" x14ac:dyDescent="0.25"/>
    <row r="158708" customFormat="1" x14ac:dyDescent="0.25"/>
    <row r="158709" customFormat="1" x14ac:dyDescent="0.25"/>
    <row r="158710" customFormat="1" x14ac:dyDescent="0.25"/>
    <row r="158711" customFormat="1" x14ac:dyDescent="0.25"/>
    <row r="158712" customFormat="1" x14ac:dyDescent="0.25"/>
    <row r="158713" customFormat="1" x14ac:dyDescent="0.25"/>
    <row r="158714" customFormat="1" x14ac:dyDescent="0.25"/>
    <row r="158715" customFormat="1" x14ac:dyDescent="0.25"/>
    <row r="158716" customFormat="1" x14ac:dyDescent="0.25"/>
    <row r="158717" customFormat="1" x14ac:dyDescent="0.25"/>
    <row r="158718" customFormat="1" x14ac:dyDescent="0.25"/>
    <row r="158719" customFormat="1" x14ac:dyDescent="0.25"/>
    <row r="158720" customFormat="1" x14ac:dyDescent="0.25"/>
    <row r="158721" customFormat="1" x14ac:dyDescent="0.25"/>
    <row r="158722" customFormat="1" x14ac:dyDescent="0.25"/>
    <row r="158723" customFormat="1" x14ac:dyDescent="0.25"/>
    <row r="158724" customFormat="1" x14ac:dyDescent="0.25"/>
    <row r="158725" customFormat="1" x14ac:dyDescent="0.25"/>
    <row r="158726" customFormat="1" x14ac:dyDescent="0.25"/>
    <row r="158727" customFormat="1" x14ac:dyDescent="0.25"/>
    <row r="158728" customFormat="1" x14ac:dyDescent="0.25"/>
    <row r="158729" customFormat="1" x14ac:dyDescent="0.25"/>
    <row r="158730" customFormat="1" x14ac:dyDescent="0.25"/>
    <row r="158731" customFormat="1" x14ac:dyDescent="0.25"/>
    <row r="158732" customFormat="1" x14ac:dyDescent="0.25"/>
    <row r="158733" customFormat="1" x14ac:dyDescent="0.25"/>
    <row r="158734" customFormat="1" x14ac:dyDescent="0.25"/>
    <row r="158735" customFormat="1" x14ac:dyDescent="0.25"/>
    <row r="158736" customFormat="1" x14ac:dyDescent="0.25"/>
    <row r="158737" customFormat="1" x14ac:dyDescent="0.25"/>
    <row r="158738" customFormat="1" x14ac:dyDescent="0.25"/>
    <row r="158739" customFormat="1" x14ac:dyDescent="0.25"/>
    <row r="158740" customFormat="1" x14ac:dyDescent="0.25"/>
    <row r="158741" customFormat="1" x14ac:dyDescent="0.25"/>
    <row r="158742" customFormat="1" x14ac:dyDescent="0.25"/>
    <row r="158743" customFormat="1" x14ac:dyDescent="0.25"/>
    <row r="158744" customFormat="1" x14ac:dyDescent="0.25"/>
    <row r="158745" customFormat="1" x14ac:dyDescent="0.25"/>
    <row r="158746" customFormat="1" x14ac:dyDescent="0.25"/>
    <row r="158747" customFormat="1" x14ac:dyDescent="0.25"/>
    <row r="158748" customFormat="1" x14ac:dyDescent="0.25"/>
    <row r="158749" customFormat="1" x14ac:dyDescent="0.25"/>
    <row r="158750" customFormat="1" x14ac:dyDescent="0.25"/>
    <row r="158751" customFormat="1" x14ac:dyDescent="0.25"/>
    <row r="158752" customFormat="1" x14ac:dyDescent="0.25"/>
    <row r="158753" customFormat="1" x14ac:dyDescent="0.25"/>
    <row r="158754" customFormat="1" x14ac:dyDescent="0.25"/>
    <row r="158755" customFormat="1" x14ac:dyDescent="0.25"/>
    <row r="158756" customFormat="1" x14ac:dyDescent="0.25"/>
    <row r="158757" customFormat="1" x14ac:dyDescent="0.25"/>
    <row r="158758" customFormat="1" x14ac:dyDescent="0.25"/>
    <row r="158759" customFormat="1" x14ac:dyDescent="0.25"/>
    <row r="158760" customFormat="1" x14ac:dyDescent="0.25"/>
    <row r="158761" customFormat="1" x14ac:dyDescent="0.25"/>
    <row r="158762" customFormat="1" x14ac:dyDescent="0.25"/>
    <row r="158763" customFormat="1" x14ac:dyDescent="0.25"/>
    <row r="158764" customFormat="1" x14ac:dyDescent="0.25"/>
    <row r="158765" customFormat="1" x14ac:dyDescent="0.25"/>
    <row r="158766" customFormat="1" x14ac:dyDescent="0.25"/>
    <row r="158767" customFormat="1" x14ac:dyDescent="0.25"/>
    <row r="158768" customFormat="1" x14ac:dyDescent="0.25"/>
    <row r="158769" customFormat="1" x14ac:dyDescent="0.25"/>
    <row r="158770" customFormat="1" x14ac:dyDescent="0.25"/>
    <row r="158771" customFormat="1" x14ac:dyDescent="0.25"/>
    <row r="158772" customFormat="1" x14ac:dyDescent="0.25"/>
    <row r="158773" customFormat="1" x14ac:dyDescent="0.25"/>
    <row r="158774" customFormat="1" x14ac:dyDescent="0.25"/>
    <row r="158775" customFormat="1" x14ac:dyDescent="0.25"/>
    <row r="158776" customFormat="1" x14ac:dyDescent="0.25"/>
    <row r="158777" customFormat="1" x14ac:dyDescent="0.25"/>
    <row r="158778" customFormat="1" x14ac:dyDescent="0.25"/>
    <row r="158779" customFormat="1" x14ac:dyDescent="0.25"/>
    <row r="158780" customFormat="1" x14ac:dyDescent="0.25"/>
    <row r="158781" customFormat="1" x14ac:dyDescent="0.25"/>
    <row r="158782" customFormat="1" x14ac:dyDescent="0.25"/>
    <row r="158783" customFormat="1" x14ac:dyDescent="0.25"/>
    <row r="158784" customFormat="1" x14ac:dyDescent="0.25"/>
    <row r="158785" customFormat="1" x14ac:dyDescent="0.25"/>
    <row r="158786" customFormat="1" x14ac:dyDescent="0.25"/>
    <row r="158787" customFormat="1" x14ac:dyDescent="0.25"/>
    <row r="158788" customFormat="1" x14ac:dyDescent="0.25"/>
    <row r="158789" customFormat="1" x14ac:dyDescent="0.25"/>
    <row r="158790" customFormat="1" x14ac:dyDescent="0.25"/>
    <row r="158791" customFormat="1" x14ac:dyDescent="0.25"/>
    <row r="158792" customFormat="1" x14ac:dyDescent="0.25"/>
    <row r="158793" customFormat="1" x14ac:dyDescent="0.25"/>
    <row r="158794" customFormat="1" x14ac:dyDescent="0.25"/>
    <row r="158795" customFormat="1" x14ac:dyDescent="0.25"/>
    <row r="158796" customFormat="1" x14ac:dyDescent="0.25"/>
    <row r="158797" customFormat="1" x14ac:dyDescent="0.25"/>
    <row r="158798" customFormat="1" x14ac:dyDescent="0.25"/>
    <row r="158799" customFormat="1" x14ac:dyDescent="0.25"/>
    <row r="158800" customFormat="1" x14ac:dyDescent="0.25"/>
    <row r="158801" customFormat="1" x14ac:dyDescent="0.25"/>
    <row r="158802" customFormat="1" x14ac:dyDescent="0.25"/>
    <row r="158803" customFormat="1" x14ac:dyDescent="0.25"/>
    <row r="158804" customFormat="1" x14ac:dyDescent="0.25"/>
    <row r="158805" customFormat="1" x14ac:dyDescent="0.25"/>
    <row r="158806" customFormat="1" x14ac:dyDescent="0.25"/>
    <row r="158807" customFormat="1" x14ac:dyDescent="0.25"/>
    <row r="158808" customFormat="1" x14ac:dyDescent="0.25"/>
    <row r="158809" customFormat="1" x14ac:dyDescent="0.25"/>
    <row r="158810" customFormat="1" x14ac:dyDescent="0.25"/>
    <row r="158811" customFormat="1" x14ac:dyDescent="0.25"/>
    <row r="158812" customFormat="1" x14ac:dyDescent="0.25"/>
    <row r="158813" customFormat="1" x14ac:dyDescent="0.25"/>
    <row r="158814" customFormat="1" x14ac:dyDescent="0.25"/>
    <row r="158815" customFormat="1" x14ac:dyDescent="0.25"/>
    <row r="158816" customFormat="1" x14ac:dyDescent="0.25"/>
    <row r="158817" customFormat="1" x14ac:dyDescent="0.25"/>
    <row r="158818" customFormat="1" x14ac:dyDescent="0.25"/>
    <row r="158819" customFormat="1" x14ac:dyDescent="0.25"/>
    <row r="158820" customFormat="1" x14ac:dyDescent="0.25"/>
    <row r="158821" customFormat="1" x14ac:dyDescent="0.25"/>
    <row r="158822" customFormat="1" x14ac:dyDescent="0.25"/>
    <row r="158823" customFormat="1" x14ac:dyDescent="0.25"/>
    <row r="158824" customFormat="1" x14ac:dyDescent="0.25"/>
    <row r="158825" customFormat="1" x14ac:dyDescent="0.25"/>
    <row r="158826" customFormat="1" x14ac:dyDescent="0.25"/>
    <row r="158827" customFormat="1" x14ac:dyDescent="0.25"/>
    <row r="158828" customFormat="1" x14ac:dyDescent="0.25"/>
    <row r="158829" customFormat="1" x14ac:dyDescent="0.25"/>
    <row r="158830" customFormat="1" x14ac:dyDescent="0.25"/>
    <row r="158831" customFormat="1" x14ac:dyDescent="0.25"/>
    <row r="158832" customFormat="1" x14ac:dyDescent="0.25"/>
    <row r="158833" customFormat="1" x14ac:dyDescent="0.25"/>
    <row r="158834" customFormat="1" x14ac:dyDescent="0.25"/>
    <row r="158835" customFormat="1" x14ac:dyDescent="0.25"/>
    <row r="158836" customFormat="1" x14ac:dyDescent="0.25"/>
    <row r="158837" customFormat="1" x14ac:dyDescent="0.25"/>
    <row r="158838" customFormat="1" x14ac:dyDescent="0.25"/>
    <row r="158839" customFormat="1" x14ac:dyDescent="0.25"/>
    <row r="158840" customFormat="1" x14ac:dyDescent="0.25"/>
    <row r="158841" customFormat="1" x14ac:dyDescent="0.25"/>
    <row r="158842" customFormat="1" x14ac:dyDescent="0.25"/>
    <row r="158843" customFormat="1" x14ac:dyDescent="0.25"/>
    <row r="158844" customFormat="1" x14ac:dyDescent="0.25"/>
    <row r="158845" customFormat="1" x14ac:dyDescent="0.25"/>
    <row r="158846" customFormat="1" x14ac:dyDescent="0.25"/>
    <row r="158847" customFormat="1" x14ac:dyDescent="0.25"/>
    <row r="158848" customFormat="1" x14ac:dyDescent="0.25"/>
    <row r="158849" customFormat="1" x14ac:dyDescent="0.25"/>
    <row r="158850" customFormat="1" x14ac:dyDescent="0.25"/>
    <row r="158851" customFormat="1" x14ac:dyDescent="0.25"/>
    <row r="158852" customFormat="1" x14ac:dyDescent="0.25"/>
    <row r="158853" customFormat="1" x14ac:dyDescent="0.25"/>
    <row r="158854" customFormat="1" x14ac:dyDescent="0.25"/>
    <row r="158855" customFormat="1" x14ac:dyDescent="0.25"/>
    <row r="158856" customFormat="1" x14ac:dyDescent="0.25"/>
    <row r="158857" customFormat="1" x14ac:dyDescent="0.25"/>
    <row r="158858" customFormat="1" x14ac:dyDescent="0.25"/>
    <row r="158859" customFormat="1" x14ac:dyDescent="0.25"/>
    <row r="158860" customFormat="1" x14ac:dyDescent="0.25"/>
    <row r="158861" customFormat="1" x14ac:dyDescent="0.25"/>
    <row r="158862" customFormat="1" x14ac:dyDescent="0.25"/>
    <row r="158863" customFormat="1" x14ac:dyDescent="0.25"/>
    <row r="158864" customFormat="1" x14ac:dyDescent="0.25"/>
    <row r="158865" customFormat="1" x14ac:dyDescent="0.25"/>
    <row r="158866" customFormat="1" x14ac:dyDescent="0.25"/>
    <row r="158867" customFormat="1" x14ac:dyDescent="0.25"/>
    <row r="158868" customFormat="1" x14ac:dyDescent="0.25"/>
    <row r="158869" customFormat="1" x14ac:dyDescent="0.25"/>
    <row r="158870" customFormat="1" x14ac:dyDescent="0.25"/>
    <row r="158871" customFormat="1" x14ac:dyDescent="0.25"/>
    <row r="158872" customFormat="1" x14ac:dyDescent="0.25"/>
    <row r="158873" customFormat="1" x14ac:dyDescent="0.25"/>
    <row r="158874" customFormat="1" x14ac:dyDescent="0.25"/>
    <row r="158875" customFormat="1" x14ac:dyDescent="0.25"/>
    <row r="158876" customFormat="1" x14ac:dyDescent="0.25"/>
    <row r="158877" customFormat="1" x14ac:dyDescent="0.25"/>
    <row r="158878" customFormat="1" x14ac:dyDescent="0.25"/>
    <row r="158879" customFormat="1" x14ac:dyDescent="0.25"/>
    <row r="158880" customFormat="1" x14ac:dyDescent="0.25"/>
    <row r="158881" customFormat="1" x14ac:dyDescent="0.25"/>
    <row r="158882" customFormat="1" x14ac:dyDescent="0.25"/>
    <row r="158883" customFormat="1" x14ac:dyDescent="0.25"/>
    <row r="158884" customFormat="1" x14ac:dyDescent="0.25"/>
    <row r="158885" customFormat="1" x14ac:dyDescent="0.25"/>
    <row r="158886" customFormat="1" x14ac:dyDescent="0.25"/>
    <row r="158887" customFormat="1" x14ac:dyDescent="0.25"/>
    <row r="158888" customFormat="1" x14ac:dyDescent="0.25"/>
    <row r="158889" customFormat="1" x14ac:dyDescent="0.25"/>
    <row r="158890" customFormat="1" x14ac:dyDescent="0.25"/>
    <row r="158891" customFormat="1" x14ac:dyDescent="0.25"/>
    <row r="158892" customFormat="1" x14ac:dyDescent="0.25"/>
    <row r="158893" customFormat="1" x14ac:dyDescent="0.25"/>
    <row r="158894" customFormat="1" x14ac:dyDescent="0.25"/>
    <row r="158895" customFormat="1" x14ac:dyDescent="0.25"/>
    <row r="158896" customFormat="1" x14ac:dyDescent="0.25"/>
    <row r="158897" customFormat="1" x14ac:dyDescent="0.25"/>
    <row r="158898" customFormat="1" x14ac:dyDescent="0.25"/>
    <row r="158899" customFormat="1" x14ac:dyDescent="0.25"/>
    <row r="158900" customFormat="1" x14ac:dyDescent="0.25"/>
    <row r="158901" customFormat="1" x14ac:dyDescent="0.25"/>
    <row r="158902" customFormat="1" x14ac:dyDescent="0.25"/>
    <row r="158903" customFormat="1" x14ac:dyDescent="0.25"/>
    <row r="158904" customFormat="1" x14ac:dyDescent="0.25"/>
    <row r="158905" customFormat="1" x14ac:dyDescent="0.25"/>
    <row r="158906" customFormat="1" x14ac:dyDescent="0.25"/>
    <row r="158907" customFormat="1" x14ac:dyDescent="0.25"/>
    <row r="158908" customFormat="1" x14ac:dyDescent="0.25"/>
    <row r="158909" customFormat="1" x14ac:dyDescent="0.25"/>
    <row r="158910" customFormat="1" x14ac:dyDescent="0.25"/>
    <row r="158911" customFormat="1" x14ac:dyDescent="0.25"/>
    <row r="158912" customFormat="1" x14ac:dyDescent="0.25"/>
    <row r="158913" customFormat="1" x14ac:dyDescent="0.25"/>
    <row r="158914" customFormat="1" x14ac:dyDescent="0.25"/>
    <row r="158915" customFormat="1" x14ac:dyDescent="0.25"/>
    <row r="158916" customFormat="1" x14ac:dyDescent="0.25"/>
    <row r="158917" customFormat="1" x14ac:dyDescent="0.25"/>
    <row r="158918" customFormat="1" x14ac:dyDescent="0.25"/>
    <row r="158919" customFormat="1" x14ac:dyDescent="0.25"/>
    <row r="158920" customFormat="1" x14ac:dyDescent="0.25"/>
    <row r="158921" customFormat="1" x14ac:dyDescent="0.25"/>
    <row r="158922" customFormat="1" x14ac:dyDescent="0.25"/>
    <row r="158923" customFormat="1" x14ac:dyDescent="0.25"/>
    <row r="158924" customFormat="1" x14ac:dyDescent="0.25"/>
    <row r="158925" customFormat="1" x14ac:dyDescent="0.25"/>
    <row r="158926" customFormat="1" x14ac:dyDescent="0.25"/>
    <row r="158927" customFormat="1" x14ac:dyDescent="0.25"/>
    <row r="158928" customFormat="1" x14ac:dyDescent="0.25"/>
    <row r="158929" customFormat="1" x14ac:dyDescent="0.25"/>
    <row r="158930" customFormat="1" x14ac:dyDescent="0.25"/>
    <row r="158931" customFormat="1" x14ac:dyDescent="0.25"/>
    <row r="158932" customFormat="1" x14ac:dyDescent="0.25"/>
    <row r="158933" customFormat="1" x14ac:dyDescent="0.25"/>
    <row r="158934" customFormat="1" x14ac:dyDescent="0.25"/>
    <row r="158935" customFormat="1" x14ac:dyDescent="0.25"/>
    <row r="158936" customFormat="1" x14ac:dyDescent="0.25"/>
    <row r="158937" customFormat="1" x14ac:dyDescent="0.25"/>
    <row r="158938" customFormat="1" x14ac:dyDescent="0.25"/>
    <row r="158939" customFormat="1" x14ac:dyDescent="0.25"/>
    <row r="158940" customFormat="1" x14ac:dyDescent="0.25"/>
    <row r="158941" customFormat="1" x14ac:dyDescent="0.25"/>
    <row r="158942" customFormat="1" x14ac:dyDescent="0.25"/>
    <row r="158943" customFormat="1" x14ac:dyDescent="0.25"/>
    <row r="158944" customFormat="1" x14ac:dyDescent="0.25"/>
    <row r="158945" customFormat="1" x14ac:dyDescent="0.25"/>
    <row r="158946" customFormat="1" x14ac:dyDescent="0.25"/>
    <row r="158947" customFormat="1" x14ac:dyDescent="0.25"/>
    <row r="158948" customFormat="1" x14ac:dyDescent="0.25"/>
    <row r="158949" customFormat="1" x14ac:dyDescent="0.25"/>
    <row r="158950" customFormat="1" x14ac:dyDescent="0.25"/>
    <row r="158951" customFormat="1" x14ac:dyDescent="0.25"/>
    <row r="158952" customFormat="1" x14ac:dyDescent="0.25"/>
    <row r="158953" customFormat="1" x14ac:dyDescent="0.25"/>
    <row r="158954" customFormat="1" x14ac:dyDescent="0.25"/>
    <row r="158955" customFormat="1" x14ac:dyDescent="0.25"/>
    <row r="158956" customFormat="1" x14ac:dyDescent="0.25"/>
    <row r="158957" customFormat="1" x14ac:dyDescent="0.25"/>
    <row r="158958" customFormat="1" x14ac:dyDescent="0.25"/>
    <row r="158959" customFormat="1" x14ac:dyDescent="0.25"/>
    <row r="158960" customFormat="1" x14ac:dyDescent="0.25"/>
    <row r="158961" customFormat="1" x14ac:dyDescent="0.25"/>
    <row r="158962" customFormat="1" x14ac:dyDescent="0.25"/>
    <row r="158963" customFormat="1" x14ac:dyDescent="0.25"/>
    <row r="158964" customFormat="1" x14ac:dyDescent="0.25"/>
    <row r="158965" customFormat="1" x14ac:dyDescent="0.25"/>
    <row r="158966" customFormat="1" x14ac:dyDescent="0.25"/>
    <row r="158967" customFormat="1" x14ac:dyDescent="0.25"/>
    <row r="158968" customFormat="1" x14ac:dyDescent="0.25"/>
    <row r="158969" customFormat="1" x14ac:dyDescent="0.25"/>
    <row r="158970" customFormat="1" x14ac:dyDescent="0.25"/>
    <row r="158971" customFormat="1" x14ac:dyDescent="0.25"/>
    <row r="158972" customFormat="1" x14ac:dyDescent="0.25"/>
    <row r="158973" customFormat="1" x14ac:dyDescent="0.25"/>
    <row r="158974" customFormat="1" x14ac:dyDescent="0.25"/>
    <row r="158975" customFormat="1" x14ac:dyDescent="0.25"/>
    <row r="158976" customFormat="1" x14ac:dyDescent="0.25"/>
    <row r="158977" customFormat="1" x14ac:dyDescent="0.25"/>
    <row r="158978" customFormat="1" x14ac:dyDescent="0.25"/>
    <row r="158979" customFormat="1" x14ac:dyDescent="0.25"/>
    <row r="158980" customFormat="1" x14ac:dyDescent="0.25"/>
    <row r="158981" customFormat="1" x14ac:dyDescent="0.25"/>
    <row r="158982" customFormat="1" x14ac:dyDescent="0.25"/>
    <row r="158983" customFormat="1" x14ac:dyDescent="0.25"/>
    <row r="158984" customFormat="1" x14ac:dyDescent="0.25"/>
    <row r="158985" customFormat="1" x14ac:dyDescent="0.25"/>
    <row r="158986" customFormat="1" x14ac:dyDescent="0.25"/>
    <row r="158987" customFormat="1" x14ac:dyDescent="0.25"/>
    <row r="158988" customFormat="1" x14ac:dyDescent="0.25"/>
    <row r="158989" customFormat="1" x14ac:dyDescent="0.25"/>
    <row r="158990" customFormat="1" x14ac:dyDescent="0.25"/>
    <row r="158991" customFormat="1" x14ac:dyDescent="0.25"/>
    <row r="158992" customFormat="1" x14ac:dyDescent="0.25"/>
    <row r="158993" customFormat="1" x14ac:dyDescent="0.25"/>
    <row r="158994" customFormat="1" x14ac:dyDescent="0.25"/>
    <row r="158995" customFormat="1" x14ac:dyDescent="0.25"/>
    <row r="158996" customFormat="1" x14ac:dyDescent="0.25"/>
    <row r="158997" customFormat="1" x14ac:dyDescent="0.25"/>
    <row r="158998" customFormat="1" x14ac:dyDescent="0.25"/>
    <row r="158999" customFormat="1" x14ac:dyDescent="0.25"/>
    <row r="159000" customFormat="1" x14ac:dyDescent="0.25"/>
    <row r="159001" customFormat="1" x14ac:dyDescent="0.25"/>
    <row r="159002" customFormat="1" x14ac:dyDescent="0.25"/>
    <row r="159003" customFormat="1" x14ac:dyDescent="0.25"/>
    <row r="159004" customFormat="1" x14ac:dyDescent="0.25"/>
    <row r="159005" customFormat="1" x14ac:dyDescent="0.25"/>
    <row r="159006" customFormat="1" x14ac:dyDescent="0.25"/>
    <row r="159007" customFormat="1" x14ac:dyDescent="0.25"/>
    <row r="159008" customFormat="1" x14ac:dyDescent="0.25"/>
    <row r="159009" customFormat="1" x14ac:dyDescent="0.25"/>
    <row r="159010" customFormat="1" x14ac:dyDescent="0.25"/>
    <row r="159011" customFormat="1" x14ac:dyDescent="0.25"/>
    <row r="159012" customFormat="1" x14ac:dyDescent="0.25"/>
    <row r="159013" customFormat="1" x14ac:dyDescent="0.25"/>
    <row r="159014" customFormat="1" x14ac:dyDescent="0.25"/>
    <row r="159015" customFormat="1" x14ac:dyDescent="0.25"/>
    <row r="159016" customFormat="1" x14ac:dyDescent="0.25"/>
    <row r="159017" customFormat="1" x14ac:dyDescent="0.25"/>
    <row r="159018" customFormat="1" x14ac:dyDescent="0.25"/>
    <row r="159019" customFormat="1" x14ac:dyDescent="0.25"/>
    <row r="159020" customFormat="1" x14ac:dyDescent="0.25"/>
    <row r="159021" customFormat="1" x14ac:dyDescent="0.25"/>
    <row r="159022" customFormat="1" x14ac:dyDescent="0.25"/>
    <row r="159023" customFormat="1" x14ac:dyDescent="0.25"/>
    <row r="159024" customFormat="1" x14ac:dyDescent="0.25"/>
    <row r="159025" customFormat="1" x14ac:dyDescent="0.25"/>
    <row r="159026" customFormat="1" x14ac:dyDescent="0.25"/>
    <row r="159027" customFormat="1" x14ac:dyDescent="0.25"/>
    <row r="159028" customFormat="1" x14ac:dyDescent="0.25"/>
    <row r="159029" customFormat="1" x14ac:dyDescent="0.25"/>
    <row r="159030" customFormat="1" x14ac:dyDescent="0.25"/>
    <row r="159031" customFormat="1" x14ac:dyDescent="0.25"/>
    <row r="159032" customFormat="1" x14ac:dyDescent="0.25"/>
    <row r="159033" customFormat="1" x14ac:dyDescent="0.25"/>
    <row r="159034" customFormat="1" x14ac:dyDescent="0.25"/>
    <row r="159035" customFormat="1" x14ac:dyDescent="0.25"/>
    <row r="159036" customFormat="1" x14ac:dyDescent="0.25"/>
    <row r="159037" customFormat="1" x14ac:dyDescent="0.25"/>
    <row r="159038" customFormat="1" x14ac:dyDescent="0.25"/>
    <row r="159039" customFormat="1" x14ac:dyDescent="0.25"/>
    <row r="159040" customFormat="1" x14ac:dyDescent="0.25"/>
    <row r="159041" customFormat="1" x14ac:dyDescent="0.25"/>
    <row r="159042" customFormat="1" x14ac:dyDescent="0.25"/>
    <row r="159043" customFormat="1" x14ac:dyDescent="0.25"/>
    <row r="159044" customFormat="1" x14ac:dyDescent="0.25"/>
    <row r="159045" customFormat="1" x14ac:dyDescent="0.25"/>
    <row r="159046" customFormat="1" x14ac:dyDescent="0.25"/>
    <row r="159047" customFormat="1" x14ac:dyDescent="0.25"/>
    <row r="159048" customFormat="1" x14ac:dyDescent="0.25"/>
    <row r="159049" customFormat="1" x14ac:dyDescent="0.25"/>
    <row r="159050" customFormat="1" x14ac:dyDescent="0.25"/>
    <row r="159051" customFormat="1" x14ac:dyDescent="0.25"/>
    <row r="159052" customFormat="1" x14ac:dyDescent="0.25"/>
    <row r="159053" customFormat="1" x14ac:dyDescent="0.25"/>
    <row r="159054" customFormat="1" x14ac:dyDescent="0.25"/>
    <row r="159055" customFormat="1" x14ac:dyDescent="0.25"/>
    <row r="159056" customFormat="1" x14ac:dyDescent="0.25"/>
    <row r="159057" customFormat="1" x14ac:dyDescent="0.25"/>
    <row r="159058" customFormat="1" x14ac:dyDescent="0.25"/>
    <row r="159059" customFormat="1" x14ac:dyDescent="0.25"/>
    <row r="159060" customFormat="1" x14ac:dyDescent="0.25"/>
    <row r="159061" customFormat="1" x14ac:dyDescent="0.25"/>
    <row r="159062" customFormat="1" x14ac:dyDescent="0.25"/>
    <row r="159063" customFormat="1" x14ac:dyDescent="0.25"/>
    <row r="159064" customFormat="1" x14ac:dyDescent="0.25"/>
    <row r="159065" customFormat="1" x14ac:dyDescent="0.25"/>
    <row r="159066" customFormat="1" x14ac:dyDescent="0.25"/>
    <row r="159067" customFormat="1" x14ac:dyDescent="0.25"/>
    <row r="159068" customFormat="1" x14ac:dyDescent="0.25"/>
    <row r="159069" customFormat="1" x14ac:dyDescent="0.25"/>
    <row r="159070" customFormat="1" x14ac:dyDescent="0.25"/>
    <row r="159071" customFormat="1" x14ac:dyDescent="0.25"/>
    <row r="159072" customFormat="1" x14ac:dyDescent="0.25"/>
    <row r="159073" customFormat="1" x14ac:dyDescent="0.25"/>
    <row r="159074" customFormat="1" x14ac:dyDescent="0.25"/>
    <row r="159075" customFormat="1" x14ac:dyDescent="0.25"/>
    <row r="159076" customFormat="1" x14ac:dyDescent="0.25"/>
    <row r="159077" customFormat="1" x14ac:dyDescent="0.25"/>
    <row r="159078" customFormat="1" x14ac:dyDescent="0.25"/>
    <row r="159079" customFormat="1" x14ac:dyDescent="0.25"/>
    <row r="159080" customFormat="1" x14ac:dyDescent="0.25"/>
    <row r="159081" customFormat="1" x14ac:dyDescent="0.25"/>
    <row r="159082" customFormat="1" x14ac:dyDescent="0.25"/>
    <row r="159083" customFormat="1" x14ac:dyDescent="0.25"/>
    <row r="159084" customFormat="1" x14ac:dyDescent="0.25"/>
    <row r="159085" customFormat="1" x14ac:dyDescent="0.25"/>
    <row r="159086" customFormat="1" x14ac:dyDescent="0.25"/>
    <row r="159087" customFormat="1" x14ac:dyDescent="0.25"/>
    <row r="159088" customFormat="1" x14ac:dyDescent="0.25"/>
    <row r="159089" customFormat="1" x14ac:dyDescent="0.25"/>
    <row r="159090" customFormat="1" x14ac:dyDescent="0.25"/>
    <row r="159091" customFormat="1" x14ac:dyDescent="0.25"/>
    <row r="159092" customFormat="1" x14ac:dyDescent="0.25"/>
    <row r="159093" customFormat="1" x14ac:dyDescent="0.25"/>
    <row r="159094" customFormat="1" x14ac:dyDescent="0.25"/>
    <row r="159095" customFormat="1" x14ac:dyDescent="0.25"/>
    <row r="159096" customFormat="1" x14ac:dyDescent="0.25"/>
    <row r="159097" customFormat="1" x14ac:dyDescent="0.25"/>
    <row r="159098" customFormat="1" x14ac:dyDescent="0.25"/>
    <row r="159099" customFormat="1" x14ac:dyDescent="0.25"/>
    <row r="159100" customFormat="1" x14ac:dyDescent="0.25"/>
    <row r="159101" customFormat="1" x14ac:dyDescent="0.25"/>
    <row r="159102" customFormat="1" x14ac:dyDescent="0.25"/>
    <row r="159103" customFormat="1" x14ac:dyDescent="0.25"/>
    <row r="159104" customFormat="1" x14ac:dyDescent="0.25"/>
    <row r="159105" customFormat="1" x14ac:dyDescent="0.25"/>
    <row r="159106" customFormat="1" x14ac:dyDescent="0.25"/>
    <row r="159107" customFormat="1" x14ac:dyDescent="0.25"/>
    <row r="159108" customFormat="1" x14ac:dyDescent="0.25"/>
    <row r="159109" customFormat="1" x14ac:dyDescent="0.25"/>
    <row r="159110" customFormat="1" x14ac:dyDescent="0.25"/>
    <row r="159111" customFormat="1" x14ac:dyDescent="0.25"/>
    <row r="159112" customFormat="1" x14ac:dyDescent="0.25"/>
    <row r="159113" customFormat="1" x14ac:dyDescent="0.25"/>
    <row r="159114" customFormat="1" x14ac:dyDescent="0.25"/>
    <row r="159115" customFormat="1" x14ac:dyDescent="0.25"/>
    <row r="159116" customFormat="1" x14ac:dyDescent="0.25"/>
    <row r="159117" customFormat="1" x14ac:dyDescent="0.25"/>
    <row r="159118" customFormat="1" x14ac:dyDescent="0.25"/>
    <row r="159119" customFormat="1" x14ac:dyDescent="0.25"/>
    <row r="159120" customFormat="1" x14ac:dyDescent="0.25"/>
    <row r="159121" customFormat="1" x14ac:dyDescent="0.25"/>
    <row r="159122" customFormat="1" x14ac:dyDescent="0.25"/>
    <row r="159123" customFormat="1" x14ac:dyDescent="0.25"/>
    <row r="159124" customFormat="1" x14ac:dyDescent="0.25"/>
    <row r="159125" customFormat="1" x14ac:dyDescent="0.25"/>
    <row r="159126" customFormat="1" x14ac:dyDescent="0.25"/>
    <row r="159127" customFormat="1" x14ac:dyDescent="0.25"/>
    <row r="159128" customFormat="1" x14ac:dyDescent="0.25"/>
    <row r="159129" customFormat="1" x14ac:dyDescent="0.25"/>
    <row r="159130" customFormat="1" x14ac:dyDescent="0.25"/>
    <row r="159131" customFormat="1" x14ac:dyDescent="0.25"/>
    <row r="159132" customFormat="1" x14ac:dyDescent="0.25"/>
    <row r="159133" customFormat="1" x14ac:dyDescent="0.25"/>
    <row r="159134" customFormat="1" x14ac:dyDescent="0.25"/>
    <row r="159135" customFormat="1" x14ac:dyDescent="0.25"/>
    <row r="159136" customFormat="1" x14ac:dyDescent="0.25"/>
    <row r="159137" customFormat="1" x14ac:dyDescent="0.25"/>
    <row r="159138" customFormat="1" x14ac:dyDescent="0.25"/>
    <row r="159139" customFormat="1" x14ac:dyDescent="0.25"/>
    <row r="159140" customFormat="1" x14ac:dyDescent="0.25"/>
    <row r="159141" customFormat="1" x14ac:dyDescent="0.25"/>
    <row r="159142" customFormat="1" x14ac:dyDescent="0.25"/>
    <row r="159143" customFormat="1" x14ac:dyDescent="0.25"/>
    <row r="159144" customFormat="1" x14ac:dyDescent="0.25"/>
    <row r="159145" customFormat="1" x14ac:dyDescent="0.25"/>
    <row r="159146" customFormat="1" x14ac:dyDescent="0.25"/>
    <row r="159147" customFormat="1" x14ac:dyDescent="0.25"/>
    <row r="159148" customFormat="1" x14ac:dyDescent="0.25"/>
    <row r="159149" customFormat="1" x14ac:dyDescent="0.25"/>
    <row r="159150" customFormat="1" x14ac:dyDescent="0.25"/>
    <row r="159151" customFormat="1" x14ac:dyDescent="0.25"/>
    <row r="159152" customFormat="1" x14ac:dyDescent="0.25"/>
    <row r="159153" customFormat="1" x14ac:dyDescent="0.25"/>
    <row r="159154" customFormat="1" x14ac:dyDescent="0.25"/>
    <row r="159155" customFormat="1" x14ac:dyDescent="0.25"/>
    <row r="159156" customFormat="1" x14ac:dyDescent="0.25"/>
    <row r="159157" customFormat="1" x14ac:dyDescent="0.25"/>
    <row r="159158" customFormat="1" x14ac:dyDescent="0.25"/>
    <row r="159159" customFormat="1" x14ac:dyDescent="0.25"/>
    <row r="159160" customFormat="1" x14ac:dyDescent="0.25"/>
    <row r="159161" customFormat="1" x14ac:dyDescent="0.25"/>
    <row r="159162" customFormat="1" x14ac:dyDescent="0.25"/>
    <row r="159163" customFormat="1" x14ac:dyDescent="0.25"/>
    <row r="159164" customFormat="1" x14ac:dyDescent="0.25"/>
    <row r="159165" customFormat="1" x14ac:dyDescent="0.25"/>
    <row r="159166" customFormat="1" x14ac:dyDescent="0.25"/>
    <row r="159167" customFormat="1" x14ac:dyDescent="0.25"/>
    <row r="159168" customFormat="1" x14ac:dyDescent="0.25"/>
    <row r="159169" customFormat="1" x14ac:dyDescent="0.25"/>
    <row r="159170" customFormat="1" x14ac:dyDescent="0.25"/>
    <row r="159171" customFormat="1" x14ac:dyDescent="0.25"/>
    <row r="159172" customFormat="1" x14ac:dyDescent="0.25"/>
    <row r="159173" customFormat="1" x14ac:dyDescent="0.25"/>
    <row r="159174" customFormat="1" x14ac:dyDescent="0.25"/>
    <row r="159175" customFormat="1" x14ac:dyDescent="0.25"/>
    <row r="159176" customFormat="1" x14ac:dyDescent="0.25"/>
    <row r="159177" customFormat="1" x14ac:dyDescent="0.25"/>
    <row r="159178" customFormat="1" x14ac:dyDescent="0.25"/>
    <row r="159179" customFormat="1" x14ac:dyDescent="0.25"/>
    <row r="159180" customFormat="1" x14ac:dyDescent="0.25"/>
    <row r="159181" customFormat="1" x14ac:dyDescent="0.25"/>
    <row r="159182" customFormat="1" x14ac:dyDescent="0.25"/>
    <row r="159183" customFormat="1" x14ac:dyDescent="0.25"/>
    <row r="159184" customFormat="1" x14ac:dyDescent="0.25"/>
    <row r="159185" customFormat="1" x14ac:dyDescent="0.25"/>
    <row r="159186" customFormat="1" x14ac:dyDescent="0.25"/>
    <row r="159187" customFormat="1" x14ac:dyDescent="0.25"/>
    <row r="159188" customFormat="1" x14ac:dyDescent="0.25"/>
    <row r="159189" customFormat="1" x14ac:dyDescent="0.25"/>
    <row r="159190" customFormat="1" x14ac:dyDescent="0.25"/>
    <row r="159191" customFormat="1" x14ac:dyDescent="0.25"/>
    <row r="159192" customFormat="1" x14ac:dyDescent="0.25"/>
    <row r="159193" customFormat="1" x14ac:dyDescent="0.25"/>
    <row r="159194" customFormat="1" x14ac:dyDescent="0.25"/>
    <row r="159195" customFormat="1" x14ac:dyDescent="0.25"/>
    <row r="159196" customFormat="1" x14ac:dyDescent="0.25"/>
    <row r="159197" customFormat="1" x14ac:dyDescent="0.25"/>
    <row r="159198" customFormat="1" x14ac:dyDescent="0.25"/>
    <row r="159199" customFormat="1" x14ac:dyDescent="0.25"/>
    <row r="159200" customFormat="1" x14ac:dyDescent="0.25"/>
    <row r="159201" customFormat="1" x14ac:dyDescent="0.25"/>
    <row r="159202" customFormat="1" x14ac:dyDescent="0.25"/>
    <row r="159203" customFormat="1" x14ac:dyDescent="0.25"/>
    <row r="159204" customFormat="1" x14ac:dyDescent="0.25"/>
    <row r="159205" customFormat="1" x14ac:dyDescent="0.25"/>
    <row r="159206" customFormat="1" x14ac:dyDescent="0.25"/>
    <row r="159207" customFormat="1" x14ac:dyDescent="0.25"/>
    <row r="159208" customFormat="1" x14ac:dyDescent="0.25"/>
    <row r="159209" customFormat="1" x14ac:dyDescent="0.25"/>
    <row r="159210" customFormat="1" x14ac:dyDescent="0.25"/>
    <row r="159211" customFormat="1" x14ac:dyDescent="0.25"/>
    <row r="159212" customFormat="1" x14ac:dyDescent="0.25"/>
    <row r="159213" customFormat="1" x14ac:dyDescent="0.25"/>
    <row r="159214" customFormat="1" x14ac:dyDescent="0.25"/>
    <row r="159215" customFormat="1" x14ac:dyDescent="0.25"/>
    <row r="159216" customFormat="1" x14ac:dyDescent="0.25"/>
    <row r="159217" customFormat="1" x14ac:dyDescent="0.25"/>
    <row r="159218" customFormat="1" x14ac:dyDescent="0.25"/>
    <row r="159219" customFormat="1" x14ac:dyDescent="0.25"/>
    <row r="159220" customFormat="1" x14ac:dyDescent="0.25"/>
    <row r="159221" customFormat="1" x14ac:dyDescent="0.25"/>
    <row r="159222" customFormat="1" x14ac:dyDescent="0.25"/>
    <row r="159223" customFormat="1" x14ac:dyDescent="0.25"/>
    <row r="159224" customFormat="1" x14ac:dyDescent="0.25"/>
    <row r="159225" customFormat="1" x14ac:dyDescent="0.25"/>
    <row r="159226" customFormat="1" x14ac:dyDescent="0.25"/>
    <row r="159227" customFormat="1" x14ac:dyDescent="0.25"/>
    <row r="159228" customFormat="1" x14ac:dyDescent="0.25"/>
    <row r="159229" customFormat="1" x14ac:dyDescent="0.25"/>
    <row r="159230" customFormat="1" x14ac:dyDescent="0.25"/>
    <row r="159231" customFormat="1" x14ac:dyDescent="0.25"/>
    <row r="159232" customFormat="1" x14ac:dyDescent="0.25"/>
    <row r="159233" customFormat="1" x14ac:dyDescent="0.25"/>
    <row r="159234" customFormat="1" x14ac:dyDescent="0.25"/>
    <row r="159235" customFormat="1" x14ac:dyDescent="0.25"/>
    <row r="159236" customFormat="1" x14ac:dyDescent="0.25"/>
    <row r="159237" customFormat="1" x14ac:dyDescent="0.25"/>
    <row r="159238" customFormat="1" x14ac:dyDescent="0.25"/>
    <row r="159239" customFormat="1" x14ac:dyDescent="0.25"/>
    <row r="159240" customFormat="1" x14ac:dyDescent="0.25"/>
    <row r="159241" customFormat="1" x14ac:dyDescent="0.25"/>
    <row r="159242" customFormat="1" x14ac:dyDescent="0.25"/>
    <row r="159243" customFormat="1" x14ac:dyDescent="0.25"/>
    <row r="159244" customFormat="1" x14ac:dyDescent="0.25"/>
    <row r="159245" customFormat="1" x14ac:dyDescent="0.25"/>
    <row r="159246" customFormat="1" x14ac:dyDescent="0.25"/>
    <row r="159247" customFormat="1" x14ac:dyDescent="0.25"/>
    <row r="159248" customFormat="1" x14ac:dyDescent="0.25"/>
    <row r="159249" customFormat="1" x14ac:dyDescent="0.25"/>
    <row r="159250" customFormat="1" x14ac:dyDescent="0.25"/>
    <row r="159251" customFormat="1" x14ac:dyDescent="0.25"/>
    <row r="159252" customFormat="1" x14ac:dyDescent="0.25"/>
    <row r="159253" customFormat="1" x14ac:dyDescent="0.25"/>
    <row r="159254" customFormat="1" x14ac:dyDescent="0.25"/>
    <row r="159255" customFormat="1" x14ac:dyDescent="0.25"/>
    <row r="159256" customFormat="1" x14ac:dyDescent="0.25"/>
    <row r="159257" customFormat="1" x14ac:dyDescent="0.25"/>
    <row r="159258" customFormat="1" x14ac:dyDescent="0.25"/>
    <row r="159259" customFormat="1" x14ac:dyDescent="0.25"/>
    <row r="159260" customFormat="1" x14ac:dyDescent="0.25"/>
    <row r="159261" customFormat="1" x14ac:dyDescent="0.25"/>
    <row r="159262" customFormat="1" x14ac:dyDescent="0.25"/>
    <row r="159263" customFormat="1" x14ac:dyDescent="0.25"/>
    <row r="159264" customFormat="1" x14ac:dyDescent="0.25"/>
    <row r="159265" customFormat="1" x14ac:dyDescent="0.25"/>
    <row r="159266" customFormat="1" x14ac:dyDescent="0.25"/>
    <row r="159267" customFormat="1" x14ac:dyDescent="0.25"/>
    <row r="159268" customFormat="1" x14ac:dyDescent="0.25"/>
    <row r="159269" customFormat="1" x14ac:dyDescent="0.25"/>
    <row r="159270" customFormat="1" x14ac:dyDescent="0.25"/>
    <row r="159271" customFormat="1" x14ac:dyDescent="0.25"/>
    <row r="159272" customFormat="1" x14ac:dyDescent="0.25"/>
    <row r="159273" customFormat="1" x14ac:dyDescent="0.25"/>
    <row r="159274" customFormat="1" x14ac:dyDescent="0.25"/>
    <row r="159275" customFormat="1" x14ac:dyDescent="0.25"/>
    <row r="159276" customFormat="1" x14ac:dyDescent="0.25"/>
    <row r="159277" customFormat="1" x14ac:dyDescent="0.25"/>
    <row r="159278" customFormat="1" x14ac:dyDescent="0.25"/>
    <row r="159279" customFormat="1" x14ac:dyDescent="0.25"/>
    <row r="159280" customFormat="1" x14ac:dyDescent="0.25"/>
    <row r="159281" customFormat="1" x14ac:dyDescent="0.25"/>
    <row r="159282" customFormat="1" x14ac:dyDescent="0.25"/>
    <row r="159283" customFormat="1" x14ac:dyDescent="0.25"/>
    <row r="159284" customFormat="1" x14ac:dyDescent="0.25"/>
    <row r="159285" customFormat="1" x14ac:dyDescent="0.25"/>
    <row r="159286" customFormat="1" x14ac:dyDescent="0.25"/>
    <row r="159287" customFormat="1" x14ac:dyDescent="0.25"/>
    <row r="159288" customFormat="1" x14ac:dyDescent="0.25"/>
    <row r="159289" customFormat="1" x14ac:dyDescent="0.25"/>
    <row r="159290" customFormat="1" x14ac:dyDescent="0.25"/>
    <row r="159291" customFormat="1" x14ac:dyDescent="0.25"/>
    <row r="159292" customFormat="1" x14ac:dyDescent="0.25"/>
    <row r="159293" customFormat="1" x14ac:dyDescent="0.25"/>
    <row r="159294" customFormat="1" x14ac:dyDescent="0.25"/>
    <row r="159295" customFormat="1" x14ac:dyDescent="0.25"/>
    <row r="159296" customFormat="1" x14ac:dyDescent="0.25"/>
    <row r="159297" customFormat="1" x14ac:dyDescent="0.25"/>
    <row r="159298" customFormat="1" x14ac:dyDescent="0.25"/>
    <row r="159299" customFormat="1" x14ac:dyDescent="0.25"/>
    <row r="159300" customFormat="1" x14ac:dyDescent="0.25"/>
    <row r="159301" customFormat="1" x14ac:dyDescent="0.25"/>
    <row r="159302" customFormat="1" x14ac:dyDescent="0.25"/>
    <row r="159303" customFormat="1" x14ac:dyDescent="0.25"/>
    <row r="159304" customFormat="1" x14ac:dyDescent="0.25"/>
    <row r="159305" customFormat="1" x14ac:dyDescent="0.25"/>
    <row r="159306" customFormat="1" x14ac:dyDescent="0.25"/>
    <row r="159307" customFormat="1" x14ac:dyDescent="0.25"/>
    <row r="159308" customFormat="1" x14ac:dyDescent="0.25"/>
    <row r="159309" customFormat="1" x14ac:dyDescent="0.25"/>
    <row r="159310" customFormat="1" x14ac:dyDescent="0.25"/>
    <row r="159311" customFormat="1" x14ac:dyDescent="0.25"/>
    <row r="159312" customFormat="1" x14ac:dyDescent="0.25"/>
    <row r="159313" customFormat="1" x14ac:dyDescent="0.25"/>
    <row r="159314" customFormat="1" x14ac:dyDescent="0.25"/>
    <row r="159315" customFormat="1" x14ac:dyDescent="0.25"/>
    <row r="159316" customFormat="1" x14ac:dyDescent="0.25"/>
    <row r="159317" customFormat="1" x14ac:dyDescent="0.25"/>
    <row r="159318" customFormat="1" x14ac:dyDescent="0.25"/>
    <row r="159319" customFormat="1" x14ac:dyDescent="0.25"/>
    <row r="159320" customFormat="1" x14ac:dyDescent="0.25"/>
    <row r="159321" customFormat="1" x14ac:dyDescent="0.25"/>
    <row r="159322" customFormat="1" x14ac:dyDescent="0.25"/>
    <row r="159323" customFormat="1" x14ac:dyDescent="0.25"/>
    <row r="159324" customFormat="1" x14ac:dyDescent="0.25"/>
    <row r="159325" customFormat="1" x14ac:dyDescent="0.25"/>
    <row r="159326" customFormat="1" x14ac:dyDescent="0.25"/>
    <row r="159327" customFormat="1" x14ac:dyDescent="0.25"/>
    <row r="159328" customFormat="1" x14ac:dyDescent="0.25"/>
    <row r="159329" customFormat="1" x14ac:dyDescent="0.25"/>
    <row r="159330" customFormat="1" x14ac:dyDescent="0.25"/>
    <row r="159331" customFormat="1" x14ac:dyDescent="0.25"/>
    <row r="159332" customFormat="1" x14ac:dyDescent="0.25"/>
    <row r="159333" customFormat="1" x14ac:dyDescent="0.25"/>
    <row r="159334" customFormat="1" x14ac:dyDescent="0.25"/>
    <row r="159335" customFormat="1" x14ac:dyDescent="0.25"/>
    <row r="159336" customFormat="1" x14ac:dyDescent="0.25"/>
    <row r="159337" customFormat="1" x14ac:dyDescent="0.25"/>
    <row r="159338" customFormat="1" x14ac:dyDescent="0.25"/>
    <row r="159339" customFormat="1" x14ac:dyDescent="0.25"/>
    <row r="159340" customFormat="1" x14ac:dyDescent="0.25"/>
    <row r="159341" customFormat="1" x14ac:dyDescent="0.25"/>
    <row r="159342" customFormat="1" x14ac:dyDescent="0.25"/>
    <row r="159343" customFormat="1" x14ac:dyDescent="0.25"/>
    <row r="159344" customFormat="1" x14ac:dyDescent="0.25"/>
    <row r="159345" customFormat="1" x14ac:dyDescent="0.25"/>
    <row r="159346" customFormat="1" x14ac:dyDescent="0.25"/>
    <row r="159347" customFormat="1" x14ac:dyDescent="0.25"/>
    <row r="159348" customFormat="1" x14ac:dyDescent="0.25"/>
    <row r="159349" customFormat="1" x14ac:dyDescent="0.25"/>
    <row r="159350" customFormat="1" x14ac:dyDescent="0.25"/>
    <row r="159351" customFormat="1" x14ac:dyDescent="0.25"/>
    <row r="159352" customFormat="1" x14ac:dyDescent="0.25"/>
    <row r="159353" customFormat="1" x14ac:dyDescent="0.25"/>
    <row r="159354" customFormat="1" x14ac:dyDescent="0.25"/>
    <row r="159355" customFormat="1" x14ac:dyDescent="0.25"/>
    <row r="159356" customFormat="1" x14ac:dyDescent="0.25"/>
    <row r="159357" customFormat="1" x14ac:dyDescent="0.25"/>
    <row r="159358" customFormat="1" x14ac:dyDescent="0.25"/>
    <row r="159359" customFormat="1" x14ac:dyDescent="0.25"/>
    <row r="159360" customFormat="1" x14ac:dyDescent="0.25"/>
    <row r="159361" customFormat="1" x14ac:dyDescent="0.25"/>
    <row r="159362" customFormat="1" x14ac:dyDescent="0.25"/>
    <row r="159363" customFormat="1" x14ac:dyDescent="0.25"/>
    <row r="159364" customFormat="1" x14ac:dyDescent="0.25"/>
    <row r="159365" customFormat="1" x14ac:dyDescent="0.25"/>
    <row r="159366" customFormat="1" x14ac:dyDescent="0.25"/>
    <row r="159367" customFormat="1" x14ac:dyDescent="0.25"/>
    <row r="159368" customFormat="1" x14ac:dyDescent="0.25"/>
    <row r="159369" customFormat="1" x14ac:dyDescent="0.25"/>
    <row r="159370" customFormat="1" x14ac:dyDescent="0.25"/>
    <row r="159371" customFormat="1" x14ac:dyDescent="0.25"/>
    <row r="159372" customFormat="1" x14ac:dyDescent="0.25"/>
    <row r="159373" customFormat="1" x14ac:dyDescent="0.25"/>
    <row r="159374" customFormat="1" x14ac:dyDescent="0.25"/>
    <row r="159375" customFormat="1" x14ac:dyDescent="0.25"/>
    <row r="159376" customFormat="1" x14ac:dyDescent="0.25"/>
    <row r="159377" customFormat="1" x14ac:dyDescent="0.25"/>
    <row r="159378" customFormat="1" x14ac:dyDescent="0.25"/>
    <row r="159379" customFormat="1" x14ac:dyDescent="0.25"/>
    <row r="159380" customFormat="1" x14ac:dyDescent="0.25"/>
    <row r="159381" customFormat="1" x14ac:dyDescent="0.25"/>
    <row r="159382" customFormat="1" x14ac:dyDescent="0.25"/>
    <row r="159383" customFormat="1" x14ac:dyDescent="0.25"/>
    <row r="159384" customFormat="1" x14ac:dyDescent="0.25"/>
    <row r="159385" customFormat="1" x14ac:dyDescent="0.25"/>
    <row r="159386" customFormat="1" x14ac:dyDescent="0.25"/>
    <row r="159387" customFormat="1" x14ac:dyDescent="0.25"/>
    <row r="159388" customFormat="1" x14ac:dyDescent="0.25"/>
    <row r="159389" customFormat="1" x14ac:dyDescent="0.25"/>
    <row r="159390" customFormat="1" x14ac:dyDescent="0.25"/>
    <row r="159391" customFormat="1" x14ac:dyDescent="0.25"/>
    <row r="159392" customFormat="1" x14ac:dyDescent="0.25"/>
    <row r="159393" customFormat="1" x14ac:dyDescent="0.25"/>
    <row r="159394" customFormat="1" x14ac:dyDescent="0.25"/>
    <row r="159395" customFormat="1" x14ac:dyDescent="0.25"/>
    <row r="159396" customFormat="1" x14ac:dyDescent="0.25"/>
    <row r="159397" customFormat="1" x14ac:dyDescent="0.25"/>
    <row r="159398" customFormat="1" x14ac:dyDescent="0.25"/>
    <row r="159399" customFormat="1" x14ac:dyDescent="0.25"/>
    <row r="159400" customFormat="1" x14ac:dyDescent="0.25"/>
    <row r="159401" customFormat="1" x14ac:dyDescent="0.25"/>
    <row r="159402" customFormat="1" x14ac:dyDescent="0.25"/>
    <row r="159403" customFormat="1" x14ac:dyDescent="0.25"/>
    <row r="159404" customFormat="1" x14ac:dyDescent="0.25"/>
    <row r="159405" customFormat="1" x14ac:dyDescent="0.25"/>
    <row r="159406" customFormat="1" x14ac:dyDescent="0.25"/>
    <row r="159407" customFormat="1" x14ac:dyDescent="0.25"/>
    <row r="159408" customFormat="1" x14ac:dyDescent="0.25"/>
    <row r="159409" customFormat="1" x14ac:dyDescent="0.25"/>
    <row r="159410" customFormat="1" x14ac:dyDescent="0.25"/>
    <row r="159411" customFormat="1" x14ac:dyDescent="0.25"/>
    <row r="159412" customFormat="1" x14ac:dyDescent="0.25"/>
    <row r="159413" customFormat="1" x14ac:dyDescent="0.25"/>
    <row r="159414" customFormat="1" x14ac:dyDescent="0.25"/>
    <row r="159415" customFormat="1" x14ac:dyDescent="0.25"/>
    <row r="159416" customFormat="1" x14ac:dyDescent="0.25"/>
    <row r="159417" customFormat="1" x14ac:dyDescent="0.25"/>
    <row r="159418" customFormat="1" x14ac:dyDescent="0.25"/>
    <row r="159419" customFormat="1" x14ac:dyDescent="0.25"/>
    <row r="159420" customFormat="1" x14ac:dyDescent="0.25"/>
    <row r="159421" customFormat="1" x14ac:dyDescent="0.25"/>
    <row r="159422" customFormat="1" x14ac:dyDescent="0.25"/>
    <row r="159423" customFormat="1" x14ac:dyDescent="0.25"/>
    <row r="159424" customFormat="1" x14ac:dyDescent="0.25"/>
    <row r="159425" customFormat="1" x14ac:dyDescent="0.25"/>
    <row r="159426" customFormat="1" x14ac:dyDescent="0.25"/>
    <row r="159427" customFormat="1" x14ac:dyDescent="0.25"/>
    <row r="159428" customFormat="1" x14ac:dyDescent="0.25"/>
    <row r="159429" customFormat="1" x14ac:dyDescent="0.25"/>
    <row r="159430" customFormat="1" x14ac:dyDescent="0.25"/>
    <row r="159431" customFormat="1" x14ac:dyDescent="0.25"/>
    <row r="159432" customFormat="1" x14ac:dyDescent="0.25"/>
    <row r="159433" customFormat="1" x14ac:dyDescent="0.25"/>
    <row r="159434" customFormat="1" x14ac:dyDescent="0.25"/>
    <row r="159435" customFormat="1" x14ac:dyDescent="0.25"/>
    <row r="159436" customFormat="1" x14ac:dyDescent="0.25"/>
    <row r="159437" customFormat="1" x14ac:dyDescent="0.25"/>
    <row r="159438" customFormat="1" x14ac:dyDescent="0.25"/>
    <row r="159439" customFormat="1" x14ac:dyDescent="0.25"/>
    <row r="159440" customFormat="1" x14ac:dyDescent="0.25"/>
    <row r="159441" customFormat="1" x14ac:dyDescent="0.25"/>
    <row r="159442" customFormat="1" x14ac:dyDescent="0.25"/>
    <row r="159443" customFormat="1" x14ac:dyDescent="0.25"/>
    <row r="159444" customFormat="1" x14ac:dyDescent="0.25"/>
    <row r="159445" customFormat="1" x14ac:dyDescent="0.25"/>
    <row r="159446" customFormat="1" x14ac:dyDescent="0.25"/>
    <row r="159447" customFormat="1" x14ac:dyDescent="0.25"/>
    <row r="159448" customFormat="1" x14ac:dyDescent="0.25"/>
    <row r="159449" customFormat="1" x14ac:dyDescent="0.25"/>
    <row r="159450" customFormat="1" x14ac:dyDescent="0.25"/>
    <row r="159451" customFormat="1" x14ac:dyDescent="0.25"/>
    <row r="159452" customFormat="1" x14ac:dyDescent="0.25"/>
    <row r="159453" customFormat="1" x14ac:dyDescent="0.25"/>
    <row r="159454" customFormat="1" x14ac:dyDescent="0.25"/>
    <row r="159455" customFormat="1" x14ac:dyDescent="0.25"/>
    <row r="159456" customFormat="1" x14ac:dyDescent="0.25"/>
    <row r="159457" customFormat="1" x14ac:dyDescent="0.25"/>
    <row r="159458" customFormat="1" x14ac:dyDescent="0.25"/>
    <row r="159459" customFormat="1" x14ac:dyDescent="0.25"/>
    <row r="159460" customFormat="1" x14ac:dyDescent="0.25"/>
    <row r="159461" customFormat="1" x14ac:dyDescent="0.25"/>
    <row r="159462" customFormat="1" x14ac:dyDescent="0.25"/>
    <row r="159463" customFormat="1" x14ac:dyDescent="0.25"/>
    <row r="159464" customFormat="1" x14ac:dyDescent="0.25"/>
    <row r="159465" customFormat="1" x14ac:dyDescent="0.25"/>
    <row r="159466" customFormat="1" x14ac:dyDescent="0.25"/>
    <row r="159467" customFormat="1" x14ac:dyDescent="0.25"/>
    <row r="159468" customFormat="1" x14ac:dyDescent="0.25"/>
    <row r="159469" customFormat="1" x14ac:dyDescent="0.25"/>
    <row r="159470" customFormat="1" x14ac:dyDescent="0.25"/>
    <row r="159471" customFormat="1" x14ac:dyDescent="0.25"/>
    <row r="159472" customFormat="1" x14ac:dyDescent="0.25"/>
    <row r="159473" customFormat="1" x14ac:dyDescent="0.25"/>
    <row r="159474" customFormat="1" x14ac:dyDescent="0.25"/>
    <row r="159475" customFormat="1" x14ac:dyDescent="0.25"/>
    <row r="159476" customFormat="1" x14ac:dyDescent="0.25"/>
    <row r="159477" customFormat="1" x14ac:dyDescent="0.25"/>
    <row r="159478" customFormat="1" x14ac:dyDescent="0.25"/>
    <row r="159479" customFormat="1" x14ac:dyDescent="0.25"/>
    <row r="159480" customFormat="1" x14ac:dyDescent="0.25"/>
    <row r="159481" customFormat="1" x14ac:dyDescent="0.25"/>
    <row r="159482" customFormat="1" x14ac:dyDescent="0.25"/>
    <row r="159483" customFormat="1" x14ac:dyDescent="0.25"/>
    <row r="159484" customFormat="1" x14ac:dyDescent="0.25"/>
    <row r="159485" customFormat="1" x14ac:dyDescent="0.25"/>
    <row r="159486" customFormat="1" x14ac:dyDescent="0.25"/>
    <row r="159487" customFormat="1" x14ac:dyDescent="0.25"/>
    <row r="159488" customFormat="1" x14ac:dyDescent="0.25"/>
    <row r="159489" customFormat="1" x14ac:dyDescent="0.25"/>
    <row r="159490" customFormat="1" x14ac:dyDescent="0.25"/>
    <row r="159491" customFormat="1" x14ac:dyDescent="0.25"/>
    <row r="159492" customFormat="1" x14ac:dyDescent="0.25"/>
    <row r="159493" customFormat="1" x14ac:dyDescent="0.25"/>
    <row r="159494" customFormat="1" x14ac:dyDescent="0.25"/>
    <row r="159495" customFormat="1" x14ac:dyDescent="0.25"/>
    <row r="159496" customFormat="1" x14ac:dyDescent="0.25"/>
    <row r="159497" customFormat="1" x14ac:dyDescent="0.25"/>
    <row r="159498" customFormat="1" x14ac:dyDescent="0.25"/>
    <row r="159499" customFormat="1" x14ac:dyDescent="0.25"/>
    <row r="159500" customFormat="1" x14ac:dyDescent="0.25"/>
    <row r="159501" customFormat="1" x14ac:dyDescent="0.25"/>
    <row r="159502" customFormat="1" x14ac:dyDescent="0.25"/>
    <row r="159503" customFormat="1" x14ac:dyDescent="0.25"/>
    <row r="159504" customFormat="1" x14ac:dyDescent="0.25"/>
    <row r="159505" customFormat="1" x14ac:dyDescent="0.25"/>
    <row r="159506" customFormat="1" x14ac:dyDescent="0.25"/>
    <row r="159507" customFormat="1" x14ac:dyDescent="0.25"/>
    <row r="159508" customFormat="1" x14ac:dyDescent="0.25"/>
    <row r="159509" customFormat="1" x14ac:dyDescent="0.25"/>
    <row r="159510" customFormat="1" x14ac:dyDescent="0.25"/>
    <row r="159511" customFormat="1" x14ac:dyDescent="0.25"/>
    <row r="159512" customFormat="1" x14ac:dyDescent="0.25"/>
    <row r="159513" customFormat="1" x14ac:dyDescent="0.25"/>
    <row r="159514" customFormat="1" x14ac:dyDescent="0.25"/>
    <row r="159515" customFormat="1" x14ac:dyDescent="0.25"/>
    <row r="159516" customFormat="1" x14ac:dyDescent="0.25"/>
    <row r="159517" customFormat="1" x14ac:dyDescent="0.25"/>
    <row r="159518" customFormat="1" x14ac:dyDescent="0.25"/>
    <row r="159519" customFormat="1" x14ac:dyDescent="0.25"/>
    <row r="159520" customFormat="1" x14ac:dyDescent="0.25"/>
    <row r="159521" customFormat="1" x14ac:dyDescent="0.25"/>
    <row r="159522" customFormat="1" x14ac:dyDescent="0.25"/>
    <row r="159523" customFormat="1" x14ac:dyDescent="0.25"/>
    <row r="159524" customFormat="1" x14ac:dyDescent="0.25"/>
    <row r="159525" customFormat="1" x14ac:dyDescent="0.25"/>
    <row r="159526" customFormat="1" x14ac:dyDescent="0.25"/>
    <row r="159527" customFormat="1" x14ac:dyDescent="0.25"/>
    <row r="159528" customFormat="1" x14ac:dyDescent="0.25"/>
    <row r="159529" customFormat="1" x14ac:dyDescent="0.25"/>
    <row r="159530" customFormat="1" x14ac:dyDescent="0.25"/>
    <row r="159531" customFormat="1" x14ac:dyDescent="0.25"/>
    <row r="159532" customFormat="1" x14ac:dyDescent="0.25"/>
    <row r="159533" customFormat="1" x14ac:dyDescent="0.25"/>
    <row r="159534" customFormat="1" x14ac:dyDescent="0.25"/>
    <row r="159535" customFormat="1" x14ac:dyDescent="0.25"/>
    <row r="159536" customFormat="1" x14ac:dyDescent="0.25"/>
    <row r="159537" customFormat="1" x14ac:dyDescent="0.25"/>
    <row r="159538" customFormat="1" x14ac:dyDescent="0.25"/>
    <row r="159539" customFormat="1" x14ac:dyDescent="0.25"/>
    <row r="159540" customFormat="1" x14ac:dyDescent="0.25"/>
    <row r="159541" customFormat="1" x14ac:dyDescent="0.25"/>
    <row r="159542" customFormat="1" x14ac:dyDescent="0.25"/>
    <row r="159543" customFormat="1" x14ac:dyDescent="0.25"/>
    <row r="159544" customFormat="1" x14ac:dyDescent="0.25"/>
    <row r="159545" customFormat="1" x14ac:dyDescent="0.25"/>
    <row r="159546" customFormat="1" x14ac:dyDescent="0.25"/>
    <row r="159547" customFormat="1" x14ac:dyDescent="0.25"/>
    <row r="159548" customFormat="1" x14ac:dyDescent="0.25"/>
    <row r="159549" customFormat="1" x14ac:dyDescent="0.25"/>
    <row r="159550" customFormat="1" x14ac:dyDescent="0.25"/>
    <row r="159551" customFormat="1" x14ac:dyDescent="0.25"/>
    <row r="159552" customFormat="1" x14ac:dyDescent="0.25"/>
    <row r="159553" customFormat="1" x14ac:dyDescent="0.25"/>
    <row r="159554" customFormat="1" x14ac:dyDescent="0.25"/>
    <row r="159555" customFormat="1" x14ac:dyDescent="0.25"/>
    <row r="159556" customFormat="1" x14ac:dyDescent="0.25"/>
    <row r="159557" customFormat="1" x14ac:dyDescent="0.25"/>
    <row r="159558" customFormat="1" x14ac:dyDescent="0.25"/>
    <row r="159559" customFormat="1" x14ac:dyDescent="0.25"/>
    <row r="159560" customFormat="1" x14ac:dyDescent="0.25"/>
    <row r="159561" customFormat="1" x14ac:dyDescent="0.25"/>
    <row r="159562" customFormat="1" x14ac:dyDescent="0.25"/>
    <row r="159563" customFormat="1" x14ac:dyDescent="0.25"/>
    <row r="159564" customFormat="1" x14ac:dyDescent="0.25"/>
    <row r="159565" customFormat="1" x14ac:dyDescent="0.25"/>
    <row r="159566" customFormat="1" x14ac:dyDescent="0.25"/>
    <row r="159567" customFormat="1" x14ac:dyDescent="0.25"/>
    <row r="159568" customFormat="1" x14ac:dyDescent="0.25"/>
    <row r="159569" customFormat="1" x14ac:dyDescent="0.25"/>
    <row r="159570" customFormat="1" x14ac:dyDescent="0.25"/>
    <row r="159571" customFormat="1" x14ac:dyDescent="0.25"/>
    <row r="159572" customFormat="1" x14ac:dyDescent="0.25"/>
    <row r="159573" customFormat="1" x14ac:dyDescent="0.25"/>
    <row r="159574" customFormat="1" x14ac:dyDescent="0.25"/>
    <row r="159575" customFormat="1" x14ac:dyDescent="0.25"/>
    <row r="159576" customFormat="1" x14ac:dyDescent="0.25"/>
    <row r="159577" customFormat="1" x14ac:dyDescent="0.25"/>
    <row r="159578" customFormat="1" x14ac:dyDescent="0.25"/>
    <row r="159579" customFormat="1" x14ac:dyDescent="0.25"/>
    <row r="159580" customFormat="1" x14ac:dyDescent="0.25"/>
    <row r="159581" customFormat="1" x14ac:dyDescent="0.25"/>
    <row r="159582" customFormat="1" x14ac:dyDescent="0.25"/>
    <row r="159583" customFormat="1" x14ac:dyDescent="0.25"/>
    <row r="159584" customFormat="1" x14ac:dyDescent="0.25"/>
    <row r="159585" customFormat="1" x14ac:dyDescent="0.25"/>
    <row r="159586" customFormat="1" x14ac:dyDescent="0.25"/>
    <row r="159587" customFormat="1" x14ac:dyDescent="0.25"/>
    <row r="159588" customFormat="1" x14ac:dyDescent="0.25"/>
    <row r="159589" customFormat="1" x14ac:dyDescent="0.25"/>
    <row r="159590" customFormat="1" x14ac:dyDescent="0.25"/>
    <row r="159591" customFormat="1" x14ac:dyDescent="0.25"/>
    <row r="159592" customFormat="1" x14ac:dyDescent="0.25"/>
    <row r="159593" customFormat="1" x14ac:dyDescent="0.25"/>
    <row r="159594" customFormat="1" x14ac:dyDescent="0.25"/>
    <row r="159595" customFormat="1" x14ac:dyDescent="0.25"/>
    <row r="159596" customFormat="1" x14ac:dyDescent="0.25"/>
    <row r="159597" customFormat="1" x14ac:dyDescent="0.25"/>
    <row r="159598" customFormat="1" x14ac:dyDescent="0.25"/>
    <row r="159599" customFormat="1" x14ac:dyDescent="0.25"/>
    <row r="159600" customFormat="1" x14ac:dyDescent="0.25"/>
    <row r="159601" customFormat="1" x14ac:dyDescent="0.25"/>
    <row r="159602" customFormat="1" x14ac:dyDescent="0.25"/>
    <row r="159603" customFormat="1" x14ac:dyDescent="0.25"/>
    <row r="159604" customFormat="1" x14ac:dyDescent="0.25"/>
    <row r="159605" customFormat="1" x14ac:dyDescent="0.25"/>
    <row r="159606" customFormat="1" x14ac:dyDescent="0.25"/>
    <row r="159607" customFormat="1" x14ac:dyDescent="0.25"/>
    <row r="159608" customFormat="1" x14ac:dyDescent="0.25"/>
    <row r="159609" customFormat="1" x14ac:dyDescent="0.25"/>
    <row r="159610" customFormat="1" x14ac:dyDescent="0.25"/>
    <row r="159611" customFormat="1" x14ac:dyDescent="0.25"/>
    <row r="159612" customFormat="1" x14ac:dyDescent="0.25"/>
    <row r="159613" customFormat="1" x14ac:dyDescent="0.25"/>
    <row r="159614" customFormat="1" x14ac:dyDescent="0.25"/>
    <row r="159615" customFormat="1" x14ac:dyDescent="0.25"/>
    <row r="159616" customFormat="1" x14ac:dyDescent="0.25"/>
    <row r="159617" customFormat="1" x14ac:dyDescent="0.25"/>
    <row r="159618" customFormat="1" x14ac:dyDescent="0.25"/>
    <row r="159619" customFormat="1" x14ac:dyDescent="0.25"/>
    <row r="159620" customFormat="1" x14ac:dyDescent="0.25"/>
    <row r="159621" customFormat="1" x14ac:dyDescent="0.25"/>
    <row r="159622" customFormat="1" x14ac:dyDescent="0.25"/>
    <row r="159623" customFormat="1" x14ac:dyDescent="0.25"/>
    <row r="159624" customFormat="1" x14ac:dyDescent="0.25"/>
    <row r="159625" customFormat="1" x14ac:dyDescent="0.25"/>
    <row r="159626" customFormat="1" x14ac:dyDescent="0.25"/>
    <row r="159627" customFormat="1" x14ac:dyDescent="0.25"/>
    <row r="159628" customFormat="1" x14ac:dyDescent="0.25"/>
    <row r="159629" customFormat="1" x14ac:dyDescent="0.25"/>
    <row r="159630" customFormat="1" x14ac:dyDescent="0.25"/>
    <row r="159631" customFormat="1" x14ac:dyDescent="0.25"/>
    <row r="159632" customFormat="1" x14ac:dyDescent="0.25"/>
    <row r="159633" customFormat="1" x14ac:dyDescent="0.25"/>
    <row r="159634" customFormat="1" x14ac:dyDescent="0.25"/>
    <row r="159635" customFormat="1" x14ac:dyDescent="0.25"/>
    <row r="159636" customFormat="1" x14ac:dyDescent="0.25"/>
    <row r="159637" customFormat="1" x14ac:dyDescent="0.25"/>
    <row r="159638" customFormat="1" x14ac:dyDescent="0.25"/>
    <row r="159639" customFormat="1" x14ac:dyDescent="0.25"/>
    <row r="159640" customFormat="1" x14ac:dyDescent="0.25"/>
    <row r="159641" customFormat="1" x14ac:dyDescent="0.25"/>
    <row r="159642" customFormat="1" x14ac:dyDescent="0.25"/>
    <row r="159643" customFormat="1" x14ac:dyDescent="0.25"/>
    <row r="159644" customFormat="1" x14ac:dyDescent="0.25"/>
    <row r="159645" customFormat="1" x14ac:dyDescent="0.25"/>
    <row r="159646" customFormat="1" x14ac:dyDescent="0.25"/>
    <row r="159647" customFormat="1" x14ac:dyDescent="0.25"/>
    <row r="159648" customFormat="1" x14ac:dyDescent="0.25"/>
    <row r="159649" customFormat="1" x14ac:dyDescent="0.25"/>
    <row r="159650" customFormat="1" x14ac:dyDescent="0.25"/>
    <row r="159651" customFormat="1" x14ac:dyDescent="0.25"/>
    <row r="159652" customFormat="1" x14ac:dyDescent="0.25"/>
    <row r="159653" customFormat="1" x14ac:dyDescent="0.25"/>
    <row r="159654" customFormat="1" x14ac:dyDescent="0.25"/>
    <row r="159655" customFormat="1" x14ac:dyDescent="0.25"/>
    <row r="159656" customFormat="1" x14ac:dyDescent="0.25"/>
    <row r="159657" customFormat="1" x14ac:dyDescent="0.25"/>
    <row r="159658" customFormat="1" x14ac:dyDescent="0.25"/>
    <row r="159659" customFormat="1" x14ac:dyDescent="0.25"/>
    <row r="159660" customFormat="1" x14ac:dyDescent="0.25"/>
    <row r="159661" customFormat="1" x14ac:dyDescent="0.25"/>
    <row r="159662" customFormat="1" x14ac:dyDescent="0.25"/>
    <row r="159663" customFormat="1" x14ac:dyDescent="0.25"/>
    <row r="159664" customFormat="1" x14ac:dyDescent="0.25"/>
    <row r="159665" customFormat="1" x14ac:dyDescent="0.25"/>
    <row r="159666" customFormat="1" x14ac:dyDescent="0.25"/>
    <row r="159667" customFormat="1" x14ac:dyDescent="0.25"/>
    <row r="159668" customFormat="1" x14ac:dyDescent="0.25"/>
    <row r="159669" customFormat="1" x14ac:dyDescent="0.25"/>
    <row r="159670" customFormat="1" x14ac:dyDescent="0.25"/>
    <row r="159671" customFormat="1" x14ac:dyDescent="0.25"/>
    <row r="159672" customFormat="1" x14ac:dyDescent="0.25"/>
    <row r="159673" customFormat="1" x14ac:dyDescent="0.25"/>
    <row r="159674" customFormat="1" x14ac:dyDescent="0.25"/>
    <row r="159675" customFormat="1" x14ac:dyDescent="0.25"/>
    <row r="159676" customFormat="1" x14ac:dyDescent="0.25"/>
    <row r="159677" customFormat="1" x14ac:dyDescent="0.25"/>
    <row r="159678" customFormat="1" x14ac:dyDescent="0.25"/>
    <row r="159679" customFormat="1" x14ac:dyDescent="0.25"/>
    <row r="159680" customFormat="1" x14ac:dyDescent="0.25"/>
    <row r="159681" customFormat="1" x14ac:dyDescent="0.25"/>
    <row r="159682" customFormat="1" x14ac:dyDescent="0.25"/>
    <row r="159683" customFormat="1" x14ac:dyDescent="0.25"/>
    <row r="159684" customFormat="1" x14ac:dyDescent="0.25"/>
    <row r="159685" customFormat="1" x14ac:dyDescent="0.25"/>
    <row r="159686" customFormat="1" x14ac:dyDescent="0.25"/>
    <row r="159687" customFormat="1" x14ac:dyDescent="0.25"/>
    <row r="159688" customFormat="1" x14ac:dyDescent="0.25"/>
    <row r="159689" customFormat="1" x14ac:dyDescent="0.25"/>
    <row r="159690" customFormat="1" x14ac:dyDescent="0.25"/>
    <row r="159691" customFormat="1" x14ac:dyDescent="0.25"/>
    <row r="159692" customFormat="1" x14ac:dyDescent="0.25"/>
    <row r="159693" customFormat="1" x14ac:dyDescent="0.25"/>
    <row r="159694" customFormat="1" x14ac:dyDescent="0.25"/>
    <row r="159695" customFormat="1" x14ac:dyDescent="0.25"/>
    <row r="159696" customFormat="1" x14ac:dyDescent="0.25"/>
    <row r="159697" customFormat="1" x14ac:dyDescent="0.25"/>
    <row r="159698" customFormat="1" x14ac:dyDescent="0.25"/>
    <row r="159699" customFormat="1" x14ac:dyDescent="0.25"/>
    <row r="159700" customFormat="1" x14ac:dyDescent="0.25"/>
    <row r="159701" customFormat="1" x14ac:dyDescent="0.25"/>
    <row r="159702" customFormat="1" x14ac:dyDescent="0.25"/>
    <row r="159703" customFormat="1" x14ac:dyDescent="0.25"/>
    <row r="159704" customFormat="1" x14ac:dyDescent="0.25"/>
    <row r="159705" customFormat="1" x14ac:dyDescent="0.25"/>
    <row r="159706" customFormat="1" x14ac:dyDescent="0.25"/>
    <row r="159707" customFormat="1" x14ac:dyDescent="0.25"/>
    <row r="159708" customFormat="1" x14ac:dyDescent="0.25"/>
    <row r="159709" customFormat="1" x14ac:dyDescent="0.25"/>
    <row r="159710" customFormat="1" x14ac:dyDescent="0.25"/>
    <row r="159711" customFormat="1" x14ac:dyDescent="0.25"/>
    <row r="159712" customFormat="1" x14ac:dyDescent="0.25"/>
    <row r="159713" customFormat="1" x14ac:dyDescent="0.25"/>
    <row r="159714" customFormat="1" x14ac:dyDescent="0.25"/>
    <row r="159715" customFormat="1" x14ac:dyDescent="0.25"/>
    <row r="159716" customFormat="1" x14ac:dyDescent="0.25"/>
    <row r="159717" customFormat="1" x14ac:dyDescent="0.25"/>
    <row r="159718" customFormat="1" x14ac:dyDescent="0.25"/>
    <row r="159719" customFormat="1" x14ac:dyDescent="0.25"/>
    <row r="159720" customFormat="1" x14ac:dyDescent="0.25"/>
    <row r="159721" customFormat="1" x14ac:dyDescent="0.25"/>
    <row r="159722" customFormat="1" x14ac:dyDescent="0.25"/>
    <row r="159723" customFormat="1" x14ac:dyDescent="0.25"/>
    <row r="159724" customFormat="1" x14ac:dyDescent="0.25"/>
    <row r="159725" customFormat="1" x14ac:dyDescent="0.25"/>
    <row r="159726" customFormat="1" x14ac:dyDescent="0.25"/>
    <row r="159727" customFormat="1" x14ac:dyDescent="0.25"/>
    <row r="159728" customFormat="1" x14ac:dyDescent="0.25"/>
    <row r="159729" customFormat="1" x14ac:dyDescent="0.25"/>
    <row r="159730" customFormat="1" x14ac:dyDescent="0.25"/>
    <row r="159731" customFormat="1" x14ac:dyDescent="0.25"/>
    <row r="159732" customFormat="1" x14ac:dyDescent="0.25"/>
    <row r="159733" customFormat="1" x14ac:dyDescent="0.25"/>
    <row r="159734" customFormat="1" x14ac:dyDescent="0.25"/>
    <row r="159735" customFormat="1" x14ac:dyDescent="0.25"/>
    <row r="159736" customFormat="1" x14ac:dyDescent="0.25"/>
    <row r="159737" customFormat="1" x14ac:dyDescent="0.25"/>
    <row r="159738" customFormat="1" x14ac:dyDescent="0.25"/>
    <row r="159739" customFormat="1" x14ac:dyDescent="0.25"/>
    <row r="159740" customFormat="1" x14ac:dyDescent="0.25"/>
    <row r="159741" customFormat="1" x14ac:dyDescent="0.25"/>
    <row r="159742" customFormat="1" x14ac:dyDescent="0.25"/>
    <row r="159743" customFormat="1" x14ac:dyDescent="0.25"/>
    <row r="159744" customFormat="1" x14ac:dyDescent="0.25"/>
    <row r="159745" customFormat="1" x14ac:dyDescent="0.25"/>
    <row r="159746" customFormat="1" x14ac:dyDescent="0.25"/>
    <row r="159747" customFormat="1" x14ac:dyDescent="0.25"/>
    <row r="159748" customFormat="1" x14ac:dyDescent="0.25"/>
    <row r="159749" customFormat="1" x14ac:dyDescent="0.25"/>
    <row r="159750" customFormat="1" x14ac:dyDescent="0.25"/>
    <row r="159751" customFormat="1" x14ac:dyDescent="0.25"/>
    <row r="159752" customFormat="1" x14ac:dyDescent="0.25"/>
    <row r="159753" customFormat="1" x14ac:dyDescent="0.25"/>
    <row r="159754" customFormat="1" x14ac:dyDescent="0.25"/>
    <row r="159755" customFormat="1" x14ac:dyDescent="0.25"/>
    <row r="159756" customFormat="1" x14ac:dyDescent="0.25"/>
    <row r="159757" customFormat="1" x14ac:dyDescent="0.25"/>
    <row r="159758" customFormat="1" x14ac:dyDescent="0.25"/>
    <row r="159759" customFormat="1" x14ac:dyDescent="0.25"/>
    <row r="159760" customFormat="1" x14ac:dyDescent="0.25"/>
    <row r="159761" customFormat="1" x14ac:dyDescent="0.25"/>
    <row r="159762" customFormat="1" x14ac:dyDescent="0.25"/>
    <row r="159763" customFormat="1" x14ac:dyDescent="0.25"/>
    <row r="159764" customFormat="1" x14ac:dyDescent="0.25"/>
    <row r="159765" customFormat="1" x14ac:dyDescent="0.25"/>
    <row r="159766" customFormat="1" x14ac:dyDescent="0.25"/>
    <row r="159767" customFormat="1" x14ac:dyDescent="0.25"/>
    <row r="159768" customFormat="1" x14ac:dyDescent="0.25"/>
    <row r="159769" customFormat="1" x14ac:dyDescent="0.25"/>
    <row r="159770" customFormat="1" x14ac:dyDescent="0.25"/>
    <row r="159771" customFormat="1" x14ac:dyDescent="0.25"/>
    <row r="159772" customFormat="1" x14ac:dyDescent="0.25"/>
    <row r="159773" customFormat="1" x14ac:dyDescent="0.25"/>
    <row r="159774" customFormat="1" x14ac:dyDescent="0.25"/>
    <row r="159775" customFormat="1" x14ac:dyDescent="0.25"/>
    <row r="159776" customFormat="1" x14ac:dyDescent="0.25"/>
    <row r="159777" customFormat="1" x14ac:dyDescent="0.25"/>
    <row r="159778" customFormat="1" x14ac:dyDescent="0.25"/>
    <row r="159779" customFormat="1" x14ac:dyDescent="0.25"/>
    <row r="159780" customFormat="1" x14ac:dyDescent="0.25"/>
    <row r="159781" customFormat="1" x14ac:dyDescent="0.25"/>
    <row r="159782" customFormat="1" x14ac:dyDescent="0.25"/>
    <row r="159783" customFormat="1" x14ac:dyDescent="0.25"/>
    <row r="159784" customFormat="1" x14ac:dyDescent="0.25"/>
    <row r="159785" customFormat="1" x14ac:dyDescent="0.25"/>
    <row r="159786" customFormat="1" x14ac:dyDescent="0.25"/>
    <row r="159787" customFormat="1" x14ac:dyDescent="0.25"/>
    <row r="159788" customFormat="1" x14ac:dyDescent="0.25"/>
    <row r="159789" customFormat="1" x14ac:dyDescent="0.25"/>
    <row r="159790" customFormat="1" x14ac:dyDescent="0.25"/>
    <row r="159791" customFormat="1" x14ac:dyDescent="0.25"/>
    <row r="159792" customFormat="1" x14ac:dyDescent="0.25"/>
    <row r="159793" customFormat="1" x14ac:dyDescent="0.25"/>
    <row r="159794" customFormat="1" x14ac:dyDescent="0.25"/>
    <row r="159795" customFormat="1" x14ac:dyDescent="0.25"/>
    <row r="159796" customFormat="1" x14ac:dyDescent="0.25"/>
    <row r="159797" customFormat="1" x14ac:dyDescent="0.25"/>
    <row r="159798" customFormat="1" x14ac:dyDescent="0.25"/>
    <row r="159799" customFormat="1" x14ac:dyDescent="0.25"/>
    <row r="159800" customFormat="1" x14ac:dyDescent="0.25"/>
    <row r="159801" customFormat="1" x14ac:dyDescent="0.25"/>
    <row r="159802" customFormat="1" x14ac:dyDescent="0.25"/>
    <row r="159803" customFormat="1" x14ac:dyDescent="0.25"/>
    <row r="159804" customFormat="1" x14ac:dyDescent="0.25"/>
    <row r="159805" customFormat="1" x14ac:dyDescent="0.25"/>
    <row r="159806" customFormat="1" x14ac:dyDescent="0.25"/>
    <row r="159807" customFormat="1" x14ac:dyDescent="0.25"/>
    <row r="159808" customFormat="1" x14ac:dyDescent="0.25"/>
    <row r="159809" customFormat="1" x14ac:dyDescent="0.25"/>
    <row r="159810" customFormat="1" x14ac:dyDescent="0.25"/>
    <row r="159811" customFormat="1" x14ac:dyDescent="0.25"/>
    <row r="159812" customFormat="1" x14ac:dyDescent="0.25"/>
    <row r="159813" customFormat="1" x14ac:dyDescent="0.25"/>
    <row r="159814" customFormat="1" x14ac:dyDescent="0.25"/>
    <row r="159815" customFormat="1" x14ac:dyDescent="0.25"/>
    <row r="159816" customFormat="1" x14ac:dyDescent="0.25"/>
    <row r="159817" customFormat="1" x14ac:dyDescent="0.25"/>
    <row r="159818" customFormat="1" x14ac:dyDescent="0.25"/>
    <row r="159819" customFormat="1" x14ac:dyDescent="0.25"/>
    <row r="159820" customFormat="1" x14ac:dyDescent="0.25"/>
    <row r="159821" customFormat="1" x14ac:dyDescent="0.25"/>
    <row r="159822" customFormat="1" x14ac:dyDescent="0.25"/>
    <row r="159823" customFormat="1" x14ac:dyDescent="0.25"/>
    <row r="159824" customFormat="1" x14ac:dyDescent="0.25"/>
    <row r="159825" customFormat="1" x14ac:dyDescent="0.25"/>
    <row r="159826" customFormat="1" x14ac:dyDescent="0.25"/>
    <row r="159827" customFormat="1" x14ac:dyDescent="0.25"/>
    <row r="159828" customFormat="1" x14ac:dyDescent="0.25"/>
    <row r="159829" customFormat="1" x14ac:dyDescent="0.25"/>
    <row r="159830" customFormat="1" x14ac:dyDescent="0.25"/>
    <row r="159831" customFormat="1" x14ac:dyDescent="0.25"/>
    <row r="159832" customFormat="1" x14ac:dyDescent="0.25"/>
    <row r="159833" customFormat="1" x14ac:dyDescent="0.25"/>
    <row r="159834" customFormat="1" x14ac:dyDescent="0.25"/>
    <row r="159835" customFormat="1" x14ac:dyDescent="0.25"/>
    <row r="159836" customFormat="1" x14ac:dyDescent="0.25"/>
    <row r="159837" customFormat="1" x14ac:dyDescent="0.25"/>
    <row r="159838" customFormat="1" x14ac:dyDescent="0.25"/>
    <row r="159839" customFormat="1" x14ac:dyDescent="0.25"/>
    <row r="159840" customFormat="1" x14ac:dyDescent="0.25"/>
    <row r="159841" customFormat="1" x14ac:dyDescent="0.25"/>
    <row r="159842" customFormat="1" x14ac:dyDescent="0.25"/>
    <row r="159843" customFormat="1" x14ac:dyDescent="0.25"/>
    <row r="159844" customFormat="1" x14ac:dyDescent="0.25"/>
    <row r="159845" customFormat="1" x14ac:dyDescent="0.25"/>
    <row r="159846" customFormat="1" x14ac:dyDescent="0.25"/>
    <row r="159847" customFormat="1" x14ac:dyDescent="0.25"/>
    <row r="159848" customFormat="1" x14ac:dyDescent="0.25"/>
    <row r="159849" customFormat="1" x14ac:dyDescent="0.25"/>
    <row r="159850" customFormat="1" x14ac:dyDescent="0.25"/>
    <row r="159851" customFormat="1" x14ac:dyDescent="0.25"/>
    <row r="159852" customFormat="1" x14ac:dyDescent="0.25"/>
    <row r="159853" customFormat="1" x14ac:dyDescent="0.25"/>
    <row r="159854" customFormat="1" x14ac:dyDescent="0.25"/>
    <row r="159855" customFormat="1" x14ac:dyDescent="0.25"/>
    <row r="159856" customFormat="1" x14ac:dyDescent="0.25"/>
    <row r="159857" customFormat="1" x14ac:dyDescent="0.25"/>
    <row r="159858" customFormat="1" x14ac:dyDescent="0.25"/>
    <row r="159859" customFormat="1" x14ac:dyDescent="0.25"/>
    <row r="159860" customFormat="1" x14ac:dyDescent="0.25"/>
    <row r="159861" customFormat="1" x14ac:dyDescent="0.25"/>
    <row r="159862" customFormat="1" x14ac:dyDescent="0.25"/>
    <row r="159863" customFormat="1" x14ac:dyDescent="0.25"/>
    <row r="159864" customFormat="1" x14ac:dyDescent="0.25"/>
    <row r="159865" customFormat="1" x14ac:dyDescent="0.25"/>
    <row r="159866" customFormat="1" x14ac:dyDescent="0.25"/>
    <row r="159867" customFormat="1" x14ac:dyDescent="0.25"/>
    <row r="159868" customFormat="1" x14ac:dyDescent="0.25"/>
    <row r="159869" customFormat="1" x14ac:dyDescent="0.25"/>
    <row r="159870" customFormat="1" x14ac:dyDescent="0.25"/>
    <row r="159871" customFormat="1" x14ac:dyDescent="0.25"/>
    <row r="159872" customFormat="1" x14ac:dyDescent="0.25"/>
    <row r="159873" customFormat="1" x14ac:dyDescent="0.25"/>
    <row r="159874" customFormat="1" x14ac:dyDescent="0.25"/>
    <row r="159875" customFormat="1" x14ac:dyDescent="0.25"/>
    <row r="159876" customFormat="1" x14ac:dyDescent="0.25"/>
    <row r="159877" customFormat="1" x14ac:dyDescent="0.25"/>
    <row r="159878" customFormat="1" x14ac:dyDescent="0.25"/>
    <row r="159879" customFormat="1" x14ac:dyDescent="0.25"/>
    <row r="159880" customFormat="1" x14ac:dyDescent="0.25"/>
    <row r="159881" customFormat="1" x14ac:dyDescent="0.25"/>
    <row r="159882" customFormat="1" x14ac:dyDescent="0.25"/>
    <row r="159883" customFormat="1" x14ac:dyDescent="0.25"/>
    <row r="159884" customFormat="1" x14ac:dyDescent="0.25"/>
    <row r="159885" customFormat="1" x14ac:dyDescent="0.25"/>
    <row r="159886" customFormat="1" x14ac:dyDescent="0.25"/>
    <row r="159887" customFormat="1" x14ac:dyDescent="0.25"/>
    <row r="159888" customFormat="1" x14ac:dyDescent="0.25"/>
    <row r="159889" customFormat="1" x14ac:dyDescent="0.25"/>
    <row r="159890" customFormat="1" x14ac:dyDescent="0.25"/>
    <row r="159891" customFormat="1" x14ac:dyDescent="0.25"/>
    <row r="159892" customFormat="1" x14ac:dyDescent="0.25"/>
    <row r="159893" customFormat="1" x14ac:dyDescent="0.25"/>
    <row r="159894" customFormat="1" x14ac:dyDescent="0.25"/>
    <row r="159895" customFormat="1" x14ac:dyDescent="0.25"/>
    <row r="159896" customFormat="1" x14ac:dyDescent="0.25"/>
    <row r="159897" customFormat="1" x14ac:dyDescent="0.25"/>
    <row r="159898" customFormat="1" x14ac:dyDescent="0.25"/>
    <row r="159899" customFormat="1" x14ac:dyDescent="0.25"/>
    <row r="159900" customFormat="1" x14ac:dyDescent="0.25"/>
    <row r="159901" customFormat="1" x14ac:dyDescent="0.25"/>
    <row r="159902" customFormat="1" x14ac:dyDescent="0.25"/>
    <row r="159903" customFormat="1" x14ac:dyDescent="0.25"/>
    <row r="159904" customFormat="1" x14ac:dyDescent="0.25"/>
    <row r="159905" customFormat="1" x14ac:dyDescent="0.25"/>
    <row r="159906" customFormat="1" x14ac:dyDescent="0.25"/>
    <row r="159907" customFormat="1" x14ac:dyDescent="0.25"/>
    <row r="159908" customFormat="1" x14ac:dyDescent="0.25"/>
    <row r="159909" customFormat="1" x14ac:dyDescent="0.25"/>
    <row r="159910" customFormat="1" x14ac:dyDescent="0.25"/>
    <row r="159911" customFormat="1" x14ac:dyDescent="0.25"/>
    <row r="159912" customFormat="1" x14ac:dyDescent="0.25"/>
    <row r="159913" customFormat="1" x14ac:dyDescent="0.25"/>
    <row r="159914" customFormat="1" x14ac:dyDescent="0.25"/>
    <row r="159915" customFormat="1" x14ac:dyDescent="0.25"/>
    <row r="159916" customFormat="1" x14ac:dyDescent="0.25"/>
    <row r="159917" customFormat="1" x14ac:dyDescent="0.25"/>
    <row r="159918" customFormat="1" x14ac:dyDescent="0.25"/>
    <row r="159919" customFormat="1" x14ac:dyDescent="0.25"/>
    <row r="159920" customFormat="1" x14ac:dyDescent="0.25"/>
    <row r="159921" customFormat="1" x14ac:dyDescent="0.25"/>
    <row r="159922" customFormat="1" x14ac:dyDescent="0.25"/>
    <row r="159923" customFormat="1" x14ac:dyDescent="0.25"/>
    <row r="159924" customFormat="1" x14ac:dyDescent="0.25"/>
    <row r="159925" customFormat="1" x14ac:dyDescent="0.25"/>
    <row r="159926" customFormat="1" x14ac:dyDescent="0.25"/>
    <row r="159927" customFormat="1" x14ac:dyDescent="0.25"/>
    <row r="159928" customFormat="1" x14ac:dyDescent="0.25"/>
    <row r="159929" customFormat="1" x14ac:dyDescent="0.25"/>
    <row r="159930" customFormat="1" x14ac:dyDescent="0.25"/>
    <row r="159931" customFormat="1" x14ac:dyDescent="0.25"/>
    <row r="159932" customFormat="1" x14ac:dyDescent="0.25"/>
    <row r="159933" customFormat="1" x14ac:dyDescent="0.25"/>
    <row r="159934" customFormat="1" x14ac:dyDescent="0.25"/>
    <row r="159935" customFormat="1" x14ac:dyDescent="0.25"/>
    <row r="159936" customFormat="1" x14ac:dyDescent="0.25"/>
    <row r="159937" customFormat="1" x14ac:dyDescent="0.25"/>
    <row r="159938" customFormat="1" x14ac:dyDescent="0.25"/>
    <row r="159939" customFormat="1" x14ac:dyDescent="0.25"/>
    <row r="159940" customFormat="1" x14ac:dyDescent="0.25"/>
    <row r="159941" customFormat="1" x14ac:dyDescent="0.25"/>
    <row r="159942" customFormat="1" x14ac:dyDescent="0.25"/>
    <row r="159943" customFormat="1" x14ac:dyDescent="0.25"/>
    <row r="159944" customFormat="1" x14ac:dyDescent="0.25"/>
    <row r="159945" customFormat="1" x14ac:dyDescent="0.25"/>
    <row r="159946" customFormat="1" x14ac:dyDescent="0.25"/>
    <row r="159947" customFormat="1" x14ac:dyDescent="0.25"/>
    <row r="159948" customFormat="1" x14ac:dyDescent="0.25"/>
    <row r="159949" customFormat="1" x14ac:dyDescent="0.25"/>
    <row r="159950" customFormat="1" x14ac:dyDescent="0.25"/>
    <row r="159951" customFormat="1" x14ac:dyDescent="0.25"/>
    <row r="159952" customFormat="1" x14ac:dyDescent="0.25"/>
    <row r="159953" customFormat="1" x14ac:dyDescent="0.25"/>
    <row r="159954" customFormat="1" x14ac:dyDescent="0.25"/>
    <row r="159955" customFormat="1" x14ac:dyDescent="0.25"/>
    <row r="159956" customFormat="1" x14ac:dyDescent="0.25"/>
    <row r="159957" customFormat="1" x14ac:dyDescent="0.25"/>
    <row r="159958" customFormat="1" x14ac:dyDescent="0.25"/>
    <row r="159959" customFormat="1" x14ac:dyDescent="0.25"/>
    <row r="159960" customFormat="1" x14ac:dyDescent="0.25"/>
    <row r="159961" customFormat="1" x14ac:dyDescent="0.25"/>
    <row r="159962" customFormat="1" x14ac:dyDescent="0.25"/>
    <row r="159963" customFormat="1" x14ac:dyDescent="0.25"/>
    <row r="159964" customFormat="1" x14ac:dyDescent="0.25"/>
    <row r="159965" customFormat="1" x14ac:dyDescent="0.25"/>
    <row r="159966" customFormat="1" x14ac:dyDescent="0.25"/>
    <row r="159967" customFormat="1" x14ac:dyDescent="0.25"/>
    <row r="159968" customFormat="1" x14ac:dyDescent="0.25"/>
    <row r="159969" customFormat="1" x14ac:dyDescent="0.25"/>
    <row r="159970" customFormat="1" x14ac:dyDescent="0.25"/>
    <row r="159971" customFormat="1" x14ac:dyDescent="0.25"/>
    <row r="159972" customFormat="1" x14ac:dyDescent="0.25"/>
    <row r="159973" customFormat="1" x14ac:dyDescent="0.25"/>
    <row r="159974" customFormat="1" x14ac:dyDescent="0.25"/>
    <row r="159975" customFormat="1" x14ac:dyDescent="0.25"/>
    <row r="159976" customFormat="1" x14ac:dyDescent="0.25"/>
    <row r="159977" customFormat="1" x14ac:dyDescent="0.25"/>
    <row r="159978" customFormat="1" x14ac:dyDescent="0.25"/>
    <row r="159979" customFormat="1" x14ac:dyDescent="0.25"/>
    <row r="159980" customFormat="1" x14ac:dyDescent="0.25"/>
    <row r="159981" customFormat="1" x14ac:dyDescent="0.25"/>
    <row r="159982" customFormat="1" x14ac:dyDescent="0.25"/>
    <row r="159983" customFormat="1" x14ac:dyDescent="0.25"/>
    <row r="159984" customFormat="1" x14ac:dyDescent="0.25"/>
    <row r="159985" customFormat="1" x14ac:dyDescent="0.25"/>
    <row r="159986" customFormat="1" x14ac:dyDescent="0.25"/>
    <row r="159987" customFormat="1" x14ac:dyDescent="0.25"/>
    <row r="159988" customFormat="1" x14ac:dyDescent="0.25"/>
    <row r="159989" customFormat="1" x14ac:dyDescent="0.25"/>
    <row r="159990" customFormat="1" x14ac:dyDescent="0.25"/>
    <row r="159991" customFormat="1" x14ac:dyDescent="0.25"/>
    <row r="159992" customFormat="1" x14ac:dyDescent="0.25"/>
    <row r="159993" customFormat="1" x14ac:dyDescent="0.25"/>
    <row r="159994" customFormat="1" x14ac:dyDescent="0.25"/>
    <row r="159995" customFormat="1" x14ac:dyDescent="0.25"/>
    <row r="159996" customFormat="1" x14ac:dyDescent="0.25"/>
    <row r="159997" customFormat="1" x14ac:dyDescent="0.25"/>
    <row r="159998" customFormat="1" x14ac:dyDescent="0.25"/>
    <row r="159999" customFormat="1" x14ac:dyDescent="0.25"/>
    <row r="160000" customFormat="1" x14ac:dyDescent="0.25"/>
    <row r="160001" customFormat="1" x14ac:dyDescent="0.25"/>
    <row r="160002" customFormat="1" x14ac:dyDescent="0.25"/>
    <row r="160003" customFormat="1" x14ac:dyDescent="0.25"/>
    <row r="160004" customFormat="1" x14ac:dyDescent="0.25"/>
    <row r="160005" customFormat="1" x14ac:dyDescent="0.25"/>
    <row r="160006" customFormat="1" x14ac:dyDescent="0.25"/>
    <row r="160007" customFormat="1" x14ac:dyDescent="0.25"/>
    <row r="160008" customFormat="1" x14ac:dyDescent="0.25"/>
    <row r="160009" customFormat="1" x14ac:dyDescent="0.25"/>
    <row r="160010" customFormat="1" x14ac:dyDescent="0.25"/>
    <row r="160011" customFormat="1" x14ac:dyDescent="0.25"/>
    <row r="160012" customFormat="1" x14ac:dyDescent="0.25"/>
    <row r="160013" customFormat="1" x14ac:dyDescent="0.25"/>
    <row r="160014" customFormat="1" x14ac:dyDescent="0.25"/>
    <row r="160015" customFormat="1" x14ac:dyDescent="0.25"/>
    <row r="160016" customFormat="1" x14ac:dyDescent="0.25"/>
    <row r="160017" customFormat="1" x14ac:dyDescent="0.25"/>
    <row r="160018" customFormat="1" x14ac:dyDescent="0.25"/>
    <row r="160019" customFormat="1" x14ac:dyDescent="0.25"/>
    <row r="160020" customFormat="1" x14ac:dyDescent="0.25"/>
    <row r="160021" customFormat="1" x14ac:dyDescent="0.25"/>
    <row r="160022" customFormat="1" x14ac:dyDescent="0.25"/>
    <row r="160023" customFormat="1" x14ac:dyDescent="0.25"/>
    <row r="160024" customFormat="1" x14ac:dyDescent="0.25"/>
    <row r="160025" customFormat="1" x14ac:dyDescent="0.25"/>
    <row r="160026" customFormat="1" x14ac:dyDescent="0.25"/>
    <row r="160027" customFormat="1" x14ac:dyDescent="0.25"/>
    <row r="160028" customFormat="1" x14ac:dyDescent="0.25"/>
    <row r="160029" customFormat="1" x14ac:dyDescent="0.25"/>
    <row r="160030" customFormat="1" x14ac:dyDescent="0.25"/>
    <row r="160031" customFormat="1" x14ac:dyDescent="0.25"/>
    <row r="160032" customFormat="1" x14ac:dyDescent="0.25"/>
    <row r="160033" customFormat="1" x14ac:dyDescent="0.25"/>
    <row r="160034" customFormat="1" x14ac:dyDescent="0.25"/>
    <row r="160035" customFormat="1" x14ac:dyDescent="0.25"/>
    <row r="160036" customFormat="1" x14ac:dyDescent="0.25"/>
    <row r="160037" customFormat="1" x14ac:dyDescent="0.25"/>
    <row r="160038" customFormat="1" x14ac:dyDescent="0.25"/>
    <row r="160039" customFormat="1" x14ac:dyDescent="0.25"/>
    <row r="160040" customFormat="1" x14ac:dyDescent="0.25"/>
    <row r="160041" customFormat="1" x14ac:dyDescent="0.25"/>
    <row r="160042" customFormat="1" x14ac:dyDescent="0.25"/>
    <row r="160043" customFormat="1" x14ac:dyDescent="0.25"/>
    <row r="160044" customFormat="1" x14ac:dyDescent="0.25"/>
    <row r="160045" customFormat="1" x14ac:dyDescent="0.25"/>
    <row r="160046" customFormat="1" x14ac:dyDescent="0.25"/>
    <row r="160047" customFormat="1" x14ac:dyDescent="0.25"/>
    <row r="160048" customFormat="1" x14ac:dyDescent="0.25"/>
    <row r="160049" customFormat="1" x14ac:dyDescent="0.25"/>
    <row r="160050" customFormat="1" x14ac:dyDescent="0.25"/>
    <row r="160051" customFormat="1" x14ac:dyDescent="0.25"/>
    <row r="160052" customFormat="1" x14ac:dyDescent="0.25"/>
    <row r="160053" customFormat="1" x14ac:dyDescent="0.25"/>
    <row r="160054" customFormat="1" x14ac:dyDescent="0.25"/>
    <row r="160055" customFormat="1" x14ac:dyDescent="0.25"/>
    <row r="160056" customFormat="1" x14ac:dyDescent="0.25"/>
    <row r="160057" customFormat="1" x14ac:dyDescent="0.25"/>
    <row r="160058" customFormat="1" x14ac:dyDescent="0.25"/>
    <row r="160059" customFormat="1" x14ac:dyDescent="0.25"/>
    <row r="160060" customFormat="1" x14ac:dyDescent="0.25"/>
    <row r="160061" customFormat="1" x14ac:dyDescent="0.25"/>
    <row r="160062" customFormat="1" x14ac:dyDescent="0.25"/>
    <row r="160063" customFormat="1" x14ac:dyDescent="0.25"/>
    <row r="160064" customFormat="1" x14ac:dyDescent="0.25"/>
    <row r="160065" customFormat="1" x14ac:dyDescent="0.25"/>
    <row r="160066" customFormat="1" x14ac:dyDescent="0.25"/>
    <row r="160067" customFormat="1" x14ac:dyDescent="0.25"/>
    <row r="160068" customFormat="1" x14ac:dyDescent="0.25"/>
    <row r="160069" customFormat="1" x14ac:dyDescent="0.25"/>
    <row r="160070" customFormat="1" x14ac:dyDescent="0.25"/>
    <row r="160071" customFormat="1" x14ac:dyDescent="0.25"/>
    <row r="160072" customFormat="1" x14ac:dyDescent="0.25"/>
    <row r="160073" customFormat="1" x14ac:dyDescent="0.25"/>
    <row r="160074" customFormat="1" x14ac:dyDescent="0.25"/>
    <row r="160075" customFormat="1" x14ac:dyDescent="0.25"/>
    <row r="160076" customFormat="1" x14ac:dyDescent="0.25"/>
    <row r="160077" customFormat="1" x14ac:dyDescent="0.25"/>
    <row r="160078" customFormat="1" x14ac:dyDescent="0.25"/>
    <row r="160079" customFormat="1" x14ac:dyDescent="0.25"/>
    <row r="160080" customFormat="1" x14ac:dyDescent="0.25"/>
    <row r="160081" customFormat="1" x14ac:dyDescent="0.25"/>
    <row r="160082" customFormat="1" x14ac:dyDescent="0.25"/>
    <row r="160083" customFormat="1" x14ac:dyDescent="0.25"/>
    <row r="160084" customFormat="1" x14ac:dyDescent="0.25"/>
    <row r="160085" customFormat="1" x14ac:dyDescent="0.25"/>
    <row r="160086" customFormat="1" x14ac:dyDescent="0.25"/>
    <row r="160087" customFormat="1" x14ac:dyDescent="0.25"/>
    <row r="160088" customFormat="1" x14ac:dyDescent="0.25"/>
    <row r="160089" customFormat="1" x14ac:dyDescent="0.25"/>
    <row r="160090" customFormat="1" x14ac:dyDescent="0.25"/>
    <row r="160091" customFormat="1" x14ac:dyDescent="0.25"/>
    <row r="160092" customFormat="1" x14ac:dyDescent="0.25"/>
    <row r="160093" customFormat="1" x14ac:dyDescent="0.25"/>
    <row r="160094" customFormat="1" x14ac:dyDescent="0.25"/>
    <row r="160095" customFormat="1" x14ac:dyDescent="0.25"/>
    <row r="160096" customFormat="1" x14ac:dyDescent="0.25"/>
    <row r="160097" customFormat="1" x14ac:dyDescent="0.25"/>
    <row r="160098" customFormat="1" x14ac:dyDescent="0.25"/>
    <row r="160099" customFormat="1" x14ac:dyDescent="0.25"/>
    <row r="160100" customFormat="1" x14ac:dyDescent="0.25"/>
    <row r="160101" customFormat="1" x14ac:dyDescent="0.25"/>
    <row r="160102" customFormat="1" x14ac:dyDescent="0.25"/>
    <row r="160103" customFormat="1" x14ac:dyDescent="0.25"/>
    <row r="160104" customFormat="1" x14ac:dyDescent="0.25"/>
    <row r="160105" customFormat="1" x14ac:dyDescent="0.25"/>
    <row r="160106" customFormat="1" x14ac:dyDescent="0.25"/>
    <row r="160107" customFormat="1" x14ac:dyDescent="0.25"/>
    <row r="160108" customFormat="1" x14ac:dyDescent="0.25"/>
    <row r="160109" customFormat="1" x14ac:dyDescent="0.25"/>
    <row r="160110" customFormat="1" x14ac:dyDescent="0.25"/>
    <row r="160111" customFormat="1" x14ac:dyDescent="0.25"/>
    <row r="160112" customFormat="1" x14ac:dyDescent="0.25"/>
    <row r="160113" customFormat="1" x14ac:dyDescent="0.25"/>
    <row r="160114" customFormat="1" x14ac:dyDescent="0.25"/>
    <row r="160115" customFormat="1" x14ac:dyDescent="0.25"/>
    <row r="160116" customFormat="1" x14ac:dyDescent="0.25"/>
    <row r="160117" customFormat="1" x14ac:dyDescent="0.25"/>
    <row r="160118" customFormat="1" x14ac:dyDescent="0.25"/>
    <row r="160119" customFormat="1" x14ac:dyDescent="0.25"/>
    <row r="160120" customFormat="1" x14ac:dyDescent="0.25"/>
    <row r="160121" customFormat="1" x14ac:dyDescent="0.25"/>
    <row r="160122" customFormat="1" x14ac:dyDescent="0.25"/>
    <row r="160123" customFormat="1" x14ac:dyDescent="0.25"/>
    <row r="160124" customFormat="1" x14ac:dyDescent="0.25"/>
    <row r="160125" customFormat="1" x14ac:dyDescent="0.25"/>
    <row r="160126" customFormat="1" x14ac:dyDescent="0.25"/>
    <row r="160127" customFormat="1" x14ac:dyDescent="0.25"/>
    <row r="160128" customFormat="1" x14ac:dyDescent="0.25"/>
    <row r="160129" customFormat="1" x14ac:dyDescent="0.25"/>
    <row r="160130" customFormat="1" x14ac:dyDescent="0.25"/>
    <row r="160131" customFormat="1" x14ac:dyDescent="0.25"/>
    <row r="160132" customFormat="1" x14ac:dyDescent="0.25"/>
    <row r="160133" customFormat="1" x14ac:dyDescent="0.25"/>
    <row r="160134" customFormat="1" x14ac:dyDescent="0.25"/>
    <row r="160135" customFormat="1" x14ac:dyDescent="0.25"/>
    <row r="160136" customFormat="1" x14ac:dyDescent="0.25"/>
    <row r="160137" customFormat="1" x14ac:dyDescent="0.25"/>
    <row r="160138" customFormat="1" x14ac:dyDescent="0.25"/>
    <row r="160139" customFormat="1" x14ac:dyDescent="0.25"/>
    <row r="160140" customFormat="1" x14ac:dyDescent="0.25"/>
    <row r="160141" customFormat="1" x14ac:dyDescent="0.25"/>
    <row r="160142" customFormat="1" x14ac:dyDescent="0.25"/>
    <row r="160143" customFormat="1" x14ac:dyDescent="0.25"/>
    <row r="160144" customFormat="1" x14ac:dyDescent="0.25"/>
    <row r="160145" customFormat="1" x14ac:dyDescent="0.25"/>
    <row r="160146" customFormat="1" x14ac:dyDescent="0.25"/>
    <row r="160147" customFormat="1" x14ac:dyDescent="0.25"/>
    <row r="160148" customFormat="1" x14ac:dyDescent="0.25"/>
    <row r="160149" customFormat="1" x14ac:dyDescent="0.25"/>
    <row r="160150" customFormat="1" x14ac:dyDescent="0.25"/>
    <row r="160151" customFormat="1" x14ac:dyDescent="0.25"/>
    <row r="160152" customFormat="1" x14ac:dyDescent="0.25"/>
    <row r="160153" customFormat="1" x14ac:dyDescent="0.25"/>
    <row r="160154" customFormat="1" x14ac:dyDescent="0.25"/>
    <row r="160155" customFormat="1" x14ac:dyDescent="0.25"/>
    <row r="160156" customFormat="1" x14ac:dyDescent="0.25"/>
    <row r="160157" customFormat="1" x14ac:dyDescent="0.25"/>
    <row r="160158" customFormat="1" x14ac:dyDescent="0.25"/>
    <row r="160159" customFormat="1" x14ac:dyDescent="0.25"/>
    <row r="160160" customFormat="1" x14ac:dyDescent="0.25"/>
    <row r="160161" customFormat="1" x14ac:dyDescent="0.25"/>
    <row r="160162" customFormat="1" x14ac:dyDescent="0.25"/>
    <row r="160163" customFormat="1" x14ac:dyDescent="0.25"/>
    <row r="160164" customFormat="1" x14ac:dyDescent="0.25"/>
    <row r="160165" customFormat="1" x14ac:dyDescent="0.25"/>
    <row r="160166" customFormat="1" x14ac:dyDescent="0.25"/>
    <row r="160167" customFormat="1" x14ac:dyDescent="0.25"/>
    <row r="160168" customFormat="1" x14ac:dyDescent="0.25"/>
    <row r="160169" customFormat="1" x14ac:dyDescent="0.25"/>
    <row r="160170" customFormat="1" x14ac:dyDescent="0.25"/>
    <row r="160171" customFormat="1" x14ac:dyDescent="0.25"/>
    <row r="160172" customFormat="1" x14ac:dyDescent="0.25"/>
    <row r="160173" customFormat="1" x14ac:dyDescent="0.25"/>
    <row r="160174" customFormat="1" x14ac:dyDescent="0.25"/>
    <row r="160175" customFormat="1" x14ac:dyDescent="0.25"/>
    <row r="160176" customFormat="1" x14ac:dyDescent="0.25"/>
    <row r="160177" customFormat="1" x14ac:dyDescent="0.25"/>
    <row r="160178" customFormat="1" x14ac:dyDescent="0.25"/>
    <row r="160179" customFormat="1" x14ac:dyDescent="0.25"/>
    <row r="160180" customFormat="1" x14ac:dyDescent="0.25"/>
    <row r="160181" customFormat="1" x14ac:dyDescent="0.25"/>
    <row r="160182" customFormat="1" x14ac:dyDescent="0.25"/>
    <row r="160183" customFormat="1" x14ac:dyDescent="0.25"/>
    <row r="160184" customFormat="1" x14ac:dyDescent="0.25"/>
    <row r="160185" customFormat="1" x14ac:dyDescent="0.25"/>
    <row r="160186" customFormat="1" x14ac:dyDescent="0.25"/>
    <row r="160187" customFormat="1" x14ac:dyDescent="0.25"/>
    <row r="160188" customFormat="1" x14ac:dyDescent="0.25"/>
    <row r="160189" customFormat="1" x14ac:dyDescent="0.25"/>
    <row r="160190" customFormat="1" x14ac:dyDescent="0.25"/>
    <row r="160191" customFormat="1" x14ac:dyDescent="0.25"/>
    <row r="160192" customFormat="1" x14ac:dyDescent="0.25"/>
    <row r="160193" customFormat="1" x14ac:dyDescent="0.25"/>
    <row r="160194" customFormat="1" x14ac:dyDescent="0.25"/>
    <row r="160195" customFormat="1" x14ac:dyDescent="0.25"/>
    <row r="160196" customFormat="1" x14ac:dyDescent="0.25"/>
    <row r="160197" customFormat="1" x14ac:dyDescent="0.25"/>
    <row r="160198" customFormat="1" x14ac:dyDescent="0.25"/>
    <row r="160199" customFormat="1" x14ac:dyDescent="0.25"/>
    <row r="160200" customFormat="1" x14ac:dyDescent="0.25"/>
    <row r="160201" customFormat="1" x14ac:dyDescent="0.25"/>
    <row r="160202" customFormat="1" x14ac:dyDescent="0.25"/>
    <row r="160203" customFormat="1" x14ac:dyDescent="0.25"/>
    <row r="160204" customFormat="1" x14ac:dyDescent="0.25"/>
    <row r="160205" customFormat="1" x14ac:dyDescent="0.25"/>
    <row r="160206" customFormat="1" x14ac:dyDescent="0.25"/>
    <row r="160207" customFormat="1" x14ac:dyDescent="0.25"/>
    <row r="160208" customFormat="1" x14ac:dyDescent="0.25"/>
    <row r="160209" customFormat="1" x14ac:dyDescent="0.25"/>
    <row r="160210" customFormat="1" x14ac:dyDescent="0.25"/>
    <row r="160211" customFormat="1" x14ac:dyDescent="0.25"/>
    <row r="160212" customFormat="1" x14ac:dyDescent="0.25"/>
    <row r="160213" customFormat="1" x14ac:dyDescent="0.25"/>
    <row r="160214" customFormat="1" x14ac:dyDescent="0.25"/>
    <row r="160215" customFormat="1" x14ac:dyDescent="0.25"/>
    <row r="160216" customFormat="1" x14ac:dyDescent="0.25"/>
    <row r="160217" customFormat="1" x14ac:dyDescent="0.25"/>
    <row r="160218" customFormat="1" x14ac:dyDescent="0.25"/>
    <row r="160219" customFormat="1" x14ac:dyDescent="0.25"/>
    <row r="160220" customFormat="1" x14ac:dyDescent="0.25"/>
    <row r="160221" customFormat="1" x14ac:dyDescent="0.25"/>
    <row r="160222" customFormat="1" x14ac:dyDescent="0.25"/>
    <row r="160223" customFormat="1" x14ac:dyDescent="0.25"/>
    <row r="160224" customFormat="1" x14ac:dyDescent="0.25"/>
    <row r="160225" customFormat="1" x14ac:dyDescent="0.25"/>
    <row r="160226" customFormat="1" x14ac:dyDescent="0.25"/>
    <row r="160227" customFormat="1" x14ac:dyDescent="0.25"/>
    <row r="160228" customFormat="1" x14ac:dyDescent="0.25"/>
    <row r="160229" customFormat="1" x14ac:dyDescent="0.25"/>
    <row r="160230" customFormat="1" x14ac:dyDescent="0.25"/>
    <row r="160231" customFormat="1" x14ac:dyDescent="0.25"/>
    <row r="160232" customFormat="1" x14ac:dyDescent="0.25"/>
    <row r="160233" customFormat="1" x14ac:dyDescent="0.25"/>
    <row r="160234" customFormat="1" x14ac:dyDescent="0.25"/>
    <row r="160235" customFormat="1" x14ac:dyDescent="0.25"/>
    <row r="160236" customFormat="1" x14ac:dyDescent="0.25"/>
    <row r="160237" customFormat="1" x14ac:dyDescent="0.25"/>
    <row r="160238" customFormat="1" x14ac:dyDescent="0.25"/>
    <row r="160239" customFormat="1" x14ac:dyDescent="0.25"/>
    <row r="160240" customFormat="1" x14ac:dyDescent="0.25"/>
    <row r="160241" customFormat="1" x14ac:dyDescent="0.25"/>
    <row r="160242" customFormat="1" x14ac:dyDescent="0.25"/>
    <row r="160243" customFormat="1" x14ac:dyDescent="0.25"/>
    <row r="160244" customFormat="1" x14ac:dyDescent="0.25"/>
    <row r="160245" customFormat="1" x14ac:dyDescent="0.25"/>
    <row r="160246" customFormat="1" x14ac:dyDescent="0.25"/>
    <row r="160247" customFormat="1" x14ac:dyDescent="0.25"/>
    <row r="160248" customFormat="1" x14ac:dyDescent="0.25"/>
    <row r="160249" customFormat="1" x14ac:dyDescent="0.25"/>
    <row r="160250" customFormat="1" x14ac:dyDescent="0.25"/>
    <row r="160251" customFormat="1" x14ac:dyDescent="0.25"/>
    <row r="160252" customFormat="1" x14ac:dyDescent="0.25"/>
    <row r="160253" customFormat="1" x14ac:dyDescent="0.25"/>
    <row r="160254" customFormat="1" x14ac:dyDescent="0.25"/>
    <row r="160255" customFormat="1" x14ac:dyDescent="0.25"/>
    <row r="160256" customFormat="1" x14ac:dyDescent="0.25"/>
    <row r="160257" customFormat="1" x14ac:dyDescent="0.25"/>
    <row r="160258" customFormat="1" x14ac:dyDescent="0.25"/>
    <row r="160259" customFormat="1" x14ac:dyDescent="0.25"/>
    <row r="160260" customFormat="1" x14ac:dyDescent="0.25"/>
    <row r="160261" customFormat="1" x14ac:dyDescent="0.25"/>
    <row r="160262" customFormat="1" x14ac:dyDescent="0.25"/>
    <row r="160263" customFormat="1" x14ac:dyDescent="0.25"/>
    <row r="160264" customFormat="1" x14ac:dyDescent="0.25"/>
    <row r="160265" customFormat="1" x14ac:dyDescent="0.25"/>
    <row r="160266" customFormat="1" x14ac:dyDescent="0.25"/>
    <row r="160267" customFormat="1" x14ac:dyDescent="0.25"/>
    <row r="160268" customFormat="1" x14ac:dyDescent="0.25"/>
    <row r="160269" customFormat="1" x14ac:dyDescent="0.25"/>
    <row r="160270" customFormat="1" x14ac:dyDescent="0.25"/>
    <row r="160271" customFormat="1" x14ac:dyDescent="0.25"/>
    <row r="160272" customFormat="1" x14ac:dyDescent="0.25"/>
    <row r="160273" customFormat="1" x14ac:dyDescent="0.25"/>
    <row r="160274" customFormat="1" x14ac:dyDescent="0.25"/>
    <row r="160275" customFormat="1" x14ac:dyDescent="0.25"/>
    <row r="160276" customFormat="1" x14ac:dyDescent="0.25"/>
    <row r="160277" customFormat="1" x14ac:dyDescent="0.25"/>
    <row r="160278" customFormat="1" x14ac:dyDescent="0.25"/>
    <row r="160279" customFormat="1" x14ac:dyDescent="0.25"/>
    <row r="160280" customFormat="1" x14ac:dyDescent="0.25"/>
    <row r="160281" customFormat="1" x14ac:dyDescent="0.25"/>
    <row r="160282" customFormat="1" x14ac:dyDescent="0.25"/>
    <row r="160283" customFormat="1" x14ac:dyDescent="0.25"/>
    <row r="160284" customFormat="1" x14ac:dyDescent="0.25"/>
    <row r="160285" customFormat="1" x14ac:dyDescent="0.25"/>
    <row r="160286" customFormat="1" x14ac:dyDescent="0.25"/>
    <row r="160287" customFormat="1" x14ac:dyDescent="0.25"/>
    <row r="160288" customFormat="1" x14ac:dyDescent="0.25"/>
    <row r="160289" customFormat="1" x14ac:dyDescent="0.25"/>
    <row r="160290" customFormat="1" x14ac:dyDescent="0.25"/>
    <row r="160291" customFormat="1" x14ac:dyDescent="0.25"/>
    <row r="160292" customFormat="1" x14ac:dyDescent="0.25"/>
    <row r="160293" customFormat="1" x14ac:dyDescent="0.25"/>
    <row r="160294" customFormat="1" x14ac:dyDescent="0.25"/>
    <row r="160295" customFormat="1" x14ac:dyDescent="0.25"/>
    <row r="160296" customFormat="1" x14ac:dyDescent="0.25"/>
    <row r="160297" customFormat="1" x14ac:dyDescent="0.25"/>
    <row r="160298" customFormat="1" x14ac:dyDescent="0.25"/>
    <row r="160299" customFormat="1" x14ac:dyDescent="0.25"/>
    <row r="160300" customFormat="1" x14ac:dyDescent="0.25"/>
    <row r="160301" customFormat="1" x14ac:dyDescent="0.25"/>
    <row r="160302" customFormat="1" x14ac:dyDescent="0.25"/>
    <row r="160303" customFormat="1" x14ac:dyDescent="0.25"/>
    <row r="160304" customFormat="1" x14ac:dyDescent="0.25"/>
    <row r="160305" customFormat="1" x14ac:dyDescent="0.25"/>
    <row r="160306" customFormat="1" x14ac:dyDescent="0.25"/>
    <row r="160307" customFormat="1" x14ac:dyDescent="0.25"/>
    <row r="160308" customFormat="1" x14ac:dyDescent="0.25"/>
    <row r="160309" customFormat="1" x14ac:dyDescent="0.25"/>
    <row r="160310" customFormat="1" x14ac:dyDescent="0.25"/>
    <row r="160311" customFormat="1" x14ac:dyDescent="0.25"/>
    <row r="160312" customFormat="1" x14ac:dyDescent="0.25"/>
    <row r="160313" customFormat="1" x14ac:dyDescent="0.25"/>
    <row r="160314" customFormat="1" x14ac:dyDescent="0.25"/>
    <row r="160315" customFormat="1" x14ac:dyDescent="0.25"/>
    <row r="160316" customFormat="1" x14ac:dyDescent="0.25"/>
    <row r="160317" customFormat="1" x14ac:dyDescent="0.25"/>
    <row r="160318" customFormat="1" x14ac:dyDescent="0.25"/>
    <row r="160319" customFormat="1" x14ac:dyDescent="0.25"/>
    <row r="160320" customFormat="1" x14ac:dyDescent="0.25"/>
    <row r="160321" customFormat="1" x14ac:dyDescent="0.25"/>
    <row r="160322" customFormat="1" x14ac:dyDescent="0.25"/>
    <row r="160323" customFormat="1" x14ac:dyDescent="0.25"/>
    <row r="160324" customFormat="1" x14ac:dyDescent="0.25"/>
    <row r="160325" customFormat="1" x14ac:dyDescent="0.25"/>
    <row r="160326" customFormat="1" x14ac:dyDescent="0.25"/>
    <row r="160327" customFormat="1" x14ac:dyDescent="0.25"/>
    <row r="160328" customFormat="1" x14ac:dyDescent="0.25"/>
    <row r="160329" customFormat="1" x14ac:dyDescent="0.25"/>
    <row r="160330" customFormat="1" x14ac:dyDescent="0.25"/>
    <row r="160331" customFormat="1" x14ac:dyDescent="0.25"/>
    <row r="160332" customFormat="1" x14ac:dyDescent="0.25"/>
    <row r="160333" customFormat="1" x14ac:dyDescent="0.25"/>
    <row r="160334" customFormat="1" x14ac:dyDescent="0.25"/>
    <row r="160335" customFormat="1" x14ac:dyDescent="0.25"/>
    <row r="160336" customFormat="1" x14ac:dyDescent="0.25"/>
    <row r="160337" customFormat="1" x14ac:dyDescent="0.25"/>
    <row r="160338" customFormat="1" x14ac:dyDescent="0.25"/>
    <row r="160339" customFormat="1" x14ac:dyDescent="0.25"/>
    <row r="160340" customFormat="1" x14ac:dyDescent="0.25"/>
    <row r="160341" customFormat="1" x14ac:dyDescent="0.25"/>
    <row r="160342" customFormat="1" x14ac:dyDescent="0.25"/>
    <row r="160343" customFormat="1" x14ac:dyDescent="0.25"/>
    <row r="160344" customFormat="1" x14ac:dyDescent="0.25"/>
    <row r="160345" customFormat="1" x14ac:dyDescent="0.25"/>
    <row r="160346" customFormat="1" x14ac:dyDescent="0.25"/>
    <row r="160347" customFormat="1" x14ac:dyDescent="0.25"/>
    <row r="160348" customFormat="1" x14ac:dyDescent="0.25"/>
    <row r="160349" customFormat="1" x14ac:dyDescent="0.25"/>
    <row r="160350" customFormat="1" x14ac:dyDescent="0.25"/>
    <row r="160351" customFormat="1" x14ac:dyDescent="0.25"/>
    <row r="160352" customFormat="1" x14ac:dyDescent="0.25"/>
    <row r="160353" customFormat="1" x14ac:dyDescent="0.25"/>
    <row r="160354" customFormat="1" x14ac:dyDescent="0.25"/>
    <row r="160355" customFormat="1" x14ac:dyDescent="0.25"/>
    <row r="160356" customFormat="1" x14ac:dyDescent="0.25"/>
    <row r="160357" customFormat="1" x14ac:dyDescent="0.25"/>
    <row r="160358" customFormat="1" x14ac:dyDescent="0.25"/>
    <row r="160359" customFormat="1" x14ac:dyDescent="0.25"/>
    <row r="160360" customFormat="1" x14ac:dyDescent="0.25"/>
    <row r="160361" customFormat="1" x14ac:dyDescent="0.25"/>
    <row r="160362" customFormat="1" x14ac:dyDescent="0.25"/>
    <row r="160363" customFormat="1" x14ac:dyDescent="0.25"/>
    <row r="160364" customFormat="1" x14ac:dyDescent="0.25"/>
    <row r="160365" customFormat="1" x14ac:dyDescent="0.25"/>
    <row r="160366" customFormat="1" x14ac:dyDescent="0.25"/>
    <row r="160367" customFormat="1" x14ac:dyDescent="0.25"/>
    <row r="160368" customFormat="1" x14ac:dyDescent="0.25"/>
    <row r="160369" customFormat="1" x14ac:dyDescent="0.25"/>
    <row r="160370" customFormat="1" x14ac:dyDescent="0.25"/>
    <row r="160371" customFormat="1" x14ac:dyDescent="0.25"/>
    <row r="160372" customFormat="1" x14ac:dyDescent="0.25"/>
    <row r="160373" customFormat="1" x14ac:dyDescent="0.25"/>
    <row r="160374" customFormat="1" x14ac:dyDescent="0.25"/>
    <row r="160375" customFormat="1" x14ac:dyDescent="0.25"/>
    <row r="160376" customFormat="1" x14ac:dyDescent="0.25"/>
    <row r="160377" customFormat="1" x14ac:dyDescent="0.25"/>
    <row r="160378" customFormat="1" x14ac:dyDescent="0.25"/>
    <row r="160379" customFormat="1" x14ac:dyDescent="0.25"/>
    <row r="160380" customFormat="1" x14ac:dyDescent="0.25"/>
    <row r="160381" customFormat="1" x14ac:dyDescent="0.25"/>
    <row r="160382" customFormat="1" x14ac:dyDescent="0.25"/>
    <row r="160383" customFormat="1" x14ac:dyDescent="0.25"/>
    <row r="160384" customFormat="1" x14ac:dyDescent="0.25"/>
    <row r="160385" customFormat="1" x14ac:dyDescent="0.25"/>
    <row r="160386" customFormat="1" x14ac:dyDescent="0.25"/>
    <row r="160387" customFormat="1" x14ac:dyDescent="0.25"/>
    <row r="160388" customFormat="1" x14ac:dyDescent="0.25"/>
    <row r="160389" customFormat="1" x14ac:dyDescent="0.25"/>
    <row r="160390" customFormat="1" x14ac:dyDescent="0.25"/>
    <row r="160391" customFormat="1" x14ac:dyDescent="0.25"/>
    <row r="160392" customFormat="1" x14ac:dyDescent="0.25"/>
    <row r="160393" customFormat="1" x14ac:dyDescent="0.25"/>
    <row r="160394" customFormat="1" x14ac:dyDescent="0.25"/>
    <row r="160395" customFormat="1" x14ac:dyDescent="0.25"/>
    <row r="160396" customFormat="1" x14ac:dyDescent="0.25"/>
    <row r="160397" customFormat="1" x14ac:dyDescent="0.25"/>
    <row r="160398" customFormat="1" x14ac:dyDescent="0.25"/>
    <row r="160399" customFormat="1" x14ac:dyDescent="0.25"/>
    <row r="160400" customFormat="1" x14ac:dyDescent="0.25"/>
    <row r="160401" customFormat="1" x14ac:dyDescent="0.25"/>
    <row r="160402" customFormat="1" x14ac:dyDescent="0.25"/>
    <row r="160403" customFormat="1" x14ac:dyDescent="0.25"/>
    <row r="160404" customFormat="1" x14ac:dyDescent="0.25"/>
    <row r="160405" customFormat="1" x14ac:dyDescent="0.25"/>
    <row r="160406" customFormat="1" x14ac:dyDescent="0.25"/>
    <row r="160407" customFormat="1" x14ac:dyDescent="0.25"/>
    <row r="160408" customFormat="1" x14ac:dyDescent="0.25"/>
    <row r="160409" customFormat="1" x14ac:dyDescent="0.25"/>
    <row r="160410" customFormat="1" x14ac:dyDescent="0.25"/>
    <row r="160411" customFormat="1" x14ac:dyDescent="0.25"/>
    <row r="160412" customFormat="1" x14ac:dyDescent="0.25"/>
    <row r="160413" customFormat="1" x14ac:dyDescent="0.25"/>
    <row r="160414" customFormat="1" x14ac:dyDescent="0.25"/>
    <row r="160415" customFormat="1" x14ac:dyDescent="0.25"/>
    <row r="160416" customFormat="1" x14ac:dyDescent="0.25"/>
    <row r="160417" customFormat="1" x14ac:dyDescent="0.25"/>
    <row r="160418" customFormat="1" x14ac:dyDescent="0.25"/>
    <row r="160419" customFormat="1" x14ac:dyDescent="0.25"/>
    <row r="160420" customFormat="1" x14ac:dyDescent="0.25"/>
    <row r="160421" customFormat="1" x14ac:dyDescent="0.25"/>
    <row r="160422" customFormat="1" x14ac:dyDescent="0.25"/>
    <row r="160423" customFormat="1" x14ac:dyDescent="0.25"/>
    <row r="160424" customFormat="1" x14ac:dyDescent="0.25"/>
    <row r="160425" customFormat="1" x14ac:dyDescent="0.25"/>
    <row r="160426" customFormat="1" x14ac:dyDescent="0.25"/>
    <row r="160427" customFormat="1" x14ac:dyDescent="0.25"/>
    <row r="160428" customFormat="1" x14ac:dyDescent="0.25"/>
    <row r="160429" customFormat="1" x14ac:dyDescent="0.25"/>
    <row r="160430" customFormat="1" x14ac:dyDescent="0.25"/>
    <row r="160431" customFormat="1" x14ac:dyDescent="0.25"/>
    <row r="160432" customFormat="1" x14ac:dyDescent="0.25"/>
    <row r="160433" customFormat="1" x14ac:dyDescent="0.25"/>
    <row r="160434" customFormat="1" x14ac:dyDescent="0.25"/>
    <row r="160435" customFormat="1" x14ac:dyDescent="0.25"/>
    <row r="160436" customFormat="1" x14ac:dyDescent="0.25"/>
    <row r="160437" customFormat="1" x14ac:dyDescent="0.25"/>
    <row r="160438" customFormat="1" x14ac:dyDescent="0.25"/>
    <row r="160439" customFormat="1" x14ac:dyDescent="0.25"/>
    <row r="160440" customFormat="1" x14ac:dyDescent="0.25"/>
    <row r="160441" customFormat="1" x14ac:dyDescent="0.25"/>
    <row r="160442" customFormat="1" x14ac:dyDescent="0.25"/>
    <row r="160443" customFormat="1" x14ac:dyDescent="0.25"/>
    <row r="160444" customFormat="1" x14ac:dyDescent="0.25"/>
    <row r="160445" customFormat="1" x14ac:dyDescent="0.25"/>
    <row r="160446" customFormat="1" x14ac:dyDescent="0.25"/>
    <row r="160447" customFormat="1" x14ac:dyDescent="0.25"/>
    <row r="160448" customFormat="1" x14ac:dyDescent="0.25"/>
    <row r="160449" customFormat="1" x14ac:dyDescent="0.25"/>
    <row r="160450" customFormat="1" x14ac:dyDescent="0.25"/>
    <row r="160451" customFormat="1" x14ac:dyDescent="0.25"/>
    <row r="160452" customFormat="1" x14ac:dyDescent="0.25"/>
    <row r="160453" customFormat="1" x14ac:dyDescent="0.25"/>
    <row r="160454" customFormat="1" x14ac:dyDescent="0.25"/>
    <row r="160455" customFormat="1" x14ac:dyDescent="0.25"/>
    <row r="160456" customFormat="1" x14ac:dyDescent="0.25"/>
    <row r="160457" customFormat="1" x14ac:dyDescent="0.25"/>
    <row r="160458" customFormat="1" x14ac:dyDescent="0.25"/>
    <row r="160459" customFormat="1" x14ac:dyDescent="0.25"/>
    <row r="160460" customFormat="1" x14ac:dyDescent="0.25"/>
    <row r="160461" customFormat="1" x14ac:dyDescent="0.25"/>
    <row r="160462" customFormat="1" x14ac:dyDescent="0.25"/>
    <row r="160463" customFormat="1" x14ac:dyDescent="0.25"/>
    <row r="160464" customFormat="1" x14ac:dyDescent="0.25"/>
    <row r="160465" customFormat="1" x14ac:dyDescent="0.25"/>
    <row r="160466" customFormat="1" x14ac:dyDescent="0.25"/>
    <row r="160467" customFormat="1" x14ac:dyDescent="0.25"/>
    <row r="160468" customFormat="1" x14ac:dyDescent="0.25"/>
    <row r="160469" customFormat="1" x14ac:dyDescent="0.25"/>
    <row r="160470" customFormat="1" x14ac:dyDescent="0.25"/>
    <row r="160471" customFormat="1" x14ac:dyDescent="0.25"/>
    <row r="160472" customFormat="1" x14ac:dyDescent="0.25"/>
    <row r="160473" customFormat="1" x14ac:dyDescent="0.25"/>
    <row r="160474" customFormat="1" x14ac:dyDescent="0.25"/>
    <row r="160475" customFormat="1" x14ac:dyDescent="0.25"/>
    <row r="160476" customFormat="1" x14ac:dyDescent="0.25"/>
    <row r="160477" customFormat="1" x14ac:dyDescent="0.25"/>
    <row r="160478" customFormat="1" x14ac:dyDescent="0.25"/>
    <row r="160479" customFormat="1" x14ac:dyDescent="0.25"/>
    <row r="160480" customFormat="1" x14ac:dyDescent="0.25"/>
    <row r="160481" customFormat="1" x14ac:dyDescent="0.25"/>
    <row r="160482" customFormat="1" x14ac:dyDescent="0.25"/>
    <row r="160483" customFormat="1" x14ac:dyDescent="0.25"/>
    <row r="160484" customFormat="1" x14ac:dyDescent="0.25"/>
    <row r="160485" customFormat="1" x14ac:dyDescent="0.25"/>
    <row r="160486" customFormat="1" x14ac:dyDescent="0.25"/>
    <row r="160487" customFormat="1" x14ac:dyDescent="0.25"/>
    <row r="160488" customFormat="1" x14ac:dyDescent="0.25"/>
    <row r="160489" customFormat="1" x14ac:dyDescent="0.25"/>
    <row r="160490" customFormat="1" x14ac:dyDescent="0.25"/>
    <row r="160491" customFormat="1" x14ac:dyDescent="0.25"/>
    <row r="160492" customFormat="1" x14ac:dyDescent="0.25"/>
    <row r="160493" customFormat="1" x14ac:dyDescent="0.25"/>
    <row r="160494" customFormat="1" x14ac:dyDescent="0.25"/>
    <row r="160495" customFormat="1" x14ac:dyDescent="0.25"/>
    <row r="160496" customFormat="1" x14ac:dyDescent="0.25"/>
    <row r="160497" customFormat="1" x14ac:dyDescent="0.25"/>
    <row r="160498" customFormat="1" x14ac:dyDescent="0.25"/>
    <row r="160499" customFormat="1" x14ac:dyDescent="0.25"/>
    <row r="160500" customFormat="1" x14ac:dyDescent="0.25"/>
    <row r="160501" customFormat="1" x14ac:dyDescent="0.25"/>
    <row r="160502" customFormat="1" x14ac:dyDescent="0.25"/>
    <row r="160503" customFormat="1" x14ac:dyDescent="0.25"/>
    <row r="160504" customFormat="1" x14ac:dyDescent="0.25"/>
    <row r="160505" customFormat="1" x14ac:dyDescent="0.25"/>
    <row r="160506" customFormat="1" x14ac:dyDescent="0.25"/>
    <row r="160507" customFormat="1" x14ac:dyDescent="0.25"/>
    <row r="160508" customFormat="1" x14ac:dyDescent="0.25"/>
    <row r="160509" customFormat="1" x14ac:dyDescent="0.25"/>
    <row r="160510" customFormat="1" x14ac:dyDescent="0.25"/>
    <row r="160511" customFormat="1" x14ac:dyDescent="0.25"/>
    <row r="160512" customFormat="1" x14ac:dyDescent="0.25"/>
    <row r="160513" customFormat="1" x14ac:dyDescent="0.25"/>
    <row r="160514" customFormat="1" x14ac:dyDescent="0.25"/>
    <row r="160515" customFormat="1" x14ac:dyDescent="0.25"/>
    <row r="160516" customFormat="1" x14ac:dyDescent="0.25"/>
    <row r="160517" customFormat="1" x14ac:dyDescent="0.25"/>
    <row r="160518" customFormat="1" x14ac:dyDescent="0.25"/>
    <row r="160519" customFormat="1" x14ac:dyDescent="0.25"/>
    <row r="160520" customFormat="1" x14ac:dyDescent="0.25"/>
    <row r="160521" customFormat="1" x14ac:dyDescent="0.25"/>
    <row r="160522" customFormat="1" x14ac:dyDescent="0.25"/>
    <row r="160523" customFormat="1" x14ac:dyDescent="0.25"/>
    <row r="160524" customFormat="1" x14ac:dyDescent="0.25"/>
    <row r="160525" customFormat="1" x14ac:dyDescent="0.25"/>
    <row r="160526" customFormat="1" x14ac:dyDescent="0.25"/>
    <row r="160527" customFormat="1" x14ac:dyDescent="0.25"/>
    <row r="160528" customFormat="1" x14ac:dyDescent="0.25"/>
    <row r="160529" customFormat="1" x14ac:dyDescent="0.25"/>
    <row r="160530" customFormat="1" x14ac:dyDescent="0.25"/>
    <row r="160531" customFormat="1" x14ac:dyDescent="0.25"/>
    <row r="160532" customFormat="1" x14ac:dyDescent="0.25"/>
    <row r="160533" customFormat="1" x14ac:dyDescent="0.25"/>
    <row r="160534" customFormat="1" x14ac:dyDescent="0.25"/>
    <row r="160535" customFormat="1" x14ac:dyDescent="0.25"/>
    <row r="160536" customFormat="1" x14ac:dyDescent="0.25"/>
    <row r="160537" customFormat="1" x14ac:dyDescent="0.25"/>
    <row r="160538" customFormat="1" x14ac:dyDescent="0.25"/>
    <row r="160539" customFormat="1" x14ac:dyDescent="0.25"/>
    <row r="160540" customFormat="1" x14ac:dyDescent="0.25"/>
    <row r="160541" customFormat="1" x14ac:dyDescent="0.25"/>
    <row r="160542" customFormat="1" x14ac:dyDescent="0.25"/>
    <row r="160543" customFormat="1" x14ac:dyDescent="0.25"/>
    <row r="160544" customFormat="1" x14ac:dyDescent="0.25"/>
    <row r="160545" customFormat="1" x14ac:dyDescent="0.25"/>
    <row r="160546" customFormat="1" x14ac:dyDescent="0.25"/>
    <row r="160547" customFormat="1" x14ac:dyDescent="0.25"/>
    <row r="160548" customFormat="1" x14ac:dyDescent="0.25"/>
    <row r="160549" customFormat="1" x14ac:dyDescent="0.25"/>
    <row r="160550" customFormat="1" x14ac:dyDescent="0.25"/>
    <row r="160551" customFormat="1" x14ac:dyDescent="0.25"/>
    <row r="160552" customFormat="1" x14ac:dyDescent="0.25"/>
    <row r="160553" customFormat="1" x14ac:dyDescent="0.25"/>
    <row r="160554" customFormat="1" x14ac:dyDescent="0.25"/>
    <row r="160555" customFormat="1" x14ac:dyDescent="0.25"/>
    <row r="160556" customFormat="1" x14ac:dyDescent="0.25"/>
    <row r="160557" customFormat="1" x14ac:dyDescent="0.25"/>
    <row r="160558" customFormat="1" x14ac:dyDescent="0.25"/>
    <row r="160559" customFormat="1" x14ac:dyDescent="0.25"/>
    <row r="160560" customFormat="1" x14ac:dyDescent="0.25"/>
    <row r="160561" customFormat="1" x14ac:dyDescent="0.25"/>
    <row r="160562" customFormat="1" x14ac:dyDescent="0.25"/>
    <row r="160563" customFormat="1" x14ac:dyDescent="0.25"/>
    <row r="160564" customFormat="1" x14ac:dyDescent="0.25"/>
    <row r="160565" customFormat="1" x14ac:dyDescent="0.25"/>
    <row r="160566" customFormat="1" x14ac:dyDescent="0.25"/>
    <row r="160567" customFormat="1" x14ac:dyDescent="0.25"/>
    <row r="160568" customFormat="1" x14ac:dyDescent="0.25"/>
    <row r="160569" customFormat="1" x14ac:dyDescent="0.25"/>
    <row r="160570" customFormat="1" x14ac:dyDescent="0.25"/>
    <row r="160571" customFormat="1" x14ac:dyDescent="0.25"/>
    <row r="160572" customFormat="1" x14ac:dyDescent="0.25"/>
    <row r="160573" customFormat="1" x14ac:dyDescent="0.25"/>
    <row r="160574" customFormat="1" x14ac:dyDescent="0.25"/>
    <row r="160575" customFormat="1" x14ac:dyDescent="0.25"/>
    <row r="160576" customFormat="1" x14ac:dyDescent="0.25"/>
    <row r="160577" customFormat="1" x14ac:dyDescent="0.25"/>
    <row r="160578" customFormat="1" x14ac:dyDescent="0.25"/>
    <row r="160579" customFormat="1" x14ac:dyDescent="0.25"/>
    <row r="160580" customFormat="1" x14ac:dyDescent="0.25"/>
    <row r="160581" customFormat="1" x14ac:dyDescent="0.25"/>
    <row r="160582" customFormat="1" x14ac:dyDescent="0.25"/>
    <row r="160583" customFormat="1" x14ac:dyDescent="0.25"/>
    <row r="160584" customFormat="1" x14ac:dyDescent="0.25"/>
    <row r="160585" customFormat="1" x14ac:dyDescent="0.25"/>
    <row r="160586" customFormat="1" x14ac:dyDescent="0.25"/>
    <row r="160587" customFormat="1" x14ac:dyDescent="0.25"/>
    <row r="160588" customFormat="1" x14ac:dyDescent="0.25"/>
    <row r="160589" customFormat="1" x14ac:dyDescent="0.25"/>
    <row r="160590" customFormat="1" x14ac:dyDescent="0.25"/>
    <row r="160591" customFormat="1" x14ac:dyDescent="0.25"/>
    <row r="160592" customFormat="1" x14ac:dyDescent="0.25"/>
    <row r="160593" customFormat="1" x14ac:dyDescent="0.25"/>
    <row r="160594" customFormat="1" x14ac:dyDescent="0.25"/>
    <row r="160595" customFormat="1" x14ac:dyDescent="0.25"/>
    <row r="160596" customFormat="1" x14ac:dyDescent="0.25"/>
    <row r="160597" customFormat="1" x14ac:dyDescent="0.25"/>
    <row r="160598" customFormat="1" x14ac:dyDescent="0.25"/>
    <row r="160599" customFormat="1" x14ac:dyDescent="0.25"/>
    <row r="160600" customFormat="1" x14ac:dyDescent="0.25"/>
    <row r="160601" customFormat="1" x14ac:dyDescent="0.25"/>
    <row r="160602" customFormat="1" x14ac:dyDescent="0.25"/>
    <row r="160603" customFormat="1" x14ac:dyDescent="0.25"/>
    <row r="160604" customFormat="1" x14ac:dyDescent="0.25"/>
    <row r="160605" customFormat="1" x14ac:dyDescent="0.25"/>
    <row r="160606" customFormat="1" x14ac:dyDescent="0.25"/>
    <row r="160607" customFormat="1" x14ac:dyDescent="0.25"/>
    <row r="160608" customFormat="1" x14ac:dyDescent="0.25"/>
    <row r="160609" customFormat="1" x14ac:dyDescent="0.25"/>
    <row r="160610" customFormat="1" x14ac:dyDescent="0.25"/>
    <row r="160611" customFormat="1" x14ac:dyDescent="0.25"/>
    <row r="160612" customFormat="1" x14ac:dyDescent="0.25"/>
    <row r="160613" customFormat="1" x14ac:dyDescent="0.25"/>
    <row r="160614" customFormat="1" x14ac:dyDescent="0.25"/>
    <row r="160615" customFormat="1" x14ac:dyDescent="0.25"/>
    <row r="160616" customFormat="1" x14ac:dyDescent="0.25"/>
    <row r="160617" customFormat="1" x14ac:dyDescent="0.25"/>
    <row r="160618" customFormat="1" x14ac:dyDescent="0.25"/>
    <row r="160619" customFormat="1" x14ac:dyDescent="0.25"/>
    <row r="160620" customFormat="1" x14ac:dyDescent="0.25"/>
    <row r="160621" customFormat="1" x14ac:dyDescent="0.25"/>
    <row r="160622" customFormat="1" x14ac:dyDescent="0.25"/>
    <row r="160623" customFormat="1" x14ac:dyDescent="0.25"/>
    <row r="160624" customFormat="1" x14ac:dyDescent="0.25"/>
    <row r="160625" customFormat="1" x14ac:dyDescent="0.25"/>
    <row r="160626" customFormat="1" x14ac:dyDescent="0.25"/>
    <row r="160627" customFormat="1" x14ac:dyDescent="0.25"/>
    <row r="160628" customFormat="1" x14ac:dyDescent="0.25"/>
    <row r="160629" customFormat="1" x14ac:dyDescent="0.25"/>
    <row r="160630" customFormat="1" x14ac:dyDescent="0.25"/>
    <row r="160631" customFormat="1" x14ac:dyDescent="0.25"/>
    <row r="160632" customFormat="1" x14ac:dyDescent="0.25"/>
    <row r="160633" customFormat="1" x14ac:dyDescent="0.25"/>
    <row r="160634" customFormat="1" x14ac:dyDescent="0.25"/>
    <row r="160635" customFormat="1" x14ac:dyDescent="0.25"/>
    <row r="160636" customFormat="1" x14ac:dyDescent="0.25"/>
    <row r="160637" customFormat="1" x14ac:dyDescent="0.25"/>
    <row r="160638" customFormat="1" x14ac:dyDescent="0.25"/>
    <row r="160639" customFormat="1" x14ac:dyDescent="0.25"/>
    <row r="160640" customFormat="1" x14ac:dyDescent="0.25"/>
    <row r="160641" customFormat="1" x14ac:dyDescent="0.25"/>
    <row r="160642" customFormat="1" x14ac:dyDescent="0.25"/>
    <row r="160643" customFormat="1" x14ac:dyDescent="0.25"/>
    <row r="160644" customFormat="1" x14ac:dyDescent="0.25"/>
    <row r="160645" customFormat="1" x14ac:dyDescent="0.25"/>
    <row r="160646" customFormat="1" x14ac:dyDescent="0.25"/>
    <row r="160647" customFormat="1" x14ac:dyDescent="0.25"/>
    <row r="160648" customFormat="1" x14ac:dyDescent="0.25"/>
    <row r="160649" customFormat="1" x14ac:dyDescent="0.25"/>
    <row r="160650" customFormat="1" x14ac:dyDescent="0.25"/>
    <row r="160651" customFormat="1" x14ac:dyDescent="0.25"/>
    <row r="160652" customFormat="1" x14ac:dyDescent="0.25"/>
    <row r="160653" customFormat="1" x14ac:dyDescent="0.25"/>
    <row r="160654" customFormat="1" x14ac:dyDescent="0.25"/>
    <row r="160655" customFormat="1" x14ac:dyDescent="0.25"/>
    <row r="160656" customFormat="1" x14ac:dyDescent="0.25"/>
    <row r="160657" customFormat="1" x14ac:dyDescent="0.25"/>
    <row r="160658" customFormat="1" x14ac:dyDescent="0.25"/>
    <row r="160659" customFormat="1" x14ac:dyDescent="0.25"/>
    <row r="160660" customFormat="1" x14ac:dyDescent="0.25"/>
    <row r="160661" customFormat="1" x14ac:dyDescent="0.25"/>
    <row r="160662" customFormat="1" x14ac:dyDescent="0.25"/>
    <row r="160663" customFormat="1" x14ac:dyDescent="0.25"/>
    <row r="160664" customFormat="1" x14ac:dyDescent="0.25"/>
    <row r="160665" customFormat="1" x14ac:dyDescent="0.25"/>
    <row r="160666" customFormat="1" x14ac:dyDescent="0.25"/>
    <row r="160667" customFormat="1" x14ac:dyDescent="0.25"/>
    <row r="160668" customFormat="1" x14ac:dyDescent="0.25"/>
    <row r="160669" customFormat="1" x14ac:dyDescent="0.25"/>
    <row r="160670" customFormat="1" x14ac:dyDescent="0.25"/>
    <row r="160671" customFormat="1" x14ac:dyDescent="0.25"/>
    <row r="160672" customFormat="1" x14ac:dyDescent="0.25"/>
    <row r="160673" customFormat="1" x14ac:dyDescent="0.25"/>
    <row r="160674" customFormat="1" x14ac:dyDescent="0.25"/>
    <row r="160675" customFormat="1" x14ac:dyDescent="0.25"/>
    <row r="160676" customFormat="1" x14ac:dyDescent="0.25"/>
    <row r="160677" customFormat="1" x14ac:dyDescent="0.25"/>
    <row r="160678" customFormat="1" x14ac:dyDescent="0.25"/>
    <row r="160679" customFormat="1" x14ac:dyDescent="0.25"/>
    <row r="160680" customFormat="1" x14ac:dyDescent="0.25"/>
    <row r="160681" customFormat="1" x14ac:dyDescent="0.25"/>
    <row r="160682" customFormat="1" x14ac:dyDescent="0.25"/>
    <row r="160683" customFormat="1" x14ac:dyDescent="0.25"/>
    <row r="160684" customFormat="1" x14ac:dyDescent="0.25"/>
    <row r="160685" customFormat="1" x14ac:dyDescent="0.25"/>
    <row r="160686" customFormat="1" x14ac:dyDescent="0.25"/>
    <row r="160687" customFormat="1" x14ac:dyDescent="0.25"/>
    <row r="160688" customFormat="1" x14ac:dyDescent="0.25"/>
    <row r="160689" customFormat="1" x14ac:dyDescent="0.25"/>
    <row r="160690" customFormat="1" x14ac:dyDescent="0.25"/>
    <row r="160691" customFormat="1" x14ac:dyDescent="0.25"/>
    <row r="160692" customFormat="1" x14ac:dyDescent="0.25"/>
    <row r="160693" customFormat="1" x14ac:dyDescent="0.25"/>
    <row r="160694" customFormat="1" x14ac:dyDescent="0.25"/>
    <row r="160695" customFormat="1" x14ac:dyDescent="0.25"/>
    <row r="160696" customFormat="1" x14ac:dyDescent="0.25"/>
    <row r="160697" customFormat="1" x14ac:dyDescent="0.25"/>
    <row r="160698" customFormat="1" x14ac:dyDescent="0.25"/>
    <row r="160699" customFormat="1" x14ac:dyDescent="0.25"/>
    <row r="160700" customFormat="1" x14ac:dyDescent="0.25"/>
    <row r="160701" customFormat="1" x14ac:dyDescent="0.25"/>
    <row r="160702" customFormat="1" x14ac:dyDescent="0.25"/>
    <row r="160703" customFormat="1" x14ac:dyDescent="0.25"/>
    <row r="160704" customFormat="1" x14ac:dyDescent="0.25"/>
    <row r="160705" customFormat="1" x14ac:dyDescent="0.25"/>
    <row r="160706" customFormat="1" x14ac:dyDescent="0.25"/>
    <row r="160707" customFormat="1" x14ac:dyDescent="0.25"/>
    <row r="160708" customFormat="1" x14ac:dyDescent="0.25"/>
    <row r="160709" customFormat="1" x14ac:dyDescent="0.25"/>
    <row r="160710" customFormat="1" x14ac:dyDescent="0.25"/>
    <row r="160711" customFormat="1" x14ac:dyDescent="0.25"/>
    <row r="160712" customFormat="1" x14ac:dyDescent="0.25"/>
    <row r="160713" customFormat="1" x14ac:dyDescent="0.25"/>
    <row r="160714" customFormat="1" x14ac:dyDescent="0.25"/>
    <row r="160715" customFormat="1" x14ac:dyDescent="0.25"/>
    <row r="160716" customFormat="1" x14ac:dyDescent="0.25"/>
    <row r="160717" customFormat="1" x14ac:dyDescent="0.25"/>
    <row r="160718" customFormat="1" x14ac:dyDescent="0.25"/>
    <row r="160719" customFormat="1" x14ac:dyDescent="0.25"/>
    <row r="160720" customFormat="1" x14ac:dyDescent="0.25"/>
    <row r="160721" customFormat="1" x14ac:dyDescent="0.25"/>
    <row r="160722" customFormat="1" x14ac:dyDescent="0.25"/>
    <row r="160723" customFormat="1" x14ac:dyDescent="0.25"/>
    <row r="160724" customFormat="1" x14ac:dyDescent="0.25"/>
    <row r="160725" customFormat="1" x14ac:dyDescent="0.25"/>
    <row r="160726" customFormat="1" x14ac:dyDescent="0.25"/>
    <row r="160727" customFormat="1" x14ac:dyDescent="0.25"/>
    <row r="160728" customFormat="1" x14ac:dyDescent="0.25"/>
    <row r="160729" customFormat="1" x14ac:dyDescent="0.25"/>
    <row r="160730" customFormat="1" x14ac:dyDescent="0.25"/>
    <row r="160731" customFormat="1" x14ac:dyDescent="0.25"/>
    <row r="160732" customFormat="1" x14ac:dyDescent="0.25"/>
    <row r="160733" customFormat="1" x14ac:dyDescent="0.25"/>
    <row r="160734" customFormat="1" x14ac:dyDescent="0.25"/>
    <row r="160735" customFormat="1" x14ac:dyDescent="0.25"/>
    <row r="160736" customFormat="1" x14ac:dyDescent="0.25"/>
    <row r="160737" customFormat="1" x14ac:dyDescent="0.25"/>
    <row r="160738" customFormat="1" x14ac:dyDescent="0.25"/>
    <row r="160739" customFormat="1" x14ac:dyDescent="0.25"/>
    <row r="160740" customFormat="1" x14ac:dyDescent="0.25"/>
    <row r="160741" customFormat="1" x14ac:dyDescent="0.25"/>
    <row r="160742" customFormat="1" x14ac:dyDescent="0.25"/>
    <row r="160743" customFormat="1" x14ac:dyDescent="0.25"/>
    <row r="160744" customFormat="1" x14ac:dyDescent="0.25"/>
    <row r="160745" customFormat="1" x14ac:dyDescent="0.25"/>
    <row r="160746" customFormat="1" x14ac:dyDescent="0.25"/>
    <row r="160747" customFormat="1" x14ac:dyDescent="0.25"/>
    <row r="160748" customFormat="1" x14ac:dyDescent="0.25"/>
    <row r="160749" customFormat="1" x14ac:dyDescent="0.25"/>
    <row r="160750" customFormat="1" x14ac:dyDescent="0.25"/>
    <row r="160751" customFormat="1" x14ac:dyDescent="0.25"/>
    <row r="160752" customFormat="1" x14ac:dyDescent="0.25"/>
    <row r="160753" customFormat="1" x14ac:dyDescent="0.25"/>
    <row r="160754" customFormat="1" x14ac:dyDescent="0.25"/>
    <row r="160755" customFormat="1" x14ac:dyDescent="0.25"/>
    <row r="160756" customFormat="1" x14ac:dyDescent="0.25"/>
    <row r="160757" customFormat="1" x14ac:dyDescent="0.25"/>
    <row r="160758" customFormat="1" x14ac:dyDescent="0.25"/>
    <row r="160759" customFormat="1" x14ac:dyDescent="0.25"/>
    <row r="160760" customFormat="1" x14ac:dyDescent="0.25"/>
    <row r="160761" customFormat="1" x14ac:dyDescent="0.25"/>
    <row r="160762" customFormat="1" x14ac:dyDescent="0.25"/>
    <row r="160763" customFormat="1" x14ac:dyDescent="0.25"/>
    <row r="160764" customFormat="1" x14ac:dyDescent="0.25"/>
    <row r="160765" customFormat="1" x14ac:dyDescent="0.25"/>
    <row r="160766" customFormat="1" x14ac:dyDescent="0.25"/>
    <row r="160767" customFormat="1" x14ac:dyDescent="0.25"/>
    <row r="160768" customFormat="1" x14ac:dyDescent="0.25"/>
    <row r="160769" customFormat="1" x14ac:dyDescent="0.25"/>
    <row r="160770" customFormat="1" x14ac:dyDescent="0.25"/>
    <row r="160771" customFormat="1" x14ac:dyDescent="0.25"/>
    <row r="160772" customFormat="1" x14ac:dyDescent="0.25"/>
    <row r="160773" customFormat="1" x14ac:dyDescent="0.25"/>
    <row r="160774" customFormat="1" x14ac:dyDescent="0.25"/>
    <row r="160775" customFormat="1" x14ac:dyDescent="0.25"/>
    <row r="160776" customFormat="1" x14ac:dyDescent="0.25"/>
    <row r="160777" customFormat="1" x14ac:dyDescent="0.25"/>
    <row r="160778" customFormat="1" x14ac:dyDescent="0.25"/>
    <row r="160779" customFormat="1" x14ac:dyDescent="0.25"/>
    <row r="160780" customFormat="1" x14ac:dyDescent="0.25"/>
    <row r="160781" customFormat="1" x14ac:dyDescent="0.25"/>
    <row r="160782" customFormat="1" x14ac:dyDescent="0.25"/>
    <row r="160783" customFormat="1" x14ac:dyDescent="0.25"/>
    <row r="160784" customFormat="1" x14ac:dyDescent="0.25"/>
    <row r="160785" customFormat="1" x14ac:dyDescent="0.25"/>
    <row r="160786" customFormat="1" x14ac:dyDescent="0.25"/>
    <row r="160787" customFormat="1" x14ac:dyDescent="0.25"/>
    <row r="160788" customFormat="1" x14ac:dyDescent="0.25"/>
    <row r="160789" customFormat="1" x14ac:dyDescent="0.25"/>
    <row r="160790" customFormat="1" x14ac:dyDescent="0.25"/>
    <row r="160791" customFormat="1" x14ac:dyDescent="0.25"/>
    <row r="160792" customFormat="1" x14ac:dyDescent="0.25"/>
    <row r="160793" customFormat="1" x14ac:dyDescent="0.25"/>
    <row r="160794" customFormat="1" x14ac:dyDescent="0.25"/>
    <row r="160795" customFormat="1" x14ac:dyDescent="0.25"/>
    <row r="160796" customFormat="1" x14ac:dyDescent="0.25"/>
    <row r="160797" customFormat="1" x14ac:dyDescent="0.25"/>
    <row r="160798" customFormat="1" x14ac:dyDescent="0.25"/>
    <row r="160799" customFormat="1" x14ac:dyDescent="0.25"/>
    <row r="160800" customFormat="1" x14ac:dyDescent="0.25"/>
    <row r="160801" customFormat="1" x14ac:dyDescent="0.25"/>
    <row r="160802" customFormat="1" x14ac:dyDescent="0.25"/>
    <row r="160803" customFormat="1" x14ac:dyDescent="0.25"/>
    <row r="160804" customFormat="1" x14ac:dyDescent="0.25"/>
    <row r="160805" customFormat="1" x14ac:dyDescent="0.25"/>
    <row r="160806" customFormat="1" x14ac:dyDescent="0.25"/>
    <row r="160807" customFormat="1" x14ac:dyDescent="0.25"/>
    <row r="160808" customFormat="1" x14ac:dyDescent="0.25"/>
    <row r="160809" customFormat="1" x14ac:dyDescent="0.25"/>
    <row r="160810" customFormat="1" x14ac:dyDescent="0.25"/>
    <row r="160811" customFormat="1" x14ac:dyDescent="0.25"/>
    <row r="160812" customFormat="1" x14ac:dyDescent="0.25"/>
    <row r="160813" customFormat="1" x14ac:dyDescent="0.25"/>
    <row r="160814" customFormat="1" x14ac:dyDescent="0.25"/>
    <row r="160815" customFormat="1" x14ac:dyDescent="0.25"/>
    <row r="160816" customFormat="1" x14ac:dyDescent="0.25"/>
    <row r="160817" customFormat="1" x14ac:dyDescent="0.25"/>
    <row r="160818" customFormat="1" x14ac:dyDescent="0.25"/>
    <row r="160819" customFormat="1" x14ac:dyDescent="0.25"/>
    <row r="160820" customFormat="1" x14ac:dyDescent="0.25"/>
    <row r="160821" customFormat="1" x14ac:dyDescent="0.25"/>
    <row r="160822" customFormat="1" x14ac:dyDescent="0.25"/>
    <row r="160823" customFormat="1" x14ac:dyDescent="0.25"/>
    <row r="160824" customFormat="1" x14ac:dyDescent="0.25"/>
    <row r="160825" customFormat="1" x14ac:dyDescent="0.25"/>
    <row r="160826" customFormat="1" x14ac:dyDescent="0.25"/>
    <row r="160827" customFormat="1" x14ac:dyDescent="0.25"/>
    <row r="160828" customFormat="1" x14ac:dyDescent="0.25"/>
    <row r="160829" customFormat="1" x14ac:dyDescent="0.25"/>
    <row r="160830" customFormat="1" x14ac:dyDescent="0.25"/>
    <row r="160831" customFormat="1" x14ac:dyDescent="0.25"/>
    <row r="160832" customFormat="1" x14ac:dyDescent="0.25"/>
    <row r="160833" customFormat="1" x14ac:dyDescent="0.25"/>
    <row r="160834" customFormat="1" x14ac:dyDescent="0.25"/>
    <row r="160835" customFormat="1" x14ac:dyDescent="0.25"/>
    <row r="160836" customFormat="1" x14ac:dyDescent="0.25"/>
    <row r="160837" customFormat="1" x14ac:dyDescent="0.25"/>
    <row r="160838" customFormat="1" x14ac:dyDescent="0.25"/>
    <row r="160839" customFormat="1" x14ac:dyDescent="0.25"/>
    <row r="160840" customFormat="1" x14ac:dyDescent="0.25"/>
    <row r="160841" customFormat="1" x14ac:dyDescent="0.25"/>
    <row r="160842" customFormat="1" x14ac:dyDescent="0.25"/>
    <row r="160843" customFormat="1" x14ac:dyDescent="0.25"/>
    <row r="160844" customFormat="1" x14ac:dyDescent="0.25"/>
    <row r="160845" customFormat="1" x14ac:dyDescent="0.25"/>
    <row r="160846" customFormat="1" x14ac:dyDescent="0.25"/>
    <row r="160847" customFormat="1" x14ac:dyDescent="0.25"/>
    <row r="160848" customFormat="1" x14ac:dyDescent="0.25"/>
    <row r="160849" customFormat="1" x14ac:dyDescent="0.25"/>
    <row r="160850" customFormat="1" x14ac:dyDescent="0.25"/>
    <row r="160851" customFormat="1" x14ac:dyDescent="0.25"/>
    <row r="160852" customFormat="1" x14ac:dyDescent="0.25"/>
    <row r="160853" customFormat="1" x14ac:dyDescent="0.25"/>
    <row r="160854" customFormat="1" x14ac:dyDescent="0.25"/>
    <row r="160855" customFormat="1" x14ac:dyDescent="0.25"/>
    <row r="160856" customFormat="1" x14ac:dyDescent="0.25"/>
    <row r="160857" customFormat="1" x14ac:dyDescent="0.25"/>
    <row r="160858" customFormat="1" x14ac:dyDescent="0.25"/>
    <row r="160859" customFormat="1" x14ac:dyDescent="0.25"/>
    <row r="160860" customFormat="1" x14ac:dyDescent="0.25"/>
    <row r="160861" customFormat="1" x14ac:dyDescent="0.25"/>
    <row r="160862" customFormat="1" x14ac:dyDescent="0.25"/>
    <row r="160863" customFormat="1" x14ac:dyDescent="0.25"/>
    <row r="160864" customFormat="1" x14ac:dyDescent="0.25"/>
    <row r="160865" customFormat="1" x14ac:dyDescent="0.25"/>
    <row r="160866" customFormat="1" x14ac:dyDescent="0.25"/>
    <row r="160867" customFormat="1" x14ac:dyDescent="0.25"/>
    <row r="160868" customFormat="1" x14ac:dyDescent="0.25"/>
    <row r="160869" customFormat="1" x14ac:dyDescent="0.25"/>
    <row r="160870" customFormat="1" x14ac:dyDescent="0.25"/>
    <row r="160871" customFormat="1" x14ac:dyDescent="0.25"/>
    <row r="160872" customFormat="1" x14ac:dyDescent="0.25"/>
    <row r="160873" customFormat="1" x14ac:dyDescent="0.25"/>
    <row r="160874" customFormat="1" x14ac:dyDescent="0.25"/>
    <row r="160875" customFormat="1" x14ac:dyDescent="0.25"/>
    <row r="160876" customFormat="1" x14ac:dyDescent="0.25"/>
    <row r="160877" customFormat="1" x14ac:dyDescent="0.25"/>
    <row r="160878" customFormat="1" x14ac:dyDescent="0.25"/>
    <row r="160879" customFormat="1" x14ac:dyDescent="0.25"/>
    <row r="160880" customFormat="1" x14ac:dyDescent="0.25"/>
    <row r="160881" customFormat="1" x14ac:dyDescent="0.25"/>
    <row r="160882" customFormat="1" x14ac:dyDescent="0.25"/>
    <row r="160883" customFormat="1" x14ac:dyDescent="0.25"/>
    <row r="160884" customFormat="1" x14ac:dyDescent="0.25"/>
    <row r="160885" customFormat="1" x14ac:dyDescent="0.25"/>
    <row r="160886" customFormat="1" x14ac:dyDescent="0.25"/>
    <row r="160887" customFormat="1" x14ac:dyDescent="0.25"/>
    <row r="160888" customFormat="1" x14ac:dyDescent="0.25"/>
    <row r="160889" customFormat="1" x14ac:dyDescent="0.25"/>
    <row r="160890" customFormat="1" x14ac:dyDescent="0.25"/>
    <row r="160891" customFormat="1" x14ac:dyDescent="0.25"/>
    <row r="160892" customFormat="1" x14ac:dyDescent="0.25"/>
    <row r="160893" customFormat="1" x14ac:dyDescent="0.25"/>
    <row r="160894" customFormat="1" x14ac:dyDescent="0.25"/>
    <row r="160895" customFormat="1" x14ac:dyDescent="0.25"/>
    <row r="160896" customFormat="1" x14ac:dyDescent="0.25"/>
    <row r="160897" customFormat="1" x14ac:dyDescent="0.25"/>
    <row r="160898" customFormat="1" x14ac:dyDescent="0.25"/>
    <row r="160899" customFormat="1" x14ac:dyDescent="0.25"/>
    <row r="160900" customFormat="1" x14ac:dyDescent="0.25"/>
    <row r="160901" customFormat="1" x14ac:dyDescent="0.25"/>
    <row r="160902" customFormat="1" x14ac:dyDescent="0.25"/>
    <row r="160903" customFormat="1" x14ac:dyDescent="0.25"/>
    <row r="160904" customFormat="1" x14ac:dyDescent="0.25"/>
    <row r="160905" customFormat="1" x14ac:dyDescent="0.25"/>
    <row r="160906" customFormat="1" x14ac:dyDescent="0.25"/>
    <row r="160907" customFormat="1" x14ac:dyDescent="0.25"/>
    <row r="160908" customFormat="1" x14ac:dyDescent="0.25"/>
    <row r="160909" customFormat="1" x14ac:dyDescent="0.25"/>
    <row r="160910" customFormat="1" x14ac:dyDescent="0.25"/>
    <row r="160911" customFormat="1" x14ac:dyDescent="0.25"/>
    <row r="160912" customFormat="1" x14ac:dyDescent="0.25"/>
    <row r="160913" customFormat="1" x14ac:dyDescent="0.25"/>
    <row r="160914" customFormat="1" x14ac:dyDescent="0.25"/>
    <row r="160915" customFormat="1" x14ac:dyDescent="0.25"/>
    <row r="160916" customFormat="1" x14ac:dyDescent="0.25"/>
    <row r="160917" customFormat="1" x14ac:dyDescent="0.25"/>
    <row r="160918" customFormat="1" x14ac:dyDescent="0.25"/>
    <row r="160919" customFormat="1" x14ac:dyDescent="0.25"/>
    <row r="160920" customFormat="1" x14ac:dyDescent="0.25"/>
    <row r="160921" customFormat="1" x14ac:dyDescent="0.25"/>
    <row r="160922" customFormat="1" x14ac:dyDescent="0.25"/>
    <row r="160923" customFormat="1" x14ac:dyDescent="0.25"/>
    <row r="160924" customFormat="1" x14ac:dyDescent="0.25"/>
    <row r="160925" customFormat="1" x14ac:dyDescent="0.25"/>
    <row r="160926" customFormat="1" x14ac:dyDescent="0.25"/>
    <row r="160927" customFormat="1" x14ac:dyDescent="0.25"/>
    <row r="160928" customFormat="1" x14ac:dyDescent="0.25"/>
    <row r="160929" customFormat="1" x14ac:dyDescent="0.25"/>
    <row r="160930" customFormat="1" x14ac:dyDescent="0.25"/>
    <row r="160931" customFormat="1" x14ac:dyDescent="0.25"/>
    <row r="160932" customFormat="1" x14ac:dyDescent="0.25"/>
    <row r="160933" customFormat="1" x14ac:dyDescent="0.25"/>
    <row r="160934" customFormat="1" x14ac:dyDescent="0.25"/>
    <row r="160935" customFormat="1" x14ac:dyDescent="0.25"/>
    <row r="160936" customFormat="1" x14ac:dyDescent="0.25"/>
    <row r="160937" customFormat="1" x14ac:dyDescent="0.25"/>
    <row r="160938" customFormat="1" x14ac:dyDescent="0.25"/>
    <row r="160939" customFormat="1" x14ac:dyDescent="0.25"/>
    <row r="160940" customFormat="1" x14ac:dyDescent="0.25"/>
    <row r="160941" customFormat="1" x14ac:dyDescent="0.25"/>
    <row r="160942" customFormat="1" x14ac:dyDescent="0.25"/>
    <row r="160943" customFormat="1" x14ac:dyDescent="0.25"/>
    <row r="160944" customFormat="1" x14ac:dyDescent="0.25"/>
    <row r="160945" customFormat="1" x14ac:dyDescent="0.25"/>
    <row r="160946" customFormat="1" x14ac:dyDescent="0.25"/>
    <row r="160947" customFormat="1" x14ac:dyDescent="0.25"/>
    <row r="160948" customFormat="1" x14ac:dyDescent="0.25"/>
    <row r="160949" customFormat="1" x14ac:dyDescent="0.25"/>
    <row r="160950" customFormat="1" x14ac:dyDescent="0.25"/>
    <row r="160951" customFormat="1" x14ac:dyDescent="0.25"/>
    <row r="160952" customFormat="1" x14ac:dyDescent="0.25"/>
    <row r="160953" customFormat="1" x14ac:dyDescent="0.25"/>
    <row r="160954" customFormat="1" x14ac:dyDescent="0.25"/>
    <row r="160955" customFormat="1" x14ac:dyDescent="0.25"/>
    <row r="160956" customFormat="1" x14ac:dyDescent="0.25"/>
    <row r="160957" customFormat="1" x14ac:dyDescent="0.25"/>
    <row r="160958" customFormat="1" x14ac:dyDescent="0.25"/>
    <row r="160959" customFormat="1" x14ac:dyDescent="0.25"/>
    <row r="160960" customFormat="1" x14ac:dyDescent="0.25"/>
    <row r="160961" customFormat="1" x14ac:dyDescent="0.25"/>
    <row r="160962" customFormat="1" x14ac:dyDescent="0.25"/>
    <row r="160963" customFormat="1" x14ac:dyDescent="0.25"/>
    <row r="160964" customFormat="1" x14ac:dyDescent="0.25"/>
    <row r="160965" customFormat="1" x14ac:dyDescent="0.25"/>
    <row r="160966" customFormat="1" x14ac:dyDescent="0.25"/>
    <row r="160967" customFormat="1" x14ac:dyDescent="0.25"/>
    <row r="160968" customFormat="1" x14ac:dyDescent="0.25"/>
    <row r="160969" customFormat="1" x14ac:dyDescent="0.25"/>
    <row r="160970" customFormat="1" x14ac:dyDescent="0.25"/>
    <row r="160971" customFormat="1" x14ac:dyDescent="0.25"/>
    <row r="160972" customFormat="1" x14ac:dyDescent="0.25"/>
    <row r="160973" customFormat="1" x14ac:dyDescent="0.25"/>
    <row r="160974" customFormat="1" x14ac:dyDescent="0.25"/>
    <row r="160975" customFormat="1" x14ac:dyDescent="0.25"/>
    <row r="160976" customFormat="1" x14ac:dyDescent="0.25"/>
    <row r="160977" customFormat="1" x14ac:dyDescent="0.25"/>
    <row r="160978" customFormat="1" x14ac:dyDescent="0.25"/>
    <row r="160979" customFormat="1" x14ac:dyDescent="0.25"/>
    <row r="160980" customFormat="1" x14ac:dyDescent="0.25"/>
    <row r="160981" customFormat="1" x14ac:dyDescent="0.25"/>
    <row r="160982" customFormat="1" x14ac:dyDescent="0.25"/>
    <row r="160983" customFormat="1" x14ac:dyDescent="0.25"/>
    <row r="160984" customFormat="1" x14ac:dyDescent="0.25"/>
    <row r="160985" customFormat="1" x14ac:dyDescent="0.25"/>
    <row r="160986" customFormat="1" x14ac:dyDescent="0.25"/>
    <row r="160987" customFormat="1" x14ac:dyDescent="0.25"/>
    <row r="160988" customFormat="1" x14ac:dyDescent="0.25"/>
    <row r="160989" customFormat="1" x14ac:dyDescent="0.25"/>
    <row r="160990" customFormat="1" x14ac:dyDescent="0.25"/>
    <row r="160991" customFormat="1" x14ac:dyDescent="0.25"/>
    <row r="160992" customFormat="1" x14ac:dyDescent="0.25"/>
    <row r="160993" customFormat="1" x14ac:dyDescent="0.25"/>
    <row r="160994" customFormat="1" x14ac:dyDescent="0.25"/>
    <row r="160995" customFormat="1" x14ac:dyDescent="0.25"/>
    <row r="160996" customFormat="1" x14ac:dyDescent="0.25"/>
    <row r="160997" customFormat="1" x14ac:dyDescent="0.25"/>
    <row r="160998" customFormat="1" x14ac:dyDescent="0.25"/>
    <row r="160999" customFormat="1" x14ac:dyDescent="0.25"/>
    <row r="161000" customFormat="1" x14ac:dyDescent="0.25"/>
    <row r="161001" customFormat="1" x14ac:dyDescent="0.25"/>
    <row r="161002" customFormat="1" x14ac:dyDescent="0.25"/>
    <row r="161003" customFormat="1" x14ac:dyDescent="0.25"/>
    <row r="161004" customFormat="1" x14ac:dyDescent="0.25"/>
    <row r="161005" customFormat="1" x14ac:dyDescent="0.25"/>
    <row r="161006" customFormat="1" x14ac:dyDescent="0.25"/>
    <row r="161007" customFormat="1" x14ac:dyDescent="0.25"/>
    <row r="161008" customFormat="1" x14ac:dyDescent="0.25"/>
    <row r="161009" customFormat="1" x14ac:dyDescent="0.25"/>
    <row r="161010" customFormat="1" x14ac:dyDescent="0.25"/>
    <row r="161011" customFormat="1" x14ac:dyDescent="0.25"/>
    <row r="161012" customFormat="1" x14ac:dyDescent="0.25"/>
    <row r="161013" customFormat="1" x14ac:dyDescent="0.25"/>
    <row r="161014" customFormat="1" x14ac:dyDescent="0.25"/>
    <row r="161015" customFormat="1" x14ac:dyDescent="0.25"/>
    <row r="161016" customFormat="1" x14ac:dyDescent="0.25"/>
    <row r="161017" customFormat="1" x14ac:dyDescent="0.25"/>
    <row r="161018" customFormat="1" x14ac:dyDescent="0.25"/>
    <row r="161019" customFormat="1" x14ac:dyDescent="0.25"/>
    <row r="161020" customFormat="1" x14ac:dyDescent="0.25"/>
    <row r="161021" customFormat="1" x14ac:dyDescent="0.25"/>
    <row r="161022" customFormat="1" x14ac:dyDescent="0.25"/>
    <row r="161023" customFormat="1" x14ac:dyDescent="0.25"/>
    <row r="161024" customFormat="1" x14ac:dyDescent="0.25"/>
    <row r="161025" customFormat="1" x14ac:dyDescent="0.25"/>
    <row r="161026" customFormat="1" x14ac:dyDescent="0.25"/>
    <row r="161027" customFormat="1" x14ac:dyDescent="0.25"/>
    <row r="161028" customFormat="1" x14ac:dyDescent="0.25"/>
    <row r="161029" customFormat="1" x14ac:dyDescent="0.25"/>
    <row r="161030" customFormat="1" x14ac:dyDescent="0.25"/>
    <row r="161031" customFormat="1" x14ac:dyDescent="0.25"/>
    <row r="161032" customFormat="1" x14ac:dyDescent="0.25"/>
    <row r="161033" customFormat="1" x14ac:dyDescent="0.25"/>
    <row r="161034" customFormat="1" x14ac:dyDescent="0.25"/>
    <row r="161035" customFormat="1" x14ac:dyDescent="0.25"/>
    <row r="161036" customFormat="1" x14ac:dyDescent="0.25"/>
    <row r="161037" customFormat="1" x14ac:dyDescent="0.25"/>
    <row r="161038" customFormat="1" x14ac:dyDescent="0.25"/>
    <row r="161039" customFormat="1" x14ac:dyDescent="0.25"/>
    <row r="161040" customFormat="1" x14ac:dyDescent="0.25"/>
    <row r="161041" customFormat="1" x14ac:dyDescent="0.25"/>
    <row r="161042" customFormat="1" x14ac:dyDescent="0.25"/>
    <row r="161043" customFormat="1" x14ac:dyDescent="0.25"/>
    <row r="161044" customFormat="1" x14ac:dyDescent="0.25"/>
    <row r="161045" customFormat="1" x14ac:dyDescent="0.25"/>
    <row r="161046" customFormat="1" x14ac:dyDescent="0.25"/>
    <row r="161047" customFormat="1" x14ac:dyDescent="0.25"/>
    <row r="161048" customFormat="1" x14ac:dyDescent="0.25"/>
    <row r="161049" customFormat="1" x14ac:dyDescent="0.25"/>
    <row r="161050" customFormat="1" x14ac:dyDescent="0.25"/>
    <row r="161051" customFormat="1" x14ac:dyDescent="0.25"/>
    <row r="161052" customFormat="1" x14ac:dyDescent="0.25"/>
    <row r="161053" customFormat="1" x14ac:dyDescent="0.25"/>
    <row r="161054" customFormat="1" x14ac:dyDescent="0.25"/>
    <row r="161055" customFormat="1" x14ac:dyDescent="0.25"/>
    <row r="161056" customFormat="1" x14ac:dyDescent="0.25"/>
    <row r="161057" customFormat="1" x14ac:dyDescent="0.25"/>
    <row r="161058" customFormat="1" x14ac:dyDescent="0.25"/>
    <row r="161059" customFormat="1" x14ac:dyDescent="0.25"/>
    <row r="161060" customFormat="1" x14ac:dyDescent="0.25"/>
    <row r="161061" customFormat="1" x14ac:dyDescent="0.25"/>
    <row r="161062" customFormat="1" x14ac:dyDescent="0.25"/>
    <row r="161063" customFormat="1" x14ac:dyDescent="0.25"/>
    <row r="161064" customFormat="1" x14ac:dyDescent="0.25"/>
    <row r="161065" customFormat="1" x14ac:dyDescent="0.25"/>
    <row r="161066" customFormat="1" x14ac:dyDescent="0.25"/>
    <row r="161067" customFormat="1" x14ac:dyDescent="0.25"/>
    <row r="161068" customFormat="1" x14ac:dyDescent="0.25"/>
    <row r="161069" customFormat="1" x14ac:dyDescent="0.25"/>
    <row r="161070" customFormat="1" x14ac:dyDescent="0.25"/>
    <row r="161071" customFormat="1" x14ac:dyDescent="0.25"/>
    <row r="161072" customFormat="1" x14ac:dyDescent="0.25"/>
    <row r="161073" customFormat="1" x14ac:dyDescent="0.25"/>
    <row r="161074" customFormat="1" x14ac:dyDescent="0.25"/>
    <row r="161075" customFormat="1" x14ac:dyDescent="0.25"/>
    <row r="161076" customFormat="1" x14ac:dyDescent="0.25"/>
    <row r="161077" customFormat="1" x14ac:dyDescent="0.25"/>
    <row r="161078" customFormat="1" x14ac:dyDescent="0.25"/>
    <row r="161079" customFormat="1" x14ac:dyDescent="0.25"/>
    <row r="161080" customFormat="1" x14ac:dyDescent="0.25"/>
    <row r="161081" customFormat="1" x14ac:dyDescent="0.25"/>
    <row r="161082" customFormat="1" x14ac:dyDescent="0.25"/>
    <row r="161083" customFormat="1" x14ac:dyDescent="0.25"/>
    <row r="161084" customFormat="1" x14ac:dyDescent="0.25"/>
    <row r="161085" customFormat="1" x14ac:dyDescent="0.25"/>
    <row r="161086" customFormat="1" x14ac:dyDescent="0.25"/>
    <row r="161087" customFormat="1" x14ac:dyDescent="0.25"/>
    <row r="161088" customFormat="1" x14ac:dyDescent="0.25"/>
    <row r="161089" customFormat="1" x14ac:dyDescent="0.25"/>
    <row r="161090" customFormat="1" x14ac:dyDescent="0.25"/>
    <row r="161091" customFormat="1" x14ac:dyDescent="0.25"/>
    <row r="161092" customFormat="1" x14ac:dyDescent="0.25"/>
    <row r="161093" customFormat="1" x14ac:dyDescent="0.25"/>
    <row r="161094" customFormat="1" x14ac:dyDescent="0.25"/>
    <row r="161095" customFormat="1" x14ac:dyDescent="0.25"/>
    <row r="161096" customFormat="1" x14ac:dyDescent="0.25"/>
    <row r="161097" customFormat="1" x14ac:dyDescent="0.25"/>
    <row r="161098" customFormat="1" x14ac:dyDescent="0.25"/>
    <row r="161099" customFormat="1" x14ac:dyDescent="0.25"/>
    <row r="161100" customFormat="1" x14ac:dyDescent="0.25"/>
    <row r="161101" customFormat="1" x14ac:dyDescent="0.25"/>
    <row r="161102" customFormat="1" x14ac:dyDescent="0.25"/>
    <row r="161103" customFormat="1" x14ac:dyDescent="0.25"/>
    <row r="161104" customFormat="1" x14ac:dyDescent="0.25"/>
    <row r="161105" customFormat="1" x14ac:dyDescent="0.25"/>
    <row r="161106" customFormat="1" x14ac:dyDescent="0.25"/>
    <row r="161107" customFormat="1" x14ac:dyDescent="0.25"/>
    <row r="161108" customFormat="1" x14ac:dyDescent="0.25"/>
    <row r="161109" customFormat="1" x14ac:dyDescent="0.25"/>
    <row r="161110" customFormat="1" x14ac:dyDescent="0.25"/>
    <row r="161111" customFormat="1" x14ac:dyDescent="0.25"/>
    <row r="161112" customFormat="1" x14ac:dyDescent="0.25"/>
    <row r="161113" customFormat="1" x14ac:dyDescent="0.25"/>
    <row r="161114" customFormat="1" x14ac:dyDescent="0.25"/>
    <row r="161115" customFormat="1" x14ac:dyDescent="0.25"/>
    <row r="161116" customFormat="1" x14ac:dyDescent="0.25"/>
    <row r="161117" customFormat="1" x14ac:dyDescent="0.25"/>
    <row r="161118" customFormat="1" x14ac:dyDescent="0.25"/>
    <row r="161119" customFormat="1" x14ac:dyDescent="0.25"/>
    <row r="161120" customFormat="1" x14ac:dyDescent="0.25"/>
    <row r="161121" customFormat="1" x14ac:dyDescent="0.25"/>
    <row r="161122" customFormat="1" x14ac:dyDescent="0.25"/>
    <row r="161123" customFormat="1" x14ac:dyDescent="0.25"/>
    <row r="161124" customFormat="1" x14ac:dyDescent="0.25"/>
    <row r="161125" customFormat="1" x14ac:dyDescent="0.25"/>
    <row r="161126" customFormat="1" x14ac:dyDescent="0.25"/>
    <row r="161127" customFormat="1" x14ac:dyDescent="0.25"/>
    <row r="161128" customFormat="1" x14ac:dyDescent="0.25"/>
    <row r="161129" customFormat="1" x14ac:dyDescent="0.25"/>
    <row r="161130" customFormat="1" x14ac:dyDescent="0.25"/>
    <row r="161131" customFormat="1" x14ac:dyDescent="0.25"/>
    <row r="161132" customFormat="1" x14ac:dyDescent="0.25"/>
    <row r="161133" customFormat="1" x14ac:dyDescent="0.25"/>
    <row r="161134" customFormat="1" x14ac:dyDescent="0.25"/>
    <row r="161135" customFormat="1" x14ac:dyDescent="0.25"/>
    <row r="161136" customFormat="1" x14ac:dyDescent="0.25"/>
    <row r="161137" customFormat="1" x14ac:dyDescent="0.25"/>
    <row r="161138" customFormat="1" x14ac:dyDescent="0.25"/>
    <row r="161139" customFormat="1" x14ac:dyDescent="0.25"/>
    <row r="161140" customFormat="1" x14ac:dyDescent="0.25"/>
    <row r="161141" customFormat="1" x14ac:dyDescent="0.25"/>
    <row r="161142" customFormat="1" x14ac:dyDescent="0.25"/>
    <row r="161143" customFormat="1" x14ac:dyDescent="0.25"/>
    <row r="161144" customFormat="1" x14ac:dyDescent="0.25"/>
    <row r="161145" customFormat="1" x14ac:dyDescent="0.25"/>
    <row r="161146" customFormat="1" x14ac:dyDescent="0.25"/>
    <row r="161147" customFormat="1" x14ac:dyDescent="0.25"/>
    <row r="161148" customFormat="1" x14ac:dyDescent="0.25"/>
    <row r="161149" customFormat="1" x14ac:dyDescent="0.25"/>
    <row r="161150" customFormat="1" x14ac:dyDescent="0.25"/>
    <row r="161151" customFormat="1" x14ac:dyDescent="0.25"/>
    <row r="161152" customFormat="1" x14ac:dyDescent="0.25"/>
    <row r="161153" customFormat="1" x14ac:dyDescent="0.25"/>
    <row r="161154" customFormat="1" x14ac:dyDescent="0.25"/>
    <row r="161155" customFormat="1" x14ac:dyDescent="0.25"/>
    <row r="161156" customFormat="1" x14ac:dyDescent="0.25"/>
    <row r="161157" customFormat="1" x14ac:dyDescent="0.25"/>
    <row r="161158" customFormat="1" x14ac:dyDescent="0.25"/>
    <row r="161159" customFormat="1" x14ac:dyDescent="0.25"/>
    <row r="161160" customFormat="1" x14ac:dyDescent="0.25"/>
    <row r="161161" customFormat="1" x14ac:dyDescent="0.25"/>
    <row r="161162" customFormat="1" x14ac:dyDescent="0.25"/>
    <row r="161163" customFormat="1" x14ac:dyDescent="0.25"/>
    <row r="161164" customFormat="1" x14ac:dyDescent="0.25"/>
    <row r="161165" customFormat="1" x14ac:dyDescent="0.25"/>
    <row r="161166" customFormat="1" x14ac:dyDescent="0.25"/>
    <row r="161167" customFormat="1" x14ac:dyDescent="0.25"/>
    <row r="161168" customFormat="1" x14ac:dyDescent="0.25"/>
    <row r="161169" customFormat="1" x14ac:dyDescent="0.25"/>
    <row r="161170" customFormat="1" x14ac:dyDescent="0.25"/>
    <row r="161171" customFormat="1" x14ac:dyDescent="0.25"/>
    <row r="161172" customFormat="1" x14ac:dyDescent="0.25"/>
    <row r="161173" customFormat="1" x14ac:dyDescent="0.25"/>
    <row r="161174" customFormat="1" x14ac:dyDescent="0.25"/>
    <row r="161175" customFormat="1" x14ac:dyDescent="0.25"/>
    <row r="161176" customFormat="1" x14ac:dyDescent="0.25"/>
    <row r="161177" customFormat="1" x14ac:dyDescent="0.25"/>
    <row r="161178" customFormat="1" x14ac:dyDescent="0.25"/>
    <row r="161179" customFormat="1" x14ac:dyDescent="0.25"/>
    <row r="161180" customFormat="1" x14ac:dyDescent="0.25"/>
    <row r="161181" customFormat="1" x14ac:dyDescent="0.25"/>
    <row r="161182" customFormat="1" x14ac:dyDescent="0.25"/>
    <row r="161183" customFormat="1" x14ac:dyDescent="0.25"/>
    <row r="161184" customFormat="1" x14ac:dyDescent="0.25"/>
    <row r="161185" customFormat="1" x14ac:dyDescent="0.25"/>
    <row r="161186" customFormat="1" x14ac:dyDescent="0.25"/>
    <row r="161187" customFormat="1" x14ac:dyDescent="0.25"/>
    <row r="161188" customFormat="1" x14ac:dyDescent="0.25"/>
    <row r="161189" customFormat="1" x14ac:dyDescent="0.25"/>
    <row r="161190" customFormat="1" x14ac:dyDescent="0.25"/>
    <row r="161191" customFormat="1" x14ac:dyDescent="0.25"/>
    <row r="161192" customFormat="1" x14ac:dyDescent="0.25"/>
    <row r="161193" customFormat="1" x14ac:dyDescent="0.25"/>
    <row r="161194" customFormat="1" x14ac:dyDescent="0.25"/>
    <row r="161195" customFormat="1" x14ac:dyDescent="0.25"/>
    <row r="161196" customFormat="1" x14ac:dyDescent="0.25"/>
    <row r="161197" customFormat="1" x14ac:dyDescent="0.25"/>
    <row r="161198" customFormat="1" x14ac:dyDescent="0.25"/>
    <row r="161199" customFormat="1" x14ac:dyDescent="0.25"/>
    <row r="161200" customFormat="1" x14ac:dyDescent="0.25"/>
    <row r="161201" customFormat="1" x14ac:dyDescent="0.25"/>
    <row r="161202" customFormat="1" x14ac:dyDescent="0.25"/>
    <row r="161203" customFormat="1" x14ac:dyDescent="0.25"/>
    <row r="161204" customFormat="1" x14ac:dyDescent="0.25"/>
    <row r="161205" customFormat="1" x14ac:dyDescent="0.25"/>
    <row r="161206" customFormat="1" x14ac:dyDescent="0.25"/>
    <row r="161207" customFormat="1" x14ac:dyDescent="0.25"/>
    <row r="161208" customFormat="1" x14ac:dyDescent="0.25"/>
    <row r="161209" customFormat="1" x14ac:dyDescent="0.25"/>
    <row r="161210" customFormat="1" x14ac:dyDescent="0.25"/>
    <row r="161211" customFormat="1" x14ac:dyDescent="0.25"/>
    <row r="161212" customFormat="1" x14ac:dyDescent="0.25"/>
    <row r="161213" customFormat="1" x14ac:dyDescent="0.25"/>
    <row r="161214" customFormat="1" x14ac:dyDescent="0.25"/>
    <row r="161215" customFormat="1" x14ac:dyDescent="0.25"/>
    <row r="161216" customFormat="1" x14ac:dyDescent="0.25"/>
    <row r="161217" customFormat="1" x14ac:dyDescent="0.25"/>
    <row r="161218" customFormat="1" x14ac:dyDescent="0.25"/>
    <row r="161219" customFormat="1" x14ac:dyDescent="0.25"/>
    <row r="161220" customFormat="1" x14ac:dyDescent="0.25"/>
    <row r="161221" customFormat="1" x14ac:dyDescent="0.25"/>
    <row r="161222" customFormat="1" x14ac:dyDescent="0.25"/>
    <row r="161223" customFormat="1" x14ac:dyDescent="0.25"/>
    <row r="161224" customFormat="1" x14ac:dyDescent="0.25"/>
    <row r="161225" customFormat="1" x14ac:dyDescent="0.25"/>
    <row r="161226" customFormat="1" x14ac:dyDescent="0.25"/>
    <row r="161227" customFormat="1" x14ac:dyDescent="0.25"/>
    <row r="161228" customFormat="1" x14ac:dyDescent="0.25"/>
    <row r="161229" customFormat="1" x14ac:dyDescent="0.25"/>
    <row r="161230" customFormat="1" x14ac:dyDescent="0.25"/>
    <row r="161231" customFormat="1" x14ac:dyDescent="0.25"/>
    <row r="161232" customFormat="1" x14ac:dyDescent="0.25"/>
    <row r="161233" customFormat="1" x14ac:dyDescent="0.25"/>
    <row r="161234" customFormat="1" x14ac:dyDescent="0.25"/>
    <row r="161235" customFormat="1" x14ac:dyDescent="0.25"/>
    <row r="161236" customFormat="1" x14ac:dyDescent="0.25"/>
    <row r="161237" customFormat="1" x14ac:dyDescent="0.25"/>
    <row r="161238" customFormat="1" x14ac:dyDescent="0.25"/>
    <row r="161239" customFormat="1" x14ac:dyDescent="0.25"/>
    <row r="161240" customFormat="1" x14ac:dyDescent="0.25"/>
    <row r="161241" customFormat="1" x14ac:dyDescent="0.25"/>
    <row r="161242" customFormat="1" x14ac:dyDescent="0.25"/>
    <row r="161243" customFormat="1" x14ac:dyDescent="0.25"/>
    <row r="161244" customFormat="1" x14ac:dyDescent="0.25"/>
    <row r="161245" customFormat="1" x14ac:dyDescent="0.25"/>
    <row r="161246" customFormat="1" x14ac:dyDescent="0.25"/>
    <row r="161247" customFormat="1" x14ac:dyDescent="0.25"/>
    <row r="161248" customFormat="1" x14ac:dyDescent="0.25"/>
    <row r="161249" customFormat="1" x14ac:dyDescent="0.25"/>
    <row r="161250" customFormat="1" x14ac:dyDescent="0.25"/>
    <row r="161251" customFormat="1" x14ac:dyDescent="0.25"/>
    <row r="161252" customFormat="1" x14ac:dyDescent="0.25"/>
    <row r="161253" customFormat="1" x14ac:dyDescent="0.25"/>
    <row r="161254" customFormat="1" x14ac:dyDescent="0.25"/>
    <row r="161255" customFormat="1" x14ac:dyDescent="0.25"/>
    <row r="161256" customFormat="1" x14ac:dyDescent="0.25"/>
    <row r="161257" customFormat="1" x14ac:dyDescent="0.25"/>
    <row r="161258" customFormat="1" x14ac:dyDescent="0.25"/>
    <row r="161259" customFormat="1" x14ac:dyDescent="0.25"/>
    <row r="161260" customFormat="1" x14ac:dyDescent="0.25"/>
    <row r="161261" customFormat="1" x14ac:dyDescent="0.25"/>
    <row r="161262" customFormat="1" x14ac:dyDescent="0.25"/>
    <row r="161263" customFormat="1" x14ac:dyDescent="0.25"/>
    <row r="161264" customFormat="1" x14ac:dyDescent="0.25"/>
    <row r="161265" customFormat="1" x14ac:dyDescent="0.25"/>
    <row r="161266" customFormat="1" x14ac:dyDescent="0.25"/>
    <row r="161267" customFormat="1" x14ac:dyDescent="0.25"/>
    <row r="161268" customFormat="1" x14ac:dyDescent="0.25"/>
    <row r="161269" customFormat="1" x14ac:dyDescent="0.25"/>
    <row r="161270" customFormat="1" x14ac:dyDescent="0.25"/>
    <row r="161271" customFormat="1" x14ac:dyDescent="0.25"/>
    <row r="161272" customFormat="1" x14ac:dyDescent="0.25"/>
    <row r="161273" customFormat="1" x14ac:dyDescent="0.25"/>
    <row r="161274" customFormat="1" x14ac:dyDescent="0.25"/>
    <row r="161275" customFormat="1" x14ac:dyDescent="0.25"/>
    <row r="161276" customFormat="1" x14ac:dyDescent="0.25"/>
    <row r="161277" customFormat="1" x14ac:dyDescent="0.25"/>
    <row r="161278" customFormat="1" x14ac:dyDescent="0.25"/>
    <row r="161279" customFormat="1" x14ac:dyDescent="0.25"/>
    <row r="161280" customFormat="1" x14ac:dyDescent="0.25"/>
    <row r="161281" customFormat="1" x14ac:dyDescent="0.25"/>
    <row r="161282" customFormat="1" x14ac:dyDescent="0.25"/>
    <row r="161283" customFormat="1" x14ac:dyDescent="0.25"/>
    <row r="161284" customFormat="1" x14ac:dyDescent="0.25"/>
    <row r="161285" customFormat="1" x14ac:dyDescent="0.25"/>
    <row r="161286" customFormat="1" x14ac:dyDescent="0.25"/>
    <row r="161287" customFormat="1" x14ac:dyDescent="0.25"/>
    <row r="161288" customFormat="1" x14ac:dyDescent="0.25"/>
    <row r="161289" customFormat="1" x14ac:dyDescent="0.25"/>
    <row r="161290" customFormat="1" x14ac:dyDescent="0.25"/>
    <row r="161291" customFormat="1" x14ac:dyDescent="0.25"/>
    <row r="161292" customFormat="1" x14ac:dyDescent="0.25"/>
    <row r="161293" customFormat="1" x14ac:dyDescent="0.25"/>
    <row r="161294" customFormat="1" x14ac:dyDescent="0.25"/>
    <row r="161295" customFormat="1" x14ac:dyDescent="0.25"/>
    <row r="161296" customFormat="1" x14ac:dyDescent="0.25"/>
    <row r="161297" customFormat="1" x14ac:dyDescent="0.25"/>
    <row r="161298" customFormat="1" x14ac:dyDescent="0.25"/>
    <row r="161299" customFormat="1" x14ac:dyDescent="0.25"/>
    <row r="161300" customFormat="1" x14ac:dyDescent="0.25"/>
    <row r="161301" customFormat="1" x14ac:dyDescent="0.25"/>
    <row r="161302" customFormat="1" x14ac:dyDescent="0.25"/>
    <row r="161303" customFormat="1" x14ac:dyDescent="0.25"/>
    <row r="161304" customFormat="1" x14ac:dyDescent="0.25"/>
    <row r="161305" customFormat="1" x14ac:dyDescent="0.25"/>
    <row r="161306" customFormat="1" x14ac:dyDescent="0.25"/>
    <row r="161307" customFormat="1" x14ac:dyDescent="0.25"/>
    <row r="161308" customFormat="1" x14ac:dyDescent="0.25"/>
    <row r="161309" customFormat="1" x14ac:dyDescent="0.25"/>
    <row r="161310" customFormat="1" x14ac:dyDescent="0.25"/>
    <row r="161311" customFormat="1" x14ac:dyDescent="0.25"/>
    <row r="161312" customFormat="1" x14ac:dyDescent="0.25"/>
    <row r="161313" customFormat="1" x14ac:dyDescent="0.25"/>
    <row r="161314" customFormat="1" x14ac:dyDescent="0.25"/>
    <row r="161315" customFormat="1" x14ac:dyDescent="0.25"/>
    <row r="161316" customFormat="1" x14ac:dyDescent="0.25"/>
    <row r="161317" customFormat="1" x14ac:dyDescent="0.25"/>
    <row r="161318" customFormat="1" x14ac:dyDescent="0.25"/>
    <row r="161319" customFormat="1" x14ac:dyDescent="0.25"/>
    <row r="161320" customFormat="1" x14ac:dyDescent="0.25"/>
    <row r="161321" customFormat="1" x14ac:dyDescent="0.25"/>
    <row r="161322" customFormat="1" x14ac:dyDescent="0.25"/>
    <row r="161323" customFormat="1" x14ac:dyDescent="0.25"/>
    <row r="161324" customFormat="1" x14ac:dyDescent="0.25"/>
    <row r="161325" customFormat="1" x14ac:dyDescent="0.25"/>
    <row r="161326" customFormat="1" x14ac:dyDescent="0.25"/>
    <row r="161327" customFormat="1" x14ac:dyDescent="0.25"/>
    <row r="161328" customFormat="1" x14ac:dyDescent="0.25"/>
    <row r="161329" customFormat="1" x14ac:dyDescent="0.25"/>
    <row r="161330" customFormat="1" x14ac:dyDescent="0.25"/>
    <row r="161331" customFormat="1" x14ac:dyDescent="0.25"/>
    <row r="161332" customFormat="1" x14ac:dyDescent="0.25"/>
    <row r="161333" customFormat="1" x14ac:dyDescent="0.25"/>
    <row r="161334" customFormat="1" x14ac:dyDescent="0.25"/>
    <row r="161335" customFormat="1" x14ac:dyDescent="0.25"/>
    <row r="161336" customFormat="1" x14ac:dyDescent="0.25"/>
    <row r="161337" customFormat="1" x14ac:dyDescent="0.25"/>
    <row r="161338" customFormat="1" x14ac:dyDescent="0.25"/>
    <row r="161339" customFormat="1" x14ac:dyDescent="0.25"/>
    <row r="161340" customFormat="1" x14ac:dyDescent="0.25"/>
    <row r="161341" customFormat="1" x14ac:dyDescent="0.25"/>
    <row r="161342" customFormat="1" x14ac:dyDescent="0.25"/>
    <row r="161343" customFormat="1" x14ac:dyDescent="0.25"/>
    <row r="161344" customFormat="1" x14ac:dyDescent="0.25"/>
    <row r="161345" customFormat="1" x14ac:dyDescent="0.25"/>
    <row r="161346" customFormat="1" x14ac:dyDescent="0.25"/>
    <row r="161347" customFormat="1" x14ac:dyDescent="0.25"/>
    <row r="161348" customFormat="1" x14ac:dyDescent="0.25"/>
    <row r="161349" customFormat="1" x14ac:dyDescent="0.25"/>
    <row r="161350" customFormat="1" x14ac:dyDescent="0.25"/>
    <row r="161351" customFormat="1" x14ac:dyDescent="0.25"/>
    <row r="161352" customFormat="1" x14ac:dyDescent="0.25"/>
    <row r="161353" customFormat="1" x14ac:dyDescent="0.25"/>
    <row r="161354" customFormat="1" x14ac:dyDescent="0.25"/>
    <row r="161355" customFormat="1" x14ac:dyDescent="0.25"/>
    <row r="161356" customFormat="1" x14ac:dyDescent="0.25"/>
    <row r="161357" customFormat="1" x14ac:dyDescent="0.25"/>
    <row r="161358" customFormat="1" x14ac:dyDescent="0.25"/>
    <row r="161359" customFormat="1" x14ac:dyDescent="0.25"/>
    <row r="161360" customFormat="1" x14ac:dyDescent="0.25"/>
    <row r="161361" customFormat="1" x14ac:dyDescent="0.25"/>
    <row r="161362" customFormat="1" x14ac:dyDescent="0.25"/>
    <row r="161363" customFormat="1" x14ac:dyDescent="0.25"/>
    <row r="161364" customFormat="1" x14ac:dyDescent="0.25"/>
    <row r="161365" customFormat="1" x14ac:dyDescent="0.25"/>
    <row r="161366" customFormat="1" x14ac:dyDescent="0.25"/>
    <row r="161367" customFormat="1" x14ac:dyDescent="0.25"/>
    <row r="161368" customFormat="1" x14ac:dyDescent="0.25"/>
    <row r="161369" customFormat="1" x14ac:dyDescent="0.25"/>
    <row r="161370" customFormat="1" x14ac:dyDescent="0.25"/>
    <row r="161371" customFormat="1" x14ac:dyDescent="0.25"/>
    <row r="161372" customFormat="1" x14ac:dyDescent="0.25"/>
    <row r="161373" customFormat="1" x14ac:dyDescent="0.25"/>
    <row r="161374" customFormat="1" x14ac:dyDescent="0.25"/>
    <row r="161375" customFormat="1" x14ac:dyDescent="0.25"/>
    <row r="161376" customFormat="1" x14ac:dyDescent="0.25"/>
    <row r="161377" customFormat="1" x14ac:dyDescent="0.25"/>
    <row r="161378" customFormat="1" x14ac:dyDescent="0.25"/>
    <row r="161379" customFormat="1" x14ac:dyDescent="0.25"/>
    <row r="161380" customFormat="1" x14ac:dyDescent="0.25"/>
    <row r="161381" customFormat="1" x14ac:dyDescent="0.25"/>
    <row r="161382" customFormat="1" x14ac:dyDescent="0.25"/>
    <row r="161383" customFormat="1" x14ac:dyDescent="0.25"/>
    <row r="161384" customFormat="1" x14ac:dyDescent="0.25"/>
    <row r="161385" customFormat="1" x14ac:dyDescent="0.25"/>
    <row r="161386" customFormat="1" x14ac:dyDescent="0.25"/>
    <row r="161387" customFormat="1" x14ac:dyDescent="0.25"/>
    <row r="161388" customFormat="1" x14ac:dyDescent="0.25"/>
    <row r="161389" customFormat="1" x14ac:dyDescent="0.25"/>
    <row r="161390" customFormat="1" x14ac:dyDescent="0.25"/>
    <row r="161391" customFormat="1" x14ac:dyDescent="0.25"/>
    <row r="161392" customFormat="1" x14ac:dyDescent="0.25"/>
    <row r="161393" customFormat="1" x14ac:dyDescent="0.25"/>
    <row r="161394" customFormat="1" x14ac:dyDescent="0.25"/>
    <row r="161395" customFormat="1" x14ac:dyDescent="0.25"/>
    <row r="161396" customFormat="1" x14ac:dyDescent="0.25"/>
    <row r="161397" customFormat="1" x14ac:dyDescent="0.25"/>
    <row r="161398" customFormat="1" x14ac:dyDescent="0.25"/>
    <row r="161399" customFormat="1" x14ac:dyDescent="0.25"/>
    <row r="161400" customFormat="1" x14ac:dyDescent="0.25"/>
    <row r="161401" customFormat="1" x14ac:dyDescent="0.25"/>
    <row r="161402" customFormat="1" x14ac:dyDescent="0.25"/>
    <row r="161403" customFormat="1" x14ac:dyDescent="0.25"/>
    <row r="161404" customFormat="1" x14ac:dyDescent="0.25"/>
    <row r="161405" customFormat="1" x14ac:dyDescent="0.25"/>
    <row r="161406" customFormat="1" x14ac:dyDescent="0.25"/>
    <row r="161407" customFormat="1" x14ac:dyDescent="0.25"/>
    <row r="161408" customFormat="1" x14ac:dyDescent="0.25"/>
    <row r="161409" customFormat="1" x14ac:dyDescent="0.25"/>
    <row r="161410" customFormat="1" x14ac:dyDescent="0.25"/>
    <row r="161411" customFormat="1" x14ac:dyDescent="0.25"/>
    <row r="161412" customFormat="1" x14ac:dyDescent="0.25"/>
    <row r="161413" customFormat="1" x14ac:dyDescent="0.25"/>
    <row r="161414" customFormat="1" x14ac:dyDescent="0.25"/>
    <row r="161415" customFormat="1" x14ac:dyDescent="0.25"/>
    <row r="161416" customFormat="1" x14ac:dyDescent="0.25"/>
    <row r="161417" customFormat="1" x14ac:dyDescent="0.25"/>
    <row r="161418" customFormat="1" x14ac:dyDescent="0.25"/>
    <row r="161419" customFormat="1" x14ac:dyDescent="0.25"/>
    <row r="161420" customFormat="1" x14ac:dyDescent="0.25"/>
    <row r="161421" customFormat="1" x14ac:dyDescent="0.25"/>
    <row r="161422" customFormat="1" x14ac:dyDescent="0.25"/>
    <row r="161423" customFormat="1" x14ac:dyDescent="0.25"/>
    <row r="161424" customFormat="1" x14ac:dyDescent="0.25"/>
    <row r="161425" customFormat="1" x14ac:dyDescent="0.25"/>
    <row r="161426" customFormat="1" x14ac:dyDescent="0.25"/>
    <row r="161427" customFormat="1" x14ac:dyDescent="0.25"/>
    <row r="161428" customFormat="1" x14ac:dyDescent="0.25"/>
    <row r="161429" customFormat="1" x14ac:dyDescent="0.25"/>
    <row r="161430" customFormat="1" x14ac:dyDescent="0.25"/>
    <row r="161431" customFormat="1" x14ac:dyDescent="0.25"/>
    <row r="161432" customFormat="1" x14ac:dyDescent="0.25"/>
    <row r="161433" customFormat="1" x14ac:dyDescent="0.25"/>
    <row r="161434" customFormat="1" x14ac:dyDescent="0.25"/>
    <row r="161435" customFormat="1" x14ac:dyDescent="0.25"/>
    <row r="161436" customFormat="1" x14ac:dyDescent="0.25"/>
    <row r="161437" customFormat="1" x14ac:dyDescent="0.25"/>
    <row r="161438" customFormat="1" x14ac:dyDescent="0.25"/>
    <row r="161439" customFormat="1" x14ac:dyDescent="0.25"/>
    <row r="161440" customFormat="1" x14ac:dyDescent="0.25"/>
    <row r="161441" customFormat="1" x14ac:dyDescent="0.25"/>
    <row r="161442" customFormat="1" x14ac:dyDescent="0.25"/>
    <row r="161443" customFormat="1" x14ac:dyDescent="0.25"/>
    <row r="161444" customFormat="1" x14ac:dyDescent="0.25"/>
    <row r="161445" customFormat="1" x14ac:dyDescent="0.25"/>
    <row r="161446" customFormat="1" x14ac:dyDescent="0.25"/>
    <row r="161447" customFormat="1" x14ac:dyDescent="0.25"/>
    <row r="161448" customFormat="1" x14ac:dyDescent="0.25"/>
    <row r="161449" customFormat="1" x14ac:dyDescent="0.25"/>
    <row r="161450" customFormat="1" x14ac:dyDescent="0.25"/>
    <row r="161451" customFormat="1" x14ac:dyDescent="0.25"/>
    <row r="161452" customFormat="1" x14ac:dyDescent="0.25"/>
    <row r="161453" customFormat="1" x14ac:dyDescent="0.25"/>
    <row r="161454" customFormat="1" x14ac:dyDescent="0.25"/>
    <row r="161455" customFormat="1" x14ac:dyDescent="0.25"/>
    <row r="161456" customFormat="1" x14ac:dyDescent="0.25"/>
    <row r="161457" customFormat="1" x14ac:dyDescent="0.25"/>
    <row r="161458" customFormat="1" x14ac:dyDescent="0.25"/>
    <row r="161459" customFormat="1" x14ac:dyDescent="0.25"/>
    <row r="161460" customFormat="1" x14ac:dyDescent="0.25"/>
    <row r="161461" customFormat="1" x14ac:dyDescent="0.25"/>
    <row r="161462" customFormat="1" x14ac:dyDescent="0.25"/>
    <row r="161463" customFormat="1" x14ac:dyDescent="0.25"/>
    <row r="161464" customFormat="1" x14ac:dyDescent="0.25"/>
    <row r="161465" customFormat="1" x14ac:dyDescent="0.25"/>
    <row r="161466" customFormat="1" x14ac:dyDescent="0.25"/>
    <row r="161467" customFormat="1" x14ac:dyDescent="0.25"/>
    <row r="161468" customFormat="1" x14ac:dyDescent="0.25"/>
    <row r="161469" customFormat="1" x14ac:dyDescent="0.25"/>
    <row r="161470" customFormat="1" x14ac:dyDescent="0.25"/>
    <row r="161471" customFormat="1" x14ac:dyDescent="0.25"/>
    <row r="161472" customFormat="1" x14ac:dyDescent="0.25"/>
    <row r="161473" customFormat="1" x14ac:dyDescent="0.25"/>
    <row r="161474" customFormat="1" x14ac:dyDescent="0.25"/>
    <row r="161475" customFormat="1" x14ac:dyDescent="0.25"/>
    <row r="161476" customFormat="1" x14ac:dyDescent="0.25"/>
    <row r="161477" customFormat="1" x14ac:dyDescent="0.25"/>
    <row r="161478" customFormat="1" x14ac:dyDescent="0.25"/>
    <row r="161479" customFormat="1" x14ac:dyDescent="0.25"/>
    <row r="161480" customFormat="1" x14ac:dyDescent="0.25"/>
    <row r="161481" customFormat="1" x14ac:dyDescent="0.25"/>
    <row r="161482" customFormat="1" x14ac:dyDescent="0.25"/>
    <row r="161483" customFormat="1" x14ac:dyDescent="0.25"/>
    <row r="161484" customFormat="1" x14ac:dyDescent="0.25"/>
    <row r="161485" customFormat="1" x14ac:dyDescent="0.25"/>
    <row r="161486" customFormat="1" x14ac:dyDescent="0.25"/>
    <row r="161487" customFormat="1" x14ac:dyDescent="0.25"/>
    <row r="161488" customFormat="1" x14ac:dyDescent="0.25"/>
    <row r="161489" customFormat="1" x14ac:dyDescent="0.25"/>
    <row r="161490" customFormat="1" x14ac:dyDescent="0.25"/>
    <row r="161491" customFormat="1" x14ac:dyDescent="0.25"/>
    <row r="161492" customFormat="1" x14ac:dyDescent="0.25"/>
    <row r="161493" customFormat="1" x14ac:dyDescent="0.25"/>
    <row r="161494" customFormat="1" x14ac:dyDescent="0.25"/>
    <row r="161495" customFormat="1" x14ac:dyDescent="0.25"/>
    <row r="161496" customFormat="1" x14ac:dyDescent="0.25"/>
    <row r="161497" customFormat="1" x14ac:dyDescent="0.25"/>
    <row r="161498" customFormat="1" x14ac:dyDescent="0.25"/>
    <row r="161499" customFormat="1" x14ac:dyDescent="0.25"/>
    <row r="161500" customFormat="1" x14ac:dyDescent="0.25"/>
    <row r="161501" customFormat="1" x14ac:dyDescent="0.25"/>
    <row r="161502" customFormat="1" x14ac:dyDescent="0.25"/>
    <row r="161503" customFormat="1" x14ac:dyDescent="0.25"/>
    <row r="161504" customFormat="1" x14ac:dyDescent="0.25"/>
    <row r="161505" customFormat="1" x14ac:dyDescent="0.25"/>
    <row r="161506" customFormat="1" x14ac:dyDescent="0.25"/>
    <row r="161507" customFormat="1" x14ac:dyDescent="0.25"/>
    <row r="161508" customFormat="1" x14ac:dyDescent="0.25"/>
    <row r="161509" customFormat="1" x14ac:dyDescent="0.25"/>
    <row r="161510" customFormat="1" x14ac:dyDescent="0.25"/>
    <row r="161511" customFormat="1" x14ac:dyDescent="0.25"/>
    <row r="161512" customFormat="1" x14ac:dyDescent="0.25"/>
    <row r="161513" customFormat="1" x14ac:dyDescent="0.25"/>
    <row r="161514" customFormat="1" x14ac:dyDescent="0.25"/>
    <row r="161515" customFormat="1" x14ac:dyDescent="0.25"/>
    <row r="161516" customFormat="1" x14ac:dyDescent="0.25"/>
    <row r="161517" customFormat="1" x14ac:dyDescent="0.25"/>
    <row r="161518" customFormat="1" x14ac:dyDescent="0.25"/>
    <row r="161519" customFormat="1" x14ac:dyDescent="0.25"/>
    <row r="161520" customFormat="1" x14ac:dyDescent="0.25"/>
    <row r="161521" customFormat="1" x14ac:dyDescent="0.25"/>
    <row r="161522" customFormat="1" x14ac:dyDescent="0.25"/>
    <row r="161523" customFormat="1" x14ac:dyDescent="0.25"/>
    <row r="161524" customFormat="1" x14ac:dyDescent="0.25"/>
    <row r="161525" customFormat="1" x14ac:dyDescent="0.25"/>
    <row r="161526" customFormat="1" x14ac:dyDescent="0.25"/>
    <row r="161527" customFormat="1" x14ac:dyDescent="0.25"/>
    <row r="161528" customFormat="1" x14ac:dyDescent="0.25"/>
    <row r="161529" customFormat="1" x14ac:dyDescent="0.25"/>
    <row r="161530" customFormat="1" x14ac:dyDescent="0.25"/>
    <row r="161531" customFormat="1" x14ac:dyDescent="0.25"/>
    <row r="161532" customFormat="1" x14ac:dyDescent="0.25"/>
    <row r="161533" customFormat="1" x14ac:dyDescent="0.25"/>
    <row r="161534" customFormat="1" x14ac:dyDescent="0.25"/>
    <row r="161535" customFormat="1" x14ac:dyDescent="0.25"/>
    <row r="161536" customFormat="1" x14ac:dyDescent="0.25"/>
    <row r="161537" customFormat="1" x14ac:dyDescent="0.25"/>
    <row r="161538" customFormat="1" x14ac:dyDescent="0.25"/>
    <row r="161539" customFormat="1" x14ac:dyDescent="0.25"/>
    <row r="161540" customFormat="1" x14ac:dyDescent="0.25"/>
    <row r="161541" customFormat="1" x14ac:dyDescent="0.25"/>
    <row r="161542" customFormat="1" x14ac:dyDescent="0.25"/>
    <row r="161543" customFormat="1" x14ac:dyDescent="0.25"/>
    <row r="161544" customFormat="1" x14ac:dyDescent="0.25"/>
    <row r="161545" customFormat="1" x14ac:dyDescent="0.25"/>
    <row r="161546" customFormat="1" x14ac:dyDescent="0.25"/>
    <row r="161547" customFormat="1" x14ac:dyDescent="0.25"/>
    <row r="161548" customFormat="1" x14ac:dyDescent="0.25"/>
    <row r="161549" customFormat="1" x14ac:dyDescent="0.25"/>
    <row r="161550" customFormat="1" x14ac:dyDescent="0.25"/>
    <row r="161551" customFormat="1" x14ac:dyDescent="0.25"/>
    <row r="161552" customFormat="1" x14ac:dyDescent="0.25"/>
    <row r="161553" customFormat="1" x14ac:dyDescent="0.25"/>
    <row r="161554" customFormat="1" x14ac:dyDescent="0.25"/>
    <row r="161555" customFormat="1" x14ac:dyDescent="0.25"/>
    <row r="161556" customFormat="1" x14ac:dyDescent="0.25"/>
    <row r="161557" customFormat="1" x14ac:dyDescent="0.25"/>
    <row r="161558" customFormat="1" x14ac:dyDescent="0.25"/>
    <row r="161559" customFormat="1" x14ac:dyDescent="0.25"/>
    <row r="161560" customFormat="1" x14ac:dyDescent="0.25"/>
    <row r="161561" customFormat="1" x14ac:dyDescent="0.25"/>
    <row r="161562" customFormat="1" x14ac:dyDescent="0.25"/>
    <row r="161563" customFormat="1" x14ac:dyDescent="0.25"/>
    <row r="161564" customFormat="1" x14ac:dyDescent="0.25"/>
    <row r="161565" customFormat="1" x14ac:dyDescent="0.25"/>
    <row r="161566" customFormat="1" x14ac:dyDescent="0.25"/>
    <row r="161567" customFormat="1" x14ac:dyDescent="0.25"/>
    <row r="161568" customFormat="1" x14ac:dyDescent="0.25"/>
    <row r="161569" customFormat="1" x14ac:dyDescent="0.25"/>
    <row r="161570" customFormat="1" x14ac:dyDescent="0.25"/>
    <row r="161571" customFormat="1" x14ac:dyDescent="0.25"/>
    <row r="161572" customFormat="1" x14ac:dyDescent="0.25"/>
    <row r="161573" customFormat="1" x14ac:dyDescent="0.25"/>
    <row r="161574" customFormat="1" x14ac:dyDescent="0.25"/>
    <row r="161575" customFormat="1" x14ac:dyDescent="0.25"/>
    <row r="161576" customFormat="1" x14ac:dyDescent="0.25"/>
    <row r="161577" customFormat="1" x14ac:dyDescent="0.25"/>
    <row r="161578" customFormat="1" x14ac:dyDescent="0.25"/>
    <row r="161579" customFormat="1" x14ac:dyDescent="0.25"/>
    <row r="161580" customFormat="1" x14ac:dyDescent="0.25"/>
    <row r="161581" customFormat="1" x14ac:dyDescent="0.25"/>
    <row r="161582" customFormat="1" x14ac:dyDescent="0.25"/>
    <row r="161583" customFormat="1" x14ac:dyDescent="0.25"/>
    <row r="161584" customFormat="1" x14ac:dyDescent="0.25"/>
    <row r="161585" customFormat="1" x14ac:dyDescent="0.25"/>
    <row r="161586" customFormat="1" x14ac:dyDescent="0.25"/>
    <row r="161587" customFormat="1" x14ac:dyDescent="0.25"/>
    <row r="161588" customFormat="1" x14ac:dyDescent="0.25"/>
    <row r="161589" customFormat="1" x14ac:dyDescent="0.25"/>
    <row r="161590" customFormat="1" x14ac:dyDescent="0.25"/>
    <row r="161591" customFormat="1" x14ac:dyDescent="0.25"/>
    <row r="161592" customFormat="1" x14ac:dyDescent="0.25"/>
    <row r="161593" customFormat="1" x14ac:dyDescent="0.25"/>
    <row r="161594" customFormat="1" x14ac:dyDescent="0.25"/>
    <row r="161595" customFormat="1" x14ac:dyDescent="0.25"/>
    <row r="161596" customFormat="1" x14ac:dyDescent="0.25"/>
    <row r="161597" customFormat="1" x14ac:dyDescent="0.25"/>
    <row r="161598" customFormat="1" x14ac:dyDescent="0.25"/>
    <row r="161599" customFormat="1" x14ac:dyDescent="0.25"/>
    <row r="161600" customFormat="1" x14ac:dyDescent="0.25"/>
    <row r="161601" customFormat="1" x14ac:dyDescent="0.25"/>
    <row r="161602" customFormat="1" x14ac:dyDescent="0.25"/>
    <row r="161603" customFormat="1" x14ac:dyDescent="0.25"/>
    <row r="161604" customFormat="1" x14ac:dyDescent="0.25"/>
    <row r="161605" customFormat="1" x14ac:dyDescent="0.25"/>
    <row r="161606" customFormat="1" x14ac:dyDescent="0.25"/>
    <row r="161607" customFormat="1" x14ac:dyDescent="0.25"/>
    <row r="161608" customFormat="1" x14ac:dyDescent="0.25"/>
    <row r="161609" customFormat="1" x14ac:dyDescent="0.25"/>
    <row r="161610" customFormat="1" x14ac:dyDescent="0.25"/>
    <row r="161611" customFormat="1" x14ac:dyDescent="0.25"/>
    <row r="161612" customFormat="1" x14ac:dyDescent="0.25"/>
    <row r="161613" customFormat="1" x14ac:dyDescent="0.25"/>
    <row r="161614" customFormat="1" x14ac:dyDescent="0.25"/>
    <row r="161615" customFormat="1" x14ac:dyDescent="0.25"/>
    <row r="161616" customFormat="1" x14ac:dyDescent="0.25"/>
    <row r="161617" customFormat="1" x14ac:dyDescent="0.25"/>
    <row r="161618" customFormat="1" x14ac:dyDescent="0.25"/>
    <row r="161619" customFormat="1" x14ac:dyDescent="0.25"/>
    <row r="161620" customFormat="1" x14ac:dyDescent="0.25"/>
    <row r="161621" customFormat="1" x14ac:dyDescent="0.25"/>
    <row r="161622" customFormat="1" x14ac:dyDescent="0.25"/>
    <row r="161623" customFormat="1" x14ac:dyDescent="0.25"/>
    <row r="161624" customFormat="1" x14ac:dyDescent="0.25"/>
    <row r="161625" customFormat="1" x14ac:dyDescent="0.25"/>
    <row r="161626" customFormat="1" x14ac:dyDescent="0.25"/>
    <row r="161627" customFormat="1" x14ac:dyDescent="0.25"/>
    <row r="161628" customFormat="1" x14ac:dyDescent="0.25"/>
    <row r="161629" customFormat="1" x14ac:dyDescent="0.25"/>
    <row r="161630" customFormat="1" x14ac:dyDescent="0.25"/>
    <row r="161631" customFormat="1" x14ac:dyDescent="0.25"/>
    <row r="161632" customFormat="1" x14ac:dyDescent="0.25"/>
    <row r="161633" customFormat="1" x14ac:dyDescent="0.25"/>
    <row r="161634" customFormat="1" x14ac:dyDescent="0.25"/>
    <row r="161635" customFormat="1" x14ac:dyDescent="0.25"/>
    <row r="161636" customFormat="1" x14ac:dyDescent="0.25"/>
    <row r="161637" customFormat="1" x14ac:dyDescent="0.25"/>
    <row r="161638" customFormat="1" x14ac:dyDescent="0.25"/>
    <row r="161639" customFormat="1" x14ac:dyDescent="0.25"/>
    <row r="161640" customFormat="1" x14ac:dyDescent="0.25"/>
    <row r="161641" customFormat="1" x14ac:dyDescent="0.25"/>
    <row r="161642" customFormat="1" x14ac:dyDescent="0.25"/>
    <row r="161643" customFormat="1" x14ac:dyDescent="0.25"/>
    <row r="161644" customFormat="1" x14ac:dyDescent="0.25"/>
    <row r="161645" customFormat="1" x14ac:dyDescent="0.25"/>
    <row r="161646" customFormat="1" x14ac:dyDescent="0.25"/>
    <row r="161647" customFormat="1" x14ac:dyDescent="0.25"/>
    <row r="161648" customFormat="1" x14ac:dyDescent="0.25"/>
    <row r="161649" customFormat="1" x14ac:dyDescent="0.25"/>
    <row r="161650" customFormat="1" x14ac:dyDescent="0.25"/>
    <row r="161651" customFormat="1" x14ac:dyDescent="0.25"/>
    <row r="161652" customFormat="1" x14ac:dyDescent="0.25"/>
    <row r="161653" customFormat="1" x14ac:dyDescent="0.25"/>
    <row r="161654" customFormat="1" x14ac:dyDescent="0.25"/>
    <row r="161655" customFormat="1" x14ac:dyDescent="0.25"/>
    <row r="161656" customFormat="1" x14ac:dyDescent="0.25"/>
    <row r="161657" customFormat="1" x14ac:dyDescent="0.25"/>
    <row r="161658" customFormat="1" x14ac:dyDescent="0.25"/>
    <row r="161659" customFormat="1" x14ac:dyDescent="0.25"/>
    <row r="161660" customFormat="1" x14ac:dyDescent="0.25"/>
    <row r="161661" customFormat="1" x14ac:dyDescent="0.25"/>
    <row r="161662" customFormat="1" x14ac:dyDescent="0.25"/>
    <row r="161663" customFormat="1" x14ac:dyDescent="0.25"/>
    <row r="161664" customFormat="1" x14ac:dyDescent="0.25"/>
    <row r="161665" customFormat="1" x14ac:dyDescent="0.25"/>
    <row r="161666" customFormat="1" x14ac:dyDescent="0.25"/>
    <row r="161667" customFormat="1" x14ac:dyDescent="0.25"/>
    <row r="161668" customFormat="1" x14ac:dyDescent="0.25"/>
    <row r="161669" customFormat="1" x14ac:dyDescent="0.25"/>
    <row r="161670" customFormat="1" x14ac:dyDescent="0.25"/>
    <row r="161671" customFormat="1" x14ac:dyDescent="0.25"/>
    <row r="161672" customFormat="1" x14ac:dyDescent="0.25"/>
    <row r="161673" customFormat="1" x14ac:dyDescent="0.25"/>
    <row r="161674" customFormat="1" x14ac:dyDescent="0.25"/>
    <row r="161675" customFormat="1" x14ac:dyDescent="0.25"/>
    <row r="161676" customFormat="1" x14ac:dyDescent="0.25"/>
    <row r="161677" customFormat="1" x14ac:dyDescent="0.25"/>
    <row r="161678" customFormat="1" x14ac:dyDescent="0.25"/>
    <row r="161679" customFormat="1" x14ac:dyDescent="0.25"/>
    <row r="161680" customFormat="1" x14ac:dyDescent="0.25"/>
    <row r="161681" customFormat="1" x14ac:dyDescent="0.25"/>
    <row r="161682" customFormat="1" x14ac:dyDescent="0.25"/>
    <row r="161683" customFormat="1" x14ac:dyDescent="0.25"/>
    <row r="161684" customFormat="1" x14ac:dyDescent="0.25"/>
    <row r="161685" customFormat="1" x14ac:dyDescent="0.25"/>
    <row r="161686" customFormat="1" x14ac:dyDescent="0.25"/>
    <row r="161687" customFormat="1" x14ac:dyDescent="0.25"/>
    <row r="161688" customFormat="1" x14ac:dyDescent="0.25"/>
    <row r="161689" customFormat="1" x14ac:dyDescent="0.25"/>
    <row r="161690" customFormat="1" x14ac:dyDescent="0.25"/>
    <row r="161691" customFormat="1" x14ac:dyDescent="0.25"/>
    <row r="161692" customFormat="1" x14ac:dyDescent="0.25"/>
    <row r="161693" customFormat="1" x14ac:dyDescent="0.25"/>
    <row r="161694" customFormat="1" x14ac:dyDescent="0.25"/>
    <row r="161695" customFormat="1" x14ac:dyDescent="0.25"/>
    <row r="161696" customFormat="1" x14ac:dyDescent="0.25"/>
    <row r="161697" customFormat="1" x14ac:dyDescent="0.25"/>
    <row r="161698" customFormat="1" x14ac:dyDescent="0.25"/>
    <row r="161699" customFormat="1" x14ac:dyDescent="0.25"/>
    <row r="161700" customFormat="1" x14ac:dyDescent="0.25"/>
    <row r="161701" customFormat="1" x14ac:dyDescent="0.25"/>
    <row r="161702" customFormat="1" x14ac:dyDescent="0.25"/>
    <row r="161703" customFormat="1" x14ac:dyDescent="0.25"/>
    <row r="161704" customFormat="1" x14ac:dyDescent="0.25"/>
    <row r="161705" customFormat="1" x14ac:dyDescent="0.25"/>
    <row r="161706" customFormat="1" x14ac:dyDescent="0.25"/>
    <row r="161707" customFormat="1" x14ac:dyDescent="0.25"/>
    <row r="161708" customFormat="1" x14ac:dyDescent="0.25"/>
    <row r="161709" customFormat="1" x14ac:dyDescent="0.25"/>
    <row r="161710" customFormat="1" x14ac:dyDescent="0.25"/>
    <row r="161711" customFormat="1" x14ac:dyDescent="0.25"/>
    <row r="161712" customFormat="1" x14ac:dyDescent="0.25"/>
    <row r="161713" customFormat="1" x14ac:dyDescent="0.25"/>
    <row r="161714" customFormat="1" x14ac:dyDescent="0.25"/>
    <row r="161715" customFormat="1" x14ac:dyDescent="0.25"/>
    <row r="161716" customFormat="1" x14ac:dyDescent="0.25"/>
    <row r="161717" customFormat="1" x14ac:dyDescent="0.25"/>
    <row r="161718" customFormat="1" x14ac:dyDescent="0.25"/>
    <row r="161719" customFormat="1" x14ac:dyDescent="0.25"/>
    <row r="161720" customFormat="1" x14ac:dyDescent="0.25"/>
    <row r="161721" customFormat="1" x14ac:dyDescent="0.25"/>
    <row r="161722" customFormat="1" x14ac:dyDescent="0.25"/>
    <row r="161723" customFormat="1" x14ac:dyDescent="0.25"/>
    <row r="161724" customFormat="1" x14ac:dyDescent="0.25"/>
    <row r="161725" customFormat="1" x14ac:dyDescent="0.25"/>
    <row r="161726" customFormat="1" x14ac:dyDescent="0.25"/>
    <row r="161727" customFormat="1" x14ac:dyDescent="0.25"/>
    <row r="161728" customFormat="1" x14ac:dyDescent="0.25"/>
    <row r="161729" customFormat="1" x14ac:dyDescent="0.25"/>
    <row r="161730" customFormat="1" x14ac:dyDescent="0.25"/>
    <row r="161731" customFormat="1" x14ac:dyDescent="0.25"/>
    <row r="161732" customFormat="1" x14ac:dyDescent="0.25"/>
    <row r="161733" customFormat="1" x14ac:dyDescent="0.25"/>
    <row r="161734" customFormat="1" x14ac:dyDescent="0.25"/>
    <row r="161735" customFormat="1" x14ac:dyDescent="0.25"/>
    <row r="161736" customFormat="1" x14ac:dyDescent="0.25"/>
    <row r="161737" customFormat="1" x14ac:dyDescent="0.25"/>
    <row r="161738" customFormat="1" x14ac:dyDescent="0.25"/>
    <row r="161739" customFormat="1" x14ac:dyDescent="0.25"/>
    <row r="161740" customFormat="1" x14ac:dyDescent="0.25"/>
    <row r="161741" customFormat="1" x14ac:dyDescent="0.25"/>
    <row r="161742" customFormat="1" x14ac:dyDescent="0.25"/>
    <row r="161743" customFormat="1" x14ac:dyDescent="0.25"/>
    <row r="161744" customFormat="1" x14ac:dyDescent="0.25"/>
    <row r="161745" customFormat="1" x14ac:dyDescent="0.25"/>
    <row r="161746" customFormat="1" x14ac:dyDescent="0.25"/>
    <row r="161747" customFormat="1" x14ac:dyDescent="0.25"/>
    <row r="161748" customFormat="1" x14ac:dyDescent="0.25"/>
    <row r="161749" customFormat="1" x14ac:dyDescent="0.25"/>
    <row r="161750" customFormat="1" x14ac:dyDescent="0.25"/>
    <row r="161751" customFormat="1" x14ac:dyDescent="0.25"/>
    <row r="161752" customFormat="1" x14ac:dyDescent="0.25"/>
    <row r="161753" customFormat="1" x14ac:dyDescent="0.25"/>
    <row r="161754" customFormat="1" x14ac:dyDescent="0.25"/>
    <row r="161755" customFormat="1" x14ac:dyDescent="0.25"/>
    <row r="161756" customFormat="1" x14ac:dyDescent="0.25"/>
    <row r="161757" customFormat="1" x14ac:dyDescent="0.25"/>
    <row r="161758" customFormat="1" x14ac:dyDescent="0.25"/>
    <row r="161759" customFormat="1" x14ac:dyDescent="0.25"/>
    <row r="161760" customFormat="1" x14ac:dyDescent="0.25"/>
    <row r="161761" customFormat="1" x14ac:dyDescent="0.25"/>
    <row r="161762" customFormat="1" x14ac:dyDescent="0.25"/>
    <row r="161763" customFormat="1" x14ac:dyDescent="0.25"/>
    <row r="161764" customFormat="1" x14ac:dyDescent="0.25"/>
    <row r="161765" customFormat="1" x14ac:dyDescent="0.25"/>
    <row r="161766" customFormat="1" x14ac:dyDescent="0.25"/>
    <row r="161767" customFormat="1" x14ac:dyDescent="0.25"/>
    <row r="161768" customFormat="1" x14ac:dyDescent="0.25"/>
    <row r="161769" customFormat="1" x14ac:dyDescent="0.25"/>
    <row r="161770" customFormat="1" x14ac:dyDescent="0.25"/>
    <row r="161771" customFormat="1" x14ac:dyDescent="0.25"/>
    <row r="161772" customFormat="1" x14ac:dyDescent="0.25"/>
    <row r="161773" customFormat="1" x14ac:dyDescent="0.25"/>
    <row r="161774" customFormat="1" x14ac:dyDescent="0.25"/>
    <row r="161775" customFormat="1" x14ac:dyDescent="0.25"/>
    <row r="161776" customFormat="1" x14ac:dyDescent="0.25"/>
    <row r="161777" customFormat="1" x14ac:dyDescent="0.25"/>
    <row r="161778" customFormat="1" x14ac:dyDescent="0.25"/>
    <row r="161779" customFormat="1" x14ac:dyDescent="0.25"/>
    <row r="161780" customFormat="1" x14ac:dyDescent="0.25"/>
    <row r="161781" customFormat="1" x14ac:dyDescent="0.25"/>
    <row r="161782" customFormat="1" x14ac:dyDescent="0.25"/>
    <row r="161783" customFormat="1" x14ac:dyDescent="0.25"/>
    <row r="161784" customFormat="1" x14ac:dyDescent="0.25"/>
    <row r="161785" customFormat="1" x14ac:dyDescent="0.25"/>
    <row r="161786" customFormat="1" x14ac:dyDescent="0.25"/>
    <row r="161787" customFormat="1" x14ac:dyDescent="0.25"/>
    <row r="161788" customFormat="1" x14ac:dyDescent="0.25"/>
    <row r="161789" customFormat="1" x14ac:dyDescent="0.25"/>
    <row r="161790" customFormat="1" x14ac:dyDescent="0.25"/>
    <row r="161791" customFormat="1" x14ac:dyDescent="0.25"/>
    <row r="161792" customFormat="1" x14ac:dyDescent="0.25"/>
    <row r="161793" customFormat="1" x14ac:dyDescent="0.25"/>
    <row r="161794" customFormat="1" x14ac:dyDescent="0.25"/>
    <row r="161795" customFormat="1" x14ac:dyDescent="0.25"/>
    <row r="161796" customFormat="1" x14ac:dyDescent="0.25"/>
    <row r="161797" customFormat="1" x14ac:dyDescent="0.25"/>
    <row r="161798" customFormat="1" x14ac:dyDescent="0.25"/>
    <row r="161799" customFormat="1" x14ac:dyDescent="0.25"/>
    <row r="161800" customFormat="1" x14ac:dyDescent="0.25"/>
    <row r="161801" customFormat="1" x14ac:dyDescent="0.25"/>
    <row r="161802" customFormat="1" x14ac:dyDescent="0.25"/>
    <row r="161803" customFormat="1" x14ac:dyDescent="0.25"/>
    <row r="161804" customFormat="1" x14ac:dyDescent="0.25"/>
    <row r="161805" customFormat="1" x14ac:dyDescent="0.25"/>
    <row r="161806" customFormat="1" x14ac:dyDescent="0.25"/>
    <row r="161807" customFormat="1" x14ac:dyDescent="0.25"/>
    <row r="161808" customFormat="1" x14ac:dyDescent="0.25"/>
    <row r="161809" customFormat="1" x14ac:dyDescent="0.25"/>
    <row r="161810" customFormat="1" x14ac:dyDescent="0.25"/>
    <row r="161811" customFormat="1" x14ac:dyDescent="0.25"/>
    <row r="161812" customFormat="1" x14ac:dyDescent="0.25"/>
    <row r="161813" customFormat="1" x14ac:dyDescent="0.25"/>
    <row r="161814" customFormat="1" x14ac:dyDescent="0.25"/>
    <row r="161815" customFormat="1" x14ac:dyDescent="0.25"/>
    <row r="161816" customFormat="1" x14ac:dyDescent="0.25"/>
    <row r="161817" customFormat="1" x14ac:dyDescent="0.25"/>
    <row r="161818" customFormat="1" x14ac:dyDescent="0.25"/>
    <row r="161819" customFormat="1" x14ac:dyDescent="0.25"/>
    <row r="161820" customFormat="1" x14ac:dyDescent="0.25"/>
    <row r="161821" customFormat="1" x14ac:dyDescent="0.25"/>
    <row r="161822" customFormat="1" x14ac:dyDescent="0.25"/>
    <row r="161823" customFormat="1" x14ac:dyDescent="0.25"/>
    <row r="161824" customFormat="1" x14ac:dyDescent="0.25"/>
    <row r="161825" customFormat="1" x14ac:dyDescent="0.25"/>
    <row r="161826" customFormat="1" x14ac:dyDescent="0.25"/>
    <row r="161827" customFormat="1" x14ac:dyDescent="0.25"/>
    <row r="161828" customFormat="1" x14ac:dyDescent="0.25"/>
    <row r="161829" customFormat="1" x14ac:dyDescent="0.25"/>
    <row r="161830" customFormat="1" x14ac:dyDescent="0.25"/>
    <row r="161831" customFormat="1" x14ac:dyDescent="0.25"/>
    <row r="161832" customFormat="1" x14ac:dyDescent="0.25"/>
    <row r="161833" customFormat="1" x14ac:dyDescent="0.25"/>
    <row r="161834" customFormat="1" x14ac:dyDescent="0.25"/>
    <row r="161835" customFormat="1" x14ac:dyDescent="0.25"/>
    <row r="161836" customFormat="1" x14ac:dyDescent="0.25"/>
    <row r="161837" customFormat="1" x14ac:dyDescent="0.25"/>
    <row r="161838" customFormat="1" x14ac:dyDescent="0.25"/>
    <row r="161839" customFormat="1" x14ac:dyDescent="0.25"/>
    <row r="161840" customFormat="1" x14ac:dyDescent="0.25"/>
    <row r="161841" customFormat="1" x14ac:dyDescent="0.25"/>
    <row r="161842" customFormat="1" x14ac:dyDescent="0.25"/>
    <row r="161843" customFormat="1" x14ac:dyDescent="0.25"/>
    <row r="161844" customFormat="1" x14ac:dyDescent="0.25"/>
    <row r="161845" customFormat="1" x14ac:dyDescent="0.25"/>
    <row r="161846" customFormat="1" x14ac:dyDescent="0.25"/>
    <row r="161847" customFormat="1" x14ac:dyDescent="0.25"/>
    <row r="161848" customFormat="1" x14ac:dyDescent="0.25"/>
    <row r="161849" customFormat="1" x14ac:dyDescent="0.25"/>
    <row r="161850" customFormat="1" x14ac:dyDescent="0.25"/>
    <row r="161851" customFormat="1" x14ac:dyDescent="0.25"/>
    <row r="161852" customFormat="1" x14ac:dyDescent="0.25"/>
    <row r="161853" customFormat="1" x14ac:dyDescent="0.25"/>
    <row r="161854" customFormat="1" x14ac:dyDescent="0.25"/>
    <row r="161855" customFormat="1" x14ac:dyDescent="0.25"/>
    <row r="161856" customFormat="1" x14ac:dyDescent="0.25"/>
    <row r="161857" customFormat="1" x14ac:dyDescent="0.25"/>
    <row r="161858" customFormat="1" x14ac:dyDescent="0.25"/>
    <row r="161859" customFormat="1" x14ac:dyDescent="0.25"/>
    <row r="161860" customFormat="1" x14ac:dyDescent="0.25"/>
    <row r="161861" customFormat="1" x14ac:dyDescent="0.25"/>
    <row r="161862" customFormat="1" x14ac:dyDescent="0.25"/>
    <row r="161863" customFormat="1" x14ac:dyDescent="0.25"/>
    <row r="161864" customFormat="1" x14ac:dyDescent="0.25"/>
    <row r="161865" customFormat="1" x14ac:dyDescent="0.25"/>
    <row r="161866" customFormat="1" x14ac:dyDescent="0.25"/>
    <row r="161867" customFormat="1" x14ac:dyDescent="0.25"/>
    <row r="161868" customFormat="1" x14ac:dyDescent="0.25"/>
    <row r="161869" customFormat="1" x14ac:dyDescent="0.25"/>
    <row r="161870" customFormat="1" x14ac:dyDescent="0.25"/>
    <row r="161871" customFormat="1" x14ac:dyDescent="0.25"/>
    <row r="161872" customFormat="1" x14ac:dyDescent="0.25"/>
    <row r="161873" customFormat="1" x14ac:dyDescent="0.25"/>
    <row r="161874" customFormat="1" x14ac:dyDescent="0.25"/>
    <row r="161875" customFormat="1" x14ac:dyDescent="0.25"/>
    <row r="161876" customFormat="1" x14ac:dyDescent="0.25"/>
    <row r="161877" customFormat="1" x14ac:dyDescent="0.25"/>
    <row r="161878" customFormat="1" x14ac:dyDescent="0.25"/>
    <row r="161879" customFormat="1" x14ac:dyDescent="0.25"/>
    <row r="161880" customFormat="1" x14ac:dyDescent="0.25"/>
    <row r="161881" customFormat="1" x14ac:dyDescent="0.25"/>
    <row r="161882" customFormat="1" x14ac:dyDescent="0.25"/>
    <row r="161883" customFormat="1" x14ac:dyDescent="0.25"/>
    <row r="161884" customFormat="1" x14ac:dyDescent="0.25"/>
    <row r="161885" customFormat="1" x14ac:dyDescent="0.25"/>
    <row r="161886" customFormat="1" x14ac:dyDescent="0.25"/>
    <row r="161887" customFormat="1" x14ac:dyDescent="0.25"/>
    <row r="161888" customFormat="1" x14ac:dyDescent="0.25"/>
    <row r="161889" customFormat="1" x14ac:dyDescent="0.25"/>
    <row r="161890" customFormat="1" x14ac:dyDescent="0.25"/>
    <row r="161891" customFormat="1" x14ac:dyDescent="0.25"/>
    <row r="161892" customFormat="1" x14ac:dyDescent="0.25"/>
    <row r="161893" customFormat="1" x14ac:dyDescent="0.25"/>
    <row r="161894" customFormat="1" x14ac:dyDescent="0.25"/>
    <row r="161895" customFormat="1" x14ac:dyDescent="0.25"/>
    <row r="161896" customFormat="1" x14ac:dyDescent="0.25"/>
    <row r="161897" customFormat="1" x14ac:dyDescent="0.25"/>
    <row r="161898" customFormat="1" x14ac:dyDescent="0.25"/>
    <row r="161899" customFormat="1" x14ac:dyDescent="0.25"/>
    <row r="161900" customFormat="1" x14ac:dyDescent="0.25"/>
    <row r="161901" customFormat="1" x14ac:dyDescent="0.25"/>
    <row r="161902" customFormat="1" x14ac:dyDescent="0.25"/>
    <row r="161903" customFormat="1" x14ac:dyDescent="0.25"/>
    <row r="161904" customFormat="1" x14ac:dyDescent="0.25"/>
    <row r="161905" customFormat="1" x14ac:dyDescent="0.25"/>
    <row r="161906" customFormat="1" x14ac:dyDescent="0.25"/>
    <row r="161907" customFormat="1" x14ac:dyDescent="0.25"/>
    <row r="161908" customFormat="1" x14ac:dyDescent="0.25"/>
    <row r="161909" customFormat="1" x14ac:dyDescent="0.25"/>
    <row r="161910" customFormat="1" x14ac:dyDescent="0.25"/>
    <row r="161911" customFormat="1" x14ac:dyDescent="0.25"/>
    <row r="161912" customFormat="1" x14ac:dyDescent="0.25"/>
    <row r="161913" customFormat="1" x14ac:dyDescent="0.25"/>
    <row r="161914" customFormat="1" x14ac:dyDescent="0.25"/>
    <row r="161915" customFormat="1" x14ac:dyDescent="0.25"/>
    <row r="161916" customFormat="1" x14ac:dyDescent="0.25"/>
    <row r="161917" customFormat="1" x14ac:dyDescent="0.25"/>
    <row r="161918" customFormat="1" x14ac:dyDescent="0.25"/>
    <row r="161919" customFormat="1" x14ac:dyDescent="0.25"/>
    <row r="161920" customFormat="1" x14ac:dyDescent="0.25"/>
    <row r="161921" customFormat="1" x14ac:dyDescent="0.25"/>
    <row r="161922" customFormat="1" x14ac:dyDescent="0.25"/>
    <row r="161923" customFormat="1" x14ac:dyDescent="0.25"/>
    <row r="161924" customFormat="1" x14ac:dyDescent="0.25"/>
    <row r="161925" customFormat="1" x14ac:dyDescent="0.25"/>
    <row r="161926" customFormat="1" x14ac:dyDescent="0.25"/>
    <row r="161927" customFormat="1" x14ac:dyDescent="0.25"/>
    <row r="161928" customFormat="1" x14ac:dyDescent="0.25"/>
    <row r="161929" customFormat="1" x14ac:dyDescent="0.25"/>
    <row r="161930" customFormat="1" x14ac:dyDescent="0.25"/>
    <row r="161931" customFormat="1" x14ac:dyDescent="0.25"/>
    <row r="161932" customFormat="1" x14ac:dyDescent="0.25"/>
    <row r="161933" customFormat="1" x14ac:dyDescent="0.25"/>
    <row r="161934" customFormat="1" x14ac:dyDescent="0.25"/>
    <row r="161935" customFormat="1" x14ac:dyDescent="0.25"/>
    <row r="161936" customFormat="1" x14ac:dyDescent="0.25"/>
    <row r="161937" customFormat="1" x14ac:dyDescent="0.25"/>
    <row r="161938" customFormat="1" x14ac:dyDescent="0.25"/>
    <row r="161939" customFormat="1" x14ac:dyDescent="0.25"/>
    <row r="161940" customFormat="1" x14ac:dyDescent="0.25"/>
    <row r="161941" customFormat="1" x14ac:dyDescent="0.25"/>
    <row r="161942" customFormat="1" x14ac:dyDescent="0.25"/>
    <row r="161943" customFormat="1" x14ac:dyDescent="0.25"/>
    <row r="161944" customFormat="1" x14ac:dyDescent="0.25"/>
    <row r="161945" customFormat="1" x14ac:dyDescent="0.25"/>
    <row r="161946" customFormat="1" x14ac:dyDescent="0.25"/>
    <row r="161947" customFormat="1" x14ac:dyDescent="0.25"/>
    <row r="161948" customFormat="1" x14ac:dyDescent="0.25"/>
    <row r="161949" customFormat="1" x14ac:dyDescent="0.25"/>
    <row r="161950" customFormat="1" x14ac:dyDescent="0.25"/>
    <row r="161951" customFormat="1" x14ac:dyDescent="0.25"/>
    <row r="161952" customFormat="1" x14ac:dyDescent="0.25"/>
    <row r="161953" customFormat="1" x14ac:dyDescent="0.25"/>
    <row r="161954" customFormat="1" x14ac:dyDescent="0.25"/>
    <row r="161955" customFormat="1" x14ac:dyDescent="0.25"/>
    <row r="161956" customFormat="1" x14ac:dyDescent="0.25"/>
    <row r="161957" customFormat="1" x14ac:dyDescent="0.25"/>
    <row r="161958" customFormat="1" x14ac:dyDescent="0.25"/>
    <row r="161959" customFormat="1" x14ac:dyDescent="0.25"/>
    <row r="161960" customFormat="1" x14ac:dyDescent="0.25"/>
    <row r="161961" customFormat="1" x14ac:dyDescent="0.25"/>
    <row r="161962" customFormat="1" x14ac:dyDescent="0.25"/>
    <row r="161963" customFormat="1" x14ac:dyDescent="0.25"/>
    <row r="161964" customFormat="1" x14ac:dyDescent="0.25"/>
    <row r="161965" customFormat="1" x14ac:dyDescent="0.25"/>
    <row r="161966" customFormat="1" x14ac:dyDescent="0.25"/>
    <row r="161967" customFormat="1" x14ac:dyDescent="0.25"/>
    <row r="161968" customFormat="1" x14ac:dyDescent="0.25"/>
    <row r="161969" customFormat="1" x14ac:dyDescent="0.25"/>
    <row r="161970" customFormat="1" x14ac:dyDescent="0.25"/>
    <row r="161971" customFormat="1" x14ac:dyDescent="0.25"/>
    <row r="161972" customFormat="1" x14ac:dyDescent="0.25"/>
    <row r="161973" customFormat="1" x14ac:dyDescent="0.25"/>
    <row r="161974" customFormat="1" x14ac:dyDescent="0.25"/>
    <row r="161975" customFormat="1" x14ac:dyDescent="0.25"/>
    <row r="161976" customFormat="1" x14ac:dyDescent="0.25"/>
    <row r="161977" customFormat="1" x14ac:dyDescent="0.25"/>
    <row r="161978" customFormat="1" x14ac:dyDescent="0.25"/>
    <row r="161979" customFormat="1" x14ac:dyDescent="0.25"/>
    <row r="161980" customFormat="1" x14ac:dyDescent="0.25"/>
    <row r="161981" customFormat="1" x14ac:dyDescent="0.25"/>
    <row r="161982" customFormat="1" x14ac:dyDescent="0.25"/>
    <row r="161983" customFormat="1" x14ac:dyDescent="0.25"/>
    <row r="161984" customFormat="1" x14ac:dyDescent="0.25"/>
    <row r="161985" customFormat="1" x14ac:dyDescent="0.25"/>
    <row r="161986" customFormat="1" x14ac:dyDescent="0.25"/>
    <row r="161987" customFormat="1" x14ac:dyDescent="0.25"/>
    <row r="161988" customFormat="1" x14ac:dyDescent="0.25"/>
    <row r="161989" customFormat="1" x14ac:dyDescent="0.25"/>
    <row r="161990" customFormat="1" x14ac:dyDescent="0.25"/>
    <row r="161991" customFormat="1" x14ac:dyDescent="0.25"/>
    <row r="161992" customFormat="1" x14ac:dyDescent="0.25"/>
    <row r="161993" customFormat="1" x14ac:dyDescent="0.25"/>
    <row r="161994" customFormat="1" x14ac:dyDescent="0.25"/>
    <row r="161995" customFormat="1" x14ac:dyDescent="0.25"/>
    <row r="161996" customFormat="1" x14ac:dyDescent="0.25"/>
    <row r="161997" customFormat="1" x14ac:dyDescent="0.25"/>
    <row r="161998" customFormat="1" x14ac:dyDescent="0.25"/>
    <row r="161999" customFormat="1" x14ac:dyDescent="0.25"/>
    <row r="162000" customFormat="1" x14ac:dyDescent="0.25"/>
    <row r="162001" customFormat="1" x14ac:dyDescent="0.25"/>
    <row r="162002" customFormat="1" x14ac:dyDescent="0.25"/>
    <row r="162003" customFormat="1" x14ac:dyDescent="0.25"/>
    <row r="162004" customFormat="1" x14ac:dyDescent="0.25"/>
    <row r="162005" customFormat="1" x14ac:dyDescent="0.25"/>
    <row r="162006" customFormat="1" x14ac:dyDescent="0.25"/>
    <row r="162007" customFormat="1" x14ac:dyDescent="0.25"/>
    <row r="162008" customFormat="1" x14ac:dyDescent="0.25"/>
    <row r="162009" customFormat="1" x14ac:dyDescent="0.25"/>
    <row r="162010" customFormat="1" x14ac:dyDescent="0.25"/>
    <row r="162011" customFormat="1" x14ac:dyDescent="0.25"/>
    <row r="162012" customFormat="1" x14ac:dyDescent="0.25"/>
    <row r="162013" customFormat="1" x14ac:dyDescent="0.25"/>
    <row r="162014" customFormat="1" x14ac:dyDescent="0.25"/>
    <row r="162015" customFormat="1" x14ac:dyDescent="0.25"/>
    <row r="162016" customFormat="1" x14ac:dyDescent="0.25"/>
    <row r="162017" customFormat="1" x14ac:dyDescent="0.25"/>
    <row r="162018" customFormat="1" x14ac:dyDescent="0.25"/>
    <row r="162019" customFormat="1" x14ac:dyDescent="0.25"/>
    <row r="162020" customFormat="1" x14ac:dyDescent="0.25"/>
    <row r="162021" customFormat="1" x14ac:dyDescent="0.25"/>
    <row r="162022" customFormat="1" x14ac:dyDescent="0.25"/>
    <row r="162023" customFormat="1" x14ac:dyDescent="0.25"/>
    <row r="162024" customFormat="1" x14ac:dyDescent="0.25"/>
    <row r="162025" customFormat="1" x14ac:dyDescent="0.25"/>
    <row r="162026" customFormat="1" x14ac:dyDescent="0.25"/>
    <row r="162027" customFormat="1" x14ac:dyDescent="0.25"/>
    <row r="162028" customFormat="1" x14ac:dyDescent="0.25"/>
    <row r="162029" customFormat="1" x14ac:dyDescent="0.25"/>
    <row r="162030" customFormat="1" x14ac:dyDescent="0.25"/>
    <row r="162031" customFormat="1" x14ac:dyDescent="0.25"/>
    <row r="162032" customFormat="1" x14ac:dyDescent="0.25"/>
    <row r="162033" customFormat="1" x14ac:dyDescent="0.25"/>
    <row r="162034" customFormat="1" x14ac:dyDescent="0.25"/>
    <row r="162035" customFormat="1" x14ac:dyDescent="0.25"/>
    <row r="162036" customFormat="1" x14ac:dyDescent="0.25"/>
    <row r="162037" customFormat="1" x14ac:dyDescent="0.25"/>
    <row r="162038" customFormat="1" x14ac:dyDescent="0.25"/>
    <row r="162039" customFormat="1" x14ac:dyDescent="0.25"/>
    <row r="162040" customFormat="1" x14ac:dyDescent="0.25"/>
    <row r="162041" customFormat="1" x14ac:dyDescent="0.25"/>
    <row r="162042" customFormat="1" x14ac:dyDescent="0.25"/>
    <row r="162043" customFormat="1" x14ac:dyDescent="0.25"/>
    <row r="162044" customFormat="1" x14ac:dyDescent="0.25"/>
    <row r="162045" customFormat="1" x14ac:dyDescent="0.25"/>
    <row r="162046" customFormat="1" x14ac:dyDescent="0.25"/>
    <row r="162047" customFormat="1" x14ac:dyDescent="0.25"/>
    <row r="162048" customFormat="1" x14ac:dyDescent="0.25"/>
    <row r="162049" customFormat="1" x14ac:dyDescent="0.25"/>
    <row r="162050" customFormat="1" x14ac:dyDescent="0.25"/>
    <row r="162051" customFormat="1" x14ac:dyDescent="0.25"/>
    <row r="162052" customFormat="1" x14ac:dyDescent="0.25"/>
    <row r="162053" customFormat="1" x14ac:dyDescent="0.25"/>
    <row r="162054" customFormat="1" x14ac:dyDescent="0.25"/>
    <row r="162055" customFormat="1" x14ac:dyDescent="0.25"/>
    <row r="162056" customFormat="1" x14ac:dyDescent="0.25"/>
    <row r="162057" customFormat="1" x14ac:dyDescent="0.25"/>
    <row r="162058" customFormat="1" x14ac:dyDescent="0.25"/>
    <row r="162059" customFormat="1" x14ac:dyDescent="0.25"/>
    <row r="162060" customFormat="1" x14ac:dyDescent="0.25"/>
    <row r="162061" customFormat="1" x14ac:dyDescent="0.25"/>
    <row r="162062" customFormat="1" x14ac:dyDescent="0.25"/>
    <row r="162063" customFormat="1" x14ac:dyDescent="0.25"/>
    <row r="162064" customFormat="1" x14ac:dyDescent="0.25"/>
    <row r="162065" customFormat="1" x14ac:dyDescent="0.25"/>
    <row r="162066" customFormat="1" x14ac:dyDescent="0.25"/>
    <row r="162067" customFormat="1" x14ac:dyDescent="0.25"/>
    <row r="162068" customFormat="1" x14ac:dyDescent="0.25"/>
    <row r="162069" customFormat="1" x14ac:dyDescent="0.25"/>
    <row r="162070" customFormat="1" x14ac:dyDescent="0.25"/>
    <row r="162071" customFormat="1" x14ac:dyDescent="0.25"/>
    <row r="162072" customFormat="1" x14ac:dyDescent="0.25"/>
    <row r="162073" customFormat="1" x14ac:dyDescent="0.25"/>
    <row r="162074" customFormat="1" x14ac:dyDescent="0.25"/>
    <row r="162075" customFormat="1" x14ac:dyDescent="0.25"/>
    <row r="162076" customFormat="1" x14ac:dyDescent="0.25"/>
    <row r="162077" customFormat="1" x14ac:dyDescent="0.25"/>
    <row r="162078" customFormat="1" x14ac:dyDescent="0.25"/>
    <row r="162079" customFormat="1" x14ac:dyDescent="0.25"/>
    <row r="162080" customFormat="1" x14ac:dyDescent="0.25"/>
    <row r="162081" customFormat="1" x14ac:dyDescent="0.25"/>
    <row r="162082" customFormat="1" x14ac:dyDescent="0.25"/>
    <row r="162083" customFormat="1" x14ac:dyDescent="0.25"/>
    <row r="162084" customFormat="1" x14ac:dyDescent="0.25"/>
    <row r="162085" customFormat="1" x14ac:dyDescent="0.25"/>
    <row r="162086" customFormat="1" x14ac:dyDescent="0.25"/>
    <row r="162087" customFormat="1" x14ac:dyDescent="0.25"/>
    <row r="162088" customFormat="1" x14ac:dyDescent="0.25"/>
    <row r="162089" customFormat="1" x14ac:dyDescent="0.25"/>
    <row r="162090" customFormat="1" x14ac:dyDescent="0.25"/>
    <row r="162091" customFormat="1" x14ac:dyDescent="0.25"/>
    <row r="162092" customFormat="1" x14ac:dyDescent="0.25"/>
    <row r="162093" customFormat="1" x14ac:dyDescent="0.25"/>
    <row r="162094" customFormat="1" x14ac:dyDescent="0.25"/>
    <row r="162095" customFormat="1" x14ac:dyDescent="0.25"/>
    <row r="162096" customFormat="1" x14ac:dyDescent="0.25"/>
    <row r="162097" customFormat="1" x14ac:dyDescent="0.25"/>
    <row r="162098" customFormat="1" x14ac:dyDescent="0.25"/>
    <row r="162099" customFormat="1" x14ac:dyDescent="0.25"/>
    <row r="162100" customFormat="1" x14ac:dyDescent="0.25"/>
    <row r="162101" customFormat="1" x14ac:dyDescent="0.25"/>
    <row r="162102" customFormat="1" x14ac:dyDescent="0.25"/>
    <row r="162103" customFormat="1" x14ac:dyDescent="0.25"/>
    <row r="162104" customFormat="1" x14ac:dyDescent="0.25"/>
    <row r="162105" customFormat="1" x14ac:dyDescent="0.25"/>
    <row r="162106" customFormat="1" x14ac:dyDescent="0.25"/>
    <row r="162107" customFormat="1" x14ac:dyDescent="0.25"/>
    <row r="162108" customFormat="1" x14ac:dyDescent="0.25"/>
    <row r="162109" customFormat="1" x14ac:dyDescent="0.25"/>
    <row r="162110" customFormat="1" x14ac:dyDescent="0.25"/>
    <row r="162111" customFormat="1" x14ac:dyDescent="0.25"/>
    <row r="162112" customFormat="1" x14ac:dyDescent="0.25"/>
    <row r="162113" customFormat="1" x14ac:dyDescent="0.25"/>
    <row r="162114" customFormat="1" x14ac:dyDescent="0.25"/>
    <row r="162115" customFormat="1" x14ac:dyDescent="0.25"/>
    <row r="162116" customFormat="1" x14ac:dyDescent="0.25"/>
    <row r="162117" customFormat="1" x14ac:dyDescent="0.25"/>
    <row r="162118" customFormat="1" x14ac:dyDescent="0.25"/>
    <row r="162119" customFormat="1" x14ac:dyDescent="0.25"/>
    <row r="162120" customFormat="1" x14ac:dyDescent="0.25"/>
    <row r="162121" customFormat="1" x14ac:dyDescent="0.25"/>
    <row r="162122" customFormat="1" x14ac:dyDescent="0.25"/>
    <row r="162123" customFormat="1" x14ac:dyDescent="0.25"/>
    <row r="162124" customFormat="1" x14ac:dyDescent="0.25"/>
    <row r="162125" customFormat="1" x14ac:dyDescent="0.25"/>
    <row r="162126" customFormat="1" x14ac:dyDescent="0.25"/>
    <row r="162127" customFormat="1" x14ac:dyDescent="0.25"/>
    <row r="162128" customFormat="1" x14ac:dyDescent="0.25"/>
    <row r="162129" customFormat="1" x14ac:dyDescent="0.25"/>
    <row r="162130" customFormat="1" x14ac:dyDescent="0.25"/>
    <row r="162131" customFormat="1" x14ac:dyDescent="0.25"/>
    <row r="162132" customFormat="1" x14ac:dyDescent="0.25"/>
    <row r="162133" customFormat="1" x14ac:dyDescent="0.25"/>
    <row r="162134" customFormat="1" x14ac:dyDescent="0.25"/>
    <row r="162135" customFormat="1" x14ac:dyDescent="0.25"/>
    <row r="162136" customFormat="1" x14ac:dyDescent="0.25"/>
    <row r="162137" customFormat="1" x14ac:dyDescent="0.25"/>
    <row r="162138" customFormat="1" x14ac:dyDescent="0.25"/>
    <row r="162139" customFormat="1" x14ac:dyDescent="0.25"/>
    <row r="162140" customFormat="1" x14ac:dyDescent="0.25"/>
    <row r="162141" customFormat="1" x14ac:dyDescent="0.25"/>
    <row r="162142" customFormat="1" x14ac:dyDescent="0.25"/>
    <row r="162143" customFormat="1" x14ac:dyDescent="0.25"/>
    <row r="162144" customFormat="1" x14ac:dyDescent="0.25"/>
    <row r="162145" customFormat="1" x14ac:dyDescent="0.25"/>
    <row r="162146" customFormat="1" x14ac:dyDescent="0.25"/>
    <row r="162147" customFormat="1" x14ac:dyDescent="0.25"/>
    <row r="162148" customFormat="1" x14ac:dyDescent="0.25"/>
    <row r="162149" customFormat="1" x14ac:dyDescent="0.25"/>
    <row r="162150" customFormat="1" x14ac:dyDescent="0.25"/>
    <row r="162151" customFormat="1" x14ac:dyDescent="0.25"/>
    <row r="162152" customFormat="1" x14ac:dyDescent="0.25"/>
    <row r="162153" customFormat="1" x14ac:dyDescent="0.25"/>
    <row r="162154" customFormat="1" x14ac:dyDescent="0.25"/>
    <row r="162155" customFormat="1" x14ac:dyDescent="0.25"/>
    <row r="162156" customFormat="1" x14ac:dyDescent="0.25"/>
    <row r="162157" customFormat="1" x14ac:dyDescent="0.25"/>
    <row r="162158" customFormat="1" x14ac:dyDescent="0.25"/>
    <row r="162159" customFormat="1" x14ac:dyDescent="0.25"/>
    <row r="162160" customFormat="1" x14ac:dyDescent="0.25"/>
    <row r="162161" customFormat="1" x14ac:dyDescent="0.25"/>
    <row r="162162" customFormat="1" x14ac:dyDescent="0.25"/>
    <row r="162163" customFormat="1" x14ac:dyDescent="0.25"/>
    <row r="162164" customFormat="1" x14ac:dyDescent="0.25"/>
    <row r="162165" customFormat="1" x14ac:dyDescent="0.25"/>
    <row r="162166" customFormat="1" x14ac:dyDescent="0.25"/>
    <row r="162167" customFormat="1" x14ac:dyDescent="0.25"/>
    <row r="162168" customFormat="1" x14ac:dyDescent="0.25"/>
    <row r="162169" customFormat="1" x14ac:dyDescent="0.25"/>
    <row r="162170" customFormat="1" x14ac:dyDescent="0.25"/>
    <row r="162171" customFormat="1" x14ac:dyDescent="0.25"/>
    <row r="162172" customFormat="1" x14ac:dyDescent="0.25"/>
    <row r="162173" customFormat="1" x14ac:dyDescent="0.25"/>
    <row r="162174" customFormat="1" x14ac:dyDescent="0.25"/>
    <row r="162175" customFormat="1" x14ac:dyDescent="0.25"/>
    <row r="162176" customFormat="1" x14ac:dyDescent="0.25"/>
    <row r="162177" customFormat="1" x14ac:dyDescent="0.25"/>
    <row r="162178" customFormat="1" x14ac:dyDescent="0.25"/>
    <row r="162179" customFormat="1" x14ac:dyDescent="0.25"/>
    <row r="162180" customFormat="1" x14ac:dyDescent="0.25"/>
    <row r="162181" customFormat="1" x14ac:dyDescent="0.25"/>
    <row r="162182" customFormat="1" x14ac:dyDescent="0.25"/>
    <row r="162183" customFormat="1" x14ac:dyDescent="0.25"/>
    <row r="162184" customFormat="1" x14ac:dyDescent="0.25"/>
    <row r="162185" customFormat="1" x14ac:dyDescent="0.25"/>
    <row r="162186" customFormat="1" x14ac:dyDescent="0.25"/>
    <row r="162187" customFormat="1" x14ac:dyDescent="0.25"/>
    <row r="162188" customFormat="1" x14ac:dyDescent="0.25"/>
    <row r="162189" customFormat="1" x14ac:dyDescent="0.25"/>
    <row r="162190" customFormat="1" x14ac:dyDescent="0.25"/>
    <row r="162191" customFormat="1" x14ac:dyDescent="0.25"/>
    <row r="162192" customFormat="1" x14ac:dyDescent="0.25"/>
    <row r="162193" customFormat="1" x14ac:dyDescent="0.25"/>
    <row r="162194" customFormat="1" x14ac:dyDescent="0.25"/>
    <row r="162195" customFormat="1" x14ac:dyDescent="0.25"/>
    <row r="162196" customFormat="1" x14ac:dyDescent="0.25"/>
    <row r="162197" customFormat="1" x14ac:dyDescent="0.25"/>
    <row r="162198" customFormat="1" x14ac:dyDescent="0.25"/>
    <row r="162199" customFormat="1" x14ac:dyDescent="0.25"/>
    <row r="162200" customFormat="1" x14ac:dyDescent="0.25"/>
    <row r="162201" customFormat="1" x14ac:dyDescent="0.25"/>
    <row r="162202" customFormat="1" x14ac:dyDescent="0.25"/>
    <row r="162203" customFormat="1" x14ac:dyDescent="0.25"/>
    <row r="162204" customFormat="1" x14ac:dyDescent="0.25"/>
    <row r="162205" customFormat="1" x14ac:dyDescent="0.25"/>
    <row r="162206" customFormat="1" x14ac:dyDescent="0.25"/>
    <row r="162207" customFormat="1" x14ac:dyDescent="0.25"/>
    <row r="162208" customFormat="1" x14ac:dyDescent="0.25"/>
    <row r="162209" customFormat="1" x14ac:dyDescent="0.25"/>
    <row r="162210" customFormat="1" x14ac:dyDescent="0.25"/>
    <row r="162211" customFormat="1" x14ac:dyDescent="0.25"/>
    <row r="162212" customFormat="1" x14ac:dyDescent="0.25"/>
    <row r="162213" customFormat="1" x14ac:dyDescent="0.25"/>
    <row r="162214" customFormat="1" x14ac:dyDescent="0.25"/>
    <row r="162215" customFormat="1" x14ac:dyDescent="0.25"/>
    <row r="162216" customFormat="1" x14ac:dyDescent="0.25"/>
    <row r="162217" customFormat="1" x14ac:dyDescent="0.25"/>
    <row r="162218" customFormat="1" x14ac:dyDescent="0.25"/>
    <row r="162219" customFormat="1" x14ac:dyDescent="0.25"/>
    <row r="162220" customFormat="1" x14ac:dyDescent="0.25"/>
    <row r="162221" customFormat="1" x14ac:dyDescent="0.25"/>
    <row r="162222" customFormat="1" x14ac:dyDescent="0.25"/>
    <row r="162223" customFormat="1" x14ac:dyDescent="0.25"/>
    <row r="162224" customFormat="1" x14ac:dyDescent="0.25"/>
    <row r="162225" customFormat="1" x14ac:dyDescent="0.25"/>
    <row r="162226" customFormat="1" x14ac:dyDescent="0.25"/>
    <row r="162227" customFormat="1" x14ac:dyDescent="0.25"/>
    <row r="162228" customFormat="1" x14ac:dyDescent="0.25"/>
    <row r="162229" customFormat="1" x14ac:dyDescent="0.25"/>
    <row r="162230" customFormat="1" x14ac:dyDescent="0.25"/>
    <row r="162231" customFormat="1" x14ac:dyDescent="0.25"/>
    <row r="162232" customFormat="1" x14ac:dyDescent="0.25"/>
    <row r="162233" customFormat="1" x14ac:dyDescent="0.25"/>
    <row r="162234" customFormat="1" x14ac:dyDescent="0.25"/>
    <row r="162235" customFormat="1" x14ac:dyDescent="0.25"/>
    <row r="162236" customFormat="1" x14ac:dyDescent="0.25"/>
    <row r="162237" customFormat="1" x14ac:dyDescent="0.25"/>
    <row r="162238" customFormat="1" x14ac:dyDescent="0.25"/>
    <row r="162239" customFormat="1" x14ac:dyDescent="0.25"/>
    <row r="162240" customFormat="1" x14ac:dyDescent="0.25"/>
    <row r="162241" customFormat="1" x14ac:dyDescent="0.25"/>
    <row r="162242" customFormat="1" x14ac:dyDescent="0.25"/>
    <row r="162243" customFormat="1" x14ac:dyDescent="0.25"/>
    <row r="162244" customFormat="1" x14ac:dyDescent="0.25"/>
    <row r="162245" customFormat="1" x14ac:dyDescent="0.25"/>
    <row r="162246" customFormat="1" x14ac:dyDescent="0.25"/>
    <row r="162247" customFormat="1" x14ac:dyDescent="0.25"/>
    <row r="162248" customFormat="1" x14ac:dyDescent="0.25"/>
    <row r="162249" customFormat="1" x14ac:dyDescent="0.25"/>
    <row r="162250" customFormat="1" x14ac:dyDescent="0.25"/>
    <row r="162251" customFormat="1" x14ac:dyDescent="0.25"/>
    <row r="162252" customFormat="1" x14ac:dyDescent="0.25"/>
    <row r="162253" customFormat="1" x14ac:dyDescent="0.25"/>
    <row r="162254" customFormat="1" x14ac:dyDescent="0.25"/>
    <row r="162255" customFormat="1" x14ac:dyDescent="0.25"/>
    <row r="162256" customFormat="1" x14ac:dyDescent="0.25"/>
    <row r="162257" customFormat="1" x14ac:dyDescent="0.25"/>
    <row r="162258" customFormat="1" x14ac:dyDescent="0.25"/>
    <row r="162259" customFormat="1" x14ac:dyDescent="0.25"/>
    <row r="162260" customFormat="1" x14ac:dyDescent="0.25"/>
    <row r="162261" customFormat="1" x14ac:dyDescent="0.25"/>
    <row r="162262" customFormat="1" x14ac:dyDescent="0.25"/>
    <row r="162263" customFormat="1" x14ac:dyDescent="0.25"/>
    <row r="162264" customFormat="1" x14ac:dyDescent="0.25"/>
    <row r="162265" customFormat="1" x14ac:dyDescent="0.25"/>
    <row r="162266" customFormat="1" x14ac:dyDescent="0.25"/>
    <row r="162267" customFormat="1" x14ac:dyDescent="0.25"/>
    <row r="162268" customFormat="1" x14ac:dyDescent="0.25"/>
    <row r="162269" customFormat="1" x14ac:dyDescent="0.25"/>
    <row r="162270" customFormat="1" x14ac:dyDescent="0.25"/>
    <row r="162271" customFormat="1" x14ac:dyDescent="0.25"/>
    <row r="162272" customFormat="1" x14ac:dyDescent="0.25"/>
    <row r="162273" customFormat="1" x14ac:dyDescent="0.25"/>
    <row r="162274" customFormat="1" x14ac:dyDescent="0.25"/>
    <row r="162275" customFormat="1" x14ac:dyDescent="0.25"/>
    <row r="162276" customFormat="1" x14ac:dyDescent="0.25"/>
    <row r="162277" customFormat="1" x14ac:dyDescent="0.25"/>
    <row r="162278" customFormat="1" x14ac:dyDescent="0.25"/>
    <row r="162279" customFormat="1" x14ac:dyDescent="0.25"/>
    <row r="162280" customFormat="1" x14ac:dyDescent="0.25"/>
    <row r="162281" customFormat="1" x14ac:dyDescent="0.25"/>
    <row r="162282" customFormat="1" x14ac:dyDescent="0.25"/>
    <row r="162283" customFormat="1" x14ac:dyDescent="0.25"/>
    <row r="162284" customFormat="1" x14ac:dyDescent="0.25"/>
    <row r="162285" customFormat="1" x14ac:dyDescent="0.25"/>
    <row r="162286" customFormat="1" x14ac:dyDescent="0.25"/>
    <row r="162287" customFormat="1" x14ac:dyDescent="0.25"/>
    <row r="162288" customFormat="1" x14ac:dyDescent="0.25"/>
    <row r="162289" customFormat="1" x14ac:dyDescent="0.25"/>
    <row r="162290" customFormat="1" x14ac:dyDescent="0.25"/>
    <row r="162291" customFormat="1" x14ac:dyDescent="0.25"/>
    <row r="162292" customFormat="1" x14ac:dyDescent="0.25"/>
    <row r="162293" customFormat="1" x14ac:dyDescent="0.25"/>
    <row r="162294" customFormat="1" x14ac:dyDescent="0.25"/>
    <row r="162295" customFormat="1" x14ac:dyDescent="0.25"/>
    <row r="162296" customFormat="1" x14ac:dyDescent="0.25"/>
    <row r="162297" customFormat="1" x14ac:dyDescent="0.25"/>
    <row r="162298" customFormat="1" x14ac:dyDescent="0.25"/>
    <row r="162299" customFormat="1" x14ac:dyDescent="0.25"/>
    <row r="162300" customFormat="1" x14ac:dyDescent="0.25"/>
    <row r="162301" customFormat="1" x14ac:dyDescent="0.25"/>
    <row r="162302" customFormat="1" x14ac:dyDescent="0.25"/>
    <row r="162303" customFormat="1" x14ac:dyDescent="0.25"/>
    <row r="162304" customFormat="1" x14ac:dyDescent="0.25"/>
    <row r="162305" customFormat="1" x14ac:dyDescent="0.25"/>
    <row r="162306" customFormat="1" x14ac:dyDescent="0.25"/>
    <row r="162307" customFormat="1" x14ac:dyDescent="0.25"/>
    <row r="162308" customFormat="1" x14ac:dyDescent="0.25"/>
    <row r="162309" customFormat="1" x14ac:dyDescent="0.25"/>
    <row r="162310" customFormat="1" x14ac:dyDescent="0.25"/>
    <row r="162311" customFormat="1" x14ac:dyDescent="0.25"/>
    <row r="162312" customFormat="1" x14ac:dyDescent="0.25"/>
    <row r="162313" customFormat="1" x14ac:dyDescent="0.25"/>
    <row r="162314" customFormat="1" x14ac:dyDescent="0.25"/>
    <row r="162315" customFormat="1" x14ac:dyDescent="0.25"/>
    <row r="162316" customFormat="1" x14ac:dyDescent="0.25"/>
    <row r="162317" customFormat="1" x14ac:dyDescent="0.25"/>
    <row r="162318" customFormat="1" x14ac:dyDescent="0.25"/>
    <row r="162319" customFormat="1" x14ac:dyDescent="0.25"/>
    <row r="162320" customFormat="1" x14ac:dyDescent="0.25"/>
    <row r="162321" customFormat="1" x14ac:dyDescent="0.25"/>
    <row r="162322" customFormat="1" x14ac:dyDescent="0.25"/>
    <row r="162323" customFormat="1" x14ac:dyDescent="0.25"/>
    <row r="162324" customFormat="1" x14ac:dyDescent="0.25"/>
    <row r="162325" customFormat="1" x14ac:dyDescent="0.25"/>
    <row r="162326" customFormat="1" x14ac:dyDescent="0.25"/>
    <row r="162327" customFormat="1" x14ac:dyDescent="0.25"/>
    <row r="162328" customFormat="1" x14ac:dyDescent="0.25"/>
    <row r="162329" customFormat="1" x14ac:dyDescent="0.25"/>
    <row r="162330" customFormat="1" x14ac:dyDescent="0.25"/>
    <row r="162331" customFormat="1" x14ac:dyDescent="0.25"/>
    <row r="162332" customFormat="1" x14ac:dyDescent="0.25"/>
    <row r="162333" customFormat="1" x14ac:dyDescent="0.25"/>
    <row r="162334" customFormat="1" x14ac:dyDescent="0.25"/>
    <row r="162335" customFormat="1" x14ac:dyDescent="0.25"/>
    <row r="162336" customFormat="1" x14ac:dyDescent="0.25"/>
    <row r="162337" customFormat="1" x14ac:dyDescent="0.25"/>
    <row r="162338" customFormat="1" x14ac:dyDescent="0.25"/>
    <row r="162339" customFormat="1" x14ac:dyDescent="0.25"/>
    <row r="162340" customFormat="1" x14ac:dyDescent="0.25"/>
    <row r="162341" customFormat="1" x14ac:dyDescent="0.25"/>
    <row r="162342" customFormat="1" x14ac:dyDescent="0.25"/>
    <row r="162343" customFormat="1" x14ac:dyDescent="0.25"/>
    <row r="162344" customFormat="1" x14ac:dyDescent="0.25"/>
    <row r="162345" customFormat="1" x14ac:dyDescent="0.25"/>
    <row r="162346" customFormat="1" x14ac:dyDescent="0.25"/>
    <row r="162347" customFormat="1" x14ac:dyDescent="0.25"/>
    <row r="162348" customFormat="1" x14ac:dyDescent="0.25"/>
    <row r="162349" customFormat="1" x14ac:dyDescent="0.25"/>
    <row r="162350" customFormat="1" x14ac:dyDescent="0.25"/>
    <row r="162351" customFormat="1" x14ac:dyDescent="0.25"/>
    <row r="162352" customFormat="1" x14ac:dyDescent="0.25"/>
    <row r="162353" customFormat="1" x14ac:dyDescent="0.25"/>
    <row r="162354" customFormat="1" x14ac:dyDescent="0.25"/>
    <row r="162355" customFormat="1" x14ac:dyDescent="0.25"/>
    <row r="162356" customFormat="1" x14ac:dyDescent="0.25"/>
    <row r="162357" customFormat="1" x14ac:dyDescent="0.25"/>
    <row r="162358" customFormat="1" x14ac:dyDescent="0.25"/>
    <row r="162359" customFormat="1" x14ac:dyDescent="0.25"/>
    <row r="162360" customFormat="1" x14ac:dyDescent="0.25"/>
    <row r="162361" customFormat="1" x14ac:dyDescent="0.25"/>
    <row r="162362" customFormat="1" x14ac:dyDescent="0.25"/>
    <row r="162363" customFormat="1" x14ac:dyDescent="0.25"/>
    <row r="162364" customFormat="1" x14ac:dyDescent="0.25"/>
    <row r="162365" customFormat="1" x14ac:dyDescent="0.25"/>
    <row r="162366" customFormat="1" x14ac:dyDescent="0.25"/>
    <row r="162367" customFormat="1" x14ac:dyDescent="0.25"/>
    <row r="162368" customFormat="1" x14ac:dyDescent="0.25"/>
    <row r="162369" customFormat="1" x14ac:dyDescent="0.25"/>
    <row r="162370" customFormat="1" x14ac:dyDescent="0.25"/>
    <row r="162371" customFormat="1" x14ac:dyDescent="0.25"/>
    <row r="162372" customFormat="1" x14ac:dyDescent="0.25"/>
    <row r="162373" customFormat="1" x14ac:dyDescent="0.25"/>
    <row r="162374" customFormat="1" x14ac:dyDescent="0.25"/>
    <row r="162375" customFormat="1" x14ac:dyDescent="0.25"/>
    <row r="162376" customFormat="1" x14ac:dyDescent="0.25"/>
    <row r="162377" customFormat="1" x14ac:dyDescent="0.25"/>
    <row r="162378" customFormat="1" x14ac:dyDescent="0.25"/>
    <row r="162379" customFormat="1" x14ac:dyDescent="0.25"/>
    <row r="162380" customFormat="1" x14ac:dyDescent="0.25"/>
    <row r="162381" customFormat="1" x14ac:dyDescent="0.25"/>
    <row r="162382" customFormat="1" x14ac:dyDescent="0.25"/>
    <row r="162383" customFormat="1" x14ac:dyDescent="0.25"/>
    <row r="162384" customFormat="1" x14ac:dyDescent="0.25"/>
    <row r="162385" customFormat="1" x14ac:dyDescent="0.25"/>
    <row r="162386" customFormat="1" x14ac:dyDescent="0.25"/>
    <row r="162387" customFormat="1" x14ac:dyDescent="0.25"/>
    <row r="162388" customFormat="1" x14ac:dyDescent="0.25"/>
    <row r="162389" customFormat="1" x14ac:dyDescent="0.25"/>
    <row r="162390" customFormat="1" x14ac:dyDescent="0.25"/>
    <row r="162391" customFormat="1" x14ac:dyDescent="0.25"/>
    <row r="162392" customFormat="1" x14ac:dyDescent="0.25"/>
    <row r="162393" customFormat="1" x14ac:dyDescent="0.25"/>
    <row r="162394" customFormat="1" x14ac:dyDescent="0.25"/>
    <row r="162395" customFormat="1" x14ac:dyDescent="0.25"/>
    <row r="162396" customFormat="1" x14ac:dyDescent="0.25"/>
    <row r="162397" customFormat="1" x14ac:dyDescent="0.25"/>
    <row r="162398" customFormat="1" x14ac:dyDescent="0.25"/>
    <row r="162399" customFormat="1" x14ac:dyDescent="0.25"/>
    <row r="162400" customFormat="1" x14ac:dyDescent="0.25"/>
    <row r="162401" customFormat="1" x14ac:dyDescent="0.25"/>
    <row r="162402" customFormat="1" x14ac:dyDescent="0.25"/>
    <row r="162403" customFormat="1" x14ac:dyDescent="0.25"/>
    <row r="162404" customFormat="1" x14ac:dyDescent="0.25"/>
    <row r="162405" customFormat="1" x14ac:dyDescent="0.25"/>
    <row r="162406" customFormat="1" x14ac:dyDescent="0.25"/>
    <row r="162407" customFormat="1" x14ac:dyDescent="0.25"/>
    <row r="162408" customFormat="1" x14ac:dyDescent="0.25"/>
    <row r="162409" customFormat="1" x14ac:dyDescent="0.25"/>
    <row r="162410" customFormat="1" x14ac:dyDescent="0.25"/>
    <row r="162411" customFormat="1" x14ac:dyDescent="0.25"/>
    <row r="162412" customFormat="1" x14ac:dyDescent="0.25"/>
    <row r="162413" customFormat="1" x14ac:dyDescent="0.25"/>
    <row r="162414" customFormat="1" x14ac:dyDescent="0.25"/>
    <row r="162415" customFormat="1" x14ac:dyDescent="0.25"/>
    <row r="162416" customFormat="1" x14ac:dyDescent="0.25"/>
    <row r="162417" customFormat="1" x14ac:dyDescent="0.25"/>
    <row r="162418" customFormat="1" x14ac:dyDescent="0.25"/>
    <row r="162419" customFormat="1" x14ac:dyDescent="0.25"/>
    <row r="162420" customFormat="1" x14ac:dyDescent="0.25"/>
    <row r="162421" customFormat="1" x14ac:dyDescent="0.25"/>
    <row r="162422" customFormat="1" x14ac:dyDescent="0.25"/>
    <row r="162423" customFormat="1" x14ac:dyDescent="0.25"/>
    <row r="162424" customFormat="1" x14ac:dyDescent="0.25"/>
    <row r="162425" customFormat="1" x14ac:dyDescent="0.25"/>
    <row r="162426" customFormat="1" x14ac:dyDescent="0.25"/>
    <row r="162427" customFormat="1" x14ac:dyDescent="0.25"/>
    <row r="162428" customFormat="1" x14ac:dyDescent="0.25"/>
    <row r="162429" customFormat="1" x14ac:dyDescent="0.25"/>
    <row r="162430" customFormat="1" x14ac:dyDescent="0.25"/>
    <row r="162431" customFormat="1" x14ac:dyDescent="0.25"/>
    <row r="162432" customFormat="1" x14ac:dyDescent="0.25"/>
    <row r="162433" customFormat="1" x14ac:dyDescent="0.25"/>
    <row r="162434" customFormat="1" x14ac:dyDescent="0.25"/>
    <row r="162435" customFormat="1" x14ac:dyDescent="0.25"/>
    <row r="162436" customFormat="1" x14ac:dyDescent="0.25"/>
    <row r="162437" customFormat="1" x14ac:dyDescent="0.25"/>
    <row r="162438" customFormat="1" x14ac:dyDescent="0.25"/>
    <row r="162439" customFormat="1" x14ac:dyDescent="0.25"/>
    <row r="162440" customFormat="1" x14ac:dyDescent="0.25"/>
    <row r="162441" customFormat="1" x14ac:dyDescent="0.25"/>
    <row r="162442" customFormat="1" x14ac:dyDescent="0.25"/>
    <row r="162443" customFormat="1" x14ac:dyDescent="0.25"/>
    <row r="162444" customFormat="1" x14ac:dyDescent="0.25"/>
    <row r="162445" customFormat="1" x14ac:dyDescent="0.25"/>
    <row r="162446" customFormat="1" x14ac:dyDescent="0.25"/>
    <row r="162447" customFormat="1" x14ac:dyDescent="0.25"/>
    <row r="162448" customFormat="1" x14ac:dyDescent="0.25"/>
    <row r="162449" customFormat="1" x14ac:dyDescent="0.25"/>
    <row r="162450" customFormat="1" x14ac:dyDescent="0.25"/>
    <row r="162451" customFormat="1" x14ac:dyDescent="0.25"/>
    <row r="162452" customFormat="1" x14ac:dyDescent="0.25"/>
    <row r="162453" customFormat="1" x14ac:dyDescent="0.25"/>
    <row r="162454" customFormat="1" x14ac:dyDescent="0.25"/>
    <row r="162455" customFormat="1" x14ac:dyDescent="0.25"/>
    <row r="162456" customFormat="1" x14ac:dyDescent="0.25"/>
    <row r="162457" customFormat="1" x14ac:dyDescent="0.25"/>
    <row r="162458" customFormat="1" x14ac:dyDescent="0.25"/>
    <row r="162459" customFormat="1" x14ac:dyDescent="0.25"/>
    <row r="162460" customFormat="1" x14ac:dyDescent="0.25"/>
    <row r="162461" customFormat="1" x14ac:dyDescent="0.25"/>
    <row r="162462" customFormat="1" x14ac:dyDescent="0.25"/>
    <row r="162463" customFormat="1" x14ac:dyDescent="0.25"/>
    <row r="162464" customFormat="1" x14ac:dyDescent="0.25"/>
    <row r="162465" customFormat="1" x14ac:dyDescent="0.25"/>
    <row r="162466" customFormat="1" x14ac:dyDescent="0.25"/>
    <row r="162467" customFormat="1" x14ac:dyDescent="0.25"/>
    <row r="162468" customFormat="1" x14ac:dyDescent="0.25"/>
    <row r="162469" customFormat="1" x14ac:dyDescent="0.25"/>
    <row r="162470" customFormat="1" x14ac:dyDescent="0.25"/>
    <row r="162471" customFormat="1" x14ac:dyDescent="0.25"/>
    <row r="162472" customFormat="1" x14ac:dyDescent="0.25"/>
    <row r="162473" customFormat="1" x14ac:dyDescent="0.25"/>
    <row r="162474" customFormat="1" x14ac:dyDescent="0.25"/>
    <row r="162475" customFormat="1" x14ac:dyDescent="0.25"/>
    <row r="162476" customFormat="1" x14ac:dyDescent="0.25"/>
    <row r="162477" customFormat="1" x14ac:dyDescent="0.25"/>
    <row r="162478" customFormat="1" x14ac:dyDescent="0.25"/>
    <row r="162479" customFormat="1" x14ac:dyDescent="0.25"/>
    <row r="162480" customFormat="1" x14ac:dyDescent="0.25"/>
    <row r="162481" customFormat="1" x14ac:dyDescent="0.25"/>
    <row r="162482" customFormat="1" x14ac:dyDescent="0.25"/>
    <row r="162483" customFormat="1" x14ac:dyDescent="0.25"/>
    <row r="162484" customFormat="1" x14ac:dyDescent="0.25"/>
    <row r="162485" customFormat="1" x14ac:dyDescent="0.25"/>
    <row r="162486" customFormat="1" x14ac:dyDescent="0.25"/>
    <row r="162487" customFormat="1" x14ac:dyDescent="0.25"/>
    <row r="162488" customFormat="1" x14ac:dyDescent="0.25"/>
    <row r="162489" customFormat="1" x14ac:dyDescent="0.25"/>
    <row r="162490" customFormat="1" x14ac:dyDescent="0.25"/>
    <row r="162491" customFormat="1" x14ac:dyDescent="0.25"/>
    <row r="162492" customFormat="1" x14ac:dyDescent="0.25"/>
    <row r="162493" customFormat="1" x14ac:dyDescent="0.25"/>
    <row r="162494" customFormat="1" x14ac:dyDescent="0.25"/>
    <row r="162495" customFormat="1" x14ac:dyDescent="0.25"/>
    <row r="162496" customFormat="1" x14ac:dyDescent="0.25"/>
    <row r="162497" customFormat="1" x14ac:dyDescent="0.25"/>
    <row r="162498" customFormat="1" x14ac:dyDescent="0.25"/>
    <row r="162499" customFormat="1" x14ac:dyDescent="0.25"/>
    <row r="162500" customFormat="1" x14ac:dyDescent="0.25"/>
    <row r="162501" customFormat="1" x14ac:dyDescent="0.25"/>
    <row r="162502" customFormat="1" x14ac:dyDescent="0.25"/>
    <row r="162503" customFormat="1" x14ac:dyDescent="0.25"/>
    <row r="162504" customFormat="1" x14ac:dyDescent="0.25"/>
    <row r="162505" customFormat="1" x14ac:dyDescent="0.25"/>
    <row r="162506" customFormat="1" x14ac:dyDescent="0.25"/>
    <row r="162507" customFormat="1" x14ac:dyDescent="0.25"/>
    <row r="162508" customFormat="1" x14ac:dyDescent="0.25"/>
    <row r="162509" customFormat="1" x14ac:dyDescent="0.25"/>
    <row r="162510" customFormat="1" x14ac:dyDescent="0.25"/>
    <row r="162511" customFormat="1" x14ac:dyDescent="0.25"/>
    <row r="162512" customFormat="1" x14ac:dyDescent="0.25"/>
    <row r="162513" customFormat="1" x14ac:dyDescent="0.25"/>
    <row r="162514" customFormat="1" x14ac:dyDescent="0.25"/>
    <row r="162515" customFormat="1" x14ac:dyDescent="0.25"/>
    <row r="162516" customFormat="1" x14ac:dyDescent="0.25"/>
    <row r="162517" customFormat="1" x14ac:dyDescent="0.25"/>
    <row r="162518" customFormat="1" x14ac:dyDescent="0.25"/>
    <row r="162519" customFormat="1" x14ac:dyDescent="0.25"/>
    <row r="162520" customFormat="1" x14ac:dyDescent="0.25"/>
    <row r="162521" customFormat="1" x14ac:dyDescent="0.25"/>
    <row r="162522" customFormat="1" x14ac:dyDescent="0.25"/>
    <row r="162523" customFormat="1" x14ac:dyDescent="0.25"/>
    <row r="162524" customFormat="1" x14ac:dyDescent="0.25"/>
    <row r="162525" customFormat="1" x14ac:dyDescent="0.25"/>
    <row r="162526" customFormat="1" x14ac:dyDescent="0.25"/>
    <row r="162527" customFormat="1" x14ac:dyDescent="0.25"/>
    <row r="162528" customFormat="1" x14ac:dyDescent="0.25"/>
    <row r="162529" customFormat="1" x14ac:dyDescent="0.25"/>
    <row r="162530" customFormat="1" x14ac:dyDescent="0.25"/>
    <row r="162531" customFormat="1" x14ac:dyDescent="0.25"/>
    <row r="162532" customFormat="1" x14ac:dyDescent="0.25"/>
    <row r="162533" customFormat="1" x14ac:dyDescent="0.25"/>
    <row r="162534" customFormat="1" x14ac:dyDescent="0.25"/>
    <row r="162535" customFormat="1" x14ac:dyDescent="0.25"/>
    <row r="162536" customFormat="1" x14ac:dyDescent="0.25"/>
    <row r="162537" customFormat="1" x14ac:dyDescent="0.25"/>
    <row r="162538" customFormat="1" x14ac:dyDescent="0.25"/>
    <row r="162539" customFormat="1" x14ac:dyDescent="0.25"/>
    <row r="162540" customFormat="1" x14ac:dyDescent="0.25"/>
    <row r="162541" customFormat="1" x14ac:dyDescent="0.25"/>
    <row r="162542" customFormat="1" x14ac:dyDescent="0.25"/>
    <row r="162543" customFormat="1" x14ac:dyDescent="0.25"/>
    <row r="162544" customFormat="1" x14ac:dyDescent="0.25"/>
    <row r="162545" customFormat="1" x14ac:dyDescent="0.25"/>
    <row r="162546" customFormat="1" x14ac:dyDescent="0.25"/>
    <row r="162547" customFormat="1" x14ac:dyDescent="0.25"/>
    <row r="162548" customFormat="1" x14ac:dyDescent="0.25"/>
    <row r="162549" customFormat="1" x14ac:dyDescent="0.25"/>
    <row r="162550" customFormat="1" x14ac:dyDescent="0.25"/>
    <row r="162551" customFormat="1" x14ac:dyDescent="0.25"/>
    <row r="162552" customFormat="1" x14ac:dyDescent="0.25"/>
    <row r="162553" customFormat="1" x14ac:dyDescent="0.25"/>
    <row r="162554" customFormat="1" x14ac:dyDescent="0.25"/>
    <row r="162555" customFormat="1" x14ac:dyDescent="0.25"/>
    <row r="162556" customFormat="1" x14ac:dyDescent="0.25"/>
    <row r="162557" customFormat="1" x14ac:dyDescent="0.25"/>
    <row r="162558" customFormat="1" x14ac:dyDescent="0.25"/>
    <row r="162559" customFormat="1" x14ac:dyDescent="0.25"/>
    <row r="162560" customFormat="1" x14ac:dyDescent="0.25"/>
    <row r="162561" customFormat="1" x14ac:dyDescent="0.25"/>
    <row r="162562" customFormat="1" x14ac:dyDescent="0.25"/>
    <row r="162563" customFormat="1" x14ac:dyDescent="0.25"/>
    <row r="162564" customFormat="1" x14ac:dyDescent="0.25"/>
    <row r="162565" customFormat="1" x14ac:dyDescent="0.25"/>
    <row r="162566" customFormat="1" x14ac:dyDescent="0.25"/>
    <row r="162567" customFormat="1" x14ac:dyDescent="0.25"/>
    <row r="162568" customFormat="1" x14ac:dyDescent="0.25"/>
    <row r="162569" customFormat="1" x14ac:dyDescent="0.25"/>
    <row r="162570" customFormat="1" x14ac:dyDescent="0.25"/>
    <row r="162571" customFormat="1" x14ac:dyDescent="0.25"/>
    <row r="162572" customFormat="1" x14ac:dyDescent="0.25"/>
    <row r="162573" customFormat="1" x14ac:dyDescent="0.25"/>
    <row r="162574" customFormat="1" x14ac:dyDescent="0.25"/>
    <row r="162575" customFormat="1" x14ac:dyDescent="0.25"/>
    <row r="162576" customFormat="1" x14ac:dyDescent="0.25"/>
    <row r="162577" customFormat="1" x14ac:dyDescent="0.25"/>
    <row r="162578" customFormat="1" x14ac:dyDescent="0.25"/>
    <row r="162579" customFormat="1" x14ac:dyDescent="0.25"/>
    <row r="162580" customFormat="1" x14ac:dyDescent="0.25"/>
    <row r="162581" customFormat="1" x14ac:dyDescent="0.25"/>
    <row r="162582" customFormat="1" x14ac:dyDescent="0.25"/>
    <row r="162583" customFormat="1" x14ac:dyDescent="0.25"/>
    <row r="162584" customFormat="1" x14ac:dyDescent="0.25"/>
    <row r="162585" customFormat="1" x14ac:dyDescent="0.25"/>
    <row r="162586" customFormat="1" x14ac:dyDescent="0.25"/>
    <row r="162587" customFormat="1" x14ac:dyDescent="0.25"/>
    <row r="162588" customFormat="1" x14ac:dyDescent="0.25"/>
    <row r="162589" customFormat="1" x14ac:dyDescent="0.25"/>
    <row r="162590" customFormat="1" x14ac:dyDescent="0.25"/>
    <row r="162591" customFormat="1" x14ac:dyDescent="0.25"/>
    <row r="162592" customFormat="1" x14ac:dyDescent="0.25"/>
    <row r="162593" customFormat="1" x14ac:dyDescent="0.25"/>
    <row r="162594" customFormat="1" x14ac:dyDescent="0.25"/>
    <row r="162595" customFormat="1" x14ac:dyDescent="0.25"/>
    <row r="162596" customFormat="1" x14ac:dyDescent="0.25"/>
    <row r="162597" customFormat="1" x14ac:dyDescent="0.25"/>
    <row r="162598" customFormat="1" x14ac:dyDescent="0.25"/>
    <row r="162599" customFormat="1" x14ac:dyDescent="0.25"/>
    <row r="162600" customFormat="1" x14ac:dyDescent="0.25"/>
    <row r="162601" customFormat="1" x14ac:dyDescent="0.25"/>
    <row r="162602" customFormat="1" x14ac:dyDescent="0.25"/>
    <row r="162603" customFormat="1" x14ac:dyDescent="0.25"/>
    <row r="162604" customFormat="1" x14ac:dyDescent="0.25"/>
    <row r="162605" customFormat="1" x14ac:dyDescent="0.25"/>
    <row r="162606" customFormat="1" x14ac:dyDescent="0.25"/>
    <row r="162607" customFormat="1" x14ac:dyDescent="0.25"/>
    <row r="162608" customFormat="1" x14ac:dyDescent="0.25"/>
    <row r="162609" customFormat="1" x14ac:dyDescent="0.25"/>
    <row r="162610" customFormat="1" x14ac:dyDescent="0.25"/>
    <row r="162611" customFormat="1" x14ac:dyDescent="0.25"/>
    <row r="162612" customFormat="1" x14ac:dyDescent="0.25"/>
    <row r="162613" customFormat="1" x14ac:dyDescent="0.25"/>
    <row r="162614" customFormat="1" x14ac:dyDescent="0.25"/>
    <row r="162615" customFormat="1" x14ac:dyDescent="0.25"/>
    <row r="162616" customFormat="1" x14ac:dyDescent="0.25"/>
    <row r="162617" customFormat="1" x14ac:dyDescent="0.25"/>
    <row r="162618" customFormat="1" x14ac:dyDescent="0.25"/>
    <row r="162619" customFormat="1" x14ac:dyDescent="0.25"/>
    <row r="162620" customFormat="1" x14ac:dyDescent="0.25"/>
    <row r="162621" customFormat="1" x14ac:dyDescent="0.25"/>
    <row r="162622" customFormat="1" x14ac:dyDescent="0.25"/>
    <row r="162623" customFormat="1" x14ac:dyDescent="0.25"/>
    <row r="162624" customFormat="1" x14ac:dyDescent="0.25"/>
    <row r="162625" customFormat="1" x14ac:dyDescent="0.25"/>
    <row r="162626" customFormat="1" x14ac:dyDescent="0.25"/>
    <row r="162627" customFormat="1" x14ac:dyDescent="0.25"/>
    <row r="162628" customFormat="1" x14ac:dyDescent="0.25"/>
    <row r="162629" customFormat="1" x14ac:dyDescent="0.25"/>
    <row r="162630" customFormat="1" x14ac:dyDescent="0.25"/>
    <row r="162631" customFormat="1" x14ac:dyDescent="0.25"/>
    <row r="162632" customFormat="1" x14ac:dyDescent="0.25"/>
    <row r="162633" customFormat="1" x14ac:dyDescent="0.25"/>
    <row r="162634" customFormat="1" x14ac:dyDescent="0.25"/>
    <row r="162635" customFormat="1" x14ac:dyDescent="0.25"/>
    <row r="162636" customFormat="1" x14ac:dyDescent="0.25"/>
    <row r="162637" customFormat="1" x14ac:dyDescent="0.25"/>
    <row r="162638" customFormat="1" x14ac:dyDescent="0.25"/>
    <row r="162639" customFormat="1" x14ac:dyDescent="0.25"/>
    <row r="162640" customFormat="1" x14ac:dyDescent="0.25"/>
    <row r="162641" customFormat="1" x14ac:dyDescent="0.25"/>
    <row r="162642" customFormat="1" x14ac:dyDescent="0.25"/>
    <row r="162643" customFormat="1" x14ac:dyDescent="0.25"/>
    <row r="162644" customFormat="1" x14ac:dyDescent="0.25"/>
    <row r="162645" customFormat="1" x14ac:dyDescent="0.25"/>
    <row r="162646" customFormat="1" x14ac:dyDescent="0.25"/>
    <row r="162647" customFormat="1" x14ac:dyDescent="0.25"/>
    <row r="162648" customFormat="1" x14ac:dyDescent="0.25"/>
    <row r="162649" customFormat="1" x14ac:dyDescent="0.25"/>
    <row r="162650" customFormat="1" x14ac:dyDescent="0.25"/>
    <row r="162651" customFormat="1" x14ac:dyDescent="0.25"/>
    <row r="162652" customFormat="1" x14ac:dyDescent="0.25"/>
    <row r="162653" customFormat="1" x14ac:dyDescent="0.25"/>
    <row r="162654" customFormat="1" x14ac:dyDescent="0.25"/>
    <row r="162655" customFormat="1" x14ac:dyDescent="0.25"/>
    <row r="162656" customFormat="1" x14ac:dyDescent="0.25"/>
    <row r="162657" customFormat="1" x14ac:dyDescent="0.25"/>
    <row r="162658" customFormat="1" x14ac:dyDescent="0.25"/>
    <row r="162659" customFormat="1" x14ac:dyDescent="0.25"/>
    <row r="162660" customFormat="1" x14ac:dyDescent="0.25"/>
    <row r="162661" customFormat="1" x14ac:dyDescent="0.25"/>
    <row r="162662" customFormat="1" x14ac:dyDescent="0.25"/>
    <row r="162663" customFormat="1" x14ac:dyDescent="0.25"/>
    <row r="162664" customFormat="1" x14ac:dyDescent="0.25"/>
    <row r="162665" customFormat="1" x14ac:dyDescent="0.25"/>
    <row r="162666" customFormat="1" x14ac:dyDescent="0.25"/>
    <row r="162667" customFormat="1" x14ac:dyDescent="0.25"/>
    <row r="162668" customFormat="1" x14ac:dyDescent="0.25"/>
    <row r="162669" customFormat="1" x14ac:dyDescent="0.25"/>
    <row r="162670" customFormat="1" x14ac:dyDescent="0.25"/>
    <row r="162671" customFormat="1" x14ac:dyDescent="0.25"/>
    <row r="162672" customFormat="1" x14ac:dyDescent="0.25"/>
    <row r="162673" customFormat="1" x14ac:dyDescent="0.25"/>
    <row r="162674" customFormat="1" x14ac:dyDescent="0.25"/>
    <row r="162675" customFormat="1" x14ac:dyDescent="0.25"/>
    <row r="162676" customFormat="1" x14ac:dyDescent="0.25"/>
    <row r="162677" customFormat="1" x14ac:dyDescent="0.25"/>
    <row r="162678" customFormat="1" x14ac:dyDescent="0.25"/>
    <row r="162679" customFormat="1" x14ac:dyDescent="0.25"/>
    <row r="162680" customFormat="1" x14ac:dyDescent="0.25"/>
    <row r="162681" customFormat="1" x14ac:dyDescent="0.25"/>
    <row r="162682" customFormat="1" x14ac:dyDescent="0.25"/>
    <row r="162683" customFormat="1" x14ac:dyDescent="0.25"/>
    <row r="162684" customFormat="1" x14ac:dyDescent="0.25"/>
    <row r="162685" customFormat="1" x14ac:dyDescent="0.25"/>
    <row r="162686" customFormat="1" x14ac:dyDescent="0.25"/>
    <row r="162687" customFormat="1" x14ac:dyDescent="0.25"/>
    <row r="162688" customFormat="1" x14ac:dyDescent="0.25"/>
    <row r="162689" customFormat="1" x14ac:dyDescent="0.25"/>
    <row r="162690" customFormat="1" x14ac:dyDescent="0.25"/>
    <row r="162691" customFormat="1" x14ac:dyDescent="0.25"/>
    <row r="162692" customFormat="1" x14ac:dyDescent="0.25"/>
    <row r="162693" customFormat="1" x14ac:dyDescent="0.25"/>
    <row r="162694" customFormat="1" x14ac:dyDescent="0.25"/>
    <row r="162695" customFormat="1" x14ac:dyDescent="0.25"/>
    <row r="162696" customFormat="1" x14ac:dyDescent="0.25"/>
    <row r="162697" customFormat="1" x14ac:dyDescent="0.25"/>
    <row r="162698" customFormat="1" x14ac:dyDescent="0.25"/>
    <row r="162699" customFormat="1" x14ac:dyDescent="0.25"/>
    <row r="162700" customFormat="1" x14ac:dyDescent="0.25"/>
    <row r="162701" customFormat="1" x14ac:dyDescent="0.25"/>
    <row r="162702" customFormat="1" x14ac:dyDescent="0.25"/>
    <row r="162703" customFormat="1" x14ac:dyDescent="0.25"/>
    <row r="162704" customFormat="1" x14ac:dyDescent="0.25"/>
    <row r="162705" customFormat="1" x14ac:dyDescent="0.25"/>
    <row r="162706" customFormat="1" x14ac:dyDescent="0.25"/>
    <row r="162707" customFormat="1" x14ac:dyDescent="0.25"/>
    <row r="162708" customFormat="1" x14ac:dyDescent="0.25"/>
    <row r="162709" customFormat="1" x14ac:dyDescent="0.25"/>
    <row r="162710" customFormat="1" x14ac:dyDescent="0.25"/>
    <row r="162711" customFormat="1" x14ac:dyDescent="0.25"/>
    <row r="162712" customFormat="1" x14ac:dyDescent="0.25"/>
    <row r="162713" customFormat="1" x14ac:dyDescent="0.25"/>
    <row r="162714" customFormat="1" x14ac:dyDescent="0.25"/>
    <row r="162715" customFormat="1" x14ac:dyDescent="0.25"/>
    <row r="162716" customFormat="1" x14ac:dyDescent="0.25"/>
    <row r="162717" customFormat="1" x14ac:dyDescent="0.25"/>
    <row r="162718" customFormat="1" x14ac:dyDescent="0.25"/>
    <row r="162719" customFormat="1" x14ac:dyDescent="0.25"/>
    <row r="162720" customFormat="1" x14ac:dyDescent="0.25"/>
    <row r="162721" customFormat="1" x14ac:dyDescent="0.25"/>
    <row r="162722" customFormat="1" x14ac:dyDescent="0.25"/>
    <row r="162723" customFormat="1" x14ac:dyDescent="0.25"/>
    <row r="162724" customFormat="1" x14ac:dyDescent="0.25"/>
    <row r="162725" customFormat="1" x14ac:dyDescent="0.25"/>
    <row r="162726" customFormat="1" x14ac:dyDescent="0.25"/>
    <row r="162727" customFormat="1" x14ac:dyDescent="0.25"/>
    <row r="162728" customFormat="1" x14ac:dyDescent="0.25"/>
    <row r="162729" customFormat="1" x14ac:dyDescent="0.25"/>
    <row r="162730" customFormat="1" x14ac:dyDescent="0.25"/>
    <row r="162731" customFormat="1" x14ac:dyDescent="0.25"/>
    <row r="162732" customFormat="1" x14ac:dyDescent="0.25"/>
    <row r="162733" customFormat="1" x14ac:dyDescent="0.25"/>
    <row r="162734" customFormat="1" x14ac:dyDescent="0.25"/>
    <row r="162735" customFormat="1" x14ac:dyDescent="0.25"/>
    <row r="162736" customFormat="1" x14ac:dyDescent="0.25"/>
    <row r="162737" customFormat="1" x14ac:dyDescent="0.25"/>
    <row r="162738" customFormat="1" x14ac:dyDescent="0.25"/>
    <row r="162739" customFormat="1" x14ac:dyDescent="0.25"/>
    <row r="162740" customFormat="1" x14ac:dyDescent="0.25"/>
    <row r="162741" customFormat="1" x14ac:dyDescent="0.25"/>
    <row r="162742" customFormat="1" x14ac:dyDescent="0.25"/>
    <row r="162743" customFormat="1" x14ac:dyDescent="0.25"/>
    <row r="162744" customFormat="1" x14ac:dyDescent="0.25"/>
    <row r="162745" customFormat="1" x14ac:dyDescent="0.25"/>
    <row r="162746" customFormat="1" x14ac:dyDescent="0.25"/>
    <row r="162747" customFormat="1" x14ac:dyDescent="0.25"/>
    <row r="162748" customFormat="1" x14ac:dyDescent="0.25"/>
    <row r="162749" customFormat="1" x14ac:dyDescent="0.25"/>
    <row r="162750" customFormat="1" x14ac:dyDescent="0.25"/>
    <row r="162751" customFormat="1" x14ac:dyDescent="0.25"/>
    <row r="162752" customFormat="1" x14ac:dyDescent="0.25"/>
    <row r="162753" customFormat="1" x14ac:dyDescent="0.25"/>
    <row r="162754" customFormat="1" x14ac:dyDescent="0.25"/>
    <row r="162755" customFormat="1" x14ac:dyDescent="0.25"/>
    <row r="162756" customFormat="1" x14ac:dyDescent="0.25"/>
    <row r="162757" customFormat="1" x14ac:dyDescent="0.25"/>
    <row r="162758" customFormat="1" x14ac:dyDescent="0.25"/>
    <row r="162759" customFormat="1" x14ac:dyDescent="0.25"/>
    <row r="162760" customFormat="1" x14ac:dyDescent="0.25"/>
    <row r="162761" customFormat="1" x14ac:dyDescent="0.25"/>
    <row r="162762" customFormat="1" x14ac:dyDescent="0.25"/>
    <row r="162763" customFormat="1" x14ac:dyDescent="0.25"/>
    <row r="162764" customFormat="1" x14ac:dyDescent="0.25"/>
    <row r="162765" customFormat="1" x14ac:dyDescent="0.25"/>
    <row r="162766" customFormat="1" x14ac:dyDescent="0.25"/>
    <row r="162767" customFormat="1" x14ac:dyDescent="0.25"/>
    <row r="162768" customFormat="1" x14ac:dyDescent="0.25"/>
    <row r="162769" customFormat="1" x14ac:dyDescent="0.25"/>
    <row r="162770" customFormat="1" x14ac:dyDescent="0.25"/>
    <row r="162771" customFormat="1" x14ac:dyDescent="0.25"/>
    <row r="162772" customFormat="1" x14ac:dyDescent="0.25"/>
    <row r="162773" customFormat="1" x14ac:dyDescent="0.25"/>
    <row r="162774" customFormat="1" x14ac:dyDescent="0.25"/>
    <row r="162775" customFormat="1" x14ac:dyDescent="0.25"/>
    <row r="162776" customFormat="1" x14ac:dyDescent="0.25"/>
    <row r="162777" customFormat="1" x14ac:dyDescent="0.25"/>
    <row r="162778" customFormat="1" x14ac:dyDescent="0.25"/>
    <row r="162779" customFormat="1" x14ac:dyDescent="0.25"/>
    <row r="162780" customFormat="1" x14ac:dyDescent="0.25"/>
    <row r="162781" customFormat="1" x14ac:dyDescent="0.25"/>
    <row r="162782" customFormat="1" x14ac:dyDescent="0.25"/>
    <row r="162783" customFormat="1" x14ac:dyDescent="0.25"/>
    <row r="162784" customFormat="1" x14ac:dyDescent="0.25"/>
    <row r="162785" customFormat="1" x14ac:dyDescent="0.25"/>
    <row r="162786" customFormat="1" x14ac:dyDescent="0.25"/>
    <row r="162787" customFormat="1" x14ac:dyDescent="0.25"/>
    <row r="162788" customFormat="1" x14ac:dyDescent="0.25"/>
    <row r="162789" customFormat="1" x14ac:dyDescent="0.25"/>
    <row r="162790" customFormat="1" x14ac:dyDescent="0.25"/>
    <row r="162791" customFormat="1" x14ac:dyDescent="0.25"/>
    <row r="162792" customFormat="1" x14ac:dyDescent="0.25"/>
    <row r="162793" customFormat="1" x14ac:dyDescent="0.25"/>
    <row r="162794" customFormat="1" x14ac:dyDescent="0.25"/>
    <row r="162795" customFormat="1" x14ac:dyDescent="0.25"/>
    <row r="162796" customFormat="1" x14ac:dyDescent="0.25"/>
    <row r="162797" customFormat="1" x14ac:dyDescent="0.25"/>
    <row r="162798" customFormat="1" x14ac:dyDescent="0.25"/>
    <row r="162799" customFormat="1" x14ac:dyDescent="0.25"/>
    <row r="162800" customFormat="1" x14ac:dyDescent="0.25"/>
    <row r="162801" customFormat="1" x14ac:dyDescent="0.25"/>
    <row r="162802" customFormat="1" x14ac:dyDescent="0.25"/>
    <row r="162803" customFormat="1" x14ac:dyDescent="0.25"/>
    <row r="162804" customFormat="1" x14ac:dyDescent="0.25"/>
    <row r="162805" customFormat="1" x14ac:dyDescent="0.25"/>
    <row r="162806" customFormat="1" x14ac:dyDescent="0.25"/>
    <row r="162807" customFormat="1" x14ac:dyDescent="0.25"/>
    <row r="162808" customFormat="1" x14ac:dyDescent="0.25"/>
    <row r="162809" customFormat="1" x14ac:dyDescent="0.25"/>
    <row r="162810" customFormat="1" x14ac:dyDescent="0.25"/>
    <row r="162811" customFormat="1" x14ac:dyDescent="0.25"/>
    <row r="162812" customFormat="1" x14ac:dyDescent="0.25"/>
    <row r="162813" customFormat="1" x14ac:dyDescent="0.25"/>
    <row r="162814" customFormat="1" x14ac:dyDescent="0.25"/>
    <row r="162815" customFormat="1" x14ac:dyDescent="0.25"/>
    <row r="162816" customFormat="1" x14ac:dyDescent="0.25"/>
    <row r="162817" customFormat="1" x14ac:dyDescent="0.25"/>
    <row r="162818" customFormat="1" x14ac:dyDescent="0.25"/>
    <row r="162819" customFormat="1" x14ac:dyDescent="0.25"/>
    <row r="162820" customFormat="1" x14ac:dyDescent="0.25"/>
    <row r="162821" customFormat="1" x14ac:dyDescent="0.25"/>
    <row r="162822" customFormat="1" x14ac:dyDescent="0.25"/>
    <row r="162823" customFormat="1" x14ac:dyDescent="0.25"/>
    <row r="162824" customFormat="1" x14ac:dyDescent="0.25"/>
    <row r="162825" customFormat="1" x14ac:dyDescent="0.25"/>
    <row r="162826" customFormat="1" x14ac:dyDescent="0.25"/>
    <row r="162827" customFormat="1" x14ac:dyDescent="0.25"/>
    <row r="162828" customFormat="1" x14ac:dyDescent="0.25"/>
    <row r="162829" customFormat="1" x14ac:dyDescent="0.25"/>
    <row r="162830" customFormat="1" x14ac:dyDescent="0.25"/>
    <row r="162831" customFormat="1" x14ac:dyDescent="0.25"/>
    <row r="162832" customFormat="1" x14ac:dyDescent="0.25"/>
    <row r="162833" customFormat="1" x14ac:dyDescent="0.25"/>
    <row r="162834" customFormat="1" x14ac:dyDescent="0.25"/>
    <row r="162835" customFormat="1" x14ac:dyDescent="0.25"/>
    <row r="162836" customFormat="1" x14ac:dyDescent="0.25"/>
    <row r="162837" customFormat="1" x14ac:dyDescent="0.25"/>
    <row r="162838" customFormat="1" x14ac:dyDescent="0.25"/>
    <row r="162839" customFormat="1" x14ac:dyDescent="0.25"/>
    <row r="162840" customFormat="1" x14ac:dyDescent="0.25"/>
    <row r="162841" customFormat="1" x14ac:dyDescent="0.25"/>
    <row r="162842" customFormat="1" x14ac:dyDescent="0.25"/>
    <row r="162843" customFormat="1" x14ac:dyDescent="0.25"/>
    <row r="162844" customFormat="1" x14ac:dyDescent="0.25"/>
    <row r="162845" customFormat="1" x14ac:dyDescent="0.25"/>
    <row r="162846" customFormat="1" x14ac:dyDescent="0.25"/>
    <row r="162847" customFormat="1" x14ac:dyDescent="0.25"/>
    <row r="162848" customFormat="1" x14ac:dyDescent="0.25"/>
    <row r="162849" customFormat="1" x14ac:dyDescent="0.25"/>
    <row r="162850" customFormat="1" x14ac:dyDescent="0.25"/>
    <row r="162851" customFormat="1" x14ac:dyDescent="0.25"/>
    <row r="162852" customFormat="1" x14ac:dyDescent="0.25"/>
    <row r="162853" customFormat="1" x14ac:dyDescent="0.25"/>
    <row r="162854" customFormat="1" x14ac:dyDescent="0.25"/>
    <row r="162855" customFormat="1" x14ac:dyDescent="0.25"/>
    <row r="162856" customFormat="1" x14ac:dyDescent="0.25"/>
    <row r="162857" customFormat="1" x14ac:dyDescent="0.25"/>
    <row r="162858" customFormat="1" x14ac:dyDescent="0.25"/>
    <row r="162859" customFormat="1" x14ac:dyDescent="0.25"/>
    <row r="162860" customFormat="1" x14ac:dyDescent="0.25"/>
    <row r="162861" customFormat="1" x14ac:dyDescent="0.25"/>
    <row r="162862" customFormat="1" x14ac:dyDescent="0.25"/>
    <row r="162863" customFormat="1" x14ac:dyDescent="0.25"/>
    <row r="162864" customFormat="1" x14ac:dyDescent="0.25"/>
    <row r="162865" customFormat="1" x14ac:dyDescent="0.25"/>
    <row r="162866" customFormat="1" x14ac:dyDescent="0.25"/>
    <row r="162867" customFormat="1" x14ac:dyDescent="0.25"/>
    <row r="162868" customFormat="1" x14ac:dyDescent="0.25"/>
    <row r="162869" customFormat="1" x14ac:dyDescent="0.25"/>
    <row r="162870" customFormat="1" x14ac:dyDescent="0.25"/>
    <row r="162871" customFormat="1" x14ac:dyDescent="0.25"/>
    <row r="162872" customFormat="1" x14ac:dyDescent="0.25"/>
    <row r="162873" customFormat="1" x14ac:dyDescent="0.25"/>
    <row r="162874" customFormat="1" x14ac:dyDescent="0.25"/>
    <row r="162875" customFormat="1" x14ac:dyDescent="0.25"/>
    <row r="162876" customFormat="1" x14ac:dyDescent="0.25"/>
    <row r="162877" customFormat="1" x14ac:dyDescent="0.25"/>
    <row r="162878" customFormat="1" x14ac:dyDescent="0.25"/>
    <row r="162879" customFormat="1" x14ac:dyDescent="0.25"/>
    <row r="162880" customFormat="1" x14ac:dyDescent="0.25"/>
    <row r="162881" customFormat="1" x14ac:dyDescent="0.25"/>
    <row r="162882" customFormat="1" x14ac:dyDescent="0.25"/>
    <row r="162883" customFormat="1" x14ac:dyDescent="0.25"/>
    <row r="162884" customFormat="1" x14ac:dyDescent="0.25"/>
    <row r="162885" customFormat="1" x14ac:dyDescent="0.25"/>
    <row r="162886" customFormat="1" x14ac:dyDescent="0.25"/>
    <row r="162887" customFormat="1" x14ac:dyDescent="0.25"/>
    <row r="162888" customFormat="1" x14ac:dyDescent="0.25"/>
    <row r="162889" customFormat="1" x14ac:dyDescent="0.25"/>
    <row r="162890" customFormat="1" x14ac:dyDescent="0.25"/>
    <row r="162891" customFormat="1" x14ac:dyDescent="0.25"/>
    <row r="162892" customFormat="1" x14ac:dyDescent="0.25"/>
    <row r="162893" customFormat="1" x14ac:dyDescent="0.25"/>
    <row r="162894" customFormat="1" x14ac:dyDescent="0.25"/>
    <row r="162895" customFormat="1" x14ac:dyDescent="0.25"/>
    <row r="162896" customFormat="1" x14ac:dyDescent="0.25"/>
    <row r="162897" customFormat="1" x14ac:dyDescent="0.25"/>
    <row r="162898" customFormat="1" x14ac:dyDescent="0.25"/>
    <row r="162899" customFormat="1" x14ac:dyDescent="0.25"/>
    <row r="162900" customFormat="1" x14ac:dyDescent="0.25"/>
    <row r="162901" customFormat="1" x14ac:dyDescent="0.25"/>
    <row r="162902" customFormat="1" x14ac:dyDescent="0.25"/>
    <row r="162903" customFormat="1" x14ac:dyDescent="0.25"/>
    <row r="162904" customFormat="1" x14ac:dyDescent="0.25"/>
    <row r="162905" customFormat="1" x14ac:dyDescent="0.25"/>
    <row r="162906" customFormat="1" x14ac:dyDescent="0.25"/>
    <row r="162907" customFormat="1" x14ac:dyDescent="0.25"/>
    <row r="162908" customFormat="1" x14ac:dyDescent="0.25"/>
    <row r="162909" customFormat="1" x14ac:dyDescent="0.25"/>
    <row r="162910" customFormat="1" x14ac:dyDescent="0.25"/>
    <row r="162911" customFormat="1" x14ac:dyDescent="0.25"/>
    <row r="162912" customFormat="1" x14ac:dyDescent="0.25"/>
    <row r="162913" customFormat="1" x14ac:dyDescent="0.25"/>
    <row r="162914" customFormat="1" x14ac:dyDescent="0.25"/>
    <row r="162915" customFormat="1" x14ac:dyDescent="0.25"/>
    <row r="162916" customFormat="1" x14ac:dyDescent="0.25"/>
    <row r="162917" customFormat="1" x14ac:dyDescent="0.25"/>
    <row r="162918" customFormat="1" x14ac:dyDescent="0.25"/>
    <row r="162919" customFormat="1" x14ac:dyDescent="0.25"/>
    <row r="162920" customFormat="1" x14ac:dyDescent="0.25"/>
    <row r="162921" customFormat="1" x14ac:dyDescent="0.25"/>
    <row r="162922" customFormat="1" x14ac:dyDescent="0.25"/>
    <row r="162923" customFormat="1" x14ac:dyDescent="0.25"/>
    <row r="162924" customFormat="1" x14ac:dyDescent="0.25"/>
    <row r="162925" customFormat="1" x14ac:dyDescent="0.25"/>
    <row r="162926" customFormat="1" x14ac:dyDescent="0.25"/>
    <row r="162927" customFormat="1" x14ac:dyDescent="0.25"/>
    <row r="162928" customFormat="1" x14ac:dyDescent="0.25"/>
    <row r="162929" customFormat="1" x14ac:dyDescent="0.25"/>
    <row r="162930" customFormat="1" x14ac:dyDescent="0.25"/>
    <row r="162931" customFormat="1" x14ac:dyDescent="0.25"/>
    <row r="162932" customFormat="1" x14ac:dyDescent="0.25"/>
    <row r="162933" customFormat="1" x14ac:dyDescent="0.25"/>
    <row r="162934" customFormat="1" x14ac:dyDescent="0.25"/>
    <row r="162935" customFormat="1" x14ac:dyDescent="0.25"/>
    <row r="162936" customFormat="1" x14ac:dyDescent="0.25"/>
    <row r="162937" customFormat="1" x14ac:dyDescent="0.25"/>
    <row r="162938" customFormat="1" x14ac:dyDescent="0.25"/>
    <row r="162939" customFormat="1" x14ac:dyDescent="0.25"/>
    <row r="162940" customFormat="1" x14ac:dyDescent="0.25"/>
    <row r="162941" customFormat="1" x14ac:dyDescent="0.25"/>
    <row r="162942" customFormat="1" x14ac:dyDescent="0.25"/>
    <row r="162943" customFormat="1" x14ac:dyDescent="0.25"/>
    <row r="162944" customFormat="1" x14ac:dyDescent="0.25"/>
    <row r="162945" customFormat="1" x14ac:dyDescent="0.25"/>
    <row r="162946" customFormat="1" x14ac:dyDescent="0.25"/>
    <row r="162947" customFormat="1" x14ac:dyDescent="0.25"/>
    <row r="162948" customFormat="1" x14ac:dyDescent="0.25"/>
    <row r="162949" customFormat="1" x14ac:dyDescent="0.25"/>
    <row r="162950" customFormat="1" x14ac:dyDescent="0.25"/>
    <row r="162951" customFormat="1" x14ac:dyDescent="0.25"/>
    <row r="162952" customFormat="1" x14ac:dyDescent="0.25"/>
    <row r="162953" customFormat="1" x14ac:dyDescent="0.25"/>
    <row r="162954" customFormat="1" x14ac:dyDescent="0.25"/>
    <row r="162955" customFormat="1" x14ac:dyDescent="0.25"/>
    <row r="162956" customFormat="1" x14ac:dyDescent="0.25"/>
    <row r="162957" customFormat="1" x14ac:dyDescent="0.25"/>
    <row r="162958" customFormat="1" x14ac:dyDescent="0.25"/>
    <row r="162959" customFormat="1" x14ac:dyDescent="0.25"/>
    <row r="162960" customFormat="1" x14ac:dyDescent="0.25"/>
    <row r="162961" customFormat="1" x14ac:dyDescent="0.25"/>
    <row r="162962" customFormat="1" x14ac:dyDescent="0.25"/>
    <row r="162963" customFormat="1" x14ac:dyDescent="0.25"/>
    <row r="162964" customFormat="1" x14ac:dyDescent="0.25"/>
    <row r="162965" customFormat="1" x14ac:dyDescent="0.25"/>
    <row r="162966" customFormat="1" x14ac:dyDescent="0.25"/>
    <row r="162967" customFormat="1" x14ac:dyDescent="0.25"/>
    <row r="162968" customFormat="1" x14ac:dyDescent="0.25"/>
    <row r="162969" customFormat="1" x14ac:dyDescent="0.25"/>
    <row r="162970" customFormat="1" x14ac:dyDescent="0.25"/>
    <row r="162971" customFormat="1" x14ac:dyDescent="0.25"/>
    <row r="162972" customFormat="1" x14ac:dyDescent="0.25"/>
    <row r="162973" customFormat="1" x14ac:dyDescent="0.25"/>
    <row r="162974" customFormat="1" x14ac:dyDescent="0.25"/>
    <row r="162975" customFormat="1" x14ac:dyDescent="0.25"/>
    <row r="162976" customFormat="1" x14ac:dyDescent="0.25"/>
    <row r="162977" customFormat="1" x14ac:dyDescent="0.25"/>
    <row r="162978" customFormat="1" x14ac:dyDescent="0.25"/>
    <row r="162979" customFormat="1" x14ac:dyDescent="0.25"/>
    <row r="162980" customFormat="1" x14ac:dyDescent="0.25"/>
    <row r="162981" customFormat="1" x14ac:dyDescent="0.25"/>
    <row r="162982" customFormat="1" x14ac:dyDescent="0.25"/>
    <row r="162983" customFormat="1" x14ac:dyDescent="0.25"/>
    <row r="162984" customFormat="1" x14ac:dyDescent="0.25"/>
    <row r="162985" customFormat="1" x14ac:dyDescent="0.25"/>
    <row r="162986" customFormat="1" x14ac:dyDescent="0.25"/>
    <row r="162987" customFormat="1" x14ac:dyDescent="0.25"/>
    <row r="162988" customFormat="1" x14ac:dyDescent="0.25"/>
    <row r="162989" customFormat="1" x14ac:dyDescent="0.25"/>
    <row r="162990" customFormat="1" x14ac:dyDescent="0.25"/>
    <row r="162991" customFormat="1" x14ac:dyDescent="0.25"/>
    <row r="162992" customFormat="1" x14ac:dyDescent="0.25"/>
    <row r="162993" customFormat="1" x14ac:dyDescent="0.25"/>
    <row r="162994" customFormat="1" x14ac:dyDescent="0.25"/>
    <row r="162995" customFormat="1" x14ac:dyDescent="0.25"/>
    <row r="162996" customFormat="1" x14ac:dyDescent="0.25"/>
    <row r="162997" customFormat="1" x14ac:dyDescent="0.25"/>
    <row r="162998" customFormat="1" x14ac:dyDescent="0.25"/>
    <row r="162999" customFormat="1" x14ac:dyDescent="0.25"/>
    <row r="163000" customFormat="1" x14ac:dyDescent="0.25"/>
    <row r="163001" customFormat="1" x14ac:dyDescent="0.25"/>
    <row r="163002" customFormat="1" x14ac:dyDescent="0.25"/>
    <row r="163003" customFormat="1" x14ac:dyDescent="0.25"/>
    <row r="163004" customFormat="1" x14ac:dyDescent="0.25"/>
    <row r="163005" customFormat="1" x14ac:dyDescent="0.25"/>
    <row r="163006" customFormat="1" x14ac:dyDescent="0.25"/>
    <row r="163007" customFormat="1" x14ac:dyDescent="0.25"/>
    <row r="163008" customFormat="1" x14ac:dyDescent="0.25"/>
    <row r="163009" customFormat="1" x14ac:dyDescent="0.25"/>
    <row r="163010" customFormat="1" x14ac:dyDescent="0.25"/>
    <row r="163011" customFormat="1" x14ac:dyDescent="0.25"/>
    <row r="163012" customFormat="1" x14ac:dyDescent="0.25"/>
    <row r="163013" customFormat="1" x14ac:dyDescent="0.25"/>
    <row r="163014" customFormat="1" x14ac:dyDescent="0.25"/>
    <row r="163015" customFormat="1" x14ac:dyDescent="0.25"/>
    <row r="163016" customFormat="1" x14ac:dyDescent="0.25"/>
    <row r="163017" customFormat="1" x14ac:dyDescent="0.25"/>
    <row r="163018" customFormat="1" x14ac:dyDescent="0.25"/>
    <row r="163019" customFormat="1" x14ac:dyDescent="0.25"/>
    <row r="163020" customFormat="1" x14ac:dyDescent="0.25"/>
    <row r="163021" customFormat="1" x14ac:dyDescent="0.25"/>
    <row r="163022" customFormat="1" x14ac:dyDescent="0.25"/>
    <row r="163023" customFormat="1" x14ac:dyDescent="0.25"/>
    <row r="163024" customFormat="1" x14ac:dyDescent="0.25"/>
    <row r="163025" customFormat="1" x14ac:dyDescent="0.25"/>
    <row r="163026" customFormat="1" x14ac:dyDescent="0.25"/>
    <row r="163027" customFormat="1" x14ac:dyDescent="0.25"/>
    <row r="163028" customFormat="1" x14ac:dyDescent="0.25"/>
    <row r="163029" customFormat="1" x14ac:dyDescent="0.25"/>
    <row r="163030" customFormat="1" x14ac:dyDescent="0.25"/>
    <row r="163031" customFormat="1" x14ac:dyDescent="0.25"/>
    <row r="163032" customFormat="1" x14ac:dyDescent="0.25"/>
    <row r="163033" customFormat="1" x14ac:dyDescent="0.25"/>
    <row r="163034" customFormat="1" x14ac:dyDescent="0.25"/>
    <row r="163035" customFormat="1" x14ac:dyDescent="0.25"/>
    <row r="163036" customFormat="1" x14ac:dyDescent="0.25"/>
    <row r="163037" customFormat="1" x14ac:dyDescent="0.25"/>
    <row r="163038" customFormat="1" x14ac:dyDescent="0.25"/>
    <row r="163039" customFormat="1" x14ac:dyDescent="0.25"/>
    <row r="163040" customFormat="1" x14ac:dyDescent="0.25"/>
    <row r="163041" customFormat="1" x14ac:dyDescent="0.25"/>
    <row r="163042" customFormat="1" x14ac:dyDescent="0.25"/>
    <row r="163043" customFormat="1" x14ac:dyDescent="0.25"/>
    <row r="163044" customFormat="1" x14ac:dyDescent="0.25"/>
    <row r="163045" customFormat="1" x14ac:dyDescent="0.25"/>
    <row r="163046" customFormat="1" x14ac:dyDescent="0.25"/>
    <row r="163047" customFormat="1" x14ac:dyDescent="0.25"/>
    <row r="163048" customFormat="1" x14ac:dyDescent="0.25"/>
    <row r="163049" customFormat="1" x14ac:dyDescent="0.25"/>
    <row r="163050" customFormat="1" x14ac:dyDescent="0.25"/>
    <row r="163051" customFormat="1" x14ac:dyDescent="0.25"/>
    <row r="163052" customFormat="1" x14ac:dyDescent="0.25"/>
    <row r="163053" customFormat="1" x14ac:dyDescent="0.25"/>
    <row r="163054" customFormat="1" x14ac:dyDescent="0.25"/>
    <row r="163055" customFormat="1" x14ac:dyDescent="0.25"/>
    <row r="163056" customFormat="1" x14ac:dyDescent="0.25"/>
    <row r="163057" customFormat="1" x14ac:dyDescent="0.25"/>
    <row r="163058" customFormat="1" x14ac:dyDescent="0.25"/>
    <row r="163059" customFormat="1" x14ac:dyDescent="0.25"/>
    <row r="163060" customFormat="1" x14ac:dyDescent="0.25"/>
    <row r="163061" customFormat="1" x14ac:dyDescent="0.25"/>
    <row r="163062" customFormat="1" x14ac:dyDescent="0.25"/>
    <row r="163063" customFormat="1" x14ac:dyDescent="0.25"/>
    <row r="163064" customFormat="1" x14ac:dyDescent="0.25"/>
    <row r="163065" customFormat="1" x14ac:dyDescent="0.25"/>
    <row r="163066" customFormat="1" x14ac:dyDescent="0.25"/>
    <row r="163067" customFormat="1" x14ac:dyDescent="0.25"/>
    <row r="163068" customFormat="1" x14ac:dyDescent="0.25"/>
    <row r="163069" customFormat="1" x14ac:dyDescent="0.25"/>
    <row r="163070" customFormat="1" x14ac:dyDescent="0.25"/>
    <row r="163071" customFormat="1" x14ac:dyDescent="0.25"/>
    <row r="163072" customFormat="1" x14ac:dyDescent="0.25"/>
    <row r="163073" customFormat="1" x14ac:dyDescent="0.25"/>
    <row r="163074" customFormat="1" x14ac:dyDescent="0.25"/>
    <row r="163075" customFormat="1" x14ac:dyDescent="0.25"/>
    <row r="163076" customFormat="1" x14ac:dyDescent="0.25"/>
    <row r="163077" customFormat="1" x14ac:dyDescent="0.25"/>
    <row r="163078" customFormat="1" x14ac:dyDescent="0.25"/>
    <row r="163079" customFormat="1" x14ac:dyDescent="0.25"/>
    <row r="163080" customFormat="1" x14ac:dyDescent="0.25"/>
    <row r="163081" customFormat="1" x14ac:dyDescent="0.25"/>
    <row r="163082" customFormat="1" x14ac:dyDescent="0.25"/>
    <row r="163083" customFormat="1" x14ac:dyDescent="0.25"/>
    <row r="163084" customFormat="1" x14ac:dyDescent="0.25"/>
    <row r="163085" customFormat="1" x14ac:dyDescent="0.25"/>
    <row r="163086" customFormat="1" x14ac:dyDescent="0.25"/>
    <row r="163087" customFormat="1" x14ac:dyDescent="0.25"/>
    <row r="163088" customFormat="1" x14ac:dyDescent="0.25"/>
    <row r="163089" customFormat="1" x14ac:dyDescent="0.25"/>
    <row r="163090" customFormat="1" x14ac:dyDescent="0.25"/>
    <row r="163091" customFormat="1" x14ac:dyDescent="0.25"/>
    <row r="163092" customFormat="1" x14ac:dyDescent="0.25"/>
    <row r="163093" customFormat="1" x14ac:dyDescent="0.25"/>
    <row r="163094" customFormat="1" x14ac:dyDescent="0.25"/>
    <row r="163095" customFormat="1" x14ac:dyDescent="0.25"/>
    <row r="163096" customFormat="1" x14ac:dyDescent="0.25"/>
    <row r="163097" customFormat="1" x14ac:dyDescent="0.25"/>
    <row r="163098" customFormat="1" x14ac:dyDescent="0.25"/>
    <row r="163099" customFormat="1" x14ac:dyDescent="0.25"/>
    <row r="163100" customFormat="1" x14ac:dyDescent="0.25"/>
    <row r="163101" customFormat="1" x14ac:dyDescent="0.25"/>
    <row r="163102" customFormat="1" x14ac:dyDescent="0.25"/>
    <row r="163103" customFormat="1" x14ac:dyDescent="0.25"/>
    <row r="163104" customFormat="1" x14ac:dyDescent="0.25"/>
    <row r="163105" customFormat="1" x14ac:dyDescent="0.25"/>
    <row r="163106" customFormat="1" x14ac:dyDescent="0.25"/>
    <row r="163107" customFormat="1" x14ac:dyDescent="0.25"/>
    <row r="163108" customFormat="1" x14ac:dyDescent="0.25"/>
    <row r="163109" customFormat="1" x14ac:dyDescent="0.25"/>
    <row r="163110" customFormat="1" x14ac:dyDescent="0.25"/>
    <row r="163111" customFormat="1" x14ac:dyDescent="0.25"/>
    <row r="163112" customFormat="1" x14ac:dyDescent="0.25"/>
    <row r="163113" customFormat="1" x14ac:dyDescent="0.25"/>
    <row r="163114" customFormat="1" x14ac:dyDescent="0.25"/>
    <row r="163115" customFormat="1" x14ac:dyDescent="0.25"/>
    <row r="163116" customFormat="1" x14ac:dyDescent="0.25"/>
    <row r="163117" customFormat="1" x14ac:dyDescent="0.25"/>
    <row r="163118" customFormat="1" x14ac:dyDescent="0.25"/>
    <row r="163119" customFormat="1" x14ac:dyDescent="0.25"/>
    <row r="163120" customFormat="1" x14ac:dyDescent="0.25"/>
    <row r="163121" customFormat="1" x14ac:dyDescent="0.25"/>
    <row r="163122" customFormat="1" x14ac:dyDescent="0.25"/>
    <row r="163123" customFormat="1" x14ac:dyDescent="0.25"/>
    <row r="163124" customFormat="1" x14ac:dyDescent="0.25"/>
    <row r="163125" customFormat="1" x14ac:dyDescent="0.25"/>
    <row r="163126" customFormat="1" x14ac:dyDescent="0.25"/>
    <row r="163127" customFormat="1" x14ac:dyDescent="0.25"/>
    <row r="163128" customFormat="1" x14ac:dyDescent="0.25"/>
    <row r="163129" customFormat="1" x14ac:dyDescent="0.25"/>
    <row r="163130" customFormat="1" x14ac:dyDescent="0.25"/>
    <row r="163131" customFormat="1" x14ac:dyDescent="0.25"/>
    <row r="163132" customFormat="1" x14ac:dyDescent="0.25"/>
    <row r="163133" customFormat="1" x14ac:dyDescent="0.25"/>
    <row r="163134" customFormat="1" x14ac:dyDescent="0.25"/>
    <row r="163135" customFormat="1" x14ac:dyDescent="0.25"/>
    <row r="163136" customFormat="1" x14ac:dyDescent="0.25"/>
    <row r="163137" customFormat="1" x14ac:dyDescent="0.25"/>
    <row r="163138" customFormat="1" x14ac:dyDescent="0.25"/>
    <row r="163139" customFormat="1" x14ac:dyDescent="0.25"/>
    <row r="163140" customFormat="1" x14ac:dyDescent="0.25"/>
    <row r="163141" customFormat="1" x14ac:dyDescent="0.25"/>
    <row r="163142" customFormat="1" x14ac:dyDescent="0.25"/>
    <row r="163143" customFormat="1" x14ac:dyDescent="0.25"/>
    <row r="163144" customFormat="1" x14ac:dyDescent="0.25"/>
    <row r="163145" customFormat="1" x14ac:dyDescent="0.25"/>
    <row r="163146" customFormat="1" x14ac:dyDescent="0.25"/>
    <row r="163147" customFormat="1" x14ac:dyDescent="0.25"/>
    <row r="163148" customFormat="1" x14ac:dyDescent="0.25"/>
    <row r="163149" customFormat="1" x14ac:dyDescent="0.25"/>
    <row r="163150" customFormat="1" x14ac:dyDescent="0.25"/>
    <row r="163151" customFormat="1" x14ac:dyDescent="0.25"/>
    <row r="163152" customFormat="1" x14ac:dyDescent="0.25"/>
    <row r="163153" customFormat="1" x14ac:dyDescent="0.25"/>
    <row r="163154" customFormat="1" x14ac:dyDescent="0.25"/>
    <row r="163155" customFormat="1" x14ac:dyDescent="0.25"/>
    <row r="163156" customFormat="1" x14ac:dyDescent="0.25"/>
    <row r="163157" customFormat="1" x14ac:dyDescent="0.25"/>
    <row r="163158" customFormat="1" x14ac:dyDescent="0.25"/>
    <row r="163159" customFormat="1" x14ac:dyDescent="0.25"/>
    <row r="163160" customFormat="1" x14ac:dyDescent="0.25"/>
    <row r="163161" customFormat="1" x14ac:dyDescent="0.25"/>
    <row r="163162" customFormat="1" x14ac:dyDescent="0.25"/>
    <row r="163163" customFormat="1" x14ac:dyDescent="0.25"/>
    <row r="163164" customFormat="1" x14ac:dyDescent="0.25"/>
    <row r="163165" customFormat="1" x14ac:dyDescent="0.25"/>
    <row r="163166" customFormat="1" x14ac:dyDescent="0.25"/>
    <row r="163167" customFormat="1" x14ac:dyDescent="0.25"/>
    <row r="163168" customFormat="1" x14ac:dyDescent="0.25"/>
    <row r="163169" customFormat="1" x14ac:dyDescent="0.25"/>
    <row r="163170" customFormat="1" x14ac:dyDescent="0.25"/>
    <row r="163171" customFormat="1" x14ac:dyDescent="0.25"/>
    <row r="163172" customFormat="1" x14ac:dyDescent="0.25"/>
    <row r="163173" customFormat="1" x14ac:dyDescent="0.25"/>
    <row r="163174" customFormat="1" x14ac:dyDescent="0.25"/>
    <row r="163175" customFormat="1" x14ac:dyDescent="0.25"/>
    <row r="163176" customFormat="1" x14ac:dyDescent="0.25"/>
    <row r="163177" customFormat="1" x14ac:dyDescent="0.25"/>
    <row r="163178" customFormat="1" x14ac:dyDescent="0.25"/>
    <row r="163179" customFormat="1" x14ac:dyDescent="0.25"/>
    <row r="163180" customFormat="1" x14ac:dyDescent="0.25"/>
    <row r="163181" customFormat="1" x14ac:dyDescent="0.25"/>
    <row r="163182" customFormat="1" x14ac:dyDescent="0.25"/>
    <row r="163183" customFormat="1" x14ac:dyDescent="0.25"/>
    <row r="163184" customFormat="1" x14ac:dyDescent="0.25"/>
    <row r="163185" customFormat="1" x14ac:dyDescent="0.25"/>
    <row r="163186" customFormat="1" x14ac:dyDescent="0.25"/>
    <row r="163187" customFormat="1" x14ac:dyDescent="0.25"/>
    <row r="163188" customFormat="1" x14ac:dyDescent="0.25"/>
    <row r="163189" customFormat="1" x14ac:dyDescent="0.25"/>
    <row r="163190" customFormat="1" x14ac:dyDescent="0.25"/>
    <row r="163191" customFormat="1" x14ac:dyDescent="0.25"/>
    <row r="163192" customFormat="1" x14ac:dyDescent="0.25"/>
    <row r="163193" customFormat="1" x14ac:dyDescent="0.25"/>
    <row r="163194" customFormat="1" x14ac:dyDescent="0.25"/>
    <row r="163195" customFormat="1" x14ac:dyDescent="0.25"/>
    <row r="163196" customFormat="1" x14ac:dyDescent="0.25"/>
    <row r="163197" customFormat="1" x14ac:dyDescent="0.25"/>
    <row r="163198" customFormat="1" x14ac:dyDescent="0.25"/>
    <row r="163199" customFormat="1" x14ac:dyDescent="0.25"/>
    <row r="163200" customFormat="1" x14ac:dyDescent="0.25"/>
    <row r="163201" customFormat="1" x14ac:dyDescent="0.25"/>
    <row r="163202" customFormat="1" x14ac:dyDescent="0.25"/>
    <row r="163203" customFormat="1" x14ac:dyDescent="0.25"/>
    <row r="163204" customFormat="1" x14ac:dyDescent="0.25"/>
    <row r="163205" customFormat="1" x14ac:dyDescent="0.25"/>
    <row r="163206" customFormat="1" x14ac:dyDescent="0.25"/>
    <row r="163207" customFormat="1" x14ac:dyDescent="0.25"/>
    <row r="163208" customFormat="1" x14ac:dyDescent="0.25"/>
    <row r="163209" customFormat="1" x14ac:dyDescent="0.25"/>
    <row r="163210" customFormat="1" x14ac:dyDescent="0.25"/>
    <row r="163211" customFormat="1" x14ac:dyDescent="0.25"/>
    <row r="163212" customFormat="1" x14ac:dyDescent="0.25"/>
    <row r="163213" customFormat="1" x14ac:dyDescent="0.25"/>
    <row r="163214" customFormat="1" x14ac:dyDescent="0.25"/>
    <row r="163215" customFormat="1" x14ac:dyDescent="0.25"/>
    <row r="163216" customFormat="1" x14ac:dyDescent="0.25"/>
    <row r="163217" customFormat="1" x14ac:dyDescent="0.25"/>
    <row r="163218" customFormat="1" x14ac:dyDescent="0.25"/>
    <row r="163219" customFormat="1" x14ac:dyDescent="0.25"/>
    <row r="163220" customFormat="1" x14ac:dyDescent="0.25"/>
    <row r="163221" customFormat="1" x14ac:dyDescent="0.25"/>
    <row r="163222" customFormat="1" x14ac:dyDescent="0.25"/>
    <row r="163223" customFormat="1" x14ac:dyDescent="0.25"/>
    <row r="163224" customFormat="1" x14ac:dyDescent="0.25"/>
    <row r="163225" customFormat="1" x14ac:dyDescent="0.25"/>
    <row r="163226" customFormat="1" x14ac:dyDescent="0.25"/>
    <row r="163227" customFormat="1" x14ac:dyDescent="0.25"/>
    <row r="163228" customFormat="1" x14ac:dyDescent="0.25"/>
    <row r="163229" customFormat="1" x14ac:dyDescent="0.25"/>
    <row r="163230" customFormat="1" x14ac:dyDescent="0.25"/>
    <row r="163231" customFormat="1" x14ac:dyDescent="0.25"/>
    <row r="163232" customFormat="1" x14ac:dyDescent="0.25"/>
    <row r="163233" customFormat="1" x14ac:dyDescent="0.25"/>
    <row r="163234" customFormat="1" x14ac:dyDescent="0.25"/>
    <row r="163235" customFormat="1" x14ac:dyDescent="0.25"/>
    <row r="163236" customFormat="1" x14ac:dyDescent="0.25"/>
    <row r="163237" customFormat="1" x14ac:dyDescent="0.25"/>
    <row r="163238" customFormat="1" x14ac:dyDescent="0.25"/>
    <row r="163239" customFormat="1" x14ac:dyDescent="0.25"/>
    <row r="163240" customFormat="1" x14ac:dyDescent="0.25"/>
    <row r="163241" customFormat="1" x14ac:dyDescent="0.25"/>
    <row r="163242" customFormat="1" x14ac:dyDescent="0.25"/>
    <row r="163243" customFormat="1" x14ac:dyDescent="0.25"/>
    <row r="163244" customFormat="1" x14ac:dyDescent="0.25"/>
    <row r="163245" customFormat="1" x14ac:dyDescent="0.25"/>
    <row r="163246" customFormat="1" x14ac:dyDescent="0.25"/>
    <row r="163247" customFormat="1" x14ac:dyDescent="0.25"/>
    <row r="163248" customFormat="1" x14ac:dyDescent="0.25"/>
    <row r="163249" customFormat="1" x14ac:dyDescent="0.25"/>
    <row r="163250" customFormat="1" x14ac:dyDescent="0.25"/>
    <row r="163251" customFormat="1" x14ac:dyDescent="0.25"/>
    <row r="163252" customFormat="1" x14ac:dyDescent="0.25"/>
    <row r="163253" customFormat="1" x14ac:dyDescent="0.25"/>
    <row r="163254" customFormat="1" x14ac:dyDescent="0.25"/>
    <row r="163255" customFormat="1" x14ac:dyDescent="0.25"/>
    <row r="163256" customFormat="1" x14ac:dyDescent="0.25"/>
    <row r="163257" customFormat="1" x14ac:dyDescent="0.25"/>
    <row r="163258" customFormat="1" x14ac:dyDescent="0.25"/>
    <row r="163259" customFormat="1" x14ac:dyDescent="0.25"/>
    <row r="163260" customFormat="1" x14ac:dyDescent="0.25"/>
    <row r="163261" customFormat="1" x14ac:dyDescent="0.25"/>
    <row r="163262" customFormat="1" x14ac:dyDescent="0.25"/>
    <row r="163263" customFormat="1" x14ac:dyDescent="0.25"/>
    <row r="163264" customFormat="1" x14ac:dyDescent="0.25"/>
    <row r="163265" customFormat="1" x14ac:dyDescent="0.25"/>
    <row r="163266" customFormat="1" x14ac:dyDescent="0.25"/>
    <row r="163267" customFormat="1" x14ac:dyDescent="0.25"/>
    <row r="163268" customFormat="1" x14ac:dyDescent="0.25"/>
    <row r="163269" customFormat="1" x14ac:dyDescent="0.25"/>
    <row r="163270" customFormat="1" x14ac:dyDescent="0.25"/>
    <row r="163271" customFormat="1" x14ac:dyDescent="0.25"/>
    <row r="163272" customFormat="1" x14ac:dyDescent="0.25"/>
    <row r="163273" customFormat="1" x14ac:dyDescent="0.25"/>
    <row r="163274" customFormat="1" x14ac:dyDescent="0.25"/>
    <row r="163275" customFormat="1" x14ac:dyDescent="0.25"/>
    <row r="163276" customFormat="1" x14ac:dyDescent="0.25"/>
    <row r="163277" customFormat="1" x14ac:dyDescent="0.25"/>
    <row r="163278" customFormat="1" x14ac:dyDescent="0.25"/>
    <row r="163279" customFormat="1" x14ac:dyDescent="0.25"/>
    <row r="163280" customFormat="1" x14ac:dyDescent="0.25"/>
    <row r="163281" customFormat="1" x14ac:dyDescent="0.25"/>
    <row r="163282" customFormat="1" x14ac:dyDescent="0.25"/>
    <row r="163283" customFormat="1" x14ac:dyDescent="0.25"/>
    <row r="163284" customFormat="1" x14ac:dyDescent="0.25"/>
    <row r="163285" customFormat="1" x14ac:dyDescent="0.25"/>
    <row r="163286" customFormat="1" x14ac:dyDescent="0.25"/>
    <row r="163287" customFormat="1" x14ac:dyDescent="0.25"/>
    <row r="163288" customFormat="1" x14ac:dyDescent="0.25"/>
    <row r="163289" customFormat="1" x14ac:dyDescent="0.25"/>
    <row r="163290" customFormat="1" x14ac:dyDescent="0.25"/>
    <row r="163291" customFormat="1" x14ac:dyDescent="0.25"/>
    <row r="163292" customFormat="1" x14ac:dyDescent="0.25"/>
    <row r="163293" customFormat="1" x14ac:dyDescent="0.25"/>
    <row r="163294" customFormat="1" x14ac:dyDescent="0.25"/>
    <row r="163295" customFormat="1" x14ac:dyDescent="0.25"/>
    <row r="163296" customFormat="1" x14ac:dyDescent="0.25"/>
    <row r="163297" customFormat="1" x14ac:dyDescent="0.25"/>
    <row r="163298" customFormat="1" x14ac:dyDescent="0.25"/>
    <row r="163299" customFormat="1" x14ac:dyDescent="0.25"/>
    <row r="163300" customFormat="1" x14ac:dyDescent="0.25"/>
    <row r="163301" customFormat="1" x14ac:dyDescent="0.25"/>
    <row r="163302" customFormat="1" x14ac:dyDescent="0.25"/>
    <row r="163303" customFormat="1" x14ac:dyDescent="0.25"/>
    <row r="163304" customFormat="1" x14ac:dyDescent="0.25"/>
    <row r="163305" customFormat="1" x14ac:dyDescent="0.25"/>
    <row r="163306" customFormat="1" x14ac:dyDescent="0.25"/>
    <row r="163307" customFormat="1" x14ac:dyDescent="0.25"/>
    <row r="163308" customFormat="1" x14ac:dyDescent="0.25"/>
    <row r="163309" customFormat="1" x14ac:dyDescent="0.25"/>
    <row r="163310" customFormat="1" x14ac:dyDescent="0.25"/>
    <row r="163311" customFormat="1" x14ac:dyDescent="0.25"/>
    <row r="163312" customFormat="1" x14ac:dyDescent="0.25"/>
    <row r="163313" customFormat="1" x14ac:dyDescent="0.25"/>
    <row r="163314" customFormat="1" x14ac:dyDescent="0.25"/>
    <row r="163315" customFormat="1" x14ac:dyDescent="0.25"/>
    <row r="163316" customFormat="1" x14ac:dyDescent="0.25"/>
    <row r="163317" customFormat="1" x14ac:dyDescent="0.25"/>
    <row r="163318" customFormat="1" x14ac:dyDescent="0.25"/>
    <row r="163319" customFormat="1" x14ac:dyDescent="0.25"/>
    <row r="163320" customFormat="1" x14ac:dyDescent="0.25"/>
    <row r="163321" customFormat="1" x14ac:dyDescent="0.25"/>
    <row r="163322" customFormat="1" x14ac:dyDescent="0.25"/>
    <row r="163323" customFormat="1" x14ac:dyDescent="0.25"/>
    <row r="163324" customFormat="1" x14ac:dyDescent="0.25"/>
    <row r="163325" customFormat="1" x14ac:dyDescent="0.25"/>
    <row r="163326" customFormat="1" x14ac:dyDescent="0.25"/>
    <row r="163327" customFormat="1" x14ac:dyDescent="0.25"/>
    <row r="163328" customFormat="1" x14ac:dyDescent="0.25"/>
    <row r="163329" customFormat="1" x14ac:dyDescent="0.25"/>
    <row r="163330" customFormat="1" x14ac:dyDescent="0.25"/>
    <row r="163331" customFormat="1" x14ac:dyDescent="0.25"/>
    <row r="163332" customFormat="1" x14ac:dyDescent="0.25"/>
    <row r="163333" customFormat="1" x14ac:dyDescent="0.25"/>
    <row r="163334" customFormat="1" x14ac:dyDescent="0.25"/>
    <row r="163335" customFormat="1" x14ac:dyDescent="0.25"/>
    <row r="163336" customFormat="1" x14ac:dyDescent="0.25"/>
    <row r="163337" customFormat="1" x14ac:dyDescent="0.25"/>
    <row r="163338" customFormat="1" x14ac:dyDescent="0.25"/>
    <row r="163339" customFormat="1" x14ac:dyDescent="0.25"/>
    <row r="163340" customFormat="1" x14ac:dyDescent="0.25"/>
    <row r="163341" customFormat="1" x14ac:dyDescent="0.25"/>
    <row r="163342" customFormat="1" x14ac:dyDescent="0.25"/>
    <row r="163343" customFormat="1" x14ac:dyDescent="0.25"/>
    <row r="163344" customFormat="1" x14ac:dyDescent="0.25"/>
    <row r="163345" customFormat="1" x14ac:dyDescent="0.25"/>
    <row r="163346" customFormat="1" x14ac:dyDescent="0.25"/>
    <row r="163347" customFormat="1" x14ac:dyDescent="0.25"/>
    <row r="163348" customFormat="1" x14ac:dyDescent="0.25"/>
    <row r="163349" customFormat="1" x14ac:dyDescent="0.25"/>
    <row r="163350" customFormat="1" x14ac:dyDescent="0.25"/>
    <row r="163351" customFormat="1" x14ac:dyDescent="0.25"/>
    <row r="163352" customFormat="1" x14ac:dyDescent="0.25"/>
    <row r="163353" customFormat="1" x14ac:dyDescent="0.25"/>
    <row r="163354" customFormat="1" x14ac:dyDescent="0.25"/>
    <row r="163355" customFormat="1" x14ac:dyDescent="0.25"/>
    <row r="163356" customFormat="1" x14ac:dyDescent="0.25"/>
    <row r="163357" customFormat="1" x14ac:dyDescent="0.25"/>
    <row r="163358" customFormat="1" x14ac:dyDescent="0.25"/>
    <row r="163359" customFormat="1" x14ac:dyDescent="0.25"/>
    <row r="163360" customFormat="1" x14ac:dyDescent="0.25"/>
    <row r="163361" customFormat="1" x14ac:dyDescent="0.25"/>
    <row r="163362" customFormat="1" x14ac:dyDescent="0.25"/>
    <row r="163363" customFormat="1" x14ac:dyDescent="0.25"/>
    <row r="163364" customFormat="1" x14ac:dyDescent="0.25"/>
    <row r="163365" customFormat="1" x14ac:dyDescent="0.25"/>
    <row r="163366" customFormat="1" x14ac:dyDescent="0.25"/>
    <row r="163367" customFormat="1" x14ac:dyDescent="0.25"/>
    <row r="163368" customFormat="1" x14ac:dyDescent="0.25"/>
    <row r="163369" customFormat="1" x14ac:dyDescent="0.25"/>
    <row r="163370" customFormat="1" x14ac:dyDescent="0.25"/>
    <row r="163371" customFormat="1" x14ac:dyDescent="0.25"/>
    <row r="163372" customFormat="1" x14ac:dyDescent="0.25"/>
    <row r="163373" customFormat="1" x14ac:dyDescent="0.25"/>
    <row r="163374" customFormat="1" x14ac:dyDescent="0.25"/>
    <row r="163375" customFormat="1" x14ac:dyDescent="0.25"/>
    <row r="163376" customFormat="1" x14ac:dyDescent="0.25"/>
    <row r="163377" customFormat="1" x14ac:dyDescent="0.25"/>
    <row r="163378" customFormat="1" x14ac:dyDescent="0.25"/>
    <row r="163379" customFormat="1" x14ac:dyDescent="0.25"/>
    <row r="163380" customFormat="1" x14ac:dyDescent="0.25"/>
    <row r="163381" customFormat="1" x14ac:dyDescent="0.25"/>
    <row r="163382" customFormat="1" x14ac:dyDescent="0.25"/>
    <row r="163383" customFormat="1" x14ac:dyDescent="0.25"/>
    <row r="163384" customFormat="1" x14ac:dyDescent="0.25"/>
    <row r="163385" customFormat="1" x14ac:dyDescent="0.25"/>
    <row r="163386" customFormat="1" x14ac:dyDescent="0.25"/>
    <row r="163387" customFormat="1" x14ac:dyDescent="0.25"/>
    <row r="163388" customFormat="1" x14ac:dyDescent="0.25"/>
    <row r="163389" customFormat="1" x14ac:dyDescent="0.25"/>
    <row r="163390" customFormat="1" x14ac:dyDescent="0.25"/>
    <row r="163391" customFormat="1" x14ac:dyDescent="0.25"/>
    <row r="163392" customFormat="1" x14ac:dyDescent="0.25"/>
    <row r="163393" customFormat="1" x14ac:dyDescent="0.25"/>
    <row r="163394" customFormat="1" x14ac:dyDescent="0.25"/>
    <row r="163395" customFormat="1" x14ac:dyDescent="0.25"/>
    <row r="163396" customFormat="1" x14ac:dyDescent="0.25"/>
    <row r="163397" customFormat="1" x14ac:dyDescent="0.25"/>
    <row r="163398" customFormat="1" x14ac:dyDescent="0.25"/>
    <row r="163399" customFormat="1" x14ac:dyDescent="0.25"/>
    <row r="163400" customFormat="1" x14ac:dyDescent="0.25"/>
    <row r="163401" customFormat="1" x14ac:dyDescent="0.25"/>
    <row r="163402" customFormat="1" x14ac:dyDescent="0.25"/>
    <row r="163403" customFormat="1" x14ac:dyDescent="0.25"/>
    <row r="163404" customFormat="1" x14ac:dyDescent="0.25"/>
    <row r="163405" customFormat="1" x14ac:dyDescent="0.25"/>
    <row r="163406" customFormat="1" x14ac:dyDescent="0.25"/>
    <row r="163407" customFormat="1" x14ac:dyDescent="0.25"/>
    <row r="163408" customFormat="1" x14ac:dyDescent="0.25"/>
    <row r="163409" customFormat="1" x14ac:dyDescent="0.25"/>
    <row r="163410" customFormat="1" x14ac:dyDescent="0.25"/>
    <row r="163411" customFormat="1" x14ac:dyDescent="0.25"/>
    <row r="163412" customFormat="1" x14ac:dyDescent="0.25"/>
    <row r="163413" customFormat="1" x14ac:dyDescent="0.25"/>
    <row r="163414" customFormat="1" x14ac:dyDescent="0.25"/>
    <row r="163415" customFormat="1" x14ac:dyDescent="0.25"/>
    <row r="163416" customFormat="1" x14ac:dyDescent="0.25"/>
    <row r="163417" customFormat="1" x14ac:dyDescent="0.25"/>
    <row r="163418" customFormat="1" x14ac:dyDescent="0.25"/>
    <row r="163419" customFormat="1" x14ac:dyDescent="0.25"/>
    <row r="163420" customFormat="1" x14ac:dyDescent="0.25"/>
    <row r="163421" customFormat="1" x14ac:dyDescent="0.25"/>
    <row r="163422" customFormat="1" x14ac:dyDescent="0.25"/>
    <row r="163423" customFormat="1" x14ac:dyDescent="0.25"/>
    <row r="163424" customFormat="1" x14ac:dyDescent="0.25"/>
    <row r="163425" customFormat="1" x14ac:dyDescent="0.25"/>
    <row r="163426" customFormat="1" x14ac:dyDescent="0.25"/>
    <row r="163427" customFormat="1" x14ac:dyDescent="0.25"/>
    <row r="163428" customFormat="1" x14ac:dyDescent="0.25"/>
    <row r="163429" customFormat="1" x14ac:dyDescent="0.25"/>
    <row r="163430" customFormat="1" x14ac:dyDescent="0.25"/>
    <row r="163431" customFormat="1" x14ac:dyDescent="0.25"/>
    <row r="163432" customFormat="1" x14ac:dyDescent="0.25"/>
    <row r="163433" customFormat="1" x14ac:dyDescent="0.25"/>
    <row r="163434" customFormat="1" x14ac:dyDescent="0.25"/>
    <row r="163435" customFormat="1" x14ac:dyDescent="0.25"/>
    <row r="163436" customFormat="1" x14ac:dyDescent="0.25"/>
    <row r="163437" customFormat="1" x14ac:dyDescent="0.25"/>
    <row r="163438" customFormat="1" x14ac:dyDescent="0.25"/>
    <row r="163439" customFormat="1" x14ac:dyDescent="0.25"/>
    <row r="163440" customFormat="1" x14ac:dyDescent="0.25"/>
    <row r="163441" customFormat="1" x14ac:dyDescent="0.25"/>
    <row r="163442" customFormat="1" x14ac:dyDescent="0.25"/>
    <row r="163443" customFormat="1" x14ac:dyDescent="0.25"/>
    <row r="163444" customFormat="1" x14ac:dyDescent="0.25"/>
    <row r="163445" customFormat="1" x14ac:dyDescent="0.25"/>
    <row r="163446" customFormat="1" x14ac:dyDescent="0.25"/>
    <row r="163447" customFormat="1" x14ac:dyDescent="0.25"/>
    <row r="163448" customFormat="1" x14ac:dyDescent="0.25"/>
    <row r="163449" customFormat="1" x14ac:dyDescent="0.25"/>
    <row r="163450" customFormat="1" x14ac:dyDescent="0.25"/>
    <row r="163451" customFormat="1" x14ac:dyDescent="0.25"/>
    <row r="163452" customFormat="1" x14ac:dyDescent="0.25"/>
    <row r="163453" customFormat="1" x14ac:dyDescent="0.25"/>
    <row r="163454" customFormat="1" x14ac:dyDescent="0.25"/>
    <row r="163455" customFormat="1" x14ac:dyDescent="0.25"/>
    <row r="163456" customFormat="1" x14ac:dyDescent="0.25"/>
    <row r="163457" customFormat="1" x14ac:dyDescent="0.25"/>
    <row r="163458" customFormat="1" x14ac:dyDescent="0.25"/>
    <row r="163459" customFormat="1" x14ac:dyDescent="0.25"/>
    <row r="163460" customFormat="1" x14ac:dyDescent="0.25"/>
    <row r="163461" customFormat="1" x14ac:dyDescent="0.25"/>
    <row r="163462" customFormat="1" x14ac:dyDescent="0.25"/>
    <row r="163463" customFormat="1" x14ac:dyDescent="0.25"/>
    <row r="163464" customFormat="1" x14ac:dyDescent="0.25"/>
    <row r="163465" customFormat="1" x14ac:dyDescent="0.25"/>
    <row r="163466" customFormat="1" x14ac:dyDescent="0.25"/>
    <row r="163467" customFormat="1" x14ac:dyDescent="0.25"/>
    <row r="163468" customFormat="1" x14ac:dyDescent="0.25"/>
    <row r="163469" customFormat="1" x14ac:dyDescent="0.25"/>
    <row r="163470" customFormat="1" x14ac:dyDescent="0.25"/>
    <row r="163471" customFormat="1" x14ac:dyDescent="0.25"/>
    <row r="163472" customFormat="1" x14ac:dyDescent="0.25"/>
    <row r="163473" customFormat="1" x14ac:dyDescent="0.25"/>
    <row r="163474" customFormat="1" x14ac:dyDescent="0.25"/>
    <row r="163475" customFormat="1" x14ac:dyDescent="0.25"/>
    <row r="163476" customFormat="1" x14ac:dyDescent="0.25"/>
    <row r="163477" customFormat="1" x14ac:dyDescent="0.25"/>
    <row r="163478" customFormat="1" x14ac:dyDescent="0.25"/>
    <row r="163479" customFormat="1" x14ac:dyDescent="0.25"/>
    <row r="163480" customFormat="1" x14ac:dyDescent="0.25"/>
    <row r="163481" customFormat="1" x14ac:dyDescent="0.25"/>
    <row r="163482" customFormat="1" x14ac:dyDescent="0.25"/>
    <row r="163483" customFormat="1" x14ac:dyDescent="0.25"/>
    <row r="163484" customFormat="1" x14ac:dyDescent="0.25"/>
    <row r="163485" customFormat="1" x14ac:dyDescent="0.25"/>
    <row r="163486" customFormat="1" x14ac:dyDescent="0.25"/>
    <row r="163487" customFormat="1" x14ac:dyDescent="0.25"/>
    <row r="163488" customFormat="1" x14ac:dyDescent="0.25"/>
    <row r="163489" customFormat="1" x14ac:dyDescent="0.25"/>
    <row r="163490" customFormat="1" x14ac:dyDescent="0.25"/>
    <row r="163491" customFormat="1" x14ac:dyDescent="0.25"/>
    <row r="163492" customFormat="1" x14ac:dyDescent="0.25"/>
    <row r="163493" customFormat="1" x14ac:dyDescent="0.25"/>
    <row r="163494" customFormat="1" x14ac:dyDescent="0.25"/>
    <row r="163495" customFormat="1" x14ac:dyDescent="0.25"/>
    <row r="163496" customFormat="1" x14ac:dyDescent="0.25"/>
    <row r="163497" customFormat="1" x14ac:dyDescent="0.25"/>
    <row r="163498" customFormat="1" x14ac:dyDescent="0.25"/>
    <row r="163499" customFormat="1" x14ac:dyDescent="0.25"/>
    <row r="163500" customFormat="1" x14ac:dyDescent="0.25"/>
    <row r="163501" customFormat="1" x14ac:dyDescent="0.25"/>
    <row r="163502" customFormat="1" x14ac:dyDescent="0.25"/>
    <row r="163503" customFormat="1" x14ac:dyDescent="0.25"/>
    <row r="163504" customFormat="1" x14ac:dyDescent="0.25"/>
    <row r="163505" customFormat="1" x14ac:dyDescent="0.25"/>
    <row r="163506" customFormat="1" x14ac:dyDescent="0.25"/>
    <row r="163507" customFormat="1" x14ac:dyDescent="0.25"/>
    <row r="163508" customFormat="1" x14ac:dyDescent="0.25"/>
    <row r="163509" customFormat="1" x14ac:dyDescent="0.25"/>
    <row r="163510" customFormat="1" x14ac:dyDescent="0.25"/>
    <row r="163511" customFormat="1" x14ac:dyDescent="0.25"/>
    <row r="163512" customFormat="1" x14ac:dyDescent="0.25"/>
    <row r="163513" customFormat="1" x14ac:dyDescent="0.25"/>
    <row r="163514" customFormat="1" x14ac:dyDescent="0.25"/>
    <row r="163515" customFormat="1" x14ac:dyDescent="0.25"/>
    <row r="163516" customFormat="1" x14ac:dyDescent="0.25"/>
    <row r="163517" customFormat="1" x14ac:dyDescent="0.25"/>
    <row r="163518" customFormat="1" x14ac:dyDescent="0.25"/>
    <row r="163519" customFormat="1" x14ac:dyDescent="0.25"/>
    <row r="163520" customFormat="1" x14ac:dyDescent="0.25"/>
    <row r="163521" customFormat="1" x14ac:dyDescent="0.25"/>
    <row r="163522" customFormat="1" x14ac:dyDescent="0.25"/>
    <row r="163523" customFormat="1" x14ac:dyDescent="0.25"/>
    <row r="163524" customFormat="1" x14ac:dyDescent="0.25"/>
    <row r="163525" customFormat="1" x14ac:dyDescent="0.25"/>
    <row r="163526" customFormat="1" x14ac:dyDescent="0.25"/>
    <row r="163527" customFormat="1" x14ac:dyDescent="0.25"/>
    <row r="163528" customFormat="1" x14ac:dyDescent="0.25"/>
    <row r="163529" customFormat="1" x14ac:dyDescent="0.25"/>
    <row r="163530" customFormat="1" x14ac:dyDescent="0.25"/>
    <row r="163531" customFormat="1" x14ac:dyDescent="0.25"/>
    <row r="163532" customFormat="1" x14ac:dyDescent="0.25"/>
    <row r="163533" customFormat="1" x14ac:dyDescent="0.25"/>
    <row r="163534" customFormat="1" x14ac:dyDescent="0.25"/>
    <row r="163535" customFormat="1" x14ac:dyDescent="0.25"/>
    <row r="163536" customFormat="1" x14ac:dyDescent="0.25"/>
    <row r="163537" customFormat="1" x14ac:dyDescent="0.25"/>
    <row r="163538" customFormat="1" x14ac:dyDescent="0.25"/>
    <row r="163539" customFormat="1" x14ac:dyDescent="0.25"/>
    <row r="163540" customFormat="1" x14ac:dyDescent="0.25"/>
    <row r="163541" customFormat="1" x14ac:dyDescent="0.25"/>
    <row r="163542" customFormat="1" x14ac:dyDescent="0.25"/>
    <row r="163543" customFormat="1" x14ac:dyDescent="0.25"/>
    <row r="163544" customFormat="1" x14ac:dyDescent="0.25"/>
    <row r="163545" customFormat="1" x14ac:dyDescent="0.25"/>
    <row r="163546" customFormat="1" x14ac:dyDescent="0.25"/>
    <row r="163547" customFormat="1" x14ac:dyDescent="0.25"/>
    <row r="163548" customFormat="1" x14ac:dyDescent="0.25"/>
    <row r="163549" customFormat="1" x14ac:dyDescent="0.25"/>
    <row r="163550" customFormat="1" x14ac:dyDescent="0.25"/>
    <row r="163551" customFormat="1" x14ac:dyDescent="0.25"/>
    <row r="163552" customFormat="1" x14ac:dyDescent="0.25"/>
    <row r="163553" customFormat="1" x14ac:dyDescent="0.25"/>
    <row r="163554" customFormat="1" x14ac:dyDescent="0.25"/>
    <row r="163555" customFormat="1" x14ac:dyDescent="0.25"/>
    <row r="163556" customFormat="1" x14ac:dyDescent="0.25"/>
    <row r="163557" customFormat="1" x14ac:dyDescent="0.25"/>
    <row r="163558" customFormat="1" x14ac:dyDescent="0.25"/>
    <row r="163559" customFormat="1" x14ac:dyDescent="0.25"/>
    <row r="163560" customFormat="1" x14ac:dyDescent="0.25"/>
    <row r="163561" customFormat="1" x14ac:dyDescent="0.25"/>
    <row r="163562" customFormat="1" x14ac:dyDescent="0.25"/>
    <row r="163563" customFormat="1" x14ac:dyDescent="0.25"/>
    <row r="163564" customFormat="1" x14ac:dyDescent="0.25"/>
    <row r="163565" customFormat="1" x14ac:dyDescent="0.25"/>
    <row r="163566" customFormat="1" x14ac:dyDescent="0.25"/>
    <row r="163567" customFormat="1" x14ac:dyDescent="0.25"/>
    <row r="163568" customFormat="1" x14ac:dyDescent="0.25"/>
    <row r="163569" customFormat="1" x14ac:dyDescent="0.25"/>
    <row r="163570" customFormat="1" x14ac:dyDescent="0.25"/>
    <row r="163571" customFormat="1" x14ac:dyDescent="0.25"/>
    <row r="163572" customFormat="1" x14ac:dyDescent="0.25"/>
    <row r="163573" customFormat="1" x14ac:dyDescent="0.25"/>
    <row r="163574" customFormat="1" x14ac:dyDescent="0.25"/>
    <row r="163575" customFormat="1" x14ac:dyDescent="0.25"/>
    <row r="163576" customFormat="1" x14ac:dyDescent="0.25"/>
    <row r="163577" customFormat="1" x14ac:dyDescent="0.25"/>
    <row r="163578" customFormat="1" x14ac:dyDescent="0.25"/>
    <row r="163579" customFormat="1" x14ac:dyDescent="0.25"/>
    <row r="163580" customFormat="1" x14ac:dyDescent="0.25"/>
    <row r="163581" customFormat="1" x14ac:dyDescent="0.25"/>
    <row r="163582" customFormat="1" x14ac:dyDescent="0.25"/>
    <row r="163583" customFormat="1" x14ac:dyDescent="0.25"/>
    <row r="163584" customFormat="1" x14ac:dyDescent="0.25"/>
    <row r="163585" customFormat="1" x14ac:dyDescent="0.25"/>
    <row r="163586" customFormat="1" x14ac:dyDescent="0.25"/>
    <row r="163587" customFormat="1" x14ac:dyDescent="0.25"/>
    <row r="163588" customFormat="1" x14ac:dyDescent="0.25"/>
    <row r="163589" customFormat="1" x14ac:dyDescent="0.25"/>
    <row r="163590" customFormat="1" x14ac:dyDescent="0.25"/>
    <row r="163591" customFormat="1" x14ac:dyDescent="0.25"/>
    <row r="163592" customFormat="1" x14ac:dyDescent="0.25"/>
    <row r="163593" customFormat="1" x14ac:dyDescent="0.25"/>
    <row r="163594" customFormat="1" x14ac:dyDescent="0.25"/>
    <row r="163595" customFormat="1" x14ac:dyDescent="0.25"/>
    <row r="163596" customFormat="1" x14ac:dyDescent="0.25"/>
    <row r="163597" customFormat="1" x14ac:dyDescent="0.25"/>
    <row r="163598" customFormat="1" x14ac:dyDescent="0.25"/>
    <row r="163599" customFormat="1" x14ac:dyDescent="0.25"/>
    <row r="163600" customFormat="1" x14ac:dyDescent="0.25"/>
    <row r="163601" customFormat="1" x14ac:dyDescent="0.25"/>
    <row r="163602" customFormat="1" x14ac:dyDescent="0.25"/>
    <row r="163603" customFormat="1" x14ac:dyDescent="0.25"/>
    <row r="163604" customFormat="1" x14ac:dyDescent="0.25"/>
    <row r="163605" customFormat="1" x14ac:dyDescent="0.25"/>
    <row r="163606" customFormat="1" x14ac:dyDescent="0.25"/>
    <row r="163607" customFormat="1" x14ac:dyDescent="0.25"/>
    <row r="163608" customFormat="1" x14ac:dyDescent="0.25"/>
    <row r="163609" customFormat="1" x14ac:dyDescent="0.25"/>
    <row r="163610" customFormat="1" x14ac:dyDescent="0.25"/>
    <row r="163611" customFormat="1" x14ac:dyDescent="0.25"/>
    <row r="163612" customFormat="1" x14ac:dyDescent="0.25"/>
    <row r="163613" customFormat="1" x14ac:dyDescent="0.25"/>
    <row r="163614" customFormat="1" x14ac:dyDescent="0.25"/>
    <row r="163615" customFormat="1" x14ac:dyDescent="0.25"/>
    <row r="163616" customFormat="1" x14ac:dyDescent="0.25"/>
    <row r="163617" customFormat="1" x14ac:dyDescent="0.25"/>
    <row r="163618" customFormat="1" x14ac:dyDescent="0.25"/>
    <row r="163619" customFormat="1" x14ac:dyDescent="0.25"/>
    <row r="163620" customFormat="1" x14ac:dyDescent="0.25"/>
    <row r="163621" customFormat="1" x14ac:dyDescent="0.25"/>
    <row r="163622" customFormat="1" x14ac:dyDescent="0.25"/>
    <row r="163623" customFormat="1" x14ac:dyDescent="0.25"/>
    <row r="163624" customFormat="1" x14ac:dyDescent="0.25"/>
    <row r="163625" customFormat="1" x14ac:dyDescent="0.25"/>
    <row r="163626" customFormat="1" x14ac:dyDescent="0.25"/>
    <row r="163627" customFormat="1" x14ac:dyDescent="0.25"/>
    <row r="163628" customFormat="1" x14ac:dyDescent="0.25"/>
    <row r="163629" customFormat="1" x14ac:dyDescent="0.25"/>
    <row r="163630" customFormat="1" x14ac:dyDescent="0.25"/>
    <row r="163631" customFormat="1" x14ac:dyDescent="0.25"/>
    <row r="163632" customFormat="1" x14ac:dyDescent="0.25"/>
    <row r="163633" customFormat="1" x14ac:dyDescent="0.25"/>
    <row r="163634" customFormat="1" x14ac:dyDescent="0.25"/>
    <row r="163635" customFormat="1" x14ac:dyDescent="0.25"/>
    <row r="163636" customFormat="1" x14ac:dyDescent="0.25"/>
    <row r="163637" customFormat="1" x14ac:dyDescent="0.25"/>
    <row r="163638" customFormat="1" x14ac:dyDescent="0.25"/>
    <row r="163639" customFormat="1" x14ac:dyDescent="0.25"/>
    <row r="163640" customFormat="1" x14ac:dyDescent="0.25"/>
    <row r="163641" customFormat="1" x14ac:dyDescent="0.25"/>
    <row r="163642" customFormat="1" x14ac:dyDescent="0.25"/>
    <row r="163643" customFormat="1" x14ac:dyDescent="0.25"/>
    <row r="163644" customFormat="1" x14ac:dyDescent="0.25"/>
    <row r="163645" customFormat="1" x14ac:dyDescent="0.25"/>
    <row r="163646" customFormat="1" x14ac:dyDescent="0.25"/>
    <row r="163647" customFormat="1" x14ac:dyDescent="0.25"/>
    <row r="163648" customFormat="1" x14ac:dyDescent="0.25"/>
    <row r="163649" customFormat="1" x14ac:dyDescent="0.25"/>
    <row r="163650" customFormat="1" x14ac:dyDescent="0.25"/>
    <row r="163651" customFormat="1" x14ac:dyDescent="0.25"/>
    <row r="163652" customFormat="1" x14ac:dyDescent="0.25"/>
    <row r="163653" customFormat="1" x14ac:dyDescent="0.25"/>
    <row r="163654" customFormat="1" x14ac:dyDescent="0.25"/>
    <row r="163655" customFormat="1" x14ac:dyDescent="0.25"/>
    <row r="163656" customFormat="1" x14ac:dyDescent="0.25"/>
    <row r="163657" customFormat="1" x14ac:dyDescent="0.25"/>
    <row r="163658" customFormat="1" x14ac:dyDescent="0.25"/>
    <row r="163659" customFormat="1" x14ac:dyDescent="0.25"/>
    <row r="163660" customFormat="1" x14ac:dyDescent="0.25"/>
    <row r="163661" customFormat="1" x14ac:dyDescent="0.25"/>
    <row r="163662" customFormat="1" x14ac:dyDescent="0.25"/>
    <row r="163663" customFormat="1" x14ac:dyDescent="0.25"/>
    <row r="163664" customFormat="1" x14ac:dyDescent="0.25"/>
    <row r="163665" customFormat="1" x14ac:dyDescent="0.25"/>
    <row r="163666" customFormat="1" x14ac:dyDescent="0.25"/>
    <row r="163667" customFormat="1" x14ac:dyDescent="0.25"/>
    <row r="163668" customFormat="1" x14ac:dyDescent="0.25"/>
    <row r="163669" customFormat="1" x14ac:dyDescent="0.25"/>
    <row r="163670" customFormat="1" x14ac:dyDescent="0.25"/>
    <row r="163671" customFormat="1" x14ac:dyDescent="0.25"/>
    <row r="163672" customFormat="1" x14ac:dyDescent="0.25"/>
    <row r="163673" customFormat="1" x14ac:dyDescent="0.25"/>
    <row r="163674" customFormat="1" x14ac:dyDescent="0.25"/>
    <row r="163675" customFormat="1" x14ac:dyDescent="0.25"/>
    <row r="163676" customFormat="1" x14ac:dyDescent="0.25"/>
    <row r="163677" customFormat="1" x14ac:dyDescent="0.25"/>
    <row r="163678" customFormat="1" x14ac:dyDescent="0.25"/>
    <row r="163679" customFormat="1" x14ac:dyDescent="0.25"/>
    <row r="163680" customFormat="1" x14ac:dyDescent="0.25"/>
    <row r="163681" customFormat="1" x14ac:dyDescent="0.25"/>
    <row r="163682" customFormat="1" x14ac:dyDescent="0.25"/>
    <row r="163683" customFormat="1" x14ac:dyDescent="0.25"/>
    <row r="163684" customFormat="1" x14ac:dyDescent="0.25"/>
    <row r="163685" customFormat="1" x14ac:dyDescent="0.25"/>
    <row r="163686" customFormat="1" x14ac:dyDescent="0.25"/>
    <row r="163687" customFormat="1" x14ac:dyDescent="0.25"/>
    <row r="163688" customFormat="1" x14ac:dyDescent="0.25"/>
    <row r="163689" customFormat="1" x14ac:dyDescent="0.25"/>
    <row r="163690" customFormat="1" x14ac:dyDescent="0.25"/>
    <row r="163691" customFormat="1" x14ac:dyDescent="0.25"/>
    <row r="163692" customFormat="1" x14ac:dyDescent="0.25"/>
    <row r="163693" customFormat="1" x14ac:dyDescent="0.25"/>
    <row r="163694" customFormat="1" x14ac:dyDescent="0.25"/>
    <row r="163695" customFormat="1" x14ac:dyDescent="0.25"/>
    <row r="163696" customFormat="1" x14ac:dyDescent="0.25"/>
    <row r="163697" customFormat="1" x14ac:dyDescent="0.25"/>
    <row r="163698" customFormat="1" x14ac:dyDescent="0.25"/>
    <row r="163699" customFormat="1" x14ac:dyDescent="0.25"/>
    <row r="163700" customFormat="1" x14ac:dyDescent="0.25"/>
    <row r="163701" customFormat="1" x14ac:dyDescent="0.25"/>
    <row r="163702" customFormat="1" x14ac:dyDescent="0.25"/>
    <row r="163703" customFormat="1" x14ac:dyDescent="0.25"/>
    <row r="163704" customFormat="1" x14ac:dyDescent="0.25"/>
    <row r="163705" customFormat="1" x14ac:dyDescent="0.25"/>
    <row r="163706" customFormat="1" x14ac:dyDescent="0.25"/>
    <row r="163707" customFormat="1" x14ac:dyDescent="0.25"/>
    <row r="163708" customFormat="1" x14ac:dyDescent="0.25"/>
    <row r="163709" customFormat="1" x14ac:dyDescent="0.25"/>
    <row r="163710" customFormat="1" x14ac:dyDescent="0.25"/>
    <row r="163711" customFormat="1" x14ac:dyDescent="0.25"/>
    <row r="163712" customFormat="1" x14ac:dyDescent="0.25"/>
    <row r="163713" customFormat="1" x14ac:dyDescent="0.25"/>
    <row r="163714" customFormat="1" x14ac:dyDescent="0.25"/>
    <row r="163715" customFormat="1" x14ac:dyDescent="0.25"/>
    <row r="163716" customFormat="1" x14ac:dyDescent="0.25"/>
    <row r="163717" customFormat="1" x14ac:dyDescent="0.25"/>
    <row r="163718" customFormat="1" x14ac:dyDescent="0.25"/>
    <row r="163719" customFormat="1" x14ac:dyDescent="0.25"/>
    <row r="163720" customFormat="1" x14ac:dyDescent="0.25"/>
    <row r="163721" customFormat="1" x14ac:dyDescent="0.25"/>
    <row r="163722" customFormat="1" x14ac:dyDescent="0.25"/>
    <row r="163723" customFormat="1" x14ac:dyDescent="0.25"/>
    <row r="163724" customFormat="1" x14ac:dyDescent="0.25"/>
    <row r="163725" customFormat="1" x14ac:dyDescent="0.25"/>
    <row r="163726" customFormat="1" x14ac:dyDescent="0.25"/>
    <row r="163727" customFormat="1" x14ac:dyDescent="0.25"/>
    <row r="163728" customFormat="1" x14ac:dyDescent="0.25"/>
    <row r="163729" customFormat="1" x14ac:dyDescent="0.25"/>
    <row r="163730" customFormat="1" x14ac:dyDescent="0.25"/>
    <row r="163731" customFormat="1" x14ac:dyDescent="0.25"/>
    <row r="163732" customFormat="1" x14ac:dyDescent="0.25"/>
    <row r="163733" customFormat="1" x14ac:dyDescent="0.25"/>
    <row r="163734" customFormat="1" x14ac:dyDescent="0.25"/>
    <row r="163735" customFormat="1" x14ac:dyDescent="0.25"/>
    <row r="163736" customFormat="1" x14ac:dyDescent="0.25"/>
    <row r="163737" customFormat="1" x14ac:dyDescent="0.25"/>
    <row r="163738" customFormat="1" x14ac:dyDescent="0.25"/>
    <row r="163739" customFormat="1" x14ac:dyDescent="0.25"/>
    <row r="163740" customFormat="1" x14ac:dyDescent="0.25"/>
    <row r="163741" customFormat="1" x14ac:dyDescent="0.25"/>
    <row r="163742" customFormat="1" x14ac:dyDescent="0.25"/>
    <row r="163743" customFormat="1" x14ac:dyDescent="0.25"/>
    <row r="163744" customFormat="1" x14ac:dyDescent="0.25"/>
    <row r="163745" customFormat="1" x14ac:dyDescent="0.25"/>
    <row r="163746" customFormat="1" x14ac:dyDescent="0.25"/>
    <row r="163747" customFormat="1" x14ac:dyDescent="0.25"/>
    <row r="163748" customFormat="1" x14ac:dyDescent="0.25"/>
    <row r="163749" customFormat="1" x14ac:dyDescent="0.25"/>
    <row r="163750" customFormat="1" x14ac:dyDescent="0.25"/>
    <row r="163751" customFormat="1" x14ac:dyDescent="0.25"/>
    <row r="163752" customFormat="1" x14ac:dyDescent="0.25"/>
    <row r="163753" customFormat="1" x14ac:dyDescent="0.25"/>
    <row r="163754" customFormat="1" x14ac:dyDescent="0.25"/>
    <row r="163755" customFormat="1" x14ac:dyDescent="0.25"/>
    <row r="163756" customFormat="1" x14ac:dyDescent="0.25"/>
    <row r="163757" customFormat="1" x14ac:dyDescent="0.25"/>
    <row r="163758" customFormat="1" x14ac:dyDescent="0.25"/>
    <row r="163759" customFormat="1" x14ac:dyDescent="0.25"/>
    <row r="163760" customFormat="1" x14ac:dyDescent="0.25"/>
    <row r="163761" customFormat="1" x14ac:dyDescent="0.25"/>
    <row r="163762" customFormat="1" x14ac:dyDescent="0.25"/>
    <row r="163763" customFormat="1" x14ac:dyDescent="0.25"/>
    <row r="163764" customFormat="1" x14ac:dyDescent="0.25"/>
    <row r="163765" customFormat="1" x14ac:dyDescent="0.25"/>
    <row r="163766" customFormat="1" x14ac:dyDescent="0.25"/>
    <row r="163767" customFormat="1" x14ac:dyDescent="0.25"/>
    <row r="163768" customFormat="1" x14ac:dyDescent="0.25"/>
    <row r="163769" customFormat="1" x14ac:dyDescent="0.25"/>
    <row r="163770" customFormat="1" x14ac:dyDescent="0.25"/>
    <row r="163771" customFormat="1" x14ac:dyDescent="0.25"/>
    <row r="163772" customFormat="1" x14ac:dyDescent="0.25"/>
    <row r="163773" customFormat="1" x14ac:dyDescent="0.25"/>
    <row r="163774" customFormat="1" x14ac:dyDescent="0.25"/>
    <row r="163775" customFormat="1" x14ac:dyDescent="0.25"/>
    <row r="163776" customFormat="1" x14ac:dyDescent="0.25"/>
    <row r="163777" customFormat="1" x14ac:dyDescent="0.25"/>
    <row r="163778" customFormat="1" x14ac:dyDescent="0.25"/>
    <row r="163779" customFormat="1" x14ac:dyDescent="0.25"/>
    <row r="163780" customFormat="1" x14ac:dyDescent="0.25"/>
    <row r="163781" customFormat="1" x14ac:dyDescent="0.25"/>
    <row r="163782" customFormat="1" x14ac:dyDescent="0.25"/>
    <row r="163783" customFormat="1" x14ac:dyDescent="0.25"/>
    <row r="163784" customFormat="1" x14ac:dyDescent="0.25"/>
    <row r="163785" customFormat="1" x14ac:dyDescent="0.25"/>
    <row r="163786" customFormat="1" x14ac:dyDescent="0.25"/>
    <row r="163787" customFormat="1" x14ac:dyDescent="0.25"/>
    <row r="163788" customFormat="1" x14ac:dyDescent="0.25"/>
    <row r="163789" customFormat="1" x14ac:dyDescent="0.25"/>
    <row r="163790" customFormat="1" x14ac:dyDescent="0.25"/>
    <row r="163791" customFormat="1" x14ac:dyDescent="0.25"/>
    <row r="163792" customFormat="1" x14ac:dyDescent="0.25"/>
    <row r="163793" customFormat="1" x14ac:dyDescent="0.25"/>
    <row r="163794" customFormat="1" x14ac:dyDescent="0.25"/>
    <row r="163795" customFormat="1" x14ac:dyDescent="0.25"/>
    <row r="163796" customFormat="1" x14ac:dyDescent="0.25"/>
    <row r="163797" customFormat="1" x14ac:dyDescent="0.25"/>
    <row r="163798" customFormat="1" x14ac:dyDescent="0.25"/>
    <row r="163799" customFormat="1" x14ac:dyDescent="0.25"/>
    <row r="163800" customFormat="1" x14ac:dyDescent="0.25"/>
    <row r="163801" customFormat="1" x14ac:dyDescent="0.25"/>
    <row r="163802" customFormat="1" x14ac:dyDescent="0.25"/>
    <row r="163803" customFormat="1" x14ac:dyDescent="0.25"/>
    <row r="163804" customFormat="1" x14ac:dyDescent="0.25"/>
    <row r="163805" customFormat="1" x14ac:dyDescent="0.25"/>
    <row r="163806" customFormat="1" x14ac:dyDescent="0.25"/>
    <row r="163807" customFormat="1" x14ac:dyDescent="0.25"/>
    <row r="163808" customFormat="1" x14ac:dyDescent="0.25"/>
    <row r="163809" customFormat="1" x14ac:dyDescent="0.25"/>
    <row r="163810" customFormat="1" x14ac:dyDescent="0.25"/>
    <row r="163811" customFormat="1" x14ac:dyDescent="0.25"/>
    <row r="163812" customFormat="1" x14ac:dyDescent="0.25"/>
    <row r="163813" customFormat="1" x14ac:dyDescent="0.25"/>
    <row r="163814" customFormat="1" x14ac:dyDescent="0.25"/>
    <row r="163815" customFormat="1" x14ac:dyDescent="0.25"/>
    <row r="163816" customFormat="1" x14ac:dyDescent="0.25"/>
    <row r="163817" customFormat="1" x14ac:dyDescent="0.25"/>
    <row r="163818" customFormat="1" x14ac:dyDescent="0.25"/>
    <row r="163819" customFormat="1" x14ac:dyDescent="0.25"/>
    <row r="163820" customFormat="1" x14ac:dyDescent="0.25"/>
    <row r="163821" customFormat="1" x14ac:dyDescent="0.25"/>
    <row r="163822" customFormat="1" x14ac:dyDescent="0.25"/>
    <row r="163823" customFormat="1" x14ac:dyDescent="0.25"/>
    <row r="163824" customFormat="1" x14ac:dyDescent="0.25"/>
    <row r="163825" customFormat="1" x14ac:dyDescent="0.25"/>
    <row r="163826" customFormat="1" x14ac:dyDescent="0.25"/>
    <row r="163827" customFormat="1" x14ac:dyDescent="0.25"/>
    <row r="163828" customFormat="1" x14ac:dyDescent="0.25"/>
    <row r="163829" customFormat="1" x14ac:dyDescent="0.25"/>
    <row r="163830" customFormat="1" x14ac:dyDescent="0.25"/>
    <row r="163831" customFormat="1" x14ac:dyDescent="0.25"/>
    <row r="163832" customFormat="1" x14ac:dyDescent="0.25"/>
    <row r="163833" customFormat="1" x14ac:dyDescent="0.25"/>
    <row r="163834" customFormat="1" x14ac:dyDescent="0.25"/>
    <row r="163835" customFormat="1" x14ac:dyDescent="0.25"/>
    <row r="163836" customFormat="1" x14ac:dyDescent="0.25"/>
    <row r="163837" customFormat="1" x14ac:dyDescent="0.25"/>
    <row r="163838" customFormat="1" x14ac:dyDescent="0.25"/>
    <row r="163839" customFormat="1" x14ac:dyDescent="0.25"/>
    <row r="163840" customFormat="1" x14ac:dyDescent="0.25"/>
    <row r="163841" customFormat="1" x14ac:dyDescent="0.25"/>
    <row r="163842" customFormat="1" x14ac:dyDescent="0.25"/>
    <row r="163843" customFormat="1" x14ac:dyDescent="0.25"/>
    <row r="163844" customFormat="1" x14ac:dyDescent="0.25"/>
    <row r="163845" customFormat="1" x14ac:dyDescent="0.25"/>
    <row r="163846" customFormat="1" x14ac:dyDescent="0.25"/>
    <row r="163847" customFormat="1" x14ac:dyDescent="0.25"/>
    <row r="163848" customFormat="1" x14ac:dyDescent="0.25"/>
    <row r="163849" customFormat="1" x14ac:dyDescent="0.25"/>
    <row r="163850" customFormat="1" x14ac:dyDescent="0.25"/>
    <row r="163851" customFormat="1" x14ac:dyDescent="0.25"/>
    <row r="163852" customFormat="1" x14ac:dyDescent="0.25"/>
    <row r="163853" customFormat="1" x14ac:dyDescent="0.25"/>
    <row r="163854" customFormat="1" x14ac:dyDescent="0.25"/>
    <row r="163855" customFormat="1" x14ac:dyDescent="0.25"/>
    <row r="163856" customFormat="1" x14ac:dyDescent="0.25"/>
    <row r="163857" customFormat="1" x14ac:dyDescent="0.25"/>
    <row r="163858" customFormat="1" x14ac:dyDescent="0.25"/>
    <row r="163859" customFormat="1" x14ac:dyDescent="0.25"/>
    <row r="163860" customFormat="1" x14ac:dyDescent="0.25"/>
    <row r="163861" customFormat="1" x14ac:dyDescent="0.25"/>
    <row r="163862" customFormat="1" x14ac:dyDescent="0.25"/>
    <row r="163863" customFormat="1" x14ac:dyDescent="0.25"/>
    <row r="163864" customFormat="1" x14ac:dyDescent="0.25"/>
    <row r="163865" customFormat="1" x14ac:dyDescent="0.25"/>
    <row r="163866" customFormat="1" x14ac:dyDescent="0.25"/>
    <row r="163867" customFormat="1" x14ac:dyDescent="0.25"/>
    <row r="163868" customFormat="1" x14ac:dyDescent="0.25"/>
    <row r="163869" customFormat="1" x14ac:dyDescent="0.25"/>
    <row r="163870" customFormat="1" x14ac:dyDescent="0.25"/>
    <row r="163871" customFormat="1" x14ac:dyDescent="0.25"/>
    <row r="163872" customFormat="1" x14ac:dyDescent="0.25"/>
    <row r="163873" customFormat="1" x14ac:dyDescent="0.25"/>
    <row r="163874" customFormat="1" x14ac:dyDescent="0.25"/>
    <row r="163875" customFormat="1" x14ac:dyDescent="0.25"/>
    <row r="163876" customFormat="1" x14ac:dyDescent="0.25"/>
    <row r="163877" customFormat="1" x14ac:dyDescent="0.25"/>
    <row r="163878" customFormat="1" x14ac:dyDescent="0.25"/>
    <row r="163879" customFormat="1" x14ac:dyDescent="0.25"/>
    <row r="163880" customFormat="1" x14ac:dyDescent="0.25"/>
    <row r="163881" customFormat="1" x14ac:dyDescent="0.25"/>
    <row r="163882" customFormat="1" x14ac:dyDescent="0.25"/>
    <row r="163883" customFormat="1" x14ac:dyDescent="0.25"/>
    <row r="163884" customFormat="1" x14ac:dyDescent="0.25"/>
    <row r="163885" customFormat="1" x14ac:dyDescent="0.25"/>
    <row r="163886" customFormat="1" x14ac:dyDescent="0.25"/>
    <row r="163887" customFormat="1" x14ac:dyDescent="0.25"/>
    <row r="163888" customFormat="1" x14ac:dyDescent="0.25"/>
    <row r="163889" customFormat="1" x14ac:dyDescent="0.25"/>
    <row r="163890" customFormat="1" x14ac:dyDescent="0.25"/>
    <row r="163891" customFormat="1" x14ac:dyDescent="0.25"/>
    <row r="163892" customFormat="1" x14ac:dyDescent="0.25"/>
    <row r="163893" customFormat="1" x14ac:dyDescent="0.25"/>
    <row r="163894" customFormat="1" x14ac:dyDescent="0.25"/>
    <row r="163895" customFormat="1" x14ac:dyDescent="0.25"/>
    <row r="163896" customFormat="1" x14ac:dyDescent="0.25"/>
    <row r="163897" customFormat="1" x14ac:dyDescent="0.25"/>
    <row r="163898" customFormat="1" x14ac:dyDescent="0.25"/>
    <row r="163899" customFormat="1" x14ac:dyDescent="0.25"/>
    <row r="163900" customFormat="1" x14ac:dyDescent="0.25"/>
    <row r="163901" customFormat="1" x14ac:dyDescent="0.25"/>
    <row r="163902" customFormat="1" x14ac:dyDescent="0.25"/>
    <row r="163903" customFormat="1" x14ac:dyDescent="0.25"/>
    <row r="163904" customFormat="1" x14ac:dyDescent="0.25"/>
    <row r="163905" customFormat="1" x14ac:dyDescent="0.25"/>
    <row r="163906" customFormat="1" x14ac:dyDescent="0.25"/>
    <row r="163907" customFormat="1" x14ac:dyDescent="0.25"/>
    <row r="163908" customFormat="1" x14ac:dyDescent="0.25"/>
    <row r="163909" customFormat="1" x14ac:dyDescent="0.25"/>
    <row r="163910" customFormat="1" x14ac:dyDescent="0.25"/>
    <row r="163911" customFormat="1" x14ac:dyDescent="0.25"/>
    <row r="163912" customFormat="1" x14ac:dyDescent="0.25"/>
    <row r="163913" customFormat="1" x14ac:dyDescent="0.25"/>
    <row r="163914" customFormat="1" x14ac:dyDescent="0.25"/>
    <row r="163915" customFormat="1" x14ac:dyDescent="0.25"/>
    <row r="163916" customFormat="1" x14ac:dyDescent="0.25"/>
    <row r="163917" customFormat="1" x14ac:dyDescent="0.25"/>
    <row r="163918" customFormat="1" x14ac:dyDescent="0.25"/>
    <row r="163919" customFormat="1" x14ac:dyDescent="0.25"/>
    <row r="163920" customFormat="1" x14ac:dyDescent="0.25"/>
    <row r="163921" customFormat="1" x14ac:dyDescent="0.25"/>
    <row r="163922" customFormat="1" x14ac:dyDescent="0.25"/>
    <row r="163923" customFormat="1" x14ac:dyDescent="0.25"/>
    <row r="163924" customFormat="1" x14ac:dyDescent="0.25"/>
    <row r="163925" customFormat="1" x14ac:dyDescent="0.25"/>
    <row r="163926" customFormat="1" x14ac:dyDescent="0.25"/>
    <row r="163927" customFormat="1" x14ac:dyDescent="0.25"/>
    <row r="163928" customFormat="1" x14ac:dyDescent="0.25"/>
    <row r="163929" customFormat="1" x14ac:dyDescent="0.25"/>
    <row r="163930" customFormat="1" x14ac:dyDescent="0.25"/>
    <row r="163931" customFormat="1" x14ac:dyDescent="0.25"/>
    <row r="163932" customFormat="1" x14ac:dyDescent="0.25"/>
    <row r="163933" customFormat="1" x14ac:dyDescent="0.25"/>
    <row r="163934" customFormat="1" x14ac:dyDescent="0.25"/>
    <row r="163935" customFormat="1" x14ac:dyDescent="0.25"/>
    <row r="163936" customFormat="1" x14ac:dyDescent="0.25"/>
    <row r="163937" customFormat="1" x14ac:dyDescent="0.25"/>
    <row r="163938" customFormat="1" x14ac:dyDescent="0.25"/>
    <row r="163939" customFormat="1" x14ac:dyDescent="0.25"/>
    <row r="163940" customFormat="1" x14ac:dyDescent="0.25"/>
    <row r="163941" customFormat="1" x14ac:dyDescent="0.25"/>
    <row r="163942" customFormat="1" x14ac:dyDescent="0.25"/>
    <row r="163943" customFormat="1" x14ac:dyDescent="0.25"/>
    <row r="163944" customFormat="1" x14ac:dyDescent="0.25"/>
    <row r="163945" customFormat="1" x14ac:dyDescent="0.25"/>
    <row r="163946" customFormat="1" x14ac:dyDescent="0.25"/>
    <row r="163947" customFormat="1" x14ac:dyDescent="0.25"/>
    <row r="163948" customFormat="1" x14ac:dyDescent="0.25"/>
    <row r="163949" customFormat="1" x14ac:dyDescent="0.25"/>
    <row r="163950" customFormat="1" x14ac:dyDescent="0.25"/>
    <row r="163951" customFormat="1" x14ac:dyDescent="0.25"/>
    <row r="163952" customFormat="1" x14ac:dyDescent="0.25"/>
    <row r="163953" customFormat="1" x14ac:dyDescent="0.25"/>
    <row r="163954" customFormat="1" x14ac:dyDescent="0.25"/>
    <row r="163955" customFormat="1" x14ac:dyDescent="0.25"/>
    <row r="163956" customFormat="1" x14ac:dyDescent="0.25"/>
    <row r="163957" customFormat="1" x14ac:dyDescent="0.25"/>
    <row r="163958" customFormat="1" x14ac:dyDescent="0.25"/>
    <row r="163959" customFormat="1" x14ac:dyDescent="0.25"/>
    <row r="163960" customFormat="1" x14ac:dyDescent="0.25"/>
    <row r="163961" customFormat="1" x14ac:dyDescent="0.25"/>
    <row r="163962" customFormat="1" x14ac:dyDescent="0.25"/>
    <row r="163963" customFormat="1" x14ac:dyDescent="0.25"/>
    <row r="163964" customFormat="1" x14ac:dyDescent="0.25"/>
    <row r="163965" customFormat="1" x14ac:dyDescent="0.25"/>
    <row r="163966" customFormat="1" x14ac:dyDescent="0.25"/>
    <row r="163967" customFormat="1" x14ac:dyDescent="0.25"/>
    <row r="163968" customFormat="1" x14ac:dyDescent="0.25"/>
    <row r="163969" customFormat="1" x14ac:dyDescent="0.25"/>
    <row r="163970" customFormat="1" x14ac:dyDescent="0.25"/>
    <row r="163971" customFormat="1" x14ac:dyDescent="0.25"/>
    <row r="163972" customFormat="1" x14ac:dyDescent="0.25"/>
    <row r="163973" customFormat="1" x14ac:dyDescent="0.25"/>
    <row r="163974" customFormat="1" x14ac:dyDescent="0.25"/>
    <row r="163975" customFormat="1" x14ac:dyDescent="0.25"/>
    <row r="163976" customFormat="1" x14ac:dyDescent="0.25"/>
    <row r="163977" customFormat="1" x14ac:dyDescent="0.25"/>
    <row r="163978" customFormat="1" x14ac:dyDescent="0.25"/>
    <row r="163979" customFormat="1" x14ac:dyDescent="0.25"/>
    <row r="163980" customFormat="1" x14ac:dyDescent="0.25"/>
    <row r="163981" customFormat="1" x14ac:dyDescent="0.25"/>
    <row r="163982" customFormat="1" x14ac:dyDescent="0.25"/>
    <row r="163983" customFormat="1" x14ac:dyDescent="0.25"/>
    <row r="163984" customFormat="1" x14ac:dyDescent="0.25"/>
    <row r="163985" customFormat="1" x14ac:dyDescent="0.25"/>
    <row r="163986" customFormat="1" x14ac:dyDescent="0.25"/>
    <row r="163987" customFormat="1" x14ac:dyDescent="0.25"/>
    <row r="163988" customFormat="1" x14ac:dyDescent="0.25"/>
    <row r="163989" customFormat="1" x14ac:dyDescent="0.25"/>
    <row r="163990" customFormat="1" x14ac:dyDescent="0.25"/>
    <row r="163991" customFormat="1" x14ac:dyDescent="0.25"/>
    <row r="163992" customFormat="1" x14ac:dyDescent="0.25"/>
    <row r="163993" customFormat="1" x14ac:dyDescent="0.25"/>
    <row r="163994" customFormat="1" x14ac:dyDescent="0.25"/>
    <row r="163995" customFormat="1" x14ac:dyDescent="0.25"/>
    <row r="163996" customFormat="1" x14ac:dyDescent="0.25"/>
    <row r="163997" customFormat="1" x14ac:dyDescent="0.25"/>
    <row r="163998" customFormat="1" x14ac:dyDescent="0.25"/>
    <row r="163999" customFormat="1" x14ac:dyDescent="0.25"/>
    <row r="164000" customFormat="1" x14ac:dyDescent="0.25"/>
    <row r="164001" customFormat="1" x14ac:dyDescent="0.25"/>
    <row r="164002" customFormat="1" x14ac:dyDescent="0.25"/>
    <row r="164003" customFormat="1" x14ac:dyDescent="0.25"/>
    <row r="164004" customFormat="1" x14ac:dyDescent="0.25"/>
    <row r="164005" customFormat="1" x14ac:dyDescent="0.25"/>
    <row r="164006" customFormat="1" x14ac:dyDescent="0.25"/>
    <row r="164007" customFormat="1" x14ac:dyDescent="0.25"/>
    <row r="164008" customFormat="1" x14ac:dyDescent="0.25"/>
    <row r="164009" customFormat="1" x14ac:dyDescent="0.25"/>
    <row r="164010" customFormat="1" x14ac:dyDescent="0.25"/>
    <row r="164011" customFormat="1" x14ac:dyDescent="0.25"/>
    <row r="164012" customFormat="1" x14ac:dyDescent="0.25"/>
    <row r="164013" customFormat="1" x14ac:dyDescent="0.25"/>
    <row r="164014" customFormat="1" x14ac:dyDescent="0.25"/>
    <row r="164015" customFormat="1" x14ac:dyDescent="0.25"/>
    <row r="164016" customFormat="1" x14ac:dyDescent="0.25"/>
    <row r="164017" customFormat="1" x14ac:dyDescent="0.25"/>
    <row r="164018" customFormat="1" x14ac:dyDescent="0.25"/>
    <row r="164019" customFormat="1" x14ac:dyDescent="0.25"/>
    <row r="164020" customFormat="1" x14ac:dyDescent="0.25"/>
    <row r="164021" customFormat="1" x14ac:dyDescent="0.25"/>
    <row r="164022" customFormat="1" x14ac:dyDescent="0.25"/>
    <row r="164023" customFormat="1" x14ac:dyDescent="0.25"/>
    <row r="164024" customFormat="1" x14ac:dyDescent="0.25"/>
    <row r="164025" customFormat="1" x14ac:dyDescent="0.25"/>
    <row r="164026" customFormat="1" x14ac:dyDescent="0.25"/>
    <row r="164027" customFormat="1" x14ac:dyDescent="0.25"/>
    <row r="164028" customFormat="1" x14ac:dyDescent="0.25"/>
    <row r="164029" customFormat="1" x14ac:dyDescent="0.25"/>
    <row r="164030" customFormat="1" x14ac:dyDescent="0.25"/>
    <row r="164031" customFormat="1" x14ac:dyDescent="0.25"/>
    <row r="164032" customFormat="1" x14ac:dyDescent="0.25"/>
    <row r="164033" customFormat="1" x14ac:dyDescent="0.25"/>
    <row r="164034" customFormat="1" x14ac:dyDescent="0.25"/>
    <row r="164035" customFormat="1" x14ac:dyDescent="0.25"/>
    <row r="164036" customFormat="1" x14ac:dyDescent="0.25"/>
    <row r="164037" customFormat="1" x14ac:dyDescent="0.25"/>
    <row r="164038" customFormat="1" x14ac:dyDescent="0.25"/>
    <row r="164039" customFormat="1" x14ac:dyDescent="0.25"/>
    <row r="164040" customFormat="1" x14ac:dyDescent="0.25"/>
    <row r="164041" customFormat="1" x14ac:dyDescent="0.25"/>
    <row r="164042" customFormat="1" x14ac:dyDescent="0.25"/>
    <row r="164043" customFormat="1" x14ac:dyDescent="0.25"/>
    <row r="164044" customFormat="1" x14ac:dyDescent="0.25"/>
    <row r="164045" customFormat="1" x14ac:dyDescent="0.25"/>
    <row r="164046" customFormat="1" x14ac:dyDescent="0.25"/>
    <row r="164047" customFormat="1" x14ac:dyDescent="0.25"/>
    <row r="164048" customFormat="1" x14ac:dyDescent="0.25"/>
    <row r="164049" customFormat="1" x14ac:dyDescent="0.25"/>
    <row r="164050" customFormat="1" x14ac:dyDescent="0.25"/>
    <row r="164051" customFormat="1" x14ac:dyDescent="0.25"/>
    <row r="164052" customFormat="1" x14ac:dyDescent="0.25"/>
    <row r="164053" customFormat="1" x14ac:dyDescent="0.25"/>
    <row r="164054" customFormat="1" x14ac:dyDescent="0.25"/>
    <row r="164055" customFormat="1" x14ac:dyDescent="0.25"/>
    <row r="164056" customFormat="1" x14ac:dyDescent="0.25"/>
    <row r="164057" customFormat="1" x14ac:dyDescent="0.25"/>
    <row r="164058" customFormat="1" x14ac:dyDescent="0.25"/>
    <row r="164059" customFormat="1" x14ac:dyDescent="0.25"/>
    <row r="164060" customFormat="1" x14ac:dyDescent="0.25"/>
    <row r="164061" customFormat="1" x14ac:dyDescent="0.25"/>
    <row r="164062" customFormat="1" x14ac:dyDescent="0.25"/>
    <row r="164063" customFormat="1" x14ac:dyDescent="0.25"/>
    <row r="164064" customFormat="1" x14ac:dyDescent="0.25"/>
    <row r="164065" customFormat="1" x14ac:dyDescent="0.25"/>
    <row r="164066" customFormat="1" x14ac:dyDescent="0.25"/>
    <row r="164067" customFormat="1" x14ac:dyDescent="0.25"/>
    <row r="164068" customFormat="1" x14ac:dyDescent="0.25"/>
    <row r="164069" customFormat="1" x14ac:dyDescent="0.25"/>
    <row r="164070" customFormat="1" x14ac:dyDescent="0.25"/>
    <row r="164071" customFormat="1" x14ac:dyDescent="0.25"/>
    <row r="164072" customFormat="1" x14ac:dyDescent="0.25"/>
    <row r="164073" customFormat="1" x14ac:dyDescent="0.25"/>
    <row r="164074" customFormat="1" x14ac:dyDescent="0.25"/>
    <row r="164075" customFormat="1" x14ac:dyDescent="0.25"/>
    <row r="164076" customFormat="1" x14ac:dyDescent="0.25"/>
    <row r="164077" customFormat="1" x14ac:dyDescent="0.25"/>
    <row r="164078" customFormat="1" x14ac:dyDescent="0.25"/>
    <row r="164079" customFormat="1" x14ac:dyDescent="0.25"/>
    <row r="164080" customFormat="1" x14ac:dyDescent="0.25"/>
    <row r="164081" customFormat="1" x14ac:dyDescent="0.25"/>
    <row r="164082" customFormat="1" x14ac:dyDescent="0.25"/>
    <row r="164083" customFormat="1" x14ac:dyDescent="0.25"/>
    <row r="164084" customFormat="1" x14ac:dyDescent="0.25"/>
    <row r="164085" customFormat="1" x14ac:dyDescent="0.25"/>
    <row r="164086" customFormat="1" x14ac:dyDescent="0.25"/>
    <row r="164087" customFormat="1" x14ac:dyDescent="0.25"/>
    <row r="164088" customFormat="1" x14ac:dyDescent="0.25"/>
    <row r="164089" customFormat="1" x14ac:dyDescent="0.25"/>
    <row r="164090" customFormat="1" x14ac:dyDescent="0.25"/>
    <row r="164091" customFormat="1" x14ac:dyDescent="0.25"/>
    <row r="164092" customFormat="1" x14ac:dyDescent="0.25"/>
    <row r="164093" customFormat="1" x14ac:dyDescent="0.25"/>
    <row r="164094" customFormat="1" x14ac:dyDescent="0.25"/>
    <row r="164095" customFormat="1" x14ac:dyDescent="0.25"/>
    <row r="164096" customFormat="1" x14ac:dyDescent="0.25"/>
    <row r="164097" customFormat="1" x14ac:dyDescent="0.25"/>
    <row r="164098" customFormat="1" x14ac:dyDescent="0.25"/>
    <row r="164099" customFormat="1" x14ac:dyDescent="0.25"/>
    <row r="164100" customFormat="1" x14ac:dyDescent="0.25"/>
    <row r="164101" customFormat="1" x14ac:dyDescent="0.25"/>
    <row r="164102" customFormat="1" x14ac:dyDescent="0.25"/>
    <row r="164103" customFormat="1" x14ac:dyDescent="0.25"/>
    <row r="164104" customFormat="1" x14ac:dyDescent="0.25"/>
    <row r="164105" customFormat="1" x14ac:dyDescent="0.25"/>
    <row r="164106" customFormat="1" x14ac:dyDescent="0.25"/>
    <row r="164107" customFormat="1" x14ac:dyDescent="0.25"/>
    <row r="164108" customFormat="1" x14ac:dyDescent="0.25"/>
    <row r="164109" customFormat="1" x14ac:dyDescent="0.25"/>
    <row r="164110" customFormat="1" x14ac:dyDescent="0.25"/>
    <row r="164111" customFormat="1" x14ac:dyDescent="0.25"/>
    <row r="164112" customFormat="1" x14ac:dyDescent="0.25"/>
    <row r="164113" customFormat="1" x14ac:dyDescent="0.25"/>
    <row r="164114" customFormat="1" x14ac:dyDescent="0.25"/>
    <row r="164115" customFormat="1" x14ac:dyDescent="0.25"/>
    <row r="164116" customFormat="1" x14ac:dyDescent="0.25"/>
    <row r="164117" customFormat="1" x14ac:dyDescent="0.25"/>
    <row r="164118" customFormat="1" x14ac:dyDescent="0.25"/>
    <row r="164119" customFormat="1" x14ac:dyDescent="0.25"/>
    <row r="164120" customFormat="1" x14ac:dyDescent="0.25"/>
    <row r="164121" customFormat="1" x14ac:dyDescent="0.25"/>
    <row r="164122" customFormat="1" x14ac:dyDescent="0.25"/>
    <row r="164123" customFormat="1" x14ac:dyDescent="0.25"/>
    <row r="164124" customFormat="1" x14ac:dyDescent="0.25"/>
    <row r="164125" customFormat="1" x14ac:dyDescent="0.25"/>
    <row r="164126" customFormat="1" x14ac:dyDescent="0.25"/>
    <row r="164127" customFormat="1" x14ac:dyDescent="0.25"/>
    <row r="164128" customFormat="1" x14ac:dyDescent="0.25"/>
    <row r="164129" customFormat="1" x14ac:dyDescent="0.25"/>
    <row r="164130" customFormat="1" x14ac:dyDescent="0.25"/>
    <row r="164131" customFormat="1" x14ac:dyDescent="0.25"/>
    <row r="164132" customFormat="1" x14ac:dyDescent="0.25"/>
    <row r="164133" customFormat="1" x14ac:dyDescent="0.25"/>
    <row r="164134" customFormat="1" x14ac:dyDescent="0.25"/>
    <row r="164135" customFormat="1" x14ac:dyDescent="0.25"/>
    <row r="164136" customFormat="1" x14ac:dyDescent="0.25"/>
    <row r="164137" customFormat="1" x14ac:dyDescent="0.25"/>
    <row r="164138" customFormat="1" x14ac:dyDescent="0.25"/>
    <row r="164139" customFormat="1" x14ac:dyDescent="0.25"/>
    <row r="164140" customFormat="1" x14ac:dyDescent="0.25"/>
    <row r="164141" customFormat="1" x14ac:dyDescent="0.25"/>
    <row r="164142" customFormat="1" x14ac:dyDescent="0.25"/>
    <row r="164143" customFormat="1" x14ac:dyDescent="0.25"/>
    <row r="164144" customFormat="1" x14ac:dyDescent="0.25"/>
    <row r="164145" customFormat="1" x14ac:dyDescent="0.25"/>
    <row r="164146" customFormat="1" x14ac:dyDescent="0.25"/>
    <row r="164147" customFormat="1" x14ac:dyDescent="0.25"/>
    <row r="164148" customFormat="1" x14ac:dyDescent="0.25"/>
    <row r="164149" customFormat="1" x14ac:dyDescent="0.25"/>
    <row r="164150" customFormat="1" x14ac:dyDescent="0.25"/>
    <row r="164151" customFormat="1" x14ac:dyDescent="0.25"/>
    <row r="164152" customFormat="1" x14ac:dyDescent="0.25"/>
    <row r="164153" customFormat="1" x14ac:dyDescent="0.25"/>
    <row r="164154" customFormat="1" x14ac:dyDescent="0.25"/>
    <row r="164155" customFormat="1" x14ac:dyDescent="0.25"/>
    <row r="164156" customFormat="1" x14ac:dyDescent="0.25"/>
    <row r="164157" customFormat="1" x14ac:dyDescent="0.25"/>
    <row r="164158" customFormat="1" x14ac:dyDescent="0.25"/>
    <row r="164159" customFormat="1" x14ac:dyDescent="0.25"/>
    <row r="164160" customFormat="1" x14ac:dyDescent="0.25"/>
    <row r="164161" customFormat="1" x14ac:dyDescent="0.25"/>
    <row r="164162" customFormat="1" x14ac:dyDescent="0.25"/>
    <row r="164163" customFormat="1" x14ac:dyDescent="0.25"/>
    <row r="164164" customFormat="1" x14ac:dyDescent="0.25"/>
    <row r="164165" customFormat="1" x14ac:dyDescent="0.25"/>
    <row r="164166" customFormat="1" x14ac:dyDescent="0.25"/>
    <row r="164167" customFormat="1" x14ac:dyDescent="0.25"/>
    <row r="164168" customFormat="1" x14ac:dyDescent="0.25"/>
    <row r="164169" customFormat="1" x14ac:dyDescent="0.25"/>
    <row r="164170" customFormat="1" x14ac:dyDescent="0.25"/>
    <row r="164171" customFormat="1" x14ac:dyDescent="0.25"/>
    <row r="164172" customFormat="1" x14ac:dyDescent="0.25"/>
    <row r="164173" customFormat="1" x14ac:dyDescent="0.25"/>
    <row r="164174" customFormat="1" x14ac:dyDescent="0.25"/>
    <row r="164175" customFormat="1" x14ac:dyDescent="0.25"/>
    <row r="164176" customFormat="1" x14ac:dyDescent="0.25"/>
    <row r="164177" customFormat="1" x14ac:dyDescent="0.25"/>
    <row r="164178" customFormat="1" x14ac:dyDescent="0.25"/>
    <row r="164179" customFormat="1" x14ac:dyDescent="0.25"/>
    <row r="164180" customFormat="1" x14ac:dyDescent="0.25"/>
    <row r="164181" customFormat="1" x14ac:dyDescent="0.25"/>
    <row r="164182" customFormat="1" x14ac:dyDescent="0.25"/>
    <row r="164183" customFormat="1" x14ac:dyDescent="0.25"/>
    <row r="164184" customFormat="1" x14ac:dyDescent="0.25"/>
    <row r="164185" customFormat="1" x14ac:dyDescent="0.25"/>
    <row r="164186" customFormat="1" x14ac:dyDescent="0.25"/>
    <row r="164187" customFormat="1" x14ac:dyDescent="0.25"/>
    <row r="164188" customFormat="1" x14ac:dyDescent="0.25"/>
    <row r="164189" customFormat="1" x14ac:dyDescent="0.25"/>
    <row r="164190" customFormat="1" x14ac:dyDescent="0.25"/>
    <row r="164191" customFormat="1" x14ac:dyDescent="0.25"/>
    <row r="164192" customFormat="1" x14ac:dyDescent="0.25"/>
    <row r="164193" customFormat="1" x14ac:dyDescent="0.25"/>
    <row r="164194" customFormat="1" x14ac:dyDescent="0.25"/>
    <row r="164195" customFormat="1" x14ac:dyDescent="0.25"/>
    <row r="164196" customFormat="1" x14ac:dyDescent="0.25"/>
    <row r="164197" customFormat="1" x14ac:dyDescent="0.25"/>
    <row r="164198" customFormat="1" x14ac:dyDescent="0.25"/>
    <row r="164199" customFormat="1" x14ac:dyDescent="0.25"/>
    <row r="164200" customFormat="1" x14ac:dyDescent="0.25"/>
    <row r="164201" customFormat="1" x14ac:dyDescent="0.25"/>
    <row r="164202" customFormat="1" x14ac:dyDescent="0.25"/>
    <row r="164203" customFormat="1" x14ac:dyDescent="0.25"/>
    <row r="164204" customFormat="1" x14ac:dyDescent="0.25"/>
    <row r="164205" customFormat="1" x14ac:dyDescent="0.25"/>
    <row r="164206" customFormat="1" x14ac:dyDescent="0.25"/>
    <row r="164207" customFormat="1" x14ac:dyDescent="0.25"/>
    <row r="164208" customFormat="1" x14ac:dyDescent="0.25"/>
    <row r="164209" customFormat="1" x14ac:dyDescent="0.25"/>
    <row r="164210" customFormat="1" x14ac:dyDescent="0.25"/>
    <row r="164211" customFormat="1" x14ac:dyDescent="0.25"/>
    <row r="164212" customFormat="1" x14ac:dyDescent="0.25"/>
    <row r="164213" customFormat="1" x14ac:dyDescent="0.25"/>
    <row r="164214" customFormat="1" x14ac:dyDescent="0.25"/>
    <row r="164215" customFormat="1" x14ac:dyDescent="0.25"/>
    <row r="164216" customFormat="1" x14ac:dyDescent="0.25"/>
    <row r="164217" customFormat="1" x14ac:dyDescent="0.25"/>
    <row r="164218" customFormat="1" x14ac:dyDescent="0.25"/>
    <row r="164219" customFormat="1" x14ac:dyDescent="0.25"/>
    <row r="164220" customFormat="1" x14ac:dyDescent="0.25"/>
    <row r="164221" customFormat="1" x14ac:dyDescent="0.25"/>
    <row r="164222" customFormat="1" x14ac:dyDescent="0.25"/>
    <row r="164223" customFormat="1" x14ac:dyDescent="0.25"/>
    <row r="164224" customFormat="1" x14ac:dyDescent="0.25"/>
    <row r="164225" customFormat="1" x14ac:dyDescent="0.25"/>
    <row r="164226" customFormat="1" x14ac:dyDescent="0.25"/>
    <row r="164227" customFormat="1" x14ac:dyDescent="0.25"/>
    <row r="164228" customFormat="1" x14ac:dyDescent="0.25"/>
    <row r="164229" customFormat="1" x14ac:dyDescent="0.25"/>
    <row r="164230" customFormat="1" x14ac:dyDescent="0.25"/>
    <row r="164231" customFormat="1" x14ac:dyDescent="0.25"/>
    <row r="164232" customFormat="1" x14ac:dyDescent="0.25"/>
    <row r="164233" customFormat="1" x14ac:dyDescent="0.25"/>
    <row r="164234" customFormat="1" x14ac:dyDescent="0.25"/>
    <row r="164235" customFormat="1" x14ac:dyDescent="0.25"/>
    <row r="164236" customFormat="1" x14ac:dyDescent="0.25"/>
    <row r="164237" customFormat="1" x14ac:dyDescent="0.25"/>
    <row r="164238" customFormat="1" x14ac:dyDescent="0.25"/>
    <row r="164239" customFormat="1" x14ac:dyDescent="0.25"/>
    <row r="164240" customFormat="1" x14ac:dyDescent="0.25"/>
    <row r="164241" customFormat="1" x14ac:dyDescent="0.25"/>
    <row r="164242" customFormat="1" x14ac:dyDescent="0.25"/>
    <row r="164243" customFormat="1" x14ac:dyDescent="0.25"/>
    <row r="164244" customFormat="1" x14ac:dyDescent="0.25"/>
    <row r="164245" customFormat="1" x14ac:dyDescent="0.25"/>
    <row r="164246" customFormat="1" x14ac:dyDescent="0.25"/>
    <row r="164247" customFormat="1" x14ac:dyDescent="0.25"/>
    <row r="164248" customFormat="1" x14ac:dyDescent="0.25"/>
    <row r="164249" customFormat="1" x14ac:dyDescent="0.25"/>
    <row r="164250" customFormat="1" x14ac:dyDescent="0.25"/>
    <row r="164251" customFormat="1" x14ac:dyDescent="0.25"/>
    <row r="164252" customFormat="1" x14ac:dyDescent="0.25"/>
    <row r="164253" customFormat="1" x14ac:dyDescent="0.25"/>
    <row r="164254" customFormat="1" x14ac:dyDescent="0.25"/>
    <row r="164255" customFormat="1" x14ac:dyDescent="0.25"/>
    <row r="164256" customFormat="1" x14ac:dyDescent="0.25"/>
    <row r="164257" customFormat="1" x14ac:dyDescent="0.25"/>
    <row r="164258" customFormat="1" x14ac:dyDescent="0.25"/>
    <row r="164259" customFormat="1" x14ac:dyDescent="0.25"/>
    <row r="164260" customFormat="1" x14ac:dyDescent="0.25"/>
    <row r="164261" customFormat="1" x14ac:dyDescent="0.25"/>
    <row r="164262" customFormat="1" x14ac:dyDescent="0.25"/>
    <row r="164263" customFormat="1" x14ac:dyDescent="0.25"/>
    <row r="164264" customFormat="1" x14ac:dyDescent="0.25"/>
    <row r="164265" customFormat="1" x14ac:dyDescent="0.25"/>
    <row r="164266" customFormat="1" x14ac:dyDescent="0.25"/>
    <row r="164267" customFormat="1" x14ac:dyDescent="0.25"/>
    <row r="164268" customFormat="1" x14ac:dyDescent="0.25"/>
    <row r="164269" customFormat="1" x14ac:dyDescent="0.25"/>
    <row r="164270" customFormat="1" x14ac:dyDescent="0.25"/>
    <row r="164271" customFormat="1" x14ac:dyDescent="0.25"/>
    <row r="164272" customFormat="1" x14ac:dyDescent="0.25"/>
    <row r="164273" customFormat="1" x14ac:dyDescent="0.25"/>
    <row r="164274" customFormat="1" x14ac:dyDescent="0.25"/>
    <row r="164275" customFormat="1" x14ac:dyDescent="0.25"/>
    <row r="164276" customFormat="1" x14ac:dyDescent="0.25"/>
    <row r="164277" customFormat="1" x14ac:dyDescent="0.25"/>
    <row r="164278" customFormat="1" x14ac:dyDescent="0.25"/>
    <row r="164279" customFormat="1" x14ac:dyDescent="0.25"/>
    <row r="164280" customFormat="1" x14ac:dyDescent="0.25"/>
    <row r="164281" customFormat="1" x14ac:dyDescent="0.25"/>
    <row r="164282" customFormat="1" x14ac:dyDescent="0.25"/>
    <row r="164283" customFormat="1" x14ac:dyDescent="0.25"/>
    <row r="164284" customFormat="1" x14ac:dyDescent="0.25"/>
    <row r="164285" customFormat="1" x14ac:dyDescent="0.25"/>
    <row r="164286" customFormat="1" x14ac:dyDescent="0.25"/>
    <row r="164287" customFormat="1" x14ac:dyDescent="0.25"/>
    <row r="164288" customFormat="1" x14ac:dyDescent="0.25"/>
    <row r="164289" customFormat="1" x14ac:dyDescent="0.25"/>
    <row r="164290" customFormat="1" x14ac:dyDescent="0.25"/>
    <row r="164291" customFormat="1" x14ac:dyDescent="0.25"/>
    <row r="164292" customFormat="1" x14ac:dyDescent="0.25"/>
    <row r="164293" customFormat="1" x14ac:dyDescent="0.25"/>
    <row r="164294" customFormat="1" x14ac:dyDescent="0.25"/>
    <row r="164295" customFormat="1" x14ac:dyDescent="0.25"/>
    <row r="164296" customFormat="1" x14ac:dyDescent="0.25"/>
    <row r="164297" customFormat="1" x14ac:dyDescent="0.25"/>
    <row r="164298" customFormat="1" x14ac:dyDescent="0.25"/>
    <row r="164299" customFormat="1" x14ac:dyDescent="0.25"/>
    <row r="164300" customFormat="1" x14ac:dyDescent="0.25"/>
    <row r="164301" customFormat="1" x14ac:dyDescent="0.25"/>
    <row r="164302" customFormat="1" x14ac:dyDescent="0.25"/>
    <row r="164303" customFormat="1" x14ac:dyDescent="0.25"/>
    <row r="164304" customFormat="1" x14ac:dyDescent="0.25"/>
    <row r="164305" customFormat="1" x14ac:dyDescent="0.25"/>
    <row r="164306" customFormat="1" x14ac:dyDescent="0.25"/>
    <row r="164307" customFormat="1" x14ac:dyDescent="0.25"/>
    <row r="164308" customFormat="1" x14ac:dyDescent="0.25"/>
    <row r="164309" customFormat="1" x14ac:dyDescent="0.25"/>
    <row r="164310" customFormat="1" x14ac:dyDescent="0.25"/>
    <row r="164311" customFormat="1" x14ac:dyDescent="0.25"/>
    <row r="164312" customFormat="1" x14ac:dyDescent="0.25"/>
    <row r="164313" customFormat="1" x14ac:dyDescent="0.25"/>
    <row r="164314" customFormat="1" x14ac:dyDescent="0.25"/>
    <row r="164315" customFormat="1" x14ac:dyDescent="0.25"/>
    <row r="164316" customFormat="1" x14ac:dyDescent="0.25"/>
    <row r="164317" customFormat="1" x14ac:dyDescent="0.25"/>
    <row r="164318" customFormat="1" x14ac:dyDescent="0.25"/>
    <row r="164319" customFormat="1" x14ac:dyDescent="0.25"/>
    <row r="164320" customFormat="1" x14ac:dyDescent="0.25"/>
    <row r="164321" customFormat="1" x14ac:dyDescent="0.25"/>
    <row r="164322" customFormat="1" x14ac:dyDescent="0.25"/>
    <row r="164323" customFormat="1" x14ac:dyDescent="0.25"/>
    <row r="164324" customFormat="1" x14ac:dyDescent="0.25"/>
    <row r="164325" customFormat="1" x14ac:dyDescent="0.25"/>
    <row r="164326" customFormat="1" x14ac:dyDescent="0.25"/>
    <row r="164327" customFormat="1" x14ac:dyDescent="0.25"/>
    <row r="164328" customFormat="1" x14ac:dyDescent="0.25"/>
    <row r="164329" customFormat="1" x14ac:dyDescent="0.25"/>
    <row r="164330" customFormat="1" x14ac:dyDescent="0.25"/>
    <row r="164331" customFormat="1" x14ac:dyDescent="0.25"/>
    <row r="164332" customFormat="1" x14ac:dyDescent="0.25"/>
    <row r="164333" customFormat="1" x14ac:dyDescent="0.25"/>
    <row r="164334" customFormat="1" x14ac:dyDescent="0.25"/>
    <row r="164335" customFormat="1" x14ac:dyDescent="0.25"/>
    <row r="164336" customFormat="1" x14ac:dyDescent="0.25"/>
    <row r="164337" customFormat="1" x14ac:dyDescent="0.25"/>
    <row r="164338" customFormat="1" x14ac:dyDescent="0.25"/>
    <row r="164339" customFormat="1" x14ac:dyDescent="0.25"/>
    <row r="164340" customFormat="1" x14ac:dyDescent="0.25"/>
    <row r="164341" customFormat="1" x14ac:dyDescent="0.25"/>
    <row r="164342" customFormat="1" x14ac:dyDescent="0.25"/>
    <row r="164343" customFormat="1" x14ac:dyDescent="0.25"/>
    <row r="164344" customFormat="1" x14ac:dyDescent="0.25"/>
    <row r="164345" customFormat="1" x14ac:dyDescent="0.25"/>
    <row r="164346" customFormat="1" x14ac:dyDescent="0.25"/>
    <row r="164347" customFormat="1" x14ac:dyDescent="0.25"/>
    <row r="164348" customFormat="1" x14ac:dyDescent="0.25"/>
    <row r="164349" customFormat="1" x14ac:dyDescent="0.25"/>
    <row r="164350" customFormat="1" x14ac:dyDescent="0.25"/>
    <row r="164351" customFormat="1" x14ac:dyDescent="0.25"/>
    <row r="164352" customFormat="1" x14ac:dyDescent="0.25"/>
    <row r="164353" customFormat="1" x14ac:dyDescent="0.25"/>
    <row r="164354" customFormat="1" x14ac:dyDescent="0.25"/>
    <row r="164355" customFormat="1" x14ac:dyDescent="0.25"/>
    <row r="164356" customFormat="1" x14ac:dyDescent="0.25"/>
    <row r="164357" customFormat="1" x14ac:dyDescent="0.25"/>
    <row r="164358" customFormat="1" x14ac:dyDescent="0.25"/>
    <row r="164359" customFormat="1" x14ac:dyDescent="0.25"/>
    <row r="164360" customFormat="1" x14ac:dyDescent="0.25"/>
    <row r="164361" customFormat="1" x14ac:dyDescent="0.25"/>
    <row r="164362" customFormat="1" x14ac:dyDescent="0.25"/>
    <row r="164363" customFormat="1" x14ac:dyDescent="0.25"/>
    <row r="164364" customFormat="1" x14ac:dyDescent="0.25"/>
    <row r="164365" customFormat="1" x14ac:dyDescent="0.25"/>
    <row r="164366" customFormat="1" x14ac:dyDescent="0.25"/>
    <row r="164367" customFormat="1" x14ac:dyDescent="0.25"/>
    <row r="164368" customFormat="1" x14ac:dyDescent="0.25"/>
    <row r="164369" customFormat="1" x14ac:dyDescent="0.25"/>
    <row r="164370" customFormat="1" x14ac:dyDescent="0.25"/>
    <row r="164371" customFormat="1" x14ac:dyDescent="0.25"/>
    <row r="164372" customFormat="1" x14ac:dyDescent="0.25"/>
    <row r="164373" customFormat="1" x14ac:dyDescent="0.25"/>
    <row r="164374" customFormat="1" x14ac:dyDescent="0.25"/>
    <row r="164375" customFormat="1" x14ac:dyDescent="0.25"/>
    <row r="164376" customFormat="1" x14ac:dyDescent="0.25"/>
    <row r="164377" customFormat="1" x14ac:dyDescent="0.25"/>
    <row r="164378" customFormat="1" x14ac:dyDescent="0.25"/>
    <row r="164379" customFormat="1" x14ac:dyDescent="0.25"/>
    <row r="164380" customFormat="1" x14ac:dyDescent="0.25"/>
    <row r="164381" customFormat="1" x14ac:dyDescent="0.25"/>
    <row r="164382" customFormat="1" x14ac:dyDescent="0.25"/>
    <row r="164383" customFormat="1" x14ac:dyDescent="0.25"/>
    <row r="164384" customFormat="1" x14ac:dyDescent="0.25"/>
    <row r="164385" customFormat="1" x14ac:dyDescent="0.25"/>
    <row r="164386" customFormat="1" x14ac:dyDescent="0.25"/>
    <row r="164387" customFormat="1" x14ac:dyDescent="0.25"/>
    <row r="164388" customFormat="1" x14ac:dyDescent="0.25"/>
    <row r="164389" customFormat="1" x14ac:dyDescent="0.25"/>
    <row r="164390" customFormat="1" x14ac:dyDescent="0.25"/>
    <row r="164391" customFormat="1" x14ac:dyDescent="0.25"/>
    <row r="164392" customFormat="1" x14ac:dyDescent="0.25"/>
    <row r="164393" customFormat="1" x14ac:dyDescent="0.25"/>
    <row r="164394" customFormat="1" x14ac:dyDescent="0.25"/>
    <row r="164395" customFormat="1" x14ac:dyDescent="0.25"/>
    <row r="164396" customFormat="1" x14ac:dyDescent="0.25"/>
    <row r="164397" customFormat="1" x14ac:dyDescent="0.25"/>
    <row r="164398" customFormat="1" x14ac:dyDescent="0.25"/>
    <row r="164399" customFormat="1" x14ac:dyDescent="0.25"/>
    <row r="164400" customFormat="1" x14ac:dyDescent="0.25"/>
    <row r="164401" customFormat="1" x14ac:dyDescent="0.25"/>
    <row r="164402" customFormat="1" x14ac:dyDescent="0.25"/>
    <row r="164403" customFormat="1" x14ac:dyDescent="0.25"/>
    <row r="164404" customFormat="1" x14ac:dyDescent="0.25"/>
    <row r="164405" customFormat="1" x14ac:dyDescent="0.25"/>
    <row r="164406" customFormat="1" x14ac:dyDescent="0.25"/>
    <row r="164407" customFormat="1" x14ac:dyDescent="0.25"/>
    <row r="164408" customFormat="1" x14ac:dyDescent="0.25"/>
    <row r="164409" customFormat="1" x14ac:dyDescent="0.25"/>
    <row r="164410" customFormat="1" x14ac:dyDescent="0.25"/>
    <row r="164411" customFormat="1" x14ac:dyDescent="0.25"/>
    <row r="164412" customFormat="1" x14ac:dyDescent="0.25"/>
    <row r="164413" customFormat="1" x14ac:dyDescent="0.25"/>
    <row r="164414" customFormat="1" x14ac:dyDescent="0.25"/>
    <row r="164415" customFormat="1" x14ac:dyDescent="0.25"/>
    <row r="164416" customFormat="1" x14ac:dyDescent="0.25"/>
    <row r="164417" customFormat="1" x14ac:dyDescent="0.25"/>
    <row r="164418" customFormat="1" x14ac:dyDescent="0.25"/>
    <row r="164419" customFormat="1" x14ac:dyDescent="0.25"/>
    <row r="164420" customFormat="1" x14ac:dyDescent="0.25"/>
    <row r="164421" customFormat="1" x14ac:dyDescent="0.25"/>
    <row r="164422" customFormat="1" x14ac:dyDescent="0.25"/>
    <row r="164423" customFormat="1" x14ac:dyDescent="0.25"/>
    <row r="164424" customFormat="1" x14ac:dyDescent="0.25"/>
    <row r="164425" customFormat="1" x14ac:dyDescent="0.25"/>
    <row r="164426" customFormat="1" x14ac:dyDescent="0.25"/>
    <row r="164427" customFormat="1" x14ac:dyDescent="0.25"/>
    <row r="164428" customFormat="1" x14ac:dyDescent="0.25"/>
    <row r="164429" customFormat="1" x14ac:dyDescent="0.25"/>
    <row r="164430" customFormat="1" x14ac:dyDescent="0.25"/>
    <row r="164431" customFormat="1" x14ac:dyDescent="0.25"/>
    <row r="164432" customFormat="1" x14ac:dyDescent="0.25"/>
    <row r="164433" customFormat="1" x14ac:dyDescent="0.25"/>
    <row r="164434" customFormat="1" x14ac:dyDescent="0.25"/>
    <row r="164435" customFormat="1" x14ac:dyDescent="0.25"/>
    <row r="164436" customFormat="1" x14ac:dyDescent="0.25"/>
    <row r="164437" customFormat="1" x14ac:dyDescent="0.25"/>
    <row r="164438" customFormat="1" x14ac:dyDescent="0.25"/>
    <row r="164439" customFormat="1" x14ac:dyDescent="0.25"/>
    <row r="164440" customFormat="1" x14ac:dyDescent="0.25"/>
    <row r="164441" customFormat="1" x14ac:dyDescent="0.25"/>
    <row r="164442" customFormat="1" x14ac:dyDescent="0.25"/>
    <row r="164443" customFormat="1" x14ac:dyDescent="0.25"/>
    <row r="164444" customFormat="1" x14ac:dyDescent="0.25"/>
    <row r="164445" customFormat="1" x14ac:dyDescent="0.25"/>
    <row r="164446" customFormat="1" x14ac:dyDescent="0.25"/>
    <row r="164447" customFormat="1" x14ac:dyDescent="0.25"/>
    <row r="164448" customFormat="1" x14ac:dyDescent="0.25"/>
    <row r="164449" customFormat="1" x14ac:dyDescent="0.25"/>
    <row r="164450" customFormat="1" x14ac:dyDescent="0.25"/>
    <row r="164451" customFormat="1" x14ac:dyDescent="0.25"/>
    <row r="164452" customFormat="1" x14ac:dyDescent="0.25"/>
    <row r="164453" customFormat="1" x14ac:dyDescent="0.25"/>
    <row r="164454" customFormat="1" x14ac:dyDescent="0.25"/>
    <row r="164455" customFormat="1" x14ac:dyDescent="0.25"/>
    <row r="164456" customFormat="1" x14ac:dyDescent="0.25"/>
    <row r="164457" customFormat="1" x14ac:dyDescent="0.25"/>
    <row r="164458" customFormat="1" x14ac:dyDescent="0.25"/>
    <row r="164459" customFormat="1" x14ac:dyDescent="0.25"/>
    <row r="164460" customFormat="1" x14ac:dyDescent="0.25"/>
    <row r="164461" customFormat="1" x14ac:dyDescent="0.25"/>
    <row r="164462" customFormat="1" x14ac:dyDescent="0.25"/>
    <row r="164463" customFormat="1" x14ac:dyDescent="0.25"/>
    <row r="164464" customFormat="1" x14ac:dyDescent="0.25"/>
    <row r="164465" customFormat="1" x14ac:dyDescent="0.25"/>
    <row r="164466" customFormat="1" x14ac:dyDescent="0.25"/>
    <row r="164467" customFormat="1" x14ac:dyDescent="0.25"/>
    <row r="164468" customFormat="1" x14ac:dyDescent="0.25"/>
    <row r="164469" customFormat="1" x14ac:dyDescent="0.25"/>
    <row r="164470" customFormat="1" x14ac:dyDescent="0.25"/>
    <row r="164471" customFormat="1" x14ac:dyDescent="0.25"/>
    <row r="164472" customFormat="1" x14ac:dyDescent="0.25"/>
    <row r="164473" customFormat="1" x14ac:dyDescent="0.25"/>
    <row r="164474" customFormat="1" x14ac:dyDescent="0.25"/>
    <row r="164475" customFormat="1" x14ac:dyDescent="0.25"/>
    <row r="164476" customFormat="1" x14ac:dyDescent="0.25"/>
    <row r="164477" customFormat="1" x14ac:dyDescent="0.25"/>
    <row r="164478" customFormat="1" x14ac:dyDescent="0.25"/>
    <row r="164479" customFormat="1" x14ac:dyDescent="0.25"/>
    <row r="164480" customFormat="1" x14ac:dyDescent="0.25"/>
    <row r="164481" customFormat="1" x14ac:dyDescent="0.25"/>
    <row r="164482" customFormat="1" x14ac:dyDescent="0.25"/>
    <row r="164483" customFormat="1" x14ac:dyDescent="0.25"/>
    <row r="164484" customFormat="1" x14ac:dyDescent="0.25"/>
    <row r="164485" customFormat="1" x14ac:dyDescent="0.25"/>
    <row r="164486" customFormat="1" x14ac:dyDescent="0.25"/>
    <row r="164487" customFormat="1" x14ac:dyDescent="0.25"/>
    <row r="164488" customFormat="1" x14ac:dyDescent="0.25"/>
    <row r="164489" customFormat="1" x14ac:dyDescent="0.25"/>
    <row r="164490" customFormat="1" x14ac:dyDescent="0.25"/>
    <row r="164491" customFormat="1" x14ac:dyDescent="0.25"/>
    <row r="164492" customFormat="1" x14ac:dyDescent="0.25"/>
    <row r="164493" customFormat="1" x14ac:dyDescent="0.25"/>
    <row r="164494" customFormat="1" x14ac:dyDescent="0.25"/>
    <row r="164495" customFormat="1" x14ac:dyDescent="0.25"/>
    <row r="164496" customFormat="1" x14ac:dyDescent="0.25"/>
    <row r="164497" customFormat="1" x14ac:dyDescent="0.25"/>
    <row r="164498" customFormat="1" x14ac:dyDescent="0.25"/>
    <row r="164499" customFormat="1" x14ac:dyDescent="0.25"/>
    <row r="164500" customFormat="1" x14ac:dyDescent="0.25"/>
    <row r="164501" customFormat="1" x14ac:dyDescent="0.25"/>
    <row r="164502" customFormat="1" x14ac:dyDescent="0.25"/>
    <row r="164503" customFormat="1" x14ac:dyDescent="0.25"/>
    <row r="164504" customFormat="1" x14ac:dyDescent="0.25"/>
    <row r="164505" customFormat="1" x14ac:dyDescent="0.25"/>
    <row r="164506" customFormat="1" x14ac:dyDescent="0.25"/>
    <row r="164507" customFormat="1" x14ac:dyDescent="0.25"/>
    <row r="164508" customFormat="1" x14ac:dyDescent="0.25"/>
    <row r="164509" customFormat="1" x14ac:dyDescent="0.25"/>
    <row r="164510" customFormat="1" x14ac:dyDescent="0.25"/>
    <row r="164511" customFormat="1" x14ac:dyDescent="0.25"/>
    <row r="164512" customFormat="1" x14ac:dyDescent="0.25"/>
    <row r="164513" customFormat="1" x14ac:dyDescent="0.25"/>
    <row r="164514" customFormat="1" x14ac:dyDescent="0.25"/>
    <row r="164515" customFormat="1" x14ac:dyDescent="0.25"/>
    <row r="164516" customFormat="1" x14ac:dyDescent="0.25"/>
    <row r="164517" customFormat="1" x14ac:dyDescent="0.25"/>
    <row r="164518" customFormat="1" x14ac:dyDescent="0.25"/>
    <row r="164519" customFormat="1" x14ac:dyDescent="0.25"/>
    <row r="164520" customFormat="1" x14ac:dyDescent="0.25"/>
    <row r="164521" customFormat="1" x14ac:dyDescent="0.25"/>
    <row r="164522" customFormat="1" x14ac:dyDescent="0.25"/>
    <row r="164523" customFormat="1" x14ac:dyDescent="0.25"/>
    <row r="164524" customFormat="1" x14ac:dyDescent="0.25"/>
    <row r="164525" customFormat="1" x14ac:dyDescent="0.25"/>
    <row r="164526" customFormat="1" x14ac:dyDescent="0.25"/>
    <row r="164527" customFormat="1" x14ac:dyDescent="0.25"/>
    <row r="164528" customFormat="1" x14ac:dyDescent="0.25"/>
    <row r="164529" customFormat="1" x14ac:dyDescent="0.25"/>
    <row r="164530" customFormat="1" x14ac:dyDescent="0.25"/>
    <row r="164531" customFormat="1" x14ac:dyDescent="0.25"/>
    <row r="164532" customFormat="1" x14ac:dyDescent="0.25"/>
    <row r="164533" customFormat="1" x14ac:dyDescent="0.25"/>
    <row r="164534" customFormat="1" x14ac:dyDescent="0.25"/>
    <row r="164535" customFormat="1" x14ac:dyDescent="0.25"/>
    <row r="164536" customFormat="1" x14ac:dyDescent="0.25"/>
    <row r="164537" customFormat="1" x14ac:dyDescent="0.25"/>
    <row r="164538" customFormat="1" x14ac:dyDescent="0.25"/>
    <row r="164539" customFormat="1" x14ac:dyDescent="0.25"/>
    <row r="164540" customFormat="1" x14ac:dyDescent="0.25"/>
    <row r="164541" customFormat="1" x14ac:dyDescent="0.25"/>
    <row r="164542" customFormat="1" x14ac:dyDescent="0.25"/>
    <row r="164543" customFormat="1" x14ac:dyDescent="0.25"/>
    <row r="164544" customFormat="1" x14ac:dyDescent="0.25"/>
    <row r="164545" customFormat="1" x14ac:dyDescent="0.25"/>
    <row r="164546" customFormat="1" x14ac:dyDescent="0.25"/>
    <row r="164547" customFormat="1" x14ac:dyDescent="0.25"/>
    <row r="164548" customFormat="1" x14ac:dyDescent="0.25"/>
    <row r="164549" customFormat="1" x14ac:dyDescent="0.25"/>
    <row r="164550" customFormat="1" x14ac:dyDescent="0.25"/>
    <row r="164551" customFormat="1" x14ac:dyDescent="0.25"/>
    <row r="164552" customFormat="1" x14ac:dyDescent="0.25"/>
    <row r="164553" customFormat="1" x14ac:dyDescent="0.25"/>
    <row r="164554" customFormat="1" x14ac:dyDescent="0.25"/>
    <row r="164555" customFormat="1" x14ac:dyDescent="0.25"/>
    <row r="164556" customFormat="1" x14ac:dyDescent="0.25"/>
    <row r="164557" customFormat="1" x14ac:dyDescent="0.25"/>
    <row r="164558" customFormat="1" x14ac:dyDescent="0.25"/>
    <row r="164559" customFormat="1" x14ac:dyDescent="0.25"/>
    <row r="164560" customFormat="1" x14ac:dyDescent="0.25"/>
    <row r="164561" customFormat="1" x14ac:dyDescent="0.25"/>
    <row r="164562" customFormat="1" x14ac:dyDescent="0.25"/>
    <row r="164563" customFormat="1" x14ac:dyDescent="0.25"/>
    <row r="164564" customFormat="1" x14ac:dyDescent="0.25"/>
    <row r="164565" customFormat="1" x14ac:dyDescent="0.25"/>
    <row r="164566" customFormat="1" x14ac:dyDescent="0.25"/>
    <row r="164567" customFormat="1" x14ac:dyDescent="0.25"/>
    <row r="164568" customFormat="1" x14ac:dyDescent="0.25"/>
    <row r="164569" customFormat="1" x14ac:dyDescent="0.25"/>
    <row r="164570" customFormat="1" x14ac:dyDescent="0.25"/>
    <row r="164571" customFormat="1" x14ac:dyDescent="0.25"/>
    <row r="164572" customFormat="1" x14ac:dyDescent="0.25"/>
    <row r="164573" customFormat="1" x14ac:dyDescent="0.25"/>
    <row r="164574" customFormat="1" x14ac:dyDescent="0.25"/>
    <row r="164575" customFormat="1" x14ac:dyDescent="0.25"/>
    <row r="164576" customFormat="1" x14ac:dyDescent="0.25"/>
    <row r="164577" customFormat="1" x14ac:dyDescent="0.25"/>
    <row r="164578" customFormat="1" x14ac:dyDescent="0.25"/>
    <row r="164579" customFormat="1" x14ac:dyDescent="0.25"/>
    <row r="164580" customFormat="1" x14ac:dyDescent="0.25"/>
    <row r="164581" customFormat="1" x14ac:dyDescent="0.25"/>
    <row r="164582" customFormat="1" x14ac:dyDescent="0.25"/>
    <row r="164583" customFormat="1" x14ac:dyDescent="0.25"/>
    <row r="164584" customFormat="1" x14ac:dyDescent="0.25"/>
    <row r="164585" customFormat="1" x14ac:dyDescent="0.25"/>
    <row r="164586" customFormat="1" x14ac:dyDescent="0.25"/>
    <row r="164587" customFormat="1" x14ac:dyDescent="0.25"/>
    <row r="164588" customFormat="1" x14ac:dyDescent="0.25"/>
    <row r="164589" customFormat="1" x14ac:dyDescent="0.25"/>
    <row r="164590" customFormat="1" x14ac:dyDescent="0.25"/>
    <row r="164591" customFormat="1" x14ac:dyDescent="0.25"/>
    <row r="164592" customFormat="1" x14ac:dyDescent="0.25"/>
    <row r="164593" customFormat="1" x14ac:dyDescent="0.25"/>
    <row r="164594" customFormat="1" x14ac:dyDescent="0.25"/>
    <row r="164595" customFormat="1" x14ac:dyDescent="0.25"/>
    <row r="164596" customFormat="1" x14ac:dyDescent="0.25"/>
    <row r="164597" customFormat="1" x14ac:dyDescent="0.25"/>
    <row r="164598" customFormat="1" x14ac:dyDescent="0.25"/>
    <row r="164599" customFormat="1" x14ac:dyDescent="0.25"/>
    <row r="164600" customFormat="1" x14ac:dyDescent="0.25"/>
    <row r="164601" customFormat="1" x14ac:dyDescent="0.25"/>
    <row r="164602" customFormat="1" x14ac:dyDescent="0.25"/>
    <row r="164603" customFormat="1" x14ac:dyDescent="0.25"/>
    <row r="164604" customFormat="1" x14ac:dyDescent="0.25"/>
    <row r="164605" customFormat="1" x14ac:dyDescent="0.25"/>
    <row r="164606" customFormat="1" x14ac:dyDescent="0.25"/>
    <row r="164607" customFormat="1" x14ac:dyDescent="0.25"/>
    <row r="164608" customFormat="1" x14ac:dyDescent="0.25"/>
    <row r="164609" customFormat="1" x14ac:dyDescent="0.25"/>
    <row r="164610" customFormat="1" x14ac:dyDescent="0.25"/>
    <row r="164611" customFormat="1" x14ac:dyDescent="0.25"/>
    <row r="164612" customFormat="1" x14ac:dyDescent="0.25"/>
    <row r="164613" customFormat="1" x14ac:dyDescent="0.25"/>
    <row r="164614" customFormat="1" x14ac:dyDescent="0.25"/>
    <row r="164615" customFormat="1" x14ac:dyDescent="0.25"/>
    <row r="164616" customFormat="1" x14ac:dyDescent="0.25"/>
    <row r="164617" customFormat="1" x14ac:dyDescent="0.25"/>
    <row r="164618" customFormat="1" x14ac:dyDescent="0.25"/>
    <row r="164619" customFormat="1" x14ac:dyDescent="0.25"/>
    <row r="164620" customFormat="1" x14ac:dyDescent="0.25"/>
    <row r="164621" customFormat="1" x14ac:dyDescent="0.25"/>
    <row r="164622" customFormat="1" x14ac:dyDescent="0.25"/>
    <row r="164623" customFormat="1" x14ac:dyDescent="0.25"/>
    <row r="164624" customFormat="1" x14ac:dyDescent="0.25"/>
    <row r="164625" customFormat="1" x14ac:dyDescent="0.25"/>
    <row r="164626" customFormat="1" x14ac:dyDescent="0.25"/>
    <row r="164627" customFormat="1" x14ac:dyDescent="0.25"/>
    <row r="164628" customFormat="1" x14ac:dyDescent="0.25"/>
    <row r="164629" customFormat="1" x14ac:dyDescent="0.25"/>
    <row r="164630" customFormat="1" x14ac:dyDescent="0.25"/>
    <row r="164631" customFormat="1" x14ac:dyDescent="0.25"/>
    <row r="164632" customFormat="1" x14ac:dyDescent="0.25"/>
    <row r="164633" customFormat="1" x14ac:dyDescent="0.25"/>
    <row r="164634" customFormat="1" x14ac:dyDescent="0.25"/>
    <row r="164635" customFormat="1" x14ac:dyDescent="0.25"/>
    <row r="164636" customFormat="1" x14ac:dyDescent="0.25"/>
    <row r="164637" customFormat="1" x14ac:dyDescent="0.25"/>
    <row r="164638" customFormat="1" x14ac:dyDescent="0.25"/>
    <row r="164639" customFormat="1" x14ac:dyDescent="0.25"/>
    <row r="164640" customFormat="1" x14ac:dyDescent="0.25"/>
    <row r="164641" customFormat="1" x14ac:dyDescent="0.25"/>
    <row r="164642" customFormat="1" x14ac:dyDescent="0.25"/>
    <row r="164643" customFormat="1" x14ac:dyDescent="0.25"/>
    <row r="164644" customFormat="1" x14ac:dyDescent="0.25"/>
    <row r="164645" customFormat="1" x14ac:dyDescent="0.25"/>
    <row r="164646" customFormat="1" x14ac:dyDescent="0.25"/>
    <row r="164647" customFormat="1" x14ac:dyDescent="0.25"/>
    <row r="164648" customFormat="1" x14ac:dyDescent="0.25"/>
    <row r="164649" customFormat="1" x14ac:dyDescent="0.25"/>
    <row r="164650" customFormat="1" x14ac:dyDescent="0.25"/>
    <row r="164651" customFormat="1" x14ac:dyDescent="0.25"/>
    <row r="164652" customFormat="1" x14ac:dyDescent="0.25"/>
    <row r="164653" customFormat="1" x14ac:dyDescent="0.25"/>
    <row r="164654" customFormat="1" x14ac:dyDescent="0.25"/>
    <row r="164655" customFormat="1" x14ac:dyDescent="0.25"/>
    <row r="164656" customFormat="1" x14ac:dyDescent="0.25"/>
    <row r="164657" customFormat="1" x14ac:dyDescent="0.25"/>
    <row r="164658" customFormat="1" x14ac:dyDescent="0.25"/>
    <row r="164659" customFormat="1" x14ac:dyDescent="0.25"/>
    <row r="164660" customFormat="1" x14ac:dyDescent="0.25"/>
    <row r="164661" customFormat="1" x14ac:dyDescent="0.25"/>
    <row r="164662" customFormat="1" x14ac:dyDescent="0.25"/>
    <row r="164663" customFormat="1" x14ac:dyDescent="0.25"/>
    <row r="164664" customFormat="1" x14ac:dyDescent="0.25"/>
    <row r="164665" customFormat="1" x14ac:dyDescent="0.25"/>
    <row r="164666" customFormat="1" x14ac:dyDescent="0.25"/>
    <row r="164667" customFormat="1" x14ac:dyDescent="0.25"/>
    <row r="164668" customFormat="1" x14ac:dyDescent="0.25"/>
    <row r="164669" customFormat="1" x14ac:dyDescent="0.25"/>
    <row r="164670" customFormat="1" x14ac:dyDescent="0.25"/>
    <row r="164671" customFormat="1" x14ac:dyDescent="0.25"/>
    <row r="164672" customFormat="1" x14ac:dyDescent="0.25"/>
    <row r="164673" customFormat="1" x14ac:dyDescent="0.25"/>
    <row r="164674" customFormat="1" x14ac:dyDescent="0.25"/>
    <row r="164675" customFormat="1" x14ac:dyDescent="0.25"/>
    <row r="164676" customFormat="1" x14ac:dyDescent="0.25"/>
    <row r="164677" customFormat="1" x14ac:dyDescent="0.25"/>
    <row r="164678" customFormat="1" x14ac:dyDescent="0.25"/>
    <row r="164679" customFormat="1" x14ac:dyDescent="0.25"/>
    <row r="164680" customFormat="1" x14ac:dyDescent="0.25"/>
    <row r="164681" customFormat="1" x14ac:dyDescent="0.25"/>
    <row r="164682" customFormat="1" x14ac:dyDescent="0.25"/>
    <row r="164683" customFormat="1" x14ac:dyDescent="0.25"/>
    <row r="164684" customFormat="1" x14ac:dyDescent="0.25"/>
    <row r="164685" customFormat="1" x14ac:dyDescent="0.25"/>
    <row r="164686" customFormat="1" x14ac:dyDescent="0.25"/>
    <row r="164687" customFormat="1" x14ac:dyDescent="0.25"/>
    <row r="164688" customFormat="1" x14ac:dyDescent="0.25"/>
    <row r="164689" customFormat="1" x14ac:dyDescent="0.25"/>
    <row r="164690" customFormat="1" x14ac:dyDescent="0.25"/>
    <row r="164691" customFormat="1" x14ac:dyDescent="0.25"/>
    <row r="164692" customFormat="1" x14ac:dyDescent="0.25"/>
    <row r="164693" customFormat="1" x14ac:dyDescent="0.25"/>
    <row r="164694" customFormat="1" x14ac:dyDescent="0.25"/>
    <row r="164695" customFormat="1" x14ac:dyDescent="0.25"/>
    <row r="164696" customFormat="1" x14ac:dyDescent="0.25"/>
    <row r="164697" customFormat="1" x14ac:dyDescent="0.25"/>
    <row r="164698" customFormat="1" x14ac:dyDescent="0.25"/>
    <row r="164699" customFormat="1" x14ac:dyDescent="0.25"/>
    <row r="164700" customFormat="1" x14ac:dyDescent="0.25"/>
    <row r="164701" customFormat="1" x14ac:dyDescent="0.25"/>
    <row r="164702" customFormat="1" x14ac:dyDescent="0.25"/>
    <row r="164703" customFormat="1" x14ac:dyDescent="0.25"/>
    <row r="164704" customFormat="1" x14ac:dyDescent="0.25"/>
    <row r="164705" customFormat="1" x14ac:dyDescent="0.25"/>
    <row r="164706" customFormat="1" x14ac:dyDescent="0.25"/>
    <row r="164707" customFormat="1" x14ac:dyDescent="0.25"/>
    <row r="164708" customFormat="1" x14ac:dyDescent="0.25"/>
    <row r="164709" customFormat="1" x14ac:dyDescent="0.25"/>
    <row r="164710" customFormat="1" x14ac:dyDescent="0.25"/>
    <row r="164711" customFormat="1" x14ac:dyDescent="0.25"/>
    <row r="164712" customFormat="1" x14ac:dyDescent="0.25"/>
    <row r="164713" customFormat="1" x14ac:dyDescent="0.25"/>
    <row r="164714" customFormat="1" x14ac:dyDescent="0.25"/>
    <row r="164715" customFormat="1" x14ac:dyDescent="0.25"/>
    <row r="164716" customFormat="1" x14ac:dyDescent="0.25"/>
    <row r="164717" customFormat="1" x14ac:dyDescent="0.25"/>
    <row r="164718" customFormat="1" x14ac:dyDescent="0.25"/>
    <row r="164719" customFormat="1" x14ac:dyDescent="0.25"/>
    <row r="164720" customFormat="1" x14ac:dyDescent="0.25"/>
    <row r="164721" customFormat="1" x14ac:dyDescent="0.25"/>
    <row r="164722" customFormat="1" x14ac:dyDescent="0.25"/>
    <row r="164723" customFormat="1" x14ac:dyDescent="0.25"/>
    <row r="164724" customFormat="1" x14ac:dyDescent="0.25"/>
    <row r="164725" customFormat="1" x14ac:dyDescent="0.25"/>
    <row r="164726" customFormat="1" x14ac:dyDescent="0.25"/>
    <row r="164727" customFormat="1" x14ac:dyDescent="0.25"/>
    <row r="164728" customFormat="1" x14ac:dyDescent="0.25"/>
    <row r="164729" customFormat="1" x14ac:dyDescent="0.25"/>
    <row r="164730" customFormat="1" x14ac:dyDescent="0.25"/>
    <row r="164731" customFormat="1" x14ac:dyDescent="0.25"/>
    <row r="164732" customFormat="1" x14ac:dyDescent="0.25"/>
    <row r="164733" customFormat="1" x14ac:dyDescent="0.25"/>
    <row r="164734" customFormat="1" x14ac:dyDescent="0.25"/>
    <row r="164735" customFormat="1" x14ac:dyDescent="0.25"/>
    <row r="164736" customFormat="1" x14ac:dyDescent="0.25"/>
    <row r="164737" customFormat="1" x14ac:dyDescent="0.25"/>
    <row r="164738" customFormat="1" x14ac:dyDescent="0.25"/>
    <row r="164739" customFormat="1" x14ac:dyDescent="0.25"/>
    <row r="164740" customFormat="1" x14ac:dyDescent="0.25"/>
    <row r="164741" customFormat="1" x14ac:dyDescent="0.25"/>
    <row r="164742" customFormat="1" x14ac:dyDescent="0.25"/>
    <row r="164743" customFormat="1" x14ac:dyDescent="0.25"/>
    <row r="164744" customFormat="1" x14ac:dyDescent="0.25"/>
    <row r="164745" customFormat="1" x14ac:dyDescent="0.25"/>
    <row r="164746" customFormat="1" x14ac:dyDescent="0.25"/>
    <row r="164747" customFormat="1" x14ac:dyDescent="0.25"/>
    <row r="164748" customFormat="1" x14ac:dyDescent="0.25"/>
    <row r="164749" customFormat="1" x14ac:dyDescent="0.25"/>
    <row r="164750" customFormat="1" x14ac:dyDescent="0.25"/>
    <row r="164751" customFormat="1" x14ac:dyDescent="0.25"/>
    <row r="164752" customFormat="1" x14ac:dyDescent="0.25"/>
    <row r="164753" customFormat="1" x14ac:dyDescent="0.25"/>
    <row r="164754" customFormat="1" x14ac:dyDescent="0.25"/>
    <row r="164755" customFormat="1" x14ac:dyDescent="0.25"/>
    <row r="164756" customFormat="1" x14ac:dyDescent="0.25"/>
    <row r="164757" customFormat="1" x14ac:dyDescent="0.25"/>
    <row r="164758" customFormat="1" x14ac:dyDescent="0.25"/>
    <row r="164759" customFormat="1" x14ac:dyDescent="0.25"/>
    <row r="164760" customFormat="1" x14ac:dyDescent="0.25"/>
    <row r="164761" customFormat="1" x14ac:dyDescent="0.25"/>
    <row r="164762" customFormat="1" x14ac:dyDescent="0.25"/>
    <row r="164763" customFormat="1" x14ac:dyDescent="0.25"/>
    <row r="164764" customFormat="1" x14ac:dyDescent="0.25"/>
    <row r="164765" customFormat="1" x14ac:dyDescent="0.25"/>
    <row r="164766" customFormat="1" x14ac:dyDescent="0.25"/>
    <row r="164767" customFormat="1" x14ac:dyDescent="0.25"/>
    <row r="164768" customFormat="1" x14ac:dyDescent="0.25"/>
    <row r="164769" customFormat="1" x14ac:dyDescent="0.25"/>
    <row r="164770" customFormat="1" x14ac:dyDescent="0.25"/>
    <row r="164771" customFormat="1" x14ac:dyDescent="0.25"/>
    <row r="164772" customFormat="1" x14ac:dyDescent="0.25"/>
    <row r="164773" customFormat="1" x14ac:dyDescent="0.25"/>
    <row r="164774" customFormat="1" x14ac:dyDescent="0.25"/>
    <row r="164775" customFormat="1" x14ac:dyDescent="0.25"/>
    <row r="164776" customFormat="1" x14ac:dyDescent="0.25"/>
    <row r="164777" customFormat="1" x14ac:dyDescent="0.25"/>
    <row r="164778" customFormat="1" x14ac:dyDescent="0.25"/>
    <row r="164779" customFormat="1" x14ac:dyDescent="0.25"/>
    <row r="164780" customFormat="1" x14ac:dyDescent="0.25"/>
    <row r="164781" customFormat="1" x14ac:dyDescent="0.25"/>
    <row r="164782" customFormat="1" x14ac:dyDescent="0.25"/>
    <row r="164783" customFormat="1" x14ac:dyDescent="0.25"/>
    <row r="164784" customFormat="1" x14ac:dyDescent="0.25"/>
    <row r="164785" customFormat="1" x14ac:dyDescent="0.25"/>
    <row r="164786" customFormat="1" x14ac:dyDescent="0.25"/>
    <row r="164787" customFormat="1" x14ac:dyDescent="0.25"/>
    <row r="164788" customFormat="1" x14ac:dyDescent="0.25"/>
    <row r="164789" customFormat="1" x14ac:dyDescent="0.25"/>
    <row r="164790" customFormat="1" x14ac:dyDescent="0.25"/>
    <row r="164791" customFormat="1" x14ac:dyDescent="0.25"/>
    <row r="164792" customFormat="1" x14ac:dyDescent="0.25"/>
    <row r="164793" customFormat="1" x14ac:dyDescent="0.25"/>
    <row r="164794" customFormat="1" x14ac:dyDescent="0.25"/>
    <row r="164795" customFormat="1" x14ac:dyDescent="0.25"/>
    <row r="164796" customFormat="1" x14ac:dyDescent="0.25"/>
    <row r="164797" customFormat="1" x14ac:dyDescent="0.25"/>
    <row r="164798" customFormat="1" x14ac:dyDescent="0.25"/>
    <row r="164799" customFormat="1" x14ac:dyDescent="0.25"/>
    <row r="164800" customFormat="1" x14ac:dyDescent="0.25"/>
    <row r="164801" customFormat="1" x14ac:dyDescent="0.25"/>
    <row r="164802" customFormat="1" x14ac:dyDescent="0.25"/>
    <row r="164803" customFormat="1" x14ac:dyDescent="0.25"/>
    <row r="164804" customFormat="1" x14ac:dyDescent="0.25"/>
    <row r="164805" customFormat="1" x14ac:dyDescent="0.25"/>
    <row r="164806" customFormat="1" x14ac:dyDescent="0.25"/>
    <row r="164807" customFormat="1" x14ac:dyDescent="0.25"/>
    <row r="164808" customFormat="1" x14ac:dyDescent="0.25"/>
    <row r="164809" customFormat="1" x14ac:dyDescent="0.25"/>
    <row r="164810" customFormat="1" x14ac:dyDescent="0.25"/>
    <row r="164811" customFormat="1" x14ac:dyDescent="0.25"/>
    <row r="164812" customFormat="1" x14ac:dyDescent="0.25"/>
    <row r="164813" customFormat="1" x14ac:dyDescent="0.25"/>
    <row r="164814" customFormat="1" x14ac:dyDescent="0.25"/>
    <row r="164815" customFormat="1" x14ac:dyDescent="0.25"/>
    <row r="164816" customFormat="1" x14ac:dyDescent="0.25"/>
    <row r="164817" customFormat="1" x14ac:dyDescent="0.25"/>
    <row r="164818" customFormat="1" x14ac:dyDescent="0.25"/>
    <row r="164819" customFormat="1" x14ac:dyDescent="0.25"/>
    <row r="164820" customFormat="1" x14ac:dyDescent="0.25"/>
    <row r="164821" customFormat="1" x14ac:dyDescent="0.25"/>
    <row r="164822" customFormat="1" x14ac:dyDescent="0.25"/>
    <row r="164823" customFormat="1" x14ac:dyDescent="0.25"/>
    <row r="164824" customFormat="1" x14ac:dyDescent="0.25"/>
    <row r="164825" customFormat="1" x14ac:dyDescent="0.25"/>
    <row r="164826" customFormat="1" x14ac:dyDescent="0.25"/>
    <row r="164827" customFormat="1" x14ac:dyDescent="0.25"/>
    <row r="164828" customFormat="1" x14ac:dyDescent="0.25"/>
    <row r="164829" customFormat="1" x14ac:dyDescent="0.25"/>
    <row r="164830" customFormat="1" x14ac:dyDescent="0.25"/>
    <row r="164831" customFormat="1" x14ac:dyDescent="0.25"/>
    <row r="164832" customFormat="1" x14ac:dyDescent="0.25"/>
    <row r="164833" customFormat="1" x14ac:dyDescent="0.25"/>
    <row r="164834" customFormat="1" x14ac:dyDescent="0.25"/>
    <row r="164835" customFormat="1" x14ac:dyDescent="0.25"/>
    <row r="164836" customFormat="1" x14ac:dyDescent="0.25"/>
    <row r="164837" customFormat="1" x14ac:dyDescent="0.25"/>
    <row r="164838" customFormat="1" x14ac:dyDescent="0.25"/>
    <row r="164839" customFormat="1" x14ac:dyDescent="0.25"/>
    <row r="164840" customFormat="1" x14ac:dyDescent="0.25"/>
    <row r="164841" customFormat="1" x14ac:dyDescent="0.25"/>
    <row r="164842" customFormat="1" x14ac:dyDescent="0.25"/>
    <row r="164843" customFormat="1" x14ac:dyDescent="0.25"/>
    <row r="164844" customFormat="1" x14ac:dyDescent="0.25"/>
    <row r="164845" customFormat="1" x14ac:dyDescent="0.25"/>
    <row r="164846" customFormat="1" x14ac:dyDescent="0.25"/>
    <row r="164847" customFormat="1" x14ac:dyDescent="0.25"/>
    <row r="164848" customFormat="1" x14ac:dyDescent="0.25"/>
    <row r="164849" customFormat="1" x14ac:dyDescent="0.25"/>
    <row r="164850" customFormat="1" x14ac:dyDescent="0.25"/>
    <row r="164851" customFormat="1" x14ac:dyDescent="0.25"/>
    <row r="164852" customFormat="1" x14ac:dyDescent="0.25"/>
    <row r="164853" customFormat="1" x14ac:dyDescent="0.25"/>
    <row r="164854" customFormat="1" x14ac:dyDescent="0.25"/>
    <row r="164855" customFormat="1" x14ac:dyDescent="0.25"/>
    <row r="164856" customFormat="1" x14ac:dyDescent="0.25"/>
    <row r="164857" customFormat="1" x14ac:dyDescent="0.25"/>
    <row r="164858" customFormat="1" x14ac:dyDescent="0.25"/>
    <row r="164859" customFormat="1" x14ac:dyDescent="0.25"/>
    <row r="164860" customFormat="1" x14ac:dyDescent="0.25"/>
    <row r="164861" customFormat="1" x14ac:dyDescent="0.25"/>
    <row r="164862" customFormat="1" x14ac:dyDescent="0.25"/>
    <row r="164863" customFormat="1" x14ac:dyDescent="0.25"/>
    <row r="164864" customFormat="1" x14ac:dyDescent="0.25"/>
    <row r="164865" customFormat="1" x14ac:dyDescent="0.25"/>
    <row r="164866" customFormat="1" x14ac:dyDescent="0.25"/>
    <row r="164867" customFormat="1" x14ac:dyDescent="0.25"/>
    <row r="164868" customFormat="1" x14ac:dyDescent="0.25"/>
    <row r="164869" customFormat="1" x14ac:dyDescent="0.25"/>
    <row r="164870" customFormat="1" x14ac:dyDescent="0.25"/>
    <row r="164871" customFormat="1" x14ac:dyDescent="0.25"/>
    <row r="164872" customFormat="1" x14ac:dyDescent="0.25"/>
    <row r="164873" customFormat="1" x14ac:dyDescent="0.25"/>
    <row r="164874" customFormat="1" x14ac:dyDescent="0.25"/>
    <row r="164875" customFormat="1" x14ac:dyDescent="0.25"/>
    <row r="164876" customFormat="1" x14ac:dyDescent="0.25"/>
    <row r="164877" customFormat="1" x14ac:dyDescent="0.25"/>
    <row r="164878" customFormat="1" x14ac:dyDescent="0.25"/>
    <row r="164879" customFormat="1" x14ac:dyDescent="0.25"/>
    <row r="164880" customFormat="1" x14ac:dyDescent="0.25"/>
    <row r="164881" customFormat="1" x14ac:dyDescent="0.25"/>
    <row r="164882" customFormat="1" x14ac:dyDescent="0.25"/>
    <row r="164883" customFormat="1" x14ac:dyDescent="0.25"/>
    <row r="164884" customFormat="1" x14ac:dyDescent="0.25"/>
    <row r="164885" customFormat="1" x14ac:dyDescent="0.25"/>
    <row r="164886" customFormat="1" x14ac:dyDescent="0.25"/>
    <row r="164887" customFormat="1" x14ac:dyDescent="0.25"/>
    <row r="164888" customFormat="1" x14ac:dyDescent="0.25"/>
    <row r="164889" customFormat="1" x14ac:dyDescent="0.25"/>
    <row r="164890" customFormat="1" x14ac:dyDescent="0.25"/>
    <row r="164891" customFormat="1" x14ac:dyDescent="0.25"/>
    <row r="164892" customFormat="1" x14ac:dyDescent="0.25"/>
    <row r="164893" customFormat="1" x14ac:dyDescent="0.25"/>
    <row r="164894" customFormat="1" x14ac:dyDescent="0.25"/>
    <row r="164895" customFormat="1" x14ac:dyDescent="0.25"/>
    <row r="164896" customFormat="1" x14ac:dyDescent="0.25"/>
    <row r="164897" customFormat="1" x14ac:dyDescent="0.25"/>
    <row r="164898" customFormat="1" x14ac:dyDescent="0.25"/>
    <row r="164899" customFormat="1" x14ac:dyDescent="0.25"/>
    <row r="164900" customFormat="1" x14ac:dyDescent="0.25"/>
    <row r="164901" customFormat="1" x14ac:dyDescent="0.25"/>
    <row r="164902" customFormat="1" x14ac:dyDescent="0.25"/>
    <row r="164903" customFormat="1" x14ac:dyDescent="0.25"/>
    <row r="164904" customFormat="1" x14ac:dyDescent="0.25"/>
    <row r="164905" customFormat="1" x14ac:dyDescent="0.25"/>
    <row r="164906" customFormat="1" x14ac:dyDescent="0.25"/>
    <row r="164907" customFormat="1" x14ac:dyDescent="0.25"/>
    <row r="164908" customFormat="1" x14ac:dyDescent="0.25"/>
    <row r="164909" customFormat="1" x14ac:dyDescent="0.25"/>
    <row r="164910" customFormat="1" x14ac:dyDescent="0.25"/>
    <row r="164911" customFormat="1" x14ac:dyDescent="0.25"/>
    <row r="164912" customFormat="1" x14ac:dyDescent="0.25"/>
    <row r="164913" customFormat="1" x14ac:dyDescent="0.25"/>
    <row r="164914" customFormat="1" x14ac:dyDescent="0.25"/>
    <row r="164915" customFormat="1" x14ac:dyDescent="0.25"/>
    <row r="164916" customFormat="1" x14ac:dyDescent="0.25"/>
    <row r="164917" customFormat="1" x14ac:dyDescent="0.25"/>
    <row r="164918" customFormat="1" x14ac:dyDescent="0.25"/>
    <row r="164919" customFormat="1" x14ac:dyDescent="0.25"/>
    <row r="164920" customFormat="1" x14ac:dyDescent="0.25"/>
    <row r="164921" customFormat="1" x14ac:dyDescent="0.25"/>
    <row r="164922" customFormat="1" x14ac:dyDescent="0.25"/>
    <row r="164923" customFormat="1" x14ac:dyDescent="0.25"/>
    <row r="164924" customFormat="1" x14ac:dyDescent="0.25"/>
    <row r="164925" customFormat="1" x14ac:dyDescent="0.25"/>
    <row r="164926" customFormat="1" x14ac:dyDescent="0.25"/>
    <row r="164927" customFormat="1" x14ac:dyDescent="0.25"/>
    <row r="164928" customFormat="1" x14ac:dyDescent="0.25"/>
    <row r="164929" customFormat="1" x14ac:dyDescent="0.25"/>
    <row r="164930" customFormat="1" x14ac:dyDescent="0.25"/>
    <row r="164931" customFormat="1" x14ac:dyDescent="0.25"/>
    <row r="164932" customFormat="1" x14ac:dyDescent="0.25"/>
    <row r="164933" customFormat="1" x14ac:dyDescent="0.25"/>
    <row r="164934" customFormat="1" x14ac:dyDescent="0.25"/>
    <row r="164935" customFormat="1" x14ac:dyDescent="0.25"/>
    <row r="164936" customFormat="1" x14ac:dyDescent="0.25"/>
    <row r="164937" customFormat="1" x14ac:dyDescent="0.25"/>
    <row r="164938" customFormat="1" x14ac:dyDescent="0.25"/>
    <row r="164939" customFormat="1" x14ac:dyDescent="0.25"/>
    <row r="164940" customFormat="1" x14ac:dyDescent="0.25"/>
    <row r="164941" customFormat="1" x14ac:dyDescent="0.25"/>
    <row r="164942" customFormat="1" x14ac:dyDescent="0.25"/>
    <row r="164943" customFormat="1" x14ac:dyDescent="0.25"/>
    <row r="164944" customFormat="1" x14ac:dyDescent="0.25"/>
    <row r="164945" customFormat="1" x14ac:dyDescent="0.25"/>
    <row r="164946" customFormat="1" x14ac:dyDescent="0.25"/>
    <row r="164947" customFormat="1" x14ac:dyDescent="0.25"/>
    <row r="164948" customFormat="1" x14ac:dyDescent="0.25"/>
    <row r="164949" customFormat="1" x14ac:dyDescent="0.25"/>
    <row r="164950" customFormat="1" x14ac:dyDescent="0.25"/>
    <row r="164951" customFormat="1" x14ac:dyDescent="0.25"/>
    <row r="164952" customFormat="1" x14ac:dyDescent="0.25"/>
    <row r="164953" customFormat="1" x14ac:dyDescent="0.25"/>
    <row r="164954" customFormat="1" x14ac:dyDescent="0.25"/>
    <row r="164955" customFormat="1" x14ac:dyDescent="0.25"/>
    <row r="164956" customFormat="1" x14ac:dyDescent="0.25"/>
    <row r="164957" customFormat="1" x14ac:dyDescent="0.25"/>
    <row r="164958" customFormat="1" x14ac:dyDescent="0.25"/>
    <row r="164959" customFormat="1" x14ac:dyDescent="0.25"/>
    <row r="164960" customFormat="1" x14ac:dyDescent="0.25"/>
    <row r="164961" customFormat="1" x14ac:dyDescent="0.25"/>
    <row r="164962" customFormat="1" x14ac:dyDescent="0.25"/>
    <row r="164963" customFormat="1" x14ac:dyDescent="0.25"/>
    <row r="164964" customFormat="1" x14ac:dyDescent="0.25"/>
    <row r="164965" customFormat="1" x14ac:dyDescent="0.25"/>
    <row r="164966" customFormat="1" x14ac:dyDescent="0.25"/>
    <row r="164967" customFormat="1" x14ac:dyDescent="0.25"/>
    <row r="164968" customFormat="1" x14ac:dyDescent="0.25"/>
    <row r="164969" customFormat="1" x14ac:dyDescent="0.25"/>
    <row r="164970" customFormat="1" x14ac:dyDescent="0.25"/>
    <row r="164971" customFormat="1" x14ac:dyDescent="0.25"/>
    <row r="164972" customFormat="1" x14ac:dyDescent="0.25"/>
    <row r="164973" customFormat="1" x14ac:dyDescent="0.25"/>
    <row r="164974" customFormat="1" x14ac:dyDescent="0.25"/>
    <row r="164975" customFormat="1" x14ac:dyDescent="0.25"/>
    <row r="164976" customFormat="1" x14ac:dyDescent="0.25"/>
    <row r="164977" customFormat="1" x14ac:dyDescent="0.25"/>
    <row r="164978" customFormat="1" x14ac:dyDescent="0.25"/>
    <row r="164979" customFormat="1" x14ac:dyDescent="0.25"/>
    <row r="164980" customFormat="1" x14ac:dyDescent="0.25"/>
    <row r="164981" customFormat="1" x14ac:dyDescent="0.25"/>
    <row r="164982" customFormat="1" x14ac:dyDescent="0.25"/>
    <row r="164983" customFormat="1" x14ac:dyDescent="0.25"/>
    <row r="164984" customFormat="1" x14ac:dyDescent="0.25"/>
    <row r="164985" customFormat="1" x14ac:dyDescent="0.25"/>
    <row r="164986" customFormat="1" x14ac:dyDescent="0.25"/>
    <row r="164987" customFormat="1" x14ac:dyDescent="0.25"/>
    <row r="164988" customFormat="1" x14ac:dyDescent="0.25"/>
    <row r="164989" customFormat="1" x14ac:dyDescent="0.25"/>
    <row r="164990" customFormat="1" x14ac:dyDescent="0.25"/>
    <row r="164991" customFormat="1" x14ac:dyDescent="0.25"/>
    <row r="164992" customFormat="1" x14ac:dyDescent="0.25"/>
    <row r="164993" customFormat="1" x14ac:dyDescent="0.25"/>
    <row r="164994" customFormat="1" x14ac:dyDescent="0.25"/>
    <row r="164995" customFormat="1" x14ac:dyDescent="0.25"/>
    <row r="164996" customFormat="1" x14ac:dyDescent="0.25"/>
    <row r="164997" customFormat="1" x14ac:dyDescent="0.25"/>
    <row r="164998" customFormat="1" x14ac:dyDescent="0.25"/>
    <row r="164999" customFormat="1" x14ac:dyDescent="0.25"/>
    <row r="165000" customFormat="1" x14ac:dyDescent="0.25"/>
    <row r="165001" customFormat="1" x14ac:dyDescent="0.25"/>
    <row r="165002" customFormat="1" x14ac:dyDescent="0.25"/>
    <row r="165003" customFormat="1" x14ac:dyDescent="0.25"/>
    <row r="165004" customFormat="1" x14ac:dyDescent="0.25"/>
    <row r="165005" customFormat="1" x14ac:dyDescent="0.25"/>
    <row r="165006" customFormat="1" x14ac:dyDescent="0.25"/>
    <row r="165007" customFormat="1" x14ac:dyDescent="0.25"/>
    <row r="165008" customFormat="1" x14ac:dyDescent="0.25"/>
    <row r="165009" customFormat="1" x14ac:dyDescent="0.25"/>
    <row r="165010" customFormat="1" x14ac:dyDescent="0.25"/>
    <row r="165011" customFormat="1" x14ac:dyDescent="0.25"/>
    <row r="165012" customFormat="1" x14ac:dyDescent="0.25"/>
    <row r="165013" customFormat="1" x14ac:dyDescent="0.25"/>
    <row r="165014" customFormat="1" x14ac:dyDescent="0.25"/>
    <row r="165015" customFormat="1" x14ac:dyDescent="0.25"/>
    <row r="165016" customFormat="1" x14ac:dyDescent="0.25"/>
    <row r="165017" customFormat="1" x14ac:dyDescent="0.25"/>
    <row r="165018" customFormat="1" x14ac:dyDescent="0.25"/>
    <row r="165019" customFormat="1" x14ac:dyDescent="0.25"/>
    <row r="165020" customFormat="1" x14ac:dyDescent="0.25"/>
    <row r="165021" customFormat="1" x14ac:dyDescent="0.25"/>
    <row r="165022" customFormat="1" x14ac:dyDescent="0.25"/>
    <row r="165023" customFormat="1" x14ac:dyDescent="0.25"/>
    <row r="165024" customFormat="1" x14ac:dyDescent="0.25"/>
    <row r="165025" customFormat="1" x14ac:dyDescent="0.25"/>
    <row r="165026" customFormat="1" x14ac:dyDescent="0.25"/>
    <row r="165027" customFormat="1" x14ac:dyDescent="0.25"/>
    <row r="165028" customFormat="1" x14ac:dyDescent="0.25"/>
    <row r="165029" customFormat="1" x14ac:dyDescent="0.25"/>
    <row r="165030" customFormat="1" x14ac:dyDescent="0.25"/>
    <row r="165031" customFormat="1" x14ac:dyDescent="0.25"/>
    <row r="165032" customFormat="1" x14ac:dyDescent="0.25"/>
    <row r="165033" customFormat="1" x14ac:dyDescent="0.25"/>
    <row r="165034" customFormat="1" x14ac:dyDescent="0.25"/>
    <row r="165035" customFormat="1" x14ac:dyDescent="0.25"/>
    <row r="165036" customFormat="1" x14ac:dyDescent="0.25"/>
    <row r="165037" customFormat="1" x14ac:dyDescent="0.25"/>
    <row r="165038" customFormat="1" x14ac:dyDescent="0.25"/>
    <row r="165039" customFormat="1" x14ac:dyDescent="0.25"/>
    <row r="165040" customFormat="1" x14ac:dyDescent="0.25"/>
    <row r="165041" customFormat="1" x14ac:dyDescent="0.25"/>
    <row r="165042" customFormat="1" x14ac:dyDescent="0.25"/>
    <row r="165043" customFormat="1" x14ac:dyDescent="0.25"/>
    <row r="165044" customFormat="1" x14ac:dyDescent="0.25"/>
    <row r="165045" customFormat="1" x14ac:dyDescent="0.25"/>
    <row r="165046" customFormat="1" x14ac:dyDescent="0.25"/>
    <row r="165047" customFormat="1" x14ac:dyDescent="0.25"/>
    <row r="165048" customFormat="1" x14ac:dyDescent="0.25"/>
    <row r="165049" customFormat="1" x14ac:dyDescent="0.25"/>
    <row r="165050" customFormat="1" x14ac:dyDescent="0.25"/>
    <row r="165051" customFormat="1" x14ac:dyDescent="0.25"/>
    <row r="165052" customFormat="1" x14ac:dyDescent="0.25"/>
    <row r="165053" customFormat="1" x14ac:dyDescent="0.25"/>
    <row r="165054" customFormat="1" x14ac:dyDescent="0.25"/>
    <row r="165055" customFormat="1" x14ac:dyDescent="0.25"/>
    <row r="165056" customFormat="1" x14ac:dyDescent="0.25"/>
    <row r="165057" customFormat="1" x14ac:dyDescent="0.25"/>
    <row r="165058" customFormat="1" x14ac:dyDescent="0.25"/>
    <row r="165059" customFormat="1" x14ac:dyDescent="0.25"/>
    <row r="165060" customFormat="1" x14ac:dyDescent="0.25"/>
    <row r="165061" customFormat="1" x14ac:dyDescent="0.25"/>
    <row r="165062" customFormat="1" x14ac:dyDescent="0.25"/>
    <row r="165063" customFormat="1" x14ac:dyDescent="0.25"/>
    <row r="165064" customFormat="1" x14ac:dyDescent="0.25"/>
    <row r="165065" customFormat="1" x14ac:dyDescent="0.25"/>
    <row r="165066" customFormat="1" x14ac:dyDescent="0.25"/>
    <row r="165067" customFormat="1" x14ac:dyDescent="0.25"/>
    <row r="165068" customFormat="1" x14ac:dyDescent="0.25"/>
    <row r="165069" customFormat="1" x14ac:dyDescent="0.25"/>
    <row r="165070" customFormat="1" x14ac:dyDescent="0.25"/>
    <row r="165071" customFormat="1" x14ac:dyDescent="0.25"/>
    <row r="165072" customFormat="1" x14ac:dyDescent="0.25"/>
    <row r="165073" customFormat="1" x14ac:dyDescent="0.25"/>
    <row r="165074" customFormat="1" x14ac:dyDescent="0.25"/>
    <row r="165075" customFormat="1" x14ac:dyDescent="0.25"/>
    <row r="165076" customFormat="1" x14ac:dyDescent="0.25"/>
    <row r="165077" customFormat="1" x14ac:dyDescent="0.25"/>
    <row r="165078" customFormat="1" x14ac:dyDescent="0.25"/>
    <row r="165079" customFormat="1" x14ac:dyDescent="0.25"/>
    <row r="165080" customFormat="1" x14ac:dyDescent="0.25"/>
    <row r="165081" customFormat="1" x14ac:dyDescent="0.25"/>
    <row r="165082" customFormat="1" x14ac:dyDescent="0.25"/>
    <row r="165083" customFormat="1" x14ac:dyDescent="0.25"/>
    <row r="165084" customFormat="1" x14ac:dyDescent="0.25"/>
    <row r="165085" customFormat="1" x14ac:dyDescent="0.25"/>
    <row r="165086" customFormat="1" x14ac:dyDescent="0.25"/>
    <row r="165087" customFormat="1" x14ac:dyDescent="0.25"/>
    <row r="165088" customFormat="1" x14ac:dyDescent="0.25"/>
    <row r="165089" customFormat="1" x14ac:dyDescent="0.25"/>
    <row r="165090" customFormat="1" x14ac:dyDescent="0.25"/>
    <row r="165091" customFormat="1" x14ac:dyDescent="0.25"/>
    <row r="165092" customFormat="1" x14ac:dyDescent="0.25"/>
    <row r="165093" customFormat="1" x14ac:dyDescent="0.25"/>
    <row r="165094" customFormat="1" x14ac:dyDescent="0.25"/>
    <row r="165095" customFormat="1" x14ac:dyDescent="0.25"/>
    <row r="165096" customFormat="1" x14ac:dyDescent="0.25"/>
    <row r="165097" customFormat="1" x14ac:dyDescent="0.25"/>
    <row r="165098" customFormat="1" x14ac:dyDescent="0.25"/>
    <row r="165099" customFormat="1" x14ac:dyDescent="0.25"/>
    <row r="165100" customFormat="1" x14ac:dyDescent="0.25"/>
    <row r="165101" customFormat="1" x14ac:dyDescent="0.25"/>
    <row r="165102" customFormat="1" x14ac:dyDescent="0.25"/>
    <row r="165103" customFormat="1" x14ac:dyDescent="0.25"/>
    <row r="165104" customFormat="1" x14ac:dyDescent="0.25"/>
    <row r="165105" customFormat="1" x14ac:dyDescent="0.25"/>
    <row r="165106" customFormat="1" x14ac:dyDescent="0.25"/>
    <row r="165107" customFormat="1" x14ac:dyDescent="0.25"/>
    <row r="165108" customFormat="1" x14ac:dyDescent="0.25"/>
    <row r="165109" customFormat="1" x14ac:dyDescent="0.25"/>
    <row r="165110" customFormat="1" x14ac:dyDescent="0.25"/>
    <row r="165111" customFormat="1" x14ac:dyDescent="0.25"/>
    <row r="165112" customFormat="1" x14ac:dyDescent="0.25"/>
    <row r="165113" customFormat="1" x14ac:dyDescent="0.25"/>
    <row r="165114" customFormat="1" x14ac:dyDescent="0.25"/>
    <row r="165115" customFormat="1" x14ac:dyDescent="0.25"/>
    <row r="165116" customFormat="1" x14ac:dyDescent="0.25"/>
    <row r="165117" customFormat="1" x14ac:dyDescent="0.25"/>
    <row r="165118" customFormat="1" x14ac:dyDescent="0.25"/>
    <row r="165119" customFormat="1" x14ac:dyDescent="0.25"/>
    <row r="165120" customFormat="1" x14ac:dyDescent="0.25"/>
    <row r="165121" customFormat="1" x14ac:dyDescent="0.25"/>
    <row r="165122" customFormat="1" x14ac:dyDescent="0.25"/>
    <row r="165123" customFormat="1" x14ac:dyDescent="0.25"/>
    <row r="165124" customFormat="1" x14ac:dyDescent="0.25"/>
    <row r="165125" customFormat="1" x14ac:dyDescent="0.25"/>
    <row r="165126" customFormat="1" x14ac:dyDescent="0.25"/>
    <row r="165127" customFormat="1" x14ac:dyDescent="0.25"/>
    <row r="165128" customFormat="1" x14ac:dyDescent="0.25"/>
    <row r="165129" customFormat="1" x14ac:dyDescent="0.25"/>
    <row r="165130" customFormat="1" x14ac:dyDescent="0.25"/>
    <row r="165131" customFormat="1" x14ac:dyDescent="0.25"/>
    <row r="165132" customFormat="1" x14ac:dyDescent="0.25"/>
    <row r="165133" customFormat="1" x14ac:dyDescent="0.25"/>
    <row r="165134" customFormat="1" x14ac:dyDescent="0.25"/>
    <row r="165135" customFormat="1" x14ac:dyDescent="0.25"/>
    <row r="165136" customFormat="1" x14ac:dyDescent="0.25"/>
    <row r="165137" customFormat="1" x14ac:dyDescent="0.25"/>
    <row r="165138" customFormat="1" x14ac:dyDescent="0.25"/>
    <row r="165139" customFormat="1" x14ac:dyDescent="0.25"/>
    <row r="165140" customFormat="1" x14ac:dyDescent="0.25"/>
    <row r="165141" customFormat="1" x14ac:dyDescent="0.25"/>
    <row r="165142" customFormat="1" x14ac:dyDescent="0.25"/>
    <row r="165143" customFormat="1" x14ac:dyDescent="0.25"/>
    <row r="165144" customFormat="1" x14ac:dyDescent="0.25"/>
    <row r="165145" customFormat="1" x14ac:dyDescent="0.25"/>
    <row r="165146" customFormat="1" x14ac:dyDescent="0.25"/>
    <row r="165147" customFormat="1" x14ac:dyDescent="0.25"/>
    <row r="165148" customFormat="1" x14ac:dyDescent="0.25"/>
    <row r="165149" customFormat="1" x14ac:dyDescent="0.25"/>
    <row r="165150" customFormat="1" x14ac:dyDescent="0.25"/>
    <row r="165151" customFormat="1" x14ac:dyDescent="0.25"/>
    <row r="165152" customFormat="1" x14ac:dyDescent="0.25"/>
    <row r="165153" customFormat="1" x14ac:dyDescent="0.25"/>
    <row r="165154" customFormat="1" x14ac:dyDescent="0.25"/>
    <row r="165155" customFormat="1" x14ac:dyDescent="0.25"/>
    <row r="165156" customFormat="1" x14ac:dyDescent="0.25"/>
    <row r="165157" customFormat="1" x14ac:dyDescent="0.25"/>
    <row r="165158" customFormat="1" x14ac:dyDescent="0.25"/>
    <row r="165159" customFormat="1" x14ac:dyDescent="0.25"/>
    <row r="165160" customFormat="1" x14ac:dyDescent="0.25"/>
    <row r="165161" customFormat="1" x14ac:dyDescent="0.25"/>
    <row r="165162" customFormat="1" x14ac:dyDescent="0.25"/>
    <row r="165163" customFormat="1" x14ac:dyDescent="0.25"/>
    <row r="165164" customFormat="1" x14ac:dyDescent="0.25"/>
    <row r="165165" customFormat="1" x14ac:dyDescent="0.25"/>
    <row r="165166" customFormat="1" x14ac:dyDescent="0.25"/>
    <row r="165167" customFormat="1" x14ac:dyDescent="0.25"/>
    <row r="165168" customFormat="1" x14ac:dyDescent="0.25"/>
    <row r="165169" customFormat="1" x14ac:dyDescent="0.25"/>
    <row r="165170" customFormat="1" x14ac:dyDescent="0.25"/>
    <row r="165171" customFormat="1" x14ac:dyDescent="0.25"/>
    <row r="165172" customFormat="1" x14ac:dyDescent="0.25"/>
    <row r="165173" customFormat="1" x14ac:dyDescent="0.25"/>
    <row r="165174" customFormat="1" x14ac:dyDescent="0.25"/>
    <row r="165175" customFormat="1" x14ac:dyDescent="0.25"/>
    <row r="165176" customFormat="1" x14ac:dyDescent="0.25"/>
    <row r="165177" customFormat="1" x14ac:dyDescent="0.25"/>
    <row r="165178" customFormat="1" x14ac:dyDescent="0.25"/>
    <row r="165179" customFormat="1" x14ac:dyDescent="0.25"/>
    <row r="165180" customFormat="1" x14ac:dyDescent="0.25"/>
    <row r="165181" customFormat="1" x14ac:dyDescent="0.25"/>
    <row r="165182" customFormat="1" x14ac:dyDescent="0.25"/>
    <row r="165183" customFormat="1" x14ac:dyDescent="0.25"/>
    <row r="165184" customFormat="1" x14ac:dyDescent="0.25"/>
    <row r="165185" customFormat="1" x14ac:dyDescent="0.25"/>
    <row r="165186" customFormat="1" x14ac:dyDescent="0.25"/>
    <row r="165187" customFormat="1" x14ac:dyDescent="0.25"/>
    <row r="165188" customFormat="1" x14ac:dyDescent="0.25"/>
    <row r="165189" customFormat="1" x14ac:dyDescent="0.25"/>
    <row r="165190" customFormat="1" x14ac:dyDescent="0.25"/>
    <row r="165191" customFormat="1" x14ac:dyDescent="0.25"/>
    <row r="165192" customFormat="1" x14ac:dyDescent="0.25"/>
    <row r="165193" customFormat="1" x14ac:dyDescent="0.25"/>
    <row r="165194" customFormat="1" x14ac:dyDescent="0.25"/>
    <row r="165195" customFormat="1" x14ac:dyDescent="0.25"/>
    <row r="165196" customFormat="1" x14ac:dyDescent="0.25"/>
    <row r="165197" customFormat="1" x14ac:dyDescent="0.25"/>
    <row r="165198" customFormat="1" x14ac:dyDescent="0.25"/>
    <row r="165199" customFormat="1" x14ac:dyDescent="0.25"/>
    <row r="165200" customFormat="1" x14ac:dyDescent="0.25"/>
    <row r="165201" customFormat="1" x14ac:dyDescent="0.25"/>
    <row r="165202" customFormat="1" x14ac:dyDescent="0.25"/>
    <row r="165203" customFormat="1" x14ac:dyDescent="0.25"/>
    <row r="165204" customFormat="1" x14ac:dyDescent="0.25"/>
    <row r="165205" customFormat="1" x14ac:dyDescent="0.25"/>
    <row r="165206" customFormat="1" x14ac:dyDescent="0.25"/>
    <row r="165207" customFormat="1" x14ac:dyDescent="0.25"/>
    <row r="165208" customFormat="1" x14ac:dyDescent="0.25"/>
    <row r="165209" customFormat="1" x14ac:dyDescent="0.25"/>
    <row r="165210" customFormat="1" x14ac:dyDescent="0.25"/>
    <row r="165211" customFormat="1" x14ac:dyDescent="0.25"/>
    <row r="165212" customFormat="1" x14ac:dyDescent="0.25"/>
    <row r="165213" customFormat="1" x14ac:dyDescent="0.25"/>
    <row r="165214" customFormat="1" x14ac:dyDescent="0.25"/>
    <row r="165215" customFormat="1" x14ac:dyDescent="0.25"/>
    <row r="165216" customFormat="1" x14ac:dyDescent="0.25"/>
    <row r="165217" customFormat="1" x14ac:dyDescent="0.25"/>
    <row r="165218" customFormat="1" x14ac:dyDescent="0.25"/>
    <row r="165219" customFormat="1" x14ac:dyDescent="0.25"/>
    <row r="165220" customFormat="1" x14ac:dyDescent="0.25"/>
    <row r="165221" customFormat="1" x14ac:dyDescent="0.25"/>
    <row r="165222" customFormat="1" x14ac:dyDescent="0.25"/>
    <row r="165223" customFormat="1" x14ac:dyDescent="0.25"/>
    <row r="165224" customFormat="1" x14ac:dyDescent="0.25"/>
    <row r="165225" customFormat="1" x14ac:dyDescent="0.25"/>
    <row r="165226" customFormat="1" x14ac:dyDescent="0.25"/>
    <row r="165227" customFormat="1" x14ac:dyDescent="0.25"/>
    <row r="165228" customFormat="1" x14ac:dyDescent="0.25"/>
    <row r="165229" customFormat="1" x14ac:dyDescent="0.25"/>
    <row r="165230" customFormat="1" x14ac:dyDescent="0.25"/>
    <row r="165231" customFormat="1" x14ac:dyDescent="0.25"/>
    <row r="165232" customFormat="1" x14ac:dyDescent="0.25"/>
    <row r="165233" customFormat="1" x14ac:dyDescent="0.25"/>
    <row r="165234" customFormat="1" x14ac:dyDescent="0.25"/>
    <row r="165235" customFormat="1" x14ac:dyDescent="0.25"/>
    <row r="165236" customFormat="1" x14ac:dyDescent="0.25"/>
    <row r="165237" customFormat="1" x14ac:dyDescent="0.25"/>
    <row r="165238" customFormat="1" x14ac:dyDescent="0.25"/>
    <row r="165239" customFormat="1" x14ac:dyDescent="0.25"/>
    <row r="165240" customFormat="1" x14ac:dyDescent="0.25"/>
    <row r="165241" customFormat="1" x14ac:dyDescent="0.25"/>
    <row r="165242" customFormat="1" x14ac:dyDescent="0.25"/>
    <row r="165243" customFormat="1" x14ac:dyDescent="0.25"/>
    <row r="165244" customFormat="1" x14ac:dyDescent="0.25"/>
    <row r="165245" customFormat="1" x14ac:dyDescent="0.25"/>
    <row r="165246" customFormat="1" x14ac:dyDescent="0.25"/>
    <row r="165247" customFormat="1" x14ac:dyDescent="0.25"/>
    <row r="165248" customFormat="1" x14ac:dyDescent="0.25"/>
    <row r="165249" customFormat="1" x14ac:dyDescent="0.25"/>
    <row r="165250" customFormat="1" x14ac:dyDescent="0.25"/>
    <row r="165251" customFormat="1" x14ac:dyDescent="0.25"/>
    <row r="165252" customFormat="1" x14ac:dyDescent="0.25"/>
    <row r="165253" customFormat="1" x14ac:dyDescent="0.25"/>
    <row r="165254" customFormat="1" x14ac:dyDescent="0.25"/>
    <row r="165255" customFormat="1" x14ac:dyDescent="0.25"/>
    <row r="165256" customFormat="1" x14ac:dyDescent="0.25"/>
    <row r="165257" customFormat="1" x14ac:dyDescent="0.25"/>
    <row r="165258" customFormat="1" x14ac:dyDescent="0.25"/>
    <row r="165259" customFormat="1" x14ac:dyDescent="0.25"/>
    <row r="165260" customFormat="1" x14ac:dyDescent="0.25"/>
    <row r="165261" customFormat="1" x14ac:dyDescent="0.25"/>
    <row r="165262" customFormat="1" x14ac:dyDescent="0.25"/>
    <row r="165263" customFormat="1" x14ac:dyDescent="0.25"/>
    <row r="165264" customFormat="1" x14ac:dyDescent="0.25"/>
    <row r="165265" customFormat="1" x14ac:dyDescent="0.25"/>
    <row r="165266" customFormat="1" x14ac:dyDescent="0.25"/>
    <row r="165267" customFormat="1" x14ac:dyDescent="0.25"/>
    <row r="165268" customFormat="1" x14ac:dyDescent="0.25"/>
    <row r="165269" customFormat="1" x14ac:dyDescent="0.25"/>
    <row r="165270" customFormat="1" x14ac:dyDescent="0.25"/>
    <row r="165271" customFormat="1" x14ac:dyDescent="0.25"/>
    <row r="165272" customFormat="1" x14ac:dyDescent="0.25"/>
    <row r="165273" customFormat="1" x14ac:dyDescent="0.25"/>
    <row r="165274" customFormat="1" x14ac:dyDescent="0.25"/>
    <row r="165275" customFormat="1" x14ac:dyDescent="0.25"/>
    <row r="165276" customFormat="1" x14ac:dyDescent="0.25"/>
    <row r="165277" customFormat="1" x14ac:dyDescent="0.25"/>
    <row r="165278" customFormat="1" x14ac:dyDescent="0.25"/>
    <row r="165279" customFormat="1" x14ac:dyDescent="0.25"/>
    <row r="165280" customFormat="1" x14ac:dyDescent="0.25"/>
    <row r="165281" customFormat="1" x14ac:dyDescent="0.25"/>
    <row r="165282" customFormat="1" x14ac:dyDescent="0.25"/>
    <row r="165283" customFormat="1" x14ac:dyDescent="0.25"/>
    <row r="165284" customFormat="1" x14ac:dyDescent="0.25"/>
    <row r="165285" customFormat="1" x14ac:dyDescent="0.25"/>
    <row r="165286" customFormat="1" x14ac:dyDescent="0.25"/>
    <row r="165287" customFormat="1" x14ac:dyDescent="0.25"/>
    <row r="165288" customFormat="1" x14ac:dyDescent="0.25"/>
    <row r="165289" customFormat="1" x14ac:dyDescent="0.25"/>
    <row r="165290" customFormat="1" x14ac:dyDescent="0.25"/>
    <row r="165291" customFormat="1" x14ac:dyDescent="0.25"/>
    <row r="165292" customFormat="1" x14ac:dyDescent="0.25"/>
    <row r="165293" customFormat="1" x14ac:dyDescent="0.25"/>
    <row r="165294" customFormat="1" x14ac:dyDescent="0.25"/>
    <row r="165295" customFormat="1" x14ac:dyDescent="0.25"/>
    <row r="165296" customFormat="1" x14ac:dyDescent="0.25"/>
    <row r="165297" customFormat="1" x14ac:dyDescent="0.25"/>
    <row r="165298" customFormat="1" x14ac:dyDescent="0.25"/>
    <row r="165299" customFormat="1" x14ac:dyDescent="0.25"/>
    <row r="165300" customFormat="1" x14ac:dyDescent="0.25"/>
    <row r="165301" customFormat="1" x14ac:dyDescent="0.25"/>
    <row r="165302" customFormat="1" x14ac:dyDescent="0.25"/>
    <row r="165303" customFormat="1" x14ac:dyDescent="0.25"/>
    <row r="165304" customFormat="1" x14ac:dyDescent="0.25"/>
    <row r="165305" customFormat="1" x14ac:dyDescent="0.25"/>
    <row r="165306" customFormat="1" x14ac:dyDescent="0.25"/>
    <row r="165307" customFormat="1" x14ac:dyDescent="0.25"/>
    <row r="165308" customFormat="1" x14ac:dyDescent="0.25"/>
    <row r="165309" customFormat="1" x14ac:dyDescent="0.25"/>
    <row r="165310" customFormat="1" x14ac:dyDescent="0.25"/>
    <row r="165311" customFormat="1" x14ac:dyDescent="0.25"/>
    <row r="165312" customFormat="1" x14ac:dyDescent="0.25"/>
    <row r="165313" customFormat="1" x14ac:dyDescent="0.25"/>
    <row r="165314" customFormat="1" x14ac:dyDescent="0.25"/>
    <row r="165315" customFormat="1" x14ac:dyDescent="0.25"/>
    <row r="165316" customFormat="1" x14ac:dyDescent="0.25"/>
    <row r="165317" customFormat="1" x14ac:dyDescent="0.25"/>
    <row r="165318" customFormat="1" x14ac:dyDescent="0.25"/>
    <row r="165319" customFormat="1" x14ac:dyDescent="0.25"/>
    <row r="165320" customFormat="1" x14ac:dyDescent="0.25"/>
    <row r="165321" customFormat="1" x14ac:dyDescent="0.25"/>
    <row r="165322" customFormat="1" x14ac:dyDescent="0.25"/>
    <row r="165323" customFormat="1" x14ac:dyDescent="0.25"/>
    <row r="165324" customFormat="1" x14ac:dyDescent="0.25"/>
    <row r="165325" customFormat="1" x14ac:dyDescent="0.25"/>
    <row r="165326" customFormat="1" x14ac:dyDescent="0.25"/>
    <row r="165327" customFormat="1" x14ac:dyDescent="0.25"/>
    <row r="165328" customFormat="1" x14ac:dyDescent="0.25"/>
    <row r="165329" customFormat="1" x14ac:dyDescent="0.25"/>
    <row r="165330" customFormat="1" x14ac:dyDescent="0.25"/>
    <row r="165331" customFormat="1" x14ac:dyDescent="0.25"/>
    <row r="165332" customFormat="1" x14ac:dyDescent="0.25"/>
    <row r="165333" customFormat="1" x14ac:dyDescent="0.25"/>
    <row r="165334" customFormat="1" x14ac:dyDescent="0.25"/>
    <row r="165335" customFormat="1" x14ac:dyDescent="0.25"/>
    <row r="165336" customFormat="1" x14ac:dyDescent="0.25"/>
    <row r="165337" customFormat="1" x14ac:dyDescent="0.25"/>
    <row r="165338" customFormat="1" x14ac:dyDescent="0.25"/>
    <row r="165339" customFormat="1" x14ac:dyDescent="0.25"/>
    <row r="165340" customFormat="1" x14ac:dyDescent="0.25"/>
    <row r="165341" customFormat="1" x14ac:dyDescent="0.25"/>
    <row r="165342" customFormat="1" x14ac:dyDescent="0.25"/>
    <row r="165343" customFormat="1" x14ac:dyDescent="0.25"/>
    <row r="165344" customFormat="1" x14ac:dyDescent="0.25"/>
    <row r="165345" customFormat="1" x14ac:dyDescent="0.25"/>
    <row r="165346" customFormat="1" x14ac:dyDescent="0.25"/>
    <row r="165347" customFormat="1" x14ac:dyDescent="0.25"/>
    <row r="165348" customFormat="1" x14ac:dyDescent="0.25"/>
    <row r="165349" customFormat="1" x14ac:dyDescent="0.25"/>
    <row r="165350" customFormat="1" x14ac:dyDescent="0.25"/>
    <row r="165351" customFormat="1" x14ac:dyDescent="0.25"/>
    <row r="165352" customFormat="1" x14ac:dyDescent="0.25"/>
    <row r="165353" customFormat="1" x14ac:dyDescent="0.25"/>
    <row r="165354" customFormat="1" x14ac:dyDescent="0.25"/>
    <row r="165355" customFormat="1" x14ac:dyDescent="0.25"/>
    <row r="165356" customFormat="1" x14ac:dyDescent="0.25"/>
    <row r="165357" customFormat="1" x14ac:dyDescent="0.25"/>
    <row r="165358" customFormat="1" x14ac:dyDescent="0.25"/>
    <row r="165359" customFormat="1" x14ac:dyDescent="0.25"/>
    <row r="165360" customFormat="1" x14ac:dyDescent="0.25"/>
    <row r="165361" customFormat="1" x14ac:dyDescent="0.25"/>
    <row r="165362" customFormat="1" x14ac:dyDescent="0.25"/>
    <row r="165363" customFormat="1" x14ac:dyDescent="0.25"/>
    <row r="165364" customFormat="1" x14ac:dyDescent="0.25"/>
    <row r="165365" customFormat="1" x14ac:dyDescent="0.25"/>
    <row r="165366" customFormat="1" x14ac:dyDescent="0.25"/>
    <row r="165367" customFormat="1" x14ac:dyDescent="0.25"/>
    <row r="165368" customFormat="1" x14ac:dyDescent="0.25"/>
    <row r="165369" customFormat="1" x14ac:dyDescent="0.25"/>
    <row r="165370" customFormat="1" x14ac:dyDescent="0.25"/>
    <row r="165371" customFormat="1" x14ac:dyDescent="0.25"/>
    <row r="165372" customFormat="1" x14ac:dyDescent="0.25"/>
    <row r="165373" customFormat="1" x14ac:dyDescent="0.25"/>
    <row r="165374" customFormat="1" x14ac:dyDescent="0.25"/>
    <row r="165375" customFormat="1" x14ac:dyDescent="0.25"/>
    <row r="165376" customFormat="1" x14ac:dyDescent="0.25"/>
    <row r="165377" customFormat="1" x14ac:dyDescent="0.25"/>
    <row r="165378" customFormat="1" x14ac:dyDescent="0.25"/>
    <row r="165379" customFormat="1" x14ac:dyDescent="0.25"/>
    <row r="165380" customFormat="1" x14ac:dyDescent="0.25"/>
    <row r="165381" customFormat="1" x14ac:dyDescent="0.25"/>
    <row r="165382" customFormat="1" x14ac:dyDescent="0.25"/>
    <row r="165383" customFormat="1" x14ac:dyDescent="0.25"/>
    <row r="165384" customFormat="1" x14ac:dyDescent="0.25"/>
    <row r="165385" customFormat="1" x14ac:dyDescent="0.25"/>
    <row r="165386" customFormat="1" x14ac:dyDescent="0.25"/>
    <row r="165387" customFormat="1" x14ac:dyDescent="0.25"/>
    <row r="165388" customFormat="1" x14ac:dyDescent="0.25"/>
    <row r="165389" customFormat="1" x14ac:dyDescent="0.25"/>
    <row r="165390" customFormat="1" x14ac:dyDescent="0.25"/>
    <row r="165391" customFormat="1" x14ac:dyDescent="0.25"/>
    <row r="165392" customFormat="1" x14ac:dyDescent="0.25"/>
    <row r="165393" customFormat="1" x14ac:dyDescent="0.25"/>
    <row r="165394" customFormat="1" x14ac:dyDescent="0.25"/>
    <row r="165395" customFormat="1" x14ac:dyDescent="0.25"/>
    <row r="165396" customFormat="1" x14ac:dyDescent="0.25"/>
    <row r="165397" customFormat="1" x14ac:dyDescent="0.25"/>
    <row r="165398" customFormat="1" x14ac:dyDescent="0.25"/>
    <row r="165399" customFormat="1" x14ac:dyDescent="0.25"/>
    <row r="165400" customFormat="1" x14ac:dyDescent="0.25"/>
    <row r="165401" customFormat="1" x14ac:dyDescent="0.25"/>
    <row r="165402" customFormat="1" x14ac:dyDescent="0.25"/>
    <row r="165403" customFormat="1" x14ac:dyDescent="0.25"/>
    <row r="165404" customFormat="1" x14ac:dyDescent="0.25"/>
    <row r="165405" customFormat="1" x14ac:dyDescent="0.25"/>
    <row r="165406" customFormat="1" x14ac:dyDescent="0.25"/>
    <row r="165407" customFormat="1" x14ac:dyDescent="0.25"/>
    <row r="165408" customFormat="1" x14ac:dyDescent="0.25"/>
    <row r="165409" customFormat="1" x14ac:dyDescent="0.25"/>
    <row r="165410" customFormat="1" x14ac:dyDescent="0.25"/>
    <row r="165411" customFormat="1" x14ac:dyDescent="0.25"/>
    <row r="165412" customFormat="1" x14ac:dyDescent="0.25"/>
    <row r="165413" customFormat="1" x14ac:dyDescent="0.25"/>
    <row r="165414" customFormat="1" x14ac:dyDescent="0.25"/>
    <row r="165415" customFormat="1" x14ac:dyDescent="0.25"/>
    <row r="165416" customFormat="1" x14ac:dyDescent="0.25"/>
    <row r="165417" customFormat="1" x14ac:dyDescent="0.25"/>
    <row r="165418" customFormat="1" x14ac:dyDescent="0.25"/>
    <row r="165419" customFormat="1" x14ac:dyDescent="0.25"/>
    <row r="165420" customFormat="1" x14ac:dyDescent="0.25"/>
    <row r="165421" customFormat="1" x14ac:dyDescent="0.25"/>
    <row r="165422" customFormat="1" x14ac:dyDescent="0.25"/>
    <row r="165423" customFormat="1" x14ac:dyDescent="0.25"/>
    <row r="165424" customFormat="1" x14ac:dyDescent="0.25"/>
    <row r="165425" customFormat="1" x14ac:dyDescent="0.25"/>
    <row r="165426" customFormat="1" x14ac:dyDescent="0.25"/>
    <row r="165427" customFormat="1" x14ac:dyDescent="0.25"/>
    <row r="165428" customFormat="1" x14ac:dyDescent="0.25"/>
    <row r="165429" customFormat="1" x14ac:dyDescent="0.25"/>
    <row r="165430" customFormat="1" x14ac:dyDescent="0.25"/>
    <row r="165431" customFormat="1" x14ac:dyDescent="0.25"/>
    <row r="165432" customFormat="1" x14ac:dyDescent="0.25"/>
    <row r="165433" customFormat="1" x14ac:dyDescent="0.25"/>
    <row r="165434" customFormat="1" x14ac:dyDescent="0.25"/>
    <row r="165435" customFormat="1" x14ac:dyDescent="0.25"/>
    <row r="165436" customFormat="1" x14ac:dyDescent="0.25"/>
    <row r="165437" customFormat="1" x14ac:dyDescent="0.25"/>
    <row r="165438" customFormat="1" x14ac:dyDescent="0.25"/>
    <row r="165439" customFormat="1" x14ac:dyDescent="0.25"/>
    <row r="165440" customFormat="1" x14ac:dyDescent="0.25"/>
    <row r="165441" customFormat="1" x14ac:dyDescent="0.25"/>
    <row r="165442" customFormat="1" x14ac:dyDescent="0.25"/>
    <row r="165443" customFormat="1" x14ac:dyDescent="0.25"/>
    <row r="165444" customFormat="1" x14ac:dyDescent="0.25"/>
    <row r="165445" customFormat="1" x14ac:dyDescent="0.25"/>
    <row r="165446" customFormat="1" x14ac:dyDescent="0.25"/>
    <row r="165447" customFormat="1" x14ac:dyDescent="0.25"/>
    <row r="165448" customFormat="1" x14ac:dyDescent="0.25"/>
    <row r="165449" customFormat="1" x14ac:dyDescent="0.25"/>
    <row r="165450" customFormat="1" x14ac:dyDescent="0.25"/>
    <row r="165451" customFormat="1" x14ac:dyDescent="0.25"/>
    <row r="165452" customFormat="1" x14ac:dyDescent="0.25"/>
    <row r="165453" customFormat="1" x14ac:dyDescent="0.25"/>
    <row r="165454" customFormat="1" x14ac:dyDescent="0.25"/>
    <row r="165455" customFormat="1" x14ac:dyDescent="0.25"/>
    <row r="165456" customFormat="1" x14ac:dyDescent="0.25"/>
    <row r="165457" customFormat="1" x14ac:dyDescent="0.25"/>
    <row r="165458" customFormat="1" x14ac:dyDescent="0.25"/>
    <row r="165459" customFormat="1" x14ac:dyDescent="0.25"/>
    <row r="165460" customFormat="1" x14ac:dyDescent="0.25"/>
    <row r="165461" customFormat="1" x14ac:dyDescent="0.25"/>
    <row r="165462" customFormat="1" x14ac:dyDescent="0.25"/>
    <row r="165463" customFormat="1" x14ac:dyDescent="0.25"/>
    <row r="165464" customFormat="1" x14ac:dyDescent="0.25"/>
    <row r="165465" customFormat="1" x14ac:dyDescent="0.25"/>
    <row r="165466" customFormat="1" x14ac:dyDescent="0.25"/>
    <row r="165467" customFormat="1" x14ac:dyDescent="0.25"/>
    <row r="165468" customFormat="1" x14ac:dyDescent="0.25"/>
    <row r="165469" customFormat="1" x14ac:dyDescent="0.25"/>
    <row r="165470" customFormat="1" x14ac:dyDescent="0.25"/>
    <row r="165471" customFormat="1" x14ac:dyDescent="0.25"/>
    <row r="165472" customFormat="1" x14ac:dyDescent="0.25"/>
    <row r="165473" customFormat="1" x14ac:dyDescent="0.25"/>
    <row r="165474" customFormat="1" x14ac:dyDescent="0.25"/>
    <row r="165475" customFormat="1" x14ac:dyDescent="0.25"/>
    <row r="165476" customFormat="1" x14ac:dyDescent="0.25"/>
    <row r="165477" customFormat="1" x14ac:dyDescent="0.25"/>
    <row r="165478" customFormat="1" x14ac:dyDescent="0.25"/>
    <row r="165479" customFormat="1" x14ac:dyDescent="0.25"/>
    <row r="165480" customFormat="1" x14ac:dyDescent="0.25"/>
    <row r="165481" customFormat="1" x14ac:dyDescent="0.25"/>
    <row r="165482" customFormat="1" x14ac:dyDescent="0.25"/>
    <row r="165483" customFormat="1" x14ac:dyDescent="0.25"/>
    <row r="165484" customFormat="1" x14ac:dyDescent="0.25"/>
    <row r="165485" customFormat="1" x14ac:dyDescent="0.25"/>
    <row r="165486" customFormat="1" x14ac:dyDescent="0.25"/>
    <row r="165487" customFormat="1" x14ac:dyDescent="0.25"/>
    <row r="165488" customFormat="1" x14ac:dyDescent="0.25"/>
    <row r="165489" customFormat="1" x14ac:dyDescent="0.25"/>
    <row r="165490" customFormat="1" x14ac:dyDescent="0.25"/>
    <row r="165491" customFormat="1" x14ac:dyDescent="0.25"/>
    <row r="165492" customFormat="1" x14ac:dyDescent="0.25"/>
    <row r="165493" customFormat="1" x14ac:dyDescent="0.25"/>
    <row r="165494" customFormat="1" x14ac:dyDescent="0.25"/>
    <row r="165495" customFormat="1" x14ac:dyDescent="0.25"/>
    <row r="165496" customFormat="1" x14ac:dyDescent="0.25"/>
    <row r="165497" customFormat="1" x14ac:dyDescent="0.25"/>
    <row r="165498" customFormat="1" x14ac:dyDescent="0.25"/>
    <row r="165499" customFormat="1" x14ac:dyDescent="0.25"/>
    <row r="165500" customFormat="1" x14ac:dyDescent="0.25"/>
    <row r="165501" customFormat="1" x14ac:dyDescent="0.25"/>
    <row r="165502" customFormat="1" x14ac:dyDescent="0.25"/>
    <row r="165503" customFormat="1" x14ac:dyDescent="0.25"/>
    <row r="165504" customFormat="1" x14ac:dyDescent="0.25"/>
    <row r="165505" customFormat="1" x14ac:dyDescent="0.25"/>
    <row r="165506" customFormat="1" x14ac:dyDescent="0.25"/>
    <row r="165507" customFormat="1" x14ac:dyDescent="0.25"/>
    <row r="165508" customFormat="1" x14ac:dyDescent="0.25"/>
    <row r="165509" customFormat="1" x14ac:dyDescent="0.25"/>
    <row r="165510" customFormat="1" x14ac:dyDescent="0.25"/>
    <row r="165511" customFormat="1" x14ac:dyDescent="0.25"/>
    <row r="165512" customFormat="1" x14ac:dyDescent="0.25"/>
    <row r="165513" customFormat="1" x14ac:dyDescent="0.25"/>
    <row r="165514" customFormat="1" x14ac:dyDescent="0.25"/>
    <row r="165515" customFormat="1" x14ac:dyDescent="0.25"/>
    <row r="165516" customFormat="1" x14ac:dyDescent="0.25"/>
    <row r="165517" customFormat="1" x14ac:dyDescent="0.25"/>
    <row r="165518" customFormat="1" x14ac:dyDescent="0.25"/>
    <row r="165519" customFormat="1" x14ac:dyDescent="0.25"/>
    <row r="165520" customFormat="1" x14ac:dyDescent="0.25"/>
    <row r="165521" customFormat="1" x14ac:dyDescent="0.25"/>
    <row r="165522" customFormat="1" x14ac:dyDescent="0.25"/>
    <row r="165523" customFormat="1" x14ac:dyDescent="0.25"/>
    <row r="165524" customFormat="1" x14ac:dyDescent="0.25"/>
    <row r="165525" customFormat="1" x14ac:dyDescent="0.25"/>
    <row r="165526" customFormat="1" x14ac:dyDescent="0.25"/>
    <row r="165527" customFormat="1" x14ac:dyDescent="0.25"/>
    <row r="165528" customFormat="1" x14ac:dyDescent="0.25"/>
    <row r="165529" customFormat="1" x14ac:dyDescent="0.25"/>
    <row r="165530" customFormat="1" x14ac:dyDescent="0.25"/>
    <row r="165531" customFormat="1" x14ac:dyDescent="0.25"/>
    <row r="165532" customFormat="1" x14ac:dyDescent="0.25"/>
    <row r="165533" customFormat="1" x14ac:dyDescent="0.25"/>
    <row r="165534" customFormat="1" x14ac:dyDescent="0.25"/>
    <row r="165535" customFormat="1" x14ac:dyDescent="0.25"/>
    <row r="165536" customFormat="1" x14ac:dyDescent="0.25"/>
    <row r="165537" customFormat="1" x14ac:dyDescent="0.25"/>
    <row r="165538" customFormat="1" x14ac:dyDescent="0.25"/>
    <row r="165539" customFormat="1" x14ac:dyDescent="0.25"/>
    <row r="165540" customFormat="1" x14ac:dyDescent="0.25"/>
    <row r="165541" customFormat="1" x14ac:dyDescent="0.25"/>
    <row r="165542" customFormat="1" x14ac:dyDescent="0.25"/>
    <row r="165543" customFormat="1" x14ac:dyDescent="0.25"/>
    <row r="165544" customFormat="1" x14ac:dyDescent="0.25"/>
    <row r="165545" customFormat="1" x14ac:dyDescent="0.25"/>
    <row r="165546" customFormat="1" x14ac:dyDescent="0.25"/>
    <row r="165547" customFormat="1" x14ac:dyDescent="0.25"/>
    <row r="165548" customFormat="1" x14ac:dyDescent="0.25"/>
    <row r="165549" customFormat="1" x14ac:dyDescent="0.25"/>
    <row r="165550" customFormat="1" x14ac:dyDescent="0.25"/>
    <row r="165551" customFormat="1" x14ac:dyDescent="0.25"/>
    <row r="165552" customFormat="1" x14ac:dyDescent="0.25"/>
    <row r="165553" customFormat="1" x14ac:dyDescent="0.25"/>
    <row r="165554" customFormat="1" x14ac:dyDescent="0.25"/>
    <row r="165555" customFormat="1" x14ac:dyDescent="0.25"/>
    <row r="165556" customFormat="1" x14ac:dyDescent="0.25"/>
    <row r="165557" customFormat="1" x14ac:dyDescent="0.25"/>
    <row r="165558" customFormat="1" x14ac:dyDescent="0.25"/>
    <row r="165559" customFormat="1" x14ac:dyDescent="0.25"/>
    <row r="165560" customFormat="1" x14ac:dyDescent="0.25"/>
    <row r="165561" customFormat="1" x14ac:dyDescent="0.25"/>
    <row r="165562" customFormat="1" x14ac:dyDescent="0.25"/>
    <row r="165563" customFormat="1" x14ac:dyDescent="0.25"/>
    <row r="165564" customFormat="1" x14ac:dyDescent="0.25"/>
    <row r="165565" customFormat="1" x14ac:dyDescent="0.25"/>
    <row r="165566" customFormat="1" x14ac:dyDescent="0.25"/>
    <row r="165567" customFormat="1" x14ac:dyDescent="0.25"/>
    <row r="165568" customFormat="1" x14ac:dyDescent="0.25"/>
    <row r="165569" customFormat="1" x14ac:dyDescent="0.25"/>
    <row r="165570" customFormat="1" x14ac:dyDescent="0.25"/>
    <row r="165571" customFormat="1" x14ac:dyDescent="0.25"/>
    <row r="165572" customFormat="1" x14ac:dyDescent="0.25"/>
    <row r="165573" customFormat="1" x14ac:dyDescent="0.25"/>
    <row r="165574" customFormat="1" x14ac:dyDescent="0.25"/>
    <row r="165575" customFormat="1" x14ac:dyDescent="0.25"/>
    <row r="165576" customFormat="1" x14ac:dyDescent="0.25"/>
    <row r="165577" customFormat="1" x14ac:dyDescent="0.25"/>
    <row r="165578" customFormat="1" x14ac:dyDescent="0.25"/>
    <row r="165579" customFormat="1" x14ac:dyDescent="0.25"/>
    <row r="165580" customFormat="1" x14ac:dyDescent="0.25"/>
    <row r="165581" customFormat="1" x14ac:dyDescent="0.25"/>
    <row r="165582" customFormat="1" x14ac:dyDescent="0.25"/>
    <row r="165583" customFormat="1" x14ac:dyDescent="0.25"/>
    <row r="165584" customFormat="1" x14ac:dyDescent="0.25"/>
    <row r="165585" customFormat="1" x14ac:dyDescent="0.25"/>
    <row r="165586" customFormat="1" x14ac:dyDescent="0.25"/>
    <row r="165587" customFormat="1" x14ac:dyDescent="0.25"/>
    <row r="165588" customFormat="1" x14ac:dyDescent="0.25"/>
    <row r="165589" customFormat="1" x14ac:dyDescent="0.25"/>
    <row r="165590" customFormat="1" x14ac:dyDescent="0.25"/>
    <row r="165591" customFormat="1" x14ac:dyDescent="0.25"/>
    <row r="165592" customFormat="1" x14ac:dyDescent="0.25"/>
    <row r="165593" customFormat="1" x14ac:dyDescent="0.25"/>
    <row r="165594" customFormat="1" x14ac:dyDescent="0.25"/>
    <row r="165595" customFormat="1" x14ac:dyDescent="0.25"/>
    <row r="165596" customFormat="1" x14ac:dyDescent="0.25"/>
    <row r="165597" customFormat="1" x14ac:dyDescent="0.25"/>
    <row r="165598" customFormat="1" x14ac:dyDescent="0.25"/>
    <row r="165599" customFormat="1" x14ac:dyDescent="0.25"/>
    <row r="165600" customFormat="1" x14ac:dyDescent="0.25"/>
    <row r="165601" customFormat="1" x14ac:dyDescent="0.25"/>
    <row r="165602" customFormat="1" x14ac:dyDescent="0.25"/>
    <row r="165603" customFormat="1" x14ac:dyDescent="0.25"/>
    <row r="165604" customFormat="1" x14ac:dyDescent="0.25"/>
    <row r="165605" customFormat="1" x14ac:dyDescent="0.25"/>
    <row r="165606" customFormat="1" x14ac:dyDescent="0.25"/>
    <row r="165607" customFormat="1" x14ac:dyDescent="0.25"/>
    <row r="165608" customFormat="1" x14ac:dyDescent="0.25"/>
    <row r="165609" customFormat="1" x14ac:dyDescent="0.25"/>
    <row r="165610" customFormat="1" x14ac:dyDescent="0.25"/>
    <row r="165611" customFormat="1" x14ac:dyDescent="0.25"/>
    <row r="165612" customFormat="1" x14ac:dyDescent="0.25"/>
    <row r="165613" customFormat="1" x14ac:dyDescent="0.25"/>
    <row r="165614" customFormat="1" x14ac:dyDescent="0.25"/>
    <row r="165615" customFormat="1" x14ac:dyDescent="0.25"/>
    <row r="165616" customFormat="1" x14ac:dyDescent="0.25"/>
    <row r="165617" customFormat="1" x14ac:dyDescent="0.25"/>
    <row r="165618" customFormat="1" x14ac:dyDescent="0.25"/>
    <row r="165619" customFormat="1" x14ac:dyDescent="0.25"/>
    <row r="165620" customFormat="1" x14ac:dyDescent="0.25"/>
    <row r="165621" customFormat="1" x14ac:dyDescent="0.25"/>
    <row r="165622" customFormat="1" x14ac:dyDescent="0.25"/>
    <row r="165623" customFormat="1" x14ac:dyDescent="0.25"/>
    <row r="165624" customFormat="1" x14ac:dyDescent="0.25"/>
    <row r="165625" customFormat="1" x14ac:dyDescent="0.25"/>
    <row r="165626" customFormat="1" x14ac:dyDescent="0.25"/>
    <row r="165627" customFormat="1" x14ac:dyDescent="0.25"/>
    <row r="165628" customFormat="1" x14ac:dyDescent="0.25"/>
    <row r="165629" customFormat="1" x14ac:dyDescent="0.25"/>
    <row r="165630" customFormat="1" x14ac:dyDescent="0.25"/>
    <row r="165631" customFormat="1" x14ac:dyDescent="0.25"/>
    <row r="165632" customFormat="1" x14ac:dyDescent="0.25"/>
    <row r="165633" customFormat="1" x14ac:dyDescent="0.25"/>
    <row r="165634" customFormat="1" x14ac:dyDescent="0.25"/>
    <row r="165635" customFormat="1" x14ac:dyDescent="0.25"/>
    <row r="165636" customFormat="1" x14ac:dyDescent="0.25"/>
    <row r="165637" customFormat="1" x14ac:dyDescent="0.25"/>
    <row r="165638" customFormat="1" x14ac:dyDescent="0.25"/>
    <row r="165639" customFormat="1" x14ac:dyDescent="0.25"/>
    <row r="165640" customFormat="1" x14ac:dyDescent="0.25"/>
    <row r="165641" customFormat="1" x14ac:dyDescent="0.25"/>
    <row r="165642" customFormat="1" x14ac:dyDescent="0.25"/>
    <row r="165643" customFormat="1" x14ac:dyDescent="0.25"/>
    <row r="165644" customFormat="1" x14ac:dyDescent="0.25"/>
    <row r="165645" customFormat="1" x14ac:dyDescent="0.25"/>
    <row r="165646" customFormat="1" x14ac:dyDescent="0.25"/>
    <row r="165647" customFormat="1" x14ac:dyDescent="0.25"/>
    <row r="165648" customFormat="1" x14ac:dyDescent="0.25"/>
    <row r="165649" customFormat="1" x14ac:dyDescent="0.25"/>
    <row r="165650" customFormat="1" x14ac:dyDescent="0.25"/>
    <row r="165651" customFormat="1" x14ac:dyDescent="0.25"/>
    <row r="165652" customFormat="1" x14ac:dyDescent="0.25"/>
    <row r="165653" customFormat="1" x14ac:dyDescent="0.25"/>
    <row r="165654" customFormat="1" x14ac:dyDescent="0.25"/>
    <row r="165655" customFormat="1" x14ac:dyDescent="0.25"/>
    <row r="165656" customFormat="1" x14ac:dyDescent="0.25"/>
    <row r="165657" customFormat="1" x14ac:dyDescent="0.25"/>
    <row r="165658" customFormat="1" x14ac:dyDescent="0.25"/>
    <row r="165659" customFormat="1" x14ac:dyDescent="0.25"/>
    <row r="165660" customFormat="1" x14ac:dyDescent="0.25"/>
    <row r="165661" customFormat="1" x14ac:dyDescent="0.25"/>
    <row r="165662" customFormat="1" x14ac:dyDescent="0.25"/>
    <row r="165663" customFormat="1" x14ac:dyDescent="0.25"/>
    <row r="165664" customFormat="1" x14ac:dyDescent="0.25"/>
    <row r="165665" customFormat="1" x14ac:dyDescent="0.25"/>
    <row r="165666" customFormat="1" x14ac:dyDescent="0.25"/>
    <row r="165667" customFormat="1" x14ac:dyDescent="0.25"/>
    <row r="165668" customFormat="1" x14ac:dyDescent="0.25"/>
    <row r="165669" customFormat="1" x14ac:dyDescent="0.25"/>
    <row r="165670" customFormat="1" x14ac:dyDescent="0.25"/>
    <row r="165671" customFormat="1" x14ac:dyDescent="0.25"/>
    <row r="165672" customFormat="1" x14ac:dyDescent="0.25"/>
    <row r="165673" customFormat="1" x14ac:dyDescent="0.25"/>
    <row r="165674" customFormat="1" x14ac:dyDescent="0.25"/>
    <row r="165675" customFormat="1" x14ac:dyDescent="0.25"/>
    <row r="165676" customFormat="1" x14ac:dyDescent="0.25"/>
    <row r="165677" customFormat="1" x14ac:dyDescent="0.25"/>
    <row r="165678" customFormat="1" x14ac:dyDescent="0.25"/>
    <row r="165679" customFormat="1" x14ac:dyDescent="0.25"/>
    <row r="165680" customFormat="1" x14ac:dyDescent="0.25"/>
    <row r="165681" customFormat="1" x14ac:dyDescent="0.25"/>
    <row r="165682" customFormat="1" x14ac:dyDescent="0.25"/>
    <row r="165683" customFormat="1" x14ac:dyDescent="0.25"/>
    <row r="165684" customFormat="1" x14ac:dyDescent="0.25"/>
    <row r="165685" customFormat="1" x14ac:dyDescent="0.25"/>
    <row r="165686" customFormat="1" x14ac:dyDescent="0.25"/>
    <row r="165687" customFormat="1" x14ac:dyDescent="0.25"/>
    <row r="165688" customFormat="1" x14ac:dyDescent="0.25"/>
    <row r="165689" customFormat="1" x14ac:dyDescent="0.25"/>
    <row r="165690" customFormat="1" x14ac:dyDescent="0.25"/>
    <row r="165691" customFormat="1" x14ac:dyDescent="0.25"/>
    <row r="165692" customFormat="1" x14ac:dyDescent="0.25"/>
    <row r="165693" customFormat="1" x14ac:dyDescent="0.25"/>
    <row r="165694" customFormat="1" x14ac:dyDescent="0.25"/>
    <row r="165695" customFormat="1" x14ac:dyDescent="0.25"/>
    <row r="165696" customFormat="1" x14ac:dyDescent="0.25"/>
    <row r="165697" customFormat="1" x14ac:dyDescent="0.25"/>
    <row r="165698" customFormat="1" x14ac:dyDescent="0.25"/>
    <row r="165699" customFormat="1" x14ac:dyDescent="0.25"/>
    <row r="165700" customFormat="1" x14ac:dyDescent="0.25"/>
    <row r="165701" customFormat="1" x14ac:dyDescent="0.25"/>
    <row r="165702" customFormat="1" x14ac:dyDescent="0.25"/>
    <row r="165703" customFormat="1" x14ac:dyDescent="0.25"/>
    <row r="165704" customFormat="1" x14ac:dyDescent="0.25"/>
    <row r="165705" customFormat="1" x14ac:dyDescent="0.25"/>
    <row r="165706" customFormat="1" x14ac:dyDescent="0.25"/>
    <row r="165707" customFormat="1" x14ac:dyDescent="0.25"/>
    <row r="165708" customFormat="1" x14ac:dyDescent="0.25"/>
    <row r="165709" customFormat="1" x14ac:dyDescent="0.25"/>
    <row r="165710" customFormat="1" x14ac:dyDescent="0.25"/>
    <row r="165711" customFormat="1" x14ac:dyDescent="0.25"/>
    <row r="165712" customFormat="1" x14ac:dyDescent="0.25"/>
    <row r="165713" customFormat="1" x14ac:dyDescent="0.25"/>
    <row r="165714" customFormat="1" x14ac:dyDescent="0.25"/>
    <row r="165715" customFormat="1" x14ac:dyDescent="0.25"/>
    <row r="165716" customFormat="1" x14ac:dyDescent="0.25"/>
    <row r="165717" customFormat="1" x14ac:dyDescent="0.25"/>
    <row r="165718" customFormat="1" x14ac:dyDescent="0.25"/>
    <row r="165719" customFormat="1" x14ac:dyDescent="0.25"/>
    <row r="165720" customFormat="1" x14ac:dyDescent="0.25"/>
    <row r="165721" customFormat="1" x14ac:dyDescent="0.25"/>
    <row r="165722" customFormat="1" x14ac:dyDescent="0.25"/>
    <row r="165723" customFormat="1" x14ac:dyDescent="0.25"/>
    <row r="165724" customFormat="1" x14ac:dyDescent="0.25"/>
    <row r="165725" customFormat="1" x14ac:dyDescent="0.25"/>
    <row r="165726" customFormat="1" x14ac:dyDescent="0.25"/>
    <row r="165727" customFormat="1" x14ac:dyDescent="0.25"/>
    <row r="165728" customFormat="1" x14ac:dyDescent="0.25"/>
    <row r="165729" customFormat="1" x14ac:dyDescent="0.25"/>
    <row r="165730" customFormat="1" x14ac:dyDescent="0.25"/>
    <row r="165731" customFormat="1" x14ac:dyDescent="0.25"/>
    <row r="165732" customFormat="1" x14ac:dyDescent="0.25"/>
    <row r="165733" customFormat="1" x14ac:dyDescent="0.25"/>
    <row r="165734" customFormat="1" x14ac:dyDescent="0.25"/>
    <row r="165735" customFormat="1" x14ac:dyDescent="0.25"/>
    <row r="165736" customFormat="1" x14ac:dyDescent="0.25"/>
    <row r="165737" customFormat="1" x14ac:dyDescent="0.25"/>
    <row r="165738" customFormat="1" x14ac:dyDescent="0.25"/>
    <row r="165739" customFormat="1" x14ac:dyDescent="0.25"/>
    <row r="165740" customFormat="1" x14ac:dyDescent="0.25"/>
    <row r="165741" customFormat="1" x14ac:dyDescent="0.25"/>
    <row r="165742" customFormat="1" x14ac:dyDescent="0.25"/>
    <row r="165743" customFormat="1" x14ac:dyDescent="0.25"/>
    <row r="165744" customFormat="1" x14ac:dyDescent="0.25"/>
    <row r="165745" customFormat="1" x14ac:dyDescent="0.25"/>
    <row r="165746" customFormat="1" x14ac:dyDescent="0.25"/>
    <row r="165747" customFormat="1" x14ac:dyDescent="0.25"/>
    <row r="165748" customFormat="1" x14ac:dyDescent="0.25"/>
    <row r="165749" customFormat="1" x14ac:dyDescent="0.25"/>
    <row r="165750" customFormat="1" x14ac:dyDescent="0.25"/>
    <row r="165751" customFormat="1" x14ac:dyDescent="0.25"/>
    <row r="165752" customFormat="1" x14ac:dyDescent="0.25"/>
    <row r="165753" customFormat="1" x14ac:dyDescent="0.25"/>
    <row r="165754" customFormat="1" x14ac:dyDescent="0.25"/>
    <row r="165755" customFormat="1" x14ac:dyDescent="0.25"/>
    <row r="165756" customFormat="1" x14ac:dyDescent="0.25"/>
    <row r="165757" customFormat="1" x14ac:dyDescent="0.25"/>
    <row r="165758" customFormat="1" x14ac:dyDescent="0.25"/>
    <row r="165759" customFormat="1" x14ac:dyDescent="0.25"/>
    <row r="165760" customFormat="1" x14ac:dyDescent="0.25"/>
    <row r="165761" customFormat="1" x14ac:dyDescent="0.25"/>
    <row r="165762" customFormat="1" x14ac:dyDescent="0.25"/>
    <row r="165763" customFormat="1" x14ac:dyDescent="0.25"/>
    <row r="165764" customFormat="1" x14ac:dyDescent="0.25"/>
    <row r="165765" customFormat="1" x14ac:dyDescent="0.25"/>
    <row r="165766" customFormat="1" x14ac:dyDescent="0.25"/>
    <row r="165767" customFormat="1" x14ac:dyDescent="0.25"/>
    <row r="165768" customFormat="1" x14ac:dyDescent="0.25"/>
    <row r="165769" customFormat="1" x14ac:dyDescent="0.25"/>
    <row r="165770" customFormat="1" x14ac:dyDescent="0.25"/>
    <row r="165771" customFormat="1" x14ac:dyDescent="0.25"/>
    <row r="165772" customFormat="1" x14ac:dyDescent="0.25"/>
    <row r="165773" customFormat="1" x14ac:dyDescent="0.25"/>
    <row r="165774" customFormat="1" x14ac:dyDescent="0.25"/>
    <row r="165775" customFormat="1" x14ac:dyDescent="0.25"/>
    <row r="165776" customFormat="1" x14ac:dyDescent="0.25"/>
    <row r="165777" customFormat="1" x14ac:dyDescent="0.25"/>
    <row r="165778" customFormat="1" x14ac:dyDescent="0.25"/>
    <row r="165779" customFormat="1" x14ac:dyDescent="0.25"/>
    <row r="165780" customFormat="1" x14ac:dyDescent="0.25"/>
    <row r="165781" customFormat="1" x14ac:dyDescent="0.25"/>
    <row r="165782" customFormat="1" x14ac:dyDescent="0.25"/>
    <row r="165783" customFormat="1" x14ac:dyDescent="0.25"/>
    <row r="165784" customFormat="1" x14ac:dyDescent="0.25"/>
    <row r="165785" customFormat="1" x14ac:dyDescent="0.25"/>
    <row r="165786" customFormat="1" x14ac:dyDescent="0.25"/>
    <row r="165787" customFormat="1" x14ac:dyDescent="0.25"/>
    <row r="165788" customFormat="1" x14ac:dyDescent="0.25"/>
    <row r="165789" customFormat="1" x14ac:dyDescent="0.25"/>
    <row r="165790" customFormat="1" x14ac:dyDescent="0.25"/>
    <row r="165791" customFormat="1" x14ac:dyDescent="0.25"/>
    <row r="165792" customFormat="1" x14ac:dyDescent="0.25"/>
    <row r="165793" customFormat="1" x14ac:dyDescent="0.25"/>
    <row r="165794" customFormat="1" x14ac:dyDescent="0.25"/>
    <row r="165795" customFormat="1" x14ac:dyDescent="0.25"/>
    <row r="165796" customFormat="1" x14ac:dyDescent="0.25"/>
    <row r="165797" customFormat="1" x14ac:dyDescent="0.25"/>
    <row r="165798" customFormat="1" x14ac:dyDescent="0.25"/>
    <row r="165799" customFormat="1" x14ac:dyDescent="0.25"/>
    <row r="165800" customFormat="1" x14ac:dyDescent="0.25"/>
    <row r="165801" customFormat="1" x14ac:dyDescent="0.25"/>
    <row r="165802" customFormat="1" x14ac:dyDescent="0.25"/>
    <row r="165803" customFormat="1" x14ac:dyDescent="0.25"/>
    <row r="165804" customFormat="1" x14ac:dyDescent="0.25"/>
    <row r="165805" customFormat="1" x14ac:dyDescent="0.25"/>
    <row r="165806" customFormat="1" x14ac:dyDescent="0.25"/>
    <row r="165807" customFormat="1" x14ac:dyDescent="0.25"/>
    <row r="165808" customFormat="1" x14ac:dyDescent="0.25"/>
    <row r="165809" customFormat="1" x14ac:dyDescent="0.25"/>
    <row r="165810" customFormat="1" x14ac:dyDescent="0.25"/>
    <row r="165811" customFormat="1" x14ac:dyDescent="0.25"/>
    <row r="165812" customFormat="1" x14ac:dyDescent="0.25"/>
    <row r="165813" customFormat="1" x14ac:dyDescent="0.25"/>
    <row r="165814" customFormat="1" x14ac:dyDescent="0.25"/>
    <row r="165815" customFormat="1" x14ac:dyDescent="0.25"/>
    <row r="165816" customFormat="1" x14ac:dyDescent="0.25"/>
    <row r="165817" customFormat="1" x14ac:dyDescent="0.25"/>
    <row r="165818" customFormat="1" x14ac:dyDescent="0.25"/>
    <row r="165819" customFormat="1" x14ac:dyDescent="0.25"/>
    <row r="165820" customFormat="1" x14ac:dyDescent="0.25"/>
    <row r="165821" customFormat="1" x14ac:dyDescent="0.25"/>
    <row r="165822" customFormat="1" x14ac:dyDescent="0.25"/>
    <row r="165823" customFormat="1" x14ac:dyDescent="0.25"/>
    <row r="165824" customFormat="1" x14ac:dyDescent="0.25"/>
    <row r="165825" customFormat="1" x14ac:dyDescent="0.25"/>
    <row r="165826" customFormat="1" x14ac:dyDescent="0.25"/>
    <row r="165827" customFormat="1" x14ac:dyDescent="0.25"/>
    <row r="165828" customFormat="1" x14ac:dyDescent="0.25"/>
    <row r="165829" customFormat="1" x14ac:dyDescent="0.25"/>
    <row r="165830" customFormat="1" x14ac:dyDescent="0.25"/>
    <row r="165831" customFormat="1" x14ac:dyDescent="0.25"/>
    <row r="165832" customFormat="1" x14ac:dyDescent="0.25"/>
    <row r="165833" customFormat="1" x14ac:dyDescent="0.25"/>
    <row r="165834" customFormat="1" x14ac:dyDescent="0.25"/>
    <row r="165835" customFormat="1" x14ac:dyDescent="0.25"/>
    <row r="165836" customFormat="1" x14ac:dyDescent="0.25"/>
    <row r="165837" customFormat="1" x14ac:dyDescent="0.25"/>
    <row r="165838" customFormat="1" x14ac:dyDescent="0.25"/>
    <row r="165839" customFormat="1" x14ac:dyDescent="0.25"/>
    <row r="165840" customFormat="1" x14ac:dyDescent="0.25"/>
    <row r="165841" customFormat="1" x14ac:dyDescent="0.25"/>
    <row r="165842" customFormat="1" x14ac:dyDescent="0.25"/>
    <row r="165843" customFormat="1" x14ac:dyDescent="0.25"/>
    <row r="165844" customFormat="1" x14ac:dyDescent="0.25"/>
    <row r="165845" customFormat="1" x14ac:dyDescent="0.25"/>
    <row r="165846" customFormat="1" x14ac:dyDescent="0.25"/>
    <row r="165847" customFormat="1" x14ac:dyDescent="0.25"/>
    <row r="165848" customFormat="1" x14ac:dyDescent="0.25"/>
    <row r="165849" customFormat="1" x14ac:dyDescent="0.25"/>
    <row r="165850" customFormat="1" x14ac:dyDescent="0.25"/>
    <row r="165851" customFormat="1" x14ac:dyDescent="0.25"/>
    <row r="165852" customFormat="1" x14ac:dyDescent="0.25"/>
    <row r="165853" customFormat="1" x14ac:dyDescent="0.25"/>
    <row r="165854" customFormat="1" x14ac:dyDescent="0.25"/>
    <row r="165855" customFormat="1" x14ac:dyDescent="0.25"/>
    <row r="165856" customFormat="1" x14ac:dyDescent="0.25"/>
    <row r="165857" customFormat="1" x14ac:dyDescent="0.25"/>
    <row r="165858" customFormat="1" x14ac:dyDescent="0.25"/>
    <row r="165859" customFormat="1" x14ac:dyDescent="0.25"/>
    <row r="165860" customFormat="1" x14ac:dyDescent="0.25"/>
    <row r="165861" customFormat="1" x14ac:dyDescent="0.25"/>
    <row r="165862" customFormat="1" x14ac:dyDescent="0.25"/>
    <row r="165863" customFormat="1" x14ac:dyDescent="0.25"/>
    <row r="165864" customFormat="1" x14ac:dyDescent="0.25"/>
    <row r="165865" customFormat="1" x14ac:dyDescent="0.25"/>
    <row r="165866" customFormat="1" x14ac:dyDescent="0.25"/>
    <row r="165867" customFormat="1" x14ac:dyDescent="0.25"/>
    <row r="165868" customFormat="1" x14ac:dyDescent="0.25"/>
    <row r="165869" customFormat="1" x14ac:dyDescent="0.25"/>
    <row r="165870" customFormat="1" x14ac:dyDescent="0.25"/>
    <row r="165871" customFormat="1" x14ac:dyDescent="0.25"/>
    <row r="165872" customFormat="1" x14ac:dyDescent="0.25"/>
    <row r="165873" customFormat="1" x14ac:dyDescent="0.25"/>
    <row r="165874" customFormat="1" x14ac:dyDescent="0.25"/>
    <row r="165875" customFormat="1" x14ac:dyDescent="0.25"/>
    <row r="165876" customFormat="1" x14ac:dyDescent="0.25"/>
    <row r="165877" customFormat="1" x14ac:dyDescent="0.25"/>
    <row r="165878" customFormat="1" x14ac:dyDescent="0.25"/>
    <row r="165879" customFormat="1" x14ac:dyDescent="0.25"/>
    <row r="165880" customFormat="1" x14ac:dyDescent="0.25"/>
    <row r="165881" customFormat="1" x14ac:dyDescent="0.25"/>
    <row r="165882" customFormat="1" x14ac:dyDescent="0.25"/>
    <row r="165883" customFormat="1" x14ac:dyDescent="0.25"/>
    <row r="165884" customFormat="1" x14ac:dyDescent="0.25"/>
    <row r="165885" customFormat="1" x14ac:dyDescent="0.25"/>
    <row r="165886" customFormat="1" x14ac:dyDescent="0.25"/>
    <row r="165887" customFormat="1" x14ac:dyDescent="0.25"/>
    <row r="165888" customFormat="1" x14ac:dyDescent="0.25"/>
    <row r="165889" customFormat="1" x14ac:dyDescent="0.25"/>
    <row r="165890" customFormat="1" x14ac:dyDescent="0.25"/>
    <row r="165891" customFormat="1" x14ac:dyDescent="0.25"/>
    <row r="165892" customFormat="1" x14ac:dyDescent="0.25"/>
    <row r="165893" customFormat="1" x14ac:dyDescent="0.25"/>
    <row r="165894" customFormat="1" x14ac:dyDescent="0.25"/>
    <row r="165895" customFormat="1" x14ac:dyDescent="0.25"/>
    <row r="165896" customFormat="1" x14ac:dyDescent="0.25"/>
    <row r="165897" customFormat="1" x14ac:dyDescent="0.25"/>
    <row r="165898" customFormat="1" x14ac:dyDescent="0.25"/>
    <row r="165899" customFormat="1" x14ac:dyDescent="0.25"/>
    <row r="165900" customFormat="1" x14ac:dyDescent="0.25"/>
    <row r="165901" customFormat="1" x14ac:dyDescent="0.25"/>
    <row r="165902" customFormat="1" x14ac:dyDescent="0.25"/>
    <row r="165903" customFormat="1" x14ac:dyDescent="0.25"/>
    <row r="165904" customFormat="1" x14ac:dyDescent="0.25"/>
    <row r="165905" customFormat="1" x14ac:dyDescent="0.25"/>
    <row r="165906" customFormat="1" x14ac:dyDescent="0.25"/>
    <row r="165907" customFormat="1" x14ac:dyDescent="0.25"/>
    <row r="165908" customFormat="1" x14ac:dyDescent="0.25"/>
    <row r="165909" customFormat="1" x14ac:dyDescent="0.25"/>
    <row r="165910" customFormat="1" x14ac:dyDescent="0.25"/>
    <row r="165911" customFormat="1" x14ac:dyDescent="0.25"/>
    <row r="165912" customFormat="1" x14ac:dyDescent="0.25"/>
    <row r="165913" customFormat="1" x14ac:dyDescent="0.25"/>
    <row r="165914" customFormat="1" x14ac:dyDescent="0.25"/>
    <row r="165915" customFormat="1" x14ac:dyDescent="0.25"/>
    <row r="165916" customFormat="1" x14ac:dyDescent="0.25"/>
    <row r="165917" customFormat="1" x14ac:dyDescent="0.25"/>
    <row r="165918" customFormat="1" x14ac:dyDescent="0.25"/>
    <row r="165919" customFormat="1" x14ac:dyDescent="0.25"/>
    <row r="165920" customFormat="1" x14ac:dyDescent="0.25"/>
    <row r="165921" customFormat="1" x14ac:dyDescent="0.25"/>
    <row r="165922" customFormat="1" x14ac:dyDescent="0.25"/>
    <row r="165923" customFormat="1" x14ac:dyDescent="0.25"/>
    <row r="165924" customFormat="1" x14ac:dyDescent="0.25"/>
    <row r="165925" customFormat="1" x14ac:dyDescent="0.25"/>
    <row r="165926" customFormat="1" x14ac:dyDescent="0.25"/>
    <row r="165927" customFormat="1" x14ac:dyDescent="0.25"/>
    <row r="165928" customFormat="1" x14ac:dyDescent="0.25"/>
    <row r="165929" customFormat="1" x14ac:dyDescent="0.25"/>
    <row r="165930" customFormat="1" x14ac:dyDescent="0.25"/>
    <row r="165931" customFormat="1" x14ac:dyDescent="0.25"/>
    <row r="165932" customFormat="1" x14ac:dyDescent="0.25"/>
    <row r="165933" customFormat="1" x14ac:dyDescent="0.25"/>
    <row r="165934" customFormat="1" x14ac:dyDescent="0.25"/>
    <row r="165935" customFormat="1" x14ac:dyDescent="0.25"/>
    <row r="165936" customFormat="1" x14ac:dyDescent="0.25"/>
    <row r="165937" customFormat="1" x14ac:dyDescent="0.25"/>
    <row r="165938" customFormat="1" x14ac:dyDescent="0.25"/>
    <row r="165939" customFormat="1" x14ac:dyDescent="0.25"/>
    <row r="165940" customFormat="1" x14ac:dyDescent="0.25"/>
    <row r="165941" customFormat="1" x14ac:dyDescent="0.25"/>
    <row r="165942" customFormat="1" x14ac:dyDescent="0.25"/>
    <row r="165943" customFormat="1" x14ac:dyDescent="0.25"/>
    <row r="165944" customFormat="1" x14ac:dyDescent="0.25"/>
    <row r="165945" customFormat="1" x14ac:dyDescent="0.25"/>
    <row r="165946" customFormat="1" x14ac:dyDescent="0.25"/>
    <row r="165947" customFormat="1" x14ac:dyDescent="0.25"/>
    <row r="165948" customFormat="1" x14ac:dyDescent="0.25"/>
    <row r="165949" customFormat="1" x14ac:dyDescent="0.25"/>
    <row r="165950" customFormat="1" x14ac:dyDescent="0.25"/>
    <row r="165951" customFormat="1" x14ac:dyDescent="0.25"/>
    <row r="165952" customFormat="1" x14ac:dyDescent="0.25"/>
    <row r="165953" customFormat="1" x14ac:dyDescent="0.25"/>
    <row r="165954" customFormat="1" x14ac:dyDescent="0.25"/>
    <row r="165955" customFormat="1" x14ac:dyDescent="0.25"/>
    <row r="165956" customFormat="1" x14ac:dyDescent="0.25"/>
    <row r="165957" customFormat="1" x14ac:dyDescent="0.25"/>
    <row r="165958" customFormat="1" x14ac:dyDescent="0.25"/>
    <row r="165959" customFormat="1" x14ac:dyDescent="0.25"/>
    <row r="165960" customFormat="1" x14ac:dyDescent="0.25"/>
    <row r="165961" customFormat="1" x14ac:dyDescent="0.25"/>
    <row r="165962" customFormat="1" x14ac:dyDescent="0.25"/>
    <row r="165963" customFormat="1" x14ac:dyDescent="0.25"/>
    <row r="165964" customFormat="1" x14ac:dyDescent="0.25"/>
    <row r="165965" customFormat="1" x14ac:dyDescent="0.25"/>
    <row r="165966" customFormat="1" x14ac:dyDescent="0.25"/>
    <row r="165967" customFormat="1" x14ac:dyDescent="0.25"/>
    <row r="165968" customFormat="1" x14ac:dyDescent="0.25"/>
    <row r="165969" customFormat="1" x14ac:dyDescent="0.25"/>
    <row r="165970" customFormat="1" x14ac:dyDescent="0.25"/>
    <row r="165971" customFormat="1" x14ac:dyDescent="0.25"/>
    <row r="165972" customFormat="1" x14ac:dyDescent="0.25"/>
    <row r="165973" customFormat="1" x14ac:dyDescent="0.25"/>
    <row r="165974" customFormat="1" x14ac:dyDescent="0.25"/>
    <row r="165975" customFormat="1" x14ac:dyDescent="0.25"/>
    <row r="165976" customFormat="1" x14ac:dyDescent="0.25"/>
    <row r="165977" customFormat="1" x14ac:dyDescent="0.25"/>
    <row r="165978" customFormat="1" x14ac:dyDescent="0.25"/>
    <row r="165979" customFormat="1" x14ac:dyDescent="0.25"/>
    <row r="165980" customFormat="1" x14ac:dyDescent="0.25"/>
    <row r="165981" customFormat="1" x14ac:dyDescent="0.25"/>
    <row r="165982" customFormat="1" x14ac:dyDescent="0.25"/>
    <row r="165983" customFormat="1" x14ac:dyDescent="0.25"/>
    <row r="165984" customFormat="1" x14ac:dyDescent="0.25"/>
    <row r="165985" customFormat="1" x14ac:dyDescent="0.25"/>
    <row r="165986" customFormat="1" x14ac:dyDescent="0.25"/>
    <row r="165987" customFormat="1" x14ac:dyDescent="0.25"/>
    <row r="165988" customFormat="1" x14ac:dyDescent="0.25"/>
    <row r="165989" customFormat="1" x14ac:dyDescent="0.25"/>
    <row r="165990" customFormat="1" x14ac:dyDescent="0.25"/>
    <row r="165991" customFormat="1" x14ac:dyDescent="0.25"/>
    <row r="165992" customFormat="1" x14ac:dyDescent="0.25"/>
    <row r="165993" customFormat="1" x14ac:dyDescent="0.25"/>
    <row r="165994" customFormat="1" x14ac:dyDescent="0.25"/>
    <row r="165995" customFormat="1" x14ac:dyDescent="0.25"/>
    <row r="165996" customFormat="1" x14ac:dyDescent="0.25"/>
    <row r="165997" customFormat="1" x14ac:dyDescent="0.25"/>
    <row r="165998" customFormat="1" x14ac:dyDescent="0.25"/>
    <row r="165999" customFormat="1" x14ac:dyDescent="0.25"/>
    <row r="166000" customFormat="1" x14ac:dyDescent="0.25"/>
    <row r="166001" customFormat="1" x14ac:dyDescent="0.25"/>
    <row r="166002" customFormat="1" x14ac:dyDescent="0.25"/>
    <row r="166003" customFormat="1" x14ac:dyDescent="0.25"/>
    <row r="166004" customFormat="1" x14ac:dyDescent="0.25"/>
    <row r="166005" customFormat="1" x14ac:dyDescent="0.25"/>
    <row r="166006" customFormat="1" x14ac:dyDescent="0.25"/>
    <row r="166007" customFormat="1" x14ac:dyDescent="0.25"/>
    <row r="166008" customFormat="1" x14ac:dyDescent="0.25"/>
    <row r="166009" customFormat="1" x14ac:dyDescent="0.25"/>
    <row r="166010" customFormat="1" x14ac:dyDescent="0.25"/>
    <row r="166011" customFormat="1" x14ac:dyDescent="0.25"/>
    <row r="166012" customFormat="1" x14ac:dyDescent="0.25"/>
    <row r="166013" customFormat="1" x14ac:dyDescent="0.25"/>
    <row r="166014" customFormat="1" x14ac:dyDescent="0.25"/>
    <row r="166015" customFormat="1" x14ac:dyDescent="0.25"/>
    <row r="166016" customFormat="1" x14ac:dyDescent="0.25"/>
    <row r="166017" customFormat="1" x14ac:dyDescent="0.25"/>
    <row r="166018" customFormat="1" x14ac:dyDescent="0.25"/>
    <row r="166019" customFormat="1" x14ac:dyDescent="0.25"/>
    <row r="166020" customFormat="1" x14ac:dyDescent="0.25"/>
    <row r="166021" customFormat="1" x14ac:dyDescent="0.25"/>
    <row r="166022" customFormat="1" x14ac:dyDescent="0.25"/>
    <row r="166023" customFormat="1" x14ac:dyDescent="0.25"/>
    <row r="166024" customFormat="1" x14ac:dyDescent="0.25"/>
    <row r="166025" customFormat="1" x14ac:dyDescent="0.25"/>
    <row r="166026" customFormat="1" x14ac:dyDescent="0.25"/>
    <row r="166027" customFormat="1" x14ac:dyDescent="0.25"/>
    <row r="166028" customFormat="1" x14ac:dyDescent="0.25"/>
    <row r="166029" customFormat="1" x14ac:dyDescent="0.25"/>
    <row r="166030" customFormat="1" x14ac:dyDescent="0.25"/>
    <row r="166031" customFormat="1" x14ac:dyDescent="0.25"/>
    <row r="166032" customFormat="1" x14ac:dyDescent="0.25"/>
    <row r="166033" customFormat="1" x14ac:dyDescent="0.25"/>
    <row r="166034" customFormat="1" x14ac:dyDescent="0.25"/>
    <row r="166035" customFormat="1" x14ac:dyDescent="0.25"/>
    <row r="166036" customFormat="1" x14ac:dyDescent="0.25"/>
    <row r="166037" customFormat="1" x14ac:dyDescent="0.25"/>
    <row r="166038" customFormat="1" x14ac:dyDescent="0.25"/>
    <row r="166039" customFormat="1" x14ac:dyDescent="0.25"/>
    <row r="166040" customFormat="1" x14ac:dyDescent="0.25"/>
    <row r="166041" customFormat="1" x14ac:dyDescent="0.25"/>
    <row r="166042" customFormat="1" x14ac:dyDescent="0.25"/>
    <row r="166043" customFormat="1" x14ac:dyDescent="0.25"/>
    <row r="166044" customFormat="1" x14ac:dyDescent="0.25"/>
    <row r="166045" customFormat="1" x14ac:dyDescent="0.25"/>
    <row r="166046" customFormat="1" x14ac:dyDescent="0.25"/>
    <row r="166047" customFormat="1" x14ac:dyDescent="0.25"/>
    <row r="166048" customFormat="1" x14ac:dyDescent="0.25"/>
    <row r="166049" customFormat="1" x14ac:dyDescent="0.25"/>
    <row r="166050" customFormat="1" x14ac:dyDescent="0.25"/>
    <row r="166051" customFormat="1" x14ac:dyDescent="0.25"/>
    <row r="166052" customFormat="1" x14ac:dyDescent="0.25"/>
    <row r="166053" customFormat="1" x14ac:dyDescent="0.25"/>
    <row r="166054" customFormat="1" x14ac:dyDescent="0.25"/>
    <row r="166055" customFormat="1" x14ac:dyDescent="0.25"/>
    <row r="166056" customFormat="1" x14ac:dyDescent="0.25"/>
    <row r="166057" customFormat="1" x14ac:dyDescent="0.25"/>
    <row r="166058" customFormat="1" x14ac:dyDescent="0.25"/>
    <row r="166059" customFormat="1" x14ac:dyDescent="0.25"/>
    <row r="166060" customFormat="1" x14ac:dyDescent="0.25"/>
    <row r="166061" customFormat="1" x14ac:dyDescent="0.25"/>
    <row r="166062" customFormat="1" x14ac:dyDescent="0.25"/>
    <row r="166063" customFormat="1" x14ac:dyDescent="0.25"/>
    <row r="166064" customFormat="1" x14ac:dyDescent="0.25"/>
    <row r="166065" customFormat="1" x14ac:dyDescent="0.25"/>
    <row r="166066" customFormat="1" x14ac:dyDescent="0.25"/>
    <row r="166067" customFormat="1" x14ac:dyDescent="0.25"/>
    <row r="166068" customFormat="1" x14ac:dyDescent="0.25"/>
    <row r="166069" customFormat="1" x14ac:dyDescent="0.25"/>
    <row r="166070" customFormat="1" x14ac:dyDescent="0.25"/>
    <row r="166071" customFormat="1" x14ac:dyDescent="0.25"/>
    <row r="166072" customFormat="1" x14ac:dyDescent="0.25"/>
    <row r="166073" customFormat="1" x14ac:dyDescent="0.25"/>
    <row r="166074" customFormat="1" x14ac:dyDescent="0.25"/>
    <row r="166075" customFormat="1" x14ac:dyDescent="0.25"/>
    <row r="166076" customFormat="1" x14ac:dyDescent="0.25"/>
    <row r="166077" customFormat="1" x14ac:dyDescent="0.25"/>
    <row r="166078" customFormat="1" x14ac:dyDescent="0.25"/>
    <row r="166079" customFormat="1" x14ac:dyDescent="0.25"/>
    <row r="166080" customFormat="1" x14ac:dyDescent="0.25"/>
    <row r="166081" customFormat="1" x14ac:dyDescent="0.25"/>
    <row r="166082" customFormat="1" x14ac:dyDescent="0.25"/>
    <row r="166083" customFormat="1" x14ac:dyDescent="0.25"/>
    <row r="166084" customFormat="1" x14ac:dyDescent="0.25"/>
    <row r="166085" customFormat="1" x14ac:dyDescent="0.25"/>
    <row r="166086" customFormat="1" x14ac:dyDescent="0.25"/>
    <row r="166087" customFormat="1" x14ac:dyDescent="0.25"/>
    <row r="166088" customFormat="1" x14ac:dyDescent="0.25"/>
    <row r="166089" customFormat="1" x14ac:dyDescent="0.25"/>
    <row r="166090" customFormat="1" x14ac:dyDescent="0.25"/>
    <row r="166091" customFormat="1" x14ac:dyDescent="0.25"/>
    <row r="166092" customFormat="1" x14ac:dyDescent="0.25"/>
    <row r="166093" customFormat="1" x14ac:dyDescent="0.25"/>
    <row r="166094" customFormat="1" x14ac:dyDescent="0.25"/>
    <row r="166095" customFormat="1" x14ac:dyDescent="0.25"/>
    <row r="166096" customFormat="1" x14ac:dyDescent="0.25"/>
    <row r="166097" customFormat="1" x14ac:dyDescent="0.25"/>
    <row r="166098" customFormat="1" x14ac:dyDescent="0.25"/>
    <row r="166099" customFormat="1" x14ac:dyDescent="0.25"/>
    <row r="166100" customFormat="1" x14ac:dyDescent="0.25"/>
    <row r="166101" customFormat="1" x14ac:dyDescent="0.25"/>
    <row r="166102" customFormat="1" x14ac:dyDescent="0.25"/>
    <row r="166103" customFormat="1" x14ac:dyDescent="0.25"/>
    <row r="166104" customFormat="1" x14ac:dyDescent="0.25"/>
    <row r="166105" customFormat="1" x14ac:dyDescent="0.25"/>
    <row r="166106" customFormat="1" x14ac:dyDescent="0.25"/>
    <row r="166107" customFormat="1" x14ac:dyDescent="0.25"/>
    <row r="166108" customFormat="1" x14ac:dyDescent="0.25"/>
    <row r="166109" customFormat="1" x14ac:dyDescent="0.25"/>
    <row r="166110" customFormat="1" x14ac:dyDescent="0.25"/>
    <row r="166111" customFormat="1" x14ac:dyDescent="0.25"/>
    <row r="166112" customFormat="1" x14ac:dyDescent="0.25"/>
    <row r="166113" customFormat="1" x14ac:dyDescent="0.25"/>
    <row r="166114" customFormat="1" x14ac:dyDescent="0.25"/>
    <row r="166115" customFormat="1" x14ac:dyDescent="0.25"/>
    <row r="166116" customFormat="1" x14ac:dyDescent="0.25"/>
    <row r="166117" customFormat="1" x14ac:dyDescent="0.25"/>
    <row r="166118" customFormat="1" x14ac:dyDescent="0.25"/>
    <row r="166119" customFormat="1" x14ac:dyDescent="0.25"/>
    <row r="166120" customFormat="1" x14ac:dyDescent="0.25"/>
    <row r="166121" customFormat="1" x14ac:dyDescent="0.25"/>
    <row r="166122" customFormat="1" x14ac:dyDescent="0.25"/>
    <row r="166123" customFormat="1" x14ac:dyDescent="0.25"/>
    <row r="166124" customFormat="1" x14ac:dyDescent="0.25"/>
    <row r="166125" customFormat="1" x14ac:dyDescent="0.25"/>
    <row r="166126" customFormat="1" x14ac:dyDescent="0.25"/>
    <row r="166127" customFormat="1" x14ac:dyDescent="0.25"/>
    <row r="166128" customFormat="1" x14ac:dyDescent="0.25"/>
    <row r="166129" customFormat="1" x14ac:dyDescent="0.25"/>
    <row r="166130" customFormat="1" x14ac:dyDescent="0.25"/>
    <row r="166131" customFormat="1" x14ac:dyDescent="0.25"/>
    <row r="166132" customFormat="1" x14ac:dyDescent="0.25"/>
    <row r="166133" customFormat="1" x14ac:dyDescent="0.25"/>
    <row r="166134" customFormat="1" x14ac:dyDescent="0.25"/>
    <row r="166135" customFormat="1" x14ac:dyDescent="0.25"/>
    <row r="166136" customFormat="1" x14ac:dyDescent="0.25"/>
    <row r="166137" customFormat="1" x14ac:dyDescent="0.25"/>
    <row r="166138" customFormat="1" x14ac:dyDescent="0.25"/>
    <row r="166139" customFormat="1" x14ac:dyDescent="0.25"/>
    <row r="166140" customFormat="1" x14ac:dyDescent="0.25"/>
    <row r="166141" customFormat="1" x14ac:dyDescent="0.25"/>
    <row r="166142" customFormat="1" x14ac:dyDescent="0.25"/>
    <row r="166143" customFormat="1" x14ac:dyDescent="0.25"/>
    <row r="166144" customFormat="1" x14ac:dyDescent="0.25"/>
    <row r="166145" customFormat="1" x14ac:dyDescent="0.25"/>
    <row r="166146" customFormat="1" x14ac:dyDescent="0.25"/>
    <row r="166147" customFormat="1" x14ac:dyDescent="0.25"/>
    <row r="166148" customFormat="1" x14ac:dyDescent="0.25"/>
    <row r="166149" customFormat="1" x14ac:dyDescent="0.25"/>
    <row r="166150" customFormat="1" x14ac:dyDescent="0.25"/>
    <row r="166151" customFormat="1" x14ac:dyDescent="0.25"/>
    <row r="166152" customFormat="1" x14ac:dyDescent="0.25"/>
    <row r="166153" customFormat="1" x14ac:dyDescent="0.25"/>
    <row r="166154" customFormat="1" x14ac:dyDescent="0.25"/>
    <row r="166155" customFormat="1" x14ac:dyDescent="0.25"/>
    <row r="166156" customFormat="1" x14ac:dyDescent="0.25"/>
    <row r="166157" customFormat="1" x14ac:dyDescent="0.25"/>
    <row r="166158" customFormat="1" x14ac:dyDescent="0.25"/>
    <row r="166159" customFormat="1" x14ac:dyDescent="0.25"/>
    <row r="166160" customFormat="1" x14ac:dyDescent="0.25"/>
    <row r="166161" customFormat="1" x14ac:dyDescent="0.25"/>
    <row r="166162" customFormat="1" x14ac:dyDescent="0.25"/>
    <row r="166163" customFormat="1" x14ac:dyDescent="0.25"/>
    <row r="166164" customFormat="1" x14ac:dyDescent="0.25"/>
    <row r="166165" customFormat="1" x14ac:dyDescent="0.25"/>
    <row r="166166" customFormat="1" x14ac:dyDescent="0.25"/>
    <row r="166167" customFormat="1" x14ac:dyDescent="0.25"/>
    <row r="166168" customFormat="1" x14ac:dyDescent="0.25"/>
    <row r="166169" customFormat="1" x14ac:dyDescent="0.25"/>
    <row r="166170" customFormat="1" x14ac:dyDescent="0.25"/>
    <row r="166171" customFormat="1" x14ac:dyDescent="0.25"/>
    <row r="166172" customFormat="1" x14ac:dyDescent="0.25"/>
    <row r="166173" customFormat="1" x14ac:dyDescent="0.25"/>
    <row r="166174" customFormat="1" x14ac:dyDescent="0.25"/>
    <row r="166175" customFormat="1" x14ac:dyDescent="0.25"/>
    <row r="166176" customFormat="1" x14ac:dyDescent="0.25"/>
    <row r="166177" customFormat="1" x14ac:dyDescent="0.25"/>
    <row r="166178" customFormat="1" x14ac:dyDescent="0.25"/>
    <row r="166179" customFormat="1" x14ac:dyDescent="0.25"/>
    <row r="166180" customFormat="1" x14ac:dyDescent="0.25"/>
    <row r="166181" customFormat="1" x14ac:dyDescent="0.25"/>
    <row r="166182" customFormat="1" x14ac:dyDescent="0.25"/>
    <row r="166183" customFormat="1" x14ac:dyDescent="0.25"/>
    <row r="166184" customFormat="1" x14ac:dyDescent="0.25"/>
    <row r="166185" customFormat="1" x14ac:dyDescent="0.25"/>
    <row r="166186" customFormat="1" x14ac:dyDescent="0.25"/>
    <row r="166187" customFormat="1" x14ac:dyDescent="0.25"/>
    <row r="166188" customFormat="1" x14ac:dyDescent="0.25"/>
    <row r="166189" customFormat="1" x14ac:dyDescent="0.25"/>
    <row r="166190" customFormat="1" x14ac:dyDescent="0.25"/>
    <row r="166191" customFormat="1" x14ac:dyDescent="0.25"/>
    <row r="166192" customFormat="1" x14ac:dyDescent="0.25"/>
    <row r="166193" customFormat="1" x14ac:dyDescent="0.25"/>
    <row r="166194" customFormat="1" x14ac:dyDescent="0.25"/>
    <row r="166195" customFormat="1" x14ac:dyDescent="0.25"/>
    <row r="166196" customFormat="1" x14ac:dyDescent="0.25"/>
    <row r="166197" customFormat="1" x14ac:dyDescent="0.25"/>
    <row r="166198" customFormat="1" x14ac:dyDescent="0.25"/>
    <row r="166199" customFormat="1" x14ac:dyDescent="0.25"/>
    <row r="166200" customFormat="1" x14ac:dyDescent="0.25"/>
    <row r="166201" customFormat="1" x14ac:dyDescent="0.25"/>
    <row r="166202" customFormat="1" x14ac:dyDescent="0.25"/>
    <row r="166203" customFormat="1" x14ac:dyDescent="0.25"/>
    <row r="166204" customFormat="1" x14ac:dyDescent="0.25"/>
    <row r="166205" customFormat="1" x14ac:dyDescent="0.25"/>
    <row r="166206" customFormat="1" x14ac:dyDescent="0.25"/>
    <row r="166207" customFormat="1" x14ac:dyDescent="0.25"/>
    <row r="166208" customFormat="1" x14ac:dyDescent="0.25"/>
    <row r="166209" customFormat="1" x14ac:dyDescent="0.25"/>
    <row r="166210" customFormat="1" x14ac:dyDescent="0.25"/>
    <row r="166211" customFormat="1" x14ac:dyDescent="0.25"/>
    <row r="166212" customFormat="1" x14ac:dyDescent="0.25"/>
    <row r="166213" customFormat="1" x14ac:dyDescent="0.25"/>
    <row r="166214" customFormat="1" x14ac:dyDescent="0.25"/>
    <row r="166215" customFormat="1" x14ac:dyDescent="0.25"/>
    <row r="166216" customFormat="1" x14ac:dyDescent="0.25"/>
    <row r="166217" customFormat="1" x14ac:dyDescent="0.25"/>
    <row r="166218" customFormat="1" x14ac:dyDescent="0.25"/>
    <row r="166219" customFormat="1" x14ac:dyDescent="0.25"/>
    <row r="166220" customFormat="1" x14ac:dyDescent="0.25"/>
    <row r="166221" customFormat="1" x14ac:dyDescent="0.25"/>
    <row r="166222" customFormat="1" x14ac:dyDescent="0.25"/>
    <row r="166223" customFormat="1" x14ac:dyDescent="0.25"/>
    <row r="166224" customFormat="1" x14ac:dyDescent="0.25"/>
    <row r="166225" customFormat="1" x14ac:dyDescent="0.25"/>
    <row r="166226" customFormat="1" x14ac:dyDescent="0.25"/>
    <row r="166227" customFormat="1" x14ac:dyDescent="0.25"/>
    <row r="166228" customFormat="1" x14ac:dyDescent="0.25"/>
    <row r="166229" customFormat="1" x14ac:dyDescent="0.25"/>
    <row r="166230" customFormat="1" x14ac:dyDescent="0.25"/>
    <row r="166231" customFormat="1" x14ac:dyDescent="0.25"/>
    <row r="166232" customFormat="1" x14ac:dyDescent="0.25"/>
    <row r="166233" customFormat="1" x14ac:dyDescent="0.25"/>
    <row r="166234" customFormat="1" x14ac:dyDescent="0.25"/>
    <row r="166235" customFormat="1" x14ac:dyDescent="0.25"/>
    <row r="166236" customFormat="1" x14ac:dyDescent="0.25"/>
    <row r="166237" customFormat="1" x14ac:dyDescent="0.25"/>
    <row r="166238" customFormat="1" x14ac:dyDescent="0.25"/>
    <row r="166239" customFormat="1" x14ac:dyDescent="0.25"/>
    <row r="166240" customFormat="1" x14ac:dyDescent="0.25"/>
    <row r="166241" customFormat="1" x14ac:dyDescent="0.25"/>
    <row r="166242" customFormat="1" x14ac:dyDescent="0.25"/>
    <row r="166243" customFormat="1" x14ac:dyDescent="0.25"/>
    <row r="166244" customFormat="1" x14ac:dyDescent="0.25"/>
    <row r="166245" customFormat="1" x14ac:dyDescent="0.25"/>
    <row r="166246" customFormat="1" x14ac:dyDescent="0.25"/>
    <row r="166247" customFormat="1" x14ac:dyDescent="0.25"/>
    <row r="166248" customFormat="1" x14ac:dyDescent="0.25"/>
    <row r="166249" customFormat="1" x14ac:dyDescent="0.25"/>
    <row r="166250" customFormat="1" x14ac:dyDescent="0.25"/>
    <row r="166251" customFormat="1" x14ac:dyDescent="0.25"/>
    <row r="166252" customFormat="1" x14ac:dyDescent="0.25"/>
    <row r="166253" customFormat="1" x14ac:dyDescent="0.25"/>
    <row r="166254" customFormat="1" x14ac:dyDescent="0.25"/>
    <row r="166255" customFormat="1" x14ac:dyDescent="0.25"/>
    <row r="166256" customFormat="1" x14ac:dyDescent="0.25"/>
    <row r="166257" customFormat="1" x14ac:dyDescent="0.25"/>
    <row r="166258" customFormat="1" x14ac:dyDescent="0.25"/>
    <row r="166259" customFormat="1" x14ac:dyDescent="0.25"/>
    <row r="166260" customFormat="1" x14ac:dyDescent="0.25"/>
    <row r="166261" customFormat="1" x14ac:dyDescent="0.25"/>
    <row r="166262" customFormat="1" x14ac:dyDescent="0.25"/>
    <row r="166263" customFormat="1" x14ac:dyDescent="0.25"/>
    <row r="166264" customFormat="1" x14ac:dyDescent="0.25"/>
    <row r="166265" customFormat="1" x14ac:dyDescent="0.25"/>
    <row r="166266" customFormat="1" x14ac:dyDescent="0.25"/>
    <row r="166267" customFormat="1" x14ac:dyDescent="0.25"/>
    <row r="166268" customFormat="1" x14ac:dyDescent="0.25"/>
    <row r="166269" customFormat="1" x14ac:dyDescent="0.25"/>
    <row r="166270" customFormat="1" x14ac:dyDescent="0.25"/>
    <row r="166271" customFormat="1" x14ac:dyDescent="0.25"/>
    <row r="166272" customFormat="1" x14ac:dyDescent="0.25"/>
    <row r="166273" customFormat="1" x14ac:dyDescent="0.25"/>
    <row r="166274" customFormat="1" x14ac:dyDescent="0.25"/>
    <row r="166275" customFormat="1" x14ac:dyDescent="0.25"/>
    <row r="166276" customFormat="1" x14ac:dyDescent="0.25"/>
    <row r="166277" customFormat="1" x14ac:dyDescent="0.25"/>
    <row r="166278" customFormat="1" x14ac:dyDescent="0.25"/>
    <row r="166279" customFormat="1" x14ac:dyDescent="0.25"/>
    <row r="166280" customFormat="1" x14ac:dyDescent="0.25"/>
    <row r="166281" customFormat="1" x14ac:dyDescent="0.25"/>
    <row r="166282" customFormat="1" x14ac:dyDescent="0.25"/>
    <row r="166283" customFormat="1" x14ac:dyDescent="0.25"/>
    <row r="166284" customFormat="1" x14ac:dyDescent="0.25"/>
    <row r="166285" customFormat="1" x14ac:dyDescent="0.25"/>
    <row r="166286" customFormat="1" x14ac:dyDescent="0.25"/>
    <row r="166287" customFormat="1" x14ac:dyDescent="0.25"/>
    <row r="166288" customFormat="1" x14ac:dyDescent="0.25"/>
    <row r="166289" customFormat="1" x14ac:dyDescent="0.25"/>
    <row r="166290" customFormat="1" x14ac:dyDescent="0.25"/>
    <row r="166291" customFormat="1" x14ac:dyDescent="0.25"/>
    <row r="166292" customFormat="1" x14ac:dyDescent="0.25"/>
    <row r="166293" customFormat="1" x14ac:dyDescent="0.25"/>
    <row r="166294" customFormat="1" x14ac:dyDescent="0.25"/>
    <row r="166295" customFormat="1" x14ac:dyDescent="0.25"/>
    <row r="166296" customFormat="1" x14ac:dyDescent="0.25"/>
    <row r="166297" customFormat="1" x14ac:dyDescent="0.25"/>
    <row r="166298" customFormat="1" x14ac:dyDescent="0.25"/>
    <row r="166299" customFormat="1" x14ac:dyDescent="0.25"/>
    <row r="166300" customFormat="1" x14ac:dyDescent="0.25"/>
    <row r="166301" customFormat="1" x14ac:dyDescent="0.25"/>
    <row r="166302" customFormat="1" x14ac:dyDescent="0.25"/>
    <row r="166303" customFormat="1" x14ac:dyDescent="0.25"/>
    <row r="166304" customFormat="1" x14ac:dyDescent="0.25"/>
    <row r="166305" customFormat="1" x14ac:dyDescent="0.25"/>
    <row r="166306" customFormat="1" x14ac:dyDescent="0.25"/>
    <row r="166307" customFormat="1" x14ac:dyDescent="0.25"/>
    <row r="166308" customFormat="1" x14ac:dyDescent="0.25"/>
    <row r="166309" customFormat="1" x14ac:dyDescent="0.25"/>
    <row r="166310" customFormat="1" x14ac:dyDescent="0.25"/>
    <row r="166311" customFormat="1" x14ac:dyDescent="0.25"/>
    <row r="166312" customFormat="1" x14ac:dyDescent="0.25"/>
    <row r="166313" customFormat="1" x14ac:dyDescent="0.25"/>
    <row r="166314" customFormat="1" x14ac:dyDescent="0.25"/>
    <row r="166315" customFormat="1" x14ac:dyDescent="0.25"/>
    <row r="166316" customFormat="1" x14ac:dyDescent="0.25"/>
    <row r="166317" customFormat="1" x14ac:dyDescent="0.25"/>
    <row r="166318" customFormat="1" x14ac:dyDescent="0.25"/>
    <row r="166319" customFormat="1" x14ac:dyDescent="0.25"/>
    <row r="166320" customFormat="1" x14ac:dyDescent="0.25"/>
    <row r="166321" customFormat="1" x14ac:dyDescent="0.25"/>
    <row r="166322" customFormat="1" x14ac:dyDescent="0.25"/>
    <row r="166323" customFormat="1" x14ac:dyDescent="0.25"/>
    <row r="166324" customFormat="1" x14ac:dyDescent="0.25"/>
    <row r="166325" customFormat="1" x14ac:dyDescent="0.25"/>
    <row r="166326" customFormat="1" x14ac:dyDescent="0.25"/>
    <row r="166327" customFormat="1" x14ac:dyDescent="0.25"/>
    <row r="166328" customFormat="1" x14ac:dyDescent="0.25"/>
    <row r="166329" customFormat="1" x14ac:dyDescent="0.25"/>
    <row r="166330" customFormat="1" x14ac:dyDescent="0.25"/>
    <row r="166331" customFormat="1" x14ac:dyDescent="0.25"/>
    <row r="166332" customFormat="1" x14ac:dyDescent="0.25"/>
    <row r="166333" customFormat="1" x14ac:dyDescent="0.25"/>
    <row r="166334" customFormat="1" x14ac:dyDescent="0.25"/>
    <row r="166335" customFormat="1" x14ac:dyDescent="0.25"/>
    <row r="166336" customFormat="1" x14ac:dyDescent="0.25"/>
    <row r="166337" customFormat="1" x14ac:dyDescent="0.25"/>
    <row r="166338" customFormat="1" x14ac:dyDescent="0.25"/>
    <row r="166339" customFormat="1" x14ac:dyDescent="0.25"/>
    <row r="166340" customFormat="1" x14ac:dyDescent="0.25"/>
    <row r="166341" customFormat="1" x14ac:dyDescent="0.25"/>
    <row r="166342" customFormat="1" x14ac:dyDescent="0.25"/>
    <row r="166343" customFormat="1" x14ac:dyDescent="0.25"/>
    <row r="166344" customFormat="1" x14ac:dyDescent="0.25"/>
    <row r="166345" customFormat="1" x14ac:dyDescent="0.25"/>
    <row r="166346" customFormat="1" x14ac:dyDescent="0.25"/>
    <row r="166347" customFormat="1" x14ac:dyDescent="0.25"/>
    <row r="166348" customFormat="1" x14ac:dyDescent="0.25"/>
    <row r="166349" customFormat="1" x14ac:dyDescent="0.25"/>
    <row r="166350" customFormat="1" x14ac:dyDescent="0.25"/>
    <row r="166351" customFormat="1" x14ac:dyDescent="0.25"/>
    <row r="166352" customFormat="1" x14ac:dyDescent="0.25"/>
    <row r="166353" customFormat="1" x14ac:dyDescent="0.25"/>
    <row r="166354" customFormat="1" x14ac:dyDescent="0.25"/>
    <row r="166355" customFormat="1" x14ac:dyDescent="0.25"/>
    <row r="166356" customFormat="1" x14ac:dyDescent="0.25"/>
    <row r="166357" customFormat="1" x14ac:dyDescent="0.25"/>
    <row r="166358" customFormat="1" x14ac:dyDescent="0.25"/>
    <row r="166359" customFormat="1" x14ac:dyDescent="0.25"/>
    <row r="166360" customFormat="1" x14ac:dyDescent="0.25"/>
    <row r="166361" customFormat="1" x14ac:dyDescent="0.25"/>
    <row r="166362" customFormat="1" x14ac:dyDescent="0.25"/>
    <row r="166363" customFormat="1" x14ac:dyDescent="0.25"/>
    <row r="166364" customFormat="1" x14ac:dyDescent="0.25"/>
    <row r="166365" customFormat="1" x14ac:dyDescent="0.25"/>
    <row r="166366" customFormat="1" x14ac:dyDescent="0.25"/>
    <row r="166367" customFormat="1" x14ac:dyDescent="0.25"/>
    <row r="166368" customFormat="1" x14ac:dyDescent="0.25"/>
    <row r="166369" customFormat="1" x14ac:dyDescent="0.25"/>
    <row r="166370" customFormat="1" x14ac:dyDescent="0.25"/>
    <row r="166371" customFormat="1" x14ac:dyDescent="0.25"/>
    <row r="166372" customFormat="1" x14ac:dyDescent="0.25"/>
    <row r="166373" customFormat="1" x14ac:dyDescent="0.25"/>
    <row r="166374" customFormat="1" x14ac:dyDescent="0.25"/>
    <row r="166375" customFormat="1" x14ac:dyDescent="0.25"/>
    <row r="166376" customFormat="1" x14ac:dyDescent="0.25"/>
    <row r="166377" customFormat="1" x14ac:dyDescent="0.25"/>
    <row r="166378" customFormat="1" x14ac:dyDescent="0.25"/>
    <row r="166379" customFormat="1" x14ac:dyDescent="0.25"/>
    <row r="166380" customFormat="1" x14ac:dyDescent="0.25"/>
    <row r="166381" customFormat="1" x14ac:dyDescent="0.25"/>
    <row r="166382" customFormat="1" x14ac:dyDescent="0.25"/>
    <row r="166383" customFormat="1" x14ac:dyDescent="0.25"/>
    <row r="166384" customFormat="1" x14ac:dyDescent="0.25"/>
    <row r="166385" customFormat="1" x14ac:dyDescent="0.25"/>
    <row r="166386" customFormat="1" x14ac:dyDescent="0.25"/>
    <row r="166387" customFormat="1" x14ac:dyDescent="0.25"/>
    <row r="166388" customFormat="1" x14ac:dyDescent="0.25"/>
    <row r="166389" customFormat="1" x14ac:dyDescent="0.25"/>
    <row r="166390" customFormat="1" x14ac:dyDescent="0.25"/>
    <row r="166391" customFormat="1" x14ac:dyDescent="0.25"/>
    <row r="166392" customFormat="1" x14ac:dyDescent="0.25"/>
    <row r="166393" customFormat="1" x14ac:dyDescent="0.25"/>
    <row r="166394" customFormat="1" x14ac:dyDescent="0.25"/>
    <row r="166395" customFormat="1" x14ac:dyDescent="0.25"/>
    <row r="166396" customFormat="1" x14ac:dyDescent="0.25"/>
    <row r="166397" customFormat="1" x14ac:dyDescent="0.25"/>
    <row r="166398" customFormat="1" x14ac:dyDescent="0.25"/>
    <row r="166399" customFormat="1" x14ac:dyDescent="0.25"/>
    <row r="166400" customFormat="1" x14ac:dyDescent="0.25"/>
    <row r="166401" customFormat="1" x14ac:dyDescent="0.25"/>
    <row r="166402" customFormat="1" x14ac:dyDescent="0.25"/>
    <row r="166403" customFormat="1" x14ac:dyDescent="0.25"/>
    <row r="166404" customFormat="1" x14ac:dyDescent="0.25"/>
    <row r="166405" customFormat="1" x14ac:dyDescent="0.25"/>
    <row r="166406" customFormat="1" x14ac:dyDescent="0.25"/>
    <row r="166407" customFormat="1" x14ac:dyDescent="0.25"/>
    <row r="166408" customFormat="1" x14ac:dyDescent="0.25"/>
    <row r="166409" customFormat="1" x14ac:dyDescent="0.25"/>
    <row r="166410" customFormat="1" x14ac:dyDescent="0.25"/>
    <row r="166411" customFormat="1" x14ac:dyDescent="0.25"/>
    <row r="166412" customFormat="1" x14ac:dyDescent="0.25"/>
    <row r="166413" customFormat="1" x14ac:dyDescent="0.25"/>
    <row r="166414" customFormat="1" x14ac:dyDescent="0.25"/>
    <row r="166415" customFormat="1" x14ac:dyDescent="0.25"/>
    <row r="166416" customFormat="1" x14ac:dyDescent="0.25"/>
    <row r="166417" customFormat="1" x14ac:dyDescent="0.25"/>
    <row r="166418" customFormat="1" x14ac:dyDescent="0.25"/>
    <row r="166419" customFormat="1" x14ac:dyDescent="0.25"/>
    <row r="166420" customFormat="1" x14ac:dyDescent="0.25"/>
    <row r="166421" customFormat="1" x14ac:dyDescent="0.25"/>
    <row r="166422" customFormat="1" x14ac:dyDescent="0.25"/>
    <row r="166423" customFormat="1" x14ac:dyDescent="0.25"/>
    <row r="166424" customFormat="1" x14ac:dyDescent="0.25"/>
    <row r="166425" customFormat="1" x14ac:dyDescent="0.25"/>
    <row r="166426" customFormat="1" x14ac:dyDescent="0.25"/>
    <row r="166427" customFormat="1" x14ac:dyDescent="0.25"/>
    <row r="166428" customFormat="1" x14ac:dyDescent="0.25"/>
    <row r="166429" customFormat="1" x14ac:dyDescent="0.25"/>
    <row r="166430" customFormat="1" x14ac:dyDescent="0.25"/>
    <row r="166431" customFormat="1" x14ac:dyDescent="0.25"/>
    <row r="166432" customFormat="1" x14ac:dyDescent="0.25"/>
    <row r="166433" customFormat="1" x14ac:dyDescent="0.25"/>
    <row r="166434" customFormat="1" x14ac:dyDescent="0.25"/>
    <row r="166435" customFormat="1" x14ac:dyDescent="0.25"/>
    <row r="166436" customFormat="1" x14ac:dyDescent="0.25"/>
    <row r="166437" customFormat="1" x14ac:dyDescent="0.25"/>
    <row r="166438" customFormat="1" x14ac:dyDescent="0.25"/>
    <row r="166439" customFormat="1" x14ac:dyDescent="0.25"/>
    <row r="166440" customFormat="1" x14ac:dyDescent="0.25"/>
    <row r="166441" customFormat="1" x14ac:dyDescent="0.25"/>
    <row r="166442" customFormat="1" x14ac:dyDescent="0.25"/>
    <row r="166443" customFormat="1" x14ac:dyDescent="0.25"/>
    <row r="166444" customFormat="1" x14ac:dyDescent="0.25"/>
    <row r="166445" customFormat="1" x14ac:dyDescent="0.25"/>
    <row r="166446" customFormat="1" x14ac:dyDescent="0.25"/>
    <row r="166447" customFormat="1" x14ac:dyDescent="0.25"/>
    <row r="166448" customFormat="1" x14ac:dyDescent="0.25"/>
    <row r="166449" customFormat="1" x14ac:dyDescent="0.25"/>
    <row r="166450" customFormat="1" x14ac:dyDescent="0.25"/>
    <row r="166451" customFormat="1" x14ac:dyDescent="0.25"/>
    <row r="166452" customFormat="1" x14ac:dyDescent="0.25"/>
    <row r="166453" customFormat="1" x14ac:dyDescent="0.25"/>
    <row r="166454" customFormat="1" x14ac:dyDescent="0.25"/>
    <row r="166455" customFormat="1" x14ac:dyDescent="0.25"/>
    <row r="166456" customFormat="1" x14ac:dyDescent="0.25"/>
    <row r="166457" customFormat="1" x14ac:dyDescent="0.25"/>
    <row r="166458" customFormat="1" x14ac:dyDescent="0.25"/>
    <row r="166459" customFormat="1" x14ac:dyDescent="0.25"/>
    <row r="166460" customFormat="1" x14ac:dyDescent="0.25"/>
    <row r="166461" customFormat="1" x14ac:dyDescent="0.25"/>
    <row r="166462" customFormat="1" x14ac:dyDescent="0.25"/>
    <row r="166463" customFormat="1" x14ac:dyDescent="0.25"/>
    <row r="166464" customFormat="1" x14ac:dyDescent="0.25"/>
    <row r="166465" customFormat="1" x14ac:dyDescent="0.25"/>
    <row r="166466" customFormat="1" x14ac:dyDescent="0.25"/>
    <row r="166467" customFormat="1" x14ac:dyDescent="0.25"/>
    <row r="166468" customFormat="1" x14ac:dyDescent="0.25"/>
    <row r="166469" customFormat="1" x14ac:dyDescent="0.25"/>
    <row r="166470" customFormat="1" x14ac:dyDescent="0.25"/>
    <row r="166471" customFormat="1" x14ac:dyDescent="0.25"/>
    <row r="166472" customFormat="1" x14ac:dyDescent="0.25"/>
    <row r="166473" customFormat="1" x14ac:dyDescent="0.25"/>
    <row r="166474" customFormat="1" x14ac:dyDescent="0.25"/>
    <row r="166475" customFormat="1" x14ac:dyDescent="0.25"/>
    <row r="166476" customFormat="1" x14ac:dyDescent="0.25"/>
    <row r="166477" customFormat="1" x14ac:dyDescent="0.25"/>
    <row r="166478" customFormat="1" x14ac:dyDescent="0.25"/>
    <row r="166479" customFormat="1" x14ac:dyDescent="0.25"/>
    <row r="166480" customFormat="1" x14ac:dyDescent="0.25"/>
    <row r="166481" customFormat="1" x14ac:dyDescent="0.25"/>
    <row r="166482" customFormat="1" x14ac:dyDescent="0.25"/>
    <row r="166483" customFormat="1" x14ac:dyDescent="0.25"/>
    <row r="166484" customFormat="1" x14ac:dyDescent="0.25"/>
    <row r="166485" customFormat="1" x14ac:dyDescent="0.25"/>
    <row r="166486" customFormat="1" x14ac:dyDescent="0.25"/>
    <row r="166487" customFormat="1" x14ac:dyDescent="0.25"/>
    <row r="166488" customFormat="1" x14ac:dyDescent="0.25"/>
    <row r="166489" customFormat="1" x14ac:dyDescent="0.25"/>
    <row r="166490" customFormat="1" x14ac:dyDescent="0.25"/>
    <row r="166491" customFormat="1" x14ac:dyDescent="0.25"/>
    <row r="166492" customFormat="1" x14ac:dyDescent="0.25"/>
    <row r="166493" customFormat="1" x14ac:dyDescent="0.25"/>
    <row r="166494" customFormat="1" x14ac:dyDescent="0.25"/>
    <row r="166495" customFormat="1" x14ac:dyDescent="0.25"/>
    <row r="166496" customFormat="1" x14ac:dyDescent="0.25"/>
    <row r="166497" customFormat="1" x14ac:dyDescent="0.25"/>
    <row r="166498" customFormat="1" x14ac:dyDescent="0.25"/>
    <row r="166499" customFormat="1" x14ac:dyDescent="0.25"/>
    <row r="166500" customFormat="1" x14ac:dyDescent="0.25"/>
    <row r="166501" customFormat="1" x14ac:dyDescent="0.25"/>
    <row r="166502" customFormat="1" x14ac:dyDescent="0.25"/>
    <row r="166503" customFormat="1" x14ac:dyDescent="0.25"/>
    <row r="166504" customFormat="1" x14ac:dyDescent="0.25"/>
    <row r="166505" customFormat="1" x14ac:dyDescent="0.25"/>
    <row r="166506" customFormat="1" x14ac:dyDescent="0.25"/>
    <row r="166507" customFormat="1" x14ac:dyDescent="0.25"/>
    <row r="166508" customFormat="1" x14ac:dyDescent="0.25"/>
    <row r="166509" customFormat="1" x14ac:dyDescent="0.25"/>
    <row r="166510" customFormat="1" x14ac:dyDescent="0.25"/>
    <row r="166511" customFormat="1" x14ac:dyDescent="0.25"/>
    <row r="166512" customFormat="1" x14ac:dyDescent="0.25"/>
    <row r="166513" customFormat="1" x14ac:dyDescent="0.25"/>
    <row r="166514" customFormat="1" x14ac:dyDescent="0.25"/>
    <row r="166515" customFormat="1" x14ac:dyDescent="0.25"/>
    <row r="166516" customFormat="1" x14ac:dyDescent="0.25"/>
    <row r="166517" customFormat="1" x14ac:dyDescent="0.25"/>
    <row r="166518" customFormat="1" x14ac:dyDescent="0.25"/>
    <row r="166519" customFormat="1" x14ac:dyDescent="0.25"/>
    <row r="166520" customFormat="1" x14ac:dyDescent="0.25"/>
    <row r="166521" customFormat="1" x14ac:dyDescent="0.25"/>
    <row r="166522" customFormat="1" x14ac:dyDescent="0.25"/>
    <row r="166523" customFormat="1" x14ac:dyDescent="0.25"/>
    <row r="166524" customFormat="1" x14ac:dyDescent="0.25"/>
    <row r="166525" customFormat="1" x14ac:dyDescent="0.25"/>
    <row r="166526" customFormat="1" x14ac:dyDescent="0.25"/>
    <row r="166527" customFormat="1" x14ac:dyDescent="0.25"/>
    <row r="166528" customFormat="1" x14ac:dyDescent="0.25"/>
    <row r="166529" customFormat="1" x14ac:dyDescent="0.25"/>
    <row r="166530" customFormat="1" x14ac:dyDescent="0.25"/>
    <row r="166531" customFormat="1" x14ac:dyDescent="0.25"/>
    <row r="166532" customFormat="1" x14ac:dyDescent="0.25"/>
    <row r="166533" customFormat="1" x14ac:dyDescent="0.25"/>
    <row r="166534" customFormat="1" x14ac:dyDescent="0.25"/>
    <row r="166535" customFormat="1" x14ac:dyDescent="0.25"/>
    <row r="166536" customFormat="1" x14ac:dyDescent="0.25"/>
    <row r="166537" customFormat="1" x14ac:dyDescent="0.25"/>
    <row r="166538" customFormat="1" x14ac:dyDescent="0.25"/>
    <row r="166539" customFormat="1" x14ac:dyDescent="0.25"/>
    <row r="166540" customFormat="1" x14ac:dyDescent="0.25"/>
    <row r="166541" customFormat="1" x14ac:dyDescent="0.25"/>
    <row r="166542" customFormat="1" x14ac:dyDescent="0.25"/>
    <row r="166543" customFormat="1" x14ac:dyDescent="0.25"/>
    <row r="166544" customFormat="1" x14ac:dyDescent="0.25"/>
    <row r="166545" customFormat="1" x14ac:dyDescent="0.25"/>
    <row r="166546" customFormat="1" x14ac:dyDescent="0.25"/>
    <row r="166547" customFormat="1" x14ac:dyDescent="0.25"/>
    <row r="166548" customFormat="1" x14ac:dyDescent="0.25"/>
    <row r="166549" customFormat="1" x14ac:dyDescent="0.25"/>
    <row r="166550" customFormat="1" x14ac:dyDescent="0.25"/>
    <row r="166551" customFormat="1" x14ac:dyDescent="0.25"/>
    <row r="166552" customFormat="1" x14ac:dyDescent="0.25"/>
    <row r="166553" customFormat="1" x14ac:dyDescent="0.25"/>
    <row r="166554" customFormat="1" x14ac:dyDescent="0.25"/>
    <row r="166555" customFormat="1" x14ac:dyDescent="0.25"/>
    <row r="166556" customFormat="1" x14ac:dyDescent="0.25"/>
    <row r="166557" customFormat="1" x14ac:dyDescent="0.25"/>
    <row r="166558" customFormat="1" x14ac:dyDescent="0.25"/>
    <row r="166559" customFormat="1" x14ac:dyDescent="0.25"/>
    <row r="166560" customFormat="1" x14ac:dyDescent="0.25"/>
    <row r="166561" customFormat="1" x14ac:dyDescent="0.25"/>
    <row r="166562" customFormat="1" x14ac:dyDescent="0.25"/>
    <row r="166563" customFormat="1" x14ac:dyDescent="0.25"/>
    <row r="166564" customFormat="1" x14ac:dyDescent="0.25"/>
    <row r="166565" customFormat="1" x14ac:dyDescent="0.25"/>
    <row r="166566" customFormat="1" x14ac:dyDescent="0.25"/>
    <row r="166567" customFormat="1" x14ac:dyDescent="0.25"/>
    <row r="166568" customFormat="1" x14ac:dyDescent="0.25"/>
    <row r="166569" customFormat="1" x14ac:dyDescent="0.25"/>
    <row r="166570" customFormat="1" x14ac:dyDescent="0.25"/>
    <row r="166571" customFormat="1" x14ac:dyDescent="0.25"/>
    <row r="166572" customFormat="1" x14ac:dyDescent="0.25"/>
    <row r="166573" customFormat="1" x14ac:dyDescent="0.25"/>
    <row r="166574" customFormat="1" x14ac:dyDescent="0.25"/>
    <row r="166575" customFormat="1" x14ac:dyDescent="0.25"/>
    <row r="166576" customFormat="1" x14ac:dyDescent="0.25"/>
    <row r="166577" customFormat="1" x14ac:dyDescent="0.25"/>
    <row r="166578" customFormat="1" x14ac:dyDescent="0.25"/>
    <row r="166579" customFormat="1" x14ac:dyDescent="0.25"/>
    <row r="166580" customFormat="1" x14ac:dyDescent="0.25"/>
    <row r="166581" customFormat="1" x14ac:dyDescent="0.25"/>
    <row r="166582" customFormat="1" x14ac:dyDescent="0.25"/>
    <row r="166583" customFormat="1" x14ac:dyDescent="0.25"/>
    <row r="166584" customFormat="1" x14ac:dyDescent="0.25"/>
    <row r="166585" customFormat="1" x14ac:dyDescent="0.25"/>
    <row r="166586" customFormat="1" x14ac:dyDescent="0.25"/>
    <row r="166587" customFormat="1" x14ac:dyDescent="0.25"/>
    <row r="166588" customFormat="1" x14ac:dyDescent="0.25"/>
    <row r="166589" customFormat="1" x14ac:dyDescent="0.25"/>
    <row r="166590" customFormat="1" x14ac:dyDescent="0.25"/>
    <row r="166591" customFormat="1" x14ac:dyDescent="0.25"/>
    <row r="166592" customFormat="1" x14ac:dyDescent="0.25"/>
    <row r="166593" customFormat="1" x14ac:dyDescent="0.25"/>
    <row r="166594" customFormat="1" x14ac:dyDescent="0.25"/>
    <row r="166595" customFormat="1" x14ac:dyDescent="0.25"/>
    <row r="166596" customFormat="1" x14ac:dyDescent="0.25"/>
    <row r="166597" customFormat="1" x14ac:dyDescent="0.25"/>
    <row r="166598" customFormat="1" x14ac:dyDescent="0.25"/>
    <row r="166599" customFormat="1" x14ac:dyDescent="0.25"/>
    <row r="166600" customFormat="1" x14ac:dyDescent="0.25"/>
    <row r="166601" customFormat="1" x14ac:dyDescent="0.25"/>
    <row r="166602" customFormat="1" x14ac:dyDescent="0.25"/>
    <row r="166603" customFormat="1" x14ac:dyDescent="0.25"/>
    <row r="166604" customFormat="1" x14ac:dyDescent="0.25"/>
    <row r="166605" customFormat="1" x14ac:dyDescent="0.25"/>
    <row r="166606" customFormat="1" x14ac:dyDescent="0.25"/>
    <row r="166607" customFormat="1" x14ac:dyDescent="0.25"/>
    <row r="166608" customFormat="1" x14ac:dyDescent="0.25"/>
    <row r="166609" customFormat="1" x14ac:dyDescent="0.25"/>
    <row r="166610" customFormat="1" x14ac:dyDescent="0.25"/>
    <row r="166611" customFormat="1" x14ac:dyDescent="0.25"/>
    <row r="166612" customFormat="1" x14ac:dyDescent="0.25"/>
    <row r="166613" customFormat="1" x14ac:dyDescent="0.25"/>
    <row r="166614" customFormat="1" x14ac:dyDescent="0.25"/>
    <row r="166615" customFormat="1" x14ac:dyDescent="0.25"/>
    <row r="166616" customFormat="1" x14ac:dyDescent="0.25"/>
    <row r="166617" customFormat="1" x14ac:dyDescent="0.25"/>
    <row r="166618" customFormat="1" x14ac:dyDescent="0.25"/>
    <row r="166619" customFormat="1" x14ac:dyDescent="0.25"/>
    <row r="166620" customFormat="1" x14ac:dyDescent="0.25"/>
    <row r="166621" customFormat="1" x14ac:dyDescent="0.25"/>
    <row r="166622" customFormat="1" x14ac:dyDescent="0.25"/>
    <row r="166623" customFormat="1" x14ac:dyDescent="0.25"/>
    <row r="166624" customFormat="1" x14ac:dyDescent="0.25"/>
    <row r="166625" customFormat="1" x14ac:dyDescent="0.25"/>
    <row r="166626" customFormat="1" x14ac:dyDescent="0.25"/>
    <row r="166627" customFormat="1" x14ac:dyDescent="0.25"/>
    <row r="166628" customFormat="1" x14ac:dyDescent="0.25"/>
    <row r="166629" customFormat="1" x14ac:dyDescent="0.25"/>
    <row r="166630" customFormat="1" x14ac:dyDescent="0.25"/>
    <row r="166631" customFormat="1" x14ac:dyDescent="0.25"/>
    <row r="166632" customFormat="1" x14ac:dyDescent="0.25"/>
    <row r="166633" customFormat="1" x14ac:dyDescent="0.25"/>
    <row r="166634" customFormat="1" x14ac:dyDescent="0.25"/>
    <row r="166635" customFormat="1" x14ac:dyDescent="0.25"/>
    <row r="166636" customFormat="1" x14ac:dyDescent="0.25"/>
    <row r="166637" customFormat="1" x14ac:dyDescent="0.25"/>
    <row r="166638" customFormat="1" x14ac:dyDescent="0.25"/>
    <row r="166639" customFormat="1" x14ac:dyDescent="0.25"/>
    <row r="166640" customFormat="1" x14ac:dyDescent="0.25"/>
    <row r="166641" customFormat="1" x14ac:dyDescent="0.25"/>
    <row r="166642" customFormat="1" x14ac:dyDescent="0.25"/>
    <row r="166643" customFormat="1" x14ac:dyDescent="0.25"/>
    <row r="166644" customFormat="1" x14ac:dyDescent="0.25"/>
    <row r="166645" customFormat="1" x14ac:dyDescent="0.25"/>
    <row r="166646" customFormat="1" x14ac:dyDescent="0.25"/>
    <row r="166647" customFormat="1" x14ac:dyDescent="0.25"/>
    <row r="166648" customFormat="1" x14ac:dyDescent="0.25"/>
    <row r="166649" customFormat="1" x14ac:dyDescent="0.25"/>
    <row r="166650" customFormat="1" x14ac:dyDescent="0.25"/>
    <row r="166651" customFormat="1" x14ac:dyDescent="0.25"/>
    <row r="166652" customFormat="1" x14ac:dyDescent="0.25"/>
    <row r="166653" customFormat="1" x14ac:dyDescent="0.25"/>
    <row r="166654" customFormat="1" x14ac:dyDescent="0.25"/>
    <row r="166655" customFormat="1" x14ac:dyDescent="0.25"/>
    <row r="166656" customFormat="1" x14ac:dyDescent="0.25"/>
    <row r="166657" customFormat="1" x14ac:dyDescent="0.25"/>
    <row r="166658" customFormat="1" x14ac:dyDescent="0.25"/>
    <row r="166659" customFormat="1" x14ac:dyDescent="0.25"/>
    <row r="166660" customFormat="1" x14ac:dyDescent="0.25"/>
    <row r="166661" customFormat="1" x14ac:dyDescent="0.25"/>
    <row r="166662" customFormat="1" x14ac:dyDescent="0.25"/>
    <row r="166663" customFormat="1" x14ac:dyDescent="0.25"/>
    <row r="166664" customFormat="1" x14ac:dyDescent="0.25"/>
    <row r="166665" customFormat="1" x14ac:dyDescent="0.25"/>
    <row r="166666" customFormat="1" x14ac:dyDescent="0.25"/>
    <row r="166667" customFormat="1" x14ac:dyDescent="0.25"/>
    <row r="166668" customFormat="1" x14ac:dyDescent="0.25"/>
    <row r="166669" customFormat="1" x14ac:dyDescent="0.25"/>
    <row r="166670" customFormat="1" x14ac:dyDescent="0.25"/>
    <row r="166671" customFormat="1" x14ac:dyDescent="0.25"/>
    <row r="166672" customFormat="1" x14ac:dyDescent="0.25"/>
    <row r="166673" customFormat="1" x14ac:dyDescent="0.25"/>
    <row r="166674" customFormat="1" x14ac:dyDescent="0.25"/>
    <row r="166675" customFormat="1" x14ac:dyDescent="0.25"/>
    <row r="166676" customFormat="1" x14ac:dyDescent="0.25"/>
    <row r="166677" customFormat="1" x14ac:dyDescent="0.25"/>
    <row r="166678" customFormat="1" x14ac:dyDescent="0.25"/>
    <row r="166679" customFormat="1" x14ac:dyDescent="0.25"/>
    <row r="166680" customFormat="1" x14ac:dyDescent="0.25"/>
    <row r="166681" customFormat="1" x14ac:dyDescent="0.25"/>
    <row r="166682" customFormat="1" x14ac:dyDescent="0.25"/>
    <row r="166683" customFormat="1" x14ac:dyDescent="0.25"/>
    <row r="166684" customFormat="1" x14ac:dyDescent="0.25"/>
    <row r="166685" customFormat="1" x14ac:dyDescent="0.25"/>
    <row r="166686" customFormat="1" x14ac:dyDescent="0.25"/>
    <row r="166687" customFormat="1" x14ac:dyDescent="0.25"/>
    <row r="166688" customFormat="1" x14ac:dyDescent="0.25"/>
    <row r="166689" customFormat="1" x14ac:dyDescent="0.25"/>
    <row r="166690" customFormat="1" x14ac:dyDescent="0.25"/>
    <row r="166691" customFormat="1" x14ac:dyDescent="0.25"/>
    <row r="166692" customFormat="1" x14ac:dyDescent="0.25"/>
    <row r="166693" customFormat="1" x14ac:dyDescent="0.25"/>
    <row r="166694" customFormat="1" x14ac:dyDescent="0.25"/>
    <row r="166695" customFormat="1" x14ac:dyDescent="0.25"/>
    <row r="166696" customFormat="1" x14ac:dyDescent="0.25"/>
    <row r="166697" customFormat="1" x14ac:dyDescent="0.25"/>
    <row r="166698" customFormat="1" x14ac:dyDescent="0.25"/>
    <row r="166699" customFormat="1" x14ac:dyDescent="0.25"/>
    <row r="166700" customFormat="1" x14ac:dyDescent="0.25"/>
    <row r="166701" customFormat="1" x14ac:dyDescent="0.25"/>
    <row r="166702" customFormat="1" x14ac:dyDescent="0.25"/>
    <row r="166703" customFormat="1" x14ac:dyDescent="0.25"/>
    <row r="166704" customFormat="1" x14ac:dyDescent="0.25"/>
    <row r="166705" customFormat="1" x14ac:dyDescent="0.25"/>
    <row r="166706" customFormat="1" x14ac:dyDescent="0.25"/>
    <row r="166707" customFormat="1" x14ac:dyDescent="0.25"/>
    <row r="166708" customFormat="1" x14ac:dyDescent="0.25"/>
    <row r="166709" customFormat="1" x14ac:dyDescent="0.25"/>
    <row r="166710" customFormat="1" x14ac:dyDescent="0.25"/>
    <row r="166711" customFormat="1" x14ac:dyDescent="0.25"/>
    <row r="166712" customFormat="1" x14ac:dyDescent="0.25"/>
    <row r="166713" customFormat="1" x14ac:dyDescent="0.25"/>
    <row r="166714" customFormat="1" x14ac:dyDescent="0.25"/>
    <row r="166715" customFormat="1" x14ac:dyDescent="0.25"/>
    <row r="166716" customFormat="1" x14ac:dyDescent="0.25"/>
    <row r="166717" customFormat="1" x14ac:dyDescent="0.25"/>
    <row r="166718" customFormat="1" x14ac:dyDescent="0.25"/>
    <row r="166719" customFormat="1" x14ac:dyDescent="0.25"/>
    <row r="166720" customFormat="1" x14ac:dyDescent="0.25"/>
    <row r="166721" customFormat="1" x14ac:dyDescent="0.25"/>
    <row r="166722" customFormat="1" x14ac:dyDescent="0.25"/>
    <row r="166723" customFormat="1" x14ac:dyDescent="0.25"/>
    <row r="166724" customFormat="1" x14ac:dyDescent="0.25"/>
    <row r="166725" customFormat="1" x14ac:dyDescent="0.25"/>
    <row r="166726" customFormat="1" x14ac:dyDescent="0.25"/>
    <row r="166727" customFormat="1" x14ac:dyDescent="0.25"/>
    <row r="166728" customFormat="1" x14ac:dyDescent="0.25"/>
    <row r="166729" customFormat="1" x14ac:dyDescent="0.25"/>
    <row r="166730" customFormat="1" x14ac:dyDescent="0.25"/>
    <row r="166731" customFormat="1" x14ac:dyDescent="0.25"/>
    <row r="166732" customFormat="1" x14ac:dyDescent="0.25"/>
    <row r="166733" customFormat="1" x14ac:dyDescent="0.25"/>
    <row r="166734" customFormat="1" x14ac:dyDescent="0.25"/>
    <row r="166735" customFormat="1" x14ac:dyDescent="0.25"/>
    <row r="166736" customFormat="1" x14ac:dyDescent="0.25"/>
    <row r="166737" customFormat="1" x14ac:dyDescent="0.25"/>
    <row r="166738" customFormat="1" x14ac:dyDescent="0.25"/>
    <row r="166739" customFormat="1" x14ac:dyDescent="0.25"/>
    <row r="166740" customFormat="1" x14ac:dyDescent="0.25"/>
    <row r="166741" customFormat="1" x14ac:dyDescent="0.25"/>
    <row r="166742" customFormat="1" x14ac:dyDescent="0.25"/>
    <row r="166743" customFormat="1" x14ac:dyDescent="0.25"/>
    <row r="166744" customFormat="1" x14ac:dyDescent="0.25"/>
    <row r="166745" customFormat="1" x14ac:dyDescent="0.25"/>
    <row r="166746" customFormat="1" x14ac:dyDescent="0.25"/>
    <row r="166747" customFormat="1" x14ac:dyDescent="0.25"/>
    <row r="166748" customFormat="1" x14ac:dyDescent="0.25"/>
    <row r="166749" customFormat="1" x14ac:dyDescent="0.25"/>
    <row r="166750" customFormat="1" x14ac:dyDescent="0.25"/>
    <row r="166751" customFormat="1" x14ac:dyDescent="0.25"/>
    <row r="166752" customFormat="1" x14ac:dyDescent="0.25"/>
    <row r="166753" customFormat="1" x14ac:dyDescent="0.25"/>
    <row r="166754" customFormat="1" x14ac:dyDescent="0.25"/>
    <row r="166755" customFormat="1" x14ac:dyDescent="0.25"/>
    <row r="166756" customFormat="1" x14ac:dyDescent="0.25"/>
    <row r="166757" customFormat="1" x14ac:dyDescent="0.25"/>
    <row r="166758" customFormat="1" x14ac:dyDescent="0.25"/>
    <row r="166759" customFormat="1" x14ac:dyDescent="0.25"/>
    <row r="166760" customFormat="1" x14ac:dyDescent="0.25"/>
    <row r="166761" customFormat="1" x14ac:dyDescent="0.25"/>
    <row r="166762" customFormat="1" x14ac:dyDescent="0.25"/>
    <row r="166763" customFormat="1" x14ac:dyDescent="0.25"/>
    <row r="166764" customFormat="1" x14ac:dyDescent="0.25"/>
    <row r="166765" customFormat="1" x14ac:dyDescent="0.25"/>
    <row r="166766" customFormat="1" x14ac:dyDescent="0.25"/>
    <row r="166767" customFormat="1" x14ac:dyDescent="0.25"/>
    <row r="166768" customFormat="1" x14ac:dyDescent="0.25"/>
    <row r="166769" customFormat="1" x14ac:dyDescent="0.25"/>
    <row r="166770" customFormat="1" x14ac:dyDescent="0.25"/>
    <row r="166771" customFormat="1" x14ac:dyDescent="0.25"/>
    <row r="166772" customFormat="1" x14ac:dyDescent="0.25"/>
    <row r="166773" customFormat="1" x14ac:dyDescent="0.25"/>
    <row r="166774" customFormat="1" x14ac:dyDescent="0.25"/>
    <row r="166775" customFormat="1" x14ac:dyDescent="0.25"/>
    <row r="166776" customFormat="1" x14ac:dyDescent="0.25"/>
    <row r="166777" customFormat="1" x14ac:dyDescent="0.25"/>
    <row r="166778" customFormat="1" x14ac:dyDescent="0.25"/>
    <row r="166779" customFormat="1" x14ac:dyDescent="0.25"/>
    <row r="166780" customFormat="1" x14ac:dyDescent="0.25"/>
    <row r="166781" customFormat="1" x14ac:dyDescent="0.25"/>
    <row r="166782" customFormat="1" x14ac:dyDescent="0.25"/>
    <row r="166783" customFormat="1" x14ac:dyDescent="0.25"/>
    <row r="166784" customFormat="1" x14ac:dyDescent="0.25"/>
    <row r="166785" customFormat="1" x14ac:dyDescent="0.25"/>
    <row r="166786" customFormat="1" x14ac:dyDescent="0.25"/>
    <row r="166787" customFormat="1" x14ac:dyDescent="0.25"/>
    <row r="166788" customFormat="1" x14ac:dyDescent="0.25"/>
    <row r="166789" customFormat="1" x14ac:dyDescent="0.25"/>
    <row r="166790" customFormat="1" x14ac:dyDescent="0.25"/>
    <row r="166791" customFormat="1" x14ac:dyDescent="0.25"/>
    <row r="166792" customFormat="1" x14ac:dyDescent="0.25"/>
    <row r="166793" customFormat="1" x14ac:dyDescent="0.25"/>
    <row r="166794" customFormat="1" x14ac:dyDescent="0.25"/>
    <row r="166795" customFormat="1" x14ac:dyDescent="0.25"/>
    <row r="166796" customFormat="1" x14ac:dyDescent="0.25"/>
    <row r="166797" customFormat="1" x14ac:dyDescent="0.25"/>
    <row r="166798" customFormat="1" x14ac:dyDescent="0.25"/>
    <row r="166799" customFormat="1" x14ac:dyDescent="0.25"/>
    <row r="166800" customFormat="1" x14ac:dyDescent="0.25"/>
    <row r="166801" customFormat="1" x14ac:dyDescent="0.25"/>
    <row r="166802" customFormat="1" x14ac:dyDescent="0.25"/>
    <row r="166803" customFormat="1" x14ac:dyDescent="0.25"/>
    <row r="166804" customFormat="1" x14ac:dyDescent="0.25"/>
    <row r="166805" customFormat="1" x14ac:dyDescent="0.25"/>
    <row r="166806" customFormat="1" x14ac:dyDescent="0.25"/>
    <row r="166807" customFormat="1" x14ac:dyDescent="0.25"/>
    <row r="166808" customFormat="1" x14ac:dyDescent="0.25"/>
    <row r="166809" customFormat="1" x14ac:dyDescent="0.25"/>
    <row r="166810" customFormat="1" x14ac:dyDescent="0.25"/>
    <row r="166811" customFormat="1" x14ac:dyDescent="0.25"/>
    <row r="166812" customFormat="1" x14ac:dyDescent="0.25"/>
    <row r="166813" customFormat="1" x14ac:dyDescent="0.25"/>
    <row r="166814" customFormat="1" x14ac:dyDescent="0.25"/>
    <row r="166815" customFormat="1" x14ac:dyDescent="0.25"/>
    <row r="166816" customFormat="1" x14ac:dyDescent="0.25"/>
    <row r="166817" customFormat="1" x14ac:dyDescent="0.25"/>
    <row r="166818" customFormat="1" x14ac:dyDescent="0.25"/>
    <row r="166819" customFormat="1" x14ac:dyDescent="0.25"/>
    <row r="166820" customFormat="1" x14ac:dyDescent="0.25"/>
    <row r="166821" customFormat="1" x14ac:dyDescent="0.25"/>
    <row r="166822" customFormat="1" x14ac:dyDescent="0.25"/>
    <row r="166823" customFormat="1" x14ac:dyDescent="0.25"/>
    <row r="166824" customFormat="1" x14ac:dyDescent="0.25"/>
    <row r="166825" customFormat="1" x14ac:dyDescent="0.25"/>
    <row r="166826" customFormat="1" x14ac:dyDescent="0.25"/>
    <row r="166827" customFormat="1" x14ac:dyDescent="0.25"/>
    <row r="166828" customFormat="1" x14ac:dyDescent="0.25"/>
    <row r="166829" customFormat="1" x14ac:dyDescent="0.25"/>
    <row r="166830" customFormat="1" x14ac:dyDescent="0.25"/>
    <row r="166831" customFormat="1" x14ac:dyDescent="0.25"/>
    <row r="166832" customFormat="1" x14ac:dyDescent="0.25"/>
    <row r="166833" customFormat="1" x14ac:dyDescent="0.25"/>
    <row r="166834" customFormat="1" x14ac:dyDescent="0.25"/>
    <row r="166835" customFormat="1" x14ac:dyDescent="0.25"/>
    <row r="166836" customFormat="1" x14ac:dyDescent="0.25"/>
    <row r="166837" customFormat="1" x14ac:dyDescent="0.25"/>
    <row r="166838" customFormat="1" x14ac:dyDescent="0.25"/>
    <row r="166839" customFormat="1" x14ac:dyDescent="0.25"/>
    <row r="166840" customFormat="1" x14ac:dyDescent="0.25"/>
    <row r="166841" customFormat="1" x14ac:dyDescent="0.25"/>
    <row r="166842" customFormat="1" x14ac:dyDescent="0.25"/>
    <row r="166843" customFormat="1" x14ac:dyDescent="0.25"/>
    <row r="166844" customFormat="1" x14ac:dyDescent="0.25"/>
    <row r="166845" customFormat="1" x14ac:dyDescent="0.25"/>
    <row r="166846" customFormat="1" x14ac:dyDescent="0.25"/>
    <row r="166847" customFormat="1" x14ac:dyDescent="0.25"/>
    <row r="166848" customFormat="1" x14ac:dyDescent="0.25"/>
    <row r="166849" customFormat="1" x14ac:dyDescent="0.25"/>
    <row r="166850" customFormat="1" x14ac:dyDescent="0.25"/>
    <row r="166851" customFormat="1" x14ac:dyDescent="0.25"/>
    <row r="166852" customFormat="1" x14ac:dyDescent="0.25"/>
    <row r="166853" customFormat="1" x14ac:dyDescent="0.25"/>
    <row r="166854" customFormat="1" x14ac:dyDescent="0.25"/>
    <row r="166855" customFormat="1" x14ac:dyDescent="0.25"/>
    <row r="166856" customFormat="1" x14ac:dyDescent="0.25"/>
    <row r="166857" customFormat="1" x14ac:dyDescent="0.25"/>
    <row r="166858" customFormat="1" x14ac:dyDescent="0.25"/>
    <row r="166859" customFormat="1" x14ac:dyDescent="0.25"/>
    <row r="166860" customFormat="1" x14ac:dyDescent="0.25"/>
    <row r="166861" customFormat="1" x14ac:dyDescent="0.25"/>
    <row r="166862" customFormat="1" x14ac:dyDescent="0.25"/>
    <row r="166863" customFormat="1" x14ac:dyDescent="0.25"/>
    <row r="166864" customFormat="1" x14ac:dyDescent="0.25"/>
    <row r="166865" customFormat="1" x14ac:dyDescent="0.25"/>
    <row r="166866" customFormat="1" x14ac:dyDescent="0.25"/>
    <row r="166867" customFormat="1" x14ac:dyDescent="0.25"/>
    <row r="166868" customFormat="1" x14ac:dyDescent="0.25"/>
    <row r="166869" customFormat="1" x14ac:dyDescent="0.25"/>
    <row r="166870" customFormat="1" x14ac:dyDescent="0.25"/>
    <row r="166871" customFormat="1" x14ac:dyDescent="0.25"/>
    <row r="166872" customFormat="1" x14ac:dyDescent="0.25"/>
    <row r="166873" customFormat="1" x14ac:dyDescent="0.25"/>
    <row r="166874" customFormat="1" x14ac:dyDescent="0.25"/>
    <row r="166875" customFormat="1" x14ac:dyDescent="0.25"/>
    <row r="166876" customFormat="1" x14ac:dyDescent="0.25"/>
    <row r="166877" customFormat="1" x14ac:dyDescent="0.25"/>
    <row r="166878" customFormat="1" x14ac:dyDescent="0.25"/>
    <row r="166879" customFormat="1" x14ac:dyDescent="0.25"/>
    <row r="166880" customFormat="1" x14ac:dyDescent="0.25"/>
    <row r="166881" customFormat="1" x14ac:dyDescent="0.25"/>
    <row r="166882" customFormat="1" x14ac:dyDescent="0.25"/>
    <row r="166883" customFormat="1" x14ac:dyDescent="0.25"/>
    <row r="166884" customFormat="1" x14ac:dyDescent="0.25"/>
    <row r="166885" customFormat="1" x14ac:dyDescent="0.25"/>
    <row r="166886" customFormat="1" x14ac:dyDescent="0.25"/>
    <row r="166887" customFormat="1" x14ac:dyDescent="0.25"/>
    <row r="166888" customFormat="1" x14ac:dyDescent="0.25"/>
    <row r="166889" customFormat="1" x14ac:dyDescent="0.25"/>
    <row r="166890" customFormat="1" x14ac:dyDescent="0.25"/>
    <row r="166891" customFormat="1" x14ac:dyDescent="0.25"/>
    <row r="166892" customFormat="1" x14ac:dyDescent="0.25"/>
    <row r="166893" customFormat="1" x14ac:dyDescent="0.25"/>
    <row r="166894" customFormat="1" x14ac:dyDescent="0.25"/>
    <row r="166895" customFormat="1" x14ac:dyDescent="0.25"/>
    <row r="166896" customFormat="1" x14ac:dyDescent="0.25"/>
    <row r="166897" customFormat="1" x14ac:dyDescent="0.25"/>
    <row r="166898" customFormat="1" x14ac:dyDescent="0.25"/>
    <row r="166899" customFormat="1" x14ac:dyDescent="0.25"/>
    <row r="166900" customFormat="1" x14ac:dyDescent="0.25"/>
    <row r="166901" customFormat="1" x14ac:dyDescent="0.25"/>
    <row r="166902" customFormat="1" x14ac:dyDescent="0.25"/>
    <row r="166903" customFormat="1" x14ac:dyDescent="0.25"/>
    <row r="166904" customFormat="1" x14ac:dyDescent="0.25"/>
    <row r="166905" customFormat="1" x14ac:dyDescent="0.25"/>
    <row r="166906" customFormat="1" x14ac:dyDescent="0.25"/>
    <row r="166907" customFormat="1" x14ac:dyDescent="0.25"/>
    <row r="166908" customFormat="1" x14ac:dyDescent="0.25"/>
    <row r="166909" customFormat="1" x14ac:dyDescent="0.25"/>
    <row r="166910" customFormat="1" x14ac:dyDescent="0.25"/>
    <row r="166911" customFormat="1" x14ac:dyDescent="0.25"/>
    <row r="166912" customFormat="1" x14ac:dyDescent="0.25"/>
    <row r="166913" customFormat="1" x14ac:dyDescent="0.25"/>
    <row r="166914" customFormat="1" x14ac:dyDescent="0.25"/>
    <row r="166915" customFormat="1" x14ac:dyDescent="0.25"/>
    <row r="166916" customFormat="1" x14ac:dyDescent="0.25"/>
    <row r="166917" customFormat="1" x14ac:dyDescent="0.25"/>
    <row r="166918" customFormat="1" x14ac:dyDescent="0.25"/>
    <row r="166919" customFormat="1" x14ac:dyDescent="0.25"/>
    <row r="166920" customFormat="1" x14ac:dyDescent="0.25"/>
    <row r="166921" customFormat="1" x14ac:dyDescent="0.25"/>
    <row r="166922" customFormat="1" x14ac:dyDescent="0.25"/>
    <row r="166923" customFormat="1" x14ac:dyDescent="0.25"/>
    <row r="166924" customFormat="1" x14ac:dyDescent="0.25"/>
    <row r="166925" customFormat="1" x14ac:dyDescent="0.25"/>
    <row r="166926" customFormat="1" x14ac:dyDescent="0.25"/>
    <row r="166927" customFormat="1" x14ac:dyDescent="0.25"/>
    <row r="166928" customFormat="1" x14ac:dyDescent="0.25"/>
    <row r="166929" customFormat="1" x14ac:dyDescent="0.25"/>
    <row r="166930" customFormat="1" x14ac:dyDescent="0.25"/>
    <row r="166931" customFormat="1" x14ac:dyDescent="0.25"/>
    <row r="166932" customFormat="1" x14ac:dyDescent="0.25"/>
    <row r="166933" customFormat="1" x14ac:dyDescent="0.25"/>
    <row r="166934" customFormat="1" x14ac:dyDescent="0.25"/>
    <row r="166935" customFormat="1" x14ac:dyDescent="0.25"/>
    <row r="166936" customFormat="1" x14ac:dyDescent="0.25"/>
    <row r="166937" customFormat="1" x14ac:dyDescent="0.25"/>
    <row r="166938" customFormat="1" x14ac:dyDescent="0.25"/>
    <row r="166939" customFormat="1" x14ac:dyDescent="0.25"/>
    <row r="166940" customFormat="1" x14ac:dyDescent="0.25"/>
    <row r="166941" customFormat="1" x14ac:dyDescent="0.25"/>
    <row r="166942" customFormat="1" x14ac:dyDescent="0.25"/>
    <row r="166943" customFormat="1" x14ac:dyDescent="0.25"/>
    <row r="166944" customFormat="1" x14ac:dyDescent="0.25"/>
    <row r="166945" customFormat="1" x14ac:dyDescent="0.25"/>
    <row r="166946" customFormat="1" x14ac:dyDescent="0.25"/>
    <row r="166947" customFormat="1" x14ac:dyDescent="0.25"/>
    <row r="166948" customFormat="1" x14ac:dyDescent="0.25"/>
    <row r="166949" customFormat="1" x14ac:dyDescent="0.25"/>
    <row r="166950" customFormat="1" x14ac:dyDescent="0.25"/>
    <row r="166951" customFormat="1" x14ac:dyDescent="0.25"/>
    <row r="166952" customFormat="1" x14ac:dyDescent="0.25"/>
    <row r="166953" customFormat="1" x14ac:dyDescent="0.25"/>
    <row r="166954" customFormat="1" x14ac:dyDescent="0.25"/>
    <row r="166955" customFormat="1" x14ac:dyDescent="0.25"/>
    <row r="166956" customFormat="1" x14ac:dyDescent="0.25"/>
    <row r="166957" customFormat="1" x14ac:dyDescent="0.25"/>
    <row r="166958" customFormat="1" x14ac:dyDescent="0.25"/>
    <row r="166959" customFormat="1" x14ac:dyDescent="0.25"/>
    <row r="166960" customFormat="1" x14ac:dyDescent="0.25"/>
    <row r="166961" customFormat="1" x14ac:dyDescent="0.25"/>
    <row r="166962" customFormat="1" x14ac:dyDescent="0.25"/>
    <row r="166963" customFormat="1" x14ac:dyDescent="0.25"/>
    <row r="166964" customFormat="1" x14ac:dyDescent="0.25"/>
    <row r="166965" customFormat="1" x14ac:dyDescent="0.25"/>
    <row r="166966" customFormat="1" x14ac:dyDescent="0.25"/>
    <row r="166967" customFormat="1" x14ac:dyDescent="0.25"/>
    <row r="166968" customFormat="1" x14ac:dyDescent="0.25"/>
    <row r="166969" customFormat="1" x14ac:dyDescent="0.25"/>
    <row r="166970" customFormat="1" x14ac:dyDescent="0.25"/>
    <row r="166971" customFormat="1" x14ac:dyDescent="0.25"/>
    <row r="166972" customFormat="1" x14ac:dyDescent="0.25"/>
    <row r="166973" customFormat="1" x14ac:dyDescent="0.25"/>
    <row r="166974" customFormat="1" x14ac:dyDescent="0.25"/>
    <row r="166975" customFormat="1" x14ac:dyDescent="0.25"/>
    <row r="166976" customFormat="1" x14ac:dyDescent="0.25"/>
    <row r="166977" customFormat="1" x14ac:dyDescent="0.25"/>
    <row r="166978" customFormat="1" x14ac:dyDescent="0.25"/>
    <row r="166979" customFormat="1" x14ac:dyDescent="0.25"/>
    <row r="166980" customFormat="1" x14ac:dyDescent="0.25"/>
    <row r="166981" customFormat="1" x14ac:dyDescent="0.25"/>
    <row r="166982" customFormat="1" x14ac:dyDescent="0.25"/>
    <row r="166983" customFormat="1" x14ac:dyDescent="0.25"/>
    <row r="166984" customFormat="1" x14ac:dyDescent="0.25"/>
    <row r="166985" customFormat="1" x14ac:dyDescent="0.25"/>
    <row r="166986" customFormat="1" x14ac:dyDescent="0.25"/>
    <row r="166987" customFormat="1" x14ac:dyDescent="0.25"/>
    <row r="166988" customFormat="1" x14ac:dyDescent="0.25"/>
    <row r="166989" customFormat="1" x14ac:dyDescent="0.25"/>
    <row r="166990" customFormat="1" x14ac:dyDescent="0.25"/>
    <row r="166991" customFormat="1" x14ac:dyDescent="0.25"/>
    <row r="166992" customFormat="1" x14ac:dyDescent="0.25"/>
    <row r="166993" customFormat="1" x14ac:dyDescent="0.25"/>
    <row r="166994" customFormat="1" x14ac:dyDescent="0.25"/>
    <row r="166995" customFormat="1" x14ac:dyDescent="0.25"/>
    <row r="166996" customFormat="1" x14ac:dyDescent="0.25"/>
    <row r="166997" customFormat="1" x14ac:dyDescent="0.25"/>
    <row r="166998" customFormat="1" x14ac:dyDescent="0.25"/>
    <row r="166999" customFormat="1" x14ac:dyDescent="0.25"/>
    <row r="167000" customFormat="1" x14ac:dyDescent="0.25"/>
    <row r="167001" customFormat="1" x14ac:dyDescent="0.25"/>
    <row r="167002" customFormat="1" x14ac:dyDescent="0.25"/>
    <row r="167003" customFormat="1" x14ac:dyDescent="0.25"/>
    <row r="167004" customFormat="1" x14ac:dyDescent="0.25"/>
    <row r="167005" customFormat="1" x14ac:dyDescent="0.25"/>
    <row r="167006" customFormat="1" x14ac:dyDescent="0.25"/>
    <row r="167007" customFormat="1" x14ac:dyDescent="0.25"/>
    <row r="167008" customFormat="1" x14ac:dyDescent="0.25"/>
    <row r="167009" customFormat="1" x14ac:dyDescent="0.25"/>
    <row r="167010" customFormat="1" x14ac:dyDescent="0.25"/>
    <row r="167011" customFormat="1" x14ac:dyDescent="0.25"/>
    <row r="167012" customFormat="1" x14ac:dyDescent="0.25"/>
    <row r="167013" customFormat="1" x14ac:dyDescent="0.25"/>
    <row r="167014" customFormat="1" x14ac:dyDescent="0.25"/>
    <row r="167015" customFormat="1" x14ac:dyDescent="0.25"/>
    <row r="167016" customFormat="1" x14ac:dyDescent="0.25"/>
    <row r="167017" customFormat="1" x14ac:dyDescent="0.25"/>
    <row r="167018" customFormat="1" x14ac:dyDescent="0.25"/>
    <row r="167019" customFormat="1" x14ac:dyDescent="0.25"/>
    <row r="167020" customFormat="1" x14ac:dyDescent="0.25"/>
    <row r="167021" customFormat="1" x14ac:dyDescent="0.25"/>
    <row r="167022" customFormat="1" x14ac:dyDescent="0.25"/>
    <row r="167023" customFormat="1" x14ac:dyDescent="0.25"/>
    <row r="167024" customFormat="1" x14ac:dyDescent="0.25"/>
    <row r="167025" customFormat="1" x14ac:dyDescent="0.25"/>
    <row r="167026" customFormat="1" x14ac:dyDescent="0.25"/>
    <row r="167027" customFormat="1" x14ac:dyDescent="0.25"/>
    <row r="167028" customFormat="1" x14ac:dyDescent="0.25"/>
    <row r="167029" customFormat="1" x14ac:dyDescent="0.25"/>
    <row r="167030" customFormat="1" x14ac:dyDescent="0.25"/>
    <row r="167031" customFormat="1" x14ac:dyDescent="0.25"/>
    <row r="167032" customFormat="1" x14ac:dyDescent="0.25"/>
    <row r="167033" customFormat="1" x14ac:dyDescent="0.25"/>
    <row r="167034" customFormat="1" x14ac:dyDescent="0.25"/>
    <row r="167035" customFormat="1" x14ac:dyDescent="0.25"/>
    <row r="167036" customFormat="1" x14ac:dyDescent="0.25"/>
    <row r="167037" customFormat="1" x14ac:dyDescent="0.25"/>
    <row r="167038" customFormat="1" x14ac:dyDescent="0.25"/>
    <row r="167039" customFormat="1" x14ac:dyDescent="0.25"/>
    <row r="167040" customFormat="1" x14ac:dyDescent="0.25"/>
    <row r="167041" customFormat="1" x14ac:dyDescent="0.25"/>
    <row r="167042" customFormat="1" x14ac:dyDescent="0.25"/>
    <row r="167043" customFormat="1" x14ac:dyDescent="0.25"/>
    <row r="167044" customFormat="1" x14ac:dyDescent="0.25"/>
    <row r="167045" customFormat="1" x14ac:dyDescent="0.25"/>
    <row r="167046" customFormat="1" x14ac:dyDescent="0.25"/>
    <row r="167047" customFormat="1" x14ac:dyDescent="0.25"/>
    <row r="167048" customFormat="1" x14ac:dyDescent="0.25"/>
    <row r="167049" customFormat="1" x14ac:dyDescent="0.25"/>
    <row r="167050" customFormat="1" x14ac:dyDescent="0.25"/>
    <row r="167051" customFormat="1" x14ac:dyDescent="0.25"/>
    <row r="167052" customFormat="1" x14ac:dyDescent="0.25"/>
    <row r="167053" customFormat="1" x14ac:dyDescent="0.25"/>
    <row r="167054" customFormat="1" x14ac:dyDescent="0.25"/>
    <row r="167055" customFormat="1" x14ac:dyDescent="0.25"/>
    <row r="167056" customFormat="1" x14ac:dyDescent="0.25"/>
    <row r="167057" customFormat="1" x14ac:dyDescent="0.25"/>
    <row r="167058" customFormat="1" x14ac:dyDescent="0.25"/>
    <row r="167059" customFormat="1" x14ac:dyDescent="0.25"/>
    <row r="167060" customFormat="1" x14ac:dyDescent="0.25"/>
    <row r="167061" customFormat="1" x14ac:dyDescent="0.25"/>
    <row r="167062" customFormat="1" x14ac:dyDescent="0.25"/>
    <row r="167063" customFormat="1" x14ac:dyDescent="0.25"/>
    <row r="167064" customFormat="1" x14ac:dyDescent="0.25"/>
    <row r="167065" customFormat="1" x14ac:dyDescent="0.25"/>
    <row r="167066" customFormat="1" x14ac:dyDescent="0.25"/>
    <row r="167067" customFormat="1" x14ac:dyDescent="0.25"/>
    <row r="167068" customFormat="1" x14ac:dyDescent="0.25"/>
    <row r="167069" customFormat="1" x14ac:dyDescent="0.25"/>
    <row r="167070" customFormat="1" x14ac:dyDescent="0.25"/>
    <row r="167071" customFormat="1" x14ac:dyDescent="0.25"/>
    <row r="167072" customFormat="1" x14ac:dyDescent="0.25"/>
    <row r="167073" customFormat="1" x14ac:dyDescent="0.25"/>
    <row r="167074" customFormat="1" x14ac:dyDescent="0.25"/>
    <row r="167075" customFormat="1" x14ac:dyDescent="0.25"/>
    <row r="167076" customFormat="1" x14ac:dyDescent="0.25"/>
    <row r="167077" customFormat="1" x14ac:dyDescent="0.25"/>
    <row r="167078" customFormat="1" x14ac:dyDescent="0.25"/>
    <row r="167079" customFormat="1" x14ac:dyDescent="0.25"/>
    <row r="167080" customFormat="1" x14ac:dyDescent="0.25"/>
    <row r="167081" customFormat="1" x14ac:dyDescent="0.25"/>
    <row r="167082" customFormat="1" x14ac:dyDescent="0.25"/>
    <row r="167083" customFormat="1" x14ac:dyDescent="0.25"/>
    <row r="167084" customFormat="1" x14ac:dyDescent="0.25"/>
    <row r="167085" customFormat="1" x14ac:dyDescent="0.25"/>
    <row r="167086" customFormat="1" x14ac:dyDescent="0.25"/>
    <row r="167087" customFormat="1" x14ac:dyDescent="0.25"/>
    <row r="167088" customFormat="1" x14ac:dyDescent="0.25"/>
    <row r="167089" customFormat="1" x14ac:dyDescent="0.25"/>
    <row r="167090" customFormat="1" x14ac:dyDescent="0.25"/>
    <row r="167091" customFormat="1" x14ac:dyDescent="0.25"/>
    <row r="167092" customFormat="1" x14ac:dyDescent="0.25"/>
    <row r="167093" customFormat="1" x14ac:dyDescent="0.25"/>
    <row r="167094" customFormat="1" x14ac:dyDescent="0.25"/>
    <row r="167095" customFormat="1" x14ac:dyDescent="0.25"/>
    <row r="167096" customFormat="1" x14ac:dyDescent="0.25"/>
    <row r="167097" customFormat="1" x14ac:dyDescent="0.25"/>
    <row r="167098" customFormat="1" x14ac:dyDescent="0.25"/>
    <row r="167099" customFormat="1" x14ac:dyDescent="0.25"/>
    <row r="167100" customFormat="1" x14ac:dyDescent="0.25"/>
    <row r="167101" customFormat="1" x14ac:dyDescent="0.25"/>
    <row r="167102" customFormat="1" x14ac:dyDescent="0.25"/>
    <row r="167103" customFormat="1" x14ac:dyDescent="0.25"/>
    <row r="167104" customFormat="1" x14ac:dyDescent="0.25"/>
    <row r="167105" customFormat="1" x14ac:dyDescent="0.25"/>
    <row r="167106" customFormat="1" x14ac:dyDescent="0.25"/>
    <row r="167107" customFormat="1" x14ac:dyDescent="0.25"/>
    <row r="167108" customFormat="1" x14ac:dyDescent="0.25"/>
    <row r="167109" customFormat="1" x14ac:dyDescent="0.25"/>
    <row r="167110" customFormat="1" x14ac:dyDescent="0.25"/>
    <row r="167111" customFormat="1" x14ac:dyDescent="0.25"/>
    <row r="167112" customFormat="1" x14ac:dyDescent="0.25"/>
    <row r="167113" customFormat="1" x14ac:dyDescent="0.25"/>
    <row r="167114" customFormat="1" x14ac:dyDescent="0.25"/>
    <row r="167115" customFormat="1" x14ac:dyDescent="0.25"/>
    <row r="167116" customFormat="1" x14ac:dyDescent="0.25"/>
    <row r="167117" customFormat="1" x14ac:dyDescent="0.25"/>
    <row r="167118" customFormat="1" x14ac:dyDescent="0.25"/>
    <row r="167119" customFormat="1" x14ac:dyDescent="0.25"/>
    <row r="167120" customFormat="1" x14ac:dyDescent="0.25"/>
    <row r="167121" customFormat="1" x14ac:dyDescent="0.25"/>
    <row r="167122" customFormat="1" x14ac:dyDescent="0.25"/>
    <row r="167123" customFormat="1" x14ac:dyDescent="0.25"/>
    <row r="167124" customFormat="1" x14ac:dyDescent="0.25"/>
    <row r="167125" customFormat="1" x14ac:dyDescent="0.25"/>
    <row r="167126" customFormat="1" x14ac:dyDescent="0.25"/>
    <row r="167127" customFormat="1" x14ac:dyDescent="0.25"/>
    <row r="167128" customFormat="1" x14ac:dyDescent="0.25"/>
    <row r="167129" customFormat="1" x14ac:dyDescent="0.25"/>
    <row r="167130" customFormat="1" x14ac:dyDescent="0.25"/>
    <row r="167131" customFormat="1" x14ac:dyDescent="0.25"/>
    <row r="167132" customFormat="1" x14ac:dyDescent="0.25"/>
    <row r="167133" customFormat="1" x14ac:dyDescent="0.25"/>
    <row r="167134" customFormat="1" x14ac:dyDescent="0.25"/>
    <row r="167135" customFormat="1" x14ac:dyDescent="0.25"/>
    <row r="167136" customFormat="1" x14ac:dyDescent="0.25"/>
    <row r="167137" customFormat="1" x14ac:dyDescent="0.25"/>
    <row r="167138" customFormat="1" x14ac:dyDescent="0.25"/>
    <row r="167139" customFormat="1" x14ac:dyDescent="0.25"/>
    <row r="167140" customFormat="1" x14ac:dyDescent="0.25"/>
    <row r="167141" customFormat="1" x14ac:dyDescent="0.25"/>
    <row r="167142" customFormat="1" x14ac:dyDescent="0.25"/>
    <row r="167143" customFormat="1" x14ac:dyDescent="0.25"/>
    <row r="167144" customFormat="1" x14ac:dyDescent="0.25"/>
    <row r="167145" customFormat="1" x14ac:dyDescent="0.25"/>
    <row r="167146" customFormat="1" x14ac:dyDescent="0.25"/>
    <row r="167147" customFormat="1" x14ac:dyDescent="0.25"/>
    <row r="167148" customFormat="1" x14ac:dyDescent="0.25"/>
    <row r="167149" customFormat="1" x14ac:dyDescent="0.25"/>
    <row r="167150" customFormat="1" x14ac:dyDescent="0.25"/>
    <row r="167151" customFormat="1" x14ac:dyDescent="0.25"/>
    <row r="167152" customFormat="1" x14ac:dyDescent="0.25"/>
    <row r="167153" customFormat="1" x14ac:dyDescent="0.25"/>
    <row r="167154" customFormat="1" x14ac:dyDescent="0.25"/>
    <row r="167155" customFormat="1" x14ac:dyDescent="0.25"/>
    <row r="167156" customFormat="1" x14ac:dyDescent="0.25"/>
    <row r="167157" customFormat="1" x14ac:dyDescent="0.25"/>
    <row r="167158" customFormat="1" x14ac:dyDescent="0.25"/>
    <row r="167159" customFormat="1" x14ac:dyDescent="0.25"/>
    <row r="167160" customFormat="1" x14ac:dyDescent="0.25"/>
    <row r="167161" customFormat="1" x14ac:dyDescent="0.25"/>
    <row r="167162" customFormat="1" x14ac:dyDescent="0.25"/>
    <row r="167163" customFormat="1" x14ac:dyDescent="0.25"/>
    <row r="167164" customFormat="1" x14ac:dyDescent="0.25"/>
    <row r="167165" customFormat="1" x14ac:dyDescent="0.25"/>
    <row r="167166" customFormat="1" x14ac:dyDescent="0.25"/>
    <row r="167167" customFormat="1" x14ac:dyDescent="0.25"/>
    <row r="167168" customFormat="1" x14ac:dyDescent="0.25"/>
    <row r="167169" customFormat="1" x14ac:dyDescent="0.25"/>
    <row r="167170" customFormat="1" x14ac:dyDescent="0.25"/>
    <row r="167171" customFormat="1" x14ac:dyDescent="0.25"/>
    <row r="167172" customFormat="1" x14ac:dyDescent="0.25"/>
    <row r="167173" customFormat="1" x14ac:dyDescent="0.25"/>
    <row r="167174" customFormat="1" x14ac:dyDescent="0.25"/>
    <row r="167175" customFormat="1" x14ac:dyDescent="0.25"/>
    <row r="167176" customFormat="1" x14ac:dyDescent="0.25"/>
    <row r="167177" customFormat="1" x14ac:dyDescent="0.25"/>
    <row r="167178" customFormat="1" x14ac:dyDescent="0.25"/>
    <row r="167179" customFormat="1" x14ac:dyDescent="0.25"/>
    <row r="167180" customFormat="1" x14ac:dyDescent="0.25"/>
    <row r="167181" customFormat="1" x14ac:dyDescent="0.25"/>
    <row r="167182" customFormat="1" x14ac:dyDescent="0.25"/>
    <row r="167183" customFormat="1" x14ac:dyDescent="0.25"/>
    <row r="167184" customFormat="1" x14ac:dyDescent="0.25"/>
    <row r="167185" customFormat="1" x14ac:dyDescent="0.25"/>
    <row r="167186" customFormat="1" x14ac:dyDescent="0.25"/>
    <row r="167187" customFormat="1" x14ac:dyDescent="0.25"/>
    <row r="167188" customFormat="1" x14ac:dyDescent="0.25"/>
    <row r="167189" customFormat="1" x14ac:dyDescent="0.25"/>
    <row r="167190" customFormat="1" x14ac:dyDescent="0.25"/>
    <row r="167191" customFormat="1" x14ac:dyDescent="0.25"/>
    <row r="167192" customFormat="1" x14ac:dyDescent="0.25"/>
    <row r="167193" customFormat="1" x14ac:dyDescent="0.25"/>
    <row r="167194" customFormat="1" x14ac:dyDescent="0.25"/>
    <row r="167195" customFormat="1" x14ac:dyDescent="0.25"/>
    <row r="167196" customFormat="1" x14ac:dyDescent="0.25"/>
    <row r="167197" customFormat="1" x14ac:dyDescent="0.25"/>
    <row r="167198" customFormat="1" x14ac:dyDescent="0.25"/>
    <row r="167199" customFormat="1" x14ac:dyDescent="0.25"/>
    <row r="167200" customFormat="1" x14ac:dyDescent="0.25"/>
    <row r="167201" customFormat="1" x14ac:dyDescent="0.25"/>
    <row r="167202" customFormat="1" x14ac:dyDescent="0.25"/>
    <row r="167203" customFormat="1" x14ac:dyDescent="0.25"/>
    <row r="167204" customFormat="1" x14ac:dyDescent="0.25"/>
    <row r="167205" customFormat="1" x14ac:dyDescent="0.25"/>
    <row r="167206" customFormat="1" x14ac:dyDescent="0.25"/>
    <row r="167207" customFormat="1" x14ac:dyDescent="0.25"/>
    <row r="167208" customFormat="1" x14ac:dyDescent="0.25"/>
    <row r="167209" customFormat="1" x14ac:dyDescent="0.25"/>
    <row r="167210" customFormat="1" x14ac:dyDescent="0.25"/>
    <row r="167211" customFormat="1" x14ac:dyDescent="0.25"/>
    <row r="167212" customFormat="1" x14ac:dyDescent="0.25"/>
    <row r="167213" customFormat="1" x14ac:dyDescent="0.25"/>
    <row r="167214" customFormat="1" x14ac:dyDescent="0.25"/>
    <row r="167215" customFormat="1" x14ac:dyDescent="0.25"/>
    <row r="167216" customFormat="1" x14ac:dyDescent="0.25"/>
    <row r="167217" customFormat="1" x14ac:dyDescent="0.25"/>
    <row r="167218" customFormat="1" x14ac:dyDescent="0.25"/>
    <row r="167219" customFormat="1" x14ac:dyDescent="0.25"/>
    <row r="167220" customFormat="1" x14ac:dyDescent="0.25"/>
    <row r="167221" customFormat="1" x14ac:dyDescent="0.25"/>
    <row r="167222" customFormat="1" x14ac:dyDescent="0.25"/>
    <row r="167223" customFormat="1" x14ac:dyDescent="0.25"/>
    <row r="167224" customFormat="1" x14ac:dyDescent="0.25"/>
    <row r="167225" customFormat="1" x14ac:dyDescent="0.25"/>
    <row r="167226" customFormat="1" x14ac:dyDescent="0.25"/>
    <row r="167227" customFormat="1" x14ac:dyDescent="0.25"/>
    <row r="167228" customFormat="1" x14ac:dyDescent="0.25"/>
    <row r="167229" customFormat="1" x14ac:dyDescent="0.25"/>
    <row r="167230" customFormat="1" x14ac:dyDescent="0.25"/>
    <row r="167231" customFormat="1" x14ac:dyDescent="0.25"/>
    <row r="167232" customFormat="1" x14ac:dyDescent="0.25"/>
    <row r="167233" customFormat="1" x14ac:dyDescent="0.25"/>
    <row r="167234" customFormat="1" x14ac:dyDescent="0.25"/>
    <row r="167235" customFormat="1" x14ac:dyDescent="0.25"/>
    <row r="167236" customFormat="1" x14ac:dyDescent="0.25"/>
    <row r="167237" customFormat="1" x14ac:dyDescent="0.25"/>
    <row r="167238" customFormat="1" x14ac:dyDescent="0.25"/>
    <row r="167239" customFormat="1" x14ac:dyDescent="0.25"/>
    <row r="167240" customFormat="1" x14ac:dyDescent="0.25"/>
    <row r="167241" customFormat="1" x14ac:dyDescent="0.25"/>
    <row r="167242" customFormat="1" x14ac:dyDescent="0.25"/>
    <row r="167243" customFormat="1" x14ac:dyDescent="0.25"/>
    <row r="167244" customFormat="1" x14ac:dyDescent="0.25"/>
    <row r="167245" customFormat="1" x14ac:dyDescent="0.25"/>
    <row r="167246" customFormat="1" x14ac:dyDescent="0.25"/>
    <row r="167247" customFormat="1" x14ac:dyDescent="0.25"/>
    <row r="167248" customFormat="1" x14ac:dyDescent="0.25"/>
    <row r="167249" customFormat="1" x14ac:dyDescent="0.25"/>
    <row r="167250" customFormat="1" x14ac:dyDescent="0.25"/>
    <row r="167251" customFormat="1" x14ac:dyDescent="0.25"/>
    <row r="167252" customFormat="1" x14ac:dyDescent="0.25"/>
    <row r="167253" customFormat="1" x14ac:dyDescent="0.25"/>
    <row r="167254" customFormat="1" x14ac:dyDescent="0.25"/>
    <row r="167255" customFormat="1" x14ac:dyDescent="0.25"/>
    <row r="167256" customFormat="1" x14ac:dyDescent="0.25"/>
    <row r="167257" customFormat="1" x14ac:dyDescent="0.25"/>
    <row r="167258" customFormat="1" x14ac:dyDescent="0.25"/>
    <row r="167259" customFormat="1" x14ac:dyDescent="0.25"/>
    <row r="167260" customFormat="1" x14ac:dyDescent="0.25"/>
    <row r="167261" customFormat="1" x14ac:dyDescent="0.25"/>
    <row r="167262" customFormat="1" x14ac:dyDescent="0.25"/>
    <row r="167263" customFormat="1" x14ac:dyDescent="0.25"/>
    <row r="167264" customFormat="1" x14ac:dyDescent="0.25"/>
    <row r="167265" customFormat="1" x14ac:dyDescent="0.25"/>
    <row r="167266" customFormat="1" x14ac:dyDescent="0.25"/>
    <row r="167267" customFormat="1" x14ac:dyDescent="0.25"/>
    <row r="167268" customFormat="1" x14ac:dyDescent="0.25"/>
    <row r="167269" customFormat="1" x14ac:dyDescent="0.25"/>
    <row r="167270" customFormat="1" x14ac:dyDescent="0.25"/>
    <row r="167271" customFormat="1" x14ac:dyDescent="0.25"/>
    <row r="167272" customFormat="1" x14ac:dyDescent="0.25"/>
    <row r="167273" customFormat="1" x14ac:dyDescent="0.25"/>
    <row r="167274" customFormat="1" x14ac:dyDescent="0.25"/>
    <row r="167275" customFormat="1" x14ac:dyDescent="0.25"/>
    <row r="167276" customFormat="1" x14ac:dyDescent="0.25"/>
    <row r="167277" customFormat="1" x14ac:dyDescent="0.25"/>
    <row r="167278" customFormat="1" x14ac:dyDescent="0.25"/>
    <row r="167279" customFormat="1" x14ac:dyDescent="0.25"/>
    <row r="167280" customFormat="1" x14ac:dyDescent="0.25"/>
    <row r="167281" customFormat="1" x14ac:dyDescent="0.25"/>
    <row r="167282" customFormat="1" x14ac:dyDescent="0.25"/>
    <row r="167283" customFormat="1" x14ac:dyDescent="0.25"/>
    <row r="167284" customFormat="1" x14ac:dyDescent="0.25"/>
    <row r="167285" customFormat="1" x14ac:dyDescent="0.25"/>
    <row r="167286" customFormat="1" x14ac:dyDescent="0.25"/>
    <row r="167287" customFormat="1" x14ac:dyDescent="0.25"/>
    <row r="167288" customFormat="1" x14ac:dyDescent="0.25"/>
    <row r="167289" customFormat="1" x14ac:dyDescent="0.25"/>
    <row r="167290" customFormat="1" x14ac:dyDescent="0.25"/>
    <row r="167291" customFormat="1" x14ac:dyDescent="0.25"/>
    <row r="167292" customFormat="1" x14ac:dyDescent="0.25"/>
    <row r="167293" customFormat="1" x14ac:dyDescent="0.25"/>
    <row r="167294" customFormat="1" x14ac:dyDescent="0.25"/>
    <row r="167295" customFormat="1" x14ac:dyDescent="0.25"/>
    <row r="167296" customFormat="1" x14ac:dyDescent="0.25"/>
    <row r="167297" customFormat="1" x14ac:dyDescent="0.25"/>
    <row r="167298" customFormat="1" x14ac:dyDescent="0.25"/>
    <row r="167299" customFormat="1" x14ac:dyDescent="0.25"/>
    <row r="167300" customFormat="1" x14ac:dyDescent="0.25"/>
    <row r="167301" customFormat="1" x14ac:dyDescent="0.25"/>
    <row r="167302" customFormat="1" x14ac:dyDescent="0.25"/>
    <row r="167303" customFormat="1" x14ac:dyDescent="0.25"/>
    <row r="167304" customFormat="1" x14ac:dyDescent="0.25"/>
    <row r="167305" customFormat="1" x14ac:dyDescent="0.25"/>
    <row r="167306" customFormat="1" x14ac:dyDescent="0.25"/>
    <row r="167307" customFormat="1" x14ac:dyDescent="0.25"/>
    <row r="167308" customFormat="1" x14ac:dyDescent="0.25"/>
    <row r="167309" customFormat="1" x14ac:dyDescent="0.25"/>
    <row r="167310" customFormat="1" x14ac:dyDescent="0.25"/>
    <row r="167311" customFormat="1" x14ac:dyDescent="0.25"/>
    <row r="167312" customFormat="1" x14ac:dyDescent="0.25"/>
    <row r="167313" customFormat="1" x14ac:dyDescent="0.25"/>
    <row r="167314" customFormat="1" x14ac:dyDescent="0.25"/>
    <row r="167315" customFormat="1" x14ac:dyDescent="0.25"/>
    <row r="167316" customFormat="1" x14ac:dyDescent="0.25"/>
    <row r="167317" customFormat="1" x14ac:dyDescent="0.25"/>
    <row r="167318" customFormat="1" x14ac:dyDescent="0.25"/>
    <row r="167319" customFormat="1" x14ac:dyDescent="0.25"/>
    <row r="167320" customFormat="1" x14ac:dyDescent="0.25"/>
    <row r="167321" customFormat="1" x14ac:dyDescent="0.25"/>
    <row r="167322" customFormat="1" x14ac:dyDescent="0.25"/>
    <row r="167323" customFormat="1" x14ac:dyDescent="0.25"/>
    <row r="167324" customFormat="1" x14ac:dyDescent="0.25"/>
    <row r="167325" customFormat="1" x14ac:dyDescent="0.25"/>
    <row r="167326" customFormat="1" x14ac:dyDescent="0.25"/>
    <row r="167327" customFormat="1" x14ac:dyDescent="0.25"/>
    <row r="167328" customFormat="1" x14ac:dyDescent="0.25"/>
    <row r="167329" customFormat="1" x14ac:dyDescent="0.25"/>
    <row r="167330" customFormat="1" x14ac:dyDescent="0.25"/>
    <row r="167331" customFormat="1" x14ac:dyDescent="0.25"/>
    <row r="167332" customFormat="1" x14ac:dyDescent="0.25"/>
    <row r="167333" customFormat="1" x14ac:dyDescent="0.25"/>
    <row r="167334" customFormat="1" x14ac:dyDescent="0.25"/>
    <row r="167335" customFormat="1" x14ac:dyDescent="0.25"/>
    <row r="167336" customFormat="1" x14ac:dyDescent="0.25"/>
    <row r="167337" customFormat="1" x14ac:dyDescent="0.25"/>
    <row r="167338" customFormat="1" x14ac:dyDescent="0.25"/>
    <row r="167339" customFormat="1" x14ac:dyDescent="0.25"/>
    <row r="167340" customFormat="1" x14ac:dyDescent="0.25"/>
    <row r="167341" customFormat="1" x14ac:dyDescent="0.25"/>
    <row r="167342" customFormat="1" x14ac:dyDescent="0.25"/>
    <row r="167343" customFormat="1" x14ac:dyDescent="0.25"/>
    <row r="167344" customFormat="1" x14ac:dyDescent="0.25"/>
    <row r="167345" customFormat="1" x14ac:dyDescent="0.25"/>
    <row r="167346" customFormat="1" x14ac:dyDescent="0.25"/>
    <row r="167347" customFormat="1" x14ac:dyDescent="0.25"/>
    <row r="167348" customFormat="1" x14ac:dyDescent="0.25"/>
    <row r="167349" customFormat="1" x14ac:dyDescent="0.25"/>
    <row r="167350" customFormat="1" x14ac:dyDescent="0.25"/>
    <row r="167351" customFormat="1" x14ac:dyDescent="0.25"/>
    <row r="167352" customFormat="1" x14ac:dyDescent="0.25"/>
    <row r="167353" customFormat="1" x14ac:dyDescent="0.25"/>
    <row r="167354" customFormat="1" x14ac:dyDescent="0.25"/>
    <row r="167355" customFormat="1" x14ac:dyDescent="0.25"/>
    <row r="167356" customFormat="1" x14ac:dyDescent="0.25"/>
    <row r="167357" customFormat="1" x14ac:dyDescent="0.25"/>
    <row r="167358" customFormat="1" x14ac:dyDescent="0.25"/>
    <row r="167359" customFormat="1" x14ac:dyDescent="0.25"/>
    <row r="167360" customFormat="1" x14ac:dyDescent="0.25"/>
    <row r="167361" customFormat="1" x14ac:dyDescent="0.25"/>
    <row r="167362" customFormat="1" x14ac:dyDescent="0.25"/>
    <row r="167363" customFormat="1" x14ac:dyDescent="0.25"/>
    <row r="167364" customFormat="1" x14ac:dyDescent="0.25"/>
    <row r="167365" customFormat="1" x14ac:dyDescent="0.25"/>
    <row r="167366" customFormat="1" x14ac:dyDescent="0.25"/>
    <row r="167367" customFormat="1" x14ac:dyDescent="0.25"/>
    <row r="167368" customFormat="1" x14ac:dyDescent="0.25"/>
    <row r="167369" customFormat="1" x14ac:dyDescent="0.25"/>
    <row r="167370" customFormat="1" x14ac:dyDescent="0.25"/>
    <row r="167371" customFormat="1" x14ac:dyDescent="0.25"/>
    <row r="167372" customFormat="1" x14ac:dyDescent="0.25"/>
    <row r="167373" customFormat="1" x14ac:dyDescent="0.25"/>
    <row r="167374" customFormat="1" x14ac:dyDescent="0.25"/>
    <row r="167375" customFormat="1" x14ac:dyDescent="0.25"/>
    <row r="167376" customFormat="1" x14ac:dyDescent="0.25"/>
    <row r="167377" customFormat="1" x14ac:dyDescent="0.25"/>
    <row r="167378" customFormat="1" x14ac:dyDescent="0.25"/>
    <row r="167379" customFormat="1" x14ac:dyDescent="0.25"/>
    <row r="167380" customFormat="1" x14ac:dyDescent="0.25"/>
    <row r="167381" customFormat="1" x14ac:dyDescent="0.25"/>
    <row r="167382" customFormat="1" x14ac:dyDescent="0.25"/>
    <row r="167383" customFormat="1" x14ac:dyDescent="0.25"/>
    <row r="167384" customFormat="1" x14ac:dyDescent="0.25"/>
    <row r="167385" customFormat="1" x14ac:dyDescent="0.25"/>
    <row r="167386" customFormat="1" x14ac:dyDescent="0.25"/>
    <row r="167387" customFormat="1" x14ac:dyDescent="0.25"/>
    <row r="167388" customFormat="1" x14ac:dyDescent="0.25"/>
    <row r="167389" customFormat="1" x14ac:dyDescent="0.25"/>
    <row r="167390" customFormat="1" x14ac:dyDescent="0.25"/>
    <row r="167391" customFormat="1" x14ac:dyDescent="0.25"/>
    <row r="167392" customFormat="1" x14ac:dyDescent="0.25"/>
    <row r="167393" customFormat="1" x14ac:dyDescent="0.25"/>
    <row r="167394" customFormat="1" x14ac:dyDescent="0.25"/>
    <row r="167395" customFormat="1" x14ac:dyDescent="0.25"/>
    <row r="167396" customFormat="1" x14ac:dyDescent="0.25"/>
    <row r="167397" customFormat="1" x14ac:dyDescent="0.25"/>
    <row r="167398" customFormat="1" x14ac:dyDescent="0.25"/>
    <row r="167399" customFormat="1" x14ac:dyDescent="0.25"/>
    <row r="167400" customFormat="1" x14ac:dyDescent="0.25"/>
    <row r="167401" customFormat="1" x14ac:dyDescent="0.25"/>
    <row r="167402" customFormat="1" x14ac:dyDescent="0.25"/>
    <row r="167403" customFormat="1" x14ac:dyDescent="0.25"/>
    <row r="167404" customFormat="1" x14ac:dyDescent="0.25"/>
    <row r="167405" customFormat="1" x14ac:dyDescent="0.25"/>
    <row r="167406" customFormat="1" x14ac:dyDescent="0.25"/>
    <row r="167407" customFormat="1" x14ac:dyDescent="0.25"/>
    <row r="167408" customFormat="1" x14ac:dyDescent="0.25"/>
    <row r="167409" customFormat="1" x14ac:dyDescent="0.25"/>
    <row r="167410" customFormat="1" x14ac:dyDescent="0.25"/>
    <row r="167411" customFormat="1" x14ac:dyDescent="0.25"/>
    <row r="167412" customFormat="1" x14ac:dyDescent="0.25"/>
    <row r="167413" customFormat="1" x14ac:dyDescent="0.25"/>
    <row r="167414" customFormat="1" x14ac:dyDescent="0.25"/>
    <row r="167415" customFormat="1" x14ac:dyDescent="0.25"/>
    <row r="167416" customFormat="1" x14ac:dyDescent="0.25"/>
    <row r="167417" customFormat="1" x14ac:dyDescent="0.25"/>
    <row r="167418" customFormat="1" x14ac:dyDescent="0.25"/>
    <row r="167419" customFormat="1" x14ac:dyDescent="0.25"/>
    <row r="167420" customFormat="1" x14ac:dyDescent="0.25"/>
    <row r="167421" customFormat="1" x14ac:dyDescent="0.25"/>
    <row r="167422" customFormat="1" x14ac:dyDescent="0.25"/>
    <row r="167423" customFormat="1" x14ac:dyDescent="0.25"/>
    <row r="167424" customFormat="1" x14ac:dyDescent="0.25"/>
    <row r="167425" customFormat="1" x14ac:dyDescent="0.25"/>
    <row r="167426" customFormat="1" x14ac:dyDescent="0.25"/>
    <row r="167427" customFormat="1" x14ac:dyDescent="0.25"/>
    <row r="167428" customFormat="1" x14ac:dyDescent="0.25"/>
    <row r="167429" customFormat="1" x14ac:dyDescent="0.25"/>
    <row r="167430" customFormat="1" x14ac:dyDescent="0.25"/>
    <row r="167431" customFormat="1" x14ac:dyDescent="0.25"/>
    <row r="167432" customFormat="1" x14ac:dyDescent="0.25"/>
    <row r="167433" customFormat="1" x14ac:dyDescent="0.25"/>
    <row r="167434" customFormat="1" x14ac:dyDescent="0.25"/>
    <row r="167435" customFormat="1" x14ac:dyDescent="0.25"/>
    <row r="167436" customFormat="1" x14ac:dyDescent="0.25"/>
    <row r="167437" customFormat="1" x14ac:dyDescent="0.25"/>
    <row r="167438" customFormat="1" x14ac:dyDescent="0.25"/>
    <row r="167439" customFormat="1" x14ac:dyDescent="0.25"/>
    <row r="167440" customFormat="1" x14ac:dyDescent="0.25"/>
    <row r="167441" customFormat="1" x14ac:dyDescent="0.25"/>
    <row r="167442" customFormat="1" x14ac:dyDescent="0.25"/>
    <row r="167443" customFormat="1" x14ac:dyDescent="0.25"/>
    <row r="167444" customFormat="1" x14ac:dyDescent="0.25"/>
    <row r="167445" customFormat="1" x14ac:dyDescent="0.25"/>
    <row r="167446" customFormat="1" x14ac:dyDescent="0.25"/>
    <row r="167447" customFormat="1" x14ac:dyDescent="0.25"/>
    <row r="167448" customFormat="1" x14ac:dyDescent="0.25"/>
    <row r="167449" customFormat="1" x14ac:dyDescent="0.25"/>
    <row r="167450" customFormat="1" x14ac:dyDescent="0.25"/>
    <row r="167451" customFormat="1" x14ac:dyDescent="0.25"/>
    <row r="167452" customFormat="1" x14ac:dyDescent="0.25"/>
    <row r="167453" customFormat="1" x14ac:dyDescent="0.25"/>
    <row r="167454" customFormat="1" x14ac:dyDescent="0.25"/>
    <row r="167455" customFormat="1" x14ac:dyDescent="0.25"/>
    <row r="167456" customFormat="1" x14ac:dyDescent="0.25"/>
    <row r="167457" customFormat="1" x14ac:dyDescent="0.25"/>
    <row r="167458" customFormat="1" x14ac:dyDescent="0.25"/>
    <row r="167459" customFormat="1" x14ac:dyDescent="0.25"/>
    <row r="167460" customFormat="1" x14ac:dyDescent="0.25"/>
    <row r="167461" customFormat="1" x14ac:dyDescent="0.25"/>
    <row r="167462" customFormat="1" x14ac:dyDescent="0.25"/>
    <row r="167463" customFormat="1" x14ac:dyDescent="0.25"/>
    <row r="167464" customFormat="1" x14ac:dyDescent="0.25"/>
    <row r="167465" customFormat="1" x14ac:dyDescent="0.25"/>
    <row r="167466" customFormat="1" x14ac:dyDescent="0.25"/>
    <row r="167467" customFormat="1" x14ac:dyDescent="0.25"/>
    <row r="167468" customFormat="1" x14ac:dyDescent="0.25"/>
    <row r="167469" customFormat="1" x14ac:dyDescent="0.25"/>
    <row r="167470" customFormat="1" x14ac:dyDescent="0.25"/>
    <row r="167471" customFormat="1" x14ac:dyDescent="0.25"/>
    <row r="167472" customFormat="1" x14ac:dyDescent="0.25"/>
    <row r="167473" customFormat="1" x14ac:dyDescent="0.25"/>
    <row r="167474" customFormat="1" x14ac:dyDescent="0.25"/>
    <row r="167475" customFormat="1" x14ac:dyDescent="0.25"/>
    <row r="167476" customFormat="1" x14ac:dyDescent="0.25"/>
    <row r="167477" customFormat="1" x14ac:dyDescent="0.25"/>
    <row r="167478" customFormat="1" x14ac:dyDescent="0.25"/>
    <row r="167479" customFormat="1" x14ac:dyDescent="0.25"/>
    <row r="167480" customFormat="1" x14ac:dyDescent="0.25"/>
    <row r="167481" customFormat="1" x14ac:dyDescent="0.25"/>
    <row r="167482" customFormat="1" x14ac:dyDescent="0.25"/>
    <row r="167483" customFormat="1" x14ac:dyDescent="0.25"/>
    <row r="167484" customFormat="1" x14ac:dyDescent="0.25"/>
    <row r="167485" customFormat="1" x14ac:dyDescent="0.25"/>
    <row r="167486" customFormat="1" x14ac:dyDescent="0.25"/>
    <row r="167487" customFormat="1" x14ac:dyDescent="0.25"/>
    <row r="167488" customFormat="1" x14ac:dyDescent="0.25"/>
    <row r="167489" customFormat="1" x14ac:dyDescent="0.25"/>
    <row r="167490" customFormat="1" x14ac:dyDescent="0.25"/>
    <row r="167491" customFormat="1" x14ac:dyDescent="0.25"/>
    <row r="167492" customFormat="1" x14ac:dyDescent="0.25"/>
    <row r="167493" customFormat="1" x14ac:dyDescent="0.25"/>
    <row r="167494" customFormat="1" x14ac:dyDescent="0.25"/>
    <row r="167495" customFormat="1" x14ac:dyDescent="0.25"/>
    <row r="167496" customFormat="1" x14ac:dyDescent="0.25"/>
    <row r="167497" customFormat="1" x14ac:dyDescent="0.25"/>
    <row r="167498" customFormat="1" x14ac:dyDescent="0.25"/>
    <row r="167499" customFormat="1" x14ac:dyDescent="0.25"/>
    <row r="167500" customFormat="1" x14ac:dyDescent="0.25"/>
    <row r="167501" customFormat="1" x14ac:dyDescent="0.25"/>
    <row r="167502" customFormat="1" x14ac:dyDescent="0.25"/>
    <row r="167503" customFormat="1" x14ac:dyDescent="0.25"/>
    <row r="167504" customFormat="1" x14ac:dyDescent="0.25"/>
    <row r="167505" customFormat="1" x14ac:dyDescent="0.25"/>
    <row r="167506" customFormat="1" x14ac:dyDescent="0.25"/>
    <row r="167507" customFormat="1" x14ac:dyDescent="0.25"/>
    <row r="167508" customFormat="1" x14ac:dyDescent="0.25"/>
    <row r="167509" customFormat="1" x14ac:dyDescent="0.25"/>
    <row r="167510" customFormat="1" x14ac:dyDescent="0.25"/>
    <row r="167511" customFormat="1" x14ac:dyDescent="0.25"/>
    <row r="167512" customFormat="1" x14ac:dyDescent="0.25"/>
    <row r="167513" customFormat="1" x14ac:dyDescent="0.25"/>
    <row r="167514" customFormat="1" x14ac:dyDescent="0.25"/>
    <row r="167515" customFormat="1" x14ac:dyDescent="0.25"/>
    <row r="167516" customFormat="1" x14ac:dyDescent="0.25"/>
    <row r="167517" customFormat="1" x14ac:dyDescent="0.25"/>
    <row r="167518" customFormat="1" x14ac:dyDescent="0.25"/>
    <row r="167519" customFormat="1" x14ac:dyDescent="0.25"/>
    <row r="167520" customFormat="1" x14ac:dyDescent="0.25"/>
    <row r="167521" customFormat="1" x14ac:dyDescent="0.25"/>
    <row r="167522" customFormat="1" x14ac:dyDescent="0.25"/>
    <row r="167523" customFormat="1" x14ac:dyDescent="0.25"/>
    <row r="167524" customFormat="1" x14ac:dyDescent="0.25"/>
    <row r="167525" customFormat="1" x14ac:dyDescent="0.25"/>
    <row r="167526" customFormat="1" x14ac:dyDescent="0.25"/>
    <row r="167527" customFormat="1" x14ac:dyDescent="0.25"/>
    <row r="167528" customFormat="1" x14ac:dyDescent="0.25"/>
    <row r="167529" customFormat="1" x14ac:dyDescent="0.25"/>
    <row r="167530" customFormat="1" x14ac:dyDescent="0.25"/>
    <row r="167531" customFormat="1" x14ac:dyDescent="0.25"/>
    <row r="167532" customFormat="1" x14ac:dyDescent="0.25"/>
    <row r="167533" customFormat="1" x14ac:dyDescent="0.25"/>
    <row r="167534" customFormat="1" x14ac:dyDescent="0.25"/>
    <row r="167535" customFormat="1" x14ac:dyDescent="0.25"/>
    <row r="167536" customFormat="1" x14ac:dyDescent="0.25"/>
    <row r="167537" customFormat="1" x14ac:dyDescent="0.25"/>
    <row r="167538" customFormat="1" x14ac:dyDescent="0.25"/>
    <row r="167539" customFormat="1" x14ac:dyDescent="0.25"/>
    <row r="167540" customFormat="1" x14ac:dyDescent="0.25"/>
    <row r="167541" customFormat="1" x14ac:dyDescent="0.25"/>
    <row r="167542" customFormat="1" x14ac:dyDescent="0.25"/>
    <row r="167543" customFormat="1" x14ac:dyDescent="0.25"/>
    <row r="167544" customFormat="1" x14ac:dyDescent="0.25"/>
    <row r="167545" customFormat="1" x14ac:dyDescent="0.25"/>
    <row r="167546" customFormat="1" x14ac:dyDescent="0.25"/>
    <row r="167547" customFormat="1" x14ac:dyDescent="0.25"/>
    <row r="167548" customFormat="1" x14ac:dyDescent="0.25"/>
    <row r="167549" customFormat="1" x14ac:dyDescent="0.25"/>
    <row r="167550" customFormat="1" x14ac:dyDescent="0.25"/>
    <row r="167551" customFormat="1" x14ac:dyDescent="0.25"/>
    <row r="167552" customFormat="1" x14ac:dyDescent="0.25"/>
    <row r="167553" customFormat="1" x14ac:dyDescent="0.25"/>
    <row r="167554" customFormat="1" x14ac:dyDescent="0.25"/>
    <row r="167555" customFormat="1" x14ac:dyDescent="0.25"/>
    <row r="167556" customFormat="1" x14ac:dyDescent="0.25"/>
    <row r="167557" customFormat="1" x14ac:dyDescent="0.25"/>
    <row r="167558" customFormat="1" x14ac:dyDescent="0.25"/>
    <row r="167559" customFormat="1" x14ac:dyDescent="0.25"/>
    <row r="167560" customFormat="1" x14ac:dyDescent="0.25"/>
    <row r="167561" customFormat="1" x14ac:dyDescent="0.25"/>
    <row r="167562" customFormat="1" x14ac:dyDescent="0.25"/>
    <row r="167563" customFormat="1" x14ac:dyDescent="0.25"/>
    <row r="167564" customFormat="1" x14ac:dyDescent="0.25"/>
    <row r="167565" customFormat="1" x14ac:dyDescent="0.25"/>
    <row r="167566" customFormat="1" x14ac:dyDescent="0.25"/>
    <row r="167567" customFormat="1" x14ac:dyDescent="0.25"/>
    <row r="167568" customFormat="1" x14ac:dyDescent="0.25"/>
    <row r="167569" customFormat="1" x14ac:dyDescent="0.25"/>
    <row r="167570" customFormat="1" x14ac:dyDescent="0.25"/>
    <row r="167571" customFormat="1" x14ac:dyDescent="0.25"/>
    <row r="167572" customFormat="1" x14ac:dyDescent="0.25"/>
    <row r="167573" customFormat="1" x14ac:dyDescent="0.25"/>
    <row r="167574" customFormat="1" x14ac:dyDescent="0.25"/>
    <row r="167575" customFormat="1" x14ac:dyDescent="0.25"/>
    <row r="167576" customFormat="1" x14ac:dyDescent="0.25"/>
    <row r="167577" customFormat="1" x14ac:dyDescent="0.25"/>
    <row r="167578" customFormat="1" x14ac:dyDescent="0.25"/>
    <row r="167579" customFormat="1" x14ac:dyDescent="0.25"/>
    <row r="167580" customFormat="1" x14ac:dyDescent="0.25"/>
    <row r="167581" customFormat="1" x14ac:dyDescent="0.25"/>
    <row r="167582" customFormat="1" x14ac:dyDescent="0.25"/>
    <row r="167583" customFormat="1" x14ac:dyDescent="0.25"/>
    <row r="167584" customFormat="1" x14ac:dyDescent="0.25"/>
    <row r="167585" customFormat="1" x14ac:dyDescent="0.25"/>
    <row r="167586" customFormat="1" x14ac:dyDescent="0.25"/>
    <row r="167587" customFormat="1" x14ac:dyDescent="0.25"/>
    <row r="167588" customFormat="1" x14ac:dyDescent="0.25"/>
    <row r="167589" customFormat="1" x14ac:dyDescent="0.25"/>
    <row r="167590" customFormat="1" x14ac:dyDescent="0.25"/>
    <row r="167591" customFormat="1" x14ac:dyDescent="0.25"/>
    <row r="167592" customFormat="1" x14ac:dyDescent="0.25"/>
    <row r="167593" customFormat="1" x14ac:dyDescent="0.25"/>
    <row r="167594" customFormat="1" x14ac:dyDescent="0.25"/>
    <row r="167595" customFormat="1" x14ac:dyDescent="0.25"/>
    <row r="167596" customFormat="1" x14ac:dyDescent="0.25"/>
    <row r="167597" customFormat="1" x14ac:dyDescent="0.25"/>
    <row r="167598" customFormat="1" x14ac:dyDescent="0.25"/>
    <row r="167599" customFormat="1" x14ac:dyDescent="0.25"/>
    <row r="167600" customFormat="1" x14ac:dyDescent="0.25"/>
    <row r="167601" customFormat="1" x14ac:dyDescent="0.25"/>
    <row r="167602" customFormat="1" x14ac:dyDescent="0.25"/>
    <row r="167603" customFormat="1" x14ac:dyDescent="0.25"/>
    <row r="167604" customFormat="1" x14ac:dyDescent="0.25"/>
    <row r="167605" customFormat="1" x14ac:dyDescent="0.25"/>
    <row r="167606" customFormat="1" x14ac:dyDescent="0.25"/>
    <row r="167607" customFormat="1" x14ac:dyDescent="0.25"/>
    <row r="167608" customFormat="1" x14ac:dyDescent="0.25"/>
    <row r="167609" customFormat="1" x14ac:dyDescent="0.25"/>
    <row r="167610" customFormat="1" x14ac:dyDescent="0.25"/>
    <row r="167611" customFormat="1" x14ac:dyDescent="0.25"/>
    <row r="167612" customFormat="1" x14ac:dyDescent="0.25"/>
    <row r="167613" customFormat="1" x14ac:dyDescent="0.25"/>
    <row r="167614" customFormat="1" x14ac:dyDescent="0.25"/>
    <row r="167615" customFormat="1" x14ac:dyDescent="0.25"/>
    <row r="167616" customFormat="1" x14ac:dyDescent="0.25"/>
    <row r="167617" customFormat="1" x14ac:dyDescent="0.25"/>
    <row r="167618" customFormat="1" x14ac:dyDescent="0.25"/>
    <row r="167619" customFormat="1" x14ac:dyDescent="0.25"/>
    <row r="167620" customFormat="1" x14ac:dyDescent="0.25"/>
    <row r="167621" customFormat="1" x14ac:dyDescent="0.25"/>
    <row r="167622" customFormat="1" x14ac:dyDescent="0.25"/>
    <row r="167623" customFormat="1" x14ac:dyDescent="0.25"/>
    <row r="167624" customFormat="1" x14ac:dyDescent="0.25"/>
    <row r="167625" customFormat="1" x14ac:dyDescent="0.25"/>
    <row r="167626" customFormat="1" x14ac:dyDescent="0.25"/>
    <row r="167627" customFormat="1" x14ac:dyDescent="0.25"/>
    <row r="167628" customFormat="1" x14ac:dyDescent="0.25"/>
    <row r="167629" customFormat="1" x14ac:dyDescent="0.25"/>
    <row r="167630" customFormat="1" x14ac:dyDescent="0.25"/>
    <row r="167631" customFormat="1" x14ac:dyDescent="0.25"/>
    <row r="167632" customFormat="1" x14ac:dyDescent="0.25"/>
    <row r="167633" customFormat="1" x14ac:dyDescent="0.25"/>
    <row r="167634" customFormat="1" x14ac:dyDescent="0.25"/>
    <row r="167635" customFormat="1" x14ac:dyDescent="0.25"/>
    <row r="167636" customFormat="1" x14ac:dyDescent="0.25"/>
    <row r="167637" customFormat="1" x14ac:dyDescent="0.25"/>
    <row r="167638" customFormat="1" x14ac:dyDescent="0.25"/>
    <row r="167639" customFormat="1" x14ac:dyDescent="0.25"/>
    <row r="167640" customFormat="1" x14ac:dyDescent="0.25"/>
    <row r="167641" customFormat="1" x14ac:dyDescent="0.25"/>
    <row r="167642" customFormat="1" x14ac:dyDescent="0.25"/>
    <row r="167643" customFormat="1" x14ac:dyDescent="0.25"/>
    <row r="167644" customFormat="1" x14ac:dyDescent="0.25"/>
    <row r="167645" customFormat="1" x14ac:dyDescent="0.25"/>
    <row r="167646" customFormat="1" x14ac:dyDescent="0.25"/>
    <row r="167647" customFormat="1" x14ac:dyDescent="0.25"/>
    <row r="167648" customFormat="1" x14ac:dyDescent="0.25"/>
    <row r="167649" customFormat="1" x14ac:dyDescent="0.25"/>
    <row r="167650" customFormat="1" x14ac:dyDescent="0.25"/>
    <row r="167651" customFormat="1" x14ac:dyDescent="0.25"/>
    <row r="167652" customFormat="1" x14ac:dyDescent="0.25"/>
    <row r="167653" customFormat="1" x14ac:dyDescent="0.25"/>
    <row r="167654" customFormat="1" x14ac:dyDescent="0.25"/>
    <row r="167655" customFormat="1" x14ac:dyDescent="0.25"/>
    <row r="167656" customFormat="1" x14ac:dyDescent="0.25"/>
    <row r="167657" customFormat="1" x14ac:dyDescent="0.25"/>
    <row r="167658" customFormat="1" x14ac:dyDescent="0.25"/>
    <row r="167659" customFormat="1" x14ac:dyDescent="0.25"/>
    <row r="167660" customFormat="1" x14ac:dyDescent="0.25"/>
    <row r="167661" customFormat="1" x14ac:dyDescent="0.25"/>
    <row r="167662" customFormat="1" x14ac:dyDescent="0.25"/>
    <row r="167663" customFormat="1" x14ac:dyDescent="0.25"/>
    <row r="167664" customFormat="1" x14ac:dyDescent="0.25"/>
    <row r="167665" customFormat="1" x14ac:dyDescent="0.25"/>
    <row r="167666" customFormat="1" x14ac:dyDescent="0.25"/>
    <row r="167667" customFormat="1" x14ac:dyDescent="0.25"/>
    <row r="167668" customFormat="1" x14ac:dyDescent="0.25"/>
    <row r="167669" customFormat="1" x14ac:dyDescent="0.25"/>
    <row r="167670" customFormat="1" x14ac:dyDescent="0.25"/>
    <row r="167671" customFormat="1" x14ac:dyDescent="0.25"/>
    <row r="167672" customFormat="1" x14ac:dyDescent="0.25"/>
    <row r="167673" customFormat="1" x14ac:dyDescent="0.25"/>
    <row r="167674" customFormat="1" x14ac:dyDescent="0.25"/>
    <row r="167675" customFormat="1" x14ac:dyDescent="0.25"/>
    <row r="167676" customFormat="1" x14ac:dyDescent="0.25"/>
    <row r="167677" customFormat="1" x14ac:dyDescent="0.25"/>
    <row r="167678" customFormat="1" x14ac:dyDescent="0.25"/>
    <row r="167679" customFormat="1" x14ac:dyDescent="0.25"/>
    <row r="167680" customFormat="1" x14ac:dyDescent="0.25"/>
    <row r="167681" customFormat="1" x14ac:dyDescent="0.25"/>
    <row r="167682" customFormat="1" x14ac:dyDescent="0.25"/>
    <row r="167683" customFormat="1" x14ac:dyDescent="0.25"/>
    <row r="167684" customFormat="1" x14ac:dyDescent="0.25"/>
    <row r="167685" customFormat="1" x14ac:dyDescent="0.25"/>
    <row r="167686" customFormat="1" x14ac:dyDescent="0.25"/>
    <row r="167687" customFormat="1" x14ac:dyDescent="0.25"/>
    <row r="167688" customFormat="1" x14ac:dyDescent="0.25"/>
    <row r="167689" customFormat="1" x14ac:dyDescent="0.25"/>
    <row r="167690" customFormat="1" x14ac:dyDescent="0.25"/>
    <row r="167691" customFormat="1" x14ac:dyDescent="0.25"/>
    <row r="167692" customFormat="1" x14ac:dyDescent="0.25"/>
    <row r="167693" customFormat="1" x14ac:dyDescent="0.25"/>
    <row r="167694" customFormat="1" x14ac:dyDescent="0.25"/>
    <row r="167695" customFormat="1" x14ac:dyDescent="0.25"/>
    <row r="167696" customFormat="1" x14ac:dyDescent="0.25"/>
    <row r="167697" customFormat="1" x14ac:dyDescent="0.25"/>
    <row r="167698" customFormat="1" x14ac:dyDescent="0.25"/>
    <row r="167699" customFormat="1" x14ac:dyDescent="0.25"/>
    <row r="167700" customFormat="1" x14ac:dyDescent="0.25"/>
    <row r="167701" customFormat="1" x14ac:dyDescent="0.25"/>
    <row r="167702" customFormat="1" x14ac:dyDescent="0.25"/>
    <row r="167703" customFormat="1" x14ac:dyDescent="0.25"/>
    <row r="167704" customFormat="1" x14ac:dyDescent="0.25"/>
    <row r="167705" customFormat="1" x14ac:dyDescent="0.25"/>
    <row r="167706" customFormat="1" x14ac:dyDescent="0.25"/>
    <row r="167707" customFormat="1" x14ac:dyDescent="0.25"/>
    <row r="167708" customFormat="1" x14ac:dyDescent="0.25"/>
    <row r="167709" customFormat="1" x14ac:dyDescent="0.25"/>
    <row r="167710" customFormat="1" x14ac:dyDescent="0.25"/>
    <row r="167711" customFormat="1" x14ac:dyDescent="0.25"/>
    <row r="167712" customFormat="1" x14ac:dyDescent="0.25"/>
    <row r="167713" customFormat="1" x14ac:dyDescent="0.25"/>
    <row r="167714" customFormat="1" x14ac:dyDescent="0.25"/>
    <row r="167715" customFormat="1" x14ac:dyDescent="0.25"/>
    <row r="167716" customFormat="1" x14ac:dyDescent="0.25"/>
    <row r="167717" customFormat="1" x14ac:dyDescent="0.25"/>
    <row r="167718" customFormat="1" x14ac:dyDescent="0.25"/>
    <row r="167719" customFormat="1" x14ac:dyDescent="0.25"/>
    <row r="167720" customFormat="1" x14ac:dyDescent="0.25"/>
    <row r="167721" customFormat="1" x14ac:dyDescent="0.25"/>
    <row r="167722" customFormat="1" x14ac:dyDescent="0.25"/>
    <row r="167723" customFormat="1" x14ac:dyDescent="0.25"/>
    <row r="167724" customFormat="1" x14ac:dyDescent="0.25"/>
    <row r="167725" customFormat="1" x14ac:dyDescent="0.25"/>
    <row r="167726" customFormat="1" x14ac:dyDescent="0.25"/>
    <row r="167727" customFormat="1" x14ac:dyDescent="0.25"/>
    <row r="167728" customFormat="1" x14ac:dyDescent="0.25"/>
    <row r="167729" customFormat="1" x14ac:dyDescent="0.25"/>
    <row r="167730" customFormat="1" x14ac:dyDescent="0.25"/>
    <row r="167731" customFormat="1" x14ac:dyDescent="0.25"/>
    <row r="167732" customFormat="1" x14ac:dyDescent="0.25"/>
    <row r="167733" customFormat="1" x14ac:dyDescent="0.25"/>
    <row r="167734" customFormat="1" x14ac:dyDescent="0.25"/>
    <row r="167735" customFormat="1" x14ac:dyDescent="0.25"/>
    <row r="167736" customFormat="1" x14ac:dyDescent="0.25"/>
    <row r="167737" customFormat="1" x14ac:dyDescent="0.25"/>
    <row r="167738" customFormat="1" x14ac:dyDescent="0.25"/>
    <row r="167739" customFormat="1" x14ac:dyDescent="0.25"/>
    <row r="167740" customFormat="1" x14ac:dyDescent="0.25"/>
    <row r="167741" customFormat="1" x14ac:dyDescent="0.25"/>
    <row r="167742" customFormat="1" x14ac:dyDescent="0.25"/>
    <row r="167743" customFormat="1" x14ac:dyDescent="0.25"/>
    <row r="167744" customFormat="1" x14ac:dyDescent="0.25"/>
    <row r="167745" customFormat="1" x14ac:dyDescent="0.25"/>
    <row r="167746" customFormat="1" x14ac:dyDescent="0.25"/>
    <row r="167747" customFormat="1" x14ac:dyDescent="0.25"/>
    <row r="167748" customFormat="1" x14ac:dyDescent="0.25"/>
    <row r="167749" customFormat="1" x14ac:dyDescent="0.25"/>
    <row r="167750" customFormat="1" x14ac:dyDescent="0.25"/>
    <row r="167751" customFormat="1" x14ac:dyDescent="0.25"/>
    <row r="167752" customFormat="1" x14ac:dyDescent="0.25"/>
    <row r="167753" customFormat="1" x14ac:dyDescent="0.25"/>
    <row r="167754" customFormat="1" x14ac:dyDescent="0.25"/>
    <row r="167755" customFormat="1" x14ac:dyDescent="0.25"/>
    <row r="167756" customFormat="1" x14ac:dyDescent="0.25"/>
    <row r="167757" customFormat="1" x14ac:dyDescent="0.25"/>
    <row r="167758" customFormat="1" x14ac:dyDescent="0.25"/>
    <row r="167759" customFormat="1" x14ac:dyDescent="0.25"/>
    <row r="167760" customFormat="1" x14ac:dyDescent="0.25"/>
    <row r="167761" customFormat="1" x14ac:dyDescent="0.25"/>
    <row r="167762" customFormat="1" x14ac:dyDescent="0.25"/>
    <row r="167763" customFormat="1" x14ac:dyDescent="0.25"/>
    <row r="167764" customFormat="1" x14ac:dyDescent="0.25"/>
    <row r="167765" customFormat="1" x14ac:dyDescent="0.25"/>
    <row r="167766" customFormat="1" x14ac:dyDescent="0.25"/>
    <row r="167767" customFormat="1" x14ac:dyDescent="0.25"/>
    <row r="167768" customFormat="1" x14ac:dyDescent="0.25"/>
    <row r="167769" customFormat="1" x14ac:dyDescent="0.25"/>
    <row r="167770" customFormat="1" x14ac:dyDescent="0.25"/>
    <row r="167771" customFormat="1" x14ac:dyDescent="0.25"/>
    <row r="167772" customFormat="1" x14ac:dyDescent="0.25"/>
    <row r="167773" customFormat="1" x14ac:dyDescent="0.25"/>
    <row r="167774" customFormat="1" x14ac:dyDescent="0.25"/>
    <row r="167775" customFormat="1" x14ac:dyDescent="0.25"/>
    <row r="167776" customFormat="1" x14ac:dyDescent="0.25"/>
    <row r="167777" customFormat="1" x14ac:dyDescent="0.25"/>
    <row r="167778" customFormat="1" x14ac:dyDescent="0.25"/>
    <row r="167779" customFormat="1" x14ac:dyDescent="0.25"/>
    <row r="167780" customFormat="1" x14ac:dyDescent="0.25"/>
    <row r="167781" customFormat="1" x14ac:dyDescent="0.25"/>
    <row r="167782" customFormat="1" x14ac:dyDescent="0.25"/>
    <row r="167783" customFormat="1" x14ac:dyDescent="0.25"/>
    <row r="167784" customFormat="1" x14ac:dyDescent="0.25"/>
    <row r="167785" customFormat="1" x14ac:dyDescent="0.25"/>
    <row r="167786" customFormat="1" x14ac:dyDescent="0.25"/>
    <row r="167787" customFormat="1" x14ac:dyDescent="0.25"/>
    <row r="167788" customFormat="1" x14ac:dyDescent="0.25"/>
    <row r="167789" customFormat="1" x14ac:dyDescent="0.25"/>
    <row r="167790" customFormat="1" x14ac:dyDescent="0.25"/>
    <row r="167791" customFormat="1" x14ac:dyDescent="0.25"/>
    <row r="167792" customFormat="1" x14ac:dyDescent="0.25"/>
    <row r="167793" customFormat="1" x14ac:dyDescent="0.25"/>
    <row r="167794" customFormat="1" x14ac:dyDescent="0.25"/>
    <row r="167795" customFormat="1" x14ac:dyDescent="0.25"/>
    <row r="167796" customFormat="1" x14ac:dyDescent="0.25"/>
    <row r="167797" customFormat="1" x14ac:dyDescent="0.25"/>
    <row r="167798" customFormat="1" x14ac:dyDescent="0.25"/>
    <row r="167799" customFormat="1" x14ac:dyDescent="0.25"/>
    <row r="167800" customFormat="1" x14ac:dyDescent="0.25"/>
    <row r="167801" customFormat="1" x14ac:dyDescent="0.25"/>
    <row r="167802" customFormat="1" x14ac:dyDescent="0.25"/>
    <row r="167803" customFormat="1" x14ac:dyDescent="0.25"/>
    <row r="167804" customFormat="1" x14ac:dyDescent="0.25"/>
    <row r="167805" customFormat="1" x14ac:dyDescent="0.25"/>
    <row r="167806" customFormat="1" x14ac:dyDescent="0.25"/>
    <row r="167807" customFormat="1" x14ac:dyDescent="0.25"/>
    <row r="167808" customFormat="1" x14ac:dyDescent="0.25"/>
    <row r="167809" customFormat="1" x14ac:dyDescent="0.25"/>
    <row r="167810" customFormat="1" x14ac:dyDescent="0.25"/>
    <row r="167811" customFormat="1" x14ac:dyDescent="0.25"/>
    <row r="167812" customFormat="1" x14ac:dyDescent="0.25"/>
    <row r="167813" customFormat="1" x14ac:dyDescent="0.25"/>
    <row r="167814" customFormat="1" x14ac:dyDescent="0.25"/>
    <row r="167815" customFormat="1" x14ac:dyDescent="0.25"/>
    <row r="167816" customFormat="1" x14ac:dyDescent="0.25"/>
    <row r="167817" customFormat="1" x14ac:dyDescent="0.25"/>
    <row r="167818" customFormat="1" x14ac:dyDescent="0.25"/>
    <row r="167819" customFormat="1" x14ac:dyDescent="0.25"/>
    <row r="167820" customFormat="1" x14ac:dyDescent="0.25"/>
    <row r="167821" customFormat="1" x14ac:dyDescent="0.25"/>
    <row r="167822" customFormat="1" x14ac:dyDescent="0.25"/>
    <row r="167823" customFormat="1" x14ac:dyDescent="0.25"/>
    <row r="167824" customFormat="1" x14ac:dyDescent="0.25"/>
    <row r="167825" customFormat="1" x14ac:dyDescent="0.25"/>
    <row r="167826" customFormat="1" x14ac:dyDescent="0.25"/>
    <row r="167827" customFormat="1" x14ac:dyDescent="0.25"/>
    <row r="167828" customFormat="1" x14ac:dyDescent="0.25"/>
    <row r="167829" customFormat="1" x14ac:dyDescent="0.25"/>
    <row r="167830" customFormat="1" x14ac:dyDescent="0.25"/>
    <row r="167831" customFormat="1" x14ac:dyDescent="0.25"/>
    <row r="167832" customFormat="1" x14ac:dyDescent="0.25"/>
    <row r="167833" customFormat="1" x14ac:dyDescent="0.25"/>
    <row r="167834" customFormat="1" x14ac:dyDescent="0.25"/>
    <row r="167835" customFormat="1" x14ac:dyDescent="0.25"/>
    <row r="167836" customFormat="1" x14ac:dyDescent="0.25"/>
    <row r="167837" customFormat="1" x14ac:dyDescent="0.25"/>
    <row r="167838" customFormat="1" x14ac:dyDescent="0.25"/>
    <row r="167839" customFormat="1" x14ac:dyDescent="0.25"/>
    <row r="167840" customFormat="1" x14ac:dyDescent="0.25"/>
    <row r="167841" customFormat="1" x14ac:dyDescent="0.25"/>
    <row r="167842" customFormat="1" x14ac:dyDescent="0.25"/>
    <row r="167843" customFormat="1" x14ac:dyDescent="0.25"/>
    <row r="167844" customFormat="1" x14ac:dyDescent="0.25"/>
    <row r="167845" customFormat="1" x14ac:dyDescent="0.25"/>
    <row r="167846" customFormat="1" x14ac:dyDescent="0.25"/>
    <row r="167847" customFormat="1" x14ac:dyDescent="0.25"/>
    <row r="167848" customFormat="1" x14ac:dyDescent="0.25"/>
    <row r="167849" customFormat="1" x14ac:dyDescent="0.25"/>
    <row r="167850" customFormat="1" x14ac:dyDescent="0.25"/>
    <row r="167851" customFormat="1" x14ac:dyDescent="0.25"/>
    <row r="167852" customFormat="1" x14ac:dyDescent="0.25"/>
    <row r="167853" customFormat="1" x14ac:dyDescent="0.25"/>
    <row r="167854" customFormat="1" x14ac:dyDescent="0.25"/>
    <row r="167855" customFormat="1" x14ac:dyDescent="0.25"/>
    <row r="167856" customFormat="1" x14ac:dyDescent="0.25"/>
    <row r="167857" customFormat="1" x14ac:dyDescent="0.25"/>
    <row r="167858" customFormat="1" x14ac:dyDescent="0.25"/>
    <row r="167859" customFormat="1" x14ac:dyDescent="0.25"/>
    <row r="167860" customFormat="1" x14ac:dyDescent="0.25"/>
    <row r="167861" customFormat="1" x14ac:dyDescent="0.25"/>
    <row r="167862" customFormat="1" x14ac:dyDescent="0.25"/>
    <row r="167863" customFormat="1" x14ac:dyDescent="0.25"/>
    <row r="167864" customFormat="1" x14ac:dyDescent="0.25"/>
    <row r="167865" customFormat="1" x14ac:dyDescent="0.25"/>
    <row r="167866" customFormat="1" x14ac:dyDescent="0.25"/>
    <row r="167867" customFormat="1" x14ac:dyDescent="0.25"/>
    <row r="167868" customFormat="1" x14ac:dyDescent="0.25"/>
    <row r="167869" customFormat="1" x14ac:dyDescent="0.25"/>
    <row r="167870" customFormat="1" x14ac:dyDescent="0.25"/>
    <row r="167871" customFormat="1" x14ac:dyDescent="0.25"/>
    <row r="167872" customFormat="1" x14ac:dyDescent="0.25"/>
    <row r="167873" customFormat="1" x14ac:dyDescent="0.25"/>
    <row r="167874" customFormat="1" x14ac:dyDescent="0.25"/>
    <row r="167875" customFormat="1" x14ac:dyDescent="0.25"/>
    <row r="167876" customFormat="1" x14ac:dyDescent="0.25"/>
    <row r="167877" customFormat="1" x14ac:dyDescent="0.25"/>
    <row r="167878" customFormat="1" x14ac:dyDescent="0.25"/>
    <row r="167879" customFormat="1" x14ac:dyDescent="0.25"/>
    <row r="167880" customFormat="1" x14ac:dyDescent="0.25"/>
    <row r="167881" customFormat="1" x14ac:dyDescent="0.25"/>
    <row r="167882" customFormat="1" x14ac:dyDescent="0.25"/>
    <row r="167883" customFormat="1" x14ac:dyDescent="0.25"/>
    <row r="167884" customFormat="1" x14ac:dyDescent="0.25"/>
    <row r="167885" customFormat="1" x14ac:dyDescent="0.25"/>
    <row r="167886" customFormat="1" x14ac:dyDescent="0.25"/>
    <row r="167887" customFormat="1" x14ac:dyDescent="0.25"/>
    <row r="167888" customFormat="1" x14ac:dyDescent="0.25"/>
    <row r="167889" customFormat="1" x14ac:dyDescent="0.25"/>
    <row r="167890" customFormat="1" x14ac:dyDescent="0.25"/>
    <row r="167891" customFormat="1" x14ac:dyDescent="0.25"/>
    <row r="167892" customFormat="1" x14ac:dyDescent="0.25"/>
    <row r="167893" customFormat="1" x14ac:dyDescent="0.25"/>
    <row r="167894" customFormat="1" x14ac:dyDescent="0.25"/>
    <row r="167895" customFormat="1" x14ac:dyDescent="0.25"/>
    <row r="167896" customFormat="1" x14ac:dyDescent="0.25"/>
    <row r="167897" customFormat="1" x14ac:dyDescent="0.25"/>
    <row r="167898" customFormat="1" x14ac:dyDescent="0.25"/>
    <row r="167899" customFormat="1" x14ac:dyDescent="0.25"/>
    <row r="167900" customFormat="1" x14ac:dyDescent="0.25"/>
    <row r="167901" customFormat="1" x14ac:dyDescent="0.25"/>
    <row r="167902" customFormat="1" x14ac:dyDescent="0.25"/>
    <row r="167903" customFormat="1" x14ac:dyDescent="0.25"/>
    <row r="167904" customFormat="1" x14ac:dyDescent="0.25"/>
    <row r="167905" customFormat="1" x14ac:dyDescent="0.25"/>
    <row r="167906" customFormat="1" x14ac:dyDescent="0.25"/>
    <row r="167907" customFormat="1" x14ac:dyDescent="0.25"/>
    <row r="167908" customFormat="1" x14ac:dyDescent="0.25"/>
    <row r="167909" customFormat="1" x14ac:dyDescent="0.25"/>
    <row r="167910" customFormat="1" x14ac:dyDescent="0.25"/>
    <row r="167911" customFormat="1" x14ac:dyDescent="0.25"/>
    <row r="167912" customFormat="1" x14ac:dyDescent="0.25"/>
    <row r="167913" customFormat="1" x14ac:dyDescent="0.25"/>
    <row r="167914" customFormat="1" x14ac:dyDescent="0.25"/>
    <row r="167915" customFormat="1" x14ac:dyDescent="0.25"/>
    <row r="167916" customFormat="1" x14ac:dyDescent="0.25"/>
    <row r="167917" customFormat="1" x14ac:dyDescent="0.25"/>
    <row r="167918" customFormat="1" x14ac:dyDescent="0.25"/>
    <row r="167919" customFormat="1" x14ac:dyDescent="0.25"/>
    <row r="167920" customFormat="1" x14ac:dyDescent="0.25"/>
    <row r="167921" customFormat="1" x14ac:dyDescent="0.25"/>
    <row r="167922" customFormat="1" x14ac:dyDescent="0.25"/>
    <row r="167923" customFormat="1" x14ac:dyDescent="0.25"/>
    <row r="167924" customFormat="1" x14ac:dyDescent="0.25"/>
    <row r="167925" customFormat="1" x14ac:dyDescent="0.25"/>
    <row r="167926" customFormat="1" x14ac:dyDescent="0.25"/>
    <row r="167927" customFormat="1" x14ac:dyDescent="0.25"/>
    <row r="167928" customFormat="1" x14ac:dyDescent="0.25"/>
    <row r="167929" customFormat="1" x14ac:dyDescent="0.25"/>
    <row r="167930" customFormat="1" x14ac:dyDescent="0.25"/>
    <row r="167931" customFormat="1" x14ac:dyDescent="0.25"/>
    <row r="167932" customFormat="1" x14ac:dyDescent="0.25"/>
    <row r="167933" customFormat="1" x14ac:dyDescent="0.25"/>
    <row r="167934" customFormat="1" x14ac:dyDescent="0.25"/>
    <row r="167935" customFormat="1" x14ac:dyDescent="0.25"/>
    <row r="167936" customFormat="1" x14ac:dyDescent="0.25"/>
    <row r="167937" customFormat="1" x14ac:dyDescent="0.25"/>
    <row r="167938" customFormat="1" x14ac:dyDescent="0.25"/>
    <row r="167939" customFormat="1" x14ac:dyDescent="0.25"/>
    <row r="167940" customFormat="1" x14ac:dyDescent="0.25"/>
    <row r="167941" customFormat="1" x14ac:dyDescent="0.25"/>
    <row r="167942" customFormat="1" x14ac:dyDescent="0.25"/>
    <row r="167943" customFormat="1" x14ac:dyDescent="0.25"/>
    <row r="167944" customFormat="1" x14ac:dyDescent="0.25"/>
    <row r="167945" customFormat="1" x14ac:dyDescent="0.25"/>
    <row r="167946" customFormat="1" x14ac:dyDescent="0.25"/>
    <row r="167947" customFormat="1" x14ac:dyDescent="0.25"/>
    <row r="167948" customFormat="1" x14ac:dyDescent="0.25"/>
    <row r="167949" customFormat="1" x14ac:dyDescent="0.25"/>
    <row r="167950" customFormat="1" x14ac:dyDescent="0.25"/>
    <row r="167951" customFormat="1" x14ac:dyDescent="0.25"/>
    <row r="167952" customFormat="1" x14ac:dyDescent="0.25"/>
    <row r="167953" customFormat="1" x14ac:dyDescent="0.25"/>
    <row r="167954" customFormat="1" x14ac:dyDescent="0.25"/>
    <row r="167955" customFormat="1" x14ac:dyDescent="0.25"/>
    <row r="167956" customFormat="1" x14ac:dyDescent="0.25"/>
    <row r="167957" customFormat="1" x14ac:dyDescent="0.25"/>
    <row r="167958" customFormat="1" x14ac:dyDescent="0.25"/>
    <row r="167959" customFormat="1" x14ac:dyDescent="0.25"/>
    <row r="167960" customFormat="1" x14ac:dyDescent="0.25"/>
    <row r="167961" customFormat="1" x14ac:dyDescent="0.25"/>
    <row r="167962" customFormat="1" x14ac:dyDescent="0.25"/>
    <row r="167963" customFormat="1" x14ac:dyDescent="0.25"/>
    <row r="167964" customFormat="1" x14ac:dyDescent="0.25"/>
    <row r="167965" customFormat="1" x14ac:dyDescent="0.25"/>
    <row r="167966" customFormat="1" x14ac:dyDescent="0.25"/>
    <row r="167967" customFormat="1" x14ac:dyDescent="0.25"/>
    <row r="167968" customFormat="1" x14ac:dyDescent="0.25"/>
    <row r="167969" customFormat="1" x14ac:dyDescent="0.25"/>
    <row r="167970" customFormat="1" x14ac:dyDescent="0.25"/>
    <row r="167971" customFormat="1" x14ac:dyDescent="0.25"/>
    <row r="167972" customFormat="1" x14ac:dyDescent="0.25"/>
    <row r="167973" customFormat="1" x14ac:dyDescent="0.25"/>
    <row r="167974" customFormat="1" x14ac:dyDescent="0.25"/>
    <row r="167975" customFormat="1" x14ac:dyDescent="0.25"/>
    <row r="167976" customFormat="1" x14ac:dyDescent="0.25"/>
    <row r="167977" customFormat="1" x14ac:dyDescent="0.25"/>
    <row r="167978" customFormat="1" x14ac:dyDescent="0.25"/>
    <row r="167979" customFormat="1" x14ac:dyDescent="0.25"/>
    <row r="167980" customFormat="1" x14ac:dyDescent="0.25"/>
    <row r="167981" customFormat="1" x14ac:dyDescent="0.25"/>
    <row r="167982" customFormat="1" x14ac:dyDescent="0.25"/>
    <row r="167983" customFormat="1" x14ac:dyDescent="0.25"/>
    <row r="167984" customFormat="1" x14ac:dyDescent="0.25"/>
    <row r="167985" customFormat="1" x14ac:dyDescent="0.25"/>
    <row r="167986" customFormat="1" x14ac:dyDescent="0.25"/>
    <row r="167987" customFormat="1" x14ac:dyDescent="0.25"/>
    <row r="167988" customFormat="1" x14ac:dyDescent="0.25"/>
    <row r="167989" customFormat="1" x14ac:dyDescent="0.25"/>
    <row r="167990" customFormat="1" x14ac:dyDescent="0.25"/>
    <row r="167991" customFormat="1" x14ac:dyDescent="0.25"/>
    <row r="167992" customFormat="1" x14ac:dyDescent="0.25"/>
    <row r="167993" customFormat="1" x14ac:dyDescent="0.25"/>
    <row r="167994" customFormat="1" x14ac:dyDescent="0.25"/>
    <row r="167995" customFormat="1" x14ac:dyDescent="0.25"/>
    <row r="167996" customFormat="1" x14ac:dyDescent="0.25"/>
    <row r="167997" customFormat="1" x14ac:dyDescent="0.25"/>
    <row r="167998" customFormat="1" x14ac:dyDescent="0.25"/>
    <row r="167999" customFormat="1" x14ac:dyDescent="0.25"/>
    <row r="168000" customFormat="1" x14ac:dyDescent="0.25"/>
    <row r="168001" customFormat="1" x14ac:dyDescent="0.25"/>
    <row r="168002" customFormat="1" x14ac:dyDescent="0.25"/>
    <row r="168003" customFormat="1" x14ac:dyDescent="0.25"/>
    <row r="168004" customFormat="1" x14ac:dyDescent="0.25"/>
    <row r="168005" customFormat="1" x14ac:dyDescent="0.25"/>
    <row r="168006" customFormat="1" x14ac:dyDescent="0.25"/>
    <row r="168007" customFormat="1" x14ac:dyDescent="0.25"/>
    <row r="168008" customFormat="1" x14ac:dyDescent="0.25"/>
    <row r="168009" customFormat="1" x14ac:dyDescent="0.25"/>
    <row r="168010" customFormat="1" x14ac:dyDescent="0.25"/>
    <row r="168011" customFormat="1" x14ac:dyDescent="0.25"/>
    <row r="168012" customFormat="1" x14ac:dyDescent="0.25"/>
    <row r="168013" customFormat="1" x14ac:dyDescent="0.25"/>
    <row r="168014" customFormat="1" x14ac:dyDescent="0.25"/>
    <row r="168015" customFormat="1" x14ac:dyDescent="0.25"/>
    <row r="168016" customFormat="1" x14ac:dyDescent="0.25"/>
    <row r="168017" customFormat="1" x14ac:dyDescent="0.25"/>
    <row r="168018" customFormat="1" x14ac:dyDescent="0.25"/>
    <row r="168019" customFormat="1" x14ac:dyDescent="0.25"/>
    <row r="168020" customFormat="1" x14ac:dyDescent="0.25"/>
    <row r="168021" customFormat="1" x14ac:dyDescent="0.25"/>
    <row r="168022" customFormat="1" x14ac:dyDescent="0.25"/>
    <row r="168023" customFormat="1" x14ac:dyDescent="0.25"/>
    <row r="168024" customFormat="1" x14ac:dyDescent="0.25"/>
    <row r="168025" customFormat="1" x14ac:dyDescent="0.25"/>
    <row r="168026" customFormat="1" x14ac:dyDescent="0.25"/>
    <row r="168027" customFormat="1" x14ac:dyDescent="0.25"/>
    <row r="168028" customFormat="1" x14ac:dyDescent="0.25"/>
    <row r="168029" customFormat="1" x14ac:dyDescent="0.25"/>
    <row r="168030" customFormat="1" x14ac:dyDescent="0.25"/>
    <row r="168031" customFormat="1" x14ac:dyDescent="0.25"/>
    <row r="168032" customFormat="1" x14ac:dyDescent="0.25"/>
    <row r="168033" customFormat="1" x14ac:dyDescent="0.25"/>
    <row r="168034" customFormat="1" x14ac:dyDescent="0.25"/>
    <row r="168035" customFormat="1" x14ac:dyDescent="0.25"/>
    <row r="168036" customFormat="1" x14ac:dyDescent="0.25"/>
    <row r="168037" customFormat="1" x14ac:dyDescent="0.25"/>
    <row r="168038" customFormat="1" x14ac:dyDescent="0.25"/>
    <row r="168039" customFormat="1" x14ac:dyDescent="0.25"/>
    <row r="168040" customFormat="1" x14ac:dyDescent="0.25"/>
    <row r="168041" customFormat="1" x14ac:dyDescent="0.25"/>
    <row r="168042" customFormat="1" x14ac:dyDescent="0.25"/>
    <row r="168043" customFormat="1" x14ac:dyDescent="0.25"/>
    <row r="168044" customFormat="1" x14ac:dyDescent="0.25"/>
    <row r="168045" customFormat="1" x14ac:dyDescent="0.25"/>
    <row r="168046" customFormat="1" x14ac:dyDescent="0.25"/>
    <row r="168047" customFormat="1" x14ac:dyDescent="0.25"/>
    <row r="168048" customFormat="1" x14ac:dyDescent="0.25"/>
    <row r="168049" customFormat="1" x14ac:dyDescent="0.25"/>
    <row r="168050" customFormat="1" x14ac:dyDescent="0.25"/>
    <row r="168051" customFormat="1" x14ac:dyDescent="0.25"/>
    <row r="168052" customFormat="1" x14ac:dyDescent="0.25"/>
    <row r="168053" customFormat="1" x14ac:dyDescent="0.25"/>
    <row r="168054" customFormat="1" x14ac:dyDescent="0.25"/>
    <row r="168055" customFormat="1" x14ac:dyDescent="0.25"/>
    <row r="168056" customFormat="1" x14ac:dyDescent="0.25"/>
    <row r="168057" customFormat="1" x14ac:dyDescent="0.25"/>
    <row r="168058" customFormat="1" x14ac:dyDescent="0.25"/>
    <row r="168059" customFormat="1" x14ac:dyDescent="0.25"/>
    <row r="168060" customFormat="1" x14ac:dyDescent="0.25"/>
    <row r="168061" customFormat="1" x14ac:dyDescent="0.25"/>
    <row r="168062" customFormat="1" x14ac:dyDescent="0.25"/>
    <row r="168063" customFormat="1" x14ac:dyDescent="0.25"/>
    <row r="168064" customFormat="1" x14ac:dyDescent="0.25"/>
    <row r="168065" customFormat="1" x14ac:dyDescent="0.25"/>
    <row r="168066" customFormat="1" x14ac:dyDescent="0.25"/>
    <row r="168067" customFormat="1" x14ac:dyDescent="0.25"/>
    <row r="168068" customFormat="1" x14ac:dyDescent="0.25"/>
    <row r="168069" customFormat="1" x14ac:dyDescent="0.25"/>
    <row r="168070" customFormat="1" x14ac:dyDescent="0.25"/>
    <row r="168071" customFormat="1" x14ac:dyDescent="0.25"/>
    <row r="168072" customFormat="1" x14ac:dyDescent="0.25"/>
    <row r="168073" customFormat="1" x14ac:dyDescent="0.25"/>
    <row r="168074" customFormat="1" x14ac:dyDescent="0.25"/>
    <row r="168075" customFormat="1" x14ac:dyDescent="0.25"/>
    <row r="168076" customFormat="1" x14ac:dyDescent="0.25"/>
    <row r="168077" customFormat="1" x14ac:dyDescent="0.25"/>
    <row r="168078" customFormat="1" x14ac:dyDescent="0.25"/>
    <row r="168079" customFormat="1" x14ac:dyDescent="0.25"/>
    <row r="168080" customFormat="1" x14ac:dyDescent="0.25"/>
    <row r="168081" customFormat="1" x14ac:dyDescent="0.25"/>
    <row r="168082" customFormat="1" x14ac:dyDescent="0.25"/>
    <row r="168083" customFormat="1" x14ac:dyDescent="0.25"/>
    <row r="168084" customFormat="1" x14ac:dyDescent="0.25"/>
    <row r="168085" customFormat="1" x14ac:dyDescent="0.25"/>
    <row r="168086" customFormat="1" x14ac:dyDescent="0.25"/>
    <row r="168087" customFormat="1" x14ac:dyDescent="0.25"/>
    <row r="168088" customFormat="1" x14ac:dyDescent="0.25"/>
    <row r="168089" customFormat="1" x14ac:dyDescent="0.25"/>
    <row r="168090" customFormat="1" x14ac:dyDescent="0.25"/>
    <row r="168091" customFormat="1" x14ac:dyDescent="0.25"/>
    <row r="168092" customFormat="1" x14ac:dyDescent="0.25"/>
    <row r="168093" customFormat="1" x14ac:dyDescent="0.25"/>
    <row r="168094" customFormat="1" x14ac:dyDescent="0.25"/>
    <row r="168095" customFormat="1" x14ac:dyDescent="0.25"/>
    <row r="168096" customFormat="1" x14ac:dyDescent="0.25"/>
    <row r="168097" customFormat="1" x14ac:dyDescent="0.25"/>
    <row r="168098" customFormat="1" x14ac:dyDescent="0.25"/>
    <row r="168099" customFormat="1" x14ac:dyDescent="0.25"/>
    <row r="168100" customFormat="1" x14ac:dyDescent="0.25"/>
    <row r="168101" customFormat="1" x14ac:dyDescent="0.25"/>
    <row r="168102" customFormat="1" x14ac:dyDescent="0.25"/>
    <row r="168103" customFormat="1" x14ac:dyDescent="0.25"/>
    <row r="168104" customFormat="1" x14ac:dyDescent="0.25"/>
    <row r="168105" customFormat="1" x14ac:dyDescent="0.25"/>
    <row r="168106" customFormat="1" x14ac:dyDescent="0.25"/>
    <row r="168107" customFormat="1" x14ac:dyDescent="0.25"/>
    <row r="168108" customFormat="1" x14ac:dyDescent="0.25"/>
    <row r="168109" customFormat="1" x14ac:dyDescent="0.25"/>
    <row r="168110" customFormat="1" x14ac:dyDescent="0.25"/>
    <row r="168111" customFormat="1" x14ac:dyDescent="0.25"/>
    <row r="168112" customFormat="1" x14ac:dyDescent="0.25"/>
    <row r="168113" customFormat="1" x14ac:dyDescent="0.25"/>
    <row r="168114" customFormat="1" x14ac:dyDescent="0.25"/>
    <row r="168115" customFormat="1" x14ac:dyDescent="0.25"/>
    <row r="168116" customFormat="1" x14ac:dyDescent="0.25"/>
    <row r="168117" customFormat="1" x14ac:dyDescent="0.25"/>
    <row r="168118" customFormat="1" x14ac:dyDescent="0.25"/>
    <row r="168119" customFormat="1" x14ac:dyDescent="0.25"/>
    <row r="168120" customFormat="1" x14ac:dyDescent="0.25"/>
    <row r="168121" customFormat="1" x14ac:dyDescent="0.25"/>
    <row r="168122" customFormat="1" x14ac:dyDescent="0.25"/>
    <row r="168123" customFormat="1" x14ac:dyDescent="0.25"/>
    <row r="168124" customFormat="1" x14ac:dyDescent="0.25"/>
    <row r="168125" customFormat="1" x14ac:dyDescent="0.25"/>
    <row r="168126" customFormat="1" x14ac:dyDescent="0.25"/>
    <row r="168127" customFormat="1" x14ac:dyDescent="0.25"/>
    <row r="168128" customFormat="1" x14ac:dyDescent="0.25"/>
    <row r="168129" customFormat="1" x14ac:dyDescent="0.25"/>
    <row r="168130" customFormat="1" x14ac:dyDescent="0.25"/>
    <row r="168131" customFormat="1" x14ac:dyDescent="0.25"/>
    <row r="168132" customFormat="1" x14ac:dyDescent="0.25"/>
    <row r="168133" customFormat="1" x14ac:dyDescent="0.25"/>
    <row r="168134" customFormat="1" x14ac:dyDescent="0.25"/>
    <row r="168135" customFormat="1" x14ac:dyDescent="0.25"/>
    <row r="168136" customFormat="1" x14ac:dyDescent="0.25"/>
    <row r="168137" customFormat="1" x14ac:dyDescent="0.25"/>
    <row r="168138" customFormat="1" x14ac:dyDescent="0.25"/>
    <row r="168139" customFormat="1" x14ac:dyDescent="0.25"/>
    <row r="168140" customFormat="1" x14ac:dyDescent="0.25"/>
    <row r="168141" customFormat="1" x14ac:dyDescent="0.25"/>
    <row r="168142" customFormat="1" x14ac:dyDescent="0.25"/>
    <row r="168143" customFormat="1" x14ac:dyDescent="0.25"/>
    <row r="168144" customFormat="1" x14ac:dyDescent="0.25"/>
    <row r="168145" customFormat="1" x14ac:dyDescent="0.25"/>
    <row r="168146" customFormat="1" x14ac:dyDescent="0.25"/>
    <row r="168147" customFormat="1" x14ac:dyDescent="0.25"/>
    <row r="168148" customFormat="1" x14ac:dyDescent="0.25"/>
    <row r="168149" customFormat="1" x14ac:dyDescent="0.25"/>
    <row r="168150" customFormat="1" x14ac:dyDescent="0.25"/>
    <row r="168151" customFormat="1" x14ac:dyDescent="0.25"/>
    <row r="168152" customFormat="1" x14ac:dyDescent="0.25"/>
    <row r="168153" customFormat="1" x14ac:dyDescent="0.25"/>
    <row r="168154" customFormat="1" x14ac:dyDescent="0.25"/>
    <row r="168155" customFormat="1" x14ac:dyDescent="0.25"/>
    <row r="168156" customFormat="1" x14ac:dyDescent="0.25"/>
    <row r="168157" customFormat="1" x14ac:dyDescent="0.25"/>
    <row r="168158" customFormat="1" x14ac:dyDescent="0.25"/>
    <row r="168159" customFormat="1" x14ac:dyDescent="0.25"/>
    <row r="168160" customFormat="1" x14ac:dyDescent="0.25"/>
    <row r="168161" customFormat="1" x14ac:dyDescent="0.25"/>
    <row r="168162" customFormat="1" x14ac:dyDescent="0.25"/>
    <row r="168163" customFormat="1" x14ac:dyDescent="0.25"/>
    <row r="168164" customFormat="1" x14ac:dyDescent="0.25"/>
    <row r="168165" customFormat="1" x14ac:dyDescent="0.25"/>
    <row r="168166" customFormat="1" x14ac:dyDescent="0.25"/>
    <row r="168167" customFormat="1" x14ac:dyDescent="0.25"/>
    <row r="168168" customFormat="1" x14ac:dyDescent="0.25"/>
    <row r="168169" customFormat="1" x14ac:dyDescent="0.25"/>
    <row r="168170" customFormat="1" x14ac:dyDescent="0.25"/>
    <row r="168171" customFormat="1" x14ac:dyDescent="0.25"/>
    <row r="168172" customFormat="1" x14ac:dyDescent="0.25"/>
    <row r="168173" customFormat="1" x14ac:dyDescent="0.25"/>
    <row r="168174" customFormat="1" x14ac:dyDescent="0.25"/>
    <row r="168175" customFormat="1" x14ac:dyDescent="0.25"/>
    <row r="168176" customFormat="1" x14ac:dyDescent="0.25"/>
    <row r="168177" customFormat="1" x14ac:dyDescent="0.25"/>
    <row r="168178" customFormat="1" x14ac:dyDescent="0.25"/>
    <row r="168179" customFormat="1" x14ac:dyDescent="0.25"/>
    <row r="168180" customFormat="1" x14ac:dyDescent="0.25"/>
    <row r="168181" customFormat="1" x14ac:dyDescent="0.25"/>
    <row r="168182" customFormat="1" x14ac:dyDescent="0.25"/>
    <row r="168183" customFormat="1" x14ac:dyDescent="0.25"/>
    <row r="168184" customFormat="1" x14ac:dyDescent="0.25"/>
    <row r="168185" customFormat="1" x14ac:dyDescent="0.25"/>
    <row r="168186" customFormat="1" x14ac:dyDescent="0.25"/>
    <row r="168187" customFormat="1" x14ac:dyDescent="0.25"/>
    <row r="168188" customFormat="1" x14ac:dyDescent="0.25"/>
    <row r="168189" customFormat="1" x14ac:dyDescent="0.25"/>
    <row r="168190" customFormat="1" x14ac:dyDescent="0.25"/>
    <row r="168191" customFormat="1" x14ac:dyDescent="0.25"/>
    <row r="168192" customFormat="1" x14ac:dyDescent="0.25"/>
    <row r="168193" customFormat="1" x14ac:dyDescent="0.25"/>
    <row r="168194" customFormat="1" x14ac:dyDescent="0.25"/>
    <row r="168195" customFormat="1" x14ac:dyDescent="0.25"/>
    <row r="168196" customFormat="1" x14ac:dyDescent="0.25"/>
    <row r="168197" customFormat="1" x14ac:dyDescent="0.25"/>
    <row r="168198" customFormat="1" x14ac:dyDescent="0.25"/>
    <row r="168199" customFormat="1" x14ac:dyDescent="0.25"/>
    <row r="168200" customFormat="1" x14ac:dyDescent="0.25"/>
    <row r="168201" customFormat="1" x14ac:dyDescent="0.25"/>
    <row r="168202" customFormat="1" x14ac:dyDescent="0.25"/>
    <row r="168203" customFormat="1" x14ac:dyDescent="0.25"/>
    <row r="168204" customFormat="1" x14ac:dyDescent="0.25"/>
    <row r="168205" customFormat="1" x14ac:dyDescent="0.25"/>
    <row r="168206" customFormat="1" x14ac:dyDescent="0.25"/>
    <row r="168207" customFormat="1" x14ac:dyDescent="0.25"/>
    <row r="168208" customFormat="1" x14ac:dyDescent="0.25"/>
    <row r="168209" customFormat="1" x14ac:dyDescent="0.25"/>
    <row r="168210" customFormat="1" x14ac:dyDescent="0.25"/>
    <row r="168211" customFormat="1" x14ac:dyDescent="0.25"/>
    <row r="168212" customFormat="1" x14ac:dyDescent="0.25"/>
    <row r="168213" customFormat="1" x14ac:dyDescent="0.25"/>
    <row r="168214" customFormat="1" x14ac:dyDescent="0.25"/>
    <row r="168215" customFormat="1" x14ac:dyDescent="0.25"/>
    <row r="168216" customFormat="1" x14ac:dyDescent="0.25"/>
    <row r="168217" customFormat="1" x14ac:dyDescent="0.25"/>
    <row r="168218" customFormat="1" x14ac:dyDescent="0.25"/>
    <row r="168219" customFormat="1" x14ac:dyDescent="0.25"/>
    <row r="168220" customFormat="1" x14ac:dyDescent="0.25"/>
    <row r="168221" customFormat="1" x14ac:dyDescent="0.25"/>
    <row r="168222" customFormat="1" x14ac:dyDescent="0.25"/>
    <row r="168223" customFormat="1" x14ac:dyDescent="0.25"/>
    <row r="168224" customFormat="1" x14ac:dyDescent="0.25"/>
    <row r="168225" customFormat="1" x14ac:dyDescent="0.25"/>
    <row r="168226" customFormat="1" x14ac:dyDescent="0.25"/>
    <row r="168227" customFormat="1" x14ac:dyDescent="0.25"/>
    <row r="168228" customFormat="1" x14ac:dyDescent="0.25"/>
    <row r="168229" customFormat="1" x14ac:dyDescent="0.25"/>
    <row r="168230" customFormat="1" x14ac:dyDescent="0.25"/>
    <row r="168231" customFormat="1" x14ac:dyDescent="0.25"/>
    <row r="168232" customFormat="1" x14ac:dyDescent="0.25"/>
    <row r="168233" customFormat="1" x14ac:dyDescent="0.25"/>
    <row r="168234" customFormat="1" x14ac:dyDescent="0.25"/>
    <row r="168235" customFormat="1" x14ac:dyDescent="0.25"/>
    <row r="168236" customFormat="1" x14ac:dyDescent="0.25"/>
    <row r="168237" customFormat="1" x14ac:dyDescent="0.25"/>
    <row r="168238" customFormat="1" x14ac:dyDescent="0.25"/>
    <row r="168239" customFormat="1" x14ac:dyDescent="0.25"/>
    <row r="168240" customFormat="1" x14ac:dyDescent="0.25"/>
    <row r="168241" customFormat="1" x14ac:dyDescent="0.25"/>
    <row r="168242" customFormat="1" x14ac:dyDescent="0.25"/>
    <row r="168243" customFormat="1" x14ac:dyDescent="0.25"/>
    <row r="168244" customFormat="1" x14ac:dyDescent="0.25"/>
    <row r="168245" customFormat="1" x14ac:dyDescent="0.25"/>
    <row r="168246" customFormat="1" x14ac:dyDescent="0.25"/>
    <row r="168247" customFormat="1" x14ac:dyDescent="0.25"/>
    <row r="168248" customFormat="1" x14ac:dyDescent="0.25"/>
    <row r="168249" customFormat="1" x14ac:dyDescent="0.25"/>
    <row r="168250" customFormat="1" x14ac:dyDescent="0.25"/>
    <row r="168251" customFormat="1" x14ac:dyDescent="0.25"/>
    <row r="168252" customFormat="1" x14ac:dyDescent="0.25"/>
    <row r="168253" customFormat="1" x14ac:dyDescent="0.25"/>
    <row r="168254" customFormat="1" x14ac:dyDescent="0.25"/>
    <row r="168255" customFormat="1" x14ac:dyDescent="0.25"/>
    <row r="168256" customFormat="1" x14ac:dyDescent="0.25"/>
    <row r="168257" customFormat="1" x14ac:dyDescent="0.25"/>
    <row r="168258" customFormat="1" x14ac:dyDescent="0.25"/>
    <row r="168259" customFormat="1" x14ac:dyDescent="0.25"/>
    <row r="168260" customFormat="1" x14ac:dyDescent="0.25"/>
    <row r="168261" customFormat="1" x14ac:dyDescent="0.25"/>
    <row r="168262" customFormat="1" x14ac:dyDescent="0.25"/>
    <row r="168263" customFormat="1" x14ac:dyDescent="0.25"/>
    <row r="168264" customFormat="1" x14ac:dyDescent="0.25"/>
    <row r="168265" customFormat="1" x14ac:dyDescent="0.25"/>
    <row r="168266" customFormat="1" x14ac:dyDescent="0.25"/>
    <row r="168267" customFormat="1" x14ac:dyDescent="0.25"/>
    <row r="168268" customFormat="1" x14ac:dyDescent="0.25"/>
    <row r="168269" customFormat="1" x14ac:dyDescent="0.25"/>
    <row r="168270" customFormat="1" x14ac:dyDescent="0.25"/>
    <row r="168271" customFormat="1" x14ac:dyDescent="0.25"/>
    <row r="168272" customFormat="1" x14ac:dyDescent="0.25"/>
    <row r="168273" customFormat="1" x14ac:dyDescent="0.25"/>
    <row r="168274" customFormat="1" x14ac:dyDescent="0.25"/>
    <row r="168275" customFormat="1" x14ac:dyDescent="0.25"/>
    <row r="168276" customFormat="1" x14ac:dyDescent="0.25"/>
    <row r="168277" customFormat="1" x14ac:dyDescent="0.25"/>
    <row r="168278" customFormat="1" x14ac:dyDescent="0.25"/>
    <row r="168279" customFormat="1" x14ac:dyDescent="0.25"/>
    <row r="168280" customFormat="1" x14ac:dyDescent="0.25"/>
    <row r="168281" customFormat="1" x14ac:dyDescent="0.25"/>
    <row r="168282" customFormat="1" x14ac:dyDescent="0.25"/>
    <row r="168283" customFormat="1" x14ac:dyDescent="0.25"/>
    <row r="168284" customFormat="1" x14ac:dyDescent="0.25"/>
    <row r="168285" customFormat="1" x14ac:dyDescent="0.25"/>
    <row r="168286" customFormat="1" x14ac:dyDescent="0.25"/>
    <row r="168287" customFormat="1" x14ac:dyDescent="0.25"/>
    <row r="168288" customFormat="1" x14ac:dyDescent="0.25"/>
    <row r="168289" customFormat="1" x14ac:dyDescent="0.25"/>
    <row r="168290" customFormat="1" x14ac:dyDescent="0.25"/>
    <row r="168291" customFormat="1" x14ac:dyDescent="0.25"/>
    <row r="168292" customFormat="1" x14ac:dyDescent="0.25"/>
    <row r="168293" customFormat="1" x14ac:dyDescent="0.25"/>
    <row r="168294" customFormat="1" x14ac:dyDescent="0.25"/>
    <row r="168295" customFormat="1" x14ac:dyDescent="0.25"/>
    <row r="168296" customFormat="1" x14ac:dyDescent="0.25"/>
    <row r="168297" customFormat="1" x14ac:dyDescent="0.25"/>
    <row r="168298" customFormat="1" x14ac:dyDescent="0.25"/>
    <row r="168299" customFormat="1" x14ac:dyDescent="0.25"/>
    <row r="168300" customFormat="1" x14ac:dyDescent="0.25"/>
    <row r="168301" customFormat="1" x14ac:dyDescent="0.25"/>
    <row r="168302" customFormat="1" x14ac:dyDescent="0.25"/>
    <row r="168303" customFormat="1" x14ac:dyDescent="0.25"/>
    <row r="168304" customFormat="1" x14ac:dyDescent="0.25"/>
    <row r="168305" customFormat="1" x14ac:dyDescent="0.25"/>
    <row r="168306" customFormat="1" x14ac:dyDescent="0.25"/>
    <row r="168307" customFormat="1" x14ac:dyDescent="0.25"/>
    <row r="168308" customFormat="1" x14ac:dyDescent="0.25"/>
    <row r="168309" customFormat="1" x14ac:dyDescent="0.25"/>
    <row r="168310" customFormat="1" x14ac:dyDescent="0.25"/>
    <row r="168311" customFormat="1" x14ac:dyDescent="0.25"/>
    <row r="168312" customFormat="1" x14ac:dyDescent="0.25"/>
    <row r="168313" customFormat="1" x14ac:dyDescent="0.25"/>
    <row r="168314" customFormat="1" x14ac:dyDescent="0.25"/>
    <row r="168315" customFormat="1" x14ac:dyDescent="0.25"/>
    <row r="168316" customFormat="1" x14ac:dyDescent="0.25"/>
    <row r="168317" customFormat="1" x14ac:dyDescent="0.25"/>
    <row r="168318" customFormat="1" x14ac:dyDescent="0.25"/>
    <row r="168319" customFormat="1" x14ac:dyDescent="0.25"/>
    <row r="168320" customFormat="1" x14ac:dyDescent="0.25"/>
    <row r="168321" customFormat="1" x14ac:dyDescent="0.25"/>
    <row r="168322" customFormat="1" x14ac:dyDescent="0.25"/>
    <row r="168323" customFormat="1" x14ac:dyDescent="0.25"/>
    <row r="168324" customFormat="1" x14ac:dyDescent="0.25"/>
    <row r="168325" customFormat="1" x14ac:dyDescent="0.25"/>
    <row r="168326" customFormat="1" x14ac:dyDescent="0.25"/>
    <row r="168327" customFormat="1" x14ac:dyDescent="0.25"/>
    <row r="168328" customFormat="1" x14ac:dyDescent="0.25"/>
    <row r="168329" customFormat="1" x14ac:dyDescent="0.25"/>
    <row r="168330" customFormat="1" x14ac:dyDescent="0.25"/>
    <row r="168331" customFormat="1" x14ac:dyDescent="0.25"/>
    <row r="168332" customFormat="1" x14ac:dyDescent="0.25"/>
    <row r="168333" customFormat="1" x14ac:dyDescent="0.25"/>
    <row r="168334" customFormat="1" x14ac:dyDescent="0.25"/>
    <row r="168335" customFormat="1" x14ac:dyDescent="0.25"/>
    <row r="168336" customFormat="1" x14ac:dyDescent="0.25"/>
    <row r="168337" customFormat="1" x14ac:dyDescent="0.25"/>
    <row r="168338" customFormat="1" x14ac:dyDescent="0.25"/>
    <row r="168339" customFormat="1" x14ac:dyDescent="0.25"/>
    <row r="168340" customFormat="1" x14ac:dyDescent="0.25"/>
    <row r="168341" customFormat="1" x14ac:dyDescent="0.25"/>
    <row r="168342" customFormat="1" x14ac:dyDescent="0.25"/>
    <row r="168343" customFormat="1" x14ac:dyDescent="0.25"/>
    <row r="168344" customFormat="1" x14ac:dyDescent="0.25"/>
    <row r="168345" customFormat="1" x14ac:dyDescent="0.25"/>
    <row r="168346" customFormat="1" x14ac:dyDescent="0.25"/>
    <row r="168347" customFormat="1" x14ac:dyDescent="0.25"/>
    <row r="168348" customFormat="1" x14ac:dyDescent="0.25"/>
    <row r="168349" customFormat="1" x14ac:dyDescent="0.25"/>
    <row r="168350" customFormat="1" x14ac:dyDescent="0.25"/>
    <row r="168351" customFormat="1" x14ac:dyDescent="0.25"/>
    <row r="168352" customFormat="1" x14ac:dyDescent="0.25"/>
    <row r="168353" customFormat="1" x14ac:dyDescent="0.25"/>
    <row r="168354" customFormat="1" x14ac:dyDescent="0.25"/>
    <row r="168355" customFormat="1" x14ac:dyDescent="0.25"/>
    <row r="168356" customFormat="1" x14ac:dyDescent="0.25"/>
    <row r="168357" customFormat="1" x14ac:dyDescent="0.25"/>
    <row r="168358" customFormat="1" x14ac:dyDescent="0.25"/>
    <row r="168359" customFormat="1" x14ac:dyDescent="0.25"/>
    <row r="168360" customFormat="1" x14ac:dyDescent="0.25"/>
    <row r="168361" customFormat="1" x14ac:dyDescent="0.25"/>
    <row r="168362" customFormat="1" x14ac:dyDescent="0.25"/>
    <row r="168363" customFormat="1" x14ac:dyDescent="0.25"/>
    <row r="168364" customFormat="1" x14ac:dyDescent="0.25"/>
    <row r="168365" customFormat="1" x14ac:dyDescent="0.25"/>
    <row r="168366" customFormat="1" x14ac:dyDescent="0.25"/>
    <row r="168367" customFormat="1" x14ac:dyDescent="0.25"/>
    <row r="168368" customFormat="1" x14ac:dyDescent="0.25"/>
    <row r="168369" customFormat="1" x14ac:dyDescent="0.25"/>
    <row r="168370" customFormat="1" x14ac:dyDescent="0.25"/>
    <row r="168371" customFormat="1" x14ac:dyDescent="0.25"/>
    <row r="168372" customFormat="1" x14ac:dyDescent="0.25"/>
    <row r="168373" customFormat="1" x14ac:dyDescent="0.25"/>
    <row r="168374" customFormat="1" x14ac:dyDescent="0.25"/>
    <row r="168375" customFormat="1" x14ac:dyDescent="0.25"/>
    <row r="168376" customFormat="1" x14ac:dyDescent="0.25"/>
    <row r="168377" customFormat="1" x14ac:dyDescent="0.25"/>
    <row r="168378" customFormat="1" x14ac:dyDescent="0.25"/>
    <row r="168379" customFormat="1" x14ac:dyDescent="0.25"/>
    <row r="168380" customFormat="1" x14ac:dyDescent="0.25"/>
    <row r="168381" customFormat="1" x14ac:dyDescent="0.25"/>
    <row r="168382" customFormat="1" x14ac:dyDescent="0.25"/>
    <row r="168383" customFormat="1" x14ac:dyDescent="0.25"/>
    <row r="168384" customFormat="1" x14ac:dyDescent="0.25"/>
    <row r="168385" customFormat="1" x14ac:dyDescent="0.25"/>
    <row r="168386" customFormat="1" x14ac:dyDescent="0.25"/>
    <row r="168387" customFormat="1" x14ac:dyDescent="0.25"/>
    <row r="168388" customFormat="1" x14ac:dyDescent="0.25"/>
    <row r="168389" customFormat="1" x14ac:dyDescent="0.25"/>
    <row r="168390" customFormat="1" x14ac:dyDescent="0.25"/>
    <row r="168391" customFormat="1" x14ac:dyDescent="0.25"/>
    <row r="168392" customFormat="1" x14ac:dyDescent="0.25"/>
    <row r="168393" customFormat="1" x14ac:dyDescent="0.25"/>
    <row r="168394" customFormat="1" x14ac:dyDescent="0.25"/>
    <row r="168395" customFormat="1" x14ac:dyDescent="0.25"/>
    <row r="168396" customFormat="1" x14ac:dyDescent="0.25"/>
    <row r="168397" customFormat="1" x14ac:dyDescent="0.25"/>
    <row r="168398" customFormat="1" x14ac:dyDescent="0.25"/>
    <row r="168399" customFormat="1" x14ac:dyDescent="0.25"/>
    <row r="168400" customFormat="1" x14ac:dyDescent="0.25"/>
    <row r="168401" customFormat="1" x14ac:dyDescent="0.25"/>
    <row r="168402" customFormat="1" x14ac:dyDescent="0.25"/>
    <row r="168403" customFormat="1" x14ac:dyDescent="0.25"/>
    <row r="168404" customFormat="1" x14ac:dyDescent="0.25"/>
    <row r="168405" customFormat="1" x14ac:dyDescent="0.25"/>
    <row r="168406" customFormat="1" x14ac:dyDescent="0.25"/>
    <row r="168407" customFormat="1" x14ac:dyDescent="0.25"/>
    <row r="168408" customFormat="1" x14ac:dyDescent="0.25"/>
    <row r="168409" customFormat="1" x14ac:dyDescent="0.25"/>
    <row r="168410" customFormat="1" x14ac:dyDescent="0.25"/>
    <row r="168411" customFormat="1" x14ac:dyDescent="0.25"/>
    <row r="168412" customFormat="1" x14ac:dyDescent="0.25"/>
    <row r="168413" customFormat="1" x14ac:dyDescent="0.25"/>
    <row r="168414" customFormat="1" x14ac:dyDescent="0.25"/>
    <row r="168415" customFormat="1" x14ac:dyDescent="0.25"/>
    <row r="168416" customFormat="1" x14ac:dyDescent="0.25"/>
    <row r="168417" customFormat="1" x14ac:dyDescent="0.25"/>
    <row r="168418" customFormat="1" x14ac:dyDescent="0.25"/>
    <row r="168419" customFormat="1" x14ac:dyDescent="0.25"/>
    <row r="168420" customFormat="1" x14ac:dyDescent="0.25"/>
    <row r="168421" customFormat="1" x14ac:dyDescent="0.25"/>
    <row r="168422" customFormat="1" x14ac:dyDescent="0.25"/>
    <row r="168423" customFormat="1" x14ac:dyDescent="0.25"/>
    <row r="168424" customFormat="1" x14ac:dyDescent="0.25"/>
    <row r="168425" customFormat="1" x14ac:dyDescent="0.25"/>
    <row r="168426" customFormat="1" x14ac:dyDescent="0.25"/>
    <row r="168427" customFormat="1" x14ac:dyDescent="0.25"/>
    <row r="168428" customFormat="1" x14ac:dyDescent="0.25"/>
    <row r="168429" customFormat="1" x14ac:dyDescent="0.25"/>
    <row r="168430" customFormat="1" x14ac:dyDescent="0.25"/>
    <row r="168431" customFormat="1" x14ac:dyDescent="0.25"/>
    <row r="168432" customFormat="1" x14ac:dyDescent="0.25"/>
    <row r="168433" customFormat="1" x14ac:dyDescent="0.25"/>
    <row r="168434" customFormat="1" x14ac:dyDescent="0.25"/>
    <row r="168435" customFormat="1" x14ac:dyDescent="0.25"/>
    <row r="168436" customFormat="1" x14ac:dyDescent="0.25"/>
    <row r="168437" customFormat="1" x14ac:dyDescent="0.25"/>
    <row r="168438" customFormat="1" x14ac:dyDescent="0.25"/>
    <row r="168439" customFormat="1" x14ac:dyDescent="0.25"/>
    <row r="168440" customFormat="1" x14ac:dyDescent="0.25"/>
    <row r="168441" customFormat="1" x14ac:dyDescent="0.25"/>
    <row r="168442" customFormat="1" x14ac:dyDescent="0.25"/>
    <row r="168443" customFormat="1" x14ac:dyDescent="0.25"/>
    <row r="168444" customFormat="1" x14ac:dyDescent="0.25"/>
    <row r="168445" customFormat="1" x14ac:dyDescent="0.25"/>
    <row r="168446" customFormat="1" x14ac:dyDescent="0.25"/>
    <row r="168447" customFormat="1" x14ac:dyDescent="0.25"/>
    <row r="168448" customFormat="1" x14ac:dyDescent="0.25"/>
    <row r="168449" customFormat="1" x14ac:dyDescent="0.25"/>
    <row r="168450" customFormat="1" x14ac:dyDescent="0.25"/>
    <row r="168451" customFormat="1" x14ac:dyDescent="0.25"/>
    <row r="168452" customFormat="1" x14ac:dyDescent="0.25"/>
    <row r="168453" customFormat="1" x14ac:dyDescent="0.25"/>
    <row r="168454" customFormat="1" x14ac:dyDescent="0.25"/>
    <row r="168455" customFormat="1" x14ac:dyDescent="0.25"/>
    <row r="168456" customFormat="1" x14ac:dyDescent="0.25"/>
    <row r="168457" customFormat="1" x14ac:dyDescent="0.25"/>
    <row r="168458" customFormat="1" x14ac:dyDescent="0.25"/>
    <row r="168459" customFormat="1" x14ac:dyDescent="0.25"/>
    <row r="168460" customFormat="1" x14ac:dyDescent="0.25"/>
    <row r="168461" customFormat="1" x14ac:dyDescent="0.25"/>
    <row r="168462" customFormat="1" x14ac:dyDescent="0.25"/>
    <row r="168463" customFormat="1" x14ac:dyDescent="0.25"/>
    <row r="168464" customFormat="1" x14ac:dyDescent="0.25"/>
    <row r="168465" customFormat="1" x14ac:dyDescent="0.25"/>
    <row r="168466" customFormat="1" x14ac:dyDescent="0.25"/>
    <row r="168467" customFormat="1" x14ac:dyDescent="0.25"/>
    <row r="168468" customFormat="1" x14ac:dyDescent="0.25"/>
    <row r="168469" customFormat="1" x14ac:dyDescent="0.25"/>
    <row r="168470" customFormat="1" x14ac:dyDescent="0.25"/>
    <row r="168471" customFormat="1" x14ac:dyDescent="0.25"/>
    <row r="168472" customFormat="1" x14ac:dyDescent="0.25"/>
    <row r="168473" customFormat="1" x14ac:dyDescent="0.25"/>
    <row r="168474" customFormat="1" x14ac:dyDescent="0.25"/>
    <row r="168475" customFormat="1" x14ac:dyDescent="0.25"/>
    <row r="168476" customFormat="1" x14ac:dyDescent="0.25"/>
    <row r="168477" customFormat="1" x14ac:dyDescent="0.25"/>
    <row r="168478" customFormat="1" x14ac:dyDescent="0.25"/>
    <row r="168479" customFormat="1" x14ac:dyDescent="0.25"/>
    <row r="168480" customFormat="1" x14ac:dyDescent="0.25"/>
    <row r="168481" customFormat="1" x14ac:dyDescent="0.25"/>
    <row r="168482" customFormat="1" x14ac:dyDescent="0.25"/>
    <row r="168483" customFormat="1" x14ac:dyDescent="0.25"/>
    <row r="168484" customFormat="1" x14ac:dyDescent="0.25"/>
    <row r="168485" customFormat="1" x14ac:dyDescent="0.25"/>
    <row r="168486" customFormat="1" x14ac:dyDescent="0.25"/>
    <row r="168487" customFormat="1" x14ac:dyDescent="0.25"/>
    <row r="168488" customFormat="1" x14ac:dyDescent="0.25"/>
    <row r="168489" customFormat="1" x14ac:dyDescent="0.25"/>
    <row r="168490" customFormat="1" x14ac:dyDescent="0.25"/>
    <row r="168491" customFormat="1" x14ac:dyDescent="0.25"/>
    <row r="168492" customFormat="1" x14ac:dyDescent="0.25"/>
    <row r="168493" customFormat="1" x14ac:dyDescent="0.25"/>
    <row r="168494" customFormat="1" x14ac:dyDescent="0.25"/>
    <row r="168495" customFormat="1" x14ac:dyDescent="0.25"/>
    <row r="168496" customFormat="1" x14ac:dyDescent="0.25"/>
    <row r="168497" customFormat="1" x14ac:dyDescent="0.25"/>
    <row r="168498" customFormat="1" x14ac:dyDescent="0.25"/>
    <row r="168499" customFormat="1" x14ac:dyDescent="0.25"/>
    <row r="168500" customFormat="1" x14ac:dyDescent="0.25"/>
    <row r="168501" customFormat="1" x14ac:dyDescent="0.25"/>
    <row r="168502" customFormat="1" x14ac:dyDescent="0.25"/>
    <row r="168503" customFormat="1" x14ac:dyDescent="0.25"/>
    <row r="168504" customFormat="1" x14ac:dyDescent="0.25"/>
    <row r="168505" customFormat="1" x14ac:dyDescent="0.25"/>
    <row r="168506" customFormat="1" x14ac:dyDescent="0.25"/>
    <row r="168507" customFormat="1" x14ac:dyDescent="0.25"/>
    <row r="168508" customFormat="1" x14ac:dyDescent="0.25"/>
    <row r="168509" customFormat="1" x14ac:dyDescent="0.25"/>
    <row r="168510" customFormat="1" x14ac:dyDescent="0.25"/>
    <row r="168511" customFormat="1" x14ac:dyDescent="0.25"/>
    <row r="168512" customFormat="1" x14ac:dyDescent="0.25"/>
    <row r="168513" customFormat="1" x14ac:dyDescent="0.25"/>
    <row r="168514" customFormat="1" x14ac:dyDescent="0.25"/>
    <row r="168515" customFormat="1" x14ac:dyDescent="0.25"/>
    <row r="168516" customFormat="1" x14ac:dyDescent="0.25"/>
    <row r="168517" customFormat="1" x14ac:dyDescent="0.25"/>
    <row r="168518" customFormat="1" x14ac:dyDescent="0.25"/>
    <row r="168519" customFormat="1" x14ac:dyDescent="0.25"/>
    <row r="168520" customFormat="1" x14ac:dyDescent="0.25"/>
    <row r="168521" customFormat="1" x14ac:dyDescent="0.25"/>
    <row r="168522" customFormat="1" x14ac:dyDescent="0.25"/>
    <row r="168523" customFormat="1" x14ac:dyDescent="0.25"/>
    <row r="168524" customFormat="1" x14ac:dyDescent="0.25"/>
    <row r="168525" customFormat="1" x14ac:dyDescent="0.25"/>
    <row r="168526" customFormat="1" x14ac:dyDescent="0.25"/>
    <row r="168527" customFormat="1" x14ac:dyDescent="0.25"/>
    <row r="168528" customFormat="1" x14ac:dyDescent="0.25"/>
    <row r="168529" customFormat="1" x14ac:dyDescent="0.25"/>
    <row r="168530" customFormat="1" x14ac:dyDescent="0.25"/>
    <row r="168531" customFormat="1" x14ac:dyDescent="0.25"/>
    <row r="168532" customFormat="1" x14ac:dyDescent="0.25"/>
    <row r="168533" customFormat="1" x14ac:dyDescent="0.25"/>
    <row r="168534" customFormat="1" x14ac:dyDescent="0.25"/>
    <row r="168535" customFormat="1" x14ac:dyDescent="0.25"/>
    <row r="168536" customFormat="1" x14ac:dyDescent="0.25"/>
    <row r="168537" customFormat="1" x14ac:dyDescent="0.25"/>
    <row r="168538" customFormat="1" x14ac:dyDescent="0.25"/>
    <row r="168539" customFormat="1" x14ac:dyDescent="0.25"/>
    <row r="168540" customFormat="1" x14ac:dyDescent="0.25"/>
    <row r="168541" customFormat="1" x14ac:dyDescent="0.25"/>
    <row r="168542" customFormat="1" x14ac:dyDescent="0.25"/>
    <row r="168543" customFormat="1" x14ac:dyDescent="0.25"/>
    <row r="168544" customFormat="1" x14ac:dyDescent="0.25"/>
    <row r="168545" customFormat="1" x14ac:dyDescent="0.25"/>
    <row r="168546" customFormat="1" x14ac:dyDescent="0.25"/>
    <row r="168547" customFormat="1" x14ac:dyDescent="0.25"/>
    <row r="168548" customFormat="1" x14ac:dyDescent="0.25"/>
    <row r="168549" customFormat="1" x14ac:dyDescent="0.25"/>
    <row r="168550" customFormat="1" x14ac:dyDescent="0.25"/>
    <row r="168551" customFormat="1" x14ac:dyDescent="0.25"/>
    <row r="168552" customFormat="1" x14ac:dyDescent="0.25"/>
    <row r="168553" customFormat="1" x14ac:dyDescent="0.25"/>
    <row r="168554" customFormat="1" x14ac:dyDescent="0.25"/>
    <row r="168555" customFormat="1" x14ac:dyDescent="0.25"/>
    <row r="168556" customFormat="1" x14ac:dyDescent="0.25"/>
    <row r="168557" customFormat="1" x14ac:dyDescent="0.25"/>
    <row r="168558" customFormat="1" x14ac:dyDescent="0.25"/>
    <row r="168559" customFormat="1" x14ac:dyDescent="0.25"/>
    <row r="168560" customFormat="1" x14ac:dyDescent="0.25"/>
    <row r="168561" customFormat="1" x14ac:dyDescent="0.25"/>
    <row r="168562" customFormat="1" x14ac:dyDescent="0.25"/>
    <row r="168563" customFormat="1" x14ac:dyDescent="0.25"/>
    <row r="168564" customFormat="1" x14ac:dyDescent="0.25"/>
    <row r="168565" customFormat="1" x14ac:dyDescent="0.25"/>
    <row r="168566" customFormat="1" x14ac:dyDescent="0.25"/>
    <row r="168567" customFormat="1" x14ac:dyDescent="0.25"/>
    <row r="168568" customFormat="1" x14ac:dyDescent="0.25"/>
    <row r="168569" customFormat="1" x14ac:dyDescent="0.25"/>
    <row r="168570" customFormat="1" x14ac:dyDescent="0.25"/>
    <row r="168571" customFormat="1" x14ac:dyDescent="0.25"/>
    <row r="168572" customFormat="1" x14ac:dyDescent="0.25"/>
    <row r="168573" customFormat="1" x14ac:dyDescent="0.25"/>
    <row r="168574" customFormat="1" x14ac:dyDescent="0.25"/>
    <row r="168575" customFormat="1" x14ac:dyDescent="0.25"/>
    <row r="168576" customFormat="1" x14ac:dyDescent="0.25"/>
    <row r="168577" customFormat="1" x14ac:dyDescent="0.25"/>
    <row r="168578" customFormat="1" x14ac:dyDescent="0.25"/>
    <row r="168579" customFormat="1" x14ac:dyDescent="0.25"/>
    <row r="168580" customFormat="1" x14ac:dyDescent="0.25"/>
    <row r="168581" customFormat="1" x14ac:dyDescent="0.25"/>
    <row r="168582" customFormat="1" x14ac:dyDescent="0.25"/>
    <row r="168583" customFormat="1" x14ac:dyDescent="0.25"/>
    <row r="168584" customFormat="1" x14ac:dyDescent="0.25"/>
    <row r="168585" customFormat="1" x14ac:dyDescent="0.25"/>
    <row r="168586" customFormat="1" x14ac:dyDescent="0.25"/>
    <row r="168587" customFormat="1" x14ac:dyDescent="0.25"/>
    <row r="168588" customFormat="1" x14ac:dyDescent="0.25"/>
    <row r="168589" customFormat="1" x14ac:dyDescent="0.25"/>
    <row r="168590" customFormat="1" x14ac:dyDescent="0.25"/>
    <row r="168591" customFormat="1" x14ac:dyDescent="0.25"/>
    <row r="168592" customFormat="1" x14ac:dyDescent="0.25"/>
    <row r="168593" customFormat="1" x14ac:dyDescent="0.25"/>
    <row r="168594" customFormat="1" x14ac:dyDescent="0.25"/>
    <row r="168595" customFormat="1" x14ac:dyDescent="0.25"/>
    <row r="168596" customFormat="1" x14ac:dyDescent="0.25"/>
    <row r="168597" customFormat="1" x14ac:dyDescent="0.25"/>
    <row r="168598" customFormat="1" x14ac:dyDescent="0.25"/>
    <row r="168599" customFormat="1" x14ac:dyDescent="0.25"/>
    <row r="168600" customFormat="1" x14ac:dyDescent="0.25"/>
    <row r="168601" customFormat="1" x14ac:dyDescent="0.25"/>
    <row r="168602" customFormat="1" x14ac:dyDescent="0.25"/>
    <row r="168603" customFormat="1" x14ac:dyDescent="0.25"/>
    <row r="168604" customFormat="1" x14ac:dyDescent="0.25"/>
    <row r="168605" customFormat="1" x14ac:dyDescent="0.25"/>
    <row r="168606" customFormat="1" x14ac:dyDescent="0.25"/>
    <row r="168607" customFormat="1" x14ac:dyDescent="0.25"/>
    <row r="168608" customFormat="1" x14ac:dyDescent="0.25"/>
    <row r="168609" customFormat="1" x14ac:dyDescent="0.25"/>
    <row r="168610" customFormat="1" x14ac:dyDescent="0.25"/>
    <row r="168611" customFormat="1" x14ac:dyDescent="0.25"/>
    <row r="168612" customFormat="1" x14ac:dyDescent="0.25"/>
    <row r="168613" customFormat="1" x14ac:dyDescent="0.25"/>
    <row r="168614" customFormat="1" x14ac:dyDescent="0.25"/>
    <row r="168615" customFormat="1" x14ac:dyDescent="0.25"/>
    <row r="168616" customFormat="1" x14ac:dyDescent="0.25"/>
    <row r="168617" customFormat="1" x14ac:dyDescent="0.25"/>
    <row r="168618" customFormat="1" x14ac:dyDescent="0.25"/>
    <row r="168619" customFormat="1" x14ac:dyDescent="0.25"/>
    <row r="168620" customFormat="1" x14ac:dyDescent="0.25"/>
    <row r="168621" customFormat="1" x14ac:dyDescent="0.25"/>
    <row r="168622" customFormat="1" x14ac:dyDescent="0.25"/>
    <row r="168623" customFormat="1" x14ac:dyDescent="0.25"/>
    <row r="168624" customFormat="1" x14ac:dyDescent="0.25"/>
    <row r="168625" customFormat="1" x14ac:dyDescent="0.25"/>
    <row r="168626" customFormat="1" x14ac:dyDescent="0.25"/>
    <row r="168627" customFormat="1" x14ac:dyDescent="0.25"/>
    <row r="168628" customFormat="1" x14ac:dyDescent="0.25"/>
    <row r="168629" customFormat="1" x14ac:dyDescent="0.25"/>
    <row r="168630" customFormat="1" x14ac:dyDescent="0.25"/>
    <row r="168631" customFormat="1" x14ac:dyDescent="0.25"/>
    <row r="168632" customFormat="1" x14ac:dyDescent="0.25"/>
    <row r="168633" customFormat="1" x14ac:dyDescent="0.25"/>
    <row r="168634" customFormat="1" x14ac:dyDescent="0.25"/>
    <row r="168635" customFormat="1" x14ac:dyDescent="0.25"/>
    <row r="168636" customFormat="1" x14ac:dyDescent="0.25"/>
    <row r="168637" customFormat="1" x14ac:dyDescent="0.25"/>
    <row r="168638" customFormat="1" x14ac:dyDescent="0.25"/>
    <row r="168639" customFormat="1" x14ac:dyDescent="0.25"/>
    <row r="168640" customFormat="1" x14ac:dyDescent="0.25"/>
    <row r="168641" customFormat="1" x14ac:dyDescent="0.25"/>
    <row r="168642" customFormat="1" x14ac:dyDescent="0.25"/>
    <row r="168643" customFormat="1" x14ac:dyDescent="0.25"/>
    <row r="168644" customFormat="1" x14ac:dyDescent="0.25"/>
    <row r="168645" customFormat="1" x14ac:dyDescent="0.25"/>
    <row r="168646" customFormat="1" x14ac:dyDescent="0.25"/>
    <row r="168647" customFormat="1" x14ac:dyDescent="0.25"/>
    <row r="168648" customFormat="1" x14ac:dyDescent="0.25"/>
    <row r="168649" customFormat="1" x14ac:dyDescent="0.25"/>
    <row r="168650" customFormat="1" x14ac:dyDescent="0.25"/>
    <row r="168651" customFormat="1" x14ac:dyDescent="0.25"/>
    <row r="168652" customFormat="1" x14ac:dyDescent="0.25"/>
    <row r="168653" customFormat="1" x14ac:dyDescent="0.25"/>
    <row r="168654" customFormat="1" x14ac:dyDescent="0.25"/>
    <row r="168655" customFormat="1" x14ac:dyDescent="0.25"/>
    <row r="168656" customFormat="1" x14ac:dyDescent="0.25"/>
    <row r="168657" customFormat="1" x14ac:dyDescent="0.25"/>
    <row r="168658" customFormat="1" x14ac:dyDescent="0.25"/>
    <row r="168659" customFormat="1" x14ac:dyDescent="0.25"/>
    <row r="168660" customFormat="1" x14ac:dyDescent="0.25"/>
    <row r="168661" customFormat="1" x14ac:dyDescent="0.25"/>
    <row r="168662" customFormat="1" x14ac:dyDescent="0.25"/>
    <row r="168663" customFormat="1" x14ac:dyDescent="0.25"/>
    <row r="168664" customFormat="1" x14ac:dyDescent="0.25"/>
    <row r="168665" customFormat="1" x14ac:dyDescent="0.25"/>
    <row r="168666" customFormat="1" x14ac:dyDescent="0.25"/>
    <row r="168667" customFormat="1" x14ac:dyDescent="0.25"/>
    <row r="168668" customFormat="1" x14ac:dyDescent="0.25"/>
    <row r="168669" customFormat="1" x14ac:dyDescent="0.25"/>
    <row r="168670" customFormat="1" x14ac:dyDescent="0.25"/>
    <row r="168671" customFormat="1" x14ac:dyDescent="0.25"/>
    <row r="168672" customFormat="1" x14ac:dyDescent="0.25"/>
    <row r="168673" customFormat="1" x14ac:dyDescent="0.25"/>
    <row r="168674" customFormat="1" x14ac:dyDescent="0.25"/>
    <row r="168675" customFormat="1" x14ac:dyDescent="0.25"/>
    <row r="168676" customFormat="1" x14ac:dyDescent="0.25"/>
    <row r="168677" customFormat="1" x14ac:dyDescent="0.25"/>
    <row r="168678" customFormat="1" x14ac:dyDescent="0.25"/>
    <row r="168679" customFormat="1" x14ac:dyDescent="0.25"/>
    <row r="168680" customFormat="1" x14ac:dyDescent="0.25"/>
    <row r="168681" customFormat="1" x14ac:dyDescent="0.25"/>
    <row r="168682" customFormat="1" x14ac:dyDescent="0.25"/>
    <row r="168683" customFormat="1" x14ac:dyDescent="0.25"/>
    <row r="168684" customFormat="1" x14ac:dyDescent="0.25"/>
    <row r="168685" customFormat="1" x14ac:dyDescent="0.25"/>
    <row r="168686" customFormat="1" x14ac:dyDescent="0.25"/>
    <row r="168687" customFormat="1" x14ac:dyDescent="0.25"/>
    <row r="168688" customFormat="1" x14ac:dyDescent="0.25"/>
    <row r="168689" customFormat="1" x14ac:dyDescent="0.25"/>
    <row r="168690" customFormat="1" x14ac:dyDescent="0.25"/>
    <row r="168691" customFormat="1" x14ac:dyDescent="0.25"/>
    <row r="168692" customFormat="1" x14ac:dyDescent="0.25"/>
    <row r="168693" customFormat="1" x14ac:dyDescent="0.25"/>
    <row r="168694" customFormat="1" x14ac:dyDescent="0.25"/>
    <row r="168695" customFormat="1" x14ac:dyDescent="0.25"/>
    <row r="168696" customFormat="1" x14ac:dyDescent="0.25"/>
    <row r="168697" customFormat="1" x14ac:dyDescent="0.25"/>
    <row r="168698" customFormat="1" x14ac:dyDescent="0.25"/>
    <row r="168699" customFormat="1" x14ac:dyDescent="0.25"/>
    <row r="168700" customFormat="1" x14ac:dyDescent="0.25"/>
    <row r="168701" customFormat="1" x14ac:dyDescent="0.25"/>
    <row r="168702" customFormat="1" x14ac:dyDescent="0.25"/>
    <row r="168703" customFormat="1" x14ac:dyDescent="0.25"/>
    <row r="168704" customFormat="1" x14ac:dyDescent="0.25"/>
    <row r="168705" customFormat="1" x14ac:dyDescent="0.25"/>
    <row r="168706" customFormat="1" x14ac:dyDescent="0.25"/>
    <row r="168707" customFormat="1" x14ac:dyDescent="0.25"/>
    <row r="168708" customFormat="1" x14ac:dyDescent="0.25"/>
    <row r="168709" customFormat="1" x14ac:dyDescent="0.25"/>
    <row r="168710" customFormat="1" x14ac:dyDescent="0.25"/>
    <row r="168711" customFormat="1" x14ac:dyDescent="0.25"/>
    <row r="168712" customFormat="1" x14ac:dyDescent="0.25"/>
    <row r="168713" customFormat="1" x14ac:dyDescent="0.25"/>
    <row r="168714" customFormat="1" x14ac:dyDescent="0.25"/>
    <row r="168715" customFormat="1" x14ac:dyDescent="0.25"/>
    <row r="168716" customFormat="1" x14ac:dyDescent="0.25"/>
    <row r="168717" customFormat="1" x14ac:dyDescent="0.25"/>
    <row r="168718" customFormat="1" x14ac:dyDescent="0.25"/>
    <row r="168719" customFormat="1" x14ac:dyDescent="0.25"/>
    <row r="168720" customFormat="1" x14ac:dyDescent="0.25"/>
    <row r="168721" customFormat="1" x14ac:dyDescent="0.25"/>
    <row r="168722" customFormat="1" x14ac:dyDescent="0.25"/>
    <row r="168723" customFormat="1" x14ac:dyDescent="0.25"/>
    <row r="168724" customFormat="1" x14ac:dyDescent="0.25"/>
    <row r="168725" customFormat="1" x14ac:dyDescent="0.25"/>
    <row r="168726" customFormat="1" x14ac:dyDescent="0.25"/>
    <row r="168727" customFormat="1" x14ac:dyDescent="0.25"/>
    <row r="168728" customFormat="1" x14ac:dyDescent="0.25"/>
    <row r="168729" customFormat="1" x14ac:dyDescent="0.25"/>
    <row r="168730" customFormat="1" x14ac:dyDescent="0.25"/>
    <row r="168731" customFormat="1" x14ac:dyDescent="0.25"/>
    <row r="168732" customFormat="1" x14ac:dyDescent="0.25"/>
    <row r="168733" customFormat="1" x14ac:dyDescent="0.25"/>
    <row r="168734" customFormat="1" x14ac:dyDescent="0.25"/>
    <row r="168735" customFormat="1" x14ac:dyDescent="0.25"/>
    <row r="168736" customFormat="1" x14ac:dyDescent="0.25"/>
    <row r="168737" customFormat="1" x14ac:dyDescent="0.25"/>
    <row r="168738" customFormat="1" x14ac:dyDescent="0.25"/>
    <row r="168739" customFormat="1" x14ac:dyDescent="0.25"/>
    <row r="168740" customFormat="1" x14ac:dyDescent="0.25"/>
    <row r="168741" customFormat="1" x14ac:dyDescent="0.25"/>
    <row r="168742" customFormat="1" x14ac:dyDescent="0.25"/>
    <row r="168743" customFormat="1" x14ac:dyDescent="0.25"/>
    <row r="168744" customFormat="1" x14ac:dyDescent="0.25"/>
    <row r="168745" customFormat="1" x14ac:dyDescent="0.25"/>
    <row r="168746" customFormat="1" x14ac:dyDescent="0.25"/>
    <row r="168747" customFormat="1" x14ac:dyDescent="0.25"/>
    <row r="168748" customFormat="1" x14ac:dyDescent="0.25"/>
    <row r="168749" customFormat="1" x14ac:dyDescent="0.25"/>
    <row r="168750" customFormat="1" x14ac:dyDescent="0.25"/>
    <row r="168751" customFormat="1" x14ac:dyDescent="0.25"/>
    <row r="168752" customFormat="1" x14ac:dyDescent="0.25"/>
    <row r="168753" customFormat="1" x14ac:dyDescent="0.25"/>
    <row r="168754" customFormat="1" x14ac:dyDescent="0.25"/>
    <row r="168755" customFormat="1" x14ac:dyDescent="0.25"/>
    <row r="168756" customFormat="1" x14ac:dyDescent="0.25"/>
    <row r="168757" customFormat="1" x14ac:dyDescent="0.25"/>
    <row r="168758" customFormat="1" x14ac:dyDescent="0.25"/>
    <row r="168759" customFormat="1" x14ac:dyDescent="0.25"/>
    <row r="168760" customFormat="1" x14ac:dyDescent="0.25"/>
    <row r="168761" customFormat="1" x14ac:dyDescent="0.25"/>
    <row r="168762" customFormat="1" x14ac:dyDescent="0.25"/>
    <row r="168763" customFormat="1" x14ac:dyDescent="0.25"/>
    <row r="168764" customFormat="1" x14ac:dyDescent="0.25"/>
    <row r="168765" customFormat="1" x14ac:dyDescent="0.25"/>
    <row r="168766" customFormat="1" x14ac:dyDescent="0.25"/>
    <row r="168767" customFormat="1" x14ac:dyDescent="0.25"/>
    <row r="168768" customFormat="1" x14ac:dyDescent="0.25"/>
    <row r="168769" customFormat="1" x14ac:dyDescent="0.25"/>
    <row r="168770" customFormat="1" x14ac:dyDescent="0.25"/>
    <row r="168771" customFormat="1" x14ac:dyDescent="0.25"/>
    <row r="168772" customFormat="1" x14ac:dyDescent="0.25"/>
    <row r="168773" customFormat="1" x14ac:dyDescent="0.25"/>
    <row r="168774" customFormat="1" x14ac:dyDescent="0.25"/>
    <row r="168775" customFormat="1" x14ac:dyDescent="0.25"/>
    <row r="168776" customFormat="1" x14ac:dyDescent="0.25"/>
    <row r="168777" customFormat="1" x14ac:dyDescent="0.25"/>
    <row r="168778" customFormat="1" x14ac:dyDescent="0.25"/>
    <row r="168779" customFormat="1" x14ac:dyDescent="0.25"/>
    <row r="168780" customFormat="1" x14ac:dyDescent="0.25"/>
    <row r="168781" customFormat="1" x14ac:dyDescent="0.25"/>
    <row r="168782" customFormat="1" x14ac:dyDescent="0.25"/>
    <row r="168783" customFormat="1" x14ac:dyDescent="0.25"/>
    <row r="168784" customFormat="1" x14ac:dyDescent="0.25"/>
    <row r="168785" customFormat="1" x14ac:dyDescent="0.25"/>
    <row r="168786" customFormat="1" x14ac:dyDescent="0.25"/>
    <row r="168787" customFormat="1" x14ac:dyDescent="0.25"/>
    <row r="168788" customFormat="1" x14ac:dyDescent="0.25"/>
    <row r="168789" customFormat="1" x14ac:dyDescent="0.25"/>
    <row r="168790" customFormat="1" x14ac:dyDescent="0.25"/>
    <row r="168791" customFormat="1" x14ac:dyDescent="0.25"/>
    <row r="168792" customFormat="1" x14ac:dyDescent="0.25"/>
    <row r="168793" customFormat="1" x14ac:dyDescent="0.25"/>
    <row r="168794" customFormat="1" x14ac:dyDescent="0.25"/>
    <row r="168795" customFormat="1" x14ac:dyDescent="0.25"/>
    <row r="168796" customFormat="1" x14ac:dyDescent="0.25"/>
    <row r="168797" customFormat="1" x14ac:dyDescent="0.25"/>
    <row r="168798" customFormat="1" x14ac:dyDescent="0.25"/>
    <row r="168799" customFormat="1" x14ac:dyDescent="0.25"/>
    <row r="168800" customFormat="1" x14ac:dyDescent="0.25"/>
    <row r="168801" customFormat="1" x14ac:dyDescent="0.25"/>
    <row r="168802" customFormat="1" x14ac:dyDescent="0.25"/>
    <row r="168803" customFormat="1" x14ac:dyDescent="0.25"/>
    <row r="168804" customFormat="1" x14ac:dyDescent="0.25"/>
    <row r="168805" customFormat="1" x14ac:dyDescent="0.25"/>
    <row r="168806" customFormat="1" x14ac:dyDescent="0.25"/>
    <row r="168807" customFormat="1" x14ac:dyDescent="0.25"/>
    <row r="168808" customFormat="1" x14ac:dyDescent="0.25"/>
    <row r="168809" customFormat="1" x14ac:dyDescent="0.25"/>
    <row r="168810" customFormat="1" x14ac:dyDescent="0.25"/>
    <row r="168811" customFormat="1" x14ac:dyDescent="0.25"/>
    <row r="168812" customFormat="1" x14ac:dyDescent="0.25"/>
    <row r="168813" customFormat="1" x14ac:dyDescent="0.25"/>
    <row r="168814" customFormat="1" x14ac:dyDescent="0.25"/>
    <row r="168815" customFormat="1" x14ac:dyDescent="0.25"/>
    <row r="168816" customFormat="1" x14ac:dyDescent="0.25"/>
    <row r="168817" customFormat="1" x14ac:dyDescent="0.25"/>
    <row r="168818" customFormat="1" x14ac:dyDescent="0.25"/>
    <row r="168819" customFormat="1" x14ac:dyDescent="0.25"/>
    <row r="168820" customFormat="1" x14ac:dyDescent="0.25"/>
    <row r="168821" customFormat="1" x14ac:dyDescent="0.25"/>
    <row r="168822" customFormat="1" x14ac:dyDescent="0.25"/>
    <row r="168823" customFormat="1" x14ac:dyDescent="0.25"/>
    <row r="168824" customFormat="1" x14ac:dyDescent="0.25"/>
    <row r="168825" customFormat="1" x14ac:dyDescent="0.25"/>
    <row r="168826" customFormat="1" x14ac:dyDescent="0.25"/>
    <row r="168827" customFormat="1" x14ac:dyDescent="0.25"/>
    <row r="168828" customFormat="1" x14ac:dyDescent="0.25"/>
    <row r="168829" customFormat="1" x14ac:dyDescent="0.25"/>
    <row r="168830" customFormat="1" x14ac:dyDescent="0.25"/>
    <row r="168831" customFormat="1" x14ac:dyDescent="0.25"/>
    <row r="168832" customFormat="1" x14ac:dyDescent="0.25"/>
    <row r="168833" customFormat="1" x14ac:dyDescent="0.25"/>
    <row r="168834" customFormat="1" x14ac:dyDescent="0.25"/>
    <row r="168835" customFormat="1" x14ac:dyDescent="0.25"/>
    <row r="168836" customFormat="1" x14ac:dyDescent="0.25"/>
    <row r="168837" customFormat="1" x14ac:dyDescent="0.25"/>
    <row r="168838" customFormat="1" x14ac:dyDescent="0.25"/>
    <row r="168839" customFormat="1" x14ac:dyDescent="0.25"/>
    <row r="168840" customFormat="1" x14ac:dyDescent="0.25"/>
    <row r="168841" customFormat="1" x14ac:dyDescent="0.25"/>
    <row r="168842" customFormat="1" x14ac:dyDescent="0.25"/>
    <row r="168843" customFormat="1" x14ac:dyDescent="0.25"/>
    <row r="168844" customFormat="1" x14ac:dyDescent="0.25"/>
    <row r="168845" customFormat="1" x14ac:dyDescent="0.25"/>
    <row r="168846" customFormat="1" x14ac:dyDescent="0.25"/>
    <row r="168847" customFormat="1" x14ac:dyDescent="0.25"/>
    <row r="168848" customFormat="1" x14ac:dyDescent="0.25"/>
    <row r="168849" customFormat="1" x14ac:dyDescent="0.25"/>
    <row r="168850" customFormat="1" x14ac:dyDescent="0.25"/>
    <row r="168851" customFormat="1" x14ac:dyDescent="0.25"/>
    <row r="168852" customFormat="1" x14ac:dyDescent="0.25"/>
    <row r="168853" customFormat="1" x14ac:dyDescent="0.25"/>
    <row r="168854" customFormat="1" x14ac:dyDescent="0.25"/>
    <row r="168855" customFormat="1" x14ac:dyDescent="0.25"/>
    <row r="168856" customFormat="1" x14ac:dyDescent="0.25"/>
    <row r="168857" customFormat="1" x14ac:dyDescent="0.25"/>
    <row r="168858" customFormat="1" x14ac:dyDescent="0.25"/>
    <row r="168859" customFormat="1" x14ac:dyDescent="0.25"/>
    <row r="168860" customFormat="1" x14ac:dyDescent="0.25"/>
    <row r="168861" customFormat="1" x14ac:dyDescent="0.25"/>
    <row r="168862" customFormat="1" x14ac:dyDescent="0.25"/>
    <row r="168863" customFormat="1" x14ac:dyDescent="0.25"/>
    <row r="168864" customFormat="1" x14ac:dyDescent="0.25"/>
    <row r="168865" customFormat="1" x14ac:dyDescent="0.25"/>
    <row r="168866" customFormat="1" x14ac:dyDescent="0.25"/>
    <row r="168867" customFormat="1" x14ac:dyDescent="0.25"/>
    <row r="168868" customFormat="1" x14ac:dyDescent="0.25"/>
    <row r="168869" customFormat="1" x14ac:dyDescent="0.25"/>
    <row r="168870" customFormat="1" x14ac:dyDescent="0.25"/>
    <row r="168871" customFormat="1" x14ac:dyDescent="0.25"/>
    <row r="168872" customFormat="1" x14ac:dyDescent="0.25"/>
    <row r="168873" customFormat="1" x14ac:dyDescent="0.25"/>
    <row r="168874" customFormat="1" x14ac:dyDescent="0.25"/>
    <row r="168875" customFormat="1" x14ac:dyDescent="0.25"/>
    <row r="168876" customFormat="1" x14ac:dyDescent="0.25"/>
    <row r="168877" customFormat="1" x14ac:dyDescent="0.25"/>
    <row r="168878" customFormat="1" x14ac:dyDescent="0.25"/>
    <row r="168879" customFormat="1" x14ac:dyDescent="0.25"/>
    <row r="168880" customFormat="1" x14ac:dyDescent="0.25"/>
    <row r="168881" customFormat="1" x14ac:dyDescent="0.25"/>
    <row r="168882" customFormat="1" x14ac:dyDescent="0.25"/>
    <row r="168883" customFormat="1" x14ac:dyDescent="0.25"/>
    <row r="168884" customFormat="1" x14ac:dyDescent="0.25"/>
    <row r="168885" customFormat="1" x14ac:dyDescent="0.25"/>
    <row r="168886" customFormat="1" x14ac:dyDescent="0.25"/>
    <row r="168887" customFormat="1" x14ac:dyDescent="0.25"/>
    <row r="168888" customFormat="1" x14ac:dyDescent="0.25"/>
    <row r="168889" customFormat="1" x14ac:dyDescent="0.25"/>
    <row r="168890" customFormat="1" x14ac:dyDescent="0.25"/>
    <row r="168891" customFormat="1" x14ac:dyDescent="0.25"/>
    <row r="168892" customFormat="1" x14ac:dyDescent="0.25"/>
    <row r="168893" customFormat="1" x14ac:dyDescent="0.25"/>
    <row r="168894" customFormat="1" x14ac:dyDescent="0.25"/>
    <row r="168895" customFormat="1" x14ac:dyDescent="0.25"/>
    <row r="168896" customFormat="1" x14ac:dyDescent="0.25"/>
    <row r="168897" customFormat="1" x14ac:dyDescent="0.25"/>
    <row r="168898" customFormat="1" x14ac:dyDescent="0.25"/>
    <row r="168899" customFormat="1" x14ac:dyDescent="0.25"/>
    <row r="168900" customFormat="1" x14ac:dyDescent="0.25"/>
    <row r="168901" customFormat="1" x14ac:dyDescent="0.25"/>
    <row r="168902" customFormat="1" x14ac:dyDescent="0.25"/>
    <row r="168903" customFormat="1" x14ac:dyDescent="0.25"/>
    <row r="168904" customFormat="1" x14ac:dyDescent="0.25"/>
    <row r="168905" customFormat="1" x14ac:dyDescent="0.25"/>
    <row r="168906" customFormat="1" x14ac:dyDescent="0.25"/>
    <row r="168907" customFormat="1" x14ac:dyDescent="0.25"/>
    <row r="168908" customFormat="1" x14ac:dyDescent="0.25"/>
    <row r="168909" customFormat="1" x14ac:dyDescent="0.25"/>
    <row r="168910" customFormat="1" x14ac:dyDescent="0.25"/>
    <row r="168911" customFormat="1" x14ac:dyDescent="0.25"/>
    <row r="168912" customFormat="1" x14ac:dyDescent="0.25"/>
    <row r="168913" customFormat="1" x14ac:dyDescent="0.25"/>
    <row r="168914" customFormat="1" x14ac:dyDescent="0.25"/>
    <row r="168915" customFormat="1" x14ac:dyDescent="0.25"/>
    <row r="168916" customFormat="1" x14ac:dyDescent="0.25"/>
    <row r="168917" customFormat="1" x14ac:dyDescent="0.25"/>
    <row r="168918" customFormat="1" x14ac:dyDescent="0.25"/>
    <row r="168919" customFormat="1" x14ac:dyDescent="0.25"/>
    <row r="168920" customFormat="1" x14ac:dyDescent="0.25"/>
    <row r="168921" customFormat="1" x14ac:dyDescent="0.25"/>
    <row r="168922" customFormat="1" x14ac:dyDescent="0.25"/>
    <row r="168923" customFormat="1" x14ac:dyDescent="0.25"/>
    <row r="168924" customFormat="1" x14ac:dyDescent="0.25"/>
    <row r="168925" customFormat="1" x14ac:dyDescent="0.25"/>
    <row r="168926" customFormat="1" x14ac:dyDescent="0.25"/>
    <row r="168927" customFormat="1" x14ac:dyDescent="0.25"/>
    <row r="168928" customFormat="1" x14ac:dyDescent="0.25"/>
    <row r="168929" customFormat="1" x14ac:dyDescent="0.25"/>
    <row r="168930" customFormat="1" x14ac:dyDescent="0.25"/>
    <row r="168931" customFormat="1" x14ac:dyDescent="0.25"/>
    <row r="168932" customFormat="1" x14ac:dyDescent="0.25"/>
    <row r="168933" customFormat="1" x14ac:dyDescent="0.25"/>
    <row r="168934" customFormat="1" x14ac:dyDescent="0.25"/>
    <row r="168935" customFormat="1" x14ac:dyDescent="0.25"/>
    <row r="168936" customFormat="1" x14ac:dyDescent="0.25"/>
    <row r="168937" customFormat="1" x14ac:dyDescent="0.25"/>
    <row r="168938" customFormat="1" x14ac:dyDescent="0.25"/>
    <row r="168939" customFormat="1" x14ac:dyDescent="0.25"/>
    <row r="168940" customFormat="1" x14ac:dyDescent="0.25"/>
    <row r="168941" customFormat="1" x14ac:dyDescent="0.25"/>
    <row r="168942" customFormat="1" x14ac:dyDescent="0.25"/>
    <row r="168943" customFormat="1" x14ac:dyDescent="0.25"/>
    <row r="168944" customFormat="1" x14ac:dyDescent="0.25"/>
    <row r="168945" customFormat="1" x14ac:dyDescent="0.25"/>
    <row r="168946" customFormat="1" x14ac:dyDescent="0.25"/>
    <row r="168947" customFormat="1" x14ac:dyDescent="0.25"/>
    <row r="168948" customFormat="1" x14ac:dyDescent="0.25"/>
    <row r="168949" customFormat="1" x14ac:dyDescent="0.25"/>
    <row r="168950" customFormat="1" x14ac:dyDescent="0.25"/>
    <row r="168951" customFormat="1" x14ac:dyDescent="0.25"/>
    <row r="168952" customFormat="1" x14ac:dyDescent="0.25"/>
    <row r="168953" customFormat="1" x14ac:dyDescent="0.25"/>
    <row r="168954" customFormat="1" x14ac:dyDescent="0.25"/>
    <row r="168955" customFormat="1" x14ac:dyDescent="0.25"/>
    <row r="168956" customFormat="1" x14ac:dyDescent="0.25"/>
    <row r="168957" customFormat="1" x14ac:dyDescent="0.25"/>
    <row r="168958" customFormat="1" x14ac:dyDescent="0.25"/>
    <row r="168959" customFormat="1" x14ac:dyDescent="0.25"/>
    <row r="168960" customFormat="1" x14ac:dyDescent="0.25"/>
    <row r="168961" customFormat="1" x14ac:dyDescent="0.25"/>
    <row r="168962" customFormat="1" x14ac:dyDescent="0.25"/>
    <row r="168963" customFormat="1" x14ac:dyDescent="0.25"/>
    <row r="168964" customFormat="1" x14ac:dyDescent="0.25"/>
    <row r="168965" customFormat="1" x14ac:dyDescent="0.25"/>
    <row r="168966" customFormat="1" x14ac:dyDescent="0.25"/>
    <row r="168967" customFormat="1" x14ac:dyDescent="0.25"/>
    <row r="168968" customFormat="1" x14ac:dyDescent="0.25"/>
    <row r="168969" customFormat="1" x14ac:dyDescent="0.25"/>
    <row r="168970" customFormat="1" x14ac:dyDescent="0.25"/>
    <row r="168971" customFormat="1" x14ac:dyDescent="0.25"/>
    <row r="168972" customFormat="1" x14ac:dyDescent="0.25"/>
    <row r="168973" customFormat="1" x14ac:dyDescent="0.25"/>
    <row r="168974" customFormat="1" x14ac:dyDescent="0.25"/>
    <row r="168975" customFormat="1" x14ac:dyDescent="0.25"/>
    <row r="168976" customFormat="1" x14ac:dyDescent="0.25"/>
    <row r="168977" customFormat="1" x14ac:dyDescent="0.25"/>
    <row r="168978" customFormat="1" x14ac:dyDescent="0.25"/>
    <row r="168979" customFormat="1" x14ac:dyDescent="0.25"/>
    <row r="168980" customFormat="1" x14ac:dyDescent="0.25"/>
    <row r="168981" customFormat="1" x14ac:dyDescent="0.25"/>
    <row r="168982" customFormat="1" x14ac:dyDescent="0.25"/>
    <row r="168983" customFormat="1" x14ac:dyDescent="0.25"/>
    <row r="168984" customFormat="1" x14ac:dyDescent="0.25"/>
    <row r="168985" customFormat="1" x14ac:dyDescent="0.25"/>
    <row r="168986" customFormat="1" x14ac:dyDescent="0.25"/>
    <row r="168987" customFormat="1" x14ac:dyDescent="0.25"/>
    <row r="168988" customFormat="1" x14ac:dyDescent="0.25"/>
    <row r="168989" customFormat="1" x14ac:dyDescent="0.25"/>
    <row r="168990" customFormat="1" x14ac:dyDescent="0.25"/>
    <row r="168991" customFormat="1" x14ac:dyDescent="0.25"/>
    <row r="168992" customFormat="1" x14ac:dyDescent="0.25"/>
    <row r="168993" customFormat="1" x14ac:dyDescent="0.25"/>
    <row r="168994" customFormat="1" x14ac:dyDescent="0.25"/>
    <row r="168995" customFormat="1" x14ac:dyDescent="0.25"/>
    <row r="168996" customFormat="1" x14ac:dyDescent="0.25"/>
    <row r="168997" customFormat="1" x14ac:dyDescent="0.25"/>
    <row r="168998" customFormat="1" x14ac:dyDescent="0.25"/>
    <row r="168999" customFormat="1" x14ac:dyDescent="0.25"/>
    <row r="169000" customFormat="1" x14ac:dyDescent="0.25"/>
    <row r="169001" customFormat="1" x14ac:dyDescent="0.25"/>
    <row r="169002" customFormat="1" x14ac:dyDescent="0.25"/>
    <row r="169003" customFormat="1" x14ac:dyDescent="0.25"/>
    <row r="169004" customFormat="1" x14ac:dyDescent="0.25"/>
    <row r="169005" customFormat="1" x14ac:dyDescent="0.25"/>
    <row r="169006" customFormat="1" x14ac:dyDescent="0.25"/>
    <row r="169007" customFormat="1" x14ac:dyDescent="0.25"/>
    <row r="169008" customFormat="1" x14ac:dyDescent="0.25"/>
    <row r="169009" customFormat="1" x14ac:dyDescent="0.25"/>
    <row r="169010" customFormat="1" x14ac:dyDescent="0.25"/>
    <row r="169011" customFormat="1" x14ac:dyDescent="0.25"/>
    <row r="169012" customFormat="1" x14ac:dyDescent="0.25"/>
    <row r="169013" customFormat="1" x14ac:dyDescent="0.25"/>
    <row r="169014" customFormat="1" x14ac:dyDescent="0.25"/>
    <row r="169015" customFormat="1" x14ac:dyDescent="0.25"/>
    <row r="169016" customFormat="1" x14ac:dyDescent="0.25"/>
    <row r="169017" customFormat="1" x14ac:dyDescent="0.25"/>
    <row r="169018" customFormat="1" x14ac:dyDescent="0.25"/>
    <row r="169019" customFormat="1" x14ac:dyDescent="0.25"/>
    <row r="169020" customFormat="1" x14ac:dyDescent="0.25"/>
    <row r="169021" customFormat="1" x14ac:dyDescent="0.25"/>
    <row r="169022" customFormat="1" x14ac:dyDescent="0.25"/>
    <row r="169023" customFormat="1" x14ac:dyDescent="0.25"/>
    <row r="169024" customFormat="1" x14ac:dyDescent="0.25"/>
    <row r="169025" customFormat="1" x14ac:dyDescent="0.25"/>
    <row r="169026" customFormat="1" x14ac:dyDescent="0.25"/>
    <row r="169027" customFormat="1" x14ac:dyDescent="0.25"/>
    <row r="169028" customFormat="1" x14ac:dyDescent="0.25"/>
    <row r="169029" customFormat="1" x14ac:dyDescent="0.25"/>
    <row r="169030" customFormat="1" x14ac:dyDescent="0.25"/>
    <row r="169031" customFormat="1" x14ac:dyDescent="0.25"/>
    <row r="169032" customFormat="1" x14ac:dyDescent="0.25"/>
    <row r="169033" customFormat="1" x14ac:dyDescent="0.25"/>
    <row r="169034" customFormat="1" x14ac:dyDescent="0.25"/>
    <row r="169035" customFormat="1" x14ac:dyDescent="0.25"/>
    <row r="169036" customFormat="1" x14ac:dyDescent="0.25"/>
    <row r="169037" customFormat="1" x14ac:dyDescent="0.25"/>
    <row r="169038" customFormat="1" x14ac:dyDescent="0.25"/>
    <row r="169039" customFormat="1" x14ac:dyDescent="0.25"/>
    <row r="169040" customFormat="1" x14ac:dyDescent="0.25"/>
    <row r="169041" customFormat="1" x14ac:dyDescent="0.25"/>
    <row r="169042" customFormat="1" x14ac:dyDescent="0.25"/>
    <row r="169043" customFormat="1" x14ac:dyDescent="0.25"/>
    <row r="169044" customFormat="1" x14ac:dyDescent="0.25"/>
    <row r="169045" customFormat="1" x14ac:dyDescent="0.25"/>
    <row r="169046" customFormat="1" x14ac:dyDescent="0.25"/>
    <row r="169047" customFormat="1" x14ac:dyDescent="0.25"/>
    <row r="169048" customFormat="1" x14ac:dyDescent="0.25"/>
    <row r="169049" customFormat="1" x14ac:dyDescent="0.25"/>
    <row r="169050" customFormat="1" x14ac:dyDescent="0.25"/>
    <row r="169051" customFormat="1" x14ac:dyDescent="0.25"/>
    <row r="169052" customFormat="1" x14ac:dyDescent="0.25"/>
    <row r="169053" customFormat="1" x14ac:dyDescent="0.25"/>
    <row r="169054" customFormat="1" x14ac:dyDescent="0.25"/>
    <row r="169055" customFormat="1" x14ac:dyDescent="0.25"/>
    <row r="169056" customFormat="1" x14ac:dyDescent="0.25"/>
    <row r="169057" customFormat="1" x14ac:dyDescent="0.25"/>
    <row r="169058" customFormat="1" x14ac:dyDescent="0.25"/>
    <row r="169059" customFormat="1" x14ac:dyDescent="0.25"/>
    <row r="169060" customFormat="1" x14ac:dyDescent="0.25"/>
    <row r="169061" customFormat="1" x14ac:dyDescent="0.25"/>
    <row r="169062" customFormat="1" x14ac:dyDescent="0.25"/>
    <row r="169063" customFormat="1" x14ac:dyDescent="0.25"/>
    <row r="169064" customFormat="1" x14ac:dyDescent="0.25"/>
    <row r="169065" customFormat="1" x14ac:dyDescent="0.25"/>
    <row r="169066" customFormat="1" x14ac:dyDescent="0.25"/>
    <row r="169067" customFormat="1" x14ac:dyDescent="0.25"/>
    <row r="169068" customFormat="1" x14ac:dyDescent="0.25"/>
    <row r="169069" customFormat="1" x14ac:dyDescent="0.25"/>
    <row r="169070" customFormat="1" x14ac:dyDescent="0.25"/>
    <row r="169071" customFormat="1" x14ac:dyDescent="0.25"/>
    <row r="169072" customFormat="1" x14ac:dyDescent="0.25"/>
    <row r="169073" customFormat="1" x14ac:dyDescent="0.25"/>
    <row r="169074" customFormat="1" x14ac:dyDescent="0.25"/>
    <row r="169075" customFormat="1" x14ac:dyDescent="0.25"/>
    <row r="169076" customFormat="1" x14ac:dyDescent="0.25"/>
    <row r="169077" customFormat="1" x14ac:dyDescent="0.25"/>
    <row r="169078" customFormat="1" x14ac:dyDescent="0.25"/>
    <row r="169079" customFormat="1" x14ac:dyDescent="0.25"/>
    <row r="169080" customFormat="1" x14ac:dyDescent="0.25"/>
    <row r="169081" customFormat="1" x14ac:dyDescent="0.25"/>
    <row r="169082" customFormat="1" x14ac:dyDescent="0.25"/>
    <row r="169083" customFormat="1" x14ac:dyDescent="0.25"/>
    <row r="169084" customFormat="1" x14ac:dyDescent="0.25"/>
    <row r="169085" customFormat="1" x14ac:dyDescent="0.25"/>
    <row r="169086" customFormat="1" x14ac:dyDescent="0.25"/>
    <row r="169087" customFormat="1" x14ac:dyDescent="0.25"/>
    <row r="169088" customFormat="1" x14ac:dyDescent="0.25"/>
    <row r="169089" customFormat="1" x14ac:dyDescent="0.25"/>
    <row r="169090" customFormat="1" x14ac:dyDescent="0.25"/>
    <row r="169091" customFormat="1" x14ac:dyDescent="0.25"/>
    <row r="169092" customFormat="1" x14ac:dyDescent="0.25"/>
    <row r="169093" customFormat="1" x14ac:dyDescent="0.25"/>
    <row r="169094" customFormat="1" x14ac:dyDescent="0.25"/>
    <row r="169095" customFormat="1" x14ac:dyDescent="0.25"/>
    <row r="169096" customFormat="1" x14ac:dyDescent="0.25"/>
    <row r="169097" customFormat="1" x14ac:dyDescent="0.25"/>
    <row r="169098" customFormat="1" x14ac:dyDescent="0.25"/>
    <row r="169099" customFormat="1" x14ac:dyDescent="0.25"/>
    <row r="169100" customFormat="1" x14ac:dyDescent="0.25"/>
    <row r="169101" customFormat="1" x14ac:dyDescent="0.25"/>
    <row r="169102" customFormat="1" x14ac:dyDescent="0.25"/>
    <row r="169103" customFormat="1" x14ac:dyDescent="0.25"/>
    <row r="169104" customFormat="1" x14ac:dyDescent="0.25"/>
    <row r="169105" customFormat="1" x14ac:dyDescent="0.25"/>
    <row r="169106" customFormat="1" x14ac:dyDescent="0.25"/>
    <row r="169107" customFormat="1" x14ac:dyDescent="0.25"/>
    <row r="169108" customFormat="1" x14ac:dyDescent="0.25"/>
    <row r="169109" customFormat="1" x14ac:dyDescent="0.25"/>
    <row r="169110" customFormat="1" x14ac:dyDescent="0.25"/>
    <row r="169111" customFormat="1" x14ac:dyDescent="0.25"/>
    <row r="169112" customFormat="1" x14ac:dyDescent="0.25"/>
    <row r="169113" customFormat="1" x14ac:dyDescent="0.25"/>
    <row r="169114" customFormat="1" x14ac:dyDescent="0.25"/>
    <row r="169115" customFormat="1" x14ac:dyDescent="0.25"/>
    <row r="169116" customFormat="1" x14ac:dyDescent="0.25"/>
    <row r="169117" customFormat="1" x14ac:dyDescent="0.25"/>
    <row r="169118" customFormat="1" x14ac:dyDescent="0.25"/>
    <row r="169119" customFormat="1" x14ac:dyDescent="0.25"/>
    <row r="169120" customFormat="1" x14ac:dyDescent="0.25"/>
    <row r="169121" customFormat="1" x14ac:dyDescent="0.25"/>
    <row r="169122" customFormat="1" x14ac:dyDescent="0.25"/>
    <row r="169123" customFormat="1" x14ac:dyDescent="0.25"/>
    <row r="169124" customFormat="1" x14ac:dyDescent="0.25"/>
    <row r="169125" customFormat="1" x14ac:dyDescent="0.25"/>
    <row r="169126" customFormat="1" x14ac:dyDescent="0.25"/>
    <row r="169127" customFormat="1" x14ac:dyDescent="0.25"/>
    <row r="169128" customFormat="1" x14ac:dyDescent="0.25"/>
    <row r="169129" customFormat="1" x14ac:dyDescent="0.25"/>
    <row r="169130" customFormat="1" x14ac:dyDescent="0.25"/>
    <row r="169131" customFormat="1" x14ac:dyDescent="0.25"/>
    <row r="169132" customFormat="1" x14ac:dyDescent="0.25"/>
    <row r="169133" customFormat="1" x14ac:dyDescent="0.25"/>
    <row r="169134" customFormat="1" x14ac:dyDescent="0.25"/>
    <row r="169135" customFormat="1" x14ac:dyDescent="0.25"/>
    <row r="169136" customFormat="1" x14ac:dyDescent="0.25"/>
    <row r="169137" customFormat="1" x14ac:dyDescent="0.25"/>
    <row r="169138" customFormat="1" x14ac:dyDescent="0.25"/>
    <row r="169139" customFormat="1" x14ac:dyDescent="0.25"/>
    <row r="169140" customFormat="1" x14ac:dyDescent="0.25"/>
    <row r="169141" customFormat="1" x14ac:dyDescent="0.25"/>
    <row r="169142" customFormat="1" x14ac:dyDescent="0.25"/>
    <row r="169143" customFormat="1" x14ac:dyDescent="0.25"/>
    <row r="169144" customFormat="1" x14ac:dyDescent="0.25"/>
    <row r="169145" customFormat="1" x14ac:dyDescent="0.25"/>
    <row r="169146" customFormat="1" x14ac:dyDescent="0.25"/>
    <row r="169147" customFormat="1" x14ac:dyDescent="0.25"/>
    <row r="169148" customFormat="1" x14ac:dyDescent="0.25"/>
    <row r="169149" customFormat="1" x14ac:dyDescent="0.25"/>
    <row r="169150" customFormat="1" x14ac:dyDescent="0.25"/>
    <row r="169151" customFormat="1" x14ac:dyDescent="0.25"/>
    <row r="169152" customFormat="1" x14ac:dyDescent="0.25"/>
    <row r="169153" customFormat="1" x14ac:dyDescent="0.25"/>
    <row r="169154" customFormat="1" x14ac:dyDescent="0.25"/>
    <row r="169155" customFormat="1" x14ac:dyDescent="0.25"/>
    <row r="169156" customFormat="1" x14ac:dyDescent="0.25"/>
    <row r="169157" customFormat="1" x14ac:dyDescent="0.25"/>
    <row r="169158" customFormat="1" x14ac:dyDescent="0.25"/>
    <row r="169159" customFormat="1" x14ac:dyDescent="0.25"/>
    <row r="169160" customFormat="1" x14ac:dyDescent="0.25"/>
    <row r="169161" customFormat="1" x14ac:dyDescent="0.25"/>
    <row r="169162" customFormat="1" x14ac:dyDescent="0.25"/>
    <row r="169163" customFormat="1" x14ac:dyDescent="0.25"/>
    <row r="169164" customFormat="1" x14ac:dyDescent="0.25"/>
    <row r="169165" customFormat="1" x14ac:dyDescent="0.25"/>
    <row r="169166" customFormat="1" x14ac:dyDescent="0.25"/>
    <row r="169167" customFormat="1" x14ac:dyDescent="0.25"/>
    <row r="169168" customFormat="1" x14ac:dyDescent="0.25"/>
    <row r="169169" customFormat="1" x14ac:dyDescent="0.25"/>
    <row r="169170" customFormat="1" x14ac:dyDescent="0.25"/>
    <row r="169171" customFormat="1" x14ac:dyDescent="0.25"/>
    <row r="169172" customFormat="1" x14ac:dyDescent="0.25"/>
    <row r="169173" customFormat="1" x14ac:dyDescent="0.25"/>
    <row r="169174" customFormat="1" x14ac:dyDescent="0.25"/>
    <row r="169175" customFormat="1" x14ac:dyDescent="0.25"/>
    <row r="169176" customFormat="1" x14ac:dyDescent="0.25"/>
    <row r="169177" customFormat="1" x14ac:dyDescent="0.25"/>
    <row r="169178" customFormat="1" x14ac:dyDescent="0.25"/>
    <row r="169179" customFormat="1" x14ac:dyDescent="0.25"/>
    <row r="169180" customFormat="1" x14ac:dyDescent="0.25"/>
    <row r="169181" customFormat="1" x14ac:dyDescent="0.25"/>
    <row r="169182" customFormat="1" x14ac:dyDescent="0.25"/>
    <row r="169183" customFormat="1" x14ac:dyDescent="0.25"/>
    <row r="169184" customFormat="1" x14ac:dyDescent="0.25"/>
    <row r="169185" customFormat="1" x14ac:dyDescent="0.25"/>
    <row r="169186" customFormat="1" x14ac:dyDescent="0.25"/>
    <row r="169187" customFormat="1" x14ac:dyDescent="0.25"/>
    <row r="169188" customFormat="1" x14ac:dyDescent="0.25"/>
    <row r="169189" customFormat="1" x14ac:dyDescent="0.25"/>
    <row r="169190" customFormat="1" x14ac:dyDescent="0.25"/>
    <row r="169191" customFormat="1" x14ac:dyDescent="0.25"/>
    <row r="169192" customFormat="1" x14ac:dyDescent="0.25"/>
    <row r="169193" customFormat="1" x14ac:dyDescent="0.25"/>
    <row r="169194" customFormat="1" x14ac:dyDescent="0.25"/>
    <row r="169195" customFormat="1" x14ac:dyDescent="0.25"/>
    <row r="169196" customFormat="1" x14ac:dyDescent="0.25"/>
    <row r="169197" customFormat="1" x14ac:dyDescent="0.25"/>
    <row r="169198" customFormat="1" x14ac:dyDescent="0.25"/>
    <row r="169199" customFormat="1" x14ac:dyDescent="0.25"/>
    <row r="169200" customFormat="1" x14ac:dyDescent="0.25"/>
    <row r="169201" customFormat="1" x14ac:dyDescent="0.25"/>
    <row r="169202" customFormat="1" x14ac:dyDescent="0.25"/>
    <row r="169203" customFormat="1" x14ac:dyDescent="0.25"/>
    <row r="169204" customFormat="1" x14ac:dyDescent="0.25"/>
    <row r="169205" customFormat="1" x14ac:dyDescent="0.25"/>
    <row r="169206" customFormat="1" x14ac:dyDescent="0.25"/>
    <row r="169207" customFormat="1" x14ac:dyDescent="0.25"/>
    <row r="169208" customFormat="1" x14ac:dyDescent="0.25"/>
    <row r="169209" customFormat="1" x14ac:dyDescent="0.25"/>
    <row r="169210" customFormat="1" x14ac:dyDescent="0.25"/>
    <row r="169211" customFormat="1" x14ac:dyDescent="0.25"/>
    <row r="169212" customFormat="1" x14ac:dyDescent="0.25"/>
    <row r="169213" customFormat="1" x14ac:dyDescent="0.25"/>
    <row r="169214" customFormat="1" x14ac:dyDescent="0.25"/>
    <row r="169215" customFormat="1" x14ac:dyDescent="0.25"/>
    <row r="169216" customFormat="1" x14ac:dyDescent="0.25"/>
    <row r="169217" customFormat="1" x14ac:dyDescent="0.25"/>
    <row r="169218" customFormat="1" x14ac:dyDescent="0.25"/>
    <row r="169219" customFormat="1" x14ac:dyDescent="0.25"/>
    <row r="169220" customFormat="1" x14ac:dyDescent="0.25"/>
    <row r="169221" customFormat="1" x14ac:dyDescent="0.25"/>
    <row r="169222" customFormat="1" x14ac:dyDescent="0.25"/>
    <row r="169223" customFormat="1" x14ac:dyDescent="0.25"/>
    <row r="169224" customFormat="1" x14ac:dyDescent="0.25"/>
    <row r="169225" customFormat="1" x14ac:dyDescent="0.25"/>
    <row r="169226" customFormat="1" x14ac:dyDescent="0.25"/>
    <row r="169227" customFormat="1" x14ac:dyDescent="0.25"/>
    <row r="169228" customFormat="1" x14ac:dyDescent="0.25"/>
    <row r="169229" customFormat="1" x14ac:dyDescent="0.25"/>
    <row r="169230" customFormat="1" x14ac:dyDescent="0.25"/>
    <row r="169231" customFormat="1" x14ac:dyDescent="0.25"/>
    <row r="169232" customFormat="1" x14ac:dyDescent="0.25"/>
    <row r="169233" customFormat="1" x14ac:dyDescent="0.25"/>
    <row r="169234" customFormat="1" x14ac:dyDescent="0.25"/>
    <row r="169235" customFormat="1" x14ac:dyDescent="0.25"/>
    <row r="169236" customFormat="1" x14ac:dyDescent="0.25"/>
    <row r="169237" customFormat="1" x14ac:dyDescent="0.25"/>
    <row r="169238" customFormat="1" x14ac:dyDescent="0.25"/>
    <row r="169239" customFormat="1" x14ac:dyDescent="0.25"/>
    <row r="169240" customFormat="1" x14ac:dyDescent="0.25"/>
    <row r="169241" customFormat="1" x14ac:dyDescent="0.25"/>
    <row r="169242" customFormat="1" x14ac:dyDescent="0.25"/>
    <row r="169243" customFormat="1" x14ac:dyDescent="0.25"/>
    <row r="169244" customFormat="1" x14ac:dyDescent="0.25"/>
    <row r="169245" customFormat="1" x14ac:dyDescent="0.25"/>
    <row r="169246" customFormat="1" x14ac:dyDescent="0.25"/>
    <row r="169247" customFormat="1" x14ac:dyDescent="0.25"/>
    <row r="169248" customFormat="1" x14ac:dyDescent="0.25"/>
    <row r="169249" customFormat="1" x14ac:dyDescent="0.25"/>
    <row r="169250" customFormat="1" x14ac:dyDescent="0.25"/>
    <row r="169251" customFormat="1" x14ac:dyDescent="0.25"/>
    <row r="169252" customFormat="1" x14ac:dyDescent="0.25"/>
    <row r="169253" customFormat="1" x14ac:dyDescent="0.25"/>
    <row r="169254" customFormat="1" x14ac:dyDescent="0.25"/>
    <row r="169255" customFormat="1" x14ac:dyDescent="0.25"/>
    <row r="169256" customFormat="1" x14ac:dyDescent="0.25"/>
    <row r="169257" customFormat="1" x14ac:dyDescent="0.25"/>
    <row r="169258" customFormat="1" x14ac:dyDescent="0.25"/>
    <row r="169259" customFormat="1" x14ac:dyDescent="0.25"/>
    <row r="169260" customFormat="1" x14ac:dyDescent="0.25"/>
    <row r="169261" customFormat="1" x14ac:dyDescent="0.25"/>
    <row r="169262" customFormat="1" x14ac:dyDescent="0.25"/>
    <row r="169263" customFormat="1" x14ac:dyDescent="0.25"/>
    <row r="169264" customFormat="1" x14ac:dyDescent="0.25"/>
    <row r="169265" customFormat="1" x14ac:dyDescent="0.25"/>
    <row r="169266" customFormat="1" x14ac:dyDescent="0.25"/>
    <row r="169267" customFormat="1" x14ac:dyDescent="0.25"/>
    <row r="169268" customFormat="1" x14ac:dyDescent="0.25"/>
    <row r="169269" customFormat="1" x14ac:dyDescent="0.25"/>
    <row r="169270" customFormat="1" x14ac:dyDescent="0.25"/>
    <row r="169271" customFormat="1" x14ac:dyDescent="0.25"/>
    <row r="169272" customFormat="1" x14ac:dyDescent="0.25"/>
    <row r="169273" customFormat="1" x14ac:dyDescent="0.25"/>
    <row r="169274" customFormat="1" x14ac:dyDescent="0.25"/>
    <row r="169275" customFormat="1" x14ac:dyDescent="0.25"/>
    <row r="169276" customFormat="1" x14ac:dyDescent="0.25"/>
    <row r="169277" customFormat="1" x14ac:dyDescent="0.25"/>
    <row r="169278" customFormat="1" x14ac:dyDescent="0.25"/>
    <row r="169279" customFormat="1" x14ac:dyDescent="0.25"/>
    <row r="169280" customFormat="1" x14ac:dyDescent="0.25"/>
    <row r="169281" customFormat="1" x14ac:dyDescent="0.25"/>
    <row r="169282" customFormat="1" x14ac:dyDescent="0.25"/>
    <row r="169283" customFormat="1" x14ac:dyDescent="0.25"/>
    <row r="169284" customFormat="1" x14ac:dyDescent="0.25"/>
    <row r="169285" customFormat="1" x14ac:dyDescent="0.25"/>
    <row r="169286" customFormat="1" x14ac:dyDescent="0.25"/>
    <row r="169287" customFormat="1" x14ac:dyDescent="0.25"/>
    <row r="169288" customFormat="1" x14ac:dyDescent="0.25"/>
    <row r="169289" customFormat="1" x14ac:dyDescent="0.25"/>
    <row r="169290" customFormat="1" x14ac:dyDescent="0.25"/>
    <row r="169291" customFormat="1" x14ac:dyDescent="0.25"/>
    <row r="169292" customFormat="1" x14ac:dyDescent="0.25"/>
    <row r="169293" customFormat="1" x14ac:dyDescent="0.25"/>
    <row r="169294" customFormat="1" x14ac:dyDescent="0.25"/>
    <row r="169295" customFormat="1" x14ac:dyDescent="0.25"/>
    <row r="169296" customFormat="1" x14ac:dyDescent="0.25"/>
    <row r="169297" customFormat="1" x14ac:dyDescent="0.25"/>
    <row r="169298" customFormat="1" x14ac:dyDescent="0.25"/>
    <row r="169299" customFormat="1" x14ac:dyDescent="0.25"/>
    <row r="169300" customFormat="1" x14ac:dyDescent="0.25"/>
    <row r="169301" customFormat="1" x14ac:dyDescent="0.25"/>
    <row r="169302" customFormat="1" x14ac:dyDescent="0.25"/>
    <row r="169303" customFormat="1" x14ac:dyDescent="0.25"/>
    <row r="169304" customFormat="1" x14ac:dyDescent="0.25"/>
    <row r="169305" customFormat="1" x14ac:dyDescent="0.25"/>
    <row r="169306" customFormat="1" x14ac:dyDescent="0.25"/>
    <row r="169307" customFormat="1" x14ac:dyDescent="0.25"/>
    <row r="169308" customFormat="1" x14ac:dyDescent="0.25"/>
    <row r="169309" customFormat="1" x14ac:dyDescent="0.25"/>
    <row r="169310" customFormat="1" x14ac:dyDescent="0.25"/>
    <row r="169311" customFormat="1" x14ac:dyDescent="0.25"/>
    <row r="169312" customFormat="1" x14ac:dyDescent="0.25"/>
    <row r="169313" customFormat="1" x14ac:dyDescent="0.25"/>
    <row r="169314" customFormat="1" x14ac:dyDescent="0.25"/>
    <row r="169315" customFormat="1" x14ac:dyDescent="0.25"/>
    <row r="169316" customFormat="1" x14ac:dyDescent="0.25"/>
    <row r="169317" customFormat="1" x14ac:dyDescent="0.25"/>
    <row r="169318" customFormat="1" x14ac:dyDescent="0.25"/>
    <row r="169319" customFormat="1" x14ac:dyDescent="0.25"/>
    <row r="169320" customFormat="1" x14ac:dyDescent="0.25"/>
    <row r="169321" customFormat="1" x14ac:dyDescent="0.25"/>
    <row r="169322" customFormat="1" x14ac:dyDescent="0.25"/>
    <row r="169323" customFormat="1" x14ac:dyDescent="0.25"/>
    <row r="169324" customFormat="1" x14ac:dyDescent="0.25"/>
    <row r="169325" customFormat="1" x14ac:dyDescent="0.25"/>
    <row r="169326" customFormat="1" x14ac:dyDescent="0.25"/>
    <row r="169327" customFormat="1" x14ac:dyDescent="0.25"/>
    <row r="169328" customFormat="1" x14ac:dyDescent="0.25"/>
    <row r="169329" customFormat="1" x14ac:dyDescent="0.25"/>
    <row r="169330" customFormat="1" x14ac:dyDescent="0.25"/>
    <row r="169331" customFormat="1" x14ac:dyDescent="0.25"/>
    <row r="169332" customFormat="1" x14ac:dyDescent="0.25"/>
    <row r="169333" customFormat="1" x14ac:dyDescent="0.25"/>
    <row r="169334" customFormat="1" x14ac:dyDescent="0.25"/>
    <row r="169335" customFormat="1" x14ac:dyDescent="0.25"/>
    <row r="169336" customFormat="1" x14ac:dyDescent="0.25"/>
    <row r="169337" customFormat="1" x14ac:dyDescent="0.25"/>
    <row r="169338" customFormat="1" x14ac:dyDescent="0.25"/>
    <row r="169339" customFormat="1" x14ac:dyDescent="0.25"/>
    <row r="169340" customFormat="1" x14ac:dyDescent="0.25"/>
    <row r="169341" customFormat="1" x14ac:dyDescent="0.25"/>
    <row r="169342" customFormat="1" x14ac:dyDescent="0.25"/>
    <row r="169343" customFormat="1" x14ac:dyDescent="0.25"/>
    <row r="169344" customFormat="1" x14ac:dyDescent="0.25"/>
    <row r="169345" customFormat="1" x14ac:dyDescent="0.25"/>
    <row r="169346" customFormat="1" x14ac:dyDescent="0.25"/>
    <row r="169347" customFormat="1" x14ac:dyDescent="0.25"/>
    <row r="169348" customFormat="1" x14ac:dyDescent="0.25"/>
    <row r="169349" customFormat="1" x14ac:dyDescent="0.25"/>
    <row r="169350" customFormat="1" x14ac:dyDescent="0.25"/>
    <row r="169351" customFormat="1" x14ac:dyDescent="0.25"/>
    <row r="169352" customFormat="1" x14ac:dyDescent="0.25"/>
    <row r="169353" customFormat="1" x14ac:dyDescent="0.25"/>
    <row r="169354" customFormat="1" x14ac:dyDescent="0.25"/>
    <row r="169355" customFormat="1" x14ac:dyDescent="0.25"/>
    <row r="169356" customFormat="1" x14ac:dyDescent="0.25"/>
    <row r="169357" customFormat="1" x14ac:dyDescent="0.25"/>
    <row r="169358" customFormat="1" x14ac:dyDescent="0.25"/>
    <row r="169359" customFormat="1" x14ac:dyDescent="0.25"/>
    <row r="169360" customFormat="1" x14ac:dyDescent="0.25"/>
    <row r="169361" customFormat="1" x14ac:dyDescent="0.25"/>
    <row r="169362" customFormat="1" x14ac:dyDescent="0.25"/>
    <row r="169363" customFormat="1" x14ac:dyDescent="0.25"/>
    <row r="169364" customFormat="1" x14ac:dyDescent="0.25"/>
    <row r="169365" customFormat="1" x14ac:dyDescent="0.25"/>
    <row r="169366" customFormat="1" x14ac:dyDescent="0.25"/>
    <row r="169367" customFormat="1" x14ac:dyDescent="0.25"/>
    <row r="169368" customFormat="1" x14ac:dyDescent="0.25"/>
    <row r="169369" customFormat="1" x14ac:dyDescent="0.25"/>
    <row r="169370" customFormat="1" x14ac:dyDescent="0.25"/>
    <row r="169371" customFormat="1" x14ac:dyDescent="0.25"/>
    <row r="169372" customFormat="1" x14ac:dyDescent="0.25"/>
    <row r="169373" customFormat="1" x14ac:dyDescent="0.25"/>
    <row r="169374" customFormat="1" x14ac:dyDescent="0.25"/>
    <row r="169375" customFormat="1" x14ac:dyDescent="0.25"/>
    <row r="169376" customFormat="1" x14ac:dyDescent="0.25"/>
    <row r="169377" customFormat="1" x14ac:dyDescent="0.25"/>
    <row r="169378" customFormat="1" x14ac:dyDescent="0.25"/>
    <row r="169379" customFormat="1" x14ac:dyDescent="0.25"/>
    <row r="169380" customFormat="1" x14ac:dyDescent="0.25"/>
    <row r="169381" customFormat="1" x14ac:dyDescent="0.25"/>
    <row r="169382" customFormat="1" x14ac:dyDescent="0.25"/>
    <row r="169383" customFormat="1" x14ac:dyDescent="0.25"/>
    <row r="169384" customFormat="1" x14ac:dyDescent="0.25"/>
    <row r="169385" customFormat="1" x14ac:dyDescent="0.25"/>
    <row r="169386" customFormat="1" x14ac:dyDescent="0.25"/>
    <row r="169387" customFormat="1" x14ac:dyDescent="0.25"/>
    <row r="169388" customFormat="1" x14ac:dyDescent="0.25"/>
    <row r="169389" customFormat="1" x14ac:dyDescent="0.25"/>
    <row r="169390" customFormat="1" x14ac:dyDescent="0.25"/>
    <row r="169391" customFormat="1" x14ac:dyDescent="0.25"/>
    <row r="169392" customFormat="1" x14ac:dyDescent="0.25"/>
    <row r="169393" customFormat="1" x14ac:dyDescent="0.25"/>
    <row r="169394" customFormat="1" x14ac:dyDescent="0.25"/>
    <row r="169395" customFormat="1" x14ac:dyDescent="0.25"/>
    <row r="169396" customFormat="1" x14ac:dyDescent="0.25"/>
    <row r="169397" customFormat="1" x14ac:dyDescent="0.25"/>
    <row r="169398" customFormat="1" x14ac:dyDescent="0.25"/>
    <row r="169399" customFormat="1" x14ac:dyDescent="0.25"/>
    <row r="169400" customFormat="1" x14ac:dyDescent="0.25"/>
    <row r="169401" customFormat="1" x14ac:dyDescent="0.25"/>
    <row r="169402" customFormat="1" x14ac:dyDescent="0.25"/>
    <row r="169403" customFormat="1" x14ac:dyDescent="0.25"/>
    <row r="169404" customFormat="1" x14ac:dyDescent="0.25"/>
    <row r="169405" customFormat="1" x14ac:dyDescent="0.25"/>
    <row r="169406" customFormat="1" x14ac:dyDescent="0.25"/>
    <row r="169407" customFormat="1" x14ac:dyDescent="0.25"/>
    <row r="169408" customFormat="1" x14ac:dyDescent="0.25"/>
    <row r="169409" customFormat="1" x14ac:dyDescent="0.25"/>
    <row r="169410" customFormat="1" x14ac:dyDescent="0.25"/>
    <row r="169411" customFormat="1" x14ac:dyDescent="0.25"/>
    <row r="169412" customFormat="1" x14ac:dyDescent="0.25"/>
    <row r="169413" customFormat="1" x14ac:dyDescent="0.25"/>
    <row r="169414" customFormat="1" x14ac:dyDescent="0.25"/>
    <row r="169415" customFormat="1" x14ac:dyDescent="0.25"/>
    <row r="169416" customFormat="1" x14ac:dyDescent="0.25"/>
    <row r="169417" customFormat="1" x14ac:dyDescent="0.25"/>
    <row r="169418" customFormat="1" x14ac:dyDescent="0.25"/>
    <row r="169419" customFormat="1" x14ac:dyDescent="0.25"/>
    <row r="169420" customFormat="1" x14ac:dyDescent="0.25"/>
    <row r="169421" customFormat="1" x14ac:dyDescent="0.25"/>
    <row r="169422" customFormat="1" x14ac:dyDescent="0.25"/>
    <row r="169423" customFormat="1" x14ac:dyDescent="0.25"/>
    <row r="169424" customFormat="1" x14ac:dyDescent="0.25"/>
    <row r="169425" customFormat="1" x14ac:dyDescent="0.25"/>
    <row r="169426" customFormat="1" x14ac:dyDescent="0.25"/>
    <row r="169427" customFormat="1" x14ac:dyDescent="0.25"/>
    <row r="169428" customFormat="1" x14ac:dyDescent="0.25"/>
    <row r="169429" customFormat="1" x14ac:dyDescent="0.25"/>
    <row r="169430" customFormat="1" x14ac:dyDescent="0.25"/>
    <row r="169431" customFormat="1" x14ac:dyDescent="0.25"/>
    <row r="169432" customFormat="1" x14ac:dyDescent="0.25"/>
    <row r="169433" customFormat="1" x14ac:dyDescent="0.25"/>
    <row r="169434" customFormat="1" x14ac:dyDescent="0.25"/>
    <row r="169435" customFormat="1" x14ac:dyDescent="0.25"/>
    <row r="169436" customFormat="1" x14ac:dyDescent="0.25"/>
    <row r="169437" customFormat="1" x14ac:dyDescent="0.25"/>
    <row r="169438" customFormat="1" x14ac:dyDescent="0.25"/>
    <row r="169439" customFormat="1" x14ac:dyDescent="0.25"/>
    <row r="169440" customFormat="1" x14ac:dyDescent="0.25"/>
    <row r="169441" customFormat="1" x14ac:dyDescent="0.25"/>
    <row r="169442" customFormat="1" x14ac:dyDescent="0.25"/>
    <row r="169443" customFormat="1" x14ac:dyDescent="0.25"/>
    <row r="169444" customFormat="1" x14ac:dyDescent="0.25"/>
    <row r="169445" customFormat="1" x14ac:dyDescent="0.25"/>
    <row r="169446" customFormat="1" x14ac:dyDescent="0.25"/>
    <row r="169447" customFormat="1" x14ac:dyDescent="0.25"/>
    <row r="169448" customFormat="1" x14ac:dyDescent="0.25"/>
    <row r="169449" customFormat="1" x14ac:dyDescent="0.25"/>
    <row r="169450" customFormat="1" x14ac:dyDescent="0.25"/>
    <row r="169451" customFormat="1" x14ac:dyDescent="0.25"/>
    <row r="169452" customFormat="1" x14ac:dyDescent="0.25"/>
    <row r="169453" customFormat="1" x14ac:dyDescent="0.25"/>
    <row r="169454" customFormat="1" x14ac:dyDescent="0.25"/>
    <row r="169455" customFormat="1" x14ac:dyDescent="0.25"/>
    <row r="169456" customFormat="1" x14ac:dyDescent="0.25"/>
    <row r="169457" customFormat="1" x14ac:dyDescent="0.25"/>
    <row r="169458" customFormat="1" x14ac:dyDescent="0.25"/>
    <row r="169459" customFormat="1" x14ac:dyDescent="0.25"/>
    <row r="169460" customFormat="1" x14ac:dyDescent="0.25"/>
    <row r="169461" customFormat="1" x14ac:dyDescent="0.25"/>
    <row r="169462" customFormat="1" x14ac:dyDescent="0.25"/>
    <row r="169463" customFormat="1" x14ac:dyDescent="0.25"/>
    <row r="169464" customFormat="1" x14ac:dyDescent="0.25"/>
    <row r="169465" customFormat="1" x14ac:dyDescent="0.25"/>
    <row r="169466" customFormat="1" x14ac:dyDescent="0.25"/>
    <row r="169467" customFormat="1" x14ac:dyDescent="0.25"/>
    <row r="169468" customFormat="1" x14ac:dyDescent="0.25"/>
    <row r="169469" customFormat="1" x14ac:dyDescent="0.25"/>
    <row r="169470" customFormat="1" x14ac:dyDescent="0.25"/>
    <row r="169471" customFormat="1" x14ac:dyDescent="0.25"/>
    <row r="169472" customFormat="1" x14ac:dyDescent="0.25"/>
    <row r="169473" customFormat="1" x14ac:dyDescent="0.25"/>
    <row r="169474" customFormat="1" x14ac:dyDescent="0.25"/>
    <row r="169475" customFormat="1" x14ac:dyDescent="0.25"/>
    <row r="169476" customFormat="1" x14ac:dyDescent="0.25"/>
    <row r="169477" customFormat="1" x14ac:dyDescent="0.25"/>
    <row r="169478" customFormat="1" x14ac:dyDescent="0.25"/>
    <row r="169479" customFormat="1" x14ac:dyDescent="0.25"/>
    <row r="169480" customFormat="1" x14ac:dyDescent="0.25"/>
    <row r="169481" customFormat="1" x14ac:dyDescent="0.25"/>
    <row r="169482" customFormat="1" x14ac:dyDescent="0.25"/>
    <row r="169483" customFormat="1" x14ac:dyDescent="0.25"/>
    <row r="169484" customFormat="1" x14ac:dyDescent="0.25"/>
    <row r="169485" customFormat="1" x14ac:dyDescent="0.25"/>
    <row r="169486" customFormat="1" x14ac:dyDescent="0.25"/>
    <row r="169487" customFormat="1" x14ac:dyDescent="0.25"/>
    <row r="169488" customFormat="1" x14ac:dyDescent="0.25"/>
    <row r="169489" customFormat="1" x14ac:dyDescent="0.25"/>
    <row r="169490" customFormat="1" x14ac:dyDescent="0.25"/>
    <row r="169491" customFormat="1" x14ac:dyDescent="0.25"/>
    <row r="169492" customFormat="1" x14ac:dyDescent="0.25"/>
    <row r="169493" customFormat="1" x14ac:dyDescent="0.25"/>
    <row r="169494" customFormat="1" x14ac:dyDescent="0.25"/>
    <row r="169495" customFormat="1" x14ac:dyDescent="0.25"/>
    <row r="169496" customFormat="1" x14ac:dyDescent="0.25"/>
    <row r="169497" customFormat="1" x14ac:dyDescent="0.25"/>
    <row r="169498" customFormat="1" x14ac:dyDescent="0.25"/>
    <row r="169499" customFormat="1" x14ac:dyDescent="0.25"/>
    <row r="169500" customFormat="1" x14ac:dyDescent="0.25"/>
    <row r="169501" customFormat="1" x14ac:dyDescent="0.25"/>
    <row r="169502" customFormat="1" x14ac:dyDescent="0.25"/>
    <row r="169503" customFormat="1" x14ac:dyDescent="0.25"/>
    <row r="169504" customFormat="1" x14ac:dyDescent="0.25"/>
    <row r="169505" customFormat="1" x14ac:dyDescent="0.25"/>
    <row r="169506" customFormat="1" x14ac:dyDescent="0.25"/>
    <row r="169507" customFormat="1" x14ac:dyDescent="0.25"/>
    <row r="169508" customFormat="1" x14ac:dyDescent="0.25"/>
    <row r="169509" customFormat="1" x14ac:dyDescent="0.25"/>
    <row r="169510" customFormat="1" x14ac:dyDescent="0.25"/>
    <row r="169511" customFormat="1" x14ac:dyDescent="0.25"/>
    <row r="169512" customFormat="1" x14ac:dyDescent="0.25"/>
    <row r="169513" customFormat="1" x14ac:dyDescent="0.25"/>
    <row r="169514" customFormat="1" x14ac:dyDescent="0.25"/>
    <row r="169515" customFormat="1" x14ac:dyDescent="0.25"/>
    <row r="169516" customFormat="1" x14ac:dyDescent="0.25"/>
    <row r="169517" customFormat="1" x14ac:dyDescent="0.25"/>
    <row r="169518" customFormat="1" x14ac:dyDescent="0.25"/>
    <row r="169519" customFormat="1" x14ac:dyDescent="0.25"/>
    <row r="169520" customFormat="1" x14ac:dyDescent="0.25"/>
    <row r="169521" customFormat="1" x14ac:dyDescent="0.25"/>
    <row r="169522" customFormat="1" x14ac:dyDescent="0.25"/>
    <row r="169523" customFormat="1" x14ac:dyDescent="0.25"/>
    <row r="169524" customFormat="1" x14ac:dyDescent="0.25"/>
    <row r="169525" customFormat="1" x14ac:dyDescent="0.25"/>
    <row r="169526" customFormat="1" x14ac:dyDescent="0.25"/>
    <row r="169527" customFormat="1" x14ac:dyDescent="0.25"/>
    <row r="169528" customFormat="1" x14ac:dyDescent="0.25"/>
    <row r="169529" customFormat="1" x14ac:dyDescent="0.25"/>
    <row r="169530" customFormat="1" x14ac:dyDescent="0.25"/>
    <row r="169531" customFormat="1" x14ac:dyDescent="0.25"/>
    <row r="169532" customFormat="1" x14ac:dyDescent="0.25"/>
    <row r="169533" customFormat="1" x14ac:dyDescent="0.25"/>
    <row r="169534" customFormat="1" x14ac:dyDescent="0.25"/>
    <row r="169535" customFormat="1" x14ac:dyDescent="0.25"/>
    <row r="169536" customFormat="1" x14ac:dyDescent="0.25"/>
    <row r="169537" customFormat="1" x14ac:dyDescent="0.25"/>
    <row r="169538" customFormat="1" x14ac:dyDescent="0.25"/>
    <row r="169539" customFormat="1" x14ac:dyDescent="0.25"/>
    <row r="169540" customFormat="1" x14ac:dyDescent="0.25"/>
    <row r="169541" customFormat="1" x14ac:dyDescent="0.25"/>
    <row r="169542" customFormat="1" x14ac:dyDescent="0.25"/>
    <row r="169543" customFormat="1" x14ac:dyDescent="0.25"/>
    <row r="169544" customFormat="1" x14ac:dyDescent="0.25"/>
    <row r="169545" customFormat="1" x14ac:dyDescent="0.25"/>
    <row r="169546" customFormat="1" x14ac:dyDescent="0.25"/>
    <row r="169547" customFormat="1" x14ac:dyDescent="0.25"/>
    <row r="169548" customFormat="1" x14ac:dyDescent="0.25"/>
    <row r="169549" customFormat="1" x14ac:dyDescent="0.25"/>
    <row r="169550" customFormat="1" x14ac:dyDescent="0.25"/>
    <row r="169551" customFormat="1" x14ac:dyDescent="0.25"/>
    <row r="169552" customFormat="1" x14ac:dyDescent="0.25"/>
    <row r="169553" customFormat="1" x14ac:dyDescent="0.25"/>
    <row r="169554" customFormat="1" x14ac:dyDescent="0.25"/>
    <row r="169555" customFormat="1" x14ac:dyDescent="0.25"/>
    <row r="169556" customFormat="1" x14ac:dyDescent="0.25"/>
    <row r="169557" customFormat="1" x14ac:dyDescent="0.25"/>
    <row r="169558" customFormat="1" x14ac:dyDescent="0.25"/>
    <row r="169559" customFormat="1" x14ac:dyDescent="0.25"/>
    <row r="169560" customFormat="1" x14ac:dyDescent="0.25"/>
    <row r="169561" customFormat="1" x14ac:dyDescent="0.25"/>
    <row r="169562" customFormat="1" x14ac:dyDescent="0.25"/>
    <row r="169563" customFormat="1" x14ac:dyDescent="0.25"/>
    <row r="169564" customFormat="1" x14ac:dyDescent="0.25"/>
    <row r="169565" customFormat="1" x14ac:dyDescent="0.25"/>
    <row r="169566" customFormat="1" x14ac:dyDescent="0.25"/>
    <row r="169567" customFormat="1" x14ac:dyDescent="0.25"/>
    <row r="169568" customFormat="1" x14ac:dyDescent="0.25"/>
    <row r="169569" customFormat="1" x14ac:dyDescent="0.25"/>
    <row r="169570" customFormat="1" x14ac:dyDescent="0.25"/>
    <row r="169571" customFormat="1" x14ac:dyDescent="0.25"/>
    <row r="169572" customFormat="1" x14ac:dyDescent="0.25"/>
    <row r="169573" customFormat="1" x14ac:dyDescent="0.25"/>
    <row r="169574" customFormat="1" x14ac:dyDescent="0.25"/>
    <row r="169575" customFormat="1" x14ac:dyDescent="0.25"/>
    <row r="169576" customFormat="1" x14ac:dyDescent="0.25"/>
    <row r="169577" customFormat="1" x14ac:dyDescent="0.25"/>
    <row r="169578" customFormat="1" x14ac:dyDescent="0.25"/>
    <row r="169579" customFormat="1" x14ac:dyDescent="0.25"/>
    <row r="169580" customFormat="1" x14ac:dyDescent="0.25"/>
    <row r="169581" customFormat="1" x14ac:dyDescent="0.25"/>
    <row r="169582" customFormat="1" x14ac:dyDescent="0.25"/>
    <row r="169583" customFormat="1" x14ac:dyDescent="0.25"/>
    <row r="169584" customFormat="1" x14ac:dyDescent="0.25"/>
    <row r="169585" customFormat="1" x14ac:dyDescent="0.25"/>
    <row r="169586" customFormat="1" x14ac:dyDescent="0.25"/>
    <row r="169587" customFormat="1" x14ac:dyDescent="0.25"/>
    <row r="169588" customFormat="1" x14ac:dyDescent="0.25"/>
    <row r="169589" customFormat="1" x14ac:dyDescent="0.25"/>
    <row r="169590" customFormat="1" x14ac:dyDescent="0.25"/>
    <row r="169591" customFormat="1" x14ac:dyDescent="0.25"/>
    <row r="169592" customFormat="1" x14ac:dyDescent="0.25"/>
    <row r="169593" customFormat="1" x14ac:dyDescent="0.25"/>
    <row r="169594" customFormat="1" x14ac:dyDescent="0.25"/>
    <row r="169595" customFormat="1" x14ac:dyDescent="0.25"/>
    <row r="169596" customFormat="1" x14ac:dyDescent="0.25"/>
    <row r="169597" customFormat="1" x14ac:dyDescent="0.25"/>
    <row r="169598" customFormat="1" x14ac:dyDescent="0.25"/>
    <row r="169599" customFormat="1" x14ac:dyDescent="0.25"/>
    <row r="169600" customFormat="1" x14ac:dyDescent="0.25"/>
    <row r="169601" customFormat="1" x14ac:dyDescent="0.25"/>
    <row r="169602" customFormat="1" x14ac:dyDescent="0.25"/>
    <row r="169603" customFormat="1" x14ac:dyDescent="0.25"/>
    <row r="169604" customFormat="1" x14ac:dyDescent="0.25"/>
    <row r="169605" customFormat="1" x14ac:dyDescent="0.25"/>
    <row r="169606" customFormat="1" x14ac:dyDescent="0.25"/>
    <row r="169607" customFormat="1" x14ac:dyDescent="0.25"/>
    <row r="169608" customFormat="1" x14ac:dyDescent="0.25"/>
    <row r="169609" customFormat="1" x14ac:dyDescent="0.25"/>
    <row r="169610" customFormat="1" x14ac:dyDescent="0.25"/>
    <row r="169611" customFormat="1" x14ac:dyDescent="0.25"/>
    <row r="169612" customFormat="1" x14ac:dyDescent="0.25"/>
    <row r="169613" customFormat="1" x14ac:dyDescent="0.25"/>
    <row r="169614" customFormat="1" x14ac:dyDescent="0.25"/>
    <row r="169615" customFormat="1" x14ac:dyDescent="0.25"/>
    <row r="169616" customFormat="1" x14ac:dyDescent="0.25"/>
    <row r="169617" customFormat="1" x14ac:dyDescent="0.25"/>
    <row r="169618" customFormat="1" x14ac:dyDescent="0.25"/>
    <row r="169619" customFormat="1" x14ac:dyDescent="0.25"/>
    <row r="169620" customFormat="1" x14ac:dyDescent="0.25"/>
    <row r="169621" customFormat="1" x14ac:dyDescent="0.25"/>
    <row r="169622" customFormat="1" x14ac:dyDescent="0.25"/>
    <row r="169623" customFormat="1" x14ac:dyDescent="0.25"/>
    <row r="169624" customFormat="1" x14ac:dyDescent="0.25"/>
    <row r="169625" customFormat="1" x14ac:dyDescent="0.25"/>
    <row r="169626" customFormat="1" x14ac:dyDescent="0.25"/>
    <row r="169627" customFormat="1" x14ac:dyDescent="0.25"/>
    <row r="169628" customFormat="1" x14ac:dyDescent="0.25"/>
    <row r="169629" customFormat="1" x14ac:dyDescent="0.25"/>
    <row r="169630" customFormat="1" x14ac:dyDescent="0.25"/>
    <row r="169631" customFormat="1" x14ac:dyDescent="0.25"/>
    <row r="169632" customFormat="1" x14ac:dyDescent="0.25"/>
    <row r="169633" customFormat="1" x14ac:dyDescent="0.25"/>
    <row r="169634" customFormat="1" x14ac:dyDescent="0.25"/>
    <row r="169635" customFormat="1" x14ac:dyDescent="0.25"/>
    <row r="169636" customFormat="1" x14ac:dyDescent="0.25"/>
    <row r="169637" customFormat="1" x14ac:dyDescent="0.25"/>
    <row r="169638" customFormat="1" x14ac:dyDescent="0.25"/>
    <row r="169639" customFormat="1" x14ac:dyDescent="0.25"/>
    <row r="169640" customFormat="1" x14ac:dyDescent="0.25"/>
    <row r="169641" customFormat="1" x14ac:dyDescent="0.25"/>
    <row r="169642" customFormat="1" x14ac:dyDescent="0.25"/>
    <row r="169643" customFormat="1" x14ac:dyDescent="0.25"/>
    <row r="169644" customFormat="1" x14ac:dyDescent="0.25"/>
    <row r="169645" customFormat="1" x14ac:dyDescent="0.25"/>
    <row r="169646" customFormat="1" x14ac:dyDescent="0.25"/>
    <row r="169647" customFormat="1" x14ac:dyDescent="0.25"/>
    <row r="169648" customFormat="1" x14ac:dyDescent="0.25"/>
    <row r="169649" customFormat="1" x14ac:dyDescent="0.25"/>
    <row r="169650" customFormat="1" x14ac:dyDescent="0.25"/>
    <row r="169651" customFormat="1" x14ac:dyDescent="0.25"/>
    <row r="169652" customFormat="1" x14ac:dyDescent="0.25"/>
    <row r="169653" customFormat="1" x14ac:dyDescent="0.25"/>
    <row r="169654" customFormat="1" x14ac:dyDescent="0.25"/>
    <row r="169655" customFormat="1" x14ac:dyDescent="0.25"/>
    <row r="169656" customFormat="1" x14ac:dyDescent="0.25"/>
    <row r="169657" customFormat="1" x14ac:dyDescent="0.25"/>
    <row r="169658" customFormat="1" x14ac:dyDescent="0.25"/>
    <row r="169659" customFormat="1" x14ac:dyDescent="0.25"/>
    <row r="169660" customFormat="1" x14ac:dyDescent="0.25"/>
    <row r="169661" customFormat="1" x14ac:dyDescent="0.25"/>
    <row r="169662" customFormat="1" x14ac:dyDescent="0.25"/>
    <row r="169663" customFormat="1" x14ac:dyDescent="0.25"/>
    <row r="169664" customFormat="1" x14ac:dyDescent="0.25"/>
    <row r="169665" customFormat="1" x14ac:dyDescent="0.25"/>
    <row r="169666" customFormat="1" x14ac:dyDescent="0.25"/>
    <row r="169667" customFormat="1" x14ac:dyDescent="0.25"/>
    <row r="169668" customFormat="1" x14ac:dyDescent="0.25"/>
    <row r="169669" customFormat="1" x14ac:dyDescent="0.25"/>
    <row r="169670" customFormat="1" x14ac:dyDescent="0.25"/>
    <row r="169671" customFormat="1" x14ac:dyDescent="0.25"/>
    <row r="169672" customFormat="1" x14ac:dyDescent="0.25"/>
    <row r="169673" customFormat="1" x14ac:dyDescent="0.25"/>
    <row r="169674" customFormat="1" x14ac:dyDescent="0.25"/>
    <row r="169675" customFormat="1" x14ac:dyDescent="0.25"/>
    <row r="169676" customFormat="1" x14ac:dyDescent="0.25"/>
    <row r="169677" customFormat="1" x14ac:dyDescent="0.25"/>
    <row r="169678" customFormat="1" x14ac:dyDescent="0.25"/>
    <row r="169679" customFormat="1" x14ac:dyDescent="0.25"/>
    <row r="169680" customFormat="1" x14ac:dyDescent="0.25"/>
    <row r="169681" customFormat="1" x14ac:dyDescent="0.25"/>
    <row r="169682" customFormat="1" x14ac:dyDescent="0.25"/>
    <row r="169683" customFormat="1" x14ac:dyDescent="0.25"/>
    <row r="169684" customFormat="1" x14ac:dyDescent="0.25"/>
    <row r="169685" customFormat="1" x14ac:dyDescent="0.25"/>
    <row r="169686" customFormat="1" x14ac:dyDescent="0.25"/>
    <row r="169687" customFormat="1" x14ac:dyDescent="0.25"/>
    <row r="169688" customFormat="1" x14ac:dyDescent="0.25"/>
    <row r="169689" customFormat="1" x14ac:dyDescent="0.25"/>
    <row r="169690" customFormat="1" x14ac:dyDescent="0.25"/>
    <row r="169691" customFormat="1" x14ac:dyDescent="0.25"/>
    <row r="169692" customFormat="1" x14ac:dyDescent="0.25"/>
    <row r="169693" customFormat="1" x14ac:dyDescent="0.25"/>
    <row r="169694" customFormat="1" x14ac:dyDescent="0.25"/>
    <row r="169695" customFormat="1" x14ac:dyDescent="0.25"/>
    <row r="169696" customFormat="1" x14ac:dyDescent="0.25"/>
    <row r="169697" customFormat="1" x14ac:dyDescent="0.25"/>
    <row r="169698" customFormat="1" x14ac:dyDescent="0.25"/>
    <row r="169699" customFormat="1" x14ac:dyDescent="0.25"/>
    <row r="169700" customFormat="1" x14ac:dyDescent="0.25"/>
    <row r="169701" customFormat="1" x14ac:dyDescent="0.25"/>
    <row r="169702" customFormat="1" x14ac:dyDescent="0.25"/>
    <row r="169703" customFormat="1" x14ac:dyDescent="0.25"/>
    <row r="169704" customFormat="1" x14ac:dyDescent="0.25"/>
    <row r="169705" customFormat="1" x14ac:dyDescent="0.25"/>
    <row r="169706" customFormat="1" x14ac:dyDescent="0.25"/>
    <row r="169707" customFormat="1" x14ac:dyDescent="0.25"/>
    <row r="169708" customFormat="1" x14ac:dyDescent="0.25"/>
    <row r="169709" customFormat="1" x14ac:dyDescent="0.25"/>
    <row r="169710" customFormat="1" x14ac:dyDescent="0.25"/>
    <row r="169711" customFormat="1" x14ac:dyDescent="0.25"/>
    <row r="169712" customFormat="1" x14ac:dyDescent="0.25"/>
    <row r="169713" customFormat="1" x14ac:dyDescent="0.25"/>
    <row r="169714" customFormat="1" x14ac:dyDescent="0.25"/>
    <row r="169715" customFormat="1" x14ac:dyDescent="0.25"/>
    <row r="169716" customFormat="1" x14ac:dyDescent="0.25"/>
    <row r="169717" customFormat="1" x14ac:dyDescent="0.25"/>
    <row r="169718" customFormat="1" x14ac:dyDescent="0.25"/>
    <row r="169719" customFormat="1" x14ac:dyDescent="0.25"/>
    <row r="169720" customFormat="1" x14ac:dyDescent="0.25"/>
    <row r="169721" customFormat="1" x14ac:dyDescent="0.25"/>
    <row r="169722" customFormat="1" x14ac:dyDescent="0.25"/>
    <row r="169723" customFormat="1" x14ac:dyDescent="0.25"/>
    <row r="169724" customFormat="1" x14ac:dyDescent="0.25"/>
    <row r="169725" customFormat="1" x14ac:dyDescent="0.25"/>
    <row r="169726" customFormat="1" x14ac:dyDescent="0.25"/>
    <row r="169727" customFormat="1" x14ac:dyDescent="0.25"/>
    <row r="169728" customFormat="1" x14ac:dyDescent="0.25"/>
    <row r="169729" customFormat="1" x14ac:dyDescent="0.25"/>
    <row r="169730" customFormat="1" x14ac:dyDescent="0.25"/>
    <row r="169731" customFormat="1" x14ac:dyDescent="0.25"/>
    <row r="169732" customFormat="1" x14ac:dyDescent="0.25"/>
    <row r="169733" customFormat="1" x14ac:dyDescent="0.25"/>
    <row r="169734" customFormat="1" x14ac:dyDescent="0.25"/>
    <row r="169735" customFormat="1" x14ac:dyDescent="0.25"/>
    <row r="169736" customFormat="1" x14ac:dyDescent="0.25"/>
    <row r="169737" customFormat="1" x14ac:dyDescent="0.25"/>
    <row r="169738" customFormat="1" x14ac:dyDescent="0.25"/>
    <row r="169739" customFormat="1" x14ac:dyDescent="0.25"/>
    <row r="169740" customFormat="1" x14ac:dyDescent="0.25"/>
    <row r="169741" customFormat="1" x14ac:dyDescent="0.25"/>
    <row r="169742" customFormat="1" x14ac:dyDescent="0.25"/>
    <row r="169743" customFormat="1" x14ac:dyDescent="0.25"/>
    <row r="169744" customFormat="1" x14ac:dyDescent="0.25"/>
    <row r="169745" customFormat="1" x14ac:dyDescent="0.25"/>
    <row r="169746" customFormat="1" x14ac:dyDescent="0.25"/>
    <row r="169747" customFormat="1" x14ac:dyDescent="0.25"/>
    <row r="169748" customFormat="1" x14ac:dyDescent="0.25"/>
    <row r="169749" customFormat="1" x14ac:dyDescent="0.25"/>
    <row r="169750" customFormat="1" x14ac:dyDescent="0.25"/>
    <row r="169751" customFormat="1" x14ac:dyDescent="0.25"/>
    <row r="169752" customFormat="1" x14ac:dyDescent="0.25"/>
    <row r="169753" customFormat="1" x14ac:dyDescent="0.25"/>
    <row r="169754" customFormat="1" x14ac:dyDescent="0.25"/>
    <row r="169755" customFormat="1" x14ac:dyDescent="0.25"/>
    <row r="169756" customFormat="1" x14ac:dyDescent="0.25"/>
    <row r="169757" customFormat="1" x14ac:dyDescent="0.25"/>
    <row r="169758" customFormat="1" x14ac:dyDescent="0.25"/>
    <row r="169759" customFormat="1" x14ac:dyDescent="0.25"/>
    <row r="169760" customFormat="1" x14ac:dyDescent="0.25"/>
    <row r="169761" customFormat="1" x14ac:dyDescent="0.25"/>
    <row r="169762" customFormat="1" x14ac:dyDescent="0.25"/>
    <row r="169763" customFormat="1" x14ac:dyDescent="0.25"/>
    <row r="169764" customFormat="1" x14ac:dyDescent="0.25"/>
    <row r="169765" customFormat="1" x14ac:dyDescent="0.25"/>
    <row r="169766" customFormat="1" x14ac:dyDescent="0.25"/>
    <row r="169767" customFormat="1" x14ac:dyDescent="0.25"/>
    <row r="169768" customFormat="1" x14ac:dyDescent="0.25"/>
    <row r="169769" customFormat="1" x14ac:dyDescent="0.25"/>
    <row r="169770" customFormat="1" x14ac:dyDescent="0.25"/>
    <row r="169771" customFormat="1" x14ac:dyDescent="0.25"/>
    <row r="169772" customFormat="1" x14ac:dyDescent="0.25"/>
    <row r="169773" customFormat="1" x14ac:dyDescent="0.25"/>
    <row r="169774" customFormat="1" x14ac:dyDescent="0.25"/>
    <row r="169775" customFormat="1" x14ac:dyDescent="0.25"/>
    <row r="169776" customFormat="1" x14ac:dyDescent="0.25"/>
    <row r="169777" customFormat="1" x14ac:dyDescent="0.25"/>
    <row r="169778" customFormat="1" x14ac:dyDescent="0.25"/>
    <row r="169779" customFormat="1" x14ac:dyDescent="0.25"/>
    <row r="169780" customFormat="1" x14ac:dyDescent="0.25"/>
    <row r="169781" customFormat="1" x14ac:dyDescent="0.25"/>
    <row r="169782" customFormat="1" x14ac:dyDescent="0.25"/>
    <row r="169783" customFormat="1" x14ac:dyDescent="0.25"/>
    <row r="169784" customFormat="1" x14ac:dyDescent="0.25"/>
    <row r="169785" customFormat="1" x14ac:dyDescent="0.25"/>
    <row r="169786" customFormat="1" x14ac:dyDescent="0.25"/>
    <row r="169787" customFormat="1" x14ac:dyDescent="0.25"/>
    <row r="169788" customFormat="1" x14ac:dyDescent="0.25"/>
    <row r="169789" customFormat="1" x14ac:dyDescent="0.25"/>
    <row r="169790" customFormat="1" x14ac:dyDescent="0.25"/>
    <row r="169791" customFormat="1" x14ac:dyDescent="0.25"/>
    <row r="169792" customFormat="1" x14ac:dyDescent="0.25"/>
    <row r="169793" customFormat="1" x14ac:dyDescent="0.25"/>
    <row r="169794" customFormat="1" x14ac:dyDescent="0.25"/>
    <row r="169795" customFormat="1" x14ac:dyDescent="0.25"/>
    <row r="169796" customFormat="1" x14ac:dyDescent="0.25"/>
    <row r="169797" customFormat="1" x14ac:dyDescent="0.25"/>
    <row r="169798" customFormat="1" x14ac:dyDescent="0.25"/>
    <row r="169799" customFormat="1" x14ac:dyDescent="0.25"/>
    <row r="169800" customFormat="1" x14ac:dyDescent="0.25"/>
    <row r="169801" customFormat="1" x14ac:dyDescent="0.25"/>
    <row r="169802" customFormat="1" x14ac:dyDescent="0.25"/>
    <row r="169803" customFormat="1" x14ac:dyDescent="0.25"/>
    <row r="169804" customFormat="1" x14ac:dyDescent="0.25"/>
    <row r="169805" customFormat="1" x14ac:dyDescent="0.25"/>
    <row r="169806" customFormat="1" x14ac:dyDescent="0.25"/>
    <row r="169807" customFormat="1" x14ac:dyDescent="0.25"/>
    <row r="169808" customFormat="1" x14ac:dyDescent="0.25"/>
    <row r="169809" customFormat="1" x14ac:dyDescent="0.25"/>
    <row r="169810" customFormat="1" x14ac:dyDescent="0.25"/>
    <row r="169811" customFormat="1" x14ac:dyDescent="0.25"/>
    <row r="169812" customFormat="1" x14ac:dyDescent="0.25"/>
    <row r="169813" customFormat="1" x14ac:dyDescent="0.25"/>
    <row r="169814" customFormat="1" x14ac:dyDescent="0.25"/>
    <row r="169815" customFormat="1" x14ac:dyDescent="0.25"/>
    <row r="169816" customFormat="1" x14ac:dyDescent="0.25"/>
    <row r="169817" customFormat="1" x14ac:dyDescent="0.25"/>
    <row r="169818" customFormat="1" x14ac:dyDescent="0.25"/>
    <row r="169819" customFormat="1" x14ac:dyDescent="0.25"/>
    <row r="169820" customFormat="1" x14ac:dyDescent="0.25"/>
    <row r="169821" customFormat="1" x14ac:dyDescent="0.25"/>
    <row r="169822" customFormat="1" x14ac:dyDescent="0.25"/>
    <row r="169823" customFormat="1" x14ac:dyDescent="0.25"/>
    <row r="169824" customFormat="1" x14ac:dyDescent="0.25"/>
    <row r="169825" customFormat="1" x14ac:dyDescent="0.25"/>
    <row r="169826" customFormat="1" x14ac:dyDescent="0.25"/>
    <row r="169827" customFormat="1" x14ac:dyDescent="0.25"/>
    <row r="169828" customFormat="1" x14ac:dyDescent="0.25"/>
    <row r="169829" customFormat="1" x14ac:dyDescent="0.25"/>
    <row r="169830" customFormat="1" x14ac:dyDescent="0.25"/>
    <row r="169831" customFormat="1" x14ac:dyDescent="0.25"/>
    <row r="169832" customFormat="1" x14ac:dyDescent="0.25"/>
    <row r="169833" customFormat="1" x14ac:dyDescent="0.25"/>
    <row r="169834" customFormat="1" x14ac:dyDescent="0.25"/>
    <row r="169835" customFormat="1" x14ac:dyDescent="0.25"/>
    <row r="169836" customFormat="1" x14ac:dyDescent="0.25"/>
    <row r="169837" customFormat="1" x14ac:dyDescent="0.25"/>
    <row r="169838" customFormat="1" x14ac:dyDescent="0.25"/>
    <row r="169839" customFormat="1" x14ac:dyDescent="0.25"/>
    <row r="169840" customFormat="1" x14ac:dyDescent="0.25"/>
    <row r="169841" customFormat="1" x14ac:dyDescent="0.25"/>
    <row r="169842" customFormat="1" x14ac:dyDescent="0.25"/>
    <row r="169843" customFormat="1" x14ac:dyDescent="0.25"/>
    <row r="169844" customFormat="1" x14ac:dyDescent="0.25"/>
    <row r="169845" customFormat="1" x14ac:dyDescent="0.25"/>
    <row r="169846" customFormat="1" x14ac:dyDescent="0.25"/>
    <row r="169847" customFormat="1" x14ac:dyDescent="0.25"/>
    <row r="169848" customFormat="1" x14ac:dyDescent="0.25"/>
    <row r="169849" customFormat="1" x14ac:dyDescent="0.25"/>
    <row r="169850" customFormat="1" x14ac:dyDescent="0.25"/>
    <row r="169851" customFormat="1" x14ac:dyDescent="0.25"/>
    <row r="169852" customFormat="1" x14ac:dyDescent="0.25"/>
    <row r="169853" customFormat="1" x14ac:dyDescent="0.25"/>
    <row r="169854" customFormat="1" x14ac:dyDescent="0.25"/>
    <row r="169855" customFormat="1" x14ac:dyDescent="0.25"/>
    <row r="169856" customFormat="1" x14ac:dyDescent="0.25"/>
    <row r="169857" customFormat="1" x14ac:dyDescent="0.25"/>
    <row r="169858" customFormat="1" x14ac:dyDescent="0.25"/>
    <row r="169859" customFormat="1" x14ac:dyDescent="0.25"/>
    <row r="169860" customFormat="1" x14ac:dyDescent="0.25"/>
    <row r="169861" customFormat="1" x14ac:dyDescent="0.25"/>
    <row r="169862" customFormat="1" x14ac:dyDescent="0.25"/>
    <row r="169863" customFormat="1" x14ac:dyDescent="0.25"/>
    <row r="169864" customFormat="1" x14ac:dyDescent="0.25"/>
    <row r="169865" customFormat="1" x14ac:dyDescent="0.25"/>
    <row r="169866" customFormat="1" x14ac:dyDescent="0.25"/>
    <row r="169867" customFormat="1" x14ac:dyDescent="0.25"/>
    <row r="169868" customFormat="1" x14ac:dyDescent="0.25"/>
    <row r="169869" customFormat="1" x14ac:dyDescent="0.25"/>
    <row r="169870" customFormat="1" x14ac:dyDescent="0.25"/>
    <row r="169871" customFormat="1" x14ac:dyDescent="0.25"/>
    <row r="169872" customFormat="1" x14ac:dyDescent="0.25"/>
    <row r="169873" customFormat="1" x14ac:dyDescent="0.25"/>
    <row r="169874" customFormat="1" x14ac:dyDescent="0.25"/>
    <row r="169875" customFormat="1" x14ac:dyDescent="0.25"/>
    <row r="169876" customFormat="1" x14ac:dyDescent="0.25"/>
    <row r="169877" customFormat="1" x14ac:dyDescent="0.25"/>
    <row r="169878" customFormat="1" x14ac:dyDescent="0.25"/>
    <row r="169879" customFormat="1" x14ac:dyDescent="0.25"/>
    <row r="169880" customFormat="1" x14ac:dyDescent="0.25"/>
    <row r="169881" customFormat="1" x14ac:dyDescent="0.25"/>
    <row r="169882" customFormat="1" x14ac:dyDescent="0.25"/>
    <row r="169883" customFormat="1" x14ac:dyDescent="0.25"/>
    <row r="169884" customFormat="1" x14ac:dyDescent="0.25"/>
    <row r="169885" customFormat="1" x14ac:dyDescent="0.25"/>
    <row r="169886" customFormat="1" x14ac:dyDescent="0.25"/>
    <row r="169887" customFormat="1" x14ac:dyDescent="0.25"/>
    <row r="169888" customFormat="1" x14ac:dyDescent="0.25"/>
    <row r="169889" customFormat="1" x14ac:dyDescent="0.25"/>
    <row r="169890" customFormat="1" x14ac:dyDescent="0.25"/>
    <row r="169891" customFormat="1" x14ac:dyDescent="0.25"/>
    <row r="169892" customFormat="1" x14ac:dyDescent="0.25"/>
    <row r="169893" customFormat="1" x14ac:dyDescent="0.25"/>
    <row r="169894" customFormat="1" x14ac:dyDescent="0.25"/>
    <row r="169895" customFormat="1" x14ac:dyDescent="0.25"/>
    <row r="169896" customFormat="1" x14ac:dyDescent="0.25"/>
    <row r="169897" customFormat="1" x14ac:dyDescent="0.25"/>
    <row r="169898" customFormat="1" x14ac:dyDescent="0.25"/>
    <row r="169899" customFormat="1" x14ac:dyDescent="0.25"/>
    <row r="169900" customFormat="1" x14ac:dyDescent="0.25"/>
    <row r="169901" customFormat="1" x14ac:dyDescent="0.25"/>
    <row r="169902" customFormat="1" x14ac:dyDescent="0.25"/>
    <row r="169903" customFormat="1" x14ac:dyDescent="0.25"/>
    <row r="169904" customFormat="1" x14ac:dyDescent="0.25"/>
    <row r="169905" customFormat="1" x14ac:dyDescent="0.25"/>
    <row r="169906" customFormat="1" x14ac:dyDescent="0.25"/>
    <row r="169907" customFormat="1" x14ac:dyDescent="0.25"/>
    <row r="169908" customFormat="1" x14ac:dyDescent="0.25"/>
    <row r="169909" customFormat="1" x14ac:dyDescent="0.25"/>
    <row r="169910" customFormat="1" x14ac:dyDescent="0.25"/>
    <row r="169911" customFormat="1" x14ac:dyDescent="0.25"/>
    <row r="169912" customFormat="1" x14ac:dyDescent="0.25"/>
    <row r="169913" customFormat="1" x14ac:dyDescent="0.25"/>
    <row r="169914" customFormat="1" x14ac:dyDescent="0.25"/>
    <row r="169915" customFormat="1" x14ac:dyDescent="0.25"/>
    <row r="169916" customFormat="1" x14ac:dyDescent="0.25"/>
    <row r="169917" customFormat="1" x14ac:dyDescent="0.25"/>
    <row r="169918" customFormat="1" x14ac:dyDescent="0.25"/>
    <row r="169919" customFormat="1" x14ac:dyDescent="0.25"/>
    <row r="169920" customFormat="1" x14ac:dyDescent="0.25"/>
    <row r="169921" customFormat="1" x14ac:dyDescent="0.25"/>
    <row r="169922" customFormat="1" x14ac:dyDescent="0.25"/>
    <row r="169923" customFormat="1" x14ac:dyDescent="0.25"/>
    <row r="169924" customFormat="1" x14ac:dyDescent="0.25"/>
    <row r="169925" customFormat="1" x14ac:dyDescent="0.25"/>
    <row r="169926" customFormat="1" x14ac:dyDescent="0.25"/>
    <row r="169927" customFormat="1" x14ac:dyDescent="0.25"/>
    <row r="169928" customFormat="1" x14ac:dyDescent="0.25"/>
    <row r="169929" customFormat="1" x14ac:dyDescent="0.25"/>
    <row r="169930" customFormat="1" x14ac:dyDescent="0.25"/>
    <row r="169931" customFormat="1" x14ac:dyDescent="0.25"/>
    <row r="169932" customFormat="1" x14ac:dyDescent="0.25"/>
    <row r="169933" customFormat="1" x14ac:dyDescent="0.25"/>
    <row r="169934" customFormat="1" x14ac:dyDescent="0.25"/>
    <row r="169935" customFormat="1" x14ac:dyDescent="0.25"/>
    <row r="169936" customFormat="1" x14ac:dyDescent="0.25"/>
    <row r="169937" customFormat="1" x14ac:dyDescent="0.25"/>
    <row r="169938" customFormat="1" x14ac:dyDescent="0.25"/>
    <row r="169939" customFormat="1" x14ac:dyDescent="0.25"/>
    <row r="169940" customFormat="1" x14ac:dyDescent="0.25"/>
    <row r="169941" customFormat="1" x14ac:dyDescent="0.25"/>
    <row r="169942" customFormat="1" x14ac:dyDescent="0.25"/>
    <row r="169943" customFormat="1" x14ac:dyDescent="0.25"/>
    <row r="169944" customFormat="1" x14ac:dyDescent="0.25"/>
    <row r="169945" customFormat="1" x14ac:dyDescent="0.25"/>
    <row r="169946" customFormat="1" x14ac:dyDescent="0.25"/>
    <row r="169947" customFormat="1" x14ac:dyDescent="0.25"/>
    <row r="169948" customFormat="1" x14ac:dyDescent="0.25"/>
    <row r="169949" customFormat="1" x14ac:dyDescent="0.25"/>
    <row r="169950" customFormat="1" x14ac:dyDescent="0.25"/>
    <row r="169951" customFormat="1" x14ac:dyDescent="0.25"/>
    <row r="169952" customFormat="1" x14ac:dyDescent="0.25"/>
    <row r="169953" customFormat="1" x14ac:dyDescent="0.25"/>
    <row r="169954" customFormat="1" x14ac:dyDescent="0.25"/>
    <row r="169955" customFormat="1" x14ac:dyDescent="0.25"/>
    <row r="169956" customFormat="1" x14ac:dyDescent="0.25"/>
    <row r="169957" customFormat="1" x14ac:dyDescent="0.25"/>
    <row r="169958" customFormat="1" x14ac:dyDescent="0.25"/>
    <row r="169959" customFormat="1" x14ac:dyDescent="0.25"/>
    <row r="169960" customFormat="1" x14ac:dyDescent="0.25"/>
    <row r="169961" customFormat="1" x14ac:dyDescent="0.25"/>
    <row r="169962" customFormat="1" x14ac:dyDescent="0.25"/>
    <row r="169963" customFormat="1" x14ac:dyDescent="0.25"/>
    <row r="169964" customFormat="1" x14ac:dyDescent="0.25"/>
    <row r="169965" customFormat="1" x14ac:dyDescent="0.25"/>
    <row r="169966" customFormat="1" x14ac:dyDescent="0.25"/>
    <row r="169967" customFormat="1" x14ac:dyDescent="0.25"/>
    <row r="169968" customFormat="1" x14ac:dyDescent="0.25"/>
    <row r="169969" customFormat="1" x14ac:dyDescent="0.25"/>
    <row r="169970" customFormat="1" x14ac:dyDescent="0.25"/>
    <row r="169971" customFormat="1" x14ac:dyDescent="0.25"/>
    <row r="169972" customFormat="1" x14ac:dyDescent="0.25"/>
    <row r="169973" customFormat="1" x14ac:dyDescent="0.25"/>
    <row r="169974" customFormat="1" x14ac:dyDescent="0.25"/>
    <row r="169975" customFormat="1" x14ac:dyDescent="0.25"/>
    <row r="169976" customFormat="1" x14ac:dyDescent="0.25"/>
    <row r="169977" customFormat="1" x14ac:dyDescent="0.25"/>
    <row r="169978" customFormat="1" x14ac:dyDescent="0.25"/>
    <row r="169979" customFormat="1" x14ac:dyDescent="0.25"/>
    <row r="169980" customFormat="1" x14ac:dyDescent="0.25"/>
    <row r="169981" customFormat="1" x14ac:dyDescent="0.25"/>
    <row r="169982" customFormat="1" x14ac:dyDescent="0.25"/>
    <row r="169983" customFormat="1" x14ac:dyDescent="0.25"/>
    <row r="169984" customFormat="1" x14ac:dyDescent="0.25"/>
    <row r="169985" customFormat="1" x14ac:dyDescent="0.25"/>
    <row r="169986" customFormat="1" x14ac:dyDescent="0.25"/>
    <row r="169987" customFormat="1" x14ac:dyDescent="0.25"/>
    <row r="169988" customFormat="1" x14ac:dyDescent="0.25"/>
    <row r="169989" customFormat="1" x14ac:dyDescent="0.25"/>
    <row r="169990" customFormat="1" x14ac:dyDescent="0.25"/>
    <row r="169991" customFormat="1" x14ac:dyDescent="0.25"/>
    <row r="169992" customFormat="1" x14ac:dyDescent="0.25"/>
    <row r="169993" customFormat="1" x14ac:dyDescent="0.25"/>
    <row r="169994" customFormat="1" x14ac:dyDescent="0.25"/>
    <row r="169995" customFormat="1" x14ac:dyDescent="0.25"/>
    <row r="169996" customFormat="1" x14ac:dyDescent="0.25"/>
    <row r="169997" customFormat="1" x14ac:dyDescent="0.25"/>
    <row r="169998" customFormat="1" x14ac:dyDescent="0.25"/>
    <row r="169999" customFormat="1" x14ac:dyDescent="0.25"/>
    <row r="170000" customFormat="1" x14ac:dyDescent="0.25"/>
    <row r="170001" customFormat="1" x14ac:dyDescent="0.25"/>
    <row r="170002" customFormat="1" x14ac:dyDescent="0.25"/>
    <row r="170003" customFormat="1" x14ac:dyDescent="0.25"/>
    <row r="170004" customFormat="1" x14ac:dyDescent="0.25"/>
    <row r="170005" customFormat="1" x14ac:dyDescent="0.25"/>
    <row r="170006" customFormat="1" x14ac:dyDescent="0.25"/>
    <row r="170007" customFormat="1" x14ac:dyDescent="0.25"/>
    <row r="170008" customFormat="1" x14ac:dyDescent="0.25"/>
    <row r="170009" customFormat="1" x14ac:dyDescent="0.25"/>
    <row r="170010" customFormat="1" x14ac:dyDescent="0.25"/>
    <row r="170011" customFormat="1" x14ac:dyDescent="0.25"/>
    <row r="170012" customFormat="1" x14ac:dyDescent="0.25"/>
    <row r="170013" customFormat="1" x14ac:dyDescent="0.25"/>
    <row r="170014" customFormat="1" x14ac:dyDescent="0.25"/>
    <row r="170015" customFormat="1" x14ac:dyDescent="0.25"/>
    <row r="170016" customFormat="1" x14ac:dyDescent="0.25"/>
    <row r="170017" customFormat="1" x14ac:dyDescent="0.25"/>
    <row r="170018" customFormat="1" x14ac:dyDescent="0.25"/>
    <row r="170019" customFormat="1" x14ac:dyDescent="0.25"/>
    <row r="170020" customFormat="1" x14ac:dyDescent="0.25"/>
    <row r="170021" customFormat="1" x14ac:dyDescent="0.25"/>
    <row r="170022" customFormat="1" x14ac:dyDescent="0.25"/>
    <row r="170023" customFormat="1" x14ac:dyDescent="0.25"/>
    <row r="170024" customFormat="1" x14ac:dyDescent="0.25"/>
    <row r="170025" customFormat="1" x14ac:dyDescent="0.25"/>
    <row r="170026" customFormat="1" x14ac:dyDescent="0.25"/>
    <row r="170027" customFormat="1" x14ac:dyDescent="0.25"/>
    <row r="170028" customFormat="1" x14ac:dyDescent="0.25"/>
    <row r="170029" customFormat="1" x14ac:dyDescent="0.25"/>
    <row r="170030" customFormat="1" x14ac:dyDescent="0.25"/>
    <row r="170031" customFormat="1" x14ac:dyDescent="0.25"/>
    <row r="170032" customFormat="1" x14ac:dyDescent="0.25"/>
    <row r="170033" customFormat="1" x14ac:dyDescent="0.25"/>
    <row r="170034" customFormat="1" x14ac:dyDescent="0.25"/>
    <row r="170035" customFormat="1" x14ac:dyDescent="0.25"/>
    <row r="170036" customFormat="1" x14ac:dyDescent="0.25"/>
    <row r="170037" customFormat="1" x14ac:dyDescent="0.25"/>
    <row r="170038" customFormat="1" x14ac:dyDescent="0.25"/>
    <row r="170039" customFormat="1" x14ac:dyDescent="0.25"/>
    <row r="170040" customFormat="1" x14ac:dyDescent="0.25"/>
    <row r="170041" customFormat="1" x14ac:dyDescent="0.25"/>
    <row r="170042" customFormat="1" x14ac:dyDescent="0.25"/>
    <row r="170043" customFormat="1" x14ac:dyDescent="0.25"/>
    <row r="170044" customFormat="1" x14ac:dyDescent="0.25"/>
    <row r="170045" customFormat="1" x14ac:dyDescent="0.25"/>
    <row r="170046" customFormat="1" x14ac:dyDescent="0.25"/>
    <row r="170047" customFormat="1" x14ac:dyDescent="0.25"/>
    <row r="170048" customFormat="1" x14ac:dyDescent="0.25"/>
    <row r="170049" customFormat="1" x14ac:dyDescent="0.25"/>
    <row r="170050" customFormat="1" x14ac:dyDescent="0.25"/>
    <row r="170051" customFormat="1" x14ac:dyDescent="0.25"/>
    <row r="170052" customFormat="1" x14ac:dyDescent="0.25"/>
    <row r="170053" customFormat="1" x14ac:dyDescent="0.25"/>
    <row r="170054" customFormat="1" x14ac:dyDescent="0.25"/>
    <row r="170055" customFormat="1" x14ac:dyDescent="0.25"/>
    <row r="170056" customFormat="1" x14ac:dyDescent="0.25"/>
    <row r="170057" customFormat="1" x14ac:dyDescent="0.25"/>
    <row r="170058" customFormat="1" x14ac:dyDescent="0.25"/>
    <row r="170059" customFormat="1" x14ac:dyDescent="0.25"/>
    <row r="170060" customFormat="1" x14ac:dyDescent="0.25"/>
    <row r="170061" customFormat="1" x14ac:dyDescent="0.25"/>
    <row r="170062" customFormat="1" x14ac:dyDescent="0.25"/>
    <row r="170063" customFormat="1" x14ac:dyDescent="0.25"/>
    <row r="170064" customFormat="1" x14ac:dyDescent="0.25"/>
    <row r="170065" customFormat="1" x14ac:dyDescent="0.25"/>
    <row r="170066" customFormat="1" x14ac:dyDescent="0.25"/>
    <row r="170067" customFormat="1" x14ac:dyDescent="0.25"/>
    <row r="170068" customFormat="1" x14ac:dyDescent="0.25"/>
    <row r="170069" customFormat="1" x14ac:dyDescent="0.25"/>
    <row r="170070" customFormat="1" x14ac:dyDescent="0.25"/>
    <row r="170071" customFormat="1" x14ac:dyDescent="0.25"/>
    <row r="170072" customFormat="1" x14ac:dyDescent="0.25"/>
    <row r="170073" customFormat="1" x14ac:dyDescent="0.25"/>
    <row r="170074" customFormat="1" x14ac:dyDescent="0.25"/>
    <row r="170075" customFormat="1" x14ac:dyDescent="0.25"/>
    <row r="170076" customFormat="1" x14ac:dyDescent="0.25"/>
    <row r="170077" customFormat="1" x14ac:dyDescent="0.25"/>
    <row r="170078" customFormat="1" x14ac:dyDescent="0.25"/>
    <row r="170079" customFormat="1" x14ac:dyDescent="0.25"/>
    <row r="170080" customFormat="1" x14ac:dyDescent="0.25"/>
    <row r="170081" customFormat="1" x14ac:dyDescent="0.25"/>
    <row r="170082" customFormat="1" x14ac:dyDescent="0.25"/>
    <row r="170083" customFormat="1" x14ac:dyDescent="0.25"/>
    <row r="170084" customFormat="1" x14ac:dyDescent="0.25"/>
    <row r="170085" customFormat="1" x14ac:dyDescent="0.25"/>
    <row r="170086" customFormat="1" x14ac:dyDescent="0.25"/>
    <row r="170087" customFormat="1" x14ac:dyDescent="0.25"/>
    <row r="170088" customFormat="1" x14ac:dyDescent="0.25"/>
    <row r="170089" customFormat="1" x14ac:dyDescent="0.25"/>
    <row r="170090" customFormat="1" x14ac:dyDescent="0.25"/>
    <row r="170091" customFormat="1" x14ac:dyDescent="0.25"/>
    <row r="170092" customFormat="1" x14ac:dyDescent="0.25"/>
    <row r="170093" customFormat="1" x14ac:dyDescent="0.25"/>
    <row r="170094" customFormat="1" x14ac:dyDescent="0.25"/>
    <row r="170095" customFormat="1" x14ac:dyDescent="0.25"/>
    <row r="170096" customFormat="1" x14ac:dyDescent="0.25"/>
    <row r="170097" customFormat="1" x14ac:dyDescent="0.25"/>
    <row r="170098" customFormat="1" x14ac:dyDescent="0.25"/>
    <row r="170099" customFormat="1" x14ac:dyDescent="0.25"/>
    <row r="170100" customFormat="1" x14ac:dyDescent="0.25"/>
    <row r="170101" customFormat="1" x14ac:dyDescent="0.25"/>
    <row r="170102" customFormat="1" x14ac:dyDescent="0.25"/>
    <row r="170103" customFormat="1" x14ac:dyDescent="0.25"/>
    <row r="170104" customFormat="1" x14ac:dyDescent="0.25"/>
    <row r="170105" customFormat="1" x14ac:dyDescent="0.25"/>
    <row r="170106" customFormat="1" x14ac:dyDescent="0.25"/>
    <row r="170107" customFormat="1" x14ac:dyDescent="0.25"/>
    <row r="170108" customFormat="1" x14ac:dyDescent="0.25"/>
    <row r="170109" customFormat="1" x14ac:dyDescent="0.25"/>
    <row r="170110" customFormat="1" x14ac:dyDescent="0.25"/>
    <row r="170111" customFormat="1" x14ac:dyDescent="0.25"/>
    <row r="170112" customFormat="1" x14ac:dyDescent="0.25"/>
    <row r="170113" customFormat="1" x14ac:dyDescent="0.25"/>
    <row r="170114" customFormat="1" x14ac:dyDescent="0.25"/>
    <row r="170115" customFormat="1" x14ac:dyDescent="0.25"/>
    <row r="170116" customFormat="1" x14ac:dyDescent="0.25"/>
    <row r="170117" customFormat="1" x14ac:dyDescent="0.25"/>
    <row r="170118" customFormat="1" x14ac:dyDescent="0.25"/>
    <row r="170119" customFormat="1" x14ac:dyDescent="0.25"/>
    <row r="170120" customFormat="1" x14ac:dyDescent="0.25"/>
    <row r="170121" customFormat="1" x14ac:dyDescent="0.25"/>
    <row r="170122" customFormat="1" x14ac:dyDescent="0.25"/>
    <row r="170123" customFormat="1" x14ac:dyDescent="0.25"/>
    <row r="170124" customFormat="1" x14ac:dyDescent="0.25"/>
    <row r="170125" customFormat="1" x14ac:dyDescent="0.25"/>
    <row r="170126" customFormat="1" x14ac:dyDescent="0.25"/>
    <row r="170127" customFormat="1" x14ac:dyDescent="0.25"/>
    <row r="170128" customFormat="1" x14ac:dyDescent="0.25"/>
    <row r="170129" customFormat="1" x14ac:dyDescent="0.25"/>
    <row r="170130" customFormat="1" x14ac:dyDescent="0.25"/>
    <row r="170131" customFormat="1" x14ac:dyDescent="0.25"/>
    <row r="170132" customFormat="1" x14ac:dyDescent="0.25"/>
    <row r="170133" customFormat="1" x14ac:dyDescent="0.25"/>
    <row r="170134" customFormat="1" x14ac:dyDescent="0.25"/>
    <row r="170135" customFormat="1" x14ac:dyDescent="0.25"/>
    <row r="170136" customFormat="1" x14ac:dyDescent="0.25"/>
    <row r="170137" customFormat="1" x14ac:dyDescent="0.25"/>
    <row r="170138" customFormat="1" x14ac:dyDescent="0.25"/>
    <row r="170139" customFormat="1" x14ac:dyDescent="0.25"/>
    <row r="170140" customFormat="1" x14ac:dyDescent="0.25"/>
    <row r="170141" customFormat="1" x14ac:dyDescent="0.25"/>
    <row r="170142" customFormat="1" x14ac:dyDescent="0.25"/>
    <row r="170143" customFormat="1" x14ac:dyDescent="0.25"/>
    <row r="170144" customFormat="1" x14ac:dyDescent="0.25"/>
    <row r="170145" customFormat="1" x14ac:dyDescent="0.25"/>
    <row r="170146" customFormat="1" x14ac:dyDescent="0.25"/>
    <row r="170147" customFormat="1" x14ac:dyDescent="0.25"/>
    <row r="170148" customFormat="1" x14ac:dyDescent="0.25"/>
    <row r="170149" customFormat="1" x14ac:dyDescent="0.25"/>
    <row r="170150" customFormat="1" x14ac:dyDescent="0.25"/>
    <row r="170151" customFormat="1" x14ac:dyDescent="0.25"/>
    <row r="170152" customFormat="1" x14ac:dyDescent="0.25"/>
    <row r="170153" customFormat="1" x14ac:dyDescent="0.25"/>
    <row r="170154" customFormat="1" x14ac:dyDescent="0.25"/>
    <row r="170155" customFormat="1" x14ac:dyDescent="0.25"/>
    <row r="170156" customFormat="1" x14ac:dyDescent="0.25"/>
    <row r="170157" customFormat="1" x14ac:dyDescent="0.25"/>
    <row r="170158" customFormat="1" x14ac:dyDescent="0.25"/>
    <row r="170159" customFormat="1" x14ac:dyDescent="0.25"/>
    <row r="170160" customFormat="1" x14ac:dyDescent="0.25"/>
    <row r="170161" customFormat="1" x14ac:dyDescent="0.25"/>
    <row r="170162" customFormat="1" x14ac:dyDescent="0.25"/>
    <row r="170163" customFormat="1" x14ac:dyDescent="0.25"/>
    <row r="170164" customFormat="1" x14ac:dyDescent="0.25"/>
    <row r="170165" customFormat="1" x14ac:dyDescent="0.25"/>
    <row r="170166" customFormat="1" x14ac:dyDescent="0.25"/>
    <row r="170167" customFormat="1" x14ac:dyDescent="0.25"/>
    <row r="170168" customFormat="1" x14ac:dyDescent="0.25"/>
    <row r="170169" customFormat="1" x14ac:dyDescent="0.25"/>
    <row r="170170" customFormat="1" x14ac:dyDescent="0.25"/>
    <row r="170171" customFormat="1" x14ac:dyDescent="0.25"/>
    <row r="170172" customFormat="1" x14ac:dyDescent="0.25"/>
    <row r="170173" customFormat="1" x14ac:dyDescent="0.25"/>
    <row r="170174" customFormat="1" x14ac:dyDescent="0.25"/>
    <row r="170175" customFormat="1" x14ac:dyDescent="0.25"/>
    <row r="170176" customFormat="1" x14ac:dyDescent="0.25"/>
    <row r="170177" customFormat="1" x14ac:dyDescent="0.25"/>
    <row r="170178" customFormat="1" x14ac:dyDescent="0.25"/>
    <row r="170179" customFormat="1" x14ac:dyDescent="0.25"/>
    <row r="170180" customFormat="1" x14ac:dyDescent="0.25"/>
    <row r="170181" customFormat="1" x14ac:dyDescent="0.25"/>
    <row r="170182" customFormat="1" x14ac:dyDescent="0.25"/>
    <row r="170183" customFormat="1" x14ac:dyDescent="0.25"/>
    <row r="170184" customFormat="1" x14ac:dyDescent="0.25"/>
    <row r="170185" customFormat="1" x14ac:dyDescent="0.25"/>
    <row r="170186" customFormat="1" x14ac:dyDescent="0.25"/>
    <row r="170187" customFormat="1" x14ac:dyDescent="0.25"/>
    <row r="170188" customFormat="1" x14ac:dyDescent="0.25"/>
    <row r="170189" customFormat="1" x14ac:dyDescent="0.25"/>
    <row r="170190" customFormat="1" x14ac:dyDescent="0.25"/>
    <row r="170191" customFormat="1" x14ac:dyDescent="0.25"/>
    <row r="170192" customFormat="1" x14ac:dyDescent="0.25"/>
    <row r="170193" customFormat="1" x14ac:dyDescent="0.25"/>
    <row r="170194" customFormat="1" x14ac:dyDescent="0.25"/>
    <row r="170195" customFormat="1" x14ac:dyDescent="0.25"/>
    <row r="170196" customFormat="1" x14ac:dyDescent="0.25"/>
    <row r="170197" customFormat="1" x14ac:dyDescent="0.25"/>
    <row r="170198" customFormat="1" x14ac:dyDescent="0.25"/>
    <row r="170199" customFormat="1" x14ac:dyDescent="0.25"/>
    <row r="170200" customFormat="1" x14ac:dyDescent="0.25"/>
    <row r="170201" customFormat="1" x14ac:dyDescent="0.25"/>
    <row r="170202" customFormat="1" x14ac:dyDescent="0.25"/>
    <row r="170203" customFormat="1" x14ac:dyDescent="0.25"/>
    <row r="170204" customFormat="1" x14ac:dyDescent="0.25"/>
    <row r="170205" customFormat="1" x14ac:dyDescent="0.25"/>
    <row r="170206" customFormat="1" x14ac:dyDescent="0.25"/>
    <row r="170207" customFormat="1" x14ac:dyDescent="0.25"/>
    <row r="170208" customFormat="1" x14ac:dyDescent="0.25"/>
    <row r="170209" customFormat="1" x14ac:dyDescent="0.25"/>
    <row r="170210" customFormat="1" x14ac:dyDescent="0.25"/>
    <row r="170211" customFormat="1" x14ac:dyDescent="0.25"/>
    <row r="170212" customFormat="1" x14ac:dyDescent="0.25"/>
    <row r="170213" customFormat="1" x14ac:dyDescent="0.25"/>
    <row r="170214" customFormat="1" x14ac:dyDescent="0.25"/>
    <row r="170215" customFormat="1" x14ac:dyDescent="0.25"/>
    <row r="170216" customFormat="1" x14ac:dyDescent="0.25"/>
    <row r="170217" customFormat="1" x14ac:dyDescent="0.25"/>
    <row r="170218" customFormat="1" x14ac:dyDescent="0.25"/>
    <row r="170219" customFormat="1" x14ac:dyDescent="0.25"/>
    <row r="170220" customFormat="1" x14ac:dyDescent="0.25"/>
    <row r="170221" customFormat="1" x14ac:dyDescent="0.25"/>
    <row r="170222" customFormat="1" x14ac:dyDescent="0.25"/>
    <row r="170223" customFormat="1" x14ac:dyDescent="0.25"/>
    <row r="170224" customFormat="1" x14ac:dyDescent="0.25"/>
    <row r="170225" customFormat="1" x14ac:dyDescent="0.25"/>
    <row r="170226" customFormat="1" x14ac:dyDescent="0.25"/>
    <row r="170227" customFormat="1" x14ac:dyDescent="0.25"/>
    <row r="170228" customFormat="1" x14ac:dyDescent="0.25"/>
    <row r="170229" customFormat="1" x14ac:dyDescent="0.25"/>
    <row r="170230" customFormat="1" x14ac:dyDescent="0.25"/>
    <row r="170231" customFormat="1" x14ac:dyDescent="0.25"/>
    <row r="170232" customFormat="1" x14ac:dyDescent="0.25"/>
    <row r="170233" customFormat="1" x14ac:dyDescent="0.25"/>
    <row r="170234" customFormat="1" x14ac:dyDescent="0.25"/>
    <row r="170235" customFormat="1" x14ac:dyDescent="0.25"/>
    <row r="170236" customFormat="1" x14ac:dyDescent="0.25"/>
    <row r="170237" customFormat="1" x14ac:dyDescent="0.25"/>
    <row r="170238" customFormat="1" x14ac:dyDescent="0.25"/>
    <row r="170239" customFormat="1" x14ac:dyDescent="0.25"/>
    <row r="170240" customFormat="1" x14ac:dyDescent="0.25"/>
    <row r="170241" customFormat="1" x14ac:dyDescent="0.25"/>
    <row r="170242" customFormat="1" x14ac:dyDescent="0.25"/>
    <row r="170243" customFormat="1" x14ac:dyDescent="0.25"/>
    <row r="170244" customFormat="1" x14ac:dyDescent="0.25"/>
    <row r="170245" customFormat="1" x14ac:dyDescent="0.25"/>
    <row r="170246" customFormat="1" x14ac:dyDescent="0.25"/>
    <row r="170247" customFormat="1" x14ac:dyDescent="0.25"/>
    <row r="170248" customFormat="1" x14ac:dyDescent="0.25"/>
    <row r="170249" customFormat="1" x14ac:dyDescent="0.25"/>
    <row r="170250" customFormat="1" x14ac:dyDescent="0.25"/>
    <row r="170251" customFormat="1" x14ac:dyDescent="0.25"/>
    <row r="170252" customFormat="1" x14ac:dyDescent="0.25"/>
    <row r="170253" customFormat="1" x14ac:dyDescent="0.25"/>
    <row r="170254" customFormat="1" x14ac:dyDescent="0.25"/>
    <row r="170255" customFormat="1" x14ac:dyDescent="0.25"/>
    <row r="170256" customFormat="1" x14ac:dyDescent="0.25"/>
    <row r="170257" customFormat="1" x14ac:dyDescent="0.25"/>
    <row r="170258" customFormat="1" x14ac:dyDescent="0.25"/>
    <row r="170259" customFormat="1" x14ac:dyDescent="0.25"/>
    <row r="170260" customFormat="1" x14ac:dyDescent="0.25"/>
    <row r="170261" customFormat="1" x14ac:dyDescent="0.25"/>
    <row r="170262" customFormat="1" x14ac:dyDescent="0.25"/>
    <row r="170263" customFormat="1" x14ac:dyDescent="0.25"/>
    <row r="170264" customFormat="1" x14ac:dyDescent="0.25"/>
    <row r="170265" customFormat="1" x14ac:dyDescent="0.25"/>
    <row r="170266" customFormat="1" x14ac:dyDescent="0.25"/>
    <row r="170267" customFormat="1" x14ac:dyDescent="0.25"/>
    <row r="170268" customFormat="1" x14ac:dyDescent="0.25"/>
    <row r="170269" customFormat="1" x14ac:dyDescent="0.25"/>
    <row r="170270" customFormat="1" x14ac:dyDescent="0.25"/>
    <row r="170271" customFormat="1" x14ac:dyDescent="0.25"/>
    <row r="170272" customFormat="1" x14ac:dyDescent="0.25"/>
    <row r="170273" customFormat="1" x14ac:dyDescent="0.25"/>
    <row r="170274" customFormat="1" x14ac:dyDescent="0.25"/>
    <row r="170275" customFormat="1" x14ac:dyDescent="0.25"/>
    <row r="170276" customFormat="1" x14ac:dyDescent="0.25"/>
    <row r="170277" customFormat="1" x14ac:dyDescent="0.25"/>
    <row r="170278" customFormat="1" x14ac:dyDescent="0.25"/>
    <row r="170279" customFormat="1" x14ac:dyDescent="0.25"/>
    <row r="170280" customFormat="1" x14ac:dyDescent="0.25"/>
    <row r="170281" customFormat="1" x14ac:dyDescent="0.25"/>
    <row r="170282" customFormat="1" x14ac:dyDescent="0.25"/>
    <row r="170283" customFormat="1" x14ac:dyDescent="0.25"/>
    <row r="170284" customFormat="1" x14ac:dyDescent="0.25"/>
    <row r="170285" customFormat="1" x14ac:dyDescent="0.25"/>
    <row r="170286" customFormat="1" x14ac:dyDescent="0.25"/>
    <row r="170287" customFormat="1" x14ac:dyDescent="0.25"/>
    <row r="170288" customFormat="1" x14ac:dyDescent="0.25"/>
    <row r="170289" customFormat="1" x14ac:dyDescent="0.25"/>
    <row r="170290" customFormat="1" x14ac:dyDescent="0.25"/>
    <row r="170291" customFormat="1" x14ac:dyDescent="0.25"/>
    <row r="170292" customFormat="1" x14ac:dyDescent="0.25"/>
    <row r="170293" customFormat="1" x14ac:dyDescent="0.25"/>
    <row r="170294" customFormat="1" x14ac:dyDescent="0.25"/>
    <row r="170295" customFormat="1" x14ac:dyDescent="0.25"/>
    <row r="170296" customFormat="1" x14ac:dyDescent="0.25"/>
    <row r="170297" customFormat="1" x14ac:dyDescent="0.25"/>
    <row r="170298" customFormat="1" x14ac:dyDescent="0.25"/>
    <row r="170299" customFormat="1" x14ac:dyDescent="0.25"/>
    <row r="170300" customFormat="1" x14ac:dyDescent="0.25"/>
    <row r="170301" customFormat="1" x14ac:dyDescent="0.25"/>
    <row r="170302" customFormat="1" x14ac:dyDescent="0.25"/>
    <row r="170303" customFormat="1" x14ac:dyDescent="0.25"/>
    <row r="170304" customFormat="1" x14ac:dyDescent="0.25"/>
    <row r="170305" customFormat="1" x14ac:dyDescent="0.25"/>
    <row r="170306" customFormat="1" x14ac:dyDescent="0.25"/>
    <row r="170307" customFormat="1" x14ac:dyDescent="0.25"/>
    <row r="170308" customFormat="1" x14ac:dyDescent="0.25"/>
    <row r="170309" customFormat="1" x14ac:dyDescent="0.25"/>
    <row r="170310" customFormat="1" x14ac:dyDescent="0.25"/>
    <row r="170311" customFormat="1" x14ac:dyDescent="0.25"/>
    <row r="170312" customFormat="1" x14ac:dyDescent="0.25"/>
    <row r="170313" customFormat="1" x14ac:dyDescent="0.25"/>
    <row r="170314" customFormat="1" x14ac:dyDescent="0.25"/>
    <row r="170315" customFormat="1" x14ac:dyDescent="0.25"/>
    <row r="170316" customFormat="1" x14ac:dyDescent="0.25"/>
    <row r="170317" customFormat="1" x14ac:dyDescent="0.25"/>
    <row r="170318" customFormat="1" x14ac:dyDescent="0.25"/>
    <row r="170319" customFormat="1" x14ac:dyDescent="0.25"/>
    <row r="170320" customFormat="1" x14ac:dyDescent="0.25"/>
    <row r="170321" customFormat="1" x14ac:dyDescent="0.25"/>
    <row r="170322" customFormat="1" x14ac:dyDescent="0.25"/>
    <row r="170323" customFormat="1" x14ac:dyDescent="0.25"/>
    <row r="170324" customFormat="1" x14ac:dyDescent="0.25"/>
    <row r="170325" customFormat="1" x14ac:dyDescent="0.25"/>
    <row r="170326" customFormat="1" x14ac:dyDescent="0.25"/>
    <row r="170327" customFormat="1" x14ac:dyDescent="0.25"/>
    <row r="170328" customFormat="1" x14ac:dyDescent="0.25"/>
    <row r="170329" customFormat="1" x14ac:dyDescent="0.25"/>
    <row r="170330" customFormat="1" x14ac:dyDescent="0.25"/>
    <row r="170331" customFormat="1" x14ac:dyDescent="0.25"/>
    <row r="170332" customFormat="1" x14ac:dyDescent="0.25"/>
    <row r="170333" customFormat="1" x14ac:dyDescent="0.25"/>
    <row r="170334" customFormat="1" x14ac:dyDescent="0.25"/>
    <row r="170335" customFormat="1" x14ac:dyDescent="0.25"/>
    <row r="170336" customFormat="1" x14ac:dyDescent="0.25"/>
    <row r="170337" customFormat="1" x14ac:dyDescent="0.25"/>
    <row r="170338" customFormat="1" x14ac:dyDescent="0.25"/>
    <row r="170339" customFormat="1" x14ac:dyDescent="0.25"/>
    <row r="170340" customFormat="1" x14ac:dyDescent="0.25"/>
    <row r="170341" customFormat="1" x14ac:dyDescent="0.25"/>
    <row r="170342" customFormat="1" x14ac:dyDescent="0.25"/>
    <row r="170343" customFormat="1" x14ac:dyDescent="0.25"/>
    <row r="170344" customFormat="1" x14ac:dyDescent="0.25"/>
    <row r="170345" customFormat="1" x14ac:dyDescent="0.25"/>
    <row r="170346" customFormat="1" x14ac:dyDescent="0.25"/>
    <row r="170347" customFormat="1" x14ac:dyDescent="0.25"/>
    <row r="170348" customFormat="1" x14ac:dyDescent="0.25"/>
    <row r="170349" customFormat="1" x14ac:dyDescent="0.25"/>
    <row r="170350" customFormat="1" x14ac:dyDescent="0.25"/>
    <row r="170351" customFormat="1" x14ac:dyDescent="0.25"/>
    <row r="170352" customFormat="1" x14ac:dyDescent="0.25"/>
    <row r="170353" customFormat="1" x14ac:dyDescent="0.25"/>
    <row r="170354" customFormat="1" x14ac:dyDescent="0.25"/>
    <row r="170355" customFormat="1" x14ac:dyDescent="0.25"/>
    <row r="170356" customFormat="1" x14ac:dyDescent="0.25"/>
    <row r="170357" customFormat="1" x14ac:dyDescent="0.25"/>
    <row r="170358" customFormat="1" x14ac:dyDescent="0.25"/>
    <row r="170359" customFormat="1" x14ac:dyDescent="0.25"/>
    <row r="170360" customFormat="1" x14ac:dyDescent="0.25"/>
    <row r="170361" customFormat="1" x14ac:dyDescent="0.25"/>
    <row r="170362" customFormat="1" x14ac:dyDescent="0.25"/>
    <row r="170363" customFormat="1" x14ac:dyDescent="0.25"/>
    <row r="170364" customFormat="1" x14ac:dyDescent="0.25"/>
    <row r="170365" customFormat="1" x14ac:dyDescent="0.25"/>
    <row r="170366" customFormat="1" x14ac:dyDescent="0.25"/>
    <row r="170367" customFormat="1" x14ac:dyDescent="0.25"/>
    <row r="170368" customFormat="1" x14ac:dyDescent="0.25"/>
    <row r="170369" customFormat="1" x14ac:dyDescent="0.25"/>
    <row r="170370" customFormat="1" x14ac:dyDescent="0.25"/>
    <row r="170371" customFormat="1" x14ac:dyDescent="0.25"/>
    <row r="170372" customFormat="1" x14ac:dyDescent="0.25"/>
    <row r="170373" customFormat="1" x14ac:dyDescent="0.25"/>
    <row r="170374" customFormat="1" x14ac:dyDescent="0.25"/>
    <row r="170375" customFormat="1" x14ac:dyDescent="0.25"/>
    <row r="170376" customFormat="1" x14ac:dyDescent="0.25"/>
    <row r="170377" customFormat="1" x14ac:dyDescent="0.25"/>
    <row r="170378" customFormat="1" x14ac:dyDescent="0.25"/>
    <row r="170379" customFormat="1" x14ac:dyDescent="0.25"/>
    <row r="170380" customFormat="1" x14ac:dyDescent="0.25"/>
    <row r="170381" customFormat="1" x14ac:dyDescent="0.25"/>
    <row r="170382" customFormat="1" x14ac:dyDescent="0.25"/>
    <row r="170383" customFormat="1" x14ac:dyDescent="0.25"/>
    <row r="170384" customFormat="1" x14ac:dyDescent="0.25"/>
    <row r="170385" customFormat="1" x14ac:dyDescent="0.25"/>
    <row r="170386" customFormat="1" x14ac:dyDescent="0.25"/>
    <row r="170387" customFormat="1" x14ac:dyDescent="0.25"/>
    <row r="170388" customFormat="1" x14ac:dyDescent="0.25"/>
    <row r="170389" customFormat="1" x14ac:dyDescent="0.25"/>
    <row r="170390" customFormat="1" x14ac:dyDescent="0.25"/>
    <row r="170391" customFormat="1" x14ac:dyDescent="0.25"/>
    <row r="170392" customFormat="1" x14ac:dyDescent="0.25"/>
    <row r="170393" customFormat="1" x14ac:dyDescent="0.25"/>
    <row r="170394" customFormat="1" x14ac:dyDescent="0.25"/>
    <row r="170395" customFormat="1" x14ac:dyDescent="0.25"/>
    <row r="170396" customFormat="1" x14ac:dyDescent="0.25"/>
    <row r="170397" customFormat="1" x14ac:dyDescent="0.25"/>
    <row r="170398" customFormat="1" x14ac:dyDescent="0.25"/>
    <row r="170399" customFormat="1" x14ac:dyDescent="0.25"/>
    <row r="170400" customFormat="1" x14ac:dyDescent="0.25"/>
    <row r="170401" customFormat="1" x14ac:dyDescent="0.25"/>
    <row r="170402" customFormat="1" x14ac:dyDescent="0.25"/>
    <row r="170403" customFormat="1" x14ac:dyDescent="0.25"/>
    <row r="170404" customFormat="1" x14ac:dyDescent="0.25"/>
    <row r="170405" customFormat="1" x14ac:dyDescent="0.25"/>
    <row r="170406" customFormat="1" x14ac:dyDescent="0.25"/>
    <row r="170407" customFormat="1" x14ac:dyDescent="0.25"/>
    <row r="170408" customFormat="1" x14ac:dyDescent="0.25"/>
    <row r="170409" customFormat="1" x14ac:dyDescent="0.25"/>
    <row r="170410" customFormat="1" x14ac:dyDescent="0.25"/>
    <row r="170411" customFormat="1" x14ac:dyDescent="0.25"/>
    <row r="170412" customFormat="1" x14ac:dyDescent="0.25"/>
    <row r="170413" customFormat="1" x14ac:dyDescent="0.25"/>
    <row r="170414" customFormat="1" x14ac:dyDescent="0.25"/>
    <row r="170415" customFormat="1" x14ac:dyDescent="0.25"/>
    <row r="170416" customFormat="1" x14ac:dyDescent="0.25"/>
    <row r="170417" customFormat="1" x14ac:dyDescent="0.25"/>
    <row r="170418" customFormat="1" x14ac:dyDescent="0.25"/>
    <row r="170419" customFormat="1" x14ac:dyDescent="0.25"/>
    <row r="170420" customFormat="1" x14ac:dyDescent="0.25"/>
    <row r="170421" customFormat="1" x14ac:dyDescent="0.25"/>
    <row r="170422" customFormat="1" x14ac:dyDescent="0.25"/>
    <row r="170423" customFormat="1" x14ac:dyDescent="0.25"/>
    <row r="170424" customFormat="1" x14ac:dyDescent="0.25"/>
    <row r="170425" customFormat="1" x14ac:dyDescent="0.25"/>
    <row r="170426" customFormat="1" x14ac:dyDescent="0.25"/>
    <row r="170427" customFormat="1" x14ac:dyDescent="0.25"/>
    <row r="170428" customFormat="1" x14ac:dyDescent="0.25"/>
    <row r="170429" customFormat="1" x14ac:dyDescent="0.25"/>
    <row r="170430" customFormat="1" x14ac:dyDescent="0.25"/>
    <row r="170431" customFormat="1" x14ac:dyDescent="0.25"/>
    <row r="170432" customFormat="1" x14ac:dyDescent="0.25"/>
    <row r="170433" customFormat="1" x14ac:dyDescent="0.25"/>
    <row r="170434" customFormat="1" x14ac:dyDescent="0.25"/>
    <row r="170435" customFormat="1" x14ac:dyDescent="0.25"/>
    <row r="170436" customFormat="1" x14ac:dyDescent="0.25"/>
    <row r="170437" customFormat="1" x14ac:dyDescent="0.25"/>
    <row r="170438" customFormat="1" x14ac:dyDescent="0.25"/>
    <row r="170439" customFormat="1" x14ac:dyDescent="0.25"/>
    <row r="170440" customFormat="1" x14ac:dyDescent="0.25"/>
    <row r="170441" customFormat="1" x14ac:dyDescent="0.25"/>
    <row r="170442" customFormat="1" x14ac:dyDescent="0.25"/>
    <row r="170443" customFormat="1" x14ac:dyDescent="0.25"/>
    <row r="170444" customFormat="1" x14ac:dyDescent="0.25"/>
    <row r="170445" customFormat="1" x14ac:dyDescent="0.25"/>
    <row r="170446" customFormat="1" x14ac:dyDescent="0.25"/>
    <row r="170447" customFormat="1" x14ac:dyDescent="0.25"/>
    <row r="170448" customFormat="1" x14ac:dyDescent="0.25"/>
    <row r="170449" customFormat="1" x14ac:dyDescent="0.25"/>
    <row r="170450" customFormat="1" x14ac:dyDescent="0.25"/>
    <row r="170451" customFormat="1" x14ac:dyDescent="0.25"/>
    <row r="170452" customFormat="1" x14ac:dyDescent="0.25"/>
    <row r="170453" customFormat="1" x14ac:dyDescent="0.25"/>
    <row r="170454" customFormat="1" x14ac:dyDescent="0.25"/>
    <row r="170455" customFormat="1" x14ac:dyDescent="0.25"/>
    <row r="170456" customFormat="1" x14ac:dyDescent="0.25"/>
    <row r="170457" customFormat="1" x14ac:dyDescent="0.25"/>
    <row r="170458" customFormat="1" x14ac:dyDescent="0.25"/>
    <row r="170459" customFormat="1" x14ac:dyDescent="0.25"/>
    <row r="170460" customFormat="1" x14ac:dyDescent="0.25"/>
    <row r="170461" customFormat="1" x14ac:dyDescent="0.25"/>
    <row r="170462" customFormat="1" x14ac:dyDescent="0.25"/>
    <row r="170463" customFormat="1" x14ac:dyDescent="0.25"/>
    <row r="170464" customFormat="1" x14ac:dyDescent="0.25"/>
    <row r="170465" customFormat="1" x14ac:dyDescent="0.25"/>
    <row r="170466" customFormat="1" x14ac:dyDescent="0.25"/>
    <row r="170467" customFormat="1" x14ac:dyDescent="0.25"/>
    <row r="170468" customFormat="1" x14ac:dyDescent="0.25"/>
    <row r="170469" customFormat="1" x14ac:dyDescent="0.25"/>
    <row r="170470" customFormat="1" x14ac:dyDescent="0.25"/>
    <row r="170471" customFormat="1" x14ac:dyDescent="0.25"/>
    <row r="170472" customFormat="1" x14ac:dyDescent="0.25"/>
    <row r="170473" customFormat="1" x14ac:dyDescent="0.25"/>
    <row r="170474" customFormat="1" x14ac:dyDescent="0.25"/>
    <row r="170475" customFormat="1" x14ac:dyDescent="0.25"/>
    <row r="170476" customFormat="1" x14ac:dyDescent="0.25"/>
    <row r="170477" customFormat="1" x14ac:dyDescent="0.25"/>
    <row r="170478" customFormat="1" x14ac:dyDescent="0.25"/>
    <row r="170479" customFormat="1" x14ac:dyDescent="0.25"/>
    <row r="170480" customFormat="1" x14ac:dyDescent="0.25"/>
    <row r="170481" customFormat="1" x14ac:dyDescent="0.25"/>
    <row r="170482" customFormat="1" x14ac:dyDescent="0.25"/>
    <row r="170483" customFormat="1" x14ac:dyDescent="0.25"/>
    <row r="170484" customFormat="1" x14ac:dyDescent="0.25"/>
    <row r="170485" customFormat="1" x14ac:dyDescent="0.25"/>
    <row r="170486" customFormat="1" x14ac:dyDescent="0.25"/>
    <row r="170487" customFormat="1" x14ac:dyDescent="0.25"/>
    <row r="170488" customFormat="1" x14ac:dyDescent="0.25"/>
    <row r="170489" customFormat="1" x14ac:dyDescent="0.25"/>
    <row r="170490" customFormat="1" x14ac:dyDescent="0.25"/>
    <row r="170491" customFormat="1" x14ac:dyDescent="0.25"/>
    <row r="170492" customFormat="1" x14ac:dyDescent="0.25"/>
    <row r="170493" customFormat="1" x14ac:dyDescent="0.25"/>
    <row r="170494" customFormat="1" x14ac:dyDescent="0.25"/>
    <row r="170495" customFormat="1" x14ac:dyDescent="0.25"/>
    <row r="170496" customFormat="1" x14ac:dyDescent="0.25"/>
    <row r="170497" customFormat="1" x14ac:dyDescent="0.25"/>
    <row r="170498" customFormat="1" x14ac:dyDescent="0.25"/>
    <row r="170499" customFormat="1" x14ac:dyDescent="0.25"/>
    <row r="170500" customFormat="1" x14ac:dyDescent="0.25"/>
    <row r="170501" customFormat="1" x14ac:dyDescent="0.25"/>
    <row r="170502" customFormat="1" x14ac:dyDescent="0.25"/>
    <row r="170503" customFormat="1" x14ac:dyDescent="0.25"/>
    <row r="170504" customFormat="1" x14ac:dyDescent="0.25"/>
    <row r="170505" customFormat="1" x14ac:dyDescent="0.25"/>
    <row r="170506" customFormat="1" x14ac:dyDescent="0.25"/>
    <row r="170507" customFormat="1" x14ac:dyDescent="0.25"/>
    <row r="170508" customFormat="1" x14ac:dyDescent="0.25"/>
    <row r="170509" customFormat="1" x14ac:dyDescent="0.25"/>
    <row r="170510" customFormat="1" x14ac:dyDescent="0.25"/>
    <row r="170511" customFormat="1" x14ac:dyDescent="0.25"/>
    <row r="170512" customFormat="1" x14ac:dyDescent="0.25"/>
    <row r="170513" customFormat="1" x14ac:dyDescent="0.25"/>
    <row r="170514" customFormat="1" x14ac:dyDescent="0.25"/>
    <row r="170515" customFormat="1" x14ac:dyDescent="0.25"/>
    <row r="170516" customFormat="1" x14ac:dyDescent="0.25"/>
    <row r="170517" customFormat="1" x14ac:dyDescent="0.25"/>
    <row r="170518" customFormat="1" x14ac:dyDescent="0.25"/>
    <row r="170519" customFormat="1" x14ac:dyDescent="0.25"/>
    <row r="170520" customFormat="1" x14ac:dyDescent="0.25"/>
    <row r="170521" customFormat="1" x14ac:dyDescent="0.25"/>
    <row r="170522" customFormat="1" x14ac:dyDescent="0.25"/>
    <row r="170523" customFormat="1" x14ac:dyDescent="0.25"/>
    <row r="170524" customFormat="1" x14ac:dyDescent="0.25"/>
    <row r="170525" customFormat="1" x14ac:dyDescent="0.25"/>
    <row r="170526" customFormat="1" x14ac:dyDescent="0.25"/>
    <row r="170527" customFormat="1" x14ac:dyDescent="0.25"/>
    <row r="170528" customFormat="1" x14ac:dyDescent="0.25"/>
    <row r="170529" customFormat="1" x14ac:dyDescent="0.25"/>
    <row r="170530" customFormat="1" x14ac:dyDescent="0.25"/>
    <row r="170531" customFormat="1" x14ac:dyDescent="0.25"/>
    <row r="170532" customFormat="1" x14ac:dyDescent="0.25"/>
    <row r="170533" customFormat="1" x14ac:dyDescent="0.25"/>
    <row r="170534" customFormat="1" x14ac:dyDescent="0.25"/>
    <row r="170535" customFormat="1" x14ac:dyDescent="0.25"/>
    <row r="170536" customFormat="1" x14ac:dyDescent="0.25"/>
    <row r="170537" customFormat="1" x14ac:dyDescent="0.25"/>
    <row r="170538" customFormat="1" x14ac:dyDescent="0.25"/>
    <row r="170539" customFormat="1" x14ac:dyDescent="0.25"/>
    <row r="170540" customFormat="1" x14ac:dyDescent="0.25"/>
    <row r="170541" customFormat="1" x14ac:dyDescent="0.25"/>
    <row r="170542" customFormat="1" x14ac:dyDescent="0.25"/>
    <row r="170543" customFormat="1" x14ac:dyDescent="0.25"/>
    <row r="170544" customFormat="1" x14ac:dyDescent="0.25"/>
    <row r="170545" customFormat="1" x14ac:dyDescent="0.25"/>
    <row r="170546" customFormat="1" x14ac:dyDescent="0.25"/>
    <row r="170547" customFormat="1" x14ac:dyDescent="0.25"/>
    <row r="170548" customFormat="1" x14ac:dyDescent="0.25"/>
    <row r="170549" customFormat="1" x14ac:dyDescent="0.25"/>
    <row r="170550" customFormat="1" x14ac:dyDescent="0.25"/>
    <row r="170551" customFormat="1" x14ac:dyDescent="0.25"/>
    <row r="170552" customFormat="1" x14ac:dyDescent="0.25"/>
    <row r="170553" customFormat="1" x14ac:dyDescent="0.25"/>
    <row r="170554" customFormat="1" x14ac:dyDescent="0.25"/>
    <row r="170555" customFormat="1" x14ac:dyDescent="0.25"/>
    <row r="170556" customFormat="1" x14ac:dyDescent="0.25"/>
    <row r="170557" customFormat="1" x14ac:dyDescent="0.25"/>
    <row r="170558" customFormat="1" x14ac:dyDescent="0.25"/>
    <row r="170559" customFormat="1" x14ac:dyDescent="0.25"/>
    <row r="170560" customFormat="1" x14ac:dyDescent="0.25"/>
    <row r="170561" customFormat="1" x14ac:dyDescent="0.25"/>
    <row r="170562" customFormat="1" x14ac:dyDescent="0.25"/>
    <row r="170563" customFormat="1" x14ac:dyDescent="0.25"/>
    <row r="170564" customFormat="1" x14ac:dyDescent="0.25"/>
    <row r="170565" customFormat="1" x14ac:dyDescent="0.25"/>
    <row r="170566" customFormat="1" x14ac:dyDescent="0.25"/>
    <row r="170567" customFormat="1" x14ac:dyDescent="0.25"/>
    <row r="170568" customFormat="1" x14ac:dyDescent="0.25"/>
    <row r="170569" customFormat="1" x14ac:dyDescent="0.25"/>
    <row r="170570" customFormat="1" x14ac:dyDescent="0.25"/>
    <row r="170571" customFormat="1" x14ac:dyDescent="0.25"/>
    <row r="170572" customFormat="1" x14ac:dyDescent="0.25"/>
    <row r="170573" customFormat="1" x14ac:dyDescent="0.25"/>
    <row r="170574" customFormat="1" x14ac:dyDescent="0.25"/>
    <row r="170575" customFormat="1" x14ac:dyDescent="0.25"/>
    <row r="170576" customFormat="1" x14ac:dyDescent="0.25"/>
    <row r="170577" customFormat="1" x14ac:dyDescent="0.25"/>
    <row r="170578" customFormat="1" x14ac:dyDescent="0.25"/>
    <row r="170579" customFormat="1" x14ac:dyDescent="0.25"/>
    <row r="170580" customFormat="1" x14ac:dyDescent="0.25"/>
    <row r="170581" customFormat="1" x14ac:dyDescent="0.25"/>
    <row r="170582" customFormat="1" x14ac:dyDescent="0.25"/>
    <row r="170583" customFormat="1" x14ac:dyDescent="0.25"/>
    <row r="170584" customFormat="1" x14ac:dyDescent="0.25"/>
    <row r="170585" customFormat="1" x14ac:dyDescent="0.25"/>
    <row r="170586" customFormat="1" x14ac:dyDescent="0.25"/>
    <row r="170587" customFormat="1" x14ac:dyDescent="0.25"/>
    <row r="170588" customFormat="1" x14ac:dyDescent="0.25"/>
    <row r="170589" customFormat="1" x14ac:dyDescent="0.25"/>
    <row r="170590" customFormat="1" x14ac:dyDescent="0.25"/>
    <row r="170591" customFormat="1" x14ac:dyDescent="0.25"/>
    <row r="170592" customFormat="1" x14ac:dyDescent="0.25"/>
    <row r="170593" customFormat="1" x14ac:dyDescent="0.25"/>
    <row r="170594" customFormat="1" x14ac:dyDescent="0.25"/>
    <row r="170595" customFormat="1" x14ac:dyDescent="0.25"/>
    <row r="170596" customFormat="1" x14ac:dyDescent="0.25"/>
    <row r="170597" customFormat="1" x14ac:dyDescent="0.25"/>
    <row r="170598" customFormat="1" x14ac:dyDescent="0.25"/>
    <row r="170599" customFormat="1" x14ac:dyDescent="0.25"/>
    <row r="170600" customFormat="1" x14ac:dyDescent="0.25"/>
    <row r="170601" customFormat="1" x14ac:dyDescent="0.25"/>
    <row r="170602" customFormat="1" x14ac:dyDescent="0.25"/>
    <row r="170603" customFormat="1" x14ac:dyDescent="0.25"/>
    <row r="170604" customFormat="1" x14ac:dyDescent="0.25"/>
    <row r="170605" customFormat="1" x14ac:dyDescent="0.25"/>
    <row r="170606" customFormat="1" x14ac:dyDescent="0.25"/>
    <row r="170607" customFormat="1" x14ac:dyDescent="0.25"/>
    <row r="170608" customFormat="1" x14ac:dyDescent="0.25"/>
    <row r="170609" customFormat="1" x14ac:dyDescent="0.25"/>
    <row r="170610" customFormat="1" x14ac:dyDescent="0.25"/>
    <row r="170611" customFormat="1" x14ac:dyDescent="0.25"/>
    <row r="170612" customFormat="1" x14ac:dyDescent="0.25"/>
    <row r="170613" customFormat="1" x14ac:dyDescent="0.25"/>
    <row r="170614" customFormat="1" x14ac:dyDescent="0.25"/>
    <row r="170615" customFormat="1" x14ac:dyDescent="0.25"/>
    <row r="170616" customFormat="1" x14ac:dyDescent="0.25"/>
    <row r="170617" customFormat="1" x14ac:dyDescent="0.25"/>
    <row r="170618" customFormat="1" x14ac:dyDescent="0.25"/>
    <row r="170619" customFormat="1" x14ac:dyDescent="0.25"/>
    <row r="170620" customFormat="1" x14ac:dyDescent="0.25"/>
    <row r="170621" customFormat="1" x14ac:dyDescent="0.25"/>
    <row r="170622" customFormat="1" x14ac:dyDescent="0.25"/>
    <row r="170623" customFormat="1" x14ac:dyDescent="0.25"/>
    <row r="170624" customFormat="1" x14ac:dyDescent="0.25"/>
    <row r="170625" customFormat="1" x14ac:dyDescent="0.25"/>
    <row r="170626" customFormat="1" x14ac:dyDescent="0.25"/>
    <row r="170627" customFormat="1" x14ac:dyDescent="0.25"/>
    <row r="170628" customFormat="1" x14ac:dyDescent="0.25"/>
    <row r="170629" customFormat="1" x14ac:dyDescent="0.25"/>
    <row r="170630" customFormat="1" x14ac:dyDescent="0.25"/>
    <row r="170631" customFormat="1" x14ac:dyDescent="0.25"/>
    <row r="170632" customFormat="1" x14ac:dyDescent="0.25"/>
    <row r="170633" customFormat="1" x14ac:dyDescent="0.25"/>
    <row r="170634" customFormat="1" x14ac:dyDescent="0.25"/>
    <row r="170635" customFormat="1" x14ac:dyDescent="0.25"/>
    <row r="170636" customFormat="1" x14ac:dyDescent="0.25"/>
    <row r="170637" customFormat="1" x14ac:dyDescent="0.25"/>
    <row r="170638" customFormat="1" x14ac:dyDescent="0.25"/>
    <row r="170639" customFormat="1" x14ac:dyDescent="0.25"/>
    <row r="170640" customFormat="1" x14ac:dyDescent="0.25"/>
    <row r="170641" customFormat="1" x14ac:dyDescent="0.25"/>
    <row r="170642" customFormat="1" x14ac:dyDescent="0.25"/>
    <row r="170643" customFormat="1" x14ac:dyDescent="0.25"/>
    <row r="170644" customFormat="1" x14ac:dyDescent="0.25"/>
    <row r="170645" customFormat="1" x14ac:dyDescent="0.25"/>
    <row r="170646" customFormat="1" x14ac:dyDescent="0.25"/>
    <row r="170647" customFormat="1" x14ac:dyDescent="0.25"/>
    <row r="170648" customFormat="1" x14ac:dyDescent="0.25"/>
    <row r="170649" customFormat="1" x14ac:dyDescent="0.25"/>
    <row r="170650" customFormat="1" x14ac:dyDescent="0.25"/>
    <row r="170651" customFormat="1" x14ac:dyDescent="0.25"/>
    <row r="170652" customFormat="1" x14ac:dyDescent="0.25"/>
    <row r="170653" customFormat="1" x14ac:dyDescent="0.25"/>
    <row r="170654" customFormat="1" x14ac:dyDescent="0.25"/>
    <row r="170655" customFormat="1" x14ac:dyDescent="0.25"/>
    <row r="170656" customFormat="1" x14ac:dyDescent="0.25"/>
    <row r="170657" customFormat="1" x14ac:dyDescent="0.25"/>
    <row r="170658" customFormat="1" x14ac:dyDescent="0.25"/>
    <row r="170659" customFormat="1" x14ac:dyDescent="0.25"/>
    <row r="170660" customFormat="1" x14ac:dyDescent="0.25"/>
    <row r="170661" customFormat="1" x14ac:dyDescent="0.25"/>
    <row r="170662" customFormat="1" x14ac:dyDescent="0.25"/>
    <row r="170663" customFormat="1" x14ac:dyDescent="0.25"/>
    <row r="170664" customFormat="1" x14ac:dyDescent="0.25"/>
    <row r="170665" customFormat="1" x14ac:dyDescent="0.25"/>
    <row r="170666" customFormat="1" x14ac:dyDescent="0.25"/>
    <row r="170667" customFormat="1" x14ac:dyDescent="0.25"/>
    <row r="170668" customFormat="1" x14ac:dyDescent="0.25"/>
    <row r="170669" customFormat="1" x14ac:dyDescent="0.25"/>
    <row r="170670" customFormat="1" x14ac:dyDescent="0.25"/>
    <row r="170671" customFormat="1" x14ac:dyDescent="0.25"/>
    <row r="170672" customFormat="1" x14ac:dyDescent="0.25"/>
    <row r="170673" customFormat="1" x14ac:dyDescent="0.25"/>
    <row r="170674" customFormat="1" x14ac:dyDescent="0.25"/>
    <row r="170675" customFormat="1" x14ac:dyDescent="0.25"/>
    <row r="170676" customFormat="1" x14ac:dyDescent="0.25"/>
    <row r="170677" customFormat="1" x14ac:dyDescent="0.25"/>
    <row r="170678" customFormat="1" x14ac:dyDescent="0.25"/>
    <row r="170679" customFormat="1" x14ac:dyDescent="0.25"/>
    <row r="170680" customFormat="1" x14ac:dyDescent="0.25"/>
    <row r="170681" customFormat="1" x14ac:dyDescent="0.25"/>
    <row r="170682" customFormat="1" x14ac:dyDescent="0.25"/>
    <row r="170683" customFormat="1" x14ac:dyDescent="0.25"/>
    <row r="170684" customFormat="1" x14ac:dyDescent="0.25"/>
    <row r="170685" customFormat="1" x14ac:dyDescent="0.25"/>
    <row r="170686" customFormat="1" x14ac:dyDescent="0.25"/>
    <row r="170687" customFormat="1" x14ac:dyDescent="0.25"/>
    <row r="170688" customFormat="1" x14ac:dyDescent="0.25"/>
    <row r="170689" customFormat="1" x14ac:dyDescent="0.25"/>
    <row r="170690" customFormat="1" x14ac:dyDescent="0.25"/>
    <row r="170691" customFormat="1" x14ac:dyDescent="0.25"/>
    <row r="170692" customFormat="1" x14ac:dyDescent="0.25"/>
    <row r="170693" customFormat="1" x14ac:dyDescent="0.25"/>
    <row r="170694" customFormat="1" x14ac:dyDescent="0.25"/>
    <row r="170695" customFormat="1" x14ac:dyDescent="0.25"/>
    <row r="170696" customFormat="1" x14ac:dyDescent="0.25"/>
    <row r="170697" customFormat="1" x14ac:dyDescent="0.25"/>
    <row r="170698" customFormat="1" x14ac:dyDescent="0.25"/>
    <row r="170699" customFormat="1" x14ac:dyDescent="0.25"/>
    <row r="170700" customFormat="1" x14ac:dyDescent="0.25"/>
    <row r="170701" customFormat="1" x14ac:dyDescent="0.25"/>
    <row r="170702" customFormat="1" x14ac:dyDescent="0.25"/>
    <row r="170703" customFormat="1" x14ac:dyDescent="0.25"/>
    <row r="170704" customFormat="1" x14ac:dyDescent="0.25"/>
    <row r="170705" customFormat="1" x14ac:dyDescent="0.25"/>
    <row r="170706" customFormat="1" x14ac:dyDescent="0.25"/>
    <row r="170707" customFormat="1" x14ac:dyDescent="0.25"/>
    <row r="170708" customFormat="1" x14ac:dyDescent="0.25"/>
    <row r="170709" customFormat="1" x14ac:dyDescent="0.25"/>
    <row r="170710" customFormat="1" x14ac:dyDescent="0.25"/>
    <row r="170711" customFormat="1" x14ac:dyDescent="0.25"/>
    <row r="170712" customFormat="1" x14ac:dyDescent="0.25"/>
    <row r="170713" customFormat="1" x14ac:dyDescent="0.25"/>
    <row r="170714" customFormat="1" x14ac:dyDescent="0.25"/>
    <row r="170715" customFormat="1" x14ac:dyDescent="0.25"/>
    <row r="170716" customFormat="1" x14ac:dyDescent="0.25"/>
    <row r="170717" customFormat="1" x14ac:dyDescent="0.25"/>
    <row r="170718" customFormat="1" x14ac:dyDescent="0.25"/>
    <row r="170719" customFormat="1" x14ac:dyDescent="0.25"/>
    <row r="170720" customFormat="1" x14ac:dyDescent="0.25"/>
    <row r="170721" customFormat="1" x14ac:dyDescent="0.25"/>
    <row r="170722" customFormat="1" x14ac:dyDescent="0.25"/>
    <row r="170723" customFormat="1" x14ac:dyDescent="0.25"/>
    <row r="170724" customFormat="1" x14ac:dyDescent="0.25"/>
    <row r="170725" customFormat="1" x14ac:dyDescent="0.25"/>
    <row r="170726" customFormat="1" x14ac:dyDescent="0.25"/>
    <row r="170727" customFormat="1" x14ac:dyDescent="0.25"/>
    <row r="170728" customFormat="1" x14ac:dyDescent="0.25"/>
    <row r="170729" customFormat="1" x14ac:dyDescent="0.25"/>
    <row r="170730" customFormat="1" x14ac:dyDescent="0.25"/>
    <row r="170731" customFormat="1" x14ac:dyDescent="0.25"/>
    <row r="170732" customFormat="1" x14ac:dyDescent="0.25"/>
    <row r="170733" customFormat="1" x14ac:dyDescent="0.25"/>
    <row r="170734" customFormat="1" x14ac:dyDescent="0.25"/>
    <row r="170735" customFormat="1" x14ac:dyDescent="0.25"/>
    <row r="170736" customFormat="1" x14ac:dyDescent="0.25"/>
    <row r="170737" customFormat="1" x14ac:dyDescent="0.25"/>
    <row r="170738" customFormat="1" x14ac:dyDescent="0.25"/>
    <row r="170739" customFormat="1" x14ac:dyDescent="0.25"/>
    <row r="170740" customFormat="1" x14ac:dyDescent="0.25"/>
    <row r="170741" customFormat="1" x14ac:dyDescent="0.25"/>
    <row r="170742" customFormat="1" x14ac:dyDescent="0.25"/>
    <row r="170743" customFormat="1" x14ac:dyDescent="0.25"/>
    <row r="170744" customFormat="1" x14ac:dyDescent="0.25"/>
    <row r="170745" customFormat="1" x14ac:dyDescent="0.25"/>
    <row r="170746" customFormat="1" x14ac:dyDescent="0.25"/>
    <row r="170747" customFormat="1" x14ac:dyDescent="0.25"/>
    <row r="170748" customFormat="1" x14ac:dyDescent="0.25"/>
    <row r="170749" customFormat="1" x14ac:dyDescent="0.25"/>
    <row r="170750" customFormat="1" x14ac:dyDescent="0.25"/>
    <row r="170751" customFormat="1" x14ac:dyDescent="0.25"/>
    <row r="170752" customFormat="1" x14ac:dyDescent="0.25"/>
    <row r="170753" customFormat="1" x14ac:dyDescent="0.25"/>
    <row r="170754" customFormat="1" x14ac:dyDescent="0.25"/>
    <row r="170755" customFormat="1" x14ac:dyDescent="0.25"/>
    <row r="170756" customFormat="1" x14ac:dyDescent="0.25"/>
    <row r="170757" customFormat="1" x14ac:dyDescent="0.25"/>
    <row r="170758" customFormat="1" x14ac:dyDescent="0.25"/>
    <row r="170759" customFormat="1" x14ac:dyDescent="0.25"/>
    <row r="170760" customFormat="1" x14ac:dyDescent="0.25"/>
    <row r="170761" customFormat="1" x14ac:dyDescent="0.25"/>
    <row r="170762" customFormat="1" x14ac:dyDescent="0.25"/>
    <row r="170763" customFormat="1" x14ac:dyDescent="0.25"/>
    <row r="170764" customFormat="1" x14ac:dyDescent="0.25"/>
    <row r="170765" customFormat="1" x14ac:dyDescent="0.25"/>
    <row r="170766" customFormat="1" x14ac:dyDescent="0.25"/>
    <row r="170767" customFormat="1" x14ac:dyDescent="0.25"/>
    <row r="170768" customFormat="1" x14ac:dyDescent="0.25"/>
    <row r="170769" customFormat="1" x14ac:dyDescent="0.25"/>
    <row r="170770" customFormat="1" x14ac:dyDescent="0.25"/>
    <row r="170771" customFormat="1" x14ac:dyDescent="0.25"/>
    <row r="170772" customFormat="1" x14ac:dyDescent="0.25"/>
    <row r="170773" customFormat="1" x14ac:dyDescent="0.25"/>
    <row r="170774" customFormat="1" x14ac:dyDescent="0.25"/>
    <row r="170775" customFormat="1" x14ac:dyDescent="0.25"/>
    <row r="170776" customFormat="1" x14ac:dyDescent="0.25"/>
    <row r="170777" customFormat="1" x14ac:dyDescent="0.25"/>
    <row r="170778" customFormat="1" x14ac:dyDescent="0.25"/>
    <row r="170779" customFormat="1" x14ac:dyDescent="0.25"/>
    <row r="170780" customFormat="1" x14ac:dyDescent="0.25"/>
    <row r="170781" customFormat="1" x14ac:dyDescent="0.25"/>
    <row r="170782" customFormat="1" x14ac:dyDescent="0.25"/>
    <row r="170783" customFormat="1" x14ac:dyDescent="0.25"/>
    <row r="170784" customFormat="1" x14ac:dyDescent="0.25"/>
    <row r="170785" customFormat="1" x14ac:dyDescent="0.25"/>
    <row r="170786" customFormat="1" x14ac:dyDescent="0.25"/>
    <row r="170787" customFormat="1" x14ac:dyDescent="0.25"/>
    <row r="170788" customFormat="1" x14ac:dyDescent="0.25"/>
    <row r="170789" customFormat="1" x14ac:dyDescent="0.25"/>
    <row r="170790" customFormat="1" x14ac:dyDescent="0.25"/>
    <row r="170791" customFormat="1" x14ac:dyDescent="0.25"/>
    <row r="170792" customFormat="1" x14ac:dyDescent="0.25"/>
    <row r="170793" customFormat="1" x14ac:dyDescent="0.25"/>
    <row r="170794" customFormat="1" x14ac:dyDescent="0.25"/>
    <row r="170795" customFormat="1" x14ac:dyDescent="0.25"/>
    <row r="170796" customFormat="1" x14ac:dyDescent="0.25"/>
    <row r="170797" customFormat="1" x14ac:dyDescent="0.25"/>
    <row r="170798" customFormat="1" x14ac:dyDescent="0.25"/>
    <row r="170799" customFormat="1" x14ac:dyDescent="0.25"/>
    <row r="170800" customFormat="1" x14ac:dyDescent="0.25"/>
    <row r="170801" customFormat="1" x14ac:dyDescent="0.25"/>
    <row r="170802" customFormat="1" x14ac:dyDescent="0.25"/>
    <row r="170803" customFormat="1" x14ac:dyDescent="0.25"/>
    <row r="170804" customFormat="1" x14ac:dyDescent="0.25"/>
    <row r="170805" customFormat="1" x14ac:dyDescent="0.25"/>
    <row r="170806" customFormat="1" x14ac:dyDescent="0.25"/>
    <row r="170807" customFormat="1" x14ac:dyDescent="0.25"/>
    <row r="170808" customFormat="1" x14ac:dyDescent="0.25"/>
    <row r="170809" customFormat="1" x14ac:dyDescent="0.25"/>
    <row r="170810" customFormat="1" x14ac:dyDescent="0.25"/>
    <row r="170811" customFormat="1" x14ac:dyDescent="0.25"/>
    <row r="170812" customFormat="1" x14ac:dyDescent="0.25"/>
    <row r="170813" customFormat="1" x14ac:dyDescent="0.25"/>
    <row r="170814" customFormat="1" x14ac:dyDescent="0.25"/>
    <row r="170815" customFormat="1" x14ac:dyDescent="0.25"/>
    <row r="170816" customFormat="1" x14ac:dyDescent="0.25"/>
    <row r="170817" customFormat="1" x14ac:dyDescent="0.25"/>
    <row r="170818" customFormat="1" x14ac:dyDescent="0.25"/>
    <row r="170819" customFormat="1" x14ac:dyDescent="0.25"/>
    <row r="170820" customFormat="1" x14ac:dyDescent="0.25"/>
    <row r="170821" customFormat="1" x14ac:dyDescent="0.25"/>
    <row r="170822" customFormat="1" x14ac:dyDescent="0.25"/>
    <row r="170823" customFormat="1" x14ac:dyDescent="0.25"/>
    <row r="170824" customFormat="1" x14ac:dyDescent="0.25"/>
    <row r="170825" customFormat="1" x14ac:dyDescent="0.25"/>
    <row r="170826" customFormat="1" x14ac:dyDescent="0.25"/>
    <row r="170827" customFormat="1" x14ac:dyDescent="0.25"/>
    <row r="170828" customFormat="1" x14ac:dyDescent="0.25"/>
    <row r="170829" customFormat="1" x14ac:dyDescent="0.25"/>
    <row r="170830" customFormat="1" x14ac:dyDescent="0.25"/>
    <row r="170831" customFormat="1" x14ac:dyDescent="0.25"/>
    <row r="170832" customFormat="1" x14ac:dyDescent="0.25"/>
    <row r="170833" customFormat="1" x14ac:dyDescent="0.25"/>
    <row r="170834" customFormat="1" x14ac:dyDescent="0.25"/>
    <row r="170835" customFormat="1" x14ac:dyDescent="0.25"/>
    <row r="170836" customFormat="1" x14ac:dyDescent="0.25"/>
    <row r="170837" customFormat="1" x14ac:dyDescent="0.25"/>
    <row r="170838" customFormat="1" x14ac:dyDescent="0.25"/>
    <row r="170839" customFormat="1" x14ac:dyDescent="0.25"/>
    <row r="170840" customFormat="1" x14ac:dyDescent="0.25"/>
    <row r="170841" customFormat="1" x14ac:dyDescent="0.25"/>
    <row r="170842" customFormat="1" x14ac:dyDescent="0.25"/>
    <row r="170843" customFormat="1" x14ac:dyDescent="0.25"/>
    <row r="170844" customFormat="1" x14ac:dyDescent="0.25"/>
    <row r="170845" customFormat="1" x14ac:dyDescent="0.25"/>
    <row r="170846" customFormat="1" x14ac:dyDescent="0.25"/>
    <row r="170847" customFormat="1" x14ac:dyDescent="0.25"/>
    <row r="170848" customFormat="1" x14ac:dyDescent="0.25"/>
    <row r="170849" customFormat="1" x14ac:dyDescent="0.25"/>
    <row r="170850" customFormat="1" x14ac:dyDescent="0.25"/>
    <row r="170851" customFormat="1" x14ac:dyDescent="0.25"/>
    <row r="170852" customFormat="1" x14ac:dyDescent="0.25"/>
    <row r="170853" customFormat="1" x14ac:dyDescent="0.25"/>
    <row r="170854" customFormat="1" x14ac:dyDescent="0.25"/>
    <row r="170855" customFormat="1" x14ac:dyDescent="0.25"/>
    <row r="170856" customFormat="1" x14ac:dyDescent="0.25"/>
    <row r="170857" customFormat="1" x14ac:dyDescent="0.25"/>
    <row r="170858" customFormat="1" x14ac:dyDescent="0.25"/>
    <row r="170859" customFormat="1" x14ac:dyDescent="0.25"/>
    <row r="170860" customFormat="1" x14ac:dyDescent="0.25"/>
    <row r="170861" customFormat="1" x14ac:dyDescent="0.25"/>
    <row r="170862" customFormat="1" x14ac:dyDescent="0.25"/>
    <row r="170863" customFormat="1" x14ac:dyDescent="0.25"/>
    <row r="170864" customFormat="1" x14ac:dyDescent="0.25"/>
    <row r="170865" customFormat="1" x14ac:dyDescent="0.25"/>
    <row r="170866" customFormat="1" x14ac:dyDescent="0.25"/>
    <row r="170867" customFormat="1" x14ac:dyDescent="0.25"/>
    <row r="170868" customFormat="1" x14ac:dyDescent="0.25"/>
    <row r="170869" customFormat="1" x14ac:dyDescent="0.25"/>
    <row r="170870" customFormat="1" x14ac:dyDescent="0.25"/>
    <row r="170871" customFormat="1" x14ac:dyDescent="0.25"/>
    <row r="170872" customFormat="1" x14ac:dyDescent="0.25"/>
    <row r="170873" customFormat="1" x14ac:dyDescent="0.25"/>
    <row r="170874" customFormat="1" x14ac:dyDescent="0.25"/>
    <row r="170875" customFormat="1" x14ac:dyDescent="0.25"/>
    <row r="170876" customFormat="1" x14ac:dyDescent="0.25"/>
    <row r="170877" customFormat="1" x14ac:dyDescent="0.25"/>
    <row r="170878" customFormat="1" x14ac:dyDescent="0.25"/>
    <row r="170879" customFormat="1" x14ac:dyDescent="0.25"/>
    <row r="170880" customFormat="1" x14ac:dyDescent="0.25"/>
    <row r="170881" customFormat="1" x14ac:dyDescent="0.25"/>
    <row r="170882" customFormat="1" x14ac:dyDescent="0.25"/>
    <row r="170883" customFormat="1" x14ac:dyDescent="0.25"/>
    <row r="170884" customFormat="1" x14ac:dyDescent="0.25"/>
    <row r="170885" customFormat="1" x14ac:dyDescent="0.25"/>
    <row r="170886" customFormat="1" x14ac:dyDescent="0.25"/>
    <row r="170887" customFormat="1" x14ac:dyDescent="0.25"/>
    <row r="170888" customFormat="1" x14ac:dyDescent="0.25"/>
    <row r="170889" customFormat="1" x14ac:dyDescent="0.25"/>
    <row r="170890" customFormat="1" x14ac:dyDescent="0.25"/>
    <row r="170891" customFormat="1" x14ac:dyDescent="0.25"/>
    <row r="170892" customFormat="1" x14ac:dyDescent="0.25"/>
    <row r="170893" customFormat="1" x14ac:dyDescent="0.25"/>
    <row r="170894" customFormat="1" x14ac:dyDescent="0.25"/>
    <row r="170895" customFormat="1" x14ac:dyDescent="0.25"/>
    <row r="170896" customFormat="1" x14ac:dyDescent="0.25"/>
    <row r="170897" customFormat="1" x14ac:dyDescent="0.25"/>
    <row r="170898" customFormat="1" x14ac:dyDescent="0.25"/>
    <row r="170899" customFormat="1" x14ac:dyDescent="0.25"/>
    <row r="170900" customFormat="1" x14ac:dyDescent="0.25"/>
    <row r="170901" customFormat="1" x14ac:dyDescent="0.25"/>
    <row r="170902" customFormat="1" x14ac:dyDescent="0.25"/>
    <row r="170903" customFormat="1" x14ac:dyDescent="0.25"/>
    <row r="170904" customFormat="1" x14ac:dyDescent="0.25"/>
    <row r="170905" customFormat="1" x14ac:dyDescent="0.25"/>
    <row r="170906" customFormat="1" x14ac:dyDescent="0.25"/>
    <row r="170907" customFormat="1" x14ac:dyDescent="0.25"/>
    <row r="170908" customFormat="1" x14ac:dyDescent="0.25"/>
    <row r="170909" customFormat="1" x14ac:dyDescent="0.25"/>
    <row r="170910" customFormat="1" x14ac:dyDescent="0.25"/>
    <row r="170911" customFormat="1" x14ac:dyDescent="0.25"/>
    <row r="170912" customFormat="1" x14ac:dyDescent="0.25"/>
    <row r="170913" customFormat="1" x14ac:dyDescent="0.25"/>
    <row r="170914" customFormat="1" x14ac:dyDescent="0.25"/>
    <row r="170915" customFormat="1" x14ac:dyDescent="0.25"/>
    <row r="170916" customFormat="1" x14ac:dyDescent="0.25"/>
    <row r="170917" customFormat="1" x14ac:dyDescent="0.25"/>
    <row r="170918" customFormat="1" x14ac:dyDescent="0.25"/>
    <row r="170919" customFormat="1" x14ac:dyDescent="0.25"/>
    <row r="170920" customFormat="1" x14ac:dyDescent="0.25"/>
    <row r="170921" customFormat="1" x14ac:dyDescent="0.25"/>
    <row r="170922" customFormat="1" x14ac:dyDescent="0.25"/>
    <row r="170923" customFormat="1" x14ac:dyDescent="0.25"/>
    <row r="170924" customFormat="1" x14ac:dyDescent="0.25"/>
    <row r="170925" customFormat="1" x14ac:dyDescent="0.25"/>
    <row r="170926" customFormat="1" x14ac:dyDescent="0.25"/>
    <row r="170927" customFormat="1" x14ac:dyDescent="0.25"/>
    <row r="170928" customFormat="1" x14ac:dyDescent="0.25"/>
    <row r="170929" customFormat="1" x14ac:dyDescent="0.25"/>
    <row r="170930" customFormat="1" x14ac:dyDescent="0.25"/>
    <row r="170931" customFormat="1" x14ac:dyDescent="0.25"/>
    <row r="170932" customFormat="1" x14ac:dyDescent="0.25"/>
    <row r="170933" customFormat="1" x14ac:dyDescent="0.25"/>
    <row r="170934" customFormat="1" x14ac:dyDescent="0.25"/>
    <row r="170935" customFormat="1" x14ac:dyDescent="0.25"/>
    <row r="170936" customFormat="1" x14ac:dyDescent="0.25"/>
    <row r="170937" customFormat="1" x14ac:dyDescent="0.25"/>
    <row r="170938" customFormat="1" x14ac:dyDescent="0.25"/>
    <row r="170939" customFormat="1" x14ac:dyDescent="0.25"/>
    <row r="170940" customFormat="1" x14ac:dyDescent="0.25"/>
    <row r="170941" customFormat="1" x14ac:dyDescent="0.25"/>
    <row r="170942" customFormat="1" x14ac:dyDescent="0.25"/>
    <row r="170943" customFormat="1" x14ac:dyDescent="0.25"/>
    <row r="170944" customFormat="1" x14ac:dyDescent="0.25"/>
    <row r="170945" customFormat="1" x14ac:dyDescent="0.25"/>
    <row r="170946" customFormat="1" x14ac:dyDescent="0.25"/>
    <row r="170947" customFormat="1" x14ac:dyDescent="0.25"/>
    <row r="170948" customFormat="1" x14ac:dyDescent="0.25"/>
    <row r="170949" customFormat="1" x14ac:dyDescent="0.25"/>
    <row r="170950" customFormat="1" x14ac:dyDescent="0.25"/>
    <row r="170951" customFormat="1" x14ac:dyDescent="0.25"/>
    <row r="170952" customFormat="1" x14ac:dyDescent="0.25"/>
    <row r="170953" customFormat="1" x14ac:dyDescent="0.25"/>
    <row r="170954" customFormat="1" x14ac:dyDescent="0.25"/>
    <row r="170955" customFormat="1" x14ac:dyDescent="0.25"/>
    <row r="170956" customFormat="1" x14ac:dyDescent="0.25"/>
    <row r="170957" customFormat="1" x14ac:dyDescent="0.25"/>
    <row r="170958" customFormat="1" x14ac:dyDescent="0.25"/>
    <row r="170959" customFormat="1" x14ac:dyDescent="0.25"/>
    <row r="170960" customFormat="1" x14ac:dyDescent="0.25"/>
    <row r="170961" customFormat="1" x14ac:dyDescent="0.25"/>
    <row r="170962" customFormat="1" x14ac:dyDescent="0.25"/>
    <row r="170963" customFormat="1" x14ac:dyDescent="0.25"/>
    <row r="170964" customFormat="1" x14ac:dyDescent="0.25"/>
    <row r="170965" customFormat="1" x14ac:dyDescent="0.25"/>
    <row r="170966" customFormat="1" x14ac:dyDescent="0.25"/>
    <row r="170967" customFormat="1" x14ac:dyDescent="0.25"/>
    <row r="170968" customFormat="1" x14ac:dyDescent="0.25"/>
    <row r="170969" customFormat="1" x14ac:dyDescent="0.25"/>
    <row r="170970" customFormat="1" x14ac:dyDescent="0.25"/>
    <row r="170971" customFormat="1" x14ac:dyDescent="0.25"/>
    <row r="170972" customFormat="1" x14ac:dyDescent="0.25"/>
    <row r="170973" customFormat="1" x14ac:dyDescent="0.25"/>
    <row r="170974" customFormat="1" x14ac:dyDescent="0.25"/>
    <row r="170975" customFormat="1" x14ac:dyDescent="0.25"/>
    <row r="170976" customFormat="1" x14ac:dyDescent="0.25"/>
    <row r="170977" customFormat="1" x14ac:dyDescent="0.25"/>
    <row r="170978" customFormat="1" x14ac:dyDescent="0.25"/>
    <row r="170979" customFormat="1" x14ac:dyDescent="0.25"/>
    <row r="170980" customFormat="1" x14ac:dyDescent="0.25"/>
    <row r="170981" customFormat="1" x14ac:dyDescent="0.25"/>
    <row r="170982" customFormat="1" x14ac:dyDescent="0.25"/>
    <row r="170983" customFormat="1" x14ac:dyDescent="0.25"/>
    <row r="170984" customFormat="1" x14ac:dyDescent="0.25"/>
    <row r="170985" customFormat="1" x14ac:dyDescent="0.25"/>
    <row r="170986" customFormat="1" x14ac:dyDescent="0.25"/>
    <row r="170987" customFormat="1" x14ac:dyDescent="0.25"/>
    <row r="170988" customFormat="1" x14ac:dyDescent="0.25"/>
    <row r="170989" customFormat="1" x14ac:dyDescent="0.25"/>
    <row r="170990" customFormat="1" x14ac:dyDescent="0.25"/>
    <row r="170991" customFormat="1" x14ac:dyDescent="0.25"/>
    <row r="170992" customFormat="1" x14ac:dyDescent="0.25"/>
    <row r="170993" customFormat="1" x14ac:dyDescent="0.25"/>
    <row r="170994" customFormat="1" x14ac:dyDescent="0.25"/>
    <row r="170995" customFormat="1" x14ac:dyDescent="0.25"/>
    <row r="170996" customFormat="1" x14ac:dyDescent="0.25"/>
    <row r="170997" customFormat="1" x14ac:dyDescent="0.25"/>
    <row r="170998" customFormat="1" x14ac:dyDescent="0.25"/>
    <row r="170999" customFormat="1" x14ac:dyDescent="0.25"/>
    <row r="171000" customFormat="1" x14ac:dyDescent="0.25"/>
    <row r="171001" customFormat="1" x14ac:dyDescent="0.25"/>
    <row r="171002" customFormat="1" x14ac:dyDescent="0.25"/>
    <row r="171003" customFormat="1" x14ac:dyDescent="0.25"/>
    <row r="171004" customFormat="1" x14ac:dyDescent="0.25"/>
    <row r="171005" customFormat="1" x14ac:dyDescent="0.25"/>
    <row r="171006" customFormat="1" x14ac:dyDescent="0.25"/>
    <row r="171007" customFormat="1" x14ac:dyDescent="0.25"/>
    <row r="171008" customFormat="1" x14ac:dyDescent="0.25"/>
    <row r="171009" customFormat="1" x14ac:dyDescent="0.25"/>
    <row r="171010" customFormat="1" x14ac:dyDescent="0.25"/>
    <row r="171011" customFormat="1" x14ac:dyDescent="0.25"/>
    <row r="171012" customFormat="1" x14ac:dyDescent="0.25"/>
    <row r="171013" customFormat="1" x14ac:dyDescent="0.25"/>
    <row r="171014" customFormat="1" x14ac:dyDescent="0.25"/>
    <row r="171015" customFormat="1" x14ac:dyDescent="0.25"/>
    <row r="171016" customFormat="1" x14ac:dyDescent="0.25"/>
    <row r="171017" customFormat="1" x14ac:dyDescent="0.25"/>
    <row r="171018" customFormat="1" x14ac:dyDescent="0.25"/>
    <row r="171019" customFormat="1" x14ac:dyDescent="0.25"/>
    <row r="171020" customFormat="1" x14ac:dyDescent="0.25"/>
    <row r="171021" customFormat="1" x14ac:dyDescent="0.25"/>
    <row r="171022" customFormat="1" x14ac:dyDescent="0.25"/>
    <row r="171023" customFormat="1" x14ac:dyDescent="0.25"/>
    <row r="171024" customFormat="1" x14ac:dyDescent="0.25"/>
    <row r="171025" customFormat="1" x14ac:dyDescent="0.25"/>
    <row r="171026" customFormat="1" x14ac:dyDescent="0.25"/>
    <row r="171027" customFormat="1" x14ac:dyDescent="0.25"/>
    <row r="171028" customFormat="1" x14ac:dyDescent="0.25"/>
    <row r="171029" customFormat="1" x14ac:dyDescent="0.25"/>
    <row r="171030" customFormat="1" x14ac:dyDescent="0.25"/>
    <row r="171031" customFormat="1" x14ac:dyDescent="0.25"/>
    <row r="171032" customFormat="1" x14ac:dyDescent="0.25"/>
    <row r="171033" customFormat="1" x14ac:dyDescent="0.25"/>
    <row r="171034" customFormat="1" x14ac:dyDescent="0.25"/>
    <row r="171035" customFormat="1" x14ac:dyDescent="0.25"/>
    <row r="171036" customFormat="1" x14ac:dyDescent="0.25"/>
    <row r="171037" customFormat="1" x14ac:dyDescent="0.25"/>
    <row r="171038" customFormat="1" x14ac:dyDescent="0.25"/>
    <row r="171039" customFormat="1" x14ac:dyDescent="0.25"/>
    <row r="171040" customFormat="1" x14ac:dyDescent="0.25"/>
    <row r="171041" customFormat="1" x14ac:dyDescent="0.25"/>
    <row r="171042" customFormat="1" x14ac:dyDescent="0.25"/>
    <row r="171043" customFormat="1" x14ac:dyDescent="0.25"/>
    <row r="171044" customFormat="1" x14ac:dyDescent="0.25"/>
    <row r="171045" customFormat="1" x14ac:dyDescent="0.25"/>
    <row r="171046" customFormat="1" x14ac:dyDescent="0.25"/>
    <row r="171047" customFormat="1" x14ac:dyDescent="0.25"/>
    <row r="171048" customFormat="1" x14ac:dyDescent="0.25"/>
    <row r="171049" customFormat="1" x14ac:dyDescent="0.25"/>
    <row r="171050" customFormat="1" x14ac:dyDescent="0.25"/>
    <row r="171051" customFormat="1" x14ac:dyDescent="0.25"/>
    <row r="171052" customFormat="1" x14ac:dyDescent="0.25"/>
    <row r="171053" customFormat="1" x14ac:dyDescent="0.25"/>
    <row r="171054" customFormat="1" x14ac:dyDescent="0.25"/>
    <row r="171055" customFormat="1" x14ac:dyDescent="0.25"/>
    <row r="171056" customFormat="1" x14ac:dyDescent="0.25"/>
    <row r="171057" customFormat="1" x14ac:dyDescent="0.25"/>
    <row r="171058" customFormat="1" x14ac:dyDescent="0.25"/>
    <row r="171059" customFormat="1" x14ac:dyDescent="0.25"/>
    <row r="171060" customFormat="1" x14ac:dyDescent="0.25"/>
    <row r="171061" customFormat="1" x14ac:dyDescent="0.25"/>
    <row r="171062" customFormat="1" x14ac:dyDescent="0.25"/>
    <row r="171063" customFormat="1" x14ac:dyDescent="0.25"/>
    <row r="171064" customFormat="1" x14ac:dyDescent="0.25"/>
    <row r="171065" customFormat="1" x14ac:dyDescent="0.25"/>
    <row r="171066" customFormat="1" x14ac:dyDescent="0.25"/>
    <row r="171067" customFormat="1" x14ac:dyDescent="0.25"/>
    <row r="171068" customFormat="1" x14ac:dyDescent="0.25"/>
    <row r="171069" customFormat="1" x14ac:dyDescent="0.25"/>
    <row r="171070" customFormat="1" x14ac:dyDescent="0.25"/>
    <row r="171071" customFormat="1" x14ac:dyDescent="0.25"/>
    <row r="171072" customFormat="1" x14ac:dyDescent="0.25"/>
    <row r="171073" customFormat="1" x14ac:dyDescent="0.25"/>
    <row r="171074" customFormat="1" x14ac:dyDescent="0.25"/>
    <row r="171075" customFormat="1" x14ac:dyDescent="0.25"/>
    <row r="171076" customFormat="1" x14ac:dyDescent="0.25"/>
    <row r="171077" customFormat="1" x14ac:dyDescent="0.25"/>
    <row r="171078" customFormat="1" x14ac:dyDescent="0.25"/>
    <row r="171079" customFormat="1" x14ac:dyDescent="0.25"/>
    <row r="171080" customFormat="1" x14ac:dyDescent="0.25"/>
    <row r="171081" customFormat="1" x14ac:dyDescent="0.25"/>
    <row r="171082" customFormat="1" x14ac:dyDescent="0.25"/>
    <row r="171083" customFormat="1" x14ac:dyDescent="0.25"/>
    <row r="171084" customFormat="1" x14ac:dyDescent="0.25"/>
    <row r="171085" customFormat="1" x14ac:dyDescent="0.25"/>
    <row r="171086" customFormat="1" x14ac:dyDescent="0.25"/>
    <row r="171087" customFormat="1" x14ac:dyDescent="0.25"/>
    <row r="171088" customFormat="1" x14ac:dyDescent="0.25"/>
    <row r="171089" customFormat="1" x14ac:dyDescent="0.25"/>
    <row r="171090" customFormat="1" x14ac:dyDescent="0.25"/>
    <row r="171091" customFormat="1" x14ac:dyDescent="0.25"/>
    <row r="171092" customFormat="1" x14ac:dyDescent="0.25"/>
    <row r="171093" customFormat="1" x14ac:dyDescent="0.25"/>
    <row r="171094" customFormat="1" x14ac:dyDescent="0.25"/>
    <row r="171095" customFormat="1" x14ac:dyDescent="0.25"/>
    <row r="171096" customFormat="1" x14ac:dyDescent="0.25"/>
    <row r="171097" customFormat="1" x14ac:dyDescent="0.25"/>
    <row r="171098" customFormat="1" x14ac:dyDescent="0.25"/>
    <row r="171099" customFormat="1" x14ac:dyDescent="0.25"/>
    <row r="171100" customFormat="1" x14ac:dyDescent="0.25"/>
    <row r="171101" customFormat="1" x14ac:dyDescent="0.25"/>
    <row r="171102" customFormat="1" x14ac:dyDescent="0.25"/>
    <row r="171103" customFormat="1" x14ac:dyDescent="0.25"/>
    <row r="171104" customFormat="1" x14ac:dyDescent="0.25"/>
    <row r="171105" customFormat="1" x14ac:dyDescent="0.25"/>
    <row r="171106" customFormat="1" x14ac:dyDescent="0.25"/>
    <row r="171107" customFormat="1" x14ac:dyDescent="0.25"/>
    <row r="171108" customFormat="1" x14ac:dyDescent="0.25"/>
    <row r="171109" customFormat="1" x14ac:dyDescent="0.25"/>
    <row r="171110" customFormat="1" x14ac:dyDescent="0.25"/>
    <row r="171111" customFormat="1" x14ac:dyDescent="0.25"/>
    <row r="171112" customFormat="1" x14ac:dyDescent="0.25"/>
    <row r="171113" customFormat="1" x14ac:dyDescent="0.25"/>
    <row r="171114" customFormat="1" x14ac:dyDescent="0.25"/>
    <row r="171115" customFormat="1" x14ac:dyDescent="0.25"/>
    <row r="171116" customFormat="1" x14ac:dyDescent="0.25"/>
    <row r="171117" customFormat="1" x14ac:dyDescent="0.25"/>
    <row r="171118" customFormat="1" x14ac:dyDescent="0.25"/>
    <row r="171119" customFormat="1" x14ac:dyDescent="0.25"/>
    <row r="171120" customFormat="1" x14ac:dyDescent="0.25"/>
    <row r="171121" customFormat="1" x14ac:dyDescent="0.25"/>
    <row r="171122" customFormat="1" x14ac:dyDescent="0.25"/>
    <row r="171123" customFormat="1" x14ac:dyDescent="0.25"/>
    <row r="171124" customFormat="1" x14ac:dyDescent="0.25"/>
    <row r="171125" customFormat="1" x14ac:dyDescent="0.25"/>
    <row r="171126" customFormat="1" x14ac:dyDescent="0.25"/>
    <row r="171127" customFormat="1" x14ac:dyDescent="0.25"/>
    <row r="171128" customFormat="1" x14ac:dyDescent="0.25"/>
    <row r="171129" customFormat="1" x14ac:dyDescent="0.25"/>
    <row r="171130" customFormat="1" x14ac:dyDescent="0.25"/>
    <row r="171131" customFormat="1" x14ac:dyDescent="0.25"/>
    <row r="171132" customFormat="1" x14ac:dyDescent="0.25"/>
    <row r="171133" customFormat="1" x14ac:dyDescent="0.25"/>
    <row r="171134" customFormat="1" x14ac:dyDescent="0.25"/>
    <row r="171135" customFormat="1" x14ac:dyDescent="0.25"/>
    <row r="171136" customFormat="1" x14ac:dyDescent="0.25"/>
    <row r="171137" customFormat="1" x14ac:dyDescent="0.25"/>
    <row r="171138" customFormat="1" x14ac:dyDescent="0.25"/>
    <row r="171139" customFormat="1" x14ac:dyDescent="0.25"/>
    <row r="171140" customFormat="1" x14ac:dyDescent="0.25"/>
    <row r="171141" customFormat="1" x14ac:dyDescent="0.25"/>
    <row r="171142" customFormat="1" x14ac:dyDescent="0.25"/>
    <row r="171143" customFormat="1" x14ac:dyDescent="0.25"/>
    <row r="171144" customFormat="1" x14ac:dyDescent="0.25"/>
    <row r="171145" customFormat="1" x14ac:dyDescent="0.25"/>
    <row r="171146" customFormat="1" x14ac:dyDescent="0.25"/>
    <row r="171147" customFormat="1" x14ac:dyDescent="0.25"/>
    <row r="171148" customFormat="1" x14ac:dyDescent="0.25"/>
    <row r="171149" customFormat="1" x14ac:dyDescent="0.25"/>
    <row r="171150" customFormat="1" x14ac:dyDescent="0.25"/>
    <row r="171151" customFormat="1" x14ac:dyDescent="0.25"/>
    <row r="171152" customFormat="1" x14ac:dyDescent="0.25"/>
    <row r="171153" customFormat="1" x14ac:dyDescent="0.25"/>
    <row r="171154" customFormat="1" x14ac:dyDescent="0.25"/>
    <row r="171155" customFormat="1" x14ac:dyDescent="0.25"/>
    <row r="171156" customFormat="1" x14ac:dyDescent="0.25"/>
    <row r="171157" customFormat="1" x14ac:dyDescent="0.25"/>
    <row r="171158" customFormat="1" x14ac:dyDescent="0.25"/>
    <row r="171159" customFormat="1" x14ac:dyDescent="0.25"/>
    <row r="171160" customFormat="1" x14ac:dyDescent="0.25"/>
    <row r="171161" customFormat="1" x14ac:dyDescent="0.25"/>
    <row r="171162" customFormat="1" x14ac:dyDescent="0.25"/>
    <row r="171163" customFormat="1" x14ac:dyDescent="0.25"/>
    <row r="171164" customFormat="1" x14ac:dyDescent="0.25"/>
    <row r="171165" customFormat="1" x14ac:dyDescent="0.25"/>
    <row r="171166" customFormat="1" x14ac:dyDescent="0.25"/>
    <row r="171167" customFormat="1" x14ac:dyDescent="0.25"/>
    <row r="171168" customFormat="1" x14ac:dyDescent="0.25"/>
    <row r="171169" customFormat="1" x14ac:dyDescent="0.25"/>
    <row r="171170" customFormat="1" x14ac:dyDescent="0.25"/>
    <row r="171171" customFormat="1" x14ac:dyDescent="0.25"/>
    <row r="171172" customFormat="1" x14ac:dyDescent="0.25"/>
    <row r="171173" customFormat="1" x14ac:dyDescent="0.25"/>
    <row r="171174" customFormat="1" x14ac:dyDescent="0.25"/>
    <row r="171175" customFormat="1" x14ac:dyDescent="0.25"/>
    <row r="171176" customFormat="1" x14ac:dyDescent="0.25"/>
    <row r="171177" customFormat="1" x14ac:dyDescent="0.25"/>
    <row r="171178" customFormat="1" x14ac:dyDescent="0.25"/>
    <row r="171179" customFormat="1" x14ac:dyDescent="0.25"/>
    <row r="171180" customFormat="1" x14ac:dyDescent="0.25"/>
    <row r="171181" customFormat="1" x14ac:dyDescent="0.25"/>
    <row r="171182" customFormat="1" x14ac:dyDescent="0.25"/>
    <row r="171183" customFormat="1" x14ac:dyDescent="0.25"/>
    <row r="171184" customFormat="1" x14ac:dyDescent="0.25"/>
    <row r="171185" customFormat="1" x14ac:dyDescent="0.25"/>
    <row r="171186" customFormat="1" x14ac:dyDescent="0.25"/>
    <row r="171187" customFormat="1" x14ac:dyDescent="0.25"/>
    <row r="171188" customFormat="1" x14ac:dyDescent="0.25"/>
    <row r="171189" customFormat="1" x14ac:dyDescent="0.25"/>
    <row r="171190" customFormat="1" x14ac:dyDescent="0.25"/>
    <row r="171191" customFormat="1" x14ac:dyDescent="0.25"/>
    <row r="171192" customFormat="1" x14ac:dyDescent="0.25"/>
    <row r="171193" customFormat="1" x14ac:dyDescent="0.25"/>
    <row r="171194" customFormat="1" x14ac:dyDescent="0.25"/>
    <row r="171195" customFormat="1" x14ac:dyDescent="0.25"/>
    <row r="171196" customFormat="1" x14ac:dyDescent="0.25"/>
    <row r="171197" customFormat="1" x14ac:dyDescent="0.25"/>
    <row r="171198" customFormat="1" x14ac:dyDescent="0.25"/>
    <row r="171199" customFormat="1" x14ac:dyDescent="0.25"/>
    <row r="171200" customFormat="1" x14ac:dyDescent="0.25"/>
    <row r="171201" customFormat="1" x14ac:dyDescent="0.25"/>
    <row r="171202" customFormat="1" x14ac:dyDescent="0.25"/>
    <row r="171203" customFormat="1" x14ac:dyDescent="0.25"/>
    <row r="171204" customFormat="1" x14ac:dyDescent="0.25"/>
    <row r="171205" customFormat="1" x14ac:dyDescent="0.25"/>
    <row r="171206" customFormat="1" x14ac:dyDescent="0.25"/>
    <row r="171207" customFormat="1" x14ac:dyDescent="0.25"/>
    <row r="171208" customFormat="1" x14ac:dyDescent="0.25"/>
    <row r="171209" customFormat="1" x14ac:dyDescent="0.25"/>
    <row r="171210" customFormat="1" x14ac:dyDescent="0.25"/>
    <row r="171211" customFormat="1" x14ac:dyDescent="0.25"/>
    <row r="171212" customFormat="1" x14ac:dyDescent="0.25"/>
    <row r="171213" customFormat="1" x14ac:dyDescent="0.25"/>
    <row r="171214" customFormat="1" x14ac:dyDescent="0.25"/>
    <row r="171215" customFormat="1" x14ac:dyDescent="0.25"/>
    <row r="171216" customFormat="1" x14ac:dyDescent="0.25"/>
    <row r="171217" customFormat="1" x14ac:dyDescent="0.25"/>
    <row r="171218" customFormat="1" x14ac:dyDescent="0.25"/>
    <row r="171219" customFormat="1" x14ac:dyDescent="0.25"/>
    <row r="171220" customFormat="1" x14ac:dyDescent="0.25"/>
    <row r="171221" customFormat="1" x14ac:dyDescent="0.25"/>
    <row r="171222" customFormat="1" x14ac:dyDescent="0.25"/>
    <row r="171223" customFormat="1" x14ac:dyDescent="0.25"/>
    <row r="171224" customFormat="1" x14ac:dyDescent="0.25"/>
    <row r="171225" customFormat="1" x14ac:dyDescent="0.25"/>
    <row r="171226" customFormat="1" x14ac:dyDescent="0.25"/>
    <row r="171227" customFormat="1" x14ac:dyDescent="0.25"/>
    <row r="171228" customFormat="1" x14ac:dyDescent="0.25"/>
    <row r="171229" customFormat="1" x14ac:dyDescent="0.25"/>
    <row r="171230" customFormat="1" x14ac:dyDescent="0.25"/>
    <row r="171231" customFormat="1" x14ac:dyDescent="0.25"/>
    <row r="171232" customFormat="1" x14ac:dyDescent="0.25"/>
    <row r="171233" customFormat="1" x14ac:dyDescent="0.25"/>
    <row r="171234" customFormat="1" x14ac:dyDescent="0.25"/>
    <row r="171235" customFormat="1" x14ac:dyDescent="0.25"/>
    <row r="171236" customFormat="1" x14ac:dyDescent="0.25"/>
    <row r="171237" customFormat="1" x14ac:dyDescent="0.25"/>
    <row r="171238" customFormat="1" x14ac:dyDescent="0.25"/>
    <row r="171239" customFormat="1" x14ac:dyDescent="0.25"/>
    <row r="171240" customFormat="1" x14ac:dyDescent="0.25"/>
    <row r="171241" customFormat="1" x14ac:dyDescent="0.25"/>
    <row r="171242" customFormat="1" x14ac:dyDescent="0.25"/>
    <row r="171243" customFormat="1" x14ac:dyDescent="0.25"/>
    <row r="171244" customFormat="1" x14ac:dyDescent="0.25"/>
    <row r="171245" customFormat="1" x14ac:dyDescent="0.25"/>
    <row r="171246" customFormat="1" x14ac:dyDescent="0.25"/>
    <row r="171247" customFormat="1" x14ac:dyDescent="0.25"/>
    <row r="171248" customFormat="1" x14ac:dyDescent="0.25"/>
    <row r="171249" customFormat="1" x14ac:dyDescent="0.25"/>
    <row r="171250" customFormat="1" x14ac:dyDescent="0.25"/>
    <row r="171251" customFormat="1" x14ac:dyDescent="0.25"/>
    <row r="171252" customFormat="1" x14ac:dyDescent="0.25"/>
    <row r="171253" customFormat="1" x14ac:dyDescent="0.25"/>
    <row r="171254" customFormat="1" x14ac:dyDescent="0.25"/>
    <row r="171255" customFormat="1" x14ac:dyDescent="0.25"/>
    <row r="171256" customFormat="1" x14ac:dyDescent="0.25"/>
    <row r="171257" customFormat="1" x14ac:dyDescent="0.25"/>
    <row r="171258" customFormat="1" x14ac:dyDescent="0.25"/>
    <row r="171259" customFormat="1" x14ac:dyDescent="0.25"/>
    <row r="171260" customFormat="1" x14ac:dyDescent="0.25"/>
    <row r="171261" customFormat="1" x14ac:dyDescent="0.25"/>
    <row r="171262" customFormat="1" x14ac:dyDescent="0.25"/>
    <row r="171263" customFormat="1" x14ac:dyDescent="0.25"/>
    <row r="171264" customFormat="1" x14ac:dyDescent="0.25"/>
    <row r="171265" customFormat="1" x14ac:dyDescent="0.25"/>
    <row r="171266" customFormat="1" x14ac:dyDescent="0.25"/>
    <row r="171267" customFormat="1" x14ac:dyDescent="0.25"/>
    <row r="171268" customFormat="1" x14ac:dyDescent="0.25"/>
    <row r="171269" customFormat="1" x14ac:dyDescent="0.25"/>
    <row r="171270" customFormat="1" x14ac:dyDescent="0.25"/>
    <row r="171271" customFormat="1" x14ac:dyDescent="0.25"/>
    <row r="171272" customFormat="1" x14ac:dyDescent="0.25"/>
    <row r="171273" customFormat="1" x14ac:dyDescent="0.25"/>
    <row r="171274" customFormat="1" x14ac:dyDescent="0.25"/>
    <row r="171275" customFormat="1" x14ac:dyDescent="0.25"/>
    <row r="171276" customFormat="1" x14ac:dyDescent="0.25"/>
    <row r="171277" customFormat="1" x14ac:dyDescent="0.25"/>
    <row r="171278" customFormat="1" x14ac:dyDescent="0.25"/>
    <row r="171279" customFormat="1" x14ac:dyDescent="0.25"/>
    <row r="171280" customFormat="1" x14ac:dyDescent="0.25"/>
    <row r="171281" customFormat="1" x14ac:dyDescent="0.25"/>
    <row r="171282" customFormat="1" x14ac:dyDescent="0.25"/>
    <row r="171283" customFormat="1" x14ac:dyDescent="0.25"/>
    <row r="171284" customFormat="1" x14ac:dyDescent="0.25"/>
    <row r="171285" customFormat="1" x14ac:dyDescent="0.25"/>
    <row r="171286" customFormat="1" x14ac:dyDescent="0.25"/>
    <row r="171287" customFormat="1" x14ac:dyDescent="0.25"/>
    <row r="171288" customFormat="1" x14ac:dyDescent="0.25"/>
    <row r="171289" customFormat="1" x14ac:dyDescent="0.25"/>
    <row r="171290" customFormat="1" x14ac:dyDescent="0.25"/>
    <row r="171291" customFormat="1" x14ac:dyDescent="0.25"/>
    <row r="171292" customFormat="1" x14ac:dyDescent="0.25"/>
    <row r="171293" customFormat="1" x14ac:dyDescent="0.25"/>
    <row r="171294" customFormat="1" x14ac:dyDescent="0.25"/>
    <row r="171295" customFormat="1" x14ac:dyDescent="0.25"/>
    <row r="171296" customFormat="1" x14ac:dyDescent="0.25"/>
    <row r="171297" customFormat="1" x14ac:dyDescent="0.25"/>
    <row r="171298" customFormat="1" x14ac:dyDescent="0.25"/>
    <row r="171299" customFormat="1" x14ac:dyDescent="0.25"/>
    <row r="171300" customFormat="1" x14ac:dyDescent="0.25"/>
    <row r="171301" customFormat="1" x14ac:dyDescent="0.25"/>
    <row r="171302" customFormat="1" x14ac:dyDescent="0.25"/>
    <row r="171303" customFormat="1" x14ac:dyDescent="0.25"/>
    <row r="171304" customFormat="1" x14ac:dyDescent="0.25"/>
    <row r="171305" customFormat="1" x14ac:dyDescent="0.25"/>
    <row r="171306" customFormat="1" x14ac:dyDescent="0.25"/>
    <row r="171307" customFormat="1" x14ac:dyDescent="0.25"/>
    <row r="171308" customFormat="1" x14ac:dyDescent="0.25"/>
    <row r="171309" customFormat="1" x14ac:dyDescent="0.25"/>
    <row r="171310" customFormat="1" x14ac:dyDescent="0.25"/>
    <row r="171311" customFormat="1" x14ac:dyDescent="0.25"/>
    <row r="171312" customFormat="1" x14ac:dyDescent="0.25"/>
    <row r="171313" customFormat="1" x14ac:dyDescent="0.25"/>
    <row r="171314" customFormat="1" x14ac:dyDescent="0.25"/>
    <row r="171315" customFormat="1" x14ac:dyDescent="0.25"/>
    <row r="171316" customFormat="1" x14ac:dyDescent="0.25"/>
    <row r="171317" customFormat="1" x14ac:dyDescent="0.25"/>
    <row r="171318" customFormat="1" x14ac:dyDescent="0.25"/>
    <row r="171319" customFormat="1" x14ac:dyDescent="0.25"/>
    <row r="171320" customFormat="1" x14ac:dyDescent="0.25"/>
    <row r="171321" customFormat="1" x14ac:dyDescent="0.25"/>
    <row r="171322" customFormat="1" x14ac:dyDescent="0.25"/>
    <row r="171323" customFormat="1" x14ac:dyDescent="0.25"/>
    <row r="171324" customFormat="1" x14ac:dyDescent="0.25"/>
    <row r="171325" customFormat="1" x14ac:dyDescent="0.25"/>
    <row r="171326" customFormat="1" x14ac:dyDescent="0.25"/>
    <row r="171327" customFormat="1" x14ac:dyDescent="0.25"/>
    <row r="171328" customFormat="1" x14ac:dyDescent="0.25"/>
    <row r="171329" customFormat="1" x14ac:dyDescent="0.25"/>
    <row r="171330" customFormat="1" x14ac:dyDescent="0.25"/>
    <row r="171331" customFormat="1" x14ac:dyDescent="0.25"/>
    <row r="171332" customFormat="1" x14ac:dyDescent="0.25"/>
    <row r="171333" customFormat="1" x14ac:dyDescent="0.25"/>
    <row r="171334" customFormat="1" x14ac:dyDescent="0.25"/>
    <row r="171335" customFormat="1" x14ac:dyDescent="0.25"/>
    <row r="171336" customFormat="1" x14ac:dyDescent="0.25"/>
    <row r="171337" customFormat="1" x14ac:dyDescent="0.25"/>
    <row r="171338" customFormat="1" x14ac:dyDescent="0.25"/>
    <row r="171339" customFormat="1" x14ac:dyDescent="0.25"/>
    <row r="171340" customFormat="1" x14ac:dyDescent="0.25"/>
    <row r="171341" customFormat="1" x14ac:dyDescent="0.25"/>
    <row r="171342" customFormat="1" x14ac:dyDescent="0.25"/>
    <row r="171343" customFormat="1" x14ac:dyDescent="0.25"/>
    <row r="171344" customFormat="1" x14ac:dyDescent="0.25"/>
    <row r="171345" customFormat="1" x14ac:dyDescent="0.25"/>
    <row r="171346" customFormat="1" x14ac:dyDescent="0.25"/>
    <row r="171347" customFormat="1" x14ac:dyDescent="0.25"/>
    <row r="171348" customFormat="1" x14ac:dyDescent="0.25"/>
    <row r="171349" customFormat="1" x14ac:dyDescent="0.25"/>
    <row r="171350" customFormat="1" x14ac:dyDescent="0.25"/>
    <row r="171351" customFormat="1" x14ac:dyDescent="0.25"/>
    <row r="171352" customFormat="1" x14ac:dyDescent="0.25"/>
    <row r="171353" customFormat="1" x14ac:dyDescent="0.25"/>
    <row r="171354" customFormat="1" x14ac:dyDescent="0.25"/>
    <row r="171355" customFormat="1" x14ac:dyDescent="0.25"/>
    <row r="171356" customFormat="1" x14ac:dyDescent="0.25"/>
    <row r="171357" customFormat="1" x14ac:dyDescent="0.25"/>
    <row r="171358" customFormat="1" x14ac:dyDescent="0.25"/>
    <row r="171359" customFormat="1" x14ac:dyDescent="0.25"/>
    <row r="171360" customFormat="1" x14ac:dyDescent="0.25"/>
    <row r="171361" customFormat="1" x14ac:dyDescent="0.25"/>
    <row r="171362" customFormat="1" x14ac:dyDescent="0.25"/>
    <row r="171363" customFormat="1" x14ac:dyDescent="0.25"/>
    <row r="171364" customFormat="1" x14ac:dyDescent="0.25"/>
    <row r="171365" customFormat="1" x14ac:dyDescent="0.25"/>
    <row r="171366" customFormat="1" x14ac:dyDescent="0.25"/>
    <row r="171367" customFormat="1" x14ac:dyDescent="0.25"/>
    <row r="171368" customFormat="1" x14ac:dyDescent="0.25"/>
    <row r="171369" customFormat="1" x14ac:dyDescent="0.25"/>
    <row r="171370" customFormat="1" x14ac:dyDescent="0.25"/>
    <row r="171371" customFormat="1" x14ac:dyDescent="0.25"/>
    <row r="171372" customFormat="1" x14ac:dyDescent="0.25"/>
    <row r="171373" customFormat="1" x14ac:dyDescent="0.25"/>
    <row r="171374" customFormat="1" x14ac:dyDescent="0.25"/>
    <row r="171375" customFormat="1" x14ac:dyDescent="0.25"/>
    <row r="171376" customFormat="1" x14ac:dyDescent="0.25"/>
    <row r="171377" customFormat="1" x14ac:dyDescent="0.25"/>
    <row r="171378" customFormat="1" x14ac:dyDescent="0.25"/>
    <row r="171379" customFormat="1" x14ac:dyDescent="0.25"/>
    <row r="171380" customFormat="1" x14ac:dyDescent="0.25"/>
    <row r="171381" customFormat="1" x14ac:dyDescent="0.25"/>
    <row r="171382" customFormat="1" x14ac:dyDescent="0.25"/>
    <row r="171383" customFormat="1" x14ac:dyDescent="0.25"/>
    <row r="171384" customFormat="1" x14ac:dyDescent="0.25"/>
    <row r="171385" customFormat="1" x14ac:dyDescent="0.25"/>
    <row r="171386" customFormat="1" x14ac:dyDescent="0.25"/>
    <row r="171387" customFormat="1" x14ac:dyDescent="0.25"/>
    <row r="171388" customFormat="1" x14ac:dyDescent="0.25"/>
    <row r="171389" customFormat="1" x14ac:dyDescent="0.25"/>
    <row r="171390" customFormat="1" x14ac:dyDescent="0.25"/>
    <row r="171391" customFormat="1" x14ac:dyDescent="0.25"/>
    <row r="171392" customFormat="1" x14ac:dyDescent="0.25"/>
    <row r="171393" customFormat="1" x14ac:dyDescent="0.25"/>
    <row r="171394" customFormat="1" x14ac:dyDescent="0.25"/>
    <row r="171395" customFormat="1" x14ac:dyDescent="0.25"/>
    <row r="171396" customFormat="1" x14ac:dyDescent="0.25"/>
    <row r="171397" customFormat="1" x14ac:dyDescent="0.25"/>
    <row r="171398" customFormat="1" x14ac:dyDescent="0.25"/>
    <row r="171399" customFormat="1" x14ac:dyDescent="0.25"/>
    <row r="171400" customFormat="1" x14ac:dyDescent="0.25"/>
    <row r="171401" customFormat="1" x14ac:dyDescent="0.25"/>
    <row r="171402" customFormat="1" x14ac:dyDescent="0.25"/>
    <row r="171403" customFormat="1" x14ac:dyDescent="0.25"/>
    <row r="171404" customFormat="1" x14ac:dyDescent="0.25"/>
    <row r="171405" customFormat="1" x14ac:dyDescent="0.25"/>
    <row r="171406" customFormat="1" x14ac:dyDescent="0.25"/>
    <row r="171407" customFormat="1" x14ac:dyDescent="0.25"/>
    <row r="171408" customFormat="1" x14ac:dyDescent="0.25"/>
    <row r="171409" customFormat="1" x14ac:dyDescent="0.25"/>
    <row r="171410" customFormat="1" x14ac:dyDescent="0.25"/>
    <row r="171411" customFormat="1" x14ac:dyDescent="0.25"/>
    <row r="171412" customFormat="1" x14ac:dyDescent="0.25"/>
    <row r="171413" customFormat="1" x14ac:dyDescent="0.25"/>
    <row r="171414" customFormat="1" x14ac:dyDescent="0.25"/>
    <row r="171415" customFormat="1" x14ac:dyDescent="0.25"/>
    <row r="171416" customFormat="1" x14ac:dyDescent="0.25"/>
    <row r="171417" customFormat="1" x14ac:dyDescent="0.25"/>
    <row r="171418" customFormat="1" x14ac:dyDescent="0.25"/>
    <row r="171419" customFormat="1" x14ac:dyDescent="0.25"/>
    <row r="171420" customFormat="1" x14ac:dyDescent="0.25"/>
    <row r="171421" customFormat="1" x14ac:dyDescent="0.25"/>
    <row r="171422" customFormat="1" x14ac:dyDescent="0.25"/>
    <row r="171423" customFormat="1" x14ac:dyDescent="0.25"/>
    <row r="171424" customFormat="1" x14ac:dyDescent="0.25"/>
    <row r="171425" customFormat="1" x14ac:dyDescent="0.25"/>
    <row r="171426" customFormat="1" x14ac:dyDescent="0.25"/>
    <row r="171427" customFormat="1" x14ac:dyDescent="0.25"/>
    <row r="171428" customFormat="1" x14ac:dyDescent="0.25"/>
    <row r="171429" customFormat="1" x14ac:dyDescent="0.25"/>
    <row r="171430" customFormat="1" x14ac:dyDescent="0.25"/>
    <row r="171431" customFormat="1" x14ac:dyDescent="0.25"/>
    <row r="171432" customFormat="1" x14ac:dyDescent="0.25"/>
    <row r="171433" customFormat="1" x14ac:dyDescent="0.25"/>
    <row r="171434" customFormat="1" x14ac:dyDescent="0.25"/>
    <row r="171435" customFormat="1" x14ac:dyDescent="0.25"/>
    <row r="171436" customFormat="1" x14ac:dyDescent="0.25"/>
    <row r="171437" customFormat="1" x14ac:dyDescent="0.25"/>
    <row r="171438" customFormat="1" x14ac:dyDescent="0.25"/>
    <row r="171439" customFormat="1" x14ac:dyDescent="0.25"/>
    <row r="171440" customFormat="1" x14ac:dyDescent="0.25"/>
    <row r="171441" customFormat="1" x14ac:dyDescent="0.25"/>
    <row r="171442" customFormat="1" x14ac:dyDescent="0.25"/>
    <row r="171443" customFormat="1" x14ac:dyDescent="0.25"/>
    <row r="171444" customFormat="1" x14ac:dyDescent="0.25"/>
    <row r="171445" customFormat="1" x14ac:dyDescent="0.25"/>
    <row r="171446" customFormat="1" x14ac:dyDescent="0.25"/>
    <row r="171447" customFormat="1" x14ac:dyDescent="0.25"/>
    <row r="171448" customFormat="1" x14ac:dyDescent="0.25"/>
    <row r="171449" customFormat="1" x14ac:dyDescent="0.25"/>
    <row r="171450" customFormat="1" x14ac:dyDescent="0.25"/>
    <row r="171451" customFormat="1" x14ac:dyDescent="0.25"/>
    <row r="171452" customFormat="1" x14ac:dyDescent="0.25"/>
    <row r="171453" customFormat="1" x14ac:dyDescent="0.25"/>
    <row r="171454" customFormat="1" x14ac:dyDescent="0.25"/>
    <row r="171455" customFormat="1" x14ac:dyDescent="0.25"/>
    <row r="171456" customFormat="1" x14ac:dyDescent="0.25"/>
    <row r="171457" customFormat="1" x14ac:dyDescent="0.25"/>
    <row r="171458" customFormat="1" x14ac:dyDescent="0.25"/>
    <row r="171459" customFormat="1" x14ac:dyDescent="0.25"/>
    <row r="171460" customFormat="1" x14ac:dyDescent="0.25"/>
    <row r="171461" customFormat="1" x14ac:dyDescent="0.25"/>
    <row r="171462" customFormat="1" x14ac:dyDescent="0.25"/>
    <row r="171463" customFormat="1" x14ac:dyDescent="0.25"/>
    <row r="171464" customFormat="1" x14ac:dyDescent="0.25"/>
    <row r="171465" customFormat="1" x14ac:dyDescent="0.25"/>
    <row r="171466" customFormat="1" x14ac:dyDescent="0.25"/>
    <row r="171467" customFormat="1" x14ac:dyDescent="0.25"/>
    <row r="171468" customFormat="1" x14ac:dyDescent="0.25"/>
    <row r="171469" customFormat="1" x14ac:dyDescent="0.25"/>
    <row r="171470" customFormat="1" x14ac:dyDescent="0.25"/>
    <row r="171471" customFormat="1" x14ac:dyDescent="0.25"/>
    <row r="171472" customFormat="1" x14ac:dyDescent="0.25"/>
    <row r="171473" customFormat="1" x14ac:dyDescent="0.25"/>
    <row r="171474" customFormat="1" x14ac:dyDescent="0.25"/>
    <row r="171475" customFormat="1" x14ac:dyDescent="0.25"/>
    <row r="171476" customFormat="1" x14ac:dyDescent="0.25"/>
    <row r="171477" customFormat="1" x14ac:dyDescent="0.25"/>
    <row r="171478" customFormat="1" x14ac:dyDescent="0.25"/>
    <row r="171479" customFormat="1" x14ac:dyDescent="0.25"/>
    <row r="171480" customFormat="1" x14ac:dyDescent="0.25"/>
    <row r="171481" customFormat="1" x14ac:dyDescent="0.25"/>
    <row r="171482" customFormat="1" x14ac:dyDescent="0.25"/>
    <row r="171483" customFormat="1" x14ac:dyDescent="0.25"/>
    <row r="171484" customFormat="1" x14ac:dyDescent="0.25"/>
    <row r="171485" customFormat="1" x14ac:dyDescent="0.25"/>
    <row r="171486" customFormat="1" x14ac:dyDescent="0.25"/>
    <row r="171487" customFormat="1" x14ac:dyDescent="0.25"/>
    <row r="171488" customFormat="1" x14ac:dyDescent="0.25"/>
    <row r="171489" customFormat="1" x14ac:dyDescent="0.25"/>
    <row r="171490" customFormat="1" x14ac:dyDescent="0.25"/>
    <row r="171491" customFormat="1" x14ac:dyDescent="0.25"/>
    <row r="171492" customFormat="1" x14ac:dyDescent="0.25"/>
    <row r="171493" customFormat="1" x14ac:dyDescent="0.25"/>
    <row r="171494" customFormat="1" x14ac:dyDescent="0.25"/>
    <row r="171495" customFormat="1" x14ac:dyDescent="0.25"/>
    <row r="171496" customFormat="1" x14ac:dyDescent="0.25"/>
    <row r="171497" customFormat="1" x14ac:dyDescent="0.25"/>
    <row r="171498" customFormat="1" x14ac:dyDescent="0.25"/>
    <row r="171499" customFormat="1" x14ac:dyDescent="0.25"/>
    <row r="171500" customFormat="1" x14ac:dyDescent="0.25"/>
    <row r="171501" customFormat="1" x14ac:dyDescent="0.25"/>
    <row r="171502" customFormat="1" x14ac:dyDescent="0.25"/>
    <row r="171503" customFormat="1" x14ac:dyDescent="0.25"/>
    <row r="171504" customFormat="1" x14ac:dyDescent="0.25"/>
    <row r="171505" customFormat="1" x14ac:dyDescent="0.25"/>
    <row r="171506" customFormat="1" x14ac:dyDescent="0.25"/>
    <row r="171507" customFormat="1" x14ac:dyDescent="0.25"/>
    <row r="171508" customFormat="1" x14ac:dyDescent="0.25"/>
    <row r="171509" customFormat="1" x14ac:dyDescent="0.25"/>
    <row r="171510" customFormat="1" x14ac:dyDescent="0.25"/>
    <row r="171511" customFormat="1" x14ac:dyDescent="0.25"/>
    <row r="171512" customFormat="1" x14ac:dyDescent="0.25"/>
    <row r="171513" customFormat="1" x14ac:dyDescent="0.25"/>
    <row r="171514" customFormat="1" x14ac:dyDescent="0.25"/>
    <row r="171515" customFormat="1" x14ac:dyDescent="0.25"/>
    <row r="171516" customFormat="1" x14ac:dyDescent="0.25"/>
    <row r="171517" customFormat="1" x14ac:dyDescent="0.25"/>
    <row r="171518" customFormat="1" x14ac:dyDescent="0.25"/>
    <row r="171519" customFormat="1" x14ac:dyDescent="0.25"/>
    <row r="171520" customFormat="1" x14ac:dyDescent="0.25"/>
    <row r="171521" customFormat="1" x14ac:dyDescent="0.25"/>
    <row r="171522" customFormat="1" x14ac:dyDescent="0.25"/>
    <row r="171523" customFormat="1" x14ac:dyDescent="0.25"/>
    <row r="171524" customFormat="1" x14ac:dyDescent="0.25"/>
    <row r="171525" customFormat="1" x14ac:dyDescent="0.25"/>
    <row r="171526" customFormat="1" x14ac:dyDescent="0.25"/>
    <row r="171527" customFormat="1" x14ac:dyDescent="0.25"/>
    <row r="171528" customFormat="1" x14ac:dyDescent="0.25"/>
    <row r="171529" customFormat="1" x14ac:dyDescent="0.25"/>
    <row r="171530" customFormat="1" x14ac:dyDescent="0.25"/>
    <row r="171531" customFormat="1" x14ac:dyDescent="0.25"/>
    <row r="171532" customFormat="1" x14ac:dyDescent="0.25"/>
    <row r="171533" customFormat="1" x14ac:dyDescent="0.25"/>
    <row r="171534" customFormat="1" x14ac:dyDescent="0.25"/>
    <row r="171535" customFormat="1" x14ac:dyDescent="0.25"/>
    <row r="171536" customFormat="1" x14ac:dyDescent="0.25"/>
    <row r="171537" customFormat="1" x14ac:dyDescent="0.25"/>
    <row r="171538" customFormat="1" x14ac:dyDescent="0.25"/>
    <row r="171539" customFormat="1" x14ac:dyDescent="0.25"/>
    <row r="171540" customFormat="1" x14ac:dyDescent="0.25"/>
    <row r="171541" customFormat="1" x14ac:dyDescent="0.25"/>
    <row r="171542" customFormat="1" x14ac:dyDescent="0.25"/>
    <row r="171543" customFormat="1" x14ac:dyDescent="0.25"/>
    <row r="171544" customFormat="1" x14ac:dyDescent="0.25"/>
    <row r="171545" customFormat="1" x14ac:dyDescent="0.25"/>
    <row r="171546" customFormat="1" x14ac:dyDescent="0.25"/>
    <row r="171547" customFormat="1" x14ac:dyDescent="0.25"/>
    <row r="171548" customFormat="1" x14ac:dyDescent="0.25"/>
    <row r="171549" customFormat="1" x14ac:dyDescent="0.25"/>
    <row r="171550" customFormat="1" x14ac:dyDescent="0.25"/>
    <row r="171551" customFormat="1" x14ac:dyDescent="0.25"/>
    <row r="171552" customFormat="1" x14ac:dyDescent="0.25"/>
    <row r="171553" customFormat="1" x14ac:dyDescent="0.25"/>
    <row r="171554" customFormat="1" x14ac:dyDescent="0.25"/>
    <row r="171555" customFormat="1" x14ac:dyDescent="0.25"/>
    <row r="171556" customFormat="1" x14ac:dyDescent="0.25"/>
    <row r="171557" customFormat="1" x14ac:dyDescent="0.25"/>
    <row r="171558" customFormat="1" x14ac:dyDescent="0.25"/>
    <row r="171559" customFormat="1" x14ac:dyDescent="0.25"/>
    <row r="171560" customFormat="1" x14ac:dyDescent="0.25"/>
    <row r="171561" customFormat="1" x14ac:dyDescent="0.25"/>
    <row r="171562" customFormat="1" x14ac:dyDescent="0.25"/>
    <row r="171563" customFormat="1" x14ac:dyDescent="0.25"/>
    <row r="171564" customFormat="1" x14ac:dyDescent="0.25"/>
    <row r="171565" customFormat="1" x14ac:dyDescent="0.25"/>
    <row r="171566" customFormat="1" x14ac:dyDescent="0.25"/>
    <row r="171567" customFormat="1" x14ac:dyDescent="0.25"/>
    <row r="171568" customFormat="1" x14ac:dyDescent="0.25"/>
    <row r="171569" customFormat="1" x14ac:dyDescent="0.25"/>
    <row r="171570" customFormat="1" x14ac:dyDescent="0.25"/>
    <row r="171571" customFormat="1" x14ac:dyDescent="0.25"/>
    <row r="171572" customFormat="1" x14ac:dyDescent="0.25"/>
    <row r="171573" customFormat="1" x14ac:dyDescent="0.25"/>
    <row r="171574" customFormat="1" x14ac:dyDescent="0.25"/>
    <row r="171575" customFormat="1" x14ac:dyDescent="0.25"/>
    <row r="171576" customFormat="1" x14ac:dyDescent="0.25"/>
    <row r="171577" customFormat="1" x14ac:dyDescent="0.25"/>
    <row r="171578" customFormat="1" x14ac:dyDescent="0.25"/>
    <row r="171579" customFormat="1" x14ac:dyDescent="0.25"/>
    <row r="171580" customFormat="1" x14ac:dyDescent="0.25"/>
    <row r="171581" customFormat="1" x14ac:dyDescent="0.25"/>
    <row r="171582" customFormat="1" x14ac:dyDescent="0.25"/>
    <row r="171583" customFormat="1" x14ac:dyDescent="0.25"/>
    <row r="171584" customFormat="1" x14ac:dyDescent="0.25"/>
    <row r="171585" customFormat="1" x14ac:dyDescent="0.25"/>
    <row r="171586" customFormat="1" x14ac:dyDescent="0.25"/>
    <row r="171587" customFormat="1" x14ac:dyDescent="0.25"/>
    <row r="171588" customFormat="1" x14ac:dyDescent="0.25"/>
    <row r="171589" customFormat="1" x14ac:dyDescent="0.25"/>
    <row r="171590" customFormat="1" x14ac:dyDescent="0.25"/>
    <row r="171591" customFormat="1" x14ac:dyDescent="0.25"/>
    <row r="171592" customFormat="1" x14ac:dyDescent="0.25"/>
    <row r="171593" customFormat="1" x14ac:dyDescent="0.25"/>
    <row r="171594" customFormat="1" x14ac:dyDescent="0.25"/>
    <row r="171595" customFormat="1" x14ac:dyDescent="0.25"/>
    <row r="171596" customFormat="1" x14ac:dyDescent="0.25"/>
    <row r="171597" customFormat="1" x14ac:dyDescent="0.25"/>
    <row r="171598" customFormat="1" x14ac:dyDescent="0.25"/>
    <row r="171599" customFormat="1" x14ac:dyDescent="0.25"/>
    <row r="171600" customFormat="1" x14ac:dyDescent="0.25"/>
    <row r="171601" customFormat="1" x14ac:dyDescent="0.25"/>
    <row r="171602" customFormat="1" x14ac:dyDescent="0.25"/>
    <row r="171603" customFormat="1" x14ac:dyDescent="0.25"/>
    <row r="171604" customFormat="1" x14ac:dyDescent="0.25"/>
    <row r="171605" customFormat="1" x14ac:dyDescent="0.25"/>
    <row r="171606" customFormat="1" x14ac:dyDescent="0.25"/>
    <row r="171607" customFormat="1" x14ac:dyDescent="0.25"/>
    <row r="171608" customFormat="1" x14ac:dyDescent="0.25"/>
    <row r="171609" customFormat="1" x14ac:dyDescent="0.25"/>
    <row r="171610" customFormat="1" x14ac:dyDescent="0.25"/>
    <row r="171611" customFormat="1" x14ac:dyDescent="0.25"/>
    <row r="171612" customFormat="1" x14ac:dyDescent="0.25"/>
    <row r="171613" customFormat="1" x14ac:dyDescent="0.25"/>
    <row r="171614" customFormat="1" x14ac:dyDescent="0.25"/>
    <row r="171615" customFormat="1" x14ac:dyDescent="0.25"/>
    <row r="171616" customFormat="1" x14ac:dyDescent="0.25"/>
    <row r="171617" customFormat="1" x14ac:dyDescent="0.25"/>
    <row r="171618" customFormat="1" x14ac:dyDescent="0.25"/>
    <row r="171619" customFormat="1" x14ac:dyDescent="0.25"/>
    <row r="171620" customFormat="1" x14ac:dyDescent="0.25"/>
    <row r="171621" customFormat="1" x14ac:dyDescent="0.25"/>
    <row r="171622" customFormat="1" x14ac:dyDescent="0.25"/>
    <row r="171623" customFormat="1" x14ac:dyDescent="0.25"/>
    <row r="171624" customFormat="1" x14ac:dyDescent="0.25"/>
    <row r="171625" customFormat="1" x14ac:dyDescent="0.25"/>
    <row r="171626" customFormat="1" x14ac:dyDescent="0.25"/>
    <row r="171627" customFormat="1" x14ac:dyDescent="0.25"/>
    <row r="171628" customFormat="1" x14ac:dyDescent="0.25"/>
    <row r="171629" customFormat="1" x14ac:dyDescent="0.25"/>
    <row r="171630" customFormat="1" x14ac:dyDescent="0.25"/>
    <row r="171631" customFormat="1" x14ac:dyDescent="0.25"/>
    <row r="171632" customFormat="1" x14ac:dyDescent="0.25"/>
    <row r="171633" customFormat="1" x14ac:dyDescent="0.25"/>
    <row r="171634" customFormat="1" x14ac:dyDescent="0.25"/>
    <row r="171635" customFormat="1" x14ac:dyDescent="0.25"/>
    <row r="171636" customFormat="1" x14ac:dyDescent="0.25"/>
    <row r="171637" customFormat="1" x14ac:dyDescent="0.25"/>
    <row r="171638" customFormat="1" x14ac:dyDescent="0.25"/>
    <row r="171639" customFormat="1" x14ac:dyDescent="0.25"/>
    <row r="171640" customFormat="1" x14ac:dyDescent="0.25"/>
    <row r="171641" customFormat="1" x14ac:dyDescent="0.25"/>
    <row r="171642" customFormat="1" x14ac:dyDescent="0.25"/>
    <row r="171643" customFormat="1" x14ac:dyDescent="0.25"/>
    <row r="171644" customFormat="1" x14ac:dyDescent="0.25"/>
    <row r="171645" customFormat="1" x14ac:dyDescent="0.25"/>
    <row r="171646" customFormat="1" x14ac:dyDescent="0.25"/>
    <row r="171647" customFormat="1" x14ac:dyDescent="0.25"/>
    <row r="171648" customFormat="1" x14ac:dyDescent="0.25"/>
    <row r="171649" customFormat="1" x14ac:dyDescent="0.25"/>
    <row r="171650" customFormat="1" x14ac:dyDescent="0.25"/>
    <row r="171651" customFormat="1" x14ac:dyDescent="0.25"/>
    <row r="171652" customFormat="1" x14ac:dyDescent="0.25"/>
    <row r="171653" customFormat="1" x14ac:dyDescent="0.25"/>
    <row r="171654" customFormat="1" x14ac:dyDescent="0.25"/>
    <row r="171655" customFormat="1" x14ac:dyDescent="0.25"/>
    <row r="171656" customFormat="1" x14ac:dyDescent="0.25"/>
    <row r="171657" customFormat="1" x14ac:dyDescent="0.25"/>
    <row r="171658" customFormat="1" x14ac:dyDescent="0.25"/>
    <row r="171659" customFormat="1" x14ac:dyDescent="0.25"/>
    <row r="171660" customFormat="1" x14ac:dyDescent="0.25"/>
    <row r="171661" customFormat="1" x14ac:dyDescent="0.25"/>
    <row r="171662" customFormat="1" x14ac:dyDescent="0.25"/>
    <row r="171663" customFormat="1" x14ac:dyDescent="0.25"/>
    <row r="171664" customFormat="1" x14ac:dyDescent="0.25"/>
    <row r="171665" customFormat="1" x14ac:dyDescent="0.25"/>
    <row r="171666" customFormat="1" x14ac:dyDescent="0.25"/>
    <row r="171667" customFormat="1" x14ac:dyDescent="0.25"/>
    <row r="171668" customFormat="1" x14ac:dyDescent="0.25"/>
    <row r="171669" customFormat="1" x14ac:dyDescent="0.25"/>
    <row r="171670" customFormat="1" x14ac:dyDescent="0.25"/>
    <row r="171671" customFormat="1" x14ac:dyDescent="0.25"/>
    <row r="171672" customFormat="1" x14ac:dyDescent="0.25"/>
    <row r="171673" customFormat="1" x14ac:dyDescent="0.25"/>
    <row r="171674" customFormat="1" x14ac:dyDescent="0.25"/>
    <row r="171675" customFormat="1" x14ac:dyDescent="0.25"/>
    <row r="171676" customFormat="1" x14ac:dyDescent="0.25"/>
    <row r="171677" customFormat="1" x14ac:dyDescent="0.25"/>
    <row r="171678" customFormat="1" x14ac:dyDescent="0.25"/>
    <row r="171679" customFormat="1" x14ac:dyDescent="0.25"/>
    <row r="171680" customFormat="1" x14ac:dyDescent="0.25"/>
    <row r="171681" customFormat="1" x14ac:dyDescent="0.25"/>
    <row r="171682" customFormat="1" x14ac:dyDescent="0.25"/>
    <row r="171683" customFormat="1" x14ac:dyDescent="0.25"/>
    <row r="171684" customFormat="1" x14ac:dyDescent="0.25"/>
    <row r="171685" customFormat="1" x14ac:dyDescent="0.25"/>
    <row r="171686" customFormat="1" x14ac:dyDescent="0.25"/>
    <row r="171687" customFormat="1" x14ac:dyDescent="0.25"/>
    <row r="171688" customFormat="1" x14ac:dyDescent="0.25"/>
    <row r="171689" customFormat="1" x14ac:dyDescent="0.25"/>
    <row r="171690" customFormat="1" x14ac:dyDescent="0.25"/>
    <row r="171691" customFormat="1" x14ac:dyDescent="0.25"/>
    <row r="171692" customFormat="1" x14ac:dyDescent="0.25"/>
    <row r="171693" customFormat="1" x14ac:dyDescent="0.25"/>
    <row r="171694" customFormat="1" x14ac:dyDescent="0.25"/>
    <row r="171695" customFormat="1" x14ac:dyDescent="0.25"/>
    <row r="171696" customFormat="1" x14ac:dyDescent="0.25"/>
    <row r="171697" customFormat="1" x14ac:dyDescent="0.25"/>
    <row r="171698" customFormat="1" x14ac:dyDescent="0.25"/>
    <row r="171699" customFormat="1" x14ac:dyDescent="0.25"/>
    <row r="171700" customFormat="1" x14ac:dyDescent="0.25"/>
    <row r="171701" customFormat="1" x14ac:dyDescent="0.25"/>
    <row r="171702" customFormat="1" x14ac:dyDescent="0.25"/>
    <row r="171703" customFormat="1" x14ac:dyDescent="0.25"/>
    <row r="171704" customFormat="1" x14ac:dyDescent="0.25"/>
    <row r="171705" customFormat="1" x14ac:dyDescent="0.25"/>
    <row r="171706" customFormat="1" x14ac:dyDescent="0.25"/>
    <row r="171707" customFormat="1" x14ac:dyDescent="0.25"/>
    <row r="171708" customFormat="1" x14ac:dyDescent="0.25"/>
    <row r="171709" customFormat="1" x14ac:dyDescent="0.25"/>
    <row r="171710" customFormat="1" x14ac:dyDescent="0.25"/>
    <row r="171711" customFormat="1" x14ac:dyDescent="0.25"/>
    <row r="171712" customFormat="1" x14ac:dyDescent="0.25"/>
    <row r="171713" customFormat="1" x14ac:dyDescent="0.25"/>
    <row r="171714" customFormat="1" x14ac:dyDescent="0.25"/>
    <row r="171715" customFormat="1" x14ac:dyDescent="0.25"/>
    <row r="171716" customFormat="1" x14ac:dyDescent="0.25"/>
    <row r="171717" customFormat="1" x14ac:dyDescent="0.25"/>
    <row r="171718" customFormat="1" x14ac:dyDescent="0.25"/>
    <row r="171719" customFormat="1" x14ac:dyDescent="0.25"/>
    <row r="171720" customFormat="1" x14ac:dyDescent="0.25"/>
    <row r="171721" customFormat="1" x14ac:dyDescent="0.25"/>
    <row r="171722" customFormat="1" x14ac:dyDescent="0.25"/>
    <row r="171723" customFormat="1" x14ac:dyDescent="0.25"/>
    <row r="171724" customFormat="1" x14ac:dyDescent="0.25"/>
    <row r="171725" customFormat="1" x14ac:dyDescent="0.25"/>
    <row r="171726" customFormat="1" x14ac:dyDescent="0.25"/>
    <row r="171727" customFormat="1" x14ac:dyDescent="0.25"/>
    <row r="171728" customFormat="1" x14ac:dyDescent="0.25"/>
    <row r="171729" customFormat="1" x14ac:dyDescent="0.25"/>
    <row r="171730" customFormat="1" x14ac:dyDescent="0.25"/>
    <row r="171731" customFormat="1" x14ac:dyDescent="0.25"/>
    <row r="171732" customFormat="1" x14ac:dyDescent="0.25"/>
    <row r="171733" customFormat="1" x14ac:dyDescent="0.25"/>
    <row r="171734" customFormat="1" x14ac:dyDescent="0.25"/>
    <row r="171735" customFormat="1" x14ac:dyDescent="0.25"/>
    <row r="171736" customFormat="1" x14ac:dyDescent="0.25"/>
    <row r="171737" customFormat="1" x14ac:dyDescent="0.25"/>
    <row r="171738" customFormat="1" x14ac:dyDescent="0.25"/>
    <row r="171739" customFormat="1" x14ac:dyDescent="0.25"/>
    <row r="171740" customFormat="1" x14ac:dyDescent="0.25"/>
    <row r="171741" customFormat="1" x14ac:dyDescent="0.25"/>
    <row r="171742" customFormat="1" x14ac:dyDescent="0.25"/>
    <row r="171743" customFormat="1" x14ac:dyDescent="0.25"/>
    <row r="171744" customFormat="1" x14ac:dyDescent="0.25"/>
    <row r="171745" customFormat="1" x14ac:dyDescent="0.25"/>
    <row r="171746" customFormat="1" x14ac:dyDescent="0.25"/>
    <row r="171747" customFormat="1" x14ac:dyDescent="0.25"/>
    <row r="171748" customFormat="1" x14ac:dyDescent="0.25"/>
    <row r="171749" customFormat="1" x14ac:dyDescent="0.25"/>
    <row r="171750" customFormat="1" x14ac:dyDescent="0.25"/>
    <row r="171751" customFormat="1" x14ac:dyDescent="0.25"/>
    <row r="171752" customFormat="1" x14ac:dyDescent="0.25"/>
    <row r="171753" customFormat="1" x14ac:dyDescent="0.25"/>
    <row r="171754" customFormat="1" x14ac:dyDescent="0.25"/>
    <row r="171755" customFormat="1" x14ac:dyDescent="0.25"/>
    <row r="171756" customFormat="1" x14ac:dyDescent="0.25"/>
    <row r="171757" customFormat="1" x14ac:dyDescent="0.25"/>
    <row r="171758" customFormat="1" x14ac:dyDescent="0.25"/>
    <row r="171759" customFormat="1" x14ac:dyDescent="0.25"/>
    <row r="171760" customFormat="1" x14ac:dyDescent="0.25"/>
    <row r="171761" customFormat="1" x14ac:dyDescent="0.25"/>
    <row r="171762" customFormat="1" x14ac:dyDescent="0.25"/>
    <row r="171763" customFormat="1" x14ac:dyDescent="0.25"/>
    <row r="171764" customFormat="1" x14ac:dyDescent="0.25"/>
    <row r="171765" customFormat="1" x14ac:dyDescent="0.25"/>
    <row r="171766" customFormat="1" x14ac:dyDescent="0.25"/>
    <row r="171767" customFormat="1" x14ac:dyDescent="0.25"/>
    <row r="171768" customFormat="1" x14ac:dyDescent="0.25"/>
    <row r="171769" customFormat="1" x14ac:dyDescent="0.25"/>
    <row r="171770" customFormat="1" x14ac:dyDescent="0.25"/>
    <row r="171771" customFormat="1" x14ac:dyDescent="0.25"/>
    <row r="171772" customFormat="1" x14ac:dyDescent="0.25"/>
    <row r="171773" customFormat="1" x14ac:dyDescent="0.25"/>
    <row r="171774" customFormat="1" x14ac:dyDescent="0.25"/>
    <row r="171775" customFormat="1" x14ac:dyDescent="0.25"/>
    <row r="171776" customFormat="1" x14ac:dyDescent="0.25"/>
    <row r="171777" customFormat="1" x14ac:dyDescent="0.25"/>
    <row r="171778" customFormat="1" x14ac:dyDescent="0.25"/>
    <row r="171779" customFormat="1" x14ac:dyDescent="0.25"/>
    <row r="171780" customFormat="1" x14ac:dyDescent="0.25"/>
    <row r="171781" customFormat="1" x14ac:dyDescent="0.25"/>
    <row r="171782" customFormat="1" x14ac:dyDescent="0.25"/>
    <row r="171783" customFormat="1" x14ac:dyDescent="0.25"/>
    <row r="171784" customFormat="1" x14ac:dyDescent="0.25"/>
    <row r="171785" customFormat="1" x14ac:dyDescent="0.25"/>
    <row r="171786" customFormat="1" x14ac:dyDescent="0.25"/>
    <row r="171787" customFormat="1" x14ac:dyDescent="0.25"/>
    <row r="171788" customFormat="1" x14ac:dyDescent="0.25"/>
    <row r="171789" customFormat="1" x14ac:dyDescent="0.25"/>
    <row r="171790" customFormat="1" x14ac:dyDescent="0.25"/>
    <row r="171791" customFormat="1" x14ac:dyDescent="0.25"/>
    <row r="171792" customFormat="1" x14ac:dyDescent="0.25"/>
    <row r="171793" customFormat="1" x14ac:dyDescent="0.25"/>
    <row r="171794" customFormat="1" x14ac:dyDescent="0.25"/>
    <row r="171795" customFormat="1" x14ac:dyDescent="0.25"/>
    <row r="171796" customFormat="1" x14ac:dyDescent="0.25"/>
    <row r="171797" customFormat="1" x14ac:dyDescent="0.25"/>
    <row r="171798" customFormat="1" x14ac:dyDescent="0.25"/>
    <row r="171799" customFormat="1" x14ac:dyDescent="0.25"/>
    <row r="171800" customFormat="1" x14ac:dyDescent="0.25"/>
    <row r="171801" customFormat="1" x14ac:dyDescent="0.25"/>
    <row r="171802" customFormat="1" x14ac:dyDescent="0.25"/>
    <row r="171803" customFormat="1" x14ac:dyDescent="0.25"/>
    <row r="171804" customFormat="1" x14ac:dyDescent="0.25"/>
    <row r="171805" customFormat="1" x14ac:dyDescent="0.25"/>
    <row r="171806" customFormat="1" x14ac:dyDescent="0.25"/>
    <row r="171807" customFormat="1" x14ac:dyDescent="0.25"/>
    <row r="171808" customFormat="1" x14ac:dyDescent="0.25"/>
    <row r="171809" customFormat="1" x14ac:dyDescent="0.25"/>
    <row r="171810" customFormat="1" x14ac:dyDescent="0.25"/>
    <row r="171811" customFormat="1" x14ac:dyDescent="0.25"/>
    <row r="171812" customFormat="1" x14ac:dyDescent="0.25"/>
    <row r="171813" customFormat="1" x14ac:dyDescent="0.25"/>
    <row r="171814" customFormat="1" x14ac:dyDescent="0.25"/>
    <row r="171815" customFormat="1" x14ac:dyDescent="0.25"/>
    <row r="171816" customFormat="1" x14ac:dyDescent="0.25"/>
    <row r="171817" customFormat="1" x14ac:dyDescent="0.25"/>
    <row r="171818" customFormat="1" x14ac:dyDescent="0.25"/>
    <row r="171819" customFormat="1" x14ac:dyDescent="0.25"/>
    <row r="171820" customFormat="1" x14ac:dyDescent="0.25"/>
    <row r="171821" customFormat="1" x14ac:dyDescent="0.25"/>
    <row r="171822" customFormat="1" x14ac:dyDescent="0.25"/>
    <row r="171823" customFormat="1" x14ac:dyDescent="0.25"/>
    <row r="171824" customFormat="1" x14ac:dyDescent="0.25"/>
    <row r="171825" customFormat="1" x14ac:dyDescent="0.25"/>
    <row r="171826" customFormat="1" x14ac:dyDescent="0.25"/>
    <row r="171827" customFormat="1" x14ac:dyDescent="0.25"/>
    <row r="171828" customFormat="1" x14ac:dyDescent="0.25"/>
    <row r="171829" customFormat="1" x14ac:dyDescent="0.25"/>
    <row r="171830" customFormat="1" x14ac:dyDescent="0.25"/>
    <row r="171831" customFormat="1" x14ac:dyDescent="0.25"/>
    <row r="171832" customFormat="1" x14ac:dyDescent="0.25"/>
    <row r="171833" customFormat="1" x14ac:dyDescent="0.25"/>
    <row r="171834" customFormat="1" x14ac:dyDescent="0.25"/>
    <row r="171835" customFormat="1" x14ac:dyDescent="0.25"/>
    <row r="171836" customFormat="1" x14ac:dyDescent="0.25"/>
    <row r="171837" customFormat="1" x14ac:dyDescent="0.25"/>
    <row r="171838" customFormat="1" x14ac:dyDescent="0.25"/>
    <row r="171839" customFormat="1" x14ac:dyDescent="0.25"/>
    <row r="171840" customFormat="1" x14ac:dyDescent="0.25"/>
    <row r="171841" customFormat="1" x14ac:dyDescent="0.25"/>
    <row r="171842" customFormat="1" x14ac:dyDescent="0.25"/>
    <row r="171843" customFormat="1" x14ac:dyDescent="0.25"/>
    <row r="171844" customFormat="1" x14ac:dyDescent="0.25"/>
    <row r="171845" customFormat="1" x14ac:dyDescent="0.25"/>
    <row r="171846" customFormat="1" x14ac:dyDescent="0.25"/>
    <row r="171847" customFormat="1" x14ac:dyDescent="0.25"/>
    <row r="171848" customFormat="1" x14ac:dyDescent="0.25"/>
    <row r="171849" customFormat="1" x14ac:dyDescent="0.25"/>
    <row r="171850" customFormat="1" x14ac:dyDescent="0.25"/>
    <row r="171851" customFormat="1" x14ac:dyDescent="0.25"/>
    <row r="171852" customFormat="1" x14ac:dyDescent="0.25"/>
    <row r="171853" customFormat="1" x14ac:dyDescent="0.25"/>
    <row r="171854" customFormat="1" x14ac:dyDescent="0.25"/>
    <row r="171855" customFormat="1" x14ac:dyDescent="0.25"/>
    <row r="171856" customFormat="1" x14ac:dyDescent="0.25"/>
    <row r="171857" customFormat="1" x14ac:dyDescent="0.25"/>
    <row r="171858" customFormat="1" x14ac:dyDescent="0.25"/>
    <row r="171859" customFormat="1" x14ac:dyDescent="0.25"/>
    <row r="171860" customFormat="1" x14ac:dyDescent="0.25"/>
    <row r="171861" customFormat="1" x14ac:dyDescent="0.25"/>
    <row r="171862" customFormat="1" x14ac:dyDescent="0.25"/>
    <row r="171863" customFormat="1" x14ac:dyDescent="0.25"/>
    <row r="171864" customFormat="1" x14ac:dyDescent="0.25"/>
    <row r="171865" customFormat="1" x14ac:dyDescent="0.25"/>
    <row r="171866" customFormat="1" x14ac:dyDescent="0.25"/>
    <row r="171867" customFormat="1" x14ac:dyDescent="0.25"/>
    <row r="171868" customFormat="1" x14ac:dyDescent="0.25"/>
    <row r="171869" customFormat="1" x14ac:dyDescent="0.25"/>
    <row r="171870" customFormat="1" x14ac:dyDescent="0.25"/>
    <row r="171871" customFormat="1" x14ac:dyDescent="0.25"/>
    <row r="171872" customFormat="1" x14ac:dyDescent="0.25"/>
    <row r="171873" customFormat="1" x14ac:dyDescent="0.25"/>
    <row r="171874" customFormat="1" x14ac:dyDescent="0.25"/>
    <row r="171875" customFormat="1" x14ac:dyDescent="0.25"/>
    <row r="171876" customFormat="1" x14ac:dyDescent="0.25"/>
    <row r="171877" customFormat="1" x14ac:dyDescent="0.25"/>
    <row r="171878" customFormat="1" x14ac:dyDescent="0.25"/>
    <row r="171879" customFormat="1" x14ac:dyDescent="0.25"/>
    <row r="171880" customFormat="1" x14ac:dyDescent="0.25"/>
    <row r="171881" customFormat="1" x14ac:dyDescent="0.25"/>
    <row r="171882" customFormat="1" x14ac:dyDescent="0.25"/>
    <row r="171883" customFormat="1" x14ac:dyDescent="0.25"/>
    <row r="171884" customFormat="1" x14ac:dyDescent="0.25"/>
    <row r="171885" customFormat="1" x14ac:dyDescent="0.25"/>
    <row r="171886" customFormat="1" x14ac:dyDescent="0.25"/>
    <row r="171887" customFormat="1" x14ac:dyDescent="0.25"/>
    <row r="171888" customFormat="1" x14ac:dyDescent="0.25"/>
    <row r="171889" customFormat="1" x14ac:dyDescent="0.25"/>
    <row r="171890" customFormat="1" x14ac:dyDescent="0.25"/>
    <row r="171891" customFormat="1" x14ac:dyDescent="0.25"/>
    <row r="171892" customFormat="1" x14ac:dyDescent="0.25"/>
    <row r="171893" customFormat="1" x14ac:dyDescent="0.25"/>
    <row r="171894" customFormat="1" x14ac:dyDescent="0.25"/>
    <row r="171895" customFormat="1" x14ac:dyDescent="0.25"/>
    <row r="171896" customFormat="1" x14ac:dyDescent="0.25"/>
    <row r="171897" customFormat="1" x14ac:dyDescent="0.25"/>
    <row r="171898" customFormat="1" x14ac:dyDescent="0.25"/>
    <row r="171899" customFormat="1" x14ac:dyDescent="0.25"/>
    <row r="171900" customFormat="1" x14ac:dyDescent="0.25"/>
    <row r="171901" customFormat="1" x14ac:dyDescent="0.25"/>
    <row r="171902" customFormat="1" x14ac:dyDescent="0.25"/>
    <row r="171903" customFormat="1" x14ac:dyDescent="0.25"/>
    <row r="171904" customFormat="1" x14ac:dyDescent="0.25"/>
    <row r="171905" customFormat="1" x14ac:dyDescent="0.25"/>
    <row r="171906" customFormat="1" x14ac:dyDescent="0.25"/>
    <row r="171907" customFormat="1" x14ac:dyDescent="0.25"/>
    <row r="171908" customFormat="1" x14ac:dyDescent="0.25"/>
    <row r="171909" customFormat="1" x14ac:dyDescent="0.25"/>
    <row r="171910" customFormat="1" x14ac:dyDescent="0.25"/>
    <row r="171911" customFormat="1" x14ac:dyDescent="0.25"/>
    <row r="171912" customFormat="1" x14ac:dyDescent="0.25"/>
    <row r="171913" customFormat="1" x14ac:dyDescent="0.25"/>
    <row r="171914" customFormat="1" x14ac:dyDescent="0.25"/>
    <row r="171915" customFormat="1" x14ac:dyDescent="0.25"/>
    <row r="171916" customFormat="1" x14ac:dyDescent="0.25"/>
    <row r="171917" customFormat="1" x14ac:dyDescent="0.25"/>
    <row r="171918" customFormat="1" x14ac:dyDescent="0.25"/>
    <row r="171919" customFormat="1" x14ac:dyDescent="0.25"/>
    <row r="171920" customFormat="1" x14ac:dyDescent="0.25"/>
    <row r="171921" customFormat="1" x14ac:dyDescent="0.25"/>
    <row r="171922" customFormat="1" x14ac:dyDescent="0.25"/>
    <row r="171923" customFormat="1" x14ac:dyDescent="0.25"/>
    <row r="171924" customFormat="1" x14ac:dyDescent="0.25"/>
    <row r="171925" customFormat="1" x14ac:dyDescent="0.25"/>
    <row r="171926" customFormat="1" x14ac:dyDescent="0.25"/>
    <row r="171927" customFormat="1" x14ac:dyDescent="0.25"/>
    <row r="171928" customFormat="1" x14ac:dyDescent="0.25"/>
    <row r="171929" customFormat="1" x14ac:dyDescent="0.25"/>
    <row r="171930" customFormat="1" x14ac:dyDescent="0.25"/>
    <row r="171931" customFormat="1" x14ac:dyDescent="0.25"/>
    <row r="171932" customFormat="1" x14ac:dyDescent="0.25"/>
    <row r="171933" customFormat="1" x14ac:dyDescent="0.25"/>
    <row r="171934" customFormat="1" x14ac:dyDescent="0.25"/>
    <row r="171935" customFormat="1" x14ac:dyDescent="0.25"/>
    <row r="171936" customFormat="1" x14ac:dyDescent="0.25"/>
    <row r="171937" customFormat="1" x14ac:dyDescent="0.25"/>
    <row r="171938" customFormat="1" x14ac:dyDescent="0.25"/>
    <row r="171939" customFormat="1" x14ac:dyDescent="0.25"/>
    <row r="171940" customFormat="1" x14ac:dyDescent="0.25"/>
    <row r="171941" customFormat="1" x14ac:dyDescent="0.25"/>
    <row r="171942" customFormat="1" x14ac:dyDescent="0.25"/>
    <row r="171943" customFormat="1" x14ac:dyDescent="0.25"/>
    <row r="171944" customFormat="1" x14ac:dyDescent="0.25"/>
    <row r="171945" customFormat="1" x14ac:dyDescent="0.25"/>
    <row r="171946" customFormat="1" x14ac:dyDescent="0.25"/>
    <row r="171947" customFormat="1" x14ac:dyDescent="0.25"/>
    <row r="171948" customFormat="1" x14ac:dyDescent="0.25"/>
    <row r="171949" customFormat="1" x14ac:dyDescent="0.25"/>
    <row r="171950" customFormat="1" x14ac:dyDescent="0.25"/>
    <row r="171951" customFormat="1" x14ac:dyDescent="0.25"/>
    <row r="171952" customFormat="1" x14ac:dyDescent="0.25"/>
    <row r="171953" customFormat="1" x14ac:dyDescent="0.25"/>
    <row r="171954" customFormat="1" x14ac:dyDescent="0.25"/>
    <row r="171955" customFormat="1" x14ac:dyDescent="0.25"/>
    <row r="171956" customFormat="1" x14ac:dyDescent="0.25"/>
    <row r="171957" customFormat="1" x14ac:dyDescent="0.25"/>
    <row r="171958" customFormat="1" x14ac:dyDescent="0.25"/>
    <row r="171959" customFormat="1" x14ac:dyDescent="0.25"/>
    <row r="171960" customFormat="1" x14ac:dyDescent="0.25"/>
    <row r="171961" customFormat="1" x14ac:dyDescent="0.25"/>
    <row r="171962" customFormat="1" x14ac:dyDescent="0.25"/>
    <row r="171963" customFormat="1" x14ac:dyDescent="0.25"/>
    <row r="171964" customFormat="1" x14ac:dyDescent="0.25"/>
    <row r="171965" customFormat="1" x14ac:dyDescent="0.25"/>
    <row r="171966" customFormat="1" x14ac:dyDescent="0.25"/>
    <row r="171967" customFormat="1" x14ac:dyDescent="0.25"/>
    <row r="171968" customFormat="1" x14ac:dyDescent="0.25"/>
    <row r="171969" customFormat="1" x14ac:dyDescent="0.25"/>
    <row r="171970" customFormat="1" x14ac:dyDescent="0.25"/>
    <row r="171971" customFormat="1" x14ac:dyDescent="0.25"/>
    <row r="171972" customFormat="1" x14ac:dyDescent="0.25"/>
    <row r="171973" customFormat="1" x14ac:dyDescent="0.25"/>
    <row r="171974" customFormat="1" x14ac:dyDescent="0.25"/>
    <row r="171975" customFormat="1" x14ac:dyDescent="0.25"/>
    <row r="171976" customFormat="1" x14ac:dyDescent="0.25"/>
    <row r="171977" customFormat="1" x14ac:dyDescent="0.25"/>
    <row r="171978" customFormat="1" x14ac:dyDescent="0.25"/>
    <row r="171979" customFormat="1" x14ac:dyDescent="0.25"/>
    <row r="171980" customFormat="1" x14ac:dyDescent="0.25"/>
    <row r="171981" customFormat="1" x14ac:dyDescent="0.25"/>
    <row r="171982" customFormat="1" x14ac:dyDescent="0.25"/>
    <row r="171983" customFormat="1" x14ac:dyDescent="0.25"/>
    <row r="171984" customFormat="1" x14ac:dyDescent="0.25"/>
    <row r="171985" customFormat="1" x14ac:dyDescent="0.25"/>
    <row r="171986" customFormat="1" x14ac:dyDescent="0.25"/>
    <row r="171987" customFormat="1" x14ac:dyDescent="0.25"/>
    <row r="171988" customFormat="1" x14ac:dyDescent="0.25"/>
    <row r="171989" customFormat="1" x14ac:dyDescent="0.25"/>
    <row r="171990" customFormat="1" x14ac:dyDescent="0.25"/>
    <row r="171991" customFormat="1" x14ac:dyDescent="0.25"/>
    <row r="171992" customFormat="1" x14ac:dyDescent="0.25"/>
    <row r="171993" customFormat="1" x14ac:dyDescent="0.25"/>
    <row r="171994" customFormat="1" x14ac:dyDescent="0.25"/>
    <row r="171995" customFormat="1" x14ac:dyDescent="0.25"/>
    <row r="171996" customFormat="1" x14ac:dyDescent="0.25"/>
    <row r="171997" customFormat="1" x14ac:dyDescent="0.25"/>
    <row r="171998" customFormat="1" x14ac:dyDescent="0.25"/>
    <row r="171999" customFormat="1" x14ac:dyDescent="0.25"/>
    <row r="172000" customFormat="1" x14ac:dyDescent="0.25"/>
    <row r="172001" customFormat="1" x14ac:dyDescent="0.25"/>
    <row r="172002" customFormat="1" x14ac:dyDescent="0.25"/>
    <row r="172003" customFormat="1" x14ac:dyDescent="0.25"/>
    <row r="172004" customFormat="1" x14ac:dyDescent="0.25"/>
    <row r="172005" customFormat="1" x14ac:dyDescent="0.25"/>
    <row r="172006" customFormat="1" x14ac:dyDescent="0.25"/>
    <row r="172007" customFormat="1" x14ac:dyDescent="0.25"/>
    <row r="172008" customFormat="1" x14ac:dyDescent="0.25"/>
    <row r="172009" customFormat="1" x14ac:dyDescent="0.25"/>
    <row r="172010" customFormat="1" x14ac:dyDescent="0.25"/>
    <row r="172011" customFormat="1" x14ac:dyDescent="0.25"/>
    <row r="172012" customFormat="1" x14ac:dyDescent="0.25"/>
    <row r="172013" customFormat="1" x14ac:dyDescent="0.25"/>
    <row r="172014" customFormat="1" x14ac:dyDescent="0.25"/>
    <row r="172015" customFormat="1" x14ac:dyDescent="0.25"/>
    <row r="172016" customFormat="1" x14ac:dyDescent="0.25"/>
    <row r="172017" customFormat="1" x14ac:dyDescent="0.25"/>
    <row r="172018" customFormat="1" x14ac:dyDescent="0.25"/>
    <row r="172019" customFormat="1" x14ac:dyDescent="0.25"/>
    <row r="172020" customFormat="1" x14ac:dyDescent="0.25"/>
    <row r="172021" customFormat="1" x14ac:dyDescent="0.25"/>
    <row r="172022" customFormat="1" x14ac:dyDescent="0.25"/>
    <row r="172023" customFormat="1" x14ac:dyDescent="0.25"/>
    <row r="172024" customFormat="1" x14ac:dyDescent="0.25"/>
    <row r="172025" customFormat="1" x14ac:dyDescent="0.25"/>
    <row r="172026" customFormat="1" x14ac:dyDescent="0.25"/>
    <row r="172027" customFormat="1" x14ac:dyDescent="0.25"/>
    <row r="172028" customFormat="1" x14ac:dyDescent="0.25"/>
    <row r="172029" customFormat="1" x14ac:dyDescent="0.25"/>
    <row r="172030" customFormat="1" x14ac:dyDescent="0.25"/>
    <row r="172031" customFormat="1" x14ac:dyDescent="0.25"/>
    <row r="172032" customFormat="1" x14ac:dyDescent="0.25"/>
    <row r="172033" customFormat="1" x14ac:dyDescent="0.25"/>
    <row r="172034" customFormat="1" x14ac:dyDescent="0.25"/>
    <row r="172035" customFormat="1" x14ac:dyDescent="0.25"/>
    <row r="172036" customFormat="1" x14ac:dyDescent="0.25"/>
    <row r="172037" customFormat="1" x14ac:dyDescent="0.25"/>
    <row r="172038" customFormat="1" x14ac:dyDescent="0.25"/>
    <row r="172039" customFormat="1" x14ac:dyDescent="0.25"/>
    <row r="172040" customFormat="1" x14ac:dyDescent="0.25"/>
    <row r="172041" customFormat="1" x14ac:dyDescent="0.25"/>
    <row r="172042" customFormat="1" x14ac:dyDescent="0.25"/>
    <row r="172043" customFormat="1" x14ac:dyDescent="0.25"/>
    <row r="172044" customFormat="1" x14ac:dyDescent="0.25"/>
    <row r="172045" customFormat="1" x14ac:dyDescent="0.25"/>
    <row r="172046" customFormat="1" x14ac:dyDescent="0.25"/>
    <row r="172047" customFormat="1" x14ac:dyDescent="0.25"/>
    <row r="172048" customFormat="1" x14ac:dyDescent="0.25"/>
    <row r="172049" customFormat="1" x14ac:dyDescent="0.25"/>
    <row r="172050" customFormat="1" x14ac:dyDescent="0.25"/>
    <row r="172051" customFormat="1" x14ac:dyDescent="0.25"/>
    <row r="172052" customFormat="1" x14ac:dyDescent="0.25"/>
    <row r="172053" customFormat="1" x14ac:dyDescent="0.25"/>
    <row r="172054" customFormat="1" x14ac:dyDescent="0.25"/>
    <row r="172055" customFormat="1" x14ac:dyDescent="0.25"/>
    <row r="172056" customFormat="1" x14ac:dyDescent="0.25"/>
    <row r="172057" customFormat="1" x14ac:dyDescent="0.25"/>
    <row r="172058" customFormat="1" x14ac:dyDescent="0.25"/>
    <row r="172059" customFormat="1" x14ac:dyDescent="0.25"/>
    <row r="172060" customFormat="1" x14ac:dyDescent="0.25"/>
    <row r="172061" customFormat="1" x14ac:dyDescent="0.25"/>
    <row r="172062" customFormat="1" x14ac:dyDescent="0.25"/>
    <row r="172063" customFormat="1" x14ac:dyDescent="0.25"/>
    <row r="172064" customFormat="1" x14ac:dyDescent="0.25"/>
    <row r="172065" customFormat="1" x14ac:dyDescent="0.25"/>
    <row r="172066" customFormat="1" x14ac:dyDescent="0.25"/>
    <row r="172067" customFormat="1" x14ac:dyDescent="0.25"/>
    <row r="172068" customFormat="1" x14ac:dyDescent="0.25"/>
    <row r="172069" customFormat="1" x14ac:dyDescent="0.25"/>
    <row r="172070" customFormat="1" x14ac:dyDescent="0.25"/>
    <row r="172071" customFormat="1" x14ac:dyDescent="0.25"/>
    <row r="172072" customFormat="1" x14ac:dyDescent="0.25"/>
    <row r="172073" customFormat="1" x14ac:dyDescent="0.25"/>
    <row r="172074" customFormat="1" x14ac:dyDescent="0.25"/>
    <row r="172075" customFormat="1" x14ac:dyDescent="0.25"/>
    <row r="172076" customFormat="1" x14ac:dyDescent="0.25"/>
    <row r="172077" customFormat="1" x14ac:dyDescent="0.25"/>
    <row r="172078" customFormat="1" x14ac:dyDescent="0.25"/>
    <row r="172079" customFormat="1" x14ac:dyDescent="0.25"/>
    <row r="172080" customFormat="1" x14ac:dyDescent="0.25"/>
    <row r="172081" customFormat="1" x14ac:dyDescent="0.25"/>
    <row r="172082" customFormat="1" x14ac:dyDescent="0.25"/>
    <row r="172083" customFormat="1" x14ac:dyDescent="0.25"/>
    <row r="172084" customFormat="1" x14ac:dyDescent="0.25"/>
    <row r="172085" customFormat="1" x14ac:dyDescent="0.25"/>
    <row r="172086" customFormat="1" x14ac:dyDescent="0.25"/>
    <row r="172087" customFormat="1" x14ac:dyDescent="0.25"/>
    <row r="172088" customFormat="1" x14ac:dyDescent="0.25"/>
    <row r="172089" customFormat="1" x14ac:dyDescent="0.25"/>
    <row r="172090" customFormat="1" x14ac:dyDescent="0.25"/>
    <row r="172091" customFormat="1" x14ac:dyDescent="0.25"/>
    <row r="172092" customFormat="1" x14ac:dyDescent="0.25"/>
    <row r="172093" customFormat="1" x14ac:dyDescent="0.25"/>
    <row r="172094" customFormat="1" x14ac:dyDescent="0.25"/>
    <row r="172095" customFormat="1" x14ac:dyDescent="0.25"/>
    <row r="172096" customFormat="1" x14ac:dyDescent="0.25"/>
    <row r="172097" customFormat="1" x14ac:dyDescent="0.25"/>
    <row r="172098" customFormat="1" x14ac:dyDescent="0.25"/>
    <row r="172099" customFormat="1" x14ac:dyDescent="0.25"/>
    <row r="172100" customFormat="1" x14ac:dyDescent="0.25"/>
    <row r="172101" customFormat="1" x14ac:dyDescent="0.25"/>
    <row r="172102" customFormat="1" x14ac:dyDescent="0.25"/>
    <row r="172103" customFormat="1" x14ac:dyDescent="0.25"/>
    <row r="172104" customFormat="1" x14ac:dyDescent="0.25"/>
    <row r="172105" customFormat="1" x14ac:dyDescent="0.25"/>
    <row r="172106" customFormat="1" x14ac:dyDescent="0.25"/>
    <row r="172107" customFormat="1" x14ac:dyDescent="0.25"/>
    <row r="172108" customFormat="1" x14ac:dyDescent="0.25"/>
    <row r="172109" customFormat="1" x14ac:dyDescent="0.25"/>
    <row r="172110" customFormat="1" x14ac:dyDescent="0.25"/>
    <row r="172111" customFormat="1" x14ac:dyDescent="0.25"/>
    <row r="172112" customFormat="1" x14ac:dyDescent="0.25"/>
    <row r="172113" customFormat="1" x14ac:dyDescent="0.25"/>
    <row r="172114" customFormat="1" x14ac:dyDescent="0.25"/>
    <row r="172115" customFormat="1" x14ac:dyDescent="0.25"/>
    <row r="172116" customFormat="1" x14ac:dyDescent="0.25"/>
    <row r="172117" customFormat="1" x14ac:dyDescent="0.25"/>
    <row r="172118" customFormat="1" x14ac:dyDescent="0.25"/>
    <row r="172119" customFormat="1" x14ac:dyDescent="0.25"/>
    <row r="172120" customFormat="1" x14ac:dyDescent="0.25"/>
    <row r="172121" customFormat="1" x14ac:dyDescent="0.25"/>
    <row r="172122" customFormat="1" x14ac:dyDescent="0.25"/>
    <row r="172123" customFormat="1" x14ac:dyDescent="0.25"/>
    <row r="172124" customFormat="1" x14ac:dyDescent="0.25"/>
    <row r="172125" customFormat="1" x14ac:dyDescent="0.25"/>
    <row r="172126" customFormat="1" x14ac:dyDescent="0.25"/>
    <row r="172127" customFormat="1" x14ac:dyDescent="0.25"/>
    <row r="172128" customFormat="1" x14ac:dyDescent="0.25"/>
    <row r="172129" customFormat="1" x14ac:dyDescent="0.25"/>
    <row r="172130" customFormat="1" x14ac:dyDescent="0.25"/>
    <row r="172131" customFormat="1" x14ac:dyDescent="0.25"/>
    <row r="172132" customFormat="1" x14ac:dyDescent="0.25"/>
    <row r="172133" customFormat="1" x14ac:dyDescent="0.25"/>
    <row r="172134" customFormat="1" x14ac:dyDescent="0.25"/>
    <row r="172135" customFormat="1" x14ac:dyDescent="0.25"/>
    <row r="172136" customFormat="1" x14ac:dyDescent="0.25"/>
    <row r="172137" customFormat="1" x14ac:dyDescent="0.25"/>
    <row r="172138" customFormat="1" x14ac:dyDescent="0.25"/>
    <row r="172139" customFormat="1" x14ac:dyDescent="0.25"/>
    <row r="172140" customFormat="1" x14ac:dyDescent="0.25"/>
    <row r="172141" customFormat="1" x14ac:dyDescent="0.25"/>
    <row r="172142" customFormat="1" x14ac:dyDescent="0.25"/>
    <row r="172143" customFormat="1" x14ac:dyDescent="0.25"/>
    <row r="172144" customFormat="1" x14ac:dyDescent="0.25"/>
    <row r="172145" customFormat="1" x14ac:dyDescent="0.25"/>
    <row r="172146" customFormat="1" x14ac:dyDescent="0.25"/>
    <row r="172147" customFormat="1" x14ac:dyDescent="0.25"/>
    <row r="172148" customFormat="1" x14ac:dyDescent="0.25"/>
    <row r="172149" customFormat="1" x14ac:dyDescent="0.25"/>
    <row r="172150" customFormat="1" x14ac:dyDescent="0.25"/>
    <row r="172151" customFormat="1" x14ac:dyDescent="0.25"/>
    <row r="172152" customFormat="1" x14ac:dyDescent="0.25"/>
    <row r="172153" customFormat="1" x14ac:dyDescent="0.25"/>
    <row r="172154" customFormat="1" x14ac:dyDescent="0.25"/>
    <row r="172155" customFormat="1" x14ac:dyDescent="0.25"/>
    <row r="172156" customFormat="1" x14ac:dyDescent="0.25"/>
    <row r="172157" customFormat="1" x14ac:dyDescent="0.25"/>
    <row r="172158" customFormat="1" x14ac:dyDescent="0.25"/>
    <row r="172159" customFormat="1" x14ac:dyDescent="0.25"/>
    <row r="172160" customFormat="1" x14ac:dyDescent="0.25"/>
    <row r="172161" customFormat="1" x14ac:dyDescent="0.25"/>
    <row r="172162" customFormat="1" x14ac:dyDescent="0.25"/>
    <row r="172163" customFormat="1" x14ac:dyDescent="0.25"/>
    <row r="172164" customFormat="1" x14ac:dyDescent="0.25"/>
    <row r="172165" customFormat="1" x14ac:dyDescent="0.25"/>
    <row r="172166" customFormat="1" x14ac:dyDescent="0.25"/>
    <row r="172167" customFormat="1" x14ac:dyDescent="0.25"/>
    <row r="172168" customFormat="1" x14ac:dyDescent="0.25"/>
    <row r="172169" customFormat="1" x14ac:dyDescent="0.25"/>
    <row r="172170" customFormat="1" x14ac:dyDescent="0.25"/>
    <row r="172171" customFormat="1" x14ac:dyDescent="0.25"/>
    <row r="172172" customFormat="1" x14ac:dyDescent="0.25"/>
    <row r="172173" customFormat="1" x14ac:dyDescent="0.25"/>
    <row r="172174" customFormat="1" x14ac:dyDescent="0.25"/>
    <row r="172175" customFormat="1" x14ac:dyDescent="0.25"/>
    <row r="172176" customFormat="1" x14ac:dyDescent="0.25"/>
    <row r="172177" customFormat="1" x14ac:dyDescent="0.25"/>
    <row r="172178" customFormat="1" x14ac:dyDescent="0.25"/>
    <row r="172179" customFormat="1" x14ac:dyDescent="0.25"/>
    <row r="172180" customFormat="1" x14ac:dyDescent="0.25"/>
    <row r="172181" customFormat="1" x14ac:dyDescent="0.25"/>
    <row r="172182" customFormat="1" x14ac:dyDescent="0.25"/>
    <row r="172183" customFormat="1" x14ac:dyDescent="0.25"/>
    <row r="172184" customFormat="1" x14ac:dyDescent="0.25"/>
    <row r="172185" customFormat="1" x14ac:dyDescent="0.25"/>
    <row r="172186" customFormat="1" x14ac:dyDescent="0.25"/>
    <row r="172187" customFormat="1" x14ac:dyDescent="0.25"/>
    <row r="172188" customFormat="1" x14ac:dyDescent="0.25"/>
    <row r="172189" customFormat="1" x14ac:dyDescent="0.25"/>
    <row r="172190" customFormat="1" x14ac:dyDescent="0.25"/>
    <row r="172191" customFormat="1" x14ac:dyDescent="0.25"/>
    <row r="172192" customFormat="1" x14ac:dyDescent="0.25"/>
    <row r="172193" customFormat="1" x14ac:dyDescent="0.25"/>
    <row r="172194" customFormat="1" x14ac:dyDescent="0.25"/>
    <row r="172195" customFormat="1" x14ac:dyDescent="0.25"/>
    <row r="172196" customFormat="1" x14ac:dyDescent="0.25"/>
    <row r="172197" customFormat="1" x14ac:dyDescent="0.25"/>
    <row r="172198" customFormat="1" x14ac:dyDescent="0.25"/>
    <row r="172199" customFormat="1" x14ac:dyDescent="0.25"/>
    <row r="172200" customFormat="1" x14ac:dyDescent="0.25"/>
    <row r="172201" customFormat="1" x14ac:dyDescent="0.25"/>
    <row r="172202" customFormat="1" x14ac:dyDescent="0.25"/>
    <row r="172203" customFormat="1" x14ac:dyDescent="0.25"/>
    <row r="172204" customFormat="1" x14ac:dyDescent="0.25"/>
    <row r="172205" customFormat="1" x14ac:dyDescent="0.25"/>
    <row r="172206" customFormat="1" x14ac:dyDescent="0.25"/>
    <row r="172207" customFormat="1" x14ac:dyDescent="0.25"/>
    <row r="172208" customFormat="1" x14ac:dyDescent="0.25"/>
    <row r="172209" customFormat="1" x14ac:dyDescent="0.25"/>
    <row r="172210" customFormat="1" x14ac:dyDescent="0.25"/>
    <row r="172211" customFormat="1" x14ac:dyDescent="0.25"/>
    <row r="172212" customFormat="1" x14ac:dyDescent="0.25"/>
    <row r="172213" customFormat="1" x14ac:dyDescent="0.25"/>
    <row r="172214" customFormat="1" x14ac:dyDescent="0.25"/>
    <row r="172215" customFormat="1" x14ac:dyDescent="0.25"/>
    <row r="172216" customFormat="1" x14ac:dyDescent="0.25"/>
    <row r="172217" customFormat="1" x14ac:dyDescent="0.25"/>
    <row r="172218" customFormat="1" x14ac:dyDescent="0.25"/>
    <row r="172219" customFormat="1" x14ac:dyDescent="0.25"/>
    <row r="172220" customFormat="1" x14ac:dyDescent="0.25"/>
    <row r="172221" customFormat="1" x14ac:dyDescent="0.25"/>
    <row r="172222" customFormat="1" x14ac:dyDescent="0.25"/>
    <row r="172223" customFormat="1" x14ac:dyDescent="0.25"/>
    <row r="172224" customFormat="1" x14ac:dyDescent="0.25"/>
    <row r="172225" customFormat="1" x14ac:dyDescent="0.25"/>
    <row r="172226" customFormat="1" x14ac:dyDescent="0.25"/>
    <row r="172227" customFormat="1" x14ac:dyDescent="0.25"/>
    <row r="172228" customFormat="1" x14ac:dyDescent="0.25"/>
    <row r="172229" customFormat="1" x14ac:dyDescent="0.25"/>
    <row r="172230" customFormat="1" x14ac:dyDescent="0.25"/>
    <row r="172231" customFormat="1" x14ac:dyDescent="0.25"/>
    <row r="172232" customFormat="1" x14ac:dyDescent="0.25"/>
    <row r="172233" customFormat="1" x14ac:dyDescent="0.25"/>
    <row r="172234" customFormat="1" x14ac:dyDescent="0.25"/>
    <row r="172235" customFormat="1" x14ac:dyDescent="0.25"/>
    <row r="172236" customFormat="1" x14ac:dyDescent="0.25"/>
    <row r="172237" customFormat="1" x14ac:dyDescent="0.25"/>
    <row r="172238" customFormat="1" x14ac:dyDescent="0.25"/>
    <row r="172239" customFormat="1" x14ac:dyDescent="0.25"/>
    <row r="172240" customFormat="1" x14ac:dyDescent="0.25"/>
    <row r="172241" customFormat="1" x14ac:dyDescent="0.25"/>
    <row r="172242" customFormat="1" x14ac:dyDescent="0.25"/>
    <row r="172243" customFormat="1" x14ac:dyDescent="0.25"/>
    <row r="172244" customFormat="1" x14ac:dyDescent="0.25"/>
    <row r="172245" customFormat="1" x14ac:dyDescent="0.25"/>
    <row r="172246" customFormat="1" x14ac:dyDescent="0.25"/>
    <row r="172247" customFormat="1" x14ac:dyDescent="0.25"/>
    <row r="172248" customFormat="1" x14ac:dyDescent="0.25"/>
    <row r="172249" customFormat="1" x14ac:dyDescent="0.25"/>
    <row r="172250" customFormat="1" x14ac:dyDescent="0.25"/>
    <row r="172251" customFormat="1" x14ac:dyDescent="0.25"/>
    <row r="172252" customFormat="1" x14ac:dyDescent="0.25"/>
    <row r="172253" customFormat="1" x14ac:dyDescent="0.25"/>
    <row r="172254" customFormat="1" x14ac:dyDescent="0.25"/>
    <row r="172255" customFormat="1" x14ac:dyDescent="0.25"/>
    <row r="172256" customFormat="1" x14ac:dyDescent="0.25"/>
    <row r="172257" customFormat="1" x14ac:dyDescent="0.25"/>
    <row r="172258" customFormat="1" x14ac:dyDescent="0.25"/>
    <row r="172259" customFormat="1" x14ac:dyDescent="0.25"/>
    <row r="172260" customFormat="1" x14ac:dyDescent="0.25"/>
    <row r="172261" customFormat="1" x14ac:dyDescent="0.25"/>
    <row r="172262" customFormat="1" x14ac:dyDescent="0.25"/>
    <row r="172263" customFormat="1" x14ac:dyDescent="0.25"/>
    <row r="172264" customFormat="1" x14ac:dyDescent="0.25"/>
    <row r="172265" customFormat="1" x14ac:dyDescent="0.25"/>
    <row r="172266" customFormat="1" x14ac:dyDescent="0.25"/>
    <row r="172267" customFormat="1" x14ac:dyDescent="0.25"/>
    <row r="172268" customFormat="1" x14ac:dyDescent="0.25"/>
    <row r="172269" customFormat="1" x14ac:dyDescent="0.25"/>
    <row r="172270" customFormat="1" x14ac:dyDescent="0.25"/>
    <row r="172271" customFormat="1" x14ac:dyDescent="0.25"/>
    <row r="172272" customFormat="1" x14ac:dyDescent="0.25"/>
    <row r="172273" customFormat="1" x14ac:dyDescent="0.25"/>
    <row r="172274" customFormat="1" x14ac:dyDescent="0.25"/>
    <row r="172275" customFormat="1" x14ac:dyDescent="0.25"/>
    <row r="172276" customFormat="1" x14ac:dyDescent="0.25"/>
    <row r="172277" customFormat="1" x14ac:dyDescent="0.25"/>
    <row r="172278" customFormat="1" x14ac:dyDescent="0.25"/>
    <row r="172279" customFormat="1" x14ac:dyDescent="0.25"/>
    <row r="172280" customFormat="1" x14ac:dyDescent="0.25"/>
    <row r="172281" customFormat="1" x14ac:dyDescent="0.25"/>
    <row r="172282" customFormat="1" x14ac:dyDescent="0.25"/>
    <row r="172283" customFormat="1" x14ac:dyDescent="0.25"/>
    <row r="172284" customFormat="1" x14ac:dyDescent="0.25"/>
    <row r="172285" customFormat="1" x14ac:dyDescent="0.25"/>
    <row r="172286" customFormat="1" x14ac:dyDescent="0.25"/>
    <row r="172287" customFormat="1" x14ac:dyDescent="0.25"/>
    <row r="172288" customFormat="1" x14ac:dyDescent="0.25"/>
    <row r="172289" customFormat="1" x14ac:dyDescent="0.25"/>
    <row r="172290" customFormat="1" x14ac:dyDescent="0.25"/>
    <row r="172291" customFormat="1" x14ac:dyDescent="0.25"/>
    <row r="172292" customFormat="1" x14ac:dyDescent="0.25"/>
    <row r="172293" customFormat="1" x14ac:dyDescent="0.25"/>
    <row r="172294" customFormat="1" x14ac:dyDescent="0.25"/>
    <row r="172295" customFormat="1" x14ac:dyDescent="0.25"/>
    <row r="172296" customFormat="1" x14ac:dyDescent="0.25"/>
    <row r="172297" customFormat="1" x14ac:dyDescent="0.25"/>
    <row r="172298" customFormat="1" x14ac:dyDescent="0.25"/>
    <row r="172299" customFormat="1" x14ac:dyDescent="0.25"/>
    <row r="172300" customFormat="1" x14ac:dyDescent="0.25"/>
    <row r="172301" customFormat="1" x14ac:dyDescent="0.25"/>
    <row r="172302" customFormat="1" x14ac:dyDescent="0.25"/>
    <row r="172303" customFormat="1" x14ac:dyDescent="0.25"/>
    <row r="172304" customFormat="1" x14ac:dyDescent="0.25"/>
    <row r="172305" customFormat="1" x14ac:dyDescent="0.25"/>
    <row r="172306" customFormat="1" x14ac:dyDescent="0.25"/>
    <row r="172307" customFormat="1" x14ac:dyDescent="0.25"/>
    <row r="172308" customFormat="1" x14ac:dyDescent="0.25"/>
    <row r="172309" customFormat="1" x14ac:dyDescent="0.25"/>
    <row r="172310" customFormat="1" x14ac:dyDescent="0.25"/>
    <row r="172311" customFormat="1" x14ac:dyDescent="0.25"/>
    <row r="172312" customFormat="1" x14ac:dyDescent="0.25"/>
    <row r="172313" customFormat="1" x14ac:dyDescent="0.25"/>
    <row r="172314" customFormat="1" x14ac:dyDescent="0.25"/>
    <row r="172315" customFormat="1" x14ac:dyDescent="0.25"/>
    <row r="172316" customFormat="1" x14ac:dyDescent="0.25"/>
    <row r="172317" customFormat="1" x14ac:dyDescent="0.25"/>
    <row r="172318" customFormat="1" x14ac:dyDescent="0.25"/>
    <row r="172319" customFormat="1" x14ac:dyDescent="0.25"/>
    <row r="172320" customFormat="1" x14ac:dyDescent="0.25"/>
    <row r="172321" customFormat="1" x14ac:dyDescent="0.25"/>
    <row r="172322" customFormat="1" x14ac:dyDescent="0.25"/>
    <row r="172323" customFormat="1" x14ac:dyDescent="0.25"/>
    <row r="172324" customFormat="1" x14ac:dyDescent="0.25"/>
    <row r="172325" customFormat="1" x14ac:dyDescent="0.25"/>
    <row r="172326" customFormat="1" x14ac:dyDescent="0.25"/>
    <row r="172327" customFormat="1" x14ac:dyDescent="0.25"/>
    <row r="172328" customFormat="1" x14ac:dyDescent="0.25"/>
    <row r="172329" customFormat="1" x14ac:dyDescent="0.25"/>
    <row r="172330" customFormat="1" x14ac:dyDescent="0.25"/>
    <row r="172331" customFormat="1" x14ac:dyDescent="0.25"/>
    <row r="172332" customFormat="1" x14ac:dyDescent="0.25"/>
    <row r="172333" customFormat="1" x14ac:dyDescent="0.25"/>
    <row r="172334" customFormat="1" x14ac:dyDescent="0.25"/>
    <row r="172335" customFormat="1" x14ac:dyDescent="0.25"/>
    <row r="172336" customFormat="1" x14ac:dyDescent="0.25"/>
    <row r="172337" customFormat="1" x14ac:dyDescent="0.25"/>
    <row r="172338" customFormat="1" x14ac:dyDescent="0.25"/>
    <row r="172339" customFormat="1" x14ac:dyDescent="0.25"/>
    <row r="172340" customFormat="1" x14ac:dyDescent="0.25"/>
    <row r="172341" customFormat="1" x14ac:dyDescent="0.25"/>
    <row r="172342" customFormat="1" x14ac:dyDescent="0.25"/>
    <row r="172343" customFormat="1" x14ac:dyDescent="0.25"/>
    <row r="172344" customFormat="1" x14ac:dyDescent="0.25"/>
    <row r="172345" customFormat="1" x14ac:dyDescent="0.25"/>
    <row r="172346" customFormat="1" x14ac:dyDescent="0.25"/>
    <row r="172347" customFormat="1" x14ac:dyDescent="0.25"/>
    <row r="172348" customFormat="1" x14ac:dyDescent="0.25"/>
    <row r="172349" customFormat="1" x14ac:dyDescent="0.25"/>
    <row r="172350" customFormat="1" x14ac:dyDescent="0.25"/>
    <row r="172351" customFormat="1" x14ac:dyDescent="0.25"/>
    <row r="172352" customFormat="1" x14ac:dyDescent="0.25"/>
    <row r="172353" customFormat="1" x14ac:dyDescent="0.25"/>
    <row r="172354" customFormat="1" x14ac:dyDescent="0.25"/>
    <row r="172355" customFormat="1" x14ac:dyDescent="0.25"/>
    <row r="172356" customFormat="1" x14ac:dyDescent="0.25"/>
    <row r="172357" customFormat="1" x14ac:dyDescent="0.25"/>
    <row r="172358" customFormat="1" x14ac:dyDescent="0.25"/>
    <row r="172359" customFormat="1" x14ac:dyDescent="0.25"/>
    <row r="172360" customFormat="1" x14ac:dyDescent="0.25"/>
    <row r="172361" customFormat="1" x14ac:dyDescent="0.25"/>
    <row r="172362" customFormat="1" x14ac:dyDescent="0.25"/>
    <row r="172363" customFormat="1" x14ac:dyDescent="0.25"/>
    <row r="172364" customFormat="1" x14ac:dyDescent="0.25"/>
    <row r="172365" customFormat="1" x14ac:dyDescent="0.25"/>
    <row r="172366" customFormat="1" x14ac:dyDescent="0.25"/>
    <row r="172367" customFormat="1" x14ac:dyDescent="0.25"/>
    <row r="172368" customFormat="1" x14ac:dyDescent="0.25"/>
    <row r="172369" customFormat="1" x14ac:dyDescent="0.25"/>
    <row r="172370" customFormat="1" x14ac:dyDescent="0.25"/>
    <row r="172371" customFormat="1" x14ac:dyDescent="0.25"/>
    <row r="172372" customFormat="1" x14ac:dyDescent="0.25"/>
    <row r="172373" customFormat="1" x14ac:dyDescent="0.25"/>
    <row r="172374" customFormat="1" x14ac:dyDescent="0.25"/>
    <row r="172375" customFormat="1" x14ac:dyDescent="0.25"/>
    <row r="172376" customFormat="1" x14ac:dyDescent="0.25"/>
    <row r="172377" customFormat="1" x14ac:dyDescent="0.25"/>
    <row r="172378" customFormat="1" x14ac:dyDescent="0.25"/>
    <row r="172379" customFormat="1" x14ac:dyDescent="0.25"/>
    <row r="172380" customFormat="1" x14ac:dyDescent="0.25"/>
    <row r="172381" customFormat="1" x14ac:dyDescent="0.25"/>
    <row r="172382" customFormat="1" x14ac:dyDescent="0.25"/>
    <row r="172383" customFormat="1" x14ac:dyDescent="0.25"/>
    <row r="172384" customFormat="1" x14ac:dyDescent="0.25"/>
    <row r="172385" customFormat="1" x14ac:dyDescent="0.25"/>
    <row r="172386" customFormat="1" x14ac:dyDescent="0.25"/>
    <row r="172387" customFormat="1" x14ac:dyDescent="0.25"/>
    <row r="172388" customFormat="1" x14ac:dyDescent="0.25"/>
    <row r="172389" customFormat="1" x14ac:dyDescent="0.25"/>
    <row r="172390" customFormat="1" x14ac:dyDescent="0.25"/>
    <row r="172391" customFormat="1" x14ac:dyDescent="0.25"/>
    <row r="172392" customFormat="1" x14ac:dyDescent="0.25"/>
    <row r="172393" customFormat="1" x14ac:dyDescent="0.25"/>
    <row r="172394" customFormat="1" x14ac:dyDescent="0.25"/>
    <row r="172395" customFormat="1" x14ac:dyDescent="0.25"/>
    <row r="172396" customFormat="1" x14ac:dyDescent="0.25"/>
    <row r="172397" customFormat="1" x14ac:dyDescent="0.25"/>
    <row r="172398" customFormat="1" x14ac:dyDescent="0.25"/>
    <row r="172399" customFormat="1" x14ac:dyDescent="0.25"/>
    <row r="172400" customFormat="1" x14ac:dyDescent="0.25"/>
    <row r="172401" customFormat="1" x14ac:dyDescent="0.25"/>
    <row r="172402" customFormat="1" x14ac:dyDescent="0.25"/>
    <row r="172403" customFormat="1" x14ac:dyDescent="0.25"/>
    <row r="172404" customFormat="1" x14ac:dyDescent="0.25"/>
    <row r="172405" customFormat="1" x14ac:dyDescent="0.25"/>
    <row r="172406" customFormat="1" x14ac:dyDescent="0.25"/>
    <row r="172407" customFormat="1" x14ac:dyDescent="0.25"/>
    <row r="172408" customFormat="1" x14ac:dyDescent="0.25"/>
    <row r="172409" customFormat="1" x14ac:dyDescent="0.25"/>
    <row r="172410" customFormat="1" x14ac:dyDescent="0.25"/>
    <row r="172411" customFormat="1" x14ac:dyDescent="0.25"/>
    <row r="172412" customFormat="1" x14ac:dyDescent="0.25"/>
    <row r="172413" customFormat="1" x14ac:dyDescent="0.25"/>
    <row r="172414" customFormat="1" x14ac:dyDescent="0.25"/>
    <row r="172415" customFormat="1" x14ac:dyDescent="0.25"/>
    <row r="172416" customFormat="1" x14ac:dyDescent="0.25"/>
    <row r="172417" customFormat="1" x14ac:dyDescent="0.25"/>
    <row r="172418" customFormat="1" x14ac:dyDescent="0.25"/>
    <row r="172419" customFormat="1" x14ac:dyDescent="0.25"/>
    <row r="172420" customFormat="1" x14ac:dyDescent="0.25"/>
    <row r="172421" customFormat="1" x14ac:dyDescent="0.25"/>
    <row r="172422" customFormat="1" x14ac:dyDescent="0.25"/>
    <row r="172423" customFormat="1" x14ac:dyDescent="0.25"/>
    <row r="172424" customFormat="1" x14ac:dyDescent="0.25"/>
    <row r="172425" customFormat="1" x14ac:dyDescent="0.25"/>
    <row r="172426" customFormat="1" x14ac:dyDescent="0.25"/>
    <row r="172427" customFormat="1" x14ac:dyDescent="0.25"/>
    <row r="172428" customFormat="1" x14ac:dyDescent="0.25"/>
    <row r="172429" customFormat="1" x14ac:dyDescent="0.25"/>
    <row r="172430" customFormat="1" x14ac:dyDescent="0.25"/>
    <row r="172431" customFormat="1" x14ac:dyDescent="0.25"/>
    <row r="172432" customFormat="1" x14ac:dyDescent="0.25"/>
    <row r="172433" customFormat="1" x14ac:dyDescent="0.25"/>
    <row r="172434" customFormat="1" x14ac:dyDescent="0.25"/>
    <row r="172435" customFormat="1" x14ac:dyDescent="0.25"/>
    <row r="172436" customFormat="1" x14ac:dyDescent="0.25"/>
    <row r="172437" customFormat="1" x14ac:dyDescent="0.25"/>
    <row r="172438" customFormat="1" x14ac:dyDescent="0.25"/>
    <row r="172439" customFormat="1" x14ac:dyDescent="0.25"/>
    <row r="172440" customFormat="1" x14ac:dyDescent="0.25"/>
    <row r="172441" customFormat="1" x14ac:dyDescent="0.25"/>
    <row r="172442" customFormat="1" x14ac:dyDescent="0.25"/>
    <row r="172443" customFormat="1" x14ac:dyDescent="0.25"/>
    <row r="172444" customFormat="1" x14ac:dyDescent="0.25"/>
    <row r="172445" customFormat="1" x14ac:dyDescent="0.25"/>
    <row r="172446" customFormat="1" x14ac:dyDescent="0.25"/>
    <row r="172447" customFormat="1" x14ac:dyDescent="0.25"/>
    <row r="172448" customFormat="1" x14ac:dyDescent="0.25"/>
    <row r="172449" customFormat="1" x14ac:dyDescent="0.25"/>
    <row r="172450" customFormat="1" x14ac:dyDescent="0.25"/>
    <row r="172451" customFormat="1" x14ac:dyDescent="0.25"/>
    <row r="172452" customFormat="1" x14ac:dyDescent="0.25"/>
    <row r="172453" customFormat="1" x14ac:dyDescent="0.25"/>
    <row r="172454" customFormat="1" x14ac:dyDescent="0.25"/>
    <row r="172455" customFormat="1" x14ac:dyDescent="0.25"/>
    <row r="172456" customFormat="1" x14ac:dyDescent="0.25"/>
    <row r="172457" customFormat="1" x14ac:dyDescent="0.25"/>
    <row r="172458" customFormat="1" x14ac:dyDescent="0.25"/>
    <row r="172459" customFormat="1" x14ac:dyDescent="0.25"/>
    <row r="172460" customFormat="1" x14ac:dyDescent="0.25"/>
    <row r="172461" customFormat="1" x14ac:dyDescent="0.25"/>
    <row r="172462" customFormat="1" x14ac:dyDescent="0.25"/>
    <row r="172463" customFormat="1" x14ac:dyDescent="0.25"/>
    <row r="172464" customFormat="1" x14ac:dyDescent="0.25"/>
    <row r="172465" customFormat="1" x14ac:dyDescent="0.25"/>
    <row r="172466" customFormat="1" x14ac:dyDescent="0.25"/>
    <row r="172467" customFormat="1" x14ac:dyDescent="0.25"/>
    <row r="172468" customFormat="1" x14ac:dyDescent="0.25"/>
    <row r="172469" customFormat="1" x14ac:dyDescent="0.25"/>
    <row r="172470" customFormat="1" x14ac:dyDescent="0.25"/>
    <row r="172471" customFormat="1" x14ac:dyDescent="0.25"/>
    <row r="172472" customFormat="1" x14ac:dyDescent="0.25"/>
    <row r="172473" customFormat="1" x14ac:dyDescent="0.25"/>
    <row r="172474" customFormat="1" x14ac:dyDescent="0.25"/>
    <row r="172475" customFormat="1" x14ac:dyDescent="0.25"/>
    <row r="172476" customFormat="1" x14ac:dyDescent="0.25"/>
    <row r="172477" customFormat="1" x14ac:dyDescent="0.25"/>
    <row r="172478" customFormat="1" x14ac:dyDescent="0.25"/>
    <row r="172479" customFormat="1" x14ac:dyDescent="0.25"/>
    <row r="172480" customFormat="1" x14ac:dyDescent="0.25"/>
    <row r="172481" customFormat="1" x14ac:dyDescent="0.25"/>
    <row r="172482" customFormat="1" x14ac:dyDescent="0.25"/>
    <row r="172483" customFormat="1" x14ac:dyDescent="0.25"/>
    <row r="172484" customFormat="1" x14ac:dyDescent="0.25"/>
    <row r="172485" customFormat="1" x14ac:dyDescent="0.25"/>
    <row r="172486" customFormat="1" x14ac:dyDescent="0.25"/>
    <row r="172487" customFormat="1" x14ac:dyDescent="0.25"/>
    <row r="172488" customFormat="1" x14ac:dyDescent="0.25"/>
    <row r="172489" customFormat="1" x14ac:dyDescent="0.25"/>
    <row r="172490" customFormat="1" x14ac:dyDescent="0.25"/>
    <row r="172491" customFormat="1" x14ac:dyDescent="0.25"/>
    <row r="172492" customFormat="1" x14ac:dyDescent="0.25"/>
    <row r="172493" customFormat="1" x14ac:dyDescent="0.25"/>
    <row r="172494" customFormat="1" x14ac:dyDescent="0.25"/>
    <row r="172495" customFormat="1" x14ac:dyDescent="0.25"/>
    <row r="172496" customFormat="1" x14ac:dyDescent="0.25"/>
    <row r="172497" customFormat="1" x14ac:dyDescent="0.25"/>
    <row r="172498" customFormat="1" x14ac:dyDescent="0.25"/>
    <row r="172499" customFormat="1" x14ac:dyDescent="0.25"/>
    <row r="172500" customFormat="1" x14ac:dyDescent="0.25"/>
    <row r="172501" customFormat="1" x14ac:dyDescent="0.25"/>
    <row r="172502" customFormat="1" x14ac:dyDescent="0.25"/>
    <row r="172503" customFormat="1" x14ac:dyDescent="0.25"/>
    <row r="172504" customFormat="1" x14ac:dyDescent="0.25"/>
    <row r="172505" customFormat="1" x14ac:dyDescent="0.25"/>
    <row r="172506" customFormat="1" x14ac:dyDescent="0.25"/>
    <row r="172507" customFormat="1" x14ac:dyDescent="0.25"/>
    <row r="172508" customFormat="1" x14ac:dyDescent="0.25"/>
    <row r="172509" customFormat="1" x14ac:dyDescent="0.25"/>
    <row r="172510" customFormat="1" x14ac:dyDescent="0.25"/>
    <row r="172511" customFormat="1" x14ac:dyDescent="0.25"/>
    <row r="172512" customFormat="1" x14ac:dyDescent="0.25"/>
    <row r="172513" customFormat="1" x14ac:dyDescent="0.25"/>
    <row r="172514" customFormat="1" x14ac:dyDescent="0.25"/>
    <row r="172515" customFormat="1" x14ac:dyDescent="0.25"/>
    <row r="172516" customFormat="1" x14ac:dyDescent="0.25"/>
    <row r="172517" customFormat="1" x14ac:dyDescent="0.25"/>
    <row r="172518" customFormat="1" x14ac:dyDescent="0.25"/>
    <row r="172519" customFormat="1" x14ac:dyDescent="0.25"/>
    <row r="172520" customFormat="1" x14ac:dyDescent="0.25"/>
    <row r="172521" customFormat="1" x14ac:dyDescent="0.25"/>
    <row r="172522" customFormat="1" x14ac:dyDescent="0.25"/>
    <row r="172523" customFormat="1" x14ac:dyDescent="0.25"/>
    <row r="172524" customFormat="1" x14ac:dyDescent="0.25"/>
    <row r="172525" customFormat="1" x14ac:dyDescent="0.25"/>
    <row r="172526" customFormat="1" x14ac:dyDescent="0.25"/>
    <row r="172527" customFormat="1" x14ac:dyDescent="0.25"/>
    <row r="172528" customFormat="1" x14ac:dyDescent="0.25"/>
    <row r="172529" customFormat="1" x14ac:dyDescent="0.25"/>
    <row r="172530" customFormat="1" x14ac:dyDescent="0.25"/>
    <row r="172531" customFormat="1" x14ac:dyDescent="0.25"/>
    <row r="172532" customFormat="1" x14ac:dyDescent="0.25"/>
    <row r="172533" customFormat="1" x14ac:dyDescent="0.25"/>
    <row r="172534" customFormat="1" x14ac:dyDescent="0.25"/>
    <row r="172535" customFormat="1" x14ac:dyDescent="0.25"/>
    <row r="172536" customFormat="1" x14ac:dyDescent="0.25"/>
    <row r="172537" customFormat="1" x14ac:dyDescent="0.25"/>
    <row r="172538" customFormat="1" x14ac:dyDescent="0.25"/>
    <row r="172539" customFormat="1" x14ac:dyDescent="0.25"/>
    <row r="172540" customFormat="1" x14ac:dyDescent="0.25"/>
    <row r="172541" customFormat="1" x14ac:dyDescent="0.25"/>
    <row r="172542" customFormat="1" x14ac:dyDescent="0.25"/>
    <row r="172543" customFormat="1" x14ac:dyDescent="0.25"/>
    <row r="172544" customFormat="1" x14ac:dyDescent="0.25"/>
    <row r="172545" customFormat="1" x14ac:dyDescent="0.25"/>
    <row r="172546" customFormat="1" x14ac:dyDescent="0.25"/>
    <row r="172547" customFormat="1" x14ac:dyDescent="0.25"/>
    <row r="172548" customFormat="1" x14ac:dyDescent="0.25"/>
    <row r="172549" customFormat="1" x14ac:dyDescent="0.25"/>
    <row r="172550" customFormat="1" x14ac:dyDescent="0.25"/>
    <row r="172551" customFormat="1" x14ac:dyDescent="0.25"/>
    <row r="172552" customFormat="1" x14ac:dyDescent="0.25"/>
    <row r="172553" customFormat="1" x14ac:dyDescent="0.25"/>
    <row r="172554" customFormat="1" x14ac:dyDescent="0.25"/>
    <row r="172555" customFormat="1" x14ac:dyDescent="0.25"/>
    <row r="172556" customFormat="1" x14ac:dyDescent="0.25"/>
    <row r="172557" customFormat="1" x14ac:dyDescent="0.25"/>
    <row r="172558" customFormat="1" x14ac:dyDescent="0.25"/>
    <row r="172559" customFormat="1" x14ac:dyDescent="0.25"/>
    <row r="172560" customFormat="1" x14ac:dyDescent="0.25"/>
    <row r="172561" customFormat="1" x14ac:dyDescent="0.25"/>
    <row r="172562" customFormat="1" x14ac:dyDescent="0.25"/>
    <row r="172563" customFormat="1" x14ac:dyDescent="0.25"/>
    <row r="172564" customFormat="1" x14ac:dyDescent="0.25"/>
    <row r="172565" customFormat="1" x14ac:dyDescent="0.25"/>
    <row r="172566" customFormat="1" x14ac:dyDescent="0.25"/>
    <row r="172567" customFormat="1" x14ac:dyDescent="0.25"/>
    <row r="172568" customFormat="1" x14ac:dyDescent="0.25"/>
    <row r="172569" customFormat="1" x14ac:dyDescent="0.25"/>
    <row r="172570" customFormat="1" x14ac:dyDescent="0.25"/>
    <row r="172571" customFormat="1" x14ac:dyDescent="0.25"/>
    <row r="172572" customFormat="1" x14ac:dyDescent="0.25"/>
    <row r="172573" customFormat="1" x14ac:dyDescent="0.25"/>
    <row r="172574" customFormat="1" x14ac:dyDescent="0.25"/>
    <row r="172575" customFormat="1" x14ac:dyDescent="0.25"/>
    <row r="172576" customFormat="1" x14ac:dyDescent="0.25"/>
    <row r="172577" customFormat="1" x14ac:dyDescent="0.25"/>
    <row r="172578" customFormat="1" x14ac:dyDescent="0.25"/>
    <row r="172579" customFormat="1" x14ac:dyDescent="0.25"/>
    <row r="172580" customFormat="1" x14ac:dyDescent="0.25"/>
    <row r="172581" customFormat="1" x14ac:dyDescent="0.25"/>
    <row r="172582" customFormat="1" x14ac:dyDescent="0.25"/>
    <row r="172583" customFormat="1" x14ac:dyDescent="0.25"/>
    <row r="172584" customFormat="1" x14ac:dyDescent="0.25"/>
    <row r="172585" customFormat="1" x14ac:dyDescent="0.25"/>
    <row r="172586" customFormat="1" x14ac:dyDescent="0.25"/>
    <row r="172587" customFormat="1" x14ac:dyDescent="0.25"/>
    <row r="172588" customFormat="1" x14ac:dyDescent="0.25"/>
    <row r="172589" customFormat="1" x14ac:dyDescent="0.25"/>
    <row r="172590" customFormat="1" x14ac:dyDescent="0.25"/>
    <row r="172591" customFormat="1" x14ac:dyDescent="0.25"/>
    <row r="172592" customFormat="1" x14ac:dyDescent="0.25"/>
    <row r="172593" customFormat="1" x14ac:dyDescent="0.25"/>
    <row r="172594" customFormat="1" x14ac:dyDescent="0.25"/>
    <row r="172595" customFormat="1" x14ac:dyDescent="0.25"/>
    <row r="172596" customFormat="1" x14ac:dyDescent="0.25"/>
    <row r="172597" customFormat="1" x14ac:dyDescent="0.25"/>
    <row r="172598" customFormat="1" x14ac:dyDescent="0.25"/>
    <row r="172599" customFormat="1" x14ac:dyDescent="0.25"/>
    <row r="172600" customFormat="1" x14ac:dyDescent="0.25"/>
    <row r="172601" customFormat="1" x14ac:dyDescent="0.25"/>
    <row r="172602" customFormat="1" x14ac:dyDescent="0.25"/>
    <row r="172603" customFormat="1" x14ac:dyDescent="0.25"/>
    <row r="172604" customFormat="1" x14ac:dyDescent="0.25"/>
    <row r="172605" customFormat="1" x14ac:dyDescent="0.25"/>
    <row r="172606" customFormat="1" x14ac:dyDescent="0.25"/>
    <row r="172607" customFormat="1" x14ac:dyDescent="0.25"/>
    <row r="172608" customFormat="1" x14ac:dyDescent="0.25"/>
    <row r="172609" customFormat="1" x14ac:dyDescent="0.25"/>
    <row r="172610" customFormat="1" x14ac:dyDescent="0.25"/>
    <row r="172611" customFormat="1" x14ac:dyDescent="0.25"/>
    <row r="172612" customFormat="1" x14ac:dyDescent="0.25"/>
    <row r="172613" customFormat="1" x14ac:dyDescent="0.25"/>
    <row r="172614" customFormat="1" x14ac:dyDescent="0.25"/>
    <row r="172615" customFormat="1" x14ac:dyDescent="0.25"/>
    <row r="172616" customFormat="1" x14ac:dyDescent="0.25"/>
    <row r="172617" customFormat="1" x14ac:dyDescent="0.25"/>
    <row r="172618" customFormat="1" x14ac:dyDescent="0.25"/>
    <row r="172619" customFormat="1" x14ac:dyDescent="0.25"/>
    <row r="172620" customFormat="1" x14ac:dyDescent="0.25"/>
    <row r="172621" customFormat="1" x14ac:dyDescent="0.25"/>
    <row r="172622" customFormat="1" x14ac:dyDescent="0.25"/>
    <row r="172623" customFormat="1" x14ac:dyDescent="0.25"/>
    <row r="172624" customFormat="1" x14ac:dyDescent="0.25"/>
    <row r="172625" customFormat="1" x14ac:dyDescent="0.25"/>
    <row r="172626" customFormat="1" x14ac:dyDescent="0.25"/>
    <row r="172627" customFormat="1" x14ac:dyDescent="0.25"/>
    <row r="172628" customFormat="1" x14ac:dyDescent="0.25"/>
    <row r="172629" customFormat="1" x14ac:dyDescent="0.25"/>
    <row r="172630" customFormat="1" x14ac:dyDescent="0.25"/>
    <row r="172631" customFormat="1" x14ac:dyDescent="0.25"/>
    <row r="172632" customFormat="1" x14ac:dyDescent="0.25"/>
    <row r="172633" customFormat="1" x14ac:dyDescent="0.25"/>
    <row r="172634" customFormat="1" x14ac:dyDescent="0.25"/>
    <row r="172635" customFormat="1" x14ac:dyDescent="0.25"/>
    <row r="172636" customFormat="1" x14ac:dyDescent="0.25"/>
    <row r="172637" customFormat="1" x14ac:dyDescent="0.25"/>
    <row r="172638" customFormat="1" x14ac:dyDescent="0.25"/>
    <row r="172639" customFormat="1" x14ac:dyDescent="0.25"/>
    <row r="172640" customFormat="1" x14ac:dyDescent="0.25"/>
    <row r="172641" customFormat="1" x14ac:dyDescent="0.25"/>
    <row r="172642" customFormat="1" x14ac:dyDescent="0.25"/>
    <row r="172643" customFormat="1" x14ac:dyDescent="0.25"/>
    <row r="172644" customFormat="1" x14ac:dyDescent="0.25"/>
    <row r="172645" customFormat="1" x14ac:dyDescent="0.25"/>
    <row r="172646" customFormat="1" x14ac:dyDescent="0.25"/>
    <row r="172647" customFormat="1" x14ac:dyDescent="0.25"/>
    <row r="172648" customFormat="1" x14ac:dyDescent="0.25"/>
    <row r="172649" customFormat="1" x14ac:dyDescent="0.25"/>
    <row r="172650" customFormat="1" x14ac:dyDescent="0.25"/>
    <row r="172651" customFormat="1" x14ac:dyDescent="0.25"/>
    <row r="172652" customFormat="1" x14ac:dyDescent="0.25"/>
    <row r="172653" customFormat="1" x14ac:dyDescent="0.25"/>
    <row r="172654" customFormat="1" x14ac:dyDescent="0.25"/>
    <row r="172655" customFormat="1" x14ac:dyDescent="0.25"/>
    <row r="172656" customFormat="1" x14ac:dyDescent="0.25"/>
    <row r="172657" customFormat="1" x14ac:dyDescent="0.25"/>
    <row r="172658" customFormat="1" x14ac:dyDescent="0.25"/>
    <row r="172659" customFormat="1" x14ac:dyDescent="0.25"/>
    <row r="172660" customFormat="1" x14ac:dyDescent="0.25"/>
    <row r="172661" customFormat="1" x14ac:dyDescent="0.25"/>
    <row r="172662" customFormat="1" x14ac:dyDescent="0.25"/>
    <row r="172663" customFormat="1" x14ac:dyDescent="0.25"/>
    <row r="172664" customFormat="1" x14ac:dyDescent="0.25"/>
    <row r="172665" customFormat="1" x14ac:dyDescent="0.25"/>
    <row r="172666" customFormat="1" x14ac:dyDescent="0.25"/>
    <row r="172667" customFormat="1" x14ac:dyDescent="0.25"/>
    <row r="172668" customFormat="1" x14ac:dyDescent="0.25"/>
    <row r="172669" customFormat="1" x14ac:dyDescent="0.25"/>
    <row r="172670" customFormat="1" x14ac:dyDescent="0.25"/>
    <row r="172671" customFormat="1" x14ac:dyDescent="0.25"/>
    <row r="172672" customFormat="1" x14ac:dyDescent="0.25"/>
    <row r="172673" customFormat="1" x14ac:dyDescent="0.25"/>
    <row r="172674" customFormat="1" x14ac:dyDescent="0.25"/>
    <row r="172675" customFormat="1" x14ac:dyDescent="0.25"/>
    <row r="172676" customFormat="1" x14ac:dyDescent="0.25"/>
    <row r="172677" customFormat="1" x14ac:dyDescent="0.25"/>
    <row r="172678" customFormat="1" x14ac:dyDescent="0.25"/>
    <row r="172679" customFormat="1" x14ac:dyDescent="0.25"/>
    <row r="172680" customFormat="1" x14ac:dyDescent="0.25"/>
    <row r="172681" customFormat="1" x14ac:dyDescent="0.25"/>
    <row r="172682" customFormat="1" x14ac:dyDescent="0.25"/>
    <row r="172683" customFormat="1" x14ac:dyDescent="0.25"/>
    <row r="172684" customFormat="1" x14ac:dyDescent="0.25"/>
    <row r="172685" customFormat="1" x14ac:dyDescent="0.25"/>
    <row r="172686" customFormat="1" x14ac:dyDescent="0.25"/>
    <row r="172687" customFormat="1" x14ac:dyDescent="0.25"/>
    <row r="172688" customFormat="1" x14ac:dyDescent="0.25"/>
    <row r="172689" customFormat="1" x14ac:dyDescent="0.25"/>
    <row r="172690" customFormat="1" x14ac:dyDescent="0.25"/>
    <row r="172691" customFormat="1" x14ac:dyDescent="0.25"/>
    <row r="172692" customFormat="1" x14ac:dyDescent="0.25"/>
    <row r="172693" customFormat="1" x14ac:dyDescent="0.25"/>
    <row r="172694" customFormat="1" x14ac:dyDescent="0.25"/>
    <row r="172695" customFormat="1" x14ac:dyDescent="0.25"/>
    <row r="172696" customFormat="1" x14ac:dyDescent="0.25"/>
    <row r="172697" customFormat="1" x14ac:dyDescent="0.25"/>
    <row r="172698" customFormat="1" x14ac:dyDescent="0.25"/>
    <row r="172699" customFormat="1" x14ac:dyDescent="0.25"/>
    <row r="172700" customFormat="1" x14ac:dyDescent="0.25"/>
    <row r="172701" customFormat="1" x14ac:dyDescent="0.25"/>
    <row r="172702" customFormat="1" x14ac:dyDescent="0.25"/>
    <row r="172703" customFormat="1" x14ac:dyDescent="0.25"/>
    <row r="172704" customFormat="1" x14ac:dyDescent="0.25"/>
    <row r="172705" customFormat="1" x14ac:dyDescent="0.25"/>
    <row r="172706" customFormat="1" x14ac:dyDescent="0.25"/>
    <row r="172707" customFormat="1" x14ac:dyDescent="0.25"/>
    <row r="172708" customFormat="1" x14ac:dyDescent="0.25"/>
    <row r="172709" customFormat="1" x14ac:dyDescent="0.25"/>
    <row r="172710" customFormat="1" x14ac:dyDescent="0.25"/>
    <row r="172711" customFormat="1" x14ac:dyDescent="0.25"/>
    <row r="172712" customFormat="1" x14ac:dyDescent="0.25"/>
    <row r="172713" customFormat="1" x14ac:dyDescent="0.25"/>
    <row r="172714" customFormat="1" x14ac:dyDescent="0.25"/>
    <row r="172715" customFormat="1" x14ac:dyDescent="0.25"/>
    <row r="172716" customFormat="1" x14ac:dyDescent="0.25"/>
    <row r="172717" customFormat="1" x14ac:dyDescent="0.25"/>
    <row r="172718" customFormat="1" x14ac:dyDescent="0.25"/>
    <row r="172719" customFormat="1" x14ac:dyDescent="0.25"/>
    <row r="172720" customFormat="1" x14ac:dyDescent="0.25"/>
    <row r="172721" customFormat="1" x14ac:dyDescent="0.25"/>
    <row r="172722" customFormat="1" x14ac:dyDescent="0.25"/>
    <row r="172723" customFormat="1" x14ac:dyDescent="0.25"/>
    <row r="172724" customFormat="1" x14ac:dyDescent="0.25"/>
    <row r="172725" customFormat="1" x14ac:dyDescent="0.25"/>
    <row r="172726" customFormat="1" x14ac:dyDescent="0.25"/>
    <row r="172727" customFormat="1" x14ac:dyDescent="0.25"/>
    <row r="172728" customFormat="1" x14ac:dyDescent="0.25"/>
    <row r="172729" customFormat="1" x14ac:dyDescent="0.25"/>
    <row r="172730" customFormat="1" x14ac:dyDescent="0.25"/>
    <row r="172731" customFormat="1" x14ac:dyDescent="0.25"/>
    <row r="172732" customFormat="1" x14ac:dyDescent="0.25"/>
    <row r="172733" customFormat="1" x14ac:dyDescent="0.25"/>
    <row r="172734" customFormat="1" x14ac:dyDescent="0.25"/>
    <row r="172735" customFormat="1" x14ac:dyDescent="0.25"/>
    <row r="172736" customFormat="1" x14ac:dyDescent="0.25"/>
    <row r="172737" customFormat="1" x14ac:dyDescent="0.25"/>
    <row r="172738" customFormat="1" x14ac:dyDescent="0.25"/>
    <row r="172739" customFormat="1" x14ac:dyDescent="0.25"/>
    <row r="172740" customFormat="1" x14ac:dyDescent="0.25"/>
    <row r="172741" customFormat="1" x14ac:dyDescent="0.25"/>
    <row r="172742" customFormat="1" x14ac:dyDescent="0.25"/>
    <row r="172743" customFormat="1" x14ac:dyDescent="0.25"/>
    <row r="172744" customFormat="1" x14ac:dyDescent="0.25"/>
    <row r="172745" customFormat="1" x14ac:dyDescent="0.25"/>
    <row r="172746" customFormat="1" x14ac:dyDescent="0.25"/>
    <row r="172747" customFormat="1" x14ac:dyDescent="0.25"/>
    <row r="172748" customFormat="1" x14ac:dyDescent="0.25"/>
    <row r="172749" customFormat="1" x14ac:dyDescent="0.25"/>
    <row r="172750" customFormat="1" x14ac:dyDescent="0.25"/>
    <row r="172751" customFormat="1" x14ac:dyDescent="0.25"/>
    <row r="172752" customFormat="1" x14ac:dyDescent="0.25"/>
    <row r="172753" customFormat="1" x14ac:dyDescent="0.25"/>
    <row r="172754" customFormat="1" x14ac:dyDescent="0.25"/>
    <row r="172755" customFormat="1" x14ac:dyDescent="0.25"/>
    <row r="172756" customFormat="1" x14ac:dyDescent="0.25"/>
    <row r="172757" customFormat="1" x14ac:dyDescent="0.25"/>
    <row r="172758" customFormat="1" x14ac:dyDescent="0.25"/>
    <row r="172759" customFormat="1" x14ac:dyDescent="0.25"/>
    <row r="172760" customFormat="1" x14ac:dyDescent="0.25"/>
    <row r="172761" customFormat="1" x14ac:dyDescent="0.25"/>
    <row r="172762" customFormat="1" x14ac:dyDescent="0.25"/>
    <row r="172763" customFormat="1" x14ac:dyDescent="0.25"/>
    <row r="172764" customFormat="1" x14ac:dyDescent="0.25"/>
    <row r="172765" customFormat="1" x14ac:dyDescent="0.25"/>
    <row r="172766" customFormat="1" x14ac:dyDescent="0.25"/>
    <row r="172767" customFormat="1" x14ac:dyDescent="0.25"/>
    <row r="172768" customFormat="1" x14ac:dyDescent="0.25"/>
    <row r="172769" customFormat="1" x14ac:dyDescent="0.25"/>
    <row r="172770" customFormat="1" x14ac:dyDescent="0.25"/>
    <row r="172771" customFormat="1" x14ac:dyDescent="0.25"/>
    <row r="172772" customFormat="1" x14ac:dyDescent="0.25"/>
    <row r="172773" customFormat="1" x14ac:dyDescent="0.25"/>
    <row r="172774" customFormat="1" x14ac:dyDescent="0.25"/>
    <row r="172775" customFormat="1" x14ac:dyDescent="0.25"/>
    <row r="172776" customFormat="1" x14ac:dyDescent="0.25"/>
    <row r="172777" customFormat="1" x14ac:dyDescent="0.25"/>
    <row r="172778" customFormat="1" x14ac:dyDescent="0.25"/>
    <row r="172779" customFormat="1" x14ac:dyDescent="0.25"/>
    <row r="172780" customFormat="1" x14ac:dyDescent="0.25"/>
    <row r="172781" customFormat="1" x14ac:dyDescent="0.25"/>
    <row r="172782" customFormat="1" x14ac:dyDescent="0.25"/>
    <row r="172783" customFormat="1" x14ac:dyDescent="0.25"/>
    <row r="172784" customFormat="1" x14ac:dyDescent="0.25"/>
    <row r="172785" customFormat="1" x14ac:dyDescent="0.25"/>
    <row r="172786" customFormat="1" x14ac:dyDescent="0.25"/>
    <row r="172787" customFormat="1" x14ac:dyDescent="0.25"/>
    <row r="172788" customFormat="1" x14ac:dyDescent="0.25"/>
    <row r="172789" customFormat="1" x14ac:dyDescent="0.25"/>
    <row r="172790" customFormat="1" x14ac:dyDescent="0.25"/>
    <row r="172791" customFormat="1" x14ac:dyDescent="0.25"/>
    <row r="172792" customFormat="1" x14ac:dyDescent="0.25"/>
    <row r="172793" customFormat="1" x14ac:dyDescent="0.25"/>
    <row r="172794" customFormat="1" x14ac:dyDescent="0.25"/>
    <row r="172795" customFormat="1" x14ac:dyDescent="0.25"/>
    <row r="172796" customFormat="1" x14ac:dyDescent="0.25"/>
    <row r="172797" customFormat="1" x14ac:dyDescent="0.25"/>
    <row r="172798" customFormat="1" x14ac:dyDescent="0.25"/>
    <row r="172799" customFormat="1" x14ac:dyDescent="0.25"/>
    <row r="172800" customFormat="1" x14ac:dyDescent="0.25"/>
    <row r="172801" customFormat="1" x14ac:dyDescent="0.25"/>
    <row r="172802" customFormat="1" x14ac:dyDescent="0.25"/>
    <row r="172803" customFormat="1" x14ac:dyDescent="0.25"/>
    <row r="172804" customFormat="1" x14ac:dyDescent="0.25"/>
    <row r="172805" customFormat="1" x14ac:dyDescent="0.25"/>
    <row r="172806" customFormat="1" x14ac:dyDescent="0.25"/>
    <row r="172807" customFormat="1" x14ac:dyDescent="0.25"/>
    <row r="172808" customFormat="1" x14ac:dyDescent="0.25"/>
    <row r="172809" customFormat="1" x14ac:dyDescent="0.25"/>
    <row r="172810" customFormat="1" x14ac:dyDescent="0.25"/>
    <row r="172811" customFormat="1" x14ac:dyDescent="0.25"/>
    <row r="172812" customFormat="1" x14ac:dyDescent="0.25"/>
    <row r="172813" customFormat="1" x14ac:dyDescent="0.25"/>
    <row r="172814" customFormat="1" x14ac:dyDescent="0.25"/>
    <row r="172815" customFormat="1" x14ac:dyDescent="0.25"/>
    <row r="172816" customFormat="1" x14ac:dyDescent="0.25"/>
    <row r="172817" customFormat="1" x14ac:dyDescent="0.25"/>
    <row r="172818" customFormat="1" x14ac:dyDescent="0.25"/>
    <row r="172819" customFormat="1" x14ac:dyDescent="0.25"/>
    <row r="172820" customFormat="1" x14ac:dyDescent="0.25"/>
    <row r="172821" customFormat="1" x14ac:dyDescent="0.25"/>
    <row r="172822" customFormat="1" x14ac:dyDescent="0.25"/>
    <row r="172823" customFormat="1" x14ac:dyDescent="0.25"/>
    <row r="172824" customFormat="1" x14ac:dyDescent="0.25"/>
    <row r="172825" customFormat="1" x14ac:dyDescent="0.25"/>
    <row r="172826" customFormat="1" x14ac:dyDescent="0.25"/>
    <row r="172827" customFormat="1" x14ac:dyDescent="0.25"/>
    <row r="172828" customFormat="1" x14ac:dyDescent="0.25"/>
    <row r="172829" customFormat="1" x14ac:dyDescent="0.25"/>
    <row r="172830" customFormat="1" x14ac:dyDescent="0.25"/>
    <row r="172831" customFormat="1" x14ac:dyDescent="0.25"/>
    <row r="172832" customFormat="1" x14ac:dyDescent="0.25"/>
    <row r="172833" customFormat="1" x14ac:dyDescent="0.25"/>
    <row r="172834" customFormat="1" x14ac:dyDescent="0.25"/>
    <row r="172835" customFormat="1" x14ac:dyDescent="0.25"/>
    <row r="172836" customFormat="1" x14ac:dyDescent="0.25"/>
    <row r="172837" customFormat="1" x14ac:dyDescent="0.25"/>
    <row r="172838" customFormat="1" x14ac:dyDescent="0.25"/>
    <row r="172839" customFormat="1" x14ac:dyDescent="0.25"/>
    <row r="172840" customFormat="1" x14ac:dyDescent="0.25"/>
    <row r="172841" customFormat="1" x14ac:dyDescent="0.25"/>
    <row r="172842" customFormat="1" x14ac:dyDescent="0.25"/>
    <row r="172843" customFormat="1" x14ac:dyDescent="0.25"/>
    <row r="172844" customFormat="1" x14ac:dyDescent="0.25"/>
    <row r="172845" customFormat="1" x14ac:dyDescent="0.25"/>
    <row r="172846" customFormat="1" x14ac:dyDescent="0.25"/>
    <row r="172847" customFormat="1" x14ac:dyDescent="0.25"/>
    <row r="172848" customFormat="1" x14ac:dyDescent="0.25"/>
    <row r="172849" customFormat="1" x14ac:dyDescent="0.25"/>
    <row r="172850" customFormat="1" x14ac:dyDescent="0.25"/>
    <row r="172851" customFormat="1" x14ac:dyDescent="0.25"/>
    <row r="172852" customFormat="1" x14ac:dyDescent="0.25"/>
    <row r="172853" customFormat="1" x14ac:dyDescent="0.25"/>
    <row r="172854" customFormat="1" x14ac:dyDescent="0.25"/>
    <row r="172855" customFormat="1" x14ac:dyDescent="0.25"/>
    <row r="172856" customFormat="1" x14ac:dyDescent="0.25"/>
    <row r="172857" customFormat="1" x14ac:dyDescent="0.25"/>
    <row r="172858" customFormat="1" x14ac:dyDescent="0.25"/>
    <row r="172859" customFormat="1" x14ac:dyDescent="0.25"/>
    <row r="172860" customFormat="1" x14ac:dyDescent="0.25"/>
    <row r="172861" customFormat="1" x14ac:dyDescent="0.25"/>
    <row r="172862" customFormat="1" x14ac:dyDescent="0.25"/>
    <row r="172863" customFormat="1" x14ac:dyDescent="0.25"/>
    <row r="172864" customFormat="1" x14ac:dyDescent="0.25"/>
    <row r="172865" customFormat="1" x14ac:dyDescent="0.25"/>
    <row r="172866" customFormat="1" x14ac:dyDescent="0.25"/>
    <row r="172867" customFormat="1" x14ac:dyDescent="0.25"/>
    <row r="172868" customFormat="1" x14ac:dyDescent="0.25"/>
    <row r="172869" customFormat="1" x14ac:dyDescent="0.25"/>
    <row r="172870" customFormat="1" x14ac:dyDescent="0.25"/>
    <row r="172871" customFormat="1" x14ac:dyDescent="0.25"/>
    <row r="172872" customFormat="1" x14ac:dyDescent="0.25"/>
    <row r="172873" customFormat="1" x14ac:dyDescent="0.25"/>
    <row r="172874" customFormat="1" x14ac:dyDescent="0.25"/>
    <row r="172875" customFormat="1" x14ac:dyDescent="0.25"/>
    <row r="172876" customFormat="1" x14ac:dyDescent="0.25"/>
    <row r="172877" customFormat="1" x14ac:dyDescent="0.25"/>
    <row r="172878" customFormat="1" x14ac:dyDescent="0.25"/>
    <row r="172879" customFormat="1" x14ac:dyDescent="0.25"/>
    <row r="172880" customFormat="1" x14ac:dyDescent="0.25"/>
    <row r="172881" customFormat="1" x14ac:dyDescent="0.25"/>
    <row r="172882" customFormat="1" x14ac:dyDescent="0.25"/>
    <row r="172883" customFormat="1" x14ac:dyDescent="0.25"/>
    <row r="172884" customFormat="1" x14ac:dyDescent="0.25"/>
    <row r="172885" customFormat="1" x14ac:dyDescent="0.25"/>
    <row r="172886" customFormat="1" x14ac:dyDescent="0.25"/>
    <row r="172887" customFormat="1" x14ac:dyDescent="0.25"/>
    <row r="172888" customFormat="1" x14ac:dyDescent="0.25"/>
    <row r="172889" customFormat="1" x14ac:dyDescent="0.25"/>
    <row r="172890" customFormat="1" x14ac:dyDescent="0.25"/>
    <row r="172891" customFormat="1" x14ac:dyDescent="0.25"/>
    <row r="172892" customFormat="1" x14ac:dyDescent="0.25"/>
    <row r="172893" customFormat="1" x14ac:dyDescent="0.25"/>
    <row r="172894" customFormat="1" x14ac:dyDescent="0.25"/>
    <row r="172895" customFormat="1" x14ac:dyDescent="0.25"/>
    <row r="172896" customFormat="1" x14ac:dyDescent="0.25"/>
    <row r="172897" customFormat="1" x14ac:dyDescent="0.25"/>
    <row r="172898" customFormat="1" x14ac:dyDescent="0.25"/>
    <row r="172899" customFormat="1" x14ac:dyDescent="0.25"/>
    <row r="172900" customFormat="1" x14ac:dyDescent="0.25"/>
    <row r="172901" customFormat="1" x14ac:dyDescent="0.25"/>
    <row r="172902" customFormat="1" x14ac:dyDescent="0.25"/>
    <row r="172903" customFormat="1" x14ac:dyDescent="0.25"/>
    <row r="172904" customFormat="1" x14ac:dyDescent="0.25"/>
    <row r="172905" customFormat="1" x14ac:dyDescent="0.25"/>
    <row r="172906" customFormat="1" x14ac:dyDescent="0.25"/>
    <row r="172907" customFormat="1" x14ac:dyDescent="0.25"/>
    <row r="172908" customFormat="1" x14ac:dyDescent="0.25"/>
    <row r="172909" customFormat="1" x14ac:dyDescent="0.25"/>
    <row r="172910" customFormat="1" x14ac:dyDescent="0.25"/>
    <row r="172911" customFormat="1" x14ac:dyDescent="0.25"/>
    <row r="172912" customFormat="1" x14ac:dyDescent="0.25"/>
    <row r="172913" customFormat="1" x14ac:dyDescent="0.25"/>
    <row r="172914" customFormat="1" x14ac:dyDescent="0.25"/>
    <row r="172915" customFormat="1" x14ac:dyDescent="0.25"/>
    <row r="172916" customFormat="1" x14ac:dyDescent="0.25"/>
    <row r="172917" customFormat="1" x14ac:dyDescent="0.25"/>
    <row r="172918" customFormat="1" x14ac:dyDescent="0.25"/>
    <row r="172919" customFormat="1" x14ac:dyDescent="0.25"/>
    <row r="172920" customFormat="1" x14ac:dyDescent="0.25"/>
    <row r="172921" customFormat="1" x14ac:dyDescent="0.25"/>
    <row r="172922" customFormat="1" x14ac:dyDescent="0.25"/>
    <row r="172923" customFormat="1" x14ac:dyDescent="0.25"/>
    <row r="172924" customFormat="1" x14ac:dyDescent="0.25"/>
    <row r="172925" customFormat="1" x14ac:dyDescent="0.25"/>
    <row r="172926" customFormat="1" x14ac:dyDescent="0.25"/>
    <row r="172927" customFormat="1" x14ac:dyDescent="0.25"/>
    <row r="172928" customFormat="1" x14ac:dyDescent="0.25"/>
    <row r="172929" customFormat="1" x14ac:dyDescent="0.25"/>
    <row r="172930" customFormat="1" x14ac:dyDescent="0.25"/>
    <row r="172931" customFormat="1" x14ac:dyDescent="0.25"/>
    <row r="172932" customFormat="1" x14ac:dyDescent="0.25"/>
    <row r="172933" customFormat="1" x14ac:dyDescent="0.25"/>
    <row r="172934" customFormat="1" x14ac:dyDescent="0.25"/>
    <row r="172935" customFormat="1" x14ac:dyDescent="0.25"/>
    <row r="172936" customFormat="1" x14ac:dyDescent="0.25"/>
    <row r="172937" customFormat="1" x14ac:dyDescent="0.25"/>
    <row r="172938" customFormat="1" x14ac:dyDescent="0.25"/>
    <row r="172939" customFormat="1" x14ac:dyDescent="0.25"/>
    <row r="172940" customFormat="1" x14ac:dyDescent="0.25"/>
    <row r="172941" customFormat="1" x14ac:dyDescent="0.25"/>
    <row r="172942" customFormat="1" x14ac:dyDescent="0.25"/>
    <row r="172943" customFormat="1" x14ac:dyDescent="0.25"/>
    <row r="172944" customFormat="1" x14ac:dyDescent="0.25"/>
    <row r="172945" customFormat="1" x14ac:dyDescent="0.25"/>
    <row r="172946" customFormat="1" x14ac:dyDescent="0.25"/>
    <row r="172947" customFormat="1" x14ac:dyDescent="0.25"/>
    <row r="172948" customFormat="1" x14ac:dyDescent="0.25"/>
    <row r="172949" customFormat="1" x14ac:dyDescent="0.25"/>
    <row r="172950" customFormat="1" x14ac:dyDescent="0.25"/>
    <row r="172951" customFormat="1" x14ac:dyDescent="0.25"/>
    <row r="172952" customFormat="1" x14ac:dyDescent="0.25"/>
    <row r="172953" customFormat="1" x14ac:dyDescent="0.25"/>
    <row r="172954" customFormat="1" x14ac:dyDescent="0.25"/>
    <row r="172955" customFormat="1" x14ac:dyDescent="0.25"/>
    <row r="172956" customFormat="1" x14ac:dyDescent="0.25"/>
    <row r="172957" customFormat="1" x14ac:dyDescent="0.25"/>
    <row r="172958" customFormat="1" x14ac:dyDescent="0.25"/>
    <row r="172959" customFormat="1" x14ac:dyDescent="0.25"/>
    <row r="172960" customFormat="1" x14ac:dyDescent="0.25"/>
    <row r="172961" customFormat="1" x14ac:dyDescent="0.25"/>
    <row r="172962" customFormat="1" x14ac:dyDescent="0.25"/>
    <row r="172963" customFormat="1" x14ac:dyDescent="0.25"/>
    <row r="172964" customFormat="1" x14ac:dyDescent="0.25"/>
    <row r="172965" customFormat="1" x14ac:dyDescent="0.25"/>
    <row r="172966" customFormat="1" x14ac:dyDescent="0.25"/>
    <row r="172967" customFormat="1" x14ac:dyDescent="0.25"/>
    <row r="172968" customFormat="1" x14ac:dyDescent="0.25"/>
    <row r="172969" customFormat="1" x14ac:dyDescent="0.25"/>
    <row r="172970" customFormat="1" x14ac:dyDescent="0.25"/>
    <row r="172971" customFormat="1" x14ac:dyDescent="0.25"/>
    <row r="172972" customFormat="1" x14ac:dyDescent="0.25"/>
    <row r="172973" customFormat="1" x14ac:dyDescent="0.25"/>
    <row r="172974" customFormat="1" x14ac:dyDescent="0.25"/>
    <row r="172975" customFormat="1" x14ac:dyDescent="0.25"/>
    <row r="172976" customFormat="1" x14ac:dyDescent="0.25"/>
    <row r="172977" customFormat="1" x14ac:dyDescent="0.25"/>
    <row r="172978" customFormat="1" x14ac:dyDescent="0.25"/>
    <row r="172979" customFormat="1" x14ac:dyDescent="0.25"/>
    <row r="172980" customFormat="1" x14ac:dyDescent="0.25"/>
    <row r="172981" customFormat="1" x14ac:dyDescent="0.25"/>
    <row r="172982" customFormat="1" x14ac:dyDescent="0.25"/>
    <row r="172983" customFormat="1" x14ac:dyDescent="0.25"/>
    <row r="172984" customFormat="1" x14ac:dyDescent="0.25"/>
    <row r="172985" customFormat="1" x14ac:dyDescent="0.25"/>
    <row r="172986" customFormat="1" x14ac:dyDescent="0.25"/>
    <row r="172987" customFormat="1" x14ac:dyDescent="0.25"/>
    <row r="172988" customFormat="1" x14ac:dyDescent="0.25"/>
    <row r="172989" customFormat="1" x14ac:dyDescent="0.25"/>
    <row r="172990" customFormat="1" x14ac:dyDescent="0.25"/>
    <row r="172991" customFormat="1" x14ac:dyDescent="0.25"/>
    <row r="172992" customFormat="1" x14ac:dyDescent="0.25"/>
    <row r="172993" customFormat="1" x14ac:dyDescent="0.25"/>
    <row r="172994" customFormat="1" x14ac:dyDescent="0.25"/>
    <row r="172995" customFormat="1" x14ac:dyDescent="0.25"/>
    <row r="172996" customFormat="1" x14ac:dyDescent="0.25"/>
    <row r="172997" customFormat="1" x14ac:dyDescent="0.25"/>
    <row r="172998" customFormat="1" x14ac:dyDescent="0.25"/>
    <row r="172999" customFormat="1" x14ac:dyDescent="0.25"/>
    <row r="173000" customFormat="1" x14ac:dyDescent="0.25"/>
    <row r="173001" customFormat="1" x14ac:dyDescent="0.25"/>
    <row r="173002" customFormat="1" x14ac:dyDescent="0.25"/>
    <row r="173003" customFormat="1" x14ac:dyDescent="0.25"/>
    <row r="173004" customFormat="1" x14ac:dyDescent="0.25"/>
    <row r="173005" customFormat="1" x14ac:dyDescent="0.25"/>
    <row r="173006" customFormat="1" x14ac:dyDescent="0.25"/>
    <row r="173007" customFormat="1" x14ac:dyDescent="0.25"/>
    <row r="173008" customFormat="1" x14ac:dyDescent="0.25"/>
    <row r="173009" customFormat="1" x14ac:dyDescent="0.25"/>
    <row r="173010" customFormat="1" x14ac:dyDescent="0.25"/>
    <row r="173011" customFormat="1" x14ac:dyDescent="0.25"/>
    <row r="173012" customFormat="1" x14ac:dyDescent="0.25"/>
    <row r="173013" customFormat="1" x14ac:dyDescent="0.25"/>
    <row r="173014" customFormat="1" x14ac:dyDescent="0.25"/>
    <row r="173015" customFormat="1" x14ac:dyDescent="0.25"/>
    <row r="173016" customFormat="1" x14ac:dyDescent="0.25"/>
    <row r="173017" customFormat="1" x14ac:dyDescent="0.25"/>
    <row r="173018" customFormat="1" x14ac:dyDescent="0.25"/>
    <row r="173019" customFormat="1" x14ac:dyDescent="0.25"/>
    <row r="173020" customFormat="1" x14ac:dyDescent="0.25"/>
    <row r="173021" customFormat="1" x14ac:dyDescent="0.25"/>
    <row r="173022" customFormat="1" x14ac:dyDescent="0.25"/>
    <row r="173023" customFormat="1" x14ac:dyDescent="0.25"/>
    <row r="173024" customFormat="1" x14ac:dyDescent="0.25"/>
    <row r="173025" customFormat="1" x14ac:dyDescent="0.25"/>
    <row r="173026" customFormat="1" x14ac:dyDescent="0.25"/>
    <row r="173027" customFormat="1" x14ac:dyDescent="0.25"/>
    <row r="173028" customFormat="1" x14ac:dyDescent="0.25"/>
    <row r="173029" customFormat="1" x14ac:dyDescent="0.25"/>
    <row r="173030" customFormat="1" x14ac:dyDescent="0.25"/>
    <row r="173031" customFormat="1" x14ac:dyDescent="0.25"/>
    <row r="173032" customFormat="1" x14ac:dyDescent="0.25"/>
    <row r="173033" customFormat="1" x14ac:dyDescent="0.25"/>
    <row r="173034" customFormat="1" x14ac:dyDescent="0.25"/>
    <row r="173035" customFormat="1" x14ac:dyDescent="0.25"/>
    <row r="173036" customFormat="1" x14ac:dyDescent="0.25"/>
    <row r="173037" customFormat="1" x14ac:dyDescent="0.25"/>
    <row r="173038" customFormat="1" x14ac:dyDescent="0.25"/>
    <row r="173039" customFormat="1" x14ac:dyDescent="0.25"/>
    <row r="173040" customFormat="1" x14ac:dyDescent="0.25"/>
    <row r="173041" customFormat="1" x14ac:dyDescent="0.25"/>
    <row r="173042" customFormat="1" x14ac:dyDescent="0.25"/>
    <row r="173043" customFormat="1" x14ac:dyDescent="0.25"/>
    <row r="173044" customFormat="1" x14ac:dyDescent="0.25"/>
    <row r="173045" customFormat="1" x14ac:dyDescent="0.25"/>
    <row r="173046" customFormat="1" x14ac:dyDescent="0.25"/>
    <row r="173047" customFormat="1" x14ac:dyDescent="0.25"/>
    <row r="173048" customFormat="1" x14ac:dyDescent="0.25"/>
    <row r="173049" customFormat="1" x14ac:dyDescent="0.25"/>
    <row r="173050" customFormat="1" x14ac:dyDescent="0.25"/>
    <row r="173051" customFormat="1" x14ac:dyDescent="0.25"/>
    <row r="173052" customFormat="1" x14ac:dyDescent="0.25"/>
    <row r="173053" customFormat="1" x14ac:dyDescent="0.25"/>
    <row r="173054" customFormat="1" x14ac:dyDescent="0.25"/>
    <row r="173055" customFormat="1" x14ac:dyDescent="0.25"/>
    <row r="173056" customFormat="1" x14ac:dyDescent="0.25"/>
    <row r="173057" customFormat="1" x14ac:dyDescent="0.25"/>
    <row r="173058" customFormat="1" x14ac:dyDescent="0.25"/>
    <row r="173059" customFormat="1" x14ac:dyDescent="0.25"/>
    <row r="173060" customFormat="1" x14ac:dyDescent="0.25"/>
    <row r="173061" customFormat="1" x14ac:dyDescent="0.25"/>
    <row r="173062" customFormat="1" x14ac:dyDescent="0.25"/>
    <row r="173063" customFormat="1" x14ac:dyDescent="0.25"/>
    <row r="173064" customFormat="1" x14ac:dyDescent="0.25"/>
    <row r="173065" customFormat="1" x14ac:dyDescent="0.25"/>
    <row r="173066" customFormat="1" x14ac:dyDescent="0.25"/>
    <row r="173067" customFormat="1" x14ac:dyDescent="0.25"/>
    <row r="173068" customFormat="1" x14ac:dyDescent="0.25"/>
    <row r="173069" customFormat="1" x14ac:dyDescent="0.25"/>
    <row r="173070" customFormat="1" x14ac:dyDescent="0.25"/>
    <row r="173071" customFormat="1" x14ac:dyDescent="0.25"/>
    <row r="173072" customFormat="1" x14ac:dyDescent="0.25"/>
    <row r="173073" customFormat="1" x14ac:dyDescent="0.25"/>
    <row r="173074" customFormat="1" x14ac:dyDescent="0.25"/>
    <row r="173075" customFormat="1" x14ac:dyDescent="0.25"/>
    <row r="173076" customFormat="1" x14ac:dyDescent="0.25"/>
    <row r="173077" customFormat="1" x14ac:dyDescent="0.25"/>
    <row r="173078" customFormat="1" x14ac:dyDescent="0.25"/>
    <row r="173079" customFormat="1" x14ac:dyDescent="0.25"/>
    <row r="173080" customFormat="1" x14ac:dyDescent="0.25"/>
    <row r="173081" customFormat="1" x14ac:dyDescent="0.25"/>
    <row r="173082" customFormat="1" x14ac:dyDescent="0.25"/>
    <row r="173083" customFormat="1" x14ac:dyDescent="0.25"/>
    <row r="173084" customFormat="1" x14ac:dyDescent="0.25"/>
    <row r="173085" customFormat="1" x14ac:dyDescent="0.25"/>
    <row r="173086" customFormat="1" x14ac:dyDescent="0.25"/>
    <row r="173087" customFormat="1" x14ac:dyDescent="0.25"/>
    <row r="173088" customFormat="1" x14ac:dyDescent="0.25"/>
    <row r="173089" customFormat="1" x14ac:dyDescent="0.25"/>
    <row r="173090" customFormat="1" x14ac:dyDescent="0.25"/>
    <row r="173091" customFormat="1" x14ac:dyDescent="0.25"/>
    <row r="173092" customFormat="1" x14ac:dyDescent="0.25"/>
    <row r="173093" customFormat="1" x14ac:dyDescent="0.25"/>
    <row r="173094" customFormat="1" x14ac:dyDescent="0.25"/>
    <row r="173095" customFormat="1" x14ac:dyDescent="0.25"/>
    <row r="173096" customFormat="1" x14ac:dyDescent="0.25"/>
    <row r="173097" customFormat="1" x14ac:dyDescent="0.25"/>
    <row r="173098" customFormat="1" x14ac:dyDescent="0.25"/>
    <row r="173099" customFormat="1" x14ac:dyDescent="0.25"/>
    <row r="173100" customFormat="1" x14ac:dyDescent="0.25"/>
    <row r="173101" customFormat="1" x14ac:dyDescent="0.25"/>
    <row r="173102" customFormat="1" x14ac:dyDescent="0.25"/>
    <row r="173103" customFormat="1" x14ac:dyDescent="0.25"/>
    <row r="173104" customFormat="1" x14ac:dyDescent="0.25"/>
    <row r="173105" customFormat="1" x14ac:dyDescent="0.25"/>
    <row r="173106" customFormat="1" x14ac:dyDescent="0.25"/>
    <row r="173107" customFormat="1" x14ac:dyDescent="0.25"/>
    <row r="173108" customFormat="1" x14ac:dyDescent="0.25"/>
    <row r="173109" customFormat="1" x14ac:dyDescent="0.25"/>
    <row r="173110" customFormat="1" x14ac:dyDescent="0.25"/>
    <row r="173111" customFormat="1" x14ac:dyDescent="0.25"/>
    <row r="173112" customFormat="1" x14ac:dyDescent="0.25"/>
    <row r="173113" customFormat="1" x14ac:dyDescent="0.25"/>
    <row r="173114" customFormat="1" x14ac:dyDescent="0.25"/>
    <row r="173115" customFormat="1" x14ac:dyDescent="0.25"/>
    <row r="173116" customFormat="1" x14ac:dyDescent="0.25"/>
    <row r="173117" customFormat="1" x14ac:dyDescent="0.25"/>
    <row r="173118" customFormat="1" x14ac:dyDescent="0.25"/>
    <row r="173119" customFormat="1" x14ac:dyDescent="0.25"/>
    <row r="173120" customFormat="1" x14ac:dyDescent="0.25"/>
    <row r="173121" customFormat="1" x14ac:dyDescent="0.25"/>
    <row r="173122" customFormat="1" x14ac:dyDescent="0.25"/>
    <row r="173123" customFormat="1" x14ac:dyDescent="0.25"/>
    <row r="173124" customFormat="1" x14ac:dyDescent="0.25"/>
    <row r="173125" customFormat="1" x14ac:dyDescent="0.25"/>
    <row r="173126" customFormat="1" x14ac:dyDescent="0.25"/>
    <row r="173127" customFormat="1" x14ac:dyDescent="0.25"/>
    <row r="173128" customFormat="1" x14ac:dyDescent="0.25"/>
    <row r="173129" customFormat="1" x14ac:dyDescent="0.25"/>
    <row r="173130" customFormat="1" x14ac:dyDescent="0.25"/>
    <row r="173131" customFormat="1" x14ac:dyDescent="0.25"/>
    <row r="173132" customFormat="1" x14ac:dyDescent="0.25"/>
    <row r="173133" customFormat="1" x14ac:dyDescent="0.25"/>
    <row r="173134" customFormat="1" x14ac:dyDescent="0.25"/>
    <row r="173135" customFormat="1" x14ac:dyDescent="0.25"/>
    <row r="173136" customFormat="1" x14ac:dyDescent="0.25"/>
    <row r="173137" customFormat="1" x14ac:dyDescent="0.25"/>
    <row r="173138" customFormat="1" x14ac:dyDescent="0.25"/>
    <row r="173139" customFormat="1" x14ac:dyDescent="0.25"/>
    <row r="173140" customFormat="1" x14ac:dyDescent="0.25"/>
    <row r="173141" customFormat="1" x14ac:dyDescent="0.25"/>
    <row r="173142" customFormat="1" x14ac:dyDescent="0.25"/>
    <row r="173143" customFormat="1" x14ac:dyDescent="0.25"/>
    <row r="173144" customFormat="1" x14ac:dyDescent="0.25"/>
    <row r="173145" customFormat="1" x14ac:dyDescent="0.25"/>
    <row r="173146" customFormat="1" x14ac:dyDescent="0.25"/>
    <row r="173147" customFormat="1" x14ac:dyDescent="0.25"/>
    <row r="173148" customFormat="1" x14ac:dyDescent="0.25"/>
    <row r="173149" customFormat="1" x14ac:dyDescent="0.25"/>
    <row r="173150" customFormat="1" x14ac:dyDescent="0.25"/>
    <row r="173151" customFormat="1" x14ac:dyDescent="0.25"/>
    <row r="173152" customFormat="1" x14ac:dyDescent="0.25"/>
    <row r="173153" customFormat="1" x14ac:dyDescent="0.25"/>
    <row r="173154" customFormat="1" x14ac:dyDescent="0.25"/>
    <row r="173155" customFormat="1" x14ac:dyDescent="0.25"/>
    <row r="173156" customFormat="1" x14ac:dyDescent="0.25"/>
    <row r="173157" customFormat="1" x14ac:dyDescent="0.25"/>
    <row r="173158" customFormat="1" x14ac:dyDescent="0.25"/>
    <row r="173159" customFormat="1" x14ac:dyDescent="0.25"/>
    <row r="173160" customFormat="1" x14ac:dyDescent="0.25"/>
    <row r="173161" customFormat="1" x14ac:dyDescent="0.25"/>
    <row r="173162" customFormat="1" x14ac:dyDescent="0.25"/>
    <row r="173163" customFormat="1" x14ac:dyDescent="0.25"/>
    <row r="173164" customFormat="1" x14ac:dyDescent="0.25"/>
    <row r="173165" customFormat="1" x14ac:dyDescent="0.25"/>
    <row r="173166" customFormat="1" x14ac:dyDescent="0.25"/>
    <row r="173167" customFormat="1" x14ac:dyDescent="0.25"/>
    <row r="173168" customFormat="1" x14ac:dyDescent="0.25"/>
    <row r="173169" customFormat="1" x14ac:dyDescent="0.25"/>
    <row r="173170" customFormat="1" x14ac:dyDescent="0.25"/>
    <row r="173171" customFormat="1" x14ac:dyDescent="0.25"/>
    <row r="173172" customFormat="1" x14ac:dyDescent="0.25"/>
    <row r="173173" customFormat="1" x14ac:dyDescent="0.25"/>
    <row r="173174" customFormat="1" x14ac:dyDescent="0.25"/>
    <row r="173175" customFormat="1" x14ac:dyDescent="0.25"/>
    <row r="173176" customFormat="1" x14ac:dyDescent="0.25"/>
    <row r="173177" customFormat="1" x14ac:dyDescent="0.25"/>
    <row r="173178" customFormat="1" x14ac:dyDescent="0.25"/>
    <row r="173179" customFormat="1" x14ac:dyDescent="0.25"/>
    <row r="173180" customFormat="1" x14ac:dyDescent="0.25"/>
    <row r="173181" customFormat="1" x14ac:dyDescent="0.25"/>
    <row r="173182" customFormat="1" x14ac:dyDescent="0.25"/>
    <row r="173183" customFormat="1" x14ac:dyDescent="0.25"/>
    <row r="173184" customFormat="1" x14ac:dyDescent="0.25"/>
    <row r="173185" customFormat="1" x14ac:dyDescent="0.25"/>
    <row r="173186" customFormat="1" x14ac:dyDescent="0.25"/>
    <row r="173187" customFormat="1" x14ac:dyDescent="0.25"/>
    <row r="173188" customFormat="1" x14ac:dyDescent="0.25"/>
    <row r="173189" customFormat="1" x14ac:dyDescent="0.25"/>
    <row r="173190" customFormat="1" x14ac:dyDescent="0.25"/>
    <row r="173191" customFormat="1" x14ac:dyDescent="0.25"/>
    <row r="173192" customFormat="1" x14ac:dyDescent="0.25"/>
    <row r="173193" customFormat="1" x14ac:dyDescent="0.25"/>
    <row r="173194" customFormat="1" x14ac:dyDescent="0.25"/>
    <row r="173195" customFormat="1" x14ac:dyDescent="0.25"/>
    <row r="173196" customFormat="1" x14ac:dyDescent="0.25"/>
    <row r="173197" customFormat="1" x14ac:dyDescent="0.25"/>
    <row r="173198" customFormat="1" x14ac:dyDescent="0.25"/>
    <row r="173199" customFormat="1" x14ac:dyDescent="0.25"/>
    <row r="173200" customFormat="1" x14ac:dyDescent="0.25"/>
    <row r="173201" customFormat="1" x14ac:dyDescent="0.25"/>
    <row r="173202" customFormat="1" x14ac:dyDescent="0.25"/>
    <row r="173203" customFormat="1" x14ac:dyDescent="0.25"/>
    <row r="173204" customFormat="1" x14ac:dyDescent="0.25"/>
    <row r="173205" customFormat="1" x14ac:dyDescent="0.25"/>
    <row r="173206" customFormat="1" x14ac:dyDescent="0.25"/>
    <row r="173207" customFormat="1" x14ac:dyDescent="0.25"/>
    <row r="173208" customFormat="1" x14ac:dyDescent="0.25"/>
    <row r="173209" customFormat="1" x14ac:dyDescent="0.25"/>
    <row r="173210" customFormat="1" x14ac:dyDescent="0.25"/>
    <row r="173211" customFormat="1" x14ac:dyDescent="0.25"/>
    <row r="173212" customFormat="1" x14ac:dyDescent="0.25"/>
    <row r="173213" customFormat="1" x14ac:dyDescent="0.25"/>
    <row r="173214" customFormat="1" x14ac:dyDescent="0.25"/>
    <row r="173215" customFormat="1" x14ac:dyDescent="0.25"/>
    <row r="173216" customFormat="1" x14ac:dyDescent="0.25"/>
    <row r="173217" customFormat="1" x14ac:dyDescent="0.25"/>
    <row r="173218" customFormat="1" x14ac:dyDescent="0.25"/>
    <row r="173219" customFormat="1" x14ac:dyDescent="0.25"/>
    <row r="173220" customFormat="1" x14ac:dyDescent="0.25"/>
    <row r="173221" customFormat="1" x14ac:dyDescent="0.25"/>
    <row r="173222" customFormat="1" x14ac:dyDescent="0.25"/>
    <row r="173223" customFormat="1" x14ac:dyDescent="0.25"/>
    <row r="173224" customFormat="1" x14ac:dyDescent="0.25"/>
    <row r="173225" customFormat="1" x14ac:dyDescent="0.25"/>
    <row r="173226" customFormat="1" x14ac:dyDescent="0.25"/>
    <row r="173227" customFormat="1" x14ac:dyDescent="0.25"/>
    <row r="173228" customFormat="1" x14ac:dyDescent="0.25"/>
    <row r="173229" customFormat="1" x14ac:dyDescent="0.25"/>
    <row r="173230" customFormat="1" x14ac:dyDescent="0.25"/>
    <row r="173231" customFormat="1" x14ac:dyDescent="0.25"/>
    <row r="173232" customFormat="1" x14ac:dyDescent="0.25"/>
    <row r="173233" customFormat="1" x14ac:dyDescent="0.25"/>
    <row r="173234" customFormat="1" x14ac:dyDescent="0.25"/>
    <row r="173235" customFormat="1" x14ac:dyDescent="0.25"/>
    <row r="173236" customFormat="1" x14ac:dyDescent="0.25"/>
    <row r="173237" customFormat="1" x14ac:dyDescent="0.25"/>
    <row r="173238" customFormat="1" x14ac:dyDescent="0.25"/>
    <row r="173239" customFormat="1" x14ac:dyDescent="0.25"/>
    <row r="173240" customFormat="1" x14ac:dyDescent="0.25"/>
    <row r="173241" customFormat="1" x14ac:dyDescent="0.25"/>
    <row r="173242" customFormat="1" x14ac:dyDescent="0.25"/>
    <row r="173243" customFormat="1" x14ac:dyDescent="0.25"/>
    <row r="173244" customFormat="1" x14ac:dyDescent="0.25"/>
    <row r="173245" customFormat="1" x14ac:dyDescent="0.25"/>
    <row r="173246" customFormat="1" x14ac:dyDescent="0.25"/>
    <row r="173247" customFormat="1" x14ac:dyDescent="0.25"/>
    <row r="173248" customFormat="1" x14ac:dyDescent="0.25"/>
    <row r="173249" customFormat="1" x14ac:dyDescent="0.25"/>
    <row r="173250" customFormat="1" x14ac:dyDescent="0.25"/>
    <row r="173251" customFormat="1" x14ac:dyDescent="0.25"/>
    <row r="173252" customFormat="1" x14ac:dyDescent="0.25"/>
    <row r="173253" customFormat="1" x14ac:dyDescent="0.25"/>
    <row r="173254" customFormat="1" x14ac:dyDescent="0.25"/>
    <row r="173255" customFormat="1" x14ac:dyDescent="0.25"/>
    <row r="173256" customFormat="1" x14ac:dyDescent="0.25"/>
    <row r="173257" customFormat="1" x14ac:dyDescent="0.25"/>
    <row r="173258" customFormat="1" x14ac:dyDescent="0.25"/>
    <row r="173259" customFormat="1" x14ac:dyDescent="0.25"/>
    <row r="173260" customFormat="1" x14ac:dyDescent="0.25"/>
    <row r="173261" customFormat="1" x14ac:dyDescent="0.25"/>
    <row r="173262" customFormat="1" x14ac:dyDescent="0.25"/>
    <row r="173263" customFormat="1" x14ac:dyDescent="0.25"/>
    <row r="173264" customFormat="1" x14ac:dyDescent="0.25"/>
    <row r="173265" customFormat="1" x14ac:dyDescent="0.25"/>
    <row r="173266" customFormat="1" x14ac:dyDescent="0.25"/>
    <row r="173267" customFormat="1" x14ac:dyDescent="0.25"/>
    <row r="173268" customFormat="1" x14ac:dyDescent="0.25"/>
    <row r="173269" customFormat="1" x14ac:dyDescent="0.25"/>
    <row r="173270" customFormat="1" x14ac:dyDescent="0.25"/>
    <row r="173271" customFormat="1" x14ac:dyDescent="0.25"/>
    <row r="173272" customFormat="1" x14ac:dyDescent="0.25"/>
    <row r="173273" customFormat="1" x14ac:dyDescent="0.25"/>
    <row r="173274" customFormat="1" x14ac:dyDescent="0.25"/>
    <row r="173275" customFormat="1" x14ac:dyDescent="0.25"/>
    <row r="173276" customFormat="1" x14ac:dyDescent="0.25"/>
    <row r="173277" customFormat="1" x14ac:dyDescent="0.25"/>
    <row r="173278" customFormat="1" x14ac:dyDescent="0.25"/>
    <row r="173279" customFormat="1" x14ac:dyDescent="0.25"/>
    <row r="173280" customFormat="1" x14ac:dyDescent="0.25"/>
    <row r="173281" customFormat="1" x14ac:dyDescent="0.25"/>
    <row r="173282" customFormat="1" x14ac:dyDescent="0.25"/>
    <row r="173283" customFormat="1" x14ac:dyDescent="0.25"/>
    <row r="173284" customFormat="1" x14ac:dyDescent="0.25"/>
    <row r="173285" customFormat="1" x14ac:dyDescent="0.25"/>
    <row r="173286" customFormat="1" x14ac:dyDescent="0.25"/>
    <row r="173287" customFormat="1" x14ac:dyDescent="0.25"/>
    <row r="173288" customFormat="1" x14ac:dyDescent="0.25"/>
    <row r="173289" customFormat="1" x14ac:dyDescent="0.25"/>
    <row r="173290" customFormat="1" x14ac:dyDescent="0.25"/>
    <row r="173291" customFormat="1" x14ac:dyDescent="0.25"/>
    <row r="173292" customFormat="1" x14ac:dyDescent="0.25"/>
    <row r="173293" customFormat="1" x14ac:dyDescent="0.25"/>
    <row r="173294" customFormat="1" x14ac:dyDescent="0.25"/>
    <row r="173295" customFormat="1" x14ac:dyDescent="0.25"/>
    <row r="173296" customFormat="1" x14ac:dyDescent="0.25"/>
    <row r="173297" customFormat="1" x14ac:dyDescent="0.25"/>
    <row r="173298" customFormat="1" x14ac:dyDescent="0.25"/>
    <row r="173299" customFormat="1" x14ac:dyDescent="0.25"/>
    <row r="173300" customFormat="1" x14ac:dyDescent="0.25"/>
    <row r="173301" customFormat="1" x14ac:dyDescent="0.25"/>
    <row r="173302" customFormat="1" x14ac:dyDescent="0.25"/>
    <row r="173303" customFormat="1" x14ac:dyDescent="0.25"/>
    <row r="173304" customFormat="1" x14ac:dyDescent="0.25"/>
    <row r="173305" customFormat="1" x14ac:dyDescent="0.25"/>
    <row r="173306" customFormat="1" x14ac:dyDescent="0.25"/>
    <row r="173307" customFormat="1" x14ac:dyDescent="0.25"/>
    <row r="173308" customFormat="1" x14ac:dyDescent="0.25"/>
    <row r="173309" customFormat="1" x14ac:dyDescent="0.25"/>
    <row r="173310" customFormat="1" x14ac:dyDescent="0.25"/>
    <row r="173311" customFormat="1" x14ac:dyDescent="0.25"/>
    <row r="173312" customFormat="1" x14ac:dyDescent="0.25"/>
    <row r="173313" customFormat="1" x14ac:dyDescent="0.25"/>
    <row r="173314" customFormat="1" x14ac:dyDescent="0.25"/>
    <row r="173315" customFormat="1" x14ac:dyDescent="0.25"/>
    <row r="173316" customFormat="1" x14ac:dyDescent="0.25"/>
    <row r="173317" customFormat="1" x14ac:dyDescent="0.25"/>
    <row r="173318" customFormat="1" x14ac:dyDescent="0.25"/>
    <row r="173319" customFormat="1" x14ac:dyDescent="0.25"/>
    <row r="173320" customFormat="1" x14ac:dyDescent="0.25"/>
    <row r="173321" customFormat="1" x14ac:dyDescent="0.25"/>
    <row r="173322" customFormat="1" x14ac:dyDescent="0.25"/>
    <row r="173323" customFormat="1" x14ac:dyDescent="0.25"/>
    <row r="173324" customFormat="1" x14ac:dyDescent="0.25"/>
    <row r="173325" customFormat="1" x14ac:dyDescent="0.25"/>
    <row r="173326" customFormat="1" x14ac:dyDescent="0.25"/>
    <row r="173327" customFormat="1" x14ac:dyDescent="0.25"/>
    <row r="173328" customFormat="1" x14ac:dyDescent="0.25"/>
    <row r="173329" customFormat="1" x14ac:dyDescent="0.25"/>
    <row r="173330" customFormat="1" x14ac:dyDescent="0.25"/>
    <row r="173331" customFormat="1" x14ac:dyDescent="0.25"/>
    <row r="173332" customFormat="1" x14ac:dyDescent="0.25"/>
    <row r="173333" customFormat="1" x14ac:dyDescent="0.25"/>
    <row r="173334" customFormat="1" x14ac:dyDescent="0.25"/>
    <row r="173335" customFormat="1" x14ac:dyDescent="0.25"/>
    <row r="173336" customFormat="1" x14ac:dyDescent="0.25"/>
    <row r="173337" customFormat="1" x14ac:dyDescent="0.25"/>
    <row r="173338" customFormat="1" x14ac:dyDescent="0.25"/>
    <row r="173339" customFormat="1" x14ac:dyDescent="0.25"/>
    <row r="173340" customFormat="1" x14ac:dyDescent="0.25"/>
    <row r="173341" customFormat="1" x14ac:dyDescent="0.25"/>
    <row r="173342" customFormat="1" x14ac:dyDescent="0.25"/>
    <row r="173343" customFormat="1" x14ac:dyDescent="0.25"/>
    <row r="173344" customFormat="1" x14ac:dyDescent="0.25"/>
    <row r="173345" customFormat="1" x14ac:dyDescent="0.25"/>
    <row r="173346" customFormat="1" x14ac:dyDescent="0.25"/>
    <row r="173347" customFormat="1" x14ac:dyDescent="0.25"/>
    <row r="173348" customFormat="1" x14ac:dyDescent="0.25"/>
    <row r="173349" customFormat="1" x14ac:dyDescent="0.25"/>
    <row r="173350" customFormat="1" x14ac:dyDescent="0.25"/>
    <row r="173351" customFormat="1" x14ac:dyDescent="0.25"/>
    <row r="173352" customFormat="1" x14ac:dyDescent="0.25"/>
    <row r="173353" customFormat="1" x14ac:dyDescent="0.25"/>
    <row r="173354" customFormat="1" x14ac:dyDescent="0.25"/>
    <row r="173355" customFormat="1" x14ac:dyDescent="0.25"/>
    <row r="173356" customFormat="1" x14ac:dyDescent="0.25"/>
    <row r="173357" customFormat="1" x14ac:dyDescent="0.25"/>
    <row r="173358" customFormat="1" x14ac:dyDescent="0.25"/>
    <row r="173359" customFormat="1" x14ac:dyDescent="0.25"/>
    <row r="173360" customFormat="1" x14ac:dyDescent="0.25"/>
    <row r="173361" customFormat="1" x14ac:dyDescent="0.25"/>
    <row r="173362" customFormat="1" x14ac:dyDescent="0.25"/>
    <row r="173363" customFormat="1" x14ac:dyDescent="0.25"/>
    <row r="173364" customFormat="1" x14ac:dyDescent="0.25"/>
    <row r="173365" customFormat="1" x14ac:dyDescent="0.25"/>
    <row r="173366" customFormat="1" x14ac:dyDescent="0.25"/>
    <row r="173367" customFormat="1" x14ac:dyDescent="0.25"/>
    <row r="173368" customFormat="1" x14ac:dyDescent="0.25"/>
    <row r="173369" customFormat="1" x14ac:dyDescent="0.25"/>
    <row r="173370" customFormat="1" x14ac:dyDescent="0.25"/>
    <row r="173371" customFormat="1" x14ac:dyDescent="0.25"/>
    <row r="173372" customFormat="1" x14ac:dyDescent="0.25"/>
    <row r="173373" customFormat="1" x14ac:dyDescent="0.25"/>
    <row r="173374" customFormat="1" x14ac:dyDescent="0.25"/>
    <row r="173375" customFormat="1" x14ac:dyDescent="0.25"/>
    <row r="173376" customFormat="1" x14ac:dyDescent="0.25"/>
    <row r="173377" customFormat="1" x14ac:dyDescent="0.25"/>
    <row r="173378" customFormat="1" x14ac:dyDescent="0.25"/>
    <row r="173379" customFormat="1" x14ac:dyDescent="0.25"/>
    <row r="173380" customFormat="1" x14ac:dyDescent="0.25"/>
    <row r="173381" customFormat="1" x14ac:dyDescent="0.25"/>
    <row r="173382" customFormat="1" x14ac:dyDescent="0.25"/>
    <row r="173383" customFormat="1" x14ac:dyDescent="0.25"/>
    <row r="173384" customFormat="1" x14ac:dyDescent="0.25"/>
    <row r="173385" customFormat="1" x14ac:dyDescent="0.25"/>
    <row r="173386" customFormat="1" x14ac:dyDescent="0.25"/>
    <row r="173387" customFormat="1" x14ac:dyDescent="0.25"/>
    <row r="173388" customFormat="1" x14ac:dyDescent="0.25"/>
    <row r="173389" customFormat="1" x14ac:dyDescent="0.25"/>
    <row r="173390" customFormat="1" x14ac:dyDescent="0.25"/>
    <row r="173391" customFormat="1" x14ac:dyDescent="0.25"/>
    <row r="173392" customFormat="1" x14ac:dyDescent="0.25"/>
    <row r="173393" customFormat="1" x14ac:dyDescent="0.25"/>
    <row r="173394" customFormat="1" x14ac:dyDescent="0.25"/>
    <row r="173395" customFormat="1" x14ac:dyDescent="0.25"/>
    <row r="173396" customFormat="1" x14ac:dyDescent="0.25"/>
    <row r="173397" customFormat="1" x14ac:dyDescent="0.25"/>
    <row r="173398" customFormat="1" x14ac:dyDescent="0.25"/>
    <row r="173399" customFormat="1" x14ac:dyDescent="0.25"/>
    <row r="173400" customFormat="1" x14ac:dyDescent="0.25"/>
    <row r="173401" customFormat="1" x14ac:dyDescent="0.25"/>
    <row r="173402" customFormat="1" x14ac:dyDescent="0.25"/>
    <row r="173403" customFormat="1" x14ac:dyDescent="0.25"/>
    <row r="173404" customFormat="1" x14ac:dyDescent="0.25"/>
    <row r="173405" customFormat="1" x14ac:dyDescent="0.25"/>
    <row r="173406" customFormat="1" x14ac:dyDescent="0.25"/>
    <row r="173407" customFormat="1" x14ac:dyDescent="0.25"/>
    <row r="173408" customFormat="1" x14ac:dyDescent="0.25"/>
    <row r="173409" customFormat="1" x14ac:dyDescent="0.25"/>
    <row r="173410" customFormat="1" x14ac:dyDescent="0.25"/>
    <row r="173411" customFormat="1" x14ac:dyDescent="0.25"/>
    <row r="173412" customFormat="1" x14ac:dyDescent="0.25"/>
    <row r="173413" customFormat="1" x14ac:dyDescent="0.25"/>
    <row r="173414" customFormat="1" x14ac:dyDescent="0.25"/>
    <row r="173415" customFormat="1" x14ac:dyDescent="0.25"/>
    <row r="173416" customFormat="1" x14ac:dyDescent="0.25"/>
    <row r="173417" customFormat="1" x14ac:dyDescent="0.25"/>
    <row r="173418" customFormat="1" x14ac:dyDescent="0.25"/>
    <row r="173419" customFormat="1" x14ac:dyDescent="0.25"/>
    <row r="173420" customFormat="1" x14ac:dyDescent="0.25"/>
    <row r="173421" customFormat="1" x14ac:dyDescent="0.25"/>
    <row r="173422" customFormat="1" x14ac:dyDescent="0.25"/>
    <row r="173423" customFormat="1" x14ac:dyDescent="0.25"/>
    <row r="173424" customFormat="1" x14ac:dyDescent="0.25"/>
    <row r="173425" customFormat="1" x14ac:dyDescent="0.25"/>
    <row r="173426" customFormat="1" x14ac:dyDescent="0.25"/>
    <row r="173427" customFormat="1" x14ac:dyDescent="0.25"/>
    <row r="173428" customFormat="1" x14ac:dyDescent="0.25"/>
    <row r="173429" customFormat="1" x14ac:dyDescent="0.25"/>
    <row r="173430" customFormat="1" x14ac:dyDescent="0.25"/>
    <row r="173431" customFormat="1" x14ac:dyDescent="0.25"/>
    <row r="173432" customFormat="1" x14ac:dyDescent="0.25"/>
    <row r="173433" customFormat="1" x14ac:dyDescent="0.25"/>
    <row r="173434" customFormat="1" x14ac:dyDescent="0.25"/>
    <row r="173435" customFormat="1" x14ac:dyDescent="0.25"/>
    <row r="173436" customFormat="1" x14ac:dyDescent="0.25"/>
    <row r="173437" customFormat="1" x14ac:dyDescent="0.25"/>
    <row r="173438" customFormat="1" x14ac:dyDescent="0.25"/>
    <row r="173439" customFormat="1" x14ac:dyDescent="0.25"/>
    <row r="173440" customFormat="1" x14ac:dyDescent="0.25"/>
    <row r="173441" customFormat="1" x14ac:dyDescent="0.25"/>
    <row r="173442" customFormat="1" x14ac:dyDescent="0.25"/>
    <row r="173443" customFormat="1" x14ac:dyDescent="0.25"/>
    <row r="173444" customFormat="1" x14ac:dyDescent="0.25"/>
    <row r="173445" customFormat="1" x14ac:dyDescent="0.25"/>
    <row r="173446" customFormat="1" x14ac:dyDescent="0.25"/>
    <row r="173447" customFormat="1" x14ac:dyDescent="0.25"/>
    <row r="173448" customFormat="1" x14ac:dyDescent="0.25"/>
    <row r="173449" customFormat="1" x14ac:dyDescent="0.25"/>
    <row r="173450" customFormat="1" x14ac:dyDescent="0.25"/>
    <row r="173451" customFormat="1" x14ac:dyDescent="0.25"/>
    <row r="173452" customFormat="1" x14ac:dyDescent="0.25"/>
    <row r="173453" customFormat="1" x14ac:dyDescent="0.25"/>
    <row r="173454" customFormat="1" x14ac:dyDescent="0.25"/>
    <row r="173455" customFormat="1" x14ac:dyDescent="0.25"/>
    <row r="173456" customFormat="1" x14ac:dyDescent="0.25"/>
    <row r="173457" customFormat="1" x14ac:dyDescent="0.25"/>
    <row r="173458" customFormat="1" x14ac:dyDescent="0.25"/>
    <row r="173459" customFormat="1" x14ac:dyDescent="0.25"/>
    <row r="173460" customFormat="1" x14ac:dyDescent="0.25"/>
    <row r="173461" customFormat="1" x14ac:dyDescent="0.25"/>
    <row r="173462" customFormat="1" x14ac:dyDescent="0.25"/>
    <row r="173463" customFormat="1" x14ac:dyDescent="0.25"/>
    <row r="173464" customFormat="1" x14ac:dyDescent="0.25"/>
    <row r="173465" customFormat="1" x14ac:dyDescent="0.25"/>
    <row r="173466" customFormat="1" x14ac:dyDescent="0.25"/>
    <row r="173467" customFormat="1" x14ac:dyDescent="0.25"/>
    <row r="173468" customFormat="1" x14ac:dyDescent="0.25"/>
    <row r="173469" customFormat="1" x14ac:dyDescent="0.25"/>
    <row r="173470" customFormat="1" x14ac:dyDescent="0.25"/>
    <row r="173471" customFormat="1" x14ac:dyDescent="0.25"/>
    <row r="173472" customFormat="1" x14ac:dyDescent="0.25"/>
    <row r="173473" customFormat="1" x14ac:dyDescent="0.25"/>
    <row r="173474" customFormat="1" x14ac:dyDescent="0.25"/>
    <row r="173475" customFormat="1" x14ac:dyDescent="0.25"/>
    <row r="173476" customFormat="1" x14ac:dyDescent="0.25"/>
    <row r="173477" customFormat="1" x14ac:dyDescent="0.25"/>
    <row r="173478" customFormat="1" x14ac:dyDescent="0.25"/>
    <row r="173479" customFormat="1" x14ac:dyDescent="0.25"/>
    <row r="173480" customFormat="1" x14ac:dyDescent="0.25"/>
    <row r="173481" customFormat="1" x14ac:dyDescent="0.25"/>
    <row r="173482" customFormat="1" x14ac:dyDescent="0.25"/>
    <row r="173483" customFormat="1" x14ac:dyDescent="0.25"/>
    <row r="173484" customFormat="1" x14ac:dyDescent="0.25"/>
    <row r="173485" customFormat="1" x14ac:dyDescent="0.25"/>
    <row r="173486" customFormat="1" x14ac:dyDescent="0.25"/>
    <row r="173487" customFormat="1" x14ac:dyDescent="0.25"/>
    <row r="173488" customFormat="1" x14ac:dyDescent="0.25"/>
    <row r="173489" customFormat="1" x14ac:dyDescent="0.25"/>
    <row r="173490" customFormat="1" x14ac:dyDescent="0.25"/>
    <row r="173491" customFormat="1" x14ac:dyDescent="0.25"/>
    <row r="173492" customFormat="1" x14ac:dyDescent="0.25"/>
    <row r="173493" customFormat="1" x14ac:dyDescent="0.25"/>
    <row r="173494" customFormat="1" x14ac:dyDescent="0.25"/>
    <row r="173495" customFormat="1" x14ac:dyDescent="0.25"/>
    <row r="173496" customFormat="1" x14ac:dyDescent="0.25"/>
    <row r="173497" customFormat="1" x14ac:dyDescent="0.25"/>
    <row r="173498" customFormat="1" x14ac:dyDescent="0.25"/>
    <row r="173499" customFormat="1" x14ac:dyDescent="0.25"/>
    <row r="173500" customFormat="1" x14ac:dyDescent="0.25"/>
    <row r="173501" customFormat="1" x14ac:dyDescent="0.25"/>
    <row r="173502" customFormat="1" x14ac:dyDescent="0.25"/>
    <row r="173503" customFormat="1" x14ac:dyDescent="0.25"/>
    <row r="173504" customFormat="1" x14ac:dyDescent="0.25"/>
    <row r="173505" customFormat="1" x14ac:dyDescent="0.25"/>
    <row r="173506" customFormat="1" x14ac:dyDescent="0.25"/>
    <row r="173507" customFormat="1" x14ac:dyDescent="0.25"/>
    <row r="173508" customFormat="1" x14ac:dyDescent="0.25"/>
    <row r="173509" customFormat="1" x14ac:dyDescent="0.25"/>
    <row r="173510" customFormat="1" x14ac:dyDescent="0.25"/>
    <row r="173511" customFormat="1" x14ac:dyDescent="0.25"/>
    <row r="173512" customFormat="1" x14ac:dyDescent="0.25"/>
    <row r="173513" customFormat="1" x14ac:dyDescent="0.25"/>
    <row r="173514" customFormat="1" x14ac:dyDescent="0.25"/>
    <row r="173515" customFormat="1" x14ac:dyDescent="0.25"/>
    <row r="173516" customFormat="1" x14ac:dyDescent="0.25"/>
    <row r="173517" customFormat="1" x14ac:dyDescent="0.25"/>
    <row r="173518" customFormat="1" x14ac:dyDescent="0.25"/>
    <row r="173519" customFormat="1" x14ac:dyDescent="0.25"/>
    <row r="173520" customFormat="1" x14ac:dyDescent="0.25"/>
    <row r="173521" customFormat="1" x14ac:dyDescent="0.25"/>
    <row r="173522" customFormat="1" x14ac:dyDescent="0.25"/>
    <row r="173523" customFormat="1" x14ac:dyDescent="0.25"/>
    <row r="173524" customFormat="1" x14ac:dyDescent="0.25"/>
    <row r="173525" customFormat="1" x14ac:dyDescent="0.25"/>
    <row r="173526" customFormat="1" x14ac:dyDescent="0.25"/>
    <row r="173527" customFormat="1" x14ac:dyDescent="0.25"/>
    <row r="173528" customFormat="1" x14ac:dyDescent="0.25"/>
    <row r="173529" customFormat="1" x14ac:dyDescent="0.25"/>
    <row r="173530" customFormat="1" x14ac:dyDescent="0.25"/>
    <row r="173531" customFormat="1" x14ac:dyDescent="0.25"/>
    <row r="173532" customFormat="1" x14ac:dyDescent="0.25"/>
    <row r="173533" customFormat="1" x14ac:dyDescent="0.25"/>
    <row r="173534" customFormat="1" x14ac:dyDescent="0.25"/>
    <row r="173535" customFormat="1" x14ac:dyDescent="0.25"/>
    <row r="173536" customFormat="1" x14ac:dyDescent="0.25"/>
    <row r="173537" customFormat="1" x14ac:dyDescent="0.25"/>
    <row r="173538" customFormat="1" x14ac:dyDescent="0.25"/>
    <row r="173539" customFormat="1" x14ac:dyDescent="0.25"/>
    <row r="173540" customFormat="1" x14ac:dyDescent="0.25"/>
    <row r="173541" customFormat="1" x14ac:dyDescent="0.25"/>
    <row r="173542" customFormat="1" x14ac:dyDescent="0.25"/>
    <row r="173543" customFormat="1" x14ac:dyDescent="0.25"/>
    <row r="173544" customFormat="1" x14ac:dyDescent="0.25"/>
    <row r="173545" customFormat="1" x14ac:dyDescent="0.25"/>
    <row r="173546" customFormat="1" x14ac:dyDescent="0.25"/>
    <row r="173547" customFormat="1" x14ac:dyDescent="0.25"/>
    <row r="173548" customFormat="1" x14ac:dyDescent="0.25"/>
    <row r="173549" customFormat="1" x14ac:dyDescent="0.25"/>
    <row r="173550" customFormat="1" x14ac:dyDescent="0.25"/>
    <row r="173551" customFormat="1" x14ac:dyDescent="0.25"/>
    <row r="173552" customFormat="1" x14ac:dyDescent="0.25"/>
    <row r="173553" customFormat="1" x14ac:dyDescent="0.25"/>
    <row r="173554" customFormat="1" x14ac:dyDescent="0.25"/>
    <row r="173555" customFormat="1" x14ac:dyDescent="0.25"/>
    <row r="173556" customFormat="1" x14ac:dyDescent="0.25"/>
    <row r="173557" customFormat="1" x14ac:dyDescent="0.25"/>
    <row r="173558" customFormat="1" x14ac:dyDescent="0.25"/>
    <row r="173559" customFormat="1" x14ac:dyDescent="0.25"/>
    <row r="173560" customFormat="1" x14ac:dyDescent="0.25"/>
    <row r="173561" customFormat="1" x14ac:dyDescent="0.25"/>
    <row r="173562" customFormat="1" x14ac:dyDescent="0.25"/>
    <row r="173563" customFormat="1" x14ac:dyDescent="0.25"/>
    <row r="173564" customFormat="1" x14ac:dyDescent="0.25"/>
    <row r="173565" customFormat="1" x14ac:dyDescent="0.25"/>
    <row r="173566" customFormat="1" x14ac:dyDescent="0.25"/>
    <row r="173567" customFormat="1" x14ac:dyDescent="0.25"/>
    <row r="173568" customFormat="1" x14ac:dyDescent="0.25"/>
    <row r="173569" customFormat="1" x14ac:dyDescent="0.25"/>
    <row r="173570" customFormat="1" x14ac:dyDescent="0.25"/>
    <row r="173571" customFormat="1" x14ac:dyDescent="0.25"/>
    <row r="173572" customFormat="1" x14ac:dyDescent="0.25"/>
    <row r="173573" customFormat="1" x14ac:dyDescent="0.25"/>
    <row r="173574" customFormat="1" x14ac:dyDescent="0.25"/>
    <row r="173575" customFormat="1" x14ac:dyDescent="0.25"/>
    <row r="173576" customFormat="1" x14ac:dyDescent="0.25"/>
    <row r="173577" customFormat="1" x14ac:dyDescent="0.25"/>
    <row r="173578" customFormat="1" x14ac:dyDescent="0.25"/>
    <row r="173579" customFormat="1" x14ac:dyDescent="0.25"/>
    <row r="173580" customFormat="1" x14ac:dyDescent="0.25"/>
    <row r="173581" customFormat="1" x14ac:dyDescent="0.25"/>
    <row r="173582" customFormat="1" x14ac:dyDescent="0.25"/>
    <row r="173583" customFormat="1" x14ac:dyDescent="0.25"/>
    <row r="173584" customFormat="1" x14ac:dyDescent="0.25"/>
    <row r="173585" customFormat="1" x14ac:dyDescent="0.25"/>
    <row r="173586" customFormat="1" x14ac:dyDescent="0.25"/>
    <row r="173587" customFormat="1" x14ac:dyDescent="0.25"/>
    <row r="173588" customFormat="1" x14ac:dyDescent="0.25"/>
    <row r="173589" customFormat="1" x14ac:dyDescent="0.25"/>
    <row r="173590" customFormat="1" x14ac:dyDescent="0.25"/>
    <row r="173591" customFormat="1" x14ac:dyDescent="0.25"/>
    <row r="173592" customFormat="1" x14ac:dyDescent="0.25"/>
    <row r="173593" customFormat="1" x14ac:dyDescent="0.25"/>
    <row r="173594" customFormat="1" x14ac:dyDescent="0.25"/>
    <row r="173595" customFormat="1" x14ac:dyDescent="0.25"/>
    <row r="173596" customFormat="1" x14ac:dyDescent="0.25"/>
    <row r="173597" customFormat="1" x14ac:dyDescent="0.25"/>
    <row r="173598" customFormat="1" x14ac:dyDescent="0.25"/>
    <row r="173599" customFormat="1" x14ac:dyDescent="0.25"/>
    <row r="173600" customFormat="1" x14ac:dyDescent="0.25"/>
    <row r="173601" customFormat="1" x14ac:dyDescent="0.25"/>
    <row r="173602" customFormat="1" x14ac:dyDescent="0.25"/>
    <row r="173603" customFormat="1" x14ac:dyDescent="0.25"/>
    <row r="173604" customFormat="1" x14ac:dyDescent="0.25"/>
    <row r="173605" customFormat="1" x14ac:dyDescent="0.25"/>
    <row r="173606" customFormat="1" x14ac:dyDescent="0.25"/>
    <row r="173607" customFormat="1" x14ac:dyDescent="0.25"/>
    <row r="173608" customFormat="1" x14ac:dyDescent="0.25"/>
    <row r="173609" customFormat="1" x14ac:dyDescent="0.25"/>
    <row r="173610" customFormat="1" x14ac:dyDescent="0.25"/>
    <row r="173611" customFormat="1" x14ac:dyDescent="0.25"/>
    <row r="173612" customFormat="1" x14ac:dyDescent="0.25"/>
    <row r="173613" customFormat="1" x14ac:dyDescent="0.25"/>
    <row r="173614" customFormat="1" x14ac:dyDescent="0.25"/>
    <row r="173615" customFormat="1" x14ac:dyDescent="0.25"/>
    <row r="173616" customFormat="1" x14ac:dyDescent="0.25"/>
    <row r="173617" customFormat="1" x14ac:dyDescent="0.25"/>
    <row r="173618" customFormat="1" x14ac:dyDescent="0.25"/>
    <row r="173619" customFormat="1" x14ac:dyDescent="0.25"/>
    <row r="173620" customFormat="1" x14ac:dyDescent="0.25"/>
    <row r="173621" customFormat="1" x14ac:dyDescent="0.25"/>
    <row r="173622" customFormat="1" x14ac:dyDescent="0.25"/>
    <row r="173623" customFormat="1" x14ac:dyDescent="0.25"/>
    <row r="173624" customFormat="1" x14ac:dyDescent="0.25"/>
    <row r="173625" customFormat="1" x14ac:dyDescent="0.25"/>
    <row r="173626" customFormat="1" x14ac:dyDescent="0.25"/>
    <row r="173627" customFormat="1" x14ac:dyDescent="0.25"/>
    <row r="173628" customFormat="1" x14ac:dyDescent="0.25"/>
    <row r="173629" customFormat="1" x14ac:dyDescent="0.25"/>
    <row r="173630" customFormat="1" x14ac:dyDescent="0.25"/>
    <row r="173631" customFormat="1" x14ac:dyDescent="0.25"/>
    <row r="173632" customFormat="1" x14ac:dyDescent="0.25"/>
    <row r="173633" customFormat="1" x14ac:dyDescent="0.25"/>
    <row r="173634" customFormat="1" x14ac:dyDescent="0.25"/>
    <row r="173635" customFormat="1" x14ac:dyDescent="0.25"/>
    <row r="173636" customFormat="1" x14ac:dyDescent="0.25"/>
    <row r="173637" customFormat="1" x14ac:dyDescent="0.25"/>
    <row r="173638" customFormat="1" x14ac:dyDescent="0.25"/>
    <row r="173639" customFormat="1" x14ac:dyDescent="0.25"/>
    <row r="173640" customFormat="1" x14ac:dyDescent="0.25"/>
    <row r="173641" customFormat="1" x14ac:dyDescent="0.25"/>
    <row r="173642" customFormat="1" x14ac:dyDescent="0.25"/>
    <row r="173643" customFormat="1" x14ac:dyDescent="0.25"/>
    <row r="173644" customFormat="1" x14ac:dyDescent="0.25"/>
    <row r="173645" customFormat="1" x14ac:dyDescent="0.25"/>
    <row r="173646" customFormat="1" x14ac:dyDescent="0.25"/>
    <row r="173647" customFormat="1" x14ac:dyDescent="0.25"/>
    <row r="173648" customFormat="1" x14ac:dyDescent="0.25"/>
    <row r="173649" customFormat="1" x14ac:dyDescent="0.25"/>
    <row r="173650" customFormat="1" x14ac:dyDescent="0.25"/>
    <row r="173651" customFormat="1" x14ac:dyDescent="0.25"/>
    <row r="173652" customFormat="1" x14ac:dyDescent="0.25"/>
    <row r="173653" customFormat="1" x14ac:dyDescent="0.25"/>
    <row r="173654" customFormat="1" x14ac:dyDescent="0.25"/>
    <row r="173655" customFormat="1" x14ac:dyDescent="0.25"/>
    <row r="173656" customFormat="1" x14ac:dyDescent="0.25"/>
    <row r="173657" customFormat="1" x14ac:dyDescent="0.25"/>
    <row r="173658" customFormat="1" x14ac:dyDescent="0.25"/>
    <row r="173659" customFormat="1" x14ac:dyDescent="0.25"/>
    <row r="173660" customFormat="1" x14ac:dyDescent="0.25"/>
    <row r="173661" customFormat="1" x14ac:dyDescent="0.25"/>
    <row r="173662" customFormat="1" x14ac:dyDescent="0.25"/>
    <row r="173663" customFormat="1" x14ac:dyDescent="0.25"/>
    <row r="173664" customFormat="1" x14ac:dyDescent="0.25"/>
    <row r="173665" customFormat="1" x14ac:dyDescent="0.25"/>
    <row r="173666" customFormat="1" x14ac:dyDescent="0.25"/>
    <row r="173667" customFormat="1" x14ac:dyDescent="0.25"/>
    <row r="173668" customFormat="1" x14ac:dyDescent="0.25"/>
    <row r="173669" customFormat="1" x14ac:dyDescent="0.25"/>
    <row r="173670" customFormat="1" x14ac:dyDescent="0.25"/>
    <row r="173671" customFormat="1" x14ac:dyDescent="0.25"/>
    <row r="173672" customFormat="1" x14ac:dyDescent="0.25"/>
    <row r="173673" customFormat="1" x14ac:dyDescent="0.25"/>
    <row r="173674" customFormat="1" x14ac:dyDescent="0.25"/>
    <row r="173675" customFormat="1" x14ac:dyDescent="0.25"/>
    <row r="173676" customFormat="1" x14ac:dyDescent="0.25"/>
    <row r="173677" customFormat="1" x14ac:dyDescent="0.25"/>
    <row r="173678" customFormat="1" x14ac:dyDescent="0.25"/>
    <row r="173679" customFormat="1" x14ac:dyDescent="0.25"/>
    <row r="173680" customFormat="1" x14ac:dyDescent="0.25"/>
    <row r="173681" customFormat="1" x14ac:dyDescent="0.25"/>
    <row r="173682" customFormat="1" x14ac:dyDescent="0.25"/>
    <row r="173683" customFormat="1" x14ac:dyDescent="0.25"/>
    <row r="173684" customFormat="1" x14ac:dyDescent="0.25"/>
    <row r="173685" customFormat="1" x14ac:dyDescent="0.25"/>
    <row r="173686" customFormat="1" x14ac:dyDescent="0.25"/>
    <row r="173687" customFormat="1" x14ac:dyDescent="0.25"/>
    <row r="173688" customFormat="1" x14ac:dyDescent="0.25"/>
    <row r="173689" customFormat="1" x14ac:dyDescent="0.25"/>
    <row r="173690" customFormat="1" x14ac:dyDescent="0.25"/>
    <row r="173691" customFormat="1" x14ac:dyDescent="0.25"/>
    <row r="173692" customFormat="1" x14ac:dyDescent="0.25"/>
    <row r="173693" customFormat="1" x14ac:dyDescent="0.25"/>
    <row r="173694" customFormat="1" x14ac:dyDescent="0.25"/>
    <row r="173695" customFormat="1" x14ac:dyDescent="0.25"/>
    <row r="173696" customFormat="1" x14ac:dyDescent="0.25"/>
    <row r="173697" customFormat="1" x14ac:dyDescent="0.25"/>
    <row r="173698" customFormat="1" x14ac:dyDescent="0.25"/>
    <row r="173699" customFormat="1" x14ac:dyDescent="0.25"/>
    <row r="173700" customFormat="1" x14ac:dyDescent="0.25"/>
    <row r="173701" customFormat="1" x14ac:dyDescent="0.25"/>
    <row r="173702" customFormat="1" x14ac:dyDescent="0.25"/>
    <row r="173703" customFormat="1" x14ac:dyDescent="0.25"/>
    <row r="173704" customFormat="1" x14ac:dyDescent="0.25"/>
    <row r="173705" customFormat="1" x14ac:dyDescent="0.25"/>
    <row r="173706" customFormat="1" x14ac:dyDescent="0.25"/>
    <row r="173707" customFormat="1" x14ac:dyDescent="0.25"/>
    <row r="173708" customFormat="1" x14ac:dyDescent="0.25"/>
    <row r="173709" customFormat="1" x14ac:dyDescent="0.25"/>
    <row r="173710" customFormat="1" x14ac:dyDescent="0.25"/>
    <row r="173711" customFormat="1" x14ac:dyDescent="0.25"/>
    <row r="173712" customFormat="1" x14ac:dyDescent="0.25"/>
    <row r="173713" customFormat="1" x14ac:dyDescent="0.25"/>
    <row r="173714" customFormat="1" x14ac:dyDescent="0.25"/>
    <row r="173715" customFormat="1" x14ac:dyDescent="0.25"/>
    <row r="173716" customFormat="1" x14ac:dyDescent="0.25"/>
    <row r="173717" customFormat="1" x14ac:dyDescent="0.25"/>
    <row r="173718" customFormat="1" x14ac:dyDescent="0.25"/>
    <row r="173719" customFormat="1" x14ac:dyDescent="0.25"/>
    <row r="173720" customFormat="1" x14ac:dyDescent="0.25"/>
    <row r="173721" customFormat="1" x14ac:dyDescent="0.25"/>
    <row r="173722" customFormat="1" x14ac:dyDescent="0.25"/>
    <row r="173723" customFormat="1" x14ac:dyDescent="0.25"/>
    <row r="173724" customFormat="1" x14ac:dyDescent="0.25"/>
    <row r="173725" customFormat="1" x14ac:dyDescent="0.25"/>
    <row r="173726" customFormat="1" x14ac:dyDescent="0.25"/>
    <row r="173727" customFormat="1" x14ac:dyDescent="0.25"/>
    <row r="173728" customFormat="1" x14ac:dyDescent="0.25"/>
    <row r="173729" customFormat="1" x14ac:dyDescent="0.25"/>
    <row r="173730" customFormat="1" x14ac:dyDescent="0.25"/>
    <row r="173731" customFormat="1" x14ac:dyDescent="0.25"/>
    <row r="173732" customFormat="1" x14ac:dyDescent="0.25"/>
    <row r="173733" customFormat="1" x14ac:dyDescent="0.25"/>
    <row r="173734" customFormat="1" x14ac:dyDescent="0.25"/>
    <row r="173735" customFormat="1" x14ac:dyDescent="0.25"/>
    <row r="173736" customFormat="1" x14ac:dyDescent="0.25"/>
    <row r="173737" customFormat="1" x14ac:dyDescent="0.25"/>
    <row r="173738" customFormat="1" x14ac:dyDescent="0.25"/>
    <row r="173739" customFormat="1" x14ac:dyDescent="0.25"/>
    <row r="173740" customFormat="1" x14ac:dyDescent="0.25"/>
    <row r="173741" customFormat="1" x14ac:dyDescent="0.25"/>
    <row r="173742" customFormat="1" x14ac:dyDescent="0.25"/>
    <row r="173743" customFormat="1" x14ac:dyDescent="0.25"/>
    <row r="173744" customFormat="1" x14ac:dyDescent="0.25"/>
    <row r="173745" customFormat="1" x14ac:dyDescent="0.25"/>
    <row r="173746" customFormat="1" x14ac:dyDescent="0.25"/>
    <row r="173747" customFormat="1" x14ac:dyDescent="0.25"/>
    <row r="173748" customFormat="1" x14ac:dyDescent="0.25"/>
    <row r="173749" customFormat="1" x14ac:dyDescent="0.25"/>
    <row r="173750" customFormat="1" x14ac:dyDescent="0.25"/>
    <row r="173751" customFormat="1" x14ac:dyDescent="0.25"/>
    <row r="173752" customFormat="1" x14ac:dyDescent="0.25"/>
    <row r="173753" customFormat="1" x14ac:dyDescent="0.25"/>
    <row r="173754" customFormat="1" x14ac:dyDescent="0.25"/>
    <row r="173755" customFormat="1" x14ac:dyDescent="0.25"/>
    <row r="173756" customFormat="1" x14ac:dyDescent="0.25"/>
    <row r="173757" customFormat="1" x14ac:dyDescent="0.25"/>
    <row r="173758" customFormat="1" x14ac:dyDescent="0.25"/>
    <row r="173759" customFormat="1" x14ac:dyDescent="0.25"/>
    <row r="173760" customFormat="1" x14ac:dyDescent="0.25"/>
    <row r="173761" customFormat="1" x14ac:dyDescent="0.25"/>
    <row r="173762" customFormat="1" x14ac:dyDescent="0.25"/>
    <row r="173763" customFormat="1" x14ac:dyDescent="0.25"/>
    <row r="173764" customFormat="1" x14ac:dyDescent="0.25"/>
    <row r="173765" customFormat="1" x14ac:dyDescent="0.25"/>
    <row r="173766" customFormat="1" x14ac:dyDescent="0.25"/>
    <row r="173767" customFormat="1" x14ac:dyDescent="0.25"/>
    <row r="173768" customFormat="1" x14ac:dyDescent="0.25"/>
    <row r="173769" customFormat="1" x14ac:dyDescent="0.25"/>
    <row r="173770" customFormat="1" x14ac:dyDescent="0.25"/>
    <row r="173771" customFormat="1" x14ac:dyDescent="0.25"/>
    <row r="173772" customFormat="1" x14ac:dyDescent="0.25"/>
    <row r="173773" customFormat="1" x14ac:dyDescent="0.25"/>
    <row r="173774" customFormat="1" x14ac:dyDescent="0.25"/>
    <row r="173775" customFormat="1" x14ac:dyDescent="0.25"/>
    <row r="173776" customFormat="1" x14ac:dyDescent="0.25"/>
    <row r="173777" customFormat="1" x14ac:dyDescent="0.25"/>
    <row r="173778" customFormat="1" x14ac:dyDescent="0.25"/>
    <row r="173779" customFormat="1" x14ac:dyDescent="0.25"/>
    <row r="173780" customFormat="1" x14ac:dyDescent="0.25"/>
    <row r="173781" customFormat="1" x14ac:dyDescent="0.25"/>
    <row r="173782" customFormat="1" x14ac:dyDescent="0.25"/>
    <row r="173783" customFormat="1" x14ac:dyDescent="0.25"/>
    <row r="173784" customFormat="1" x14ac:dyDescent="0.25"/>
    <row r="173785" customFormat="1" x14ac:dyDescent="0.25"/>
    <row r="173786" customFormat="1" x14ac:dyDescent="0.25"/>
    <row r="173787" customFormat="1" x14ac:dyDescent="0.25"/>
    <row r="173788" customFormat="1" x14ac:dyDescent="0.25"/>
    <row r="173789" customFormat="1" x14ac:dyDescent="0.25"/>
    <row r="173790" customFormat="1" x14ac:dyDescent="0.25"/>
    <row r="173791" customFormat="1" x14ac:dyDescent="0.25"/>
    <row r="173792" customFormat="1" x14ac:dyDescent="0.25"/>
    <row r="173793" customFormat="1" x14ac:dyDescent="0.25"/>
    <row r="173794" customFormat="1" x14ac:dyDescent="0.25"/>
    <row r="173795" customFormat="1" x14ac:dyDescent="0.25"/>
    <row r="173796" customFormat="1" x14ac:dyDescent="0.25"/>
    <row r="173797" customFormat="1" x14ac:dyDescent="0.25"/>
    <row r="173798" customFormat="1" x14ac:dyDescent="0.25"/>
    <row r="173799" customFormat="1" x14ac:dyDescent="0.25"/>
    <row r="173800" customFormat="1" x14ac:dyDescent="0.25"/>
    <row r="173801" customFormat="1" x14ac:dyDescent="0.25"/>
    <row r="173802" customFormat="1" x14ac:dyDescent="0.25"/>
    <row r="173803" customFormat="1" x14ac:dyDescent="0.25"/>
    <row r="173804" customFormat="1" x14ac:dyDescent="0.25"/>
    <row r="173805" customFormat="1" x14ac:dyDescent="0.25"/>
    <row r="173806" customFormat="1" x14ac:dyDescent="0.25"/>
    <row r="173807" customFormat="1" x14ac:dyDescent="0.25"/>
    <row r="173808" customFormat="1" x14ac:dyDescent="0.25"/>
    <row r="173809" customFormat="1" x14ac:dyDescent="0.25"/>
    <row r="173810" customFormat="1" x14ac:dyDescent="0.25"/>
    <row r="173811" customFormat="1" x14ac:dyDescent="0.25"/>
    <row r="173812" customFormat="1" x14ac:dyDescent="0.25"/>
    <row r="173813" customFormat="1" x14ac:dyDescent="0.25"/>
    <row r="173814" customFormat="1" x14ac:dyDescent="0.25"/>
    <row r="173815" customFormat="1" x14ac:dyDescent="0.25"/>
    <row r="173816" customFormat="1" x14ac:dyDescent="0.25"/>
    <row r="173817" customFormat="1" x14ac:dyDescent="0.25"/>
    <row r="173818" customFormat="1" x14ac:dyDescent="0.25"/>
    <row r="173819" customFormat="1" x14ac:dyDescent="0.25"/>
    <row r="173820" customFormat="1" x14ac:dyDescent="0.25"/>
    <row r="173821" customFormat="1" x14ac:dyDescent="0.25"/>
    <row r="173822" customFormat="1" x14ac:dyDescent="0.25"/>
    <row r="173823" customFormat="1" x14ac:dyDescent="0.25"/>
    <row r="173824" customFormat="1" x14ac:dyDescent="0.25"/>
    <row r="173825" customFormat="1" x14ac:dyDescent="0.25"/>
    <row r="173826" customFormat="1" x14ac:dyDescent="0.25"/>
    <row r="173827" customFormat="1" x14ac:dyDescent="0.25"/>
    <row r="173828" customFormat="1" x14ac:dyDescent="0.25"/>
    <row r="173829" customFormat="1" x14ac:dyDescent="0.25"/>
    <row r="173830" customFormat="1" x14ac:dyDescent="0.25"/>
    <row r="173831" customFormat="1" x14ac:dyDescent="0.25"/>
    <row r="173832" customFormat="1" x14ac:dyDescent="0.25"/>
    <row r="173833" customFormat="1" x14ac:dyDescent="0.25"/>
    <row r="173834" customFormat="1" x14ac:dyDescent="0.25"/>
    <row r="173835" customFormat="1" x14ac:dyDescent="0.25"/>
    <row r="173836" customFormat="1" x14ac:dyDescent="0.25"/>
    <row r="173837" customFormat="1" x14ac:dyDescent="0.25"/>
    <row r="173838" customFormat="1" x14ac:dyDescent="0.25"/>
    <row r="173839" customFormat="1" x14ac:dyDescent="0.25"/>
    <row r="173840" customFormat="1" x14ac:dyDescent="0.25"/>
    <row r="173841" customFormat="1" x14ac:dyDescent="0.25"/>
    <row r="173842" customFormat="1" x14ac:dyDescent="0.25"/>
    <row r="173843" customFormat="1" x14ac:dyDescent="0.25"/>
    <row r="173844" customFormat="1" x14ac:dyDescent="0.25"/>
    <row r="173845" customFormat="1" x14ac:dyDescent="0.25"/>
    <row r="173846" customFormat="1" x14ac:dyDescent="0.25"/>
    <row r="173847" customFormat="1" x14ac:dyDescent="0.25"/>
    <row r="173848" customFormat="1" x14ac:dyDescent="0.25"/>
    <row r="173849" customFormat="1" x14ac:dyDescent="0.25"/>
    <row r="173850" customFormat="1" x14ac:dyDescent="0.25"/>
    <row r="173851" customFormat="1" x14ac:dyDescent="0.25"/>
    <row r="173852" customFormat="1" x14ac:dyDescent="0.25"/>
    <row r="173853" customFormat="1" x14ac:dyDescent="0.25"/>
    <row r="173854" customFormat="1" x14ac:dyDescent="0.25"/>
    <row r="173855" customFormat="1" x14ac:dyDescent="0.25"/>
    <row r="173856" customFormat="1" x14ac:dyDescent="0.25"/>
    <row r="173857" customFormat="1" x14ac:dyDescent="0.25"/>
    <row r="173858" customFormat="1" x14ac:dyDescent="0.25"/>
    <row r="173859" customFormat="1" x14ac:dyDescent="0.25"/>
    <row r="173860" customFormat="1" x14ac:dyDescent="0.25"/>
    <row r="173861" customFormat="1" x14ac:dyDescent="0.25"/>
    <row r="173862" customFormat="1" x14ac:dyDescent="0.25"/>
    <row r="173863" customFormat="1" x14ac:dyDescent="0.25"/>
    <row r="173864" customFormat="1" x14ac:dyDescent="0.25"/>
    <row r="173865" customFormat="1" x14ac:dyDescent="0.25"/>
    <row r="173866" customFormat="1" x14ac:dyDescent="0.25"/>
    <row r="173867" customFormat="1" x14ac:dyDescent="0.25"/>
    <row r="173868" customFormat="1" x14ac:dyDescent="0.25"/>
    <row r="173869" customFormat="1" x14ac:dyDescent="0.25"/>
    <row r="173870" customFormat="1" x14ac:dyDescent="0.25"/>
    <row r="173871" customFormat="1" x14ac:dyDescent="0.25"/>
    <row r="173872" customFormat="1" x14ac:dyDescent="0.25"/>
    <row r="173873" customFormat="1" x14ac:dyDescent="0.25"/>
    <row r="173874" customFormat="1" x14ac:dyDescent="0.25"/>
    <row r="173875" customFormat="1" x14ac:dyDescent="0.25"/>
    <row r="173876" customFormat="1" x14ac:dyDescent="0.25"/>
    <row r="173877" customFormat="1" x14ac:dyDescent="0.25"/>
    <row r="173878" customFormat="1" x14ac:dyDescent="0.25"/>
    <row r="173879" customFormat="1" x14ac:dyDescent="0.25"/>
    <row r="173880" customFormat="1" x14ac:dyDescent="0.25"/>
    <row r="173881" customFormat="1" x14ac:dyDescent="0.25"/>
    <row r="173882" customFormat="1" x14ac:dyDescent="0.25"/>
    <row r="173883" customFormat="1" x14ac:dyDescent="0.25"/>
    <row r="173884" customFormat="1" x14ac:dyDescent="0.25"/>
    <row r="173885" customFormat="1" x14ac:dyDescent="0.25"/>
    <row r="173886" customFormat="1" x14ac:dyDescent="0.25"/>
    <row r="173887" customFormat="1" x14ac:dyDescent="0.25"/>
    <row r="173888" customFormat="1" x14ac:dyDescent="0.25"/>
    <row r="173889" customFormat="1" x14ac:dyDescent="0.25"/>
    <row r="173890" customFormat="1" x14ac:dyDescent="0.25"/>
    <row r="173891" customFormat="1" x14ac:dyDescent="0.25"/>
    <row r="173892" customFormat="1" x14ac:dyDescent="0.25"/>
    <row r="173893" customFormat="1" x14ac:dyDescent="0.25"/>
    <row r="173894" customFormat="1" x14ac:dyDescent="0.25"/>
    <row r="173895" customFormat="1" x14ac:dyDescent="0.25"/>
    <row r="173896" customFormat="1" x14ac:dyDescent="0.25"/>
    <row r="173897" customFormat="1" x14ac:dyDescent="0.25"/>
    <row r="173898" customFormat="1" x14ac:dyDescent="0.25"/>
    <row r="173899" customFormat="1" x14ac:dyDescent="0.25"/>
    <row r="173900" customFormat="1" x14ac:dyDescent="0.25"/>
    <row r="173901" customFormat="1" x14ac:dyDescent="0.25"/>
    <row r="173902" customFormat="1" x14ac:dyDescent="0.25"/>
    <row r="173903" customFormat="1" x14ac:dyDescent="0.25"/>
    <row r="173904" customFormat="1" x14ac:dyDescent="0.25"/>
    <row r="173905" customFormat="1" x14ac:dyDescent="0.25"/>
    <row r="173906" customFormat="1" x14ac:dyDescent="0.25"/>
    <row r="173907" customFormat="1" x14ac:dyDescent="0.25"/>
    <row r="173908" customFormat="1" x14ac:dyDescent="0.25"/>
    <row r="173909" customFormat="1" x14ac:dyDescent="0.25"/>
    <row r="173910" customFormat="1" x14ac:dyDescent="0.25"/>
    <row r="173911" customFormat="1" x14ac:dyDescent="0.25"/>
    <row r="173912" customFormat="1" x14ac:dyDescent="0.25"/>
    <row r="173913" customFormat="1" x14ac:dyDescent="0.25"/>
    <row r="173914" customFormat="1" x14ac:dyDescent="0.25"/>
    <row r="173915" customFormat="1" x14ac:dyDescent="0.25"/>
    <row r="173916" customFormat="1" x14ac:dyDescent="0.25"/>
    <row r="173917" customFormat="1" x14ac:dyDescent="0.25"/>
    <row r="173918" customFormat="1" x14ac:dyDescent="0.25"/>
    <row r="173919" customFormat="1" x14ac:dyDescent="0.25"/>
    <row r="173920" customFormat="1" x14ac:dyDescent="0.25"/>
    <row r="173921" customFormat="1" x14ac:dyDescent="0.25"/>
    <row r="173922" customFormat="1" x14ac:dyDescent="0.25"/>
    <row r="173923" customFormat="1" x14ac:dyDescent="0.25"/>
    <row r="173924" customFormat="1" x14ac:dyDescent="0.25"/>
    <row r="173925" customFormat="1" x14ac:dyDescent="0.25"/>
    <row r="173926" customFormat="1" x14ac:dyDescent="0.25"/>
    <row r="173927" customFormat="1" x14ac:dyDescent="0.25"/>
    <row r="173928" customFormat="1" x14ac:dyDescent="0.25"/>
    <row r="173929" customFormat="1" x14ac:dyDescent="0.25"/>
    <row r="173930" customFormat="1" x14ac:dyDescent="0.25"/>
    <row r="173931" customFormat="1" x14ac:dyDescent="0.25"/>
    <row r="173932" customFormat="1" x14ac:dyDescent="0.25"/>
    <row r="173933" customFormat="1" x14ac:dyDescent="0.25"/>
    <row r="173934" customFormat="1" x14ac:dyDescent="0.25"/>
    <row r="173935" customFormat="1" x14ac:dyDescent="0.25"/>
    <row r="173936" customFormat="1" x14ac:dyDescent="0.25"/>
    <row r="173937" customFormat="1" x14ac:dyDescent="0.25"/>
    <row r="173938" customFormat="1" x14ac:dyDescent="0.25"/>
    <row r="173939" customFormat="1" x14ac:dyDescent="0.25"/>
    <row r="173940" customFormat="1" x14ac:dyDescent="0.25"/>
    <row r="173941" customFormat="1" x14ac:dyDescent="0.25"/>
    <row r="173942" customFormat="1" x14ac:dyDescent="0.25"/>
    <row r="173943" customFormat="1" x14ac:dyDescent="0.25"/>
    <row r="173944" customFormat="1" x14ac:dyDescent="0.25"/>
    <row r="173945" customFormat="1" x14ac:dyDescent="0.25"/>
    <row r="173946" customFormat="1" x14ac:dyDescent="0.25"/>
    <row r="173947" customFormat="1" x14ac:dyDescent="0.25"/>
    <row r="173948" customFormat="1" x14ac:dyDescent="0.25"/>
    <row r="173949" customFormat="1" x14ac:dyDescent="0.25"/>
    <row r="173950" customFormat="1" x14ac:dyDescent="0.25"/>
    <row r="173951" customFormat="1" x14ac:dyDescent="0.25"/>
    <row r="173952" customFormat="1" x14ac:dyDescent="0.25"/>
    <row r="173953" customFormat="1" x14ac:dyDescent="0.25"/>
    <row r="173954" customFormat="1" x14ac:dyDescent="0.25"/>
    <row r="173955" customFormat="1" x14ac:dyDescent="0.25"/>
    <row r="173956" customFormat="1" x14ac:dyDescent="0.25"/>
    <row r="173957" customFormat="1" x14ac:dyDescent="0.25"/>
    <row r="173958" customFormat="1" x14ac:dyDescent="0.25"/>
    <row r="173959" customFormat="1" x14ac:dyDescent="0.25"/>
    <row r="173960" customFormat="1" x14ac:dyDescent="0.25"/>
    <row r="173961" customFormat="1" x14ac:dyDescent="0.25"/>
    <row r="173962" customFormat="1" x14ac:dyDescent="0.25"/>
    <row r="173963" customFormat="1" x14ac:dyDescent="0.25"/>
    <row r="173964" customFormat="1" x14ac:dyDescent="0.25"/>
    <row r="173965" customFormat="1" x14ac:dyDescent="0.25"/>
    <row r="173966" customFormat="1" x14ac:dyDescent="0.25"/>
    <row r="173967" customFormat="1" x14ac:dyDescent="0.25"/>
    <row r="173968" customFormat="1" x14ac:dyDescent="0.25"/>
    <row r="173969" customFormat="1" x14ac:dyDescent="0.25"/>
    <row r="173970" customFormat="1" x14ac:dyDescent="0.25"/>
    <row r="173971" customFormat="1" x14ac:dyDescent="0.25"/>
    <row r="173972" customFormat="1" x14ac:dyDescent="0.25"/>
    <row r="173973" customFormat="1" x14ac:dyDescent="0.25"/>
    <row r="173974" customFormat="1" x14ac:dyDescent="0.25"/>
    <row r="173975" customFormat="1" x14ac:dyDescent="0.25"/>
    <row r="173976" customFormat="1" x14ac:dyDescent="0.25"/>
    <row r="173977" customFormat="1" x14ac:dyDescent="0.25"/>
    <row r="173978" customFormat="1" x14ac:dyDescent="0.25"/>
    <row r="173979" customFormat="1" x14ac:dyDescent="0.25"/>
    <row r="173980" customFormat="1" x14ac:dyDescent="0.25"/>
    <row r="173981" customFormat="1" x14ac:dyDescent="0.25"/>
    <row r="173982" customFormat="1" x14ac:dyDescent="0.25"/>
    <row r="173983" customFormat="1" x14ac:dyDescent="0.25"/>
    <row r="173984" customFormat="1" x14ac:dyDescent="0.25"/>
    <row r="173985" customFormat="1" x14ac:dyDescent="0.25"/>
    <row r="173986" customFormat="1" x14ac:dyDescent="0.25"/>
    <row r="173987" customFormat="1" x14ac:dyDescent="0.25"/>
    <row r="173988" customFormat="1" x14ac:dyDescent="0.25"/>
    <row r="173989" customFormat="1" x14ac:dyDescent="0.25"/>
    <row r="173990" customFormat="1" x14ac:dyDescent="0.25"/>
    <row r="173991" customFormat="1" x14ac:dyDescent="0.25"/>
    <row r="173992" customFormat="1" x14ac:dyDescent="0.25"/>
    <row r="173993" customFormat="1" x14ac:dyDescent="0.25"/>
    <row r="173994" customFormat="1" x14ac:dyDescent="0.25"/>
    <row r="173995" customFormat="1" x14ac:dyDescent="0.25"/>
    <row r="173996" customFormat="1" x14ac:dyDescent="0.25"/>
    <row r="173997" customFormat="1" x14ac:dyDescent="0.25"/>
    <row r="173998" customFormat="1" x14ac:dyDescent="0.25"/>
    <row r="173999" customFormat="1" x14ac:dyDescent="0.25"/>
    <row r="174000" customFormat="1" x14ac:dyDescent="0.25"/>
    <row r="174001" customFormat="1" x14ac:dyDescent="0.25"/>
    <row r="174002" customFormat="1" x14ac:dyDescent="0.25"/>
    <row r="174003" customFormat="1" x14ac:dyDescent="0.25"/>
    <row r="174004" customFormat="1" x14ac:dyDescent="0.25"/>
    <row r="174005" customFormat="1" x14ac:dyDescent="0.25"/>
    <row r="174006" customFormat="1" x14ac:dyDescent="0.25"/>
    <row r="174007" customFormat="1" x14ac:dyDescent="0.25"/>
    <row r="174008" customFormat="1" x14ac:dyDescent="0.25"/>
    <row r="174009" customFormat="1" x14ac:dyDescent="0.25"/>
    <row r="174010" customFormat="1" x14ac:dyDescent="0.25"/>
    <row r="174011" customFormat="1" x14ac:dyDescent="0.25"/>
    <row r="174012" customFormat="1" x14ac:dyDescent="0.25"/>
    <row r="174013" customFormat="1" x14ac:dyDescent="0.25"/>
    <row r="174014" customFormat="1" x14ac:dyDescent="0.25"/>
    <row r="174015" customFormat="1" x14ac:dyDescent="0.25"/>
    <row r="174016" customFormat="1" x14ac:dyDescent="0.25"/>
    <row r="174017" customFormat="1" x14ac:dyDescent="0.25"/>
    <row r="174018" customFormat="1" x14ac:dyDescent="0.25"/>
    <row r="174019" customFormat="1" x14ac:dyDescent="0.25"/>
    <row r="174020" customFormat="1" x14ac:dyDescent="0.25"/>
    <row r="174021" customFormat="1" x14ac:dyDescent="0.25"/>
    <row r="174022" customFormat="1" x14ac:dyDescent="0.25"/>
    <row r="174023" customFormat="1" x14ac:dyDescent="0.25"/>
    <row r="174024" customFormat="1" x14ac:dyDescent="0.25"/>
    <row r="174025" customFormat="1" x14ac:dyDescent="0.25"/>
    <row r="174026" customFormat="1" x14ac:dyDescent="0.25"/>
    <row r="174027" customFormat="1" x14ac:dyDescent="0.25"/>
    <row r="174028" customFormat="1" x14ac:dyDescent="0.25"/>
    <row r="174029" customFormat="1" x14ac:dyDescent="0.25"/>
    <row r="174030" customFormat="1" x14ac:dyDescent="0.25"/>
    <row r="174031" customFormat="1" x14ac:dyDescent="0.25"/>
    <row r="174032" customFormat="1" x14ac:dyDescent="0.25"/>
    <row r="174033" customFormat="1" x14ac:dyDescent="0.25"/>
    <row r="174034" customFormat="1" x14ac:dyDescent="0.25"/>
    <row r="174035" customFormat="1" x14ac:dyDescent="0.25"/>
    <row r="174036" customFormat="1" x14ac:dyDescent="0.25"/>
    <row r="174037" customFormat="1" x14ac:dyDescent="0.25"/>
    <row r="174038" customFormat="1" x14ac:dyDescent="0.25"/>
    <row r="174039" customFormat="1" x14ac:dyDescent="0.25"/>
    <row r="174040" customFormat="1" x14ac:dyDescent="0.25"/>
    <row r="174041" customFormat="1" x14ac:dyDescent="0.25"/>
    <row r="174042" customFormat="1" x14ac:dyDescent="0.25"/>
    <row r="174043" customFormat="1" x14ac:dyDescent="0.25"/>
    <row r="174044" customFormat="1" x14ac:dyDescent="0.25"/>
    <row r="174045" customFormat="1" x14ac:dyDescent="0.25"/>
    <row r="174046" customFormat="1" x14ac:dyDescent="0.25"/>
    <row r="174047" customFormat="1" x14ac:dyDescent="0.25"/>
    <row r="174048" customFormat="1" x14ac:dyDescent="0.25"/>
    <row r="174049" customFormat="1" x14ac:dyDescent="0.25"/>
    <row r="174050" customFormat="1" x14ac:dyDescent="0.25"/>
    <row r="174051" customFormat="1" x14ac:dyDescent="0.25"/>
    <row r="174052" customFormat="1" x14ac:dyDescent="0.25"/>
    <row r="174053" customFormat="1" x14ac:dyDescent="0.25"/>
    <row r="174054" customFormat="1" x14ac:dyDescent="0.25"/>
    <row r="174055" customFormat="1" x14ac:dyDescent="0.25"/>
    <row r="174056" customFormat="1" x14ac:dyDescent="0.25"/>
    <row r="174057" customFormat="1" x14ac:dyDescent="0.25"/>
    <row r="174058" customFormat="1" x14ac:dyDescent="0.25"/>
    <row r="174059" customFormat="1" x14ac:dyDescent="0.25"/>
    <row r="174060" customFormat="1" x14ac:dyDescent="0.25"/>
    <row r="174061" customFormat="1" x14ac:dyDescent="0.25"/>
    <row r="174062" customFormat="1" x14ac:dyDescent="0.25"/>
    <row r="174063" customFormat="1" x14ac:dyDescent="0.25"/>
    <row r="174064" customFormat="1" x14ac:dyDescent="0.25"/>
    <row r="174065" customFormat="1" x14ac:dyDescent="0.25"/>
    <row r="174066" customFormat="1" x14ac:dyDescent="0.25"/>
    <row r="174067" customFormat="1" x14ac:dyDescent="0.25"/>
    <row r="174068" customFormat="1" x14ac:dyDescent="0.25"/>
    <row r="174069" customFormat="1" x14ac:dyDescent="0.25"/>
    <row r="174070" customFormat="1" x14ac:dyDescent="0.25"/>
    <row r="174071" customFormat="1" x14ac:dyDescent="0.25"/>
    <row r="174072" customFormat="1" x14ac:dyDescent="0.25"/>
    <row r="174073" customFormat="1" x14ac:dyDescent="0.25"/>
    <row r="174074" customFormat="1" x14ac:dyDescent="0.25"/>
    <row r="174075" customFormat="1" x14ac:dyDescent="0.25"/>
    <row r="174076" customFormat="1" x14ac:dyDescent="0.25"/>
    <row r="174077" customFormat="1" x14ac:dyDescent="0.25"/>
    <row r="174078" customFormat="1" x14ac:dyDescent="0.25"/>
    <row r="174079" customFormat="1" x14ac:dyDescent="0.25"/>
    <row r="174080" customFormat="1" x14ac:dyDescent="0.25"/>
    <row r="174081" customFormat="1" x14ac:dyDescent="0.25"/>
    <row r="174082" customFormat="1" x14ac:dyDescent="0.25"/>
    <row r="174083" customFormat="1" x14ac:dyDescent="0.25"/>
    <row r="174084" customFormat="1" x14ac:dyDescent="0.25"/>
    <row r="174085" customFormat="1" x14ac:dyDescent="0.25"/>
    <row r="174086" customFormat="1" x14ac:dyDescent="0.25"/>
    <row r="174087" customFormat="1" x14ac:dyDescent="0.25"/>
    <row r="174088" customFormat="1" x14ac:dyDescent="0.25"/>
    <row r="174089" customFormat="1" x14ac:dyDescent="0.25"/>
    <row r="174090" customFormat="1" x14ac:dyDescent="0.25"/>
    <row r="174091" customFormat="1" x14ac:dyDescent="0.25"/>
    <row r="174092" customFormat="1" x14ac:dyDescent="0.25"/>
    <row r="174093" customFormat="1" x14ac:dyDescent="0.25"/>
    <row r="174094" customFormat="1" x14ac:dyDescent="0.25"/>
    <row r="174095" customFormat="1" x14ac:dyDescent="0.25"/>
    <row r="174096" customFormat="1" x14ac:dyDescent="0.25"/>
    <row r="174097" customFormat="1" x14ac:dyDescent="0.25"/>
    <row r="174098" customFormat="1" x14ac:dyDescent="0.25"/>
    <row r="174099" customFormat="1" x14ac:dyDescent="0.25"/>
    <row r="174100" customFormat="1" x14ac:dyDescent="0.25"/>
    <row r="174101" customFormat="1" x14ac:dyDescent="0.25"/>
    <row r="174102" customFormat="1" x14ac:dyDescent="0.25"/>
    <row r="174103" customFormat="1" x14ac:dyDescent="0.25"/>
    <row r="174104" customFormat="1" x14ac:dyDescent="0.25"/>
    <row r="174105" customFormat="1" x14ac:dyDescent="0.25"/>
    <row r="174106" customFormat="1" x14ac:dyDescent="0.25"/>
    <row r="174107" customFormat="1" x14ac:dyDescent="0.25"/>
    <row r="174108" customFormat="1" x14ac:dyDescent="0.25"/>
    <row r="174109" customFormat="1" x14ac:dyDescent="0.25"/>
    <row r="174110" customFormat="1" x14ac:dyDescent="0.25"/>
    <row r="174111" customFormat="1" x14ac:dyDescent="0.25"/>
    <row r="174112" customFormat="1" x14ac:dyDescent="0.25"/>
    <row r="174113" customFormat="1" x14ac:dyDescent="0.25"/>
    <row r="174114" customFormat="1" x14ac:dyDescent="0.25"/>
    <row r="174115" customFormat="1" x14ac:dyDescent="0.25"/>
    <row r="174116" customFormat="1" x14ac:dyDescent="0.25"/>
    <row r="174117" customFormat="1" x14ac:dyDescent="0.25"/>
    <row r="174118" customFormat="1" x14ac:dyDescent="0.25"/>
    <row r="174119" customFormat="1" x14ac:dyDescent="0.25"/>
    <row r="174120" customFormat="1" x14ac:dyDescent="0.25"/>
    <row r="174121" customFormat="1" x14ac:dyDescent="0.25"/>
    <row r="174122" customFormat="1" x14ac:dyDescent="0.25"/>
    <row r="174123" customFormat="1" x14ac:dyDescent="0.25"/>
    <row r="174124" customFormat="1" x14ac:dyDescent="0.25"/>
    <row r="174125" customFormat="1" x14ac:dyDescent="0.25"/>
    <row r="174126" customFormat="1" x14ac:dyDescent="0.25"/>
    <row r="174127" customFormat="1" x14ac:dyDescent="0.25"/>
    <row r="174128" customFormat="1" x14ac:dyDescent="0.25"/>
    <row r="174129" customFormat="1" x14ac:dyDescent="0.25"/>
    <row r="174130" customFormat="1" x14ac:dyDescent="0.25"/>
    <row r="174131" customFormat="1" x14ac:dyDescent="0.25"/>
    <row r="174132" customFormat="1" x14ac:dyDescent="0.25"/>
    <row r="174133" customFormat="1" x14ac:dyDescent="0.25"/>
    <row r="174134" customFormat="1" x14ac:dyDescent="0.25"/>
    <row r="174135" customFormat="1" x14ac:dyDescent="0.25"/>
    <row r="174136" customFormat="1" x14ac:dyDescent="0.25"/>
    <row r="174137" customFormat="1" x14ac:dyDescent="0.25"/>
    <row r="174138" customFormat="1" x14ac:dyDescent="0.25"/>
    <row r="174139" customFormat="1" x14ac:dyDescent="0.25"/>
    <row r="174140" customFormat="1" x14ac:dyDescent="0.25"/>
    <row r="174141" customFormat="1" x14ac:dyDescent="0.25"/>
    <row r="174142" customFormat="1" x14ac:dyDescent="0.25"/>
    <row r="174143" customFormat="1" x14ac:dyDescent="0.25"/>
    <row r="174144" customFormat="1" x14ac:dyDescent="0.25"/>
    <row r="174145" customFormat="1" x14ac:dyDescent="0.25"/>
    <row r="174146" customFormat="1" x14ac:dyDescent="0.25"/>
    <row r="174147" customFormat="1" x14ac:dyDescent="0.25"/>
    <row r="174148" customFormat="1" x14ac:dyDescent="0.25"/>
    <row r="174149" customFormat="1" x14ac:dyDescent="0.25"/>
    <row r="174150" customFormat="1" x14ac:dyDescent="0.25"/>
    <row r="174151" customFormat="1" x14ac:dyDescent="0.25"/>
    <row r="174152" customFormat="1" x14ac:dyDescent="0.25"/>
    <row r="174153" customFormat="1" x14ac:dyDescent="0.25"/>
    <row r="174154" customFormat="1" x14ac:dyDescent="0.25"/>
    <row r="174155" customFormat="1" x14ac:dyDescent="0.25"/>
    <row r="174156" customFormat="1" x14ac:dyDescent="0.25"/>
    <row r="174157" customFormat="1" x14ac:dyDescent="0.25"/>
    <row r="174158" customFormat="1" x14ac:dyDescent="0.25"/>
    <row r="174159" customFormat="1" x14ac:dyDescent="0.25"/>
    <row r="174160" customFormat="1" x14ac:dyDescent="0.25"/>
    <row r="174161" customFormat="1" x14ac:dyDescent="0.25"/>
    <row r="174162" customFormat="1" x14ac:dyDescent="0.25"/>
    <row r="174163" customFormat="1" x14ac:dyDescent="0.25"/>
    <row r="174164" customFormat="1" x14ac:dyDescent="0.25"/>
    <row r="174165" customFormat="1" x14ac:dyDescent="0.25"/>
    <row r="174166" customFormat="1" x14ac:dyDescent="0.25"/>
    <row r="174167" customFormat="1" x14ac:dyDescent="0.25"/>
    <row r="174168" customFormat="1" x14ac:dyDescent="0.25"/>
    <row r="174169" customFormat="1" x14ac:dyDescent="0.25"/>
    <row r="174170" customFormat="1" x14ac:dyDescent="0.25"/>
    <row r="174171" customFormat="1" x14ac:dyDescent="0.25"/>
    <row r="174172" customFormat="1" x14ac:dyDescent="0.25"/>
    <row r="174173" customFormat="1" x14ac:dyDescent="0.25"/>
    <row r="174174" customFormat="1" x14ac:dyDescent="0.25"/>
    <row r="174175" customFormat="1" x14ac:dyDescent="0.25"/>
    <row r="174176" customFormat="1" x14ac:dyDescent="0.25"/>
    <row r="174177" customFormat="1" x14ac:dyDescent="0.25"/>
    <row r="174178" customFormat="1" x14ac:dyDescent="0.25"/>
    <row r="174179" customFormat="1" x14ac:dyDescent="0.25"/>
    <row r="174180" customFormat="1" x14ac:dyDescent="0.25"/>
    <row r="174181" customFormat="1" x14ac:dyDescent="0.25"/>
    <row r="174182" customFormat="1" x14ac:dyDescent="0.25"/>
    <row r="174183" customFormat="1" x14ac:dyDescent="0.25"/>
    <row r="174184" customFormat="1" x14ac:dyDescent="0.25"/>
    <row r="174185" customFormat="1" x14ac:dyDescent="0.25"/>
    <row r="174186" customFormat="1" x14ac:dyDescent="0.25"/>
    <row r="174187" customFormat="1" x14ac:dyDescent="0.25"/>
    <row r="174188" customFormat="1" x14ac:dyDescent="0.25"/>
    <row r="174189" customFormat="1" x14ac:dyDescent="0.25"/>
    <row r="174190" customFormat="1" x14ac:dyDescent="0.25"/>
    <row r="174191" customFormat="1" x14ac:dyDescent="0.25"/>
    <row r="174192" customFormat="1" x14ac:dyDescent="0.25"/>
    <row r="174193" customFormat="1" x14ac:dyDescent="0.25"/>
    <row r="174194" customFormat="1" x14ac:dyDescent="0.25"/>
    <row r="174195" customFormat="1" x14ac:dyDescent="0.25"/>
    <row r="174196" customFormat="1" x14ac:dyDescent="0.25"/>
    <row r="174197" customFormat="1" x14ac:dyDescent="0.25"/>
    <row r="174198" customFormat="1" x14ac:dyDescent="0.25"/>
    <row r="174199" customFormat="1" x14ac:dyDescent="0.25"/>
    <row r="174200" customFormat="1" x14ac:dyDescent="0.25"/>
    <row r="174201" customFormat="1" x14ac:dyDescent="0.25"/>
    <row r="174202" customFormat="1" x14ac:dyDescent="0.25"/>
    <row r="174203" customFormat="1" x14ac:dyDescent="0.25"/>
    <row r="174204" customFormat="1" x14ac:dyDescent="0.25"/>
    <row r="174205" customFormat="1" x14ac:dyDescent="0.25"/>
    <row r="174206" customFormat="1" x14ac:dyDescent="0.25"/>
    <row r="174207" customFormat="1" x14ac:dyDescent="0.25"/>
    <row r="174208" customFormat="1" x14ac:dyDescent="0.25"/>
    <row r="174209" customFormat="1" x14ac:dyDescent="0.25"/>
    <row r="174210" customFormat="1" x14ac:dyDescent="0.25"/>
    <row r="174211" customFormat="1" x14ac:dyDescent="0.25"/>
    <row r="174212" customFormat="1" x14ac:dyDescent="0.25"/>
    <row r="174213" customFormat="1" x14ac:dyDescent="0.25"/>
    <row r="174214" customFormat="1" x14ac:dyDescent="0.25"/>
    <row r="174215" customFormat="1" x14ac:dyDescent="0.25"/>
    <row r="174216" customFormat="1" x14ac:dyDescent="0.25"/>
    <row r="174217" customFormat="1" x14ac:dyDescent="0.25"/>
    <row r="174218" customFormat="1" x14ac:dyDescent="0.25"/>
    <row r="174219" customFormat="1" x14ac:dyDescent="0.25"/>
    <row r="174220" customFormat="1" x14ac:dyDescent="0.25"/>
    <row r="174221" customFormat="1" x14ac:dyDescent="0.25"/>
    <row r="174222" customFormat="1" x14ac:dyDescent="0.25"/>
    <row r="174223" customFormat="1" x14ac:dyDescent="0.25"/>
    <row r="174224" customFormat="1" x14ac:dyDescent="0.25"/>
    <row r="174225" customFormat="1" x14ac:dyDescent="0.25"/>
    <row r="174226" customFormat="1" x14ac:dyDescent="0.25"/>
    <row r="174227" customFormat="1" x14ac:dyDescent="0.25"/>
    <row r="174228" customFormat="1" x14ac:dyDescent="0.25"/>
    <row r="174229" customFormat="1" x14ac:dyDescent="0.25"/>
    <row r="174230" customFormat="1" x14ac:dyDescent="0.25"/>
    <row r="174231" customFormat="1" x14ac:dyDescent="0.25"/>
    <row r="174232" customFormat="1" x14ac:dyDescent="0.25"/>
    <row r="174233" customFormat="1" x14ac:dyDescent="0.25"/>
    <row r="174234" customFormat="1" x14ac:dyDescent="0.25"/>
    <row r="174235" customFormat="1" x14ac:dyDescent="0.25"/>
    <row r="174236" customFormat="1" x14ac:dyDescent="0.25"/>
    <row r="174237" customFormat="1" x14ac:dyDescent="0.25"/>
    <row r="174238" customFormat="1" x14ac:dyDescent="0.25"/>
    <row r="174239" customFormat="1" x14ac:dyDescent="0.25"/>
    <row r="174240" customFormat="1" x14ac:dyDescent="0.25"/>
    <row r="174241" customFormat="1" x14ac:dyDescent="0.25"/>
    <row r="174242" customFormat="1" x14ac:dyDescent="0.25"/>
    <row r="174243" customFormat="1" x14ac:dyDescent="0.25"/>
    <row r="174244" customFormat="1" x14ac:dyDescent="0.25"/>
    <row r="174245" customFormat="1" x14ac:dyDescent="0.25"/>
    <row r="174246" customFormat="1" x14ac:dyDescent="0.25"/>
    <row r="174247" customFormat="1" x14ac:dyDescent="0.25"/>
    <row r="174248" customFormat="1" x14ac:dyDescent="0.25"/>
    <row r="174249" customFormat="1" x14ac:dyDescent="0.25"/>
    <row r="174250" customFormat="1" x14ac:dyDescent="0.25"/>
    <row r="174251" customFormat="1" x14ac:dyDescent="0.25"/>
    <row r="174252" customFormat="1" x14ac:dyDescent="0.25"/>
    <row r="174253" customFormat="1" x14ac:dyDescent="0.25"/>
    <row r="174254" customFormat="1" x14ac:dyDescent="0.25"/>
    <row r="174255" customFormat="1" x14ac:dyDescent="0.25"/>
    <row r="174256" customFormat="1" x14ac:dyDescent="0.25"/>
    <row r="174257" customFormat="1" x14ac:dyDescent="0.25"/>
    <row r="174258" customFormat="1" x14ac:dyDescent="0.25"/>
    <row r="174259" customFormat="1" x14ac:dyDescent="0.25"/>
    <row r="174260" customFormat="1" x14ac:dyDescent="0.25"/>
    <row r="174261" customFormat="1" x14ac:dyDescent="0.25"/>
    <row r="174262" customFormat="1" x14ac:dyDescent="0.25"/>
    <row r="174263" customFormat="1" x14ac:dyDescent="0.25"/>
    <row r="174264" customFormat="1" x14ac:dyDescent="0.25"/>
    <row r="174265" customFormat="1" x14ac:dyDescent="0.25"/>
    <row r="174266" customFormat="1" x14ac:dyDescent="0.25"/>
    <row r="174267" customFormat="1" x14ac:dyDescent="0.25"/>
    <row r="174268" customFormat="1" x14ac:dyDescent="0.25"/>
    <row r="174269" customFormat="1" x14ac:dyDescent="0.25"/>
    <row r="174270" customFormat="1" x14ac:dyDescent="0.25"/>
    <row r="174271" customFormat="1" x14ac:dyDescent="0.25"/>
    <row r="174272" customFormat="1" x14ac:dyDescent="0.25"/>
    <row r="174273" customFormat="1" x14ac:dyDescent="0.25"/>
    <row r="174274" customFormat="1" x14ac:dyDescent="0.25"/>
    <row r="174275" customFormat="1" x14ac:dyDescent="0.25"/>
    <row r="174276" customFormat="1" x14ac:dyDescent="0.25"/>
    <row r="174277" customFormat="1" x14ac:dyDescent="0.25"/>
    <row r="174278" customFormat="1" x14ac:dyDescent="0.25"/>
    <row r="174279" customFormat="1" x14ac:dyDescent="0.25"/>
    <row r="174280" customFormat="1" x14ac:dyDescent="0.25"/>
    <row r="174281" customFormat="1" x14ac:dyDescent="0.25"/>
    <row r="174282" customFormat="1" x14ac:dyDescent="0.25"/>
    <row r="174283" customFormat="1" x14ac:dyDescent="0.25"/>
    <row r="174284" customFormat="1" x14ac:dyDescent="0.25"/>
    <row r="174285" customFormat="1" x14ac:dyDescent="0.25"/>
    <row r="174286" customFormat="1" x14ac:dyDescent="0.25"/>
    <row r="174287" customFormat="1" x14ac:dyDescent="0.25"/>
    <row r="174288" customFormat="1" x14ac:dyDescent="0.25"/>
    <row r="174289" customFormat="1" x14ac:dyDescent="0.25"/>
    <row r="174290" customFormat="1" x14ac:dyDescent="0.25"/>
    <row r="174291" customFormat="1" x14ac:dyDescent="0.25"/>
    <row r="174292" customFormat="1" x14ac:dyDescent="0.25"/>
    <row r="174293" customFormat="1" x14ac:dyDescent="0.25"/>
    <row r="174294" customFormat="1" x14ac:dyDescent="0.25"/>
    <row r="174295" customFormat="1" x14ac:dyDescent="0.25"/>
    <row r="174296" customFormat="1" x14ac:dyDescent="0.25"/>
    <row r="174297" customFormat="1" x14ac:dyDescent="0.25"/>
    <row r="174298" customFormat="1" x14ac:dyDescent="0.25"/>
    <row r="174299" customFormat="1" x14ac:dyDescent="0.25"/>
    <row r="174300" customFormat="1" x14ac:dyDescent="0.25"/>
    <row r="174301" customFormat="1" x14ac:dyDescent="0.25"/>
    <row r="174302" customFormat="1" x14ac:dyDescent="0.25"/>
    <row r="174303" customFormat="1" x14ac:dyDescent="0.25"/>
    <row r="174304" customFormat="1" x14ac:dyDescent="0.25"/>
    <row r="174305" customFormat="1" x14ac:dyDescent="0.25"/>
    <row r="174306" customFormat="1" x14ac:dyDescent="0.25"/>
    <row r="174307" customFormat="1" x14ac:dyDescent="0.25"/>
    <row r="174308" customFormat="1" x14ac:dyDescent="0.25"/>
    <row r="174309" customFormat="1" x14ac:dyDescent="0.25"/>
    <row r="174310" customFormat="1" x14ac:dyDescent="0.25"/>
    <row r="174311" customFormat="1" x14ac:dyDescent="0.25"/>
    <row r="174312" customFormat="1" x14ac:dyDescent="0.25"/>
    <row r="174313" customFormat="1" x14ac:dyDescent="0.25"/>
    <row r="174314" customFormat="1" x14ac:dyDescent="0.25"/>
    <row r="174315" customFormat="1" x14ac:dyDescent="0.25"/>
    <row r="174316" customFormat="1" x14ac:dyDescent="0.25"/>
    <row r="174317" customFormat="1" x14ac:dyDescent="0.25"/>
    <row r="174318" customFormat="1" x14ac:dyDescent="0.25"/>
    <row r="174319" customFormat="1" x14ac:dyDescent="0.25"/>
    <row r="174320" customFormat="1" x14ac:dyDescent="0.25"/>
    <row r="174321" customFormat="1" x14ac:dyDescent="0.25"/>
    <row r="174322" customFormat="1" x14ac:dyDescent="0.25"/>
    <row r="174323" customFormat="1" x14ac:dyDescent="0.25"/>
    <row r="174324" customFormat="1" x14ac:dyDescent="0.25"/>
    <row r="174325" customFormat="1" x14ac:dyDescent="0.25"/>
    <row r="174326" customFormat="1" x14ac:dyDescent="0.25"/>
    <row r="174327" customFormat="1" x14ac:dyDescent="0.25"/>
    <row r="174328" customFormat="1" x14ac:dyDescent="0.25"/>
    <row r="174329" customFormat="1" x14ac:dyDescent="0.25"/>
    <row r="174330" customFormat="1" x14ac:dyDescent="0.25"/>
    <row r="174331" customFormat="1" x14ac:dyDescent="0.25"/>
    <row r="174332" customFormat="1" x14ac:dyDescent="0.25"/>
    <row r="174333" customFormat="1" x14ac:dyDescent="0.25"/>
    <row r="174334" customFormat="1" x14ac:dyDescent="0.25"/>
    <row r="174335" customFormat="1" x14ac:dyDescent="0.25"/>
    <row r="174336" customFormat="1" x14ac:dyDescent="0.25"/>
    <row r="174337" customFormat="1" x14ac:dyDescent="0.25"/>
    <row r="174338" customFormat="1" x14ac:dyDescent="0.25"/>
    <row r="174339" customFormat="1" x14ac:dyDescent="0.25"/>
    <row r="174340" customFormat="1" x14ac:dyDescent="0.25"/>
    <row r="174341" customFormat="1" x14ac:dyDescent="0.25"/>
    <row r="174342" customFormat="1" x14ac:dyDescent="0.25"/>
    <row r="174343" customFormat="1" x14ac:dyDescent="0.25"/>
    <row r="174344" customFormat="1" x14ac:dyDescent="0.25"/>
    <row r="174345" customFormat="1" x14ac:dyDescent="0.25"/>
    <row r="174346" customFormat="1" x14ac:dyDescent="0.25"/>
    <row r="174347" customFormat="1" x14ac:dyDescent="0.25"/>
    <row r="174348" customFormat="1" x14ac:dyDescent="0.25"/>
    <row r="174349" customFormat="1" x14ac:dyDescent="0.25"/>
    <row r="174350" customFormat="1" x14ac:dyDescent="0.25"/>
    <row r="174351" customFormat="1" x14ac:dyDescent="0.25"/>
    <row r="174352" customFormat="1" x14ac:dyDescent="0.25"/>
    <row r="174353" customFormat="1" x14ac:dyDescent="0.25"/>
    <row r="174354" customFormat="1" x14ac:dyDescent="0.25"/>
    <row r="174355" customFormat="1" x14ac:dyDescent="0.25"/>
    <row r="174356" customFormat="1" x14ac:dyDescent="0.25"/>
    <row r="174357" customFormat="1" x14ac:dyDescent="0.25"/>
    <row r="174358" customFormat="1" x14ac:dyDescent="0.25"/>
    <row r="174359" customFormat="1" x14ac:dyDescent="0.25"/>
    <row r="174360" customFormat="1" x14ac:dyDescent="0.25"/>
    <row r="174361" customFormat="1" x14ac:dyDescent="0.25"/>
    <row r="174362" customFormat="1" x14ac:dyDescent="0.25"/>
    <row r="174363" customFormat="1" x14ac:dyDescent="0.25"/>
    <row r="174364" customFormat="1" x14ac:dyDescent="0.25"/>
    <row r="174365" customFormat="1" x14ac:dyDescent="0.25"/>
    <row r="174366" customFormat="1" x14ac:dyDescent="0.25"/>
    <row r="174367" customFormat="1" x14ac:dyDescent="0.25"/>
    <row r="174368" customFormat="1" x14ac:dyDescent="0.25"/>
    <row r="174369" customFormat="1" x14ac:dyDescent="0.25"/>
    <row r="174370" customFormat="1" x14ac:dyDescent="0.25"/>
    <row r="174371" customFormat="1" x14ac:dyDescent="0.25"/>
    <row r="174372" customFormat="1" x14ac:dyDescent="0.25"/>
    <row r="174373" customFormat="1" x14ac:dyDescent="0.25"/>
    <row r="174374" customFormat="1" x14ac:dyDescent="0.25"/>
    <row r="174375" customFormat="1" x14ac:dyDescent="0.25"/>
    <row r="174376" customFormat="1" x14ac:dyDescent="0.25"/>
    <row r="174377" customFormat="1" x14ac:dyDescent="0.25"/>
    <row r="174378" customFormat="1" x14ac:dyDescent="0.25"/>
    <row r="174379" customFormat="1" x14ac:dyDescent="0.25"/>
    <row r="174380" customFormat="1" x14ac:dyDescent="0.25"/>
    <row r="174381" customFormat="1" x14ac:dyDescent="0.25"/>
    <row r="174382" customFormat="1" x14ac:dyDescent="0.25"/>
    <row r="174383" customFormat="1" x14ac:dyDescent="0.25"/>
    <row r="174384" customFormat="1" x14ac:dyDescent="0.25"/>
    <row r="174385" customFormat="1" x14ac:dyDescent="0.25"/>
    <row r="174386" customFormat="1" x14ac:dyDescent="0.25"/>
    <row r="174387" customFormat="1" x14ac:dyDescent="0.25"/>
    <row r="174388" customFormat="1" x14ac:dyDescent="0.25"/>
    <row r="174389" customFormat="1" x14ac:dyDescent="0.25"/>
    <row r="174390" customFormat="1" x14ac:dyDescent="0.25"/>
    <row r="174391" customFormat="1" x14ac:dyDescent="0.25"/>
    <row r="174392" customFormat="1" x14ac:dyDescent="0.25"/>
    <row r="174393" customFormat="1" x14ac:dyDescent="0.25"/>
    <row r="174394" customFormat="1" x14ac:dyDescent="0.25"/>
    <row r="174395" customFormat="1" x14ac:dyDescent="0.25"/>
    <row r="174396" customFormat="1" x14ac:dyDescent="0.25"/>
    <row r="174397" customFormat="1" x14ac:dyDescent="0.25"/>
    <row r="174398" customFormat="1" x14ac:dyDescent="0.25"/>
    <row r="174399" customFormat="1" x14ac:dyDescent="0.25"/>
    <row r="174400" customFormat="1" x14ac:dyDescent="0.25"/>
    <row r="174401" customFormat="1" x14ac:dyDescent="0.25"/>
    <row r="174402" customFormat="1" x14ac:dyDescent="0.25"/>
    <row r="174403" customFormat="1" x14ac:dyDescent="0.25"/>
    <row r="174404" customFormat="1" x14ac:dyDescent="0.25"/>
    <row r="174405" customFormat="1" x14ac:dyDescent="0.25"/>
    <row r="174406" customFormat="1" x14ac:dyDescent="0.25"/>
    <row r="174407" customFormat="1" x14ac:dyDescent="0.25"/>
    <row r="174408" customFormat="1" x14ac:dyDescent="0.25"/>
    <row r="174409" customFormat="1" x14ac:dyDescent="0.25"/>
    <row r="174410" customFormat="1" x14ac:dyDescent="0.25"/>
    <row r="174411" customFormat="1" x14ac:dyDescent="0.25"/>
    <row r="174412" customFormat="1" x14ac:dyDescent="0.25"/>
    <row r="174413" customFormat="1" x14ac:dyDescent="0.25"/>
    <row r="174414" customFormat="1" x14ac:dyDescent="0.25"/>
    <row r="174415" customFormat="1" x14ac:dyDescent="0.25"/>
    <row r="174416" customFormat="1" x14ac:dyDescent="0.25"/>
    <row r="174417" customFormat="1" x14ac:dyDescent="0.25"/>
    <row r="174418" customFormat="1" x14ac:dyDescent="0.25"/>
    <row r="174419" customFormat="1" x14ac:dyDescent="0.25"/>
    <row r="174420" customFormat="1" x14ac:dyDescent="0.25"/>
    <row r="174421" customFormat="1" x14ac:dyDescent="0.25"/>
    <row r="174422" customFormat="1" x14ac:dyDescent="0.25"/>
    <row r="174423" customFormat="1" x14ac:dyDescent="0.25"/>
    <row r="174424" customFormat="1" x14ac:dyDescent="0.25"/>
    <row r="174425" customFormat="1" x14ac:dyDescent="0.25"/>
    <row r="174426" customFormat="1" x14ac:dyDescent="0.25"/>
    <row r="174427" customFormat="1" x14ac:dyDescent="0.25"/>
    <row r="174428" customFormat="1" x14ac:dyDescent="0.25"/>
    <row r="174429" customFormat="1" x14ac:dyDescent="0.25"/>
    <row r="174430" customFormat="1" x14ac:dyDescent="0.25"/>
    <row r="174431" customFormat="1" x14ac:dyDescent="0.25"/>
    <row r="174432" customFormat="1" x14ac:dyDescent="0.25"/>
    <row r="174433" customFormat="1" x14ac:dyDescent="0.25"/>
    <row r="174434" customFormat="1" x14ac:dyDescent="0.25"/>
    <row r="174435" customFormat="1" x14ac:dyDescent="0.25"/>
    <row r="174436" customFormat="1" x14ac:dyDescent="0.25"/>
    <row r="174437" customFormat="1" x14ac:dyDescent="0.25"/>
    <row r="174438" customFormat="1" x14ac:dyDescent="0.25"/>
    <row r="174439" customFormat="1" x14ac:dyDescent="0.25"/>
    <row r="174440" customFormat="1" x14ac:dyDescent="0.25"/>
    <row r="174441" customFormat="1" x14ac:dyDescent="0.25"/>
    <row r="174442" customFormat="1" x14ac:dyDescent="0.25"/>
    <row r="174443" customFormat="1" x14ac:dyDescent="0.25"/>
    <row r="174444" customFormat="1" x14ac:dyDescent="0.25"/>
    <row r="174445" customFormat="1" x14ac:dyDescent="0.25"/>
    <row r="174446" customFormat="1" x14ac:dyDescent="0.25"/>
    <row r="174447" customFormat="1" x14ac:dyDescent="0.25"/>
    <row r="174448" customFormat="1" x14ac:dyDescent="0.25"/>
    <row r="174449" customFormat="1" x14ac:dyDescent="0.25"/>
    <row r="174450" customFormat="1" x14ac:dyDescent="0.25"/>
    <row r="174451" customFormat="1" x14ac:dyDescent="0.25"/>
    <row r="174452" customFormat="1" x14ac:dyDescent="0.25"/>
    <row r="174453" customFormat="1" x14ac:dyDescent="0.25"/>
    <row r="174454" customFormat="1" x14ac:dyDescent="0.25"/>
    <row r="174455" customFormat="1" x14ac:dyDescent="0.25"/>
    <row r="174456" customFormat="1" x14ac:dyDescent="0.25"/>
    <row r="174457" customFormat="1" x14ac:dyDescent="0.25"/>
    <row r="174458" customFormat="1" x14ac:dyDescent="0.25"/>
    <row r="174459" customFormat="1" x14ac:dyDescent="0.25"/>
    <row r="174460" customFormat="1" x14ac:dyDescent="0.25"/>
    <row r="174461" customFormat="1" x14ac:dyDescent="0.25"/>
    <row r="174462" customFormat="1" x14ac:dyDescent="0.25"/>
    <row r="174463" customFormat="1" x14ac:dyDescent="0.25"/>
    <row r="174464" customFormat="1" x14ac:dyDescent="0.25"/>
    <row r="174465" customFormat="1" x14ac:dyDescent="0.25"/>
    <row r="174466" customFormat="1" x14ac:dyDescent="0.25"/>
    <row r="174467" customFormat="1" x14ac:dyDescent="0.25"/>
    <row r="174468" customFormat="1" x14ac:dyDescent="0.25"/>
    <row r="174469" customFormat="1" x14ac:dyDescent="0.25"/>
    <row r="174470" customFormat="1" x14ac:dyDescent="0.25"/>
    <row r="174471" customFormat="1" x14ac:dyDescent="0.25"/>
    <row r="174472" customFormat="1" x14ac:dyDescent="0.25"/>
    <row r="174473" customFormat="1" x14ac:dyDescent="0.25"/>
    <row r="174474" customFormat="1" x14ac:dyDescent="0.25"/>
    <row r="174475" customFormat="1" x14ac:dyDescent="0.25"/>
    <row r="174476" customFormat="1" x14ac:dyDescent="0.25"/>
    <row r="174477" customFormat="1" x14ac:dyDescent="0.25"/>
    <row r="174478" customFormat="1" x14ac:dyDescent="0.25"/>
    <row r="174479" customFormat="1" x14ac:dyDescent="0.25"/>
    <row r="174480" customFormat="1" x14ac:dyDescent="0.25"/>
    <row r="174481" customFormat="1" x14ac:dyDescent="0.25"/>
    <row r="174482" customFormat="1" x14ac:dyDescent="0.25"/>
    <row r="174483" customFormat="1" x14ac:dyDescent="0.25"/>
    <row r="174484" customFormat="1" x14ac:dyDescent="0.25"/>
    <row r="174485" customFormat="1" x14ac:dyDescent="0.25"/>
    <row r="174486" customFormat="1" x14ac:dyDescent="0.25"/>
    <row r="174487" customFormat="1" x14ac:dyDescent="0.25"/>
    <row r="174488" customFormat="1" x14ac:dyDescent="0.25"/>
    <row r="174489" customFormat="1" x14ac:dyDescent="0.25"/>
    <row r="174490" customFormat="1" x14ac:dyDescent="0.25"/>
    <row r="174491" customFormat="1" x14ac:dyDescent="0.25"/>
    <row r="174492" customFormat="1" x14ac:dyDescent="0.25"/>
    <row r="174493" customFormat="1" x14ac:dyDescent="0.25"/>
    <row r="174494" customFormat="1" x14ac:dyDescent="0.25"/>
    <row r="174495" customFormat="1" x14ac:dyDescent="0.25"/>
    <row r="174496" customFormat="1" x14ac:dyDescent="0.25"/>
    <row r="174497" customFormat="1" x14ac:dyDescent="0.25"/>
    <row r="174498" customFormat="1" x14ac:dyDescent="0.25"/>
    <row r="174499" customFormat="1" x14ac:dyDescent="0.25"/>
    <row r="174500" customFormat="1" x14ac:dyDescent="0.25"/>
    <row r="174501" customFormat="1" x14ac:dyDescent="0.25"/>
    <row r="174502" customFormat="1" x14ac:dyDescent="0.25"/>
    <row r="174503" customFormat="1" x14ac:dyDescent="0.25"/>
    <row r="174504" customFormat="1" x14ac:dyDescent="0.25"/>
    <row r="174505" customFormat="1" x14ac:dyDescent="0.25"/>
    <row r="174506" customFormat="1" x14ac:dyDescent="0.25"/>
    <row r="174507" customFormat="1" x14ac:dyDescent="0.25"/>
    <row r="174508" customFormat="1" x14ac:dyDescent="0.25"/>
    <row r="174509" customFormat="1" x14ac:dyDescent="0.25"/>
    <row r="174510" customFormat="1" x14ac:dyDescent="0.25"/>
    <row r="174511" customFormat="1" x14ac:dyDescent="0.25"/>
    <row r="174512" customFormat="1" x14ac:dyDescent="0.25"/>
    <row r="174513" customFormat="1" x14ac:dyDescent="0.25"/>
    <row r="174514" customFormat="1" x14ac:dyDescent="0.25"/>
    <row r="174515" customFormat="1" x14ac:dyDescent="0.25"/>
    <row r="174516" customFormat="1" x14ac:dyDescent="0.25"/>
    <row r="174517" customFormat="1" x14ac:dyDescent="0.25"/>
    <row r="174518" customFormat="1" x14ac:dyDescent="0.25"/>
    <row r="174519" customFormat="1" x14ac:dyDescent="0.25"/>
    <row r="174520" customFormat="1" x14ac:dyDescent="0.25"/>
    <row r="174521" customFormat="1" x14ac:dyDescent="0.25"/>
    <row r="174522" customFormat="1" x14ac:dyDescent="0.25"/>
    <row r="174523" customFormat="1" x14ac:dyDescent="0.25"/>
    <row r="174524" customFormat="1" x14ac:dyDescent="0.25"/>
    <row r="174525" customFormat="1" x14ac:dyDescent="0.25"/>
    <row r="174526" customFormat="1" x14ac:dyDescent="0.25"/>
    <row r="174527" customFormat="1" x14ac:dyDescent="0.25"/>
    <row r="174528" customFormat="1" x14ac:dyDescent="0.25"/>
    <row r="174529" customFormat="1" x14ac:dyDescent="0.25"/>
    <row r="174530" customFormat="1" x14ac:dyDescent="0.25"/>
    <row r="174531" customFormat="1" x14ac:dyDescent="0.25"/>
    <row r="174532" customFormat="1" x14ac:dyDescent="0.25"/>
    <row r="174533" customFormat="1" x14ac:dyDescent="0.25"/>
    <row r="174534" customFormat="1" x14ac:dyDescent="0.25"/>
    <row r="174535" customFormat="1" x14ac:dyDescent="0.25"/>
    <row r="174536" customFormat="1" x14ac:dyDescent="0.25"/>
    <row r="174537" customFormat="1" x14ac:dyDescent="0.25"/>
    <row r="174538" customFormat="1" x14ac:dyDescent="0.25"/>
    <row r="174539" customFormat="1" x14ac:dyDescent="0.25"/>
    <row r="174540" customFormat="1" x14ac:dyDescent="0.25"/>
    <row r="174541" customFormat="1" x14ac:dyDescent="0.25"/>
    <row r="174542" customFormat="1" x14ac:dyDescent="0.25"/>
    <row r="174543" customFormat="1" x14ac:dyDescent="0.25"/>
    <row r="174544" customFormat="1" x14ac:dyDescent="0.25"/>
    <row r="174545" customFormat="1" x14ac:dyDescent="0.25"/>
    <row r="174546" customFormat="1" x14ac:dyDescent="0.25"/>
    <row r="174547" customFormat="1" x14ac:dyDescent="0.25"/>
    <row r="174548" customFormat="1" x14ac:dyDescent="0.25"/>
    <row r="174549" customFormat="1" x14ac:dyDescent="0.25"/>
    <row r="174550" customFormat="1" x14ac:dyDescent="0.25"/>
    <row r="174551" customFormat="1" x14ac:dyDescent="0.25"/>
    <row r="174552" customFormat="1" x14ac:dyDescent="0.25"/>
    <row r="174553" customFormat="1" x14ac:dyDescent="0.25"/>
    <row r="174554" customFormat="1" x14ac:dyDescent="0.25"/>
    <row r="174555" customFormat="1" x14ac:dyDescent="0.25"/>
    <row r="174556" customFormat="1" x14ac:dyDescent="0.25"/>
    <row r="174557" customFormat="1" x14ac:dyDescent="0.25"/>
    <row r="174558" customFormat="1" x14ac:dyDescent="0.25"/>
    <row r="174559" customFormat="1" x14ac:dyDescent="0.25"/>
    <row r="174560" customFormat="1" x14ac:dyDescent="0.25"/>
    <row r="174561" customFormat="1" x14ac:dyDescent="0.25"/>
    <row r="174562" customFormat="1" x14ac:dyDescent="0.25"/>
    <row r="174563" customFormat="1" x14ac:dyDescent="0.25"/>
    <row r="174564" customFormat="1" x14ac:dyDescent="0.25"/>
    <row r="174565" customFormat="1" x14ac:dyDescent="0.25"/>
    <row r="174566" customFormat="1" x14ac:dyDescent="0.25"/>
    <row r="174567" customFormat="1" x14ac:dyDescent="0.25"/>
    <row r="174568" customFormat="1" x14ac:dyDescent="0.25"/>
    <row r="174569" customFormat="1" x14ac:dyDescent="0.25"/>
    <row r="174570" customFormat="1" x14ac:dyDescent="0.25"/>
    <row r="174571" customFormat="1" x14ac:dyDescent="0.25"/>
    <row r="174572" customFormat="1" x14ac:dyDescent="0.25"/>
    <row r="174573" customFormat="1" x14ac:dyDescent="0.25"/>
    <row r="174574" customFormat="1" x14ac:dyDescent="0.25"/>
    <row r="174575" customFormat="1" x14ac:dyDescent="0.25"/>
    <row r="174576" customFormat="1" x14ac:dyDescent="0.25"/>
    <row r="174577" customFormat="1" x14ac:dyDescent="0.25"/>
    <row r="174578" customFormat="1" x14ac:dyDescent="0.25"/>
    <row r="174579" customFormat="1" x14ac:dyDescent="0.25"/>
    <row r="174580" customFormat="1" x14ac:dyDescent="0.25"/>
    <row r="174581" customFormat="1" x14ac:dyDescent="0.25"/>
    <row r="174582" customFormat="1" x14ac:dyDescent="0.25"/>
    <row r="174583" customFormat="1" x14ac:dyDescent="0.25"/>
    <row r="174584" customFormat="1" x14ac:dyDescent="0.25"/>
    <row r="174585" customFormat="1" x14ac:dyDescent="0.25"/>
    <row r="174586" customFormat="1" x14ac:dyDescent="0.25"/>
    <row r="174587" customFormat="1" x14ac:dyDescent="0.25"/>
    <row r="174588" customFormat="1" x14ac:dyDescent="0.25"/>
    <row r="174589" customFormat="1" x14ac:dyDescent="0.25"/>
    <row r="174590" customFormat="1" x14ac:dyDescent="0.25"/>
    <row r="174591" customFormat="1" x14ac:dyDescent="0.25"/>
    <row r="174592" customFormat="1" x14ac:dyDescent="0.25"/>
    <row r="174593" customFormat="1" x14ac:dyDescent="0.25"/>
    <row r="174594" customFormat="1" x14ac:dyDescent="0.25"/>
    <row r="174595" customFormat="1" x14ac:dyDescent="0.25"/>
    <row r="174596" customFormat="1" x14ac:dyDescent="0.25"/>
    <row r="174597" customFormat="1" x14ac:dyDescent="0.25"/>
    <row r="174598" customFormat="1" x14ac:dyDescent="0.25"/>
    <row r="174599" customFormat="1" x14ac:dyDescent="0.25"/>
    <row r="174600" customFormat="1" x14ac:dyDescent="0.25"/>
    <row r="174601" customFormat="1" x14ac:dyDescent="0.25"/>
    <row r="174602" customFormat="1" x14ac:dyDescent="0.25"/>
    <row r="174603" customFormat="1" x14ac:dyDescent="0.25"/>
    <row r="174604" customFormat="1" x14ac:dyDescent="0.25"/>
    <row r="174605" customFormat="1" x14ac:dyDescent="0.25"/>
    <row r="174606" customFormat="1" x14ac:dyDescent="0.25"/>
    <row r="174607" customFormat="1" x14ac:dyDescent="0.25"/>
    <row r="174608" customFormat="1" x14ac:dyDescent="0.25"/>
    <row r="174609" customFormat="1" x14ac:dyDescent="0.25"/>
    <row r="174610" customFormat="1" x14ac:dyDescent="0.25"/>
    <row r="174611" customFormat="1" x14ac:dyDescent="0.25"/>
    <row r="174612" customFormat="1" x14ac:dyDescent="0.25"/>
    <row r="174613" customFormat="1" x14ac:dyDescent="0.25"/>
    <row r="174614" customFormat="1" x14ac:dyDescent="0.25"/>
    <row r="174615" customFormat="1" x14ac:dyDescent="0.25"/>
    <row r="174616" customFormat="1" x14ac:dyDescent="0.25"/>
    <row r="174617" customFormat="1" x14ac:dyDescent="0.25"/>
    <row r="174618" customFormat="1" x14ac:dyDescent="0.25"/>
    <row r="174619" customFormat="1" x14ac:dyDescent="0.25"/>
    <row r="174620" customFormat="1" x14ac:dyDescent="0.25"/>
    <row r="174621" customFormat="1" x14ac:dyDescent="0.25"/>
    <row r="174622" customFormat="1" x14ac:dyDescent="0.25"/>
    <row r="174623" customFormat="1" x14ac:dyDescent="0.25"/>
    <row r="174624" customFormat="1" x14ac:dyDescent="0.25"/>
    <row r="174625" customFormat="1" x14ac:dyDescent="0.25"/>
    <row r="174626" customFormat="1" x14ac:dyDescent="0.25"/>
    <row r="174627" customFormat="1" x14ac:dyDescent="0.25"/>
    <row r="174628" customFormat="1" x14ac:dyDescent="0.25"/>
    <row r="174629" customFormat="1" x14ac:dyDescent="0.25"/>
    <row r="174630" customFormat="1" x14ac:dyDescent="0.25"/>
    <row r="174631" customFormat="1" x14ac:dyDescent="0.25"/>
    <row r="174632" customFormat="1" x14ac:dyDescent="0.25"/>
    <row r="174633" customFormat="1" x14ac:dyDescent="0.25"/>
    <row r="174634" customFormat="1" x14ac:dyDescent="0.25"/>
    <row r="174635" customFormat="1" x14ac:dyDescent="0.25"/>
    <row r="174636" customFormat="1" x14ac:dyDescent="0.25"/>
    <row r="174637" customFormat="1" x14ac:dyDescent="0.25"/>
    <row r="174638" customFormat="1" x14ac:dyDescent="0.25"/>
    <row r="174639" customFormat="1" x14ac:dyDescent="0.25"/>
    <row r="174640" customFormat="1" x14ac:dyDescent="0.25"/>
    <row r="174641" customFormat="1" x14ac:dyDescent="0.25"/>
    <row r="174642" customFormat="1" x14ac:dyDescent="0.25"/>
    <row r="174643" customFormat="1" x14ac:dyDescent="0.25"/>
    <row r="174644" customFormat="1" x14ac:dyDescent="0.25"/>
    <row r="174645" customFormat="1" x14ac:dyDescent="0.25"/>
    <row r="174646" customFormat="1" x14ac:dyDescent="0.25"/>
    <row r="174647" customFormat="1" x14ac:dyDescent="0.25"/>
    <row r="174648" customFormat="1" x14ac:dyDescent="0.25"/>
    <row r="174649" customFormat="1" x14ac:dyDescent="0.25"/>
    <row r="174650" customFormat="1" x14ac:dyDescent="0.25"/>
    <row r="174651" customFormat="1" x14ac:dyDescent="0.25"/>
    <row r="174652" customFormat="1" x14ac:dyDescent="0.25"/>
    <row r="174653" customFormat="1" x14ac:dyDescent="0.25"/>
    <row r="174654" customFormat="1" x14ac:dyDescent="0.25"/>
    <row r="174655" customFormat="1" x14ac:dyDescent="0.25"/>
    <row r="174656" customFormat="1" x14ac:dyDescent="0.25"/>
    <row r="174657" customFormat="1" x14ac:dyDescent="0.25"/>
    <row r="174658" customFormat="1" x14ac:dyDescent="0.25"/>
    <row r="174659" customFormat="1" x14ac:dyDescent="0.25"/>
    <row r="174660" customFormat="1" x14ac:dyDescent="0.25"/>
    <row r="174661" customFormat="1" x14ac:dyDescent="0.25"/>
    <row r="174662" customFormat="1" x14ac:dyDescent="0.25"/>
    <row r="174663" customFormat="1" x14ac:dyDescent="0.25"/>
    <row r="174664" customFormat="1" x14ac:dyDescent="0.25"/>
    <row r="174665" customFormat="1" x14ac:dyDescent="0.25"/>
    <row r="174666" customFormat="1" x14ac:dyDescent="0.25"/>
    <row r="174667" customFormat="1" x14ac:dyDescent="0.25"/>
    <row r="174668" customFormat="1" x14ac:dyDescent="0.25"/>
    <row r="174669" customFormat="1" x14ac:dyDescent="0.25"/>
    <row r="174670" customFormat="1" x14ac:dyDescent="0.25"/>
    <row r="174671" customFormat="1" x14ac:dyDescent="0.25"/>
    <row r="174672" customFormat="1" x14ac:dyDescent="0.25"/>
    <row r="174673" customFormat="1" x14ac:dyDescent="0.25"/>
    <row r="174674" customFormat="1" x14ac:dyDescent="0.25"/>
    <row r="174675" customFormat="1" x14ac:dyDescent="0.25"/>
    <row r="174676" customFormat="1" x14ac:dyDescent="0.25"/>
    <row r="174677" customFormat="1" x14ac:dyDescent="0.25"/>
    <row r="174678" customFormat="1" x14ac:dyDescent="0.25"/>
    <row r="174679" customFormat="1" x14ac:dyDescent="0.25"/>
    <row r="174680" customFormat="1" x14ac:dyDescent="0.25"/>
    <row r="174681" customFormat="1" x14ac:dyDescent="0.25"/>
    <row r="174682" customFormat="1" x14ac:dyDescent="0.25"/>
    <row r="174683" customFormat="1" x14ac:dyDescent="0.25"/>
    <row r="174684" customFormat="1" x14ac:dyDescent="0.25"/>
    <row r="174685" customFormat="1" x14ac:dyDescent="0.25"/>
    <row r="174686" customFormat="1" x14ac:dyDescent="0.25"/>
    <row r="174687" customFormat="1" x14ac:dyDescent="0.25"/>
    <row r="174688" customFormat="1" x14ac:dyDescent="0.25"/>
    <row r="174689" customFormat="1" x14ac:dyDescent="0.25"/>
    <row r="174690" customFormat="1" x14ac:dyDescent="0.25"/>
    <row r="174691" customFormat="1" x14ac:dyDescent="0.25"/>
    <row r="174692" customFormat="1" x14ac:dyDescent="0.25"/>
    <row r="174693" customFormat="1" x14ac:dyDescent="0.25"/>
    <row r="174694" customFormat="1" x14ac:dyDescent="0.25"/>
    <row r="174695" customFormat="1" x14ac:dyDescent="0.25"/>
    <row r="174696" customFormat="1" x14ac:dyDescent="0.25"/>
    <row r="174697" customFormat="1" x14ac:dyDescent="0.25"/>
    <row r="174698" customFormat="1" x14ac:dyDescent="0.25"/>
    <row r="174699" customFormat="1" x14ac:dyDescent="0.25"/>
    <row r="174700" customFormat="1" x14ac:dyDescent="0.25"/>
    <row r="174701" customFormat="1" x14ac:dyDescent="0.25"/>
    <row r="174702" customFormat="1" x14ac:dyDescent="0.25"/>
    <row r="174703" customFormat="1" x14ac:dyDescent="0.25"/>
    <row r="174704" customFormat="1" x14ac:dyDescent="0.25"/>
    <row r="174705" customFormat="1" x14ac:dyDescent="0.25"/>
    <row r="174706" customFormat="1" x14ac:dyDescent="0.25"/>
    <row r="174707" customFormat="1" x14ac:dyDescent="0.25"/>
    <row r="174708" customFormat="1" x14ac:dyDescent="0.25"/>
    <row r="174709" customFormat="1" x14ac:dyDescent="0.25"/>
    <row r="174710" customFormat="1" x14ac:dyDescent="0.25"/>
    <row r="174711" customFormat="1" x14ac:dyDescent="0.25"/>
    <row r="174712" customFormat="1" x14ac:dyDescent="0.25"/>
    <row r="174713" customFormat="1" x14ac:dyDescent="0.25"/>
    <row r="174714" customFormat="1" x14ac:dyDescent="0.25"/>
    <row r="174715" customFormat="1" x14ac:dyDescent="0.25"/>
    <row r="174716" customFormat="1" x14ac:dyDescent="0.25"/>
    <row r="174717" customFormat="1" x14ac:dyDescent="0.25"/>
    <row r="174718" customFormat="1" x14ac:dyDescent="0.25"/>
    <row r="174719" customFormat="1" x14ac:dyDescent="0.25"/>
    <row r="174720" customFormat="1" x14ac:dyDescent="0.25"/>
    <row r="174721" customFormat="1" x14ac:dyDescent="0.25"/>
    <row r="174722" customFormat="1" x14ac:dyDescent="0.25"/>
    <row r="174723" customFormat="1" x14ac:dyDescent="0.25"/>
    <row r="174724" customFormat="1" x14ac:dyDescent="0.25"/>
    <row r="174725" customFormat="1" x14ac:dyDescent="0.25"/>
    <row r="174726" customFormat="1" x14ac:dyDescent="0.25"/>
    <row r="174727" customFormat="1" x14ac:dyDescent="0.25"/>
    <row r="174728" customFormat="1" x14ac:dyDescent="0.25"/>
    <row r="174729" customFormat="1" x14ac:dyDescent="0.25"/>
    <row r="174730" customFormat="1" x14ac:dyDescent="0.25"/>
    <row r="174731" customFormat="1" x14ac:dyDescent="0.25"/>
    <row r="174732" customFormat="1" x14ac:dyDescent="0.25"/>
    <row r="174733" customFormat="1" x14ac:dyDescent="0.25"/>
    <row r="174734" customFormat="1" x14ac:dyDescent="0.25"/>
    <row r="174735" customFormat="1" x14ac:dyDescent="0.25"/>
    <row r="174736" customFormat="1" x14ac:dyDescent="0.25"/>
    <row r="174737" customFormat="1" x14ac:dyDescent="0.25"/>
    <row r="174738" customFormat="1" x14ac:dyDescent="0.25"/>
    <row r="174739" customFormat="1" x14ac:dyDescent="0.25"/>
    <row r="174740" customFormat="1" x14ac:dyDescent="0.25"/>
    <row r="174741" customFormat="1" x14ac:dyDescent="0.25"/>
    <row r="174742" customFormat="1" x14ac:dyDescent="0.25"/>
    <row r="174743" customFormat="1" x14ac:dyDescent="0.25"/>
    <row r="174744" customFormat="1" x14ac:dyDescent="0.25"/>
    <row r="174745" customFormat="1" x14ac:dyDescent="0.25"/>
    <row r="174746" customFormat="1" x14ac:dyDescent="0.25"/>
    <row r="174747" customFormat="1" x14ac:dyDescent="0.25"/>
    <row r="174748" customFormat="1" x14ac:dyDescent="0.25"/>
    <row r="174749" customFormat="1" x14ac:dyDescent="0.25"/>
    <row r="174750" customFormat="1" x14ac:dyDescent="0.25"/>
    <row r="174751" customFormat="1" x14ac:dyDescent="0.25"/>
    <row r="174752" customFormat="1" x14ac:dyDescent="0.25"/>
    <row r="174753" customFormat="1" x14ac:dyDescent="0.25"/>
    <row r="174754" customFormat="1" x14ac:dyDescent="0.25"/>
    <row r="174755" customFormat="1" x14ac:dyDescent="0.25"/>
    <row r="174756" customFormat="1" x14ac:dyDescent="0.25"/>
    <row r="174757" customFormat="1" x14ac:dyDescent="0.25"/>
    <row r="174758" customFormat="1" x14ac:dyDescent="0.25"/>
    <row r="174759" customFormat="1" x14ac:dyDescent="0.25"/>
    <row r="174760" customFormat="1" x14ac:dyDescent="0.25"/>
    <row r="174761" customFormat="1" x14ac:dyDescent="0.25"/>
    <row r="174762" customFormat="1" x14ac:dyDescent="0.25"/>
    <row r="174763" customFormat="1" x14ac:dyDescent="0.25"/>
    <row r="174764" customFormat="1" x14ac:dyDescent="0.25"/>
    <row r="174765" customFormat="1" x14ac:dyDescent="0.25"/>
    <row r="174766" customFormat="1" x14ac:dyDescent="0.25"/>
    <row r="174767" customFormat="1" x14ac:dyDescent="0.25"/>
    <row r="174768" customFormat="1" x14ac:dyDescent="0.25"/>
    <row r="174769" customFormat="1" x14ac:dyDescent="0.25"/>
    <row r="174770" customFormat="1" x14ac:dyDescent="0.25"/>
    <row r="174771" customFormat="1" x14ac:dyDescent="0.25"/>
    <row r="174772" customFormat="1" x14ac:dyDescent="0.25"/>
    <row r="174773" customFormat="1" x14ac:dyDescent="0.25"/>
    <row r="174774" customFormat="1" x14ac:dyDescent="0.25"/>
    <row r="174775" customFormat="1" x14ac:dyDescent="0.25"/>
    <row r="174776" customFormat="1" x14ac:dyDescent="0.25"/>
    <row r="174777" customFormat="1" x14ac:dyDescent="0.25"/>
    <row r="174778" customFormat="1" x14ac:dyDescent="0.25"/>
    <row r="174779" customFormat="1" x14ac:dyDescent="0.25"/>
    <row r="174780" customFormat="1" x14ac:dyDescent="0.25"/>
    <row r="174781" customFormat="1" x14ac:dyDescent="0.25"/>
    <row r="174782" customFormat="1" x14ac:dyDescent="0.25"/>
    <row r="174783" customFormat="1" x14ac:dyDescent="0.25"/>
    <row r="174784" customFormat="1" x14ac:dyDescent="0.25"/>
    <row r="174785" customFormat="1" x14ac:dyDescent="0.25"/>
    <row r="174786" customFormat="1" x14ac:dyDescent="0.25"/>
    <row r="174787" customFormat="1" x14ac:dyDescent="0.25"/>
    <row r="174788" customFormat="1" x14ac:dyDescent="0.25"/>
    <row r="174789" customFormat="1" x14ac:dyDescent="0.25"/>
    <row r="174790" customFormat="1" x14ac:dyDescent="0.25"/>
    <row r="174791" customFormat="1" x14ac:dyDescent="0.25"/>
    <row r="174792" customFormat="1" x14ac:dyDescent="0.25"/>
    <row r="174793" customFormat="1" x14ac:dyDescent="0.25"/>
    <row r="174794" customFormat="1" x14ac:dyDescent="0.25"/>
    <row r="174795" customFormat="1" x14ac:dyDescent="0.25"/>
    <row r="174796" customFormat="1" x14ac:dyDescent="0.25"/>
    <row r="174797" customFormat="1" x14ac:dyDescent="0.25"/>
    <row r="174798" customFormat="1" x14ac:dyDescent="0.25"/>
    <row r="174799" customFormat="1" x14ac:dyDescent="0.25"/>
    <row r="174800" customFormat="1" x14ac:dyDescent="0.25"/>
    <row r="174801" customFormat="1" x14ac:dyDescent="0.25"/>
    <row r="174802" customFormat="1" x14ac:dyDescent="0.25"/>
    <row r="174803" customFormat="1" x14ac:dyDescent="0.25"/>
    <row r="174804" customFormat="1" x14ac:dyDescent="0.25"/>
    <row r="174805" customFormat="1" x14ac:dyDescent="0.25"/>
    <row r="174806" customFormat="1" x14ac:dyDescent="0.25"/>
    <row r="174807" customFormat="1" x14ac:dyDescent="0.25"/>
    <row r="174808" customFormat="1" x14ac:dyDescent="0.25"/>
    <row r="174809" customFormat="1" x14ac:dyDescent="0.25"/>
    <row r="174810" customFormat="1" x14ac:dyDescent="0.25"/>
    <row r="174811" customFormat="1" x14ac:dyDescent="0.25"/>
    <row r="174812" customFormat="1" x14ac:dyDescent="0.25"/>
    <row r="174813" customFormat="1" x14ac:dyDescent="0.25"/>
    <row r="174814" customFormat="1" x14ac:dyDescent="0.25"/>
    <row r="174815" customFormat="1" x14ac:dyDescent="0.25"/>
    <row r="174816" customFormat="1" x14ac:dyDescent="0.25"/>
    <row r="174817" customFormat="1" x14ac:dyDescent="0.25"/>
    <row r="174818" customFormat="1" x14ac:dyDescent="0.25"/>
    <row r="174819" customFormat="1" x14ac:dyDescent="0.25"/>
    <row r="174820" customFormat="1" x14ac:dyDescent="0.25"/>
    <row r="174821" customFormat="1" x14ac:dyDescent="0.25"/>
    <row r="174822" customFormat="1" x14ac:dyDescent="0.25"/>
    <row r="174823" customFormat="1" x14ac:dyDescent="0.25"/>
    <row r="174824" customFormat="1" x14ac:dyDescent="0.25"/>
    <row r="174825" customFormat="1" x14ac:dyDescent="0.25"/>
    <row r="174826" customFormat="1" x14ac:dyDescent="0.25"/>
    <row r="174827" customFormat="1" x14ac:dyDescent="0.25"/>
    <row r="174828" customFormat="1" x14ac:dyDescent="0.25"/>
    <row r="174829" customFormat="1" x14ac:dyDescent="0.25"/>
    <row r="174830" customFormat="1" x14ac:dyDescent="0.25"/>
    <row r="174831" customFormat="1" x14ac:dyDescent="0.25"/>
    <row r="174832" customFormat="1" x14ac:dyDescent="0.25"/>
    <row r="174833" customFormat="1" x14ac:dyDescent="0.25"/>
    <row r="174834" customFormat="1" x14ac:dyDescent="0.25"/>
    <row r="174835" customFormat="1" x14ac:dyDescent="0.25"/>
    <row r="174836" customFormat="1" x14ac:dyDescent="0.25"/>
    <row r="174837" customFormat="1" x14ac:dyDescent="0.25"/>
    <row r="174838" customFormat="1" x14ac:dyDescent="0.25"/>
    <row r="174839" customFormat="1" x14ac:dyDescent="0.25"/>
    <row r="174840" customFormat="1" x14ac:dyDescent="0.25"/>
    <row r="174841" customFormat="1" x14ac:dyDescent="0.25"/>
    <row r="174842" customFormat="1" x14ac:dyDescent="0.25"/>
    <row r="174843" customFormat="1" x14ac:dyDescent="0.25"/>
    <row r="174844" customFormat="1" x14ac:dyDescent="0.25"/>
    <row r="174845" customFormat="1" x14ac:dyDescent="0.25"/>
    <row r="174846" customFormat="1" x14ac:dyDescent="0.25"/>
    <row r="174847" customFormat="1" x14ac:dyDescent="0.25"/>
    <row r="174848" customFormat="1" x14ac:dyDescent="0.25"/>
    <row r="174849" customFormat="1" x14ac:dyDescent="0.25"/>
    <row r="174850" customFormat="1" x14ac:dyDescent="0.25"/>
    <row r="174851" customFormat="1" x14ac:dyDescent="0.25"/>
    <row r="174852" customFormat="1" x14ac:dyDescent="0.25"/>
    <row r="174853" customFormat="1" x14ac:dyDescent="0.25"/>
    <row r="174854" customFormat="1" x14ac:dyDescent="0.25"/>
    <row r="174855" customFormat="1" x14ac:dyDescent="0.25"/>
    <row r="174856" customFormat="1" x14ac:dyDescent="0.25"/>
    <row r="174857" customFormat="1" x14ac:dyDescent="0.25"/>
    <row r="174858" customFormat="1" x14ac:dyDescent="0.25"/>
    <row r="174859" customFormat="1" x14ac:dyDescent="0.25"/>
    <row r="174860" customFormat="1" x14ac:dyDescent="0.25"/>
    <row r="174861" customFormat="1" x14ac:dyDescent="0.25"/>
    <row r="174862" customFormat="1" x14ac:dyDescent="0.25"/>
    <row r="174863" customFormat="1" x14ac:dyDescent="0.25"/>
    <row r="174864" customFormat="1" x14ac:dyDescent="0.25"/>
    <row r="174865" customFormat="1" x14ac:dyDescent="0.25"/>
    <row r="174866" customFormat="1" x14ac:dyDescent="0.25"/>
    <row r="174867" customFormat="1" x14ac:dyDescent="0.25"/>
    <row r="174868" customFormat="1" x14ac:dyDescent="0.25"/>
    <row r="174869" customFormat="1" x14ac:dyDescent="0.25"/>
    <row r="174870" customFormat="1" x14ac:dyDescent="0.25"/>
    <row r="174871" customFormat="1" x14ac:dyDescent="0.25"/>
    <row r="174872" customFormat="1" x14ac:dyDescent="0.25"/>
    <row r="174873" customFormat="1" x14ac:dyDescent="0.25"/>
    <row r="174874" customFormat="1" x14ac:dyDescent="0.25"/>
    <row r="174875" customFormat="1" x14ac:dyDescent="0.25"/>
    <row r="174876" customFormat="1" x14ac:dyDescent="0.25"/>
    <row r="174877" customFormat="1" x14ac:dyDescent="0.25"/>
    <row r="174878" customFormat="1" x14ac:dyDescent="0.25"/>
    <row r="174879" customFormat="1" x14ac:dyDescent="0.25"/>
    <row r="174880" customFormat="1" x14ac:dyDescent="0.25"/>
    <row r="174881" customFormat="1" x14ac:dyDescent="0.25"/>
    <row r="174882" customFormat="1" x14ac:dyDescent="0.25"/>
    <row r="174883" customFormat="1" x14ac:dyDescent="0.25"/>
    <row r="174884" customFormat="1" x14ac:dyDescent="0.25"/>
    <row r="174885" customFormat="1" x14ac:dyDescent="0.25"/>
    <row r="174886" customFormat="1" x14ac:dyDescent="0.25"/>
    <row r="174887" customFormat="1" x14ac:dyDescent="0.25"/>
    <row r="174888" customFormat="1" x14ac:dyDescent="0.25"/>
    <row r="174889" customFormat="1" x14ac:dyDescent="0.25"/>
    <row r="174890" customFormat="1" x14ac:dyDescent="0.25"/>
    <row r="174891" customFormat="1" x14ac:dyDescent="0.25"/>
    <row r="174892" customFormat="1" x14ac:dyDescent="0.25"/>
    <row r="174893" customFormat="1" x14ac:dyDescent="0.25"/>
    <row r="174894" customFormat="1" x14ac:dyDescent="0.25"/>
    <row r="174895" customFormat="1" x14ac:dyDescent="0.25"/>
    <row r="174896" customFormat="1" x14ac:dyDescent="0.25"/>
    <row r="174897" customFormat="1" x14ac:dyDescent="0.25"/>
    <row r="174898" customFormat="1" x14ac:dyDescent="0.25"/>
    <row r="174899" customFormat="1" x14ac:dyDescent="0.25"/>
    <row r="174900" customFormat="1" x14ac:dyDescent="0.25"/>
    <row r="174901" customFormat="1" x14ac:dyDescent="0.25"/>
    <row r="174902" customFormat="1" x14ac:dyDescent="0.25"/>
    <row r="174903" customFormat="1" x14ac:dyDescent="0.25"/>
    <row r="174904" customFormat="1" x14ac:dyDescent="0.25"/>
    <row r="174905" customFormat="1" x14ac:dyDescent="0.25"/>
    <row r="174906" customFormat="1" x14ac:dyDescent="0.25"/>
    <row r="174907" customFormat="1" x14ac:dyDescent="0.25"/>
    <row r="174908" customFormat="1" x14ac:dyDescent="0.25"/>
    <row r="174909" customFormat="1" x14ac:dyDescent="0.25"/>
    <row r="174910" customFormat="1" x14ac:dyDescent="0.25"/>
    <row r="174911" customFormat="1" x14ac:dyDescent="0.25"/>
    <row r="174912" customFormat="1" x14ac:dyDescent="0.25"/>
    <row r="174913" customFormat="1" x14ac:dyDescent="0.25"/>
    <row r="174914" customFormat="1" x14ac:dyDescent="0.25"/>
    <row r="174915" customFormat="1" x14ac:dyDescent="0.25"/>
    <row r="174916" customFormat="1" x14ac:dyDescent="0.25"/>
    <row r="174917" customFormat="1" x14ac:dyDescent="0.25"/>
    <row r="174918" customFormat="1" x14ac:dyDescent="0.25"/>
    <row r="174919" customFormat="1" x14ac:dyDescent="0.25"/>
    <row r="174920" customFormat="1" x14ac:dyDescent="0.25"/>
    <row r="174921" customFormat="1" x14ac:dyDescent="0.25"/>
    <row r="174922" customFormat="1" x14ac:dyDescent="0.25"/>
    <row r="174923" customFormat="1" x14ac:dyDescent="0.25"/>
    <row r="174924" customFormat="1" x14ac:dyDescent="0.25"/>
    <row r="174925" customFormat="1" x14ac:dyDescent="0.25"/>
    <row r="174926" customFormat="1" x14ac:dyDescent="0.25"/>
    <row r="174927" customFormat="1" x14ac:dyDescent="0.25"/>
    <row r="174928" customFormat="1" x14ac:dyDescent="0.25"/>
    <row r="174929" customFormat="1" x14ac:dyDescent="0.25"/>
    <row r="174930" customFormat="1" x14ac:dyDescent="0.25"/>
    <row r="174931" customFormat="1" x14ac:dyDescent="0.25"/>
    <row r="174932" customFormat="1" x14ac:dyDescent="0.25"/>
    <row r="174933" customFormat="1" x14ac:dyDescent="0.25"/>
    <row r="174934" customFormat="1" x14ac:dyDescent="0.25"/>
    <row r="174935" customFormat="1" x14ac:dyDescent="0.25"/>
    <row r="174936" customFormat="1" x14ac:dyDescent="0.25"/>
    <row r="174937" customFormat="1" x14ac:dyDescent="0.25"/>
    <row r="174938" customFormat="1" x14ac:dyDescent="0.25"/>
    <row r="174939" customFormat="1" x14ac:dyDescent="0.25"/>
    <row r="174940" customFormat="1" x14ac:dyDescent="0.25"/>
    <row r="174941" customFormat="1" x14ac:dyDescent="0.25"/>
    <row r="174942" customFormat="1" x14ac:dyDescent="0.25"/>
    <row r="174943" customFormat="1" x14ac:dyDescent="0.25"/>
    <row r="174944" customFormat="1" x14ac:dyDescent="0.25"/>
    <row r="174945" customFormat="1" x14ac:dyDescent="0.25"/>
    <row r="174946" customFormat="1" x14ac:dyDescent="0.25"/>
    <row r="174947" customFormat="1" x14ac:dyDescent="0.25"/>
    <row r="174948" customFormat="1" x14ac:dyDescent="0.25"/>
    <row r="174949" customFormat="1" x14ac:dyDescent="0.25"/>
    <row r="174950" customFormat="1" x14ac:dyDescent="0.25"/>
    <row r="174951" customFormat="1" x14ac:dyDescent="0.25"/>
    <row r="174952" customFormat="1" x14ac:dyDescent="0.25"/>
    <row r="174953" customFormat="1" x14ac:dyDescent="0.25"/>
    <row r="174954" customFormat="1" x14ac:dyDescent="0.25"/>
    <row r="174955" customFormat="1" x14ac:dyDescent="0.25"/>
    <row r="174956" customFormat="1" x14ac:dyDescent="0.25"/>
    <row r="174957" customFormat="1" x14ac:dyDescent="0.25"/>
    <row r="174958" customFormat="1" x14ac:dyDescent="0.25"/>
    <row r="174959" customFormat="1" x14ac:dyDescent="0.25"/>
    <row r="174960" customFormat="1" x14ac:dyDescent="0.25"/>
    <row r="174961" customFormat="1" x14ac:dyDescent="0.25"/>
    <row r="174962" customFormat="1" x14ac:dyDescent="0.25"/>
    <row r="174963" customFormat="1" x14ac:dyDescent="0.25"/>
    <row r="174964" customFormat="1" x14ac:dyDescent="0.25"/>
    <row r="174965" customFormat="1" x14ac:dyDescent="0.25"/>
    <row r="174966" customFormat="1" x14ac:dyDescent="0.25"/>
    <row r="174967" customFormat="1" x14ac:dyDescent="0.25"/>
    <row r="174968" customFormat="1" x14ac:dyDescent="0.25"/>
    <row r="174969" customFormat="1" x14ac:dyDescent="0.25"/>
    <row r="174970" customFormat="1" x14ac:dyDescent="0.25"/>
    <row r="174971" customFormat="1" x14ac:dyDescent="0.25"/>
    <row r="174972" customFormat="1" x14ac:dyDescent="0.25"/>
    <row r="174973" customFormat="1" x14ac:dyDescent="0.25"/>
    <row r="174974" customFormat="1" x14ac:dyDescent="0.25"/>
    <row r="174975" customFormat="1" x14ac:dyDescent="0.25"/>
    <row r="174976" customFormat="1" x14ac:dyDescent="0.25"/>
    <row r="174977" customFormat="1" x14ac:dyDescent="0.25"/>
    <row r="174978" customFormat="1" x14ac:dyDescent="0.25"/>
    <row r="174979" customFormat="1" x14ac:dyDescent="0.25"/>
    <row r="174980" customFormat="1" x14ac:dyDescent="0.25"/>
    <row r="174981" customFormat="1" x14ac:dyDescent="0.25"/>
    <row r="174982" customFormat="1" x14ac:dyDescent="0.25"/>
    <row r="174983" customFormat="1" x14ac:dyDescent="0.25"/>
    <row r="174984" customFormat="1" x14ac:dyDescent="0.25"/>
    <row r="174985" customFormat="1" x14ac:dyDescent="0.25"/>
    <row r="174986" customFormat="1" x14ac:dyDescent="0.25"/>
    <row r="174987" customFormat="1" x14ac:dyDescent="0.25"/>
    <row r="174988" customFormat="1" x14ac:dyDescent="0.25"/>
    <row r="174989" customFormat="1" x14ac:dyDescent="0.25"/>
    <row r="174990" customFormat="1" x14ac:dyDescent="0.25"/>
    <row r="174991" customFormat="1" x14ac:dyDescent="0.25"/>
    <row r="174992" customFormat="1" x14ac:dyDescent="0.25"/>
    <row r="174993" customFormat="1" x14ac:dyDescent="0.25"/>
    <row r="174994" customFormat="1" x14ac:dyDescent="0.25"/>
    <row r="174995" customFormat="1" x14ac:dyDescent="0.25"/>
    <row r="174996" customFormat="1" x14ac:dyDescent="0.25"/>
    <row r="174997" customFormat="1" x14ac:dyDescent="0.25"/>
    <row r="174998" customFormat="1" x14ac:dyDescent="0.25"/>
    <row r="174999" customFormat="1" x14ac:dyDescent="0.25"/>
    <row r="175000" customFormat="1" x14ac:dyDescent="0.25"/>
    <row r="175001" customFormat="1" x14ac:dyDescent="0.25"/>
    <row r="175002" customFormat="1" x14ac:dyDescent="0.25"/>
    <row r="175003" customFormat="1" x14ac:dyDescent="0.25"/>
    <row r="175004" customFormat="1" x14ac:dyDescent="0.25"/>
    <row r="175005" customFormat="1" x14ac:dyDescent="0.25"/>
    <row r="175006" customFormat="1" x14ac:dyDescent="0.25"/>
    <row r="175007" customFormat="1" x14ac:dyDescent="0.25"/>
    <row r="175008" customFormat="1" x14ac:dyDescent="0.25"/>
    <row r="175009" customFormat="1" x14ac:dyDescent="0.25"/>
    <row r="175010" customFormat="1" x14ac:dyDescent="0.25"/>
    <row r="175011" customFormat="1" x14ac:dyDescent="0.25"/>
    <row r="175012" customFormat="1" x14ac:dyDescent="0.25"/>
    <row r="175013" customFormat="1" x14ac:dyDescent="0.25"/>
    <row r="175014" customFormat="1" x14ac:dyDescent="0.25"/>
    <row r="175015" customFormat="1" x14ac:dyDescent="0.25"/>
    <row r="175016" customFormat="1" x14ac:dyDescent="0.25"/>
    <row r="175017" customFormat="1" x14ac:dyDescent="0.25"/>
    <row r="175018" customFormat="1" x14ac:dyDescent="0.25"/>
    <row r="175019" customFormat="1" x14ac:dyDescent="0.25"/>
    <row r="175020" customFormat="1" x14ac:dyDescent="0.25"/>
    <row r="175021" customFormat="1" x14ac:dyDescent="0.25"/>
    <row r="175022" customFormat="1" x14ac:dyDescent="0.25"/>
    <row r="175023" customFormat="1" x14ac:dyDescent="0.25"/>
    <row r="175024" customFormat="1" x14ac:dyDescent="0.25"/>
    <row r="175025" customFormat="1" x14ac:dyDescent="0.25"/>
    <row r="175026" customFormat="1" x14ac:dyDescent="0.25"/>
    <row r="175027" customFormat="1" x14ac:dyDescent="0.25"/>
    <row r="175028" customFormat="1" x14ac:dyDescent="0.25"/>
    <row r="175029" customFormat="1" x14ac:dyDescent="0.25"/>
    <row r="175030" customFormat="1" x14ac:dyDescent="0.25"/>
    <row r="175031" customFormat="1" x14ac:dyDescent="0.25"/>
    <row r="175032" customFormat="1" x14ac:dyDescent="0.25"/>
    <row r="175033" customFormat="1" x14ac:dyDescent="0.25"/>
    <row r="175034" customFormat="1" x14ac:dyDescent="0.25"/>
    <row r="175035" customFormat="1" x14ac:dyDescent="0.25"/>
    <row r="175036" customFormat="1" x14ac:dyDescent="0.25"/>
    <row r="175037" customFormat="1" x14ac:dyDescent="0.25"/>
    <row r="175038" customFormat="1" x14ac:dyDescent="0.25"/>
    <row r="175039" customFormat="1" x14ac:dyDescent="0.25"/>
    <row r="175040" customFormat="1" x14ac:dyDescent="0.25"/>
    <row r="175041" customFormat="1" x14ac:dyDescent="0.25"/>
    <row r="175042" customFormat="1" x14ac:dyDescent="0.25"/>
    <row r="175043" customFormat="1" x14ac:dyDescent="0.25"/>
    <row r="175044" customFormat="1" x14ac:dyDescent="0.25"/>
    <row r="175045" customFormat="1" x14ac:dyDescent="0.25"/>
    <row r="175046" customFormat="1" x14ac:dyDescent="0.25"/>
    <row r="175047" customFormat="1" x14ac:dyDescent="0.25"/>
    <row r="175048" customFormat="1" x14ac:dyDescent="0.25"/>
    <row r="175049" customFormat="1" x14ac:dyDescent="0.25"/>
    <row r="175050" customFormat="1" x14ac:dyDescent="0.25"/>
    <row r="175051" customFormat="1" x14ac:dyDescent="0.25"/>
    <row r="175052" customFormat="1" x14ac:dyDescent="0.25"/>
    <row r="175053" customFormat="1" x14ac:dyDescent="0.25"/>
    <row r="175054" customFormat="1" x14ac:dyDescent="0.25"/>
    <row r="175055" customFormat="1" x14ac:dyDescent="0.25"/>
    <row r="175056" customFormat="1" x14ac:dyDescent="0.25"/>
    <row r="175057" customFormat="1" x14ac:dyDescent="0.25"/>
    <row r="175058" customFormat="1" x14ac:dyDescent="0.25"/>
    <row r="175059" customFormat="1" x14ac:dyDescent="0.25"/>
    <row r="175060" customFormat="1" x14ac:dyDescent="0.25"/>
    <row r="175061" customFormat="1" x14ac:dyDescent="0.25"/>
    <row r="175062" customFormat="1" x14ac:dyDescent="0.25"/>
    <row r="175063" customFormat="1" x14ac:dyDescent="0.25"/>
    <row r="175064" customFormat="1" x14ac:dyDescent="0.25"/>
    <row r="175065" customFormat="1" x14ac:dyDescent="0.25"/>
    <row r="175066" customFormat="1" x14ac:dyDescent="0.25"/>
    <row r="175067" customFormat="1" x14ac:dyDescent="0.25"/>
    <row r="175068" customFormat="1" x14ac:dyDescent="0.25"/>
    <row r="175069" customFormat="1" x14ac:dyDescent="0.25"/>
    <row r="175070" customFormat="1" x14ac:dyDescent="0.25"/>
    <row r="175071" customFormat="1" x14ac:dyDescent="0.25"/>
    <row r="175072" customFormat="1" x14ac:dyDescent="0.25"/>
    <row r="175073" customFormat="1" x14ac:dyDescent="0.25"/>
    <row r="175074" customFormat="1" x14ac:dyDescent="0.25"/>
    <row r="175075" customFormat="1" x14ac:dyDescent="0.25"/>
    <row r="175076" customFormat="1" x14ac:dyDescent="0.25"/>
    <row r="175077" customFormat="1" x14ac:dyDescent="0.25"/>
    <row r="175078" customFormat="1" x14ac:dyDescent="0.25"/>
    <row r="175079" customFormat="1" x14ac:dyDescent="0.25"/>
    <row r="175080" customFormat="1" x14ac:dyDescent="0.25"/>
    <row r="175081" customFormat="1" x14ac:dyDescent="0.25"/>
    <row r="175082" customFormat="1" x14ac:dyDescent="0.25"/>
    <row r="175083" customFormat="1" x14ac:dyDescent="0.25"/>
    <row r="175084" customFormat="1" x14ac:dyDescent="0.25"/>
    <row r="175085" customFormat="1" x14ac:dyDescent="0.25"/>
    <row r="175086" customFormat="1" x14ac:dyDescent="0.25"/>
    <row r="175087" customFormat="1" x14ac:dyDescent="0.25"/>
    <row r="175088" customFormat="1" x14ac:dyDescent="0.25"/>
    <row r="175089" customFormat="1" x14ac:dyDescent="0.25"/>
    <row r="175090" customFormat="1" x14ac:dyDescent="0.25"/>
    <row r="175091" customFormat="1" x14ac:dyDescent="0.25"/>
    <row r="175092" customFormat="1" x14ac:dyDescent="0.25"/>
    <row r="175093" customFormat="1" x14ac:dyDescent="0.25"/>
    <row r="175094" customFormat="1" x14ac:dyDescent="0.25"/>
    <row r="175095" customFormat="1" x14ac:dyDescent="0.25"/>
    <row r="175096" customFormat="1" x14ac:dyDescent="0.25"/>
    <row r="175097" customFormat="1" x14ac:dyDescent="0.25"/>
    <row r="175098" customFormat="1" x14ac:dyDescent="0.25"/>
    <row r="175099" customFormat="1" x14ac:dyDescent="0.25"/>
    <row r="175100" customFormat="1" x14ac:dyDescent="0.25"/>
    <row r="175101" customFormat="1" x14ac:dyDescent="0.25"/>
    <row r="175102" customFormat="1" x14ac:dyDescent="0.25"/>
    <row r="175103" customFormat="1" x14ac:dyDescent="0.25"/>
    <row r="175104" customFormat="1" x14ac:dyDescent="0.25"/>
    <row r="175105" customFormat="1" x14ac:dyDescent="0.25"/>
    <row r="175106" customFormat="1" x14ac:dyDescent="0.25"/>
    <row r="175107" customFormat="1" x14ac:dyDescent="0.25"/>
    <row r="175108" customFormat="1" x14ac:dyDescent="0.25"/>
    <row r="175109" customFormat="1" x14ac:dyDescent="0.25"/>
    <row r="175110" customFormat="1" x14ac:dyDescent="0.25"/>
    <row r="175111" customFormat="1" x14ac:dyDescent="0.25"/>
    <row r="175112" customFormat="1" x14ac:dyDescent="0.25"/>
    <row r="175113" customFormat="1" x14ac:dyDescent="0.25"/>
    <row r="175114" customFormat="1" x14ac:dyDescent="0.25"/>
    <row r="175115" customFormat="1" x14ac:dyDescent="0.25"/>
    <row r="175116" customFormat="1" x14ac:dyDescent="0.25"/>
    <row r="175117" customFormat="1" x14ac:dyDescent="0.25"/>
    <row r="175118" customFormat="1" x14ac:dyDescent="0.25"/>
    <row r="175119" customFormat="1" x14ac:dyDescent="0.25"/>
    <row r="175120" customFormat="1" x14ac:dyDescent="0.25"/>
    <row r="175121" customFormat="1" x14ac:dyDescent="0.25"/>
    <row r="175122" customFormat="1" x14ac:dyDescent="0.25"/>
    <row r="175123" customFormat="1" x14ac:dyDescent="0.25"/>
    <row r="175124" customFormat="1" x14ac:dyDescent="0.25"/>
    <row r="175125" customFormat="1" x14ac:dyDescent="0.25"/>
    <row r="175126" customFormat="1" x14ac:dyDescent="0.25"/>
    <row r="175127" customFormat="1" x14ac:dyDescent="0.25"/>
    <row r="175128" customFormat="1" x14ac:dyDescent="0.25"/>
    <row r="175129" customFormat="1" x14ac:dyDescent="0.25"/>
    <row r="175130" customFormat="1" x14ac:dyDescent="0.25"/>
    <row r="175131" customFormat="1" x14ac:dyDescent="0.25"/>
    <row r="175132" customFormat="1" x14ac:dyDescent="0.25"/>
    <row r="175133" customFormat="1" x14ac:dyDescent="0.25"/>
    <row r="175134" customFormat="1" x14ac:dyDescent="0.25"/>
    <row r="175135" customFormat="1" x14ac:dyDescent="0.25"/>
    <row r="175136" customFormat="1" x14ac:dyDescent="0.25"/>
    <row r="175137" customFormat="1" x14ac:dyDescent="0.25"/>
    <row r="175138" customFormat="1" x14ac:dyDescent="0.25"/>
    <row r="175139" customFormat="1" x14ac:dyDescent="0.25"/>
    <row r="175140" customFormat="1" x14ac:dyDescent="0.25"/>
    <row r="175141" customFormat="1" x14ac:dyDescent="0.25"/>
    <row r="175142" customFormat="1" x14ac:dyDescent="0.25"/>
    <row r="175143" customFormat="1" x14ac:dyDescent="0.25"/>
    <row r="175144" customFormat="1" x14ac:dyDescent="0.25"/>
    <row r="175145" customFormat="1" x14ac:dyDescent="0.25"/>
    <row r="175146" customFormat="1" x14ac:dyDescent="0.25"/>
    <row r="175147" customFormat="1" x14ac:dyDescent="0.25"/>
    <row r="175148" customFormat="1" x14ac:dyDescent="0.25"/>
    <row r="175149" customFormat="1" x14ac:dyDescent="0.25"/>
    <row r="175150" customFormat="1" x14ac:dyDescent="0.25"/>
    <row r="175151" customFormat="1" x14ac:dyDescent="0.25"/>
    <row r="175152" customFormat="1" x14ac:dyDescent="0.25"/>
    <row r="175153" customFormat="1" x14ac:dyDescent="0.25"/>
    <row r="175154" customFormat="1" x14ac:dyDescent="0.25"/>
    <row r="175155" customFormat="1" x14ac:dyDescent="0.25"/>
    <row r="175156" customFormat="1" x14ac:dyDescent="0.25"/>
    <row r="175157" customFormat="1" x14ac:dyDescent="0.25"/>
    <row r="175158" customFormat="1" x14ac:dyDescent="0.25"/>
    <row r="175159" customFormat="1" x14ac:dyDescent="0.25"/>
    <row r="175160" customFormat="1" x14ac:dyDescent="0.25"/>
    <row r="175161" customFormat="1" x14ac:dyDescent="0.25"/>
    <row r="175162" customFormat="1" x14ac:dyDescent="0.25"/>
    <row r="175163" customFormat="1" x14ac:dyDescent="0.25"/>
    <row r="175164" customFormat="1" x14ac:dyDescent="0.25"/>
    <row r="175165" customFormat="1" x14ac:dyDescent="0.25"/>
    <row r="175166" customFormat="1" x14ac:dyDescent="0.25"/>
    <row r="175167" customFormat="1" x14ac:dyDescent="0.25"/>
    <row r="175168" customFormat="1" x14ac:dyDescent="0.25"/>
    <row r="175169" customFormat="1" x14ac:dyDescent="0.25"/>
    <row r="175170" customFormat="1" x14ac:dyDescent="0.25"/>
    <row r="175171" customFormat="1" x14ac:dyDescent="0.25"/>
    <row r="175172" customFormat="1" x14ac:dyDescent="0.25"/>
    <row r="175173" customFormat="1" x14ac:dyDescent="0.25"/>
    <row r="175174" customFormat="1" x14ac:dyDescent="0.25"/>
    <row r="175175" customFormat="1" x14ac:dyDescent="0.25"/>
    <row r="175176" customFormat="1" x14ac:dyDescent="0.25"/>
    <row r="175177" customFormat="1" x14ac:dyDescent="0.25"/>
    <row r="175178" customFormat="1" x14ac:dyDescent="0.25"/>
    <row r="175179" customFormat="1" x14ac:dyDescent="0.25"/>
    <row r="175180" customFormat="1" x14ac:dyDescent="0.25"/>
    <row r="175181" customFormat="1" x14ac:dyDescent="0.25"/>
    <row r="175182" customFormat="1" x14ac:dyDescent="0.25"/>
    <row r="175183" customFormat="1" x14ac:dyDescent="0.25"/>
    <row r="175184" customFormat="1" x14ac:dyDescent="0.25"/>
    <row r="175185" customFormat="1" x14ac:dyDescent="0.25"/>
    <row r="175186" customFormat="1" x14ac:dyDescent="0.25"/>
    <row r="175187" customFormat="1" x14ac:dyDescent="0.25"/>
    <row r="175188" customFormat="1" x14ac:dyDescent="0.25"/>
    <row r="175189" customFormat="1" x14ac:dyDescent="0.25"/>
    <row r="175190" customFormat="1" x14ac:dyDescent="0.25"/>
    <row r="175191" customFormat="1" x14ac:dyDescent="0.25"/>
    <row r="175192" customFormat="1" x14ac:dyDescent="0.25"/>
    <row r="175193" customFormat="1" x14ac:dyDescent="0.25"/>
    <row r="175194" customFormat="1" x14ac:dyDescent="0.25"/>
    <row r="175195" customFormat="1" x14ac:dyDescent="0.25"/>
    <row r="175196" customFormat="1" x14ac:dyDescent="0.25"/>
    <row r="175197" customFormat="1" x14ac:dyDescent="0.25"/>
    <row r="175198" customFormat="1" x14ac:dyDescent="0.25"/>
    <row r="175199" customFormat="1" x14ac:dyDescent="0.25"/>
    <row r="175200" customFormat="1" x14ac:dyDescent="0.25"/>
    <row r="175201" customFormat="1" x14ac:dyDescent="0.25"/>
    <row r="175202" customFormat="1" x14ac:dyDescent="0.25"/>
    <row r="175203" customFormat="1" x14ac:dyDescent="0.25"/>
    <row r="175204" customFormat="1" x14ac:dyDescent="0.25"/>
    <row r="175205" customFormat="1" x14ac:dyDescent="0.25"/>
    <row r="175206" customFormat="1" x14ac:dyDescent="0.25"/>
    <row r="175207" customFormat="1" x14ac:dyDescent="0.25"/>
    <row r="175208" customFormat="1" x14ac:dyDescent="0.25"/>
    <row r="175209" customFormat="1" x14ac:dyDescent="0.25"/>
    <row r="175210" customFormat="1" x14ac:dyDescent="0.25"/>
    <row r="175211" customFormat="1" x14ac:dyDescent="0.25"/>
    <row r="175212" customFormat="1" x14ac:dyDescent="0.25"/>
    <row r="175213" customFormat="1" x14ac:dyDescent="0.25"/>
    <row r="175214" customFormat="1" x14ac:dyDescent="0.25"/>
    <row r="175215" customFormat="1" x14ac:dyDescent="0.25"/>
    <row r="175216" customFormat="1" x14ac:dyDescent="0.25"/>
    <row r="175217" customFormat="1" x14ac:dyDescent="0.25"/>
    <row r="175218" customFormat="1" x14ac:dyDescent="0.25"/>
    <row r="175219" customFormat="1" x14ac:dyDescent="0.25"/>
    <row r="175220" customFormat="1" x14ac:dyDescent="0.25"/>
    <row r="175221" customFormat="1" x14ac:dyDescent="0.25"/>
    <row r="175222" customFormat="1" x14ac:dyDescent="0.25"/>
    <row r="175223" customFormat="1" x14ac:dyDescent="0.25"/>
    <row r="175224" customFormat="1" x14ac:dyDescent="0.25"/>
    <row r="175225" customFormat="1" x14ac:dyDescent="0.25"/>
    <row r="175226" customFormat="1" x14ac:dyDescent="0.25"/>
    <row r="175227" customFormat="1" x14ac:dyDescent="0.25"/>
    <row r="175228" customFormat="1" x14ac:dyDescent="0.25"/>
    <row r="175229" customFormat="1" x14ac:dyDescent="0.25"/>
    <row r="175230" customFormat="1" x14ac:dyDescent="0.25"/>
    <row r="175231" customFormat="1" x14ac:dyDescent="0.25"/>
    <row r="175232" customFormat="1" x14ac:dyDescent="0.25"/>
    <row r="175233" customFormat="1" x14ac:dyDescent="0.25"/>
    <row r="175234" customFormat="1" x14ac:dyDescent="0.25"/>
    <row r="175235" customFormat="1" x14ac:dyDescent="0.25"/>
    <row r="175236" customFormat="1" x14ac:dyDescent="0.25"/>
    <row r="175237" customFormat="1" x14ac:dyDescent="0.25"/>
    <row r="175238" customFormat="1" x14ac:dyDescent="0.25"/>
    <row r="175239" customFormat="1" x14ac:dyDescent="0.25"/>
    <row r="175240" customFormat="1" x14ac:dyDescent="0.25"/>
    <row r="175241" customFormat="1" x14ac:dyDescent="0.25"/>
    <row r="175242" customFormat="1" x14ac:dyDescent="0.25"/>
    <row r="175243" customFormat="1" x14ac:dyDescent="0.25"/>
    <row r="175244" customFormat="1" x14ac:dyDescent="0.25"/>
    <row r="175245" customFormat="1" x14ac:dyDescent="0.25"/>
    <row r="175246" customFormat="1" x14ac:dyDescent="0.25"/>
    <row r="175247" customFormat="1" x14ac:dyDescent="0.25"/>
    <row r="175248" customFormat="1" x14ac:dyDescent="0.25"/>
    <row r="175249" customFormat="1" x14ac:dyDescent="0.25"/>
    <row r="175250" customFormat="1" x14ac:dyDescent="0.25"/>
    <row r="175251" customFormat="1" x14ac:dyDescent="0.25"/>
    <row r="175252" customFormat="1" x14ac:dyDescent="0.25"/>
    <row r="175253" customFormat="1" x14ac:dyDescent="0.25"/>
    <row r="175254" customFormat="1" x14ac:dyDescent="0.25"/>
    <row r="175255" customFormat="1" x14ac:dyDescent="0.25"/>
    <row r="175256" customFormat="1" x14ac:dyDescent="0.25"/>
    <row r="175257" customFormat="1" x14ac:dyDescent="0.25"/>
    <row r="175258" customFormat="1" x14ac:dyDescent="0.25"/>
    <row r="175259" customFormat="1" x14ac:dyDescent="0.25"/>
    <row r="175260" customFormat="1" x14ac:dyDescent="0.25"/>
    <row r="175261" customFormat="1" x14ac:dyDescent="0.25"/>
    <row r="175262" customFormat="1" x14ac:dyDescent="0.25"/>
    <row r="175263" customFormat="1" x14ac:dyDescent="0.25"/>
    <row r="175264" customFormat="1" x14ac:dyDescent="0.25"/>
    <row r="175265" customFormat="1" x14ac:dyDescent="0.25"/>
    <row r="175266" customFormat="1" x14ac:dyDescent="0.25"/>
    <row r="175267" customFormat="1" x14ac:dyDescent="0.25"/>
    <row r="175268" customFormat="1" x14ac:dyDescent="0.25"/>
    <row r="175269" customFormat="1" x14ac:dyDescent="0.25"/>
    <row r="175270" customFormat="1" x14ac:dyDescent="0.25"/>
    <row r="175271" customFormat="1" x14ac:dyDescent="0.25"/>
    <row r="175272" customFormat="1" x14ac:dyDescent="0.25"/>
    <row r="175273" customFormat="1" x14ac:dyDescent="0.25"/>
    <row r="175274" customFormat="1" x14ac:dyDescent="0.25"/>
    <row r="175275" customFormat="1" x14ac:dyDescent="0.25"/>
    <row r="175276" customFormat="1" x14ac:dyDescent="0.25"/>
    <row r="175277" customFormat="1" x14ac:dyDescent="0.25"/>
    <row r="175278" customFormat="1" x14ac:dyDescent="0.25"/>
    <row r="175279" customFormat="1" x14ac:dyDescent="0.25"/>
    <row r="175280" customFormat="1" x14ac:dyDescent="0.25"/>
    <row r="175281" customFormat="1" x14ac:dyDescent="0.25"/>
    <row r="175282" customFormat="1" x14ac:dyDescent="0.25"/>
    <row r="175283" customFormat="1" x14ac:dyDescent="0.25"/>
    <row r="175284" customFormat="1" x14ac:dyDescent="0.25"/>
    <row r="175285" customFormat="1" x14ac:dyDescent="0.25"/>
    <row r="175286" customFormat="1" x14ac:dyDescent="0.25"/>
    <row r="175287" customFormat="1" x14ac:dyDescent="0.25"/>
    <row r="175288" customFormat="1" x14ac:dyDescent="0.25"/>
    <row r="175289" customFormat="1" x14ac:dyDescent="0.25"/>
    <row r="175290" customFormat="1" x14ac:dyDescent="0.25"/>
    <row r="175291" customFormat="1" x14ac:dyDescent="0.25"/>
    <row r="175292" customFormat="1" x14ac:dyDescent="0.25"/>
    <row r="175293" customFormat="1" x14ac:dyDescent="0.25"/>
    <row r="175294" customFormat="1" x14ac:dyDescent="0.25"/>
    <row r="175295" customFormat="1" x14ac:dyDescent="0.25"/>
    <row r="175296" customFormat="1" x14ac:dyDescent="0.25"/>
    <row r="175297" customFormat="1" x14ac:dyDescent="0.25"/>
    <row r="175298" customFormat="1" x14ac:dyDescent="0.25"/>
    <row r="175299" customFormat="1" x14ac:dyDescent="0.25"/>
    <row r="175300" customFormat="1" x14ac:dyDescent="0.25"/>
    <row r="175301" customFormat="1" x14ac:dyDescent="0.25"/>
    <row r="175302" customFormat="1" x14ac:dyDescent="0.25"/>
    <row r="175303" customFormat="1" x14ac:dyDescent="0.25"/>
    <row r="175304" customFormat="1" x14ac:dyDescent="0.25"/>
    <row r="175305" customFormat="1" x14ac:dyDescent="0.25"/>
    <row r="175306" customFormat="1" x14ac:dyDescent="0.25"/>
    <row r="175307" customFormat="1" x14ac:dyDescent="0.25"/>
    <row r="175308" customFormat="1" x14ac:dyDescent="0.25"/>
    <row r="175309" customFormat="1" x14ac:dyDescent="0.25"/>
    <row r="175310" customFormat="1" x14ac:dyDescent="0.25"/>
    <row r="175311" customFormat="1" x14ac:dyDescent="0.25"/>
    <row r="175312" customFormat="1" x14ac:dyDescent="0.25"/>
    <row r="175313" customFormat="1" x14ac:dyDescent="0.25"/>
    <row r="175314" customFormat="1" x14ac:dyDescent="0.25"/>
    <row r="175315" customFormat="1" x14ac:dyDescent="0.25"/>
    <row r="175316" customFormat="1" x14ac:dyDescent="0.25"/>
    <row r="175317" customFormat="1" x14ac:dyDescent="0.25"/>
    <row r="175318" customFormat="1" x14ac:dyDescent="0.25"/>
    <row r="175319" customFormat="1" x14ac:dyDescent="0.25"/>
    <row r="175320" customFormat="1" x14ac:dyDescent="0.25"/>
    <row r="175321" customFormat="1" x14ac:dyDescent="0.25"/>
    <row r="175322" customFormat="1" x14ac:dyDescent="0.25"/>
    <row r="175323" customFormat="1" x14ac:dyDescent="0.25"/>
    <row r="175324" customFormat="1" x14ac:dyDescent="0.25"/>
    <row r="175325" customFormat="1" x14ac:dyDescent="0.25"/>
    <row r="175326" customFormat="1" x14ac:dyDescent="0.25"/>
    <row r="175327" customFormat="1" x14ac:dyDescent="0.25"/>
    <row r="175328" customFormat="1" x14ac:dyDescent="0.25"/>
    <row r="175329" customFormat="1" x14ac:dyDescent="0.25"/>
    <row r="175330" customFormat="1" x14ac:dyDescent="0.25"/>
    <row r="175331" customFormat="1" x14ac:dyDescent="0.25"/>
    <row r="175332" customFormat="1" x14ac:dyDescent="0.25"/>
    <row r="175333" customFormat="1" x14ac:dyDescent="0.25"/>
    <row r="175334" customFormat="1" x14ac:dyDescent="0.25"/>
    <row r="175335" customFormat="1" x14ac:dyDescent="0.25"/>
    <row r="175336" customFormat="1" x14ac:dyDescent="0.25"/>
    <row r="175337" customFormat="1" x14ac:dyDescent="0.25"/>
    <row r="175338" customFormat="1" x14ac:dyDescent="0.25"/>
    <row r="175339" customFormat="1" x14ac:dyDescent="0.25"/>
    <row r="175340" customFormat="1" x14ac:dyDescent="0.25"/>
    <row r="175341" customFormat="1" x14ac:dyDescent="0.25"/>
    <row r="175342" customFormat="1" x14ac:dyDescent="0.25"/>
    <row r="175343" customFormat="1" x14ac:dyDescent="0.25"/>
    <row r="175344" customFormat="1" x14ac:dyDescent="0.25"/>
    <row r="175345" customFormat="1" x14ac:dyDescent="0.25"/>
    <row r="175346" customFormat="1" x14ac:dyDescent="0.25"/>
    <row r="175347" customFormat="1" x14ac:dyDescent="0.25"/>
    <row r="175348" customFormat="1" x14ac:dyDescent="0.25"/>
    <row r="175349" customFormat="1" x14ac:dyDescent="0.25"/>
    <row r="175350" customFormat="1" x14ac:dyDescent="0.25"/>
    <row r="175351" customFormat="1" x14ac:dyDescent="0.25"/>
    <row r="175352" customFormat="1" x14ac:dyDescent="0.25"/>
    <row r="175353" customFormat="1" x14ac:dyDescent="0.25"/>
    <row r="175354" customFormat="1" x14ac:dyDescent="0.25"/>
    <row r="175355" customFormat="1" x14ac:dyDescent="0.25"/>
    <row r="175356" customFormat="1" x14ac:dyDescent="0.25"/>
    <row r="175357" customFormat="1" x14ac:dyDescent="0.25"/>
    <row r="175358" customFormat="1" x14ac:dyDescent="0.25"/>
    <row r="175359" customFormat="1" x14ac:dyDescent="0.25"/>
    <row r="175360" customFormat="1" x14ac:dyDescent="0.25"/>
    <row r="175361" customFormat="1" x14ac:dyDescent="0.25"/>
    <row r="175362" customFormat="1" x14ac:dyDescent="0.25"/>
    <row r="175363" customFormat="1" x14ac:dyDescent="0.25"/>
    <row r="175364" customFormat="1" x14ac:dyDescent="0.25"/>
    <row r="175365" customFormat="1" x14ac:dyDescent="0.25"/>
    <row r="175366" customFormat="1" x14ac:dyDescent="0.25"/>
    <row r="175367" customFormat="1" x14ac:dyDescent="0.25"/>
    <row r="175368" customFormat="1" x14ac:dyDescent="0.25"/>
    <row r="175369" customFormat="1" x14ac:dyDescent="0.25"/>
    <row r="175370" customFormat="1" x14ac:dyDescent="0.25"/>
    <row r="175371" customFormat="1" x14ac:dyDescent="0.25"/>
    <row r="175372" customFormat="1" x14ac:dyDescent="0.25"/>
    <row r="175373" customFormat="1" x14ac:dyDescent="0.25"/>
    <row r="175374" customFormat="1" x14ac:dyDescent="0.25"/>
    <row r="175375" customFormat="1" x14ac:dyDescent="0.25"/>
    <row r="175376" customFormat="1" x14ac:dyDescent="0.25"/>
    <row r="175377" customFormat="1" x14ac:dyDescent="0.25"/>
    <row r="175378" customFormat="1" x14ac:dyDescent="0.25"/>
    <row r="175379" customFormat="1" x14ac:dyDescent="0.25"/>
    <row r="175380" customFormat="1" x14ac:dyDescent="0.25"/>
    <row r="175381" customFormat="1" x14ac:dyDescent="0.25"/>
    <row r="175382" customFormat="1" x14ac:dyDescent="0.25"/>
    <row r="175383" customFormat="1" x14ac:dyDescent="0.25"/>
    <row r="175384" customFormat="1" x14ac:dyDescent="0.25"/>
    <row r="175385" customFormat="1" x14ac:dyDescent="0.25"/>
    <row r="175386" customFormat="1" x14ac:dyDescent="0.25"/>
    <row r="175387" customFormat="1" x14ac:dyDescent="0.25"/>
    <row r="175388" customFormat="1" x14ac:dyDescent="0.25"/>
    <row r="175389" customFormat="1" x14ac:dyDescent="0.25"/>
    <row r="175390" customFormat="1" x14ac:dyDescent="0.25"/>
    <row r="175391" customFormat="1" x14ac:dyDescent="0.25"/>
    <row r="175392" customFormat="1" x14ac:dyDescent="0.25"/>
    <row r="175393" customFormat="1" x14ac:dyDescent="0.25"/>
    <row r="175394" customFormat="1" x14ac:dyDescent="0.25"/>
    <row r="175395" customFormat="1" x14ac:dyDescent="0.25"/>
    <row r="175396" customFormat="1" x14ac:dyDescent="0.25"/>
    <row r="175397" customFormat="1" x14ac:dyDescent="0.25"/>
    <row r="175398" customFormat="1" x14ac:dyDescent="0.25"/>
    <row r="175399" customFormat="1" x14ac:dyDescent="0.25"/>
    <row r="175400" customFormat="1" x14ac:dyDescent="0.25"/>
    <row r="175401" customFormat="1" x14ac:dyDescent="0.25"/>
    <row r="175402" customFormat="1" x14ac:dyDescent="0.25"/>
    <row r="175403" customFormat="1" x14ac:dyDescent="0.25"/>
    <row r="175404" customFormat="1" x14ac:dyDescent="0.25"/>
    <row r="175405" customFormat="1" x14ac:dyDescent="0.25"/>
    <row r="175406" customFormat="1" x14ac:dyDescent="0.25"/>
    <row r="175407" customFormat="1" x14ac:dyDescent="0.25"/>
    <row r="175408" customFormat="1" x14ac:dyDescent="0.25"/>
    <row r="175409" customFormat="1" x14ac:dyDescent="0.25"/>
    <row r="175410" customFormat="1" x14ac:dyDescent="0.25"/>
    <row r="175411" customFormat="1" x14ac:dyDescent="0.25"/>
    <row r="175412" customFormat="1" x14ac:dyDescent="0.25"/>
    <row r="175413" customFormat="1" x14ac:dyDescent="0.25"/>
    <row r="175414" customFormat="1" x14ac:dyDescent="0.25"/>
    <row r="175415" customFormat="1" x14ac:dyDescent="0.25"/>
    <row r="175416" customFormat="1" x14ac:dyDescent="0.25"/>
    <row r="175417" customFormat="1" x14ac:dyDescent="0.25"/>
    <row r="175418" customFormat="1" x14ac:dyDescent="0.25"/>
    <row r="175419" customFormat="1" x14ac:dyDescent="0.25"/>
    <row r="175420" customFormat="1" x14ac:dyDescent="0.25"/>
    <row r="175421" customFormat="1" x14ac:dyDescent="0.25"/>
    <row r="175422" customFormat="1" x14ac:dyDescent="0.25"/>
    <row r="175423" customFormat="1" x14ac:dyDescent="0.25"/>
    <row r="175424" customFormat="1" x14ac:dyDescent="0.25"/>
    <row r="175425" customFormat="1" x14ac:dyDescent="0.25"/>
    <row r="175426" customFormat="1" x14ac:dyDescent="0.25"/>
    <row r="175427" customFormat="1" x14ac:dyDescent="0.25"/>
    <row r="175428" customFormat="1" x14ac:dyDescent="0.25"/>
    <row r="175429" customFormat="1" x14ac:dyDescent="0.25"/>
    <row r="175430" customFormat="1" x14ac:dyDescent="0.25"/>
    <row r="175431" customFormat="1" x14ac:dyDescent="0.25"/>
    <row r="175432" customFormat="1" x14ac:dyDescent="0.25"/>
    <row r="175433" customFormat="1" x14ac:dyDescent="0.25"/>
    <row r="175434" customFormat="1" x14ac:dyDescent="0.25"/>
    <row r="175435" customFormat="1" x14ac:dyDescent="0.25"/>
    <row r="175436" customFormat="1" x14ac:dyDescent="0.25"/>
    <row r="175437" customFormat="1" x14ac:dyDescent="0.25"/>
    <row r="175438" customFormat="1" x14ac:dyDescent="0.25"/>
    <row r="175439" customFormat="1" x14ac:dyDescent="0.25"/>
    <row r="175440" customFormat="1" x14ac:dyDescent="0.25"/>
    <row r="175441" customFormat="1" x14ac:dyDescent="0.25"/>
    <row r="175442" customFormat="1" x14ac:dyDescent="0.25"/>
    <row r="175443" customFormat="1" x14ac:dyDescent="0.25"/>
    <row r="175444" customFormat="1" x14ac:dyDescent="0.25"/>
    <row r="175445" customFormat="1" x14ac:dyDescent="0.25"/>
    <row r="175446" customFormat="1" x14ac:dyDescent="0.25"/>
    <row r="175447" customFormat="1" x14ac:dyDescent="0.25"/>
    <row r="175448" customFormat="1" x14ac:dyDescent="0.25"/>
    <row r="175449" customFormat="1" x14ac:dyDescent="0.25"/>
    <row r="175450" customFormat="1" x14ac:dyDescent="0.25"/>
    <row r="175451" customFormat="1" x14ac:dyDescent="0.25"/>
    <row r="175452" customFormat="1" x14ac:dyDescent="0.25"/>
    <row r="175453" customFormat="1" x14ac:dyDescent="0.25"/>
    <row r="175454" customFormat="1" x14ac:dyDescent="0.25"/>
    <row r="175455" customFormat="1" x14ac:dyDescent="0.25"/>
    <row r="175456" customFormat="1" x14ac:dyDescent="0.25"/>
    <row r="175457" customFormat="1" x14ac:dyDescent="0.25"/>
    <row r="175458" customFormat="1" x14ac:dyDescent="0.25"/>
    <row r="175459" customFormat="1" x14ac:dyDescent="0.25"/>
    <row r="175460" customFormat="1" x14ac:dyDescent="0.25"/>
    <row r="175461" customFormat="1" x14ac:dyDescent="0.25"/>
    <row r="175462" customFormat="1" x14ac:dyDescent="0.25"/>
    <row r="175463" customFormat="1" x14ac:dyDescent="0.25"/>
    <row r="175464" customFormat="1" x14ac:dyDescent="0.25"/>
    <row r="175465" customFormat="1" x14ac:dyDescent="0.25"/>
    <row r="175466" customFormat="1" x14ac:dyDescent="0.25"/>
    <row r="175467" customFormat="1" x14ac:dyDescent="0.25"/>
    <row r="175468" customFormat="1" x14ac:dyDescent="0.25"/>
    <row r="175469" customFormat="1" x14ac:dyDescent="0.25"/>
    <row r="175470" customFormat="1" x14ac:dyDescent="0.25"/>
    <row r="175471" customFormat="1" x14ac:dyDescent="0.25"/>
    <row r="175472" customFormat="1" x14ac:dyDescent="0.25"/>
    <row r="175473" customFormat="1" x14ac:dyDescent="0.25"/>
    <row r="175474" customFormat="1" x14ac:dyDescent="0.25"/>
    <row r="175475" customFormat="1" x14ac:dyDescent="0.25"/>
    <row r="175476" customFormat="1" x14ac:dyDescent="0.25"/>
    <row r="175477" customFormat="1" x14ac:dyDescent="0.25"/>
    <row r="175478" customFormat="1" x14ac:dyDescent="0.25"/>
    <row r="175479" customFormat="1" x14ac:dyDescent="0.25"/>
    <row r="175480" customFormat="1" x14ac:dyDescent="0.25"/>
    <row r="175481" customFormat="1" x14ac:dyDescent="0.25"/>
    <row r="175482" customFormat="1" x14ac:dyDescent="0.25"/>
    <row r="175483" customFormat="1" x14ac:dyDescent="0.25"/>
    <row r="175484" customFormat="1" x14ac:dyDescent="0.25"/>
    <row r="175485" customFormat="1" x14ac:dyDescent="0.25"/>
    <row r="175486" customFormat="1" x14ac:dyDescent="0.25"/>
    <row r="175487" customFormat="1" x14ac:dyDescent="0.25"/>
    <row r="175488" customFormat="1" x14ac:dyDescent="0.25"/>
    <row r="175489" customFormat="1" x14ac:dyDescent="0.25"/>
    <row r="175490" customFormat="1" x14ac:dyDescent="0.25"/>
    <row r="175491" customFormat="1" x14ac:dyDescent="0.25"/>
    <row r="175492" customFormat="1" x14ac:dyDescent="0.25"/>
    <row r="175493" customFormat="1" x14ac:dyDescent="0.25"/>
    <row r="175494" customFormat="1" x14ac:dyDescent="0.25"/>
    <row r="175495" customFormat="1" x14ac:dyDescent="0.25"/>
    <row r="175496" customFormat="1" x14ac:dyDescent="0.25"/>
    <row r="175497" customFormat="1" x14ac:dyDescent="0.25"/>
    <row r="175498" customFormat="1" x14ac:dyDescent="0.25"/>
    <row r="175499" customFormat="1" x14ac:dyDescent="0.25"/>
    <row r="175500" customFormat="1" x14ac:dyDescent="0.25"/>
    <row r="175501" customFormat="1" x14ac:dyDescent="0.25"/>
    <row r="175502" customFormat="1" x14ac:dyDescent="0.25"/>
    <row r="175503" customFormat="1" x14ac:dyDescent="0.25"/>
    <row r="175504" customFormat="1" x14ac:dyDescent="0.25"/>
    <row r="175505" customFormat="1" x14ac:dyDescent="0.25"/>
    <row r="175506" customFormat="1" x14ac:dyDescent="0.25"/>
    <row r="175507" customFormat="1" x14ac:dyDescent="0.25"/>
    <row r="175508" customFormat="1" x14ac:dyDescent="0.25"/>
    <row r="175509" customFormat="1" x14ac:dyDescent="0.25"/>
    <row r="175510" customFormat="1" x14ac:dyDescent="0.25"/>
    <row r="175511" customFormat="1" x14ac:dyDescent="0.25"/>
    <row r="175512" customFormat="1" x14ac:dyDescent="0.25"/>
    <row r="175513" customFormat="1" x14ac:dyDescent="0.25"/>
    <row r="175514" customFormat="1" x14ac:dyDescent="0.25"/>
    <row r="175515" customFormat="1" x14ac:dyDescent="0.25"/>
    <row r="175516" customFormat="1" x14ac:dyDescent="0.25"/>
    <row r="175517" customFormat="1" x14ac:dyDescent="0.25"/>
    <row r="175518" customFormat="1" x14ac:dyDescent="0.25"/>
    <row r="175519" customFormat="1" x14ac:dyDescent="0.25"/>
    <row r="175520" customFormat="1" x14ac:dyDescent="0.25"/>
    <row r="175521" customFormat="1" x14ac:dyDescent="0.25"/>
    <row r="175522" customFormat="1" x14ac:dyDescent="0.25"/>
    <row r="175523" customFormat="1" x14ac:dyDescent="0.25"/>
    <row r="175524" customFormat="1" x14ac:dyDescent="0.25"/>
    <row r="175525" customFormat="1" x14ac:dyDescent="0.25"/>
    <row r="175526" customFormat="1" x14ac:dyDescent="0.25"/>
    <row r="175527" customFormat="1" x14ac:dyDescent="0.25"/>
    <row r="175528" customFormat="1" x14ac:dyDescent="0.25"/>
    <row r="175529" customFormat="1" x14ac:dyDescent="0.25"/>
    <row r="175530" customFormat="1" x14ac:dyDescent="0.25"/>
    <row r="175531" customFormat="1" x14ac:dyDescent="0.25"/>
    <row r="175532" customFormat="1" x14ac:dyDescent="0.25"/>
    <row r="175533" customFormat="1" x14ac:dyDescent="0.25"/>
    <row r="175534" customFormat="1" x14ac:dyDescent="0.25"/>
    <row r="175535" customFormat="1" x14ac:dyDescent="0.25"/>
    <row r="175536" customFormat="1" x14ac:dyDescent="0.25"/>
    <row r="175537" customFormat="1" x14ac:dyDescent="0.25"/>
    <row r="175538" customFormat="1" x14ac:dyDescent="0.25"/>
    <row r="175539" customFormat="1" x14ac:dyDescent="0.25"/>
    <row r="175540" customFormat="1" x14ac:dyDescent="0.25"/>
    <row r="175541" customFormat="1" x14ac:dyDescent="0.25"/>
    <row r="175542" customFormat="1" x14ac:dyDescent="0.25"/>
    <row r="175543" customFormat="1" x14ac:dyDescent="0.25"/>
    <row r="175544" customFormat="1" x14ac:dyDescent="0.25"/>
    <row r="175545" customFormat="1" x14ac:dyDescent="0.25"/>
    <row r="175546" customFormat="1" x14ac:dyDescent="0.25"/>
    <row r="175547" customFormat="1" x14ac:dyDescent="0.25"/>
    <row r="175548" customFormat="1" x14ac:dyDescent="0.25"/>
    <row r="175549" customFormat="1" x14ac:dyDescent="0.25"/>
    <row r="175550" customFormat="1" x14ac:dyDescent="0.25"/>
    <row r="175551" customFormat="1" x14ac:dyDescent="0.25"/>
    <row r="175552" customFormat="1" x14ac:dyDescent="0.25"/>
    <row r="175553" customFormat="1" x14ac:dyDescent="0.25"/>
    <row r="175554" customFormat="1" x14ac:dyDescent="0.25"/>
    <row r="175555" customFormat="1" x14ac:dyDescent="0.25"/>
    <row r="175556" customFormat="1" x14ac:dyDescent="0.25"/>
    <row r="175557" customFormat="1" x14ac:dyDescent="0.25"/>
    <row r="175558" customFormat="1" x14ac:dyDescent="0.25"/>
    <row r="175559" customFormat="1" x14ac:dyDescent="0.25"/>
    <row r="175560" customFormat="1" x14ac:dyDescent="0.25"/>
    <row r="175561" customFormat="1" x14ac:dyDescent="0.25"/>
    <row r="175562" customFormat="1" x14ac:dyDescent="0.25"/>
    <row r="175563" customFormat="1" x14ac:dyDescent="0.25"/>
    <row r="175564" customFormat="1" x14ac:dyDescent="0.25"/>
    <row r="175565" customFormat="1" x14ac:dyDescent="0.25"/>
    <row r="175566" customFormat="1" x14ac:dyDescent="0.25"/>
    <row r="175567" customFormat="1" x14ac:dyDescent="0.25"/>
    <row r="175568" customFormat="1" x14ac:dyDescent="0.25"/>
    <row r="175569" customFormat="1" x14ac:dyDescent="0.25"/>
    <row r="175570" customFormat="1" x14ac:dyDescent="0.25"/>
    <row r="175571" customFormat="1" x14ac:dyDescent="0.25"/>
    <row r="175572" customFormat="1" x14ac:dyDescent="0.25"/>
    <row r="175573" customFormat="1" x14ac:dyDescent="0.25"/>
    <row r="175574" customFormat="1" x14ac:dyDescent="0.25"/>
    <row r="175575" customFormat="1" x14ac:dyDescent="0.25"/>
    <row r="175576" customFormat="1" x14ac:dyDescent="0.25"/>
    <row r="175577" customFormat="1" x14ac:dyDescent="0.25"/>
    <row r="175578" customFormat="1" x14ac:dyDescent="0.25"/>
    <row r="175579" customFormat="1" x14ac:dyDescent="0.25"/>
    <row r="175580" customFormat="1" x14ac:dyDescent="0.25"/>
    <row r="175581" customFormat="1" x14ac:dyDescent="0.25"/>
    <row r="175582" customFormat="1" x14ac:dyDescent="0.25"/>
    <row r="175583" customFormat="1" x14ac:dyDescent="0.25"/>
    <row r="175584" customFormat="1" x14ac:dyDescent="0.25"/>
    <row r="175585" customFormat="1" x14ac:dyDescent="0.25"/>
    <row r="175586" customFormat="1" x14ac:dyDescent="0.25"/>
    <row r="175587" customFormat="1" x14ac:dyDescent="0.25"/>
    <row r="175588" customFormat="1" x14ac:dyDescent="0.25"/>
    <row r="175589" customFormat="1" x14ac:dyDescent="0.25"/>
    <row r="175590" customFormat="1" x14ac:dyDescent="0.25"/>
    <row r="175591" customFormat="1" x14ac:dyDescent="0.25"/>
    <row r="175592" customFormat="1" x14ac:dyDescent="0.25"/>
    <row r="175593" customFormat="1" x14ac:dyDescent="0.25"/>
    <row r="175594" customFormat="1" x14ac:dyDescent="0.25"/>
    <row r="175595" customFormat="1" x14ac:dyDescent="0.25"/>
    <row r="175596" customFormat="1" x14ac:dyDescent="0.25"/>
    <row r="175597" customFormat="1" x14ac:dyDescent="0.25"/>
    <row r="175598" customFormat="1" x14ac:dyDescent="0.25"/>
    <row r="175599" customFormat="1" x14ac:dyDescent="0.25"/>
    <row r="175600" customFormat="1" x14ac:dyDescent="0.25"/>
    <row r="175601" customFormat="1" x14ac:dyDescent="0.25"/>
    <row r="175602" customFormat="1" x14ac:dyDescent="0.25"/>
    <row r="175603" customFormat="1" x14ac:dyDescent="0.25"/>
    <row r="175604" customFormat="1" x14ac:dyDescent="0.25"/>
    <row r="175605" customFormat="1" x14ac:dyDescent="0.25"/>
    <row r="175606" customFormat="1" x14ac:dyDescent="0.25"/>
    <row r="175607" customFormat="1" x14ac:dyDescent="0.25"/>
    <row r="175608" customFormat="1" x14ac:dyDescent="0.25"/>
    <row r="175609" customFormat="1" x14ac:dyDescent="0.25"/>
    <row r="175610" customFormat="1" x14ac:dyDescent="0.25"/>
    <row r="175611" customFormat="1" x14ac:dyDescent="0.25"/>
    <row r="175612" customFormat="1" x14ac:dyDescent="0.25"/>
    <row r="175613" customFormat="1" x14ac:dyDescent="0.25"/>
    <row r="175614" customFormat="1" x14ac:dyDescent="0.25"/>
    <row r="175615" customFormat="1" x14ac:dyDescent="0.25"/>
    <row r="175616" customFormat="1" x14ac:dyDescent="0.25"/>
    <row r="175617" customFormat="1" x14ac:dyDescent="0.25"/>
    <row r="175618" customFormat="1" x14ac:dyDescent="0.25"/>
    <row r="175619" customFormat="1" x14ac:dyDescent="0.25"/>
    <row r="175620" customFormat="1" x14ac:dyDescent="0.25"/>
    <row r="175621" customFormat="1" x14ac:dyDescent="0.25"/>
    <row r="175622" customFormat="1" x14ac:dyDescent="0.25"/>
    <row r="175623" customFormat="1" x14ac:dyDescent="0.25"/>
    <row r="175624" customFormat="1" x14ac:dyDescent="0.25"/>
    <row r="175625" customFormat="1" x14ac:dyDescent="0.25"/>
    <row r="175626" customFormat="1" x14ac:dyDescent="0.25"/>
    <row r="175627" customFormat="1" x14ac:dyDescent="0.25"/>
    <row r="175628" customFormat="1" x14ac:dyDescent="0.25"/>
    <row r="175629" customFormat="1" x14ac:dyDescent="0.25"/>
    <row r="175630" customFormat="1" x14ac:dyDescent="0.25"/>
    <row r="175631" customFormat="1" x14ac:dyDescent="0.25"/>
    <row r="175632" customFormat="1" x14ac:dyDescent="0.25"/>
    <row r="175633" customFormat="1" x14ac:dyDescent="0.25"/>
    <row r="175634" customFormat="1" x14ac:dyDescent="0.25"/>
    <row r="175635" customFormat="1" x14ac:dyDescent="0.25"/>
    <row r="175636" customFormat="1" x14ac:dyDescent="0.25"/>
    <row r="175637" customFormat="1" x14ac:dyDescent="0.25"/>
    <row r="175638" customFormat="1" x14ac:dyDescent="0.25"/>
    <row r="175639" customFormat="1" x14ac:dyDescent="0.25"/>
    <row r="175640" customFormat="1" x14ac:dyDescent="0.25"/>
    <row r="175641" customFormat="1" x14ac:dyDescent="0.25"/>
    <row r="175642" customFormat="1" x14ac:dyDescent="0.25"/>
    <row r="175643" customFormat="1" x14ac:dyDescent="0.25"/>
    <row r="175644" customFormat="1" x14ac:dyDescent="0.25"/>
    <row r="175645" customFormat="1" x14ac:dyDescent="0.25"/>
    <row r="175646" customFormat="1" x14ac:dyDescent="0.25"/>
    <row r="175647" customFormat="1" x14ac:dyDescent="0.25"/>
    <row r="175648" customFormat="1" x14ac:dyDescent="0.25"/>
    <row r="175649" customFormat="1" x14ac:dyDescent="0.25"/>
    <row r="175650" customFormat="1" x14ac:dyDescent="0.25"/>
    <row r="175651" customFormat="1" x14ac:dyDescent="0.25"/>
    <row r="175652" customFormat="1" x14ac:dyDescent="0.25"/>
    <row r="175653" customFormat="1" x14ac:dyDescent="0.25"/>
    <row r="175654" customFormat="1" x14ac:dyDescent="0.25"/>
    <row r="175655" customFormat="1" x14ac:dyDescent="0.25"/>
    <row r="175656" customFormat="1" x14ac:dyDescent="0.25"/>
    <row r="175657" customFormat="1" x14ac:dyDescent="0.25"/>
    <row r="175658" customFormat="1" x14ac:dyDescent="0.25"/>
    <row r="175659" customFormat="1" x14ac:dyDescent="0.25"/>
    <row r="175660" customFormat="1" x14ac:dyDescent="0.25"/>
    <row r="175661" customFormat="1" x14ac:dyDescent="0.25"/>
    <row r="175662" customFormat="1" x14ac:dyDescent="0.25"/>
    <row r="175663" customFormat="1" x14ac:dyDescent="0.25"/>
    <row r="175664" customFormat="1" x14ac:dyDescent="0.25"/>
    <row r="175665" customFormat="1" x14ac:dyDescent="0.25"/>
    <row r="175666" customFormat="1" x14ac:dyDescent="0.25"/>
    <row r="175667" customFormat="1" x14ac:dyDescent="0.25"/>
    <row r="175668" customFormat="1" x14ac:dyDescent="0.25"/>
    <row r="175669" customFormat="1" x14ac:dyDescent="0.25"/>
    <row r="175670" customFormat="1" x14ac:dyDescent="0.25"/>
    <row r="175671" customFormat="1" x14ac:dyDescent="0.25"/>
    <row r="175672" customFormat="1" x14ac:dyDescent="0.25"/>
    <row r="175673" customFormat="1" x14ac:dyDescent="0.25"/>
    <row r="175674" customFormat="1" x14ac:dyDescent="0.25"/>
    <row r="175675" customFormat="1" x14ac:dyDescent="0.25"/>
    <row r="175676" customFormat="1" x14ac:dyDescent="0.25"/>
    <row r="175677" customFormat="1" x14ac:dyDescent="0.25"/>
    <row r="175678" customFormat="1" x14ac:dyDescent="0.25"/>
    <row r="175679" customFormat="1" x14ac:dyDescent="0.25"/>
    <row r="175680" customFormat="1" x14ac:dyDescent="0.25"/>
    <row r="175681" customFormat="1" x14ac:dyDescent="0.25"/>
    <row r="175682" customFormat="1" x14ac:dyDescent="0.25"/>
    <row r="175683" customFormat="1" x14ac:dyDescent="0.25"/>
    <row r="175684" customFormat="1" x14ac:dyDescent="0.25"/>
    <row r="175685" customFormat="1" x14ac:dyDescent="0.25"/>
    <row r="175686" customFormat="1" x14ac:dyDescent="0.25"/>
    <row r="175687" customFormat="1" x14ac:dyDescent="0.25"/>
    <row r="175688" customFormat="1" x14ac:dyDescent="0.25"/>
    <row r="175689" customFormat="1" x14ac:dyDescent="0.25"/>
    <row r="175690" customFormat="1" x14ac:dyDescent="0.25"/>
    <row r="175691" customFormat="1" x14ac:dyDescent="0.25"/>
    <row r="175692" customFormat="1" x14ac:dyDescent="0.25"/>
    <row r="175693" customFormat="1" x14ac:dyDescent="0.25"/>
    <row r="175694" customFormat="1" x14ac:dyDescent="0.25"/>
    <row r="175695" customFormat="1" x14ac:dyDescent="0.25"/>
    <row r="175696" customFormat="1" x14ac:dyDescent="0.25"/>
    <row r="175697" customFormat="1" x14ac:dyDescent="0.25"/>
    <row r="175698" customFormat="1" x14ac:dyDescent="0.25"/>
    <row r="175699" customFormat="1" x14ac:dyDescent="0.25"/>
    <row r="175700" customFormat="1" x14ac:dyDescent="0.25"/>
    <row r="175701" customFormat="1" x14ac:dyDescent="0.25"/>
    <row r="175702" customFormat="1" x14ac:dyDescent="0.25"/>
    <row r="175703" customFormat="1" x14ac:dyDescent="0.25"/>
    <row r="175704" customFormat="1" x14ac:dyDescent="0.25"/>
    <row r="175705" customFormat="1" x14ac:dyDescent="0.25"/>
    <row r="175706" customFormat="1" x14ac:dyDescent="0.25"/>
    <row r="175707" customFormat="1" x14ac:dyDescent="0.25"/>
    <row r="175708" customFormat="1" x14ac:dyDescent="0.25"/>
    <row r="175709" customFormat="1" x14ac:dyDescent="0.25"/>
    <row r="175710" customFormat="1" x14ac:dyDescent="0.25"/>
    <row r="175711" customFormat="1" x14ac:dyDescent="0.25"/>
    <row r="175712" customFormat="1" x14ac:dyDescent="0.25"/>
    <row r="175713" customFormat="1" x14ac:dyDescent="0.25"/>
    <row r="175714" customFormat="1" x14ac:dyDescent="0.25"/>
    <row r="175715" customFormat="1" x14ac:dyDescent="0.25"/>
    <row r="175716" customFormat="1" x14ac:dyDescent="0.25"/>
    <row r="175717" customFormat="1" x14ac:dyDescent="0.25"/>
    <row r="175718" customFormat="1" x14ac:dyDescent="0.25"/>
    <row r="175719" customFormat="1" x14ac:dyDescent="0.25"/>
    <row r="175720" customFormat="1" x14ac:dyDescent="0.25"/>
    <row r="175721" customFormat="1" x14ac:dyDescent="0.25"/>
    <row r="175722" customFormat="1" x14ac:dyDescent="0.25"/>
    <row r="175723" customFormat="1" x14ac:dyDescent="0.25"/>
    <row r="175724" customFormat="1" x14ac:dyDescent="0.25"/>
    <row r="175725" customFormat="1" x14ac:dyDescent="0.25"/>
    <row r="175726" customFormat="1" x14ac:dyDescent="0.25"/>
    <row r="175727" customFormat="1" x14ac:dyDescent="0.25"/>
    <row r="175728" customFormat="1" x14ac:dyDescent="0.25"/>
    <row r="175729" customFormat="1" x14ac:dyDescent="0.25"/>
    <row r="175730" customFormat="1" x14ac:dyDescent="0.25"/>
    <row r="175731" customFormat="1" x14ac:dyDescent="0.25"/>
    <row r="175732" customFormat="1" x14ac:dyDescent="0.25"/>
    <row r="175733" customFormat="1" x14ac:dyDescent="0.25"/>
    <row r="175734" customFormat="1" x14ac:dyDescent="0.25"/>
    <row r="175735" customFormat="1" x14ac:dyDescent="0.25"/>
    <row r="175736" customFormat="1" x14ac:dyDescent="0.25"/>
    <row r="175737" customFormat="1" x14ac:dyDescent="0.25"/>
    <row r="175738" customFormat="1" x14ac:dyDescent="0.25"/>
    <row r="175739" customFormat="1" x14ac:dyDescent="0.25"/>
    <row r="175740" customFormat="1" x14ac:dyDescent="0.25"/>
    <row r="175741" customFormat="1" x14ac:dyDescent="0.25"/>
    <row r="175742" customFormat="1" x14ac:dyDescent="0.25"/>
    <row r="175743" customFormat="1" x14ac:dyDescent="0.25"/>
    <row r="175744" customFormat="1" x14ac:dyDescent="0.25"/>
    <row r="175745" customFormat="1" x14ac:dyDescent="0.25"/>
    <row r="175746" customFormat="1" x14ac:dyDescent="0.25"/>
    <row r="175747" customFormat="1" x14ac:dyDescent="0.25"/>
    <row r="175748" customFormat="1" x14ac:dyDescent="0.25"/>
    <row r="175749" customFormat="1" x14ac:dyDescent="0.25"/>
    <row r="175750" customFormat="1" x14ac:dyDescent="0.25"/>
    <row r="175751" customFormat="1" x14ac:dyDescent="0.25"/>
    <row r="175752" customFormat="1" x14ac:dyDescent="0.25"/>
    <row r="175753" customFormat="1" x14ac:dyDescent="0.25"/>
    <row r="175754" customFormat="1" x14ac:dyDescent="0.25"/>
    <row r="175755" customFormat="1" x14ac:dyDescent="0.25"/>
    <row r="175756" customFormat="1" x14ac:dyDescent="0.25"/>
    <row r="175757" customFormat="1" x14ac:dyDescent="0.25"/>
    <row r="175758" customFormat="1" x14ac:dyDescent="0.25"/>
    <row r="175759" customFormat="1" x14ac:dyDescent="0.25"/>
    <row r="175760" customFormat="1" x14ac:dyDescent="0.25"/>
    <row r="175761" customFormat="1" x14ac:dyDescent="0.25"/>
    <row r="175762" customFormat="1" x14ac:dyDescent="0.25"/>
    <row r="175763" customFormat="1" x14ac:dyDescent="0.25"/>
    <row r="175764" customFormat="1" x14ac:dyDescent="0.25"/>
    <row r="175765" customFormat="1" x14ac:dyDescent="0.25"/>
    <row r="175766" customFormat="1" x14ac:dyDescent="0.25"/>
    <row r="175767" customFormat="1" x14ac:dyDescent="0.25"/>
    <row r="175768" customFormat="1" x14ac:dyDescent="0.25"/>
    <row r="175769" customFormat="1" x14ac:dyDescent="0.25"/>
    <row r="175770" customFormat="1" x14ac:dyDescent="0.25"/>
    <row r="175771" customFormat="1" x14ac:dyDescent="0.25"/>
    <row r="175772" customFormat="1" x14ac:dyDescent="0.25"/>
    <row r="175773" customFormat="1" x14ac:dyDescent="0.25"/>
    <row r="175774" customFormat="1" x14ac:dyDescent="0.25"/>
    <row r="175775" customFormat="1" x14ac:dyDescent="0.25"/>
    <row r="175776" customFormat="1" x14ac:dyDescent="0.25"/>
    <row r="175777" customFormat="1" x14ac:dyDescent="0.25"/>
    <row r="175778" customFormat="1" x14ac:dyDescent="0.25"/>
    <row r="175779" customFormat="1" x14ac:dyDescent="0.25"/>
    <row r="175780" customFormat="1" x14ac:dyDescent="0.25"/>
    <row r="175781" customFormat="1" x14ac:dyDescent="0.25"/>
    <row r="175782" customFormat="1" x14ac:dyDescent="0.25"/>
    <row r="175783" customFormat="1" x14ac:dyDescent="0.25"/>
    <row r="175784" customFormat="1" x14ac:dyDescent="0.25"/>
    <row r="175785" customFormat="1" x14ac:dyDescent="0.25"/>
    <row r="175786" customFormat="1" x14ac:dyDescent="0.25"/>
    <row r="175787" customFormat="1" x14ac:dyDescent="0.25"/>
    <row r="175788" customFormat="1" x14ac:dyDescent="0.25"/>
    <row r="175789" customFormat="1" x14ac:dyDescent="0.25"/>
    <row r="175790" customFormat="1" x14ac:dyDescent="0.25"/>
    <row r="175791" customFormat="1" x14ac:dyDescent="0.25"/>
    <row r="175792" customFormat="1" x14ac:dyDescent="0.25"/>
    <row r="175793" customFormat="1" x14ac:dyDescent="0.25"/>
    <row r="175794" customFormat="1" x14ac:dyDescent="0.25"/>
    <row r="175795" customFormat="1" x14ac:dyDescent="0.25"/>
    <row r="175796" customFormat="1" x14ac:dyDescent="0.25"/>
    <row r="175797" customFormat="1" x14ac:dyDescent="0.25"/>
    <row r="175798" customFormat="1" x14ac:dyDescent="0.25"/>
    <row r="175799" customFormat="1" x14ac:dyDescent="0.25"/>
    <row r="175800" customFormat="1" x14ac:dyDescent="0.25"/>
    <row r="175801" customFormat="1" x14ac:dyDescent="0.25"/>
    <row r="175802" customFormat="1" x14ac:dyDescent="0.25"/>
    <row r="175803" customFormat="1" x14ac:dyDescent="0.25"/>
    <row r="175804" customFormat="1" x14ac:dyDescent="0.25"/>
    <row r="175805" customFormat="1" x14ac:dyDescent="0.25"/>
    <row r="175806" customFormat="1" x14ac:dyDescent="0.25"/>
    <row r="175807" customFormat="1" x14ac:dyDescent="0.25"/>
    <row r="175808" customFormat="1" x14ac:dyDescent="0.25"/>
    <row r="175809" customFormat="1" x14ac:dyDescent="0.25"/>
    <row r="175810" customFormat="1" x14ac:dyDescent="0.25"/>
    <row r="175811" customFormat="1" x14ac:dyDescent="0.25"/>
    <row r="175812" customFormat="1" x14ac:dyDescent="0.25"/>
    <row r="175813" customFormat="1" x14ac:dyDescent="0.25"/>
    <row r="175814" customFormat="1" x14ac:dyDescent="0.25"/>
    <row r="175815" customFormat="1" x14ac:dyDescent="0.25"/>
    <row r="175816" customFormat="1" x14ac:dyDescent="0.25"/>
    <row r="175817" customFormat="1" x14ac:dyDescent="0.25"/>
    <row r="175818" customFormat="1" x14ac:dyDescent="0.25"/>
    <row r="175819" customFormat="1" x14ac:dyDescent="0.25"/>
    <row r="175820" customFormat="1" x14ac:dyDescent="0.25"/>
    <row r="175821" customFormat="1" x14ac:dyDescent="0.25"/>
    <row r="175822" customFormat="1" x14ac:dyDescent="0.25"/>
    <row r="175823" customFormat="1" x14ac:dyDescent="0.25"/>
    <row r="175824" customFormat="1" x14ac:dyDescent="0.25"/>
    <row r="175825" customFormat="1" x14ac:dyDescent="0.25"/>
    <row r="175826" customFormat="1" x14ac:dyDescent="0.25"/>
    <row r="175827" customFormat="1" x14ac:dyDescent="0.25"/>
    <row r="175828" customFormat="1" x14ac:dyDescent="0.25"/>
    <row r="175829" customFormat="1" x14ac:dyDescent="0.25"/>
    <row r="175830" customFormat="1" x14ac:dyDescent="0.25"/>
    <row r="175831" customFormat="1" x14ac:dyDescent="0.25"/>
    <row r="175832" customFormat="1" x14ac:dyDescent="0.25"/>
    <row r="175833" customFormat="1" x14ac:dyDescent="0.25"/>
    <row r="175834" customFormat="1" x14ac:dyDescent="0.25"/>
    <row r="175835" customFormat="1" x14ac:dyDescent="0.25"/>
    <row r="175836" customFormat="1" x14ac:dyDescent="0.25"/>
    <row r="175837" customFormat="1" x14ac:dyDescent="0.25"/>
    <row r="175838" customFormat="1" x14ac:dyDescent="0.25"/>
    <row r="175839" customFormat="1" x14ac:dyDescent="0.25"/>
    <row r="175840" customFormat="1" x14ac:dyDescent="0.25"/>
    <row r="175841" customFormat="1" x14ac:dyDescent="0.25"/>
    <row r="175842" customFormat="1" x14ac:dyDescent="0.25"/>
    <row r="175843" customFormat="1" x14ac:dyDescent="0.25"/>
    <row r="175844" customFormat="1" x14ac:dyDescent="0.25"/>
    <row r="175845" customFormat="1" x14ac:dyDescent="0.25"/>
    <row r="175846" customFormat="1" x14ac:dyDescent="0.25"/>
    <row r="175847" customFormat="1" x14ac:dyDescent="0.25"/>
    <row r="175848" customFormat="1" x14ac:dyDescent="0.25"/>
    <row r="175849" customFormat="1" x14ac:dyDescent="0.25"/>
    <row r="175850" customFormat="1" x14ac:dyDescent="0.25"/>
    <row r="175851" customFormat="1" x14ac:dyDescent="0.25"/>
    <row r="175852" customFormat="1" x14ac:dyDescent="0.25"/>
    <row r="175853" customFormat="1" x14ac:dyDescent="0.25"/>
    <row r="175854" customFormat="1" x14ac:dyDescent="0.25"/>
    <row r="175855" customFormat="1" x14ac:dyDescent="0.25"/>
    <row r="175856" customFormat="1" x14ac:dyDescent="0.25"/>
    <row r="175857" customFormat="1" x14ac:dyDescent="0.25"/>
    <row r="175858" customFormat="1" x14ac:dyDescent="0.25"/>
    <row r="175859" customFormat="1" x14ac:dyDescent="0.25"/>
    <row r="175860" customFormat="1" x14ac:dyDescent="0.25"/>
    <row r="175861" customFormat="1" x14ac:dyDescent="0.25"/>
    <row r="175862" customFormat="1" x14ac:dyDescent="0.25"/>
    <row r="175863" customFormat="1" x14ac:dyDescent="0.25"/>
    <row r="175864" customFormat="1" x14ac:dyDescent="0.25"/>
    <row r="175865" customFormat="1" x14ac:dyDescent="0.25"/>
    <row r="175866" customFormat="1" x14ac:dyDescent="0.25"/>
    <row r="175867" customFormat="1" x14ac:dyDescent="0.25"/>
    <row r="175868" customFormat="1" x14ac:dyDescent="0.25"/>
    <row r="175869" customFormat="1" x14ac:dyDescent="0.25"/>
    <row r="175870" customFormat="1" x14ac:dyDescent="0.25"/>
    <row r="175871" customFormat="1" x14ac:dyDescent="0.25"/>
    <row r="175872" customFormat="1" x14ac:dyDescent="0.25"/>
    <row r="175873" customFormat="1" x14ac:dyDescent="0.25"/>
    <row r="175874" customFormat="1" x14ac:dyDescent="0.25"/>
    <row r="175875" customFormat="1" x14ac:dyDescent="0.25"/>
    <row r="175876" customFormat="1" x14ac:dyDescent="0.25"/>
    <row r="175877" customFormat="1" x14ac:dyDescent="0.25"/>
    <row r="175878" customFormat="1" x14ac:dyDescent="0.25"/>
    <row r="175879" customFormat="1" x14ac:dyDescent="0.25"/>
    <row r="175880" customFormat="1" x14ac:dyDescent="0.25"/>
    <row r="175881" customFormat="1" x14ac:dyDescent="0.25"/>
    <row r="175882" customFormat="1" x14ac:dyDescent="0.25"/>
    <row r="175883" customFormat="1" x14ac:dyDescent="0.25"/>
    <row r="175884" customFormat="1" x14ac:dyDescent="0.25"/>
    <row r="175885" customFormat="1" x14ac:dyDescent="0.25"/>
    <row r="175886" customFormat="1" x14ac:dyDescent="0.25"/>
    <row r="175887" customFormat="1" x14ac:dyDescent="0.25"/>
    <row r="175888" customFormat="1" x14ac:dyDescent="0.25"/>
    <row r="175889" customFormat="1" x14ac:dyDescent="0.25"/>
    <row r="175890" customFormat="1" x14ac:dyDescent="0.25"/>
    <row r="175891" customFormat="1" x14ac:dyDescent="0.25"/>
    <row r="175892" customFormat="1" x14ac:dyDescent="0.25"/>
    <row r="175893" customFormat="1" x14ac:dyDescent="0.25"/>
    <row r="175894" customFormat="1" x14ac:dyDescent="0.25"/>
    <row r="175895" customFormat="1" x14ac:dyDescent="0.25"/>
    <row r="175896" customFormat="1" x14ac:dyDescent="0.25"/>
    <row r="175897" customFormat="1" x14ac:dyDescent="0.25"/>
    <row r="175898" customFormat="1" x14ac:dyDescent="0.25"/>
    <row r="175899" customFormat="1" x14ac:dyDescent="0.25"/>
    <row r="175900" customFormat="1" x14ac:dyDescent="0.25"/>
    <row r="175901" customFormat="1" x14ac:dyDescent="0.25"/>
    <row r="175902" customFormat="1" x14ac:dyDescent="0.25"/>
    <row r="175903" customFormat="1" x14ac:dyDescent="0.25"/>
    <row r="175904" customFormat="1" x14ac:dyDescent="0.25"/>
    <row r="175905" customFormat="1" x14ac:dyDescent="0.25"/>
    <row r="175906" customFormat="1" x14ac:dyDescent="0.25"/>
    <row r="175907" customFormat="1" x14ac:dyDescent="0.25"/>
    <row r="175908" customFormat="1" x14ac:dyDescent="0.25"/>
    <row r="175909" customFormat="1" x14ac:dyDescent="0.25"/>
    <row r="175910" customFormat="1" x14ac:dyDescent="0.25"/>
    <row r="175911" customFormat="1" x14ac:dyDescent="0.25"/>
    <row r="175912" customFormat="1" x14ac:dyDescent="0.25"/>
    <row r="175913" customFormat="1" x14ac:dyDescent="0.25"/>
    <row r="175914" customFormat="1" x14ac:dyDescent="0.25"/>
    <row r="175915" customFormat="1" x14ac:dyDescent="0.25"/>
    <row r="175916" customFormat="1" x14ac:dyDescent="0.25"/>
    <row r="175917" customFormat="1" x14ac:dyDescent="0.25"/>
    <row r="175918" customFormat="1" x14ac:dyDescent="0.25"/>
    <row r="175919" customFormat="1" x14ac:dyDescent="0.25"/>
    <row r="175920" customFormat="1" x14ac:dyDescent="0.25"/>
    <row r="175921" customFormat="1" x14ac:dyDescent="0.25"/>
    <row r="175922" customFormat="1" x14ac:dyDescent="0.25"/>
    <row r="175923" customFormat="1" x14ac:dyDescent="0.25"/>
    <row r="175924" customFormat="1" x14ac:dyDescent="0.25"/>
    <row r="175925" customFormat="1" x14ac:dyDescent="0.25"/>
    <row r="175926" customFormat="1" x14ac:dyDescent="0.25"/>
    <row r="175927" customFormat="1" x14ac:dyDescent="0.25"/>
    <row r="175928" customFormat="1" x14ac:dyDescent="0.25"/>
    <row r="175929" customFormat="1" x14ac:dyDescent="0.25"/>
    <row r="175930" customFormat="1" x14ac:dyDescent="0.25"/>
    <row r="175931" customFormat="1" x14ac:dyDescent="0.25"/>
    <row r="175932" customFormat="1" x14ac:dyDescent="0.25"/>
    <row r="175933" customFormat="1" x14ac:dyDescent="0.25"/>
    <row r="175934" customFormat="1" x14ac:dyDescent="0.25"/>
    <row r="175935" customFormat="1" x14ac:dyDescent="0.25"/>
    <row r="175936" customFormat="1" x14ac:dyDescent="0.25"/>
    <row r="175937" customFormat="1" x14ac:dyDescent="0.25"/>
    <row r="175938" customFormat="1" x14ac:dyDescent="0.25"/>
    <row r="175939" customFormat="1" x14ac:dyDescent="0.25"/>
    <row r="175940" customFormat="1" x14ac:dyDescent="0.25"/>
    <row r="175941" customFormat="1" x14ac:dyDescent="0.25"/>
    <row r="175942" customFormat="1" x14ac:dyDescent="0.25"/>
    <row r="175943" customFormat="1" x14ac:dyDescent="0.25"/>
    <row r="175944" customFormat="1" x14ac:dyDescent="0.25"/>
    <row r="175945" customFormat="1" x14ac:dyDescent="0.25"/>
    <row r="175946" customFormat="1" x14ac:dyDescent="0.25"/>
    <row r="175947" customFormat="1" x14ac:dyDescent="0.25"/>
    <row r="175948" customFormat="1" x14ac:dyDescent="0.25"/>
    <row r="175949" customFormat="1" x14ac:dyDescent="0.25"/>
    <row r="175950" customFormat="1" x14ac:dyDescent="0.25"/>
    <row r="175951" customFormat="1" x14ac:dyDescent="0.25"/>
    <row r="175952" customFormat="1" x14ac:dyDescent="0.25"/>
    <row r="175953" customFormat="1" x14ac:dyDescent="0.25"/>
    <row r="175954" customFormat="1" x14ac:dyDescent="0.25"/>
    <row r="175955" customFormat="1" x14ac:dyDescent="0.25"/>
    <row r="175956" customFormat="1" x14ac:dyDescent="0.25"/>
    <row r="175957" customFormat="1" x14ac:dyDescent="0.25"/>
    <row r="175958" customFormat="1" x14ac:dyDescent="0.25"/>
    <row r="175959" customFormat="1" x14ac:dyDescent="0.25"/>
    <row r="175960" customFormat="1" x14ac:dyDescent="0.25"/>
    <row r="175961" customFormat="1" x14ac:dyDescent="0.25"/>
    <row r="175962" customFormat="1" x14ac:dyDescent="0.25"/>
    <row r="175963" customFormat="1" x14ac:dyDescent="0.25"/>
    <row r="175964" customFormat="1" x14ac:dyDescent="0.25"/>
    <row r="175965" customFormat="1" x14ac:dyDescent="0.25"/>
    <row r="175966" customFormat="1" x14ac:dyDescent="0.25"/>
    <row r="175967" customFormat="1" x14ac:dyDescent="0.25"/>
    <row r="175968" customFormat="1" x14ac:dyDescent="0.25"/>
    <row r="175969" customFormat="1" x14ac:dyDescent="0.25"/>
    <row r="175970" customFormat="1" x14ac:dyDescent="0.25"/>
    <row r="175971" customFormat="1" x14ac:dyDescent="0.25"/>
    <row r="175972" customFormat="1" x14ac:dyDescent="0.25"/>
    <row r="175973" customFormat="1" x14ac:dyDescent="0.25"/>
    <row r="175974" customFormat="1" x14ac:dyDescent="0.25"/>
    <row r="175975" customFormat="1" x14ac:dyDescent="0.25"/>
    <row r="175976" customFormat="1" x14ac:dyDescent="0.25"/>
    <row r="175977" customFormat="1" x14ac:dyDescent="0.25"/>
    <row r="175978" customFormat="1" x14ac:dyDescent="0.25"/>
    <row r="175979" customFormat="1" x14ac:dyDescent="0.25"/>
    <row r="175980" customFormat="1" x14ac:dyDescent="0.25"/>
    <row r="175981" customFormat="1" x14ac:dyDescent="0.25"/>
    <row r="175982" customFormat="1" x14ac:dyDescent="0.25"/>
    <row r="175983" customFormat="1" x14ac:dyDescent="0.25"/>
    <row r="175984" customFormat="1" x14ac:dyDescent="0.25"/>
    <row r="175985" customFormat="1" x14ac:dyDescent="0.25"/>
    <row r="175986" customFormat="1" x14ac:dyDescent="0.25"/>
    <row r="175987" customFormat="1" x14ac:dyDescent="0.25"/>
    <row r="175988" customFormat="1" x14ac:dyDescent="0.25"/>
    <row r="175989" customFormat="1" x14ac:dyDescent="0.25"/>
    <row r="175990" customFormat="1" x14ac:dyDescent="0.25"/>
    <row r="175991" customFormat="1" x14ac:dyDescent="0.25"/>
    <row r="175992" customFormat="1" x14ac:dyDescent="0.25"/>
    <row r="175993" customFormat="1" x14ac:dyDescent="0.25"/>
    <row r="175994" customFormat="1" x14ac:dyDescent="0.25"/>
    <row r="175995" customFormat="1" x14ac:dyDescent="0.25"/>
    <row r="175996" customFormat="1" x14ac:dyDescent="0.25"/>
    <row r="175997" customFormat="1" x14ac:dyDescent="0.25"/>
    <row r="175998" customFormat="1" x14ac:dyDescent="0.25"/>
    <row r="175999" customFormat="1" x14ac:dyDescent="0.25"/>
    <row r="176000" customFormat="1" x14ac:dyDescent="0.25"/>
    <row r="176001" customFormat="1" x14ac:dyDescent="0.25"/>
    <row r="176002" customFormat="1" x14ac:dyDescent="0.25"/>
    <row r="176003" customFormat="1" x14ac:dyDescent="0.25"/>
    <row r="176004" customFormat="1" x14ac:dyDescent="0.25"/>
    <row r="176005" customFormat="1" x14ac:dyDescent="0.25"/>
    <row r="176006" customFormat="1" x14ac:dyDescent="0.25"/>
    <row r="176007" customFormat="1" x14ac:dyDescent="0.25"/>
    <row r="176008" customFormat="1" x14ac:dyDescent="0.25"/>
    <row r="176009" customFormat="1" x14ac:dyDescent="0.25"/>
    <row r="176010" customFormat="1" x14ac:dyDescent="0.25"/>
    <row r="176011" customFormat="1" x14ac:dyDescent="0.25"/>
    <row r="176012" customFormat="1" x14ac:dyDescent="0.25"/>
    <row r="176013" customFormat="1" x14ac:dyDescent="0.25"/>
    <row r="176014" customFormat="1" x14ac:dyDescent="0.25"/>
    <row r="176015" customFormat="1" x14ac:dyDescent="0.25"/>
    <row r="176016" customFormat="1" x14ac:dyDescent="0.25"/>
    <row r="176017" customFormat="1" x14ac:dyDescent="0.25"/>
    <row r="176018" customFormat="1" x14ac:dyDescent="0.25"/>
    <row r="176019" customFormat="1" x14ac:dyDescent="0.25"/>
    <row r="176020" customFormat="1" x14ac:dyDescent="0.25"/>
    <row r="176021" customFormat="1" x14ac:dyDescent="0.25"/>
    <row r="176022" customFormat="1" x14ac:dyDescent="0.25"/>
    <row r="176023" customFormat="1" x14ac:dyDescent="0.25"/>
    <row r="176024" customFormat="1" x14ac:dyDescent="0.25"/>
    <row r="176025" customFormat="1" x14ac:dyDescent="0.25"/>
    <row r="176026" customFormat="1" x14ac:dyDescent="0.25"/>
    <row r="176027" customFormat="1" x14ac:dyDescent="0.25"/>
    <row r="176028" customFormat="1" x14ac:dyDescent="0.25"/>
    <row r="176029" customFormat="1" x14ac:dyDescent="0.25"/>
    <row r="176030" customFormat="1" x14ac:dyDescent="0.25"/>
    <row r="176031" customFormat="1" x14ac:dyDescent="0.25"/>
    <row r="176032" customFormat="1" x14ac:dyDescent="0.25"/>
    <row r="176033" customFormat="1" x14ac:dyDescent="0.25"/>
    <row r="176034" customFormat="1" x14ac:dyDescent="0.25"/>
    <row r="176035" customFormat="1" x14ac:dyDescent="0.25"/>
    <row r="176036" customFormat="1" x14ac:dyDescent="0.25"/>
    <row r="176037" customFormat="1" x14ac:dyDescent="0.25"/>
    <row r="176038" customFormat="1" x14ac:dyDescent="0.25"/>
    <row r="176039" customFormat="1" x14ac:dyDescent="0.25"/>
    <row r="176040" customFormat="1" x14ac:dyDescent="0.25"/>
    <row r="176041" customFormat="1" x14ac:dyDescent="0.25"/>
    <row r="176042" customFormat="1" x14ac:dyDescent="0.25"/>
    <row r="176043" customFormat="1" x14ac:dyDescent="0.25"/>
    <row r="176044" customFormat="1" x14ac:dyDescent="0.25"/>
    <row r="176045" customFormat="1" x14ac:dyDescent="0.25"/>
    <row r="176046" customFormat="1" x14ac:dyDescent="0.25"/>
    <row r="176047" customFormat="1" x14ac:dyDescent="0.25"/>
    <row r="176048" customFormat="1" x14ac:dyDescent="0.25"/>
    <row r="176049" customFormat="1" x14ac:dyDescent="0.25"/>
    <row r="176050" customFormat="1" x14ac:dyDescent="0.25"/>
    <row r="176051" customFormat="1" x14ac:dyDescent="0.25"/>
    <row r="176052" customFormat="1" x14ac:dyDescent="0.25"/>
    <row r="176053" customFormat="1" x14ac:dyDescent="0.25"/>
    <row r="176054" customFormat="1" x14ac:dyDescent="0.25"/>
    <row r="176055" customFormat="1" x14ac:dyDescent="0.25"/>
    <row r="176056" customFormat="1" x14ac:dyDescent="0.25"/>
    <row r="176057" customFormat="1" x14ac:dyDescent="0.25"/>
    <row r="176058" customFormat="1" x14ac:dyDescent="0.25"/>
    <row r="176059" customFormat="1" x14ac:dyDescent="0.25"/>
    <row r="176060" customFormat="1" x14ac:dyDescent="0.25"/>
    <row r="176061" customFormat="1" x14ac:dyDescent="0.25"/>
    <row r="176062" customFormat="1" x14ac:dyDescent="0.25"/>
    <row r="176063" customFormat="1" x14ac:dyDescent="0.25"/>
    <row r="176064" customFormat="1" x14ac:dyDescent="0.25"/>
    <row r="176065" customFormat="1" x14ac:dyDescent="0.25"/>
    <row r="176066" customFormat="1" x14ac:dyDescent="0.25"/>
    <row r="176067" customFormat="1" x14ac:dyDescent="0.25"/>
    <row r="176068" customFormat="1" x14ac:dyDescent="0.25"/>
    <row r="176069" customFormat="1" x14ac:dyDescent="0.25"/>
    <row r="176070" customFormat="1" x14ac:dyDescent="0.25"/>
    <row r="176071" customFormat="1" x14ac:dyDescent="0.25"/>
    <row r="176072" customFormat="1" x14ac:dyDescent="0.25"/>
    <row r="176073" customFormat="1" x14ac:dyDescent="0.25"/>
    <row r="176074" customFormat="1" x14ac:dyDescent="0.25"/>
    <row r="176075" customFormat="1" x14ac:dyDescent="0.25"/>
    <row r="176076" customFormat="1" x14ac:dyDescent="0.25"/>
    <row r="176077" customFormat="1" x14ac:dyDescent="0.25"/>
    <row r="176078" customFormat="1" x14ac:dyDescent="0.25"/>
    <row r="176079" customFormat="1" x14ac:dyDescent="0.25"/>
    <row r="176080" customFormat="1" x14ac:dyDescent="0.25"/>
    <row r="176081" customFormat="1" x14ac:dyDescent="0.25"/>
    <row r="176082" customFormat="1" x14ac:dyDescent="0.25"/>
    <row r="176083" customFormat="1" x14ac:dyDescent="0.25"/>
    <row r="176084" customFormat="1" x14ac:dyDescent="0.25"/>
    <row r="176085" customFormat="1" x14ac:dyDescent="0.25"/>
    <row r="176086" customFormat="1" x14ac:dyDescent="0.25"/>
    <row r="176087" customFormat="1" x14ac:dyDescent="0.25"/>
    <row r="176088" customFormat="1" x14ac:dyDescent="0.25"/>
    <row r="176089" customFormat="1" x14ac:dyDescent="0.25"/>
    <row r="176090" customFormat="1" x14ac:dyDescent="0.25"/>
    <row r="176091" customFormat="1" x14ac:dyDescent="0.25"/>
    <row r="176092" customFormat="1" x14ac:dyDescent="0.25"/>
    <row r="176093" customFormat="1" x14ac:dyDescent="0.25"/>
    <row r="176094" customFormat="1" x14ac:dyDescent="0.25"/>
    <row r="176095" customFormat="1" x14ac:dyDescent="0.25"/>
    <row r="176096" customFormat="1" x14ac:dyDescent="0.25"/>
    <row r="176097" customFormat="1" x14ac:dyDescent="0.25"/>
    <row r="176098" customFormat="1" x14ac:dyDescent="0.25"/>
    <row r="176099" customFormat="1" x14ac:dyDescent="0.25"/>
    <row r="176100" customFormat="1" x14ac:dyDescent="0.25"/>
    <row r="176101" customFormat="1" x14ac:dyDescent="0.25"/>
    <row r="176102" customFormat="1" x14ac:dyDescent="0.25"/>
    <row r="176103" customFormat="1" x14ac:dyDescent="0.25"/>
    <row r="176104" customFormat="1" x14ac:dyDescent="0.25"/>
    <row r="176105" customFormat="1" x14ac:dyDescent="0.25"/>
    <row r="176106" customFormat="1" x14ac:dyDescent="0.25"/>
    <row r="176107" customFormat="1" x14ac:dyDescent="0.25"/>
    <row r="176108" customFormat="1" x14ac:dyDescent="0.25"/>
    <row r="176109" customFormat="1" x14ac:dyDescent="0.25"/>
    <row r="176110" customFormat="1" x14ac:dyDescent="0.25"/>
    <row r="176111" customFormat="1" x14ac:dyDescent="0.25"/>
    <row r="176112" customFormat="1" x14ac:dyDescent="0.25"/>
    <row r="176113" customFormat="1" x14ac:dyDescent="0.25"/>
    <row r="176114" customFormat="1" x14ac:dyDescent="0.25"/>
    <row r="176115" customFormat="1" x14ac:dyDescent="0.25"/>
    <row r="176116" customFormat="1" x14ac:dyDescent="0.25"/>
    <row r="176117" customFormat="1" x14ac:dyDescent="0.25"/>
    <row r="176118" customFormat="1" x14ac:dyDescent="0.25"/>
    <row r="176119" customFormat="1" x14ac:dyDescent="0.25"/>
    <row r="176120" customFormat="1" x14ac:dyDescent="0.25"/>
    <row r="176121" customFormat="1" x14ac:dyDescent="0.25"/>
    <row r="176122" customFormat="1" x14ac:dyDescent="0.25"/>
    <row r="176123" customFormat="1" x14ac:dyDescent="0.25"/>
    <row r="176124" customFormat="1" x14ac:dyDescent="0.25"/>
    <row r="176125" customFormat="1" x14ac:dyDescent="0.25"/>
    <row r="176126" customFormat="1" x14ac:dyDescent="0.25"/>
    <row r="176127" customFormat="1" x14ac:dyDescent="0.25"/>
    <row r="176128" customFormat="1" x14ac:dyDescent="0.25"/>
    <row r="176129" customFormat="1" x14ac:dyDescent="0.25"/>
    <row r="176130" customFormat="1" x14ac:dyDescent="0.25"/>
    <row r="176131" customFormat="1" x14ac:dyDescent="0.25"/>
    <row r="176132" customFormat="1" x14ac:dyDescent="0.25"/>
    <row r="176133" customFormat="1" x14ac:dyDescent="0.25"/>
    <row r="176134" customFormat="1" x14ac:dyDescent="0.25"/>
    <row r="176135" customFormat="1" x14ac:dyDescent="0.25"/>
    <row r="176136" customFormat="1" x14ac:dyDescent="0.25"/>
    <row r="176137" customFormat="1" x14ac:dyDescent="0.25"/>
    <row r="176138" customFormat="1" x14ac:dyDescent="0.25"/>
    <row r="176139" customFormat="1" x14ac:dyDescent="0.25"/>
    <row r="176140" customFormat="1" x14ac:dyDescent="0.25"/>
    <row r="176141" customFormat="1" x14ac:dyDescent="0.25"/>
    <row r="176142" customFormat="1" x14ac:dyDescent="0.25"/>
    <row r="176143" customFormat="1" x14ac:dyDescent="0.25"/>
    <row r="176144" customFormat="1" x14ac:dyDescent="0.25"/>
    <row r="176145" customFormat="1" x14ac:dyDescent="0.25"/>
    <row r="176146" customFormat="1" x14ac:dyDescent="0.25"/>
    <row r="176147" customFormat="1" x14ac:dyDescent="0.25"/>
    <row r="176148" customFormat="1" x14ac:dyDescent="0.25"/>
    <row r="176149" customFormat="1" x14ac:dyDescent="0.25"/>
    <row r="176150" customFormat="1" x14ac:dyDescent="0.25"/>
    <row r="176151" customFormat="1" x14ac:dyDescent="0.25"/>
    <row r="176152" customFormat="1" x14ac:dyDescent="0.25"/>
    <row r="176153" customFormat="1" x14ac:dyDescent="0.25"/>
    <row r="176154" customFormat="1" x14ac:dyDescent="0.25"/>
    <row r="176155" customFormat="1" x14ac:dyDescent="0.25"/>
    <row r="176156" customFormat="1" x14ac:dyDescent="0.25"/>
    <row r="176157" customFormat="1" x14ac:dyDescent="0.25"/>
    <row r="176158" customFormat="1" x14ac:dyDescent="0.25"/>
    <row r="176159" customFormat="1" x14ac:dyDescent="0.25"/>
    <row r="176160" customFormat="1" x14ac:dyDescent="0.25"/>
    <row r="176161" customFormat="1" x14ac:dyDescent="0.25"/>
    <row r="176162" customFormat="1" x14ac:dyDescent="0.25"/>
    <row r="176163" customFormat="1" x14ac:dyDescent="0.25"/>
    <row r="176164" customFormat="1" x14ac:dyDescent="0.25"/>
    <row r="176165" customFormat="1" x14ac:dyDescent="0.25"/>
    <row r="176166" customFormat="1" x14ac:dyDescent="0.25"/>
    <row r="176167" customFormat="1" x14ac:dyDescent="0.25"/>
    <row r="176168" customFormat="1" x14ac:dyDescent="0.25"/>
    <row r="176169" customFormat="1" x14ac:dyDescent="0.25"/>
    <row r="176170" customFormat="1" x14ac:dyDescent="0.25"/>
    <row r="176171" customFormat="1" x14ac:dyDescent="0.25"/>
    <row r="176172" customFormat="1" x14ac:dyDescent="0.25"/>
    <row r="176173" customFormat="1" x14ac:dyDescent="0.25"/>
    <row r="176174" customFormat="1" x14ac:dyDescent="0.25"/>
    <row r="176175" customFormat="1" x14ac:dyDescent="0.25"/>
    <row r="176176" customFormat="1" x14ac:dyDescent="0.25"/>
    <row r="176177" customFormat="1" x14ac:dyDescent="0.25"/>
    <row r="176178" customFormat="1" x14ac:dyDescent="0.25"/>
    <row r="176179" customFormat="1" x14ac:dyDescent="0.25"/>
    <row r="176180" customFormat="1" x14ac:dyDescent="0.25"/>
    <row r="176181" customFormat="1" x14ac:dyDescent="0.25"/>
    <row r="176182" customFormat="1" x14ac:dyDescent="0.25"/>
    <row r="176183" customFormat="1" x14ac:dyDescent="0.25"/>
    <row r="176184" customFormat="1" x14ac:dyDescent="0.25"/>
    <row r="176185" customFormat="1" x14ac:dyDescent="0.25"/>
    <row r="176186" customFormat="1" x14ac:dyDescent="0.25"/>
    <row r="176187" customFormat="1" x14ac:dyDescent="0.25"/>
    <row r="176188" customFormat="1" x14ac:dyDescent="0.25"/>
    <row r="176189" customFormat="1" x14ac:dyDescent="0.25"/>
    <row r="176190" customFormat="1" x14ac:dyDescent="0.25"/>
    <row r="176191" customFormat="1" x14ac:dyDescent="0.25"/>
    <row r="176192" customFormat="1" x14ac:dyDescent="0.25"/>
    <row r="176193" customFormat="1" x14ac:dyDescent="0.25"/>
    <row r="176194" customFormat="1" x14ac:dyDescent="0.25"/>
    <row r="176195" customFormat="1" x14ac:dyDescent="0.25"/>
    <row r="176196" customFormat="1" x14ac:dyDescent="0.25"/>
    <row r="176197" customFormat="1" x14ac:dyDescent="0.25"/>
    <row r="176198" customFormat="1" x14ac:dyDescent="0.25"/>
    <row r="176199" customFormat="1" x14ac:dyDescent="0.25"/>
    <row r="176200" customFormat="1" x14ac:dyDescent="0.25"/>
    <row r="176201" customFormat="1" x14ac:dyDescent="0.25"/>
    <row r="176202" customFormat="1" x14ac:dyDescent="0.25"/>
    <row r="176203" customFormat="1" x14ac:dyDescent="0.25"/>
    <row r="176204" customFormat="1" x14ac:dyDescent="0.25"/>
    <row r="176205" customFormat="1" x14ac:dyDescent="0.25"/>
    <row r="176206" customFormat="1" x14ac:dyDescent="0.25"/>
    <row r="176207" customFormat="1" x14ac:dyDescent="0.25"/>
    <row r="176208" customFormat="1" x14ac:dyDescent="0.25"/>
    <row r="176209" customFormat="1" x14ac:dyDescent="0.25"/>
    <row r="176210" customFormat="1" x14ac:dyDescent="0.25"/>
    <row r="176211" customFormat="1" x14ac:dyDescent="0.25"/>
    <row r="176212" customFormat="1" x14ac:dyDescent="0.25"/>
    <row r="176213" customFormat="1" x14ac:dyDescent="0.25"/>
    <row r="176214" customFormat="1" x14ac:dyDescent="0.25"/>
    <row r="176215" customFormat="1" x14ac:dyDescent="0.25"/>
    <row r="176216" customFormat="1" x14ac:dyDescent="0.25"/>
    <row r="176217" customFormat="1" x14ac:dyDescent="0.25"/>
    <row r="176218" customFormat="1" x14ac:dyDescent="0.25"/>
    <row r="176219" customFormat="1" x14ac:dyDescent="0.25"/>
    <row r="176220" customFormat="1" x14ac:dyDescent="0.25"/>
    <row r="176221" customFormat="1" x14ac:dyDescent="0.25"/>
    <row r="176222" customFormat="1" x14ac:dyDescent="0.25"/>
    <row r="176223" customFormat="1" x14ac:dyDescent="0.25"/>
    <row r="176224" customFormat="1" x14ac:dyDescent="0.25"/>
    <row r="176225" customFormat="1" x14ac:dyDescent="0.25"/>
    <row r="176226" customFormat="1" x14ac:dyDescent="0.25"/>
    <row r="176227" customFormat="1" x14ac:dyDescent="0.25"/>
    <row r="176228" customFormat="1" x14ac:dyDescent="0.25"/>
    <row r="176229" customFormat="1" x14ac:dyDescent="0.25"/>
    <row r="176230" customFormat="1" x14ac:dyDescent="0.25"/>
    <row r="176231" customFormat="1" x14ac:dyDescent="0.25"/>
    <row r="176232" customFormat="1" x14ac:dyDescent="0.25"/>
    <row r="176233" customFormat="1" x14ac:dyDescent="0.25"/>
    <row r="176234" customFormat="1" x14ac:dyDescent="0.25"/>
    <row r="176235" customFormat="1" x14ac:dyDescent="0.25"/>
    <row r="176236" customFormat="1" x14ac:dyDescent="0.25"/>
    <row r="176237" customFormat="1" x14ac:dyDescent="0.25"/>
    <row r="176238" customFormat="1" x14ac:dyDescent="0.25"/>
    <row r="176239" customFormat="1" x14ac:dyDescent="0.25"/>
    <row r="176240" customFormat="1" x14ac:dyDescent="0.25"/>
    <row r="176241" customFormat="1" x14ac:dyDescent="0.25"/>
    <row r="176242" customFormat="1" x14ac:dyDescent="0.25"/>
    <row r="176243" customFormat="1" x14ac:dyDescent="0.25"/>
    <row r="176244" customFormat="1" x14ac:dyDescent="0.25"/>
    <row r="176245" customFormat="1" x14ac:dyDescent="0.25"/>
    <row r="176246" customFormat="1" x14ac:dyDescent="0.25"/>
    <row r="176247" customFormat="1" x14ac:dyDescent="0.25"/>
    <row r="176248" customFormat="1" x14ac:dyDescent="0.25"/>
    <row r="176249" customFormat="1" x14ac:dyDescent="0.25"/>
    <row r="176250" customFormat="1" x14ac:dyDescent="0.25"/>
    <row r="176251" customFormat="1" x14ac:dyDescent="0.25"/>
    <row r="176252" customFormat="1" x14ac:dyDescent="0.25"/>
    <row r="176253" customFormat="1" x14ac:dyDescent="0.25"/>
    <row r="176254" customFormat="1" x14ac:dyDescent="0.25"/>
    <row r="176255" customFormat="1" x14ac:dyDescent="0.25"/>
    <row r="176256" customFormat="1" x14ac:dyDescent="0.25"/>
    <row r="176257" customFormat="1" x14ac:dyDescent="0.25"/>
    <row r="176258" customFormat="1" x14ac:dyDescent="0.25"/>
    <row r="176259" customFormat="1" x14ac:dyDescent="0.25"/>
    <row r="176260" customFormat="1" x14ac:dyDescent="0.25"/>
    <row r="176261" customFormat="1" x14ac:dyDescent="0.25"/>
    <row r="176262" customFormat="1" x14ac:dyDescent="0.25"/>
    <row r="176263" customFormat="1" x14ac:dyDescent="0.25"/>
    <row r="176264" customFormat="1" x14ac:dyDescent="0.25"/>
    <row r="176265" customFormat="1" x14ac:dyDescent="0.25"/>
    <row r="176266" customFormat="1" x14ac:dyDescent="0.25"/>
    <row r="176267" customFormat="1" x14ac:dyDescent="0.25"/>
    <row r="176268" customFormat="1" x14ac:dyDescent="0.25"/>
    <row r="176269" customFormat="1" x14ac:dyDescent="0.25"/>
    <row r="176270" customFormat="1" x14ac:dyDescent="0.25"/>
    <row r="176271" customFormat="1" x14ac:dyDescent="0.25"/>
    <row r="176272" customFormat="1" x14ac:dyDescent="0.25"/>
    <row r="176273" customFormat="1" x14ac:dyDescent="0.25"/>
    <row r="176274" customFormat="1" x14ac:dyDescent="0.25"/>
    <row r="176275" customFormat="1" x14ac:dyDescent="0.25"/>
    <row r="176276" customFormat="1" x14ac:dyDescent="0.25"/>
    <row r="176277" customFormat="1" x14ac:dyDescent="0.25"/>
    <row r="176278" customFormat="1" x14ac:dyDescent="0.25"/>
    <row r="176279" customFormat="1" x14ac:dyDescent="0.25"/>
    <row r="176280" customFormat="1" x14ac:dyDescent="0.25"/>
    <row r="176281" customFormat="1" x14ac:dyDescent="0.25"/>
    <row r="176282" customFormat="1" x14ac:dyDescent="0.25"/>
    <row r="176283" customFormat="1" x14ac:dyDescent="0.25"/>
    <row r="176284" customFormat="1" x14ac:dyDescent="0.25"/>
    <row r="176285" customFormat="1" x14ac:dyDescent="0.25"/>
    <row r="176286" customFormat="1" x14ac:dyDescent="0.25"/>
    <row r="176287" customFormat="1" x14ac:dyDescent="0.25"/>
    <row r="176288" customFormat="1" x14ac:dyDescent="0.25"/>
    <row r="176289" customFormat="1" x14ac:dyDescent="0.25"/>
    <row r="176290" customFormat="1" x14ac:dyDescent="0.25"/>
    <row r="176291" customFormat="1" x14ac:dyDescent="0.25"/>
    <row r="176292" customFormat="1" x14ac:dyDescent="0.25"/>
    <row r="176293" customFormat="1" x14ac:dyDescent="0.25"/>
    <row r="176294" customFormat="1" x14ac:dyDescent="0.25"/>
    <row r="176295" customFormat="1" x14ac:dyDescent="0.25"/>
    <row r="176296" customFormat="1" x14ac:dyDescent="0.25"/>
    <row r="176297" customFormat="1" x14ac:dyDescent="0.25"/>
    <row r="176298" customFormat="1" x14ac:dyDescent="0.25"/>
    <row r="176299" customFormat="1" x14ac:dyDescent="0.25"/>
    <row r="176300" customFormat="1" x14ac:dyDescent="0.25"/>
    <row r="176301" customFormat="1" x14ac:dyDescent="0.25"/>
    <row r="176302" customFormat="1" x14ac:dyDescent="0.25"/>
    <row r="176303" customFormat="1" x14ac:dyDescent="0.25"/>
    <row r="176304" customFormat="1" x14ac:dyDescent="0.25"/>
    <row r="176305" customFormat="1" x14ac:dyDescent="0.25"/>
    <row r="176306" customFormat="1" x14ac:dyDescent="0.25"/>
    <row r="176307" customFormat="1" x14ac:dyDescent="0.25"/>
    <row r="176308" customFormat="1" x14ac:dyDescent="0.25"/>
    <row r="176309" customFormat="1" x14ac:dyDescent="0.25"/>
    <row r="176310" customFormat="1" x14ac:dyDescent="0.25"/>
    <row r="176311" customFormat="1" x14ac:dyDescent="0.25"/>
    <row r="176312" customFormat="1" x14ac:dyDescent="0.25"/>
    <row r="176313" customFormat="1" x14ac:dyDescent="0.25"/>
    <row r="176314" customFormat="1" x14ac:dyDescent="0.25"/>
    <row r="176315" customFormat="1" x14ac:dyDescent="0.25"/>
    <row r="176316" customFormat="1" x14ac:dyDescent="0.25"/>
    <row r="176317" customFormat="1" x14ac:dyDescent="0.25"/>
    <row r="176318" customFormat="1" x14ac:dyDescent="0.25"/>
    <row r="176319" customFormat="1" x14ac:dyDescent="0.25"/>
    <row r="176320" customFormat="1" x14ac:dyDescent="0.25"/>
    <row r="176321" customFormat="1" x14ac:dyDescent="0.25"/>
    <row r="176322" customFormat="1" x14ac:dyDescent="0.25"/>
    <row r="176323" customFormat="1" x14ac:dyDescent="0.25"/>
    <row r="176324" customFormat="1" x14ac:dyDescent="0.25"/>
    <row r="176325" customFormat="1" x14ac:dyDescent="0.25"/>
    <row r="176326" customFormat="1" x14ac:dyDescent="0.25"/>
    <row r="176327" customFormat="1" x14ac:dyDescent="0.25"/>
    <row r="176328" customFormat="1" x14ac:dyDescent="0.25"/>
    <row r="176329" customFormat="1" x14ac:dyDescent="0.25"/>
    <row r="176330" customFormat="1" x14ac:dyDescent="0.25"/>
    <row r="176331" customFormat="1" x14ac:dyDescent="0.25"/>
    <row r="176332" customFormat="1" x14ac:dyDescent="0.25"/>
    <row r="176333" customFormat="1" x14ac:dyDescent="0.25"/>
    <row r="176334" customFormat="1" x14ac:dyDescent="0.25"/>
    <row r="176335" customFormat="1" x14ac:dyDescent="0.25"/>
    <row r="176336" customFormat="1" x14ac:dyDescent="0.25"/>
    <row r="176337" customFormat="1" x14ac:dyDescent="0.25"/>
    <row r="176338" customFormat="1" x14ac:dyDescent="0.25"/>
    <row r="176339" customFormat="1" x14ac:dyDescent="0.25"/>
    <row r="176340" customFormat="1" x14ac:dyDescent="0.25"/>
    <row r="176341" customFormat="1" x14ac:dyDescent="0.25"/>
    <row r="176342" customFormat="1" x14ac:dyDescent="0.25"/>
    <row r="176343" customFormat="1" x14ac:dyDescent="0.25"/>
    <row r="176344" customFormat="1" x14ac:dyDescent="0.25"/>
    <row r="176345" customFormat="1" x14ac:dyDescent="0.25"/>
    <row r="176346" customFormat="1" x14ac:dyDescent="0.25"/>
    <row r="176347" customFormat="1" x14ac:dyDescent="0.25"/>
    <row r="176348" customFormat="1" x14ac:dyDescent="0.25"/>
    <row r="176349" customFormat="1" x14ac:dyDescent="0.25"/>
    <row r="176350" customFormat="1" x14ac:dyDescent="0.25"/>
    <row r="176351" customFormat="1" x14ac:dyDescent="0.25"/>
    <row r="176352" customFormat="1" x14ac:dyDescent="0.25"/>
    <row r="176353" customFormat="1" x14ac:dyDescent="0.25"/>
    <row r="176354" customFormat="1" x14ac:dyDescent="0.25"/>
    <row r="176355" customFormat="1" x14ac:dyDescent="0.25"/>
    <row r="176356" customFormat="1" x14ac:dyDescent="0.25"/>
    <row r="176357" customFormat="1" x14ac:dyDescent="0.25"/>
    <row r="176358" customFormat="1" x14ac:dyDescent="0.25"/>
    <row r="176359" customFormat="1" x14ac:dyDescent="0.25"/>
    <row r="176360" customFormat="1" x14ac:dyDescent="0.25"/>
    <row r="176361" customFormat="1" x14ac:dyDescent="0.25"/>
    <row r="176362" customFormat="1" x14ac:dyDescent="0.25"/>
    <row r="176363" customFormat="1" x14ac:dyDescent="0.25"/>
    <row r="176364" customFormat="1" x14ac:dyDescent="0.25"/>
    <row r="176365" customFormat="1" x14ac:dyDescent="0.25"/>
    <row r="176366" customFormat="1" x14ac:dyDescent="0.25"/>
    <row r="176367" customFormat="1" x14ac:dyDescent="0.25"/>
    <row r="176368" customFormat="1" x14ac:dyDescent="0.25"/>
    <row r="176369" customFormat="1" x14ac:dyDescent="0.25"/>
    <row r="176370" customFormat="1" x14ac:dyDescent="0.25"/>
    <row r="176371" customFormat="1" x14ac:dyDescent="0.25"/>
    <row r="176372" customFormat="1" x14ac:dyDescent="0.25"/>
    <row r="176373" customFormat="1" x14ac:dyDescent="0.25"/>
    <row r="176374" customFormat="1" x14ac:dyDescent="0.25"/>
    <row r="176375" customFormat="1" x14ac:dyDescent="0.25"/>
    <row r="176376" customFormat="1" x14ac:dyDescent="0.25"/>
    <row r="176377" customFormat="1" x14ac:dyDescent="0.25"/>
    <row r="176378" customFormat="1" x14ac:dyDescent="0.25"/>
    <row r="176379" customFormat="1" x14ac:dyDescent="0.25"/>
    <row r="176380" customFormat="1" x14ac:dyDescent="0.25"/>
    <row r="176381" customFormat="1" x14ac:dyDescent="0.25"/>
    <row r="176382" customFormat="1" x14ac:dyDescent="0.25"/>
    <row r="176383" customFormat="1" x14ac:dyDescent="0.25"/>
    <row r="176384" customFormat="1" x14ac:dyDescent="0.25"/>
    <row r="176385" customFormat="1" x14ac:dyDescent="0.25"/>
    <row r="176386" customFormat="1" x14ac:dyDescent="0.25"/>
    <row r="176387" customFormat="1" x14ac:dyDescent="0.25"/>
    <row r="176388" customFormat="1" x14ac:dyDescent="0.25"/>
    <row r="176389" customFormat="1" x14ac:dyDescent="0.25"/>
    <row r="176390" customFormat="1" x14ac:dyDescent="0.25"/>
    <row r="176391" customFormat="1" x14ac:dyDescent="0.25"/>
    <row r="176392" customFormat="1" x14ac:dyDescent="0.25"/>
    <row r="176393" customFormat="1" x14ac:dyDescent="0.25"/>
    <row r="176394" customFormat="1" x14ac:dyDescent="0.25"/>
    <row r="176395" customFormat="1" x14ac:dyDescent="0.25"/>
    <row r="176396" customFormat="1" x14ac:dyDescent="0.25"/>
    <row r="176397" customFormat="1" x14ac:dyDescent="0.25"/>
    <row r="176398" customFormat="1" x14ac:dyDescent="0.25"/>
    <row r="176399" customFormat="1" x14ac:dyDescent="0.25"/>
    <row r="176400" customFormat="1" x14ac:dyDescent="0.25"/>
    <row r="176401" customFormat="1" x14ac:dyDescent="0.25"/>
    <row r="176402" customFormat="1" x14ac:dyDescent="0.25"/>
    <row r="176403" customFormat="1" x14ac:dyDescent="0.25"/>
    <row r="176404" customFormat="1" x14ac:dyDescent="0.25"/>
    <row r="176405" customFormat="1" x14ac:dyDescent="0.25"/>
    <row r="176406" customFormat="1" x14ac:dyDescent="0.25"/>
    <row r="176407" customFormat="1" x14ac:dyDescent="0.25"/>
    <row r="176408" customFormat="1" x14ac:dyDescent="0.25"/>
    <row r="176409" customFormat="1" x14ac:dyDescent="0.25"/>
    <row r="176410" customFormat="1" x14ac:dyDescent="0.25"/>
    <row r="176411" customFormat="1" x14ac:dyDescent="0.25"/>
    <row r="176412" customFormat="1" x14ac:dyDescent="0.25"/>
    <row r="176413" customFormat="1" x14ac:dyDescent="0.25"/>
    <row r="176414" customFormat="1" x14ac:dyDescent="0.25"/>
    <row r="176415" customFormat="1" x14ac:dyDescent="0.25"/>
    <row r="176416" customFormat="1" x14ac:dyDescent="0.25"/>
    <row r="176417" customFormat="1" x14ac:dyDescent="0.25"/>
    <row r="176418" customFormat="1" x14ac:dyDescent="0.25"/>
    <row r="176419" customFormat="1" x14ac:dyDescent="0.25"/>
    <row r="176420" customFormat="1" x14ac:dyDescent="0.25"/>
    <row r="176421" customFormat="1" x14ac:dyDescent="0.25"/>
    <row r="176422" customFormat="1" x14ac:dyDescent="0.25"/>
    <row r="176423" customFormat="1" x14ac:dyDescent="0.25"/>
    <row r="176424" customFormat="1" x14ac:dyDescent="0.25"/>
    <row r="176425" customFormat="1" x14ac:dyDescent="0.25"/>
    <row r="176426" customFormat="1" x14ac:dyDescent="0.25"/>
    <row r="176427" customFormat="1" x14ac:dyDescent="0.25"/>
    <row r="176428" customFormat="1" x14ac:dyDescent="0.25"/>
    <row r="176429" customFormat="1" x14ac:dyDescent="0.25"/>
    <row r="176430" customFormat="1" x14ac:dyDescent="0.25"/>
    <row r="176431" customFormat="1" x14ac:dyDescent="0.25"/>
    <row r="176432" customFormat="1" x14ac:dyDescent="0.25"/>
    <row r="176433" customFormat="1" x14ac:dyDescent="0.25"/>
    <row r="176434" customFormat="1" x14ac:dyDescent="0.25"/>
    <row r="176435" customFormat="1" x14ac:dyDescent="0.25"/>
    <row r="176436" customFormat="1" x14ac:dyDescent="0.25"/>
    <row r="176437" customFormat="1" x14ac:dyDescent="0.25"/>
    <row r="176438" customFormat="1" x14ac:dyDescent="0.25"/>
    <row r="176439" customFormat="1" x14ac:dyDescent="0.25"/>
    <row r="176440" customFormat="1" x14ac:dyDescent="0.25"/>
    <row r="176441" customFormat="1" x14ac:dyDescent="0.25"/>
    <row r="176442" customFormat="1" x14ac:dyDescent="0.25"/>
    <row r="176443" customFormat="1" x14ac:dyDescent="0.25"/>
    <row r="176444" customFormat="1" x14ac:dyDescent="0.25"/>
    <row r="176445" customFormat="1" x14ac:dyDescent="0.25"/>
    <row r="176446" customFormat="1" x14ac:dyDescent="0.25"/>
    <row r="176447" customFormat="1" x14ac:dyDescent="0.25"/>
    <row r="176448" customFormat="1" x14ac:dyDescent="0.25"/>
    <row r="176449" customFormat="1" x14ac:dyDescent="0.25"/>
    <row r="176450" customFormat="1" x14ac:dyDescent="0.25"/>
    <row r="176451" customFormat="1" x14ac:dyDescent="0.25"/>
    <row r="176452" customFormat="1" x14ac:dyDescent="0.25"/>
    <row r="176453" customFormat="1" x14ac:dyDescent="0.25"/>
    <row r="176454" customFormat="1" x14ac:dyDescent="0.25"/>
    <row r="176455" customFormat="1" x14ac:dyDescent="0.25"/>
    <row r="176456" customFormat="1" x14ac:dyDescent="0.25"/>
    <row r="176457" customFormat="1" x14ac:dyDescent="0.25"/>
    <row r="176458" customFormat="1" x14ac:dyDescent="0.25"/>
    <row r="176459" customFormat="1" x14ac:dyDescent="0.25"/>
    <row r="176460" customFormat="1" x14ac:dyDescent="0.25"/>
    <row r="176461" customFormat="1" x14ac:dyDescent="0.25"/>
    <row r="176462" customFormat="1" x14ac:dyDescent="0.25"/>
    <row r="176463" customFormat="1" x14ac:dyDescent="0.25"/>
    <row r="176464" customFormat="1" x14ac:dyDescent="0.25"/>
    <row r="176465" customFormat="1" x14ac:dyDescent="0.25"/>
    <row r="176466" customFormat="1" x14ac:dyDescent="0.25"/>
    <row r="176467" customFormat="1" x14ac:dyDescent="0.25"/>
    <row r="176468" customFormat="1" x14ac:dyDescent="0.25"/>
    <row r="176469" customFormat="1" x14ac:dyDescent="0.25"/>
    <row r="176470" customFormat="1" x14ac:dyDescent="0.25"/>
    <row r="176471" customFormat="1" x14ac:dyDescent="0.25"/>
    <row r="176472" customFormat="1" x14ac:dyDescent="0.25"/>
    <row r="176473" customFormat="1" x14ac:dyDescent="0.25"/>
    <row r="176474" customFormat="1" x14ac:dyDescent="0.25"/>
    <row r="176475" customFormat="1" x14ac:dyDescent="0.25"/>
    <row r="176476" customFormat="1" x14ac:dyDescent="0.25"/>
    <row r="176477" customFormat="1" x14ac:dyDescent="0.25"/>
    <row r="176478" customFormat="1" x14ac:dyDescent="0.25"/>
    <row r="176479" customFormat="1" x14ac:dyDescent="0.25"/>
    <row r="176480" customFormat="1" x14ac:dyDescent="0.25"/>
    <row r="176481" customFormat="1" x14ac:dyDescent="0.25"/>
    <row r="176482" customFormat="1" x14ac:dyDescent="0.25"/>
    <row r="176483" customFormat="1" x14ac:dyDescent="0.25"/>
    <row r="176484" customFormat="1" x14ac:dyDescent="0.25"/>
    <row r="176485" customFormat="1" x14ac:dyDescent="0.25"/>
    <row r="176486" customFormat="1" x14ac:dyDescent="0.25"/>
    <row r="176487" customFormat="1" x14ac:dyDescent="0.25"/>
    <row r="176488" customFormat="1" x14ac:dyDescent="0.25"/>
    <row r="176489" customFormat="1" x14ac:dyDescent="0.25"/>
    <row r="176490" customFormat="1" x14ac:dyDescent="0.25"/>
    <row r="176491" customFormat="1" x14ac:dyDescent="0.25"/>
    <row r="176492" customFormat="1" x14ac:dyDescent="0.25"/>
    <row r="176493" customFormat="1" x14ac:dyDescent="0.25"/>
    <row r="176494" customFormat="1" x14ac:dyDescent="0.25"/>
    <row r="176495" customFormat="1" x14ac:dyDescent="0.25"/>
    <row r="176496" customFormat="1" x14ac:dyDescent="0.25"/>
    <row r="176497" customFormat="1" x14ac:dyDescent="0.25"/>
    <row r="176498" customFormat="1" x14ac:dyDescent="0.25"/>
    <row r="176499" customFormat="1" x14ac:dyDescent="0.25"/>
    <row r="176500" customFormat="1" x14ac:dyDescent="0.25"/>
    <row r="176501" customFormat="1" x14ac:dyDescent="0.25"/>
    <row r="176502" customFormat="1" x14ac:dyDescent="0.25"/>
    <row r="176503" customFormat="1" x14ac:dyDescent="0.25"/>
    <row r="176504" customFormat="1" x14ac:dyDescent="0.25"/>
    <row r="176505" customFormat="1" x14ac:dyDescent="0.25"/>
    <row r="176506" customFormat="1" x14ac:dyDescent="0.25"/>
    <row r="176507" customFormat="1" x14ac:dyDescent="0.25"/>
    <row r="176508" customFormat="1" x14ac:dyDescent="0.25"/>
    <row r="176509" customFormat="1" x14ac:dyDescent="0.25"/>
    <row r="176510" customFormat="1" x14ac:dyDescent="0.25"/>
    <row r="176511" customFormat="1" x14ac:dyDescent="0.25"/>
    <row r="176512" customFormat="1" x14ac:dyDescent="0.25"/>
    <row r="176513" customFormat="1" x14ac:dyDescent="0.25"/>
    <row r="176514" customFormat="1" x14ac:dyDescent="0.25"/>
    <row r="176515" customFormat="1" x14ac:dyDescent="0.25"/>
    <row r="176516" customFormat="1" x14ac:dyDescent="0.25"/>
    <row r="176517" customFormat="1" x14ac:dyDescent="0.25"/>
    <row r="176518" customFormat="1" x14ac:dyDescent="0.25"/>
    <row r="176519" customFormat="1" x14ac:dyDescent="0.25"/>
    <row r="176520" customFormat="1" x14ac:dyDescent="0.25"/>
    <row r="176521" customFormat="1" x14ac:dyDescent="0.25"/>
    <row r="176522" customFormat="1" x14ac:dyDescent="0.25"/>
    <row r="176523" customFormat="1" x14ac:dyDescent="0.25"/>
    <row r="176524" customFormat="1" x14ac:dyDescent="0.25"/>
    <row r="176525" customFormat="1" x14ac:dyDescent="0.25"/>
    <row r="176526" customFormat="1" x14ac:dyDescent="0.25"/>
    <row r="176527" customFormat="1" x14ac:dyDescent="0.25"/>
    <row r="176528" customFormat="1" x14ac:dyDescent="0.25"/>
    <row r="176529" customFormat="1" x14ac:dyDescent="0.25"/>
    <row r="176530" customFormat="1" x14ac:dyDescent="0.25"/>
    <row r="176531" customFormat="1" x14ac:dyDescent="0.25"/>
    <row r="176532" customFormat="1" x14ac:dyDescent="0.25"/>
    <row r="176533" customFormat="1" x14ac:dyDescent="0.25"/>
    <row r="176534" customFormat="1" x14ac:dyDescent="0.25"/>
    <row r="176535" customFormat="1" x14ac:dyDescent="0.25"/>
    <row r="176536" customFormat="1" x14ac:dyDescent="0.25"/>
    <row r="176537" customFormat="1" x14ac:dyDescent="0.25"/>
    <row r="176538" customFormat="1" x14ac:dyDescent="0.25"/>
    <row r="176539" customFormat="1" x14ac:dyDescent="0.25"/>
    <row r="176540" customFormat="1" x14ac:dyDescent="0.25"/>
    <row r="176541" customFormat="1" x14ac:dyDescent="0.25"/>
    <row r="176542" customFormat="1" x14ac:dyDescent="0.25"/>
    <row r="176543" customFormat="1" x14ac:dyDescent="0.25"/>
    <row r="176544" customFormat="1" x14ac:dyDescent="0.25"/>
    <row r="176545" customFormat="1" x14ac:dyDescent="0.25"/>
    <row r="176546" customFormat="1" x14ac:dyDescent="0.25"/>
    <row r="176547" customFormat="1" x14ac:dyDescent="0.25"/>
    <row r="176548" customFormat="1" x14ac:dyDescent="0.25"/>
    <row r="176549" customFormat="1" x14ac:dyDescent="0.25"/>
    <row r="176550" customFormat="1" x14ac:dyDescent="0.25"/>
    <row r="176551" customFormat="1" x14ac:dyDescent="0.25"/>
    <row r="176552" customFormat="1" x14ac:dyDescent="0.25"/>
    <row r="176553" customFormat="1" x14ac:dyDescent="0.25"/>
    <row r="176554" customFormat="1" x14ac:dyDescent="0.25"/>
    <row r="176555" customFormat="1" x14ac:dyDescent="0.25"/>
    <row r="176556" customFormat="1" x14ac:dyDescent="0.25"/>
    <row r="176557" customFormat="1" x14ac:dyDescent="0.25"/>
    <row r="176558" customFormat="1" x14ac:dyDescent="0.25"/>
    <row r="176559" customFormat="1" x14ac:dyDescent="0.25"/>
    <row r="176560" customFormat="1" x14ac:dyDescent="0.25"/>
    <row r="176561" customFormat="1" x14ac:dyDescent="0.25"/>
    <row r="176562" customFormat="1" x14ac:dyDescent="0.25"/>
    <row r="176563" customFormat="1" x14ac:dyDescent="0.25"/>
    <row r="176564" customFormat="1" x14ac:dyDescent="0.25"/>
    <row r="176565" customFormat="1" x14ac:dyDescent="0.25"/>
    <row r="176566" customFormat="1" x14ac:dyDescent="0.25"/>
    <row r="176567" customFormat="1" x14ac:dyDescent="0.25"/>
    <row r="176568" customFormat="1" x14ac:dyDescent="0.25"/>
    <row r="176569" customFormat="1" x14ac:dyDescent="0.25"/>
    <row r="176570" customFormat="1" x14ac:dyDescent="0.25"/>
    <row r="176571" customFormat="1" x14ac:dyDescent="0.25"/>
    <row r="176572" customFormat="1" x14ac:dyDescent="0.25"/>
    <row r="176573" customFormat="1" x14ac:dyDescent="0.25"/>
    <row r="176574" customFormat="1" x14ac:dyDescent="0.25"/>
    <row r="176575" customFormat="1" x14ac:dyDescent="0.25"/>
    <row r="176576" customFormat="1" x14ac:dyDescent="0.25"/>
    <row r="176577" customFormat="1" x14ac:dyDescent="0.25"/>
    <row r="176578" customFormat="1" x14ac:dyDescent="0.25"/>
    <row r="176579" customFormat="1" x14ac:dyDescent="0.25"/>
    <row r="176580" customFormat="1" x14ac:dyDescent="0.25"/>
    <row r="176581" customFormat="1" x14ac:dyDescent="0.25"/>
    <row r="176582" customFormat="1" x14ac:dyDescent="0.25"/>
    <row r="176583" customFormat="1" x14ac:dyDescent="0.25"/>
    <row r="176584" customFormat="1" x14ac:dyDescent="0.25"/>
    <row r="176585" customFormat="1" x14ac:dyDescent="0.25"/>
    <row r="176586" customFormat="1" x14ac:dyDescent="0.25"/>
    <row r="176587" customFormat="1" x14ac:dyDescent="0.25"/>
    <row r="176588" customFormat="1" x14ac:dyDescent="0.25"/>
    <row r="176589" customFormat="1" x14ac:dyDescent="0.25"/>
    <row r="176590" customFormat="1" x14ac:dyDescent="0.25"/>
    <row r="176591" customFormat="1" x14ac:dyDescent="0.25"/>
    <row r="176592" customFormat="1" x14ac:dyDescent="0.25"/>
    <row r="176593" customFormat="1" x14ac:dyDescent="0.25"/>
    <row r="176594" customFormat="1" x14ac:dyDescent="0.25"/>
    <row r="176595" customFormat="1" x14ac:dyDescent="0.25"/>
    <row r="176596" customFormat="1" x14ac:dyDescent="0.25"/>
    <row r="176597" customFormat="1" x14ac:dyDescent="0.25"/>
    <row r="176598" customFormat="1" x14ac:dyDescent="0.25"/>
    <row r="176599" customFormat="1" x14ac:dyDescent="0.25"/>
    <row r="176600" customFormat="1" x14ac:dyDescent="0.25"/>
    <row r="176601" customFormat="1" x14ac:dyDescent="0.25"/>
    <row r="176602" customFormat="1" x14ac:dyDescent="0.25"/>
    <row r="176603" customFormat="1" x14ac:dyDescent="0.25"/>
    <row r="176604" customFormat="1" x14ac:dyDescent="0.25"/>
    <row r="176605" customFormat="1" x14ac:dyDescent="0.25"/>
    <row r="176606" customFormat="1" x14ac:dyDescent="0.25"/>
    <row r="176607" customFormat="1" x14ac:dyDescent="0.25"/>
    <row r="176608" customFormat="1" x14ac:dyDescent="0.25"/>
    <row r="176609" customFormat="1" x14ac:dyDescent="0.25"/>
    <row r="176610" customFormat="1" x14ac:dyDescent="0.25"/>
    <row r="176611" customFormat="1" x14ac:dyDescent="0.25"/>
    <row r="176612" customFormat="1" x14ac:dyDescent="0.25"/>
    <row r="176613" customFormat="1" x14ac:dyDescent="0.25"/>
    <row r="176614" customFormat="1" x14ac:dyDescent="0.25"/>
    <row r="176615" customFormat="1" x14ac:dyDescent="0.25"/>
    <row r="176616" customFormat="1" x14ac:dyDescent="0.25"/>
    <row r="176617" customFormat="1" x14ac:dyDescent="0.25"/>
    <row r="176618" customFormat="1" x14ac:dyDescent="0.25"/>
    <row r="176619" customFormat="1" x14ac:dyDescent="0.25"/>
    <row r="176620" customFormat="1" x14ac:dyDescent="0.25"/>
    <row r="176621" customFormat="1" x14ac:dyDescent="0.25"/>
    <row r="176622" customFormat="1" x14ac:dyDescent="0.25"/>
    <row r="176623" customFormat="1" x14ac:dyDescent="0.25"/>
    <row r="176624" customFormat="1" x14ac:dyDescent="0.25"/>
    <row r="176625" customFormat="1" x14ac:dyDescent="0.25"/>
    <row r="176626" customFormat="1" x14ac:dyDescent="0.25"/>
    <row r="176627" customFormat="1" x14ac:dyDescent="0.25"/>
    <row r="176628" customFormat="1" x14ac:dyDescent="0.25"/>
    <row r="176629" customFormat="1" x14ac:dyDescent="0.25"/>
    <row r="176630" customFormat="1" x14ac:dyDescent="0.25"/>
    <row r="176631" customFormat="1" x14ac:dyDescent="0.25"/>
    <row r="176632" customFormat="1" x14ac:dyDescent="0.25"/>
    <row r="176633" customFormat="1" x14ac:dyDescent="0.25"/>
    <row r="176634" customFormat="1" x14ac:dyDescent="0.25"/>
    <row r="176635" customFormat="1" x14ac:dyDescent="0.25"/>
    <row r="176636" customFormat="1" x14ac:dyDescent="0.25"/>
    <row r="176637" customFormat="1" x14ac:dyDescent="0.25"/>
    <row r="176638" customFormat="1" x14ac:dyDescent="0.25"/>
    <row r="176639" customFormat="1" x14ac:dyDescent="0.25"/>
    <row r="176640" customFormat="1" x14ac:dyDescent="0.25"/>
    <row r="176641" customFormat="1" x14ac:dyDescent="0.25"/>
    <row r="176642" customFormat="1" x14ac:dyDescent="0.25"/>
    <row r="176643" customFormat="1" x14ac:dyDescent="0.25"/>
    <row r="176644" customFormat="1" x14ac:dyDescent="0.25"/>
    <row r="176645" customFormat="1" x14ac:dyDescent="0.25"/>
    <row r="176646" customFormat="1" x14ac:dyDescent="0.25"/>
    <row r="176647" customFormat="1" x14ac:dyDescent="0.25"/>
    <row r="176648" customFormat="1" x14ac:dyDescent="0.25"/>
    <row r="176649" customFormat="1" x14ac:dyDescent="0.25"/>
    <row r="176650" customFormat="1" x14ac:dyDescent="0.25"/>
    <row r="176651" customFormat="1" x14ac:dyDescent="0.25"/>
    <row r="176652" customFormat="1" x14ac:dyDescent="0.25"/>
    <row r="176653" customFormat="1" x14ac:dyDescent="0.25"/>
    <row r="176654" customFormat="1" x14ac:dyDescent="0.25"/>
    <row r="176655" customFormat="1" x14ac:dyDescent="0.25"/>
    <row r="176656" customFormat="1" x14ac:dyDescent="0.25"/>
    <row r="176657" customFormat="1" x14ac:dyDescent="0.25"/>
    <row r="176658" customFormat="1" x14ac:dyDescent="0.25"/>
    <row r="176659" customFormat="1" x14ac:dyDescent="0.25"/>
    <row r="176660" customFormat="1" x14ac:dyDescent="0.25"/>
    <row r="176661" customFormat="1" x14ac:dyDescent="0.25"/>
    <row r="176662" customFormat="1" x14ac:dyDescent="0.25"/>
    <row r="176663" customFormat="1" x14ac:dyDescent="0.25"/>
    <row r="176664" customFormat="1" x14ac:dyDescent="0.25"/>
    <row r="176665" customFormat="1" x14ac:dyDescent="0.25"/>
    <row r="176666" customFormat="1" x14ac:dyDescent="0.25"/>
    <row r="176667" customFormat="1" x14ac:dyDescent="0.25"/>
    <row r="176668" customFormat="1" x14ac:dyDescent="0.25"/>
    <row r="176669" customFormat="1" x14ac:dyDescent="0.25"/>
    <row r="176670" customFormat="1" x14ac:dyDescent="0.25"/>
    <row r="176671" customFormat="1" x14ac:dyDescent="0.25"/>
    <row r="176672" customFormat="1" x14ac:dyDescent="0.25"/>
    <row r="176673" customFormat="1" x14ac:dyDescent="0.25"/>
    <row r="176674" customFormat="1" x14ac:dyDescent="0.25"/>
    <row r="176675" customFormat="1" x14ac:dyDescent="0.25"/>
    <row r="176676" customFormat="1" x14ac:dyDescent="0.25"/>
    <row r="176677" customFormat="1" x14ac:dyDescent="0.25"/>
    <row r="176678" customFormat="1" x14ac:dyDescent="0.25"/>
    <row r="176679" customFormat="1" x14ac:dyDescent="0.25"/>
    <row r="176680" customFormat="1" x14ac:dyDescent="0.25"/>
    <row r="176681" customFormat="1" x14ac:dyDescent="0.25"/>
    <row r="176682" customFormat="1" x14ac:dyDescent="0.25"/>
    <row r="176683" customFormat="1" x14ac:dyDescent="0.25"/>
    <row r="176684" customFormat="1" x14ac:dyDescent="0.25"/>
    <row r="176685" customFormat="1" x14ac:dyDescent="0.25"/>
    <row r="176686" customFormat="1" x14ac:dyDescent="0.25"/>
    <row r="176687" customFormat="1" x14ac:dyDescent="0.25"/>
    <row r="176688" customFormat="1" x14ac:dyDescent="0.25"/>
    <row r="176689" customFormat="1" x14ac:dyDescent="0.25"/>
    <row r="176690" customFormat="1" x14ac:dyDescent="0.25"/>
    <row r="176691" customFormat="1" x14ac:dyDescent="0.25"/>
    <row r="176692" customFormat="1" x14ac:dyDescent="0.25"/>
    <row r="176693" customFormat="1" x14ac:dyDescent="0.25"/>
    <row r="176694" customFormat="1" x14ac:dyDescent="0.25"/>
    <row r="176695" customFormat="1" x14ac:dyDescent="0.25"/>
    <row r="176696" customFormat="1" x14ac:dyDescent="0.25"/>
    <row r="176697" customFormat="1" x14ac:dyDescent="0.25"/>
    <row r="176698" customFormat="1" x14ac:dyDescent="0.25"/>
    <row r="176699" customFormat="1" x14ac:dyDescent="0.25"/>
    <row r="176700" customFormat="1" x14ac:dyDescent="0.25"/>
    <row r="176701" customFormat="1" x14ac:dyDescent="0.25"/>
    <row r="176702" customFormat="1" x14ac:dyDescent="0.25"/>
    <row r="176703" customFormat="1" x14ac:dyDescent="0.25"/>
    <row r="176704" customFormat="1" x14ac:dyDescent="0.25"/>
    <row r="176705" customFormat="1" x14ac:dyDescent="0.25"/>
    <row r="176706" customFormat="1" x14ac:dyDescent="0.25"/>
    <row r="176707" customFormat="1" x14ac:dyDescent="0.25"/>
    <row r="176708" customFormat="1" x14ac:dyDescent="0.25"/>
    <row r="176709" customFormat="1" x14ac:dyDescent="0.25"/>
    <row r="176710" customFormat="1" x14ac:dyDescent="0.25"/>
    <row r="176711" customFormat="1" x14ac:dyDescent="0.25"/>
    <row r="176712" customFormat="1" x14ac:dyDescent="0.25"/>
    <row r="176713" customFormat="1" x14ac:dyDescent="0.25"/>
    <row r="176714" customFormat="1" x14ac:dyDescent="0.25"/>
    <row r="176715" customFormat="1" x14ac:dyDescent="0.25"/>
    <row r="176716" customFormat="1" x14ac:dyDescent="0.25"/>
    <row r="176717" customFormat="1" x14ac:dyDescent="0.25"/>
    <row r="176718" customFormat="1" x14ac:dyDescent="0.25"/>
    <row r="176719" customFormat="1" x14ac:dyDescent="0.25"/>
    <row r="176720" customFormat="1" x14ac:dyDescent="0.25"/>
    <row r="176721" customFormat="1" x14ac:dyDescent="0.25"/>
    <row r="176722" customFormat="1" x14ac:dyDescent="0.25"/>
    <row r="176723" customFormat="1" x14ac:dyDescent="0.25"/>
    <row r="176724" customFormat="1" x14ac:dyDescent="0.25"/>
    <row r="176725" customFormat="1" x14ac:dyDescent="0.25"/>
    <row r="176726" customFormat="1" x14ac:dyDescent="0.25"/>
    <row r="176727" customFormat="1" x14ac:dyDescent="0.25"/>
    <row r="176728" customFormat="1" x14ac:dyDescent="0.25"/>
    <row r="176729" customFormat="1" x14ac:dyDescent="0.25"/>
    <row r="176730" customFormat="1" x14ac:dyDescent="0.25"/>
    <row r="176731" customFormat="1" x14ac:dyDescent="0.25"/>
    <row r="176732" customFormat="1" x14ac:dyDescent="0.25"/>
    <row r="176733" customFormat="1" x14ac:dyDescent="0.25"/>
    <row r="176734" customFormat="1" x14ac:dyDescent="0.25"/>
    <row r="176735" customFormat="1" x14ac:dyDescent="0.25"/>
    <row r="176736" customFormat="1" x14ac:dyDescent="0.25"/>
    <row r="176737" customFormat="1" x14ac:dyDescent="0.25"/>
    <row r="176738" customFormat="1" x14ac:dyDescent="0.25"/>
    <row r="176739" customFormat="1" x14ac:dyDescent="0.25"/>
    <row r="176740" customFormat="1" x14ac:dyDescent="0.25"/>
    <row r="176741" customFormat="1" x14ac:dyDescent="0.25"/>
    <row r="176742" customFormat="1" x14ac:dyDescent="0.25"/>
    <row r="176743" customFormat="1" x14ac:dyDescent="0.25"/>
    <row r="176744" customFormat="1" x14ac:dyDescent="0.25"/>
    <row r="176745" customFormat="1" x14ac:dyDescent="0.25"/>
    <row r="176746" customFormat="1" x14ac:dyDescent="0.25"/>
    <row r="176747" customFormat="1" x14ac:dyDescent="0.25"/>
    <row r="176748" customFormat="1" x14ac:dyDescent="0.25"/>
    <row r="176749" customFormat="1" x14ac:dyDescent="0.25"/>
    <row r="176750" customFormat="1" x14ac:dyDescent="0.25"/>
    <row r="176751" customFormat="1" x14ac:dyDescent="0.25"/>
    <row r="176752" customFormat="1" x14ac:dyDescent="0.25"/>
    <row r="176753" customFormat="1" x14ac:dyDescent="0.25"/>
    <row r="176754" customFormat="1" x14ac:dyDescent="0.25"/>
    <row r="176755" customFormat="1" x14ac:dyDescent="0.25"/>
    <row r="176756" customFormat="1" x14ac:dyDescent="0.25"/>
    <row r="176757" customFormat="1" x14ac:dyDescent="0.25"/>
    <row r="176758" customFormat="1" x14ac:dyDescent="0.25"/>
    <row r="176759" customFormat="1" x14ac:dyDescent="0.25"/>
    <row r="176760" customFormat="1" x14ac:dyDescent="0.25"/>
    <row r="176761" customFormat="1" x14ac:dyDescent="0.25"/>
    <row r="176762" customFormat="1" x14ac:dyDescent="0.25"/>
    <row r="176763" customFormat="1" x14ac:dyDescent="0.25"/>
    <row r="176764" customFormat="1" x14ac:dyDescent="0.25"/>
    <row r="176765" customFormat="1" x14ac:dyDescent="0.25"/>
    <row r="176766" customFormat="1" x14ac:dyDescent="0.25"/>
    <row r="176767" customFormat="1" x14ac:dyDescent="0.25"/>
    <row r="176768" customFormat="1" x14ac:dyDescent="0.25"/>
    <row r="176769" customFormat="1" x14ac:dyDescent="0.25"/>
    <row r="176770" customFormat="1" x14ac:dyDescent="0.25"/>
    <row r="176771" customFormat="1" x14ac:dyDescent="0.25"/>
    <row r="176772" customFormat="1" x14ac:dyDescent="0.25"/>
    <row r="176773" customFormat="1" x14ac:dyDescent="0.25"/>
    <row r="176774" customFormat="1" x14ac:dyDescent="0.25"/>
    <row r="176775" customFormat="1" x14ac:dyDescent="0.25"/>
    <row r="176776" customFormat="1" x14ac:dyDescent="0.25"/>
    <row r="176777" customFormat="1" x14ac:dyDescent="0.25"/>
    <row r="176778" customFormat="1" x14ac:dyDescent="0.25"/>
    <row r="176779" customFormat="1" x14ac:dyDescent="0.25"/>
    <row r="176780" customFormat="1" x14ac:dyDescent="0.25"/>
    <row r="176781" customFormat="1" x14ac:dyDescent="0.25"/>
    <row r="176782" customFormat="1" x14ac:dyDescent="0.25"/>
    <row r="176783" customFormat="1" x14ac:dyDescent="0.25"/>
    <row r="176784" customFormat="1" x14ac:dyDescent="0.25"/>
    <row r="176785" customFormat="1" x14ac:dyDescent="0.25"/>
    <row r="176786" customFormat="1" x14ac:dyDescent="0.25"/>
    <row r="176787" customFormat="1" x14ac:dyDescent="0.25"/>
    <row r="176788" customFormat="1" x14ac:dyDescent="0.25"/>
    <row r="176789" customFormat="1" x14ac:dyDescent="0.25"/>
    <row r="176790" customFormat="1" x14ac:dyDescent="0.25"/>
    <row r="176791" customFormat="1" x14ac:dyDescent="0.25"/>
    <row r="176792" customFormat="1" x14ac:dyDescent="0.25"/>
    <row r="176793" customFormat="1" x14ac:dyDescent="0.25"/>
    <row r="176794" customFormat="1" x14ac:dyDescent="0.25"/>
    <row r="176795" customFormat="1" x14ac:dyDescent="0.25"/>
    <row r="176796" customFormat="1" x14ac:dyDescent="0.25"/>
    <row r="176797" customFormat="1" x14ac:dyDescent="0.25"/>
    <row r="176798" customFormat="1" x14ac:dyDescent="0.25"/>
    <row r="176799" customFormat="1" x14ac:dyDescent="0.25"/>
    <row r="176800" customFormat="1" x14ac:dyDescent="0.25"/>
    <row r="176801" customFormat="1" x14ac:dyDescent="0.25"/>
    <row r="176802" customFormat="1" x14ac:dyDescent="0.25"/>
    <row r="176803" customFormat="1" x14ac:dyDescent="0.25"/>
    <row r="176804" customFormat="1" x14ac:dyDescent="0.25"/>
    <row r="176805" customFormat="1" x14ac:dyDescent="0.25"/>
    <row r="176806" customFormat="1" x14ac:dyDescent="0.25"/>
    <row r="176807" customFormat="1" x14ac:dyDescent="0.25"/>
    <row r="176808" customFormat="1" x14ac:dyDescent="0.25"/>
    <row r="176809" customFormat="1" x14ac:dyDescent="0.25"/>
    <row r="176810" customFormat="1" x14ac:dyDescent="0.25"/>
    <row r="176811" customFormat="1" x14ac:dyDescent="0.25"/>
    <row r="176812" customFormat="1" x14ac:dyDescent="0.25"/>
    <row r="176813" customFormat="1" x14ac:dyDescent="0.25"/>
    <row r="176814" customFormat="1" x14ac:dyDescent="0.25"/>
    <row r="176815" customFormat="1" x14ac:dyDescent="0.25"/>
    <row r="176816" customFormat="1" x14ac:dyDescent="0.25"/>
    <row r="176817" customFormat="1" x14ac:dyDescent="0.25"/>
    <row r="176818" customFormat="1" x14ac:dyDescent="0.25"/>
    <row r="176819" customFormat="1" x14ac:dyDescent="0.25"/>
    <row r="176820" customFormat="1" x14ac:dyDescent="0.25"/>
    <row r="176821" customFormat="1" x14ac:dyDescent="0.25"/>
    <row r="176822" customFormat="1" x14ac:dyDescent="0.25"/>
    <row r="176823" customFormat="1" x14ac:dyDescent="0.25"/>
    <row r="176824" customFormat="1" x14ac:dyDescent="0.25"/>
    <row r="176825" customFormat="1" x14ac:dyDescent="0.25"/>
    <row r="176826" customFormat="1" x14ac:dyDescent="0.25"/>
    <row r="176827" customFormat="1" x14ac:dyDescent="0.25"/>
    <row r="176828" customFormat="1" x14ac:dyDescent="0.25"/>
    <row r="176829" customFormat="1" x14ac:dyDescent="0.25"/>
    <row r="176830" customFormat="1" x14ac:dyDescent="0.25"/>
    <row r="176831" customFormat="1" x14ac:dyDescent="0.25"/>
    <row r="176832" customFormat="1" x14ac:dyDescent="0.25"/>
    <row r="176833" customFormat="1" x14ac:dyDescent="0.25"/>
    <row r="176834" customFormat="1" x14ac:dyDescent="0.25"/>
    <row r="176835" customFormat="1" x14ac:dyDescent="0.25"/>
    <row r="176836" customFormat="1" x14ac:dyDescent="0.25"/>
    <row r="176837" customFormat="1" x14ac:dyDescent="0.25"/>
    <row r="176838" customFormat="1" x14ac:dyDescent="0.25"/>
    <row r="176839" customFormat="1" x14ac:dyDescent="0.25"/>
    <row r="176840" customFormat="1" x14ac:dyDescent="0.25"/>
    <row r="176841" customFormat="1" x14ac:dyDescent="0.25"/>
    <row r="176842" customFormat="1" x14ac:dyDescent="0.25"/>
    <row r="176843" customFormat="1" x14ac:dyDescent="0.25"/>
    <row r="176844" customFormat="1" x14ac:dyDescent="0.25"/>
    <row r="176845" customFormat="1" x14ac:dyDescent="0.25"/>
    <row r="176846" customFormat="1" x14ac:dyDescent="0.25"/>
    <row r="176847" customFormat="1" x14ac:dyDescent="0.25"/>
    <row r="176848" customFormat="1" x14ac:dyDescent="0.25"/>
    <row r="176849" customFormat="1" x14ac:dyDescent="0.25"/>
    <row r="176850" customFormat="1" x14ac:dyDescent="0.25"/>
    <row r="176851" customFormat="1" x14ac:dyDescent="0.25"/>
    <row r="176852" customFormat="1" x14ac:dyDescent="0.25"/>
    <row r="176853" customFormat="1" x14ac:dyDescent="0.25"/>
    <row r="176854" customFormat="1" x14ac:dyDescent="0.25"/>
    <row r="176855" customFormat="1" x14ac:dyDescent="0.25"/>
    <row r="176856" customFormat="1" x14ac:dyDescent="0.25"/>
    <row r="176857" customFormat="1" x14ac:dyDescent="0.25"/>
    <row r="176858" customFormat="1" x14ac:dyDescent="0.25"/>
    <row r="176859" customFormat="1" x14ac:dyDescent="0.25"/>
    <row r="176860" customFormat="1" x14ac:dyDescent="0.25"/>
    <row r="176861" customFormat="1" x14ac:dyDescent="0.25"/>
    <row r="176862" customFormat="1" x14ac:dyDescent="0.25"/>
    <row r="176863" customFormat="1" x14ac:dyDescent="0.25"/>
    <row r="176864" customFormat="1" x14ac:dyDescent="0.25"/>
    <row r="176865" customFormat="1" x14ac:dyDescent="0.25"/>
    <row r="176866" customFormat="1" x14ac:dyDescent="0.25"/>
    <row r="176867" customFormat="1" x14ac:dyDescent="0.25"/>
    <row r="176868" customFormat="1" x14ac:dyDescent="0.25"/>
    <row r="176869" customFormat="1" x14ac:dyDescent="0.25"/>
    <row r="176870" customFormat="1" x14ac:dyDescent="0.25"/>
    <row r="176871" customFormat="1" x14ac:dyDescent="0.25"/>
    <row r="176872" customFormat="1" x14ac:dyDescent="0.25"/>
    <row r="176873" customFormat="1" x14ac:dyDescent="0.25"/>
    <row r="176874" customFormat="1" x14ac:dyDescent="0.25"/>
    <row r="176875" customFormat="1" x14ac:dyDescent="0.25"/>
    <row r="176876" customFormat="1" x14ac:dyDescent="0.25"/>
    <row r="176877" customFormat="1" x14ac:dyDescent="0.25"/>
    <row r="176878" customFormat="1" x14ac:dyDescent="0.25"/>
    <row r="176879" customFormat="1" x14ac:dyDescent="0.25"/>
    <row r="176880" customFormat="1" x14ac:dyDescent="0.25"/>
    <row r="176881" customFormat="1" x14ac:dyDescent="0.25"/>
    <row r="176882" customFormat="1" x14ac:dyDescent="0.25"/>
    <row r="176883" customFormat="1" x14ac:dyDescent="0.25"/>
    <row r="176884" customFormat="1" x14ac:dyDescent="0.25"/>
    <row r="176885" customFormat="1" x14ac:dyDescent="0.25"/>
    <row r="176886" customFormat="1" x14ac:dyDescent="0.25"/>
    <row r="176887" customFormat="1" x14ac:dyDescent="0.25"/>
    <row r="176888" customFormat="1" x14ac:dyDescent="0.25"/>
    <row r="176889" customFormat="1" x14ac:dyDescent="0.25"/>
    <row r="176890" customFormat="1" x14ac:dyDescent="0.25"/>
    <row r="176891" customFormat="1" x14ac:dyDescent="0.25"/>
    <row r="176892" customFormat="1" x14ac:dyDescent="0.25"/>
    <row r="176893" customFormat="1" x14ac:dyDescent="0.25"/>
    <row r="176894" customFormat="1" x14ac:dyDescent="0.25"/>
    <row r="176895" customFormat="1" x14ac:dyDescent="0.25"/>
    <row r="176896" customFormat="1" x14ac:dyDescent="0.25"/>
    <row r="176897" customFormat="1" x14ac:dyDescent="0.25"/>
    <row r="176898" customFormat="1" x14ac:dyDescent="0.25"/>
    <row r="176899" customFormat="1" x14ac:dyDescent="0.25"/>
    <row r="176900" customFormat="1" x14ac:dyDescent="0.25"/>
    <row r="176901" customFormat="1" x14ac:dyDescent="0.25"/>
    <row r="176902" customFormat="1" x14ac:dyDescent="0.25"/>
    <row r="176903" customFormat="1" x14ac:dyDescent="0.25"/>
    <row r="176904" customFormat="1" x14ac:dyDescent="0.25"/>
    <row r="176905" customFormat="1" x14ac:dyDescent="0.25"/>
    <row r="176906" customFormat="1" x14ac:dyDescent="0.25"/>
    <row r="176907" customFormat="1" x14ac:dyDescent="0.25"/>
    <row r="176908" customFormat="1" x14ac:dyDescent="0.25"/>
    <row r="176909" customFormat="1" x14ac:dyDescent="0.25"/>
    <row r="176910" customFormat="1" x14ac:dyDescent="0.25"/>
    <row r="176911" customFormat="1" x14ac:dyDescent="0.25"/>
    <row r="176912" customFormat="1" x14ac:dyDescent="0.25"/>
    <row r="176913" customFormat="1" x14ac:dyDescent="0.25"/>
    <row r="176914" customFormat="1" x14ac:dyDescent="0.25"/>
    <row r="176915" customFormat="1" x14ac:dyDescent="0.25"/>
    <row r="176916" customFormat="1" x14ac:dyDescent="0.25"/>
    <row r="176917" customFormat="1" x14ac:dyDescent="0.25"/>
    <row r="176918" customFormat="1" x14ac:dyDescent="0.25"/>
    <row r="176919" customFormat="1" x14ac:dyDescent="0.25"/>
    <row r="176920" customFormat="1" x14ac:dyDescent="0.25"/>
    <row r="176921" customFormat="1" x14ac:dyDescent="0.25"/>
    <row r="176922" customFormat="1" x14ac:dyDescent="0.25"/>
    <row r="176923" customFormat="1" x14ac:dyDescent="0.25"/>
    <row r="176924" customFormat="1" x14ac:dyDescent="0.25"/>
    <row r="176925" customFormat="1" x14ac:dyDescent="0.25"/>
    <row r="176926" customFormat="1" x14ac:dyDescent="0.25"/>
    <row r="176927" customFormat="1" x14ac:dyDescent="0.25"/>
    <row r="176928" customFormat="1" x14ac:dyDescent="0.25"/>
    <row r="176929" customFormat="1" x14ac:dyDescent="0.25"/>
    <row r="176930" customFormat="1" x14ac:dyDescent="0.25"/>
    <row r="176931" customFormat="1" x14ac:dyDescent="0.25"/>
    <row r="176932" customFormat="1" x14ac:dyDescent="0.25"/>
    <row r="176933" customFormat="1" x14ac:dyDescent="0.25"/>
    <row r="176934" customFormat="1" x14ac:dyDescent="0.25"/>
    <row r="176935" customFormat="1" x14ac:dyDescent="0.25"/>
    <row r="176936" customFormat="1" x14ac:dyDescent="0.25"/>
    <row r="176937" customFormat="1" x14ac:dyDescent="0.25"/>
    <row r="176938" customFormat="1" x14ac:dyDescent="0.25"/>
    <row r="176939" customFormat="1" x14ac:dyDescent="0.25"/>
    <row r="176940" customFormat="1" x14ac:dyDescent="0.25"/>
    <row r="176941" customFormat="1" x14ac:dyDescent="0.25"/>
    <row r="176942" customFormat="1" x14ac:dyDescent="0.25"/>
    <row r="176943" customFormat="1" x14ac:dyDescent="0.25"/>
    <row r="176944" customFormat="1" x14ac:dyDescent="0.25"/>
    <row r="176945" customFormat="1" x14ac:dyDescent="0.25"/>
    <row r="176946" customFormat="1" x14ac:dyDescent="0.25"/>
    <row r="176947" customFormat="1" x14ac:dyDescent="0.25"/>
    <row r="176948" customFormat="1" x14ac:dyDescent="0.25"/>
    <row r="176949" customFormat="1" x14ac:dyDescent="0.25"/>
    <row r="176950" customFormat="1" x14ac:dyDescent="0.25"/>
    <row r="176951" customFormat="1" x14ac:dyDescent="0.25"/>
    <row r="176952" customFormat="1" x14ac:dyDescent="0.25"/>
    <row r="176953" customFormat="1" x14ac:dyDescent="0.25"/>
    <row r="176954" customFormat="1" x14ac:dyDescent="0.25"/>
    <row r="176955" customFormat="1" x14ac:dyDescent="0.25"/>
    <row r="176956" customFormat="1" x14ac:dyDescent="0.25"/>
    <row r="176957" customFormat="1" x14ac:dyDescent="0.25"/>
    <row r="176958" customFormat="1" x14ac:dyDescent="0.25"/>
    <row r="176959" customFormat="1" x14ac:dyDescent="0.25"/>
    <row r="176960" customFormat="1" x14ac:dyDescent="0.25"/>
    <row r="176961" customFormat="1" x14ac:dyDescent="0.25"/>
    <row r="176962" customFormat="1" x14ac:dyDescent="0.25"/>
    <row r="176963" customFormat="1" x14ac:dyDescent="0.25"/>
    <row r="176964" customFormat="1" x14ac:dyDescent="0.25"/>
    <row r="176965" customFormat="1" x14ac:dyDescent="0.25"/>
    <row r="176966" customFormat="1" x14ac:dyDescent="0.25"/>
    <row r="176967" customFormat="1" x14ac:dyDescent="0.25"/>
    <row r="176968" customFormat="1" x14ac:dyDescent="0.25"/>
    <row r="176969" customFormat="1" x14ac:dyDescent="0.25"/>
    <row r="176970" customFormat="1" x14ac:dyDescent="0.25"/>
    <row r="176971" customFormat="1" x14ac:dyDescent="0.25"/>
    <row r="176972" customFormat="1" x14ac:dyDescent="0.25"/>
    <row r="176973" customFormat="1" x14ac:dyDescent="0.25"/>
    <row r="176974" customFormat="1" x14ac:dyDescent="0.25"/>
    <row r="176975" customFormat="1" x14ac:dyDescent="0.25"/>
    <row r="176976" customFormat="1" x14ac:dyDescent="0.25"/>
    <row r="176977" customFormat="1" x14ac:dyDescent="0.25"/>
    <row r="176978" customFormat="1" x14ac:dyDescent="0.25"/>
    <row r="176979" customFormat="1" x14ac:dyDescent="0.25"/>
    <row r="176980" customFormat="1" x14ac:dyDescent="0.25"/>
    <row r="176981" customFormat="1" x14ac:dyDescent="0.25"/>
    <row r="176982" customFormat="1" x14ac:dyDescent="0.25"/>
    <row r="176983" customFormat="1" x14ac:dyDescent="0.25"/>
    <row r="176984" customFormat="1" x14ac:dyDescent="0.25"/>
    <row r="176985" customFormat="1" x14ac:dyDescent="0.25"/>
    <row r="176986" customFormat="1" x14ac:dyDescent="0.25"/>
    <row r="176987" customFormat="1" x14ac:dyDescent="0.25"/>
    <row r="176988" customFormat="1" x14ac:dyDescent="0.25"/>
    <row r="176989" customFormat="1" x14ac:dyDescent="0.25"/>
    <row r="176990" customFormat="1" x14ac:dyDescent="0.25"/>
    <row r="176991" customFormat="1" x14ac:dyDescent="0.25"/>
    <row r="176992" customFormat="1" x14ac:dyDescent="0.25"/>
    <row r="176993" customFormat="1" x14ac:dyDescent="0.25"/>
    <row r="176994" customFormat="1" x14ac:dyDescent="0.25"/>
    <row r="176995" customFormat="1" x14ac:dyDescent="0.25"/>
    <row r="176996" customFormat="1" x14ac:dyDescent="0.25"/>
    <row r="176997" customFormat="1" x14ac:dyDescent="0.25"/>
    <row r="176998" customFormat="1" x14ac:dyDescent="0.25"/>
    <row r="176999" customFormat="1" x14ac:dyDescent="0.25"/>
    <row r="177000" customFormat="1" x14ac:dyDescent="0.25"/>
    <row r="177001" customFormat="1" x14ac:dyDescent="0.25"/>
    <row r="177002" customFormat="1" x14ac:dyDescent="0.25"/>
    <row r="177003" customFormat="1" x14ac:dyDescent="0.25"/>
    <row r="177004" customFormat="1" x14ac:dyDescent="0.25"/>
    <row r="177005" customFormat="1" x14ac:dyDescent="0.25"/>
    <row r="177006" customFormat="1" x14ac:dyDescent="0.25"/>
    <row r="177007" customFormat="1" x14ac:dyDescent="0.25"/>
    <row r="177008" customFormat="1" x14ac:dyDescent="0.25"/>
    <row r="177009" customFormat="1" x14ac:dyDescent="0.25"/>
    <row r="177010" customFormat="1" x14ac:dyDescent="0.25"/>
    <row r="177011" customFormat="1" x14ac:dyDescent="0.25"/>
    <row r="177012" customFormat="1" x14ac:dyDescent="0.25"/>
    <row r="177013" customFormat="1" x14ac:dyDescent="0.25"/>
    <row r="177014" customFormat="1" x14ac:dyDescent="0.25"/>
    <row r="177015" customFormat="1" x14ac:dyDescent="0.25"/>
    <row r="177016" customFormat="1" x14ac:dyDescent="0.25"/>
    <row r="177017" customFormat="1" x14ac:dyDescent="0.25"/>
    <row r="177018" customFormat="1" x14ac:dyDescent="0.25"/>
    <row r="177019" customFormat="1" x14ac:dyDescent="0.25"/>
    <row r="177020" customFormat="1" x14ac:dyDescent="0.25"/>
    <row r="177021" customFormat="1" x14ac:dyDescent="0.25"/>
    <row r="177022" customFormat="1" x14ac:dyDescent="0.25"/>
    <row r="177023" customFormat="1" x14ac:dyDescent="0.25"/>
    <row r="177024" customFormat="1" x14ac:dyDescent="0.25"/>
    <row r="177025" customFormat="1" x14ac:dyDescent="0.25"/>
    <row r="177026" customFormat="1" x14ac:dyDescent="0.25"/>
    <row r="177027" customFormat="1" x14ac:dyDescent="0.25"/>
    <row r="177028" customFormat="1" x14ac:dyDescent="0.25"/>
    <row r="177029" customFormat="1" x14ac:dyDescent="0.25"/>
    <row r="177030" customFormat="1" x14ac:dyDescent="0.25"/>
    <row r="177031" customFormat="1" x14ac:dyDescent="0.25"/>
    <row r="177032" customFormat="1" x14ac:dyDescent="0.25"/>
    <row r="177033" customFormat="1" x14ac:dyDescent="0.25"/>
    <row r="177034" customFormat="1" x14ac:dyDescent="0.25"/>
    <row r="177035" customFormat="1" x14ac:dyDescent="0.25"/>
    <row r="177036" customFormat="1" x14ac:dyDescent="0.25"/>
    <row r="177037" customFormat="1" x14ac:dyDescent="0.25"/>
    <row r="177038" customFormat="1" x14ac:dyDescent="0.25"/>
    <row r="177039" customFormat="1" x14ac:dyDescent="0.25"/>
    <row r="177040" customFormat="1" x14ac:dyDescent="0.25"/>
    <row r="177041" customFormat="1" x14ac:dyDescent="0.25"/>
    <row r="177042" customFormat="1" x14ac:dyDescent="0.25"/>
    <row r="177043" customFormat="1" x14ac:dyDescent="0.25"/>
    <row r="177044" customFormat="1" x14ac:dyDescent="0.25"/>
    <row r="177045" customFormat="1" x14ac:dyDescent="0.25"/>
    <row r="177046" customFormat="1" x14ac:dyDescent="0.25"/>
    <row r="177047" customFormat="1" x14ac:dyDescent="0.25"/>
    <row r="177048" customFormat="1" x14ac:dyDescent="0.25"/>
    <row r="177049" customFormat="1" x14ac:dyDescent="0.25"/>
    <row r="177050" customFormat="1" x14ac:dyDescent="0.25"/>
    <row r="177051" customFormat="1" x14ac:dyDescent="0.25"/>
    <row r="177052" customFormat="1" x14ac:dyDescent="0.25"/>
    <row r="177053" customFormat="1" x14ac:dyDescent="0.25"/>
    <row r="177054" customFormat="1" x14ac:dyDescent="0.25"/>
    <row r="177055" customFormat="1" x14ac:dyDescent="0.25"/>
    <row r="177056" customFormat="1" x14ac:dyDescent="0.25"/>
    <row r="177057" customFormat="1" x14ac:dyDescent="0.25"/>
    <row r="177058" customFormat="1" x14ac:dyDescent="0.25"/>
    <row r="177059" customFormat="1" x14ac:dyDescent="0.25"/>
    <row r="177060" customFormat="1" x14ac:dyDescent="0.25"/>
    <row r="177061" customFormat="1" x14ac:dyDescent="0.25"/>
    <row r="177062" customFormat="1" x14ac:dyDescent="0.25"/>
    <row r="177063" customFormat="1" x14ac:dyDescent="0.25"/>
    <row r="177064" customFormat="1" x14ac:dyDescent="0.25"/>
    <row r="177065" customFormat="1" x14ac:dyDescent="0.25"/>
    <row r="177066" customFormat="1" x14ac:dyDescent="0.25"/>
    <row r="177067" customFormat="1" x14ac:dyDescent="0.25"/>
    <row r="177068" customFormat="1" x14ac:dyDescent="0.25"/>
    <row r="177069" customFormat="1" x14ac:dyDescent="0.25"/>
    <row r="177070" customFormat="1" x14ac:dyDescent="0.25"/>
    <row r="177071" customFormat="1" x14ac:dyDescent="0.25"/>
    <row r="177072" customFormat="1" x14ac:dyDescent="0.25"/>
    <row r="177073" customFormat="1" x14ac:dyDescent="0.25"/>
    <row r="177074" customFormat="1" x14ac:dyDescent="0.25"/>
    <row r="177075" customFormat="1" x14ac:dyDescent="0.25"/>
    <row r="177076" customFormat="1" x14ac:dyDescent="0.25"/>
    <row r="177077" customFormat="1" x14ac:dyDescent="0.25"/>
    <row r="177078" customFormat="1" x14ac:dyDescent="0.25"/>
    <row r="177079" customFormat="1" x14ac:dyDescent="0.25"/>
    <row r="177080" customFormat="1" x14ac:dyDescent="0.25"/>
    <row r="177081" customFormat="1" x14ac:dyDescent="0.25"/>
    <row r="177082" customFormat="1" x14ac:dyDescent="0.25"/>
    <row r="177083" customFormat="1" x14ac:dyDescent="0.25"/>
    <row r="177084" customFormat="1" x14ac:dyDescent="0.25"/>
    <row r="177085" customFormat="1" x14ac:dyDescent="0.25"/>
    <row r="177086" customFormat="1" x14ac:dyDescent="0.25"/>
    <row r="177087" customFormat="1" x14ac:dyDescent="0.25"/>
    <row r="177088" customFormat="1" x14ac:dyDescent="0.25"/>
    <row r="177089" customFormat="1" x14ac:dyDescent="0.25"/>
    <row r="177090" customFormat="1" x14ac:dyDescent="0.25"/>
    <row r="177091" customFormat="1" x14ac:dyDescent="0.25"/>
    <row r="177092" customFormat="1" x14ac:dyDescent="0.25"/>
    <row r="177093" customFormat="1" x14ac:dyDescent="0.25"/>
    <row r="177094" customFormat="1" x14ac:dyDescent="0.25"/>
    <row r="177095" customFormat="1" x14ac:dyDescent="0.25"/>
    <row r="177096" customFormat="1" x14ac:dyDescent="0.25"/>
    <row r="177097" customFormat="1" x14ac:dyDescent="0.25"/>
    <row r="177098" customFormat="1" x14ac:dyDescent="0.25"/>
    <row r="177099" customFormat="1" x14ac:dyDescent="0.25"/>
    <row r="177100" customFormat="1" x14ac:dyDescent="0.25"/>
    <row r="177101" customFormat="1" x14ac:dyDescent="0.25"/>
    <row r="177102" customFormat="1" x14ac:dyDescent="0.25"/>
    <row r="177103" customFormat="1" x14ac:dyDescent="0.25"/>
    <row r="177104" customFormat="1" x14ac:dyDescent="0.25"/>
    <row r="177105" customFormat="1" x14ac:dyDescent="0.25"/>
    <row r="177106" customFormat="1" x14ac:dyDescent="0.25"/>
    <row r="177107" customFormat="1" x14ac:dyDescent="0.25"/>
    <row r="177108" customFormat="1" x14ac:dyDescent="0.25"/>
    <row r="177109" customFormat="1" x14ac:dyDescent="0.25"/>
    <row r="177110" customFormat="1" x14ac:dyDescent="0.25"/>
    <row r="177111" customFormat="1" x14ac:dyDescent="0.25"/>
    <row r="177112" customFormat="1" x14ac:dyDescent="0.25"/>
    <row r="177113" customFormat="1" x14ac:dyDescent="0.25"/>
    <row r="177114" customFormat="1" x14ac:dyDescent="0.25"/>
    <row r="177115" customFormat="1" x14ac:dyDescent="0.25"/>
    <row r="177116" customFormat="1" x14ac:dyDescent="0.25"/>
    <row r="177117" customFormat="1" x14ac:dyDescent="0.25"/>
    <row r="177118" customFormat="1" x14ac:dyDescent="0.25"/>
    <row r="177119" customFormat="1" x14ac:dyDescent="0.25"/>
    <row r="177120" customFormat="1" x14ac:dyDescent="0.25"/>
    <row r="177121" customFormat="1" x14ac:dyDescent="0.25"/>
    <row r="177122" customFormat="1" x14ac:dyDescent="0.25"/>
    <row r="177123" customFormat="1" x14ac:dyDescent="0.25"/>
    <row r="177124" customFormat="1" x14ac:dyDescent="0.25"/>
    <row r="177125" customFormat="1" x14ac:dyDescent="0.25"/>
    <row r="177126" customFormat="1" x14ac:dyDescent="0.25"/>
    <row r="177127" customFormat="1" x14ac:dyDescent="0.25"/>
    <row r="177128" customFormat="1" x14ac:dyDescent="0.25"/>
    <row r="177129" customFormat="1" x14ac:dyDescent="0.25"/>
    <row r="177130" customFormat="1" x14ac:dyDescent="0.25"/>
    <row r="177131" customFormat="1" x14ac:dyDescent="0.25"/>
    <row r="177132" customFormat="1" x14ac:dyDescent="0.25"/>
    <row r="177133" customFormat="1" x14ac:dyDescent="0.25"/>
    <row r="177134" customFormat="1" x14ac:dyDescent="0.25"/>
    <row r="177135" customFormat="1" x14ac:dyDescent="0.25"/>
    <row r="177136" customFormat="1" x14ac:dyDescent="0.25"/>
    <row r="177137" customFormat="1" x14ac:dyDescent="0.25"/>
    <row r="177138" customFormat="1" x14ac:dyDescent="0.25"/>
    <row r="177139" customFormat="1" x14ac:dyDescent="0.25"/>
    <row r="177140" customFormat="1" x14ac:dyDescent="0.25"/>
    <row r="177141" customFormat="1" x14ac:dyDescent="0.25"/>
    <row r="177142" customFormat="1" x14ac:dyDescent="0.25"/>
    <row r="177143" customFormat="1" x14ac:dyDescent="0.25"/>
    <row r="177144" customFormat="1" x14ac:dyDescent="0.25"/>
    <row r="177145" customFormat="1" x14ac:dyDescent="0.25"/>
    <row r="177146" customFormat="1" x14ac:dyDescent="0.25"/>
    <row r="177147" customFormat="1" x14ac:dyDescent="0.25"/>
    <row r="177148" customFormat="1" x14ac:dyDescent="0.25"/>
    <row r="177149" customFormat="1" x14ac:dyDescent="0.25"/>
    <row r="177150" customFormat="1" x14ac:dyDescent="0.25"/>
    <row r="177151" customFormat="1" x14ac:dyDescent="0.25"/>
    <row r="177152" customFormat="1" x14ac:dyDescent="0.25"/>
    <row r="177153" customFormat="1" x14ac:dyDescent="0.25"/>
    <row r="177154" customFormat="1" x14ac:dyDescent="0.25"/>
    <row r="177155" customFormat="1" x14ac:dyDescent="0.25"/>
    <row r="177156" customFormat="1" x14ac:dyDescent="0.25"/>
    <row r="177157" customFormat="1" x14ac:dyDescent="0.25"/>
    <row r="177158" customFormat="1" x14ac:dyDescent="0.25"/>
    <row r="177159" customFormat="1" x14ac:dyDescent="0.25"/>
    <row r="177160" customFormat="1" x14ac:dyDescent="0.25"/>
    <row r="177161" customFormat="1" x14ac:dyDescent="0.25"/>
    <row r="177162" customFormat="1" x14ac:dyDescent="0.25"/>
    <row r="177163" customFormat="1" x14ac:dyDescent="0.25"/>
    <row r="177164" customFormat="1" x14ac:dyDescent="0.25"/>
    <row r="177165" customFormat="1" x14ac:dyDescent="0.25"/>
    <row r="177166" customFormat="1" x14ac:dyDescent="0.25"/>
    <row r="177167" customFormat="1" x14ac:dyDescent="0.25"/>
    <row r="177168" customFormat="1" x14ac:dyDescent="0.25"/>
    <row r="177169" customFormat="1" x14ac:dyDescent="0.25"/>
    <row r="177170" customFormat="1" x14ac:dyDescent="0.25"/>
    <row r="177171" customFormat="1" x14ac:dyDescent="0.25"/>
    <row r="177172" customFormat="1" x14ac:dyDescent="0.25"/>
    <row r="177173" customFormat="1" x14ac:dyDescent="0.25"/>
    <row r="177174" customFormat="1" x14ac:dyDescent="0.25"/>
    <row r="177175" customFormat="1" x14ac:dyDescent="0.25"/>
    <row r="177176" customFormat="1" x14ac:dyDescent="0.25"/>
    <row r="177177" customFormat="1" x14ac:dyDescent="0.25"/>
    <row r="177178" customFormat="1" x14ac:dyDescent="0.25"/>
    <row r="177179" customFormat="1" x14ac:dyDescent="0.25"/>
    <row r="177180" customFormat="1" x14ac:dyDescent="0.25"/>
    <row r="177181" customFormat="1" x14ac:dyDescent="0.25"/>
    <row r="177182" customFormat="1" x14ac:dyDescent="0.25"/>
    <row r="177183" customFormat="1" x14ac:dyDescent="0.25"/>
    <row r="177184" customFormat="1" x14ac:dyDescent="0.25"/>
    <row r="177185" customFormat="1" x14ac:dyDescent="0.25"/>
    <row r="177186" customFormat="1" x14ac:dyDescent="0.25"/>
    <row r="177187" customFormat="1" x14ac:dyDescent="0.25"/>
    <row r="177188" customFormat="1" x14ac:dyDescent="0.25"/>
    <row r="177189" customFormat="1" x14ac:dyDescent="0.25"/>
    <row r="177190" customFormat="1" x14ac:dyDescent="0.25"/>
    <row r="177191" customFormat="1" x14ac:dyDescent="0.25"/>
    <row r="177192" customFormat="1" x14ac:dyDescent="0.25"/>
    <row r="177193" customFormat="1" x14ac:dyDescent="0.25"/>
    <row r="177194" customFormat="1" x14ac:dyDescent="0.25"/>
    <row r="177195" customFormat="1" x14ac:dyDescent="0.25"/>
    <row r="177196" customFormat="1" x14ac:dyDescent="0.25"/>
    <row r="177197" customFormat="1" x14ac:dyDescent="0.25"/>
    <row r="177198" customFormat="1" x14ac:dyDescent="0.25"/>
    <row r="177199" customFormat="1" x14ac:dyDescent="0.25"/>
    <row r="177200" customFormat="1" x14ac:dyDescent="0.25"/>
    <row r="177201" customFormat="1" x14ac:dyDescent="0.25"/>
    <row r="177202" customFormat="1" x14ac:dyDescent="0.25"/>
    <row r="177203" customFormat="1" x14ac:dyDescent="0.25"/>
    <row r="177204" customFormat="1" x14ac:dyDescent="0.25"/>
    <row r="177205" customFormat="1" x14ac:dyDescent="0.25"/>
    <row r="177206" customFormat="1" x14ac:dyDescent="0.25"/>
    <row r="177207" customFormat="1" x14ac:dyDescent="0.25"/>
    <row r="177208" customFormat="1" x14ac:dyDescent="0.25"/>
    <row r="177209" customFormat="1" x14ac:dyDescent="0.25"/>
    <row r="177210" customFormat="1" x14ac:dyDescent="0.25"/>
    <row r="177211" customFormat="1" x14ac:dyDescent="0.25"/>
    <row r="177212" customFormat="1" x14ac:dyDescent="0.25"/>
    <row r="177213" customFormat="1" x14ac:dyDescent="0.25"/>
    <row r="177214" customFormat="1" x14ac:dyDescent="0.25"/>
    <row r="177215" customFormat="1" x14ac:dyDescent="0.25"/>
    <row r="177216" customFormat="1" x14ac:dyDescent="0.25"/>
    <row r="177217" customFormat="1" x14ac:dyDescent="0.25"/>
    <row r="177218" customFormat="1" x14ac:dyDescent="0.25"/>
    <row r="177219" customFormat="1" x14ac:dyDescent="0.25"/>
    <row r="177220" customFormat="1" x14ac:dyDescent="0.25"/>
    <row r="177221" customFormat="1" x14ac:dyDescent="0.25"/>
    <row r="177222" customFormat="1" x14ac:dyDescent="0.25"/>
    <row r="177223" customFormat="1" x14ac:dyDescent="0.25"/>
    <row r="177224" customFormat="1" x14ac:dyDescent="0.25"/>
    <row r="177225" customFormat="1" x14ac:dyDescent="0.25"/>
    <row r="177226" customFormat="1" x14ac:dyDescent="0.25"/>
    <row r="177227" customFormat="1" x14ac:dyDescent="0.25"/>
    <row r="177228" customFormat="1" x14ac:dyDescent="0.25"/>
    <row r="177229" customFormat="1" x14ac:dyDescent="0.25"/>
    <row r="177230" customFormat="1" x14ac:dyDescent="0.25"/>
    <row r="177231" customFormat="1" x14ac:dyDescent="0.25"/>
    <row r="177232" customFormat="1" x14ac:dyDescent="0.25"/>
    <row r="177233" customFormat="1" x14ac:dyDescent="0.25"/>
    <row r="177234" customFormat="1" x14ac:dyDescent="0.25"/>
    <row r="177235" customFormat="1" x14ac:dyDescent="0.25"/>
    <row r="177236" customFormat="1" x14ac:dyDescent="0.25"/>
    <row r="177237" customFormat="1" x14ac:dyDescent="0.25"/>
    <row r="177238" customFormat="1" x14ac:dyDescent="0.25"/>
    <row r="177239" customFormat="1" x14ac:dyDescent="0.25"/>
    <row r="177240" customFormat="1" x14ac:dyDescent="0.25"/>
    <row r="177241" customFormat="1" x14ac:dyDescent="0.25"/>
    <row r="177242" customFormat="1" x14ac:dyDescent="0.25"/>
    <row r="177243" customFormat="1" x14ac:dyDescent="0.25"/>
    <row r="177244" customFormat="1" x14ac:dyDescent="0.25"/>
    <row r="177245" customFormat="1" x14ac:dyDescent="0.25"/>
    <row r="177246" customFormat="1" x14ac:dyDescent="0.25"/>
    <row r="177247" customFormat="1" x14ac:dyDescent="0.25"/>
    <row r="177248" customFormat="1" x14ac:dyDescent="0.25"/>
    <row r="177249" customFormat="1" x14ac:dyDescent="0.25"/>
    <row r="177250" customFormat="1" x14ac:dyDescent="0.25"/>
    <row r="177251" customFormat="1" x14ac:dyDescent="0.25"/>
    <row r="177252" customFormat="1" x14ac:dyDescent="0.25"/>
    <row r="177253" customFormat="1" x14ac:dyDescent="0.25"/>
    <row r="177254" customFormat="1" x14ac:dyDescent="0.25"/>
    <row r="177255" customFormat="1" x14ac:dyDescent="0.25"/>
    <row r="177256" customFormat="1" x14ac:dyDescent="0.25"/>
    <row r="177257" customFormat="1" x14ac:dyDescent="0.25"/>
    <row r="177258" customFormat="1" x14ac:dyDescent="0.25"/>
    <row r="177259" customFormat="1" x14ac:dyDescent="0.25"/>
    <row r="177260" customFormat="1" x14ac:dyDescent="0.25"/>
    <row r="177261" customFormat="1" x14ac:dyDescent="0.25"/>
    <row r="177262" customFormat="1" x14ac:dyDescent="0.25"/>
    <row r="177263" customFormat="1" x14ac:dyDescent="0.25"/>
    <row r="177264" customFormat="1" x14ac:dyDescent="0.25"/>
    <row r="177265" customFormat="1" x14ac:dyDescent="0.25"/>
    <row r="177266" customFormat="1" x14ac:dyDescent="0.25"/>
    <row r="177267" customFormat="1" x14ac:dyDescent="0.25"/>
    <row r="177268" customFormat="1" x14ac:dyDescent="0.25"/>
    <row r="177269" customFormat="1" x14ac:dyDescent="0.25"/>
    <row r="177270" customFormat="1" x14ac:dyDescent="0.25"/>
    <row r="177271" customFormat="1" x14ac:dyDescent="0.25"/>
    <row r="177272" customFormat="1" x14ac:dyDescent="0.25"/>
    <row r="177273" customFormat="1" x14ac:dyDescent="0.25"/>
    <row r="177274" customFormat="1" x14ac:dyDescent="0.25"/>
    <row r="177275" customFormat="1" x14ac:dyDescent="0.25"/>
    <row r="177276" customFormat="1" x14ac:dyDescent="0.25"/>
    <row r="177277" customFormat="1" x14ac:dyDescent="0.25"/>
    <row r="177278" customFormat="1" x14ac:dyDescent="0.25"/>
    <row r="177279" customFormat="1" x14ac:dyDescent="0.25"/>
    <row r="177280" customFormat="1" x14ac:dyDescent="0.25"/>
    <row r="177281" customFormat="1" x14ac:dyDescent="0.25"/>
    <row r="177282" customFormat="1" x14ac:dyDescent="0.25"/>
    <row r="177283" customFormat="1" x14ac:dyDescent="0.25"/>
    <row r="177284" customFormat="1" x14ac:dyDescent="0.25"/>
    <row r="177285" customFormat="1" x14ac:dyDescent="0.25"/>
    <row r="177286" customFormat="1" x14ac:dyDescent="0.25"/>
    <row r="177287" customFormat="1" x14ac:dyDescent="0.25"/>
    <row r="177288" customFormat="1" x14ac:dyDescent="0.25"/>
    <row r="177289" customFormat="1" x14ac:dyDescent="0.25"/>
    <row r="177290" customFormat="1" x14ac:dyDescent="0.25"/>
    <row r="177291" customFormat="1" x14ac:dyDescent="0.25"/>
    <row r="177292" customFormat="1" x14ac:dyDescent="0.25"/>
    <row r="177293" customFormat="1" x14ac:dyDescent="0.25"/>
    <row r="177294" customFormat="1" x14ac:dyDescent="0.25"/>
    <row r="177295" customFormat="1" x14ac:dyDescent="0.25"/>
    <row r="177296" customFormat="1" x14ac:dyDescent="0.25"/>
    <row r="177297" customFormat="1" x14ac:dyDescent="0.25"/>
    <row r="177298" customFormat="1" x14ac:dyDescent="0.25"/>
    <row r="177299" customFormat="1" x14ac:dyDescent="0.25"/>
    <row r="177300" customFormat="1" x14ac:dyDescent="0.25"/>
    <row r="177301" customFormat="1" x14ac:dyDescent="0.25"/>
    <row r="177302" customFormat="1" x14ac:dyDescent="0.25"/>
    <row r="177303" customFormat="1" x14ac:dyDescent="0.25"/>
    <row r="177304" customFormat="1" x14ac:dyDescent="0.25"/>
    <row r="177305" customFormat="1" x14ac:dyDescent="0.25"/>
    <row r="177306" customFormat="1" x14ac:dyDescent="0.25"/>
    <row r="177307" customFormat="1" x14ac:dyDescent="0.25"/>
    <row r="177308" customFormat="1" x14ac:dyDescent="0.25"/>
    <row r="177309" customFormat="1" x14ac:dyDescent="0.25"/>
    <row r="177310" customFormat="1" x14ac:dyDescent="0.25"/>
    <row r="177311" customFormat="1" x14ac:dyDescent="0.25"/>
    <row r="177312" customFormat="1" x14ac:dyDescent="0.25"/>
    <row r="177313" customFormat="1" x14ac:dyDescent="0.25"/>
    <row r="177314" customFormat="1" x14ac:dyDescent="0.25"/>
    <row r="177315" customFormat="1" x14ac:dyDescent="0.25"/>
    <row r="177316" customFormat="1" x14ac:dyDescent="0.25"/>
    <row r="177317" customFormat="1" x14ac:dyDescent="0.25"/>
    <row r="177318" customFormat="1" x14ac:dyDescent="0.25"/>
    <row r="177319" customFormat="1" x14ac:dyDescent="0.25"/>
    <row r="177320" customFormat="1" x14ac:dyDescent="0.25"/>
    <row r="177321" customFormat="1" x14ac:dyDescent="0.25"/>
    <row r="177322" customFormat="1" x14ac:dyDescent="0.25"/>
    <row r="177323" customFormat="1" x14ac:dyDescent="0.25"/>
    <row r="177324" customFormat="1" x14ac:dyDescent="0.25"/>
    <row r="177325" customFormat="1" x14ac:dyDescent="0.25"/>
    <row r="177326" customFormat="1" x14ac:dyDescent="0.25"/>
    <row r="177327" customFormat="1" x14ac:dyDescent="0.25"/>
    <row r="177328" customFormat="1" x14ac:dyDescent="0.25"/>
    <row r="177329" customFormat="1" x14ac:dyDescent="0.25"/>
    <row r="177330" customFormat="1" x14ac:dyDescent="0.25"/>
    <row r="177331" customFormat="1" x14ac:dyDescent="0.25"/>
    <row r="177332" customFormat="1" x14ac:dyDescent="0.25"/>
    <row r="177333" customFormat="1" x14ac:dyDescent="0.25"/>
    <row r="177334" customFormat="1" x14ac:dyDescent="0.25"/>
    <row r="177335" customFormat="1" x14ac:dyDescent="0.25"/>
    <row r="177336" customFormat="1" x14ac:dyDescent="0.25"/>
    <row r="177337" customFormat="1" x14ac:dyDescent="0.25"/>
    <row r="177338" customFormat="1" x14ac:dyDescent="0.25"/>
    <row r="177339" customFormat="1" x14ac:dyDescent="0.25"/>
    <row r="177340" customFormat="1" x14ac:dyDescent="0.25"/>
    <row r="177341" customFormat="1" x14ac:dyDescent="0.25"/>
    <row r="177342" customFormat="1" x14ac:dyDescent="0.25"/>
    <row r="177343" customFormat="1" x14ac:dyDescent="0.25"/>
    <row r="177344" customFormat="1" x14ac:dyDescent="0.25"/>
    <row r="177345" customFormat="1" x14ac:dyDescent="0.25"/>
    <row r="177346" customFormat="1" x14ac:dyDescent="0.25"/>
    <row r="177347" customFormat="1" x14ac:dyDescent="0.25"/>
    <row r="177348" customFormat="1" x14ac:dyDescent="0.25"/>
    <row r="177349" customFormat="1" x14ac:dyDescent="0.25"/>
    <row r="177350" customFormat="1" x14ac:dyDescent="0.25"/>
    <row r="177351" customFormat="1" x14ac:dyDescent="0.25"/>
    <row r="177352" customFormat="1" x14ac:dyDescent="0.25"/>
    <row r="177353" customFormat="1" x14ac:dyDescent="0.25"/>
    <row r="177354" customFormat="1" x14ac:dyDescent="0.25"/>
    <row r="177355" customFormat="1" x14ac:dyDescent="0.25"/>
    <row r="177356" customFormat="1" x14ac:dyDescent="0.25"/>
    <row r="177357" customFormat="1" x14ac:dyDescent="0.25"/>
    <row r="177358" customFormat="1" x14ac:dyDescent="0.25"/>
    <row r="177359" customFormat="1" x14ac:dyDescent="0.25"/>
    <row r="177360" customFormat="1" x14ac:dyDescent="0.25"/>
    <row r="177361" customFormat="1" x14ac:dyDescent="0.25"/>
    <row r="177362" customFormat="1" x14ac:dyDescent="0.25"/>
    <row r="177363" customFormat="1" x14ac:dyDescent="0.25"/>
    <row r="177364" customFormat="1" x14ac:dyDescent="0.25"/>
    <row r="177365" customFormat="1" x14ac:dyDescent="0.25"/>
    <row r="177366" customFormat="1" x14ac:dyDescent="0.25"/>
    <row r="177367" customFormat="1" x14ac:dyDescent="0.25"/>
    <row r="177368" customFormat="1" x14ac:dyDescent="0.25"/>
    <row r="177369" customFormat="1" x14ac:dyDescent="0.25"/>
    <row r="177370" customFormat="1" x14ac:dyDescent="0.25"/>
    <row r="177371" customFormat="1" x14ac:dyDescent="0.25"/>
    <row r="177372" customFormat="1" x14ac:dyDescent="0.25"/>
    <row r="177373" customFormat="1" x14ac:dyDescent="0.25"/>
    <row r="177374" customFormat="1" x14ac:dyDescent="0.25"/>
    <row r="177375" customFormat="1" x14ac:dyDescent="0.25"/>
    <row r="177376" customFormat="1" x14ac:dyDescent="0.25"/>
    <row r="177377" customFormat="1" x14ac:dyDescent="0.25"/>
    <row r="177378" customFormat="1" x14ac:dyDescent="0.25"/>
    <row r="177379" customFormat="1" x14ac:dyDescent="0.25"/>
    <row r="177380" customFormat="1" x14ac:dyDescent="0.25"/>
    <row r="177381" customFormat="1" x14ac:dyDescent="0.25"/>
    <row r="177382" customFormat="1" x14ac:dyDescent="0.25"/>
    <row r="177383" customFormat="1" x14ac:dyDescent="0.25"/>
    <row r="177384" customFormat="1" x14ac:dyDescent="0.25"/>
    <row r="177385" customFormat="1" x14ac:dyDescent="0.25"/>
    <row r="177386" customFormat="1" x14ac:dyDescent="0.25"/>
    <row r="177387" customFormat="1" x14ac:dyDescent="0.25"/>
    <row r="177388" customFormat="1" x14ac:dyDescent="0.25"/>
    <row r="177389" customFormat="1" x14ac:dyDescent="0.25"/>
    <row r="177390" customFormat="1" x14ac:dyDescent="0.25"/>
    <row r="177391" customFormat="1" x14ac:dyDescent="0.25"/>
    <row r="177392" customFormat="1" x14ac:dyDescent="0.25"/>
    <row r="177393" customFormat="1" x14ac:dyDescent="0.25"/>
    <row r="177394" customFormat="1" x14ac:dyDescent="0.25"/>
    <row r="177395" customFormat="1" x14ac:dyDescent="0.25"/>
    <row r="177396" customFormat="1" x14ac:dyDescent="0.25"/>
    <row r="177397" customFormat="1" x14ac:dyDescent="0.25"/>
    <row r="177398" customFormat="1" x14ac:dyDescent="0.25"/>
    <row r="177399" customFormat="1" x14ac:dyDescent="0.25"/>
    <row r="177400" customFormat="1" x14ac:dyDescent="0.25"/>
    <row r="177401" customFormat="1" x14ac:dyDescent="0.25"/>
    <row r="177402" customFormat="1" x14ac:dyDescent="0.25"/>
    <row r="177403" customFormat="1" x14ac:dyDescent="0.25"/>
    <row r="177404" customFormat="1" x14ac:dyDescent="0.25"/>
    <row r="177405" customFormat="1" x14ac:dyDescent="0.25"/>
    <row r="177406" customFormat="1" x14ac:dyDescent="0.25"/>
    <row r="177407" customFormat="1" x14ac:dyDescent="0.25"/>
    <row r="177408" customFormat="1" x14ac:dyDescent="0.25"/>
    <row r="177409" customFormat="1" x14ac:dyDescent="0.25"/>
    <row r="177410" customFormat="1" x14ac:dyDescent="0.25"/>
    <row r="177411" customFormat="1" x14ac:dyDescent="0.25"/>
    <row r="177412" customFormat="1" x14ac:dyDescent="0.25"/>
    <row r="177413" customFormat="1" x14ac:dyDescent="0.25"/>
    <row r="177414" customFormat="1" x14ac:dyDescent="0.25"/>
    <row r="177415" customFormat="1" x14ac:dyDescent="0.25"/>
    <row r="177416" customFormat="1" x14ac:dyDescent="0.25"/>
    <row r="177417" customFormat="1" x14ac:dyDescent="0.25"/>
    <row r="177418" customFormat="1" x14ac:dyDescent="0.25"/>
    <row r="177419" customFormat="1" x14ac:dyDescent="0.25"/>
    <row r="177420" customFormat="1" x14ac:dyDescent="0.25"/>
    <row r="177421" customFormat="1" x14ac:dyDescent="0.25"/>
    <row r="177422" customFormat="1" x14ac:dyDescent="0.25"/>
    <row r="177423" customFormat="1" x14ac:dyDescent="0.25"/>
    <row r="177424" customFormat="1" x14ac:dyDescent="0.25"/>
    <row r="177425" customFormat="1" x14ac:dyDescent="0.25"/>
    <row r="177426" customFormat="1" x14ac:dyDescent="0.25"/>
    <row r="177427" customFormat="1" x14ac:dyDescent="0.25"/>
    <row r="177428" customFormat="1" x14ac:dyDescent="0.25"/>
    <row r="177429" customFormat="1" x14ac:dyDescent="0.25"/>
    <row r="177430" customFormat="1" x14ac:dyDescent="0.25"/>
    <row r="177431" customFormat="1" x14ac:dyDescent="0.25"/>
    <row r="177432" customFormat="1" x14ac:dyDescent="0.25"/>
    <row r="177433" customFormat="1" x14ac:dyDescent="0.25"/>
    <row r="177434" customFormat="1" x14ac:dyDescent="0.25"/>
    <row r="177435" customFormat="1" x14ac:dyDescent="0.25"/>
    <row r="177436" customFormat="1" x14ac:dyDescent="0.25"/>
    <row r="177437" customFormat="1" x14ac:dyDescent="0.25"/>
    <row r="177438" customFormat="1" x14ac:dyDescent="0.25"/>
    <row r="177439" customFormat="1" x14ac:dyDescent="0.25"/>
    <row r="177440" customFormat="1" x14ac:dyDescent="0.25"/>
    <row r="177441" customFormat="1" x14ac:dyDescent="0.25"/>
    <row r="177442" customFormat="1" x14ac:dyDescent="0.25"/>
    <row r="177443" customFormat="1" x14ac:dyDescent="0.25"/>
    <row r="177444" customFormat="1" x14ac:dyDescent="0.25"/>
    <row r="177445" customFormat="1" x14ac:dyDescent="0.25"/>
    <row r="177446" customFormat="1" x14ac:dyDescent="0.25"/>
    <row r="177447" customFormat="1" x14ac:dyDescent="0.25"/>
    <row r="177448" customFormat="1" x14ac:dyDescent="0.25"/>
    <row r="177449" customFormat="1" x14ac:dyDescent="0.25"/>
    <row r="177450" customFormat="1" x14ac:dyDescent="0.25"/>
    <row r="177451" customFormat="1" x14ac:dyDescent="0.25"/>
    <row r="177452" customFormat="1" x14ac:dyDescent="0.25"/>
    <row r="177453" customFormat="1" x14ac:dyDescent="0.25"/>
    <row r="177454" customFormat="1" x14ac:dyDescent="0.25"/>
    <row r="177455" customFormat="1" x14ac:dyDescent="0.25"/>
    <row r="177456" customFormat="1" x14ac:dyDescent="0.25"/>
    <row r="177457" customFormat="1" x14ac:dyDescent="0.25"/>
    <row r="177458" customFormat="1" x14ac:dyDescent="0.25"/>
    <row r="177459" customFormat="1" x14ac:dyDescent="0.25"/>
    <row r="177460" customFormat="1" x14ac:dyDescent="0.25"/>
    <row r="177461" customFormat="1" x14ac:dyDescent="0.25"/>
    <row r="177462" customFormat="1" x14ac:dyDescent="0.25"/>
    <row r="177463" customFormat="1" x14ac:dyDescent="0.25"/>
    <row r="177464" customFormat="1" x14ac:dyDescent="0.25"/>
    <row r="177465" customFormat="1" x14ac:dyDescent="0.25"/>
    <row r="177466" customFormat="1" x14ac:dyDescent="0.25"/>
    <row r="177467" customFormat="1" x14ac:dyDescent="0.25"/>
    <row r="177468" customFormat="1" x14ac:dyDescent="0.25"/>
    <row r="177469" customFormat="1" x14ac:dyDescent="0.25"/>
    <row r="177470" customFormat="1" x14ac:dyDescent="0.25"/>
    <row r="177471" customFormat="1" x14ac:dyDescent="0.25"/>
    <row r="177472" customFormat="1" x14ac:dyDescent="0.25"/>
    <row r="177473" customFormat="1" x14ac:dyDescent="0.25"/>
    <row r="177474" customFormat="1" x14ac:dyDescent="0.25"/>
    <row r="177475" customFormat="1" x14ac:dyDescent="0.25"/>
    <row r="177476" customFormat="1" x14ac:dyDescent="0.25"/>
    <row r="177477" customFormat="1" x14ac:dyDescent="0.25"/>
    <row r="177478" customFormat="1" x14ac:dyDescent="0.25"/>
    <row r="177479" customFormat="1" x14ac:dyDescent="0.25"/>
    <row r="177480" customFormat="1" x14ac:dyDescent="0.25"/>
    <row r="177481" customFormat="1" x14ac:dyDescent="0.25"/>
    <row r="177482" customFormat="1" x14ac:dyDescent="0.25"/>
    <row r="177483" customFormat="1" x14ac:dyDescent="0.25"/>
    <row r="177484" customFormat="1" x14ac:dyDescent="0.25"/>
    <row r="177485" customFormat="1" x14ac:dyDescent="0.25"/>
    <row r="177486" customFormat="1" x14ac:dyDescent="0.25"/>
    <row r="177487" customFormat="1" x14ac:dyDescent="0.25"/>
    <row r="177488" customFormat="1" x14ac:dyDescent="0.25"/>
    <row r="177489" customFormat="1" x14ac:dyDescent="0.25"/>
    <row r="177490" customFormat="1" x14ac:dyDescent="0.25"/>
    <row r="177491" customFormat="1" x14ac:dyDescent="0.25"/>
    <row r="177492" customFormat="1" x14ac:dyDescent="0.25"/>
    <row r="177493" customFormat="1" x14ac:dyDescent="0.25"/>
    <row r="177494" customFormat="1" x14ac:dyDescent="0.25"/>
    <row r="177495" customFormat="1" x14ac:dyDescent="0.25"/>
    <row r="177496" customFormat="1" x14ac:dyDescent="0.25"/>
    <row r="177497" customFormat="1" x14ac:dyDescent="0.25"/>
    <row r="177498" customFormat="1" x14ac:dyDescent="0.25"/>
    <row r="177499" customFormat="1" x14ac:dyDescent="0.25"/>
    <row r="177500" customFormat="1" x14ac:dyDescent="0.25"/>
    <row r="177501" customFormat="1" x14ac:dyDescent="0.25"/>
    <row r="177502" customFormat="1" x14ac:dyDescent="0.25"/>
    <row r="177503" customFormat="1" x14ac:dyDescent="0.25"/>
    <row r="177504" customFormat="1" x14ac:dyDescent="0.25"/>
    <row r="177505" customFormat="1" x14ac:dyDescent="0.25"/>
    <row r="177506" customFormat="1" x14ac:dyDescent="0.25"/>
    <row r="177507" customFormat="1" x14ac:dyDescent="0.25"/>
    <row r="177508" customFormat="1" x14ac:dyDescent="0.25"/>
    <row r="177509" customFormat="1" x14ac:dyDescent="0.25"/>
    <row r="177510" customFormat="1" x14ac:dyDescent="0.25"/>
    <row r="177511" customFormat="1" x14ac:dyDescent="0.25"/>
    <row r="177512" customFormat="1" x14ac:dyDescent="0.25"/>
    <row r="177513" customFormat="1" x14ac:dyDescent="0.25"/>
    <row r="177514" customFormat="1" x14ac:dyDescent="0.25"/>
    <row r="177515" customFormat="1" x14ac:dyDescent="0.25"/>
    <row r="177516" customFormat="1" x14ac:dyDescent="0.25"/>
    <row r="177517" customFormat="1" x14ac:dyDescent="0.25"/>
    <row r="177518" customFormat="1" x14ac:dyDescent="0.25"/>
    <row r="177519" customFormat="1" x14ac:dyDescent="0.25"/>
    <row r="177520" customFormat="1" x14ac:dyDescent="0.25"/>
    <row r="177521" customFormat="1" x14ac:dyDescent="0.25"/>
    <row r="177522" customFormat="1" x14ac:dyDescent="0.25"/>
    <row r="177523" customFormat="1" x14ac:dyDescent="0.25"/>
    <row r="177524" customFormat="1" x14ac:dyDescent="0.25"/>
    <row r="177525" customFormat="1" x14ac:dyDescent="0.25"/>
    <row r="177526" customFormat="1" x14ac:dyDescent="0.25"/>
    <row r="177527" customFormat="1" x14ac:dyDescent="0.25"/>
    <row r="177528" customFormat="1" x14ac:dyDescent="0.25"/>
    <row r="177529" customFormat="1" x14ac:dyDescent="0.25"/>
    <row r="177530" customFormat="1" x14ac:dyDescent="0.25"/>
    <row r="177531" customFormat="1" x14ac:dyDescent="0.25"/>
    <row r="177532" customFormat="1" x14ac:dyDescent="0.25"/>
    <row r="177533" customFormat="1" x14ac:dyDescent="0.25"/>
    <row r="177534" customFormat="1" x14ac:dyDescent="0.25"/>
    <row r="177535" customFormat="1" x14ac:dyDescent="0.25"/>
    <row r="177536" customFormat="1" x14ac:dyDescent="0.25"/>
    <row r="177537" customFormat="1" x14ac:dyDescent="0.25"/>
    <row r="177538" customFormat="1" x14ac:dyDescent="0.25"/>
    <row r="177539" customFormat="1" x14ac:dyDescent="0.25"/>
    <row r="177540" customFormat="1" x14ac:dyDescent="0.25"/>
    <row r="177541" customFormat="1" x14ac:dyDescent="0.25"/>
    <row r="177542" customFormat="1" x14ac:dyDescent="0.25"/>
    <row r="177543" customFormat="1" x14ac:dyDescent="0.25"/>
    <row r="177544" customFormat="1" x14ac:dyDescent="0.25"/>
    <row r="177545" customFormat="1" x14ac:dyDescent="0.25"/>
    <row r="177546" customFormat="1" x14ac:dyDescent="0.25"/>
    <row r="177547" customFormat="1" x14ac:dyDescent="0.25"/>
    <row r="177548" customFormat="1" x14ac:dyDescent="0.25"/>
    <row r="177549" customFormat="1" x14ac:dyDescent="0.25"/>
    <row r="177550" customFormat="1" x14ac:dyDescent="0.25"/>
    <row r="177551" customFormat="1" x14ac:dyDescent="0.25"/>
    <row r="177552" customFormat="1" x14ac:dyDescent="0.25"/>
    <row r="177553" customFormat="1" x14ac:dyDescent="0.25"/>
    <row r="177554" customFormat="1" x14ac:dyDescent="0.25"/>
    <row r="177555" customFormat="1" x14ac:dyDescent="0.25"/>
    <row r="177556" customFormat="1" x14ac:dyDescent="0.25"/>
    <row r="177557" customFormat="1" x14ac:dyDescent="0.25"/>
    <row r="177558" customFormat="1" x14ac:dyDescent="0.25"/>
    <row r="177559" customFormat="1" x14ac:dyDescent="0.25"/>
    <row r="177560" customFormat="1" x14ac:dyDescent="0.25"/>
    <row r="177561" customFormat="1" x14ac:dyDescent="0.25"/>
    <row r="177562" customFormat="1" x14ac:dyDescent="0.25"/>
    <row r="177563" customFormat="1" x14ac:dyDescent="0.25"/>
    <row r="177564" customFormat="1" x14ac:dyDescent="0.25"/>
    <row r="177565" customFormat="1" x14ac:dyDescent="0.25"/>
    <row r="177566" customFormat="1" x14ac:dyDescent="0.25"/>
    <row r="177567" customFormat="1" x14ac:dyDescent="0.25"/>
    <row r="177568" customFormat="1" x14ac:dyDescent="0.25"/>
    <row r="177569" customFormat="1" x14ac:dyDescent="0.25"/>
    <row r="177570" customFormat="1" x14ac:dyDescent="0.25"/>
    <row r="177571" customFormat="1" x14ac:dyDescent="0.25"/>
    <row r="177572" customFormat="1" x14ac:dyDescent="0.25"/>
    <row r="177573" customFormat="1" x14ac:dyDescent="0.25"/>
    <row r="177574" customFormat="1" x14ac:dyDescent="0.25"/>
    <row r="177575" customFormat="1" x14ac:dyDescent="0.25"/>
    <row r="177576" customFormat="1" x14ac:dyDescent="0.25"/>
    <row r="177577" customFormat="1" x14ac:dyDescent="0.25"/>
    <row r="177578" customFormat="1" x14ac:dyDescent="0.25"/>
    <row r="177579" customFormat="1" x14ac:dyDescent="0.25"/>
    <row r="177580" customFormat="1" x14ac:dyDescent="0.25"/>
    <row r="177581" customFormat="1" x14ac:dyDescent="0.25"/>
    <row r="177582" customFormat="1" x14ac:dyDescent="0.25"/>
    <row r="177583" customFormat="1" x14ac:dyDescent="0.25"/>
    <row r="177584" customFormat="1" x14ac:dyDescent="0.25"/>
    <row r="177585" customFormat="1" x14ac:dyDescent="0.25"/>
    <row r="177586" customFormat="1" x14ac:dyDescent="0.25"/>
    <row r="177587" customFormat="1" x14ac:dyDescent="0.25"/>
    <row r="177588" customFormat="1" x14ac:dyDescent="0.25"/>
    <row r="177589" customFormat="1" x14ac:dyDescent="0.25"/>
    <row r="177590" customFormat="1" x14ac:dyDescent="0.25"/>
    <row r="177591" customFormat="1" x14ac:dyDescent="0.25"/>
    <row r="177592" customFormat="1" x14ac:dyDescent="0.25"/>
    <row r="177593" customFormat="1" x14ac:dyDescent="0.25"/>
    <row r="177594" customFormat="1" x14ac:dyDescent="0.25"/>
    <row r="177595" customFormat="1" x14ac:dyDescent="0.25"/>
    <row r="177596" customFormat="1" x14ac:dyDescent="0.25"/>
    <row r="177597" customFormat="1" x14ac:dyDescent="0.25"/>
    <row r="177598" customFormat="1" x14ac:dyDescent="0.25"/>
    <row r="177599" customFormat="1" x14ac:dyDescent="0.25"/>
    <row r="177600" customFormat="1" x14ac:dyDescent="0.25"/>
    <row r="177601" customFormat="1" x14ac:dyDescent="0.25"/>
    <row r="177602" customFormat="1" x14ac:dyDescent="0.25"/>
    <row r="177603" customFormat="1" x14ac:dyDescent="0.25"/>
    <row r="177604" customFormat="1" x14ac:dyDescent="0.25"/>
    <row r="177605" customFormat="1" x14ac:dyDescent="0.25"/>
    <row r="177606" customFormat="1" x14ac:dyDescent="0.25"/>
    <row r="177607" customFormat="1" x14ac:dyDescent="0.25"/>
    <row r="177608" customFormat="1" x14ac:dyDescent="0.25"/>
    <row r="177609" customFormat="1" x14ac:dyDescent="0.25"/>
    <row r="177610" customFormat="1" x14ac:dyDescent="0.25"/>
    <row r="177611" customFormat="1" x14ac:dyDescent="0.25"/>
    <row r="177612" customFormat="1" x14ac:dyDescent="0.25"/>
    <row r="177613" customFormat="1" x14ac:dyDescent="0.25"/>
    <row r="177614" customFormat="1" x14ac:dyDescent="0.25"/>
    <row r="177615" customFormat="1" x14ac:dyDescent="0.25"/>
    <row r="177616" customFormat="1" x14ac:dyDescent="0.25"/>
    <row r="177617" customFormat="1" x14ac:dyDescent="0.25"/>
    <row r="177618" customFormat="1" x14ac:dyDescent="0.25"/>
    <row r="177619" customFormat="1" x14ac:dyDescent="0.25"/>
    <row r="177620" customFormat="1" x14ac:dyDescent="0.25"/>
    <row r="177621" customFormat="1" x14ac:dyDescent="0.25"/>
    <row r="177622" customFormat="1" x14ac:dyDescent="0.25"/>
    <row r="177623" customFormat="1" x14ac:dyDescent="0.25"/>
    <row r="177624" customFormat="1" x14ac:dyDescent="0.25"/>
    <row r="177625" customFormat="1" x14ac:dyDescent="0.25"/>
    <row r="177626" customFormat="1" x14ac:dyDescent="0.25"/>
    <row r="177627" customFormat="1" x14ac:dyDescent="0.25"/>
    <row r="177628" customFormat="1" x14ac:dyDescent="0.25"/>
    <row r="177629" customFormat="1" x14ac:dyDescent="0.25"/>
    <row r="177630" customFormat="1" x14ac:dyDescent="0.25"/>
    <row r="177631" customFormat="1" x14ac:dyDescent="0.25"/>
    <row r="177632" customFormat="1" x14ac:dyDescent="0.25"/>
    <row r="177633" customFormat="1" x14ac:dyDescent="0.25"/>
    <row r="177634" customFormat="1" x14ac:dyDescent="0.25"/>
    <row r="177635" customFormat="1" x14ac:dyDescent="0.25"/>
    <row r="177636" customFormat="1" x14ac:dyDescent="0.25"/>
    <row r="177637" customFormat="1" x14ac:dyDescent="0.25"/>
    <row r="177638" customFormat="1" x14ac:dyDescent="0.25"/>
    <row r="177639" customFormat="1" x14ac:dyDescent="0.25"/>
    <row r="177640" customFormat="1" x14ac:dyDescent="0.25"/>
    <row r="177641" customFormat="1" x14ac:dyDescent="0.25"/>
    <row r="177642" customFormat="1" x14ac:dyDescent="0.25"/>
    <row r="177643" customFormat="1" x14ac:dyDescent="0.25"/>
    <row r="177644" customFormat="1" x14ac:dyDescent="0.25"/>
    <row r="177645" customFormat="1" x14ac:dyDescent="0.25"/>
    <row r="177646" customFormat="1" x14ac:dyDescent="0.25"/>
    <row r="177647" customFormat="1" x14ac:dyDescent="0.25"/>
    <row r="177648" customFormat="1" x14ac:dyDescent="0.25"/>
    <row r="177649" customFormat="1" x14ac:dyDescent="0.25"/>
    <row r="177650" customFormat="1" x14ac:dyDescent="0.25"/>
    <row r="177651" customFormat="1" x14ac:dyDescent="0.25"/>
    <row r="177652" customFormat="1" x14ac:dyDescent="0.25"/>
    <row r="177653" customFormat="1" x14ac:dyDescent="0.25"/>
    <row r="177654" customFormat="1" x14ac:dyDescent="0.25"/>
    <row r="177655" customFormat="1" x14ac:dyDescent="0.25"/>
    <row r="177656" customFormat="1" x14ac:dyDescent="0.25"/>
    <row r="177657" customFormat="1" x14ac:dyDescent="0.25"/>
    <row r="177658" customFormat="1" x14ac:dyDescent="0.25"/>
    <row r="177659" customFormat="1" x14ac:dyDescent="0.25"/>
    <row r="177660" customFormat="1" x14ac:dyDescent="0.25"/>
    <row r="177661" customFormat="1" x14ac:dyDescent="0.25"/>
    <row r="177662" customFormat="1" x14ac:dyDescent="0.25"/>
    <row r="177663" customFormat="1" x14ac:dyDescent="0.25"/>
    <row r="177664" customFormat="1" x14ac:dyDescent="0.25"/>
    <row r="177665" customFormat="1" x14ac:dyDescent="0.25"/>
    <row r="177666" customFormat="1" x14ac:dyDescent="0.25"/>
    <row r="177667" customFormat="1" x14ac:dyDescent="0.25"/>
    <row r="177668" customFormat="1" x14ac:dyDescent="0.25"/>
    <row r="177669" customFormat="1" x14ac:dyDescent="0.25"/>
    <row r="177670" customFormat="1" x14ac:dyDescent="0.25"/>
    <row r="177671" customFormat="1" x14ac:dyDescent="0.25"/>
    <row r="177672" customFormat="1" x14ac:dyDescent="0.25"/>
    <row r="177673" customFormat="1" x14ac:dyDescent="0.25"/>
    <row r="177674" customFormat="1" x14ac:dyDescent="0.25"/>
    <row r="177675" customFormat="1" x14ac:dyDescent="0.25"/>
    <row r="177676" customFormat="1" x14ac:dyDescent="0.25"/>
    <row r="177677" customFormat="1" x14ac:dyDescent="0.25"/>
    <row r="177678" customFormat="1" x14ac:dyDescent="0.25"/>
    <row r="177679" customFormat="1" x14ac:dyDescent="0.25"/>
    <row r="177680" customFormat="1" x14ac:dyDescent="0.25"/>
    <row r="177681" customFormat="1" x14ac:dyDescent="0.25"/>
    <row r="177682" customFormat="1" x14ac:dyDescent="0.25"/>
    <row r="177683" customFormat="1" x14ac:dyDescent="0.25"/>
    <row r="177684" customFormat="1" x14ac:dyDescent="0.25"/>
    <row r="177685" customFormat="1" x14ac:dyDescent="0.25"/>
    <row r="177686" customFormat="1" x14ac:dyDescent="0.25"/>
    <row r="177687" customFormat="1" x14ac:dyDescent="0.25"/>
    <row r="177688" customFormat="1" x14ac:dyDescent="0.25"/>
    <row r="177689" customFormat="1" x14ac:dyDescent="0.25"/>
    <row r="177690" customFormat="1" x14ac:dyDescent="0.25"/>
    <row r="177691" customFormat="1" x14ac:dyDescent="0.25"/>
    <row r="177692" customFormat="1" x14ac:dyDescent="0.25"/>
    <row r="177693" customFormat="1" x14ac:dyDescent="0.25"/>
    <row r="177694" customFormat="1" x14ac:dyDescent="0.25"/>
    <row r="177695" customFormat="1" x14ac:dyDescent="0.25"/>
    <row r="177696" customFormat="1" x14ac:dyDescent="0.25"/>
    <row r="177697" customFormat="1" x14ac:dyDescent="0.25"/>
    <row r="177698" customFormat="1" x14ac:dyDescent="0.25"/>
    <row r="177699" customFormat="1" x14ac:dyDescent="0.25"/>
    <row r="177700" customFormat="1" x14ac:dyDescent="0.25"/>
    <row r="177701" customFormat="1" x14ac:dyDescent="0.25"/>
    <row r="177702" customFormat="1" x14ac:dyDescent="0.25"/>
    <row r="177703" customFormat="1" x14ac:dyDescent="0.25"/>
    <row r="177704" customFormat="1" x14ac:dyDescent="0.25"/>
    <row r="177705" customFormat="1" x14ac:dyDescent="0.25"/>
    <row r="177706" customFormat="1" x14ac:dyDescent="0.25"/>
    <row r="177707" customFormat="1" x14ac:dyDescent="0.25"/>
    <row r="177708" customFormat="1" x14ac:dyDescent="0.25"/>
    <row r="177709" customFormat="1" x14ac:dyDescent="0.25"/>
    <row r="177710" customFormat="1" x14ac:dyDescent="0.25"/>
    <row r="177711" customFormat="1" x14ac:dyDescent="0.25"/>
    <row r="177712" customFormat="1" x14ac:dyDescent="0.25"/>
    <row r="177713" customFormat="1" x14ac:dyDescent="0.25"/>
    <row r="177714" customFormat="1" x14ac:dyDescent="0.25"/>
    <row r="177715" customFormat="1" x14ac:dyDescent="0.25"/>
    <row r="177716" customFormat="1" x14ac:dyDescent="0.25"/>
    <row r="177717" customFormat="1" x14ac:dyDescent="0.25"/>
    <row r="177718" customFormat="1" x14ac:dyDescent="0.25"/>
    <row r="177719" customFormat="1" x14ac:dyDescent="0.25"/>
    <row r="177720" customFormat="1" x14ac:dyDescent="0.25"/>
    <row r="177721" customFormat="1" x14ac:dyDescent="0.25"/>
    <row r="177722" customFormat="1" x14ac:dyDescent="0.25"/>
    <row r="177723" customFormat="1" x14ac:dyDescent="0.25"/>
    <row r="177724" customFormat="1" x14ac:dyDescent="0.25"/>
    <row r="177725" customFormat="1" x14ac:dyDescent="0.25"/>
    <row r="177726" customFormat="1" x14ac:dyDescent="0.25"/>
    <row r="177727" customFormat="1" x14ac:dyDescent="0.25"/>
    <row r="177728" customFormat="1" x14ac:dyDescent="0.25"/>
    <row r="177729" customFormat="1" x14ac:dyDescent="0.25"/>
    <row r="177730" customFormat="1" x14ac:dyDescent="0.25"/>
    <row r="177731" customFormat="1" x14ac:dyDescent="0.25"/>
    <row r="177732" customFormat="1" x14ac:dyDescent="0.25"/>
    <row r="177733" customFormat="1" x14ac:dyDescent="0.25"/>
    <row r="177734" customFormat="1" x14ac:dyDescent="0.25"/>
    <row r="177735" customFormat="1" x14ac:dyDescent="0.25"/>
    <row r="177736" customFormat="1" x14ac:dyDescent="0.25"/>
    <row r="177737" customFormat="1" x14ac:dyDescent="0.25"/>
    <row r="177738" customFormat="1" x14ac:dyDescent="0.25"/>
    <row r="177739" customFormat="1" x14ac:dyDescent="0.25"/>
    <row r="177740" customFormat="1" x14ac:dyDescent="0.25"/>
    <row r="177741" customFormat="1" x14ac:dyDescent="0.25"/>
    <row r="177742" customFormat="1" x14ac:dyDescent="0.25"/>
    <row r="177743" customFormat="1" x14ac:dyDescent="0.25"/>
    <row r="177744" customFormat="1" x14ac:dyDescent="0.25"/>
    <row r="177745" customFormat="1" x14ac:dyDescent="0.25"/>
    <row r="177746" customFormat="1" x14ac:dyDescent="0.25"/>
    <row r="177747" customFormat="1" x14ac:dyDescent="0.25"/>
    <row r="177748" customFormat="1" x14ac:dyDescent="0.25"/>
    <row r="177749" customFormat="1" x14ac:dyDescent="0.25"/>
    <row r="177750" customFormat="1" x14ac:dyDescent="0.25"/>
    <row r="177751" customFormat="1" x14ac:dyDescent="0.25"/>
    <row r="177752" customFormat="1" x14ac:dyDescent="0.25"/>
    <row r="177753" customFormat="1" x14ac:dyDescent="0.25"/>
    <row r="177754" customFormat="1" x14ac:dyDescent="0.25"/>
    <row r="177755" customFormat="1" x14ac:dyDescent="0.25"/>
    <row r="177756" customFormat="1" x14ac:dyDescent="0.25"/>
    <row r="177757" customFormat="1" x14ac:dyDescent="0.25"/>
    <row r="177758" customFormat="1" x14ac:dyDescent="0.25"/>
    <row r="177759" customFormat="1" x14ac:dyDescent="0.25"/>
    <row r="177760" customFormat="1" x14ac:dyDescent="0.25"/>
    <row r="177761" customFormat="1" x14ac:dyDescent="0.25"/>
    <row r="177762" customFormat="1" x14ac:dyDescent="0.25"/>
    <row r="177763" customFormat="1" x14ac:dyDescent="0.25"/>
    <row r="177764" customFormat="1" x14ac:dyDescent="0.25"/>
    <row r="177765" customFormat="1" x14ac:dyDescent="0.25"/>
    <row r="177766" customFormat="1" x14ac:dyDescent="0.25"/>
    <row r="177767" customFormat="1" x14ac:dyDescent="0.25"/>
    <row r="177768" customFormat="1" x14ac:dyDescent="0.25"/>
    <row r="177769" customFormat="1" x14ac:dyDescent="0.25"/>
    <row r="177770" customFormat="1" x14ac:dyDescent="0.25"/>
    <row r="177771" customFormat="1" x14ac:dyDescent="0.25"/>
    <row r="177772" customFormat="1" x14ac:dyDescent="0.25"/>
    <row r="177773" customFormat="1" x14ac:dyDescent="0.25"/>
    <row r="177774" customFormat="1" x14ac:dyDescent="0.25"/>
    <row r="177775" customFormat="1" x14ac:dyDescent="0.25"/>
    <row r="177776" customFormat="1" x14ac:dyDescent="0.25"/>
    <row r="177777" customFormat="1" x14ac:dyDescent="0.25"/>
    <row r="177778" customFormat="1" x14ac:dyDescent="0.25"/>
    <row r="177779" customFormat="1" x14ac:dyDescent="0.25"/>
    <row r="177780" customFormat="1" x14ac:dyDescent="0.25"/>
    <row r="177781" customFormat="1" x14ac:dyDescent="0.25"/>
    <row r="177782" customFormat="1" x14ac:dyDescent="0.25"/>
    <row r="177783" customFormat="1" x14ac:dyDescent="0.25"/>
    <row r="177784" customFormat="1" x14ac:dyDescent="0.25"/>
    <row r="177785" customFormat="1" x14ac:dyDescent="0.25"/>
    <row r="177786" customFormat="1" x14ac:dyDescent="0.25"/>
    <row r="177787" customFormat="1" x14ac:dyDescent="0.25"/>
    <row r="177788" customFormat="1" x14ac:dyDescent="0.25"/>
    <row r="177789" customFormat="1" x14ac:dyDescent="0.25"/>
    <row r="177790" customFormat="1" x14ac:dyDescent="0.25"/>
    <row r="177791" customFormat="1" x14ac:dyDescent="0.25"/>
    <row r="177792" customFormat="1" x14ac:dyDescent="0.25"/>
    <row r="177793" customFormat="1" x14ac:dyDescent="0.25"/>
    <row r="177794" customFormat="1" x14ac:dyDescent="0.25"/>
    <row r="177795" customFormat="1" x14ac:dyDescent="0.25"/>
    <row r="177796" customFormat="1" x14ac:dyDescent="0.25"/>
    <row r="177797" customFormat="1" x14ac:dyDescent="0.25"/>
    <row r="177798" customFormat="1" x14ac:dyDescent="0.25"/>
    <row r="177799" customFormat="1" x14ac:dyDescent="0.25"/>
    <row r="177800" customFormat="1" x14ac:dyDescent="0.25"/>
    <row r="177801" customFormat="1" x14ac:dyDescent="0.25"/>
    <row r="177802" customFormat="1" x14ac:dyDescent="0.25"/>
    <row r="177803" customFormat="1" x14ac:dyDescent="0.25"/>
    <row r="177804" customFormat="1" x14ac:dyDescent="0.25"/>
    <row r="177805" customFormat="1" x14ac:dyDescent="0.25"/>
    <row r="177806" customFormat="1" x14ac:dyDescent="0.25"/>
    <row r="177807" customFormat="1" x14ac:dyDescent="0.25"/>
    <row r="177808" customFormat="1" x14ac:dyDescent="0.25"/>
    <row r="177809" customFormat="1" x14ac:dyDescent="0.25"/>
    <row r="177810" customFormat="1" x14ac:dyDescent="0.25"/>
    <row r="177811" customFormat="1" x14ac:dyDescent="0.25"/>
    <row r="177812" customFormat="1" x14ac:dyDescent="0.25"/>
    <row r="177813" customFormat="1" x14ac:dyDescent="0.25"/>
    <row r="177814" customFormat="1" x14ac:dyDescent="0.25"/>
    <row r="177815" customFormat="1" x14ac:dyDescent="0.25"/>
    <row r="177816" customFormat="1" x14ac:dyDescent="0.25"/>
    <row r="177817" customFormat="1" x14ac:dyDescent="0.25"/>
    <row r="177818" customFormat="1" x14ac:dyDescent="0.25"/>
    <row r="177819" customFormat="1" x14ac:dyDescent="0.25"/>
    <row r="177820" customFormat="1" x14ac:dyDescent="0.25"/>
    <row r="177821" customFormat="1" x14ac:dyDescent="0.25"/>
    <row r="177822" customFormat="1" x14ac:dyDescent="0.25"/>
    <row r="177823" customFormat="1" x14ac:dyDescent="0.25"/>
    <row r="177824" customFormat="1" x14ac:dyDescent="0.25"/>
    <row r="177825" customFormat="1" x14ac:dyDescent="0.25"/>
    <row r="177826" customFormat="1" x14ac:dyDescent="0.25"/>
    <row r="177827" customFormat="1" x14ac:dyDescent="0.25"/>
    <row r="177828" customFormat="1" x14ac:dyDescent="0.25"/>
    <row r="177829" customFormat="1" x14ac:dyDescent="0.25"/>
    <row r="177830" customFormat="1" x14ac:dyDescent="0.25"/>
    <row r="177831" customFormat="1" x14ac:dyDescent="0.25"/>
    <row r="177832" customFormat="1" x14ac:dyDescent="0.25"/>
    <row r="177833" customFormat="1" x14ac:dyDescent="0.25"/>
    <row r="177834" customFormat="1" x14ac:dyDescent="0.25"/>
    <row r="177835" customFormat="1" x14ac:dyDescent="0.25"/>
    <row r="177836" customFormat="1" x14ac:dyDescent="0.25"/>
    <row r="177837" customFormat="1" x14ac:dyDescent="0.25"/>
    <row r="177838" customFormat="1" x14ac:dyDescent="0.25"/>
    <row r="177839" customFormat="1" x14ac:dyDescent="0.25"/>
    <row r="177840" customFormat="1" x14ac:dyDescent="0.25"/>
    <row r="177841" customFormat="1" x14ac:dyDescent="0.25"/>
    <row r="177842" customFormat="1" x14ac:dyDescent="0.25"/>
    <row r="177843" customFormat="1" x14ac:dyDescent="0.25"/>
    <row r="177844" customFormat="1" x14ac:dyDescent="0.25"/>
    <row r="177845" customFormat="1" x14ac:dyDescent="0.25"/>
    <row r="177846" customFormat="1" x14ac:dyDescent="0.25"/>
    <row r="177847" customFormat="1" x14ac:dyDescent="0.25"/>
    <row r="177848" customFormat="1" x14ac:dyDescent="0.25"/>
    <row r="177849" customFormat="1" x14ac:dyDescent="0.25"/>
    <row r="177850" customFormat="1" x14ac:dyDescent="0.25"/>
    <row r="177851" customFormat="1" x14ac:dyDescent="0.25"/>
    <row r="177852" customFormat="1" x14ac:dyDescent="0.25"/>
    <row r="177853" customFormat="1" x14ac:dyDescent="0.25"/>
    <row r="177854" customFormat="1" x14ac:dyDescent="0.25"/>
    <row r="177855" customFormat="1" x14ac:dyDescent="0.25"/>
    <row r="177856" customFormat="1" x14ac:dyDescent="0.25"/>
    <row r="177857" customFormat="1" x14ac:dyDescent="0.25"/>
    <row r="177858" customFormat="1" x14ac:dyDescent="0.25"/>
    <row r="177859" customFormat="1" x14ac:dyDescent="0.25"/>
    <row r="177860" customFormat="1" x14ac:dyDescent="0.25"/>
    <row r="177861" customFormat="1" x14ac:dyDescent="0.25"/>
    <row r="177862" customFormat="1" x14ac:dyDescent="0.25"/>
    <row r="177863" customFormat="1" x14ac:dyDescent="0.25"/>
    <row r="177864" customFormat="1" x14ac:dyDescent="0.25"/>
    <row r="177865" customFormat="1" x14ac:dyDescent="0.25"/>
    <row r="177866" customFormat="1" x14ac:dyDescent="0.25"/>
    <row r="177867" customFormat="1" x14ac:dyDescent="0.25"/>
    <row r="177868" customFormat="1" x14ac:dyDescent="0.25"/>
    <row r="177869" customFormat="1" x14ac:dyDescent="0.25"/>
    <row r="177870" customFormat="1" x14ac:dyDescent="0.25"/>
    <row r="177871" customFormat="1" x14ac:dyDescent="0.25"/>
    <row r="177872" customFormat="1" x14ac:dyDescent="0.25"/>
    <row r="177873" customFormat="1" x14ac:dyDescent="0.25"/>
    <row r="177874" customFormat="1" x14ac:dyDescent="0.25"/>
    <row r="177875" customFormat="1" x14ac:dyDescent="0.25"/>
    <row r="177876" customFormat="1" x14ac:dyDescent="0.25"/>
    <row r="177877" customFormat="1" x14ac:dyDescent="0.25"/>
    <row r="177878" customFormat="1" x14ac:dyDescent="0.25"/>
    <row r="177879" customFormat="1" x14ac:dyDescent="0.25"/>
    <row r="177880" customFormat="1" x14ac:dyDescent="0.25"/>
    <row r="177881" customFormat="1" x14ac:dyDescent="0.25"/>
    <row r="177882" customFormat="1" x14ac:dyDescent="0.25"/>
    <row r="177883" customFormat="1" x14ac:dyDescent="0.25"/>
    <row r="177884" customFormat="1" x14ac:dyDescent="0.25"/>
    <row r="177885" customFormat="1" x14ac:dyDescent="0.25"/>
    <row r="177886" customFormat="1" x14ac:dyDescent="0.25"/>
    <row r="177887" customFormat="1" x14ac:dyDescent="0.25"/>
    <row r="177888" customFormat="1" x14ac:dyDescent="0.25"/>
    <row r="177889" customFormat="1" x14ac:dyDescent="0.25"/>
    <row r="177890" customFormat="1" x14ac:dyDescent="0.25"/>
    <row r="177891" customFormat="1" x14ac:dyDescent="0.25"/>
    <row r="177892" customFormat="1" x14ac:dyDescent="0.25"/>
    <row r="177893" customFormat="1" x14ac:dyDescent="0.25"/>
    <row r="177894" customFormat="1" x14ac:dyDescent="0.25"/>
    <row r="177895" customFormat="1" x14ac:dyDescent="0.25"/>
    <row r="177896" customFormat="1" x14ac:dyDescent="0.25"/>
    <row r="177897" customFormat="1" x14ac:dyDescent="0.25"/>
    <row r="177898" customFormat="1" x14ac:dyDescent="0.25"/>
    <row r="177899" customFormat="1" x14ac:dyDescent="0.25"/>
    <row r="177900" customFormat="1" x14ac:dyDescent="0.25"/>
    <row r="177901" customFormat="1" x14ac:dyDescent="0.25"/>
    <row r="177902" customFormat="1" x14ac:dyDescent="0.25"/>
    <row r="177903" customFormat="1" x14ac:dyDescent="0.25"/>
    <row r="177904" customFormat="1" x14ac:dyDescent="0.25"/>
    <row r="177905" customFormat="1" x14ac:dyDescent="0.25"/>
    <row r="177906" customFormat="1" x14ac:dyDescent="0.25"/>
    <row r="177907" customFormat="1" x14ac:dyDescent="0.25"/>
    <row r="177908" customFormat="1" x14ac:dyDescent="0.25"/>
    <row r="177909" customFormat="1" x14ac:dyDescent="0.25"/>
    <row r="177910" customFormat="1" x14ac:dyDescent="0.25"/>
    <row r="177911" customFormat="1" x14ac:dyDescent="0.25"/>
    <row r="177912" customFormat="1" x14ac:dyDescent="0.25"/>
    <row r="177913" customFormat="1" x14ac:dyDescent="0.25"/>
    <row r="177914" customFormat="1" x14ac:dyDescent="0.25"/>
    <row r="177915" customFormat="1" x14ac:dyDescent="0.25"/>
    <row r="177916" customFormat="1" x14ac:dyDescent="0.25"/>
    <row r="177917" customFormat="1" x14ac:dyDescent="0.25"/>
    <row r="177918" customFormat="1" x14ac:dyDescent="0.25"/>
    <row r="177919" customFormat="1" x14ac:dyDescent="0.25"/>
    <row r="177920" customFormat="1" x14ac:dyDescent="0.25"/>
    <row r="177921" customFormat="1" x14ac:dyDescent="0.25"/>
    <row r="177922" customFormat="1" x14ac:dyDescent="0.25"/>
    <row r="177923" customFormat="1" x14ac:dyDescent="0.25"/>
    <row r="177924" customFormat="1" x14ac:dyDescent="0.25"/>
    <row r="177925" customFormat="1" x14ac:dyDescent="0.25"/>
    <row r="177926" customFormat="1" x14ac:dyDescent="0.25"/>
    <row r="177927" customFormat="1" x14ac:dyDescent="0.25"/>
    <row r="177928" customFormat="1" x14ac:dyDescent="0.25"/>
    <row r="177929" customFormat="1" x14ac:dyDescent="0.25"/>
    <row r="177930" customFormat="1" x14ac:dyDescent="0.25"/>
    <row r="177931" customFormat="1" x14ac:dyDescent="0.25"/>
    <row r="177932" customFormat="1" x14ac:dyDescent="0.25"/>
    <row r="177933" customFormat="1" x14ac:dyDescent="0.25"/>
    <row r="177934" customFormat="1" x14ac:dyDescent="0.25"/>
    <row r="177935" customFormat="1" x14ac:dyDescent="0.25"/>
    <row r="177936" customFormat="1" x14ac:dyDescent="0.25"/>
    <row r="177937" customFormat="1" x14ac:dyDescent="0.25"/>
    <row r="177938" customFormat="1" x14ac:dyDescent="0.25"/>
    <row r="177939" customFormat="1" x14ac:dyDescent="0.25"/>
    <row r="177940" customFormat="1" x14ac:dyDescent="0.25"/>
    <row r="177941" customFormat="1" x14ac:dyDescent="0.25"/>
    <row r="177942" customFormat="1" x14ac:dyDescent="0.25"/>
    <row r="177943" customFormat="1" x14ac:dyDescent="0.25"/>
    <row r="177944" customFormat="1" x14ac:dyDescent="0.25"/>
    <row r="177945" customFormat="1" x14ac:dyDescent="0.25"/>
    <row r="177946" customFormat="1" x14ac:dyDescent="0.25"/>
    <row r="177947" customFormat="1" x14ac:dyDescent="0.25"/>
    <row r="177948" customFormat="1" x14ac:dyDescent="0.25"/>
    <row r="177949" customFormat="1" x14ac:dyDescent="0.25"/>
    <row r="177950" customFormat="1" x14ac:dyDescent="0.25"/>
    <row r="177951" customFormat="1" x14ac:dyDescent="0.25"/>
    <row r="177952" customFormat="1" x14ac:dyDescent="0.25"/>
    <row r="177953" customFormat="1" x14ac:dyDescent="0.25"/>
    <row r="177954" customFormat="1" x14ac:dyDescent="0.25"/>
    <row r="177955" customFormat="1" x14ac:dyDescent="0.25"/>
    <row r="177956" customFormat="1" x14ac:dyDescent="0.25"/>
    <row r="177957" customFormat="1" x14ac:dyDescent="0.25"/>
    <row r="177958" customFormat="1" x14ac:dyDescent="0.25"/>
    <row r="177959" customFormat="1" x14ac:dyDescent="0.25"/>
    <row r="177960" customFormat="1" x14ac:dyDescent="0.25"/>
    <row r="177961" customFormat="1" x14ac:dyDescent="0.25"/>
    <row r="177962" customFormat="1" x14ac:dyDescent="0.25"/>
    <row r="177963" customFormat="1" x14ac:dyDescent="0.25"/>
    <row r="177964" customFormat="1" x14ac:dyDescent="0.25"/>
    <row r="177965" customFormat="1" x14ac:dyDescent="0.25"/>
    <row r="177966" customFormat="1" x14ac:dyDescent="0.25"/>
    <row r="177967" customFormat="1" x14ac:dyDescent="0.25"/>
    <row r="177968" customFormat="1" x14ac:dyDescent="0.25"/>
    <row r="177969" customFormat="1" x14ac:dyDescent="0.25"/>
    <row r="177970" customFormat="1" x14ac:dyDescent="0.25"/>
    <row r="177971" customFormat="1" x14ac:dyDescent="0.25"/>
    <row r="177972" customFormat="1" x14ac:dyDescent="0.25"/>
    <row r="177973" customFormat="1" x14ac:dyDescent="0.25"/>
    <row r="177974" customFormat="1" x14ac:dyDescent="0.25"/>
    <row r="177975" customFormat="1" x14ac:dyDescent="0.25"/>
    <row r="177976" customFormat="1" x14ac:dyDescent="0.25"/>
    <row r="177977" customFormat="1" x14ac:dyDescent="0.25"/>
    <row r="177978" customFormat="1" x14ac:dyDescent="0.25"/>
    <row r="177979" customFormat="1" x14ac:dyDescent="0.25"/>
    <row r="177980" customFormat="1" x14ac:dyDescent="0.25"/>
    <row r="177981" customFormat="1" x14ac:dyDescent="0.25"/>
    <row r="177982" customFormat="1" x14ac:dyDescent="0.25"/>
    <row r="177983" customFormat="1" x14ac:dyDescent="0.25"/>
    <row r="177984" customFormat="1" x14ac:dyDescent="0.25"/>
    <row r="177985" customFormat="1" x14ac:dyDescent="0.25"/>
    <row r="177986" customFormat="1" x14ac:dyDescent="0.25"/>
    <row r="177987" customFormat="1" x14ac:dyDescent="0.25"/>
    <row r="177988" customFormat="1" x14ac:dyDescent="0.25"/>
    <row r="177989" customFormat="1" x14ac:dyDescent="0.25"/>
    <row r="177990" customFormat="1" x14ac:dyDescent="0.25"/>
    <row r="177991" customFormat="1" x14ac:dyDescent="0.25"/>
    <row r="177992" customFormat="1" x14ac:dyDescent="0.25"/>
    <row r="177993" customFormat="1" x14ac:dyDescent="0.25"/>
    <row r="177994" customFormat="1" x14ac:dyDescent="0.25"/>
    <row r="177995" customFormat="1" x14ac:dyDescent="0.25"/>
    <row r="177996" customFormat="1" x14ac:dyDescent="0.25"/>
    <row r="177997" customFormat="1" x14ac:dyDescent="0.25"/>
    <row r="177998" customFormat="1" x14ac:dyDescent="0.25"/>
    <row r="177999" customFormat="1" x14ac:dyDescent="0.25"/>
    <row r="178000" customFormat="1" x14ac:dyDescent="0.25"/>
    <row r="178001" customFormat="1" x14ac:dyDescent="0.25"/>
    <row r="178002" customFormat="1" x14ac:dyDescent="0.25"/>
    <row r="178003" customFormat="1" x14ac:dyDescent="0.25"/>
    <row r="178004" customFormat="1" x14ac:dyDescent="0.25"/>
    <row r="178005" customFormat="1" x14ac:dyDescent="0.25"/>
    <row r="178006" customFormat="1" x14ac:dyDescent="0.25"/>
    <row r="178007" customFormat="1" x14ac:dyDescent="0.25"/>
    <row r="178008" customFormat="1" x14ac:dyDescent="0.25"/>
    <row r="178009" customFormat="1" x14ac:dyDescent="0.25"/>
    <row r="178010" customFormat="1" x14ac:dyDescent="0.25"/>
    <row r="178011" customFormat="1" x14ac:dyDescent="0.25"/>
    <row r="178012" customFormat="1" x14ac:dyDescent="0.25"/>
    <row r="178013" customFormat="1" x14ac:dyDescent="0.25"/>
    <row r="178014" customFormat="1" x14ac:dyDescent="0.25"/>
    <row r="178015" customFormat="1" x14ac:dyDescent="0.25"/>
    <row r="178016" customFormat="1" x14ac:dyDescent="0.25"/>
    <row r="178017" customFormat="1" x14ac:dyDescent="0.25"/>
    <row r="178018" customFormat="1" x14ac:dyDescent="0.25"/>
    <row r="178019" customFormat="1" x14ac:dyDescent="0.25"/>
    <row r="178020" customFormat="1" x14ac:dyDescent="0.25"/>
    <row r="178021" customFormat="1" x14ac:dyDescent="0.25"/>
    <row r="178022" customFormat="1" x14ac:dyDescent="0.25"/>
    <row r="178023" customFormat="1" x14ac:dyDescent="0.25"/>
    <row r="178024" customFormat="1" x14ac:dyDescent="0.25"/>
    <row r="178025" customFormat="1" x14ac:dyDescent="0.25"/>
    <row r="178026" customFormat="1" x14ac:dyDescent="0.25"/>
    <row r="178027" customFormat="1" x14ac:dyDescent="0.25"/>
    <row r="178028" customFormat="1" x14ac:dyDescent="0.25"/>
    <row r="178029" customFormat="1" x14ac:dyDescent="0.25"/>
    <row r="178030" customFormat="1" x14ac:dyDescent="0.25"/>
    <row r="178031" customFormat="1" x14ac:dyDescent="0.25"/>
    <row r="178032" customFormat="1" x14ac:dyDescent="0.25"/>
    <row r="178033" customFormat="1" x14ac:dyDescent="0.25"/>
    <row r="178034" customFormat="1" x14ac:dyDescent="0.25"/>
    <row r="178035" customFormat="1" x14ac:dyDescent="0.25"/>
    <row r="178036" customFormat="1" x14ac:dyDescent="0.25"/>
    <row r="178037" customFormat="1" x14ac:dyDescent="0.25"/>
    <row r="178038" customFormat="1" x14ac:dyDescent="0.25"/>
    <row r="178039" customFormat="1" x14ac:dyDescent="0.25"/>
    <row r="178040" customFormat="1" x14ac:dyDescent="0.25"/>
    <row r="178041" customFormat="1" x14ac:dyDescent="0.25"/>
    <row r="178042" customFormat="1" x14ac:dyDescent="0.25"/>
    <row r="178043" customFormat="1" x14ac:dyDescent="0.25"/>
    <row r="178044" customFormat="1" x14ac:dyDescent="0.25"/>
    <row r="178045" customFormat="1" x14ac:dyDescent="0.25"/>
    <row r="178046" customFormat="1" x14ac:dyDescent="0.25"/>
    <row r="178047" customFormat="1" x14ac:dyDescent="0.25"/>
    <row r="178048" customFormat="1" x14ac:dyDescent="0.25"/>
    <row r="178049" customFormat="1" x14ac:dyDescent="0.25"/>
    <row r="178050" customFormat="1" x14ac:dyDescent="0.25"/>
    <row r="178051" customFormat="1" x14ac:dyDescent="0.25"/>
    <row r="178052" customFormat="1" x14ac:dyDescent="0.25"/>
    <row r="178053" customFormat="1" x14ac:dyDescent="0.25"/>
    <row r="178054" customFormat="1" x14ac:dyDescent="0.25"/>
    <row r="178055" customFormat="1" x14ac:dyDescent="0.25"/>
    <row r="178056" customFormat="1" x14ac:dyDescent="0.25"/>
    <row r="178057" customFormat="1" x14ac:dyDescent="0.25"/>
    <row r="178058" customFormat="1" x14ac:dyDescent="0.25"/>
    <row r="178059" customFormat="1" x14ac:dyDescent="0.25"/>
    <row r="178060" customFormat="1" x14ac:dyDescent="0.25"/>
    <row r="178061" customFormat="1" x14ac:dyDescent="0.25"/>
    <row r="178062" customFormat="1" x14ac:dyDescent="0.25"/>
    <row r="178063" customFormat="1" x14ac:dyDescent="0.25"/>
    <row r="178064" customFormat="1" x14ac:dyDescent="0.25"/>
    <row r="178065" customFormat="1" x14ac:dyDescent="0.25"/>
    <row r="178066" customFormat="1" x14ac:dyDescent="0.25"/>
    <row r="178067" customFormat="1" x14ac:dyDescent="0.25"/>
    <row r="178068" customFormat="1" x14ac:dyDescent="0.25"/>
    <row r="178069" customFormat="1" x14ac:dyDescent="0.25"/>
    <row r="178070" customFormat="1" x14ac:dyDescent="0.25"/>
    <row r="178071" customFormat="1" x14ac:dyDescent="0.25"/>
    <row r="178072" customFormat="1" x14ac:dyDescent="0.25"/>
    <row r="178073" customFormat="1" x14ac:dyDescent="0.25"/>
    <row r="178074" customFormat="1" x14ac:dyDescent="0.25"/>
    <row r="178075" customFormat="1" x14ac:dyDescent="0.25"/>
    <row r="178076" customFormat="1" x14ac:dyDescent="0.25"/>
    <row r="178077" customFormat="1" x14ac:dyDescent="0.25"/>
    <row r="178078" customFormat="1" x14ac:dyDescent="0.25"/>
    <row r="178079" customFormat="1" x14ac:dyDescent="0.25"/>
    <row r="178080" customFormat="1" x14ac:dyDescent="0.25"/>
    <row r="178081" customFormat="1" x14ac:dyDescent="0.25"/>
    <row r="178082" customFormat="1" x14ac:dyDescent="0.25"/>
    <row r="178083" customFormat="1" x14ac:dyDescent="0.25"/>
    <row r="178084" customFormat="1" x14ac:dyDescent="0.25"/>
    <row r="178085" customFormat="1" x14ac:dyDescent="0.25"/>
    <row r="178086" customFormat="1" x14ac:dyDescent="0.25"/>
    <row r="178087" customFormat="1" x14ac:dyDescent="0.25"/>
    <row r="178088" customFormat="1" x14ac:dyDescent="0.25"/>
    <row r="178089" customFormat="1" x14ac:dyDescent="0.25"/>
    <row r="178090" customFormat="1" x14ac:dyDescent="0.25"/>
    <row r="178091" customFormat="1" x14ac:dyDescent="0.25"/>
    <row r="178092" customFormat="1" x14ac:dyDescent="0.25"/>
    <row r="178093" customFormat="1" x14ac:dyDescent="0.25"/>
    <row r="178094" customFormat="1" x14ac:dyDescent="0.25"/>
    <row r="178095" customFormat="1" x14ac:dyDescent="0.25"/>
    <row r="178096" customFormat="1" x14ac:dyDescent="0.25"/>
    <row r="178097" customFormat="1" x14ac:dyDescent="0.25"/>
    <row r="178098" customFormat="1" x14ac:dyDescent="0.25"/>
    <row r="178099" customFormat="1" x14ac:dyDescent="0.25"/>
    <row r="178100" customFormat="1" x14ac:dyDescent="0.25"/>
    <row r="178101" customFormat="1" x14ac:dyDescent="0.25"/>
    <row r="178102" customFormat="1" x14ac:dyDescent="0.25"/>
    <row r="178103" customFormat="1" x14ac:dyDescent="0.25"/>
    <row r="178104" customFormat="1" x14ac:dyDescent="0.25"/>
    <row r="178105" customFormat="1" x14ac:dyDescent="0.25"/>
    <row r="178106" customFormat="1" x14ac:dyDescent="0.25"/>
    <row r="178107" customFormat="1" x14ac:dyDescent="0.25"/>
    <row r="178108" customFormat="1" x14ac:dyDescent="0.25"/>
    <row r="178109" customFormat="1" x14ac:dyDescent="0.25"/>
    <row r="178110" customFormat="1" x14ac:dyDescent="0.25"/>
    <row r="178111" customFormat="1" x14ac:dyDescent="0.25"/>
    <row r="178112" customFormat="1" x14ac:dyDescent="0.25"/>
    <row r="178113" customFormat="1" x14ac:dyDescent="0.25"/>
    <row r="178114" customFormat="1" x14ac:dyDescent="0.25"/>
    <row r="178115" customFormat="1" x14ac:dyDescent="0.25"/>
    <row r="178116" customFormat="1" x14ac:dyDescent="0.25"/>
    <row r="178117" customFormat="1" x14ac:dyDescent="0.25"/>
    <row r="178118" customFormat="1" x14ac:dyDescent="0.25"/>
    <row r="178119" customFormat="1" x14ac:dyDescent="0.25"/>
    <row r="178120" customFormat="1" x14ac:dyDescent="0.25"/>
    <row r="178121" customFormat="1" x14ac:dyDescent="0.25"/>
    <row r="178122" customFormat="1" x14ac:dyDescent="0.25"/>
    <row r="178123" customFormat="1" x14ac:dyDescent="0.25"/>
    <row r="178124" customFormat="1" x14ac:dyDescent="0.25"/>
    <row r="178125" customFormat="1" x14ac:dyDescent="0.25"/>
    <row r="178126" customFormat="1" x14ac:dyDescent="0.25"/>
    <row r="178127" customFormat="1" x14ac:dyDescent="0.25"/>
    <row r="178128" customFormat="1" x14ac:dyDescent="0.25"/>
    <row r="178129" customFormat="1" x14ac:dyDescent="0.25"/>
    <row r="178130" customFormat="1" x14ac:dyDescent="0.25"/>
    <row r="178131" customFormat="1" x14ac:dyDescent="0.25"/>
    <row r="178132" customFormat="1" x14ac:dyDescent="0.25"/>
    <row r="178133" customFormat="1" x14ac:dyDescent="0.25"/>
    <row r="178134" customFormat="1" x14ac:dyDescent="0.25"/>
    <row r="178135" customFormat="1" x14ac:dyDescent="0.25"/>
    <row r="178136" customFormat="1" x14ac:dyDescent="0.25"/>
    <row r="178137" customFormat="1" x14ac:dyDescent="0.25"/>
    <row r="178138" customFormat="1" x14ac:dyDescent="0.25"/>
    <row r="178139" customFormat="1" x14ac:dyDescent="0.25"/>
    <row r="178140" customFormat="1" x14ac:dyDescent="0.25"/>
    <row r="178141" customFormat="1" x14ac:dyDescent="0.25"/>
    <row r="178142" customFormat="1" x14ac:dyDescent="0.25"/>
    <row r="178143" customFormat="1" x14ac:dyDescent="0.25"/>
    <row r="178144" customFormat="1" x14ac:dyDescent="0.25"/>
    <row r="178145" customFormat="1" x14ac:dyDescent="0.25"/>
    <row r="178146" customFormat="1" x14ac:dyDescent="0.25"/>
    <row r="178147" customFormat="1" x14ac:dyDescent="0.25"/>
    <row r="178148" customFormat="1" x14ac:dyDescent="0.25"/>
    <row r="178149" customFormat="1" x14ac:dyDescent="0.25"/>
    <row r="178150" customFormat="1" x14ac:dyDescent="0.25"/>
    <row r="178151" customFormat="1" x14ac:dyDescent="0.25"/>
    <row r="178152" customFormat="1" x14ac:dyDescent="0.25"/>
    <row r="178153" customFormat="1" x14ac:dyDescent="0.25"/>
    <row r="178154" customFormat="1" x14ac:dyDescent="0.25"/>
    <row r="178155" customFormat="1" x14ac:dyDescent="0.25"/>
    <row r="178156" customFormat="1" x14ac:dyDescent="0.25"/>
    <row r="178157" customFormat="1" x14ac:dyDescent="0.25"/>
    <row r="178158" customFormat="1" x14ac:dyDescent="0.25"/>
    <row r="178159" customFormat="1" x14ac:dyDescent="0.25"/>
    <row r="178160" customFormat="1" x14ac:dyDescent="0.25"/>
    <row r="178161" customFormat="1" x14ac:dyDescent="0.25"/>
    <row r="178162" customFormat="1" x14ac:dyDescent="0.25"/>
    <row r="178163" customFormat="1" x14ac:dyDescent="0.25"/>
    <row r="178164" customFormat="1" x14ac:dyDescent="0.25"/>
    <row r="178165" customFormat="1" x14ac:dyDescent="0.25"/>
    <row r="178166" customFormat="1" x14ac:dyDescent="0.25"/>
    <row r="178167" customFormat="1" x14ac:dyDescent="0.25"/>
    <row r="178168" customFormat="1" x14ac:dyDescent="0.25"/>
    <row r="178169" customFormat="1" x14ac:dyDescent="0.25"/>
    <row r="178170" customFormat="1" x14ac:dyDescent="0.25"/>
    <row r="178171" customFormat="1" x14ac:dyDescent="0.25"/>
    <row r="178172" customFormat="1" x14ac:dyDescent="0.25"/>
    <row r="178173" customFormat="1" x14ac:dyDescent="0.25"/>
    <row r="178174" customFormat="1" x14ac:dyDescent="0.25"/>
    <row r="178175" customFormat="1" x14ac:dyDescent="0.25"/>
    <row r="178176" customFormat="1" x14ac:dyDescent="0.25"/>
    <row r="178177" customFormat="1" x14ac:dyDescent="0.25"/>
    <row r="178178" customFormat="1" x14ac:dyDescent="0.25"/>
    <row r="178179" customFormat="1" x14ac:dyDescent="0.25"/>
    <row r="178180" customFormat="1" x14ac:dyDescent="0.25"/>
    <row r="178181" customFormat="1" x14ac:dyDescent="0.25"/>
    <row r="178182" customFormat="1" x14ac:dyDescent="0.25"/>
    <row r="178183" customFormat="1" x14ac:dyDescent="0.25"/>
    <row r="178184" customFormat="1" x14ac:dyDescent="0.25"/>
    <row r="178185" customFormat="1" x14ac:dyDescent="0.25"/>
    <row r="178186" customFormat="1" x14ac:dyDescent="0.25"/>
    <row r="178187" customFormat="1" x14ac:dyDescent="0.25"/>
    <row r="178188" customFormat="1" x14ac:dyDescent="0.25"/>
    <row r="178189" customFormat="1" x14ac:dyDescent="0.25"/>
    <row r="178190" customFormat="1" x14ac:dyDescent="0.25"/>
    <row r="178191" customFormat="1" x14ac:dyDescent="0.25"/>
    <row r="178192" customFormat="1" x14ac:dyDescent="0.25"/>
    <row r="178193" customFormat="1" x14ac:dyDescent="0.25"/>
    <row r="178194" customFormat="1" x14ac:dyDescent="0.25"/>
    <row r="178195" customFormat="1" x14ac:dyDescent="0.25"/>
    <row r="178196" customFormat="1" x14ac:dyDescent="0.25"/>
    <row r="178197" customFormat="1" x14ac:dyDescent="0.25"/>
    <row r="178198" customFormat="1" x14ac:dyDescent="0.25"/>
    <row r="178199" customFormat="1" x14ac:dyDescent="0.25"/>
    <row r="178200" customFormat="1" x14ac:dyDescent="0.25"/>
    <row r="178201" customFormat="1" x14ac:dyDescent="0.25"/>
    <row r="178202" customFormat="1" x14ac:dyDescent="0.25"/>
    <row r="178203" customFormat="1" x14ac:dyDescent="0.25"/>
    <row r="178204" customFormat="1" x14ac:dyDescent="0.25"/>
    <row r="178205" customFormat="1" x14ac:dyDescent="0.25"/>
    <row r="178206" customFormat="1" x14ac:dyDescent="0.25"/>
    <row r="178207" customFormat="1" x14ac:dyDescent="0.25"/>
    <row r="178208" customFormat="1" x14ac:dyDescent="0.25"/>
    <row r="178209" customFormat="1" x14ac:dyDescent="0.25"/>
    <row r="178210" customFormat="1" x14ac:dyDescent="0.25"/>
    <row r="178211" customFormat="1" x14ac:dyDescent="0.25"/>
    <row r="178212" customFormat="1" x14ac:dyDescent="0.25"/>
    <row r="178213" customFormat="1" x14ac:dyDescent="0.25"/>
    <row r="178214" customFormat="1" x14ac:dyDescent="0.25"/>
    <row r="178215" customFormat="1" x14ac:dyDescent="0.25"/>
    <row r="178216" customFormat="1" x14ac:dyDescent="0.25"/>
    <row r="178217" customFormat="1" x14ac:dyDescent="0.25"/>
    <row r="178218" customFormat="1" x14ac:dyDescent="0.25"/>
    <row r="178219" customFormat="1" x14ac:dyDescent="0.25"/>
    <row r="178220" customFormat="1" x14ac:dyDescent="0.25"/>
    <row r="178221" customFormat="1" x14ac:dyDescent="0.25"/>
    <row r="178222" customFormat="1" x14ac:dyDescent="0.25"/>
    <row r="178223" customFormat="1" x14ac:dyDescent="0.25"/>
    <row r="178224" customFormat="1" x14ac:dyDescent="0.25"/>
    <row r="178225" customFormat="1" x14ac:dyDescent="0.25"/>
    <row r="178226" customFormat="1" x14ac:dyDescent="0.25"/>
    <row r="178227" customFormat="1" x14ac:dyDescent="0.25"/>
    <row r="178228" customFormat="1" x14ac:dyDescent="0.25"/>
    <row r="178229" customFormat="1" x14ac:dyDescent="0.25"/>
    <row r="178230" customFormat="1" x14ac:dyDescent="0.25"/>
    <row r="178231" customFormat="1" x14ac:dyDescent="0.25"/>
    <row r="178232" customFormat="1" x14ac:dyDescent="0.25"/>
    <row r="178233" customFormat="1" x14ac:dyDescent="0.25"/>
    <row r="178234" customFormat="1" x14ac:dyDescent="0.25"/>
    <row r="178235" customFormat="1" x14ac:dyDescent="0.25"/>
    <row r="178236" customFormat="1" x14ac:dyDescent="0.25"/>
    <row r="178237" customFormat="1" x14ac:dyDescent="0.25"/>
    <row r="178238" customFormat="1" x14ac:dyDescent="0.25"/>
    <row r="178239" customFormat="1" x14ac:dyDescent="0.25"/>
    <row r="178240" customFormat="1" x14ac:dyDescent="0.25"/>
    <row r="178241" customFormat="1" x14ac:dyDescent="0.25"/>
    <row r="178242" customFormat="1" x14ac:dyDescent="0.25"/>
    <row r="178243" customFormat="1" x14ac:dyDescent="0.25"/>
    <row r="178244" customFormat="1" x14ac:dyDescent="0.25"/>
    <row r="178245" customFormat="1" x14ac:dyDescent="0.25"/>
    <row r="178246" customFormat="1" x14ac:dyDescent="0.25"/>
    <row r="178247" customFormat="1" x14ac:dyDescent="0.25"/>
    <row r="178248" customFormat="1" x14ac:dyDescent="0.25"/>
    <row r="178249" customFormat="1" x14ac:dyDescent="0.25"/>
    <row r="178250" customFormat="1" x14ac:dyDescent="0.25"/>
    <row r="178251" customFormat="1" x14ac:dyDescent="0.25"/>
    <row r="178252" customFormat="1" x14ac:dyDescent="0.25"/>
    <row r="178253" customFormat="1" x14ac:dyDescent="0.25"/>
    <row r="178254" customFormat="1" x14ac:dyDescent="0.25"/>
    <row r="178255" customFormat="1" x14ac:dyDescent="0.25"/>
    <row r="178256" customFormat="1" x14ac:dyDescent="0.25"/>
    <row r="178257" customFormat="1" x14ac:dyDescent="0.25"/>
    <row r="178258" customFormat="1" x14ac:dyDescent="0.25"/>
    <row r="178259" customFormat="1" x14ac:dyDescent="0.25"/>
    <row r="178260" customFormat="1" x14ac:dyDescent="0.25"/>
    <row r="178261" customFormat="1" x14ac:dyDescent="0.25"/>
    <row r="178262" customFormat="1" x14ac:dyDescent="0.25"/>
    <row r="178263" customFormat="1" x14ac:dyDescent="0.25"/>
    <row r="178264" customFormat="1" x14ac:dyDescent="0.25"/>
    <row r="178265" customFormat="1" x14ac:dyDescent="0.25"/>
    <row r="178266" customFormat="1" x14ac:dyDescent="0.25"/>
    <row r="178267" customFormat="1" x14ac:dyDescent="0.25"/>
    <row r="178268" customFormat="1" x14ac:dyDescent="0.25"/>
    <row r="178269" customFormat="1" x14ac:dyDescent="0.25"/>
    <row r="178270" customFormat="1" x14ac:dyDescent="0.25"/>
    <row r="178271" customFormat="1" x14ac:dyDescent="0.25"/>
    <row r="178272" customFormat="1" x14ac:dyDescent="0.25"/>
    <row r="178273" customFormat="1" x14ac:dyDescent="0.25"/>
    <row r="178274" customFormat="1" x14ac:dyDescent="0.25"/>
    <row r="178275" customFormat="1" x14ac:dyDescent="0.25"/>
    <row r="178276" customFormat="1" x14ac:dyDescent="0.25"/>
    <row r="178277" customFormat="1" x14ac:dyDescent="0.25"/>
    <row r="178278" customFormat="1" x14ac:dyDescent="0.25"/>
    <row r="178279" customFormat="1" x14ac:dyDescent="0.25"/>
    <row r="178280" customFormat="1" x14ac:dyDescent="0.25"/>
    <row r="178281" customFormat="1" x14ac:dyDescent="0.25"/>
    <row r="178282" customFormat="1" x14ac:dyDescent="0.25"/>
    <row r="178283" customFormat="1" x14ac:dyDescent="0.25"/>
    <row r="178284" customFormat="1" x14ac:dyDescent="0.25"/>
    <row r="178285" customFormat="1" x14ac:dyDescent="0.25"/>
    <row r="178286" customFormat="1" x14ac:dyDescent="0.25"/>
    <row r="178287" customFormat="1" x14ac:dyDescent="0.25"/>
    <row r="178288" customFormat="1" x14ac:dyDescent="0.25"/>
    <row r="178289" customFormat="1" x14ac:dyDescent="0.25"/>
    <row r="178290" customFormat="1" x14ac:dyDescent="0.25"/>
    <row r="178291" customFormat="1" x14ac:dyDescent="0.25"/>
    <row r="178292" customFormat="1" x14ac:dyDescent="0.25"/>
    <row r="178293" customFormat="1" x14ac:dyDescent="0.25"/>
    <row r="178294" customFormat="1" x14ac:dyDescent="0.25"/>
    <row r="178295" customFormat="1" x14ac:dyDescent="0.25"/>
    <row r="178296" customFormat="1" x14ac:dyDescent="0.25"/>
    <row r="178297" customFormat="1" x14ac:dyDescent="0.25"/>
    <row r="178298" customFormat="1" x14ac:dyDescent="0.25"/>
    <row r="178299" customFormat="1" x14ac:dyDescent="0.25"/>
    <row r="178300" customFormat="1" x14ac:dyDescent="0.25"/>
    <row r="178301" customFormat="1" x14ac:dyDescent="0.25"/>
    <row r="178302" customFormat="1" x14ac:dyDescent="0.25"/>
    <row r="178303" customFormat="1" x14ac:dyDescent="0.25"/>
    <row r="178304" customFormat="1" x14ac:dyDescent="0.25"/>
    <row r="178305" customFormat="1" x14ac:dyDescent="0.25"/>
    <row r="178306" customFormat="1" x14ac:dyDescent="0.25"/>
    <row r="178307" customFormat="1" x14ac:dyDescent="0.25"/>
    <row r="178308" customFormat="1" x14ac:dyDescent="0.25"/>
    <row r="178309" customFormat="1" x14ac:dyDescent="0.25"/>
    <row r="178310" customFormat="1" x14ac:dyDescent="0.25"/>
    <row r="178311" customFormat="1" x14ac:dyDescent="0.25"/>
    <row r="178312" customFormat="1" x14ac:dyDescent="0.25"/>
    <row r="178313" customFormat="1" x14ac:dyDescent="0.25"/>
    <row r="178314" customFormat="1" x14ac:dyDescent="0.25"/>
    <row r="178315" customFormat="1" x14ac:dyDescent="0.25"/>
    <row r="178316" customFormat="1" x14ac:dyDescent="0.25"/>
    <row r="178317" customFormat="1" x14ac:dyDescent="0.25"/>
    <row r="178318" customFormat="1" x14ac:dyDescent="0.25"/>
    <row r="178319" customFormat="1" x14ac:dyDescent="0.25"/>
    <row r="178320" customFormat="1" x14ac:dyDescent="0.25"/>
    <row r="178321" customFormat="1" x14ac:dyDescent="0.25"/>
    <row r="178322" customFormat="1" x14ac:dyDescent="0.25"/>
    <row r="178323" customFormat="1" x14ac:dyDescent="0.25"/>
    <row r="178324" customFormat="1" x14ac:dyDescent="0.25"/>
    <row r="178325" customFormat="1" x14ac:dyDescent="0.25"/>
    <row r="178326" customFormat="1" x14ac:dyDescent="0.25"/>
    <row r="178327" customFormat="1" x14ac:dyDescent="0.25"/>
    <row r="178328" customFormat="1" x14ac:dyDescent="0.25"/>
    <row r="178329" customFormat="1" x14ac:dyDescent="0.25"/>
    <row r="178330" customFormat="1" x14ac:dyDescent="0.25"/>
    <row r="178331" customFormat="1" x14ac:dyDescent="0.25"/>
    <row r="178332" customFormat="1" x14ac:dyDescent="0.25"/>
    <row r="178333" customFormat="1" x14ac:dyDescent="0.25"/>
    <row r="178334" customFormat="1" x14ac:dyDescent="0.25"/>
    <row r="178335" customFormat="1" x14ac:dyDescent="0.25"/>
    <row r="178336" customFormat="1" x14ac:dyDescent="0.25"/>
    <row r="178337" customFormat="1" x14ac:dyDescent="0.25"/>
    <row r="178338" customFormat="1" x14ac:dyDescent="0.25"/>
    <row r="178339" customFormat="1" x14ac:dyDescent="0.25"/>
    <row r="178340" customFormat="1" x14ac:dyDescent="0.25"/>
    <row r="178341" customFormat="1" x14ac:dyDescent="0.25"/>
    <row r="178342" customFormat="1" x14ac:dyDescent="0.25"/>
    <row r="178343" customFormat="1" x14ac:dyDescent="0.25"/>
    <row r="178344" customFormat="1" x14ac:dyDescent="0.25"/>
    <row r="178345" customFormat="1" x14ac:dyDescent="0.25"/>
    <row r="178346" customFormat="1" x14ac:dyDescent="0.25"/>
    <row r="178347" customFormat="1" x14ac:dyDescent="0.25"/>
    <row r="178348" customFormat="1" x14ac:dyDescent="0.25"/>
    <row r="178349" customFormat="1" x14ac:dyDescent="0.25"/>
    <row r="178350" customFormat="1" x14ac:dyDescent="0.25"/>
    <row r="178351" customFormat="1" x14ac:dyDescent="0.25"/>
    <row r="178352" customFormat="1" x14ac:dyDescent="0.25"/>
    <row r="178353" customFormat="1" x14ac:dyDescent="0.25"/>
    <row r="178354" customFormat="1" x14ac:dyDescent="0.25"/>
    <row r="178355" customFormat="1" x14ac:dyDescent="0.25"/>
    <row r="178356" customFormat="1" x14ac:dyDescent="0.25"/>
    <row r="178357" customFormat="1" x14ac:dyDescent="0.25"/>
    <row r="178358" customFormat="1" x14ac:dyDescent="0.25"/>
    <row r="178359" customFormat="1" x14ac:dyDescent="0.25"/>
    <row r="178360" customFormat="1" x14ac:dyDescent="0.25"/>
    <row r="178361" customFormat="1" x14ac:dyDescent="0.25"/>
    <row r="178362" customFormat="1" x14ac:dyDescent="0.25"/>
    <row r="178363" customFormat="1" x14ac:dyDescent="0.25"/>
    <row r="178364" customFormat="1" x14ac:dyDescent="0.25"/>
    <row r="178365" customFormat="1" x14ac:dyDescent="0.25"/>
    <row r="178366" customFormat="1" x14ac:dyDescent="0.25"/>
    <row r="178367" customFormat="1" x14ac:dyDescent="0.25"/>
    <row r="178368" customFormat="1" x14ac:dyDescent="0.25"/>
    <row r="178369" customFormat="1" x14ac:dyDescent="0.25"/>
    <row r="178370" customFormat="1" x14ac:dyDescent="0.25"/>
    <row r="178371" customFormat="1" x14ac:dyDescent="0.25"/>
    <row r="178372" customFormat="1" x14ac:dyDescent="0.25"/>
    <row r="178373" customFormat="1" x14ac:dyDescent="0.25"/>
    <row r="178374" customFormat="1" x14ac:dyDescent="0.25"/>
    <row r="178375" customFormat="1" x14ac:dyDescent="0.25"/>
    <row r="178376" customFormat="1" x14ac:dyDescent="0.25"/>
    <row r="178377" customFormat="1" x14ac:dyDescent="0.25"/>
    <row r="178378" customFormat="1" x14ac:dyDescent="0.25"/>
    <row r="178379" customFormat="1" x14ac:dyDescent="0.25"/>
    <row r="178380" customFormat="1" x14ac:dyDescent="0.25"/>
    <row r="178381" customFormat="1" x14ac:dyDescent="0.25"/>
    <row r="178382" customFormat="1" x14ac:dyDescent="0.25"/>
    <row r="178383" customFormat="1" x14ac:dyDescent="0.25"/>
    <row r="178384" customFormat="1" x14ac:dyDescent="0.25"/>
    <row r="178385" customFormat="1" x14ac:dyDescent="0.25"/>
    <row r="178386" customFormat="1" x14ac:dyDescent="0.25"/>
    <row r="178387" customFormat="1" x14ac:dyDescent="0.25"/>
    <row r="178388" customFormat="1" x14ac:dyDescent="0.25"/>
    <row r="178389" customFormat="1" x14ac:dyDescent="0.25"/>
    <row r="178390" customFormat="1" x14ac:dyDescent="0.25"/>
    <row r="178391" customFormat="1" x14ac:dyDescent="0.25"/>
    <row r="178392" customFormat="1" x14ac:dyDescent="0.25"/>
    <row r="178393" customFormat="1" x14ac:dyDescent="0.25"/>
    <row r="178394" customFormat="1" x14ac:dyDescent="0.25"/>
    <row r="178395" customFormat="1" x14ac:dyDescent="0.25"/>
    <row r="178396" customFormat="1" x14ac:dyDescent="0.25"/>
    <row r="178397" customFormat="1" x14ac:dyDescent="0.25"/>
    <row r="178398" customFormat="1" x14ac:dyDescent="0.25"/>
    <row r="178399" customFormat="1" x14ac:dyDescent="0.25"/>
    <row r="178400" customFormat="1" x14ac:dyDescent="0.25"/>
    <row r="178401" customFormat="1" x14ac:dyDescent="0.25"/>
    <row r="178402" customFormat="1" x14ac:dyDescent="0.25"/>
    <row r="178403" customFormat="1" x14ac:dyDescent="0.25"/>
    <row r="178404" customFormat="1" x14ac:dyDescent="0.25"/>
    <row r="178405" customFormat="1" x14ac:dyDescent="0.25"/>
    <row r="178406" customFormat="1" x14ac:dyDescent="0.25"/>
    <row r="178407" customFormat="1" x14ac:dyDescent="0.25"/>
    <row r="178408" customFormat="1" x14ac:dyDescent="0.25"/>
    <row r="178409" customFormat="1" x14ac:dyDescent="0.25"/>
    <row r="178410" customFormat="1" x14ac:dyDescent="0.25"/>
    <row r="178411" customFormat="1" x14ac:dyDescent="0.25"/>
    <row r="178412" customFormat="1" x14ac:dyDescent="0.25"/>
    <row r="178413" customFormat="1" x14ac:dyDescent="0.25"/>
    <row r="178414" customFormat="1" x14ac:dyDescent="0.25"/>
    <row r="178415" customFormat="1" x14ac:dyDescent="0.25"/>
    <row r="178416" customFormat="1" x14ac:dyDescent="0.25"/>
    <row r="178417" customFormat="1" x14ac:dyDescent="0.25"/>
    <row r="178418" customFormat="1" x14ac:dyDescent="0.25"/>
    <row r="178419" customFormat="1" x14ac:dyDescent="0.25"/>
    <row r="178420" customFormat="1" x14ac:dyDescent="0.25"/>
    <row r="178421" customFormat="1" x14ac:dyDescent="0.25"/>
    <row r="178422" customFormat="1" x14ac:dyDescent="0.25"/>
    <row r="178423" customFormat="1" x14ac:dyDescent="0.25"/>
    <row r="178424" customFormat="1" x14ac:dyDescent="0.25"/>
    <row r="178425" customFormat="1" x14ac:dyDescent="0.25"/>
    <row r="178426" customFormat="1" x14ac:dyDescent="0.25"/>
    <row r="178427" customFormat="1" x14ac:dyDescent="0.25"/>
    <row r="178428" customFormat="1" x14ac:dyDescent="0.25"/>
    <row r="178429" customFormat="1" x14ac:dyDescent="0.25"/>
    <row r="178430" customFormat="1" x14ac:dyDescent="0.25"/>
    <row r="178431" customFormat="1" x14ac:dyDescent="0.25"/>
    <row r="178432" customFormat="1" x14ac:dyDescent="0.25"/>
    <row r="178433" customFormat="1" x14ac:dyDescent="0.25"/>
    <row r="178434" customFormat="1" x14ac:dyDescent="0.25"/>
    <row r="178435" customFormat="1" x14ac:dyDescent="0.25"/>
    <row r="178436" customFormat="1" x14ac:dyDescent="0.25"/>
    <row r="178437" customFormat="1" x14ac:dyDescent="0.25"/>
    <row r="178438" customFormat="1" x14ac:dyDescent="0.25"/>
    <row r="178439" customFormat="1" x14ac:dyDescent="0.25"/>
    <row r="178440" customFormat="1" x14ac:dyDescent="0.25"/>
    <row r="178441" customFormat="1" x14ac:dyDescent="0.25"/>
    <row r="178442" customFormat="1" x14ac:dyDescent="0.25"/>
    <row r="178443" customFormat="1" x14ac:dyDescent="0.25"/>
    <row r="178444" customFormat="1" x14ac:dyDescent="0.25"/>
    <row r="178445" customFormat="1" x14ac:dyDescent="0.25"/>
    <row r="178446" customFormat="1" x14ac:dyDescent="0.25"/>
    <row r="178447" customFormat="1" x14ac:dyDescent="0.25"/>
    <row r="178448" customFormat="1" x14ac:dyDescent="0.25"/>
    <row r="178449" customFormat="1" x14ac:dyDescent="0.25"/>
    <row r="178450" customFormat="1" x14ac:dyDescent="0.25"/>
    <row r="178451" customFormat="1" x14ac:dyDescent="0.25"/>
    <row r="178452" customFormat="1" x14ac:dyDescent="0.25"/>
    <row r="178453" customFormat="1" x14ac:dyDescent="0.25"/>
    <row r="178454" customFormat="1" x14ac:dyDescent="0.25"/>
    <row r="178455" customFormat="1" x14ac:dyDescent="0.25"/>
    <row r="178456" customFormat="1" x14ac:dyDescent="0.25"/>
    <row r="178457" customFormat="1" x14ac:dyDescent="0.25"/>
    <row r="178458" customFormat="1" x14ac:dyDescent="0.25"/>
    <row r="178459" customFormat="1" x14ac:dyDescent="0.25"/>
    <row r="178460" customFormat="1" x14ac:dyDescent="0.25"/>
    <row r="178461" customFormat="1" x14ac:dyDescent="0.25"/>
    <row r="178462" customFormat="1" x14ac:dyDescent="0.25"/>
    <row r="178463" customFormat="1" x14ac:dyDescent="0.25"/>
    <row r="178464" customFormat="1" x14ac:dyDescent="0.25"/>
    <row r="178465" customFormat="1" x14ac:dyDescent="0.25"/>
    <row r="178466" customFormat="1" x14ac:dyDescent="0.25"/>
    <row r="178467" customFormat="1" x14ac:dyDescent="0.25"/>
    <row r="178468" customFormat="1" x14ac:dyDescent="0.25"/>
    <row r="178469" customFormat="1" x14ac:dyDescent="0.25"/>
    <row r="178470" customFormat="1" x14ac:dyDescent="0.25"/>
    <row r="178471" customFormat="1" x14ac:dyDescent="0.25"/>
    <row r="178472" customFormat="1" x14ac:dyDescent="0.25"/>
    <row r="178473" customFormat="1" x14ac:dyDescent="0.25"/>
    <row r="178474" customFormat="1" x14ac:dyDescent="0.25"/>
    <row r="178475" customFormat="1" x14ac:dyDescent="0.25"/>
    <row r="178476" customFormat="1" x14ac:dyDescent="0.25"/>
    <row r="178477" customFormat="1" x14ac:dyDescent="0.25"/>
    <row r="178478" customFormat="1" x14ac:dyDescent="0.25"/>
    <row r="178479" customFormat="1" x14ac:dyDescent="0.25"/>
    <row r="178480" customFormat="1" x14ac:dyDescent="0.25"/>
    <row r="178481" customFormat="1" x14ac:dyDescent="0.25"/>
    <row r="178482" customFormat="1" x14ac:dyDescent="0.25"/>
    <row r="178483" customFormat="1" x14ac:dyDescent="0.25"/>
    <row r="178484" customFormat="1" x14ac:dyDescent="0.25"/>
    <row r="178485" customFormat="1" x14ac:dyDescent="0.25"/>
    <row r="178486" customFormat="1" x14ac:dyDescent="0.25"/>
    <row r="178487" customFormat="1" x14ac:dyDescent="0.25"/>
    <row r="178488" customFormat="1" x14ac:dyDescent="0.25"/>
    <row r="178489" customFormat="1" x14ac:dyDescent="0.25"/>
    <row r="178490" customFormat="1" x14ac:dyDescent="0.25"/>
    <row r="178491" customFormat="1" x14ac:dyDescent="0.25"/>
    <row r="178492" customFormat="1" x14ac:dyDescent="0.25"/>
    <row r="178493" customFormat="1" x14ac:dyDescent="0.25"/>
    <row r="178494" customFormat="1" x14ac:dyDescent="0.25"/>
    <row r="178495" customFormat="1" x14ac:dyDescent="0.25"/>
    <row r="178496" customFormat="1" x14ac:dyDescent="0.25"/>
    <row r="178497" customFormat="1" x14ac:dyDescent="0.25"/>
    <row r="178498" customFormat="1" x14ac:dyDescent="0.25"/>
    <row r="178499" customFormat="1" x14ac:dyDescent="0.25"/>
    <row r="178500" customFormat="1" x14ac:dyDescent="0.25"/>
    <row r="178501" customFormat="1" x14ac:dyDescent="0.25"/>
    <row r="178502" customFormat="1" x14ac:dyDescent="0.25"/>
    <row r="178503" customFormat="1" x14ac:dyDescent="0.25"/>
    <row r="178504" customFormat="1" x14ac:dyDescent="0.25"/>
    <row r="178505" customFormat="1" x14ac:dyDescent="0.25"/>
    <row r="178506" customFormat="1" x14ac:dyDescent="0.25"/>
    <row r="178507" customFormat="1" x14ac:dyDescent="0.25"/>
    <row r="178508" customFormat="1" x14ac:dyDescent="0.25"/>
    <row r="178509" customFormat="1" x14ac:dyDescent="0.25"/>
    <row r="178510" customFormat="1" x14ac:dyDescent="0.25"/>
    <row r="178511" customFormat="1" x14ac:dyDescent="0.25"/>
    <row r="178512" customFormat="1" x14ac:dyDescent="0.25"/>
    <row r="178513" customFormat="1" x14ac:dyDescent="0.25"/>
    <row r="178514" customFormat="1" x14ac:dyDescent="0.25"/>
    <row r="178515" customFormat="1" x14ac:dyDescent="0.25"/>
    <row r="178516" customFormat="1" x14ac:dyDescent="0.25"/>
    <row r="178517" customFormat="1" x14ac:dyDescent="0.25"/>
    <row r="178518" customFormat="1" x14ac:dyDescent="0.25"/>
    <row r="178519" customFormat="1" x14ac:dyDescent="0.25"/>
    <row r="178520" customFormat="1" x14ac:dyDescent="0.25"/>
    <row r="178521" customFormat="1" x14ac:dyDescent="0.25"/>
    <row r="178522" customFormat="1" x14ac:dyDescent="0.25"/>
    <row r="178523" customFormat="1" x14ac:dyDescent="0.25"/>
    <row r="178524" customFormat="1" x14ac:dyDescent="0.25"/>
    <row r="178525" customFormat="1" x14ac:dyDescent="0.25"/>
    <row r="178526" customFormat="1" x14ac:dyDescent="0.25"/>
    <row r="178527" customFormat="1" x14ac:dyDescent="0.25"/>
    <row r="178528" customFormat="1" x14ac:dyDescent="0.25"/>
    <row r="178529" customFormat="1" x14ac:dyDescent="0.25"/>
    <row r="178530" customFormat="1" x14ac:dyDescent="0.25"/>
    <row r="178531" customFormat="1" x14ac:dyDescent="0.25"/>
    <row r="178532" customFormat="1" x14ac:dyDescent="0.25"/>
    <row r="178533" customFormat="1" x14ac:dyDescent="0.25"/>
    <row r="178534" customFormat="1" x14ac:dyDescent="0.25"/>
    <row r="178535" customFormat="1" x14ac:dyDescent="0.25"/>
    <row r="178536" customFormat="1" x14ac:dyDescent="0.25"/>
    <row r="178537" customFormat="1" x14ac:dyDescent="0.25"/>
    <row r="178538" customFormat="1" x14ac:dyDescent="0.25"/>
    <row r="178539" customFormat="1" x14ac:dyDescent="0.25"/>
    <row r="178540" customFormat="1" x14ac:dyDescent="0.25"/>
    <row r="178541" customFormat="1" x14ac:dyDescent="0.25"/>
    <row r="178542" customFormat="1" x14ac:dyDescent="0.25"/>
    <row r="178543" customFormat="1" x14ac:dyDescent="0.25"/>
    <row r="178544" customFormat="1" x14ac:dyDescent="0.25"/>
    <row r="178545" customFormat="1" x14ac:dyDescent="0.25"/>
    <row r="178546" customFormat="1" x14ac:dyDescent="0.25"/>
    <row r="178547" customFormat="1" x14ac:dyDescent="0.25"/>
    <row r="178548" customFormat="1" x14ac:dyDescent="0.25"/>
    <row r="178549" customFormat="1" x14ac:dyDescent="0.25"/>
    <row r="178550" customFormat="1" x14ac:dyDescent="0.25"/>
    <row r="178551" customFormat="1" x14ac:dyDescent="0.25"/>
    <row r="178552" customFormat="1" x14ac:dyDescent="0.25"/>
    <row r="178553" customFormat="1" x14ac:dyDescent="0.25"/>
    <row r="178554" customFormat="1" x14ac:dyDescent="0.25"/>
    <row r="178555" customFormat="1" x14ac:dyDescent="0.25"/>
    <row r="178556" customFormat="1" x14ac:dyDescent="0.25"/>
    <row r="178557" customFormat="1" x14ac:dyDescent="0.25"/>
    <row r="178558" customFormat="1" x14ac:dyDescent="0.25"/>
    <row r="178559" customFormat="1" x14ac:dyDescent="0.25"/>
    <row r="178560" customFormat="1" x14ac:dyDescent="0.25"/>
    <row r="178561" customFormat="1" x14ac:dyDescent="0.25"/>
    <row r="178562" customFormat="1" x14ac:dyDescent="0.25"/>
    <row r="178563" customFormat="1" x14ac:dyDescent="0.25"/>
    <row r="178564" customFormat="1" x14ac:dyDescent="0.25"/>
    <row r="178565" customFormat="1" x14ac:dyDescent="0.25"/>
    <row r="178566" customFormat="1" x14ac:dyDescent="0.25"/>
    <row r="178567" customFormat="1" x14ac:dyDescent="0.25"/>
    <row r="178568" customFormat="1" x14ac:dyDescent="0.25"/>
    <row r="178569" customFormat="1" x14ac:dyDescent="0.25"/>
    <row r="178570" customFormat="1" x14ac:dyDescent="0.25"/>
    <row r="178571" customFormat="1" x14ac:dyDescent="0.25"/>
    <row r="178572" customFormat="1" x14ac:dyDescent="0.25"/>
    <row r="178573" customFormat="1" x14ac:dyDescent="0.25"/>
    <row r="178574" customFormat="1" x14ac:dyDescent="0.25"/>
    <row r="178575" customFormat="1" x14ac:dyDescent="0.25"/>
    <row r="178576" customFormat="1" x14ac:dyDescent="0.25"/>
    <row r="178577" customFormat="1" x14ac:dyDescent="0.25"/>
    <row r="178578" customFormat="1" x14ac:dyDescent="0.25"/>
    <row r="178579" customFormat="1" x14ac:dyDescent="0.25"/>
    <row r="178580" customFormat="1" x14ac:dyDescent="0.25"/>
    <row r="178581" customFormat="1" x14ac:dyDescent="0.25"/>
    <row r="178582" customFormat="1" x14ac:dyDescent="0.25"/>
    <row r="178583" customFormat="1" x14ac:dyDescent="0.25"/>
    <row r="178584" customFormat="1" x14ac:dyDescent="0.25"/>
    <row r="178585" customFormat="1" x14ac:dyDescent="0.25"/>
    <row r="178586" customFormat="1" x14ac:dyDescent="0.25"/>
    <row r="178587" customFormat="1" x14ac:dyDescent="0.25"/>
    <row r="178588" customFormat="1" x14ac:dyDescent="0.25"/>
    <row r="178589" customFormat="1" x14ac:dyDescent="0.25"/>
    <row r="178590" customFormat="1" x14ac:dyDescent="0.25"/>
    <row r="178591" customFormat="1" x14ac:dyDescent="0.25"/>
    <row r="178592" customFormat="1" x14ac:dyDescent="0.25"/>
    <row r="178593" customFormat="1" x14ac:dyDescent="0.25"/>
    <row r="178594" customFormat="1" x14ac:dyDescent="0.25"/>
    <row r="178595" customFormat="1" x14ac:dyDescent="0.25"/>
    <row r="178596" customFormat="1" x14ac:dyDescent="0.25"/>
    <row r="178597" customFormat="1" x14ac:dyDescent="0.25"/>
    <row r="178598" customFormat="1" x14ac:dyDescent="0.25"/>
    <row r="178599" customFormat="1" x14ac:dyDescent="0.25"/>
    <row r="178600" customFormat="1" x14ac:dyDescent="0.25"/>
    <row r="178601" customFormat="1" x14ac:dyDescent="0.25"/>
    <row r="178602" customFormat="1" x14ac:dyDescent="0.25"/>
    <row r="178603" customFormat="1" x14ac:dyDescent="0.25"/>
    <row r="178604" customFormat="1" x14ac:dyDescent="0.25"/>
    <row r="178605" customFormat="1" x14ac:dyDescent="0.25"/>
    <row r="178606" customFormat="1" x14ac:dyDescent="0.25"/>
    <row r="178607" customFormat="1" x14ac:dyDescent="0.25"/>
    <row r="178608" customFormat="1" x14ac:dyDescent="0.25"/>
    <row r="178609" customFormat="1" x14ac:dyDescent="0.25"/>
    <row r="178610" customFormat="1" x14ac:dyDescent="0.25"/>
    <row r="178611" customFormat="1" x14ac:dyDescent="0.25"/>
    <row r="178612" customFormat="1" x14ac:dyDescent="0.25"/>
    <row r="178613" customFormat="1" x14ac:dyDescent="0.25"/>
    <row r="178614" customFormat="1" x14ac:dyDescent="0.25"/>
    <row r="178615" customFormat="1" x14ac:dyDescent="0.25"/>
    <row r="178616" customFormat="1" x14ac:dyDescent="0.25"/>
    <row r="178617" customFormat="1" x14ac:dyDescent="0.25"/>
    <row r="178618" customFormat="1" x14ac:dyDescent="0.25"/>
    <row r="178619" customFormat="1" x14ac:dyDescent="0.25"/>
    <row r="178620" customFormat="1" x14ac:dyDescent="0.25"/>
    <row r="178621" customFormat="1" x14ac:dyDescent="0.25"/>
    <row r="178622" customFormat="1" x14ac:dyDescent="0.25"/>
    <row r="178623" customFormat="1" x14ac:dyDescent="0.25"/>
    <row r="178624" customFormat="1" x14ac:dyDescent="0.25"/>
    <row r="178625" customFormat="1" x14ac:dyDescent="0.25"/>
    <row r="178626" customFormat="1" x14ac:dyDescent="0.25"/>
    <row r="178627" customFormat="1" x14ac:dyDescent="0.25"/>
    <row r="178628" customFormat="1" x14ac:dyDescent="0.25"/>
    <row r="178629" customFormat="1" x14ac:dyDescent="0.25"/>
    <row r="178630" customFormat="1" x14ac:dyDescent="0.25"/>
    <row r="178631" customFormat="1" x14ac:dyDescent="0.25"/>
    <row r="178632" customFormat="1" x14ac:dyDescent="0.25"/>
    <row r="178633" customFormat="1" x14ac:dyDescent="0.25"/>
    <row r="178634" customFormat="1" x14ac:dyDescent="0.25"/>
    <row r="178635" customFormat="1" x14ac:dyDescent="0.25"/>
    <row r="178636" customFormat="1" x14ac:dyDescent="0.25"/>
    <row r="178637" customFormat="1" x14ac:dyDescent="0.25"/>
    <row r="178638" customFormat="1" x14ac:dyDescent="0.25"/>
    <row r="178639" customFormat="1" x14ac:dyDescent="0.25"/>
    <row r="178640" customFormat="1" x14ac:dyDescent="0.25"/>
    <row r="178641" customFormat="1" x14ac:dyDescent="0.25"/>
    <row r="178642" customFormat="1" x14ac:dyDescent="0.25"/>
    <row r="178643" customFormat="1" x14ac:dyDescent="0.25"/>
    <row r="178644" customFormat="1" x14ac:dyDescent="0.25"/>
    <row r="178645" customFormat="1" x14ac:dyDescent="0.25"/>
    <row r="178646" customFormat="1" x14ac:dyDescent="0.25"/>
    <row r="178647" customFormat="1" x14ac:dyDescent="0.25"/>
    <row r="178648" customFormat="1" x14ac:dyDescent="0.25"/>
    <row r="178649" customFormat="1" x14ac:dyDescent="0.25"/>
    <row r="178650" customFormat="1" x14ac:dyDescent="0.25"/>
    <row r="178651" customFormat="1" x14ac:dyDescent="0.25"/>
    <row r="178652" customFormat="1" x14ac:dyDescent="0.25"/>
    <row r="178653" customFormat="1" x14ac:dyDescent="0.25"/>
    <row r="178654" customFormat="1" x14ac:dyDescent="0.25"/>
    <row r="178655" customFormat="1" x14ac:dyDescent="0.25"/>
    <row r="178656" customFormat="1" x14ac:dyDescent="0.25"/>
    <row r="178657" customFormat="1" x14ac:dyDescent="0.25"/>
    <row r="178658" customFormat="1" x14ac:dyDescent="0.25"/>
    <row r="178659" customFormat="1" x14ac:dyDescent="0.25"/>
    <row r="178660" customFormat="1" x14ac:dyDescent="0.25"/>
    <row r="178661" customFormat="1" x14ac:dyDescent="0.25"/>
    <row r="178662" customFormat="1" x14ac:dyDescent="0.25"/>
    <row r="178663" customFormat="1" x14ac:dyDescent="0.25"/>
    <row r="178664" customFormat="1" x14ac:dyDescent="0.25"/>
    <row r="178665" customFormat="1" x14ac:dyDescent="0.25"/>
    <row r="178666" customFormat="1" x14ac:dyDescent="0.25"/>
    <row r="178667" customFormat="1" x14ac:dyDescent="0.25"/>
    <row r="178668" customFormat="1" x14ac:dyDescent="0.25"/>
    <row r="178669" customFormat="1" x14ac:dyDescent="0.25"/>
    <row r="178670" customFormat="1" x14ac:dyDescent="0.25"/>
    <row r="178671" customFormat="1" x14ac:dyDescent="0.25"/>
    <row r="178672" customFormat="1" x14ac:dyDescent="0.25"/>
    <row r="178673" customFormat="1" x14ac:dyDescent="0.25"/>
    <row r="178674" customFormat="1" x14ac:dyDescent="0.25"/>
    <row r="178675" customFormat="1" x14ac:dyDescent="0.25"/>
    <row r="178676" customFormat="1" x14ac:dyDescent="0.25"/>
    <row r="178677" customFormat="1" x14ac:dyDescent="0.25"/>
    <row r="178678" customFormat="1" x14ac:dyDescent="0.25"/>
    <row r="178679" customFormat="1" x14ac:dyDescent="0.25"/>
    <row r="178680" customFormat="1" x14ac:dyDescent="0.25"/>
    <row r="178681" customFormat="1" x14ac:dyDescent="0.25"/>
    <row r="178682" customFormat="1" x14ac:dyDescent="0.25"/>
    <row r="178683" customFormat="1" x14ac:dyDescent="0.25"/>
    <row r="178684" customFormat="1" x14ac:dyDescent="0.25"/>
    <row r="178685" customFormat="1" x14ac:dyDescent="0.25"/>
    <row r="178686" customFormat="1" x14ac:dyDescent="0.25"/>
    <row r="178687" customFormat="1" x14ac:dyDescent="0.25"/>
    <row r="178688" customFormat="1" x14ac:dyDescent="0.25"/>
    <row r="178689" customFormat="1" x14ac:dyDescent="0.25"/>
    <row r="178690" customFormat="1" x14ac:dyDescent="0.25"/>
    <row r="178691" customFormat="1" x14ac:dyDescent="0.25"/>
    <row r="178692" customFormat="1" x14ac:dyDescent="0.25"/>
    <row r="178693" customFormat="1" x14ac:dyDescent="0.25"/>
    <row r="178694" customFormat="1" x14ac:dyDescent="0.25"/>
    <row r="178695" customFormat="1" x14ac:dyDescent="0.25"/>
    <row r="178696" customFormat="1" x14ac:dyDescent="0.25"/>
    <row r="178697" customFormat="1" x14ac:dyDescent="0.25"/>
    <row r="178698" customFormat="1" x14ac:dyDescent="0.25"/>
    <row r="178699" customFormat="1" x14ac:dyDescent="0.25"/>
    <row r="178700" customFormat="1" x14ac:dyDescent="0.25"/>
    <row r="178701" customFormat="1" x14ac:dyDescent="0.25"/>
    <row r="178702" customFormat="1" x14ac:dyDescent="0.25"/>
    <row r="178703" customFormat="1" x14ac:dyDescent="0.25"/>
    <row r="178704" customFormat="1" x14ac:dyDescent="0.25"/>
    <row r="178705" customFormat="1" x14ac:dyDescent="0.25"/>
    <row r="178706" customFormat="1" x14ac:dyDescent="0.25"/>
    <row r="178707" customFormat="1" x14ac:dyDescent="0.25"/>
    <row r="178708" customFormat="1" x14ac:dyDescent="0.25"/>
    <row r="178709" customFormat="1" x14ac:dyDescent="0.25"/>
    <row r="178710" customFormat="1" x14ac:dyDescent="0.25"/>
    <row r="178711" customFormat="1" x14ac:dyDescent="0.25"/>
    <row r="178712" customFormat="1" x14ac:dyDescent="0.25"/>
    <row r="178713" customFormat="1" x14ac:dyDescent="0.25"/>
    <row r="178714" customFormat="1" x14ac:dyDescent="0.25"/>
    <row r="178715" customFormat="1" x14ac:dyDescent="0.25"/>
    <row r="178716" customFormat="1" x14ac:dyDescent="0.25"/>
    <row r="178717" customFormat="1" x14ac:dyDescent="0.25"/>
    <row r="178718" customFormat="1" x14ac:dyDescent="0.25"/>
    <row r="178719" customFormat="1" x14ac:dyDescent="0.25"/>
    <row r="178720" customFormat="1" x14ac:dyDescent="0.25"/>
    <row r="178721" customFormat="1" x14ac:dyDescent="0.25"/>
    <row r="178722" customFormat="1" x14ac:dyDescent="0.25"/>
    <row r="178723" customFormat="1" x14ac:dyDescent="0.25"/>
    <row r="178724" customFormat="1" x14ac:dyDescent="0.25"/>
    <row r="178725" customFormat="1" x14ac:dyDescent="0.25"/>
    <row r="178726" customFormat="1" x14ac:dyDescent="0.25"/>
    <row r="178727" customFormat="1" x14ac:dyDescent="0.25"/>
    <row r="178728" customFormat="1" x14ac:dyDescent="0.25"/>
    <row r="178729" customFormat="1" x14ac:dyDescent="0.25"/>
    <row r="178730" customFormat="1" x14ac:dyDescent="0.25"/>
    <row r="178731" customFormat="1" x14ac:dyDescent="0.25"/>
    <row r="178732" customFormat="1" x14ac:dyDescent="0.25"/>
    <row r="178733" customFormat="1" x14ac:dyDescent="0.25"/>
    <row r="178734" customFormat="1" x14ac:dyDescent="0.25"/>
    <row r="178735" customFormat="1" x14ac:dyDescent="0.25"/>
    <row r="178736" customFormat="1" x14ac:dyDescent="0.25"/>
    <row r="178737" customFormat="1" x14ac:dyDescent="0.25"/>
    <row r="178738" customFormat="1" x14ac:dyDescent="0.25"/>
    <row r="178739" customFormat="1" x14ac:dyDescent="0.25"/>
    <row r="178740" customFormat="1" x14ac:dyDescent="0.25"/>
    <row r="178741" customFormat="1" x14ac:dyDescent="0.25"/>
    <row r="178742" customFormat="1" x14ac:dyDescent="0.25"/>
    <row r="178743" customFormat="1" x14ac:dyDescent="0.25"/>
    <row r="178744" customFormat="1" x14ac:dyDescent="0.25"/>
    <row r="178745" customFormat="1" x14ac:dyDescent="0.25"/>
    <row r="178746" customFormat="1" x14ac:dyDescent="0.25"/>
    <row r="178747" customFormat="1" x14ac:dyDescent="0.25"/>
    <row r="178748" customFormat="1" x14ac:dyDescent="0.25"/>
    <row r="178749" customFormat="1" x14ac:dyDescent="0.25"/>
    <row r="178750" customFormat="1" x14ac:dyDescent="0.25"/>
    <row r="178751" customFormat="1" x14ac:dyDescent="0.25"/>
    <row r="178752" customFormat="1" x14ac:dyDescent="0.25"/>
    <row r="178753" customFormat="1" x14ac:dyDescent="0.25"/>
    <row r="178754" customFormat="1" x14ac:dyDescent="0.25"/>
    <row r="178755" customFormat="1" x14ac:dyDescent="0.25"/>
    <row r="178756" customFormat="1" x14ac:dyDescent="0.25"/>
    <row r="178757" customFormat="1" x14ac:dyDescent="0.25"/>
    <row r="178758" customFormat="1" x14ac:dyDescent="0.25"/>
    <row r="178759" customFormat="1" x14ac:dyDescent="0.25"/>
    <row r="178760" customFormat="1" x14ac:dyDescent="0.25"/>
    <row r="178761" customFormat="1" x14ac:dyDescent="0.25"/>
    <row r="178762" customFormat="1" x14ac:dyDescent="0.25"/>
    <row r="178763" customFormat="1" x14ac:dyDescent="0.25"/>
    <row r="178764" customFormat="1" x14ac:dyDescent="0.25"/>
    <row r="178765" customFormat="1" x14ac:dyDescent="0.25"/>
    <row r="178766" customFormat="1" x14ac:dyDescent="0.25"/>
    <row r="178767" customFormat="1" x14ac:dyDescent="0.25"/>
    <row r="178768" customFormat="1" x14ac:dyDescent="0.25"/>
    <row r="178769" customFormat="1" x14ac:dyDescent="0.25"/>
    <row r="178770" customFormat="1" x14ac:dyDescent="0.25"/>
    <row r="178771" customFormat="1" x14ac:dyDescent="0.25"/>
    <row r="178772" customFormat="1" x14ac:dyDescent="0.25"/>
    <row r="178773" customFormat="1" x14ac:dyDescent="0.25"/>
    <row r="178774" customFormat="1" x14ac:dyDescent="0.25"/>
    <row r="178775" customFormat="1" x14ac:dyDescent="0.25"/>
    <row r="178776" customFormat="1" x14ac:dyDescent="0.25"/>
    <row r="178777" customFormat="1" x14ac:dyDescent="0.25"/>
    <row r="178778" customFormat="1" x14ac:dyDescent="0.25"/>
    <row r="178779" customFormat="1" x14ac:dyDescent="0.25"/>
    <row r="178780" customFormat="1" x14ac:dyDescent="0.25"/>
    <row r="178781" customFormat="1" x14ac:dyDescent="0.25"/>
    <row r="178782" customFormat="1" x14ac:dyDescent="0.25"/>
    <row r="178783" customFormat="1" x14ac:dyDescent="0.25"/>
    <row r="178784" customFormat="1" x14ac:dyDescent="0.25"/>
    <row r="178785" customFormat="1" x14ac:dyDescent="0.25"/>
    <row r="178786" customFormat="1" x14ac:dyDescent="0.25"/>
    <row r="178787" customFormat="1" x14ac:dyDescent="0.25"/>
    <row r="178788" customFormat="1" x14ac:dyDescent="0.25"/>
    <row r="178789" customFormat="1" x14ac:dyDescent="0.25"/>
    <row r="178790" customFormat="1" x14ac:dyDescent="0.25"/>
    <row r="178791" customFormat="1" x14ac:dyDescent="0.25"/>
    <row r="178792" customFormat="1" x14ac:dyDescent="0.25"/>
    <row r="178793" customFormat="1" x14ac:dyDescent="0.25"/>
    <row r="178794" customFormat="1" x14ac:dyDescent="0.25"/>
    <row r="178795" customFormat="1" x14ac:dyDescent="0.25"/>
    <row r="178796" customFormat="1" x14ac:dyDescent="0.25"/>
    <row r="178797" customFormat="1" x14ac:dyDescent="0.25"/>
    <row r="178798" customFormat="1" x14ac:dyDescent="0.25"/>
    <row r="178799" customFormat="1" x14ac:dyDescent="0.25"/>
    <row r="178800" customFormat="1" x14ac:dyDescent="0.25"/>
    <row r="178801" customFormat="1" x14ac:dyDescent="0.25"/>
    <row r="178802" customFormat="1" x14ac:dyDescent="0.25"/>
    <row r="178803" customFormat="1" x14ac:dyDescent="0.25"/>
    <row r="178804" customFormat="1" x14ac:dyDescent="0.25"/>
    <row r="178805" customFormat="1" x14ac:dyDescent="0.25"/>
    <row r="178806" customFormat="1" x14ac:dyDescent="0.25"/>
    <row r="178807" customFormat="1" x14ac:dyDescent="0.25"/>
    <row r="178808" customFormat="1" x14ac:dyDescent="0.25"/>
    <row r="178809" customFormat="1" x14ac:dyDescent="0.25"/>
    <row r="178810" customFormat="1" x14ac:dyDescent="0.25"/>
    <row r="178811" customFormat="1" x14ac:dyDescent="0.25"/>
    <row r="178812" customFormat="1" x14ac:dyDescent="0.25"/>
    <row r="178813" customFormat="1" x14ac:dyDescent="0.25"/>
    <row r="178814" customFormat="1" x14ac:dyDescent="0.25"/>
    <row r="178815" customFormat="1" x14ac:dyDescent="0.25"/>
    <row r="178816" customFormat="1" x14ac:dyDescent="0.25"/>
    <row r="178817" customFormat="1" x14ac:dyDescent="0.25"/>
    <row r="178818" customFormat="1" x14ac:dyDescent="0.25"/>
    <row r="178819" customFormat="1" x14ac:dyDescent="0.25"/>
    <row r="178820" customFormat="1" x14ac:dyDescent="0.25"/>
    <row r="178821" customFormat="1" x14ac:dyDescent="0.25"/>
    <row r="178822" customFormat="1" x14ac:dyDescent="0.25"/>
    <row r="178823" customFormat="1" x14ac:dyDescent="0.25"/>
    <row r="178824" customFormat="1" x14ac:dyDescent="0.25"/>
    <row r="178825" customFormat="1" x14ac:dyDescent="0.25"/>
    <row r="178826" customFormat="1" x14ac:dyDescent="0.25"/>
    <row r="178827" customFormat="1" x14ac:dyDescent="0.25"/>
    <row r="178828" customFormat="1" x14ac:dyDescent="0.25"/>
    <row r="178829" customFormat="1" x14ac:dyDescent="0.25"/>
    <row r="178830" customFormat="1" x14ac:dyDescent="0.25"/>
    <row r="178831" customFormat="1" x14ac:dyDescent="0.25"/>
    <row r="178832" customFormat="1" x14ac:dyDescent="0.25"/>
    <row r="178833" customFormat="1" x14ac:dyDescent="0.25"/>
    <row r="178834" customFormat="1" x14ac:dyDescent="0.25"/>
    <row r="178835" customFormat="1" x14ac:dyDescent="0.25"/>
    <row r="178836" customFormat="1" x14ac:dyDescent="0.25"/>
    <row r="178837" customFormat="1" x14ac:dyDescent="0.25"/>
    <row r="178838" customFormat="1" x14ac:dyDescent="0.25"/>
    <row r="178839" customFormat="1" x14ac:dyDescent="0.25"/>
    <row r="178840" customFormat="1" x14ac:dyDescent="0.25"/>
    <row r="178841" customFormat="1" x14ac:dyDescent="0.25"/>
    <row r="178842" customFormat="1" x14ac:dyDescent="0.25"/>
    <row r="178843" customFormat="1" x14ac:dyDescent="0.25"/>
    <row r="178844" customFormat="1" x14ac:dyDescent="0.25"/>
    <row r="178845" customFormat="1" x14ac:dyDescent="0.25"/>
    <row r="178846" customFormat="1" x14ac:dyDescent="0.25"/>
    <row r="178847" customFormat="1" x14ac:dyDescent="0.25"/>
    <row r="178848" customFormat="1" x14ac:dyDescent="0.25"/>
    <row r="178849" customFormat="1" x14ac:dyDescent="0.25"/>
    <row r="178850" customFormat="1" x14ac:dyDescent="0.25"/>
    <row r="178851" customFormat="1" x14ac:dyDescent="0.25"/>
    <row r="178852" customFormat="1" x14ac:dyDescent="0.25"/>
    <row r="178853" customFormat="1" x14ac:dyDescent="0.25"/>
    <row r="178854" customFormat="1" x14ac:dyDescent="0.25"/>
    <row r="178855" customFormat="1" x14ac:dyDescent="0.25"/>
    <row r="178856" customFormat="1" x14ac:dyDescent="0.25"/>
    <row r="178857" customFormat="1" x14ac:dyDescent="0.25"/>
    <row r="178858" customFormat="1" x14ac:dyDescent="0.25"/>
    <row r="178859" customFormat="1" x14ac:dyDescent="0.25"/>
    <row r="178860" customFormat="1" x14ac:dyDescent="0.25"/>
    <row r="178861" customFormat="1" x14ac:dyDescent="0.25"/>
    <row r="178862" customFormat="1" x14ac:dyDescent="0.25"/>
    <row r="178863" customFormat="1" x14ac:dyDescent="0.25"/>
    <row r="178864" customFormat="1" x14ac:dyDescent="0.25"/>
    <row r="178865" customFormat="1" x14ac:dyDescent="0.25"/>
    <row r="178866" customFormat="1" x14ac:dyDescent="0.25"/>
    <row r="178867" customFormat="1" x14ac:dyDescent="0.25"/>
    <row r="178868" customFormat="1" x14ac:dyDescent="0.25"/>
    <row r="178869" customFormat="1" x14ac:dyDescent="0.25"/>
    <row r="178870" customFormat="1" x14ac:dyDescent="0.25"/>
    <row r="178871" customFormat="1" x14ac:dyDescent="0.25"/>
    <row r="178872" customFormat="1" x14ac:dyDescent="0.25"/>
    <row r="178873" customFormat="1" x14ac:dyDescent="0.25"/>
    <row r="178874" customFormat="1" x14ac:dyDescent="0.25"/>
    <row r="178875" customFormat="1" x14ac:dyDescent="0.25"/>
    <row r="178876" customFormat="1" x14ac:dyDescent="0.25"/>
    <row r="178877" customFormat="1" x14ac:dyDescent="0.25"/>
    <row r="178878" customFormat="1" x14ac:dyDescent="0.25"/>
    <row r="178879" customFormat="1" x14ac:dyDescent="0.25"/>
    <row r="178880" customFormat="1" x14ac:dyDescent="0.25"/>
    <row r="178881" customFormat="1" x14ac:dyDescent="0.25"/>
    <row r="178882" customFormat="1" x14ac:dyDescent="0.25"/>
    <row r="178883" customFormat="1" x14ac:dyDescent="0.25"/>
    <row r="178884" customFormat="1" x14ac:dyDescent="0.25"/>
    <row r="178885" customFormat="1" x14ac:dyDescent="0.25"/>
    <row r="178886" customFormat="1" x14ac:dyDescent="0.25"/>
    <row r="178887" customFormat="1" x14ac:dyDescent="0.25"/>
    <row r="178888" customFormat="1" x14ac:dyDescent="0.25"/>
    <row r="178889" customFormat="1" x14ac:dyDescent="0.25"/>
    <row r="178890" customFormat="1" x14ac:dyDescent="0.25"/>
    <row r="178891" customFormat="1" x14ac:dyDescent="0.25"/>
    <row r="178892" customFormat="1" x14ac:dyDescent="0.25"/>
    <row r="178893" customFormat="1" x14ac:dyDescent="0.25"/>
    <row r="178894" customFormat="1" x14ac:dyDescent="0.25"/>
    <row r="178895" customFormat="1" x14ac:dyDescent="0.25"/>
    <row r="178896" customFormat="1" x14ac:dyDescent="0.25"/>
    <row r="178897" customFormat="1" x14ac:dyDescent="0.25"/>
    <row r="178898" customFormat="1" x14ac:dyDescent="0.25"/>
    <row r="178899" customFormat="1" x14ac:dyDescent="0.25"/>
    <row r="178900" customFormat="1" x14ac:dyDescent="0.25"/>
    <row r="178901" customFormat="1" x14ac:dyDescent="0.25"/>
    <row r="178902" customFormat="1" x14ac:dyDescent="0.25"/>
    <row r="178903" customFormat="1" x14ac:dyDescent="0.25"/>
    <row r="178904" customFormat="1" x14ac:dyDescent="0.25"/>
    <row r="178905" customFormat="1" x14ac:dyDescent="0.25"/>
    <row r="178906" customFormat="1" x14ac:dyDescent="0.25"/>
    <row r="178907" customFormat="1" x14ac:dyDescent="0.25"/>
    <row r="178908" customFormat="1" x14ac:dyDescent="0.25"/>
    <row r="178909" customFormat="1" x14ac:dyDescent="0.25"/>
    <row r="178910" customFormat="1" x14ac:dyDescent="0.25"/>
    <row r="178911" customFormat="1" x14ac:dyDescent="0.25"/>
    <row r="178912" customFormat="1" x14ac:dyDescent="0.25"/>
    <row r="178913" customFormat="1" x14ac:dyDescent="0.25"/>
    <row r="178914" customFormat="1" x14ac:dyDescent="0.25"/>
    <row r="178915" customFormat="1" x14ac:dyDescent="0.25"/>
    <row r="178916" customFormat="1" x14ac:dyDescent="0.25"/>
    <row r="178917" customFormat="1" x14ac:dyDescent="0.25"/>
    <row r="178918" customFormat="1" x14ac:dyDescent="0.25"/>
    <row r="178919" customFormat="1" x14ac:dyDescent="0.25"/>
    <row r="178920" customFormat="1" x14ac:dyDescent="0.25"/>
    <row r="178921" customFormat="1" x14ac:dyDescent="0.25"/>
    <row r="178922" customFormat="1" x14ac:dyDescent="0.25"/>
    <row r="178923" customFormat="1" x14ac:dyDescent="0.25"/>
    <row r="178924" customFormat="1" x14ac:dyDescent="0.25"/>
    <row r="178925" customFormat="1" x14ac:dyDescent="0.25"/>
    <row r="178926" customFormat="1" x14ac:dyDescent="0.25"/>
    <row r="178927" customFormat="1" x14ac:dyDescent="0.25"/>
    <row r="178928" customFormat="1" x14ac:dyDescent="0.25"/>
    <row r="178929" customFormat="1" x14ac:dyDescent="0.25"/>
    <row r="178930" customFormat="1" x14ac:dyDescent="0.25"/>
    <row r="178931" customFormat="1" x14ac:dyDescent="0.25"/>
    <row r="178932" customFormat="1" x14ac:dyDescent="0.25"/>
    <row r="178933" customFormat="1" x14ac:dyDescent="0.25"/>
    <row r="178934" customFormat="1" x14ac:dyDescent="0.25"/>
    <row r="178935" customFormat="1" x14ac:dyDescent="0.25"/>
    <row r="178936" customFormat="1" x14ac:dyDescent="0.25"/>
    <row r="178937" customFormat="1" x14ac:dyDescent="0.25"/>
    <row r="178938" customFormat="1" x14ac:dyDescent="0.25"/>
    <row r="178939" customFormat="1" x14ac:dyDescent="0.25"/>
    <row r="178940" customFormat="1" x14ac:dyDescent="0.25"/>
    <row r="178941" customFormat="1" x14ac:dyDescent="0.25"/>
    <row r="178942" customFormat="1" x14ac:dyDescent="0.25"/>
    <row r="178943" customFormat="1" x14ac:dyDescent="0.25"/>
    <row r="178944" customFormat="1" x14ac:dyDescent="0.25"/>
    <row r="178945" customFormat="1" x14ac:dyDescent="0.25"/>
    <row r="178946" customFormat="1" x14ac:dyDescent="0.25"/>
    <row r="178947" customFormat="1" x14ac:dyDescent="0.25"/>
    <row r="178948" customFormat="1" x14ac:dyDescent="0.25"/>
    <row r="178949" customFormat="1" x14ac:dyDescent="0.25"/>
    <row r="178950" customFormat="1" x14ac:dyDescent="0.25"/>
    <row r="178951" customFormat="1" x14ac:dyDescent="0.25"/>
    <row r="178952" customFormat="1" x14ac:dyDescent="0.25"/>
    <row r="178953" customFormat="1" x14ac:dyDescent="0.25"/>
    <row r="178954" customFormat="1" x14ac:dyDescent="0.25"/>
    <row r="178955" customFormat="1" x14ac:dyDescent="0.25"/>
    <row r="178956" customFormat="1" x14ac:dyDescent="0.25"/>
    <row r="178957" customFormat="1" x14ac:dyDescent="0.25"/>
    <row r="178958" customFormat="1" x14ac:dyDescent="0.25"/>
    <row r="178959" customFormat="1" x14ac:dyDescent="0.25"/>
    <row r="178960" customFormat="1" x14ac:dyDescent="0.25"/>
    <row r="178961" customFormat="1" x14ac:dyDescent="0.25"/>
    <row r="178962" customFormat="1" x14ac:dyDescent="0.25"/>
    <row r="178963" customFormat="1" x14ac:dyDescent="0.25"/>
    <row r="178964" customFormat="1" x14ac:dyDescent="0.25"/>
    <row r="178965" customFormat="1" x14ac:dyDescent="0.25"/>
    <row r="178966" customFormat="1" x14ac:dyDescent="0.25"/>
    <row r="178967" customFormat="1" x14ac:dyDescent="0.25"/>
    <row r="178968" customFormat="1" x14ac:dyDescent="0.25"/>
    <row r="178969" customFormat="1" x14ac:dyDescent="0.25"/>
    <row r="178970" customFormat="1" x14ac:dyDescent="0.25"/>
    <row r="178971" customFormat="1" x14ac:dyDescent="0.25"/>
    <row r="178972" customFormat="1" x14ac:dyDescent="0.25"/>
    <row r="178973" customFormat="1" x14ac:dyDescent="0.25"/>
    <row r="178974" customFormat="1" x14ac:dyDescent="0.25"/>
    <row r="178975" customFormat="1" x14ac:dyDescent="0.25"/>
    <row r="178976" customFormat="1" x14ac:dyDescent="0.25"/>
    <row r="178977" customFormat="1" x14ac:dyDescent="0.25"/>
    <row r="178978" customFormat="1" x14ac:dyDescent="0.25"/>
    <row r="178979" customFormat="1" x14ac:dyDescent="0.25"/>
    <row r="178980" customFormat="1" x14ac:dyDescent="0.25"/>
    <row r="178981" customFormat="1" x14ac:dyDescent="0.25"/>
    <row r="178982" customFormat="1" x14ac:dyDescent="0.25"/>
    <row r="178983" customFormat="1" x14ac:dyDescent="0.25"/>
    <row r="178984" customFormat="1" x14ac:dyDescent="0.25"/>
    <row r="178985" customFormat="1" x14ac:dyDescent="0.25"/>
    <row r="178986" customFormat="1" x14ac:dyDescent="0.25"/>
    <row r="178987" customFormat="1" x14ac:dyDescent="0.25"/>
    <row r="178988" customFormat="1" x14ac:dyDescent="0.25"/>
    <row r="178989" customFormat="1" x14ac:dyDescent="0.25"/>
    <row r="178990" customFormat="1" x14ac:dyDescent="0.25"/>
    <row r="178991" customFormat="1" x14ac:dyDescent="0.25"/>
    <row r="178992" customFormat="1" x14ac:dyDescent="0.25"/>
    <row r="178993" customFormat="1" x14ac:dyDescent="0.25"/>
    <row r="178994" customFormat="1" x14ac:dyDescent="0.25"/>
    <row r="178995" customFormat="1" x14ac:dyDescent="0.25"/>
    <row r="178996" customFormat="1" x14ac:dyDescent="0.25"/>
    <row r="178997" customFormat="1" x14ac:dyDescent="0.25"/>
    <row r="178998" customFormat="1" x14ac:dyDescent="0.25"/>
    <row r="178999" customFormat="1" x14ac:dyDescent="0.25"/>
    <row r="179000" customFormat="1" x14ac:dyDescent="0.25"/>
    <row r="179001" customFormat="1" x14ac:dyDescent="0.25"/>
    <row r="179002" customFormat="1" x14ac:dyDescent="0.25"/>
    <row r="179003" customFormat="1" x14ac:dyDescent="0.25"/>
    <row r="179004" customFormat="1" x14ac:dyDescent="0.25"/>
    <row r="179005" customFormat="1" x14ac:dyDescent="0.25"/>
    <row r="179006" customFormat="1" x14ac:dyDescent="0.25"/>
    <row r="179007" customFormat="1" x14ac:dyDescent="0.25"/>
    <row r="179008" customFormat="1" x14ac:dyDescent="0.25"/>
    <row r="179009" customFormat="1" x14ac:dyDescent="0.25"/>
    <row r="179010" customFormat="1" x14ac:dyDescent="0.25"/>
    <row r="179011" customFormat="1" x14ac:dyDescent="0.25"/>
    <row r="179012" customFormat="1" x14ac:dyDescent="0.25"/>
    <row r="179013" customFormat="1" x14ac:dyDescent="0.25"/>
    <row r="179014" customFormat="1" x14ac:dyDescent="0.25"/>
    <row r="179015" customFormat="1" x14ac:dyDescent="0.25"/>
    <row r="179016" customFormat="1" x14ac:dyDescent="0.25"/>
    <row r="179017" customFormat="1" x14ac:dyDescent="0.25"/>
    <row r="179018" customFormat="1" x14ac:dyDescent="0.25"/>
    <row r="179019" customFormat="1" x14ac:dyDescent="0.25"/>
    <row r="179020" customFormat="1" x14ac:dyDescent="0.25"/>
    <row r="179021" customFormat="1" x14ac:dyDescent="0.25"/>
    <row r="179022" customFormat="1" x14ac:dyDescent="0.25"/>
    <row r="179023" customFormat="1" x14ac:dyDescent="0.25"/>
    <row r="179024" customFormat="1" x14ac:dyDescent="0.25"/>
    <row r="179025" customFormat="1" x14ac:dyDescent="0.25"/>
    <row r="179026" customFormat="1" x14ac:dyDescent="0.25"/>
    <row r="179027" customFormat="1" x14ac:dyDescent="0.25"/>
    <row r="179028" customFormat="1" x14ac:dyDescent="0.25"/>
    <row r="179029" customFormat="1" x14ac:dyDescent="0.25"/>
    <row r="179030" customFormat="1" x14ac:dyDescent="0.25"/>
    <row r="179031" customFormat="1" x14ac:dyDescent="0.25"/>
    <row r="179032" customFormat="1" x14ac:dyDescent="0.25"/>
    <row r="179033" customFormat="1" x14ac:dyDescent="0.25"/>
    <row r="179034" customFormat="1" x14ac:dyDescent="0.25"/>
    <row r="179035" customFormat="1" x14ac:dyDescent="0.25"/>
    <row r="179036" customFormat="1" x14ac:dyDescent="0.25"/>
    <row r="179037" customFormat="1" x14ac:dyDescent="0.25"/>
    <row r="179038" customFormat="1" x14ac:dyDescent="0.25"/>
    <row r="179039" customFormat="1" x14ac:dyDescent="0.25"/>
    <row r="179040" customFormat="1" x14ac:dyDescent="0.25"/>
    <row r="179041" customFormat="1" x14ac:dyDescent="0.25"/>
    <row r="179042" customFormat="1" x14ac:dyDescent="0.25"/>
    <row r="179043" customFormat="1" x14ac:dyDescent="0.25"/>
    <row r="179044" customFormat="1" x14ac:dyDescent="0.25"/>
    <row r="179045" customFormat="1" x14ac:dyDescent="0.25"/>
    <row r="179046" customFormat="1" x14ac:dyDescent="0.25"/>
    <row r="179047" customFormat="1" x14ac:dyDescent="0.25"/>
    <row r="179048" customFormat="1" x14ac:dyDescent="0.25"/>
    <row r="179049" customFormat="1" x14ac:dyDescent="0.25"/>
    <row r="179050" customFormat="1" x14ac:dyDescent="0.25"/>
    <row r="179051" customFormat="1" x14ac:dyDescent="0.25"/>
    <row r="179052" customFormat="1" x14ac:dyDescent="0.25"/>
    <row r="179053" customFormat="1" x14ac:dyDescent="0.25"/>
    <row r="179054" customFormat="1" x14ac:dyDescent="0.25"/>
    <row r="179055" customFormat="1" x14ac:dyDescent="0.25"/>
    <row r="179056" customFormat="1" x14ac:dyDescent="0.25"/>
    <row r="179057" customFormat="1" x14ac:dyDescent="0.25"/>
    <row r="179058" customFormat="1" x14ac:dyDescent="0.25"/>
    <row r="179059" customFormat="1" x14ac:dyDescent="0.25"/>
    <row r="179060" customFormat="1" x14ac:dyDescent="0.25"/>
    <row r="179061" customFormat="1" x14ac:dyDescent="0.25"/>
    <row r="179062" customFormat="1" x14ac:dyDescent="0.25"/>
    <row r="179063" customFormat="1" x14ac:dyDescent="0.25"/>
    <row r="179064" customFormat="1" x14ac:dyDescent="0.25"/>
    <row r="179065" customFormat="1" x14ac:dyDescent="0.25"/>
    <row r="179066" customFormat="1" x14ac:dyDescent="0.25"/>
    <row r="179067" customFormat="1" x14ac:dyDescent="0.25"/>
    <row r="179068" customFormat="1" x14ac:dyDescent="0.25"/>
    <row r="179069" customFormat="1" x14ac:dyDescent="0.25"/>
    <row r="179070" customFormat="1" x14ac:dyDescent="0.25"/>
    <row r="179071" customFormat="1" x14ac:dyDescent="0.25"/>
    <row r="179072" customFormat="1" x14ac:dyDescent="0.25"/>
    <row r="179073" customFormat="1" x14ac:dyDescent="0.25"/>
    <row r="179074" customFormat="1" x14ac:dyDescent="0.25"/>
    <row r="179075" customFormat="1" x14ac:dyDescent="0.25"/>
    <row r="179076" customFormat="1" x14ac:dyDescent="0.25"/>
    <row r="179077" customFormat="1" x14ac:dyDescent="0.25"/>
    <row r="179078" customFormat="1" x14ac:dyDescent="0.25"/>
    <row r="179079" customFormat="1" x14ac:dyDescent="0.25"/>
    <row r="179080" customFormat="1" x14ac:dyDescent="0.25"/>
    <row r="179081" customFormat="1" x14ac:dyDescent="0.25"/>
    <row r="179082" customFormat="1" x14ac:dyDescent="0.25"/>
    <row r="179083" customFormat="1" x14ac:dyDescent="0.25"/>
    <row r="179084" customFormat="1" x14ac:dyDescent="0.25"/>
    <row r="179085" customFormat="1" x14ac:dyDescent="0.25"/>
    <row r="179086" customFormat="1" x14ac:dyDescent="0.25"/>
    <row r="179087" customFormat="1" x14ac:dyDescent="0.25"/>
    <row r="179088" customFormat="1" x14ac:dyDescent="0.25"/>
    <row r="179089" customFormat="1" x14ac:dyDescent="0.25"/>
    <row r="179090" customFormat="1" x14ac:dyDescent="0.25"/>
    <row r="179091" customFormat="1" x14ac:dyDescent="0.25"/>
    <row r="179092" customFormat="1" x14ac:dyDescent="0.25"/>
    <row r="179093" customFormat="1" x14ac:dyDescent="0.25"/>
    <row r="179094" customFormat="1" x14ac:dyDescent="0.25"/>
    <row r="179095" customFormat="1" x14ac:dyDescent="0.25"/>
    <row r="179096" customFormat="1" x14ac:dyDescent="0.25"/>
    <row r="179097" customFormat="1" x14ac:dyDescent="0.25"/>
    <row r="179098" customFormat="1" x14ac:dyDescent="0.25"/>
    <row r="179099" customFormat="1" x14ac:dyDescent="0.25"/>
    <row r="179100" customFormat="1" x14ac:dyDescent="0.25"/>
    <row r="179101" customFormat="1" x14ac:dyDescent="0.25"/>
    <row r="179102" customFormat="1" x14ac:dyDescent="0.25"/>
    <row r="179103" customFormat="1" x14ac:dyDescent="0.25"/>
    <row r="179104" customFormat="1" x14ac:dyDescent="0.25"/>
    <row r="179105" customFormat="1" x14ac:dyDescent="0.25"/>
    <row r="179106" customFormat="1" x14ac:dyDescent="0.25"/>
    <row r="179107" customFormat="1" x14ac:dyDescent="0.25"/>
    <row r="179108" customFormat="1" x14ac:dyDescent="0.25"/>
    <row r="179109" customFormat="1" x14ac:dyDescent="0.25"/>
    <row r="179110" customFormat="1" x14ac:dyDescent="0.25"/>
    <row r="179111" customFormat="1" x14ac:dyDescent="0.25"/>
    <row r="179112" customFormat="1" x14ac:dyDescent="0.25"/>
    <row r="179113" customFormat="1" x14ac:dyDescent="0.25"/>
    <row r="179114" customFormat="1" x14ac:dyDescent="0.25"/>
    <row r="179115" customFormat="1" x14ac:dyDescent="0.25"/>
    <row r="179116" customFormat="1" x14ac:dyDescent="0.25"/>
    <row r="179117" customFormat="1" x14ac:dyDescent="0.25"/>
    <row r="179118" customFormat="1" x14ac:dyDescent="0.25"/>
    <row r="179119" customFormat="1" x14ac:dyDescent="0.25"/>
    <row r="179120" customFormat="1" x14ac:dyDescent="0.25"/>
    <row r="179121" customFormat="1" x14ac:dyDescent="0.25"/>
    <row r="179122" customFormat="1" x14ac:dyDescent="0.25"/>
    <row r="179123" customFormat="1" x14ac:dyDescent="0.25"/>
    <row r="179124" customFormat="1" x14ac:dyDescent="0.25"/>
    <row r="179125" customFormat="1" x14ac:dyDescent="0.25"/>
    <row r="179126" customFormat="1" x14ac:dyDescent="0.25"/>
    <row r="179127" customFormat="1" x14ac:dyDescent="0.25"/>
    <row r="179128" customFormat="1" x14ac:dyDescent="0.25"/>
    <row r="179129" customFormat="1" x14ac:dyDescent="0.25"/>
    <row r="179130" customFormat="1" x14ac:dyDescent="0.25"/>
    <row r="179131" customFormat="1" x14ac:dyDescent="0.25"/>
    <row r="179132" customFormat="1" x14ac:dyDescent="0.25"/>
    <row r="179133" customFormat="1" x14ac:dyDescent="0.25"/>
    <row r="179134" customFormat="1" x14ac:dyDescent="0.25"/>
    <row r="179135" customFormat="1" x14ac:dyDescent="0.25"/>
    <row r="179136" customFormat="1" x14ac:dyDescent="0.25"/>
    <row r="179137" customFormat="1" x14ac:dyDescent="0.25"/>
    <row r="179138" customFormat="1" x14ac:dyDescent="0.25"/>
    <row r="179139" customFormat="1" x14ac:dyDescent="0.25"/>
    <row r="179140" customFormat="1" x14ac:dyDescent="0.25"/>
    <row r="179141" customFormat="1" x14ac:dyDescent="0.25"/>
    <row r="179142" customFormat="1" x14ac:dyDescent="0.25"/>
    <row r="179143" customFormat="1" x14ac:dyDescent="0.25"/>
    <row r="179144" customFormat="1" x14ac:dyDescent="0.25"/>
    <row r="179145" customFormat="1" x14ac:dyDescent="0.25"/>
    <row r="179146" customFormat="1" x14ac:dyDescent="0.25"/>
    <row r="179147" customFormat="1" x14ac:dyDescent="0.25"/>
    <row r="179148" customFormat="1" x14ac:dyDescent="0.25"/>
    <row r="179149" customFormat="1" x14ac:dyDescent="0.25"/>
    <row r="179150" customFormat="1" x14ac:dyDescent="0.25"/>
    <row r="179151" customFormat="1" x14ac:dyDescent="0.25"/>
    <row r="179152" customFormat="1" x14ac:dyDescent="0.25"/>
    <row r="179153" customFormat="1" x14ac:dyDescent="0.25"/>
    <row r="179154" customFormat="1" x14ac:dyDescent="0.25"/>
    <row r="179155" customFormat="1" x14ac:dyDescent="0.25"/>
    <row r="179156" customFormat="1" x14ac:dyDescent="0.25"/>
    <row r="179157" customFormat="1" x14ac:dyDescent="0.25"/>
    <row r="179158" customFormat="1" x14ac:dyDescent="0.25"/>
    <row r="179159" customFormat="1" x14ac:dyDescent="0.25"/>
    <row r="179160" customFormat="1" x14ac:dyDescent="0.25"/>
    <row r="179161" customFormat="1" x14ac:dyDescent="0.25"/>
    <row r="179162" customFormat="1" x14ac:dyDescent="0.25"/>
    <row r="179163" customFormat="1" x14ac:dyDescent="0.25"/>
    <row r="179164" customFormat="1" x14ac:dyDescent="0.25"/>
    <row r="179165" customFormat="1" x14ac:dyDescent="0.25"/>
    <row r="179166" customFormat="1" x14ac:dyDescent="0.25"/>
    <row r="179167" customFormat="1" x14ac:dyDescent="0.25"/>
    <row r="179168" customFormat="1" x14ac:dyDescent="0.25"/>
    <row r="179169" customFormat="1" x14ac:dyDescent="0.25"/>
    <row r="179170" customFormat="1" x14ac:dyDescent="0.25"/>
    <row r="179171" customFormat="1" x14ac:dyDescent="0.25"/>
    <row r="179172" customFormat="1" x14ac:dyDescent="0.25"/>
    <row r="179173" customFormat="1" x14ac:dyDescent="0.25"/>
    <row r="179174" customFormat="1" x14ac:dyDescent="0.25"/>
    <row r="179175" customFormat="1" x14ac:dyDescent="0.25"/>
    <row r="179176" customFormat="1" x14ac:dyDescent="0.25"/>
    <row r="179177" customFormat="1" x14ac:dyDescent="0.25"/>
    <row r="179178" customFormat="1" x14ac:dyDescent="0.25"/>
    <row r="179179" customFormat="1" x14ac:dyDescent="0.25"/>
    <row r="179180" customFormat="1" x14ac:dyDescent="0.25"/>
    <row r="179181" customFormat="1" x14ac:dyDescent="0.25"/>
    <row r="179182" customFormat="1" x14ac:dyDescent="0.25"/>
    <row r="179183" customFormat="1" x14ac:dyDescent="0.25"/>
    <row r="179184" customFormat="1" x14ac:dyDescent="0.25"/>
    <row r="179185" customFormat="1" x14ac:dyDescent="0.25"/>
    <row r="179186" customFormat="1" x14ac:dyDescent="0.25"/>
    <row r="179187" customFormat="1" x14ac:dyDescent="0.25"/>
    <row r="179188" customFormat="1" x14ac:dyDescent="0.25"/>
    <row r="179189" customFormat="1" x14ac:dyDescent="0.25"/>
    <row r="179190" customFormat="1" x14ac:dyDescent="0.25"/>
    <row r="179191" customFormat="1" x14ac:dyDescent="0.25"/>
    <row r="179192" customFormat="1" x14ac:dyDescent="0.25"/>
    <row r="179193" customFormat="1" x14ac:dyDescent="0.25"/>
    <row r="179194" customFormat="1" x14ac:dyDescent="0.25"/>
    <row r="179195" customFormat="1" x14ac:dyDescent="0.25"/>
    <row r="179196" customFormat="1" x14ac:dyDescent="0.25"/>
    <row r="179197" customFormat="1" x14ac:dyDescent="0.25"/>
    <row r="179198" customFormat="1" x14ac:dyDescent="0.25"/>
    <row r="179199" customFormat="1" x14ac:dyDescent="0.25"/>
    <row r="179200" customFormat="1" x14ac:dyDescent="0.25"/>
    <row r="179201" customFormat="1" x14ac:dyDescent="0.25"/>
    <row r="179202" customFormat="1" x14ac:dyDescent="0.25"/>
    <row r="179203" customFormat="1" x14ac:dyDescent="0.25"/>
    <row r="179204" customFormat="1" x14ac:dyDescent="0.25"/>
    <row r="179205" customFormat="1" x14ac:dyDescent="0.25"/>
    <row r="179206" customFormat="1" x14ac:dyDescent="0.25"/>
    <row r="179207" customFormat="1" x14ac:dyDescent="0.25"/>
    <row r="179208" customFormat="1" x14ac:dyDescent="0.25"/>
    <row r="179209" customFormat="1" x14ac:dyDescent="0.25"/>
    <row r="179210" customFormat="1" x14ac:dyDescent="0.25"/>
    <row r="179211" customFormat="1" x14ac:dyDescent="0.25"/>
    <row r="179212" customFormat="1" x14ac:dyDescent="0.25"/>
    <row r="179213" customFormat="1" x14ac:dyDescent="0.25"/>
    <row r="179214" customFormat="1" x14ac:dyDescent="0.25"/>
    <row r="179215" customFormat="1" x14ac:dyDescent="0.25"/>
    <row r="179216" customFormat="1" x14ac:dyDescent="0.25"/>
    <row r="179217" customFormat="1" x14ac:dyDescent="0.25"/>
    <row r="179218" customFormat="1" x14ac:dyDescent="0.25"/>
    <row r="179219" customFormat="1" x14ac:dyDescent="0.25"/>
    <row r="179220" customFormat="1" x14ac:dyDescent="0.25"/>
    <row r="179221" customFormat="1" x14ac:dyDescent="0.25"/>
    <row r="179222" customFormat="1" x14ac:dyDescent="0.25"/>
    <row r="179223" customFormat="1" x14ac:dyDescent="0.25"/>
    <row r="179224" customFormat="1" x14ac:dyDescent="0.25"/>
    <row r="179225" customFormat="1" x14ac:dyDescent="0.25"/>
    <row r="179226" customFormat="1" x14ac:dyDescent="0.25"/>
    <row r="179227" customFormat="1" x14ac:dyDescent="0.25"/>
    <row r="179228" customFormat="1" x14ac:dyDescent="0.25"/>
    <row r="179229" customFormat="1" x14ac:dyDescent="0.25"/>
    <row r="179230" customFormat="1" x14ac:dyDescent="0.25"/>
    <row r="179231" customFormat="1" x14ac:dyDescent="0.25"/>
    <row r="179232" customFormat="1" x14ac:dyDescent="0.25"/>
    <row r="179233" customFormat="1" x14ac:dyDescent="0.25"/>
    <row r="179234" customFormat="1" x14ac:dyDescent="0.25"/>
    <row r="179235" customFormat="1" x14ac:dyDescent="0.25"/>
    <row r="179236" customFormat="1" x14ac:dyDescent="0.25"/>
    <row r="179237" customFormat="1" x14ac:dyDescent="0.25"/>
    <row r="179238" customFormat="1" x14ac:dyDescent="0.25"/>
    <row r="179239" customFormat="1" x14ac:dyDescent="0.25"/>
    <row r="179240" customFormat="1" x14ac:dyDescent="0.25"/>
    <row r="179241" customFormat="1" x14ac:dyDescent="0.25"/>
    <row r="179242" customFormat="1" x14ac:dyDescent="0.25"/>
    <row r="179243" customFormat="1" x14ac:dyDescent="0.25"/>
    <row r="179244" customFormat="1" x14ac:dyDescent="0.25"/>
    <row r="179245" customFormat="1" x14ac:dyDescent="0.25"/>
    <row r="179246" customFormat="1" x14ac:dyDescent="0.25"/>
    <row r="179247" customFormat="1" x14ac:dyDescent="0.25"/>
    <row r="179248" customFormat="1" x14ac:dyDescent="0.25"/>
    <row r="179249" customFormat="1" x14ac:dyDescent="0.25"/>
    <row r="179250" customFormat="1" x14ac:dyDescent="0.25"/>
    <row r="179251" customFormat="1" x14ac:dyDescent="0.25"/>
    <row r="179252" customFormat="1" x14ac:dyDescent="0.25"/>
    <row r="179253" customFormat="1" x14ac:dyDescent="0.25"/>
    <row r="179254" customFormat="1" x14ac:dyDescent="0.25"/>
    <row r="179255" customFormat="1" x14ac:dyDescent="0.25"/>
    <row r="179256" customFormat="1" x14ac:dyDescent="0.25"/>
    <row r="179257" customFormat="1" x14ac:dyDescent="0.25"/>
    <row r="179258" customFormat="1" x14ac:dyDescent="0.25"/>
    <row r="179259" customFormat="1" x14ac:dyDescent="0.25"/>
    <row r="179260" customFormat="1" x14ac:dyDescent="0.25"/>
    <row r="179261" customFormat="1" x14ac:dyDescent="0.25"/>
    <row r="179262" customFormat="1" x14ac:dyDescent="0.25"/>
    <row r="179263" customFormat="1" x14ac:dyDescent="0.25"/>
    <row r="179264" customFormat="1" x14ac:dyDescent="0.25"/>
    <row r="179265" customFormat="1" x14ac:dyDescent="0.25"/>
    <row r="179266" customFormat="1" x14ac:dyDescent="0.25"/>
    <row r="179267" customFormat="1" x14ac:dyDescent="0.25"/>
    <row r="179268" customFormat="1" x14ac:dyDescent="0.25"/>
    <row r="179269" customFormat="1" x14ac:dyDescent="0.25"/>
    <row r="179270" customFormat="1" x14ac:dyDescent="0.25"/>
    <row r="179271" customFormat="1" x14ac:dyDescent="0.25"/>
    <row r="179272" customFormat="1" x14ac:dyDescent="0.25"/>
    <row r="179273" customFormat="1" x14ac:dyDescent="0.25"/>
    <row r="179274" customFormat="1" x14ac:dyDescent="0.25"/>
    <row r="179275" customFormat="1" x14ac:dyDescent="0.25"/>
    <row r="179276" customFormat="1" x14ac:dyDescent="0.25"/>
    <row r="179277" customFormat="1" x14ac:dyDescent="0.25"/>
    <row r="179278" customFormat="1" x14ac:dyDescent="0.25"/>
    <row r="179279" customFormat="1" x14ac:dyDescent="0.25"/>
    <row r="179280" customFormat="1" x14ac:dyDescent="0.25"/>
    <row r="179281" customFormat="1" x14ac:dyDescent="0.25"/>
    <row r="179282" customFormat="1" x14ac:dyDescent="0.25"/>
    <row r="179283" customFormat="1" x14ac:dyDescent="0.25"/>
    <row r="179284" customFormat="1" x14ac:dyDescent="0.25"/>
    <row r="179285" customFormat="1" x14ac:dyDescent="0.25"/>
    <row r="179286" customFormat="1" x14ac:dyDescent="0.25"/>
    <row r="179287" customFormat="1" x14ac:dyDescent="0.25"/>
    <row r="179288" customFormat="1" x14ac:dyDescent="0.25"/>
    <row r="179289" customFormat="1" x14ac:dyDescent="0.25"/>
    <row r="179290" customFormat="1" x14ac:dyDescent="0.25"/>
    <row r="179291" customFormat="1" x14ac:dyDescent="0.25"/>
    <row r="179292" customFormat="1" x14ac:dyDescent="0.25"/>
    <row r="179293" customFormat="1" x14ac:dyDescent="0.25"/>
    <row r="179294" customFormat="1" x14ac:dyDescent="0.25"/>
    <row r="179295" customFormat="1" x14ac:dyDescent="0.25"/>
    <row r="179296" customFormat="1" x14ac:dyDescent="0.25"/>
    <row r="179297" customFormat="1" x14ac:dyDescent="0.25"/>
    <row r="179298" customFormat="1" x14ac:dyDescent="0.25"/>
    <row r="179299" customFormat="1" x14ac:dyDescent="0.25"/>
    <row r="179300" customFormat="1" x14ac:dyDescent="0.25"/>
    <row r="179301" customFormat="1" x14ac:dyDescent="0.25"/>
    <row r="179302" customFormat="1" x14ac:dyDescent="0.25"/>
    <row r="179303" customFormat="1" x14ac:dyDescent="0.25"/>
    <row r="179304" customFormat="1" x14ac:dyDescent="0.25"/>
    <row r="179305" customFormat="1" x14ac:dyDescent="0.25"/>
    <row r="179306" customFormat="1" x14ac:dyDescent="0.25"/>
    <row r="179307" customFormat="1" x14ac:dyDescent="0.25"/>
    <row r="179308" customFormat="1" x14ac:dyDescent="0.25"/>
    <row r="179309" customFormat="1" x14ac:dyDescent="0.25"/>
    <row r="179310" customFormat="1" x14ac:dyDescent="0.25"/>
    <row r="179311" customFormat="1" x14ac:dyDescent="0.25"/>
    <row r="179312" customFormat="1" x14ac:dyDescent="0.25"/>
    <row r="179313" customFormat="1" x14ac:dyDescent="0.25"/>
    <row r="179314" customFormat="1" x14ac:dyDescent="0.25"/>
    <row r="179315" customFormat="1" x14ac:dyDescent="0.25"/>
    <row r="179316" customFormat="1" x14ac:dyDescent="0.25"/>
    <row r="179317" customFormat="1" x14ac:dyDescent="0.25"/>
    <row r="179318" customFormat="1" x14ac:dyDescent="0.25"/>
    <row r="179319" customFormat="1" x14ac:dyDescent="0.25"/>
    <row r="179320" customFormat="1" x14ac:dyDescent="0.25"/>
    <row r="179321" customFormat="1" x14ac:dyDescent="0.25"/>
    <row r="179322" customFormat="1" x14ac:dyDescent="0.25"/>
    <row r="179323" customFormat="1" x14ac:dyDescent="0.25"/>
    <row r="179324" customFormat="1" x14ac:dyDescent="0.25"/>
    <row r="179325" customFormat="1" x14ac:dyDescent="0.25"/>
    <row r="179326" customFormat="1" x14ac:dyDescent="0.25"/>
    <row r="179327" customFormat="1" x14ac:dyDescent="0.25"/>
    <row r="179328" customFormat="1" x14ac:dyDescent="0.25"/>
    <row r="179329" customFormat="1" x14ac:dyDescent="0.25"/>
    <row r="179330" customFormat="1" x14ac:dyDescent="0.25"/>
    <row r="179331" customFormat="1" x14ac:dyDescent="0.25"/>
    <row r="179332" customFormat="1" x14ac:dyDescent="0.25"/>
    <row r="179333" customFormat="1" x14ac:dyDescent="0.25"/>
    <row r="179334" customFormat="1" x14ac:dyDescent="0.25"/>
    <row r="179335" customFormat="1" x14ac:dyDescent="0.25"/>
    <row r="179336" customFormat="1" x14ac:dyDescent="0.25"/>
    <row r="179337" customFormat="1" x14ac:dyDescent="0.25"/>
    <row r="179338" customFormat="1" x14ac:dyDescent="0.25"/>
    <row r="179339" customFormat="1" x14ac:dyDescent="0.25"/>
    <row r="179340" customFormat="1" x14ac:dyDescent="0.25"/>
    <row r="179341" customFormat="1" x14ac:dyDescent="0.25"/>
    <row r="179342" customFormat="1" x14ac:dyDescent="0.25"/>
    <row r="179343" customFormat="1" x14ac:dyDescent="0.25"/>
    <row r="179344" customFormat="1" x14ac:dyDescent="0.25"/>
    <row r="179345" customFormat="1" x14ac:dyDescent="0.25"/>
    <row r="179346" customFormat="1" x14ac:dyDescent="0.25"/>
    <row r="179347" customFormat="1" x14ac:dyDescent="0.25"/>
    <row r="179348" customFormat="1" x14ac:dyDescent="0.25"/>
    <row r="179349" customFormat="1" x14ac:dyDescent="0.25"/>
    <row r="179350" customFormat="1" x14ac:dyDescent="0.25"/>
    <row r="179351" customFormat="1" x14ac:dyDescent="0.25"/>
    <row r="179352" customFormat="1" x14ac:dyDescent="0.25"/>
    <row r="179353" customFormat="1" x14ac:dyDescent="0.25"/>
    <row r="179354" customFormat="1" x14ac:dyDescent="0.25"/>
    <row r="179355" customFormat="1" x14ac:dyDescent="0.25"/>
    <row r="179356" customFormat="1" x14ac:dyDescent="0.25"/>
    <row r="179357" customFormat="1" x14ac:dyDescent="0.25"/>
    <row r="179358" customFormat="1" x14ac:dyDescent="0.25"/>
    <row r="179359" customFormat="1" x14ac:dyDescent="0.25"/>
    <row r="179360" customFormat="1" x14ac:dyDescent="0.25"/>
    <row r="179361" customFormat="1" x14ac:dyDescent="0.25"/>
    <row r="179362" customFormat="1" x14ac:dyDescent="0.25"/>
    <row r="179363" customFormat="1" x14ac:dyDescent="0.25"/>
    <row r="179364" customFormat="1" x14ac:dyDescent="0.25"/>
    <row r="179365" customFormat="1" x14ac:dyDescent="0.25"/>
    <row r="179366" customFormat="1" x14ac:dyDescent="0.25"/>
    <row r="179367" customFormat="1" x14ac:dyDescent="0.25"/>
    <row r="179368" customFormat="1" x14ac:dyDescent="0.25"/>
    <row r="179369" customFormat="1" x14ac:dyDescent="0.25"/>
    <row r="179370" customFormat="1" x14ac:dyDescent="0.25"/>
    <row r="179371" customFormat="1" x14ac:dyDescent="0.25"/>
    <row r="179372" customFormat="1" x14ac:dyDescent="0.25"/>
    <row r="179373" customFormat="1" x14ac:dyDescent="0.25"/>
    <row r="179374" customFormat="1" x14ac:dyDescent="0.25"/>
    <row r="179375" customFormat="1" x14ac:dyDescent="0.25"/>
    <row r="179376" customFormat="1" x14ac:dyDescent="0.25"/>
    <row r="179377" customFormat="1" x14ac:dyDescent="0.25"/>
    <row r="179378" customFormat="1" x14ac:dyDescent="0.25"/>
    <row r="179379" customFormat="1" x14ac:dyDescent="0.25"/>
    <row r="179380" customFormat="1" x14ac:dyDescent="0.25"/>
    <row r="179381" customFormat="1" x14ac:dyDescent="0.25"/>
    <row r="179382" customFormat="1" x14ac:dyDescent="0.25"/>
    <row r="179383" customFormat="1" x14ac:dyDescent="0.25"/>
    <row r="179384" customFormat="1" x14ac:dyDescent="0.25"/>
    <row r="179385" customFormat="1" x14ac:dyDescent="0.25"/>
    <row r="179386" customFormat="1" x14ac:dyDescent="0.25"/>
    <row r="179387" customFormat="1" x14ac:dyDescent="0.25"/>
    <row r="179388" customFormat="1" x14ac:dyDescent="0.25"/>
    <row r="179389" customFormat="1" x14ac:dyDescent="0.25"/>
    <row r="179390" customFormat="1" x14ac:dyDescent="0.25"/>
    <row r="179391" customFormat="1" x14ac:dyDescent="0.25"/>
    <row r="179392" customFormat="1" x14ac:dyDescent="0.25"/>
    <row r="179393" customFormat="1" x14ac:dyDescent="0.25"/>
    <row r="179394" customFormat="1" x14ac:dyDescent="0.25"/>
    <row r="179395" customFormat="1" x14ac:dyDescent="0.25"/>
    <row r="179396" customFormat="1" x14ac:dyDescent="0.25"/>
    <row r="179397" customFormat="1" x14ac:dyDescent="0.25"/>
    <row r="179398" customFormat="1" x14ac:dyDescent="0.25"/>
    <row r="179399" customFormat="1" x14ac:dyDescent="0.25"/>
    <row r="179400" customFormat="1" x14ac:dyDescent="0.25"/>
    <row r="179401" customFormat="1" x14ac:dyDescent="0.25"/>
    <row r="179402" customFormat="1" x14ac:dyDescent="0.25"/>
    <row r="179403" customFormat="1" x14ac:dyDescent="0.25"/>
    <row r="179404" customFormat="1" x14ac:dyDescent="0.25"/>
    <row r="179405" customFormat="1" x14ac:dyDescent="0.25"/>
    <row r="179406" customFormat="1" x14ac:dyDescent="0.25"/>
    <row r="179407" customFormat="1" x14ac:dyDescent="0.25"/>
    <row r="179408" customFormat="1" x14ac:dyDescent="0.25"/>
    <row r="179409" customFormat="1" x14ac:dyDescent="0.25"/>
    <row r="179410" customFormat="1" x14ac:dyDescent="0.25"/>
    <row r="179411" customFormat="1" x14ac:dyDescent="0.25"/>
    <row r="179412" customFormat="1" x14ac:dyDescent="0.25"/>
    <row r="179413" customFormat="1" x14ac:dyDescent="0.25"/>
    <row r="179414" customFormat="1" x14ac:dyDescent="0.25"/>
    <row r="179415" customFormat="1" x14ac:dyDescent="0.25"/>
    <row r="179416" customFormat="1" x14ac:dyDescent="0.25"/>
    <row r="179417" customFormat="1" x14ac:dyDescent="0.25"/>
    <row r="179418" customFormat="1" x14ac:dyDescent="0.25"/>
    <row r="179419" customFormat="1" x14ac:dyDescent="0.25"/>
    <row r="179420" customFormat="1" x14ac:dyDescent="0.25"/>
    <row r="179421" customFormat="1" x14ac:dyDescent="0.25"/>
    <row r="179422" customFormat="1" x14ac:dyDescent="0.25"/>
    <row r="179423" customFormat="1" x14ac:dyDescent="0.25"/>
    <row r="179424" customFormat="1" x14ac:dyDescent="0.25"/>
    <row r="179425" customFormat="1" x14ac:dyDescent="0.25"/>
    <row r="179426" customFormat="1" x14ac:dyDescent="0.25"/>
    <row r="179427" customFormat="1" x14ac:dyDescent="0.25"/>
    <row r="179428" customFormat="1" x14ac:dyDescent="0.25"/>
    <row r="179429" customFormat="1" x14ac:dyDescent="0.25"/>
    <row r="179430" customFormat="1" x14ac:dyDescent="0.25"/>
    <row r="179431" customFormat="1" x14ac:dyDescent="0.25"/>
    <row r="179432" customFormat="1" x14ac:dyDescent="0.25"/>
    <row r="179433" customFormat="1" x14ac:dyDescent="0.25"/>
    <row r="179434" customFormat="1" x14ac:dyDescent="0.25"/>
    <row r="179435" customFormat="1" x14ac:dyDescent="0.25"/>
    <row r="179436" customFormat="1" x14ac:dyDescent="0.25"/>
    <row r="179437" customFormat="1" x14ac:dyDescent="0.25"/>
    <row r="179438" customFormat="1" x14ac:dyDescent="0.25"/>
    <row r="179439" customFormat="1" x14ac:dyDescent="0.25"/>
    <row r="179440" customFormat="1" x14ac:dyDescent="0.25"/>
    <row r="179441" customFormat="1" x14ac:dyDescent="0.25"/>
    <row r="179442" customFormat="1" x14ac:dyDescent="0.25"/>
    <row r="179443" customFormat="1" x14ac:dyDescent="0.25"/>
    <row r="179444" customFormat="1" x14ac:dyDescent="0.25"/>
    <row r="179445" customFormat="1" x14ac:dyDescent="0.25"/>
    <row r="179446" customFormat="1" x14ac:dyDescent="0.25"/>
    <row r="179447" customFormat="1" x14ac:dyDescent="0.25"/>
    <row r="179448" customFormat="1" x14ac:dyDescent="0.25"/>
    <row r="179449" customFormat="1" x14ac:dyDescent="0.25"/>
    <row r="179450" customFormat="1" x14ac:dyDescent="0.25"/>
    <row r="179451" customFormat="1" x14ac:dyDescent="0.25"/>
    <row r="179452" customFormat="1" x14ac:dyDescent="0.25"/>
    <row r="179453" customFormat="1" x14ac:dyDescent="0.25"/>
    <row r="179454" customFormat="1" x14ac:dyDescent="0.25"/>
    <row r="179455" customFormat="1" x14ac:dyDescent="0.25"/>
    <row r="179456" customFormat="1" x14ac:dyDescent="0.25"/>
    <row r="179457" customFormat="1" x14ac:dyDescent="0.25"/>
    <row r="179458" customFormat="1" x14ac:dyDescent="0.25"/>
    <row r="179459" customFormat="1" x14ac:dyDescent="0.25"/>
    <row r="179460" customFormat="1" x14ac:dyDescent="0.25"/>
    <row r="179461" customFormat="1" x14ac:dyDescent="0.25"/>
    <row r="179462" customFormat="1" x14ac:dyDescent="0.25"/>
    <row r="179463" customFormat="1" x14ac:dyDescent="0.25"/>
    <row r="179464" customFormat="1" x14ac:dyDescent="0.25"/>
    <row r="179465" customFormat="1" x14ac:dyDescent="0.25"/>
    <row r="179466" customFormat="1" x14ac:dyDescent="0.25"/>
    <row r="179467" customFormat="1" x14ac:dyDescent="0.25"/>
    <row r="179468" customFormat="1" x14ac:dyDescent="0.25"/>
    <row r="179469" customFormat="1" x14ac:dyDescent="0.25"/>
    <row r="179470" customFormat="1" x14ac:dyDescent="0.25"/>
    <row r="179471" customFormat="1" x14ac:dyDescent="0.25"/>
    <row r="179472" customFormat="1" x14ac:dyDescent="0.25"/>
    <row r="179473" customFormat="1" x14ac:dyDescent="0.25"/>
    <row r="179474" customFormat="1" x14ac:dyDescent="0.25"/>
    <row r="179475" customFormat="1" x14ac:dyDescent="0.25"/>
    <row r="179476" customFormat="1" x14ac:dyDescent="0.25"/>
    <row r="179477" customFormat="1" x14ac:dyDescent="0.25"/>
    <row r="179478" customFormat="1" x14ac:dyDescent="0.25"/>
    <row r="179479" customFormat="1" x14ac:dyDescent="0.25"/>
    <row r="179480" customFormat="1" x14ac:dyDescent="0.25"/>
    <row r="179481" customFormat="1" x14ac:dyDescent="0.25"/>
    <row r="179482" customFormat="1" x14ac:dyDescent="0.25"/>
    <row r="179483" customFormat="1" x14ac:dyDescent="0.25"/>
    <row r="179484" customFormat="1" x14ac:dyDescent="0.25"/>
    <row r="179485" customFormat="1" x14ac:dyDescent="0.25"/>
    <row r="179486" customFormat="1" x14ac:dyDescent="0.25"/>
    <row r="179487" customFormat="1" x14ac:dyDescent="0.25"/>
    <row r="179488" customFormat="1" x14ac:dyDescent="0.25"/>
    <row r="179489" customFormat="1" x14ac:dyDescent="0.25"/>
    <row r="179490" customFormat="1" x14ac:dyDescent="0.25"/>
    <row r="179491" customFormat="1" x14ac:dyDescent="0.25"/>
    <row r="179492" customFormat="1" x14ac:dyDescent="0.25"/>
    <row r="179493" customFormat="1" x14ac:dyDescent="0.25"/>
    <row r="179494" customFormat="1" x14ac:dyDescent="0.25"/>
    <row r="179495" customFormat="1" x14ac:dyDescent="0.25"/>
    <row r="179496" customFormat="1" x14ac:dyDescent="0.25"/>
    <row r="179497" customFormat="1" x14ac:dyDescent="0.25"/>
    <row r="179498" customFormat="1" x14ac:dyDescent="0.25"/>
    <row r="179499" customFormat="1" x14ac:dyDescent="0.25"/>
    <row r="179500" customFormat="1" x14ac:dyDescent="0.25"/>
    <row r="179501" customFormat="1" x14ac:dyDescent="0.25"/>
    <row r="179502" customFormat="1" x14ac:dyDescent="0.25"/>
    <row r="179503" customFormat="1" x14ac:dyDescent="0.25"/>
    <row r="179504" customFormat="1" x14ac:dyDescent="0.25"/>
    <row r="179505" customFormat="1" x14ac:dyDescent="0.25"/>
    <row r="179506" customFormat="1" x14ac:dyDescent="0.25"/>
    <row r="179507" customFormat="1" x14ac:dyDescent="0.25"/>
    <row r="179508" customFormat="1" x14ac:dyDescent="0.25"/>
    <row r="179509" customFormat="1" x14ac:dyDescent="0.25"/>
    <row r="179510" customFormat="1" x14ac:dyDescent="0.25"/>
    <row r="179511" customFormat="1" x14ac:dyDescent="0.25"/>
    <row r="179512" customFormat="1" x14ac:dyDescent="0.25"/>
    <row r="179513" customFormat="1" x14ac:dyDescent="0.25"/>
    <row r="179514" customFormat="1" x14ac:dyDescent="0.25"/>
    <row r="179515" customFormat="1" x14ac:dyDescent="0.25"/>
    <row r="179516" customFormat="1" x14ac:dyDescent="0.25"/>
    <row r="179517" customFormat="1" x14ac:dyDescent="0.25"/>
    <row r="179518" customFormat="1" x14ac:dyDescent="0.25"/>
    <row r="179519" customFormat="1" x14ac:dyDescent="0.25"/>
    <row r="179520" customFormat="1" x14ac:dyDescent="0.25"/>
    <row r="179521" customFormat="1" x14ac:dyDescent="0.25"/>
    <row r="179522" customFormat="1" x14ac:dyDescent="0.25"/>
    <row r="179523" customFormat="1" x14ac:dyDescent="0.25"/>
    <row r="179524" customFormat="1" x14ac:dyDescent="0.25"/>
    <row r="179525" customFormat="1" x14ac:dyDescent="0.25"/>
    <row r="179526" customFormat="1" x14ac:dyDescent="0.25"/>
    <row r="179527" customFormat="1" x14ac:dyDescent="0.25"/>
    <row r="179528" customFormat="1" x14ac:dyDescent="0.25"/>
    <row r="179529" customFormat="1" x14ac:dyDescent="0.25"/>
    <row r="179530" customFormat="1" x14ac:dyDescent="0.25"/>
    <row r="179531" customFormat="1" x14ac:dyDescent="0.25"/>
    <row r="179532" customFormat="1" x14ac:dyDescent="0.25"/>
    <row r="179533" customFormat="1" x14ac:dyDescent="0.25"/>
    <row r="179534" customFormat="1" x14ac:dyDescent="0.25"/>
    <row r="179535" customFormat="1" x14ac:dyDescent="0.25"/>
    <row r="179536" customFormat="1" x14ac:dyDescent="0.25"/>
    <row r="179537" customFormat="1" x14ac:dyDescent="0.25"/>
    <row r="179538" customFormat="1" x14ac:dyDescent="0.25"/>
    <row r="179539" customFormat="1" x14ac:dyDescent="0.25"/>
    <row r="179540" customFormat="1" x14ac:dyDescent="0.25"/>
    <row r="179541" customFormat="1" x14ac:dyDescent="0.25"/>
    <row r="179542" customFormat="1" x14ac:dyDescent="0.25"/>
    <row r="179543" customFormat="1" x14ac:dyDescent="0.25"/>
    <row r="179544" customFormat="1" x14ac:dyDescent="0.25"/>
    <row r="179545" customFormat="1" x14ac:dyDescent="0.25"/>
    <row r="179546" customFormat="1" x14ac:dyDescent="0.25"/>
    <row r="179547" customFormat="1" x14ac:dyDescent="0.25"/>
    <row r="179548" customFormat="1" x14ac:dyDescent="0.25"/>
    <row r="179549" customFormat="1" x14ac:dyDescent="0.25"/>
    <row r="179550" customFormat="1" x14ac:dyDescent="0.25"/>
    <row r="179551" customFormat="1" x14ac:dyDescent="0.25"/>
    <row r="179552" customFormat="1" x14ac:dyDescent="0.25"/>
    <row r="179553" customFormat="1" x14ac:dyDescent="0.25"/>
    <row r="179554" customFormat="1" x14ac:dyDescent="0.25"/>
    <row r="179555" customFormat="1" x14ac:dyDescent="0.25"/>
    <row r="179556" customFormat="1" x14ac:dyDescent="0.25"/>
    <row r="179557" customFormat="1" x14ac:dyDescent="0.25"/>
    <row r="179558" customFormat="1" x14ac:dyDescent="0.25"/>
    <row r="179559" customFormat="1" x14ac:dyDescent="0.25"/>
    <row r="179560" customFormat="1" x14ac:dyDescent="0.25"/>
    <row r="179561" customFormat="1" x14ac:dyDescent="0.25"/>
    <row r="179562" customFormat="1" x14ac:dyDescent="0.25"/>
    <row r="179563" customFormat="1" x14ac:dyDescent="0.25"/>
    <row r="179564" customFormat="1" x14ac:dyDescent="0.25"/>
    <row r="179565" customFormat="1" x14ac:dyDescent="0.25"/>
    <row r="179566" customFormat="1" x14ac:dyDescent="0.25"/>
    <row r="179567" customFormat="1" x14ac:dyDescent="0.25"/>
    <row r="179568" customFormat="1" x14ac:dyDescent="0.25"/>
    <row r="179569" customFormat="1" x14ac:dyDescent="0.25"/>
    <row r="179570" customFormat="1" x14ac:dyDescent="0.25"/>
    <row r="179571" customFormat="1" x14ac:dyDescent="0.25"/>
    <row r="179572" customFormat="1" x14ac:dyDescent="0.25"/>
    <row r="179573" customFormat="1" x14ac:dyDescent="0.25"/>
    <row r="179574" customFormat="1" x14ac:dyDescent="0.25"/>
    <row r="179575" customFormat="1" x14ac:dyDescent="0.25"/>
    <row r="179576" customFormat="1" x14ac:dyDescent="0.25"/>
    <row r="179577" customFormat="1" x14ac:dyDescent="0.25"/>
    <row r="179578" customFormat="1" x14ac:dyDescent="0.25"/>
    <row r="179579" customFormat="1" x14ac:dyDescent="0.25"/>
    <row r="179580" customFormat="1" x14ac:dyDescent="0.25"/>
    <row r="179581" customFormat="1" x14ac:dyDescent="0.25"/>
    <row r="179582" customFormat="1" x14ac:dyDescent="0.25"/>
    <row r="179583" customFormat="1" x14ac:dyDescent="0.25"/>
    <row r="179584" customFormat="1" x14ac:dyDescent="0.25"/>
    <row r="179585" customFormat="1" x14ac:dyDescent="0.25"/>
    <row r="179586" customFormat="1" x14ac:dyDescent="0.25"/>
    <row r="179587" customFormat="1" x14ac:dyDescent="0.25"/>
    <row r="179588" customFormat="1" x14ac:dyDescent="0.25"/>
    <row r="179589" customFormat="1" x14ac:dyDescent="0.25"/>
    <row r="179590" customFormat="1" x14ac:dyDescent="0.25"/>
    <row r="179591" customFormat="1" x14ac:dyDescent="0.25"/>
    <row r="179592" customFormat="1" x14ac:dyDescent="0.25"/>
    <row r="179593" customFormat="1" x14ac:dyDescent="0.25"/>
    <row r="179594" customFormat="1" x14ac:dyDescent="0.25"/>
    <row r="179595" customFormat="1" x14ac:dyDescent="0.25"/>
    <row r="179596" customFormat="1" x14ac:dyDescent="0.25"/>
    <row r="179597" customFormat="1" x14ac:dyDescent="0.25"/>
    <row r="179598" customFormat="1" x14ac:dyDescent="0.25"/>
    <row r="179599" customFormat="1" x14ac:dyDescent="0.25"/>
    <row r="179600" customFormat="1" x14ac:dyDescent="0.25"/>
    <row r="179601" customFormat="1" x14ac:dyDescent="0.25"/>
    <row r="179602" customFormat="1" x14ac:dyDescent="0.25"/>
    <row r="179603" customFormat="1" x14ac:dyDescent="0.25"/>
    <row r="179604" customFormat="1" x14ac:dyDescent="0.25"/>
    <row r="179605" customFormat="1" x14ac:dyDescent="0.25"/>
    <row r="179606" customFormat="1" x14ac:dyDescent="0.25"/>
    <row r="179607" customFormat="1" x14ac:dyDescent="0.25"/>
    <row r="179608" customFormat="1" x14ac:dyDescent="0.25"/>
    <row r="179609" customFormat="1" x14ac:dyDescent="0.25"/>
    <row r="179610" customFormat="1" x14ac:dyDescent="0.25"/>
    <row r="179611" customFormat="1" x14ac:dyDescent="0.25"/>
    <row r="179612" customFormat="1" x14ac:dyDescent="0.25"/>
    <row r="179613" customFormat="1" x14ac:dyDescent="0.25"/>
    <row r="179614" customFormat="1" x14ac:dyDescent="0.25"/>
    <row r="179615" customFormat="1" x14ac:dyDescent="0.25"/>
    <row r="179616" customFormat="1" x14ac:dyDescent="0.25"/>
    <row r="179617" customFormat="1" x14ac:dyDescent="0.25"/>
    <row r="179618" customFormat="1" x14ac:dyDescent="0.25"/>
    <row r="179619" customFormat="1" x14ac:dyDescent="0.25"/>
    <row r="179620" customFormat="1" x14ac:dyDescent="0.25"/>
    <row r="179621" customFormat="1" x14ac:dyDescent="0.25"/>
    <row r="179622" customFormat="1" x14ac:dyDescent="0.25"/>
    <row r="179623" customFormat="1" x14ac:dyDescent="0.25"/>
    <row r="179624" customFormat="1" x14ac:dyDescent="0.25"/>
    <row r="179625" customFormat="1" x14ac:dyDescent="0.25"/>
    <row r="179626" customFormat="1" x14ac:dyDescent="0.25"/>
    <row r="179627" customFormat="1" x14ac:dyDescent="0.25"/>
    <row r="179628" customFormat="1" x14ac:dyDescent="0.25"/>
    <row r="179629" customFormat="1" x14ac:dyDescent="0.25"/>
    <row r="179630" customFormat="1" x14ac:dyDescent="0.25"/>
    <row r="179631" customFormat="1" x14ac:dyDescent="0.25"/>
    <row r="179632" customFormat="1" x14ac:dyDescent="0.25"/>
    <row r="179633" customFormat="1" x14ac:dyDescent="0.25"/>
    <row r="179634" customFormat="1" x14ac:dyDescent="0.25"/>
    <row r="179635" customFormat="1" x14ac:dyDescent="0.25"/>
    <row r="179636" customFormat="1" x14ac:dyDescent="0.25"/>
    <row r="179637" customFormat="1" x14ac:dyDescent="0.25"/>
    <row r="179638" customFormat="1" x14ac:dyDescent="0.25"/>
    <row r="179639" customFormat="1" x14ac:dyDescent="0.25"/>
    <row r="179640" customFormat="1" x14ac:dyDescent="0.25"/>
    <row r="179641" customFormat="1" x14ac:dyDescent="0.25"/>
    <row r="179642" customFormat="1" x14ac:dyDescent="0.25"/>
    <row r="179643" customFormat="1" x14ac:dyDescent="0.25"/>
    <row r="179644" customFormat="1" x14ac:dyDescent="0.25"/>
    <row r="179645" customFormat="1" x14ac:dyDescent="0.25"/>
    <row r="179646" customFormat="1" x14ac:dyDescent="0.25"/>
    <row r="179647" customFormat="1" x14ac:dyDescent="0.25"/>
    <row r="179648" customFormat="1" x14ac:dyDescent="0.25"/>
    <row r="179649" customFormat="1" x14ac:dyDescent="0.25"/>
    <row r="179650" customFormat="1" x14ac:dyDescent="0.25"/>
    <row r="179651" customFormat="1" x14ac:dyDescent="0.25"/>
    <row r="179652" customFormat="1" x14ac:dyDescent="0.25"/>
    <row r="179653" customFormat="1" x14ac:dyDescent="0.25"/>
    <row r="179654" customFormat="1" x14ac:dyDescent="0.25"/>
    <row r="179655" customFormat="1" x14ac:dyDescent="0.25"/>
    <row r="179656" customFormat="1" x14ac:dyDescent="0.25"/>
    <row r="179657" customFormat="1" x14ac:dyDescent="0.25"/>
    <row r="179658" customFormat="1" x14ac:dyDescent="0.25"/>
    <row r="179659" customFormat="1" x14ac:dyDescent="0.25"/>
    <row r="179660" customFormat="1" x14ac:dyDescent="0.25"/>
    <row r="179661" customFormat="1" x14ac:dyDescent="0.25"/>
    <row r="179662" customFormat="1" x14ac:dyDescent="0.25"/>
    <row r="179663" customFormat="1" x14ac:dyDescent="0.25"/>
    <row r="179664" customFormat="1" x14ac:dyDescent="0.25"/>
    <row r="179665" customFormat="1" x14ac:dyDescent="0.25"/>
    <row r="179666" customFormat="1" x14ac:dyDescent="0.25"/>
    <row r="179667" customFormat="1" x14ac:dyDescent="0.25"/>
    <row r="179668" customFormat="1" x14ac:dyDescent="0.25"/>
    <row r="179669" customFormat="1" x14ac:dyDescent="0.25"/>
    <row r="179670" customFormat="1" x14ac:dyDescent="0.25"/>
    <row r="179671" customFormat="1" x14ac:dyDescent="0.25"/>
    <row r="179672" customFormat="1" x14ac:dyDescent="0.25"/>
    <row r="179673" customFormat="1" x14ac:dyDescent="0.25"/>
    <row r="179674" customFormat="1" x14ac:dyDescent="0.25"/>
    <row r="179675" customFormat="1" x14ac:dyDescent="0.25"/>
    <row r="179676" customFormat="1" x14ac:dyDescent="0.25"/>
    <row r="179677" customFormat="1" x14ac:dyDescent="0.25"/>
    <row r="179678" customFormat="1" x14ac:dyDescent="0.25"/>
    <row r="179679" customFormat="1" x14ac:dyDescent="0.25"/>
    <row r="179680" customFormat="1" x14ac:dyDescent="0.25"/>
    <row r="179681" customFormat="1" x14ac:dyDescent="0.25"/>
    <row r="179682" customFormat="1" x14ac:dyDescent="0.25"/>
    <row r="179683" customFormat="1" x14ac:dyDescent="0.25"/>
    <row r="179684" customFormat="1" x14ac:dyDescent="0.25"/>
    <row r="179685" customFormat="1" x14ac:dyDescent="0.25"/>
    <row r="179686" customFormat="1" x14ac:dyDescent="0.25"/>
    <row r="179687" customFormat="1" x14ac:dyDescent="0.25"/>
    <row r="179688" customFormat="1" x14ac:dyDescent="0.25"/>
    <row r="179689" customFormat="1" x14ac:dyDescent="0.25"/>
    <row r="179690" customFormat="1" x14ac:dyDescent="0.25"/>
    <row r="179691" customFormat="1" x14ac:dyDescent="0.25"/>
    <row r="179692" customFormat="1" x14ac:dyDescent="0.25"/>
    <row r="179693" customFormat="1" x14ac:dyDescent="0.25"/>
    <row r="179694" customFormat="1" x14ac:dyDescent="0.25"/>
    <row r="179695" customFormat="1" x14ac:dyDescent="0.25"/>
    <row r="179696" customFormat="1" x14ac:dyDescent="0.25"/>
    <row r="179697" customFormat="1" x14ac:dyDescent="0.25"/>
    <row r="179698" customFormat="1" x14ac:dyDescent="0.25"/>
    <row r="179699" customFormat="1" x14ac:dyDescent="0.25"/>
    <row r="179700" customFormat="1" x14ac:dyDescent="0.25"/>
    <row r="179701" customFormat="1" x14ac:dyDescent="0.25"/>
    <row r="179702" customFormat="1" x14ac:dyDescent="0.25"/>
    <row r="179703" customFormat="1" x14ac:dyDescent="0.25"/>
    <row r="179704" customFormat="1" x14ac:dyDescent="0.25"/>
    <row r="179705" customFormat="1" x14ac:dyDescent="0.25"/>
    <row r="179706" customFormat="1" x14ac:dyDescent="0.25"/>
    <row r="179707" customFormat="1" x14ac:dyDescent="0.25"/>
    <row r="179708" customFormat="1" x14ac:dyDescent="0.25"/>
    <row r="179709" customFormat="1" x14ac:dyDescent="0.25"/>
    <row r="179710" customFormat="1" x14ac:dyDescent="0.25"/>
    <row r="179711" customFormat="1" x14ac:dyDescent="0.25"/>
    <row r="179712" customFormat="1" x14ac:dyDescent="0.25"/>
    <row r="179713" customFormat="1" x14ac:dyDescent="0.25"/>
    <row r="179714" customFormat="1" x14ac:dyDescent="0.25"/>
    <row r="179715" customFormat="1" x14ac:dyDescent="0.25"/>
    <row r="179716" customFormat="1" x14ac:dyDescent="0.25"/>
    <row r="179717" customFormat="1" x14ac:dyDescent="0.25"/>
    <row r="179718" customFormat="1" x14ac:dyDescent="0.25"/>
    <row r="179719" customFormat="1" x14ac:dyDescent="0.25"/>
    <row r="179720" customFormat="1" x14ac:dyDescent="0.25"/>
    <row r="179721" customFormat="1" x14ac:dyDescent="0.25"/>
    <row r="179722" customFormat="1" x14ac:dyDescent="0.25"/>
    <row r="179723" customFormat="1" x14ac:dyDescent="0.25"/>
    <row r="179724" customFormat="1" x14ac:dyDescent="0.25"/>
    <row r="179725" customFormat="1" x14ac:dyDescent="0.25"/>
    <row r="179726" customFormat="1" x14ac:dyDescent="0.25"/>
    <row r="179727" customFormat="1" x14ac:dyDescent="0.25"/>
    <row r="179728" customFormat="1" x14ac:dyDescent="0.25"/>
    <row r="179729" customFormat="1" x14ac:dyDescent="0.25"/>
    <row r="179730" customFormat="1" x14ac:dyDescent="0.25"/>
    <row r="179731" customFormat="1" x14ac:dyDescent="0.25"/>
    <row r="179732" customFormat="1" x14ac:dyDescent="0.25"/>
    <row r="179733" customFormat="1" x14ac:dyDescent="0.25"/>
    <row r="179734" customFormat="1" x14ac:dyDescent="0.25"/>
    <row r="179735" customFormat="1" x14ac:dyDescent="0.25"/>
    <row r="179736" customFormat="1" x14ac:dyDescent="0.25"/>
    <row r="179737" customFormat="1" x14ac:dyDescent="0.25"/>
    <row r="179738" customFormat="1" x14ac:dyDescent="0.25"/>
    <row r="179739" customFormat="1" x14ac:dyDescent="0.25"/>
    <row r="179740" customFormat="1" x14ac:dyDescent="0.25"/>
    <row r="179741" customFormat="1" x14ac:dyDescent="0.25"/>
    <row r="179742" customFormat="1" x14ac:dyDescent="0.25"/>
    <row r="179743" customFormat="1" x14ac:dyDescent="0.25"/>
    <row r="179744" customFormat="1" x14ac:dyDescent="0.25"/>
    <row r="179745" customFormat="1" x14ac:dyDescent="0.25"/>
    <row r="179746" customFormat="1" x14ac:dyDescent="0.25"/>
    <row r="179747" customFormat="1" x14ac:dyDescent="0.25"/>
    <row r="179748" customFormat="1" x14ac:dyDescent="0.25"/>
    <row r="179749" customFormat="1" x14ac:dyDescent="0.25"/>
    <row r="179750" customFormat="1" x14ac:dyDescent="0.25"/>
    <row r="179751" customFormat="1" x14ac:dyDescent="0.25"/>
    <row r="179752" customFormat="1" x14ac:dyDescent="0.25"/>
    <row r="179753" customFormat="1" x14ac:dyDescent="0.25"/>
    <row r="179754" customFormat="1" x14ac:dyDescent="0.25"/>
    <row r="179755" customFormat="1" x14ac:dyDescent="0.25"/>
    <row r="179756" customFormat="1" x14ac:dyDescent="0.25"/>
    <row r="179757" customFormat="1" x14ac:dyDescent="0.25"/>
    <row r="179758" customFormat="1" x14ac:dyDescent="0.25"/>
    <row r="179759" customFormat="1" x14ac:dyDescent="0.25"/>
    <row r="179760" customFormat="1" x14ac:dyDescent="0.25"/>
    <row r="179761" customFormat="1" x14ac:dyDescent="0.25"/>
    <row r="179762" customFormat="1" x14ac:dyDescent="0.25"/>
    <row r="179763" customFormat="1" x14ac:dyDescent="0.25"/>
    <row r="179764" customFormat="1" x14ac:dyDescent="0.25"/>
    <row r="179765" customFormat="1" x14ac:dyDescent="0.25"/>
    <row r="179766" customFormat="1" x14ac:dyDescent="0.25"/>
    <row r="179767" customFormat="1" x14ac:dyDescent="0.25"/>
    <row r="179768" customFormat="1" x14ac:dyDescent="0.25"/>
    <row r="179769" customFormat="1" x14ac:dyDescent="0.25"/>
    <row r="179770" customFormat="1" x14ac:dyDescent="0.25"/>
    <row r="179771" customFormat="1" x14ac:dyDescent="0.25"/>
    <row r="179772" customFormat="1" x14ac:dyDescent="0.25"/>
    <row r="179773" customFormat="1" x14ac:dyDescent="0.25"/>
    <row r="179774" customFormat="1" x14ac:dyDescent="0.25"/>
    <row r="179775" customFormat="1" x14ac:dyDescent="0.25"/>
    <row r="179776" customFormat="1" x14ac:dyDescent="0.25"/>
    <row r="179777" customFormat="1" x14ac:dyDescent="0.25"/>
    <row r="179778" customFormat="1" x14ac:dyDescent="0.25"/>
    <row r="179779" customFormat="1" x14ac:dyDescent="0.25"/>
    <row r="179780" customFormat="1" x14ac:dyDescent="0.25"/>
    <row r="179781" customFormat="1" x14ac:dyDescent="0.25"/>
    <row r="179782" customFormat="1" x14ac:dyDescent="0.25"/>
    <row r="179783" customFormat="1" x14ac:dyDescent="0.25"/>
    <row r="179784" customFormat="1" x14ac:dyDescent="0.25"/>
    <row r="179785" customFormat="1" x14ac:dyDescent="0.25"/>
    <row r="179786" customFormat="1" x14ac:dyDescent="0.25"/>
    <row r="179787" customFormat="1" x14ac:dyDescent="0.25"/>
    <row r="179788" customFormat="1" x14ac:dyDescent="0.25"/>
    <row r="179789" customFormat="1" x14ac:dyDescent="0.25"/>
    <row r="179790" customFormat="1" x14ac:dyDescent="0.25"/>
    <row r="179791" customFormat="1" x14ac:dyDescent="0.25"/>
    <row r="179792" customFormat="1" x14ac:dyDescent="0.25"/>
    <row r="179793" customFormat="1" x14ac:dyDescent="0.25"/>
    <row r="179794" customFormat="1" x14ac:dyDescent="0.25"/>
    <row r="179795" customFormat="1" x14ac:dyDescent="0.25"/>
    <row r="179796" customFormat="1" x14ac:dyDescent="0.25"/>
    <row r="179797" customFormat="1" x14ac:dyDescent="0.25"/>
    <row r="179798" customFormat="1" x14ac:dyDescent="0.25"/>
    <row r="179799" customFormat="1" x14ac:dyDescent="0.25"/>
    <row r="179800" customFormat="1" x14ac:dyDescent="0.25"/>
    <row r="179801" customFormat="1" x14ac:dyDescent="0.25"/>
    <row r="179802" customFormat="1" x14ac:dyDescent="0.25"/>
    <row r="179803" customFormat="1" x14ac:dyDescent="0.25"/>
    <row r="179804" customFormat="1" x14ac:dyDescent="0.25"/>
    <row r="179805" customFormat="1" x14ac:dyDescent="0.25"/>
    <row r="179806" customFormat="1" x14ac:dyDescent="0.25"/>
    <row r="179807" customFormat="1" x14ac:dyDescent="0.25"/>
    <row r="179808" customFormat="1" x14ac:dyDescent="0.25"/>
    <row r="179809" customFormat="1" x14ac:dyDescent="0.25"/>
    <row r="179810" customFormat="1" x14ac:dyDescent="0.25"/>
    <row r="179811" customFormat="1" x14ac:dyDescent="0.25"/>
    <row r="179812" customFormat="1" x14ac:dyDescent="0.25"/>
    <row r="179813" customFormat="1" x14ac:dyDescent="0.25"/>
    <row r="179814" customFormat="1" x14ac:dyDescent="0.25"/>
    <row r="179815" customFormat="1" x14ac:dyDescent="0.25"/>
    <row r="179816" customFormat="1" x14ac:dyDescent="0.25"/>
    <row r="179817" customFormat="1" x14ac:dyDescent="0.25"/>
    <row r="179818" customFormat="1" x14ac:dyDescent="0.25"/>
    <row r="179819" customFormat="1" x14ac:dyDescent="0.25"/>
    <row r="179820" customFormat="1" x14ac:dyDescent="0.25"/>
    <row r="179821" customFormat="1" x14ac:dyDescent="0.25"/>
    <row r="179822" customFormat="1" x14ac:dyDescent="0.25"/>
    <row r="179823" customFormat="1" x14ac:dyDescent="0.25"/>
    <row r="179824" customFormat="1" x14ac:dyDescent="0.25"/>
    <row r="179825" customFormat="1" x14ac:dyDescent="0.25"/>
    <row r="179826" customFormat="1" x14ac:dyDescent="0.25"/>
    <row r="179827" customFormat="1" x14ac:dyDescent="0.25"/>
    <row r="179828" customFormat="1" x14ac:dyDescent="0.25"/>
    <row r="179829" customFormat="1" x14ac:dyDescent="0.25"/>
    <row r="179830" customFormat="1" x14ac:dyDescent="0.25"/>
    <row r="179831" customFormat="1" x14ac:dyDescent="0.25"/>
    <row r="179832" customFormat="1" x14ac:dyDescent="0.25"/>
    <row r="179833" customFormat="1" x14ac:dyDescent="0.25"/>
    <row r="179834" customFormat="1" x14ac:dyDescent="0.25"/>
    <row r="179835" customFormat="1" x14ac:dyDescent="0.25"/>
    <row r="179836" customFormat="1" x14ac:dyDescent="0.25"/>
    <row r="179837" customFormat="1" x14ac:dyDescent="0.25"/>
    <row r="179838" customFormat="1" x14ac:dyDescent="0.25"/>
    <row r="179839" customFormat="1" x14ac:dyDescent="0.25"/>
    <row r="179840" customFormat="1" x14ac:dyDescent="0.25"/>
    <row r="179841" customFormat="1" x14ac:dyDescent="0.25"/>
    <row r="179842" customFormat="1" x14ac:dyDescent="0.25"/>
    <row r="179843" customFormat="1" x14ac:dyDescent="0.25"/>
    <row r="179844" customFormat="1" x14ac:dyDescent="0.25"/>
    <row r="179845" customFormat="1" x14ac:dyDescent="0.25"/>
    <row r="179846" customFormat="1" x14ac:dyDescent="0.25"/>
    <row r="179847" customFormat="1" x14ac:dyDescent="0.25"/>
    <row r="179848" customFormat="1" x14ac:dyDescent="0.25"/>
    <row r="179849" customFormat="1" x14ac:dyDescent="0.25"/>
    <row r="179850" customFormat="1" x14ac:dyDescent="0.25"/>
    <row r="179851" customFormat="1" x14ac:dyDescent="0.25"/>
    <row r="179852" customFormat="1" x14ac:dyDescent="0.25"/>
    <row r="179853" customFormat="1" x14ac:dyDescent="0.25"/>
    <row r="179854" customFormat="1" x14ac:dyDescent="0.25"/>
    <row r="179855" customFormat="1" x14ac:dyDescent="0.25"/>
    <row r="179856" customFormat="1" x14ac:dyDescent="0.25"/>
    <row r="179857" customFormat="1" x14ac:dyDescent="0.25"/>
    <row r="179858" customFormat="1" x14ac:dyDescent="0.25"/>
    <row r="179859" customFormat="1" x14ac:dyDescent="0.25"/>
    <row r="179860" customFormat="1" x14ac:dyDescent="0.25"/>
    <row r="179861" customFormat="1" x14ac:dyDescent="0.25"/>
    <row r="179862" customFormat="1" x14ac:dyDescent="0.25"/>
    <row r="179863" customFormat="1" x14ac:dyDescent="0.25"/>
    <row r="179864" customFormat="1" x14ac:dyDescent="0.25"/>
    <row r="179865" customFormat="1" x14ac:dyDescent="0.25"/>
    <row r="179866" customFormat="1" x14ac:dyDescent="0.25"/>
    <row r="179867" customFormat="1" x14ac:dyDescent="0.25"/>
    <row r="179868" customFormat="1" x14ac:dyDescent="0.25"/>
    <row r="179869" customFormat="1" x14ac:dyDescent="0.25"/>
    <row r="179870" customFormat="1" x14ac:dyDescent="0.25"/>
    <row r="179871" customFormat="1" x14ac:dyDescent="0.25"/>
    <row r="179872" customFormat="1" x14ac:dyDescent="0.25"/>
    <row r="179873" customFormat="1" x14ac:dyDescent="0.25"/>
    <row r="179874" customFormat="1" x14ac:dyDescent="0.25"/>
    <row r="179875" customFormat="1" x14ac:dyDescent="0.25"/>
    <row r="179876" customFormat="1" x14ac:dyDescent="0.25"/>
    <row r="179877" customFormat="1" x14ac:dyDescent="0.25"/>
    <row r="179878" customFormat="1" x14ac:dyDescent="0.25"/>
    <row r="179879" customFormat="1" x14ac:dyDescent="0.25"/>
    <row r="179880" customFormat="1" x14ac:dyDescent="0.25"/>
    <row r="179881" customFormat="1" x14ac:dyDescent="0.25"/>
    <row r="179882" customFormat="1" x14ac:dyDescent="0.25"/>
    <row r="179883" customFormat="1" x14ac:dyDescent="0.25"/>
    <row r="179884" customFormat="1" x14ac:dyDescent="0.25"/>
    <row r="179885" customFormat="1" x14ac:dyDescent="0.25"/>
    <row r="179886" customFormat="1" x14ac:dyDescent="0.25"/>
    <row r="179887" customFormat="1" x14ac:dyDescent="0.25"/>
    <row r="179888" customFormat="1" x14ac:dyDescent="0.25"/>
    <row r="179889" customFormat="1" x14ac:dyDescent="0.25"/>
    <row r="179890" customFormat="1" x14ac:dyDescent="0.25"/>
    <row r="179891" customFormat="1" x14ac:dyDescent="0.25"/>
    <row r="179892" customFormat="1" x14ac:dyDescent="0.25"/>
    <row r="179893" customFormat="1" x14ac:dyDescent="0.25"/>
    <row r="179894" customFormat="1" x14ac:dyDescent="0.25"/>
    <row r="179895" customFormat="1" x14ac:dyDescent="0.25"/>
    <row r="179896" customFormat="1" x14ac:dyDescent="0.25"/>
    <row r="179897" customFormat="1" x14ac:dyDescent="0.25"/>
    <row r="179898" customFormat="1" x14ac:dyDescent="0.25"/>
    <row r="179899" customFormat="1" x14ac:dyDescent="0.25"/>
    <row r="179900" customFormat="1" x14ac:dyDescent="0.25"/>
    <row r="179901" customFormat="1" x14ac:dyDescent="0.25"/>
    <row r="179902" customFormat="1" x14ac:dyDescent="0.25"/>
    <row r="179903" customFormat="1" x14ac:dyDescent="0.25"/>
    <row r="179904" customFormat="1" x14ac:dyDescent="0.25"/>
    <row r="179905" customFormat="1" x14ac:dyDescent="0.25"/>
    <row r="179906" customFormat="1" x14ac:dyDescent="0.25"/>
    <row r="179907" customFormat="1" x14ac:dyDescent="0.25"/>
    <row r="179908" customFormat="1" x14ac:dyDescent="0.25"/>
    <row r="179909" customFormat="1" x14ac:dyDescent="0.25"/>
    <row r="179910" customFormat="1" x14ac:dyDescent="0.25"/>
    <row r="179911" customFormat="1" x14ac:dyDescent="0.25"/>
    <row r="179912" customFormat="1" x14ac:dyDescent="0.25"/>
    <row r="179913" customFormat="1" x14ac:dyDescent="0.25"/>
    <row r="179914" customFormat="1" x14ac:dyDescent="0.25"/>
    <row r="179915" customFormat="1" x14ac:dyDescent="0.25"/>
    <row r="179916" customFormat="1" x14ac:dyDescent="0.25"/>
    <row r="179917" customFormat="1" x14ac:dyDescent="0.25"/>
    <row r="179918" customFormat="1" x14ac:dyDescent="0.25"/>
    <row r="179919" customFormat="1" x14ac:dyDescent="0.25"/>
    <row r="179920" customFormat="1" x14ac:dyDescent="0.25"/>
    <row r="179921" customFormat="1" x14ac:dyDescent="0.25"/>
    <row r="179922" customFormat="1" x14ac:dyDescent="0.25"/>
    <row r="179923" customFormat="1" x14ac:dyDescent="0.25"/>
    <row r="179924" customFormat="1" x14ac:dyDescent="0.25"/>
    <row r="179925" customFormat="1" x14ac:dyDescent="0.25"/>
    <row r="179926" customFormat="1" x14ac:dyDescent="0.25"/>
    <row r="179927" customFormat="1" x14ac:dyDescent="0.25"/>
    <row r="179928" customFormat="1" x14ac:dyDescent="0.25"/>
    <row r="179929" customFormat="1" x14ac:dyDescent="0.25"/>
    <row r="179930" customFormat="1" x14ac:dyDescent="0.25"/>
    <row r="179931" customFormat="1" x14ac:dyDescent="0.25"/>
    <row r="179932" customFormat="1" x14ac:dyDescent="0.25"/>
    <row r="179933" customFormat="1" x14ac:dyDescent="0.25"/>
    <row r="179934" customFormat="1" x14ac:dyDescent="0.25"/>
    <row r="179935" customFormat="1" x14ac:dyDescent="0.25"/>
    <row r="179936" customFormat="1" x14ac:dyDescent="0.25"/>
    <row r="179937" customFormat="1" x14ac:dyDescent="0.25"/>
    <row r="179938" customFormat="1" x14ac:dyDescent="0.25"/>
    <row r="179939" customFormat="1" x14ac:dyDescent="0.25"/>
    <row r="179940" customFormat="1" x14ac:dyDescent="0.25"/>
    <row r="179941" customFormat="1" x14ac:dyDescent="0.25"/>
    <row r="179942" customFormat="1" x14ac:dyDescent="0.25"/>
    <row r="179943" customFormat="1" x14ac:dyDescent="0.25"/>
    <row r="179944" customFormat="1" x14ac:dyDescent="0.25"/>
    <row r="179945" customFormat="1" x14ac:dyDescent="0.25"/>
    <row r="179946" customFormat="1" x14ac:dyDescent="0.25"/>
    <row r="179947" customFormat="1" x14ac:dyDescent="0.25"/>
    <row r="179948" customFormat="1" x14ac:dyDescent="0.25"/>
    <row r="179949" customFormat="1" x14ac:dyDescent="0.25"/>
    <row r="179950" customFormat="1" x14ac:dyDescent="0.25"/>
    <row r="179951" customFormat="1" x14ac:dyDescent="0.25"/>
    <row r="179952" customFormat="1" x14ac:dyDescent="0.25"/>
    <row r="179953" customFormat="1" x14ac:dyDescent="0.25"/>
    <row r="179954" customFormat="1" x14ac:dyDescent="0.25"/>
    <row r="179955" customFormat="1" x14ac:dyDescent="0.25"/>
    <row r="179956" customFormat="1" x14ac:dyDescent="0.25"/>
    <row r="179957" customFormat="1" x14ac:dyDescent="0.25"/>
    <row r="179958" customFormat="1" x14ac:dyDescent="0.25"/>
    <row r="179959" customFormat="1" x14ac:dyDescent="0.25"/>
    <row r="179960" customFormat="1" x14ac:dyDescent="0.25"/>
    <row r="179961" customFormat="1" x14ac:dyDescent="0.25"/>
    <row r="179962" customFormat="1" x14ac:dyDescent="0.25"/>
    <row r="179963" customFormat="1" x14ac:dyDescent="0.25"/>
    <row r="179964" customFormat="1" x14ac:dyDescent="0.25"/>
    <row r="179965" customFormat="1" x14ac:dyDescent="0.25"/>
    <row r="179966" customFormat="1" x14ac:dyDescent="0.25"/>
    <row r="179967" customFormat="1" x14ac:dyDescent="0.25"/>
    <row r="179968" customFormat="1" x14ac:dyDescent="0.25"/>
    <row r="179969" customFormat="1" x14ac:dyDescent="0.25"/>
    <row r="179970" customFormat="1" x14ac:dyDescent="0.25"/>
    <row r="179971" customFormat="1" x14ac:dyDescent="0.25"/>
    <row r="179972" customFormat="1" x14ac:dyDescent="0.25"/>
    <row r="179973" customFormat="1" x14ac:dyDescent="0.25"/>
    <row r="179974" customFormat="1" x14ac:dyDescent="0.25"/>
    <row r="179975" customFormat="1" x14ac:dyDescent="0.25"/>
    <row r="179976" customFormat="1" x14ac:dyDescent="0.25"/>
    <row r="179977" customFormat="1" x14ac:dyDescent="0.25"/>
    <row r="179978" customFormat="1" x14ac:dyDescent="0.25"/>
    <row r="179979" customFormat="1" x14ac:dyDescent="0.25"/>
    <row r="179980" customFormat="1" x14ac:dyDescent="0.25"/>
    <row r="179981" customFormat="1" x14ac:dyDescent="0.25"/>
    <row r="179982" customFormat="1" x14ac:dyDescent="0.25"/>
    <row r="179983" customFormat="1" x14ac:dyDescent="0.25"/>
    <row r="179984" customFormat="1" x14ac:dyDescent="0.25"/>
    <row r="179985" customFormat="1" x14ac:dyDescent="0.25"/>
    <row r="179986" customFormat="1" x14ac:dyDescent="0.25"/>
    <row r="179987" customFormat="1" x14ac:dyDescent="0.25"/>
    <row r="179988" customFormat="1" x14ac:dyDescent="0.25"/>
    <row r="179989" customFormat="1" x14ac:dyDescent="0.25"/>
    <row r="179990" customFormat="1" x14ac:dyDescent="0.25"/>
    <row r="179991" customFormat="1" x14ac:dyDescent="0.25"/>
    <row r="179992" customFormat="1" x14ac:dyDescent="0.25"/>
    <row r="179993" customFormat="1" x14ac:dyDescent="0.25"/>
    <row r="179994" customFormat="1" x14ac:dyDescent="0.25"/>
    <row r="179995" customFormat="1" x14ac:dyDescent="0.25"/>
    <row r="179996" customFormat="1" x14ac:dyDescent="0.25"/>
    <row r="179997" customFormat="1" x14ac:dyDescent="0.25"/>
    <row r="179998" customFormat="1" x14ac:dyDescent="0.25"/>
    <row r="179999" customFormat="1" x14ac:dyDescent="0.25"/>
    <row r="180000" customFormat="1" x14ac:dyDescent="0.25"/>
    <row r="180001" customFormat="1" x14ac:dyDescent="0.25"/>
    <row r="180002" customFormat="1" x14ac:dyDescent="0.25"/>
    <row r="180003" customFormat="1" x14ac:dyDescent="0.25"/>
    <row r="180004" customFormat="1" x14ac:dyDescent="0.25"/>
    <row r="180005" customFormat="1" x14ac:dyDescent="0.25"/>
    <row r="180006" customFormat="1" x14ac:dyDescent="0.25"/>
    <row r="180007" customFormat="1" x14ac:dyDescent="0.25"/>
    <row r="180008" customFormat="1" x14ac:dyDescent="0.25"/>
    <row r="180009" customFormat="1" x14ac:dyDescent="0.25"/>
    <row r="180010" customFormat="1" x14ac:dyDescent="0.25"/>
    <row r="180011" customFormat="1" x14ac:dyDescent="0.25"/>
    <row r="180012" customFormat="1" x14ac:dyDescent="0.25"/>
    <row r="180013" customFormat="1" x14ac:dyDescent="0.25"/>
    <row r="180014" customFormat="1" x14ac:dyDescent="0.25"/>
    <row r="180015" customFormat="1" x14ac:dyDescent="0.25"/>
    <row r="180016" customFormat="1" x14ac:dyDescent="0.25"/>
    <row r="180017" customFormat="1" x14ac:dyDescent="0.25"/>
    <row r="180018" customFormat="1" x14ac:dyDescent="0.25"/>
    <row r="180019" customFormat="1" x14ac:dyDescent="0.25"/>
    <row r="180020" customFormat="1" x14ac:dyDescent="0.25"/>
    <row r="180021" customFormat="1" x14ac:dyDescent="0.25"/>
    <row r="180022" customFormat="1" x14ac:dyDescent="0.25"/>
    <row r="180023" customFormat="1" x14ac:dyDescent="0.25"/>
    <row r="180024" customFormat="1" x14ac:dyDescent="0.25"/>
    <row r="180025" customFormat="1" x14ac:dyDescent="0.25"/>
    <row r="180026" customFormat="1" x14ac:dyDescent="0.25"/>
    <row r="180027" customFormat="1" x14ac:dyDescent="0.25"/>
    <row r="180028" customFormat="1" x14ac:dyDescent="0.25"/>
    <row r="180029" customFormat="1" x14ac:dyDescent="0.25"/>
    <row r="180030" customFormat="1" x14ac:dyDescent="0.25"/>
    <row r="180031" customFormat="1" x14ac:dyDescent="0.25"/>
    <row r="180032" customFormat="1" x14ac:dyDescent="0.25"/>
    <row r="180033" customFormat="1" x14ac:dyDescent="0.25"/>
    <row r="180034" customFormat="1" x14ac:dyDescent="0.25"/>
    <row r="180035" customFormat="1" x14ac:dyDescent="0.25"/>
    <row r="180036" customFormat="1" x14ac:dyDescent="0.25"/>
    <row r="180037" customFormat="1" x14ac:dyDescent="0.25"/>
    <row r="180038" customFormat="1" x14ac:dyDescent="0.25"/>
    <row r="180039" customFormat="1" x14ac:dyDescent="0.25"/>
    <row r="180040" customFormat="1" x14ac:dyDescent="0.25"/>
    <row r="180041" customFormat="1" x14ac:dyDescent="0.25"/>
    <row r="180042" customFormat="1" x14ac:dyDescent="0.25"/>
    <row r="180043" customFormat="1" x14ac:dyDescent="0.25"/>
    <row r="180044" customFormat="1" x14ac:dyDescent="0.25"/>
    <row r="180045" customFormat="1" x14ac:dyDescent="0.25"/>
    <row r="180046" customFormat="1" x14ac:dyDescent="0.25"/>
    <row r="180047" customFormat="1" x14ac:dyDescent="0.25"/>
    <row r="180048" customFormat="1" x14ac:dyDescent="0.25"/>
    <row r="180049" customFormat="1" x14ac:dyDescent="0.25"/>
    <row r="180050" customFormat="1" x14ac:dyDescent="0.25"/>
    <row r="180051" customFormat="1" x14ac:dyDescent="0.25"/>
    <row r="180052" customFormat="1" x14ac:dyDescent="0.25"/>
    <row r="180053" customFormat="1" x14ac:dyDescent="0.25"/>
    <row r="180054" customFormat="1" x14ac:dyDescent="0.25"/>
    <row r="180055" customFormat="1" x14ac:dyDescent="0.25"/>
    <row r="180056" customFormat="1" x14ac:dyDescent="0.25"/>
    <row r="180057" customFormat="1" x14ac:dyDescent="0.25"/>
    <row r="180058" customFormat="1" x14ac:dyDescent="0.25"/>
    <row r="180059" customFormat="1" x14ac:dyDescent="0.25"/>
    <row r="180060" customFormat="1" x14ac:dyDescent="0.25"/>
    <row r="180061" customFormat="1" x14ac:dyDescent="0.25"/>
    <row r="180062" customFormat="1" x14ac:dyDescent="0.25"/>
    <row r="180063" customFormat="1" x14ac:dyDescent="0.25"/>
    <row r="180064" customFormat="1" x14ac:dyDescent="0.25"/>
    <row r="180065" customFormat="1" x14ac:dyDescent="0.25"/>
    <row r="180066" customFormat="1" x14ac:dyDescent="0.25"/>
    <row r="180067" customFormat="1" x14ac:dyDescent="0.25"/>
    <row r="180068" customFormat="1" x14ac:dyDescent="0.25"/>
    <row r="180069" customFormat="1" x14ac:dyDescent="0.25"/>
    <row r="180070" customFormat="1" x14ac:dyDescent="0.25"/>
    <row r="180071" customFormat="1" x14ac:dyDescent="0.25"/>
    <row r="180072" customFormat="1" x14ac:dyDescent="0.25"/>
    <row r="180073" customFormat="1" x14ac:dyDescent="0.25"/>
    <row r="180074" customFormat="1" x14ac:dyDescent="0.25"/>
    <row r="180075" customFormat="1" x14ac:dyDescent="0.25"/>
    <row r="180076" customFormat="1" x14ac:dyDescent="0.25"/>
    <row r="180077" customFormat="1" x14ac:dyDescent="0.25"/>
    <row r="180078" customFormat="1" x14ac:dyDescent="0.25"/>
    <row r="180079" customFormat="1" x14ac:dyDescent="0.25"/>
    <row r="180080" customFormat="1" x14ac:dyDescent="0.25"/>
    <row r="180081" customFormat="1" x14ac:dyDescent="0.25"/>
    <row r="180082" customFormat="1" x14ac:dyDescent="0.25"/>
    <row r="180083" customFormat="1" x14ac:dyDescent="0.25"/>
    <row r="180084" customFormat="1" x14ac:dyDescent="0.25"/>
    <row r="180085" customFormat="1" x14ac:dyDescent="0.25"/>
    <row r="180086" customFormat="1" x14ac:dyDescent="0.25"/>
    <row r="180087" customFormat="1" x14ac:dyDescent="0.25"/>
    <row r="180088" customFormat="1" x14ac:dyDescent="0.25"/>
    <row r="180089" customFormat="1" x14ac:dyDescent="0.25"/>
    <row r="180090" customFormat="1" x14ac:dyDescent="0.25"/>
    <row r="180091" customFormat="1" x14ac:dyDescent="0.25"/>
    <row r="180092" customFormat="1" x14ac:dyDescent="0.25"/>
    <row r="180093" customFormat="1" x14ac:dyDescent="0.25"/>
    <row r="180094" customFormat="1" x14ac:dyDescent="0.25"/>
    <row r="180095" customFormat="1" x14ac:dyDescent="0.25"/>
    <row r="180096" customFormat="1" x14ac:dyDescent="0.25"/>
    <row r="180097" customFormat="1" x14ac:dyDescent="0.25"/>
    <row r="180098" customFormat="1" x14ac:dyDescent="0.25"/>
    <row r="180099" customFormat="1" x14ac:dyDescent="0.25"/>
    <row r="180100" customFormat="1" x14ac:dyDescent="0.25"/>
    <row r="180101" customFormat="1" x14ac:dyDescent="0.25"/>
    <row r="180102" customFormat="1" x14ac:dyDescent="0.25"/>
    <row r="180103" customFormat="1" x14ac:dyDescent="0.25"/>
    <row r="180104" customFormat="1" x14ac:dyDescent="0.25"/>
    <row r="180105" customFormat="1" x14ac:dyDescent="0.25"/>
    <row r="180106" customFormat="1" x14ac:dyDescent="0.25"/>
    <row r="180107" customFormat="1" x14ac:dyDescent="0.25"/>
    <row r="180108" customFormat="1" x14ac:dyDescent="0.25"/>
    <row r="180109" customFormat="1" x14ac:dyDescent="0.25"/>
    <row r="180110" customFormat="1" x14ac:dyDescent="0.25"/>
    <row r="180111" customFormat="1" x14ac:dyDescent="0.25"/>
    <row r="180112" customFormat="1" x14ac:dyDescent="0.25"/>
    <row r="180113" customFormat="1" x14ac:dyDescent="0.25"/>
    <row r="180114" customFormat="1" x14ac:dyDescent="0.25"/>
    <row r="180115" customFormat="1" x14ac:dyDescent="0.25"/>
    <row r="180116" customFormat="1" x14ac:dyDescent="0.25"/>
    <row r="180117" customFormat="1" x14ac:dyDescent="0.25"/>
    <row r="180118" customFormat="1" x14ac:dyDescent="0.25"/>
    <row r="180119" customFormat="1" x14ac:dyDescent="0.25"/>
    <row r="180120" customFormat="1" x14ac:dyDescent="0.25"/>
    <row r="180121" customFormat="1" x14ac:dyDescent="0.25"/>
    <row r="180122" customFormat="1" x14ac:dyDescent="0.25"/>
    <row r="180123" customFormat="1" x14ac:dyDescent="0.25"/>
    <row r="180124" customFormat="1" x14ac:dyDescent="0.25"/>
    <row r="180125" customFormat="1" x14ac:dyDescent="0.25"/>
    <row r="180126" customFormat="1" x14ac:dyDescent="0.25"/>
    <row r="180127" customFormat="1" x14ac:dyDescent="0.25"/>
    <row r="180128" customFormat="1" x14ac:dyDescent="0.25"/>
    <row r="180129" customFormat="1" x14ac:dyDescent="0.25"/>
    <row r="180130" customFormat="1" x14ac:dyDescent="0.25"/>
    <row r="180131" customFormat="1" x14ac:dyDescent="0.25"/>
    <row r="180132" customFormat="1" x14ac:dyDescent="0.25"/>
    <row r="180133" customFormat="1" x14ac:dyDescent="0.25"/>
    <row r="180134" customFormat="1" x14ac:dyDescent="0.25"/>
    <row r="180135" customFormat="1" x14ac:dyDescent="0.25"/>
    <row r="180136" customFormat="1" x14ac:dyDescent="0.25"/>
    <row r="180137" customFormat="1" x14ac:dyDescent="0.25"/>
    <row r="180138" customFormat="1" x14ac:dyDescent="0.25"/>
    <row r="180139" customFormat="1" x14ac:dyDescent="0.25"/>
    <row r="180140" customFormat="1" x14ac:dyDescent="0.25"/>
    <row r="180141" customFormat="1" x14ac:dyDescent="0.25"/>
    <row r="180142" customFormat="1" x14ac:dyDescent="0.25"/>
    <row r="180143" customFormat="1" x14ac:dyDescent="0.25"/>
    <row r="180144" customFormat="1" x14ac:dyDescent="0.25"/>
    <row r="180145" customFormat="1" x14ac:dyDescent="0.25"/>
    <row r="180146" customFormat="1" x14ac:dyDescent="0.25"/>
    <row r="180147" customFormat="1" x14ac:dyDescent="0.25"/>
    <row r="180148" customFormat="1" x14ac:dyDescent="0.25"/>
    <row r="180149" customFormat="1" x14ac:dyDescent="0.25"/>
    <row r="180150" customFormat="1" x14ac:dyDescent="0.25"/>
    <row r="180151" customFormat="1" x14ac:dyDescent="0.25"/>
    <row r="180152" customFormat="1" x14ac:dyDescent="0.25"/>
    <row r="180153" customFormat="1" x14ac:dyDescent="0.25"/>
    <row r="180154" customFormat="1" x14ac:dyDescent="0.25"/>
    <row r="180155" customFormat="1" x14ac:dyDescent="0.25"/>
    <row r="180156" customFormat="1" x14ac:dyDescent="0.25"/>
    <row r="180157" customFormat="1" x14ac:dyDescent="0.25"/>
    <row r="180158" customFormat="1" x14ac:dyDescent="0.25"/>
    <row r="180159" customFormat="1" x14ac:dyDescent="0.25"/>
    <row r="180160" customFormat="1" x14ac:dyDescent="0.25"/>
    <row r="180161" customFormat="1" x14ac:dyDescent="0.25"/>
    <row r="180162" customFormat="1" x14ac:dyDescent="0.25"/>
    <row r="180163" customFormat="1" x14ac:dyDescent="0.25"/>
    <row r="180164" customFormat="1" x14ac:dyDescent="0.25"/>
    <row r="180165" customFormat="1" x14ac:dyDescent="0.25"/>
    <row r="180166" customFormat="1" x14ac:dyDescent="0.25"/>
    <row r="180167" customFormat="1" x14ac:dyDescent="0.25"/>
    <row r="180168" customFormat="1" x14ac:dyDescent="0.25"/>
    <row r="180169" customFormat="1" x14ac:dyDescent="0.25"/>
    <row r="180170" customFormat="1" x14ac:dyDescent="0.25"/>
    <row r="180171" customFormat="1" x14ac:dyDescent="0.25"/>
    <row r="180172" customFormat="1" x14ac:dyDescent="0.25"/>
    <row r="180173" customFormat="1" x14ac:dyDescent="0.25"/>
    <row r="180174" customFormat="1" x14ac:dyDescent="0.25"/>
    <row r="180175" customFormat="1" x14ac:dyDescent="0.25"/>
    <row r="180176" customFormat="1" x14ac:dyDescent="0.25"/>
    <row r="180177" customFormat="1" x14ac:dyDescent="0.25"/>
    <row r="180178" customFormat="1" x14ac:dyDescent="0.25"/>
    <row r="180179" customFormat="1" x14ac:dyDescent="0.25"/>
    <row r="180180" customFormat="1" x14ac:dyDescent="0.25"/>
    <row r="180181" customFormat="1" x14ac:dyDescent="0.25"/>
    <row r="180182" customFormat="1" x14ac:dyDescent="0.25"/>
    <row r="180183" customFormat="1" x14ac:dyDescent="0.25"/>
    <row r="180184" customFormat="1" x14ac:dyDescent="0.25"/>
    <row r="180185" customFormat="1" x14ac:dyDescent="0.25"/>
    <row r="180186" customFormat="1" x14ac:dyDescent="0.25"/>
    <row r="180187" customFormat="1" x14ac:dyDescent="0.25"/>
    <row r="180188" customFormat="1" x14ac:dyDescent="0.25"/>
    <row r="180189" customFormat="1" x14ac:dyDescent="0.25"/>
    <row r="180190" customFormat="1" x14ac:dyDescent="0.25"/>
    <row r="180191" customFormat="1" x14ac:dyDescent="0.25"/>
    <row r="180192" customFormat="1" x14ac:dyDescent="0.25"/>
    <row r="180193" customFormat="1" x14ac:dyDescent="0.25"/>
    <row r="180194" customFormat="1" x14ac:dyDescent="0.25"/>
    <row r="180195" customFormat="1" x14ac:dyDescent="0.25"/>
    <row r="180196" customFormat="1" x14ac:dyDescent="0.25"/>
    <row r="180197" customFormat="1" x14ac:dyDescent="0.25"/>
    <row r="180198" customFormat="1" x14ac:dyDescent="0.25"/>
    <row r="180199" customFormat="1" x14ac:dyDescent="0.25"/>
    <row r="180200" customFormat="1" x14ac:dyDescent="0.25"/>
    <row r="180201" customFormat="1" x14ac:dyDescent="0.25"/>
    <row r="180202" customFormat="1" x14ac:dyDescent="0.25"/>
    <row r="180203" customFormat="1" x14ac:dyDescent="0.25"/>
    <row r="180204" customFormat="1" x14ac:dyDescent="0.25"/>
    <row r="180205" customFormat="1" x14ac:dyDescent="0.25"/>
    <row r="180206" customFormat="1" x14ac:dyDescent="0.25"/>
    <row r="180207" customFormat="1" x14ac:dyDescent="0.25"/>
    <row r="180208" customFormat="1" x14ac:dyDescent="0.25"/>
    <row r="180209" customFormat="1" x14ac:dyDescent="0.25"/>
    <row r="180210" customFormat="1" x14ac:dyDescent="0.25"/>
    <row r="180211" customFormat="1" x14ac:dyDescent="0.25"/>
    <row r="180212" customFormat="1" x14ac:dyDescent="0.25"/>
    <row r="180213" customFormat="1" x14ac:dyDescent="0.25"/>
    <row r="180214" customFormat="1" x14ac:dyDescent="0.25"/>
    <row r="180215" customFormat="1" x14ac:dyDescent="0.25"/>
    <row r="180216" customFormat="1" x14ac:dyDescent="0.25"/>
    <row r="180217" customFormat="1" x14ac:dyDescent="0.25"/>
    <row r="180218" customFormat="1" x14ac:dyDescent="0.25"/>
    <row r="180219" customFormat="1" x14ac:dyDescent="0.25"/>
    <row r="180220" customFormat="1" x14ac:dyDescent="0.25"/>
    <row r="180221" customFormat="1" x14ac:dyDescent="0.25"/>
    <row r="180222" customFormat="1" x14ac:dyDescent="0.25"/>
    <row r="180223" customFormat="1" x14ac:dyDescent="0.25"/>
    <row r="180224" customFormat="1" x14ac:dyDescent="0.25"/>
    <row r="180225" customFormat="1" x14ac:dyDescent="0.25"/>
    <row r="180226" customFormat="1" x14ac:dyDescent="0.25"/>
    <row r="180227" customFormat="1" x14ac:dyDescent="0.25"/>
    <row r="180228" customFormat="1" x14ac:dyDescent="0.25"/>
    <row r="180229" customFormat="1" x14ac:dyDescent="0.25"/>
    <row r="180230" customFormat="1" x14ac:dyDescent="0.25"/>
    <row r="180231" customFormat="1" x14ac:dyDescent="0.25"/>
    <row r="180232" customFormat="1" x14ac:dyDescent="0.25"/>
    <row r="180233" customFormat="1" x14ac:dyDescent="0.25"/>
    <row r="180234" customFormat="1" x14ac:dyDescent="0.25"/>
    <row r="180235" customFormat="1" x14ac:dyDescent="0.25"/>
    <row r="180236" customFormat="1" x14ac:dyDescent="0.25"/>
    <row r="180237" customFormat="1" x14ac:dyDescent="0.25"/>
    <row r="180238" customFormat="1" x14ac:dyDescent="0.25"/>
    <row r="180239" customFormat="1" x14ac:dyDescent="0.25"/>
    <row r="180240" customFormat="1" x14ac:dyDescent="0.25"/>
    <row r="180241" customFormat="1" x14ac:dyDescent="0.25"/>
    <row r="180242" customFormat="1" x14ac:dyDescent="0.25"/>
    <row r="180243" customFormat="1" x14ac:dyDescent="0.25"/>
    <row r="180244" customFormat="1" x14ac:dyDescent="0.25"/>
    <row r="180245" customFormat="1" x14ac:dyDescent="0.25"/>
    <row r="180246" customFormat="1" x14ac:dyDescent="0.25"/>
    <row r="180247" customFormat="1" x14ac:dyDescent="0.25"/>
    <row r="180248" customFormat="1" x14ac:dyDescent="0.25"/>
    <row r="180249" customFormat="1" x14ac:dyDescent="0.25"/>
    <row r="180250" customFormat="1" x14ac:dyDescent="0.25"/>
    <row r="180251" customFormat="1" x14ac:dyDescent="0.25"/>
    <row r="180252" customFormat="1" x14ac:dyDescent="0.25"/>
    <row r="180253" customFormat="1" x14ac:dyDescent="0.25"/>
    <row r="180254" customFormat="1" x14ac:dyDescent="0.25"/>
    <row r="180255" customFormat="1" x14ac:dyDescent="0.25"/>
    <row r="180256" customFormat="1" x14ac:dyDescent="0.25"/>
    <row r="180257" customFormat="1" x14ac:dyDescent="0.25"/>
    <row r="180258" customFormat="1" x14ac:dyDescent="0.25"/>
    <row r="180259" customFormat="1" x14ac:dyDescent="0.25"/>
    <row r="180260" customFormat="1" x14ac:dyDescent="0.25"/>
    <row r="180261" customFormat="1" x14ac:dyDescent="0.25"/>
    <row r="180262" customFormat="1" x14ac:dyDescent="0.25"/>
    <row r="180263" customFormat="1" x14ac:dyDescent="0.25"/>
    <row r="180264" customFormat="1" x14ac:dyDescent="0.25"/>
    <row r="180265" customFormat="1" x14ac:dyDescent="0.25"/>
    <row r="180266" customFormat="1" x14ac:dyDescent="0.25"/>
    <row r="180267" customFormat="1" x14ac:dyDescent="0.25"/>
    <row r="180268" customFormat="1" x14ac:dyDescent="0.25"/>
    <row r="180269" customFormat="1" x14ac:dyDescent="0.25"/>
    <row r="180270" customFormat="1" x14ac:dyDescent="0.25"/>
    <row r="180271" customFormat="1" x14ac:dyDescent="0.25"/>
    <row r="180272" customFormat="1" x14ac:dyDescent="0.25"/>
    <row r="180273" customFormat="1" x14ac:dyDescent="0.25"/>
    <row r="180274" customFormat="1" x14ac:dyDescent="0.25"/>
    <row r="180275" customFormat="1" x14ac:dyDescent="0.25"/>
    <row r="180276" customFormat="1" x14ac:dyDescent="0.25"/>
    <row r="180277" customFormat="1" x14ac:dyDescent="0.25"/>
    <row r="180278" customFormat="1" x14ac:dyDescent="0.25"/>
    <row r="180279" customFormat="1" x14ac:dyDescent="0.25"/>
    <row r="180280" customFormat="1" x14ac:dyDescent="0.25"/>
    <row r="180281" customFormat="1" x14ac:dyDescent="0.25"/>
    <row r="180282" customFormat="1" x14ac:dyDescent="0.25"/>
    <row r="180283" customFormat="1" x14ac:dyDescent="0.25"/>
    <row r="180284" customFormat="1" x14ac:dyDescent="0.25"/>
    <row r="180285" customFormat="1" x14ac:dyDescent="0.25"/>
    <row r="180286" customFormat="1" x14ac:dyDescent="0.25"/>
    <row r="180287" customFormat="1" x14ac:dyDescent="0.25"/>
    <row r="180288" customFormat="1" x14ac:dyDescent="0.25"/>
    <row r="180289" customFormat="1" x14ac:dyDescent="0.25"/>
    <row r="180290" customFormat="1" x14ac:dyDescent="0.25"/>
    <row r="180291" customFormat="1" x14ac:dyDescent="0.25"/>
    <row r="180292" customFormat="1" x14ac:dyDescent="0.25"/>
    <row r="180293" customFormat="1" x14ac:dyDescent="0.25"/>
    <row r="180294" customFormat="1" x14ac:dyDescent="0.25"/>
    <row r="180295" customFormat="1" x14ac:dyDescent="0.25"/>
    <row r="180296" customFormat="1" x14ac:dyDescent="0.25"/>
    <row r="180297" customFormat="1" x14ac:dyDescent="0.25"/>
    <row r="180298" customFormat="1" x14ac:dyDescent="0.25"/>
    <row r="180299" customFormat="1" x14ac:dyDescent="0.25"/>
    <row r="180300" customFormat="1" x14ac:dyDescent="0.25"/>
    <row r="180301" customFormat="1" x14ac:dyDescent="0.25"/>
    <row r="180302" customFormat="1" x14ac:dyDescent="0.25"/>
    <row r="180303" customFormat="1" x14ac:dyDescent="0.25"/>
    <row r="180304" customFormat="1" x14ac:dyDescent="0.25"/>
    <row r="180305" customFormat="1" x14ac:dyDescent="0.25"/>
    <row r="180306" customFormat="1" x14ac:dyDescent="0.25"/>
    <row r="180307" customFormat="1" x14ac:dyDescent="0.25"/>
    <row r="180308" customFormat="1" x14ac:dyDescent="0.25"/>
    <row r="180309" customFormat="1" x14ac:dyDescent="0.25"/>
    <row r="180310" customFormat="1" x14ac:dyDescent="0.25"/>
    <row r="180311" customFormat="1" x14ac:dyDescent="0.25"/>
    <row r="180312" customFormat="1" x14ac:dyDescent="0.25"/>
    <row r="180313" customFormat="1" x14ac:dyDescent="0.25"/>
    <row r="180314" customFormat="1" x14ac:dyDescent="0.25"/>
    <row r="180315" customFormat="1" x14ac:dyDescent="0.25"/>
    <row r="180316" customFormat="1" x14ac:dyDescent="0.25"/>
    <row r="180317" customFormat="1" x14ac:dyDescent="0.25"/>
    <row r="180318" customFormat="1" x14ac:dyDescent="0.25"/>
    <row r="180319" customFormat="1" x14ac:dyDescent="0.25"/>
    <row r="180320" customFormat="1" x14ac:dyDescent="0.25"/>
    <row r="180321" customFormat="1" x14ac:dyDescent="0.25"/>
    <row r="180322" customFormat="1" x14ac:dyDescent="0.25"/>
    <row r="180323" customFormat="1" x14ac:dyDescent="0.25"/>
    <row r="180324" customFormat="1" x14ac:dyDescent="0.25"/>
    <row r="180325" customFormat="1" x14ac:dyDescent="0.25"/>
    <row r="180326" customFormat="1" x14ac:dyDescent="0.25"/>
    <row r="180327" customFormat="1" x14ac:dyDescent="0.25"/>
    <row r="180328" customFormat="1" x14ac:dyDescent="0.25"/>
    <row r="180329" customFormat="1" x14ac:dyDescent="0.25"/>
    <row r="180330" customFormat="1" x14ac:dyDescent="0.25"/>
    <row r="180331" customFormat="1" x14ac:dyDescent="0.25"/>
    <row r="180332" customFormat="1" x14ac:dyDescent="0.25"/>
    <row r="180333" customFormat="1" x14ac:dyDescent="0.25"/>
    <row r="180334" customFormat="1" x14ac:dyDescent="0.25"/>
    <row r="180335" customFormat="1" x14ac:dyDescent="0.25"/>
    <row r="180336" customFormat="1" x14ac:dyDescent="0.25"/>
    <row r="180337" customFormat="1" x14ac:dyDescent="0.25"/>
    <row r="180338" customFormat="1" x14ac:dyDescent="0.25"/>
    <row r="180339" customFormat="1" x14ac:dyDescent="0.25"/>
    <row r="180340" customFormat="1" x14ac:dyDescent="0.25"/>
    <row r="180341" customFormat="1" x14ac:dyDescent="0.25"/>
    <row r="180342" customFormat="1" x14ac:dyDescent="0.25"/>
    <row r="180343" customFormat="1" x14ac:dyDescent="0.25"/>
    <row r="180344" customFormat="1" x14ac:dyDescent="0.25"/>
    <row r="180345" customFormat="1" x14ac:dyDescent="0.25"/>
    <row r="180346" customFormat="1" x14ac:dyDescent="0.25"/>
    <row r="180347" customFormat="1" x14ac:dyDescent="0.25"/>
    <row r="180348" customFormat="1" x14ac:dyDescent="0.25"/>
    <row r="180349" customFormat="1" x14ac:dyDescent="0.25"/>
    <row r="180350" customFormat="1" x14ac:dyDescent="0.25"/>
    <row r="180351" customFormat="1" x14ac:dyDescent="0.25"/>
    <row r="180352" customFormat="1" x14ac:dyDescent="0.25"/>
    <row r="180353" customFormat="1" x14ac:dyDescent="0.25"/>
    <row r="180354" customFormat="1" x14ac:dyDescent="0.25"/>
    <row r="180355" customFormat="1" x14ac:dyDescent="0.25"/>
    <row r="180356" customFormat="1" x14ac:dyDescent="0.25"/>
    <row r="180357" customFormat="1" x14ac:dyDescent="0.25"/>
    <row r="180358" customFormat="1" x14ac:dyDescent="0.25"/>
    <row r="180359" customFormat="1" x14ac:dyDescent="0.25"/>
    <row r="180360" customFormat="1" x14ac:dyDescent="0.25"/>
    <row r="180361" customFormat="1" x14ac:dyDescent="0.25"/>
    <row r="180362" customFormat="1" x14ac:dyDescent="0.25"/>
    <row r="180363" customFormat="1" x14ac:dyDescent="0.25"/>
    <row r="180364" customFormat="1" x14ac:dyDescent="0.25"/>
    <row r="180365" customFormat="1" x14ac:dyDescent="0.25"/>
    <row r="180366" customFormat="1" x14ac:dyDescent="0.25"/>
    <row r="180367" customFormat="1" x14ac:dyDescent="0.25"/>
    <row r="180368" customFormat="1" x14ac:dyDescent="0.25"/>
    <row r="180369" customFormat="1" x14ac:dyDescent="0.25"/>
    <row r="180370" customFormat="1" x14ac:dyDescent="0.25"/>
    <row r="180371" customFormat="1" x14ac:dyDescent="0.25"/>
    <row r="180372" customFormat="1" x14ac:dyDescent="0.25"/>
    <row r="180373" customFormat="1" x14ac:dyDescent="0.25"/>
    <row r="180374" customFormat="1" x14ac:dyDescent="0.25"/>
    <row r="180375" customFormat="1" x14ac:dyDescent="0.25"/>
    <row r="180376" customFormat="1" x14ac:dyDescent="0.25"/>
    <row r="180377" customFormat="1" x14ac:dyDescent="0.25"/>
    <row r="180378" customFormat="1" x14ac:dyDescent="0.25"/>
    <row r="180379" customFormat="1" x14ac:dyDescent="0.25"/>
    <row r="180380" customFormat="1" x14ac:dyDescent="0.25"/>
    <row r="180381" customFormat="1" x14ac:dyDescent="0.25"/>
    <row r="180382" customFormat="1" x14ac:dyDescent="0.25"/>
    <row r="180383" customFormat="1" x14ac:dyDescent="0.25"/>
    <row r="180384" customFormat="1" x14ac:dyDescent="0.25"/>
    <row r="180385" customFormat="1" x14ac:dyDescent="0.25"/>
    <row r="180386" customFormat="1" x14ac:dyDescent="0.25"/>
    <row r="180387" customFormat="1" x14ac:dyDescent="0.25"/>
    <row r="180388" customFormat="1" x14ac:dyDescent="0.25"/>
    <row r="180389" customFormat="1" x14ac:dyDescent="0.25"/>
    <row r="180390" customFormat="1" x14ac:dyDescent="0.25"/>
    <row r="180391" customFormat="1" x14ac:dyDescent="0.25"/>
    <row r="180392" customFormat="1" x14ac:dyDescent="0.25"/>
    <row r="180393" customFormat="1" x14ac:dyDescent="0.25"/>
    <row r="180394" customFormat="1" x14ac:dyDescent="0.25"/>
    <row r="180395" customFormat="1" x14ac:dyDescent="0.25"/>
    <row r="180396" customFormat="1" x14ac:dyDescent="0.25"/>
    <row r="180397" customFormat="1" x14ac:dyDescent="0.25"/>
    <row r="180398" customFormat="1" x14ac:dyDescent="0.25"/>
    <row r="180399" customFormat="1" x14ac:dyDescent="0.25"/>
    <row r="180400" customFormat="1" x14ac:dyDescent="0.25"/>
    <row r="180401" customFormat="1" x14ac:dyDescent="0.25"/>
    <row r="180402" customFormat="1" x14ac:dyDescent="0.25"/>
    <row r="180403" customFormat="1" x14ac:dyDescent="0.25"/>
    <row r="180404" customFormat="1" x14ac:dyDescent="0.25"/>
    <row r="180405" customFormat="1" x14ac:dyDescent="0.25"/>
    <row r="180406" customFormat="1" x14ac:dyDescent="0.25"/>
    <row r="180407" customFormat="1" x14ac:dyDescent="0.25"/>
    <row r="180408" customFormat="1" x14ac:dyDescent="0.25"/>
    <row r="180409" customFormat="1" x14ac:dyDescent="0.25"/>
    <row r="180410" customFormat="1" x14ac:dyDescent="0.25"/>
    <row r="180411" customFormat="1" x14ac:dyDescent="0.25"/>
    <row r="180412" customFormat="1" x14ac:dyDescent="0.25"/>
    <row r="180413" customFormat="1" x14ac:dyDescent="0.25"/>
    <row r="180414" customFormat="1" x14ac:dyDescent="0.25"/>
    <row r="180415" customFormat="1" x14ac:dyDescent="0.25"/>
    <row r="180416" customFormat="1" x14ac:dyDescent="0.25"/>
    <row r="180417" customFormat="1" x14ac:dyDescent="0.25"/>
    <row r="180418" customFormat="1" x14ac:dyDescent="0.25"/>
    <row r="180419" customFormat="1" x14ac:dyDescent="0.25"/>
    <row r="180420" customFormat="1" x14ac:dyDescent="0.25"/>
    <row r="180421" customFormat="1" x14ac:dyDescent="0.25"/>
    <row r="180422" customFormat="1" x14ac:dyDescent="0.25"/>
    <row r="180423" customFormat="1" x14ac:dyDescent="0.25"/>
    <row r="180424" customFormat="1" x14ac:dyDescent="0.25"/>
    <row r="180425" customFormat="1" x14ac:dyDescent="0.25"/>
    <row r="180426" customFormat="1" x14ac:dyDescent="0.25"/>
    <row r="180427" customFormat="1" x14ac:dyDescent="0.25"/>
    <row r="180428" customFormat="1" x14ac:dyDescent="0.25"/>
    <row r="180429" customFormat="1" x14ac:dyDescent="0.25"/>
    <row r="180430" customFormat="1" x14ac:dyDescent="0.25"/>
    <row r="180431" customFormat="1" x14ac:dyDescent="0.25"/>
    <row r="180432" customFormat="1" x14ac:dyDescent="0.25"/>
    <row r="180433" customFormat="1" x14ac:dyDescent="0.25"/>
    <row r="180434" customFormat="1" x14ac:dyDescent="0.25"/>
    <row r="180435" customFormat="1" x14ac:dyDescent="0.25"/>
    <row r="180436" customFormat="1" x14ac:dyDescent="0.25"/>
    <row r="180437" customFormat="1" x14ac:dyDescent="0.25"/>
    <row r="180438" customFormat="1" x14ac:dyDescent="0.25"/>
    <row r="180439" customFormat="1" x14ac:dyDescent="0.25"/>
    <row r="180440" customFormat="1" x14ac:dyDescent="0.25"/>
    <row r="180441" customFormat="1" x14ac:dyDescent="0.25"/>
    <row r="180442" customFormat="1" x14ac:dyDescent="0.25"/>
    <row r="180443" customFormat="1" x14ac:dyDescent="0.25"/>
    <row r="180444" customFormat="1" x14ac:dyDescent="0.25"/>
    <row r="180445" customFormat="1" x14ac:dyDescent="0.25"/>
    <row r="180446" customFormat="1" x14ac:dyDescent="0.25"/>
    <row r="180447" customFormat="1" x14ac:dyDescent="0.25"/>
    <row r="180448" customFormat="1" x14ac:dyDescent="0.25"/>
    <row r="180449" customFormat="1" x14ac:dyDescent="0.25"/>
    <row r="180450" customFormat="1" x14ac:dyDescent="0.25"/>
    <row r="180451" customFormat="1" x14ac:dyDescent="0.25"/>
    <row r="180452" customFormat="1" x14ac:dyDescent="0.25"/>
    <row r="180453" customFormat="1" x14ac:dyDescent="0.25"/>
    <row r="180454" customFormat="1" x14ac:dyDescent="0.25"/>
    <row r="180455" customFormat="1" x14ac:dyDescent="0.25"/>
    <row r="180456" customFormat="1" x14ac:dyDescent="0.25"/>
    <row r="180457" customFormat="1" x14ac:dyDescent="0.25"/>
    <row r="180458" customFormat="1" x14ac:dyDescent="0.25"/>
    <row r="180459" customFormat="1" x14ac:dyDescent="0.25"/>
    <row r="180460" customFormat="1" x14ac:dyDescent="0.25"/>
    <row r="180461" customFormat="1" x14ac:dyDescent="0.25"/>
    <row r="180462" customFormat="1" x14ac:dyDescent="0.25"/>
    <row r="180463" customFormat="1" x14ac:dyDescent="0.25"/>
    <row r="180464" customFormat="1" x14ac:dyDescent="0.25"/>
    <row r="180465" customFormat="1" x14ac:dyDescent="0.25"/>
    <row r="180466" customFormat="1" x14ac:dyDescent="0.25"/>
    <row r="180467" customFormat="1" x14ac:dyDescent="0.25"/>
    <row r="180468" customFormat="1" x14ac:dyDescent="0.25"/>
    <row r="180469" customFormat="1" x14ac:dyDescent="0.25"/>
    <row r="180470" customFormat="1" x14ac:dyDescent="0.25"/>
    <row r="180471" customFormat="1" x14ac:dyDescent="0.25"/>
    <row r="180472" customFormat="1" x14ac:dyDescent="0.25"/>
    <row r="180473" customFormat="1" x14ac:dyDescent="0.25"/>
    <row r="180474" customFormat="1" x14ac:dyDescent="0.25"/>
    <row r="180475" customFormat="1" x14ac:dyDescent="0.25"/>
    <row r="180476" customFormat="1" x14ac:dyDescent="0.25"/>
    <row r="180477" customFormat="1" x14ac:dyDescent="0.25"/>
    <row r="180478" customFormat="1" x14ac:dyDescent="0.25"/>
    <row r="180479" customFormat="1" x14ac:dyDescent="0.25"/>
    <row r="180480" customFormat="1" x14ac:dyDescent="0.25"/>
    <row r="180481" customFormat="1" x14ac:dyDescent="0.25"/>
    <row r="180482" customFormat="1" x14ac:dyDescent="0.25"/>
    <row r="180483" customFormat="1" x14ac:dyDescent="0.25"/>
    <row r="180484" customFormat="1" x14ac:dyDescent="0.25"/>
    <row r="180485" customFormat="1" x14ac:dyDescent="0.25"/>
    <row r="180486" customFormat="1" x14ac:dyDescent="0.25"/>
    <row r="180487" customFormat="1" x14ac:dyDescent="0.25"/>
    <row r="180488" customFormat="1" x14ac:dyDescent="0.25"/>
    <row r="180489" customFormat="1" x14ac:dyDescent="0.25"/>
    <row r="180490" customFormat="1" x14ac:dyDescent="0.25"/>
    <row r="180491" customFormat="1" x14ac:dyDescent="0.25"/>
    <row r="180492" customFormat="1" x14ac:dyDescent="0.25"/>
    <row r="180493" customFormat="1" x14ac:dyDescent="0.25"/>
    <row r="180494" customFormat="1" x14ac:dyDescent="0.25"/>
    <row r="180495" customFormat="1" x14ac:dyDescent="0.25"/>
    <row r="180496" customFormat="1" x14ac:dyDescent="0.25"/>
    <row r="180497" customFormat="1" x14ac:dyDescent="0.25"/>
    <row r="180498" customFormat="1" x14ac:dyDescent="0.25"/>
    <row r="180499" customFormat="1" x14ac:dyDescent="0.25"/>
    <row r="180500" customFormat="1" x14ac:dyDescent="0.25"/>
    <row r="180501" customFormat="1" x14ac:dyDescent="0.25"/>
    <row r="180502" customFormat="1" x14ac:dyDescent="0.25"/>
    <row r="180503" customFormat="1" x14ac:dyDescent="0.25"/>
    <row r="180504" customFormat="1" x14ac:dyDescent="0.25"/>
    <row r="180505" customFormat="1" x14ac:dyDescent="0.25"/>
    <row r="180506" customFormat="1" x14ac:dyDescent="0.25"/>
    <row r="180507" customFormat="1" x14ac:dyDescent="0.25"/>
    <row r="180508" customFormat="1" x14ac:dyDescent="0.25"/>
    <row r="180509" customFormat="1" x14ac:dyDescent="0.25"/>
    <row r="180510" customFormat="1" x14ac:dyDescent="0.25"/>
    <row r="180511" customFormat="1" x14ac:dyDescent="0.25"/>
    <row r="180512" customFormat="1" x14ac:dyDescent="0.25"/>
    <row r="180513" customFormat="1" x14ac:dyDescent="0.25"/>
    <row r="180514" customFormat="1" x14ac:dyDescent="0.25"/>
    <row r="180515" customFormat="1" x14ac:dyDescent="0.25"/>
    <row r="180516" customFormat="1" x14ac:dyDescent="0.25"/>
    <row r="180517" customFormat="1" x14ac:dyDescent="0.25"/>
    <row r="180518" customFormat="1" x14ac:dyDescent="0.25"/>
    <row r="180519" customFormat="1" x14ac:dyDescent="0.25"/>
    <row r="180520" customFormat="1" x14ac:dyDescent="0.25"/>
    <row r="180521" customFormat="1" x14ac:dyDescent="0.25"/>
    <row r="180522" customFormat="1" x14ac:dyDescent="0.25"/>
    <row r="180523" customFormat="1" x14ac:dyDescent="0.25"/>
    <row r="180524" customFormat="1" x14ac:dyDescent="0.25"/>
    <row r="180525" customFormat="1" x14ac:dyDescent="0.25"/>
    <row r="180526" customFormat="1" x14ac:dyDescent="0.25"/>
    <row r="180527" customFormat="1" x14ac:dyDescent="0.25"/>
    <row r="180528" customFormat="1" x14ac:dyDescent="0.25"/>
    <row r="180529" customFormat="1" x14ac:dyDescent="0.25"/>
    <row r="180530" customFormat="1" x14ac:dyDescent="0.25"/>
    <row r="180531" customFormat="1" x14ac:dyDescent="0.25"/>
    <row r="180532" customFormat="1" x14ac:dyDescent="0.25"/>
    <row r="180533" customFormat="1" x14ac:dyDescent="0.25"/>
    <row r="180534" customFormat="1" x14ac:dyDescent="0.25"/>
    <row r="180535" customFormat="1" x14ac:dyDescent="0.25"/>
    <row r="180536" customFormat="1" x14ac:dyDescent="0.25"/>
    <row r="180537" customFormat="1" x14ac:dyDescent="0.25"/>
    <row r="180538" customFormat="1" x14ac:dyDescent="0.25"/>
    <row r="180539" customFormat="1" x14ac:dyDescent="0.25"/>
    <row r="180540" customFormat="1" x14ac:dyDescent="0.25"/>
    <row r="180541" customFormat="1" x14ac:dyDescent="0.25"/>
    <row r="180542" customFormat="1" x14ac:dyDescent="0.25"/>
    <row r="180543" customFormat="1" x14ac:dyDescent="0.25"/>
    <row r="180544" customFormat="1" x14ac:dyDescent="0.25"/>
    <row r="180545" customFormat="1" x14ac:dyDescent="0.25"/>
    <row r="180546" customFormat="1" x14ac:dyDescent="0.25"/>
    <row r="180547" customFormat="1" x14ac:dyDescent="0.25"/>
    <row r="180548" customFormat="1" x14ac:dyDescent="0.25"/>
    <row r="180549" customFormat="1" x14ac:dyDescent="0.25"/>
    <row r="180550" customFormat="1" x14ac:dyDescent="0.25"/>
    <row r="180551" customFormat="1" x14ac:dyDescent="0.25"/>
    <row r="180552" customFormat="1" x14ac:dyDescent="0.25"/>
    <row r="180553" customFormat="1" x14ac:dyDescent="0.25"/>
    <row r="180554" customFormat="1" x14ac:dyDescent="0.25"/>
    <row r="180555" customFormat="1" x14ac:dyDescent="0.25"/>
    <row r="180556" customFormat="1" x14ac:dyDescent="0.25"/>
    <row r="180557" customFormat="1" x14ac:dyDescent="0.25"/>
    <row r="180558" customFormat="1" x14ac:dyDescent="0.25"/>
    <row r="180559" customFormat="1" x14ac:dyDescent="0.25"/>
    <row r="180560" customFormat="1" x14ac:dyDescent="0.25"/>
    <row r="180561" customFormat="1" x14ac:dyDescent="0.25"/>
    <row r="180562" customFormat="1" x14ac:dyDescent="0.25"/>
    <row r="180563" customFormat="1" x14ac:dyDescent="0.25"/>
    <row r="180564" customFormat="1" x14ac:dyDescent="0.25"/>
    <row r="180565" customFormat="1" x14ac:dyDescent="0.25"/>
    <row r="180566" customFormat="1" x14ac:dyDescent="0.25"/>
    <row r="180567" customFormat="1" x14ac:dyDescent="0.25"/>
    <row r="180568" customFormat="1" x14ac:dyDescent="0.25"/>
    <row r="180569" customFormat="1" x14ac:dyDescent="0.25"/>
    <row r="180570" customFormat="1" x14ac:dyDescent="0.25"/>
    <row r="180571" customFormat="1" x14ac:dyDescent="0.25"/>
    <row r="180572" customFormat="1" x14ac:dyDescent="0.25"/>
    <row r="180573" customFormat="1" x14ac:dyDescent="0.25"/>
    <row r="180574" customFormat="1" x14ac:dyDescent="0.25"/>
    <row r="180575" customFormat="1" x14ac:dyDescent="0.25"/>
    <row r="180576" customFormat="1" x14ac:dyDescent="0.25"/>
    <row r="180577" customFormat="1" x14ac:dyDescent="0.25"/>
    <row r="180578" customFormat="1" x14ac:dyDescent="0.25"/>
    <row r="180579" customFormat="1" x14ac:dyDescent="0.25"/>
    <row r="180580" customFormat="1" x14ac:dyDescent="0.25"/>
    <row r="180581" customFormat="1" x14ac:dyDescent="0.25"/>
    <row r="180582" customFormat="1" x14ac:dyDescent="0.25"/>
    <row r="180583" customFormat="1" x14ac:dyDescent="0.25"/>
    <row r="180584" customFormat="1" x14ac:dyDescent="0.25"/>
    <row r="180585" customFormat="1" x14ac:dyDescent="0.25"/>
    <row r="180586" customFormat="1" x14ac:dyDescent="0.25"/>
    <row r="180587" customFormat="1" x14ac:dyDescent="0.25"/>
    <row r="180588" customFormat="1" x14ac:dyDescent="0.25"/>
    <row r="180589" customFormat="1" x14ac:dyDescent="0.25"/>
    <row r="180590" customFormat="1" x14ac:dyDescent="0.25"/>
    <row r="180591" customFormat="1" x14ac:dyDescent="0.25"/>
    <row r="180592" customFormat="1" x14ac:dyDescent="0.25"/>
    <row r="180593" customFormat="1" x14ac:dyDescent="0.25"/>
    <row r="180594" customFormat="1" x14ac:dyDescent="0.25"/>
    <row r="180595" customFormat="1" x14ac:dyDescent="0.25"/>
    <row r="180596" customFormat="1" x14ac:dyDescent="0.25"/>
    <row r="180597" customFormat="1" x14ac:dyDescent="0.25"/>
    <row r="180598" customFormat="1" x14ac:dyDescent="0.25"/>
    <row r="180599" customFormat="1" x14ac:dyDescent="0.25"/>
    <row r="180600" customFormat="1" x14ac:dyDescent="0.25"/>
    <row r="180601" customFormat="1" x14ac:dyDescent="0.25"/>
    <row r="180602" customFormat="1" x14ac:dyDescent="0.25"/>
    <row r="180603" customFormat="1" x14ac:dyDescent="0.25"/>
    <row r="180604" customFormat="1" x14ac:dyDescent="0.25"/>
    <row r="180605" customFormat="1" x14ac:dyDescent="0.25"/>
    <row r="180606" customFormat="1" x14ac:dyDescent="0.25"/>
    <row r="180607" customFormat="1" x14ac:dyDescent="0.25"/>
    <row r="180608" customFormat="1" x14ac:dyDescent="0.25"/>
    <row r="180609" customFormat="1" x14ac:dyDescent="0.25"/>
    <row r="180610" customFormat="1" x14ac:dyDescent="0.25"/>
    <row r="180611" customFormat="1" x14ac:dyDescent="0.25"/>
    <row r="180612" customFormat="1" x14ac:dyDescent="0.25"/>
    <row r="180613" customFormat="1" x14ac:dyDescent="0.25"/>
    <row r="180614" customFormat="1" x14ac:dyDescent="0.25"/>
    <row r="180615" customFormat="1" x14ac:dyDescent="0.25"/>
    <row r="180616" customFormat="1" x14ac:dyDescent="0.25"/>
    <row r="180617" customFormat="1" x14ac:dyDescent="0.25"/>
    <row r="180618" customFormat="1" x14ac:dyDescent="0.25"/>
    <row r="180619" customFormat="1" x14ac:dyDescent="0.25"/>
    <row r="180620" customFormat="1" x14ac:dyDescent="0.25"/>
    <row r="180621" customFormat="1" x14ac:dyDescent="0.25"/>
    <row r="180622" customFormat="1" x14ac:dyDescent="0.25"/>
    <row r="180623" customFormat="1" x14ac:dyDescent="0.25"/>
    <row r="180624" customFormat="1" x14ac:dyDescent="0.25"/>
    <row r="180625" customFormat="1" x14ac:dyDescent="0.25"/>
    <row r="180626" customFormat="1" x14ac:dyDescent="0.25"/>
    <row r="180627" customFormat="1" x14ac:dyDescent="0.25"/>
    <row r="180628" customFormat="1" x14ac:dyDescent="0.25"/>
    <row r="180629" customFormat="1" x14ac:dyDescent="0.25"/>
    <row r="180630" customFormat="1" x14ac:dyDescent="0.25"/>
    <row r="180631" customFormat="1" x14ac:dyDescent="0.25"/>
    <row r="180632" customFormat="1" x14ac:dyDescent="0.25"/>
    <row r="180633" customFormat="1" x14ac:dyDescent="0.25"/>
    <row r="180634" customFormat="1" x14ac:dyDescent="0.25"/>
    <row r="180635" customFormat="1" x14ac:dyDescent="0.25"/>
    <row r="180636" customFormat="1" x14ac:dyDescent="0.25"/>
    <row r="180637" customFormat="1" x14ac:dyDescent="0.25"/>
    <row r="180638" customFormat="1" x14ac:dyDescent="0.25"/>
    <row r="180639" customFormat="1" x14ac:dyDescent="0.25"/>
    <row r="180640" customFormat="1" x14ac:dyDescent="0.25"/>
    <row r="180641" customFormat="1" x14ac:dyDescent="0.25"/>
    <row r="180642" customFormat="1" x14ac:dyDescent="0.25"/>
    <row r="180643" customFormat="1" x14ac:dyDescent="0.25"/>
    <row r="180644" customFormat="1" x14ac:dyDescent="0.25"/>
    <row r="180645" customFormat="1" x14ac:dyDescent="0.25"/>
    <row r="180646" customFormat="1" x14ac:dyDescent="0.25"/>
    <row r="180647" customFormat="1" x14ac:dyDescent="0.25"/>
    <row r="180648" customFormat="1" x14ac:dyDescent="0.25"/>
    <row r="180649" customFormat="1" x14ac:dyDescent="0.25"/>
    <row r="180650" customFormat="1" x14ac:dyDescent="0.25"/>
    <row r="180651" customFormat="1" x14ac:dyDescent="0.25"/>
    <row r="180652" customFormat="1" x14ac:dyDescent="0.25"/>
    <row r="180653" customFormat="1" x14ac:dyDescent="0.25"/>
    <row r="180654" customFormat="1" x14ac:dyDescent="0.25"/>
    <row r="180655" customFormat="1" x14ac:dyDescent="0.25"/>
    <row r="180656" customFormat="1" x14ac:dyDescent="0.25"/>
    <row r="180657" customFormat="1" x14ac:dyDescent="0.25"/>
    <row r="180658" customFormat="1" x14ac:dyDescent="0.25"/>
    <row r="180659" customFormat="1" x14ac:dyDescent="0.25"/>
    <row r="180660" customFormat="1" x14ac:dyDescent="0.25"/>
    <row r="180661" customFormat="1" x14ac:dyDescent="0.25"/>
    <row r="180662" customFormat="1" x14ac:dyDescent="0.25"/>
    <row r="180663" customFormat="1" x14ac:dyDescent="0.25"/>
    <row r="180664" customFormat="1" x14ac:dyDescent="0.25"/>
    <row r="180665" customFormat="1" x14ac:dyDescent="0.25"/>
    <row r="180666" customFormat="1" x14ac:dyDescent="0.25"/>
    <row r="180667" customFormat="1" x14ac:dyDescent="0.25"/>
    <row r="180668" customFormat="1" x14ac:dyDescent="0.25"/>
    <row r="180669" customFormat="1" x14ac:dyDescent="0.25"/>
    <row r="180670" customFormat="1" x14ac:dyDescent="0.25"/>
    <row r="180671" customFormat="1" x14ac:dyDescent="0.25"/>
    <row r="180672" customFormat="1" x14ac:dyDescent="0.25"/>
    <row r="180673" customFormat="1" x14ac:dyDescent="0.25"/>
    <row r="180674" customFormat="1" x14ac:dyDescent="0.25"/>
    <row r="180675" customFormat="1" x14ac:dyDescent="0.25"/>
    <row r="180676" customFormat="1" x14ac:dyDescent="0.25"/>
    <row r="180677" customFormat="1" x14ac:dyDescent="0.25"/>
    <row r="180678" customFormat="1" x14ac:dyDescent="0.25"/>
    <row r="180679" customFormat="1" x14ac:dyDescent="0.25"/>
    <row r="180680" customFormat="1" x14ac:dyDescent="0.25"/>
    <row r="180681" customFormat="1" x14ac:dyDescent="0.25"/>
    <row r="180682" customFormat="1" x14ac:dyDescent="0.25"/>
    <row r="180683" customFormat="1" x14ac:dyDescent="0.25"/>
    <row r="180684" customFormat="1" x14ac:dyDescent="0.25"/>
    <row r="180685" customFormat="1" x14ac:dyDescent="0.25"/>
    <row r="180686" customFormat="1" x14ac:dyDescent="0.25"/>
    <row r="180687" customFormat="1" x14ac:dyDescent="0.25"/>
    <row r="180688" customFormat="1" x14ac:dyDescent="0.25"/>
    <row r="180689" customFormat="1" x14ac:dyDescent="0.25"/>
    <row r="180690" customFormat="1" x14ac:dyDescent="0.25"/>
    <row r="180691" customFormat="1" x14ac:dyDescent="0.25"/>
    <row r="180692" customFormat="1" x14ac:dyDescent="0.25"/>
    <row r="180693" customFormat="1" x14ac:dyDescent="0.25"/>
    <row r="180694" customFormat="1" x14ac:dyDescent="0.25"/>
    <row r="180695" customFormat="1" x14ac:dyDescent="0.25"/>
    <row r="180696" customFormat="1" x14ac:dyDescent="0.25"/>
    <row r="180697" customFormat="1" x14ac:dyDescent="0.25"/>
    <row r="180698" customFormat="1" x14ac:dyDescent="0.25"/>
    <row r="180699" customFormat="1" x14ac:dyDescent="0.25"/>
    <row r="180700" customFormat="1" x14ac:dyDescent="0.25"/>
    <row r="180701" customFormat="1" x14ac:dyDescent="0.25"/>
    <row r="180702" customFormat="1" x14ac:dyDescent="0.25"/>
    <row r="180703" customFormat="1" x14ac:dyDescent="0.25"/>
    <row r="180704" customFormat="1" x14ac:dyDescent="0.25"/>
    <row r="180705" customFormat="1" x14ac:dyDescent="0.25"/>
    <row r="180706" customFormat="1" x14ac:dyDescent="0.25"/>
    <row r="180707" customFormat="1" x14ac:dyDescent="0.25"/>
    <row r="180708" customFormat="1" x14ac:dyDescent="0.25"/>
    <row r="180709" customFormat="1" x14ac:dyDescent="0.25"/>
    <row r="180710" customFormat="1" x14ac:dyDescent="0.25"/>
    <row r="180711" customFormat="1" x14ac:dyDescent="0.25"/>
    <row r="180712" customFormat="1" x14ac:dyDescent="0.25"/>
    <row r="180713" customFormat="1" x14ac:dyDescent="0.25"/>
    <row r="180714" customFormat="1" x14ac:dyDescent="0.25"/>
    <row r="180715" customFormat="1" x14ac:dyDescent="0.25"/>
    <row r="180716" customFormat="1" x14ac:dyDescent="0.25"/>
    <row r="180717" customFormat="1" x14ac:dyDescent="0.25"/>
    <row r="180718" customFormat="1" x14ac:dyDescent="0.25"/>
    <row r="180719" customFormat="1" x14ac:dyDescent="0.25"/>
    <row r="180720" customFormat="1" x14ac:dyDescent="0.25"/>
    <row r="180721" customFormat="1" x14ac:dyDescent="0.25"/>
    <row r="180722" customFormat="1" x14ac:dyDescent="0.25"/>
    <row r="180723" customFormat="1" x14ac:dyDescent="0.25"/>
    <row r="180724" customFormat="1" x14ac:dyDescent="0.25"/>
    <row r="180725" customFormat="1" x14ac:dyDescent="0.25"/>
    <row r="180726" customFormat="1" x14ac:dyDescent="0.25"/>
    <row r="180727" customFormat="1" x14ac:dyDescent="0.25"/>
    <row r="180728" customFormat="1" x14ac:dyDescent="0.25"/>
    <row r="180729" customFormat="1" x14ac:dyDescent="0.25"/>
    <row r="180730" customFormat="1" x14ac:dyDescent="0.25"/>
    <row r="180731" customFormat="1" x14ac:dyDescent="0.25"/>
    <row r="180732" customFormat="1" x14ac:dyDescent="0.25"/>
    <row r="180733" customFormat="1" x14ac:dyDescent="0.25"/>
    <row r="180734" customFormat="1" x14ac:dyDescent="0.25"/>
    <row r="180735" customFormat="1" x14ac:dyDescent="0.25"/>
    <row r="180736" customFormat="1" x14ac:dyDescent="0.25"/>
    <row r="180737" customFormat="1" x14ac:dyDescent="0.25"/>
    <row r="180738" customFormat="1" x14ac:dyDescent="0.25"/>
    <row r="180739" customFormat="1" x14ac:dyDescent="0.25"/>
    <row r="180740" customFormat="1" x14ac:dyDescent="0.25"/>
    <row r="180741" customFormat="1" x14ac:dyDescent="0.25"/>
    <row r="180742" customFormat="1" x14ac:dyDescent="0.25"/>
    <row r="180743" customFormat="1" x14ac:dyDescent="0.25"/>
    <row r="180744" customFormat="1" x14ac:dyDescent="0.25"/>
    <row r="180745" customFormat="1" x14ac:dyDescent="0.25"/>
    <row r="180746" customFormat="1" x14ac:dyDescent="0.25"/>
    <row r="180747" customFormat="1" x14ac:dyDescent="0.25"/>
    <row r="180748" customFormat="1" x14ac:dyDescent="0.25"/>
    <row r="180749" customFormat="1" x14ac:dyDescent="0.25"/>
    <row r="180750" customFormat="1" x14ac:dyDescent="0.25"/>
    <row r="180751" customFormat="1" x14ac:dyDescent="0.25"/>
    <row r="180752" customFormat="1" x14ac:dyDescent="0.25"/>
    <row r="180753" customFormat="1" x14ac:dyDescent="0.25"/>
    <row r="180754" customFormat="1" x14ac:dyDescent="0.25"/>
    <row r="180755" customFormat="1" x14ac:dyDescent="0.25"/>
    <row r="180756" customFormat="1" x14ac:dyDescent="0.25"/>
    <row r="180757" customFormat="1" x14ac:dyDescent="0.25"/>
    <row r="180758" customFormat="1" x14ac:dyDescent="0.25"/>
    <row r="180759" customFormat="1" x14ac:dyDescent="0.25"/>
    <row r="180760" customFormat="1" x14ac:dyDescent="0.25"/>
    <row r="180761" customFormat="1" x14ac:dyDescent="0.25"/>
    <row r="180762" customFormat="1" x14ac:dyDescent="0.25"/>
    <row r="180763" customFormat="1" x14ac:dyDescent="0.25"/>
    <row r="180764" customFormat="1" x14ac:dyDescent="0.25"/>
    <row r="180765" customFormat="1" x14ac:dyDescent="0.25"/>
    <row r="180766" customFormat="1" x14ac:dyDescent="0.25"/>
    <row r="180767" customFormat="1" x14ac:dyDescent="0.25"/>
    <row r="180768" customFormat="1" x14ac:dyDescent="0.25"/>
    <row r="180769" customFormat="1" x14ac:dyDescent="0.25"/>
    <row r="180770" customFormat="1" x14ac:dyDescent="0.25"/>
    <row r="180771" customFormat="1" x14ac:dyDescent="0.25"/>
    <row r="180772" customFormat="1" x14ac:dyDescent="0.25"/>
    <row r="180773" customFormat="1" x14ac:dyDescent="0.25"/>
    <row r="180774" customFormat="1" x14ac:dyDescent="0.25"/>
    <row r="180775" customFormat="1" x14ac:dyDescent="0.25"/>
    <row r="180776" customFormat="1" x14ac:dyDescent="0.25"/>
    <row r="180777" customFormat="1" x14ac:dyDescent="0.25"/>
    <row r="180778" customFormat="1" x14ac:dyDescent="0.25"/>
    <row r="180779" customFormat="1" x14ac:dyDescent="0.25"/>
    <row r="180780" customFormat="1" x14ac:dyDescent="0.25"/>
    <row r="180781" customFormat="1" x14ac:dyDescent="0.25"/>
    <row r="180782" customFormat="1" x14ac:dyDescent="0.25"/>
    <row r="180783" customFormat="1" x14ac:dyDescent="0.25"/>
    <row r="180784" customFormat="1" x14ac:dyDescent="0.25"/>
    <row r="180785" customFormat="1" x14ac:dyDescent="0.25"/>
    <row r="180786" customFormat="1" x14ac:dyDescent="0.25"/>
    <row r="180787" customFormat="1" x14ac:dyDescent="0.25"/>
    <row r="180788" customFormat="1" x14ac:dyDescent="0.25"/>
    <row r="180789" customFormat="1" x14ac:dyDescent="0.25"/>
    <row r="180790" customFormat="1" x14ac:dyDescent="0.25"/>
    <row r="180791" customFormat="1" x14ac:dyDescent="0.25"/>
    <row r="180792" customFormat="1" x14ac:dyDescent="0.25"/>
    <row r="180793" customFormat="1" x14ac:dyDescent="0.25"/>
    <row r="180794" customFormat="1" x14ac:dyDescent="0.25"/>
    <row r="180795" customFormat="1" x14ac:dyDescent="0.25"/>
    <row r="180796" customFormat="1" x14ac:dyDescent="0.25"/>
    <row r="180797" customFormat="1" x14ac:dyDescent="0.25"/>
    <row r="180798" customFormat="1" x14ac:dyDescent="0.25"/>
    <row r="180799" customFormat="1" x14ac:dyDescent="0.25"/>
    <row r="180800" customFormat="1" x14ac:dyDescent="0.25"/>
    <row r="180801" customFormat="1" x14ac:dyDescent="0.25"/>
    <row r="180802" customFormat="1" x14ac:dyDescent="0.25"/>
    <row r="180803" customFormat="1" x14ac:dyDescent="0.25"/>
    <row r="180804" customFormat="1" x14ac:dyDescent="0.25"/>
    <row r="180805" customFormat="1" x14ac:dyDescent="0.25"/>
    <row r="180806" customFormat="1" x14ac:dyDescent="0.25"/>
    <row r="180807" customFormat="1" x14ac:dyDescent="0.25"/>
    <row r="180808" customFormat="1" x14ac:dyDescent="0.25"/>
    <row r="180809" customFormat="1" x14ac:dyDescent="0.25"/>
    <row r="180810" customFormat="1" x14ac:dyDescent="0.25"/>
    <row r="180811" customFormat="1" x14ac:dyDescent="0.25"/>
    <row r="180812" customFormat="1" x14ac:dyDescent="0.25"/>
    <row r="180813" customFormat="1" x14ac:dyDescent="0.25"/>
    <row r="180814" customFormat="1" x14ac:dyDescent="0.25"/>
    <row r="180815" customFormat="1" x14ac:dyDescent="0.25"/>
    <row r="180816" customFormat="1" x14ac:dyDescent="0.25"/>
    <row r="180817" customFormat="1" x14ac:dyDescent="0.25"/>
    <row r="180818" customFormat="1" x14ac:dyDescent="0.25"/>
    <row r="180819" customFormat="1" x14ac:dyDescent="0.25"/>
    <row r="180820" customFormat="1" x14ac:dyDescent="0.25"/>
    <row r="180821" customFormat="1" x14ac:dyDescent="0.25"/>
    <row r="180822" customFormat="1" x14ac:dyDescent="0.25"/>
    <row r="180823" customFormat="1" x14ac:dyDescent="0.25"/>
    <row r="180824" customFormat="1" x14ac:dyDescent="0.25"/>
    <row r="180825" customFormat="1" x14ac:dyDescent="0.25"/>
    <row r="180826" customFormat="1" x14ac:dyDescent="0.25"/>
    <row r="180827" customFormat="1" x14ac:dyDescent="0.25"/>
    <row r="180828" customFormat="1" x14ac:dyDescent="0.25"/>
    <row r="180829" customFormat="1" x14ac:dyDescent="0.25"/>
    <row r="180830" customFormat="1" x14ac:dyDescent="0.25"/>
    <row r="180831" customFormat="1" x14ac:dyDescent="0.25"/>
    <row r="180832" customFormat="1" x14ac:dyDescent="0.25"/>
    <row r="180833" customFormat="1" x14ac:dyDescent="0.25"/>
    <row r="180834" customFormat="1" x14ac:dyDescent="0.25"/>
    <row r="180835" customFormat="1" x14ac:dyDescent="0.25"/>
    <row r="180836" customFormat="1" x14ac:dyDescent="0.25"/>
    <row r="180837" customFormat="1" x14ac:dyDescent="0.25"/>
    <row r="180838" customFormat="1" x14ac:dyDescent="0.25"/>
    <row r="180839" customFormat="1" x14ac:dyDescent="0.25"/>
    <row r="180840" customFormat="1" x14ac:dyDescent="0.25"/>
    <row r="180841" customFormat="1" x14ac:dyDescent="0.25"/>
    <row r="180842" customFormat="1" x14ac:dyDescent="0.25"/>
    <row r="180843" customFormat="1" x14ac:dyDescent="0.25"/>
    <row r="180844" customFormat="1" x14ac:dyDescent="0.25"/>
    <row r="180845" customFormat="1" x14ac:dyDescent="0.25"/>
    <row r="180846" customFormat="1" x14ac:dyDescent="0.25"/>
    <row r="180847" customFormat="1" x14ac:dyDescent="0.25"/>
    <row r="180848" customFormat="1" x14ac:dyDescent="0.25"/>
    <row r="180849" customFormat="1" x14ac:dyDescent="0.25"/>
    <row r="180850" customFormat="1" x14ac:dyDescent="0.25"/>
    <row r="180851" customFormat="1" x14ac:dyDescent="0.25"/>
    <row r="180852" customFormat="1" x14ac:dyDescent="0.25"/>
    <row r="180853" customFormat="1" x14ac:dyDescent="0.25"/>
    <row r="180854" customFormat="1" x14ac:dyDescent="0.25"/>
    <row r="180855" customFormat="1" x14ac:dyDescent="0.25"/>
    <row r="180856" customFormat="1" x14ac:dyDescent="0.25"/>
    <row r="180857" customFormat="1" x14ac:dyDescent="0.25"/>
    <row r="180858" customFormat="1" x14ac:dyDescent="0.25"/>
    <row r="180859" customFormat="1" x14ac:dyDescent="0.25"/>
    <row r="180860" customFormat="1" x14ac:dyDescent="0.25"/>
    <row r="180861" customFormat="1" x14ac:dyDescent="0.25"/>
    <row r="180862" customFormat="1" x14ac:dyDescent="0.25"/>
    <row r="180863" customFormat="1" x14ac:dyDescent="0.25"/>
    <row r="180864" customFormat="1" x14ac:dyDescent="0.25"/>
    <row r="180865" customFormat="1" x14ac:dyDescent="0.25"/>
    <row r="180866" customFormat="1" x14ac:dyDescent="0.25"/>
    <row r="180867" customFormat="1" x14ac:dyDescent="0.25"/>
    <row r="180868" customFormat="1" x14ac:dyDescent="0.25"/>
    <row r="180869" customFormat="1" x14ac:dyDescent="0.25"/>
    <row r="180870" customFormat="1" x14ac:dyDescent="0.25"/>
    <row r="180871" customFormat="1" x14ac:dyDescent="0.25"/>
    <row r="180872" customFormat="1" x14ac:dyDescent="0.25"/>
    <row r="180873" customFormat="1" x14ac:dyDescent="0.25"/>
    <row r="180874" customFormat="1" x14ac:dyDescent="0.25"/>
    <row r="180875" customFormat="1" x14ac:dyDescent="0.25"/>
    <row r="180876" customFormat="1" x14ac:dyDescent="0.25"/>
    <row r="180877" customFormat="1" x14ac:dyDescent="0.25"/>
    <row r="180878" customFormat="1" x14ac:dyDescent="0.25"/>
    <row r="180879" customFormat="1" x14ac:dyDescent="0.25"/>
    <row r="180880" customFormat="1" x14ac:dyDescent="0.25"/>
    <row r="180881" customFormat="1" x14ac:dyDescent="0.25"/>
    <row r="180882" customFormat="1" x14ac:dyDescent="0.25"/>
    <row r="180883" customFormat="1" x14ac:dyDescent="0.25"/>
    <row r="180884" customFormat="1" x14ac:dyDescent="0.25"/>
    <row r="180885" customFormat="1" x14ac:dyDescent="0.25"/>
    <row r="180886" customFormat="1" x14ac:dyDescent="0.25"/>
    <row r="180887" customFormat="1" x14ac:dyDescent="0.25"/>
    <row r="180888" customFormat="1" x14ac:dyDescent="0.25"/>
    <row r="180889" customFormat="1" x14ac:dyDescent="0.25"/>
    <row r="180890" customFormat="1" x14ac:dyDescent="0.25"/>
    <row r="180891" customFormat="1" x14ac:dyDescent="0.25"/>
    <row r="180892" customFormat="1" x14ac:dyDescent="0.25"/>
    <row r="180893" customFormat="1" x14ac:dyDescent="0.25"/>
    <row r="180894" customFormat="1" x14ac:dyDescent="0.25"/>
    <row r="180895" customFormat="1" x14ac:dyDescent="0.25"/>
    <row r="180896" customFormat="1" x14ac:dyDescent="0.25"/>
    <row r="180897" customFormat="1" x14ac:dyDescent="0.25"/>
    <row r="180898" customFormat="1" x14ac:dyDescent="0.25"/>
    <row r="180899" customFormat="1" x14ac:dyDescent="0.25"/>
    <row r="180900" customFormat="1" x14ac:dyDescent="0.25"/>
    <row r="180901" customFormat="1" x14ac:dyDescent="0.25"/>
    <row r="180902" customFormat="1" x14ac:dyDescent="0.25"/>
    <row r="180903" customFormat="1" x14ac:dyDescent="0.25"/>
    <row r="180904" customFormat="1" x14ac:dyDescent="0.25"/>
    <row r="180905" customFormat="1" x14ac:dyDescent="0.25"/>
    <row r="180906" customFormat="1" x14ac:dyDescent="0.25"/>
    <row r="180907" customFormat="1" x14ac:dyDescent="0.25"/>
    <row r="180908" customFormat="1" x14ac:dyDescent="0.25"/>
    <row r="180909" customFormat="1" x14ac:dyDescent="0.25"/>
    <row r="180910" customFormat="1" x14ac:dyDescent="0.25"/>
    <row r="180911" customFormat="1" x14ac:dyDescent="0.25"/>
    <row r="180912" customFormat="1" x14ac:dyDescent="0.25"/>
    <row r="180913" customFormat="1" x14ac:dyDescent="0.25"/>
    <row r="180914" customFormat="1" x14ac:dyDescent="0.25"/>
    <row r="180915" customFormat="1" x14ac:dyDescent="0.25"/>
    <row r="180916" customFormat="1" x14ac:dyDescent="0.25"/>
    <row r="180917" customFormat="1" x14ac:dyDescent="0.25"/>
    <row r="180918" customFormat="1" x14ac:dyDescent="0.25"/>
    <row r="180919" customFormat="1" x14ac:dyDescent="0.25"/>
    <row r="180920" customFormat="1" x14ac:dyDescent="0.25"/>
    <row r="180921" customFormat="1" x14ac:dyDescent="0.25"/>
    <row r="180922" customFormat="1" x14ac:dyDescent="0.25"/>
    <row r="180923" customFormat="1" x14ac:dyDescent="0.25"/>
    <row r="180924" customFormat="1" x14ac:dyDescent="0.25"/>
    <row r="180925" customFormat="1" x14ac:dyDescent="0.25"/>
    <row r="180926" customFormat="1" x14ac:dyDescent="0.25"/>
    <row r="180927" customFormat="1" x14ac:dyDescent="0.25"/>
    <row r="180928" customFormat="1" x14ac:dyDescent="0.25"/>
    <row r="180929" customFormat="1" x14ac:dyDescent="0.25"/>
    <row r="180930" customFormat="1" x14ac:dyDescent="0.25"/>
    <row r="180931" customFormat="1" x14ac:dyDescent="0.25"/>
    <row r="180932" customFormat="1" x14ac:dyDescent="0.25"/>
    <row r="180933" customFormat="1" x14ac:dyDescent="0.25"/>
    <row r="180934" customFormat="1" x14ac:dyDescent="0.25"/>
    <row r="180935" customFormat="1" x14ac:dyDescent="0.25"/>
    <row r="180936" customFormat="1" x14ac:dyDescent="0.25"/>
    <row r="180937" customFormat="1" x14ac:dyDescent="0.25"/>
    <row r="180938" customFormat="1" x14ac:dyDescent="0.25"/>
    <row r="180939" customFormat="1" x14ac:dyDescent="0.25"/>
    <row r="180940" customFormat="1" x14ac:dyDescent="0.25"/>
    <row r="180941" customFormat="1" x14ac:dyDescent="0.25"/>
    <row r="180942" customFormat="1" x14ac:dyDescent="0.25"/>
    <row r="180943" customFormat="1" x14ac:dyDescent="0.25"/>
    <row r="180944" customFormat="1" x14ac:dyDescent="0.25"/>
    <row r="180945" customFormat="1" x14ac:dyDescent="0.25"/>
    <row r="180946" customFormat="1" x14ac:dyDescent="0.25"/>
    <row r="180947" customFormat="1" x14ac:dyDescent="0.25"/>
    <row r="180948" customFormat="1" x14ac:dyDescent="0.25"/>
    <row r="180949" customFormat="1" x14ac:dyDescent="0.25"/>
    <row r="180950" customFormat="1" x14ac:dyDescent="0.25"/>
    <row r="180951" customFormat="1" x14ac:dyDescent="0.25"/>
    <row r="180952" customFormat="1" x14ac:dyDescent="0.25"/>
    <row r="180953" customFormat="1" x14ac:dyDescent="0.25"/>
    <row r="180954" customFormat="1" x14ac:dyDescent="0.25"/>
    <row r="180955" customFormat="1" x14ac:dyDescent="0.25"/>
    <row r="180956" customFormat="1" x14ac:dyDescent="0.25"/>
    <row r="180957" customFormat="1" x14ac:dyDescent="0.25"/>
    <row r="180958" customFormat="1" x14ac:dyDescent="0.25"/>
    <row r="180959" customFormat="1" x14ac:dyDescent="0.25"/>
    <row r="180960" customFormat="1" x14ac:dyDescent="0.25"/>
    <row r="180961" customFormat="1" x14ac:dyDescent="0.25"/>
    <row r="180962" customFormat="1" x14ac:dyDescent="0.25"/>
    <row r="180963" customFormat="1" x14ac:dyDescent="0.25"/>
    <row r="180964" customFormat="1" x14ac:dyDescent="0.25"/>
    <row r="180965" customFormat="1" x14ac:dyDescent="0.25"/>
    <row r="180966" customFormat="1" x14ac:dyDescent="0.25"/>
    <row r="180967" customFormat="1" x14ac:dyDescent="0.25"/>
    <row r="180968" customFormat="1" x14ac:dyDescent="0.25"/>
    <row r="180969" customFormat="1" x14ac:dyDescent="0.25"/>
    <row r="180970" customFormat="1" x14ac:dyDescent="0.25"/>
    <row r="180971" customFormat="1" x14ac:dyDescent="0.25"/>
    <row r="180972" customFormat="1" x14ac:dyDescent="0.25"/>
    <row r="180973" customFormat="1" x14ac:dyDescent="0.25"/>
    <row r="180974" customFormat="1" x14ac:dyDescent="0.25"/>
    <row r="180975" customFormat="1" x14ac:dyDescent="0.25"/>
    <row r="180976" customFormat="1" x14ac:dyDescent="0.25"/>
    <row r="180977" customFormat="1" x14ac:dyDescent="0.25"/>
    <row r="180978" customFormat="1" x14ac:dyDescent="0.25"/>
    <row r="180979" customFormat="1" x14ac:dyDescent="0.25"/>
    <row r="180980" customFormat="1" x14ac:dyDescent="0.25"/>
    <row r="180981" customFormat="1" x14ac:dyDescent="0.25"/>
    <row r="180982" customFormat="1" x14ac:dyDescent="0.25"/>
    <row r="180983" customFormat="1" x14ac:dyDescent="0.25"/>
    <row r="180984" customFormat="1" x14ac:dyDescent="0.25"/>
    <row r="180985" customFormat="1" x14ac:dyDescent="0.25"/>
    <row r="180986" customFormat="1" x14ac:dyDescent="0.25"/>
    <row r="180987" customFormat="1" x14ac:dyDescent="0.25"/>
    <row r="180988" customFormat="1" x14ac:dyDescent="0.25"/>
    <row r="180989" customFormat="1" x14ac:dyDescent="0.25"/>
    <row r="180990" customFormat="1" x14ac:dyDescent="0.25"/>
    <row r="180991" customFormat="1" x14ac:dyDescent="0.25"/>
    <row r="180992" customFormat="1" x14ac:dyDescent="0.25"/>
    <row r="180993" customFormat="1" x14ac:dyDescent="0.25"/>
    <row r="180994" customFormat="1" x14ac:dyDescent="0.25"/>
    <row r="180995" customFormat="1" x14ac:dyDescent="0.25"/>
    <row r="180996" customFormat="1" x14ac:dyDescent="0.25"/>
    <row r="180997" customFormat="1" x14ac:dyDescent="0.25"/>
    <row r="180998" customFormat="1" x14ac:dyDescent="0.25"/>
    <row r="180999" customFormat="1" x14ac:dyDescent="0.25"/>
    <row r="181000" customFormat="1" x14ac:dyDescent="0.25"/>
    <row r="181001" customFormat="1" x14ac:dyDescent="0.25"/>
    <row r="181002" customFormat="1" x14ac:dyDescent="0.25"/>
    <row r="181003" customFormat="1" x14ac:dyDescent="0.25"/>
    <row r="181004" customFormat="1" x14ac:dyDescent="0.25"/>
    <row r="181005" customFormat="1" x14ac:dyDescent="0.25"/>
    <row r="181006" customFormat="1" x14ac:dyDescent="0.25"/>
    <row r="181007" customFormat="1" x14ac:dyDescent="0.25"/>
    <row r="181008" customFormat="1" x14ac:dyDescent="0.25"/>
    <row r="181009" customFormat="1" x14ac:dyDescent="0.25"/>
    <row r="181010" customFormat="1" x14ac:dyDescent="0.25"/>
    <row r="181011" customFormat="1" x14ac:dyDescent="0.25"/>
    <row r="181012" customFormat="1" x14ac:dyDescent="0.25"/>
    <row r="181013" customFormat="1" x14ac:dyDescent="0.25"/>
    <row r="181014" customFormat="1" x14ac:dyDescent="0.25"/>
    <row r="181015" customFormat="1" x14ac:dyDescent="0.25"/>
    <row r="181016" customFormat="1" x14ac:dyDescent="0.25"/>
    <row r="181017" customFormat="1" x14ac:dyDescent="0.25"/>
    <row r="181018" customFormat="1" x14ac:dyDescent="0.25"/>
    <row r="181019" customFormat="1" x14ac:dyDescent="0.25"/>
    <row r="181020" customFormat="1" x14ac:dyDescent="0.25"/>
    <row r="181021" customFormat="1" x14ac:dyDescent="0.25"/>
    <row r="181022" customFormat="1" x14ac:dyDescent="0.25"/>
    <row r="181023" customFormat="1" x14ac:dyDescent="0.25"/>
    <row r="181024" customFormat="1" x14ac:dyDescent="0.25"/>
    <row r="181025" customFormat="1" x14ac:dyDescent="0.25"/>
    <row r="181026" customFormat="1" x14ac:dyDescent="0.25"/>
    <row r="181027" customFormat="1" x14ac:dyDescent="0.25"/>
    <row r="181028" customFormat="1" x14ac:dyDescent="0.25"/>
    <row r="181029" customFormat="1" x14ac:dyDescent="0.25"/>
    <row r="181030" customFormat="1" x14ac:dyDescent="0.25"/>
    <row r="181031" customFormat="1" x14ac:dyDescent="0.25"/>
    <row r="181032" customFormat="1" x14ac:dyDescent="0.25"/>
    <row r="181033" customFormat="1" x14ac:dyDescent="0.25"/>
    <row r="181034" customFormat="1" x14ac:dyDescent="0.25"/>
    <row r="181035" customFormat="1" x14ac:dyDescent="0.25"/>
    <row r="181036" customFormat="1" x14ac:dyDescent="0.25"/>
    <row r="181037" customFormat="1" x14ac:dyDescent="0.25"/>
    <row r="181038" customFormat="1" x14ac:dyDescent="0.25"/>
    <row r="181039" customFormat="1" x14ac:dyDescent="0.25"/>
    <row r="181040" customFormat="1" x14ac:dyDescent="0.25"/>
    <row r="181041" customFormat="1" x14ac:dyDescent="0.25"/>
    <row r="181042" customFormat="1" x14ac:dyDescent="0.25"/>
    <row r="181043" customFormat="1" x14ac:dyDescent="0.25"/>
    <row r="181044" customFormat="1" x14ac:dyDescent="0.25"/>
    <row r="181045" customFormat="1" x14ac:dyDescent="0.25"/>
    <row r="181046" customFormat="1" x14ac:dyDescent="0.25"/>
    <row r="181047" customFormat="1" x14ac:dyDescent="0.25"/>
    <row r="181048" customFormat="1" x14ac:dyDescent="0.25"/>
    <row r="181049" customFormat="1" x14ac:dyDescent="0.25"/>
    <row r="181050" customFormat="1" x14ac:dyDescent="0.25"/>
    <row r="181051" customFormat="1" x14ac:dyDescent="0.25"/>
    <row r="181052" customFormat="1" x14ac:dyDescent="0.25"/>
    <row r="181053" customFormat="1" x14ac:dyDescent="0.25"/>
    <row r="181054" customFormat="1" x14ac:dyDescent="0.25"/>
    <row r="181055" customFormat="1" x14ac:dyDescent="0.25"/>
    <row r="181056" customFormat="1" x14ac:dyDescent="0.25"/>
    <row r="181057" customFormat="1" x14ac:dyDescent="0.25"/>
    <row r="181058" customFormat="1" x14ac:dyDescent="0.25"/>
    <row r="181059" customFormat="1" x14ac:dyDescent="0.25"/>
    <row r="181060" customFormat="1" x14ac:dyDescent="0.25"/>
    <row r="181061" customFormat="1" x14ac:dyDescent="0.25"/>
    <row r="181062" customFormat="1" x14ac:dyDescent="0.25"/>
    <row r="181063" customFormat="1" x14ac:dyDescent="0.25"/>
    <row r="181064" customFormat="1" x14ac:dyDescent="0.25"/>
    <row r="181065" customFormat="1" x14ac:dyDescent="0.25"/>
    <row r="181066" customFormat="1" x14ac:dyDescent="0.25"/>
    <row r="181067" customFormat="1" x14ac:dyDescent="0.25"/>
    <row r="181068" customFormat="1" x14ac:dyDescent="0.25"/>
    <row r="181069" customFormat="1" x14ac:dyDescent="0.25"/>
    <row r="181070" customFormat="1" x14ac:dyDescent="0.25"/>
    <row r="181071" customFormat="1" x14ac:dyDescent="0.25"/>
    <row r="181072" customFormat="1" x14ac:dyDescent="0.25"/>
    <row r="181073" customFormat="1" x14ac:dyDescent="0.25"/>
    <row r="181074" customFormat="1" x14ac:dyDescent="0.25"/>
    <row r="181075" customFormat="1" x14ac:dyDescent="0.25"/>
    <row r="181076" customFormat="1" x14ac:dyDescent="0.25"/>
    <row r="181077" customFormat="1" x14ac:dyDescent="0.25"/>
    <row r="181078" customFormat="1" x14ac:dyDescent="0.25"/>
    <row r="181079" customFormat="1" x14ac:dyDescent="0.25"/>
    <row r="181080" customFormat="1" x14ac:dyDescent="0.25"/>
    <row r="181081" customFormat="1" x14ac:dyDescent="0.25"/>
    <row r="181082" customFormat="1" x14ac:dyDescent="0.25"/>
    <row r="181083" customFormat="1" x14ac:dyDescent="0.25"/>
    <row r="181084" customFormat="1" x14ac:dyDescent="0.25"/>
    <row r="181085" customFormat="1" x14ac:dyDescent="0.25"/>
    <row r="181086" customFormat="1" x14ac:dyDescent="0.25"/>
    <row r="181087" customFormat="1" x14ac:dyDescent="0.25"/>
    <row r="181088" customFormat="1" x14ac:dyDescent="0.25"/>
    <row r="181089" customFormat="1" x14ac:dyDescent="0.25"/>
    <row r="181090" customFormat="1" x14ac:dyDescent="0.25"/>
    <row r="181091" customFormat="1" x14ac:dyDescent="0.25"/>
    <row r="181092" customFormat="1" x14ac:dyDescent="0.25"/>
    <row r="181093" customFormat="1" x14ac:dyDescent="0.25"/>
    <row r="181094" customFormat="1" x14ac:dyDescent="0.25"/>
    <row r="181095" customFormat="1" x14ac:dyDescent="0.25"/>
    <row r="181096" customFormat="1" x14ac:dyDescent="0.25"/>
    <row r="181097" customFormat="1" x14ac:dyDescent="0.25"/>
    <row r="181098" customFormat="1" x14ac:dyDescent="0.25"/>
    <row r="181099" customFormat="1" x14ac:dyDescent="0.25"/>
    <row r="181100" customFormat="1" x14ac:dyDescent="0.25"/>
    <row r="181101" customFormat="1" x14ac:dyDescent="0.25"/>
    <row r="181102" customFormat="1" x14ac:dyDescent="0.25"/>
    <row r="181103" customFormat="1" x14ac:dyDescent="0.25"/>
    <row r="181104" customFormat="1" x14ac:dyDescent="0.25"/>
    <row r="181105" customFormat="1" x14ac:dyDescent="0.25"/>
    <row r="181106" customFormat="1" x14ac:dyDescent="0.25"/>
    <row r="181107" customFormat="1" x14ac:dyDescent="0.25"/>
    <row r="181108" customFormat="1" x14ac:dyDescent="0.25"/>
    <row r="181109" customFormat="1" x14ac:dyDescent="0.25"/>
    <row r="181110" customFormat="1" x14ac:dyDescent="0.25"/>
    <row r="181111" customFormat="1" x14ac:dyDescent="0.25"/>
    <row r="181112" customFormat="1" x14ac:dyDescent="0.25"/>
    <row r="181113" customFormat="1" x14ac:dyDescent="0.25"/>
    <row r="181114" customFormat="1" x14ac:dyDescent="0.25"/>
    <row r="181115" customFormat="1" x14ac:dyDescent="0.25"/>
    <row r="181116" customFormat="1" x14ac:dyDescent="0.25"/>
    <row r="181117" customFormat="1" x14ac:dyDescent="0.25"/>
    <row r="181118" customFormat="1" x14ac:dyDescent="0.25"/>
    <row r="181119" customFormat="1" x14ac:dyDescent="0.25"/>
    <row r="181120" customFormat="1" x14ac:dyDescent="0.25"/>
    <row r="181121" customFormat="1" x14ac:dyDescent="0.25"/>
    <row r="181122" customFormat="1" x14ac:dyDescent="0.25"/>
    <row r="181123" customFormat="1" x14ac:dyDescent="0.25"/>
    <row r="181124" customFormat="1" x14ac:dyDescent="0.25"/>
    <row r="181125" customFormat="1" x14ac:dyDescent="0.25"/>
    <row r="181126" customFormat="1" x14ac:dyDescent="0.25"/>
    <row r="181127" customFormat="1" x14ac:dyDescent="0.25"/>
    <row r="181128" customFormat="1" x14ac:dyDescent="0.25"/>
    <row r="181129" customFormat="1" x14ac:dyDescent="0.25"/>
    <row r="181130" customFormat="1" x14ac:dyDescent="0.25"/>
    <row r="181131" customFormat="1" x14ac:dyDescent="0.25"/>
    <row r="181132" customFormat="1" x14ac:dyDescent="0.25"/>
    <row r="181133" customFormat="1" x14ac:dyDescent="0.25"/>
    <row r="181134" customFormat="1" x14ac:dyDescent="0.25"/>
    <row r="181135" customFormat="1" x14ac:dyDescent="0.25"/>
    <row r="181136" customFormat="1" x14ac:dyDescent="0.25"/>
    <row r="181137" customFormat="1" x14ac:dyDescent="0.25"/>
    <row r="181138" customFormat="1" x14ac:dyDescent="0.25"/>
    <row r="181139" customFormat="1" x14ac:dyDescent="0.25"/>
    <row r="181140" customFormat="1" x14ac:dyDescent="0.25"/>
    <row r="181141" customFormat="1" x14ac:dyDescent="0.25"/>
    <row r="181142" customFormat="1" x14ac:dyDescent="0.25"/>
    <row r="181143" customFormat="1" x14ac:dyDescent="0.25"/>
    <row r="181144" customFormat="1" x14ac:dyDescent="0.25"/>
    <row r="181145" customFormat="1" x14ac:dyDescent="0.25"/>
    <row r="181146" customFormat="1" x14ac:dyDescent="0.25"/>
    <row r="181147" customFormat="1" x14ac:dyDescent="0.25"/>
    <row r="181148" customFormat="1" x14ac:dyDescent="0.25"/>
    <row r="181149" customFormat="1" x14ac:dyDescent="0.25"/>
    <row r="181150" customFormat="1" x14ac:dyDescent="0.25"/>
    <row r="181151" customFormat="1" x14ac:dyDescent="0.25"/>
    <row r="181152" customFormat="1" x14ac:dyDescent="0.25"/>
    <row r="181153" customFormat="1" x14ac:dyDescent="0.25"/>
    <row r="181154" customFormat="1" x14ac:dyDescent="0.25"/>
    <row r="181155" customFormat="1" x14ac:dyDescent="0.25"/>
    <row r="181156" customFormat="1" x14ac:dyDescent="0.25"/>
    <row r="181157" customFormat="1" x14ac:dyDescent="0.25"/>
    <row r="181158" customFormat="1" x14ac:dyDescent="0.25"/>
    <row r="181159" customFormat="1" x14ac:dyDescent="0.25"/>
    <row r="181160" customFormat="1" x14ac:dyDescent="0.25"/>
    <row r="181161" customFormat="1" x14ac:dyDescent="0.25"/>
    <row r="181162" customFormat="1" x14ac:dyDescent="0.25"/>
    <row r="181163" customFormat="1" x14ac:dyDescent="0.25"/>
    <row r="181164" customFormat="1" x14ac:dyDescent="0.25"/>
    <row r="181165" customFormat="1" x14ac:dyDescent="0.25"/>
    <row r="181166" customFormat="1" x14ac:dyDescent="0.25"/>
    <row r="181167" customFormat="1" x14ac:dyDescent="0.25"/>
    <row r="181168" customFormat="1" x14ac:dyDescent="0.25"/>
    <row r="181169" customFormat="1" x14ac:dyDescent="0.25"/>
    <row r="181170" customFormat="1" x14ac:dyDescent="0.25"/>
    <row r="181171" customFormat="1" x14ac:dyDescent="0.25"/>
    <row r="181172" customFormat="1" x14ac:dyDescent="0.25"/>
    <row r="181173" customFormat="1" x14ac:dyDescent="0.25"/>
    <row r="181174" customFormat="1" x14ac:dyDescent="0.25"/>
    <row r="181175" customFormat="1" x14ac:dyDescent="0.25"/>
    <row r="181176" customFormat="1" x14ac:dyDescent="0.25"/>
    <row r="181177" customFormat="1" x14ac:dyDescent="0.25"/>
    <row r="181178" customFormat="1" x14ac:dyDescent="0.25"/>
    <row r="181179" customFormat="1" x14ac:dyDescent="0.25"/>
    <row r="181180" customFormat="1" x14ac:dyDescent="0.25"/>
    <row r="181181" customFormat="1" x14ac:dyDescent="0.25"/>
    <row r="181182" customFormat="1" x14ac:dyDescent="0.25"/>
    <row r="181183" customFormat="1" x14ac:dyDescent="0.25"/>
    <row r="181184" customFormat="1" x14ac:dyDescent="0.25"/>
    <row r="181185" customFormat="1" x14ac:dyDescent="0.25"/>
    <row r="181186" customFormat="1" x14ac:dyDescent="0.25"/>
    <row r="181187" customFormat="1" x14ac:dyDescent="0.25"/>
    <row r="181188" customFormat="1" x14ac:dyDescent="0.25"/>
    <row r="181189" customFormat="1" x14ac:dyDescent="0.25"/>
    <row r="181190" customFormat="1" x14ac:dyDescent="0.25"/>
    <row r="181191" customFormat="1" x14ac:dyDescent="0.25"/>
    <row r="181192" customFormat="1" x14ac:dyDescent="0.25"/>
    <row r="181193" customFormat="1" x14ac:dyDescent="0.25"/>
    <row r="181194" customFormat="1" x14ac:dyDescent="0.25"/>
    <row r="181195" customFormat="1" x14ac:dyDescent="0.25"/>
    <row r="181196" customFormat="1" x14ac:dyDescent="0.25"/>
    <row r="181197" customFormat="1" x14ac:dyDescent="0.25"/>
    <row r="181198" customFormat="1" x14ac:dyDescent="0.25"/>
    <row r="181199" customFormat="1" x14ac:dyDescent="0.25"/>
    <row r="181200" customFormat="1" x14ac:dyDescent="0.25"/>
    <row r="181201" customFormat="1" x14ac:dyDescent="0.25"/>
    <row r="181202" customFormat="1" x14ac:dyDescent="0.25"/>
    <row r="181203" customFormat="1" x14ac:dyDescent="0.25"/>
    <row r="181204" customFormat="1" x14ac:dyDescent="0.25"/>
    <row r="181205" customFormat="1" x14ac:dyDescent="0.25"/>
    <row r="181206" customFormat="1" x14ac:dyDescent="0.25"/>
    <row r="181207" customFormat="1" x14ac:dyDescent="0.25"/>
    <row r="181208" customFormat="1" x14ac:dyDescent="0.25"/>
    <row r="181209" customFormat="1" x14ac:dyDescent="0.25"/>
    <row r="181210" customFormat="1" x14ac:dyDescent="0.25"/>
    <row r="181211" customFormat="1" x14ac:dyDescent="0.25"/>
    <row r="181212" customFormat="1" x14ac:dyDescent="0.25"/>
    <row r="181213" customFormat="1" x14ac:dyDescent="0.25"/>
    <row r="181214" customFormat="1" x14ac:dyDescent="0.25"/>
    <row r="181215" customFormat="1" x14ac:dyDescent="0.25"/>
    <row r="181216" customFormat="1" x14ac:dyDescent="0.25"/>
    <row r="181217" customFormat="1" x14ac:dyDescent="0.25"/>
    <row r="181218" customFormat="1" x14ac:dyDescent="0.25"/>
    <row r="181219" customFormat="1" x14ac:dyDescent="0.25"/>
    <row r="181220" customFormat="1" x14ac:dyDescent="0.25"/>
    <row r="181221" customFormat="1" x14ac:dyDescent="0.25"/>
    <row r="181222" customFormat="1" x14ac:dyDescent="0.25"/>
    <row r="181223" customFormat="1" x14ac:dyDescent="0.25"/>
    <row r="181224" customFormat="1" x14ac:dyDescent="0.25"/>
    <row r="181225" customFormat="1" x14ac:dyDescent="0.25"/>
    <row r="181226" customFormat="1" x14ac:dyDescent="0.25"/>
    <row r="181227" customFormat="1" x14ac:dyDescent="0.25"/>
    <row r="181228" customFormat="1" x14ac:dyDescent="0.25"/>
    <row r="181229" customFormat="1" x14ac:dyDescent="0.25"/>
    <row r="181230" customFormat="1" x14ac:dyDescent="0.25"/>
    <row r="181231" customFormat="1" x14ac:dyDescent="0.25"/>
    <row r="181232" customFormat="1" x14ac:dyDescent="0.25"/>
    <row r="181233" customFormat="1" x14ac:dyDescent="0.25"/>
    <row r="181234" customFormat="1" x14ac:dyDescent="0.25"/>
    <row r="181235" customFormat="1" x14ac:dyDescent="0.25"/>
    <row r="181236" customFormat="1" x14ac:dyDescent="0.25"/>
    <row r="181237" customFormat="1" x14ac:dyDescent="0.25"/>
    <row r="181238" customFormat="1" x14ac:dyDescent="0.25"/>
    <row r="181239" customFormat="1" x14ac:dyDescent="0.25"/>
    <row r="181240" customFormat="1" x14ac:dyDescent="0.25"/>
    <row r="181241" customFormat="1" x14ac:dyDescent="0.25"/>
    <row r="181242" customFormat="1" x14ac:dyDescent="0.25"/>
    <row r="181243" customFormat="1" x14ac:dyDescent="0.25"/>
    <row r="181244" customFormat="1" x14ac:dyDescent="0.25"/>
    <row r="181245" customFormat="1" x14ac:dyDescent="0.25"/>
    <row r="181246" customFormat="1" x14ac:dyDescent="0.25"/>
    <row r="181247" customFormat="1" x14ac:dyDescent="0.25"/>
    <row r="181248" customFormat="1" x14ac:dyDescent="0.25"/>
    <row r="181249" customFormat="1" x14ac:dyDescent="0.25"/>
    <row r="181250" customFormat="1" x14ac:dyDescent="0.25"/>
    <row r="181251" customFormat="1" x14ac:dyDescent="0.25"/>
    <row r="181252" customFormat="1" x14ac:dyDescent="0.25"/>
    <row r="181253" customFormat="1" x14ac:dyDescent="0.25"/>
    <row r="181254" customFormat="1" x14ac:dyDescent="0.25"/>
    <row r="181255" customFormat="1" x14ac:dyDescent="0.25"/>
    <row r="181256" customFormat="1" x14ac:dyDescent="0.25"/>
    <row r="181257" customFormat="1" x14ac:dyDescent="0.25"/>
    <row r="181258" customFormat="1" x14ac:dyDescent="0.25"/>
    <row r="181259" customFormat="1" x14ac:dyDescent="0.25"/>
    <row r="181260" customFormat="1" x14ac:dyDescent="0.25"/>
    <row r="181261" customFormat="1" x14ac:dyDescent="0.25"/>
    <row r="181262" customFormat="1" x14ac:dyDescent="0.25"/>
    <row r="181263" customFormat="1" x14ac:dyDescent="0.25"/>
    <row r="181264" customFormat="1" x14ac:dyDescent="0.25"/>
    <row r="181265" customFormat="1" x14ac:dyDescent="0.25"/>
    <row r="181266" customFormat="1" x14ac:dyDescent="0.25"/>
    <row r="181267" customFormat="1" x14ac:dyDescent="0.25"/>
    <row r="181268" customFormat="1" x14ac:dyDescent="0.25"/>
    <row r="181269" customFormat="1" x14ac:dyDescent="0.25"/>
    <row r="181270" customFormat="1" x14ac:dyDescent="0.25"/>
    <row r="181271" customFormat="1" x14ac:dyDescent="0.25"/>
    <row r="181272" customFormat="1" x14ac:dyDescent="0.25"/>
    <row r="181273" customFormat="1" x14ac:dyDescent="0.25"/>
    <row r="181274" customFormat="1" x14ac:dyDescent="0.25"/>
    <row r="181275" customFormat="1" x14ac:dyDescent="0.25"/>
    <row r="181276" customFormat="1" x14ac:dyDescent="0.25"/>
    <row r="181277" customFormat="1" x14ac:dyDescent="0.25"/>
    <row r="181278" customFormat="1" x14ac:dyDescent="0.25"/>
    <row r="181279" customFormat="1" x14ac:dyDescent="0.25"/>
    <row r="181280" customFormat="1" x14ac:dyDescent="0.25"/>
    <row r="181281" customFormat="1" x14ac:dyDescent="0.25"/>
    <row r="181282" customFormat="1" x14ac:dyDescent="0.25"/>
    <row r="181283" customFormat="1" x14ac:dyDescent="0.25"/>
    <row r="181284" customFormat="1" x14ac:dyDescent="0.25"/>
    <row r="181285" customFormat="1" x14ac:dyDescent="0.25"/>
    <row r="181286" customFormat="1" x14ac:dyDescent="0.25"/>
    <row r="181287" customFormat="1" x14ac:dyDescent="0.25"/>
    <row r="181288" customFormat="1" x14ac:dyDescent="0.25"/>
    <row r="181289" customFormat="1" x14ac:dyDescent="0.25"/>
    <row r="181290" customFormat="1" x14ac:dyDescent="0.25"/>
    <row r="181291" customFormat="1" x14ac:dyDescent="0.25"/>
    <row r="181292" customFormat="1" x14ac:dyDescent="0.25"/>
    <row r="181293" customFormat="1" x14ac:dyDescent="0.25"/>
    <row r="181294" customFormat="1" x14ac:dyDescent="0.25"/>
    <row r="181295" customFormat="1" x14ac:dyDescent="0.25"/>
    <row r="181296" customFormat="1" x14ac:dyDescent="0.25"/>
    <row r="181297" customFormat="1" x14ac:dyDescent="0.25"/>
    <row r="181298" customFormat="1" x14ac:dyDescent="0.25"/>
    <row r="181299" customFormat="1" x14ac:dyDescent="0.25"/>
    <row r="181300" customFormat="1" x14ac:dyDescent="0.25"/>
    <row r="181301" customFormat="1" x14ac:dyDescent="0.25"/>
    <row r="181302" customFormat="1" x14ac:dyDescent="0.25"/>
    <row r="181303" customFormat="1" x14ac:dyDescent="0.25"/>
    <row r="181304" customFormat="1" x14ac:dyDescent="0.25"/>
    <row r="181305" customFormat="1" x14ac:dyDescent="0.25"/>
    <row r="181306" customFormat="1" x14ac:dyDescent="0.25"/>
    <row r="181307" customFormat="1" x14ac:dyDescent="0.25"/>
    <row r="181308" customFormat="1" x14ac:dyDescent="0.25"/>
    <row r="181309" customFormat="1" x14ac:dyDescent="0.25"/>
    <row r="181310" customFormat="1" x14ac:dyDescent="0.25"/>
    <row r="181311" customFormat="1" x14ac:dyDescent="0.25"/>
    <row r="181312" customFormat="1" x14ac:dyDescent="0.25"/>
    <row r="181313" customFormat="1" x14ac:dyDescent="0.25"/>
    <row r="181314" customFormat="1" x14ac:dyDescent="0.25"/>
    <row r="181315" customFormat="1" x14ac:dyDescent="0.25"/>
    <row r="181316" customFormat="1" x14ac:dyDescent="0.25"/>
    <row r="181317" customFormat="1" x14ac:dyDescent="0.25"/>
    <row r="181318" customFormat="1" x14ac:dyDescent="0.25"/>
    <row r="181319" customFormat="1" x14ac:dyDescent="0.25"/>
    <row r="181320" customFormat="1" x14ac:dyDescent="0.25"/>
    <row r="181321" customFormat="1" x14ac:dyDescent="0.25"/>
    <row r="181322" customFormat="1" x14ac:dyDescent="0.25"/>
    <row r="181323" customFormat="1" x14ac:dyDescent="0.25"/>
    <row r="181324" customFormat="1" x14ac:dyDescent="0.25"/>
    <row r="181325" customFormat="1" x14ac:dyDescent="0.25"/>
    <row r="181326" customFormat="1" x14ac:dyDescent="0.25"/>
    <row r="181327" customFormat="1" x14ac:dyDescent="0.25"/>
    <row r="181328" customFormat="1" x14ac:dyDescent="0.25"/>
    <row r="181329" customFormat="1" x14ac:dyDescent="0.25"/>
    <row r="181330" customFormat="1" x14ac:dyDescent="0.25"/>
    <row r="181331" customFormat="1" x14ac:dyDescent="0.25"/>
    <row r="181332" customFormat="1" x14ac:dyDescent="0.25"/>
    <row r="181333" customFormat="1" x14ac:dyDescent="0.25"/>
    <row r="181334" customFormat="1" x14ac:dyDescent="0.25"/>
    <row r="181335" customFormat="1" x14ac:dyDescent="0.25"/>
    <row r="181336" customFormat="1" x14ac:dyDescent="0.25"/>
    <row r="181337" customFormat="1" x14ac:dyDescent="0.25"/>
    <row r="181338" customFormat="1" x14ac:dyDescent="0.25"/>
    <row r="181339" customFormat="1" x14ac:dyDescent="0.25"/>
    <row r="181340" customFormat="1" x14ac:dyDescent="0.25"/>
    <row r="181341" customFormat="1" x14ac:dyDescent="0.25"/>
    <row r="181342" customFormat="1" x14ac:dyDescent="0.25"/>
    <row r="181343" customFormat="1" x14ac:dyDescent="0.25"/>
    <row r="181344" customFormat="1" x14ac:dyDescent="0.25"/>
    <row r="181345" customFormat="1" x14ac:dyDescent="0.25"/>
    <row r="181346" customFormat="1" x14ac:dyDescent="0.25"/>
    <row r="181347" customFormat="1" x14ac:dyDescent="0.25"/>
    <row r="181348" customFormat="1" x14ac:dyDescent="0.25"/>
    <row r="181349" customFormat="1" x14ac:dyDescent="0.25"/>
    <row r="181350" customFormat="1" x14ac:dyDescent="0.25"/>
    <row r="181351" customFormat="1" x14ac:dyDescent="0.25"/>
    <row r="181352" customFormat="1" x14ac:dyDescent="0.25"/>
    <row r="181353" customFormat="1" x14ac:dyDescent="0.25"/>
    <row r="181354" customFormat="1" x14ac:dyDescent="0.25"/>
    <row r="181355" customFormat="1" x14ac:dyDescent="0.25"/>
    <row r="181356" customFormat="1" x14ac:dyDescent="0.25"/>
    <row r="181357" customFormat="1" x14ac:dyDescent="0.25"/>
    <row r="181358" customFormat="1" x14ac:dyDescent="0.25"/>
    <row r="181359" customFormat="1" x14ac:dyDescent="0.25"/>
    <row r="181360" customFormat="1" x14ac:dyDescent="0.25"/>
    <row r="181361" customFormat="1" x14ac:dyDescent="0.25"/>
    <row r="181362" customFormat="1" x14ac:dyDescent="0.25"/>
    <row r="181363" customFormat="1" x14ac:dyDescent="0.25"/>
    <row r="181364" customFormat="1" x14ac:dyDescent="0.25"/>
    <row r="181365" customFormat="1" x14ac:dyDescent="0.25"/>
    <row r="181366" customFormat="1" x14ac:dyDescent="0.25"/>
    <row r="181367" customFormat="1" x14ac:dyDescent="0.25"/>
    <row r="181368" customFormat="1" x14ac:dyDescent="0.25"/>
    <row r="181369" customFormat="1" x14ac:dyDescent="0.25"/>
    <row r="181370" customFormat="1" x14ac:dyDescent="0.25"/>
    <row r="181371" customFormat="1" x14ac:dyDescent="0.25"/>
    <row r="181372" customFormat="1" x14ac:dyDescent="0.25"/>
    <row r="181373" customFormat="1" x14ac:dyDescent="0.25"/>
    <row r="181374" customFormat="1" x14ac:dyDescent="0.25"/>
    <row r="181375" customFormat="1" x14ac:dyDescent="0.25"/>
    <row r="181376" customFormat="1" x14ac:dyDescent="0.25"/>
    <row r="181377" customFormat="1" x14ac:dyDescent="0.25"/>
    <row r="181378" customFormat="1" x14ac:dyDescent="0.25"/>
    <row r="181379" customFormat="1" x14ac:dyDescent="0.25"/>
    <row r="181380" customFormat="1" x14ac:dyDescent="0.25"/>
    <row r="181381" customFormat="1" x14ac:dyDescent="0.25"/>
    <row r="181382" customFormat="1" x14ac:dyDescent="0.25"/>
    <row r="181383" customFormat="1" x14ac:dyDescent="0.25"/>
    <row r="181384" customFormat="1" x14ac:dyDescent="0.25"/>
    <row r="181385" customFormat="1" x14ac:dyDescent="0.25"/>
    <row r="181386" customFormat="1" x14ac:dyDescent="0.25"/>
    <row r="181387" customFormat="1" x14ac:dyDescent="0.25"/>
    <row r="181388" customFormat="1" x14ac:dyDescent="0.25"/>
    <row r="181389" customFormat="1" x14ac:dyDescent="0.25"/>
    <row r="181390" customFormat="1" x14ac:dyDescent="0.25"/>
    <row r="181391" customFormat="1" x14ac:dyDescent="0.25"/>
    <row r="181392" customFormat="1" x14ac:dyDescent="0.25"/>
    <row r="181393" customFormat="1" x14ac:dyDescent="0.25"/>
    <row r="181394" customFormat="1" x14ac:dyDescent="0.25"/>
    <row r="181395" customFormat="1" x14ac:dyDescent="0.25"/>
    <row r="181396" customFormat="1" x14ac:dyDescent="0.25"/>
    <row r="181397" customFormat="1" x14ac:dyDescent="0.25"/>
    <row r="181398" customFormat="1" x14ac:dyDescent="0.25"/>
    <row r="181399" customFormat="1" x14ac:dyDescent="0.25"/>
    <row r="181400" customFormat="1" x14ac:dyDescent="0.25"/>
    <row r="181401" customFormat="1" x14ac:dyDescent="0.25"/>
    <row r="181402" customFormat="1" x14ac:dyDescent="0.25"/>
    <row r="181403" customFormat="1" x14ac:dyDescent="0.25"/>
    <row r="181404" customFormat="1" x14ac:dyDescent="0.25"/>
    <row r="181405" customFormat="1" x14ac:dyDescent="0.25"/>
    <row r="181406" customFormat="1" x14ac:dyDescent="0.25"/>
    <row r="181407" customFormat="1" x14ac:dyDescent="0.25"/>
    <row r="181408" customFormat="1" x14ac:dyDescent="0.25"/>
    <row r="181409" customFormat="1" x14ac:dyDescent="0.25"/>
    <row r="181410" customFormat="1" x14ac:dyDescent="0.25"/>
    <row r="181411" customFormat="1" x14ac:dyDescent="0.25"/>
    <row r="181412" customFormat="1" x14ac:dyDescent="0.25"/>
    <row r="181413" customFormat="1" x14ac:dyDescent="0.25"/>
    <row r="181414" customFormat="1" x14ac:dyDescent="0.25"/>
    <row r="181415" customFormat="1" x14ac:dyDescent="0.25"/>
    <row r="181416" customFormat="1" x14ac:dyDescent="0.25"/>
    <row r="181417" customFormat="1" x14ac:dyDescent="0.25"/>
    <row r="181418" customFormat="1" x14ac:dyDescent="0.25"/>
    <row r="181419" customFormat="1" x14ac:dyDescent="0.25"/>
    <row r="181420" customFormat="1" x14ac:dyDescent="0.25"/>
    <row r="181421" customFormat="1" x14ac:dyDescent="0.25"/>
    <row r="181422" customFormat="1" x14ac:dyDescent="0.25"/>
    <row r="181423" customFormat="1" x14ac:dyDescent="0.25"/>
    <row r="181424" customFormat="1" x14ac:dyDescent="0.25"/>
    <row r="181425" customFormat="1" x14ac:dyDescent="0.25"/>
    <row r="181426" customFormat="1" x14ac:dyDescent="0.25"/>
    <row r="181427" customFormat="1" x14ac:dyDescent="0.25"/>
    <row r="181428" customFormat="1" x14ac:dyDescent="0.25"/>
    <row r="181429" customFormat="1" x14ac:dyDescent="0.25"/>
    <row r="181430" customFormat="1" x14ac:dyDescent="0.25"/>
    <row r="181431" customFormat="1" x14ac:dyDescent="0.25"/>
    <row r="181432" customFormat="1" x14ac:dyDescent="0.25"/>
    <row r="181433" customFormat="1" x14ac:dyDescent="0.25"/>
    <row r="181434" customFormat="1" x14ac:dyDescent="0.25"/>
    <row r="181435" customFormat="1" x14ac:dyDescent="0.25"/>
    <row r="181436" customFormat="1" x14ac:dyDescent="0.25"/>
    <row r="181437" customFormat="1" x14ac:dyDescent="0.25"/>
    <row r="181438" customFormat="1" x14ac:dyDescent="0.25"/>
    <row r="181439" customFormat="1" x14ac:dyDescent="0.25"/>
    <row r="181440" customFormat="1" x14ac:dyDescent="0.25"/>
    <row r="181441" customFormat="1" x14ac:dyDescent="0.25"/>
    <row r="181442" customFormat="1" x14ac:dyDescent="0.25"/>
    <row r="181443" customFormat="1" x14ac:dyDescent="0.25"/>
    <row r="181444" customFormat="1" x14ac:dyDescent="0.25"/>
    <row r="181445" customFormat="1" x14ac:dyDescent="0.25"/>
    <row r="181446" customFormat="1" x14ac:dyDescent="0.25"/>
    <row r="181447" customFormat="1" x14ac:dyDescent="0.25"/>
    <row r="181448" customFormat="1" x14ac:dyDescent="0.25"/>
    <row r="181449" customFormat="1" x14ac:dyDescent="0.25"/>
    <row r="181450" customFormat="1" x14ac:dyDescent="0.25"/>
    <row r="181451" customFormat="1" x14ac:dyDescent="0.25"/>
    <row r="181452" customFormat="1" x14ac:dyDescent="0.25"/>
    <row r="181453" customFormat="1" x14ac:dyDescent="0.25"/>
    <row r="181454" customFormat="1" x14ac:dyDescent="0.25"/>
    <row r="181455" customFormat="1" x14ac:dyDescent="0.25"/>
    <row r="181456" customFormat="1" x14ac:dyDescent="0.25"/>
    <row r="181457" customFormat="1" x14ac:dyDescent="0.25"/>
    <row r="181458" customFormat="1" x14ac:dyDescent="0.25"/>
    <row r="181459" customFormat="1" x14ac:dyDescent="0.25"/>
    <row r="181460" customFormat="1" x14ac:dyDescent="0.25"/>
    <row r="181461" customFormat="1" x14ac:dyDescent="0.25"/>
    <row r="181462" customFormat="1" x14ac:dyDescent="0.25"/>
    <row r="181463" customFormat="1" x14ac:dyDescent="0.25"/>
    <row r="181464" customFormat="1" x14ac:dyDescent="0.25"/>
    <row r="181465" customFormat="1" x14ac:dyDescent="0.25"/>
    <row r="181466" customFormat="1" x14ac:dyDescent="0.25"/>
    <row r="181467" customFormat="1" x14ac:dyDescent="0.25"/>
    <row r="181468" customFormat="1" x14ac:dyDescent="0.25"/>
    <row r="181469" customFormat="1" x14ac:dyDescent="0.25"/>
    <row r="181470" customFormat="1" x14ac:dyDescent="0.25"/>
    <row r="181471" customFormat="1" x14ac:dyDescent="0.25"/>
    <row r="181472" customFormat="1" x14ac:dyDescent="0.25"/>
    <row r="181473" customFormat="1" x14ac:dyDescent="0.25"/>
    <row r="181474" customFormat="1" x14ac:dyDescent="0.25"/>
    <row r="181475" customFormat="1" x14ac:dyDescent="0.25"/>
    <row r="181476" customFormat="1" x14ac:dyDescent="0.25"/>
    <row r="181477" customFormat="1" x14ac:dyDescent="0.25"/>
    <row r="181478" customFormat="1" x14ac:dyDescent="0.25"/>
    <row r="181479" customFormat="1" x14ac:dyDescent="0.25"/>
    <row r="181480" customFormat="1" x14ac:dyDescent="0.25"/>
    <row r="181481" customFormat="1" x14ac:dyDescent="0.25"/>
    <row r="181482" customFormat="1" x14ac:dyDescent="0.25"/>
    <row r="181483" customFormat="1" x14ac:dyDescent="0.25"/>
    <row r="181484" customFormat="1" x14ac:dyDescent="0.25"/>
    <row r="181485" customFormat="1" x14ac:dyDescent="0.25"/>
    <row r="181486" customFormat="1" x14ac:dyDescent="0.25"/>
    <row r="181487" customFormat="1" x14ac:dyDescent="0.25"/>
    <row r="181488" customFormat="1" x14ac:dyDescent="0.25"/>
    <row r="181489" customFormat="1" x14ac:dyDescent="0.25"/>
    <row r="181490" customFormat="1" x14ac:dyDescent="0.25"/>
    <row r="181491" customFormat="1" x14ac:dyDescent="0.25"/>
    <row r="181492" customFormat="1" x14ac:dyDescent="0.25"/>
    <row r="181493" customFormat="1" x14ac:dyDescent="0.25"/>
    <row r="181494" customFormat="1" x14ac:dyDescent="0.25"/>
    <row r="181495" customFormat="1" x14ac:dyDescent="0.25"/>
    <row r="181496" customFormat="1" x14ac:dyDescent="0.25"/>
    <row r="181497" customFormat="1" x14ac:dyDescent="0.25"/>
    <row r="181498" customFormat="1" x14ac:dyDescent="0.25"/>
    <row r="181499" customFormat="1" x14ac:dyDescent="0.25"/>
    <row r="181500" customFormat="1" x14ac:dyDescent="0.25"/>
    <row r="181501" customFormat="1" x14ac:dyDescent="0.25"/>
    <row r="181502" customFormat="1" x14ac:dyDescent="0.25"/>
    <row r="181503" customFormat="1" x14ac:dyDescent="0.25"/>
    <row r="181504" customFormat="1" x14ac:dyDescent="0.25"/>
    <row r="181505" customFormat="1" x14ac:dyDescent="0.25"/>
    <row r="181506" customFormat="1" x14ac:dyDescent="0.25"/>
    <row r="181507" customFormat="1" x14ac:dyDescent="0.25"/>
    <row r="181508" customFormat="1" x14ac:dyDescent="0.25"/>
    <row r="181509" customFormat="1" x14ac:dyDescent="0.25"/>
    <row r="181510" customFormat="1" x14ac:dyDescent="0.25"/>
    <row r="181511" customFormat="1" x14ac:dyDescent="0.25"/>
    <row r="181512" customFormat="1" x14ac:dyDescent="0.25"/>
    <row r="181513" customFormat="1" x14ac:dyDescent="0.25"/>
    <row r="181514" customFormat="1" x14ac:dyDescent="0.25"/>
    <row r="181515" customFormat="1" x14ac:dyDescent="0.25"/>
    <row r="181516" customFormat="1" x14ac:dyDescent="0.25"/>
    <row r="181517" customFormat="1" x14ac:dyDescent="0.25"/>
    <row r="181518" customFormat="1" x14ac:dyDescent="0.25"/>
    <row r="181519" customFormat="1" x14ac:dyDescent="0.25"/>
    <row r="181520" customFormat="1" x14ac:dyDescent="0.25"/>
    <row r="181521" customFormat="1" x14ac:dyDescent="0.25"/>
    <row r="181522" customFormat="1" x14ac:dyDescent="0.25"/>
    <row r="181523" customFormat="1" x14ac:dyDescent="0.25"/>
    <row r="181524" customFormat="1" x14ac:dyDescent="0.25"/>
    <row r="181525" customFormat="1" x14ac:dyDescent="0.25"/>
    <row r="181526" customFormat="1" x14ac:dyDescent="0.25"/>
    <row r="181527" customFormat="1" x14ac:dyDescent="0.25"/>
    <row r="181528" customFormat="1" x14ac:dyDescent="0.25"/>
    <row r="181529" customFormat="1" x14ac:dyDescent="0.25"/>
    <row r="181530" customFormat="1" x14ac:dyDescent="0.25"/>
    <row r="181531" customFormat="1" x14ac:dyDescent="0.25"/>
    <row r="181532" customFormat="1" x14ac:dyDescent="0.25"/>
    <row r="181533" customFormat="1" x14ac:dyDescent="0.25"/>
    <row r="181534" customFormat="1" x14ac:dyDescent="0.25"/>
    <row r="181535" customFormat="1" x14ac:dyDescent="0.25"/>
    <row r="181536" customFormat="1" x14ac:dyDescent="0.25"/>
    <row r="181537" customFormat="1" x14ac:dyDescent="0.25"/>
    <row r="181538" customFormat="1" x14ac:dyDescent="0.25"/>
    <row r="181539" customFormat="1" x14ac:dyDescent="0.25"/>
    <row r="181540" customFormat="1" x14ac:dyDescent="0.25"/>
    <row r="181541" customFormat="1" x14ac:dyDescent="0.25"/>
    <row r="181542" customFormat="1" x14ac:dyDescent="0.25"/>
    <row r="181543" customFormat="1" x14ac:dyDescent="0.25"/>
    <row r="181544" customFormat="1" x14ac:dyDescent="0.25"/>
    <row r="181545" customFormat="1" x14ac:dyDescent="0.25"/>
    <row r="181546" customFormat="1" x14ac:dyDescent="0.25"/>
    <row r="181547" customFormat="1" x14ac:dyDescent="0.25"/>
    <row r="181548" customFormat="1" x14ac:dyDescent="0.25"/>
    <row r="181549" customFormat="1" x14ac:dyDescent="0.25"/>
    <row r="181550" customFormat="1" x14ac:dyDescent="0.25"/>
    <row r="181551" customFormat="1" x14ac:dyDescent="0.25"/>
    <row r="181552" customFormat="1" x14ac:dyDescent="0.25"/>
    <row r="181553" customFormat="1" x14ac:dyDescent="0.25"/>
    <row r="181554" customFormat="1" x14ac:dyDescent="0.25"/>
    <row r="181555" customFormat="1" x14ac:dyDescent="0.25"/>
    <row r="181556" customFormat="1" x14ac:dyDescent="0.25"/>
    <row r="181557" customFormat="1" x14ac:dyDescent="0.25"/>
    <row r="181558" customFormat="1" x14ac:dyDescent="0.25"/>
    <row r="181559" customFormat="1" x14ac:dyDescent="0.25"/>
    <row r="181560" customFormat="1" x14ac:dyDescent="0.25"/>
    <row r="181561" customFormat="1" x14ac:dyDescent="0.25"/>
    <row r="181562" customFormat="1" x14ac:dyDescent="0.25"/>
    <row r="181563" customFormat="1" x14ac:dyDescent="0.25"/>
    <row r="181564" customFormat="1" x14ac:dyDescent="0.25"/>
    <row r="181565" customFormat="1" x14ac:dyDescent="0.25"/>
    <row r="181566" customFormat="1" x14ac:dyDescent="0.25"/>
    <row r="181567" customFormat="1" x14ac:dyDescent="0.25"/>
    <row r="181568" customFormat="1" x14ac:dyDescent="0.25"/>
    <row r="181569" customFormat="1" x14ac:dyDescent="0.25"/>
    <row r="181570" customFormat="1" x14ac:dyDescent="0.25"/>
    <row r="181571" customFormat="1" x14ac:dyDescent="0.25"/>
    <row r="181572" customFormat="1" x14ac:dyDescent="0.25"/>
    <row r="181573" customFormat="1" x14ac:dyDescent="0.25"/>
    <row r="181574" customFormat="1" x14ac:dyDescent="0.25"/>
    <row r="181575" customFormat="1" x14ac:dyDescent="0.25"/>
    <row r="181576" customFormat="1" x14ac:dyDescent="0.25"/>
    <row r="181577" customFormat="1" x14ac:dyDescent="0.25"/>
    <row r="181578" customFormat="1" x14ac:dyDescent="0.25"/>
    <row r="181579" customFormat="1" x14ac:dyDescent="0.25"/>
    <row r="181580" customFormat="1" x14ac:dyDescent="0.25"/>
    <row r="181581" customFormat="1" x14ac:dyDescent="0.25"/>
    <row r="181582" customFormat="1" x14ac:dyDescent="0.25"/>
    <row r="181583" customFormat="1" x14ac:dyDescent="0.25"/>
    <row r="181584" customFormat="1" x14ac:dyDescent="0.25"/>
    <row r="181585" customFormat="1" x14ac:dyDescent="0.25"/>
    <row r="181586" customFormat="1" x14ac:dyDescent="0.25"/>
    <row r="181587" customFormat="1" x14ac:dyDescent="0.25"/>
    <row r="181588" customFormat="1" x14ac:dyDescent="0.25"/>
    <row r="181589" customFormat="1" x14ac:dyDescent="0.25"/>
    <row r="181590" customFormat="1" x14ac:dyDescent="0.25"/>
    <row r="181591" customFormat="1" x14ac:dyDescent="0.25"/>
    <row r="181592" customFormat="1" x14ac:dyDescent="0.25"/>
    <row r="181593" customFormat="1" x14ac:dyDescent="0.25"/>
    <row r="181594" customFormat="1" x14ac:dyDescent="0.25"/>
    <row r="181595" customFormat="1" x14ac:dyDescent="0.25"/>
    <row r="181596" customFormat="1" x14ac:dyDescent="0.25"/>
    <row r="181597" customFormat="1" x14ac:dyDescent="0.25"/>
    <row r="181598" customFormat="1" x14ac:dyDescent="0.25"/>
    <row r="181599" customFormat="1" x14ac:dyDescent="0.25"/>
    <row r="181600" customFormat="1" x14ac:dyDescent="0.25"/>
    <row r="181601" customFormat="1" x14ac:dyDescent="0.25"/>
    <row r="181602" customFormat="1" x14ac:dyDescent="0.25"/>
    <row r="181603" customFormat="1" x14ac:dyDescent="0.25"/>
    <row r="181604" customFormat="1" x14ac:dyDescent="0.25"/>
    <row r="181605" customFormat="1" x14ac:dyDescent="0.25"/>
    <row r="181606" customFormat="1" x14ac:dyDescent="0.25"/>
    <row r="181607" customFormat="1" x14ac:dyDescent="0.25"/>
    <row r="181608" customFormat="1" x14ac:dyDescent="0.25"/>
    <row r="181609" customFormat="1" x14ac:dyDescent="0.25"/>
    <row r="181610" customFormat="1" x14ac:dyDescent="0.25"/>
    <row r="181611" customFormat="1" x14ac:dyDescent="0.25"/>
    <row r="181612" customFormat="1" x14ac:dyDescent="0.25"/>
    <row r="181613" customFormat="1" x14ac:dyDescent="0.25"/>
    <row r="181614" customFormat="1" x14ac:dyDescent="0.25"/>
    <row r="181615" customFormat="1" x14ac:dyDescent="0.25"/>
    <row r="181616" customFormat="1" x14ac:dyDescent="0.25"/>
    <row r="181617" customFormat="1" x14ac:dyDescent="0.25"/>
    <row r="181618" customFormat="1" x14ac:dyDescent="0.25"/>
    <row r="181619" customFormat="1" x14ac:dyDescent="0.25"/>
    <row r="181620" customFormat="1" x14ac:dyDescent="0.25"/>
    <row r="181621" customFormat="1" x14ac:dyDescent="0.25"/>
    <row r="181622" customFormat="1" x14ac:dyDescent="0.25"/>
    <row r="181623" customFormat="1" x14ac:dyDescent="0.25"/>
    <row r="181624" customFormat="1" x14ac:dyDescent="0.25"/>
    <row r="181625" customFormat="1" x14ac:dyDescent="0.25"/>
    <row r="181626" customFormat="1" x14ac:dyDescent="0.25"/>
    <row r="181627" customFormat="1" x14ac:dyDescent="0.25"/>
    <row r="181628" customFormat="1" x14ac:dyDescent="0.25"/>
    <row r="181629" customFormat="1" x14ac:dyDescent="0.25"/>
    <row r="181630" customFormat="1" x14ac:dyDescent="0.25"/>
    <row r="181631" customFormat="1" x14ac:dyDescent="0.25"/>
    <row r="181632" customFormat="1" x14ac:dyDescent="0.25"/>
    <row r="181633" customFormat="1" x14ac:dyDescent="0.25"/>
    <row r="181634" customFormat="1" x14ac:dyDescent="0.25"/>
    <row r="181635" customFormat="1" x14ac:dyDescent="0.25"/>
    <row r="181636" customFormat="1" x14ac:dyDescent="0.25"/>
    <row r="181637" customFormat="1" x14ac:dyDescent="0.25"/>
    <row r="181638" customFormat="1" x14ac:dyDescent="0.25"/>
    <row r="181639" customFormat="1" x14ac:dyDescent="0.25"/>
    <row r="181640" customFormat="1" x14ac:dyDescent="0.25"/>
    <row r="181641" customFormat="1" x14ac:dyDescent="0.25"/>
    <row r="181642" customFormat="1" x14ac:dyDescent="0.25"/>
    <row r="181643" customFormat="1" x14ac:dyDescent="0.25"/>
    <row r="181644" customFormat="1" x14ac:dyDescent="0.25"/>
    <row r="181645" customFormat="1" x14ac:dyDescent="0.25"/>
    <row r="181646" customFormat="1" x14ac:dyDescent="0.25"/>
    <row r="181647" customFormat="1" x14ac:dyDescent="0.25"/>
    <row r="181648" customFormat="1" x14ac:dyDescent="0.25"/>
    <row r="181649" customFormat="1" x14ac:dyDescent="0.25"/>
    <row r="181650" customFormat="1" x14ac:dyDescent="0.25"/>
    <row r="181651" customFormat="1" x14ac:dyDescent="0.25"/>
    <row r="181652" customFormat="1" x14ac:dyDescent="0.25"/>
    <row r="181653" customFormat="1" x14ac:dyDescent="0.25"/>
    <row r="181654" customFormat="1" x14ac:dyDescent="0.25"/>
    <row r="181655" customFormat="1" x14ac:dyDescent="0.25"/>
    <row r="181656" customFormat="1" x14ac:dyDescent="0.25"/>
    <row r="181657" customFormat="1" x14ac:dyDescent="0.25"/>
    <row r="181658" customFormat="1" x14ac:dyDescent="0.25"/>
    <row r="181659" customFormat="1" x14ac:dyDescent="0.25"/>
    <row r="181660" customFormat="1" x14ac:dyDescent="0.25"/>
    <row r="181661" customFormat="1" x14ac:dyDescent="0.25"/>
    <row r="181662" customFormat="1" x14ac:dyDescent="0.25"/>
    <row r="181663" customFormat="1" x14ac:dyDescent="0.25"/>
    <row r="181664" customFormat="1" x14ac:dyDescent="0.25"/>
    <row r="181665" customFormat="1" x14ac:dyDescent="0.25"/>
    <row r="181666" customFormat="1" x14ac:dyDescent="0.25"/>
    <row r="181667" customFormat="1" x14ac:dyDescent="0.25"/>
    <row r="181668" customFormat="1" x14ac:dyDescent="0.25"/>
    <row r="181669" customFormat="1" x14ac:dyDescent="0.25"/>
    <row r="181670" customFormat="1" x14ac:dyDescent="0.25"/>
    <row r="181671" customFormat="1" x14ac:dyDescent="0.25"/>
    <row r="181672" customFormat="1" x14ac:dyDescent="0.25"/>
    <row r="181673" customFormat="1" x14ac:dyDescent="0.25"/>
    <row r="181674" customFormat="1" x14ac:dyDescent="0.25"/>
    <row r="181675" customFormat="1" x14ac:dyDescent="0.25"/>
    <row r="181676" customFormat="1" x14ac:dyDescent="0.25"/>
    <row r="181677" customFormat="1" x14ac:dyDescent="0.25"/>
    <row r="181678" customFormat="1" x14ac:dyDescent="0.25"/>
    <row r="181679" customFormat="1" x14ac:dyDescent="0.25"/>
    <row r="181680" customFormat="1" x14ac:dyDescent="0.25"/>
    <row r="181681" customFormat="1" x14ac:dyDescent="0.25"/>
    <row r="181682" customFormat="1" x14ac:dyDescent="0.25"/>
    <row r="181683" customFormat="1" x14ac:dyDescent="0.25"/>
    <row r="181684" customFormat="1" x14ac:dyDescent="0.25"/>
    <row r="181685" customFormat="1" x14ac:dyDescent="0.25"/>
    <row r="181686" customFormat="1" x14ac:dyDescent="0.25"/>
    <row r="181687" customFormat="1" x14ac:dyDescent="0.25"/>
    <row r="181688" customFormat="1" x14ac:dyDescent="0.25"/>
    <row r="181689" customFormat="1" x14ac:dyDescent="0.25"/>
    <row r="181690" customFormat="1" x14ac:dyDescent="0.25"/>
    <row r="181691" customFormat="1" x14ac:dyDescent="0.25"/>
    <row r="181692" customFormat="1" x14ac:dyDescent="0.25"/>
    <row r="181693" customFormat="1" x14ac:dyDescent="0.25"/>
    <row r="181694" customFormat="1" x14ac:dyDescent="0.25"/>
    <row r="181695" customFormat="1" x14ac:dyDescent="0.25"/>
    <row r="181696" customFormat="1" x14ac:dyDescent="0.25"/>
    <row r="181697" customFormat="1" x14ac:dyDescent="0.25"/>
    <row r="181698" customFormat="1" x14ac:dyDescent="0.25"/>
    <row r="181699" customFormat="1" x14ac:dyDescent="0.25"/>
    <row r="181700" customFormat="1" x14ac:dyDescent="0.25"/>
    <row r="181701" customFormat="1" x14ac:dyDescent="0.25"/>
    <row r="181702" customFormat="1" x14ac:dyDescent="0.25"/>
    <row r="181703" customFormat="1" x14ac:dyDescent="0.25"/>
    <row r="181704" customFormat="1" x14ac:dyDescent="0.25"/>
    <row r="181705" customFormat="1" x14ac:dyDescent="0.25"/>
    <row r="181706" customFormat="1" x14ac:dyDescent="0.25"/>
    <row r="181707" customFormat="1" x14ac:dyDescent="0.25"/>
    <row r="181708" customFormat="1" x14ac:dyDescent="0.25"/>
    <row r="181709" customFormat="1" x14ac:dyDescent="0.25"/>
    <row r="181710" customFormat="1" x14ac:dyDescent="0.25"/>
    <row r="181711" customFormat="1" x14ac:dyDescent="0.25"/>
    <row r="181712" customFormat="1" x14ac:dyDescent="0.25"/>
    <row r="181713" customFormat="1" x14ac:dyDescent="0.25"/>
    <row r="181714" customFormat="1" x14ac:dyDescent="0.25"/>
    <row r="181715" customFormat="1" x14ac:dyDescent="0.25"/>
    <row r="181716" customFormat="1" x14ac:dyDescent="0.25"/>
    <row r="181717" customFormat="1" x14ac:dyDescent="0.25"/>
    <row r="181718" customFormat="1" x14ac:dyDescent="0.25"/>
    <row r="181719" customFormat="1" x14ac:dyDescent="0.25"/>
    <row r="181720" customFormat="1" x14ac:dyDescent="0.25"/>
    <row r="181721" customFormat="1" x14ac:dyDescent="0.25"/>
    <row r="181722" customFormat="1" x14ac:dyDescent="0.25"/>
    <row r="181723" customFormat="1" x14ac:dyDescent="0.25"/>
    <row r="181724" customFormat="1" x14ac:dyDescent="0.25"/>
    <row r="181725" customFormat="1" x14ac:dyDescent="0.25"/>
    <row r="181726" customFormat="1" x14ac:dyDescent="0.25"/>
    <row r="181727" customFormat="1" x14ac:dyDescent="0.25"/>
    <row r="181728" customFormat="1" x14ac:dyDescent="0.25"/>
    <row r="181729" customFormat="1" x14ac:dyDescent="0.25"/>
    <row r="181730" customFormat="1" x14ac:dyDescent="0.25"/>
    <row r="181731" customFormat="1" x14ac:dyDescent="0.25"/>
    <row r="181732" customFormat="1" x14ac:dyDescent="0.25"/>
    <row r="181733" customFormat="1" x14ac:dyDescent="0.25"/>
    <row r="181734" customFormat="1" x14ac:dyDescent="0.25"/>
    <row r="181735" customFormat="1" x14ac:dyDescent="0.25"/>
    <row r="181736" customFormat="1" x14ac:dyDescent="0.25"/>
    <row r="181737" customFormat="1" x14ac:dyDescent="0.25"/>
    <row r="181738" customFormat="1" x14ac:dyDescent="0.25"/>
    <row r="181739" customFormat="1" x14ac:dyDescent="0.25"/>
    <row r="181740" customFormat="1" x14ac:dyDescent="0.25"/>
    <row r="181741" customFormat="1" x14ac:dyDescent="0.25"/>
    <row r="181742" customFormat="1" x14ac:dyDescent="0.25"/>
    <row r="181743" customFormat="1" x14ac:dyDescent="0.25"/>
    <row r="181744" customFormat="1" x14ac:dyDescent="0.25"/>
    <row r="181745" customFormat="1" x14ac:dyDescent="0.25"/>
    <row r="181746" customFormat="1" x14ac:dyDescent="0.25"/>
    <row r="181747" customFormat="1" x14ac:dyDescent="0.25"/>
    <row r="181748" customFormat="1" x14ac:dyDescent="0.25"/>
    <row r="181749" customFormat="1" x14ac:dyDescent="0.25"/>
    <row r="181750" customFormat="1" x14ac:dyDescent="0.25"/>
    <row r="181751" customFormat="1" x14ac:dyDescent="0.25"/>
    <row r="181752" customFormat="1" x14ac:dyDescent="0.25"/>
    <row r="181753" customFormat="1" x14ac:dyDescent="0.25"/>
    <row r="181754" customFormat="1" x14ac:dyDescent="0.25"/>
    <row r="181755" customFormat="1" x14ac:dyDescent="0.25"/>
    <row r="181756" customFormat="1" x14ac:dyDescent="0.25"/>
    <row r="181757" customFormat="1" x14ac:dyDescent="0.25"/>
    <row r="181758" customFormat="1" x14ac:dyDescent="0.25"/>
    <row r="181759" customFormat="1" x14ac:dyDescent="0.25"/>
    <row r="181760" customFormat="1" x14ac:dyDescent="0.25"/>
    <row r="181761" customFormat="1" x14ac:dyDescent="0.25"/>
    <row r="181762" customFormat="1" x14ac:dyDescent="0.25"/>
    <row r="181763" customFormat="1" x14ac:dyDescent="0.25"/>
    <row r="181764" customFormat="1" x14ac:dyDescent="0.25"/>
    <row r="181765" customFormat="1" x14ac:dyDescent="0.25"/>
    <row r="181766" customFormat="1" x14ac:dyDescent="0.25"/>
    <row r="181767" customFormat="1" x14ac:dyDescent="0.25"/>
    <row r="181768" customFormat="1" x14ac:dyDescent="0.25"/>
    <row r="181769" customFormat="1" x14ac:dyDescent="0.25"/>
    <row r="181770" customFormat="1" x14ac:dyDescent="0.25"/>
    <row r="181771" customFormat="1" x14ac:dyDescent="0.25"/>
    <row r="181772" customFormat="1" x14ac:dyDescent="0.25"/>
    <row r="181773" customFormat="1" x14ac:dyDescent="0.25"/>
    <row r="181774" customFormat="1" x14ac:dyDescent="0.25"/>
    <row r="181775" customFormat="1" x14ac:dyDescent="0.25"/>
    <row r="181776" customFormat="1" x14ac:dyDescent="0.25"/>
    <row r="181777" customFormat="1" x14ac:dyDescent="0.25"/>
    <row r="181778" customFormat="1" x14ac:dyDescent="0.25"/>
    <row r="181779" customFormat="1" x14ac:dyDescent="0.25"/>
    <row r="181780" customFormat="1" x14ac:dyDescent="0.25"/>
    <row r="181781" customFormat="1" x14ac:dyDescent="0.25"/>
    <row r="181782" customFormat="1" x14ac:dyDescent="0.25"/>
    <row r="181783" customFormat="1" x14ac:dyDescent="0.25"/>
    <row r="181784" customFormat="1" x14ac:dyDescent="0.25"/>
    <row r="181785" customFormat="1" x14ac:dyDescent="0.25"/>
    <row r="181786" customFormat="1" x14ac:dyDescent="0.25"/>
    <row r="181787" customFormat="1" x14ac:dyDescent="0.25"/>
    <row r="181788" customFormat="1" x14ac:dyDescent="0.25"/>
    <row r="181789" customFormat="1" x14ac:dyDescent="0.25"/>
    <row r="181790" customFormat="1" x14ac:dyDescent="0.25"/>
    <row r="181791" customFormat="1" x14ac:dyDescent="0.25"/>
    <row r="181792" customFormat="1" x14ac:dyDescent="0.25"/>
    <row r="181793" customFormat="1" x14ac:dyDescent="0.25"/>
    <row r="181794" customFormat="1" x14ac:dyDescent="0.25"/>
    <row r="181795" customFormat="1" x14ac:dyDescent="0.25"/>
    <row r="181796" customFormat="1" x14ac:dyDescent="0.25"/>
    <row r="181797" customFormat="1" x14ac:dyDescent="0.25"/>
    <row r="181798" customFormat="1" x14ac:dyDescent="0.25"/>
    <row r="181799" customFormat="1" x14ac:dyDescent="0.25"/>
    <row r="181800" customFormat="1" x14ac:dyDescent="0.25"/>
    <row r="181801" customFormat="1" x14ac:dyDescent="0.25"/>
    <row r="181802" customFormat="1" x14ac:dyDescent="0.25"/>
    <row r="181803" customFormat="1" x14ac:dyDescent="0.25"/>
    <row r="181804" customFormat="1" x14ac:dyDescent="0.25"/>
    <row r="181805" customFormat="1" x14ac:dyDescent="0.25"/>
    <row r="181806" customFormat="1" x14ac:dyDescent="0.25"/>
    <row r="181807" customFormat="1" x14ac:dyDescent="0.25"/>
    <row r="181808" customFormat="1" x14ac:dyDescent="0.25"/>
    <row r="181809" customFormat="1" x14ac:dyDescent="0.25"/>
    <row r="181810" customFormat="1" x14ac:dyDescent="0.25"/>
    <row r="181811" customFormat="1" x14ac:dyDescent="0.25"/>
    <row r="181812" customFormat="1" x14ac:dyDescent="0.25"/>
    <row r="181813" customFormat="1" x14ac:dyDescent="0.25"/>
    <row r="181814" customFormat="1" x14ac:dyDescent="0.25"/>
    <row r="181815" customFormat="1" x14ac:dyDescent="0.25"/>
    <row r="181816" customFormat="1" x14ac:dyDescent="0.25"/>
    <row r="181817" customFormat="1" x14ac:dyDescent="0.25"/>
    <row r="181818" customFormat="1" x14ac:dyDescent="0.25"/>
    <row r="181819" customFormat="1" x14ac:dyDescent="0.25"/>
    <row r="181820" customFormat="1" x14ac:dyDescent="0.25"/>
    <row r="181821" customFormat="1" x14ac:dyDescent="0.25"/>
    <row r="181822" customFormat="1" x14ac:dyDescent="0.25"/>
    <row r="181823" customFormat="1" x14ac:dyDescent="0.25"/>
    <row r="181824" customFormat="1" x14ac:dyDescent="0.25"/>
    <row r="181825" customFormat="1" x14ac:dyDescent="0.25"/>
    <row r="181826" customFormat="1" x14ac:dyDescent="0.25"/>
    <row r="181827" customFormat="1" x14ac:dyDescent="0.25"/>
    <row r="181828" customFormat="1" x14ac:dyDescent="0.25"/>
    <row r="181829" customFormat="1" x14ac:dyDescent="0.25"/>
    <row r="181830" customFormat="1" x14ac:dyDescent="0.25"/>
    <row r="181831" customFormat="1" x14ac:dyDescent="0.25"/>
    <row r="181832" customFormat="1" x14ac:dyDescent="0.25"/>
    <row r="181833" customFormat="1" x14ac:dyDescent="0.25"/>
    <row r="181834" customFormat="1" x14ac:dyDescent="0.25"/>
    <row r="181835" customFormat="1" x14ac:dyDescent="0.25"/>
    <row r="181836" customFormat="1" x14ac:dyDescent="0.25"/>
    <row r="181837" customFormat="1" x14ac:dyDescent="0.25"/>
    <row r="181838" customFormat="1" x14ac:dyDescent="0.25"/>
    <row r="181839" customFormat="1" x14ac:dyDescent="0.25"/>
    <row r="181840" customFormat="1" x14ac:dyDescent="0.25"/>
    <row r="181841" customFormat="1" x14ac:dyDescent="0.25"/>
    <row r="181842" customFormat="1" x14ac:dyDescent="0.25"/>
    <row r="181843" customFormat="1" x14ac:dyDescent="0.25"/>
    <row r="181844" customFormat="1" x14ac:dyDescent="0.25"/>
    <row r="181845" customFormat="1" x14ac:dyDescent="0.25"/>
    <row r="181846" customFormat="1" x14ac:dyDescent="0.25"/>
    <row r="181847" customFormat="1" x14ac:dyDescent="0.25"/>
    <row r="181848" customFormat="1" x14ac:dyDescent="0.25"/>
    <row r="181849" customFormat="1" x14ac:dyDescent="0.25"/>
    <row r="181850" customFormat="1" x14ac:dyDescent="0.25"/>
    <row r="181851" customFormat="1" x14ac:dyDescent="0.25"/>
    <row r="181852" customFormat="1" x14ac:dyDescent="0.25"/>
    <row r="181853" customFormat="1" x14ac:dyDescent="0.25"/>
    <row r="181854" customFormat="1" x14ac:dyDescent="0.25"/>
    <row r="181855" customFormat="1" x14ac:dyDescent="0.25"/>
    <row r="181856" customFormat="1" x14ac:dyDescent="0.25"/>
    <row r="181857" customFormat="1" x14ac:dyDescent="0.25"/>
    <row r="181858" customFormat="1" x14ac:dyDescent="0.25"/>
    <row r="181859" customFormat="1" x14ac:dyDescent="0.25"/>
    <row r="181860" customFormat="1" x14ac:dyDescent="0.25"/>
    <row r="181861" customFormat="1" x14ac:dyDescent="0.25"/>
    <row r="181862" customFormat="1" x14ac:dyDescent="0.25"/>
    <row r="181863" customFormat="1" x14ac:dyDescent="0.25"/>
    <row r="181864" customFormat="1" x14ac:dyDescent="0.25"/>
    <row r="181865" customFormat="1" x14ac:dyDescent="0.25"/>
    <row r="181866" customFormat="1" x14ac:dyDescent="0.25"/>
    <row r="181867" customFormat="1" x14ac:dyDescent="0.25"/>
    <row r="181868" customFormat="1" x14ac:dyDescent="0.25"/>
    <row r="181869" customFormat="1" x14ac:dyDescent="0.25"/>
    <row r="181870" customFormat="1" x14ac:dyDescent="0.25"/>
    <row r="181871" customFormat="1" x14ac:dyDescent="0.25"/>
    <row r="181872" customFormat="1" x14ac:dyDescent="0.25"/>
    <row r="181873" customFormat="1" x14ac:dyDescent="0.25"/>
    <row r="181874" customFormat="1" x14ac:dyDescent="0.25"/>
    <row r="181875" customFormat="1" x14ac:dyDescent="0.25"/>
    <row r="181876" customFormat="1" x14ac:dyDescent="0.25"/>
    <row r="181877" customFormat="1" x14ac:dyDescent="0.25"/>
    <row r="181878" customFormat="1" x14ac:dyDescent="0.25"/>
    <row r="181879" customFormat="1" x14ac:dyDescent="0.25"/>
    <row r="181880" customFormat="1" x14ac:dyDescent="0.25"/>
    <row r="181881" customFormat="1" x14ac:dyDescent="0.25"/>
    <row r="181882" customFormat="1" x14ac:dyDescent="0.25"/>
    <row r="181883" customFormat="1" x14ac:dyDescent="0.25"/>
    <row r="181884" customFormat="1" x14ac:dyDescent="0.25"/>
    <row r="181885" customFormat="1" x14ac:dyDescent="0.25"/>
    <row r="181886" customFormat="1" x14ac:dyDescent="0.25"/>
    <row r="181887" customFormat="1" x14ac:dyDescent="0.25"/>
    <row r="181888" customFormat="1" x14ac:dyDescent="0.25"/>
    <row r="181889" customFormat="1" x14ac:dyDescent="0.25"/>
    <row r="181890" customFormat="1" x14ac:dyDescent="0.25"/>
    <row r="181891" customFormat="1" x14ac:dyDescent="0.25"/>
    <row r="181892" customFormat="1" x14ac:dyDescent="0.25"/>
    <row r="181893" customFormat="1" x14ac:dyDescent="0.25"/>
    <row r="181894" customFormat="1" x14ac:dyDescent="0.25"/>
    <row r="181895" customFormat="1" x14ac:dyDescent="0.25"/>
    <row r="181896" customFormat="1" x14ac:dyDescent="0.25"/>
    <row r="181897" customFormat="1" x14ac:dyDescent="0.25"/>
    <row r="181898" customFormat="1" x14ac:dyDescent="0.25"/>
    <row r="181899" customFormat="1" x14ac:dyDescent="0.25"/>
    <row r="181900" customFormat="1" x14ac:dyDescent="0.25"/>
    <row r="181901" customFormat="1" x14ac:dyDescent="0.25"/>
    <row r="181902" customFormat="1" x14ac:dyDescent="0.25"/>
    <row r="181903" customFormat="1" x14ac:dyDescent="0.25"/>
    <row r="181904" customFormat="1" x14ac:dyDescent="0.25"/>
    <row r="181905" customFormat="1" x14ac:dyDescent="0.25"/>
    <row r="181906" customFormat="1" x14ac:dyDescent="0.25"/>
    <row r="181907" customFormat="1" x14ac:dyDescent="0.25"/>
    <row r="181908" customFormat="1" x14ac:dyDescent="0.25"/>
    <row r="181909" customFormat="1" x14ac:dyDescent="0.25"/>
    <row r="181910" customFormat="1" x14ac:dyDescent="0.25"/>
    <row r="181911" customFormat="1" x14ac:dyDescent="0.25"/>
    <row r="181912" customFormat="1" x14ac:dyDescent="0.25"/>
    <row r="181913" customFormat="1" x14ac:dyDescent="0.25"/>
    <row r="181914" customFormat="1" x14ac:dyDescent="0.25"/>
    <row r="181915" customFormat="1" x14ac:dyDescent="0.25"/>
    <row r="181916" customFormat="1" x14ac:dyDescent="0.25"/>
    <row r="181917" customFormat="1" x14ac:dyDescent="0.25"/>
    <row r="181918" customFormat="1" x14ac:dyDescent="0.25"/>
    <row r="181919" customFormat="1" x14ac:dyDescent="0.25"/>
    <row r="181920" customFormat="1" x14ac:dyDescent="0.25"/>
    <row r="181921" customFormat="1" x14ac:dyDescent="0.25"/>
    <row r="181922" customFormat="1" x14ac:dyDescent="0.25"/>
    <row r="181923" customFormat="1" x14ac:dyDescent="0.25"/>
    <row r="181924" customFormat="1" x14ac:dyDescent="0.25"/>
    <row r="181925" customFormat="1" x14ac:dyDescent="0.25"/>
    <row r="181926" customFormat="1" x14ac:dyDescent="0.25"/>
    <row r="181927" customFormat="1" x14ac:dyDescent="0.25"/>
    <row r="181928" customFormat="1" x14ac:dyDescent="0.25"/>
    <row r="181929" customFormat="1" x14ac:dyDescent="0.25"/>
    <row r="181930" customFormat="1" x14ac:dyDescent="0.25"/>
    <row r="181931" customFormat="1" x14ac:dyDescent="0.25"/>
    <row r="181932" customFormat="1" x14ac:dyDescent="0.25"/>
    <row r="181933" customFormat="1" x14ac:dyDescent="0.25"/>
    <row r="181934" customFormat="1" x14ac:dyDescent="0.25"/>
    <row r="181935" customFormat="1" x14ac:dyDescent="0.25"/>
    <row r="181936" customFormat="1" x14ac:dyDescent="0.25"/>
    <row r="181937" customFormat="1" x14ac:dyDescent="0.25"/>
    <row r="181938" customFormat="1" x14ac:dyDescent="0.25"/>
    <row r="181939" customFormat="1" x14ac:dyDescent="0.25"/>
    <row r="181940" customFormat="1" x14ac:dyDescent="0.25"/>
    <row r="181941" customFormat="1" x14ac:dyDescent="0.25"/>
    <row r="181942" customFormat="1" x14ac:dyDescent="0.25"/>
    <row r="181943" customFormat="1" x14ac:dyDescent="0.25"/>
    <row r="181944" customFormat="1" x14ac:dyDescent="0.25"/>
    <row r="181945" customFormat="1" x14ac:dyDescent="0.25"/>
    <row r="181946" customFormat="1" x14ac:dyDescent="0.25"/>
    <row r="181947" customFormat="1" x14ac:dyDescent="0.25"/>
    <row r="181948" customFormat="1" x14ac:dyDescent="0.25"/>
    <row r="181949" customFormat="1" x14ac:dyDescent="0.25"/>
    <row r="181950" customFormat="1" x14ac:dyDescent="0.25"/>
    <row r="181951" customFormat="1" x14ac:dyDescent="0.25"/>
    <row r="181952" customFormat="1" x14ac:dyDescent="0.25"/>
    <row r="181953" customFormat="1" x14ac:dyDescent="0.25"/>
    <row r="181954" customFormat="1" x14ac:dyDescent="0.25"/>
    <row r="181955" customFormat="1" x14ac:dyDescent="0.25"/>
    <row r="181956" customFormat="1" x14ac:dyDescent="0.25"/>
    <row r="181957" customFormat="1" x14ac:dyDescent="0.25"/>
    <row r="181958" customFormat="1" x14ac:dyDescent="0.25"/>
    <row r="181959" customFormat="1" x14ac:dyDescent="0.25"/>
    <row r="181960" customFormat="1" x14ac:dyDescent="0.25"/>
    <row r="181961" customFormat="1" x14ac:dyDescent="0.25"/>
    <row r="181962" customFormat="1" x14ac:dyDescent="0.25"/>
    <row r="181963" customFormat="1" x14ac:dyDescent="0.25"/>
    <row r="181964" customFormat="1" x14ac:dyDescent="0.25"/>
    <row r="181965" customFormat="1" x14ac:dyDescent="0.25"/>
    <row r="181966" customFormat="1" x14ac:dyDescent="0.25"/>
    <row r="181967" customFormat="1" x14ac:dyDescent="0.25"/>
    <row r="181968" customFormat="1" x14ac:dyDescent="0.25"/>
    <row r="181969" customFormat="1" x14ac:dyDescent="0.25"/>
    <row r="181970" customFormat="1" x14ac:dyDescent="0.25"/>
    <row r="181971" customFormat="1" x14ac:dyDescent="0.25"/>
    <row r="181972" customFormat="1" x14ac:dyDescent="0.25"/>
    <row r="181973" customFormat="1" x14ac:dyDescent="0.25"/>
    <row r="181974" customFormat="1" x14ac:dyDescent="0.25"/>
    <row r="181975" customFormat="1" x14ac:dyDescent="0.25"/>
    <row r="181976" customFormat="1" x14ac:dyDescent="0.25"/>
    <row r="181977" customFormat="1" x14ac:dyDescent="0.25"/>
    <row r="181978" customFormat="1" x14ac:dyDescent="0.25"/>
    <row r="181979" customFormat="1" x14ac:dyDescent="0.25"/>
    <row r="181980" customFormat="1" x14ac:dyDescent="0.25"/>
    <row r="181981" customFormat="1" x14ac:dyDescent="0.25"/>
    <row r="181982" customFormat="1" x14ac:dyDescent="0.25"/>
    <row r="181983" customFormat="1" x14ac:dyDescent="0.25"/>
    <row r="181984" customFormat="1" x14ac:dyDescent="0.25"/>
    <row r="181985" customFormat="1" x14ac:dyDescent="0.25"/>
    <row r="181986" customFormat="1" x14ac:dyDescent="0.25"/>
    <row r="181987" customFormat="1" x14ac:dyDescent="0.25"/>
    <row r="181988" customFormat="1" x14ac:dyDescent="0.25"/>
    <row r="181989" customFormat="1" x14ac:dyDescent="0.25"/>
    <row r="181990" customFormat="1" x14ac:dyDescent="0.25"/>
    <row r="181991" customFormat="1" x14ac:dyDescent="0.25"/>
    <row r="181992" customFormat="1" x14ac:dyDescent="0.25"/>
    <row r="181993" customFormat="1" x14ac:dyDescent="0.25"/>
    <row r="181994" customFormat="1" x14ac:dyDescent="0.25"/>
    <row r="181995" customFormat="1" x14ac:dyDescent="0.25"/>
    <row r="181996" customFormat="1" x14ac:dyDescent="0.25"/>
    <row r="181997" customFormat="1" x14ac:dyDescent="0.25"/>
    <row r="181998" customFormat="1" x14ac:dyDescent="0.25"/>
    <row r="181999" customFormat="1" x14ac:dyDescent="0.25"/>
    <row r="182000" customFormat="1" x14ac:dyDescent="0.25"/>
    <row r="182001" customFormat="1" x14ac:dyDescent="0.25"/>
    <row r="182002" customFormat="1" x14ac:dyDescent="0.25"/>
    <row r="182003" customFormat="1" x14ac:dyDescent="0.25"/>
    <row r="182004" customFormat="1" x14ac:dyDescent="0.25"/>
    <row r="182005" customFormat="1" x14ac:dyDescent="0.25"/>
    <row r="182006" customFormat="1" x14ac:dyDescent="0.25"/>
    <row r="182007" customFormat="1" x14ac:dyDescent="0.25"/>
    <row r="182008" customFormat="1" x14ac:dyDescent="0.25"/>
    <row r="182009" customFormat="1" x14ac:dyDescent="0.25"/>
    <row r="182010" customFormat="1" x14ac:dyDescent="0.25"/>
    <row r="182011" customFormat="1" x14ac:dyDescent="0.25"/>
    <row r="182012" customFormat="1" x14ac:dyDescent="0.25"/>
    <row r="182013" customFormat="1" x14ac:dyDescent="0.25"/>
    <row r="182014" customFormat="1" x14ac:dyDescent="0.25"/>
    <row r="182015" customFormat="1" x14ac:dyDescent="0.25"/>
    <row r="182016" customFormat="1" x14ac:dyDescent="0.25"/>
    <row r="182017" customFormat="1" x14ac:dyDescent="0.25"/>
    <row r="182018" customFormat="1" x14ac:dyDescent="0.25"/>
    <row r="182019" customFormat="1" x14ac:dyDescent="0.25"/>
    <row r="182020" customFormat="1" x14ac:dyDescent="0.25"/>
    <row r="182021" customFormat="1" x14ac:dyDescent="0.25"/>
    <row r="182022" customFormat="1" x14ac:dyDescent="0.25"/>
    <row r="182023" customFormat="1" x14ac:dyDescent="0.25"/>
    <row r="182024" customFormat="1" x14ac:dyDescent="0.25"/>
    <row r="182025" customFormat="1" x14ac:dyDescent="0.25"/>
    <row r="182026" customFormat="1" x14ac:dyDescent="0.25"/>
    <row r="182027" customFormat="1" x14ac:dyDescent="0.25"/>
    <row r="182028" customFormat="1" x14ac:dyDescent="0.25"/>
    <row r="182029" customFormat="1" x14ac:dyDescent="0.25"/>
    <row r="182030" customFormat="1" x14ac:dyDescent="0.25"/>
    <row r="182031" customFormat="1" x14ac:dyDescent="0.25"/>
    <row r="182032" customFormat="1" x14ac:dyDescent="0.25"/>
    <row r="182033" customFormat="1" x14ac:dyDescent="0.25"/>
    <row r="182034" customFormat="1" x14ac:dyDescent="0.25"/>
    <row r="182035" customFormat="1" x14ac:dyDescent="0.25"/>
    <row r="182036" customFormat="1" x14ac:dyDescent="0.25"/>
    <row r="182037" customFormat="1" x14ac:dyDescent="0.25"/>
    <row r="182038" customFormat="1" x14ac:dyDescent="0.25"/>
    <row r="182039" customFormat="1" x14ac:dyDescent="0.25"/>
    <row r="182040" customFormat="1" x14ac:dyDescent="0.25"/>
    <row r="182041" customFormat="1" x14ac:dyDescent="0.25"/>
    <row r="182042" customFormat="1" x14ac:dyDescent="0.25"/>
    <row r="182043" customFormat="1" x14ac:dyDescent="0.25"/>
    <row r="182044" customFormat="1" x14ac:dyDescent="0.25"/>
    <row r="182045" customFormat="1" x14ac:dyDescent="0.25"/>
    <row r="182046" customFormat="1" x14ac:dyDescent="0.25"/>
    <row r="182047" customFormat="1" x14ac:dyDescent="0.25"/>
    <row r="182048" customFormat="1" x14ac:dyDescent="0.25"/>
    <row r="182049" customFormat="1" x14ac:dyDescent="0.25"/>
    <row r="182050" customFormat="1" x14ac:dyDescent="0.25"/>
    <row r="182051" customFormat="1" x14ac:dyDescent="0.25"/>
    <row r="182052" customFormat="1" x14ac:dyDescent="0.25"/>
    <row r="182053" customFormat="1" x14ac:dyDescent="0.25"/>
    <row r="182054" customFormat="1" x14ac:dyDescent="0.25"/>
    <row r="182055" customFormat="1" x14ac:dyDescent="0.25"/>
    <row r="182056" customFormat="1" x14ac:dyDescent="0.25"/>
    <row r="182057" customFormat="1" x14ac:dyDescent="0.25"/>
    <row r="182058" customFormat="1" x14ac:dyDescent="0.25"/>
    <row r="182059" customFormat="1" x14ac:dyDescent="0.25"/>
    <row r="182060" customFormat="1" x14ac:dyDescent="0.25"/>
    <row r="182061" customFormat="1" x14ac:dyDescent="0.25"/>
    <row r="182062" customFormat="1" x14ac:dyDescent="0.25"/>
    <row r="182063" customFormat="1" x14ac:dyDescent="0.25"/>
    <row r="182064" customFormat="1" x14ac:dyDescent="0.25"/>
    <row r="182065" customFormat="1" x14ac:dyDescent="0.25"/>
    <row r="182066" customFormat="1" x14ac:dyDescent="0.25"/>
    <row r="182067" customFormat="1" x14ac:dyDescent="0.25"/>
    <row r="182068" customFormat="1" x14ac:dyDescent="0.25"/>
    <row r="182069" customFormat="1" x14ac:dyDescent="0.25"/>
    <row r="182070" customFormat="1" x14ac:dyDescent="0.25"/>
    <row r="182071" customFormat="1" x14ac:dyDescent="0.25"/>
    <row r="182072" customFormat="1" x14ac:dyDescent="0.25"/>
    <row r="182073" customFormat="1" x14ac:dyDescent="0.25"/>
    <row r="182074" customFormat="1" x14ac:dyDescent="0.25"/>
    <row r="182075" customFormat="1" x14ac:dyDescent="0.25"/>
    <row r="182076" customFormat="1" x14ac:dyDescent="0.25"/>
    <row r="182077" customFormat="1" x14ac:dyDescent="0.25"/>
    <row r="182078" customFormat="1" x14ac:dyDescent="0.25"/>
    <row r="182079" customFormat="1" x14ac:dyDescent="0.25"/>
    <row r="182080" customFormat="1" x14ac:dyDescent="0.25"/>
    <row r="182081" customFormat="1" x14ac:dyDescent="0.25"/>
    <row r="182082" customFormat="1" x14ac:dyDescent="0.25"/>
    <row r="182083" customFormat="1" x14ac:dyDescent="0.25"/>
    <row r="182084" customFormat="1" x14ac:dyDescent="0.25"/>
    <row r="182085" customFormat="1" x14ac:dyDescent="0.25"/>
    <row r="182086" customFormat="1" x14ac:dyDescent="0.25"/>
    <row r="182087" customFormat="1" x14ac:dyDescent="0.25"/>
    <row r="182088" customFormat="1" x14ac:dyDescent="0.25"/>
    <row r="182089" customFormat="1" x14ac:dyDescent="0.25"/>
    <row r="182090" customFormat="1" x14ac:dyDescent="0.25"/>
    <row r="182091" customFormat="1" x14ac:dyDescent="0.25"/>
    <row r="182092" customFormat="1" x14ac:dyDescent="0.25"/>
    <row r="182093" customFormat="1" x14ac:dyDescent="0.25"/>
    <row r="182094" customFormat="1" x14ac:dyDescent="0.25"/>
    <row r="182095" customFormat="1" x14ac:dyDescent="0.25"/>
    <row r="182096" customFormat="1" x14ac:dyDescent="0.25"/>
    <row r="182097" customFormat="1" x14ac:dyDescent="0.25"/>
    <row r="182098" customFormat="1" x14ac:dyDescent="0.25"/>
    <row r="182099" customFormat="1" x14ac:dyDescent="0.25"/>
    <row r="182100" customFormat="1" x14ac:dyDescent="0.25"/>
    <row r="182101" customFormat="1" x14ac:dyDescent="0.25"/>
    <row r="182102" customFormat="1" x14ac:dyDescent="0.25"/>
    <row r="182103" customFormat="1" x14ac:dyDescent="0.25"/>
    <row r="182104" customFormat="1" x14ac:dyDescent="0.25"/>
    <row r="182105" customFormat="1" x14ac:dyDescent="0.25"/>
    <row r="182106" customFormat="1" x14ac:dyDescent="0.25"/>
    <row r="182107" customFormat="1" x14ac:dyDescent="0.25"/>
    <row r="182108" customFormat="1" x14ac:dyDescent="0.25"/>
    <row r="182109" customFormat="1" x14ac:dyDescent="0.25"/>
    <row r="182110" customFormat="1" x14ac:dyDescent="0.25"/>
    <row r="182111" customFormat="1" x14ac:dyDescent="0.25"/>
    <row r="182112" customFormat="1" x14ac:dyDescent="0.25"/>
    <row r="182113" customFormat="1" x14ac:dyDescent="0.25"/>
    <row r="182114" customFormat="1" x14ac:dyDescent="0.25"/>
    <row r="182115" customFormat="1" x14ac:dyDescent="0.25"/>
    <row r="182116" customFormat="1" x14ac:dyDescent="0.25"/>
    <row r="182117" customFormat="1" x14ac:dyDescent="0.25"/>
    <row r="182118" customFormat="1" x14ac:dyDescent="0.25"/>
    <row r="182119" customFormat="1" x14ac:dyDescent="0.25"/>
    <row r="182120" customFormat="1" x14ac:dyDescent="0.25"/>
    <row r="182121" customFormat="1" x14ac:dyDescent="0.25"/>
    <row r="182122" customFormat="1" x14ac:dyDescent="0.25"/>
    <row r="182123" customFormat="1" x14ac:dyDescent="0.25"/>
    <row r="182124" customFormat="1" x14ac:dyDescent="0.25"/>
    <row r="182125" customFormat="1" x14ac:dyDescent="0.25"/>
    <row r="182126" customFormat="1" x14ac:dyDescent="0.25"/>
    <row r="182127" customFormat="1" x14ac:dyDescent="0.25"/>
    <row r="182128" customFormat="1" x14ac:dyDescent="0.25"/>
    <row r="182129" customFormat="1" x14ac:dyDescent="0.25"/>
    <row r="182130" customFormat="1" x14ac:dyDescent="0.25"/>
    <row r="182131" customFormat="1" x14ac:dyDescent="0.25"/>
    <row r="182132" customFormat="1" x14ac:dyDescent="0.25"/>
    <row r="182133" customFormat="1" x14ac:dyDescent="0.25"/>
    <row r="182134" customFormat="1" x14ac:dyDescent="0.25"/>
    <row r="182135" customFormat="1" x14ac:dyDescent="0.25"/>
    <row r="182136" customFormat="1" x14ac:dyDescent="0.25"/>
    <row r="182137" customFormat="1" x14ac:dyDescent="0.25"/>
    <row r="182138" customFormat="1" x14ac:dyDescent="0.25"/>
    <row r="182139" customFormat="1" x14ac:dyDescent="0.25"/>
    <row r="182140" customFormat="1" x14ac:dyDescent="0.25"/>
    <row r="182141" customFormat="1" x14ac:dyDescent="0.25"/>
    <row r="182142" customFormat="1" x14ac:dyDescent="0.25"/>
    <row r="182143" customFormat="1" x14ac:dyDescent="0.25"/>
    <row r="182144" customFormat="1" x14ac:dyDescent="0.25"/>
    <row r="182145" customFormat="1" x14ac:dyDescent="0.25"/>
    <row r="182146" customFormat="1" x14ac:dyDescent="0.25"/>
    <row r="182147" customFormat="1" x14ac:dyDescent="0.25"/>
    <row r="182148" customFormat="1" x14ac:dyDescent="0.25"/>
    <row r="182149" customFormat="1" x14ac:dyDescent="0.25"/>
    <row r="182150" customFormat="1" x14ac:dyDescent="0.25"/>
    <row r="182151" customFormat="1" x14ac:dyDescent="0.25"/>
    <row r="182152" customFormat="1" x14ac:dyDescent="0.25"/>
    <row r="182153" customFormat="1" x14ac:dyDescent="0.25"/>
    <row r="182154" customFormat="1" x14ac:dyDescent="0.25"/>
    <row r="182155" customFormat="1" x14ac:dyDescent="0.25"/>
    <row r="182156" customFormat="1" x14ac:dyDescent="0.25"/>
    <row r="182157" customFormat="1" x14ac:dyDescent="0.25"/>
    <row r="182158" customFormat="1" x14ac:dyDescent="0.25"/>
    <row r="182159" customFormat="1" x14ac:dyDescent="0.25"/>
    <row r="182160" customFormat="1" x14ac:dyDescent="0.25"/>
    <row r="182161" customFormat="1" x14ac:dyDescent="0.25"/>
    <row r="182162" customFormat="1" x14ac:dyDescent="0.25"/>
    <row r="182163" customFormat="1" x14ac:dyDescent="0.25"/>
    <row r="182164" customFormat="1" x14ac:dyDescent="0.25"/>
    <row r="182165" customFormat="1" x14ac:dyDescent="0.25"/>
    <row r="182166" customFormat="1" x14ac:dyDescent="0.25"/>
    <row r="182167" customFormat="1" x14ac:dyDescent="0.25"/>
    <row r="182168" customFormat="1" x14ac:dyDescent="0.25"/>
    <row r="182169" customFormat="1" x14ac:dyDescent="0.25"/>
    <row r="182170" customFormat="1" x14ac:dyDescent="0.25"/>
    <row r="182171" customFormat="1" x14ac:dyDescent="0.25"/>
    <row r="182172" customFormat="1" x14ac:dyDescent="0.25"/>
    <row r="182173" customFormat="1" x14ac:dyDescent="0.25"/>
    <row r="182174" customFormat="1" x14ac:dyDescent="0.25"/>
    <row r="182175" customFormat="1" x14ac:dyDescent="0.25"/>
    <row r="182176" customFormat="1" x14ac:dyDescent="0.25"/>
    <row r="182177" customFormat="1" x14ac:dyDescent="0.25"/>
    <row r="182178" customFormat="1" x14ac:dyDescent="0.25"/>
    <row r="182179" customFormat="1" x14ac:dyDescent="0.25"/>
    <row r="182180" customFormat="1" x14ac:dyDescent="0.25"/>
    <row r="182181" customFormat="1" x14ac:dyDescent="0.25"/>
    <row r="182182" customFormat="1" x14ac:dyDescent="0.25"/>
    <row r="182183" customFormat="1" x14ac:dyDescent="0.25"/>
    <row r="182184" customFormat="1" x14ac:dyDescent="0.25"/>
    <row r="182185" customFormat="1" x14ac:dyDescent="0.25"/>
    <row r="182186" customFormat="1" x14ac:dyDescent="0.25"/>
    <row r="182187" customFormat="1" x14ac:dyDescent="0.25"/>
    <row r="182188" customFormat="1" x14ac:dyDescent="0.25"/>
    <row r="182189" customFormat="1" x14ac:dyDescent="0.25"/>
    <row r="182190" customFormat="1" x14ac:dyDescent="0.25"/>
    <row r="182191" customFormat="1" x14ac:dyDescent="0.25"/>
    <row r="182192" customFormat="1" x14ac:dyDescent="0.25"/>
    <row r="182193" customFormat="1" x14ac:dyDescent="0.25"/>
    <row r="182194" customFormat="1" x14ac:dyDescent="0.25"/>
    <row r="182195" customFormat="1" x14ac:dyDescent="0.25"/>
    <row r="182196" customFormat="1" x14ac:dyDescent="0.25"/>
    <row r="182197" customFormat="1" x14ac:dyDescent="0.25"/>
    <row r="182198" customFormat="1" x14ac:dyDescent="0.25"/>
    <row r="182199" customFormat="1" x14ac:dyDescent="0.25"/>
    <row r="182200" customFormat="1" x14ac:dyDescent="0.25"/>
    <row r="182201" customFormat="1" x14ac:dyDescent="0.25"/>
    <row r="182202" customFormat="1" x14ac:dyDescent="0.25"/>
    <row r="182203" customFormat="1" x14ac:dyDescent="0.25"/>
    <row r="182204" customFormat="1" x14ac:dyDescent="0.25"/>
    <row r="182205" customFormat="1" x14ac:dyDescent="0.25"/>
    <row r="182206" customFormat="1" x14ac:dyDescent="0.25"/>
    <row r="182207" customFormat="1" x14ac:dyDescent="0.25"/>
    <row r="182208" customFormat="1" x14ac:dyDescent="0.25"/>
    <row r="182209" customFormat="1" x14ac:dyDescent="0.25"/>
    <row r="182210" customFormat="1" x14ac:dyDescent="0.25"/>
    <row r="182211" customFormat="1" x14ac:dyDescent="0.25"/>
    <row r="182212" customFormat="1" x14ac:dyDescent="0.25"/>
    <row r="182213" customFormat="1" x14ac:dyDescent="0.25"/>
    <row r="182214" customFormat="1" x14ac:dyDescent="0.25"/>
    <row r="182215" customFormat="1" x14ac:dyDescent="0.25"/>
    <row r="182216" customFormat="1" x14ac:dyDescent="0.25"/>
    <row r="182217" customFormat="1" x14ac:dyDescent="0.25"/>
    <row r="182218" customFormat="1" x14ac:dyDescent="0.25"/>
    <row r="182219" customFormat="1" x14ac:dyDescent="0.25"/>
    <row r="182220" customFormat="1" x14ac:dyDescent="0.25"/>
    <row r="182221" customFormat="1" x14ac:dyDescent="0.25"/>
    <row r="182222" customFormat="1" x14ac:dyDescent="0.25"/>
    <row r="182223" customFormat="1" x14ac:dyDescent="0.25"/>
    <row r="182224" customFormat="1" x14ac:dyDescent="0.25"/>
    <row r="182225" customFormat="1" x14ac:dyDescent="0.25"/>
    <row r="182226" customFormat="1" x14ac:dyDescent="0.25"/>
    <row r="182227" customFormat="1" x14ac:dyDescent="0.25"/>
    <row r="182228" customFormat="1" x14ac:dyDescent="0.25"/>
    <row r="182229" customFormat="1" x14ac:dyDescent="0.25"/>
    <row r="182230" customFormat="1" x14ac:dyDescent="0.25"/>
    <row r="182231" customFormat="1" x14ac:dyDescent="0.25"/>
    <row r="182232" customFormat="1" x14ac:dyDescent="0.25"/>
    <row r="182233" customFormat="1" x14ac:dyDescent="0.25"/>
    <row r="182234" customFormat="1" x14ac:dyDescent="0.25"/>
    <row r="182235" customFormat="1" x14ac:dyDescent="0.25"/>
    <row r="182236" customFormat="1" x14ac:dyDescent="0.25"/>
    <row r="182237" customFormat="1" x14ac:dyDescent="0.25"/>
    <row r="182238" customFormat="1" x14ac:dyDescent="0.25"/>
    <row r="182239" customFormat="1" x14ac:dyDescent="0.25"/>
    <row r="182240" customFormat="1" x14ac:dyDescent="0.25"/>
    <row r="182241" customFormat="1" x14ac:dyDescent="0.25"/>
    <row r="182242" customFormat="1" x14ac:dyDescent="0.25"/>
    <row r="182243" customFormat="1" x14ac:dyDescent="0.25"/>
    <row r="182244" customFormat="1" x14ac:dyDescent="0.25"/>
    <row r="182245" customFormat="1" x14ac:dyDescent="0.25"/>
    <row r="182246" customFormat="1" x14ac:dyDescent="0.25"/>
    <row r="182247" customFormat="1" x14ac:dyDescent="0.25"/>
    <row r="182248" customFormat="1" x14ac:dyDescent="0.25"/>
    <row r="182249" customFormat="1" x14ac:dyDescent="0.25"/>
    <row r="182250" customFormat="1" x14ac:dyDescent="0.25"/>
    <row r="182251" customFormat="1" x14ac:dyDescent="0.25"/>
    <row r="182252" customFormat="1" x14ac:dyDescent="0.25"/>
    <row r="182253" customFormat="1" x14ac:dyDescent="0.25"/>
    <row r="182254" customFormat="1" x14ac:dyDescent="0.25"/>
    <row r="182255" customFormat="1" x14ac:dyDescent="0.25"/>
    <row r="182256" customFormat="1" x14ac:dyDescent="0.25"/>
    <row r="182257" customFormat="1" x14ac:dyDescent="0.25"/>
    <row r="182258" customFormat="1" x14ac:dyDescent="0.25"/>
    <row r="182259" customFormat="1" x14ac:dyDescent="0.25"/>
    <row r="182260" customFormat="1" x14ac:dyDescent="0.25"/>
    <row r="182261" customFormat="1" x14ac:dyDescent="0.25"/>
    <row r="182262" customFormat="1" x14ac:dyDescent="0.25"/>
    <row r="182263" customFormat="1" x14ac:dyDescent="0.25"/>
    <row r="182264" customFormat="1" x14ac:dyDescent="0.25"/>
    <row r="182265" customFormat="1" x14ac:dyDescent="0.25"/>
    <row r="182266" customFormat="1" x14ac:dyDescent="0.25"/>
    <row r="182267" customFormat="1" x14ac:dyDescent="0.25"/>
    <row r="182268" customFormat="1" x14ac:dyDescent="0.25"/>
    <row r="182269" customFormat="1" x14ac:dyDescent="0.25"/>
    <row r="182270" customFormat="1" x14ac:dyDescent="0.25"/>
    <row r="182271" customFormat="1" x14ac:dyDescent="0.25"/>
    <row r="182272" customFormat="1" x14ac:dyDescent="0.25"/>
    <row r="182273" customFormat="1" x14ac:dyDescent="0.25"/>
    <row r="182274" customFormat="1" x14ac:dyDescent="0.25"/>
    <row r="182275" customFormat="1" x14ac:dyDescent="0.25"/>
    <row r="182276" customFormat="1" x14ac:dyDescent="0.25"/>
    <row r="182277" customFormat="1" x14ac:dyDescent="0.25"/>
    <row r="182278" customFormat="1" x14ac:dyDescent="0.25"/>
    <row r="182279" customFormat="1" x14ac:dyDescent="0.25"/>
    <row r="182280" customFormat="1" x14ac:dyDescent="0.25"/>
    <row r="182281" customFormat="1" x14ac:dyDescent="0.25"/>
    <row r="182282" customFormat="1" x14ac:dyDescent="0.25"/>
    <row r="182283" customFormat="1" x14ac:dyDescent="0.25"/>
    <row r="182284" customFormat="1" x14ac:dyDescent="0.25"/>
    <row r="182285" customFormat="1" x14ac:dyDescent="0.25"/>
    <row r="182286" customFormat="1" x14ac:dyDescent="0.25"/>
    <row r="182287" customFormat="1" x14ac:dyDescent="0.25"/>
    <row r="182288" customFormat="1" x14ac:dyDescent="0.25"/>
    <row r="182289" customFormat="1" x14ac:dyDescent="0.25"/>
    <row r="182290" customFormat="1" x14ac:dyDescent="0.25"/>
    <row r="182291" customFormat="1" x14ac:dyDescent="0.25"/>
    <row r="182292" customFormat="1" x14ac:dyDescent="0.25"/>
    <row r="182293" customFormat="1" x14ac:dyDescent="0.25"/>
    <row r="182294" customFormat="1" x14ac:dyDescent="0.25"/>
    <row r="182295" customFormat="1" x14ac:dyDescent="0.25"/>
    <row r="182296" customFormat="1" x14ac:dyDescent="0.25"/>
    <row r="182297" customFormat="1" x14ac:dyDescent="0.25"/>
    <row r="182298" customFormat="1" x14ac:dyDescent="0.25"/>
    <row r="182299" customFormat="1" x14ac:dyDescent="0.25"/>
    <row r="182300" customFormat="1" x14ac:dyDescent="0.25"/>
    <row r="182301" customFormat="1" x14ac:dyDescent="0.25"/>
    <row r="182302" customFormat="1" x14ac:dyDescent="0.25"/>
    <row r="182303" customFormat="1" x14ac:dyDescent="0.25"/>
    <row r="182304" customFormat="1" x14ac:dyDescent="0.25"/>
    <row r="182305" customFormat="1" x14ac:dyDescent="0.25"/>
    <row r="182306" customFormat="1" x14ac:dyDescent="0.25"/>
    <row r="182307" customFormat="1" x14ac:dyDescent="0.25"/>
    <row r="182308" customFormat="1" x14ac:dyDescent="0.25"/>
    <row r="182309" customFormat="1" x14ac:dyDescent="0.25"/>
    <row r="182310" customFormat="1" x14ac:dyDescent="0.25"/>
    <row r="182311" customFormat="1" x14ac:dyDescent="0.25"/>
    <row r="182312" customFormat="1" x14ac:dyDescent="0.25"/>
    <row r="182313" customFormat="1" x14ac:dyDescent="0.25"/>
    <row r="182314" customFormat="1" x14ac:dyDescent="0.25"/>
    <row r="182315" customFormat="1" x14ac:dyDescent="0.25"/>
    <row r="182316" customFormat="1" x14ac:dyDescent="0.25"/>
    <row r="182317" customFormat="1" x14ac:dyDescent="0.25"/>
    <row r="182318" customFormat="1" x14ac:dyDescent="0.25"/>
    <row r="182319" customFormat="1" x14ac:dyDescent="0.25"/>
    <row r="182320" customFormat="1" x14ac:dyDescent="0.25"/>
    <row r="182321" customFormat="1" x14ac:dyDescent="0.25"/>
    <row r="182322" customFormat="1" x14ac:dyDescent="0.25"/>
    <row r="182323" customFormat="1" x14ac:dyDescent="0.25"/>
    <row r="182324" customFormat="1" x14ac:dyDescent="0.25"/>
    <row r="182325" customFormat="1" x14ac:dyDescent="0.25"/>
    <row r="182326" customFormat="1" x14ac:dyDescent="0.25"/>
    <row r="182327" customFormat="1" x14ac:dyDescent="0.25"/>
    <row r="182328" customFormat="1" x14ac:dyDescent="0.25"/>
    <row r="182329" customFormat="1" x14ac:dyDescent="0.25"/>
    <row r="182330" customFormat="1" x14ac:dyDescent="0.25"/>
    <row r="182331" customFormat="1" x14ac:dyDescent="0.25"/>
    <row r="182332" customFormat="1" x14ac:dyDescent="0.25"/>
    <row r="182333" customFormat="1" x14ac:dyDescent="0.25"/>
    <row r="182334" customFormat="1" x14ac:dyDescent="0.25"/>
    <row r="182335" customFormat="1" x14ac:dyDescent="0.25"/>
    <row r="182336" customFormat="1" x14ac:dyDescent="0.25"/>
    <row r="182337" customFormat="1" x14ac:dyDescent="0.25"/>
    <row r="182338" customFormat="1" x14ac:dyDescent="0.25"/>
    <row r="182339" customFormat="1" x14ac:dyDescent="0.25"/>
    <row r="182340" customFormat="1" x14ac:dyDescent="0.25"/>
    <row r="182341" customFormat="1" x14ac:dyDescent="0.25"/>
    <row r="182342" customFormat="1" x14ac:dyDescent="0.25"/>
    <row r="182343" customFormat="1" x14ac:dyDescent="0.25"/>
    <row r="182344" customFormat="1" x14ac:dyDescent="0.25"/>
    <row r="182345" customFormat="1" x14ac:dyDescent="0.25"/>
    <row r="182346" customFormat="1" x14ac:dyDescent="0.25"/>
    <row r="182347" customFormat="1" x14ac:dyDescent="0.25"/>
    <row r="182348" customFormat="1" x14ac:dyDescent="0.25"/>
    <row r="182349" customFormat="1" x14ac:dyDescent="0.25"/>
    <row r="182350" customFormat="1" x14ac:dyDescent="0.25"/>
    <row r="182351" customFormat="1" x14ac:dyDescent="0.25"/>
    <row r="182352" customFormat="1" x14ac:dyDescent="0.25"/>
    <row r="182353" customFormat="1" x14ac:dyDescent="0.25"/>
    <row r="182354" customFormat="1" x14ac:dyDescent="0.25"/>
    <row r="182355" customFormat="1" x14ac:dyDescent="0.25"/>
    <row r="182356" customFormat="1" x14ac:dyDescent="0.25"/>
    <row r="182357" customFormat="1" x14ac:dyDescent="0.25"/>
    <row r="182358" customFormat="1" x14ac:dyDescent="0.25"/>
    <row r="182359" customFormat="1" x14ac:dyDescent="0.25"/>
    <row r="182360" customFormat="1" x14ac:dyDescent="0.25"/>
    <row r="182361" customFormat="1" x14ac:dyDescent="0.25"/>
    <row r="182362" customFormat="1" x14ac:dyDescent="0.25"/>
    <row r="182363" customFormat="1" x14ac:dyDescent="0.25"/>
    <row r="182364" customFormat="1" x14ac:dyDescent="0.25"/>
    <row r="182365" customFormat="1" x14ac:dyDescent="0.25"/>
    <row r="182366" customFormat="1" x14ac:dyDescent="0.25"/>
    <row r="182367" customFormat="1" x14ac:dyDescent="0.25"/>
    <row r="182368" customFormat="1" x14ac:dyDescent="0.25"/>
    <row r="182369" customFormat="1" x14ac:dyDescent="0.25"/>
    <row r="182370" customFormat="1" x14ac:dyDescent="0.25"/>
    <row r="182371" customFormat="1" x14ac:dyDescent="0.25"/>
    <row r="182372" customFormat="1" x14ac:dyDescent="0.25"/>
    <row r="182373" customFormat="1" x14ac:dyDescent="0.25"/>
    <row r="182374" customFormat="1" x14ac:dyDescent="0.25"/>
    <row r="182375" customFormat="1" x14ac:dyDescent="0.25"/>
    <row r="182376" customFormat="1" x14ac:dyDescent="0.25"/>
    <row r="182377" customFormat="1" x14ac:dyDescent="0.25"/>
    <row r="182378" customFormat="1" x14ac:dyDescent="0.25"/>
    <row r="182379" customFormat="1" x14ac:dyDescent="0.25"/>
    <row r="182380" customFormat="1" x14ac:dyDescent="0.25"/>
    <row r="182381" customFormat="1" x14ac:dyDescent="0.25"/>
    <row r="182382" customFormat="1" x14ac:dyDescent="0.25"/>
    <row r="182383" customFormat="1" x14ac:dyDescent="0.25"/>
    <row r="182384" customFormat="1" x14ac:dyDescent="0.25"/>
    <row r="182385" customFormat="1" x14ac:dyDescent="0.25"/>
    <row r="182386" customFormat="1" x14ac:dyDescent="0.25"/>
    <row r="182387" customFormat="1" x14ac:dyDescent="0.25"/>
    <row r="182388" customFormat="1" x14ac:dyDescent="0.25"/>
    <row r="182389" customFormat="1" x14ac:dyDescent="0.25"/>
    <row r="182390" customFormat="1" x14ac:dyDescent="0.25"/>
    <row r="182391" customFormat="1" x14ac:dyDescent="0.25"/>
    <row r="182392" customFormat="1" x14ac:dyDescent="0.25"/>
    <row r="182393" customFormat="1" x14ac:dyDescent="0.25"/>
    <row r="182394" customFormat="1" x14ac:dyDescent="0.25"/>
    <row r="182395" customFormat="1" x14ac:dyDescent="0.25"/>
    <row r="182396" customFormat="1" x14ac:dyDescent="0.25"/>
    <row r="182397" customFormat="1" x14ac:dyDescent="0.25"/>
    <row r="182398" customFormat="1" x14ac:dyDescent="0.25"/>
    <row r="182399" customFormat="1" x14ac:dyDescent="0.25"/>
    <row r="182400" customFormat="1" x14ac:dyDescent="0.25"/>
    <row r="182401" customFormat="1" x14ac:dyDescent="0.25"/>
    <row r="182402" customFormat="1" x14ac:dyDescent="0.25"/>
    <row r="182403" customFormat="1" x14ac:dyDescent="0.25"/>
    <row r="182404" customFormat="1" x14ac:dyDescent="0.25"/>
    <row r="182405" customFormat="1" x14ac:dyDescent="0.25"/>
    <row r="182406" customFormat="1" x14ac:dyDescent="0.25"/>
    <row r="182407" customFormat="1" x14ac:dyDescent="0.25"/>
    <row r="182408" customFormat="1" x14ac:dyDescent="0.25"/>
    <row r="182409" customFormat="1" x14ac:dyDescent="0.25"/>
    <row r="182410" customFormat="1" x14ac:dyDescent="0.25"/>
    <row r="182411" customFormat="1" x14ac:dyDescent="0.25"/>
    <row r="182412" customFormat="1" x14ac:dyDescent="0.25"/>
    <row r="182413" customFormat="1" x14ac:dyDescent="0.25"/>
    <row r="182414" customFormat="1" x14ac:dyDescent="0.25"/>
    <row r="182415" customFormat="1" x14ac:dyDescent="0.25"/>
    <row r="182416" customFormat="1" x14ac:dyDescent="0.25"/>
    <row r="182417" customFormat="1" x14ac:dyDescent="0.25"/>
    <row r="182418" customFormat="1" x14ac:dyDescent="0.25"/>
    <row r="182419" customFormat="1" x14ac:dyDescent="0.25"/>
    <row r="182420" customFormat="1" x14ac:dyDescent="0.25"/>
    <row r="182421" customFormat="1" x14ac:dyDescent="0.25"/>
    <row r="182422" customFormat="1" x14ac:dyDescent="0.25"/>
    <row r="182423" customFormat="1" x14ac:dyDescent="0.25"/>
    <row r="182424" customFormat="1" x14ac:dyDescent="0.25"/>
    <row r="182425" customFormat="1" x14ac:dyDescent="0.25"/>
    <row r="182426" customFormat="1" x14ac:dyDescent="0.25"/>
    <row r="182427" customFormat="1" x14ac:dyDescent="0.25"/>
    <row r="182428" customFormat="1" x14ac:dyDescent="0.25"/>
    <row r="182429" customFormat="1" x14ac:dyDescent="0.25"/>
    <row r="182430" customFormat="1" x14ac:dyDescent="0.25"/>
    <row r="182431" customFormat="1" x14ac:dyDescent="0.25"/>
    <row r="182432" customFormat="1" x14ac:dyDescent="0.25"/>
    <row r="182433" customFormat="1" x14ac:dyDescent="0.25"/>
    <row r="182434" customFormat="1" x14ac:dyDescent="0.25"/>
    <row r="182435" customFormat="1" x14ac:dyDescent="0.25"/>
    <row r="182436" customFormat="1" x14ac:dyDescent="0.25"/>
    <row r="182437" customFormat="1" x14ac:dyDescent="0.25"/>
    <row r="182438" customFormat="1" x14ac:dyDescent="0.25"/>
    <row r="182439" customFormat="1" x14ac:dyDescent="0.25"/>
    <row r="182440" customFormat="1" x14ac:dyDescent="0.25"/>
    <row r="182441" customFormat="1" x14ac:dyDescent="0.25"/>
    <row r="182442" customFormat="1" x14ac:dyDescent="0.25"/>
    <row r="182443" customFormat="1" x14ac:dyDescent="0.25"/>
    <row r="182444" customFormat="1" x14ac:dyDescent="0.25"/>
    <row r="182445" customFormat="1" x14ac:dyDescent="0.25"/>
    <row r="182446" customFormat="1" x14ac:dyDescent="0.25"/>
    <row r="182447" customFormat="1" x14ac:dyDescent="0.25"/>
    <row r="182448" customFormat="1" x14ac:dyDescent="0.25"/>
    <row r="182449" customFormat="1" x14ac:dyDescent="0.25"/>
    <row r="182450" customFormat="1" x14ac:dyDescent="0.25"/>
    <row r="182451" customFormat="1" x14ac:dyDescent="0.25"/>
    <row r="182452" customFormat="1" x14ac:dyDescent="0.25"/>
    <row r="182453" customFormat="1" x14ac:dyDescent="0.25"/>
    <row r="182454" customFormat="1" x14ac:dyDescent="0.25"/>
    <row r="182455" customFormat="1" x14ac:dyDescent="0.25"/>
    <row r="182456" customFormat="1" x14ac:dyDescent="0.25"/>
    <row r="182457" customFormat="1" x14ac:dyDescent="0.25"/>
    <row r="182458" customFormat="1" x14ac:dyDescent="0.25"/>
    <row r="182459" customFormat="1" x14ac:dyDescent="0.25"/>
    <row r="182460" customFormat="1" x14ac:dyDescent="0.25"/>
    <row r="182461" customFormat="1" x14ac:dyDescent="0.25"/>
    <row r="182462" customFormat="1" x14ac:dyDescent="0.25"/>
    <row r="182463" customFormat="1" x14ac:dyDescent="0.25"/>
    <row r="182464" customFormat="1" x14ac:dyDescent="0.25"/>
    <row r="182465" customFormat="1" x14ac:dyDescent="0.25"/>
    <row r="182466" customFormat="1" x14ac:dyDescent="0.25"/>
    <row r="182467" customFormat="1" x14ac:dyDescent="0.25"/>
    <row r="182468" customFormat="1" x14ac:dyDescent="0.25"/>
    <row r="182469" customFormat="1" x14ac:dyDescent="0.25"/>
    <row r="182470" customFormat="1" x14ac:dyDescent="0.25"/>
    <row r="182471" customFormat="1" x14ac:dyDescent="0.25"/>
    <row r="182472" customFormat="1" x14ac:dyDescent="0.25"/>
    <row r="182473" customFormat="1" x14ac:dyDescent="0.25"/>
    <row r="182474" customFormat="1" x14ac:dyDescent="0.25"/>
    <row r="182475" customFormat="1" x14ac:dyDescent="0.25"/>
    <row r="182476" customFormat="1" x14ac:dyDescent="0.25"/>
    <row r="182477" customFormat="1" x14ac:dyDescent="0.25"/>
    <row r="182478" customFormat="1" x14ac:dyDescent="0.25"/>
    <row r="182479" customFormat="1" x14ac:dyDescent="0.25"/>
    <row r="182480" customFormat="1" x14ac:dyDescent="0.25"/>
    <row r="182481" customFormat="1" x14ac:dyDescent="0.25"/>
    <row r="182482" customFormat="1" x14ac:dyDescent="0.25"/>
    <row r="182483" customFormat="1" x14ac:dyDescent="0.25"/>
    <row r="182484" customFormat="1" x14ac:dyDescent="0.25"/>
    <row r="182485" customFormat="1" x14ac:dyDescent="0.25"/>
    <row r="182486" customFormat="1" x14ac:dyDescent="0.25"/>
    <row r="182487" customFormat="1" x14ac:dyDescent="0.25"/>
    <row r="182488" customFormat="1" x14ac:dyDescent="0.25"/>
    <row r="182489" customFormat="1" x14ac:dyDescent="0.25"/>
    <row r="182490" customFormat="1" x14ac:dyDescent="0.25"/>
    <row r="182491" customFormat="1" x14ac:dyDescent="0.25"/>
    <row r="182492" customFormat="1" x14ac:dyDescent="0.25"/>
    <row r="182493" customFormat="1" x14ac:dyDescent="0.25"/>
    <row r="182494" customFormat="1" x14ac:dyDescent="0.25"/>
    <row r="182495" customFormat="1" x14ac:dyDescent="0.25"/>
    <row r="182496" customFormat="1" x14ac:dyDescent="0.25"/>
    <row r="182497" customFormat="1" x14ac:dyDescent="0.25"/>
    <row r="182498" customFormat="1" x14ac:dyDescent="0.25"/>
    <row r="182499" customFormat="1" x14ac:dyDescent="0.25"/>
    <row r="182500" customFormat="1" x14ac:dyDescent="0.25"/>
    <row r="182501" customFormat="1" x14ac:dyDescent="0.25"/>
    <row r="182502" customFormat="1" x14ac:dyDescent="0.25"/>
    <row r="182503" customFormat="1" x14ac:dyDescent="0.25"/>
    <row r="182504" customFormat="1" x14ac:dyDescent="0.25"/>
    <row r="182505" customFormat="1" x14ac:dyDescent="0.25"/>
    <row r="182506" customFormat="1" x14ac:dyDescent="0.25"/>
    <row r="182507" customFormat="1" x14ac:dyDescent="0.25"/>
    <row r="182508" customFormat="1" x14ac:dyDescent="0.25"/>
    <row r="182509" customFormat="1" x14ac:dyDescent="0.25"/>
    <row r="182510" customFormat="1" x14ac:dyDescent="0.25"/>
    <row r="182511" customFormat="1" x14ac:dyDescent="0.25"/>
    <row r="182512" customFormat="1" x14ac:dyDescent="0.25"/>
    <row r="182513" customFormat="1" x14ac:dyDescent="0.25"/>
    <row r="182514" customFormat="1" x14ac:dyDescent="0.25"/>
    <row r="182515" customFormat="1" x14ac:dyDescent="0.25"/>
    <row r="182516" customFormat="1" x14ac:dyDescent="0.25"/>
    <row r="182517" customFormat="1" x14ac:dyDescent="0.25"/>
    <row r="182518" customFormat="1" x14ac:dyDescent="0.25"/>
    <row r="182519" customFormat="1" x14ac:dyDescent="0.25"/>
    <row r="182520" customFormat="1" x14ac:dyDescent="0.25"/>
    <row r="182521" customFormat="1" x14ac:dyDescent="0.25"/>
    <row r="182522" customFormat="1" x14ac:dyDescent="0.25"/>
    <row r="182523" customFormat="1" x14ac:dyDescent="0.25"/>
    <row r="182524" customFormat="1" x14ac:dyDescent="0.25"/>
    <row r="182525" customFormat="1" x14ac:dyDescent="0.25"/>
    <row r="182526" customFormat="1" x14ac:dyDescent="0.25"/>
    <row r="182527" customFormat="1" x14ac:dyDescent="0.25"/>
    <row r="182528" customFormat="1" x14ac:dyDescent="0.25"/>
    <row r="182529" customFormat="1" x14ac:dyDescent="0.25"/>
    <row r="182530" customFormat="1" x14ac:dyDescent="0.25"/>
    <row r="182531" customFormat="1" x14ac:dyDescent="0.25"/>
    <row r="182532" customFormat="1" x14ac:dyDescent="0.25"/>
    <row r="182533" customFormat="1" x14ac:dyDescent="0.25"/>
    <row r="182534" customFormat="1" x14ac:dyDescent="0.25"/>
    <row r="182535" customFormat="1" x14ac:dyDescent="0.25"/>
    <row r="182536" customFormat="1" x14ac:dyDescent="0.25"/>
    <row r="182537" customFormat="1" x14ac:dyDescent="0.25"/>
    <row r="182538" customFormat="1" x14ac:dyDescent="0.25"/>
    <row r="182539" customFormat="1" x14ac:dyDescent="0.25"/>
    <row r="182540" customFormat="1" x14ac:dyDescent="0.25"/>
    <row r="182541" customFormat="1" x14ac:dyDescent="0.25"/>
    <row r="182542" customFormat="1" x14ac:dyDescent="0.25"/>
    <row r="182543" customFormat="1" x14ac:dyDescent="0.25"/>
    <row r="182544" customFormat="1" x14ac:dyDescent="0.25"/>
    <row r="182545" customFormat="1" x14ac:dyDescent="0.25"/>
    <row r="182546" customFormat="1" x14ac:dyDescent="0.25"/>
    <row r="182547" customFormat="1" x14ac:dyDescent="0.25"/>
    <row r="182548" customFormat="1" x14ac:dyDescent="0.25"/>
    <row r="182549" customFormat="1" x14ac:dyDescent="0.25"/>
    <row r="182550" customFormat="1" x14ac:dyDescent="0.25"/>
    <row r="182551" customFormat="1" x14ac:dyDescent="0.25"/>
    <row r="182552" customFormat="1" x14ac:dyDescent="0.25"/>
    <row r="182553" customFormat="1" x14ac:dyDescent="0.25"/>
    <row r="182554" customFormat="1" x14ac:dyDescent="0.25"/>
    <row r="182555" customFormat="1" x14ac:dyDescent="0.25"/>
    <row r="182556" customFormat="1" x14ac:dyDescent="0.25"/>
    <row r="182557" customFormat="1" x14ac:dyDescent="0.25"/>
    <row r="182558" customFormat="1" x14ac:dyDescent="0.25"/>
    <row r="182559" customFormat="1" x14ac:dyDescent="0.25"/>
    <row r="182560" customFormat="1" x14ac:dyDescent="0.25"/>
    <row r="182561" customFormat="1" x14ac:dyDescent="0.25"/>
    <row r="182562" customFormat="1" x14ac:dyDescent="0.25"/>
    <row r="182563" customFormat="1" x14ac:dyDescent="0.25"/>
    <row r="182564" customFormat="1" x14ac:dyDescent="0.25"/>
    <row r="182565" customFormat="1" x14ac:dyDescent="0.25"/>
    <row r="182566" customFormat="1" x14ac:dyDescent="0.25"/>
    <row r="182567" customFormat="1" x14ac:dyDescent="0.25"/>
    <row r="182568" customFormat="1" x14ac:dyDescent="0.25"/>
    <row r="182569" customFormat="1" x14ac:dyDescent="0.25"/>
    <row r="182570" customFormat="1" x14ac:dyDescent="0.25"/>
    <row r="182571" customFormat="1" x14ac:dyDescent="0.25"/>
    <row r="182572" customFormat="1" x14ac:dyDescent="0.25"/>
    <row r="182573" customFormat="1" x14ac:dyDescent="0.25"/>
    <row r="182574" customFormat="1" x14ac:dyDescent="0.25"/>
    <row r="182575" customFormat="1" x14ac:dyDescent="0.25"/>
    <row r="182576" customFormat="1" x14ac:dyDescent="0.25"/>
    <row r="182577" customFormat="1" x14ac:dyDescent="0.25"/>
    <row r="182578" customFormat="1" x14ac:dyDescent="0.25"/>
    <row r="182579" customFormat="1" x14ac:dyDescent="0.25"/>
    <row r="182580" customFormat="1" x14ac:dyDescent="0.25"/>
    <row r="182581" customFormat="1" x14ac:dyDescent="0.25"/>
    <row r="182582" customFormat="1" x14ac:dyDescent="0.25"/>
    <row r="182583" customFormat="1" x14ac:dyDescent="0.25"/>
    <row r="182584" customFormat="1" x14ac:dyDescent="0.25"/>
    <row r="182585" customFormat="1" x14ac:dyDescent="0.25"/>
    <row r="182586" customFormat="1" x14ac:dyDescent="0.25"/>
    <row r="182587" customFormat="1" x14ac:dyDescent="0.25"/>
    <row r="182588" customFormat="1" x14ac:dyDescent="0.25"/>
    <row r="182589" customFormat="1" x14ac:dyDescent="0.25"/>
    <row r="182590" customFormat="1" x14ac:dyDescent="0.25"/>
    <row r="182591" customFormat="1" x14ac:dyDescent="0.25"/>
    <row r="182592" customFormat="1" x14ac:dyDescent="0.25"/>
    <row r="182593" customFormat="1" x14ac:dyDescent="0.25"/>
    <row r="182594" customFormat="1" x14ac:dyDescent="0.25"/>
    <row r="182595" customFormat="1" x14ac:dyDescent="0.25"/>
    <row r="182596" customFormat="1" x14ac:dyDescent="0.25"/>
    <row r="182597" customFormat="1" x14ac:dyDescent="0.25"/>
    <row r="182598" customFormat="1" x14ac:dyDescent="0.25"/>
    <row r="182599" customFormat="1" x14ac:dyDescent="0.25"/>
    <row r="182600" customFormat="1" x14ac:dyDescent="0.25"/>
    <row r="182601" customFormat="1" x14ac:dyDescent="0.25"/>
    <row r="182602" customFormat="1" x14ac:dyDescent="0.25"/>
    <row r="182603" customFormat="1" x14ac:dyDescent="0.25"/>
    <row r="182604" customFormat="1" x14ac:dyDescent="0.25"/>
    <row r="182605" customFormat="1" x14ac:dyDescent="0.25"/>
    <row r="182606" customFormat="1" x14ac:dyDescent="0.25"/>
    <row r="182607" customFormat="1" x14ac:dyDescent="0.25"/>
    <row r="182608" customFormat="1" x14ac:dyDescent="0.25"/>
    <row r="182609" customFormat="1" x14ac:dyDescent="0.25"/>
    <row r="182610" customFormat="1" x14ac:dyDescent="0.25"/>
    <row r="182611" customFormat="1" x14ac:dyDescent="0.25"/>
    <row r="182612" customFormat="1" x14ac:dyDescent="0.25"/>
    <row r="182613" customFormat="1" x14ac:dyDescent="0.25"/>
    <row r="182614" customFormat="1" x14ac:dyDescent="0.25"/>
    <row r="182615" customFormat="1" x14ac:dyDescent="0.25"/>
    <row r="182616" customFormat="1" x14ac:dyDescent="0.25"/>
    <row r="182617" customFormat="1" x14ac:dyDescent="0.25"/>
    <row r="182618" customFormat="1" x14ac:dyDescent="0.25"/>
    <row r="182619" customFormat="1" x14ac:dyDescent="0.25"/>
    <row r="182620" customFormat="1" x14ac:dyDescent="0.25"/>
    <row r="182621" customFormat="1" x14ac:dyDescent="0.25"/>
    <row r="182622" customFormat="1" x14ac:dyDescent="0.25"/>
    <row r="182623" customFormat="1" x14ac:dyDescent="0.25"/>
    <row r="182624" customFormat="1" x14ac:dyDescent="0.25"/>
    <row r="182625" customFormat="1" x14ac:dyDescent="0.25"/>
    <row r="182626" customFormat="1" x14ac:dyDescent="0.25"/>
    <row r="182627" customFormat="1" x14ac:dyDescent="0.25"/>
    <row r="182628" customFormat="1" x14ac:dyDescent="0.25"/>
    <row r="182629" customFormat="1" x14ac:dyDescent="0.25"/>
    <row r="182630" customFormat="1" x14ac:dyDescent="0.25"/>
    <row r="182631" customFormat="1" x14ac:dyDescent="0.25"/>
    <row r="182632" customFormat="1" x14ac:dyDescent="0.25"/>
    <row r="182633" customFormat="1" x14ac:dyDescent="0.25"/>
    <row r="182634" customFormat="1" x14ac:dyDescent="0.25"/>
    <row r="182635" customFormat="1" x14ac:dyDescent="0.25"/>
    <row r="182636" customFormat="1" x14ac:dyDescent="0.25"/>
    <row r="182637" customFormat="1" x14ac:dyDescent="0.25"/>
    <row r="182638" customFormat="1" x14ac:dyDescent="0.25"/>
    <row r="182639" customFormat="1" x14ac:dyDescent="0.25"/>
    <row r="182640" customFormat="1" x14ac:dyDescent="0.25"/>
    <row r="182641" customFormat="1" x14ac:dyDescent="0.25"/>
    <row r="182642" customFormat="1" x14ac:dyDescent="0.25"/>
    <row r="182643" customFormat="1" x14ac:dyDescent="0.25"/>
    <row r="182644" customFormat="1" x14ac:dyDescent="0.25"/>
    <row r="182645" customFormat="1" x14ac:dyDescent="0.25"/>
    <row r="182646" customFormat="1" x14ac:dyDescent="0.25"/>
    <row r="182647" customFormat="1" x14ac:dyDescent="0.25"/>
    <row r="182648" customFormat="1" x14ac:dyDescent="0.25"/>
    <row r="182649" customFormat="1" x14ac:dyDescent="0.25"/>
    <row r="182650" customFormat="1" x14ac:dyDescent="0.25"/>
    <row r="182651" customFormat="1" x14ac:dyDescent="0.25"/>
    <row r="182652" customFormat="1" x14ac:dyDescent="0.25"/>
    <row r="182653" customFormat="1" x14ac:dyDescent="0.25"/>
    <row r="182654" customFormat="1" x14ac:dyDescent="0.25"/>
    <row r="182655" customFormat="1" x14ac:dyDescent="0.25"/>
    <row r="182656" customFormat="1" x14ac:dyDescent="0.25"/>
    <row r="182657" customFormat="1" x14ac:dyDescent="0.25"/>
    <row r="182658" customFormat="1" x14ac:dyDescent="0.25"/>
    <row r="182659" customFormat="1" x14ac:dyDescent="0.25"/>
    <row r="182660" customFormat="1" x14ac:dyDescent="0.25"/>
    <row r="182661" customFormat="1" x14ac:dyDescent="0.25"/>
    <row r="182662" customFormat="1" x14ac:dyDescent="0.25"/>
    <row r="182663" customFormat="1" x14ac:dyDescent="0.25"/>
    <row r="182664" customFormat="1" x14ac:dyDescent="0.25"/>
    <row r="182665" customFormat="1" x14ac:dyDescent="0.25"/>
    <row r="182666" customFormat="1" x14ac:dyDescent="0.25"/>
    <row r="182667" customFormat="1" x14ac:dyDescent="0.25"/>
    <row r="182668" customFormat="1" x14ac:dyDescent="0.25"/>
    <row r="182669" customFormat="1" x14ac:dyDescent="0.25"/>
    <row r="182670" customFormat="1" x14ac:dyDescent="0.25"/>
    <row r="182671" customFormat="1" x14ac:dyDescent="0.25"/>
    <row r="182672" customFormat="1" x14ac:dyDescent="0.25"/>
    <row r="182673" customFormat="1" x14ac:dyDescent="0.25"/>
    <row r="182674" customFormat="1" x14ac:dyDescent="0.25"/>
    <row r="182675" customFormat="1" x14ac:dyDescent="0.25"/>
    <row r="182676" customFormat="1" x14ac:dyDescent="0.25"/>
    <row r="182677" customFormat="1" x14ac:dyDescent="0.25"/>
    <row r="182678" customFormat="1" x14ac:dyDescent="0.25"/>
    <row r="182679" customFormat="1" x14ac:dyDescent="0.25"/>
    <row r="182680" customFormat="1" x14ac:dyDescent="0.25"/>
    <row r="182681" customFormat="1" x14ac:dyDescent="0.25"/>
    <row r="182682" customFormat="1" x14ac:dyDescent="0.25"/>
    <row r="182683" customFormat="1" x14ac:dyDescent="0.25"/>
    <row r="182684" customFormat="1" x14ac:dyDescent="0.25"/>
    <row r="182685" customFormat="1" x14ac:dyDescent="0.25"/>
    <row r="182686" customFormat="1" x14ac:dyDescent="0.25"/>
    <row r="182687" customFormat="1" x14ac:dyDescent="0.25"/>
    <row r="182688" customFormat="1" x14ac:dyDescent="0.25"/>
    <row r="182689" customFormat="1" x14ac:dyDescent="0.25"/>
    <row r="182690" customFormat="1" x14ac:dyDescent="0.25"/>
    <row r="182691" customFormat="1" x14ac:dyDescent="0.25"/>
    <row r="182692" customFormat="1" x14ac:dyDescent="0.25"/>
    <row r="182693" customFormat="1" x14ac:dyDescent="0.25"/>
    <row r="182694" customFormat="1" x14ac:dyDescent="0.25"/>
    <row r="182695" customFormat="1" x14ac:dyDescent="0.25"/>
    <row r="182696" customFormat="1" x14ac:dyDescent="0.25"/>
    <row r="182697" customFormat="1" x14ac:dyDescent="0.25"/>
    <row r="182698" customFormat="1" x14ac:dyDescent="0.25"/>
    <row r="182699" customFormat="1" x14ac:dyDescent="0.25"/>
    <row r="182700" customFormat="1" x14ac:dyDescent="0.25"/>
    <row r="182701" customFormat="1" x14ac:dyDescent="0.25"/>
    <row r="182702" customFormat="1" x14ac:dyDescent="0.25"/>
    <row r="182703" customFormat="1" x14ac:dyDescent="0.25"/>
    <row r="182704" customFormat="1" x14ac:dyDescent="0.25"/>
    <row r="182705" customFormat="1" x14ac:dyDescent="0.25"/>
    <row r="182706" customFormat="1" x14ac:dyDescent="0.25"/>
    <row r="182707" customFormat="1" x14ac:dyDescent="0.25"/>
    <row r="182708" customFormat="1" x14ac:dyDescent="0.25"/>
    <row r="182709" customFormat="1" x14ac:dyDescent="0.25"/>
    <row r="182710" customFormat="1" x14ac:dyDescent="0.25"/>
    <row r="182711" customFormat="1" x14ac:dyDescent="0.25"/>
    <row r="182712" customFormat="1" x14ac:dyDescent="0.25"/>
    <row r="182713" customFormat="1" x14ac:dyDescent="0.25"/>
    <row r="182714" customFormat="1" x14ac:dyDescent="0.25"/>
    <row r="182715" customFormat="1" x14ac:dyDescent="0.25"/>
    <row r="182716" customFormat="1" x14ac:dyDescent="0.25"/>
    <row r="182717" customFormat="1" x14ac:dyDescent="0.25"/>
    <row r="182718" customFormat="1" x14ac:dyDescent="0.25"/>
    <row r="182719" customFormat="1" x14ac:dyDescent="0.25"/>
    <row r="182720" customFormat="1" x14ac:dyDescent="0.25"/>
    <row r="182721" customFormat="1" x14ac:dyDescent="0.25"/>
    <row r="182722" customFormat="1" x14ac:dyDescent="0.25"/>
    <row r="182723" customFormat="1" x14ac:dyDescent="0.25"/>
    <row r="182724" customFormat="1" x14ac:dyDescent="0.25"/>
    <row r="182725" customFormat="1" x14ac:dyDescent="0.25"/>
    <row r="182726" customFormat="1" x14ac:dyDescent="0.25"/>
    <row r="182727" customFormat="1" x14ac:dyDescent="0.25"/>
    <row r="182728" customFormat="1" x14ac:dyDescent="0.25"/>
    <row r="182729" customFormat="1" x14ac:dyDescent="0.25"/>
    <row r="182730" customFormat="1" x14ac:dyDescent="0.25"/>
    <row r="182731" customFormat="1" x14ac:dyDescent="0.25"/>
    <row r="182732" customFormat="1" x14ac:dyDescent="0.25"/>
    <row r="182733" customFormat="1" x14ac:dyDescent="0.25"/>
    <row r="182734" customFormat="1" x14ac:dyDescent="0.25"/>
    <row r="182735" customFormat="1" x14ac:dyDescent="0.25"/>
    <row r="182736" customFormat="1" x14ac:dyDescent="0.25"/>
    <row r="182737" customFormat="1" x14ac:dyDescent="0.25"/>
    <row r="182738" customFormat="1" x14ac:dyDescent="0.25"/>
    <row r="182739" customFormat="1" x14ac:dyDescent="0.25"/>
    <row r="182740" customFormat="1" x14ac:dyDescent="0.25"/>
    <row r="182741" customFormat="1" x14ac:dyDescent="0.25"/>
    <row r="182742" customFormat="1" x14ac:dyDescent="0.25"/>
    <row r="182743" customFormat="1" x14ac:dyDescent="0.25"/>
    <row r="182744" customFormat="1" x14ac:dyDescent="0.25"/>
    <row r="182745" customFormat="1" x14ac:dyDescent="0.25"/>
    <row r="182746" customFormat="1" x14ac:dyDescent="0.25"/>
    <row r="182747" customFormat="1" x14ac:dyDescent="0.25"/>
    <row r="182748" customFormat="1" x14ac:dyDescent="0.25"/>
    <row r="182749" customFormat="1" x14ac:dyDescent="0.25"/>
    <row r="182750" customFormat="1" x14ac:dyDescent="0.25"/>
    <row r="182751" customFormat="1" x14ac:dyDescent="0.25"/>
    <row r="182752" customFormat="1" x14ac:dyDescent="0.25"/>
    <row r="182753" customFormat="1" x14ac:dyDescent="0.25"/>
    <row r="182754" customFormat="1" x14ac:dyDescent="0.25"/>
    <row r="182755" customFormat="1" x14ac:dyDescent="0.25"/>
    <row r="182756" customFormat="1" x14ac:dyDescent="0.25"/>
    <row r="182757" customFormat="1" x14ac:dyDescent="0.25"/>
    <row r="182758" customFormat="1" x14ac:dyDescent="0.25"/>
    <row r="182759" customFormat="1" x14ac:dyDescent="0.25"/>
    <row r="182760" customFormat="1" x14ac:dyDescent="0.25"/>
    <row r="182761" customFormat="1" x14ac:dyDescent="0.25"/>
    <row r="182762" customFormat="1" x14ac:dyDescent="0.25"/>
    <row r="182763" customFormat="1" x14ac:dyDescent="0.25"/>
    <row r="182764" customFormat="1" x14ac:dyDescent="0.25"/>
    <row r="182765" customFormat="1" x14ac:dyDescent="0.25"/>
    <row r="182766" customFormat="1" x14ac:dyDescent="0.25"/>
    <row r="182767" customFormat="1" x14ac:dyDescent="0.25"/>
    <row r="182768" customFormat="1" x14ac:dyDescent="0.25"/>
    <row r="182769" customFormat="1" x14ac:dyDescent="0.25"/>
    <row r="182770" customFormat="1" x14ac:dyDescent="0.25"/>
    <row r="182771" customFormat="1" x14ac:dyDescent="0.25"/>
    <row r="182772" customFormat="1" x14ac:dyDescent="0.25"/>
    <row r="182773" customFormat="1" x14ac:dyDescent="0.25"/>
    <row r="182774" customFormat="1" x14ac:dyDescent="0.25"/>
    <row r="182775" customFormat="1" x14ac:dyDescent="0.25"/>
    <row r="182776" customFormat="1" x14ac:dyDescent="0.25"/>
    <row r="182777" customFormat="1" x14ac:dyDescent="0.25"/>
    <row r="182778" customFormat="1" x14ac:dyDescent="0.25"/>
    <row r="182779" customFormat="1" x14ac:dyDescent="0.25"/>
    <row r="182780" customFormat="1" x14ac:dyDescent="0.25"/>
    <row r="182781" customFormat="1" x14ac:dyDescent="0.25"/>
    <row r="182782" customFormat="1" x14ac:dyDescent="0.25"/>
    <row r="182783" customFormat="1" x14ac:dyDescent="0.25"/>
    <row r="182784" customFormat="1" x14ac:dyDescent="0.25"/>
    <row r="182785" customFormat="1" x14ac:dyDescent="0.25"/>
    <row r="182786" customFormat="1" x14ac:dyDescent="0.25"/>
    <row r="182787" customFormat="1" x14ac:dyDescent="0.25"/>
    <row r="182788" customFormat="1" x14ac:dyDescent="0.25"/>
    <row r="182789" customFormat="1" x14ac:dyDescent="0.25"/>
    <row r="182790" customFormat="1" x14ac:dyDescent="0.25"/>
    <row r="182791" customFormat="1" x14ac:dyDescent="0.25"/>
    <row r="182792" customFormat="1" x14ac:dyDescent="0.25"/>
    <row r="182793" customFormat="1" x14ac:dyDescent="0.25"/>
    <row r="182794" customFormat="1" x14ac:dyDescent="0.25"/>
    <row r="182795" customFormat="1" x14ac:dyDescent="0.25"/>
    <row r="182796" customFormat="1" x14ac:dyDescent="0.25"/>
    <row r="182797" customFormat="1" x14ac:dyDescent="0.25"/>
    <row r="182798" customFormat="1" x14ac:dyDescent="0.25"/>
    <row r="182799" customFormat="1" x14ac:dyDescent="0.25"/>
    <row r="182800" customFormat="1" x14ac:dyDescent="0.25"/>
    <row r="182801" customFormat="1" x14ac:dyDescent="0.25"/>
    <row r="182802" customFormat="1" x14ac:dyDescent="0.25"/>
    <row r="182803" customFormat="1" x14ac:dyDescent="0.25"/>
    <row r="182804" customFormat="1" x14ac:dyDescent="0.25"/>
    <row r="182805" customFormat="1" x14ac:dyDescent="0.25"/>
    <row r="182806" customFormat="1" x14ac:dyDescent="0.25"/>
    <row r="182807" customFormat="1" x14ac:dyDescent="0.25"/>
    <row r="182808" customFormat="1" x14ac:dyDescent="0.25"/>
    <row r="182809" customFormat="1" x14ac:dyDescent="0.25"/>
    <row r="182810" customFormat="1" x14ac:dyDescent="0.25"/>
    <row r="182811" customFormat="1" x14ac:dyDescent="0.25"/>
    <row r="182812" customFormat="1" x14ac:dyDescent="0.25"/>
    <row r="182813" customFormat="1" x14ac:dyDescent="0.25"/>
    <row r="182814" customFormat="1" x14ac:dyDescent="0.25"/>
    <row r="182815" customFormat="1" x14ac:dyDescent="0.25"/>
    <row r="182816" customFormat="1" x14ac:dyDescent="0.25"/>
    <row r="182817" customFormat="1" x14ac:dyDescent="0.25"/>
    <row r="182818" customFormat="1" x14ac:dyDescent="0.25"/>
    <row r="182819" customFormat="1" x14ac:dyDescent="0.25"/>
    <row r="182820" customFormat="1" x14ac:dyDescent="0.25"/>
    <row r="182821" customFormat="1" x14ac:dyDescent="0.25"/>
    <row r="182822" customFormat="1" x14ac:dyDescent="0.25"/>
    <row r="182823" customFormat="1" x14ac:dyDescent="0.25"/>
    <row r="182824" customFormat="1" x14ac:dyDescent="0.25"/>
    <row r="182825" customFormat="1" x14ac:dyDescent="0.25"/>
    <row r="182826" customFormat="1" x14ac:dyDescent="0.25"/>
    <row r="182827" customFormat="1" x14ac:dyDescent="0.25"/>
    <row r="182828" customFormat="1" x14ac:dyDescent="0.25"/>
    <row r="182829" customFormat="1" x14ac:dyDescent="0.25"/>
    <row r="182830" customFormat="1" x14ac:dyDescent="0.25"/>
    <row r="182831" customFormat="1" x14ac:dyDescent="0.25"/>
    <row r="182832" customFormat="1" x14ac:dyDescent="0.25"/>
    <row r="182833" customFormat="1" x14ac:dyDescent="0.25"/>
    <row r="182834" customFormat="1" x14ac:dyDescent="0.25"/>
    <row r="182835" customFormat="1" x14ac:dyDescent="0.25"/>
    <row r="182836" customFormat="1" x14ac:dyDescent="0.25"/>
    <row r="182837" customFormat="1" x14ac:dyDescent="0.25"/>
    <row r="182838" customFormat="1" x14ac:dyDescent="0.25"/>
    <row r="182839" customFormat="1" x14ac:dyDescent="0.25"/>
    <row r="182840" customFormat="1" x14ac:dyDescent="0.25"/>
    <row r="182841" customFormat="1" x14ac:dyDescent="0.25"/>
    <row r="182842" customFormat="1" x14ac:dyDescent="0.25"/>
    <row r="182843" customFormat="1" x14ac:dyDescent="0.25"/>
    <row r="182844" customFormat="1" x14ac:dyDescent="0.25"/>
    <row r="182845" customFormat="1" x14ac:dyDescent="0.25"/>
    <row r="182846" customFormat="1" x14ac:dyDescent="0.25"/>
    <row r="182847" customFormat="1" x14ac:dyDescent="0.25"/>
    <row r="182848" customFormat="1" x14ac:dyDescent="0.25"/>
    <row r="182849" customFormat="1" x14ac:dyDescent="0.25"/>
    <row r="182850" customFormat="1" x14ac:dyDescent="0.25"/>
    <row r="182851" customFormat="1" x14ac:dyDescent="0.25"/>
    <row r="182852" customFormat="1" x14ac:dyDescent="0.25"/>
    <row r="182853" customFormat="1" x14ac:dyDescent="0.25"/>
    <row r="182854" customFormat="1" x14ac:dyDescent="0.25"/>
    <row r="182855" customFormat="1" x14ac:dyDescent="0.25"/>
    <row r="182856" customFormat="1" x14ac:dyDescent="0.25"/>
    <row r="182857" customFormat="1" x14ac:dyDescent="0.25"/>
    <row r="182858" customFormat="1" x14ac:dyDescent="0.25"/>
    <row r="182859" customFormat="1" x14ac:dyDescent="0.25"/>
    <row r="182860" customFormat="1" x14ac:dyDescent="0.25"/>
    <row r="182861" customFormat="1" x14ac:dyDescent="0.25"/>
    <row r="182862" customFormat="1" x14ac:dyDescent="0.25"/>
    <row r="182863" customFormat="1" x14ac:dyDescent="0.25"/>
    <row r="182864" customFormat="1" x14ac:dyDescent="0.25"/>
    <row r="182865" customFormat="1" x14ac:dyDescent="0.25"/>
    <row r="182866" customFormat="1" x14ac:dyDescent="0.25"/>
    <row r="182867" customFormat="1" x14ac:dyDescent="0.25"/>
    <row r="182868" customFormat="1" x14ac:dyDescent="0.25"/>
    <row r="182869" customFormat="1" x14ac:dyDescent="0.25"/>
    <row r="182870" customFormat="1" x14ac:dyDescent="0.25"/>
    <row r="182871" customFormat="1" x14ac:dyDescent="0.25"/>
    <row r="182872" customFormat="1" x14ac:dyDescent="0.25"/>
    <row r="182873" customFormat="1" x14ac:dyDescent="0.25"/>
    <row r="182874" customFormat="1" x14ac:dyDescent="0.25"/>
    <row r="182875" customFormat="1" x14ac:dyDescent="0.25"/>
    <row r="182876" customFormat="1" x14ac:dyDescent="0.25"/>
    <row r="182877" customFormat="1" x14ac:dyDescent="0.25"/>
    <row r="182878" customFormat="1" x14ac:dyDescent="0.25"/>
    <row r="182879" customFormat="1" x14ac:dyDescent="0.25"/>
    <row r="182880" customFormat="1" x14ac:dyDescent="0.25"/>
    <row r="182881" customFormat="1" x14ac:dyDescent="0.25"/>
    <row r="182882" customFormat="1" x14ac:dyDescent="0.25"/>
    <row r="182883" customFormat="1" x14ac:dyDescent="0.25"/>
    <row r="182884" customFormat="1" x14ac:dyDescent="0.25"/>
    <row r="182885" customFormat="1" x14ac:dyDescent="0.25"/>
    <row r="182886" customFormat="1" x14ac:dyDescent="0.25"/>
    <row r="182887" customFormat="1" x14ac:dyDescent="0.25"/>
    <row r="182888" customFormat="1" x14ac:dyDescent="0.25"/>
    <row r="182889" customFormat="1" x14ac:dyDescent="0.25"/>
    <row r="182890" customFormat="1" x14ac:dyDescent="0.25"/>
    <row r="182891" customFormat="1" x14ac:dyDescent="0.25"/>
    <row r="182892" customFormat="1" x14ac:dyDescent="0.25"/>
    <row r="182893" customFormat="1" x14ac:dyDescent="0.25"/>
    <row r="182894" customFormat="1" x14ac:dyDescent="0.25"/>
    <row r="182895" customFormat="1" x14ac:dyDescent="0.25"/>
    <row r="182896" customFormat="1" x14ac:dyDescent="0.25"/>
    <row r="182897" customFormat="1" x14ac:dyDescent="0.25"/>
    <row r="182898" customFormat="1" x14ac:dyDescent="0.25"/>
    <row r="182899" customFormat="1" x14ac:dyDescent="0.25"/>
    <row r="182900" customFormat="1" x14ac:dyDescent="0.25"/>
    <row r="182901" customFormat="1" x14ac:dyDescent="0.25"/>
    <row r="182902" customFormat="1" x14ac:dyDescent="0.25"/>
    <row r="182903" customFormat="1" x14ac:dyDescent="0.25"/>
    <row r="182904" customFormat="1" x14ac:dyDescent="0.25"/>
    <row r="182905" customFormat="1" x14ac:dyDescent="0.25"/>
    <row r="182906" customFormat="1" x14ac:dyDescent="0.25"/>
    <row r="182907" customFormat="1" x14ac:dyDescent="0.25"/>
    <row r="182908" customFormat="1" x14ac:dyDescent="0.25"/>
    <row r="182909" customFormat="1" x14ac:dyDescent="0.25"/>
    <row r="182910" customFormat="1" x14ac:dyDescent="0.25"/>
    <row r="182911" customFormat="1" x14ac:dyDescent="0.25"/>
    <row r="182912" customFormat="1" x14ac:dyDescent="0.25"/>
    <row r="182913" customFormat="1" x14ac:dyDescent="0.25"/>
    <row r="182914" customFormat="1" x14ac:dyDescent="0.25"/>
    <row r="182915" customFormat="1" x14ac:dyDescent="0.25"/>
    <row r="182916" customFormat="1" x14ac:dyDescent="0.25"/>
    <row r="182917" customFormat="1" x14ac:dyDescent="0.25"/>
    <row r="182918" customFormat="1" x14ac:dyDescent="0.25"/>
    <row r="182919" customFormat="1" x14ac:dyDescent="0.25"/>
    <row r="182920" customFormat="1" x14ac:dyDescent="0.25"/>
    <row r="182921" customFormat="1" x14ac:dyDescent="0.25"/>
    <row r="182922" customFormat="1" x14ac:dyDescent="0.25"/>
    <row r="182923" customFormat="1" x14ac:dyDescent="0.25"/>
    <row r="182924" customFormat="1" x14ac:dyDescent="0.25"/>
    <row r="182925" customFormat="1" x14ac:dyDescent="0.25"/>
    <row r="182926" customFormat="1" x14ac:dyDescent="0.25"/>
    <row r="182927" customFormat="1" x14ac:dyDescent="0.25"/>
    <row r="182928" customFormat="1" x14ac:dyDescent="0.25"/>
    <row r="182929" customFormat="1" x14ac:dyDescent="0.25"/>
    <row r="182930" customFormat="1" x14ac:dyDescent="0.25"/>
    <row r="182931" customFormat="1" x14ac:dyDescent="0.25"/>
    <row r="182932" customFormat="1" x14ac:dyDescent="0.25"/>
    <row r="182933" customFormat="1" x14ac:dyDescent="0.25"/>
    <row r="182934" customFormat="1" x14ac:dyDescent="0.25"/>
    <row r="182935" customFormat="1" x14ac:dyDescent="0.25"/>
    <row r="182936" customFormat="1" x14ac:dyDescent="0.25"/>
    <row r="182937" customFormat="1" x14ac:dyDescent="0.25"/>
    <row r="182938" customFormat="1" x14ac:dyDescent="0.25"/>
    <row r="182939" customFormat="1" x14ac:dyDescent="0.25"/>
    <row r="182940" customFormat="1" x14ac:dyDescent="0.25"/>
    <row r="182941" customFormat="1" x14ac:dyDescent="0.25"/>
    <row r="182942" customFormat="1" x14ac:dyDescent="0.25"/>
    <row r="182943" customFormat="1" x14ac:dyDescent="0.25"/>
    <row r="182944" customFormat="1" x14ac:dyDescent="0.25"/>
    <row r="182945" customFormat="1" x14ac:dyDescent="0.25"/>
    <row r="182946" customFormat="1" x14ac:dyDescent="0.25"/>
    <row r="182947" customFormat="1" x14ac:dyDescent="0.25"/>
    <row r="182948" customFormat="1" x14ac:dyDescent="0.25"/>
    <row r="182949" customFormat="1" x14ac:dyDescent="0.25"/>
    <row r="182950" customFormat="1" x14ac:dyDescent="0.25"/>
    <row r="182951" customFormat="1" x14ac:dyDescent="0.25"/>
    <row r="182952" customFormat="1" x14ac:dyDescent="0.25"/>
    <row r="182953" customFormat="1" x14ac:dyDescent="0.25"/>
    <row r="182954" customFormat="1" x14ac:dyDescent="0.25"/>
    <row r="182955" customFormat="1" x14ac:dyDescent="0.25"/>
    <row r="182956" customFormat="1" x14ac:dyDescent="0.25"/>
    <row r="182957" customFormat="1" x14ac:dyDescent="0.25"/>
    <row r="182958" customFormat="1" x14ac:dyDescent="0.25"/>
    <row r="182959" customFormat="1" x14ac:dyDescent="0.25"/>
    <row r="182960" customFormat="1" x14ac:dyDescent="0.25"/>
    <row r="182961" customFormat="1" x14ac:dyDescent="0.25"/>
    <row r="182962" customFormat="1" x14ac:dyDescent="0.25"/>
    <row r="182963" customFormat="1" x14ac:dyDescent="0.25"/>
    <row r="182964" customFormat="1" x14ac:dyDescent="0.25"/>
    <row r="182965" customFormat="1" x14ac:dyDescent="0.25"/>
    <row r="182966" customFormat="1" x14ac:dyDescent="0.25"/>
    <row r="182967" customFormat="1" x14ac:dyDescent="0.25"/>
    <row r="182968" customFormat="1" x14ac:dyDescent="0.25"/>
    <row r="182969" customFormat="1" x14ac:dyDescent="0.25"/>
    <row r="182970" customFormat="1" x14ac:dyDescent="0.25"/>
    <row r="182971" customFormat="1" x14ac:dyDescent="0.25"/>
    <row r="182972" customFormat="1" x14ac:dyDescent="0.25"/>
    <row r="182973" customFormat="1" x14ac:dyDescent="0.25"/>
    <row r="182974" customFormat="1" x14ac:dyDescent="0.25"/>
    <row r="182975" customFormat="1" x14ac:dyDescent="0.25"/>
    <row r="182976" customFormat="1" x14ac:dyDescent="0.25"/>
    <row r="182977" customFormat="1" x14ac:dyDescent="0.25"/>
    <row r="182978" customFormat="1" x14ac:dyDescent="0.25"/>
    <row r="182979" customFormat="1" x14ac:dyDescent="0.25"/>
    <row r="182980" customFormat="1" x14ac:dyDescent="0.25"/>
    <row r="182981" customFormat="1" x14ac:dyDescent="0.25"/>
    <row r="182982" customFormat="1" x14ac:dyDescent="0.25"/>
    <row r="182983" customFormat="1" x14ac:dyDescent="0.25"/>
    <row r="182984" customFormat="1" x14ac:dyDescent="0.25"/>
    <row r="182985" customFormat="1" x14ac:dyDescent="0.25"/>
    <row r="182986" customFormat="1" x14ac:dyDescent="0.25"/>
    <row r="182987" customFormat="1" x14ac:dyDescent="0.25"/>
    <row r="182988" customFormat="1" x14ac:dyDescent="0.25"/>
    <row r="182989" customFormat="1" x14ac:dyDescent="0.25"/>
    <row r="182990" customFormat="1" x14ac:dyDescent="0.25"/>
    <row r="182991" customFormat="1" x14ac:dyDescent="0.25"/>
    <row r="182992" customFormat="1" x14ac:dyDescent="0.25"/>
    <row r="182993" customFormat="1" x14ac:dyDescent="0.25"/>
    <row r="182994" customFormat="1" x14ac:dyDescent="0.25"/>
    <row r="182995" customFormat="1" x14ac:dyDescent="0.25"/>
    <row r="182996" customFormat="1" x14ac:dyDescent="0.25"/>
    <row r="182997" customFormat="1" x14ac:dyDescent="0.25"/>
    <row r="182998" customFormat="1" x14ac:dyDescent="0.25"/>
    <row r="182999" customFormat="1" x14ac:dyDescent="0.25"/>
    <row r="183000" customFormat="1" x14ac:dyDescent="0.25"/>
    <row r="183001" customFormat="1" x14ac:dyDescent="0.25"/>
    <row r="183002" customFormat="1" x14ac:dyDescent="0.25"/>
    <row r="183003" customFormat="1" x14ac:dyDescent="0.25"/>
    <row r="183004" customFormat="1" x14ac:dyDescent="0.25"/>
    <row r="183005" customFormat="1" x14ac:dyDescent="0.25"/>
    <row r="183006" customFormat="1" x14ac:dyDescent="0.25"/>
    <row r="183007" customFormat="1" x14ac:dyDescent="0.25"/>
    <row r="183008" customFormat="1" x14ac:dyDescent="0.25"/>
    <row r="183009" customFormat="1" x14ac:dyDescent="0.25"/>
    <row r="183010" customFormat="1" x14ac:dyDescent="0.25"/>
    <row r="183011" customFormat="1" x14ac:dyDescent="0.25"/>
    <row r="183012" customFormat="1" x14ac:dyDescent="0.25"/>
    <row r="183013" customFormat="1" x14ac:dyDescent="0.25"/>
    <row r="183014" customFormat="1" x14ac:dyDescent="0.25"/>
    <row r="183015" customFormat="1" x14ac:dyDescent="0.25"/>
    <row r="183016" customFormat="1" x14ac:dyDescent="0.25"/>
    <row r="183017" customFormat="1" x14ac:dyDescent="0.25"/>
    <row r="183018" customFormat="1" x14ac:dyDescent="0.25"/>
    <row r="183019" customFormat="1" x14ac:dyDescent="0.25"/>
    <row r="183020" customFormat="1" x14ac:dyDescent="0.25"/>
    <row r="183021" customFormat="1" x14ac:dyDescent="0.25"/>
    <row r="183022" customFormat="1" x14ac:dyDescent="0.25"/>
    <row r="183023" customFormat="1" x14ac:dyDescent="0.25"/>
    <row r="183024" customFormat="1" x14ac:dyDescent="0.25"/>
    <row r="183025" customFormat="1" x14ac:dyDescent="0.25"/>
    <row r="183026" customFormat="1" x14ac:dyDescent="0.25"/>
    <row r="183027" customFormat="1" x14ac:dyDescent="0.25"/>
    <row r="183028" customFormat="1" x14ac:dyDescent="0.25"/>
    <row r="183029" customFormat="1" x14ac:dyDescent="0.25"/>
    <row r="183030" customFormat="1" x14ac:dyDescent="0.25"/>
    <row r="183031" customFormat="1" x14ac:dyDescent="0.25"/>
    <row r="183032" customFormat="1" x14ac:dyDescent="0.25"/>
    <row r="183033" customFormat="1" x14ac:dyDescent="0.25"/>
    <row r="183034" customFormat="1" x14ac:dyDescent="0.25"/>
    <row r="183035" customFormat="1" x14ac:dyDescent="0.25"/>
    <row r="183036" customFormat="1" x14ac:dyDescent="0.25"/>
    <row r="183037" customFormat="1" x14ac:dyDescent="0.25"/>
    <row r="183038" customFormat="1" x14ac:dyDescent="0.25"/>
    <row r="183039" customFormat="1" x14ac:dyDescent="0.25"/>
    <row r="183040" customFormat="1" x14ac:dyDescent="0.25"/>
    <row r="183041" customFormat="1" x14ac:dyDescent="0.25"/>
    <row r="183042" customFormat="1" x14ac:dyDescent="0.25"/>
    <row r="183043" customFormat="1" x14ac:dyDescent="0.25"/>
    <row r="183044" customFormat="1" x14ac:dyDescent="0.25"/>
    <row r="183045" customFormat="1" x14ac:dyDescent="0.25"/>
    <row r="183046" customFormat="1" x14ac:dyDescent="0.25"/>
    <row r="183047" customFormat="1" x14ac:dyDescent="0.25"/>
    <row r="183048" customFormat="1" x14ac:dyDescent="0.25"/>
    <row r="183049" customFormat="1" x14ac:dyDescent="0.25"/>
    <row r="183050" customFormat="1" x14ac:dyDescent="0.25"/>
    <row r="183051" customFormat="1" x14ac:dyDescent="0.25"/>
    <row r="183052" customFormat="1" x14ac:dyDescent="0.25"/>
    <row r="183053" customFormat="1" x14ac:dyDescent="0.25"/>
    <row r="183054" customFormat="1" x14ac:dyDescent="0.25"/>
    <row r="183055" customFormat="1" x14ac:dyDescent="0.25"/>
    <row r="183056" customFormat="1" x14ac:dyDescent="0.25"/>
    <row r="183057" customFormat="1" x14ac:dyDescent="0.25"/>
    <row r="183058" customFormat="1" x14ac:dyDescent="0.25"/>
    <row r="183059" customFormat="1" x14ac:dyDescent="0.25"/>
    <row r="183060" customFormat="1" x14ac:dyDescent="0.25"/>
    <row r="183061" customFormat="1" x14ac:dyDescent="0.25"/>
    <row r="183062" customFormat="1" x14ac:dyDescent="0.25"/>
    <row r="183063" customFormat="1" x14ac:dyDescent="0.25"/>
    <row r="183064" customFormat="1" x14ac:dyDescent="0.25"/>
    <row r="183065" customFormat="1" x14ac:dyDescent="0.25"/>
    <row r="183066" customFormat="1" x14ac:dyDescent="0.25"/>
    <row r="183067" customFormat="1" x14ac:dyDescent="0.25"/>
    <row r="183068" customFormat="1" x14ac:dyDescent="0.25"/>
    <row r="183069" customFormat="1" x14ac:dyDescent="0.25"/>
    <row r="183070" customFormat="1" x14ac:dyDescent="0.25"/>
    <row r="183071" customFormat="1" x14ac:dyDescent="0.25"/>
    <row r="183072" customFormat="1" x14ac:dyDescent="0.25"/>
    <row r="183073" customFormat="1" x14ac:dyDescent="0.25"/>
    <row r="183074" customFormat="1" x14ac:dyDescent="0.25"/>
    <row r="183075" customFormat="1" x14ac:dyDescent="0.25"/>
    <row r="183076" customFormat="1" x14ac:dyDescent="0.25"/>
    <row r="183077" customFormat="1" x14ac:dyDescent="0.25"/>
    <row r="183078" customFormat="1" x14ac:dyDescent="0.25"/>
    <row r="183079" customFormat="1" x14ac:dyDescent="0.25"/>
    <row r="183080" customFormat="1" x14ac:dyDescent="0.25"/>
    <row r="183081" customFormat="1" x14ac:dyDescent="0.25"/>
    <row r="183082" customFormat="1" x14ac:dyDescent="0.25"/>
    <row r="183083" customFormat="1" x14ac:dyDescent="0.25"/>
    <row r="183084" customFormat="1" x14ac:dyDescent="0.25"/>
    <row r="183085" customFormat="1" x14ac:dyDescent="0.25"/>
    <row r="183086" customFormat="1" x14ac:dyDescent="0.25"/>
    <row r="183087" customFormat="1" x14ac:dyDescent="0.25"/>
    <row r="183088" customFormat="1" x14ac:dyDescent="0.25"/>
    <row r="183089" customFormat="1" x14ac:dyDescent="0.25"/>
    <row r="183090" customFormat="1" x14ac:dyDescent="0.25"/>
    <row r="183091" customFormat="1" x14ac:dyDescent="0.25"/>
    <row r="183092" customFormat="1" x14ac:dyDescent="0.25"/>
    <row r="183093" customFormat="1" x14ac:dyDescent="0.25"/>
    <row r="183094" customFormat="1" x14ac:dyDescent="0.25"/>
    <row r="183095" customFormat="1" x14ac:dyDescent="0.25"/>
    <row r="183096" customFormat="1" x14ac:dyDescent="0.25"/>
    <row r="183097" customFormat="1" x14ac:dyDescent="0.25"/>
    <row r="183098" customFormat="1" x14ac:dyDescent="0.25"/>
    <row r="183099" customFormat="1" x14ac:dyDescent="0.25"/>
    <row r="183100" customFormat="1" x14ac:dyDescent="0.25"/>
    <row r="183101" customFormat="1" x14ac:dyDescent="0.25"/>
    <row r="183102" customFormat="1" x14ac:dyDescent="0.25"/>
    <row r="183103" customFormat="1" x14ac:dyDescent="0.25"/>
    <row r="183104" customFormat="1" x14ac:dyDescent="0.25"/>
    <row r="183105" customFormat="1" x14ac:dyDescent="0.25"/>
    <row r="183106" customFormat="1" x14ac:dyDescent="0.25"/>
    <row r="183107" customFormat="1" x14ac:dyDescent="0.25"/>
    <row r="183108" customFormat="1" x14ac:dyDescent="0.25"/>
    <row r="183109" customFormat="1" x14ac:dyDescent="0.25"/>
    <row r="183110" customFormat="1" x14ac:dyDescent="0.25"/>
    <row r="183111" customFormat="1" x14ac:dyDescent="0.25"/>
    <row r="183112" customFormat="1" x14ac:dyDescent="0.25"/>
    <row r="183113" customFormat="1" x14ac:dyDescent="0.25"/>
    <row r="183114" customFormat="1" x14ac:dyDescent="0.25"/>
    <row r="183115" customFormat="1" x14ac:dyDescent="0.25"/>
    <row r="183116" customFormat="1" x14ac:dyDescent="0.25"/>
    <row r="183117" customFormat="1" x14ac:dyDescent="0.25"/>
    <row r="183118" customFormat="1" x14ac:dyDescent="0.25"/>
    <row r="183119" customFormat="1" x14ac:dyDescent="0.25"/>
    <row r="183120" customFormat="1" x14ac:dyDescent="0.25"/>
    <row r="183121" customFormat="1" x14ac:dyDescent="0.25"/>
    <row r="183122" customFormat="1" x14ac:dyDescent="0.25"/>
    <row r="183123" customFormat="1" x14ac:dyDescent="0.25"/>
    <row r="183124" customFormat="1" x14ac:dyDescent="0.25"/>
    <row r="183125" customFormat="1" x14ac:dyDescent="0.25"/>
    <row r="183126" customFormat="1" x14ac:dyDescent="0.25"/>
    <row r="183127" customFormat="1" x14ac:dyDescent="0.25"/>
    <row r="183128" customFormat="1" x14ac:dyDescent="0.25"/>
    <row r="183129" customFormat="1" x14ac:dyDescent="0.25"/>
    <row r="183130" customFormat="1" x14ac:dyDescent="0.25"/>
    <row r="183131" customFormat="1" x14ac:dyDescent="0.25"/>
    <row r="183132" customFormat="1" x14ac:dyDescent="0.25"/>
    <row r="183133" customFormat="1" x14ac:dyDescent="0.25"/>
    <row r="183134" customFormat="1" x14ac:dyDescent="0.25"/>
    <row r="183135" customFormat="1" x14ac:dyDescent="0.25"/>
    <row r="183136" customFormat="1" x14ac:dyDescent="0.25"/>
    <row r="183137" customFormat="1" x14ac:dyDescent="0.25"/>
    <row r="183138" customFormat="1" x14ac:dyDescent="0.25"/>
    <row r="183139" customFormat="1" x14ac:dyDescent="0.25"/>
    <row r="183140" customFormat="1" x14ac:dyDescent="0.25"/>
    <row r="183141" customFormat="1" x14ac:dyDescent="0.25"/>
    <row r="183142" customFormat="1" x14ac:dyDescent="0.25"/>
    <row r="183143" customFormat="1" x14ac:dyDescent="0.25"/>
    <row r="183144" customFormat="1" x14ac:dyDescent="0.25"/>
    <row r="183145" customFormat="1" x14ac:dyDescent="0.25"/>
    <row r="183146" customFormat="1" x14ac:dyDescent="0.25"/>
    <row r="183147" customFormat="1" x14ac:dyDescent="0.25"/>
    <row r="183148" customFormat="1" x14ac:dyDescent="0.25"/>
    <row r="183149" customFormat="1" x14ac:dyDescent="0.25"/>
    <row r="183150" customFormat="1" x14ac:dyDescent="0.25"/>
    <row r="183151" customFormat="1" x14ac:dyDescent="0.25"/>
    <row r="183152" customFormat="1" x14ac:dyDescent="0.25"/>
    <row r="183153" customFormat="1" x14ac:dyDescent="0.25"/>
    <row r="183154" customFormat="1" x14ac:dyDescent="0.25"/>
    <row r="183155" customFormat="1" x14ac:dyDescent="0.25"/>
    <row r="183156" customFormat="1" x14ac:dyDescent="0.25"/>
    <row r="183157" customFormat="1" x14ac:dyDescent="0.25"/>
    <row r="183158" customFormat="1" x14ac:dyDescent="0.25"/>
    <row r="183159" customFormat="1" x14ac:dyDescent="0.25"/>
    <row r="183160" customFormat="1" x14ac:dyDescent="0.25"/>
    <row r="183161" customFormat="1" x14ac:dyDescent="0.25"/>
    <row r="183162" customFormat="1" x14ac:dyDescent="0.25"/>
    <row r="183163" customFormat="1" x14ac:dyDescent="0.25"/>
    <row r="183164" customFormat="1" x14ac:dyDescent="0.25"/>
    <row r="183165" customFormat="1" x14ac:dyDescent="0.25"/>
    <row r="183166" customFormat="1" x14ac:dyDescent="0.25"/>
    <row r="183167" customFormat="1" x14ac:dyDescent="0.25"/>
    <row r="183168" customFormat="1" x14ac:dyDescent="0.25"/>
    <row r="183169" customFormat="1" x14ac:dyDescent="0.25"/>
    <row r="183170" customFormat="1" x14ac:dyDescent="0.25"/>
    <row r="183171" customFormat="1" x14ac:dyDescent="0.25"/>
    <row r="183172" customFormat="1" x14ac:dyDescent="0.25"/>
    <row r="183173" customFormat="1" x14ac:dyDescent="0.25"/>
    <row r="183174" customFormat="1" x14ac:dyDescent="0.25"/>
    <row r="183175" customFormat="1" x14ac:dyDescent="0.25"/>
    <row r="183176" customFormat="1" x14ac:dyDescent="0.25"/>
    <row r="183177" customFormat="1" x14ac:dyDescent="0.25"/>
    <row r="183178" customFormat="1" x14ac:dyDescent="0.25"/>
    <row r="183179" customFormat="1" x14ac:dyDescent="0.25"/>
    <row r="183180" customFormat="1" x14ac:dyDescent="0.25"/>
    <row r="183181" customFormat="1" x14ac:dyDescent="0.25"/>
    <row r="183182" customFormat="1" x14ac:dyDescent="0.25"/>
    <row r="183183" customFormat="1" x14ac:dyDescent="0.25"/>
    <row r="183184" customFormat="1" x14ac:dyDescent="0.25"/>
    <row r="183185" customFormat="1" x14ac:dyDescent="0.25"/>
    <row r="183186" customFormat="1" x14ac:dyDescent="0.25"/>
    <row r="183187" customFormat="1" x14ac:dyDescent="0.25"/>
    <row r="183188" customFormat="1" x14ac:dyDescent="0.25"/>
    <row r="183189" customFormat="1" x14ac:dyDescent="0.25"/>
    <row r="183190" customFormat="1" x14ac:dyDescent="0.25"/>
    <row r="183191" customFormat="1" x14ac:dyDescent="0.25"/>
    <row r="183192" customFormat="1" x14ac:dyDescent="0.25"/>
    <row r="183193" customFormat="1" x14ac:dyDescent="0.25"/>
    <row r="183194" customFormat="1" x14ac:dyDescent="0.25"/>
    <row r="183195" customFormat="1" x14ac:dyDescent="0.25"/>
    <row r="183196" customFormat="1" x14ac:dyDescent="0.25"/>
    <row r="183197" customFormat="1" x14ac:dyDescent="0.25"/>
    <row r="183198" customFormat="1" x14ac:dyDescent="0.25"/>
    <row r="183199" customFormat="1" x14ac:dyDescent="0.25"/>
    <row r="183200" customFormat="1" x14ac:dyDescent="0.25"/>
    <row r="183201" customFormat="1" x14ac:dyDescent="0.25"/>
    <row r="183202" customFormat="1" x14ac:dyDescent="0.25"/>
    <row r="183203" customFormat="1" x14ac:dyDescent="0.25"/>
    <row r="183204" customFormat="1" x14ac:dyDescent="0.25"/>
    <row r="183205" customFormat="1" x14ac:dyDescent="0.25"/>
    <row r="183206" customFormat="1" x14ac:dyDescent="0.25"/>
    <row r="183207" customFormat="1" x14ac:dyDescent="0.25"/>
    <row r="183208" customFormat="1" x14ac:dyDescent="0.25"/>
    <row r="183209" customFormat="1" x14ac:dyDescent="0.25"/>
    <row r="183210" customFormat="1" x14ac:dyDescent="0.25"/>
    <row r="183211" customFormat="1" x14ac:dyDescent="0.25"/>
    <row r="183212" customFormat="1" x14ac:dyDescent="0.25"/>
    <row r="183213" customFormat="1" x14ac:dyDescent="0.25"/>
    <row r="183214" customFormat="1" x14ac:dyDescent="0.25"/>
    <row r="183215" customFormat="1" x14ac:dyDescent="0.25"/>
    <row r="183216" customFormat="1" x14ac:dyDescent="0.25"/>
    <row r="183217" customFormat="1" x14ac:dyDescent="0.25"/>
    <row r="183218" customFormat="1" x14ac:dyDescent="0.25"/>
    <row r="183219" customFormat="1" x14ac:dyDescent="0.25"/>
    <row r="183220" customFormat="1" x14ac:dyDescent="0.25"/>
    <row r="183221" customFormat="1" x14ac:dyDescent="0.25"/>
    <row r="183222" customFormat="1" x14ac:dyDescent="0.25"/>
    <row r="183223" customFormat="1" x14ac:dyDescent="0.25"/>
    <row r="183224" customFormat="1" x14ac:dyDescent="0.25"/>
    <row r="183225" customFormat="1" x14ac:dyDescent="0.25"/>
    <row r="183226" customFormat="1" x14ac:dyDescent="0.25"/>
    <row r="183227" customFormat="1" x14ac:dyDescent="0.25"/>
    <row r="183228" customFormat="1" x14ac:dyDescent="0.25"/>
    <row r="183229" customFormat="1" x14ac:dyDescent="0.25"/>
    <row r="183230" customFormat="1" x14ac:dyDescent="0.25"/>
    <row r="183231" customFormat="1" x14ac:dyDescent="0.25"/>
    <row r="183232" customFormat="1" x14ac:dyDescent="0.25"/>
    <row r="183233" customFormat="1" x14ac:dyDescent="0.25"/>
    <row r="183234" customFormat="1" x14ac:dyDescent="0.25"/>
    <row r="183235" customFormat="1" x14ac:dyDescent="0.25"/>
    <row r="183236" customFormat="1" x14ac:dyDescent="0.25"/>
    <row r="183237" customFormat="1" x14ac:dyDescent="0.25"/>
    <row r="183238" customFormat="1" x14ac:dyDescent="0.25"/>
    <row r="183239" customFormat="1" x14ac:dyDescent="0.25"/>
    <row r="183240" customFormat="1" x14ac:dyDescent="0.25"/>
    <row r="183241" customFormat="1" x14ac:dyDescent="0.25"/>
    <row r="183242" customFormat="1" x14ac:dyDescent="0.25"/>
    <row r="183243" customFormat="1" x14ac:dyDescent="0.25"/>
    <row r="183244" customFormat="1" x14ac:dyDescent="0.25"/>
    <row r="183245" customFormat="1" x14ac:dyDescent="0.25"/>
    <row r="183246" customFormat="1" x14ac:dyDescent="0.25"/>
    <row r="183247" customFormat="1" x14ac:dyDescent="0.25"/>
    <row r="183248" customFormat="1" x14ac:dyDescent="0.25"/>
    <row r="183249" customFormat="1" x14ac:dyDescent="0.25"/>
    <row r="183250" customFormat="1" x14ac:dyDescent="0.25"/>
    <row r="183251" customFormat="1" x14ac:dyDescent="0.25"/>
    <row r="183252" customFormat="1" x14ac:dyDescent="0.25"/>
    <row r="183253" customFormat="1" x14ac:dyDescent="0.25"/>
    <row r="183254" customFormat="1" x14ac:dyDescent="0.25"/>
    <row r="183255" customFormat="1" x14ac:dyDescent="0.25"/>
    <row r="183256" customFormat="1" x14ac:dyDescent="0.25"/>
    <row r="183257" customFormat="1" x14ac:dyDescent="0.25"/>
    <row r="183258" customFormat="1" x14ac:dyDescent="0.25"/>
    <row r="183259" customFormat="1" x14ac:dyDescent="0.25"/>
    <row r="183260" customFormat="1" x14ac:dyDescent="0.25"/>
    <row r="183261" customFormat="1" x14ac:dyDescent="0.25"/>
    <row r="183262" customFormat="1" x14ac:dyDescent="0.25"/>
    <row r="183263" customFormat="1" x14ac:dyDescent="0.25"/>
    <row r="183264" customFormat="1" x14ac:dyDescent="0.25"/>
    <row r="183265" customFormat="1" x14ac:dyDescent="0.25"/>
    <row r="183266" customFormat="1" x14ac:dyDescent="0.25"/>
    <row r="183267" customFormat="1" x14ac:dyDescent="0.25"/>
    <row r="183268" customFormat="1" x14ac:dyDescent="0.25"/>
    <row r="183269" customFormat="1" x14ac:dyDescent="0.25"/>
    <row r="183270" customFormat="1" x14ac:dyDescent="0.25"/>
    <row r="183271" customFormat="1" x14ac:dyDescent="0.25"/>
    <row r="183272" customFormat="1" x14ac:dyDescent="0.25"/>
    <row r="183273" customFormat="1" x14ac:dyDescent="0.25"/>
    <row r="183274" customFormat="1" x14ac:dyDescent="0.25"/>
    <row r="183275" customFormat="1" x14ac:dyDescent="0.25"/>
    <row r="183276" customFormat="1" x14ac:dyDescent="0.25"/>
    <row r="183277" customFormat="1" x14ac:dyDescent="0.25"/>
    <row r="183278" customFormat="1" x14ac:dyDescent="0.25"/>
    <row r="183279" customFormat="1" x14ac:dyDescent="0.25"/>
    <row r="183280" customFormat="1" x14ac:dyDescent="0.25"/>
    <row r="183281" customFormat="1" x14ac:dyDescent="0.25"/>
    <row r="183282" customFormat="1" x14ac:dyDescent="0.25"/>
    <row r="183283" customFormat="1" x14ac:dyDescent="0.25"/>
    <row r="183284" customFormat="1" x14ac:dyDescent="0.25"/>
    <row r="183285" customFormat="1" x14ac:dyDescent="0.25"/>
    <row r="183286" customFormat="1" x14ac:dyDescent="0.25"/>
    <row r="183287" customFormat="1" x14ac:dyDescent="0.25"/>
    <row r="183288" customFormat="1" x14ac:dyDescent="0.25"/>
    <row r="183289" customFormat="1" x14ac:dyDescent="0.25"/>
    <row r="183290" customFormat="1" x14ac:dyDescent="0.25"/>
    <row r="183291" customFormat="1" x14ac:dyDescent="0.25"/>
    <row r="183292" customFormat="1" x14ac:dyDescent="0.25"/>
    <row r="183293" customFormat="1" x14ac:dyDescent="0.25"/>
    <row r="183294" customFormat="1" x14ac:dyDescent="0.25"/>
    <row r="183295" customFormat="1" x14ac:dyDescent="0.25"/>
    <row r="183296" customFormat="1" x14ac:dyDescent="0.25"/>
    <row r="183297" customFormat="1" x14ac:dyDescent="0.25"/>
    <row r="183298" customFormat="1" x14ac:dyDescent="0.25"/>
    <row r="183299" customFormat="1" x14ac:dyDescent="0.25"/>
    <row r="183300" customFormat="1" x14ac:dyDescent="0.25"/>
    <row r="183301" customFormat="1" x14ac:dyDescent="0.25"/>
    <row r="183302" customFormat="1" x14ac:dyDescent="0.25"/>
    <row r="183303" customFormat="1" x14ac:dyDescent="0.25"/>
    <row r="183304" customFormat="1" x14ac:dyDescent="0.25"/>
    <row r="183305" customFormat="1" x14ac:dyDescent="0.25"/>
    <row r="183306" customFormat="1" x14ac:dyDescent="0.25"/>
    <row r="183307" customFormat="1" x14ac:dyDescent="0.25"/>
    <row r="183308" customFormat="1" x14ac:dyDescent="0.25"/>
    <row r="183309" customFormat="1" x14ac:dyDescent="0.25"/>
    <row r="183310" customFormat="1" x14ac:dyDescent="0.25"/>
    <row r="183311" customFormat="1" x14ac:dyDescent="0.25"/>
    <row r="183312" customFormat="1" x14ac:dyDescent="0.25"/>
    <row r="183313" customFormat="1" x14ac:dyDescent="0.25"/>
    <row r="183314" customFormat="1" x14ac:dyDescent="0.25"/>
    <row r="183315" customFormat="1" x14ac:dyDescent="0.25"/>
    <row r="183316" customFormat="1" x14ac:dyDescent="0.25"/>
    <row r="183317" customFormat="1" x14ac:dyDescent="0.25"/>
    <row r="183318" customFormat="1" x14ac:dyDescent="0.25"/>
    <row r="183319" customFormat="1" x14ac:dyDescent="0.25"/>
    <row r="183320" customFormat="1" x14ac:dyDescent="0.25"/>
    <row r="183321" customFormat="1" x14ac:dyDescent="0.25"/>
    <row r="183322" customFormat="1" x14ac:dyDescent="0.25"/>
    <row r="183323" customFormat="1" x14ac:dyDescent="0.25"/>
    <row r="183324" customFormat="1" x14ac:dyDescent="0.25"/>
    <row r="183325" customFormat="1" x14ac:dyDescent="0.25"/>
    <row r="183326" customFormat="1" x14ac:dyDescent="0.25"/>
    <row r="183327" customFormat="1" x14ac:dyDescent="0.25"/>
    <row r="183328" customFormat="1" x14ac:dyDescent="0.25"/>
    <row r="183329" customFormat="1" x14ac:dyDescent="0.25"/>
    <row r="183330" customFormat="1" x14ac:dyDescent="0.25"/>
    <row r="183331" customFormat="1" x14ac:dyDescent="0.25"/>
    <row r="183332" customFormat="1" x14ac:dyDescent="0.25"/>
    <row r="183333" customFormat="1" x14ac:dyDescent="0.25"/>
    <row r="183334" customFormat="1" x14ac:dyDescent="0.25"/>
    <row r="183335" customFormat="1" x14ac:dyDescent="0.25"/>
    <row r="183336" customFormat="1" x14ac:dyDescent="0.25"/>
    <row r="183337" customFormat="1" x14ac:dyDescent="0.25"/>
    <row r="183338" customFormat="1" x14ac:dyDescent="0.25"/>
    <row r="183339" customFormat="1" x14ac:dyDescent="0.25"/>
    <row r="183340" customFormat="1" x14ac:dyDescent="0.25"/>
    <row r="183341" customFormat="1" x14ac:dyDescent="0.25"/>
    <row r="183342" customFormat="1" x14ac:dyDescent="0.25"/>
    <row r="183343" customFormat="1" x14ac:dyDescent="0.25"/>
    <row r="183344" customFormat="1" x14ac:dyDescent="0.25"/>
    <row r="183345" customFormat="1" x14ac:dyDescent="0.25"/>
    <row r="183346" customFormat="1" x14ac:dyDescent="0.25"/>
    <row r="183347" customFormat="1" x14ac:dyDescent="0.25"/>
    <row r="183348" customFormat="1" x14ac:dyDescent="0.25"/>
    <row r="183349" customFormat="1" x14ac:dyDescent="0.25"/>
    <row r="183350" customFormat="1" x14ac:dyDescent="0.25"/>
    <row r="183351" customFormat="1" x14ac:dyDescent="0.25"/>
    <row r="183352" customFormat="1" x14ac:dyDescent="0.25"/>
    <row r="183353" customFormat="1" x14ac:dyDescent="0.25"/>
    <row r="183354" customFormat="1" x14ac:dyDescent="0.25"/>
    <row r="183355" customFormat="1" x14ac:dyDescent="0.25"/>
    <row r="183356" customFormat="1" x14ac:dyDescent="0.25"/>
    <row r="183357" customFormat="1" x14ac:dyDescent="0.25"/>
    <row r="183358" customFormat="1" x14ac:dyDescent="0.25"/>
    <row r="183359" customFormat="1" x14ac:dyDescent="0.25"/>
    <row r="183360" customFormat="1" x14ac:dyDescent="0.25"/>
    <row r="183361" customFormat="1" x14ac:dyDescent="0.25"/>
    <row r="183362" customFormat="1" x14ac:dyDescent="0.25"/>
    <row r="183363" customFormat="1" x14ac:dyDescent="0.25"/>
    <row r="183364" customFormat="1" x14ac:dyDescent="0.25"/>
    <row r="183365" customFormat="1" x14ac:dyDescent="0.25"/>
    <row r="183366" customFormat="1" x14ac:dyDescent="0.25"/>
    <row r="183367" customFormat="1" x14ac:dyDescent="0.25"/>
    <row r="183368" customFormat="1" x14ac:dyDescent="0.25"/>
    <row r="183369" customFormat="1" x14ac:dyDescent="0.25"/>
    <row r="183370" customFormat="1" x14ac:dyDescent="0.25"/>
    <row r="183371" customFormat="1" x14ac:dyDescent="0.25"/>
    <row r="183372" customFormat="1" x14ac:dyDescent="0.25"/>
    <row r="183373" customFormat="1" x14ac:dyDescent="0.25"/>
    <row r="183374" customFormat="1" x14ac:dyDescent="0.25"/>
    <row r="183375" customFormat="1" x14ac:dyDescent="0.25"/>
    <row r="183376" customFormat="1" x14ac:dyDescent="0.25"/>
    <row r="183377" customFormat="1" x14ac:dyDescent="0.25"/>
    <row r="183378" customFormat="1" x14ac:dyDescent="0.25"/>
    <row r="183379" customFormat="1" x14ac:dyDescent="0.25"/>
    <row r="183380" customFormat="1" x14ac:dyDescent="0.25"/>
    <row r="183381" customFormat="1" x14ac:dyDescent="0.25"/>
    <row r="183382" customFormat="1" x14ac:dyDescent="0.25"/>
    <row r="183383" customFormat="1" x14ac:dyDescent="0.25"/>
    <row r="183384" customFormat="1" x14ac:dyDescent="0.25"/>
    <row r="183385" customFormat="1" x14ac:dyDescent="0.25"/>
    <row r="183386" customFormat="1" x14ac:dyDescent="0.25"/>
    <row r="183387" customFormat="1" x14ac:dyDescent="0.25"/>
    <row r="183388" customFormat="1" x14ac:dyDescent="0.25"/>
    <row r="183389" customFormat="1" x14ac:dyDescent="0.25"/>
    <row r="183390" customFormat="1" x14ac:dyDescent="0.25"/>
    <row r="183391" customFormat="1" x14ac:dyDescent="0.25"/>
    <row r="183392" customFormat="1" x14ac:dyDescent="0.25"/>
    <row r="183393" customFormat="1" x14ac:dyDescent="0.25"/>
    <row r="183394" customFormat="1" x14ac:dyDescent="0.25"/>
    <row r="183395" customFormat="1" x14ac:dyDescent="0.25"/>
    <row r="183396" customFormat="1" x14ac:dyDescent="0.25"/>
    <row r="183397" customFormat="1" x14ac:dyDescent="0.25"/>
    <row r="183398" customFormat="1" x14ac:dyDescent="0.25"/>
    <row r="183399" customFormat="1" x14ac:dyDescent="0.25"/>
    <row r="183400" customFormat="1" x14ac:dyDescent="0.25"/>
    <row r="183401" customFormat="1" x14ac:dyDescent="0.25"/>
    <row r="183402" customFormat="1" x14ac:dyDescent="0.25"/>
    <row r="183403" customFormat="1" x14ac:dyDescent="0.25"/>
    <row r="183404" customFormat="1" x14ac:dyDescent="0.25"/>
    <row r="183405" customFormat="1" x14ac:dyDescent="0.25"/>
    <row r="183406" customFormat="1" x14ac:dyDescent="0.25"/>
    <row r="183407" customFormat="1" x14ac:dyDescent="0.25"/>
    <row r="183408" customFormat="1" x14ac:dyDescent="0.25"/>
    <row r="183409" customFormat="1" x14ac:dyDescent="0.25"/>
    <row r="183410" customFormat="1" x14ac:dyDescent="0.25"/>
    <row r="183411" customFormat="1" x14ac:dyDescent="0.25"/>
    <row r="183412" customFormat="1" x14ac:dyDescent="0.25"/>
    <row r="183413" customFormat="1" x14ac:dyDescent="0.25"/>
    <row r="183414" customFormat="1" x14ac:dyDescent="0.25"/>
    <row r="183415" customFormat="1" x14ac:dyDescent="0.25"/>
    <row r="183416" customFormat="1" x14ac:dyDescent="0.25"/>
    <row r="183417" customFormat="1" x14ac:dyDescent="0.25"/>
    <row r="183418" customFormat="1" x14ac:dyDescent="0.25"/>
    <row r="183419" customFormat="1" x14ac:dyDescent="0.25"/>
    <row r="183420" customFormat="1" x14ac:dyDescent="0.25"/>
    <row r="183421" customFormat="1" x14ac:dyDescent="0.25"/>
    <row r="183422" customFormat="1" x14ac:dyDescent="0.25"/>
    <row r="183423" customFormat="1" x14ac:dyDescent="0.25"/>
    <row r="183424" customFormat="1" x14ac:dyDescent="0.25"/>
    <row r="183425" customFormat="1" x14ac:dyDescent="0.25"/>
    <row r="183426" customFormat="1" x14ac:dyDescent="0.25"/>
    <row r="183427" customFormat="1" x14ac:dyDescent="0.25"/>
    <row r="183428" customFormat="1" x14ac:dyDescent="0.25"/>
    <row r="183429" customFormat="1" x14ac:dyDescent="0.25"/>
    <row r="183430" customFormat="1" x14ac:dyDescent="0.25"/>
    <row r="183431" customFormat="1" x14ac:dyDescent="0.25"/>
    <row r="183432" customFormat="1" x14ac:dyDescent="0.25"/>
    <row r="183433" customFormat="1" x14ac:dyDescent="0.25"/>
    <row r="183434" customFormat="1" x14ac:dyDescent="0.25"/>
    <row r="183435" customFormat="1" x14ac:dyDescent="0.25"/>
    <row r="183436" customFormat="1" x14ac:dyDescent="0.25"/>
    <row r="183437" customFormat="1" x14ac:dyDescent="0.25"/>
    <row r="183438" customFormat="1" x14ac:dyDescent="0.25"/>
    <row r="183439" customFormat="1" x14ac:dyDescent="0.25"/>
    <row r="183440" customFormat="1" x14ac:dyDescent="0.25"/>
    <row r="183441" customFormat="1" x14ac:dyDescent="0.25"/>
    <row r="183442" customFormat="1" x14ac:dyDescent="0.25"/>
    <row r="183443" customFormat="1" x14ac:dyDescent="0.25"/>
    <row r="183444" customFormat="1" x14ac:dyDescent="0.25"/>
    <row r="183445" customFormat="1" x14ac:dyDescent="0.25"/>
    <row r="183446" customFormat="1" x14ac:dyDescent="0.25"/>
    <row r="183447" customFormat="1" x14ac:dyDescent="0.25"/>
    <row r="183448" customFormat="1" x14ac:dyDescent="0.25"/>
    <row r="183449" customFormat="1" x14ac:dyDescent="0.25"/>
    <row r="183450" customFormat="1" x14ac:dyDescent="0.25"/>
    <row r="183451" customFormat="1" x14ac:dyDescent="0.25"/>
    <row r="183452" customFormat="1" x14ac:dyDescent="0.25"/>
    <row r="183453" customFormat="1" x14ac:dyDescent="0.25"/>
    <row r="183454" customFormat="1" x14ac:dyDescent="0.25"/>
    <row r="183455" customFormat="1" x14ac:dyDescent="0.25"/>
    <row r="183456" customFormat="1" x14ac:dyDescent="0.25"/>
    <row r="183457" customFormat="1" x14ac:dyDescent="0.25"/>
    <row r="183458" customFormat="1" x14ac:dyDescent="0.25"/>
    <row r="183459" customFormat="1" x14ac:dyDescent="0.25"/>
    <row r="183460" customFormat="1" x14ac:dyDescent="0.25"/>
    <row r="183461" customFormat="1" x14ac:dyDescent="0.25"/>
    <row r="183462" customFormat="1" x14ac:dyDescent="0.25"/>
    <row r="183463" customFormat="1" x14ac:dyDescent="0.25"/>
    <row r="183464" customFormat="1" x14ac:dyDescent="0.25"/>
    <row r="183465" customFormat="1" x14ac:dyDescent="0.25"/>
    <row r="183466" customFormat="1" x14ac:dyDescent="0.25"/>
    <row r="183467" customFormat="1" x14ac:dyDescent="0.25"/>
    <row r="183468" customFormat="1" x14ac:dyDescent="0.25"/>
    <row r="183469" customFormat="1" x14ac:dyDescent="0.25"/>
    <row r="183470" customFormat="1" x14ac:dyDescent="0.25"/>
    <row r="183471" customFormat="1" x14ac:dyDescent="0.25"/>
    <row r="183472" customFormat="1" x14ac:dyDescent="0.25"/>
    <row r="183473" customFormat="1" x14ac:dyDescent="0.25"/>
    <row r="183474" customFormat="1" x14ac:dyDescent="0.25"/>
    <row r="183475" customFormat="1" x14ac:dyDescent="0.25"/>
    <row r="183476" customFormat="1" x14ac:dyDescent="0.25"/>
    <row r="183477" customFormat="1" x14ac:dyDescent="0.25"/>
    <row r="183478" customFormat="1" x14ac:dyDescent="0.25"/>
    <row r="183479" customFormat="1" x14ac:dyDescent="0.25"/>
    <row r="183480" customFormat="1" x14ac:dyDescent="0.25"/>
    <row r="183481" customFormat="1" x14ac:dyDescent="0.25"/>
    <row r="183482" customFormat="1" x14ac:dyDescent="0.25"/>
    <row r="183483" customFormat="1" x14ac:dyDescent="0.25"/>
    <row r="183484" customFormat="1" x14ac:dyDescent="0.25"/>
    <row r="183485" customFormat="1" x14ac:dyDescent="0.25"/>
    <row r="183486" customFormat="1" x14ac:dyDescent="0.25"/>
    <row r="183487" customFormat="1" x14ac:dyDescent="0.25"/>
    <row r="183488" customFormat="1" x14ac:dyDescent="0.25"/>
    <row r="183489" customFormat="1" x14ac:dyDescent="0.25"/>
    <row r="183490" customFormat="1" x14ac:dyDescent="0.25"/>
    <row r="183491" customFormat="1" x14ac:dyDescent="0.25"/>
    <row r="183492" customFormat="1" x14ac:dyDescent="0.25"/>
    <row r="183493" customFormat="1" x14ac:dyDescent="0.25"/>
    <row r="183494" customFormat="1" x14ac:dyDescent="0.25"/>
    <row r="183495" customFormat="1" x14ac:dyDescent="0.25"/>
    <row r="183496" customFormat="1" x14ac:dyDescent="0.25"/>
    <row r="183497" customFormat="1" x14ac:dyDescent="0.25"/>
    <row r="183498" customFormat="1" x14ac:dyDescent="0.25"/>
    <row r="183499" customFormat="1" x14ac:dyDescent="0.25"/>
    <row r="183500" customFormat="1" x14ac:dyDescent="0.25"/>
    <row r="183501" customFormat="1" x14ac:dyDescent="0.25"/>
    <row r="183502" customFormat="1" x14ac:dyDescent="0.25"/>
    <row r="183503" customFormat="1" x14ac:dyDescent="0.25"/>
    <row r="183504" customFormat="1" x14ac:dyDescent="0.25"/>
    <row r="183505" customFormat="1" x14ac:dyDescent="0.25"/>
    <row r="183506" customFormat="1" x14ac:dyDescent="0.25"/>
    <row r="183507" customFormat="1" x14ac:dyDescent="0.25"/>
    <row r="183508" customFormat="1" x14ac:dyDescent="0.25"/>
    <row r="183509" customFormat="1" x14ac:dyDescent="0.25"/>
    <row r="183510" customFormat="1" x14ac:dyDescent="0.25"/>
    <row r="183511" customFormat="1" x14ac:dyDescent="0.25"/>
    <row r="183512" customFormat="1" x14ac:dyDescent="0.25"/>
    <row r="183513" customFormat="1" x14ac:dyDescent="0.25"/>
    <row r="183514" customFormat="1" x14ac:dyDescent="0.25"/>
    <row r="183515" customFormat="1" x14ac:dyDescent="0.25"/>
    <row r="183516" customFormat="1" x14ac:dyDescent="0.25"/>
    <row r="183517" customFormat="1" x14ac:dyDescent="0.25"/>
    <row r="183518" customFormat="1" x14ac:dyDescent="0.25"/>
    <row r="183519" customFormat="1" x14ac:dyDescent="0.25"/>
    <row r="183520" customFormat="1" x14ac:dyDescent="0.25"/>
    <row r="183521" customFormat="1" x14ac:dyDescent="0.25"/>
    <row r="183522" customFormat="1" x14ac:dyDescent="0.25"/>
    <row r="183523" customFormat="1" x14ac:dyDescent="0.25"/>
    <row r="183524" customFormat="1" x14ac:dyDescent="0.25"/>
    <row r="183525" customFormat="1" x14ac:dyDescent="0.25"/>
    <row r="183526" customFormat="1" x14ac:dyDescent="0.25"/>
    <row r="183527" customFormat="1" x14ac:dyDescent="0.25"/>
    <row r="183528" customFormat="1" x14ac:dyDescent="0.25"/>
    <row r="183529" customFormat="1" x14ac:dyDescent="0.25"/>
    <row r="183530" customFormat="1" x14ac:dyDescent="0.25"/>
    <row r="183531" customFormat="1" x14ac:dyDescent="0.25"/>
    <row r="183532" customFormat="1" x14ac:dyDescent="0.25"/>
    <row r="183533" customFormat="1" x14ac:dyDescent="0.25"/>
    <row r="183534" customFormat="1" x14ac:dyDescent="0.25"/>
    <row r="183535" customFormat="1" x14ac:dyDescent="0.25"/>
    <row r="183536" customFormat="1" x14ac:dyDescent="0.25"/>
    <row r="183537" customFormat="1" x14ac:dyDescent="0.25"/>
    <row r="183538" customFormat="1" x14ac:dyDescent="0.25"/>
    <row r="183539" customFormat="1" x14ac:dyDescent="0.25"/>
    <row r="183540" customFormat="1" x14ac:dyDescent="0.25"/>
    <row r="183541" customFormat="1" x14ac:dyDescent="0.25"/>
    <row r="183542" customFormat="1" x14ac:dyDescent="0.25"/>
    <row r="183543" customFormat="1" x14ac:dyDescent="0.25"/>
    <row r="183544" customFormat="1" x14ac:dyDescent="0.25"/>
    <row r="183545" customFormat="1" x14ac:dyDescent="0.25"/>
    <row r="183546" customFormat="1" x14ac:dyDescent="0.25"/>
    <row r="183547" customFormat="1" x14ac:dyDescent="0.25"/>
    <row r="183548" customFormat="1" x14ac:dyDescent="0.25"/>
    <row r="183549" customFormat="1" x14ac:dyDescent="0.25"/>
    <row r="183550" customFormat="1" x14ac:dyDescent="0.25"/>
    <row r="183551" customFormat="1" x14ac:dyDescent="0.25"/>
    <row r="183552" customFormat="1" x14ac:dyDescent="0.25"/>
    <row r="183553" customFormat="1" x14ac:dyDescent="0.25"/>
    <row r="183554" customFormat="1" x14ac:dyDescent="0.25"/>
    <row r="183555" customFormat="1" x14ac:dyDescent="0.25"/>
    <row r="183556" customFormat="1" x14ac:dyDescent="0.25"/>
    <row r="183557" customFormat="1" x14ac:dyDescent="0.25"/>
    <row r="183558" customFormat="1" x14ac:dyDescent="0.25"/>
    <row r="183559" customFormat="1" x14ac:dyDescent="0.25"/>
    <row r="183560" customFormat="1" x14ac:dyDescent="0.25"/>
    <row r="183561" customFormat="1" x14ac:dyDescent="0.25"/>
    <row r="183562" customFormat="1" x14ac:dyDescent="0.25"/>
    <row r="183563" customFormat="1" x14ac:dyDescent="0.25"/>
    <row r="183564" customFormat="1" x14ac:dyDescent="0.25"/>
    <row r="183565" customFormat="1" x14ac:dyDescent="0.25"/>
    <row r="183566" customFormat="1" x14ac:dyDescent="0.25"/>
    <row r="183567" customFormat="1" x14ac:dyDescent="0.25"/>
    <row r="183568" customFormat="1" x14ac:dyDescent="0.25"/>
    <row r="183569" customFormat="1" x14ac:dyDescent="0.25"/>
    <row r="183570" customFormat="1" x14ac:dyDescent="0.25"/>
    <row r="183571" customFormat="1" x14ac:dyDescent="0.25"/>
    <row r="183572" customFormat="1" x14ac:dyDescent="0.25"/>
    <row r="183573" customFormat="1" x14ac:dyDescent="0.25"/>
    <row r="183574" customFormat="1" x14ac:dyDescent="0.25"/>
    <row r="183575" customFormat="1" x14ac:dyDescent="0.25"/>
    <row r="183576" customFormat="1" x14ac:dyDescent="0.25"/>
    <row r="183577" customFormat="1" x14ac:dyDescent="0.25"/>
    <row r="183578" customFormat="1" x14ac:dyDescent="0.25"/>
    <row r="183579" customFormat="1" x14ac:dyDescent="0.25"/>
    <row r="183580" customFormat="1" x14ac:dyDescent="0.25"/>
    <row r="183581" customFormat="1" x14ac:dyDescent="0.25"/>
    <row r="183582" customFormat="1" x14ac:dyDescent="0.25"/>
    <row r="183583" customFormat="1" x14ac:dyDescent="0.25"/>
    <row r="183584" customFormat="1" x14ac:dyDescent="0.25"/>
    <row r="183585" customFormat="1" x14ac:dyDescent="0.25"/>
    <row r="183586" customFormat="1" x14ac:dyDescent="0.25"/>
    <row r="183587" customFormat="1" x14ac:dyDescent="0.25"/>
    <row r="183588" customFormat="1" x14ac:dyDescent="0.25"/>
    <row r="183589" customFormat="1" x14ac:dyDescent="0.25"/>
    <row r="183590" customFormat="1" x14ac:dyDescent="0.25"/>
    <row r="183591" customFormat="1" x14ac:dyDescent="0.25"/>
    <row r="183592" customFormat="1" x14ac:dyDescent="0.25"/>
    <row r="183593" customFormat="1" x14ac:dyDescent="0.25"/>
    <row r="183594" customFormat="1" x14ac:dyDescent="0.25"/>
    <row r="183595" customFormat="1" x14ac:dyDescent="0.25"/>
    <row r="183596" customFormat="1" x14ac:dyDescent="0.25"/>
    <row r="183597" customFormat="1" x14ac:dyDescent="0.25"/>
    <row r="183598" customFormat="1" x14ac:dyDescent="0.25"/>
    <row r="183599" customFormat="1" x14ac:dyDescent="0.25"/>
    <row r="183600" customFormat="1" x14ac:dyDescent="0.25"/>
    <row r="183601" customFormat="1" x14ac:dyDescent="0.25"/>
    <row r="183602" customFormat="1" x14ac:dyDescent="0.25"/>
    <row r="183603" customFormat="1" x14ac:dyDescent="0.25"/>
    <row r="183604" customFormat="1" x14ac:dyDescent="0.25"/>
    <row r="183605" customFormat="1" x14ac:dyDescent="0.25"/>
    <row r="183606" customFormat="1" x14ac:dyDescent="0.25"/>
    <row r="183607" customFormat="1" x14ac:dyDescent="0.25"/>
    <row r="183608" customFormat="1" x14ac:dyDescent="0.25"/>
    <row r="183609" customFormat="1" x14ac:dyDescent="0.25"/>
    <row r="183610" customFormat="1" x14ac:dyDescent="0.25"/>
    <row r="183611" customFormat="1" x14ac:dyDescent="0.25"/>
    <row r="183612" customFormat="1" x14ac:dyDescent="0.25"/>
    <row r="183613" customFormat="1" x14ac:dyDescent="0.25"/>
    <row r="183614" customFormat="1" x14ac:dyDescent="0.25"/>
    <row r="183615" customFormat="1" x14ac:dyDescent="0.25"/>
    <row r="183616" customFormat="1" x14ac:dyDescent="0.25"/>
    <row r="183617" customFormat="1" x14ac:dyDescent="0.25"/>
    <row r="183618" customFormat="1" x14ac:dyDescent="0.25"/>
    <row r="183619" customFormat="1" x14ac:dyDescent="0.25"/>
    <row r="183620" customFormat="1" x14ac:dyDescent="0.25"/>
    <row r="183621" customFormat="1" x14ac:dyDescent="0.25"/>
    <row r="183622" customFormat="1" x14ac:dyDescent="0.25"/>
    <row r="183623" customFormat="1" x14ac:dyDescent="0.25"/>
    <row r="183624" customFormat="1" x14ac:dyDescent="0.25"/>
    <row r="183625" customFormat="1" x14ac:dyDescent="0.25"/>
    <row r="183626" customFormat="1" x14ac:dyDescent="0.25"/>
    <row r="183627" customFormat="1" x14ac:dyDescent="0.25"/>
    <row r="183628" customFormat="1" x14ac:dyDescent="0.25"/>
    <row r="183629" customFormat="1" x14ac:dyDescent="0.25"/>
    <row r="183630" customFormat="1" x14ac:dyDescent="0.25"/>
    <row r="183631" customFormat="1" x14ac:dyDescent="0.25"/>
    <row r="183632" customFormat="1" x14ac:dyDescent="0.25"/>
    <row r="183633" customFormat="1" x14ac:dyDescent="0.25"/>
    <row r="183634" customFormat="1" x14ac:dyDescent="0.25"/>
    <row r="183635" customFormat="1" x14ac:dyDescent="0.25"/>
    <row r="183636" customFormat="1" x14ac:dyDescent="0.25"/>
    <row r="183637" customFormat="1" x14ac:dyDescent="0.25"/>
    <row r="183638" customFormat="1" x14ac:dyDescent="0.25"/>
    <row r="183639" customFormat="1" x14ac:dyDescent="0.25"/>
    <row r="183640" customFormat="1" x14ac:dyDescent="0.25"/>
    <row r="183641" customFormat="1" x14ac:dyDescent="0.25"/>
    <row r="183642" customFormat="1" x14ac:dyDescent="0.25"/>
    <row r="183643" customFormat="1" x14ac:dyDescent="0.25"/>
    <row r="183644" customFormat="1" x14ac:dyDescent="0.25"/>
    <row r="183645" customFormat="1" x14ac:dyDescent="0.25"/>
    <row r="183646" customFormat="1" x14ac:dyDescent="0.25"/>
    <row r="183647" customFormat="1" x14ac:dyDescent="0.25"/>
    <row r="183648" customFormat="1" x14ac:dyDescent="0.25"/>
    <row r="183649" customFormat="1" x14ac:dyDescent="0.25"/>
    <row r="183650" customFormat="1" x14ac:dyDescent="0.25"/>
    <row r="183651" customFormat="1" x14ac:dyDescent="0.25"/>
    <row r="183652" customFormat="1" x14ac:dyDescent="0.25"/>
    <row r="183653" customFormat="1" x14ac:dyDescent="0.25"/>
    <row r="183654" customFormat="1" x14ac:dyDescent="0.25"/>
    <row r="183655" customFormat="1" x14ac:dyDescent="0.25"/>
    <row r="183656" customFormat="1" x14ac:dyDescent="0.25"/>
    <row r="183657" customFormat="1" x14ac:dyDescent="0.25"/>
    <row r="183658" customFormat="1" x14ac:dyDescent="0.25"/>
    <row r="183659" customFormat="1" x14ac:dyDescent="0.25"/>
    <row r="183660" customFormat="1" x14ac:dyDescent="0.25"/>
    <row r="183661" customFormat="1" x14ac:dyDescent="0.25"/>
    <row r="183662" customFormat="1" x14ac:dyDescent="0.25"/>
    <row r="183663" customFormat="1" x14ac:dyDescent="0.25"/>
    <row r="183664" customFormat="1" x14ac:dyDescent="0.25"/>
    <row r="183665" customFormat="1" x14ac:dyDescent="0.25"/>
    <row r="183666" customFormat="1" x14ac:dyDescent="0.25"/>
    <row r="183667" customFormat="1" x14ac:dyDescent="0.25"/>
    <row r="183668" customFormat="1" x14ac:dyDescent="0.25"/>
    <row r="183669" customFormat="1" x14ac:dyDescent="0.25"/>
    <row r="183670" customFormat="1" x14ac:dyDescent="0.25"/>
    <row r="183671" customFormat="1" x14ac:dyDescent="0.25"/>
    <row r="183672" customFormat="1" x14ac:dyDescent="0.25"/>
    <row r="183673" customFormat="1" x14ac:dyDescent="0.25"/>
    <row r="183674" customFormat="1" x14ac:dyDescent="0.25"/>
    <row r="183675" customFormat="1" x14ac:dyDescent="0.25"/>
    <row r="183676" customFormat="1" x14ac:dyDescent="0.25"/>
    <row r="183677" customFormat="1" x14ac:dyDescent="0.25"/>
    <row r="183678" customFormat="1" x14ac:dyDescent="0.25"/>
    <row r="183679" customFormat="1" x14ac:dyDescent="0.25"/>
    <row r="183680" customFormat="1" x14ac:dyDescent="0.25"/>
    <row r="183681" customFormat="1" x14ac:dyDescent="0.25"/>
    <row r="183682" customFormat="1" x14ac:dyDescent="0.25"/>
    <row r="183683" customFormat="1" x14ac:dyDescent="0.25"/>
    <row r="183684" customFormat="1" x14ac:dyDescent="0.25"/>
    <row r="183685" customFormat="1" x14ac:dyDescent="0.25"/>
    <row r="183686" customFormat="1" x14ac:dyDescent="0.25"/>
    <row r="183687" customFormat="1" x14ac:dyDescent="0.25"/>
    <row r="183688" customFormat="1" x14ac:dyDescent="0.25"/>
    <row r="183689" customFormat="1" x14ac:dyDescent="0.25"/>
    <row r="183690" customFormat="1" x14ac:dyDescent="0.25"/>
    <row r="183691" customFormat="1" x14ac:dyDescent="0.25"/>
    <row r="183692" customFormat="1" x14ac:dyDescent="0.25"/>
    <row r="183693" customFormat="1" x14ac:dyDescent="0.25"/>
    <row r="183694" customFormat="1" x14ac:dyDescent="0.25"/>
    <row r="183695" customFormat="1" x14ac:dyDescent="0.25"/>
    <row r="183696" customFormat="1" x14ac:dyDescent="0.25"/>
    <row r="183697" customFormat="1" x14ac:dyDescent="0.25"/>
    <row r="183698" customFormat="1" x14ac:dyDescent="0.25"/>
    <row r="183699" customFormat="1" x14ac:dyDescent="0.25"/>
    <row r="183700" customFormat="1" x14ac:dyDescent="0.25"/>
    <row r="183701" customFormat="1" x14ac:dyDescent="0.25"/>
    <row r="183702" customFormat="1" x14ac:dyDescent="0.25"/>
    <row r="183703" customFormat="1" x14ac:dyDescent="0.25"/>
    <row r="183704" customFormat="1" x14ac:dyDescent="0.25"/>
    <row r="183705" customFormat="1" x14ac:dyDescent="0.25"/>
    <row r="183706" customFormat="1" x14ac:dyDescent="0.25"/>
    <row r="183707" customFormat="1" x14ac:dyDescent="0.25"/>
    <row r="183708" customFormat="1" x14ac:dyDescent="0.25"/>
    <row r="183709" customFormat="1" x14ac:dyDescent="0.25"/>
    <row r="183710" customFormat="1" x14ac:dyDescent="0.25"/>
    <row r="183711" customFormat="1" x14ac:dyDescent="0.25"/>
    <row r="183712" customFormat="1" x14ac:dyDescent="0.25"/>
    <row r="183713" customFormat="1" x14ac:dyDescent="0.25"/>
    <row r="183714" customFormat="1" x14ac:dyDescent="0.25"/>
    <row r="183715" customFormat="1" x14ac:dyDescent="0.25"/>
    <row r="183716" customFormat="1" x14ac:dyDescent="0.25"/>
    <row r="183717" customFormat="1" x14ac:dyDescent="0.25"/>
    <row r="183718" customFormat="1" x14ac:dyDescent="0.25"/>
    <row r="183719" customFormat="1" x14ac:dyDescent="0.25"/>
    <row r="183720" customFormat="1" x14ac:dyDescent="0.25"/>
    <row r="183721" customFormat="1" x14ac:dyDescent="0.25"/>
    <row r="183722" customFormat="1" x14ac:dyDescent="0.25"/>
    <row r="183723" customFormat="1" x14ac:dyDescent="0.25"/>
    <row r="183724" customFormat="1" x14ac:dyDescent="0.25"/>
    <row r="183725" customFormat="1" x14ac:dyDescent="0.25"/>
    <row r="183726" customFormat="1" x14ac:dyDescent="0.25"/>
    <row r="183727" customFormat="1" x14ac:dyDescent="0.25"/>
    <row r="183728" customFormat="1" x14ac:dyDescent="0.25"/>
    <row r="183729" customFormat="1" x14ac:dyDescent="0.25"/>
    <row r="183730" customFormat="1" x14ac:dyDescent="0.25"/>
    <row r="183731" customFormat="1" x14ac:dyDescent="0.25"/>
    <row r="183732" customFormat="1" x14ac:dyDescent="0.25"/>
    <row r="183733" customFormat="1" x14ac:dyDescent="0.25"/>
    <row r="183734" customFormat="1" x14ac:dyDescent="0.25"/>
    <row r="183735" customFormat="1" x14ac:dyDescent="0.25"/>
    <row r="183736" customFormat="1" x14ac:dyDescent="0.25"/>
    <row r="183737" customFormat="1" x14ac:dyDescent="0.25"/>
    <row r="183738" customFormat="1" x14ac:dyDescent="0.25"/>
    <row r="183739" customFormat="1" x14ac:dyDescent="0.25"/>
    <row r="183740" customFormat="1" x14ac:dyDescent="0.25"/>
    <row r="183741" customFormat="1" x14ac:dyDescent="0.25"/>
    <row r="183742" customFormat="1" x14ac:dyDescent="0.25"/>
    <row r="183743" customFormat="1" x14ac:dyDescent="0.25"/>
    <row r="183744" customFormat="1" x14ac:dyDescent="0.25"/>
    <row r="183745" customFormat="1" x14ac:dyDescent="0.25"/>
    <row r="183746" customFormat="1" x14ac:dyDescent="0.25"/>
    <row r="183747" customFormat="1" x14ac:dyDescent="0.25"/>
    <row r="183748" customFormat="1" x14ac:dyDescent="0.25"/>
    <row r="183749" customFormat="1" x14ac:dyDescent="0.25"/>
    <row r="183750" customFormat="1" x14ac:dyDescent="0.25"/>
    <row r="183751" customFormat="1" x14ac:dyDescent="0.25"/>
    <row r="183752" customFormat="1" x14ac:dyDescent="0.25"/>
    <row r="183753" customFormat="1" x14ac:dyDescent="0.25"/>
    <row r="183754" customFormat="1" x14ac:dyDescent="0.25"/>
    <row r="183755" customFormat="1" x14ac:dyDescent="0.25"/>
    <row r="183756" customFormat="1" x14ac:dyDescent="0.25"/>
    <row r="183757" customFormat="1" x14ac:dyDescent="0.25"/>
    <row r="183758" customFormat="1" x14ac:dyDescent="0.25"/>
    <row r="183759" customFormat="1" x14ac:dyDescent="0.25"/>
    <row r="183760" customFormat="1" x14ac:dyDescent="0.25"/>
    <row r="183761" customFormat="1" x14ac:dyDescent="0.25"/>
    <row r="183762" customFormat="1" x14ac:dyDescent="0.25"/>
    <row r="183763" customFormat="1" x14ac:dyDescent="0.25"/>
    <row r="183764" customFormat="1" x14ac:dyDescent="0.25"/>
    <row r="183765" customFormat="1" x14ac:dyDescent="0.25"/>
    <row r="183766" customFormat="1" x14ac:dyDescent="0.25"/>
    <row r="183767" customFormat="1" x14ac:dyDescent="0.25"/>
    <row r="183768" customFormat="1" x14ac:dyDescent="0.25"/>
    <row r="183769" customFormat="1" x14ac:dyDescent="0.25"/>
    <row r="183770" customFormat="1" x14ac:dyDescent="0.25"/>
    <row r="183771" customFormat="1" x14ac:dyDescent="0.25"/>
    <row r="183772" customFormat="1" x14ac:dyDescent="0.25"/>
    <row r="183773" customFormat="1" x14ac:dyDescent="0.25"/>
    <row r="183774" customFormat="1" x14ac:dyDescent="0.25"/>
    <row r="183775" customFormat="1" x14ac:dyDescent="0.25"/>
    <row r="183776" customFormat="1" x14ac:dyDescent="0.25"/>
    <row r="183777" customFormat="1" x14ac:dyDescent="0.25"/>
    <row r="183778" customFormat="1" x14ac:dyDescent="0.25"/>
    <row r="183779" customFormat="1" x14ac:dyDescent="0.25"/>
    <row r="183780" customFormat="1" x14ac:dyDescent="0.25"/>
    <row r="183781" customFormat="1" x14ac:dyDescent="0.25"/>
    <row r="183782" customFormat="1" x14ac:dyDescent="0.25"/>
    <row r="183783" customFormat="1" x14ac:dyDescent="0.25"/>
    <row r="183784" customFormat="1" x14ac:dyDescent="0.25"/>
    <row r="183785" customFormat="1" x14ac:dyDescent="0.25"/>
    <row r="183786" customFormat="1" x14ac:dyDescent="0.25"/>
    <row r="183787" customFormat="1" x14ac:dyDescent="0.25"/>
    <row r="183788" customFormat="1" x14ac:dyDescent="0.25"/>
    <row r="183789" customFormat="1" x14ac:dyDescent="0.25"/>
    <row r="183790" customFormat="1" x14ac:dyDescent="0.25"/>
    <row r="183791" customFormat="1" x14ac:dyDescent="0.25"/>
    <row r="183792" customFormat="1" x14ac:dyDescent="0.25"/>
    <row r="183793" customFormat="1" x14ac:dyDescent="0.25"/>
    <row r="183794" customFormat="1" x14ac:dyDescent="0.25"/>
    <row r="183795" customFormat="1" x14ac:dyDescent="0.25"/>
    <row r="183796" customFormat="1" x14ac:dyDescent="0.25"/>
    <row r="183797" customFormat="1" x14ac:dyDescent="0.25"/>
    <row r="183798" customFormat="1" x14ac:dyDescent="0.25"/>
    <row r="183799" customFormat="1" x14ac:dyDescent="0.25"/>
    <row r="183800" customFormat="1" x14ac:dyDescent="0.25"/>
    <row r="183801" customFormat="1" x14ac:dyDescent="0.25"/>
    <row r="183802" customFormat="1" x14ac:dyDescent="0.25"/>
    <row r="183803" customFormat="1" x14ac:dyDescent="0.25"/>
    <row r="183804" customFormat="1" x14ac:dyDescent="0.25"/>
    <row r="183805" customFormat="1" x14ac:dyDescent="0.25"/>
    <row r="183806" customFormat="1" x14ac:dyDescent="0.25"/>
    <row r="183807" customFormat="1" x14ac:dyDescent="0.25"/>
    <row r="183808" customFormat="1" x14ac:dyDescent="0.25"/>
    <row r="183809" customFormat="1" x14ac:dyDescent="0.25"/>
    <row r="183810" customFormat="1" x14ac:dyDescent="0.25"/>
    <row r="183811" customFormat="1" x14ac:dyDescent="0.25"/>
    <row r="183812" customFormat="1" x14ac:dyDescent="0.25"/>
    <row r="183813" customFormat="1" x14ac:dyDescent="0.25"/>
    <row r="183814" customFormat="1" x14ac:dyDescent="0.25"/>
    <row r="183815" customFormat="1" x14ac:dyDescent="0.25"/>
    <row r="183816" customFormat="1" x14ac:dyDescent="0.25"/>
    <row r="183817" customFormat="1" x14ac:dyDescent="0.25"/>
    <row r="183818" customFormat="1" x14ac:dyDescent="0.25"/>
    <row r="183819" customFormat="1" x14ac:dyDescent="0.25"/>
    <row r="183820" customFormat="1" x14ac:dyDescent="0.25"/>
    <row r="183821" customFormat="1" x14ac:dyDescent="0.25"/>
    <row r="183822" customFormat="1" x14ac:dyDescent="0.25"/>
    <row r="183823" customFormat="1" x14ac:dyDescent="0.25"/>
    <row r="183824" customFormat="1" x14ac:dyDescent="0.25"/>
    <row r="183825" customFormat="1" x14ac:dyDescent="0.25"/>
    <row r="183826" customFormat="1" x14ac:dyDescent="0.25"/>
    <row r="183827" customFormat="1" x14ac:dyDescent="0.25"/>
    <row r="183828" customFormat="1" x14ac:dyDescent="0.25"/>
    <row r="183829" customFormat="1" x14ac:dyDescent="0.25"/>
    <row r="183830" customFormat="1" x14ac:dyDescent="0.25"/>
    <row r="183831" customFormat="1" x14ac:dyDescent="0.25"/>
    <row r="183832" customFormat="1" x14ac:dyDescent="0.25"/>
    <row r="183833" customFormat="1" x14ac:dyDescent="0.25"/>
    <row r="183834" customFormat="1" x14ac:dyDescent="0.25"/>
    <row r="183835" customFormat="1" x14ac:dyDescent="0.25"/>
    <row r="183836" customFormat="1" x14ac:dyDescent="0.25"/>
    <row r="183837" customFormat="1" x14ac:dyDescent="0.25"/>
    <row r="183838" customFormat="1" x14ac:dyDescent="0.25"/>
    <row r="183839" customFormat="1" x14ac:dyDescent="0.25"/>
    <row r="183840" customFormat="1" x14ac:dyDescent="0.25"/>
    <row r="183841" customFormat="1" x14ac:dyDescent="0.25"/>
    <row r="183842" customFormat="1" x14ac:dyDescent="0.25"/>
    <row r="183843" customFormat="1" x14ac:dyDescent="0.25"/>
    <row r="183844" customFormat="1" x14ac:dyDescent="0.25"/>
    <row r="183845" customFormat="1" x14ac:dyDescent="0.25"/>
    <row r="183846" customFormat="1" x14ac:dyDescent="0.25"/>
    <row r="183847" customFormat="1" x14ac:dyDescent="0.25"/>
    <row r="183848" customFormat="1" x14ac:dyDescent="0.25"/>
    <row r="183849" customFormat="1" x14ac:dyDescent="0.25"/>
    <row r="183850" customFormat="1" x14ac:dyDescent="0.25"/>
    <row r="183851" customFormat="1" x14ac:dyDescent="0.25"/>
    <row r="183852" customFormat="1" x14ac:dyDescent="0.25"/>
    <row r="183853" customFormat="1" x14ac:dyDescent="0.25"/>
    <row r="183854" customFormat="1" x14ac:dyDescent="0.25"/>
    <row r="183855" customFormat="1" x14ac:dyDescent="0.25"/>
    <row r="183856" customFormat="1" x14ac:dyDescent="0.25"/>
    <row r="183857" customFormat="1" x14ac:dyDescent="0.25"/>
    <row r="183858" customFormat="1" x14ac:dyDescent="0.25"/>
    <row r="183859" customFormat="1" x14ac:dyDescent="0.25"/>
    <row r="183860" customFormat="1" x14ac:dyDescent="0.25"/>
    <row r="183861" customFormat="1" x14ac:dyDescent="0.25"/>
    <row r="183862" customFormat="1" x14ac:dyDescent="0.25"/>
    <row r="183863" customFormat="1" x14ac:dyDescent="0.25"/>
    <row r="183864" customFormat="1" x14ac:dyDescent="0.25"/>
    <row r="183865" customFormat="1" x14ac:dyDescent="0.25"/>
    <row r="183866" customFormat="1" x14ac:dyDescent="0.25"/>
    <row r="183867" customFormat="1" x14ac:dyDescent="0.25"/>
    <row r="183868" customFormat="1" x14ac:dyDescent="0.25"/>
    <row r="183869" customFormat="1" x14ac:dyDescent="0.25"/>
    <row r="183870" customFormat="1" x14ac:dyDescent="0.25"/>
    <row r="183871" customFormat="1" x14ac:dyDescent="0.25"/>
    <row r="183872" customFormat="1" x14ac:dyDescent="0.25"/>
    <row r="183873" customFormat="1" x14ac:dyDescent="0.25"/>
    <row r="183874" customFormat="1" x14ac:dyDescent="0.25"/>
    <row r="183875" customFormat="1" x14ac:dyDescent="0.25"/>
    <row r="183876" customFormat="1" x14ac:dyDescent="0.25"/>
    <row r="183877" customFormat="1" x14ac:dyDescent="0.25"/>
    <row r="183878" customFormat="1" x14ac:dyDescent="0.25"/>
    <row r="183879" customFormat="1" x14ac:dyDescent="0.25"/>
    <row r="183880" customFormat="1" x14ac:dyDescent="0.25"/>
    <row r="183881" customFormat="1" x14ac:dyDescent="0.25"/>
    <row r="183882" customFormat="1" x14ac:dyDescent="0.25"/>
    <row r="183883" customFormat="1" x14ac:dyDescent="0.25"/>
    <row r="183884" customFormat="1" x14ac:dyDescent="0.25"/>
    <row r="183885" customFormat="1" x14ac:dyDescent="0.25"/>
    <row r="183886" customFormat="1" x14ac:dyDescent="0.25"/>
    <row r="183887" customFormat="1" x14ac:dyDescent="0.25"/>
    <row r="183888" customFormat="1" x14ac:dyDescent="0.25"/>
    <row r="183889" customFormat="1" x14ac:dyDescent="0.25"/>
    <row r="183890" customFormat="1" x14ac:dyDescent="0.25"/>
    <row r="183891" customFormat="1" x14ac:dyDescent="0.25"/>
    <row r="183892" customFormat="1" x14ac:dyDescent="0.25"/>
    <row r="183893" customFormat="1" x14ac:dyDescent="0.25"/>
    <row r="183894" customFormat="1" x14ac:dyDescent="0.25"/>
    <row r="183895" customFormat="1" x14ac:dyDescent="0.25"/>
    <row r="183896" customFormat="1" x14ac:dyDescent="0.25"/>
    <row r="183897" customFormat="1" x14ac:dyDescent="0.25"/>
    <row r="183898" customFormat="1" x14ac:dyDescent="0.25"/>
    <row r="183899" customFormat="1" x14ac:dyDescent="0.25"/>
    <row r="183900" customFormat="1" x14ac:dyDescent="0.25"/>
    <row r="183901" customFormat="1" x14ac:dyDescent="0.25"/>
    <row r="183902" customFormat="1" x14ac:dyDescent="0.25"/>
    <row r="183903" customFormat="1" x14ac:dyDescent="0.25"/>
    <row r="183904" customFormat="1" x14ac:dyDescent="0.25"/>
    <row r="183905" customFormat="1" x14ac:dyDescent="0.25"/>
    <row r="183906" customFormat="1" x14ac:dyDescent="0.25"/>
    <row r="183907" customFormat="1" x14ac:dyDescent="0.25"/>
    <row r="183908" customFormat="1" x14ac:dyDescent="0.25"/>
    <row r="183909" customFormat="1" x14ac:dyDescent="0.25"/>
    <row r="183910" customFormat="1" x14ac:dyDescent="0.25"/>
    <row r="183911" customFormat="1" x14ac:dyDescent="0.25"/>
    <row r="183912" customFormat="1" x14ac:dyDescent="0.25"/>
    <row r="183913" customFormat="1" x14ac:dyDescent="0.25"/>
    <row r="183914" customFormat="1" x14ac:dyDescent="0.25"/>
    <row r="183915" customFormat="1" x14ac:dyDescent="0.25"/>
    <row r="183916" customFormat="1" x14ac:dyDescent="0.25"/>
    <row r="183917" customFormat="1" x14ac:dyDescent="0.25"/>
    <row r="183918" customFormat="1" x14ac:dyDescent="0.25"/>
    <row r="183919" customFormat="1" x14ac:dyDescent="0.25"/>
    <row r="183920" customFormat="1" x14ac:dyDescent="0.25"/>
    <row r="183921" customFormat="1" x14ac:dyDescent="0.25"/>
    <row r="183922" customFormat="1" x14ac:dyDescent="0.25"/>
    <row r="183923" customFormat="1" x14ac:dyDescent="0.25"/>
    <row r="183924" customFormat="1" x14ac:dyDescent="0.25"/>
    <row r="183925" customFormat="1" x14ac:dyDescent="0.25"/>
    <row r="183926" customFormat="1" x14ac:dyDescent="0.25"/>
    <row r="183927" customFormat="1" x14ac:dyDescent="0.25"/>
    <row r="183928" customFormat="1" x14ac:dyDescent="0.25"/>
    <row r="183929" customFormat="1" x14ac:dyDescent="0.25"/>
    <row r="183930" customFormat="1" x14ac:dyDescent="0.25"/>
    <row r="183931" customFormat="1" x14ac:dyDescent="0.25"/>
    <row r="183932" customFormat="1" x14ac:dyDescent="0.25"/>
    <row r="183933" customFormat="1" x14ac:dyDescent="0.25"/>
    <row r="183934" customFormat="1" x14ac:dyDescent="0.25"/>
    <row r="183935" customFormat="1" x14ac:dyDescent="0.25"/>
    <row r="183936" customFormat="1" x14ac:dyDescent="0.25"/>
    <row r="183937" customFormat="1" x14ac:dyDescent="0.25"/>
    <row r="183938" customFormat="1" x14ac:dyDescent="0.25"/>
    <row r="183939" customFormat="1" x14ac:dyDescent="0.25"/>
    <row r="183940" customFormat="1" x14ac:dyDescent="0.25"/>
    <row r="183941" customFormat="1" x14ac:dyDescent="0.25"/>
    <row r="183942" customFormat="1" x14ac:dyDescent="0.25"/>
    <row r="183943" customFormat="1" x14ac:dyDescent="0.25"/>
    <row r="183944" customFormat="1" x14ac:dyDescent="0.25"/>
    <row r="183945" customFormat="1" x14ac:dyDescent="0.25"/>
    <row r="183946" customFormat="1" x14ac:dyDescent="0.25"/>
    <row r="183947" customFormat="1" x14ac:dyDescent="0.25"/>
    <row r="183948" customFormat="1" x14ac:dyDescent="0.25"/>
    <row r="183949" customFormat="1" x14ac:dyDescent="0.25"/>
    <row r="183950" customFormat="1" x14ac:dyDescent="0.25"/>
    <row r="183951" customFormat="1" x14ac:dyDescent="0.25"/>
    <row r="183952" customFormat="1" x14ac:dyDescent="0.25"/>
    <row r="183953" customFormat="1" x14ac:dyDescent="0.25"/>
    <row r="183954" customFormat="1" x14ac:dyDescent="0.25"/>
    <row r="183955" customFormat="1" x14ac:dyDescent="0.25"/>
    <row r="183956" customFormat="1" x14ac:dyDescent="0.25"/>
    <row r="183957" customFormat="1" x14ac:dyDescent="0.25"/>
    <row r="183958" customFormat="1" x14ac:dyDescent="0.25"/>
    <row r="183959" customFormat="1" x14ac:dyDescent="0.25"/>
    <row r="183960" customFormat="1" x14ac:dyDescent="0.25"/>
    <row r="183961" customFormat="1" x14ac:dyDescent="0.25"/>
    <row r="183962" customFormat="1" x14ac:dyDescent="0.25"/>
    <row r="183963" customFormat="1" x14ac:dyDescent="0.25"/>
    <row r="183964" customFormat="1" x14ac:dyDescent="0.25"/>
    <row r="183965" customFormat="1" x14ac:dyDescent="0.25"/>
    <row r="183966" customFormat="1" x14ac:dyDescent="0.25"/>
    <row r="183967" customFormat="1" x14ac:dyDescent="0.25"/>
    <row r="183968" customFormat="1" x14ac:dyDescent="0.25"/>
    <row r="183969" customFormat="1" x14ac:dyDescent="0.25"/>
    <row r="183970" customFormat="1" x14ac:dyDescent="0.25"/>
    <row r="183971" customFormat="1" x14ac:dyDescent="0.25"/>
    <row r="183972" customFormat="1" x14ac:dyDescent="0.25"/>
    <row r="183973" customFormat="1" x14ac:dyDescent="0.25"/>
    <row r="183974" customFormat="1" x14ac:dyDescent="0.25"/>
    <row r="183975" customFormat="1" x14ac:dyDescent="0.25"/>
    <row r="183976" customFormat="1" x14ac:dyDescent="0.25"/>
    <row r="183977" customFormat="1" x14ac:dyDescent="0.25"/>
    <row r="183978" customFormat="1" x14ac:dyDescent="0.25"/>
    <row r="183979" customFormat="1" x14ac:dyDescent="0.25"/>
    <row r="183980" customFormat="1" x14ac:dyDescent="0.25"/>
    <row r="183981" customFormat="1" x14ac:dyDescent="0.25"/>
    <row r="183982" customFormat="1" x14ac:dyDescent="0.25"/>
    <row r="183983" customFormat="1" x14ac:dyDescent="0.25"/>
    <row r="183984" customFormat="1" x14ac:dyDescent="0.25"/>
    <row r="183985" customFormat="1" x14ac:dyDescent="0.25"/>
    <row r="183986" customFormat="1" x14ac:dyDescent="0.25"/>
    <row r="183987" customFormat="1" x14ac:dyDescent="0.25"/>
    <row r="183988" customFormat="1" x14ac:dyDescent="0.25"/>
    <row r="183989" customFormat="1" x14ac:dyDescent="0.25"/>
    <row r="183990" customFormat="1" x14ac:dyDescent="0.25"/>
    <row r="183991" customFormat="1" x14ac:dyDescent="0.25"/>
    <row r="183992" customFormat="1" x14ac:dyDescent="0.25"/>
    <row r="183993" customFormat="1" x14ac:dyDescent="0.25"/>
    <row r="183994" customFormat="1" x14ac:dyDescent="0.25"/>
    <row r="183995" customFormat="1" x14ac:dyDescent="0.25"/>
    <row r="183996" customFormat="1" x14ac:dyDescent="0.25"/>
    <row r="183997" customFormat="1" x14ac:dyDescent="0.25"/>
    <row r="183998" customFormat="1" x14ac:dyDescent="0.25"/>
    <row r="183999" customFormat="1" x14ac:dyDescent="0.25"/>
    <row r="184000" customFormat="1" x14ac:dyDescent="0.25"/>
    <row r="184001" customFormat="1" x14ac:dyDescent="0.25"/>
    <row r="184002" customFormat="1" x14ac:dyDescent="0.25"/>
    <row r="184003" customFormat="1" x14ac:dyDescent="0.25"/>
    <row r="184004" customFormat="1" x14ac:dyDescent="0.25"/>
    <row r="184005" customFormat="1" x14ac:dyDescent="0.25"/>
    <row r="184006" customFormat="1" x14ac:dyDescent="0.25"/>
    <row r="184007" customFormat="1" x14ac:dyDescent="0.25"/>
    <row r="184008" customFormat="1" x14ac:dyDescent="0.25"/>
    <row r="184009" customFormat="1" x14ac:dyDescent="0.25"/>
    <row r="184010" customFormat="1" x14ac:dyDescent="0.25"/>
    <row r="184011" customFormat="1" x14ac:dyDescent="0.25"/>
    <row r="184012" customFormat="1" x14ac:dyDescent="0.25"/>
    <row r="184013" customFormat="1" x14ac:dyDescent="0.25"/>
    <row r="184014" customFormat="1" x14ac:dyDescent="0.25"/>
    <row r="184015" customFormat="1" x14ac:dyDescent="0.25"/>
    <row r="184016" customFormat="1" x14ac:dyDescent="0.25"/>
    <row r="184017" customFormat="1" x14ac:dyDescent="0.25"/>
    <row r="184018" customFormat="1" x14ac:dyDescent="0.25"/>
    <row r="184019" customFormat="1" x14ac:dyDescent="0.25"/>
    <row r="184020" customFormat="1" x14ac:dyDescent="0.25"/>
    <row r="184021" customFormat="1" x14ac:dyDescent="0.25"/>
    <row r="184022" customFormat="1" x14ac:dyDescent="0.25"/>
    <row r="184023" customFormat="1" x14ac:dyDescent="0.25"/>
    <row r="184024" customFormat="1" x14ac:dyDescent="0.25"/>
    <row r="184025" customFormat="1" x14ac:dyDescent="0.25"/>
    <row r="184026" customFormat="1" x14ac:dyDescent="0.25"/>
    <row r="184027" customFormat="1" x14ac:dyDescent="0.25"/>
    <row r="184028" customFormat="1" x14ac:dyDescent="0.25"/>
    <row r="184029" customFormat="1" x14ac:dyDescent="0.25"/>
    <row r="184030" customFormat="1" x14ac:dyDescent="0.25"/>
    <row r="184031" customFormat="1" x14ac:dyDescent="0.25"/>
    <row r="184032" customFormat="1" x14ac:dyDescent="0.25"/>
    <row r="184033" customFormat="1" x14ac:dyDescent="0.25"/>
    <row r="184034" customFormat="1" x14ac:dyDescent="0.25"/>
    <row r="184035" customFormat="1" x14ac:dyDescent="0.25"/>
    <row r="184036" customFormat="1" x14ac:dyDescent="0.25"/>
    <row r="184037" customFormat="1" x14ac:dyDescent="0.25"/>
    <row r="184038" customFormat="1" x14ac:dyDescent="0.25"/>
    <row r="184039" customFormat="1" x14ac:dyDescent="0.25"/>
    <row r="184040" customFormat="1" x14ac:dyDescent="0.25"/>
    <row r="184041" customFormat="1" x14ac:dyDescent="0.25"/>
    <row r="184042" customFormat="1" x14ac:dyDescent="0.25"/>
    <row r="184043" customFormat="1" x14ac:dyDescent="0.25"/>
    <row r="184044" customFormat="1" x14ac:dyDescent="0.25"/>
    <row r="184045" customFormat="1" x14ac:dyDescent="0.25"/>
    <row r="184046" customFormat="1" x14ac:dyDescent="0.25"/>
    <row r="184047" customFormat="1" x14ac:dyDescent="0.25"/>
    <row r="184048" customFormat="1" x14ac:dyDescent="0.25"/>
    <row r="184049" customFormat="1" x14ac:dyDescent="0.25"/>
    <row r="184050" customFormat="1" x14ac:dyDescent="0.25"/>
    <row r="184051" customFormat="1" x14ac:dyDescent="0.25"/>
    <row r="184052" customFormat="1" x14ac:dyDescent="0.25"/>
    <row r="184053" customFormat="1" x14ac:dyDescent="0.25"/>
    <row r="184054" customFormat="1" x14ac:dyDescent="0.25"/>
    <row r="184055" customFormat="1" x14ac:dyDescent="0.25"/>
    <row r="184056" customFormat="1" x14ac:dyDescent="0.25"/>
    <row r="184057" customFormat="1" x14ac:dyDescent="0.25"/>
    <row r="184058" customFormat="1" x14ac:dyDescent="0.25"/>
    <row r="184059" customFormat="1" x14ac:dyDescent="0.25"/>
    <row r="184060" customFormat="1" x14ac:dyDescent="0.25"/>
    <row r="184061" customFormat="1" x14ac:dyDescent="0.25"/>
    <row r="184062" customFormat="1" x14ac:dyDescent="0.25"/>
    <row r="184063" customFormat="1" x14ac:dyDescent="0.25"/>
    <row r="184064" customFormat="1" x14ac:dyDescent="0.25"/>
    <row r="184065" customFormat="1" x14ac:dyDescent="0.25"/>
    <row r="184066" customFormat="1" x14ac:dyDescent="0.25"/>
    <row r="184067" customFormat="1" x14ac:dyDescent="0.25"/>
    <row r="184068" customFormat="1" x14ac:dyDescent="0.25"/>
    <row r="184069" customFormat="1" x14ac:dyDescent="0.25"/>
    <row r="184070" customFormat="1" x14ac:dyDescent="0.25"/>
    <row r="184071" customFormat="1" x14ac:dyDescent="0.25"/>
    <row r="184072" customFormat="1" x14ac:dyDescent="0.25"/>
    <row r="184073" customFormat="1" x14ac:dyDescent="0.25"/>
    <row r="184074" customFormat="1" x14ac:dyDescent="0.25"/>
    <row r="184075" customFormat="1" x14ac:dyDescent="0.25"/>
    <row r="184076" customFormat="1" x14ac:dyDescent="0.25"/>
    <row r="184077" customFormat="1" x14ac:dyDescent="0.25"/>
    <row r="184078" customFormat="1" x14ac:dyDescent="0.25"/>
    <row r="184079" customFormat="1" x14ac:dyDescent="0.25"/>
    <row r="184080" customFormat="1" x14ac:dyDescent="0.25"/>
    <row r="184081" customFormat="1" x14ac:dyDescent="0.25"/>
    <row r="184082" customFormat="1" x14ac:dyDescent="0.25"/>
    <row r="184083" customFormat="1" x14ac:dyDescent="0.25"/>
    <row r="184084" customFormat="1" x14ac:dyDescent="0.25"/>
    <row r="184085" customFormat="1" x14ac:dyDescent="0.25"/>
    <row r="184086" customFormat="1" x14ac:dyDescent="0.25"/>
    <row r="184087" customFormat="1" x14ac:dyDescent="0.25"/>
    <row r="184088" customFormat="1" x14ac:dyDescent="0.25"/>
    <row r="184089" customFormat="1" x14ac:dyDescent="0.25"/>
    <row r="184090" customFormat="1" x14ac:dyDescent="0.25"/>
    <row r="184091" customFormat="1" x14ac:dyDescent="0.25"/>
    <row r="184092" customFormat="1" x14ac:dyDescent="0.25"/>
    <row r="184093" customFormat="1" x14ac:dyDescent="0.25"/>
    <row r="184094" customFormat="1" x14ac:dyDescent="0.25"/>
    <row r="184095" customFormat="1" x14ac:dyDescent="0.25"/>
    <row r="184096" customFormat="1" x14ac:dyDescent="0.25"/>
    <row r="184097" customFormat="1" x14ac:dyDescent="0.25"/>
    <row r="184098" customFormat="1" x14ac:dyDescent="0.25"/>
    <row r="184099" customFormat="1" x14ac:dyDescent="0.25"/>
    <row r="184100" customFormat="1" x14ac:dyDescent="0.25"/>
    <row r="184101" customFormat="1" x14ac:dyDescent="0.25"/>
    <row r="184102" customFormat="1" x14ac:dyDescent="0.25"/>
    <row r="184103" customFormat="1" x14ac:dyDescent="0.25"/>
    <row r="184104" customFormat="1" x14ac:dyDescent="0.25"/>
    <row r="184105" customFormat="1" x14ac:dyDescent="0.25"/>
    <row r="184106" customFormat="1" x14ac:dyDescent="0.25"/>
    <row r="184107" customFormat="1" x14ac:dyDescent="0.25"/>
    <row r="184108" customFormat="1" x14ac:dyDescent="0.25"/>
    <row r="184109" customFormat="1" x14ac:dyDescent="0.25"/>
    <row r="184110" customFormat="1" x14ac:dyDescent="0.25"/>
    <row r="184111" customFormat="1" x14ac:dyDescent="0.25"/>
    <row r="184112" customFormat="1" x14ac:dyDescent="0.25"/>
    <row r="184113" customFormat="1" x14ac:dyDescent="0.25"/>
    <row r="184114" customFormat="1" x14ac:dyDescent="0.25"/>
    <row r="184115" customFormat="1" x14ac:dyDescent="0.25"/>
    <row r="184116" customFormat="1" x14ac:dyDescent="0.25"/>
    <row r="184117" customFormat="1" x14ac:dyDescent="0.25"/>
    <row r="184118" customFormat="1" x14ac:dyDescent="0.25"/>
    <row r="184119" customFormat="1" x14ac:dyDescent="0.25"/>
    <row r="184120" customFormat="1" x14ac:dyDescent="0.25"/>
    <row r="184121" customFormat="1" x14ac:dyDescent="0.25"/>
    <row r="184122" customFormat="1" x14ac:dyDescent="0.25"/>
    <row r="184123" customFormat="1" x14ac:dyDescent="0.25"/>
    <row r="184124" customFormat="1" x14ac:dyDescent="0.25"/>
    <row r="184125" customFormat="1" x14ac:dyDescent="0.25"/>
    <row r="184126" customFormat="1" x14ac:dyDescent="0.25"/>
    <row r="184127" customFormat="1" x14ac:dyDescent="0.25"/>
    <row r="184128" customFormat="1" x14ac:dyDescent="0.25"/>
    <row r="184129" customFormat="1" x14ac:dyDescent="0.25"/>
    <row r="184130" customFormat="1" x14ac:dyDescent="0.25"/>
    <row r="184131" customFormat="1" x14ac:dyDescent="0.25"/>
    <row r="184132" customFormat="1" x14ac:dyDescent="0.25"/>
    <row r="184133" customFormat="1" x14ac:dyDescent="0.25"/>
    <row r="184134" customFormat="1" x14ac:dyDescent="0.25"/>
    <row r="184135" customFormat="1" x14ac:dyDescent="0.25"/>
    <row r="184136" customFormat="1" x14ac:dyDescent="0.25"/>
    <row r="184137" customFormat="1" x14ac:dyDescent="0.25"/>
    <row r="184138" customFormat="1" x14ac:dyDescent="0.25"/>
    <row r="184139" customFormat="1" x14ac:dyDescent="0.25"/>
    <row r="184140" customFormat="1" x14ac:dyDescent="0.25"/>
    <row r="184141" customFormat="1" x14ac:dyDescent="0.25"/>
    <row r="184142" customFormat="1" x14ac:dyDescent="0.25"/>
    <row r="184143" customFormat="1" x14ac:dyDescent="0.25"/>
    <row r="184144" customFormat="1" x14ac:dyDescent="0.25"/>
    <row r="184145" customFormat="1" x14ac:dyDescent="0.25"/>
    <row r="184146" customFormat="1" x14ac:dyDescent="0.25"/>
    <row r="184147" customFormat="1" x14ac:dyDescent="0.25"/>
    <row r="184148" customFormat="1" x14ac:dyDescent="0.25"/>
    <row r="184149" customFormat="1" x14ac:dyDescent="0.25"/>
    <row r="184150" customFormat="1" x14ac:dyDescent="0.25"/>
    <row r="184151" customFormat="1" x14ac:dyDescent="0.25"/>
    <row r="184152" customFormat="1" x14ac:dyDescent="0.25"/>
    <row r="184153" customFormat="1" x14ac:dyDescent="0.25"/>
    <row r="184154" customFormat="1" x14ac:dyDescent="0.25"/>
    <row r="184155" customFormat="1" x14ac:dyDescent="0.25"/>
    <row r="184156" customFormat="1" x14ac:dyDescent="0.25"/>
    <row r="184157" customFormat="1" x14ac:dyDescent="0.25"/>
    <row r="184158" customFormat="1" x14ac:dyDescent="0.25"/>
    <row r="184159" customFormat="1" x14ac:dyDescent="0.25"/>
    <row r="184160" customFormat="1" x14ac:dyDescent="0.25"/>
    <row r="184161" customFormat="1" x14ac:dyDescent="0.25"/>
    <row r="184162" customFormat="1" x14ac:dyDescent="0.25"/>
    <row r="184163" customFormat="1" x14ac:dyDescent="0.25"/>
    <row r="184164" customFormat="1" x14ac:dyDescent="0.25"/>
    <row r="184165" customFormat="1" x14ac:dyDescent="0.25"/>
    <row r="184166" customFormat="1" x14ac:dyDescent="0.25"/>
    <row r="184167" customFormat="1" x14ac:dyDescent="0.25"/>
    <row r="184168" customFormat="1" x14ac:dyDescent="0.25"/>
    <row r="184169" customFormat="1" x14ac:dyDescent="0.25"/>
    <row r="184170" customFormat="1" x14ac:dyDescent="0.25"/>
    <row r="184171" customFormat="1" x14ac:dyDescent="0.25"/>
    <row r="184172" customFormat="1" x14ac:dyDescent="0.25"/>
    <row r="184173" customFormat="1" x14ac:dyDescent="0.25"/>
    <row r="184174" customFormat="1" x14ac:dyDescent="0.25"/>
    <row r="184175" customFormat="1" x14ac:dyDescent="0.25"/>
    <row r="184176" customFormat="1" x14ac:dyDescent="0.25"/>
    <row r="184177" customFormat="1" x14ac:dyDescent="0.25"/>
    <row r="184178" customFormat="1" x14ac:dyDescent="0.25"/>
    <row r="184179" customFormat="1" x14ac:dyDescent="0.25"/>
    <row r="184180" customFormat="1" x14ac:dyDescent="0.25"/>
    <row r="184181" customFormat="1" x14ac:dyDescent="0.25"/>
    <row r="184182" customFormat="1" x14ac:dyDescent="0.25"/>
    <row r="184183" customFormat="1" x14ac:dyDescent="0.25"/>
    <row r="184184" customFormat="1" x14ac:dyDescent="0.25"/>
    <row r="184185" customFormat="1" x14ac:dyDescent="0.25"/>
    <row r="184186" customFormat="1" x14ac:dyDescent="0.25"/>
    <row r="184187" customFormat="1" x14ac:dyDescent="0.25"/>
    <row r="184188" customFormat="1" x14ac:dyDescent="0.25"/>
    <row r="184189" customFormat="1" x14ac:dyDescent="0.25"/>
    <row r="184190" customFormat="1" x14ac:dyDescent="0.25"/>
    <row r="184191" customFormat="1" x14ac:dyDescent="0.25"/>
    <row r="184192" customFormat="1" x14ac:dyDescent="0.25"/>
    <row r="184193" customFormat="1" x14ac:dyDescent="0.25"/>
    <row r="184194" customFormat="1" x14ac:dyDescent="0.25"/>
    <row r="184195" customFormat="1" x14ac:dyDescent="0.25"/>
    <row r="184196" customFormat="1" x14ac:dyDescent="0.25"/>
    <row r="184197" customFormat="1" x14ac:dyDescent="0.25"/>
    <row r="184198" customFormat="1" x14ac:dyDescent="0.25"/>
    <row r="184199" customFormat="1" x14ac:dyDescent="0.25"/>
    <row r="184200" customFormat="1" x14ac:dyDescent="0.25"/>
    <row r="184201" customFormat="1" x14ac:dyDescent="0.25"/>
    <row r="184202" customFormat="1" x14ac:dyDescent="0.25"/>
    <row r="184203" customFormat="1" x14ac:dyDescent="0.25"/>
    <row r="184204" customFormat="1" x14ac:dyDescent="0.25"/>
    <row r="184205" customFormat="1" x14ac:dyDescent="0.25"/>
    <row r="184206" customFormat="1" x14ac:dyDescent="0.25"/>
    <row r="184207" customFormat="1" x14ac:dyDescent="0.25"/>
    <row r="184208" customFormat="1" x14ac:dyDescent="0.25"/>
    <row r="184209" customFormat="1" x14ac:dyDescent="0.25"/>
    <row r="184210" customFormat="1" x14ac:dyDescent="0.25"/>
    <row r="184211" customFormat="1" x14ac:dyDescent="0.25"/>
    <row r="184212" customFormat="1" x14ac:dyDescent="0.25"/>
    <row r="184213" customFormat="1" x14ac:dyDescent="0.25"/>
    <row r="184214" customFormat="1" x14ac:dyDescent="0.25"/>
    <row r="184215" customFormat="1" x14ac:dyDescent="0.25"/>
    <row r="184216" customFormat="1" x14ac:dyDescent="0.25"/>
    <row r="184217" customFormat="1" x14ac:dyDescent="0.25"/>
    <row r="184218" customFormat="1" x14ac:dyDescent="0.25"/>
    <row r="184219" customFormat="1" x14ac:dyDescent="0.25"/>
    <row r="184220" customFormat="1" x14ac:dyDescent="0.25"/>
    <row r="184221" customFormat="1" x14ac:dyDescent="0.25"/>
    <row r="184222" customFormat="1" x14ac:dyDescent="0.25"/>
    <row r="184223" customFormat="1" x14ac:dyDescent="0.25"/>
    <row r="184224" customFormat="1" x14ac:dyDescent="0.25"/>
    <row r="184225" customFormat="1" x14ac:dyDescent="0.25"/>
    <row r="184226" customFormat="1" x14ac:dyDescent="0.25"/>
    <row r="184227" customFormat="1" x14ac:dyDescent="0.25"/>
    <row r="184228" customFormat="1" x14ac:dyDescent="0.25"/>
    <row r="184229" customFormat="1" x14ac:dyDescent="0.25"/>
    <row r="184230" customFormat="1" x14ac:dyDescent="0.25"/>
    <row r="184231" customFormat="1" x14ac:dyDescent="0.25"/>
    <row r="184232" customFormat="1" x14ac:dyDescent="0.25"/>
    <row r="184233" customFormat="1" x14ac:dyDescent="0.25"/>
    <row r="184234" customFormat="1" x14ac:dyDescent="0.25"/>
    <row r="184235" customFormat="1" x14ac:dyDescent="0.25"/>
    <row r="184236" customFormat="1" x14ac:dyDescent="0.25"/>
    <row r="184237" customFormat="1" x14ac:dyDescent="0.25"/>
    <row r="184238" customFormat="1" x14ac:dyDescent="0.25"/>
    <row r="184239" customFormat="1" x14ac:dyDescent="0.25"/>
    <row r="184240" customFormat="1" x14ac:dyDescent="0.25"/>
    <row r="184241" customFormat="1" x14ac:dyDescent="0.25"/>
    <row r="184242" customFormat="1" x14ac:dyDescent="0.25"/>
    <row r="184243" customFormat="1" x14ac:dyDescent="0.25"/>
    <row r="184244" customFormat="1" x14ac:dyDescent="0.25"/>
    <row r="184245" customFormat="1" x14ac:dyDescent="0.25"/>
    <row r="184246" customFormat="1" x14ac:dyDescent="0.25"/>
    <row r="184247" customFormat="1" x14ac:dyDescent="0.25"/>
    <row r="184248" customFormat="1" x14ac:dyDescent="0.25"/>
    <row r="184249" customFormat="1" x14ac:dyDescent="0.25"/>
    <row r="184250" customFormat="1" x14ac:dyDescent="0.25"/>
    <row r="184251" customFormat="1" x14ac:dyDescent="0.25"/>
    <row r="184252" customFormat="1" x14ac:dyDescent="0.25"/>
    <row r="184253" customFormat="1" x14ac:dyDescent="0.25"/>
    <row r="184254" customFormat="1" x14ac:dyDescent="0.25"/>
    <row r="184255" customFormat="1" x14ac:dyDescent="0.25"/>
    <row r="184256" customFormat="1" x14ac:dyDescent="0.25"/>
    <row r="184257" customFormat="1" x14ac:dyDescent="0.25"/>
    <row r="184258" customFormat="1" x14ac:dyDescent="0.25"/>
    <row r="184259" customFormat="1" x14ac:dyDescent="0.25"/>
    <row r="184260" customFormat="1" x14ac:dyDescent="0.25"/>
    <row r="184261" customFormat="1" x14ac:dyDescent="0.25"/>
    <row r="184262" customFormat="1" x14ac:dyDescent="0.25"/>
    <row r="184263" customFormat="1" x14ac:dyDescent="0.25"/>
    <row r="184264" customFormat="1" x14ac:dyDescent="0.25"/>
    <row r="184265" customFormat="1" x14ac:dyDescent="0.25"/>
    <row r="184266" customFormat="1" x14ac:dyDescent="0.25"/>
    <row r="184267" customFormat="1" x14ac:dyDescent="0.25"/>
    <row r="184268" customFormat="1" x14ac:dyDescent="0.25"/>
    <row r="184269" customFormat="1" x14ac:dyDescent="0.25"/>
    <row r="184270" customFormat="1" x14ac:dyDescent="0.25"/>
    <row r="184271" customFormat="1" x14ac:dyDescent="0.25"/>
    <row r="184272" customFormat="1" x14ac:dyDescent="0.25"/>
    <row r="184273" customFormat="1" x14ac:dyDescent="0.25"/>
    <row r="184274" customFormat="1" x14ac:dyDescent="0.25"/>
    <row r="184275" customFormat="1" x14ac:dyDescent="0.25"/>
    <row r="184276" customFormat="1" x14ac:dyDescent="0.25"/>
    <row r="184277" customFormat="1" x14ac:dyDescent="0.25"/>
    <row r="184278" customFormat="1" x14ac:dyDescent="0.25"/>
    <row r="184279" customFormat="1" x14ac:dyDescent="0.25"/>
    <row r="184280" customFormat="1" x14ac:dyDescent="0.25"/>
    <row r="184281" customFormat="1" x14ac:dyDescent="0.25"/>
    <row r="184282" customFormat="1" x14ac:dyDescent="0.25"/>
    <row r="184283" customFormat="1" x14ac:dyDescent="0.25"/>
    <row r="184284" customFormat="1" x14ac:dyDescent="0.25"/>
    <row r="184285" customFormat="1" x14ac:dyDescent="0.25"/>
    <row r="184286" customFormat="1" x14ac:dyDescent="0.25"/>
    <row r="184287" customFormat="1" x14ac:dyDescent="0.25"/>
    <row r="184288" customFormat="1" x14ac:dyDescent="0.25"/>
    <row r="184289" customFormat="1" x14ac:dyDescent="0.25"/>
    <row r="184290" customFormat="1" x14ac:dyDescent="0.25"/>
    <row r="184291" customFormat="1" x14ac:dyDescent="0.25"/>
    <row r="184292" customFormat="1" x14ac:dyDescent="0.25"/>
    <row r="184293" customFormat="1" x14ac:dyDescent="0.25"/>
    <row r="184294" customFormat="1" x14ac:dyDescent="0.25"/>
    <row r="184295" customFormat="1" x14ac:dyDescent="0.25"/>
    <row r="184296" customFormat="1" x14ac:dyDescent="0.25"/>
    <row r="184297" customFormat="1" x14ac:dyDescent="0.25"/>
    <row r="184298" customFormat="1" x14ac:dyDescent="0.25"/>
    <row r="184299" customFormat="1" x14ac:dyDescent="0.25"/>
    <row r="184300" customFormat="1" x14ac:dyDescent="0.25"/>
    <row r="184301" customFormat="1" x14ac:dyDescent="0.25"/>
    <row r="184302" customFormat="1" x14ac:dyDescent="0.25"/>
    <row r="184303" customFormat="1" x14ac:dyDescent="0.25"/>
    <row r="184304" customFormat="1" x14ac:dyDescent="0.25"/>
    <row r="184305" customFormat="1" x14ac:dyDescent="0.25"/>
    <row r="184306" customFormat="1" x14ac:dyDescent="0.25"/>
    <row r="184307" customFormat="1" x14ac:dyDescent="0.25"/>
    <row r="184308" customFormat="1" x14ac:dyDescent="0.25"/>
    <row r="184309" customFormat="1" x14ac:dyDescent="0.25"/>
    <row r="184310" customFormat="1" x14ac:dyDescent="0.25"/>
    <row r="184311" customFormat="1" x14ac:dyDescent="0.25"/>
    <row r="184312" customFormat="1" x14ac:dyDescent="0.25"/>
    <row r="184313" customFormat="1" x14ac:dyDescent="0.25"/>
    <row r="184314" customFormat="1" x14ac:dyDescent="0.25"/>
    <row r="184315" customFormat="1" x14ac:dyDescent="0.25"/>
    <row r="184316" customFormat="1" x14ac:dyDescent="0.25"/>
    <row r="184317" customFormat="1" x14ac:dyDescent="0.25"/>
    <row r="184318" customFormat="1" x14ac:dyDescent="0.25"/>
    <row r="184319" customFormat="1" x14ac:dyDescent="0.25"/>
    <row r="184320" customFormat="1" x14ac:dyDescent="0.25"/>
    <row r="184321" customFormat="1" x14ac:dyDescent="0.25"/>
    <row r="184322" customFormat="1" x14ac:dyDescent="0.25"/>
    <row r="184323" customFormat="1" x14ac:dyDescent="0.25"/>
    <row r="184324" customFormat="1" x14ac:dyDescent="0.25"/>
    <row r="184325" customFormat="1" x14ac:dyDescent="0.25"/>
    <row r="184326" customFormat="1" x14ac:dyDescent="0.25"/>
    <row r="184327" customFormat="1" x14ac:dyDescent="0.25"/>
    <row r="184328" customFormat="1" x14ac:dyDescent="0.25"/>
    <row r="184329" customFormat="1" x14ac:dyDescent="0.25"/>
    <row r="184330" customFormat="1" x14ac:dyDescent="0.25"/>
    <row r="184331" customFormat="1" x14ac:dyDescent="0.25"/>
    <row r="184332" customFormat="1" x14ac:dyDescent="0.25"/>
    <row r="184333" customFormat="1" x14ac:dyDescent="0.25"/>
    <row r="184334" customFormat="1" x14ac:dyDescent="0.25"/>
    <row r="184335" customFormat="1" x14ac:dyDescent="0.25"/>
    <row r="184336" customFormat="1" x14ac:dyDescent="0.25"/>
    <row r="184337" customFormat="1" x14ac:dyDescent="0.25"/>
    <row r="184338" customFormat="1" x14ac:dyDescent="0.25"/>
    <row r="184339" customFormat="1" x14ac:dyDescent="0.25"/>
    <row r="184340" customFormat="1" x14ac:dyDescent="0.25"/>
    <row r="184341" customFormat="1" x14ac:dyDescent="0.25"/>
    <row r="184342" customFormat="1" x14ac:dyDescent="0.25"/>
    <row r="184343" customFormat="1" x14ac:dyDescent="0.25"/>
    <row r="184344" customFormat="1" x14ac:dyDescent="0.25"/>
    <row r="184345" customFormat="1" x14ac:dyDescent="0.25"/>
    <row r="184346" customFormat="1" x14ac:dyDescent="0.25"/>
    <row r="184347" customFormat="1" x14ac:dyDescent="0.25"/>
    <row r="184348" customFormat="1" x14ac:dyDescent="0.25"/>
    <row r="184349" customFormat="1" x14ac:dyDescent="0.25"/>
    <row r="184350" customFormat="1" x14ac:dyDescent="0.25"/>
    <row r="184351" customFormat="1" x14ac:dyDescent="0.25"/>
    <row r="184352" customFormat="1" x14ac:dyDescent="0.25"/>
    <row r="184353" customFormat="1" x14ac:dyDescent="0.25"/>
    <row r="184354" customFormat="1" x14ac:dyDescent="0.25"/>
    <row r="184355" customFormat="1" x14ac:dyDescent="0.25"/>
    <row r="184356" customFormat="1" x14ac:dyDescent="0.25"/>
    <row r="184357" customFormat="1" x14ac:dyDescent="0.25"/>
    <row r="184358" customFormat="1" x14ac:dyDescent="0.25"/>
    <row r="184359" customFormat="1" x14ac:dyDescent="0.25"/>
    <row r="184360" customFormat="1" x14ac:dyDescent="0.25"/>
    <row r="184361" customFormat="1" x14ac:dyDescent="0.25"/>
    <row r="184362" customFormat="1" x14ac:dyDescent="0.25"/>
    <row r="184363" customFormat="1" x14ac:dyDescent="0.25"/>
    <row r="184364" customFormat="1" x14ac:dyDescent="0.25"/>
    <row r="184365" customFormat="1" x14ac:dyDescent="0.25"/>
    <row r="184366" customFormat="1" x14ac:dyDescent="0.25"/>
    <row r="184367" customFormat="1" x14ac:dyDescent="0.25"/>
    <row r="184368" customFormat="1" x14ac:dyDescent="0.25"/>
    <row r="184369" customFormat="1" x14ac:dyDescent="0.25"/>
    <row r="184370" customFormat="1" x14ac:dyDescent="0.25"/>
    <row r="184371" customFormat="1" x14ac:dyDescent="0.25"/>
    <row r="184372" customFormat="1" x14ac:dyDescent="0.25"/>
    <row r="184373" customFormat="1" x14ac:dyDescent="0.25"/>
    <row r="184374" customFormat="1" x14ac:dyDescent="0.25"/>
    <row r="184375" customFormat="1" x14ac:dyDescent="0.25"/>
    <row r="184376" customFormat="1" x14ac:dyDescent="0.25"/>
    <row r="184377" customFormat="1" x14ac:dyDescent="0.25"/>
    <row r="184378" customFormat="1" x14ac:dyDescent="0.25"/>
    <row r="184379" customFormat="1" x14ac:dyDescent="0.25"/>
    <row r="184380" customFormat="1" x14ac:dyDescent="0.25"/>
    <row r="184381" customFormat="1" x14ac:dyDescent="0.25"/>
    <row r="184382" customFormat="1" x14ac:dyDescent="0.25"/>
    <row r="184383" customFormat="1" x14ac:dyDescent="0.25"/>
    <row r="184384" customFormat="1" x14ac:dyDescent="0.25"/>
    <row r="184385" customFormat="1" x14ac:dyDescent="0.25"/>
    <row r="184386" customFormat="1" x14ac:dyDescent="0.25"/>
    <row r="184387" customFormat="1" x14ac:dyDescent="0.25"/>
    <row r="184388" customFormat="1" x14ac:dyDescent="0.25"/>
    <row r="184389" customFormat="1" x14ac:dyDescent="0.25"/>
    <row r="184390" customFormat="1" x14ac:dyDescent="0.25"/>
    <row r="184391" customFormat="1" x14ac:dyDescent="0.25"/>
    <row r="184392" customFormat="1" x14ac:dyDescent="0.25"/>
    <row r="184393" customFormat="1" x14ac:dyDescent="0.25"/>
    <row r="184394" customFormat="1" x14ac:dyDescent="0.25"/>
    <row r="184395" customFormat="1" x14ac:dyDescent="0.25"/>
    <row r="184396" customFormat="1" x14ac:dyDescent="0.25"/>
    <row r="184397" customFormat="1" x14ac:dyDescent="0.25"/>
    <row r="184398" customFormat="1" x14ac:dyDescent="0.25"/>
    <row r="184399" customFormat="1" x14ac:dyDescent="0.25"/>
    <row r="184400" customFormat="1" x14ac:dyDescent="0.25"/>
    <row r="184401" customFormat="1" x14ac:dyDescent="0.25"/>
    <row r="184402" customFormat="1" x14ac:dyDescent="0.25"/>
    <row r="184403" customFormat="1" x14ac:dyDescent="0.25"/>
    <row r="184404" customFormat="1" x14ac:dyDescent="0.25"/>
    <row r="184405" customFormat="1" x14ac:dyDescent="0.25"/>
    <row r="184406" customFormat="1" x14ac:dyDescent="0.25"/>
    <row r="184407" customFormat="1" x14ac:dyDescent="0.25"/>
    <row r="184408" customFormat="1" x14ac:dyDescent="0.25"/>
    <row r="184409" customFormat="1" x14ac:dyDescent="0.25"/>
    <row r="184410" customFormat="1" x14ac:dyDescent="0.25"/>
    <row r="184411" customFormat="1" x14ac:dyDescent="0.25"/>
    <row r="184412" customFormat="1" x14ac:dyDescent="0.25"/>
    <row r="184413" customFormat="1" x14ac:dyDescent="0.25"/>
    <row r="184414" customFormat="1" x14ac:dyDescent="0.25"/>
    <row r="184415" customFormat="1" x14ac:dyDescent="0.25"/>
    <row r="184416" customFormat="1" x14ac:dyDescent="0.25"/>
    <row r="184417" customFormat="1" x14ac:dyDescent="0.25"/>
    <row r="184418" customFormat="1" x14ac:dyDescent="0.25"/>
    <row r="184419" customFormat="1" x14ac:dyDescent="0.25"/>
    <row r="184420" customFormat="1" x14ac:dyDescent="0.25"/>
    <row r="184421" customFormat="1" x14ac:dyDescent="0.25"/>
    <row r="184422" customFormat="1" x14ac:dyDescent="0.25"/>
    <row r="184423" customFormat="1" x14ac:dyDescent="0.25"/>
    <row r="184424" customFormat="1" x14ac:dyDescent="0.25"/>
    <row r="184425" customFormat="1" x14ac:dyDescent="0.25"/>
    <row r="184426" customFormat="1" x14ac:dyDescent="0.25"/>
    <row r="184427" customFormat="1" x14ac:dyDescent="0.25"/>
    <row r="184428" customFormat="1" x14ac:dyDescent="0.25"/>
    <row r="184429" customFormat="1" x14ac:dyDescent="0.25"/>
    <row r="184430" customFormat="1" x14ac:dyDescent="0.25"/>
    <row r="184431" customFormat="1" x14ac:dyDescent="0.25"/>
    <row r="184432" customFormat="1" x14ac:dyDescent="0.25"/>
    <row r="184433" customFormat="1" x14ac:dyDescent="0.25"/>
    <row r="184434" customFormat="1" x14ac:dyDescent="0.25"/>
    <row r="184435" customFormat="1" x14ac:dyDescent="0.25"/>
    <row r="184436" customFormat="1" x14ac:dyDescent="0.25"/>
    <row r="184437" customFormat="1" x14ac:dyDescent="0.25"/>
    <row r="184438" customFormat="1" x14ac:dyDescent="0.25"/>
    <row r="184439" customFormat="1" x14ac:dyDescent="0.25"/>
    <row r="184440" customFormat="1" x14ac:dyDescent="0.25"/>
    <row r="184441" customFormat="1" x14ac:dyDescent="0.25"/>
    <row r="184442" customFormat="1" x14ac:dyDescent="0.25"/>
    <row r="184443" customFormat="1" x14ac:dyDescent="0.25"/>
    <row r="184444" customFormat="1" x14ac:dyDescent="0.25"/>
    <row r="184445" customFormat="1" x14ac:dyDescent="0.25"/>
    <row r="184446" customFormat="1" x14ac:dyDescent="0.25"/>
    <row r="184447" customFormat="1" x14ac:dyDescent="0.25"/>
    <row r="184448" customFormat="1" x14ac:dyDescent="0.25"/>
    <row r="184449" customFormat="1" x14ac:dyDescent="0.25"/>
    <row r="184450" customFormat="1" x14ac:dyDescent="0.25"/>
    <row r="184451" customFormat="1" x14ac:dyDescent="0.25"/>
    <row r="184452" customFormat="1" x14ac:dyDescent="0.25"/>
    <row r="184453" customFormat="1" x14ac:dyDescent="0.25"/>
    <row r="184454" customFormat="1" x14ac:dyDescent="0.25"/>
    <row r="184455" customFormat="1" x14ac:dyDescent="0.25"/>
    <row r="184456" customFormat="1" x14ac:dyDescent="0.25"/>
    <row r="184457" customFormat="1" x14ac:dyDescent="0.25"/>
    <row r="184458" customFormat="1" x14ac:dyDescent="0.25"/>
    <row r="184459" customFormat="1" x14ac:dyDescent="0.25"/>
    <row r="184460" customFormat="1" x14ac:dyDescent="0.25"/>
    <row r="184461" customFormat="1" x14ac:dyDescent="0.25"/>
    <row r="184462" customFormat="1" x14ac:dyDescent="0.25"/>
    <row r="184463" customFormat="1" x14ac:dyDescent="0.25"/>
    <row r="184464" customFormat="1" x14ac:dyDescent="0.25"/>
    <row r="184465" customFormat="1" x14ac:dyDescent="0.25"/>
    <row r="184466" customFormat="1" x14ac:dyDescent="0.25"/>
    <row r="184467" customFormat="1" x14ac:dyDescent="0.25"/>
    <row r="184468" customFormat="1" x14ac:dyDescent="0.25"/>
    <row r="184469" customFormat="1" x14ac:dyDescent="0.25"/>
    <row r="184470" customFormat="1" x14ac:dyDescent="0.25"/>
    <row r="184471" customFormat="1" x14ac:dyDescent="0.25"/>
    <row r="184472" customFormat="1" x14ac:dyDescent="0.25"/>
    <row r="184473" customFormat="1" x14ac:dyDescent="0.25"/>
    <row r="184474" customFormat="1" x14ac:dyDescent="0.25"/>
    <row r="184475" customFormat="1" x14ac:dyDescent="0.25"/>
    <row r="184476" customFormat="1" x14ac:dyDescent="0.25"/>
    <row r="184477" customFormat="1" x14ac:dyDescent="0.25"/>
    <row r="184478" customFormat="1" x14ac:dyDescent="0.25"/>
    <row r="184479" customFormat="1" x14ac:dyDescent="0.25"/>
    <row r="184480" customFormat="1" x14ac:dyDescent="0.25"/>
    <row r="184481" customFormat="1" x14ac:dyDescent="0.25"/>
    <row r="184482" customFormat="1" x14ac:dyDescent="0.25"/>
    <row r="184483" customFormat="1" x14ac:dyDescent="0.25"/>
    <row r="184484" customFormat="1" x14ac:dyDescent="0.25"/>
    <row r="184485" customFormat="1" x14ac:dyDescent="0.25"/>
    <row r="184486" customFormat="1" x14ac:dyDescent="0.25"/>
    <row r="184487" customFormat="1" x14ac:dyDescent="0.25"/>
    <row r="184488" customFormat="1" x14ac:dyDescent="0.25"/>
    <row r="184489" customFormat="1" x14ac:dyDescent="0.25"/>
    <row r="184490" customFormat="1" x14ac:dyDescent="0.25"/>
    <row r="184491" customFormat="1" x14ac:dyDescent="0.25"/>
    <row r="184492" customFormat="1" x14ac:dyDescent="0.25"/>
    <row r="184493" customFormat="1" x14ac:dyDescent="0.25"/>
    <row r="184494" customFormat="1" x14ac:dyDescent="0.25"/>
    <row r="184495" customFormat="1" x14ac:dyDescent="0.25"/>
    <row r="184496" customFormat="1" x14ac:dyDescent="0.25"/>
    <row r="184497" customFormat="1" x14ac:dyDescent="0.25"/>
    <row r="184498" customFormat="1" x14ac:dyDescent="0.25"/>
    <row r="184499" customFormat="1" x14ac:dyDescent="0.25"/>
    <row r="184500" customFormat="1" x14ac:dyDescent="0.25"/>
    <row r="184501" customFormat="1" x14ac:dyDescent="0.25"/>
    <row r="184502" customFormat="1" x14ac:dyDescent="0.25"/>
    <row r="184503" customFormat="1" x14ac:dyDescent="0.25"/>
    <row r="184504" customFormat="1" x14ac:dyDescent="0.25"/>
    <row r="184505" customFormat="1" x14ac:dyDescent="0.25"/>
    <row r="184506" customFormat="1" x14ac:dyDescent="0.25"/>
    <row r="184507" customFormat="1" x14ac:dyDescent="0.25"/>
    <row r="184508" customFormat="1" x14ac:dyDescent="0.25"/>
    <row r="184509" customFormat="1" x14ac:dyDescent="0.25"/>
    <row r="184510" customFormat="1" x14ac:dyDescent="0.25"/>
    <row r="184511" customFormat="1" x14ac:dyDescent="0.25"/>
    <row r="184512" customFormat="1" x14ac:dyDescent="0.25"/>
    <row r="184513" customFormat="1" x14ac:dyDescent="0.25"/>
    <row r="184514" customFormat="1" x14ac:dyDescent="0.25"/>
    <row r="184515" customFormat="1" x14ac:dyDescent="0.25"/>
    <row r="184516" customFormat="1" x14ac:dyDescent="0.25"/>
    <row r="184517" customFormat="1" x14ac:dyDescent="0.25"/>
    <row r="184518" customFormat="1" x14ac:dyDescent="0.25"/>
    <row r="184519" customFormat="1" x14ac:dyDescent="0.25"/>
    <row r="184520" customFormat="1" x14ac:dyDescent="0.25"/>
    <row r="184521" customFormat="1" x14ac:dyDescent="0.25"/>
    <row r="184522" customFormat="1" x14ac:dyDescent="0.25"/>
    <row r="184523" customFormat="1" x14ac:dyDescent="0.25"/>
    <row r="184524" customFormat="1" x14ac:dyDescent="0.25"/>
    <row r="184525" customFormat="1" x14ac:dyDescent="0.25"/>
    <row r="184526" customFormat="1" x14ac:dyDescent="0.25"/>
    <row r="184527" customFormat="1" x14ac:dyDescent="0.25"/>
    <row r="184528" customFormat="1" x14ac:dyDescent="0.25"/>
    <row r="184529" customFormat="1" x14ac:dyDescent="0.25"/>
    <row r="184530" customFormat="1" x14ac:dyDescent="0.25"/>
    <row r="184531" customFormat="1" x14ac:dyDescent="0.25"/>
    <row r="184532" customFormat="1" x14ac:dyDescent="0.25"/>
    <row r="184533" customFormat="1" x14ac:dyDescent="0.25"/>
    <row r="184534" customFormat="1" x14ac:dyDescent="0.25"/>
    <row r="184535" customFormat="1" x14ac:dyDescent="0.25"/>
    <row r="184536" customFormat="1" x14ac:dyDescent="0.25"/>
    <row r="184537" customFormat="1" x14ac:dyDescent="0.25"/>
    <row r="184538" customFormat="1" x14ac:dyDescent="0.25"/>
    <row r="184539" customFormat="1" x14ac:dyDescent="0.25"/>
    <row r="184540" customFormat="1" x14ac:dyDescent="0.25"/>
    <row r="184541" customFormat="1" x14ac:dyDescent="0.25"/>
    <row r="184542" customFormat="1" x14ac:dyDescent="0.25"/>
    <row r="184543" customFormat="1" x14ac:dyDescent="0.25"/>
    <row r="184544" customFormat="1" x14ac:dyDescent="0.25"/>
    <row r="184545" customFormat="1" x14ac:dyDescent="0.25"/>
    <row r="184546" customFormat="1" x14ac:dyDescent="0.25"/>
    <row r="184547" customFormat="1" x14ac:dyDescent="0.25"/>
    <row r="184548" customFormat="1" x14ac:dyDescent="0.25"/>
    <row r="184549" customFormat="1" x14ac:dyDescent="0.25"/>
    <row r="184550" customFormat="1" x14ac:dyDescent="0.25"/>
    <row r="184551" customFormat="1" x14ac:dyDescent="0.25"/>
    <row r="184552" customFormat="1" x14ac:dyDescent="0.25"/>
    <row r="184553" customFormat="1" x14ac:dyDescent="0.25"/>
    <row r="184554" customFormat="1" x14ac:dyDescent="0.25"/>
    <row r="184555" customFormat="1" x14ac:dyDescent="0.25"/>
    <row r="184556" customFormat="1" x14ac:dyDescent="0.25"/>
    <row r="184557" customFormat="1" x14ac:dyDescent="0.25"/>
    <row r="184558" customFormat="1" x14ac:dyDescent="0.25"/>
    <row r="184559" customFormat="1" x14ac:dyDescent="0.25"/>
    <row r="184560" customFormat="1" x14ac:dyDescent="0.25"/>
    <row r="184561" customFormat="1" x14ac:dyDescent="0.25"/>
    <row r="184562" customFormat="1" x14ac:dyDescent="0.25"/>
    <row r="184563" customFormat="1" x14ac:dyDescent="0.25"/>
    <row r="184564" customFormat="1" x14ac:dyDescent="0.25"/>
    <row r="184565" customFormat="1" x14ac:dyDescent="0.25"/>
    <row r="184566" customFormat="1" x14ac:dyDescent="0.25"/>
    <row r="184567" customFormat="1" x14ac:dyDescent="0.25"/>
    <row r="184568" customFormat="1" x14ac:dyDescent="0.25"/>
    <row r="184569" customFormat="1" x14ac:dyDescent="0.25"/>
    <row r="184570" customFormat="1" x14ac:dyDescent="0.25"/>
    <row r="184571" customFormat="1" x14ac:dyDescent="0.25"/>
    <row r="184572" customFormat="1" x14ac:dyDescent="0.25"/>
    <row r="184573" customFormat="1" x14ac:dyDescent="0.25"/>
    <row r="184574" customFormat="1" x14ac:dyDescent="0.25"/>
    <row r="184575" customFormat="1" x14ac:dyDescent="0.25"/>
    <row r="184576" customFormat="1" x14ac:dyDescent="0.25"/>
    <row r="184577" customFormat="1" x14ac:dyDescent="0.25"/>
    <row r="184578" customFormat="1" x14ac:dyDescent="0.25"/>
    <row r="184579" customFormat="1" x14ac:dyDescent="0.25"/>
    <row r="184580" customFormat="1" x14ac:dyDescent="0.25"/>
    <row r="184581" customFormat="1" x14ac:dyDescent="0.25"/>
    <row r="184582" customFormat="1" x14ac:dyDescent="0.25"/>
    <row r="184583" customFormat="1" x14ac:dyDescent="0.25"/>
    <row r="184584" customFormat="1" x14ac:dyDescent="0.25"/>
    <row r="184585" customFormat="1" x14ac:dyDescent="0.25"/>
    <row r="184586" customFormat="1" x14ac:dyDescent="0.25"/>
    <row r="184587" customFormat="1" x14ac:dyDescent="0.25"/>
    <row r="184588" customFormat="1" x14ac:dyDescent="0.25"/>
    <row r="184589" customFormat="1" x14ac:dyDescent="0.25"/>
    <row r="184590" customFormat="1" x14ac:dyDescent="0.25"/>
    <row r="184591" customFormat="1" x14ac:dyDescent="0.25"/>
    <row r="184592" customFormat="1" x14ac:dyDescent="0.25"/>
    <row r="184593" customFormat="1" x14ac:dyDescent="0.25"/>
    <row r="184594" customFormat="1" x14ac:dyDescent="0.25"/>
    <row r="184595" customFormat="1" x14ac:dyDescent="0.25"/>
    <row r="184596" customFormat="1" x14ac:dyDescent="0.25"/>
    <row r="184597" customFormat="1" x14ac:dyDescent="0.25"/>
    <row r="184598" customFormat="1" x14ac:dyDescent="0.25"/>
    <row r="184599" customFormat="1" x14ac:dyDescent="0.25"/>
    <row r="184600" customFormat="1" x14ac:dyDescent="0.25"/>
    <row r="184601" customFormat="1" x14ac:dyDescent="0.25"/>
    <row r="184602" customFormat="1" x14ac:dyDescent="0.25"/>
    <row r="184603" customFormat="1" x14ac:dyDescent="0.25"/>
    <row r="184604" customFormat="1" x14ac:dyDescent="0.25"/>
    <row r="184605" customFormat="1" x14ac:dyDescent="0.25"/>
    <row r="184606" customFormat="1" x14ac:dyDescent="0.25"/>
    <row r="184607" customFormat="1" x14ac:dyDescent="0.25"/>
    <row r="184608" customFormat="1" x14ac:dyDescent="0.25"/>
    <row r="184609" customFormat="1" x14ac:dyDescent="0.25"/>
    <row r="184610" customFormat="1" x14ac:dyDescent="0.25"/>
    <row r="184611" customFormat="1" x14ac:dyDescent="0.25"/>
    <row r="184612" customFormat="1" x14ac:dyDescent="0.25"/>
    <row r="184613" customFormat="1" x14ac:dyDescent="0.25"/>
    <row r="184614" customFormat="1" x14ac:dyDescent="0.25"/>
    <row r="184615" customFormat="1" x14ac:dyDescent="0.25"/>
    <row r="184616" customFormat="1" x14ac:dyDescent="0.25"/>
    <row r="184617" customFormat="1" x14ac:dyDescent="0.25"/>
    <row r="184618" customFormat="1" x14ac:dyDescent="0.25"/>
    <row r="184619" customFormat="1" x14ac:dyDescent="0.25"/>
    <row r="184620" customFormat="1" x14ac:dyDescent="0.25"/>
    <row r="184621" customFormat="1" x14ac:dyDescent="0.25"/>
    <row r="184622" customFormat="1" x14ac:dyDescent="0.25"/>
    <row r="184623" customFormat="1" x14ac:dyDescent="0.25"/>
    <row r="184624" customFormat="1" x14ac:dyDescent="0.25"/>
    <row r="184625" customFormat="1" x14ac:dyDescent="0.25"/>
    <row r="184626" customFormat="1" x14ac:dyDescent="0.25"/>
    <row r="184627" customFormat="1" x14ac:dyDescent="0.25"/>
    <row r="184628" customFormat="1" x14ac:dyDescent="0.25"/>
    <row r="184629" customFormat="1" x14ac:dyDescent="0.25"/>
    <row r="184630" customFormat="1" x14ac:dyDescent="0.25"/>
    <row r="184631" customFormat="1" x14ac:dyDescent="0.25"/>
    <row r="184632" customFormat="1" x14ac:dyDescent="0.25"/>
    <row r="184633" customFormat="1" x14ac:dyDescent="0.25"/>
    <row r="184634" customFormat="1" x14ac:dyDescent="0.25"/>
    <row r="184635" customFormat="1" x14ac:dyDescent="0.25"/>
    <row r="184636" customFormat="1" x14ac:dyDescent="0.25"/>
    <row r="184637" customFormat="1" x14ac:dyDescent="0.25"/>
    <row r="184638" customFormat="1" x14ac:dyDescent="0.25"/>
    <row r="184639" customFormat="1" x14ac:dyDescent="0.25"/>
    <row r="184640" customFormat="1" x14ac:dyDescent="0.25"/>
    <row r="184641" customFormat="1" x14ac:dyDescent="0.25"/>
    <row r="184642" customFormat="1" x14ac:dyDescent="0.25"/>
    <row r="184643" customFormat="1" x14ac:dyDescent="0.25"/>
    <row r="184644" customFormat="1" x14ac:dyDescent="0.25"/>
    <row r="184645" customFormat="1" x14ac:dyDescent="0.25"/>
    <row r="184646" customFormat="1" x14ac:dyDescent="0.25"/>
    <row r="184647" customFormat="1" x14ac:dyDescent="0.25"/>
    <row r="184648" customFormat="1" x14ac:dyDescent="0.25"/>
    <row r="184649" customFormat="1" x14ac:dyDescent="0.25"/>
    <row r="184650" customFormat="1" x14ac:dyDescent="0.25"/>
    <row r="184651" customFormat="1" x14ac:dyDescent="0.25"/>
    <row r="184652" customFormat="1" x14ac:dyDescent="0.25"/>
    <row r="184653" customFormat="1" x14ac:dyDescent="0.25"/>
    <row r="184654" customFormat="1" x14ac:dyDescent="0.25"/>
    <row r="184655" customFormat="1" x14ac:dyDescent="0.25"/>
    <row r="184656" customFormat="1" x14ac:dyDescent="0.25"/>
    <row r="184657" customFormat="1" x14ac:dyDescent="0.25"/>
    <row r="184658" customFormat="1" x14ac:dyDescent="0.25"/>
    <row r="184659" customFormat="1" x14ac:dyDescent="0.25"/>
    <row r="184660" customFormat="1" x14ac:dyDescent="0.25"/>
    <row r="184661" customFormat="1" x14ac:dyDescent="0.25"/>
    <row r="184662" customFormat="1" x14ac:dyDescent="0.25"/>
    <row r="184663" customFormat="1" x14ac:dyDescent="0.25"/>
    <row r="184664" customFormat="1" x14ac:dyDescent="0.25"/>
    <row r="184665" customFormat="1" x14ac:dyDescent="0.25"/>
    <row r="184666" customFormat="1" x14ac:dyDescent="0.25"/>
    <row r="184667" customFormat="1" x14ac:dyDescent="0.25"/>
    <row r="184668" customFormat="1" x14ac:dyDescent="0.25"/>
    <row r="184669" customFormat="1" x14ac:dyDescent="0.25"/>
    <row r="184670" customFormat="1" x14ac:dyDescent="0.25"/>
    <row r="184671" customFormat="1" x14ac:dyDescent="0.25"/>
    <row r="184672" customFormat="1" x14ac:dyDescent="0.25"/>
    <row r="184673" customFormat="1" x14ac:dyDescent="0.25"/>
    <row r="184674" customFormat="1" x14ac:dyDescent="0.25"/>
    <row r="184675" customFormat="1" x14ac:dyDescent="0.25"/>
    <row r="184676" customFormat="1" x14ac:dyDescent="0.25"/>
    <row r="184677" customFormat="1" x14ac:dyDescent="0.25"/>
    <row r="184678" customFormat="1" x14ac:dyDescent="0.25"/>
    <row r="184679" customFormat="1" x14ac:dyDescent="0.25"/>
    <row r="184680" customFormat="1" x14ac:dyDescent="0.25"/>
    <row r="184681" customFormat="1" x14ac:dyDescent="0.25"/>
    <row r="184682" customFormat="1" x14ac:dyDescent="0.25"/>
    <row r="184683" customFormat="1" x14ac:dyDescent="0.25"/>
    <row r="184684" customFormat="1" x14ac:dyDescent="0.25"/>
    <row r="184685" customFormat="1" x14ac:dyDescent="0.25"/>
    <row r="184686" customFormat="1" x14ac:dyDescent="0.25"/>
    <row r="184687" customFormat="1" x14ac:dyDescent="0.25"/>
    <row r="184688" customFormat="1" x14ac:dyDescent="0.25"/>
    <row r="184689" customFormat="1" x14ac:dyDescent="0.25"/>
    <row r="184690" customFormat="1" x14ac:dyDescent="0.25"/>
    <row r="184691" customFormat="1" x14ac:dyDescent="0.25"/>
    <row r="184692" customFormat="1" x14ac:dyDescent="0.25"/>
    <row r="184693" customFormat="1" x14ac:dyDescent="0.25"/>
    <row r="184694" customFormat="1" x14ac:dyDescent="0.25"/>
    <row r="184695" customFormat="1" x14ac:dyDescent="0.25"/>
    <row r="184696" customFormat="1" x14ac:dyDescent="0.25"/>
    <row r="184697" customFormat="1" x14ac:dyDescent="0.25"/>
    <row r="184698" customFormat="1" x14ac:dyDescent="0.25"/>
    <row r="184699" customFormat="1" x14ac:dyDescent="0.25"/>
    <row r="184700" customFormat="1" x14ac:dyDescent="0.25"/>
    <row r="184701" customFormat="1" x14ac:dyDescent="0.25"/>
    <row r="184702" customFormat="1" x14ac:dyDescent="0.25"/>
    <row r="184703" customFormat="1" x14ac:dyDescent="0.25"/>
    <row r="184704" customFormat="1" x14ac:dyDescent="0.25"/>
    <row r="184705" customFormat="1" x14ac:dyDescent="0.25"/>
    <row r="184706" customFormat="1" x14ac:dyDescent="0.25"/>
    <row r="184707" customFormat="1" x14ac:dyDescent="0.25"/>
    <row r="184708" customFormat="1" x14ac:dyDescent="0.25"/>
    <row r="184709" customFormat="1" x14ac:dyDescent="0.25"/>
    <row r="184710" customFormat="1" x14ac:dyDescent="0.25"/>
    <row r="184711" customFormat="1" x14ac:dyDescent="0.25"/>
    <row r="184712" customFormat="1" x14ac:dyDescent="0.25"/>
    <row r="184713" customFormat="1" x14ac:dyDescent="0.25"/>
    <row r="184714" customFormat="1" x14ac:dyDescent="0.25"/>
    <row r="184715" customFormat="1" x14ac:dyDescent="0.25"/>
    <row r="184716" customFormat="1" x14ac:dyDescent="0.25"/>
    <row r="184717" customFormat="1" x14ac:dyDescent="0.25"/>
    <row r="184718" customFormat="1" x14ac:dyDescent="0.25"/>
    <row r="184719" customFormat="1" x14ac:dyDescent="0.25"/>
    <row r="184720" customFormat="1" x14ac:dyDescent="0.25"/>
    <row r="184721" customFormat="1" x14ac:dyDescent="0.25"/>
    <row r="184722" customFormat="1" x14ac:dyDescent="0.25"/>
    <row r="184723" customFormat="1" x14ac:dyDescent="0.25"/>
    <row r="184724" customFormat="1" x14ac:dyDescent="0.25"/>
    <row r="184725" customFormat="1" x14ac:dyDescent="0.25"/>
    <row r="184726" customFormat="1" x14ac:dyDescent="0.25"/>
    <row r="184727" customFormat="1" x14ac:dyDescent="0.25"/>
    <row r="184728" customFormat="1" x14ac:dyDescent="0.25"/>
    <row r="184729" customFormat="1" x14ac:dyDescent="0.25"/>
    <row r="184730" customFormat="1" x14ac:dyDescent="0.25"/>
    <row r="184731" customFormat="1" x14ac:dyDescent="0.25"/>
    <row r="184732" customFormat="1" x14ac:dyDescent="0.25"/>
    <row r="184733" customFormat="1" x14ac:dyDescent="0.25"/>
    <row r="184734" customFormat="1" x14ac:dyDescent="0.25"/>
    <row r="184735" customFormat="1" x14ac:dyDescent="0.25"/>
    <row r="184736" customFormat="1" x14ac:dyDescent="0.25"/>
    <row r="184737" customFormat="1" x14ac:dyDescent="0.25"/>
    <row r="184738" customFormat="1" x14ac:dyDescent="0.25"/>
    <row r="184739" customFormat="1" x14ac:dyDescent="0.25"/>
    <row r="184740" customFormat="1" x14ac:dyDescent="0.25"/>
    <row r="184741" customFormat="1" x14ac:dyDescent="0.25"/>
    <row r="184742" customFormat="1" x14ac:dyDescent="0.25"/>
    <row r="184743" customFormat="1" x14ac:dyDescent="0.25"/>
    <row r="184744" customFormat="1" x14ac:dyDescent="0.25"/>
    <row r="184745" customFormat="1" x14ac:dyDescent="0.25"/>
    <row r="184746" customFormat="1" x14ac:dyDescent="0.25"/>
    <row r="184747" customFormat="1" x14ac:dyDescent="0.25"/>
    <row r="184748" customFormat="1" x14ac:dyDescent="0.25"/>
    <row r="184749" customFormat="1" x14ac:dyDescent="0.25"/>
    <row r="184750" customFormat="1" x14ac:dyDescent="0.25"/>
    <row r="184751" customFormat="1" x14ac:dyDescent="0.25"/>
    <row r="184752" customFormat="1" x14ac:dyDescent="0.25"/>
    <row r="184753" customFormat="1" x14ac:dyDescent="0.25"/>
    <row r="184754" customFormat="1" x14ac:dyDescent="0.25"/>
    <row r="184755" customFormat="1" x14ac:dyDescent="0.25"/>
    <row r="184756" customFormat="1" x14ac:dyDescent="0.25"/>
    <row r="184757" customFormat="1" x14ac:dyDescent="0.25"/>
    <row r="184758" customFormat="1" x14ac:dyDescent="0.25"/>
    <row r="184759" customFormat="1" x14ac:dyDescent="0.25"/>
    <row r="184760" customFormat="1" x14ac:dyDescent="0.25"/>
    <row r="184761" customFormat="1" x14ac:dyDescent="0.25"/>
    <row r="184762" customFormat="1" x14ac:dyDescent="0.25"/>
    <row r="184763" customFormat="1" x14ac:dyDescent="0.25"/>
    <row r="184764" customFormat="1" x14ac:dyDescent="0.25"/>
    <row r="184765" customFormat="1" x14ac:dyDescent="0.25"/>
    <row r="184766" customFormat="1" x14ac:dyDescent="0.25"/>
    <row r="184767" customFormat="1" x14ac:dyDescent="0.25"/>
    <row r="184768" customFormat="1" x14ac:dyDescent="0.25"/>
    <row r="184769" customFormat="1" x14ac:dyDescent="0.25"/>
    <row r="184770" customFormat="1" x14ac:dyDescent="0.25"/>
    <row r="184771" customFormat="1" x14ac:dyDescent="0.25"/>
    <row r="184772" customFormat="1" x14ac:dyDescent="0.25"/>
    <row r="184773" customFormat="1" x14ac:dyDescent="0.25"/>
    <row r="184774" customFormat="1" x14ac:dyDescent="0.25"/>
    <row r="184775" customFormat="1" x14ac:dyDescent="0.25"/>
    <row r="184776" customFormat="1" x14ac:dyDescent="0.25"/>
    <row r="184777" customFormat="1" x14ac:dyDescent="0.25"/>
    <row r="184778" customFormat="1" x14ac:dyDescent="0.25"/>
    <row r="184779" customFormat="1" x14ac:dyDescent="0.25"/>
    <row r="184780" customFormat="1" x14ac:dyDescent="0.25"/>
    <row r="184781" customFormat="1" x14ac:dyDescent="0.25"/>
    <row r="184782" customFormat="1" x14ac:dyDescent="0.25"/>
    <row r="184783" customFormat="1" x14ac:dyDescent="0.25"/>
    <row r="184784" customFormat="1" x14ac:dyDescent="0.25"/>
    <row r="184785" customFormat="1" x14ac:dyDescent="0.25"/>
    <row r="184786" customFormat="1" x14ac:dyDescent="0.25"/>
    <row r="184787" customFormat="1" x14ac:dyDescent="0.25"/>
    <row r="184788" customFormat="1" x14ac:dyDescent="0.25"/>
    <row r="184789" customFormat="1" x14ac:dyDescent="0.25"/>
    <row r="184790" customFormat="1" x14ac:dyDescent="0.25"/>
    <row r="184791" customFormat="1" x14ac:dyDescent="0.25"/>
    <row r="184792" customFormat="1" x14ac:dyDescent="0.25"/>
    <row r="184793" customFormat="1" x14ac:dyDescent="0.25"/>
    <row r="184794" customFormat="1" x14ac:dyDescent="0.25"/>
    <row r="184795" customFormat="1" x14ac:dyDescent="0.25"/>
    <row r="184796" customFormat="1" x14ac:dyDescent="0.25"/>
    <row r="184797" customFormat="1" x14ac:dyDescent="0.25"/>
    <row r="184798" customFormat="1" x14ac:dyDescent="0.25"/>
    <row r="184799" customFormat="1" x14ac:dyDescent="0.25"/>
    <row r="184800" customFormat="1" x14ac:dyDescent="0.25"/>
    <row r="184801" customFormat="1" x14ac:dyDescent="0.25"/>
    <row r="184802" customFormat="1" x14ac:dyDescent="0.25"/>
    <row r="184803" customFormat="1" x14ac:dyDescent="0.25"/>
    <row r="184804" customFormat="1" x14ac:dyDescent="0.25"/>
    <row r="184805" customFormat="1" x14ac:dyDescent="0.25"/>
    <row r="184806" customFormat="1" x14ac:dyDescent="0.25"/>
    <row r="184807" customFormat="1" x14ac:dyDescent="0.25"/>
    <row r="184808" customFormat="1" x14ac:dyDescent="0.25"/>
    <row r="184809" customFormat="1" x14ac:dyDescent="0.25"/>
    <row r="184810" customFormat="1" x14ac:dyDescent="0.25"/>
    <row r="184811" customFormat="1" x14ac:dyDescent="0.25"/>
    <row r="184812" customFormat="1" x14ac:dyDescent="0.25"/>
    <row r="184813" customFormat="1" x14ac:dyDescent="0.25"/>
    <row r="184814" customFormat="1" x14ac:dyDescent="0.25"/>
    <row r="184815" customFormat="1" x14ac:dyDescent="0.25"/>
    <row r="184816" customFormat="1" x14ac:dyDescent="0.25"/>
    <row r="184817" customFormat="1" x14ac:dyDescent="0.25"/>
    <row r="184818" customFormat="1" x14ac:dyDescent="0.25"/>
    <row r="184819" customFormat="1" x14ac:dyDescent="0.25"/>
    <row r="184820" customFormat="1" x14ac:dyDescent="0.25"/>
    <row r="184821" customFormat="1" x14ac:dyDescent="0.25"/>
    <row r="184822" customFormat="1" x14ac:dyDescent="0.25"/>
    <row r="184823" customFormat="1" x14ac:dyDescent="0.25"/>
    <row r="184824" customFormat="1" x14ac:dyDescent="0.25"/>
    <row r="184825" customFormat="1" x14ac:dyDescent="0.25"/>
    <row r="184826" customFormat="1" x14ac:dyDescent="0.25"/>
    <row r="184827" customFormat="1" x14ac:dyDescent="0.25"/>
    <row r="184828" customFormat="1" x14ac:dyDescent="0.25"/>
    <row r="184829" customFormat="1" x14ac:dyDescent="0.25"/>
    <row r="184830" customFormat="1" x14ac:dyDescent="0.25"/>
    <row r="184831" customFormat="1" x14ac:dyDescent="0.25"/>
    <row r="184832" customFormat="1" x14ac:dyDescent="0.25"/>
    <row r="184833" customFormat="1" x14ac:dyDescent="0.25"/>
    <row r="184834" customFormat="1" x14ac:dyDescent="0.25"/>
    <row r="184835" customFormat="1" x14ac:dyDescent="0.25"/>
    <row r="184836" customFormat="1" x14ac:dyDescent="0.25"/>
    <row r="184837" customFormat="1" x14ac:dyDescent="0.25"/>
    <row r="184838" customFormat="1" x14ac:dyDescent="0.25"/>
    <row r="184839" customFormat="1" x14ac:dyDescent="0.25"/>
    <row r="184840" customFormat="1" x14ac:dyDescent="0.25"/>
    <row r="184841" customFormat="1" x14ac:dyDescent="0.25"/>
    <row r="184842" customFormat="1" x14ac:dyDescent="0.25"/>
    <row r="184843" customFormat="1" x14ac:dyDescent="0.25"/>
    <row r="184844" customFormat="1" x14ac:dyDescent="0.25"/>
    <row r="184845" customFormat="1" x14ac:dyDescent="0.25"/>
    <row r="184846" customFormat="1" x14ac:dyDescent="0.25"/>
    <row r="184847" customFormat="1" x14ac:dyDescent="0.25"/>
    <row r="184848" customFormat="1" x14ac:dyDescent="0.25"/>
    <row r="184849" customFormat="1" x14ac:dyDescent="0.25"/>
    <row r="184850" customFormat="1" x14ac:dyDescent="0.25"/>
    <row r="184851" customFormat="1" x14ac:dyDescent="0.25"/>
    <row r="184852" customFormat="1" x14ac:dyDescent="0.25"/>
    <row r="184853" customFormat="1" x14ac:dyDescent="0.25"/>
    <row r="184854" customFormat="1" x14ac:dyDescent="0.25"/>
    <row r="184855" customFormat="1" x14ac:dyDescent="0.25"/>
    <row r="184856" customFormat="1" x14ac:dyDescent="0.25"/>
    <row r="184857" customFormat="1" x14ac:dyDescent="0.25"/>
    <row r="184858" customFormat="1" x14ac:dyDescent="0.25"/>
    <row r="184859" customFormat="1" x14ac:dyDescent="0.25"/>
    <row r="184860" customFormat="1" x14ac:dyDescent="0.25"/>
    <row r="184861" customFormat="1" x14ac:dyDescent="0.25"/>
    <row r="184862" customFormat="1" x14ac:dyDescent="0.25"/>
    <row r="184863" customFormat="1" x14ac:dyDescent="0.25"/>
    <row r="184864" customFormat="1" x14ac:dyDescent="0.25"/>
    <row r="184865" customFormat="1" x14ac:dyDescent="0.25"/>
    <row r="184866" customFormat="1" x14ac:dyDescent="0.25"/>
    <row r="184867" customFormat="1" x14ac:dyDescent="0.25"/>
    <row r="184868" customFormat="1" x14ac:dyDescent="0.25"/>
    <row r="184869" customFormat="1" x14ac:dyDescent="0.25"/>
    <row r="184870" customFormat="1" x14ac:dyDescent="0.25"/>
    <row r="184871" customFormat="1" x14ac:dyDescent="0.25"/>
    <row r="184872" customFormat="1" x14ac:dyDescent="0.25"/>
    <row r="184873" customFormat="1" x14ac:dyDescent="0.25"/>
    <row r="184874" customFormat="1" x14ac:dyDescent="0.25"/>
    <row r="184875" customFormat="1" x14ac:dyDescent="0.25"/>
    <row r="184876" customFormat="1" x14ac:dyDescent="0.25"/>
    <row r="184877" customFormat="1" x14ac:dyDescent="0.25"/>
    <row r="184878" customFormat="1" x14ac:dyDescent="0.25"/>
    <row r="184879" customFormat="1" x14ac:dyDescent="0.25"/>
    <row r="184880" customFormat="1" x14ac:dyDescent="0.25"/>
    <row r="184881" customFormat="1" x14ac:dyDescent="0.25"/>
    <row r="184882" customFormat="1" x14ac:dyDescent="0.25"/>
    <row r="184883" customFormat="1" x14ac:dyDescent="0.25"/>
    <row r="184884" customFormat="1" x14ac:dyDescent="0.25"/>
    <row r="184885" customFormat="1" x14ac:dyDescent="0.25"/>
    <row r="184886" customFormat="1" x14ac:dyDescent="0.25"/>
    <row r="184887" customFormat="1" x14ac:dyDescent="0.25"/>
    <row r="184888" customFormat="1" x14ac:dyDescent="0.25"/>
    <row r="184889" customFormat="1" x14ac:dyDescent="0.25"/>
    <row r="184890" customFormat="1" x14ac:dyDescent="0.25"/>
    <row r="184891" customFormat="1" x14ac:dyDescent="0.25"/>
    <row r="184892" customFormat="1" x14ac:dyDescent="0.25"/>
    <row r="184893" customFormat="1" x14ac:dyDescent="0.25"/>
    <row r="184894" customFormat="1" x14ac:dyDescent="0.25"/>
    <row r="184895" customFormat="1" x14ac:dyDescent="0.25"/>
    <row r="184896" customFormat="1" x14ac:dyDescent="0.25"/>
    <row r="184897" customFormat="1" x14ac:dyDescent="0.25"/>
    <row r="184898" customFormat="1" x14ac:dyDescent="0.25"/>
    <row r="184899" customFormat="1" x14ac:dyDescent="0.25"/>
    <row r="184900" customFormat="1" x14ac:dyDescent="0.25"/>
    <row r="184901" customFormat="1" x14ac:dyDescent="0.25"/>
    <row r="184902" customFormat="1" x14ac:dyDescent="0.25"/>
    <row r="184903" customFormat="1" x14ac:dyDescent="0.25"/>
    <row r="184904" customFormat="1" x14ac:dyDescent="0.25"/>
    <row r="184905" customFormat="1" x14ac:dyDescent="0.25"/>
    <row r="184906" customFormat="1" x14ac:dyDescent="0.25"/>
    <row r="184907" customFormat="1" x14ac:dyDescent="0.25"/>
    <row r="184908" customFormat="1" x14ac:dyDescent="0.25"/>
    <row r="184909" customFormat="1" x14ac:dyDescent="0.25"/>
    <row r="184910" customFormat="1" x14ac:dyDescent="0.25"/>
    <row r="184911" customFormat="1" x14ac:dyDescent="0.25"/>
    <row r="184912" customFormat="1" x14ac:dyDescent="0.25"/>
    <row r="184913" customFormat="1" x14ac:dyDescent="0.25"/>
    <row r="184914" customFormat="1" x14ac:dyDescent="0.25"/>
    <row r="184915" customFormat="1" x14ac:dyDescent="0.25"/>
    <row r="184916" customFormat="1" x14ac:dyDescent="0.25"/>
    <row r="184917" customFormat="1" x14ac:dyDescent="0.25"/>
    <row r="184918" customFormat="1" x14ac:dyDescent="0.25"/>
    <row r="184919" customFormat="1" x14ac:dyDescent="0.25"/>
    <row r="184920" customFormat="1" x14ac:dyDescent="0.25"/>
    <row r="184921" customFormat="1" x14ac:dyDescent="0.25"/>
    <row r="184922" customFormat="1" x14ac:dyDescent="0.25"/>
    <row r="184923" customFormat="1" x14ac:dyDescent="0.25"/>
    <row r="184924" customFormat="1" x14ac:dyDescent="0.25"/>
    <row r="184925" customFormat="1" x14ac:dyDescent="0.25"/>
    <row r="184926" customFormat="1" x14ac:dyDescent="0.25"/>
    <row r="184927" customFormat="1" x14ac:dyDescent="0.25"/>
    <row r="184928" customFormat="1" x14ac:dyDescent="0.25"/>
    <row r="184929" customFormat="1" x14ac:dyDescent="0.25"/>
    <row r="184930" customFormat="1" x14ac:dyDescent="0.25"/>
    <row r="184931" customFormat="1" x14ac:dyDescent="0.25"/>
    <row r="184932" customFormat="1" x14ac:dyDescent="0.25"/>
    <row r="184933" customFormat="1" x14ac:dyDescent="0.25"/>
    <row r="184934" customFormat="1" x14ac:dyDescent="0.25"/>
    <row r="184935" customFormat="1" x14ac:dyDescent="0.25"/>
    <row r="184936" customFormat="1" x14ac:dyDescent="0.25"/>
    <row r="184937" customFormat="1" x14ac:dyDescent="0.25"/>
    <row r="184938" customFormat="1" x14ac:dyDescent="0.25"/>
    <row r="184939" customFormat="1" x14ac:dyDescent="0.25"/>
    <row r="184940" customFormat="1" x14ac:dyDescent="0.25"/>
    <row r="184941" customFormat="1" x14ac:dyDescent="0.25"/>
    <row r="184942" customFormat="1" x14ac:dyDescent="0.25"/>
    <row r="184943" customFormat="1" x14ac:dyDescent="0.25"/>
    <row r="184944" customFormat="1" x14ac:dyDescent="0.25"/>
    <row r="184945" customFormat="1" x14ac:dyDescent="0.25"/>
    <row r="184946" customFormat="1" x14ac:dyDescent="0.25"/>
    <row r="184947" customFormat="1" x14ac:dyDescent="0.25"/>
    <row r="184948" customFormat="1" x14ac:dyDescent="0.25"/>
    <row r="184949" customFormat="1" x14ac:dyDescent="0.25"/>
    <row r="184950" customFormat="1" x14ac:dyDescent="0.25"/>
    <row r="184951" customFormat="1" x14ac:dyDescent="0.25"/>
    <row r="184952" customFormat="1" x14ac:dyDescent="0.25"/>
    <row r="184953" customFormat="1" x14ac:dyDescent="0.25"/>
    <row r="184954" customFormat="1" x14ac:dyDescent="0.25"/>
    <row r="184955" customFormat="1" x14ac:dyDescent="0.25"/>
    <row r="184956" customFormat="1" x14ac:dyDescent="0.25"/>
    <row r="184957" customFormat="1" x14ac:dyDescent="0.25"/>
    <row r="184958" customFormat="1" x14ac:dyDescent="0.25"/>
    <row r="184959" customFormat="1" x14ac:dyDescent="0.25"/>
    <row r="184960" customFormat="1" x14ac:dyDescent="0.25"/>
    <row r="184961" customFormat="1" x14ac:dyDescent="0.25"/>
    <row r="184962" customFormat="1" x14ac:dyDescent="0.25"/>
    <row r="184963" customFormat="1" x14ac:dyDescent="0.25"/>
    <row r="184964" customFormat="1" x14ac:dyDescent="0.25"/>
    <row r="184965" customFormat="1" x14ac:dyDescent="0.25"/>
    <row r="184966" customFormat="1" x14ac:dyDescent="0.25"/>
    <row r="184967" customFormat="1" x14ac:dyDescent="0.25"/>
    <row r="184968" customFormat="1" x14ac:dyDescent="0.25"/>
    <row r="184969" customFormat="1" x14ac:dyDescent="0.25"/>
    <row r="184970" customFormat="1" x14ac:dyDescent="0.25"/>
    <row r="184971" customFormat="1" x14ac:dyDescent="0.25"/>
    <row r="184972" customFormat="1" x14ac:dyDescent="0.25"/>
    <row r="184973" customFormat="1" x14ac:dyDescent="0.25"/>
    <row r="184974" customFormat="1" x14ac:dyDescent="0.25"/>
    <row r="184975" customFormat="1" x14ac:dyDescent="0.25"/>
    <row r="184976" customFormat="1" x14ac:dyDescent="0.25"/>
    <row r="184977" customFormat="1" x14ac:dyDescent="0.25"/>
    <row r="184978" customFormat="1" x14ac:dyDescent="0.25"/>
    <row r="184979" customFormat="1" x14ac:dyDescent="0.25"/>
    <row r="184980" customFormat="1" x14ac:dyDescent="0.25"/>
    <row r="184981" customFormat="1" x14ac:dyDescent="0.25"/>
    <row r="184982" customFormat="1" x14ac:dyDescent="0.25"/>
    <row r="184983" customFormat="1" x14ac:dyDescent="0.25"/>
    <row r="184984" customFormat="1" x14ac:dyDescent="0.25"/>
    <row r="184985" customFormat="1" x14ac:dyDescent="0.25"/>
    <row r="184986" customFormat="1" x14ac:dyDescent="0.25"/>
    <row r="184987" customFormat="1" x14ac:dyDescent="0.25"/>
    <row r="184988" customFormat="1" x14ac:dyDescent="0.25"/>
    <row r="184989" customFormat="1" x14ac:dyDescent="0.25"/>
    <row r="184990" customFormat="1" x14ac:dyDescent="0.25"/>
    <row r="184991" customFormat="1" x14ac:dyDescent="0.25"/>
    <row r="184992" customFormat="1" x14ac:dyDescent="0.25"/>
    <row r="184993" customFormat="1" x14ac:dyDescent="0.25"/>
    <row r="184994" customFormat="1" x14ac:dyDescent="0.25"/>
    <row r="184995" customFormat="1" x14ac:dyDescent="0.25"/>
    <row r="184996" customFormat="1" x14ac:dyDescent="0.25"/>
    <row r="184997" customFormat="1" x14ac:dyDescent="0.25"/>
    <row r="184998" customFormat="1" x14ac:dyDescent="0.25"/>
    <row r="184999" customFormat="1" x14ac:dyDescent="0.25"/>
    <row r="185000" customFormat="1" x14ac:dyDescent="0.25"/>
    <row r="185001" customFormat="1" x14ac:dyDescent="0.25"/>
    <row r="185002" customFormat="1" x14ac:dyDescent="0.25"/>
    <row r="185003" customFormat="1" x14ac:dyDescent="0.25"/>
    <row r="185004" customFormat="1" x14ac:dyDescent="0.25"/>
    <row r="185005" customFormat="1" x14ac:dyDescent="0.25"/>
    <row r="185006" customFormat="1" x14ac:dyDescent="0.25"/>
    <row r="185007" customFormat="1" x14ac:dyDescent="0.25"/>
    <row r="185008" customFormat="1" x14ac:dyDescent="0.25"/>
    <row r="185009" customFormat="1" x14ac:dyDescent="0.25"/>
    <row r="185010" customFormat="1" x14ac:dyDescent="0.25"/>
    <row r="185011" customFormat="1" x14ac:dyDescent="0.25"/>
    <row r="185012" customFormat="1" x14ac:dyDescent="0.25"/>
    <row r="185013" customFormat="1" x14ac:dyDescent="0.25"/>
    <row r="185014" customFormat="1" x14ac:dyDescent="0.25"/>
    <row r="185015" customFormat="1" x14ac:dyDescent="0.25"/>
    <row r="185016" customFormat="1" x14ac:dyDescent="0.25"/>
    <row r="185017" customFormat="1" x14ac:dyDescent="0.25"/>
    <row r="185018" customFormat="1" x14ac:dyDescent="0.25"/>
    <row r="185019" customFormat="1" x14ac:dyDescent="0.25"/>
    <row r="185020" customFormat="1" x14ac:dyDescent="0.25"/>
    <row r="185021" customFormat="1" x14ac:dyDescent="0.25"/>
    <row r="185022" customFormat="1" x14ac:dyDescent="0.25"/>
    <row r="185023" customFormat="1" x14ac:dyDescent="0.25"/>
    <row r="185024" customFormat="1" x14ac:dyDescent="0.25"/>
    <row r="185025" customFormat="1" x14ac:dyDescent="0.25"/>
    <row r="185026" customFormat="1" x14ac:dyDescent="0.25"/>
    <row r="185027" customFormat="1" x14ac:dyDescent="0.25"/>
    <row r="185028" customFormat="1" x14ac:dyDescent="0.25"/>
    <row r="185029" customFormat="1" x14ac:dyDescent="0.25"/>
    <row r="185030" customFormat="1" x14ac:dyDescent="0.25"/>
    <row r="185031" customFormat="1" x14ac:dyDescent="0.25"/>
    <row r="185032" customFormat="1" x14ac:dyDescent="0.25"/>
    <row r="185033" customFormat="1" x14ac:dyDescent="0.25"/>
    <row r="185034" customFormat="1" x14ac:dyDescent="0.25"/>
    <row r="185035" customFormat="1" x14ac:dyDescent="0.25"/>
    <row r="185036" customFormat="1" x14ac:dyDescent="0.25"/>
    <row r="185037" customFormat="1" x14ac:dyDescent="0.25"/>
    <row r="185038" customFormat="1" x14ac:dyDescent="0.25"/>
    <row r="185039" customFormat="1" x14ac:dyDescent="0.25"/>
    <row r="185040" customFormat="1" x14ac:dyDescent="0.25"/>
    <row r="185041" customFormat="1" x14ac:dyDescent="0.25"/>
    <row r="185042" customFormat="1" x14ac:dyDescent="0.25"/>
    <row r="185043" customFormat="1" x14ac:dyDescent="0.25"/>
    <row r="185044" customFormat="1" x14ac:dyDescent="0.25"/>
    <row r="185045" customFormat="1" x14ac:dyDescent="0.25"/>
    <row r="185046" customFormat="1" x14ac:dyDescent="0.25"/>
    <row r="185047" customFormat="1" x14ac:dyDescent="0.25"/>
    <row r="185048" customFormat="1" x14ac:dyDescent="0.25"/>
    <row r="185049" customFormat="1" x14ac:dyDescent="0.25"/>
    <row r="185050" customFormat="1" x14ac:dyDescent="0.25"/>
    <row r="185051" customFormat="1" x14ac:dyDescent="0.25"/>
    <row r="185052" customFormat="1" x14ac:dyDescent="0.25"/>
    <row r="185053" customFormat="1" x14ac:dyDescent="0.25"/>
    <row r="185054" customFormat="1" x14ac:dyDescent="0.25"/>
    <row r="185055" customFormat="1" x14ac:dyDescent="0.25"/>
    <row r="185056" customFormat="1" x14ac:dyDescent="0.25"/>
    <row r="185057" customFormat="1" x14ac:dyDescent="0.25"/>
    <row r="185058" customFormat="1" x14ac:dyDescent="0.25"/>
    <row r="185059" customFormat="1" x14ac:dyDescent="0.25"/>
    <row r="185060" customFormat="1" x14ac:dyDescent="0.25"/>
    <row r="185061" customFormat="1" x14ac:dyDescent="0.25"/>
    <row r="185062" customFormat="1" x14ac:dyDescent="0.25"/>
    <row r="185063" customFormat="1" x14ac:dyDescent="0.25"/>
    <row r="185064" customFormat="1" x14ac:dyDescent="0.25"/>
    <row r="185065" customFormat="1" x14ac:dyDescent="0.25"/>
    <row r="185066" customFormat="1" x14ac:dyDescent="0.25"/>
    <row r="185067" customFormat="1" x14ac:dyDescent="0.25"/>
    <row r="185068" customFormat="1" x14ac:dyDescent="0.25"/>
    <row r="185069" customFormat="1" x14ac:dyDescent="0.25"/>
    <row r="185070" customFormat="1" x14ac:dyDescent="0.25"/>
    <row r="185071" customFormat="1" x14ac:dyDescent="0.25"/>
    <row r="185072" customFormat="1" x14ac:dyDescent="0.25"/>
    <row r="185073" customFormat="1" x14ac:dyDescent="0.25"/>
    <row r="185074" customFormat="1" x14ac:dyDescent="0.25"/>
    <row r="185075" customFormat="1" x14ac:dyDescent="0.25"/>
    <row r="185076" customFormat="1" x14ac:dyDescent="0.25"/>
    <row r="185077" customFormat="1" x14ac:dyDescent="0.25"/>
    <row r="185078" customFormat="1" x14ac:dyDescent="0.25"/>
    <row r="185079" customFormat="1" x14ac:dyDescent="0.25"/>
    <row r="185080" customFormat="1" x14ac:dyDescent="0.25"/>
    <row r="185081" customFormat="1" x14ac:dyDescent="0.25"/>
    <row r="185082" customFormat="1" x14ac:dyDescent="0.25"/>
    <row r="185083" customFormat="1" x14ac:dyDescent="0.25"/>
    <row r="185084" customFormat="1" x14ac:dyDescent="0.25"/>
    <row r="185085" customFormat="1" x14ac:dyDescent="0.25"/>
    <row r="185086" customFormat="1" x14ac:dyDescent="0.25"/>
    <row r="185087" customFormat="1" x14ac:dyDescent="0.25"/>
    <row r="185088" customFormat="1" x14ac:dyDescent="0.25"/>
    <row r="185089" customFormat="1" x14ac:dyDescent="0.25"/>
    <row r="185090" customFormat="1" x14ac:dyDescent="0.25"/>
    <row r="185091" customFormat="1" x14ac:dyDescent="0.25"/>
    <row r="185092" customFormat="1" x14ac:dyDescent="0.25"/>
    <row r="185093" customFormat="1" x14ac:dyDescent="0.25"/>
    <row r="185094" customFormat="1" x14ac:dyDescent="0.25"/>
    <row r="185095" customFormat="1" x14ac:dyDescent="0.25"/>
    <row r="185096" customFormat="1" x14ac:dyDescent="0.25"/>
    <row r="185097" customFormat="1" x14ac:dyDescent="0.25"/>
    <row r="185098" customFormat="1" x14ac:dyDescent="0.25"/>
    <row r="185099" customFormat="1" x14ac:dyDescent="0.25"/>
    <row r="185100" customFormat="1" x14ac:dyDescent="0.25"/>
    <row r="185101" customFormat="1" x14ac:dyDescent="0.25"/>
    <row r="185102" customFormat="1" x14ac:dyDescent="0.25"/>
    <row r="185103" customFormat="1" x14ac:dyDescent="0.25"/>
    <row r="185104" customFormat="1" x14ac:dyDescent="0.25"/>
    <row r="185105" customFormat="1" x14ac:dyDescent="0.25"/>
    <row r="185106" customFormat="1" x14ac:dyDescent="0.25"/>
    <row r="185107" customFormat="1" x14ac:dyDescent="0.25"/>
    <row r="185108" customFormat="1" x14ac:dyDescent="0.25"/>
    <row r="185109" customFormat="1" x14ac:dyDescent="0.25"/>
    <row r="185110" customFormat="1" x14ac:dyDescent="0.25"/>
    <row r="185111" customFormat="1" x14ac:dyDescent="0.25"/>
    <row r="185112" customFormat="1" x14ac:dyDescent="0.25"/>
    <row r="185113" customFormat="1" x14ac:dyDescent="0.25"/>
    <row r="185114" customFormat="1" x14ac:dyDescent="0.25"/>
    <row r="185115" customFormat="1" x14ac:dyDescent="0.25"/>
    <row r="185116" customFormat="1" x14ac:dyDescent="0.25"/>
    <row r="185117" customFormat="1" x14ac:dyDescent="0.25"/>
    <row r="185118" customFormat="1" x14ac:dyDescent="0.25"/>
    <row r="185119" customFormat="1" x14ac:dyDescent="0.25"/>
    <row r="185120" customFormat="1" x14ac:dyDescent="0.25"/>
    <row r="185121" customFormat="1" x14ac:dyDescent="0.25"/>
    <row r="185122" customFormat="1" x14ac:dyDescent="0.25"/>
    <row r="185123" customFormat="1" x14ac:dyDescent="0.25"/>
    <row r="185124" customFormat="1" x14ac:dyDescent="0.25"/>
    <row r="185125" customFormat="1" x14ac:dyDescent="0.25"/>
    <row r="185126" customFormat="1" x14ac:dyDescent="0.25"/>
    <row r="185127" customFormat="1" x14ac:dyDescent="0.25"/>
    <row r="185128" customFormat="1" x14ac:dyDescent="0.25"/>
    <row r="185129" customFormat="1" x14ac:dyDescent="0.25"/>
    <row r="185130" customFormat="1" x14ac:dyDescent="0.25"/>
    <row r="185131" customFormat="1" x14ac:dyDescent="0.25"/>
    <row r="185132" customFormat="1" x14ac:dyDescent="0.25"/>
    <row r="185133" customFormat="1" x14ac:dyDescent="0.25"/>
    <row r="185134" customFormat="1" x14ac:dyDescent="0.25"/>
    <row r="185135" customFormat="1" x14ac:dyDescent="0.25"/>
    <row r="185136" customFormat="1" x14ac:dyDescent="0.25"/>
    <row r="185137" customFormat="1" x14ac:dyDescent="0.25"/>
    <row r="185138" customFormat="1" x14ac:dyDescent="0.25"/>
    <row r="185139" customFormat="1" x14ac:dyDescent="0.25"/>
    <row r="185140" customFormat="1" x14ac:dyDescent="0.25"/>
    <row r="185141" customFormat="1" x14ac:dyDescent="0.25"/>
    <row r="185142" customFormat="1" x14ac:dyDescent="0.25"/>
    <row r="185143" customFormat="1" x14ac:dyDescent="0.25"/>
    <row r="185144" customFormat="1" x14ac:dyDescent="0.25"/>
    <row r="185145" customFormat="1" x14ac:dyDescent="0.25"/>
    <row r="185146" customFormat="1" x14ac:dyDescent="0.25"/>
    <row r="185147" customFormat="1" x14ac:dyDescent="0.25"/>
    <row r="185148" customFormat="1" x14ac:dyDescent="0.25"/>
    <row r="185149" customFormat="1" x14ac:dyDescent="0.25"/>
    <row r="185150" customFormat="1" x14ac:dyDescent="0.25"/>
    <row r="185151" customFormat="1" x14ac:dyDescent="0.25"/>
    <row r="185152" customFormat="1" x14ac:dyDescent="0.25"/>
    <row r="185153" customFormat="1" x14ac:dyDescent="0.25"/>
    <row r="185154" customFormat="1" x14ac:dyDescent="0.25"/>
    <row r="185155" customFormat="1" x14ac:dyDescent="0.25"/>
    <row r="185156" customFormat="1" x14ac:dyDescent="0.25"/>
    <row r="185157" customFormat="1" x14ac:dyDescent="0.25"/>
    <row r="185158" customFormat="1" x14ac:dyDescent="0.25"/>
    <row r="185159" customFormat="1" x14ac:dyDescent="0.25"/>
    <row r="185160" customFormat="1" x14ac:dyDescent="0.25"/>
    <row r="185161" customFormat="1" x14ac:dyDescent="0.25"/>
    <row r="185162" customFormat="1" x14ac:dyDescent="0.25"/>
    <row r="185163" customFormat="1" x14ac:dyDescent="0.25"/>
    <row r="185164" customFormat="1" x14ac:dyDescent="0.25"/>
    <row r="185165" customFormat="1" x14ac:dyDescent="0.25"/>
    <row r="185166" customFormat="1" x14ac:dyDescent="0.25"/>
    <row r="185167" customFormat="1" x14ac:dyDescent="0.25"/>
    <row r="185168" customFormat="1" x14ac:dyDescent="0.25"/>
    <row r="185169" customFormat="1" x14ac:dyDescent="0.25"/>
    <row r="185170" customFormat="1" x14ac:dyDescent="0.25"/>
    <row r="185171" customFormat="1" x14ac:dyDescent="0.25"/>
    <row r="185172" customFormat="1" x14ac:dyDescent="0.25"/>
    <row r="185173" customFormat="1" x14ac:dyDescent="0.25"/>
    <row r="185174" customFormat="1" x14ac:dyDescent="0.25"/>
    <row r="185175" customFormat="1" x14ac:dyDescent="0.25"/>
    <row r="185176" customFormat="1" x14ac:dyDescent="0.25"/>
    <row r="185177" customFormat="1" x14ac:dyDescent="0.25"/>
    <row r="185178" customFormat="1" x14ac:dyDescent="0.25"/>
    <row r="185179" customFormat="1" x14ac:dyDescent="0.25"/>
    <row r="185180" customFormat="1" x14ac:dyDescent="0.25"/>
    <row r="185181" customFormat="1" x14ac:dyDescent="0.25"/>
    <row r="185182" customFormat="1" x14ac:dyDescent="0.25"/>
    <row r="185183" customFormat="1" x14ac:dyDescent="0.25"/>
    <row r="185184" customFormat="1" x14ac:dyDescent="0.25"/>
    <row r="185185" customFormat="1" x14ac:dyDescent="0.25"/>
    <row r="185186" customFormat="1" x14ac:dyDescent="0.25"/>
    <row r="185187" customFormat="1" x14ac:dyDescent="0.25"/>
    <row r="185188" customFormat="1" x14ac:dyDescent="0.25"/>
    <row r="185189" customFormat="1" x14ac:dyDescent="0.25"/>
    <row r="185190" customFormat="1" x14ac:dyDescent="0.25"/>
    <row r="185191" customFormat="1" x14ac:dyDescent="0.25"/>
    <row r="185192" customFormat="1" x14ac:dyDescent="0.25"/>
    <row r="185193" customFormat="1" x14ac:dyDescent="0.25"/>
    <row r="185194" customFormat="1" x14ac:dyDescent="0.25"/>
    <row r="185195" customFormat="1" x14ac:dyDescent="0.25"/>
    <row r="185196" customFormat="1" x14ac:dyDescent="0.25"/>
    <row r="185197" customFormat="1" x14ac:dyDescent="0.25"/>
    <row r="185198" customFormat="1" x14ac:dyDescent="0.25"/>
    <row r="185199" customFormat="1" x14ac:dyDescent="0.25"/>
    <row r="185200" customFormat="1" x14ac:dyDescent="0.25"/>
    <row r="185201" customFormat="1" x14ac:dyDescent="0.25"/>
    <row r="185202" customFormat="1" x14ac:dyDescent="0.25"/>
    <row r="185203" customFormat="1" x14ac:dyDescent="0.25"/>
    <row r="185204" customFormat="1" x14ac:dyDescent="0.25"/>
    <row r="185205" customFormat="1" x14ac:dyDescent="0.25"/>
    <row r="185206" customFormat="1" x14ac:dyDescent="0.25"/>
    <row r="185207" customFormat="1" x14ac:dyDescent="0.25"/>
    <row r="185208" customFormat="1" x14ac:dyDescent="0.25"/>
    <row r="185209" customFormat="1" x14ac:dyDescent="0.25"/>
    <row r="185210" customFormat="1" x14ac:dyDescent="0.25"/>
    <row r="185211" customFormat="1" x14ac:dyDescent="0.25"/>
    <row r="185212" customFormat="1" x14ac:dyDescent="0.25"/>
    <row r="185213" customFormat="1" x14ac:dyDescent="0.25"/>
    <row r="185214" customFormat="1" x14ac:dyDescent="0.25"/>
    <row r="185215" customFormat="1" x14ac:dyDescent="0.25"/>
    <row r="185216" customFormat="1" x14ac:dyDescent="0.25"/>
    <row r="185217" customFormat="1" x14ac:dyDescent="0.25"/>
    <row r="185218" customFormat="1" x14ac:dyDescent="0.25"/>
    <row r="185219" customFormat="1" x14ac:dyDescent="0.25"/>
    <row r="185220" customFormat="1" x14ac:dyDescent="0.25"/>
    <row r="185221" customFormat="1" x14ac:dyDescent="0.25"/>
    <row r="185222" customFormat="1" x14ac:dyDescent="0.25"/>
    <row r="185223" customFormat="1" x14ac:dyDescent="0.25"/>
    <row r="185224" customFormat="1" x14ac:dyDescent="0.25"/>
    <row r="185225" customFormat="1" x14ac:dyDescent="0.25"/>
    <row r="185226" customFormat="1" x14ac:dyDescent="0.25"/>
    <row r="185227" customFormat="1" x14ac:dyDescent="0.25"/>
    <row r="185228" customFormat="1" x14ac:dyDescent="0.25"/>
    <row r="185229" customFormat="1" x14ac:dyDescent="0.25"/>
    <row r="185230" customFormat="1" x14ac:dyDescent="0.25"/>
    <row r="185231" customFormat="1" x14ac:dyDescent="0.25"/>
    <row r="185232" customFormat="1" x14ac:dyDescent="0.25"/>
    <row r="185233" customFormat="1" x14ac:dyDescent="0.25"/>
    <row r="185234" customFormat="1" x14ac:dyDescent="0.25"/>
    <row r="185235" customFormat="1" x14ac:dyDescent="0.25"/>
    <row r="185236" customFormat="1" x14ac:dyDescent="0.25"/>
    <row r="185237" customFormat="1" x14ac:dyDescent="0.25"/>
    <row r="185238" customFormat="1" x14ac:dyDescent="0.25"/>
    <row r="185239" customFormat="1" x14ac:dyDescent="0.25"/>
    <row r="185240" customFormat="1" x14ac:dyDescent="0.25"/>
    <row r="185241" customFormat="1" x14ac:dyDescent="0.25"/>
    <row r="185242" customFormat="1" x14ac:dyDescent="0.25"/>
    <row r="185243" customFormat="1" x14ac:dyDescent="0.25"/>
    <row r="185244" customFormat="1" x14ac:dyDescent="0.25"/>
    <row r="185245" customFormat="1" x14ac:dyDescent="0.25"/>
    <row r="185246" customFormat="1" x14ac:dyDescent="0.25"/>
    <row r="185247" customFormat="1" x14ac:dyDescent="0.25"/>
    <row r="185248" customFormat="1" x14ac:dyDescent="0.25"/>
    <row r="185249" customFormat="1" x14ac:dyDescent="0.25"/>
    <row r="185250" customFormat="1" x14ac:dyDescent="0.25"/>
    <row r="185251" customFormat="1" x14ac:dyDescent="0.25"/>
    <row r="185252" customFormat="1" x14ac:dyDescent="0.25"/>
    <row r="185253" customFormat="1" x14ac:dyDescent="0.25"/>
    <row r="185254" customFormat="1" x14ac:dyDescent="0.25"/>
    <row r="185255" customFormat="1" x14ac:dyDescent="0.25"/>
    <row r="185256" customFormat="1" x14ac:dyDescent="0.25"/>
    <row r="185257" customFormat="1" x14ac:dyDescent="0.25"/>
    <row r="185258" customFormat="1" x14ac:dyDescent="0.25"/>
    <row r="185259" customFormat="1" x14ac:dyDescent="0.25"/>
    <row r="185260" customFormat="1" x14ac:dyDescent="0.25"/>
    <row r="185261" customFormat="1" x14ac:dyDescent="0.25"/>
    <row r="185262" customFormat="1" x14ac:dyDescent="0.25"/>
    <row r="185263" customFormat="1" x14ac:dyDescent="0.25"/>
    <row r="185264" customFormat="1" x14ac:dyDescent="0.25"/>
    <row r="185265" customFormat="1" x14ac:dyDescent="0.25"/>
    <row r="185266" customFormat="1" x14ac:dyDescent="0.25"/>
    <row r="185267" customFormat="1" x14ac:dyDescent="0.25"/>
    <row r="185268" customFormat="1" x14ac:dyDescent="0.25"/>
    <row r="185269" customFormat="1" x14ac:dyDescent="0.25"/>
    <row r="185270" customFormat="1" x14ac:dyDescent="0.25"/>
    <row r="185271" customFormat="1" x14ac:dyDescent="0.25"/>
    <row r="185272" customFormat="1" x14ac:dyDescent="0.25"/>
    <row r="185273" customFormat="1" x14ac:dyDescent="0.25"/>
    <row r="185274" customFormat="1" x14ac:dyDescent="0.25"/>
    <row r="185275" customFormat="1" x14ac:dyDescent="0.25"/>
    <row r="185276" customFormat="1" x14ac:dyDescent="0.25"/>
    <row r="185277" customFormat="1" x14ac:dyDescent="0.25"/>
    <row r="185278" customFormat="1" x14ac:dyDescent="0.25"/>
    <row r="185279" customFormat="1" x14ac:dyDescent="0.25"/>
    <row r="185280" customFormat="1" x14ac:dyDescent="0.25"/>
    <row r="185281" customFormat="1" x14ac:dyDescent="0.25"/>
    <row r="185282" customFormat="1" x14ac:dyDescent="0.25"/>
    <row r="185283" customFormat="1" x14ac:dyDescent="0.25"/>
    <row r="185284" customFormat="1" x14ac:dyDescent="0.25"/>
    <row r="185285" customFormat="1" x14ac:dyDescent="0.25"/>
    <row r="185286" customFormat="1" x14ac:dyDescent="0.25"/>
    <row r="185287" customFormat="1" x14ac:dyDescent="0.25"/>
    <row r="185288" customFormat="1" x14ac:dyDescent="0.25"/>
    <row r="185289" customFormat="1" x14ac:dyDescent="0.25"/>
    <row r="185290" customFormat="1" x14ac:dyDescent="0.25"/>
    <row r="185291" customFormat="1" x14ac:dyDescent="0.25"/>
    <row r="185292" customFormat="1" x14ac:dyDescent="0.25"/>
    <row r="185293" customFormat="1" x14ac:dyDescent="0.25"/>
    <row r="185294" customFormat="1" x14ac:dyDescent="0.25"/>
    <row r="185295" customFormat="1" x14ac:dyDescent="0.25"/>
    <row r="185296" customFormat="1" x14ac:dyDescent="0.25"/>
    <row r="185297" customFormat="1" x14ac:dyDescent="0.25"/>
    <row r="185298" customFormat="1" x14ac:dyDescent="0.25"/>
    <row r="185299" customFormat="1" x14ac:dyDescent="0.25"/>
    <row r="185300" customFormat="1" x14ac:dyDescent="0.25"/>
    <row r="185301" customFormat="1" x14ac:dyDescent="0.25"/>
    <row r="185302" customFormat="1" x14ac:dyDescent="0.25"/>
    <row r="185303" customFormat="1" x14ac:dyDescent="0.25"/>
    <row r="185304" customFormat="1" x14ac:dyDescent="0.25"/>
    <row r="185305" customFormat="1" x14ac:dyDescent="0.25"/>
    <row r="185306" customFormat="1" x14ac:dyDescent="0.25"/>
    <row r="185307" customFormat="1" x14ac:dyDescent="0.25"/>
    <row r="185308" customFormat="1" x14ac:dyDescent="0.25"/>
    <row r="185309" customFormat="1" x14ac:dyDescent="0.25"/>
    <row r="185310" customFormat="1" x14ac:dyDescent="0.25"/>
    <row r="185311" customFormat="1" x14ac:dyDescent="0.25"/>
    <row r="185312" customFormat="1" x14ac:dyDescent="0.25"/>
    <row r="185313" customFormat="1" x14ac:dyDescent="0.25"/>
    <row r="185314" customFormat="1" x14ac:dyDescent="0.25"/>
    <row r="185315" customFormat="1" x14ac:dyDescent="0.25"/>
    <row r="185316" customFormat="1" x14ac:dyDescent="0.25"/>
    <row r="185317" customFormat="1" x14ac:dyDescent="0.25"/>
    <row r="185318" customFormat="1" x14ac:dyDescent="0.25"/>
    <row r="185319" customFormat="1" x14ac:dyDescent="0.25"/>
    <row r="185320" customFormat="1" x14ac:dyDescent="0.25"/>
    <row r="185321" customFormat="1" x14ac:dyDescent="0.25"/>
    <row r="185322" customFormat="1" x14ac:dyDescent="0.25"/>
    <row r="185323" customFormat="1" x14ac:dyDescent="0.25"/>
    <row r="185324" customFormat="1" x14ac:dyDescent="0.25"/>
    <row r="185325" customFormat="1" x14ac:dyDescent="0.25"/>
    <row r="185326" customFormat="1" x14ac:dyDescent="0.25"/>
    <row r="185327" customFormat="1" x14ac:dyDescent="0.25"/>
    <row r="185328" customFormat="1" x14ac:dyDescent="0.25"/>
    <row r="185329" customFormat="1" x14ac:dyDescent="0.25"/>
    <row r="185330" customFormat="1" x14ac:dyDescent="0.25"/>
    <row r="185331" customFormat="1" x14ac:dyDescent="0.25"/>
    <row r="185332" customFormat="1" x14ac:dyDescent="0.25"/>
    <row r="185333" customFormat="1" x14ac:dyDescent="0.25"/>
    <row r="185334" customFormat="1" x14ac:dyDescent="0.25"/>
    <row r="185335" customFormat="1" x14ac:dyDescent="0.25"/>
    <row r="185336" customFormat="1" x14ac:dyDescent="0.25"/>
    <row r="185337" customFormat="1" x14ac:dyDescent="0.25"/>
    <row r="185338" customFormat="1" x14ac:dyDescent="0.25"/>
    <row r="185339" customFormat="1" x14ac:dyDescent="0.25"/>
    <row r="185340" customFormat="1" x14ac:dyDescent="0.25"/>
    <row r="185341" customFormat="1" x14ac:dyDescent="0.25"/>
    <row r="185342" customFormat="1" x14ac:dyDescent="0.25"/>
    <row r="185343" customFormat="1" x14ac:dyDescent="0.25"/>
    <row r="185344" customFormat="1" x14ac:dyDescent="0.25"/>
    <row r="185345" customFormat="1" x14ac:dyDescent="0.25"/>
    <row r="185346" customFormat="1" x14ac:dyDescent="0.25"/>
    <row r="185347" customFormat="1" x14ac:dyDescent="0.25"/>
    <row r="185348" customFormat="1" x14ac:dyDescent="0.25"/>
    <row r="185349" customFormat="1" x14ac:dyDescent="0.25"/>
    <row r="185350" customFormat="1" x14ac:dyDescent="0.25"/>
    <row r="185351" customFormat="1" x14ac:dyDescent="0.25"/>
    <row r="185352" customFormat="1" x14ac:dyDescent="0.25"/>
    <row r="185353" customFormat="1" x14ac:dyDescent="0.25"/>
    <row r="185354" customFormat="1" x14ac:dyDescent="0.25"/>
    <row r="185355" customFormat="1" x14ac:dyDescent="0.25"/>
    <row r="185356" customFormat="1" x14ac:dyDescent="0.25"/>
    <row r="185357" customFormat="1" x14ac:dyDescent="0.25"/>
    <row r="185358" customFormat="1" x14ac:dyDescent="0.25"/>
    <row r="185359" customFormat="1" x14ac:dyDescent="0.25"/>
    <row r="185360" customFormat="1" x14ac:dyDescent="0.25"/>
    <row r="185361" customFormat="1" x14ac:dyDescent="0.25"/>
    <row r="185362" customFormat="1" x14ac:dyDescent="0.25"/>
    <row r="185363" customFormat="1" x14ac:dyDescent="0.25"/>
    <row r="185364" customFormat="1" x14ac:dyDescent="0.25"/>
    <row r="185365" customFormat="1" x14ac:dyDescent="0.25"/>
    <row r="185366" customFormat="1" x14ac:dyDescent="0.25"/>
    <row r="185367" customFormat="1" x14ac:dyDescent="0.25"/>
    <row r="185368" customFormat="1" x14ac:dyDescent="0.25"/>
    <row r="185369" customFormat="1" x14ac:dyDescent="0.25"/>
    <row r="185370" customFormat="1" x14ac:dyDescent="0.25"/>
    <row r="185371" customFormat="1" x14ac:dyDescent="0.25"/>
    <row r="185372" customFormat="1" x14ac:dyDescent="0.25"/>
    <row r="185373" customFormat="1" x14ac:dyDescent="0.25"/>
    <row r="185374" customFormat="1" x14ac:dyDescent="0.25"/>
    <row r="185375" customFormat="1" x14ac:dyDescent="0.25"/>
    <row r="185376" customFormat="1" x14ac:dyDescent="0.25"/>
    <row r="185377" customFormat="1" x14ac:dyDescent="0.25"/>
    <row r="185378" customFormat="1" x14ac:dyDescent="0.25"/>
    <row r="185379" customFormat="1" x14ac:dyDescent="0.25"/>
    <row r="185380" customFormat="1" x14ac:dyDescent="0.25"/>
    <row r="185381" customFormat="1" x14ac:dyDescent="0.25"/>
    <row r="185382" customFormat="1" x14ac:dyDescent="0.25"/>
    <row r="185383" customFormat="1" x14ac:dyDescent="0.25"/>
    <row r="185384" customFormat="1" x14ac:dyDescent="0.25"/>
    <row r="185385" customFormat="1" x14ac:dyDescent="0.25"/>
    <row r="185386" customFormat="1" x14ac:dyDescent="0.25"/>
    <row r="185387" customFormat="1" x14ac:dyDescent="0.25"/>
    <row r="185388" customFormat="1" x14ac:dyDescent="0.25"/>
    <row r="185389" customFormat="1" x14ac:dyDescent="0.25"/>
    <row r="185390" customFormat="1" x14ac:dyDescent="0.25"/>
    <row r="185391" customFormat="1" x14ac:dyDescent="0.25"/>
    <row r="185392" customFormat="1" x14ac:dyDescent="0.25"/>
    <row r="185393" customFormat="1" x14ac:dyDescent="0.25"/>
    <row r="185394" customFormat="1" x14ac:dyDescent="0.25"/>
    <row r="185395" customFormat="1" x14ac:dyDescent="0.25"/>
    <row r="185396" customFormat="1" x14ac:dyDescent="0.25"/>
    <row r="185397" customFormat="1" x14ac:dyDescent="0.25"/>
    <row r="185398" customFormat="1" x14ac:dyDescent="0.25"/>
    <row r="185399" customFormat="1" x14ac:dyDescent="0.25"/>
    <row r="185400" customFormat="1" x14ac:dyDescent="0.25"/>
    <row r="185401" customFormat="1" x14ac:dyDescent="0.25"/>
    <row r="185402" customFormat="1" x14ac:dyDescent="0.25"/>
    <row r="185403" customFormat="1" x14ac:dyDescent="0.25"/>
    <row r="185404" customFormat="1" x14ac:dyDescent="0.25"/>
    <row r="185405" customFormat="1" x14ac:dyDescent="0.25"/>
    <row r="185406" customFormat="1" x14ac:dyDescent="0.25"/>
    <row r="185407" customFormat="1" x14ac:dyDescent="0.25"/>
    <row r="185408" customFormat="1" x14ac:dyDescent="0.25"/>
    <row r="185409" customFormat="1" x14ac:dyDescent="0.25"/>
    <row r="185410" customFormat="1" x14ac:dyDescent="0.25"/>
    <row r="185411" customFormat="1" x14ac:dyDescent="0.25"/>
    <row r="185412" customFormat="1" x14ac:dyDescent="0.25"/>
    <row r="185413" customFormat="1" x14ac:dyDescent="0.25"/>
    <row r="185414" customFormat="1" x14ac:dyDescent="0.25"/>
    <row r="185415" customFormat="1" x14ac:dyDescent="0.25"/>
    <row r="185416" customFormat="1" x14ac:dyDescent="0.25"/>
    <row r="185417" customFormat="1" x14ac:dyDescent="0.25"/>
    <row r="185418" customFormat="1" x14ac:dyDescent="0.25"/>
    <row r="185419" customFormat="1" x14ac:dyDescent="0.25"/>
    <row r="185420" customFormat="1" x14ac:dyDescent="0.25"/>
    <row r="185421" customFormat="1" x14ac:dyDescent="0.25"/>
    <row r="185422" customFormat="1" x14ac:dyDescent="0.25"/>
    <row r="185423" customFormat="1" x14ac:dyDescent="0.25"/>
    <row r="185424" customFormat="1" x14ac:dyDescent="0.25"/>
    <row r="185425" customFormat="1" x14ac:dyDescent="0.25"/>
    <row r="185426" customFormat="1" x14ac:dyDescent="0.25"/>
    <row r="185427" customFormat="1" x14ac:dyDescent="0.25"/>
    <row r="185428" customFormat="1" x14ac:dyDescent="0.25"/>
    <row r="185429" customFormat="1" x14ac:dyDescent="0.25"/>
    <row r="185430" customFormat="1" x14ac:dyDescent="0.25"/>
    <row r="185431" customFormat="1" x14ac:dyDescent="0.25"/>
    <row r="185432" customFormat="1" x14ac:dyDescent="0.25"/>
    <row r="185433" customFormat="1" x14ac:dyDescent="0.25"/>
    <row r="185434" customFormat="1" x14ac:dyDescent="0.25"/>
    <row r="185435" customFormat="1" x14ac:dyDescent="0.25"/>
    <row r="185436" customFormat="1" x14ac:dyDescent="0.25"/>
    <row r="185437" customFormat="1" x14ac:dyDescent="0.25"/>
    <row r="185438" customFormat="1" x14ac:dyDescent="0.25"/>
    <row r="185439" customFormat="1" x14ac:dyDescent="0.25"/>
    <row r="185440" customFormat="1" x14ac:dyDescent="0.25"/>
    <row r="185441" customFormat="1" x14ac:dyDescent="0.25"/>
    <row r="185442" customFormat="1" x14ac:dyDescent="0.25"/>
    <row r="185443" customFormat="1" x14ac:dyDescent="0.25"/>
    <row r="185444" customFormat="1" x14ac:dyDescent="0.25"/>
    <row r="185445" customFormat="1" x14ac:dyDescent="0.25"/>
    <row r="185446" customFormat="1" x14ac:dyDescent="0.25"/>
    <row r="185447" customFormat="1" x14ac:dyDescent="0.25"/>
    <row r="185448" customFormat="1" x14ac:dyDescent="0.25"/>
    <row r="185449" customFormat="1" x14ac:dyDescent="0.25"/>
    <row r="185450" customFormat="1" x14ac:dyDescent="0.25"/>
    <row r="185451" customFormat="1" x14ac:dyDescent="0.25"/>
    <row r="185452" customFormat="1" x14ac:dyDescent="0.25"/>
    <row r="185453" customFormat="1" x14ac:dyDescent="0.25"/>
    <row r="185454" customFormat="1" x14ac:dyDescent="0.25"/>
    <row r="185455" customFormat="1" x14ac:dyDescent="0.25"/>
    <row r="185456" customFormat="1" x14ac:dyDescent="0.25"/>
    <row r="185457" customFormat="1" x14ac:dyDescent="0.25"/>
    <row r="185458" customFormat="1" x14ac:dyDescent="0.25"/>
    <row r="185459" customFormat="1" x14ac:dyDescent="0.25"/>
    <row r="185460" customFormat="1" x14ac:dyDescent="0.25"/>
    <row r="185461" customFormat="1" x14ac:dyDescent="0.25"/>
    <row r="185462" customFormat="1" x14ac:dyDescent="0.25"/>
    <row r="185463" customFormat="1" x14ac:dyDescent="0.25"/>
    <row r="185464" customFormat="1" x14ac:dyDescent="0.25"/>
    <row r="185465" customFormat="1" x14ac:dyDescent="0.25"/>
    <row r="185466" customFormat="1" x14ac:dyDescent="0.25"/>
    <row r="185467" customFormat="1" x14ac:dyDescent="0.25"/>
    <row r="185468" customFormat="1" x14ac:dyDescent="0.25"/>
    <row r="185469" customFormat="1" x14ac:dyDescent="0.25"/>
    <row r="185470" customFormat="1" x14ac:dyDescent="0.25"/>
    <row r="185471" customFormat="1" x14ac:dyDescent="0.25"/>
    <row r="185472" customFormat="1" x14ac:dyDescent="0.25"/>
    <row r="185473" customFormat="1" x14ac:dyDescent="0.25"/>
    <row r="185474" customFormat="1" x14ac:dyDescent="0.25"/>
    <row r="185475" customFormat="1" x14ac:dyDescent="0.25"/>
    <row r="185476" customFormat="1" x14ac:dyDescent="0.25"/>
    <row r="185477" customFormat="1" x14ac:dyDescent="0.25"/>
    <row r="185478" customFormat="1" x14ac:dyDescent="0.25"/>
    <row r="185479" customFormat="1" x14ac:dyDescent="0.25"/>
    <row r="185480" customFormat="1" x14ac:dyDescent="0.25"/>
    <row r="185481" customFormat="1" x14ac:dyDescent="0.25"/>
    <row r="185482" customFormat="1" x14ac:dyDescent="0.25"/>
    <row r="185483" customFormat="1" x14ac:dyDescent="0.25"/>
    <row r="185484" customFormat="1" x14ac:dyDescent="0.25"/>
    <row r="185485" customFormat="1" x14ac:dyDescent="0.25"/>
    <row r="185486" customFormat="1" x14ac:dyDescent="0.25"/>
    <row r="185487" customFormat="1" x14ac:dyDescent="0.25"/>
    <row r="185488" customFormat="1" x14ac:dyDescent="0.25"/>
    <row r="185489" customFormat="1" x14ac:dyDescent="0.25"/>
    <row r="185490" customFormat="1" x14ac:dyDescent="0.25"/>
    <row r="185491" customFormat="1" x14ac:dyDescent="0.25"/>
    <row r="185492" customFormat="1" x14ac:dyDescent="0.25"/>
    <row r="185493" customFormat="1" x14ac:dyDescent="0.25"/>
    <row r="185494" customFormat="1" x14ac:dyDescent="0.25"/>
    <row r="185495" customFormat="1" x14ac:dyDescent="0.25"/>
    <row r="185496" customFormat="1" x14ac:dyDescent="0.25"/>
    <row r="185497" customFormat="1" x14ac:dyDescent="0.25"/>
    <row r="185498" customFormat="1" x14ac:dyDescent="0.25"/>
    <row r="185499" customFormat="1" x14ac:dyDescent="0.25"/>
    <row r="185500" customFormat="1" x14ac:dyDescent="0.25"/>
    <row r="185501" customFormat="1" x14ac:dyDescent="0.25"/>
    <row r="185502" customFormat="1" x14ac:dyDescent="0.25"/>
    <row r="185503" customFormat="1" x14ac:dyDescent="0.25"/>
    <row r="185504" customFormat="1" x14ac:dyDescent="0.25"/>
    <row r="185505" customFormat="1" x14ac:dyDescent="0.25"/>
    <row r="185506" customFormat="1" x14ac:dyDescent="0.25"/>
    <row r="185507" customFormat="1" x14ac:dyDescent="0.25"/>
    <row r="185508" customFormat="1" x14ac:dyDescent="0.25"/>
    <row r="185509" customFormat="1" x14ac:dyDescent="0.25"/>
    <row r="185510" customFormat="1" x14ac:dyDescent="0.25"/>
    <row r="185511" customFormat="1" x14ac:dyDescent="0.25"/>
    <row r="185512" customFormat="1" x14ac:dyDescent="0.25"/>
    <row r="185513" customFormat="1" x14ac:dyDescent="0.25"/>
    <row r="185514" customFormat="1" x14ac:dyDescent="0.25"/>
    <row r="185515" customFormat="1" x14ac:dyDescent="0.25"/>
    <row r="185516" customFormat="1" x14ac:dyDescent="0.25"/>
    <row r="185517" customFormat="1" x14ac:dyDescent="0.25"/>
    <row r="185518" customFormat="1" x14ac:dyDescent="0.25"/>
    <row r="185519" customFormat="1" x14ac:dyDescent="0.25"/>
    <row r="185520" customFormat="1" x14ac:dyDescent="0.25"/>
    <row r="185521" customFormat="1" x14ac:dyDescent="0.25"/>
    <row r="185522" customFormat="1" x14ac:dyDescent="0.25"/>
    <row r="185523" customFormat="1" x14ac:dyDescent="0.25"/>
    <row r="185524" customFormat="1" x14ac:dyDescent="0.25"/>
    <row r="185525" customFormat="1" x14ac:dyDescent="0.25"/>
    <row r="185526" customFormat="1" x14ac:dyDescent="0.25"/>
    <row r="185527" customFormat="1" x14ac:dyDescent="0.25"/>
    <row r="185528" customFormat="1" x14ac:dyDescent="0.25"/>
    <row r="185529" customFormat="1" x14ac:dyDescent="0.25"/>
    <row r="185530" customFormat="1" x14ac:dyDescent="0.25"/>
    <row r="185531" customFormat="1" x14ac:dyDescent="0.25"/>
    <row r="185532" customFormat="1" x14ac:dyDescent="0.25"/>
    <row r="185533" customFormat="1" x14ac:dyDescent="0.25"/>
    <row r="185534" customFormat="1" x14ac:dyDescent="0.25"/>
    <row r="185535" customFormat="1" x14ac:dyDescent="0.25"/>
    <row r="185536" customFormat="1" x14ac:dyDescent="0.25"/>
    <row r="185537" customFormat="1" x14ac:dyDescent="0.25"/>
    <row r="185538" customFormat="1" x14ac:dyDescent="0.25"/>
    <row r="185539" customFormat="1" x14ac:dyDescent="0.25"/>
    <row r="185540" customFormat="1" x14ac:dyDescent="0.25"/>
    <row r="185541" customFormat="1" x14ac:dyDescent="0.25"/>
    <row r="185542" customFormat="1" x14ac:dyDescent="0.25"/>
    <row r="185543" customFormat="1" x14ac:dyDescent="0.25"/>
    <row r="185544" customFormat="1" x14ac:dyDescent="0.25"/>
    <row r="185545" customFormat="1" x14ac:dyDescent="0.25"/>
    <row r="185546" customFormat="1" x14ac:dyDescent="0.25"/>
    <row r="185547" customFormat="1" x14ac:dyDescent="0.25"/>
    <row r="185548" customFormat="1" x14ac:dyDescent="0.25"/>
    <row r="185549" customFormat="1" x14ac:dyDescent="0.25"/>
    <row r="185550" customFormat="1" x14ac:dyDescent="0.25"/>
    <row r="185551" customFormat="1" x14ac:dyDescent="0.25"/>
    <row r="185552" customFormat="1" x14ac:dyDescent="0.25"/>
    <row r="185553" customFormat="1" x14ac:dyDescent="0.25"/>
    <row r="185554" customFormat="1" x14ac:dyDescent="0.25"/>
    <row r="185555" customFormat="1" x14ac:dyDescent="0.25"/>
    <row r="185556" customFormat="1" x14ac:dyDescent="0.25"/>
    <row r="185557" customFormat="1" x14ac:dyDescent="0.25"/>
    <row r="185558" customFormat="1" x14ac:dyDescent="0.25"/>
    <row r="185559" customFormat="1" x14ac:dyDescent="0.25"/>
    <row r="185560" customFormat="1" x14ac:dyDescent="0.25"/>
    <row r="185561" customFormat="1" x14ac:dyDescent="0.25"/>
    <row r="185562" customFormat="1" x14ac:dyDescent="0.25"/>
    <row r="185563" customFormat="1" x14ac:dyDescent="0.25"/>
    <row r="185564" customFormat="1" x14ac:dyDescent="0.25"/>
    <row r="185565" customFormat="1" x14ac:dyDescent="0.25"/>
    <row r="185566" customFormat="1" x14ac:dyDescent="0.25"/>
    <row r="185567" customFormat="1" x14ac:dyDescent="0.25"/>
    <row r="185568" customFormat="1" x14ac:dyDescent="0.25"/>
    <row r="185569" customFormat="1" x14ac:dyDescent="0.25"/>
    <row r="185570" customFormat="1" x14ac:dyDescent="0.25"/>
    <row r="185571" customFormat="1" x14ac:dyDescent="0.25"/>
    <row r="185572" customFormat="1" x14ac:dyDescent="0.25"/>
    <row r="185573" customFormat="1" x14ac:dyDescent="0.25"/>
    <row r="185574" customFormat="1" x14ac:dyDescent="0.25"/>
    <row r="185575" customFormat="1" x14ac:dyDescent="0.25"/>
    <row r="185576" customFormat="1" x14ac:dyDescent="0.25"/>
    <row r="185577" customFormat="1" x14ac:dyDescent="0.25"/>
    <row r="185578" customFormat="1" x14ac:dyDescent="0.25"/>
    <row r="185579" customFormat="1" x14ac:dyDescent="0.25"/>
    <row r="185580" customFormat="1" x14ac:dyDescent="0.25"/>
    <row r="185581" customFormat="1" x14ac:dyDescent="0.25"/>
    <row r="185582" customFormat="1" x14ac:dyDescent="0.25"/>
    <row r="185583" customFormat="1" x14ac:dyDescent="0.25"/>
    <row r="185584" customFormat="1" x14ac:dyDescent="0.25"/>
    <row r="185585" customFormat="1" x14ac:dyDescent="0.25"/>
    <row r="185586" customFormat="1" x14ac:dyDescent="0.25"/>
    <row r="185587" customFormat="1" x14ac:dyDescent="0.25"/>
    <row r="185588" customFormat="1" x14ac:dyDescent="0.25"/>
    <row r="185589" customFormat="1" x14ac:dyDescent="0.25"/>
    <row r="185590" customFormat="1" x14ac:dyDescent="0.25"/>
    <row r="185591" customFormat="1" x14ac:dyDescent="0.25"/>
    <row r="185592" customFormat="1" x14ac:dyDescent="0.25"/>
    <row r="185593" customFormat="1" x14ac:dyDescent="0.25"/>
    <row r="185594" customFormat="1" x14ac:dyDescent="0.25"/>
    <row r="185595" customFormat="1" x14ac:dyDescent="0.25"/>
    <row r="185596" customFormat="1" x14ac:dyDescent="0.25"/>
    <row r="185597" customFormat="1" x14ac:dyDescent="0.25"/>
    <row r="185598" customFormat="1" x14ac:dyDescent="0.25"/>
    <row r="185599" customFormat="1" x14ac:dyDescent="0.25"/>
    <row r="185600" customFormat="1" x14ac:dyDescent="0.25"/>
    <row r="185601" customFormat="1" x14ac:dyDescent="0.25"/>
    <row r="185602" customFormat="1" x14ac:dyDescent="0.25"/>
    <row r="185603" customFormat="1" x14ac:dyDescent="0.25"/>
    <row r="185604" customFormat="1" x14ac:dyDescent="0.25"/>
    <row r="185605" customFormat="1" x14ac:dyDescent="0.25"/>
    <row r="185606" customFormat="1" x14ac:dyDescent="0.25"/>
    <row r="185607" customFormat="1" x14ac:dyDescent="0.25"/>
    <row r="185608" customFormat="1" x14ac:dyDescent="0.25"/>
    <row r="185609" customFormat="1" x14ac:dyDescent="0.25"/>
    <row r="185610" customFormat="1" x14ac:dyDescent="0.25"/>
    <row r="185611" customFormat="1" x14ac:dyDescent="0.25"/>
    <row r="185612" customFormat="1" x14ac:dyDescent="0.25"/>
    <row r="185613" customFormat="1" x14ac:dyDescent="0.25"/>
    <row r="185614" customFormat="1" x14ac:dyDescent="0.25"/>
    <row r="185615" customFormat="1" x14ac:dyDescent="0.25"/>
    <row r="185616" customFormat="1" x14ac:dyDescent="0.25"/>
    <row r="185617" customFormat="1" x14ac:dyDescent="0.25"/>
    <row r="185618" customFormat="1" x14ac:dyDescent="0.25"/>
    <row r="185619" customFormat="1" x14ac:dyDescent="0.25"/>
    <row r="185620" customFormat="1" x14ac:dyDescent="0.25"/>
    <row r="185621" customFormat="1" x14ac:dyDescent="0.25"/>
    <row r="185622" customFormat="1" x14ac:dyDescent="0.25"/>
    <row r="185623" customFormat="1" x14ac:dyDescent="0.25"/>
    <row r="185624" customFormat="1" x14ac:dyDescent="0.25"/>
    <row r="185625" customFormat="1" x14ac:dyDescent="0.25"/>
    <row r="185626" customFormat="1" x14ac:dyDescent="0.25"/>
    <row r="185627" customFormat="1" x14ac:dyDescent="0.25"/>
    <row r="185628" customFormat="1" x14ac:dyDescent="0.25"/>
    <row r="185629" customFormat="1" x14ac:dyDescent="0.25"/>
    <row r="185630" customFormat="1" x14ac:dyDescent="0.25"/>
    <row r="185631" customFormat="1" x14ac:dyDescent="0.25"/>
    <row r="185632" customFormat="1" x14ac:dyDescent="0.25"/>
    <row r="185633" customFormat="1" x14ac:dyDescent="0.25"/>
    <row r="185634" customFormat="1" x14ac:dyDescent="0.25"/>
    <row r="185635" customFormat="1" x14ac:dyDescent="0.25"/>
    <row r="185636" customFormat="1" x14ac:dyDescent="0.25"/>
    <row r="185637" customFormat="1" x14ac:dyDescent="0.25"/>
    <row r="185638" customFormat="1" x14ac:dyDescent="0.25"/>
    <row r="185639" customFormat="1" x14ac:dyDescent="0.25"/>
    <row r="185640" customFormat="1" x14ac:dyDescent="0.25"/>
    <row r="185641" customFormat="1" x14ac:dyDescent="0.25"/>
    <row r="185642" customFormat="1" x14ac:dyDescent="0.25"/>
    <row r="185643" customFormat="1" x14ac:dyDescent="0.25"/>
    <row r="185644" customFormat="1" x14ac:dyDescent="0.25"/>
    <row r="185645" customFormat="1" x14ac:dyDescent="0.25"/>
    <row r="185646" customFormat="1" x14ac:dyDescent="0.25"/>
    <row r="185647" customFormat="1" x14ac:dyDescent="0.25"/>
    <row r="185648" customFormat="1" x14ac:dyDescent="0.25"/>
    <row r="185649" customFormat="1" x14ac:dyDescent="0.25"/>
    <row r="185650" customFormat="1" x14ac:dyDescent="0.25"/>
    <row r="185651" customFormat="1" x14ac:dyDescent="0.25"/>
    <row r="185652" customFormat="1" x14ac:dyDescent="0.25"/>
    <row r="185653" customFormat="1" x14ac:dyDescent="0.25"/>
    <row r="185654" customFormat="1" x14ac:dyDescent="0.25"/>
    <row r="185655" customFormat="1" x14ac:dyDescent="0.25"/>
    <row r="185656" customFormat="1" x14ac:dyDescent="0.25"/>
    <row r="185657" customFormat="1" x14ac:dyDescent="0.25"/>
    <row r="185658" customFormat="1" x14ac:dyDescent="0.25"/>
    <row r="185659" customFormat="1" x14ac:dyDescent="0.25"/>
    <row r="185660" customFormat="1" x14ac:dyDescent="0.25"/>
    <row r="185661" customFormat="1" x14ac:dyDescent="0.25"/>
    <row r="185662" customFormat="1" x14ac:dyDescent="0.25"/>
    <row r="185663" customFormat="1" x14ac:dyDescent="0.25"/>
    <row r="185664" customFormat="1" x14ac:dyDescent="0.25"/>
    <row r="185665" customFormat="1" x14ac:dyDescent="0.25"/>
    <row r="185666" customFormat="1" x14ac:dyDescent="0.25"/>
    <row r="185667" customFormat="1" x14ac:dyDescent="0.25"/>
    <row r="185668" customFormat="1" x14ac:dyDescent="0.25"/>
    <row r="185669" customFormat="1" x14ac:dyDescent="0.25"/>
    <row r="185670" customFormat="1" x14ac:dyDescent="0.25"/>
    <row r="185671" customFormat="1" x14ac:dyDescent="0.25"/>
    <row r="185672" customFormat="1" x14ac:dyDescent="0.25"/>
    <row r="185673" customFormat="1" x14ac:dyDescent="0.25"/>
    <row r="185674" customFormat="1" x14ac:dyDescent="0.25"/>
    <row r="185675" customFormat="1" x14ac:dyDescent="0.25"/>
    <row r="185676" customFormat="1" x14ac:dyDescent="0.25"/>
    <row r="185677" customFormat="1" x14ac:dyDescent="0.25"/>
    <row r="185678" customFormat="1" x14ac:dyDescent="0.25"/>
    <row r="185679" customFormat="1" x14ac:dyDescent="0.25"/>
    <row r="185680" customFormat="1" x14ac:dyDescent="0.25"/>
    <row r="185681" customFormat="1" x14ac:dyDescent="0.25"/>
    <row r="185682" customFormat="1" x14ac:dyDescent="0.25"/>
    <row r="185683" customFormat="1" x14ac:dyDescent="0.25"/>
    <row r="185684" customFormat="1" x14ac:dyDescent="0.25"/>
    <row r="185685" customFormat="1" x14ac:dyDescent="0.25"/>
    <row r="185686" customFormat="1" x14ac:dyDescent="0.25"/>
    <row r="185687" customFormat="1" x14ac:dyDescent="0.25"/>
    <row r="185688" customFormat="1" x14ac:dyDescent="0.25"/>
    <row r="185689" customFormat="1" x14ac:dyDescent="0.25"/>
    <row r="185690" customFormat="1" x14ac:dyDescent="0.25"/>
    <row r="185691" customFormat="1" x14ac:dyDescent="0.25"/>
    <row r="185692" customFormat="1" x14ac:dyDescent="0.25"/>
    <row r="185693" customFormat="1" x14ac:dyDescent="0.25"/>
    <row r="185694" customFormat="1" x14ac:dyDescent="0.25"/>
    <row r="185695" customFormat="1" x14ac:dyDescent="0.25"/>
    <row r="185696" customFormat="1" x14ac:dyDescent="0.25"/>
    <row r="185697" customFormat="1" x14ac:dyDescent="0.25"/>
    <row r="185698" customFormat="1" x14ac:dyDescent="0.25"/>
    <row r="185699" customFormat="1" x14ac:dyDescent="0.25"/>
    <row r="185700" customFormat="1" x14ac:dyDescent="0.25"/>
    <row r="185701" customFormat="1" x14ac:dyDescent="0.25"/>
    <row r="185702" customFormat="1" x14ac:dyDescent="0.25"/>
    <row r="185703" customFormat="1" x14ac:dyDescent="0.25"/>
    <row r="185704" customFormat="1" x14ac:dyDescent="0.25"/>
    <row r="185705" customFormat="1" x14ac:dyDescent="0.25"/>
    <row r="185706" customFormat="1" x14ac:dyDescent="0.25"/>
    <row r="185707" customFormat="1" x14ac:dyDescent="0.25"/>
    <row r="185708" customFormat="1" x14ac:dyDescent="0.25"/>
    <row r="185709" customFormat="1" x14ac:dyDescent="0.25"/>
    <row r="185710" customFormat="1" x14ac:dyDescent="0.25"/>
    <row r="185711" customFormat="1" x14ac:dyDescent="0.25"/>
    <row r="185712" customFormat="1" x14ac:dyDescent="0.25"/>
    <row r="185713" customFormat="1" x14ac:dyDescent="0.25"/>
    <row r="185714" customFormat="1" x14ac:dyDescent="0.25"/>
    <row r="185715" customFormat="1" x14ac:dyDescent="0.25"/>
    <row r="185716" customFormat="1" x14ac:dyDescent="0.25"/>
    <row r="185717" customFormat="1" x14ac:dyDescent="0.25"/>
    <row r="185718" customFormat="1" x14ac:dyDescent="0.25"/>
    <row r="185719" customFormat="1" x14ac:dyDescent="0.25"/>
    <row r="185720" customFormat="1" x14ac:dyDescent="0.25"/>
    <row r="185721" customFormat="1" x14ac:dyDescent="0.25"/>
    <row r="185722" customFormat="1" x14ac:dyDescent="0.25"/>
    <row r="185723" customFormat="1" x14ac:dyDescent="0.25"/>
    <row r="185724" customFormat="1" x14ac:dyDescent="0.25"/>
    <row r="185725" customFormat="1" x14ac:dyDescent="0.25"/>
    <row r="185726" customFormat="1" x14ac:dyDescent="0.25"/>
    <row r="185727" customFormat="1" x14ac:dyDescent="0.25"/>
    <row r="185728" customFormat="1" x14ac:dyDescent="0.25"/>
    <row r="185729" customFormat="1" x14ac:dyDescent="0.25"/>
    <row r="185730" customFormat="1" x14ac:dyDescent="0.25"/>
    <row r="185731" customFormat="1" x14ac:dyDescent="0.25"/>
    <row r="185732" customFormat="1" x14ac:dyDescent="0.25"/>
    <row r="185733" customFormat="1" x14ac:dyDescent="0.25"/>
    <row r="185734" customFormat="1" x14ac:dyDescent="0.25"/>
    <row r="185735" customFormat="1" x14ac:dyDescent="0.25"/>
    <row r="185736" customFormat="1" x14ac:dyDescent="0.25"/>
    <row r="185737" customFormat="1" x14ac:dyDescent="0.25"/>
    <row r="185738" customFormat="1" x14ac:dyDescent="0.25"/>
    <row r="185739" customFormat="1" x14ac:dyDescent="0.25"/>
    <row r="185740" customFormat="1" x14ac:dyDescent="0.25"/>
    <row r="185741" customFormat="1" x14ac:dyDescent="0.25"/>
    <row r="185742" customFormat="1" x14ac:dyDescent="0.25"/>
    <row r="185743" customFormat="1" x14ac:dyDescent="0.25"/>
    <row r="185744" customFormat="1" x14ac:dyDescent="0.25"/>
    <row r="185745" customFormat="1" x14ac:dyDescent="0.25"/>
    <row r="185746" customFormat="1" x14ac:dyDescent="0.25"/>
    <row r="185747" customFormat="1" x14ac:dyDescent="0.25"/>
    <row r="185748" customFormat="1" x14ac:dyDescent="0.25"/>
    <row r="185749" customFormat="1" x14ac:dyDescent="0.25"/>
    <row r="185750" customFormat="1" x14ac:dyDescent="0.25"/>
    <row r="185751" customFormat="1" x14ac:dyDescent="0.25"/>
    <row r="185752" customFormat="1" x14ac:dyDescent="0.25"/>
    <row r="185753" customFormat="1" x14ac:dyDescent="0.25"/>
    <row r="185754" customFormat="1" x14ac:dyDescent="0.25"/>
    <row r="185755" customFormat="1" x14ac:dyDescent="0.25"/>
    <row r="185756" customFormat="1" x14ac:dyDescent="0.25"/>
    <row r="185757" customFormat="1" x14ac:dyDescent="0.25"/>
    <row r="185758" customFormat="1" x14ac:dyDescent="0.25"/>
    <row r="185759" customFormat="1" x14ac:dyDescent="0.25"/>
    <row r="185760" customFormat="1" x14ac:dyDescent="0.25"/>
    <row r="185761" customFormat="1" x14ac:dyDescent="0.25"/>
    <row r="185762" customFormat="1" x14ac:dyDescent="0.25"/>
    <row r="185763" customFormat="1" x14ac:dyDescent="0.25"/>
    <row r="185764" customFormat="1" x14ac:dyDescent="0.25"/>
    <row r="185765" customFormat="1" x14ac:dyDescent="0.25"/>
    <row r="185766" customFormat="1" x14ac:dyDescent="0.25"/>
    <row r="185767" customFormat="1" x14ac:dyDescent="0.25"/>
    <row r="185768" customFormat="1" x14ac:dyDescent="0.25"/>
    <row r="185769" customFormat="1" x14ac:dyDescent="0.25"/>
    <row r="185770" customFormat="1" x14ac:dyDescent="0.25"/>
    <row r="185771" customFormat="1" x14ac:dyDescent="0.25"/>
    <row r="185772" customFormat="1" x14ac:dyDescent="0.25"/>
    <row r="185773" customFormat="1" x14ac:dyDescent="0.25"/>
    <row r="185774" customFormat="1" x14ac:dyDescent="0.25"/>
    <row r="185775" customFormat="1" x14ac:dyDescent="0.25"/>
    <row r="185776" customFormat="1" x14ac:dyDescent="0.25"/>
    <row r="185777" customFormat="1" x14ac:dyDescent="0.25"/>
    <row r="185778" customFormat="1" x14ac:dyDescent="0.25"/>
    <row r="185779" customFormat="1" x14ac:dyDescent="0.25"/>
    <row r="185780" customFormat="1" x14ac:dyDescent="0.25"/>
    <row r="185781" customFormat="1" x14ac:dyDescent="0.25"/>
    <row r="185782" customFormat="1" x14ac:dyDescent="0.25"/>
    <row r="185783" customFormat="1" x14ac:dyDescent="0.25"/>
    <row r="185784" customFormat="1" x14ac:dyDescent="0.25"/>
    <row r="185785" customFormat="1" x14ac:dyDescent="0.25"/>
    <row r="185786" customFormat="1" x14ac:dyDescent="0.25"/>
    <row r="185787" customFormat="1" x14ac:dyDescent="0.25"/>
    <row r="185788" customFormat="1" x14ac:dyDescent="0.25"/>
    <row r="185789" customFormat="1" x14ac:dyDescent="0.25"/>
    <row r="185790" customFormat="1" x14ac:dyDescent="0.25"/>
    <row r="185791" customFormat="1" x14ac:dyDescent="0.25"/>
    <row r="185792" customFormat="1" x14ac:dyDescent="0.25"/>
    <row r="185793" customFormat="1" x14ac:dyDescent="0.25"/>
    <row r="185794" customFormat="1" x14ac:dyDescent="0.25"/>
    <row r="185795" customFormat="1" x14ac:dyDescent="0.25"/>
    <row r="185796" customFormat="1" x14ac:dyDescent="0.25"/>
    <row r="185797" customFormat="1" x14ac:dyDescent="0.25"/>
    <row r="185798" customFormat="1" x14ac:dyDescent="0.25"/>
    <row r="185799" customFormat="1" x14ac:dyDescent="0.25"/>
    <row r="185800" customFormat="1" x14ac:dyDescent="0.25"/>
    <row r="185801" customFormat="1" x14ac:dyDescent="0.25"/>
    <row r="185802" customFormat="1" x14ac:dyDescent="0.25"/>
    <row r="185803" customFormat="1" x14ac:dyDescent="0.25"/>
    <row r="185804" customFormat="1" x14ac:dyDescent="0.25"/>
    <row r="185805" customFormat="1" x14ac:dyDescent="0.25"/>
    <row r="185806" customFormat="1" x14ac:dyDescent="0.25"/>
    <row r="185807" customFormat="1" x14ac:dyDescent="0.25"/>
    <row r="185808" customFormat="1" x14ac:dyDescent="0.25"/>
    <row r="185809" customFormat="1" x14ac:dyDescent="0.25"/>
    <row r="185810" customFormat="1" x14ac:dyDescent="0.25"/>
    <row r="185811" customFormat="1" x14ac:dyDescent="0.25"/>
    <row r="185812" customFormat="1" x14ac:dyDescent="0.25"/>
    <row r="185813" customFormat="1" x14ac:dyDescent="0.25"/>
    <row r="185814" customFormat="1" x14ac:dyDescent="0.25"/>
    <row r="185815" customFormat="1" x14ac:dyDescent="0.25"/>
    <row r="185816" customFormat="1" x14ac:dyDescent="0.25"/>
    <row r="185817" customFormat="1" x14ac:dyDescent="0.25"/>
    <row r="185818" customFormat="1" x14ac:dyDescent="0.25"/>
    <row r="185819" customFormat="1" x14ac:dyDescent="0.25"/>
    <row r="185820" customFormat="1" x14ac:dyDescent="0.25"/>
    <row r="185821" customFormat="1" x14ac:dyDescent="0.25"/>
    <row r="185822" customFormat="1" x14ac:dyDescent="0.25"/>
    <row r="185823" customFormat="1" x14ac:dyDescent="0.25"/>
    <row r="185824" customFormat="1" x14ac:dyDescent="0.25"/>
    <row r="185825" customFormat="1" x14ac:dyDescent="0.25"/>
    <row r="185826" customFormat="1" x14ac:dyDescent="0.25"/>
    <row r="185827" customFormat="1" x14ac:dyDescent="0.25"/>
    <row r="185828" customFormat="1" x14ac:dyDescent="0.25"/>
    <row r="185829" customFormat="1" x14ac:dyDescent="0.25"/>
    <row r="185830" customFormat="1" x14ac:dyDescent="0.25"/>
    <row r="185831" customFormat="1" x14ac:dyDescent="0.25"/>
    <row r="185832" customFormat="1" x14ac:dyDescent="0.25"/>
    <row r="185833" customFormat="1" x14ac:dyDescent="0.25"/>
    <row r="185834" customFormat="1" x14ac:dyDescent="0.25"/>
    <row r="185835" customFormat="1" x14ac:dyDescent="0.25"/>
    <row r="185836" customFormat="1" x14ac:dyDescent="0.25"/>
    <row r="185837" customFormat="1" x14ac:dyDescent="0.25"/>
    <row r="185838" customFormat="1" x14ac:dyDescent="0.25"/>
    <row r="185839" customFormat="1" x14ac:dyDescent="0.25"/>
    <row r="185840" customFormat="1" x14ac:dyDescent="0.25"/>
    <row r="185841" customFormat="1" x14ac:dyDescent="0.25"/>
    <row r="185842" customFormat="1" x14ac:dyDescent="0.25"/>
    <row r="185843" customFormat="1" x14ac:dyDescent="0.25"/>
    <row r="185844" customFormat="1" x14ac:dyDescent="0.25"/>
    <row r="185845" customFormat="1" x14ac:dyDescent="0.25"/>
    <row r="185846" customFormat="1" x14ac:dyDescent="0.25"/>
    <row r="185847" customFormat="1" x14ac:dyDescent="0.25"/>
    <row r="185848" customFormat="1" x14ac:dyDescent="0.25"/>
    <row r="185849" customFormat="1" x14ac:dyDescent="0.25"/>
    <row r="185850" customFormat="1" x14ac:dyDescent="0.25"/>
    <row r="185851" customFormat="1" x14ac:dyDescent="0.25"/>
    <row r="185852" customFormat="1" x14ac:dyDescent="0.25"/>
    <row r="185853" customFormat="1" x14ac:dyDescent="0.25"/>
    <row r="185854" customFormat="1" x14ac:dyDescent="0.25"/>
    <row r="185855" customFormat="1" x14ac:dyDescent="0.25"/>
    <row r="185856" customFormat="1" x14ac:dyDescent="0.25"/>
    <row r="185857" customFormat="1" x14ac:dyDescent="0.25"/>
    <row r="185858" customFormat="1" x14ac:dyDescent="0.25"/>
    <row r="185859" customFormat="1" x14ac:dyDescent="0.25"/>
    <row r="185860" customFormat="1" x14ac:dyDescent="0.25"/>
    <row r="185861" customFormat="1" x14ac:dyDescent="0.25"/>
    <row r="185862" customFormat="1" x14ac:dyDescent="0.25"/>
    <row r="185863" customFormat="1" x14ac:dyDescent="0.25"/>
    <row r="185864" customFormat="1" x14ac:dyDescent="0.25"/>
    <row r="185865" customFormat="1" x14ac:dyDescent="0.25"/>
    <row r="185866" customFormat="1" x14ac:dyDescent="0.25"/>
    <row r="185867" customFormat="1" x14ac:dyDescent="0.25"/>
    <row r="185868" customFormat="1" x14ac:dyDescent="0.25"/>
    <row r="185869" customFormat="1" x14ac:dyDescent="0.25"/>
    <row r="185870" customFormat="1" x14ac:dyDescent="0.25"/>
    <row r="185871" customFormat="1" x14ac:dyDescent="0.25"/>
    <row r="185872" customFormat="1" x14ac:dyDescent="0.25"/>
    <row r="185873" customFormat="1" x14ac:dyDescent="0.25"/>
    <row r="185874" customFormat="1" x14ac:dyDescent="0.25"/>
    <row r="185875" customFormat="1" x14ac:dyDescent="0.25"/>
    <row r="185876" customFormat="1" x14ac:dyDescent="0.25"/>
    <row r="185877" customFormat="1" x14ac:dyDescent="0.25"/>
    <row r="185878" customFormat="1" x14ac:dyDescent="0.25"/>
    <row r="185879" customFormat="1" x14ac:dyDescent="0.25"/>
    <row r="185880" customFormat="1" x14ac:dyDescent="0.25"/>
    <row r="185881" customFormat="1" x14ac:dyDescent="0.25"/>
    <row r="185882" customFormat="1" x14ac:dyDescent="0.25"/>
    <row r="185883" customFormat="1" x14ac:dyDescent="0.25"/>
    <row r="185884" customFormat="1" x14ac:dyDescent="0.25"/>
    <row r="185885" customFormat="1" x14ac:dyDescent="0.25"/>
    <row r="185886" customFormat="1" x14ac:dyDescent="0.25"/>
    <row r="185887" customFormat="1" x14ac:dyDescent="0.25"/>
    <row r="185888" customFormat="1" x14ac:dyDescent="0.25"/>
    <row r="185889" customFormat="1" x14ac:dyDescent="0.25"/>
    <row r="185890" customFormat="1" x14ac:dyDescent="0.25"/>
    <row r="185891" customFormat="1" x14ac:dyDescent="0.25"/>
    <row r="185892" customFormat="1" x14ac:dyDescent="0.25"/>
    <row r="185893" customFormat="1" x14ac:dyDescent="0.25"/>
    <row r="185894" customFormat="1" x14ac:dyDescent="0.25"/>
    <row r="185895" customFormat="1" x14ac:dyDescent="0.25"/>
    <row r="185896" customFormat="1" x14ac:dyDescent="0.25"/>
    <row r="185897" customFormat="1" x14ac:dyDescent="0.25"/>
    <row r="185898" customFormat="1" x14ac:dyDescent="0.25"/>
    <row r="185899" customFormat="1" x14ac:dyDescent="0.25"/>
    <row r="185900" customFormat="1" x14ac:dyDescent="0.25"/>
    <row r="185901" customFormat="1" x14ac:dyDescent="0.25"/>
    <row r="185902" customFormat="1" x14ac:dyDescent="0.25"/>
    <row r="185903" customFormat="1" x14ac:dyDescent="0.25"/>
    <row r="185904" customFormat="1" x14ac:dyDescent="0.25"/>
    <row r="185905" customFormat="1" x14ac:dyDescent="0.25"/>
    <row r="185906" customFormat="1" x14ac:dyDescent="0.25"/>
    <row r="185907" customFormat="1" x14ac:dyDescent="0.25"/>
    <row r="185908" customFormat="1" x14ac:dyDescent="0.25"/>
    <row r="185909" customFormat="1" x14ac:dyDescent="0.25"/>
    <row r="185910" customFormat="1" x14ac:dyDescent="0.25"/>
    <row r="185911" customFormat="1" x14ac:dyDescent="0.25"/>
    <row r="185912" customFormat="1" x14ac:dyDescent="0.25"/>
    <row r="185913" customFormat="1" x14ac:dyDescent="0.25"/>
    <row r="185914" customFormat="1" x14ac:dyDescent="0.25"/>
    <row r="185915" customFormat="1" x14ac:dyDescent="0.25"/>
    <row r="185916" customFormat="1" x14ac:dyDescent="0.25"/>
    <row r="185917" customFormat="1" x14ac:dyDescent="0.25"/>
    <row r="185918" customFormat="1" x14ac:dyDescent="0.25"/>
    <row r="185919" customFormat="1" x14ac:dyDescent="0.25"/>
    <row r="185920" customFormat="1" x14ac:dyDescent="0.25"/>
    <row r="185921" customFormat="1" x14ac:dyDescent="0.25"/>
    <row r="185922" customFormat="1" x14ac:dyDescent="0.25"/>
    <row r="185923" customFormat="1" x14ac:dyDescent="0.25"/>
    <row r="185924" customFormat="1" x14ac:dyDescent="0.25"/>
    <row r="185925" customFormat="1" x14ac:dyDescent="0.25"/>
    <row r="185926" customFormat="1" x14ac:dyDescent="0.25"/>
    <row r="185927" customFormat="1" x14ac:dyDescent="0.25"/>
    <row r="185928" customFormat="1" x14ac:dyDescent="0.25"/>
    <row r="185929" customFormat="1" x14ac:dyDescent="0.25"/>
    <row r="185930" customFormat="1" x14ac:dyDescent="0.25"/>
    <row r="185931" customFormat="1" x14ac:dyDescent="0.25"/>
    <row r="185932" customFormat="1" x14ac:dyDescent="0.25"/>
    <row r="185933" customFormat="1" x14ac:dyDescent="0.25"/>
    <row r="185934" customFormat="1" x14ac:dyDescent="0.25"/>
    <row r="185935" customFormat="1" x14ac:dyDescent="0.25"/>
    <row r="185936" customFormat="1" x14ac:dyDescent="0.25"/>
    <row r="185937" customFormat="1" x14ac:dyDescent="0.25"/>
    <row r="185938" customFormat="1" x14ac:dyDescent="0.25"/>
    <row r="185939" customFormat="1" x14ac:dyDescent="0.25"/>
    <row r="185940" customFormat="1" x14ac:dyDescent="0.25"/>
    <row r="185941" customFormat="1" x14ac:dyDescent="0.25"/>
    <row r="185942" customFormat="1" x14ac:dyDescent="0.25"/>
    <row r="185943" customFormat="1" x14ac:dyDescent="0.25"/>
    <row r="185944" customFormat="1" x14ac:dyDescent="0.25"/>
    <row r="185945" customFormat="1" x14ac:dyDescent="0.25"/>
    <row r="185946" customFormat="1" x14ac:dyDescent="0.25"/>
    <row r="185947" customFormat="1" x14ac:dyDescent="0.25"/>
    <row r="185948" customFormat="1" x14ac:dyDescent="0.25"/>
    <row r="185949" customFormat="1" x14ac:dyDescent="0.25"/>
    <row r="185950" customFormat="1" x14ac:dyDescent="0.25"/>
    <row r="185951" customFormat="1" x14ac:dyDescent="0.25"/>
    <row r="185952" customFormat="1" x14ac:dyDescent="0.25"/>
    <row r="185953" customFormat="1" x14ac:dyDescent="0.25"/>
    <row r="185954" customFormat="1" x14ac:dyDescent="0.25"/>
    <row r="185955" customFormat="1" x14ac:dyDescent="0.25"/>
    <row r="185956" customFormat="1" x14ac:dyDescent="0.25"/>
    <row r="185957" customFormat="1" x14ac:dyDescent="0.25"/>
    <row r="185958" customFormat="1" x14ac:dyDescent="0.25"/>
    <row r="185959" customFormat="1" x14ac:dyDescent="0.25"/>
    <row r="185960" customFormat="1" x14ac:dyDescent="0.25"/>
    <row r="185961" customFormat="1" x14ac:dyDescent="0.25"/>
    <row r="185962" customFormat="1" x14ac:dyDescent="0.25"/>
    <row r="185963" customFormat="1" x14ac:dyDescent="0.25"/>
    <row r="185964" customFormat="1" x14ac:dyDescent="0.25"/>
    <row r="185965" customFormat="1" x14ac:dyDescent="0.25"/>
    <row r="185966" customFormat="1" x14ac:dyDescent="0.25"/>
    <row r="185967" customFormat="1" x14ac:dyDescent="0.25"/>
    <row r="185968" customFormat="1" x14ac:dyDescent="0.25"/>
    <row r="185969" customFormat="1" x14ac:dyDescent="0.25"/>
    <row r="185970" customFormat="1" x14ac:dyDescent="0.25"/>
    <row r="185971" customFormat="1" x14ac:dyDescent="0.25"/>
    <row r="185972" customFormat="1" x14ac:dyDescent="0.25"/>
    <row r="185973" customFormat="1" x14ac:dyDescent="0.25"/>
    <row r="185974" customFormat="1" x14ac:dyDescent="0.25"/>
    <row r="185975" customFormat="1" x14ac:dyDescent="0.25"/>
    <row r="185976" customFormat="1" x14ac:dyDescent="0.25"/>
    <row r="185977" customFormat="1" x14ac:dyDescent="0.25"/>
    <row r="185978" customFormat="1" x14ac:dyDescent="0.25"/>
    <row r="185979" customFormat="1" x14ac:dyDescent="0.25"/>
    <row r="185980" customFormat="1" x14ac:dyDescent="0.25"/>
    <row r="185981" customFormat="1" x14ac:dyDescent="0.25"/>
    <row r="185982" customFormat="1" x14ac:dyDescent="0.25"/>
    <row r="185983" customFormat="1" x14ac:dyDescent="0.25"/>
    <row r="185984" customFormat="1" x14ac:dyDescent="0.25"/>
    <row r="185985" customFormat="1" x14ac:dyDescent="0.25"/>
    <row r="185986" customFormat="1" x14ac:dyDescent="0.25"/>
    <row r="185987" customFormat="1" x14ac:dyDescent="0.25"/>
    <row r="185988" customFormat="1" x14ac:dyDescent="0.25"/>
    <row r="185989" customFormat="1" x14ac:dyDescent="0.25"/>
    <row r="185990" customFormat="1" x14ac:dyDescent="0.25"/>
    <row r="185991" customFormat="1" x14ac:dyDescent="0.25"/>
    <row r="185992" customFormat="1" x14ac:dyDescent="0.25"/>
    <row r="185993" customFormat="1" x14ac:dyDescent="0.25"/>
    <row r="185994" customFormat="1" x14ac:dyDescent="0.25"/>
    <row r="185995" customFormat="1" x14ac:dyDescent="0.25"/>
    <row r="185996" customFormat="1" x14ac:dyDescent="0.25"/>
    <row r="185997" customFormat="1" x14ac:dyDescent="0.25"/>
    <row r="185998" customFormat="1" x14ac:dyDescent="0.25"/>
    <row r="185999" customFormat="1" x14ac:dyDescent="0.25"/>
    <row r="186000" customFormat="1" x14ac:dyDescent="0.25"/>
    <row r="186001" customFormat="1" x14ac:dyDescent="0.25"/>
    <row r="186002" customFormat="1" x14ac:dyDescent="0.25"/>
    <row r="186003" customFormat="1" x14ac:dyDescent="0.25"/>
    <row r="186004" customFormat="1" x14ac:dyDescent="0.25"/>
    <row r="186005" customFormat="1" x14ac:dyDescent="0.25"/>
    <row r="186006" customFormat="1" x14ac:dyDescent="0.25"/>
    <row r="186007" customFormat="1" x14ac:dyDescent="0.25"/>
    <row r="186008" customFormat="1" x14ac:dyDescent="0.25"/>
    <row r="186009" customFormat="1" x14ac:dyDescent="0.25"/>
    <row r="186010" customFormat="1" x14ac:dyDescent="0.25"/>
    <row r="186011" customFormat="1" x14ac:dyDescent="0.25"/>
    <row r="186012" customFormat="1" x14ac:dyDescent="0.25"/>
    <row r="186013" customFormat="1" x14ac:dyDescent="0.25"/>
    <row r="186014" customFormat="1" x14ac:dyDescent="0.25"/>
    <row r="186015" customFormat="1" x14ac:dyDescent="0.25"/>
    <row r="186016" customFormat="1" x14ac:dyDescent="0.25"/>
    <row r="186017" customFormat="1" x14ac:dyDescent="0.25"/>
    <row r="186018" customFormat="1" x14ac:dyDescent="0.25"/>
    <row r="186019" customFormat="1" x14ac:dyDescent="0.25"/>
    <row r="186020" customFormat="1" x14ac:dyDescent="0.25"/>
    <row r="186021" customFormat="1" x14ac:dyDescent="0.25"/>
    <row r="186022" customFormat="1" x14ac:dyDescent="0.25"/>
    <row r="186023" customFormat="1" x14ac:dyDescent="0.25"/>
    <row r="186024" customFormat="1" x14ac:dyDescent="0.25"/>
    <row r="186025" customFormat="1" x14ac:dyDescent="0.25"/>
    <row r="186026" customFormat="1" x14ac:dyDescent="0.25"/>
    <row r="186027" customFormat="1" x14ac:dyDescent="0.25"/>
    <row r="186028" customFormat="1" x14ac:dyDescent="0.25"/>
    <row r="186029" customFormat="1" x14ac:dyDescent="0.25"/>
    <row r="186030" customFormat="1" x14ac:dyDescent="0.25"/>
    <row r="186031" customFormat="1" x14ac:dyDescent="0.25"/>
    <row r="186032" customFormat="1" x14ac:dyDescent="0.25"/>
    <row r="186033" customFormat="1" x14ac:dyDescent="0.25"/>
    <row r="186034" customFormat="1" x14ac:dyDescent="0.25"/>
    <row r="186035" customFormat="1" x14ac:dyDescent="0.25"/>
    <row r="186036" customFormat="1" x14ac:dyDescent="0.25"/>
    <row r="186037" customFormat="1" x14ac:dyDescent="0.25"/>
    <row r="186038" customFormat="1" x14ac:dyDescent="0.25"/>
    <row r="186039" customFormat="1" x14ac:dyDescent="0.25"/>
    <row r="186040" customFormat="1" x14ac:dyDescent="0.25"/>
    <row r="186041" customFormat="1" x14ac:dyDescent="0.25"/>
    <row r="186042" customFormat="1" x14ac:dyDescent="0.25"/>
    <row r="186043" customFormat="1" x14ac:dyDescent="0.25"/>
    <row r="186044" customFormat="1" x14ac:dyDescent="0.25"/>
    <row r="186045" customFormat="1" x14ac:dyDescent="0.25"/>
    <row r="186046" customFormat="1" x14ac:dyDescent="0.25"/>
    <row r="186047" customFormat="1" x14ac:dyDescent="0.25"/>
    <row r="186048" customFormat="1" x14ac:dyDescent="0.25"/>
    <row r="186049" customFormat="1" x14ac:dyDescent="0.25"/>
    <row r="186050" customFormat="1" x14ac:dyDescent="0.25"/>
    <row r="186051" customFormat="1" x14ac:dyDescent="0.25"/>
    <row r="186052" customFormat="1" x14ac:dyDescent="0.25"/>
    <row r="186053" customFormat="1" x14ac:dyDescent="0.25"/>
    <row r="186054" customFormat="1" x14ac:dyDescent="0.25"/>
    <row r="186055" customFormat="1" x14ac:dyDescent="0.25"/>
    <row r="186056" customFormat="1" x14ac:dyDescent="0.25"/>
    <row r="186057" customFormat="1" x14ac:dyDescent="0.25"/>
    <row r="186058" customFormat="1" x14ac:dyDescent="0.25"/>
    <row r="186059" customFormat="1" x14ac:dyDescent="0.25"/>
    <row r="186060" customFormat="1" x14ac:dyDescent="0.25"/>
    <row r="186061" customFormat="1" x14ac:dyDescent="0.25"/>
    <row r="186062" customFormat="1" x14ac:dyDescent="0.25"/>
    <row r="186063" customFormat="1" x14ac:dyDescent="0.25"/>
    <row r="186064" customFormat="1" x14ac:dyDescent="0.25"/>
    <row r="186065" customFormat="1" x14ac:dyDescent="0.25"/>
    <row r="186066" customFormat="1" x14ac:dyDescent="0.25"/>
    <row r="186067" customFormat="1" x14ac:dyDescent="0.25"/>
    <row r="186068" customFormat="1" x14ac:dyDescent="0.25"/>
    <row r="186069" customFormat="1" x14ac:dyDescent="0.25"/>
    <row r="186070" customFormat="1" x14ac:dyDescent="0.25"/>
    <row r="186071" customFormat="1" x14ac:dyDescent="0.25"/>
    <row r="186072" customFormat="1" x14ac:dyDescent="0.25"/>
    <row r="186073" customFormat="1" x14ac:dyDescent="0.25"/>
    <row r="186074" customFormat="1" x14ac:dyDescent="0.25"/>
    <row r="186075" customFormat="1" x14ac:dyDescent="0.25"/>
    <row r="186076" customFormat="1" x14ac:dyDescent="0.25"/>
    <row r="186077" customFormat="1" x14ac:dyDescent="0.25"/>
    <row r="186078" customFormat="1" x14ac:dyDescent="0.25"/>
    <row r="186079" customFormat="1" x14ac:dyDescent="0.25"/>
    <row r="186080" customFormat="1" x14ac:dyDescent="0.25"/>
    <row r="186081" customFormat="1" x14ac:dyDescent="0.25"/>
    <row r="186082" customFormat="1" x14ac:dyDescent="0.25"/>
    <row r="186083" customFormat="1" x14ac:dyDescent="0.25"/>
    <row r="186084" customFormat="1" x14ac:dyDescent="0.25"/>
    <row r="186085" customFormat="1" x14ac:dyDescent="0.25"/>
    <row r="186086" customFormat="1" x14ac:dyDescent="0.25"/>
    <row r="186087" customFormat="1" x14ac:dyDescent="0.25"/>
    <row r="186088" customFormat="1" x14ac:dyDescent="0.25"/>
    <row r="186089" customFormat="1" x14ac:dyDescent="0.25"/>
    <row r="186090" customFormat="1" x14ac:dyDescent="0.25"/>
    <row r="186091" customFormat="1" x14ac:dyDescent="0.25"/>
    <row r="186092" customFormat="1" x14ac:dyDescent="0.25"/>
    <row r="186093" customFormat="1" x14ac:dyDescent="0.25"/>
    <row r="186094" customFormat="1" x14ac:dyDescent="0.25"/>
    <row r="186095" customFormat="1" x14ac:dyDescent="0.25"/>
    <row r="186096" customFormat="1" x14ac:dyDescent="0.25"/>
    <row r="186097" customFormat="1" x14ac:dyDescent="0.25"/>
    <row r="186098" customFormat="1" x14ac:dyDescent="0.25"/>
    <row r="186099" customFormat="1" x14ac:dyDescent="0.25"/>
    <row r="186100" customFormat="1" x14ac:dyDescent="0.25"/>
    <row r="186101" customFormat="1" x14ac:dyDescent="0.25"/>
    <row r="186102" customFormat="1" x14ac:dyDescent="0.25"/>
    <row r="186103" customFormat="1" x14ac:dyDescent="0.25"/>
    <row r="186104" customFormat="1" x14ac:dyDescent="0.25"/>
    <row r="186105" customFormat="1" x14ac:dyDescent="0.25"/>
    <row r="186106" customFormat="1" x14ac:dyDescent="0.25"/>
    <row r="186107" customFormat="1" x14ac:dyDescent="0.25"/>
    <row r="186108" customFormat="1" x14ac:dyDescent="0.25"/>
    <row r="186109" customFormat="1" x14ac:dyDescent="0.25"/>
    <row r="186110" customFormat="1" x14ac:dyDescent="0.25"/>
    <row r="186111" customFormat="1" x14ac:dyDescent="0.25"/>
    <row r="186112" customFormat="1" x14ac:dyDescent="0.25"/>
    <row r="186113" customFormat="1" x14ac:dyDescent="0.25"/>
    <row r="186114" customFormat="1" x14ac:dyDescent="0.25"/>
    <row r="186115" customFormat="1" x14ac:dyDescent="0.25"/>
    <row r="186116" customFormat="1" x14ac:dyDescent="0.25"/>
    <row r="186117" customFormat="1" x14ac:dyDescent="0.25"/>
    <row r="186118" customFormat="1" x14ac:dyDescent="0.25"/>
    <row r="186119" customFormat="1" x14ac:dyDescent="0.25"/>
    <row r="186120" customFormat="1" x14ac:dyDescent="0.25"/>
    <row r="186121" customFormat="1" x14ac:dyDescent="0.25"/>
    <row r="186122" customFormat="1" x14ac:dyDescent="0.25"/>
    <row r="186123" customFormat="1" x14ac:dyDescent="0.25"/>
    <row r="186124" customFormat="1" x14ac:dyDescent="0.25"/>
    <row r="186125" customFormat="1" x14ac:dyDescent="0.25"/>
    <row r="186126" customFormat="1" x14ac:dyDescent="0.25"/>
    <row r="186127" customFormat="1" x14ac:dyDescent="0.25"/>
    <row r="186128" customFormat="1" x14ac:dyDescent="0.25"/>
    <row r="186129" customFormat="1" x14ac:dyDescent="0.25"/>
    <row r="186130" customFormat="1" x14ac:dyDescent="0.25"/>
    <row r="186131" customFormat="1" x14ac:dyDescent="0.25"/>
    <row r="186132" customFormat="1" x14ac:dyDescent="0.25"/>
    <row r="186133" customFormat="1" x14ac:dyDescent="0.25"/>
    <row r="186134" customFormat="1" x14ac:dyDescent="0.25"/>
    <row r="186135" customFormat="1" x14ac:dyDescent="0.25"/>
    <row r="186136" customFormat="1" x14ac:dyDescent="0.25"/>
    <row r="186137" customFormat="1" x14ac:dyDescent="0.25"/>
    <row r="186138" customFormat="1" x14ac:dyDescent="0.25"/>
    <row r="186139" customFormat="1" x14ac:dyDescent="0.25"/>
    <row r="186140" customFormat="1" x14ac:dyDescent="0.25"/>
    <row r="186141" customFormat="1" x14ac:dyDescent="0.25"/>
    <row r="186142" customFormat="1" x14ac:dyDescent="0.25"/>
    <row r="186143" customFormat="1" x14ac:dyDescent="0.25"/>
    <row r="186144" customFormat="1" x14ac:dyDescent="0.25"/>
    <row r="186145" customFormat="1" x14ac:dyDescent="0.25"/>
    <row r="186146" customFormat="1" x14ac:dyDescent="0.25"/>
    <row r="186147" customFormat="1" x14ac:dyDescent="0.25"/>
    <row r="186148" customFormat="1" x14ac:dyDescent="0.25"/>
    <row r="186149" customFormat="1" x14ac:dyDescent="0.25"/>
    <row r="186150" customFormat="1" x14ac:dyDescent="0.25"/>
    <row r="186151" customFormat="1" x14ac:dyDescent="0.25"/>
    <row r="186152" customFormat="1" x14ac:dyDescent="0.25"/>
    <row r="186153" customFormat="1" x14ac:dyDescent="0.25"/>
    <row r="186154" customFormat="1" x14ac:dyDescent="0.25"/>
    <row r="186155" customFormat="1" x14ac:dyDescent="0.25"/>
    <row r="186156" customFormat="1" x14ac:dyDescent="0.25"/>
    <row r="186157" customFormat="1" x14ac:dyDescent="0.25"/>
    <row r="186158" customFormat="1" x14ac:dyDescent="0.25"/>
    <row r="186159" customFormat="1" x14ac:dyDescent="0.25"/>
    <row r="186160" customFormat="1" x14ac:dyDescent="0.25"/>
    <row r="186161" customFormat="1" x14ac:dyDescent="0.25"/>
    <row r="186162" customFormat="1" x14ac:dyDescent="0.25"/>
    <row r="186163" customFormat="1" x14ac:dyDescent="0.25"/>
    <row r="186164" customFormat="1" x14ac:dyDescent="0.25"/>
    <row r="186165" customFormat="1" x14ac:dyDescent="0.25"/>
    <row r="186166" customFormat="1" x14ac:dyDescent="0.25"/>
    <row r="186167" customFormat="1" x14ac:dyDescent="0.25"/>
    <row r="186168" customFormat="1" x14ac:dyDescent="0.25"/>
    <row r="186169" customFormat="1" x14ac:dyDescent="0.25"/>
    <row r="186170" customFormat="1" x14ac:dyDescent="0.25"/>
    <row r="186171" customFormat="1" x14ac:dyDescent="0.25"/>
    <row r="186172" customFormat="1" x14ac:dyDescent="0.25"/>
    <row r="186173" customFormat="1" x14ac:dyDescent="0.25"/>
    <row r="186174" customFormat="1" x14ac:dyDescent="0.25"/>
    <row r="186175" customFormat="1" x14ac:dyDescent="0.25"/>
    <row r="186176" customFormat="1" x14ac:dyDescent="0.25"/>
    <row r="186177" customFormat="1" x14ac:dyDescent="0.25"/>
    <row r="186178" customFormat="1" x14ac:dyDescent="0.25"/>
    <row r="186179" customFormat="1" x14ac:dyDescent="0.25"/>
    <row r="186180" customFormat="1" x14ac:dyDescent="0.25"/>
    <row r="186181" customFormat="1" x14ac:dyDescent="0.25"/>
    <row r="186182" customFormat="1" x14ac:dyDescent="0.25"/>
    <row r="186183" customFormat="1" x14ac:dyDescent="0.25"/>
    <row r="186184" customFormat="1" x14ac:dyDescent="0.25"/>
    <row r="186185" customFormat="1" x14ac:dyDescent="0.25"/>
    <row r="186186" customFormat="1" x14ac:dyDescent="0.25"/>
    <row r="186187" customFormat="1" x14ac:dyDescent="0.25"/>
    <row r="186188" customFormat="1" x14ac:dyDescent="0.25"/>
    <row r="186189" customFormat="1" x14ac:dyDescent="0.25"/>
    <row r="186190" customFormat="1" x14ac:dyDescent="0.25"/>
    <row r="186191" customFormat="1" x14ac:dyDescent="0.25"/>
    <row r="186192" customFormat="1" x14ac:dyDescent="0.25"/>
    <row r="186193" customFormat="1" x14ac:dyDescent="0.25"/>
    <row r="186194" customFormat="1" x14ac:dyDescent="0.25"/>
    <row r="186195" customFormat="1" x14ac:dyDescent="0.25"/>
    <row r="186196" customFormat="1" x14ac:dyDescent="0.25"/>
    <row r="186197" customFormat="1" x14ac:dyDescent="0.25"/>
    <row r="186198" customFormat="1" x14ac:dyDescent="0.25"/>
    <row r="186199" customFormat="1" x14ac:dyDescent="0.25"/>
    <row r="186200" customFormat="1" x14ac:dyDescent="0.25"/>
    <row r="186201" customFormat="1" x14ac:dyDescent="0.25"/>
    <row r="186202" customFormat="1" x14ac:dyDescent="0.25"/>
    <row r="186203" customFormat="1" x14ac:dyDescent="0.25"/>
    <row r="186204" customFormat="1" x14ac:dyDescent="0.25"/>
    <row r="186205" customFormat="1" x14ac:dyDescent="0.25"/>
    <row r="186206" customFormat="1" x14ac:dyDescent="0.25"/>
    <row r="186207" customFormat="1" x14ac:dyDescent="0.25"/>
    <row r="186208" customFormat="1" x14ac:dyDescent="0.25"/>
    <row r="186209" customFormat="1" x14ac:dyDescent="0.25"/>
    <row r="186210" customFormat="1" x14ac:dyDescent="0.25"/>
    <row r="186211" customFormat="1" x14ac:dyDescent="0.25"/>
    <row r="186212" customFormat="1" x14ac:dyDescent="0.25"/>
    <row r="186213" customFormat="1" x14ac:dyDescent="0.25"/>
    <row r="186214" customFormat="1" x14ac:dyDescent="0.25"/>
    <row r="186215" customFormat="1" x14ac:dyDescent="0.25"/>
    <row r="186216" customFormat="1" x14ac:dyDescent="0.25"/>
    <row r="186217" customFormat="1" x14ac:dyDescent="0.25"/>
    <row r="186218" customFormat="1" x14ac:dyDescent="0.25"/>
    <row r="186219" customFormat="1" x14ac:dyDescent="0.25"/>
    <row r="186220" customFormat="1" x14ac:dyDescent="0.25"/>
    <row r="186221" customFormat="1" x14ac:dyDescent="0.25"/>
    <row r="186222" customFormat="1" x14ac:dyDescent="0.25"/>
    <row r="186223" customFormat="1" x14ac:dyDescent="0.25"/>
    <row r="186224" customFormat="1" x14ac:dyDescent="0.25"/>
    <row r="186225" customFormat="1" x14ac:dyDescent="0.25"/>
    <row r="186226" customFormat="1" x14ac:dyDescent="0.25"/>
    <row r="186227" customFormat="1" x14ac:dyDescent="0.25"/>
    <row r="186228" customFormat="1" x14ac:dyDescent="0.25"/>
    <row r="186229" customFormat="1" x14ac:dyDescent="0.25"/>
    <row r="186230" customFormat="1" x14ac:dyDescent="0.25"/>
    <row r="186231" customFormat="1" x14ac:dyDescent="0.25"/>
    <row r="186232" customFormat="1" x14ac:dyDescent="0.25"/>
    <row r="186233" customFormat="1" x14ac:dyDescent="0.25"/>
    <row r="186234" customFormat="1" x14ac:dyDescent="0.25"/>
    <row r="186235" customFormat="1" x14ac:dyDescent="0.25"/>
    <row r="186236" customFormat="1" x14ac:dyDescent="0.25"/>
    <row r="186237" customFormat="1" x14ac:dyDescent="0.25"/>
    <row r="186238" customFormat="1" x14ac:dyDescent="0.25"/>
    <row r="186239" customFormat="1" x14ac:dyDescent="0.25"/>
    <row r="186240" customFormat="1" x14ac:dyDescent="0.25"/>
    <row r="186241" customFormat="1" x14ac:dyDescent="0.25"/>
    <row r="186242" customFormat="1" x14ac:dyDescent="0.25"/>
    <row r="186243" customFormat="1" x14ac:dyDescent="0.25"/>
    <row r="186244" customFormat="1" x14ac:dyDescent="0.25"/>
    <row r="186245" customFormat="1" x14ac:dyDescent="0.25"/>
    <row r="186246" customFormat="1" x14ac:dyDescent="0.25"/>
    <row r="186247" customFormat="1" x14ac:dyDescent="0.25"/>
    <row r="186248" customFormat="1" x14ac:dyDescent="0.25"/>
    <row r="186249" customFormat="1" x14ac:dyDescent="0.25"/>
    <row r="186250" customFormat="1" x14ac:dyDescent="0.25"/>
    <row r="186251" customFormat="1" x14ac:dyDescent="0.25"/>
    <row r="186252" customFormat="1" x14ac:dyDescent="0.25"/>
    <row r="186253" customFormat="1" x14ac:dyDescent="0.25"/>
    <row r="186254" customFormat="1" x14ac:dyDescent="0.25"/>
    <row r="186255" customFormat="1" x14ac:dyDescent="0.25"/>
    <row r="186256" customFormat="1" x14ac:dyDescent="0.25"/>
    <row r="186257" customFormat="1" x14ac:dyDescent="0.25"/>
    <row r="186258" customFormat="1" x14ac:dyDescent="0.25"/>
    <row r="186259" customFormat="1" x14ac:dyDescent="0.25"/>
    <row r="186260" customFormat="1" x14ac:dyDescent="0.25"/>
    <row r="186261" customFormat="1" x14ac:dyDescent="0.25"/>
    <row r="186262" customFormat="1" x14ac:dyDescent="0.25"/>
    <row r="186263" customFormat="1" x14ac:dyDescent="0.25"/>
    <row r="186264" customFormat="1" x14ac:dyDescent="0.25"/>
    <row r="186265" customFormat="1" x14ac:dyDescent="0.25"/>
    <row r="186266" customFormat="1" x14ac:dyDescent="0.25"/>
    <row r="186267" customFormat="1" x14ac:dyDescent="0.25"/>
    <row r="186268" customFormat="1" x14ac:dyDescent="0.25"/>
    <row r="186269" customFormat="1" x14ac:dyDescent="0.25"/>
    <row r="186270" customFormat="1" x14ac:dyDescent="0.25"/>
    <row r="186271" customFormat="1" x14ac:dyDescent="0.25"/>
    <row r="186272" customFormat="1" x14ac:dyDescent="0.25"/>
    <row r="186273" customFormat="1" x14ac:dyDescent="0.25"/>
    <row r="186274" customFormat="1" x14ac:dyDescent="0.25"/>
    <row r="186275" customFormat="1" x14ac:dyDescent="0.25"/>
    <row r="186276" customFormat="1" x14ac:dyDescent="0.25"/>
    <row r="186277" customFormat="1" x14ac:dyDescent="0.25"/>
    <row r="186278" customFormat="1" x14ac:dyDescent="0.25"/>
    <row r="186279" customFormat="1" x14ac:dyDescent="0.25"/>
    <row r="186280" customFormat="1" x14ac:dyDescent="0.25"/>
    <row r="186281" customFormat="1" x14ac:dyDescent="0.25"/>
    <row r="186282" customFormat="1" x14ac:dyDescent="0.25"/>
    <row r="186283" customFormat="1" x14ac:dyDescent="0.25"/>
    <row r="186284" customFormat="1" x14ac:dyDescent="0.25"/>
    <row r="186285" customFormat="1" x14ac:dyDescent="0.25"/>
    <row r="186286" customFormat="1" x14ac:dyDescent="0.25"/>
    <row r="186287" customFormat="1" x14ac:dyDescent="0.25"/>
    <row r="186288" customFormat="1" x14ac:dyDescent="0.25"/>
    <row r="186289" customFormat="1" x14ac:dyDescent="0.25"/>
    <row r="186290" customFormat="1" x14ac:dyDescent="0.25"/>
    <row r="186291" customFormat="1" x14ac:dyDescent="0.25"/>
    <row r="186292" customFormat="1" x14ac:dyDescent="0.25"/>
    <row r="186293" customFormat="1" x14ac:dyDescent="0.25"/>
    <row r="186294" customFormat="1" x14ac:dyDescent="0.25"/>
    <row r="186295" customFormat="1" x14ac:dyDescent="0.25"/>
    <row r="186296" customFormat="1" x14ac:dyDescent="0.25"/>
    <row r="186297" customFormat="1" x14ac:dyDescent="0.25"/>
    <row r="186298" customFormat="1" x14ac:dyDescent="0.25"/>
    <row r="186299" customFormat="1" x14ac:dyDescent="0.25"/>
    <row r="186300" customFormat="1" x14ac:dyDescent="0.25"/>
    <row r="186301" customFormat="1" x14ac:dyDescent="0.25"/>
    <row r="186302" customFormat="1" x14ac:dyDescent="0.25"/>
    <row r="186303" customFormat="1" x14ac:dyDescent="0.25"/>
    <row r="186304" customFormat="1" x14ac:dyDescent="0.25"/>
    <row r="186305" customFormat="1" x14ac:dyDescent="0.25"/>
    <row r="186306" customFormat="1" x14ac:dyDescent="0.25"/>
    <row r="186307" customFormat="1" x14ac:dyDescent="0.25"/>
    <row r="186308" customFormat="1" x14ac:dyDescent="0.25"/>
    <row r="186309" customFormat="1" x14ac:dyDescent="0.25"/>
    <row r="186310" customFormat="1" x14ac:dyDescent="0.25"/>
    <row r="186311" customFormat="1" x14ac:dyDescent="0.25"/>
    <row r="186312" customFormat="1" x14ac:dyDescent="0.25"/>
    <row r="186313" customFormat="1" x14ac:dyDescent="0.25"/>
    <row r="186314" customFormat="1" x14ac:dyDescent="0.25"/>
    <row r="186315" customFormat="1" x14ac:dyDescent="0.25"/>
    <row r="186316" customFormat="1" x14ac:dyDescent="0.25"/>
    <row r="186317" customFormat="1" x14ac:dyDescent="0.25"/>
    <row r="186318" customFormat="1" x14ac:dyDescent="0.25"/>
    <row r="186319" customFormat="1" x14ac:dyDescent="0.25"/>
    <row r="186320" customFormat="1" x14ac:dyDescent="0.25"/>
    <row r="186321" customFormat="1" x14ac:dyDescent="0.25"/>
    <row r="186322" customFormat="1" x14ac:dyDescent="0.25"/>
    <row r="186323" customFormat="1" x14ac:dyDescent="0.25"/>
    <row r="186324" customFormat="1" x14ac:dyDescent="0.25"/>
    <row r="186325" customFormat="1" x14ac:dyDescent="0.25"/>
    <row r="186326" customFormat="1" x14ac:dyDescent="0.25"/>
    <row r="186327" customFormat="1" x14ac:dyDescent="0.25"/>
    <row r="186328" customFormat="1" x14ac:dyDescent="0.25"/>
    <row r="186329" customFormat="1" x14ac:dyDescent="0.25"/>
    <row r="186330" customFormat="1" x14ac:dyDescent="0.25"/>
    <row r="186331" customFormat="1" x14ac:dyDescent="0.25"/>
    <row r="186332" customFormat="1" x14ac:dyDescent="0.25"/>
    <row r="186333" customFormat="1" x14ac:dyDescent="0.25"/>
    <row r="186334" customFormat="1" x14ac:dyDescent="0.25"/>
    <row r="186335" customFormat="1" x14ac:dyDescent="0.25"/>
    <row r="186336" customFormat="1" x14ac:dyDescent="0.25"/>
    <row r="186337" customFormat="1" x14ac:dyDescent="0.25"/>
    <row r="186338" customFormat="1" x14ac:dyDescent="0.25"/>
    <row r="186339" customFormat="1" x14ac:dyDescent="0.25"/>
    <row r="186340" customFormat="1" x14ac:dyDescent="0.25"/>
    <row r="186341" customFormat="1" x14ac:dyDescent="0.25"/>
    <row r="186342" customFormat="1" x14ac:dyDescent="0.25"/>
    <row r="186343" customFormat="1" x14ac:dyDescent="0.25"/>
    <row r="186344" customFormat="1" x14ac:dyDescent="0.25"/>
    <row r="186345" customFormat="1" x14ac:dyDescent="0.25"/>
    <row r="186346" customFormat="1" x14ac:dyDescent="0.25"/>
    <row r="186347" customFormat="1" x14ac:dyDescent="0.25"/>
    <row r="186348" customFormat="1" x14ac:dyDescent="0.25"/>
    <row r="186349" customFormat="1" x14ac:dyDescent="0.25"/>
    <row r="186350" customFormat="1" x14ac:dyDescent="0.25"/>
    <row r="186351" customFormat="1" x14ac:dyDescent="0.25"/>
    <row r="186352" customFormat="1" x14ac:dyDescent="0.25"/>
    <row r="186353" customFormat="1" x14ac:dyDescent="0.25"/>
    <row r="186354" customFormat="1" x14ac:dyDescent="0.25"/>
    <row r="186355" customFormat="1" x14ac:dyDescent="0.25"/>
    <row r="186356" customFormat="1" x14ac:dyDescent="0.25"/>
    <row r="186357" customFormat="1" x14ac:dyDescent="0.25"/>
    <row r="186358" customFormat="1" x14ac:dyDescent="0.25"/>
    <row r="186359" customFormat="1" x14ac:dyDescent="0.25"/>
    <row r="186360" customFormat="1" x14ac:dyDescent="0.25"/>
    <row r="186361" customFormat="1" x14ac:dyDescent="0.25"/>
    <row r="186362" customFormat="1" x14ac:dyDescent="0.25"/>
    <row r="186363" customFormat="1" x14ac:dyDescent="0.25"/>
    <row r="186364" customFormat="1" x14ac:dyDescent="0.25"/>
    <row r="186365" customFormat="1" x14ac:dyDescent="0.25"/>
    <row r="186366" customFormat="1" x14ac:dyDescent="0.25"/>
    <row r="186367" customFormat="1" x14ac:dyDescent="0.25"/>
    <row r="186368" customFormat="1" x14ac:dyDescent="0.25"/>
    <row r="186369" customFormat="1" x14ac:dyDescent="0.25"/>
    <row r="186370" customFormat="1" x14ac:dyDescent="0.25"/>
    <row r="186371" customFormat="1" x14ac:dyDescent="0.25"/>
    <row r="186372" customFormat="1" x14ac:dyDescent="0.25"/>
    <row r="186373" customFormat="1" x14ac:dyDescent="0.25"/>
    <row r="186374" customFormat="1" x14ac:dyDescent="0.25"/>
    <row r="186375" customFormat="1" x14ac:dyDescent="0.25"/>
    <row r="186376" customFormat="1" x14ac:dyDescent="0.25"/>
    <row r="186377" customFormat="1" x14ac:dyDescent="0.25"/>
    <row r="186378" customFormat="1" x14ac:dyDescent="0.25"/>
    <row r="186379" customFormat="1" x14ac:dyDescent="0.25"/>
    <row r="186380" customFormat="1" x14ac:dyDescent="0.25"/>
    <row r="186381" customFormat="1" x14ac:dyDescent="0.25"/>
    <row r="186382" customFormat="1" x14ac:dyDescent="0.25"/>
    <row r="186383" customFormat="1" x14ac:dyDescent="0.25"/>
    <row r="186384" customFormat="1" x14ac:dyDescent="0.25"/>
    <row r="186385" customFormat="1" x14ac:dyDescent="0.25"/>
    <row r="186386" customFormat="1" x14ac:dyDescent="0.25"/>
    <row r="186387" customFormat="1" x14ac:dyDescent="0.25"/>
    <row r="186388" customFormat="1" x14ac:dyDescent="0.25"/>
    <row r="186389" customFormat="1" x14ac:dyDescent="0.25"/>
    <row r="186390" customFormat="1" x14ac:dyDescent="0.25"/>
    <row r="186391" customFormat="1" x14ac:dyDescent="0.25"/>
    <row r="186392" customFormat="1" x14ac:dyDescent="0.25"/>
    <row r="186393" customFormat="1" x14ac:dyDescent="0.25"/>
    <row r="186394" customFormat="1" x14ac:dyDescent="0.25"/>
    <row r="186395" customFormat="1" x14ac:dyDescent="0.25"/>
    <row r="186396" customFormat="1" x14ac:dyDescent="0.25"/>
    <row r="186397" customFormat="1" x14ac:dyDescent="0.25"/>
    <row r="186398" customFormat="1" x14ac:dyDescent="0.25"/>
    <row r="186399" customFormat="1" x14ac:dyDescent="0.25"/>
    <row r="186400" customFormat="1" x14ac:dyDescent="0.25"/>
    <row r="186401" customFormat="1" x14ac:dyDescent="0.25"/>
    <row r="186402" customFormat="1" x14ac:dyDescent="0.25"/>
    <row r="186403" customFormat="1" x14ac:dyDescent="0.25"/>
    <row r="186404" customFormat="1" x14ac:dyDescent="0.25"/>
    <row r="186405" customFormat="1" x14ac:dyDescent="0.25"/>
    <row r="186406" customFormat="1" x14ac:dyDescent="0.25"/>
    <row r="186407" customFormat="1" x14ac:dyDescent="0.25"/>
    <row r="186408" customFormat="1" x14ac:dyDescent="0.25"/>
    <row r="186409" customFormat="1" x14ac:dyDescent="0.25"/>
    <row r="186410" customFormat="1" x14ac:dyDescent="0.25"/>
    <row r="186411" customFormat="1" x14ac:dyDescent="0.25"/>
    <row r="186412" customFormat="1" x14ac:dyDescent="0.25"/>
    <row r="186413" customFormat="1" x14ac:dyDescent="0.25"/>
    <row r="186414" customFormat="1" x14ac:dyDescent="0.25"/>
    <row r="186415" customFormat="1" x14ac:dyDescent="0.25"/>
    <row r="186416" customFormat="1" x14ac:dyDescent="0.25"/>
    <row r="186417" customFormat="1" x14ac:dyDescent="0.25"/>
    <row r="186418" customFormat="1" x14ac:dyDescent="0.25"/>
    <row r="186419" customFormat="1" x14ac:dyDescent="0.25"/>
    <row r="186420" customFormat="1" x14ac:dyDescent="0.25"/>
    <row r="186421" customFormat="1" x14ac:dyDescent="0.25"/>
    <row r="186422" customFormat="1" x14ac:dyDescent="0.25"/>
    <row r="186423" customFormat="1" x14ac:dyDescent="0.25"/>
    <row r="186424" customFormat="1" x14ac:dyDescent="0.25"/>
    <row r="186425" customFormat="1" x14ac:dyDescent="0.25"/>
    <row r="186426" customFormat="1" x14ac:dyDescent="0.25"/>
    <row r="186427" customFormat="1" x14ac:dyDescent="0.25"/>
    <row r="186428" customFormat="1" x14ac:dyDescent="0.25"/>
    <row r="186429" customFormat="1" x14ac:dyDescent="0.25"/>
    <row r="186430" customFormat="1" x14ac:dyDescent="0.25"/>
    <row r="186431" customFormat="1" x14ac:dyDescent="0.25"/>
    <row r="186432" customFormat="1" x14ac:dyDescent="0.25"/>
    <row r="186433" customFormat="1" x14ac:dyDescent="0.25"/>
    <row r="186434" customFormat="1" x14ac:dyDescent="0.25"/>
    <row r="186435" customFormat="1" x14ac:dyDescent="0.25"/>
    <row r="186436" customFormat="1" x14ac:dyDescent="0.25"/>
    <row r="186437" customFormat="1" x14ac:dyDescent="0.25"/>
    <row r="186438" customFormat="1" x14ac:dyDescent="0.25"/>
    <row r="186439" customFormat="1" x14ac:dyDescent="0.25"/>
    <row r="186440" customFormat="1" x14ac:dyDescent="0.25"/>
    <row r="186441" customFormat="1" x14ac:dyDescent="0.25"/>
    <row r="186442" customFormat="1" x14ac:dyDescent="0.25"/>
    <row r="186443" customFormat="1" x14ac:dyDescent="0.25"/>
    <row r="186444" customFormat="1" x14ac:dyDescent="0.25"/>
    <row r="186445" customFormat="1" x14ac:dyDescent="0.25"/>
    <row r="186446" customFormat="1" x14ac:dyDescent="0.25"/>
    <row r="186447" customFormat="1" x14ac:dyDescent="0.25"/>
    <row r="186448" customFormat="1" x14ac:dyDescent="0.25"/>
    <row r="186449" customFormat="1" x14ac:dyDescent="0.25"/>
    <row r="186450" customFormat="1" x14ac:dyDescent="0.25"/>
    <row r="186451" customFormat="1" x14ac:dyDescent="0.25"/>
    <row r="186452" customFormat="1" x14ac:dyDescent="0.25"/>
    <row r="186453" customFormat="1" x14ac:dyDescent="0.25"/>
    <row r="186454" customFormat="1" x14ac:dyDescent="0.25"/>
    <row r="186455" customFormat="1" x14ac:dyDescent="0.25"/>
    <row r="186456" customFormat="1" x14ac:dyDescent="0.25"/>
    <row r="186457" customFormat="1" x14ac:dyDescent="0.25"/>
    <row r="186458" customFormat="1" x14ac:dyDescent="0.25"/>
    <row r="186459" customFormat="1" x14ac:dyDescent="0.25"/>
    <row r="186460" customFormat="1" x14ac:dyDescent="0.25"/>
    <row r="186461" customFormat="1" x14ac:dyDescent="0.25"/>
    <row r="186462" customFormat="1" x14ac:dyDescent="0.25"/>
    <row r="186463" customFormat="1" x14ac:dyDescent="0.25"/>
    <row r="186464" customFormat="1" x14ac:dyDescent="0.25"/>
    <row r="186465" customFormat="1" x14ac:dyDescent="0.25"/>
    <row r="186466" customFormat="1" x14ac:dyDescent="0.25"/>
    <row r="186467" customFormat="1" x14ac:dyDescent="0.25"/>
    <row r="186468" customFormat="1" x14ac:dyDescent="0.25"/>
    <row r="186469" customFormat="1" x14ac:dyDescent="0.25"/>
    <row r="186470" customFormat="1" x14ac:dyDescent="0.25"/>
    <row r="186471" customFormat="1" x14ac:dyDescent="0.25"/>
    <row r="186472" customFormat="1" x14ac:dyDescent="0.25"/>
    <row r="186473" customFormat="1" x14ac:dyDescent="0.25"/>
    <row r="186474" customFormat="1" x14ac:dyDescent="0.25"/>
    <row r="186475" customFormat="1" x14ac:dyDescent="0.25"/>
    <row r="186476" customFormat="1" x14ac:dyDescent="0.25"/>
    <row r="186477" customFormat="1" x14ac:dyDescent="0.25"/>
    <row r="186478" customFormat="1" x14ac:dyDescent="0.25"/>
    <row r="186479" customFormat="1" x14ac:dyDescent="0.25"/>
    <row r="186480" customFormat="1" x14ac:dyDescent="0.25"/>
    <row r="186481" customFormat="1" x14ac:dyDescent="0.25"/>
    <row r="186482" customFormat="1" x14ac:dyDescent="0.25"/>
    <row r="186483" customFormat="1" x14ac:dyDescent="0.25"/>
    <row r="186484" customFormat="1" x14ac:dyDescent="0.25"/>
    <row r="186485" customFormat="1" x14ac:dyDescent="0.25"/>
    <row r="186486" customFormat="1" x14ac:dyDescent="0.25"/>
    <row r="186487" customFormat="1" x14ac:dyDescent="0.25"/>
    <row r="186488" customFormat="1" x14ac:dyDescent="0.25"/>
    <row r="186489" customFormat="1" x14ac:dyDescent="0.25"/>
    <row r="186490" customFormat="1" x14ac:dyDescent="0.25"/>
    <row r="186491" customFormat="1" x14ac:dyDescent="0.25"/>
    <row r="186492" customFormat="1" x14ac:dyDescent="0.25"/>
    <row r="186493" customFormat="1" x14ac:dyDescent="0.25"/>
    <row r="186494" customFormat="1" x14ac:dyDescent="0.25"/>
    <row r="186495" customFormat="1" x14ac:dyDescent="0.25"/>
    <row r="186496" customFormat="1" x14ac:dyDescent="0.25"/>
    <row r="186497" customFormat="1" x14ac:dyDescent="0.25"/>
    <row r="186498" customFormat="1" x14ac:dyDescent="0.25"/>
    <row r="186499" customFormat="1" x14ac:dyDescent="0.25"/>
    <row r="186500" customFormat="1" x14ac:dyDescent="0.25"/>
    <row r="186501" customFormat="1" x14ac:dyDescent="0.25"/>
    <row r="186502" customFormat="1" x14ac:dyDescent="0.25"/>
    <row r="186503" customFormat="1" x14ac:dyDescent="0.25"/>
    <row r="186504" customFormat="1" x14ac:dyDescent="0.25"/>
    <row r="186505" customFormat="1" x14ac:dyDescent="0.25"/>
    <row r="186506" customFormat="1" x14ac:dyDescent="0.25"/>
    <row r="186507" customFormat="1" x14ac:dyDescent="0.25"/>
    <row r="186508" customFormat="1" x14ac:dyDescent="0.25"/>
    <row r="186509" customFormat="1" x14ac:dyDescent="0.25"/>
    <row r="186510" customFormat="1" x14ac:dyDescent="0.25"/>
    <row r="186511" customFormat="1" x14ac:dyDescent="0.25"/>
    <row r="186512" customFormat="1" x14ac:dyDescent="0.25"/>
    <row r="186513" customFormat="1" x14ac:dyDescent="0.25"/>
    <row r="186514" customFormat="1" x14ac:dyDescent="0.25"/>
    <row r="186515" customFormat="1" x14ac:dyDescent="0.25"/>
    <row r="186516" customFormat="1" x14ac:dyDescent="0.25"/>
    <row r="186517" customFormat="1" x14ac:dyDescent="0.25"/>
    <row r="186518" customFormat="1" x14ac:dyDescent="0.25"/>
    <row r="186519" customFormat="1" x14ac:dyDescent="0.25"/>
    <row r="186520" customFormat="1" x14ac:dyDescent="0.25"/>
    <row r="186521" customFormat="1" x14ac:dyDescent="0.25"/>
    <row r="186522" customFormat="1" x14ac:dyDescent="0.25"/>
    <row r="186523" customFormat="1" x14ac:dyDescent="0.25"/>
    <row r="186524" customFormat="1" x14ac:dyDescent="0.25"/>
    <row r="186525" customFormat="1" x14ac:dyDescent="0.25"/>
    <row r="186526" customFormat="1" x14ac:dyDescent="0.25"/>
    <row r="186527" customFormat="1" x14ac:dyDescent="0.25"/>
    <row r="186528" customFormat="1" x14ac:dyDescent="0.25"/>
    <row r="186529" customFormat="1" x14ac:dyDescent="0.25"/>
    <row r="186530" customFormat="1" x14ac:dyDescent="0.25"/>
    <row r="186531" customFormat="1" x14ac:dyDescent="0.25"/>
    <row r="186532" customFormat="1" x14ac:dyDescent="0.25"/>
    <row r="186533" customFormat="1" x14ac:dyDescent="0.25"/>
    <row r="186534" customFormat="1" x14ac:dyDescent="0.25"/>
    <row r="186535" customFormat="1" x14ac:dyDescent="0.25"/>
    <row r="186536" customFormat="1" x14ac:dyDescent="0.25"/>
    <row r="186537" customFormat="1" x14ac:dyDescent="0.25"/>
    <row r="186538" customFormat="1" x14ac:dyDescent="0.25"/>
    <row r="186539" customFormat="1" x14ac:dyDescent="0.25"/>
    <row r="186540" customFormat="1" x14ac:dyDescent="0.25"/>
    <row r="186541" customFormat="1" x14ac:dyDescent="0.25"/>
    <row r="186542" customFormat="1" x14ac:dyDescent="0.25"/>
    <row r="186543" customFormat="1" x14ac:dyDescent="0.25"/>
    <row r="186544" customFormat="1" x14ac:dyDescent="0.25"/>
    <row r="186545" customFormat="1" x14ac:dyDescent="0.25"/>
    <row r="186546" customFormat="1" x14ac:dyDescent="0.25"/>
    <row r="186547" customFormat="1" x14ac:dyDescent="0.25"/>
    <row r="186548" customFormat="1" x14ac:dyDescent="0.25"/>
    <row r="186549" customFormat="1" x14ac:dyDescent="0.25"/>
    <row r="186550" customFormat="1" x14ac:dyDescent="0.25"/>
    <row r="186551" customFormat="1" x14ac:dyDescent="0.25"/>
    <row r="186552" customFormat="1" x14ac:dyDescent="0.25"/>
    <row r="186553" customFormat="1" x14ac:dyDescent="0.25"/>
    <row r="186554" customFormat="1" x14ac:dyDescent="0.25"/>
    <row r="186555" customFormat="1" x14ac:dyDescent="0.25"/>
    <row r="186556" customFormat="1" x14ac:dyDescent="0.25"/>
    <row r="186557" customFormat="1" x14ac:dyDescent="0.25"/>
    <row r="186558" customFormat="1" x14ac:dyDescent="0.25"/>
    <row r="186559" customFormat="1" x14ac:dyDescent="0.25"/>
    <row r="186560" customFormat="1" x14ac:dyDescent="0.25"/>
    <row r="186561" customFormat="1" x14ac:dyDescent="0.25"/>
    <row r="186562" customFormat="1" x14ac:dyDescent="0.25"/>
    <row r="186563" customFormat="1" x14ac:dyDescent="0.25"/>
    <row r="186564" customFormat="1" x14ac:dyDescent="0.25"/>
    <row r="186565" customFormat="1" x14ac:dyDescent="0.25"/>
    <row r="186566" customFormat="1" x14ac:dyDescent="0.25"/>
    <row r="186567" customFormat="1" x14ac:dyDescent="0.25"/>
    <row r="186568" customFormat="1" x14ac:dyDescent="0.25"/>
    <row r="186569" customFormat="1" x14ac:dyDescent="0.25"/>
    <row r="186570" customFormat="1" x14ac:dyDescent="0.25"/>
    <row r="186571" customFormat="1" x14ac:dyDescent="0.25"/>
    <row r="186572" customFormat="1" x14ac:dyDescent="0.25"/>
    <row r="186573" customFormat="1" x14ac:dyDescent="0.25"/>
    <row r="186574" customFormat="1" x14ac:dyDescent="0.25"/>
    <row r="186575" customFormat="1" x14ac:dyDescent="0.25"/>
    <row r="186576" customFormat="1" x14ac:dyDescent="0.25"/>
    <row r="186577" customFormat="1" x14ac:dyDescent="0.25"/>
    <row r="186578" customFormat="1" x14ac:dyDescent="0.25"/>
    <row r="186579" customFormat="1" x14ac:dyDescent="0.25"/>
    <row r="186580" customFormat="1" x14ac:dyDescent="0.25"/>
    <row r="186581" customFormat="1" x14ac:dyDescent="0.25"/>
    <row r="186582" customFormat="1" x14ac:dyDescent="0.25"/>
    <row r="186583" customFormat="1" x14ac:dyDescent="0.25"/>
    <row r="186584" customFormat="1" x14ac:dyDescent="0.25"/>
    <row r="186585" customFormat="1" x14ac:dyDescent="0.25"/>
    <row r="186586" customFormat="1" x14ac:dyDescent="0.25"/>
    <row r="186587" customFormat="1" x14ac:dyDescent="0.25"/>
    <row r="186588" customFormat="1" x14ac:dyDescent="0.25"/>
    <row r="186589" customFormat="1" x14ac:dyDescent="0.25"/>
    <row r="186590" customFormat="1" x14ac:dyDescent="0.25"/>
    <row r="186591" customFormat="1" x14ac:dyDescent="0.25"/>
    <row r="186592" customFormat="1" x14ac:dyDescent="0.25"/>
    <row r="186593" customFormat="1" x14ac:dyDescent="0.25"/>
    <row r="186594" customFormat="1" x14ac:dyDescent="0.25"/>
    <row r="186595" customFormat="1" x14ac:dyDescent="0.25"/>
    <row r="186596" customFormat="1" x14ac:dyDescent="0.25"/>
    <row r="186597" customFormat="1" x14ac:dyDescent="0.25"/>
    <row r="186598" customFormat="1" x14ac:dyDescent="0.25"/>
    <row r="186599" customFormat="1" x14ac:dyDescent="0.25"/>
    <row r="186600" customFormat="1" x14ac:dyDescent="0.25"/>
    <row r="186601" customFormat="1" x14ac:dyDescent="0.25"/>
    <row r="186602" customFormat="1" x14ac:dyDescent="0.25"/>
    <row r="186603" customFormat="1" x14ac:dyDescent="0.25"/>
    <row r="186604" customFormat="1" x14ac:dyDescent="0.25"/>
    <row r="186605" customFormat="1" x14ac:dyDescent="0.25"/>
    <row r="186606" customFormat="1" x14ac:dyDescent="0.25"/>
    <row r="186607" customFormat="1" x14ac:dyDescent="0.25"/>
    <row r="186608" customFormat="1" x14ac:dyDescent="0.25"/>
    <row r="186609" customFormat="1" x14ac:dyDescent="0.25"/>
    <row r="186610" customFormat="1" x14ac:dyDescent="0.25"/>
    <row r="186611" customFormat="1" x14ac:dyDescent="0.25"/>
    <row r="186612" customFormat="1" x14ac:dyDescent="0.25"/>
    <row r="186613" customFormat="1" x14ac:dyDescent="0.25"/>
    <row r="186614" customFormat="1" x14ac:dyDescent="0.25"/>
    <row r="186615" customFormat="1" x14ac:dyDescent="0.25"/>
    <row r="186616" customFormat="1" x14ac:dyDescent="0.25"/>
    <row r="186617" customFormat="1" x14ac:dyDescent="0.25"/>
    <row r="186618" customFormat="1" x14ac:dyDescent="0.25"/>
    <row r="186619" customFormat="1" x14ac:dyDescent="0.25"/>
    <row r="186620" customFormat="1" x14ac:dyDescent="0.25"/>
    <row r="186621" customFormat="1" x14ac:dyDescent="0.25"/>
    <row r="186622" customFormat="1" x14ac:dyDescent="0.25"/>
    <row r="186623" customFormat="1" x14ac:dyDescent="0.25"/>
    <row r="186624" customFormat="1" x14ac:dyDescent="0.25"/>
    <row r="186625" customFormat="1" x14ac:dyDescent="0.25"/>
    <row r="186626" customFormat="1" x14ac:dyDescent="0.25"/>
    <row r="186627" customFormat="1" x14ac:dyDescent="0.25"/>
    <row r="186628" customFormat="1" x14ac:dyDescent="0.25"/>
    <row r="186629" customFormat="1" x14ac:dyDescent="0.25"/>
    <row r="186630" customFormat="1" x14ac:dyDescent="0.25"/>
    <row r="186631" customFormat="1" x14ac:dyDescent="0.25"/>
    <row r="186632" customFormat="1" x14ac:dyDescent="0.25"/>
    <row r="186633" customFormat="1" x14ac:dyDescent="0.25"/>
    <row r="186634" customFormat="1" x14ac:dyDescent="0.25"/>
    <row r="186635" customFormat="1" x14ac:dyDescent="0.25"/>
    <row r="186636" customFormat="1" x14ac:dyDescent="0.25"/>
    <row r="186637" customFormat="1" x14ac:dyDescent="0.25"/>
    <row r="186638" customFormat="1" x14ac:dyDescent="0.25"/>
    <row r="186639" customFormat="1" x14ac:dyDescent="0.25"/>
    <row r="186640" customFormat="1" x14ac:dyDescent="0.25"/>
    <row r="186641" customFormat="1" x14ac:dyDescent="0.25"/>
    <row r="186642" customFormat="1" x14ac:dyDescent="0.25"/>
    <row r="186643" customFormat="1" x14ac:dyDescent="0.25"/>
    <row r="186644" customFormat="1" x14ac:dyDescent="0.25"/>
    <row r="186645" customFormat="1" x14ac:dyDescent="0.25"/>
    <row r="186646" customFormat="1" x14ac:dyDescent="0.25"/>
    <row r="186647" customFormat="1" x14ac:dyDescent="0.25"/>
    <row r="186648" customFormat="1" x14ac:dyDescent="0.25"/>
    <row r="186649" customFormat="1" x14ac:dyDescent="0.25"/>
    <row r="186650" customFormat="1" x14ac:dyDescent="0.25"/>
    <row r="186651" customFormat="1" x14ac:dyDescent="0.25"/>
    <row r="186652" customFormat="1" x14ac:dyDescent="0.25"/>
    <row r="186653" customFormat="1" x14ac:dyDescent="0.25"/>
    <row r="186654" customFormat="1" x14ac:dyDescent="0.25"/>
    <row r="186655" customFormat="1" x14ac:dyDescent="0.25"/>
    <row r="186656" customFormat="1" x14ac:dyDescent="0.25"/>
    <row r="186657" customFormat="1" x14ac:dyDescent="0.25"/>
    <row r="186658" customFormat="1" x14ac:dyDescent="0.25"/>
    <row r="186659" customFormat="1" x14ac:dyDescent="0.25"/>
    <row r="186660" customFormat="1" x14ac:dyDescent="0.25"/>
    <row r="186661" customFormat="1" x14ac:dyDescent="0.25"/>
    <row r="186662" customFormat="1" x14ac:dyDescent="0.25"/>
    <row r="186663" customFormat="1" x14ac:dyDescent="0.25"/>
    <row r="186664" customFormat="1" x14ac:dyDescent="0.25"/>
    <row r="186665" customFormat="1" x14ac:dyDescent="0.25"/>
    <row r="186666" customFormat="1" x14ac:dyDescent="0.25"/>
    <row r="186667" customFormat="1" x14ac:dyDescent="0.25"/>
    <row r="186668" customFormat="1" x14ac:dyDescent="0.25"/>
    <row r="186669" customFormat="1" x14ac:dyDescent="0.25"/>
    <row r="186670" customFormat="1" x14ac:dyDescent="0.25"/>
    <row r="186671" customFormat="1" x14ac:dyDescent="0.25"/>
    <row r="186672" customFormat="1" x14ac:dyDescent="0.25"/>
    <row r="186673" customFormat="1" x14ac:dyDescent="0.25"/>
    <row r="186674" customFormat="1" x14ac:dyDescent="0.25"/>
    <row r="186675" customFormat="1" x14ac:dyDescent="0.25"/>
    <row r="186676" customFormat="1" x14ac:dyDescent="0.25"/>
    <row r="186677" customFormat="1" x14ac:dyDescent="0.25"/>
    <row r="186678" customFormat="1" x14ac:dyDescent="0.25"/>
    <row r="186679" customFormat="1" x14ac:dyDescent="0.25"/>
    <row r="186680" customFormat="1" x14ac:dyDescent="0.25"/>
    <row r="186681" customFormat="1" x14ac:dyDescent="0.25"/>
    <row r="186682" customFormat="1" x14ac:dyDescent="0.25"/>
    <row r="186683" customFormat="1" x14ac:dyDescent="0.25"/>
    <row r="186684" customFormat="1" x14ac:dyDescent="0.25"/>
    <row r="186685" customFormat="1" x14ac:dyDescent="0.25"/>
    <row r="186686" customFormat="1" x14ac:dyDescent="0.25"/>
    <row r="186687" customFormat="1" x14ac:dyDescent="0.25"/>
    <row r="186688" customFormat="1" x14ac:dyDescent="0.25"/>
    <row r="186689" customFormat="1" x14ac:dyDescent="0.25"/>
    <row r="186690" customFormat="1" x14ac:dyDescent="0.25"/>
    <row r="186691" customFormat="1" x14ac:dyDescent="0.25"/>
    <row r="186692" customFormat="1" x14ac:dyDescent="0.25"/>
    <row r="186693" customFormat="1" x14ac:dyDescent="0.25"/>
    <row r="186694" customFormat="1" x14ac:dyDescent="0.25"/>
    <row r="186695" customFormat="1" x14ac:dyDescent="0.25"/>
    <row r="186696" customFormat="1" x14ac:dyDescent="0.25"/>
    <row r="186697" customFormat="1" x14ac:dyDescent="0.25"/>
    <row r="186698" customFormat="1" x14ac:dyDescent="0.25"/>
    <row r="186699" customFormat="1" x14ac:dyDescent="0.25"/>
    <row r="186700" customFormat="1" x14ac:dyDescent="0.25"/>
    <row r="186701" customFormat="1" x14ac:dyDescent="0.25"/>
    <row r="186702" customFormat="1" x14ac:dyDescent="0.25"/>
    <row r="186703" customFormat="1" x14ac:dyDescent="0.25"/>
    <row r="186704" customFormat="1" x14ac:dyDescent="0.25"/>
    <row r="186705" customFormat="1" x14ac:dyDescent="0.25"/>
    <row r="186706" customFormat="1" x14ac:dyDescent="0.25"/>
    <row r="186707" customFormat="1" x14ac:dyDescent="0.25"/>
    <row r="186708" customFormat="1" x14ac:dyDescent="0.25"/>
    <row r="186709" customFormat="1" x14ac:dyDescent="0.25"/>
    <row r="186710" customFormat="1" x14ac:dyDescent="0.25"/>
    <row r="186711" customFormat="1" x14ac:dyDescent="0.25"/>
    <row r="186712" customFormat="1" x14ac:dyDescent="0.25"/>
    <row r="186713" customFormat="1" x14ac:dyDescent="0.25"/>
    <row r="186714" customFormat="1" x14ac:dyDescent="0.25"/>
    <row r="186715" customFormat="1" x14ac:dyDescent="0.25"/>
    <row r="186716" customFormat="1" x14ac:dyDescent="0.25"/>
    <row r="186717" customFormat="1" x14ac:dyDescent="0.25"/>
    <row r="186718" customFormat="1" x14ac:dyDescent="0.25"/>
    <row r="186719" customFormat="1" x14ac:dyDescent="0.25"/>
    <row r="186720" customFormat="1" x14ac:dyDescent="0.25"/>
    <row r="186721" customFormat="1" x14ac:dyDescent="0.25"/>
    <row r="186722" customFormat="1" x14ac:dyDescent="0.25"/>
    <row r="186723" customFormat="1" x14ac:dyDescent="0.25"/>
    <row r="186724" customFormat="1" x14ac:dyDescent="0.25"/>
    <row r="186725" customFormat="1" x14ac:dyDescent="0.25"/>
    <row r="186726" customFormat="1" x14ac:dyDescent="0.25"/>
    <row r="186727" customFormat="1" x14ac:dyDescent="0.25"/>
    <row r="186728" customFormat="1" x14ac:dyDescent="0.25"/>
    <row r="186729" customFormat="1" x14ac:dyDescent="0.25"/>
    <row r="186730" customFormat="1" x14ac:dyDescent="0.25"/>
    <row r="186731" customFormat="1" x14ac:dyDescent="0.25"/>
    <row r="186732" customFormat="1" x14ac:dyDescent="0.25"/>
    <row r="186733" customFormat="1" x14ac:dyDescent="0.25"/>
    <row r="186734" customFormat="1" x14ac:dyDescent="0.25"/>
    <row r="186735" customFormat="1" x14ac:dyDescent="0.25"/>
    <row r="186736" customFormat="1" x14ac:dyDescent="0.25"/>
    <row r="186737" customFormat="1" x14ac:dyDescent="0.25"/>
    <row r="186738" customFormat="1" x14ac:dyDescent="0.25"/>
    <row r="186739" customFormat="1" x14ac:dyDescent="0.25"/>
    <row r="186740" customFormat="1" x14ac:dyDescent="0.25"/>
    <row r="186741" customFormat="1" x14ac:dyDescent="0.25"/>
    <row r="186742" customFormat="1" x14ac:dyDescent="0.25"/>
    <row r="186743" customFormat="1" x14ac:dyDescent="0.25"/>
    <row r="186744" customFormat="1" x14ac:dyDescent="0.25"/>
    <row r="186745" customFormat="1" x14ac:dyDescent="0.25"/>
    <row r="186746" customFormat="1" x14ac:dyDescent="0.25"/>
    <row r="186747" customFormat="1" x14ac:dyDescent="0.25"/>
    <row r="186748" customFormat="1" x14ac:dyDescent="0.25"/>
    <row r="186749" customFormat="1" x14ac:dyDescent="0.25"/>
    <row r="186750" customFormat="1" x14ac:dyDescent="0.25"/>
    <row r="186751" customFormat="1" x14ac:dyDescent="0.25"/>
    <row r="186752" customFormat="1" x14ac:dyDescent="0.25"/>
    <row r="186753" customFormat="1" x14ac:dyDescent="0.25"/>
    <row r="186754" customFormat="1" x14ac:dyDescent="0.25"/>
    <row r="186755" customFormat="1" x14ac:dyDescent="0.25"/>
    <row r="186756" customFormat="1" x14ac:dyDescent="0.25"/>
    <row r="186757" customFormat="1" x14ac:dyDescent="0.25"/>
    <row r="186758" customFormat="1" x14ac:dyDescent="0.25"/>
    <row r="186759" customFormat="1" x14ac:dyDescent="0.25"/>
    <row r="186760" customFormat="1" x14ac:dyDescent="0.25"/>
    <row r="186761" customFormat="1" x14ac:dyDescent="0.25"/>
    <row r="186762" customFormat="1" x14ac:dyDescent="0.25"/>
    <row r="186763" customFormat="1" x14ac:dyDescent="0.25"/>
    <row r="186764" customFormat="1" x14ac:dyDescent="0.25"/>
    <row r="186765" customFormat="1" x14ac:dyDescent="0.25"/>
    <row r="186766" customFormat="1" x14ac:dyDescent="0.25"/>
    <row r="186767" customFormat="1" x14ac:dyDescent="0.25"/>
    <row r="186768" customFormat="1" x14ac:dyDescent="0.25"/>
    <row r="186769" customFormat="1" x14ac:dyDescent="0.25"/>
    <row r="186770" customFormat="1" x14ac:dyDescent="0.25"/>
    <row r="186771" customFormat="1" x14ac:dyDescent="0.25"/>
    <row r="186772" customFormat="1" x14ac:dyDescent="0.25"/>
    <row r="186773" customFormat="1" x14ac:dyDescent="0.25"/>
    <row r="186774" customFormat="1" x14ac:dyDescent="0.25"/>
    <row r="186775" customFormat="1" x14ac:dyDescent="0.25"/>
    <row r="186776" customFormat="1" x14ac:dyDescent="0.25"/>
    <row r="186777" customFormat="1" x14ac:dyDescent="0.25"/>
    <row r="186778" customFormat="1" x14ac:dyDescent="0.25"/>
    <row r="186779" customFormat="1" x14ac:dyDescent="0.25"/>
    <row r="186780" customFormat="1" x14ac:dyDescent="0.25"/>
    <row r="186781" customFormat="1" x14ac:dyDescent="0.25"/>
    <row r="186782" customFormat="1" x14ac:dyDescent="0.25"/>
    <row r="186783" customFormat="1" x14ac:dyDescent="0.25"/>
    <row r="186784" customFormat="1" x14ac:dyDescent="0.25"/>
    <row r="186785" customFormat="1" x14ac:dyDescent="0.25"/>
    <row r="186786" customFormat="1" x14ac:dyDescent="0.25"/>
    <row r="186787" customFormat="1" x14ac:dyDescent="0.25"/>
    <row r="186788" customFormat="1" x14ac:dyDescent="0.25"/>
    <row r="186789" customFormat="1" x14ac:dyDescent="0.25"/>
    <row r="186790" customFormat="1" x14ac:dyDescent="0.25"/>
    <row r="186791" customFormat="1" x14ac:dyDescent="0.25"/>
    <row r="186792" customFormat="1" x14ac:dyDescent="0.25"/>
    <row r="186793" customFormat="1" x14ac:dyDescent="0.25"/>
    <row r="186794" customFormat="1" x14ac:dyDescent="0.25"/>
    <row r="186795" customFormat="1" x14ac:dyDescent="0.25"/>
    <row r="186796" customFormat="1" x14ac:dyDescent="0.25"/>
    <row r="186797" customFormat="1" x14ac:dyDescent="0.25"/>
    <row r="186798" customFormat="1" x14ac:dyDescent="0.25"/>
    <row r="186799" customFormat="1" x14ac:dyDescent="0.25"/>
    <row r="186800" customFormat="1" x14ac:dyDescent="0.25"/>
    <row r="186801" customFormat="1" x14ac:dyDescent="0.25"/>
    <row r="186802" customFormat="1" x14ac:dyDescent="0.25"/>
    <row r="186803" customFormat="1" x14ac:dyDescent="0.25"/>
    <row r="186804" customFormat="1" x14ac:dyDescent="0.25"/>
    <row r="186805" customFormat="1" x14ac:dyDescent="0.25"/>
    <row r="186806" customFormat="1" x14ac:dyDescent="0.25"/>
    <row r="186807" customFormat="1" x14ac:dyDescent="0.25"/>
    <row r="186808" customFormat="1" x14ac:dyDescent="0.25"/>
    <row r="186809" customFormat="1" x14ac:dyDescent="0.25"/>
    <row r="186810" customFormat="1" x14ac:dyDescent="0.25"/>
    <row r="186811" customFormat="1" x14ac:dyDescent="0.25"/>
    <row r="186812" customFormat="1" x14ac:dyDescent="0.25"/>
    <row r="186813" customFormat="1" x14ac:dyDescent="0.25"/>
    <row r="186814" customFormat="1" x14ac:dyDescent="0.25"/>
    <row r="186815" customFormat="1" x14ac:dyDescent="0.25"/>
    <row r="186816" customFormat="1" x14ac:dyDescent="0.25"/>
    <row r="186817" customFormat="1" x14ac:dyDescent="0.25"/>
    <row r="186818" customFormat="1" x14ac:dyDescent="0.25"/>
    <row r="186819" customFormat="1" x14ac:dyDescent="0.25"/>
    <row r="186820" customFormat="1" x14ac:dyDescent="0.25"/>
    <row r="186821" customFormat="1" x14ac:dyDescent="0.25"/>
    <row r="186822" customFormat="1" x14ac:dyDescent="0.25"/>
    <row r="186823" customFormat="1" x14ac:dyDescent="0.25"/>
    <row r="186824" customFormat="1" x14ac:dyDescent="0.25"/>
    <row r="186825" customFormat="1" x14ac:dyDescent="0.25"/>
    <row r="186826" customFormat="1" x14ac:dyDescent="0.25"/>
    <row r="186827" customFormat="1" x14ac:dyDescent="0.25"/>
    <row r="186828" customFormat="1" x14ac:dyDescent="0.25"/>
    <row r="186829" customFormat="1" x14ac:dyDescent="0.25"/>
    <row r="186830" customFormat="1" x14ac:dyDescent="0.25"/>
    <row r="186831" customFormat="1" x14ac:dyDescent="0.25"/>
    <row r="186832" customFormat="1" x14ac:dyDescent="0.25"/>
    <row r="186833" customFormat="1" x14ac:dyDescent="0.25"/>
    <row r="186834" customFormat="1" x14ac:dyDescent="0.25"/>
    <row r="186835" customFormat="1" x14ac:dyDescent="0.25"/>
    <row r="186836" customFormat="1" x14ac:dyDescent="0.25"/>
    <row r="186837" customFormat="1" x14ac:dyDescent="0.25"/>
    <row r="186838" customFormat="1" x14ac:dyDescent="0.25"/>
    <row r="186839" customFormat="1" x14ac:dyDescent="0.25"/>
    <row r="186840" customFormat="1" x14ac:dyDescent="0.25"/>
    <row r="186841" customFormat="1" x14ac:dyDescent="0.25"/>
    <row r="186842" customFormat="1" x14ac:dyDescent="0.25"/>
    <row r="186843" customFormat="1" x14ac:dyDescent="0.25"/>
    <row r="186844" customFormat="1" x14ac:dyDescent="0.25"/>
    <row r="186845" customFormat="1" x14ac:dyDescent="0.25"/>
    <row r="186846" customFormat="1" x14ac:dyDescent="0.25"/>
    <row r="186847" customFormat="1" x14ac:dyDescent="0.25"/>
    <row r="186848" customFormat="1" x14ac:dyDescent="0.25"/>
    <row r="186849" customFormat="1" x14ac:dyDescent="0.25"/>
    <row r="186850" customFormat="1" x14ac:dyDescent="0.25"/>
    <row r="186851" customFormat="1" x14ac:dyDescent="0.25"/>
    <row r="186852" customFormat="1" x14ac:dyDescent="0.25"/>
    <row r="186853" customFormat="1" x14ac:dyDescent="0.25"/>
    <row r="186854" customFormat="1" x14ac:dyDescent="0.25"/>
    <row r="186855" customFormat="1" x14ac:dyDescent="0.25"/>
    <row r="186856" customFormat="1" x14ac:dyDescent="0.25"/>
    <row r="186857" customFormat="1" x14ac:dyDescent="0.25"/>
    <row r="186858" customFormat="1" x14ac:dyDescent="0.25"/>
    <row r="186859" customFormat="1" x14ac:dyDescent="0.25"/>
    <row r="186860" customFormat="1" x14ac:dyDescent="0.25"/>
    <row r="186861" customFormat="1" x14ac:dyDescent="0.25"/>
    <row r="186862" customFormat="1" x14ac:dyDescent="0.25"/>
    <row r="186863" customFormat="1" x14ac:dyDescent="0.25"/>
    <row r="186864" customFormat="1" x14ac:dyDescent="0.25"/>
    <row r="186865" customFormat="1" x14ac:dyDescent="0.25"/>
    <row r="186866" customFormat="1" x14ac:dyDescent="0.25"/>
    <row r="186867" customFormat="1" x14ac:dyDescent="0.25"/>
    <row r="186868" customFormat="1" x14ac:dyDescent="0.25"/>
    <row r="186869" customFormat="1" x14ac:dyDescent="0.25"/>
    <row r="186870" customFormat="1" x14ac:dyDescent="0.25"/>
    <row r="186871" customFormat="1" x14ac:dyDescent="0.25"/>
    <row r="186872" customFormat="1" x14ac:dyDescent="0.25"/>
    <row r="186873" customFormat="1" x14ac:dyDescent="0.25"/>
    <row r="186874" customFormat="1" x14ac:dyDescent="0.25"/>
    <row r="186875" customFormat="1" x14ac:dyDescent="0.25"/>
    <row r="186876" customFormat="1" x14ac:dyDescent="0.25"/>
    <row r="186877" customFormat="1" x14ac:dyDescent="0.25"/>
    <row r="186878" customFormat="1" x14ac:dyDescent="0.25"/>
    <row r="186879" customFormat="1" x14ac:dyDescent="0.25"/>
    <row r="186880" customFormat="1" x14ac:dyDescent="0.25"/>
    <row r="186881" customFormat="1" x14ac:dyDescent="0.25"/>
    <row r="186882" customFormat="1" x14ac:dyDescent="0.25"/>
    <row r="186883" customFormat="1" x14ac:dyDescent="0.25"/>
    <row r="186884" customFormat="1" x14ac:dyDescent="0.25"/>
    <row r="186885" customFormat="1" x14ac:dyDescent="0.25"/>
    <row r="186886" customFormat="1" x14ac:dyDescent="0.25"/>
    <row r="186887" customFormat="1" x14ac:dyDescent="0.25"/>
    <row r="186888" customFormat="1" x14ac:dyDescent="0.25"/>
    <row r="186889" customFormat="1" x14ac:dyDescent="0.25"/>
    <row r="186890" customFormat="1" x14ac:dyDescent="0.25"/>
    <row r="186891" customFormat="1" x14ac:dyDescent="0.25"/>
    <row r="186892" customFormat="1" x14ac:dyDescent="0.25"/>
    <row r="186893" customFormat="1" x14ac:dyDescent="0.25"/>
    <row r="186894" customFormat="1" x14ac:dyDescent="0.25"/>
    <row r="186895" customFormat="1" x14ac:dyDescent="0.25"/>
    <row r="186896" customFormat="1" x14ac:dyDescent="0.25"/>
    <row r="186897" customFormat="1" x14ac:dyDescent="0.25"/>
    <row r="186898" customFormat="1" x14ac:dyDescent="0.25"/>
    <row r="186899" customFormat="1" x14ac:dyDescent="0.25"/>
    <row r="186900" customFormat="1" x14ac:dyDescent="0.25"/>
    <row r="186901" customFormat="1" x14ac:dyDescent="0.25"/>
    <row r="186902" customFormat="1" x14ac:dyDescent="0.25"/>
    <row r="186903" customFormat="1" x14ac:dyDescent="0.25"/>
    <row r="186904" customFormat="1" x14ac:dyDescent="0.25"/>
    <row r="186905" customFormat="1" x14ac:dyDescent="0.25"/>
    <row r="186906" customFormat="1" x14ac:dyDescent="0.25"/>
    <row r="186907" customFormat="1" x14ac:dyDescent="0.25"/>
    <row r="186908" customFormat="1" x14ac:dyDescent="0.25"/>
    <row r="186909" customFormat="1" x14ac:dyDescent="0.25"/>
    <row r="186910" customFormat="1" x14ac:dyDescent="0.25"/>
    <row r="186911" customFormat="1" x14ac:dyDescent="0.25"/>
    <row r="186912" customFormat="1" x14ac:dyDescent="0.25"/>
    <row r="186913" customFormat="1" x14ac:dyDescent="0.25"/>
    <row r="186914" customFormat="1" x14ac:dyDescent="0.25"/>
    <row r="186915" customFormat="1" x14ac:dyDescent="0.25"/>
    <row r="186916" customFormat="1" x14ac:dyDescent="0.25"/>
    <row r="186917" customFormat="1" x14ac:dyDescent="0.25"/>
    <row r="186918" customFormat="1" x14ac:dyDescent="0.25"/>
    <row r="186919" customFormat="1" x14ac:dyDescent="0.25"/>
    <row r="186920" customFormat="1" x14ac:dyDescent="0.25"/>
    <row r="186921" customFormat="1" x14ac:dyDescent="0.25"/>
    <row r="186922" customFormat="1" x14ac:dyDescent="0.25"/>
    <row r="186923" customFormat="1" x14ac:dyDescent="0.25"/>
    <row r="186924" customFormat="1" x14ac:dyDescent="0.25"/>
    <row r="186925" customFormat="1" x14ac:dyDescent="0.25"/>
    <row r="186926" customFormat="1" x14ac:dyDescent="0.25"/>
    <row r="186927" customFormat="1" x14ac:dyDescent="0.25"/>
    <row r="186928" customFormat="1" x14ac:dyDescent="0.25"/>
    <row r="186929" customFormat="1" x14ac:dyDescent="0.25"/>
    <row r="186930" customFormat="1" x14ac:dyDescent="0.25"/>
    <row r="186931" customFormat="1" x14ac:dyDescent="0.25"/>
    <row r="186932" customFormat="1" x14ac:dyDescent="0.25"/>
    <row r="186933" customFormat="1" x14ac:dyDescent="0.25"/>
    <row r="186934" customFormat="1" x14ac:dyDescent="0.25"/>
    <row r="186935" customFormat="1" x14ac:dyDescent="0.25"/>
    <row r="186936" customFormat="1" x14ac:dyDescent="0.25"/>
    <row r="186937" customFormat="1" x14ac:dyDescent="0.25"/>
    <row r="186938" customFormat="1" x14ac:dyDescent="0.25"/>
    <row r="186939" customFormat="1" x14ac:dyDescent="0.25"/>
    <row r="186940" customFormat="1" x14ac:dyDescent="0.25"/>
    <row r="186941" customFormat="1" x14ac:dyDescent="0.25"/>
    <row r="186942" customFormat="1" x14ac:dyDescent="0.25"/>
    <row r="186943" customFormat="1" x14ac:dyDescent="0.25"/>
    <row r="186944" customFormat="1" x14ac:dyDescent="0.25"/>
    <row r="186945" customFormat="1" x14ac:dyDescent="0.25"/>
    <row r="186946" customFormat="1" x14ac:dyDescent="0.25"/>
    <row r="186947" customFormat="1" x14ac:dyDescent="0.25"/>
    <row r="186948" customFormat="1" x14ac:dyDescent="0.25"/>
    <row r="186949" customFormat="1" x14ac:dyDescent="0.25"/>
    <row r="186950" customFormat="1" x14ac:dyDescent="0.25"/>
    <row r="186951" customFormat="1" x14ac:dyDescent="0.25"/>
    <row r="186952" customFormat="1" x14ac:dyDescent="0.25"/>
    <row r="186953" customFormat="1" x14ac:dyDescent="0.25"/>
    <row r="186954" customFormat="1" x14ac:dyDescent="0.25"/>
    <row r="186955" customFormat="1" x14ac:dyDescent="0.25"/>
    <row r="186956" customFormat="1" x14ac:dyDescent="0.25"/>
    <row r="186957" customFormat="1" x14ac:dyDescent="0.25"/>
    <row r="186958" customFormat="1" x14ac:dyDescent="0.25"/>
    <row r="186959" customFormat="1" x14ac:dyDescent="0.25"/>
    <row r="186960" customFormat="1" x14ac:dyDescent="0.25"/>
    <row r="186961" customFormat="1" x14ac:dyDescent="0.25"/>
    <row r="186962" customFormat="1" x14ac:dyDescent="0.25"/>
    <row r="186963" customFormat="1" x14ac:dyDescent="0.25"/>
    <row r="186964" customFormat="1" x14ac:dyDescent="0.25"/>
    <row r="186965" customFormat="1" x14ac:dyDescent="0.25"/>
    <row r="186966" customFormat="1" x14ac:dyDescent="0.25"/>
    <row r="186967" customFormat="1" x14ac:dyDescent="0.25"/>
    <row r="186968" customFormat="1" x14ac:dyDescent="0.25"/>
    <row r="186969" customFormat="1" x14ac:dyDescent="0.25"/>
    <row r="186970" customFormat="1" x14ac:dyDescent="0.25"/>
    <row r="186971" customFormat="1" x14ac:dyDescent="0.25"/>
    <row r="186972" customFormat="1" x14ac:dyDescent="0.25"/>
    <row r="186973" customFormat="1" x14ac:dyDescent="0.25"/>
    <row r="186974" customFormat="1" x14ac:dyDescent="0.25"/>
    <row r="186975" customFormat="1" x14ac:dyDescent="0.25"/>
    <row r="186976" customFormat="1" x14ac:dyDescent="0.25"/>
    <row r="186977" customFormat="1" x14ac:dyDescent="0.25"/>
    <row r="186978" customFormat="1" x14ac:dyDescent="0.25"/>
    <row r="186979" customFormat="1" x14ac:dyDescent="0.25"/>
    <row r="186980" customFormat="1" x14ac:dyDescent="0.25"/>
    <row r="186981" customFormat="1" x14ac:dyDescent="0.25"/>
    <row r="186982" customFormat="1" x14ac:dyDescent="0.25"/>
    <row r="186983" customFormat="1" x14ac:dyDescent="0.25"/>
    <row r="186984" customFormat="1" x14ac:dyDescent="0.25"/>
    <row r="186985" customFormat="1" x14ac:dyDescent="0.25"/>
    <row r="186986" customFormat="1" x14ac:dyDescent="0.25"/>
    <row r="186987" customFormat="1" x14ac:dyDescent="0.25"/>
    <row r="186988" customFormat="1" x14ac:dyDescent="0.25"/>
    <row r="186989" customFormat="1" x14ac:dyDescent="0.25"/>
    <row r="186990" customFormat="1" x14ac:dyDescent="0.25"/>
    <row r="186991" customFormat="1" x14ac:dyDescent="0.25"/>
    <row r="186992" customFormat="1" x14ac:dyDescent="0.25"/>
    <row r="186993" customFormat="1" x14ac:dyDescent="0.25"/>
    <row r="186994" customFormat="1" x14ac:dyDescent="0.25"/>
    <row r="186995" customFormat="1" x14ac:dyDescent="0.25"/>
    <row r="186996" customFormat="1" x14ac:dyDescent="0.25"/>
    <row r="186997" customFormat="1" x14ac:dyDescent="0.25"/>
    <row r="186998" customFormat="1" x14ac:dyDescent="0.25"/>
    <row r="186999" customFormat="1" x14ac:dyDescent="0.25"/>
    <row r="187000" customFormat="1" x14ac:dyDescent="0.25"/>
    <row r="187001" customFormat="1" x14ac:dyDescent="0.25"/>
    <row r="187002" customFormat="1" x14ac:dyDescent="0.25"/>
    <row r="187003" customFormat="1" x14ac:dyDescent="0.25"/>
    <row r="187004" customFormat="1" x14ac:dyDescent="0.25"/>
    <row r="187005" customFormat="1" x14ac:dyDescent="0.25"/>
    <row r="187006" customFormat="1" x14ac:dyDescent="0.25"/>
    <row r="187007" customFormat="1" x14ac:dyDescent="0.25"/>
    <row r="187008" customFormat="1" x14ac:dyDescent="0.25"/>
    <row r="187009" customFormat="1" x14ac:dyDescent="0.25"/>
    <row r="187010" customFormat="1" x14ac:dyDescent="0.25"/>
    <row r="187011" customFormat="1" x14ac:dyDescent="0.25"/>
    <row r="187012" customFormat="1" x14ac:dyDescent="0.25"/>
    <row r="187013" customFormat="1" x14ac:dyDescent="0.25"/>
    <row r="187014" customFormat="1" x14ac:dyDescent="0.25"/>
    <row r="187015" customFormat="1" x14ac:dyDescent="0.25"/>
    <row r="187016" customFormat="1" x14ac:dyDescent="0.25"/>
    <row r="187017" customFormat="1" x14ac:dyDescent="0.25"/>
    <row r="187018" customFormat="1" x14ac:dyDescent="0.25"/>
    <row r="187019" customFormat="1" x14ac:dyDescent="0.25"/>
    <row r="187020" customFormat="1" x14ac:dyDescent="0.25"/>
    <row r="187021" customFormat="1" x14ac:dyDescent="0.25"/>
    <row r="187022" customFormat="1" x14ac:dyDescent="0.25"/>
    <row r="187023" customFormat="1" x14ac:dyDescent="0.25"/>
    <row r="187024" customFormat="1" x14ac:dyDescent="0.25"/>
    <row r="187025" customFormat="1" x14ac:dyDescent="0.25"/>
    <row r="187026" customFormat="1" x14ac:dyDescent="0.25"/>
    <row r="187027" customFormat="1" x14ac:dyDescent="0.25"/>
    <row r="187028" customFormat="1" x14ac:dyDescent="0.25"/>
    <row r="187029" customFormat="1" x14ac:dyDescent="0.25"/>
    <row r="187030" customFormat="1" x14ac:dyDescent="0.25"/>
    <row r="187031" customFormat="1" x14ac:dyDescent="0.25"/>
    <row r="187032" customFormat="1" x14ac:dyDescent="0.25"/>
    <row r="187033" customFormat="1" x14ac:dyDescent="0.25"/>
    <row r="187034" customFormat="1" x14ac:dyDescent="0.25"/>
    <row r="187035" customFormat="1" x14ac:dyDescent="0.25"/>
    <row r="187036" customFormat="1" x14ac:dyDescent="0.25"/>
    <row r="187037" customFormat="1" x14ac:dyDescent="0.25"/>
    <row r="187038" customFormat="1" x14ac:dyDescent="0.25"/>
    <row r="187039" customFormat="1" x14ac:dyDescent="0.25"/>
    <row r="187040" customFormat="1" x14ac:dyDescent="0.25"/>
    <row r="187041" customFormat="1" x14ac:dyDescent="0.25"/>
    <row r="187042" customFormat="1" x14ac:dyDescent="0.25"/>
    <row r="187043" customFormat="1" x14ac:dyDescent="0.25"/>
    <row r="187044" customFormat="1" x14ac:dyDescent="0.25"/>
    <row r="187045" customFormat="1" x14ac:dyDescent="0.25"/>
    <row r="187046" customFormat="1" x14ac:dyDescent="0.25"/>
    <row r="187047" customFormat="1" x14ac:dyDescent="0.25"/>
    <row r="187048" customFormat="1" x14ac:dyDescent="0.25"/>
    <row r="187049" customFormat="1" x14ac:dyDescent="0.25"/>
    <row r="187050" customFormat="1" x14ac:dyDescent="0.25"/>
    <row r="187051" customFormat="1" x14ac:dyDescent="0.25"/>
    <row r="187052" customFormat="1" x14ac:dyDescent="0.25"/>
    <row r="187053" customFormat="1" x14ac:dyDescent="0.25"/>
    <row r="187054" customFormat="1" x14ac:dyDescent="0.25"/>
    <row r="187055" customFormat="1" x14ac:dyDescent="0.25"/>
    <row r="187056" customFormat="1" x14ac:dyDescent="0.25"/>
    <row r="187057" customFormat="1" x14ac:dyDescent="0.25"/>
    <row r="187058" customFormat="1" x14ac:dyDescent="0.25"/>
    <row r="187059" customFormat="1" x14ac:dyDescent="0.25"/>
    <row r="187060" customFormat="1" x14ac:dyDescent="0.25"/>
    <row r="187061" customFormat="1" x14ac:dyDescent="0.25"/>
    <row r="187062" customFormat="1" x14ac:dyDescent="0.25"/>
    <row r="187063" customFormat="1" x14ac:dyDescent="0.25"/>
    <row r="187064" customFormat="1" x14ac:dyDescent="0.25"/>
    <row r="187065" customFormat="1" x14ac:dyDescent="0.25"/>
    <row r="187066" customFormat="1" x14ac:dyDescent="0.25"/>
    <row r="187067" customFormat="1" x14ac:dyDescent="0.25"/>
    <row r="187068" customFormat="1" x14ac:dyDescent="0.25"/>
    <row r="187069" customFormat="1" x14ac:dyDescent="0.25"/>
    <row r="187070" customFormat="1" x14ac:dyDescent="0.25"/>
    <row r="187071" customFormat="1" x14ac:dyDescent="0.25"/>
    <row r="187072" customFormat="1" x14ac:dyDescent="0.25"/>
    <row r="187073" customFormat="1" x14ac:dyDescent="0.25"/>
    <row r="187074" customFormat="1" x14ac:dyDescent="0.25"/>
    <row r="187075" customFormat="1" x14ac:dyDescent="0.25"/>
    <row r="187076" customFormat="1" x14ac:dyDescent="0.25"/>
    <row r="187077" customFormat="1" x14ac:dyDescent="0.25"/>
    <row r="187078" customFormat="1" x14ac:dyDescent="0.25"/>
    <row r="187079" customFormat="1" x14ac:dyDescent="0.25"/>
    <row r="187080" customFormat="1" x14ac:dyDescent="0.25"/>
    <row r="187081" customFormat="1" x14ac:dyDescent="0.25"/>
    <row r="187082" customFormat="1" x14ac:dyDescent="0.25"/>
    <row r="187083" customFormat="1" x14ac:dyDescent="0.25"/>
    <row r="187084" customFormat="1" x14ac:dyDescent="0.25"/>
    <row r="187085" customFormat="1" x14ac:dyDescent="0.25"/>
    <row r="187086" customFormat="1" x14ac:dyDescent="0.25"/>
    <row r="187087" customFormat="1" x14ac:dyDescent="0.25"/>
    <row r="187088" customFormat="1" x14ac:dyDescent="0.25"/>
    <row r="187089" customFormat="1" x14ac:dyDescent="0.25"/>
    <row r="187090" customFormat="1" x14ac:dyDescent="0.25"/>
    <row r="187091" customFormat="1" x14ac:dyDescent="0.25"/>
    <row r="187092" customFormat="1" x14ac:dyDescent="0.25"/>
    <row r="187093" customFormat="1" x14ac:dyDescent="0.25"/>
    <row r="187094" customFormat="1" x14ac:dyDescent="0.25"/>
    <row r="187095" customFormat="1" x14ac:dyDescent="0.25"/>
    <row r="187096" customFormat="1" x14ac:dyDescent="0.25"/>
    <row r="187097" customFormat="1" x14ac:dyDescent="0.25"/>
    <row r="187098" customFormat="1" x14ac:dyDescent="0.25"/>
    <row r="187099" customFormat="1" x14ac:dyDescent="0.25"/>
    <row r="187100" customFormat="1" x14ac:dyDescent="0.25"/>
    <row r="187101" customFormat="1" x14ac:dyDescent="0.25"/>
    <row r="187102" customFormat="1" x14ac:dyDescent="0.25"/>
    <row r="187103" customFormat="1" x14ac:dyDescent="0.25"/>
    <row r="187104" customFormat="1" x14ac:dyDescent="0.25"/>
    <row r="187105" customFormat="1" x14ac:dyDescent="0.25"/>
    <row r="187106" customFormat="1" x14ac:dyDescent="0.25"/>
    <row r="187107" customFormat="1" x14ac:dyDescent="0.25"/>
    <row r="187108" customFormat="1" x14ac:dyDescent="0.25"/>
    <row r="187109" customFormat="1" x14ac:dyDescent="0.25"/>
    <row r="187110" customFormat="1" x14ac:dyDescent="0.25"/>
    <row r="187111" customFormat="1" x14ac:dyDescent="0.25"/>
    <row r="187112" customFormat="1" x14ac:dyDescent="0.25"/>
    <row r="187113" customFormat="1" x14ac:dyDescent="0.25"/>
    <row r="187114" customFormat="1" x14ac:dyDescent="0.25"/>
    <row r="187115" customFormat="1" x14ac:dyDescent="0.25"/>
    <row r="187116" customFormat="1" x14ac:dyDescent="0.25"/>
    <row r="187117" customFormat="1" x14ac:dyDescent="0.25"/>
    <row r="187118" customFormat="1" x14ac:dyDescent="0.25"/>
    <row r="187119" customFormat="1" x14ac:dyDescent="0.25"/>
    <row r="187120" customFormat="1" x14ac:dyDescent="0.25"/>
    <row r="187121" customFormat="1" x14ac:dyDescent="0.25"/>
    <row r="187122" customFormat="1" x14ac:dyDescent="0.25"/>
    <row r="187123" customFormat="1" x14ac:dyDescent="0.25"/>
    <row r="187124" customFormat="1" x14ac:dyDescent="0.25"/>
    <row r="187125" customFormat="1" x14ac:dyDescent="0.25"/>
    <row r="187126" customFormat="1" x14ac:dyDescent="0.25"/>
    <row r="187127" customFormat="1" x14ac:dyDescent="0.25"/>
    <row r="187128" customFormat="1" x14ac:dyDescent="0.25"/>
    <row r="187129" customFormat="1" x14ac:dyDescent="0.25"/>
    <row r="187130" customFormat="1" x14ac:dyDescent="0.25"/>
    <row r="187131" customFormat="1" x14ac:dyDescent="0.25"/>
    <row r="187132" customFormat="1" x14ac:dyDescent="0.25"/>
    <row r="187133" customFormat="1" x14ac:dyDescent="0.25"/>
    <row r="187134" customFormat="1" x14ac:dyDescent="0.25"/>
    <row r="187135" customFormat="1" x14ac:dyDescent="0.25"/>
    <row r="187136" customFormat="1" x14ac:dyDescent="0.25"/>
    <row r="187137" customFormat="1" x14ac:dyDescent="0.25"/>
    <row r="187138" customFormat="1" x14ac:dyDescent="0.25"/>
    <row r="187139" customFormat="1" x14ac:dyDescent="0.25"/>
    <row r="187140" customFormat="1" x14ac:dyDescent="0.25"/>
    <row r="187141" customFormat="1" x14ac:dyDescent="0.25"/>
    <row r="187142" customFormat="1" x14ac:dyDescent="0.25"/>
    <row r="187143" customFormat="1" x14ac:dyDescent="0.25"/>
    <row r="187144" customFormat="1" x14ac:dyDescent="0.25"/>
    <row r="187145" customFormat="1" x14ac:dyDescent="0.25"/>
    <row r="187146" customFormat="1" x14ac:dyDescent="0.25"/>
    <row r="187147" customFormat="1" x14ac:dyDescent="0.25"/>
    <row r="187148" customFormat="1" x14ac:dyDescent="0.25"/>
    <row r="187149" customFormat="1" x14ac:dyDescent="0.25"/>
    <row r="187150" customFormat="1" x14ac:dyDescent="0.25"/>
    <row r="187151" customFormat="1" x14ac:dyDescent="0.25"/>
    <row r="187152" customFormat="1" x14ac:dyDescent="0.25"/>
    <row r="187153" customFormat="1" x14ac:dyDescent="0.25"/>
    <row r="187154" customFormat="1" x14ac:dyDescent="0.25"/>
    <row r="187155" customFormat="1" x14ac:dyDescent="0.25"/>
    <row r="187156" customFormat="1" x14ac:dyDescent="0.25"/>
    <row r="187157" customFormat="1" x14ac:dyDescent="0.25"/>
    <row r="187158" customFormat="1" x14ac:dyDescent="0.25"/>
    <row r="187159" customFormat="1" x14ac:dyDescent="0.25"/>
    <row r="187160" customFormat="1" x14ac:dyDescent="0.25"/>
    <row r="187161" customFormat="1" x14ac:dyDescent="0.25"/>
    <row r="187162" customFormat="1" x14ac:dyDescent="0.25"/>
    <row r="187163" customFormat="1" x14ac:dyDescent="0.25"/>
    <row r="187164" customFormat="1" x14ac:dyDescent="0.25"/>
    <row r="187165" customFormat="1" x14ac:dyDescent="0.25"/>
    <row r="187166" customFormat="1" x14ac:dyDescent="0.25"/>
    <row r="187167" customFormat="1" x14ac:dyDescent="0.25"/>
    <row r="187168" customFormat="1" x14ac:dyDescent="0.25"/>
    <row r="187169" customFormat="1" x14ac:dyDescent="0.25"/>
    <row r="187170" customFormat="1" x14ac:dyDescent="0.25"/>
    <row r="187171" customFormat="1" x14ac:dyDescent="0.25"/>
    <row r="187172" customFormat="1" x14ac:dyDescent="0.25"/>
    <row r="187173" customFormat="1" x14ac:dyDescent="0.25"/>
    <row r="187174" customFormat="1" x14ac:dyDescent="0.25"/>
    <row r="187175" customFormat="1" x14ac:dyDescent="0.25"/>
    <row r="187176" customFormat="1" x14ac:dyDescent="0.25"/>
    <row r="187177" customFormat="1" x14ac:dyDescent="0.25"/>
    <row r="187178" customFormat="1" x14ac:dyDescent="0.25"/>
    <row r="187179" customFormat="1" x14ac:dyDescent="0.25"/>
    <row r="187180" customFormat="1" x14ac:dyDescent="0.25"/>
    <row r="187181" customFormat="1" x14ac:dyDescent="0.25"/>
    <row r="187182" customFormat="1" x14ac:dyDescent="0.25"/>
    <row r="187183" customFormat="1" x14ac:dyDescent="0.25"/>
    <row r="187184" customFormat="1" x14ac:dyDescent="0.25"/>
    <row r="187185" customFormat="1" x14ac:dyDescent="0.25"/>
    <row r="187186" customFormat="1" x14ac:dyDescent="0.25"/>
    <row r="187187" customFormat="1" x14ac:dyDescent="0.25"/>
    <row r="187188" customFormat="1" x14ac:dyDescent="0.25"/>
    <row r="187189" customFormat="1" x14ac:dyDescent="0.25"/>
    <row r="187190" customFormat="1" x14ac:dyDescent="0.25"/>
    <row r="187191" customFormat="1" x14ac:dyDescent="0.25"/>
    <row r="187192" customFormat="1" x14ac:dyDescent="0.25"/>
    <row r="187193" customFormat="1" x14ac:dyDescent="0.25"/>
    <row r="187194" customFormat="1" x14ac:dyDescent="0.25"/>
    <row r="187195" customFormat="1" x14ac:dyDescent="0.25"/>
    <row r="187196" customFormat="1" x14ac:dyDescent="0.25"/>
    <row r="187197" customFormat="1" x14ac:dyDescent="0.25"/>
    <row r="187198" customFormat="1" x14ac:dyDescent="0.25"/>
    <row r="187199" customFormat="1" x14ac:dyDescent="0.25"/>
    <row r="187200" customFormat="1" x14ac:dyDescent="0.25"/>
    <row r="187201" customFormat="1" x14ac:dyDescent="0.25"/>
    <row r="187202" customFormat="1" x14ac:dyDescent="0.25"/>
    <row r="187203" customFormat="1" x14ac:dyDescent="0.25"/>
    <row r="187204" customFormat="1" x14ac:dyDescent="0.25"/>
    <row r="187205" customFormat="1" x14ac:dyDescent="0.25"/>
    <row r="187206" customFormat="1" x14ac:dyDescent="0.25"/>
    <row r="187207" customFormat="1" x14ac:dyDescent="0.25"/>
    <row r="187208" customFormat="1" x14ac:dyDescent="0.25"/>
    <row r="187209" customFormat="1" x14ac:dyDescent="0.25"/>
    <row r="187210" customFormat="1" x14ac:dyDescent="0.25"/>
    <row r="187211" customFormat="1" x14ac:dyDescent="0.25"/>
    <row r="187212" customFormat="1" x14ac:dyDescent="0.25"/>
    <row r="187213" customFormat="1" x14ac:dyDescent="0.25"/>
    <row r="187214" customFormat="1" x14ac:dyDescent="0.25"/>
    <row r="187215" customFormat="1" x14ac:dyDescent="0.25"/>
    <row r="187216" customFormat="1" x14ac:dyDescent="0.25"/>
    <row r="187217" customFormat="1" x14ac:dyDescent="0.25"/>
    <row r="187218" customFormat="1" x14ac:dyDescent="0.25"/>
    <row r="187219" customFormat="1" x14ac:dyDescent="0.25"/>
    <row r="187220" customFormat="1" x14ac:dyDescent="0.25"/>
    <row r="187221" customFormat="1" x14ac:dyDescent="0.25"/>
    <row r="187222" customFormat="1" x14ac:dyDescent="0.25"/>
    <row r="187223" customFormat="1" x14ac:dyDescent="0.25"/>
    <row r="187224" customFormat="1" x14ac:dyDescent="0.25"/>
    <row r="187225" customFormat="1" x14ac:dyDescent="0.25"/>
    <row r="187226" customFormat="1" x14ac:dyDescent="0.25"/>
    <row r="187227" customFormat="1" x14ac:dyDescent="0.25"/>
    <row r="187228" customFormat="1" x14ac:dyDescent="0.25"/>
    <row r="187229" customFormat="1" x14ac:dyDescent="0.25"/>
    <row r="187230" customFormat="1" x14ac:dyDescent="0.25"/>
    <row r="187231" customFormat="1" x14ac:dyDescent="0.25"/>
    <row r="187232" customFormat="1" x14ac:dyDescent="0.25"/>
    <row r="187233" customFormat="1" x14ac:dyDescent="0.25"/>
    <row r="187234" customFormat="1" x14ac:dyDescent="0.25"/>
    <row r="187235" customFormat="1" x14ac:dyDescent="0.25"/>
    <row r="187236" customFormat="1" x14ac:dyDescent="0.25"/>
    <row r="187237" customFormat="1" x14ac:dyDescent="0.25"/>
    <row r="187238" customFormat="1" x14ac:dyDescent="0.25"/>
    <row r="187239" customFormat="1" x14ac:dyDescent="0.25"/>
    <row r="187240" customFormat="1" x14ac:dyDescent="0.25"/>
    <row r="187241" customFormat="1" x14ac:dyDescent="0.25"/>
    <row r="187242" customFormat="1" x14ac:dyDescent="0.25"/>
    <row r="187243" customFormat="1" x14ac:dyDescent="0.25"/>
    <row r="187244" customFormat="1" x14ac:dyDescent="0.25"/>
    <row r="187245" customFormat="1" x14ac:dyDescent="0.25"/>
    <row r="187246" customFormat="1" x14ac:dyDescent="0.25"/>
    <row r="187247" customFormat="1" x14ac:dyDescent="0.25"/>
    <row r="187248" customFormat="1" x14ac:dyDescent="0.25"/>
    <row r="187249" customFormat="1" x14ac:dyDescent="0.25"/>
    <row r="187250" customFormat="1" x14ac:dyDescent="0.25"/>
    <row r="187251" customFormat="1" x14ac:dyDescent="0.25"/>
    <row r="187252" customFormat="1" x14ac:dyDescent="0.25"/>
    <row r="187253" customFormat="1" x14ac:dyDescent="0.25"/>
    <row r="187254" customFormat="1" x14ac:dyDescent="0.25"/>
    <row r="187255" customFormat="1" x14ac:dyDescent="0.25"/>
    <row r="187256" customFormat="1" x14ac:dyDescent="0.25"/>
    <row r="187257" customFormat="1" x14ac:dyDescent="0.25"/>
    <row r="187258" customFormat="1" x14ac:dyDescent="0.25"/>
    <row r="187259" customFormat="1" x14ac:dyDescent="0.25"/>
    <row r="187260" customFormat="1" x14ac:dyDescent="0.25"/>
    <row r="187261" customFormat="1" x14ac:dyDescent="0.25"/>
    <row r="187262" customFormat="1" x14ac:dyDescent="0.25"/>
    <row r="187263" customFormat="1" x14ac:dyDescent="0.25"/>
    <row r="187264" customFormat="1" x14ac:dyDescent="0.25"/>
    <row r="187265" customFormat="1" x14ac:dyDescent="0.25"/>
    <row r="187266" customFormat="1" x14ac:dyDescent="0.25"/>
    <row r="187267" customFormat="1" x14ac:dyDescent="0.25"/>
    <row r="187268" customFormat="1" x14ac:dyDescent="0.25"/>
    <row r="187269" customFormat="1" x14ac:dyDescent="0.25"/>
    <row r="187270" customFormat="1" x14ac:dyDescent="0.25"/>
    <row r="187271" customFormat="1" x14ac:dyDescent="0.25"/>
    <row r="187272" customFormat="1" x14ac:dyDescent="0.25"/>
    <row r="187273" customFormat="1" x14ac:dyDescent="0.25"/>
    <row r="187274" customFormat="1" x14ac:dyDescent="0.25"/>
    <row r="187275" customFormat="1" x14ac:dyDescent="0.25"/>
    <row r="187276" customFormat="1" x14ac:dyDescent="0.25"/>
    <row r="187277" customFormat="1" x14ac:dyDescent="0.25"/>
    <row r="187278" customFormat="1" x14ac:dyDescent="0.25"/>
    <row r="187279" customFormat="1" x14ac:dyDescent="0.25"/>
    <row r="187280" customFormat="1" x14ac:dyDescent="0.25"/>
    <row r="187281" customFormat="1" x14ac:dyDescent="0.25"/>
    <row r="187282" customFormat="1" x14ac:dyDescent="0.25"/>
    <row r="187283" customFormat="1" x14ac:dyDescent="0.25"/>
    <row r="187284" customFormat="1" x14ac:dyDescent="0.25"/>
    <row r="187285" customFormat="1" x14ac:dyDescent="0.25"/>
    <row r="187286" customFormat="1" x14ac:dyDescent="0.25"/>
    <row r="187287" customFormat="1" x14ac:dyDescent="0.25"/>
    <row r="187288" customFormat="1" x14ac:dyDescent="0.25"/>
    <row r="187289" customFormat="1" x14ac:dyDescent="0.25"/>
    <row r="187290" customFormat="1" x14ac:dyDescent="0.25"/>
    <row r="187291" customFormat="1" x14ac:dyDescent="0.25"/>
    <row r="187292" customFormat="1" x14ac:dyDescent="0.25"/>
    <row r="187293" customFormat="1" x14ac:dyDescent="0.25"/>
    <row r="187294" customFormat="1" x14ac:dyDescent="0.25"/>
    <row r="187295" customFormat="1" x14ac:dyDescent="0.25"/>
    <row r="187296" customFormat="1" x14ac:dyDescent="0.25"/>
    <row r="187297" customFormat="1" x14ac:dyDescent="0.25"/>
    <row r="187298" customFormat="1" x14ac:dyDescent="0.25"/>
    <row r="187299" customFormat="1" x14ac:dyDescent="0.25"/>
    <row r="187300" customFormat="1" x14ac:dyDescent="0.25"/>
    <row r="187301" customFormat="1" x14ac:dyDescent="0.25"/>
    <row r="187302" customFormat="1" x14ac:dyDescent="0.25"/>
    <row r="187303" customFormat="1" x14ac:dyDescent="0.25"/>
    <row r="187304" customFormat="1" x14ac:dyDescent="0.25"/>
    <row r="187305" customFormat="1" x14ac:dyDescent="0.25"/>
    <row r="187306" customFormat="1" x14ac:dyDescent="0.25"/>
    <row r="187307" customFormat="1" x14ac:dyDescent="0.25"/>
    <row r="187308" customFormat="1" x14ac:dyDescent="0.25"/>
    <row r="187309" customFormat="1" x14ac:dyDescent="0.25"/>
    <row r="187310" customFormat="1" x14ac:dyDescent="0.25"/>
    <row r="187311" customFormat="1" x14ac:dyDescent="0.25"/>
    <row r="187312" customFormat="1" x14ac:dyDescent="0.25"/>
    <row r="187313" customFormat="1" x14ac:dyDescent="0.25"/>
    <row r="187314" customFormat="1" x14ac:dyDescent="0.25"/>
    <row r="187315" customFormat="1" x14ac:dyDescent="0.25"/>
    <row r="187316" customFormat="1" x14ac:dyDescent="0.25"/>
    <row r="187317" customFormat="1" x14ac:dyDescent="0.25"/>
    <row r="187318" customFormat="1" x14ac:dyDescent="0.25"/>
    <row r="187319" customFormat="1" x14ac:dyDescent="0.25"/>
    <row r="187320" customFormat="1" x14ac:dyDescent="0.25"/>
    <row r="187321" customFormat="1" x14ac:dyDescent="0.25"/>
    <row r="187322" customFormat="1" x14ac:dyDescent="0.25"/>
    <row r="187323" customFormat="1" x14ac:dyDescent="0.25"/>
    <row r="187324" customFormat="1" x14ac:dyDescent="0.25"/>
    <row r="187325" customFormat="1" x14ac:dyDescent="0.25"/>
    <row r="187326" customFormat="1" x14ac:dyDescent="0.25"/>
    <row r="187327" customFormat="1" x14ac:dyDescent="0.25"/>
    <row r="187328" customFormat="1" x14ac:dyDescent="0.25"/>
    <row r="187329" customFormat="1" x14ac:dyDescent="0.25"/>
    <row r="187330" customFormat="1" x14ac:dyDescent="0.25"/>
    <row r="187331" customFormat="1" x14ac:dyDescent="0.25"/>
    <row r="187332" customFormat="1" x14ac:dyDescent="0.25"/>
    <row r="187333" customFormat="1" x14ac:dyDescent="0.25"/>
    <row r="187334" customFormat="1" x14ac:dyDescent="0.25"/>
    <row r="187335" customFormat="1" x14ac:dyDescent="0.25"/>
    <row r="187336" customFormat="1" x14ac:dyDescent="0.25"/>
    <row r="187337" customFormat="1" x14ac:dyDescent="0.25"/>
    <row r="187338" customFormat="1" x14ac:dyDescent="0.25"/>
    <row r="187339" customFormat="1" x14ac:dyDescent="0.25"/>
    <row r="187340" customFormat="1" x14ac:dyDescent="0.25"/>
    <row r="187341" customFormat="1" x14ac:dyDescent="0.25"/>
    <row r="187342" customFormat="1" x14ac:dyDescent="0.25"/>
    <row r="187343" customFormat="1" x14ac:dyDescent="0.25"/>
    <row r="187344" customFormat="1" x14ac:dyDescent="0.25"/>
    <row r="187345" customFormat="1" x14ac:dyDescent="0.25"/>
    <row r="187346" customFormat="1" x14ac:dyDescent="0.25"/>
    <row r="187347" customFormat="1" x14ac:dyDescent="0.25"/>
    <row r="187348" customFormat="1" x14ac:dyDescent="0.25"/>
    <row r="187349" customFormat="1" x14ac:dyDescent="0.25"/>
    <row r="187350" customFormat="1" x14ac:dyDescent="0.25"/>
    <row r="187351" customFormat="1" x14ac:dyDescent="0.25"/>
    <row r="187352" customFormat="1" x14ac:dyDescent="0.25"/>
    <row r="187353" customFormat="1" x14ac:dyDescent="0.25"/>
    <row r="187354" customFormat="1" x14ac:dyDescent="0.25"/>
    <row r="187355" customFormat="1" x14ac:dyDescent="0.25"/>
    <row r="187356" customFormat="1" x14ac:dyDescent="0.25"/>
    <row r="187357" customFormat="1" x14ac:dyDescent="0.25"/>
    <row r="187358" customFormat="1" x14ac:dyDescent="0.25"/>
    <row r="187359" customFormat="1" x14ac:dyDescent="0.25"/>
    <row r="187360" customFormat="1" x14ac:dyDescent="0.25"/>
    <row r="187361" customFormat="1" x14ac:dyDescent="0.25"/>
    <row r="187362" customFormat="1" x14ac:dyDescent="0.25"/>
    <row r="187363" customFormat="1" x14ac:dyDescent="0.25"/>
    <row r="187364" customFormat="1" x14ac:dyDescent="0.25"/>
    <row r="187365" customFormat="1" x14ac:dyDescent="0.25"/>
    <row r="187366" customFormat="1" x14ac:dyDescent="0.25"/>
    <row r="187367" customFormat="1" x14ac:dyDescent="0.25"/>
    <row r="187368" customFormat="1" x14ac:dyDescent="0.25"/>
    <row r="187369" customFormat="1" x14ac:dyDescent="0.25"/>
    <row r="187370" customFormat="1" x14ac:dyDescent="0.25"/>
    <row r="187371" customFormat="1" x14ac:dyDescent="0.25"/>
    <row r="187372" customFormat="1" x14ac:dyDescent="0.25"/>
    <row r="187373" customFormat="1" x14ac:dyDescent="0.25"/>
    <row r="187374" customFormat="1" x14ac:dyDescent="0.25"/>
    <row r="187375" customFormat="1" x14ac:dyDescent="0.25"/>
    <row r="187376" customFormat="1" x14ac:dyDescent="0.25"/>
    <row r="187377" customFormat="1" x14ac:dyDescent="0.25"/>
    <row r="187378" customFormat="1" x14ac:dyDescent="0.25"/>
    <row r="187379" customFormat="1" x14ac:dyDescent="0.25"/>
    <row r="187380" customFormat="1" x14ac:dyDescent="0.25"/>
    <row r="187381" customFormat="1" x14ac:dyDescent="0.25"/>
    <row r="187382" customFormat="1" x14ac:dyDescent="0.25"/>
    <row r="187383" customFormat="1" x14ac:dyDescent="0.25"/>
    <row r="187384" customFormat="1" x14ac:dyDescent="0.25"/>
    <row r="187385" customFormat="1" x14ac:dyDescent="0.25"/>
    <row r="187386" customFormat="1" x14ac:dyDescent="0.25"/>
    <row r="187387" customFormat="1" x14ac:dyDescent="0.25"/>
    <row r="187388" customFormat="1" x14ac:dyDescent="0.25"/>
    <row r="187389" customFormat="1" x14ac:dyDescent="0.25"/>
    <row r="187390" customFormat="1" x14ac:dyDescent="0.25"/>
    <row r="187391" customFormat="1" x14ac:dyDescent="0.25"/>
    <row r="187392" customFormat="1" x14ac:dyDescent="0.25"/>
    <row r="187393" customFormat="1" x14ac:dyDescent="0.25"/>
    <row r="187394" customFormat="1" x14ac:dyDescent="0.25"/>
    <row r="187395" customFormat="1" x14ac:dyDescent="0.25"/>
    <row r="187396" customFormat="1" x14ac:dyDescent="0.25"/>
    <row r="187397" customFormat="1" x14ac:dyDescent="0.25"/>
    <row r="187398" customFormat="1" x14ac:dyDescent="0.25"/>
    <row r="187399" customFormat="1" x14ac:dyDescent="0.25"/>
    <row r="187400" customFormat="1" x14ac:dyDescent="0.25"/>
    <row r="187401" customFormat="1" x14ac:dyDescent="0.25"/>
    <row r="187402" customFormat="1" x14ac:dyDescent="0.25"/>
    <row r="187403" customFormat="1" x14ac:dyDescent="0.25"/>
    <row r="187404" customFormat="1" x14ac:dyDescent="0.25"/>
    <row r="187405" customFormat="1" x14ac:dyDescent="0.25"/>
    <row r="187406" customFormat="1" x14ac:dyDescent="0.25"/>
    <row r="187407" customFormat="1" x14ac:dyDescent="0.25"/>
    <row r="187408" customFormat="1" x14ac:dyDescent="0.25"/>
    <row r="187409" customFormat="1" x14ac:dyDescent="0.25"/>
    <row r="187410" customFormat="1" x14ac:dyDescent="0.25"/>
    <row r="187411" customFormat="1" x14ac:dyDescent="0.25"/>
    <row r="187412" customFormat="1" x14ac:dyDescent="0.25"/>
    <row r="187413" customFormat="1" x14ac:dyDescent="0.25"/>
    <row r="187414" customFormat="1" x14ac:dyDescent="0.25"/>
    <row r="187415" customFormat="1" x14ac:dyDescent="0.25"/>
    <row r="187416" customFormat="1" x14ac:dyDescent="0.25"/>
    <row r="187417" customFormat="1" x14ac:dyDescent="0.25"/>
    <row r="187418" customFormat="1" x14ac:dyDescent="0.25"/>
    <row r="187419" customFormat="1" x14ac:dyDescent="0.25"/>
    <row r="187420" customFormat="1" x14ac:dyDescent="0.25"/>
    <row r="187421" customFormat="1" x14ac:dyDescent="0.25"/>
    <row r="187422" customFormat="1" x14ac:dyDescent="0.25"/>
    <row r="187423" customFormat="1" x14ac:dyDescent="0.25"/>
    <row r="187424" customFormat="1" x14ac:dyDescent="0.25"/>
    <row r="187425" customFormat="1" x14ac:dyDescent="0.25"/>
    <row r="187426" customFormat="1" x14ac:dyDescent="0.25"/>
    <row r="187427" customFormat="1" x14ac:dyDescent="0.25"/>
    <row r="187428" customFormat="1" x14ac:dyDescent="0.25"/>
    <row r="187429" customFormat="1" x14ac:dyDescent="0.25"/>
    <row r="187430" customFormat="1" x14ac:dyDescent="0.25"/>
    <row r="187431" customFormat="1" x14ac:dyDescent="0.25"/>
    <row r="187432" customFormat="1" x14ac:dyDescent="0.25"/>
    <row r="187433" customFormat="1" x14ac:dyDescent="0.25"/>
    <row r="187434" customFormat="1" x14ac:dyDescent="0.25"/>
    <row r="187435" customFormat="1" x14ac:dyDescent="0.25"/>
    <row r="187436" customFormat="1" x14ac:dyDescent="0.25"/>
    <row r="187437" customFormat="1" x14ac:dyDescent="0.25"/>
    <row r="187438" customFormat="1" x14ac:dyDescent="0.25"/>
    <row r="187439" customFormat="1" x14ac:dyDescent="0.25"/>
    <row r="187440" customFormat="1" x14ac:dyDescent="0.25"/>
    <row r="187441" customFormat="1" x14ac:dyDescent="0.25"/>
    <row r="187442" customFormat="1" x14ac:dyDescent="0.25"/>
    <row r="187443" customFormat="1" x14ac:dyDescent="0.25"/>
    <row r="187444" customFormat="1" x14ac:dyDescent="0.25"/>
    <row r="187445" customFormat="1" x14ac:dyDescent="0.25"/>
    <row r="187446" customFormat="1" x14ac:dyDescent="0.25"/>
    <row r="187447" customFormat="1" x14ac:dyDescent="0.25"/>
    <row r="187448" customFormat="1" x14ac:dyDescent="0.25"/>
    <row r="187449" customFormat="1" x14ac:dyDescent="0.25"/>
    <row r="187450" customFormat="1" x14ac:dyDescent="0.25"/>
    <row r="187451" customFormat="1" x14ac:dyDescent="0.25"/>
    <row r="187452" customFormat="1" x14ac:dyDescent="0.25"/>
    <row r="187453" customFormat="1" x14ac:dyDescent="0.25"/>
    <row r="187454" customFormat="1" x14ac:dyDescent="0.25"/>
    <row r="187455" customFormat="1" x14ac:dyDescent="0.25"/>
    <row r="187456" customFormat="1" x14ac:dyDescent="0.25"/>
    <row r="187457" customFormat="1" x14ac:dyDescent="0.25"/>
    <row r="187458" customFormat="1" x14ac:dyDescent="0.25"/>
    <row r="187459" customFormat="1" x14ac:dyDescent="0.25"/>
    <row r="187460" customFormat="1" x14ac:dyDescent="0.25"/>
    <row r="187461" customFormat="1" x14ac:dyDescent="0.25"/>
    <row r="187462" customFormat="1" x14ac:dyDescent="0.25"/>
    <row r="187463" customFormat="1" x14ac:dyDescent="0.25"/>
    <row r="187464" customFormat="1" x14ac:dyDescent="0.25"/>
    <row r="187465" customFormat="1" x14ac:dyDescent="0.25"/>
    <row r="187466" customFormat="1" x14ac:dyDescent="0.25"/>
    <row r="187467" customFormat="1" x14ac:dyDescent="0.25"/>
    <row r="187468" customFormat="1" x14ac:dyDescent="0.25"/>
    <row r="187469" customFormat="1" x14ac:dyDescent="0.25"/>
    <row r="187470" customFormat="1" x14ac:dyDescent="0.25"/>
    <row r="187471" customFormat="1" x14ac:dyDescent="0.25"/>
    <row r="187472" customFormat="1" x14ac:dyDescent="0.25"/>
    <row r="187473" customFormat="1" x14ac:dyDescent="0.25"/>
    <row r="187474" customFormat="1" x14ac:dyDescent="0.25"/>
    <row r="187475" customFormat="1" x14ac:dyDescent="0.25"/>
    <row r="187476" customFormat="1" x14ac:dyDescent="0.25"/>
    <row r="187477" customFormat="1" x14ac:dyDescent="0.25"/>
    <row r="187478" customFormat="1" x14ac:dyDescent="0.25"/>
    <row r="187479" customFormat="1" x14ac:dyDescent="0.25"/>
    <row r="187480" customFormat="1" x14ac:dyDescent="0.25"/>
    <row r="187481" customFormat="1" x14ac:dyDescent="0.25"/>
    <row r="187482" customFormat="1" x14ac:dyDescent="0.25"/>
    <row r="187483" customFormat="1" x14ac:dyDescent="0.25"/>
    <row r="187484" customFormat="1" x14ac:dyDescent="0.25"/>
    <row r="187485" customFormat="1" x14ac:dyDescent="0.25"/>
    <row r="187486" customFormat="1" x14ac:dyDescent="0.25"/>
    <row r="187487" customFormat="1" x14ac:dyDescent="0.25"/>
    <row r="187488" customFormat="1" x14ac:dyDescent="0.25"/>
    <row r="187489" customFormat="1" x14ac:dyDescent="0.25"/>
    <row r="187490" customFormat="1" x14ac:dyDescent="0.25"/>
    <row r="187491" customFormat="1" x14ac:dyDescent="0.25"/>
    <row r="187492" customFormat="1" x14ac:dyDescent="0.25"/>
    <row r="187493" customFormat="1" x14ac:dyDescent="0.25"/>
    <row r="187494" customFormat="1" x14ac:dyDescent="0.25"/>
    <row r="187495" customFormat="1" x14ac:dyDescent="0.25"/>
    <row r="187496" customFormat="1" x14ac:dyDescent="0.25"/>
    <row r="187497" customFormat="1" x14ac:dyDescent="0.25"/>
    <row r="187498" customFormat="1" x14ac:dyDescent="0.25"/>
    <row r="187499" customFormat="1" x14ac:dyDescent="0.25"/>
    <row r="187500" customFormat="1" x14ac:dyDescent="0.25"/>
    <row r="187501" customFormat="1" x14ac:dyDescent="0.25"/>
    <row r="187502" customFormat="1" x14ac:dyDescent="0.25"/>
    <row r="187503" customFormat="1" x14ac:dyDescent="0.25"/>
    <row r="187504" customFormat="1" x14ac:dyDescent="0.25"/>
    <row r="187505" customFormat="1" x14ac:dyDescent="0.25"/>
    <row r="187506" customFormat="1" x14ac:dyDescent="0.25"/>
    <row r="187507" customFormat="1" x14ac:dyDescent="0.25"/>
    <row r="187508" customFormat="1" x14ac:dyDescent="0.25"/>
    <row r="187509" customFormat="1" x14ac:dyDescent="0.25"/>
    <row r="187510" customFormat="1" x14ac:dyDescent="0.25"/>
    <row r="187511" customFormat="1" x14ac:dyDescent="0.25"/>
    <row r="187512" customFormat="1" x14ac:dyDescent="0.25"/>
    <row r="187513" customFormat="1" x14ac:dyDescent="0.25"/>
    <row r="187514" customFormat="1" x14ac:dyDescent="0.25"/>
    <row r="187515" customFormat="1" x14ac:dyDescent="0.25"/>
    <row r="187516" customFormat="1" x14ac:dyDescent="0.25"/>
    <row r="187517" customFormat="1" x14ac:dyDescent="0.25"/>
    <row r="187518" customFormat="1" x14ac:dyDescent="0.25"/>
    <row r="187519" customFormat="1" x14ac:dyDescent="0.25"/>
    <row r="187520" customFormat="1" x14ac:dyDescent="0.25"/>
    <row r="187521" customFormat="1" x14ac:dyDescent="0.25"/>
    <row r="187522" customFormat="1" x14ac:dyDescent="0.25"/>
    <row r="187523" customFormat="1" x14ac:dyDescent="0.25"/>
    <row r="187524" customFormat="1" x14ac:dyDescent="0.25"/>
    <row r="187525" customFormat="1" x14ac:dyDescent="0.25"/>
    <row r="187526" customFormat="1" x14ac:dyDescent="0.25"/>
    <row r="187527" customFormat="1" x14ac:dyDescent="0.25"/>
    <row r="187528" customFormat="1" x14ac:dyDescent="0.25"/>
    <row r="187529" customFormat="1" x14ac:dyDescent="0.25"/>
    <row r="187530" customFormat="1" x14ac:dyDescent="0.25"/>
    <row r="187531" customFormat="1" x14ac:dyDescent="0.25"/>
    <row r="187532" customFormat="1" x14ac:dyDescent="0.25"/>
    <row r="187533" customFormat="1" x14ac:dyDescent="0.25"/>
    <row r="187534" customFormat="1" x14ac:dyDescent="0.25"/>
    <row r="187535" customFormat="1" x14ac:dyDescent="0.25"/>
    <row r="187536" customFormat="1" x14ac:dyDescent="0.25"/>
    <row r="187537" customFormat="1" x14ac:dyDescent="0.25"/>
    <row r="187538" customFormat="1" x14ac:dyDescent="0.25"/>
    <row r="187539" customFormat="1" x14ac:dyDescent="0.25"/>
    <row r="187540" customFormat="1" x14ac:dyDescent="0.25"/>
    <row r="187541" customFormat="1" x14ac:dyDescent="0.25"/>
    <row r="187542" customFormat="1" x14ac:dyDescent="0.25"/>
    <row r="187543" customFormat="1" x14ac:dyDescent="0.25"/>
    <row r="187544" customFormat="1" x14ac:dyDescent="0.25"/>
    <row r="187545" customFormat="1" x14ac:dyDescent="0.25"/>
    <row r="187546" customFormat="1" x14ac:dyDescent="0.25"/>
    <row r="187547" customFormat="1" x14ac:dyDescent="0.25"/>
    <row r="187548" customFormat="1" x14ac:dyDescent="0.25"/>
    <row r="187549" customFormat="1" x14ac:dyDescent="0.25"/>
    <row r="187550" customFormat="1" x14ac:dyDescent="0.25"/>
    <row r="187551" customFormat="1" x14ac:dyDescent="0.25"/>
    <row r="187552" customFormat="1" x14ac:dyDescent="0.25"/>
    <row r="187553" customFormat="1" x14ac:dyDescent="0.25"/>
    <row r="187554" customFormat="1" x14ac:dyDescent="0.25"/>
    <row r="187555" customFormat="1" x14ac:dyDescent="0.25"/>
    <row r="187556" customFormat="1" x14ac:dyDescent="0.25"/>
    <row r="187557" customFormat="1" x14ac:dyDescent="0.25"/>
    <row r="187558" customFormat="1" x14ac:dyDescent="0.25"/>
    <row r="187559" customFormat="1" x14ac:dyDescent="0.25"/>
    <row r="187560" customFormat="1" x14ac:dyDescent="0.25"/>
    <row r="187561" customFormat="1" x14ac:dyDescent="0.25"/>
    <row r="187562" customFormat="1" x14ac:dyDescent="0.25"/>
    <row r="187563" customFormat="1" x14ac:dyDescent="0.25"/>
    <row r="187564" customFormat="1" x14ac:dyDescent="0.25"/>
    <row r="187565" customFormat="1" x14ac:dyDescent="0.25"/>
    <row r="187566" customFormat="1" x14ac:dyDescent="0.25"/>
    <row r="187567" customFormat="1" x14ac:dyDescent="0.25"/>
    <row r="187568" customFormat="1" x14ac:dyDescent="0.25"/>
    <row r="187569" customFormat="1" x14ac:dyDescent="0.25"/>
    <row r="187570" customFormat="1" x14ac:dyDescent="0.25"/>
    <row r="187571" customFormat="1" x14ac:dyDescent="0.25"/>
    <row r="187572" customFormat="1" x14ac:dyDescent="0.25"/>
    <row r="187573" customFormat="1" x14ac:dyDescent="0.25"/>
    <row r="187574" customFormat="1" x14ac:dyDescent="0.25"/>
    <row r="187575" customFormat="1" x14ac:dyDescent="0.25"/>
    <row r="187576" customFormat="1" x14ac:dyDescent="0.25"/>
    <row r="187577" customFormat="1" x14ac:dyDescent="0.25"/>
    <row r="187578" customFormat="1" x14ac:dyDescent="0.25"/>
    <row r="187579" customFormat="1" x14ac:dyDescent="0.25"/>
    <row r="187580" customFormat="1" x14ac:dyDescent="0.25"/>
    <row r="187581" customFormat="1" x14ac:dyDescent="0.25"/>
    <row r="187582" customFormat="1" x14ac:dyDescent="0.25"/>
    <row r="187583" customFormat="1" x14ac:dyDescent="0.25"/>
    <row r="187584" customFormat="1" x14ac:dyDescent="0.25"/>
    <row r="187585" customFormat="1" x14ac:dyDescent="0.25"/>
    <row r="187586" customFormat="1" x14ac:dyDescent="0.25"/>
    <row r="187587" customFormat="1" x14ac:dyDescent="0.25"/>
    <row r="187588" customFormat="1" x14ac:dyDescent="0.25"/>
    <row r="187589" customFormat="1" x14ac:dyDescent="0.25"/>
    <row r="187590" customFormat="1" x14ac:dyDescent="0.25"/>
    <row r="187591" customFormat="1" x14ac:dyDescent="0.25"/>
    <row r="187592" customFormat="1" x14ac:dyDescent="0.25"/>
    <row r="187593" customFormat="1" x14ac:dyDescent="0.25"/>
    <row r="187594" customFormat="1" x14ac:dyDescent="0.25"/>
    <row r="187595" customFormat="1" x14ac:dyDescent="0.25"/>
    <row r="187596" customFormat="1" x14ac:dyDescent="0.25"/>
    <row r="187597" customFormat="1" x14ac:dyDescent="0.25"/>
    <row r="187598" customFormat="1" x14ac:dyDescent="0.25"/>
    <row r="187599" customFormat="1" x14ac:dyDescent="0.25"/>
    <row r="187600" customFormat="1" x14ac:dyDescent="0.25"/>
    <row r="187601" customFormat="1" x14ac:dyDescent="0.25"/>
    <row r="187602" customFormat="1" x14ac:dyDescent="0.25"/>
    <row r="187603" customFormat="1" x14ac:dyDescent="0.25"/>
    <row r="187604" customFormat="1" x14ac:dyDescent="0.25"/>
    <row r="187605" customFormat="1" x14ac:dyDescent="0.25"/>
    <row r="187606" customFormat="1" x14ac:dyDescent="0.25"/>
    <row r="187607" customFormat="1" x14ac:dyDescent="0.25"/>
    <row r="187608" customFormat="1" x14ac:dyDescent="0.25"/>
    <row r="187609" customFormat="1" x14ac:dyDescent="0.25"/>
    <row r="187610" customFormat="1" x14ac:dyDescent="0.25"/>
    <row r="187611" customFormat="1" x14ac:dyDescent="0.25"/>
    <row r="187612" customFormat="1" x14ac:dyDescent="0.25"/>
    <row r="187613" customFormat="1" x14ac:dyDescent="0.25"/>
    <row r="187614" customFormat="1" x14ac:dyDescent="0.25"/>
    <row r="187615" customFormat="1" x14ac:dyDescent="0.25"/>
    <row r="187616" customFormat="1" x14ac:dyDescent="0.25"/>
    <row r="187617" customFormat="1" x14ac:dyDescent="0.25"/>
    <row r="187618" customFormat="1" x14ac:dyDescent="0.25"/>
    <row r="187619" customFormat="1" x14ac:dyDescent="0.25"/>
    <row r="187620" customFormat="1" x14ac:dyDescent="0.25"/>
    <row r="187621" customFormat="1" x14ac:dyDescent="0.25"/>
    <row r="187622" customFormat="1" x14ac:dyDescent="0.25"/>
    <row r="187623" customFormat="1" x14ac:dyDescent="0.25"/>
    <row r="187624" customFormat="1" x14ac:dyDescent="0.25"/>
    <row r="187625" customFormat="1" x14ac:dyDescent="0.25"/>
    <row r="187626" customFormat="1" x14ac:dyDescent="0.25"/>
    <row r="187627" customFormat="1" x14ac:dyDescent="0.25"/>
    <row r="187628" customFormat="1" x14ac:dyDescent="0.25"/>
    <row r="187629" customFormat="1" x14ac:dyDescent="0.25"/>
    <row r="187630" customFormat="1" x14ac:dyDescent="0.25"/>
    <row r="187631" customFormat="1" x14ac:dyDescent="0.25"/>
    <row r="187632" customFormat="1" x14ac:dyDescent="0.25"/>
    <row r="187633" customFormat="1" x14ac:dyDescent="0.25"/>
    <row r="187634" customFormat="1" x14ac:dyDescent="0.25"/>
    <row r="187635" customFormat="1" x14ac:dyDescent="0.25"/>
    <row r="187636" customFormat="1" x14ac:dyDescent="0.25"/>
    <row r="187637" customFormat="1" x14ac:dyDescent="0.25"/>
    <row r="187638" customFormat="1" x14ac:dyDescent="0.25"/>
    <row r="187639" customFormat="1" x14ac:dyDescent="0.25"/>
    <row r="187640" customFormat="1" x14ac:dyDescent="0.25"/>
    <row r="187641" customFormat="1" x14ac:dyDescent="0.25"/>
    <row r="187642" customFormat="1" x14ac:dyDescent="0.25"/>
    <row r="187643" customFormat="1" x14ac:dyDescent="0.25"/>
    <row r="187644" customFormat="1" x14ac:dyDescent="0.25"/>
    <row r="187645" customFormat="1" x14ac:dyDescent="0.25"/>
    <row r="187646" customFormat="1" x14ac:dyDescent="0.25"/>
    <row r="187647" customFormat="1" x14ac:dyDescent="0.25"/>
    <row r="187648" customFormat="1" x14ac:dyDescent="0.25"/>
    <row r="187649" customFormat="1" x14ac:dyDescent="0.25"/>
    <row r="187650" customFormat="1" x14ac:dyDescent="0.25"/>
    <row r="187651" customFormat="1" x14ac:dyDescent="0.25"/>
    <row r="187652" customFormat="1" x14ac:dyDescent="0.25"/>
    <row r="187653" customFormat="1" x14ac:dyDescent="0.25"/>
    <row r="187654" customFormat="1" x14ac:dyDescent="0.25"/>
    <row r="187655" customFormat="1" x14ac:dyDescent="0.25"/>
    <row r="187656" customFormat="1" x14ac:dyDescent="0.25"/>
    <row r="187657" customFormat="1" x14ac:dyDescent="0.25"/>
    <row r="187658" customFormat="1" x14ac:dyDescent="0.25"/>
    <row r="187659" customFormat="1" x14ac:dyDescent="0.25"/>
    <row r="187660" customFormat="1" x14ac:dyDescent="0.25"/>
    <row r="187661" customFormat="1" x14ac:dyDescent="0.25"/>
    <row r="187662" customFormat="1" x14ac:dyDescent="0.25"/>
    <row r="187663" customFormat="1" x14ac:dyDescent="0.25"/>
    <row r="187664" customFormat="1" x14ac:dyDescent="0.25"/>
    <row r="187665" customFormat="1" x14ac:dyDescent="0.25"/>
    <row r="187666" customFormat="1" x14ac:dyDescent="0.25"/>
    <row r="187667" customFormat="1" x14ac:dyDescent="0.25"/>
    <row r="187668" customFormat="1" x14ac:dyDescent="0.25"/>
    <row r="187669" customFormat="1" x14ac:dyDescent="0.25"/>
    <row r="187670" customFormat="1" x14ac:dyDescent="0.25"/>
    <row r="187671" customFormat="1" x14ac:dyDescent="0.25"/>
    <row r="187672" customFormat="1" x14ac:dyDescent="0.25"/>
    <row r="187673" customFormat="1" x14ac:dyDescent="0.25"/>
    <row r="187674" customFormat="1" x14ac:dyDescent="0.25"/>
    <row r="187675" customFormat="1" x14ac:dyDescent="0.25"/>
    <row r="187676" customFormat="1" x14ac:dyDescent="0.25"/>
    <row r="187677" customFormat="1" x14ac:dyDescent="0.25"/>
    <row r="187678" customFormat="1" x14ac:dyDescent="0.25"/>
    <row r="187679" customFormat="1" x14ac:dyDescent="0.25"/>
    <row r="187680" customFormat="1" x14ac:dyDescent="0.25"/>
    <row r="187681" customFormat="1" x14ac:dyDescent="0.25"/>
    <row r="187682" customFormat="1" x14ac:dyDescent="0.25"/>
    <row r="187683" customFormat="1" x14ac:dyDescent="0.25"/>
    <row r="187684" customFormat="1" x14ac:dyDescent="0.25"/>
    <row r="187685" customFormat="1" x14ac:dyDescent="0.25"/>
    <row r="187686" customFormat="1" x14ac:dyDescent="0.25"/>
    <row r="187687" customFormat="1" x14ac:dyDescent="0.25"/>
    <row r="187688" customFormat="1" x14ac:dyDescent="0.25"/>
    <row r="187689" customFormat="1" x14ac:dyDescent="0.25"/>
    <row r="187690" customFormat="1" x14ac:dyDescent="0.25"/>
    <row r="187691" customFormat="1" x14ac:dyDescent="0.25"/>
    <row r="187692" customFormat="1" x14ac:dyDescent="0.25"/>
    <row r="187693" customFormat="1" x14ac:dyDescent="0.25"/>
    <row r="187694" customFormat="1" x14ac:dyDescent="0.25"/>
    <row r="187695" customFormat="1" x14ac:dyDescent="0.25"/>
    <row r="187696" customFormat="1" x14ac:dyDescent="0.25"/>
    <row r="187697" customFormat="1" x14ac:dyDescent="0.25"/>
    <row r="187698" customFormat="1" x14ac:dyDescent="0.25"/>
    <row r="187699" customFormat="1" x14ac:dyDescent="0.25"/>
    <row r="187700" customFormat="1" x14ac:dyDescent="0.25"/>
    <row r="187701" customFormat="1" x14ac:dyDescent="0.25"/>
    <row r="187702" customFormat="1" x14ac:dyDescent="0.25"/>
    <row r="187703" customFormat="1" x14ac:dyDescent="0.25"/>
    <row r="187704" customFormat="1" x14ac:dyDescent="0.25"/>
    <row r="187705" customFormat="1" x14ac:dyDescent="0.25"/>
    <row r="187706" customFormat="1" x14ac:dyDescent="0.25"/>
    <row r="187707" customFormat="1" x14ac:dyDescent="0.25"/>
    <row r="187708" customFormat="1" x14ac:dyDescent="0.25"/>
    <row r="187709" customFormat="1" x14ac:dyDescent="0.25"/>
    <row r="187710" customFormat="1" x14ac:dyDescent="0.25"/>
    <row r="187711" customFormat="1" x14ac:dyDescent="0.25"/>
    <row r="187712" customFormat="1" x14ac:dyDescent="0.25"/>
    <row r="187713" customFormat="1" x14ac:dyDescent="0.25"/>
    <row r="187714" customFormat="1" x14ac:dyDescent="0.25"/>
    <row r="187715" customFormat="1" x14ac:dyDescent="0.25"/>
    <row r="187716" customFormat="1" x14ac:dyDescent="0.25"/>
    <row r="187717" customFormat="1" x14ac:dyDescent="0.25"/>
    <row r="187718" customFormat="1" x14ac:dyDescent="0.25"/>
    <row r="187719" customFormat="1" x14ac:dyDescent="0.25"/>
    <row r="187720" customFormat="1" x14ac:dyDescent="0.25"/>
    <row r="187721" customFormat="1" x14ac:dyDescent="0.25"/>
    <row r="187722" customFormat="1" x14ac:dyDescent="0.25"/>
    <row r="187723" customFormat="1" x14ac:dyDescent="0.25"/>
    <row r="187724" customFormat="1" x14ac:dyDescent="0.25"/>
    <row r="187725" customFormat="1" x14ac:dyDescent="0.25"/>
    <row r="187726" customFormat="1" x14ac:dyDescent="0.25"/>
    <row r="187727" customFormat="1" x14ac:dyDescent="0.25"/>
    <row r="187728" customFormat="1" x14ac:dyDescent="0.25"/>
    <row r="187729" customFormat="1" x14ac:dyDescent="0.25"/>
    <row r="187730" customFormat="1" x14ac:dyDescent="0.25"/>
    <row r="187731" customFormat="1" x14ac:dyDescent="0.25"/>
    <row r="187732" customFormat="1" x14ac:dyDescent="0.25"/>
    <row r="187733" customFormat="1" x14ac:dyDescent="0.25"/>
    <row r="187734" customFormat="1" x14ac:dyDescent="0.25"/>
    <row r="187735" customFormat="1" x14ac:dyDescent="0.25"/>
    <row r="187736" customFormat="1" x14ac:dyDescent="0.25"/>
    <row r="187737" customFormat="1" x14ac:dyDescent="0.25"/>
    <row r="187738" customFormat="1" x14ac:dyDescent="0.25"/>
    <row r="187739" customFormat="1" x14ac:dyDescent="0.25"/>
    <row r="187740" customFormat="1" x14ac:dyDescent="0.25"/>
    <row r="187741" customFormat="1" x14ac:dyDescent="0.25"/>
    <row r="187742" customFormat="1" x14ac:dyDescent="0.25"/>
    <row r="187743" customFormat="1" x14ac:dyDescent="0.25"/>
    <row r="187744" customFormat="1" x14ac:dyDescent="0.25"/>
    <row r="187745" customFormat="1" x14ac:dyDescent="0.25"/>
    <row r="187746" customFormat="1" x14ac:dyDescent="0.25"/>
    <row r="187747" customFormat="1" x14ac:dyDescent="0.25"/>
    <row r="187748" customFormat="1" x14ac:dyDescent="0.25"/>
    <row r="187749" customFormat="1" x14ac:dyDescent="0.25"/>
    <row r="187750" customFormat="1" x14ac:dyDescent="0.25"/>
    <row r="187751" customFormat="1" x14ac:dyDescent="0.25"/>
    <row r="187752" customFormat="1" x14ac:dyDescent="0.25"/>
    <row r="187753" customFormat="1" x14ac:dyDescent="0.25"/>
    <row r="187754" customFormat="1" x14ac:dyDescent="0.25"/>
    <row r="187755" customFormat="1" x14ac:dyDescent="0.25"/>
    <row r="187756" customFormat="1" x14ac:dyDescent="0.25"/>
    <row r="187757" customFormat="1" x14ac:dyDescent="0.25"/>
    <row r="187758" customFormat="1" x14ac:dyDescent="0.25"/>
    <row r="187759" customFormat="1" x14ac:dyDescent="0.25"/>
    <row r="187760" customFormat="1" x14ac:dyDescent="0.25"/>
    <row r="187761" customFormat="1" x14ac:dyDescent="0.25"/>
    <row r="187762" customFormat="1" x14ac:dyDescent="0.25"/>
    <row r="187763" customFormat="1" x14ac:dyDescent="0.25"/>
    <row r="187764" customFormat="1" x14ac:dyDescent="0.25"/>
    <row r="187765" customFormat="1" x14ac:dyDescent="0.25"/>
    <row r="187766" customFormat="1" x14ac:dyDescent="0.25"/>
    <row r="187767" customFormat="1" x14ac:dyDescent="0.25"/>
    <row r="187768" customFormat="1" x14ac:dyDescent="0.25"/>
    <row r="187769" customFormat="1" x14ac:dyDescent="0.25"/>
    <row r="187770" customFormat="1" x14ac:dyDescent="0.25"/>
    <row r="187771" customFormat="1" x14ac:dyDescent="0.25"/>
    <row r="187772" customFormat="1" x14ac:dyDescent="0.25"/>
    <row r="187773" customFormat="1" x14ac:dyDescent="0.25"/>
    <row r="187774" customFormat="1" x14ac:dyDescent="0.25"/>
    <row r="187775" customFormat="1" x14ac:dyDescent="0.25"/>
    <row r="187776" customFormat="1" x14ac:dyDescent="0.25"/>
    <row r="187777" customFormat="1" x14ac:dyDescent="0.25"/>
    <row r="187778" customFormat="1" x14ac:dyDescent="0.25"/>
    <row r="187779" customFormat="1" x14ac:dyDescent="0.25"/>
    <row r="187780" customFormat="1" x14ac:dyDescent="0.25"/>
    <row r="187781" customFormat="1" x14ac:dyDescent="0.25"/>
    <row r="187782" customFormat="1" x14ac:dyDescent="0.25"/>
    <row r="187783" customFormat="1" x14ac:dyDescent="0.25"/>
    <row r="187784" customFormat="1" x14ac:dyDescent="0.25"/>
    <row r="187785" customFormat="1" x14ac:dyDescent="0.25"/>
    <row r="187786" customFormat="1" x14ac:dyDescent="0.25"/>
    <row r="187787" customFormat="1" x14ac:dyDescent="0.25"/>
    <row r="187788" customFormat="1" x14ac:dyDescent="0.25"/>
    <row r="187789" customFormat="1" x14ac:dyDescent="0.25"/>
    <row r="187790" customFormat="1" x14ac:dyDescent="0.25"/>
    <row r="187791" customFormat="1" x14ac:dyDescent="0.25"/>
    <row r="187792" customFormat="1" x14ac:dyDescent="0.25"/>
    <row r="187793" customFormat="1" x14ac:dyDescent="0.25"/>
    <row r="187794" customFormat="1" x14ac:dyDescent="0.25"/>
    <row r="187795" customFormat="1" x14ac:dyDescent="0.25"/>
    <row r="187796" customFormat="1" x14ac:dyDescent="0.25"/>
    <row r="187797" customFormat="1" x14ac:dyDescent="0.25"/>
    <row r="187798" customFormat="1" x14ac:dyDescent="0.25"/>
    <row r="187799" customFormat="1" x14ac:dyDescent="0.25"/>
    <row r="187800" customFormat="1" x14ac:dyDescent="0.25"/>
    <row r="187801" customFormat="1" x14ac:dyDescent="0.25"/>
    <row r="187802" customFormat="1" x14ac:dyDescent="0.25"/>
    <row r="187803" customFormat="1" x14ac:dyDescent="0.25"/>
    <row r="187804" customFormat="1" x14ac:dyDescent="0.25"/>
    <row r="187805" customFormat="1" x14ac:dyDescent="0.25"/>
    <row r="187806" customFormat="1" x14ac:dyDescent="0.25"/>
    <row r="187807" customFormat="1" x14ac:dyDescent="0.25"/>
    <row r="187808" customFormat="1" x14ac:dyDescent="0.25"/>
    <row r="187809" customFormat="1" x14ac:dyDescent="0.25"/>
    <row r="187810" customFormat="1" x14ac:dyDescent="0.25"/>
    <row r="187811" customFormat="1" x14ac:dyDescent="0.25"/>
    <row r="187812" customFormat="1" x14ac:dyDescent="0.25"/>
    <row r="187813" customFormat="1" x14ac:dyDescent="0.25"/>
    <row r="187814" customFormat="1" x14ac:dyDescent="0.25"/>
    <row r="187815" customFormat="1" x14ac:dyDescent="0.25"/>
    <row r="187816" customFormat="1" x14ac:dyDescent="0.25"/>
    <row r="187817" customFormat="1" x14ac:dyDescent="0.25"/>
    <row r="187818" customFormat="1" x14ac:dyDescent="0.25"/>
    <row r="187819" customFormat="1" x14ac:dyDescent="0.25"/>
    <row r="187820" customFormat="1" x14ac:dyDescent="0.25"/>
    <row r="187821" customFormat="1" x14ac:dyDescent="0.25"/>
    <row r="187822" customFormat="1" x14ac:dyDescent="0.25"/>
    <row r="187823" customFormat="1" x14ac:dyDescent="0.25"/>
    <row r="187824" customFormat="1" x14ac:dyDescent="0.25"/>
    <row r="187825" customFormat="1" x14ac:dyDescent="0.25"/>
    <row r="187826" customFormat="1" x14ac:dyDescent="0.25"/>
    <row r="187827" customFormat="1" x14ac:dyDescent="0.25"/>
    <row r="187828" customFormat="1" x14ac:dyDescent="0.25"/>
    <row r="187829" customFormat="1" x14ac:dyDescent="0.25"/>
    <row r="187830" customFormat="1" x14ac:dyDescent="0.25"/>
    <row r="187831" customFormat="1" x14ac:dyDescent="0.25"/>
    <row r="187832" customFormat="1" x14ac:dyDescent="0.25"/>
    <row r="187833" customFormat="1" x14ac:dyDescent="0.25"/>
    <row r="187834" customFormat="1" x14ac:dyDescent="0.25"/>
    <row r="187835" customFormat="1" x14ac:dyDescent="0.25"/>
    <row r="187836" customFormat="1" x14ac:dyDescent="0.25"/>
    <row r="187837" customFormat="1" x14ac:dyDescent="0.25"/>
    <row r="187838" customFormat="1" x14ac:dyDescent="0.25"/>
    <row r="187839" customFormat="1" x14ac:dyDescent="0.25"/>
    <row r="187840" customFormat="1" x14ac:dyDescent="0.25"/>
    <row r="187841" customFormat="1" x14ac:dyDescent="0.25"/>
    <row r="187842" customFormat="1" x14ac:dyDescent="0.25"/>
    <row r="187843" customFormat="1" x14ac:dyDescent="0.25"/>
    <row r="187844" customFormat="1" x14ac:dyDescent="0.25"/>
    <row r="187845" customFormat="1" x14ac:dyDescent="0.25"/>
    <row r="187846" customFormat="1" x14ac:dyDescent="0.25"/>
    <row r="187847" customFormat="1" x14ac:dyDescent="0.25"/>
    <row r="187848" customFormat="1" x14ac:dyDescent="0.25"/>
    <row r="187849" customFormat="1" x14ac:dyDescent="0.25"/>
    <row r="187850" customFormat="1" x14ac:dyDescent="0.25"/>
    <row r="187851" customFormat="1" x14ac:dyDescent="0.25"/>
    <row r="187852" customFormat="1" x14ac:dyDescent="0.25"/>
    <row r="187853" customFormat="1" x14ac:dyDescent="0.25"/>
    <row r="187854" customFormat="1" x14ac:dyDescent="0.25"/>
    <row r="187855" customFormat="1" x14ac:dyDescent="0.25"/>
    <row r="187856" customFormat="1" x14ac:dyDescent="0.25"/>
    <row r="187857" customFormat="1" x14ac:dyDescent="0.25"/>
    <row r="187858" customFormat="1" x14ac:dyDescent="0.25"/>
    <row r="187859" customFormat="1" x14ac:dyDescent="0.25"/>
    <row r="187860" customFormat="1" x14ac:dyDescent="0.25"/>
    <row r="187861" customFormat="1" x14ac:dyDescent="0.25"/>
    <row r="187862" customFormat="1" x14ac:dyDescent="0.25"/>
    <row r="187863" customFormat="1" x14ac:dyDescent="0.25"/>
    <row r="187864" customFormat="1" x14ac:dyDescent="0.25"/>
    <row r="187865" customFormat="1" x14ac:dyDescent="0.25"/>
    <row r="187866" customFormat="1" x14ac:dyDescent="0.25"/>
    <row r="187867" customFormat="1" x14ac:dyDescent="0.25"/>
    <row r="187868" customFormat="1" x14ac:dyDescent="0.25"/>
    <row r="187869" customFormat="1" x14ac:dyDescent="0.25"/>
    <row r="187870" customFormat="1" x14ac:dyDescent="0.25"/>
    <row r="187871" customFormat="1" x14ac:dyDescent="0.25"/>
    <row r="187872" customFormat="1" x14ac:dyDescent="0.25"/>
    <row r="187873" customFormat="1" x14ac:dyDescent="0.25"/>
    <row r="187874" customFormat="1" x14ac:dyDescent="0.25"/>
    <row r="187875" customFormat="1" x14ac:dyDescent="0.25"/>
    <row r="187876" customFormat="1" x14ac:dyDescent="0.25"/>
    <row r="187877" customFormat="1" x14ac:dyDescent="0.25"/>
    <row r="187878" customFormat="1" x14ac:dyDescent="0.25"/>
    <row r="187879" customFormat="1" x14ac:dyDescent="0.25"/>
    <row r="187880" customFormat="1" x14ac:dyDescent="0.25"/>
    <row r="187881" customFormat="1" x14ac:dyDescent="0.25"/>
    <row r="187882" customFormat="1" x14ac:dyDescent="0.25"/>
    <row r="187883" customFormat="1" x14ac:dyDescent="0.25"/>
    <row r="187884" customFormat="1" x14ac:dyDescent="0.25"/>
    <row r="187885" customFormat="1" x14ac:dyDescent="0.25"/>
    <row r="187886" customFormat="1" x14ac:dyDescent="0.25"/>
    <row r="187887" customFormat="1" x14ac:dyDescent="0.25"/>
    <row r="187888" customFormat="1" x14ac:dyDescent="0.25"/>
    <row r="187889" customFormat="1" x14ac:dyDescent="0.25"/>
    <row r="187890" customFormat="1" x14ac:dyDescent="0.25"/>
    <row r="187891" customFormat="1" x14ac:dyDescent="0.25"/>
    <row r="187892" customFormat="1" x14ac:dyDescent="0.25"/>
    <row r="187893" customFormat="1" x14ac:dyDescent="0.25"/>
    <row r="187894" customFormat="1" x14ac:dyDescent="0.25"/>
    <row r="187895" customFormat="1" x14ac:dyDescent="0.25"/>
    <row r="187896" customFormat="1" x14ac:dyDescent="0.25"/>
    <row r="187897" customFormat="1" x14ac:dyDescent="0.25"/>
    <row r="187898" customFormat="1" x14ac:dyDescent="0.25"/>
    <row r="187899" customFormat="1" x14ac:dyDescent="0.25"/>
    <row r="187900" customFormat="1" x14ac:dyDescent="0.25"/>
    <row r="187901" customFormat="1" x14ac:dyDescent="0.25"/>
    <row r="187902" customFormat="1" x14ac:dyDescent="0.25"/>
    <row r="187903" customFormat="1" x14ac:dyDescent="0.25"/>
    <row r="187904" customFormat="1" x14ac:dyDescent="0.25"/>
    <row r="187905" customFormat="1" x14ac:dyDescent="0.25"/>
    <row r="187906" customFormat="1" x14ac:dyDescent="0.25"/>
    <row r="187907" customFormat="1" x14ac:dyDescent="0.25"/>
    <row r="187908" customFormat="1" x14ac:dyDescent="0.25"/>
    <row r="187909" customFormat="1" x14ac:dyDescent="0.25"/>
    <row r="187910" customFormat="1" x14ac:dyDescent="0.25"/>
    <row r="187911" customFormat="1" x14ac:dyDescent="0.25"/>
    <row r="187912" customFormat="1" x14ac:dyDescent="0.25"/>
    <row r="187913" customFormat="1" x14ac:dyDescent="0.25"/>
    <row r="187914" customFormat="1" x14ac:dyDescent="0.25"/>
    <row r="187915" customFormat="1" x14ac:dyDescent="0.25"/>
    <row r="187916" customFormat="1" x14ac:dyDescent="0.25"/>
    <row r="187917" customFormat="1" x14ac:dyDescent="0.25"/>
    <row r="187918" customFormat="1" x14ac:dyDescent="0.25"/>
    <row r="187919" customFormat="1" x14ac:dyDescent="0.25"/>
    <row r="187920" customFormat="1" x14ac:dyDescent="0.25"/>
    <row r="187921" customFormat="1" x14ac:dyDescent="0.25"/>
    <row r="187922" customFormat="1" x14ac:dyDescent="0.25"/>
    <row r="187923" customFormat="1" x14ac:dyDescent="0.25"/>
    <row r="187924" customFormat="1" x14ac:dyDescent="0.25"/>
    <row r="187925" customFormat="1" x14ac:dyDescent="0.25"/>
    <row r="187926" customFormat="1" x14ac:dyDescent="0.25"/>
    <row r="187927" customFormat="1" x14ac:dyDescent="0.25"/>
    <row r="187928" customFormat="1" x14ac:dyDescent="0.25"/>
    <row r="187929" customFormat="1" x14ac:dyDescent="0.25"/>
    <row r="187930" customFormat="1" x14ac:dyDescent="0.25"/>
    <row r="187931" customFormat="1" x14ac:dyDescent="0.25"/>
    <row r="187932" customFormat="1" x14ac:dyDescent="0.25"/>
    <row r="187933" customFormat="1" x14ac:dyDescent="0.25"/>
    <row r="187934" customFormat="1" x14ac:dyDescent="0.25"/>
    <row r="187935" customFormat="1" x14ac:dyDescent="0.25"/>
    <row r="187936" customFormat="1" x14ac:dyDescent="0.25"/>
    <row r="187937" customFormat="1" x14ac:dyDescent="0.25"/>
    <row r="187938" customFormat="1" x14ac:dyDescent="0.25"/>
    <row r="187939" customFormat="1" x14ac:dyDescent="0.25"/>
    <row r="187940" customFormat="1" x14ac:dyDescent="0.25"/>
    <row r="187941" customFormat="1" x14ac:dyDescent="0.25"/>
    <row r="187942" customFormat="1" x14ac:dyDescent="0.25"/>
    <row r="187943" customFormat="1" x14ac:dyDescent="0.25"/>
    <row r="187944" customFormat="1" x14ac:dyDescent="0.25"/>
    <row r="187945" customFormat="1" x14ac:dyDescent="0.25"/>
    <row r="187946" customFormat="1" x14ac:dyDescent="0.25"/>
    <row r="187947" customFormat="1" x14ac:dyDescent="0.25"/>
    <row r="187948" customFormat="1" x14ac:dyDescent="0.25"/>
    <row r="187949" customFormat="1" x14ac:dyDescent="0.25"/>
    <row r="187950" customFormat="1" x14ac:dyDescent="0.25"/>
    <row r="187951" customFormat="1" x14ac:dyDescent="0.25"/>
    <row r="187952" customFormat="1" x14ac:dyDescent="0.25"/>
    <row r="187953" customFormat="1" x14ac:dyDescent="0.25"/>
    <row r="187954" customFormat="1" x14ac:dyDescent="0.25"/>
    <row r="187955" customFormat="1" x14ac:dyDescent="0.25"/>
    <row r="187956" customFormat="1" x14ac:dyDescent="0.25"/>
    <row r="187957" customFormat="1" x14ac:dyDescent="0.25"/>
    <row r="187958" customFormat="1" x14ac:dyDescent="0.25"/>
    <row r="187959" customFormat="1" x14ac:dyDescent="0.25"/>
    <row r="187960" customFormat="1" x14ac:dyDescent="0.25"/>
    <row r="187961" customFormat="1" x14ac:dyDescent="0.25"/>
    <row r="187962" customFormat="1" x14ac:dyDescent="0.25"/>
    <row r="187963" customFormat="1" x14ac:dyDescent="0.25"/>
    <row r="187964" customFormat="1" x14ac:dyDescent="0.25"/>
    <row r="187965" customFormat="1" x14ac:dyDescent="0.25"/>
    <row r="187966" customFormat="1" x14ac:dyDescent="0.25"/>
    <row r="187967" customFormat="1" x14ac:dyDescent="0.25"/>
    <row r="187968" customFormat="1" x14ac:dyDescent="0.25"/>
    <row r="187969" customFormat="1" x14ac:dyDescent="0.25"/>
    <row r="187970" customFormat="1" x14ac:dyDescent="0.25"/>
    <row r="187971" customFormat="1" x14ac:dyDescent="0.25"/>
    <row r="187972" customFormat="1" x14ac:dyDescent="0.25"/>
    <row r="187973" customFormat="1" x14ac:dyDescent="0.25"/>
    <row r="187974" customFormat="1" x14ac:dyDescent="0.25"/>
    <row r="187975" customFormat="1" x14ac:dyDescent="0.25"/>
    <row r="187976" customFormat="1" x14ac:dyDescent="0.25"/>
    <row r="187977" customFormat="1" x14ac:dyDescent="0.25"/>
    <row r="187978" customFormat="1" x14ac:dyDescent="0.25"/>
    <row r="187979" customFormat="1" x14ac:dyDescent="0.25"/>
    <row r="187980" customFormat="1" x14ac:dyDescent="0.25"/>
    <row r="187981" customFormat="1" x14ac:dyDescent="0.25"/>
    <row r="187982" customFormat="1" x14ac:dyDescent="0.25"/>
    <row r="187983" customFormat="1" x14ac:dyDescent="0.25"/>
    <row r="187984" customFormat="1" x14ac:dyDescent="0.25"/>
    <row r="187985" customFormat="1" x14ac:dyDescent="0.25"/>
    <row r="187986" customFormat="1" x14ac:dyDescent="0.25"/>
    <row r="187987" customFormat="1" x14ac:dyDescent="0.25"/>
    <row r="187988" customFormat="1" x14ac:dyDescent="0.25"/>
    <row r="187989" customFormat="1" x14ac:dyDescent="0.25"/>
    <row r="187990" customFormat="1" x14ac:dyDescent="0.25"/>
    <row r="187991" customFormat="1" x14ac:dyDescent="0.25"/>
    <row r="187992" customFormat="1" x14ac:dyDescent="0.25"/>
    <row r="187993" customFormat="1" x14ac:dyDescent="0.25"/>
    <row r="187994" customFormat="1" x14ac:dyDescent="0.25"/>
    <row r="187995" customFormat="1" x14ac:dyDescent="0.25"/>
    <row r="187996" customFormat="1" x14ac:dyDescent="0.25"/>
    <row r="187997" customFormat="1" x14ac:dyDescent="0.25"/>
    <row r="187998" customFormat="1" x14ac:dyDescent="0.25"/>
    <row r="187999" customFormat="1" x14ac:dyDescent="0.25"/>
    <row r="188000" customFormat="1" x14ac:dyDescent="0.25"/>
    <row r="188001" customFormat="1" x14ac:dyDescent="0.25"/>
    <row r="188002" customFormat="1" x14ac:dyDescent="0.25"/>
    <row r="188003" customFormat="1" x14ac:dyDescent="0.25"/>
    <row r="188004" customFormat="1" x14ac:dyDescent="0.25"/>
    <row r="188005" customFormat="1" x14ac:dyDescent="0.25"/>
    <row r="188006" customFormat="1" x14ac:dyDescent="0.25"/>
    <row r="188007" customFormat="1" x14ac:dyDescent="0.25"/>
    <row r="188008" customFormat="1" x14ac:dyDescent="0.25"/>
    <row r="188009" customFormat="1" x14ac:dyDescent="0.25"/>
    <row r="188010" customFormat="1" x14ac:dyDescent="0.25"/>
    <row r="188011" customFormat="1" x14ac:dyDescent="0.25"/>
    <row r="188012" customFormat="1" x14ac:dyDescent="0.25"/>
    <row r="188013" customFormat="1" x14ac:dyDescent="0.25"/>
    <row r="188014" customFormat="1" x14ac:dyDescent="0.25"/>
    <row r="188015" customFormat="1" x14ac:dyDescent="0.25"/>
    <row r="188016" customFormat="1" x14ac:dyDescent="0.25"/>
    <row r="188017" customFormat="1" x14ac:dyDescent="0.25"/>
    <row r="188018" customFormat="1" x14ac:dyDescent="0.25"/>
    <row r="188019" customFormat="1" x14ac:dyDescent="0.25"/>
    <row r="188020" customFormat="1" x14ac:dyDescent="0.25"/>
    <row r="188021" customFormat="1" x14ac:dyDescent="0.25"/>
    <row r="188022" customFormat="1" x14ac:dyDescent="0.25"/>
    <row r="188023" customFormat="1" x14ac:dyDescent="0.25"/>
    <row r="188024" customFormat="1" x14ac:dyDescent="0.25"/>
    <row r="188025" customFormat="1" x14ac:dyDescent="0.25"/>
    <row r="188026" customFormat="1" x14ac:dyDescent="0.25"/>
    <row r="188027" customFormat="1" x14ac:dyDescent="0.25"/>
    <row r="188028" customFormat="1" x14ac:dyDescent="0.25"/>
    <row r="188029" customFormat="1" x14ac:dyDescent="0.25"/>
    <row r="188030" customFormat="1" x14ac:dyDescent="0.25"/>
    <row r="188031" customFormat="1" x14ac:dyDescent="0.25"/>
    <row r="188032" customFormat="1" x14ac:dyDescent="0.25"/>
    <row r="188033" customFormat="1" x14ac:dyDescent="0.25"/>
    <row r="188034" customFormat="1" x14ac:dyDescent="0.25"/>
    <row r="188035" customFormat="1" x14ac:dyDescent="0.25"/>
    <row r="188036" customFormat="1" x14ac:dyDescent="0.25"/>
    <row r="188037" customFormat="1" x14ac:dyDescent="0.25"/>
    <row r="188038" customFormat="1" x14ac:dyDescent="0.25"/>
    <row r="188039" customFormat="1" x14ac:dyDescent="0.25"/>
    <row r="188040" customFormat="1" x14ac:dyDescent="0.25"/>
    <row r="188041" customFormat="1" x14ac:dyDescent="0.25"/>
    <row r="188042" customFormat="1" x14ac:dyDescent="0.25"/>
    <row r="188043" customFormat="1" x14ac:dyDescent="0.25"/>
    <row r="188044" customFormat="1" x14ac:dyDescent="0.25"/>
    <row r="188045" customFormat="1" x14ac:dyDescent="0.25"/>
    <row r="188046" customFormat="1" x14ac:dyDescent="0.25"/>
    <row r="188047" customFormat="1" x14ac:dyDescent="0.25"/>
    <row r="188048" customFormat="1" x14ac:dyDescent="0.25"/>
    <row r="188049" customFormat="1" x14ac:dyDescent="0.25"/>
    <row r="188050" customFormat="1" x14ac:dyDescent="0.25"/>
    <row r="188051" customFormat="1" x14ac:dyDescent="0.25"/>
    <row r="188052" customFormat="1" x14ac:dyDescent="0.25"/>
    <row r="188053" customFormat="1" x14ac:dyDescent="0.25"/>
    <row r="188054" customFormat="1" x14ac:dyDescent="0.25"/>
    <row r="188055" customFormat="1" x14ac:dyDescent="0.25"/>
    <row r="188056" customFormat="1" x14ac:dyDescent="0.25"/>
    <row r="188057" customFormat="1" x14ac:dyDescent="0.25"/>
    <row r="188058" customFormat="1" x14ac:dyDescent="0.25"/>
    <row r="188059" customFormat="1" x14ac:dyDescent="0.25"/>
    <row r="188060" customFormat="1" x14ac:dyDescent="0.25"/>
    <row r="188061" customFormat="1" x14ac:dyDescent="0.25"/>
    <row r="188062" customFormat="1" x14ac:dyDescent="0.25"/>
    <row r="188063" customFormat="1" x14ac:dyDescent="0.25"/>
    <row r="188064" customFormat="1" x14ac:dyDescent="0.25"/>
    <row r="188065" customFormat="1" x14ac:dyDescent="0.25"/>
    <row r="188066" customFormat="1" x14ac:dyDescent="0.25"/>
    <row r="188067" customFormat="1" x14ac:dyDescent="0.25"/>
    <row r="188068" customFormat="1" x14ac:dyDescent="0.25"/>
    <row r="188069" customFormat="1" x14ac:dyDescent="0.25"/>
    <row r="188070" customFormat="1" x14ac:dyDescent="0.25"/>
    <row r="188071" customFormat="1" x14ac:dyDescent="0.25"/>
    <row r="188072" customFormat="1" x14ac:dyDescent="0.25"/>
    <row r="188073" customFormat="1" x14ac:dyDescent="0.25"/>
    <row r="188074" customFormat="1" x14ac:dyDescent="0.25"/>
    <row r="188075" customFormat="1" x14ac:dyDescent="0.25"/>
    <row r="188076" customFormat="1" x14ac:dyDescent="0.25"/>
    <row r="188077" customFormat="1" x14ac:dyDescent="0.25"/>
    <row r="188078" customFormat="1" x14ac:dyDescent="0.25"/>
    <row r="188079" customFormat="1" x14ac:dyDescent="0.25"/>
    <row r="188080" customFormat="1" x14ac:dyDescent="0.25"/>
    <row r="188081" customFormat="1" x14ac:dyDescent="0.25"/>
    <row r="188082" customFormat="1" x14ac:dyDescent="0.25"/>
    <row r="188083" customFormat="1" x14ac:dyDescent="0.25"/>
    <row r="188084" customFormat="1" x14ac:dyDescent="0.25"/>
    <row r="188085" customFormat="1" x14ac:dyDescent="0.25"/>
    <row r="188086" customFormat="1" x14ac:dyDescent="0.25"/>
    <row r="188087" customFormat="1" x14ac:dyDescent="0.25"/>
    <row r="188088" customFormat="1" x14ac:dyDescent="0.25"/>
    <row r="188089" customFormat="1" x14ac:dyDescent="0.25"/>
    <row r="188090" customFormat="1" x14ac:dyDescent="0.25"/>
    <row r="188091" customFormat="1" x14ac:dyDescent="0.25"/>
    <row r="188092" customFormat="1" x14ac:dyDescent="0.25"/>
    <row r="188093" customFormat="1" x14ac:dyDescent="0.25"/>
    <row r="188094" customFormat="1" x14ac:dyDescent="0.25"/>
    <row r="188095" customFormat="1" x14ac:dyDescent="0.25"/>
    <row r="188096" customFormat="1" x14ac:dyDescent="0.25"/>
    <row r="188097" customFormat="1" x14ac:dyDescent="0.25"/>
    <row r="188098" customFormat="1" x14ac:dyDescent="0.25"/>
    <row r="188099" customFormat="1" x14ac:dyDescent="0.25"/>
    <row r="188100" customFormat="1" x14ac:dyDescent="0.25"/>
    <row r="188101" customFormat="1" x14ac:dyDescent="0.25"/>
    <row r="188102" customFormat="1" x14ac:dyDescent="0.25"/>
    <row r="188103" customFormat="1" x14ac:dyDescent="0.25"/>
    <row r="188104" customFormat="1" x14ac:dyDescent="0.25"/>
    <row r="188105" customFormat="1" x14ac:dyDescent="0.25"/>
    <row r="188106" customFormat="1" x14ac:dyDescent="0.25"/>
    <row r="188107" customFormat="1" x14ac:dyDescent="0.25"/>
    <row r="188108" customFormat="1" x14ac:dyDescent="0.25"/>
    <row r="188109" customFormat="1" x14ac:dyDescent="0.25"/>
    <row r="188110" customFormat="1" x14ac:dyDescent="0.25"/>
    <row r="188111" customFormat="1" x14ac:dyDescent="0.25"/>
    <row r="188112" customFormat="1" x14ac:dyDescent="0.25"/>
    <row r="188113" customFormat="1" x14ac:dyDescent="0.25"/>
    <row r="188114" customFormat="1" x14ac:dyDescent="0.25"/>
    <row r="188115" customFormat="1" x14ac:dyDescent="0.25"/>
    <row r="188116" customFormat="1" x14ac:dyDescent="0.25"/>
    <row r="188117" customFormat="1" x14ac:dyDescent="0.25"/>
    <row r="188118" customFormat="1" x14ac:dyDescent="0.25"/>
    <row r="188119" customFormat="1" x14ac:dyDescent="0.25"/>
    <row r="188120" customFormat="1" x14ac:dyDescent="0.25"/>
    <row r="188121" customFormat="1" x14ac:dyDescent="0.25"/>
    <row r="188122" customFormat="1" x14ac:dyDescent="0.25"/>
    <row r="188123" customFormat="1" x14ac:dyDescent="0.25"/>
    <row r="188124" customFormat="1" x14ac:dyDescent="0.25"/>
    <row r="188125" customFormat="1" x14ac:dyDescent="0.25"/>
    <row r="188126" customFormat="1" x14ac:dyDescent="0.25"/>
    <row r="188127" customFormat="1" x14ac:dyDescent="0.25"/>
    <row r="188128" customFormat="1" x14ac:dyDescent="0.25"/>
    <row r="188129" customFormat="1" x14ac:dyDescent="0.25"/>
    <row r="188130" customFormat="1" x14ac:dyDescent="0.25"/>
    <row r="188131" customFormat="1" x14ac:dyDescent="0.25"/>
    <row r="188132" customFormat="1" x14ac:dyDescent="0.25"/>
    <row r="188133" customFormat="1" x14ac:dyDescent="0.25"/>
    <row r="188134" customFormat="1" x14ac:dyDescent="0.25"/>
    <row r="188135" customFormat="1" x14ac:dyDescent="0.25"/>
    <row r="188136" customFormat="1" x14ac:dyDescent="0.25"/>
    <row r="188137" customFormat="1" x14ac:dyDescent="0.25"/>
    <row r="188138" customFormat="1" x14ac:dyDescent="0.25"/>
    <row r="188139" customFormat="1" x14ac:dyDescent="0.25"/>
    <row r="188140" customFormat="1" x14ac:dyDescent="0.25"/>
    <row r="188141" customFormat="1" x14ac:dyDescent="0.25"/>
    <row r="188142" customFormat="1" x14ac:dyDescent="0.25"/>
    <row r="188143" customFormat="1" x14ac:dyDescent="0.25"/>
    <row r="188144" customFormat="1" x14ac:dyDescent="0.25"/>
    <row r="188145" customFormat="1" x14ac:dyDescent="0.25"/>
    <row r="188146" customFormat="1" x14ac:dyDescent="0.25"/>
    <row r="188147" customFormat="1" x14ac:dyDescent="0.25"/>
    <row r="188148" customFormat="1" x14ac:dyDescent="0.25"/>
    <row r="188149" customFormat="1" x14ac:dyDescent="0.25"/>
    <row r="188150" customFormat="1" x14ac:dyDescent="0.25"/>
    <row r="188151" customFormat="1" x14ac:dyDescent="0.25"/>
    <row r="188152" customFormat="1" x14ac:dyDescent="0.25"/>
    <row r="188153" customFormat="1" x14ac:dyDescent="0.25"/>
    <row r="188154" customFormat="1" x14ac:dyDescent="0.25"/>
    <row r="188155" customFormat="1" x14ac:dyDescent="0.25"/>
    <row r="188156" customFormat="1" x14ac:dyDescent="0.25"/>
    <row r="188157" customFormat="1" x14ac:dyDescent="0.25"/>
    <row r="188158" customFormat="1" x14ac:dyDescent="0.25"/>
    <row r="188159" customFormat="1" x14ac:dyDescent="0.25"/>
    <row r="188160" customFormat="1" x14ac:dyDescent="0.25"/>
    <row r="188161" customFormat="1" x14ac:dyDescent="0.25"/>
    <row r="188162" customFormat="1" x14ac:dyDescent="0.25"/>
    <row r="188163" customFormat="1" x14ac:dyDescent="0.25"/>
    <row r="188164" customFormat="1" x14ac:dyDescent="0.25"/>
    <row r="188165" customFormat="1" x14ac:dyDescent="0.25"/>
    <row r="188166" customFormat="1" x14ac:dyDescent="0.25"/>
    <row r="188167" customFormat="1" x14ac:dyDescent="0.25"/>
    <row r="188168" customFormat="1" x14ac:dyDescent="0.25"/>
    <row r="188169" customFormat="1" x14ac:dyDescent="0.25"/>
    <row r="188170" customFormat="1" x14ac:dyDescent="0.25"/>
    <row r="188171" customFormat="1" x14ac:dyDescent="0.25"/>
    <row r="188172" customFormat="1" x14ac:dyDescent="0.25"/>
    <row r="188173" customFormat="1" x14ac:dyDescent="0.25"/>
    <row r="188174" customFormat="1" x14ac:dyDescent="0.25"/>
    <row r="188175" customFormat="1" x14ac:dyDescent="0.25"/>
    <row r="188176" customFormat="1" x14ac:dyDescent="0.25"/>
    <row r="188177" customFormat="1" x14ac:dyDescent="0.25"/>
    <row r="188178" customFormat="1" x14ac:dyDescent="0.25"/>
    <row r="188179" customFormat="1" x14ac:dyDescent="0.25"/>
    <row r="188180" customFormat="1" x14ac:dyDescent="0.25"/>
    <row r="188181" customFormat="1" x14ac:dyDescent="0.25"/>
    <row r="188182" customFormat="1" x14ac:dyDescent="0.25"/>
    <row r="188183" customFormat="1" x14ac:dyDescent="0.25"/>
    <row r="188184" customFormat="1" x14ac:dyDescent="0.25"/>
    <row r="188185" customFormat="1" x14ac:dyDescent="0.25"/>
    <row r="188186" customFormat="1" x14ac:dyDescent="0.25"/>
    <row r="188187" customFormat="1" x14ac:dyDescent="0.25"/>
    <row r="188188" customFormat="1" x14ac:dyDescent="0.25"/>
    <row r="188189" customFormat="1" x14ac:dyDescent="0.25"/>
    <row r="188190" customFormat="1" x14ac:dyDescent="0.25"/>
    <row r="188191" customFormat="1" x14ac:dyDescent="0.25"/>
    <row r="188192" customFormat="1" x14ac:dyDescent="0.25"/>
    <row r="188193" customFormat="1" x14ac:dyDescent="0.25"/>
    <row r="188194" customFormat="1" x14ac:dyDescent="0.25"/>
    <row r="188195" customFormat="1" x14ac:dyDescent="0.25"/>
    <row r="188196" customFormat="1" x14ac:dyDescent="0.25"/>
    <row r="188197" customFormat="1" x14ac:dyDescent="0.25"/>
    <row r="188198" customFormat="1" x14ac:dyDescent="0.25"/>
    <row r="188199" customFormat="1" x14ac:dyDescent="0.25"/>
    <row r="188200" customFormat="1" x14ac:dyDescent="0.25"/>
    <row r="188201" customFormat="1" x14ac:dyDescent="0.25"/>
    <row r="188202" customFormat="1" x14ac:dyDescent="0.25"/>
    <row r="188203" customFormat="1" x14ac:dyDescent="0.25"/>
    <row r="188204" customFormat="1" x14ac:dyDescent="0.25"/>
    <row r="188205" customFormat="1" x14ac:dyDescent="0.25"/>
    <row r="188206" customFormat="1" x14ac:dyDescent="0.25"/>
    <row r="188207" customFormat="1" x14ac:dyDescent="0.25"/>
    <row r="188208" customFormat="1" x14ac:dyDescent="0.25"/>
    <row r="188209" customFormat="1" x14ac:dyDescent="0.25"/>
    <row r="188210" customFormat="1" x14ac:dyDescent="0.25"/>
    <row r="188211" customFormat="1" x14ac:dyDescent="0.25"/>
    <row r="188212" customFormat="1" x14ac:dyDescent="0.25"/>
    <row r="188213" customFormat="1" x14ac:dyDescent="0.25"/>
    <row r="188214" customFormat="1" x14ac:dyDescent="0.25"/>
    <row r="188215" customFormat="1" x14ac:dyDescent="0.25"/>
    <row r="188216" customFormat="1" x14ac:dyDescent="0.25"/>
    <row r="188217" customFormat="1" x14ac:dyDescent="0.25"/>
    <row r="188218" customFormat="1" x14ac:dyDescent="0.25"/>
    <row r="188219" customFormat="1" x14ac:dyDescent="0.25"/>
    <row r="188220" customFormat="1" x14ac:dyDescent="0.25"/>
    <row r="188221" customFormat="1" x14ac:dyDescent="0.25"/>
    <row r="188222" customFormat="1" x14ac:dyDescent="0.25"/>
    <row r="188223" customFormat="1" x14ac:dyDescent="0.25"/>
    <row r="188224" customFormat="1" x14ac:dyDescent="0.25"/>
    <row r="188225" customFormat="1" x14ac:dyDescent="0.25"/>
    <row r="188226" customFormat="1" x14ac:dyDescent="0.25"/>
    <row r="188227" customFormat="1" x14ac:dyDescent="0.25"/>
    <row r="188228" customFormat="1" x14ac:dyDescent="0.25"/>
    <row r="188229" customFormat="1" x14ac:dyDescent="0.25"/>
    <row r="188230" customFormat="1" x14ac:dyDescent="0.25"/>
    <row r="188231" customFormat="1" x14ac:dyDescent="0.25"/>
    <row r="188232" customFormat="1" x14ac:dyDescent="0.25"/>
    <row r="188233" customFormat="1" x14ac:dyDescent="0.25"/>
    <row r="188234" customFormat="1" x14ac:dyDescent="0.25"/>
    <row r="188235" customFormat="1" x14ac:dyDescent="0.25"/>
    <row r="188236" customFormat="1" x14ac:dyDescent="0.25"/>
    <row r="188237" customFormat="1" x14ac:dyDescent="0.25"/>
    <row r="188238" customFormat="1" x14ac:dyDescent="0.25"/>
    <row r="188239" customFormat="1" x14ac:dyDescent="0.25"/>
    <row r="188240" customFormat="1" x14ac:dyDescent="0.25"/>
    <row r="188241" customFormat="1" x14ac:dyDescent="0.25"/>
    <row r="188242" customFormat="1" x14ac:dyDescent="0.25"/>
    <row r="188243" customFormat="1" x14ac:dyDescent="0.25"/>
    <row r="188244" customFormat="1" x14ac:dyDescent="0.25"/>
    <row r="188245" customFormat="1" x14ac:dyDescent="0.25"/>
    <row r="188246" customFormat="1" x14ac:dyDescent="0.25"/>
    <row r="188247" customFormat="1" x14ac:dyDescent="0.25"/>
    <row r="188248" customFormat="1" x14ac:dyDescent="0.25"/>
    <row r="188249" customFormat="1" x14ac:dyDescent="0.25"/>
    <row r="188250" customFormat="1" x14ac:dyDescent="0.25"/>
    <row r="188251" customFormat="1" x14ac:dyDescent="0.25"/>
    <row r="188252" customFormat="1" x14ac:dyDescent="0.25"/>
    <row r="188253" customFormat="1" x14ac:dyDescent="0.25"/>
    <row r="188254" customFormat="1" x14ac:dyDescent="0.25"/>
    <row r="188255" customFormat="1" x14ac:dyDescent="0.25"/>
    <row r="188256" customFormat="1" x14ac:dyDescent="0.25"/>
    <row r="188257" customFormat="1" x14ac:dyDescent="0.25"/>
    <row r="188258" customFormat="1" x14ac:dyDescent="0.25"/>
    <row r="188259" customFormat="1" x14ac:dyDescent="0.25"/>
    <row r="188260" customFormat="1" x14ac:dyDescent="0.25"/>
    <row r="188261" customFormat="1" x14ac:dyDescent="0.25"/>
    <row r="188262" customFormat="1" x14ac:dyDescent="0.25"/>
    <row r="188263" customFormat="1" x14ac:dyDescent="0.25"/>
    <row r="188264" customFormat="1" x14ac:dyDescent="0.25"/>
    <row r="188265" customFormat="1" x14ac:dyDescent="0.25"/>
    <row r="188266" customFormat="1" x14ac:dyDescent="0.25"/>
    <row r="188267" customFormat="1" x14ac:dyDescent="0.25"/>
    <row r="188268" customFormat="1" x14ac:dyDescent="0.25"/>
    <row r="188269" customFormat="1" x14ac:dyDescent="0.25"/>
    <row r="188270" customFormat="1" x14ac:dyDescent="0.25"/>
    <row r="188271" customFormat="1" x14ac:dyDescent="0.25"/>
    <row r="188272" customFormat="1" x14ac:dyDescent="0.25"/>
    <row r="188273" customFormat="1" x14ac:dyDescent="0.25"/>
    <row r="188274" customFormat="1" x14ac:dyDescent="0.25"/>
    <row r="188275" customFormat="1" x14ac:dyDescent="0.25"/>
    <row r="188276" customFormat="1" x14ac:dyDescent="0.25"/>
    <row r="188277" customFormat="1" x14ac:dyDescent="0.25"/>
    <row r="188278" customFormat="1" x14ac:dyDescent="0.25"/>
    <row r="188279" customFormat="1" x14ac:dyDescent="0.25"/>
    <row r="188280" customFormat="1" x14ac:dyDescent="0.25"/>
    <row r="188281" customFormat="1" x14ac:dyDescent="0.25"/>
    <row r="188282" customFormat="1" x14ac:dyDescent="0.25"/>
    <row r="188283" customFormat="1" x14ac:dyDescent="0.25"/>
    <row r="188284" customFormat="1" x14ac:dyDescent="0.25"/>
    <row r="188285" customFormat="1" x14ac:dyDescent="0.25"/>
    <row r="188286" customFormat="1" x14ac:dyDescent="0.25"/>
    <row r="188287" customFormat="1" x14ac:dyDescent="0.25"/>
    <row r="188288" customFormat="1" x14ac:dyDescent="0.25"/>
    <row r="188289" customFormat="1" x14ac:dyDescent="0.25"/>
    <row r="188290" customFormat="1" x14ac:dyDescent="0.25"/>
    <row r="188291" customFormat="1" x14ac:dyDescent="0.25"/>
    <row r="188292" customFormat="1" x14ac:dyDescent="0.25"/>
    <row r="188293" customFormat="1" x14ac:dyDescent="0.25"/>
    <row r="188294" customFormat="1" x14ac:dyDescent="0.25"/>
    <row r="188295" customFormat="1" x14ac:dyDescent="0.25"/>
    <row r="188296" customFormat="1" x14ac:dyDescent="0.25"/>
    <row r="188297" customFormat="1" x14ac:dyDescent="0.25"/>
    <row r="188298" customFormat="1" x14ac:dyDescent="0.25"/>
    <row r="188299" customFormat="1" x14ac:dyDescent="0.25"/>
    <row r="188300" customFormat="1" x14ac:dyDescent="0.25"/>
    <row r="188301" customFormat="1" x14ac:dyDescent="0.25"/>
    <row r="188302" customFormat="1" x14ac:dyDescent="0.25"/>
    <row r="188303" customFormat="1" x14ac:dyDescent="0.25"/>
    <row r="188304" customFormat="1" x14ac:dyDescent="0.25"/>
    <row r="188305" customFormat="1" x14ac:dyDescent="0.25"/>
    <row r="188306" customFormat="1" x14ac:dyDescent="0.25"/>
    <row r="188307" customFormat="1" x14ac:dyDescent="0.25"/>
    <row r="188308" customFormat="1" x14ac:dyDescent="0.25"/>
    <row r="188309" customFormat="1" x14ac:dyDescent="0.25"/>
    <row r="188310" customFormat="1" x14ac:dyDescent="0.25"/>
    <row r="188311" customFormat="1" x14ac:dyDescent="0.25"/>
    <row r="188312" customFormat="1" x14ac:dyDescent="0.25"/>
    <row r="188313" customFormat="1" x14ac:dyDescent="0.25"/>
    <row r="188314" customFormat="1" x14ac:dyDescent="0.25"/>
    <row r="188315" customFormat="1" x14ac:dyDescent="0.25"/>
    <row r="188316" customFormat="1" x14ac:dyDescent="0.25"/>
    <row r="188317" customFormat="1" x14ac:dyDescent="0.25"/>
    <row r="188318" customFormat="1" x14ac:dyDescent="0.25"/>
    <row r="188319" customFormat="1" x14ac:dyDescent="0.25"/>
    <row r="188320" customFormat="1" x14ac:dyDescent="0.25"/>
    <row r="188321" customFormat="1" x14ac:dyDescent="0.25"/>
    <row r="188322" customFormat="1" x14ac:dyDescent="0.25"/>
    <row r="188323" customFormat="1" x14ac:dyDescent="0.25"/>
    <row r="188324" customFormat="1" x14ac:dyDescent="0.25"/>
    <row r="188325" customFormat="1" x14ac:dyDescent="0.25"/>
    <row r="188326" customFormat="1" x14ac:dyDescent="0.25"/>
    <row r="188327" customFormat="1" x14ac:dyDescent="0.25"/>
    <row r="188328" customFormat="1" x14ac:dyDescent="0.25"/>
    <row r="188329" customFormat="1" x14ac:dyDescent="0.25"/>
    <row r="188330" customFormat="1" x14ac:dyDescent="0.25"/>
    <row r="188331" customFormat="1" x14ac:dyDescent="0.25"/>
    <row r="188332" customFormat="1" x14ac:dyDescent="0.25"/>
    <row r="188333" customFormat="1" x14ac:dyDescent="0.25"/>
    <row r="188334" customFormat="1" x14ac:dyDescent="0.25"/>
    <row r="188335" customFormat="1" x14ac:dyDescent="0.25"/>
    <row r="188336" customFormat="1" x14ac:dyDescent="0.25"/>
    <row r="188337" customFormat="1" x14ac:dyDescent="0.25"/>
    <row r="188338" customFormat="1" x14ac:dyDescent="0.25"/>
    <row r="188339" customFormat="1" x14ac:dyDescent="0.25"/>
    <row r="188340" customFormat="1" x14ac:dyDescent="0.25"/>
    <row r="188341" customFormat="1" x14ac:dyDescent="0.25"/>
    <row r="188342" customFormat="1" x14ac:dyDescent="0.25"/>
    <row r="188343" customFormat="1" x14ac:dyDescent="0.25"/>
    <row r="188344" customFormat="1" x14ac:dyDescent="0.25"/>
    <row r="188345" customFormat="1" x14ac:dyDescent="0.25"/>
    <row r="188346" customFormat="1" x14ac:dyDescent="0.25"/>
    <row r="188347" customFormat="1" x14ac:dyDescent="0.25"/>
    <row r="188348" customFormat="1" x14ac:dyDescent="0.25"/>
    <row r="188349" customFormat="1" x14ac:dyDescent="0.25"/>
    <row r="188350" customFormat="1" x14ac:dyDescent="0.25"/>
    <row r="188351" customFormat="1" x14ac:dyDescent="0.25"/>
    <row r="188352" customFormat="1" x14ac:dyDescent="0.25"/>
    <row r="188353" customFormat="1" x14ac:dyDescent="0.25"/>
    <row r="188354" customFormat="1" x14ac:dyDescent="0.25"/>
    <row r="188355" customFormat="1" x14ac:dyDescent="0.25"/>
    <row r="188356" customFormat="1" x14ac:dyDescent="0.25"/>
    <row r="188357" customFormat="1" x14ac:dyDescent="0.25"/>
    <row r="188358" customFormat="1" x14ac:dyDescent="0.25"/>
    <row r="188359" customFormat="1" x14ac:dyDescent="0.25"/>
    <row r="188360" customFormat="1" x14ac:dyDescent="0.25"/>
    <row r="188361" customFormat="1" x14ac:dyDescent="0.25"/>
    <row r="188362" customFormat="1" x14ac:dyDescent="0.25"/>
    <row r="188363" customFormat="1" x14ac:dyDescent="0.25"/>
    <row r="188364" customFormat="1" x14ac:dyDescent="0.25"/>
    <row r="188365" customFormat="1" x14ac:dyDescent="0.25"/>
    <row r="188366" customFormat="1" x14ac:dyDescent="0.25"/>
    <row r="188367" customFormat="1" x14ac:dyDescent="0.25"/>
    <row r="188368" customFormat="1" x14ac:dyDescent="0.25"/>
    <row r="188369" customFormat="1" x14ac:dyDescent="0.25"/>
    <row r="188370" customFormat="1" x14ac:dyDescent="0.25"/>
    <row r="188371" customFormat="1" x14ac:dyDescent="0.25"/>
    <row r="188372" customFormat="1" x14ac:dyDescent="0.25"/>
    <row r="188373" customFormat="1" x14ac:dyDescent="0.25"/>
    <row r="188374" customFormat="1" x14ac:dyDescent="0.25"/>
    <row r="188375" customFormat="1" x14ac:dyDescent="0.25"/>
    <row r="188376" customFormat="1" x14ac:dyDescent="0.25"/>
    <row r="188377" customFormat="1" x14ac:dyDescent="0.25"/>
    <row r="188378" customFormat="1" x14ac:dyDescent="0.25"/>
    <row r="188379" customFormat="1" x14ac:dyDescent="0.25"/>
    <row r="188380" customFormat="1" x14ac:dyDescent="0.25"/>
    <row r="188381" customFormat="1" x14ac:dyDescent="0.25"/>
    <row r="188382" customFormat="1" x14ac:dyDescent="0.25"/>
    <row r="188383" customFormat="1" x14ac:dyDescent="0.25"/>
    <row r="188384" customFormat="1" x14ac:dyDescent="0.25"/>
    <row r="188385" customFormat="1" x14ac:dyDescent="0.25"/>
    <row r="188386" customFormat="1" x14ac:dyDescent="0.25"/>
    <row r="188387" customFormat="1" x14ac:dyDescent="0.25"/>
    <row r="188388" customFormat="1" x14ac:dyDescent="0.25"/>
    <row r="188389" customFormat="1" x14ac:dyDescent="0.25"/>
    <row r="188390" customFormat="1" x14ac:dyDescent="0.25"/>
    <row r="188391" customFormat="1" x14ac:dyDescent="0.25"/>
    <row r="188392" customFormat="1" x14ac:dyDescent="0.25"/>
    <row r="188393" customFormat="1" x14ac:dyDescent="0.25"/>
    <row r="188394" customFormat="1" x14ac:dyDescent="0.25"/>
    <row r="188395" customFormat="1" x14ac:dyDescent="0.25"/>
    <row r="188396" customFormat="1" x14ac:dyDescent="0.25"/>
    <row r="188397" customFormat="1" x14ac:dyDescent="0.25"/>
    <row r="188398" customFormat="1" x14ac:dyDescent="0.25"/>
    <row r="188399" customFormat="1" x14ac:dyDescent="0.25"/>
    <row r="188400" customFormat="1" x14ac:dyDescent="0.25"/>
    <row r="188401" customFormat="1" x14ac:dyDescent="0.25"/>
    <row r="188402" customFormat="1" x14ac:dyDescent="0.25"/>
    <row r="188403" customFormat="1" x14ac:dyDescent="0.25"/>
    <row r="188404" customFormat="1" x14ac:dyDescent="0.25"/>
    <row r="188405" customFormat="1" x14ac:dyDescent="0.25"/>
    <row r="188406" customFormat="1" x14ac:dyDescent="0.25"/>
    <row r="188407" customFormat="1" x14ac:dyDescent="0.25"/>
    <row r="188408" customFormat="1" x14ac:dyDescent="0.25"/>
    <row r="188409" customFormat="1" x14ac:dyDescent="0.25"/>
    <row r="188410" customFormat="1" x14ac:dyDescent="0.25"/>
    <row r="188411" customFormat="1" x14ac:dyDescent="0.25"/>
    <row r="188412" customFormat="1" x14ac:dyDescent="0.25"/>
    <row r="188413" customFormat="1" x14ac:dyDescent="0.25"/>
    <row r="188414" customFormat="1" x14ac:dyDescent="0.25"/>
    <row r="188415" customFormat="1" x14ac:dyDescent="0.25"/>
    <row r="188416" customFormat="1" x14ac:dyDescent="0.25"/>
    <row r="188417" customFormat="1" x14ac:dyDescent="0.25"/>
    <row r="188418" customFormat="1" x14ac:dyDescent="0.25"/>
    <row r="188419" customFormat="1" x14ac:dyDescent="0.25"/>
    <row r="188420" customFormat="1" x14ac:dyDescent="0.25"/>
    <row r="188421" customFormat="1" x14ac:dyDescent="0.25"/>
    <row r="188422" customFormat="1" x14ac:dyDescent="0.25"/>
    <row r="188423" customFormat="1" x14ac:dyDescent="0.25"/>
    <row r="188424" customFormat="1" x14ac:dyDescent="0.25"/>
    <row r="188425" customFormat="1" x14ac:dyDescent="0.25"/>
    <row r="188426" customFormat="1" x14ac:dyDescent="0.25"/>
    <row r="188427" customFormat="1" x14ac:dyDescent="0.25"/>
    <row r="188428" customFormat="1" x14ac:dyDescent="0.25"/>
    <row r="188429" customFormat="1" x14ac:dyDescent="0.25"/>
    <row r="188430" customFormat="1" x14ac:dyDescent="0.25"/>
    <row r="188431" customFormat="1" x14ac:dyDescent="0.25"/>
    <row r="188432" customFormat="1" x14ac:dyDescent="0.25"/>
    <row r="188433" customFormat="1" x14ac:dyDescent="0.25"/>
    <row r="188434" customFormat="1" x14ac:dyDescent="0.25"/>
    <row r="188435" customFormat="1" x14ac:dyDescent="0.25"/>
    <row r="188436" customFormat="1" x14ac:dyDescent="0.25"/>
    <row r="188437" customFormat="1" x14ac:dyDescent="0.25"/>
    <row r="188438" customFormat="1" x14ac:dyDescent="0.25"/>
    <row r="188439" customFormat="1" x14ac:dyDescent="0.25"/>
    <row r="188440" customFormat="1" x14ac:dyDescent="0.25"/>
    <row r="188441" customFormat="1" x14ac:dyDescent="0.25"/>
    <row r="188442" customFormat="1" x14ac:dyDescent="0.25"/>
    <row r="188443" customFormat="1" x14ac:dyDescent="0.25"/>
    <row r="188444" customFormat="1" x14ac:dyDescent="0.25"/>
    <row r="188445" customFormat="1" x14ac:dyDescent="0.25"/>
    <row r="188446" customFormat="1" x14ac:dyDescent="0.25"/>
    <row r="188447" customFormat="1" x14ac:dyDescent="0.25"/>
    <row r="188448" customFormat="1" x14ac:dyDescent="0.25"/>
    <row r="188449" customFormat="1" x14ac:dyDescent="0.25"/>
    <row r="188450" customFormat="1" x14ac:dyDescent="0.25"/>
    <row r="188451" customFormat="1" x14ac:dyDescent="0.25"/>
    <row r="188452" customFormat="1" x14ac:dyDescent="0.25"/>
    <row r="188453" customFormat="1" x14ac:dyDescent="0.25"/>
    <row r="188454" customFormat="1" x14ac:dyDescent="0.25"/>
    <row r="188455" customFormat="1" x14ac:dyDescent="0.25"/>
    <row r="188456" customFormat="1" x14ac:dyDescent="0.25"/>
    <row r="188457" customFormat="1" x14ac:dyDescent="0.25"/>
    <row r="188458" customFormat="1" x14ac:dyDescent="0.25"/>
    <row r="188459" customFormat="1" x14ac:dyDescent="0.25"/>
    <row r="188460" customFormat="1" x14ac:dyDescent="0.25"/>
    <row r="188461" customFormat="1" x14ac:dyDescent="0.25"/>
    <row r="188462" customFormat="1" x14ac:dyDescent="0.25"/>
    <row r="188463" customFormat="1" x14ac:dyDescent="0.25"/>
    <row r="188464" customFormat="1" x14ac:dyDescent="0.25"/>
    <row r="188465" customFormat="1" x14ac:dyDescent="0.25"/>
    <row r="188466" customFormat="1" x14ac:dyDescent="0.25"/>
    <row r="188467" customFormat="1" x14ac:dyDescent="0.25"/>
    <row r="188468" customFormat="1" x14ac:dyDescent="0.25"/>
    <row r="188469" customFormat="1" x14ac:dyDescent="0.25"/>
    <row r="188470" customFormat="1" x14ac:dyDescent="0.25"/>
    <row r="188471" customFormat="1" x14ac:dyDescent="0.25"/>
    <row r="188472" customFormat="1" x14ac:dyDescent="0.25"/>
    <row r="188473" customFormat="1" x14ac:dyDescent="0.25"/>
    <row r="188474" customFormat="1" x14ac:dyDescent="0.25"/>
    <row r="188475" customFormat="1" x14ac:dyDescent="0.25"/>
    <row r="188476" customFormat="1" x14ac:dyDescent="0.25"/>
    <row r="188477" customFormat="1" x14ac:dyDescent="0.25"/>
    <row r="188478" customFormat="1" x14ac:dyDescent="0.25"/>
    <row r="188479" customFormat="1" x14ac:dyDescent="0.25"/>
    <row r="188480" customFormat="1" x14ac:dyDescent="0.25"/>
    <row r="188481" customFormat="1" x14ac:dyDescent="0.25"/>
    <row r="188482" customFormat="1" x14ac:dyDescent="0.25"/>
    <row r="188483" customFormat="1" x14ac:dyDescent="0.25"/>
    <row r="188484" customFormat="1" x14ac:dyDescent="0.25"/>
    <row r="188485" customFormat="1" x14ac:dyDescent="0.25"/>
    <row r="188486" customFormat="1" x14ac:dyDescent="0.25"/>
    <row r="188487" customFormat="1" x14ac:dyDescent="0.25"/>
    <row r="188488" customFormat="1" x14ac:dyDescent="0.25"/>
    <row r="188489" customFormat="1" x14ac:dyDescent="0.25"/>
    <row r="188490" customFormat="1" x14ac:dyDescent="0.25"/>
    <row r="188491" customFormat="1" x14ac:dyDescent="0.25"/>
    <row r="188492" customFormat="1" x14ac:dyDescent="0.25"/>
    <row r="188493" customFormat="1" x14ac:dyDescent="0.25"/>
    <row r="188494" customFormat="1" x14ac:dyDescent="0.25"/>
    <row r="188495" customFormat="1" x14ac:dyDescent="0.25"/>
    <row r="188496" customFormat="1" x14ac:dyDescent="0.25"/>
    <row r="188497" customFormat="1" x14ac:dyDescent="0.25"/>
    <row r="188498" customFormat="1" x14ac:dyDescent="0.25"/>
    <row r="188499" customFormat="1" x14ac:dyDescent="0.25"/>
    <row r="188500" customFormat="1" x14ac:dyDescent="0.25"/>
    <row r="188501" customFormat="1" x14ac:dyDescent="0.25"/>
    <row r="188502" customFormat="1" x14ac:dyDescent="0.25"/>
    <row r="188503" customFormat="1" x14ac:dyDescent="0.25"/>
    <row r="188504" customFormat="1" x14ac:dyDescent="0.25"/>
    <row r="188505" customFormat="1" x14ac:dyDescent="0.25"/>
    <row r="188506" customFormat="1" x14ac:dyDescent="0.25"/>
    <row r="188507" customFormat="1" x14ac:dyDescent="0.25"/>
    <row r="188508" customFormat="1" x14ac:dyDescent="0.25"/>
    <row r="188509" customFormat="1" x14ac:dyDescent="0.25"/>
    <row r="188510" customFormat="1" x14ac:dyDescent="0.25"/>
    <row r="188511" customFormat="1" x14ac:dyDescent="0.25"/>
    <row r="188512" customFormat="1" x14ac:dyDescent="0.25"/>
    <row r="188513" customFormat="1" x14ac:dyDescent="0.25"/>
    <row r="188514" customFormat="1" x14ac:dyDescent="0.25"/>
    <row r="188515" customFormat="1" x14ac:dyDescent="0.25"/>
    <row r="188516" customFormat="1" x14ac:dyDescent="0.25"/>
    <row r="188517" customFormat="1" x14ac:dyDescent="0.25"/>
    <row r="188518" customFormat="1" x14ac:dyDescent="0.25"/>
    <row r="188519" customFormat="1" x14ac:dyDescent="0.25"/>
    <row r="188520" customFormat="1" x14ac:dyDescent="0.25"/>
    <row r="188521" customFormat="1" x14ac:dyDescent="0.25"/>
    <row r="188522" customFormat="1" x14ac:dyDescent="0.25"/>
    <row r="188523" customFormat="1" x14ac:dyDescent="0.25"/>
    <row r="188524" customFormat="1" x14ac:dyDescent="0.25"/>
    <row r="188525" customFormat="1" x14ac:dyDescent="0.25"/>
    <row r="188526" customFormat="1" x14ac:dyDescent="0.25"/>
    <row r="188527" customFormat="1" x14ac:dyDescent="0.25"/>
    <row r="188528" customFormat="1" x14ac:dyDescent="0.25"/>
    <row r="188529" customFormat="1" x14ac:dyDescent="0.25"/>
    <row r="188530" customFormat="1" x14ac:dyDescent="0.25"/>
    <row r="188531" customFormat="1" x14ac:dyDescent="0.25"/>
    <row r="188532" customFormat="1" x14ac:dyDescent="0.25"/>
    <row r="188533" customFormat="1" x14ac:dyDescent="0.25"/>
    <row r="188534" customFormat="1" x14ac:dyDescent="0.25"/>
    <row r="188535" customFormat="1" x14ac:dyDescent="0.25"/>
    <row r="188536" customFormat="1" x14ac:dyDescent="0.25"/>
    <row r="188537" customFormat="1" x14ac:dyDescent="0.25"/>
    <row r="188538" customFormat="1" x14ac:dyDescent="0.25"/>
    <row r="188539" customFormat="1" x14ac:dyDescent="0.25"/>
    <row r="188540" customFormat="1" x14ac:dyDescent="0.25"/>
    <row r="188541" customFormat="1" x14ac:dyDescent="0.25"/>
    <row r="188542" customFormat="1" x14ac:dyDescent="0.25"/>
    <row r="188543" customFormat="1" x14ac:dyDescent="0.25"/>
    <row r="188544" customFormat="1" x14ac:dyDescent="0.25"/>
    <row r="188545" customFormat="1" x14ac:dyDescent="0.25"/>
    <row r="188546" customFormat="1" x14ac:dyDescent="0.25"/>
    <row r="188547" customFormat="1" x14ac:dyDescent="0.25"/>
    <row r="188548" customFormat="1" x14ac:dyDescent="0.25"/>
    <row r="188549" customFormat="1" x14ac:dyDescent="0.25"/>
    <row r="188550" customFormat="1" x14ac:dyDescent="0.25"/>
    <row r="188551" customFormat="1" x14ac:dyDescent="0.25"/>
    <row r="188552" customFormat="1" x14ac:dyDescent="0.25"/>
    <row r="188553" customFormat="1" x14ac:dyDescent="0.25"/>
    <row r="188554" customFormat="1" x14ac:dyDescent="0.25"/>
    <row r="188555" customFormat="1" x14ac:dyDescent="0.25"/>
    <row r="188556" customFormat="1" x14ac:dyDescent="0.25"/>
    <row r="188557" customFormat="1" x14ac:dyDescent="0.25"/>
    <row r="188558" customFormat="1" x14ac:dyDescent="0.25"/>
    <row r="188559" customFormat="1" x14ac:dyDescent="0.25"/>
    <row r="188560" customFormat="1" x14ac:dyDescent="0.25"/>
    <row r="188561" customFormat="1" x14ac:dyDescent="0.25"/>
    <row r="188562" customFormat="1" x14ac:dyDescent="0.25"/>
    <row r="188563" customFormat="1" x14ac:dyDescent="0.25"/>
    <row r="188564" customFormat="1" x14ac:dyDescent="0.25"/>
    <row r="188565" customFormat="1" x14ac:dyDescent="0.25"/>
    <row r="188566" customFormat="1" x14ac:dyDescent="0.25"/>
    <row r="188567" customFormat="1" x14ac:dyDescent="0.25"/>
    <row r="188568" customFormat="1" x14ac:dyDescent="0.25"/>
    <row r="188569" customFormat="1" x14ac:dyDescent="0.25"/>
    <row r="188570" customFormat="1" x14ac:dyDescent="0.25"/>
    <row r="188571" customFormat="1" x14ac:dyDescent="0.25"/>
    <row r="188572" customFormat="1" x14ac:dyDescent="0.25"/>
    <row r="188573" customFormat="1" x14ac:dyDescent="0.25"/>
    <row r="188574" customFormat="1" x14ac:dyDescent="0.25"/>
    <row r="188575" customFormat="1" x14ac:dyDescent="0.25"/>
    <row r="188576" customFormat="1" x14ac:dyDescent="0.25"/>
    <row r="188577" customFormat="1" x14ac:dyDescent="0.25"/>
    <row r="188578" customFormat="1" x14ac:dyDescent="0.25"/>
    <row r="188579" customFormat="1" x14ac:dyDescent="0.25"/>
    <row r="188580" customFormat="1" x14ac:dyDescent="0.25"/>
    <row r="188581" customFormat="1" x14ac:dyDescent="0.25"/>
    <row r="188582" customFormat="1" x14ac:dyDescent="0.25"/>
    <row r="188583" customFormat="1" x14ac:dyDescent="0.25"/>
    <row r="188584" customFormat="1" x14ac:dyDescent="0.25"/>
    <row r="188585" customFormat="1" x14ac:dyDescent="0.25"/>
    <row r="188586" customFormat="1" x14ac:dyDescent="0.25"/>
    <row r="188587" customFormat="1" x14ac:dyDescent="0.25"/>
    <row r="188588" customFormat="1" x14ac:dyDescent="0.25"/>
    <row r="188589" customFormat="1" x14ac:dyDescent="0.25"/>
    <row r="188590" customFormat="1" x14ac:dyDescent="0.25"/>
    <row r="188591" customFormat="1" x14ac:dyDescent="0.25"/>
    <row r="188592" customFormat="1" x14ac:dyDescent="0.25"/>
    <row r="188593" customFormat="1" x14ac:dyDescent="0.25"/>
    <row r="188594" customFormat="1" x14ac:dyDescent="0.25"/>
    <row r="188595" customFormat="1" x14ac:dyDescent="0.25"/>
    <row r="188596" customFormat="1" x14ac:dyDescent="0.25"/>
    <row r="188597" customFormat="1" x14ac:dyDescent="0.25"/>
    <row r="188598" customFormat="1" x14ac:dyDescent="0.25"/>
    <row r="188599" customFormat="1" x14ac:dyDescent="0.25"/>
    <row r="188600" customFormat="1" x14ac:dyDescent="0.25"/>
    <row r="188601" customFormat="1" x14ac:dyDescent="0.25"/>
    <row r="188602" customFormat="1" x14ac:dyDescent="0.25"/>
    <row r="188603" customFormat="1" x14ac:dyDescent="0.25"/>
    <row r="188604" customFormat="1" x14ac:dyDescent="0.25"/>
    <row r="188605" customFormat="1" x14ac:dyDescent="0.25"/>
    <row r="188606" customFormat="1" x14ac:dyDescent="0.25"/>
    <row r="188607" customFormat="1" x14ac:dyDescent="0.25"/>
    <row r="188608" customFormat="1" x14ac:dyDescent="0.25"/>
    <row r="188609" customFormat="1" x14ac:dyDescent="0.25"/>
    <row r="188610" customFormat="1" x14ac:dyDescent="0.25"/>
    <row r="188611" customFormat="1" x14ac:dyDescent="0.25"/>
    <row r="188612" customFormat="1" x14ac:dyDescent="0.25"/>
    <row r="188613" customFormat="1" x14ac:dyDescent="0.25"/>
    <row r="188614" customFormat="1" x14ac:dyDescent="0.25"/>
    <row r="188615" customFormat="1" x14ac:dyDescent="0.25"/>
    <row r="188616" customFormat="1" x14ac:dyDescent="0.25"/>
    <row r="188617" customFormat="1" x14ac:dyDescent="0.25"/>
    <row r="188618" customFormat="1" x14ac:dyDescent="0.25"/>
    <row r="188619" customFormat="1" x14ac:dyDescent="0.25"/>
    <row r="188620" customFormat="1" x14ac:dyDescent="0.25"/>
    <row r="188621" customFormat="1" x14ac:dyDescent="0.25"/>
    <row r="188622" customFormat="1" x14ac:dyDescent="0.25"/>
    <row r="188623" customFormat="1" x14ac:dyDescent="0.25"/>
    <row r="188624" customFormat="1" x14ac:dyDescent="0.25"/>
    <row r="188625" customFormat="1" x14ac:dyDescent="0.25"/>
    <row r="188626" customFormat="1" x14ac:dyDescent="0.25"/>
    <row r="188627" customFormat="1" x14ac:dyDescent="0.25"/>
    <row r="188628" customFormat="1" x14ac:dyDescent="0.25"/>
    <row r="188629" customFormat="1" x14ac:dyDescent="0.25"/>
    <row r="188630" customFormat="1" x14ac:dyDescent="0.25"/>
    <row r="188631" customFormat="1" x14ac:dyDescent="0.25"/>
    <row r="188632" customFormat="1" x14ac:dyDescent="0.25"/>
    <row r="188633" customFormat="1" x14ac:dyDescent="0.25"/>
    <row r="188634" customFormat="1" x14ac:dyDescent="0.25"/>
    <row r="188635" customFormat="1" x14ac:dyDescent="0.25"/>
    <row r="188636" customFormat="1" x14ac:dyDescent="0.25"/>
    <row r="188637" customFormat="1" x14ac:dyDescent="0.25"/>
    <row r="188638" customFormat="1" x14ac:dyDescent="0.25"/>
    <row r="188639" customFormat="1" x14ac:dyDescent="0.25"/>
    <row r="188640" customFormat="1" x14ac:dyDescent="0.25"/>
    <row r="188641" customFormat="1" x14ac:dyDescent="0.25"/>
    <row r="188642" customFormat="1" x14ac:dyDescent="0.25"/>
    <row r="188643" customFormat="1" x14ac:dyDescent="0.25"/>
    <row r="188644" customFormat="1" x14ac:dyDescent="0.25"/>
    <row r="188645" customFormat="1" x14ac:dyDescent="0.25"/>
    <row r="188646" customFormat="1" x14ac:dyDescent="0.25"/>
    <row r="188647" customFormat="1" x14ac:dyDescent="0.25"/>
    <row r="188648" customFormat="1" x14ac:dyDescent="0.25"/>
    <row r="188649" customFormat="1" x14ac:dyDescent="0.25"/>
    <row r="188650" customFormat="1" x14ac:dyDescent="0.25"/>
    <row r="188651" customFormat="1" x14ac:dyDescent="0.25"/>
    <row r="188652" customFormat="1" x14ac:dyDescent="0.25"/>
    <row r="188653" customFormat="1" x14ac:dyDescent="0.25"/>
    <row r="188654" customFormat="1" x14ac:dyDescent="0.25"/>
    <row r="188655" customFormat="1" x14ac:dyDescent="0.25"/>
    <row r="188656" customFormat="1" x14ac:dyDescent="0.25"/>
    <row r="188657" customFormat="1" x14ac:dyDescent="0.25"/>
    <row r="188658" customFormat="1" x14ac:dyDescent="0.25"/>
    <row r="188659" customFormat="1" x14ac:dyDescent="0.25"/>
    <row r="188660" customFormat="1" x14ac:dyDescent="0.25"/>
    <row r="188661" customFormat="1" x14ac:dyDescent="0.25"/>
    <row r="188662" customFormat="1" x14ac:dyDescent="0.25"/>
    <row r="188663" customFormat="1" x14ac:dyDescent="0.25"/>
    <row r="188664" customFormat="1" x14ac:dyDescent="0.25"/>
    <row r="188665" customFormat="1" x14ac:dyDescent="0.25"/>
    <row r="188666" customFormat="1" x14ac:dyDescent="0.25"/>
    <row r="188667" customFormat="1" x14ac:dyDescent="0.25"/>
    <row r="188668" customFormat="1" x14ac:dyDescent="0.25"/>
    <row r="188669" customFormat="1" x14ac:dyDescent="0.25"/>
    <row r="188670" customFormat="1" x14ac:dyDescent="0.25"/>
    <row r="188671" customFormat="1" x14ac:dyDescent="0.25"/>
    <row r="188672" customFormat="1" x14ac:dyDescent="0.25"/>
    <row r="188673" customFormat="1" x14ac:dyDescent="0.25"/>
    <row r="188674" customFormat="1" x14ac:dyDescent="0.25"/>
    <row r="188675" customFormat="1" x14ac:dyDescent="0.25"/>
    <row r="188676" customFormat="1" x14ac:dyDescent="0.25"/>
    <row r="188677" customFormat="1" x14ac:dyDescent="0.25"/>
    <row r="188678" customFormat="1" x14ac:dyDescent="0.25"/>
    <row r="188679" customFormat="1" x14ac:dyDescent="0.25"/>
    <row r="188680" customFormat="1" x14ac:dyDescent="0.25"/>
    <row r="188681" customFormat="1" x14ac:dyDescent="0.25"/>
    <row r="188682" customFormat="1" x14ac:dyDescent="0.25"/>
    <row r="188683" customFormat="1" x14ac:dyDescent="0.25"/>
    <row r="188684" customFormat="1" x14ac:dyDescent="0.25"/>
    <row r="188685" customFormat="1" x14ac:dyDescent="0.25"/>
    <row r="188686" customFormat="1" x14ac:dyDescent="0.25"/>
    <row r="188687" customFormat="1" x14ac:dyDescent="0.25"/>
    <row r="188688" customFormat="1" x14ac:dyDescent="0.25"/>
    <row r="188689" customFormat="1" x14ac:dyDescent="0.25"/>
    <row r="188690" customFormat="1" x14ac:dyDescent="0.25"/>
    <row r="188691" customFormat="1" x14ac:dyDescent="0.25"/>
    <row r="188692" customFormat="1" x14ac:dyDescent="0.25"/>
    <row r="188693" customFormat="1" x14ac:dyDescent="0.25"/>
    <row r="188694" customFormat="1" x14ac:dyDescent="0.25"/>
    <row r="188695" customFormat="1" x14ac:dyDescent="0.25"/>
    <row r="188696" customFormat="1" x14ac:dyDescent="0.25"/>
    <row r="188697" customFormat="1" x14ac:dyDescent="0.25"/>
    <row r="188698" customFormat="1" x14ac:dyDescent="0.25"/>
    <row r="188699" customFormat="1" x14ac:dyDescent="0.25"/>
    <row r="188700" customFormat="1" x14ac:dyDescent="0.25"/>
    <row r="188701" customFormat="1" x14ac:dyDescent="0.25"/>
    <row r="188702" customFormat="1" x14ac:dyDescent="0.25"/>
    <row r="188703" customFormat="1" x14ac:dyDescent="0.25"/>
    <row r="188704" customFormat="1" x14ac:dyDescent="0.25"/>
    <row r="188705" customFormat="1" x14ac:dyDescent="0.25"/>
    <row r="188706" customFormat="1" x14ac:dyDescent="0.25"/>
    <row r="188707" customFormat="1" x14ac:dyDescent="0.25"/>
    <row r="188708" customFormat="1" x14ac:dyDescent="0.25"/>
    <row r="188709" customFormat="1" x14ac:dyDescent="0.25"/>
    <row r="188710" customFormat="1" x14ac:dyDescent="0.25"/>
    <row r="188711" customFormat="1" x14ac:dyDescent="0.25"/>
    <row r="188712" customFormat="1" x14ac:dyDescent="0.25"/>
    <row r="188713" customFormat="1" x14ac:dyDescent="0.25"/>
    <row r="188714" customFormat="1" x14ac:dyDescent="0.25"/>
    <row r="188715" customFormat="1" x14ac:dyDescent="0.25"/>
    <row r="188716" customFormat="1" x14ac:dyDescent="0.25"/>
    <row r="188717" customFormat="1" x14ac:dyDescent="0.25"/>
    <row r="188718" customFormat="1" x14ac:dyDescent="0.25"/>
    <row r="188719" customFormat="1" x14ac:dyDescent="0.25"/>
    <row r="188720" customFormat="1" x14ac:dyDescent="0.25"/>
    <row r="188721" customFormat="1" x14ac:dyDescent="0.25"/>
    <row r="188722" customFormat="1" x14ac:dyDescent="0.25"/>
    <row r="188723" customFormat="1" x14ac:dyDescent="0.25"/>
    <row r="188724" customFormat="1" x14ac:dyDescent="0.25"/>
    <row r="188725" customFormat="1" x14ac:dyDescent="0.25"/>
    <row r="188726" customFormat="1" x14ac:dyDescent="0.25"/>
    <row r="188727" customFormat="1" x14ac:dyDescent="0.25"/>
    <row r="188728" customFormat="1" x14ac:dyDescent="0.25"/>
    <row r="188729" customFormat="1" x14ac:dyDescent="0.25"/>
    <row r="188730" customFormat="1" x14ac:dyDescent="0.25"/>
    <row r="188731" customFormat="1" x14ac:dyDescent="0.25"/>
    <row r="188732" customFormat="1" x14ac:dyDescent="0.25"/>
    <row r="188733" customFormat="1" x14ac:dyDescent="0.25"/>
    <row r="188734" customFormat="1" x14ac:dyDescent="0.25"/>
    <row r="188735" customFormat="1" x14ac:dyDescent="0.25"/>
    <row r="188736" customFormat="1" x14ac:dyDescent="0.25"/>
    <row r="188737" customFormat="1" x14ac:dyDescent="0.25"/>
    <row r="188738" customFormat="1" x14ac:dyDescent="0.25"/>
    <row r="188739" customFormat="1" x14ac:dyDescent="0.25"/>
    <row r="188740" customFormat="1" x14ac:dyDescent="0.25"/>
    <row r="188741" customFormat="1" x14ac:dyDescent="0.25"/>
    <row r="188742" customFormat="1" x14ac:dyDescent="0.25"/>
    <row r="188743" customFormat="1" x14ac:dyDescent="0.25"/>
    <row r="188744" customFormat="1" x14ac:dyDescent="0.25"/>
    <row r="188745" customFormat="1" x14ac:dyDescent="0.25"/>
    <row r="188746" customFormat="1" x14ac:dyDescent="0.25"/>
    <row r="188747" customFormat="1" x14ac:dyDescent="0.25"/>
    <row r="188748" customFormat="1" x14ac:dyDescent="0.25"/>
    <row r="188749" customFormat="1" x14ac:dyDescent="0.25"/>
    <row r="188750" customFormat="1" x14ac:dyDescent="0.25"/>
    <row r="188751" customFormat="1" x14ac:dyDescent="0.25"/>
    <row r="188752" customFormat="1" x14ac:dyDescent="0.25"/>
    <row r="188753" customFormat="1" x14ac:dyDescent="0.25"/>
    <row r="188754" customFormat="1" x14ac:dyDescent="0.25"/>
    <row r="188755" customFormat="1" x14ac:dyDescent="0.25"/>
    <row r="188756" customFormat="1" x14ac:dyDescent="0.25"/>
    <row r="188757" customFormat="1" x14ac:dyDescent="0.25"/>
    <row r="188758" customFormat="1" x14ac:dyDescent="0.25"/>
    <row r="188759" customFormat="1" x14ac:dyDescent="0.25"/>
    <row r="188760" customFormat="1" x14ac:dyDescent="0.25"/>
    <row r="188761" customFormat="1" x14ac:dyDescent="0.25"/>
    <row r="188762" customFormat="1" x14ac:dyDescent="0.25"/>
    <row r="188763" customFormat="1" x14ac:dyDescent="0.25"/>
    <row r="188764" customFormat="1" x14ac:dyDescent="0.25"/>
    <row r="188765" customFormat="1" x14ac:dyDescent="0.25"/>
    <row r="188766" customFormat="1" x14ac:dyDescent="0.25"/>
    <row r="188767" customFormat="1" x14ac:dyDescent="0.25"/>
    <row r="188768" customFormat="1" x14ac:dyDescent="0.25"/>
    <row r="188769" customFormat="1" x14ac:dyDescent="0.25"/>
    <row r="188770" customFormat="1" x14ac:dyDescent="0.25"/>
    <row r="188771" customFormat="1" x14ac:dyDescent="0.25"/>
    <row r="188772" customFormat="1" x14ac:dyDescent="0.25"/>
    <row r="188773" customFormat="1" x14ac:dyDescent="0.25"/>
    <row r="188774" customFormat="1" x14ac:dyDescent="0.25"/>
    <row r="188775" customFormat="1" x14ac:dyDescent="0.25"/>
    <row r="188776" customFormat="1" x14ac:dyDescent="0.25"/>
    <row r="188777" customFormat="1" x14ac:dyDescent="0.25"/>
    <row r="188778" customFormat="1" x14ac:dyDescent="0.25"/>
    <row r="188779" customFormat="1" x14ac:dyDescent="0.25"/>
    <row r="188780" customFormat="1" x14ac:dyDescent="0.25"/>
    <row r="188781" customFormat="1" x14ac:dyDescent="0.25"/>
    <row r="188782" customFormat="1" x14ac:dyDescent="0.25"/>
    <row r="188783" customFormat="1" x14ac:dyDescent="0.25"/>
    <row r="188784" customFormat="1" x14ac:dyDescent="0.25"/>
    <row r="188785" customFormat="1" x14ac:dyDescent="0.25"/>
    <row r="188786" customFormat="1" x14ac:dyDescent="0.25"/>
    <row r="188787" customFormat="1" x14ac:dyDescent="0.25"/>
    <row r="188788" customFormat="1" x14ac:dyDescent="0.25"/>
    <row r="188789" customFormat="1" x14ac:dyDescent="0.25"/>
    <row r="188790" customFormat="1" x14ac:dyDescent="0.25"/>
    <row r="188791" customFormat="1" x14ac:dyDescent="0.25"/>
    <row r="188792" customFormat="1" x14ac:dyDescent="0.25"/>
    <row r="188793" customFormat="1" x14ac:dyDescent="0.25"/>
    <row r="188794" customFormat="1" x14ac:dyDescent="0.25"/>
    <row r="188795" customFormat="1" x14ac:dyDescent="0.25"/>
    <row r="188796" customFormat="1" x14ac:dyDescent="0.25"/>
    <row r="188797" customFormat="1" x14ac:dyDescent="0.25"/>
    <row r="188798" customFormat="1" x14ac:dyDescent="0.25"/>
    <row r="188799" customFormat="1" x14ac:dyDescent="0.25"/>
    <row r="188800" customFormat="1" x14ac:dyDescent="0.25"/>
    <row r="188801" customFormat="1" x14ac:dyDescent="0.25"/>
    <row r="188802" customFormat="1" x14ac:dyDescent="0.25"/>
    <row r="188803" customFormat="1" x14ac:dyDescent="0.25"/>
    <row r="188804" customFormat="1" x14ac:dyDescent="0.25"/>
    <row r="188805" customFormat="1" x14ac:dyDescent="0.25"/>
    <row r="188806" customFormat="1" x14ac:dyDescent="0.25"/>
    <row r="188807" customFormat="1" x14ac:dyDescent="0.25"/>
    <row r="188808" customFormat="1" x14ac:dyDescent="0.25"/>
    <row r="188809" customFormat="1" x14ac:dyDescent="0.25"/>
    <row r="188810" customFormat="1" x14ac:dyDescent="0.25"/>
    <row r="188811" customFormat="1" x14ac:dyDescent="0.25"/>
    <row r="188812" customFormat="1" x14ac:dyDescent="0.25"/>
    <row r="188813" customFormat="1" x14ac:dyDescent="0.25"/>
    <row r="188814" customFormat="1" x14ac:dyDescent="0.25"/>
    <row r="188815" customFormat="1" x14ac:dyDescent="0.25"/>
    <row r="188816" customFormat="1" x14ac:dyDescent="0.25"/>
    <row r="188817" customFormat="1" x14ac:dyDescent="0.25"/>
    <row r="188818" customFormat="1" x14ac:dyDescent="0.25"/>
    <row r="188819" customFormat="1" x14ac:dyDescent="0.25"/>
    <row r="188820" customFormat="1" x14ac:dyDescent="0.25"/>
    <row r="188821" customFormat="1" x14ac:dyDescent="0.25"/>
    <row r="188822" customFormat="1" x14ac:dyDescent="0.25"/>
    <row r="188823" customFormat="1" x14ac:dyDescent="0.25"/>
    <row r="188824" customFormat="1" x14ac:dyDescent="0.25"/>
    <row r="188825" customFormat="1" x14ac:dyDescent="0.25"/>
    <row r="188826" customFormat="1" x14ac:dyDescent="0.25"/>
    <row r="188827" customFormat="1" x14ac:dyDescent="0.25"/>
    <row r="188828" customFormat="1" x14ac:dyDescent="0.25"/>
    <row r="188829" customFormat="1" x14ac:dyDescent="0.25"/>
    <row r="188830" customFormat="1" x14ac:dyDescent="0.25"/>
    <row r="188831" customFormat="1" x14ac:dyDescent="0.25"/>
    <row r="188832" customFormat="1" x14ac:dyDescent="0.25"/>
    <row r="188833" customFormat="1" x14ac:dyDescent="0.25"/>
    <row r="188834" customFormat="1" x14ac:dyDescent="0.25"/>
    <row r="188835" customFormat="1" x14ac:dyDescent="0.25"/>
    <row r="188836" customFormat="1" x14ac:dyDescent="0.25"/>
    <row r="188837" customFormat="1" x14ac:dyDescent="0.25"/>
    <row r="188838" customFormat="1" x14ac:dyDescent="0.25"/>
    <row r="188839" customFormat="1" x14ac:dyDescent="0.25"/>
    <row r="188840" customFormat="1" x14ac:dyDescent="0.25"/>
    <row r="188841" customFormat="1" x14ac:dyDescent="0.25"/>
    <row r="188842" customFormat="1" x14ac:dyDescent="0.25"/>
    <row r="188843" customFormat="1" x14ac:dyDescent="0.25"/>
    <row r="188844" customFormat="1" x14ac:dyDescent="0.25"/>
    <row r="188845" customFormat="1" x14ac:dyDescent="0.25"/>
    <row r="188846" customFormat="1" x14ac:dyDescent="0.25"/>
    <row r="188847" customFormat="1" x14ac:dyDescent="0.25"/>
    <row r="188848" customFormat="1" x14ac:dyDescent="0.25"/>
    <row r="188849" customFormat="1" x14ac:dyDescent="0.25"/>
    <row r="188850" customFormat="1" x14ac:dyDescent="0.25"/>
    <row r="188851" customFormat="1" x14ac:dyDescent="0.25"/>
    <row r="188852" customFormat="1" x14ac:dyDescent="0.25"/>
    <row r="188853" customFormat="1" x14ac:dyDescent="0.25"/>
    <row r="188854" customFormat="1" x14ac:dyDescent="0.25"/>
    <row r="188855" customFormat="1" x14ac:dyDescent="0.25"/>
    <row r="188856" customFormat="1" x14ac:dyDescent="0.25"/>
    <row r="188857" customFormat="1" x14ac:dyDescent="0.25"/>
    <row r="188858" customFormat="1" x14ac:dyDescent="0.25"/>
    <row r="188859" customFormat="1" x14ac:dyDescent="0.25"/>
    <row r="188860" customFormat="1" x14ac:dyDescent="0.25"/>
    <row r="188861" customFormat="1" x14ac:dyDescent="0.25"/>
    <row r="188862" customFormat="1" x14ac:dyDescent="0.25"/>
    <row r="188863" customFormat="1" x14ac:dyDescent="0.25"/>
    <row r="188864" customFormat="1" x14ac:dyDescent="0.25"/>
    <row r="188865" customFormat="1" x14ac:dyDescent="0.25"/>
    <row r="188866" customFormat="1" x14ac:dyDescent="0.25"/>
    <row r="188867" customFormat="1" x14ac:dyDescent="0.25"/>
    <row r="188868" customFormat="1" x14ac:dyDescent="0.25"/>
    <row r="188869" customFormat="1" x14ac:dyDescent="0.25"/>
    <row r="188870" customFormat="1" x14ac:dyDescent="0.25"/>
    <row r="188871" customFormat="1" x14ac:dyDescent="0.25"/>
    <row r="188872" customFormat="1" x14ac:dyDescent="0.25"/>
    <row r="188873" customFormat="1" x14ac:dyDescent="0.25"/>
    <row r="188874" customFormat="1" x14ac:dyDescent="0.25"/>
    <row r="188875" customFormat="1" x14ac:dyDescent="0.25"/>
    <row r="188876" customFormat="1" x14ac:dyDescent="0.25"/>
    <row r="188877" customFormat="1" x14ac:dyDescent="0.25"/>
    <row r="188878" customFormat="1" x14ac:dyDescent="0.25"/>
    <row r="188879" customFormat="1" x14ac:dyDescent="0.25"/>
    <row r="188880" customFormat="1" x14ac:dyDescent="0.25"/>
    <row r="188881" customFormat="1" x14ac:dyDescent="0.25"/>
    <row r="188882" customFormat="1" x14ac:dyDescent="0.25"/>
    <row r="188883" customFormat="1" x14ac:dyDescent="0.25"/>
    <row r="188884" customFormat="1" x14ac:dyDescent="0.25"/>
    <row r="188885" customFormat="1" x14ac:dyDescent="0.25"/>
    <row r="188886" customFormat="1" x14ac:dyDescent="0.25"/>
    <row r="188887" customFormat="1" x14ac:dyDescent="0.25"/>
    <row r="188888" customFormat="1" x14ac:dyDescent="0.25"/>
    <row r="188889" customFormat="1" x14ac:dyDescent="0.25"/>
    <row r="188890" customFormat="1" x14ac:dyDescent="0.25"/>
    <row r="188891" customFormat="1" x14ac:dyDescent="0.25"/>
    <row r="188892" customFormat="1" x14ac:dyDescent="0.25"/>
    <row r="188893" customFormat="1" x14ac:dyDescent="0.25"/>
    <row r="188894" customFormat="1" x14ac:dyDescent="0.25"/>
    <row r="188895" customFormat="1" x14ac:dyDescent="0.25"/>
    <row r="188896" customFormat="1" x14ac:dyDescent="0.25"/>
    <row r="188897" customFormat="1" x14ac:dyDescent="0.25"/>
    <row r="188898" customFormat="1" x14ac:dyDescent="0.25"/>
    <row r="188899" customFormat="1" x14ac:dyDescent="0.25"/>
    <row r="188900" customFormat="1" x14ac:dyDescent="0.25"/>
    <row r="188901" customFormat="1" x14ac:dyDescent="0.25"/>
    <row r="188902" customFormat="1" x14ac:dyDescent="0.25"/>
    <row r="188903" customFormat="1" x14ac:dyDescent="0.25"/>
    <row r="188904" customFormat="1" x14ac:dyDescent="0.25"/>
    <row r="188905" customFormat="1" x14ac:dyDescent="0.25"/>
    <row r="188906" customFormat="1" x14ac:dyDescent="0.25"/>
    <row r="188907" customFormat="1" x14ac:dyDescent="0.25"/>
    <row r="188908" customFormat="1" x14ac:dyDescent="0.25"/>
    <row r="188909" customFormat="1" x14ac:dyDescent="0.25"/>
    <row r="188910" customFormat="1" x14ac:dyDescent="0.25"/>
    <row r="188911" customFormat="1" x14ac:dyDescent="0.25"/>
    <row r="188912" customFormat="1" x14ac:dyDescent="0.25"/>
    <row r="188913" customFormat="1" x14ac:dyDescent="0.25"/>
    <row r="188914" customFormat="1" x14ac:dyDescent="0.25"/>
    <row r="188915" customFormat="1" x14ac:dyDescent="0.25"/>
    <row r="188916" customFormat="1" x14ac:dyDescent="0.25"/>
    <row r="188917" customFormat="1" x14ac:dyDescent="0.25"/>
    <row r="188918" customFormat="1" x14ac:dyDescent="0.25"/>
    <row r="188919" customFormat="1" x14ac:dyDescent="0.25"/>
    <row r="188920" customFormat="1" x14ac:dyDescent="0.25"/>
    <row r="188921" customFormat="1" x14ac:dyDescent="0.25"/>
    <row r="188922" customFormat="1" x14ac:dyDescent="0.25"/>
    <row r="188923" customFormat="1" x14ac:dyDescent="0.25"/>
    <row r="188924" customFormat="1" x14ac:dyDescent="0.25"/>
    <row r="188925" customFormat="1" x14ac:dyDescent="0.25"/>
    <row r="188926" customFormat="1" x14ac:dyDescent="0.25"/>
    <row r="188927" customFormat="1" x14ac:dyDescent="0.25"/>
    <row r="188928" customFormat="1" x14ac:dyDescent="0.25"/>
    <row r="188929" customFormat="1" x14ac:dyDescent="0.25"/>
    <row r="188930" customFormat="1" x14ac:dyDescent="0.25"/>
    <row r="188931" customFormat="1" x14ac:dyDescent="0.25"/>
    <row r="188932" customFormat="1" x14ac:dyDescent="0.25"/>
    <row r="188933" customFormat="1" x14ac:dyDescent="0.25"/>
    <row r="188934" customFormat="1" x14ac:dyDescent="0.25"/>
    <row r="188935" customFormat="1" x14ac:dyDescent="0.25"/>
    <row r="188936" customFormat="1" x14ac:dyDescent="0.25"/>
    <row r="188937" customFormat="1" x14ac:dyDescent="0.25"/>
    <row r="188938" customFormat="1" x14ac:dyDescent="0.25"/>
    <row r="188939" customFormat="1" x14ac:dyDescent="0.25"/>
    <row r="188940" customFormat="1" x14ac:dyDescent="0.25"/>
    <row r="188941" customFormat="1" x14ac:dyDescent="0.25"/>
    <row r="188942" customFormat="1" x14ac:dyDescent="0.25"/>
    <row r="188943" customFormat="1" x14ac:dyDescent="0.25"/>
    <row r="188944" customFormat="1" x14ac:dyDescent="0.25"/>
    <row r="188945" customFormat="1" x14ac:dyDescent="0.25"/>
    <row r="188946" customFormat="1" x14ac:dyDescent="0.25"/>
    <row r="188947" customFormat="1" x14ac:dyDescent="0.25"/>
    <row r="188948" customFormat="1" x14ac:dyDescent="0.25"/>
    <row r="188949" customFormat="1" x14ac:dyDescent="0.25"/>
    <row r="188950" customFormat="1" x14ac:dyDescent="0.25"/>
    <row r="188951" customFormat="1" x14ac:dyDescent="0.25"/>
    <row r="188952" customFormat="1" x14ac:dyDescent="0.25"/>
    <row r="188953" customFormat="1" x14ac:dyDescent="0.25"/>
    <row r="188954" customFormat="1" x14ac:dyDescent="0.25"/>
    <row r="188955" customFormat="1" x14ac:dyDescent="0.25"/>
    <row r="188956" customFormat="1" x14ac:dyDescent="0.25"/>
    <row r="188957" customFormat="1" x14ac:dyDescent="0.25"/>
    <row r="188958" customFormat="1" x14ac:dyDescent="0.25"/>
    <row r="188959" customFormat="1" x14ac:dyDescent="0.25"/>
    <row r="188960" customFormat="1" x14ac:dyDescent="0.25"/>
    <row r="188961" customFormat="1" x14ac:dyDescent="0.25"/>
    <row r="188962" customFormat="1" x14ac:dyDescent="0.25"/>
    <row r="188963" customFormat="1" x14ac:dyDescent="0.25"/>
    <row r="188964" customFormat="1" x14ac:dyDescent="0.25"/>
    <row r="188965" customFormat="1" x14ac:dyDescent="0.25"/>
    <row r="188966" customFormat="1" x14ac:dyDescent="0.25"/>
    <row r="188967" customFormat="1" x14ac:dyDescent="0.25"/>
    <row r="188968" customFormat="1" x14ac:dyDescent="0.25"/>
    <row r="188969" customFormat="1" x14ac:dyDescent="0.25"/>
    <row r="188970" customFormat="1" x14ac:dyDescent="0.25"/>
    <row r="188971" customFormat="1" x14ac:dyDescent="0.25"/>
    <row r="188972" customFormat="1" x14ac:dyDescent="0.25"/>
    <row r="188973" customFormat="1" x14ac:dyDescent="0.25"/>
    <row r="188974" customFormat="1" x14ac:dyDescent="0.25"/>
    <row r="188975" customFormat="1" x14ac:dyDescent="0.25"/>
    <row r="188976" customFormat="1" x14ac:dyDescent="0.25"/>
    <row r="188977" customFormat="1" x14ac:dyDescent="0.25"/>
    <row r="188978" customFormat="1" x14ac:dyDescent="0.25"/>
    <row r="188979" customFormat="1" x14ac:dyDescent="0.25"/>
    <row r="188980" customFormat="1" x14ac:dyDescent="0.25"/>
    <row r="188981" customFormat="1" x14ac:dyDescent="0.25"/>
    <row r="188982" customFormat="1" x14ac:dyDescent="0.25"/>
    <row r="188983" customFormat="1" x14ac:dyDescent="0.25"/>
    <row r="188984" customFormat="1" x14ac:dyDescent="0.25"/>
    <row r="188985" customFormat="1" x14ac:dyDescent="0.25"/>
    <row r="188986" customFormat="1" x14ac:dyDescent="0.25"/>
    <row r="188987" customFormat="1" x14ac:dyDescent="0.25"/>
    <row r="188988" customFormat="1" x14ac:dyDescent="0.25"/>
    <row r="188989" customFormat="1" x14ac:dyDescent="0.25"/>
    <row r="188990" customFormat="1" x14ac:dyDescent="0.25"/>
    <row r="188991" customFormat="1" x14ac:dyDescent="0.25"/>
    <row r="188992" customFormat="1" x14ac:dyDescent="0.25"/>
    <row r="188993" customFormat="1" x14ac:dyDescent="0.25"/>
    <row r="188994" customFormat="1" x14ac:dyDescent="0.25"/>
    <row r="188995" customFormat="1" x14ac:dyDescent="0.25"/>
    <row r="188996" customFormat="1" x14ac:dyDescent="0.25"/>
    <row r="188997" customFormat="1" x14ac:dyDescent="0.25"/>
    <row r="188998" customFormat="1" x14ac:dyDescent="0.25"/>
    <row r="188999" customFormat="1" x14ac:dyDescent="0.25"/>
    <row r="189000" customFormat="1" x14ac:dyDescent="0.25"/>
    <row r="189001" customFormat="1" x14ac:dyDescent="0.25"/>
    <row r="189002" customFormat="1" x14ac:dyDescent="0.25"/>
    <row r="189003" customFormat="1" x14ac:dyDescent="0.25"/>
    <row r="189004" customFormat="1" x14ac:dyDescent="0.25"/>
    <row r="189005" customFormat="1" x14ac:dyDescent="0.25"/>
    <row r="189006" customFormat="1" x14ac:dyDescent="0.25"/>
    <row r="189007" customFormat="1" x14ac:dyDescent="0.25"/>
    <row r="189008" customFormat="1" x14ac:dyDescent="0.25"/>
    <row r="189009" customFormat="1" x14ac:dyDescent="0.25"/>
    <row r="189010" customFormat="1" x14ac:dyDescent="0.25"/>
    <row r="189011" customFormat="1" x14ac:dyDescent="0.25"/>
    <row r="189012" customFormat="1" x14ac:dyDescent="0.25"/>
    <row r="189013" customFormat="1" x14ac:dyDescent="0.25"/>
    <row r="189014" customFormat="1" x14ac:dyDescent="0.25"/>
    <row r="189015" customFormat="1" x14ac:dyDescent="0.25"/>
    <row r="189016" customFormat="1" x14ac:dyDescent="0.25"/>
    <row r="189017" customFormat="1" x14ac:dyDescent="0.25"/>
    <row r="189018" customFormat="1" x14ac:dyDescent="0.25"/>
    <row r="189019" customFormat="1" x14ac:dyDescent="0.25"/>
    <row r="189020" customFormat="1" x14ac:dyDescent="0.25"/>
    <row r="189021" customFormat="1" x14ac:dyDescent="0.25"/>
    <row r="189022" customFormat="1" x14ac:dyDescent="0.25"/>
    <row r="189023" customFormat="1" x14ac:dyDescent="0.25"/>
    <row r="189024" customFormat="1" x14ac:dyDescent="0.25"/>
    <row r="189025" customFormat="1" x14ac:dyDescent="0.25"/>
    <row r="189026" customFormat="1" x14ac:dyDescent="0.25"/>
    <row r="189027" customFormat="1" x14ac:dyDescent="0.25"/>
    <row r="189028" customFormat="1" x14ac:dyDescent="0.25"/>
    <row r="189029" customFormat="1" x14ac:dyDescent="0.25"/>
    <row r="189030" customFormat="1" x14ac:dyDescent="0.25"/>
    <row r="189031" customFormat="1" x14ac:dyDescent="0.25"/>
    <row r="189032" customFormat="1" x14ac:dyDescent="0.25"/>
    <row r="189033" customFormat="1" x14ac:dyDescent="0.25"/>
    <row r="189034" customFormat="1" x14ac:dyDescent="0.25"/>
    <row r="189035" customFormat="1" x14ac:dyDescent="0.25"/>
    <row r="189036" customFormat="1" x14ac:dyDescent="0.25"/>
    <row r="189037" customFormat="1" x14ac:dyDescent="0.25"/>
    <row r="189038" customFormat="1" x14ac:dyDescent="0.25"/>
    <row r="189039" customFormat="1" x14ac:dyDescent="0.25"/>
    <row r="189040" customFormat="1" x14ac:dyDescent="0.25"/>
    <row r="189041" customFormat="1" x14ac:dyDescent="0.25"/>
    <row r="189042" customFormat="1" x14ac:dyDescent="0.25"/>
    <row r="189043" customFormat="1" x14ac:dyDescent="0.25"/>
    <row r="189044" customFormat="1" x14ac:dyDescent="0.25"/>
    <row r="189045" customFormat="1" x14ac:dyDescent="0.25"/>
    <row r="189046" customFormat="1" x14ac:dyDescent="0.25"/>
    <row r="189047" customFormat="1" x14ac:dyDescent="0.25"/>
    <row r="189048" customFormat="1" x14ac:dyDescent="0.25"/>
    <row r="189049" customFormat="1" x14ac:dyDescent="0.25"/>
    <row r="189050" customFormat="1" x14ac:dyDescent="0.25"/>
    <row r="189051" customFormat="1" x14ac:dyDescent="0.25"/>
    <row r="189052" customFormat="1" x14ac:dyDescent="0.25"/>
    <row r="189053" customFormat="1" x14ac:dyDescent="0.25"/>
    <row r="189054" customFormat="1" x14ac:dyDescent="0.25"/>
    <row r="189055" customFormat="1" x14ac:dyDescent="0.25"/>
    <row r="189056" customFormat="1" x14ac:dyDescent="0.25"/>
    <row r="189057" customFormat="1" x14ac:dyDescent="0.25"/>
    <row r="189058" customFormat="1" x14ac:dyDescent="0.25"/>
    <row r="189059" customFormat="1" x14ac:dyDescent="0.25"/>
    <row r="189060" customFormat="1" x14ac:dyDescent="0.25"/>
    <row r="189061" customFormat="1" x14ac:dyDescent="0.25"/>
    <row r="189062" customFormat="1" x14ac:dyDescent="0.25"/>
    <row r="189063" customFormat="1" x14ac:dyDescent="0.25"/>
    <row r="189064" customFormat="1" x14ac:dyDescent="0.25"/>
    <row r="189065" customFormat="1" x14ac:dyDescent="0.25"/>
    <row r="189066" customFormat="1" x14ac:dyDescent="0.25"/>
    <row r="189067" customFormat="1" x14ac:dyDescent="0.25"/>
    <row r="189068" customFormat="1" x14ac:dyDescent="0.25"/>
    <row r="189069" customFormat="1" x14ac:dyDescent="0.25"/>
    <row r="189070" customFormat="1" x14ac:dyDescent="0.25"/>
    <row r="189071" customFormat="1" x14ac:dyDescent="0.25"/>
    <row r="189072" customFormat="1" x14ac:dyDescent="0.25"/>
    <row r="189073" customFormat="1" x14ac:dyDescent="0.25"/>
    <row r="189074" customFormat="1" x14ac:dyDescent="0.25"/>
    <row r="189075" customFormat="1" x14ac:dyDescent="0.25"/>
    <row r="189076" customFormat="1" x14ac:dyDescent="0.25"/>
    <row r="189077" customFormat="1" x14ac:dyDescent="0.25"/>
    <row r="189078" customFormat="1" x14ac:dyDescent="0.25"/>
    <row r="189079" customFormat="1" x14ac:dyDescent="0.25"/>
    <row r="189080" customFormat="1" x14ac:dyDescent="0.25"/>
    <row r="189081" customFormat="1" x14ac:dyDescent="0.25"/>
    <row r="189082" customFormat="1" x14ac:dyDescent="0.25"/>
    <row r="189083" customFormat="1" x14ac:dyDescent="0.25"/>
    <row r="189084" customFormat="1" x14ac:dyDescent="0.25"/>
    <row r="189085" customFormat="1" x14ac:dyDescent="0.25"/>
    <row r="189086" customFormat="1" x14ac:dyDescent="0.25"/>
    <row r="189087" customFormat="1" x14ac:dyDescent="0.25"/>
    <row r="189088" customFormat="1" x14ac:dyDescent="0.25"/>
    <row r="189089" customFormat="1" x14ac:dyDescent="0.25"/>
    <row r="189090" customFormat="1" x14ac:dyDescent="0.25"/>
    <row r="189091" customFormat="1" x14ac:dyDescent="0.25"/>
    <row r="189092" customFormat="1" x14ac:dyDescent="0.25"/>
    <row r="189093" customFormat="1" x14ac:dyDescent="0.25"/>
    <row r="189094" customFormat="1" x14ac:dyDescent="0.25"/>
    <row r="189095" customFormat="1" x14ac:dyDescent="0.25"/>
    <row r="189096" customFormat="1" x14ac:dyDescent="0.25"/>
    <row r="189097" customFormat="1" x14ac:dyDescent="0.25"/>
    <row r="189098" customFormat="1" x14ac:dyDescent="0.25"/>
    <row r="189099" customFormat="1" x14ac:dyDescent="0.25"/>
    <row r="189100" customFormat="1" x14ac:dyDescent="0.25"/>
    <row r="189101" customFormat="1" x14ac:dyDescent="0.25"/>
    <row r="189102" customFormat="1" x14ac:dyDescent="0.25"/>
    <row r="189103" customFormat="1" x14ac:dyDescent="0.25"/>
    <row r="189104" customFormat="1" x14ac:dyDescent="0.25"/>
    <row r="189105" customFormat="1" x14ac:dyDescent="0.25"/>
    <row r="189106" customFormat="1" x14ac:dyDescent="0.25"/>
    <row r="189107" customFormat="1" x14ac:dyDescent="0.25"/>
    <row r="189108" customFormat="1" x14ac:dyDescent="0.25"/>
    <row r="189109" customFormat="1" x14ac:dyDescent="0.25"/>
    <row r="189110" customFormat="1" x14ac:dyDescent="0.25"/>
    <row r="189111" customFormat="1" x14ac:dyDescent="0.25"/>
    <row r="189112" customFormat="1" x14ac:dyDescent="0.25"/>
    <row r="189113" customFormat="1" x14ac:dyDescent="0.25"/>
    <row r="189114" customFormat="1" x14ac:dyDescent="0.25"/>
    <row r="189115" customFormat="1" x14ac:dyDescent="0.25"/>
    <row r="189116" customFormat="1" x14ac:dyDescent="0.25"/>
    <row r="189117" customFormat="1" x14ac:dyDescent="0.25"/>
    <row r="189118" customFormat="1" x14ac:dyDescent="0.25"/>
    <row r="189119" customFormat="1" x14ac:dyDescent="0.25"/>
    <row r="189120" customFormat="1" x14ac:dyDescent="0.25"/>
    <row r="189121" customFormat="1" x14ac:dyDescent="0.25"/>
    <row r="189122" customFormat="1" x14ac:dyDescent="0.25"/>
    <row r="189123" customFormat="1" x14ac:dyDescent="0.25"/>
    <row r="189124" customFormat="1" x14ac:dyDescent="0.25"/>
    <row r="189125" customFormat="1" x14ac:dyDescent="0.25"/>
    <row r="189126" customFormat="1" x14ac:dyDescent="0.25"/>
    <row r="189127" customFormat="1" x14ac:dyDescent="0.25"/>
    <row r="189128" customFormat="1" x14ac:dyDescent="0.25"/>
    <row r="189129" customFormat="1" x14ac:dyDescent="0.25"/>
    <row r="189130" customFormat="1" x14ac:dyDescent="0.25"/>
    <row r="189131" customFormat="1" x14ac:dyDescent="0.25"/>
    <row r="189132" customFormat="1" x14ac:dyDescent="0.25"/>
    <row r="189133" customFormat="1" x14ac:dyDescent="0.25"/>
    <row r="189134" customFormat="1" x14ac:dyDescent="0.25"/>
    <row r="189135" customFormat="1" x14ac:dyDescent="0.25"/>
    <row r="189136" customFormat="1" x14ac:dyDescent="0.25"/>
    <row r="189137" customFormat="1" x14ac:dyDescent="0.25"/>
    <row r="189138" customFormat="1" x14ac:dyDescent="0.25"/>
    <row r="189139" customFormat="1" x14ac:dyDescent="0.25"/>
    <row r="189140" customFormat="1" x14ac:dyDescent="0.25"/>
    <row r="189141" customFormat="1" x14ac:dyDescent="0.25"/>
    <row r="189142" customFormat="1" x14ac:dyDescent="0.25"/>
    <row r="189143" customFormat="1" x14ac:dyDescent="0.25"/>
    <row r="189144" customFormat="1" x14ac:dyDescent="0.25"/>
    <row r="189145" customFormat="1" x14ac:dyDescent="0.25"/>
    <row r="189146" customFormat="1" x14ac:dyDescent="0.25"/>
    <row r="189147" customFormat="1" x14ac:dyDescent="0.25"/>
    <row r="189148" customFormat="1" x14ac:dyDescent="0.25"/>
    <row r="189149" customFormat="1" x14ac:dyDescent="0.25"/>
    <row r="189150" customFormat="1" x14ac:dyDescent="0.25"/>
    <row r="189151" customFormat="1" x14ac:dyDescent="0.25"/>
    <row r="189152" customFormat="1" x14ac:dyDescent="0.25"/>
    <row r="189153" customFormat="1" x14ac:dyDescent="0.25"/>
    <row r="189154" customFormat="1" x14ac:dyDescent="0.25"/>
    <row r="189155" customFormat="1" x14ac:dyDescent="0.25"/>
    <row r="189156" customFormat="1" x14ac:dyDescent="0.25"/>
    <row r="189157" customFormat="1" x14ac:dyDescent="0.25"/>
    <row r="189158" customFormat="1" x14ac:dyDescent="0.25"/>
    <row r="189159" customFormat="1" x14ac:dyDescent="0.25"/>
    <row r="189160" customFormat="1" x14ac:dyDescent="0.25"/>
    <row r="189161" customFormat="1" x14ac:dyDescent="0.25"/>
    <row r="189162" customFormat="1" x14ac:dyDescent="0.25"/>
    <row r="189163" customFormat="1" x14ac:dyDescent="0.25"/>
    <row r="189164" customFormat="1" x14ac:dyDescent="0.25"/>
    <row r="189165" customFormat="1" x14ac:dyDescent="0.25"/>
    <row r="189166" customFormat="1" x14ac:dyDescent="0.25"/>
    <row r="189167" customFormat="1" x14ac:dyDescent="0.25"/>
    <row r="189168" customFormat="1" x14ac:dyDescent="0.25"/>
    <row r="189169" customFormat="1" x14ac:dyDescent="0.25"/>
    <row r="189170" customFormat="1" x14ac:dyDescent="0.25"/>
    <row r="189171" customFormat="1" x14ac:dyDescent="0.25"/>
    <row r="189172" customFormat="1" x14ac:dyDescent="0.25"/>
    <row r="189173" customFormat="1" x14ac:dyDescent="0.25"/>
    <row r="189174" customFormat="1" x14ac:dyDescent="0.25"/>
    <row r="189175" customFormat="1" x14ac:dyDescent="0.25"/>
    <row r="189176" customFormat="1" x14ac:dyDescent="0.25"/>
    <row r="189177" customFormat="1" x14ac:dyDescent="0.25"/>
    <row r="189178" customFormat="1" x14ac:dyDescent="0.25"/>
    <row r="189179" customFormat="1" x14ac:dyDescent="0.25"/>
    <row r="189180" customFormat="1" x14ac:dyDescent="0.25"/>
    <row r="189181" customFormat="1" x14ac:dyDescent="0.25"/>
    <row r="189182" customFormat="1" x14ac:dyDescent="0.25"/>
    <row r="189183" customFormat="1" x14ac:dyDescent="0.25"/>
    <row r="189184" customFormat="1" x14ac:dyDescent="0.25"/>
    <row r="189185" customFormat="1" x14ac:dyDescent="0.25"/>
    <row r="189186" customFormat="1" x14ac:dyDescent="0.25"/>
    <row r="189187" customFormat="1" x14ac:dyDescent="0.25"/>
    <row r="189188" customFormat="1" x14ac:dyDescent="0.25"/>
    <row r="189189" customFormat="1" x14ac:dyDescent="0.25"/>
    <row r="189190" customFormat="1" x14ac:dyDescent="0.25"/>
    <row r="189191" customFormat="1" x14ac:dyDescent="0.25"/>
    <row r="189192" customFormat="1" x14ac:dyDescent="0.25"/>
    <row r="189193" customFormat="1" x14ac:dyDescent="0.25"/>
    <row r="189194" customFormat="1" x14ac:dyDescent="0.25"/>
    <row r="189195" customFormat="1" x14ac:dyDescent="0.25"/>
    <row r="189196" customFormat="1" x14ac:dyDescent="0.25"/>
    <row r="189197" customFormat="1" x14ac:dyDescent="0.25"/>
    <row r="189198" customFormat="1" x14ac:dyDescent="0.25"/>
    <row r="189199" customFormat="1" x14ac:dyDescent="0.25"/>
    <row r="189200" customFormat="1" x14ac:dyDescent="0.25"/>
    <row r="189201" customFormat="1" x14ac:dyDescent="0.25"/>
    <row r="189202" customFormat="1" x14ac:dyDescent="0.25"/>
    <row r="189203" customFormat="1" x14ac:dyDescent="0.25"/>
    <row r="189204" customFormat="1" x14ac:dyDescent="0.25"/>
    <row r="189205" customFormat="1" x14ac:dyDescent="0.25"/>
    <row r="189206" customFormat="1" x14ac:dyDescent="0.25"/>
    <row r="189207" customFormat="1" x14ac:dyDescent="0.25"/>
    <row r="189208" customFormat="1" x14ac:dyDescent="0.25"/>
    <row r="189209" customFormat="1" x14ac:dyDescent="0.25"/>
    <row r="189210" customFormat="1" x14ac:dyDescent="0.25"/>
    <row r="189211" customFormat="1" x14ac:dyDescent="0.25"/>
    <row r="189212" customFormat="1" x14ac:dyDescent="0.25"/>
    <row r="189213" customFormat="1" x14ac:dyDescent="0.25"/>
    <row r="189214" customFormat="1" x14ac:dyDescent="0.25"/>
    <row r="189215" customFormat="1" x14ac:dyDescent="0.25"/>
    <row r="189216" customFormat="1" x14ac:dyDescent="0.25"/>
    <row r="189217" customFormat="1" x14ac:dyDescent="0.25"/>
    <row r="189218" customFormat="1" x14ac:dyDescent="0.25"/>
    <row r="189219" customFormat="1" x14ac:dyDescent="0.25"/>
    <row r="189220" customFormat="1" x14ac:dyDescent="0.25"/>
    <row r="189221" customFormat="1" x14ac:dyDescent="0.25"/>
    <row r="189222" customFormat="1" x14ac:dyDescent="0.25"/>
    <row r="189223" customFormat="1" x14ac:dyDescent="0.25"/>
    <row r="189224" customFormat="1" x14ac:dyDescent="0.25"/>
    <row r="189225" customFormat="1" x14ac:dyDescent="0.25"/>
    <row r="189226" customFormat="1" x14ac:dyDescent="0.25"/>
    <row r="189227" customFormat="1" x14ac:dyDescent="0.25"/>
    <row r="189228" customFormat="1" x14ac:dyDescent="0.25"/>
    <row r="189229" customFormat="1" x14ac:dyDescent="0.25"/>
    <row r="189230" customFormat="1" x14ac:dyDescent="0.25"/>
    <row r="189231" customFormat="1" x14ac:dyDescent="0.25"/>
    <row r="189232" customFormat="1" x14ac:dyDescent="0.25"/>
    <row r="189233" customFormat="1" x14ac:dyDescent="0.25"/>
    <row r="189234" customFormat="1" x14ac:dyDescent="0.25"/>
    <row r="189235" customFormat="1" x14ac:dyDescent="0.25"/>
    <row r="189236" customFormat="1" x14ac:dyDescent="0.25"/>
    <row r="189237" customFormat="1" x14ac:dyDescent="0.25"/>
    <row r="189238" customFormat="1" x14ac:dyDescent="0.25"/>
    <row r="189239" customFormat="1" x14ac:dyDescent="0.25"/>
    <row r="189240" customFormat="1" x14ac:dyDescent="0.25"/>
    <row r="189241" customFormat="1" x14ac:dyDescent="0.25"/>
    <row r="189242" customFormat="1" x14ac:dyDescent="0.25"/>
    <row r="189243" customFormat="1" x14ac:dyDescent="0.25"/>
    <row r="189244" customFormat="1" x14ac:dyDescent="0.25"/>
    <row r="189245" customFormat="1" x14ac:dyDescent="0.25"/>
    <row r="189246" customFormat="1" x14ac:dyDescent="0.25"/>
    <row r="189247" customFormat="1" x14ac:dyDescent="0.25"/>
    <row r="189248" customFormat="1" x14ac:dyDescent="0.25"/>
    <row r="189249" customFormat="1" x14ac:dyDescent="0.25"/>
    <row r="189250" customFormat="1" x14ac:dyDescent="0.25"/>
    <row r="189251" customFormat="1" x14ac:dyDescent="0.25"/>
    <row r="189252" customFormat="1" x14ac:dyDescent="0.25"/>
    <row r="189253" customFormat="1" x14ac:dyDescent="0.25"/>
    <row r="189254" customFormat="1" x14ac:dyDescent="0.25"/>
    <row r="189255" customFormat="1" x14ac:dyDescent="0.25"/>
    <row r="189256" customFormat="1" x14ac:dyDescent="0.25"/>
    <row r="189257" customFormat="1" x14ac:dyDescent="0.25"/>
    <row r="189258" customFormat="1" x14ac:dyDescent="0.25"/>
    <row r="189259" customFormat="1" x14ac:dyDescent="0.25"/>
    <row r="189260" customFormat="1" x14ac:dyDescent="0.25"/>
    <row r="189261" customFormat="1" x14ac:dyDescent="0.25"/>
    <row r="189262" customFormat="1" x14ac:dyDescent="0.25"/>
    <row r="189263" customFormat="1" x14ac:dyDescent="0.25"/>
    <row r="189264" customFormat="1" x14ac:dyDescent="0.25"/>
    <row r="189265" customFormat="1" x14ac:dyDescent="0.25"/>
    <row r="189266" customFormat="1" x14ac:dyDescent="0.25"/>
    <row r="189267" customFormat="1" x14ac:dyDescent="0.25"/>
    <row r="189268" customFormat="1" x14ac:dyDescent="0.25"/>
    <row r="189269" customFormat="1" x14ac:dyDescent="0.25"/>
    <row r="189270" customFormat="1" x14ac:dyDescent="0.25"/>
    <row r="189271" customFormat="1" x14ac:dyDescent="0.25"/>
    <row r="189272" customFormat="1" x14ac:dyDescent="0.25"/>
    <row r="189273" customFormat="1" x14ac:dyDescent="0.25"/>
    <row r="189274" customFormat="1" x14ac:dyDescent="0.25"/>
    <row r="189275" customFormat="1" x14ac:dyDescent="0.25"/>
    <row r="189276" customFormat="1" x14ac:dyDescent="0.25"/>
    <row r="189277" customFormat="1" x14ac:dyDescent="0.25"/>
    <row r="189278" customFormat="1" x14ac:dyDescent="0.25"/>
    <row r="189279" customFormat="1" x14ac:dyDescent="0.25"/>
    <row r="189280" customFormat="1" x14ac:dyDescent="0.25"/>
    <row r="189281" customFormat="1" x14ac:dyDescent="0.25"/>
    <row r="189282" customFormat="1" x14ac:dyDescent="0.25"/>
    <row r="189283" customFormat="1" x14ac:dyDescent="0.25"/>
    <row r="189284" customFormat="1" x14ac:dyDescent="0.25"/>
    <row r="189285" customFormat="1" x14ac:dyDescent="0.25"/>
    <row r="189286" customFormat="1" x14ac:dyDescent="0.25"/>
    <row r="189287" customFormat="1" x14ac:dyDescent="0.25"/>
    <row r="189288" customFormat="1" x14ac:dyDescent="0.25"/>
    <row r="189289" customFormat="1" x14ac:dyDescent="0.25"/>
    <row r="189290" customFormat="1" x14ac:dyDescent="0.25"/>
    <row r="189291" customFormat="1" x14ac:dyDescent="0.25"/>
    <row r="189292" customFormat="1" x14ac:dyDescent="0.25"/>
    <row r="189293" customFormat="1" x14ac:dyDescent="0.25"/>
    <row r="189294" customFormat="1" x14ac:dyDescent="0.25"/>
    <row r="189295" customFormat="1" x14ac:dyDescent="0.25"/>
    <row r="189296" customFormat="1" x14ac:dyDescent="0.25"/>
    <row r="189297" customFormat="1" x14ac:dyDescent="0.25"/>
    <row r="189298" customFormat="1" x14ac:dyDescent="0.25"/>
    <row r="189299" customFormat="1" x14ac:dyDescent="0.25"/>
    <row r="189300" customFormat="1" x14ac:dyDescent="0.25"/>
    <row r="189301" customFormat="1" x14ac:dyDescent="0.25"/>
    <row r="189302" customFormat="1" x14ac:dyDescent="0.25"/>
    <row r="189303" customFormat="1" x14ac:dyDescent="0.25"/>
    <row r="189304" customFormat="1" x14ac:dyDescent="0.25"/>
    <row r="189305" customFormat="1" x14ac:dyDescent="0.25"/>
    <row r="189306" customFormat="1" x14ac:dyDescent="0.25"/>
    <row r="189307" customFormat="1" x14ac:dyDescent="0.25"/>
    <row r="189308" customFormat="1" x14ac:dyDescent="0.25"/>
    <row r="189309" customFormat="1" x14ac:dyDescent="0.25"/>
    <row r="189310" customFormat="1" x14ac:dyDescent="0.25"/>
    <row r="189311" customFormat="1" x14ac:dyDescent="0.25"/>
    <row r="189312" customFormat="1" x14ac:dyDescent="0.25"/>
    <row r="189313" customFormat="1" x14ac:dyDescent="0.25"/>
    <row r="189314" customFormat="1" x14ac:dyDescent="0.25"/>
    <row r="189315" customFormat="1" x14ac:dyDescent="0.25"/>
    <row r="189316" customFormat="1" x14ac:dyDescent="0.25"/>
    <row r="189317" customFormat="1" x14ac:dyDescent="0.25"/>
    <row r="189318" customFormat="1" x14ac:dyDescent="0.25"/>
    <row r="189319" customFormat="1" x14ac:dyDescent="0.25"/>
    <row r="189320" customFormat="1" x14ac:dyDescent="0.25"/>
    <row r="189321" customFormat="1" x14ac:dyDescent="0.25"/>
    <row r="189322" customFormat="1" x14ac:dyDescent="0.25"/>
    <row r="189323" customFormat="1" x14ac:dyDescent="0.25"/>
    <row r="189324" customFormat="1" x14ac:dyDescent="0.25"/>
    <row r="189325" customFormat="1" x14ac:dyDescent="0.25"/>
    <row r="189326" customFormat="1" x14ac:dyDescent="0.25"/>
    <row r="189327" customFormat="1" x14ac:dyDescent="0.25"/>
    <row r="189328" customFormat="1" x14ac:dyDescent="0.25"/>
    <row r="189329" customFormat="1" x14ac:dyDescent="0.25"/>
    <row r="189330" customFormat="1" x14ac:dyDescent="0.25"/>
    <row r="189331" customFormat="1" x14ac:dyDescent="0.25"/>
    <row r="189332" customFormat="1" x14ac:dyDescent="0.25"/>
    <row r="189333" customFormat="1" x14ac:dyDescent="0.25"/>
    <row r="189334" customFormat="1" x14ac:dyDescent="0.25"/>
    <row r="189335" customFormat="1" x14ac:dyDescent="0.25"/>
    <row r="189336" customFormat="1" x14ac:dyDescent="0.25"/>
    <row r="189337" customFormat="1" x14ac:dyDescent="0.25"/>
    <row r="189338" customFormat="1" x14ac:dyDescent="0.25"/>
    <row r="189339" customFormat="1" x14ac:dyDescent="0.25"/>
    <row r="189340" customFormat="1" x14ac:dyDescent="0.25"/>
    <row r="189341" customFormat="1" x14ac:dyDescent="0.25"/>
    <row r="189342" customFormat="1" x14ac:dyDescent="0.25"/>
    <row r="189343" customFormat="1" x14ac:dyDescent="0.25"/>
    <row r="189344" customFormat="1" x14ac:dyDescent="0.25"/>
    <row r="189345" customFormat="1" x14ac:dyDescent="0.25"/>
    <row r="189346" customFormat="1" x14ac:dyDescent="0.25"/>
    <row r="189347" customFormat="1" x14ac:dyDescent="0.25"/>
    <row r="189348" customFormat="1" x14ac:dyDescent="0.25"/>
    <row r="189349" customFormat="1" x14ac:dyDescent="0.25"/>
    <row r="189350" customFormat="1" x14ac:dyDescent="0.25"/>
    <row r="189351" customFormat="1" x14ac:dyDescent="0.25"/>
    <row r="189352" customFormat="1" x14ac:dyDescent="0.25"/>
    <row r="189353" customFormat="1" x14ac:dyDescent="0.25"/>
    <row r="189354" customFormat="1" x14ac:dyDescent="0.25"/>
    <row r="189355" customFormat="1" x14ac:dyDescent="0.25"/>
    <row r="189356" customFormat="1" x14ac:dyDescent="0.25"/>
    <row r="189357" customFormat="1" x14ac:dyDescent="0.25"/>
    <row r="189358" customFormat="1" x14ac:dyDescent="0.25"/>
    <row r="189359" customFormat="1" x14ac:dyDescent="0.25"/>
    <row r="189360" customFormat="1" x14ac:dyDescent="0.25"/>
    <row r="189361" customFormat="1" x14ac:dyDescent="0.25"/>
    <row r="189362" customFormat="1" x14ac:dyDescent="0.25"/>
    <row r="189363" customFormat="1" x14ac:dyDescent="0.25"/>
    <row r="189364" customFormat="1" x14ac:dyDescent="0.25"/>
    <row r="189365" customFormat="1" x14ac:dyDescent="0.25"/>
    <row r="189366" customFormat="1" x14ac:dyDescent="0.25"/>
    <row r="189367" customFormat="1" x14ac:dyDescent="0.25"/>
    <row r="189368" customFormat="1" x14ac:dyDescent="0.25"/>
    <row r="189369" customFormat="1" x14ac:dyDescent="0.25"/>
    <row r="189370" customFormat="1" x14ac:dyDescent="0.25"/>
    <row r="189371" customFormat="1" x14ac:dyDescent="0.25"/>
    <row r="189372" customFormat="1" x14ac:dyDescent="0.25"/>
    <row r="189373" customFormat="1" x14ac:dyDescent="0.25"/>
    <row r="189374" customFormat="1" x14ac:dyDescent="0.25"/>
    <row r="189375" customFormat="1" x14ac:dyDescent="0.25"/>
    <row r="189376" customFormat="1" x14ac:dyDescent="0.25"/>
    <row r="189377" customFormat="1" x14ac:dyDescent="0.25"/>
    <row r="189378" customFormat="1" x14ac:dyDescent="0.25"/>
    <row r="189379" customFormat="1" x14ac:dyDescent="0.25"/>
    <row r="189380" customFormat="1" x14ac:dyDescent="0.25"/>
    <row r="189381" customFormat="1" x14ac:dyDescent="0.25"/>
    <row r="189382" customFormat="1" x14ac:dyDescent="0.25"/>
    <row r="189383" customFormat="1" x14ac:dyDescent="0.25"/>
    <row r="189384" customFormat="1" x14ac:dyDescent="0.25"/>
    <row r="189385" customFormat="1" x14ac:dyDescent="0.25"/>
    <row r="189386" customFormat="1" x14ac:dyDescent="0.25"/>
    <row r="189387" customFormat="1" x14ac:dyDescent="0.25"/>
    <row r="189388" customFormat="1" x14ac:dyDescent="0.25"/>
    <row r="189389" customFormat="1" x14ac:dyDescent="0.25"/>
    <row r="189390" customFormat="1" x14ac:dyDescent="0.25"/>
    <row r="189391" customFormat="1" x14ac:dyDescent="0.25"/>
    <row r="189392" customFormat="1" x14ac:dyDescent="0.25"/>
    <row r="189393" customFormat="1" x14ac:dyDescent="0.25"/>
    <row r="189394" customFormat="1" x14ac:dyDescent="0.25"/>
    <row r="189395" customFormat="1" x14ac:dyDescent="0.25"/>
    <row r="189396" customFormat="1" x14ac:dyDescent="0.25"/>
    <row r="189397" customFormat="1" x14ac:dyDescent="0.25"/>
    <row r="189398" customFormat="1" x14ac:dyDescent="0.25"/>
    <row r="189399" customFormat="1" x14ac:dyDescent="0.25"/>
    <row r="189400" customFormat="1" x14ac:dyDescent="0.25"/>
    <row r="189401" customFormat="1" x14ac:dyDescent="0.25"/>
    <row r="189402" customFormat="1" x14ac:dyDescent="0.25"/>
    <row r="189403" customFormat="1" x14ac:dyDescent="0.25"/>
    <row r="189404" customFormat="1" x14ac:dyDescent="0.25"/>
    <row r="189405" customFormat="1" x14ac:dyDescent="0.25"/>
    <row r="189406" customFormat="1" x14ac:dyDescent="0.25"/>
    <row r="189407" customFormat="1" x14ac:dyDescent="0.25"/>
    <row r="189408" customFormat="1" x14ac:dyDescent="0.25"/>
    <row r="189409" customFormat="1" x14ac:dyDescent="0.25"/>
    <row r="189410" customFormat="1" x14ac:dyDescent="0.25"/>
    <row r="189411" customFormat="1" x14ac:dyDescent="0.25"/>
    <row r="189412" customFormat="1" x14ac:dyDescent="0.25"/>
    <row r="189413" customFormat="1" x14ac:dyDescent="0.25"/>
    <row r="189414" customFormat="1" x14ac:dyDescent="0.25"/>
    <row r="189415" customFormat="1" x14ac:dyDescent="0.25"/>
    <row r="189416" customFormat="1" x14ac:dyDescent="0.25"/>
    <row r="189417" customFormat="1" x14ac:dyDescent="0.25"/>
    <row r="189418" customFormat="1" x14ac:dyDescent="0.25"/>
    <row r="189419" customFormat="1" x14ac:dyDescent="0.25"/>
    <row r="189420" customFormat="1" x14ac:dyDescent="0.25"/>
    <row r="189421" customFormat="1" x14ac:dyDescent="0.25"/>
    <row r="189422" customFormat="1" x14ac:dyDescent="0.25"/>
    <row r="189423" customFormat="1" x14ac:dyDescent="0.25"/>
    <row r="189424" customFormat="1" x14ac:dyDescent="0.25"/>
    <row r="189425" customFormat="1" x14ac:dyDescent="0.25"/>
    <row r="189426" customFormat="1" x14ac:dyDescent="0.25"/>
    <row r="189427" customFormat="1" x14ac:dyDescent="0.25"/>
    <row r="189428" customFormat="1" x14ac:dyDescent="0.25"/>
    <row r="189429" customFormat="1" x14ac:dyDescent="0.25"/>
    <row r="189430" customFormat="1" x14ac:dyDescent="0.25"/>
    <row r="189431" customFormat="1" x14ac:dyDescent="0.25"/>
    <row r="189432" customFormat="1" x14ac:dyDescent="0.25"/>
    <row r="189433" customFormat="1" x14ac:dyDescent="0.25"/>
    <row r="189434" customFormat="1" x14ac:dyDescent="0.25"/>
    <row r="189435" customFormat="1" x14ac:dyDescent="0.25"/>
    <row r="189436" customFormat="1" x14ac:dyDescent="0.25"/>
    <row r="189437" customFormat="1" x14ac:dyDescent="0.25"/>
    <row r="189438" customFormat="1" x14ac:dyDescent="0.25"/>
    <row r="189439" customFormat="1" x14ac:dyDescent="0.25"/>
    <row r="189440" customFormat="1" x14ac:dyDescent="0.25"/>
    <row r="189441" customFormat="1" x14ac:dyDescent="0.25"/>
    <row r="189442" customFormat="1" x14ac:dyDescent="0.25"/>
    <row r="189443" customFormat="1" x14ac:dyDescent="0.25"/>
    <row r="189444" customFormat="1" x14ac:dyDescent="0.25"/>
    <row r="189445" customFormat="1" x14ac:dyDescent="0.25"/>
    <row r="189446" customFormat="1" x14ac:dyDescent="0.25"/>
    <row r="189447" customFormat="1" x14ac:dyDescent="0.25"/>
    <row r="189448" customFormat="1" x14ac:dyDescent="0.25"/>
    <row r="189449" customFormat="1" x14ac:dyDescent="0.25"/>
    <row r="189450" customFormat="1" x14ac:dyDescent="0.25"/>
    <row r="189451" customFormat="1" x14ac:dyDescent="0.25"/>
    <row r="189452" customFormat="1" x14ac:dyDescent="0.25"/>
    <row r="189453" customFormat="1" x14ac:dyDescent="0.25"/>
    <row r="189454" customFormat="1" x14ac:dyDescent="0.25"/>
    <row r="189455" customFormat="1" x14ac:dyDescent="0.25"/>
    <row r="189456" customFormat="1" x14ac:dyDescent="0.25"/>
    <row r="189457" customFormat="1" x14ac:dyDescent="0.25"/>
    <row r="189458" customFormat="1" x14ac:dyDescent="0.25"/>
    <row r="189459" customFormat="1" x14ac:dyDescent="0.25"/>
    <row r="189460" customFormat="1" x14ac:dyDescent="0.25"/>
    <row r="189461" customFormat="1" x14ac:dyDescent="0.25"/>
    <row r="189462" customFormat="1" x14ac:dyDescent="0.25"/>
    <row r="189463" customFormat="1" x14ac:dyDescent="0.25"/>
    <row r="189464" customFormat="1" x14ac:dyDescent="0.25"/>
    <row r="189465" customFormat="1" x14ac:dyDescent="0.25"/>
    <row r="189466" customFormat="1" x14ac:dyDescent="0.25"/>
    <row r="189467" customFormat="1" x14ac:dyDescent="0.25"/>
    <row r="189468" customFormat="1" x14ac:dyDescent="0.25"/>
    <row r="189469" customFormat="1" x14ac:dyDescent="0.25"/>
    <row r="189470" customFormat="1" x14ac:dyDescent="0.25"/>
    <row r="189471" customFormat="1" x14ac:dyDescent="0.25"/>
    <row r="189472" customFormat="1" x14ac:dyDescent="0.25"/>
    <row r="189473" customFormat="1" x14ac:dyDescent="0.25"/>
    <row r="189474" customFormat="1" x14ac:dyDescent="0.25"/>
    <row r="189475" customFormat="1" x14ac:dyDescent="0.25"/>
    <row r="189476" customFormat="1" x14ac:dyDescent="0.25"/>
    <row r="189477" customFormat="1" x14ac:dyDescent="0.25"/>
    <row r="189478" customFormat="1" x14ac:dyDescent="0.25"/>
    <row r="189479" customFormat="1" x14ac:dyDescent="0.25"/>
    <row r="189480" customFormat="1" x14ac:dyDescent="0.25"/>
    <row r="189481" customFormat="1" x14ac:dyDescent="0.25"/>
    <row r="189482" customFormat="1" x14ac:dyDescent="0.25"/>
    <row r="189483" customFormat="1" x14ac:dyDescent="0.25"/>
    <row r="189484" customFormat="1" x14ac:dyDescent="0.25"/>
    <row r="189485" customFormat="1" x14ac:dyDescent="0.25"/>
    <row r="189486" customFormat="1" x14ac:dyDescent="0.25"/>
    <row r="189487" customFormat="1" x14ac:dyDescent="0.25"/>
    <row r="189488" customFormat="1" x14ac:dyDescent="0.25"/>
    <row r="189489" customFormat="1" x14ac:dyDescent="0.25"/>
    <row r="189490" customFormat="1" x14ac:dyDescent="0.25"/>
    <row r="189491" customFormat="1" x14ac:dyDescent="0.25"/>
    <row r="189492" customFormat="1" x14ac:dyDescent="0.25"/>
    <row r="189493" customFormat="1" x14ac:dyDescent="0.25"/>
    <row r="189494" customFormat="1" x14ac:dyDescent="0.25"/>
    <row r="189495" customFormat="1" x14ac:dyDescent="0.25"/>
    <row r="189496" customFormat="1" x14ac:dyDescent="0.25"/>
    <row r="189497" customFormat="1" x14ac:dyDescent="0.25"/>
    <row r="189498" customFormat="1" x14ac:dyDescent="0.25"/>
    <row r="189499" customFormat="1" x14ac:dyDescent="0.25"/>
    <row r="189500" customFormat="1" x14ac:dyDescent="0.25"/>
    <row r="189501" customFormat="1" x14ac:dyDescent="0.25"/>
    <row r="189502" customFormat="1" x14ac:dyDescent="0.25"/>
    <row r="189503" customFormat="1" x14ac:dyDescent="0.25"/>
    <row r="189504" customFormat="1" x14ac:dyDescent="0.25"/>
    <row r="189505" customFormat="1" x14ac:dyDescent="0.25"/>
    <row r="189506" customFormat="1" x14ac:dyDescent="0.25"/>
    <row r="189507" customFormat="1" x14ac:dyDescent="0.25"/>
    <row r="189508" customFormat="1" x14ac:dyDescent="0.25"/>
    <row r="189509" customFormat="1" x14ac:dyDescent="0.25"/>
    <row r="189510" customFormat="1" x14ac:dyDescent="0.25"/>
    <row r="189511" customFormat="1" x14ac:dyDescent="0.25"/>
    <row r="189512" customFormat="1" x14ac:dyDescent="0.25"/>
    <row r="189513" customFormat="1" x14ac:dyDescent="0.25"/>
    <row r="189514" customFormat="1" x14ac:dyDescent="0.25"/>
    <row r="189515" customFormat="1" x14ac:dyDescent="0.25"/>
    <row r="189516" customFormat="1" x14ac:dyDescent="0.25"/>
    <row r="189517" customFormat="1" x14ac:dyDescent="0.25"/>
    <row r="189518" customFormat="1" x14ac:dyDescent="0.25"/>
    <row r="189519" customFormat="1" x14ac:dyDescent="0.25"/>
    <row r="189520" customFormat="1" x14ac:dyDescent="0.25"/>
    <row r="189521" customFormat="1" x14ac:dyDescent="0.25"/>
    <row r="189522" customFormat="1" x14ac:dyDescent="0.25"/>
    <row r="189523" customFormat="1" x14ac:dyDescent="0.25"/>
    <row r="189524" customFormat="1" x14ac:dyDescent="0.25"/>
    <row r="189525" customFormat="1" x14ac:dyDescent="0.25"/>
    <row r="189526" customFormat="1" x14ac:dyDescent="0.25"/>
    <row r="189527" customFormat="1" x14ac:dyDescent="0.25"/>
    <row r="189528" customFormat="1" x14ac:dyDescent="0.25"/>
    <row r="189529" customFormat="1" x14ac:dyDescent="0.25"/>
    <row r="189530" customFormat="1" x14ac:dyDescent="0.25"/>
    <row r="189531" customFormat="1" x14ac:dyDescent="0.25"/>
    <row r="189532" customFormat="1" x14ac:dyDescent="0.25"/>
    <row r="189533" customFormat="1" x14ac:dyDescent="0.25"/>
    <row r="189534" customFormat="1" x14ac:dyDescent="0.25"/>
    <row r="189535" customFormat="1" x14ac:dyDescent="0.25"/>
    <row r="189536" customFormat="1" x14ac:dyDescent="0.25"/>
    <row r="189537" customFormat="1" x14ac:dyDescent="0.25"/>
    <row r="189538" customFormat="1" x14ac:dyDescent="0.25"/>
    <row r="189539" customFormat="1" x14ac:dyDescent="0.25"/>
    <row r="189540" customFormat="1" x14ac:dyDescent="0.25"/>
    <row r="189541" customFormat="1" x14ac:dyDescent="0.25"/>
    <row r="189542" customFormat="1" x14ac:dyDescent="0.25"/>
    <row r="189543" customFormat="1" x14ac:dyDescent="0.25"/>
    <row r="189544" customFormat="1" x14ac:dyDescent="0.25"/>
    <row r="189545" customFormat="1" x14ac:dyDescent="0.25"/>
    <row r="189546" customFormat="1" x14ac:dyDescent="0.25"/>
    <row r="189547" customFormat="1" x14ac:dyDescent="0.25"/>
    <row r="189548" customFormat="1" x14ac:dyDescent="0.25"/>
    <row r="189549" customFormat="1" x14ac:dyDescent="0.25"/>
    <row r="189550" customFormat="1" x14ac:dyDescent="0.25"/>
    <row r="189551" customFormat="1" x14ac:dyDescent="0.25"/>
    <row r="189552" customFormat="1" x14ac:dyDescent="0.25"/>
    <row r="189553" customFormat="1" x14ac:dyDescent="0.25"/>
    <row r="189554" customFormat="1" x14ac:dyDescent="0.25"/>
    <row r="189555" customFormat="1" x14ac:dyDescent="0.25"/>
    <row r="189556" customFormat="1" x14ac:dyDescent="0.25"/>
    <row r="189557" customFormat="1" x14ac:dyDescent="0.25"/>
    <row r="189558" customFormat="1" x14ac:dyDescent="0.25"/>
    <row r="189559" customFormat="1" x14ac:dyDescent="0.25"/>
    <row r="189560" customFormat="1" x14ac:dyDescent="0.25"/>
    <row r="189561" customFormat="1" x14ac:dyDescent="0.25"/>
    <row r="189562" customFormat="1" x14ac:dyDescent="0.25"/>
    <row r="189563" customFormat="1" x14ac:dyDescent="0.25"/>
    <row r="189564" customFormat="1" x14ac:dyDescent="0.25"/>
    <row r="189565" customFormat="1" x14ac:dyDescent="0.25"/>
    <row r="189566" customFormat="1" x14ac:dyDescent="0.25"/>
    <row r="189567" customFormat="1" x14ac:dyDescent="0.25"/>
    <row r="189568" customFormat="1" x14ac:dyDescent="0.25"/>
    <row r="189569" customFormat="1" x14ac:dyDescent="0.25"/>
    <row r="189570" customFormat="1" x14ac:dyDescent="0.25"/>
    <row r="189571" customFormat="1" x14ac:dyDescent="0.25"/>
    <row r="189572" customFormat="1" x14ac:dyDescent="0.25"/>
    <row r="189573" customFormat="1" x14ac:dyDescent="0.25"/>
    <row r="189574" customFormat="1" x14ac:dyDescent="0.25"/>
    <row r="189575" customFormat="1" x14ac:dyDescent="0.25"/>
    <row r="189576" customFormat="1" x14ac:dyDescent="0.25"/>
    <row r="189577" customFormat="1" x14ac:dyDescent="0.25"/>
    <row r="189578" customFormat="1" x14ac:dyDescent="0.25"/>
    <row r="189579" customFormat="1" x14ac:dyDescent="0.25"/>
    <row r="189580" customFormat="1" x14ac:dyDescent="0.25"/>
    <row r="189581" customFormat="1" x14ac:dyDescent="0.25"/>
    <row r="189582" customFormat="1" x14ac:dyDescent="0.25"/>
    <row r="189583" customFormat="1" x14ac:dyDescent="0.25"/>
    <row r="189584" customFormat="1" x14ac:dyDescent="0.25"/>
    <row r="189585" customFormat="1" x14ac:dyDescent="0.25"/>
    <row r="189586" customFormat="1" x14ac:dyDescent="0.25"/>
    <row r="189587" customFormat="1" x14ac:dyDescent="0.25"/>
    <row r="189588" customFormat="1" x14ac:dyDescent="0.25"/>
    <row r="189589" customFormat="1" x14ac:dyDescent="0.25"/>
    <row r="189590" customFormat="1" x14ac:dyDescent="0.25"/>
    <row r="189591" customFormat="1" x14ac:dyDescent="0.25"/>
    <row r="189592" customFormat="1" x14ac:dyDescent="0.25"/>
    <row r="189593" customFormat="1" x14ac:dyDescent="0.25"/>
    <row r="189594" customFormat="1" x14ac:dyDescent="0.25"/>
    <row r="189595" customFormat="1" x14ac:dyDescent="0.25"/>
    <row r="189596" customFormat="1" x14ac:dyDescent="0.25"/>
    <row r="189597" customFormat="1" x14ac:dyDescent="0.25"/>
    <row r="189598" customFormat="1" x14ac:dyDescent="0.25"/>
    <row r="189599" customFormat="1" x14ac:dyDescent="0.25"/>
    <row r="189600" customFormat="1" x14ac:dyDescent="0.25"/>
    <row r="189601" customFormat="1" x14ac:dyDescent="0.25"/>
    <row r="189602" customFormat="1" x14ac:dyDescent="0.25"/>
    <row r="189603" customFormat="1" x14ac:dyDescent="0.25"/>
    <row r="189604" customFormat="1" x14ac:dyDescent="0.25"/>
    <row r="189605" customFormat="1" x14ac:dyDescent="0.25"/>
    <row r="189606" customFormat="1" x14ac:dyDescent="0.25"/>
    <row r="189607" customFormat="1" x14ac:dyDescent="0.25"/>
    <row r="189608" customFormat="1" x14ac:dyDescent="0.25"/>
    <row r="189609" customFormat="1" x14ac:dyDescent="0.25"/>
    <row r="189610" customFormat="1" x14ac:dyDescent="0.25"/>
    <row r="189611" customFormat="1" x14ac:dyDescent="0.25"/>
    <row r="189612" customFormat="1" x14ac:dyDescent="0.25"/>
    <row r="189613" customFormat="1" x14ac:dyDescent="0.25"/>
    <row r="189614" customFormat="1" x14ac:dyDescent="0.25"/>
    <row r="189615" customFormat="1" x14ac:dyDescent="0.25"/>
    <row r="189616" customFormat="1" x14ac:dyDescent="0.25"/>
    <row r="189617" customFormat="1" x14ac:dyDescent="0.25"/>
    <row r="189618" customFormat="1" x14ac:dyDescent="0.25"/>
    <row r="189619" customFormat="1" x14ac:dyDescent="0.25"/>
    <row r="189620" customFormat="1" x14ac:dyDescent="0.25"/>
    <row r="189621" customFormat="1" x14ac:dyDescent="0.25"/>
    <row r="189622" customFormat="1" x14ac:dyDescent="0.25"/>
    <row r="189623" customFormat="1" x14ac:dyDescent="0.25"/>
    <row r="189624" customFormat="1" x14ac:dyDescent="0.25"/>
    <row r="189625" customFormat="1" x14ac:dyDescent="0.25"/>
    <row r="189626" customFormat="1" x14ac:dyDescent="0.25"/>
    <row r="189627" customFormat="1" x14ac:dyDescent="0.25"/>
    <row r="189628" customFormat="1" x14ac:dyDescent="0.25"/>
    <row r="189629" customFormat="1" x14ac:dyDescent="0.25"/>
    <row r="189630" customFormat="1" x14ac:dyDescent="0.25"/>
    <row r="189631" customFormat="1" x14ac:dyDescent="0.25"/>
    <row r="189632" customFormat="1" x14ac:dyDescent="0.25"/>
    <row r="189633" customFormat="1" x14ac:dyDescent="0.25"/>
    <row r="189634" customFormat="1" x14ac:dyDescent="0.25"/>
    <row r="189635" customFormat="1" x14ac:dyDescent="0.25"/>
    <row r="189636" customFormat="1" x14ac:dyDescent="0.25"/>
    <row r="189637" customFormat="1" x14ac:dyDescent="0.25"/>
    <row r="189638" customFormat="1" x14ac:dyDescent="0.25"/>
    <row r="189639" customFormat="1" x14ac:dyDescent="0.25"/>
    <row r="189640" customFormat="1" x14ac:dyDescent="0.25"/>
    <row r="189641" customFormat="1" x14ac:dyDescent="0.25"/>
    <row r="189642" customFormat="1" x14ac:dyDescent="0.25"/>
    <row r="189643" customFormat="1" x14ac:dyDescent="0.25"/>
    <row r="189644" customFormat="1" x14ac:dyDescent="0.25"/>
    <row r="189645" customFormat="1" x14ac:dyDescent="0.25"/>
    <row r="189646" customFormat="1" x14ac:dyDescent="0.25"/>
    <row r="189647" customFormat="1" x14ac:dyDescent="0.25"/>
    <row r="189648" customFormat="1" x14ac:dyDescent="0.25"/>
    <row r="189649" customFormat="1" x14ac:dyDescent="0.25"/>
    <row r="189650" customFormat="1" x14ac:dyDescent="0.25"/>
    <row r="189651" customFormat="1" x14ac:dyDescent="0.25"/>
    <row r="189652" customFormat="1" x14ac:dyDescent="0.25"/>
    <row r="189653" customFormat="1" x14ac:dyDescent="0.25"/>
    <row r="189654" customFormat="1" x14ac:dyDescent="0.25"/>
    <row r="189655" customFormat="1" x14ac:dyDescent="0.25"/>
    <row r="189656" customFormat="1" x14ac:dyDescent="0.25"/>
    <row r="189657" customFormat="1" x14ac:dyDescent="0.25"/>
    <row r="189658" customFormat="1" x14ac:dyDescent="0.25"/>
    <row r="189659" customFormat="1" x14ac:dyDescent="0.25"/>
    <row r="189660" customFormat="1" x14ac:dyDescent="0.25"/>
    <row r="189661" customFormat="1" x14ac:dyDescent="0.25"/>
    <row r="189662" customFormat="1" x14ac:dyDescent="0.25"/>
    <row r="189663" customFormat="1" x14ac:dyDescent="0.25"/>
    <row r="189664" customFormat="1" x14ac:dyDescent="0.25"/>
    <row r="189665" customFormat="1" x14ac:dyDescent="0.25"/>
    <row r="189666" customFormat="1" x14ac:dyDescent="0.25"/>
    <row r="189667" customFormat="1" x14ac:dyDescent="0.25"/>
    <row r="189668" customFormat="1" x14ac:dyDescent="0.25"/>
    <row r="189669" customFormat="1" x14ac:dyDescent="0.25"/>
    <row r="189670" customFormat="1" x14ac:dyDescent="0.25"/>
    <row r="189671" customFormat="1" x14ac:dyDescent="0.25"/>
    <row r="189672" customFormat="1" x14ac:dyDescent="0.25"/>
    <row r="189673" customFormat="1" x14ac:dyDescent="0.25"/>
    <row r="189674" customFormat="1" x14ac:dyDescent="0.25"/>
    <row r="189675" customFormat="1" x14ac:dyDescent="0.25"/>
    <row r="189676" customFormat="1" x14ac:dyDescent="0.25"/>
    <row r="189677" customFormat="1" x14ac:dyDescent="0.25"/>
    <row r="189678" customFormat="1" x14ac:dyDescent="0.25"/>
    <row r="189679" customFormat="1" x14ac:dyDescent="0.25"/>
    <row r="189680" customFormat="1" x14ac:dyDescent="0.25"/>
    <row r="189681" customFormat="1" x14ac:dyDescent="0.25"/>
    <row r="189682" customFormat="1" x14ac:dyDescent="0.25"/>
    <row r="189683" customFormat="1" x14ac:dyDescent="0.25"/>
    <row r="189684" customFormat="1" x14ac:dyDescent="0.25"/>
    <row r="189685" customFormat="1" x14ac:dyDescent="0.25"/>
    <row r="189686" customFormat="1" x14ac:dyDescent="0.25"/>
    <row r="189687" customFormat="1" x14ac:dyDescent="0.25"/>
    <row r="189688" customFormat="1" x14ac:dyDescent="0.25"/>
    <row r="189689" customFormat="1" x14ac:dyDescent="0.25"/>
    <row r="189690" customFormat="1" x14ac:dyDescent="0.25"/>
    <row r="189691" customFormat="1" x14ac:dyDescent="0.25"/>
    <row r="189692" customFormat="1" x14ac:dyDescent="0.25"/>
    <row r="189693" customFormat="1" x14ac:dyDescent="0.25"/>
    <row r="189694" customFormat="1" x14ac:dyDescent="0.25"/>
    <row r="189695" customFormat="1" x14ac:dyDescent="0.25"/>
    <row r="189696" customFormat="1" x14ac:dyDescent="0.25"/>
    <row r="189697" customFormat="1" x14ac:dyDescent="0.25"/>
    <row r="189698" customFormat="1" x14ac:dyDescent="0.25"/>
    <row r="189699" customFormat="1" x14ac:dyDescent="0.25"/>
    <row r="189700" customFormat="1" x14ac:dyDescent="0.25"/>
    <row r="189701" customFormat="1" x14ac:dyDescent="0.25"/>
    <row r="189702" customFormat="1" x14ac:dyDescent="0.25"/>
    <row r="189703" customFormat="1" x14ac:dyDescent="0.25"/>
    <row r="189704" customFormat="1" x14ac:dyDescent="0.25"/>
    <row r="189705" customFormat="1" x14ac:dyDescent="0.25"/>
    <row r="189706" customFormat="1" x14ac:dyDescent="0.25"/>
    <row r="189707" customFormat="1" x14ac:dyDescent="0.25"/>
    <row r="189708" customFormat="1" x14ac:dyDescent="0.25"/>
    <row r="189709" customFormat="1" x14ac:dyDescent="0.25"/>
    <row r="189710" customFormat="1" x14ac:dyDescent="0.25"/>
    <row r="189711" customFormat="1" x14ac:dyDescent="0.25"/>
    <row r="189712" customFormat="1" x14ac:dyDescent="0.25"/>
    <row r="189713" customFormat="1" x14ac:dyDescent="0.25"/>
    <row r="189714" customFormat="1" x14ac:dyDescent="0.25"/>
    <row r="189715" customFormat="1" x14ac:dyDescent="0.25"/>
    <row r="189716" customFormat="1" x14ac:dyDescent="0.25"/>
    <row r="189717" customFormat="1" x14ac:dyDescent="0.25"/>
    <row r="189718" customFormat="1" x14ac:dyDescent="0.25"/>
    <row r="189719" customFormat="1" x14ac:dyDescent="0.25"/>
    <row r="189720" customFormat="1" x14ac:dyDescent="0.25"/>
    <row r="189721" customFormat="1" x14ac:dyDescent="0.25"/>
    <row r="189722" customFormat="1" x14ac:dyDescent="0.25"/>
    <row r="189723" customFormat="1" x14ac:dyDescent="0.25"/>
    <row r="189724" customFormat="1" x14ac:dyDescent="0.25"/>
    <row r="189725" customFormat="1" x14ac:dyDescent="0.25"/>
    <row r="189726" customFormat="1" x14ac:dyDescent="0.25"/>
    <row r="189727" customFormat="1" x14ac:dyDescent="0.25"/>
    <row r="189728" customFormat="1" x14ac:dyDescent="0.25"/>
    <row r="189729" customFormat="1" x14ac:dyDescent="0.25"/>
    <row r="189730" customFormat="1" x14ac:dyDescent="0.25"/>
    <row r="189731" customFormat="1" x14ac:dyDescent="0.25"/>
    <row r="189732" customFormat="1" x14ac:dyDescent="0.25"/>
    <row r="189733" customFormat="1" x14ac:dyDescent="0.25"/>
    <row r="189734" customFormat="1" x14ac:dyDescent="0.25"/>
    <row r="189735" customFormat="1" x14ac:dyDescent="0.25"/>
    <row r="189736" customFormat="1" x14ac:dyDescent="0.25"/>
    <row r="189737" customFormat="1" x14ac:dyDescent="0.25"/>
    <row r="189738" customFormat="1" x14ac:dyDescent="0.25"/>
    <row r="189739" customFormat="1" x14ac:dyDescent="0.25"/>
    <row r="189740" customFormat="1" x14ac:dyDescent="0.25"/>
    <row r="189741" customFormat="1" x14ac:dyDescent="0.25"/>
    <row r="189742" customFormat="1" x14ac:dyDescent="0.25"/>
    <row r="189743" customFormat="1" x14ac:dyDescent="0.25"/>
    <row r="189744" customFormat="1" x14ac:dyDescent="0.25"/>
    <row r="189745" customFormat="1" x14ac:dyDescent="0.25"/>
    <row r="189746" customFormat="1" x14ac:dyDescent="0.25"/>
    <row r="189747" customFormat="1" x14ac:dyDescent="0.25"/>
    <row r="189748" customFormat="1" x14ac:dyDescent="0.25"/>
    <row r="189749" customFormat="1" x14ac:dyDescent="0.25"/>
    <row r="189750" customFormat="1" x14ac:dyDescent="0.25"/>
    <row r="189751" customFormat="1" x14ac:dyDescent="0.25"/>
    <row r="189752" customFormat="1" x14ac:dyDescent="0.25"/>
    <row r="189753" customFormat="1" x14ac:dyDescent="0.25"/>
    <row r="189754" customFormat="1" x14ac:dyDescent="0.25"/>
    <row r="189755" customFormat="1" x14ac:dyDescent="0.25"/>
    <row r="189756" customFormat="1" x14ac:dyDescent="0.25"/>
    <row r="189757" customFormat="1" x14ac:dyDescent="0.25"/>
    <row r="189758" customFormat="1" x14ac:dyDescent="0.25"/>
    <row r="189759" customFormat="1" x14ac:dyDescent="0.25"/>
    <row r="189760" customFormat="1" x14ac:dyDescent="0.25"/>
    <row r="189761" customFormat="1" x14ac:dyDescent="0.25"/>
    <row r="189762" customFormat="1" x14ac:dyDescent="0.25"/>
    <row r="189763" customFormat="1" x14ac:dyDescent="0.25"/>
    <row r="189764" customFormat="1" x14ac:dyDescent="0.25"/>
    <row r="189765" customFormat="1" x14ac:dyDescent="0.25"/>
    <row r="189766" customFormat="1" x14ac:dyDescent="0.25"/>
    <row r="189767" customFormat="1" x14ac:dyDescent="0.25"/>
    <row r="189768" customFormat="1" x14ac:dyDescent="0.25"/>
    <row r="189769" customFormat="1" x14ac:dyDescent="0.25"/>
    <row r="189770" customFormat="1" x14ac:dyDescent="0.25"/>
    <row r="189771" customFormat="1" x14ac:dyDescent="0.25"/>
    <row r="189772" customFormat="1" x14ac:dyDescent="0.25"/>
    <row r="189773" customFormat="1" x14ac:dyDescent="0.25"/>
    <row r="189774" customFormat="1" x14ac:dyDescent="0.25"/>
    <row r="189775" customFormat="1" x14ac:dyDescent="0.25"/>
    <row r="189776" customFormat="1" x14ac:dyDescent="0.25"/>
    <row r="189777" customFormat="1" x14ac:dyDescent="0.25"/>
    <row r="189778" customFormat="1" x14ac:dyDescent="0.25"/>
    <row r="189779" customFormat="1" x14ac:dyDescent="0.25"/>
    <row r="189780" customFormat="1" x14ac:dyDescent="0.25"/>
    <row r="189781" customFormat="1" x14ac:dyDescent="0.25"/>
    <row r="189782" customFormat="1" x14ac:dyDescent="0.25"/>
    <row r="189783" customFormat="1" x14ac:dyDescent="0.25"/>
    <row r="189784" customFormat="1" x14ac:dyDescent="0.25"/>
    <row r="189785" customFormat="1" x14ac:dyDescent="0.25"/>
    <row r="189786" customFormat="1" x14ac:dyDescent="0.25"/>
    <row r="189787" customFormat="1" x14ac:dyDescent="0.25"/>
    <row r="189788" customFormat="1" x14ac:dyDescent="0.25"/>
    <row r="189789" customFormat="1" x14ac:dyDescent="0.25"/>
    <row r="189790" customFormat="1" x14ac:dyDescent="0.25"/>
    <row r="189791" customFormat="1" x14ac:dyDescent="0.25"/>
    <row r="189792" customFormat="1" x14ac:dyDescent="0.25"/>
    <row r="189793" customFormat="1" x14ac:dyDescent="0.25"/>
    <row r="189794" customFormat="1" x14ac:dyDescent="0.25"/>
    <row r="189795" customFormat="1" x14ac:dyDescent="0.25"/>
    <row r="189796" customFormat="1" x14ac:dyDescent="0.25"/>
    <row r="189797" customFormat="1" x14ac:dyDescent="0.25"/>
    <row r="189798" customFormat="1" x14ac:dyDescent="0.25"/>
    <row r="189799" customFormat="1" x14ac:dyDescent="0.25"/>
    <row r="189800" customFormat="1" x14ac:dyDescent="0.25"/>
    <row r="189801" customFormat="1" x14ac:dyDescent="0.25"/>
    <row r="189802" customFormat="1" x14ac:dyDescent="0.25"/>
    <row r="189803" customFormat="1" x14ac:dyDescent="0.25"/>
    <row r="189804" customFormat="1" x14ac:dyDescent="0.25"/>
    <row r="189805" customFormat="1" x14ac:dyDescent="0.25"/>
    <row r="189806" customFormat="1" x14ac:dyDescent="0.25"/>
    <row r="189807" customFormat="1" x14ac:dyDescent="0.25"/>
    <row r="189808" customFormat="1" x14ac:dyDescent="0.25"/>
    <row r="189809" customFormat="1" x14ac:dyDescent="0.25"/>
    <row r="189810" customFormat="1" x14ac:dyDescent="0.25"/>
    <row r="189811" customFormat="1" x14ac:dyDescent="0.25"/>
    <row r="189812" customFormat="1" x14ac:dyDescent="0.25"/>
    <row r="189813" customFormat="1" x14ac:dyDescent="0.25"/>
    <row r="189814" customFormat="1" x14ac:dyDescent="0.25"/>
    <row r="189815" customFormat="1" x14ac:dyDescent="0.25"/>
    <row r="189816" customFormat="1" x14ac:dyDescent="0.25"/>
    <row r="189817" customFormat="1" x14ac:dyDescent="0.25"/>
    <row r="189818" customFormat="1" x14ac:dyDescent="0.25"/>
    <row r="189819" customFormat="1" x14ac:dyDescent="0.25"/>
    <row r="189820" customFormat="1" x14ac:dyDescent="0.25"/>
    <row r="189821" customFormat="1" x14ac:dyDescent="0.25"/>
    <row r="189822" customFormat="1" x14ac:dyDescent="0.25"/>
    <row r="189823" customFormat="1" x14ac:dyDescent="0.25"/>
    <row r="189824" customFormat="1" x14ac:dyDescent="0.25"/>
    <row r="189825" customFormat="1" x14ac:dyDescent="0.25"/>
    <row r="189826" customFormat="1" x14ac:dyDescent="0.25"/>
    <row r="189827" customFormat="1" x14ac:dyDescent="0.25"/>
    <row r="189828" customFormat="1" x14ac:dyDescent="0.25"/>
    <row r="189829" customFormat="1" x14ac:dyDescent="0.25"/>
    <row r="189830" customFormat="1" x14ac:dyDescent="0.25"/>
    <row r="189831" customFormat="1" x14ac:dyDescent="0.25"/>
    <row r="189832" customFormat="1" x14ac:dyDescent="0.25"/>
    <row r="189833" customFormat="1" x14ac:dyDescent="0.25"/>
    <row r="189834" customFormat="1" x14ac:dyDescent="0.25"/>
    <row r="189835" customFormat="1" x14ac:dyDescent="0.25"/>
    <row r="189836" customFormat="1" x14ac:dyDescent="0.25"/>
    <row r="189837" customFormat="1" x14ac:dyDescent="0.25"/>
    <row r="189838" customFormat="1" x14ac:dyDescent="0.25"/>
    <row r="189839" customFormat="1" x14ac:dyDescent="0.25"/>
    <row r="189840" customFormat="1" x14ac:dyDescent="0.25"/>
    <row r="189841" customFormat="1" x14ac:dyDescent="0.25"/>
    <row r="189842" customFormat="1" x14ac:dyDescent="0.25"/>
    <row r="189843" customFormat="1" x14ac:dyDescent="0.25"/>
    <row r="189844" customFormat="1" x14ac:dyDescent="0.25"/>
    <row r="189845" customFormat="1" x14ac:dyDescent="0.25"/>
    <row r="189846" customFormat="1" x14ac:dyDescent="0.25"/>
    <row r="189847" customFormat="1" x14ac:dyDescent="0.25"/>
    <row r="189848" customFormat="1" x14ac:dyDescent="0.25"/>
    <row r="189849" customFormat="1" x14ac:dyDescent="0.25"/>
    <row r="189850" customFormat="1" x14ac:dyDescent="0.25"/>
    <row r="189851" customFormat="1" x14ac:dyDescent="0.25"/>
    <row r="189852" customFormat="1" x14ac:dyDescent="0.25"/>
    <row r="189853" customFormat="1" x14ac:dyDescent="0.25"/>
    <row r="189854" customFormat="1" x14ac:dyDescent="0.25"/>
    <row r="189855" customFormat="1" x14ac:dyDescent="0.25"/>
    <row r="189856" customFormat="1" x14ac:dyDescent="0.25"/>
    <row r="189857" customFormat="1" x14ac:dyDescent="0.25"/>
    <row r="189858" customFormat="1" x14ac:dyDescent="0.25"/>
    <row r="189859" customFormat="1" x14ac:dyDescent="0.25"/>
    <row r="189860" customFormat="1" x14ac:dyDescent="0.25"/>
    <row r="189861" customFormat="1" x14ac:dyDescent="0.25"/>
    <row r="189862" customFormat="1" x14ac:dyDescent="0.25"/>
    <row r="189863" customFormat="1" x14ac:dyDescent="0.25"/>
    <row r="189864" customFormat="1" x14ac:dyDescent="0.25"/>
    <row r="189865" customFormat="1" x14ac:dyDescent="0.25"/>
    <row r="189866" customFormat="1" x14ac:dyDescent="0.25"/>
    <row r="189867" customFormat="1" x14ac:dyDescent="0.25"/>
    <row r="189868" customFormat="1" x14ac:dyDescent="0.25"/>
    <row r="189869" customFormat="1" x14ac:dyDescent="0.25"/>
    <row r="189870" customFormat="1" x14ac:dyDescent="0.25"/>
    <row r="189871" customFormat="1" x14ac:dyDescent="0.25"/>
    <row r="189872" customFormat="1" x14ac:dyDescent="0.25"/>
    <row r="189873" customFormat="1" x14ac:dyDescent="0.25"/>
    <row r="189874" customFormat="1" x14ac:dyDescent="0.25"/>
    <row r="189875" customFormat="1" x14ac:dyDescent="0.25"/>
    <row r="189876" customFormat="1" x14ac:dyDescent="0.25"/>
    <row r="189877" customFormat="1" x14ac:dyDescent="0.25"/>
    <row r="189878" customFormat="1" x14ac:dyDescent="0.25"/>
    <row r="189879" customFormat="1" x14ac:dyDescent="0.25"/>
    <row r="189880" customFormat="1" x14ac:dyDescent="0.25"/>
    <row r="189881" customFormat="1" x14ac:dyDescent="0.25"/>
    <row r="189882" customFormat="1" x14ac:dyDescent="0.25"/>
    <row r="189883" customFormat="1" x14ac:dyDescent="0.25"/>
    <row r="189884" customFormat="1" x14ac:dyDescent="0.25"/>
    <row r="189885" customFormat="1" x14ac:dyDescent="0.25"/>
    <row r="189886" customFormat="1" x14ac:dyDescent="0.25"/>
    <row r="189887" customFormat="1" x14ac:dyDescent="0.25"/>
    <row r="189888" customFormat="1" x14ac:dyDescent="0.25"/>
    <row r="189889" customFormat="1" x14ac:dyDescent="0.25"/>
    <row r="189890" customFormat="1" x14ac:dyDescent="0.25"/>
    <row r="189891" customFormat="1" x14ac:dyDescent="0.25"/>
    <row r="189892" customFormat="1" x14ac:dyDescent="0.25"/>
    <row r="189893" customFormat="1" x14ac:dyDescent="0.25"/>
    <row r="189894" customFormat="1" x14ac:dyDescent="0.25"/>
    <row r="189895" customFormat="1" x14ac:dyDescent="0.25"/>
    <row r="189896" customFormat="1" x14ac:dyDescent="0.25"/>
    <row r="189897" customFormat="1" x14ac:dyDescent="0.25"/>
    <row r="189898" customFormat="1" x14ac:dyDescent="0.25"/>
    <row r="189899" customFormat="1" x14ac:dyDescent="0.25"/>
    <row r="189900" customFormat="1" x14ac:dyDescent="0.25"/>
    <row r="189901" customFormat="1" x14ac:dyDescent="0.25"/>
    <row r="189902" customFormat="1" x14ac:dyDescent="0.25"/>
    <row r="189903" customFormat="1" x14ac:dyDescent="0.25"/>
    <row r="189904" customFormat="1" x14ac:dyDescent="0.25"/>
    <row r="189905" customFormat="1" x14ac:dyDescent="0.25"/>
    <row r="189906" customFormat="1" x14ac:dyDescent="0.25"/>
    <row r="189907" customFormat="1" x14ac:dyDescent="0.25"/>
    <row r="189908" customFormat="1" x14ac:dyDescent="0.25"/>
    <row r="189909" customFormat="1" x14ac:dyDescent="0.25"/>
    <row r="189910" customFormat="1" x14ac:dyDescent="0.25"/>
    <row r="189911" customFormat="1" x14ac:dyDescent="0.25"/>
    <row r="189912" customFormat="1" x14ac:dyDescent="0.25"/>
    <row r="189913" customFormat="1" x14ac:dyDescent="0.25"/>
    <row r="189914" customFormat="1" x14ac:dyDescent="0.25"/>
    <row r="189915" customFormat="1" x14ac:dyDescent="0.25"/>
    <row r="189916" customFormat="1" x14ac:dyDescent="0.25"/>
    <row r="189917" customFormat="1" x14ac:dyDescent="0.25"/>
    <row r="189918" customFormat="1" x14ac:dyDescent="0.25"/>
    <row r="189919" customFormat="1" x14ac:dyDescent="0.25"/>
    <row r="189920" customFormat="1" x14ac:dyDescent="0.25"/>
    <row r="189921" customFormat="1" x14ac:dyDescent="0.25"/>
    <row r="189922" customFormat="1" x14ac:dyDescent="0.25"/>
    <row r="189923" customFormat="1" x14ac:dyDescent="0.25"/>
    <row r="189924" customFormat="1" x14ac:dyDescent="0.25"/>
    <row r="189925" customFormat="1" x14ac:dyDescent="0.25"/>
    <row r="189926" customFormat="1" x14ac:dyDescent="0.25"/>
    <row r="189927" customFormat="1" x14ac:dyDescent="0.25"/>
    <row r="189928" customFormat="1" x14ac:dyDescent="0.25"/>
    <row r="189929" customFormat="1" x14ac:dyDescent="0.25"/>
    <row r="189930" customFormat="1" x14ac:dyDescent="0.25"/>
    <row r="189931" customFormat="1" x14ac:dyDescent="0.25"/>
    <row r="189932" customFormat="1" x14ac:dyDescent="0.25"/>
    <row r="189933" customFormat="1" x14ac:dyDescent="0.25"/>
    <row r="189934" customFormat="1" x14ac:dyDescent="0.25"/>
    <row r="189935" customFormat="1" x14ac:dyDescent="0.25"/>
    <row r="189936" customFormat="1" x14ac:dyDescent="0.25"/>
    <row r="189937" customFormat="1" x14ac:dyDescent="0.25"/>
    <row r="189938" customFormat="1" x14ac:dyDescent="0.25"/>
    <row r="189939" customFormat="1" x14ac:dyDescent="0.25"/>
    <row r="189940" customFormat="1" x14ac:dyDescent="0.25"/>
    <row r="189941" customFormat="1" x14ac:dyDescent="0.25"/>
    <row r="189942" customFormat="1" x14ac:dyDescent="0.25"/>
    <row r="189943" customFormat="1" x14ac:dyDescent="0.25"/>
    <row r="189944" customFormat="1" x14ac:dyDescent="0.25"/>
    <row r="189945" customFormat="1" x14ac:dyDescent="0.25"/>
    <row r="189946" customFormat="1" x14ac:dyDescent="0.25"/>
    <row r="189947" customFormat="1" x14ac:dyDescent="0.25"/>
    <row r="189948" customFormat="1" x14ac:dyDescent="0.25"/>
    <row r="189949" customFormat="1" x14ac:dyDescent="0.25"/>
    <row r="189950" customFormat="1" x14ac:dyDescent="0.25"/>
    <row r="189951" customFormat="1" x14ac:dyDescent="0.25"/>
    <row r="189952" customFormat="1" x14ac:dyDescent="0.25"/>
    <row r="189953" customFormat="1" x14ac:dyDescent="0.25"/>
    <row r="189954" customFormat="1" x14ac:dyDescent="0.25"/>
    <row r="189955" customFormat="1" x14ac:dyDescent="0.25"/>
    <row r="189956" customFormat="1" x14ac:dyDescent="0.25"/>
    <row r="189957" customFormat="1" x14ac:dyDescent="0.25"/>
    <row r="189958" customFormat="1" x14ac:dyDescent="0.25"/>
    <row r="189959" customFormat="1" x14ac:dyDescent="0.25"/>
    <row r="189960" customFormat="1" x14ac:dyDescent="0.25"/>
    <row r="189961" customFormat="1" x14ac:dyDescent="0.25"/>
    <row r="189962" customFormat="1" x14ac:dyDescent="0.25"/>
    <row r="189963" customFormat="1" x14ac:dyDescent="0.25"/>
    <row r="189964" customFormat="1" x14ac:dyDescent="0.25"/>
    <row r="189965" customFormat="1" x14ac:dyDescent="0.25"/>
    <row r="189966" customFormat="1" x14ac:dyDescent="0.25"/>
    <row r="189967" customFormat="1" x14ac:dyDescent="0.25"/>
    <row r="189968" customFormat="1" x14ac:dyDescent="0.25"/>
    <row r="189969" customFormat="1" x14ac:dyDescent="0.25"/>
    <row r="189970" customFormat="1" x14ac:dyDescent="0.25"/>
    <row r="189971" customFormat="1" x14ac:dyDescent="0.25"/>
    <row r="189972" customFormat="1" x14ac:dyDescent="0.25"/>
    <row r="189973" customFormat="1" x14ac:dyDescent="0.25"/>
    <row r="189974" customFormat="1" x14ac:dyDescent="0.25"/>
    <row r="189975" customFormat="1" x14ac:dyDescent="0.25"/>
    <row r="189976" customFormat="1" x14ac:dyDescent="0.25"/>
    <row r="189977" customFormat="1" x14ac:dyDescent="0.25"/>
    <row r="189978" customFormat="1" x14ac:dyDescent="0.25"/>
    <row r="189979" customFormat="1" x14ac:dyDescent="0.25"/>
    <row r="189980" customFormat="1" x14ac:dyDescent="0.25"/>
    <row r="189981" customFormat="1" x14ac:dyDescent="0.25"/>
    <row r="189982" customFormat="1" x14ac:dyDescent="0.25"/>
    <row r="189983" customFormat="1" x14ac:dyDescent="0.25"/>
    <row r="189984" customFormat="1" x14ac:dyDescent="0.25"/>
    <row r="189985" customFormat="1" x14ac:dyDescent="0.25"/>
    <row r="189986" customFormat="1" x14ac:dyDescent="0.25"/>
    <row r="189987" customFormat="1" x14ac:dyDescent="0.25"/>
    <row r="189988" customFormat="1" x14ac:dyDescent="0.25"/>
    <row r="189989" customFormat="1" x14ac:dyDescent="0.25"/>
    <row r="189990" customFormat="1" x14ac:dyDescent="0.25"/>
    <row r="189991" customFormat="1" x14ac:dyDescent="0.25"/>
    <row r="189992" customFormat="1" x14ac:dyDescent="0.25"/>
    <row r="189993" customFormat="1" x14ac:dyDescent="0.25"/>
    <row r="189994" customFormat="1" x14ac:dyDescent="0.25"/>
    <row r="189995" customFormat="1" x14ac:dyDescent="0.25"/>
    <row r="189996" customFormat="1" x14ac:dyDescent="0.25"/>
    <row r="189997" customFormat="1" x14ac:dyDescent="0.25"/>
    <row r="189998" customFormat="1" x14ac:dyDescent="0.25"/>
    <row r="189999" customFormat="1" x14ac:dyDescent="0.25"/>
    <row r="190000" customFormat="1" x14ac:dyDescent="0.25"/>
    <row r="190001" customFormat="1" x14ac:dyDescent="0.25"/>
    <row r="190002" customFormat="1" x14ac:dyDescent="0.25"/>
    <row r="190003" customFormat="1" x14ac:dyDescent="0.25"/>
    <row r="190004" customFormat="1" x14ac:dyDescent="0.25"/>
    <row r="190005" customFormat="1" x14ac:dyDescent="0.25"/>
    <row r="190006" customFormat="1" x14ac:dyDescent="0.25"/>
    <row r="190007" customFormat="1" x14ac:dyDescent="0.25"/>
    <row r="190008" customFormat="1" x14ac:dyDescent="0.25"/>
    <row r="190009" customFormat="1" x14ac:dyDescent="0.25"/>
    <row r="190010" customFormat="1" x14ac:dyDescent="0.25"/>
    <row r="190011" customFormat="1" x14ac:dyDescent="0.25"/>
    <row r="190012" customFormat="1" x14ac:dyDescent="0.25"/>
    <row r="190013" customFormat="1" x14ac:dyDescent="0.25"/>
    <row r="190014" customFormat="1" x14ac:dyDescent="0.25"/>
    <row r="190015" customFormat="1" x14ac:dyDescent="0.25"/>
    <row r="190016" customFormat="1" x14ac:dyDescent="0.25"/>
    <row r="190017" customFormat="1" x14ac:dyDescent="0.25"/>
    <row r="190018" customFormat="1" x14ac:dyDescent="0.25"/>
    <row r="190019" customFormat="1" x14ac:dyDescent="0.25"/>
    <row r="190020" customFormat="1" x14ac:dyDescent="0.25"/>
    <row r="190021" customFormat="1" x14ac:dyDescent="0.25"/>
    <row r="190022" customFormat="1" x14ac:dyDescent="0.25"/>
    <row r="190023" customFormat="1" x14ac:dyDescent="0.25"/>
    <row r="190024" customFormat="1" x14ac:dyDescent="0.25"/>
    <row r="190025" customFormat="1" x14ac:dyDescent="0.25"/>
    <row r="190026" customFormat="1" x14ac:dyDescent="0.25"/>
    <row r="190027" customFormat="1" x14ac:dyDescent="0.25"/>
    <row r="190028" customFormat="1" x14ac:dyDescent="0.25"/>
    <row r="190029" customFormat="1" x14ac:dyDescent="0.25"/>
    <row r="190030" customFormat="1" x14ac:dyDescent="0.25"/>
    <row r="190031" customFormat="1" x14ac:dyDescent="0.25"/>
    <row r="190032" customFormat="1" x14ac:dyDescent="0.25"/>
    <row r="190033" customFormat="1" x14ac:dyDescent="0.25"/>
    <row r="190034" customFormat="1" x14ac:dyDescent="0.25"/>
    <row r="190035" customFormat="1" x14ac:dyDescent="0.25"/>
    <row r="190036" customFormat="1" x14ac:dyDescent="0.25"/>
    <row r="190037" customFormat="1" x14ac:dyDescent="0.25"/>
    <row r="190038" customFormat="1" x14ac:dyDescent="0.25"/>
    <row r="190039" customFormat="1" x14ac:dyDescent="0.25"/>
    <row r="190040" customFormat="1" x14ac:dyDescent="0.25"/>
    <row r="190041" customFormat="1" x14ac:dyDescent="0.25"/>
    <row r="190042" customFormat="1" x14ac:dyDescent="0.25"/>
    <row r="190043" customFormat="1" x14ac:dyDescent="0.25"/>
    <row r="190044" customFormat="1" x14ac:dyDescent="0.25"/>
    <row r="190045" customFormat="1" x14ac:dyDescent="0.25"/>
    <row r="190046" customFormat="1" x14ac:dyDescent="0.25"/>
    <row r="190047" customFormat="1" x14ac:dyDescent="0.25"/>
    <row r="190048" customFormat="1" x14ac:dyDescent="0.25"/>
    <row r="190049" customFormat="1" x14ac:dyDescent="0.25"/>
    <row r="190050" customFormat="1" x14ac:dyDescent="0.25"/>
    <row r="190051" customFormat="1" x14ac:dyDescent="0.25"/>
    <row r="190052" customFormat="1" x14ac:dyDescent="0.25"/>
    <row r="190053" customFormat="1" x14ac:dyDescent="0.25"/>
    <row r="190054" customFormat="1" x14ac:dyDescent="0.25"/>
    <row r="190055" customFormat="1" x14ac:dyDescent="0.25"/>
    <row r="190056" customFormat="1" x14ac:dyDescent="0.25"/>
    <row r="190057" customFormat="1" x14ac:dyDescent="0.25"/>
    <row r="190058" customFormat="1" x14ac:dyDescent="0.25"/>
    <row r="190059" customFormat="1" x14ac:dyDescent="0.25"/>
    <row r="190060" customFormat="1" x14ac:dyDescent="0.25"/>
    <row r="190061" customFormat="1" x14ac:dyDescent="0.25"/>
    <row r="190062" customFormat="1" x14ac:dyDescent="0.25"/>
    <row r="190063" customFormat="1" x14ac:dyDescent="0.25"/>
    <row r="190064" customFormat="1" x14ac:dyDescent="0.25"/>
    <row r="190065" customFormat="1" x14ac:dyDescent="0.25"/>
    <row r="190066" customFormat="1" x14ac:dyDescent="0.25"/>
    <row r="190067" customFormat="1" x14ac:dyDescent="0.25"/>
    <row r="190068" customFormat="1" x14ac:dyDescent="0.25"/>
    <row r="190069" customFormat="1" x14ac:dyDescent="0.25"/>
    <row r="190070" customFormat="1" x14ac:dyDescent="0.25"/>
    <row r="190071" customFormat="1" x14ac:dyDescent="0.25"/>
    <row r="190072" customFormat="1" x14ac:dyDescent="0.25"/>
    <row r="190073" customFormat="1" x14ac:dyDescent="0.25"/>
    <row r="190074" customFormat="1" x14ac:dyDescent="0.25"/>
    <row r="190075" customFormat="1" x14ac:dyDescent="0.25"/>
    <row r="190076" customFormat="1" x14ac:dyDescent="0.25"/>
    <row r="190077" customFormat="1" x14ac:dyDescent="0.25"/>
    <row r="190078" customFormat="1" x14ac:dyDescent="0.25"/>
    <row r="190079" customFormat="1" x14ac:dyDescent="0.25"/>
    <row r="190080" customFormat="1" x14ac:dyDescent="0.25"/>
    <row r="190081" customFormat="1" x14ac:dyDescent="0.25"/>
    <row r="190082" customFormat="1" x14ac:dyDescent="0.25"/>
    <row r="190083" customFormat="1" x14ac:dyDescent="0.25"/>
    <row r="190084" customFormat="1" x14ac:dyDescent="0.25"/>
    <row r="190085" customFormat="1" x14ac:dyDescent="0.25"/>
    <row r="190086" customFormat="1" x14ac:dyDescent="0.25"/>
    <row r="190087" customFormat="1" x14ac:dyDescent="0.25"/>
    <row r="190088" customFormat="1" x14ac:dyDescent="0.25"/>
    <row r="190089" customFormat="1" x14ac:dyDescent="0.25"/>
    <row r="190090" customFormat="1" x14ac:dyDescent="0.25"/>
    <row r="190091" customFormat="1" x14ac:dyDescent="0.25"/>
    <row r="190092" customFormat="1" x14ac:dyDescent="0.25"/>
    <row r="190093" customFormat="1" x14ac:dyDescent="0.25"/>
    <row r="190094" customFormat="1" x14ac:dyDescent="0.25"/>
    <row r="190095" customFormat="1" x14ac:dyDescent="0.25"/>
    <row r="190096" customFormat="1" x14ac:dyDescent="0.25"/>
    <row r="190097" customFormat="1" x14ac:dyDescent="0.25"/>
    <row r="190098" customFormat="1" x14ac:dyDescent="0.25"/>
    <row r="190099" customFormat="1" x14ac:dyDescent="0.25"/>
    <row r="190100" customFormat="1" x14ac:dyDescent="0.25"/>
    <row r="190101" customFormat="1" x14ac:dyDescent="0.25"/>
    <row r="190102" customFormat="1" x14ac:dyDescent="0.25"/>
    <row r="190103" customFormat="1" x14ac:dyDescent="0.25"/>
    <row r="190104" customFormat="1" x14ac:dyDescent="0.25"/>
    <row r="190105" customFormat="1" x14ac:dyDescent="0.25"/>
    <row r="190106" customFormat="1" x14ac:dyDescent="0.25"/>
    <row r="190107" customFormat="1" x14ac:dyDescent="0.25"/>
    <row r="190108" customFormat="1" x14ac:dyDescent="0.25"/>
    <row r="190109" customFormat="1" x14ac:dyDescent="0.25"/>
    <row r="190110" customFormat="1" x14ac:dyDescent="0.25"/>
    <row r="190111" customFormat="1" x14ac:dyDescent="0.25"/>
    <row r="190112" customFormat="1" x14ac:dyDescent="0.25"/>
    <row r="190113" customFormat="1" x14ac:dyDescent="0.25"/>
    <row r="190114" customFormat="1" x14ac:dyDescent="0.25"/>
    <row r="190115" customFormat="1" x14ac:dyDescent="0.25"/>
    <row r="190116" customFormat="1" x14ac:dyDescent="0.25"/>
    <row r="190117" customFormat="1" x14ac:dyDescent="0.25"/>
    <row r="190118" customFormat="1" x14ac:dyDescent="0.25"/>
    <row r="190119" customFormat="1" x14ac:dyDescent="0.25"/>
    <row r="190120" customFormat="1" x14ac:dyDescent="0.25"/>
    <row r="190121" customFormat="1" x14ac:dyDescent="0.25"/>
    <row r="190122" customFormat="1" x14ac:dyDescent="0.25"/>
    <row r="190123" customFormat="1" x14ac:dyDescent="0.25"/>
    <row r="190124" customFormat="1" x14ac:dyDescent="0.25"/>
    <row r="190125" customFormat="1" x14ac:dyDescent="0.25"/>
    <row r="190126" customFormat="1" x14ac:dyDescent="0.25"/>
    <row r="190127" customFormat="1" x14ac:dyDescent="0.25"/>
    <row r="190128" customFormat="1" x14ac:dyDescent="0.25"/>
    <row r="190129" customFormat="1" x14ac:dyDescent="0.25"/>
    <row r="190130" customFormat="1" x14ac:dyDescent="0.25"/>
    <row r="190131" customFormat="1" x14ac:dyDescent="0.25"/>
    <row r="190132" customFormat="1" x14ac:dyDescent="0.25"/>
    <row r="190133" customFormat="1" x14ac:dyDescent="0.25"/>
    <row r="190134" customFormat="1" x14ac:dyDescent="0.25"/>
    <row r="190135" customFormat="1" x14ac:dyDescent="0.25"/>
    <row r="190136" customFormat="1" x14ac:dyDescent="0.25"/>
    <row r="190137" customFormat="1" x14ac:dyDescent="0.25"/>
    <row r="190138" customFormat="1" x14ac:dyDescent="0.25"/>
    <row r="190139" customFormat="1" x14ac:dyDescent="0.25"/>
    <row r="190140" customFormat="1" x14ac:dyDescent="0.25"/>
    <row r="190141" customFormat="1" x14ac:dyDescent="0.25"/>
    <row r="190142" customFormat="1" x14ac:dyDescent="0.25"/>
    <row r="190143" customFormat="1" x14ac:dyDescent="0.25"/>
    <row r="190144" customFormat="1" x14ac:dyDescent="0.25"/>
    <row r="190145" customFormat="1" x14ac:dyDescent="0.25"/>
    <row r="190146" customFormat="1" x14ac:dyDescent="0.25"/>
    <row r="190147" customFormat="1" x14ac:dyDescent="0.25"/>
    <row r="190148" customFormat="1" x14ac:dyDescent="0.25"/>
    <row r="190149" customFormat="1" x14ac:dyDescent="0.25"/>
    <row r="190150" customFormat="1" x14ac:dyDescent="0.25"/>
    <row r="190151" customFormat="1" x14ac:dyDescent="0.25"/>
    <row r="190152" customFormat="1" x14ac:dyDescent="0.25"/>
    <row r="190153" customFormat="1" x14ac:dyDescent="0.25"/>
    <row r="190154" customFormat="1" x14ac:dyDescent="0.25"/>
    <row r="190155" customFormat="1" x14ac:dyDescent="0.25"/>
    <row r="190156" customFormat="1" x14ac:dyDescent="0.25"/>
    <row r="190157" customFormat="1" x14ac:dyDescent="0.25"/>
    <row r="190158" customFormat="1" x14ac:dyDescent="0.25"/>
    <row r="190159" customFormat="1" x14ac:dyDescent="0.25"/>
    <row r="190160" customFormat="1" x14ac:dyDescent="0.25"/>
    <row r="190161" customFormat="1" x14ac:dyDescent="0.25"/>
    <row r="190162" customFormat="1" x14ac:dyDescent="0.25"/>
    <row r="190163" customFormat="1" x14ac:dyDescent="0.25"/>
    <row r="190164" customFormat="1" x14ac:dyDescent="0.25"/>
    <row r="190165" customFormat="1" x14ac:dyDescent="0.25"/>
    <row r="190166" customFormat="1" x14ac:dyDescent="0.25"/>
    <row r="190167" customFormat="1" x14ac:dyDescent="0.25"/>
    <row r="190168" customFormat="1" x14ac:dyDescent="0.25"/>
    <row r="190169" customFormat="1" x14ac:dyDescent="0.25"/>
    <row r="190170" customFormat="1" x14ac:dyDescent="0.25"/>
    <row r="190171" customFormat="1" x14ac:dyDescent="0.25"/>
    <row r="190172" customFormat="1" x14ac:dyDescent="0.25"/>
    <row r="190173" customFormat="1" x14ac:dyDescent="0.25"/>
    <row r="190174" customFormat="1" x14ac:dyDescent="0.25"/>
    <row r="190175" customFormat="1" x14ac:dyDescent="0.25"/>
    <row r="190176" customFormat="1" x14ac:dyDescent="0.25"/>
    <row r="190177" customFormat="1" x14ac:dyDescent="0.25"/>
    <row r="190178" customFormat="1" x14ac:dyDescent="0.25"/>
    <row r="190179" customFormat="1" x14ac:dyDescent="0.25"/>
    <row r="190180" customFormat="1" x14ac:dyDescent="0.25"/>
    <row r="190181" customFormat="1" x14ac:dyDescent="0.25"/>
    <row r="190182" customFormat="1" x14ac:dyDescent="0.25"/>
    <row r="190183" customFormat="1" x14ac:dyDescent="0.25"/>
    <row r="190184" customFormat="1" x14ac:dyDescent="0.25"/>
    <row r="190185" customFormat="1" x14ac:dyDescent="0.25"/>
    <row r="190186" customFormat="1" x14ac:dyDescent="0.25"/>
    <row r="190187" customFormat="1" x14ac:dyDescent="0.25"/>
    <row r="190188" customFormat="1" x14ac:dyDescent="0.25"/>
    <row r="190189" customFormat="1" x14ac:dyDescent="0.25"/>
    <row r="190190" customFormat="1" x14ac:dyDescent="0.25"/>
    <row r="190191" customFormat="1" x14ac:dyDescent="0.25"/>
    <row r="190192" customFormat="1" x14ac:dyDescent="0.25"/>
    <row r="190193" customFormat="1" x14ac:dyDescent="0.25"/>
    <row r="190194" customFormat="1" x14ac:dyDescent="0.25"/>
    <row r="190195" customFormat="1" x14ac:dyDescent="0.25"/>
    <row r="190196" customFormat="1" x14ac:dyDescent="0.25"/>
    <row r="190197" customFormat="1" x14ac:dyDescent="0.25"/>
    <row r="190198" customFormat="1" x14ac:dyDescent="0.25"/>
    <row r="190199" customFormat="1" x14ac:dyDescent="0.25"/>
    <row r="190200" customFormat="1" x14ac:dyDescent="0.25"/>
    <row r="190201" customFormat="1" x14ac:dyDescent="0.25"/>
    <row r="190202" customFormat="1" x14ac:dyDescent="0.25"/>
    <row r="190203" customFormat="1" x14ac:dyDescent="0.25"/>
    <row r="190204" customFormat="1" x14ac:dyDescent="0.25"/>
    <row r="190205" customFormat="1" x14ac:dyDescent="0.25"/>
    <row r="190206" customFormat="1" x14ac:dyDescent="0.25"/>
    <row r="190207" customFormat="1" x14ac:dyDescent="0.25"/>
    <row r="190208" customFormat="1" x14ac:dyDescent="0.25"/>
    <row r="190209" customFormat="1" x14ac:dyDescent="0.25"/>
    <row r="190210" customFormat="1" x14ac:dyDescent="0.25"/>
    <row r="190211" customFormat="1" x14ac:dyDescent="0.25"/>
    <row r="190212" customFormat="1" x14ac:dyDescent="0.25"/>
    <row r="190213" customFormat="1" x14ac:dyDescent="0.25"/>
    <row r="190214" customFormat="1" x14ac:dyDescent="0.25"/>
    <row r="190215" customFormat="1" x14ac:dyDescent="0.25"/>
    <row r="190216" customFormat="1" x14ac:dyDescent="0.25"/>
    <row r="190217" customFormat="1" x14ac:dyDescent="0.25"/>
    <row r="190218" customFormat="1" x14ac:dyDescent="0.25"/>
    <row r="190219" customFormat="1" x14ac:dyDescent="0.25"/>
    <row r="190220" customFormat="1" x14ac:dyDescent="0.25"/>
    <row r="190221" customFormat="1" x14ac:dyDescent="0.25"/>
    <row r="190222" customFormat="1" x14ac:dyDescent="0.25"/>
    <row r="190223" customFormat="1" x14ac:dyDescent="0.25"/>
    <row r="190224" customFormat="1" x14ac:dyDescent="0.25"/>
    <row r="190225" customFormat="1" x14ac:dyDescent="0.25"/>
    <row r="190226" customFormat="1" x14ac:dyDescent="0.25"/>
    <row r="190227" customFormat="1" x14ac:dyDescent="0.25"/>
    <row r="190228" customFormat="1" x14ac:dyDescent="0.25"/>
    <row r="190229" customFormat="1" x14ac:dyDescent="0.25"/>
    <row r="190230" customFormat="1" x14ac:dyDescent="0.25"/>
    <row r="190231" customFormat="1" x14ac:dyDescent="0.25"/>
    <row r="190232" customFormat="1" x14ac:dyDescent="0.25"/>
    <row r="190233" customFormat="1" x14ac:dyDescent="0.25"/>
    <row r="190234" customFormat="1" x14ac:dyDescent="0.25"/>
    <row r="190235" customFormat="1" x14ac:dyDescent="0.25"/>
    <row r="190236" customFormat="1" x14ac:dyDescent="0.25"/>
    <row r="190237" customFormat="1" x14ac:dyDescent="0.25"/>
    <row r="190238" customFormat="1" x14ac:dyDescent="0.25"/>
    <row r="190239" customFormat="1" x14ac:dyDescent="0.25"/>
    <row r="190240" customFormat="1" x14ac:dyDescent="0.25"/>
    <row r="190241" customFormat="1" x14ac:dyDescent="0.25"/>
    <row r="190242" customFormat="1" x14ac:dyDescent="0.25"/>
    <row r="190243" customFormat="1" x14ac:dyDescent="0.25"/>
    <row r="190244" customFormat="1" x14ac:dyDescent="0.25"/>
    <row r="190245" customFormat="1" x14ac:dyDescent="0.25"/>
    <row r="190246" customFormat="1" x14ac:dyDescent="0.25"/>
    <row r="190247" customFormat="1" x14ac:dyDescent="0.25"/>
    <row r="190248" customFormat="1" x14ac:dyDescent="0.25"/>
    <row r="190249" customFormat="1" x14ac:dyDescent="0.25"/>
    <row r="190250" customFormat="1" x14ac:dyDescent="0.25"/>
    <row r="190251" customFormat="1" x14ac:dyDescent="0.25"/>
    <row r="190252" customFormat="1" x14ac:dyDescent="0.25"/>
    <row r="190253" customFormat="1" x14ac:dyDescent="0.25"/>
    <row r="190254" customFormat="1" x14ac:dyDescent="0.25"/>
    <row r="190255" customFormat="1" x14ac:dyDescent="0.25"/>
    <row r="190256" customFormat="1" x14ac:dyDescent="0.25"/>
    <row r="190257" customFormat="1" x14ac:dyDescent="0.25"/>
    <row r="190258" customFormat="1" x14ac:dyDescent="0.25"/>
    <row r="190259" customFormat="1" x14ac:dyDescent="0.25"/>
    <row r="190260" customFormat="1" x14ac:dyDescent="0.25"/>
    <row r="190261" customFormat="1" x14ac:dyDescent="0.25"/>
    <row r="190262" customFormat="1" x14ac:dyDescent="0.25"/>
    <row r="190263" customFormat="1" x14ac:dyDescent="0.25"/>
    <row r="190264" customFormat="1" x14ac:dyDescent="0.25"/>
    <row r="190265" customFormat="1" x14ac:dyDescent="0.25"/>
    <row r="190266" customFormat="1" x14ac:dyDescent="0.25"/>
    <row r="190267" customFormat="1" x14ac:dyDescent="0.25"/>
    <row r="190268" customFormat="1" x14ac:dyDescent="0.25"/>
    <row r="190269" customFormat="1" x14ac:dyDescent="0.25"/>
    <row r="190270" customFormat="1" x14ac:dyDescent="0.25"/>
    <row r="190271" customFormat="1" x14ac:dyDescent="0.25"/>
    <row r="190272" customFormat="1" x14ac:dyDescent="0.25"/>
    <row r="190273" customFormat="1" x14ac:dyDescent="0.25"/>
    <row r="190274" customFormat="1" x14ac:dyDescent="0.25"/>
    <row r="190275" customFormat="1" x14ac:dyDescent="0.25"/>
    <row r="190276" customFormat="1" x14ac:dyDescent="0.25"/>
    <row r="190277" customFormat="1" x14ac:dyDescent="0.25"/>
    <row r="190278" customFormat="1" x14ac:dyDescent="0.25"/>
    <row r="190279" customFormat="1" x14ac:dyDescent="0.25"/>
    <row r="190280" customFormat="1" x14ac:dyDescent="0.25"/>
    <row r="190281" customFormat="1" x14ac:dyDescent="0.25"/>
    <row r="190282" customFormat="1" x14ac:dyDescent="0.25"/>
    <row r="190283" customFormat="1" x14ac:dyDescent="0.25"/>
    <row r="190284" customFormat="1" x14ac:dyDescent="0.25"/>
    <row r="190285" customFormat="1" x14ac:dyDescent="0.25"/>
    <row r="190286" customFormat="1" x14ac:dyDescent="0.25"/>
    <row r="190287" customFormat="1" x14ac:dyDescent="0.25"/>
    <row r="190288" customFormat="1" x14ac:dyDescent="0.25"/>
    <row r="190289" customFormat="1" x14ac:dyDescent="0.25"/>
    <row r="190290" customFormat="1" x14ac:dyDescent="0.25"/>
    <row r="190291" customFormat="1" x14ac:dyDescent="0.25"/>
    <row r="190292" customFormat="1" x14ac:dyDescent="0.25"/>
    <row r="190293" customFormat="1" x14ac:dyDescent="0.25"/>
    <row r="190294" customFormat="1" x14ac:dyDescent="0.25"/>
    <row r="190295" customFormat="1" x14ac:dyDescent="0.25"/>
    <row r="190296" customFormat="1" x14ac:dyDescent="0.25"/>
    <row r="190297" customFormat="1" x14ac:dyDescent="0.25"/>
    <row r="190298" customFormat="1" x14ac:dyDescent="0.25"/>
    <row r="190299" customFormat="1" x14ac:dyDescent="0.25"/>
    <row r="190300" customFormat="1" x14ac:dyDescent="0.25"/>
    <row r="190301" customFormat="1" x14ac:dyDescent="0.25"/>
    <row r="190302" customFormat="1" x14ac:dyDescent="0.25"/>
    <row r="190303" customFormat="1" x14ac:dyDescent="0.25"/>
    <row r="190304" customFormat="1" x14ac:dyDescent="0.25"/>
    <row r="190305" customFormat="1" x14ac:dyDescent="0.25"/>
    <row r="190306" customFormat="1" x14ac:dyDescent="0.25"/>
    <row r="190307" customFormat="1" x14ac:dyDescent="0.25"/>
    <row r="190308" customFormat="1" x14ac:dyDescent="0.25"/>
    <row r="190309" customFormat="1" x14ac:dyDescent="0.25"/>
    <row r="190310" customFormat="1" x14ac:dyDescent="0.25"/>
    <row r="190311" customFormat="1" x14ac:dyDescent="0.25"/>
    <row r="190312" customFormat="1" x14ac:dyDescent="0.25"/>
    <row r="190313" customFormat="1" x14ac:dyDescent="0.25"/>
    <row r="190314" customFormat="1" x14ac:dyDescent="0.25"/>
    <row r="190315" customFormat="1" x14ac:dyDescent="0.25"/>
    <row r="190316" customFormat="1" x14ac:dyDescent="0.25"/>
    <row r="190317" customFormat="1" x14ac:dyDescent="0.25"/>
    <row r="190318" customFormat="1" x14ac:dyDescent="0.25"/>
    <row r="190319" customFormat="1" x14ac:dyDescent="0.25"/>
    <row r="190320" customFormat="1" x14ac:dyDescent="0.25"/>
    <row r="190321" customFormat="1" x14ac:dyDescent="0.25"/>
    <row r="190322" customFormat="1" x14ac:dyDescent="0.25"/>
    <row r="190323" customFormat="1" x14ac:dyDescent="0.25"/>
    <row r="190324" customFormat="1" x14ac:dyDescent="0.25"/>
    <row r="190325" customFormat="1" x14ac:dyDescent="0.25"/>
    <row r="190326" customFormat="1" x14ac:dyDescent="0.25"/>
    <row r="190327" customFormat="1" x14ac:dyDescent="0.25"/>
    <row r="190328" customFormat="1" x14ac:dyDescent="0.25"/>
    <row r="190329" customFormat="1" x14ac:dyDescent="0.25"/>
    <row r="190330" customFormat="1" x14ac:dyDescent="0.25"/>
    <row r="190331" customFormat="1" x14ac:dyDescent="0.25"/>
    <row r="190332" customFormat="1" x14ac:dyDescent="0.25"/>
    <row r="190333" customFormat="1" x14ac:dyDescent="0.25"/>
    <row r="190334" customFormat="1" x14ac:dyDescent="0.25"/>
    <row r="190335" customFormat="1" x14ac:dyDescent="0.25"/>
    <row r="190336" customFormat="1" x14ac:dyDescent="0.25"/>
    <row r="190337" customFormat="1" x14ac:dyDescent="0.25"/>
    <row r="190338" customFormat="1" x14ac:dyDescent="0.25"/>
    <row r="190339" customFormat="1" x14ac:dyDescent="0.25"/>
    <row r="190340" customFormat="1" x14ac:dyDescent="0.25"/>
    <row r="190341" customFormat="1" x14ac:dyDescent="0.25"/>
    <row r="190342" customFormat="1" x14ac:dyDescent="0.25"/>
    <row r="190343" customFormat="1" x14ac:dyDescent="0.25"/>
    <row r="190344" customFormat="1" x14ac:dyDescent="0.25"/>
    <row r="190345" customFormat="1" x14ac:dyDescent="0.25"/>
    <row r="190346" customFormat="1" x14ac:dyDescent="0.25"/>
    <row r="190347" customFormat="1" x14ac:dyDescent="0.25"/>
    <row r="190348" customFormat="1" x14ac:dyDescent="0.25"/>
    <row r="190349" customFormat="1" x14ac:dyDescent="0.25"/>
    <row r="190350" customFormat="1" x14ac:dyDescent="0.25"/>
    <row r="190351" customFormat="1" x14ac:dyDescent="0.25"/>
    <row r="190352" customFormat="1" x14ac:dyDescent="0.25"/>
    <row r="190353" customFormat="1" x14ac:dyDescent="0.25"/>
    <row r="190354" customFormat="1" x14ac:dyDescent="0.25"/>
    <row r="190355" customFormat="1" x14ac:dyDescent="0.25"/>
    <row r="190356" customFormat="1" x14ac:dyDescent="0.25"/>
    <row r="190357" customFormat="1" x14ac:dyDescent="0.25"/>
    <row r="190358" customFormat="1" x14ac:dyDescent="0.25"/>
    <row r="190359" customFormat="1" x14ac:dyDescent="0.25"/>
    <row r="190360" customFormat="1" x14ac:dyDescent="0.25"/>
    <row r="190361" customFormat="1" x14ac:dyDescent="0.25"/>
    <row r="190362" customFormat="1" x14ac:dyDescent="0.25"/>
    <row r="190363" customFormat="1" x14ac:dyDescent="0.25"/>
    <row r="190364" customFormat="1" x14ac:dyDescent="0.25"/>
    <row r="190365" customFormat="1" x14ac:dyDescent="0.25"/>
    <row r="190366" customFormat="1" x14ac:dyDescent="0.25"/>
    <row r="190367" customFormat="1" x14ac:dyDescent="0.25"/>
    <row r="190368" customFormat="1" x14ac:dyDescent="0.25"/>
    <row r="190369" customFormat="1" x14ac:dyDescent="0.25"/>
    <row r="190370" customFormat="1" x14ac:dyDescent="0.25"/>
    <row r="190371" customFormat="1" x14ac:dyDescent="0.25"/>
    <row r="190372" customFormat="1" x14ac:dyDescent="0.25"/>
    <row r="190373" customFormat="1" x14ac:dyDescent="0.25"/>
    <row r="190374" customFormat="1" x14ac:dyDescent="0.25"/>
    <row r="190375" customFormat="1" x14ac:dyDescent="0.25"/>
    <row r="190376" customFormat="1" x14ac:dyDescent="0.25"/>
    <row r="190377" customFormat="1" x14ac:dyDescent="0.25"/>
    <row r="190378" customFormat="1" x14ac:dyDescent="0.25"/>
    <row r="190379" customFormat="1" x14ac:dyDescent="0.25"/>
    <row r="190380" customFormat="1" x14ac:dyDescent="0.25"/>
    <row r="190381" customFormat="1" x14ac:dyDescent="0.25"/>
    <row r="190382" customFormat="1" x14ac:dyDescent="0.25"/>
    <row r="190383" customFormat="1" x14ac:dyDescent="0.25"/>
    <row r="190384" customFormat="1" x14ac:dyDescent="0.25"/>
    <row r="190385" customFormat="1" x14ac:dyDescent="0.25"/>
    <row r="190386" customFormat="1" x14ac:dyDescent="0.25"/>
    <row r="190387" customFormat="1" x14ac:dyDescent="0.25"/>
    <row r="190388" customFormat="1" x14ac:dyDescent="0.25"/>
    <row r="190389" customFormat="1" x14ac:dyDescent="0.25"/>
    <row r="190390" customFormat="1" x14ac:dyDescent="0.25"/>
    <row r="190391" customFormat="1" x14ac:dyDescent="0.25"/>
    <row r="190392" customFormat="1" x14ac:dyDescent="0.25"/>
    <row r="190393" customFormat="1" x14ac:dyDescent="0.25"/>
    <row r="190394" customFormat="1" x14ac:dyDescent="0.25"/>
    <row r="190395" customFormat="1" x14ac:dyDescent="0.25"/>
    <row r="190396" customFormat="1" x14ac:dyDescent="0.25"/>
    <row r="190397" customFormat="1" x14ac:dyDescent="0.25"/>
    <row r="190398" customFormat="1" x14ac:dyDescent="0.25"/>
    <row r="190399" customFormat="1" x14ac:dyDescent="0.25"/>
    <row r="190400" customFormat="1" x14ac:dyDescent="0.25"/>
    <row r="190401" customFormat="1" x14ac:dyDescent="0.25"/>
    <row r="190402" customFormat="1" x14ac:dyDescent="0.25"/>
    <row r="190403" customFormat="1" x14ac:dyDescent="0.25"/>
    <row r="190404" customFormat="1" x14ac:dyDescent="0.25"/>
    <row r="190405" customFormat="1" x14ac:dyDescent="0.25"/>
    <row r="190406" customFormat="1" x14ac:dyDescent="0.25"/>
    <row r="190407" customFormat="1" x14ac:dyDescent="0.25"/>
    <row r="190408" customFormat="1" x14ac:dyDescent="0.25"/>
    <row r="190409" customFormat="1" x14ac:dyDescent="0.25"/>
    <row r="190410" customFormat="1" x14ac:dyDescent="0.25"/>
    <row r="190411" customFormat="1" x14ac:dyDescent="0.25"/>
    <row r="190412" customFormat="1" x14ac:dyDescent="0.25"/>
    <row r="190413" customFormat="1" x14ac:dyDescent="0.25"/>
    <row r="190414" customFormat="1" x14ac:dyDescent="0.25"/>
    <row r="190415" customFormat="1" x14ac:dyDescent="0.25"/>
    <row r="190416" customFormat="1" x14ac:dyDescent="0.25"/>
    <row r="190417" customFormat="1" x14ac:dyDescent="0.25"/>
    <row r="190418" customFormat="1" x14ac:dyDescent="0.25"/>
    <row r="190419" customFormat="1" x14ac:dyDescent="0.25"/>
    <row r="190420" customFormat="1" x14ac:dyDescent="0.25"/>
    <row r="190421" customFormat="1" x14ac:dyDescent="0.25"/>
    <row r="190422" customFormat="1" x14ac:dyDescent="0.25"/>
    <row r="190423" customFormat="1" x14ac:dyDescent="0.25"/>
    <row r="190424" customFormat="1" x14ac:dyDescent="0.25"/>
    <row r="190425" customFormat="1" x14ac:dyDescent="0.25"/>
    <row r="190426" customFormat="1" x14ac:dyDescent="0.25"/>
    <row r="190427" customFormat="1" x14ac:dyDescent="0.25"/>
    <row r="190428" customFormat="1" x14ac:dyDescent="0.25"/>
    <row r="190429" customFormat="1" x14ac:dyDescent="0.25"/>
    <row r="190430" customFormat="1" x14ac:dyDescent="0.25"/>
    <row r="190431" customFormat="1" x14ac:dyDescent="0.25"/>
    <row r="190432" customFormat="1" x14ac:dyDescent="0.25"/>
    <row r="190433" customFormat="1" x14ac:dyDescent="0.25"/>
    <row r="190434" customFormat="1" x14ac:dyDescent="0.25"/>
    <row r="190435" customFormat="1" x14ac:dyDescent="0.25"/>
    <row r="190436" customFormat="1" x14ac:dyDescent="0.25"/>
    <row r="190437" customFormat="1" x14ac:dyDescent="0.25"/>
    <row r="190438" customFormat="1" x14ac:dyDescent="0.25"/>
    <row r="190439" customFormat="1" x14ac:dyDescent="0.25"/>
    <row r="190440" customFormat="1" x14ac:dyDescent="0.25"/>
    <row r="190441" customFormat="1" x14ac:dyDescent="0.25"/>
    <row r="190442" customFormat="1" x14ac:dyDescent="0.25"/>
    <row r="190443" customFormat="1" x14ac:dyDescent="0.25"/>
    <row r="190444" customFormat="1" x14ac:dyDescent="0.25"/>
    <row r="190445" customFormat="1" x14ac:dyDescent="0.25"/>
    <row r="190446" customFormat="1" x14ac:dyDescent="0.25"/>
    <row r="190447" customFormat="1" x14ac:dyDescent="0.25"/>
    <row r="190448" customFormat="1" x14ac:dyDescent="0.25"/>
    <row r="190449" customFormat="1" x14ac:dyDescent="0.25"/>
    <row r="190450" customFormat="1" x14ac:dyDescent="0.25"/>
    <row r="190451" customFormat="1" x14ac:dyDescent="0.25"/>
    <row r="190452" customFormat="1" x14ac:dyDescent="0.25"/>
    <row r="190453" customFormat="1" x14ac:dyDescent="0.25"/>
    <row r="190454" customFormat="1" x14ac:dyDescent="0.25"/>
    <row r="190455" customFormat="1" x14ac:dyDescent="0.25"/>
    <row r="190456" customFormat="1" x14ac:dyDescent="0.25"/>
    <row r="190457" customFormat="1" x14ac:dyDescent="0.25"/>
    <row r="190458" customFormat="1" x14ac:dyDescent="0.25"/>
    <row r="190459" customFormat="1" x14ac:dyDescent="0.25"/>
    <row r="190460" customFormat="1" x14ac:dyDescent="0.25"/>
    <row r="190461" customFormat="1" x14ac:dyDescent="0.25"/>
    <row r="190462" customFormat="1" x14ac:dyDescent="0.25"/>
    <row r="190463" customFormat="1" x14ac:dyDescent="0.25"/>
    <row r="190464" customFormat="1" x14ac:dyDescent="0.25"/>
    <row r="190465" customFormat="1" x14ac:dyDescent="0.25"/>
    <row r="190466" customFormat="1" x14ac:dyDescent="0.25"/>
    <row r="190467" customFormat="1" x14ac:dyDescent="0.25"/>
    <row r="190468" customFormat="1" x14ac:dyDescent="0.25"/>
    <row r="190469" customFormat="1" x14ac:dyDescent="0.25"/>
    <row r="190470" customFormat="1" x14ac:dyDescent="0.25"/>
    <row r="190471" customFormat="1" x14ac:dyDescent="0.25"/>
    <row r="190472" customFormat="1" x14ac:dyDescent="0.25"/>
    <row r="190473" customFormat="1" x14ac:dyDescent="0.25"/>
    <row r="190474" customFormat="1" x14ac:dyDescent="0.25"/>
    <row r="190475" customFormat="1" x14ac:dyDescent="0.25"/>
    <row r="190476" customFormat="1" x14ac:dyDescent="0.25"/>
    <row r="190477" customFormat="1" x14ac:dyDescent="0.25"/>
    <row r="190478" customFormat="1" x14ac:dyDescent="0.25"/>
    <row r="190479" customFormat="1" x14ac:dyDescent="0.25"/>
    <row r="190480" customFormat="1" x14ac:dyDescent="0.25"/>
    <row r="190481" customFormat="1" x14ac:dyDescent="0.25"/>
    <row r="190482" customFormat="1" x14ac:dyDescent="0.25"/>
    <row r="190483" customFormat="1" x14ac:dyDescent="0.25"/>
    <row r="190484" customFormat="1" x14ac:dyDescent="0.25"/>
    <row r="190485" customFormat="1" x14ac:dyDescent="0.25"/>
    <row r="190486" customFormat="1" x14ac:dyDescent="0.25"/>
    <row r="190487" customFormat="1" x14ac:dyDescent="0.25"/>
    <row r="190488" customFormat="1" x14ac:dyDescent="0.25"/>
    <row r="190489" customFormat="1" x14ac:dyDescent="0.25"/>
    <row r="190490" customFormat="1" x14ac:dyDescent="0.25"/>
    <row r="190491" customFormat="1" x14ac:dyDescent="0.25"/>
    <row r="190492" customFormat="1" x14ac:dyDescent="0.25"/>
    <row r="190493" customFormat="1" x14ac:dyDescent="0.25"/>
    <row r="190494" customFormat="1" x14ac:dyDescent="0.25"/>
    <row r="190495" customFormat="1" x14ac:dyDescent="0.25"/>
    <row r="190496" customFormat="1" x14ac:dyDescent="0.25"/>
    <row r="190497" customFormat="1" x14ac:dyDescent="0.25"/>
    <row r="190498" customFormat="1" x14ac:dyDescent="0.25"/>
    <row r="190499" customFormat="1" x14ac:dyDescent="0.25"/>
    <row r="190500" customFormat="1" x14ac:dyDescent="0.25"/>
    <row r="190501" customFormat="1" x14ac:dyDescent="0.25"/>
    <row r="190502" customFormat="1" x14ac:dyDescent="0.25"/>
    <row r="190503" customFormat="1" x14ac:dyDescent="0.25"/>
    <row r="190504" customFormat="1" x14ac:dyDescent="0.25"/>
    <row r="190505" customFormat="1" x14ac:dyDescent="0.25"/>
    <row r="190506" customFormat="1" x14ac:dyDescent="0.25"/>
    <row r="190507" customFormat="1" x14ac:dyDescent="0.25"/>
    <row r="190508" customFormat="1" x14ac:dyDescent="0.25"/>
    <row r="190509" customFormat="1" x14ac:dyDescent="0.25"/>
    <row r="190510" customFormat="1" x14ac:dyDescent="0.25"/>
    <row r="190511" customFormat="1" x14ac:dyDescent="0.25"/>
    <row r="190512" customFormat="1" x14ac:dyDescent="0.25"/>
    <row r="190513" customFormat="1" x14ac:dyDescent="0.25"/>
    <row r="190514" customFormat="1" x14ac:dyDescent="0.25"/>
    <row r="190515" customFormat="1" x14ac:dyDescent="0.25"/>
    <row r="190516" customFormat="1" x14ac:dyDescent="0.25"/>
    <row r="190517" customFormat="1" x14ac:dyDescent="0.25"/>
    <row r="190518" customFormat="1" x14ac:dyDescent="0.25"/>
    <row r="190519" customFormat="1" x14ac:dyDescent="0.25"/>
    <row r="190520" customFormat="1" x14ac:dyDescent="0.25"/>
    <row r="190521" customFormat="1" x14ac:dyDescent="0.25"/>
    <row r="190522" customFormat="1" x14ac:dyDescent="0.25"/>
    <row r="190523" customFormat="1" x14ac:dyDescent="0.25"/>
    <row r="190524" customFormat="1" x14ac:dyDescent="0.25"/>
    <row r="190525" customFormat="1" x14ac:dyDescent="0.25"/>
    <row r="190526" customFormat="1" x14ac:dyDescent="0.25"/>
    <row r="190527" customFormat="1" x14ac:dyDescent="0.25"/>
    <row r="190528" customFormat="1" x14ac:dyDescent="0.25"/>
    <row r="190529" customFormat="1" x14ac:dyDescent="0.25"/>
    <row r="190530" customFormat="1" x14ac:dyDescent="0.25"/>
    <row r="190531" customFormat="1" x14ac:dyDescent="0.25"/>
    <row r="190532" customFormat="1" x14ac:dyDescent="0.25"/>
    <row r="190533" customFormat="1" x14ac:dyDescent="0.25"/>
    <row r="190534" customFormat="1" x14ac:dyDescent="0.25"/>
    <row r="190535" customFormat="1" x14ac:dyDescent="0.25"/>
    <row r="190536" customFormat="1" x14ac:dyDescent="0.25"/>
    <row r="190537" customFormat="1" x14ac:dyDescent="0.25"/>
    <row r="190538" customFormat="1" x14ac:dyDescent="0.25"/>
    <row r="190539" customFormat="1" x14ac:dyDescent="0.25"/>
    <row r="190540" customFormat="1" x14ac:dyDescent="0.25"/>
    <row r="190541" customFormat="1" x14ac:dyDescent="0.25"/>
    <row r="190542" customFormat="1" x14ac:dyDescent="0.25"/>
    <row r="190543" customFormat="1" x14ac:dyDescent="0.25"/>
    <row r="190544" customFormat="1" x14ac:dyDescent="0.25"/>
    <row r="190545" customFormat="1" x14ac:dyDescent="0.25"/>
    <row r="190546" customFormat="1" x14ac:dyDescent="0.25"/>
    <row r="190547" customFormat="1" x14ac:dyDescent="0.25"/>
    <row r="190548" customFormat="1" x14ac:dyDescent="0.25"/>
    <row r="190549" customFormat="1" x14ac:dyDescent="0.25"/>
    <row r="190550" customFormat="1" x14ac:dyDescent="0.25"/>
    <row r="190551" customFormat="1" x14ac:dyDescent="0.25"/>
    <row r="190552" customFormat="1" x14ac:dyDescent="0.25"/>
    <row r="190553" customFormat="1" x14ac:dyDescent="0.25"/>
    <row r="190554" customFormat="1" x14ac:dyDescent="0.25"/>
    <row r="190555" customFormat="1" x14ac:dyDescent="0.25"/>
    <row r="190556" customFormat="1" x14ac:dyDescent="0.25"/>
    <row r="190557" customFormat="1" x14ac:dyDescent="0.25"/>
    <row r="190558" customFormat="1" x14ac:dyDescent="0.25"/>
    <row r="190559" customFormat="1" x14ac:dyDescent="0.25"/>
    <row r="190560" customFormat="1" x14ac:dyDescent="0.25"/>
    <row r="190561" customFormat="1" x14ac:dyDescent="0.25"/>
    <row r="190562" customFormat="1" x14ac:dyDescent="0.25"/>
    <row r="190563" customFormat="1" x14ac:dyDescent="0.25"/>
    <row r="190564" customFormat="1" x14ac:dyDescent="0.25"/>
    <row r="190565" customFormat="1" x14ac:dyDescent="0.25"/>
    <row r="190566" customFormat="1" x14ac:dyDescent="0.25"/>
    <row r="190567" customFormat="1" x14ac:dyDescent="0.25"/>
    <row r="190568" customFormat="1" x14ac:dyDescent="0.25"/>
    <row r="190569" customFormat="1" x14ac:dyDescent="0.25"/>
    <row r="190570" customFormat="1" x14ac:dyDescent="0.25"/>
    <row r="190571" customFormat="1" x14ac:dyDescent="0.25"/>
    <row r="190572" customFormat="1" x14ac:dyDescent="0.25"/>
    <row r="190573" customFormat="1" x14ac:dyDescent="0.25"/>
    <row r="190574" customFormat="1" x14ac:dyDescent="0.25"/>
    <row r="190575" customFormat="1" x14ac:dyDescent="0.25"/>
    <row r="190576" customFormat="1" x14ac:dyDescent="0.25"/>
    <row r="190577" customFormat="1" x14ac:dyDescent="0.25"/>
    <row r="190578" customFormat="1" x14ac:dyDescent="0.25"/>
    <row r="190579" customFormat="1" x14ac:dyDescent="0.25"/>
    <row r="190580" customFormat="1" x14ac:dyDescent="0.25"/>
    <row r="190581" customFormat="1" x14ac:dyDescent="0.25"/>
    <row r="190582" customFormat="1" x14ac:dyDescent="0.25"/>
    <row r="190583" customFormat="1" x14ac:dyDescent="0.25"/>
    <row r="190584" customFormat="1" x14ac:dyDescent="0.25"/>
    <row r="190585" customFormat="1" x14ac:dyDescent="0.25"/>
    <row r="190586" customFormat="1" x14ac:dyDescent="0.25"/>
    <row r="190587" customFormat="1" x14ac:dyDescent="0.25"/>
    <row r="190588" customFormat="1" x14ac:dyDescent="0.25"/>
    <row r="190589" customFormat="1" x14ac:dyDescent="0.25"/>
    <row r="190590" customFormat="1" x14ac:dyDescent="0.25"/>
    <row r="190591" customFormat="1" x14ac:dyDescent="0.25"/>
    <row r="190592" customFormat="1" x14ac:dyDescent="0.25"/>
    <row r="190593" customFormat="1" x14ac:dyDescent="0.25"/>
    <row r="190594" customFormat="1" x14ac:dyDescent="0.25"/>
    <row r="190595" customFormat="1" x14ac:dyDescent="0.25"/>
    <row r="190596" customFormat="1" x14ac:dyDescent="0.25"/>
    <row r="190597" customFormat="1" x14ac:dyDescent="0.25"/>
    <row r="190598" customFormat="1" x14ac:dyDescent="0.25"/>
    <row r="190599" customFormat="1" x14ac:dyDescent="0.25"/>
    <row r="190600" customFormat="1" x14ac:dyDescent="0.25"/>
    <row r="190601" customFormat="1" x14ac:dyDescent="0.25"/>
    <row r="190602" customFormat="1" x14ac:dyDescent="0.25"/>
    <row r="190603" customFormat="1" x14ac:dyDescent="0.25"/>
    <row r="190604" customFormat="1" x14ac:dyDescent="0.25"/>
    <row r="190605" customFormat="1" x14ac:dyDescent="0.25"/>
    <row r="190606" customFormat="1" x14ac:dyDescent="0.25"/>
    <row r="190607" customFormat="1" x14ac:dyDescent="0.25"/>
    <row r="190608" customFormat="1" x14ac:dyDescent="0.25"/>
    <row r="190609" customFormat="1" x14ac:dyDescent="0.25"/>
    <row r="190610" customFormat="1" x14ac:dyDescent="0.25"/>
    <row r="190611" customFormat="1" x14ac:dyDescent="0.25"/>
    <row r="190612" customFormat="1" x14ac:dyDescent="0.25"/>
    <row r="190613" customFormat="1" x14ac:dyDescent="0.25"/>
    <row r="190614" customFormat="1" x14ac:dyDescent="0.25"/>
    <row r="190615" customFormat="1" x14ac:dyDescent="0.25"/>
    <row r="190616" customFormat="1" x14ac:dyDescent="0.25"/>
    <row r="190617" customFormat="1" x14ac:dyDescent="0.25"/>
    <row r="190618" customFormat="1" x14ac:dyDescent="0.25"/>
    <row r="190619" customFormat="1" x14ac:dyDescent="0.25"/>
    <row r="190620" customFormat="1" x14ac:dyDescent="0.25"/>
    <row r="190621" customFormat="1" x14ac:dyDescent="0.25"/>
    <row r="190622" customFormat="1" x14ac:dyDescent="0.25"/>
    <row r="190623" customFormat="1" x14ac:dyDescent="0.25"/>
    <row r="190624" customFormat="1" x14ac:dyDescent="0.25"/>
    <row r="190625" customFormat="1" x14ac:dyDescent="0.25"/>
    <row r="190626" customFormat="1" x14ac:dyDescent="0.25"/>
    <row r="190627" customFormat="1" x14ac:dyDescent="0.25"/>
    <row r="190628" customFormat="1" x14ac:dyDescent="0.25"/>
    <row r="190629" customFormat="1" x14ac:dyDescent="0.25"/>
    <row r="190630" customFormat="1" x14ac:dyDescent="0.25"/>
    <row r="190631" customFormat="1" x14ac:dyDescent="0.25"/>
    <row r="190632" customFormat="1" x14ac:dyDescent="0.25"/>
    <row r="190633" customFormat="1" x14ac:dyDescent="0.25"/>
    <row r="190634" customFormat="1" x14ac:dyDescent="0.25"/>
    <row r="190635" customFormat="1" x14ac:dyDescent="0.25"/>
    <row r="190636" customFormat="1" x14ac:dyDescent="0.25"/>
    <row r="190637" customFormat="1" x14ac:dyDescent="0.25"/>
    <row r="190638" customFormat="1" x14ac:dyDescent="0.25"/>
    <row r="190639" customFormat="1" x14ac:dyDescent="0.25"/>
    <row r="190640" customFormat="1" x14ac:dyDescent="0.25"/>
    <row r="190641" customFormat="1" x14ac:dyDescent="0.25"/>
    <row r="190642" customFormat="1" x14ac:dyDescent="0.25"/>
    <row r="190643" customFormat="1" x14ac:dyDescent="0.25"/>
    <row r="190644" customFormat="1" x14ac:dyDescent="0.25"/>
    <row r="190645" customFormat="1" x14ac:dyDescent="0.25"/>
    <row r="190646" customFormat="1" x14ac:dyDescent="0.25"/>
    <row r="190647" customFormat="1" x14ac:dyDescent="0.25"/>
    <row r="190648" customFormat="1" x14ac:dyDescent="0.25"/>
    <row r="190649" customFormat="1" x14ac:dyDescent="0.25"/>
    <row r="190650" customFormat="1" x14ac:dyDescent="0.25"/>
    <row r="190651" customFormat="1" x14ac:dyDescent="0.25"/>
    <row r="190652" customFormat="1" x14ac:dyDescent="0.25"/>
    <row r="190653" customFormat="1" x14ac:dyDescent="0.25"/>
    <row r="190654" customFormat="1" x14ac:dyDescent="0.25"/>
    <row r="190655" customFormat="1" x14ac:dyDescent="0.25"/>
    <row r="190656" customFormat="1" x14ac:dyDescent="0.25"/>
    <row r="190657" customFormat="1" x14ac:dyDescent="0.25"/>
    <row r="190658" customFormat="1" x14ac:dyDescent="0.25"/>
    <row r="190659" customFormat="1" x14ac:dyDescent="0.25"/>
    <row r="190660" customFormat="1" x14ac:dyDescent="0.25"/>
    <row r="190661" customFormat="1" x14ac:dyDescent="0.25"/>
    <row r="190662" customFormat="1" x14ac:dyDescent="0.25"/>
    <row r="190663" customFormat="1" x14ac:dyDescent="0.25"/>
    <row r="190664" customFormat="1" x14ac:dyDescent="0.25"/>
    <row r="190665" customFormat="1" x14ac:dyDescent="0.25"/>
    <row r="190666" customFormat="1" x14ac:dyDescent="0.25"/>
    <row r="190667" customFormat="1" x14ac:dyDescent="0.25"/>
    <row r="190668" customFormat="1" x14ac:dyDescent="0.25"/>
    <row r="190669" customFormat="1" x14ac:dyDescent="0.25"/>
    <row r="190670" customFormat="1" x14ac:dyDescent="0.25"/>
    <row r="190671" customFormat="1" x14ac:dyDescent="0.25"/>
    <row r="190672" customFormat="1" x14ac:dyDescent="0.25"/>
    <row r="190673" customFormat="1" x14ac:dyDescent="0.25"/>
    <row r="190674" customFormat="1" x14ac:dyDescent="0.25"/>
    <row r="190675" customFormat="1" x14ac:dyDescent="0.25"/>
    <row r="190676" customFormat="1" x14ac:dyDescent="0.25"/>
    <row r="190677" customFormat="1" x14ac:dyDescent="0.25"/>
    <row r="190678" customFormat="1" x14ac:dyDescent="0.25"/>
    <row r="190679" customFormat="1" x14ac:dyDescent="0.25"/>
    <row r="190680" customFormat="1" x14ac:dyDescent="0.25"/>
    <row r="190681" customFormat="1" x14ac:dyDescent="0.25"/>
    <row r="190682" customFormat="1" x14ac:dyDescent="0.25"/>
    <row r="190683" customFormat="1" x14ac:dyDescent="0.25"/>
    <row r="190684" customFormat="1" x14ac:dyDescent="0.25"/>
    <row r="190685" customFormat="1" x14ac:dyDescent="0.25"/>
    <row r="190686" customFormat="1" x14ac:dyDescent="0.25"/>
    <row r="190687" customFormat="1" x14ac:dyDescent="0.25"/>
    <row r="190688" customFormat="1" x14ac:dyDescent="0.25"/>
    <row r="190689" customFormat="1" x14ac:dyDescent="0.25"/>
    <row r="190690" customFormat="1" x14ac:dyDescent="0.25"/>
    <row r="190691" customFormat="1" x14ac:dyDescent="0.25"/>
    <row r="190692" customFormat="1" x14ac:dyDescent="0.25"/>
    <row r="190693" customFormat="1" x14ac:dyDescent="0.25"/>
    <row r="190694" customFormat="1" x14ac:dyDescent="0.25"/>
    <row r="190695" customFormat="1" x14ac:dyDescent="0.25"/>
    <row r="190696" customFormat="1" x14ac:dyDescent="0.25"/>
    <row r="190697" customFormat="1" x14ac:dyDescent="0.25"/>
    <row r="190698" customFormat="1" x14ac:dyDescent="0.25"/>
    <row r="190699" customFormat="1" x14ac:dyDescent="0.25"/>
    <row r="190700" customFormat="1" x14ac:dyDescent="0.25"/>
    <row r="190701" customFormat="1" x14ac:dyDescent="0.25"/>
    <row r="190702" customFormat="1" x14ac:dyDescent="0.25"/>
    <row r="190703" customFormat="1" x14ac:dyDescent="0.25"/>
    <row r="190704" customFormat="1" x14ac:dyDescent="0.25"/>
    <row r="190705" customFormat="1" x14ac:dyDescent="0.25"/>
    <row r="190706" customFormat="1" x14ac:dyDescent="0.25"/>
    <row r="190707" customFormat="1" x14ac:dyDescent="0.25"/>
    <row r="190708" customFormat="1" x14ac:dyDescent="0.25"/>
    <row r="190709" customFormat="1" x14ac:dyDescent="0.25"/>
    <row r="190710" customFormat="1" x14ac:dyDescent="0.25"/>
    <row r="190711" customFormat="1" x14ac:dyDescent="0.25"/>
    <row r="190712" customFormat="1" x14ac:dyDescent="0.25"/>
    <row r="190713" customFormat="1" x14ac:dyDescent="0.25"/>
    <row r="190714" customFormat="1" x14ac:dyDescent="0.25"/>
    <row r="190715" customFormat="1" x14ac:dyDescent="0.25"/>
    <row r="190716" customFormat="1" x14ac:dyDescent="0.25"/>
    <row r="190717" customFormat="1" x14ac:dyDescent="0.25"/>
    <row r="190718" customFormat="1" x14ac:dyDescent="0.25"/>
    <row r="190719" customFormat="1" x14ac:dyDescent="0.25"/>
    <row r="190720" customFormat="1" x14ac:dyDescent="0.25"/>
    <row r="190721" customFormat="1" x14ac:dyDescent="0.25"/>
    <row r="190722" customFormat="1" x14ac:dyDescent="0.25"/>
    <row r="190723" customFormat="1" x14ac:dyDescent="0.25"/>
    <row r="190724" customFormat="1" x14ac:dyDescent="0.25"/>
    <row r="190725" customFormat="1" x14ac:dyDescent="0.25"/>
    <row r="190726" customFormat="1" x14ac:dyDescent="0.25"/>
    <row r="190727" customFormat="1" x14ac:dyDescent="0.25"/>
    <row r="190728" customFormat="1" x14ac:dyDescent="0.25"/>
    <row r="190729" customFormat="1" x14ac:dyDescent="0.25"/>
    <row r="190730" customFormat="1" x14ac:dyDescent="0.25"/>
    <row r="190731" customFormat="1" x14ac:dyDescent="0.25"/>
    <row r="190732" customFormat="1" x14ac:dyDescent="0.25"/>
    <row r="190733" customFormat="1" x14ac:dyDescent="0.25"/>
    <row r="190734" customFormat="1" x14ac:dyDescent="0.25"/>
    <row r="190735" customFormat="1" x14ac:dyDescent="0.25"/>
    <row r="190736" customFormat="1" x14ac:dyDescent="0.25"/>
    <row r="190737" customFormat="1" x14ac:dyDescent="0.25"/>
    <row r="190738" customFormat="1" x14ac:dyDescent="0.25"/>
    <row r="190739" customFormat="1" x14ac:dyDescent="0.25"/>
    <row r="190740" customFormat="1" x14ac:dyDescent="0.25"/>
    <row r="190741" customFormat="1" x14ac:dyDescent="0.25"/>
    <row r="190742" customFormat="1" x14ac:dyDescent="0.25"/>
    <row r="190743" customFormat="1" x14ac:dyDescent="0.25"/>
    <row r="190744" customFormat="1" x14ac:dyDescent="0.25"/>
    <row r="190745" customFormat="1" x14ac:dyDescent="0.25"/>
    <row r="190746" customFormat="1" x14ac:dyDescent="0.25"/>
    <row r="190747" customFormat="1" x14ac:dyDescent="0.25"/>
    <row r="190748" customFormat="1" x14ac:dyDescent="0.25"/>
    <row r="190749" customFormat="1" x14ac:dyDescent="0.25"/>
    <row r="190750" customFormat="1" x14ac:dyDescent="0.25"/>
    <row r="190751" customFormat="1" x14ac:dyDescent="0.25"/>
    <row r="190752" customFormat="1" x14ac:dyDescent="0.25"/>
    <row r="190753" customFormat="1" x14ac:dyDescent="0.25"/>
    <row r="190754" customFormat="1" x14ac:dyDescent="0.25"/>
    <row r="190755" customFormat="1" x14ac:dyDescent="0.25"/>
    <row r="190756" customFormat="1" x14ac:dyDescent="0.25"/>
    <row r="190757" customFormat="1" x14ac:dyDescent="0.25"/>
    <row r="190758" customFormat="1" x14ac:dyDescent="0.25"/>
    <row r="190759" customFormat="1" x14ac:dyDescent="0.25"/>
    <row r="190760" customFormat="1" x14ac:dyDescent="0.25"/>
    <row r="190761" customFormat="1" x14ac:dyDescent="0.25"/>
    <row r="190762" customFormat="1" x14ac:dyDescent="0.25"/>
    <row r="190763" customFormat="1" x14ac:dyDescent="0.25"/>
    <row r="190764" customFormat="1" x14ac:dyDescent="0.25"/>
    <row r="190765" customFormat="1" x14ac:dyDescent="0.25"/>
    <row r="190766" customFormat="1" x14ac:dyDescent="0.25"/>
    <row r="190767" customFormat="1" x14ac:dyDescent="0.25"/>
    <row r="190768" customFormat="1" x14ac:dyDescent="0.25"/>
    <row r="190769" customFormat="1" x14ac:dyDescent="0.25"/>
    <row r="190770" customFormat="1" x14ac:dyDescent="0.25"/>
    <row r="190771" customFormat="1" x14ac:dyDescent="0.25"/>
    <row r="190772" customFormat="1" x14ac:dyDescent="0.25"/>
    <row r="190773" customFormat="1" x14ac:dyDescent="0.25"/>
    <row r="190774" customFormat="1" x14ac:dyDescent="0.25"/>
    <row r="190775" customFormat="1" x14ac:dyDescent="0.25"/>
    <row r="190776" customFormat="1" x14ac:dyDescent="0.25"/>
    <row r="190777" customFormat="1" x14ac:dyDescent="0.25"/>
    <row r="190778" customFormat="1" x14ac:dyDescent="0.25"/>
    <row r="190779" customFormat="1" x14ac:dyDescent="0.25"/>
    <row r="190780" customFormat="1" x14ac:dyDescent="0.25"/>
    <row r="190781" customFormat="1" x14ac:dyDescent="0.25"/>
    <row r="190782" customFormat="1" x14ac:dyDescent="0.25"/>
    <row r="190783" customFormat="1" x14ac:dyDescent="0.25"/>
    <row r="190784" customFormat="1" x14ac:dyDescent="0.25"/>
    <row r="190785" customFormat="1" x14ac:dyDescent="0.25"/>
    <row r="190786" customFormat="1" x14ac:dyDescent="0.25"/>
    <row r="190787" customFormat="1" x14ac:dyDescent="0.25"/>
    <row r="190788" customFormat="1" x14ac:dyDescent="0.25"/>
    <row r="190789" customFormat="1" x14ac:dyDescent="0.25"/>
    <row r="190790" customFormat="1" x14ac:dyDescent="0.25"/>
    <row r="190791" customFormat="1" x14ac:dyDescent="0.25"/>
    <row r="190792" customFormat="1" x14ac:dyDescent="0.25"/>
    <row r="190793" customFormat="1" x14ac:dyDescent="0.25"/>
    <row r="190794" customFormat="1" x14ac:dyDescent="0.25"/>
    <row r="190795" customFormat="1" x14ac:dyDescent="0.25"/>
    <row r="190796" customFormat="1" x14ac:dyDescent="0.25"/>
    <row r="190797" customFormat="1" x14ac:dyDescent="0.25"/>
    <row r="190798" customFormat="1" x14ac:dyDescent="0.25"/>
    <row r="190799" customFormat="1" x14ac:dyDescent="0.25"/>
    <row r="190800" customFormat="1" x14ac:dyDescent="0.25"/>
    <row r="190801" customFormat="1" x14ac:dyDescent="0.25"/>
    <row r="190802" customFormat="1" x14ac:dyDescent="0.25"/>
    <row r="190803" customFormat="1" x14ac:dyDescent="0.25"/>
    <row r="190804" customFormat="1" x14ac:dyDescent="0.25"/>
    <row r="190805" customFormat="1" x14ac:dyDescent="0.25"/>
    <row r="190806" customFormat="1" x14ac:dyDescent="0.25"/>
    <row r="190807" customFormat="1" x14ac:dyDescent="0.25"/>
    <row r="190808" customFormat="1" x14ac:dyDescent="0.25"/>
    <row r="190809" customFormat="1" x14ac:dyDescent="0.25"/>
    <row r="190810" customFormat="1" x14ac:dyDescent="0.25"/>
    <row r="190811" customFormat="1" x14ac:dyDescent="0.25"/>
    <row r="190812" customFormat="1" x14ac:dyDescent="0.25"/>
    <row r="190813" customFormat="1" x14ac:dyDescent="0.25"/>
    <row r="190814" customFormat="1" x14ac:dyDescent="0.25"/>
    <row r="190815" customFormat="1" x14ac:dyDescent="0.25"/>
    <row r="190816" customFormat="1" x14ac:dyDescent="0.25"/>
    <row r="190817" customFormat="1" x14ac:dyDescent="0.25"/>
    <row r="190818" customFormat="1" x14ac:dyDescent="0.25"/>
    <row r="190819" customFormat="1" x14ac:dyDescent="0.25"/>
    <row r="190820" customFormat="1" x14ac:dyDescent="0.25"/>
    <row r="190821" customFormat="1" x14ac:dyDescent="0.25"/>
    <row r="190822" customFormat="1" x14ac:dyDescent="0.25"/>
    <row r="190823" customFormat="1" x14ac:dyDescent="0.25"/>
    <row r="190824" customFormat="1" x14ac:dyDescent="0.25"/>
    <row r="190825" customFormat="1" x14ac:dyDescent="0.25"/>
    <row r="190826" customFormat="1" x14ac:dyDescent="0.25"/>
    <row r="190827" customFormat="1" x14ac:dyDescent="0.25"/>
    <row r="190828" customFormat="1" x14ac:dyDescent="0.25"/>
    <row r="190829" customFormat="1" x14ac:dyDescent="0.25"/>
    <row r="190830" customFormat="1" x14ac:dyDescent="0.25"/>
    <row r="190831" customFormat="1" x14ac:dyDescent="0.25"/>
    <row r="190832" customFormat="1" x14ac:dyDescent="0.25"/>
    <row r="190833" customFormat="1" x14ac:dyDescent="0.25"/>
    <row r="190834" customFormat="1" x14ac:dyDescent="0.25"/>
    <row r="190835" customFormat="1" x14ac:dyDescent="0.25"/>
    <row r="190836" customFormat="1" x14ac:dyDescent="0.25"/>
    <row r="190837" customFormat="1" x14ac:dyDescent="0.25"/>
    <row r="190838" customFormat="1" x14ac:dyDescent="0.25"/>
    <row r="190839" customFormat="1" x14ac:dyDescent="0.25"/>
    <row r="190840" customFormat="1" x14ac:dyDescent="0.25"/>
    <row r="190841" customFormat="1" x14ac:dyDescent="0.25"/>
    <row r="190842" customFormat="1" x14ac:dyDescent="0.25"/>
    <row r="190843" customFormat="1" x14ac:dyDescent="0.25"/>
    <row r="190844" customFormat="1" x14ac:dyDescent="0.25"/>
    <row r="190845" customFormat="1" x14ac:dyDescent="0.25"/>
    <row r="190846" customFormat="1" x14ac:dyDescent="0.25"/>
    <row r="190847" customFormat="1" x14ac:dyDescent="0.25"/>
    <row r="190848" customFormat="1" x14ac:dyDescent="0.25"/>
    <row r="190849" customFormat="1" x14ac:dyDescent="0.25"/>
    <row r="190850" customFormat="1" x14ac:dyDescent="0.25"/>
    <row r="190851" customFormat="1" x14ac:dyDescent="0.25"/>
    <row r="190852" customFormat="1" x14ac:dyDescent="0.25"/>
    <row r="190853" customFormat="1" x14ac:dyDescent="0.25"/>
    <row r="190854" customFormat="1" x14ac:dyDescent="0.25"/>
    <row r="190855" customFormat="1" x14ac:dyDescent="0.25"/>
    <row r="190856" customFormat="1" x14ac:dyDescent="0.25"/>
    <row r="190857" customFormat="1" x14ac:dyDescent="0.25"/>
    <row r="190858" customFormat="1" x14ac:dyDescent="0.25"/>
    <row r="190859" customFormat="1" x14ac:dyDescent="0.25"/>
    <row r="190860" customFormat="1" x14ac:dyDescent="0.25"/>
    <row r="190861" customFormat="1" x14ac:dyDescent="0.25"/>
    <row r="190862" customFormat="1" x14ac:dyDescent="0.25"/>
    <row r="190863" customFormat="1" x14ac:dyDescent="0.25"/>
    <row r="190864" customFormat="1" x14ac:dyDescent="0.25"/>
    <row r="190865" customFormat="1" x14ac:dyDescent="0.25"/>
    <row r="190866" customFormat="1" x14ac:dyDescent="0.25"/>
    <row r="190867" customFormat="1" x14ac:dyDescent="0.25"/>
    <row r="190868" customFormat="1" x14ac:dyDescent="0.25"/>
    <row r="190869" customFormat="1" x14ac:dyDescent="0.25"/>
    <row r="190870" customFormat="1" x14ac:dyDescent="0.25"/>
    <row r="190871" customFormat="1" x14ac:dyDescent="0.25"/>
    <row r="190872" customFormat="1" x14ac:dyDescent="0.25"/>
    <row r="190873" customFormat="1" x14ac:dyDescent="0.25"/>
    <row r="190874" customFormat="1" x14ac:dyDescent="0.25"/>
    <row r="190875" customFormat="1" x14ac:dyDescent="0.25"/>
    <row r="190876" customFormat="1" x14ac:dyDescent="0.25"/>
    <row r="190877" customFormat="1" x14ac:dyDescent="0.25"/>
    <row r="190878" customFormat="1" x14ac:dyDescent="0.25"/>
    <row r="190879" customFormat="1" x14ac:dyDescent="0.25"/>
    <row r="190880" customFormat="1" x14ac:dyDescent="0.25"/>
    <row r="190881" customFormat="1" x14ac:dyDescent="0.25"/>
    <row r="190882" customFormat="1" x14ac:dyDescent="0.25"/>
    <row r="190883" customFormat="1" x14ac:dyDescent="0.25"/>
    <row r="190884" customFormat="1" x14ac:dyDescent="0.25"/>
    <row r="190885" customFormat="1" x14ac:dyDescent="0.25"/>
    <row r="190886" customFormat="1" x14ac:dyDescent="0.25"/>
    <row r="190887" customFormat="1" x14ac:dyDescent="0.25"/>
    <row r="190888" customFormat="1" x14ac:dyDescent="0.25"/>
    <row r="190889" customFormat="1" x14ac:dyDescent="0.25"/>
    <row r="190890" customFormat="1" x14ac:dyDescent="0.25"/>
    <row r="190891" customFormat="1" x14ac:dyDescent="0.25"/>
    <row r="190892" customFormat="1" x14ac:dyDescent="0.25"/>
    <row r="190893" customFormat="1" x14ac:dyDescent="0.25"/>
    <row r="190894" customFormat="1" x14ac:dyDescent="0.25"/>
    <row r="190895" customFormat="1" x14ac:dyDescent="0.25"/>
    <row r="190896" customFormat="1" x14ac:dyDescent="0.25"/>
    <row r="190897" customFormat="1" x14ac:dyDescent="0.25"/>
    <row r="190898" customFormat="1" x14ac:dyDescent="0.25"/>
    <row r="190899" customFormat="1" x14ac:dyDescent="0.25"/>
    <row r="190900" customFormat="1" x14ac:dyDescent="0.25"/>
    <row r="190901" customFormat="1" x14ac:dyDescent="0.25"/>
    <row r="190902" customFormat="1" x14ac:dyDescent="0.25"/>
    <row r="190903" customFormat="1" x14ac:dyDescent="0.25"/>
    <row r="190904" customFormat="1" x14ac:dyDescent="0.25"/>
    <row r="190905" customFormat="1" x14ac:dyDescent="0.25"/>
    <row r="190906" customFormat="1" x14ac:dyDescent="0.25"/>
    <row r="190907" customFormat="1" x14ac:dyDescent="0.25"/>
    <row r="190908" customFormat="1" x14ac:dyDescent="0.25"/>
    <row r="190909" customFormat="1" x14ac:dyDescent="0.25"/>
    <row r="190910" customFormat="1" x14ac:dyDescent="0.25"/>
    <row r="190911" customFormat="1" x14ac:dyDescent="0.25"/>
    <row r="190912" customFormat="1" x14ac:dyDescent="0.25"/>
    <row r="190913" customFormat="1" x14ac:dyDescent="0.25"/>
    <row r="190914" customFormat="1" x14ac:dyDescent="0.25"/>
    <row r="190915" customFormat="1" x14ac:dyDescent="0.25"/>
    <row r="190916" customFormat="1" x14ac:dyDescent="0.25"/>
    <row r="190917" customFormat="1" x14ac:dyDescent="0.25"/>
    <row r="190918" customFormat="1" x14ac:dyDescent="0.25"/>
    <row r="190919" customFormat="1" x14ac:dyDescent="0.25"/>
    <row r="190920" customFormat="1" x14ac:dyDescent="0.25"/>
    <row r="190921" customFormat="1" x14ac:dyDescent="0.25"/>
    <row r="190922" customFormat="1" x14ac:dyDescent="0.25"/>
    <row r="190923" customFormat="1" x14ac:dyDescent="0.25"/>
    <row r="190924" customFormat="1" x14ac:dyDescent="0.25"/>
    <row r="190925" customFormat="1" x14ac:dyDescent="0.25"/>
    <row r="190926" customFormat="1" x14ac:dyDescent="0.25"/>
    <row r="190927" customFormat="1" x14ac:dyDescent="0.25"/>
    <row r="190928" customFormat="1" x14ac:dyDescent="0.25"/>
    <row r="190929" customFormat="1" x14ac:dyDescent="0.25"/>
    <row r="190930" customFormat="1" x14ac:dyDescent="0.25"/>
    <row r="190931" customFormat="1" x14ac:dyDescent="0.25"/>
    <row r="190932" customFormat="1" x14ac:dyDescent="0.25"/>
    <row r="190933" customFormat="1" x14ac:dyDescent="0.25"/>
    <row r="190934" customFormat="1" x14ac:dyDescent="0.25"/>
    <row r="190935" customFormat="1" x14ac:dyDescent="0.25"/>
    <row r="190936" customFormat="1" x14ac:dyDescent="0.25"/>
    <row r="190937" customFormat="1" x14ac:dyDescent="0.25"/>
    <row r="190938" customFormat="1" x14ac:dyDescent="0.25"/>
    <row r="190939" customFormat="1" x14ac:dyDescent="0.25"/>
    <row r="190940" customFormat="1" x14ac:dyDescent="0.25"/>
    <row r="190941" customFormat="1" x14ac:dyDescent="0.25"/>
    <row r="190942" customFormat="1" x14ac:dyDescent="0.25"/>
    <row r="190943" customFormat="1" x14ac:dyDescent="0.25"/>
    <row r="190944" customFormat="1" x14ac:dyDescent="0.25"/>
    <row r="190945" customFormat="1" x14ac:dyDescent="0.25"/>
    <row r="190946" customFormat="1" x14ac:dyDescent="0.25"/>
    <row r="190947" customFormat="1" x14ac:dyDescent="0.25"/>
    <row r="190948" customFormat="1" x14ac:dyDescent="0.25"/>
    <row r="190949" customFormat="1" x14ac:dyDescent="0.25"/>
    <row r="190950" customFormat="1" x14ac:dyDescent="0.25"/>
    <row r="190951" customFormat="1" x14ac:dyDescent="0.25"/>
    <row r="190952" customFormat="1" x14ac:dyDescent="0.25"/>
    <row r="190953" customFormat="1" x14ac:dyDescent="0.25"/>
    <row r="190954" customFormat="1" x14ac:dyDescent="0.25"/>
    <row r="190955" customFormat="1" x14ac:dyDescent="0.25"/>
    <row r="190956" customFormat="1" x14ac:dyDescent="0.25"/>
    <row r="190957" customFormat="1" x14ac:dyDescent="0.25"/>
    <row r="190958" customFormat="1" x14ac:dyDescent="0.25"/>
    <row r="190959" customFormat="1" x14ac:dyDescent="0.25"/>
    <row r="190960" customFormat="1" x14ac:dyDescent="0.25"/>
    <row r="190961" customFormat="1" x14ac:dyDescent="0.25"/>
    <row r="190962" customFormat="1" x14ac:dyDescent="0.25"/>
    <row r="190963" customFormat="1" x14ac:dyDescent="0.25"/>
    <row r="190964" customFormat="1" x14ac:dyDescent="0.25"/>
    <row r="190965" customFormat="1" x14ac:dyDescent="0.25"/>
    <row r="190966" customFormat="1" x14ac:dyDescent="0.25"/>
    <row r="190967" customFormat="1" x14ac:dyDescent="0.25"/>
    <row r="190968" customFormat="1" x14ac:dyDescent="0.25"/>
    <row r="190969" customFormat="1" x14ac:dyDescent="0.25"/>
    <row r="190970" customFormat="1" x14ac:dyDescent="0.25"/>
    <row r="190971" customFormat="1" x14ac:dyDescent="0.25"/>
    <row r="190972" customFormat="1" x14ac:dyDescent="0.25"/>
    <row r="190973" customFormat="1" x14ac:dyDescent="0.25"/>
    <row r="190974" customFormat="1" x14ac:dyDescent="0.25"/>
    <row r="190975" customFormat="1" x14ac:dyDescent="0.25"/>
    <row r="190976" customFormat="1" x14ac:dyDescent="0.25"/>
    <row r="190977" customFormat="1" x14ac:dyDescent="0.25"/>
    <row r="190978" customFormat="1" x14ac:dyDescent="0.25"/>
    <row r="190979" customFormat="1" x14ac:dyDescent="0.25"/>
    <row r="190980" customFormat="1" x14ac:dyDescent="0.25"/>
    <row r="190981" customFormat="1" x14ac:dyDescent="0.25"/>
    <row r="190982" customFormat="1" x14ac:dyDescent="0.25"/>
    <row r="190983" customFormat="1" x14ac:dyDescent="0.25"/>
    <row r="190984" customFormat="1" x14ac:dyDescent="0.25"/>
    <row r="190985" customFormat="1" x14ac:dyDescent="0.25"/>
    <row r="190986" customFormat="1" x14ac:dyDescent="0.25"/>
    <row r="190987" customFormat="1" x14ac:dyDescent="0.25"/>
    <row r="190988" customFormat="1" x14ac:dyDescent="0.25"/>
    <row r="190989" customFormat="1" x14ac:dyDescent="0.25"/>
    <row r="190990" customFormat="1" x14ac:dyDescent="0.25"/>
    <row r="190991" customFormat="1" x14ac:dyDescent="0.25"/>
    <row r="190992" customFormat="1" x14ac:dyDescent="0.25"/>
    <row r="190993" customFormat="1" x14ac:dyDescent="0.25"/>
    <row r="190994" customFormat="1" x14ac:dyDescent="0.25"/>
    <row r="190995" customFormat="1" x14ac:dyDescent="0.25"/>
    <row r="190996" customFormat="1" x14ac:dyDescent="0.25"/>
    <row r="190997" customFormat="1" x14ac:dyDescent="0.25"/>
    <row r="190998" customFormat="1" x14ac:dyDescent="0.25"/>
    <row r="190999" customFormat="1" x14ac:dyDescent="0.25"/>
    <row r="191000" customFormat="1" x14ac:dyDescent="0.25"/>
    <row r="191001" customFormat="1" x14ac:dyDescent="0.25"/>
    <row r="191002" customFormat="1" x14ac:dyDescent="0.25"/>
    <row r="191003" customFormat="1" x14ac:dyDescent="0.25"/>
    <row r="191004" customFormat="1" x14ac:dyDescent="0.25"/>
    <row r="191005" customFormat="1" x14ac:dyDescent="0.25"/>
    <row r="191006" customFormat="1" x14ac:dyDescent="0.25"/>
    <row r="191007" customFormat="1" x14ac:dyDescent="0.25"/>
    <row r="191008" customFormat="1" x14ac:dyDescent="0.25"/>
    <row r="191009" customFormat="1" x14ac:dyDescent="0.25"/>
    <row r="191010" customFormat="1" x14ac:dyDescent="0.25"/>
    <row r="191011" customFormat="1" x14ac:dyDescent="0.25"/>
    <row r="191012" customFormat="1" x14ac:dyDescent="0.25"/>
    <row r="191013" customFormat="1" x14ac:dyDescent="0.25"/>
    <row r="191014" customFormat="1" x14ac:dyDescent="0.25"/>
    <row r="191015" customFormat="1" x14ac:dyDescent="0.25"/>
    <row r="191016" customFormat="1" x14ac:dyDescent="0.25"/>
    <row r="191017" customFormat="1" x14ac:dyDescent="0.25"/>
    <row r="191018" customFormat="1" x14ac:dyDescent="0.25"/>
    <row r="191019" customFormat="1" x14ac:dyDescent="0.25"/>
    <row r="191020" customFormat="1" x14ac:dyDescent="0.25"/>
    <row r="191021" customFormat="1" x14ac:dyDescent="0.25"/>
    <row r="191022" customFormat="1" x14ac:dyDescent="0.25"/>
    <row r="191023" customFormat="1" x14ac:dyDescent="0.25"/>
    <row r="191024" customFormat="1" x14ac:dyDescent="0.25"/>
    <row r="191025" customFormat="1" x14ac:dyDescent="0.25"/>
    <row r="191026" customFormat="1" x14ac:dyDescent="0.25"/>
    <row r="191027" customFormat="1" x14ac:dyDescent="0.25"/>
    <row r="191028" customFormat="1" x14ac:dyDescent="0.25"/>
    <row r="191029" customFormat="1" x14ac:dyDescent="0.25"/>
    <row r="191030" customFormat="1" x14ac:dyDescent="0.25"/>
    <row r="191031" customFormat="1" x14ac:dyDescent="0.25"/>
    <row r="191032" customFormat="1" x14ac:dyDescent="0.25"/>
    <row r="191033" customFormat="1" x14ac:dyDescent="0.25"/>
    <row r="191034" customFormat="1" x14ac:dyDescent="0.25"/>
    <row r="191035" customFormat="1" x14ac:dyDescent="0.25"/>
    <row r="191036" customFormat="1" x14ac:dyDescent="0.25"/>
    <row r="191037" customFormat="1" x14ac:dyDescent="0.25"/>
    <row r="191038" customFormat="1" x14ac:dyDescent="0.25"/>
    <row r="191039" customFormat="1" x14ac:dyDescent="0.25"/>
    <row r="191040" customFormat="1" x14ac:dyDescent="0.25"/>
    <row r="191041" customFormat="1" x14ac:dyDescent="0.25"/>
    <row r="191042" customFormat="1" x14ac:dyDescent="0.25"/>
    <row r="191043" customFormat="1" x14ac:dyDescent="0.25"/>
    <row r="191044" customFormat="1" x14ac:dyDescent="0.25"/>
    <row r="191045" customFormat="1" x14ac:dyDescent="0.25"/>
    <row r="191046" customFormat="1" x14ac:dyDescent="0.25"/>
    <row r="191047" customFormat="1" x14ac:dyDescent="0.25"/>
    <row r="191048" customFormat="1" x14ac:dyDescent="0.25"/>
    <row r="191049" customFormat="1" x14ac:dyDescent="0.25"/>
    <row r="191050" customFormat="1" x14ac:dyDescent="0.25"/>
    <row r="191051" customFormat="1" x14ac:dyDescent="0.25"/>
    <row r="191052" customFormat="1" x14ac:dyDescent="0.25"/>
    <row r="191053" customFormat="1" x14ac:dyDescent="0.25"/>
    <row r="191054" customFormat="1" x14ac:dyDescent="0.25"/>
    <row r="191055" customFormat="1" x14ac:dyDescent="0.25"/>
    <row r="191056" customFormat="1" x14ac:dyDescent="0.25"/>
    <row r="191057" customFormat="1" x14ac:dyDescent="0.25"/>
    <row r="191058" customFormat="1" x14ac:dyDescent="0.25"/>
    <row r="191059" customFormat="1" x14ac:dyDescent="0.25"/>
    <row r="191060" customFormat="1" x14ac:dyDescent="0.25"/>
    <row r="191061" customFormat="1" x14ac:dyDescent="0.25"/>
    <row r="191062" customFormat="1" x14ac:dyDescent="0.25"/>
    <row r="191063" customFormat="1" x14ac:dyDescent="0.25"/>
    <row r="191064" customFormat="1" x14ac:dyDescent="0.25"/>
    <row r="191065" customFormat="1" x14ac:dyDescent="0.25"/>
    <row r="191066" customFormat="1" x14ac:dyDescent="0.25"/>
    <row r="191067" customFormat="1" x14ac:dyDescent="0.25"/>
    <row r="191068" customFormat="1" x14ac:dyDescent="0.25"/>
    <row r="191069" customFormat="1" x14ac:dyDescent="0.25"/>
    <row r="191070" customFormat="1" x14ac:dyDescent="0.25"/>
    <row r="191071" customFormat="1" x14ac:dyDescent="0.25"/>
    <row r="191072" customFormat="1" x14ac:dyDescent="0.25"/>
    <row r="191073" customFormat="1" x14ac:dyDescent="0.25"/>
    <row r="191074" customFormat="1" x14ac:dyDescent="0.25"/>
    <row r="191075" customFormat="1" x14ac:dyDescent="0.25"/>
    <row r="191076" customFormat="1" x14ac:dyDescent="0.25"/>
    <row r="191077" customFormat="1" x14ac:dyDescent="0.25"/>
    <row r="191078" customFormat="1" x14ac:dyDescent="0.25"/>
    <row r="191079" customFormat="1" x14ac:dyDescent="0.25"/>
    <row r="191080" customFormat="1" x14ac:dyDescent="0.25"/>
    <row r="191081" customFormat="1" x14ac:dyDescent="0.25"/>
    <row r="191082" customFormat="1" x14ac:dyDescent="0.25"/>
    <row r="191083" customFormat="1" x14ac:dyDescent="0.25"/>
    <row r="191084" customFormat="1" x14ac:dyDescent="0.25"/>
    <row r="191085" customFormat="1" x14ac:dyDescent="0.25"/>
    <row r="191086" customFormat="1" x14ac:dyDescent="0.25"/>
    <row r="191087" customFormat="1" x14ac:dyDescent="0.25"/>
    <row r="191088" customFormat="1" x14ac:dyDescent="0.25"/>
    <row r="191089" customFormat="1" x14ac:dyDescent="0.25"/>
    <row r="191090" customFormat="1" x14ac:dyDescent="0.25"/>
    <row r="191091" customFormat="1" x14ac:dyDescent="0.25"/>
    <row r="191092" customFormat="1" x14ac:dyDescent="0.25"/>
    <row r="191093" customFormat="1" x14ac:dyDescent="0.25"/>
    <row r="191094" customFormat="1" x14ac:dyDescent="0.25"/>
    <row r="191095" customFormat="1" x14ac:dyDescent="0.25"/>
    <row r="191096" customFormat="1" x14ac:dyDescent="0.25"/>
    <row r="191097" customFormat="1" x14ac:dyDescent="0.25"/>
    <row r="191098" customFormat="1" x14ac:dyDescent="0.25"/>
    <row r="191099" customFormat="1" x14ac:dyDescent="0.25"/>
    <row r="191100" customFormat="1" x14ac:dyDescent="0.25"/>
    <row r="191101" customFormat="1" x14ac:dyDescent="0.25"/>
    <row r="191102" customFormat="1" x14ac:dyDescent="0.25"/>
    <row r="191103" customFormat="1" x14ac:dyDescent="0.25"/>
    <row r="191104" customFormat="1" x14ac:dyDescent="0.25"/>
    <row r="191105" customFormat="1" x14ac:dyDescent="0.25"/>
    <row r="191106" customFormat="1" x14ac:dyDescent="0.25"/>
    <row r="191107" customFormat="1" x14ac:dyDescent="0.25"/>
    <row r="191108" customFormat="1" x14ac:dyDescent="0.25"/>
    <row r="191109" customFormat="1" x14ac:dyDescent="0.25"/>
    <row r="191110" customFormat="1" x14ac:dyDescent="0.25"/>
    <row r="191111" customFormat="1" x14ac:dyDescent="0.25"/>
    <row r="191112" customFormat="1" x14ac:dyDescent="0.25"/>
    <row r="191113" customFormat="1" x14ac:dyDescent="0.25"/>
    <row r="191114" customFormat="1" x14ac:dyDescent="0.25"/>
    <row r="191115" customFormat="1" x14ac:dyDescent="0.25"/>
    <row r="191116" customFormat="1" x14ac:dyDescent="0.25"/>
    <row r="191117" customFormat="1" x14ac:dyDescent="0.25"/>
    <row r="191118" customFormat="1" x14ac:dyDescent="0.25"/>
    <row r="191119" customFormat="1" x14ac:dyDescent="0.25"/>
    <row r="191120" customFormat="1" x14ac:dyDescent="0.25"/>
    <row r="191121" customFormat="1" x14ac:dyDescent="0.25"/>
    <row r="191122" customFormat="1" x14ac:dyDescent="0.25"/>
    <row r="191123" customFormat="1" x14ac:dyDescent="0.25"/>
    <row r="191124" customFormat="1" x14ac:dyDescent="0.25"/>
    <row r="191125" customFormat="1" x14ac:dyDescent="0.25"/>
    <row r="191126" customFormat="1" x14ac:dyDescent="0.25"/>
    <row r="191127" customFormat="1" x14ac:dyDescent="0.25"/>
    <row r="191128" customFormat="1" x14ac:dyDescent="0.25"/>
    <row r="191129" customFormat="1" x14ac:dyDescent="0.25"/>
    <row r="191130" customFormat="1" x14ac:dyDescent="0.25"/>
    <row r="191131" customFormat="1" x14ac:dyDescent="0.25"/>
    <row r="191132" customFormat="1" x14ac:dyDescent="0.25"/>
    <row r="191133" customFormat="1" x14ac:dyDescent="0.25"/>
    <row r="191134" customFormat="1" x14ac:dyDescent="0.25"/>
    <row r="191135" customFormat="1" x14ac:dyDescent="0.25"/>
    <row r="191136" customFormat="1" x14ac:dyDescent="0.25"/>
    <row r="191137" customFormat="1" x14ac:dyDescent="0.25"/>
    <row r="191138" customFormat="1" x14ac:dyDescent="0.25"/>
    <row r="191139" customFormat="1" x14ac:dyDescent="0.25"/>
    <row r="191140" customFormat="1" x14ac:dyDescent="0.25"/>
    <row r="191141" customFormat="1" x14ac:dyDescent="0.25"/>
    <row r="191142" customFormat="1" x14ac:dyDescent="0.25"/>
    <row r="191143" customFormat="1" x14ac:dyDescent="0.25"/>
    <row r="191144" customFormat="1" x14ac:dyDescent="0.25"/>
    <row r="191145" customFormat="1" x14ac:dyDescent="0.25"/>
    <row r="191146" customFormat="1" x14ac:dyDescent="0.25"/>
    <row r="191147" customFormat="1" x14ac:dyDescent="0.25"/>
    <row r="191148" customFormat="1" x14ac:dyDescent="0.25"/>
    <row r="191149" customFormat="1" x14ac:dyDescent="0.25"/>
    <row r="191150" customFormat="1" x14ac:dyDescent="0.25"/>
    <row r="191151" customFormat="1" x14ac:dyDescent="0.25"/>
    <row r="191152" customFormat="1" x14ac:dyDescent="0.25"/>
    <row r="191153" customFormat="1" x14ac:dyDescent="0.25"/>
    <row r="191154" customFormat="1" x14ac:dyDescent="0.25"/>
    <row r="191155" customFormat="1" x14ac:dyDescent="0.25"/>
    <row r="191156" customFormat="1" x14ac:dyDescent="0.25"/>
    <row r="191157" customFormat="1" x14ac:dyDescent="0.25"/>
    <row r="191158" customFormat="1" x14ac:dyDescent="0.25"/>
    <row r="191159" customFormat="1" x14ac:dyDescent="0.25"/>
    <row r="191160" customFormat="1" x14ac:dyDescent="0.25"/>
    <row r="191161" customFormat="1" x14ac:dyDescent="0.25"/>
    <row r="191162" customFormat="1" x14ac:dyDescent="0.25"/>
    <row r="191163" customFormat="1" x14ac:dyDescent="0.25"/>
    <row r="191164" customFormat="1" x14ac:dyDescent="0.25"/>
    <row r="191165" customFormat="1" x14ac:dyDescent="0.25"/>
    <row r="191166" customFormat="1" x14ac:dyDescent="0.25"/>
    <row r="191167" customFormat="1" x14ac:dyDescent="0.25"/>
    <row r="191168" customFormat="1" x14ac:dyDescent="0.25"/>
    <row r="191169" customFormat="1" x14ac:dyDescent="0.25"/>
    <row r="191170" customFormat="1" x14ac:dyDescent="0.25"/>
    <row r="191171" customFormat="1" x14ac:dyDescent="0.25"/>
    <row r="191172" customFormat="1" x14ac:dyDescent="0.25"/>
    <row r="191173" customFormat="1" x14ac:dyDescent="0.25"/>
    <row r="191174" customFormat="1" x14ac:dyDescent="0.25"/>
    <row r="191175" customFormat="1" x14ac:dyDescent="0.25"/>
    <row r="191176" customFormat="1" x14ac:dyDescent="0.25"/>
    <row r="191177" customFormat="1" x14ac:dyDescent="0.25"/>
    <row r="191178" customFormat="1" x14ac:dyDescent="0.25"/>
    <row r="191179" customFormat="1" x14ac:dyDescent="0.25"/>
    <row r="191180" customFormat="1" x14ac:dyDescent="0.25"/>
    <row r="191181" customFormat="1" x14ac:dyDescent="0.25"/>
    <row r="191182" customFormat="1" x14ac:dyDescent="0.25"/>
    <row r="191183" customFormat="1" x14ac:dyDescent="0.25"/>
    <row r="191184" customFormat="1" x14ac:dyDescent="0.25"/>
    <row r="191185" customFormat="1" x14ac:dyDescent="0.25"/>
    <row r="191186" customFormat="1" x14ac:dyDescent="0.25"/>
    <row r="191187" customFormat="1" x14ac:dyDescent="0.25"/>
    <row r="191188" customFormat="1" x14ac:dyDescent="0.25"/>
    <row r="191189" customFormat="1" x14ac:dyDescent="0.25"/>
    <row r="191190" customFormat="1" x14ac:dyDescent="0.25"/>
    <row r="191191" customFormat="1" x14ac:dyDescent="0.25"/>
    <row r="191192" customFormat="1" x14ac:dyDescent="0.25"/>
    <row r="191193" customFormat="1" x14ac:dyDescent="0.25"/>
    <row r="191194" customFormat="1" x14ac:dyDescent="0.25"/>
    <row r="191195" customFormat="1" x14ac:dyDescent="0.25"/>
    <row r="191196" customFormat="1" x14ac:dyDescent="0.25"/>
    <row r="191197" customFormat="1" x14ac:dyDescent="0.25"/>
    <row r="191198" customFormat="1" x14ac:dyDescent="0.25"/>
    <row r="191199" customFormat="1" x14ac:dyDescent="0.25"/>
    <row r="191200" customFormat="1" x14ac:dyDescent="0.25"/>
    <row r="191201" customFormat="1" x14ac:dyDescent="0.25"/>
    <row r="191202" customFormat="1" x14ac:dyDescent="0.25"/>
    <row r="191203" customFormat="1" x14ac:dyDescent="0.25"/>
    <row r="191204" customFormat="1" x14ac:dyDescent="0.25"/>
    <row r="191205" customFormat="1" x14ac:dyDescent="0.25"/>
    <row r="191206" customFormat="1" x14ac:dyDescent="0.25"/>
    <row r="191207" customFormat="1" x14ac:dyDescent="0.25"/>
    <row r="191208" customFormat="1" x14ac:dyDescent="0.25"/>
    <row r="191209" customFormat="1" x14ac:dyDescent="0.25"/>
    <row r="191210" customFormat="1" x14ac:dyDescent="0.25"/>
    <row r="191211" customFormat="1" x14ac:dyDescent="0.25"/>
    <row r="191212" customFormat="1" x14ac:dyDescent="0.25"/>
    <row r="191213" customFormat="1" x14ac:dyDescent="0.25"/>
    <row r="191214" customFormat="1" x14ac:dyDescent="0.25"/>
    <row r="191215" customFormat="1" x14ac:dyDescent="0.25"/>
    <row r="191216" customFormat="1" x14ac:dyDescent="0.25"/>
    <row r="191217" customFormat="1" x14ac:dyDescent="0.25"/>
    <row r="191218" customFormat="1" x14ac:dyDescent="0.25"/>
    <row r="191219" customFormat="1" x14ac:dyDescent="0.25"/>
    <row r="191220" customFormat="1" x14ac:dyDescent="0.25"/>
    <row r="191221" customFormat="1" x14ac:dyDescent="0.25"/>
    <row r="191222" customFormat="1" x14ac:dyDescent="0.25"/>
    <row r="191223" customFormat="1" x14ac:dyDescent="0.25"/>
    <row r="191224" customFormat="1" x14ac:dyDescent="0.25"/>
    <row r="191225" customFormat="1" x14ac:dyDescent="0.25"/>
    <row r="191226" customFormat="1" x14ac:dyDescent="0.25"/>
    <row r="191227" customFormat="1" x14ac:dyDescent="0.25"/>
    <row r="191228" customFormat="1" x14ac:dyDescent="0.25"/>
    <row r="191229" customFormat="1" x14ac:dyDescent="0.25"/>
    <row r="191230" customFormat="1" x14ac:dyDescent="0.25"/>
    <row r="191231" customFormat="1" x14ac:dyDescent="0.25"/>
    <row r="191232" customFormat="1" x14ac:dyDescent="0.25"/>
    <row r="191233" customFormat="1" x14ac:dyDescent="0.25"/>
    <row r="191234" customFormat="1" x14ac:dyDescent="0.25"/>
    <row r="191235" customFormat="1" x14ac:dyDescent="0.25"/>
    <row r="191236" customFormat="1" x14ac:dyDescent="0.25"/>
    <row r="191237" customFormat="1" x14ac:dyDescent="0.25"/>
    <row r="191238" customFormat="1" x14ac:dyDescent="0.25"/>
    <row r="191239" customFormat="1" x14ac:dyDescent="0.25"/>
    <row r="191240" customFormat="1" x14ac:dyDescent="0.25"/>
    <row r="191241" customFormat="1" x14ac:dyDescent="0.25"/>
    <row r="191242" customFormat="1" x14ac:dyDescent="0.25"/>
    <row r="191243" customFormat="1" x14ac:dyDescent="0.25"/>
    <row r="191244" customFormat="1" x14ac:dyDescent="0.25"/>
    <row r="191245" customFormat="1" x14ac:dyDescent="0.25"/>
    <row r="191246" customFormat="1" x14ac:dyDescent="0.25"/>
    <row r="191247" customFormat="1" x14ac:dyDescent="0.25"/>
    <row r="191248" customFormat="1" x14ac:dyDescent="0.25"/>
    <row r="191249" customFormat="1" x14ac:dyDescent="0.25"/>
    <row r="191250" customFormat="1" x14ac:dyDescent="0.25"/>
    <row r="191251" customFormat="1" x14ac:dyDescent="0.25"/>
    <row r="191252" customFormat="1" x14ac:dyDescent="0.25"/>
    <row r="191253" customFormat="1" x14ac:dyDescent="0.25"/>
    <row r="191254" customFormat="1" x14ac:dyDescent="0.25"/>
    <row r="191255" customFormat="1" x14ac:dyDescent="0.25"/>
    <row r="191256" customFormat="1" x14ac:dyDescent="0.25"/>
    <row r="191257" customFormat="1" x14ac:dyDescent="0.25"/>
    <row r="191258" customFormat="1" x14ac:dyDescent="0.25"/>
    <row r="191259" customFormat="1" x14ac:dyDescent="0.25"/>
    <row r="191260" customFormat="1" x14ac:dyDescent="0.25"/>
    <row r="191261" customFormat="1" x14ac:dyDescent="0.25"/>
    <row r="191262" customFormat="1" x14ac:dyDescent="0.25"/>
    <row r="191263" customFormat="1" x14ac:dyDescent="0.25"/>
    <row r="191264" customFormat="1" x14ac:dyDescent="0.25"/>
    <row r="191265" customFormat="1" x14ac:dyDescent="0.25"/>
    <row r="191266" customFormat="1" x14ac:dyDescent="0.25"/>
    <row r="191267" customFormat="1" x14ac:dyDescent="0.25"/>
    <row r="191268" customFormat="1" x14ac:dyDescent="0.25"/>
    <row r="191269" customFormat="1" x14ac:dyDescent="0.25"/>
    <row r="191270" customFormat="1" x14ac:dyDescent="0.25"/>
    <row r="191271" customFormat="1" x14ac:dyDescent="0.25"/>
    <row r="191272" customFormat="1" x14ac:dyDescent="0.25"/>
    <row r="191273" customFormat="1" x14ac:dyDescent="0.25"/>
    <row r="191274" customFormat="1" x14ac:dyDescent="0.25"/>
    <row r="191275" customFormat="1" x14ac:dyDescent="0.25"/>
    <row r="191276" customFormat="1" x14ac:dyDescent="0.25"/>
    <row r="191277" customFormat="1" x14ac:dyDescent="0.25"/>
    <row r="191278" customFormat="1" x14ac:dyDescent="0.25"/>
    <row r="191279" customFormat="1" x14ac:dyDescent="0.25"/>
    <row r="191280" customFormat="1" x14ac:dyDescent="0.25"/>
    <row r="191281" customFormat="1" x14ac:dyDescent="0.25"/>
    <row r="191282" customFormat="1" x14ac:dyDescent="0.25"/>
    <row r="191283" customFormat="1" x14ac:dyDescent="0.25"/>
    <row r="191284" customFormat="1" x14ac:dyDescent="0.25"/>
    <row r="191285" customFormat="1" x14ac:dyDescent="0.25"/>
    <row r="191286" customFormat="1" x14ac:dyDescent="0.25"/>
    <row r="191287" customFormat="1" x14ac:dyDescent="0.25"/>
    <row r="191288" customFormat="1" x14ac:dyDescent="0.25"/>
    <row r="191289" customFormat="1" x14ac:dyDescent="0.25"/>
    <row r="191290" customFormat="1" x14ac:dyDescent="0.25"/>
    <row r="191291" customFormat="1" x14ac:dyDescent="0.25"/>
    <row r="191292" customFormat="1" x14ac:dyDescent="0.25"/>
    <row r="191293" customFormat="1" x14ac:dyDescent="0.25"/>
    <row r="191294" customFormat="1" x14ac:dyDescent="0.25"/>
    <row r="191295" customFormat="1" x14ac:dyDescent="0.25"/>
    <row r="191296" customFormat="1" x14ac:dyDescent="0.25"/>
    <row r="191297" customFormat="1" x14ac:dyDescent="0.25"/>
    <row r="191298" customFormat="1" x14ac:dyDescent="0.25"/>
    <row r="191299" customFormat="1" x14ac:dyDescent="0.25"/>
    <row r="191300" customFormat="1" x14ac:dyDescent="0.25"/>
    <row r="191301" customFormat="1" x14ac:dyDescent="0.25"/>
    <row r="191302" customFormat="1" x14ac:dyDescent="0.25"/>
    <row r="191303" customFormat="1" x14ac:dyDescent="0.25"/>
    <row r="191304" customFormat="1" x14ac:dyDescent="0.25"/>
    <row r="191305" customFormat="1" x14ac:dyDescent="0.25"/>
    <row r="191306" customFormat="1" x14ac:dyDescent="0.25"/>
    <row r="191307" customFormat="1" x14ac:dyDescent="0.25"/>
    <row r="191308" customFormat="1" x14ac:dyDescent="0.25"/>
    <row r="191309" customFormat="1" x14ac:dyDescent="0.25"/>
    <row r="191310" customFormat="1" x14ac:dyDescent="0.25"/>
    <row r="191311" customFormat="1" x14ac:dyDescent="0.25"/>
    <row r="191312" customFormat="1" x14ac:dyDescent="0.25"/>
    <row r="191313" customFormat="1" x14ac:dyDescent="0.25"/>
    <row r="191314" customFormat="1" x14ac:dyDescent="0.25"/>
    <row r="191315" customFormat="1" x14ac:dyDescent="0.25"/>
    <row r="191316" customFormat="1" x14ac:dyDescent="0.25"/>
    <row r="191317" customFormat="1" x14ac:dyDescent="0.25"/>
    <row r="191318" customFormat="1" x14ac:dyDescent="0.25"/>
    <row r="191319" customFormat="1" x14ac:dyDescent="0.25"/>
    <row r="191320" customFormat="1" x14ac:dyDescent="0.25"/>
    <row r="191321" customFormat="1" x14ac:dyDescent="0.25"/>
    <row r="191322" customFormat="1" x14ac:dyDescent="0.25"/>
    <row r="191323" customFormat="1" x14ac:dyDescent="0.25"/>
    <row r="191324" customFormat="1" x14ac:dyDescent="0.25"/>
    <row r="191325" customFormat="1" x14ac:dyDescent="0.25"/>
    <row r="191326" customFormat="1" x14ac:dyDescent="0.25"/>
    <row r="191327" customFormat="1" x14ac:dyDescent="0.25"/>
    <row r="191328" customFormat="1" x14ac:dyDescent="0.25"/>
    <row r="191329" customFormat="1" x14ac:dyDescent="0.25"/>
    <row r="191330" customFormat="1" x14ac:dyDescent="0.25"/>
    <row r="191331" customFormat="1" x14ac:dyDescent="0.25"/>
    <row r="191332" customFormat="1" x14ac:dyDescent="0.25"/>
    <row r="191333" customFormat="1" x14ac:dyDescent="0.25"/>
    <row r="191334" customFormat="1" x14ac:dyDescent="0.25"/>
    <row r="191335" customFormat="1" x14ac:dyDescent="0.25"/>
    <row r="191336" customFormat="1" x14ac:dyDescent="0.25"/>
    <row r="191337" customFormat="1" x14ac:dyDescent="0.25"/>
    <row r="191338" customFormat="1" x14ac:dyDescent="0.25"/>
    <row r="191339" customFormat="1" x14ac:dyDescent="0.25"/>
    <row r="191340" customFormat="1" x14ac:dyDescent="0.25"/>
    <row r="191341" customFormat="1" x14ac:dyDescent="0.25"/>
    <row r="191342" customFormat="1" x14ac:dyDescent="0.25"/>
    <row r="191343" customFormat="1" x14ac:dyDescent="0.25"/>
    <row r="191344" customFormat="1" x14ac:dyDescent="0.25"/>
    <row r="191345" customFormat="1" x14ac:dyDescent="0.25"/>
    <row r="191346" customFormat="1" x14ac:dyDescent="0.25"/>
    <row r="191347" customFormat="1" x14ac:dyDescent="0.25"/>
    <row r="191348" customFormat="1" x14ac:dyDescent="0.25"/>
    <row r="191349" customFormat="1" x14ac:dyDescent="0.25"/>
    <row r="191350" customFormat="1" x14ac:dyDescent="0.25"/>
    <row r="191351" customFormat="1" x14ac:dyDescent="0.25"/>
    <row r="191352" customFormat="1" x14ac:dyDescent="0.25"/>
    <row r="191353" customFormat="1" x14ac:dyDescent="0.25"/>
    <row r="191354" customFormat="1" x14ac:dyDescent="0.25"/>
    <row r="191355" customFormat="1" x14ac:dyDescent="0.25"/>
    <row r="191356" customFormat="1" x14ac:dyDescent="0.25"/>
    <row r="191357" customFormat="1" x14ac:dyDescent="0.25"/>
    <row r="191358" customFormat="1" x14ac:dyDescent="0.25"/>
    <row r="191359" customFormat="1" x14ac:dyDescent="0.25"/>
    <row r="191360" customFormat="1" x14ac:dyDescent="0.25"/>
    <row r="191361" customFormat="1" x14ac:dyDescent="0.25"/>
    <row r="191362" customFormat="1" x14ac:dyDescent="0.25"/>
    <row r="191363" customFormat="1" x14ac:dyDescent="0.25"/>
    <row r="191364" customFormat="1" x14ac:dyDescent="0.25"/>
    <row r="191365" customFormat="1" x14ac:dyDescent="0.25"/>
    <row r="191366" customFormat="1" x14ac:dyDescent="0.25"/>
    <row r="191367" customFormat="1" x14ac:dyDescent="0.25"/>
    <row r="191368" customFormat="1" x14ac:dyDescent="0.25"/>
    <row r="191369" customFormat="1" x14ac:dyDescent="0.25"/>
    <row r="191370" customFormat="1" x14ac:dyDescent="0.25"/>
    <row r="191371" customFormat="1" x14ac:dyDescent="0.25"/>
    <row r="191372" customFormat="1" x14ac:dyDescent="0.25"/>
    <row r="191373" customFormat="1" x14ac:dyDescent="0.25"/>
    <row r="191374" customFormat="1" x14ac:dyDescent="0.25"/>
    <row r="191375" customFormat="1" x14ac:dyDescent="0.25"/>
    <row r="191376" customFormat="1" x14ac:dyDescent="0.25"/>
    <row r="191377" customFormat="1" x14ac:dyDescent="0.25"/>
    <row r="191378" customFormat="1" x14ac:dyDescent="0.25"/>
    <row r="191379" customFormat="1" x14ac:dyDescent="0.25"/>
    <row r="191380" customFormat="1" x14ac:dyDescent="0.25"/>
    <row r="191381" customFormat="1" x14ac:dyDescent="0.25"/>
    <row r="191382" customFormat="1" x14ac:dyDescent="0.25"/>
    <row r="191383" customFormat="1" x14ac:dyDescent="0.25"/>
    <row r="191384" customFormat="1" x14ac:dyDescent="0.25"/>
    <row r="191385" customFormat="1" x14ac:dyDescent="0.25"/>
    <row r="191386" customFormat="1" x14ac:dyDescent="0.25"/>
    <row r="191387" customFormat="1" x14ac:dyDescent="0.25"/>
    <row r="191388" customFormat="1" x14ac:dyDescent="0.25"/>
    <row r="191389" customFormat="1" x14ac:dyDescent="0.25"/>
    <row r="191390" customFormat="1" x14ac:dyDescent="0.25"/>
    <row r="191391" customFormat="1" x14ac:dyDescent="0.25"/>
    <row r="191392" customFormat="1" x14ac:dyDescent="0.25"/>
    <row r="191393" customFormat="1" x14ac:dyDescent="0.25"/>
    <row r="191394" customFormat="1" x14ac:dyDescent="0.25"/>
    <row r="191395" customFormat="1" x14ac:dyDescent="0.25"/>
    <row r="191396" customFormat="1" x14ac:dyDescent="0.25"/>
    <row r="191397" customFormat="1" x14ac:dyDescent="0.25"/>
    <row r="191398" customFormat="1" x14ac:dyDescent="0.25"/>
    <row r="191399" customFormat="1" x14ac:dyDescent="0.25"/>
    <row r="191400" customFormat="1" x14ac:dyDescent="0.25"/>
    <row r="191401" customFormat="1" x14ac:dyDescent="0.25"/>
    <row r="191402" customFormat="1" x14ac:dyDescent="0.25"/>
    <row r="191403" customFormat="1" x14ac:dyDescent="0.25"/>
    <row r="191404" customFormat="1" x14ac:dyDescent="0.25"/>
    <row r="191405" customFormat="1" x14ac:dyDescent="0.25"/>
    <row r="191406" customFormat="1" x14ac:dyDescent="0.25"/>
    <row r="191407" customFormat="1" x14ac:dyDescent="0.25"/>
    <row r="191408" customFormat="1" x14ac:dyDescent="0.25"/>
    <row r="191409" customFormat="1" x14ac:dyDescent="0.25"/>
    <row r="191410" customFormat="1" x14ac:dyDescent="0.25"/>
    <row r="191411" customFormat="1" x14ac:dyDescent="0.25"/>
    <row r="191412" customFormat="1" x14ac:dyDescent="0.25"/>
    <row r="191413" customFormat="1" x14ac:dyDescent="0.25"/>
    <row r="191414" customFormat="1" x14ac:dyDescent="0.25"/>
    <row r="191415" customFormat="1" x14ac:dyDescent="0.25"/>
    <row r="191416" customFormat="1" x14ac:dyDescent="0.25"/>
    <row r="191417" customFormat="1" x14ac:dyDescent="0.25"/>
    <row r="191418" customFormat="1" x14ac:dyDescent="0.25"/>
    <row r="191419" customFormat="1" x14ac:dyDescent="0.25"/>
    <row r="191420" customFormat="1" x14ac:dyDescent="0.25"/>
    <row r="191421" customFormat="1" x14ac:dyDescent="0.25"/>
    <row r="191422" customFormat="1" x14ac:dyDescent="0.25"/>
    <row r="191423" customFormat="1" x14ac:dyDescent="0.25"/>
    <row r="191424" customFormat="1" x14ac:dyDescent="0.25"/>
    <row r="191425" customFormat="1" x14ac:dyDescent="0.25"/>
    <row r="191426" customFormat="1" x14ac:dyDescent="0.25"/>
    <row r="191427" customFormat="1" x14ac:dyDescent="0.25"/>
    <row r="191428" customFormat="1" x14ac:dyDescent="0.25"/>
    <row r="191429" customFormat="1" x14ac:dyDescent="0.25"/>
    <row r="191430" customFormat="1" x14ac:dyDescent="0.25"/>
    <row r="191431" customFormat="1" x14ac:dyDescent="0.25"/>
    <row r="191432" customFormat="1" x14ac:dyDescent="0.25"/>
    <row r="191433" customFormat="1" x14ac:dyDescent="0.25"/>
    <row r="191434" customFormat="1" x14ac:dyDescent="0.25"/>
    <row r="191435" customFormat="1" x14ac:dyDescent="0.25"/>
    <row r="191436" customFormat="1" x14ac:dyDescent="0.25"/>
    <row r="191437" customFormat="1" x14ac:dyDescent="0.25"/>
    <row r="191438" customFormat="1" x14ac:dyDescent="0.25"/>
    <row r="191439" customFormat="1" x14ac:dyDescent="0.25"/>
    <row r="191440" customFormat="1" x14ac:dyDescent="0.25"/>
    <row r="191441" customFormat="1" x14ac:dyDescent="0.25"/>
    <row r="191442" customFormat="1" x14ac:dyDescent="0.25"/>
    <row r="191443" customFormat="1" x14ac:dyDescent="0.25"/>
    <row r="191444" customFormat="1" x14ac:dyDescent="0.25"/>
    <row r="191445" customFormat="1" x14ac:dyDescent="0.25"/>
    <row r="191446" customFormat="1" x14ac:dyDescent="0.25"/>
    <row r="191447" customFormat="1" x14ac:dyDescent="0.25"/>
    <row r="191448" customFormat="1" x14ac:dyDescent="0.25"/>
    <row r="191449" customFormat="1" x14ac:dyDescent="0.25"/>
    <row r="191450" customFormat="1" x14ac:dyDescent="0.25"/>
    <row r="191451" customFormat="1" x14ac:dyDescent="0.25"/>
    <row r="191452" customFormat="1" x14ac:dyDescent="0.25"/>
    <row r="191453" customFormat="1" x14ac:dyDescent="0.25"/>
    <row r="191454" customFormat="1" x14ac:dyDescent="0.25"/>
    <row r="191455" customFormat="1" x14ac:dyDescent="0.25"/>
    <row r="191456" customFormat="1" x14ac:dyDescent="0.25"/>
    <row r="191457" customFormat="1" x14ac:dyDescent="0.25"/>
    <row r="191458" customFormat="1" x14ac:dyDescent="0.25"/>
    <row r="191459" customFormat="1" x14ac:dyDescent="0.25"/>
    <row r="191460" customFormat="1" x14ac:dyDescent="0.25"/>
    <row r="191461" customFormat="1" x14ac:dyDescent="0.25"/>
    <row r="191462" customFormat="1" x14ac:dyDescent="0.25"/>
    <row r="191463" customFormat="1" x14ac:dyDescent="0.25"/>
    <row r="191464" customFormat="1" x14ac:dyDescent="0.25"/>
    <row r="191465" customFormat="1" x14ac:dyDescent="0.25"/>
    <row r="191466" customFormat="1" x14ac:dyDescent="0.25"/>
    <row r="191467" customFormat="1" x14ac:dyDescent="0.25"/>
    <row r="191468" customFormat="1" x14ac:dyDescent="0.25"/>
    <row r="191469" customFormat="1" x14ac:dyDescent="0.25"/>
    <row r="191470" customFormat="1" x14ac:dyDescent="0.25"/>
    <row r="191471" customFormat="1" x14ac:dyDescent="0.25"/>
    <row r="191472" customFormat="1" x14ac:dyDescent="0.25"/>
    <row r="191473" customFormat="1" x14ac:dyDescent="0.25"/>
    <row r="191474" customFormat="1" x14ac:dyDescent="0.25"/>
    <row r="191475" customFormat="1" x14ac:dyDescent="0.25"/>
    <row r="191476" customFormat="1" x14ac:dyDescent="0.25"/>
    <row r="191477" customFormat="1" x14ac:dyDescent="0.25"/>
    <row r="191478" customFormat="1" x14ac:dyDescent="0.25"/>
    <row r="191479" customFormat="1" x14ac:dyDescent="0.25"/>
    <row r="191480" customFormat="1" x14ac:dyDescent="0.25"/>
    <row r="191481" customFormat="1" x14ac:dyDescent="0.25"/>
    <row r="191482" customFormat="1" x14ac:dyDescent="0.25"/>
    <row r="191483" customFormat="1" x14ac:dyDescent="0.25"/>
    <row r="191484" customFormat="1" x14ac:dyDescent="0.25"/>
    <row r="191485" customFormat="1" x14ac:dyDescent="0.25"/>
    <row r="191486" customFormat="1" x14ac:dyDescent="0.25"/>
    <row r="191487" customFormat="1" x14ac:dyDescent="0.25"/>
    <row r="191488" customFormat="1" x14ac:dyDescent="0.25"/>
    <row r="191489" customFormat="1" x14ac:dyDescent="0.25"/>
    <row r="191490" customFormat="1" x14ac:dyDescent="0.25"/>
    <row r="191491" customFormat="1" x14ac:dyDescent="0.25"/>
    <row r="191492" customFormat="1" x14ac:dyDescent="0.25"/>
    <row r="191493" customFormat="1" x14ac:dyDescent="0.25"/>
    <row r="191494" customFormat="1" x14ac:dyDescent="0.25"/>
    <row r="191495" customFormat="1" x14ac:dyDescent="0.25"/>
    <row r="191496" customFormat="1" x14ac:dyDescent="0.25"/>
    <row r="191497" customFormat="1" x14ac:dyDescent="0.25"/>
    <row r="191498" customFormat="1" x14ac:dyDescent="0.25"/>
    <row r="191499" customFormat="1" x14ac:dyDescent="0.25"/>
    <row r="191500" customFormat="1" x14ac:dyDescent="0.25"/>
    <row r="191501" customFormat="1" x14ac:dyDescent="0.25"/>
    <row r="191502" customFormat="1" x14ac:dyDescent="0.25"/>
    <row r="191503" customFormat="1" x14ac:dyDescent="0.25"/>
    <row r="191504" customFormat="1" x14ac:dyDescent="0.25"/>
    <row r="191505" customFormat="1" x14ac:dyDescent="0.25"/>
    <row r="191506" customFormat="1" x14ac:dyDescent="0.25"/>
    <row r="191507" customFormat="1" x14ac:dyDescent="0.25"/>
    <row r="191508" customFormat="1" x14ac:dyDescent="0.25"/>
    <row r="191509" customFormat="1" x14ac:dyDescent="0.25"/>
    <row r="191510" customFormat="1" x14ac:dyDescent="0.25"/>
    <row r="191511" customFormat="1" x14ac:dyDescent="0.25"/>
    <row r="191512" customFormat="1" x14ac:dyDescent="0.25"/>
    <row r="191513" customFormat="1" x14ac:dyDescent="0.25"/>
    <row r="191514" customFormat="1" x14ac:dyDescent="0.25"/>
    <row r="191515" customFormat="1" x14ac:dyDescent="0.25"/>
    <row r="191516" customFormat="1" x14ac:dyDescent="0.25"/>
    <row r="191517" customFormat="1" x14ac:dyDescent="0.25"/>
    <row r="191518" customFormat="1" x14ac:dyDescent="0.25"/>
    <row r="191519" customFormat="1" x14ac:dyDescent="0.25"/>
    <row r="191520" customFormat="1" x14ac:dyDescent="0.25"/>
    <row r="191521" customFormat="1" x14ac:dyDescent="0.25"/>
    <row r="191522" customFormat="1" x14ac:dyDescent="0.25"/>
    <row r="191523" customFormat="1" x14ac:dyDescent="0.25"/>
    <row r="191524" customFormat="1" x14ac:dyDescent="0.25"/>
    <row r="191525" customFormat="1" x14ac:dyDescent="0.25"/>
    <row r="191526" customFormat="1" x14ac:dyDescent="0.25"/>
    <row r="191527" customFormat="1" x14ac:dyDescent="0.25"/>
    <row r="191528" customFormat="1" x14ac:dyDescent="0.25"/>
    <row r="191529" customFormat="1" x14ac:dyDescent="0.25"/>
    <row r="191530" customFormat="1" x14ac:dyDescent="0.25"/>
    <row r="191531" customFormat="1" x14ac:dyDescent="0.25"/>
    <row r="191532" customFormat="1" x14ac:dyDescent="0.25"/>
    <row r="191533" customFormat="1" x14ac:dyDescent="0.25"/>
    <row r="191534" customFormat="1" x14ac:dyDescent="0.25"/>
    <row r="191535" customFormat="1" x14ac:dyDescent="0.25"/>
    <row r="191536" customFormat="1" x14ac:dyDescent="0.25"/>
    <row r="191537" customFormat="1" x14ac:dyDescent="0.25"/>
    <row r="191538" customFormat="1" x14ac:dyDescent="0.25"/>
    <row r="191539" customFormat="1" x14ac:dyDescent="0.25"/>
    <row r="191540" customFormat="1" x14ac:dyDescent="0.25"/>
    <row r="191541" customFormat="1" x14ac:dyDescent="0.25"/>
    <row r="191542" customFormat="1" x14ac:dyDescent="0.25"/>
    <row r="191543" customFormat="1" x14ac:dyDescent="0.25"/>
    <row r="191544" customFormat="1" x14ac:dyDescent="0.25"/>
    <row r="191545" customFormat="1" x14ac:dyDescent="0.25"/>
    <row r="191546" customFormat="1" x14ac:dyDescent="0.25"/>
    <row r="191547" customFormat="1" x14ac:dyDescent="0.25"/>
    <row r="191548" customFormat="1" x14ac:dyDescent="0.25"/>
    <row r="191549" customFormat="1" x14ac:dyDescent="0.25"/>
    <row r="191550" customFormat="1" x14ac:dyDescent="0.25"/>
    <row r="191551" customFormat="1" x14ac:dyDescent="0.25"/>
    <row r="191552" customFormat="1" x14ac:dyDescent="0.25"/>
    <row r="191553" customFormat="1" x14ac:dyDescent="0.25"/>
    <row r="191554" customFormat="1" x14ac:dyDescent="0.25"/>
    <row r="191555" customFormat="1" x14ac:dyDescent="0.25"/>
    <row r="191556" customFormat="1" x14ac:dyDescent="0.25"/>
    <row r="191557" customFormat="1" x14ac:dyDescent="0.25"/>
    <row r="191558" customFormat="1" x14ac:dyDescent="0.25"/>
    <row r="191559" customFormat="1" x14ac:dyDescent="0.25"/>
    <row r="191560" customFormat="1" x14ac:dyDescent="0.25"/>
    <row r="191561" customFormat="1" x14ac:dyDescent="0.25"/>
    <row r="191562" customFormat="1" x14ac:dyDescent="0.25"/>
    <row r="191563" customFormat="1" x14ac:dyDescent="0.25"/>
    <row r="191564" customFormat="1" x14ac:dyDescent="0.25"/>
    <row r="191565" customFormat="1" x14ac:dyDescent="0.25"/>
    <row r="191566" customFormat="1" x14ac:dyDescent="0.25"/>
    <row r="191567" customFormat="1" x14ac:dyDescent="0.25"/>
    <row r="191568" customFormat="1" x14ac:dyDescent="0.25"/>
    <row r="191569" customFormat="1" x14ac:dyDescent="0.25"/>
    <row r="191570" customFormat="1" x14ac:dyDescent="0.25"/>
    <row r="191571" customFormat="1" x14ac:dyDescent="0.25"/>
    <row r="191572" customFormat="1" x14ac:dyDescent="0.25"/>
    <row r="191573" customFormat="1" x14ac:dyDescent="0.25"/>
    <row r="191574" customFormat="1" x14ac:dyDescent="0.25"/>
    <row r="191575" customFormat="1" x14ac:dyDescent="0.25"/>
    <row r="191576" customFormat="1" x14ac:dyDescent="0.25"/>
    <row r="191577" customFormat="1" x14ac:dyDescent="0.25"/>
    <row r="191578" customFormat="1" x14ac:dyDescent="0.25"/>
    <row r="191579" customFormat="1" x14ac:dyDescent="0.25"/>
    <row r="191580" customFormat="1" x14ac:dyDescent="0.25"/>
    <row r="191581" customFormat="1" x14ac:dyDescent="0.25"/>
    <row r="191582" customFormat="1" x14ac:dyDescent="0.25"/>
    <row r="191583" customFormat="1" x14ac:dyDescent="0.25"/>
    <row r="191584" customFormat="1" x14ac:dyDescent="0.25"/>
    <row r="191585" customFormat="1" x14ac:dyDescent="0.25"/>
    <row r="191586" customFormat="1" x14ac:dyDescent="0.25"/>
    <row r="191587" customFormat="1" x14ac:dyDescent="0.25"/>
    <row r="191588" customFormat="1" x14ac:dyDescent="0.25"/>
    <row r="191589" customFormat="1" x14ac:dyDescent="0.25"/>
    <row r="191590" customFormat="1" x14ac:dyDescent="0.25"/>
    <row r="191591" customFormat="1" x14ac:dyDescent="0.25"/>
    <row r="191592" customFormat="1" x14ac:dyDescent="0.25"/>
    <row r="191593" customFormat="1" x14ac:dyDescent="0.25"/>
    <row r="191594" customFormat="1" x14ac:dyDescent="0.25"/>
    <row r="191595" customFormat="1" x14ac:dyDescent="0.25"/>
    <row r="191596" customFormat="1" x14ac:dyDescent="0.25"/>
    <row r="191597" customFormat="1" x14ac:dyDescent="0.25"/>
    <row r="191598" customFormat="1" x14ac:dyDescent="0.25"/>
    <row r="191599" customFormat="1" x14ac:dyDescent="0.25"/>
    <row r="191600" customFormat="1" x14ac:dyDescent="0.25"/>
    <row r="191601" customFormat="1" x14ac:dyDescent="0.25"/>
    <row r="191602" customFormat="1" x14ac:dyDescent="0.25"/>
    <row r="191603" customFormat="1" x14ac:dyDescent="0.25"/>
    <row r="191604" customFormat="1" x14ac:dyDescent="0.25"/>
    <row r="191605" customFormat="1" x14ac:dyDescent="0.25"/>
    <row r="191606" customFormat="1" x14ac:dyDescent="0.25"/>
    <row r="191607" customFormat="1" x14ac:dyDescent="0.25"/>
    <row r="191608" customFormat="1" x14ac:dyDescent="0.25"/>
    <row r="191609" customFormat="1" x14ac:dyDescent="0.25"/>
    <row r="191610" customFormat="1" x14ac:dyDescent="0.25"/>
    <row r="191611" customFormat="1" x14ac:dyDescent="0.25"/>
    <row r="191612" customFormat="1" x14ac:dyDescent="0.25"/>
    <row r="191613" customFormat="1" x14ac:dyDescent="0.25"/>
    <row r="191614" customFormat="1" x14ac:dyDescent="0.25"/>
    <row r="191615" customFormat="1" x14ac:dyDescent="0.25"/>
    <row r="191616" customFormat="1" x14ac:dyDescent="0.25"/>
    <row r="191617" customFormat="1" x14ac:dyDescent="0.25"/>
    <row r="191618" customFormat="1" x14ac:dyDescent="0.25"/>
    <row r="191619" customFormat="1" x14ac:dyDescent="0.25"/>
    <row r="191620" customFormat="1" x14ac:dyDescent="0.25"/>
    <row r="191621" customFormat="1" x14ac:dyDescent="0.25"/>
    <row r="191622" customFormat="1" x14ac:dyDescent="0.25"/>
    <row r="191623" customFormat="1" x14ac:dyDescent="0.25"/>
    <row r="191624" customFormat="1" x14ac:dyDescent="0.25"/>
    <row r="191625" customFormat="1" x14ac:dyDescent="0.25"/>
    <row r="191626" customFormat="1" x14ac:dyDescent="0.25"/>
    <row r="191627" customFormat="1" x14ac:dyDescent="0.25"/>
    <row r="191628" customFormat="1" x14ac:dyDescent="0.25"/>
    <row r="191629" customFormat="1" x14ac:dyDescent="0.25"/>
    <row r="191630" customFormat="1" x14ac:dyDescent="0.25"/>
    <row r="191631" customFormat="1" x14ac:dyDescent="0.25"/>
    <row r="191632" customFormat="1" x14ac:dyDescent="0.25"/>
    <row r="191633" customFormat="1" x14ac:dyDescent="0.25"/>
    <row r="191634" customFormat="1" x14ac:dyDescent="0.25"/>
    <row r="191635" customFormat="1" x14ac:dyDescent="0.25"/>
    <row r="191636" customFormat="1" x14ac:dyDescent="0.25"/>
    <row r="191637" customFormat="1" x14ac:dyDescent="0.25"/>
    <row r="191638" customFormat="1" x14ac:dyDescent="0.25"/>
    <row r="191639" customFormat="1" x14ac:dyDescent="0.25"/>
    <row r="191640" customFormat="1" x14ac:dyDescent="0.25"/>
    <row r="191641" customFormat="1" x14ac:dyDescent="0.25"/>
    <row r="191642" customFormat="1" x14ac:dyDescent="0.25"/>
    <row r="191643" customFormat="1" x14ac:dyDescent="0.25"/>
    <row r="191644" customFormat="1" x14ac:dyDescent="0.25"/>
    <row r="191645" customFormat="1" x14ac:dyDescent="0.25"/>
    <row r="191646" customFormat="1" x14ac:dyDescent="0.25"/>
    <row r="191647" customFormat="1" x14ac:dyDescent="0.25"/>
    <row r="191648" customFormat="1" x14ac:dyDescent="0.25"/>
    <row r="191649" customFormat="1" x14ac:dyDescent="0.25"/>
    <row r="191650" customFormat="1" x14ac:dyDescent="0.25"/>
    <row r="191651" customFormat="1" x14ac:dyDescent="0.25"/>
    <row r="191652" customFormat="1" x14ac:dyDescent="0.25"/>
    <row r="191653" customFormat="1" x14ac:dyDescent="0.25"/>
    <row r="191654" customFormat="1" x14ac:dyDescent="0.25"/>
    <row r="191655" customFormat="1" x14ac:dyDescent="0.25"/>
    <row r="191656" customFormat="1" x14ac:dyDescent="0.25"/>
    <row r="191657" customFormat="1" x14ac:dyDescent="0.25"/>
    <row r="191658" customFormat="1" x14ac:dyDescent="0.25"/>
    <row r="191659" customFormat="1" x14ac:dyDescent="0.25"/>
    <row r="191660" customFormat="1" x14ac:dyDescent="0.25"/>
    <row r="191661" customFormat="1" x14ac:dyDescent="0.25"/>
    <row r="191662" customFormat="1" x14ac:dyDescent="0.25"/>
    <row r="191663" customFormat="1" x14ac:dyDescent="0.25"/>
    <row r="191664" customFormat="1" x14ac:dyDescent="0.25"/>
    <row r="191665" customFormat="1" x14ac:dyDescent="0.25"/>
    <row r="191666" customFormat="1" x14ac:dyDescent="0.25"/>
    <row r="191667" customFormat="1" x14ac:dyDescent="0.25"/>
    <row r="191668" customFormat="1" x14ac:dyDescent="0.25"/>
    <row r="191669" customFormat="1" x14ac:dyDescent="0.25"/>
    <row r="191670" customFormat="1" x14ac:dyDescent="0.25"/>
    <row r="191671" customFormat="1" x14ac:dyDescent="0.25"/>
    <row r="191672" customFormat="1" x14ac:dyDescent="0.25"/>
    <row r="191673" customFormat="1" x14ac:dyDescent="0.25"/>
    <row r="191674" customFormat="1" x14ac:dyDescent="0.25"/>
    <row r="191675" customFormat="1" x14ac:dyDescent="0.25"/>
    <row r="191676" customFormat="1" x14ac:dyDescent="0.25"/>
    <row r="191677" customFormat="1" x14ac:dyDescent="0.25"/>
    <row r="191678" customFormat="1" x14ac:dyDescent="0.25"/>
    <row r="191679" customFormat="1" x14ac:dyDescent="0.25"/>
    <row r="191680" customFormat="1" x14ac:dyDescent="0.25"/>
    <row r="191681" customFormat="1" x14ac:dyDescent="0.25"/>
    <row r="191682" customFormat="1" x14ac:dyDescent="0.25"/>
    <row r="191683" customFormat="1" x14ac:dyDescent="0.25"/>
    <row r="191684" customFormat="1" x14ac:dyDescent="0.25"/>
    <row r="191685" customFormat="1" x14ac:dyDescent="0.25"/>
    <row r="191686" customFormat="1" x14ac:dyDescent="0.25"/>
    <row r="191687" customFormat="1" x14ac:dyDescent="0.25"/>
    <row r="191688" customFormat="1" x14ac:dyDescent="0.25"/>
    <row r="191689" customFormat="1" x14ac:dyDescent="0.25"/>
    <row r="191690" customFormat="1" x14ac:dyDescent="0.25"/>
    <row r="191691" customFormat="1" x14ac:dyDescent="0.25"/>
    <row r="191692" customFormat="1" x14ac:dyDescent="0.25"/>
    <row r="191693" customFormat="1" x14ac:dyDescent="0.25"/>
    <row r="191694" customFormat="1" x14ac:dyDescent="0.25"/>
    <row r="191695" customFormat="1" x14ac:dyDescent="0.25"/>
    <row r="191696" customFormat="1" x14ac:dyDescent="0.25"/>
    <row r="191697" customFormat="1" x14ac:dyDescent="0.25"/>
    <row r="191698" customFormat="1" x14ac:dyDescent="0.25"/>
    <row r="191699" customFormat="1" x14ac:dyDescent="0.25"/>
    <row r="191700" customFormat="1" x14ac:dyDescent="0.25"/>
    <row r="191701" customFormat="1" x14ac:dyDescent="0.25"/>
    <row r="191702" customFormat="1" x14ac:dyDescent="0.25"/>
    <row r="191703" customFormat="1" x14ac:dyDescent="0.25"/>
    <row r="191704" customFormat="1" x14ac:dyDescent="0.25"/>
    <row r="191705" customFormat="1" x14ac:dyDescent="0.25"/>
    <row r="191706" customFormat="1" x14ac:dyDescent="0.25"/>
    <row r="191707" customFormat="1" x14ac:dyDescent="0.25"/>
    <row r="191708" customFormat="1" x14ac:dyDescent="0.25"/>
    <row r="191709" customFormat="1" x14ac:dyDescent="0.25"/>
    <row r="191710" customFormat="1" x14ac:dyDescent="0.25"/>
    <row r="191711" customFormat="1" x14ac:dyDescent="0.25"/>
    <row r="191712" customFormat="1" x14ac:dyDescent="0.25"/>
    <row r="191713" customFormat="1" x14ac:dyDescent="0.25"/>
    <row r="191714" customFormat="1" x14ac:dyDescent="0.25"/>
    <row r="191715" customFormat="1" x14ac:dyDescent="0.25"/>
    <row r="191716" customFormat="1" x14ac:dyDescent="0.25"/>
    <row r="191717" customFormat="1" x14ac:dyDescent="0.25"/>
    <row r="191718" customFormat="1" x14ac:dyDescent="0.25"/>
    <row r="191719" customFormat="1" x14ac:dyDescent="0.25"/>
    <row r="191720" customFormat="1" x14ac:dyDescent="0.25"/>
    <row r="191721" customFormat="1" x14ac:dyDescent="0.25"/>
    <row r="191722" customFormat="1" x14ac:dyDescent="0.25"/>
    <row r="191723" customFormat="1" x14ac:dyDescent="0.25"/>
    <row r="191724" customFormat="1" x14ac:dyDescent="0.25"/>
    <row r="191725" customFormat="1" x14ac:dyDescent="0.25"/>
    <row r="191726" customFormat="1" x14ac:dyDescent="0.25"/>
    <row r="191727" customFormat="1" x14ac:dyDescent="0.25"/>
    <row r="191728" customFormat="1" x14ac:dyDescent="0.25"/>
    <row r="191729" customFormat="1" x14ac:dyDescent="0.25"/>
    <row r="191730" customFormat="1" x14ac:dyDescent="0.25"/>
    <row r="191731" customFormat="1" x14ac:dyDescent="0.25"/>
    <row r="191732" customFormat="1" x14ac:dyDescent="0.25"/>
    <row r="191733" customFormat="1" x14ac:dyDescent="0.25"/>
    <row r="191734" customFormat="1" x14ac:dyDescent="0.25"/>
    <row r="191735" customFormat="1" x14ac:dyDescent="0.25"/>
    <row r="191736" customFormat="1" x14ac:dyDescent="0.25"/>
    <row r="191737" customFormat="1" x14ac:dyDescent="0.25"/>
    <row r="191738" customFormat="1" x14ac:dyDescent="0.25"/>
    <row r="191739" customFormat="1" x14ac:dyDescent="0.25"/>
    <row r="191740" customFormat="1" x14ac:dyDescent="0.25"/>
    <row r="191741" customFormat="1" x14ac:dyDescent="0.25"/>
    <row r="191742" customFormat="1" x14ac:dyDescent="0.25"/>
    <row r="191743" customFormat="1" x14ac:dyDescent="0.25"/>
    <row r="191744" customFormat="1" x14ac:dyDescent="0.25"/>
    <row r="191745" customFormat="1" x14ac:dyDescent="0.25"/>
    <row r="191746" customFormat="1" x14ac:dyDescent="0.25"/>
    <row r="191747" customFormat="1" x14ac:dyDescent="0.25"/>
    <row r="191748" customFormat="1" x14ac:dyDescent="0.25"/>
    <row r="191749" customFormat="1" x14ac:dyDescent="0.25"/>
    <row r="191750" customFormat="1" x14ac:dyDescent="0.25"/>
    <row r="191751" customFormat="1" x14ac:dyDescent="0.25"/>
    <row r="191752" customFormat="1" x14ac:dyDescent="0.25"/>
    <row r="191753" customFormat="1" x14ac:dyDescent="0.25"/>
    <row r="191754" customFormat="1" x14ac:dyDescent="0.25"/>
    <row r="191755" customFormat="1" x14ac:dyDescent="0.25"/>
    <row r="191756" customFormat="1" x14ac:dyDescent="0.25"/>
    <row r="191757" customFormat="1" x14ac:dyDescent="0.25"/>
    <row r="191758" customFormat="1" x14ac:dyDescent="0.25"/>
    <row r="191759" customFormat="1" x14ac:dyDescent="0.25"/>
    <row r="191760" customFormat="1" x14ac:dyDescent="0.25"/>
    <row r="191761" customFormat="1" x14ac:dyDescent="0.25"/>
    <row r="191762" customFormat="1" x14ac:dyDescent="0.25"/>
    <row r="191763" customFormat="1" x14ac:dyDescent="0.25"/>
    <row r="191764" customFormat="1" x14ac:dyDescent="0.25"/>
    <row r="191765" customFormat="1" x14ac:dyDescent="0.25"/>
    <row r="191766" customFormat="1" x14ac:dyDescent="0.25"/>
    <row r="191767" customFormat="1" x14ac:dyDescent="0.25"/>
    <row r="191768" customFormat="1" x14ac:dyDescent="0.25"/>
    <row r="191769" customFormat="1" x14ac:dyDescent="0.25"/>
    <row r="191770" customFormat="1" x14ac:dyDescent="0.25"/>
    <row r="191771" customFormat="1" x14ac:dyDescent="0.25"/>
    <row r="191772" customFormat="1" x14ac:dyDescent="0.25"/>
    <row r="191773" customFormat="1" x14ac:dyDescent="0.25"/>
    <row r="191774" customFormat="1" x14ac:dyDescent="0.25"/>
    <row r="191775" customFormat="1" x14ac:dyDescent="0.25"/>
    <row r="191776" customFormat="1" x14ac:dyDescent="0.25"/>
    <row r="191777" customFormat="1" x14ac:dyDescent="0.25"/>
    <row r="191778" customFormat="1" x14ac:dyDescent="0.25"/>
    <row r="191779" customFormat="1" x14ac:dyDescent="0.25"/>
    <row r="191780" customFormat="1" x14ac:dyDescent="0.25"/>
    <row r="191781" customFormat="1" x14ac:dyDescent="0.25"/>
    <row r="191782" customFormat="1" x14ac:dyDescent="0.25"/>
    <row r="191783" customFormat="1" x14ac:dyDescent="0.25"/>
    <row r="191784" customFormat="1" x14ac:dyDescent="0.25"/>
    <row r="191785" customFormat="1" x14ac:dyDescent="0.25"/>
    <row r="191786" customFormat="1" x14ac:dyDescent="0.25"/>
    <row r="191787" customFormat="1" x14ac:dyDescent="0.25"/>
    <row r="191788" customFormat="1" x14ac:dyDescent="0.25"/>
    <row r="191789" customFormat="1" x14ac:dyDescent="0.25"/>
    <row r="191790" customFormat="1" x14ac:dyDescent="0.25"/>
    <row r="191791" customFormat="1" x14ac:dyDescent="0.25"/>
    <row r="191792" customFormat="1" x14ac:dyDescent="0.25"/>
    <row r="191793" customFormat="1" x14ac:dyDescent="0.25"/>
    <row r="191794" customFormat="1" x14ac:dyDescent="0.25"/>
    <row r="191795" customFormat="1" x14ac:dyDescent="0.25"/>
    <row r="191796" customFormat="1" x14ac:dyDescent="0.25"/>
    <row r="191797" customFormat="1" x14ac:dyDescent="0.25"/>
    <row r="191798" customFormat="1" x14ac:dyDescent="0.25"/>
    <row r="191799" customFormat="1" x14ac:dyDescent="0.25"/>
    <row r="191800" customFormat="1" x14ac:dyDescent="0.25"/>
    <row r="191801" customFormat="1" x14ac:dyDescent="0.25"/>
    <row r="191802" customFormat="1" x14ac:dyDescent="0.25"/>
    <row r="191803" customFormat="1" x14ac:dyDescent="0.25"/>
    <row r="191804" customFormat="1" x14ac:dyDescent="0.25"/>
    <row r="191805" customFormat="1" x14ac:dyDescent="0.25"/>
    <row r="191806" customFormat="1" x14ac:dyDescent="0.25"/>
    <row r="191807" customFormat="1" x14ac:dyDescent="0.25"/>
    <row r="191808" customFormat="1" x14ac:dyDescent="0.25"/>
    <row r="191809" customFormat="1" x14ac:dyDescent="0.25"/>
    <row r="191810" customFormat="1" x14ac:dyDescent="0.25"/>
    <row r="191811" customFormat="1" x14ac:dyDescent="0.25"/>
    <row r="191812" customFormat="1" x14ac:dyDescent="0.25"/>
    <row r="191813" customFormat="1" x14ac:dyDescent="0.25"/>
    <row r="191814" customFormat="1" x14ac:dyDescent="0.25"/>
    <row r="191815" customFormat="1" x14ac:dyDescent="0.25"/>
    <row r="191816" customFormat="1" x14ac:dyDescent="0.25"/>
    <row r="191817" customFormat="1" x14ac:dyDescent="0.25"/>
    <row r="191818" customFormat="1" x14ac:dyDescent="0.25"/>
    <row r="191819" customFormat="1" x14ac:dyDescent="0.25"/>
    <row r="191820" customFormat="1" x14ac:dyDescent="0.25"/>
    <row r="191821" customFormat="1" x14ac:dyDescent="0.25"/>
    <row r="191822" customFormat="1" x14ac:dyDescent="0.25"/>
    <row r="191823" customFormat="1" x14ac:dyDescent="0.25"/>
    <row r="191824" customFormat="1" x14ac:dyDescent="0.25"/>
    <row r="191825" customFormat="1" x14ac:dyDescent="0.25"/>
    <row r="191826" customFormat="1" x14ac:dyDescent="0.25"/>
    <row r="191827" customFormat="1" x14ac:dyDescent="0.25"/>
    <row r="191828" customFormat="1" x14ac:dyDescent="0.25"/>
    <row r="191829" customFormat="1" x14ac:dyDescent="0.25"/>
    <row r="191830" customFormat="1" x14ac:dyDescent="0.25"/>
    <row r="191831" customFormat="1" x14ac:dyDescent="0.25"/>
    <row r="191832" customFormat="1" x14ac:dyDescent="0.25"/>
    <row r="191833" customFormat="1" x14ac:dyDescent="0.25"/>
    <row r="191834" customFormat="1" x14ac:dyDescent="0.25"/>
    <row r="191835" customFormat="1" x14ac:dyDescent="0.25"/>
    <row r="191836" customFormat="1" x14ac:dyDescent="0.25"/>
    <row r="191837" customFormat="1" x14ac:dyDescent="0.25"/>
    <row r="191838" customFormat="1" x14ac:dyDescent="0.25"/>
    <row r="191839" customFormat="1" x14ac:dyDescent="0.25"/>
    <row r="191840" customFormat="1" x14ac:dyDescent="0.25"/>
    <row r="191841" customFormat="1" x14ac:dyDescent="0.25"/>
    <row r="191842" customFormat="1" x14ac:dyDescent="0.25"/>
    <row r="191843" customFormat="1" x14ac:dyDescent="0.25"/>
    <row r="191844" customFormat="1" x14ac:dyDescent="0.25"/>
    <row r="191845" customFormat="1" x14ac:dyDescent="0.25"/>
    <row r="191846" customFormat="1" x14ac:dyDescent="0.25"/>
    <row r="191847" customFormat="1" x14ac:dyDescent="0.25"/>
    <row r="191848" customFormat="1" x14ac:dyDescent="0.25"/>
    <row r="191849" customFormat="1" x14ac:dyDescent="0.25"/>
    <row r="191850" customFormat="1" x14ac:dyDescent="0.25"/>
    <row r="191851" customFormat="1" x14ac:dyDescent="0.25"/>
    <row r="191852" customFormat="1" x14ac:dyDescent="0.25"/>
    <row r="191853" customFormat="1" x14ac:dyDescent="0.25"/>
    <row r="191854" customFormat="1" x14ac:dyDescent="0.25"/>
    <row r="191855" customFormat="1" x14ac:dyDescent="0.25"/>
    <row r="191856" customFormat="1" x14ac:dyDescent="0.25"/>
    <row r="191857" customFormat="1" x14ac:dyDescent="0.25"/>
    <row r="191858" customFormat="1" x14ac:dyDescent="0.25"/>
    <row r="191859" customFormat="1" x14ac:dyDescent="0.25"/>
    <row r="191860" customFormat="1" x14ac:dyDescent="0.25"/>
    <row r="191861" customFormat="1" x14ac:dyDescent="0.25"/>
    <row r="191862" customFormat="1" x14ac:dyDescent="0.25"/>
    <row r="191863" customFormat="1" x14ac:dyDescent="0.25"/>
    <row r="191864" customFormat="1" x14ac:dyDescent="0.25"/>
    <row r="191865" customFormat="1" x14ac:dyDescent="0.25"/>
    <row r="191866" customFormat="1" x14ac:dyDescent="0.25"/>
    <row r="191867" customFormat="1" x14ac:dyDescent="0.25"/>
    <row r="191868" customFormat="1" x14ac:dyDescent="0.25"/>
    <row r="191869" customFormat="1" x14ac:dyDescent="0.25"/>
    <row r="191870" customFormat="1" x14ac:dyDescent="0.25"/>
    <row r="191871" customFormat="1" x14ac:dyDescent="0.25"/>
    <row r="191872" customFormat="1" x14ac:dyDescent="0.25"/>
    <row r="191873" customFormat="1" x14ac:dyDescent="0.25"/>
    <row r="191874" customFormat="1" x14ac:dyDescent="0.25"/>
    <row r="191875" customFormat="1" x14ac:dyDescent="0.25"/>
    <row r="191876" customFormat="1" x14ac:dyDescent="0.25"/>
    <row r="191877" customFormat="1" x14ac:dyDescent="0.25"/>
    <row r="191878" customFormat="1" x14ac:dyDescent="0.25"/>
    <row r="191879" customFormat="1" x14ac:dyDescent="0.25"/>
    <row r="191880" customFormat="1" x14ac:dyDescent="0.25"/>
    <row r="191881" customFormat="1" x14ac:dyDescent="0.25"/>
    <row r="191882" customFormat="1" x14ac:dyDescent="0.25"/>
    <row r="191883" customFormat="1" x14ac:dyDescent="0.25"/>
    <row r="191884" customFormat="1" x14ac:dyDescent="0.25"/>
    <row r="191885" customFormat="1" x14ac:dyDescent="0.25"/>
    <row r="191886" customFormat="1" x14ac:dyDescent="0.25"/>
    <row r="191887" customFormat="1" x14ac:dyDescent="0.25"/>
    <row r="191888" customFormat="1" x14ac:dyDescent="0.25"/>
    <row r="191889" customFormat="1" x14ac:dyDescent="0.25"/>
    <row r="191890" customFormat="1" x14ac:dyDescent="0.25"/>
    <row r="191891" customFormat="1" x14ac:dyDescent="0.25"/>
    <row r="191892" customFormat="1" x14ac:dyDescent="0.25"/>
    <row r="191893" customFormat="1" x14ac:dyDescent="0.25"/>
    <row r="191894" customFormat="1" x14ac:dyDescent="0.25"/>
    <row r="191895" customFormat="1" x14ac:dyDescent="0.25"/>
    <row r="191896" customFormat="1" x14ac:dyDescent="0.25"/>
    <row r="191897" customFormat="1" x14ac:dyDescent="0.25"/>
    <row r="191898" customFormat="1" x14ac:dyDescent="0.25"/>
    <row r="191899" customFormat="1" x14ac:dyDescent="0.25"/>
    <row r="191900" customFormat="1" x14ac:dyDescent="0.25"/>
    <row r="191901" customFormat="1" x14ac:dyDescent="0.25"/>
    <row r="191902" customFormat="1" x14ac:dyDescent="0.25"/>
    <row r="191903" customFormat="1" x14ac:dyDescent="0.25"/>
    <row r="191904" customFormat="1" x14ac:dyDescent="0.25"/>
    <row r="191905" customFormat="1" x14ac:dyDescent="0.25"/>
    <row r="191906" customFormat="1" x14ac:dyDescent="0.25"/>
    <row r="191907" customFormat="1" x14ac:dyDescent="0.25"/>
    <row r="191908" customFormat="1" x14ac:dyDescent="0.25"/>
    <row r="191909" customFormat="1" x14ac:dyDescent="0.25"/>
    <row r="191910" customFormat="1" x14ac:dyDescent="0.25"/>
    <row r="191911" customFormat="1" x14ac:dyDescent="0.25"/>
    <row r="191912" customFormat="1" x14ac:dyDescent="0.25"/>
    <row r="191913" customFormat="1" x14ac:dyDescent="0.25"/>
    <row r="191914" customFormat="1" x14ac:dyDescent="0.25"/>
    <row r="191915" customFormat="1" x14ac:dyDescent="0.25"/>
    <row r="191916" customFormat="1" x14ac:dyDescent="0.25"/>
    <row r="191917" customFormat="1" x14ac:dyDescent="0.25"/>
    <row r="191918" customFormat="1" x14ac:dyDescent="0.25"/>
    <row r="191919" customFormat="1" x14ac:dyDescent="0.25"/>
    <row r="191920" customFormat="1" x14ac:dyDescent="0.25"/>
    <row r="191921" customFormat="1" x14ac:dyDescent="0.25"/>
    <row r="191922" customFormat="1" x14ac:dyDescent="0.25"/>
    <row r="191923" customFormat="1" x14ac:dyDescent="0.25"/>
    <row r="191924" customFormat="1" x14ac:dyDescent="0.25"/>
    <row r="191925" customFormat="1" x14ac:dyDescent="0.25"/>
    <row r="191926" customFormat="1" x14ac:dyDescent="0.25"/>
    <row r="191927" customFormat="1" x14ac:dyDescent="0.25"/>
    <row r="191928" customFormat="1" x14ac:dyDescent="0.25"/>
    <row r="191929" customFormat="1" x14ac:dyDescent="0.25"/>
    <row r="191930" customFormat="1" x14ac:dyDescent="0.25"/>
    <row r="191931" customFormat="1" x14ac:dyDescent="0.25"/>
    <row r="191932" customFormat="1" x14ac:dyDescent="0.25"/>
    <row r="191933" customFormat="1" x14ac:dyDescent="0.25"/>
    <row r="191934" customFormat="1" x14ac:dyDescent="0.25"/>
    <row r="191935" customFormat="1" x14ac:dyDescent="0.25"/>
    <row r="191936" customFormat="1" x14ac:dyDescent="0.25"/>
    <row r="191937" customFormat="1" x14ac:dyDescent="0.25"/>
    <row r="191938" customFormat="1" x14ac:dyDescent="0.25"/>
    <row r="191939" customFormat="1" x14ac:dyDescent="0.25"/>
    <row r="191940" customFormat="1" x14ac:dyDescent="0.25"/>
    <row r="191941" customFormat="1" x14ac:dyDescent="0.25"/>
    <row r="191942" customFormat="1" x14ac:dyDescent="0.25"/>
    <row r="191943" customFormat="1" x14ac:dyDescent="0.25"/>
    <row r="191944" customFormat="1" x14ac:dyDescent="0.25"/>
    <row r="191945" customFormat="1" x14ac:dyDescent="0.25"/>
    <row r="191946" customFormat="1" x14ac:dyDescent="0.25"/>
    <row r="191947" customFormat="1" x14ac:dyDescent="0.25"/>
    <row r="191948" customFormat="1" x14ac:dyDescent="0.25"/>
    <row r="191949" customFormat="1" x14ac:dyDescent="0.25"/>
    <row r="191950" customFormat="1" x14ac:dyDescent="0.25"/>
    <row r="191951" customFormat="1" x14ac:dyDescent="0.25"/>
    <row r="191952" customFormat="1" x14ac:dyDescent="0.25"/>
    <row r="191953" customFormat="1" x14ac:dyDescent="0.25"/>
    <row r="191954" customFormat="1" x14ac:dyDescent="0.25"/>
    <row r="191955" customFormat="1" x14ac:dyDescent="0.25"/>
    <row r="191956" customFormat="1" x14ac:dyDescent="0.25"/>
    <row r="191957" customFormat="1" x14ac:dyDescent="0.25"/>
    <row r="191958" customFormat="1" x14ac:dyDescent="0.25"/>
    <row r="191959" customFormat="1" x14ac:dyDescent="0.25"/>
    <row r="191960" customFormat="1" x14ac:dyDescent="0.25"/>
    <row r="191961" customFormat="1" x14ac:dyDescent="0.25"/>
    <row r="191962" customFormat="1" x14ac:dyDescent="0.25"/>
    <row r="191963" customFormat="1" x14ac:dyDescent="0.25"/>
    <row r="191964" customFormat="1" x14ac:dyDescent="0.25"/>
    <row r="191965" customFormat="1" x14ac:dyDescent="0.25"/>
    <row r="191966" customFormat="1" x14ac:dyDescent="0.25"/>
    <row r="191967" customFormat="1" x14ac:dyDescent="0.25"/>
    <row r="191968" customFormat="1" x14ac:dyDescent="0.25"/>
    <row r="191969" customFormat="1" x14ac:dyDescent="0.25"/>
    <row r="191970" customFormat="1" x14ac:dyDescent="0.25"/>
    <row r="191971" customFormat="1" x14ac:dyDescent="0.25"/>
    <row r="191972" customFormat="1" x14ac:dyDescent="0.25"/>
    <row r="191973" customFormat="1" x14ac:dyDescent="0.25"/>
    <row r="191974" customFormat="1" x14ac:dyDescent="0.25"/>
    <row r="191975" customFormat="1" x14ac:dyDescent="0.25"/>
    <row r="191976" customFormat="1" x14ac:dyDescent="0.25"/>
    <row r="191977" customFormat="1" x14ac:dyDescent="0.25"/>
    <row r="191978" customFormat="1" x14ac:dyDescent="0.25"/>
    <row r="191979" customFormat="1" x14ac:dyDescent="0.25"/>
    <row r="191980" customFormat="1" x14ac:dyDescent="0.25"/>
    <row r="191981" customFormat="1" x14ac:dyDescent="0.25"/>
    <row r="191982" customFormat="1" x14ac:dyDescent="0.25"/>
    <row r="191983" customFormat="1" x14ac:dyDescent="0.25"/>
    <row r="191984" customFormat="1" x14ac:dyDescent="0.25"/>
    <row r="191985" customFormat="1" x14ac:dyDescent="0.25"/>
    <row r="191986" customFormat="1" x14ac:dyDescent="0.25"/>
    <row r="191987" customFormat="1" x14ac:dyDescent="0.25"/>
    <row r="191988" customFormat="1" x14ac:dyDescent="0.25"/>
    <row r="191989" customFormat="1" x14ac:dyDescent="0.25"/>
    <row r="191990" customFormat="1" x14ac:dyDescent="0.25"/>
    <row r="191991" customFormat="1" x14ac:dyDescent="0.25"/>
    <row r="191992" customFormat="1" x14ac:dyDescent="0.25"/>
    <row r="191993" customFormat="1" x14ac:dyDescent="0.25"/>
    <row r="191994" customFormat="1" x14ac:dyDescent="0.25"/>
    <row r="191995" customFormat="1" x14ac:dyDescent="0.25"/>
    <row r="191996" customFormat="1" x14ac:dyDescent="0.25"/>
    <row r="191997" customFormat="1" x14ac:dyDescent="0.25"/>
    <row r="191998" customFormat="1" x14ac:dyDescent="0.25"/>
    <row r="191999" customFormat="1" x14ac:dyDescent="0.25"/>
    <row r="192000" customFormat="1" x14ac:dyDescent="0.25"/>
    <row r="192001" customFormat="1" x14ac:dyDescent="0.25"/>
    <row r="192002" customFormat="1" x14ac:dyDescent="0.25"/>
    <row r="192003" customFormat="1" x14ac:dyDescent="0.25"/>
    <row r="192004" customFormat="1" x14ac:dyDescent="0.25"/>
    <row r="192005" customFormat="1" x14ac:dyDescent="0.25"/>
    <row r="192006" customFormat="1" x14ac:dyDescent="0.25"/>
    <row r="192007" customFormat="1" x14ac:dyDescent="0.25"/>
    <row r="192008" customFormat="1" x14ac:dyDescent="0.25"/>
    <row r="192009" customFormat="1" x14ac:dyDescent="0.25"/>
    <row r="192010" customFormat="1" x14ac:dyDescent="0.25"/>
    <row r="192011" customFormat="1" x14ac:dyDescent="0.25"/>
    <row r="192012" customFormat="1" x14ac:dyDescent="0.25"/>
    <row r="192013" customFormat="1" x14ac:dyDescent="0.25"/>
    <row r="192014" customFormat="1" x14ac:dyDescent="0.25"/>
    <row r="192015" customFormat="1" x14ac:dyDescent="0.25"/>
    <row r="192016" customFormat="1" x14ac:dyDescent="0.25"/>
    <row r="192017" customFormat="1" x14ac:dyDescent="0.25"/>
    <row r="192018" customFormat="1" x14ac:dyDescent="0.25"/>
    <row r="192019" customFormat="1" x14ac:dyDescent="0.25"/>
    <row r="192020" customFormat="1" x14ac:dyDescent="0.25"/>
    <row r="192021" customFormat="1" x14ac:dyDescent="0.25"/>
    <row r="192022" customFormat="1" x14ac:dyDescent="0.25"/>
    <row r="192023" customFormat="1" x14ac:dyDescent="0.25"/>
    <row r="192024" customFormat="1" x14ac:dyDescent="0.25"/>
    <row r="192025" customFormat="1" x14ac:dyDescent="0.25"/>
    <row r="192026" customFormat="1" x14ac:dyDescent="0.25"/>
    <row r="192027" customFormat="1" x14ac:dyDescent="0.25"/>
    <row r="192028" customFormat="1" x14ac:dyDescent="0.25"/>
    <row r="192029" customFormat="1" x14ac:dyDescent="0.25"/>
    <row r="192030" customFormat="1" x14ac:dyDescent="0.25"/>
    <row r="192031" customFormat="1" x14ac:dyDescent="0.25"/>
    <row r="192032" customFormat="1" x14ac:dyDescent="0.25"/>
    <row r="192033" customFormat="1" x14ac:dyDescent="0.25"/>
    <row r="192034" customFormat="1" x14ac:dyDescent="0.25"/>
    <row r="192035" customFormat="1" x14ac:dyDescent="0.25"/>
    <row r="192036" customFormat="1" x14ac:dyDescent="0.25"/>
    <row r="192037" customFormat="1" x14ac:dyDescent="0.25"/>
    <row r="192038" customFormat="1" x14ac:dyDescent="0.25"/>
    <row r="192039" customFormat="1" x14ac:dyDescent="0.25"/>
    <row r="192040" customFormat="1" x14ac:dyDescent="0.25"/>
    <row r="192041" customFormat="1" x14ac:dyDescent="0.25"/>
    <row r="192042" customFormat="1" x14ac:dyDescent="0.25"/>
    <row r="192043" customFormat="1" x14ac:dyDescent="0.25"/>
    <row r="192044" customFormat="1" x14ac:dyDescent="0.25"/>
    <row r="192045" customFormat="1" x14ac:dyDescent="0.25"/>
    <row r="192046" customFormat="1" x14ac:dyDescent="0.25"/>
    <row r="192047" customFormat="1" x14ac:dyDescent="0.25"/>
    <row r="192048" customFormat="1" x14ac:dyDescent="0.25"/>
    <row r="192049" customFormat="1" x14ac:dyDescent="0.25"/>
    <row r="192050" customFormat="1" x14ac:dyDescent="0.25"/>
    <row r="192051" customFormat="1" x14ac:dyDescent="0.25"/>
    <row r="192052" customFormat="1" x14ac:dyDescent="0.25"/>
    <row r="192053" customFormat="1" x14ac:dyDescent="0.25"/>
    <row r="192054" customFormat="1" x14ac:dyDescent="0.25"/>
    <row r="192055" customFormat="1" x14ac:dyDescent="0.25"/>
    <row r="192056" customFormat="1" x14ac:dyDescent="0.25"/>
    <row r="192057" customFormat="1" x14ac:dyDescent="0.25"/>
    <row r="192058" customFormat="1" x14ac:dyDescent="0.25"/>
    <row r="192059" customFormat="1" x14ac:dyDescent="0.25"/>
    <row r="192060" customFormat="1" x14ac:dyDescent="0.25"/>
    <row r="192061" customFormat="1" x14ac:dyDescent="0.25"/>
    <row r="192062" customFormat="1" x14ac:dyDescent="0.25"/>
    <row r="192063" customFormat="1" x14ac:dyDescent="0.25"/>
    <row r="192064" customFormat="1" x14ac:dyDescent="0.25"/>
    <row r="192065" customFormat="1" x14ac:dyDescent="0.25"/>
    <row r="192066" customFormat="1" x14ac:dyDescent="0.25"/>
    <row r="192067" customFormat="1" x14ac:dyDescent="0.25"/>
    <row r="192068" customFormat="1" x14ac:dyDescent="0.25"/>
    <row r="192069" customFormat="1" x14ac:dyDescent="0.25"/>
    <row r="192070" customFormat="1" x14ac:dyDescent="0.25"/>
    <row r="192071" customFormat="1" x14ac:dyDescent="0.25"/>
    <row r="192072" customFormat="1" x14ac:dyDescent="0.25"/>
    <row r="192073" customFormat="1" x14ac:dyDescent="0.25"/>
    <row r="192074" customFormat="1" x14ac:dyDescent="0.25"/>
    <row r="192075" customFormat="1" x14ac:dyDescent="0.25"/>
    <row r="192076" customFormat="1" x14ac:dyDescent="0.25"/>
    <row r="192077" customFormat="1" x14ac:dyDescent="0.25"/>
    <row r="192078" customFormat="1" x14ac:dyDescent="0.25"/>
    <row r="192079" customFormat="1" x14ac:dyDescent="0.25"/>
    <row r="192080" customFormat="1" x14ac:dyDescent="0.25"/>
    <row r="192081" customFormat="1" x14ac:dyDescent="0.25"/>
    <row r="192082" customFormat="1" x14ac:dyDescent="0.25"/>
    <row r="192083" customFormat="1" x14ac:dyDescent="0.25"/>
    <row r="192084" customFormat="1" x14ac:dyDescent="0.25"/>
    <row r="192085" customFormat="1" x14ac:dyDescent="0.25"/>
    <row r="192086" customFormat="1" x14ac:dyDescent="0.25"/>
    <row r="192087" customFormat="1" x14ac:dyDescent="0.25"/>
    <row r="192088" customFormat="1" x14ac:dyDescent="0.25"/>
    <row r="192089" customFormat="1" x14ac:dyDescent="0.25"/>
    <row r="192090" customFormat="1" x14ac:dyDescent="0.25"/>
    <row r="192091" customFormat="1" x14ac:dyDescent="0.25"/>
    <row r="192092" customFormat="1" x14ac:dyDescent="0.25"/>
    <row r="192093" customFormat="1" x14ac:dyDescent="0.25"/>
    <row r="192094" customFormat="1" x14ac:dyDescent="0.25"/>
    <row r="192095" customFormat="1" x14ac:dyDescent="0.25"/>
    <row r="192096" customFormat="1" x14ac:dyDescent="0.25"/>
    <row r="192097" customFormat="1" x14ac:dyDescent="0.25"/>
    <row r="192098" customFormat="1" x14ac:dyDescent="0.25"/>
    <row r="192099" customFormat="1" x14ac:dyDescent="0.25"/>
    <row r="192100" customFormat="1" x14ac:dyDescent="0.25"/>
    <row r="192101" customFormat="1" x14ac:dyDescent="0.25"/>
    <row r="192102" customFormat="1" x14ac:dyDescent="0.25"/>
    <row r="192103" customFormat="1" x14ac:dyDescent="0.25"/>
    <row r="192104" customFormat="1" x14ac:dyDescent="0.25"/>
    <row r="192105" customFormat="1" x14ac:dyDescent="0.25"/>
    <row r="192106" customFormat="1" x14ac:dyDescent="0.25"/>
    <row r="192107" customFormat="1" x14ac:dyDescent="0.25"/>
    <row r="192108" customFormat="1" x14ac:dyDescent="0.25"/>
    <row r="192109" customFormat="1" x14ac:dyDescent="0.25"/>
    <row r="192110" customFormat="1" x14ac:dyDescent="0.25"/>
    <row r="192111" customFormat="1" x14ac:dyDescent="0.25"/>
    <row r="192112" customFormat="1" x14ac:dyDescent="0.25"/>
    <row r="192113" customFormat="1" x14ac:dyDescent="0.25"/>
    <row r="192114" customFormat="1" x14ac:dyDescent="0.25"/>
    <row r="192115" customFormat="1" x14ac:dyDescent="0.25"/>
    <row r="192116" customFormat="1" x14ac:dyDescent="0.25"/>
    <row r="192117" customFormat="1" x14ac:dyDescent="0.25"/>
    <row r="192118" customFormat="1" x14ac:dyDescent="0.25"/>
    <row r="192119" customFormat="1" x14ac:dyDescent="0.25"/>
    <row r="192120" customFormat="1" x14ac:dyDescent="0.25"/>
    <row r="192121" customFormat="1" x14ac:dyDescent="0.25"/>
    <row r="192122" customFormat="1" x14ac:dyDescent="0.25"/>
    <row r="192123" customFormat="1" x14ac:dyDescent="0.25"/>
    <row r="192124" customFormat="1" x14ac:dyDescent="0.25"/>
    <row r="192125" customFormat="1" x14ac:dyDescent="0.25"/>
    <row r="192126" customFormat="1" x14ac:dyDescent="0.25"/>
    <row r="192127" customFormat="1" x14ac:dyDescent="0.25"/>
    <row r="192128" customFormat="1" x14ac:dyDescent="0.25"/>
    <row r="192129" customFormat="1" x14ac:dyDescent="0.25"/>
    <row r="192130" customFormat="1" x14ac:dyDescent="0.25"/>
    <row r="192131" customFormat="1" x14ac:dyDescent="0.25"/>
    <row r="192132" customFormat="1" x14ac:dyDescent="0.25"/>
    <row r="192133" customFormat="1" x14ac:dyDescent="0.25"/>
    <row r="192134" customFormat="1" x14ac:dyDescent="0.25"/>
    <row r="192135" customFormat="1" x14ac:dyDescent="0.25"/>
    <row r="192136" customFormat="1" x14ac:dyDescent="0.25"/>
    <row r="192137" customFormat="1" x14ac:dyDescent="0.25"/>
    <row r="192138" customFormat="1" x14ac:dyDescent="0.25"/>
    <row r="192139" customFormat="1" x14ac:dyDescent="0.25"/>
    <row r="192140" customFormat="1" x14ac:dyDescent="0.25"/>
    <row r="192141" customFormat="1" x14ac:dyDescent="0.25"/>
    <row r="192142" customFormat="1" x14ac:dyDescent="0.25"/>
    <row r="192143" customFormat="1" x14ac:dyDescent="0.25"/>
    <row r="192144" customFormat="1" x14ac:dyDescent="0.25"/>
    <row r="192145" customFormat="1" x14ac:dyDescent="0.25"/>
    <row r="192146" customFormat="1" x14ac:dyDescent="0.25"/>
    <row r="192147" customFormat="1" x14ac:dyDescent="0.25"/>
    <row r="192148" customFormat="1" x14ac:dyDescent="0.25"/>
    <row r="192149" customFormat="1" x14ac:dyDescent="0.25"/>
    <row r="192150" customFormat="1" x14ac:dyDescent="0.25"/>
    <row r="192151" customFormat="1" x14ac:dyDescent="0.25"/>
    <row r="192152" customFormat="1" x14ac:dyDescent="0.25"/>
    <row r="192153" customFormat="1" x14ac:dyDescent="0.25"/>
    <row r="192154" customFormat="1" x14ac:dyDescent="0.25"/>
    <row r="192155" customFormat="1" x14ac:dyDescent="0.25"/>
    <row r="192156" customFormat="1" x14ac:dyDescent="0.25"/>
    <row r="192157" customFormat="1" x14ac:dyDescent="0.25"/>
    <row r="192158" customFormat="1" x14ac:dyDescent="0.25"/>
    <row r="192159" customFormat="1" x14ac:dyDescent="0.25"/>
    <row r="192160" customFormat="1" x14ac:dyDescent="0.25"/>
    <row r="192161" customFormat="1" x14ac:dyDescent="0.25"/>
    <row r="192162" customFormat="1" x14ac:dyDescent="0.25"/>
    <row r="192163" customFormat="1" x14ac:dyDescent="0.25"/>
    <row r="192164" customFormat="1" x14ac:dyDescent="0.25"/>
    <row r="192165" customFormat="1" x14ac:dyDescent="0.25"/>
    <row r="192166" customFormat="1" x14ac:dyDescent="0.25"/>
    <row r="192167" customFormat="1" x14ac:dyDescent="0.25"/>
    <row r="192168" customFormat="1" x14ac:dyDescent="0.25"/>
    <row r="192169" customFormat="1" x14ac:dyDescent="0.25"/>
    <row r="192170" customFormat="1" x14ac:dyDescent="0.25"/>
    <row r="192171" customFormat="1" x14ac:dyDescent="0.25"/>
    <row r="192172" customFormat="1" x14ac:dyDescent="0.25"/>
    <row r="192173" customFormat="1" x14ac:dyDescent="0.25"/>
    <row r="192174" customFormat="1" x14ac:dyDescent="0.25"/>
    <row r="192175" customFormat="1" x14ac:dyDescent="0.25"/>
    <row r="192176" customFormat="1" x14ac:dyDescent="0.25"/>
    <row r="192177" customFormat="1" x14ac:dyDescent="0.25"/>
    <row r="192178" customFormat="1" x14ac:dyDescent="0.25"/>
    <row r="192179" customFormat="1" x14ac:dyDescent="0.25"/>
    <row r="192180" customFormat="1" x14ac:dyDescent="0.25"/>
    <row r="192181" customFormat="1" x14ac:dyDescent="0.25"/>
    <row r="192182" customFormat="1" x14ac:dyDescent="0.25"/>
    <row r="192183" customFormat="1" x14ac:dyDescent="0.25"/>
    <row r="192184" customFormat="1" x14ac:dyDescent="0.25"/>
    <row r="192185" customFormat="1" x14ac:dyDescent="0.25"/>
    <row r="192186" customFormat="1" x14ac:dyDescent="0.25"/>
    <row r="192187" customFormat="1" x14ac:dyDescent="0.25"/>
    <row r="192188" customFormat="1" x14ac:dyDescent="0.25"/>
    <row r="192189" customFormat="1" x14ac:dyDescent="0.25"/>
    <row r="192190" customFormat="1" x14ac:dyDescent="0.25"/>
    <row r="192191" customFormat="1" x14ac:dyDescent="0.25"/>
    <row r="192192" customFormat="1" x14ac:dyDescent="0.25"/>
    <row r="192193" customFormat="1" x14ac:dyDescent="0.25"/>
    <row r="192194" customFormat="1" x14ac:dyDescent="0.25"/>
    <row r="192195" customFormat="1" x14ac:dyDescent="0.25"/>
    <row r="192196" customFormat="1" x14ac:dyDescent="0.25"/>
    <row r="192197" customFormat="1" x14ac:dyDescent="0.25"/>
    <row r="192198" customFormat="1" x14ac:dyDescent="0.25"/>
    <row r="192199" customFormat="1" x14ac:dyDescent="0.25"/>
    <row r="192200" customFormat="1" x14ac:dyDescent="0.25"/>
    <row r="192201" customFormat="1" x14ac:dyDescent="0.25"/>
    <row r="192202" customFormat="1" x14ac:dyDescent="0.25"/>
    <row r="192203" customFormat="1" x14ac:dyDescent="0.25"/>
    <row r="192204" customFormat="1" x14ac:dyDescent="0.25"/>
    <row r="192205" customFormat="1" x14ac:dyDescent="0.25"/>
    <row r="192206" customFormat="1" x14ac:dyDescent="0.25"/>
    <row r="192207" customFormat="1" x14ac:dyDescent="0.25"/>
    <row r="192208" customFormat="1" x14ac:dyDescent="0.25"/>
    <row r="192209" customFormat="1" x14ac:dyDescent="0.25"/>
    <row r="192210" customFormat="1" x14ac:dyDescent="0.25"/>
    <row r="192211" customFormat="1" x14ac:dyDescent="0.25"/>
    <row r="192212" customFormat="1" x14ac:dyDescent="0.25"/>
    <row r="192213" customFormat="1" x14ac:dyDescent="0.25"/>
    <row r="192214" customFormat="1" x14ac:dyDescent="0.25"/>
    <row r="192215" customFormat="1" x14ac:dyDescent="0.25"/>
    <row r="192216" customFormat="1" x14ac:dyDescent="0.25"/>
    <row r="192217" customFormat="1" x14ac:dyDescent="0.25"/>
    <row r="192218" customFormat="1" x14ac:dyDescent="0.25"/>
    <row r="192219" customFormat="1" x14ac:dyDescent="0.25"/>
    <row r="192220" customFormat="1" x14ac:dyDescent="0.25"/>
    <row r="192221" customFormat="1" x14ac:dyDescent="0.25"/>
    <row r="192222" customFormat="1" x14ac:dyDescent="0.25"/>
    <row r="192223" customFormat="1" x14ac:dyDescent="0.25"/>
    <row r="192224" customFormat="1" x14ac:dyDescent="0.25"/>
    <row r="192225" customFormat="1" x14ac:dyDescent="0.25"/>
    <row r="192226" customFormat="1" x14ac:dyDescent="0.25"/>
    <row r="192227" customFormat="1" x14ac:dyDescent="0.25"/>
    <row r="192228" customFormat="1" x14ac:dyDescent="0.25"/>
    <row r="192229" customFormat="1" x14ac:dyDescent="0.25"/>
    <row r="192230" customFormat="1" x14ac:dyDescent="0.25"/>
    <row r="192231" customFormat="1" x14ac:dyDescent="0.25"/>
    <row r="192232" customFormat="1" x14ac:dyDescent="0.25"/>
    <row r="192233" customFormat="1" x14ac:dyDescent="0.25"/>
    <row r="192234" customFormat="1" x14ac:dyDescent="0.25"/>
    <row r="192235" customFormat="1" x14ac:dyDescent="0.25"/>
    <row r="192236" customFormat="1" x14ac:dyDescent="0.25"/>
    <row r="192237" customFormat="1" x14ac:dyDescent="0.25"/>
    <row r="192238" customFormat="1" x14ac:dyDescent="0.25"/>
    <row r="192239" customFormat="1" x14ac:dyDescent="0.25"/>
    <row r="192240" customFormat="1" x14ac:dyDescent="0.25"/>
    <row r="192241" customFormat="1" x14ac:dyDescent="0.25"/>
    <row r="192242" customFormat="1" x14ac:dyDescent="0.25"/>
    <row r="192243" customFormat="1" x14ac:dyDescent="0.25"/>
    <row r="192244" customFormat="1" x14ac:dyDescent="0.25"/>
    <row r="192245" customFormat="1" x14ac:dyDescent="0.25"/>
    <row r="192246" customFormat="1" x14ac:dyDescent="0.25"/>
    <row r="192247" customFormat="1" x14ac:dyDescent="0.25"/>
    <row r="192248" customFormat="1" x14ac:dyDescent="0.25"/>
    <row r="192249" customFormat="1" x14ac:dyDescent="0.25"/>
    <row r="192250" customFormat="1" x14ac:dyDescent="0.25"/>
    <row r="192251" customFormat="1" x14ac:dyDescent="0.25"/>
    <row r="192252" customFormat="1" x14ac:dyDescent="0.25"/>
    <row r="192253" customFormat="1" x14ac:dyDescent="0.25"/>
    <row r="192254" customFormat="1" x14ac:dyDescent="0.25"/>
    <row r="192255" customFormat="1" x14ac:dyDescent="0.25"/>
    <row r="192256" customFormat="1" x14ac:dyDescent="0.25"/>
    <row r="192257" customFormat="1" x14ac:dyDescent="0.25"/>
    <row r="192258" customFormat="1" x14ac:dyDescent="0.25"/>
    <row r="192259" customFormat="1" x14ac:dyDescent="0.25"/>
    <row r="192260" customFormat="1" x14ac:dyDescent="0.25"/>
    <row r="192261" customFormat="1" x14ac:dyDescent="0.25"/>
    <row r="192262" customFormat="1" x14ac:dyDescent="0.25"/>
    <row r="192263" customFormat="1" x14ac:dyDescent="0.25"/>
    <row r="192264" customFormat="1" x14ac:dyDescent="0.25"/>
    <row r="192265" customFormat="1" x14ac:dyDescent="0.25"/>
    <row r="192266" customFormat="1" x14ac:dyDescent="0.25"/>
    <row r="192267" customFormat="1" x14ac:dyDescent="0.25"/>
    <row r="192268" customFormat="1" x14ac:dyDescent="0.25"/>
    <row r="192269" customFormat="1" x14ac:dyDescent="0.25"/>
    <row r="192270" customFormat="1" x14ac:dyDescent="0.25"/>
    <row r="192271" customFormat="1" x14ac:dyDescent="0.25"/>
    <row r="192272" customFormat="1" x14ac:dyDescent="0.25"/>
    <row r="192273" customFormat="1" x14ac:dyDescent="0.25"/>
    <row r="192274" customFormat="1" x14ac:dyDescent="0.25"/>
    <row r="192275" customFormat="1" x14ac:dyDescent="0.25"/>
    <row r="192276" customFormat="1" x14ac:dyDescent="0.25"/>
    <row r="192277" customFormat="1" x14ac:dyDescent="0.25"/>
    <row r="192278" customFormat="1" x14ac:dyDescent="0.25"/>
    <row r="192279" customFormat="1" x14ac:dyDescent="0.25"/>
    <row r="192280" customFormat="1" x14ac:dyDescent="0.25"/>
    <row r="192281" customFormat="1" x14ac:dyDescent="0.25"/>
    <row r="192282" customFormat="1" x14ac:dyDescent="0.25"/>
    <row r="192283" customFormat="1" x14ac:dyDescent="0.25"/>
    <row r="192284" customFormat="1" x14ac:dyDescent="0.25"/>
    <row r="192285" customFormat="1" x14ac:dyDescent="0.25"/>
    <row r="192286" customFormat="1" x14ac:dyDescent="0.25"/>
    <row r="192287" customFormat="1" x14ac:dyDescent="0.25"/>
    <row r="192288" customFormat="1" x14ac:dyDescent="0.25"/>
    <row r="192289" customFormat="1" x14ac:dyDescent="0.25"/>
    <row r="192290" customFormat="1" x14ac:dyDescent="0.25"/>
    <row r="192291" customFormat="1" x14ac:dyDescent="0.25"/>
    <row r="192292" customFormat="1" x14ac:dyDescent="0.25"/>
    <row r="192293" customFormat="1" x14ac:dyDescent="0.25"/>
    <row r="192294" customFormat="1" x14ac:dyDescent="0.25"/>
    <row r="192295" customFormat="1" x14ac:dyDescent="0.25"/>
    <row r="192296" customFormat="1" x14ac:dyDescent="0.25"/>
    <row r="192297" customFormat="1" x14ac:dyDescent="0.25"/>
    <row r="192298" customFormat="1" x14ac:dyDescent="0.25"/>
    <row r="192299" customFormat="1" x14ac:dyDescent="0.25"/>
    <row r="192300" customFormat="1" x14ac:dyDescent="0.25"/>
    <row r="192301" customFormat="1" x14ac:dyDescent="0.25"/>
    <row r="192302" customFormat="1" x14ac:dyDescent="0.25"/>
    <row r="192303" customFormat="1" x14ac:dyDescent="0.25"/>
    <row r="192304" customFormat="1" x14ac:dyDescent="0.25"/>
    <row r="192305" customFormat="1" x14ac:dyDescent="0.25"/>
    <row r="192306" customFormat="1" x14ac:dyDescent="0.25"/>
    <row r="192307" customFormat="1" x14ac:dyDescent="0.25"/>
    <row r="192308" customFormat="1" x14ac:dyDescent="0.25"/>
    <row r="192309" customFormat="1" x14ac:dyDescent="0.25"/>
    <row r="192310" customFormat="1" x14ac:dyDescent="0.25"/>
    <row r="192311" customFormat="1" x14ac:dyDescent="0.25"/>
    <row r="192312" customFormat="1" x14ac:dyDescent="0.25"/>
    <row r="192313" customFormat="1" x14ac:dyDescent="0.25"/>
    <row r="192314" customFormat="1" x14ac:dyDescent="0.25"/>
    <row r="192315" customFormat="1" x14ac:dyDescent="0.25"/>
    <row r="192316" customFormat="1" x14ac:dyDescent="0.25"/>
    <row r="192317" customFormat="1" x14ac:dyDescent="0.25"/>
    <row r="192318" customFormat="1" x14ac:dyDescent="0.25"/>
    <row r="192319" customFormat="1" x14ac:dyDescent="0.25"/>
    <row r="192320" customFormat="1" x14ac:dyDescent="0.25"/>
    <row r="192321" customFormat="1" x14ac:dyDescent="0.25"/>
    <row r="192322" customFormat="1" x14ac:dyDescent="0.25"/>
    <row r="192323" customFormat="1" x14ac:dyDescent="0.25"/>
    <row r="192324" customFormat="1" x14ac:dyDescent="0.25"/>
    <row r="192325" customFormat="1" x14ac:dyDescent="0.25"/>
    <row r="192326" customFormat="1" x14ac:dyDescent="0.25"/>
    <row r="192327" customFormat="1" x14ac:dyDescent="0.25"/>
    <row r="192328" customFormat="1" x14ac:dyDescent="0.25"/>
    <row r="192329" customFormat="1" x14ac:dyDescent="0.25"/>
    <row r="192330" customFormat="1" x14ac:dyDescent="0.25"/>
    <row r="192331" customFormat="1" x14ac:dyDescent="0.25"/>
    <row r="192332" customFormat="1" x14ac:dyDescent="0.25"/>
    <row r="192333" customFormat="1" x14ac:dyDescent="0.25"/>
    <row r="192334" customFormat="1" x14ac:dyDescent="0.25"/>
    <row r="192335" customFormat="1" x14ac:dyDescent="0.25"/>
    <row r="192336" customFormat="1" x14ac:dyDescent="0.25"/>
    <row r="192337" customFormat="1" x14ac:dyDescent="0.25"/>
    <row r="192338" customFormat="1" x14ac:dyDescent="0.25"/>
    <row r="192339" customFormat="1" x14ac:dyDescent="0.25"/>
    <row r="192340" customFormat="1" x14ac:dyDescent="0.25"/>
    <row r="192341" customFormat="1" x14ac:dyDescent="0.25"/>
    <row r="192342" customFormat="1" x14ac:dyDescent="0.25"/>
    <row r="192343" customFormat="1" x14ac:dyDescent="0.25"/>
    <row r="192344" customFormat="1" x14ac:dyDescent="0.25"/>
    <row r="192345" customFormat="1" x14ac:dyDescent="0.25"/>
    <row r="192346" customFormat="1" x14ac:dyDescent="0.25"/>
    <row r="192347" customFormat="1" x14ac:dyDescent="0.25"/>
    <row r="192348" customFormat="1" x14ac:dyDescent="0.25"/>
    <row r="192349" customFormat="1" x14ac:dyDescent="0.25"/>
    <row r="192350" customFormat="1" x14ac:dyDescent="0.25"/>
    <row r="192351" customFormat="1" x14ac:dyDescent="0.25"/>
    <row r="192352" customFormat="1" x14ac:dyDescent="0.25"/>
    <row r="192353" customFormat="1" x14ac:dyDescent="0.25"/>
    <row r="192354" customFormat="1" x14ac:dyDescent="0.25"/>
    <row r="192355" customFormat="1" x14ac:dyDescent="0.25"/>
    <row r="192356" customFormat="1" x14ac:dyDescent="0.25"/>
    <row r="192357" customFormat="1" x14ac:dyDescent="0.25"/>
    <row r="192358" customFormat="1" x14ac:dyDescent="0.25"/>
    <row r="192359" customFormat="1" x14ac:dyDescent="0.25"/>
    <row r="192360" customFormat="1" x14ac:dyDescent="0.25"/>
    <row r="192361" customFormat="1" x14ac:dyDescent="0.25"/>
    <row r="192362" customFormat="1" x14ac:dyDescent="0.25"/>
    <row r="192363" customFormat="1" x14ac:dyDescent="0.25"/>
    <row r="192364" customFormat="1" x14ac:dyDescent="0.25"/>
    <row r="192365" customFormat="1" x14ac:dyDescent="0.25"/>
    <row r="192366" customFormat="1" x14ac:dyDescent="0.25"/>
    <row r="192367" customFormat="1" x14ac:dyDescent="0.25"/>
    <row r="192368" customFormat="1" x14ac:dyDescent="0.25"/>
    <row r="192369" customFormat="1" x14ac:dyDescent="0.25"/>
    <row r="192370" customFormat="1" x14ac:dyDescent="0.25"/>
    <row r="192371" customFormat="1" x14ac:dyDescent="0.25"/>
    <row r="192372" customFormat="1" x14ac:dyDescent="0.25"/>
    <row r="192373" customFormat="1" x14ac:dyDescent="0.25"/>
    <row r="192374" customFormat="1" x14ac:dyDescent="0.25"/>
    <row r="192375" customFormat="1" x14ac:dyDescent="0.25"/>
    <row r="192376" customFormat="1" x14ac:dyDescent="0.25"/>
    <row r="192377" customFormat="1" x14ac:dyDescent="0.25"/>
    <row r="192378" customFormat="1" x14ac:dyDescent="0.25"/>
    <row r="192379" customFormat="1" x14ac:dyDescent="0.25"/>
    <row r="192380" customFormat="1" x14ac:dyDescent="0.25"/>
    <row r="192381" customFormat="1" x14ac:dyDescent="0.25"/>
    <row r="192382" customFormat="1" x14ac:dyDescent="0.25"/>
    <row r="192383" customFormat="1" x14ac:dyDescent="0.25"/>
    <row r="192384" customFormat="1" x14ac:dyDescent="0.25"/>
    <row r="192385" customFormat="1" x14ac:dyDescent="0.25"/>
    <row r="192386" customFormat="1" x14ac:dyDescent="0.25"/>
    <row r="192387" customFormat="1" x14ac:dyDescent="0.25"/>
    <row r="192388" customFormat="1" x14ac:dyDescent="0.25"/>
    <row r="192389" customFormat="1" x14ac:dyDescent="0.25"/>
    <row r="192390" customFormat="1" x14ac:dyDescent="0.25"/>
    <row r="192391" customFormat="1" x14ac:dyDescent="0.25"/>
    <row r="192392" customFormat="1" x14ac:dyDescent="0.25"/>
    <row r="192393" customFormat="1" x14ac:dyDescent="0.25"/>
    <row r="192394" customFormat="1" x14ac:dyDescent="0.25"/>
    <row r="192395" customFormat="1" x14ac:dyDescent="0.25"/>
    <row r="192396" customFormat="1" x14ac:dyDescent="0.25"/>
    <row r="192397" customFormat="1" x14ac:dyDescent="0.25"/>
    <row r="192398" customFormat="1" x14ac:dyDescent="0.25"/>
    <row r="192399" customFormat="1" x14ac:dyDescent="0.25"/>
    <row r="192400" customFormat="1" x14ac:dyDescent="0.25"/>
    <row r="192401" customFormat="1" x14ac:dyDescent="0.25"/>
    <row r="192402" customFormat="1" x14ac:dyDescent="0.25"/>
    <row r="192403" customFormat="1" x14ac:dyDescent="0.25"/>
    <row r="192404" customFormat="1" x14ac:dyDescent="0.25"/>
    <row r="192405" customFormat="1" x14ac:dyDescent="0.25"/>
    <row r="192406" customFormat="1" x14ac:dyDescent="0.25"/>
    <row r="192407" customFormat="1" x14ac:dyDescent="0.25"/>
    <row r="192408" customFormat="1" x14ac:dyDescent="0.25"/>
    <row r="192409" customFormat="1" x14ac:dyDescent="0.25"/>
    <row r="192410" customFormat="1" x14ac:dyDescent="0.25"/>
    <row r="192411" customFormat="1" x14ac:dyDescent="0.25"/>
    <row r="192412" customFormat="1" x14ac:dyDescent="0.25"/>
    <row r="192413" customFormat="1" x14ac:dyDescent="0.25"/>
    <row r="192414" customFormat="1" x14ac:dyDescent="0.25"/>
    <row r="192415" customFormat="1" x14ac:dyDescent="0.25"/>
    <row r="192416" customFormat="1" x14ac:dyDescent="0.25"/>
    <row r="192417" customFormat="1" x14ac:dyDescent="0.25"/>
    <row r="192418" customFormat="1" x14ac:dyDescent="0.25"/>
    <row r="192419" customFormat="1" x14ac:dyDescent="0.25"/>
    <row r="192420" customFormat="1" x14ac:dyDescent="0.25"/>
    <row r="192421" customFormat="1" x14ac:dyDescent="0.25"/>
    <row r="192422" customFormat="1" x14ac:dyDescent="0.25"/>
    <row r="192423" customFormat="1" x14ac:dyDescent="0.25"/>
    <row r="192424" customFormat="1" x14ac:dyDescent="0.25"/>
    <row r="192425" customFormat="1" x14ac:dyDescent="0.25"/>
    <row r="192426" customFormat="1" x14ac:dyDescent="0.25"/>
    <row r="192427" customFormat="1" x14ac:dyDescent="0.25"/>
    <row r="192428" customFormat="1" x14ac:dyDescent="0.25"/>
    <row r="192429" customFormat="1" x14ac:dyDescent="0.25"/>
    <row r="192430" customFormat="1" x14ac:dyDescent="0.25"/>
    <row r="192431" customFormat="1" x14ac:dyDescent="0.25"/>
    <row r="192432" customFormat="1" x14ac:dyDescent="0.25"/>
    <row r="192433" customFormat="1" x14ac:dyDescent="0.25"/>
    <row r="192434" customFormat="1" x14ac:dyDescent="0.25"/>
    <row r="192435" customFormat="1" x14ac:dyDescent="0.25"/>
    <row r="192436" customFormat="1" x14ac:dyDescent="0.25"/>
    <row r="192437" customFormat="1" x14ac:dyDescent="0.25"/>
    <row r="192438" customFormat="1" x14ac:dyDescent="0.25"/>
    <row r="192439" customFormat="1" x14ac:dyDescent="0.25"/>
    <row r="192440" customFormat="1" x14ac:dyDescent="0.25"/>
    <row r="192441" customFormat="1" x14ac:dyDescent="0.25"/>
    <row r="192442" customFormat="1" x14ac:dyDescent="0.25"/>
    <row r="192443" customFormat="1" x14ac:dyDescent="0.25"/>
    <row r="192444" customFormat="1" x14ac:dyDescent="0.25"/>
    <row r="192445" customFormat="1" x14ac:dyDescent="0.25"/>
    <row r="192446" customFormat="1" x14ac:dyDescent="0.25"/>
    <row r="192447" customFormat="1" x14ac:dyDescent="0.25"/>
    <row r="192448" customFormat="1" x14ac:dyDescent="0.25"/>
    <row r="192449" customFormat="1" x14ac:dyDescent="0.25"/>
    <row r="192450" customFormat="1" x14ac:dyDescent="0.25"/>
    <row r="192451" customFormat="1" x14ac:dyDescent="0.25"/>
    <row r="192452" customFormat="1" x14ac:dyDescent="0.25"/>
    <row r="192453" customFormat="1" x14ac:dyDescent="0.25"/>
    <row r="192454" customFormat="1" x14ac:dyDescent="0.25"/>
    <row r="192455" customFormat="1" x14ac:dyDescent="0.25"/>
    <row r="192456" customFormat="1" x14ac:dyDescent="0.25"/>
    <row r="192457" customFormat="1" x14ac:dyDescent="0.25"/>
    <row r="192458" customFormat="1" x14ac:dyDescent="0.25"/>
    <row r="192459" customFormat="1" x14ac:dyDescent="0.25"/>
    <row r="192460" customFormat="1" x14ac:dyDescent="0.25"/>
    <row r="192461" customFormat="1" x14ac:dyDescent="0.25"/>
    <row r="192462" customFormat="1" x14ac:dyDescent="0.25"/>
    <row r="192463" customFormat="1" x14ac:dyDescent="0.25"/>
    <row r="192464" customFormat="1" x14ac:dyDescent="0.25"/>
    <row r="192465" customFormat="1" x14ac:dyDescent="0.25"/>
    <row r="192466" customFormat="1" x14ac:dyDescent="0.25"/>
    <row r="192467" customFormat="1" x14ac:dyDescent="0.25"/>
    <row r="192468" customFormat="1" x14ac:dyDescent="0.25"/>
    <row r="192469" customFormat="1" x14ac:dyDescent="0.25"/>
    <row r="192470" customFormat="1" x14ac:dyDescent="0.25"/>
    <row r="192471" customFormat="1" x14ac:dyDescent="0.25"/>
    <row r="192472" customFormat="1" x14ac:dyDescent="0.25"/>
    <row r="192473" customFormat="1" x14ac:dyDescent="0.25"/>
    <row r="192474" customFormat="1" x14ac:dyDescent="0.25"/>
    <row r="192475" customFormat="1" x14ac:dyDescent="0.25"/>
    <row r="192476" customFormat="1" x14ac:dyDescent="0.25"/>
    <row r="192477" customFormat="1" x14ac:dyDescent="0.25"/>
    <row r="192478" customFormat="1" x14ac:dyDescent="0.25"/>
    <row r="192479" customFormat="1" x14ac:dyDescent="0.25"/>
    <row r="192480" customFormat="1" x14ac:dyDescent="0.25"/>
    <row r="192481" customFormat="1" x14ac:dyDescent="0.25"/>
    <row r="192482" customFormat="1" x14ac:dyDescent="0.25"/>
    <row r="192483" customFormat="1" x14ac:dyDescent="0.25"/>
    <row r="192484" customFormat="1" x14ac:dyDescent="0.25"/>
    <row r="192485" customFormat="1" x14ac:dyDescent="0.25"/>
    <row r="192486" customFormat="1" x14ac:dyDescent="0.25"/>
    <row r="192487" customFormat="1" x14ac:dyDescent="0.25"/>
    <row r="192488" customFormat="1" x14ac:dyDescent="0.25"/>
    <row r="192489" customFormat="1" x14ac:dyDescent="0.25"/>
    <row r="192490" customFormat="1" x14ac:dyDescent="0.25"/>
    <row r="192491" customFormat="1" x14ac:dyDescent="0.25"/>
    <row r="192492" customFormat="1" x14ac:dyDescent="0.25"/>
    <row r="192493" customFormat="1" x14ac:dyDescent="0.25"/>
    <row r="192494" customFormat="1" x14ac:dyDescent="0.25"/>
    <row r="192495" customFormat="1" x14ac:dyDescent="0.25"/>
    <row r="192496" customFormat="1" x14ac:dyDescent="0.25"/>
    <row r="192497" customFormat="1" x14ac:dyDescent="0.25"/>
    <row r="192498" customFormat="1" x14ac:dyDescent="0.25"/>
    <row r="192499" customFormat="1" x14ac:dyDescent="0.25"/>
    <row r="192500" customFormat="1" x14ac:dyDescent="0.25"/>
    <row r="192501" customFormat="1" x14ac:dyDescent="0.25"/>
    <row r="192502" customFormat="1" x14ac:dyDescent="0.25"/>
    <row r="192503" customFormat="1" x14ac:dyDescent="0.25"/>
    <row r="192504" customFormat="1" x14ac:dyDescent="0.25"/>
    <row r="192505" customFormat="1" x14ac:dyDescent="0.25"/>
    <row r="192506" customFormat="1" x14ac:dyDescent="0.25"/>
    <row r="192507" customFormat="1" x14ac:dyDescent="0.25"/>
    <row r="192508" customFormat="1" x14ac:dyDescent="0.25"/>
    <row r="192509" customFormat="1" x14ac:dyDescent="0.25"/>
    <row r="192510" customFormat="1" x14ac:dyDescent="0.25"/>
    <row r="192511" customFormat="1" x14ac:dyDescent="0.25"/>
    <row r="192512" customFormat="1" x14ac:dyDescent="0.25"/>
    <row r="192513" customFormat="1" x14ac:dyDescent="0.25"/>
    <row r="192514" customFormat="1" x14ac:dyDescent="0.25"/>
    <row r="192515" customFormat="1" x14ac:dyDescent="0.25"/>
    <row r="192516" customFormat="1" x14ac:dyDescent="0.25"/>
    <row r="192517" customFormat="1" x14ac:dyDescent="0.25"/>
    <row r="192518" customFormat="1" x14ac:dyDescent="0.25"/>
    <row r="192519" customFormat="1" x14ac:dyDescent="0.25"/>
    <row r="192520" customFormat="1" x14ac:dyDescent="0.25"/>
    <row r="192521" customFormat="1" x14ac:dyDescent="0.25"/>
    <row r="192522" customFormat="1" x14ac:dyDescent="0.25"/>
    <row r="192523" customFormat="1" x14ac:dyDescent="0.25"/>
    <row r="192524" customFormat="1" x14ac:dyDescent="0.25"/>
    <row r="192525" customFormat="1" x14ac:dyDescent="0.25"/>
    <row r="192526" customFormat="1" x14ac:dyDescent="0.25"/>
    <row r="192527" customFormat="1" x14ac:dyDescent="0.25"/>
    <row r="192528" customFormat="1" x14ac:dyDescent="0.25"/>
    <row r="192529" customFormat="1" x14ac:dyDescent="0.25"/>
    <row r="192530" customFormat="1" x14ac:dyDescent="0.25"/>
    <row r="192531" customFormat="1" x14ac:dyDescent="0.25"/>
    <row r="192532" customFormat="1" x14ac:dyDescent="0.25"/>
    <row r="192533" customFormat="1" x14ac:dyDescent="0.25"/>
    <row r="192534" customFormat="1" x14ac:dyDescent="0.25"/>
    <row r="192535" customFormat="1" x14ac:dyDescent="0.25"/>
    <row r="192536" customFormat="1" x14ac:dyDescent="0.25"/>
    <row r="192537" customFormat="1" x14ac:dyDescent="0.25"/>
    <row r="192538" customFormat="1" x14ac:dyDescent="0.25"/>
    <row r="192539" customFormat="1" x14ac:dyDescent="0.25"/>
    <row r="192540" customFormat="1" x14ac:dyDescent="0.25"/>
    <row r="192541" customFormat="1" x14ac:dyDescent="0.25"/>
    <row r="192542" customFormat="1" x14ac:dyDescent="0.25"/>
    <row r="192543" customFormat="1" x14ac:dyDescent="0.25"/>
    <row r="192544" customFormat="1" x14ac:dyDescent="0.25"/>
    <row r="192545" customFormat="1" x14ac:dyDescent="0.25"/>
    <row r="192546" customFormat="1" x14ac:dyDescent="0.25"/>
    <row r="192547" customFormat="1" x14ac:dyDescent="0.25"/>
    <row r="192548" customFormat="1" x14ac:dyDescent="0.25"/>
    <row r="192549" customFormat="1" x14ac:dyDescent="0.25"/>
    <row r="192550" customFormat="1" x14ac:dyDescent="0.25"/>
    <row r="192551" customFormat="1" x14ac:dyDescent="0.25"/>
    <row r="192552" customFormat="1" x14ac:dyDescent="0.25"/>
    <row r="192553" customFormat="1" x14ac:dyDescent="0.25"/>
    <row r="192554" customFormat="1" x14ac:dyDescent="0.25"/>
    <row r="192555" customFormat="1" x14ac:dyDescent="0.25"/>
    <row r="192556" customFormat="1" x14ac:dyDescent="0.25"/>
    <row r="192557" customFormat="1" x14ac:dyDescent="0.25"/>
    <row r="192558" customFormat="1" x14ac:dyDescent="0.25"/>
    <row r="192559" customFormat="1" x14ac:dyDescent="0.25"/>
    <row r="192560" customFormat="1" x14ac:dyDescent="0.25"/>
    <row r="192561" customFormat="1" x14ac:dyDescent="0.25"/>
    <row r="192562" customFormat="1" x14ac:dyDescent="0.25"/>
    <row r="192563" customFormat="1" x14ac:dyDescent="0.25"/>
    <row r="192564" customFormat="1" x14ac:dyDescent="0.25"/>
    <row r="192565" customFormat="1" x14ac:dyDescent="0.25"/>
    <row r="192566" customFormat="1" x14ac:dyDescent="0.25"/>
    <row r="192567" customFormat="1" x14ac:dyDescent="0.25"/>
    <row r="192568" customFormat="1" x14ac:dyDescent="0.25"/>
    <row r="192569" customFormat="1" x14ac:dyDescent="0.25"/>
    <row r="192570" customFormat="1" x14ac:dyDescent="0.25"/>
    <row r="192571" customFormat="1" x14ac:dyDescent="0.25"/>
    <row r="192572" customFormat="1" x14ac:dyDescent="0.25"/>
    <row r="192573" customFormat="1" x14ac:dyDescent="0.25"/>
    <row r="192574" customFormat="1" x14ac:dyDescent="0.25"/>
    <row r="192575" customFormat="1" x14ac:dyDescent="0.25"/>
    <row r="192576" customFormat="1" x14ac:dyDescent="0.25"/>
    <row r="192577" customFormat="1" x14ac:dyDescent="0.25"/>
    <row r="192578" customFormat="1" x14ac:dyDescent="0.25"/>
    <row r="192579" customFormat="1" x14ac:dyDescent="0.25"/>
    <row r="192580" customFormat="1" x14ac:dyDescent="0.25"/>
    <row r="192581" customFormat="1" x14ac:dyDescent="0.25"/>
    <row r="192582" customFormat="1" x14ac:dyDescent="0.25"/>
    <row r="192583" customFormat="1" x14ac:dyDescent="0.25"/>
    <row r="192584" customFormat="1" x14ac:dyDescent="0.25"/>
    <row r="192585" customFormat="1" x14ac:dyDescent="0.25"/>
    <row r="192586" customFormat="1" x14ac:dyDescent="0.25"/>
    <row r="192587" customFormat="1" x14ac:dyDescent="0.25"/>
    <row r="192588" customFormat="1" x14ac:dyDescent="0.25"/>
    <row r="192589" customFormat="1" x14ac:dyDescent="0.25"/>
    <row r="192590" customFormat="1" x14ac:dyDescent="0.25"/>
    <row r="192591" customFormat="1" x14ac:dyDescent="0.25"/>
    <row r="192592" customFormat="1" x14ac:dyDescent="0.25"/>
    <row r="192593" customFormat="1" x14ac:dyDescent="0.25"/>
    <row r="192594" customFormat="1" x14ac:dyDescent="0.25"/>
    <row r="192595" customFormat="1" x14ac:dyDescent="0.25"/>
    <row r="192596" customFormat="1" x14ac:dyDescent="0.25"/>
    <row r="192597" customFormat="1" x14ac:dyDescent="0.25"/>
    <row r="192598" customFormat="1" x14ac:dyDescent="0.25"/>
    <row r="192599" customFormat="1" x14ac:dyDescent="0.25"/>
    <row r="192600" customFormat="1" x14ac:dyDescent="0.25"/>
    <row r="192601" customFormat="1" x14ac:dyDescent="0.25"/>
    <row r="192602" customFormat="1" x14ac:dyDescent="0.25"/>
    <row r="192603" customFormat="1" x14ac:dyDescent="0.25"/>
    <row r="192604" customFormat="1" x14ac:dyDescent="0.25"/>
    <row r="192605" customFormat="1" x14ac:dyDescent="0.25"/>
    <row r="192606" customFormat="1" x14ac:dyDescent="0.25"/>
    <row r="192607" customFormat="1" x14ac:dyDescent="0.25"/>
    <row r="192608" customFormat="1" x14ac:dyDescent="0.25"/>
    <row r="192609" customFormat="1" x14ac:dyDescent="0.25"/>
    <row r="192610" customFormat="1" x14ac:dyDescent="0.25"/>
    <row r="192611" customFormat="1" x14ac:dyDescent="0.25"/>
    <row r="192612" customFormat="1" x14ac:dyDescent="0.25"/>
    <row r="192613" customFormat="1" x14ac:dyDescent="0.25"/>
    <row r="192614" customFormat="1" x14ac:dyDescent="0.25"/>
    <row r="192615" customFormat="1" x14ac:dyDescent="0.25"/>
    <row r="192616" customFormat="1" x14ac:dyDescent="0.25"/>
    <row r="192617" customFormat="1" x14ac:dyDescent="0.25"/>
    <row r="192618" customFormat="1" x14ac:dyDescent="0.25"/>
    <row r="192619" customFormat="1" x14ac:dyDescent="0.25"/>
    <row r="192620" customFormat="1" x14ac:dyDescent="0.25"/>
    <row r="192621" customFormat="1" x14ac:dyDescent="0.25"/>
    <row r="192622" customFormat="1" x14ac:dyDescent="0.25"/>
    <row r="192623" customFormat="1" x14ac:dyDescent="0.25"/>
    <row r="192624" customFormat="1" x14ac:dyDescent="0.25"/>
    <row r="192625" customFormat="1" x14ac:dyDescent="0.25"/>
    <row r="192626" customFormat="1" x14ac:dyDescent="0.25"/>
    <row r="192627" customFormat="1" x14ac:dyDescent="0.25"/>
    <row r="192628" customFormat="1" x14ac:dyDescent="0.25"/>
    <row r="192629" customFormat="1" x14ac:dyDescent="0.25"/>
    <row r="192630" customFormat="1" x14ac:dyDescent="0.25"/>
    <row r="192631" customFormat="1" x14ac:dyDescent="0.25"/>
    <row r="192632" customFormat="1" x14ac:dyDescent="0.25"/>
    <row r="192633" customFormat="1" x14ac:dyDescent="0.25"/>
    <row r="192634" customFormat="1" x14ac:dyDescent="0.25"/>
    <row r="192635" customFormat="1" x14ac:dyDescent="0.25"/>
    <row r="192636" customFormat="1" x14ac:dyDescent="0.25"/>
    <row r="192637" customFormat="1" x14ac:dyDescent="0.25"/>
    <row r="192638" customFormat="1" x14ac:dyDescent="0.25"/>
    <row r="192639" customFormat="1" x14ac:dyDescent="0.25"/>
    <row r="192640" customFormat="1" x14ac:dyDescent="0.25"/>
    <row r="192641" customFormat="1" x14ac:dyDescent="0.25"/>
    <row r="192642" customFormat="1" x14ac:dyDescent="0.25"/>
    <row r="192643" customFormat="1" x14ac:dyDescent="0.25"/>
    <row r="192644" customFormat="1" x14ac:dyDescent="0.25"/>
    <row r="192645" customFormat="1" x14ac:dyDescent="0.25"/>
    <row r="192646" customFormat="1" x14ac:dyDescent="0.25"/>
    <row r="192647" customFormat="1" x14ac:dyDescent="0.25"/>
    <row r="192648" customFormat="1" x14ac:dyDescent="0.25"/>
    <row r="192649" customFormat="1" x14ac:dyDescent="0.25"/>
    <row r="192650" customFormat="1" x14ac:dyDescent="0.25"/>
    <row r="192651" customFormat="1" x14ac:dyDescent="0.25"/>
    <row r="192652" customFormat="1" x14ac:dyDescent="0.25"/>
    <row r="192653" customFormat="1" x14ac:dyDescent="0.25"/>
    <row r="192654" customFormat="1" x14ac:dyDescent="0.25"/>
    <row r="192655" customFormat="1" x14ac:dyDescent="0.25"/>
    <row r="192656" customFormat="1" x14ac:dyDescent="0.25"/>
    <row r="192657" customFormat="1" x14ac:dyDescent="0.25"/>
    <row r="192658" customFormat="1" x14ac:dyDescent="0.25"/>
    <row r="192659" customFormat="1" x14ac:dyDescent="0.25"/>
    <row r="192660" customFormat="1" x14ac:dyDescent="0.25"/>
    <row r="192661" customFormat="1" x14ac:dyDescent="0.25"/>
    <row r="192662" customFormat="1" x14ac:dyDescent="0.25"/>
    <row r="192663" customFormat="1" x14ac:dyDescent="0.25"/>
    <row r="192664" customFormat="1" x14ac:dyDescent="0.25"/>
    <row r="192665" customFormat="1" x14ac:dyDescent="0.25"/>
    <row r="192666" customFormat="1" x14ac:dyDescent="0.25"/>
    <row r="192667" customFormat="1" x14ac:dyDescent="0.25"/>
    <row r="192668" customFormat="1" x14ac:dyDescent="0.25"/>
    <row r="192669" customFormat="1" x14ac:dyDescent="0.25"/>
    <row r="192670" customFormat="1" x14ac:dyDescent="0.25"/>
    <row r="192671" customFormat="1" x14ac:dyDescent="0.25"/>
    <row r="192672" customFormat="1" x14ac:dyDescent="0.25"/>
    <row r="192673" customFormat="1" x14ac:dyDescent="0.25"/>
    <row r="192674" customFormat="1" x14ac:dyDescent="0.25"/>
    <row r="192675" customFormat="1" x14ac:dyDescent="0.25"/>
    <row r="192676" customFormat="1" x14ac:dyDescent="0.25"/>
    <row r="192677" customFormat="1" x14ac:dyDescent="0.25"/>
    <row r="192678" customFormat="1" x14ac:dyDescent="0.25"/>
    <row r="192679" customFormat="1" x14ac:dyDescent="0.25"/>
    <row r="192680" customFormat="1" x14ac:dyDescent="0.25"/>
    <row r="192681" customFormat="1" x14ac:dyDescent="0.25"/>
    <row r="192682" customFormat="1" x14ac:dyDescent="0.25"/>
    <row r="192683" customFormat="1" x14ac:dyDescent="0.25"/>
    <row r="192684" customFormat="1" x14ac:dyDescent="0.25"/>
    <row r="192685" customFormat="1" x14ac:dyDescent="0.25"/>
    <row r="192686" customFormat="1" x14ac:dyDescent="0.25"/>
    <row r="192687" customFormat="1" x14ac:dyDescent="0.25"/>
    <row r="192688" customFormat="1" x14ac:dyDescent="0.25"/>
    <row r="192689" customFormat="1" x14ac:dyDescent="0.25"/>
    <row r="192690" customFormat="1" x14ac:dyDescent="0.25"/>
    <row r="192691" customFormat="1" x14ac:dyDescent="0.25"/>
    <row r="192692" customFormat="1" x14ac:dyDescent="0.25"/>
    <row r="192693" customFormat="1" x14ac:dyDescent="0.25"/>
    <row r="192694" customFormat="1" x14ac:dyDescent="0.25"/>
    <row r="192695" customFormat="1" x14ac:dyDescent="0.25"/>
    <row r="192696" customFormat="1" x14ac:dyDescent="0.25"/>
    <row r="192697" customFormat="1" x14ac:dyDescent="0.25"/>
    <row r="192698" customFormat="1" x14ac:dyDescent="0.25"/>
    <row r="192699" customFormat="1" x14ac:dyDescent="0.25"/>
    <row r="192700" customFormat="1" x14ac:dyDescent="0.25"/>
    <row r="192701" customFormat="1" x14ac:dyDescent="0.25"/>
    <row r="192702" customFormat="1" x14ac:dyDescent="0.25"/>
    <row r="192703" customFormat="1" x14ac:dyDescent="0.25"/>
    <row r="192704" customFormat="1" x14ac:dyDescent="0.25"/>
    <row r="192705" customFormat="1" x14ac:dyDescent="0.25"/>
    <row r="192706" customFormat="1" x14ac:dyDescent="0.25"/>
    <row r="192707" customFormat="1" x14ac:dyDescent="0.25"/>
    <row r="192708" customFormat="1" x14ac:dyDescent="0.25"/>
    <row r="192709" customFormat="1" x14ac:dyDescent="0.25"/>
    <row r="192710" customFormat="1" x14ac:dyDescent="0.25"/>
    <row r="192711" customFormat="1" x14ac:dyDescent="0.25"/>
    <row r="192712" customFormat="1" x14ac:dyDescent="0.25"/>
    <row r="192713" customFormat="1" x14ac:dyDescent="0.25"/>
    <row r="192714" customFormat="1" x14ac:dyDescent="0.25"/>
    <row r="192715" customFormat="1" x14ac:dyDescent="0.25"/>
    <row r="192716" customFormat="1" x14ac:dyDescent="0.25"/>
    <row r="192717" customFormat="1" x14ac:dyDescent="0.25"/>
    <row r="192718" customFormat="1" x14ac:dyDescent="0.25"/>
    <row r="192719" customFormat="1" x14ac:dyDescent="0.25"/>
    <row r="192720" customFormat="1" x14ac:dyDescent="0.25"/>
    <row r="192721" customFormat="1" x14ac:dyDescent="0.25"/>
    <row r="192722" customFormat="1" x14ac:dyDescent="0.25"/>
    <row r="192723" customFormat="1" x14ac:dyDescent="0.25"/>
    <row r="192724" customFormat="1" x14ac:dyDescent="0.25"/>
    <row r="192725" customFormat="1" x14ac:dyDescent="0.25"/>
    <row r="192726" customFormat="1" x14ac:dyDescent="0.25"/>
    <row r="192727" customFormat="1" x14ac:dyDescent="0.25"/>
    <row r="192728" customFormat="1" x14ac:dyDescent="0.25"/>
    <row r="192729" customFormat="1" x14ac:dyDescent="0.25"/>
    <row r="192730" customFormat="1" x14ac:dyDescent="0.25"/>
    <row r="192731" customFormat="1" x14ac:dyDescent="0.25"/>
    <row r="192732" customFormat="1" x14ac:dyDescent="0.25"/>
    <row r="192733" customFormat="1" x14ac:dyDescent="0.25"/>
    <row r="192734" customFormat="1" x14ac:dyDescent="0.25"/>
    <row r="192735" customFormat="1" x14ac:dyDescent="0.25"/>
    <row r="192736" customFormat="1" x14ac:dyDescent="0.25"/>
    <row r="192737" customFormat="1" x14ac:dyDescent="0.25"/>
    <row r="192738" customFormat="1" x14ac:dyDescent="0.25"/>
    <row r="192739" customFormat="1" x14ac:dyDescent="0.25"/>
    <row r="192740" customFormat="1" x14ac:dyDescent="0.25"/>
    <row r="192741" customFormat="1" x14ac:dyDescent="0.25"/>
    <row r="192742" customFormat="1" x14ac:dyDescent="0.25"/>
    <row r="192743" customFormat="1" x14ac:dyDescent="0.25"/>
    <row r="192744" customFormat="1" x14ac:dyDescent="0.25"/>
    <row r="192745" customFormat="1" x14ac:dyDescent="0.25"/>
    <row r="192746" customFormat="1" x14ac:dyDescent="0.25"/>
    <row r="192747" customFormat="1" x14ac:dyDescent="0.25"/>
    <row r="192748" customFormat="1" x14ac:dyDescent="0.25"/>
    <row r="192749" customFormat="1" x14ac:dyDescent="0.25"/>
    <row r="192750" customFormat="1" x14ac:dyDescent="0.25"/>
    <row r="192751" customFormat="1" x14ac:dyDescent="0.25"/>
    <row r="192752" customFormat="1" x14ac:dyDescent="0.25"/>
    <row r="192753" customFormat="1" x14ac:dyDescent="0.25"/>
    <row r="192754" customFormat="1" x14ac:dyDescent="0.25"/>
    <row r="192755" customFormat="1" x14ac:dyDescent="0.25"/>
    <row r="192756" customFormat="1" x14ac:dyDescent="0.25"/>
    <row r="192757" customFormat="1" x14ac:dyDescent="0.25"/>
    <row r="192758" customFormat="1" x14ac:dyDescent="0.25"/>
    <row r="192759" customFormat="1" x14ac:dyDescent="0.25"/>
    <row r="192760" customFormat="1" x14ac:dyDescent="0.25"/>
    <row r="192761" customFormat="1" x14ac:dyDescent="0.25"/>
    <row r="192762" customFormat="1" x14ac:dyDescent="0.25"/>
    <row r="192763" customFormat="1" x14ac:dyDescent="0.25"/>
    <row r="192764" customFormat="1" x14ac:dyDescent="0.25"/>
    <row r="192765" customFormat="1" x14ac:dyDescent="0.25"/>
    <row r="192766" customFormat="1" x14ac:dyDescent="0.25"/>
    <row r="192767" customFormat="1" x14ac:dyDescent="0.25"/>
    <row r="192768" customFormat="1" x14ac:dyDescent="0.25"/>
    <row r="192769" customFormat="1" x14ac:dyDescent="0.25"/>
    <row r="192770" customFormat="1" x14ac:dyDescent="0.25"/>
    <row r="192771" customFormat="1" x14ac:dyDescent="0.25"/>
    <row r="192772" customFormat="1" x14ac:dyDescent="0.25"/>
    <row r="192773" customFormat="1" x14ac:dyDescent="0.25"/>
    <row r="192774" customFormat="1" x14ac:dyDescent="0.25"/>
    <row r="192775" customFormat="1" x14ac:dyDescent="0.25"/>
    <row r="192776" customFormat="1" x14ac:dyDescent="0.25"/>
    <row r="192777" customFormat="1" x14ac:dyDescent="0.25"/>
    <row r="192778" customFormat="1" x14ac:dyDescent="0.25"/>
    <row r="192779" customFormat="1" x14ac:dyDescent="0.25"/>
    <row r="192780" customFormat="1" x14ac:dyDescent="0.25"/>
    <row r="192781" customFormat="1" x14ac:dyDescent="0.25"/>
    <row r="192782" customFormat="1" x14ac:dyDescent="0.25"/>
    <row r="192783" customFormat="1" x14ac:dyDescent="0.25"/>
    <row r="192784" customFormat="1" x14ac:dyDescent="0.25"/>
    <row r="192785" customFormat="1" x14ac:dyDescent="0.25"/>
    <row r="192786" customFormat="1" x14ac:dyDescent="0.25"/>
    <row r="192787" customFormat="1" x14ac:dyDescent="0.25"/>
    <row r="192788" customFormat="1" x14ac:dyDescent="0.25"/>
    <row r="192789" customFormat="1" x14ac:dyDescent="0.25"/>
    <row r="192790" customFormat="1" x14ac:dyDescent="0.25"/>
    <row r="192791" customFormat="1" x14ac:dyDescent="0.25"/>
    <row r="192792" customFormat="1" x14ac:dyDescent="0.25"/>
    <row r="192793" customFormat="1" x14ac:dyDescent="0.25"/>
    <row r="192794" customFormat="1" x14ac:dyDescent="0.25"/>
    <row r="192795" customFormat="1" x14ac:dyDescent="0.25"/>
    <row r="192796" customFormat="1" x14ac:dyDescent="0.25"/>
    <row r="192797" customFormat="1" x14ac:dyDescent="0.25"/>
    <row r="192798" customFormat="1" x14ac:dyDescent="0.25"/>
    <row r="192799" customFormat="1" x14ac:dyDescent="0.25"/>
    <row r="192800" customFormat="1" x14ac:dyDescent="0.25"/>
    <row r="192801" customFormat="1" x14ac:dyDescent="0.25"/>
    <row r="192802" customFormat="1" x14ac:dyDescent="0.25"/>
    <row r="192803" customFormat="1" x14ac:dyDescent="0.25"/>
    <row r="192804" customFormat="1" x14ac:dyDescent="0.25"/>
    <row r="192805" customFormat="1" x14ac:dyDescent="0.25"/>
    <row r="192806" customFormat="1" x14ac:dyDescent="0.25"/>
    <row r="192807" customFormat="1" x14ac:dyDescent="0.25"/>
    <row r="192808" customFormat="1" x14ac:dyDescent="0.25"/>
    <row r="192809" customFormat="1" x14ac:dyDescent="0.25"/>
    <row r="192810" customFormat="1" x14ac:dyDescent="0.25"/>
    <row r="192811" customFormat="1" x14ac:dyDescent="0.25"/>
    <row r="192812" customFormat="1" x14ac:dyDescent="0.25"/>
    <row r="192813" customFormat="1" x14ac:dyDescent="0.25"/>
    <row r="192814" customFormat="1" x14ac:dyDescent="0.25"/>
    <row r="192815" customFormat="1" x14ac:dyDescent="0.25"/>
    <row r="192816" customFormat="1" x14ac:dyDescent="0.25"/>
    <row r="192817" customFormat="1" x14ac:dyDescent="0.25"/>
    <row r="192818" customFormat="1" x14ac:dyDescent="0.25"/>
    <row r="192819" customFormat="1" x14ac:dyDescent="0.25"/>
    <row r="192820" customFormat="1" x14ac:dyDescent="0.25"/>
    <row r="192821" customFormat="1" x14ac:dyDescent="0.25"/>
    <row r="192822" customFormat="1" x14ac:dyDescent="0.25"/>
    <row r="192823" customFormat="1" x14ac:dyDescent="0.25"/>
    <row r="192824" customFormat="1" x14ac:dyDescent="0.25"/>
    <row r="192825" customFormat="1" x14ac:dyDescent="0.25"/>
    <row r="192826" customFormat="1" x14ac:dyDescent="0.25"/>
    <row r="192827" customFormat="1" x14ac:dyDescent="0.25"/>
    <row r="192828" customFormat="1" x14ac:dyDescent="0.25"/>
    <row r="192829" customFormat="1" x14ac:dyDescent="0.25"/>
    <row r="192830" customFormat="1" x14ac:dyDescent="0.25"/>
    <row r="192831" customFormat="1" x14ac:dyDescent="0.25"/>
    <row r="192832" customFormat="1" x14ac:dyDescent="0.25"/>
    <row r="192833" customFormat="1" x14ac:dyDescent="0.25"/>
    <row r="192834" customFormat="1" x14ac:dyDescent="0.25"/>
    <row r="192835" customFormat="1" x14ac:dyDescent="0.25"/>
    <row r="192836" customFormat="1" x14ac:dyDescent="0.25"/>
    <row r="192837" customFormat="1" x14ac:dyDescent="0.25"/>
    <row r="192838" customFormat="1" x14ac:dyDescent="0.25"/>
    <row r="192839" customFormat="1" x14ac:dyDescent="0.25"/>
    <row r="192840" customFormat="1" x14ac:dyDescent="0.25"/>
    <row r="192841" customFormat="1" x14ac:dyDescent="0.25"/>
    <row r="192842" customFormat="1" x14ac:dyDescent="0.25"/>
    <row r="192843" customFormat="1" x14ac:dyDescent="0.25"/>
    <row r="192844" customFormat="1" x14ac:dyDescent="0.25"/>
    <row r="192845" customFormat="1" x14ac:dyDescent="0.25"/>
    <row r="192846" customFormat="1" x14ac:dyDescent="0.25"/>
    <row r="192847" customFormat="1" x14ac:dyDescent="0.25"/>
    <row r="192848" customFormat="1" x14ac:dyDescent="0.25"/>
    <row r="192849" customFormat="1" x14ac:dyDescent="0.25"/>
    <row r="192850" customFormat="1" x14ac:dyDescent="0.25"/>
    <row r="192851" customFormat="1" x14ac:dyDescent="0.25"/>
    <row r="192852" customFormat="1" x14ac:dyDescent="0.25"/>
    <row r="192853" customFormat="1" x14ac:dyDescent="0.25"/>
    <row r="192854" customFormat="1" x14ac:dyDescent="0.25"/>
    <row r="192855" customFormat="1" x14ac:dyDescent="0.25"/>
    <row r="192856" customFormat="1" x14ac:dyDescent="0.25"/>
    <row r="192857" customFormat="1" x14ac:dyDescent="0.25"/>
    <row r="192858" customFormat="1" x14ac:dyDescent="0.25"/>
    <row r="192859" customFormat="1" x14ac:dyDescent="0.25"/>
    <row r="192860" customFormat="1" x14ac:dyDescent="0.25"/>
    <row r="192861" customFormat="1" x14ac:dyDescent="0.25"/>
    <row r="192862" customFormat="1" x14ac:dyDescent="0.25"/>
    <row r="192863" customFormat="1" x14ac:dyDescent="0.25"/>
    <row r="192864" customFormat="1" x14ac:dyDescent="0.25"/>
    <row r="192865" customFormat="1" x14ac:dyDescent="0.25"/>
    <row r="192866" customFormat="1" x14ac:dyDescent="0.25"/>
    <row r="192867" customFormat="1" x14ac:dyDescent="0.25"/>
    <row r="192868" customFormat="1" x14ac:dyDescent="0.25"/>
    <row r="192869" customFormat="1" x14ac:dyDescent="0.25"/>
    <row r="192870" customFormat="1" x14ac:dyDescent="0.25"/>
    <row r="192871" customFormat="1" x14ac:dyDescent="0.25"/>
    <row r="192872" customFormat="1" x14ac:dyDescent="0.25"/>
    <row r="192873" customFormat="1" x14ac:dyDescent="0.25"/>
    <row r="192874" customFormat="1" x14ac:dyDescent="0.25"/>
    <row r="192875" customFormat="1" x14ac:dyDescent="0.25"/>
    <row r="192876" customFormat="1" x14ac:dyDescent="0.25"/>
    <row r="192877" customFormat="1" x14ac:dyDescent="0.25"/>
    <row r="192878" customFormat="1" x14ac:dyDescent="0.25"/>
    <row r="192879" customFormat="1" x14ac:dyDescent="0.25"/>
    <row r="192880" customFormat="1" x14ac:dyDescent="0.25"/>
    <row r="192881" customFormat="1" x14ac:dyDescent="0.25"/>
    <row r="192882" customFormat="1" x14ac:dyDescent="0.25"/>
    <row r="192883" customFormat="1" x14ac:dyDescent="0.25"/>
    <row r="192884" customFormat="1" x14ac:dyDescent="0.25"/>
    <row r="192885" customFormat="1" x14ac:dyDescent="0.25"/>
    <row r="192886" customFormat="1" x14ac:dyDescent="0.25"/>
    <row r="192887" customFormat="1" x14ac:dyDescent="0.25"/>
    <row r="192888" customFormat="1" x14ac:dyDescent="0.25"/>
    <row r="192889" customFormat="1" x14ac:dyDescent="0.25"/>
    <row r="192890" customFormat="1" x14ac:dyDescent="0.25"/>
    <row r="192891" customFormat="1" x14ac:dyDescent="0.25"/>
    <row r="192892" customFormat="1" x14ac:dyDescent="0.25"/>
    <row r="192893" customFormat="1" x14ac:dyDescent="0.25"/>
    <row r="192894" customFormat="1" x14ac:dyDescent="0.25"/>
    <row r="192895" customFormat="1" x14ac:dyDescent="0.25"/>
    <row r="192896" customFormat="1" x14ac:dyDescent="0.25"/>
    <row r="192897" customFormat="1" x14ac:dyDescent="0.25"/>
    <row r="192898" customFormat="1" x14ac:dyDescent="0.25"/>
    <row r="192899" customFormat="1" x14ac:dyDescent="0.25"/>
    <row r="192900" customFormat="1" x14ac:dyDescent="0.25"/>
    <row r="192901" customFormat="1" x14ac:dyDescent="0.25"/>
    <row r="192902" customFormat="1" x14ac:dyDescent="0.25"/>
    <row r="192903" customFormat="1" x14ac:dyDescent="0.25"/>
    <row r="192904" customFormat="1" x14ac:dyDescent="0.25"/>
    <row r="192905" customFormat="1" x14ac:dyDescent="0.25"/>
    <row r="192906" customFormat="1" x14ac:dyDescent="0.25"/>
    <row r="192907" customFormat="1" x14ac:dyDescent="0.25"/>
    <row r="192908" customFormat="1" x14ac:dyDescent="0.25"/>
    <row r="192909" customFormat="1" x14ac:dyDescent="0.25"/>
    <row r="192910" customFormat="1" x14ac:dyDescent="0.25"/>
    <row r="192911" customFormat="1" x14ac:dyDescent="0.25"/>
    <row r="192912" customFormat="1" x14ac:dyDescent="0.25"/>
    <row r="192913" customFormat="1" x14ac:dyDescent="0.25"/>
    <row r="192914" customFormat="1" x14ac:dyDescent="0.25"/>
    <row r="192915" customFormat="1" x14ac:dyDescent="0.25"/>
    <row r="192916" customFormat="1" x14ac:dyDescent="0.25"/>
    <row r="192917" customFormat="1" x14ac:dyDescent="0.25"/>
    <row r="192918" customFormat="1" x14ac:dyDescent="0.25"/>
    <row r="192919" customFormat="1" x14ac:dyDescent="0.25"/>
    <row r="192920" customFormat="1" x14ac:dyDescent="0.25"/>
    <row r="192921" customFormat="1" x14ac:dyDescent="0.25"/>
    <row r="192922" customFormat="1" x14ac:dyDescent="0.25"/>
    <row r="192923" customFormat="1" x14ac:dyDescent="0.25"/>
    <row r="192924" customFormat="1" x14ac:dyDescent="0.25"/>
    <row r="192925" customFormat="1" x14ac:dyDescent="0.25"/>
    <row r="192926" customFormat="1" x14ac:dyDescent="0.25"/>
    <row r="192927" customFormat="1" x14ac:dyDescent="0.25"/>
    <row r="192928" customFormat="1" x14ac:dyDescent="0.25"/>
    <row r="192929" customFormat="1" x14ac:dyDescent="0.25"/>
    <row r="192930" customFormat="1" x14ac:dyDescent="0.25"/>
    <row r="192931" customFormat="1" x14ac:dyDescent="0.25"/>
    <row r="192932" customFormat="1" x14ac:dyDescent="0.25"/>
    <row r="192933" customFormat="1" x14ac:dyDescent="0.25"/>
    <row r="192934" customFormat="1" x14ac:dyDescent="0.25"/>
    <row r="192935" customFormat="1" x14ac:dyDescent="0.25"/>
    <row r="192936" customFormat="1" x14ac:dyDescent="0.25"/>
    <row r="192937" customFormat="1" x14ac:dyDescent="0.25"/>
    <row r="192938" customFormat="1" x14ac:dyDescent="0.25"/>
    <row r="192939" customFormat="1" x14ac:dyDescent="0.25"/>
    <row r="192940" customFormat="1" x14ac:dyDescent="0.25"/>
    <row r="192941" customFormat="1" x14ac:dyDescent="0.25"/>
    <row r="192942" customFormat="1" x14ac:dyDescent="0.25"/>
    <row r="192943" customFormat="1" x14ac:dyDescent="0.25"/>
    <row r="192944" customFormat="1" x14ac:dyDescent="0.25"/>
    <row r="192945" customFormat="1" x14ac:dyDescent="0.25"/>
    <row r="192946" customFormat="1" x14ac:dyDescent="0.25"/>
    <row r="192947" customFormat="1" x14ac:dyDescent="0.25"/>
    <row r="192948" customFormat="1" x14ac:dyDescent="0.25"/>
    <row r="192949" customFormat="1" x14ac:dyDescent="0.25"/>
    <row r="192950" customFormat="1" x14ac:dyDescent="0.25"/>
    <row r="192951" customFormat="1" x14ac:dyDescent="0.25"/>
    <row r="192952" customFormat="1" x14ac:dyDescent="0.25"/>
    <row r="192953" customFormat="1" x14ac:dyDescent="0.25"/>
    <row r="192954" customFormat="1" x14ac:dyDescent="0.25"/>
    <row r="192955" customFormat="1" x14ac:dyDescent="0.25"/>
    <row r="192956" customFormat="1" x14ac:dyDescent="0.25"/>
    <row r="192957" customFormat="1" x14ac:dyDescent="0.25"/>
    <row r="192958" customFormat="1" x14ac:dyDescent="0.25"/>
    <row r="192959" customFormat="1" x14ac:dyDescent="0.25"/>
    <row r="192960" customFormat="1" x14ac:dyDescent="0.25"/>
    <row r="192961" customFormat="1" x14ac:dyDescent="0.25"/>
    <row r="192962" customFormat="1" x14ac:dyDescent="0.25"/>
    <row r="192963" customFormat="1" x14ac:dyDescent="0.25"/>
    <row r="192964" customFormat="1" x14ac:dyDescent="0.25"/>
    <row r="192965" customFormat="1" x14ac:dyDescent="0.25"/>
    <row r="192966" customFormat="1" x14ac:dyDescent="0.25"/>
    <row r="192967" customFormat="1" x14ac:dyDescent="0.25"/>
    <row r="192968" customFormat="1" x14ac:dyDescent="0.25"/>
    <row r="192969" customFormat="1" x14ac:dyDescent="0.25"/>
    <row r="192970" customFormat="1" x14ac:dyDescent="0.25"/>
    <row r="192971" customFormat="1" x14ac:dyDescent="0.25"/>
    <row r="192972" customFormat="1" x14ac:dyDescent="0.25"/>
    <row r="192973" customFormat="1" x14ac:dyDescent="0.25"/>
    <row r="192974" customFormat="1" x14ac:dyDescent="0.25"/>
    <row r="192975" customFormat="1" x14ac:dyDescent="0.25"/>
    <row r="192976" customFormat="1" x14ac:dyDescent="0.25"/>
    <row r="192977" customFormat="1" x14ac:dyDescent="0.25"/>
    <row r="192978" customFormat="1" x14ac:dyDescent="0.25"/>
    <row r="192979" customFormat="1" x14ac:dyDescent="0.25"/>
    <row r="192980" customFormat="1" x14ac:dyDescent="0.25"/>
    <row r="192981" customFormat="1" x14ac:dyDescent="0.25"/>
    <row r="192982" customFormat="1" x14ac:dyDescent="0.25"/>
    <row r="192983" customFormat="1" x14ac:dyDescent="0.25"/>
    <row r="192984" customFormat="1" x14ac:dyDescent="0.25"/>
    <row r="192985" customFormat="1" x14ac:dyDescent="0.25"/>
    <row r="192986" customFormat="1" x14ac:dyDescent="0.25"/>
    <row r="192987" customFormat="1" x14ac:dyDescent="0.25"/>
    <row r="192988" customFormat="1" x14ac:dyDescent="0.25"/>
    <row r="192989" customFormat="1" x14ac:dyDescent="0.25"/>
    <row r="192990" customFormat="1" x14ac:dyDescent="0.25"/>
    <row r="192991" customFormat="1" x14ac:dyDescent="0.25"/>
    <row r="192992" customFormat="1" x14ac:dyDescent="0.25"/>
    <row r="192993" customFormat="1" x14ac:dyDescent="0.25"/>
    <row r="192994" customFormat="1" x14ac:dyDescent="0.25"/>
    <row r="192995" customFormat="1" x14ac:dyDescent="0.25"/>
    <row r="192996" customFormat="1" x14ac:dyDescent="0.25"/>
    <row r="192997" customFormat="1" x14ac:dyDescent="0.25"/>
    <row r="192998" customFormat="1" x14ac:dyDescent="0.25"/>
    <row r="192999" customFormat="1" x14ac:dyDescent="0.25"/>
    <row r="193000" customFormat="1" x14ac:dyDescent="0.25"/>
    <row r="193001" customFormat="1" x14ac:dyDescent="0.25"/>
    <row r="193002" customFormat="1" x14ac:dyDescent="0.25"/>
    <row r="193003" customFormat="1" x14ac:dyDescent="0.25"/>
    <row r="193004" customFormat="1" x14ac:dyDescent="0.25"/>
    <row r="193005" customFormat="1" x14ac:dyDescent="0.25"/>
    <row r="193006" customFormat="1" x14ac:dyDescent="0.25"/>
    <row r="193007" customFormat="1" x14ac:dyDescent="0.25"/>
    <row r="193008" customFormat="1" x14ac:dyDescent="0.25"/>
    <row r="193009" customFormat="1" x14ac:dyDescent="0.25"/>
    <row r="193010" customFormat="1" x14ac:dyDescent="0.25"/>
    <row r="193011" customFormat="1" x14ac:dyDescent="0.25"/>
    <row r="193012" customFormat="1" x14ac:dyDescent="0.25"/>
    <row r="193013" customFormat="1" x14ac:dyDescent="0.25"/>
    <row r="193014" customFormat="1" x14ac:dyDescent="0.25"/>
    <row r="193015" customFormat="1" x14ac:dyDescent="0.25"/>
    <row r="193016" customFormat="1" x14ac:dyDescent="0.25"/>
    <row r="193017" customFormat="1" x14ac:dyDescent="0.25"/>
    <row r="193018" customFormat="1" x14ac:dyDescent="0.25"/>
    <row r="193019" customFormat="1" x14ac:dyDescent="0.25"/>
    <row r="193020" customFormat="1" x14ac:dyDescent="0.25"/>
    <row r="193021" customFormat="1" x14ac:dyDescent="0.25"/>
    <row r="193022" customFormat="1" x14ac:dyDescent="0.25"/>
    <row r="193023" customFormat="1" x14ac:dyDescent="0.25"/>
    <row r="193024" customFormat="1" x14ac:dyDescent="0.25"/>
    <row r="193025" customFormat="1" x14ac:dyDescent="0.25"/>
    <row r="193026" customFormat="1" x14ac:dyDescent="0.25"/>
    <row r="193027" customFormat="1" x14ac:dyDescent="0.25"/>
    <row r="193028" customFormat="1" x14ac:dyDescent="0.25"/>
    <row r="193029" customFormat="1" x14ac:dyDescent="0.25"/>
    <row r="193030" customFormat="1" x14ac:dyDescent="0.25"/>
    <row r="193031" customFormat="1" x14ac:dyDescent="0.25"/>
    <row r="193032" customFormat="1" x14ac:dyDescent="0.25"/>
    <row r="193033" customFormat="1" x14ac:dyDescent="0.25"/>
    <row r="193034" customFormat="1" x14ac:dyDescent="0.25"/>
    <row r="193035" customFormat="1" x14ac:dyDescent="0.25"/>
    <row r="193036" customFormat="1" x14ac:dyDescent="0.25"/>
    <row r="193037" customFormat="1" x14ac:dyDescent="0.25"/>
    <row r="193038" customFormat="1" x14ac:dyDescent="0.25"/>
    <row r="193039" customFormat="1" x14ac:dyDescent="0.25"/>
    <row r="193040" customFormat="1" x14ac:dyDescent="0.25"/>
    <row r="193041" customFormat="1" x14ac:dyDescent="0.25"/>
    <row r="193042" customFormat="1" x14ac:dyDescent="0.25"/>
    <row r="193043" customFormat="1" x14ac:dyDescent="0.25"/>
    <row r="193044" customFormat="1" x14ac:dyDescent="0.25"/>
    <row r="193045" customFormat="1" x14ac:dyDescent="0.25"/>
    <row r="193046" customFormat="1" x14ac:dyDescent="0.25"/>
    <row r="193047" customFormat="1" x14ac:dyDescent="0.25"/>
    <row r="193048" customFormat="1" x14ac:dyDescent="0.25"/>
    <row r="193049" customFormat="1" x14ac:dyDescent="0.25"/>
    <row r="193050" customFormat="1" x14ac:dyDescent="0.25"/>
    <row r="193051" customFormat="1" x14ac:dyDescent="0.25"/>
    <row r="193052" customFormat="1" x14ac:dyDescent="0.25"/>
    <row r="193053" customFormat="1" x14ac:dyDescent="0.25"/>
    <row r="193054" customFormat="1" x14ac:dyDescent="0.25"/>
    <row r="193055" customFormat="1" x14ac:dyDescent="0.25"/>
    <row r="193056" customFormat="1" x14ac:dyDescent="0.25"/>
    <row r="193057" customFormat="1" x14ac:dyDescent="0.25"/>
    <row r="193058" customFormat="1" x14ac:dyDescent="0.25"/>
    <row r="193059" customFormat="1" x14ac:dyDescent="0.25"/>
    <row r="193060" customFormat="1" x14ac:dyDescent="0.25"/>
    <row r="193061" customFormat="1" x14ac:dyDescent="0.25"/>
    <row r="193062" customFormat="1" x14ac:dyDescent="0.25"/>
    <row r="193063" customFormat="1" x14ac:dyDescent="0.25"/>
    <row r="193064" customFormat="1" x14ac:dyDescent="0.25"/>
    <row r="193065" customFormat="1" x14ac:dyDescent="0.25"/>
    <row r="193066" customFormat="1" x14ac:dyDescent="0.25"/>
    <row r="193067" customFormat="1" x14ac:dyDescent="0.25"/>
    <row r="193068" customFormat="1" x14ac:dyDescent="0.25"/>
    <row r="193069" customFormat="1" x14ac:dyDescent="0.25"/>
    <row r="193070" customFormat="1" x14ac:dyDescent="0.25"/>
    <row r="193071" customFormat="1" x14ac:dyDescent="0.25"/>
    <row r="193072" customFormat="1" x14ac:dyDescent="0.25"/>
    <row r="193073" customFormat="1" x14ac:dyDescent="0.25"/>
    <row r="193074" customFormat="1" x14ac:dyDescent="0.25"/>
    <row r="193075" customFormat="1" x14ac:dyDescent="0.25"/>
    <row r="193076" customFormat="1" x14ac:dyDescent="0.25"/>
    <row r="193077" customFormat="1" x14ac:dyDescent="0.25"/>
    <row r="193078" customFormat="1" x14ac:dyDescent="0.25"/>
    <row r="193079" customFormat="1" x14ac:dyDescent="0.25"/>
    <row r="193080" customFormat="1" x14ac:dyDescent="0.25"/>
    <row r="193081" customFormat="1" x14ac:dyDescent="0.25"/>
    <row r="193082" customFormat="1" x14ac:dyDescent="0.25"/>
    <row r="193083" customFormat="1" x14ac:dyDescent="0.25"/>
    <row r="193084" customFormat="1" x14ac:dyDescent="0.25"/>
    <row r="193085" customFormat="1" x14ac:dyDescent="0.25"/>
    <row r="193086" customFormat="1" x14ac:dyDescent="0.25"/>
    <row r="193087" customFormat="1" x14ac:dyDescent="0.25"/>
    <row r="193088" customFormat="1" x14ac:dyDescent="0.25"/>
    <row r="193089" customFormat="1" x14ac:dyDescent="0.25"/>
    <row r="193090" customFormat="1" x14ac:dyDescent="0.25"/>
    <row r="193091" customFormat="1" x14ac:dyDescent="0.25"/>
    <row r="193092" customFormat="1" x14ac:dyDescent="0.25"/>
    <row r="193093" customFormat="1" x14ac:dyDescent="0.25"/>
    <row r="193094" customFormat="1" x14ac:dyDescent="0.25"/>
    <row r="193095" customFormat="1" x14ac:dyDescent="0.25"/>
    <row r="193096" customFormat="1" x14ac:dyDescent="0.25"/>
    <row r="193097" customFormat="1" x14ac:dyDescent="0.25"/>
    <row r="193098" customFormat="1" x14ac:dyDescent="0.25"/>
    <row r="193099" customFormat="1" x14ac:dyDescent="0.25"/>
    <row r="193100" customFormat="1" x14ac:dyDescent="0.25"/>
    <row r="193101" customFormat="1" x14ac:dyDescent="0.25"/>
    <row r="193102" customFormat="1" x14ac:dyDescent="0.25"/>
    <row r="193103" customFormat="1" x14ac:dyDescent="0.25"/>
    <row r="193104" customFormat="1" x14ac:dyDescent="0.25"/>
    <row r="193105" customFormat="1" x14ac:dyDescent="0.25"/>
    <row r="193106" customFormat="1" x14ac:dyDescent="0.25"/>
    <row r="193107" customFormat="1" x14ac:dyDescent="0.25"/>
    <row r="193108" customFormat="1" x14ac:dyDescent="0.25"/>
    <row r="193109" customFormat="1" x14ac:dyDescent="0.25"/>
    <row r="193110" customFormat="1" x14ac:dyDescent="0.25"/>
    <row r="193111" customFormat="1" x14ac:dyDescent="0.25"/>
    <row r="193112" customFormat="1" x14ac:dyDescent="0.25"/>
    <row r="193113" customFormat="1" x14ac:dyDescent="0.25"/>
    <row r="193114" customFormat="1" x14ac:dyDescent="0.25"/>
    <row r="193115" customFormat="1" x14ac:dyDescent="0.25"/>
    <row r="193116" customFormat="1" x14ac:dyDescent="0.25"/>
    <row r="193117" customFormat="1" x14ac:dyDescent="0.25"/>
    <row r="193118" customFormat="1" x14ac:dyDescent="0.25"/>
    <row r="193119" customFormat="1" x14ac:dyDescent="0.25"/>
    <row r="193120" customFormat="1" x14ac:dyDescent="0.25"/>
    <row r="193121" customFormat="1" x14ac:dyDescent="0.25"/>
    <row r="193122" customFormat="1" x14ac:dyDescent="0.25"/>
    <row r="193123" customFormat="1" x14ac:dyDescent="0.25"/>
    <row r="193124" customFormat="1" x14ac:dyDescent="0.25"/>
    <row r="193125" customFormat="1" x14ac:dyDescent="0.25"/>
    <row r="193126" customFormat="1" x14ac:dyDescent="0.25"/>
    <row r="193127" customFormat="1" x14ac:dyDescent="0.25"/>
    <row r="193128" customFormat="1" x14ac:dyDescent="0.25"/>
    <row r="193129" customFormat="1" x14ac:dyDescent="0.25"/>
    <row r="193130" customFormat="1" x14ac:dyDescent="0.25"/>
    <row r="193131" customFormat="1" x14ac:dyDescent="0.25"/>
    <row r="193132" customFormat="1" x14ac:dyDescent="0.25"/>
    <row r="193133" customFormat="1" x14ac:dyDescent="0.25"/>
    <row r="193134" customFormat="1" x14ac:dyDescent="0.25"/>
    <row r="193135" customFormat="1" x14ac:dyDescent="0.25"/>
    <row r="193136" customFormat="1" x14ac:dyDescent="0.25"/>
    <row r="193137" customFormat="1" x14ac:dyDescent="0.25"/>
    <row r="193138" customFormat="1" x14ac:dyDescent="0.25"/>
    <row r="193139" customFormat="1" x14ac:dyDescent="0.25"/>
    <row r="193140" customFormat="1" x14ac:dyDescent="0.25"/>
    <row r="193141" customFormat="1" x14ac:dyDescent="0.25"/>
    <row r="193142" customFormat="1" x14ac:dyDescent="0.25"/>
    <row r="193143" customFormat="1" x14ac:dyDescent="0.25"/>
    <row r="193144" customFormat="1" x14ac:dyDescent="0.25"/>
    <row r="193145" customFormat="1" x14ac:dyDescent="0.25"/>
    <row r="193146" customFormat="1" x14ac:dyDescent="0.25"/>
    <row r="193147" customFormat="1" x14ac:dyDescent="0.25"/>
    <row r="193148" customFormat="1" x14ac:dyDescent="0.25"/>
    <row r="193149" customFormat="1" x14ac:dyDescent="0.25"/>
    <row r="193150" customFormat="1" x14ac:dyDescent="0.25"/>
    <row r="193151" customFormat="1" x14ac:dyDescent="0.25"/>
    <row r="193152" customFormat="1" x14ac:dyDescent="0.25"/>
    <row r="193153" customFormat="1" x14ac:dyDescent="0.25"/>
    <row r="193154" customFormat="1" x14ac:dyDescent="0.25"/>
    <row r="193155" customFormat="1" x14ac:dyDescent="0.25"/>
    <row r="193156" customFormat="1" x14ac:dyDescent="0.25"/>
    <row r="193157" customFormat="1" x14ac:dyDescent="0.25"/>
    <row r="193158" customFormat="1" x14ac:dyDescent="0.25"/>
    <row r="193159" customFormat="1" x14ac:dyDescent="0.25"/>
    <row r="193160" customFormat="1" x14ac:dyDescent="0.25"/>
    <row r="193161" customFormat="1" x14ac:dyDescent="0.25"/>
    <row r="193162" customFormat="1" x14ac:dyDescent="0.25"/>
    <row r="193163" customFormat="1" x14ac:dyDescent="0.25"/>
    <row r="193164" customFormat="1" x14ac:dyDescent="0.25"/>
    <row r="193165" customFormat="1" x14ac:dyDescent="0.25"/>
    <row r="193166" customFormat="1" x14ac:dyDescent="0.25"/>
    <row r="193167" customFormat="1" x14ac:dyDescent="0.25"/>
    <row r="193168" customFormat="1" x14ac:dyDescent="0.25"/>
    <row r="193169" customFormat="1" x14ac:dyDescent="0.25"/>
    <row r="193170" customFormat="1" x14ac:dyDescent="0.25"/>
    <row r="193171" customFormat="1" x14ac:dyDescent="0.25"/>
    <row r="193172" customFormat="1" x14ac:dyDescent="0.25"/>
    <row r="193173" customFormat="1" x14ac:dyDescent="0.25"/>
    <row r="193174" customFormat="1" x14ac:dyDescent="0.25"/>
    <row r="193175" customFormat="1" x14ac:dyDescent="0.25"/>
    <row r="193176" customFormat="1" x14ac:dyDescent="0.25"/>
    <row r="193177" customFormat="1" x14ac:dyDescent="0.25"/>
    <row r="193178" customFormat="1" x14ac:dyDescent="0.25"/>
    <row r="193179" customFormat="1" x14ac:dyDescent="0.25"/>
    <row r="193180" customFormat="1" x14ac:dyDescent="0.25"/>
    <row r="193181" customFormat="1" x14ac:dyDescent="0.25"/>
    <row r="193182" customFormat="1" x14ac:dyDescent="0.25"/>
    <row r="193183" customFormat="1" x14ac:dyDescent="0.25"/>
    <row r="193184" customFormat="1" x14ac:dyDescent="0.25"/>
    <row r="193185" customFormat="1" x14ac:dyDescent="0.25"/>
    <row r="193186" customFormat="1" x14ac:dyDescent="0.25"/>
    <row r="193187" customFormat="1" x14ac:dyDescent="0.25"/>
    <row r="193188" customFormat="1" x14ac:dyDescent="0.25"/>
    <row r="193189" customFormat="1" x14ac:dyDescent="0.25"/>
    <row r="193190" customFormat="1" x14ac:dyDescent="0.25"/>
    <row r="193191" customFormat="1" x14ac:dyDescent="0.25"/>
    <row r="193192" customFormat="1" x14ac:dyDescent="0.25"/>
    <row r="193193" customFormat="1" x14ac:dyDescent="0.25"/>
    <row r="193194" customFormat="1" x14ac:dyDescent="0.25"/>
    <row r="193195" customFormat="1" x14ac:dyDescent="0.25"/>
    <row r="193196" customFormat="1" x14ac:dyDescent="0.25"/>
    <row r="193197" customFormat="1" x14ac:dyDescent="0.25"/>
    <row r="193198" customFormat="1" x14ac:dyDescent="0.25"/>
    <row r="193199" customFormat="1" x14ac:dyDescent="0.25"/>
    <row r="193200" customFormat="1" x14ac:dyDescent="0.25"/>
    <row r="193201" customFormat="1" x14ac:dyDescent="0.25"/>
    <row r="193202" customFormat="1" x14ac:dyDescent="0.25"/>
    <row r="193203" customFormat="1" x14ac:dyDescent="0.25"/>
    <row r="193204" customFormat="1" x14ac:dyDescent="0.25"/>
    <row r="193205" customFormat="1" x14ac:dyDescent="0.25"/>
    <row r="193206" customFormat="1" x14ac:dyDescent="0.25"/>
    <row r="193207" customFormat="1" x14ac:dyDescent="0.25"/>
    <row r="193208" customFormat="1" x14ac:dyDescent="0.25"/>
    <row r="193209" customFormat="1" x14ac:dyDescent="0.25"/>
    <row r="193210" customFormat="1" x14ac:dyDescent="0.25"/>
    <row r="193211" customFormat="1" x14ac:dyDescent="0.25"/>
    <row r="193212" customFormat="1" x14ac:dyDescent="0.25"/>
    <row r="193213" customFormat="1" x14ac:dyDescent="0.25"/>
    <row r="193214" customFormat="1" x14ac:dyDescent="0.25"/>
    <row r="193215" customFormat="1" x14ac:dyDescent="0.25"/>
    <row r="193216" customFormat="1" x14ac:dyDescent="0.25"/>
    <row r="193217" customFormat="1" x14ac:dyDescent="0.25"/>
    <row r="193218" customFormat="1" x14ac:dyDescent="0.25"/>
    <row r="193219" customFormat="1" x14ac:dyDescent="0.25"/>
    <row r="193220" customFormat="1" x14ac:dyDescent="0.25"/>
    <row r="193221" customFormat="1" x14ac:dyDescent="0.25"/>
    <row r="193222" customFormat="1" x14ac:dyDescent="0.25"/>
    <row r="193223" customFormat="1" x14ac:dyDescent="0.25"/>
    <row r="193224" customFormat="1" x14ac:dyDescent="0.25"/>
    <row r="193225" customFormat="1" x14ac:dyDescent="0.25"/>
    <row r="193226" customFormat="1" x14ac:dyDescent="0.25"/>
    <row r="193227" customFormat="1" x14ac:dyDescent="0.25"/>
    <row r="193228" customFormat="1" x14ac:dyDescent="0.25"/>
    <row r="193229" customFormat="1" x14ac:dyDescent="0.25"/>
    <row r="193230" customFormat="1" x14ac:dyDescent="0.25"/>
    <row r="193231" customFormat="1" x14ac:dyDescent="0.25"/>
    <row r="193232" customFormat="1" x14ac:dyDescent="0.25"/>
    <row r="193233" customFormat="1" x14ac:dyDescent="0.25"/>
    <row r="193234" customFormat="1" x14ac:dyDescent="0.25"/>
    <row r="193235" customFormat="1" x14ac:dyDescent="0.25"/>
    <row r="193236" customFormat="1" x14ac:dyDescent="0.25"/>
    <row r="193237" customFormat="1" x14ac:dyDescent="0.25"/>
    <row r="193238" customFormat="1" x14ac:dyDescent="0.25"/>
    <row r="193239" customFormat="1" x14ac:dyDescent="0.25"/>
    <row r="193240" customFormat="1" x14ac:dyDescent="0.25"/>
    <row r="193241" customFormat="1" x14ac:dyDescent="0.25"/>
    <row r="193242" customFormat="1" x14ac:dyDescent="0.25"/>
    <row r="193243" customFormat="1" x14ac:dyDescent="0.25"/>
    <row r="193244" customFormat="1" x14ac:dyDescent="0.25"/>
    <row r="193245" customFormat="1" x14ac:dyDescent="0.25"/>
    <row r="193246" customFormat="1" x14ac:dyDescent="0.25"/>
    <row r="193247" customFormat="1" x14ac:dyDescent="0.25"/>
    <row r="193248" customFormat="1" x14ac:dyDescent="0.25"/>
    <row r="193249" customFormat="1" x14ac:dyDescent="0.25"/>
    <row r="193250" customFormat="1" x14ac:dyDescent="0.25"/>
    <row r="193251" customFormat="1" x14ac:dyDescent="0.25"/>
    <row r="193252" customFormat="1" x14ac:dyDescent="0.25"/>
    <row r="193253" customFormat="1" x14ac:dyDescent="0.25"/>
    <row r="193254" customFormat="1" x14ac:dyDescent="0.25"/>
    <row r="193255" customFormat="1" x14ac:dyDescent="0.25"/>
    <row r="193256" customFormat="1" x14ac:dyDescent="0.25"/>
    <row r="193257" customFormat="1" x14ac:dyDescent="0.25"/>
    <row r="193258" customFormat="1" x14ac:dyDescent="0.25"/>
    <row r="193259" customFormat="1" x14ac:dyDescent="0.25"/>
    <row r="193260" customFormat="1" x14ac:dyDescent="0.25"/>
    <row r="193261" customFormat="1" x14ac:dyDescent="0.25"/>
    <row r="193262" customFormat="1" x14ac:dyDescent="0.25"/>
    <row r="193263" customFormat="1" x14ac:dyDescent="0.25"/>
    <row r="193264" customFormat="1" x14ac:dyDescent="0.25"/>
    <row r="193265" customFormat="1" x14ac:dyDescent="0.25"/>
    <row r="193266" customFormat="1" x14ac:dyDescent="0.25"/>
    <row r="193267" customFormat="1" x14ac:dyDescent="0.25"/>
    <row r="193268" customFormat="1" x14ac:dyDescent="0.25"/>
    <row r="193269" customFormat="1" x14ac:dyDescent="0.25"/>
    <row r="193270" customFormat="1" x14ac:dyDescent="0.25"/>
    <row r="193271" customFormat="1" x14ac:dyDescent="0.25"/>
    <row r="193272" customFormat="1" x14ac:dyDescent="0.25"/>
    <row r="193273" customFormat="1" x14ac:dyDescent="0.25"/>
    <row r="193274" customFormat="1" x14ac:dyDescent="0.25"/>
    <row r="193275" customFormat="1" x14ac:dyDescent="0.25"/>
    <row r="193276" customFormat="1" x14ac:dyDescent="0.25"/>
    <row r="193277" customFormat="1" x14ac:dyDescent="0.25"/>
    <row r="193278" customFormat="1" x14ac:dyDescent="0.25"/>
    <row r="193279" customFormat="1" x14ac:dyDescent="0.25"/>
    <row r="193280" customFormat="1" x14ac:dyDescent="0.25"/>
    <row r="193281" customFormat="1" x14ac:dyDescent="0.25"/>
    <row r="193282" customFormat="1" x14ac:dyDescent="0.25"/>
    <row r="193283" customFormat="1" x14ac:dyDescent="0.25"/>
    <row r="193284" customFormat="1" x14ac:dyDescent="0.25"/>
    <row r="193285" customFormat="1" x14ac:dyDescent="0.25"/>
    <row r="193286" customFormat="1" x14ac:dyDescent="0.25"/>
    <row r="193287" customFormat="1" x14ac:dyDescent="0.25"/>
    <row r="193288" customFormat="1" x14ac:dyDescent="0.25"/>
    <row r="193289" customFormat="1" x14ac:dyDescent="0.25"/>
    <row r="193290" customFormat="1" x14ac:dyDescent="0.25"/>
    <row r="193291" customFormat="1" x14ac:dyDescent="0.25"/>
    <row r="193292" customFormat="1" x14ac:dyDescent="0.25"/>
    <row r="193293" customFormat="1" x14ac:dyDescent="0.25"/>
    <row r="193294" customFormat="1" x14ac:dyDescent="0.25"/>
    <row r="193295" customFormat="1" x14ac:dyDescent="0.25"/>
    <row r="193296" customFormat="1" x14ac:dyDescent="0.25"/>
    <row r="193297" customFormat="1" x14ac:dyDescent="0.25"/>
    <row r="193298" customFormat="1" x14ac:dyDescent="0.25"/>
    <row r="193299" customFormat="1" x14ac:dyDescent="0.25"/>
    <row r="193300" customFormat="1" x14ac:dyDescent="0.25"/>
    <row r="193301" customFormat="1" x14ac:dyDescent="0.25"/>
    <row r="193302" customFormat="1" x14ac:dyDescent="0.25"/>
    <row r="193303" customFormat="1" x14ac:dyDescent="0.25"/>
    <row r="193304" customFormat="1" x14ac:dyDescent="0.25"/>
    <row r="193305" customFormat="1" x14ac:dyDescent="0.25"/>
    <row r="193306" customFormat="1" x14ac:dyDescent="0.25"/>
    <row r="193307" customFormat="1" x14ac:dyDescent="0.25"/>
    <row r="193308" customFormat="1" x14ac:dyDescent="0.25"/>
    <row r="193309" customFormat="1" x14ac:dyDescent="0.25"/>
    <row r="193310" customFormat="1" x14ac:dyDescent="0.25"/>
    <row r="193311" customFormat="1" x14ac:dyDescent="0.25"/>
    <row r="193312" customFormat="1" x14ac:dyDescent="0.25"/>
    <row r="193313" customFormat="1" x14ac:dyDescent="0.25"/>
    <row r="193314" customFormat="1" x14ac:dyDescent="0.25"/>
    <row r="193315" customFormat="1" x14ac:dyDescent="0.25"/>
    <row r="193316" customFormat="1" x14ac:dyDescent="0.25"/>
    <row r="193317" customFormat="1" x14ac:dyDescent="0.25"/>
    <row r="193318" customFormat="1" x14ac:dyDescent="0.25"/>
    <row r="193319" customFormat="1" x14ac:dyDescent="0.25"/>
    <row r="193320" customFormat="1" x14ac:dyDescent="0.25"/>
    <row r="193321" customFormat="1" x14ac:dyDescent="0.25"/>
    <row r="193322" customFormat="1" x14ac:dyDescent="0.25"/>
    <row r="193323" customFormat="1" x14ac:dyDescent="0.25"/>
    <row r="193324" customFormat="1" x14ac:dyDescent="0.25"/>
    <row r="193325" customFormat="1" x14ac:dyDescent="0.25"/>
    <row r="193326" customFormat="1" x14ac:dyDescent="0.25"/>
    <row r="193327" customFormat="1" x14ac:dyDescent="0.25"/>
    <row r="193328" customFormat="1" x14ac:dyDescent="0.25"/>
    <row r="193329" customFormat="1" x14ac:dyDescent="0.25"/>
    <row r="193330" customFormat="1" x14ac:dyDescent="0.25"/>
    <row r="193331" customFormat="1" x14ac:dyDescent="0.25"/>
    <row r="193332" customFormat="1" x14ac:dyDescent="0.25"/>
    <row r="193333" customFormat="1" x14ac:dyDescent="0.25"/>
    <row r="193334" customFormat="1" x14ac:dyDescent="0.25"/>
    <row r="193335" customFormat="1" x14ac:dyDescent="0.25"/>
    <row r="193336" customFormat="1" x14ac:dyDescent="0.25"/>
    <row r="193337" customFormat="1" x14ac:dyDescent="0.25"/>
    <row r="193338" customFormat="1" x14ac:dyDescent="0.25"/>
    <row r="193339" customFormat="1" x14ac:dyDescent="0.25"/>
    <row r="193340" customFormat="1" x14ac:dyDescent="0.25"/>
    <row r="193341" customFormat="1" x14ac:dyDescent="0.25"/>
    <row r="193342" customFormat="1" x14ac:dyDescent="0.25"/>
    <row r="193343" customFormat="1" x14ac:dyDescent="0.25"/>
    <row r="193344" customFormat="1" x14ac:dyDescent="0.25"/>
    <row r="193345" customFormat="1" x14ac:dyDescent="0.25"/>
    <row r="193346" customFormat="1" x14ac:dyDescent="0.25"/>
    <row r="193347" customFormat="1" x14ac:dyDescent="0.25"/>
    <row r="193348" customFormat="1" x14ac:dyDescent="0.25"/>
    <row r="193349" customFormat="1" x14ac:dyDescent="0.25"/>
    <row r="193350" customFormat="1" x14ac:dyDescent="0.25"/>
    <row r="193351" customFormat="1" x14ac:dyDescent="0.25"/>
    <row r="193352" customFormat="1" x14ac:dyDescent="0.25"/>
    <row r="193353" customFormat="1" x14ac:dyDescent="0.25"/>
    <row r="193354" customFormat="1" x14ac:dyDescent="0.25"/>
    <row r="193355" customFormat="1" x14ac:dyDescent="0.25"/>
    <row r="193356" customFormat="1" x14ac:dyDescent="0.25"/>
    <row r="193357" customFormat="1" x14ac:dyDescent="0.25"/>
    <row r="193358" customFormat="1" x14ac:dyDescent="0.25"/>
    <row r="193359" customFormat="1" x14ac:dyDescent="0.25"/>
    <row r="193360" customFormat="1" x14ac:dyDescent="0.25"/>
    <row r="193361" customFormat="1" x14ac:dyDescent="0.25"/>
    <row r="193362" customFormat="1" x14ac:dyDescent="0.25"/>
    <row r="193363" customFormat="1" x14ac:dyDescent="0.25"/>
    <row r="193364" customFormat="1" x14ac:dyDescent="0.25"/>
    <row r="193365" customFormat="1" x14ac:dyDescent="0.25"/>
    <row r="193366" customFormat="1" x14ac:dyDescent="0.25"/>
    <row r="193367" customFormat="1" x14ac:dyDescent="0.25"/>
    <row r="193368" customFormat="1" x14ac:dyDescent="0.25"/>
    <row r="193369" customFormat="1" x14ac:dyDescent="0.25"/>
    <row r="193370" customFormat="1" x14ac:dyDescent="0.25"/>
    <row r="193371" customFormat="1" x14ac:dyDescent="0.25"/>
    <row r="193372" customFormat="1" x14ac:dyDescent="0.25"/>
    <row r="193373" customFormat="1" x14ac:dyDescent="0.25"/>
    <row r="193374" customFormat="1" x14ac:dyDescent="0.25"/>
    <row r="193375" customFormat="1" x14ac:dyDescent="0.25"/>
    <row r="193376" customFormat="1" x14ac:dyDescent="0.25"/>
    <row r="193377" customFormat="1" x14ac:dyDescent="0.25"/>
    <row r="193378" customFormat="1" x14ac:dyDescent="0.25"/>
    <row r="193379" customFormat="1" x14ac:dyDescent="0.25"/>
    <row r="193380" customFormat="1" x14ac:dyDescent="0.25"/>
    <row r="193381" customFormat="1" x14ac:dyDescent="0.25"/>
    <row r="193382" customFormat="1" x14ac:dyDescent="0.25"/>
    <row r="193383" customFormat="1" x14ac:dyDescent="0.25"/>
    <row r="193384" customFormat="1" x14ac:dyDescent="0.25"/>
    <row r="193385" customFormat="1" x14ac:dyDescent="0.25"/>
    <row r="193386" customFormat="1" x14ac:dyDescent="0.25"/>
    <row r="193387" customFormat="1" x14ac:dyDescent="0.25"/>
    <row r="193388" customFormat="1" x14ac:dyDescent="0.25"/>
    <row r="193389" customFormat="1" x14ac:dyDescent="0.25"/>
    <row r="193390" customFormat="1" x14ac:dyDescent="0.25"/>
    <row r="193391" customFormat="1" x14ac:dyDescent="0.25"/>
    <row r="193392" customFormat="1" x14ac:dyDescent="0.25"/>
    <row r="193393" customFormat="1" x14ac:dyDescent="0.25"/>
    <row r="193394" customFormat="1" x14ac:dyDescent="0.25"/>
    <row r="193395" customFormat="1" x14ac:dyDescent="0.25"/>
    <row r="193396" customFormat="1" x14ac:dyDescent="0.25"/>
    <row r="193397" customFormat="1" x14ac:dyDescent="0.25"/>
    <row r="193398" customFormat="1" x14ac:dyDescent="0.25"/>
    <row r="193399" customFormat="1" x14ac:dyDescent="0.25"/>
    <row r="193400" customFormat="1" x14ac:dyDescent="0.25"/>
    <row r="193401" customFormat="1" x14ac:dyDescent="0.25"/>
    <row r="193402" customFormat="1" x14ac:dyDescent="0.25"/>
    <row r="193403" customFormat="1" x14ac:dyDescent="0.25"/>
    <row r="193404" customFormat="1" x14ac:dyDescent="0.25"/>
    <row r="193405" customFormat="1" x14ac:dyDescent="0.25"/>
    <row r="193406" customFormat="1" x14ac:dyDescent="0.25"/>
    <row r="193407" customFormat="1" x14ac:dyDescent="0.25"/>
    <row r="193408" customFormat="1" x14ac:dyDescent="0.25"/>
    <row r="193409" customFormat="1" x14ac:dyDescent="0.25"/>
    <row r="193410" customFormat="1" x14ac:dyDescent="0.25"/>
    <row r="193411" customFormat="1" x14ac:dyDescent="0.25"/>
    <row r="193412" customFormat="1" x14ac:dyDescent="0.25"/>
    <row r="193413" customFormat="1" x14ac:dyDescent="0.25"/>
    <row r="193414" customFormat="1" x14ac:dyDescent="0.25"/>
    <row r="193415" customFormat="1" x14ac:dyDescent="0.25"/>
    <row r="193416" customFormat="1" x14ac:dyDescent="0.25"/>
    <row r="193417" customFormat="1" x14ac:dyDescent="0.25"/>
    <row r="193418" customFormat="1" x14ac:dyDescent="0.25"/>
    <row r="193419" customFormat="1" x14ac:dyDescent="0.25"/>
    <row r="193420" customFormat="1" x14ac:dyDescent="0.25"/>
    <row r="193421" customFormat="1" x14ac:dyDescent="0.25"/>
    <row r="193422" customFormat="1" x14ac:dyDescent="0.25"/>
    <row r="193423" customFormat="1" x14ac:dyDescent="0.25"/>
    <row r="193424" customFormat="1" x14ac:dyDescent="0.25"/>
    <row r="193425" customFormat="1" x14ac:dyDescent="0.25"/>
    <row r="193426" customFormat="1" x14ac:dyDescent="0.25"/>
    <row r="193427" customFormat="1" x14ac:dyDescent="0.25"/>
    <row r="193428" customFormat="1" x14ac:dyDescent="0.25"/>
    <row r="193429" customFormat="1" x14ac:dyDescent="0.25"/>
    <row r="193430" customFormat="1" x14ac:dyDescent="0.25"/>
    <row r="193431" customFormat="1" x14ac:dyDescent="0.25"/>
    <row r="193432" customFormat="1" x14ac:dyDescent="0.25"/>
    <row r="193433" customFormat="1" x14ac:dyDescent="0.25"/>
    <row r="193434" customFormat="1" x14ac:dyDescent="0.25"/>
    <row r="193435" customFormat="1" x14ac:dyDescent="0.25"/>
    <row r="193436" customFormat="1" x14ac:dyDescent="0.25"/>
    <row r="193437" customFormat="1" x14ac:dyDescent="0.25"/>
    <row r="193438" customFormat="1" x14ac:dyDescent="0.25"/>
    <row r="193439" customFormat="1" x14ac:dyDescent="0.25"/>
    <row r="193440" customFormat="1" x14ac:dyDescent="0.25"/>
    <row r="193441" customFormat="1" x14ac:dyDescent="0.25"/>
    <row r="193442" customFormat="1" x14ac:dyDescent="0.25"/>
    <row r="193443" customFormat="1" x14ac:dyDescent="0.25"/>
    <row r="193444" customFormat="1" x14ac:dyDescent="0.25"/>
    <row r="193445" customFormat="1" x14ac:dyDescent="0.25"/>
    <row r="193446" customFormat="1" x14ac:dyDescent="0.25"/>
    <row r="193447" customFormat="1" x14ac:dyDescent="0.25"/>
    <row r="193448" customFormat="1" x14ac:dyDescent="0.25"/>
    <row r="193449" customFormat="1" x14ac:dyDescent="0.25"/>
    <row r="193450" customFormat="1" x14ac:dyDescent="0.25"/>
    <row r="193451" customFormat="1" x14ac:dyDescent="0.25"/>
    <row r="193452" customFormat="1" x14ac:dyDescent="0.25"/>
    <row r="193453" customFormat="1" x14ac:dyDescent="0.25"/>
    <row r="193454" customFormat="1" x14ac:dyDescent="0.25"/>
    <row r="193455" customFormat="1" x14ac:dyDescent="0.25"/>
    <row r="193456" customFormat="1" x14ac:dyDescent="0.25"/>
    <row r="193457" customFormat="1" x14ac:dyDescent="0.25"/>
    <row r="193458" customFormat="1" x14ac:dyDescent="0.25"/>
    <row r="193459" customFormat="1" x14ac:dyDescent="0.25"/>
    <row r="193460" customFormat="1" x14ac:dyDescent="0.25"/>
    <row r="193461" customFormat="1" x14ac:dyDescent="0.25"/>
    <row r="193462" customFormat="1" x14ac:dyDescent="0.25"/>
    <row r="193463" customFormat="1" x14ac:dyDescent="0.25"/>
    <row r="193464" customFormat="1" x14ac:dyDescent="0.25"/>
    <row r="193465" customFormat="1" x14ac:dyDescent="0.25"/>
    <row r="193466" customFormat="1" x14ac:dyDescent="0.25"/>
    <row r="193467" customFormat="1" x14ac:dyDescent="0.25"/>
    <row r="193468" customFormat="1" x14ac:dyDescent="0.25"/>
    <row r="193469" customFormat="1" x14ac:dyDescent="0.25"/>
    <row r="193470" customFormat="1" x14ac:dyDescent="0.25"/>
    <row r="193471" customFormat="1" x14ac:dyDescent="0.25"/>
    <row r="193472" customFormat="1" x14ac:dyDescent="0.25"/>
    <row r="193473" customFormat="1" x14ac:dyDescent="0.25"/>
    <row r="193474" customFormat="1" x14ac:dyDescent="0.25"/>
    <row r="193475" customFormat="1" x14ac:dyDescent="0.25"/>
    <row r="193476" customFormat="1" x14ac:dyDescent="0.25"/>
    <row r="193477" customFormat="1" x14ac:dyDescent="0.25"/>
    <row r="193478" customFormat="1" x14ac:dyDescent="0.25"/>
    <row r="193479" customFormat="1" x14ac:dyDescent="0.25"/>
    <row r="193480" customFormat="1" x14ac:dyDescent="0.25"/>
    <row r="193481" customFormat="1" x14ac:dyDescent="0.25"/>
    <row r="193482" customFormat="1" x14ac:dyDescent="0.25"/>
    <row r="193483" customFormat="1" x14ac:dyDescent="0.25"/>
    <row r="193484" customFormat="1" x14ac:dyDescent="0.25"/>
    <row r="193485" customFormat="1" x14ac:dyDescent="0.25"/>
    <row r="193486" customFormat="1" x14ac:dyDescent="0.25"/>
    <row r="193487" customFormat="1" x14ac:dyDescent="0.25"/>
    <row r="193488" customFormat="1" x14ac:dyDescent="0.25"/>
    <row r="193489" customFormat="1" x14ac:dyDescent="0.25"/>
    <row r="193490" customFormat="1" x14ac:dyDescent="0.25"/>
    <row r="193491" customFormat="1" x14ac:dyDescent="0.25"/>
    <row r="193492" customFormat="1" x14ac:dyDescent="0.25"/>
    <row r="193493" customFormat="1" x14ac:dyDescent="0.25"/>
    <row r="193494" customFormat="1" x14ac:dyDescent="0.25"/>
    <row r="193495" customFormat="1" x14ac:dyDescent="0.25"/>
    <row r="193496" customFormat="1" x14ac:dyDescent="0.25"/>
    <row r="193497" customFormat="1" x14ac:dyDescent="0.25"/>
    <row r="193498" customFormat="1" x14ac:dyDescent="0.25"/>
    <row r="193499" customFormat="1" x14ac:dyDescent="0.25"/>
    <row r="193500" customFormat="1" x14ac:dyDescent="0.25"/>
    <row r="193501" customFormat="1" x14ac:dyDescent="0.25"/>
    <row r="193502" customFormat="1" x14ac:dyDescent="0.25"/>
    <row r="193503" customFormat="1" x14ac:dyDescent="0.25"/>
    <row r="193504" customFormat="1" x14ac:dyDescent="0.25"/>
    <row r="193505" customFormat="1" x14ac:dyDescent="0.25"/>
    <row r="193506" customFormat="1" x14ac:dyDescent="0.25"/>
    <row r="193507" customFormat="1" x14ac:dyDescent="0.25"/>
    <row r="193508" customFormat="1" x14ac:dyDescent="0.25"/>
    <row r="193509" customFormat="1" x14ac:dyDescent="0.25"/>
    <row r="193510" customFormat="1" x14ac:dyDescent="0.25"/>
    <row r="193511" customFormat="1" x14ac:dyDescent="0.25"/>
    <row r="193512" customFormat="1" x14ac:dyDescent="0.25"/>
    <row r="193513" customFormat="1" x14ac:dyDescent="0.25"/>
    <row r="193514" customFormat="1" x14ac:dyDescent="0.25"/>
    <row r="193515" customFormat="1" x14ac:dyDescent="0.25"/>
    <row r="193516" customFormat="1" x14ac:dyDescent="0.25"/>
    <row r="193517" customFormat="1" x14ac:dyDescent="0.25"/>
    <row r="193518" customFormat="1" x14ac:dyDescent="0.25"/>
    <row r="193519" customFormat="1" x14ac:dyDescent="0.25"/>
    <row r="193520" customFormat="1" x14ac:dyDescent="0.25"/>
    <row r="193521" customFormat="1" x14ac:dyDescent="0.25"/>
    <row r="193522" customFormat="1" x14ac:dyDescent="0.25"/>
    <row r="193523" customFormat="1" x14ac:dyDescent="0.25"/>
    <row r="193524" customFormat="1" x14ac:dyDescent="0.25"/>
    <row r="193525" customFormat="1" x14ac:dyDescent="0.25"/>
    <row r="193526" customFormat="1" x14ac:dyDescent="0.25"/>
    <row r="193527" customFormat="1" x14ac:dyDescent="0.25"/>
    <row r="193528" customFormat="1" x14ac:dyDescent="0.25"/>
    <row r="193529" customFormat="1" x14ac:dyDescent="0.25"/>
    <row r="193530" customFormat="1" x14ac:dyDescent="0.25"/>
    <row r="193531" customFormat="1" x14ac:dyDescent="0.25"/>
    <row r="193532" customFormat="1" x14ac:dyDescent="0.25"/>
    <row r="193533" customFormat="1" x14ac:dyDescent="0.25"/>
    <row r="193534" customFormat="1" x14ac:dyDescent="0.25"/>
    <row r="193535" customFormat="1" x14ac:dyDescent="0.25"/>
    <row r="193536" customFormat="1" x14ac:dyDescent="0.25"/>
    <row r="193537" customFormat="1" x14ac:dyDescent="0.25"/>
    <row r="193538" customFormat="1" x14ac:dyDescent="0.25"/>
    <row r="193539" customFormat="1" x14ac:dyDescent="0.25"/>
    <row r="193540" customFormat="1" x14ac:dyDescent="0.25"/>
    <row r="193541" customFormat="1" x14ac:dyDescent="0.25"/>
    <row r="193542" customFormat="1" x14ac:dyDescent="0.25"/>
    <row r="193543" customFormat="1" x14ac:dyDescent="0.25"/>
    <row r="193544" customFormat="1" x14ac:dyDescent="0.25"/>
    <row r="193545" customFormat="1" x14ac:dyDescent="0.25"/>
    <row r="193546" customFormat="1" x14ac:dyDescent="0.25"/>
    <row r="193547" customFormat="1" x14ac:dyDescent="0.25"/>
    <row r="193548" customFormat="1" x14ac:dyDescent="0.25"/>
    <row r="193549" customFormat="1" x14ac:dyDescent="0.25"/>
    <row r="193550" customFormat="1" x14ac:dyDescent="0.25"/>
    <row r="193551" customFormat="1" x14ac:dyDescent="0.25"/>
    <row r="193552" customFormat="1" x14ac:dyDescent="0.25"/>
    <row r="193553" customFormat="1" x14ac:dyDescent="0.25"/>
    <row r="193554" customFormat="1" x14ac:dyDescent="0.25"/>
    <row r="193555" customFormat="1" x14ac:dyDescent="0.25"/>
    <row r="193556" customFormat="1" x14ac:dyDescent="0.25"/>
    <row r="193557" customFormat="1" x14ac:dyDescent="0.25"/>
    <row r="193558" customFormat="1" x14ac:dyDescent="0.25"/>
    <row r="193559" customFormat="1" x14ac:dyDescent="0.25"/>
    <row r="193560" customFormat="1" x14ac:dyDescent="0.25"/>
    <row r="193561" customFormat="1" x14ac:dyDescent="0.25"/>
    <row r="193562" customFormat="1" x14ac:dyDescent="0.25"/>
    <row r="193563" customFormat="1" x14ac:dyDescent="0.25"/>
    <row r="193564" customFormat="1" x14ac:dyDescent="0.25"/>
    <row r="193565" customFormat="1" x14ac:dyDescent="0.25"/>
    <row r="193566" customFormat="1" x14ac:dyDescent="0.25"/>
    <row r="193567" customFormat="1" x14ac:dyDescent="0.25"/>
    <row r="193568" customFormat="1" x14ac:dyDescent="0.25"/>
    <row r="193569" customFormat="1" x14ac:dyDescent="0.25"/>
    <row r="193570" customFormat="1" x14ac:dyDescent="0.25"/>
    <row r="193571" customFormat="1" x14ac:dyDescent="0.25"/>
    <row r="193572" customFormat="1" x14ac:dyDescent="0.25"/>
    <row r="193573" customFormat="1" x14ac:dyDescent="0.25"/>
    <row r="193574" customFormat="1" x14ac:dyDescent="0.25"/>
    <row r="193575" customFormat="1" x14ac:dyDescent="0.25"/>
    <row r="193576" customFormat="1" x14ac:dyDescent="0.25"/>
    <row r="193577" customFormat="1" x14ac:dyDescent="0.25"/>
    <row r="193578" customFormat="1" x14ac:dyDescent="0.25"/>
    <row r="193579" customFormat="1" x14ac:dyDescent="0.25"/>
    <row r="193580" customFormat="1" x14ac:dyDescent="0.25"/>
    <row r="193581" customFormat="1" x14ac:dyDescent="0.25"/>
    <row r="193582" customFormat="1" x14ac:dyDescent="0.25"/>
    <row r="193583" customFormat="1" x14ac:dyDescent="0.25"/>
    <row r="193584" customFormat="1" x14ac:dyDescent="0.25"/>
    <row r="193585" customFormat="1" x14ac:dyDescent="0.25"/>
    <row r="193586" customFormat="1" x14ac:dyDescent="0.25"/>
    <row r="193587" customFormat="1" x14ac:dyDescent="0.25"/>
    <row r="193588" customFormat="1" x14ac:dyDescent="0.25"/>
    <row r="193589" customFormat="1" x14ac:dyDescent="0.25"/>
    <row r="193590" customFormat="1" x14ac:dyDescent="0.25"/>
    <row r="193591" customFormat="1" x14ac:dyDescent="0.25"/>
    <row r="193592" customFormat="1" x14ac:dyDescent="0.25"/>
    <row r="193593" customFormat="1" x14ac:dyDescent="0.25"/>
    <row r="193594" customFormat="1" x14ac:dyDescent="0.25"/>
    <row r="193595" customFormat="1" x14ac:dyDescent="0.25"/>
    <row r="193596" customFormat="1" x14ac:dyDescent="0.25"/>
    <row r="193597" customFormat="1" x14ac:dyDescent="0.25"/>
    <row r="193598" customFormat="1" x14ac:dyDescent="0.25"/>
    <row r="193599" customFormat="1" x14ac:dyDescent="0.25"/>
    <row r="193600" customFormat="1" x14ac:dyDescent="0.25"/>
    <row r="193601" customFormat="1" x14ac:dyDescent="0.25"/>
    <row r="193602" customFormat="1" x14ac:dyDescent="0.25"/>
    <row r="193603" customFormat="1" x14ac:dyDescent="0.25"/>
    <row r="193604" customFormat="1" x14ac:dyDescent="0.25"/>
    <row r="193605" customFormat="1" x14ac:dyDescent="0.25"/>
    <row r="193606" customFormat="1" x14ac:dyDescent="0.25"/>
    <row r="193607" customFormat="1" x14ac:dyDescent="0.25"/>
    <row r="193608" customFormat="1" x14ac:dyDescent="0.25"/>
    <row r="193609" customFormat="1" x14ac:dyDescent="0.25"/>
    <row r="193610" customFormat="1" x14ac:dyDescent="0.25"/>
    <row r="193611" customFormat="1" x14ac:dyDescent="0.25"/>
    <row r="193612" customFormat="1" x14ac:dyDescent="0.25"/>
    <row r="193613" customFormat="1" x14ac:dyDescent="0.25"/>
    <row r="193614" customFormat="1" x14ac:dyDescent="0.25"/>
    <row r="193615" customFormat="1" x14ac:dyDescent="0.25"/>
    <row r="193616" customFormat="1" x14ac:dyDescent="0.25"/>
    <row r="193617" customFormat="1" x14ac:dyDescent="0.25"/>
    <row r="193618" customFormat="1" x14ac:dyDescent="0.25"/>
    <row r="193619" customFormat="1" x14ac:dyDescent="0.25"/>
    <row r="193620" customFormat="1" x14ac:dyDescent="0.25"/>
    <row r="193621" customFormat="1" x14ac:dyDescent="0.25"/>
    <row r="193622" customFormat="1" x14ac:dyDescent="0.25"/>
    <row r="193623" customFormat="1" x14ac:dyDescent="0.25"/>
    <row r="193624" customFormat="1" x14ac:dyDescent="0.25"/>
    <row r="193625" customFormat="1" x14ac:dyDescent="0.25"/>
    <row r="193626" customFormat="1" x14ac:dyDescent="0.25"/>
    <row r="193627" customFormat="1" x14ac:dyDescent="0.25"/>
    <row r="193628" customFormat="1" x14ac:dyDescent="0.25"/>
    <row r="193629" customFormat="1" x14ac:dyDescent="0.25"/>
    <row r="193630" customFormat="1" x14ac:dyDescent="0.25"/>
    <row r="193631" customFormat="1" x14ac:dyDescent="0.25"/>
    <row r="193632" customFormat="1" x14ac:dyDescent="0.25"/>
    <row r="193633" customFormat="1" x14ac:dyDescent="0.25"/>
    <row r="193634" customFormat="1" x14ac:dyDescent="0.25"/>
    <row r="193635" customFormat="1" x14ac:dyDescent="0.25"/>
    <row r="193636" customFormat="1" x14ac:dyDescent="0.25"/>
    <row r="193637" customFormat="1" x14ac:dyDescent="0.25"/>
    <row r="193638" customFormat="1" x14ac:dyDescent="0.25"/>
    <row r="193639" customFormat="1" x14ac:dyDescent="0.25"/>
    <row r="193640" customFormat="1" x14ac:dyDescent="0.25"/>
    <row r="193641" customFormat="1" x14ac:dyDescent="0.25"/>
    <row r="193642" customFormat="1" x14ac:dyDescent="0.25"/>
    <row r="193643" customFormat="1" x14ac:dyDescent="0.25"/>
    <row r="193644" customFormat="1" x14ac:dyDescent="0.25"/>
    <row r="193645" customFormat="1" x14ac:dyDescent="0.25"/>
    <row r="193646" customFormat="1" x14ac:dyDescent="0.25"/>
    <row r="193647" customFormat="1" x14ac:dyDescent="0.25"/>
    <row r="193648" customFormat="1" x14ac:dyDescent="0.25"/>
    <row r="193649" customFormat="1" x14ac:dyDescent="0.25"/>
    <row r="193650" customFormat="1" x14ac:dyDescent="0.25"/>
    <row r="193651" customFormat="1" x14ac:dyDescent="0.25"/>
    <row r="193652" customFormat="1" x14ac:dyDescent="0.25"/>
    <row r="193653" customFormat="1" x14ac:dyDescent="0.25"/>
    <row r="193654" customFormat="1" x14ac:dyDescent="0.25"/>
    <row r="193655" customFormat="1" x14ac:dyDescent="0.25"/>
    <row r="193656" customFormat="1" x14ac:dyDescent="0.25"/>
    <row r="193657" customFormat="1" x14ac:dyDescent="0.25"/>
    <row r="193658" customFormat="1" x14ac:dyDescent="0.25"/>
    <row r="193659" customFormat="1" x14ac:dyDescent="0.25"/>
    <row r="193660" customFormat="1" x14ac:dyDescent="0.25"/>
    <row r="193661" customFormat="1" x14ac:dyDescent="0.25"/>
    <row r="193662" customFormat="1" x14ac:dyDescent="0.25"/>
    <row r="193663" customFormat="1" x14ac:dyDescent="0.25"/>
    <row r="193664" customFormat="1" x14ac:dyDescent="0.25"/>
    <row r="193665" customFormat="1" x14ac:dyDescent="0.25"/>
    <row r="193666" customFormat="1" x14ac:dyDescent="0.25"/>
    <row r="193667" customFormat="1" x14ac:dyDescent="0.25"/>
    <row r="193668" customFormat="1" x14ac:dyDescent="0.25"/>
    <row r="193669" customFormat="1" x14ac:dyDescent="0.25"/>
    <row r="193670" customFormat="1" x14ac:dyDescent="0.25"/>
    <row r="193671" customFormat="1" x14ac:dyDescent="0.25"/>
    <row r="193672" customFormat="1" x14ac:dyDescent="0.25"/>
    <row r="193673" customFormat="1" x14ac:dyDescent="0.25"/>
    <row r="193674" customFormat="1" x14ac:dyDescent="0.25"/>
    <row r="193675" customFormat="1" x14ac:dyDescent="0.25"/>
    <row r="193676" customFormat="1" x14ac:dyDescent="0.25"/>
    <row r="193677" customFormat="1" x14ac:dyDescent="0.25"/>
    <row r="193678" customFormat="1" x14ac:dyDescent="0.25"/>
    <row r="193679" customFormat="1" x14ac:dyDescent="0.25"/>
    <row r="193680" customFormat="1" x14ac:dyDescent="0.25"/>
    <row r="193681" customFormat="1" x14ac:dyDescent="0.25"/>
    <row r="193682" customFormat="1" x14ac:dyDescent="0.25"/>
    <row r="193683" customFormat="1" x14ac:dyDescent="0.25"/>
    <row r="193684" customFormat="1" x14ac:dyDescent="0.25"/>
    <row r="193685" customFormat="1" x14ac:dyDescent="0.25"/>
    <row r="193686" customFormat="1" x14ac:dyDescent="0.25"/>
    <row r="193687" customFormat="1" x14ac:dyDescent="0.25"/>
    <row r="193688" customFormat="1" x14ac:dyDescent="0.25"/>
    <row r="193689" customFormat="1" x14ac:dyDescent="0.25"/>
    <row r="193690" customFormat="1" x14ac:dyDescent="0.25"/>
    <row r="193691" customFormat="1" x14ac:dyDescent="0.25"/>
    <row r="193692" customFormat="1" x14ac:dyDescent="0.25"/>
    <row r="193693" customFormat="1" x14ac:dyDescent="0.25"/>
    <row r="193694" customFormat="1" x14ac:dyDescent="0.25"/>
    <row r="193695" customFormat="1" x14ac:dyDescent="0.25"/>
    <row r="193696" customFormat="1" x14ac:dyDescent="0.25"/>
    <row r="193697" customFormat="1" x14ac:dyDescent="0.25"/>
    <row r="193698" customFormat="1" x14ac:dyDescent="0.25"/>
    <row r="193699" customFormat="1" x14ac:dyDescent="0.25"/>
    <row r="193700" customFormat="1" x14ac:dyDescent="0.25"/>
    <row r="193701" customFormat="1" x14ac:dyDescent="0.25"/>
    <row r="193702" customFormat="1" x14ac:dyDescent="0.25"/>
    <row r="193703" customFormat="1" x14ac:dyDescent="0.25"/>
    <row r="193704" customFormat="1" x14ac:dyDescent="0.25"/>
    <row r="193705" customFormat="1" x14ac:dyDescent="0.25"/>
    <row r="193706" customFormat="1" x14ac:dyDescent="0.25"/>
    <row r="193707" customFormat="1" x14ac:dyDescent="0.25"/>
    <row r="193708" customFormat="1" x14ac:dyDescent="0.25"/>
    <row r="193709" customFormat="1" x14ac:dyDescent="0.25"/>
    <row r="193710" customFormat="1" x14ac:dyDescent="0.25"/>
    <row r="193711" customFormat="1" x14ac:dyDescent="0.25"/>
    <row r="193712" customFormat="1" x14ac:dyDescent="0.25"/>
    <row r="193713" customFormat="1" x14ac:dyDescent="0.25"/>
    <row r="193714" customFormat="1" x14ac:dyDescent="0.25"/>
    <row r="193715" customFormat="1" x14ac:dyDescent="0.25"/>
    <row r="193716" customFormat="1" x14ac:dyDescent="0.25"/>
    <row r="193717" customFormat="1" x14ac:dyDescent="0.25"/>
    <row r="193718" customFormat="1" x14ac:dyDescent="0.25"/>
    <row r="193719" customFormat="1" x14ac:dyDescent="0.25"/>
    <row r="193720" customFormat="1" x14ac:dyDescent="0.25"/>
    <row r="193721" customFormat="1" x14ac:dyDescent="0.25"/>
    <row r="193722" customFormat="1" x14ac:dyDescent="0.25"/>
    <row r="193723" customFormat="1" x14ac:dyDescent="0.25"/>
    <row r="193724" customFormat="1" x14ac:dyDescent="0.25"/>
    <row r="193725" customFormat="1" x14ac:dyDescent="0.25"/>
    <row r="193726" customFormat="1" x14ac:dyDescent="0.25"/>
    <row r="193727" customFormat="1" x14ac:dyDescent="0.25"/>
    <row r="193728" customFormat="1" x14ac:dyDescent="0.25"/>
    <row r="193729" customFormat="1" x14ac:dyDescent="0.25"/>
    <row r="193730" customFormat="1" x14ac:dyDescent="0.25"/>
    <row r="193731" customFormat="1" x14ac:dyDescent="0.25"/>
    <row r="193732" customFormat="1" x14ac:dyDescent="0.25"/>
    <row r="193733" customFormat="1" x14ac:dyDescent="0.25"/>
    <row r="193734" customFormat="1" x14ac:dyDescent="0.25"/>
    <row r="193735" customFormat="1" x14ac:dyDescent="0.25"/>
    <row r="193736" customFormat="1" x14ac:dyDescent="0.25"/>
    <row r="193737" customFormat="1" x14ac:dyDescent="0.25"/>
    <row r="193738" customFormat="1" x14ac:dyDescent="0.25"/>
    <row r="193739" customFormat="1" x14ac:dyDescent="0.25"/>
    <row r="193740" customFormat="1" x14ac:dyDescent="0.25"/>
    <row r="193741" customFormat="1" x14ac:dyDescent="0.25"/>
    <row r="193742" customFormat="1" x14ac:dyDescent="0.25"/>
    <row r="193743" customFormat="1" x14ac:dyDescent="0.25"/>
    <row r="193744" customFormat="1" x14ac:dyDescent="0.25"/>
    <row r="193745" customFormat="1" x14ac:dyDescent="0.25"/>
    <row r="193746" customFormat="1" x14ac:dyDescent="0.25"/>
    <row r="193747" customFormat="1" x14ac:dyDescent="0.25"/>
    <row r="193748" customFormat="1" x14ac:dyDescent="0.25"/>
    <row r="193749" customFormat="1" x14ac:dyDescent="0.25"/>
    <row r="193750" customFormat="1" x14ac:dyDescent="0.25"/>
    <row r="193751" customFormat="1" x14ac:dyDescent="0.25"/>
    <row r="193752" customFormat="1" x14ac:dyDescent="0.25"/>
    <row r="193753" customFormat="1" x14ac:dyDescent="0.25"/>
    <row r="193754" customFormat="1" x14ac:dyDescent="0.25"/>
    <row r="193755" customFormat="1" x14ac:dyDescent="0.25"/>
    <row r="193756" customFormat="1" x14ac:dyDescent="0.25"/>
    <row r="193757" customFormat="1" x14ac:dyDescent="0.25"/>
    <row r="193758" customFormat="1" x14ac:dyDescent="0.25"/>
    <row r="193759" customFormat="1" x14ac:dyDescent="0.25"/>
    <row r="193760" customFormat="1" x14ac:dyDescent="0.25"/>
    <row r="193761" customFormat="1" x14ac:dyDescent="0.25"/>
    <row r="193762" customFormat="1" x14ac:dyDescent="0.25"/>
    <row r="193763" customFormat="1" x14ac:dyDescent="0.25"/>
    <row r="193764" customFormat="1" x14ac:dyDescent="0.25"/>
    <row r="193765" customFormat="1" x14ac:dyDescent="0.25"/>
    <row r="193766" customFormat="1" x14ac:dyDescent="0.25"/>
    <row r="193767" customFormat="1" x14ac:dyDescent="0.25"/>
    <row r="193768" customFormat="1" x14ac:dyDescent="0.25"/>
    <row r="193769" customFormat="1" x14ac:dyDescent="0.25"/>
    <row r="193770" customFormat="1" x14ac:dyDescent="0.25"/>
    <row r="193771" customFormat="1" x14ac:dyDescent="0.25"/>
    <row r="193772" customFormat="1" x14ac:dyDescent="0.25"/>
    <row r="193773" customFormat="1" x14ac:dyDescent="0.25"/>
    <row r="193774" customFormat="1" x14ac:dyDescent="0.25"/>
    <row r="193775" customFormat="1" x14ac:dyDescent="0.25"/>
    <row r="193776" customFormat="1" x14ac:dyDescent="0.25"/>
    <row r="193777" customFormat="1" x14ac:dyDescent="0.25"/>
    <row r="193778" customFormat="1" x14ac:dyDescent="0.25"/>
    <row r="193779" customFormat="1" x14ac:dyDescent="0.25"/>
    <row r="193780" customFormat="1" x14ac:dyDescent="0.25"/>
    <row r="193781" customFormat="1" x14ac:dyDescent="0.25"/>
    <row r="193782" customFormat="1" x14ac:dyDescent="0.25"/>
    <row r="193783" customFormat="1" x14ac:dyDescent="0.25"/>
    <row r="193784" customFormat="1" x14ac:dyDescent="0.25"/>
    <row r="193785" customFormat="1" x14ac:dyDescent="0.25"/>
    <row r="193786" customFormat="1" x14ac:dyDescent="0.25"/>
    <row r="193787" customFormat="1" x14ac:dyDescent="0.25"/>
    <row r="193788" customFormat="1" x14ac:dyDescent="0.25"/>
    <row r="193789" customFormat="1" x14ac:dyDescent="0.25"/>
    <row r="193790" customFormat="1" x14ac:dyDescent="0.25"/>
    <row r="193791" customFormat="1" x14ac:dyDescent="0.25"/>
    <row r="193792" customFormat="1" x14ac:dyDescent="0.25"/>
    <row r="193793" customFormat="1" x14ac:dyDescent="0.25"/>
    <row r="193794" customFormat="1" x14ac:dyDescent="0.25"/>
    <row r="193795" customFormat="1" x14ac:dyDescent="0.25"/>
    <row r="193796" customFormat="1" x14ac:dyDescent="0.25"/>
    <row r="193797" customFormat="1" x14ac:dyDescent="0.25"/>
    <row r="193798" customFormat="1" x14ac:dyDescent="0.25"/>
    <row r="193799" customFormat="1" x14ac:dyDescent="0.25"/>
    <row r="193800" customFormat="1" x14ac:dyDescent="0.25"/>
    <row r="193801" customFormat="1" x14ac:dyDescent="0.25"/>
    <row r="193802" customFormat="1" x14ac:dyDescent="0.25"/>
    <row r="193803" customFormat="1" x14ac:dyDescent="0.25"/>
    <row r="193804" customFormat="1" x14ac:dyDescent="0.25"/>
    <row r="193805" customFormat="1" x14ac:dyDescent="0.25"/>
    <row r="193806" customFormat="1" x14ac:dyDescent="0.25"/>
    <row r="193807" customFormat="1" x14ac:dyDescent="0.25"/>
    <row r="193808" customFormat="1" x14ac:dyDescent="0.25"/>
    <row r="193809" customFormat="1" x14ac:dyDescent="0.25"/>
    <row r="193810" customFormat="1" x14ac:dyDescent="0.25"/>
    <row r="193811" customFormat="1" x14ac:dyDescent="0.25"/>
    <row r="193812" customFormat="1" x14ac:dyDescent="0.25"/>
    <row r="193813" customFormat="1" x14ac:dyDescent="0.25"/>
    <row r="193814" customFormat="1" x14ac:dyDescent="0.25"/>
    <row r="193815" customFormat="1" x14ac:dyDescent="0.25"/>
    <row r="193816" customFormat="1" x14ac:dyDescent="0.25"/>
    <row r="193817" customFormat="1" x14ac:dyDescent="0.25"/>
    <row r="193818" customFormat="1" x14ac:dyDescent="0.25"/>
    <row r="193819" customFormat="1" x14ac:dyDescent="0.25"/>
    <row r="193820" customFormat="1" x14ac:dyDescent="0.25"/>
    <row r="193821" customFormat="1" x14ac:dyDescent="0.25"/>
    <row r="193822" customFormat="1" x14ac:dyDescent="0.25"/>
    <row r="193823" customFormat="1" x14ac:dyDescent="0.25"/>
    <row r="193824" customFormat="1" x14ac:dyDescent="0.25"/>
    <row r="193825" customFormat="1" x14ac:dyDescent="0.25"/>
    <row r="193826" customFormat="1" x14ac:dyDescent="0.25"/>
    <row r="193827" customFormat="1" x14ac:dyDescent="0.25"/>
    <row r="193828" customFormat="1" x14ac:dyDescent="0.25"/>
    <row r="193829" customFormat="1" x14ac:dyDescent="0.25"/>
    <row r="193830" customFormat="1" x14ac:dyDescent="0.25"/>
    <row r="193831" customFormat="1" x14ac:dyDescent="0.25"/>
    <row r="193832" customFormat="1" x14ac:dyDescent="0.25"/>
    <row r="193833" customFormat="1" x14ac:dyDescent="0.25"/>
    <row r="193834" customFormat="1" x14ac:dyDescent="0.25"/>
    <row r="193835" customFormat="1" x14ac:dyDescent="0.25"/>
    <row r="193836" customFormat="1" x14ac:dyDescent="0.25"/>
    <row r="193837" customFormat="1" x14ac:dyDescent="0.25"/>
    <row r="193838" customFormat="1" x14ac:dyDescent="0.25"/>
    <row r="193839" customFormat="1" x14ac:dyDescent="0.25"/>
    <row r="193840" customFormat="1" x14ac:dyDescent="0.25"/>
    <row r="193841" customFormat="1" x14ac:dyDescent="0.25"/>
    <row r="193842" customFormat="1" x14ac:dyDescent="0.25"/>
    <row r="193843" customFormat="1" x14ac:dyDescent="0.25"/>
    <row r="193844" customFormat="1" x14ac:dyDescent="0.25"/>
    <row r="193845" customFormat="1" x14ac:dyDescent="0.25"/>
    <row r="193846" customFormat="1" x14ac:dyDescent="0.25"/>
    <row r="193847" customFormat="1" x14ac:dyDescent="0.25"/>
    <row r="193848" customFormat="1" x14ac:dyDescent="0.25"/>
    <row r="193849" customFormat="1" x14ac:dyDescent="0.25"/>
    <row r="193850" customFormat="1" x14ac:dyDescent="0.25"/>
    <row r="193851" customFormat="1" x14ac:dyDescent="0.25"/>
    <row r="193852" customFormat="1" x14ac:dyDescent="0.25"/>
    <row r="193853" customFormat="1" x14ac:dyDescent="0.25"/>
    <row r="193854" customFormat="1" x14ac:dyDescent="0.25"/>
    <row r="193855" customFormat="1" x14ac:dyDescent="0.25"/>
    <row r="193856" customFormat="1" x14ac:dyDescent="0.25"/>
    <row r="193857" customFormat="1" x14ac:dyDescent="0.25"/>
    <row r="193858" customFormat="1" x14ac:dyDescent="0.25"/>
    <row r="193859" customFormat="1" x14ac:dyDescent="0.25"/>
    <row r="193860" customFormat="1" x14ac:dyDescent="0.25"/>
    <row r="193861" customFormat="1" x14ac:dyDescent="0.25"/>
    <row r="193862" customFormat="1" x14ac:dyDescent="0.25"/>
    <row r="193863" customFormat="1" x14ac:dyDescent="0.25"/>
    <row r="193864" customFormat="1" x14ac:dyDescent="0.25"/>
    <row r="193865" customFormat="1" x14ac:dyDescent="0.25"/>
    <row r="193866" customFormat="1" x14ac:dyDescent="0.25"/>
    <row r="193867" customFormat="1" x14ac:dyDescent="0.25"/>
    <row r="193868" customFormat="1" x14ac:dyDescent="0.25"/>
    <row r="193869" customFormat="1" x14ac:dyDescent="0.25"/>
    <row r="193870" customFormat="1" x14ac:dyDescent="0.25"/>
    <row r="193871" customFormat="1" x14ac:dyDescent="0.25"/>
    <row r="193872" customFormat="1" x14ac:dyDescent="0.25"/>
    <row r="193873" customFormat="1" x14ac:dyDescent="0.25"/>
    <row r="193874" customFormat="1" x14ac:dyDescent="0.25"/>
    <row r="193875" customFormat="1" x14ac:dyDescent="0.25"/>
    <row r="193876" customFormat="1" x14ac:dyDescent="0.25"/>
    <row r="193877" customFormat="1" x14ac:dyDescent="0.25"/>
    <row r="193878" customFormat="1" x14ac:dyDescent="0.25"/>
    <row r="193879" customFormat="1" x14ac:dyDescent="0.25"/>
    <row r="193880" customFormat="1" x14ac:dyDescent="0.25"/>
    <row r="193881" customFormat="1" x14ac:dyDescent="0.25"/>
    <row r="193882" customFormat="1" x14ac:dyDescent="0.25"/>
    <row r="193883" customFormat="1" x14ac:dyDescent="0.25"/>
    <row r="193884" customFormat="1" x14ac:dyDescent="0.25"/>
    <row r="193885" customFormat="1" x14ac:dyDescent="0.25"/>
    <row r="193886" customFormat="1" x14ac:dyDescent="0.25"/>
    <row r="193887" customFormat="1" x14ac:dyDescent="0.25"/>
    <row r="193888" customFormat="1" x14ac:dyDescent="0.25"/>
    <row r="193889" customFormat="1" x14ac:dyDescent="0.25"/>
    <row r="193890" customFormat="1" x14ac:dyDescent="0.25"/>
    <row r="193891" customFormat="1" x14ac:dyDescent="0.25"/>
    <row r="193892" customFormat="1" x14ac:dyDescent="0.25"/>
    <row r="193893" customFormat="1" x14ac:dyDescent="0.25"/>
    <row r="193894" customFormat="1" x14ac:dyDescent="0.25"/>
    <row r="193895" customFormat="1" x14ac:dyDescent="0.25"/>
    <row r="193896" customFormat="1" x14ac:dyDescent="0.25"/>
    <row r="193897" customFormat="1" x14ac:dyDescent="0.25"/>
    <row r="193898" customFormat="1" x14ac:dyDescent="0.25"/>
    <row r="193899" customFormat="1" x14ac:dyDescent="0.25"/>
    <row r="193900" customFormat="1" x14ac:dyDescent="0.25"/>
    <row r="193901" customFormat="1" x14ac:dyDescent="0.25"/>
    <row r="193902" customFormat="1" x14ac:dyDescent="0.25"/>
    <row r="193903" customFormat="1" x14ac:dyDescent="0.25"/>
    <row r="193904" customFormat="1" x14ac:dyDescent="0.25"/>
    <row r="193905" customFormat="1" x14ac:dyDescent="0.25"/>
    <row r="193906" customFormat="1" x14ac:dyDescent="0.25"/>
    <row r="193907" customFormat="1" x14ac:dyDescent="0.25"/>
    <row r="193908" customFormat="1" x14ac:dyDescent="0.25"/>
    <row r="193909" customFormat="1" x14ac:dyDescent="0.25"/>
    <row r="193910" customFormat="1" x14ac:dyDescent="0.25"/>
    <row r="193911" customFormat="1" x14ac:dyDescent="0.25"/>
    <row r="193912" customFormat="1" x14ac:dyDescent="0.25"/>
    <row r="193913" customFormat="1" x14ac:dyDescent="0.25"/>
    <row r="193914" customFormat="1" x14ac:dyDescent="0.25"/>
    <row r="193915" customFormat="1" x14ac:dyDescent="0.25"/>
    <row r="193916" customFormat="1" x14ac:dyDescent="0.25"/>
    <row r="193917" customFormat="1" x14ac:dyDescent="0.25"/>
    <row r="193918" customFormat="1" x14ac:dyDescent="0.25"/>
    <row r="193919" customFormat="1" x14ac:dyDescent="0.25"/>
    <row r="193920" customFormat="1" x14ac:dyDescent="0.25"/>
    <row r="193921" customFormat="1" x14ac:dyDescent="0.25"/>
    <row r="193922" customFormat="1" x14ac:dyDescent="0.25"/>
    <row r="193923" customFormat="1" x14ac:dyDescent="0.25"/>
    <row r="193924" customFormat="1" x14ac:dyDescent="0.25"/>
    <row r="193925" customFormat="1" x14ac:dyDescent="0.25"/>
    <row r="193926" customFormat="1" x14ac:dyDescent="0.25"/>
    <row r="193927" customFormat="1" x14ac:dyDescent="0.25"/>
    <row r="193928" customFormat="1" x14ac:dyDescent="0.25"/>
    <row r="193929" customFormat="1" x14ac:dyDescent="0.25"/>
    <row r="193930" customFormat="1" x14ac:dyDescent="0.25"/>
    <row r="193931" customFormat="1" x14ac:dyDescent="0.25"/>
    <row r="193932" customFormat="1" x14ac:dyDescent="0.25"/>
    <row r="193933" customFormat="1" x14ac:dyDescent="0.25"/>
    <row r="193934" customFormat="1" x14ac:dyDescent="0.25"/>
    <row r="193935" customFormat="1" x14ac:dyDescent="0.25"/>
    <row r="193936" customFormat="1" x14ac:dyDescent="0.25"/>
    <row r="193937" customFormat="1" x14ac:dyDescent="0.25"/>
    <row r="193938" customFormat="1" x14ac:dyDescent="0.25"/>
    <row r="193939" customFormat="1" x14ac:dyDescent="0.25"/>
    <row r="193940" customFormat="1" x14ac:dyDescent="0.25"/>
    <row r="193941" customFormat="1" x14ac:dyDescent="0.25"/>
    <row r="193942" customFormat="1" x14ac:dyDescent="0.25"/>
    <row r="193943" customFormat="1" x14ac:dyDescent="0.25"/>
    <row r="193944" customFormat="1" x14ac:dyDescent="0.25"/>
    <row r="193945" customFormat="1" x14ac:dyDescent="0.25"/>
    <row r="193946" customFormat="1" x14ac:dyDescent="0.25"/>
    <row r="193947" customFormat="1" x14ac:dyDescent="0.25"/>
    <row r="193948" customFormat="1" x14ac:dyDescent="0.25"/>
    <row r="193949" customFormat="1" x14ac:dyDescent="0.25"/>
    <row r="193950" customFormat="1" x14ac:dyDescent="0.25"/>
    <row r="193951" customFormat="1" x14ac:dyDescent="0.25"/>
    <row r="193952" customFormat="1" x14ac:dyDescent="0.25"/>
    <row r="193953" customFormat="1" x14ac:dyDescent="0.25"/>
    <row r="193954" customFormat="1" x14ac:dyDescent="0.25"/>
    <row r="193955" customFormat="1" x14ac:dyDescent="0.25"/>
    <row r="193956" customFormat="1" x14ac:dyDescent="0.25"/>
    <row r="193957" customFormat="1" x14ac:dyDescent="0.25"/>
    <row r="193958" customFormat="1" x14ac:dyDescent="0.25"/>
    <row r="193959" customFormat="1" x14ac:dyDescent="0.25"/>
    <row r="193960" customFormat="1" x14ac:dyDescent="0.25"/>
    <row r="193961" customFormat="1" x14ac:dyDescent="0.25"/>
    <row r="193962" customFormat="1" x14ac:dyDescent="0.25"/>
    <row r="193963" customFormat="1" x14ac:dyDescent="0.25"/>
    <row r="193964" customFormat="1" x14ac:dyDescent="0.25"/>
    <row r="193965" customFormat="1" x14ac:dyDescent="0.25"/>
    <row r="193966" customFormat="1" x14ac:dyDescent="0.25"/>
    <row r="193967" customFormat="1" x14ac:dyDescent="0.25"/>
    <row r="193968" customFormat="1" x14ac:dyDescent="0.25"/>
    <row r="193969" customFormat="1" x14ac:dyDescent="0.25"/>
    <row r="193970" customFormat="1" x14ac:dyDescent="0.25"/>
    <row r="193971" customFormat="1" x14ac:dyDescent="0.25"/>
    <row r="193972" customFormat="1" x14ac:dyDescent="0.25"/>
    <row r="193973" customFormat="1" x14ac:dyDescent="0.25"/>
    <row r="193974" customFormat="1" x14ac:dyDescent="0.25"/>
    <row r="193975" customFormat="1" x14ac:dyDescent="0.25"/>
    <row r="193976" customFormat="1" x14ac:dyDescent="0.25"/>
    <row r="193977" customFormat="1" x14ac:dyDescent="0.25"/>
    <row r="193978" customFormat="1" x14ac:dyDescent="0.25"/>
    <row r="193979" customFormat="1" x14ac:dyDescent="0.25"/>
    <row r="193980" customFormat="1" x14ac:dyDescent="0.25"/>
    <row r="193981" customFormat="1" x14ac:dyDescent="0.25"/>
    <row r="193982" customFormat="1" x14ac:dyDescent="0.25"/>
    <row r="193983" customFormat="1" x14ac:dyDescent="0.25"/>
    <row r="193984" customFormat="1" x14ac:dyDescent="0.25"/>
    <row r="193985" customFormat="1" x14ac:dyDescent="0.25"/>
    <row r="193986" customFormat="1" x14ac:dyDescent="0.25"/>
    <row r="193987" customFormat="1" x14ac:dyDescent="0.25"/>
    <row r="193988" customFormat="1" x14ac:dyDescent="0.25"/>
    <row r="193989" customFormat="1" x14ac:dyDescent="0.25"/>
    <row r="193990" customFormat="1" x14ac:dyDescent="0.25"/>
    <row r="193991" customFormat="1" x14ac:dyDescent="0.25"/>
    <row r="193992" customFormat="1" x14ac:dyDescent="0.25"/>
    <row r="193993" customFormat="1" x14ac:dyDescent="0.25"/>
    <row r="193994" customFormat="1" x14ac:dyDescent="0.25"/>
    <row r="193995" customFormat="1" x14ac:dyDescent="0.25"/>
    <row r="193996" customFormat="1" x14ac:dyDescent="0.25"/>
    <row r="193997" customFormat="1" x14ac:dyDescent="0.25"/>
    <row r="193998" customFormat="1" x14ac:dyDescent="0.25"/>
    <row r="193999" customFormat="1" x14ac:dyDescent="0.25"/>
    <row r="194000" customFormat="1" x14ac:dyDescent="0.25"/>
    <row r="194001" customFormat="1" x14ac:dyDescent="0.25"/>
    <row r="194002" customFormat="1" x14ac:dyDescent="0.25"/>
    <row r="194003" customFormat="1" x14ac:dyDescent="0.25"/>
    <row r="194004" customFormat="1" x14ac:dyDescent="0.25"/>
    <row r="194005" customFormat="1" x14ac:dyDescent="0.25"/>
    <row r="194006" customFormat="1" x14ac:dyDescent="0.25"/>
    <row r="194007" customFormat="1" x14ac:dyDescent="0.25"/>
    <row r="194008" customFormat="1" x14ac:dyDescent="0.25"/>
    <row r="194009" customFormat="1" x14ac:dyDescent="0.25"/>
    <row r="194010" customFormat="1" x14ac:dyDescent="0.25"/>
    <row r="194011" customFormat="1" x14ac:dyDescent="0.25"/>
    <row r="194012" customFormat="1" x14ac:dyDescent="0.25"/>
    <row r="194013" customFormat="1" x14ac:dyDescent="0.25"/>
    <row r="194014" customFormat="1" x14ac:dyDescent="0.25"/>
    <row r="194015" customFormat="1" x14ac:dyDescent="0.25"/>
    <row r="194016" customFormat="1" x14ac:dyDescent="0.25"/>
    <row r="194017" customFormat="1" x14ac:dyDescent="0.25"/>
    <row r="194018" customFormat="1" x14ac:dyDescent="0.25"/>
    <row r="194019" customFormat="1" x14ac:dyDescent="0.25"/>
    <row r="194020" customFormat="1" x14ac:dyDescent="0.25"/>
    <row r="194021" customFormat="1" x14ac:dyDescent="0.25"/>
    <row r="194022" customFormat="1" x14ac:dyDescent="0.25"/>
    <row r="194023" customFormat="1" x14ac:dyDescent="0.25"/>
    <row r="194024" customFormat="1" x14ac:dyDescent="0.25"/>
    <row r="194025" customFormat="1" x14ac:dyDescent="0.25"/>
    <row r="194026" customFormat="1" x14ac:dyDescent="0.25"/>
    <row r="194027" customFormat="1" x14ac:dyDescent="0.25"/>
    <row r="194028" customFormat="1" x14ac:dyDescent="0.25"/>
    <row r="194029" customFormat="1" x14ac:dyDescent="0.25"/>
    <row r="194030" customFormat="1" x14ac:dyDescent="0.25"/>
    <row r="194031" customFormat="1" x14ac:dyDescent="0.25"/>
    <row r="194032" customFormat="1" x14ac:dyDescent="0.25"/>
    <row r="194033" customFormat="1" x14ac:dyDescent="0.25"/>
    <row r="194034" customFormat="1" x14ac:dyDescent="0.25"/>
    <row r="194035" customFormat="1" x14ac:dyDescent="0.25"/>
    <row r="194036" customFormat="1" x14ac:dyDescent="0.25"/>
    <row r="194037" customFormat="1" x14ac:dyDescent="0.25"/>
    <row r="194038" customFormat="1" x14ac:dyDescent="0.25"/>
    <row r="194039" customFormat="1" x14ac:dyDescent="0.25"/>
    <row r="194040" customFormat="1" x14ac:dyDescent="0.25"/>
    <row r="194041" customFormat="1" x14ac:dyDescent="0.25"/>
    <row r="194042" customFormat="1" x14ac:dyDescent="0.25"/>
    <row r="194043" customFormat="1" x14ac:dyDescent="0.25"/>
    <row r="194044" customFormat="1" x14ac:dyDescent="0.25"/>
    <row r="194045" customFormat="1" x14ac:dyDescent="0.25"/>
    <row r="194046" customFormat="1" x14ac:dyDescent="0.25"/>
    <row r="194047" customFormat="1" x14ac:dyDescent="0.25"/>
    <row r="194048" customFormat="1" x14ac:dyDescent="0.25"/>
    <row r="194049" customFormat="1" x14ac:dyDescent="0.25"/>
    <row r="194050" customFormat="1" x14ac:dyDescent="0.25"/>
    <row r="194051" customFormat="1" x14ac:dyDescent="0.25"/>
    <row r="194052" customFormat="1" x14ac:dyDescent="0.25"/>
    <row r="194053" customFormat="1" x14ac:dyDescent="0.25"/>
    <row r="194054" customFormat="1" x14ac:dyDescent="0.25"/>
    <row r="194055" customFormat="1" x14ac:dyDescent="0.25"/>
    <row r="194056" customFormat="1" x14ac:dyDescent="0.25"/>
    <row r="194057" customFormat="1" x14ac:dyDescent="0.25"/>
    <row r="194058" customFormat="1" x14ac:dyDescent="0.25"/>
    <row r="194059" customFormat="1" x14ac:dyDescent="0.25"/>
    <row r="194060" customFormat="1" x14ac:dyDescent="0.25"/>
    <row r="194061" customFormat="1" x14ac:dyDescent="0.25"/>
    <row r="194062" customFormat="1" x14ac:dyDescent="0.25"/>
    <row r="194063" customFormat="1" x14ac:dyDescent="0.25"/>
    <row r="194064" customFormat="1" x14ac:dyDescent="0.25"/>
    <row r="194065" customFormat="1" x14ac:dyDescent="0.25"/>
    <row r="194066" customFormat="1" x14ac:dyDescent="0.25"/>
    <row r="194067" customFormat="1" x14ac:dyDescent="0.25"/>
    <row r="194068" customFormat="1" x14ac:dyDescent="0.25"/>
    <row r="194069" customFormat="1" x14ac:dyDescent="0.25"/>
    <row r="194070" customFormat="1" x14ac:dyDescent="0.25"/>
    <row r="194071" customFormat="1" x14ac:dyDescent="0.25"/>
    <row r="194072" customFormat="1" x14ac:dyDescent="0.25"/>
    <row r="194073" customFormat="1" x14ac:dyDescent="0.25"/>
    <row r="194074" customFormat="1" x14ac:dyDescent="0.25"/>
    <row r="194075" customFormat="1" x14ac:dyDescent="0.25"/>
    <row r="194076" customFormat="1" x14ac:dyDescent="0.25"/>
    <row r="194077" customFormat="1" x14ac:dyDescent="0.25"/>
    <row r="194078" customFormat="1" x14ac:dyDescent="0.25"/>
    <row r="194079" customFormat="1" x14ac:dyDescent="0.25"/>
    <row r="194080" customFormat="1" x14ac:dyDescent="0.25"/>
    <row r="194081" customFormat="1" x14ac:dyDescent="0.25"/>
    <row r="194082" customFormat="1" x14ac:dyDescent="0.25"/>
    <row r="194083" customFormat="1" x14ac:dyDescent="0.25"/>
    <row r="194084" customFormat="1" x14ac:dyDescent="0.25"/>
    <row r="194085" customFormat="1" x14ac:dyDescent="0.25"/>
    <row r="194086" customFormat="1" x14ac:dyDescent="0.25"/>
    <row r="194087" customFormat="1" x14ac:dyDescent="0.25"/>
    <row r="194088" customFormat="1" x14ac:dyDescent="0.25"/>
    <row r="194089" customFormat="1" x14ac:dyDescent="0.25"/>
    <row r="194090" customFormat="1" x14ac:dyDescent="0.25"/>
    <row r="194091" customFormat="1" x14ac:dyDescent="0.25"/>
    <row r="194092" customFormat="1" x14ac:dyDescent="0.25"/>
    <row r="194093" customFormat="1" x14ac:dyDescent="0.25"/>
    <row r="194094" customFormat="1" x14ac:dyDescent="0.25"/>
    <row r="194095" customFormat="1" x14ac:dyDescent="0.25"/>
    <row r="194096" customFormat="1" x14ac:dyDescent="0.25"/>
    <row r="194097" customFormat="1" x14ac:dyDescent="0.25"/>
    <row r="194098" customFormat="1" x14ac:dyDescent="0.25"/>
    <row r="194099" customFormat="1" x14ac:dyDescent="0.25"/>
    <row r="194100" customFormat="1" x14ac:dyDescent="0.25"/>
    <row r="194101" customFormat="1" x14ac:dyDescent="0.25"/>
    <row r="194102" customFormat="1" x14ac:dyDescent="0.25"/>
    <row r="194103" customFormat="1" x14ac:dyDescent="0.25"/>
    <row r="194104" customFormat="1" x14ac:dyDescent="0.25"/>
    <row r="194105" customFormat="1" x14ac:dyDescent="0.25"/>
    <row r="194106" customFormat="1" x14ac:dyDescent="0.25"/>
    <row r="194107" customFormat="1" x14ac:dyDescent="0.25"/>
    <row r="194108" customFormat="1" x14ac:dyDescent="0.25"/>
    <row r="194109" customFormat="1" x14ac:dyDescent="0.25"/>
    <row r="194110" customFormat="1" x14ac:dyDescent="0.25"/>
    <row r="194111" customFormat="1" x14ac:dyDescent="0.25"/>
    <row r="194112" customFormat="1" x14ac:dyDescent="0.25"/>
    <row r="194113" customFormat="1" x14ac:dyDescent="0.25"/>
    <row r="194114" customFormat="1" x14ac:dyDescent="0.25"/>
    <row r="194115" customFormat="1" x14ac:dyDescent="0.25"/>
    <row r="194116" customFormat="1" x14ac:dyDescent="0.25"/>
    <row r="194117" customFormat="1" x14ac:dyDescent="0.25"/>
    <row r="194118" customFormat="1" x14ac:dyDescent="0.25"/>
    <row r="194119" customFormat="1" x14ac:dyDescent="0.25"/>
    <row r="194120" customFormat="1" x14ac:dyDescent="0.25"/>
    <row r="194121" customFormat="1" x14ac:dyDescent="0.25"/>
    <row r="194122" customFormat="1" x14ac:dyDescent="0.25"/>
    <row r="194123" customFormat="1" x14ac:dyDescent="0.25"/>
    <row r="194124" customFormat="1" x14ac:dyDescent="0.25"/>
    <row r="194125" customFormat="1" x14ac:dyDescent="0.25"/>
    <row r="194126" customFormat="1" x14ac:dyDescent="0.25"/>
    <row r="194127" customFormat="1" x14ac:dyDescent="0.25"/>
    <row r="194128" customFormat="1" x14ac:dyDescent="0.25"/>
    <row r="194129" customFormat="1" x14ac:dyDescent="0.25"/>
    <row r="194130" customFormat="1" x14ac:dyDescent="0.25"/>
    <row r="194131" customFormat="1" x14ac:dyDescent="0.25"/>
    <row r="194132" customFormat="1" x14ac:dyDescent="0.25"/>
    <row r="194133" customFormat="1" x14ac:dyDescent="0.25"/>
    <row r="194134" customFormat="1" x14ac:dyDescent="0.25"/>
    <row r="194135" customFormat="1" x14ac:dyDescent="0.25"/>
    <row r="194136" customFormat="1" x14ac:dyDescent="0.25"/>
    <row r="194137" customFormat="1" x14ac:dyDescent="0.25"/>
    <row r="194138" customFormat="1" x14ac:dyDescent="0.25"/>
    <row r="194139" customFormat="1" x14ac:dyDescent="0.25"/>
    <row r="194140" customFormat="1" x14ac:dyDescent="0.25"/>
    <row r="194141" customFormat="1" x14ac:dyDescent="0.25"/>
    <row r="194142" customFormat="1" x14ac:dyDescent="0.25"/>
    <row r="194143" customFormat="1" x14ac:dyDescent="0.25"/>
    <row r="194144" customFormat="1" x14ac:dyDescent="0.25"/>
    <row r="194145" customFormat="1" x14ac:dyDescent="0.25"/>
    <row r="194146" customFormat="1" x14ac:dyDescent="0.25"/>
    <row r="194147" customFormat="1" x14ac:dyDescent="0.25"/>
    <row r="194148" customFormat="1" x14ac:dyDescent="0.25"/>
    <row r="194149" customFormat="1" x14ac:dyDescent="0.25"/>
    <row r="194150" customFormat="1" x14ac:dyDescent="0.25"/>
    <row r="194151" customFormat="1" x14ac:dyDescent="0.25"/>
    <row r="194152" customFormat="1" x14ac:dyDescent="0.25"/>
    <row r="194153" customFormat="1" x14ac:dyDescent="0.25"/>
    <row r="194154" customFormat="1" x14ac:dyDescent="0.25"/>
    <row r="194155" customFormat="1" x14ac:dyDescent="0.25"/>
    <row r="194156" customFormat="1" x14ac:dyDescent="0.25"/>
    <row r="194157" customFormat="1" x14ac:dyDescent="0.25"/>
    <row r="194158" customFormat="1" x14ac:dyDescent="0.25"/>
    <row r="194159" customFormat="1" x14ac:dyDescent="0.25"/>
    <row r="194160" customFormat="1" x14ac:dyDescent="0.25"/>
    <row r="194161" customFormat="1" x14ac:dyDescent="0.25"/>
    <row r="194162" customFormat="1" x14ac:dyDescent="0.25"/>
    <row r="194163" customFormat="1" x14ac:dyDescent="0.25"/>
    <row r="194164" customFormat="1" x14ac:dyDescent="0.25"/>
    <row r="194165" customFormat="1" x14ac:dyDescent="0.25"/>
    <row r="194166" customFormat="1" x14ac:dyDescent="0.25"/>
    <row r="194167" customFormat="1" x14ac:dyDescent="0.25"/>
    <row r="194168" customFormat="1" x14ac:dyDescent="0.25"/>
    <row r="194169" customFormat="1" x14ac:dyDescent="0.25"/>
    <row r="194170" customFormat="1" x14ac:dyDescent="0.25"/>
    <row r="194171" customFormat="1" x14ac:dyDescent="0.25"/>
    <row r="194172" customFormat="1" x14ac:dyDescent="0.25"/>
    <row r="194173" customFormat="1" x14ac:dyDescent="0.25"/>
    <row r="194174" customFormat="1" x14ac:dyDescent="0.25"/>
    <row r="194175" customFormat="1" x14ac:dyDescent="0.25"/>
    <row r="194176" customFormat="1" x14ac:dyDescent="0.25"/>
    <row r="194177" customFormat="1" x14ac:dyDescent="0.25"/>
    <row r="194178" customFormat="1" x14ac:dyDescent="0.25"/>
    <row r="194179" customFormat="1" x14ac:dyDescent="0.25"/>
    <row r="194180" customFormat="1" x14ac:dyDescent="0.25"/>
    <row r="194181" customFormat="1" x14ac:dyDescent="0.25"/>
    <row r="194182" customFormat="1" x14ac:dyDescent="0.25"/>
    <row r="194183" customFormat="1" x14ac:dyDescent="0.25"/>
    <row r="194184" customFormat="1" x14ac:dyDescent="0.25"/>
    <row r="194185" customFormat="1" x14ac:dyDescent="0.25"/>
    <row r="194186" customFormat="1" x14ac:dyDescent="0.25"/>
    <row r="194187" customFormat="1" x14ac:dyDescent="0.25"/>
    <row r="194188" customFormat="1" x14ac:dyDescent="0.25"/>
    <row r="194189" customFormat="1" x14ac:dyDescent="0.25"/>
    <row r="194190" customFormat="1" x14ac:dyDescent="0.25"/>
    <row r="194191" customFormat="1" x14ac:dyDescent="0.25"/>
    <row r="194192" customFormat="1" x14ac:dyDescent="0.25"/>
    <row r="194193" customFormat="1" x14ac:dyDescent="0.25"/>
    <row r="194194" customFormat="1" x14ac:dyDescent="0.25"/>
    <row r="194195" customFormat="1" x14ac:dyDescent="0.25"/>
    <row r="194196" customFormat="1" x14ac:dyDescent="0.25"/>
    <row r="194197" customFormat="1" x14ac:dyDescent="0.25"/>
    <row r="194198" customFormat="1" x14ac:dyDescent="0.25"/>
    <row r="194199" customFormat="1" x14ac:dyDescent="0.25"/>
    <row r="194200" customFormat="1" x14ac:dyDescent="0.25"/>
    <row r="194201" customFormat="1" x14ac:dyDescent="0.25"/>
    <row r="194202" customFormat="1" x14ac:dyDescent="0.25"/>
    <row r="194203" customFormat="1" x14ac:dyDescent="0.25"/>
    <row r="194204" customFormat="1" x14ac:dyDescent="0.25"/>
    <row r="194205" customFormat="1" x14ac:dyDescent="0.25"/>
    <row r="194206" customFormat="1" x14ac:dyDescent="0.25"/>
    <row r="194207" customFormat="1" x14ac:dyDescent="0.25"/>
    <row r="194208" customFormat="1" x14ac:dyDescent="0.25"/>
    <row r="194209" customFormat="1" x14ac:dyDescent="0.25"/>
    <row r="194210" customFormat="1" x14ac:dyDescent="0.25"/>
    <row r="194211" customFormat="1" x14ac:dyDescent="0.25"/>
    <row r="194212" customFormat="1" x14ac:dyDescent="0.25"/>
    <row r="194213" customFormat="1" x14ac:dyDescent="0.25"/>
    <row r="194214" customFormat="1" x14ac:dyDescent="0.25"/>
    <row r="194215" customFormat="1" x14ac:dyDescent="0.25"/>
    <row r="194216" customFormat="1" x14ac:dyDescent="0.25"/>
    <row r="194217" customFormat="1" x14ac:dyDescent="0.25"/>
    <row r="194218" customFormat="1" x14ac:dyDescent="0.25"/>
    <row r="194219" customFormat="1" x14ac:dyDescent="0.25"/>
    <row r="194220" customFormat="1" x14ac:dyDescent="0.25"/>
    <row r="194221" customFormat="1" x14ac:dyDescent="0.25"/>
    <row r="194222" customFormat="1" x14ac:dyDescent="0.25"/>
    <row r="194223" customFormat="1" x14ac:dyDescent="0.25"/>
    <row r="194224" customFormat="1" x14ac:dyDescent="0.25"/>
    <row r="194225" customFormat="1" x14ac:dyDescent="0.25"/>
    <row r="194226" customFormat="1" x14ac:dyDescent="0.25"/>
    <row r="194227" customFormat="1" x14ac:dyDescent="0.25"/>
    <row r="194228" customFormat="1" x14ac:dyDescent="0.25"/>
    <row r="194229" customFormat="1" x14ac:dyDescent="0.25"/>
    <row r="194230" customFormat="1" x14ac:dyDescent="0.25"/>
    <row r="194231" customFormat="1" x14ac:dyDescent="0.25"/>
    <row r="194232" customFormat="1" x14ac:dyDescent="0.25"/>
    <row r="194233" customFormat="1" x14ac:dyDescent="0.25"/>
    <row r="194234" customFormat="1" x14ac:dyDescent="0.25"/>
    <row r="194235" customFormat="1" x14ac:dyDescent="0.25"/>
    <row r="194236" customFormat="1" x14ac:dyDescent="0.25"/>
    <row r="194237" customFormat="1" x14ac:dyDescent="0.25"/>
    <row r="194238" customFormat="1" x14ac:dyDescent="0.25"/>
    <row r="194239" customFormat="1" x14ac:dyDescent="0.25"/>
    <row r="194240" customFormat="1" x14ac:dyDescent="0.25"/>
    <row r="194241" customFormat="1" x14ac:dyDescent="0.25"/>
    <row r="194242" customFormat="1" x14ac:dyDescent="0.25"/>
    <row r="194243" customFormat="1" x14ac:dyDescent="0.25"/>
    <row r="194244" customFormat="1" x14ac:dyDescent="0.25"/>
    <row r="194245" customFormat="1" x14ac:dyDescent="0.25"/>
    <row r="194246" customFormat="1" x14ac:dyDescent="0.25"/>
    <row r="194247" customFormat="1" x14ac:dyDescent="0.25"/>
    <row r="194248" customFormat="1" x14ac:dyDescent="0.25"/>
    <row r="194249" customFormat="1" x14ac:dyDescent="0.25"/>
    <row r="194250" customFormat="1" x14ac:dyDescent="0.25"/>
    <row r="194251" customFormat="1" x14ac:dyDescent="0.25"/>
    <row r="194252" customFormat="1" x14ac:dyDescent="0.25"/>
    <row r="194253" customFormat="1" x14ac:dyDescent="0.25"/>
    <row r="194254" customFormat="1" x14ac:dyDescent="0.25"/>
    <row r="194255" customFormat="1" x14ac:dyDescent="0.25"/>
    <row r="194256" customFormat="1" x14ac:dyDescent="0.25"/>
    <row r="194257" customFormat="1" x14ac:dyDescent="0.25"/>
    <row r="194258" customFormat="1" x14ac:dyDescent="0.25"/>
    <row r="194259" customFormat="1" x14ac:dyDescent="0.25"/>
    <row r="194260" customFormat="1" x14ac:dyDescent="0.25"/>
    <row r="194261" customFormat="1" x14ac:dyDescent="0.25"/>
    <row r="194262" customFormat="1" x14ac:dyDescent="0.25"/>
    <row r="194263" customFormat="1" x14ac:dyDescent="0.25"/>
    <row r="194264" customFormat="1" x14ac:dyDescent="0.25"/>
    <row r="194265" customFormat="1" x14ac:dyDescent="0.25"/>
    <row r="194266" customFormat="1" x14ac:dyDescent="0.25"/>
    <row r="194267" customFormat="1" x14ac:dyDescent="0.25"/>
    <row r="194268" customFormat="1" x14ac:dyDescent="0.25"/>
    <row r="194269" customFormat="1" x14ac:dyDescent="0.25"/>
    <row r="194270" customFormat="1" x14ac:dyDescent="0.25"/>
    <row r="194271" customFormat="1" x14ac:dyDescent="0.25"/>
    <row r="194272" customFormat="1" x14ac:dyDescent="0.25"/>
    <row r="194273" customFormat="1" x14ac:dyDescent="0.25"/>
    <row r="194274" customFormat="1" x14ac:dyDescent="0.25"/>
    <row r="194275" customFormat="1" x14ac:dyDescent="0.25"/>
    <row r="194276" customFormat="1" x14ac:dyDescent="0.25"/>
    <row r="194277" customFormat="1" x14ac:dyDescent="0.25"/>
    <row r="194278" customFormat="1" x14ac:dyDescent="0.25"/>
    <row r="194279" customFormat="1" x14ac:dyDescent="0.25"/>
    <row r="194280" customFormat="1" x14ac:dyDescent="0.25"/>
    <row r="194281" customFormat="1" x14ac:dyDescent="0.25"/>
    <row r="194282" customFormat="1" x14ac:dyDescent="0.25"/>
    <row r="194283" customFormat="1" x14ac:dyDescent="0.25"/>
    <row r="194284" customFormat="1" x14ac:dyDescent="0.25"/>
    <row r="194285" customFormat="1" x14ac:dyDescent="0.25"/>
    <row r="194286" customFormat="1" x14ac:dyDescent="0.25"/>
    <row r="194287" customFormat="1" x14ac:dyDescent="0.25"/>
    <row r="194288" customFormat="1" x14ac:dyDescent="0.25"/>
    <row r="194289" customFormat="1" x14ac:dyDescent="0.25"/>
    <row r="194290" customFormat="1" x14ac:dyDescent="0.25"/>
    <row r="194291" customFormat="1" x14ac:dyDescent="0.25"/>
    <row r="194292" customFormat="1" x14ac:dyDescent="0.25"/>
    <row r="194293" customFormat="1" x14ac:dyDescent="0.25"/>
    <row r="194294" customFormat="1" x14ac:dyDescent="0.25"/>
    <row r="194295" customFormat="1" x14ac:dyDescent="0.25"/>
    <row r="194296" customFormat="1" x14ac:dyDescent="0.25"/>
    <row r="194297" customFormat="1" x14ac:dyDescent="0.25"/>
    <row r="194298" customFormat="1" x14ac:dyDescent="0.25"/>
    <row r="194299" customFormat="1" x14ac:dyDescent="0.25"/>
    <row r="194300" customFormat="1" x14ac:dyDescent="0.25"/>
    <row r="194301" customFormat="1" x14ac:dyDescent="0.25"/>
    <row r="194302" customFormat="1" x14ac:dyDescent="0.25"/>
    <row r="194303" customFormat="1" x14ac:dyDescent="0.25"/>
    <row r="194304" customFormat="1" x14ac:dyDescent="0.25"/>
    <row r="194305" customFormat="1" x14ac:dyDescent="0.25"/>
    <row r="194306" customFormat="1" x14ac:dyDescent="0.25"/>
    <row r="194307" customFormat="1" x14ac:dyDescent="0.25"/>
    <row r="194308" customFormat="1" x14ac:dyDescent="0.25"/>
    <row r="194309" customFormat="1" x14ac:dyDescent="0.25"/>
    <row r="194310" customFormat="1" x14ac:dyDescent="0.25"/>
    <row r="194311" customFormat="1" x14ac:dyDescent="0.25"/>
    <row r="194312" customFormat="1" x14ac:dyDescent="0.25"/>
    <row r="194313" customFormat="1" x14ac:dyDescent="0.25"/>
    <row r="194314" customFormat="1" x14ac:dyDescent="0.25"/>
    <row r="194315" customFormat="1" x14ac:dyDescent="0.25"/>
    <row r="194316" customFormat="1" x14ac:dyDescent="0.25"/>
    <row r="194317" customFormat="1" x14ac:dyDescent="0.25"/>
    <row r="194318" customFormat="1" x14ac:dyDescent="0.25"/>
    <row r="194319" customFormat="1" x14ac:dyDescent="0.25"/>
    <row r="194320" customFormat="1" x14ac:dyDescent="0.25"/>
    <row r="194321" customFormat="1" x14ac:dyDescent="0.25"/>
    <row r="194322" customFormat="1" x14ac:dyDescent="0.25"/>
    <row r="194323" customFormat="1" x14ac:dyDescent="0.25"/>
    <row r="194324" customFormat="1" x14ac:dyDescent="0.25"/>
    <row r="194325" customFormat="1" x14ac:dyDescent="0.25"/>
    <row r="194326" customFormat="1" x14ac:dyDescent="0.25"/>
    <row r="194327" customFormat="1" x14ac:dyDescent="0.25"/>
    <row r="194328" customFormat="1" x14ac:dyDescent="0.25"/>
    <row r="194329" customFormat="1" x14ac:dyDescent="0.25"/>
    <row r="194330" customFormat="1" x14ac:dyDescent="0.25"/>
    <row r="194331" customFormat="1" x14ac:dyDescent="0.25"/>
    <row r="194332" customFormat="1" x14ac:dyDescent="0.25"/>
    <row r="194333" customFormat="1" x14ac:dyDescent="0.25"/>
    <row r="194334" customFormat="1" x14ac:dyDescent="0.25"/>
    <row r="194335" customFormat="1" x14ac:dyDescent="0.25"/>
    <row r="194336" customFormat="1" x14ac:dyDescent="0.25"/>
    <row r="194337" customFormat="1" x14ac:dyDescent="0.25"/>
    <row r="194338" customFormat="1" x14ac:dyDescent="0.25"/>
    <row r="194339" customFormat="1" x14ac:dyDescent="0.25"/>
    <row r="194340" customFormat="1" x14ac:dyDescent="0.25"/>
    <row r="194341" customFormat="1" x14ac:dyDescent="0.25"/>
    <row r="194342" customFormat="1" x14ac:dyDescent="0.25"/>
    <row r="194343" customFormat="1" x14ac:dyDescent="0.25"/>
    <row r="194344" customFormat="1" x14ac:dyDescent="0.25"/>
    <row r="194345" customFormat="1" x14ac:dyDescent="0.25"/>
    <row r="194346" customFormat="1" x14ac:dyDescent="0.25"/>
    <row r="194347" customFormat="1" x14ac:dyDescent="0.25"/>
    <row r="194348" customFormat="1" x14ac:dyDescent="0.25"/>
    <row r="194349" customFormat="1" x14ac:dyDescent="0.25"/>
    <row r="194350" customFormat="1" x14ac:dyDescent="0.25"/>
    <row r="194351" customFormat="1" x14ac:dyDescent="0.25"/>
    <row r="194352" customFormat="1" x14ac:dyDescent="0.25"/>
    <row r="194353" customFormat="1" x14ac:dyDescent="0.25"/>
    <row r="194354" customFormat="1" x14ac:dyDescent="0.25"/>
    <row r="194355" customFormat="1" x14ac:dyDescent="0.25"/>
    <row r="194356" customFormat="1" x14ac:dyDescent="0.25"/>
    <row r="194357" customFormat="1" x14ac:dyDescent="0.25"/>
    <row r="194358" customFormat="1" x14ac:dyDescent="0.25"/>
    <row r="194359" customFormat="1" x14ac:dyDescent="0.25"/>
    <row r="194360" customFormat="1" x14ac:dyDescent="0.25"/>
    <row r="194361" customFormat="1" x14ac:dyDescent="0.25"/>
    <row r="194362" customFormat="1" x14ac:dyDescent="0.25"/>
    <row r="194363" customFormat="1" x14ac:dyDescent="0.25"/>
    <row r="194364" customFormat="1" x14ac:dyDescent="0.25"/>
    <row r="194365" customFormat="1" x14ac:dyDescent="0.25"/>
    <row r="194366" customFormat="1" x14ac:dyDescent="0.25"/>
    <row r="194367" customFormat="1" x14ac:dyDescent="0.25"/>
    <row r="194368" customFormat="1" x14ac:dyDescent="0.25"/>
    <row r="194369" customFormat="1" x14ac:dyDescent="0.25"/>
    <row r="194370" customFormat="1" x14ac:dyDescent="0.25"/>
    <row r="194371" customFormat="1" x14ac:dyDescent="0.25"/>
    <row r="194372" customFormat="1" x14ac:dyDescent="0.25"/>
    <row r="194373" customFormat="1" x14ac:dyDescent="0.25"/>
    <row r="194374" customFormat="1" x14ac:dyDescent="0.25"/>
    <row r="194375" customFormat="1" x14ac:dyDescent="0.25"/>
    <row r="194376" customFormat="1" x14ac:dyDescent="0.25"/>
    <row r="194377" customFormat="1" x14ac:dyDescent="0.25"/>
    <row r="194378" customFormat="1" x14ac:dyDescent="0.25"/>
    <row r="194379" customFormat="1" x14ac:dyDescent="0.25"/>
    <row r="194380" customFormat="1" x14ac:dyDescent="0.25"/>
    <row r="194381" customFormat="1" x14ac:dyDescent="0.25"/>
    <row r="194382" customFormat="1" x14ac:dyDescent="0.25"/>
    <row r="194383" customFormat="1" x14ac:dyDescent="0.25"/>
    <row r="194384" customFormat="1" x14ac:dyDescent="0.25"/>
    <row r="194385" customFormat="1" x14ac:dyDescent="0.25"/>
    <row r="194386" customFormat="1" x14ac:dyDescent="0.25"/>
    <row r="194387" customFormat="1" x14ac:dyDescent="0.25"/>
    <row r="194388" customFormat="1" x14ac:dyDescent="0.25"/>
    <row r="194389" customFormat="1" x14ac:dyDescent="0.25"/>
    <row r="194390" customFormat="1" x14ac:dyDescent="0.25"/>
    <row r="194391" customFormat="1" x14ac:dyDescent="0.25"/>
    <row r="194392" customFormat="1" x14ac:dyDescent="0.25"/>
    <row r="194393" customFormat="1" x14ac:dyDescent="0.25"/>
    <row r="194394" customFormat="1" x14ac:dyDescent="0.25"/>
    <row r="194395" customFormat="1" x14ac:dyDescent="0.25"/>
    <row r="194396" customFormat="1" x14ac:dyDescent="0.25"/>
    <row r="194397" customFormat="1" x14ac:dyDescent="0.25"/>
    <row r="194398" customFormat="1" x14ac:dyDescent="0.25"/>
    <row r="194399" customFormat="1" x14ac:dyDescent="0.25"/>
    <row r="194400" customFormat="1" x14ac:dyDescent="0.25"/>
    <row r="194401" customFormat="1" x14ac:dyDescent="0.25"/>
    <row r="194402" customFormat="1" x14ac:dyDescent="0.25"/>
    <row r="194403" customFormat="1" x14ac:dyDescent="0.25"/>
    <row r="194404" customFormat="1" x14ac:dyDescent="0.25"/>
    <row r="194405" customFormat="1" x14ac:dyDescent="0.25"/>
    <row r="194406" customFormat="1" x14ac:dyDescent="0.25"/>
    <row r="194407" customFormat="1" x14ac:dyDescent="0.25"/>
    <row r="194408" customFormat="1" x14ac:dyDescent="0.25"/>
    <row r="194409" customFormat="1" x14ac:dyDescent="0.25"/>
    <row r="194410" customFormat="1" x14ac:dyDescent="0.25"/>
    <row r="194411" customFormat="1" x14ac:dyDescent="0.25"/>
    <row r="194412" customFormat="1" x14ac:dyDescent="0.25"/>
    <row r="194413" customFormat="1" x14ac:dyDescent="0.25"/>
    <row r="194414" customFormat="1" x14ac:dyDescent="0.25"/>
    <row r="194415" customFormat="1" x14ac:dyDescent="0.25"/>
    <row r="194416" customFormat="1" x14ac:dyDescent="0.25"/>
    <row r="194417" customFormat="1" x14ac:dyDescent="0.25"/>
    <row r="194418" customFormat="1" x14ac:dyDescent="0.25"/>
    <row r="194419" customFormat="1" x14ac:dyDescent="0.25"/>
    <row r="194420" customFormat="1" x14ac:dyDescent="0.25"/>
    <row r="194421" customFormat="1" x14ac:dyDescent="0.25"/>
    <row r="194422" customFormat="1" x14ac:dyDescent="0.25"/>
    <row r="194423" customFormat="1" x14ac:dyDescent="0.25"/>
    <row r="194424" customFormat="1" x14ac:dyDescent="0.25"/>
    <row r="194425" customFormat="1" x14ac:dyDescent="0.25"/>
    <row r="194426" customFormat="1" x14ac:dyDescent="0.25"/>
    <row r="194427" customFormat="1" x14ac:dyDescent="0.25"/>
    <row r="194428" customFormat="1" x14ac:dyDescent="0.25"/>
    <row r="194429" customFormat="1" x14ac:dyDescent="0.25"/>
    <row r="194430" customFormat="1" x14ac:dyDescent="0.25"/>
    <row r="194431" customFormat="1" x14ac:dyDescent="0.25"/>
    <row r="194432" customFormat="1" x14ac:dyDescent="0.25"/>
    <row r="194433" customFormat="1" x14ac:dyDescent="0.25"/>
    <row r="194434" customFormat="1" x14ac:dyDescent="0.25"/>
    <row r="194435" customFormat="1" x14ac:dyDescent="0.25"/>
    <row r="194436" customFormat="1" x14ac:dyDescent="0.25"/>
    <row r="194437" customFormat="1" x14ac:dyDescent="0.25"/>
    <row r="194438" customFormat="1" x14ac:dyDescent="0.25"/>
    <row r="194439" customFormat="1" x14ac:dyDescent="0.25"/>
    <row r="194440" customFormat="1" x14ac:dyDescent="0.25"/>
    <row r="194441" customFormat="1" x14ac:dyDescent="0.25"/>
    <row r="194442" customFormat="1" x14ac:dyDescent="0.25"/>
    <row r="194443" customFormat="1" x14ac:dyDescent="0.25"/>
    <row r="194444" customFormat="1" x14ac:dyDescent="0.25"/>
    <row r="194445" customFormat="1" x14ac:dyDescent="0.25"/>
    <row r="194446" customFormat="1" x14ac:dyDescent="0.25"/>
    <row r="194447" customFormat="1" x14ac:dyDescent="0.25"/>
    <row r="194448" customFormat="1" x14ac:dyDescent="0.25"/>
    <row r="194449" customFormat="1" x14ac:dyDescent="0.25"/>
    <row r="194450" customFormat="1" x14ac:dyDescent="0.25"/>
    <row r="194451" customFormat="1" x14ac:dyDescent="0.25"/>
    <row r="194452" customFormat="1" x14ac:dyDescent="0.25"/>
    <row r="194453" customFormat="1" x14ac:dyDescent="0.25"/>
    <row r="194454" customFormat="1" x14ac:dyDescent="0.25"/>
    <row r="194455" customFormat="1" x14ac:dyDescent="0.25"/>
    <row r="194456" customFormat="1" x14ac:dyDescent="0.25"/>
    <row r="194457" customFormat="1" x14ac:dyDescent="0.25"/>
    <row r="194458" customFormat="1" x14ac:dyDescent="0.25"/>
    <row r="194459" customFormat="1" x14ac:dyDescent="0.25"/>
    <row r="194460" customFormat="1" x14ac:dyDescent="0.25"/>
    <row r="194461" customFormat="1" x14ac:dyDescent="0.25"/>
    <row r="194462" customFormat="1" x14ac:dyDescent="0.25"/>
    <row r="194463" customFormat="1" x14ac:dyDescent="0.25"/>
    <row r="194464" customFormat="1" x14ac:dyDescent="0.25"/>
    <row r="194465" customFormat="1" x14ac:dyDescent="0.25"/>
    <row r="194466" customFormat="1" x14ac:dyDescent="0.25"/>
    <row r="194467" customFormat="1" x14ac:dyDescent="0.25"/>
    <row r="194468" customFormat="1" x14ac:dyDescent="0.25"/>
    <row r="194469" customFormat="1" x14ac:dyDescent="0.25"/>
    <row r="194470" customFormat="1" x14ac:dyDescent="0.25"/>
    <row r="194471" customFormat="1" x14ac:dyDescent="0.25"/>
    <row r="194472" customFormat="1" x14ac:dyDescent="0.25"/>
    <row r="194473" customFormat="1" x14ac:dyDescent="0.25"/>
    <row r="194474" customFormat="1" x14ac:dyDescent="0.25"/>
    <row r="194475" customFormat="1" x14ac:dyDescent="0.25"/>
    <row r="194476" customFormat="1" x14ac:dyDescent="0.25"/>
    <row r="194477" customFormat="1" x14ac:dyDescent="0.25"/>
    <row r="194478" customFormat="1" x14ac:dyDescent="0.25"/>
    <row r="194479" customFormat="1" x14ac:dyDescent="0.25"/>
    <row r="194480" customFormat="1" x14ac:dyDescent="0.25"/>
    <row r="194481" customFormat="1" x14ac:dyDescent="0.25"/>
    <row r="194482" customFormat="1" x14ac:dyDescent="0.25"/>
    <row r="194483" customFormat="1" x14ac:dyDescent="0.25"/>
    <row r="194484" customFormat="1" x14ac:dyDescent="0.25"/>
    <row r="194485" customFormat="1" x14ac:dyDescent="0.25"/>
    <row r="194486" customFormat="1" x14ac:dyDescent="0.25"/>
    <row r="194487" customFormat="1" x14ac:dyDescent="0.25"/>
    <row r="194488" customFormat="1" x14ac:dyDescent="0.25"/>
    <row r="194489" customFormat="1" x14ac:dyDescent="0.25"/>
    <row r="194490" customFormat="1" x14ac:dyDescent="0.25"/>
    <row r="194491" customFormat="1" x14ac:dyDescent="0.25"/>
    <row r="194492" customFormat="1" x14ac:dyDescent="0.25"/>
    <row r="194493" customFormat="1" x14ac:dyDescent="0.25"/>
    <row r="194494" customFormat="1" x14ac:dyDescent="0.25"/>
    <row r="194495" customFormat="1" x14ac:dyDescent="0.25"/>
    <row r="194496" customFormat="1" x14ac:dyDescent="0.25"/>
    <row r="194497" customFormat="1" x14ac:dyDescent="0.25"/>
    <row r="194498" customFormat="1" x14ac:dyDescent="0.25"/>
    <row r="194499" customFormat="1" x14ac:dyDescent="0.25"/>
    <row r="194500" customFormat="1" x14ac:dyDescent="0.25"/>
    <row r="194501" customFormat="1" x14ac:dyDescent="0.25"/>
    <row r="194502" customFormat="1" x14ac:dyDescent="0.25"/>
    <row r="194503" customFormat="1" x14ac:dyDescent="0.25"/>
    <row r="194504" customFormat="1" x14ac:dyDescent="0.25"/>
    <row r="194505" customFormat="1" x14ac:dyDescent="0.25"/>
    <row r="194506" customFormat="1" x14ac:dyDescent="0.25"/>
    <row r="194507" customFormat="1" x14ac:dyDescent="0.25"/>
    <row r="194508" customFormat="1" x14ac:dyDescent="0.25"/>
    <row r="194509" customFormat="1" x14ac:dyDescent="0.25"/>
    <row r="194510" customFormat="1" x14ac:dyDescent="0.25"/>
    <row r="194511" customFormat="1" x14ac:dyDescent="0.25"/>
    <row r="194512" customFormat="1" x14ac:dyDescent="0.25"/>
    <row r="194513" customFormat="1" x14ac:dyDescent="0.25"/>
    <row r="194514" customFormat="1" x14ac:dyDescent="0.25"/>
    <row r="194515" customFormat="1" x14ac:dyDescent="0.25"/>
    <row r="194516" customFormat="1" x14ac:dyDescent="0.25"/>
    <row r="194517" customFormat="1" x14ac:dyDescent="0.25"/>
    <row r="194518" customFormat="1" x14ac:dyDescent="0.25"/>
    <row r="194519" customFormat="1" x14ac:dyDescent="0.25"/>
    <row r="194520" customFormat="1" x14ac:dyDescent="0.25"/>
    <row r="194521" customFormat="1" x14ac:dyDescent="0.25"/>
    <row r="194522" customFormat="1" x14ac:dyDescent="0.25"/>
    <row r="194523" customFormat="1" x14ac:dyDescent="0.25"/>
    <row r="194524" customFormat="1" x14ac:dyDescent="0.25"/>
    <row r="194525" customFormat="1" x14ac:dyDescent="0.25"/>
    <row r="194526" customFormat="1" x14ac:dyDescent="0.25"/>
    <row r="194527" customFormat="1" x14ac:dyDescent="0.25"/>
    <row r="194528" customFormat="1" x14ac:dyDescent="0.25"/>
    <row r="194529" customFormat="1" x14ac:dyDescent="0.25"/>
    <row r="194530" customFormat="1" x14ac:dyDescent="0.25"/>
    <row r="194531" customFormat="1" x14ac:dyDescent="0.25"/>
    <row r="194532" customFormat="1" x14ac:dyDescent="0.25"/>
    <row r="194533" customFormat="1" x14ac:dyDescent="0.25"/>
    <row r="194534" customFormat="1" x14ac:dyDescent="0.25"/>
    <row r="194535" customFormat="1" x14ac:dyDescent="0.25"/>
    <row r="194536" customFormat="1" x14ac:dyDescent="0.25"/>
    <row r="194537" customFormat="1" x14ac:dyDescent="0.25"/>
    <row r="194538" customFormat="1" x14ac:dyDescent="0.25"/>
    <row r="194539" customFormat="1" x14ac:dyDescent="0.25"/>
    <row r="194540" customFormat="1" x14ac:dyDescent="0.25"/>
    <row r="194541" customFormat="1" x14ac:dyDescent="0.25"/>
    <row r="194542" customFormat="1" x14ac:dyDescent="0.25"/>
    <row r="194543" customFormat="1" x14ac:dyDescent="0.25"/>
    <row r="194544" customFormat="1" x14ac:dyDescent="0.25"/>
    <row r="194545" customFormat="1" x14ac:dyDescent="0.25"/>
    <row r="194546" customFormat="1" x14ac:dyDescent="0.25"/>
    <row r="194547" customFormat="1" x14ac:dyDescent="0.25"/>
    <row r="194548" customFormat="1" x14ac:dyDescent="0.25"/>
    <row r="194549" customFormat="1" x14ac:dyDescent="0.25"/>
    <row r="194550" customFormat="1" x14ac:dyDescent="0.25"/>
    <row r="194551" customFormat="1" x14ac:dyDescent="0.25"/>
    <row r="194552" customFormat="1" x14ac:dyDescent="0.25"/>
    <row r="194553" customFormat="1" x14ac:dyDescent="0.25"/>
    <row r="194554" customFormat="1" x14ac:dyDescent="0.25"/>
    <row r="194555" customFormat="1" x14ac:dyDescent="0.25"/>
    <row r="194556" customFormat="1" x14ac:dyDescent="0.25"/>
    <row r="194557" customFormat="1" x14ac:dyDescent="0.25"/>
    <row r="194558" customFormat="1" x14ac:dyDescent="0.25"/>
    <row r="194559" customFormat="1" x14ac:dyDescent="0.25"/>
    <row r="194560" customFormat="1" x14ac:dyDescent="0.25"/>
    <row r="194561" customFormat="1" x14ac:dyDescent="0.25"/>
    <row r="194562" customFormat="1" x14ac:dyDescent="0.25"/>
    <row r="194563" customFormat="1" x14ac:dyDescent="0.25"/>
    <row r="194564" customFormat="1" x14ac:dyDescent="0.25"/>
    <row r="194565" customFormat="1" x14ac:dyDescent="0.25"/>
    <row r="194566" customFormat="1" x14ac:dyDescent="0.25"/>
    <row r="194567" customFormat="1" x14ac:dyDescent="0.25"/>
    <row r="194568" customFormat="1" x14ac:dyDescent="0.25"/>
    <row r="194569" customFormat="1" x14ac:dyDescent="0.25"/>
    <row r="194570" customFormat="1" x14ac:dyDescent="0.25"/>
    <row r="194571" customFormat="1" x14ac:dyDescent="0.25"/>
    <row r="194572" customFormat="1" x14ac:dyDescent="0.25"/>
    <row r="194573" customFormat="1" x14ac:dyDescent="0.25"/>
    <row r="194574" customFormat="1" x14ac:dyDescent="0.25"/>
    <row r="194575" customFormat="1" x14ac:dyDescent="0.25"/>
    <row r="194576" customFormat="1" x14ac:dyDescent="0.25"/>
    <row r="194577" customFormat="1" x14ac:dyDescent="0.25"/>
    <row r="194578" customFormat="1" x14ac:dyDescent="0.25"/>
    <row r="194579" customFormat="1" x14ac:dyDescent="0.25"/>
    <row r="194580" customFormat="1" x14ac:dyDescent="0.25"/>
    <row r="194581" customFormat="1" x14ac:dyDescent="0.25"/>
    <row r="194582" customFormat="1" x14ac:dyDescent="0.25"/>
    <row r="194583" customFormat="1" x14ac:dyDescent="0.25"/>
    <row r="194584" customFormat="1" x14ac:dyDescent="0.25"/>
    <row r="194585" customFormat="1" x14ac:dyDescent="0.25"/>
    <row r="194586" customFormat="1" x14ac:dyDescent="0.25"/>
    <row r="194587" customFormat="1" x14ac:dyDescent="0.25"/>
    <row r="194588" customFormat="1" x14ac:dyDescent="0.25"/>
    <row r="194589" customFormat="1" x14ac:dyDescent="0.25"/>
    <row r="194590" customFormat="1" x14ac:dyDescent="0.25"/>
    <row r="194591" customFormat="1" x14ac:dyDescent="0.25"/>
    <row r="194592" customFormat="1" x14ac:dyDescent="0.25"/>
    <row r="194593" customFormat="1" x14ac:dyDescent="0.25"/>
    <row r="194594" customFormat="1" x14ac:dyDescent="0.25"/>
    <row r="194595" customFormat="1" x14ac:dyDescent="0.25"/>
    <row r="194596" customFormat="1" x14ac:dyDescent="0.25"/>
    <row r="194597" customFormat="1" x14ac:dyDescent="0.25"/>
    <row r="194598" customFormat="1" x14ac:dyDescent="0.25"/>
    <row r="194599" customFormat="1" x14ac:dyDescent="0.25"/>
    <row r="194600" customFormat="1" x14ac:dyDescent="0.25"/>
    <row r="194601" customFormat="1" x14ac:dyDescent="0.25"/>
    <row r="194602" customFormat="1" x14ac:dyDescent="0.25"/>
    <row r="194603" customFormat="1" x14ac:dyDescent="0.25"/>
    <row r="194604" customFormat="1" x14ac:dyDescent="0.25"/>
    <row r="194605" customFormat="1" x14ac:dyDescent="0.25"/>
    <row r="194606" customFormat="1" x14ac:dyDescent="0.25"/>
    <row r="194607" customFormat="1" x14ac:dyDescent="0.25"/>
    <row r="194608" customFormat="1" x14ac:dyDescent="0.25"/>
    <row r="194609" customFormat="1" x14ac:dyDescent="0.25"/>
    <row r="194610" customFormat="1" x14ac:dyDescent="0.25"/>
    <row r="194611" customFormat="1" x14ac:dyDescent="0.25"/>
    <row r="194612" customFormat="1" x14ac:dyDescent="0.25"/>
    <row r="194613" customFormat="1" x14ac:dyDescent="0.25"/>
    <row r="194614" customFormat="1" x14ac:dyDescent="0.25"/>
    <row r="194615" customFormat="1" x14ac:dyDescent="0.25"/>
    <row r="194616" customFormat="1" x14ac:dyDescent="0.25"/>
    <row r="194617" customFormat="1" x14ac:dyDescent="0.25"/>
    <row r="194618" customFormat="1" x14ac:dyDescent="0.25"/>
    <row r="194619" customFormat="1" x14ac:dyDescent="0.25"/>
    <row r="194620" customFormat="1" x14ac:dyDescent="0.25"/>
    <row r="194621" customFormat="1" x14ac:dyDescent="0.25"/>
    <row r="194622" customFormat="1" x14ac:dyDescent="0.25"/>
    <row r="194623" customFormat="1" x14ac:dyDescent="0.25"/>
    <row r="194624" customFormat="1" x14ac:dyDescent="0.25"/>
    <row r="194625" customFormat="1" x14ac:dyDescent="0.25"/>
    <row r="194626" customFormat="1" x14ac:dyDescent="0.25"/>
    <row r="194627" customFormat="1" x14ac:dyDescent="0.25"/>
    <row r="194628" customFormat="1" x14ac:dyDescent="0.25"/>
    <row r="194629" customFormat="1" x14ac:dyDescent="0.25"/>
    <row r="194630" customFormat="1" x14ac:dyDescent="0.25"/>
    <row r="194631" customFormat="1" x14ac:dyDescent="0.25"/>
    <row r="194632" customFormat="1" x14ac:dyDescent="0.25"/>
    <row r="194633" customFormat="1" x14ac:dyDescent="0.25"/>
    <row r="194634" customFormat="1" x14ac:dyDescent="0.25"/>
    <row r="194635" customFormat="1" x14ac:dyDescent="0.25"/>
    <row r="194636" customFormat="1" x14ac:dyDescent="0.25"/>
    <row r="194637" customFormat="1" x14ac:dyDescent="0.25"/>
    <row r="194638" customFormat="1" x14ac:dyDescent="0.25"/>
    <row r="194639" customFormat="1" x14ac:dyDescent="0.25"/>
    <row r="194640" customFormat="1" x14ac:dyDescent="0.25"/>
    <row r="194641" customFormat="1" x14ac:dyDescent="0.25"/>
    <row r="194642" customFormat="1" x14ac:dyDescent="0.25"/>
    <row r="194643" customFormat="1" x14ac:dyDescent="0.25"/>
    <row r="194644" customFormat="1" x14ac:dyDescent="0.25"/>
    <row r="194645" customFormat="1" x14ac:dyDescent="0.25"/>
    <row r="194646" customFormat="1" x14ac:dyDescent="0.25"/>
    <row r="194647" customFormat="1" x14ac:dyDescent="0.25"/>
    <row r="194648" customFormat="1" x14ac:dyDescent="0.25"/>
    <row r="194649" customFormat="1" x14ac:dyDescent="0.25"/>
    <row r="194650" customFormat="1" x14ac:dyDescent="0.25"/>
    <row r="194651" customFormat="1" x14ac:dyDescent="0.25"/>
    <row r="194652" customFormat="1" x14ac:dyDescent="0.25"/>
    <row r="194653" customFormat="1" x14ac:dyDescent="0.25"/>
    <row r="194654" customFormat="1" x14ac:dyDescent="0.25"/>
    <row r="194655" customFormat="1" x14ac:dyDescent="0.25"/>
    <row r="194656" customFormat="1" x14ac:dyDescent="0.25"/>
    <row r="194657" customFormat="1" x14ac:dyDescent="0.25"/>
    <row r="194658" customFormat="1" x14ac:dyDescent="0.25"/>
    <row r="194659" customFormat="1" x14ac:dyDescent="0.25"/>
    <row r="194660" customFormat="1" x14ac:dyDescent="0.25"/>
    <row r="194661" customFormat="1" x14ac:dyDescent="0.25"/>
    <row r="194662" customFormat="1" x14ac:dyDescent="0.25"/>
    <row r="194663" customFormat="1" x14ac:dyDescent="0.25"/>
    <row r="194664" customFormat="1" x14ac:dyDescent="0.25"/>
    <row r="194665" customFormat="1" x14ac:dyDescent="0.25"/>
    <row r="194666" customFormat="1" x14ac:dyDescent="0.25"/>
    <row r="194667" customFormat="1" x14ac:dyDescent="0.25"/>
    <row r="194668" customFormat="1" x14ac:dyDescent="0.25"/>
    <row r="194669" customFormat="1" x14ac:dyDescent="0.25"/>
    <row r="194670" customFormat="1" x14ac:dyDescent="0.25"/>
    <row r="194671" customFormat="1" x14ac:dyDescent="0.25"/>
    <row r="194672" customFormat="1" x14ac:dyDescent="0.25"/>
    <row r="194673" customFormat="1" x14ac:dyDescent="0.25"/>
    <row r="194674" customFormat="1" x14ac:dyDescent="0.25"/>
    <row r="194675" customFormat="1" x14ac:dyDescent="0.25"/>
    <row r="194676" customFormat="1" x14ac:dyDescent="0.25"/>
    <row r="194677" customFormat="1" x14ac:dyDescent="0.25"/>
    <row r="194678" customFormat="1" x14ac:dyDescent="0.25"/>
    <row r="194679" customFormat="1" x14ac:dyDescent="0.25"/>
    <row r="194680" customFormat="1" x14ac:dyDescent="0.25"/>
    <row r="194681" customFormat="1" x14ac:dyDescent="0.25"/>
    <row r="194682" customFormat="1" x14ac:dyDescent="0.25"/>
    <row r="194683" customFormat="1" x14ac:dyDescent="0.25"/>
    <row r="194684" customFormat="1" x14ac:dyDescent="0.25"/>
    <row r="194685" customFormat="1" x14ac:dyDescent="0.25"/>
    <row r="194686" customFormat="1" x14ac:dyDescent="0.25"/>
    <row r="194687" customFormat="1" x14ac:dyDescent="0.25"/>
    <row r="194688" customFormat="1" x14ac:dyDescent="0.25"/>
    <row r="194689" customFormat="1" x14ac:dyDescent="0.25"/>
    <row r="194690" customFormat="1" x14ac:dyDescent="0.25"/>
    <row r="194691" customFormat="1" x14ac:dyDescent="0.25"/>
    <row r="194692" customFormat="1" x14ac:dyDescent="0.25"/>
    <row r="194693" customFormat="1" x14ac:dyDescent="0.25"/>
    <row r="194694" customFormat="1" x14ac:dyDescent="0.25"/>
    <row r="194695" customFormat="1" x14ac:dyDescent="0.25"/>
    <row r="194696" customFormat="1" x14ac:dyDescent="0.25"/>
    <row r="194697" customFormat="1" x14ac:dyDescent="0.25"/>
    <row r="194698" customFormat="1" x14ac:dyDescent="0.25"/>
    <row r="194699" customFormat="1" x14ac:dyDescent="0.25"/>
    <row r="194700" customFormat="1" x14ac:dyDescent="0.25"/>
    <row r="194701" customFormat="1" x14ac:dyDescent="0.25"/>
    <row r="194702" customFormat="1" x14ac:dyDescent="0.25"/>
    <row r="194703" customFormat="1" x14ac:dyDescent="0.25"/>
    <row r="194704" customFormat="1" x14ac:dyDescent="0.25"/>
    <row r="194705" customFormat="1" x14ac:dyDescent="0.25"/>
    <row r="194706" customFormat="1" x14ac:dyDescent="0.25"/>
    <row r="194707" customFormat="1" x14ac:dyDescent="0.25"/>
    <row r="194708" customFormat="1" x14ac:dyDescent="0.25"/>
    <row r="194709" customFormat="1" x14ac:dyDescent="0.25"/>
    <row r="194710" customFormat="1" x14ac:dyDescent="0.25"/>
    <row r="194711" customFormat="1" x14ac:dyDescent="0.25"/>
    <row r="194712" customFormat="1" x14ac:dyDescent="0.25"/>
    <row r="194713" customFormat="1" x14ac:dyDescent="0.25"/>
    <row r="194714" customFormat="1" x14ac:dyDescent="0.25"/>
    <row r="194715" customFormat="1" x14ac:dyDescent="0.25"/>
    <row r="194716" customFormat="1" x14ac:dyDescent="0.25"/>
    <row r="194717" customFormat="1" x14ac:dyDescent="0.25"/>
    <row r="194718" customFormat="1" x14ac:dyDescent="0.25"/>
    <row r="194719" customFormat="1" x14ac:dyDescent="0.25"/>
    <row r="194720" customFormat="1" x14ac:dyDescent="0.25"/>
    <row r="194721" customFormat="1" x14ac:dyDescent="0.25"/>
    <row r="194722" customFormat="1" x14ac:dyDescent="0.25"/>
    <row r="194723" customFormat="1" x14ac:dyDescent="0.25"/>
    <row r="194724" customFormat="1" x14ac:dyDescent="0.25"/>
    <row r="194725" customFormat="1" x14ac:dyDescent="0.25"/>
    <row r="194726" customFormat="1" x14ac:dyDescent="0.25"/>
    <row r="194727" customFormat="1" x14ac:dyDescent="0.25"/>
    <row r="194728" customFormat="1" x14ac:dyDescent="0.25"/>
    <row r="194729" customFormat="1" x14ac:dyDescent="0.25"/>
    <row r="194730" customFormat="1" x14ac:dyDescent="0.25"/>
    <row r="194731" customFormat="1" x14ac:dyDescent="0.25"/>
    <row r="194732" customFormat="1" x14ac:dyDescent="0.25"/>
    <row r="194733" customFormat="1" x14ac:dyDescent="0.25"/>
    <row r="194734" customFormat="1" x14ac:dyDescent="0.25"/>
    <row r="194735" customFormat="1" x14ac:dyDescent="0.25"/>
    <row r="194736" customFormat="1" x14ac:dyDescent="0.25"/>
    <row r="194737" customFormat="1" x14ac:dyDescent="0.25"/>
    <row r="194738" customFormat="1" x14ac:dyDescent="0.25"/>
    <row r="194739" customFormat="1" x14ac:dyDescent="0.25"/>
    <row r="194740" customFormat="1" x14ac:dyDescent="0.25"/>
    <row r="194741" customFormat="1" x14ac:dyDescent="0.25"/>
    <row r="194742" customFormat="1" x14ac:dyDescent="0.25"/>
    <row r="194743" customFormat="1" x14ac:dyDescent="0.25"/>
    <row r="194744" customFormat="1" x14ac:dyDescent="0.25"/>
    <row r="194745" customFormat="1" x14ac:dyDescent="0.25"/>
    <row r="194746" customFormat="1" x14ac:dyDescent="0.25"/>
    <row r="194747" customFormat="1" x14ac:dyDescent="0.25"/>
    <row r="194748" customFormat="1" x14ac:dyDescent="0.25"/>
    <row r="194749" customFormat="1" x14ac:dyDescent="0.25"/>
    <row r="194750" customFormat="1" x14ac:dyDescent="0.25"/>
    <row r="194751" customFormat="1" x14ac:dyDescent="0.25"/>
    <row r="194752" customFormat="1" x14ac:dyDescent="0.25"/>
    <row r="194753" customFormat="1" x14ac:dyDescent="0.25"/>
    <row r="194754" customFormat="1" x14ac:dyDescent="0.25"/>
    <row r="194755" customFormat="1" x14ac:dyDescent="0.25"/>
    <row r="194756" customFormat="1" x14ac:dyDescent="0.25"/>
    <row r="194757" customFormat="1" x14ac:dyDescent="0.25"/>
    <row r="194758" customFormat="1" x14ac:dyDescent="0.25"/>
    <row r="194759" customFormat="1" x14ac:dyDescent="0.25"/>
    <row r="194760" customFormat="1" x14ac:dyDescent="0.25"/>
    <row r="194761" customFormat="1" x14ac:dyDescent="0.25"/>
    <row r="194762" customFormat="1" x14ac:dyDescent="0.25"/>
    <row r="194763" customFormat="1" x14ac:dyDescent="0.25"/>
    <row r="194764" customFormat="1" x14ac:dyDescent="0.25"/>
    <row r="194765" customFormat="1" x14ac:dyDescent="0.25"/>
    <row r="194766" customFormat="1" x14ac:dyDescent="0.25"/>
    <row r="194767" customFormat="1" x14ac:dyDescent="0.25"/>
    <row r="194768" customFormat="1" x14ac:dyDescent="0.25"/>
    <row r="194769" customFormat="1" x14ac:dyDescent="0.25"/>
    <row r="194770" customFormat="1" x14ac:dyDescent="0.25"/>
    <row r="194771" customFormat="1" x14ac:dyDescent="0.25"/>
    <row r="194772" customFormat="1" x14ac:dyDescent="0.25"/>
    <row r="194773" customFormat="1" x14ac:dyDescent="0.25"/>
    <row r="194774" customFormat="1" x14ac:dyDescent="0.25"/>
    <row r="194775" customFormat="1" x14ac:dyDescent="0.25"/>
    <row r="194776" customFormat="1" x14ac:dyDescent="0.25"/>
    <row r="194777" customFormat="1" x14ac:dyDescent="0.25"/>
    <row r="194778" customFormat="1" x14ac:dyDescent="0.25"/>
    <row r="194779" customFormat="1" x14ac:dyDescent="0.25"/>
    <row r="194780" customFormat="1" x14ac:dyDescent="0.25"/>
    <row r="194781" customFormat="1" x14ac:dyDescent="0.25"/>
    <row r="194782" customFormat="1" x14ac:dyDescent="0.25"/>
    <row r="194783" customFormat="1" x14ac:dyDescent="0.25"/>
    <row r="194784" customFormat="1" x14ac:dyDescent="0.25"/>
    <row r="194785" customFormat="1" x14ac:dyDescent="0.25"/>
    <row r="194786" customFormat="1" x14ac:dyDescent="0.25"/>
    <row r="194787" customFormat="1" x14ac:dyDescent="0.25"/>
    <row r="194788" customFormat="1" x14ac:dyDescent="0.25"/>
    <row r="194789" customFormat="1" x14ac:dyDescent="0.25"/>
    <row r="194790" customFormat="1" x14ac:dyDescent="0.25"/>
    <row r="194791" customFormat="1" x14ac:dyDescent="0.25"/>
    <row r="194792" customFormat="1" x14ac:dyDescent="0.25"/>
    <row r="194793" customFormat="1" x14ac:dyDescent="0.25"/>
    <row r="194794" customFormat="1" x14ac:dyDescent="0.25"/>
    <row r="194795" customFormat="1" x14ac:dyDescent="0.25"/>
    <row r="194796" customFormat="1" x14ac:dyDescent="0.25"/>
    <row r="194797" customFormat="1" x14ac:dyDescent="0.25"/>
    <row r="194798" customFormat="1" x14ac:dyDescent="0.25"/>
    <row r="194799" customFormat="1" x14ac:dyDescent="0.25"/>
    <row r="194800" customFormat="1" x14ac:dyDescent="0.25"/>
    <row r="194801" customFormat="1" x14ac:dyDescent="0.25"/>
    <row r="194802" customFormat="1" x14ac:dyDescent="0.25"/>
    <row r="194803" customFormat="1" x14ac:dyDescent="0.25"/>
    <row r="194804" customFormat="1" x14ac:dyDescent="0.25"/>
    <row r="194805" customFormat="1" x14ac:dyDescent="0.25"/>
    <row r="194806" customFormat="1" x14ac:dyDescent="0.25"/>
    <row r="194807" customFormat="1" x14ac:dyDescent="0.25"/>
    <row r="194808" customFormat="1" x14ac:dyDescent="0.25"/>
    <row r="194809" customFormat="1" x14ac:dyDescent="0.25"/>
    <row r="194810" customFormat="1" x14ac:dyDescent="0.25"/>
    <row r="194811" customFormat="1" x14ac:dyDescent="0.25"/>
    <row r="194812" customFormat="1" x14ac:dyDescent="0.25"/>
    <row r="194813" customFormat="1" x14ac:dyDescent="0.25"/>
    <row r="194814" customFormat="1" x14ac:dyDescent="0.25"/>
    <row r="194815" customFormat="1" x14ac:dyDescent="0.25"/>
    <row r="194816" customFormat="1" x14ac:dyDescent="0.25"/>
    <row r="194817" customFormat="1" x14ac:dyDescent="0.25"/>
    <row r="194818" customFormat="1" x14ac:dyDescent="0.25"/>
    <row r="194819" customFormat="1" x14ac:dyDescent="0.25"/>
    <row r="194820" customFormat="1" x14ac:dyDescent="0.25"/>
    <row r="194821" customFormat="1" x14ac:dyDescent="0.25"/>
    <row r="194822" customFormat="1" x14ac:dyDescent="0.25"/>
    <row r="194823" customFormat="1" x14ac:dyDescent="0.25"/>
    <row r="194824" customFormat="1" x14ac:dyDescent="0.25"/>
    <row r="194825" customFormat="1" x14ac:dyDescent="0.25"/>
    <row r="194826" customFormat="1" x14ac:dyDescent="0.25"/>
    <row r="194827" customFormat="1" x14ac:dyDescent="0.25"/>
    <row r="194828" customFormat="1" x14ac:dyDescent="0.25"/>
    <row r="194829" customFormat="1" x14ac:dyDescent="0.25"/>
    <row r="194830" customFormat="1" x14ac:dyDescent="0.25"/>
    <row r="194831" customFormat="1" x14ac:dyDescent="0.25"/>
    <row r="194832" customFormat="1" x14ac:dyDescent="0.25"/>
    <row r="194833" customFormat="1" x14ac:dyDescent="0.25"/>
    <row r="194834" customFormat="1" x14ac:dyDescent="0.25"/>
    <row r="194835" customFormat="1" x14ac:dyDescent="0.25"/>
    <row r="194836" customFormat="1" x14ac:dyDescent="0.25"/>
    <row r="194837" customFormat="1" x14ac:dyDescent="0.25"/>
    <row r="194838" customFormat="1" x14ac:dyDescent="0.25"/>
    <row r="194839" customFormat="1" x14ac:dyDescent="0.25"/>
    <row r="194840" customFormat="1" x14ac:dyDescent="0.25"/>
    <row r="194841" customFormat="1" x14ac:dyDescent="0.25"/>
    <row r="194842" customFormat="1" x14ac:dyDescent="0.25"/>
    <row r="194843" customFormat="1" x14ac:dyDescent="0.25"/>
    <row r="194844" customFormat="1" x14ac:dyDescent="0.25"/>
    <row r="194845" customFormat="1" x14ac:dyDescent="0.25"/>
    <row r="194846" customFormat="1" x14ac:dyDescent="0.25"/>
    <row r="194847" customFormat="1" x14ac:dyDescent="0.25"/>
    <row r="194848" customFormat="1" x14ac:dyDescent="0.25"/>
    <row r="194849" customFormat="1" x14ac:dyDescent="0.25"/>
    <row r="194850" customFormat="1" x14ac:dyDescent="0.25"/>
    <row r="194851" customFormat="1" x14ac:dyDescent="0.25"/>
    <row r="194852" customFormat="1" x14ac:dyDescent="0.25"/>
    <row r="194853" customFormat="1" x14ac:dyDescent="0.25"/>
    <row r="194854" customFormat="1" x14ac:dyDescent="0.25"/>
    <row r="194855" customFormat="1" x14ac:dyDescent="0.25"/>
    <row r="194856" customFormat="1" x14ac:dyDescent="0.25"/>
    <row r="194857" customFormat="1" x14ac:dyDescent="0.25"/>
    <row r="194858" customFormat="1" x14ac:dyDescent="0.25"/>
    <row r="194859" customFormat="1" x14ac:dyDescent="0.25"/>
    <row r="194860" customFormat="1" x14ac:dyDescent="0.25"/>
    <row r="194861" customFormat="1" x14ac:dyDescent="0.25"/>
    <row r="194862" customFormat="1" x14ac:dyDescent="0.25"/>
    <row r="194863" customFormat="1" x14ac:dyDescent="0.25"/>
    <row r="194864" customFormat="1" x14ac:dyDescent="0.25"/>
    <row r="194865" customFormat="1" x14ac:dyDescent="0.25"/>
    <row r="194866" customFormat="1" x14ac:dyDescent="0.25"/>
    <row r="194867" customFormat="1" x14ac:dyDescent="0.25"/>
    <row r="194868" customFormat="1" x14ac:dyDescent="0.25"/>
    <row r="194869" customFormat="1" x14ac:dyDescent="0.25"/>
    <row r="194870" customFormat="1" x14ac:dyDescent="0.25"/>
    <row r="194871" customFormat="1" x14ac:dyDescent="0.25"/>
    <row r="194872" customFormat="1" x14ac:dyDescent="0.25"/>
    <row r="194873" customFormat="1" x14ac:dyDescent="0.25"/>
    <row r="194874" customFormat="1" x14ac:dyDescent="0.25"/>
    <row r="194875" customFormat="1" x14ac:dyDescent="0.25"/>
    <row r="194876" customFormat="1" x14ac:dyDescent="0.25"/>
    <row r="194877" customFormat="1" x14ac:dyDescent="0.25"/>
    <row r="194878" customFormat="1" x14ac:dyDescent="0.25"/>
    <row r="194879" customFormat="1" x14ac:dyDescent="0.25"/>
    <row r="194880" customFormat="1" x14ac:dyDescent="0.25"/>
    <row r="194881" customFormat="1" x14ac:dyDescent="0.25"/>
    <row r="194882" customFormat="1" x14ac:dyDescent="0.25"/>
    <row r="194883" customFormat="1" x14ac:dyDescent="0.25"/>
    <row r="194884" customFormat="1" x14ac:dyDescent="0.25"/>
    <row r="194885" customFormat="1" x14ac:dyDescent="0.25"/>
    <row r="194886" customFormat="1" x14ac:dyDescent="0.25"/>
    <row r="194887" customFormat="1" x14ac:dyDescent="0.25"/>
    <row r="194888" customFormat="1" x14ac:dyDescent="0.25"/>
    <row r="194889" customFormat="1" x14ac:dyDescent="0.25"/>
    <row r="194890" customFormat="1" x14ac:dyDescent="0.25"/>
    <row r="194891" customFormat="1" x14ac:dyDescent="0.25"/>
    <row r="194892" customFormat="1" x14ac:dyDescent="0.25"/>
    <row r="194893" customFormat="1" x14ac:dyDescent="0.25"/>
    <row r="194894" customFormat="1" x14ac:dyDescent="0.25"/>
    <row r="194895" customFormat="1" x14ac:dyDescent="0.25"/>
    <row r="194896" customFormat="1" x14ac:dyDescent="0.25"/>
    <row r="194897" customFormat="1" x14ac:dyDescent="0.25"/>
    <row r="194898" customFormat="1" x14ac:dyDescent="0.25"/>
    <row r="194899" customFormat="1" x14ac:dyDescent="0.25"/>
    <row r="194900" customFormat="1" x14ac:dyDescent="0.25"/>
    <row r="194901" customFormat="1" x14ac:dyDescent="0.25"/>
    <row r="194902" customFormat="1" x14ac:dyDescent="0.25"/>
    <row r="194903" customFormat="1" x14ac:dyDescent="0.25"/>
    <row r="194904" customFormat="1" x14ac:dyDescent="0.25"/>
    <row r="194905" customFormat="1" x14ac:dyDescent="0.25"/>
    <row r="194906" customFormat="1" x14ac:dyDescent="0.25"/>
    <row r="194907" customFormat="1" x14ac:dyDescent="0.25"/>
    <row r="194908" customFormat="1" x14ac:dyDescent="0.25"/>
    <row r="194909" customFormat="1" x14ac:dyDescent="0.25"/>
    <row r="194910" customFormat="1" x14ac:dyDescent="0.25"/>
    <row r="194911" customFormat="1" x14ac:dyDescent="0.25"/>
    <row r="194912" customFormat="1" x14ac:dyDescent="0.25"/>
    <row r="194913" customFormat="1" x14ac:dyDescent="0.25"/>
    <row r="194914" customFormat="1" x14ac:dyDescent="0.25"/>
    <row r="194915" customFormat="1" x14ac:dyDescent="0.25"/>
    <row r="194916" customFormat="1" x14ac:dyDescent="0.25"/>
    <row r="194917" customFormat="1" x14ac:dyDescent="0.25"/>
    <row r="194918" customFormat="1" x14ac:dyDescent="0.25"/>
    <row r="194919" customFormat="1" x14ac:dyDescent="0.25"/>
    <row r="194920" customFormat="1" x14ac:dyDescent="0.25"/>
    <row r="194921" customFormat="1" x14ac:dyDescent="0.25"/>
    <row r="194922" customFormat="1" x14ac:dyDescent="0.25"/>
    <row r="194923" customFormat="1" x14ac:dyDescent="0.25"/>
    <row r="194924" customFormat="1" x14ac:dyDescent="0.25"/>
    <row r="194925" customFormat="1" x14ac:dyDescent="0.25"/>
    <row r="194926" customFormat="1" x14ac:dyDescent="0.25"/>
    <row r="194927" customFormat="1" x14ac:dyDescent="0.25"/>
    <row r="194928" customFormat="1" x14ac:dyDescent="0.25"/>
    <row r="194929" customFormat="1" x14ac:dyDescent="0.25"/>
    <row r="194930" customFormat="1" x14ac:dyDescent="0.25"/>
    <row r="194931" customFormat="1" x14ac:dyDescent="0.25"/>
    <row r="194932" customFormat="1" x14ac:dyDescent="0.25"/>
    <row r="194933" customFormat="1" x14ac:dyDescent="0.25"/>
    <row r="194934" customFormat="1" x14ac:dyDescent="0.25"/>
    <row r="194935" customFormat="1" x14ac:dyDescent="0.25"/>
    <row r="194936" customFormat="1" x14ac:dyDescent="0.25"/>
    <row r="194937" customFormat="1" x14ac:dyDescent="0.25"/>
    <row r="194938" customFormat="1" x14ac:dyDescent="0.25"/>
    <row r="194939" customFormat="1" x14ac:dyDescent="0.25"/>
    <row r="194940" customFormat="1" x14ac:dyDescent="0.25"/>
    <row r="194941" customFormat="1" x14ac:dyDescent="0.25"/>
    <row r="194942" customFormat="1" x14ac:dyDescent="0.25"/>
    <row r="194943" customFormat="1" x14ac:dyDescent="0.25"/>
    <row r="194944" customFormat="1" x14ac:dyDescent="0.25"/>
    <row r="194945" customFormat="1" x14ac:dyDescent="0.25"/>
    <row r="194946" customFormat="1" x14ac:dyDescent="0.25"/>
    <row r="194947" customFormat="1" x14ac:dyDescent="0.25"/>
    <row r="194948" customFormat="1" x14ac:dyDescent="0.25"/>
    <row r="194949" customFormat="1" x14ac:dyDescent="0.25"/>
    <row r="194950" customFormat="1" x14ac:dyDescent="0.25"/>
    <row r="194951" customFormat="1" x14ac:dyDescent="0.25"/>
    <row r="194952" customFormat="1" x14ac:dyDescent="0.25"/>
    <row r="194953" customFormat="1" x14ac:dyDescent="0.25"/>
    <row r="194954" customFormat="1" x14ac:dyDescent="0.25"/>
    <row r="194955" customFormat="1" x14ac:dyDescent="0.25"/>
    <row r="194956" customFormat="1" x14ac:dyDescent="0.25"/>
    <row r="194957" customFormat="1" x14ac:dyDescent="0.25"/>
    <row r="194958" customFormat="1" x14ac:dyDescent="0.25"/>
    <row r="194959" customFormat="1" x14ac:dyDescent="0.25"/>
    <row r="194960" customFormat="1" x14ac:dyDescent="0.25"/>
    <row r="194961" customFormat="1" x14ac:dyDescent="0.25"/>
    <row r="194962" customFormat="1" x14ac:dyDescent="0.25"/>
    <row r="194963" customFormat="1" x14ac:dyDescent="0.25"/>
    <row r="194964" customFormat="1" x14ac:dyDescent="0.25"/>
    <row r="194965" customFormat="1" x14ac:dyDescent="0.25"/>
    <row r="194966" customFormat="1" x14ac:dyDescent="0.25"/>
    <row r="194967" customFormat="1" x14ac:dyDescent="0.25"/>
    <row r="194968" customFormat="1" x14ac:dyDescent="0.25"/>
    <row r="194969" customFormat="1" x14ac:dyDescent="0.25"/>
    <row r="194970" customFormat="1" x14ac:dyDescent="0.25"/>
    <row r="194971" customFormat="1" x14ac:dyDescent="0.25"/>
    <row r="194972" customFormat="1" x14ac:dyDescent="0.25"/>
    <row r="194973" customFormat="1" x14ac:dyDescent="0.25"/>
    <row r="194974" customFormat="1" x14ac:dyDescent="0.25"/>
    <row r="194975" customFormat="1" x14ac:dyDescent="0.25"/>
    <row r="194976" customFormat="1" x14ac:dyDescent="0.25"/>
    <row r="194977" customFormat="1" x14ac:dyDescent="0.25"/>
    <row r="194978" customFormat="1" x14ac:dyDescent="0.25"/>
    <row r="194979" customFormat="1" x14ac:dyDescent="0.25"/>
    <row r="194980" customFormat="1" x14ac:dyDescent="0.25"/>
    <row r="194981" customFormat="1" x14ac:dyDescent="0.25"/>
    <row r="194982" customFormat="1" x14ac:dyDescent="0.25"/>
    <row r="194983" customFormat="1" x14ac:dyDescent="0.25"/>
    <row r="194984" customFormat="1" x14ac:dyDescent="0.25"/>
    <row r="194985" customFormat="1" x14ac:dyDescent="0.25"/>
    <row r="194986" customFormat="1" x14ac:dyDescent="0.25"/>
    <row r="194987" customFormat="1" x14ac:dyDescent="0.25"/>
    <row r="194988" customFormat="1" x14ac:dyDescent="0.25"/>
    <row r="194989" customFormat="1" x14ac:dyDescent="0.25"/>
    <row r="194990" customFormat="1" x14ac:dyDescent="0.25"/>
    <row r="194991" customFormat="1" x14ac:dyDescent="0.25"/>
    <row r="194992" customFormat="1" x14ac:dyDescent="0.25"/>
    <row r="194993" customFormat="1" x14ac:dyDescent="0.25"/>
    <row r="194994" customFormat="1" x14ac:dyDescent="0.25"/>
    <row r="194995" customFormat="1" x14ac:dyDescent="0.25"/>
    <row r="194996" customFormat="1" x14ac:dyDescent="0.25"/>
    <row r="194997" customFormat="1" x14ac:dyDescent="0.25"/>
    <row r="194998" customFormat="1" x14ac:dyDescent="0.25"/>
    <row r="194999" customFormat="1" x14ac:dyDescent="0.25"/>
    <row r="195000" customFormat="1" x14ac:dyDescent="0.25"/>
    <row r="195001" customFormat="1" x14ac:dyDescent="0.25"/>
    <row r="195002" customFormat="1" x14ac:dyDescent="0.25"/>
    <row r="195003" customFormat="1" x14ac:dyDescent="0.25"/>
    <row r="195004" customFormat="1" x14ac:dyDescent="0.25"/>
    <row r="195005" customFormat="1" x14ac:dyDescent="0.25"/>
    <row r="195006" customFormat="1" x14ac:dyDescent="0.25"/>
    <row r="195007" customFormat="1" x14ac:dyDescent="0.25"/>
    <row r="195008" customFormat="1" x14ac:dyDescent="0.25"/>
    <row r="195009" customFormat="1" x14ac:dyDescent="0.25"/>
    <row r="195010" customFormat="1" x14ac:dyDescent="0.25"/>
    <row r="195011" customFormat="1" x14ac:dyDescent="0.25"/>
    <row r="195012" customFormat="1" x14ac:dyDescent="0.25"/>
    <row r="195013" customFormat="1" x14ac:dyDescent="0.25"/>
    <row r="195014" customFormat="1" x14ac:dyDescent="0.25"/>
    <row r="195015" customFormat="1" x14ac:dyDescent="0.25"/>
    <row r="195016" customFormat="1" x14ac:dyDescent="0.25"/>
    <row r="195017" customFormat="1" x14ac:dyDescent="0.25"/>
    <row r="195018" customFormat="1" x14ac:dyDescent="0.25"/>
    <row r="195019" customFormat="1" x14ac:dyDescent="0.25"/>
    <row r="195020" customFormat="1" x14ac:dyDescent="0.25"/>
    <row r="195021" customFormat="1" x14ac:dyDescent="0.25"/>
    <row r="195022" customFormat="1" x14ac:dyDescent="0.25"/>
    <row r="195023" customFormat="1" x14ac:dyDescent="0.25"/>
    <row r="195024" customFormat="1" x14ac:dyDescent="0.25"/>
    <row r="195025" customFormat="1" x14ac:dyDescent="0.25"/>
    <row r="195026" customFormat="1" x14ac:dyDescent="0.25"/>
    <row r="195027" customFormat="1" x14ac:dyDescent="0.25"/>
    <row r="195028" customFormat="1" x14ac:dyDescent="0.25"/>
    <row r="195029" customFormat="1" x14ac:dyDescent="0.25"/>
    <row r="195030" customFormat="1" x14ac:dyDescent="0.25"/>
    <row r="195031" customFormat="1" x14ac:dyDescent="0.25"/>
    <row r="195032" customFormat="1" x14ac:dyDescent="0.25"/>
    <row r="195033" customFormat="1" x14ac:dyDescent="0.25"/>
    <row r="195034" customFormat="1" x14ac:dyDescent="0.25"/>
    <row r="195035" customFormat="1" x14ac:dyDescent="0.25"/>
    <row r="195036" customFormat="1" x14ac:dyDescent="0.25"/>
    <row r="195037" customFormat="1" x14ac:dyDescent="0.25"/>
    <row r="195038" customFormat="1" x14ac:dyDescent="0.25"/>
    <row r="195039" customFormat="1" x14ac:dyDescent="0.25"/>
    <row r="195040" customFormat="1" x14ac:dyDescent="0.25"/>
    <row r="195041" customFormat="1" x14ac:dyDescent="0.25"/>
    <row r="195042" customFormat="1" x14ac:dyDescent="0.25"/>
    <row r="195043" customFormat="1" x14ac:dyDescent="0.25"/>
    <row r="195044" customFormat="1" x14ac:dyDescent="0.25"/>
    <row r="195045" customFormat="1" x14ac:dyDescent="0.25"/>
    <row r="195046" customFormat="1" x14ac:dyDescent="0.25"/>
    <row r="195047" customFormat="1" x14ac:dyDescent="0.25"/>
    <row r="195048" customFormat="1" x14ac:dyDescent="0.25"/>
    <row r="195049" customFormat="1" x14ac:dyDescent="0.25"/>
    <row r="195050" customFormat="1" x14ac:dyDescent="0.25"/>
    <row r="195051" customFormat="1" x14ac:dyDescent="0.25"/>
    <row r="195052" customFormat="1" x14ac:dyDescent="0.25"/>
    <row r="195053" customFormat="1" x14ac:dyDescent="0.25"/>
    <row r="195054" customFormat="1" x14ac:dyDescent="0.25"/>
    <row r="195055" customFormat="1" x14ac:dyDescent="0.25"/>
    <row r="195056" customFormat="1" x14ac:dyDescent="0.25"/>
    <row r="195057" customFormat="1" x14ac:dyDescent="0.25"/>
    <row r="195058" customFormat="1" x14ac:dyDescent="0.25"/>
    <row r="195059" customFormat="1" x14ac:dyDescent="0.25"/>
    <row r="195060" customFormat="1" x14ac:dyDescent="0.25"/>
    <row r="195061" customFormat="1" x14ac:dyDescent="0.25"/>
    <row r="195062" customFormat="1" x14ac:dyDescent="0.25"/>
    <row r="195063" customFormat="1" x14ac:dyDescent="0.25"/>
    <row r="195064" customFormat="1" x14ac:dyDescent="0.25"/>
    <row r="195065" customFormat="1" x14ac:dyDescent="0.25"/>
    <row r="195066" customFormat="1" x14ac:dyDescent="0.25"/>
    <row r="195067" customFormat="1" x14ac:dyDescent="0.25"/>
    <row r="195068" customFormat="1" x14ac:dyDescent="0.25"/>
    <row r="195069" customFormat="1" x14ac:dyDescent="0.25"/>
    <row r="195070" customFormat="1" x14ac:dyDescent="0.25"/>
    <row r="195071" customFormat="1" x14ac:dyDescent="0.25"/>
    <row r="195072" customFormat="1" x14ac:dyDescent="0.25"/>
    <row r="195073" customFormat="1" x14ac:dyDescent="0.25"/>
    <row r="195074" customFormat="1" x14ac:dyDescent="0.25"/>
    <row r="195075" customFormat="1" x14ac:dyDescent="0.25"/>
    <row r="195076" customFormat="1" x14ac:dyDescent="0.25"/>
    <row r="195077" customFormat="1" x14ac:dyDescent="0.25"/>
    <row r="195078" customFormat="1" x14ac:dyDescent="0.25"/>
    <row r="195079" customFormat="1" x14ac:dyDescent="0.25"/>
    <row r="195080" customFormat="1" x14ac:dyDescent="0.25"/>
    <row r="195081" customFormat="1" x14ac:dyDescent="0.25"/>
    <row r="195082" customFormat="1" x14ac:dyDescent="0.25"/>
    <row r="195083" customFormat="1" x14ac:dyDescent="0.25"/>
    <row r="195084" customFormat="1" x14ac:dyDescent="0.25"/>
    <row r="195085" customFormat="1" x14ac:dyDescent="0.25"/>
    <row r="195086" customFormat="1" x14ac:dyDescent="0.25"/>
    <row r="195087" customFormat="1" x14ac:dyDescent="0.25"/>
    <row r="195088" customFormat="1" x14ac:dyDescent="0.25"/>
    <row r="195089" customFormat="1" x14ac:dyDescent="0.25"/>
    <row r="195090" customFormat="1" x14ac:dyDescent="0.25"/>
    <row r="195091" customFormat="1" x14ac:dyDescent="0.25"/>
    <row r="195092" customFormat="1" x14ac:dyDescent="0.25"/>
    <row r="195093" customFormat="1" x14ac:dyDescent="0.25"/>
    <row r="195094" customFormat="1" x14ac:dyDescent="0.25"/>
    <row r="195095" customFormat="1" x14ac:dyDescent="0.25"/>
    <row r="195096" customFormat="1" x14ac:dyDescent="0.25"/>
    <row r="195097" customFormat="1" x14ac:dyDescent="0.25"/>
    <row r="195098" customFormat="1" x14ac:dyDescent="0.25"/>
    <row r="195099" customFormat="1" x14ac:dyDescent="0.25"/>
    <row r="195100" customFormat="1" x14ac:dyDescent="0.25"/>
    <row r="195101" customFormat="1" x14ac:dyDescent="0.25"/>
    <row r="195102" customFormat="1" x14ac:dyDescent="0.25"/>
    <row r="195103" customFormat="1" x14ac:dyDescent="0.25"/>
    <row r="195104" customFormat="1" x14ac:dyDescent="0.25"/>
    <row r="195105" customFormat="1" x14ac:dyDescent="0.25"/>
    <row r="195106" customFormat="1" x14ac:dyDescent="0.25"/>
    <row r="195107" customFormat="1" x14ac:dyDescent="0.25"/>
    <row r="195108" customFormat="1" x14ac:dyDescent="0.25"/>
    <row r="195109" customFormat="1" x14ac:dyDescent="0.25"/>
    <row r="195110" customFormat="1" x14ac:dyDescent="0.25"/>
    <row r="195111" customFormat="1" x14ac:dyDescent="0.25"/>
    <row r="195112" customFormat="1" x14ac:dyDescent="0.25"/>
    <row r="195113" customFormat="1" x14ac:dyDescent="0.25"/>
    <row r="195114" customFormat="1" x14ac:dyDescent="0.25"/>
    <row r="195115" customFormat="1" x14ac:dyDescent="0.25"/>
    <row r="195116" customFormat="1" x14ac:dyDescent="0.25"/>
    <row r="195117" customFormat="1" x14ac:dyDescent="0.25"/>
    <row r="195118" customFormat="1" x14ac:dyDescent="0.25"/>
    <row r="195119" customFormat="1" x14ac:dyDescent="0.25"/>
    <row r="195120" customFormat="1" x14ac:dyDescent="0.25"/>
    <row r="195121" customFormat="1" x14ac:dyDescent="0.25"/>
    <row r="195122" customFormat="1" x14ac:dyDescent="0.25"/>
    <row r="195123" customFormat="1" x14ac:dyDescent="0.25"/>
    <row r="195124" customFormat="1" x14ac:dyDescent="0.25"/>
    <row r="195125" customFormat="1" x14ac:dyDescent="0.25"/>
    <row r="195126" customFormat="1" x14ac:dyDescent="0.25"/>
    <row r="195127" customFormat="1" x14ac:dyDescent="0.25"/>
    <row r="195128" customFormat="1" x14ac:dyDescent="0.25"/>
    <row r="195129" customFormat="1" x14ac:dyDescent="0.25"/>
    <row r="195130" customFormat="1" x14ac:dyDescent="0.25"/>
    <row r="195131" customFormat="1" x14ac:dyDescent="0.25"/>
    <row r="195132" customFormat="1" x14ac:dyDescent="0.25"/>
    <row r="195133" customFormat="1" x14ac:dyDescent="0.25"/>
    <row r="195134" customFormat="1" x14ac:dyDescent="0.25"/>
    <row r="195135" customFormat="1" x14ac:dyDescent="0.25"/>
    <row r="195136" customFormat="1" x14ac:dyDescent="0.25"/>
    <row r="195137" customFormat="1" x14ac:dyDescent="0.25"/>
    <row r="195138" customFormat="1" x14ac:dyDescent="0.25"/>
    <row r="195139" customFormat="1" x14ac:dyDescent="0.25"/>
    <row r="195140" customFormat="1" x14ac:dyDescent="0.25"/>
    <row r="195141" customFormat="1" x14ac:dyDescent="0.25"/>
    <row r="195142" customFormat="1" x14ac:dyDescent="0.25"/>
    <row r="195143" customFormat="1" x14ac:dyDescent="0.25"/>
    <row r="195144" customFormat="1" x14ac:dyDescent="0.25"/>
    <row r="195145" customFormat="1" x14ac:dyDescent="0.25"/>
    <row r="195146" customFormat="1" x14ac:dyDescent="0.25"/>
    <row r="195147" customFormat="1" x14ac:dyDescent="0.25"/>
    <row r="195148" customFormat="1" x14ac:dyDescent="0.25"/>
    <row r="195149" customFormat="1" x14ac:dyDescent="0.25"/>
    <row r="195150" customFormat="1" x14ac:dyDescent="0.25"/>
    <row r="195151" customFormat="1" x14ac:dyDescent="0.25"/>
    <row r="195152" customFormat="1" x14ac:dyDescent="0.25"/>
    <row r="195153" customFormat="1" x14ac:dyDescent="0.25"/>
    <row r="195154" customFormat="1" x14ac:dyDescent="0.25"/>
    <row r="195155" customFormat="1" x14ac:dyDescent="0.25"/>
    <row r="195156" customFormat="1" x14ac:dyDescent="0.25"/>
    <row r="195157" customFormat="1" x14ac:dyDescent="0.25"/>
    <row r="195158" customFormat="1" x14ac:dyDescent="0.25"/>
    <row r="195159" customFormat="1" x14ac:dyDescent="0.25"/>
    <row r="195160" customFormat="1" x14ac:dyDescent="0.25"/>
    <row r="195161" customFormat="1" x14ac:dyDescent="0.25"/>
    <row r="195162" customFormat="1" x14ac:dyDescent="0.25"/>
    <row r="195163" customFormat="1" x14ac:dyDescent="0.25"/>
    <row r="195164" customFormat="1" x14ac:dyDescent="0.25"/>
    <row r="195165" customFormat="1" x14ac:dyDescent="0.25"/>
    <row r="195166" customFormat="1" x14ac:dyDescent="0.25"/>
    <row r="195167" customFormat="1" x14ac:dyDescent="0.25"/>
    <row r="195168" customFormat="1" x14ac:dyDescent="0.25"/>
    <row r="195169" customFormat="1" x14ac:dyDescent="0.25"/>
    <row r="195170" customFormat="1" x14ac:dyDescent="0.25"/>
    <row r="195171" customFormat="1" x14ac:dyDescent="0.25"/>
    <row r="195172" customFormat="1" x14ac:dyDescent="0.25"/>
    <row r="195173" customFormat="1" x14ac:dyDescent="0.25"/>
    <row r="195174" customFormat="1" x14ac:dyDescent="0.25"/>
    <row r="195175" customFormat="1" x14ac:dyDescent="0.25"/>
    <row r="195176" customFormat="1" x14ac:dyDescent="0.25"/>
    <row r="195177" customFormat="1" x14ac:dyDescent="0.25"/>
    <row r="195178" customFormat="1" x14ac:dyDescent="0.25"/>
    <row r="195179" customFormat="1" x14ac:dyDescent="0.25"/>
    <row r="195180" customFormat="1" x14ac:dyDescent="0.25"/>
    <row r="195181" customFormat="1" x14ac:dyDescent="0.25"/>
    <row r="195182" customFormat="1" x14ac:dyDescent="0.25"/>
    <row r="195183" customFormat="1" x14ac:dyDescent="0.25"/>
    <row r="195184" customFormat="1" x14ac:dyDescent="0.25"/>
    <row r="195185" customFormat="1" x14ac:dyDescent="0.25"/>
    <row r="195186" customFormat="1" x14ac:dyDescent="0.25"/>
    <row r="195187" customFormat="1" x14ac:dyDescent="0.25"/>
    <row r="195188" customFormat="1" x14ac:dyDescent="0.25"/>
    <row r="195189" customFormat="1" x14ac:dyDescent="0.25"/>
    <row r="195190" customFormat="1" x14ac:dyDescent="0.25"/>
    <row r="195191" customFormat="1" x14ac:dyDescent="0.25"/>
    <row r="195192" customFormat="1" x14ac:dyDescent="0.25"/>
    <row r="195193" customFormat="1" x14ac:dyDescent="0.25"/>
    <row r="195194" customFormat="1" x14ac:dyDescent="0.25"/>
    <row r="195195" customFormat="1" x14ac:dyDescent="0.25"/>
    <row r="195196" customFormat="1" x14ac:dyDescent="0.25"/>
    <row r="195197" customFormat="1" x14ac:dyDescent="0.25"/>
    <row r="195198" customFormat="1" x14ac:dyDescent="0.25"/>
    <row r="195199" customFormat="1" x14ac:dyDescent="0.25"/>
    <row r="195200" customFormat="1" x14ac:dyDescent="0.25"/>
    <row r="195201" customFormat="1" x14ac:dyDescent="0.25"/>
    <row r="195202" customFormat="1" x14ac:dyDescent="0.25"/>
    <row r="195203" customFormat="1" x14ac:dyDescent="0.25"/>
    <row r="195204" customFormat="1" x14ac:dyDescent="0.25"/>
    <row r="195205" customFormat="1" x14ac:dyDescent="0.25"/>
    <row r="195206" customFormat="1" x14ac:dyDescent="0.25"/>
    <row r="195207" customFormat="1" x14ac:dyDescent="0.25"/>
    <row r="195208" customFormat="1" x14ac:dyDescent="0.25"/>
    <row r="195209" customFormat="1" x14ac:dyDescent="0.25"/>
    <row r="195210" customFormat="1" x14ac:dyDescent="0.25"/>
    <row r="195211" customFormat="1" x14ac:dyDescent="0.25"/>
    <row r="195212" customFormat="1" x14ac:dyDescent="0.25"/>
    <row r="195213" customFormat="1" x14ac:dyDescent="0.25"/>
    <row r="195214" customFormat="1" x14ac:dyDescent="0.25"/>
    <row r="195215" customFormat="1" x14ac:dyDescent="0.25"/>
    <row r="195216" customFormat="1" x14ac:dyDescent="0.25"/>
    <row r="195217" customFormat="1" x14ac:dyDescent="0.25"/>
    <row r="195218" customFormat="1" x14ac:dyDescent="0.25"/>
    <row r="195219" customFormat="1" x14ac:dyDescent="0.25"/>
    <row r="195220" customFormat="1" x14ac:dyDescent="0.25"/>
    <row r="195221" customFormat="1" x14ac:dyDescent="0.25"/>
    <row r="195222" customFormat="1" x14ac:dyDescent="0.25"/>
    <row r="195223" customFormat="1" x14ac:dyDescent="0.25"/>
    <row r="195224" customFormat="1" x14ac:dyDescent="0.25"/>
    <row r="195225" customFormat="1" x14ac:dyDescent="0.25"/>
    <row r="195226" customFormat="1" x14ac:dyDescent="0.25"/>
    <row r="195227" customFormat="1" x14ac:dyDescent="0.25"/>
    <row r="195228" customFormat="1" x14ac:dyDescent="0.25"/>
    <row r="195229" customFormat="1" x14ac:dyDescent="0.25"/>
    <row r="195230" customFormat="1" x14ac:dyDescent="0.25"/>
    <row r="195231" customFormat="1" x14ac:dyDescent="0.25"/>
    <row r="195232" customFormat="1" x14ac:dyDescent="0.25"/>
    <row r="195233" customFormat="1" x14ac:dyDescent="0.25"/>
    <row r="195234" customFormat="1" x14ac:dyDescent="0.25"/>
    <row r="195235" customFormat="1" x14ac:dyDescent="0.25"/>
    <row r="195236" customFormat="1" x14ac:dyDescent="0.25"/>
    <row r="195237" customFormat="1" x14ac:dyDescent="0.25"/>
    <row r="195238" customFormat="1" x14ac:dyDescent="0.25"/>
    <row r="195239" customFormat="1" x14ac:dyDescent="0.25"/>
    <row r="195240" customFormat="1" x14ac:dyDescent="0.25"/>
    <row r="195241" customFormat="1" x14ac:dyDescent="0.25"/>
    <row r="195242" customFormat="1" x14ac:dyDescent="0.25"/>
    <row r="195243" customFormat="1" x14ac:dyDescent="0.25"/>
    <row r="195244" customFormat="1" x14ac:dyDescent="0.25"/>
    <row r="195245" customFormat="1" x14ac:dyDescent="0.25"/>
    <row r="195246" customFormat="1" x14ac:dyDescent="0.25"/>
    <row r="195247" customFormat="1" x14ac:dyDescent="0.25"/>
    <row r="195248" customFormat="1" x14ac:dyDescent="0.25"/>
    <row r="195249" customFormat="1" x14ac:dyDescent="0.25"/>
    <row r="195250" customFormat="1" x14ac:dyDescent="0.25"/>
    <row r="195251" customFormat="1" x14ac:dyDescent="0.25"/>
    <row r="195252" customFormat="1" x14ac:dyDescent="0.25"/>
    <row r="195253" customFormat="1" x14ac:dyDescent="0.25"/>
    <row r="195254" customFormat="1" x14ac:dyDescent="0.25"/>
    <row r="195255" customFormat="1" x14ac:dyDescent="0.25"/>
    <row r="195256" customFormat="1" x14ac:dyDescent="0.25"/>
    <row r="195257" customFormat="1" x14ac:dyDescent="0.25"/>
    <row r="195258" customFormat="1" x14ac:dyDescent="0.25"/>
    <row r="195259" customFormat="1" x14ac:dyDescent="0.25"/>
    <row r="195260" customFormat="1" x14ac:dyDescent="0.25"/>
    <row r="195261" customFormat="1" x14ac:dyDescent="0.25"/>
    <row r="195262" customFormat="1" x14ac:dyDescent="0.25"/>
    <row r="195263" customFormat="1" x14ac:dyDescent="0.25"/>
    <row r="195264" customFormat="1" x14ac:dyDescent="0.25"/>
    <row r="195265" customFormat="1" x14ac:dyDescent="0.25"/>
    <row r="195266" customFormat="1" x14ac:dyDescent="0.25"/>
    <row r="195267" customFormat="1" x14ac:dyDescent="0.25"/>
    <row r="195268" customFormat="1" x14ac:dyDescent="0.25"/>
    <row r="195269" customFormat="1" x14ac:dyDescent="0.25"/>
    <row r="195270" customFormat="1" x14ac:dyDescent="0.25"/>
    <row r="195271" customFormat="1" x14ac:dyDescent="0.25"/>
    <row r="195272" customFormat="1" x14ac:dyDescent="0.25"/>
    <row r="195273" customFormat="1" x14ac:dyDescent="0.25"/>
    <row r="195274" customFormat="1" x14ac:dyDescent="0.25"/>
    <row r="195275" customFormat="1" x14ac:dyDescent="0.25"/>
    <row r="195276" customFormat="1" x14ac:dyDescent="0.25"/>
    <row r="195277" customFormat="1" x14ac:dyDescent="0.25"/>
    <row r="195278" customFormat="1" x14ac:dyDescent="0.25"/>
    <row r="195279" customFormat="1" x14ac:dyDescent="0.25"/>
    <row r="195280" customFormat="1" x14ac:dyDescent="0.25"/>
    <row r="195281" customFormat="1" x14ac:dyDescent="0.25"/>
    <row r="195282" customFormat="1" x14ac:dyDescent="0.25"/>
    <row r="195283" customFormat="1" x14ac:dyDescent="0.25"/>
    <row r="195284" customFormat="1" x14ac:dyDescent="0.25"/>
    <row r="195285" customFormat="1" x14ac:dyDescent="0.25"/>
    <row r="195286" customFormat="1" x14ac:dyDescent="0.25"/>
    <row r="195287" customFormat="1" x14ac:dyDescent="0.25"/>
    <row r="195288" customFormat="1" x14ac:dyDescent="0.25"/>
    <row r="195289" customFormat="1" x14ac:dyDescent="0.25"/>
    <row r="195290" customFormat="1" x14ac:dyDescent="0.25"/>
    <row r="195291" customFormat="1" x14ac:dyDescent="0.25"/>
    <row r="195292" customFormat="1" x14ac:dyDescent="0.25"/>
    <row r="195293" customFormat="1" x14ac:dyDescent="0.25"/>
    <row r="195294" customFormat="1" x14ac:dyDescent="0.25"/>
    <row r="195295" customFormat="1" x14ac:dyDescent="0.25"/>
    <row r="195296" customFormat="1" x14ac:dyDescent="0.25"/>
    <row r="195297" customFormat="1" x14ac:dyDescent="0.25"/>
    <row r="195298" customFormat="1" x14ac:dyDescent="0.25"/>
    <row r="195299" customFormat="1" x14ac:dyDescent="0.25"/>
    <row r="195300" customFormat="1" x14ac:dyDescent="0.25"/>
    <row r="195301" customFormat="1" x14ac:dyDescent="0.25"/>
    <row r="195302" customFormat="1" x14ac:dyDescent="0.25"/>
    <row r="195303" customFormat="1" x14ac:dyDescent="0.25"/>
    <row r="195304" customFormat="1" x14ac:dyDescent="0.25"/>
    <row r="195305" customFormat="1" x14ac:dyDescent="0.25"/>
    <row r="195306" customFormat="1" x14ac:dyDescent="0.25"/>
    <row r="195307" customFormat="1" x14ac:dyDescent="0.25"/>
    <row r="195308" customFormat="1" x14ac:dyDescent="0.25"/>
    <row r="195309" customFormat="1" x14ac:dyDescent="0.25"/>
    <row r="195310" customFormat="1" x14ac:dyDescent="0.25"/>
    <row r="195311" customFormat="1" x14ac:dyDescent="0.25"/>
    <row r="195312" customFormat="1" x14ac:dyDescent="0.25"/>
    <row r="195313" customFormat="1" x14ac:dyDescent="0.25"/>
    <row r="195314" customFormat="1" x14ac:dyDescent="0.25"/>
    <row r="195315" customFormat="1" x14ac:dyDescent="0.25"/>
    <row r="195316" customFormat="1" x14ac:dyDescent="0.25"/>
    <row r="195317" customFormat="1" x14ac:dyDescent="0.25"/>
    <row r="195318" customFormat="1" x14ac:dyDescent="0.25"/>
    <row r="195319" customFormat="1" x14ac:dyDescent="0.25"/>
    <row r="195320" customFormat="1" x14ac:dyDescent="0.25"/>
    <row r="195321" customFormat="1" x14ac:dyDescent="0.25"/>
    <row r="195322" customFormat="1" x14ac:dyDescent="0.25"/>
    <row r="195323" customFormat="1" x14ac:dyDescent="0.25"/>
    <row r="195324" customFormat="1" x14ac:dyDescent="0.25"/>
    <row r="195325" customFormat="1" x14ac:dyDescent="0.25"/>
    <row r="195326" customFormat="1" x14ac:dyDescent="0.25"/>
    <row r="195327" customFormat="1" x14ac:dyDescent="0.25"/>
    <row r="195328" customFormat="1" x14ac:dyDescent="0.25"/>
    <row r="195329" customFormat="1" x14ac:dyDescent="0.25"/>
    <row r="195330" customFormat="1" x14ac:dyDescent="0.25"/>
    <row r="195331" customFormat="1" x14ac:dyDescent="0.25"/>
    <row r="195332" customFormat="1" x14ac:dyDescent="0.25"/>
    <row r="195333" customFormat="1" x14ac:dyDescent="0.25"/>
    <row r="195334" customFormat="1" x14ac:dyDescent="0.25"/>
    <row r="195335" customFormat="1" x14ac:dyDescent="0.25"/>
    <row r="195336" customFormat="1" x14ac:dyDescent="0.25"/>
    <row r="195337" customFormat="1" x14ac:dyDescent="0.25"/>
    <row r="195338" customFormat="1" x14ac:dyDescent="0.25"/>
    <row r="195339" customFormat="1" x14ac:dyDescent="0.25"/>
    <row r="195340" customFormat="1" x14ac:dyDescent="0.25"/>
    <row r="195341" customFormat="1" x14ac:dyDescent="0.25"/>
    <row r="195342" customFormat="1" x14ac:dyDescent="0.25"/>
    <row r="195343" customFormat="1" x14ac:dyDescent="0.25"/>
    <row r="195344" customFormat="1" x14ac:dyDescent="0.25"/>
    <row r="195345" customFormat="1" x14ac:dyDescent="0.25"/>
    <row r="195346" customFormat="1" x14ac:dyDescent="0.25"/>
    <row r="195347" customFormat="1" x14ac:dyDescent="0.25"/>
    <row r="195348" customFormat="1" x14ac:dyDescent="0.25"/>
    <row r="195349" customFormat="1" x14ac:dyDescent="0.25"/>
    <row r="195350" customFormat="1" x14ac:dyDescent="0.25"/>
    <row r="195351" customFormat="1" x14ac:dyDescent="0.25"/>
    <row r="195352" customFormat="1" x14ac:dyDescent="0.25"/>
    <row r="195353" customFormat="1" x14ac:dyDescent="0.25"/>
    <row r="195354" customFormat="1" x14ac:dyDescent="0.25"/>
    <row r="195355" customFormat="1" x14ac:dyDescent="0.25"/>
    <row r="195356" customFormat="1" x14ac:dyDescent="0.25"/>
    <row r="195357" customFormat="1" x14ac:dyDescent="0.25"/>
    <row r="195358" customFormat="1" x14ac:dyDescent="0.25"/>
    <row r="195359" customFormat="1" x14ac:dyDescent="0.25"/>
    <row r="195360" customFormat="1" x14ac:dyDescent="0.25"/>
    <row r="195361" customFormat="1" x14ac:dyDescent="0.25"/>
    <row r="195362" customFormat="1" x14ac:dyDescent="0.25"/>
    <row r="195363" customFormat="1" x14ac:dyDescent="0.25"/>
    <row r="195364" customFormat="1" x14ac:dyDescent="0.25"/>
    <row r="195365" customFormat="1" x14ac:dyDescent="0.25"/>
    <row r="195366" customFormat="1" x14ac:dyDescent="0.25"/>
    <row r="195367" customFormat="1" x14ac:dyDescent="0.25"/>
    <row r="195368" customFormat="1" x14ac:dyDescent="0.25"/>
    <row r="195369" customFormat="1" x14ac:dyDescent="0.25"/>
    <row r="195370" customFormat="1" x14ac:dyDescent="0.25"/>
    <row r="195371" customFormat="1" x14ac:dyDescent="0.25"/>
    <row r="195372" customFormat="1" x14ac:dyDescent="0.25"/>
    <row r="195373" customFormat="1" x14ac:dyDescent="0.25"/>
    <row r="195374" customFormat="1" x14ac:dyDescent="0.25"/>
    <row r="195375" customFormat="1" x14ac:dyDescent="0.25"/>
    <row r="195376" customFormat="1" x14ac:dyDescent="0.25"/>
    <row r="195377" customFormat="1" x14ac:dyDescent="0.25"/>
    <row r="195378" customFormat="1" x14ac:dyDescent="0.25"/>
    <row r="195379" customFormat="1" x14ac:dyDescent="0.25"/>
    <row r="195380" customFormat="1" x14ac:dyDescent="0.25"/>
    <row r="195381" customFormat="1" x14ac:dyDescent="0.25"/>
    <row r="195382" customFormat="1" x14ac:dyDescent="0.25"/>
    <row r="195383" customFormat="1" x14ac:dyDescent="0.25"/>
    <row r="195384" customFormat="1" x14ac:dyDescent="0.25"/>
    <row r="195385" customFormat="1" x14ac:dyDescent="0.25"/>
    <row r="195386" customFormat="1" x14ac:dyDescent="0.25"/>
    <row r="195387" customFormat="1" x14ac:dyDescent="0.25"/>
    <row r="195388" customFormat="1" x14ac:dyDescent="0.25"/>
    <row r="195389" customFormat="1" x14ac:dyDescent="0.25"/>
    <row r="195390" customFormat="1" x14ac:dyDescent="0.25"/>
    <row r="195391" customFormat="1" x14ac:dyDescent="0.25"/>
    <row r="195392" customFormat="1" x14ac:dyDescent="0.25"/>
    <row r="195393" customFormat="1" x14ac:dyDescent="0.25"/>
    <row r="195394" customFormat="1" x14ac:dyDescent="0.25"/>
    <row r="195395" customFormat="1" x14ac:dyDescent="0.25"/>
    <row r="195396" customFormat="1" x14ac:dyDescent="0.25"/>
    <row r="195397" customFormat="1" x14ac:dyDescent="0.25"/>
    <row r="195398" customFormat="1" x14ac:dyDescent="0.25"/>
    <row r="195399" customFormat="1" x14ac:dyDescent="0.25"/>
    <row r="195400" customFormat="1" x14ac:dyDescent="0.25"/>
    <row r="195401" customFormat="1" x14ac:dyDescent="0.25"/>
    <row r="195402" customFormat="1" x14ac:dyDescent="0.25"/>
    <row r="195403" customFormat="1" x14ac:dyDescent="0.25"/>
    <row r="195404" customFormat="1" x14ac:dyDescent="0.25"/>
    <row r="195405" customFormat="1" x14ac:dyDescent="0.25"/>
    <row r="195406" customFormat="1" x14ac:dyDescent="0.25"/>
    <row r="195407" customFormat="1" x14ac:dyDescent="0.25"/>
    <row r="195408" customFormat="1" x14ac:dyDescent="0.25"/>
    <row r="195409" customFormat="1" x14ac:dyDescent="0.25"/>
    <row r="195410" customFormat="1" x14ac:dyDescent="0.25"/>
    <row r="195411" customFormat="1" x14ac:dyDescent="0.25"/>
    <row r="195412" customFormat="1" x14ac:dyDescent="0.25"/>
    <row r="195413" customFormat="1" x14ac:dyDescent="0.25"/>
    <row r="195414" customFormat="1" x14ac:dyDescent="0.25"/>
    <row r="195415" customFormat="1" x14ac:dyDescent="0.25"/>
    <row r="195416" customFormat="1" x14ac:dyDescent="0.25"/>
    <row r="195417" customFormat="1" x14ac:dyDescent="0.25"/>
    <row r="195418" customFormat="1" x14ac:dyDescent="0.25"/>
    <row r="195419" customFormat="1" x14ac:dyDescent="0.25"/>
    <row r="195420" customFormat="1" x14ac:dyDescent="0.25"/>
    <row r="195421" customFormat="1" x14ac:dyDescent="0.25"/>
    <row r="195422" customFormat="1" x14ac:dyDescent="0.25"/>
    <row r="195423" customFormat="1" x14ac:dyDescent="0.25"/>
    <row r="195424" customFormat="1" x14ac:dyDescent="0.25"/>
    <row r="195425" customFormat="1" x14ac:dyDescent="0.25"/>
    <row r="195426" customFormat="1" x14ac:dyDescent="0.25"/>
    <row r="195427" customFormat="1" x14ac:dyDescent="0.25"/>
    <row r="195428" customFormat="1" x14ac:dyDescent="0.25"/>
    <row r="195429" customFormat="1" x14ac:dyDescent="0.25"/>
    <row r="195430" customFormat="1" x14ac:dyDescent="0.25"/>
    <row r="195431" customFormat="1" x14ac:dyDescent="0.25"/>
    <row r="195432" customFormat="1" x14ac:dyDescent="0.25"/>
    <row r="195433" customFormat="1" x14ac:dyDescent="0.25"/>
    <row r="195434" customFormat="1" x14ac:dyDescent="0.25"/>
    <row r="195435" customFormat="1" x14ac:dyDescent="0.25"/>
    <row r="195436" customFormat="1" x14ac:dyDescent="0.25"/>
    <row r="195437" customFormat="1" x14ac:dyDescent="0.25"/>
    <row r="195438" customFormat="1" x14ac:dyDescent="0.25"/>
    <row r="195439" customFormat="1" x14ac:dyDescent="0.25"/>
    <row r="195440" customFormat="1" x14ac:dyDescent="0.25"/>
    <row r="195441" customFormat="1" x14ac:dyDescent="0.25"/>
    <row r="195442" customFormat="1" x14ac:dyDescent="0.25"/>
    <row r="195443" customFormat="1" x14ac:dyDescent="0.25"/>
    <row r="195444" customFormat="1" x14ac:dyDescent="0.25"/>
    <row r="195445" customFormat="1" x14ac:dyDescent="0.25"/>
    <row r="195446" customFormat="1" x14ac:dyDescent="0.25"/>
    <row r="195447" customFormat="1" x14ac:dyDescent="0.25"/>
    <row r="195448" customFormat="1" x14ac:dyDescent="0.25"/>
    <row r="195449" customFormat="1" x14ac:dyDescent="0.25"/>
    <row r="195450" customFormat="1" x14ac:dyDescent="0.25"/>
    <row r="195451" customFormat="1" x14ac:dyDescent="0.25"/>
    <row r="195452" customFormat="1" x14ac:dyDescent="0.25"/>
    <row r="195453" customFormat="1" x14ac:dyDescent="0.25"/>
    <row r="195454" customFormat="1" x14ac:dyDescent="0.25"/>
    <row r="195455" customFormat="1" x14ac:dyDescent="0.25"/>
    <row r="195456" customFormat="1" x14ac:dyDescent="0.25"/>
    <row r="195457" customFormat="1" x14ac:dyDescent="0.25"/>
    <row r="195458" customFormat="1" x14ac:dyDescent="0.25"/>
    <row r="195459" customFormat="1" x14ac:dyDescent="0.25"/>
    <row r="195460" customFormat="1" x14ac:dyDescent="0.25"/>
    <row r="195461" customFormat="1" x14ac:dyDescent="0.25"/>
    <row r="195462" customFormat="1" x14ac:dyDescent="0.25"/>
    <row r="195463" customFormat="1" x14ac:dyDescent="0.25"/>
    <row r="195464" customFormat="1" x14ac:dyDescent="0.25"/>
    <row r="195465" customFormat="1" x14ac:dyDescent="0.25"/>
    <row r="195466" customFormat="1" x14ac:dyDescent="0.25"/>
    <row r="195467" customFormat="1" x14ac:dyDescent="0.25"/>
    <row r="195468" customFormat="1" x14ac:dyDescent="0.25"/>
    <row r="195469" customFormat="1" x14ac:dyDescent="0.25"/>
    <row r="195470" customFormat="1" x14ac:dyDescent="0.25"/>
    <row r="195471" customFormat="1" x14ac:dyDescent="0.25"/>
    <row r="195472" customFormat="1" x14ac:dyDescent="0.25"/>
    <row r="195473" customFormat="1" x14ac:dyDescent="0.25"/>
    <row r="195474" customFormat="1" x14ac:dyDescent="0.25"/>
    <row r="195475" customFormat="1" x14ac:dyDescent="0.25"/>
    <row r="195476" customFormat="1" x14ac:dyDescent="0.25"/>
    <row r="195477" customFormat="1" x14ac:dyDescent="0.25"/>
    <row r="195478" customFormat="1" x14ac:dyDescent="0.25"/>
    <row r="195479" customFormat="1" x14ac:dyDescent="0.25"/>
    <row r="195480" customFormat="1" x14ac:dyDescent="0.25"/>
    <row r="195481" customFormat="1" x14ac:dyDescent="0.25"/>
    <row r="195482" customFormat="1" x14ac:dyDescent="0.25"/>
    <row r="195483" customFormat="1" x14ac:dyDescent="0.25"/>
    <row r="195484" customFormat="1" x14ac:dyDescent="0.25"/>
    <row r="195485" customFormat="1" x14ac:dyDescent="0.25"/>
    <row r="195486" customFormat="1" x14ac:dyDescent="0.25"/>
    <row r="195487" customFormat="1" x14ac:dyDescent="0.25"/>
    <row r="195488" customFormat="1" x14ac:dyDescent="0.25"/>
    <row r="195489" customFormat="1" x14ac:dyDescent="0.25"/>
    <row r="195490" customFormat="1" x14ac:dyDescent="0.25"/>
    <row r="195491" customFormat="1" x14ac:dyDescent="0.25"/>
    <row r="195492" customFormat="1" x14ac:dyDescent="0.25"/>
    <row r="195493" customFormat="1" x14ac:dyDescent="0.25"/>
    <row r="195494" customFormat="1" x14ac:dyDescent="0.25"/>
    <row r="195495" customFormat="1" x14ac:dyDescent="0.25"/>
    <row r="195496" customFormat="1" x14ac:dyDescent="0.25"/>
    <row r="195497" customFormat="1" x14ac:dyDescent="0.25"/>
    <row r="195498" customFormat="1" x14ac:dyDescent="0.25"/>
    <row r="195499" customFormat="1" x14ac:dyDescent="0.25"/>
    <row r="195500" customFormat="1" x14ac:dyDescent="0.25"/>
    <row r="195501" customFormat="1" x14ac:dyDescent="0.25"/>
    <row r="195502" customFormat="1" x14ac:dyDescent="0.25"/>
    <row r="195503" customFormat="1" x14ac:dyDescent="0.25"/>
    <row r="195504" customFormat="1" x14ac:dyDescent="0.25"/>
    <row r="195505" customFormat="1" x14ac:dyDescent="0.25"/>
    <row r="195506" customFormat="1" x14ac:dyDescent="0.25"/>
    <row r="195507" customFormat="1" x14ac:dyDescent="0.25"/>
    <row r="195508" customFormat="1" x14ac:dyDescent="0.25"/>
    <row r="195509" customFormat="1" x14ac:dyDescent="0.25"/>
    <row r="195510" customFormat="1" x14ac:dyDescent="0.25"/>
    <row r="195511" customFormat="1" x14ac:dyDescent="0.25"/>
    <row r="195512" customFormat="1" x14ac:dyDescent="0.25"/>
    <row r="195513" customFormat="1" x14ac:dyDescent="0.25"/>
    <row r="195514" customFormat="1" x14ac:dyDescent="0.25"/>
    <row r="195515" customFormat="1" x14ac:dyDescent="0.25"/>
    <row r="195516" customFormat="1" x14ac:dyDescent="0.25"/>
    <row r="195517" customFormat="1" x14ac:dyDescent="0.25"/>
    <row r="195518" customFormat="1" x14ac:dyDescent="0.25"/>
    <row r="195519" customFormat="1" x14ac:dyDescent="0.25"/>
    <row r="195520" customFormat="1" x14ac:dyDescent="0.25"/>
    <row r="195521" customFormat="1" x14ac:dyDescent="0.25"/>
    <row r="195522" customFormat="1" x14ac:dyDescent="0.25"/>
    <row r="195523" customFormat="1" x14ac:dyDescent="0.25"/>
    <row r="195524" customFormat="1" x14ac:dyDescent="0.25"/>
    <row r="195525" customFormat="1" x14ac:dyDescent="0.25"/>
    <row r="195526" customFormat="1" x14ac:dyDescent="0.25"/>
    <row r="195527" customFormat="1" x14ac:dyDescent="0.25"/>
    <row r="195528" customFormat="1" x14ac:dyDescent="0.25"/>
    <row r="195529" customFormat="1" x14ac:dyDescent="0.25"/>
    <row r="195530" customFormat="1" x14ac:dyDescent="0.25"/>
    <row r="195531" customFormat="1" x14ac:dyDescent="0.25"/>
    <row r="195532" customFormat="1" x14ac:dyDescent="0.25"/>
    <row r="195533" customFormat="1" x14ac:dyDescent="0.25"/>
    <row r="195534" customFormat="1" x14ac:dyDescent="0.25"/>
    <row r="195535" customFormat="1" x14ac:dyDescent="0.25"/>
    <row r="195536" customFormat="1" x14ac:dyDescent="0.25"/>
    <row r="195537" customFormat="1" x14ac:dyDescent="0.25"/>
    <row r="195538" customFormat="1" x14ac:dyDescent="0.25"/>
    <row r="195539" customFormat="1" x14ac:dyDescent="0.25"/>
    <row r="195540" customFormat="1" x14ac:dyDescent="0.25"/>
    <row r="195541" customFormat="1" x14ac:dyDescent="0.25"/>
    <row r="195542" customFormat="1" x14ac:dyDescent="0.25"/>
    <row r="195543" customFormat="1" x14ac:dyDescent="0.25"/>
    <row r="195544" customFormat="1" x14ac:dyDescent="0.25"/>
    <row r="195545" customFormat="1" x14ac:dyDescent="0.25"/>
    <row r="195546" customFormat="1" x14ac:dyDescent="0.25"/>
    <row r="195547" customFormat="1" x14ac:dyDescent="0.25"/>
    <row r="195548" customFormat="1" x14ac:dyDescent="0.25"/>
    <row r="195549" customFormat="1" x14ac:dyDescent="0.25"/>
    <row r="195550" customFormat="1" x14ac:dyDescent="0.25"/>
    <row r="195551" customFormat="1" x14ac:dyDescent="0.25"/>
    <row r="195552" customFormat="1" x14ac:dyDescent="0.25"/>
    <row r="195553" customFormat="1" x14ac:dyDescent="0.25"/>
    <row r="195554" customFormat="1" x14ac:dyDescent="0.25"/>
    <row r="195555" customFormat="1" x14ac:dyDescent="0.25"/>
    <row r="195556" customFormat="1" x14ac:dyDescent="0.25"/>
    <row r="195557" customFormat="1" x14ac:dyDescent="0.25"/>
    <row r="195558" customFormat="1" x14ac:dyDescent="0.25"/>
    <row r="195559" customFormat="1" x14ac:dyDescent="0.25"/>
    <row r="195560" customFormat="1" x14ac:dyDescent="0.25"/>
    <row r="195561" customFormat="1" x14ac:dyDescent="0.25"/>
    <row r="195562" customFormat="1" x14ac:dyDescent="0.25"/>
    <row r="195563" customFormat="1" x14ac:dyDescent="0.25"/>
    <row r="195564" customFormat="1" x14ac:dyDescent="0.25"/>
    <row r="195565" customFormat="1" x14ac:dyDescent="0.25"/>
    <row r="195566" customFormat="1" x14ac:dyDescent="0.25"/>
    <row r="195567" customFormat="1" x14ac:dyDescent="0.25"/>
    <row r="195568" customFormat="1" x14ac:dyDescent="0.25"/>
    <row r="195569" customFormat="1" x14ac:dyDescent="0.25"/>
    <row r="195570" customFormat="1" x14ac:dyDescent="0.25"/>
    <row r="195571" customFormat="1" x14ac:dyDescent="0.25"/>
    <row r="195572" customFormat="1" x14ac:dyDescent="0.25"/>
    <row r="195573" customFormat="1" x14ac:dyDescent="0.25"/>
    <row r="195574" customFormat="1" x14ac:dyDescent="0.25"/>
    <row r="195575" customFormat="1" x14ac:dyDescent="0.25"/>
    <row r="195576" customFormat="1" x14ac:dyDescent="0.25"/>
    <row r="195577" customFormat="1" x14ac:dyDescent="0.25"/>
    <row r="195578" customFormat="1" x14ac:dyDescent="0.25"/>
    <row r="195579" customFormat="1" x14ac:dyDescent="0.25"/>
    <row r="195580" customFormat="1" x14ac:dyDescent="0.25"/>
    <row r="195581" customFormat="1" x14ac:dyDescent="0.25"/>
    <row r="195582" customFormat="1" x14ac:dyDescent="0.25"/>
    <row r="195583" customFormat="1" x14ac:dyDescent="0.25"/>
    <row r="195584" customFormat="1" x14ac:dyDescent="0.25"/>
    <row r="195585" customFormat="1" x14ac:dyDescent="0.25"/>
    <row r="195586" customFormat="1" x14ac:dyDescent="0.25"/>
    <row r="195587" customFormat="1" x14ac:dyDescent="0.25"/>
    <row r="195588" customFormat="1" x14ac:dyDescent="0.25"/>
    <row r="195589" customFormat="1" x14ac:dyDescent="0.25"/>
    <row r="195590" customFormat="1" x14ac:dyDescent="0.25"/>
    <row r="195591" customFormat="1" x14ac:dyDescent="0.25"/>
    <row r="195592" customFormat="1" x14ac:dyDescent="0.25"/>
    <row r="195593" customFormat="1" x14ac:dyDescent="0.25"/>
    <row r="195594" customFormat="1" x14ac:dyDescent="0.25"/>
    <row r="195595" customFormat="1" x14ac:dyDescent="0.25"/>
    <row r="195596" customFormat="1" x14ac:dyDescent="0.25"/>
    <row r="195597" customFormat="1" x14ac:dyDescent="0.25"/>
    <row r="195598" customFormat="1" x14ac:dyDescent="0.25"/>
    <row r="195599" customFormat="1" x14ac:dyDescent="0.25"/>
    <row r="195600" customFormat="1" x14ac:dyDescent="0.25"/>
    <row r="195601" customFormat="1" x14ac:dyDescent="0.25"/>
    <row r="195602" customFormat="1" x14ac:dyDescent="0.25"/>
    <row r="195603" customFormat="1" x14ac:dyDescent="0.25"/>
    <row r="195604" customFormat="1" x14ac:dyDescent="0.25"/>
    <row r="195605" customFormat="1" x14ac:dyDescent="0.25"/>
    <row r="195606" customFormat="1" x14ac:dyDescent="0.25"/>
    <row r="195607" customFormat="1" x14ac:dyDescent="0.25"/>
    <row r="195608" customFormat="1" x14ac:dyDescent="0.25"/>
    <row r="195609" customFormat="1" x14ac:dyDescent="0.25"/>
    <row r="195610" customFormat="1" x14ac:dyDescent="0.25"/>
    <row r="195611" customFormat="1" x14ac:dyDescent="0.25"/>
    <row r="195612" customFormat="1" x14ac:dyDescent="0.25"/>
    <row r="195613" customFormat="1" x14ac:dyDescent="0.25"/>
    <row r="195614" customFormat="1" x14ac:dyDescent="0.25"/>
    <row r="195615" customFormat="1" x14ac:dyDescent="0.25"/>
    <row r="195616" customFormat="1" x14ac:dyDescent="0.25"/>
    <row r="195617" customFormat="1" x14ac:dyDescent="0.25"/>
    <row r="195618" customFormat="1" x14ac:dyDescent="0.25"/>
    <row r="195619" customFormat="1" x14ac:dyDescent="0.25"/>
    <row r="195620" customFormat="1" x14ac:dyDescent="0.25"/>
    <row r="195621" customFormat="1" x14ac:dyDescent="0.25"/>
    <row r="195622" customFormat="1" x14ac:dyDescent="0.25"/>
    <row r="195623" customFormat="1" x14ac:dyDescent="0.25"/>
    <row r="195624" customFormat="1" x14ac:dyDescent="0.25"/>
    <row r="195625" customFormat="1" x14ac:dyDescent="0.25"/>
    <row r="195626" customFormat="1" x14ac:dyDescent="0.25"/>
    <row r="195627" customFormat="1" x14ac:dyDescent="0.25"/>
    <row r="195628" customFormat="1" x14ac:dyDescent="0.25"/>
    <row r="195629" customFormat="1" x14ac:dyDescent="0.25"/>
    <row r="195630" customFormat="1" x14ac:dyDescent="0.25"/>
    <row r="195631" customFormat="1" x14ac:dyDescent="0.25"/>
    <row r="195632" customFormat="1" x14ac:dyDescent="0.25"/>
    <row r="195633" customFormat="1" x14ac:dyDescent="0.25"/>
    <row r="195634" customFormat="1" x14ac:dyDescent="0.25"/>
    <row r="195635" customFormat="1" x14ac:dyDescent="0.25"/>
    <row r="195636" customFormat="1" x14ac:dyDescent="0.25"/>
    <row r="195637" customFormat="1" x14ac:dyDescent="0.25"/>
    <row r="195638" customFormat="1" x14ac:dyDescent="0.25"/>
    <row r="195639" customFormat="1" x14ac:dyDescent="0.25"/>
    <row r="195640" customFormat="1" x14ac:dyDescent="0.25"/>
    <row r="195641" customFormat="1" x14ac:dyDescent="0.25"/>
    <row r="195642" customFormat="1" x14ac:dyDescent="0.25"/>
    <row r="195643" customFormat="1" x14ac:dyDescent="0.25"/>
    <row r="195644" customFormat="1" x14ac:dyDescent="0.25"/>
    <row r="195645" customFormat="1" x14ac:dyDescent="0.25"/>
    <row r="195646" customFormat="1" x14ac:dyDescent="0.25"/>
    <row r="195647" customFormat="1" x14ac:dyDescent="0.25"/>
    <row r="195648" customFormat="1" x14ac:dyDescent="0.25"/>
    <row r="195649" customFormat="1" x14ac:dyDescent="0.25"/>
    <row r="195650" customFormat="1" x14ac:dyDescent="0.25"/>
    <row r="195651" customFormat="1" x14ac:dyDescent="0.25"/>
    <row r="195652" customFormat="1" x14ac:dyDescent="0.25"/>
    <row r="195653" customFormat="1" x14ac:dyDescent="0.25"/>
    <row r="195654" customFormat="1" x14ac:dyDescent="0.25"/>
    <row r="195655" customFormat="1" x14ac:dyDescent="0.25"/>
    <row r="195656" customFormat="1" x14ac:dyDescent="0.25"/>
    <row r="195657" customFormat="1" x14ac:dyDescent="0.25"/>
    <row r="195658" customFormat="1" x14ac:dyDescent="0.25"/>
    <row r="195659" customFormat="1" x14ac:dyDescent="0.25"/>
    <row r="195660" customFormat="1" x14ac:dyDescent="0.25"/>
    <row r="195661" customFormat="1" x14ac:dyDescent="0.25"/>
    <row r="195662" customFormat="1" x14ac:dyDescent="0.25"/>
    <row r="195663" customFormat="1" x14ac:dyDescent="0.25"/>
    <row r="195664" customFormat="1" x14ac:dyDescent="0.25"/>
    <row r="195665" customFormat="1" x14ac:dyDescent="0.25"/>
    <row r="195666" customFormat="1" x14ac:dyDescent="0.25"/>
    <row r="195667" customFormat="1" x14ac:dyDescent="0.25"/>
    <row r="195668" customFormat="1" x14ac:dyDescent="0.25"/>
    <row r="195669" customFormat="1" x14ac:dyDescent="0.25"/>
    <row r="195670" customFormat="1" x14ac:dyDescent="0.25"/>
    <row r="195671" customFormat="1" x14ac:dyDescent="0.25"/>
    <row r="195672" customFormat="1" x14ac:dyDescent="0.25"/>
    <row r="195673" customFormat="1" x14ac:dyDescent="0.25"/>
    <row r="195674" customFormat="1" x14ac:dyDescent="0.25"/>
    <row r="195675" customFormat="1" x14ac:dyDescent="0.25"/>
    <row r="195676" customFormat="1" x14ac:dyDescent="0.25"/>
    <row r="195677" customFormat="1" x14ac:dyDescent="0.25"/>
    <row r="195678" customFormat="1" x14ac:dyDescent="0.25"/>
    <row r="195679" customFormat="1" x14ac:dyDescent="0.25"/>
    <row r="195680" customFormat="1" x14ac:dyDescent="0.25"/>
    <row r="195681" customFormat="1" x14ac:dyDescent="0.25"/>
    <row r="195682" customFormat="1" x14ac:dyDescent="0.25"/>
    <row r="195683" customFormat="1" x14ac:dyDescent="0.25"/>
    <row r="195684" customFormat="1" x14ac:dyDescent="0.25"/>
    <row r="195685" customFormat="1" x14ac:dyDescent="0.25"/>
    <row r="195686" customFormat="1" x14ac:dyDescent="0.25"/>
    <row r="195687" customFormat="1" x14ac:dyDescent="0.25"/>
    <row r="195688" customFormat="1" x14ac:dyDescent="0.25"/>
    <row r="195689" customFormat="1" x14ac:dyDescent="0.25"/>
    <row r="195690" customFormat="1" x14ac:dyDescent="0.25"/>
    <row r="195691" customFormat="1" x14ac:dyDescent="0.25"/>
    <row r="195692" customFormat="1" x14ac:dyDescent="0.25"/>
    <row r="195693" customFormat="1" x14ac:dyDescent="0.25"/>
    <row r="195694" customFormat="1" x14ac:dyDescent="0.25"/>
    <row r="195695" customFormat="1" x14ac:dyDescent="0.25"/>
    <row r="195696" customFormat="1" x14ac:dyDescent="0.25"/>
    <row r="195697" customFormat="1" x14ac:dyDescent="0.25"/>
    <row r="195698" customFormat="1" x14ac:dyDescent="0.25"/>
    <row r="195699" customFormat="1" x14ac:dyDescent="0.25"/>
    <row r="195700" customFormat="1" x14ac:dyDescent="0.25"/>
    <row r="195701" customFormat="1" x14ac:dyDescent="0.25"/>
    <row r="195702" customFormat="1" x14ac:dyDescent="0.25"/>
    <row r="195703" customFormat="1" x14ac:dyDescent="0.25"/>
    <row r="195704" customFormat="1" x14ac:dyDescent="0.25"/>
    <row r="195705" customFormat="1" x14ac:dyDescent="0.25"/>
    <row r="195706" customFormat="1" x14ac:dyDescent="0.25"/>
    <row r="195707" customFormat="1" x14ac:dyDescent="0.25"/>
    <row r="195708" customFormat="1" x14ac:dyDescent="0.25"/>
    <row r="195709" customFormat="1" x14ac:dyDescent="0.25"/>
    <row r="195710" customFormat="1" x14ac:dyDescent="0.25"/>
    <row r="195711" customFormat="1" x14ac:dyDescent="0.25"/>
    <row r="195712" customFormat="1" x14ac:dyDescent="0.25"/>
    <row r="195713" customFormat="1" x14ac:dyDescent="0.25"/>
    <row r="195714" customFormat="1" x14ac:dyDescent="0.25"/>
    <row r="195715" customFormat="1" x14ac:dyDescent="0.25"/>
    <row r="195716" customFormat="1" x14ac:dyDescent="0.25"/>
    <row r="195717" customFormat="1" x14ac:dyDescent="0.25"/>
    <row r="195718" customFormat="1" x14ac:dyDescent="0.25"/>
    <row r="195719" customFormat="1" x14ac:dyDescent="0.25"/>
    <row r="195720" customFormat="1" x14ac:dyDescent="0.25"/>
    <row r="195721" customFormat="1" x14ac:dyDescent="0.25"/>
    <row r="195722" customFormat="1" x14ac:dyDescent="0.25"/>
    <row r="195723" customFormat="1" x14ac:dyDescent="0.25"/>
    <row r="195724" customFormat="1" x14ac:dyDescent="0.25"/>
    <row r="195725" customFormat="1" x14ac:dyDescent="0.25"/>
    <row r="195726" customFormat="1" x14ac:dyDescent="0.25"/>
    <row r="195727" customFormat="1" x14ac:dyDescent="0.25"/>
    <row r="195728" customFormat="1" x14ac:dyDescent="0.25"/>
    <row r="195729" customFormat="1" x14ac:dyDescent="0.25"/>
    <row r="195730" customFormat="1" x14ac:dyDescent="0.25"/>
    <row r="195731" customFormat="1" x14ac:dyDescent="0.25"/>
    <row r="195732" customFormat="1" x14ac:dyDescent="0.25"/>
    <row r="195733" customFormat="1" x14ac:dyDescent="0.25"/>
    <row r="195734" customFormat="1" x14ac:dyDescent="0.25"/>
    <row r="195735" customFormat="1" x14ac:dyDescent="0.25"/>
    <row r="195736" customFormat="1" x14ac:dyDescent="0.25"/>
    <row r="195737" customFormat="1" x14ac:dyDescent="0.25"/>
    <row r="195738" customFormat="1" x14ac:dyDescent="0.25"/>
    <row r="195739" customFormat="1" x14ac:dyDescent="0.25"/>
    <row r="195740" customFormat="1" x14ac:dyDescent="0.25"/>
    <row r="195741" customFormat="1" x14ac:dyDescent="0.25"/>
    <row r="195742" customFormat="1" x14ac:dyDescent="0.25"/>
    <row r="195743" customFormat="1" x14ac:dyDescent="0.25"/>
    <row r="195744" customFormat="1" x14ac:dyDescent="0.25"/>
    <row r="195745" customFormat="1" x14ac:dyDescent="0.25"/>
    <row r="195746" customFormat="1" x14ac:dyDescent="0.25"/>
    <row r="195747" customFormat="1" x14ac:dyDescent="0.25"/>
    <row r="195748" customFormat="1" x14ac:dyDescent="0.25"/>
    <row r="195749" customFormat="1" x14ac:dyDescent="0.25"/>
    <row r="195750" customFormat="1" x14ac:dyDescent="0.25"/>
    <row r="195751" customFormat="1" x14ac:dyDescent="0.25"/>
    <row r="195752" customFormat="1" x14ac:dyDescent="0.25"/>
    <row r="195753" customFormat="1" x14ac:dyDescent="0.25"/>
    <row r="195754" customFormat="1" x14ac:dyDescent="0.25"/>
    <row r="195755" customFormat="1" x14ac:dyDescent="0.25"/>
    <row r="195756" customFormat="1" x14ac:dyDescent="0.25"/>
    <row r="195757" customFormat="1" x14ac:dyDescent="0.25"/>
    <row r="195758" customFormat="1" x14ac:dyDescent="0.25"/>
    <row r="195759" customFormat="1" x14ac:dyDescent="0.25"/>
    <row r="195760" customFormat="1" x14ac:dyDescent="0.25"/>
    <row r="195761" customFormat="1" x14ac:dyDescent="0.25"/>
    <row r="195762" customFormat="1" x14ac:dyDescent="0.25"/>
    <row r="195763" customFormat="1" x14ac:dyDescent="0.25"/>
    <row r="195764" customFormat="1" x14ac:dyDescent="0.25"/>
    <row r="195765" customFormat="1" x14ac:dyDescent="0.25"/>
    <row r="195766" customFormat="1" x14ac:dyDescent="0.25"/>
    <row r="195767" customFormat="1" x14ac:dyDescent="0.25"/>
    <row r="195768" customFormat="1" x14ac:dyDescent="0.25"/>
    <row r="195769" customFormat="1" x14ac:dyDescent="0.25"/>
    <row r="195770" customFormat="1" x14ac:dyDescent="0.25"/>
    <row r="195771" customFormat="1" x14ac:dyDescent="0.25"/>
    <row r="195772" customFormat="1" x14ac:dyDescent="0.25"/>
    <row r="195773" customFormat="1" x14ac:dyDescent="0.25"/>
    <row r="195774" customFormat="1" x14ac:dyDescent="0.25"/>
    <row r="195775" customFormat="1" x14ac:dyDescent="0.25"/>
    <row r="195776" customFormat="1" x14ac:dyDescent="0.25"/>
    <row r="195777" customFormat="1" x14ac:dyDescent="0.25"/>
    <row r="195778" customFormat="1" x14ac:dyDescent="0.25"/>
    <row r="195779" customFormat="1" x14ac:dyDescent="0.25"/>
    <row r="195780" customFormat="1" x14ac:dyDescent="0.25"/>
    <row r="195781" customFormat="1" x14ac:dyDescent="0.25"/>
    <row r="195782" customFormat="1" x14ac:dyDescent="0.25"/>
    <row r="195783" customFormat="1" x14ac:dyDescent="0.25"/>
    <row r="195784" customFormat="1" x14ac:dyDescent="0.25"/>
    <row r="195785" customFormat="1" x14ac:dyDescent="0.25"/>
    <row r="195786" customFormat="1" x14ac:dyDescent="0.25"/>
    <row r="195787" customFormat="1" x14ac:dyDescent="0.25"/>
    <row r="195788" customFormat="1" x14ac:dyDescent="0.25"/>
    <row r="195789" customFormat="1" x14ac:dyDescent="0.25"/>
    <row r="195790" customFormat="1" x14ac:dyDescent="0.25"/>
    <row r="195791" customFormat="1" x14ac:dyDescent="0.25"/>
    <row r="195792" customFormat="1" x14ac:dyDescent="0.25"/>
    <row r="195793" customFormat="1" x14ac:dyDescent="0.25"/>
    <row r="195794" customFormat="1" x14ac:dyDescent="0.25"/>
    <row r="195795" customFormat="1" x14ac:dyDescent="0.25"/>
    <row r="195796" customFormat="1" x14ac:dyDescent="0.25"/>
    <row r="195797" customFormat="1" x14ac:dyDescent="0.25"/>
    <row r="195798" customFormat="1" x14ac:dyDescent="0.25"/>
    <row r="195799" customFormat="1" x14ac:dyDescent="0.25"/>
    <row r="195800" customFormat="1" x14ac:dyDescent="0.25"/>
    <row r="195801" customFormat="1" x14ac:dyDescent="0.25"/>
    <row r="195802" customFormat="1" x14ac:dyDescent="0.25"/>
    <row r="195803" customFormat="1" x14ac:dyDescent="0.25"/>
    <row r="195804" customFormat="1" x14ac:dyDescent="0.25"/>
    <row r="195805" customFormat="1" x14ac:dyDescent="0.25"/>
    <row r="195806" customFormat="1" x14ac:dyDescent="0.25"/>
    <row r="195807" customFormat="1" x14ac:dyDescent="0.25"/>
    <row r="195808" customFormat="1" x14ac:dyDescent="0.25"/>
    <row r="195809" customFormat="1" x14ac:dyDescent="0.25"/>
    <row r="195810" customFormat="1" x14ac:dyDescent="0.25"/>
    <row r="195811" customFormat="1" x14ac:dyDescent="0.25"/>
    <row r="195812" customFormat="1" x14ac:dyDescent="0.25"/>
    <row r="195813" customFormat="1" x14ac:dyDescent="0.25"/>
    <row r="195814" customFormat="1" x14ac:dyDescent="0.25"/>
    <row r="195815" customFormat="1" x14ac:dyDescent="0.25"/>
    <row r="195816" customFormat="1" x14ac:dyDescent="0.25"/>
    <row r="195817" customFormat="1" x14ac:dyDescent="0.25"/>
    <row r="195818" customFormat="1" x14ac:dyDescent="0.25"/>
    <row r="195819" customFormat="1" x14ac:dyDescent="0.25"/>
    <row r="195820" customFormat="1" x14ac:dyDescent="0.25"/>
    <row r="195821" customFormat="1" x14ac:dyDescent="0.25"/>
    <row r="195822" customFormat="1" x14ac:dyDescent="0.25"/>
    <row r="195823" customFormat="1" x14ac:dyDescent="0.25"/>
    <row r="195824" customFormat="1" x14ac:dyDescent="0.25"/>
    <row r="195825" customFormat="1" x14ac:dyDescent="0.25"/>
    <row r="195826" customFormat="1" x14ac:dyDescent="0.25"/>
    <row r="195827" customFormat="1" x14ac:dyDescent="0.25"/>
    <row r="195828" customFormat="1" x14ac:dyDescent="0.25"/>
    <row r="195829" customFormat="1" x14ac:dyDescent="0.25"/>
    <row r="195830" customFormat="1" x14ac:dyDescent="0.25"/>
    <row r="195831" customFormat="1" x14ac:dyDescent="0.25"/>
    <row r="195832" customFormat="1" x14ac:dyDescent="0.25"/>
    <row r="195833" customFormat="1" x14ac:dyDescent="0.25"/>
    <row r="195834" customFormat="1" x14ac:dyDescent="0.25"/>
    <row r="195835" customFormat="1" x14ac:dyDescent="0.25"/>
    <row r="195836" customFormat="1" x14ac:dyDescent="0.25"/>
    <row r="195837" customFormat="1" x14ac:dyDescent="0.25"/>
    <row r="195838" customFormat="1" x14ac:dyDescent="0.25"/>
    <row r="195839" customFormat="1" x14ac:dyDescent="0.25"/>
    <row r="195840" customFormat="1" x14ac:dyDescent="0.25"/>
    <row r="195841" customFormat="1" x14ac:dyDescent="0.25"/>
    <row r="195842" customFormat="1" x14ac:dyDescent="0.25"/>
    <row r="195843" customFormat="1" x14ac:dyDescent="0.25"/>
    <row r="195844" customFormat="1" x14ac:dyDescent="0.25"/>
    <row r="195845" customFormat="1" x14ac:dyDescent="0.25"/>
    <row r="195846" customFormat="1" x14ac:dyDescent="0.25"/>
    <row r="195847" customFormat="1" x14ac:dyDescent="0.25"/>
    <row r="195848" customFormat="1" x14ac:dyDescent="0.25"/>
    <row r="195849" customFormat="1" x14ac:dyDescent="0.25"/>
    <row r="195850" customFormat="1" x14ac:dyDescent="0.25"/>
    <row r="195851" customFormat="1" x14ac:dyDescent="0.25"/>
    <row r="195852" customFormat="1" x14ac:dyDescent="0.25"/>
    <row r="195853" customFormat="1" x14ac:dyDescent="0.25"/>
    <row r="195854" customFormat="1" x14ac:dyDescent="0.25"/>
    <row r="195855" customFormat="1" x14ac:dyDescent="0.25"/>
    <row r="195856" customFormat="1" x14ac:dyDescent="0.25"/>
    <row r="195857" customFormat="1" x14ac:dyDescent="0.25"/>
    <row r="195858" customFormat="1" x14ac:dyDescent="0.25"/>
    <row r="195859" customFormat="1" x14ac:dyDescent="0.25"/>
    <row r="195860" customFormat="1" x14ac:dyDescent="0.25"/>
    <row r="195861" customFormat="1" x14ac:dyDescent="0.25"/>
    <row r="195862" customFormat="1" x14ac:dyDescent="0.25"/>
    <row r="195863" customFormat="1" x14ac:dyDescent="0.25"/>
    <row r="195864" customFormat="1" x14ac:dyDescent="0.25"/>
    <row r="195865" customFormat="1" x14ac:dyDescent="0.25"/>
    <row r="195866" customFormat="1" x14ac:dyDescent="0.25"/>
    <row r="195867" customFormat="1" x14ac:dyDescent="0.25"/>
    <row r="195868" customFormat="1" x14ac:dyDescent="0.25"/>
    <row r="195869" customFormat="1" x14ac:dyDescent="0.25"/>
    <row r="195870" customFormat="1" x14ac:dyDescent="0.25"/>
    <row r="195871" customFormat="1" x14ac:dyDescent="0.25"/>
    <row r="195872" customFormat="1" x14ac:dyDescent="0.25"/>
    <row r="195873" customFormat="1" x14ac:dyDescent="0.25"/>
    <row r="195874" customFormat="1" x14ac:dyDescent="0.25"/>
    <row r="195875" customFormat="1" x14ac:dyDescent="0.25"/>
    <row r="195876" customFormat="1" x14ac:dyDescent="0.25"/>
    <row r="195877" customFormat="1" x14ac:dyDescent="0.25"/>
    <row r="195878" customFormat="1" x14ac:dyDescent="0.25"/>
    <row r="195879" customFormat="1" x14ac:dyDescent="0.25"/>
    <row r="195880" customFormat="1" x14ac:dyDescent="0.25"/>
    <row r="195881" customFormat="1" x14ac:dyDescent="0.25"/>
    <row r="195882" customFormat="1" x14ac:dyDescent="0.25"/>
    <row r="195883" customFormat="1" x14ac:dyDescent="0.25"/>
    <row r="195884" customFormat="1" x14ac:dyDescent="0.25"/>
    <row r="195885" customFormat="1" x14ac:dyDescent="0.25"/>
    <row r="195886" customFormat="1" x14ac:dyDescent="0.25"/>
    <row r="195887" customFormat="1" x14ac:dyDescent="0.25"/>
    <row r="195888" customFormat="1" x14ac:dyDescent="0.25"/>
    <row r="195889" customFormat="1" x14ac:dyDescent="0.25"/>
    <row r="195890" customFormat="1" x14ac:dyDescent="0.25"/>
    <row r="195891" customFormat="1" x14ac:dyDescent="0.25"/>
    <row r="195892" customFormat="1" x14ac:dyDescent="0.25"/>
    <row r="195893" customFormat="1" x14ac:dyDescent="0.25"/>
    <row r="195894" customFormat="1" x14ac:dyDescent="0.25"/>
    <row r="195895" customFormat="1" x14ac:dyDescent="0.25"/>
    <row r="195896" customFormat="1" x14ac:dyDescent="0.25"/>
    <row r="195897" customFormat="1" x14ac:dyDescent="0.25"/>
    <row r="195898" customFormat="1" x14ac:dyDescent="0.25"/>
    <row r="195899" customFormat="1" x14ac:dyDescent="0.25"/>
    <row r="195900" customFormat="1" x14ac:dyDescent="0.25"/>
    <row r="195901" customFormat="1" x14ac:dyDescent="0.25"/>
    <row r="195902" customFormat="1" x14ac:dyDescent="0.25"/>
    <row r="195903" customFormat="1" x14ac:dyDescent="0.25"/>
    <row r="195904" customFormat="1" x14ac:dyDescent="0.25"/>
    <row r="195905" customFormat="1" x14ac:dyDescent="0.25"/>
    <row r="195906" customFormat="1" x14ac:dyDescent="0.25"/>
    <row r="195907" customFormat="1" x14ac:dyDescent="0.25"/>
    <row r="195908" customFormat="1" x14ac:dyDescent="0.25"/>
    <row r="195909" customFormat="1" x14ac:dyDescent="0.25"/>
    <row r="195910" customFormat="1" x14ac:dyDescent="0.25"/>
    <row r="195911" customFormat="1" x14ac:dyDescent="0.25"/>
    <row r="195912" customFormat="1" x14ac:dyDescent="0.25"/>
    <row r="195913" customFormat="1" x14ac:dyDescent="0.25"/>
    <row r="195914" customFormat="1" x14ac:dyDescent="0.25"/>
    <row r="195915" customFormat="1" x14ac:dyDescent="0.25"/>
    <row r="195916" customFormat="1" x14ac:dyDescent="0.25"/>
    <row r="195917" customFormat="1" x14ac:dyDescent="0.25"/>
    <row r="195918" customFormat="1" x14ac:dyDescent="0.25"/>
    <row r="195919" customFormat="1" x14ac:dyDescent="0.25"/>
    <row r="195920" customFormat="1" x14ac:dyDescent="0.25"/>
    <row r="195921" customFormat="1" x14ac:dyDescent="0.25"/>
    <row r="195922" customFormat="1" x14ac:dyDescent="0.25"/>
    <row r="195923" customFormat="1" x14ac:dyDescent="0.25"/>
    <row r="195924" customFormat="1" x14ac:dyDescent="0.25"/>
    <row r="195925" customFormat="1" x14ac:dyDescent="0.25"/>
    <row r="195926" customFormat="1" x14ac:dyDescent="0.25"/>
    <row r="195927" customFormat="1" x14ac:dyDescent="0.25"/>
    <row r="195928" customFormat="1" x14ac:dyDescent="0.25"/>
    <row r="195929" customFormat="1" x14ac:dyDescent="0.25"/>
    <row r="195930" customFormat="1" x14ac:dyDescent="0.25"/>
    <row r="195931" customFormat="1" x14ac:dyDescent="0.25"/>
    <row r="195932" customFormat="1" x14ac:dyDescent="0.25"/>
    <row r="195933" customFormat="1" x14ac:dyDescent="0.25"/>
    <row r="195934" customFormat="1" x14ac:dyDescent="0.25"/>
    <row r="195935" customFormat="1" x14ac:dyDescent="0.25"/>
    <row r="195936" customFormat="1" x14ac:dyDescent="0.25"/>
    <row r="195937" customFormat="1" x14ac:dyDescent="0.25"/>
    <row r="195938" customFormat="1" x14ac:dyDescent="0.25"/>
    <row r="195939" customFormat="1" x14ac:dyDescent="0.25"/>
    <row r="195940" customFormat="1" x14ac:dyDescent="0.25"/>
    <row r="195941" customFormat="1" x14ac:dyDescent="0.25"/>
    <row r="195942" customFormat="1" x14ac:dyDescent="0.25"/>
    <row r="195943" customFormat="1" x14ac:dyDescent="0.25"/>
    <row r="195944" customFormat="1" x14ac:dyDescent="0.25"/>
    <row r="195945" customFormat="1" x14ac:dyDescent="0.25"/>
    <row r="195946" customFormat="1" x14ac:dyDescent="0.25"/>
    <row r="195947" customFormat="1" x14ac:dyDescent="0.25"/>
    <row r="195948" customFormat="1" x14ac:dyDescent="0.25"/>
    <row r="195949" customFormat="1" x14ac:dyDescent="0.25"/>
    <row r="195950" customFormat="1" x14ac:dyDescent="0.25"/>
    <row r="195951" customFormat="1" x14ac:dyDescent="0.25"/>
    <row r="195952" customFormat="1" x14ac:dyDescent="0.25"/>
    <row r="195953" customFormat="1" x14ac:dyDescent="0.25"/>
    <row r="195954" customFormat="1" x14ac:dyDescent="0.25"/>
    <row r="195955" customFormat="1" x14ac:dyDescent="0.25"/>
    <row r="195956" customFormat="1" x14ac:dyDescent="0.25"/>
    <row r="195957" customFormat="1" x14ac:dyDescent="0.25"/>
    <row r="195958" customFormat="1" x14ac:dyDescent="0.25"/>
    <row r="195959" customFormat="1" x14ac:dyDescent="0.25"/>
    <row r="195960" customFormat="1" x14ac:dyDescent="0.25"/>
    <row r="195961" customFormat="1" x14ac:dyDescent="0.25"/>
    <row r="195962" customFormat="1" x14ac:dyDescent="0.25"/>
    <row r="195963" customFormat="1" x14ac:dyDescent="0.25"/>
    <row r="195964" customFormat="1" x14ac:dyDescent="0.25"/>
    <row r="195965" customFormat="1" x14ac:dyDescent="0.25"/>
    <row r="195966" customFormat="1" x14ac:dyDescent="0.25"/>
    <row r="195967" customFormat="1" x14ac:dyDescent="0.25"/>
    <row r="195968" customFormat="1" x14ac:dyDescent="0.25"/>
    <row r="195969" customFormat="1" x14ac:dyDescent="0.25"/>
    <row r="195970" customFormat="1" x14ac:dyDescent="0.25"/>
    <row r="195971" customFormat="1" x14ac:dyDescent="0.25"/>
    <row r="195972" customFormat="1" x14ac:dyDescent="0.25"/>
    <row r="195973" customFormat="1" x14ac:dyDescent="0.25"/>
    <row r="195974" customFormat="1" x14ac:dyDescent="0.25"/>
    <row r="195975" customFormat="1" x14ac:dyDescent="0.25"/>
    <row r="195976" customFormat="1" x14ac:dyDescent="0.25"/>
    <row r="195977" customFormat="1" x14ac:dyDescent="0.25"/>
    <row r="195978" customFormat="1" x14ac:dyDescent="0.25"/>
    <row r="195979" customFormat="1" x14ac:dyDescent="0.25"/>
    <row r="195980" customFormat="1" x14ac:dyDescent="0.25"/>
    <row r="195981" customFormat="1" x14ac:dyDescent="0.25"/>
    <row r="195982" customFormat="1" x14ac:dyDescent="0.25"/>
    <row r="195983" customFormat="1" x14ac:dyDescent="0.25"/>
    <row r="195984" customFormat="1" x14ac:dyDescent="0.25"/>
    <row r="195985" customFormat="1" x14ac:dyDescent="0.25"/>
    <row r="195986" customFormat="1" x14ac:dyDescent="0.25"/>
    <row r="195987" customFormat="1" x14ac:dyDescent="0.25"/>
    <row r="195988" customFormat="1" x14ac:dyDescent="0.25"/>
    <row r="195989" customFormat="1" x14ac:dyDescent="0.25"/>
    <row r="195990" customFormat="1" x14ac:dyDescent="0.25"/>
    <row r="195991" customFormat="1" x14ac:dyDescent="0.25"/>
    <row r="195992" customFormat="1" x14ac:dyDescent="0.25"/>
    <row r="195993" customFormat="1" x14ac:dyDescent="0.25"/>
    <row r="195994" customFormat="1" x14ac:dyDescent="0.25"/>
    <row r="195995" customFormat="1" x14ac:dyDescent="0.25"/>
    <row r="195996" customFormat="1" x14ac:dyDescent="0.25"/>
    <row r="195997" customFormat="1" x14ac:dyDescent="0.25"/>
    <row r="195998" customFormat="1" x14ac:dyDescent="0.25"/>
    <row r="195999" customFormat="1" x14ac:dyDescent="0.25"/>
    <row r="196000" customFormat="1" x14ac:dyDescent="0.25"/>
    <row r="196001" customFormat="1" x14ac:dyDescent="0.25"/>
    <row r="196002" customFormat="1" x14ac:dyDescent="0.25"/>
    <row r="196003" customFormat="1" x14ac:dyDescent="0.25"/>
    <row r="196004" customFormat="1" x14ac:dyDescent="0.25"/>
    <row r="196005" customFormat="1" x14ac:dyDescent="0.25"/>
    <row r="196006" customFormat="1" x14ac:dyDescent="0.25"/>
    <row r="196007" customFormat="1" x14ac:dyDescent="0.25"/>
    <row r="196008" customFormat="1" x14ac:dyDescent="0.25"/>
    <row r="196009" customFormat="1" x14ac:dyDescent="0.25"/>
    <row r="196010" customFormat="1" x14ac:dyDescent="0.25"/>
    <row r="196011" customFormat="1" x14ac:dyDescent="0.25"/>
    <row r="196012" customFormat="1" x14ac:dyDescent="0.25"/>
    <row r="196013" customFormat="1" x14ac:dyDescent="0.25"/>
    <row r="196014" customFormat="1" x14ac:dyDescent="0.25"/>
    <row r="196015" customFormat="1" x14ac:dyDescent="0.25"/>
    <row r="196016" customFormat="1" x14ac:dyDescent="0.25"/>
    <row r="196017" customFormat="1" x14ac:dyDescent="0.25"/>
    <row r="196018" customFormat="1" x14ac:dyDescent="0.25"/>
    <row r="196019" customFormat="1" x14ac:dyDescent="0.25"/>
    <row r="196020" customFormat="1" x14ac:dyDescent="0.25"/>
    <row r="196021" customFormat="1" x14ac:dyDescent="0.25"/>
    <row r="196022" customFormat="1" x14ac:dyDescent="0.25"/>
    <row r="196023" customFormat="1" x14ac:dyDescent="0.25"/>
    <row r="196024" customFormat="1" x14ac:dyDescent="0.25"/>
    <row r="196025" customFormat="1" x14ac:dyDescent="0.25"/>
    <row r="196026" customFormat="1" x14ac:dyDescent="0.25"/>
    <row r="196027" customFormat="1" x14ac:dyDescent="0.25"/>
    <row r="196028" customFormat="1" x14ac:dyDescent="0.25"/>
    <row r="196029" customFormat="1" x14ac:dyDescent="0.25"/>
    <row r="196030" customFormat="1" x14ac:dyDescent="0.25"/>
    <row r="196031" customFormat="1" x14ac:dyDescent="0.25"/>
    <row r="196032" customFormat="1" x14ac:dyDescent="0.25"/>
    <row r="196033" customFormat="1" x14ac:dyDescent="0.25"/>
    <row r="196034" customFormat="1" x14ac:dyDescent="0.25"/>
    <row r="196035" customFormat="1" x14ac:dyDescent="0.25"/>
    <row r="196036" customFormat="1" x14ac:dyDescent="0.25"/>
    <row r="196037" customFormat="1" x14ac:dyDescent="0.25"/>
    <row r="196038" customFormat="1" x14ac:dyDescent="0.25"/>
    <row r="196039" customFormat="1" x14ac:dyDescent="0.25"/>
    <row r="196040" customFormat="1" x14ac:dyDescent="0.25"/>
    <row r="196041" customFormat="1" x14ac:dyDescent="0.25"/>
    <row r="196042" customFormat="1" x14ac:dyDescent="0.25"/>
    <row r="196043" customFormat="1" x14ac:dyDescent="0.25"/>
    <row r="196044" customFormat="1" x14ac:dyDescent="0.25"/>
    <row r="196045" customFormat="1" x14ac:dyDescent="0.25"/>
    <row r="196046" customFormat="1" x14ac:dyDescent="0.25"/>
    <row r="196047" customFormat="1" x14ac:dyDescent="0.25"/>
    <row r="196048" customFormat="1" x14ac:dyDescent="0.25"/>
    <row r="196049" customFormat="1" x14ac:dyDescent="0.25"/>
    <row r="196050" customFormat="1" x14ac:dyDescent="0.25"/>
    <row r="196051" customFormat="1" x14ac:dyDescent="0.25"/>
    <row r="196052" customFormat="1" x14ac:dyDescent="0.25"/>
    <row r="196053" customFormat="1" x14ac:dyDescent="0.25"/>
    <row r="196054" customFormat="1" x14ac:dyDescent="0.25"/>
    <row r="196055" customFormat="1" x14ac:dyDescent="0.25"/>
    <row r="196056" customFormat="1" x14ac:dyDescent="0.25"/>
    <row r="196057" customFormat="1" x14ac:dyDescent="0.25"/>
    <row r="196058" customFormat="1" x14ac:dyDescent="0.25"/>
    <row r="196059" customFormat="1" x14ac:dyDescent="0.25"/>
    <row r="196060" customFormat="1" x14ac:dyDescent="0.25"/>
    <row r="196061" customFormat="1" x14ac:dyDescent="0.25"/>
    <row r="196062" customFormat="1" x14ac:dyDescent="0.25"/>
    <row r="196063" customFormat="1" x14ac:dyDescent="0.25"/>
    <row r="196064" customFormat="1" x14ac:dyDescent="0.25"/>
    <row r="196065" customFormat="1" x14ac:dyDescent="0.25"/>
    <row r="196066" customFormat="1" x14ac:dyDescent="0.25"/>
    <row r="196067" customFormat="1" x14ac:dyDescent="0.25"/>
    <row r="196068" customFormat="1" x14ac:dyDescent="0.25"/>
    <row r="196069" customFormat="1" x14ac:dyDescent="0.25"/>
    <row r="196070" customFormat="1" x14ac:dyDescent="0.25"/>
    <row r="196071" customFormat="1" x14ac:dyDescent="0.25"/>
    <row r="196072" customFormat="1" x14ac:dyDescent="0.25"/>
    <row r="196073" customFormat="1" x14ac:dyDescent="0.25"/>
    <row r="196074" customFormat="1" x14ac:dyDescent="0.25"/>
    <row r="196075" customFormat="1" x14ac:dyDescent="0.25"/>
    <row r="196076" customFormat="1" x14ac:dyDescent="0.25"/>
    <row r="196077" customFormat="1" x14ac:dyDescent="0.25"/>
    <row r="196078" customFormat="1" x14ac:dyDescent="0.25"/>
    <row r="196079" customFormat="1" x14ac:dyDescent="0.25"/>
    <row r="196080" customFormat="1" x14ac:dyDescent="0.25"/>
    <row r="196081" customFormat="1" x14ac:dyDescent="0.25"/>
    <row r="196082" customFormat="1" x14ac:dyDescent="0.25"/>
    <row r="196083" customFormat="1" x14ac:dyDescent="0.25"/>
    <row r="196084" customFormat="1" x14ac:dyDescent="0.25"/>
    <row r="196085" customFormat="1" x14ac:dyDescent="0.25"/>
    <row r="196086" customFormat="1" x14ac:dyDescent="0.25"/>
    <row r="196087" customFormat="1" x14ac:dyDescent="0.25"/>
    <row r="196088" customFormat="1" x14ac:dyDescent="0.25"/>
    <row r="196089" customFormat="1" x14ac:dyDescent="0.25"/>
    <row r="196090" customFormat="1" x14ac:dyDescent="0.25"/>
    <row r="196091" customFormat="1" x14ac:dyDescent="0.25"/>
    <row r="196092" customFormat="1" x14ac:dyDescent="0.25"/>
    <row r="196093" customFormat="1" x14ac:dyDescent="0.25"/>
    <row r="196094" customFormat="1" x14ac:dyDescent="0.25"/>
    <row r="196095" customFormat="1" x14ac:dyDescent="0.25"/>
    <row r="196096" customFormat="1" x14ac:dyDescent="0.25"/>
    <row r="196097" customFormat="1" x14ac:dyDescent="0.25"/>
    <row r="196098" customFormat="1" x14ac:dyDescent="0.25"/>
    <row r="196099" customFormat="1" x14ac:dyDescent="0.25"/>
    <row r="196100" customFormat="1" x14ac:dyDescent="0.25"/>
    <row r="196101" customFormat="1" x14ac:dyDescent="0.25"/>
    <row r="196102" customFormat="1" x14ac:dyDescent="0.25"/>
    <row r="196103" customFormat="1" x14ac:dyDescent="0.25"/>
    <row r="196104" customFormat="1" x14ac:dyDescent="0.25"/>
    <row r="196105" customFormat="1" x14ac:dyDescent="0.25"/>
    <row r="196106" customFormat="1" x14ac:dyDescent="0.25"/>
    <row r="196107" customFormat="1" x14ac:dyDescent="0.25"/>
    <row r="196108" customFormat="1" x14ac:dyDescent="0.25"/>
    <row r="196109" customFormat="1" x14ac:dyDescent="0.25"/>
    <row r="196110" customFormat="1" x14ac:dyDescent="0.25"/>
    <row r="196111" customFormat="1" x14ac:dyDescent="0.25"/>
    <row r="196112" customFormat="1" x14ac:dyDescent="0.25"/>
    <row r="196113" customFormat="1" x14ac:dyDescent="0.25"/>
    <row r="196114" customFormat="1" x14ac:dyDescent="0.25"/>
    <row r="196115" customFormat="1" x14ac:dyDescent="0.25"/>
    <row r="196116" customFormat="1" x14ac:dyDescent="0.25"/>
    <row r="196117" customFormat="1" x14ac:dyDescent="0.25"/>
    <row r="196118" customFormat="1" x14ac:dyDescent="0.25"/>
    <row r="196119" customFormat="1" x14ac:dyDescent="0.25"/>
    <row r="196120" customFormat="1" x14ac:dyDescent="0.25"/>
    <row r="196121" customFormat="1" x14ac:dyDescent="0.25"/>
    <row r="196122" customFormat="1" x14ac:dyDescent="0.25"/>
    <row r="196123" customFormat="1" x14ac:dyDescent="0.25"/>
    <row r="196124" customFormat="1" x14ac:dyDescent="0.25"/>
    <row r="196125" customFormat="1" x14ac:dyDescent="0.25"/>
    <row r="196126" customFormat="1" x14ac:dyDescent="0.25"/>
    <row r="196127" customFormat="1" x14ac:dyDescent="0.25"/>
    <row r="196128" customFormat="1" x14ac:dyDescent="0.25"/>
    <row r="196129" customFormat="1" x14ac:dyDescent="0.25"/>
    <row r="196130" customFormat="1" x14ac:dyDescent="0.25"/>
    <row r="196131" customFormat="1" x14ac:dyDescent="0.25"/>
    <row r="196132" customFormat="1" x14ac:dyDescent="0.25"/>
    <row r="196133" customFormat="1" x14ac:dyDescent="0.25"/>
    <row r="196134" customFormat="1" x14ac:dyDescent="0.25"/>
    <row r="196135" customFormat="1" x14ac:dyDescent="0.25"/>
    <row r="196136" customFormat="1" x14ac:dyDescent="0.25"/>
    <row r="196137" customFormat="1" x14ac:dyDescent="0.25"/>
    <row r="196138" customFormat="1" x14ac:dyDescent="0.25"/>
    <row r="196139" customFormat="1" x14ac:dyDescent="0.25"/>
    <row r="196140" customFormat="1" x14ac:dyDescent="0.25"/>
    <row r="196141" customFormat="1" x14ac:dyDescent="0.25"/>
    <row r="196142" customFormat="1" x14ac:dyDescent="0.25"/>
    <row r="196143" customFormat="1" x14ac:dyDescent="0.25"/>
    <row r="196144" customFormat="1" x14ac:dyDescent="0.25"/>
    <row r="196145" customFormat="1" x14ac:dyDescent="0.25"/>
    <row r="196146" customFormat="1" x14ac:dyDescent="0.25"/>
    <row r="196147" customFormat="1" x14ac:dyDescent="0.25"/>
    <row r="196148" customFormat="1" x14ac:dyDescent="0.25"/>
    <row r="196149" customFormat="1" x14ac:dyDescent="0.25"/>
    <row r="196150" customFormat="1" x14ac:dyDescent="0.25"/>
    <row r="196151" customFormat="1" x14ac:dyDescent="0.25"/>
    <row r="196152" customFormat="1" x14ac:dyDescent="0.25"/>
    <row r="196153" customFormat="1" x14ac:dyDescent="0.25"/>
    <row r="196154" customFormat="1" x14ac:dyDescent="0.25"/>
    <row r="196155" customFormat="1" x14ac:dyDescent="0.25"/>
    <row r="196156" customFormat="1" x14ac:dyDescent="0.25"/>
    <row r="196157" customFormat="1" x14ac:dyDescent="0.25"/>
    <row r="196158" customFormat="1" x14ac:dyDescent="0.25"/>
    <row r="196159" customFormat="1" x14ac:dyDescent="0.25"/>
    <row r="196160" customFormat="1" x14ac:dyDescent="0.25"/>
    <row r="196161" customFormat="1" x14ac:dyDescent="0.25"/>
    <row r="196162" customFormat="1" x14ac:dyDescent="0.25"/>
    <row r="196163" customFormat="1" x14ac:dyDescent="0.25"/>
    <row r="196164" customFormat="1" x14ac:dyDescent="0.25"/>
    <row r="196165" customFormat="1" x14ac:dyDescent="0.25"/>
    <row r="196166" customFormat="1" x14ac:dyDescent="0.25"/>
    <row r="196167" customFormat="1" x14ac:dyDescent="0.25"/>
    <row r="196168" customFormat="1" x14ac:dyDescent="0.25"/>
    <row r="196169" customFormat="1" x14ac:dyDescent="0.25"/>
    <row r="196170" customFormat="1" x14ac:dyDescent="0.25"/>
    <row r="196171" customFormat="1" x14ac:dyDescent="0.25"/>
    <row r="196172" customFormat="1" x14ac:dyDescent="0.25"/>
    <row r="196173" customFormat="1" x14ac:dyDescent="0.25"/>
    <row r="196174" customFormat="1" x14ac:dyDescent="0.25"/>
    <row r="196175" customFormat="1" x14ac:dyDescent="0.25"/>
    <row r="196176" customFormat="1" x14ac:dyDescent="0.25"/>
    <row r="196177" customFormat="1" x14ac:dyDescent="0.25"/>
    <row r="196178" customFormat="1" x14ac:dyDescent="0.25"/>
    <row r="196179" customFormat="1" x14ac:dyDescent="0.25"/>
    <row r="196180" customFormat="1" x14ac:dyDescent="0.25"/>
    <row r="196181" customFormat="1" x14ac:dyDescent="0.25"/>
    <row r="196182" customFormat="1" x14ac:dyDescent="0.25"/>
    <row r="196183" customFormat="1" x14ac:dyDescent="0.25"/>
    <row r="196184" customFormat="1" x14ac:dyDescent="0.25"/>
    <row r="196185" customFormat="1" x14ac:dyDescent="0.25"/>
    <row r="196186" customFormat="1" x14ac:dyDescent="0.25"/>
    <row r="196187" customFormat="1" x14ac:dyDescent="0.25"/>
    <row r="196188" customFormat="1" x14ac:dyDescent="0.25"/>
    <row r="196189" customFormat="1" x14ac:dyDescent="0.25"/>
    <row r="196190" customFormat="1" x14ac:dyDescent="0.25"/>
    <row r="196191" customFormat="1" x14ac:dyDescent="0.25"/>
    <row r="196192" customFormat="1" x14ac:dyDescent="0.25"/>
    <row r="196193" customFormat="1" x14ac:dyDescent="0.25"/>
    <row r="196194" customFormat="1" x14ac:dyDescent="0.25"/>
    <row r="196195" customFormat="1" x14ac:dyDescent="0.25"/>
    <row r="196196" customFormat="1" x14ac:dyDescent="0.25"/>
    <row r="196197" customFormat="1" x14ac:dyDescent="0.25"/>
    <row r="196198" customFormat="1" x14ac:dyDescent="0.25"/>
    <row r="196199" customFormat="1" x14ac:dyDescent="0.25"/>
    <row r="196200" customFormat="1" x14ac:dyDescent="0.25"/>
    <row r="196201" customFormat="1" x14ac:dyDescent="0.25"/>
    <row r="196202" customFormat="1" x14ac:dyDescent="0.25"/>
    <row r="196203" customFormat="1" x14ac:dyDescent="0.25"/>
    <row r="196204" customFormat="1" x14ac:dyDescent="0.25"/>
    <row r="196205" customFormat="1" x14ac:dyDescent="0.25"/>
    <row r="196206" customFormat="1" x14ac:dyDescent="0.25"/>
    <row r="196207" customFormat="1" x14ac:dyDescent="0.25"/>
    <row r="196208" customFormat="1" x14ac:dyDescent="0.25"/>
    <row r="196209" customFormat="1" x14ac:dyDescent="0.25"/>
    <row r="196210" customFormat="1" x14ac:dyDescent="0.25"/>
    <row r="196211" customFormat="1" x14ac:dyDescent="0.25"/>
    <row r="196212" customFormat="1" x14ac:dyDescent="0.25"/>
    <row r="196213" customFormat="1" x14ac:dyDescent="0.25"/>
    <row r="196214" customFormat="1" x14ac:dyDescent="0.25"/>
    <row r="196215" customFormat="1" x14ac:dyDescent="0.25"/>
    <row r="196216" customFormat="1" x14ac:dyDescent="0.25"/>
    <row r="196217" customFormat="1" x14ac:dyDescent="0.25"/>
    <row r="196218" customFormat="1" x14ac:dyDescent="0.25"/>
    <row r="196219" customFormat="1" x14ac:dyDescent="0.25"/>
    <row r="196220" customFormat="1" x14ac:dyDescent="0.25"/>
    <row r="196221" customFormat="1" x14ac:dyDescent="0.25"/>
    <row r="196222" customFormat="1" x14ac:dyDescent="0.25"/>
    <row r="196223" customFormat="1" x14ac:dyDescent="0.25"/>
    <row r="196224" customFormat="1" x14ac:dyDescent="0.25"/>
    <row r="196225" customFormat="1" x14ac:dyDescent="0.25"/>
    <row r="196226" customFormat="1" x14ac:dyDescent="0.25"/>
    <row r="196227" customFormat="1" x14ac:dyDescent="0.25"/>
    <row r="196228" customFormat="1" x14ac:dyDescent="0.25"/>
    <row r="196229" customFormat="1" x14ac:dyDescent="0.25"/>
    <row r="196230" customFormat="1" x14ac:dyDescent="0.25"/>
    <row r="196231" customFormat="1" x14ac:dyDescent="0.25"/>
    <row r="196232" customFormat="1" x14ac:dyDescent="0.25"/>
    <row r="196233" customFormat="1" x14ac:dyDescent="0.25"/>
    <row r="196234" customFormat="1" x14ac:dyDescent="0.25"/>
    <row r="196235" customFormat="1" x14ac:dyDescent="0.25"/>
    <row r="196236" customFormat="1" x14ac:dyDescent="0.25"/>
    <row r="196237" customFormat="1" x14ac:dyDescent="0.25"/>
    <row r="196238" customFormat="1" x14ac:dyDescent="0.25"/>
    <row r="196239" customFormat="1" x14ac:dyDescent="0.25"/>
    <row r="196240" customFormat="1" x14ac:dyDescent="0.25"/>
    <row r="196241" customFormat="1" x14ac:dyDescent="0.25"/>
    <row r="196242" customFormat="1" x14ac:dyDescent="0.25"/>
    <row r="196243" customFormat="1" x14ac:dyDescent="0.25"/>
    <row r="196244" customFormat="1" x14ac:dyDescent="0.25"/>
    <row r="196245" customFormat="1" x14ac:dyDescent="0.25"/>
    <row r="196246" customFormat="1" x14ac:dyDescent="0.25"/>
    <row r="196247" customFormat="1" x14ac:dyDescent="0.25"/>
    <row r="196248" customFormat="1" x14ac:dyDescent="0.25"/>
    <row r="196249" customFormat="1" x14ac:dyDescent="0.25"/>
    <row r="196250" customFormat="1" x14ac:dyDescent="0.25"/>
    <row r="196251" customFormat="1" x14ac:dyDescent="0.25"/>
    <row r="196252" customFormat="1" x14ac:dyDescent="0.25"/>
    <row r="196253" customFormat="1" x14ac:dyDescent="0.25"/>
    <row r="196254" customFormat="1" x14ac:dyDescent="0.25"/>
    <row r="196255" customFormat="1" x14ac:dyDescent="0.25"/>
    <row r="196256" customFormat="1" x14ac:dyDescent="0.25"/>
    <row r="196257" customFormat="1" x14ac:dyDescent="0.25"/>
    <row r="196258" customFormat="1" x14ac:dyDescent="0.25"/>
    <row r="196259" customFormat="1" x14ac:dyDescent="0.25"/>
    <row r="196260" customFormat="1" x14ac:dyDescent="0.25"/>
    <row r="196261" customFormat="1" x14ac:dyDescent="0.25"/>
    <row r="196262" customFormat="1" x14ac:dyDescent="0.25"/>
    <row r="196263" customFormat="1" x14ac:dyDescent="0.25"/>
    <row r="196264" customFormat="1" x14ac:dyDescent="0.25"/>
    <row r="196265" customFormat="1" x14ac:dyDescent="0.25"/>
    <row r="196266" customFormat="1" x14ac:dyDescent="0.25"/>
    <row r="196267" customFormat="1" x14ac:dyDescent="0.25"/>
    <row r="196268" customFormat="1" x14ac:dyDescent="0.25"/>
    <row r="196269" customFormat="1" x14ac:dyDescent="0.25"/>
    <row r="196270" customFormat="1" x14ac:dyDescent="0.25"/>
    <row r="196271" customFormat="1" x14ac:dyDescent="0.25"/>
    <row r="196272" customFormat="1" x14ac:dyDescent="0.25"/>
    <row r="196273" customFormat="1" x14ac:dyDescent="0.25"/>
    <row r="196274" customFormat="1" x14ac:dyDescent="0.25"/>
    <row r="196275" customFormat="1" x14ac:dyDescent="0.25"/>
    <row r="196276" customFormat="1" x14ac:dyDescent="0.25"/>
    <row r="196277" customFormat="1" x14ac:dyDescent="0.25"/>
    <row r="196278" customFormat="1" x14ac:dyDescent="0.25"/>
    <row r="196279" customFormat="1" x14ac:dyDescent="0.25"/>
    <row r="196280" customFormat="1" x14ac:dyDescent="0.25"/>
    <row r="196281" customFormat="1" x14ac:dyDescent="0.25"/>
    <row r="196282" customFormat="1" x14ac:dyDescent="0.25"/>
    <row r="196283" customFormat="1" x14ac:dyDescent="0.25"/>
    <row r="196284" customFormat="1" x14ac:dyDescent="0.25"/>
    <row r="196285" customFormat="1" x14ac:dyDescent="0.25"/>
    <row r="196286" customFormat="1" x14ac:dyDescent="0.25"/>
    <row r="196287" customFormat="1" x14ac:dyDescent="0.25"/>
    <row r="196288" customFormat="1" x14ac:dyDescent="0.25"/>
    <row r="196289" customFormat="1" x14ac:dyDescent="0.25"/>
    <row r="196290" customFormat="1" x14ac:dyDescent="0.25"/>
    <row r="196291" customFormat="1" x14ac:dyDescent="0.25"/>
    <row r="196292" customFormat="1" x14ac:dyDescent="0.25"/>
    <row r="196293" customFormat="1" x14ac:dyDescent="0.25"/>
    <row r="196294" customFormat="1" x14ac:dyDescent="0.25"/>
    <row r="196295" customFormat="1" x14ac:dyDescent="0.25"/>
    <row r="196296" customFormat="1" x14ac:dyDescent="0.25"/>
    <row r="196297" customFormat="1" x14ac:dyDescent="0.25"/>
    <row r="196298" customFormat="1" x14ac:dyDescent="0.25"/>
    <row r="196299" customFormat="1" x14ac:dyDescent="0.25"/>
    <row r="196300" customFormat="1" x14ac:dyDescent="0.25"/>
    <row r="196301" customFormat="1" x14ac:dyDescent="0.25"/>
    <row r="196302" customFormat="1" x14ac:dyDescent="0.25"/>
    <row r="196303" customFormat="1" x14ac:dyDescent="0.25"/>
    <row r="196304" customFormat="1" x14ac:dyDescent="0.25"/>
    <row r="196305" customFormat="1" x14ac:dyDescent="0.25"/>
    <row r="196306" customFormat="1" x14ac:dyDescent="0.25"/>
    <row r="196307" customFormat="1" x14ac:dyDescent="0.25"/>
    <row r="196308" customFormat="1" x14ac:dyDescent="0.25"/>
    <row r="196309" customFormat="1" x14ac:dyDescent="0.25"/>
    <row r="196310" customFormat="1" x14ac:dyDescent="0.25"/>
    <row r="196311" customFormat="1" x14ac:dyDescent="0.25"/>
    <row r="196312" customFormat="1" x14ac:dyDescent="0.25"/>
    <row r="196313" customFormat="1" x14ac:dyDescent="0.25"/>
    <row r="196314" customFormat="1" x14ac:dyDescent="0.25"/>
    <row r="196315" customFormat="1" x14ac:dyDescent="0.25"/>
    <row r="196316" customFormat="1" x14ac:dyDescent="0.25"/>
    <row r="196317" customFormat="1" x14ac:dyDescent="0.25"/>
    <row r="196318" customFormat="1" x14ac:dyDescent="0.25"/>
    <row r="196319" customFormat="1" x14ac:dyDescent="0.25"/>
    <row r="196320" customFormat="1" x14ac:dyDescent="0.25"/>
    <row r="196321" customFormat="1" x14ac:dyDescent="0.25"/>
    <row r="196322" customFormat="1" x14ac:dyDescent="0.25"/>
    <row r="196323" customFormat="1" x14ac:dyDescent="0.25"/>
    <row r="196324" customFormat="1" x14ac:dyDescent="0.25"/>
    <row r="196325" customFormat="1" x14ac:dyDescent="0.25"/>
    <row r="196326" customFormat="1" x14ac:dyDescent="0.25"/>
    <row r="196327" customFormat="1" x14ac:dyDescent="0.25"/>
    <row r="196328" customFormat="1" x14ac:dyDescent="0.25"/>
    <row r="196329" customFormat="1" x14ac:dyDescent="0.25"/>
    <row r="196330" customFormat="1" x14ac:dyDescent="0.25"/>
    <row r="196331" customFormat="1" x14ac:dyDescent="0.25"/>
    <row r="196332" customFormat="1" x14ac:dyDescent="0.25"/>
    <row r="196333" customFormat="1" x14ac:dyDescent="0.25"/>
    <row r="196334" customFormat="1" x14ac:dyDescent="0.25"/>
    <row r="196335" customFormat="1" x14ac:dyDescent="0.25"/>
    <row r="196336" customFormat="1" x14ac:dyDescent="0.25"/>
    <row r="196337" customFormat="1" x14ac:dyDescent="0.25"/>
    <row r="196338" customFormat="1" x14ac:dyDescent="0.25"/>
    <row r="196339" customFormat="1" x14ac:dyDescent="0.25"/>
    <row r="196340" customFormat="1" x14ac:dyDescent="0.25"/>
    <row r="196341" customFormat="1" x14ac:dyDescent="0.25"/>
    <row r="196342" customFormat="1" x14ac:dyDescent="0.25"/>
    <row r="196343" customFormat="1" x14ac:dyDescent="0.25"/>
    <row r="196344" customFormat="1" x14ac:dyDescent="0.25"/>
    <row r="196345" customFormat="1" x14ac:dyDescent="0.25"/>
    <row r="196346" customFormat="1" x14ac:dyDescent="0.25"/>
    <row r="196347" customFormat="1" x14ac:dyDescent="0.25"/>
    <row r="196348" customFormat="1" x14ac:dyDescent="0.25"/>
    <row r="196349" customFormat="1" x14ac:dyDescent="0.25"/>
    <row r="196350" customFormat="1" x14ac:dyDescent="0.25"/>
    <row r="196351" customFormat="1" x14ac:dyDescent="0.25"/>
    <row r="196352" customFormat="1" x14ac:dyDescent="0.25"/>
    <row r="196353" customFormat="1" x14ac:dyDescent="0.25"/>
    <row r="196354" customFormat="1" x14ac:dyDescent="0.25"/>
    <row r="196355" customFormat="1" x14ac:dyDescent="0.25"/>
    <row r="196356" customFormat="1" x14ac:dyDescent="0.25"/>
    <row r="196357" customFormat="1" x14ac:dyDescent="0.25"/>
    <row r="196358" customFormat="1" x14ac:dyDescent="0.25"/>
    <row r="196359" customFormat="1" x14ac:dyDescent="0.25"/>
    <row r="196360" customFormat="1" x14ac:dyDescent="0.25"/>
    <row r="196361" customFormat="1" x14ac:dyDescent="0.25"/>
    <row r="196362" customFormat="1" x14ac:dyDescent="0.25"/>
    <row r="196363" customFormat="1" x14ac:dyDescent="0.25"/>
    <row r="196364" customFormat="1" x14ac:dyDescent="0.25"/>
    <row r="196365" customFormat="1" x14ac:dyDescent="0.25"/>
    <row r="196366" customFormat="1" x14ac:dyDescent="0.25"/>
    <row r="196367" customFormat="1" x14ac:dyDescent="0.25"/>
    <row r="196368" customFormat="1" x14ac:dyDescent="0.25"/>
    <row r="196369" customFormat="1" x14ac:dyDescent="0.25"/>
    <row r="196370" customFormat="1" x14ac:dyDescent="0.25"/>
    <row r="196371" customFormat="1" x14ac:dyDescent="0.25"/>
    <row r="196372" customFormat="1" x14ac:dyDescent="0.25"/>
    <row r="196373" customFormat="1" x14ac:dyDescent="0.25"/>
    <row r="196374" customFormat="1" x14ac:dyDescent="0.25"/>
    <row r="196375" customFormat="1" x14ac:dyDescent="0.25"/>
    <row r="196376" customFormat="1" x14ac:dyDescent="0.25"/>
    <row r="196377" customFormat="1" x14ac:dyDescent="0.25"/>
    <row r="196378" customFormat="1" x14ac:dyDescent="0.25"/>
    <row r="196379" customFormat="1" x14ac:dyDescent="0.25"/>
    <row r="196380" customFormat="1" x14ac:dyDescent="0.25"/>
    <row r="196381" customFormat="1" x14ac:dyDescent="0.25"/>
    <row r="196382" customFormat="1" x14ac:dyDescent="0.25"/>
    <row r="196383" customFormat="1" x14ac:dyDescent="0.25"/>
    <row r="196384" customFormat="1" x14ac:dyDescent="0.25"/>
    <row r="196385" customFormat="1" x14ac:dyDescent="0.25"/>
    <row r="196386" customFormat="1" x14ac:dyDescent="0.25"/>
    <row r="196387" customFormat="1" x14ac:dyDescent="0.25"/>
    <row r="196388" customFormat="1" x14ac:dyDescent="0.25"/>
    <row r="196389" customFormat="1" x14ac:dyDescent="0.25"/>
    <row r="196390" customFormat="1" x14ac:dyDescent="0.25"/>
    <row r="196391" customFormat="1" x14ac:dyDescent="0.25"/>
    <row r="196392" customFormat="1" x14ac:dyDescent="0.25"/>
    <row r="196393" customFormat="1" x14ac:dyDescent="0.25"/>
    <row r="196394" customFormat="1" x14ac:dyDescent="0.25"/>
    <row r="196395" customFormat="1" x14ac:dyDescent="0.25"/>
    <row r="196396" customFormat="1" x14ac:dyDescent="0.25"/>
    <row r="196397" customFormat="1" x14ac:dyDescent="0.25"/>
    <row r="196398" customFormat="1" x14ac:dyDescent="0.25"/>
    <row r="196399" customFormat="1" x14ac:dyDescent="0.25"/>
    <row r="196400" customFormat="1" x14ac:dyDescent="0.25"/>
    <row r="196401" customFormat="1" x14ac:dyDescent="0.25"/>
    <row r="196402" customFormat="1" x14ac:dyDescent="0.25"/>
    <row r="196403" customFormat="1" x14ac:dyDescent="0.25"/>
    <row r="196404" customFormat="1" x14ac:dyDescent="0.25"/>
    <row r="196405" customFormat="1" x14ac:dyDescent="0.25"/>
    <row r="196406" customFormat="1" x14ac:dyDescent="0.25"/>
    <row r="196407" customFormat="1" x14ac:dyDescent="0.25"/>
    <row r="196408" customFormat="1" x14ac:dyDescent="0.25"/>
    <row r="196409" customFormat="1" x14ac:dyDescent="0.25"/>
    <row r="196410" customFormat="1" x14ac:dyDescent="0.25"/>
    <row r="196411" customFormat="1" x14ac:dyDescent="0.25"/>
    <row r="196412" customFormat="1" x14ac:dyDescent="0.25"/>
    <row r="196413" customFormat="1" x14ac:dyDescent="0.25"/>
    <row r="196414" customFormat="1" x14ac:dyDescent="0.25"/>
    <row r="196415" customFormat="1" x14ac:dyDescent="0.25"/>
    <row r="196416" customFormat="1" x14ac:dyDescent="0.25"/>
    <row r="196417" customFormat="1" x14ac:dyDescent="0.25"/>
    <row r="196418" customFormat="1" x14ac:dyDescent="0.25"/>
    <row r="196419" customFormat="1" x14ac:dyDescent="0.25"/>
    <row r="196420" customFormat="1" x14ac:dyDescent="0.25"/>
    <row r="196421" customFormat="1" x14ac:dyDescent="0.25"/>
    <row r="196422" customFormat="1" x14ac:dyDescent="0.25"/>
    <row r="196423" customFormat="1" x14ac:dyDescent="0.25"/>
    <row r="196424" customFormat="1" x14ac:dyDescent="0.25"/>
    <row r="196425" customFormat="1" x14ac:dyDescent="0.25"/>
    <row r="196426" customFormat="1" x14ac:dyDescent="0.25"/>
    <row r="196427" customFormat="1" x14ac:dyDescent="0.25"/>
    <row r="196428" customFormat="1" x14ac:dyDescent="0.25"/>
    <row r="196429" customFormat="1" x14ac:dyDescent="0.25"/>
    <row r="196430" customFormat="1" x14ac:dyDescent="0.25"/>
    <row r="196431" customFormat="1" x14ac:dyDescent="0.25"/>
    <row r="196432" customFormat="1" x14ac:dyDescent="0.25"/>
    <row r="196433" customFormat="1" x14ac:dyDescent="0.25"/>
    <row r="196434" customFormat="1" x14ac:dyDescent="0.25"/>
    <row r="196435" customFormat="1" x14ac:dyDescent="0.25"/>
    <row r="196436" customFormat="1" x14ac:dyDescent="0.25"/>
    <row r="196437" customFormat="1" x14ac:dyDescent="0.25"/>
    <row r="196438" customFormat="1" x14ac:dyDescent="0.25"/>
    <row r="196439" customFormat="1" x14ac:dyDescent="0.25"/>
    <row r="196440" customFormat="1" x14ac:dyDescent="0.25"/>
    <row r="196441" customFormat="1" x14ac:dyDescent="0.25"/>
    <row r="196442" customFormat="1" x14ac:dyDescent="0.25"/>
    <row r="196443" customFormat="1" x14ac:dyDescent="0.25"/>
    <row r="196444" customFormat="1" x14ac:dyDescent="0.25"/>
    <row r="196445" customFormat="1" x14ac:dyDescent="0.25"/>
    <row r="196446" customFormat="1" x14ac:dyDescent="0.25"/>
    <row r="196447" customFormat="1" x14ac:dyDescent="0.25"/>
    <row r="196448" customFormat="1" x14ac:dyDescent="0.25"/>
    <row r="196449" customFormat="1" x14ac:dyDescent="0.25"/>
    <row r="196450" customFormat="1" x14ac:dyDescent="0.25"/>
    <row r="196451" customFormat="1" x14ac:dyDescent="0.25"/>
    <row r="196452" customFormat="1" x14ac:dyDescent="0.25"/>
    <row r="196453" customFormat="1" x14ac:dyDescent="0.25"/>
    <row r="196454" customFormat="1" x14ac:dyDescent="0.25"/>
    <row r="196455" customFormat="1" x14ac:dyDescent="0.25"/>
    <row r="196456" customFormat="1" x14ac:dyDescent="0.25"/>
    <row r="196457" customFormat="1" x14ac:dyDescent="0.25"/>
    <row r="196458" customFormat="1" x14ac:dyDescent="0.25"/>
    <row r="196459" customFormat="1" x14ac:dyDescent="0.25"/>
    <row r="196460" customFormat="1" x14ac:dyDescent="0.25"/>
    <row r="196461" customFormat="1" x14ac:dyDescent="0.25"/>
    <row r="196462" customFormat="1" x14ac:dyDescent="0.25"/>
    <row r="196463" customFormat="1" x14ac:dyDescent="0.25"/>
    <row r="196464" customFormat="1" x14ac:dyDescent="0.25"/>
    <row r="196465" customFormat="1" x14ac:dyDescent="0.25"/>
    <row r="196466" customFormat="1" x14ac:dyDescent="0.25"/>
    <row r="196467" customFormat="1" x14ac:dyDescent="0.25"/>
    <row r="196468" customFormat="1" x14ac:dyDescent="0.25"/>
    <row r="196469" customFormat="1" x14ac:dyDescent="0.25"/>
    <row r="196470" customFormat="1" x14ac:dyDescent="0.25"/>
    <row r="196471" customFormat="1" x14ac:dyDescent="0.25"/>
    <row r="196472" customFormat="1" x14ac:dyDescent="0.25"/>
    <row r="196473" customFormat="1" x14ac:dyDescent="0.25"/>
    <row r="196474" customFormat="1" x14ac:dyDescent="0.25"/>
    <row r="196475" customFormat="1" x14ac:dyDescent="0.25"/>
    <row r="196476" customFormat="1" x14ac:dyDescent="0.25"/>
    <row r="196477" customFormat="1" x14ac:dyDescent="0.25"/>
    <row r="196478" customFormat="1" x14ac:dyDescent="0.25"/>
    <row r="196479" customFormat="1" x14ac:dyDescent="0.25"/>
    <row r="196480" customFormat="1" x14ac:dyDescent="0.25"/>
    <row r="196481" customFormat="1" x14ac:dyDescent="0.25"/>
    <row r="196482" customFormat="1" x14ac:dyDescent="0.25"/>
    <row r="196483" customFormat="1" x14ac:dyDescent="0.25"/>
    <row r="196484" customFormat="1" x14ac:dyDescent="0.25"/>
    <row r="196485" customFormat="1" x14ac:dyDescent="0.25"/>
    <row r="196486" customFormat="1" x14ac:dyDescent="0.25"/>
    <row r="196487" customFormat="1" x14ac:dyDescent="0.25"/>
    <row r="196488" customFormat="1" x14ac:dyDescent="0.25"/>
    <row r="196489" customFormat="1" x14ac:dyDescent="0.25"/>
    <row r="196490" customFormat="1" x14ac:dyDescent="0.25"/>
    <row r="196491" customFormat="1" x14ac:dyDescent="0.25"/>
    <row r="196492" customFormat="1" x14ac:dyDescent="0.25"/>
    <row r="196493" customFormat="1" x14ac:dyDescent="0.25"/>
    <row r="196494" customFormat="1" x14ac:dyDescent="0.25"/>
    <row r="196495" customFormat="1" x14ac:dyDescent="0.25"/>
    <row r="196496" customFormat="1" x14ac:dyDescent="0.25"/>
    <row r="196497" customFormat="1" x14ac:dyDescent="0.25"/>
    <row r="196498" customFormat="1" x14ac:dyDescent="0.25"/>
    <row r="196499" customFormat="1" x14ac:dyDescent="0.25"/>
    <row r="196500" customFormat="1" x14ac:dyDescent="0.25"/>
    <row r="196501" customFormat="1" x14ac:dyDescent="0.25"/>
    <row r="196502" customFormat="1" x14ac:dyDescent="0.25"/>
    <row r="196503" customFormat="1" x14ac:dyDescent="0.25"/>
    <row r="196504" customFormat="1" x14ac:dyDescent="0.25"/>
    <row r="196505" customFormat="1" x14ac:dyDescent="0.25"/>
    <row r="196506" customFormat="1" x14ac:dyDescent="0.25"/>
    <row r="196507" customFormat="1" x14ac:dyDescent="0.25"/>
    <row r="196508" customFormat="1" x14ac:dyDescent="0.25"/>
    <row r="196509" customFormat="1" x14ac:dyDescent="0.25"/>
    <row r="196510" customFormat="1" x14ac:dyDescent="0.25"/>
    <row r="196511" customFormat="1" x14ac:dyDescent="0.25"/>
    <row r="196512" customFormat="1" x14ac:dyDescent="0.25"/>
    <row r="196513" customFormat="1" x14ac:dyDescent="0.25"/>
    <row r="196514" customFormat="1" x14ac:dyDescent="0.25"/>
    <row r="196515" customFormat="1" x14ac:dyDescent="0.25"/>
    <row r="196516" customFormat="1" x14ac:dyDescent="0.25"/>
    <row r="196517" customFormat="1" x14ac:dyDescent="0.25"/>
    <row r="196518" customFormat="1" x14ac:dyDescent="0.25"/>
    <row r="196519" customFormat="1" x14ac:dyDescent="0.25"/>
    <row r="196520" customFormat="1" x14ac:dyDescent="0.25"/>
    <row r="196521" customFormat="1" x14ac:dyDescent="0.25"/>
    <row r="196522" customFormat="1" x14ac:dyDescent="0.25"/>
    <row r="196523" customFormat="1" x14ac:dyDescent="0.25"/>
    <row r="196524" customFormat="1" x14ac:dyDescent="0.25"/>
    <row r="196525" customFormat="1" x14ac:dyDescent="0.25"/>
    <row r="196526" customFormat="1" x14ac:dyDescent="0.25"/>
    <row r="196527" customFormat="1" x14ac:dyDescent="0.25"/>
    <row r="196528" customFormat="1" x14ac:dyDescent="0.25"/>
    <row r="196529" customFormat="1" x14ac:dyDescent="0.25"/>
    <row r="196530" customFormat="1" x14ac:dyDescent="0.25"/>
    <row r="196531" customFormat="1" x14ac:dyDescent="0.25"/>
    <row r="196532" customFormat="1" x14ac:dyDescent="0.25"/>
    <row r="196533" customFormat="1" x14ac:dyDescent="0.25"/>
    <row r="196534" customFormat="1" x14ac:dyDescent="0.25"/>
    <row r="196535" customFormat="1" x14ac:dyDescent="0.25"/>
    <row r="196536" customFormat="1" x14ac:dyDescent="0.25"/>
    <row r="196537" customFormat="1" x14ac:dyDescent="0.25"/>
    <row r="196538" customFormat="1" x14ac:dyDescent="0.25"/>
    <row r="196539" customFormat="1" x14ac:dyDescent="0.25"/>
    <row r="196540" customFormat="1" x14ac:dyDescent="0.25"/>
    <row r="196541" customFormat="1" x14ac:dyDescent="0.25"/>
    <row r="196542" customFormat="1" x14ac:dyDescent="0.25"/>
    <row r="196543" customFormat="1" x14ac:dyDescent="0.25"/>
    <row r="196544" customFormat="1" x14ac:dyDescent="0.25"/>
    <row r="196545" customFormat="1" x14ac:dyDescent="0.25"/>
    <row r="196546" customFormat="1" x14ac:dyDescent="0.25"/>
    <row r="196547" customFormat="1" x14ac:dyDescent="0.25"/>
    <row r="196548" customFormat="1" x14ac:dyDescent="0.25"/>
    <row r="196549" customFormat="1" x14ac:dyDescent="0.25"/>
    <row r="196550" customFormat="1" x14ac:dyDescent="0.25"/>
    <row r="196551" customFormat="1" x14ac:dyDescent="0.25"/>
    <row r="196552" customFormat="1" x14ac:dyDescent="0.25"/>
    <row r="196553" customFormat="1" x14ac:dyDescent="0.25"/>
    <row r="196554" customFormat="1" x14ac:dyDescent="0.25"/>
    <row r="196555" customFormat="1" x14ac:dyDescent="0.25"/>
    <row r="196556" customFormat="1" x14ac:dyDescent="0.25"/>
    <row r="196557" customFormat="1" x14ac:dyDescent="0.25"/>
    <row r="196558" customFormat="1" x14ac:dyDescent="0.25"/>
    <row r="196559" customFormat="1" x14ac:dyDescent="0.25"/>
    <row r="196560" customFormat="1" x14ac:dyDescent="0.25"/>
    <row r="196561" customFormat="1" x14ac:dyDescent="0.25"/>
    <row r="196562" customFormat="1" x14ac:dyDescent="0.25"/>
    <row r="196563" customFormat="1" x14ac:dyDescent="0.25"/>
    <row r="196564" customFormat="1" x14ac:dyDescent="0.25"/>
    <row r="196565" customFormat="1" x14ac:dyDescent="0.25"/>
    <row r="196566" customFormat="1" x14ac:dyDescent="0.25"/>
    <row r="196567" customFormat="1" x14ac:dyDescent="0.25"/>
    <row r="196568" customFormat="1" x14ac:dyDescent="0.25"/>
    <row r="196569" customFormat="1" x14ac:dyDescent="0.25"/>
    <row r="196570" customFormat="1" x14ac:dyDescent="0.25"/>
    <row r="196571" customFormat="1" x14ac:dyDescent="0.25"/>
    <row r="196572" customFormat="1" x14ac:dyDescent="0.25"/>
    <row r="196573" customFormat="1" x14ac:dyDescent="0.25"/>
    <row r="196574" customFormat="1" x14ac:dyDescent="0.25"/>
    <row r="196575" customFormat="1" x14ac:dyDescent="0.25"/>
    <row r="196576" customFormat="1" x14ac:dyDescent="0.25"/>
    <row r="196577" customFormat="1" x14ac:dyDescent="0.25"/>
    <row r="196578" customFormat="1" x14ac:dyDescent="0.25"/>
    <row r="196579" customFormat="1" x14ac:dyDescent="0.25"/>
    <row r="196580" customFormat="1" x14ac:dyDescent="0.25"/>
    <row r="196581" customFormat="1" x14ac:dyDescent="0.25"/>
    <row r="196582" customFormat="1" x14ac:dyDescent="0.25"/>
    <row r="196583" customFormat="1" x14ac:dyDescent="0.25"/>
    <row r="196584" customFormat="1" x14ac:dyDescent="0.25"/>
    <row r="196585" customFormat="1" x14ac:dyDescent="0.25"/>
    <row r="196586" customFormat="1" x14ac:dyDescent="0.25"/>
    <row r="196587" customFormat="1" x14ac:dyDescent="0.25"/>
    <row r="196588" customFormat="1" x14ac:dyDescent="0.25"/>
    <row r="196589" customFormat="1" x14ac:dyDescent="0.25"/>
    <row r="196590" customFormat="1" x14ac:dyDescent="0.25"/>
    <row r="196591" customFormat="1" x14ac:dyDescent="0.25"/>
    <row r="196592" customFormat="1" x14ac:dyDescent="0.25"/>
    <row r="196593" customFormat="1" x14ac:dyDescent="0.25"/>
    <row r="196594" customFormat="1" x14ac:dyDescent="0.25"/>
    <row r="196595" customFormat="1" x14ac:dyDescent="0.25"/>
    <row r="196596" customFormat="1" x14ac:dyDescent="0.25"/>
    <row r="196597" customFormat="1" x14ac:dyDescent="0.25"/>
    <row r="196598" customFormat="1" x14ac:dyDescent="0.25"/>
    <row r="196599" customFormat="1" x14ac:dyDescent="0.25"/>
    <row r="196600" customFormat="1" x14ac:dyDescent="0.25"/>
    <row r="196601" customFormat="1" x14ac:dyDescent="0.25"/>
    <row r="196602" customFormat="1" x14ac:dyDescent="0.25"/>
    <row r="196603" customFormat="1" x14ac:dyDescent="0.25"/>
    <row r="196604" customFormat="1" x14ac:dyDescent="0.25"/>
    <row r="196605" customFormat="1" x14ac:dyDescent="0.25"/>
    <row r="196606" customFormat="1" x14ac:dyDescent="0.25"/>
    <row r="196607" customFormat="1" x14ac:dyDescent="0.25"/>
    <row r="196608" customFormat="1" x14ac:dyDescent="0.25"/>
    <row r="196609" customFormat="1" x14ac:dyDescent="0.25"/>
    <row r="196610" customFormat="1" x14ac:dyDescent="0.25"/>
    <row r="196611" customFormat="1" x14ac:dyDescent="0.25"/>
    <row r="196612" customFormat="1" x14ac:dyDescent="0.25"/>
    <row r="196613" customFormat="1" x14ac:dyDescent="0.25"/>
    <row r="196614" customFormat="1" x14ac:dyDescent="0.25"/>
    <row r="196615" customFormat="1" x14ac:dyDescent="0.25"/>
    <row r="196616" customFormat="1" x14ac:dyDescent="0.25"/>
    <row r="196617" customFormat="1" x14ac:dyDescent="0.25"/>
    <row r="196618" customFormat="1" x14ac:dyDescent="0.25"/>
    <row r="196619" customFormat="1" x14ac:dyDescent="0.25"/>
    <row r="196620" customFormat="1" x14ac:dyDescent="0.25"/>
    <row r="196621" customFormat="1" x14ac:dyDescent="0.25"/>
    <row r="196622" customFormat="1" x14ac:dyDescent="0.25"/>
    <row r="196623" customFormat="1" x14ac:dyDescent="0.25"/>
    <row r="196624" customFormat="1" x14ac:dyDescent="0.25"/>
    <row r="196625" customFormat="1" x14ac:dyDescent="0.25"/>
    <row r="196626" customFormat="1" x14ac:dyDescent="0.25"/>
    <row r="196627" customFormat="1" x14ac:dyDescent="0.25"/>
    <row r="196628" customFormat="1" x14ac:dyDescent="0.25"/>
    <row r="196629" customFormat="1" x14ac:dyDescent="0.25"/>
    <row r="196630" customFormat="1" x14ac:dyDescent="0.25"/>
    <row r="196631" customFormat="1" x14ac:dyDescent="0.25"/>
    <row r="196632" customFormat="1" x14ac:dyDescent="0.25"/>
    <row r="196633" customFormat="1" x14ac:dyDescent="0.25"/>
    <row r="196634" customFormat="1" x14ac:dyDescent="0.25"/>
    <row r="196635" customFormat="1" x14ac:dyDescent="0.25"/>
    <row r="196636" customFormat="1" x14ac:dyDescent="0.25"/>
    <row r="196637" customFormat="1" x14ac:dyDescent="0.25"/>
    <row r="196638" customFormat="1" x14ac:dyDescent="0.25"/>
    <row r="196639" customFormat="1" x14ac:dyDescent="0.25"/>
    <row r="196640" customFormat="1" x14ac:dyDescent="0.25"/>
    <row r="196641" customFormat="1" x14ac:dyDescent="0.25"/>
    <row r="196642" customFormat="1" x14ac:dyDescent="0.25"/>
    <row r="196643" customFormat="1" x14ac:dyDescent="0.25"/>
    <row r="196644" customFormat="1" x14ac:dyDescent="0.25"/>
    <row r="196645" customFormat="1" x14ac:dyDescent="0.25"/>
    <row r="196646" customFormat="1" x14ac:dyDescent="0.25"/>
    <row r="196647" customFormat="1" x14ac:dyDescent="0.25"/>
    <row r="196648" customFormat="1" x14ac:dyDescent="0.25"/>
    <row r="196649" customFormat="1" x14ac:dyDescent="0.25"/>
    <row r="196650" customFormat="1" x14ac:dyDescent="0.25"/>
    <row r="196651" customFormat="1" x14ac:dyDescent="0.25"/>
    <row r="196652" customFormat="1" x14ac:dyDescent="0.25"/>
    <row r="196653" customFormat="1" x14ac:dyDescent="0.25"/>
    <row r="196654" customFormat="1" x14ac:dyDescent="0.25"/>
    <row r="196655" customFormat="1" x14ac:dyDescent="0.25"/>
    <row r="196656" customFormat="1" x14ac:dyDescent="0.25"/>
    <row r="196657" customFormat="1" x14ac:dyDescent="0.25"/>
    <row r="196658" customFormat="1" x14ac:dyDescent="0.25"/>
    <row r="196659" customFormat="1" x14ac:dyDescent="0.25"/>
    <row r="196660" customFormat="1" x14ac:dyDescent="0.25"/>
    <row r="196661" customFormat="1" x14ac:dyDescent="0.25"/>
    <row r="196662" customFormat="1" x14ac:dyDescent="0.25"/>
    <row r="196663" customFormat="1" x14ac:dyDescent="0.25"/>
    <row r="196664" customFormat="1" x14ac:dyDescent="0.25"/>
    <row r="196665" customFormat="1" x14ac:dyDescent="0.25"/>
    <row r="196666" customFormat="1" x14ac:dyDescent="0.25"/>
    <row r="196667" customFormat="1" x14ac:dyDescent="0.25"/>
    <row r="196668" customFormat="1" x14ac:dyDescent="0.25"/>
    <row r="196669" customFormat="1" x14ac:dyDescent="0.25"/>
    <row r="196670" customFormat="1" x14ac:dyDescent="0.25"/>
    <row r="196671" customFormat="1" x14ac:dyDescent="0.25"/>
    <row r="196672" customFormat="1" x14ac:dyDescent="0.25"/>
    <row r="196673" customFormat="1" x14ac:dyDescent="0.25"/>
    <row r="196674" customFormat="1" x14ac:dyDescent="0.25"/>
    <row r="196675" customFormat="1" x14ac:dyDescent="0.25"/>
    <row r="196676" customFormat="1" x14ac:dyDescent="0.25"/>
    <row r="196677" customFormat="1" x14ac:dyDescent="0.25"/>
    <row r="196678" customFormat="1" x14ac:dyDescent="0.25"/>
    <row r="196679" customFormat="1" x14ac:dyDescent="0.25"/>
    <row r="196680" customFormat="1" x14ac:dyDescent="0.25"/>
    <row r="196681" customFormat="1" x14ac:dyDescent="0.25"/>
    <row r="196682" customFormat="1" x14ac:dyDescent="0.25"/>
    <row r="196683" customFormat="1" x14ac:dyDescent="0.25"/>
    <row r="196684" customFormat="1" x14ac:dyDescent="0.25"/>
    <row r="196685" customFormat="1" x14ac:dyDescent="0.25"/>
    <row r="196686" customFormat="1" x14ac:dyDescent="0.25"/>
    <row r="196687" customFormat="1" x14ac:dyDescent="0.25"/>
    <row r="196688" customFormat="1" x14ac:dyDescent="0.25"/>
    <row r="196689" customFormat="1" x14ac:dyDescent="0.25"/>
    <row r="196690" customFormat="1" x14ac:dyDescent="0.25"/>
    <row r="196691" customFormat="1" x14ac:dyDescent="0.25"/>
    <row r="196692" customFormat="1" x14ac:dyDescent="0.25"/>
    <row r="196693" customFormat="1" x14ac:dyDescent="0.25"/>
    <row r="196694" customFormat="1" x14ac:dyDescent="0.25"/>
    <row r="196695" customFormat="1" x14ac:dyDescent="0.25"/>
    <row r="196696" customFormat="1" x14ac:dyDescent="0.25"/>
    <row r="196697" customFormat="1" x14ac:dyDescent="0.25"/>
    <row r="196698" customFormat="1" x14ac:dyDescent="0.25"/>
    <row r="196699" customFormat="1" x14ac:dyDescent="0.25"/>
    <row r="196700" customFormat="1" x14ac:dyDescent="0.25"/>
    <row r="196701" customFormat="1" x14ac:dyDescent="0.25"/>
    <row r="196702" customFormat="1" x14ac:dyDescent="0.25"/>
    <row r="196703" customFormat="1" x14ac:dyDescent="0.25"/>
    <row r="196704" customFormat="1" x14ac:dyDescent="0.25"/>
    <row r="196705" customFormat="1" x14ac:dyDescent="0.25"/>
    <row r="196706" customFormat="1" x14ac:dyDescent="0.25"/>
    <row r="196707" customFormat="1" x14ac:dyDescent="0.25"/>
    <row r="196708" customFormat="1" x14ac:dyDescent="0.25"/>
    <row r="196709" customFormat="1" x14ac:dyDescent="0.25"/>
    <row r="196710" customFormat="1" x14ac:dyDescent="0.25"/>
    <row r="196711" customFormat="1" x14ac:dyDescent="0.25"/>
    <row r="196712" customFormat="1" x14ac:dyDescent="0.25"/>
    <row r="196713" customFormat="1" x14ac:dyDescent="0.25"/>
    <row r="196714" customFormat="1" x14ac:dyDescent="0.25"/>
    <row r="196715" customFormat="1" x14ac:dyDescent="0.25"/>
    <row r="196716" customFormat="1" x14ac:dyDescent="0.25"/>
    <row r="196717" customFormat="1" x14ac:dyDescent="0.25"/>
    <row r="196718" customFormat="1" x14ac:dyDescent="0.25"/>
    <row r="196719" customFormat="1" x14ac:dyDescent="0.25"/>
    <row r="196720" customFormat="1" x14ac:dyDescent="0.25"/>
    <row r="196721" customFormat="1" x14ac:dyDescent="0.25"/>
    <row r="196722" customFormat="1" x14ac:dyDescent="0.25"/>
    <row r="196723" customFormat="1" x14ac:dyDescent="0.25"/>
    <row r="196724" customFormat="1" x14ac:dyDescent="0.25"/>
    <row r="196725" customFormat="1" x14ac:dyDescent="0.25"/>
    <row r="196726" customFormat="1" x14ac:dyDescent="0.25"/>
    <row r="196727" customFormat="1" x14ac:dyDescent="0.25"/>
    <row r="196728" customFormat="1" x14ac:dyDescent="0.25"/>
    <row r="196729" customFormat="1" x14ac:dyDescent="0.25"/>
    <row r="196730" customFormat="1" x14ac:dyDescent="0.25"/>
    <row r="196731" customFormat="1" x14ac:dyDescent="0.25"/>
    <row r="196732" customFormat="1" x14ac:dyDescent="0.25"/>
    <row r="196733" customFormat="1" x14ac:dyDescent="0.25"/>
    <row r="196734" customFormat="1" x14ac:dyDescent="0.25"/>
    <row r="196735" customFormat="1" x14ac:dyDescent="0.25"/>
    <row r="196736" customFormat="1" x14ac:dyDescent="0.25"/>
    <row r="196737" customFormat="1" x14ac:dyDescent="0.25"/>
    <row r="196738" customFormat="1" x14ac:dyDescent="0.25"/>
    <row r="196739" customFormat="1" x14ac:dyDescent="0.25"/>
    <row r="196740" customFormat="1" x14ac:dyDescent="0.25"/>
    <row r="196741" customFormat="1" x14ac:dyDescent="0.25"/>
    <row r="196742" customFormat="1" x14ac:dyDescent="0.25"/>
    <row r="196743" customFormat="1" x14ac:dyDescent="0.25"/>
    <row r="196744" customFormat="1" x14ac:dyDescent="0.25"/>
    <row r="196745" customFormat="1" x14ac:dyDescent="0.25"/>
    <row r="196746" customFormat="1" x14ac:dyDescent="0.25"/>
    <row r="196747" customFormat="1" x14ac:dyDescent="0.25"/>
    <row r="196748" customFormat="1" x14ac:dyDescent="0.25"/>
    <row r="196749" customFormat="1" x14ac:dyDescent="0.25"/>
    <row r="196750" customFormat="1" x14ac:dyDescent="0.25"/>
    <row r="196751" customFormat="1" x14ac:dyDescent="0.25"/>
    <row r="196752" customFormat="1" x14ac:dyDescent="0.25"/>
    <row r="196753" customFormat="1" x14ac:dyDescent="0.25"/>
    <row r="196754" customFormat="1" x14ac:dyDescent="0.25"/>
    <row r="196755" customFormat="1" x14ac:dyDescent="0.25"/>
    <row r="196756" customFormat="1" x14ac:dyDescent="0.25"/>
    <row r="196757" customFormat="1" x14ac:dyDescent="0.25"/>
    <row r="196758" customFormat="1" x14ac:dyDescent="0.25"/>
    <row r="196759" customFormat="1" x14ac:dyDescent="0.25"/>
    <row r="196760" customFormat="1" x14ac:dyDescent="0.25"/>
    <row r="196761" customFormat="1" x14ac:dyDescent="0.25"/>
    <row r="196762" customFormat="1" x14ac:dyDescent="0.25"/>
    <row r="196763" customFormat="1" x14ac:dyDescent="0.25"/>
    <row r="196764" customFormat="1" x14ac:dyDescent="0.25"/>
    <row r="196765" customFormat="1" x14ac:dyDescent="0.25"/>
    <row r="196766" customFormat="1" x14ac:dyDescent="0.25"/>
    <row r="196767" customFormat="1" x14ac:dyDescent="0.25"/>
    <row r="196768" customFormat="1" x14ac:dyDescent="0.25"/>
    <row r="196769" customFormat="1" x14ac:dyDescent="0.25"/>
    <row r="196770" customFormat="1" x14ac:dyDescent="0.25"/>
    <row r="196771" customFormat="1" x14ac:dyDescent="0.25"/>
    <row r="196772" customFormat="1" x14ac:dyDescent="0.25"/>
    <row r="196773" customFormat="1" x14ac:dyDescent="0.25"/>
    <row r="196774" customFormat="1" x14ac:dyDescent="0.25"/>
    <row r="196775" customFormat="1" x14ac:dyDescent="0.25"/>
    <row r="196776" customFormat="1" x14ac:dyDescent="0.25"/>
    <row r="196777" customFormat="1" x14ac:dyDescent="0.25"/>
    <row r="196778" customFormat="1" x14ac:dyDescent="0.25"/>
    <row r="196779" customFormat="1" x14ac:dyDescent="0.25"/>
    <row r="196780" customFormat="1" x14ac:dyDescent="0.25"/>
    <row r="196781" customFormat="1" x14ac:dyDescent="0.25"/>
    <row r="196782" customFormat="1" x14ac:dyDescent="0.25"/>
    <row r="196783" customFormat="1" x14ac:dyDescent="0.25"/>
    <row r="196784" customFormat="1" x14ac:dyDescent="0.25"/>
    <row r="196785" customFormat="1" x14ac:dyDescent="0.25"/>
    <row r="196786" customFormat="1" x14ac:dyDescent="0.25"/>
    <row r="196787" customFormat="1" x14ac:dyDescent="0.25"/>
    <row r="196788" customFormat="1" x14ac:dyDescent="0.25"/>
    <row r="196789" customFormat="1" x14ac:dyDescent="0.25"/>
    <row r="196790" customFormat="1" x14ac:dyDescent="0.25"/>
    <row r="196791" customFormat="1" x14ac:dyDescent="0.25"/>
    <row r="196792" customFormat="1" x14ac:dyDescent="0.25"/>
    <row r="196793" customFormat="1" x14ac:dyDescent="0.25"/>
    <row r="196794" customFormat="1" x14ac:dyDescent="0.25"/>
    <row r="196795" customFormat="1" x14ac:dyDescent="0.25"/>
    <row r="196796" customFormat="1" x14ac:dyDescent="0.25"/>
    <row r="196797" customFormat="1" x14ac:dyDescent="0.25"/>
    <row r="196798" customFormat="1" x14ac:dyDescent="0.25"/>
    <row r="196799" customFormat="1" x14ac:dyDescent="0.25"/>
    <row r="196800" customFormat="1" x14ac:dyDescent="0.25"/>
    <row r="196801" customFormat="1" x14ac:dyDescent="0.25"/>
    <row r="196802" customFormat="1" x14ac:dyDescent="0.25"/>
    <row r="196803" customFormat="1" x14ac:dyDescent="0.25"/>
    <row r="196804" customFormat="1" x14ac:dyDescent="0.25"/>
    <row r="196805" customFormat="1" x14ac:dyDescent="0.25"/>
    <row r="196806" customFormat="1" x14ac:dyDescent="0.25"/>
    <row r="196807" customFormat="1" x14ac:dyDescent="0.25"/>
    <row r="196808" customFormat="1" x14ac:dyDescent="0.25"/>
    <row r="196809" customFormat="1" x14ac:dyDescent="0.25"/>
    <row r="196810" customFormat="1" x14ac:dyDescent="0.25"/>
    <row r="196811" customFormat="1" x14ac:dyDescent="0.25"/>
    <row r="196812" customFormat="1" x14ac:dyDescent="0.25"/>
    <row r="196813" customFormat="1" x14ac:dyDescent="0.25"/>
    <row r="196814" customFormat="1" x14ac:dyDescent="0.25"/>
    <row r="196815" customFormat="1" x14ac:dyDescent="0.25"/>
    <row r="196816" customFormat="1" x14ac:dyDescent="0.25"/>
    <row r="196817" customFormat="1" x14ac:dyDescent="0.25"/>
    <row r="196818" customFormat="1" x14ac:dyDescent="0.25"/>
    <row r="196819" customFormat="1" x14ac:dyDescent="0.25"/>
    <row r="196820" customFormat="1" x14ac:dyDescent="0.25"/>
    <row r="196821" customFormat="1" x14ac:dyDescent="0.25"/>
    <row r="196822" customFormat="1" x14ac:dyDescent="0.25"/>
    <row r="196823" customFormat="1" x14ac:dyDescent="0.25"/>
    <row r="196824" customFormat="1" x14ac:dyDescent="0.25"/>
    <row r="196825" customFormat="1" x14ac:dyDescent="0.25"/>
    <row r="196826" customFormat="1" x14ac:dyDescent="0.25"/>
    <row r="196827" customFormat="1" x14ac:dyDescent="0.25"/>
    <row r="196828" customFormat="1" x14ac:dyDescent="0.25"/>
    <row r="196829" customFormat="1" x14ac:dyDescent="0.25"/>
    <row r="196830" customFormat="1" x14ac:dyDescent="0.25"/>
    <row r="196831" customFormat="1" x14ac:dyDescent="0.25"/>
    <row r="196832" customFormat="1" x14ac:dyDescent="0.25"/>
    <row r="196833" customFormat="1" x14ac:dyDescent="0.25"/>
    <row r="196834" customFormat="1" x14ac:dyDescent="0.25"/>
    <row r="196835" customFormat="1" x14ac:dyDescent="0.25"/>
    <row r="196836" customFormat="1" x14ac:dyDescent="0.25"/>
    <row r="196837" customFormat="1" x14ac:dyDescent="0.25"/>
    <row r="196838" customFormat="1" x14ac:dyDescent="0.25"/>
    <row r="196839" customFormat="1" x14ac:dyDescent="0.25"/>
    <row r="196840" customFormat="1" x14ac:dyDescent="0.25"/>
    <row r="196841" customFormat="1" x14ac:dyDescent="0.25"/>
    <row r="196842" customFormat="1" x14ac:dyDescent="0.25"/>
    <row r="196843" customFormat="1" x14ac:dyDescent="0.25"/>
    <row r="196844" customFormat="1" x14ac:dyDescent="0.25"/>
    <row r="196845" customFormat="1" x14ac:dyDescent="0.25"/>
    <row r="196846" customFormat="1" x14ac:dyDescent="0.25"/>
    <row r="196847" customFormat="1" x14ac:dyDescent="0.25"/>
    <row r="196848" customFormat="1" x14ac:dyDescent="0.25"/>
    <row r="196849" customFormat="1" x14ac:dyDescent="0.25"/>
    <row r="196850" customFormat="1" x14ac:dyDescent="0.25"/>
    <row r="196851" customFormat="1" x14ac:dyDescent="0.25"/>
    <row r="196852" customFormat="1" x14ac:dyDescent="0.25"/>
    <row r="196853" customFormat="1" x14ac:dyDescent="0.25"/>
    <row r="196854" customFormat="1" x14ac:dyDescent="0.25"/>
    <row r="196855" customFormat="1" x14ac:dyDescent="0.25"/>
    <row r="196856" customFormat="1" x14ac:dyDescent="0.25"/>
    <row r="196857" customFormat="1" x14ac:dyDescent="0.25"/>
    <row r="196858" customFormat="1" x14ac:dyDescent="0.25"/>
    <row r="196859" customFormat="1" x14ac:dyDescent="0.25"/>
    <row r="196860" customFormat="1" x14ac:dyDescent="0.25"/>
    <row r="196861" customFormat="1" x14ac:dyDescent="0.25"/>
    <row r="196862" customFormat="1" x14ac:dyDescent="0.25"/>
    <row r="196863" customFormat="1" x14ac:dyDescent="0.25"/>
    <row r="196864" customFormat="1" x14ac:dyDescent="0.25"/>
    <row r="196865" customFormat="1" x14ac:dyDescent="0.25"/>
    <row r="196866" customFormat="1" x14ac:dyDescent="0.25"/>
    <row r="196867" customFormat="1" x14ac:dyDescent="0.25"/>
    <row r="196868" customFormat="1" x14ac:dyDescent="0.25"/>
    <row r="196869" customFormat="1" x14ac:dyDescent="0.25"/>
    <row r="196870" customFormat="1" x14ac:dyDescent="0.25"/>
    <row r="196871" customFormat="1" x14ac:dyDescent="0.25"/>
    <row r="196872" customFormat="1" x14ac:dyDescent="0.25"/>
    <row r="196873" customFormat="1" x14ac:dyDescent="0.25"/>
    <row r="196874" customFormat="1" x14ac:dyDescent="0.25"/>
    <row r="196875" customFormat="1" x14ac:dyDescent="0.25"/>
    <row r="196876" customFormat="1" x14ac:dyDescent="0.25"/>
    <row r="196877" customFormat="1" x14ac:dyDescent="0.25"/>
    <row r="196878" customFormat="1" x14ac:dyDescent="0.25"/>
    <row r="196879" customFormat="1" x14ac:dyDescent="0.25"/>
    <row r="196880" customFormat="1" x14ac:dyDescent="0.25"/>
    <row r="196881" customFormat="1" x14ac:dyDescent="0.25"/>
    <row r="196882" customFormat="1" x14ac:dyDescent="0.25"/>
    <row r="196883" customFormat="1" x14ac:dyDescent="0.25"/>
    <row r="196884" customFormat="1" x14ac:dyDescent="0.25"/>
    <row r="196885" customFormat="1" x14ac:dyDescent="0.25"/>
    <row r="196886" customFormat="1" x14ac:dyDescent="0.25"/>
    <row r="196887" customFormat="1" x14ac:dyDescent="0.25"/>
    <row r="196888" customFormat="1" x14ac:dyDescent="0.25"/>
    <row r="196889" customFormat="1" x14ac:dyDescent="0.25"/>
    <row r="196890" customFormat="1" x14ac:dyDescent="0.25"/>
    <row r="196891" customFormat="1" x14ac:dyDescent="0.25"/>
    <row r="196892" customFormat="1" x14ac:dyDescent="0.25"/>
    <row r="196893" customFormat="1" x14ac:dyDescent="0.25"/>
    <row r="196894" customFormat="1" x14ac:dyDescent="0.25"/>
    <row r="196895" customFormat="1" x14ac:dyDescent="0.25"/>
    <row r="196896" customFormat="1" x14ac:dyDescent="0.25"/>
    <row r="196897" customFormat="1" x14ac:dyDescent="0.25"/>
    <row r="196898" customFormat="1" x14ac:dyDescent="0.25"/>
    <row r="196899" customFormat="1" x14ac:dyDescent="0.25"/>
    <row r="196900" customFormat="1" x14ac:dyDescent="0.25"/>
    <row r="196901" customFormat="1" x14ac:dyDescent="0.25"/>
    <row r="196902" customFormat="1" x14ac:dyDescent="0.25"/>
    <row r="196903" customFormat="1" x14ac:dyDescent="0.25"/>
    <row r="196904" customFormat="1" x14ac:dyDescent="0.25"/>
    <row r="196905" customFormat="1" x14ac:dyDescent="0.25"/>
    <row r="196906" customFormat="1" x14ac:dyDescent="0.25"/>
    <row r="196907" customFormat="1" x14ac:dyDescent="0.25"/>
    <row r="196908" customFormat="1" x14ac:dyDescent="0.25"/>
    <row r="196909" customFormat="1" x14ac:dyDescent="0.25"/>
    <row r="196910" customFormat="1" x14ac:dyDescent="0.25"/>
    <row r="196911" customFormat="1" x14ac:dyDescent="0.25"/>
    <row r="196912" customFormat="1" x14ac:dyDescent="0.25"/>
    <row r="196913" customFormat="1" x14ac:dyDescent="0.25"/>
    <row r="196914" customFormat="1" x14ac:dyDescent="0.25"/>
    <row r="196915" customFormat="1" x14ac:dyDescent="0.25"/>
    <row r="196916" customFormat="1" x14ac:dyDescent="0.25"/>
    <row r="196917" customFormat="1" x14ac:dyDescent="0.25"/>
    <row r="196918" customFormat="1" x14ac:dyDescent="0.25"/>
    <row r="196919" customFormat="1" x14ac:dyDescent="0.25"/>
    <row r="196920" customFormat="1" x14ac:dyDescent="0.25"/>
    <row r="196921" customFormat="1" x14ac:dyDescent="0.25"/>
    <row r="196922" customFormat="1" x14ac:dyDescent="0.25"/>
    <row r="196923" customFormat="1" x14ac:dyDescent="0.25"/>
    <row r="196924" customFormat="1" x14ac:dyDescent="0.25"/>
    <row r="196925" customFormat="1" x14ac:dyDescent="0.25"/>
    <row r="196926" customFormat="1" x14ac:dyDescent="0.25"/>
    <row r="196927" customFormat="1" x14ac:dyDescent="0.25"/>
    <row r="196928" customFormat="1" x14ac:dyDescent="0.25"/>
    <row r="196929" customFormat="1" x14ac:dyDescent="0.25"/>
    <row r="196930" customFormat="1" x14ac:dyDescent="0.25"/>
    <row r="196931" customFormat="1" x14ac:dyDescent="0.25"/>
    <row r="196932" customFormat="1" x14ac:dyDescent="0.25"/>
    <row r="196933" customFormat="1" x14ac:dyDescent="0.25"/>
    <row r="196934" customFormat="1" x14ac:dyDescent="0.25"/>
    <row r="196935" customFormat="1" x14ac:dyDescent="0.25"/>
    <row r="196936" customFormat="1" x14ac:dyDescent="0.25"/>
    <row r="196937" customFormat="1" x14ac:dyDescent="0.25"/>
    <row r="196938" customFormat="1" x14ac:dyDescent="0.25"/>
    <row r="196939" customFormat="1" x14ac:dyDescent="0.25"/>
    <row r="196940" customFormat="1" x14ac:dyDescent="0.25"/>
    <row r="196941" customFormat="1" x14ac:dyDescent="0.25"/>
    <row r="196942" customFormat="1" x14ac:dyDescent="0.25"/>
    <row r="196943" customFormat="1" x14ac:dyDescent="0.25"/>
    <row r="196944" customFormat="1" x14ac:dyDescent="0.25"/>
    <row r="196945" customFormat="1" x14ac:dyDescent="0.25"/>
    <row r="196946" customFormat="1" x14ac:dyDescent="0.25"/>
    <row r="196947" customFormat="1" x14ac:dyDescent="0.25"/>
    <row r="196948" customFormat="1" x14ac:dyDescent="0.25"/>
    <row r="196949" customFormat="1" x14ac:dyDescent="0.25"/>
    <row r="196950" customFormat="1" x14ac:dyDescent="0.25"/>
    <row r="196951" customFormat="1" x14ac:dyDescent="0.25"/>
    <row r="196952" customFormat="1" x14ac:dyDescent="0.25"/>
    <row r="196953" customFormat="1" x14ac:dyDescent="0.25"/>
    <row r="196954" customFormat="1" x14ac:dyDescent="0.25"/>
    <row r="196955" customFormat="1" x14ac:dyDescent="0.25"/>
    <row r="196956" customFormat="1" x14ac:dyDescent="0.25"/>
    <row r="196957" customFormat="1" x14ac:dyDescent="0.25"/>
    <row r="196958" customFormat="1" x14ac:dyDescent="0.25"/>
    <row r="196959" customFormat="1" x14ac:dyDescent="0.25"/>
    <row r="196960" customFormat="1" x14ac:dyDescent="0.25"/>
    <row r="196961" customFormat="1" x14ac:dyDescent="0.25"/>
    <row r="196962" customFormat="1" x14ac:dyDescent="0.25"/>
    <row r="196963" customFormat="1" x14ac:dyDescent="0.25"/>
    <row r="196964" customFormat="1" x14ac:dyDescent="0.25"/>
    <row r="196965" customFormat="1" x14ac:dyDescent="0.25"/>
    <row r="196966" customFormat="1" x14ac:dyDescent="0.25"/>
    <row r="196967" customFormat="1" x14ac:dyDescent="0.25"/>
    <row r="196968" customFormat="1" x14ac:dyDescent="0.25"/>
    <row r="196969" customFormat="1" x14ac:dyDescent="0.25"/>
    <row r="196970" customFormat="1" x14ac:dyDescent="0.25"/>
    <row r="196971" customFormat="1" x14ac:dyDescent="0.25"/>
    <row r="196972" customFormat="1" x14ac:dyDescent="0.25"/>
    <row r="196973" customFormat="1" x14ac:dyDescent="0.25"/>
    <row r="196974" customFormat="1" x14ac:dyDescent="0.25"/>
    <row r="196975" customFormat="1" x14ac:dyDescent="0.25"/>
    <row r="196976" customFormat="1" x14ac:dyDescent="0.25"/>
    <row r="196977" customFormat="1" x14ac:dyDescent="0.25"/>
    <row r="196978" customFormat="1" x14ac:dyDescent="0.25"/>
    <row r="196979" customFormat="1" x14ac:dyDescent="0.25"/>
    <row r="196980" customFormat="1" x14ac:dyDescent="0.25"/>
    <row r="196981" customFormat="1" x14ac:dyDescent="0.25"/>
    <row r="196982" customFormat="1" x14ac:dyDescent="0.25"/>
    <row r="196983" customFormat="1" x14ac:dyDescent="0.25"/>
    <row r="196984" customFormat="1" x14ac:dyDescent="0.25"/>
    <row r="196985" customFormat="1" x14ac:dyDescent="0.25"/>
    <row r="196986" customFormat="1" x14ac:dyDescent="0.25"/>
    <row r="196987" customFormat="1" x14ac:dyDescent="0.25"/>
    <row r="196988" customFormat="1" x14ac:dyDescent="0.25"/>
    <row r="196989" customFormat="1" x14ac:dyDescent="0.25"/>
    <row r="196990" customFormat="1" x14ac:dyDescent="0.25"/>
    <row r="196991" customFormat="1" x14ac:dyDescent="0.25"/>
    <row r="196992" customFormat="1" x14ac:dyDescent="0.25"/>
    <row r="196993" customFormat="1" x14ac:dyDescent="0.25"/>
    <row r="196994" customFormat="1" x14ac:dyDescent="0.25"/>
    <row r="196995" customFormat="1" x14ac:dyDescent="0.25"/>
    <row r="196996" customFormat="1" x14ac:dyDescent="0.25"/>
    <row r="196997" customFormat="1" x14ac:dyDescent="0.25"/>
    <row r="196998" customFormat="1" x14ac:dyDescent="0.25"/>
    <row r="196999" customFormat="1" x14ac:dyDescent="0.25"/>
    <row r="197000" customFormat="1" x14ac:dyDescent="0.25"/>
    <row r="197001" customFormat="1" x14ac:dyDescent="0.25"/>
    <row r="197002" customFormat="1" x14ac:dyDescent="0.25"/>
    <row r="197003" customFormat="1" x14ac:dyDescent="0.25"/>
    <row r="197004" customFormat="1" x14ac:dyDescent="0.25"/>
    <row r="197005" customFormat="1" x14ac:dyDescent="0.25"/>
    <row r="197006" customFormat="1" x14ac:dyDescent="0.25"/>
    <row r="197007" customFormat="1" x14ac:dyDescent="0.25"/>
    <row r="197008" customFormat="1" x14ac:dyDescent="0.25"/>
    <row r="197009" customFormat="1" x14ac:dyDescent="0.25"/>
    <row r="197010" customFormat="1" x14ac:dyDescent="0.25"/>
    <row r="197011" customFormat="1" x14ac:dyDescent="0.25"/>
    <row r="197012" customFormat="1" x14ac:dyDescent="0.25"/>
    <row r="197013" customFormat="1" x14ac:dyDescent="0.25"/>
    <row r="197014" customFormat="1" x14ac:dyDescent="0.25"/>
    <row r="197015" customFormat="1" x14ac:dyDescent="0.25"/>
    <row r="197016" customFormat="1" x14ac:dyDescent="0.25"/>
    <row r="197017" customFormat="1" x14ac:dyDescent="0.25"/>
    <row r="197018" customFormat="1" x14ac:dyDescent="0.25"/>
    <row r="197019" customFormat="1" x14ac:dyDescent="0.25"/>
    <row r="197020" customFormat="1" x14ac:dyDescent="0.25"/>
    <row r="197021" customFormat="1" x14ac:dyDescent="0.25"/>
    <row r="197022" customFormat="1" x14ac:dyDescent="0.25"/>
    <row r="197023" customFormat="1" x14ac:dyDescent="0.25"/>
    <row r="197024" customFormat="1" x14ac:dyDescent="0.25"/>
    <row r="197025" customFormat="1" x14ac:dyDescent="0.25"/>
    <row r="197026" customFormat="1" x14ac:dyDescent="0.25"/>
    <row r="197027" customFormat="1" x14ac:dyDescent="0.25"/>
    <row r="197028" customFormat="1" x14ac:dyDescent="0.25"/>
    <row r="197029" customFormat="1" x14ac:dyDescent="0.25"/>
    <row r="197030" customFormat="1" x14ac:dyDescent="0.25"/>
    <row r="197031" customFormat="1" x14ac:dyDescent="0.25"/>
    <row r="197032" customFormat="1" x14ac:dyDescent="0.25"/>
    <row r="197033" customFormat="1" x14ac:dyDescent="0.25"/>
    <row r="197034" customFormat="1" x14ac:dyDescent="0.25"/>
    <row r="197035" customFormat="1" x14ac:dyDescent="0.25"/>
    <row r="197036" customFormat="1" x14ac:dyDescent="0.25"/>
    <row r="197037" customFormat="1" x14ac:dyDescent="0.25"/>
    <row r="197038" customFormat="1" x14ac:dyDescent="0.25"/>
    <row r="197039" customFormat="1" x14ac:dyDescent="0.25"/>
    <row r="197040" customFormat="1" x14ac:dyDescent="0.25"/>
    <row r="197041" customFormat="1" x14ac:dyDescent="0.25"/>
    <row r="197042" customFormat="1" x14ac:dyDescent="0.25"/>
    <row r="197043" customFormat="1" x14ac:dyDescent="0.25"/>
    <row r="197044" customFormat="1" x14ac:dyDescent="0.25"/>
    <row r="197045" customFormat="1" x14ac:dyDescent="0.25"/>
    <row r="197046" customFormat="1" x14ac:dyDescent="0.25"/>
    <row r="197047" customFormat="1" x14ac:dyDescent="0.25"/>
    <row r="197048" customFormat="1" x14ac:dyDescent="0.25"/>
    <row r="197049" customFormat="1" x14ac:dyDescent="0.25"/>
    <row r="197050" customFormat="1" x14ac:dyDescent="0.25"/>
    <row r="197051" customFormat="1" x14ac:dyDescent="0.25"/>
    <row r="197052" customFormat="1" x14ac:dyDescent="0.25"/>
    <row r="197053" customFormat="1" x14ac:dyDescent="0.25"/>
    <row r="197054" customFormat="1" x14ac:dyDescent="0.25"/>
    <row r="197055" customFormat="1" x14ac:dyDescent="0.25"/>
    <row r="197056" customFormat="1" x14ac:dyDescent="0.25"/>
    <row r="197057" customFormat="1" x14ac:dyDescent="0.25"/>
    <row r="197058" customFormat="1" x14ac:dyDescent="0.25"/>
    <row r="197059" customFormat="1" x14ac:dyDescent="0.25"/>
    <row r="197060" customFormat="1" x14ac:dyDescent="0.25"/>
    <row r="197061" customFormat="1" x14ac:dyDescent="0.25"/>
    <row r="197062" customFormat="1" x14ac:dyDescent="0.25"/>
    <row r="197063" customFormat="1" x14ac:dyDescent="0.25"/>
    <row r="197064" customFormat="1" x14ac:dyDescent="0.25"/>
    <row r="197065" customFormat="1" x14ac:dyDescent="0.25"/>
    <row r="197066" customFormat="1" x14ac:dyDescent="0.25"/>
    <row r="197067" customFormat="1" x14ac:dyDescent="0.25"/>
    <row r="197068" customFormat="1" x14ac:dyDescent="0.25"/>
    <row r="197069" customFormat="1" x14ac:dyDescent="0.25"/>
    <row r="197070" customFormat="1" x14ac:dyDescent="0.25"/>
    <row r="197071" customFormat="1" x14ac:dyDescent="0.25"/>
    <row r="197072" customFormat="1" x14ac:dyDescent="0.25"/>
    <row r="197073" customFormat="1" x14ac:dyDescent="0.25"/>
    <row r="197074" customFormat="1" x14ac:dyDescent="0.25"/>
    <row r="197075" customFormat="1" x14ac:dyDescent="0.25"/>
    <row r="197076" customFormat="1" x14ac:dyDescent="0.25"/>
    <row r="197077" customFormat="1" x14ac:dyDescent="0.25"/>
    <row r="197078" customFormat="1" x14ac:dyDescent="0.25"/>
    <row r="197079" customFormat="1" x14ac:dyDescent="0.25"/>
    <row r="197080" customFormat="1" x14ac:dyDescent="0.25"/>
    <row r="197081" customFormat="1" x14ac:dyDescent="0.25"/>
    <row r="197082" customFormat="1" x14ac:dyDescent="0.25"/>
    <row r="197083" customFormat="1" x14ac:dyDescent="0.25"/>
    <row r="197084" customFormat="1" x14ac:dyDescent="0.25"/>
    <row r="197085" customFormat="1" x14ac:dyDescent="0.25"/>
    <row r="197086" customFormat="1" x14ac:dyDescent="0.25"/>
    <row r="197087" customFormat="1" x14ac:dyDescent="0.25"/>
    <row r="197088" customFormat="1" x14ac:dyDescent="0.25"/>
    <row r="197089" customFormat="1" x14ac:dyDescent="0.25"/>
    <row r="197090" customFormat="1" x14ac:dyDescent="0.25"/>
    <row r="197091" customFormat="1" x14ac:dyDescent="0.25"/>
    <row r="197092" customFormat="1" x14ac:dyDescent="0.25"/>
    <row r="197093" customFormat="1" x14ac:dyDescent="0.25"/>
    <row r="197094" customFormat="1" x14ac:dyDescent="0.25"/>
    <row r="197095" customFormat="1" x14ac:dyDescent="0.25"/>
    <row r="197096" customFormat="1" x14ac:dyDescent="0.25"/>
    <row r="197097" customFormat="1" x14ac:dyDescent="0.25"/>
    <row r="197098" customFormat="1" x14ac:dyDescent="0.25"/>
    <row r="197099" customFormat="1" x14ac:dyDescent="0.25"/>
    <row r="197100" customFormat="1" x14ac:dyDescent="0.25"/>
    <row r="197101" customFormat="1" x14ac:dyDescent="0.25"/>
    <row r="197102" customFormat="1" x14ac:dyDescent="0.25"/>
    <row r="197103" customFormat="1" x14ac:dyDescent="0.25"/>
    <row r="197104" customFormat="1" x14ac:dyDescent="0.25"/>
    <row r="197105" customFormat="1" x14ac:dyDescent="0.25"/>
    <row r="197106" customFormat="1" x14ac:dyDescent="0.25"/>
    <row r="197107" customFormat="1" x14ac:dyDescent="0.25"/>
    <row r="197108" customFormat="1" x14ac:dyDescent="0.25"/>
    <row r="197109" customFormat="1" x14ac:dyDescent="0.25"/>
    <row r="197110" customFormat="1" x14ac:dyDescent="0.25"/>
    <row r="197111" customFormat="1" x14ac:dyDescent="0.25"/>
    <row r="197112" customFormat="1" x14ac:dyDescent="0.25"/>
    <row r="197113" customFormat="1" x14ac:dyDescent="0.25"/>
    <row r="197114" customFormat="1" x14ac:dyDescent="0.25"/>
    <row r="197115" customFormat="1" x14ac:dyDescent="0.25"/>
    <row r="197116" customFormat="1" x14ac:dyDescent="0.25"/>
    <row r="197117" customFormat="1" x14ac:dyDescent="0.25"/>
    <row r="197118" customFormat="1" x14ac:dyDescent="0.25"/>
    <row r="197119" customFormat="1" x14ac:dyDescent="0.25"/>
    <row r="197120" customFormat="1" x14ac:dyDescent="0.25"/>
    <row r="197121" customFormat="1" x14ac:dyDescent="0.25"/>
    <row r="197122" customFormat="1" x14ac:dyDescent="0.25"/>
    <row r="197123" customFormat="1" x14ac:dyDescent="0.25"/>
    <row r="197124" customFormat="1" x14ac:dyDescent="0.25"/>
    <row r="197125" customFormat="1" x14ac:dyDescent="0.25"/>
    <row r="197126" customFormat="1" x14ac:dyDescent="0.25"/>
    <row r="197127" customFormat="1" x14ac:dyDescent="0.25"/>
    <row r="197128" customFormat="1" x14ac:dyDescent="0.25"/>
    <row r="197129" customFormat="1" x14ac:dyDescent="0.25"/>
    <row r="197130" customFormat="1" x14ac:dyDescent="0.25"/>
    <row r="197131" customFormat="1" x14ac:dyDescent="0.25"/>
    <row r="197132" customFormat="1" x14ac:dyDescent="0.25"/>
    <row r="197133" customFormat="1" x14ac:dyDescent="0.25"/>
    <row r="197134" customFormat="1" x14ac:dyDescent="0.25"/>
    <row r="197135" customFormat="1" x14ac:dyDescent="0.25"/>
    <row r="197136" customFormat="1" x14ac:dyDescent="0.25"/>
    <row r="197137" customFormat="1" x14ac:dyDescent="0.25"/>
    <row r="197138" customFormat="1" x14ac:dyDescent="0.25"/>
    <row r="197139" customFormat="1" x14ac:dyDescent="0.25"/>
    <row r="197140" customFormat="1" x14ac:dyDescent="0.25"/>
    <row r="197141" customFormat="1" x14ac:dyDescent="0.25"/>
    <row r="197142" customFormat="1" x14ac:dyDescent="0.25"/>
    <row r="197143" customFormat="1" x14ac:dyDescent="0.25"/>
    <row r="197144" customFormat="1" x14ac:dyDescent="0.25"/>
    <row r="197145" customFormat="1" x14ac:dyDescent="0.25"/>
    <row r="197146" customFormat="1" x14ac:dyDescent="0.25"/>
    <row r="197147" customFormat="1" x14ac:dyDescent="0.25"/>
    <row r="197148" customFormat="1" x14ac:dyDescent="0.25"/>
    <row r="197149" customFormat="1" x14ac:dyDescent="0.25"/>
    <row r="197150" customFormat="1" x14ac:dyDescent="0.25"/>
    <row r="197151" customFormat="1" x14ac:dyDescent="0.25"/>
    <row r="197152" customFormat="1" x14ac:dyDescent="0.25"/>
    <row r="197153" customFormat="1" x14ac:dyDescent="0.25"/>
    <row r="197154" customFormat="1" x14ac:dyDescent="0.25"/>
    <row r="197155" customFormat="1" x14ac:dyDescent="0.25"/>
    <row r="197156" customFormat="1" x14ac:dyDescent="0.25"/>
    <row r="197157" customFormat="1" x14ac:dyDescent="0.25"/>
    <row r="197158" customFormat="1" x14ac:dyDescent="0.25"/>
    <row r="197159" customFormat="1" x14ac:dyDescent="0.25"/>
    <row r="197160" customFormat="1" x14ac:dyDescent="0.25"/>
    <row r="197161" customFormat="1" x14ac:dyDescent="0.25"/>
    <row r="197162" customFormat="1" x14ac:dyDescent="0.25"/>
    <row r="197163" customFormat="1" x14ac:dyDescent="0.25"/>
    <row r="197164" customFormat="1" x14ac:dyDescent="0.25"/>
    <row r="197165" customFormat="1" x14ac:dyDescent="0.25"/>
    <row r="197166" customFormat="1" x14ac:dyDescent="0.25"/>
    <row r="197167" customFormat="1" x14ac:dyDescent="0.25"/>
    <row r="197168" customFormat="1" x14ac:dyDescent="0.25"/>
    <row r="197169" customFormat="1" x14ac:dyDescent="0.25"/>
    <row r="197170" customFormat="1" x14ac:dyDescent="0.25"/>
    <row r="197171" customFormat="1" x14ac:dyDescent="0.25"/>
    <row r="197172" customFormat="1" x14ac:dyDescent="0.25"/>
    <row r="197173" customFormat="1" x14ac:dyDescent="0.25"/>
    <row r="197174" customFormat="1" x14ac:dyDescent="0.25"/>
    <row r="197175" customFormat="1" x14ac:dyDescent="0.25"/>
    <row r="197176" customFormat="1" x14ac:dyDescent="0.25"/>
    <row r="197177" customFormat="1" x14ac:dyDescent="0.25"/>
    <row r="197178" customFormat="1" x14ac:dyDescent="0.25"/>
    <row r="197179" customFormat="1" x14ac:dyDescent="0.25"/>
    <row r="197180" customFormat="1" x14ac:dyDescent="0.25"/>
    <row r="197181" customFormat="1" x14ac:dyDescent="0.25"/>
    <row r="197182" customFormat="1" x14ac:dyDescent="0.25"/>
    <row r="197183" customFormat="1" x14ac:dyDescent="0.25"/>
    <row r="197184" customFormat="1" x14ac:dyDescent="0.25"/>
    <row r="197185" customFormat="1" x14ac:dyDescent="0.25"/>
    <row r="197186" customFormat="1" x14ac:dyDescent="0.25"/>
    <row r="197187" customFormat="1" x14ac:dyDescent="0.25"/>
    <row r="197188" customFormat="1" x14ac:dyDescent="0.25"/>
    <row r="197189" customFormat="1" x14ac:dyDescent="0.25"/>
    <row r="197190" customFormat="1" x14ac:dyDescent="0.25"/>
    <row r="197191" customFormat="1" x14ac:dyDescent="0.25"/>
    <row r="197192" customFormat="1" x14ac:dyDescent="0.25"/>
    <row r="197193" customFormat="1" x14ac:dyDescent="0.25"/>
    <row r="197194" customFormat="1" x14ac:dyDescent="0.25"/>
    <row r="197195" customFormat="1" x14ac:dyDescent="0.25"/>
    <row r="197196" customFormat="1" x14ac:dyDescent="0.25"/>
    <row r="197197" customFormat="1" x14ac:dyDescent="0.25"/>
    <row r="197198" customFormat="1" x14ac:dyDescent="0.25"/>
    <row r="197199" customFormat="1" x14ac:dyDescent="0.25"/>
    <row r="197200" customFormat="1" x14ac:dyDescent="0.25"/>
    <row r="197201" customFormat="1" x14ac:dyDescent="0.25"/>
    <row r="197202" customFormat="1" x14ac:dyDescent="0.25"/>
    <row r="197203" customFormat="1" x14ac:dyDescent="0.25"/>
    <row r="197204" customFormat="1" x14ac:dyDescent="0.25"/>
    <row r="197205" customFormat="1" x14ac:dyDescent="0.25"/>
    <row r="197206" customFormat="1" x14ac:dyDescent="0.25"/>
    <row r="197207" customFormat="1" x14ac:dyDescent="0.25"/>
    <row r="197208" customFormat="1" x14ac:dyDescent="0.25"/>
    <row r="197209" customFormat="1" x14ac:dyDescent="0.25"/>
    <row r="197210" customFormat="1" x14ac:dyDescent="0.25"/>
    <row r="197211" customFormat="1" x14ac:dyDescent="0.25"/>
    <row r="197212" customFormat="1" x14ac:dyDescent="0.25"/>
    <row r="197213" customFormat="1" x14ac:dyDescent="0.25"/>
    <row r="197214" customFormat="1" x14ac:dyDescent="0.25"/>
    <row r="197215" customFormat="1" x14ac:dyDescent="0.25"/>
    <row r="197216" customFormat="1" x14ac:dyDescent="0.25"/>
    <row r="197217" customFormat="1" x14ac:dyDescent="0.25"/>
    <row r="197218" customFormat="1" x14ac:dyDescent="0.25"/>
    <row r="197219" customFormat="1" x14ac:dyDescent="0.25"/>
    <row r="197220" customFormat="1" x14ac:dyDescent="0.25"/>
    <row r="197221" customFormat="1" x14ac:dyDescent="0.25"/>
    <row r="197222" customFormat="1" x14ac:dyDescent="0.25"/>
    <row r="197223" customFormat="1" x14ac:dyDescent="0.25"/>
    <row r="197224" customFormat="1" x14ac:dyDescent="0.25"/>
    <row r="197225" customFormat="1" x14ac:dyDescent="0.25"/>
    <row r="197226" customFormat="1" x14ac:dyDescent="0.25"/>
    <row r="197227" customFormat="1" x14ac:dyDescent="0.25"/>
    <row r="197228" customFormat="1" x14ac:dyDescent="0.25"/>
    <row r="197229" customFormat="1" x14ac:dyDescent="0.25"/>
    <row r="197230" customFormat="1" x14ac:dyDescent="0.25"/>
    <row r="197231" customFormat="1" x14ac:dyDescent="0.25"/>
    <row r="197232" customFormat="1" x14ac:dyDescent="0.25"/>
    <row r="197233" customFormat="1" x14ac:dyDescent="0.25"/>
    <row r="197234" customFormat="1" x14ac:dyDescent="0.25"/>
    <row r="197235" customFormat="1" x14ac:dyDescent="0.25"/>
    <row r="197236" customFormat="1" x14ac:dyDescent="0.25"/>
    <row r="197237" customFormat="1" x14ac:dyDescent="0.25"/>
    <row r="197238" customFormat="1" x14ac:dyDescent="0.25"/>
    <row r="197239" customFormat="1" x14ac:dyDescent="0.25"/>
    <row r="197240" customFormat="1" x14ac:dyDescent="0.25"/>
    <row r="197241" customFormat="1" x14ac:dyDescent="0.25"/>
    <row r="197242" customFormat="1" x14ac:dyDescent="0.25"/>
    <row r="197243" customFormat="1" x14ac:dyDescent="0.25"/>
    <row r="197244" customFormat="1" x14ac:dyDescent="0.25"/>
    <row r="197245" customFormat="1" x14ac:dyDescent="0.25"/>
    <row r="197246" customFormat="1" x14ac:dyDescent="0.25"/>
    <row r="197247" customFormat="1" x14ac:dyDescent="0.25"/>
    <row r="197248" customFormat="1" x14ac:dyDescent="0.25"/>
    <row r="197249" customFormat="1" x14ac:dyDescent="0.25"/>
    <row r="197250" customFormat="1" x14ac:dyDescent="0.25"/>
    <row r="197251" customFormat="1" x14ac:dyDescent="0.25"/>
    <row r="197252" customFormat="1" x14ac:dyDescent="0.25"/>
    <row r="197253" customFormat="1" x14ac:dyDescent="0.25"/>
    <row r="197254" customFormat="1" x14ac:dyDescent="0.25"/>
    <row r="197255" customFormat="1" x14ac:dyDescent="0.25"/>
    <row r="197256" customFormat="1" x14ac:dyDescent="0.25"/>
    <row r="197257" customFormat="1" x14ac:dyDescent="0.25"/>
    <row r="197258" customFormat="1" x14ac:dyDescent="0.25"/>
    <row r="197259" customFormat="1" x14ac:dyDescent="0.25"/>
    <row r="197260" customFormat="1" x14ac:dyDescent="0.25"/>
    <row r="197261" customFormat="1" x14ac:dyDescent="0.25"/>
    <row r="197262" customFormat="1" x14ac:dyDescent="0.25"/>
    <row r="197263" customFormat="1" x14ac:dyDescent="0.25"/>
    <row r="197264" customFormat="1" x14ac:dyDescent="0.25"/>
    <row r="197265" customFormat="1" x14ac:dyDescent="0.25"/>
    <row r="197266" customFormat="1" x14ac:dyDescent="0.25"/>
    <row r="197267" customFormat="1" x14ac:dyDescent="0.25"/>
    <row r="197268" customFormat="1" x14ac:dyDescent="0.25"/>
    <row r="197269" customFormat="1" x14ac:dyDescent="0.25"/>
    <row r="197270" customFormat="1" x14ac:dyDescent="0.25"/>
    <row r="197271" customFormat="1" x14ac:dyDescent="0.25"/>
    <row r="197272" customFormat="1" x14ac:dyDescent="0.25"/>
    <row r="197273" customFormat="1" x14ac:dyDescent="0.25"/>
    <row r="197274" customFormat="1" x14ac:dyDescent="0.25"/>
    <row r="197275" customFormat="1" x14ac:dyDescent="0.25"/>
    <row r="197276" customFormat="1" x14ac:dyDescent="0.25"/>
    <row r="197277" customFormat="1" x14ac:dyDescent="0.25"/>
    <row r="197278" customFormat="1" x14ac:dyDescent="0.25"/>
    <row r="197279" customFormat="1" x14ac:dyDescent="0.25"/>
    <row r="197280" customFormat="1" x14ac:dyDescent="0.25"/>
    <row r="197281" customFormat="1" x14ac:dyDescent="0.25"/>
    <row r="197282" customFormat="1" x14ac:dyDescent="0.25"/>
    <row r="197283" customFormat="1" x14ac:dyDescent="0.25"/>
    <row r="197284" customFormat="1" x14ac:dyDescent="0.25"/>
    <row r="197285" customFormat="1" x14ac:dyDescent="0.25"/>
    <row r="197286" customFormat="1" x14ac:dyDescent="0.25"/>
    <row r="197287" customFormat="1" x14ac:dyDescent="0.25"/>
    <row r="197288" customFormat="1" x14ac:dyDescent="0.25"/>
    <row r="197289" customFormat="1" x14ac:dyDescent="0.25"/>
    <row r="197290" customFormat="1" x14ac:dyDescent="0.25"/>
    <row r="197291" customFormat="1" x14ac:dyDescent="0.25"/>
    <row r="197292" customFormat="1" x14ac:dyDescent="0.25"/>
    <row r="197293" customFormat="1" x14ac:dyDescent="0.25"/>
    <row r="197294" customFormat="1" x14ac:dyDescent="0.25"/>
    <row r="197295" customFormat="1" x14ac:dyDescent="0.25"/>
    <row r="197296" customFormat="1" x14ac:dyDescent="0.25"/>
    <row r="197297" customFormat="1" x14ac:dyDescent="0.25"/>
    <row r="197298" customFormat="1" x14ac:dyDescent="0.25"/>
    <row r="197299" customFormat="1" x14ac:dyDescent="0.25"/>
    <row r="197300" customFormat="1" x14ac:dyDescent="0.25"/>
    <row r="197301" customFormat="1" x14ac:dyDescent="0.25"/>
    <row r="197302" customFormat="1" x14ac:dyDescent="0.25"/>
    <row r="197303" customFormat="1" x14ac:dyDescent="0.25"/>
    <row r="197304" customFormat="1" x14ac:dyDescent="0.25"/>
    <row r="197305" customFormat="1" x14ac:dyDescent="0.25"/>
    <row r="197306" customFormat="1" x14ac:dyDescent="0.25"/>
    <row r="197307" customFormat="1" x14ac:dyDescent="0.25"/>
    <row r="197308" customFormat="1" x14ac:dyDescent="0.25"/>
    <row r="197309" customFormat="1" x14ac:dyDescent="0.25"/>
    <row r="197310" customFormat="1" x14ac:dyDescent="0.25"/>
    <row r="197311" customFormat="1" x14ac:dyDescent="0.25"/>
    <row r="197312" customFormat="1" x14ac:dyDescent="0.25"/>
    <row r="197313" customFormat="1" x14ac:dyDescent="0.25"/>
    <row r="197314" customFormat="1" x14ac:dyDescent="0.25"/>
    <row r="197315" customFormat="1" x14ac:dyDescent="0.25"/>
    <row r="197316" customFormat="1" x14ac:dyDescent="0.25"/>
    <row r="197317" customFormat="1" x14ac:dyDescent="0.25"/>
    <row r="197318" customFormat="1" x14ac:dyDescent="0.25"/>
    <row r="197319" customFormat="1" x14ac:dyDescent="0.25"/>
    <row r="197320" customFormat="1" x14ac:dyDescent="0.25"/>
    <row r="197321" customFormat="1" x14ac:dyDescent="0.25"/>
    <row r="197322" customFormat="1" x14ac:dyDescent="0.25"/>
    <row r="197323" customFormat="1" x14ac:dyDescent="0.25"/>
    <row r="197324" customFormat="1" x14ac:dyDescent="0.25"/>
    <row r="197325" customFormat="1" x14ac:dyDescent="0.25"/>
    <row r="197326" customFormat="1" x14ac:dyDescent="0.25"/>
    <row r="197327" customFormat="1" x14ac:dyDescent="0.25"/>
    <row r="197328" customFormat="1" x14ac:dyDescent="0.25"/>
    <row r="197329" customFormat="1" x14ac:dyDescent="0.25"/>
    <row r="197330" customFormat="1" x14ac:dyDescent="0.25"/>
    <row r="197331" customFormat="1" x14ac:dyDescent="0.25"/>
    <row r="197332" customFormat="1" x14ac:dyDescent="0.25"/>
    <row r="197333" customFormat="1" x14ac:dyDescent="0.25"/>
    <row r="197334" customFormat="1" x14ac:dyDescent="0.25"/>
    <row r="197335" customFormat="1" x14ac:dyDescent="0.25"/>
    <row r="197336" customFormat="1" x14ac:dyDescent="0.25"/>
    <row r="197337" customFormat="1" x14ac:dyDescent="0.25"/>
    <row r="197338" customFormat="1" x14ac:dyDescent="0.25"/>
    <row r="197339" customFormat="1" x14ac:dyDescent="0.25"/>
    <row r="197340" customFormat="1" x14ac:dyDescent="0.25"/>
    <row r="197341" customFormat="1" x14ac:dyDescent="0.25"/>
    <row r="197342" customFormat="1" x14ac:dyDescent="0.25"/>
    <row r="197343" customFormat="1" x14ac:dyDescent="0.25"/>
    <row r="197344" customFormat="1" x14ac:dyDescent="0.25"/>
    <row r="197345" customFormat="1" x14ac:dyDescent="0.25"/>
    <row r="197346" customFormat="1" x14ac:dyDescent="0.25"/>
    <row r="197347" customFormat="1" x14ac:dyDescent="0.25"/>
    <row r="197348" customFormat="1" x14ac:dyDescent="0.25"/>
    <row r="197349" customFormat="1" x14ac:dyDescent="0.25"/>
    <row r="197350" customFormat="1" x14ac:dyDescent="0.25"/>
    <row r="197351" customFormat="1" x14ac:dyDescent="0.25"/>
    <row r="197352" customFormat="1" x14ac:dyDescent="0.25"/>
    <row r="197353" customFormat="1" x14ac:dyDescent="0.25"/>
    <row r="197354" customFormat="1" x14ac:dyDescent="0.25"/>
    <row r="197355" customFormat="1" x14ac:dyDescent="0.25"/>
    <row r="197356" customFormat="1" x14ac:dyDescent="0.25"/>
    <row r="197357" customFormat="1" x14ac:dyDescent="0.25"/>
    <row r="197358" customFormat="1" x14ac:dyDescent="0.25"/>
    <row r="197359" customFormat="1" x14ac:dyDescent="0.25"/>
    <row r="197360" customFormat="1" x14ac:dyDescent="0.25"/>
    <row r="197361" customFormat="1" x14ac:dyDescent="0.25"/>
    <row r="197362" customFormat="1" x14ac:dyDescent="0.25"/>
    <row r="197363" customFormat="1" x14ac:dyDescent="0.25"/>
    <row r="197364" customFormat="1" x14ac:dyDescent="0.25"/>
    <row r="197365" customFormat="1" x14ac:dyDescent="0.25"/>
    <row r="197366" customFormat="1" x14ac:dyDescent="0.25"/>
    <row r="197367" customFormat="1" x14ac:dyDescent="0.25"/>
    <row r="197368" customFormat="1" x14ac:dyDescent="0.25"/>
    <row r="197369" customFormat="1" x14ac:dyDescent="0.25"/>
    <row r="197370" customFormat="1" x14ac:dyDescent="0.25"/>
    <row r="197371" customFormat="1" x14ac:dyDescent="0.25"/>
    <row r="197372" customFormat="1" x14ac:dyDescent="0.25"/>
    <row r="197373" customFormat="1" x14ac:dyDescent="0.25"/>
    <row r="197374" customFormat="1" x14ac:dyDescent="0.25"/>
    <row r="197375" customFormat="1" x14ac:dyDescent="0.25"/>
    <row r="197376" customFormat="1" x14ac:dyDescent="0.25"/>
    <row r="197377" customFormat="1" x14ac:dyDescent="0.25"/>
    <row r="197378" customFormat="1" x14ac:dyDescent="0.25"/>
    <row r="197379" customFormat="1" x14ac:dyDescent="0.25"/>
    <row r="197380" customFormat="1" x14ac:dyDescent="0.25"/>
    <row r="197381" customFormat="1" x14ac:dyDescent="0.25"/>
    <row r="197382" customFormat="1" x14ac:dyDescent="0.25"/>
    <row r="197383" customFormat="1" x14ac:dyDescent="0.25"/>
    <row r="197384" customFormat="1" x14ac:dyDescent="0.25"/>
    <row r="197385" customFormat="1" x14ac:dyDescent="0.25"/>
    <row r="197386" customFormat="1" x14ac:dyDescent="0.25"/>
    <row r="197387" customFormat="1" x14ac:dyDescent="0.25"/>
    <row r="197388" customFormat="1" x14ac:dyDescent="0.25"/>
    <row r="197389" customFormat="1" x14ac:dyDescent="0.25"/>
    <row r="197390" customFormat="1" x14ac:dyDescent="0.25"/>
    <row r="197391" customFormat="1" x14ac:dyDescent="0.25"/>
    <row r="197392" customFormat="1" x14ac:dyDescent="0.25"/>
    <row r="197393" customFormat="1" x14ac:dyDescent="0.25"/>
    <row r="197394" customFormat="1" x14ac:dyDescent="0.25"/>
    <row r="197395" customFormat="1" x14ac:dyDescent="0.25"/>
    <row r="197396" customFormat="1" x14ac:dyDescent="0.25"/>
    <row r="197397" customFormat="1" x14ac:dyDescent="0.25"/>
    <row r="197398" customFormat="1" x14ac:dyDescent="0.25"/>
    <row r="197399" customFormat="1" x14ac:dyDescent="0.25"/>
    <row r="197400" customFormat="1" x14ac:dyDescent="0.25"/>
    <row r="197401" customFormat="1" x14ac:dyDescent="0.25"/>
    <row r="197402" customFormat="1" x14ac:dyDescent="0.25"/>
    <row r="197403" customFormat="1" x14ac:dyDescent="0.25"/>
    <row r="197404" customFormat="1" x14ac:dyDescent="0.25"/>
    <row r="197405" customFormat="1" x14ac:dyDescent="0.25"/>
    <row r="197406" customFormat="1" x14ac:dyDescent="0.25"/>
    <row r="197407" customFormat="1" x14ac:dyDescent="0.25"/>
    <row r="197408" customFormat="1" x14ac:dyDescent="0.25"/>
    <row r="197409" customFormat="1" x14ac:dyDescent="0.25"/>
    <row r="197410" customFormat="1" x14ac:dyDescent="0.25"/>
    <row r="197411" customFormat="1" x14ac:dyDescent="0.25"/>
    <row r="197412" customFormat="1" x14ac:dyDescent="0.25"/>
    <row r="197413" customFormat="1" x14ac:dyDescent="0.25"/>
    <row r="197414" customFormat="1" x14ac:dyDescent="0.25"/>
    <row r="197415" customFormat="1" x14ac:dyDescent="0.25"/>
    <row r="197416" customFormat="1" x14ac:dyDescent="0.25"/>
    <row r="197417" customFormat="1" x14ac:dyDescent="0.25"/>
    <row r="197418" customFormat="1" x14ac:dyDescent="0.25"/>
    <row r="197419" customFormat="1" x14ac:dyDescent="0.25"/>
    <row r="197420" customFormat="1" x14ac:dyDescent="0.25"/>
    <row r="197421" customFormat="1" x14ac:dyDescent="0.25"/>
    <row r="197422" customFormat="1" x14ac:dyDescent="0.25"/>
    <row r="197423" customFormat="1" x14ac:dyDescent="0.25"/>
    <row r="197424" customFormat="1" x14ac:dyDescent="0.25"/>
    <row r="197425" customFormat="1" x14ac:dyDescent="0.25"/>
    <row r="197426" customFormat="1" x14ac:dyDescent="0.25"/>
    <row r="197427" customFormat="1" x14ac:dyDescent="0.25"/>
    <row r="197428" customFormat="1" x14ac:dyDescent="0.25"/>
    <row r="197429" customFormat="1" x14ac:dyDescent="0.25"/>
    <row r="197430" customFormat="1" x14ac:dyDescent="0.25"/>
    <row r="197431" customFormat="1" x14ac:dyDescent="0.25"/>
    <row r="197432" customFormat="1" x14ac:dyDescent="0.25"/>
    <row r="197433" customFormat="1" x14ac:dyDescent="0.25"/>
    <row r="197434" customFormat="1" x14ac:dyDescent="0.25"/>
    <row r="197435" customFormat="1" x14ac:dyDescent="0.25"/>
    <row r="197436" customFormat="1" x14ac:dyDescent="0.25"/>
    <row r="197437" customFormat="1" x14ac:dyDescent="0.25"/>
    <row r="197438" customFormat="1" x14ac:dyDescent="0.25"/>
    <row r="197439" customFormat="1" x14ac:dyDescent="0.25"/>
    <row r="197440" customFormat="1" x14ac:dyDescent="0.25"/>
    <row r="197441" customFormat="1" x14ac:dyDescent="0.25"/>
    <row r="197442" customFormat="1" x14ac:dyDescent="0.25"/>
    <row r="197443" customFormat="1" x14ac:dyDescent="0.25"/>
    <row r="197444" customFormat="1" x14ac:dyDescent="0.25"/>
    <row r="197445" customFormat="1" x14ac:dyDescent="0.25"/>
    <row r="197446" customFormat="1" x14ac:dyDescent="0.25"/>
    <row r="197447" customFormat="1" x14ac:dyDescent="0.25"/>
    <row r="197448" customFormat="1" x14ac:dyDescent="0.25"/>
    <row r="197449" customFormat="1" x14ac:dyDescent="0.25"/>
    <row r="197450" customFormat="1" x14ac:dyDescent="0.25"/>
    <row r="197451" customFormat="1" x14ac:dyDescent="0.25"/>
    <row r="197452" customFormat="1" x14ac:dyDescent="0.25"/>
    <row r="197453" customFormat="1" x14ac:dyDescent="0.25"/>
    <row r="197454" customFormat="1" x14ac:dyDescent="0.25"/>
    <row r="197455" customFormat="1" x14ac:dyDescent="0.25"/>
    <row r="197456" customFormat="1" x14ac:dyDescent="0.25"/>
    <row r="197457" customFormat="1" x14ac:dyDescent="0.25"/>
    <row r="197458" customFormat="1" x14ac:dyDescent="0.25"/>
    <row r="197459" customFormat="1" x14ac:dyDescent="0.25"/>
    <row r="197460" customFormat="1" x14ac:dyDescent="0.25"/>
    <row r="197461" customFormat="1" x14ac:dyDescent="0.25"/>
    <row r="197462" customFormat="1" x14ac:dyDescent="0.25"/>
    <row r="197463" customFormat="1" x14ac:dyDescent="0.25"/>
    <row r="197464" customFormat="1" x14ac:dyDescent="0.25"/>
    <row r="197465" customFormat="1" x14ac:dyDescent="0.25"/>
    <row r="197466" customFormat="1" x14ac:dyDescent="0.25"/>
    <row r="197467" customFormat="1" x14ac:dyDescent="0.25"/>
    <row r="197468" customFormat="1" x14ac:dyDescent="0.25"/>
    <row r="197469" customFormat="1" x14ac:dyDescent="0.25"/>
    <row r="197470" customFormat="1" x14ac:dyDescent="0.25"/>
    <row r="197471" customFormat="1" x14ac:dyDescent="0.25"/>
    <row r="197472" customFormat="1" x14ac:dyDescent="0.25"/>
    <row r="197473" customFormat="1" x14ac:dyDescent="0.25"/>
    <row r="197474" customFormat="1" x14ac:dyDescent="0.25"/>
    <row r="197475" customFormat="1" x14ac:dyDescent="0.25"/>
    <row r="197476" customFormat="1" x14ac:dyDescent="0.25"/>
    <row r="197477" customFormat="1" x14ac:dyDescent="0.25"/>
    <row r="197478" customFormat="1" x14ac:dyDescent="0.25"/>
    <row r="197479" customFormat="1" x14ac:dyDescent="0.25"/>
    <row r="197480" customFormat="1" x14ac:dyDescent="0.25"/>
    <row r="197481" customFormat="1" x14ac:dyDescent="0.25"/>
    <row r="197482" customFormat="1" x14ac:dyDescent="0.25"/>
    <row r="197483" customFormat="1" x14ac:dyDescent="0.25"/>
    <row r="197484" customFormat="1" x14ac:dyDescent="0.25"/>
    <row r="197485" customFormat="1" x14ac:dyDescent="0.25"/>
    <row r="197486" customFormat="1" x14ac:dyDescent="0.25"/>
    <row r="197487" customFormat="1" x14ac:dyDescent="0.25"/>
    <row r="197488" customFormat="1" x14ac:dyDescent="0.25"/>
    <row r="197489" customFormat="1" x14ac:dyDescent="0.25"/>
    <row r="197490" customFormat="1" x14ac:dyDescent="0.25"/>
    <row r="197491" customFormat="1" x14ac:dyDescent="0.25"/>
    <row r="197492" customFormat="1" x14ac:dyDescent="0.25"/>
    <row r="197493" customFormat="1" x14ac:dyDescent="0.25"/>
    <row r="197494" customFormat="1" x14ac:dyDescent="0.25"/>
    <row r="197495" customFormat="1" x14ac:dyDescent="0.25"/>
    <row r="197496" customFormat="1" x14ac:dyDescent="0.25"/>
    <row r="197497" customFormat="1" x14ac:dyDescent="0.25"/>
    <row r="197498" customFormat="1" x14ac:dyDescent="0.25"/>
    <row r="197499" customFormat="1" x14ac:dyDescent="0.25"/>
    <row r="197500" customFormat="1" x14ac:dyDescent="0.25"/>
    <row r="197501" customFormat="1" x14ac:dyDescent="0.25"/>
    <row r="197502" customFormat="1" x14ac:dyDescent="0.25"/>
    <row r="197503" customFormat="1" x14ac:dyDescent="0.25"/>
    <row r="197504" customFormat="1" x14ac:dyDescent="0.25"/>
    <row r="197505" customFormat="1" x14ac:dyDescent="0.25"/>
    <row r="197506" customFormat="1" x14ac:dyDescent="0.25"/>
    <row r="197507" customFormat="1" x14ac:dyDescent="0.25"/>
    <row r="197508" customFormat="1" x14ac:dyDescent="0.25"/>
    <row r="197509" customFormat="1" x14ac:dyDescent="0.25"/>
    <row r="197510" customFormat="1" x14ac:dyDescent="0.25"/>
    <row r="197511" customFormat="1" x14ac:dyDescent="0.25"/>
    <row r="197512" customFormat="1" x14ac:dyDescent="0.25"/>
    <row r="197513" customFormat="1" x14ac:dyDescent="0.25"/>
    <row r="197514" customFormat="1" x14ac:dyDescent="0.25"/>
    <row r="197515" customFormat="1" x14ac:dyDescent="0.25"/>
    <row r="197516" customFormat="1" x14ac:dyDescent="0.25"/>
    <row r="197517" customFormat="1" x14ac:dyDescent="0.25"/>
    <row r="197518" customFormat="1" x14ac:dyDescent="0.25"/>
    <row r="197519" customFormat="1" x14ac:dyDescent="0.25"/>
    <row r="197520" customFormat="1" x14ac:dyDescent="0.25"/>
    <row r="197521" customFormat="1" x14ac:dyDescent="0.25"/>
    <row r="197522" customFormat="1" x14ac:dyDescent="0.25"/>
    <row r="197523" customFormat="1" x14ac:dyDescent="0.25"/>
    <row r="197524" customFormat="1" x14ac:dyDescent="0.25"/>
    <row r="197525" customFormat="1" x14ac:dyDescent="0.25"/>
    <row r="197526" customFormat="1" x14ac:dyDescent="0.25"/>
    <row r="197527" customFormat="1" x14ac:dyDescent="0.25"/>
    <row r="197528" customFormat="1" x14ac:dyDescent="0.25"/>
    <row r="197529" customFormat="1" x14ac:dyDescent="0.25"/>
    <row r="197530" customFormat="1" x14ac:dyDescent="0.25"/>
    <row r="197531" customFormat="1" x14ac:dyDescent="0.25"/>
    <row r="197532" customFormat="1" x14ac:dyDescent="0.25"/>
    <row r="197533" customFormat="1" x14ac:dyDescent="0.25"/>
    <row r="197534" customFormat="1" x14ac:dyDescent="0.25"/>
    <row r="197535" customFormat="1" x14ac:dyDescent="0.25"/>
    <row r="197536" customFormat="1" x14ac:dyDescent="0.25"/>
    <row r="197537" customFormat="1" x14ac:dyDescent="0.25"/>
    <row r="197538" customFormat="1" x14ac:dyDescent="0.25"/>
    <row r="197539" customFormat="1" x14ac:dyDescent="0.25"/>
    <row r="197540" customFormat="1" x14ac:dyDescent="0.25"/>
    <row r="197541" customFormat="1" x14ac:dyDescent="0.25"/>
    <row r="197542" customFormat="1" x14ac:dyDescent="0.25"/>
    <row r="197543" customFormat="1" x14ac:dyDescent="0.25"/>
    <row r="197544" customFormat="1" x14ac:dyDescent="0.25"/>
    <row r="197545" customFormat="1" x14ac:dyDescent="0.25"/>
    <row r="197546" customFormat="1" x14ac:dyDescent="0.25"/>
    <row r="197547" customFormat="1" x14ac:dyDescent="0.25"/>
    <row r="197548" customFormat="1" x14ac:dyDescent="0.25"/>
    <row r="197549" customFormat="1" x14ac:dyDescent="0.25"/>
    <row r="197550" customFormat="1" x14ac:dyDescent="0.25"/>
    <row r="197551" customFormat="1" x14ac:dyDescent="0.25"/>
    <row r="197552" customFormat="1" x14ac:dyDescent="0.25"/>
    <row r="197553" customFormat="1" x14ac:dyDescent="0.25"/>
    <row r="197554" customFormat="1" x14ac:dyDescent="0.25"/>
    <row r="197555" customFormat="1" x14ac:dyDescent="0.25"/>
    <row r="197556" customFormat="1" x14ac:dyDescent="0.25"/>
    <row r="197557" customFormat="1" x14ac:dyDescent="0.25"/>
    <row r="197558" customFormat="1" x14ac:dyDescent="0.25"/>
    <row r="197559" customFormat="1" x14ac:dyDescent="0.25"/>
    <row r="197560" customFormat="1" x14ac:dyDescent="0.25"/>
    <row r="197561" customFormat="1" x14ac:dyDescent="0.25"/>
    <row r="197562" customFormat="1" x14ac:dyDescent="0.25"/>
    <row r="197563" customFormat="1" x14ac:dyDescent="0.25"/>
    <row r="197564" customFormat="1" x14ac:dyDescent="0.25"/>
    <row r="197565" customFormat="1" x14ac:dyDescent="0.25"/>
    <row r="197566" customFormat="1" x14ac:dyDescent="0.25"/>
    <row r="197567" customFormat="1" x14ac:dyDescent="0.25"/>
    <row r="197568" customFormat="1" x14ac:dyDescent="0.25"/>
    <row r="197569" customFormat="1" x14ac:dyDescent="0.25"/>
    <row r="197570" customFormat="1" x14ac:dyDescent="0.25"/>
    <row r="197571" customFormat="1" x14ac:dyDescent="0.25"/>
    <row r="197572" customFormat="1" x14ac:dyDescent="0.25"/>
    <row r="197573" customFormat="1" x14ac:dyDescent="0.25"/>
    <row r="197574" customFormat="1" x14ac:dyDescent="0.25"/>
    <row r="197575" customFormat="1" x14ac:dyDescent="0.25"/>
    <row r="197576" customFormat="1" x14ac:dyDescent="0.25"/>
    <row r="197577" customFormat="1" x14ac:dyDescent="0.25"/>
    <row r="197578" customFormat="1" x14ac:dyDescent="0.25"/>
    <row r="197579" customFormat="1" x14ac:dyDescent="0.25"/>
    <row r="197580" customFormat="1" x14ac:dyDescent="0.25"/>
    <row r="197581" customFormat="1" x14ac:dyDescent="0.25"/>
    <row r="197582" customFormat="1" x14ac:dyDescent="0.25"/>
    <row r="197583" customFormat="1" x14ac:dyDescent="0.25"/>
    <row r="197584" customFormat="1" x14ac:dyDescent="0.25"/>
    <row r="197585" customFormat="1" x14ac:dyDescent="0.25"/>
    <row r="197586" customFormat="1" x14ac:dyDescent="0.25"/>
    <row r="197587" customFormat="1" x14ac:dyDescent="0.25"/>
    <row r="197588" customFormat="1" x14ac:dyDescent="0.25"/>
    <row r="197589" customFormat="1" x14ac:dyDescent="0.25"/>
    <row r="197590" customFormat="1" x14ac:dyDescent="0.25"/>
    <row r="197591" customFormat="1" x14ac:dyDescent="0.25"/>
    <row r="197592" customFormat="1" x14ac:dyDescent="0.25"/>
    <row r="197593" customFormat="1" x14ac:dyDescent="0.25"/>
    <row r="197594" customFormat="1" x14ac:dyDescent="0.25"/>
    <row r="197595" customFormat="1" x14ac:dyDescent="0.25"/>
    <row r="197596" customFormat="1" x14ac:dyDescent="0.25"/>
    <row r="197597" customFormat="1" x14ac:dyDescent="0.25"/>
    <row r="197598" customFormat="1" x14ac:dyDescent="0.25"/>
    <row r="197599" customFormat="1" x14ac:dyDescent="0.25"/>
    <row r="197600" customFormat="1" x14ac:dyDescent="0.25"/>
    <row r="197601" customFormat="1" x14ac:dyDescent="0.25"/>
    <row r="197602" customFormat="1" x14ac:dyDescent="0.25"/>
    <row r="197603" customFormat="1" x14ac:dyDescent="0.25"/>
    <row r="197604" customFormat="1" x14ac:dyDescent="0.25"/>
    <row r="197605" customFormat="1" x14ac:dyDescent="0.25"/>
    <row r="197606" customFormat="1" x14ac:dyDescent="0.25"/>
    <row r="197607" customFormat="1" x14ac:dyDescent="0.25"/>
    <row r="197608" customFormat="1" x14ac:dyDescent="0.25"/>
    <row r="197609" customFormat="1" x14ac:dyDescent="0.25"/>
    <row r="197610" customFormat="1" x14ac:dyDescent="0.25"/>
    <row r="197611" customFormat="1" x14ac:dyDescent="0.25"/>
    <row r="197612" customFormat="1" x14ac:dyDescent="0.25"/>
    <row r="197613" customFormat="1" x14ac:dyDescent="0.25"/>
    <row r="197614" customFormat="1" x14ac:dyDescent="0.25"/>
    <row r="197615" customFormat="1" x14ac:dyDescent="0.25"/>
    <row r="197616" customFormat="1" x14ac:dyDescent="0.25"/>
    <row r="197617" customFormat="1" x14ac:dyDescent="0.25"/>
    <row r="197618" customFormat="1" x14ac:dyDescent="0.25"/>
    <row r="197619" customFormat="1" x14ac:dyDescent="0.25"/>
    <row r="197620" customFormat="1" x14ac:dyDescent="0.25"/>
    <row r="197621" customFormat="1" x14ac:dyDescent="0.25"/>
    <row r="197622" customFormat="1" x14ac:dyDescent="0.25"/>
    <row r="197623" customFormat="1" x14ac:dyDescent="0.25"/>
    <row r="197624" customFormat="1" x14ac:dyDescent="0.25"/>
    <row r="197625" customFormat="1" x14ac:dyDescent="0.25"/>
    <row r="197626" customFormat="1" x14ac:dyDescent="0.25"/>
    <row r="197627" customFormat="1" x14ac:dyDescent="0.25"/>
    <row r="197628" customFormat="1" x14ac:dyDescent="0.25"/>
    <row r="197629" customFormat="1" x14ac:dyDescent="0.25"/>
    <row r="197630" customFormat="1" x14ac:dyDescent="0.25"/>
    <row r="197631" customFormat="1" x14ac:dyDescent="0.25"/>
    <row r="197632" customFormat="1" x14ac:dyDescent="0.25"/>
    <row r="197633" customFormat="1" x14ac:dyDescent="0.25"/>
    <row r="197634" customFormat="1" x14ac:dyDescent="0.25"/>
    <row r="197635" customFormat="1" x14ac:dyDescent="0.25"/>
    <row r="197636" customFormat="1" x14ac:dyDescent="0.25"/>
    <row r="197637" customFormat="1" x14ac:dyDescent="0.25"/>
    <row r="197638" customFormat="1" x14ac:dyDescent="0.25"/>
    <row r="197639" customFormat="1" x14ac:dyDescent="0.25"/>
    <row r="197640" customFormat="1" x14ac:dyDescent="0.25"/>
    <row r="197641" customFormat="1" x14ac:dyDescent="0.25"/>
    <row r="197642" customFormat="1" x14ac:dyDescent="0.25"/>
    <row r="197643" customFormat="1" x14ac:dyDescent="0.25"/>
    <row r="197644" customFormat="1" x14ac:dyDescent="0.25"/>
    <row r="197645" customFormat="1" x14ac:dyDescent="0.25"/>
    <row r="197646" customFormat="1" x14ac:dyDescent="0.25"/>
    <row r="197647" customFormat="1" x14ac:dyDescent="0.25"/>
    <row r="197648" customFormat="1" x14ac:dyDescent="0.25"/>
    <row r="197649" customFormat="1" x14ac:dyDescent="0.25"/>
    <row r="197650" customFormat="1" x14ac:dyDescent="0.25"/>
    <row r="197651" customFormat="1" x14ac:dyDescent="0.25"/>
    <row r="197652" customFormat="1" x14ac:dyDescent="0.25"/>
    <row r="197653" customFormat="1" x14ac:dyDescent="0.25"/>
    <row r="197654" customFormat="1" x14ac:dyDescent="0.25"/>
    <row r="197655" customFormat="1" x14ac:dyDescent="0.25"/>
    <row r="197656" customFormat="1" x14ac:dyDescent="0.25"/>
    <row r="197657" customFormat="1" x14ac:dyDescent="0.25"/>
    <row r="197658" customFormat="1" x14ac:dyDescent="0.25"/>
    <row r="197659" customFormat="1" x14ac:dyDescent="0.25"/>
    <row r="197660" customFormat="1" x14ac:dyDescent="0.25"/>
    <row r="197661" customFormat="1" x14ac:dyDescent="0.25"/>
    <row r="197662" customFormat="1" x14ac:dyDescent="0.25"/>
    <row r="197663" customFormat="1" x14ac:dyDescent="0.25"/>
    <row r="197664" customFormat="1" x14ac:dyDescent="0.25"/>
    <row r="197665" customFormat="1" x14ac:dyDescent="0.25"/>
    <row r="197666" customFormat="1" x14ac:dyDescent="0.25"/>
    <row r="197667" customFormat="1" x14ac:dyDescent="0.25"/>
    <row r="197668" customFormat="1" x14ac:dyDescent="0.25"/>
    <row r="197669" customFormat="1" x14ac:dyDescent="0.25"/>
    <row r="197670" customFormat="1" x14ac:dyDescent="0.25"/>
    <row r="197671" customFormat="1" x14ac:dyDescent="0.25"/>
    <row r="197672" customFormat="1" x14ac:dyDescent="0.25"/>
    <row r="197673" customFormat="1" x14ac:dyDescent="0.25"/>
    <row r="197674" customFormat="1" x14ac:dyDescent="0.25"/>
    <row r="197675" customFormat="1" x14ac:dyDescent="0.25"/>
    <row r="197676" customFormat="1" x14ac:dyDescent="0.25"/>
    <row r="197677" customFormat="1" x14ac:dyDescent="0.25"/>
    <row r="197678" customFormat="1" x14ac:dyDescent="0.25"/>
    <row r="197679" customFormat="1" x14ac:dyDescent="0.25"/>
    <row r="197680" customFormat="1" x14ac:dyDescent="0.25"/>
    <row r="197681" customFormat="1" x14ac:dyDescent="0.25"/>
    <row r="197682" customFormat="1" x14ac:dyDescent="0.25"/>
    <row r="197683" customFormat="1" x14ac:dyDescent="0.25"/>
    <row r="197684" customFormat="1" x14ac:dyDescent="0.25"/>
    <row r="197685" customFormat="1" x14ac:dyDescent="0.25"/>
    <row r="197686" customFormat="1" x14ac:dyDescent="0.25"/>
    <row r="197687" customFormat="1" x14ac:dyDescent="0.25"/>
    <row r="197688" customFormat="1" x14ac:dyDescent="0.25"/>
    <row r="197689" customFormat="1" x14ac:dyDescent="0.25"/>
    <row r="197690" customFormat="1" x14ac:dyDescent="0.25"/>
    <row r="197691" customFormat="1" x14ac:dyDescent="0.25"/>
    <row r="197692" customFormat="1" x14ac:dyDescent="0.25"/>
    <row r="197693" customFormat="1" x14ac:dyDescent="0.25"/>
    <row r="197694" customFormat="1" x14ac:dyDescent="0.25"/>
    <row r="197695" customFormat="1" x14ac:dyDescent="0.25"/>
    <row r="197696" customFormat="1" x14ac:dyDescent="0.25"/>
    <row r="197697" customFormat="1" x14ac:dyDescent="0.25"/>
    <row r="197698" customFormat="1" x14ac:dyDescent="0.25"/>
    <row r="197699" customFormat="1" x14ac:dyDescent="0.25"/>
    <row r="197700" customFormat="1" x14ac:dyDescent="0.25"/>
    <row r="197701" customFormat="1" x14ac:dyDescent="0.25"/>
    <row r="197702" customFormat="1" x14ac:dyDescent="0.25"/>
    <row r="197703" customFormat="1" x14ac:dyDescent="0.25"/>
    <row r="197704" customFormat="1" x14ac:dyDescent="0.25"/>
    <row r="197705" customFormat="1" x14ac:dyDescent="0.25"/>
    <row r="197706" customFormat="1" x14ac:dyDescent="0.25"/>
    <row r="197707" customFormat="1" x14ac:dyDescent="0.25"/>
    <row r="197708" customFormat="1" x14ac:dyDescent="0.25"/>
    <row r="197709" customFormat="1" x14ac:dyDescent="0.25"/>
    <row r="197710" customFormat="1" x14ac:dyDescent="0.25"/>
    <row r="197711" customFormat="1" x14ac:dyDescent="0.25"/>
    <row r="197712" customFormat="1" x14ac:dyDescent="0.25"/>
    <row r="197713" customFormat="1" x14ac:dyDescent="0.25"/>
    <row r="197714" customFormat="1" x14ac:dyDescent="0.25"/>
    <row r="197715" customFormat="1" x14ac:dyDescent="0.25"/>
    <row r="197716" customFormat="1" x14ac:dyDescent="0.25"/>
    <row r="197717" customFormat="1" x14ac:dyDescent="0.25"/>
    <row r="197718" customFormat="1" x14ac:dyDescent="0.25"/>
    <row r="197719" customFormat="1" x14ac:dyDescent="0.25"/>
    <row r="197720" customFormat="1" x14ac:dyDescent="0.25"/>
    <row r="197721" customFormat="1" x14ac:dyDescent="0.25"/>
    <row r="197722" customFormat="1" x14ac:dyDescent="0.25"/>
    <row r="197723" customFormat="1" x14ac:dyDescent="0.25"/>
    <row r="197724" customFormat="1" x14ac:dyDescent="0.25"/>
    <row r="197725" customFormat="1" x14ac:dyDescent="0.25"/>
    <row r="197726" customFormat="1" x14ac:dyDescent="0.25"/>
    <row r="197727" customFormat="1" x14ac:dyDescent="0.25"/>
    <row r="197728" customFormat="1" x14ac:dyDescent="0.25"/>
    <row r="197729" customFormat="1" x14ac:dyDescent="0.25"/>
    <row r="197730" customFormat="1" x14ac:dyDescent="0.25"/>
    <row r="197731" customFormat="1" x14ac:dyDescent="0.25"/>
    <row r="197732" customFormat="1" x14ac:dyDescent="0.25"/>
    <row r="197733" customFormat="1" x14ac:dyDescent="0.25"/>
    <row r="197734" customFormat="1" x14ac:dyDescent="0.25"/>
    <row r="197735" customFormat="1" x14ac:dyDescent="0.25"/>
    <row r="197736" customFormat="1" x14ac:dyDescent="0.25"/>
    <row r="197737" customFormat="1" x14ac:dyDescent="0.25"/>
    <row r="197738" customFormat="1" x14ac:dyDescent="0.25"/>
    <row r="197739" customFormat="1" x14ac:dyDescent="0.25"/>
    <row r="197740" customFormat="1" x14ac:dyDescent="0.25"/>
    <row r="197741" customFormat="1" x14ac:dyDescent="0.25"/>
    <row r="197742" customFormat="1" x14ac:dyDescent="0.25"/>
    <row r="197743" customFormat="1" x14ac:dyDescent="0.25"/>
    <row r="197744" customFormat="1" x14ac:dyDescent="0.25"/>
    <row r="197745" customFormat="1" x14ac:dyDescent="0.25"/>
    <row r="197746" customFormat="1" x14ac:dyDescent="0.25"/>
    <row r="197747" customFormat="1" x14ac:dyDescent="0.25"/>
    <row r="197748" customFormat="1" x14ac:dyDescent="0.25"/>
    <row r="197749" customFormat="1" x14ac:dyDescent="0.25"/>
    <row r="197750" customFormat="1" x14ac:dyDescent="0.25"/>
    <row r="197751" customFormat="1" x14ac:dyDescent="0.25"/>
    <row r="197752" customFormat="1" x14ac:dyDescent="0.25"/>
    <row r="197753" customFormat="1" x14ac:dyDescent="0.25"/>
    <row r="197754" customFormat="1" x14ac:dyDescent="0.25"/>
    <row r="197755" customFormat="1" x14ac:dyDescent="0.25"/>
    <row r="197756" customFormat="1" x14ac:dyDescent="0.25"/>
    <row r="197757" customFormat="1" x14ac:dyDescent="0.25"/>
    <row r="197758" customFormat="1" x14ac:dyDescent="0.25"/>
    <row r="197759" customFormat="1" x14ac:dyDescent="0.25"/>
    <row r="197760" customFormat="1" x14ac:dyDescent="0.25"/>
    <row r="197761" customFormat="1" x14ac:dyDescent="0.25"/>
    <row r="197762" customFormat="1" x14ac:dyDescent="0.25"/>
    <row r="197763" customFormat="1" x14ac:dyDescent="0.25"/>
    <row r="197764" customFormat="1" x14ac:dyDescent="0.25"/>
    <row r="197765" customFormat="1" x14ac:dyDescent="0.25"/>
    <row r="197766" customFormat="1" x14ac:dyDescent="0.25"/>
    <row r="197767" customFormat="1" x14ac:dyDescent="0.25"/>
    <row r="197768" customFormat="1" x14ac:dyDescent="0.25"/>
    <row r="197769" customFormat="1" x14ac:dyDescent="0.25"/>
    <row r="197770" customFormat="1" x14ac:dyDescent="0.25"/>
    <row r="197771" customFormat="1" x14ac:dyDescent="0.25"/>
    <row r="197772" customFormat="1" x14ac:dyDescent="0.25"/>
    <row r="197773" customFormat="1" x14ac:dyDescent="0.25"/>
    <row r="197774" customFormat="1" x14ac:dyDescent="0.25"/>
    <row r="197775" customFormat="1" x14ac:dyDescent="0.25"/>
    <row r="197776" customFormat="1" x14ac:dyDescent="0.25"/>
    <row r="197777" customFormat="1" x14ac:dyDescent="0.25"/>
    <row r="197778" customFormat="1" x14ac:dyDescent="0.25"/>
    <row r="197779" customFormat="1" x14ac:dyDescent="0.25"/>
    <row r="197780" customFormat="1" x14ac:dyDescent="0.25"/>
    <row r="197781" customFormat="1" x14ac:dyDescent="0.25"/>
    <row r="197782" customFormat="1" x14ac:dyDescent="0.25"/>
    <row r="197783" customFormat="1" x14ac:dyDescent="0.25"/>
    <row r="197784" customFormat="1" x14ac:dyDescent="0.25"/>
    <row r="197785" customFormat="1" x14ac:dyDescent="0.25"/>
    <row r="197786" customFormat="1" x14ac:dyDescent="0.25"/>
    <row r="197787" customFormat="1" x14ac:dyDescent="0.25"/>
    <row r="197788" customFormat="1" x14ac:dyDescent="0.25"/>
    <row r="197789" customFormat="1" x14ac:dyDescent="0.25"/>
    <row r="197790" customFormat="1" x14ac:dyDescent="0.25"/>
    <row r="197791" customFormat="1" x14ac:dyDescent="0.25"/>
    <row r="197792" customFormat="1" x14ac:dyDescent="0.25"/>
    <row r="197793" customFormat="1" x14ac:dyDescent="0.25"/>
    <row r="197794" customFormat="1" x14ac:dyDescent="0.25"/>
    <row r="197795" customFormat="1" x14ac:dyDescent="0.25"/>
    <row r="197796" customFormat="1" x14ac:dyDescent="0.25"/>
    <row r="197797" customFormat="1" x14ac:dyDescent="0.25"/>
    <row r="197798" customFormat="1" x14ac:dyDescent="0.25"/>
    <row r="197799" customFormat="1" x14ac:dyDescent="0.25"/>
    <row r="197800" customFormat="1" x14ac:dyDescent="0.25"/>
    <row r="197801" customFormat="1" x14ac:dyDescent="0.25"/>
    <row r="197802" customFormat="1" x14ac:dyDescent="0.25"/>
    <row r="197803" customFormat="1" x14ac:dyDescent="0.25"/>
    <row r="197804" customFormat="1" x14ac:dyDescent="0.25"/>
    <row r="197805" customFormat="1" x14ac:dyDescent="0.25"/>
    <row r="197806" customFormat="1" x14ac:dyDescent="0.25"/>
    <row r="197807" customFormat="1" x14ac:dyDescent="0.25"/>
    <row r="197808" customFormat="1" x14ac:dyDescent="0.25"/>
    <row r="197809" customFormat="1" x14ac:dyDescent="0.25"/>
    <row r="197810" customFormat="1" x14ac:dyDescent="0.25"/>
    <row r="197811" customFormat="1" x14ac:dyDescent="0.25"/>
    <row r="197812" customFormat="1" x14ac:dyDescent="0.25"/>
    <row r="197813" customFormat="1" x14ac:dyDescent="0.25"/>
    <row r="197814" customFormat="1" x14ac:dyDescent="0.25"/>
    <row r="197815" customFormat="1" x14ac:dyDescent="0.25"/>
    <row r="197816" customFormat="1" x14ac:dyDescent="0.25"/>
    <row r="197817" customFormat="1" x14ac:dyDescent="0.25"/>
    <row r="197818" customFormat="1" x14ac:dyDescent="0.25"/>
    <row r="197819" customFormat="1" x14ac:dyDescent="0.25"/>
    <row r="197820" customFormat="1" x14ac:dyDescent="0.25"/>
    <row r="197821" customFormat="1" x14ac:dyDescent="0.25"/>
    <row r="197822" customFormat="1" x14ac:dyDescent="0.25"/>
    <row r="197823" customFormat="1" x14ac:dyDescent="0.25"/>
    <row r="197824" customFormat="1" x14ac:dyDescent="0.25"/>
    <row r="197825" customFormat="1" x14ac:dyDescent="0.25"/>
    <row r="197826" customFormat="1" x14ac:dyDescent="0.25"/>
    <row r="197827" customFormat="1" x14ac:dyDescent="0.25"/>
    <row r="197828" customFormat="1" x14ac:dyDescent="0.25"/>
    <row r="197829" customFormat="1" x14ac:dyDescent="0.25"/>
    <row r="197830" customFormat="1" x14ac:dyDescent="0.25"/>
    <row r="197831" customFormat="1" x14ac:dyDescent="0.25"/>
    <row r="197832" customFormat="1" x14ac:dyDescent="0.25"/>
    <row r="197833" customFormat="1" x14ac:dyDescent="0.25"/>
    <row r="197834" customFormat="1" x14ac:dyDescent="0.25"/>
    <row r="197835" customFormat="1" x14ac:dyDescent="0.25"/>
    <row r="197836" customFormat="1" x14ac:dyDescent="0.25"/>
    <row r="197837" customFormat="1" x14ac:dyDescent="0.25"/>
    <row r="197838" customFormat="1" x14ac:dyDescent="0.25"/>
    <row r="197839" customFormat="1" x14ac:dyDescent="0.25"/>
    <row r="197840" customFormat="1" x14ac:dyDescent="0.25"/>
    <row r="197841" customFormat="1" x14ac:dyDescent="0.25"/>
    <row r="197842" customFormat="1" x14ac:dyDescent="0.25"/>
    <row r="197843" customFormat="1" x14ac:dyDescent="0.25"/>
    <row r="197844" customFormat="1" x14ac:dyDescent="0.25"/>
    <row r="197845" customFormat="1" x14ac:dyDescent="0.25"/>
    <row r="197846" customFormat="1" x14ac:dyDescent="0.25"/>
    <row r="197847" customFormat="1" x14ac:dyDescent="0.25"/>
    <row r="197848" customFormat="1" x14ac:dyDescent="0.25"/>
    <row r="197849" customFormat="1" x14ac:dyDescent="0.25"/>
    <row r="197850" customFormat="1" x14ac:dyDescent="0.25"/>
    <row r="197851" customFormat="1" x14ac:dyDescent="0.25"/>
    <row r="197852" customFormat="1" x14ac:dyDescent="0.25"/>
    <row r="197853" customFormat="1" x14ac:dyDescent="0.25"/>
    <row r="197854" customFormat="1" x14ac:dyDescent="0.25"/>
    <row r="197855" customFormat="1" x14ac:dyDescent="0.25"/>
    <row r="197856" customFormat="1" x14ac:dyDescent="0.25"/>
    <row r="197857" customFormat="1" x14ac:dyDescent="0.25"/>
    <row r="197858" customFormat="1" x14ac:dyDescent="0.25"/>
    <row r="197859" customFormat="1" x14ac:dyDescent="0.25"/>
    <row r="197860" customFormat="1" x14ac:dyDescent="0.25"/>
    <row r="197861" customFormat="1" x14ac:dyDescent="0.25"/>
    <row r="197862" customFormat="1" x14ac:dyDescent="0.25"/>
    <row r="197863" customFormat="1" x14ac:dyDescent="0.25"/>
    <row r="197864" customFormat="1" x14ac:dyDescent="0.25"/>
    <row r="197865" customFormat="1" x14ac:dyDescent="0.25"/>
    <row r="197866" customFormat="1" x14ac:dyDescent="0.25"/>
    <row r="197867" customFormat="1" x14ac:dyDescent="0.25"/>
    <row r="197868" customFormat="1" x14ac:dyDescent="0.25"/>
    <row r="197869" customFormat="1" x14ac:dyDescent="0.25"/>
    <row r="197870" customFormat="1" x14ac:dyDescent="0.25"/>
    <row r="197871" customFormat="1" x14ac:dyDescent="0.25"/>
    <row r="197872" customFormat="1" x14ac:dyDescent="0.25"/>
    <row r="197873" customFormat="1" x14ac:dyDescent="0.25"/>
    <row r="197874" customFormat="1" x14ac:dyDescent="0.25"/>
    <row r="197875" customFormat="1" x14ac:dyDescent="0.25"/>
    <row r="197876" customFormat="1" x14ac:dyDescent="0.25"/>
    <row r="197877" customFormat="1" x14ac:dyDescent="0.25"/>
    <row r="197878" customFormat="1" x14ac:dyDescent="0.25"/>
    <row r="197879" customFormat="1" x14ac:dyDescent="0.25"/>
    <row r="197880" customFormat="1" x14ac:dyDescent="0.25"/>
    <row r="197881" customFormat="1" x14ac:dyDescent="0.25"/>
    <row r="197882" customFormat="1" x14ac:dyDescent="0.25"/>
    <row r="197883" customFormat="1" x14ac:dyDescent="0.25"/>
    <row r="197884" customFormat="1" x14ac:dyDescent="0.25"/>
    <row r="197885" customFormat="1" x14ac:dyDescent="0.25"/>
    <row r="197886" customFormat="1" x14ac:dyDescent="0.25"/>
    <row r="197887" customFormat="1" x14ac:dyDescent="0.25"/>
    <row r="197888" customFormat="1" x14ac:dyDescent="0.25"/>
    <row r="197889" customFormat="1" x14ac:dyDescent="0.25"/>
    <row r="197890" customFormat="1" x14ac:dyDescent="0.25"/>
    <row r="197891" customFormat="1" x14ac:dyDescent="0.25"/>
    <row r="197892" customFormat="1" x14ac:dyDescent="0.25"/>
    <row r="197893" customFormat="1" x14ac:dyDescent="0.25"/>
    <row r="197894" customFormat="1" x14ac:dyDescent="0.25"/>
    <row r="197895" customFormat="1" x14ac:dyDescent="0.25"/>
    <row r="197896" customFormat="1" x14ac:dyDescent="0.25"/>
    <row r="197897" customFormat="1" x14ac:dyDescent="0.25"/>
    <row r="197898" customFormat="1" x14ac:dyDescent="0.25"/>
    <row r="197899" customFormat="1" x14ac:dyDescent="0.25"/>
    <row r="197900" customFormat="1" x14ac:dyDescent="0.25"/>
    <row r="197901" customFormat="1" x14ac:dyDescent="0.25"/>
    <row r="197902" customFormat="1" x14ac:dyDescent="0.25"/>
    <row r="197903" customFormat="1" x14ac:dyDescent="0.25"/>
    <row r="197904" customFormat="1" x14ac:dyDescent="0.25"/>
    <row r="197905" customFormat="1" x14ac:dyDescent="0.25"/>
    <row r="197906" customFormat="1" x14ac:dyDescent="0.25"/>
    <row r="197907" customFormat="1" x14ac:dyDescent="0.25"/>
    <row r="197908" customFormat="1" x14ac:dyDescent="0.25"/>
    <row r="197909" customFormat="1" x14ac:dyDescent="0.25"/>
    <row r="197910" customFormat="1" x14ac:dyDescent="0.25"/>
    <row r="197911" customFormat="1" x14ac:dyDescent="0.25"/>
    <row r="197912" customFormat="1" x14ac:dyDescent="0.25"/>
    <row r="197913" customFormat="1" x14ac:dyDescent="0.25"/>
    <row r="197914" customFormat="1" x14ac:dyDescent="0.25"/>
    <row r="197915" customFormat="1" x14ac:dyDescent="0.25"/>
    <row r="197916" customFormat="1" x14ac:dyDescent="0.25"/>
    <row r="197917" customFormat="1" x14ac:dyDescent="0.25"/>
    <row r="197918" customFormat="1" x14ac:dyDescent="0.25"/>
    <row r="197919" customFormat="1" x14ac:dyDescent="0.25"/>
    <row r="197920" customFormat="1" x14ac:dyDescent="0.25"/>
    <row r="197921" customFormat="1" x14ac:dyDescent="0.25"/>
    <row r="197922" customFormat="1" x14ac:dyDescent="0.25"/>
    <row r="197923" customFormat="1" x14ac:dyDescent="0.25"/>
    <row r="197924" customFormat="1" x14ac:dyDescent="0.25"/>
    <row r="197925" customFormat="1" x14ac:dyDescent="0.25"/>
    <row r="197926" customFormat="1" x14ac:dyDescent="0.25"/>
    <row r="197927" customFormat="1" x14ac:dyDescent="0.25"/>
    <row r="197928" customFormat="1" x14ac:dyDescent="0.25"/>
    <row r="197929" customFormat="1" x14ac:dyDescent="0.25"/>
    <row r="197930" customFormat="1" x14ac:dyDescent="0.25"/>
    <row r="197931" customFormat="1" x14ac:dyDescent="0.25"/>
    <row r="197932" customFormat="1" x14ac:dyDescent="0.25"/>
    <row r="197933" customFormat="1" x14ac:dyDescent="0.25"/>
    <row r="197934" customFormat="1" x14ac:dyDescent="0.25"/>
    <row r="197935" customFormat="1" x14ac:dyDescent="0.25"/>
    <row r="197936" customFormat="1" x14ac:dyDescent="0.25"/>
    <row r="197937" customFormat="1" x14ac:dyDescent="0.25"/>
    <row r="197938" customFormat="1" x14ac:dyDescent="0.25"/>
    <row r="197939" customFormat="1" x14ac:dyDescent="0.25"/>
    <row r="197940" customFormat="1" x14ac:dyDescent="0.25"/>
    <row r="197941" customFormat="1" x14ac:dyDescent="0.25"/>
    <row r="197942" customFormat="1" x14ac:dyDescent="0.25"/>
    <row r="197943" customFormat="1" x14ac:dyDescent="0.25"/>
    <row r="197944" customFormat="1" x14ac:dyDescent="0.25"/>
    <row r="197945" customFormat="1" x14ac:dyDescent="0.25"/>
    <row r="197946" customFormat="1" x14ac:dyDescent="0.25"/>
    <row r="197947" customFormat="1" x14ac:dyDescent="0.25"/>
    <row r="197948" customFormat="1" x14ac:dyDescent="0.25"/>
    <row r="197949" customFormat="1" x14ac:dyDescent="0.25"/>
    <row r="197950" customFormat="1" x14ac:dyDescent="0.25"/>
    <row r="197951" customFormat="1" x14ac:dyDescent="0.25"/>
    <row r="197952" customFormat="1" x14ac:dyDescent="0.25"/>
    <row r="197953" customFormat="1" x14ac:dyDescent="0.25"/>
    <row r="197954" customFormat="1" x14ac:dyDescent="0.25"/>
    <row r="197955" customFormat="1" x14ac:dyDescent="0.25"/>
    <row r="197956" customFormat="1" x14ac:dyDescent="0.25"/>
    <row r="197957" customFormat="1" x14ac:dyDescent="0.25"/>
    <row r="197958" customFormat="1" x14ac:dyDescent="0.25"/>
    <row r="197959" customFormat="1" x14ac:dyDescent="0.25"/>
    <row r="197960" customFormat="1" x14ac:dyDescent="0.25"/>
    <row r="197961" customFormat="1" x14ac:dyDescent="0.25"/>
    <row r="197962" customFormat="1" x14ac:dyDescent="0.25"/>
    <row r="197963" customFormat="1" x14ac:dyDescent="0.25"/>
    <row r="197964" customFormat="1" x14ac:dyDescent="0.25"/>
    <row r="197965" customFormat="1" x14ac:dyDescent="0.25"/>
    <row r="197966" customFormat="1" x14ac:dyDescent="0.25"/>
    <row r="197967" customFormat="1" x14ac:dyDescent="0.25"/>
    <row r="197968" customFormat="1" x14ac:dyDescent="0.25"/>
    <row r="197969" customFormat="1" x14ac:dyDescent="0.25"/>
    <row r="197970" customFormat="1" x14ac:dyDescent="0.25"/>
    <row r="197971" customFormat="1" x14ac:dyDescent="0.25"/>
    <row r="197972" customFormat="1" x14ac:dyDescent="0.25"/>
    <row r="197973" customFormat="1" x14ac:dyDescent="0.25"/>
    <row r="197974" customFormat="1" x14ac:dyDescent="0.25"/>
    <row r="197975" customFormat="1" x14ac:dyDescent="0.25"/>
    <row r="197976" customFormat="1" x14ac:dyDescent="0.25"/>
    <row r="197977" customFormat="1" x14ac:dyDescent="0.25"/>
    <row r="197978" customFormat="1" x14ac:dyDescent="0.25"/>
    <row r="197979" customFormat="1" x14ac:dyDescent="0.25"/>
    <row r="197980" customFormat="1" x14ac:dyDescent="0.25"/>
    <row r="197981" customFormat="1" x14ac:dyDescent="0.25"/>
    <row r="197982" customFormat="1" x14ac:dyDescent="0.25"/>
    <row r="197983" customFormat="1" x14ac:dyDescent="0.25"/>
    <row r="197984" customFormat="1" x14ac:dyDescent="0.25"/>
    <row r="197985" customFormat="1" x14ac:dyDescent="0.25"/>
    <row r="197986" customFormat="1" x14ac:dyDescent="0.25"/>
    <row r="197987" customFormat="1" x14ac:dyDescent="0.25"/>
    <row r="197988" customFormat="1" x14ac:dyDescent="0.25"/>
    <row r="197989" customFormat="1" x14ac:dyDescent="0.25"/>
    <row r="197990" customFormat="1" x14ac:dyDescent="0.25"/>
    <row r="197991" customFormat="1" x14ac:dyDescent="0.25"/>
    <row r="197992" customFormat="1" x14ac:dyDescent="0.25"/>
    <row r="197993" customFormat="1" x14ac:dyDescent="0.25"/>
    <row r="197994" customFormat="1" x14ac:dyDescent="0.25"/>
    <row r="197995" customFormat="1" x14ac:dyDescent="0.25"/>
    <row r="197996" customFormat="1" x14ac:dyDescent="0.25"/>
    <row r="197997" customFormat="1" x14ac:dyDescent="0.25"/>
    <row r="197998" customFormat="1" x14ac:dyDescent="0.25"/>
    <row r="197999" customFormat="1" x14ac:dyDescent="0.25"/>
    <row r="198000" customFormat="1" x14ac:dyDescent="0.25"/>
    <row r="198001" customFormat="1" x14ac:dyDescent="0.25"/>
    <row r="198002" customFormat="1" x14ac:dyDescent="0.25"/>
    <row r="198003" customFormat="1" x14ac:dyDescent="0.25"/>
    <row r="198004" customFormat="1" x14ac:dyDescent="0.25"/>
    <row r="198005" customFormat="1" x14ac:dyDescent="0.25"/>
    <row r="198006" customFormat="1" x14ac:dyDescent="0.25"/>
    <row r="198007" customFormat="1" x14ac:dyDescent="0.25"/>
    <row r="198008" customFormat="1" x14ac:dyDescent="0.25"/>
    <row r="198009" customFormat="1" x14ac:dyDescent="0.25"/>
    <row r="198010" customFormat="1" x14ac:dyDescent="0.25"/>
    <row r="198011" customFormat="1" x14ac:dyDescent="0.25"/>
    <row r="198012" customFormat="1" x14ac:dyDescent="0.25"/>
    <row r="198013" customFormat="1" x14ac:dyDescent="0.25"/>
    <row r="198014" customFormat="1" x14ac:dyDescent="0.25"/>
    <row r="198015" customFormat="1" x14ac:dyDescent="0.25"/>
    <row r="198016" customFormat="1" x14ac:dyDescent="0.25"/>
    <row r="198017" customFormat="1" x14ac:dyDescent="0.25"/>
    <row r="198018" customFormat="1" x14ac:dyDescent="0.25"/>
    <row r="198019" customFormat="1" x14ac:dyDescent="0.25"/>
    <row r="198020" customFormat="1" x14ac:dyDescent="0.25"/>
    <row r="198021" customFormat="1" x14ac:dyDescent="0.25"/>
    <row r="198022" customFormat="1" x14ac:dyDescent="0.25"/>
    <row r="198023" customFormat="1" x14ac:dyDescent="0.25"/>
    <row r="198024" customFormat="1" x14ac:dyDescent="0.25"/>
    <row r="198025" customFormat="1" x14ac:dyDescent="0.25"/>
    <row r="198026" customFormat="1" x14ac:dyDescent="0.25"/>
    <row r="198027" customFormat="1" x14ac:dyDescent="0.25"/>
    <row r="198028" customFormat="1" x14ac:dyDescent="0.25"/>
    <row r="198029" customFormat="1" x14ac:dyDescent="0.25"/>
    <row r="198030" customFormat="1" x14ac:dyDescent="0.25"/>
    <row r="198031" customFormat="1" x14ac:dyDescent="0.25"/>
    <row r="198032" customFormat="1" x14ac:dyDescent="0.25"/>
    <row r="198033" customFormat="1" x14ac:dyDescent="0.25"/>
    <row r="198034" customFormat="1" x14ac:dyDescent="0.25"/>
    <row r="198035" customFormat="1" x14ac:dyDescent="0.25"/>
    <row r="198036" customFormat="1" x14ac:dyDescent="0.25"/>
    <row r="198037" customFormat="1" x14ac:dyDescent="0.25"/>
    <row r="198038" customFormat="1" x14ac:dyDescent="0.25"/>
    <row r="198039" customFormat="1" x14ac:dyDescent="0.25"/>
    <row r="198040" customFormat="1" x14ac:dyDescent="0.25"/>
    <row r="198041" customFormat="1" x14ac:dyDescent="0.25"/>
    <row r="198042" customFormat="1" x14ac:dyDescent="0.25"/>
    <row r="198043" customFormat="1" x14ac:dyDescent="0.25"/>
    <row r="198044" customFormat="1" x14ac:dyDescent="0.25"/>
    <row r="198045" customFormat="1" x14ac:dyDescent="0.25"/>
    <row r="198046" customFormat="1" x14ac:dyDescent="0.25"/>
    <row r="198047" customFormat="1" x14ac:dyDescent="0.25"/>
    <row r="198048" customFormat="1" x14ac:dyDescent="0.25"/>
    <row r="198049" customFormat="1" x14ac:dyDescent="0.25"/>
    <row r="198050" customFormat="1" x14ac:dyDescent="0.25"/>
    <row r="198051" customFormat="1" x14ac:dyDescent="0.25"/>
    <row r="198052" customFormat="1" x14ac:dyDescent="0.25"/>
    <row r="198053" customFormat="1" x14ac:dyDescent="0.25"/>
    <row r="198054" customFormat="1" x14ac:dyDescent="0.25"/>
    <row r="198055" customFormat="1" x14ac:dyDescent="0.25"/>
    <row r="198056" customFormat="1" x14ac:dyDescent="0.25"/>
    <row r="198057" customFormat="1" x14ac:dyDescent="0.25"/>
    <row r="198058" customFormat="1" x14ac:dyDescent="0.25"/>
    <row r="198059" customFormat="1" x14ac:dyDescent="0.25"/>
    <row r="198060" customFormat="1" x14ac:dyDescent="0.25"/>
    <row r="198061" customFormat="1" x14ac:dyDescent="0.25"/>
    <row r="198062" customFormat="1" x14ac:dyDescent="0.25"/>
    <row r="198063" customFormat="1" x14ac:dyDescent="0.25"/>
    <row r="198064" customFormat="1" x14ac:dyDescent="0.25"/>
    <row r="198065" customFormat="1" x14ac:dyDescent="0.25"/>
    <row r="198066" customFormat="1" x14ac:dyDescent="0.25"/>
    <row r="198067" customFormat="1" x14ac:dyDescent="0.25"/>
    <row r="198068" customFormat="1" x14ac:dyDescent="0.25"/>
    <row r="198069" customFormat="1" x14ac:dyDescent="0.25"/>
    <row r="198070" customFormat="1" x14ac:dyDescent="0.25"/>
    <row r="198071" customFormat="1" x14ac:dyDescent="0.25"/>
    <row r="198072" customFormat="1" x14ac:dyDescent="0.25"/>
    <row r="198073" customFormat="1" x14ac:dyDescent="0.25"/>
    <row r="198074" customFormat="1" x14ac:dyDescent="0.25"/>
    <row r="198075" customFormat="1" x14ac:dyDescent="0.25"/>
    <row r="198076" customFormat="1" x14ac:dyDescent="0.25"/>
    <row r="198077" customFormat="1" x14ac:dyDescent="0.25"/>
    <row r="198078" customFormat="1" x14ac:dyDescent="0.25"/>
    <row r="198079" customFormat="1" x14ac:dyDescent="0.25"/>
    <row r="198080" customFormat="1" x14ac:dyDescent="0.25"/>
    <row r="198081" customFormat="1" x14ac:dyDescent="0.25"/>
    <row r="198082" customFormat="1" x14ac:dyDescent="0.25"/>
    <row r="198083" customFormat="1" x14ac:dyDescent="0.25"/>
    <row r="198084" customFormat="1" x14ac:dyDescent="0.25"/>
    <row r="198085" customFormat="1" x14ac:dyDescent="0.25"/>
    <row r="198086" customFormat="1" x14ac:dyDescent="0.25"/>
    <row r="198087" customFormat="1" x14ac:dyDescent="0.25"/>
    <row r="198088" customFormat="1" x14ac:dyDescent="0.25"/>
    <row r="198089" customFormat="1" x14ac:dyDescent="0.25"/>
    <row r="198090" customFormat="1" x14ac:dyDescent="0.25"/>
    <row r="198091" customFormat="1" x14ac:dyDescent="0.25"/>
    <row r="198092" customFormat="1" x14ac:dyDescent="0.25"/>
    <row r="198093" customFormat="1" x14ac:dyDescent="0.25"/>
    <row r="198094" customFormat="1" x14ac:dyDescent="0.25"/>
    <row r="198095" customFormat="1" x14ac:dyDescent="0.25"/>
    <row r="198096" customFormat="1" x14ac:dyDescent="0.25"/>
    <row r="198097" customFormat="1" x14ac:dyDescent="0.25"/>
    <row r="198098" customFormat="1" x14ac:dyDescent="0.25"/>
    <row r="198099" customFormat="1" x14ac:dyDescent="0.25"/>
    <row r="198100" customFormat="1" x14ac:dyDescent="0.25"/>
    <row r="198101" customFormat="1" x14ac:dyDescent="0.25"/>
    <row r="198102" customFormat="1" x14ac:dyDescent="0.25"/>
    <row r="198103" customFormat="1" x14ac:dyDescent="0.25"/>
    <row r="198104" customFormat="1" x14ac:dyDescent="0.25"/>
    <row r="198105" customFormat="1" x14ac:dyDescent="0.25"/>
    <row r="198106" customFormat="1" x14ac:dyDescent="0.25"/>
    <row r="198107" customFormat="1" x14ac:dyDescent="0.25"/>
    <row r="198108" customFormat="1" x14ac:dyDescent="0.25"/>
    <row r="198109" customFormat="1" x14ac:dyDescent="0.25"/>
    <row r="198110" customFormat="1" x14ac:dyDescent="0.25"/>
    <row r="198111" customFormat="1" x14ac:dyDescent="0.25"/>
    <row r="198112" customFormat="1" x14ac:dyDescent="0.25"/>
    <row r="198113" customFormat="1" x14ac:dyDescent="0.25"/>
    <row r="198114" customFormat="1" x14ac:dyDescent="0.25"/>
    <row r="198115" customFormat="1" x14ac:dyDescent="0.25"/>
    <row r="198116" customFormat="1" x14ac:dyDescent="0.25"/>
    <row r="198117" customFormat="1" x14ac:dyDescent="0.25"/>
    <row r="198118" customFormat="1" x14ac:dyDescent="0.25"/>
    <row r="198119" customFormat="1" x14ac:dyDescent="0.25"/>
    <row r="198120" customFormat="1" x14ac:dyDescent="0.25"/>
    <row r="198121" customFormat="1" x14ac:dyDescent="0.25"/>
    <row r="198122" customFormat="1" x14ac:dyDescent="0.25"/>
    <row r="198123" customFormat="1" x14ac:dyDescent="0.25"/>
    <row r="198124" customFormat="1" x14ac:dyDescent="0.25"/>
    <row r="198125" customFormat="1" x14ac:dyDescent="0.25"/>
    <row r="198126" customFormat="1" x14ac:dyDescent="0.25"/>
    <row r="198127" customFormat="1" x14ac:dyDescent="0.25"/>
    <row r="198128" customFormat="1" x14ac:dyDescent="0.25"/>
    <row r="198129" customFormat="1" x14ac:dyDescent="0.25"/>
    <row r="198130" customFormat="1" x14ac:dyDescent="0.25"/>
    <row r="198131" customFormat="1" x14ac:dyDescent="0.25"/>
    <row r="198132" customFormat="1" x14ac:dyDescent="0.25"/>
    <row r="198133" customFormat="1" x14ac:dyDescent="0.25"/>
    <row r="198134" customFormat="1" x14ac:dyDescent="0.25"/>
    <row r="198135" customFormat="1" x14ac:dyDescent="0.25"/>
    <row r="198136" customFormat="1" x14ac:dyDescent="0.25"/>
    <row r="198137" customFormat="1" x14ac:dyDescent="0.25"/>
    <row r="198138" customFormat="1" x14ac:dyDescent="0.25"/>
    <row r="198139" customFormat="1" x14ac:dyDescent="0.25"/>
    <row r="198140" customFormat="1" x14ac:dyDescent="0.25"/>
    <row r="198141" customFormat="1" x14ac:dyDescent="0.25"/>
    <row r="198142" customFormat="1" x14ac:dyDescent="0.25"/>
    <row r="198143" customFormat="1" x14ac:dyDescent="0.25"/>
    <row r="198144" customFormat="1" x14ac:dyDescent="0.25"/>
    <row r="198145" customFormat="1" x14ac:dyDescent="0.25"/>
    <row r="198146" customFormat="1" x14ac:dyDescent="0.25"/>
    <row r="198147" customFormat="1" x14ac:dyDescent="0.25"/>
    <row r="198148" customFormat="1" x14ac:dyDescent="0.25"/>
    <row r="198149" customFormat="1" x14ac:dyDescent="0.25"/>
    <row r="198150" customFormat="1" x14ac:dyDescent="0.25"/>
    <row r="198151" customFormat="1" x14ac:dyDescent="0.25"/>
    <row r="198152" customFormat="1" x14ac:dyDescent="0.25"/>
    <row r="198153" customFormat="1" x14ac:dyDescent="0.25"/>
    <row r="198154" customFormat="1" x14ac:dyDescent="0.25"/>
    <row r="198155" customFormat="1" x14ac:dyDescent="0.25"/>
    <row r="198156" customFormat="1" x14ac:dyDescent="0.25"/>
    <row r="198157" customFormat="1" x14ac:dyDescent="0.25"/>
    <row r="198158" customFormat="1" x14ac:dyDescent="0.25"/>
    <row r="198159" customFormat="1" x14ac:dyDescent="0.25"/>
    <row r="198160" customFormat="1" x14ac:dyDescent="0.25"/>
    <row r="198161" customFormat="1" x14ac:dyDescent="0.25"/>
    <row r="198162" customFormat="1" x14ac:dyDescent="0.25"/>
    <row r="198163" customFormat="1" x14ac:dyDescent="0.25"/>
    <row r="198164" customFormat="1" x14ac:dyDescent="0.25"/>
    <row r="198165" customFormat="1" x14ac:dyDescent="0.25"/>
    <row r="198166" customFormat="1" x14ac:dyDescent="0.25"/>
    <row r="198167" customFormat="1" x14ac:dyDescent="0.25"/>
    <row r="198168" customFormat="1" x14ac:dyDescent="0.25"/>
    <row r="198169" customFormat="1" x14ac:dyDescent="0.25"/>
    <row r="198170" customFormat="1" x14ac:dyDescent="0.25"/>
    <row r="198171" customFormat="1" x14ac:dyDescent="0.25"/>
    <row r="198172" customFormat="1" x14ac:dyDescent="0.25"/>
    <row r="198173" customFormat="1" x14ac:dyDescent="0.25"/>
    <row r="198174" customFormat="1" x14ac:dyDescent="0.25"/>
    <row r="198175" customFormat="1" x14ac:dyDescent="0.25"/>
    <row r="198176" customFormat="1" x14ac:dyDescent="0.25"/>
    <row r="198177" customFormat="1" x14ac:dyDescent="0.25"/>
    <row r="198178" customFormat="1" x14ac:dyDescent="0.25"/>
    <row r="198179" customFormat="1" x14ac:dyDescent="0.25"/>
    <row r="198180" customFormat="1" x14ac:dyDescent="0.25"/>
    <row r="198181" customFormat="1" x14ac:dyDescent="0.25"/>
    <row r="198182" customFormat="1" x14ac:dyDescent="0.25"/>
    <row r="198183" customFormat="1" x14ac:dyDescent="0.25"/>
    <row r="198184" customFormat="1" x14ac:dyDescent="0.25"/>
    <row r="198185" customFormat="1" x14ac:dyDescent="0.25"/>
    <row r="198186" customFormat="1" x14ac:dyDescent="0.25"/>
    <row r="198187" customFormat="1" x14ac:dyDescent="0.25"/>
    <row r="198188" customFormat="1" x14ac:dyDescent="0.25"/>
    <row r="198189" customFormat="1" x14ac:dyDescent="0.25"/>
    <row r="198190" customFormat="1" x14ac:dyDescent="0.25"/>
    <row r="198191" customFormat="1" x14ac:dyDescent="0.25"/>
    <row r="198192" customFormat="1" x14ac:dyDescent="0.25"/>
    <row r="198193" customFormat="1" x14ac:dyDescent="0.25"/>
    <row r="198194" customFormat="1" x14ac:dyDescent="0.25"/>
    <row r="198195" customFormat="1" x14ac:dyDescent="0.25"/>
    <row r="198196" customFormat="1" x14ac:dyDescent="0.25"/>
    <row r="198197" customFormat="1" x14ac:dyDescent="0.25"/>
    <row r="198198" customFormat="1" x14ac:dyDescent="0.25"/>
    <row r="198199" customFormat="1" x14ac:dyDescent="0.25"/>
    <row r="198200" customFormat="1" x14ac:dyDescent="0.25"/>
    <row r="198201" customFormat="1" x14ac:dyDescent="0.25"/>
    <row r="198202" customFormat="1" x14ac:dyDescent="0.25"/>
    <row r="198203" customFormat="1" x14ac:dyDescent="0.25"/>
    <row r="198204" customFormat="1" x14ac:dyDescent="0.25"/>
    <row r="198205" customFormat="1" x14ac:dyDescent="0.25"/>
    <row r="198206" customFormat="1" x14ac:dyDescent="0.25"/>
    <row r="198207" customFormat="1" x14ac:dyDescent="0.25"/>
    <row r="198208" customFormat="1" x14ac:dyDescent="0.25"/>
    <row r="198209" customFormat="1" x14ac:dyDescent="0.25"/>
    <row r="198210" customFormat="1" x14ac:dyDescent="0.25"/>
    <row r="198211" customFormat="1" x14ac:dyDescent="0.25"/>
    <row r="198212" customFormat="1" x14ac:dyDescent="0.25"/>
    <row r="198213" customFormat="1" x14ac:dyDescent="0.25"/>
    <row r="198214" customFormat="1" x14ac:dyDescent="0.25"/>
    <row r="198215" customFormat="1" x14ac:dyDescent="0.25"/>
    <row r="198216" customFormat="1" x14ac:dyDescent="0.25"/>
    <row r="198217" customFormat="1" x14ac:dyDescent="0.25"/>
    <row r="198218" customFormat="1" x14ac:dyDescent="0.25"/>
    <row r="198219" customFormat="1" x14ac:dyDescent="0.25"/>
    <row r="198220" customFormat="1" x14ac:dyDescent="0.25"/>
    <row r="198221" customFormat="1" x14ac:dyDescent="0.25"/>
    <row r="198222" customFormat="1" x14ac:dyDescent="0.25"/>
    <row r="198223" customFormat="1" x14ac:dyDescent="0.25"/>
    <row r="198224" customFormat="1" x14ac:dyDescent="0.25"/>
    <row r="198225" customFormat="1" x14ac:dyDescent="0.25"/>
    <row r="198226" customFormat="1" x14ac:dyDescent="0.25"/>
    <row r="198227" customFormat="1" x14ac:dyDescent="0.25"/>
    <row r="198228" customFormat="1" x14ac:dyDescent="0.25"/>
    <row r="198229" customFormat="1" x14ac:dyDescent="0.25"/>
    <row r="198230" customFormat="1" x14ac:dyDescent="0.25"/>
    <row r="198231" customFormat="1" x14ac:dyDescent="0.25"/>
    <row r="198232" customFormat="1" x14ac:dyDescent="0.25"/>
    <row r="198233" customFormat="1" x14ac:dyDescent="0.25"/>
    <row r="198234" customFormat="1" x14ac:dyDescent="0.25"/>
    <row r="198235" customFormat="1" x14ac:dyDescent="0.25"/>
    <row r="198236" customFormat="1" x14ac:dyDescent="0.25"/>
    <row r="198237" customFormat="1" x14ac:dyDescent="0.25"/>
    <row r="198238" customFormat="1" x14ac:dyDescent="0.25"/>
    <row r="198239" customFormat="1" x14ac:dyDescent="0.25"/>
    <row r="198240" customFormat="1" x14ac:dyDescent="0.25"/>
    <row r="198241" customFormat="1" x14ac:dyDescent="0.25"/>
    <row r="198242" customFormat="1" x14ac:dyDescent="0.25"/>
    <row r="198243" customFormat="1" x14ac:dyDescent="0.25"/>
    <row r="198244" customFormat="1" x14ac:dyDescent="0.25"/>
    <row r="198245" customFormat="1" x14ac:dyDescent="0.25"/>
    <row r="198246" customFormat="1" x14ac:dyDescent="0.25"/>
    <row r="198247" customFormat="1" x14ac:dyDescent="0.25"/>
    <row r="198248" customFormat="1" x14ac:dyDescent="0.25"/>
    <row r="198249" customFormat="1" x14ac:dyDescent="0.25"/>
    <row r="198250" customFormat="1" x14ac:dyDescent="0.25"/>
    <row r="198251" customFormat="1" x14ac:dyDescent="0.25"/>
    <row r="198252" customFormat="1" x14ac:dyDescent="0.25"/>
    <row r="198253" customFormat="1" x14ac:dyDescent="0.25"/>
    <row r="198254" customFormat="1" x14ac:dyDescent="0.25"/>
    <row r="198255" customFormat="1" x14ac:dyDescent="0.25"/>
    <row r="198256" customFormat="1" x14ac:dyDescent="0.25"/>
    <row r="198257" customFormat="1" x14ac:dyDescent="0.25"/>
    <row r="198258" customFormat="1" x14ac:dyDescent="0.25"/>
    <row r="198259" customFormat="1" x14ac:dyDescent="0.25"/>
    <row r="198260" customFormat="1" x14ac:dyDescent="0.25"/>
    <row r="198261" customFormat="1" x14ac:dyDescent="0.25"/>
    <row r="198262" customFormat="1" x14ac:dyDescent="0.25"/>
    <row r="198263" customFormat="1" x14ac:dyDescent="0.25"/>
    <row r="198264" customFormat="1" x14ac:dyDescent="0.25"/>
    <row r="198265" customFormat="1" x14ac:dyDescent="0.25"/>
    <row r="198266" customFormat="1" x14ac:dyDescent="0.25"/>
    <row r="198267" customFormat="1" x14ac:dyDescent="0.25"/>
    <row r="198268" customFormat="1" x14ac:dyDescent="0.25"/>
    <row r="198269" customFormat="1" x14ac:dyDescent="0.25"/>
    <row r="198270" customFormat="1" x14ac:dyDescent="0.25"/>
    <row r="198271" customFormat="1" x14ac:dyDescent="0.25"/>
    <row r="198272" customFormat="1" x14ac:dyDescent="0.25"/>
    <row r="198273" customFormat="1" x14ac:dyDescent="0.25"/>
    <row r="198274" customFormat="1" x14ac:dyDescent="0.25"/>
    <row r="198275" customFormat="1" x14ac:dyDescent="0.25"/>
    <row r="198276" customFormat="1" x14ac:dyDescent="0.25"/>
    <row r="198277" customFormat="1" x14ac:dyDescent="0.25"/>
    <row r="198278" customFormat="1" x14ac:dyDescent="0.25"/>
    <row r="198279" customFormat="1" x14ac:dyDescent="0.25"/>
    <row r="198280" customFormat="1" x14ac:dyDescent="0.25"/>
    <row r="198281" customFormat="1" x14ac:dyDescent="0.25"/>
    <row r="198282" customFormat="1" x14ac:dyDescent="0.25"/>
    <row r="198283" customFormat="1" x14ac:dyDescent="0.25"/>
    <row r="198284" customFormat="1" x14ac:dyDescent="0.25"/>
    <row r="198285" customFormat="1" x14ac:dyDescent="0.25"/>
    <row r="198286" customFormat="1" x14ac:dyDescent="0.25"/>
    <row r="198287" customFormat="1" x14ac:dyDescent="0.25"/>
    <row r="198288" customFormat="1" x14ac:dyDescent="0.25"/>
    <row r="198289" customFormat="1" x14ac:dyDescent="0.25"/>
    <row r="198290" customFormat="1" x14ac:dyDescent="0.25"/>
    <row r="198291" customFormat="1" x14ac:dyDescent="0.25"/>
    <row r="198292" customFormat="1" x14ac:dyDescent="0.25"/>
    <row r="198293" customFormat="1" x14ac:dyDescent="0.25"/>
    <row r="198294" customFormat="1" x14ac:dyDescent="0.25"/>
    <row r="198295" customFormat="1" x14ac:dyDescent="0.25"/>
    <row r="198296" customFormat="1" x14ac:dyDescent="0.25"/>
    <row r="198297" customFormat="1" x14ac:dyDescent="0.25"/>
    <row r="198298" customFormat="1" x14ac:dyDescent="0.25"/>
    <row r="198299" customFormat="1" x14ac:dyDescent="0.25"/>
    <row r="198300" customFormat="1" x14ac:dyDescent="0.25"/>
    <row r="198301" customFormat="1" x14ac:dyDescent="0.25"/>
    <row r="198302" customFormat="1" x14ac:dyDescent="0.25"/>
    <row r="198303" customFormat="1" x14ac:dyDescent="0.25"/>
    <row r="198304" customFormat="1" x14ac:dyDescent="0.25"/>
    <row r="198305" customFormat="1" x14ac:dyDescent="0.25"/>
    <row r="198306" customFormat="1" x14ac:dyDescent="0.25"/>
    <row r="198307" customFormat="1" x14ac:dyDescent="0.25"/>
    <row r="198308" customFormat="1" x14ac:dyDescent="0.25"/>
    <row r="198309" customFormat="1" x14ac:dyDescent="0.25"/>
    <row r="198310" customFormat="1" x14ac:dyDescent="0.25"/>
    <row r="198311" customFormat="1" x14ac:dyDescent="0.25"/>
    <row r="198312" customFormat="1" x14ac:dyDescent="0.25"/>
    <row r="198313" customFormat="1" x14ac:dyDescent="0.25"/>
    <row r="198314" customFormat="1" x14ac:dyDescent="0.25"/>
    <row r="198315" customFormat="1" x14ac:dyDescent="0.25"/>
    <row r="198316" customFormat="1" x14ac:dyDescent="0.25"/>
    <row r="198317" customFormat="1" x14ac:dyDescent="0.25"/>
    <row r="198318" customFormat="1" x14ac:dyDescent="0.25"/>
    <row r="198319" customFormat="1" x14ac:dyDescent="0.25"/>
    <row r="198320" customFormat="1" x14ac:dyDescent="0.25"/>
    <row r="198321" customFormat="1" x14ac:dyDescent="0.25"/>
    <row r="198322" customFormat="1" x14ac:dyDescent="0.25"/>
    <row r="198323" customFormat="1" x14ac:dyDescent="0.25"/>
    <row r="198324" customFormat="1" x14ac:dyDescent="0.25"/>
    <row r="198325" customFormat="1" x14ac:dyDescent="0.25"/>
    <row r="198326" customFormat="1" x14ac:dyDescent="0.25"/>
    <row r="198327" customFormat="1" x14ac:dyDescent="0.25"/>
    <row r="198328" customFormat="1" x14ac:dyDescent="0.25"/>
    <row r="198329" customFormat="1" x14ac:dyDescent="0.25"/>
    <row r="198330" customFormat="1" x14ac:dyDescent="0.25"/>
    <row r="198331" customFormat="1" x14ac:dyDescent="0.25"/>
    <row r="198332" customFormat="1" x14ac:dyDescent="0.25"/>
    <row r="198333" customFormat="1" x14ac:dyDescent="0.25"/>
    <row r="198334" customFormat="1" x14ac:dyDescent="0.25"/>
    <row r="198335" customFormat="1" x14ac:dyDescent="0.25"/>
    <row r="198336" customFormat="1" x14ac:dyDescent="0.25"/>
    <row r="198337" customFormat="1" x14ac:dyDescent="0.25"/>
    <row r="198338" customFormat="1" x14ac:dyDescent="0.25"/>
    <row r="198339" customFormat="1" x14ac:dyDescent="0.25"/>
    <row r="198340" customFormat="1" x14ac:dyDescent="0.25"/>
    <row r="198341" customFormat="1" x14ac:dyDescent="0.25"/>
    <row r="198342" customFormat="1" x14ac:dyDescent="0.25"/>
    <row r="198343" customFormat="1" x14ac:dyDescent="0.25"/>
    <row r="198344" customFormat="1" x14ac:dyDescent="0.25"/>
    <row r="198345" customFormat="1" x14ac:dyDescent="0.25"/>
    <row r="198346" customFormat="1" x14ac:dyDescent="0.25"/>
    <row r="198347" customFormat="1" x14ac:dyDescent="0.25"/>
    <row r="198348" customFormat="1" x14ac:dyDescent="0.25"/>
    <row r="198349" customFormat="1" x14ac:dyDescent="0.25"/>
    <row r="198350" customFormat="1" x14ac:dyDescent="0.25"/>
    <row r="198351" customFormat="1" x14ac:dyDescent="0.25"/>
    <row r="198352" customFormat="1" x14ac:dyDescent="0.25"/>
    <row r="198353" customFormat="1" x14ac:dyDescent="0.25"/>
    <row r="198354" customFormat="1" x14ac:dyDescent="0.25"/>
    <row r="198355" customFormat="1" x14ac:dyDescent="0.25"/>
    <row r="198356" customFormat="1" x14ac:dyDescent="0.25"/>
    <row r="198357" customFormat="1" x14ac:dyDescent="0.25"/>
    <row r="198358" customFormat="1" x14ac:dyDescent="0.25"/>
    <row r="198359" customFormat="1" x14ac:dyDescent="0.25"/>
    <row r="198360" customFormat="1" x14ac:dyDescent="0.25"/>
    <row r="198361" customFormat="1" x14ac:dyDescent="0.25"/>
    <row r="198362" customFormat="1" x14ac:dyDescent="0.25"/>
    <row r="198363" customFormat="1" x14ac:dyDescent="0.25"/>
    <row r="198364" customFormat="1" x14ac:dyDescent="0.25"/>
    <row r="198365" customFormat="1" x14ac:dyDescent="0.25"/>
    <row r="198366" customFormat="1" x14ac:dyDescent="0.25"/>
    <row r="198367" customFormat="1" x14ac:dyDescent="0.25"/>
    <row r="198368" customFormat="1" x14ac:dyDescent="0.25"/>
    <row r="198369" customFormat="1" x14ac:dyDescent="0.25"/>
    <row r="198370" customFormat="1" x14ac:dyDescent="0.25"/>
    <row r="198371" customFormat="1" x14ac:dyDescent="0.25"/>
    <row r="198372" customFormat="1" x14ac:dyDescent="0.25"/>
    <row r="198373" customFormat="1" x14ac:dyDescent="0.25"/>
    <row r="198374" customFormat="1" x14ac:dyDescent="0.25"/>
    <row r="198375" customFormat="1" x14ac:dyDescent="0.25"/>
    <row r="198376" customFormat="1" x14ac:dyDescent="0.25"/>
    <row r="198377" customFormat="1" x14ac:dyDescent="0.25"/>
    <row r="198378" customFormat="1" x14ac:dyDescent="0.25"/>
    <row r="198379" customFormat="1" x14ac:dyDescent="0.25"/>
    <row r="198380" customFormat="1" x14ac:dyDescent="0.25"/>
    <row r="198381" customFormat="1" x14ac:dyDescent="0.25"/>
    <row r="198382" customFormat="1" x14ac:dyDescent="0.25"/>
    <row r="198383" customFormat="1" x14ac:dyDescent="0.25"/>
    <row r="198384" customFormat="1" x14ac:dyDescent="0.25"/>
    <row r="198385" customFormat="1" x14ac:dyDescent="0.25"/>
    <row r="198386" customFormat="1" x14ac:dyDescent="0.25"/>
    <row r="198387" customFormat="1" x14ac:dyDescent="0.25"/>
    <row r="198388" customFormat="1" x14ac:dyDescent="0.25"/>
    <row r="198389" customFormat="1" x14ac:dyDescent="0.25"/>
    <row r="198390" customFormat="1" x14ac:dyDescent="0.25"/>
    <row r="198391" customFormat="1" x14ac:dyDescent="0.25"/>
    <row r="198392" customFormat="1" x14ac:dyDescent="0.25"/>
    <row r="198393" customFormat="1" x14ac:dyDescent="0.25"/>
    <row r="198394" customFormat="1" x14ac:dyDescent="0.25"/>
    <row r="198395" customFormat="1" x14ac:dyDescent="0.25"/>
    <row r="198396" customFormat="1" x14ac:dyDescent="0.25"/>
    <row r="198397" customFormat="1" x14ac:dyDescent="0.25"/>
    <row r="198398" customFormat="1" x14ac:dyDescent="0.25"/>
    <row r="198399" customFormat="1" x14ac:dyDescent="0.25"/>
    <row r="198400" customFormat="1" x14ac:dyDescent="0.25"/>
    <row r="198401" customFormat="1" x14ac:dyDescent="0.25"/>
    <row r="198402" customFormat="1" x14ac:dyDescent="0.25"/>
    <row r="198403" customFormat="1" x14ac:dyDescent="0.25"/>
    <row r="198404" customFormat="1" x14ac:dyDescent="0.25"/>
    <row r="198405" customFormat="1" x14ac:dyDescent="0.25"/>
    <row r="198406" customFormat="1" x14ac:dyDescent="0.25"/>
    <row r="198407" customFormat="1" x14ac:dyDescent="0.25"/>
    <row r="198408" customFormat="1" x14ac:dyDescent="0.25"/>
    <row r="198409" customFormat="1" x14ac:dyDescent="0.25"/>
    <row r="198410" customFormat="1" x14ac:dyDescent="0.25"/>
    <row r="198411" customFormat="1" x14ac:dyDescent="0.25"/>
    <row r="198412" customFormat="1" x14ac:dyDescent="0.25"/>
    <row r="198413" customFormat="1" x14ac:dyDescent="0.25"/>
    <row r="198414" customFormat="1" x14ac:dyDescent="0.25"/>
    <row r="198415" customFormat="1" x14ac:dyDescent="0.25"/>
    <row r="198416" customFormat="1" x14ac:dyDescent="0.25"/>
    <row r="198417" customFormat="1" x14ac:dyDescent="0.25"/>
    <row r="198418" customFormat="1" x14ac:dyDescent="0.25"/>
    <row r="198419" customFormat="1" x14ac:dyDescent="0.25"/>
    <row r="198420" customFormat="1" x14ac:dyDescent="0.25"/>
    <row r="198421" customFormat="1" x14ac:dyDescent="0.25"/>
    <row r="198422" customFormat="1" x14ac:dyDescent="0.25"/>
    <row r="198423" customFormat="1" x14ac:dyDescent="0.25"/>
    <row r="198424" customFormat="1" x14ac:dyDescent="0.25"/>
    <row r="198425" customFormat="1" x14ac:dyDescent="0.25"/>
    <row r="198426" customFormat="1" x14ac:dyDescent="0.25"/>
    <row r="198427" customFormat="1" x14ac:dyDescent="0.25"/>
    <row r="198428" customFormat="1" x14ac:dyDescent="0.25"/>
    <row r="198429" customFormat="1" x14ac:dyDescent="0.25"/>
    <row r="198430" customFormat="1" x14ac:dyDescent="0.25"/>
    <row r="198431" customFormat="1" x14ac:dyDescent="0.25"/>
    <row r="198432" customFormat="1" x14ac:dyDescent="0.25"/>
    <row r="198433" customFormat="1" x14ac:dyDescent="0.25"/>
    <row r="198434" customFormat="1" x14ac:dyDescent="0.25"/>
    <row r="198435" customFormat="1" x14ac:dyDescent="0.25"/>
    <row r="198436" customFormat="1" x14ac:dyDescent="0.25"/>
    <row r="198437" customFormat="1" x14ac:dyDescent="0.25"/>
    <row r="198438" customFormat="1" x14ac:dyDescent="0.25"/>
    <row r="198439" customFormat="1" x14ac:dyDescent="0.25"/>
    <row r="198440" customFormat="1" x14ac:dyDescent="0.25"/>
    <row r="198441" customFormat="1" x14ac:dyDescent="0.25"/>
    <row r="198442" customFormat="1" x14ac:dyDescent="0.25"/>
    <row r="198443" customFormat="1" x14ac:dyDescent="0.25"/>
    <row r="198444" customFormat="1" x14ac:dyDescent="0.25"/>
    <row r="198445" customFormat="1" x14ac:dyDescent="0.25"/>
    <row r="198446" customFormat="1" x14ac:dyDescent="0.25"/>
    <row r="198447" customFormat="1" x14ac:dyDescent="0.25"/>
    <row r="198448" customFormat="1" x14ac:dyDescent="0.25"/>
    <row r="198449" customFormat="1" x14ac:dyDescent="0.25"/>
    <row r="198450" customFormat="1" x14ac:dyDescent="0.25"/>
    <row r="198451" customFormat="1" x14ac:dyDescent="0.25"/>
    <row r="198452" customFormat="1" x14ac:dyDescent="0.25"/>
    <row r="198453" customFormat="1" x14ac:dyDescent="0.25"/>
    <row r="198454" customFormat="1" x14ac:dyDescent="0.25"/>
    <row r="198455" customFormat="1" x14ac:dyDescent="0.25"/>
    <row r="198456" customFormat="1" x14ac:dyDescent="0.25"/>
    <row r="198457" customFormat="1" x14ac:dyDescent="0.25"/>
    <row r="198458" customFormat="1" x14ac:dyDescent="0.25"/>
    <row r="198459" customFormat="1" x14ac:dyDescent="0.25"/>
    <row r="198460" customFormat="1" x14ac:dyDescent="0.25"/>
    <row r="198461" customFormat="1" x14ac:dyDescent="0.25"/>
    <row r="198462" customFormat="1" x14ac:dyDescent="0.25"/>
    <row r="198463" customFormat="1" x14ac:dyDescent="0.25"/>
    <row r="198464" customFormat="1" x14ac:dyDescent="0.25"/>
    <row r="198465" customFormat="1" x14ac:dyDescent="0.25"/>
    <row r="198466" customFormat="1" x14ac:dyDescent="0.25"/>
    <row r="198467" customFormat="1" x14ac:dyDescent="0.25"/>
    <row r="198468" customFormat="1" x14ac:dyDescent="0.25"/>
    <row r="198469" customFormat="1" x14ac:dyDescent="0.25"/>
    <row r="198470" customFormat="1" x14ac:dyDescent="0.25"/>
    <row r="198471" customFormat="1" x14ac:dyDescent="0.25"/>
    <row r="198472" customFormat="1" x14ac:dyDescent="0.25"/>
    <row r="198473" customFormat="1" x14ac:dyDescent="0.25"/>
    <row r="198474" customFormat="1" x14ac:dyDescent="0.25"/>
    <row r="198475" customFormat="1" x14ac:dyDescent="0.25"/>
    <row r="198476" customFormat="1" x14ac:dyDescent="0.25"/>
    <row r="198477" customFormat="1" x14ac:dyDescent="0.25"/>
    <row r="198478" customFormat="1" x14ac:dyDescent="0.25"/>
    <row r="198479" customFormat="1" x14ac:dyDescent="0.25"/>
    <row r="198480" customFormat="1" x14ac:dyDescent="0.25"/>
    <row r="198481" customFormat="1" x14ac:dyDescent="0.25"/>
    <row r="198482" customFormat="1" x14ac:dyDescent="0.25"/>
    <row r="198483" customFormat="1" x14ac:dyDescent="0.25"/>
    <row r="198484" customFormat="1" x14ac:dyDescent="0.25"/>
    <row r="198485" customFormat="1" x14ac:dyDescent="0.25"/>
    <row r="198486" customFormat="1" x14ac:dyDescent="0.25"/>
    <row r="198487" customFormat="1" x14ac:dyDescent="0.25"/>
    <row r="198488" customFormat="1" x14ac:dyDescent="0.25"/>
    <row r="198489" customFormat="1" x14ac:dyDescent="0.25"/>
    <row r="198490" customFormat="1" x14ac:dyDescent="0.25"/>
    <row r="198491" customFormat="1" x14ac:dyDescent="0.25"/>
    <row r="198492" customFormat="1" x14ac:dyDescent="0.25"/>
    <row r="198493" customFormat="1" x14ac:dyDescent="0.25"/>
    <row r="198494" customFormat="1" x14ac:dyDescent="0.25"/>
    <row r="198495" customFormat="1" x14ac:dyDescent="0.25"/>
    <row r="198496" customFormat="1" x14ac:dyDescent="0.25"/>
    <row r="198497" customFormat="1" x14ac:dyDescent="0.25"/>
    <row r="198498" customFormat="1" x14ac:dyDescent="0.25"/>
    <row r="198499" customFormat="1" x14ac:dyDescent="0.25"/>
    <row r="198500" customFormat="1" x14ac:dyDescent="0.25"/>
    <row r="198501" customFormat="1" x14ac:dyDescent="0.25"/>
    <row r="198502" customFormat="1" x14ac:dyDescent="0.25"/>
    <row r="198503" customFormat="1" x14ac:dyDescent="0.25"/>
    <row r="198504" customFormat="1" x14ac:dyDescent="0.25"/>
    <row r="198505" customFormat="1" x14ac:dyDescent="0.25"/>
    <row r="198506" customFormat="1" x14ac:dyDescent="0.25"/>
    <row r="198507" customFormat="1" x14ac:dyDescent="0.25"/>
    <row r="198508" customFormat="1" x14ac:dyDescent="0.25"/>
    <row r="198509" customFormat="1" x14ac:dyDescent="0.25"/>
    <row r="198510" customFormat="1" x14ac:dyDescent="0.25"/>
    <row r="198511" customFormat="1" x14ac:dyDescent="0.25"/>
    <row r="198512" customFormat="1" x14ac:dyDescent="0.25"/>
    <row r="198513" customFormat="1" x14ac:dyDescent="0.25"/>
    <row r="198514" customFormat="1" x14ac:dyDescent="0.25"/>
    <row r="198515" customFormat="1" x14ac:dyDescent="0.25"/>
    <row r="198516" customFormat="1" x14ac:dyDescent="0.25"/>
    <row r="198517" customFormat="1" x14ac:dyDescent="0.25"/>
    <row r="198518" customFormat="1" x14ac:dyDescent="0.25"/>
    <row r="198519" customFormat="1" x14ac:dyDescent="0.25"/>
    <row r="198520" customFormat="1" x14ac:dyDescent="0.25"/>
    <row r="198521" customFormat="1" x14ac:dyDescent="0.25"/>
    <row r="198522" customFormat="1" x14ac:dyDescent="0.25"/>
    <row r="198523" customFormat="1" x14ac:dyDescent="0.25"/>
    <row r="198524" customFormat="1" x14ac:dyDescent="0.25"/>
    <row r="198525" customFormat="1" x14ac:dyDescent="0.25"/>
    <row r="198526" customFormat="1" x14ac:dyDescent="0.25"/>
    <row r="198527" customFormat="1" x14ac:dyDescent="0.25"/>
    <row r="198528" customFormat="1" x14ac:dyDescent="0.25"/>
    <row r="198529" customFormat="1" x14ac:dyDescent="0.25"/>
    <row r="198530" customFormat="1" x14ac:dyDescent="0.25"/>
    <row r="198531" customFormat="1" x14ac:dyDescent="0.25"/>
    <row r="198532" customFormat="1" x14ac:dyDescent="0.25"/>
    <row r="198533" customFormat="1" x14ac:dyDescent="0.25"/>
    <row r="198534" customFormat="1" x14ac:dyDescent="0.25"/>
    <row r="198535" customFormat="1" x14ac:dyDescent="0.25"/>
    <row r="198536" customFormat="1" x14ac:dyDescent="0.25"/>
    <row r="198537" customFormat="1" x14ac:dyDescent="0.25"/>
    <row r="198538" customFormat="1" x14ac:dyDescent="0.25"/>
    <row r="198539" customFormat="1" x14ac:dyDescent="0.25"/>
    <row r="198540" customFormat="1" x14ac:dyDescent="0.25"/>
    <row r="198541" customFormat="1" x14ac:dyDescent="0.25"/>
    <row r="198542" customFormat="1" x14ac:dyDescent="0.25"/>
    <row r="198543" customFormat="1" x14ac:dyDescent="0.25"/>
    <row r="198544" customFormat="1" x14ac:dyDescent="0.25"/>
    <row r="198545" customFormat="1" x14ac:dyDescent="0.25"/>
    <row r="198546" customFormat="1" x14ac:dyDescent="0.25"/>
    <row r="198547" customFormat="1" x14ac:dyDescent="0.25"/>
    <row r="198548" customFormat="1" x14ac:dyDescent="0.25"/>
    <row r="198549" customFormat="1" x14ac:dyDescent="0.25"/>
    <row r="198550" customFormat="1" x14ac:dyDescent="0.25"/>
    <row r="198551" customFormat="1" x14ac:dyDescent="0.25"/>
    <row r="198552" customFormat="1" x14ac:dyDescent="0.25"/>
    <row r="198553" customFormat="1" x14ac:dyDescent="0.25"/>
    <row r="198554" customFormat="1" x14ac:dyDescent="0.25"/>
    <row r="198555" customFormat="1" x14ac:dyDescent="0.25"/>
    <row r="198556" customFormat="1" x14ac:dyDescent="0.25"/>
    <row r="198557" customFormat="1" x14ac:dyDescent="0.25"/>
    <row r="198558" customFormat="1" x14ac:dyDescent="0.25"/>
    <row r="198559" customFormat="1" x14ac:dyDescent="0.25"/>
    <row r="198560" customFormat="1" x14ac:dyDescent="0.25"/>
    <row r="198561" customFormat="1" x14ac:dyDescent="0.25"/>
    <row r="198562" customFormat="1" x14ac:dyDescent="0.25"/>
    <row r="198563" customFormat="1" x14ac:dyDescent="0.25"/>
    <row r="198564" customFormat="1" x14ac:dyDescent="0.25"/>
    <row r="198565" customFormat="1" x14ac:dyDescent="0.25"/>
    <row r="198566" customFormat="1" x14ac:dyDescent="0.25"/>
    <row r="198567" customFormat="1" x14ac:dyDescent="0.25"/>
    <row r="198568" customFormat="1" x14ac:dyDescent="0.25"/>
    <row r="198569" customFormat="1" x14ac:dyDescent="0.25"/>
    <row r="198570" customFormat="1" x14ac:dyDescent="0.25"/>
    <row r="198571" customFormat="1" x14ac:dyDescent="0.25"/>
    <row r="198572" customFormat="1" x14ac:dyDescent="0.25"/>
    <row r="198573" customFormat="1" x14ac:dyDescent="0.25"/>
    <row r="198574" customFormat="1" x14ac:dyDescent="0.25"/>
    <row r="198575" customFormat="1" x14ac:dyDescent="0.25"/>
    <row r="198576" customFormat="1" x14ac:dyDescent="0.25"/>
    <row r="198577" customFormat="1" x14ac:dyDescent="0.25"/>
    <row r="198578" customFormat="1" x14ac:dyDescent="0.25"/>
    <row r="198579" customFormat="1" x14ac:dyDescent="0.25"/>
    <row r="198580" customFormat="1" x14ac:dyDescent="0.25"/>
    <row r="198581" customFormat="1" x14ac:dyDescent="0.25"/>
    <row r="198582" customFormat="1" x14ac:dyDescent="0.25"/>
    <row r="198583" customFormat="1" x14ac:dyDescent="0.25"/>
    <row r="198584" customFormat="1" x14ac:dyDescent="0.25"/>
    <row r="198585" customFormat="1" x14ac:dyDescent="0.25"/>
    <row r="198586" customFormat="1" x14ac:dyDescent="0.25"/>
    <row r="198587" customFormat="1" x14ac:dyDescent="0.25"/>
    <row r="198588" customFormat="1" x14ac:dyDescent="0.25"/>
    <row r="198589" customFormat="1" x14ac:dyDescent="0.25"/>
    <row r="198590" customFormat="1" x14ac:dyDescent="0.25"/>
    <row r="198591" customFormat="1" x14ac:dyDescent="0.25"/>
    <row r="198592" customFormat="1" x14ac:dyDescent="0.25"/>
    <row r="198593" customFormat="1" x14ac:dyDescent="0.25"/>
    <row r="198594" customFormat="1" x14ac:dyDescent="0.25"/>
    <row r="198595" customFormat="1" x14ac:dyDescent="0.25"/>
    <row r="198596" customFormat="1" x14ac:dyDescent="0.25"/>
    <row r="198597" customFormat="1" x14ac:dyDescent="0.25"/>
    <row r="198598" customFormat="1" x14ac:dyDescent="0.25"/>
    <row r="198599" customFormat="1" x14ac:dyDescent="0.25"/>
    <row r="198600" customFormat="1" x14ac:dyDescent="0.25"/>
    <row r="198601" customFormat="1" x14ac:dyDescent="0.25"/>
    <row r="198602" customFormat="1" x14ac:dyDescent="0.25"/>
    <row r="198603" customFormat="1" x14ac:dyDescent="0.25"/>
    <row r="198604" customFormat="1" x14ac:dyDescent="0.25"/>
    <row r="198605" customFormat="1" x14ac:dyDescent="0.25"/>
    <row r="198606" customFormat="1" x14ac:dyDescent="0.25"/>
    <row r="198607" customFormat="1" x14ac:dyDescent="0.25"/>
    <row r="198608" customFormat="1" x14ac:dyDescent="0.25"/>
    <row r="198609" customFormat="1" x14ac:dyDescent="0.25"/>
    <row r="198610" customFormat="1" x14ac:dyDescent="0.25"/>
    <row r="198611" customFormat="1" x14ac:dyDescent="0.25"/>
    <row r="198612" customFormat="1" x14ac:dyDescent="0.25"/>
    <row r="198613" customFormat="1" x14ac:dyDescent="0.25"/>
    <row r="198614" customFormat="1" x14ac:dyDescent="0.25"/>
    <row r="198615" customFormat="1" x14ac:dyDescent="0.25"/>
    <row r="198616" customFormat="1" x14ac:dyDescent="0.25"/>
    <row r="198617" customFormat="1" x14ac:dyDescent="0.25"/>
    <row r="198618" customFormat="1" x14ac:dyDescent="0.25"/>
    <row r="198619" customFormat="1" x14ac:dyDescent="0.25"/>
    <row r="198620" customFormat="1" x14ac:dyDescent="0.25"/>
    <row r="198621" customFormat="1" x14ac:dyDescent="0.25"/>
    <row r="198622" customFormat="1" x14ac:dyDescent="0.25"/>
    <row r="198623" customFormat="1" x14ac:dyDescent="0.25"/>
    <row r="198624" customFormat="1" x14ac:dyDescent="0.25"/>
    <row r="198625" customFormat="1" x14ac:dyDescent="0.25"/>
    <row r="198626" customFormat="1" x14ac:dyDescent="0.25"/>
    <row r="198627" customFormat="1" x14ac:dyDescent="0.25"/>
    <row r="198628" customFormat="1" x14ac:dyDescent="0.25"/>
    <row r="198629" customFormat="1" x14ac:dyDescent="0.25"/>
    <row r="198630" customFormat="1" x14ac:dyDescent="0.25"/>
    <row r="198631" customFormat="1" x14ac:dyDescent="0.25"/>
    <row r="198632" customFormat="1" x14ac:dyDescent="0.25"/>
    <row r="198633" customFormat="1" x14ac:dyDescent="0.25"/>
    <row r="198634" customFormat="1" x14ac:dyDescent="0.25"/>
    <row r="198635" customFormat="1" x14ac:dyDescent="0.25"/>
    <row r="198636" customFormat="1" x14ac:dyDescent="0.25"/>
    <row r="198637" customFormat="1" x14ac:dyDescent="0.25"/>
    <row r="198638" customFormat="1" x14ac:dyDescent="0.25"/>
    <row r="198639" customFormat="1" x14ac:dyDescent="0.25"/>
    <row r="198640" customFormat="1" x14ac:dyDescent="0.25"/>
    <row r="198641" customFormat="1" x14ac:dyDescent="0.25"/>
    <row r="198642" customFormat="1" x14ac:dyDescent="0.25"/>
    <row r="198643" customFormat="1" x14ac:dyDescent="0.25"/>
    <row r="198644" customFormat="1" x14ac:dyDescent="0.25"/>
    <row r="198645" customFormat="1" x14ac:dyDescent="0.25"/>
    <row r="198646" customFormat="1" x14ac:dyDescent="0.25"/>
    <row r="198647" customFormat="1" x14ac:dyDescent="0.25"/>
    <row r="198648" customFormat="1" x14ac:dyDescent="0.25"/>
    <row r="198649" customFormat="1" x14ac:dyDescent="0.25"/>
    <row r="198650" customFormat="1" x14ac:dyDescent="0.25"/>
    <row r="198651" customFormat="1" x14ac:dyDescent="0.25"/>
    <row r="198652" customFormat="1" x14ac:dyDescent="0.25"/>
    <row r="198653" customFormat="1" x14ac:dyDescent="0.25"/>
    <row r="198654" customFormat="1" x14ac:dyDescent="0.25"/>
    <row r="198655" customFormat="1" x14ac:dyDescent="0.25"/>
    <row r="198656" customFormat="1" x14ac:dyDescent="0.25"/>
    <row r="198657" customFormat="1" x14ac:dyDescent="0.25"/>
    <row r="198658" customFormat="1" x14ac:dyDescent="0.25"/>
    <row r="198659" customFormat="1" x14ac:dyDescent="0.25"/>
    <row r="198660" customFormat="1" x14ac:dyDescent="0.25"/>
    <row r="198661" customFormat="1" x14ac:dyDescent="0.25"/>
    <row r="198662" customFormat="1" x14ac:dyDescent="0.25"/>
    <row r="198663" customFormat="1" x14ac:dyDescent="0.25"/>
    <row r="198664" customFormat="1" x14ac:dyDescent="0.25"/>
    <row r="198665" customFormat="1" x14ac:dyDescent="0.25"/>
    <row r="198666" customFormat="1" x14ac:dyDescent="0.25"/>
    <row r="198667" customFormat="1" x14ac:dyDescent="0.25"/>
    <row r="198668" customFormat="1" x14ac:dyDescent="0.25"/>
    <row r="198669" customFormat="1" x14ac:dyDescent="0.25"/>
    <row r="198670" customFormat="1" x14ac:dyDescent="0.25"/>
    <row r="198671" customFormat="1" x14ac:dyDescent="0.25"/>
    <row r="198672" customFormat="1" x14ac:dyDescent="0.25"/>
    <row r="198673" customFormat="1" x14ac:dyDescent="0.25"/>
    <row r="198674" customFormat="1" x14ac:dyDescent="0.25"/>
    <row r="198675" customFormat="1" x14ac:dyDescent="0.25"/>
    <row r="198676" customFormat="1" x14ac:dyDescent="0.25"/>
    <row r="198677" customFormat="1" x14ac:dyDescent="0.25"/>
    <row r="198678" customFormat="1" x14ac:dyDescent="0.25"/>
    <row r="198679" customFormat="1" x14ac:dyDescent="0.25"/>
    <row r="198680" customFormat="1" x14ac:dyDescent="0.25"/>
    <row r="198681" customFormat="1" x14ac:dyDescent="0.25"/>
    <row r="198682" customFormat="1" x14ac:dyDescent="0.25"/>
    <row r="198683" customFormat="1" x14ac:dyDescent="0.25"/>
    <row r="198684" customFormat="1" x14ac:dyDescent="0.25"/>
    <row r="198685" customFormat="1" x14ac:dyDescent="0.25"/>
    <row r="198686" customFormat="1" x14ac:dyDescent="0.25"/>
    <row r="198687" customFormat="1" x14ac:dyDescent="0.25"/>
    <row r="198688" customFormat="1" x14ac:dyDescent="0.25"/>
    <row r="198689" customFormat="1" x14ac:dyDescent="0.25"/>
    <row r="198690" customFormat="1" x14ac:dyDescent="0.25"/>
    <row r="198691" customFormat="1" x14ac:dyDescent="0.25"/>
    <row r="198692" customFormat="1" x14ac:dyDescent="0.25"/>
    <row r="198693" customFormat="1" x14ac:dyDescent="0.25"/>
    <row r="198694" customFormat="1" x14ac:dyDescent="0.25"/>
    <row r="198695" customFormat="1" x14ac:dyDescent="0.25"/>
    <row r="198696" customFormat="1" x14ac:dyDescent="0.25"/>
    <row r="198697" customFormat="1" x14ac:dyDescent="0.25"/>
    <row r="198698" customFormat="1" x14ac:dyDescent="0.25"/>
    <row r="198699" customFormat="1" x14ac:dyDescent="0.25"/>
    <row r="198700" customFormat="1" x14ac:dyDescent="0.25"/>
    <row r="198701" customFormat="1" x14ac:dyDescent="0.25"/>
    <row r="198702" customFormat="1" x14ac:dyDescent="0.25"/>
    <row r="198703" customFormat="1" x14ac:dyDescent="0.25"/>
    <row r="198704" customFormat="1" x14ac:dyDescent="0.25"/>
    <row r="198705" customFormat="1" x14ac:dyDescent="0.25"/>
    <row r="198706" customFormat="1" x14ac:dyDescent="0.25"/>
    <row r="198707" customFormat="1" x14ac:dyDescent="0.25"/>
    <row r="198708" customFormat="1" x14ac:dyDescent="0.25"/>
    <row r="198709" customFormat="1" x14ac:dyDescent="0.25"/>
    <row r="198710" customFormat="1" x14ac:dyDescent="0.25"/>
    <row r="198711" customFormat="1" x14ac:dyDescent="0.25"/>
    <row r="198712" customFormat="1" x14ac:dyDescent="0.25"/>
    <row r="198713" customFormat="1" x14ac:dyDescent="0.25"/>
    <row r="198714" customFormat="1" x14ac:dyDescent="0.25"/>
    <row r="198715" customFormat="1" x14ac:dyDescent="0.25"/>
    <row r="198716" customFormat="1" x14ac:dyDescent="0.25"/>
    <row r="198717" customFormat="1" x14ac:dyDescent="0.25"/>
    <row r="198718" customFormat="1" x14ac:dyDescent="0.25"/>
    <row r="198719" customFormat="1" x14ac:dyDescent="0.25"/>
    <row r="198720" customFormat="1" x14ac:dyDescent="0.25"/>
    <row r="198721" customFormat="1" x14ac:dyDescent="0.25"/>
    <row r="198722" customFormat="1" x14ac:dyDescent="0.25"/>
    <row r="198723" customFormat="1" x14ac:dyDescent="0.25"/>
    <row r="198724" customFormat="1" x14ac:dyDescent="0.25"/>
    <row r="198725" customFormat="1" x14ac:dyDescent="0.25"/>
    <row r="198726" customFormat="1" x14ac:dyDescent="0.25"/>
    <row r="198727" customFormat="1" x14ac:dyDescent="0.25"/>
    <row r="198728" customFormat="1" x14ac:dyDescent="0.25"/>
    <row r="198729" customFormat="1" x14ac:dyDescent="0.25"/>
    <row r="198730" customFormat="1" x14ac:dyDescent="0.25"/>
    <row r="198731" customFormat="1" x14ac:dyDescent="0.25"/>
    <row r="198732" customFormat="1" x14ac:dyDescent="0.25"/>
    <row r="198733" customFormat="1" x14ac:dyDescent="0.25"/>
    <row r="198734" customFormat="1" x14ac:dyDescent="0.25"/>
    <row r="198735" customFormat="1" x14ac:dyDescent="0.25"/>
    <row r="198736" customFormat="1" x14ac:dyDescent="0.25"/>
    <row r="198737" customFormat="1" x14ac:dyDescent="0.25"/>
    <row r="198738" customFormat="1" x14ac:dyDescent="0.25"/>
    <row r="198739" customFormat="1" x14ac:dyDescent="0.25"/>
    <row r="198740" customFormat="1" x14ac:dyDescent="0.25"/>
    <row r="198741" customFormat="1" x14ac:dyDescent="0.25"/>
    <row r="198742" customFormat="1" x14ac:dyDescent="0.25"/>
    <row r="198743" customFormat="1" x14ac:dyDescent="0.25"/>
    <row r="198744" customFormat="1" x14ac:dyDescent="0.25"/>
    <row r="198745" customFormat="1" x14ac:dyDescent="0.25"/>
    <row r="198746" customFormat="1" x14ac:dyDescent="0.25"/>
    <row r="198747" customFormat="1" x14ac:dyDescent="0.25"/>
    <row r="198748" customFormat="1" x14ac:dyDescent="0.25"/>
    <row r="198749" customFormat="1" x14ac:dyDescent="0.25"/>
    <row r="198750" customFormat="1" x14ac:dyDescent="0.25"/>
    <row r="198751" customFormat="1" x14ac:dyDescent="0.25"/>
    <row r="198752" customFormat="1" x14ac:dyDescent="0.25"/>
    <row r="198753" customFormat="1" x14ac:dyDescent="0.25"/>
    <row r="198754" customFormat="1" x14ac:dyDescent="0.25"/>
    <row r="198755" customFormat="1" x14ac:dyDescent="0.25"/>
    <row r="198756" customFormat="1" x14ac:dyDescent="0.25"/>
    <row r="198757" customFormat="1" x14ac:dyDescent="0.25"/>
    <row r="198758" customFormat="1" x14ac:dyDescent="0.25"/>
    <row r="198759" customFormat="1" x14ac:dyDescent="0.25"/>
    <row r="198760" customFormat="1" x14ac:dyDescent="0.25"/>
    <row r="198761" customFormat="1" x14ac:dyDescent="0.25"/>
    <row r="198762" customFormat="1" x14ac:dyDescent="0.25"/>
    <row r="198763" customFormat="1" x14ac:dyDescent="0.25"/>
    <row r="198764" customFormat="1" x14ac:dyDescent="0.25"/>
    <row r="198765" customFormat="1" x14ac:dyDescent="0.25"/>
    <row r="198766" customFormat="1" x14ac:dyDescent="0.25"/>
    <row r="198767" customFormat="1" x14ac:dyDescent="0.25"/>
    <row r="198768" customFormat="1" x14ac:dyDescent="0.25"/>
    <row r="198769" customFormat="1" x14ac:dyDescent="0.25"/>
    <row r="198770" customFormat="1" x14ac:dyDescent="0.25"/>
    <row r="198771" customFormat="1" x14ac:dyDescent="0.25"/>
    <row r="198772" customFormat="1" x14ac:dyDescent="0.25"/>
    <row r="198773" customFormat="1" x14ac:dyDescent="0.25"/>
    <row r="198774" customFormat="1" x14ac:dyDescent="0.25"/>
    <row r="198775" customFormat="1" x14ac:dyDescent="0.25"/>
    <row r="198776" customFormat="1" x14ac:dyDescent="0.25"/>
    <row r="198777" customFormat="1" x14ac:dyDescent="0.25"/>
    <row r="198778" customFormat="1" x14ac:dyDescent="0.25"/>
    <row r="198779" customFormat="1" x14ac:dyDescent="0.25"/>
    <row r="198780" customFormat="1" x14ac:dyDescent="0.25"/>
    <row r="198781" customFormat="1" x14ac:dyDescent="0.25"/>
    <row r="198782" customFormat="1" x14ac:dyDescent="0.25"/>
    <row r="198783" customFormat="1" x14ac:dyDescent="0.25"/>
    <row r="198784" customFormat="1" x14ac:dyDescent="0.25"/>
    <row r="198785" customFormat="1" x14ac:dyDescent="0.25"/>
    <row r="198786" customFormat="1" x14ac:dyDescent="0.25"/>
    <row r="198787" customFormat="1" x14ac:dyDescent="0.25"/>
    <row r="198788" customFormat="1" x14ac:dyDescent="0.25"/>
    <row r="198789" customFormat="1" x14ac:dyDescent="0.25"/>
    <row r="198790" customFormat="1" x14ac:dyDescent="0.25"/>
    <row r="198791" customFormat="1" x14ac:dyDescent="0.25"/>
    <row r="198792" customFormat="1" x14ac:dyDescent="0.25"/>
    <row r="198793" customFormat="1" x14ac:dyDescent="0.25"/>
    <row r="198794" customFormat="1" x14ac:dyDescent="0.25"/>
    <row r="198795" customFormat="1" x14ac:dyDescent="0.25"/>
    <row r="198796" customFormat="1" x14ac:dyDescent="0.25"/>
    <row r="198797" customFormat="1" x14ac:dyDescent="0.25"/>
    <row r="198798" customFormat="1" x14ac:dyDescent="0.25"/>
    <row r="198799" customFormat="1" x14ac:dyDescent="0.25"/>
    <row r="198800" customFormat="1" x14ac:dyDescent="0.25"/>
    <row r="198801" customFormat="1" x14ac:dyDescent="0.25"/>
    <row r="198802" customFormat="1" x14ac:dyDescent="0.25"/>
    <row r="198803" customFormat="1" x14ac:dyDescent="0.25"/>
    <row r="198804" customFormat="1" x14ac:dyDescent="0.25"/>
    <row r="198805" customFormat="1" x14ac:dyDescent="0.25"/>
    <row r="198806" customFormat="1" x14ac:dyDescent="0.25"/>
    <row r="198807" customFormat="1" x14ac:dyDescent="0.25"/>
    <row r="198808" customFormat="1" x14ac:dyDescent="0.25"/>
    <row r="198809" customFormat="1" x14ac:dyDescent="0.25"/>
    <row r="198810" customFormat="1" x14ac:dyDescent="0.25"/>
    <row r="198811" customFormat="1" x14ac:dyDescent="0.25"/>
    <row r="198812" customFormat="1" x14ac:dyDescent="0.25"/>
    <row r="198813" customFormat="1" x14ac:dyDescent="0.25"/>
    <row r="198814" customFormat="1" x14ac:dyDescent="0.25"/>
    <row r="198815" customFormat="1" x14ac:dyDescent="0.25"/>
    <row r="198816" customFormat="1" x14ac:dyDescent="0.25"/>
    <row r="198817" customFormat="1" x14ac:dyDescent="0.25"/>
    <row r="198818" customFormat="1" x14ac:dyDescent="0.25"/>
    <row r="198819" customFormat="1" x14ac:dyDescent="0.25"/>
    <row r="198820" customFormat="1" x14ac:dyDescent="0.25"/>
    <row r="198821" customFormat="1" x14ac:dyDescent="0.25"/>
    <row r="198822" customFormat="1" x14ac:dyDescent="0.25"/>
    <row r="198823" customFormat="1" x14ac:dyDescent="0.25"/>
    <row r="198824" customFormat="1" x14ac:dyDescent="0.25"/>
    <row r="198825" customFormat="1" x14ac:dyDescent="0.25"/>
    <row r="198826" customFormat="1" x14ac:dyDescent="0.25"/>
    <row r="198827" customFormat="1" x14ac:dyDescent="0.25"/>
    <row r="198828" customFormat="1" x14ac:dyDescent="0.25"/>
    <row r="198829" customFormat="1" x14ac:dyDescent="0.25"/>
    <row r="198830" customFormat="1" x14ac:dyDescent="0.25"/>
    <row r="198831" customFormat="1" x14ac:dyDescent="0.25"/>
    <row r="198832" customFormat="1" x14ac:dyDescent="0.25"/>
    <row r="198833" customFormat="1" x14ac:dyDescent="0.25"/>
    <row r="198834" customFormat="1" x14ac:dyDescent="0.25"/>
    <row r="198835" customFormat="1" x14ac:dyDescent="0.25"/>
    <row r="198836" customFormat="1" x14ac:dyDescent="0.25"/>
    <row r="198837" customFormat="1" x14ac:dyDescent="0.25"/>
    <row r="198838" customFormat="1" x14ac:dyDescent="0.25"/>
    <row r="198839" customFormat="1" x14ac:dyDescent="0.25"/>
    <row r="198840" customFormat="1" x14ac:dyDescent="0.25"/>
    <row r="198841" customFormat="1" x14ac:dyDescent="0.25"/>
    <row r="198842" customFormat="1" x14ac:dyDescent="0.25"/>
    <row r="198843" customFormat="1" x14ac:dyDescent="0.25"/>
    <row r="198844" customFormat="1" x14ac:dyDescent="0.25"/>
    <row r="198845" customFormat="1" x14ac:dyDescent="0.25"/>
    <row r="198846" customFormat="1" x14ac:dyDescent="0.25"/>
    <row r="198847" customFormat="1" x14ac:dyDescent="0.25"/>
    <row r="198848" customFormat="1" x14ac:dyDescent="0.25"/>
    <row r="198849" customFormat="1" x14ac:dyDescent="0.25"/>
    <row r="198850" customFormat="1" x14ac:dyDescent="0.25"/>
    <row r="198851" customFormat="1" x14ac:dyDescent="0.25"/>
    <row r="198852" customFormat="1" x14ac:dyDescent="0.25"/>
    <row r="198853" customFormat="1" x14ac:dyDescent="0.25"/>
    <row r="198854" customFormat="1" x14ac:dyDescent="0.25"/>
    <row r="198855" customFormat="1" x14ac:dyDescent="0.25"/>
    <row r="198856" customFormat="1" x14ac:dyDescent="0.25"/>
    <row r="198857" customFormat="1" x14ac:dyDescent="0.25"/>
    <row r="198858" customFormat="1" x14ac:dyDescent="0.25"/>
    <row r="198859" customFormat="1" x14ac:dyDescent="0.25"/>
    <row r="198860" customFormat="1" x14ac:dyDescent="0.25"/>
    <row r="198861" customFormat="1" x14ac:dyDescent="0.25"/>
    <row r="198862" customFormat="1" x14ac:dyDescent="0.25"/>
    <row r="198863" customFormat="1" x14ac:dyDescent="0.25"/>
    <row r="198864" customFormat="1" x14ac:dyDescent="0.25"/>
    <row r="198865" customFormat="1" x14ac:dyDescent="0.25"/>
    <row r="198866" customFormat="1" x14ac:dyDescent="0.25"/>
    <row r="198867" customFormat="1" x14ac:dyDescent="0.25"/>
    <row r="198868" customFormat="1" x14ac:dyDescent="0.25"/>
    <row r="198869" customFormat="1" x14ac:dyDescent="0.25"/>
    <row r="198870" customFormat="1" x14ac:dyDescent="0.25"/>
    <row r="198871" customFormat="1" x14ac:dyDescent="0.25"/>
    <row r="198872" customFormat="1" x14ac:dyDescent="0.25"/>
    <row r="198873" customFormat="1" x14ac:dyDescent="0.25"/>
    <row r="198874" customFormat="1" x14ac:dyDescent="0.25"/>
    <row r="198875" customFormat="1" x14ac:dyDescent="0.25"/>
    <row r="198876" customFormat="1" x14ac:dyDescent="0.25"/>
    <row r="198877" customFormat="1" x14ac:dyDescent="0.25"/>
    <row r="198878" customFormat="1" x14ac:dyDescent="0.25"/>
    <row r="198879" customFormat="1" x14ac:dyDescent="0.25"/>
    <row r="198880" customFormat="1" x14ac:dyDescent="0.25"/>
    <row r="198881" customFormat="1" x14ac:dyDescent="0.25"/>
    <row r="198882" customFormat="1" x14ac:dyDescent="0.25"/>
    <row r="198883" customFormat="1" x14ac:dyDescent="0.25"/>
    <row r="198884" customFormat="1" x14ac:dyDescent="0.25"/>
    <row r="198885" customFormat="1" x14ac:dyDescent="0.25"/>
    <row r="198886" customFormat="1" x14ac:dyDescent="0.25"/>
    <row r="198887" customFormat="1" x14ac:dyDescent="0.25"/>
    <row r="198888" customFormat="1" x14ac:dyDescent="0.25"/>
    <row r="198889" customFormat="1" x14ac:dyDescent="0.25"/>
    <row r="198890" customFormat="1" x14ac:dyDescent="0.25"/>
    <row r="198891" customFormat="1" x14ac:dyDescent="0.25"/>
    <row r="198892" customFormat="1" x14ac:dyDescent="0.25"/>
    <row r="198893" customFormat="1" x14ac:dyDescent="0.25"/>
    <row r="198894" customFormat="1" x14ac:dyDescent="0.25"/>
    <row r="198895" customFormat="1" x14ac:dyDescent="0.25"/>
    <row r="198896" customFormat="1" x14ac:dyDescent="0.25"/>
    <row r="198897" customFormat="1" x14ac:dyDescent="0.25"/>
    <row r="198898" customFormat="1" x14ac:dyDescent="0.25"/>
    <row r="198899" customFormat="1" x14ac:dyDescent="0.25"/>
    <row r="198900" customFormat="1" x14ac:dyDescent="0.25"/>
    <row r="198901" customFormat="1" x14ac:dyDescent="0.25"/>
    <row r="198902" customFormat="1" x14ac:dyDescent="0.25"/>
    <row r="198903" customFormat="1" x14ac:dyDescent="0.25"/>
    <row r="198904" customFormat="1" x14ac:dyDescent="0.25"/>
    <row r="198905" customFormat="1" x14ac:dyDescent="0.25"/>
    <row r="198906" customFormat="1" x14ac:dyDescent="0.25"/>
    <row r="198907" customFormat="1" x14ac:dyDescent="0.25"/>
    <row r="198908" customFormat="1" x14ac:dyDescent="0.25"/>
    <row r="198909" customFormat="1" x14ac:dyDescent="0.25"/>
    <row r="198910" customFormat="1" x14ac:dyDescent="0.25"/>
    <row r="198911" customFormat="1" x14ac:dyDescent="0.25"/>
    <row r="198912" customFormat="1" x14ac:dyDescent="0.25"/>
    <row r="198913" customFormat="1" x14ac:dyDescent="0.25"/>
    <row r="198914" customFormat="1" x14ac:dyDescent="0.25"/>
    <row r="198915" customFormat="1" x14ac:dyDescent="0.25"/>
    <row r="198916" customFormat="1" x14ac:dyDescent="0.25"/>
    <row r="198917" customFormat="1" x14ac:dyDescent="0.25"/>
    <row r="198918" customFormat="1" x14ac:dyDescent="0.25"/>
    <row r="198919" customFormat="1" x14ac:dyDescent="0.25"/>
    <row r="198920" customFormat="1" x14ac:dyDescent="0.25"/>
    <row r="198921" customFormat="1" x14ac:dyDescent="0.25"/>
    <row r="198922" customFormat="1" x14ac:dyDescent="0.25"/>
    <row r="198923" customFormat="1" x14ac:dyDescent="0.25"/>
    <row r="198924" customFormat="1" x14ac:dyDescent="0.25"/>
    <row r="198925" customFormat="1" x14ac:dyDescent="0.25"/>
    <row r="198926" customFormat="1" x14ac:dyDescent="0.25"/>
    <row r="198927" customFormat="1" x14ac:dyDescent="0.25"/>
    <row r="198928" customFormat="1" x14ac:dyDescent="0.25"/>
    <row r="198929" customFormat="1" x14ac:dyDescent="0.25"/>
    <row r="198930" customFormat="1" x14ac:dyDescent="0.25"/>
    <row r="198931" customFormat="1" x14ac:dyDescent="0.25"/>
    <row r="198932" customFormat="1" x14ac:dyDescent="0.25"/>
    <row r="198933" customFormat="1" x14ac:dyDescent="0.25"/>
    <row r="198934" customFormat="1" x14ac:dyDescent="0.25"/>
    <row r="198935" customFormat="1" x14ac:dyDescent="0.25"/>
    <row r="198936" customFormat="1" x14ac:dyDescent="0.25"/>
    <row r="198937" customFormat="1" x14ac:dyDescent="0.25"/>
    <row r="198938" customFormat="1" x14ac:dyDescent="0.25"/>
    <row r="198939" customFormat="1" x14ac:dyDescent="0.25"/>
    <row r="198940" customFormat="1" x14ac:dyDescent="0.25"/>
    <row r="198941" customFormat="1" x14ac:dyDescent="0.25"/>
    <row r="198942" customFormat="1" x14ac:dyDescent="0.25"/>
    <row r="198943" customFormat="1" x14ac:dyDescent="0.25"/>
    <row r="198944" customFormat="1" x14ac:dyDescent="0.25"/>
    <row r="198945" customFormat="1" x14ac:dyDescent="0.25"/>
    <row r="198946" customFormat="1" x14ac:dyDescent="0.25"/>
    <row r="198947" customFormat="1" x14ac:dyDescent="0.25"/>
    <row r="198948" customFormat="1" x14ac:dyDescent="0.25"/>
    <row r="198949" customFormat="1" x14ac:dyDescent="0.25"/>
    <row r="198950" customFormat="1" x14ac:dyDescent="0.25"/>
    <row r="198951" customFormat="1" x14ac:dyDescent="0.25"/>
    <row r="198952" customFormat="1" x14ac:dyDescent="0.25"/>
    <row r="198953" customFormat="1" x14ac:dyDescent="0.25"/>
    <row r="198954" customFormat="1" x14ac:dyDescent="0.25"/>
    <row r="198955" customFormat="1" x14ac:dyDescent="0.25"/>
    <row r="198956" customFormat="1" x14ac:dyDescent="0.25"/>
    <row r="198957" customFormat="1" x14ac:dyDescent="0.25"/>
    <row r="198958" customFormat="1" x14ac:dyDescent="0.25"/>
    <row r="198959" customFormat="1" x14ac:dyDescent="0.25"/>
    <row r="198960" customFormat="1" x14ac:dyDescent="0.25"/>
    <row r="198961" customFormat="1" x14ac:dyDescent="0.25"/>
    <row r="198962" customFormat="1" x14ac:dyDescent="0.25"/>
    <row r="198963" customFormat="1" x14ac:dyDescent="0.25"/>
    <row r="198964" customFormat="1" x14ac:dyDescent="0.25"/>
    <row r="198965" customFormat="1" x14ac:dyDescent="0.25"/>
    <row r="198966" customFormat="1" x14ac:dyDescent="0.25"/>
    <row r="198967" customFormat="1" x14ac:dyDescent="0.25"/>
    <row r="198968" customFormat="1" x14ac:dyDescent="0.25"/>
    <row r="198969" customFormat="1" x14ac:dyDescent="0.25"/>
    <row r="198970" customFormat="1" x14ac:dyDescent="0.25"/>
    <row r="198971" customFormat="1" x14ac:dyDescent="0.25"/>
    <row r="198972" customFormat="1" x14ac:dyDescent="0.25"/>
    <row r="198973" customFormat="1" x14ac:dyDescent="0.25"/>
    <row r="198974" customFormat="1" x14ac:dyDescent="0.25"/>
    <row r="198975" customFormat="1" x14ac:dyDescent="0.25"/>
    <row r="198976" customFormat="1" x14ac:dyDescent="0.25"/>
    <row r="198977" customFormat="1" x14ac:dyDescent="0.25"/>
    <row r="198978" customFormat="1" x14ac:dyDescent="0.25"/>
    <row r="198979" customFormat="1" x14ac:dyDescent="0.25"/>
    <row r="198980" customFormat="1" x14ac:dyDescent="0.25"/>
    <row r="198981" customFormat="1" x14ac:dyDescent="0.25"/>
    <row r="198982" customFormat="1" x14ac:dyDescent="0.25"/>
    <row r="198983" customFormat="1" x14ac:dyDescent="0.25"/>
    <row r="198984" customFormat="1" x14ac:dyDescent="0.25"/>
    <row r="198985" customFormat="1" x14ac:dyDescent="0.25"/>
    <row r="198986" customFormat="1" x14ac:dyDescent="0.25"/>
    <row r="198987" customFormat="1" x14ac:dyDescent="0.25"/>
    <row r="198988" customFormat="1" x14ac:dyDescent="0.25"/>
    <row r="198989" customFormat="1" x14ac:dyDescent="0.25"/>
    <row r="198990" customFormat="1" x14ac:dyDescent="0.25"/>
    <row r="198991" customFormat="1" x14ac:dyDescent="0.25"/>
    <row r="198992" customFormat="1" x14ac:dyDescent="0.25"/>
    <row r="198993" customFormat="1" x14ac:dyDescent="0.25"/>
    <row r="198994" customFormat="1" x14ac:dyDescent="0.25"/>
    <row r="198995" customFormat="1" x14ac:dyDescent="0.25"/>
    <row r="198996" customFormat="1" x14ac:dyDescent="0.25"/>
    <row r="198997" customFormat="1" x14ac:dyDescent="0.25"/>
    <row r="198998" customFormat="1" x14ac:dyDescent="0.25"/>
    <row r="198999" customFormat="1" x14ac:dyDescent="0.25"/>
    <row r="199000" customFormat="1" x14ac:dyDescent="0.25"/>
    <row r="199001" customFormat="1" x14ac:dyDescent="0.25"/>
    <row r="199002" customFormat="1" x14ac:dyDescent="0.25"/>
    <row r="199003" customFormat="1" x14ac:dyDescent="0.25"/>
    <row r="199004" customFormat="1" x14ac:dyDescent="0.25"/>
    <row r="199005" customFormat="1" x14ac:dyDescent="0.25"/>
    <row r="199006" customFormat="1" x14ac:dyDescent="0.25"/>
    <row r="199007" customFormat="1" x14ac:dyDescent="0.25"/>
    <row r="199008" customFormat="1" x14ac:dyDescent="0.25"/>
    <row r="199009" customFormat="1" x14ac:dyDescent="0.25"/>
    <row r="199010" customFormat="1" x14ac:dyDescent="0.25"/>
    <row r="199011" customFormat="1" x14ac:dyDescent="0.25"/>
    <row r="199012" customFormat="1" x14ac:dyDescent="0.25"/>
    <row r="199013" customFormat="1" x14ac:dyDescent="0.25"/>
    <row r="199014" customFormat="1" x14ac:dyDescent="0.25"/>
    <row r="199015" customFormat="1" x14ac:dyDescent="0.25"/>
    <row r="199016" customFormat="1" x14ac:dyDescent="0.25"/>
    <row r="199017" customFormat="1" x14ac:dyDescent="0.25"/>
    <row r="199018" customFormat="1" x14ac:dyDescent="0.25"/>
    <row r="199019" customFormat="1" x14ac:dyDescent="0.25"/>
    <row r="199020" customFormat="1" x14ac:dyDescent="0.25"/>
    <row r="199021" customFormat="1" x14ac:dyDescent="0.25"/>
    <row r="199022" customFormat="1" x14ac:dyDescent="0.25"/>
    <row r="199023" customFormat="1" x14ac:dyDescent="0.25"/>
    <row r="199024" customFormat="1" x14ac:dyDescent="0.25"/>
    <row r="199025" customFormat="1" x14ac:dyDescent="0.25"/>
    <row r="199026" customFormat="1" x14ac:dyDescent="0.25"/>
    <row r="199027" customFormat="1" x14ac:dyDescent="0.25"/>
    <row r="199028" customFormat="1" x14ac:dyDescent="0.25"/>
    <row r="199029" customFormat="1" x14ac:dyDescent="0.25"/>
    <row r="199030" customFormat="1" x14ac:dyDescent="0.25"/>
    <row r="199031" customFormat="1" x14ac:dyDescent="0.25"/>
    <row r="199032" customFormat="1" x14ac:dyDescent="0.25"/>
    <row r="199033" customFormat="1" x14ac:dyDescent="0.25"/>
    <row r="199034" customFormat="1" x14ac:dyDescent="0.25"/>
    <row r="199035" customFormat="1" x14ac:dyDescent="0.25"/>
    <row r="199036" customFormat="1" x14ac:dyDescent="0.25"/>
    <row r="199037" customFormat="1" x14ac:dyDescent="0.25"/>
    <row r="199038" customFormat="1" x14ac:dyDescent="0.25"/>
    <row r="199039" customFormat="1" x14ac:dyDescent="0.25"/>
    <row r="199040" customFormat="1" x14ac:dyDescent="0.25"/>
    <row r="199041" customFormat="1" x14ac:dyDescent="0.25"/>
    <row r="199042" customFormat="1" x14ac:dyDescent="0.25"/>
    <row r="199043" customFormat="1" x14ac:dyDescent="0.25"/>
    <row r="199044" customFormat="1" x14ac:dyDescent="0.25"/>
    <row r="199045" customFormat="1" x14ac:dyDescent="0.25"/>
    <row r="199046" customFormat="1" x14ac:dyDescent="0.25"/>
    <row r="199047" customFormat="1" x14ac:dyDescent="0.25"/>
    <row r="199048" customFormat="1" x14ac:dyDescent="0.25"/>
    <row r="199049" customFormat="1" x14ac:dyDescent="0.25"/>
    <row r="199050" customFormat="1" x14ac:dyDescent="0.25"/>
    <row r="199051" customFormat="1" x14ac:dyDescent="0.25"/>
    <row r="199052" customFormat="1" x14ac:dyDescent="0.25"/>
    <row r="199053" customFormat="1" x14ac:dyDescent="0.25"/>
    <row r="199054" customFormat="1" x14ac:dyDescent="0.25"/>
    <row r="199055" customFormat="1" x14ac:dyDescent="0.25"/>
    <row r="199056" customFormat="1" x14ac:dyDescent="0.25"/>
    <row r="199057" customFormat="1" x14ac:dyDescent="0.25"/>
    <row r="199058" customFormat="1" x14ac:dyDescent="0.25"/>
    <row r="199059" customFormat="1" x14ac:dyDescent="0.25"/>
    <row r="199060" customFormat="1" x14ac:dyDescent="0.25"/>
    <row r="199061" customFormat="1" x14ac:dyDescent="0.25"/>
    <row r="199062" customFormat="1" x14ac:dyDescent="0.25"/>
    <row r="199063" customFormat="1" x14ac:dyDescent="0.25"/>
    <row r="199064" customFormat="1" x14ac:dyDescent="0.25"/>
    <row r="199065" customFormat="1" x14ac:dyDescent="0.25"/>
    <row r="199066" customFormat="1" x14ac:dyDescent="0.25"/>
    <row r="199067" customFormat="1" x14ac:dyDescent="0.25"/>
    <row r="199068" customFormat="1" x14ac:dyDescent="0.25"/>
    <row r="199069" customFormat="1" x14ac:dyDescent="0.25"/>
    <row r="199070" customFormat="1" x14ac:dyDescent="0.25"/>
    <row r="199071" customFormat="1" x14ac:dyDescent="0.25"/>
    <row r="199072" customFormat="1" x14ac:dyDescent="0.25"/>
    <row r="199073" customFormat="1" x14ac:dyDescent="0.25"/>
    <row r="199074" customFormat="1" x14ac:dyDescent="0.25"/>
    <row r="199075" customFormat="1" x14ac:dyDescent="0.25"/>
    <row r="199076" customFormat="1" x14ac:dyDescent="0.25"/>
    <row r="199077" customFormat="1" x14ac:dyDescent="0.25"/>
    <row r="199078" customFormat="1" x14ac:dyDescent="0.25"/>
    <row r="199079" customFormat="1" x14ac:dyDescent="0.25"/>
    <row r="199080" customFormat="1" x14ac:dyDescent="0.25"/>
    <row r="199081" customFormat="1" x14ac:dyDescent="0.25"/>
    <row r="199082" customFormat="1" x14ac:dyDescent="0.25"/>
    <row r="199083" customFormat="1" x14ac:dyDescent="0.25"/>
    <row r="199084" customFormat="1" x14ac:dyDescent="0.25"/>
    <row r="199085" customFormat="1" x14ac:dyDescent="0.25"/>
    <row r="199086" customFormat="1" x14ac:dyDescent="0.25"/>
    <row r="199087" customFormat="1" x14ac:dyDescent="0.25"/>
    <row r="199088" customFormat="1" x14ac:dyDescent="0.25"/>
    <row r="199089" customFormat="1" x14ac:dyDescent="0.25"/>
    <row r="199090" customFormat="1" x14ac:dyDescent="0.25"/>
    <row r="199091" customFormat="1" x14ac:dyDescent="0.25"/>
    <row r="199092" customFormat="1" x14ac:dyDescent="0.25"/>
    <row r="199093" customFormat="1" x14ac:dyDescent="0.25"/>
    <row r="199094" customFormat="1" x14ac:dyDescent="0.25"/>
    <row r="199095" customFormat="1" x14ac:dyDescent="0.25"/>
    <row r="199096" customFormat="1" x14ac:dyDescent="0.25"/>
    <row r="199097" customFormat="1" x14ac:dyDescent="0.25"/>
    <row r="199098" customFormat="1" x14ac:dyDescent="0.25"/>
    <row r="199099" customFormat="1" x14ac:dyDescent="0.25"/>
    <row r="199100" customFormat="1" x14ac:dyDescent="0.25"/>
    <row r="199101" customFormat="1" x14ac:dyDescent="0.25"/>
    <row r="199102" customFormat="1" x14ac:dyDescent="0.25"/>
    <row r="199103" customFormat="1" x14ac:dyDescent="0.25"/>
    <row r="199104" customFormat="1" x14ac:dyDescent="0.25"/>
    <row r="199105" customFormat="1" x14ac:dyDescent="0.25"/>
    <row r="199106" customFormat="1" x14ac:dyDescent="0.25"/>
    <row r="199107" customFormat="1" x14ac:dyDescent="0.25"/>
    <row r="199108" customFormat="1" x14ac:dyDescent="0.25"/>
    <row r="199109" customFormat="1" x14ac:dyDescent="0.25"/>
    <row r="199110" customFormat="1" x14ac:dyDescent="0.25"/>
    <row r="199111" customFormat="1" x14ac:dyDescent="0.25"/>
    <row r="199112" customFormat="1" x14ac:dyDescent="0.25"/>
    <row r="199113" customFormat="1" x14ac:dyDescent="0.25"/>
    <row r="199114" customFormat="1" x14ac:dyDescent="0.25"/>
    <row r="199115" customFormat="1" x14ac:dyDescent="0.25"/>
    <row r="199116" customFormat="1" x14ac:dyDescent="0.25"/>
    <row r="199117" customFormat="1" x14ac:dyDescent="0.25"/>
    <row r="199118" customFormat="1" x14ac:dyDescent="0.25"/>
    <row r="199119" customFormat="1" x14ac:dyDescent="0.25"/>
    <row r="199120" customFormat="1" x14ac:dyDescent="0.25"/>
    <row r="199121" customFormat="1" x14ac:dyDescent="0.25"/>
    <row r="199122" customFormat="1" x14ac:dyDescent="0.25"/>
    <row r="199123" customFormat="1" x14ac:dyDescent="0.25"/>
    <row r="199124" customFormat="1" x14ac:dyDescent="0.25"/>
    <row r="199125" customFormat="1" x14ac:dyDescent="0.25"/>
    <row r="199126" customFormat="1" x14ac:dyDescent="0.25"/>
    <row r="199127" customFormat="1" x14ac:dyDescent="0.25"/>
    <row r="199128" customFormat="1" x14ac:dyDescent="0.25"/>
    <row r="199129" customFormat="1" x14ac:dyDescent="0.25"/>
    <row r="199130" customFormat="1" x14ac:dyDescent="0.25"/>
    <row r="199131" customFormat="1" x14ac:dyDescent="0.25"/>
    <row r="199132" customFormat="1" x14ac:dyDescent="0.25"/>
    <row r="199133" customFormat="1" x14ac:dyDescent="0.25"/>
    <row r="199134" customFormat="1" x14ac:dyDescent="0.25"/>
    <row r="199135" customFormat="1" x14ac:dyDescent="0.25"/>
    <row r="199136" customFormat="1" x14ac:dyDescent="0.25"/>
    <row r="199137" customFormat="1" x14ac:dyDescent="0.25"/>
    <row r="199138" customFormat="1" x14ac:dyDescent="0.25"/>
    <row r="199139" customFormat="1" x14ac:dyDescent="0.25"/>
    <row r="199140" customFormat="1" x14ac:dyDescent="0.25"/>
    <row r="199141" customFormat="1" x14ac:dyDescent="0.25"/>
    <row r="199142" customFormat="1" x14ac:dyDescent="0.25"/>
    <row r="199143" customFormat="1" x14ac:dyDescent="0.25"/>
    <row r="199144" customFormat="1" x14ac:dyDescent="0.25"/>
    <row r="199145" customFormat="1" x14ac:dyDescent="0.25"/>
    <row r="199146" customFormat="1" x14ac:dyDescent="0.25"/>
    <row r="199147" customFormat="1" x14ac:dyDescent="0.25"/>
    <row r="199148" customFormat="1" x14ac:dyDescent="0.25"/>
    <row r="199149" customFormat="1" x14ac:dyDescent="0.25"/>
    <row r="199150" customFormat="1" x14ac:dyDescent="0.25"/>
    <row r="199151" customFormat="1" x14ac:dyDescent="0.25"/>
    <row r="199152" customFormat="1" x14ac:dyDescent="0.25"/>
    <row r="199153" customFormat="1" x14ac:dyDescent="0.25"/>
    <row r="199154" customFormat="1" x14ac:dyDescent="0.25"/>
    <row r="199155" customFormat="1" x14ac:dyDescent="0.25"/>
    <row r="199156" customFormat="1" x14ac:dyDescent="0.25"/>
    <row r="199157" customFormat="1" x14ac:dyDescent="0.25"/>
    <row r="199158" customFormat="1" x14ac:dyDescent="0.25"/>
    <row r="199159" customFormat="1" x14ac:dyDescent="0.25"/>
    <row r="199160" customFormat="1" x14ac:dyDescent="0.25"/>
    <row r="199161" customFormat="1" x14ac:dyDescent="0.25"/>
    <row r="199162" customFormat="1" x14ac:dyDescent="0.25"/>
    <row r="199163" customFormat="1" x14ac:dyDescent="0.25"/>
    <row r="199164" customFormat="1" x14ac:dyDescent="0.25"/>
    <row r="199165" customFormat="1" x14ac:dyDescent="0.25"/>
    <row r="199166" customFormat="1" x14ac:dyDescent="0.25"/>
    <row r="199167" customFormat="1" x14ac:dyDescent="0.25"/>
    <row r="199168" customFormat="1" x14ac:dyDescent="0.25"/>
    <row r="199169" customFormat="1" x14ac:dyDescent="0.25"/>
    <row r="199170" customFormat="1" x14ac:dyDescent="0.25"/>
    <row r="199171" customFormat="1" x14ac:dyDescent="0.25"/>
    <row r="199172" customFormat="1" x14ac:dyDescent="0.25"/>
    <row r="199173" customFormat="1" x14ac:dyDescent="0.25"/>
    <row r="199174" customFormat="1" x14ac:dyDescent="0.25"/>
    <row r="199175" customFormat="1" x14ac:dyDescent="0.25"/>
    <row r="199176" customFormat="1" x14ac:dyDescent="0.25"/>
    <row r="199177" customFormat="1" x14ac:dyDescent="0.25"/>
    <row r="199178" customFormat="1" x14ac:dyDescent="0.25"/>
    <row r="199179" customFormat="1" x14ac:dyDescent="0.25"/>
    <row r="199180" customFormat="1" x14ac:dyDescent="0.25"/>
    <row r="199181" customFormat="1" x14ac:dyDescent="0.25"/>
    <row r="199182" customFormat="1" x14ac:dyDescent="0.25"/>
    <row r="199183" customFormat="1" x14ac:dyDescent="0.25"/>
    <row r="199184" customFormat="1" x14ac:dyDescent="0.25"/>
    <row r="199185" customFormat="1" x14ac:dyDescent="0.25"/>
    <row r="199186" customFormat="1" x14ac:dyDescent="0.25"/>
    <row r="199187" customFormat="1" x14ac:dyDescent="0.25"/>
    <row r="199188" customFormat="1" x14ac:dyDescent="0.25"/>
    <row r="199189" customFormat="1" x14ac:dyDescent="0.25"/>
    <row r="199190" customFormat="1" x14ac:dyDescent="0.25"/>
    <row r="199191" customFormat="1" x14ac:dyDescent="0.25"/>
    <row r="199192" customFormat="1" x14ac:dyDescent="0.25"/>
    <row r="199193" customFormat="1" x14ac:dyDescent="0.25"/>
    <row r="199194" customFormat="1" x14ac:dyDescent="0.25"/>
    <row r="199195" customFormat="1" x14ac:dyDescent="0.25"/>
    <row r="199196" customFormat="1" x14ac:dyDescent="0.25"/>
    <row r="199197" customFormat="1" x14ac:dyDescent="0.25"/>
    <row r="199198" customFormat="1" x14ac:dyDescent="0.25"/>
    <row r="199199" customFormat="1" x14ac:dyDescent="0.25"/>
    <row r="199200" customFormat="1" x14ac:dyDescent="0.25"/>
    <row r="199201" customFormat="1" x14ac:dyDescent="0.25"/>
    <row r="199202" customFormat="1" x14ac:dyDescent="0.25"/>
    <row r="199203" customFormat="1" x14ac:dyDescent="0.25"/>
    <row r="199204" customFormat="1" x14ac:dyDescent="0.25"/>
    <row r="199205" customFormat="1" x14ac:dyDescent="0.25"/>
    <row r="199206" customFormat="1" x14ac:dyDescent="0.25"/>
    <row r="199207" customFormat="1" x14ac:dyDescent="0.25"/>
    <row r="199208" customFormat="1" x14ac:dyDescent="0.25"/>
    <row r="199209" customFormat="1" x14ac:dyDescent="0.25"/>
    <row r="199210" customFormat="1" x14ac:dyDescent="0.25"/>
    <row r="199211" customFormat="1" x14ac:dyDescent="0.25"/>
    <row r="199212" customFormat="1" x14ac:dyDescent="0.25"/>
    <row r="199213" customFormat="1" x14ac:dyDescent="0.25"/>
    <row r="199214" customFormat="1" x14ac:dyDescent="0.25"/>
    <row r="199215" customFormat="1" x14ac:dyDescent="0.25"/>
    <row r="199216" customFormat="1" x14ac:dyDescent="0.25"/>
    <row r="199217" customFormat="1" x14ac:dyDescent="0.25"/>
    <row r="199218" customFormat="1" x14ac:dyDescent="0.25"/>
    <row r="199219" customFormat="1" x14ac:dyDescent="0.25"/>
    <row r="199220" customFormat="1" x14ac:dyDescent="0.25"/>
    <row r="199221" customFormat="1" x14ac:dyDescent="0.25"/>
    <row r="199222" customFormat="1" x14ac:dyDescent="0.25"/>
    <row r="199223" customFormat="1" x14ac:dyDescent="0.25"/>
    <row r="199224" customFormat="1" x14ac:dyDescent="0.25"/>
    <row r="199225" customFormat="1" x14ac:dyDescent="0.25"/>
    <row r="199226" customFormat="1" x14ac:dyDescent="0.25"/>
    <row r="199227" customFormat="1" x14ac:dyDescent="0.25"/>
    <row r="199228" customFormat="1" x14ac:dyDescent="0.25"/>
    <row r="199229" customFormat="1" x14ac:dyDescent="0.25"/>
    <row r="199230" customFormat="1" x14ac:dyDescent="0.25"/>
    <row r="199231" customFormat="1" x14ac:dyDescent="0.25"/>
    <row r="199232" customFormat="1" x14ac:dyDescent="0.25"/>
    <row r="199233" customFormat="1" x14ac:dyDescent="0.25"/>
    <row r="199234" customFormat="1" x14ac:dyDescent="0.25"/>
    <row r="199235" customFormat="1" x14ac:dyDescent="0.25"/>
    <row r="199236" customFormat="1" x14ac:dyDescent="0.25"/>
    <row r="199237" customFormat="1" x14ac:dyDescent="0.25"/>
    <row r="199238" customFormat="1" x14ac:dyDescent="0.25"/>
    <row r="199239" customFormat="1" x14ac:dyDescent="0.25"/>
    <row r="199240" customFormat="1" x14ac:dyDescent="0.25"/>
    <row r="199241" customFormat="1" x14ac:dyDescent="0.25"/>
    <row r="199242" customFormat="1" x14ac:dyDescent="0.25"/>
    <row r="199243" customFormat="1" x14ac:dyDescent="0.25"/>
    <row r="199244" customFormat="1" x14ac:dyDescent="0.25"/>
    <row r="199245" customFormat="1" x14ac:dyDescent="0.25"/>
    <row r="199246" customFormat="1" x14ac:dyDescent="0.25"/>
    <row r="199247" customFormat="1" x14ac:dyDescent="0.25"/>
    <row r="199248" customFormat="1" x14ac:dyDescent="0.25"/>
    <row r="199249" customFormat="1" x14ac:dyDescent="0.25"/>
    <row r="199250" customFormat="1" x14ac:dyDescent="0.25"/>
    <row r="199251" customFormat="1" x14ac:dyDescent="0.25"/>
    <row r="199252" customFormat="1" x14ac:dyDescent="0.25"/>
    <row r="199253" customFormat="1" x14ac:dyDescent="0.25"/>
    <row r="199254" customFormat="1" x14ac:dyDescent="0.25"/>
    <row r="199255" customFormat="1" x14ac:dyDescent="0.25"/>
    <row r="199256" customFormat="1" x14ac:dyDescent="0.25"/>
    <row r="199257" customFormat="1" x14ac:dyDescent="0.25"/>
    <row r="199258" customFormat="1" x14ac:dyDescent="0.25"/>
    <row r="199259" customFormat="1" x14ac:dyDescent="0.25"/>
    <row r="199260" customFormat="1" x14ac:dyDescent="0.25"/>
    <row r="199261" customFormat="1" x14ac:dyDescent="0.25"/>
    <row r="199262" customFormat="1" x14ac:dyDescent="0.25"/>
    <row r="199263" customFormat="1" x14ac:dyDescent="0.25"/>
    <row r="199264" customFormat="1" x14ac:dyDescent="0.25"/>
    <row r="199265" customFormat="1" x14ac:dyDescent="0.25"/>
    <row r="199266" customFormat="1" x14ac:dyDescent="0.25"/>
    <row r="199267" customFormat="1" x14ac:dyDescent="0.25"/>
    <row r="199268" customFormat="1" x14ac:dyDescent="0.25"/>
    <row r="199269" customFormat="1" x14ac:dyDescent="0.25"/>
    <row r="199270" customFormat="1" x14ac:dyDescent="0.25"/>
    <row r="199271" customFormat="1" x14ac:dyDescent="0.25"/>
    <row r="199272" customFormat="1" x14ac:dyDescent="0.25"/>
    <row r="199273" customFormat="1" x14ac:dyDescent="0.25"/>
    <row r="199274" customFormat="1" x14ac:dyDescent="0.25"/>
    <row r="199275" customFormat="1" x14ac:dyDescent="0.25"/>
    <row r="199276" customFormat="1" x14ac:dyDescent="0.25"/>
    <row r="199277" customFormat="1" x14ac:dyDescent="0.25"/>
    <row r="199278" customFormat="1" x14ac:dyDescent="0.25"/>
    <row r="199279" customFormat="1" x14ac:dyDescent="0.25"/>
    <row r="199280" customFormat="1" x14ac:dyDescent="0.25"/>
    <row r="199281" customFormat="1" x14ac:dyDescent="0.25"/>
    <row r="199282" customFormat="1" x14ac:dyDescent="0.25"/>
    <row r="199283" customFormat="1" x14ac:dyDescent="0.25"/>
    <row r="199284" customFormat="1" x14ac:dyDescent="0.25"/>
    <row r="199285" customFormat="1" x14ac:dyDescent="0.25"/>
    <row r="199286" customFormat="1" x14ac:dyDescent="0.25"/>
    <row r="199287" customFormat="1" x14ac:dyDescent="0.25"/>
    <row r="199288" customFormat="1" x14ac:dyDescent="0.25"/>
    <row r="199289" customFormat="1" x14ac:dyDescent="0.25"/>
    <row r="199290" customFormat="1" x14ac:dyDescent="0.25"/>
    <row r="199291" customFormat="1" x14ac:dyDescent="0.25"/>
    <row r="199292" customFormat="1" x14ac:dyDescent="0.25"/>
    <row r="199293" customFormat="1" x14ac:dyDescent="0.25"/>
    <row r="199294" customFormat="1" x14ac:dyDescent="0.25"/>
    <row r="199295" customFormat="1" x14ac:dyDescent="0.25"/>
    <row r="199296" customFormat="1" x14ac:dyDescent="0.25"/>
    <row r="199297" customFormat="1" x14ac:dyDescent="0.25"/>
    <row r="199298" customFormat="1" x14ac:dyDescent="0.25"/>
    <row r="199299" customFormat="1" x14ac:dyDescent="0.25"/>
    <row r="199300" customFormat="1" x14ac:dyDescent="0.25"/>
    <row r="199301" customFormat="1" x14ac:dyDescent="0.25"/>
    <row r="199302" customFormat="1" x14ac:dyDescent="0.25"/>
    <row r="199303" customFormat="1" x14ac:dyDescent="0.25"/>
    <row r="199304" customFormat="1" x14ac:dyDescent="0.25"/>
    <row r="199305" customFormat="1" x14ac:dyDescent="0.25"/>
    <row r="199306" customFormat="1" x14ac:dyDescent="0.25"/>
    <row r="199307" customFormat="1" x14ac:dyDescent="0.25"/>
    <row r="199308" customFormat="1" x14ac:dyDescent="0.25"/>
    <row r="199309" customFormat="1" x14ac:dyDescent="0.25"/>
    <row r="199310" customFormat="1" x14ac:dyDescent="0.25"/>
    <row r="199311" customFormat="1" x14ac:dyDescent="0.25"/>
    <row r="199312" customFormat="1" x14ac:dyDescent="0.25"/>
    <row r="199313" customFormat="1" x14ac:dyDescent="0.25"/>
    <row r="199314" customFormat="1" x14ac:dyDescent="0.25"/>
    <row r="199315" customFormat="1" x14ac:dyDescent="0.25"/>
    <row r="199316" customFormat="1" x14ac:dyDescent="0.25"/>
    <row r="199317" customFormat="1" x14ac:dyDescent="0.25"/>
    <row r="199318" customFormat="1" x14ac:dyDescent="0.25"/>
    <row r="199319" customFormat="1" x14ac:dyDescent="0.25"/>
    <row r="199320" customFormat="1" x14ac:dyDescent="0.25"/>
    <row r="199321" customFormat="1" x14ac:dyDescent="0.25"/>
    <row r="199322" customFormat="1" x14ac:dyDescent="0.25"/>
    <row r="199323" customFormat="1" x14ac:dyDescent="0.25"/>
    <row r="199324" customFormat="1" x14ac:dyDescent="0.25"/>
    <row r="199325" customFormat="1" x14ac:dyDescent="0.25"/>
    <row r="199326" customFormat="1" x14ac:dyDescent="0.25"/>
    <row r="199327" customFormat="1" x14ac:dyDescent="0.25"/>
    <row r="199328" customFormat="1" x14ac:dyDescent="0.25"/>
    <row r="199329" customFormat="1" x14ac:dyDescent="0.25"/>
    <row r="199330" customFormat="1" x14ac:dyDescent="0.25"/>
    <row r="199331" customFormat="1" x14ac:dyDescent="0.25"/>
    <row r="199332" customFormat="1" x14ac:dyDescent="0.25"/>
    <row r="199333" customFormat="1" x14ac:dyDescent="0.25"/>
    <row r="199334" customFormat="1" x14ac:dyDescent="0.25"/>
    <row r="199335" customFormat="1" x14ac:dyDescent="0.25"/>
    <row r="199336" customFormat="1" x14ac:dyDescent="0.25"/>
    <row r="199337" customFormat="1" x14ac:dyDescent="0.25"/>
    <row r="199338" customFormat="1" x14ac:dyDescent="0.25"/>
    <row r="199339" customFormat="1" x14ac:dyDescent="0.25"/>
    <row r="199340" customFormat="1" x14ac:dyDescent="0.25"/>
    <row r="199341" customFormat="1" x14ac:dyDescent="0.25"/>
    <row r="199342" customFormat="1" x14ac:dyDescent="0.25"/>
    <row r="199343" customFormat="1" x14ac:dyDescent="0.25"/>
    <row r="199344" customFormat="1" x14ac:dyDescent="0.25"/>
    <row r="199345" customFormat="1" x14ac:dyDescent="0.25"/>
    <row r="199346" customFormat="1" x14ac:dyDescent="0.25"/>
    <row r="199347" customFormat="1" x14ac:dyDescent="0.25"/>
    <row r="199348" customFormat="1" x14ac:dyDescent="0.25"/>
    <row r="199349" customFormat="1" x14ac:dyDescent="0.25"/>
    <row r="199350" customFormat="1" x14ac:dyDescent="0.25"/>
    <row r="199351" customFormat="1" x14ac:dyDescent="0.25"/>
    <row r="199352" customFormat="1" x14ac:dyDescent="0.25"/>
    <row r="199353" customFormat="1" x14ac:dyDescent="0.25"/>
    <row r="199354" customFormat="1" x14ac:dyDescent="0.25"/>
    <row r="199355" customFormat="1" x14ac:dyDescent="0.25"/>
    <row r="199356" customFormat="1" x14ac:dyDescent="0.25"/>
    <row r="199357" customFormat="1" x14ac:dyDescent="0.25"/>
    <row r="199358" customFormat="1" x14ac:dyDescent="0.25"/>
    <row r="199359" customFormat="1" x14ac:dyDescent="0.25"/>
    <row r="199360" customFormat="1" x14ac:dyDescent="0.25"/>
    <row r="199361" customFormat="1" x14ac:dyDescent="0.25"/>
    <row r="199362" customFormat="1" x14ac:dyDescent="0.25"/>
    <row r="199363" customFormat="1" x14ac:dyDescent="0.25"/>
    <row r="199364" customFormat="1" x14ac:dyDescent="0.25"/>
    <row r="199365" customFormat="1" x14ac:dyDescent="0.25"/>
    <row r="199366" customFormat="1" x14ac:dyDescent="0.25"/>
    <row r="199367" customFormat="1" x14ac:dyDescent="0.25"/>
    <row r="199368" customFormat="1" x14ac:dyDescent="0.25"/>
    <row r="199369" customFormat="1" x14ac:dyDescent="0.25"/>
    <row r="199370" customFormat="1" x14ac:dyDescent="0.25"/>
    <row r="199371" customFormat="1" x14ac:dyDescent="0.25"/>
    <row r="199372" customFormat="1" x14ac:dyDescent="0.25"/>
    <row r="199373" customFormat="1" x14ac:dyDescent="0.25"/>
    <row r="199374" customFormat="1" x14ac:dyDescent="0.25"/>
    <row r="199375" customFormat="1" x14ac:dyDescent="0.25"/>
    <row r="199376" customFormat="1" x14ac:dyDescent="0.25"/>
    <row r="199377" customFormat="1" x14ac:dyDescent="0.25"/>
    <row r="199378" customFormat="1" x14ac:dyDescent="0.25"/>
    <row r="199379" customFormat="1" x14ac:dyDescent="0.25"/>
    <row r="199380" customFormat="1" x14ac:dyDescent="0.25"/>
    <row r="199381" customFormat="1" x14ac:dyDescent="0.25"/>
    <row r="199382" customFormat="1" x14ac:dyDescent="0.25"/>
    <row r="199383" customFormat="1" x14ac:dyDescent="0.25"/>
    <row r="199384" customFormat="1" x14ac:dyDescent="0.25"/>
    <row r="199385" customFormat="1" x14ac:dyDescent="0.25"/>
    <row r="199386" customFormat="1" x14ac:dyDescent="0.25"/>
    <row r="199387" customFormat="1" x14ac:dyDescent="0.25"/>
    <row r="199388" customFormat="1" x14ac:dyDescent="0.25"/>
    <row r="199389" customFormat="1" x14ac:dyDescent="0.25"/>
    <row r="199390" customFormat="1" x14ac:dyDescent="0.25"/>
    <row r="199391" customFormat="1" x14ac:dyDescent="0.25"/>
    <row r="199392" customFormat="1" x14ac:dyDescent="0.25"/>
    <row r="199393" customFormat="1" x14ac:dyDescent="0.25"/>
    <row r="199394" customFormat="1" x14ac:dyDescent="0.25"/>
    <row r="199395" customFormat="1" x14ac:dyDescent="0.25"/>
    <row r="199396" customFormat="1" x14ac:dyDescent="0.25"/>
    <row r="199397" customFormat="1" x14ac:dyDescent="0.25"/>
    <row r="199398" customFormat="1" x14ac:dyDescent="0.25"/>
    <row r="199399" customFormat="1" x14ac:dyDescent="0.25"/>
    <row r="199400" customFormat="1" x14ac:dyDescent="0.25"/>
    <row r="199401" customFormat="1" x14ac:dyDescent="0.25"/>
    <row r="199402" customFormat="1" x14ac:dyDescent="0.25"/>
    <row r="199403" customFormat="1" x14ac:dyDescent="0.25"/>
    <row r="199404" customFormat="1" x14ac:dyDescent="0.25"/>
    <row r="199405" customFormat="1" x14ac:dyDescent="0.25"/>
    <row r="199406" customFormat="1" x14ac:dyDescent="0.25"/>
    <row r="199407" customFormat="1" x14ac:dyDescent="0.25"/>
    <row r="199408" customFormat="1" x14ac:dyDescent="0.25"/>
    <row r="199409" customFormat="1" x14ac:dyDescent="0.25"/>
    <row r="199410" customFormat="1" x14ac:dyDescent="0.25"/>
    <row r="199411" customFormat="1" x14ac:dyDescent="0.25"/>
    <row r="199412" customFormat="1" x14ac:dyDescent="0.25"/>
    <row r="199413" customFormat="1" x14ac:dyDescent="0.25"/>
    <row r="199414" customFormat="1" x14ac:dyDescent="0.25"/>
    <row r="199415" customFormat="1" x14ac:dyDescent="0.25"/>
    <row r="199416" customFormat="1" x14ac:dyDescent="0.25"/>
    <row r="199417" customFormat="1" x14ac:dyDescent="0.25"/>
    <row r="199418" customFormat="1" x14ac:dyDescent="0.25"/>
    <row r="199419" customFormat="1" x14ac:dyDescent="0.25"/>
    <row r="199420" customFormat="1" x14ac:dyDescent="0.25"/>
    <row r="199421" customFormat="1" x14ac:dyDescent="0.25"/>
    <row r="199422" customFormat="1" x14ac:dyDescent="0.25"/>
    <row r="199423" customFormat="1" x14ac:dyDescent="0.25"/>
    <row r="199424" customFormat="1" x14ac:dyDescent="0.25"/>
    <row r="199425" customFormat="1" x14ac:dyDescent="0.25"/>
    <row r="199426" customFormat="1" x14ac:dyDescent="0.25"/>
    <row r="199427" customFormat="1" x14ac:dyDescent="0.25"/>
    <row r="199428" customFormat="1" x14ac:dyDescent="0.25"/>
    <row r="199429" customFormat="1" x14ac:dyDescent="0.25"/>
    <row r="199430" customFormat="1" x14ac:dyDescent="0.25"/>
    <row r="199431" customFormat="1" x14ac:dyDescent="0.25"/>
    <row r="199432" customFormat="1" x14ac:dyDescent="0.25"/>
    <row r="199433" customFormat="1" x14ac:dyDescent="0.25"/>
    <row r="199434" customFormat="1" x14ac:dyDescent="0.25"/>
    <row r="199435" customFormat="1" x14ac:dyDescent="0.25"/>
    <row r="199436" customFormat="1" x14ac:dyDescent="0.25"/>
    <row r="199437" customFormat="1" x14ac:dyDescent="0.25"/>
    <row r="199438" customFormat="1" x14ac:dyDescent="0.25"/>
    <row r="199439" customFormat="1" x14ac:dyDescent="0.25"/>
    <row r="199440" customFormat="1" x14ac:dyDescent="0.25"/>
    <row r="199441" customFormat="1" x14ac:dyDescent="0.25"/>
    <row r="199442" customFormat="1" x14ac:dyDescent="0.25"/>
    <row r="199443" customFormat="1" x14ac:dyDescent="0.25"/>
    <row r="199444" customFormat="1" x14ac:dyDescent="0.25"/>
    <row r="199445" customFormat="1" x14ac:dyDescent="0.25"/>
    <row r="199446" customFormat="1" x14ac:dyDescent="0.25"/>
    <row r="199447" customFormat="1" x14ac:dyDescent="0.25"/>
    <row r="199448" customFormat="1" x14ac:dyDescent="0.25"/>
    <row r="199449" customFormat="1" x14ac:dyDescent="0.25"/>
    <row r="199450" customFormat="1" x14ac:dyDescent="0.25"/>
    <row r="199451" customFormat="1" x14ac:dyDescent="0.25"/>
    <row r="199452" customFormat="1" x14ac:dyDescent="0.25"/>
    <row r="199453" customFormat="1" x14ac:dyDescent="0.25"/>
    <row r="199454" customFormat="1" x14ac:dyDescent="0.25"/>
    <row r="199455" customFormat="1" x14ac:dyDescent="0.25"/>
    <row r="199456" customFormat="1" x14ac:dyDescent="0.25"/>
    <row r="199457" customFormat="1" x14ac:dyDescent="0.25"/>
    <row r="199458" customFormat="1" x14ac:dyDescent="0.25"/>
    <row r="199459" customFormat="1" x14ac:dyDescent="0.25"/>
    <row r="199460" customFormat="1" x14ac:dyDescent="0.25"/>
    <row r="199461" customFormat="1" x14ac:dyDescent="0.25"/>
    <row r="199462" customFormat="1" x14ac:dyDescent="0.25"/>
    <row r="199463" customFormat="1" x14ac:dyDescent="0.25"/>
    <row r="199464" customFormat="1" x14ac:dyDescent="0.25"/>
    <row r="199465" customFormat="1" x14ac:dyDescent="0.25"/>
    <row r="199466" customFormat="1" x14ac:dyDescent="0.25"/>
    <row r="199467" customFormat="1" x14ac:dyDescent="0.25"/>
    <row r="199468" customFormat="1" x14ac:dyDescent="0.25"/>
    <row r="199469" customFormat="1" x14ac:dyDescent="0.25"/>
    <row r="199470" customFormat="1" x14ac:dyDescent="0.25"/>
    <row r="199471" customFormat="1" x14ac:dyDescent="0.25"/>
    <row r="199472" customFormat="1" x14ac:dyDescent="0.25"/>
    <row r="199473" customFormat="1" x14ac:dyDescent="0.25"/>
    <row r="199474" customFormat="1" x14ac:dyDescent="0.25"/>
    <row r="199475" customFormat="1" x14ac:dyDescent="0.25"/>
    <row r="199476" customFormat="1" x14ac:dyDescent="0.25"/>
    <row r="199477" customFormat="1" x14ac:dyDescent="0.25"/>
    <row r="199478" customFormat="1" x14ac:dyDescent="0.25"/>
    <row r="199479" customFormat="1" x14ac:dyDescent="0.25"/>
    <row r="199480" customFormat="1" x14ac:dyDescent="0.25"/>
    <row r="199481" customFormat="1" x14ac:dyDescent="0.25"/>
    <row r="199482" customFormat="1" x14ac:dyDescent="0.25"/>
    <row r="199483" customFormat="1" x14ac:dyDescent="0.25"/>
    <row r="199484" customFormat="1" x14ac:dyDescent="0.25"/>
    <row r="199485" customFormat="1" x14ac:dyDescent="0.25"/>
    <row r="199486" customFormat="1" x14ac:dyDescent="0.25"/>
    <row r="199487" customFormat="1" x14ac:dyDescent="0.25"/>
    <row r="199488" customFormat="1" x14ac:dyDescent="0.25"/>
    <row r="199489" customFormat="1" x14ac:dyDescent="0.25"/>
    <row r="199490" customFormat="1" x14ac:dyDescent="0.25"/>
    <row r="199491" customFormat="1" x14ac:dyDescent="0.25"/>
    <row r="199492" customFormat="1" x14ac:dyDescent="0.25"/>
    <row r="199493" customFormat="1" x14ac:dyDescent="0.25"/>
    <row r="199494" customFormat="1" x14ac:dyDescent="0.25"/>
    <row r="199495" customFormat="1" x14ac:dyDescent="0.25"/>
    <row r="199496" customFormat="1" x14ac:dyDescent="0.25"/>
    <row r="199497" customFormat="1" x14ac:dyDescent="0.25"/>
    <row r="199498" customFormat="1" x14ac:dyDescent="0.25"/>
    <row r="199499" customFormat="1" x14ac:dyDescent="0.25"/>
    <row r="199500" customFormat="1" x14ac:dyDescent="0.25"/>
    <row r="199501" customFormat="1" x14ac:dyDescent="0.25"/>
    <row r="199502" customFormat="1" x14ac:dyDescent="0.25"/>
    <row r="199503" customFormat="1" x14ac:dyDescent="0.25"/>
    <row r="199504" customFormat="1" x14ac:dyDescent="0.25"/>
    <row r="199505" customFormat="1" x14ac:dyDescent="0.25"/>
    <row r="199506" customFormat="1" x14ac:dyDescent="0.25"/>
    <row r="199507" customFormat="1" x14ac:dyDescent="0.25"/>
    <row r="199508" customFormat="1" x14ac:dyDescent="0.25"/>
    <row r="199509" customFormat="1" x14ac:dyDescent="0.25"/>
    <row r="199510" customFormat="1" x14ac:dyDescent="0.25"/>
    <row r="199511" customFormat="1" x14ac:dyDescent="0.25"/>
    <row r="199512" customFormat="1" x14ac:dyDescent="0.25"/>
    <row r="199513" customFormat="1" x14ac:dyDescent="0.25"/>
    <row r="199514" customFormat="1" x14ac:dyDescent="0.25"/>
    <row r="199515" customFormat="1" x14ac:dyDescent="0.25"/>
    <row r="199516" customFormat="1" x14ac:dyDescent="0.25"/>
    <row r="199517" customFormat="1" x14ac:dyDescent="0.25"/>
    <row r="199518" customFormat="1" x14ac:dyDescent="0.25"/>
    <row r="199519" customFormat="1" x14ac:dyDescent="0.25"/>
    <row r="199520" customFormat="1" x14ac:dyDescent="0.25"/>
    <row r="199521" customFormat="1" x14ac:dyDescent="0.25"/>
    <row r="199522" customFormat="1" x14ac:dyDescent="0.25"/>
    <row r="199523" customFormat="1" x14ac:dyDescent="0.25"/>
    <row r="199524" customFormat="1" x14ac:dyDescent="0.25"/>
    <row r="199525" customFormat="1" x14ac:dyDescent="0.25"/>
    <row r="199526" customFormat="1" x14ac:dyDescent="0.25"/>
    <row r="199527" customFormat="1" x14ac:dyDescent="0.25"/>
    <row r="199528" customFormat="1" x14ac:dyDescent="0.25"/>
    <row r="199529" customFormat="1" x14ac:dyDescent="0.25"/>
    <row r="199530" customFormat="1" x14ac:dyDescent="0.25"/>
    <row r="199531" customFormat="1" x14ac:dyDescent="0.25"/>
    <row r="199532" customFormat="1" x14ac:dyDescent="0.25"/>
    <row r="199533" customFormat="1" x14ac:dyDescent="0.25"/>
    <row r="199534" customFormat="1" x14ac:dyDescent="0.25"/>
    <row r="199535" customFormat="1" x14ac:dyDescent="0.25"/>
    <row r="199536" customFormat="1" x14ac:dyDescent="0.25"/>
    <row r="199537" customFormat="1" x14ac:dyDescent="0.25"/>
    <row r="199538" customFormat="1" x14ac:dyDescent="0.25"/>
    <row r="199539" customFormat="1" x14ac:dyDescent="0.25"/>
    <row r="199540" customFormat="1" x14ac:dyDescent="0.25"/>
    <row r="199541" customFormat="1" x14ac:dyDescent="0.25"/>
    <row r="199542" customFormat="1" x14ac:dyDescent="0.25"/>
    <row r="199543" customFormat="1" x14ac:dyDescent="0.25"/>
    <row r="199544" customFormat="1" x14ac:dyDescent="0.25"/>
    <row r="199545" customFormat="1" x14ac:dyDescent="0.25"/>
    <row r="199546" customFormat="1" x14ac:dyDescent="0.25"/>
    <row r="199547" customFormat="1" x14ac:dyDescent="0.25"/>
    <row r="199548" customFormat="1" x14ac:dyDescent="0.25"/>
    <row r="199549" customFormat="1" x14ac:dyDescent="0.25"/>
    <row r="199550" customFormat="1" x14ac:dyDescent="0.25"/>
    <row r="199551" customFormat="1" x14ac:dyDescent="0.25"/>
    <row r="199552" customFormat="1" x14ac:dyDescent="0.25"/>
    <row r="199553" customFormat="1" x14ac:dyDescent="0.25"/>
    <row r="199554" customFormat="1" x14ac:dyDescent="0.25"/>
    <row r="199555" customFormat="1" x14ac:dyDescent="0.25"/>
    <row r="199556" customFormat="1" x14ac:dyDescent="0.25"/>
    <row r="199557" customFormat="1" x14ac:dyDescent="0.25"/>
    <row r="199558" customFormat="1" x14ac:dyDescent="0.25"/>
    <row r="199559" customFormat="1" x14ac:dyDescent="0.25"/>
    <row r="199560" customFormat="1" x14ac:dyDescent="0.25"/>
    <row r="199561" customFormat="1" x14ac:dyDescent="0.25"/>
    <row r="199562" customFormat="1" x14ac:dyDescent="0.25"/>
    <row r="199563" customFormat="1" x14ac:dyDescent="0.25"/>
    <row r="199564" customFormat="1" x14ac:dyDescent="0.25"/>
    <row r="199565" customFormat="1" x14ac:dyDescent="0.25"/>
    <row r="199566" customFormat="1" x14ac:dyDescent="0.25"/>
    <row r="199567" customFormat="1" x14ac:dyDescent="0.25"/>
    <row r="199568" customFormat="1" x14ac:dyDescent="0.25"/>
    <row r="199569" customFormat="1" x14ac:dyDescent="0.25"/>
    <row r="199570" customFormat="1" x14ac:dyDescent="0.25"/>
    <row r="199571" customFormat="1" x14ac:dyDescent="0.25"/>
    <row r="199572" customFormat="1" x14ac:dyDescent="0.25"/>
    <row r="199573" customFormat="1" x14ac:dyDescent="0.25"/>
    <row r="199574" customFormat="1" x14ac:dyDescent="0.25"/>
    <row r="199575" customFormat="1" x14ac:dyDescent="0.25"/>
    <row r="199576" customFormat="1" x14ac:dyDescent="0.25"/>
    <row r="199577" customFormat="1" x14ac:dyDescent="0.25"/>
    <row r="199578" customFormat="1" x14ac:dyDescent="0.25"/>
    <row r="199579" customFormat="1" x14ac:dyDescent="0.25"/>
    <row r="199580" customFormat="1" x14ac:dyDescent="0.25"/>
    <row r="199581" customFormat="1" x14ac:dyDescent="0.25"/>
    <row r="199582" customFormat="1" x14ac:dyDescent="0.25"/>
    <row r="199583" customFormat="1" x14ac:dyDescent="0.25"/>
    <row r="199584" customFormat="1" x14ac:dyDescent="0.25"/>
    <row r="199585" customFormat="1" x14ac:dyDescent="0.25"/>
    <row r="199586" customFormat="1" x14ac:dyDescent="0.25"/>
    <row r="199587" customFormat="1" x14ac:dyDescent="0.25"/>
    <row r="199588" customFormat="1" x14ac:dyDescent="0.25"/>
    <row r="199589" customFormat="1" x14ac:dyDescent="0.25"/>
    <row r="199590" customFormat="1" x14ac:dyDescent="0.25"/>
    <row r="199591" customFormat="1" x14ac:dyDescent="0.25"/>
    <row r="199592" customFormat="1" x14ac:dyDescent="0.25"/>
    <row r="199593" customFormat="1" x14ac:dyDescent="0.25"/>
    <row r="199594" customFormat="1" x14ac:dyDescent="0.25"/>
    <row r="199595" customFormat="1" x14ac:dyDescent="0.25"/>
    <row r="199596" customFormat="1" x14ac:dyDescent="0.25"/>
    <row r="199597" customFormat="1" x14ac:dyDescent="0.25"/>
    <row r="199598" customFormat="1" x14ac:dyDescent="0.25"/>
    <row r="199599" customFormat="1" x14ac:dyDescent="0.25"/>
    <row r="199600" customFormat="1" x14ac:dyDescent="0.25"/>
    <row r="199601" customFormat="1" x14ac:dyDescent="0.25"/>
    <row r="199602" customFormat="1" x14ac:dyDescent="0.25"/>
    <row r="199603" customFormat="1" x14ac:dyDescent="0.25"/>
    <row r="199604" customFormat="1" x14ac:dyDescent="0.25"/>
    <row r="199605" customFormat="1" x14ac:dyDescent="0.25"/>
    <row r="199606" customFormat="1" x14ac:dyDescent="0.25"/>
    <row r="199607" customFormat="1" x14ac:dyDescent="0.25"/>
    <row r="199608" customFormat="1" x14ac:dyDescent="0.25"/>
    <row r="199609" customFormat="1" x14ac:dyDescent="0.25"/>
    <row r="199610" customFormat="1" x14ac:dyDescent="0.25"/>
    <row r="199611" customFormat="1" x14ac:dyDescent="0.25"/>
    <row r="199612" customFormat="1" x14ac:dyDescent="0.25"/>
    <row r="199613" customFormat="1" x14ac:dyDescent="0.25"/>
    <row r="199614" customFormat="1" x14ac:dyDescent="0.25"/>
    <row r="199615" customFormat="1" x14ac:dyDescent="0.25"/>
    <row r="199616" customFormat="1" x14ac:dyDescent="0.25"/>
    <row r="199617" customFormat="1" x14ac:dyDescent="0.25"/>
    <row r="199618" customFormat="1" x14ac:dyDescent="0.25"/>
    <row r="199619" customFormat="1" x14ac:dyDescent="0.25"/>
    <row r="199620" customFormat="1" x14ac:dyDescent="0.25"/>
    <row r="199621" customFormat="1" x14ac:dyDescent="0.25"/>
    <row r="199622" customFormat="1" x14ac:dyDescent="0.25"/>
    <row r="199623" customFormat="1" x14ac:dyDescent="0.25"/>
    <row r="199624" customFormat="1" x14ac:dyDescent="0.25"/>
    <row r="199625" customFormat="1" x14ac:dyDescent="0.25"/>
    <row r="199626" customFormat="1" x14ac:dyDescent="0.25"/>
    <row r="199627" customFormat="1" x14ac:dyDescent="0.25"/>
    <row r="199628" customFormat="1" x14ac:dyDescent="0.25"/>
    <row r="199629" customFormat="1" x14ac:dyDescent="0.25"/>
    <row r="199630" customFormat="1" x14ac:dyDescent="0.25"/>
    <row r="199631" customFormat="1" x14ac:dyDescent="0.25"/>
    <row r="199632" customFormat="1" x14ac:dyDescent="0.25"/>
    <row r="199633" customFormat="1" x14ac:dyDescent="0.25"/>
    <row r="199634" customFormat="1" x14ac:dyDescent="0.25"/>
    <row r="199635" customFormat="1" x14ac:dyDescent="0.25"/>
    <row r="199636" customFormat="1" x14ac:dyDescent="0.25"/>
    <row r="199637" customFormat="1" x14ac:dyDescent="0.25"/>
    <row r="199638" customFormat="1" x14ac:dyDescent="0.25"/>
    <row r="199639" customFormat="1" x14ac:dyDescent="0.25"/>
    <row r="199640" customFormat="1" x14ac:dyDescent="0.25"/>
    <row r="199641" customFormat="1" x14ac:dyDescent="0.25"/>
    <row r="199642" customFormat="1" x14ac:dyDescent="0.25"/>
    <row r="199643" customFormat="1" x14ac:dyDescent="0.25"/>
    <row r="199644" customFormat="1" x14ac:dyDescent="0.25"/>
    <row r="199645" customFormat="1" x14ac:dyDescent="0.25"/>
    <row r="199646" customFormat="1" x14ac:dyDescent="0.25"/>
    <row r="199647" customFormat="1" x14ac:dyDescent="0.25"/>
    <row r="199648" customFormat="1" x14ac:dyDescent="0.25"/>
    <row r="199649" customFormat="1" x14ac:dyDescent="0.25"/>
    <row r="199650" customFormat="1" x14ac:dyDescent="0.25"/>
    <row r="199651" customFormat="1" x14ac:dyDescent="0.25"/>
    <row r="199652" customFormat="1" x14ac:dyDescent="0.25"/>
    <row r="199653" customFormat="1" x14ac:dyDescent="0.25"/>
    <row r="199654" customFormat="1" x14ac:dyDescent="0.25"/>
    <row r="199655" customFormat="1" x14ac:dyDescent="0.25"/>
    <row r="199656" customFormat="1" x14ac:dyDescent="0.25"/>
    <row r="199657" customFormat="1" x14ac:dyDescent="0.25"/>
    <row r="199658" customFormat="1" x14ac:dyDescent="0.25"/>
    <row r="199659" customFormat="1" x14ac:dyDescent="0.25"/>
    <row r="199660" customFormat="1" x14ac:dyDescent="0.25"/>
    <row r="199661" customFormat="1" x14ac:dyDescent="0.25"/>
    <row r="199662" customFormat="1" x14ac:dyDescent="0.25"/>
    <row r="199663" customFormat="1" x14ac:dyDescent="0.25"/>
    <row r="199664" customFormat="1" x14ac:dyDescent="0.25"/>
    <row r="199665" customFormat="1" x14ac:dyDescent="0.25"/>
    <row r="199666" customFormat="1" x14ac:dyDescent="0.25"/>
    <row r="199667" customFormat="1" x14ac:dyDescent="0.25"/>
    <row r="199668" customFormat="1" x14ac:dyDescent="0.25"/>
    <row r="199669" customFormat="1" x14ac:dyDescent="0.25"/>
    <row r="199670" customFormat="1" x14ac:dyDescent="0.25"/>
    <row r="199671" customFormat="1" x14ac:dyDescent="0.25"/>
    <row r="199672" customFormat="1" x14ac:dyDescent="0.25"/>
    <row r="199673" customFormat="1" x14ac:dyDescent="0.25"/>
    <row r="199674" customFormat="1" x14ac:dyDescent="0.25"/>
    <row r="199675" customFormat="1" x14ac:dyDescent="0.25"/>
    <row r="199676" customFormat="1" x14ac:dyDescent="0.25"/>
    <row r="199677" customFormat="1" x14ac:dyDescent="0.25"/>
    <row r="199678" customFormat="1" x14ac:dyDescent="0.25"/>
    <row r="199679" customFormat="1" x14ac:dyDescent="0.25"/>
    <row r="199680" customFormat="1" x14ac:dyDescent="0.25"/>
    <row r="199681" customFormat="1" x14ac:dyDescent="0.25"/>
    <row r="199682" customFormat="1" x14ac:dyDescent="0.25"/>
    <row r="199683" customFormat="1" x14ac:dyDescent="0.25"/>
    <row r="199684" customFormat="1" x14ac:dyDescent="0.25"/>
    <row r="199685" customFormat="1" x14ac:dyDescent="0.25"/>
    <row r="199686" customFormat="1" x14ac:dyDescent="0.25"/>
    <row r="199687" customFormat="1" x14ac:dyDescent="0.25"/>
    <row r="199688" customFormat="1" x14ac:dyDescent="0.25"/>
    <row r="199689" customFormat="1" x14ac:dyDescent="0.25"/>
    <row r="199690" customFormat="1" x14ac:dyDescent="0.25"/>
    <row r="199691" customFormat="1" x14ac:dyDescent="0.25"/>
    <row r="199692" customFormat="1" x14ac:dyDescent="0.25"/>
    <row r="199693" customFormat="1" x14ac:dyDescent="0.25"/>
    <row r="199694" customFormat="1" x14ac:dyDescent="0.25"/>
    <row r="199695" customFormat="1" x14ac:dyDescent="0.25"/>
    <row r="199696" customFormat="1" x14ac:dyDescent="0.25"/>
    <row r="199697" customFormat="1" x14ac:dyDescent="0.25"/>
    <row r="199698" customFormat="1" x14ac:dyDescent="0.25"/>
    <row r="199699" customFormat="1" x14ac:dyDescent="0.25"/>
    <row r="199700" customFormat="1" x14ac:dyDescent="0.25"/>
    <row r="199701" customFormat="1" x14ac:dyDescent="0.25"/>
    <row r="199702" customFormat="1" x14ac:dyDescent="0.25"/>
    <row r="199703" customFormat="1" x14ac:dyDescent="0.25"/>
    <row r="199704" customFormat="1" x14ac:dyDescent="0.25"/>
    <row r="199705" customFormat="1" x14ac:dyDescent="0.25"/>
    <row r="199706" customFormat="1" x14ac:dyDescent="0.25"/>
    <row r="199707" customFormat="1" x14ac:dyDescent="0.25"/>
    <row r="199708" customFormat="1" x14ac:dyDescent="0.25"/>
    <row r="199709" customFormat="1" x14ac:dyDescent="0.25"/>
    <row r="199710" customFormat="1" x14ac:dyDescent="0.25"/>
    <row r="199711" customFormat="1" x14ac:dyDescent="0.25"/>
    <row r="199712" customFormat="1" x14ac:dyDescent="0.25"/>
    <row r="199713" customFormat="1" x14ac:dyDescent="0.25"/>
    <row r="199714" customFormat="1" x14ac:dyDescent="0.25"/>
    <row r="199715" customFormat="1" x14ac:dyDescent="0.25"/>
    <row r="199716" customFormat="1" x14ac:dyDescent="0.25"/>
    <row r="199717" customFormat="1" x14ac:dyDescent="0.25"/>
    <row r="199718" customFormat="1" x14ac:dyDescent="0.25"/>
    <row r="199719" customFormat="1" x14ac:dyDescent="0.25"/>
    <row r="199720" customFormat="1" x14ac:dyDescent="0.25"/>
    <row r="199721" customFormat="1" x14ac:dyDescent="0.25"/>
    <row r="199722" customFormat="1" x14ac:dyDescent="0.25"/>
    <row r="199723" customFormat="1" x14ac:dyDescent="0.25"/>
    <row r="199724" customFormat="1" x14ac:dyDescent="0.25"/>
    <row r="199725" customFormat="1" x14ac:dyDescent="0.25"/>
    <row r="199726" customFormat="1" x14ac:dyDescent="0.25"/>
    <row r="199727" customFormat="1" x14ac:dyDescent="0.25"/>
    <row r="199728" customFormat="1" x14ac:dyDescent="0.25"/>
    <row r="199729" customFormat="1" x14ac:dyDescent="0.25"/>
    <row r="199730" customFormat="1" x14ac:dyDescent="0.25"/>
    <row r="199731" customFormat="1" x14ac:dyDescent="0.25"/>
    <row r="199732" customFormat="1" x14ac:dyDescent="0.25"/>
    <row r="199733" customFormat="1" x14ac:dyDescent="0.25"/>
    <row r="199734" customFormat="1" x14ac:dyDescent="0.25"/>
    <row r="199735" customFormat="1" x14ac:dyDescent="0.25"/>
    <row r="199736" customFormat="1" x14ac:dyDescent="0.25"/>
    <row r="199737" customFormat="1" x14ac:dyDescent="0.25"/>
    <row r="199738" customFormat="1" x14ac:dyDescent="0.25"/>
    <row r="199739" customFormat="1" x14ac:dyDescent="0.25"/>
    <row r="199740" customFormat="1" x14ac:dyDescent="0.25"/>
    <row r="199741" customFormat="1" x14ac:dyDescent="0.25"/>
    <row r="199742" customFormat="1" x14ac:dyDescent="0.25"/>
    <row r="199743" customFormat="1" x14ac:dyDescent="0.25"/>
    <row r="199744" customFormat="1" x14ac:dyDescent="0.25"/>
    <row r="199745" customFormat="1" x14ac:dyDescent="0.25"/>
    <row r="199746" customFormat="1" x14ac:dyDescent="0.25"/>
    <row r="199747" customFormat="1" x14ac:dyDescent="0.25"/>
    <row r="199748" customFormat="1" x14ac:dyDescent="0.25"/>
    <row r="199749" customFormat="1" x14ac:dyDescent="0.25"/>
    <row r="199750" customFormat="1" x14ac:dyDescent="0.25"/>
    <row r="199751" customFormat="1" x14ac:dyDescent="0.25"/>
    <row r="199752" customFormat="1" x14ac:dyDescent="0.25"/>
    <row r="199753" customFormat="1" x14ac:dyDescent="0.25"/>
    <row r="199754" customFormat="1" x14ac:dyDescent="0.25"/>
    <row r="199755" customFormat="1" x14ac:dyDescent="0.25"/>
    <row r="199756" customFormat="1" x14ac:dyDescent="0.25"/>
    <row r="199757" customFormat="1" x14ac:dyDescent="0.25"/>
    <row r="199758" customFormat="1" x14ac:dyDescent="0.25"/>
    <row r="199759" customFormat="1" x14ac:dyDescent="0.25"/>
    <row r="199760" customFormat="1" x14ac:dyDescent="0.25"/>
    <row r="199761" customFormat="1" x14ac:dyDescent="0.25"/>
    <row r="199762" customFormat="1" x14ac:dyDescent="0.25"/>
    <row r="199763" customFormat="1" x14ac:dyDescent="0.25"/>
    <row r="199764" customFormat="1" x14ac:dyDescent="0.25"/>
    <row r="199765" customFormat="1" x14ac:dyDescent="0.25"/>
    <row r="199766" customFormat="1" x14ac:dyDescent="0.25"/>
    <row r="199767" customFormat="1" x14ac:dyDescent="0.25"/>
    <row r="199768" customFormat="1" x14ac:dyDescent="0.25"/>
    <row r="199769" customFormat="1" x14ac:dyDescent="0.25"/>
    <row r="199770" customFormat="1" x14ac:dyDescent="0.25"/>
    <row r="199771" customFormat="1" x14ac:dyDescent="0.25"/>
    <row r="199772" customFormat="1" x14ac:dyDescent="0.25"/>
    <row r="199773" customFormat="1" x14ac:dyDescent="0.25"/>
    <row r="199774" customFormat="1" x14ac:dyDescent="0.25"/>
    <row r="199775" customFormat="1" x14ac:dyDescent="0.25"/>
    <row r="199776" customFormat="1" x14ac:dyDescent="0.25"/>
    <row r="199777" customFormat="1" x14ac:dyDescent="0.25"/>
    <row r="199778" customFormat="1" x14ac:dyDescent="0.25"/>
    <row r="199779" customFormat="1" x14ac:dyDescent="0.25"/>
    <row r="199780" customFormat="1" x14ac:dyDescent="0.25"/>
    <row r="199781" customFormat="1" x14ac:dyDescent="0.25"/>
    <row r="199782" customFormat="1" x14ac:dyDescent="0.25"/>
    <row r="199783" customFormat="1" x14ac:dyDescent="0.25"/>
    <row r="199784" customFormat="1" x14ac:dyDescent="0.25"/>
    <row r="199785" customFormat="1" x14ac:dyDescent="0.25"/>
    <row r="199786" customFormat="1" x14ac:dyDescent="0.25"/>
    <row r="199787" customFormat="1" x14ac:dyDescent="0.25"/>
    <row r="199788" customFormat="1" x14ac:dyDescent="0.25"/>
    <row r="199789" customFormat="1" x14ac:dyDescent="0.25"/>
    <row r="199790" customFormat="1" x14ac:dyDescent="0.25"/>
    <row r="199791" customFormat="1" x14ac:dyDescent="0.25"/>
    <row r="199792" customFormat="1" x14ac:dyDescent="0.25"/>
    <row r="199793" customFormat="1" x14ac:dyDescent="0.25"/>
    <row r="199794" customFormat="1" x14ac:dyDescent="0.25"/>
    <row r="199795" customFormat="1" x14ac:dyDescent="0.25"/>
    <row r="199796" customFormat="1" x14ac:dyDescent="0.25"/>
    <row r="199797" customFormat="1" x14ac:dyDescent="0.25"/>
    <row r="199798" customFormat="1" x14ac:dyDescent="0.25"/>
    <row r="199799" customFormat="1" x14ac:dyDescent="0.25"/>
    <row r="199800" customFormat="1" x14ac:dyDescent="0.25"/>
    <row r="199801" customFormat="1" x14ac:dyDescent="0.25"/>
    <row r="199802" customFormat="1" x14ac:dyDescent="0.25"/>
    <row r="199803" customFormat="1" x14ac:dyDescent="0.25"/>
    <row r="199804" customFormat="1" x14ac:dyDescent="0.25"/>
    <row r="199805" customFormat="1" x14ac:dyDescent="0.25"/>
    <row r="199806" customFormat="1" x14ac:dyDescent="0.25"/>
    <row r="199807" customFormat="1" x14ac:dyDescent="0.25"/>
    <row r="199808" customFormat="1" x14ac:dyDescent="0.25"/>
    <row r="199809" customFormat="1" x14ac:dyDescent="0.25"/>
    <row r="199810" customFormat="1" x14ac:dyDescent="0.25"/>
    <row r="199811" customFormat="1" x14ac:dyDescent="0.25"/>
    <row r="199812" customFormat="1" x14ac:dyDescent="0.25"/>
    <row r="199813" customFormat="1" x14ac:dyDescent="0.25"/>
    <row r="199814" customFormat="1" x14ac:dyDescent="0.25"/>
    <row r="199815" customFormat="1" x14ac:dyDescent="0.25"/>
    <row r="199816" customFormat="1" x14ac:dyDescent="0.25"/>
    <row r="199817" customFormat="1" x14ac:dyDescent="0.25"/>
    <row r="199818" customFormat="1" x14ac:dyDescent="0.25"/>
    <row r="199819" customFormat="1" x14ac:dyDescent="0.25"/>
    <row r="199820" customFormat="1" x14ac:dyDescent="0.25"/>
    <row r="199821" customFormat="1" x14ac:dyDescent="0.25"/>
    <row r="199822" customFormat="1" x14ac:dyDescent="0.25"/>
    <row r="199823" customFormat="1" x14ac:dyDescent="0.25"/>
    <row r="199824" customFormat="1" x14ac:dyDescent="0.25"/>
    <row r="199825" customFormat="1" x14ac:dyDescent="0.25"/>
    <row r="199826" customFormat="1" x14ac:dyDescent="0.25"/>
    <row r="199827" customFormat="1" x14ac:dyDescent="0.25"/>
    <row r="199828" customFormat="1" x14ac:dyDescent="0.25"/>
    <row r="199829" customFormat="1" x14ac:dyDescent="0.25"/>
    <row r="199830" customFormat="1" x14ac:dyDescent="0.25"/>
    <row r="199831" customFormat="1" x14ac:dyDescent="0.25"/>
    <row r="199832" customFormat="1" x14ac:dyDescent="0.25"/>
    <row r="199833" customFormat="1" x14ac:dyDescent="0.25"/>
    <row r="199834" customFormat="1" x14ac:dyDescent="0.25"/>
    <row r="199835" customFormat="1" x14ac:dyDescent="0.25"/>
    <row r="199836" customFormat="1" x14ac:dyDescent="0.25"/>
    <row r="199837" customFormat="1" x14ac:dyDescent="0.25"/>
    <row r="199838" customFormat="1" x14ac:dyDescent="0.25"/>
    <row r="199839" customFormat="1" x14ac:dyDescent="0.25"/>
    <row r="199840" customFormat="1" x14ac:dyDescent="0.25"/>
    <row r="199841" customFormat="1" x14ac:dyDescent="0.25"/>
    <row r="199842" customFormat="1" x14ac:dyDescent="0.25"/>
    <row r="199843" customFormat="1" x14ac:dyDescent="0.25"/>
    <row r="199844" customFormat="1" x14ac:dyDescent="0.25"/>
    <row r="199845" customFormat="1" x14ac:dyDescent="0.25"/>
    <row r="199846" customFormat="1" x14ac:dyDescent="0.25"/>
    <row r="199847" customFormat="1" x14ac:dyDescent="0.25"/>
    <row r="199848" customFormat="1" x14ac:dyDescent="0.25"/>
    <row r="199849" customFormat="1" x14ac:dyDescent="0.25"/>
    <row r="199850" customFormat="1" x14ac:dyDescent="0.25"/>
    <row r="199851" customFormat="1" x14ac:dyDescent="0.25"/>
    <row r="199852" customFormat="1" x14ac:dyDescent="0.25"/>
    <row r="199853" customFormat="1" x14ac:dyDescent="0.25"/>
    <row r="199854" customFormat="1" x14ac:dyDescent="0.25"/>
    <row r="199855" customFormat="1" x14ac:dyDescent="0.25"/>
    <row r="199856" customFormat="1" x14ac:dyDescent="0.25"/>
    <row r="199857" customFormat="1" x14ac:dyDescent="0.25"/>
    <row r="199858" customFormat="1" x14ac:dyDescent="0.25"/>
    <row r="199859" customFormat="1" x14ac:dyDescent="0.25"/>
    <row r="199860" customFormat="1" x14ac:dyDescent="0.25"/>
    <row r="199861" customFormat="1" x14ac:dyDescent="0.25"/>
    <row r="199862" customFormat="1" x14ac:dyDescent="0.25"/>
    <row r="199863" customFormat="1" x14ac:dyDescent="0.25"/>
    <row r="199864" customFormat="1" x14ac:dyDescent="0.25"/>
    <row r="199865" customFormat="1" x14ac:dyDescent="0.25"/>
    <row r="199866" customFormat="1" x14ac:dyDescent="0.25"/>
    <row r="199867" customFormat="1" x14ac:dyDescent="0.25"/>
    <row r="199868" customFormat="1" x14ac:dyDescent="0.25"/>
    <row r="199869" customFormat="1" x14ac:dyDescent="0.25"/>
    <row r="199870" customFormat="1" x14ac:dyDescent="0.25"/>
    <row r="199871" customFormat="1" x14ac:dyDescent="0.25"/>
    <row r="199872" customFormat="1" x14ac:dyDescent="0.25"/>
    <row r="199873" customFormat="1" x14ac:dyDescent="0.25"/>
    <row r="199874" customFormat="1" x14ac:dyDescent="0.25"/>
    <row r="199875" customFormat="1" x14ac:dyDescent="0.25"/>
    <row r="199876" customFormat="1" x14ac:dyDescent="0.25"/>
    <row r="199877" customFormat="1" x14ac:dyDescent="0.25"/>
    <row r="199878" customFormat="1" x14ac:dyDescent="0.25"/>
    <row r="199879" customFormat="1" x14ac:dyDescent="0.25"/>
    <row r="199880" customFormat="1" x14ac:dyDescent="0.25"/>
    <row r="199881" customFormat="1" x14ac:dyDescent="0.25"/>
    <row r="199882" customFormat="1" x14ac:dyDescent="0.25"/>
    <row r="199883" customFormat="1" x14ac:dyDescent="0.25"/>
    <row r="199884" customFormat="1" x14ac:dyDescent="0.25"/>
    <row r="199885" customFormat="1" x14ac:dyDescent="0.25"/>
    <row r="199886" customFormat="1" x14ac:dyDescent="0.25"/>
    <row r="199887" customFormat="1" x14ac:dyDescent="0.25"/>
    <row r="199888" customFormat="1" x14ac:dyDescent="0.25"/>
    <row r="199889" customFormat="1" x14ac:dyDescent="0.25"/>
    <row r="199890" customFormat="1" x14ac:dyDescent="0.25"/>
    <row r="199891" customFormat="1" x14ac:dyDescent="0.25"/>
    <row r="199892" customFormat="1" x14ac:dyDescent="0.25"/>
    <row r="199893" customFormat="1" x14ac:dyDescent="0.25"/>
    <row r="199894" customFormat="1" x14ac:dyDescent="0.25"/>
    <row r="199895" customFormat="1" x14ac:dyDescent="0.25"/>
    <row r="199896" customFormat="1" x14ac:dyDescent="0.25"/>
    <row r="199897" customFormat="1" x14ac:dyDescent="0.25"/>
    <row r="199898" customFormat="1" x14ac:dyDescent="0.25"/>
    <row r="199899" customFormat="1" x14ac:dyDescent="0.25"/>
    <row r="199900" customFormat="1" x14ac:dyDescent="0.25"/>
    <row r="199901" customFormat="1" x14ac:dyDescent="0.25"/>
    <row r="199902" customFormat="1" x14ac:dyDescent="0.25"/>
    <row r="199903" customFormat="1" x14ac:dyDescent="0.25"/>
    <row r="199904" customFormat="1" x14ac:dyDescent="0.25"/>
    <row r="199905" customFormat="1" x14ac:dyDescent="0.25"/>
    <row r="199906" customFormat="1" x14ac:dyDescent="0.25"/>
    <row r="199907" customFormat="1" x14ac:dyDescent="0.25"/>
    <row r="199908" customFormat="1" x14ac:dyDescent="0.25"/>
    <row r="199909" customFormat="1" x14ac:dyDescent="0.25"/>
    <row r="199910" customFormat="1" x14ac:dyDescent="0.25"/>
    <row r="199911" customFormat="1" x14ac:dyDescent="0.25"/>
    <row r="199912" customFormat="1" x14ac:dyDescent="0.25"/>
    <row r="199913" customFormat="1" x14ac:dyDescent="0.25"/>
    <row r="199914" customFormat="1" x14ac:dyDescent="0.25"/>
    <row r="199915" customFormat="1" x14ac:dyDescent="0.25"/>
    <row r="199916" customFormat="1" x14ac:dyDescent="0.25"/>
    <row r="199917" customFormat="1" x14ac:dyDescent="0.25"/>
    <row r="199918" customFormat="1" x14ac:dyDescent="0.25"/>
    <row r="199919" customFormat="1" x14ac:dyDescent="0.25"/>
    <row r="199920" customFormat="1" x14ac:dyDescent="0.25"/>
    <row r="199921" customFormat="1" x14ac:dyDescent="0.25"/>
    <row r="199922" customFormat="1" x14ac:dyDescent="0.25"/>
    <row r="199923" customFormat="1" x14ac:dyDescent="0.25"/>
    <row r="199924" customFormat="1" x14ac:dyDescent="0.25"/>
    <row r="199925" customFormat="1" x14ac:dyDescent="0.25"/>
    <row r="199926" customFormat="1" x14ac:dyDescent="0.25"/>
    <row r="199927" customFormat="1" x14ac:dyDescent="0.25"/>
    <row r="199928" customFormat="1" x14ac:dyDescent="0.25"/>
    <row r="199929" customFormat="1" x14ac:dyDescent="0.25"/>
    <row r="199930" customFormat="1" x14ac:dyDescent="0.25"/>
    <row r="199931" customFormat="1" x14ac:dyDescent="0.25"/>
    <row r="199932" customFormat="1" x14ac:dyDescent="0.25"/>
    <row r="199933" customFormat="1" x14ac:dyDescent="0.25"/>
    <row r="199934" customFormat="1" x14ac:dyDescent="0.25"/>
    <row r="199935" customFormat="1" x14ac:dyDescent="0.25"/>
    <row r="199936" customFormat="1" x14ac:dyDescent="0.25"/>
    <row r="199937" customFormat="1" x14ac:dyDescent="0.25"/>
    <row r="199938" customFormat="1" x14ac:dyDescent="0.25"/>
    <row r="199939" customFormat="1" x14ac:dyDescent="0.25"/>
    <row r="199940" customFormat="1" x14ac:dyDescent="0.25"/>
    <row r="199941" customFormat="1" x14ac:dyDescent="0.25"/>
    <row r="199942" customFormat="1" x14ac:dyDescent="0.25"/>
    <row r="199943" customFormat="1" x14ac:dyDescent="0.25"/>
    <row r="199944" customFormat="1" x14ac:dyDescent="0.25"/>
    <row r="199945" customFormat="1" x14ac:dyDescent="0.25"/>
    <row r="199946" customFormat="1" x14ac:dyDescent="0.25"/>
    <row r="199947" customFormat="1" x14ac:dyDescent="0.25"/>
    <row r="199948" customFormat="1" x14ac:dyDescent="0.25"/>
    <row r="199949" customFormat="1" x14ac:dyDescent="0.25"/>
    <row r="199950" customFormat="1" x14ac:dyDescent="0.25"/>
    <row r="199951" customFormat="1" x14ac:dyDescent="0.25"/>
    <row r="199952" customFormat="1" x14ac:dyDescent="0.25"/>
    <row r="199953" customFormat="1" x14ac:dyDescent="0.25"/>
    <row r="199954" customFormat="1" x14ac:dyDescent="0.25"/>
    <row r="199955" customFormat="1" x14ac:dyDescent="0.25"/>
    <row r="199956" customFormat="1" x14ac:dyDescent="0.25"/>
    <row r="199957" customFormat="1" x14ac:dyDescent="0.25"/>
    <row r="199958" customFormat="1" x14ac:dyDescent="0.25"/>
    <row r="199959" customFormat="1" x14ac:dyDescent="0.25"/>
    <row r="199960" customFormat="1" x14ac:dyDescent="0.25"/>
    <row r="199961" customFormat="1" x14ac:dyDescent="0.25"/>
    <row r="199962" customFormat="1" x14ac:dyDescent="0.25"/>
    <row r="199963" customFormat="1" x14ac:dyDescent="0.25"/>
    <row r="199964" customFormat="1" x14ac:dyDescent="0.25"/>
    <row r="199965" customFormat="1" x14ac:dyDescent="0.25"/>
    <row r="199966" customFormat="1" x14ac:dyDescent="0.25"/>
    <row r="199967" customFormat="1" x14ac:dyDescent="0.25"/>
    <row r="199968" customFormat="1" x14ac:dyDescent="0.25"/>
    <row r="199969" customFormat="1" x14ac:dyDescent="0.25"/>
    <row r="199970" customFormat="1" x14ac:dyDescent="0.25"/>
    <row r="199971" customFormat="1" x14ac:dyDescent="0.25"/>
    <row r="199972" customFormat="1" x14ac:dyDescent="0.25"/>
    <row r="199973" customFormat="1" x14ac:dyDescent="0.25"/>
    <row r="199974" customFormat="1" x14ac:dyDescent="0.25"/>
    <row r="199975" customFormat="1" x14ac:dyDescent="0.25"/>
    <row r="199976" customFormat="1" x14ac:dyDescent="0.25"/>
    <row r="199977" customFormat="1" x14ac:dyDescent="0.25"/>
    <row r="199978" customFormat="1" x14ac:dyDescent="0.25"/>
    <row r="199979" customFormat="1" x14ac:dyDescent="0.25"/>
    <row r="199980" customFormat="1" x14ac:dyDescent="0.25"/>
    <row r="199981" customFormat="1" x14ac:dyDescent="0.25"/>
    <row r="199982" customFormat="1" x14ac:dyDescent="0.25"/>
    <row r="199983" customFormat="1" x14ac:dyDescent="0.25"/>
    <row r="199984" customFormat="1" x14ac:dyDescent="0.25"/>
    <row r="199985" customFormat="1" x14ac:dyDescent="0.25"/>
    <row r="199986" customFormat="1" x14ac:dyDescent="0.25"/>
    <row r="199987" customFormat="1" x14ac:dyDescent="0.25"/>
    <row r="199988" customFormat="1" x14ac:dyDescent="0.25"/>
    <row r="199989" customFormat="1" x14ac:dyDescent="0.25"/>
    <row r="199990" customFormat="1" x14ac:dyDescent="0.25"/>
    <row r="199991" customFormat="1" x14ac:dyDescent="0.25"/>
    <row r="199992" customFormat="1" x14ac:dyDescent="0.25"/>
    <row r="199993" customFormat="1" x14ac:dyDescent="0.25"/>
    <row r="199994" customFormat="1" x14ac:dyDescent="0.25"/>
    <row r="199995" customFormat="1" x14ac:dyDescent="0.25"/>
    <row r="199996" customFormat="1" x14ac:dyDescent="0.25"/>
    <row r="199997" customFormat="1" x14ac:dyDescent="0.25"/>
    <row r="199998" customFormat="1" x14ac:dyDescent="0.25"/>
    <row r="199999" customFormat="1" x14ac:dyDescent="0.25"/>
    <row r="200000" customFormat="1" x14ac:dyDescent="0.25"/>
    <row r="200001" customFormat="1" x14ac:dyDescent="0.25"/>
    <row r="200002" customFormat="1" x14ac:dyDescent="0.25"/>
    <row r="200003" customFormat="1" x14ac:dyDescent="0.25"/>
    <row r="200004" customFormat="1" x14ac:dyDescent="0.25"/>
    <row r="200005" customFormat="1" x14ac:dyDescent="0.25"/>
    <row r="200006" customFormat="1" x14ac:dyDescent="0.25"/>
    <row r="200007" customFormat="1" x14ac:dyDescent="0.25"/>
    <row r="200008" customFormat="1" x14ac:dyDescent="0.25"/>
    <row r="200009" customFormat="1" x14ac:dyDescent="0.25"/>
    <row r="200010" customFormat="1" x14ac:dyDescent="0.25"/>
    <row r="200011" customFormat="1" x14ac:dyDescent="0.25"/>
    <row r="200012" customFormat="1" x14ac:dyDescent="0.25"/>
    <row r="200013" customFormat="1" x14ac:dyDescent="0.25"/>
    <row r="200014" customFormat="1" x14ac:dyDescent="0.25"/>
    <row r="200015" customFormat="1" x14ac:dyDescent="0.25"/>
    <row r="200016" customFormat="1" x14ac:dyDescent="0.25"/>
    <row r="200017" customFormat="1" x14ac:dyDescent="0.25"/>
    <row r="200018" customFormat="1" x14ac:dyDescent="0.25"/>
    <row r="200019" customFormat="1" x14ac:dyDescent="0.25"/>
    <row r="200020" customFormat="1" x14ac:dyDescent="0.25"/>
    <row r="200021" customFormat="1" x14ac:dyDescent="0.25"/>
    <row r="200022" customFormat="1" x14ac:dyDescent="0.25"/>
    <row r="200023" customFormat="1" x14ac:dyDescent="0.25"/>
    <row r="200024" customFormat="1" x14ac:dyDescent="0.25"/>
    <row r="200025" customFormat="1" x14ac:dyDescent="0.25"/>
    <row r="200026" customFormat="1" x14ac:dyDescent="0.25"/>
    <row r="200027" customFormat="1" x14ac:dyDescent="0.25"/>
    <row r="200028" customFormat="1" x14ac:dyDescent="0.25"/>
    <row r="200029" customFormat="1" x14ac:dyDescent="0.25"/>
    <row r="200030" customFormat="1" x14ac:dyDescent="0.25"/>
    <row r="200031" customFormat="1" x14ac:dyDescent="0.25"/>
    <row r="200032" customFormat="1" x14ac:dyDescent="0.25"/>
    <row r="200033" customFormat="1" x14ac:dyDescent="0.25"/>
    <row r="200034" customFormat="1" x14ac:dyDescent="0.25"/>
    <row r="200035" customFormat="1" x14ac:dyDescent="0.25"/>
    <row r="200036" customFormat="1" x14ac:dyDescent="0.25"/>
    <row r="200037" customFormat="1" x14ac:dyDescent="0.25"/>
    <row r="200038" customFormat="1" x14ac:dyDescent="0.25"/>
    <row r="200039" customFormat="1" x14ac:dyDescent="0.25"/>
    <row r="200040" customFormat="1" x14ac:dyDescent="0.25"/>
    <row r="200041" customFormat="1" x14ac:dyDescent="0.25"/>
    <row r="200042" customFormat="1" x14ac:dyDescent="0.25"/>
    <row r="200043" customFormat="1" x14ac:dyDescent="0.25"/>
    <row r="200044" customFormat="1" x14ac:dyDescent="0.25"/>
    <row r="200045" customFormat="1" x14ac:dyDescent="0.25"/>
    <row r="200046" customFormat="1" x14ac:dyDescent="0.25"/>
    <row r="200047" customFormat="1" x14ac:dyDescent="0.25"/>
    <row r="200048" customFormat="1" x14ac:dyDescent="0.25"/>
    <row r="200049" customFormat="1" x14ac:dyDescent="0.25"/>
    <row r="200050" customFormat="1" x14ac:dyDescent="0.25"/>
    <row r="200051" customFormat="1" x14ac:dyDescent="0.25"/>
    <row r="200052" customFormat="1" x14ac:dyDescent="0.25"/>
    <row r="200053" customFormat="1" x14ac:dyDescent="0.25"/>
    <row r="200054" customFormat="1" x14ac:dyDescent="0.25"/>
    <row r="200055" customFormat="1" x14ac:dyDescent="0.25"/>
    <row r="200056" customFormat="1" x14ac:dyDescent="0.25"/>
    <row r="200057" customFormat="1" x14ac:dyDescent="0.25"/>
    <row r="200058" customFormat="1" x14ac:dyDescent="0.25"/>
    <row r="200059" customFormat="1" x14ac:dyDescent="0.25"/>
    <row r="200060" customFormat="1" x14ac:dyDescent="0.25"/>
    <row r="200061" customFormat="1" x14ac:dyDescent="0.25"/>
    <row r="200062" customFormat="1" x14ac:dyDescent="0.25"/>
    <row r="200063" customFormat="1" x14ac:dyDescent="0.25"/>
    <row r="200064" customFormat="1" x14ac:dyDescent="0.25"/>
    <row r="200065" customFormat="1" x14ac:dyDescent="0.25"/>
    <row r="200066" customFormat="1" x14ac:dyDescent="0.25"/>
    <row r="200067" customFormat="1" x14ac:dyDescent="0.25"/>
    <row r="200068" customFormat="1" x14ac:dyDescent="0.25"/>
    <row r="200069" customFormat="1" x14ac:dyDescent="0.25"/>
    <row r="200070" customFormat="1" x14ac:dyDescent="0.25"/>
    <row r="200071" customFormat="1" x14ac:dyDescent="0.25"/>
    <row r="200072" customFormat="1" x14ac:dyDescent="0.25"/>
    <row r="200073" customFormat="1" x14ac:dyDescent="0.25"/>
    <row r="200074" customFormat="1" x14ac:dyDescent="0.25"/>
    <row r="200075" customFormat="1" x14ac:dyDescent="0.25"/>
    <row r="200076" customFormat="1" x14ac:dyDescent="0.25"/>
    <row r="200077" customFormat="1" x14ac:dyDescent="0.25"/>
    <row r="200078" customFormat="1" x14ac:dyDescent="0.25"/>
    <row r="200079" customFormat="1" x14ac:dyDescent="0.25"/>
    <row r="200080" customFormat="1" x14ac:dyDescent="0.25"/>
    <row r="200081" customFormat="1" x14ac:dyDescent="0.25"/>
    <row r="200082" customFormat="1" x14ac:dyDescent="0.25"/>
    <row r="200083" customFormat="1" x14ac:dyDescent="0.25"/>
    <row r="200084" customFormat="1" x14ac:dyDescent="0.25"/>
    <row r="200085" customFormat="1" x14ac:dyDescent="0.25"/>
    <row r="200086" customFormat="1" x14ac:dyDescent="0.25"/>
    <row r="200087" customFormat="1" x14ac:dyDescent="0.25"/>
    <row r="200088" customFormat="1" x14ac:dyDescent="0.25"/>
    <row r="200089" customFormat="1" x14ac:dyDescent="0.25"/>
    <row r="200090" customFormat="1" x14ac:dyDescent="0.25"/>
    <row r="200091" customFormat="1" x14ac:dyDescent="0.25"/>
    <row r="200092" customFormat="1" x14ac:dyDescent="0.25"/>
    <row r="200093" customFormat="1" x14ac:dyDescent="0.25"/>
    <row r="200094" customFormat="1" x14ac:dyDescent="0.25"/>
    <row r="200095" customFormat="1" x14ac:dyDescent="0.25"/>
    <row r="200096" customFormat="1" x14ac:dyDescent="0.25"/>
    <row r="200097" customFormat="1" x14ac:dyDescent="0.25"/>
    <row r="200098" customFormat="1" x14ac:dyDescent="0.25"/>
    <row r="200099" customFormat="1" x14ac:dyDescent="0.25"/>
    <row r="200100" customFormat="1" x14ac:dyDescent="0.25"/>
    <row r="200101" customFormat="1" x14ac:dyDescent="0.25"/>
    <row r="200102" customFormat="1" x14ac:dyDescent="0.25"/>
    <row r="200103" customFormat="1" x14ac:dyDescent="0.25"/>
    <row r="200104" customFormat="1" x14ac:dyDescent="0.25"/>
    <row r="200105" customFormat="1" x14ac:dyDescent="0.25"/>
    <row r="200106" customFormat="1" x14ac:dyDescent="0.25"/>
    <row r="200107" customFormat="1" x14ac:dyDescent="0.25"/>
    <row r="200108" customFormat="1" x14ac:dyDescent="0.25"/>
    <row r="200109" customFormat="1" x14ac:dyDescent="0.25"/>
    <row r="200110" customFormat="1" x14ac:dyDescent="0.25"/>
    <row r="200111" customFormat="1" x14ac:dyDescent="0.25"/>
    <row r="200112" customFormat="1" x14ac:dyDescent="0.25"/>
    <row r="200113" customFormat="1" x14ac:dyDescent="0.25"/>
    <row r="200114" customFormat="1" x14ac:dyDescent="0.25"/>
    <row r="200115" customFormat="1" x14ac:dyDescent="0.25"/>
    <row r="200116" customFormat="1" x14ac:dyDescent="0.25"/>
    <row r="200117" customFormat="1" x14ac:dyDescent="0.25"/>
    <row r="200118" customFormat="1" x14ac:dyDescent="0.25"/>
    <row r="200119" customFormat="1" x14ac:dyDescent="0.25"/>
    <row r="200120" customFormat="1" x14ac:dyDescent="0.25"/>
    <row r="200121" customFormat="1" x14ac:dyDescent="0.25"/>
    <row r="200122" customFormat="1" x14ac:dyDescent="0.25"/>
    <row r="200123" customFormat="1" x14ac:dyDescent="0.25"/>
    <row r="200124" customFormat="1" x14ac:dyDescent="0.25"/>
    <row r="200125" customFormat="1" x14ac:dyDescent="0.25"/>
    <row r="200126" customFormat="1" x14ac:dyDescent="0.25"/>
    <row r="200127" customFormat="1" x14ac:dyDescent="0.25"/>
    <row r="200128" customFormat="1" x14ac:dyDescent="0.25"/>
    <row r="200129" customFormat="1" x14ac:dyDescent="0.25"/>
    <row r="200130" customFormat="1" x14ac:dyDescent="0.25"/>
    <row r="200131" customFormat="1" x14ac:dyDescent="0.25"/>
    <row r="200132" customFormat="1" x14ac:dyDescent="0.25"/>
    <row r="200133" customFormat="1" x14ac:dyDescent="0.25"/>
    <row r="200134" customFormat="1" x14ac:dyDescent="0.25"/>
    <row r="200135" customFormat="1" x14ac:dyDescent="0.25"/>
    <row r="200136" customFormat="1" x14ac:dyDescent="0.25"/>
    <row r="200137" customFormat="1" x14ac:dyDescent="0.25"/>
    <row r="200138" customFormat="1" x14ac:dyDescent="0.25"/>
    <row r="200139" customFormat="1" x14ac:dyDescent="0.25"/>
    <row r="200140" customFormat="1" x14ac:dyDescent="0.25"/>
    <row r="200141" customFormat="1" x14ac:dyDescent="0.25"/>
    <row r="200142" customFormat="1" x14ac:dyDescent="0.25"/>
    <row r="200143" customFormat="1" x14ac:dyDescent="0.25"/>
    <row r="200144" customFormat="1" x14ac:dyDescent="0.25"/>
    <row r="200145" customFormat="1" x14ac:dyDescent="0.25"/>
    <row r="200146" customFormat="1" x14ac:dyDescent="0.25"/>
    <row r="200147" customFormat="1" x14ac:dyDescent="0.25"/>
    <row r="200148" customFormat="1" x14ac:dyDescent="0.25"/>
    <row r="200149" customFormat="1" x14ac:dyDescent="0.25"/>
    <row r="200150" customFormat="1" x14ac:dyDescent="0.25"/>
    <row r="200151" customFormat="1" x14ac:dyDescent="0.25"/>
    <row r="200152" customFormat="1" x14ac:dyDescent="0.25"/>
    <row r="200153" customFormat="1" x14ac:dyDescent="0.25"/>
    <row r="200154" customFormat="1" x14ac:dyDescent="0.25"/>
    <row r="200155" customFormat="1" x14ac:dyDescent="0.25"/>
    <row r="200156" customFormat="1" x14ac:dyDescent="0.25"/>
    <row r="200157" customFormat="1" x14ac:dyDescent="0.25"/>
    <row r="200158" customFormat="1" x14ac:dyDescent="0.25"/>
    <row r="200159" customFormat="1" x14ac:dyDescent="0.25"/>
    <row r="200160" customFormat="1" x14ac:dyDescent="0.25"/>
    <row r="200161" customFormat="1" x14ac:dyDescent="0.25"/>
    <row r="200162" customFormat="1" x14ac:dyDescent="0.25"/>
    <row r="200163" customFormat="1" x14ac:dyDescent="0.25"/>
    <row r="200164" customFormat="1" x14ac:dyDescent="0.25"/>
    <row r="200165" customFormat="1" x14ac:dyDescent="0.25"/>
    <row r="200166" customFormat="1" x14ac:dyDescent="0.25"/>
    <row r="200167" customFormat="1" x14ac:dyDescent="0.25"/>
    <row r="200168" customFormat="1" x14ac:dyDescent="0.25"/>
    <row r="200169" customFormat="1" x14ac:dyDescent="0.25"/>
    <row r="200170" customFormat="1" x14ac:dyDescent="0.25"/>
    <row r="200171" customFormat="1" x14ac:dyDescent="0.25"/>
    <row r="200172" customFormat="1" x14ac:dyDescent="0.25"/>
    <row r="200173" customFormat="1" x14ac:dyDescent="0.25"/>
    <row r="200174" customFormat="1" x14ac:dyDescent="0.25"/>
    <row r="200175" customFormat="1" x14ac:dyDescent="0.25"/>
    <row r="200176" customFormat="1" x14ac:dyDescent="0.25"/>
    <row r="200177" customFormat="1" x14ac:dyDescent="0.25"/>
    <row r="200178" customFormat="1" x14ac:dyDescent="0.25"/>
    <row r="200179" customFormat="1" x14ac:dyDescent="0.25"/>
    <row r="200180" customFormat="1" x14ac:dyDescent="0.25"/>
    <row r="200181" customFormat="1" x14ac:dyDescent="0.25"/>
    <row r="200182" customFormat="1" x14ac:dyDescent="0.25"/>
    <row r="200183" customFormat="1" x14ac:dyDescent="0.25"/>
    <row r="200184" customFormat="1" x14ac:dyDescent="0.25"/>
    <row r="200185" customFormat="1" x14ac:dyDescent="0.25"/>
    <row r="200186" customFormat="1" x14ac:dyDescent="0.25"/>
    <row r="200187" customFormat="1" x14ac:dyDescent="0.25"/>
    <row r="200188" customFormat="1" x14ac:dyDescent="0.25"/>
    <row r="200189" customFormat="1" x14ac:dyDescent="0.25"/>
    <row r="200190" customFormat="1" x14ac:dyDescent="0.25"/>
    <row r="200191" customFormat="1" x14ac:dyDescent="0.25"/>
    <row r="200192" customFormat="1" x14ac:dyDescent="0.25"/>
    <row r="200193" customFormat="1" x14ac:dyDescent="0.25"/>
    <row r="200194" customFormat="1" x14ac:dyDescent="0.25"/>
    <row r="200195" customFormat="1" x14ac:dyDescent="0.25"/>
    <row r="200196" customFormat="1" x14ac:dyDescent="0.25"/>
    <row r="200197" customFormat="1" x14ac:dyDescent="0.25"/>
    <row r="200198" customFormat="1" x14ac:dyDescent="0.25"/>
    <row r="200199" customFormat="1" x14ac:dyDescent="0.25"/>
    <row r="200200" customFormat="1" x14ac:dyDescent="0.25"/>
    <row r="200201" customFormat="1" x14ac:dyDescent="0.25"/>
    <row r="200202" customFormat="1" x14ac:dyDescent="0.25"/>
    <row r="200203" customFormat="1" x14ac:dyDescent="0.25"/>
    <row r="200204" customFormat="1" x14ac:dyDescent="0.25"/>
    <row r="200205" customFormat="1" x14ac:dyDescent="0.25"/>
    <row r="200206" customFormat="1" x14ac:dyDescent="0.25"/>
    <row r="200207" customFormat="1" x14ac:dyDescent="0.25"/>
    <row r="200208" customFormat="1" x14ac:dyDescent="0.25"/>
    <row r="200209" customFormat="1" x14ac:dyDescent="0.25"/>
    <row r="200210" customFormat="1" x14ac:dyDescent="0.25"/>
    <row r="200211" customFormat="1" x14ac:dyDescent="0.25"/>
    <row r="200212" customFormat="1" x14ac:dyDescent="0.25"/>
    <row r="200213" customFormat="1" x14ac:dyDescent="0.25"/>
    <row r="200214" customFormat="1" x14ac:dyDescent="0.25"/>
    <row r="200215" customFormat="1" x14ac:dyDescent="0.25"/>
    <row r="200216" customFormat="1" x14ac:dyDescent="0.25"/>
    <row r="200217" customFormat="1" x14ac:dyDescent="0.25"/>
    <row r="200218" customFormat="1" x14ac:dyDescent="0.25"/>
    <row r="200219" customFormat="1" x14ac:dyDescent="0.25"/>
    <row r="200220" customFormat="1" x14ac:dyDescent="0.25"/>
    <row r="200221" customFormat="1" x14ac:dyDescent="0.25"/>
    <row r="200222" customFormat="1" x14ac:dyDescent="0.25"/>
    <row r="200223" customFormat="1" x14ac:dyDescent="0.25"/>
    <row r="200224" customFormat="1" x14ac:dyDescent="0.25"/>
    <row r="200225" customFormat="1" x14ac:dyDescent="0.25"/>
    <row r="200226" customFormat="1" x14ac:dyDescent="0.25"/>
    <row r="200227" customFormat="1" x14ac:dyDescent="0.25"/>
    <row r="200228" customFormat="1" x14ac:dyDescent="0.25"/>
    <row r="200229" customFormat="1" x14ac:dyDescent="0.25"/>
    <row r="200230" customFormat="1" x14ac:dyDescent="0.25"/>
    <row r="200231" customFormat="1" x14ac:dyDescent="0.25"/>
    <row r="200232" customFormat="1" x14ac:dyDescent="0.25"/>
    <row r="200233" customFormat="1" x14ac:dyDescent="0.25"/>
    <row r="200234" customFormat="1" x14ac:dyDescent="0.25"/>
    <row r="200235" customFormat="1" x14ac:dyDescent="0.25"/>
    <row r="200236" customFormat="1" x14ac:dyDescent="0.25"/>
    <row r="200237" customFormat="1" x14ac:dyDescent="0.25"/>
    <row r="200238" customFormat="1" x14ac:dyDescent="0.25"/>
    <row r="200239" customFormat="1" x14ac:dyDescent="0.25"/>
    <row r="200240" customFormat="1" x14ac:dyDescent="0.25"/>
    <row r="200241" customFormat="1" x14ac:dyDescent="0.25"/>
    <row r="200242" customFormat="1" x14ac:dyDescent="0.25"/>
    <row r="200243" customFormat="1" x14ac:dyDescent="0.25"/>
    <row r="200244" customFormat="1" x14ac:dyDescent="0.25"/>
    <row r="200245" customFormat="1" x14ac:dyDescent="0.25"/>
    <row r="200246" customFormat="1" x14ac:dyDescent="0.25"/>
    <row r="200247" customFormat="1" x14ac:dyDescent="0.25"/>
    <row r="200248" customFormat="1" x14ac:dyDescent="0.25"/>
    <row r="200249" customFormat="1" x14ac:dyDescent="0.25"/>
    <row r="200250" customFormat="1" x14ac:dyDescent="0.25"/>
    <row r="200251" customFormat="1" x14ac:dyDescent="0.25"/>
    <row r="200252" customFormat="1" x14ac:dyDescent="0.25"/>
    <row r="200253" customFormat="1" x14ac:dyDescent="0.25"/>
    <row r="200254" customFormat="1" x14ac:dyDescent="0.25"/>
    <row r="200255" customFormat="1" x14ac:dyDescent="0.25"/>
    <row r="200256" customFormat="1" x14ac:dyDescent="0.25"/>
    <row r="200257" customFormat="1" x14ac:dyDescent="0.25"/>
    <row r="200258" customFormat="1" x14ac:dyDescent="0.25"/>
    <row r="200259" customFormat="1" x14ac:dyDescent="0.25"/>
    <row r="200260" customFormat="1" x14ac:dyDescent="0.25"/>
    <row r="200261" customFormat="1" x14ac:dyDescent="0.25"/>
    <row r="200262" customFormat="1" x14ac:dyDescent="0.25"/>
    <row r="200263" customFormat="1" x14ac:dyDescent="0.25"/>
    <row r="200264" customFormat="1" x14ac:dyDescent="0.25"/>
    <row r="200265" customFormat="1" x14ac:dyDescent="0.25"/>
    <row r="200266" customFormat="1" x14ac:dyDescent="0.25"/>
    <row r="200267" customFormat="1" x14ac:dyDescent="0.25"/>
    <row r="200268" customFormat="1" x14ac:dyDescent="0.25"/>
    <row r="200269" customFormat="1" x14ac:dyDescent="0.25"/>
    <row r="200270" customFormat="1" x14ac:dyDescent="0.25"/>
    <row r="200271" customFormat="1" x14ac:dyDescent="0.25"/>
    <row r="200272" customFormat="1" x14ac:dyDescent="0.25"/>
    <row r="200273" customFormat="1" x14ac:dyDescent="0.25"/>
    <row r="200274" customFormat="1" x14ac:dyDescent="0.25"/>
    <row r="200275" customFormat="1" x14ac:dyDescent="0.25"/>
    <row r="200276" customFormat="1" x14ac:dyDescent="0.25"/>
    <row r="200277" customFormat="1" x14ac:dyDescent="0.25"/>
    <row r="200278" customFormat="1" x14ac:dyDescent="0.25"/>
    <row r="200279" customFormat="1" x14ac:dyDescent="0.25"/>
    <row r="200280" customFormat="1" x14ac:dyDescent="0.25"/>
    <row r="200281" customFormat="1" x14ac:dyDescent="0.25"/>
    <row r="200282" customFormat="1" x14ac:dyDescent="0.25"/>
    <row r="200283" customFormat="1" x14ac:dyDescent="0.25"/>
    <row r="200284" customFormat="1" x14ac:dyDescent="0.25"/>
    <row r="200285" customFormat="1" x14ac:dyDescent="0.25"/>
    <row r="200286" customFormat="1" x14ac:dyDescent="0.25"/>
    <row r="200287" customFormat="1" x14ac:dyDescent="0.25"/>
    <row r="200288" customFormat="1" x14ac:dyDescent="0.25"/>
    <row r="200289" customFormat="1" x14ac:dyDescent="0.25"/>
    <row r="200290" customFormat="1" x14ac:dyDescent="0.25"/>
    <row r="200291" customFormat="1" x14ac:dyDescent="0.25"/>
    <row r="200292" customFormat="1" x14ac:dyDescent="0.25"/>
    <row r="200293" customFormat="1" x14ac:dyDescent="0.25"/>
    <row r="200294" customFormat="1" x14ac:dyDescent="0.25"/>
    <row r="200295" customFormat="1" x14ac:dyDescent="0.25"/>
    <row r="200296" customFormat="1" x14ac:dyDescent="0.25"/>
    <row r="200297" customFormat="1" x14ac:dyDescent="0.25"/>
    <row r="200298" customFormat="1" x14ac:dyDescent="0.25"/>
    <row r="200299" customFormat="1" x14ac:dyDescent="0.25"/>
    <row r="200300" customFormat="1" x14ac:dyDescent="0.25"/>
    <row r="200301" customFormat="1" x14ac:dyDescent="0.25"/>
    <row r="200302" customFormat="1" x14ac:dyDescent="0.25"/>
    <row r="200303" customFormat="1" x14ac:dyDescent="0.25"/>
    <row r="200304" customFormat="1" x14ac:dyDescent="0.25"/>
    <row r="200305" customFormat="1" x14ac:dyDescent="0.25"/>
    <row r="200306" customFormat="1" x14ac:dyDescent="0.25"/>
    <row r="200307" customFormat="1" x14ac:dyDescent="0.25"/>
    <row r="200308" customFormat="1" x14ac:dyDescent="0.25"/>
    <row r="200309" customFormat="1" x14ac:dyDescent="0.25"/>
    <row r="200310" customFormat="1" x14ac:dyDescent="0.25"/>
    <row r="200311" customFormat="1" x14ac:dyDescent="0.25"/>
    <row r="200312" customFormat="1" x14ac:dyDescent="0.25"/>
    <row r="200313" customFormat="1" x14ac:dyDescent="0.25"/>
    <row r="200314" customFormat="1" x14ac:dyDescent="0.25"/>
    <row r="200315" customFormat="1" x14ac:dyDescent="0.25"/>
    <row r="200316" customFormat="1" x14ac:dyDescent="0.25"/>
    <row r="200317" customFormat="1" x14ac:dyDescent="0.25"/>
    <row r="200318" customFormat="1" x14ac:dyDescent="0.25"/>
    <row r="200319" customFormat="1" x14ac:dyDescent="0.25"/>
    <row r="200320" customFormat="1" x14ac:dyDescent="0.25"/>
    <row r="200321" customFormat="1" x14ac:dyDescent="0.25"/>
    <row r="200322" customFormat="1" x14ac:dyDescent="0.25"/>
    <row r="200323" customFormat="1" x14ac:dyDescent="0.25"/>
    <row r="200324" customFormat="1" x14ac:dyDescent="0.25"/>
    <row r="200325" customFormat="1" x14ac:dyDescent="0.25"/>
    <row r="200326" customFormat="1" x14ac:dyDescent="0.25"/>
    <row r="200327" customFormat="1" x14ac:dyDescent="0.25"/>
    <row r="200328" customFormat="1" x14ac:dyDescent="0.25"/>
    <row r="200329" customFormat="1" x14ac:dyDescent="0.25"/>
    <row r="200330" customFormat="1" x14ac:dyDescent="0.25"/>
    <row r="200331" customFormat="1" x14ac:dyDescent="0.25"/>
    <row r="200332" customFormat="1" x14ac:dyDescent="0.25"/>
    <row r="200333" customFormat="1" x14ac:dyDescent="0.25"/>
    <row r="200334" customFormat="1" x14ac:dyDescent="0.25"/>
    <row r="200335" customFormat="1" x14ac:dyDescent="0.25"/>
    <row r="200336" customFormat="1" x14ac:dyDescent="0.25"/>
    <row r="200337" customFormat="1" x14ac:dyDescent="0.25"/>
    <row r="200338" customFormat="1" x14ac:dyDescent="0.25"/>
    <row r="200339" customFormat="1" x14ac:dyDescent="0.25"/>
    <row r="200340" customFormat="1" x14ac:dyDescent="0.25"/>
    <row r="200341" customFormat="1" x14ac:dyDescent="0.25"/>
    <row r="200342" customFormat="1" x14ac:dyDescent="0.25"/>
    <row r="200343" customFormat="1" x14ac:dyDescent="0.25"/>
    <row r="200344" customFormat="1" x14ac:dyDescent="0.25"/>
    <row r="200345" customFormat="1" x14ac:dyDescent="0.25"/>
    <row r="200346" customFormat="1" x14ac:dyDescent="0.25"/>
    <row r="200347" customFormat="1" x14ac:dyDescent="0.25"/>
    <row r="200348" customFormat="1" x14ac:dyDescent="0.25"/>
    <row r="200349" customFormat="1" x14ac:dyDescent="0.25"/>
    <row r="200350" customFormat="1" x14ac:dyDescent="0.25"/>
    <row r="200351" customFormat="1" x14ac:dyDescent="0.25"/>
    <row r="200352" customFormat="1" x14ac:dyDescent="0.25"/>
    <row r="200353" customFormat="1" x14ac:dyDescent="0.25"/>
    <row r="200354" customFormat="1" x14ac:dyDescent="0.25"/>
    <row r="200355" customFormat="1" x14ac:dyDescent="0.25"/>
    <row r="200356" customFormat="1" x14ac:dyDescent="0.25"/>
    <row r="200357" customFormat="1" x14ac:dyDescent="0.25"/>
    <row r="200358" customFormat="1" x14ac:dyDescent="0.25"/>
    <row r="200359" customFormat="1" x14ac:dyDescent="0.25"/>
    <row r="200360" customFormat="1" x14ac:dyDescent="0.25"/>
    <row r="200361" customFormat="1" x14ac:dyDescent="0.25"/>
    <row r="200362" customFormat="1" x14ac:dyDescent="0.25"/>
    <row r="200363" customFormat="1" x14ac:dyDescent="0.25"/>
    <row r="200364" customFormat="1" x14ac:dyDescent="0.25"/>
    <row r="200365" customFormat="1" x14ac:dyDescent="0.25"/>
    <row r="200366" customFormat="1" x14ac:dyDescent="0.25"/>
    <row r="200367" customFormat="1" x14ac:dyDescent="0.25"/>
    <row r="200368" customFormat="1" x14ac:dyDescent="0.25"/>
    <row r="200369" customFormat="1" x14ac:dyDescent="0.25"/>
    <row r="200370" customFormat="1" x14ac:dyDescent="0.25"/>
    <row r="200371" customFormat="1" x14ac:dyDescent="0.25"/>
    <row r="200372" customFormat="1" x14ac:dyDescent="0.25"/>
    <row r="200373" customFormat="1" x14ac:dyDescent="0.25"/>
    <row r="200374" customFormat="1" x14ac:dyDescent="0.25"/>
    <row r="200375" customFormat="1" x14ac:dyDescent="0.25"/>
    <row r="200376" customFormat="1" x14ac:dyDescent="0.25"/>
    <row r="200377" customFormat="1" x14ac:dyDescent="0.25"/>
    <row r="200378" customFormat="1" x14ac:dyDescent="0.25"/>
    <row r="200379" customFormat="1" x14ac:dyDescent="0.25"/>
    <row r="200380" customFormat="1" x14ac:dyDescent="0.25"/>
    <row r="200381" customFormat="1" x14ac:dyDescent="0.25"/>
    <row r="200382" customFormat="1" x14ac:dyDescent="0.25"/>
    <row r="200383" customFormat="1" x14ac:dyDescent="0.25"/>
    <row r="200384" customFormat="1" x14ac:dyDescent="0.25"/>
    <row r="200385" customFormat="1" x14ac:dyDescent="0.25"/>
    <row r="200386" customFormat="1" x14ac:dyDescent="0.25"/>
    <row r="200387" customFormat="1" x14ac:dyDescent="0.25"/>
    <row r="200388" customFormat="1" x14ac:dyDescent="0.25"/>
    <row r="200389" customFormat="1" x14ac:dyDescent="0.25"/>
    <row r="200390" customFormat="1" x14ac:dyDescent="0.25"/>
    <row r="200391" customFormat="1" x14ac:dyDescent="0.25"/>
    <row r="200392" customFormat="1" x14ac:dyDescent="0.25"/>
    <row r="200393" customFormat="1" x14ac:dyDescent="0.25"/>
    <row r="200394" customFormat="1" x14ac:dyDescent="0.25"/>
    <row r="200395" customFormat="1" x14ac:dyDescent="0.25"/>
    <row r="200396" customFormat="1" x14ac:dyDescent="0.25"/>
    <row r="200397" customFormat="1" x14ac:dyDescent="0.25"/>
    <row r="200398" customFormat="1" x14ac:dyDescent="0.25"/>
    <row r="200399" customFormat="1" x14ac:dyDescent="0.25"/>
    <row r="200400" customFormat="1" x14ac:dyDescent="0.25"/>
    <row r="200401" customFormat="1" x14ac:dyDescent="0.25"/>
    <row r="200402" customFormat="1" x14ac:dyDescent="0.25"/>
    <row r="200403" customFormat="1" x14ac:dyDescent="0.25"/>
    <row r="200404" customFormat="1" x14ac:dyDescent="0.25"/>
    <row r="200405" customFormat="1" x14ac:dyDescent="0.25"/>
    <row r="200406" customFormat="1" x14ac:dyDescent="0.25"/>
    <row r="200407" customFormat="1" x14ac:dyDescent="0.25"/>
    <row r="200408" customFormat="1" x14ac:dyDescent="0.25"/>
    <row r="200409" customFormat="1" x14ac:dyDescent="0.25"/>
    <row r="200410" customFormat="1" x14ac:dyDescent="0.25"/>
    <row r="200411" customFormat="1" x14ac:dyDescent="0.25"/>
    <row r="200412" customFormat="1" x14ac:dyDescent="0.25"/>
    <row r="200413" customFormat="1" x14ac:dyDescent="0.25"/>
    <row r="200414" customFormat="1" x14ac:dyDescent="0.25"/>
    <row r="200415" customFormat="1" x14ac:dyDescent="0.25"/>
    <row r="200416" customFormat="1" x14ac:dyDescent="0.25"/>
    <row r="200417" customFormat="1" x14ac:dyDescent="0.25"/>
    <row r="200418" customFormat="1" x14ac:dyDescent="0.25"/>
    <row r="200419" customFormat="1" x14ac:dyDescent="0.25"/>
    <row r="200420" customFormat="1" x14ac:dyDescent="0.25"/>
    <row r="200421" customFormat="1" x14ac:dyDescent="0.25"/>
    <row r="200422" customFormat="1" x14ac:dyDescent="0.25"/>
    <row r="200423" customFormat="1" x14ac:dyDescent="0.25"/>
    <row r="200424" customFormat="1" x14ac:dyDescent="0.25"/>
    <row r="200425" customFormat="1" x14ac:dyDescent="0.25"/>
    <row r="200426" customFormat="1" x14ac:dyDescent="0.25"/>
    <row r="200427" customFormat="1" x14ac:dyDescent="0.25"/>
    <row r="200428" customFormat="1" x14ac:dyDescent="0.25"/>
    <row r="200429" customFormat="1" x14ac:dyDescent="0.25"/>
    <row r="200430" customFormat="1" x14ac:dyDescent="0.25"/>
    <row r="200431" customFormat="1" x14ac:dyDescent="0.25"/>
    <row r="200432" customFormat="1" x14ac:dyDescent="0.25"/>
    <row r="200433" customFormat="1" x14ac:dyDescent="0.25"/>
    <row r="200434" customFormat="1" x14ac:dyDescent="0.25"/>
    <row r="200435" customFormat="1" x14ac:dyDescent="0.25"/>
    <row r="200436" customFormat="1" x14ac:dyDescent="0.25"/>
    <row r="200437" customFormat="1" x14ac:dyDescent="0.25"/>
    <row r="200438" customFormat="1" x14ac:dyDescent="0.25"/>
    <row r="200439" customFormat="1" x14ac:dyDescent="0.25"/>
    <row r="200440" customFormat="1" x14ac:dyDescent="0.25"/>
    <row r="200441" customFormat="1" x14ac:dyDescent="0.25"/>
    <row r="200442" customFormat="1" x14ac:dyDescent="0.25"/>
    <row r="200443" customFormat="1" x14ac:dyDescent="0.25"/>
    <row r="200444" customFormat="1" x14ac:dyDescent="0.25"/>
    <row r="200445" customFormat="1" x14ac:dyDescent="0.25"/>
    <row r="200446" customFormat="1" x14ac:dyDescent="0.25"/>
    <row r="200447" customFormat="1" x14ac:dyDescent="0.25"/>
    <row r="200448" customFormat="1" x14ac:dyDescent="0.25"/>
    <row r="200449" customFormat="1" x14ac:dyDescent="0.25"/>
    <row r="200450" customFormat="1" x14ac:dyDescent="0.25"/>
    <row r="200451" customFormat="1" x14ac:dyDescent="0.25"/>
    <row r="200452" customFormat="1" x14ac:dyDescent="0.25"/>
    <row r="200453" customFormat="1" x14ac:dyDescent="0.25"/>
    <row r="200454" customFormat="1" x14ac:dyDescent="0.25"/>
    <row r="200455" customFormat="1" x14ac:dyDescent="0.25"/>
    <row r="200456" customFormat="1" x14ac:dyDescent="0.25"/>
    <row r="200457" customFormat="1" x14ac:dyDescent="0.25"/>
    <row r="200458" customFormat="1" x14ac:dyDescent="0.25"/>
    <row r="200459" customFormat="1" x14ac:dyDescent="0.25"/>
    <row r="200460" customFormat="1" x14ac:dyDescent="0.25"/>
    <row r="200461" customFormat="1" x14ac:dyDescent="0.25"/>
    <row r="200462" customFormat="1" x14ac:dyDescent="0.25"/>
    <row r="200463" customFormat="1" x14ac:dyDescent="0.25"/>
    <row r="200464" customFormat="1" x14ac:dyDescent="0.25"/>
    <row r="200465" customFormat="1" x14ac:dyDescent="0.25"/>
    <row r="200466" customFormat="1" x14ac:dyDescent="0.25"/>
    <row r="200467" customFormat="1" x14ac:dyDescent="0.25"/>
    <row r="200468" customFormat="1" x14ac:dyDescent="0.25"/>
    <row r="200469" customFormat="1" x14ac:dyDescent="0.25"/>
    <row r="200470" customFormat="1" x14ac:dyDescent="0.25"/>
    <row r="200471" customFormat="1" x14ac:dyDescent="0.25"/>
    <row r="200472" customFormat="1" x14ac:dyDescent="0.25"/>
    <row r="200473" customFormat="1" x14ac:dyDescent="0.25"/>
    <row r="200474" customFormat="1" x14ac:dyDescent="0.25"/>
    <row r="200475" customFormat="1" x14ac:dyDescent="0.25"/>
    <row r="200476" customFormat="1" x14ac:dyDescent="0.25"/>
    <row r="200477" customFormat="1" x14ac:dyDescent="0.25"/>
    <row r="200478" customFormat="1" x14ac:dyDescent="0.25"/>
    <row r="200479" customFormat="1" x14ac:dyDescent="0.25"/>
    <row r="200480" customFormat="1" x14ac:dyDescent="0.25"/>
    <row r="200481" customFormat="1" x14ac:dyDescent="0.25"/>
    <row r="200482" customFormat="1" x14ac:dyDescent="0.25"/>
    <row r="200483" customFormat="1" x14ac:dyDescent="0.25"/>
    <row r="200484" customFormat="1" x14ac:dyDescent="0.25"/>
    <row r="200485" customFormat="1" x14ac:dyDescent="0.25"/>
    <row r="200486" customFormat="1" x14ac:dyDescent="0.25"/>
    <row r="200487" customFormat="1" x14ac:dyDescent="0.25"/>
    <row r="200488" customFormat="1" x14ac:dyDescent="0.25"/>
    <row r="200489" customFormat="1" x14ac:dyDescent="0.25"/>
    <row r="200490" customFormat="1" x14ac:dyDescent="0.25"/>
    <row r="200491" customFormat="1" x14ac:dyDescent="0.25"/>
    <row r="200492" customFormat="1" x14ac:dyDescent="0.25"/>
    <row r="200493" customFormat="1" x14ac:dyDescent="0.25"/>
    <row r="200494" customFormat="1" x14ac:dyDescent="0.25"/>
    <row r="200495" customFormat="1" x14ac:dyDescent="0.25"/>
    <row r="200496" customFormat="1" x14ac:dyDescent="0.25"/>
    <row r="200497" customFormat="1" x14ac:dyDescent="0.25"/>
    <row r="200498" customFormat="1" x14ac:dyDescent="0.25"/>
    <row r="200499" customFormat="1" x14ac:dyDescent="0.25"/>
    <row r="200500" customFormat="1" x14ac:dyDescent="0.25"/>
    <row r="200501" customFormat="1" x14ac:dyDescent="0.25"/>
    <row r="200502" customFormat="1" x14ac:dyDescent="0.25"/>
    <row r="200503" customFormat="1" x14ac:dyDescent="0.25"/>
    <row r="200504" customFormat="1" x14ac:dyDescent="0.25"/>
    <row r="200505" customFormat="1" x14ac:dyDescent="0.25"/>
    <row r="200506" customFormat="1" x14ac:dyDescent="0.25"/>
    <row r="200507" customFormat="1" x14ac:dyDescent="0.25"/>
    <row r="200508" customFormat="1" x14ac:dyDescent="0.25"/>
    <row r="200509" customFormat="1" x14ac:dyDescent="0.25"/>
    <row r="200510" customFormat="1" x14ac:dyDescent="0.25"/>
    <row r="200511" customFormat="1" x14ac:dyDescent="0.25"/>
    <row r="200512" customFormat="1" x14ac:dyDescent="0.25"/>
    <row r="200513" customFormat="1" x14ac:dyDescent="0.25"/>
    <row r="200514" customFormat="1" x14ac:dyDescent="0.25"/>
    <row r="200515" customFormat="1" x14ac:dyDescent="0.25"/>
    <row r="200516" customFormat="1" x14ac:dyDescent="0.25"/>
    <row r="200517" customFormat="1" x14ac:dyDescent="0.25"/>
    <row r="200518" customFormat="1" x14ac:dyDescent="0.25"/>
    <row r="200519" customFormat="1" x14ac:dyDescent="0.25"/>
    <row r="200520" customFormat="1" x14ac:dyDescent="0.25"/>
    <row r="200521" customFormat="1" x14ac:dyDescent="0.25"/>
    <row r="200522" customFormat="1" x14ac:dyDescent="0.25"/>
    <row r="200523" customFormat="1" x14ac:dyDescent="0.25"/>
    <row r="200524" customFormat="1" x14ac:dyDescent="0.25"/>
    <row r="200525" customFormat="1" x14ac:dyDescent="0.25"/>
    <row r="200526" customFormat="1" x14ac:dyDescent="0.25"/>
    <row r="200527" customFormat="1" x14ac:dyDescent="0.25"/>
    <row r="200528" customFormat="1" x14ac:dyDescent="0.25"/>
    <row r="200529" customFormat="1" x14ac:dyDescent="0.25"/>
    <row r="200530" customFormat="1" x14ac:dyDescent="0.25"/>
    <row r="200531" customFormat="1" x14ac:dyDescent="0.25"/>
    <row r="200532" customFormat="1" x14ac:dyDescent="0.25"/>
    <row r="200533" customFormat="1" x14ac:dyDescent="0.25"/>
    <row r="200534" customFormat="1" x14ac:dyDescent="0.25"/>
    <row r="200535" customFormat="1" x14ac:dyDescent="0.25"/>
    <row r="200536" customFormat="1" x14ac:dyDescent="0.25"/>
    <row r="200537" customFormat="1" x14ac:dyDescent="0.25"/>
    <row r="200538" customFormat="1" x14ac:dyDescent="0.25"/>
    <row r="200539" customFormat="1" x14ac:dyDescent="0.25"/>
    <row r="200540" customFormat="1" x14ac:dyDescent="0.25"/>
    <row r="200541" customFormat="1" x14ac:dyDescent="0.25"/>
    <row r="200542" customFormat="1" x14ac:dyDescent="0.25"/>
    <row r="200543" customFormat="1" x14ac:dyDescent="0.25"/>
    <row r="200544" customFormat="1" x14ac:dyDescent="0.25"/>
    <row r="200545" customFormat="1" x14ac:dyDescent="0.25"/>
    <row r="200546" customFormat="1" x14ac:dyDescent="0.25"/>
    <row r="200547" customFormat="1" x14ac:dyDescent="0.25"/>
    <row r="200548" customFormat="1" x14ac:dyDescent="0.25"/>
    <row r="200549" customFormat="1" x14ac:dyDescent="0.25"/>
    <row r="200550" customFormat="1" x14ac:dyDescent="0.25"/>
    <row r="200551" customFormat="1" x14ac:dyDescent="0.25"/>
    <row r="200552" customFormat="1" x14ac:dyDescent="0.25"/>
    <row r="200553" customFormat="1" x14ac:dyDescent="0.25"/>
    <row r="200554" customFormat="1" x14ac:dyDescent="0.25"/>
    <row r="200555" customFormat="1" x14ac:dyDescent="0.25"/>
    <row r="200556" customFormat="1" x14ac:dyDescent="0.25"/>
    <row r="200557" customFormat="1" x14ac:dyDescent="0.25"/>
    <row r="200558" customFormat="1" x14ac:dyDescent="0.25"/>
    <row r="200559" customFormat="1" x14ac:dyDescent="0.25"/>
    <row r="200560" customFormat="1" x14ac:dyDescent="0.25"/>
    <row r="200561" customFormat="1" x14ac:dyDescent="0.25"/>
    <row r="200562" customFormat="1" x14ac:dyDescent="0.25"/>
    <row r="200563" customFormat="1" x14ac:dyDescent="0.25"/>
    <row r="200564" customFormat="1" x14ac:dyDescent="0.25"/>
    <row r="200565" customFormat="1" x14ac:dyDescent="0.25"/>
    <row r="200566" customFormat="1" x14ac:dyDescent="0.25"/>
    <row r="200567" customFormat="1" x14ac:dyDescent="0.25"/>
    <row r="200568" customFormat="1" x14ac:dyDescent="0.25"/>
    <row r="200569" customFormat="1" x14ac:dyDescent="0.25"/>
    <row r="200570" customFormat="1" x14ac:dyDescent="0.25"/>
    <row r="200571" customFormat="1" x14ac:dyDescent="0.25"/>
    <row r="200572" customFormat="1" x14ac:dyDescent="0.25"/>
    <row r="200573" customFormat="1" x14ac:dyDescent="0.25"/>
    <row r="200574" customFormat="1" x14ac:dyDescent="0.25"/>
    <row r="200575" customFormat="1" x14ac:dyDescent="0.25"/>
    <row r="200576" customFormat="1" x14ac:dyDescent="0.25"/>
    <row r="200577" customFormat="1" x14ac:dyDescent="0.25"/>
    <row r="200578" customFormat="1" x14ac:dyDescent="0.25"/>
    <row r="200579" customFormat="1" x14ac:dyDescent="0.25"/>
    <row r="200580" customFormat="1" x14ac:dyDescent="0.25"/>
    <row r="200581" customFormat="1" x14ac:dyDescent="0.25"/>
    <row r="200582" customFormat="1" x14ac:dyDescent="0.25"/>
    <row r="200583" customFormat="1" x14ac:dyDescent="0.25"/>
    <row r="200584" customFormat="1" x14ac:dyDescent="0.25"/>
    <row r="200585" customFormat="1" x14ac:dyDescent="0.25"/>
    <row r="200586" customFormat="1" x14ac:dyDescent="0.25"/>
    <row r="200587" customFormat="1" x14ac:dyDescent="0.25"/>
    <row r="200588" customFormat="1" x14ac:dyDescent="0.25"/>
    <row r="200589" customFormat="1" x14ac:dyDescent="0.25"/>
    <row r="200590" customFormat="1" x14ac:dyDescent="0.25"/>
    <row r="200591" customFormat="1" x14ac:dyDescent="0.25"/>
    <row r="200592" customFormat="1" x14ac:dyDescent="0.25"/>
    <row r="200593" customFormat="1" x14ac:dyDescent="0.25"/>
    <row r="200594" customFormat="1" x14ac:dyDescent="0.25"/>
    <row r="200595" customFormat="1" x14ac:dyDescent="0.25"/>
    <row r="200596" customFormat="1" x14ac:dyDescent="0.25"/>
    <row r="200597" customFormat="1" x14ac:dyDescent="0.25"/>
    <row r="200598" customFormat="1" x14ac:dyDescent="0.25"/>
    <row r="200599" customFormat="1" x14ac:dyDescent="0.25"/>
    <row r="200600" customFormat="1" x14ac:dyDescent="0.25"/>
    <row r="200601" customFormat="1" x14ac:dyDescent="0.25"/>
    <row r="200602" customFormat="1" x14ac:dyDescent="0.25"/>
    <row r="200603" customFormat="1" x14ac:dyDescent="0.25"/>
    <row r="200604" customFormat="1" x14ac:dyDescent="0.25"/>
    <row r="200605" customFormat="1" x14ac:dyDescent="0.25"/>
    <row r="200606" customFormat="1" x14ac:dyDescent="0.25"/>
    <row r="200607" customFormat="1" x14ac:dyDescent="0.25"/>
    <row r="200608" customFormat="1" x14ac:dyDescent="0.25"/>
    <row r="200609" customFormat="1" x14ac:dyDescent="0.25"/>
    <row r="200610" customFormat="1" x14ac:dyDescent="0.25"/>
    <row r="200611" customFormat="1" x14ac:dyDescent="0.25"/>
    <row r="200612" customFormat="1" x14ac:dyDescent="0.25"/>
    <row r="200613" customFormat="1" x14ac:dyDescent="0.25"/>
    <row r="200614" customFormat="1" x14ac:dyDescent="0.25"/>
    <row r="200615" customFormat="1" x14ac:dyDescent="0.25"/>
    <row r="200616" customFormat="1" x14ac:dyDescent="0.25"/>
    <row r="200617" customFormat="1" x14ac:dyDescent="0.25"/>
    <row r="200618" customFormat="1" x14ac:dyDescent="0.25"/>
    <row r="200619" customFormat="1" x14ac:dyDescent="0.25"/>
    <row r="200620" customFormat="1" x14ac:dyDescent="0.25"/>
    <row r="200621" customFormat="1" x14ac:dyDescent="0.25"/>
    <row r="200622" customFormat="1" x14ac:dyDescent="0.25"/>
    <row r="200623" customFormat="1" x14ac:dyDescent="0.25"/>
    <row r="200624" customFormat="1" x14ac:dyDescent="0.25"/>
    <row r="200625" customFormat="1" x14ac:dyDescent="0.25"/>
    <row r="200626" customFormat="1" x14ac:dyDescent="0.25"/>
    <row r="200627" customFormat="1" x14ac:dyDescent="0.25"/>
    <row r="200628" customFormat="1" x14ac:dyDescent="0.25"/>
    <row r="200629" customFormat="1" x14ac:dyDescent="0.25"/>
    <row r="200630" customFormat="1" x14ac:dyDescent="0.25"/>
    <row r="200631" customFormat="1" x14ac:dyDescent="0.25"/>
    <row r="200632" customFormat="1" x14ac:dyDescent="0.25"/>
    <row r="200633" customFormat="1" x14ac:dyDescent="0.25"/>
    <row r="200634" customFormat="1" x14ac:dyDescent="0.25"/>
    <row r="200635" customFormat="1" x14ac:dyDescent="0.25"/>
    <row r="200636" customFormat="1" x14ac:dyDescent="0.25"/>
    <row r="200637" customFormat="1" x14ac:dyDescent="0.25"/>
    <row r="200638" customFormat="1" x14ac:dyDescent="0.25"/>
    <row r="200639" customFormat="1" x14ac:dyDescent="0.25"/>
    <row r="200640" customFormat="1" x14ac:dyDescent="0.25"/>
    <row r="200641" customFormat="1" x14ac:dyDescent="0.25"/>
    <row r="200642" customFormat="1" x14ac:dyDescent="0.25"/>
    <row r="200643" customFormat="1" x14ac:dyDescent="0.25"/>
    <row r="200644" customFormat="1" x14ac:dyDescent="0.25"/>
    <row r="200645" customFormat="1" x14ac:dyDescent="0.25"/>
    <row r="200646" customFormat="1" x14ac:dyDescent="0.25"/>
    <row r="200647" customFormat="1" x14ac:dyDescent="0.25"/>
    <row r="200648" customFormat="1" x14ac:dyDescent="0.25"/>
    <row r="200649" customFormat="1" x14ac:dyDescent="0.25"/>
    <row r="200650" customFormat="1" x14ac:dyDescent="0.25"/>
    <row r="200651" customFormat="1" x14ac:dyDescent="0.25"/>
    <row r="200652" customFormat="1" x14ac:dyDescent="0.25"/>
    <row r="200653" customFormat="1" x14ac:dyDescent="0.25"/>
    <row r="200654" customFormat="1" x14ac:dyDescent="0.25"/>
    <row r="200655" customFormat="1" x14ac:dyDescent="0.25"/>
    <row r="200656" customFormat="1" x14ac:dyDescent="0.25"/>
    <row r="200657" customFormat="1" x14ac:dyDescent="0.25"/>
    <row r="200658" customFormat="1" x14ac:dyDescent="0.25"/>
    <row r="200659" customFormat="1" x14ac:dyDescent="0.25"/>
    <row r="200660" customFormat="1" x14ac:dyDescent="0.25"/>
    <row r="200661" customFormat="1" x14ac:dyDescent="0.25"/>
    <row r="200662" customFormat="1" x14ac:dyDescent="0.25"/>
    <row r="200663" customFormat="1" x14ac:dyDescent="0.25"/>
    <row r="200664" customFormat="1" x14ac:dyDescent="0.25"/>
    <row r="200665" customFormat="1" x14ac:dyDescent="0.25"/>
    <row r="200666" customFormat="1" x14ac:dyDescent="0.25"/>
    <row r="200667" customFormat="1" x14ac:dyDescent="0.25"/>
    <row r="200668" customFormat="1" x14ac:dyDescent="0.25"/>
    <row r="200669" customFormat="1" x14ac:dyDescent="0.25"/>
    <row r="200670" customFormat="1" x14ac:dyDescent="0.25"/>
    <row r="200671" customFormat="1" x14ac:dyDescent="0.25"/>
    <row r="200672" customFormat="1" x14ac:dyDescent="0.25"/>
    <row r="200673" customFormat="1" x14ac:dyDescent="0.25"/>
    <row r="200674" customFormat="1" x14ac:dyDescent="0.25"/>
    <row r="200675" customFormat="1" x14ac:dyDescent="0.25"/>
    <row r="200676" customFormat="1" x14ac:dyDescent="0.25"/>
    <row r="200677" customFormat="1" x14ac:dyDescent="0.25"/>
    <row r="200678" customFormat="1" x14ac:dyDescent="0.25"/>
    <row r="200679" customFormat="1" x14ac:dyDescent="0.25"/>
    <row r="200680" customFormat="1" x14ac:dyDescent="0.25"/>
    <row r="200681" customFormat="1" x14ac:dyDescent="0.25"/>
    <row r="200682" customFormat="1" x14ac:dyDescent="0.25"/>
    <row r="200683" customFormat="1" x14ac:dyDescent="0.25"/>
    <row r="200684" customFormat="1" x14ac:dyDescent="0.25"/>
    <row r="200685" customFormat="1" x14ac:dyDescent="0.25"/>
    <row r="200686" customFormat="1" x14ac:dyDescent="0.25"/>
    <row r="200687" customFormat="1" x14ac:dyDescent="0.25"/>
    <row r="200688" customFormat="1" x14ac:dyDescent="0.25"/>
    <row r="200689" customFormat="1" x14ac:dyDescent="0.25"/>
    <row r="200690" customFormat="1" x14ac:dyDescent="0.25"/>
    <row r="200691" customFormat="1" x14ac:dyDescent="0.25"/>
    <row r="200692" customFormat="1" x14ac:dyDescent="0.25"/>
    <row r="200693" customFormat="1" x14ac:dyDescent="0.25"/>
    <row r="200694" customFormat="1" x14ac:dyDescent="0.25"/>
    <row r="200695" customFormat="1" x14ac:dyDescent="0.25"/>
    <row r="200696" customFormat="1" x14ac:dyDescent="0.25"/>
    <row r="200697" customFormat="1" x14ac:dyDescent="0.25"/>
    <row r="200698" customFormat="1" x14ac:dyDescent="0.25"/>
    <row r="200699" customFormat="1" x14ac:dyDescent="0.25"/>
    <row r="200700" customFormat="1" x14ac:dyDescent="0.25"/>
    <row r="200701" customFormat="1" x14ac:dyDescent="0.25"/>
    <row r="200702" customFormat="1" x14ac:dyDescent="0.25"/>
    <row r="200703" customFormat="1" x14ac:dyDescent="0.25"/>
    <row r="200704" customFormat="1" x14ac:dyDescent="0.25"/>
    <row r="200705" customFormat="1" x14ac:dyDescent="0.25"/>
    <row r="200706" customFormat="1" x14ac:dyDescent="0.25"/>
    <row r="200707" customFormat="1" x14ac:dyDescent="0.25"/>
    <row r="200708" customFormat="1" x14ac:dyDescent="0.25"/>
    <row r="200709" customFormat="1" x14ac:dyDescent="0.25"/>
    <row r="200710" customFormat="1" x14ac:dyDescent="0.25"/>
    <row r="200711" customFormat="1" x14ac:dyDescent="0.25"/>
    <row r="200712" customFormat="1" x14ac:dyDescent="0.25"/>
    <row r="200713" customFormat="1" x14ac:dyDescent="0.25"/>
    <row r="200714" customFormat="1" x14ac:dyDescent="0.25"/>
    <row r="200715" customFormat="1" x14ac:dyDescent="0.25"/>
    <row r="200716" customFormat="1" x14ac:dyDescent="0.25"/>
    <row r="200717" customFormat="1" x14ac:dyDescent="0.25"/>
    <row r="200718" customFormat="1" x14ac:dyDescent="0.25"/>
    <row r="200719" customFormat="1" x14ac:dyDescent="0.25"/>
    <row r="200720" customFormat="1" x14ac:dyDescent="0.25"/>
    <row r="200721" customFormat="1" x14ac:dyDescent="0.25"/>
    <row r="200722" customFormat="1" x14ac:dyDescent="0.25"/>
    <row r="200723" customFormat="1" x14ac:dyDescent="0.25"/>
    <row r="200724" customFormat="1" x14ac:dyDescent="0.25"/>
    <row r="200725" customFormat="1" x14ac:dyDescent="0.25"/>
    <row r="200726" customFormat="1" x14ac:dyDescent="0.25"/>
    <row r="200727" customFormat="1" x14ac:dyDescent="0.25"/>
    <row r="200728" customFormat="1" x14ac:dyDescent="0.25"/>
    <row r="200729" customFormat="1" x14ac:dyDescent="0.25"/>
    <row r="200730" customFormat="1" x14ac:dyDescent="0.25"/>
    <row r="200731" customFormat="1" x14ac:dyDescent="0.25"/>
    <row r="200732" customFormat="1" x14ac:dyDescent="0.25"/>
    <row r="200733" customFormat="1" x14ac:dyDescent="0.25"/>
    <row r="200734" customFormat="1" x14ac:dyDescent="0.25"/>
    <row r="200735" customFormat="1" x14ac:dyDescent="0.25"/>
    <row r="200736" customFormat="1" x14ac:dyDescent="0.25"/>
    <row r="200737" customFormat="1" x14ac:dyDescent="0.25"/>
    <row r="200738" customFormat="1" x14ac:dyDescent="0.25"/>
    <row r="200739" customFormat="1" x14ac:dyDescent="0.25"/>
    <row r="200740" customFormat="1" x14ac:dyDescent="0.25"/>
    <row r="200741" customFormat="1" x14ac:dyDescent="0.25"/>
    <row r="200742" customFormat="1" x14ac:dyDescent="0.25"/>
    <row r="200743" customFormat="1" x14ac:dyDescent="0.25"/>
    <row r="200744" customFormat="1" x14ac:dyDescent="0.25"/>
    <row r="200745" customFormat="1" x14ac:dyDescent="0.25"/>
    <row r="200746" customFormat="1" x14ac:dyDescent="0.25"/>
    <row r="200747" customFormat="1" x14ac:dyDescent="0.25"/>
    <row r="200748" customFormat="1" x14ac:dyDescent="0.25"/>
    <row r="200749" customFormat="1" x14ac:dyDescent="0.25"/>
    <row r="200750" customFormat="1" x14ac:dyDescent="0.25"/>
    <row r="200751" customFormat="1" x14ac:dyDescent="0.25"/>
    <row r="200752" customFormat="1" x14ac:dyDescent="0.25"/>
    <row r="200753" customFormat="1" x14ac:dyDescent="0.25"/>
    <row r="200754" customFormat="1" x14ac:dyDescent="0.25"/>
    <row r="200755" customFormat="1" x14ac:dyDescent="0.25"/>
    <row r="200756" customFormat="1" x14ac:dyDescent="0.25"/>
    <row r="200757" customFormat="1" x14ac:dyDescent="0.25"/>
    <row r="200758" customFormat="1" x14ac:dyDescent="0.25"/>
    <row r="200759" customFormat="1" x14ac:dyDescent="0.25"/>
    <row r="200760" customFormat="1" x14ac:dyDescent="0.25"/>
    <row r="200761" customFormat="1" x14ac:dyDescent="0.25"/>
    <row r="200762" customFormat="1" x14ac:dyDescent="0.25"/>
    <row r="200763" customFormat="1" x14ac:dyDescent="0.25"/>
    <row r="200764" customFormat="1" x14ac:dyDescent="0.25"/>
    <row r="200765" customFormat="1" x14ac:dyDescent="0.25"/>
    <row r="200766" customFormat="1" x14ac:dyDescent="0.25"/>
    <row r="200767" customFormat="1" x14ac:dyDescent="0.25"/>
    <row r="200768" customFormat="1" x14ac:dyDescent="0.25"/>
    <row r="200769" customFormat="1" x14ac:dyDescent="0.25"/>
    <row r="200770" customFormat="1" x14ac:dyDescent="0.25"/>
    <row r="200771" customFormat="1" x14ac:dyDescent="0.25"/>
    <row r="200772" customFormat="1" x14ac:dyDescent="0.25"/>
    <row r="200773" customFormat="1" x14ac:dyDescent="0.25"/>
    <row r="200774" customFormat="1" x14ac:dyDescent="0.25"/>
    <row r="200775" customFormat="1" x14ac:dyDescent="0.25"/>
    <row r="200776" customFormat="1" x14ac:dyDescent="0.25"/>
    <row r="200777" customFormat="1" x14ac:dyDescent="0.25"/>
    <row r="200778" customFormat="1" x14ac:dyDescent="0.25"/>
    <row r="200779" customFormat="1" x14ac:dyDescent="0.25"/>
    <row r="200780" customFormat="1" x14ac:dyDescent="0.25"/>
    <row r="200781" customFormat="1" x14ac:dyDescent="0.25"/>
    <row r="200782" customFormat="1" x14ac:dyDescent="0.25"/>
    <row r="200783" customFormat="1" x14ac:dyDescent="0.25"/>
    <row r="200784" customFormat="1" x14ac:dyDescent="0.25"/>
    <row r="200785" customFormat="1" x14ac:dyDescent="0.25"/>
    <row r="200786" customFormat="1" x14ac:dyDescent="0.25"/>
    <row r="200787" customFormat="1" x14ac:dyDescent="0.25"/>
    <row r="200788" customFormat="1" x14ac:dyDescent="0.25"/>
    <row r="200789" customFormat="1" x14ac:dyDescent="0.25"/>
    <row r="200790" customFormat="1" x14ac:dyDescent="0.25"/>
    <row r="200791" customFormat="1" x14ac:dyDescent="0.25"/>
    <row r="200792" customFormat="1" x14ac:dyDescent="0.25"/>
    <row r="200793" customFormat="1" x14ac:dyDescent="0.25"/>
    <row r="200794" customFormat="1" x14ac:dyDescent="0.25"/>
    <row r="200795" customFormat="1" x14ac:dyDescent="0.25"/>
    <row r="200796" customFormat="1" x14ac:dyDescent="0.25"/>
    <row r="200797" customFormat="1" x14ac:dyDescent="0.25"/>
    <row r="200798" customFormat="1" x14ac:dyDescent="0.25"/>
    <row r="200799" customFormat="1" x14ac:dyDescent="0.25"/>
    <row r="200800" customFormat="1" x14ac:dyDescent="0.25"/>
    <row r="200801" customFormat="1" x14ac:dyDescent="0.25"/>
    <row r="200802" customFormat="1" x14ac:dyDescent="0.25"/>
    <row r="200803" customFormat="1" x14ac:dyDescent="0.25"/>
    <row r="200804" customFormat="1" x14ac:dyDescent="0.25"/>
    <row r="200805" customFormat="1" x14ac:dyDescent="0.25"/>
    <row r="200806" customFormat="1" x14ac:dyDescent="0.25"/>
    <row r="200807" customFormat="1" x14ac:dyDescent="0.25"/>
    <row r="200808" customFormat="1" x14ac:dyDescent="0.25"/>
    <row r="200809" customFormat="1" x14ac:dyDescent="0.25"/>
    <row r="200810" customFormat="1" x14ac:dyDescent="0.25"/>
    <row r="200811" customFormat="1" x14ac:dyDescent="0.25"/>
    <row r="200812" customFormat="1" x14ac:dyDescent="0.25"/>
    <row r="200813" customFormat="1" x14ac:dyDescent="0.25"/>
    <row r="200814" customFormat="1" x14ac:dyDescent="0.25"/>
    <row r="200815" customFormat="1" x14ac:dyDescent="0.25"/>
    <row r="200816" customFormat="1" x14ac:dyDescent="0.25"/>
    <row r="200817" customFormat="1" x14ac:dyDescent="0.25"/>
    <row r="200818" customFormat="1" x14ac:dyDescent="0.25"/>
    <row r="200819" customFormat="1" x14ac:dyDescent="0.25"/>
    <row r="200820" customFormat="1" x14ac:dyDescent="0.25"/>
    <row r="200821" customFormat="1" x14ac:dyDescent="0.25"/>
    <row r="200822" customFormat="1" x14ac:dyDescent="0.25"/>
    <row r="200823" customFormat="1" x14ac:dyDescent="0.25"/>
    <row r="200824" customFormat="1" x14ac:dyDescent="0.25"/>
    <row r="200825" customFormat="1" x14ac:dyDescent="0.25"/>
    <row r="200826" customFormat="1" x14ac:dyDescent="0.25"/>
    <row r="200827" customFormat="1" x14ac:dyDescent="0.25"/>
    <row r="200828" customFormat="1" x14ac:dyDescent="0.25"/>
    <row r="200829" customFormat="1" x14ac:dyDescent="0.25"/>
    <row r="200830" customFormat="1" x14ac:dyDescent="0.25"/>
    <row r="200831" customFormat="1" x14ac:dyDescent="0.25"/>
    <row r="200832" customFormat="1" x14ac:dyDescent="0.25"/>
    <row r="200833" customFormat="1" x14ac:dyDescent="0.25"/>
    <row r="200834" customFormat="1" x14ac:dyDescent="0.25"/>
    <row r="200835" customFormat="1" x14ac:dyDescent="0.25"/>
    <row r="200836" customFormat="1" x14ac:dyDescent="0.25"/>
    <row r="200837" customFormat="1" x14ac:dyDescent="0.25"/>
    <row r="200838" customFormat="1" x14ac:dyDescent="0.25"/>
    <row r="200839" customFormat="1" x14ac:dyDescent="0.25"/>
    <row r="200840" customFormat="1" x14ac:dyDescent="0.25"/>
    <row r="200841" customFormat="1" x14ac:dyDescent="0.25"/>
    <row r="200842" customFormat="1" x14ac:dyDescent="0.25"/>
    <row r="200843" customFormat="1" x14ac:dyDescent="0.25"/>
    <row r="200844" customFormat="1" x14ac:dyDescent="0.25"/>
    <row r="200845" customFormat="1" x14ac:dyDescent="0.25"/>
    <row r="200846" customFormat="1" x14ac:dyDescent="0.25"/>
    <row r="200847" customFormat="1" x14ac:dyDescent="0.25"/>
    <row r="200848" customFormat="1" x14ac:dyDescent="0.25"/>
    <row r="200849" customFormat="1" x14ac:dyDescent="0.25"/>
    <row r="200850" customFormat="1" x14ac:dyDescent="0.25"/>
    <row r="200851" customFormat="1" x14ac:dyDescent="0.25"/>
    <row r="200852" customFormat="1" x14ac:dyDescent="0.25"/>
    <row r="200853" customFormat="1" x14ac:dyDescent="0.25"/>
    <row r="200854" customFormat="1" x14ac:dyDescent="0.25"/>
    <row r="200855" customFormat="1" x14ac:dyDescent="0.25"/>
    <row r="200856" customFormat="1" x14ac:dyDescent="0.25"/>
    <row r="200857" customFormat="1" x14ac:dyDescent="0.25"/>
    <row r="200858" customFormat="1" x14ac:dyDescent="0.25"/>
    <row r="200859" customFormat="1" x14ac:dyDescent="0.25"/>
    <row r="200860" customFormat="1" x14ac:dyDescent="0.25"/>
    <row r="200861" customFormat="1" x14ac:dyDescent="0.25"/>
    <row r="200862" customFormat="1" x14ac:dyDescent="0.25"/>
    <row r="200863" customFormat="1" x14ac:dyDescent="0.25"/>
    <row r="200864" customFormat="1" x14ac:dyDescent="0.25"/>
    <row r="200865" customFormat="1" x14ac:dyDescent="0.25"/>
    <row r="200866" customFormat="1" x14ac:dyDescent="0.25"/>
    <row r="200867" customFormat="1" x14ac:dyDescent="0.25"/>
    <row r="200868" customFormat="1" x14ac:dyDescent="0.25"/>
    <row r="200869" customFormat="1" x14ac:dyDescent="0.25"/>
    <row r="200870" customFormat="1" x14ac:dyDescent="0.25"/>
    <row r="200871" customFormat="1" x14ac:dyDescent="0.25"/>
    <row r="200872" customFormat="1" x14ac:dyDescent="0.25"/>
    <row r="200873" customFormat="1" x14ac:dyDescent="0.25"/>
    <row r="200874" customFormat="1" x14ac:dyDescent="0.25"/>
    <row r="200875" customFormat="1" x14ac:dyDescent="0.25"/>
    <row r="200876" customFormat="1" x14ac:dyDescent="0.25"/>
    <row r="200877" customFormat="1" x14ac:dyDescent="0.25"/>
    <row r="200878" customFormat="1" x14ac:dyDescent="0.25"/>
    <row r="200879" customFormat="1" x14ac:dyDescent="0.25"/>
    <row r="200880" customFormat="1" x14ac:dyDescent="0.25"/>
    <row r="200881" customFormat="1" x14ac:dyDescent="0.25"/>
    <row r="200882" customFormat="1" x14ac:dyDescent="0.25"/>
    <row r="200883" customFormat="1" x14ac:dyDescent="0.25"/>
    <row r="200884" customFormat="1" x14ac:dyDescent="0.25"/>
    <row r="200885" customFormat="1" x14ac:dyDescent="0.25"/>
    <row r="200886" customFormat="1" x14ac:dyDescent="0.25"/>
    <row r="200887" customFormat="1" x14ac:dyDescent="0.25"/>
    <row r="200888" customFormat="1" x14ac:dyDescent="0.25"/>
    <row r="200889" customFormat="1" x14ac:dyDescent="0.25"/>
    <row r="200890" customFormat="1" x14ac:dyDescent="0.25"/>
    <row r="200891" customFormat="1" x14ac:dyDescent="0.25"/>
    <row r="200892" customFormat="1" x14ac:dyDescent="0.25"/>
    <row r="200893" customFormat="1" x14ac:dyDescent="0.25"/>
    <row r="200894" customFormat="1" x14ac:dyDescent="0.25"/>
    <row r="200895" customFormat="1" x14ac:dyDescent="0.25"/>
    <row r="200896" customFormat="1" x14ac:dyDescent="0.25"/>
    <row r="200897" customFormat="1" x14ac:dyDescent="0.25"/>
    <row r="200898" customFormat="1" x14ac:dyDescent="0.25"/>
    <row r="200899" customFormat="1" x14ac:dyDescent="0.25"/>
    <row r="200900" customFormat="1" x14ac:dyDescent="0.25"/>
    <row r="200901" customFormat="1" x14ac:dyDescent="0.25"/>
    <row r="200902" customFormat="1" x14ac:dyDescent="0.25"/>
    <row r="200903" customFormat="1" x14ac:dyDescent="0.25"/>
    <row r="200904" customFormat="1" x14ac:dyDescent="0.25"/>
    <row r="200905" customFormat="1" x14ac:dyDescent="0.25"/>
    <row r="200906" customFormat="1" x14ac:dyDescent="0.25"/>
    <row r="200907" customFormat="1" x14ac:dyDescent="0.25"/>
    <row r="200908" customFormat="1" x14ac:dyDescent="0.25"/>
    <row r="200909" customFormat="1" x14ac:dyDescent="0.25"/>
    <row r="200910" customFormat="1" x14ac:dyDescent="0.25"/>
    <row r="200911" customFormat="1" x14ac:dyDescent="0.25"/>
    <row r="200912" customFormat="1" x14ac:dyDescent="0.25"/>
    <row r="200913" customFormat="1" x14ac:dyDescent="0.25"/>
    <row r="200914" customFormat="1" x14ac:dyDescent="0.25"/>
    <row r="200915" customFormat="1" x14ac:dyDescent="0.25"/>
    <row r="200916" customFormat="1" x14ac:dyDescent="0.25"/>
    <row r="200917" customFormat="1" x14ac:dyDescent="0.25"/>
    <row r="200918" customFormat="1" x14ac:dyDescent="0.25"/>
    <row r="200919" customFormat="1" x14ac:dyDescent="0.25"/>
    <row r="200920" customFormat="1" x14ac:dyDescent="0.25"/>
    <row r="200921" customFormat="1" x14ac:dyDescent="0.25"/>
    <row r="200922" customFormat="1" x14ac:dyDescent="0.25"/>
    <row r="200923" customFormat="1" x14ac:dyDescent="0.25"/>
    <row r="200924" customFormat="1" x14ac:dyDescent="0.25"/>
    <row r="200925" customFormat="1" x14ac:dyDescent="0.25"/>
    <row r="200926" customFormat="1" x14ac:dyDescent="0.25"/>
    <row r="200927" customFormat="1" x14ac:dyDescent="0.25"/>
    <row r="200928" customFormat="1" x14ac:dyDescent="0.25"/>
    <row r="200929" customFormat="1" x14ac:dyDescent="0.25"/>
    <row r="200930" customFormat="1" x14ac:dyDescent="0.25"/>
    <row r="200931" customFormat="1" x14ac:dyDescent="0.25"/>
    <row r="200932" customFormat="1" x14ac:dyDescent="0.25"/>
    <row r="200933" customFormat="1" x14ac:dyDescent="0.25"/>
    <row r="200934" customFormat="1" x14ac:dyDescent="0.25"/>
    <row r="200935" customFormat="1" x14ac:dyDescent="0.25"/>
    <row r="200936" customFormat="1" x14ac:dyDescent="0.25"/>
    <row r="200937" customFormat="1" x14ac:dyDescent="0.25"/>
    <row r="200938" customFormat="1" x14ac:dyDescent="0.25"/>
    <row r="200939" customFormat="1" x14ac:dyDescent="0.25"/>
    <row r="200940" customFormat="1" x14ac:dyDescent="0.25"/>
    <row r="200941" customFormat="1" x14ac:dyDescent="0.25"/>
    <row r="200942" customFormat="1" x14ac:dyDescent="0.25"/>
    <row r="200943" customFormat="1" x14ac:dyDescent="0.25"/>
    <row r="200944" customFormat="1" x14ac:dyDescent="0.25"/>
    <row r="200945" customFormat="1" x14ac:dyDescent="0.25"/>
    <row r="200946" customFormat="1" x14ac:dyDescent="0.25"/>
    <row r="200947" customFormat="1" x14ac:dyDescent="0.25"/>
    <row r="200948" customFormat="1" x14ac:dyDescent="0.25"/>
    <row r="200949" customFormat="1" x14ac:dyDescent="0.25"/>
    <row r="200950" customFormat="1" x14ac:dyDescent="0.25"/>
    <row r="200951" customFormat="1" x14ac:dyDescent="0.25"/>
    <row r="200952" customFormat="1" x14ac:dyDescent="0.25"/>
    <row r="200953" customFormat="1" x14ac:dyDescent="0.25"/>
    <row r="200954" customFormat="1" x14ac:dyDescent="0.25"/>
    <row r="200955" customFormat="1" x14ac:dyDescent="0.25"/>
    <row r="200956" customFormat="1" x14ac:dyDescent="0.25"/>
    <row r="200957" customFormat="1" x14ac:dyDescent="0.25"/>
    <row r="200958" customFormat="1" x14ac:dyDescent="0.25"/>
    <row r="200959" customFormat="1" x14ac:dyDescent="0.25"/>
    <row r="200960" customFormat="1" x14ac:dyDescent="0.25"/>
    <row r="200961" customFormat="1" x14ac:dyDescent="0.25"/>
    <row r="200962" customFormat="1" x14ac:dyDescent="0.25"/>
    <row r="200963" customFormat="1" x14ac:dyDescent="0.25"/>
    <row r="200964" customFormat="1" x14ac:dyDescent="0.25"/>
    <row r="200965" customFormat="1" x14ac:dyDescent="0.25"/>
    <row r="200966" customFormat="1" x14ac:dyDescent="0.25"/>
    <row r="200967" customFormat="1" x14ac:dyDescent="0.25"/>
    <row r="200968" customFormat="1" x14ac:dyDescent="0.25"/>
    <row r="200969" customFormat="1" x14ac:dyDescent="0.25"/>
    <row r="200970" customFormat="1" x14ac:dyDescent="0.25"/>
    <row r="200971" customFormat="1" x14ac:dyDescent="0.25"/>
    <row r="200972" customFormat="1" x14ac:dyDescent="0.25"/>
    <row r="200973" customFormat="1" x14ac:dyDescent="0.25"/>
    <row r="200974" customFormat="1" x14ac:dyDescent="0.25"/>
    <row r="200975" customFormat="1" x14ac:dyDescent="0.25"/>
    <row r="200976" customFormat="1" x14ac:dyDescent="0.25"/>
    <row r="200977" customFormat="1" x14ac:dyDescent="0.25"/>
    <row r="200978" customFormat="1" x14ac:dyDescent="0.25"/>
    <row r="200979" customFormat="1" x14ac:dyDescent="0.25"/>
    <row r="200980" customFormat="1" x14ac:dyDescent="0.25"/>
    <row r="200981" customFormat="1" x14ac:dyDescent="0.25"/>
    <row r="200982" customFormat="1" x14ac:dyDescent="0.25"/>
    <row r="200983" customFormat="1" x14ac:dyDescent="0.25"/>
    <row r="200984" customFormat="1" x14ac:dyDescent="0.25"/>
    <row r="200985" customFormat="1" x14ac:dyDescent="0.25"/>
    <row r="200986" customFormat="1" x14ac:dyDescent="0.25"/>
    <row r="200987" customFormat="1" x14ac:dyDescent="0.25"/>
    <row r="200988" customFormat="1" x14ac:dyDescent="0.25"/>
    <row r="200989" customFormat="1" x14ac:dyDescent="0.25"/>
    <row r="200990" customFormat="1" x14ac:dyDescent="0.25"/>
    <row r="200991" customFormat="1" x14ac:dyDescent="0.25"/>
    <row r="200992" customFormat="1" x14ac:dyDescent="0.25"/>
    <row r="200993" customFormat="1" x14ac:dyDescent="0.25"/>
    <row r="200994" customFormat="1" x14ac:dyDescent="0.25"/>
    <row r="200995" customFormat="1" x14ac:dyDescent="0.25"/>
    <row r="200996" customFormat="1" x14ac:dyDescent="0.25"/>
    <row r="200997" customFormat="1" x14ac:dyDescent="0.25"/>
    <row r="200998" customFormat="1" x14ac:dyDescent="0.25"/>
    <row r="200999" customFormat="1" x14ac:dyDescent="0.25"/>
    <row r="201000" customFormat="1" x14ac:dyDescent="0.25"/>
    <row r="201001" customFormat="1" x14ac:dyDescent="0.25"/>
    <row r="201002" customFormat="1" x14ac:dyDescent="0.25"/>
    <row r="201003" customFormat="1" x14ac:dyDescent="0.25"/>
    <row r="201004" customFormat="1" x14ac:dyDescent="0.25"/>
    <row r="201005" customFormat="1" x14ac:dyDescent="0.25"/>
    <row r="201006" customFormat="1" x14ac:dyDescent="0.25"/>
    <row r="201007" customFormat="1" x14ac:dyDescent="0.25"/>
    <row r="201008" customFormat="1" x14ac:dyDescent="0.25"/>
    <row r="201009" customFormat="1" x14ac:dyDescent="0.25"/>
    <row r="201010" customFormat="1" x14ac:dyDescent="0.25"/>
    <row r="201011" customFormat="1" x14ac:dyDescent="0.25"/>
    <row r="201012" customFormat="1" x14ac:dyDescent="0.25"/>
    <row r="201013" customFormat="1" x14ac:dyDescent="0.25"/>
    <row r="201014" customFormat="1" x14ac:dyDescent="0.25"/>
    <row r="201015" customFormat="1" x14ac:dyDescent="0.25"/>
    <row r="201016" customFormat="1" x14ac:dyDescent="0.25"/>
    <row r="201017" customFormat="1" x14ac:dyDescent="0.25"/>
    <row r="201018" customFormat="1" x14ac:dyDescent="0.25"/>
    <row r="201019" customFormat="1" x14ac:dyDescent="0.25"/>
    <row r="201020" customFormat="1" x14ac:dyDescent="0.25"/>
    <row r="201021" customFormat="1" x14ac:dyDescent="0.25"/>
    <row r="201022" customFormat="1" x14ac:dyDescent="0.25"/>
    <row r="201023" customFormat="1" x14ac:dyDescent="0.25"/>
    <row r="201024" customFormat="1" x14ac:dyDescent="0.25"/>
    <row r="201025" customFormat="1" x14ac:dyDescent="0.25"/>
    <row r="201026" customFormat="1" x14ac:dyDescent="0.25"/>
    <row r="201027" customFormat="1" x14ac:dyDescent="0.25"/>
    <row r="201028" customFormat="1" x14ac:dyDescent="0.25"/>
    <row r="201029" customFormat="1" x14ac:dyDescent="0.25"/>
    <row r="201030" customFormat="1" x14ac:dyDescent="0.25"/>
    <row r="201031" customFormat="1" x14ac:dyDescent="0.25"/>
    <row r="201032" customFormat="1" x14ac:dyDescent="0.25"/>
    <row r="201033" customFormat="1" x14ac:dyDescent="0.25"/>
    <row r="201034" customFormat="1" x14ac:dyDescent="0.25"/>
    <row r="201035" customFormat="1" x14ac:dyDescent="0.25"/>
    <row r="201036" customFormat="1" x14ac:dyDescent="0.25"/>
    <row r="201037" customFormat="1" x14ac:dyDescent="0.25"/>
    <row r="201038" customFormat="1" x14ac:dyDescent="0.25"/>
    <row r="201039" customFormat="1" x14ac:dyDescent="0.25"/>
    <row r="201040" customFormat="1" x14ac:dyDescent="0.25"/>
    <row r="201041" customFormat="1" x14ac:dyDescent="0.25"/>
    <row r="201042" customFormat="1" x14ac:dyDescent="0.25"/>
    <row r="201043" customFormat="1" x14ac:dyDescent="0.25"/>
    <row r="201044" customFormat="1" x14ac:dyDescent="0.25"/>
    <row r="201045" customFormat="1" x14ac:dyDescent="0.25"/>
    <row r="201046" customFormat="1" x14ac:dyDescent="0.25"/>
    <row r="201047" customFormat="1" x14ac:dyDescent="0.25"/>
    <row r="201048" customFormat="1" x14ac:dyDescent="0.25"/>
    <row r="201049" customFormat="1" x14ac:dyDescent="0.25"/>
    <row r="201050" customFormat="1" x14ac:dyDescent="0.25"/>
    <row r="201051" customFormat="1" x14ac:dyDescent="0.25"/>
    <row r="201052" customFormat="1" x14ac:dyDescent="0.25"/>
    <row r="201053" customFormat="1" x14ac:dyDescent="0.25"/>
    <row r="201054" customFormat="1" x14ac:dyDescent="0.25"/>
    <row r="201055" customFormat="1" x14ac:dyDescent="0.25"/>
    <row r="201056" customFormat="1" x14ac:dyDescent="0.25"/>
    <row r="201057" customFormat="1" x14ac:dyDescent="0.25"/>
    <row r="201058" customFormat="1" x14ac:dyDescent="0.25"/>
    <row r="201059" customFormat="1" x14ac:dyDescent="0.25"/>
    <row r="201060" customFormat="1" x14ac:dyDescent="0.25"/>
    <row r="201061" customFormat="1" x14ac:dyDescent="0.25"/>
    <row r="201062" customFormat="1" x14ac:dyDescent="0.25"/>
    <row r="201063" customFormat="1" x14ac:dyDescent="0.25"/>
    <row r="201064" customFormat="1" x14ac:dyDescent="0.25"/>
    <row r="201065" customFormat="1" x14ac:dyDescent="0.25"/>
    <row r="201066" customFormat="1" x14ac:dyDescent="0.25"/>
    <row r="201067" customFormat="1" x14ac:dyDescent="0.25"/>
    <row r="201068" customFormat="1" x14ac:dyDescent="0.25"/>
    <row r="201069" customFormat="1" x14ac:dyDescent="0.25"/>
    <row r="201070" customFormat="1" x14ac:dyDescent="0.25"/>
    <row r="201071" customFormat="1" x14ac:dyDescent="0.25"/>
    <row r="201072" customFormat="1" x14ac:dyDescent="0.25"/>
    <row r="201073" customFormat="1" x14ac:dyDescent="0.25"/>
    <row r="201074" customFormat="1" x14ac:dyDescent="0.25"/>
    <row r="201075" customFormat="1" x14ac:dyDescent="0.25"/>
    <row r="201076" customFormat="1" x14ac:dyDescent="0.25"/>
    <row r="201077" customFormat="1" x14ac:dyDescent="0.25"/>
    <row r="201078" customFormat="1" x14ac:dyDescent="0.25"/>
    <row r="201079" customFormat="1" x14ac:dyDescent="0.25"/>
    <row r="201080" customFormat="1" x14ac:dyDescent="0.25"/>
    <row r="201081" customFormat="1" x14ac:dyDescent="0.25"/>
    <row r="201082" customFormat="1" x14ac:dyDescent="0.25"/>
    <row r="201083" customFormat="1" x14ac:dyDescent="0.25"/>
    <row r="201084" customFormat="1" x14ac:dyDescent="0.25"/>
    <row r="201085" customFormat="1" x14ac:dyDescent="0.25"/>
    <row r="201086" customFormat="1" x14ac:dyDescent="0.25"/>
    <row r="201087" customFormat="1" x14ac:dyDescent="0.25"/>
    <row r="201088" customFormat="1" x14ac:dyDescent="0.25"/>
    <row r="201089" customFormat="1" x14ac:dyDescent="0.25"/>
    <row r="201090" customFormat="1" x14ac:dyDescent="0.25"/>
    <row r="201091" customFormat="1" x14ac:dyDescent="0.25"/>
    <row r="201092" customFormat="1" x14ac:dyDescent="0.25"/>
    <row r="201093" customFormat="1" x14ac:dyDescent="0.25"/>
    <row r="201094" customFormat="1" x14ac:dyDescent="0.25"/>
    <row r="201095" customFormat="1" x14ac:dyDescent="0.25"/>
    <row r="201096" customFormat="1" x14ac:dyDescent="0.25"/>
    <row r="201097" customFormat="1" x14ac:dyDescent="0.25"/>
    <row r="201098" customFormat="1" x14ac:dyDescent="0.25"/>
    <row r="201099" customFormat="1" x14ac:dyDescent="0.25"/>
    <row r="201100" customFormat="1" x14ac:dyDescent="0.25"/>
    <row r="201101" customFormat="1" x14ac:dyDescent="0.25"/>
    <row r="201102" customFormat="1" x14ac:dyDescent="0.25"/>
    <row r="201103" customFormat="1" x14ac:dyDescent="0.25"/>
    <row r="201104" customFormat="1" x14ac:dyDescent="0.25"/>
    <row r="201105" customFormat="1" x14ac:dyDescent="0.25"/>
    <row r="201106" customFormat="1" x14ac:dyDescent="0.25"/>
    <row r="201107" customFormat="1" x14ac:dyDescent="0.25"/>
    <row r="201108" customFormat="1" x14ac:dyDescent="0.25"/>
    <row r="201109" customFormat="1" x14ac:dyDescent="0.25"/>
    <row r="201110" customFormat="1" x14ac:dyDescent="0.25"/>
    <row r="201111" customFormat="1" x14ac:dyDescent="0.25"/>
    <row r="201112" customFormat="1" x14ac:dyDescent="0.25"/>
    <row r="201113" customFormat="1" x14ac:dyDescent="0.25"/>
    <row r="201114" customFormat="1" x14ac:dyDescent="0.25"/>
    <row r="201115" customFormat="1" x14ac:dyDescent="0.25"/>
    <row r="201116" customFormat="1" x14ac:dyDescent="0.25"/>
    <row r="201117" customFormat="1" x14ac:dyDescent="0.25"/>
    <row r="201118" customFormat="1" x14ac:dyDescent="0.25"/>
    <row r="201119" customFormat="1" x14ac:dyDescent="0.25"/>
    <row r="201120" customFormat="1" x14ac:dyDescent="0.25"/>
    <row r="201121" customFormat="1" x14ac:dyDescent="0.25"/>
    <row r="201122" customFormat="1" x14ac:dyDescent="0.25"/>
    <row r="201123" customFormat="1" x14ac:dyDescent="0.25"/>
    <row r="201124" customFormat="1" x14ac:dyDescent="0.25"/>
    <row r="201125" customFormat="1" x14ac:dyDescent="0.25"/>
    <row r="201126" customFormat="1" x14ac:dyDescent="0.25"/>
    <row r="201127" customFormat="1" x14ac:dyDescent="0.25"/>
    <row r="201128" customFormat="1" x14ac:dyDescent="0.25"/>
    <row r="201129" customFormat="1" x14ac:dyDescent="0.25"/>
    <row r="201130" customFormat="1" x14ac:dyDescent="0.25"/>
    <row r="201131" customFormat="1" x14ac:dyDescent="0.25"/>
    <row r="201132" customFormat="1" x14ac:dyDescent="0.25"/>
    <row r="201133" customFormat="1" x14ac:dyDescent="0.25"/>
    <row r="201134" customFormat="1" x14ac:dyDescent="0.25"/>
    <row r="201135" customFormat="1" x14ac:dyDescent="0.25"/>
    <row r="201136" customFormat="1" x14ac:dyDescent="0.25"/>
    <row r="201137" customFormat="1" x14ac:dyDescent="0.25"/>
    <row r="201138" customFormat="1" x14ac:dyDescent="0.25"/>
    <row r="201139" customFormat="1" x14ac:dyDescent="0.25"/>
    <row r="201140" customFormat="1" x14ac:dyDescent="0.25"/>
    <row r="201141" customFormat="1" x14ac:dyDescent="0.25"/>
    <row r="201142" customFormat="1" x14ac:dyDescent="0.25"/>
    <row r="201143" customFormat="1" x14ac:dyDescent="0.25"/>
    <row r="201144" customFormat="1" x14ac:dyDescent="0.25"/>
    <row r="201145" customFormat="1" x14ac:dyDescent="0.25"/>
    <row r="201146" customFormat="1" x14ac:dyDescent="0.25"/>
    <row r="201147" customFormat="1" x14ac:dyDescent="0.25"/>
    <row r="201148" customFormat="1" x14ac:dyDescent="0.25"/>
    <row r="201149" customFormat="1" x14ac:dyDescent="0.25"/>
    <row r="201150" customFormat="1" x14ac:dyDescent="0.25"/>
    <row r="201151" customFormat="1" x14ac:dyDescent="0.25"/>
    <row r="201152" customFormat="1" x14ac:dyDescent="0.25"/>
    <row r="201153" customFormat="1" x14ac:dyDescent="0.25"/>
    <row r="201154" customFormat="1" x14ac:dyDescent="0.25"/>
    <row r="201155" customFormat="1" x14ac:dyDescent="0.25"/>
    <row r="201156" customFormat="1" x14ac:dyDescent="0.25"/>
    <row r="201157" customFormat="1" x14ac:dyDescent="0.25"/>
    <row r="201158" customFormat="1" x14ac:dyDescent="0.25"/>
    <row r="201159" customFormat="1" x14ac:dyDescent="0.25"/>
    <row r="201160" customFormat="1" x14ac:dyDescent="0.25"/>
    <row r="201161" customFormat="1" x14ac:dyDescent="0.25"/>
    <row r="201162" customFormat="1" x14ac:dyDescent="0.25"/>
    <row r="201163" customFormat="1" x14ac:dyDescent="0.25"/>
    <row r="201164" customFormat="1" x14ac:dyDescent="0.25"/>
    <row r="201165" customFormat="1" x14ac:dyDescent="0.25"/>
    <row r="201166" customFormat="1" x14ac:dyDescent="0.25"/>
    <row r="201167" customFormat="1" x14ac:dyDescent="0.25"/>
    <row r="201168" customFormat="1" x14ac:dyDescent="0.25"/>
    <row r="201169" customFormat="1" x14ac:dyDescent="0.25"/>
    <row r="201170" customFormat="1" x14ac:dyDescent="0.25"/>
    <row r="201171" customFormat="1" x14ac:dyDescent="0.25"/>
    <row r="201172" customFormat="1" x14ac:dyDescent="0.25"/>
    <row r="201173" customFormat="1" x14ac:dyDescent="0.25"/>
    <row r="201174" customFormat="1" x14ac:dyDescent="0.25"/>
    <row r="201175" customFormat="1" x14ac:dyDescent="0.25"/>
    <row r="201176" customFormat="1" x14ac:dyDescent="0.25"/>
    <row r="201177" customFormat="1" x14ac:dyDescent="0.25"/>
    <row r="201178" customFormat="1" x14ac:dyDescent="0.25"/>
    <row r="201179" customFormat="1" x14ac:dyDescent="0.25"/>
    <row r="201180" customFormat="1" x14ac:dyDescent="0.25"/>
    <row r="201181" customFormat="1" x14ac:dyDescent="0.25"/>
    <row r="201182" customFormat="1" x14ac:dyDescent="0.25"/>
    <row r="201183" customFormat="1" x14ac:dyDescent="0.25"/>
    <row r="201184" customFormat="1" x14ac:dyDescent="0.25"/>
    <row r="201185" customFormat="1" x14ac:dyDescent="0.25"/>
    <row r="201186" customFormat="1" x14ac:dyDescent="0.25"/>
    <row r="201187" customFormat="1" x14ac:dyDescent="0.25"/>
    <row r="201188" customFormat="1" x14ac:dyDescent="0.25"/>
    <row r="201189" customFormat="1" x14ac:dyDescent="0.25"/>
    <row r="201190" customFormat="1" x14ac:dyDescent="0.25"/>
    <row r="201191" customFormat="1" x14ac:dyDescent="0.25"/>
    <row r="201192" customFormat="1" x14ac:dyDescent="0.25"/>
    <row r="201193" customFormat="1" x14ac:dyDescent="0.25"/>
    <row r="201194" customFormat="1" x14ac:dyDescent="0.25"/>
    <row r="201195" customFormat="1" x14ac:dyDescent="0.25"/>
    <row r="201196" customFormat="1" x14ac:dyDescent="0.25"/>
    <row r="201197" customFormat="1" x14ac:dyDescent="0.25"/>
    <row r="201198" customFormat="1" x14ac:dyDescent="0.25"/>
    <row r="201199" customFormat="1" x14ac:dyDescent="0.25"/>
    <row r="201200" customFormat="1" x14ac:dyDescent="0.25"/>
    <row r="201201" customFormat="1" x14ac:dyDescent="0.25"/>
    <row r="201202" customFormat="1" x14ac:dyDescent="0.25"/>
    <row r="201203" customFormat="1" x14ac:dyDescent="0.25"/>
    <row r="201204" customFormat="1" x14ac:dyDescent="0.25"/>
    <row r="201205" customFormat="1" x14ac:dyDescent="0.25"/>
    <row r="201206" customFormat="1" x14ac:dyDescent="0.25"/>
    <row r="201207" customFormat="1" x14ac:dyDescent="0.25"/>
    <row r="201208" customFormat="1" x14ac:dyDescent="0.25"/>
    <row r="201209" customFormat="1" x14ac:dyDescent="0.25"/>
    <row r="201210" customFormat="1" x14ac:dyDescent="0.25"/>
    <row r="201211" customFormat="1" x14ac:dyDescent="0.25"/>
    <row r="201212" customFormat="1" x14ac:dyDescent="0.25"/>
    <row r="201213" customFormat="1" x14ac:dyDescent="0.25"/>
    <row r="201214" customFormat="1" x14ac:dyDescent="0.25"/>
    <row r="201215" customFormat="1" x14ac:dyDescent="0.25"/>
    <row r="201216" customFormat="1" x14ac:dyDescent="0.25"/>
    <row r="201217" customFormat="1" x14ac:dyDescent="0.25"/>
    <row r="201218" customFormat="1" x14ac:dyDescent="0.25"/>
    <row r="201219" customFormat="1" x14ac:dyDescent="0.25"/>
    <row r="201220" customFormat="1" x14ac:dyDescent="0.25"/>
    <row r="201221" customFormat="1" x14ac:dyDescent="0.25"/>
    <row r="201222" customFormat="1" x14ac:dyDescent="0.25"/>
    <row r="201223" customFormat="1" x14ac:dyDescent="0.25"/>
    <row r="201224" customFormat="1" x14ac:dyDescent="0.25"/>
    <row r="201225" customFormat="1" x14ac:dyDescent="0.25"/>
    <row r="201226" customFormat="1" x14ac:dyDescent="0.25"/>
    <row r="201227" customFormat="1" x14ac:dyDescent="0.25"/>
    <row r="201228" customFormat="1" x14ac:dyDescent="0.25"/>
    <row r="201229" customFormat="1" x14ac:dyDescent="0.25"/>
    <row r="201230" customFormat="1" x14ac:dyDescent="0.25"/>
    <row r="201231" customFormat="1" x14ac:dyDescent="0.25"/>
    <row r="201232" customFormat="1" x14ac:dyDescent="0.25"/>
    <row r="201233" customFormat="1" x14ac:dyDescent="0.25"/>
    <row r="201234" customFormat="1" x14ac:dyDescent="0.25"/>
    <row r="201235" customFormat="1" x14ac:dyDescent="0.25"/>
    <row r="201236" customFormat="1" x14ac:dyDescent="0.25"/>
    <row r="201237" customFormat="1" x14ac:dyDescent="0.25"/>
    <row r="201238" customFormat="1" x14ac:dyDescent="0.25"/>
    <row r="201239" customFormat="1" x14ac:dyDescent="0.25"/>
    <row r="201240" customFormat="1" x14ac:dyDescent="0.25"/>
    <row r="201241" customFormat="1" x14ac:dyDescent="0.25"/>
    <row r="201242" customFormat="1" x14ac:dyDescent="0.25"/>
    <row r="201243" customFormat="1" x14ac:dyDescent="0.25"/>
    <row r="201244" customFormat="1" x14ac:dyDescent="0.25"/>
    <row r="201245" customFormat="1" x14ac:dyDescent="0.25"/>
    <row r="201246" customFormat="1" x14ac:dyDescent="0.25"/>
    <row r="201247" customFormat="1" x14ac:dyDescent="0.25"/>
    <row r="201248" customFormat="1" x14ac:dyDescent="0.25"/>
    <row r="201249" customFormat="1" x14ac:dyDescent="0.25"/>
    <row r="201250" customFormat="1" x14ac:dyDescent="0.25"/>
    <row r="201251" customFormat="1" x14ac:dyDescent="0.25"/>
    <row r="201252" customFormat="1" x14ac:dyDescent="0.25"/>
    <row r="201253" customFormat="1" x14ac:dyDescent="0.25"/>
    <row r="201254" customFormat="1" x14ac:dyDescent="0.25"/>
    <row r="201255" customFormat="1" x14ac:dyDescent="0.25"/>
    <row r="201256" customFormat="1" x14ac:dyDescent="0.25"/>
    <row r="201257" customFormat="1" x14ac:dyDescent="0.25"/>
    <row r="201258" customFormat="1" x14ac:dyDescent="0.25"/>
    <row r="201259" customFormat="1" x14ac:dyDescent="0.25"/>
    <row r="201260" customFormat="1" x14ac:dyDescent="0.25"/>
    <row r="201261" customFormat="1" x14ac:dyDescent="0.25"/>
    <row r="201262" customFormat="1" x14ac:dyDescent="0.25"/>
    <row r="201263" customFormat="1" x14ac:dyDescent="0.25"/>
    <row r="201264" customFormat="1" x14ac:dyDescent="0.25"/>
    <row r="201265" customFormat="1" x14ac:dyDescent="0.25"/>
    <row r="201266" customFormat="1" x14ac:dyDescent="0.25"/>
    <row r="201267" customFormat="1" x14ac:dyDescent="0.25"/>
    <row r="201268" customFormat="1" x14ac:dyDescent="0.25"/>
    <row r="201269" customFormat="1" x14ac:dyDescent="0.25"/>
    <row r="201270" customFormat="1" x14ac:dyDescent="0.25"/>
    <row r="201271" customFormat="1" x14ac:dyDescent="0.25"/>
    <row r="201272" customFormat="1" x14ac:dyDescent="0.25"/>
    <row r="201273" customFormat="1" x14ac:dyDescent="0.25"/>
    <row r="201274" customFormat="1" x14ac:dyDescent="0.25"/>
    <row r="201275" customFormat="1" x14ac:dyDescent="0.25"/>
    <row r="201276" customFormat="1" x14ac:dyDescent="0.25"/>
    <row r="201277" customFormat="1" x14ac:dyDescent="0.25"/>
    <row r="201278" customFormat="1" x14ac:dyDescent="0.25"/>
    <row r="201279" customFormat="1" x14ac:dyDescent="0.25"/>
    <row r="201280" customFormat="1" x14ac:dyDescent="0.25"/>
    <row r="201281" customFormat="1" x14ac:dyDescent="0.25"/>
    <row r="201282" customFormat="1" x14ac:dyDescent="0.25"/>
    <row r="201283" customFormat="1" x14ac:dyDescent="0.25"/>
    <row r="201284" customFormat="1" x14ac:dyDescent="0.25"/>
    <row r="201285" customFormat="1" x14ac:dyDescent="0.25"/>
    <row r="201286" customFormat="1" x14ac:dyDescent="0.25"/>
    <row r="201287" customFormat="1" x14ac:dyDescent="0.25"/>
    <row r="201288" customFormat="1" x14ac:dyDescent="0.25"/>
    <row r="201289" customFormat="1" x14ac:dyDescent="0.25"/>
    <row r="201290" customFormat="1" x14ac:dyDescent="0.25"/>
    <row r="201291" customFormat="1" x14ac:dyDescent="0.25"/>
    <row r="201292" customFormat="1" x14ac:dyDescent="0.25"/>
    <row r="201293" customFormat="1" x14ac:dyDescent="0.25"/>
    <row r="201294" customFormat="1" x14ac:dyDescent="0.25"/>
    <row r="201295" customFormat="1" x14ac:dyDescent="0.25"/>
    <row r="201296" customFormat="1" x14ac:dyDescent="0.25"/>
    <row r="201297" customFormat="1" x14ac:dyDescent="0.25"/>
    <row r="201298" customFormat="1" x14ac:dyDescent="0.25"/>
    <row r="201299" customFormat="1" x14ac:dyDescent="0.25"/>
    <row r="201300" customFormat="1" x14ac:dyDescent="0.25"/>
    <row r="201301" customFormat="1" x14ac:dyDescent="0.25"/>
    <row r="201302" customFormat="1" x14ac:dyDescent="0.25"/>
    <row r="201303" customFormat="1" x14ac:dyDescent="0.25"/>
    <row r="201304" customFormat="1" x14ac:dyDescent="0.25"/>
    <row r="201305" customFormat="1" x14ac:dyDescent="0.25"/>
    <row r="201306" customFormat="1" x14ac:dyDescent="0.25"/>
    <row r="201307" customFormat="1" x14ac:dyDescent="0.25"/>
    <row r="201308" customFormat="1" x14ac:dyDescent="0.25"/>
    <row r="201309" customFormat="1" x14ac:dyDescent="0.25"/>
    <row r="201310" customFormat="1" x14ac:dyDescent="0.25"/>
    <row r="201311" customFormat="1" x14ac:dyDescent="0.25"/>
    <row r="201312" customFormat="1" x14ac:dyDescent="0.25"/>
    <row r="201313" customFormat="1" x14ac:dyDescent="0.25"/>
    <row r="201314" customFormat="1" x14ac:dyDescent="0.25"/>
    <row r="201315" customFormat="1" x14ac:dyDescent="0.25"/>
    <row r="201316" customFormat="1" x14ac:dyDescent="0.25"/>
    <row r="201317" customFormat="1" x14ac:dyDescent="0.25"/>
    <row r="201318" customFormat="1" x14ac:dyDescent="0.25"/>
    <row r="201319" customFormat="1" x14ac:dyDescent="0.25"/>
    <row r="201320" customFormat="1" x14ac:dyDescent="0.25"/>
    <row r="201321" customFormat="1" x14ac:dyDescent="0.25"/>
    <row r="201322" customFormat="1" x14ac:dyDescent="0.25"/>
    <row r="201323" customFormat="1" x14ac:dyDescent="0.25"/>
    <row r="201324" customFormat="1" x14ac:dyDescent="0.25"/>
    <row r="201325" customFormat="1" x14ac:dyDescent="0.25"/>
    <row r="201326" customFormat="1" x14ac:dyDescent="0.25"/>
    <row r="201327" customFormat="1" x14ac:dyDescent="0.25"/>
    <row r="201328" customFormat="1" x14ac:dyDescent="0.25"/>
    <row r="201329" customFormat="1" x14ac:dyDescent="0.25"/>
    <row r="201330" customFormat="1" x14ac:dyDescent="0.25"/>
    <row r="201331" customFormat="1" x14ac:dyDescent="0.25"/>
    <row r="201332" customFormat="1" x14ac:dyDescent="0.25"/>
    <row r="201333" customFormat="1" x14ac:dyDescent="0.25"/>
    <row r="201334" customFormat="1" x14ac:dyDescent="0.25"/>
    <row r="201335" customFormat="1" x14ac:dyDescent="0.25"/>
    <row r="201336" customFormat="1" x14ac:dyDescent="0.25"/>
    <row r="201337" customFormat="1" x14ac:dyDescent="0.25"/>
    <row r="201338" customFormat="1" x14ac:dyDescent="0.25"/>
    <row r="201339" customFormat="1" x14ac:dyDescent="0.25"/>
    <row r="201340" customFormat="1" x14ac:dyDescent="0.25"/>
    <row r="201341" customFormat="1" x14ac:dyDescent="0.25"/>
    <row r="201342" customFormat="1" x14ac:dyDescent="0.25"/>
    <row r="201343" customFormat="1" x14ac:dyDescent="0.25"/>
    <row r="201344" customFormat="1" x14ac:dyDescent="0.25"/>
    <row r="201345" customFormat="1" x14ac:dyDescent="0.25"/>
    <row r="201346" customFormat="1" x14ac:dyDescent="0.25"/>
    <row r="201347" customFormat="1" x14ac:dyDescent="0.25"/>
    <row r="201348" customFormat="1" x14ac:dyDescent="0.25"/>
    <row r="201349" customFormat="1" x14ac:dyDescent="0.25"/>
    <row r="201350" customFormat="1" x14ac:dyDescent="0.25"/>
    <row r="201351" customFormat="1" x14ac:dyDescent="0.25"/>
    <row r="201352" customFormat="1" x14ac:dyDescent="0.25"/>
    <row r="201353" customFormat="1" x14ac:dyDescent="0.25"/>
    <row r="201354" customFormat="1" x14ac:dyDescent="0.25"/>
    <row r="201355" customFormat="1" x14ac:dyDescent="0.25"/>
    <row r="201356" customFormat="1" x14ac:dyDescent="0.25"/>
    <row r="201357" customFormat="1" x14ac:dyDescent="0.25"/>
    <row r="201358" customFormat="1" x14ac:dyDescent="0.25"/>
    <row r="201359" customFormat="1" x14ac:dyDescent="0.25"/>
    <row r="201360" customFormat="1" x14ac:dyDescent="0.25"/>
    <row r="201361" customFormat="1" x14ac:dyDescent="0.25"/>
    <row r="201362" customFormat="1" x14ac:dyDescent="0.25"/>
    <row r="201363" customFormat="1" x14ac:dyDescent="0.25"/>
    <row r="201364" customFormat="1" x14ac:dyDescent="0.25"/>
    <row r="201365" customFormat="1" x14ac:dyDescent="0.25"/>
    <row r="201366" customFormat="1" x14ac:dyDescent="0.25"/>
    <row r="201367" customFormat="1" x14ac:dyDescent="0.25"/>
    <row r="201368" customFormat="1" x14ac:dyDescent="0.25"/>
    <row r="201369" customFormat="1" x14ac:dyDescent="0.25"/>
    <row r="201370" customFormat="1" x14ac:dyDescent="0.25"/>
    <row r="201371" customFormat="1" x14ac:dyDescent="0.25"/>
    <row r="201372" customFormat="1" x14ac:dyDescent="0.25"/>
    <row r="201373" customFormat="1" x14ac:dyDescent="0.25"/>
    <row r="201374" customFormat="1" x14ac:dyDescent="0.25"/>
    <row r="201375" customFormat="1" x14ac:dyDescent="0.25"/>
    <row r="201376" customFormat="1" x14ac:dyDescent="0.25"/>
    <row r="201377" customFormat="1" x14ac:dyDescent="0.25"/>
    <row r="201378" customFormat="1" x14ac:dyDescent="0.25"/>
    <row r="201379" customFormat="1" x14ac:dyDescent="0.25"/>
    <row r="201380" customFormat="1" x14ac:dyDescent="0.25"/>
    <row r="201381" customFormat="1" x14ac:dyDescent="0.25"/>
    <row r="201382" customFormat="1" x14ac:dyDescent="0.25"/>
    <row r="201383" customFormat="1" x14ac:dyDescent="0.25"/>
    <row r="201384" customFormat="1" x14ac:dyDescent="0.25"/>
    <row r="201385" customFormat="1" x14ac:dyDescent="0.25"/>
    <row r="201386" customFormat="1" x14ac:dyDescent="0.25"/>
    <row r="201387" customFormat="1" x14ac:dyDescent="0.25"/>
    <row r="201388" customFormat="1" x14ac:dyDescent="0.25"/>
    <row r="201389" customFormat="1" x14ac:dyDescent="0.25"/>
    <row r="201390" customFormat="1" x14ac:dyDescent="0.25"/>
    <row r="201391" customFormat="1" x14ac:dyDescent="0.25"/>
    <row r="201392" customFormat="1" x14ac:dyDescent="0.25"/>
    <row r="201393" customFormat="1" x14ac:dyDescent="0.25"/>
    <row r="201394" customFormat="1" x14ac:dyDescent="0.25"/>
    <row r="201395" customFormat="1" x14ac:dyDescent="0.25"/>
    <row r="201396" customFormat="1" x14ac:dyDescent="0.25"/>
    <row r="201397" customFormat="1" x14ac:dyDescent="0.25"/>
    <row r="201398" customFormat="1" x14ac:dyDescent="0.25"/>
    <row r="201399" customFormat="1" x14ac:dyDescent="0.25"/>
    <row r="201400" customFormat="1" x14ac:dyDescent="0.25"/>
    <row r="201401" customFormat="1" x14ac:dyDescent="0.25"/>
    <row r="201402" customFormat="1" x14ac:dyDescent="0.25"/>
    <row r="201403" customFormat="1" x14ac:dyDescent="0.25"/>
    <row r="201404" customFormat="1" x14ac:dyDescent="0.25"/>
    <row r="201405" customFormat="1" x14ac:dyDescent="0.25"/>
    <row r="201406" customFormat="1" x14ac:dyDescent="0.25"/>
    <row r="201407" customFormat="1" x14ac:dyDescent="0.25"/>
    <row r="201408" customFormat="1" x14ac:dyDescent="0.25"/>
    <row r="201409" customFormat="1" x14ac:dyDescent="0.25"/>
    <row r="201410" customFormat="1" x14ac:dyDescent="0.25"/>
    <row r="201411" customFormat="1" x14ac:dyDescent="0.25"/>
    <row r="201412" customFormat="1" x14ac:dyDescent="0.25"/>
    <row r="201413" customFormat="1" x14ac:dyDescent="0.25"/>
    <row r="201414" customFormat="1" x14ac:dyDescent="0.25"/>
    <row r="201415" customFormat="1" x14ac:dyDescent="0.25"/>
    <row r="201416" customFormat="1" x14ac:dyDescent="0.25"/>
    <row r="201417" customFormat="1" x14ac:dyDescent="0.25"/>
    <row r="201418" customFormat="1" x14ac:dyDescent="0.25"/>
    <row r="201419" customFormat="1" x14ac:dyDescent="0.25"/>
    <row r="201420" customFormat="1" x14ac:dyDescent="0.25"/>
    <row r="201421" customFormat="1" x14ac:dyDescent="0.25"/>
    <row r="201422" customFormat="1" x14ac:dyDescent="0.25"/>
    <row r="201423" customFormat="1" x14ac:dyDescent="0.25"/>
    <row r="201424" customFormat="1" x14ac:dyDescent="0.25"/>
    <row r="201425" customFormat="1" x14ac:dyDescent="0.25"/>
    <row r="201426" customFormat="1" x14ac:dyDescent="0.25"/>
    <row r="201427" customFormat="1" x14ac:dyDescent="0.25"/>
    <row r="201428" customFormat="1" x14ac:dyDescent="0.25"/>
    <row r="201429" customFormat="1" x14ac:dyDescent="0.25"/>
    <row r="201430" customFormat="1" x14ac:dyDescent="0.25"/>
    <row r="201431" customFormat="1" x14ac:dyDescent="0.25"/>
    <row r="201432" customFormat="1" x14ac:dyDescent="0.25"/>
    <row r="201433" customFormat="1" x14ac:dyDescent="0.25"/>
    <row r="201434" customFormat="1" x14ac:dyDescent="0.25"/>
    <row r="201435" customFormat="1" x14ac:dyDescent="0.25"/>
    <row r="201436" customFormat="1" x14ac:dyDescent="0.25"/>
    <row r="201437" customFormat="1" x14ac:dyDescent="0.25"/>
    <row r="201438" customFormat="1" x14ac:dyDescent="0.25"/>
    <row r="201439" customFormat="1" x14ac:dyDescent="0.25"/>
    <row r="201440" customFormat="1" x14ac:dyDescent="0.25"/>
    <row r="201441" customFormat="1" x14ac:dyDescent="0.25"/>
    <row r="201442" customFormat="1" x14ac:dyDescent="0.25"/>
    <row r="201443" customFormat="1" x14ac:dyDescent="0.25"/>
    <row r="201444" customFormat="1" x14ac:dyDescent="0.25"/>
    <row r="201445" customFormat="1" x14ac:dyDescent="0.25"/>
    <row r="201446" customFormat="1" x14ac:dyDescent="0.25"/>
    <row r="201447" customFormat="1" x14ac:dyDescent="0.25"/>
    <row r="201448" customFormat="1" x14ac:dyDescent="0.25"/>
    <row r="201449" customFormat="1" x14ac:dyDescent="0.25"/>
    <row r="201450" customFormat="1" x14ac:dyDescent="0.25"/>
    <row r="201451" customFormat="1" x14ac:dyDescent="0.25"/>
    <row r="201452" customFormat="1" x14ac:dyDescent="0.25"/>
    <row r="201453" customFormat="1" x14ac:dyDescent="0.25"/>
    <row r="201454" customFormat="1" x14ac:dyDescent="0.25"/>
    <row r="201455" customFormat="1" x14ac:dyDescent="0.25"/>
    <row r="201456" customFormat="1" x14ac:dyDescent="0.25"/>
    <row r="201457" customFormat="1" x14ac:dyDescent="0.25"/>
    <row r="201458" customFormat="1" x14ac:dyDescent="0.25"/>
    <row r="201459" customFormat="1" x14ac:dyDescent="0.25"/>
    <row r="201460" customFormat="1" x14ac:dyDescent="0.25"/>
    <row r="201461" customFormat="1" x14ac:dyDescent="0.25"/>
    <row r="201462" customFormat="1" x14ac:dyDescent="0.25"/>
    <row r="201463" customFormat="1" x14ac:dyDescent="0.25"/>
    <row r="201464" customFormat="1" x14ac:dyDescent="0.25"/>
    <row r="201465" customFormat="1" x14ac:dyDescent="0.25"/>
    <row r="201466" customFormat="1" x14ac:dyDescent="0.25"/>
    <row r="201467" customFormat="1" x14ac:dyDescent="0.25"/>
    <row r="201468" customFormat="1" x14ac:dyDescent="0.25"/>
    <row r="201469" customFormat="1" x14ac:dyDescent="0.25"/>
    <row r="201470" customFormat="1" x14ac:dyDescent="0.25"/>
    <row r="201471" customFormat="1" x14ac:dyDescent="0.25"/>
    <row r="201472" customFormat="1" x14ac:dyDescent="0.25"/>
    <row r="201473" customFormat="1" x14ac:dyDescent="0.25"/>
    <row r="201474" customFormat="1" x14ac:dyDescent="0.25"/>
    <row r="201475" customFormat="1" x14ac:dyDescent="0.25"/>
    <row r="201476" customFormat="1" x14ac:dyDescent="0.25"/>
    <row r="201477" customFormat="1" x14ac:dyDescent="0.25"/>
    <row r="201478" customFormat="1" x14ac:dyDescent="0.25"/>
    <row r="201479" customFormat="1" x14ac:dyDescent="0.25"/>
    <row r="201480" customFormat="1" x14ac:dyDescent="0.25"/>
    <row r="201481" customFormat="1" x14ac:dyDescent="0.25"/>
    <row r="201482" customFormat="1" x14ac:dyDescent="0.25"/>
    <row r="201483" customFormat="1" x14ac:dyDescent="0.25"/>
    <row r="201484" customFormat="1" x14ac:dyDescent="0.25"/>
    <row r="201485" customFormat="1" x14ac:dyDescent="0.25"/>
    <row r="201486" customFormat="1" x14ac:dyDescent="0.25"/>
    <row r="201487" customFormat="1" x14ac:dyDescent="0.25"/>
    <row r="201488" customFormat="1" x14ac:dyDescent="0.25"/>
    <row r="201489" customFormat="1" x14ac:dyDescent="0.25"/>
    <row r="201490" customFormat="1" x14ac:dyDescent="0.25"/>
    <row r="201491" customFormat="1" x14ac:dyDescent="0.25"/>
    <row r="201492" customFormat="1" x14ac:dyDescent="0.25"/>
    <row r="201493" customFormat="1" x14ac:dyDescent="0.25"/>
    <row r="201494" customFormat="1" x14ac:dyDescent="0.25"/>
    <row r="201495" customFormat="1" x14ac:dyDescent="0.25"/>
    <row r="201496" customFormat="1" x14ac:dyDescent="0.25"/>
    <row r="201497" customFormat="1" x14ac:dyDescent="0.25"/>
    <row r="201498" customFormat="1" x14ac:dyDescent="0.25"/>
    <row r="201499" customFormat="1" x14ac:dyDescent="0.25"/>
    <row r="201500" customFormat="1" x14ac:dyDescent="0.25"/>
    <row r="201501" customFormat="1" x14ac:dyDescent="0.25"/>
    <row r="201502" customFormat="1" x14ac:dyDescent="0.25"/>
    <row r="201503" customFormat="1" x14ac:dyDescent="0.25"/>
    <row r="201504" customFormat="1" x14ac:dyDescent="0.25"/>
    <row r="201505" customFormat="1" x14ac:dyDescent="0.25"/>
    <row r="201506" customFormat="1" x14ac:dyDescent="0.25"/>
    <row r="201507" customFormat="1" x14ac:dyDescent="0.25"/>
    <row r="201508" customFormat="1" x14ac:dyDescent="0.25"/>
    <row r="201509" customFormat="1" x14ac:dyDescent="0.25"/>
    <row r="201510" customFormat="1" x14ac:dyDescent="0.25"/>
    <row r="201511" customFormat="1" x14ac:dyDescent="0.25"/>
    <row r="201512" customFormat="1" x14ac:dyDescent="0.25"/>
    <row r="201513" customFormat="1" x14ac:dyDescent="0.25"/>
    <row r="201514" customFormat="1" x14ac:dyDescent="0.25"/>
    <row r="201515" customFormat="1" x14ac:dyDescent="0.25"/>
    <row r="201516" customFormat="1" x14ac:dyDescent="0.25"/>
    <row r="201517" customFormat="1" x14ac:dyDescent="0.25"/>
    <row r="201518" customFormat="1" x14ac:dyDescent="0.25"/>
    <row r="201519" customFormat="1" x14ac:dyDescent="0.25"/>
    <row r="201520" customFormat="1" x14ac:dyDescent="0.25"/>
    <row r="201521" customFormat="1" x14ac:dyDescent="0.25"/>
    <row r="201522" customFormat="1" x14ac:dyDescent="0.25"/>
    <row r="201523" customFormat="1" x14ac:dyDescent="0.25"/>
    <row r="201524" customFormat="1" x14ac:dyDescent="0.25"/>
    <row r="201525" customFormat="1" x14ac:dyDescent="0.25"/>
    <row r="201526" customFormat="1" x14ac:dyDescent="0.25"/>
    <row r="201527" customFormat="1" x14ac:dyDescent="0.25"/>
    <row r="201528" customFormat="1" x14ac:dyDescent="0.25"/>
    <row r="201529" customFormat="1" x14ac:dyDescent="0.25"/>
    <row r="201530" customFormat="1" x14ac:dyDescent="0.25"/>
    <row r="201531" customFormat="1" x14ac:dyDescent="0.25"/>
    <row r="201532" customFormat="1" x14ac:dyDescent="0.25"/>
    <row r="201533" customFormat="1" x14ac:dyDescent="0.25"/>
    <row r="201534" customFormat="1" x14ac:dyDescent="0.25"/>
    <row r="201535" customFormat="1" x14ac:dyDescent="0.25"/>
    <row r="201536" customFormat="1" x14ac:dyDescent="0.25"/>
    <row r="201537" customFormat="1" x14ac:dyDescent="0.25"/>
    <row r="201538" customFormat="1" x14ac:dyDescent="0.25"/>
    <row r="201539" customFormat="1" x14ac:dyDescent="0.25"/>
    <row r="201540" customFormat="1" x14ac:dyDescent="0.25"/>
    <row r="201541" customFormat="1" x14ac:dyDescent="0.25"/>
    <row r="201542" customFormat="1" x14ac:dyDescent="0.25"/>
    <row r="201543" customFormat="1" x14ac:dyDescent="0.25"/>
    <row r="201544" customFormat="1" x14ac:dyDescent="0.25"/>
    <row r="201545" customFormat="1" x14ac:dyDescent="0.25"/>
    <row r="201546" customFormat="1" x14ac:dyDescent="0.25"/>
    <row r="201547" customFormat="1" x14ac:dyDescent="0.25"/>
    <row r="201548" customFormat="1" x14ac:dyDescent="0.25"/>
    <row r="201549" customFormat="1" x14ac:dyDescent="0.25"/>
    <row r="201550" customFormat="1" x14ac:dyDescent="0.25"/>
    <row r="201551" customFormat="1" x14ac:dyDescent="0.25"/>
    <row r="201552" customFormat="1" x14ac:dyDescent="0.25"/>
    <row r="201553" customFormat="1" x14ac:dyDescent="0.25"/>
    <row r="201554" customFormat="1" x14ac:dyDescent="0.25"/>
    <row r="201555" customFormat="1" x14ac:dyDescent="0.25"/>
    <row r="201556" customFormat="1" x14ac:dyDescent="0.25"/>
    <row r="201557" customFormat="1" x14ac:dyDescent="0.25"/>
    <row r="201558" customFormat="1" x14ac:dyDescent="0.25"/>
    <row r="201559" customFormat="1" x14ac:dyDescent="0.25"/>
    <row r="201560" customFormat="1" x14ac:dyDescent="0.25"/>
    <row r="201561" customFormat="1" x14ac:dyDescent="0.25"/>
    <row r="201562" customFormat="1" x14ac:dyDescent="0.25"/>
    <row r="201563" customFormat="1" x14ac:dyDescent="0.25"/>
    <row r="201564" customFormat="1" x14ac:dyDescent="0.25"/>
    <row r="201565" customFormat="1" x14ac:dyDescent="0.25"/>
    <row r="201566" customFormat="1" x14ac:dyDescent="0.25"/>
    <row r="201567" customFormat="1" x14ac:dyDescent="0.25"/>
    <row r="201568" customFormat="1" x14ac:dyDescent="0.25"/>
    <row r="201569" customFormat="1" x14ac:dyDescent="0.25"/>
    <row r="201570" customFormat="1" x14ac:dyDescent="0.25"/>
    <row r="201571" customFormat="1" x14ac:dyDescent="0.25"/>
    <row r="201572" customFormat="1" x14ac:dyDescent="0.25"/>
    <row r="201573" customFormat="1" x14ac:dyDescent="0.25"/>
    <row r="201574" customFormat="1" x14ac:dyDescent="0.25"/>
    <row r="201575" customFormat="1" x14ac:dyDescent="0.25"/>
    <row r="201576" customFormat="1" x14ac:dyDescent="0.25"/>
    <row r="201577" customFormat="1" x14ac:dyDescent="0.25"/>
    <row r="201578" customFormat="1" x14ac:dyDescent="0.25"/>
    <row r="201579" customFormat="1" x14ac:dyDescent="0.25"/>
    <row r="201580" customFormat="1" x14ac:dyDescent="0.25"/>
    <row r="201581" customFormat="1" x14ac:dyDescent="0.25"/>
    <row r="201582" customFormat="1" x14ac:dyDescent="0.25"/>
    <row r="201583" customFormat="1" x14ac:dyDescent="0.25"/>
    <row r="201584" customFormat="1" x14ac:dyDescent="0.25"/>
    <row r="201585" customFormat="1" x14ac:dyDescent="0.25"/>
    <row r="201586" customFormat="1" x14ac:dyDescent="0.25"/>
    <row r="201587" customFormat="1" x14ac:dyDescent="0.25"/>
    <row r="201588" customFormat="1" x14ac:dyDescent="0.25"/>
    <row r="201589" customFormat="1" x14ac:dyDescent="0.25"/>
    <row r="201590" customFormat="1" x14ac:dyDescent="0.25"/>
    <row r="201591" customFormat="1" x14ac:dyDescent="0.25"/>
    <row r="201592" customFormat="1" x14ac:dyDescent="0.25"/>
    <row r="201593" customFormat="1" x14ac:dyDescent="0.25"/>
    <row r="201594" customFormat="1" x14ac:dyDescent="0.25"/>
    <row r="201595" customFormat="1" x14ac:dyDescent="0.25"/>
    <row r="201596" customFormat="1" x14ac:dyDescent="0.25"/>
    <row r="201597" customFormat="1" x14ac:dyDescent="0.25"/>
    <row r="201598" customFormat="1" x14ac:dyDescent="0.25"/>
    <row r="201599" customFormat="1" x14ac:dyDescent="0.25"/>
    <row r="201600" customFormat="1" x14ac:dyDescent="0.25"/>
    <row r="201601" customFormat="1" x14ac:dyDescent="0.25"/>
    <row r="201602" customFormat="1" x14ac:dyDescent="0.25"/>
    <row r="201603" customFormat="1" x14ac:dyDescent="0.25"/>
    <row r="201604" customFormat="1" x14ac:dyDescent="0.25"/>
    <row r="201605" customFormat="1" x14ac:dyDescent="0.25"/>
    <row r="201606" customFormat="1" x14ac:dyDescent="0.25"/>
    <row r="201607" customFormat="1" x14ac:dyDescent="0.25"/>
    <row r="201608" customFormat="1" x14ac:dyDescent="0.25"/>
    <row r="201609" customFormat="1" x14ac:dyDescent="0.25"/>
    <row r="201610" customFormat="1" x14ac:dyDescent="0.25"/>
    <row r="201611" customFormat="1" x14ac:dyDescent="0.25"/>
    <row r="201612" customFormat="1" x14ac:dyDescent="0.25"/>
    <row r="201613" customFormat="1" x14ac:dyDescent="0.25"/>
    <row r="201614" customFormat="1" x14ac:dyDescent="0.25"/>
    <row r="201615" customFormat="1" x14ac:dyDescent="0.25"/>
    <row r="201616" customFormat="1" x14ac:dyDescent="0.25"/>
    <row r="201617" customFormat="1" x14ac:dyDescent="0.25"/>
    <row r="201618" customFormat="1" x14ac:dyDescent="0.25"/>
    <row r="201619" customFormat="1" x14ac:dyDescent="0.25"/>
    <row r="201620" customFormat="1" x14ac:dyDescent="0.25"/>
    <row r="201621" customFormat="1" x14ac:dyDescent="0.25"/>
    <row r="201622" customFormat="1" x14ac:dyDescent="0.25"/>
    <row r="201623" customFormat="1" x14ac:dyDescent="0.25"/>
    <row r="201624" customFormat="1" x14ac:dyDescent="0.25"/>
    <row r="201625" customFormat="1" x14ac:dyDescent="0.25"/>
    <row r="201626" customFormat="1" x14ac:dyDescent="0.25"/>
    <row r="201627" customFormat="1" x14ac:dyDescent="0.25"/>
    <row r="201628" customFormat="1" x14ac:dyDescent="0.25"/>
    <row r="201629" customFormat="1" x14ac:dyDescent="0.25"/>
    <row r="201630" customFormat="1" x14ac:dyDescent="0.25"/>
    <row r="201631" customFormat="1" x14ac:dyDescent="0.25"/>
    <row r="201632" customFormat="1" x14ac:dyDescent="0.25"/>
    <row r="201633" customFormat="1" x14ac:dyDescent="0.25"/>
    <row r="201634" customFormat="1" x14ac:dyDescent="0.25"/>
    <row r="201635" customFormat="1" x14ac:dyDescent="0.25"/>
    <row r="201636" customFormat="1" x14ac:dyDescent="0.25"/>
    <row r="201637" customFormat="1" x14ac:dyDescent="0.25"/>
    <row r="201638" customFormat="1" x14ac:dyDescent="0.25"/>
    <row r="201639" customFormat="1" x14ac:dyDescent="0.25"/>
    <row r="201640" customFormat="1" x14ac:dyDescent="0.25"/>
    <row r="201641" customFormat="1" x14ac:dyDescent="0.25"/>
    <row r="201642" customFormat="1" x14ac:dyDescent="0.25"/>
    <row r="201643" customFormat="1" x14ac:dyDescent="0.25"/>
    <row r="201644" customFormat="1" x14ac:dyDescent="0.25"/>
    <row r="201645" customFormat="1" x14ac:dyDescent="0.25"/>
    <row r="201646" customFormat="1" x14ac:dyDescent="0.25"/>
    <row r="201647" customFormat="1" x14ac:dyDescent="0.25"/>
    <row r="201648" customFormat="1" x14ac:dyDescent="0.25"/>
    <row r="201649" customFormat="1" x14ac:dyDescent="0.25"/>
    <row r="201650" customFormat="1" x14ac:dyDescent="0.25"/>
    <row r="201651" customFormat="1" x14ac:dyDescent="0.25"/>
    <row r="201652" customFormat="1" x14ac:dyDescent="0.25"/>
    <row r="201653" customFormat="1" x14ac:dyDescent="0.25"/>
    <row r="201654" customFormat="1" x14ac:dyDescent="0.25"/>
    <row r="201655" customFormat="1" x14ac:dyDescent="0.25"/>
    <row r="201656" customFormat="1" x14ac:dyDescent="0.25"/>
    <row r="201657" customFormat="1" x14ac:dyDescent="0.25"/>
    <row r="201658" customFormat="1" x14ac:dyDescent="0.25"/>
    <row r="201659" customFormat="1" x14ac:dyDescent="0.25"/>
    <row r="201660" customFormat="1" x14ac:dyDescent="0.25"/>
    <row r="201661" customFormat="1" x14ac:dyDescent="0.25"/>
    <row r="201662" customFormat="1" x14ac:dyDescent="0.25"/>
    <row r="201663" customFormat="1" x14ac:dyDescent="0.25"/>
    <row r="201664" customFormat="1" x14ac:dyDescent="0.25"/>
    <row r="201665" customFormat="1" x14ac:dyDescent="0.25"/>
    <row r="201666" customFormat="1" x14ac:dyDescent="0.25"/>
    <row r="201667" customFormat="1" x14ac:dyDescent="0.25"/>
    <row r="201668" customFormat="1" x14ac:dyDescent="0.25"/>
    <row r="201669" customFormat="1" x14ac:dyDescent="0.25"/>
    <row r="201670" customFormat="1" x14ac:dyDescent="0.25"/>
    <row r="201671" customFormat="1" x14ac:dyDescent="0.25"/>
    <row r="201672" customFormat="1" x14ac:dyDescent="0.25"/>
    <row r="201673" customFormat="1" x14ac:dyDescent="0.25"/>
    <row r="201674" customFormat="1" x14ac:dyDescent="0.25"/>
    <row r="201675" customFormat="1" x14ac:dyDescent="0.25"/>
    <row r="201676" customFormat="1" x14ac:dyDescent="0.25"/>
    <row r="201677" customFormat="1" x14ac:dyDescent="0.25"/>
    <row r="201678" customFormat="1" x14ac:dyDescent="0.25"/>
    <row r="201679" customFormat="1" x14ac:dyDescent="0.25"/>
    <row r="201680" customFormat="1" x14ac:dyDescent="0.25"/>
    <row r="201681" customFormat="1" x14ac:dyDescent="0.25"/>
    <row r="201682" customFormat="1" x14ac:dyDescent="0.25"/>
    <row r="201683" customFormat="1" x14ac:dyDescent="0.25"/>
    <row r="201684" customFormat="1" x14ac:dyDescent="0.25"/>
    <row r="201685" customFormat="1" x14ac:dyDescent="0.25"/>
    <row r="201686" customFormat="1" x14ac:dyDescent="0.25"/>
    <row r="201687" customFormat="1" x14ac:dyDescent="0.25"/>
    <row r="201688" customFormat="1" x14ac:dyDescent="0.25"/>
    <row r="201689" customFormat="1" x14ac:dyDescent="0.25"/>
    <row r="201690" customFormat="1" x14ac:dyDescent="0.25"/>
    <row r="201691" customFormat="1" x14ac:dyDescent="0.25"/>
    <row r="201692" customFormat="1" x14ac:dyDescent="0.25"/>
    <row r="201693" customFormat="1" x14ac:dyDescent="0.25"/>
    <row r="201694" customFormat="1" x14ac:dyDescent="0.25"/>
    <row r="201695" customFormat="1" x14ac:dyDescent="0.25"/>
    <row r="201696" customFormat="1" x14ac:dyDescent="0.25"/>
    <row r="201697" customFormat="1" x14ac:dyDescent="0.25"/>
    <row r="201698" customFormat="1" x14ac:dyDescent="0.25"/>
    <row r="201699" customFormat="1" x14ac:dyDescent="0.25"/>
    <row r="201700" customFormat="1" x14ac:dyDescent="0.25"/>
    <row r="201701" customFormat="1" x14ac:dyDescent="0.25"/>
    <row r="201702" customFormat="1" x14ac:dyDescent="0.25"/>
    <row r="201703" customFormat="1" x14ac:dyDescent="0.25"/>
    <row r="201704" customFormat="1" x14ac:dyDescent="0.25"/>
    <row r="201705" customFormat="1" x14ac:dyDescent="0.25"/>
    <row r="201706" customFormat="1" x14ac:dyDescent="0.25"/>
    <row r="201707" customFormat="1" x14ac:dyDescent="0.25"/>
    <row r="201708" customFormat="1" x14ac:dyDescent="0.25"/>
    <row r="201709" customFormat="1" x14ac:dyDescent="0.25"/>
    <row r="201710" customFormat="1" x14ac:dyDescent="0.25"/>
    <row r="201711" customFormat="1" x14ac:dyDescent="0.25"/>
    <row r="201712" customFormat="1" x14ac:dyDescent="0.25"/>
    <row r="201713" customFormat="1" x14ac:dyDescent="0.25"/>
    <row r="201714" customFormat="1" x14ac:dyDescent="0.25"/>
    <row r="201715" customFormat="1" x14ac:dyDescent="0.25"/>
    <row r="201716" customFormat="1" x14ac:dyDescent="0.25"/>
    <row r="201717" customFormat="1" x14ac:dyDescent="0.25"/>
    <row r="201718" customFormat="1" x14ac:dyDescent="0.25"/>
    <row r="201719" customFormat="1" x14ac:dyDescent="0.25"/>
    <row r="201720" customFormat="1" x14ac:dyDescent="0.25"/>
    <row r="201721" customFormat="1" x14ac:dyDescent="0.25"/>
    <row r="201722" customFormat="1" x14ac:dyDescent="0.25"/>
    <row r="201723" customFormat="1" x14ac:dyDescent="0.25"/>
    <row r="201724" customFormat="1" x14ac:dyDescent="0.25"/>
    <row r="201725" customFormat="1" x14ac:dyDescent="0.25"/>
    <row r="201726" customFormat="1" x14ac:dyDescent="0.25"/>
    <row r="201727" customFormat="1" x14ac:dyDescent="0.25"/>
    <row r="201728" customFormat="1" x14ac:dyDescent="0.25"/>
    <row r="201729" customFormat="1" x14ac:dyDescent="0.25"/>
    <row r="201730" customFormat="1" x14ac:dyDescent="0.25"/>
    <row r="201731" customFormat="1" x14ac:dyDescent="0.25"/>
    <row r="201732" customFormat="1" x14ac:dyDescent="0.25"/>
    <row r="201733" customFormat="1" x14ac:dyDescent="0.25"/>
    <row r="201734" customFormat="1" x14ac:dyDescent="0.25"/>
    <row r="201735" customFormat="1" x14ac:dyDescent="0.25"/>
    <row r="201736" customFormat="1" x14ac:dyDescent="0.25"/>
    <row r="201737" customFormat="1" x14ac:dyDescent="0.25"/>
    <row r="201738" customFormat="1" x14ac:dyDescent="0.25"/>
    <row r="201739" customFormat="1" x14ac:dyDescent="0.25"/>
    <row r="201740" customFormat="1" x14ac:dyDescent="0.25"/>
    <row r="201741" customFormat="1" x14ac:dyDescent="0.25"/>
    <row r="201742" customFormat="1" x14ac:dyDescent="0.25"/>
    <row r="201743" customFormat="1" x14ac:dyDescent="0.25"/>
    <row r="201744" customFormat="1" x14ac:dyDescent="0.25"/>
    <row r="201745" customFormat="1" x14ac:dyDescent="0.25"/>
    <row r="201746" customFormat="1" x14ac:dyDescent="0.25"/>
    <row r="201747" customFormat="1" x14ac:dyDescent="0.25"/>
    <row r="201748" customFormat="1" x14ac:dyDescent="0.25"/>
    <row r="201749" customFormat="1" x14ac:dyDescent="0.25"/>
    <row r="201750" customFormat="1" x14ac:dyDescent="0.25"/>
    <row r="201751" customFormat="1" x14ac:dyDescent="0.25"/>
    <row r="201752" customFormat="1" x14ac:dyDescent="0.25"/>
    <row r="201753" customFormat="1" x14ac:dyDescent="0.25"/>
    <row r="201754" customFormat="1" x14ac:dyDescent="0.25"/>
    <row r="201755" customFormat="1" x14ac:dyDescent="0.25"/>
    <row r="201756" customFormat="1" x14ac:dyDescent="0.25"/>
    <row r="201757" customFormat="1" x14ac:dyDescent="0.25"/>
    <row r="201758" customFormat="1" x14ac:dyDescent="0.25"/>
    <row r="201759" customFormat="1" x14ac:dyDescent="0.25"/>
    <row r="201760" customFormat="1" x14ac:dyDescent="0.25"/>
    <row r="201761" customFormat="1" x14ac:dyDescent="0.25"/>
    <row r="201762" customFormat="1" x14ac:dyDescent="0.25"/>
    <row r="201763" customFormat="1" x14ac:dyDescent="0.25"/>
    <row r="201764" customFormat="1" x14ac:dyDescent="0.25"/>
    <row r="201765" customFormat="1" x14ac:dyDescent="0.25"/>
    <row r="201766" customFormat="1" x14ac:dyDescent="0.25"/>
    <row r="201767" customFormat="1" x14ac:dyDescent="0.25"/>
    <row r="201768" customFormat="1" x14ac:dyDescent="0.25"/>
    <row r="201769" customFormat="1" x14ac:dyDescent="0.25"/>
    <row r="201770" customFormat="1" x14ac:dyDescent="0.25"/>
    <row r="201771" customFormat="1" x14ac:dyDescent="0.25"/>
    <row r="201772" customFormat="1" x14ac:dyDescent="0.25"/>
    <row r="201773" customFormat="1" x14ac:dyDescent="0.25"/>
    <row r="201774" customFormat="1" x14ac:dyDescent="0.25"/>
    <row r="201775" customFormat="1" x14ac:dyDescent="0.25"/>
    <row r="201776" customFormat="1" x14ac:dyDescent="0.25"/>
    <row r="201777" customFormat="1" x14ac:dyDescent="0.25"/>
    <row r="201778" customFormat="1" x14ac:dyDescent="0.25"/>
    <row r="201779" customFormat="1" x14ac:dyDescent="0.25"/>
    <row r="201780" customFormat="1" x14ac:dyDescent="0.25"/>
    <row r="201781" customFormat="1" x14ac:dyDescent="0.25"/>
    <row r="201782" customFormat="1" x14ac:dyDescent="0.25"/>
    <row r="201783" customFormat="1" x14ac:dyDescent="0.25"/>
    <row r="201784" customFormat="1" x14ac:dyDescent="0.25"/>
    <row r="201785" customFormat="1" x14ac:dyDescent="0.25"/>
    <row r="201786" customFormat="1" x14ac:dyDescent="0.25"/>
    <row r="201787" customFormat="1" x14ac:dyDescent="0.25"/>
    <row r="201788" customFormat="1" x14ac:dyDescent="0.25"/>
    <row r="201789" customFormat="1" x14ac:dyDescent="0.25"/>
    <row r="201790" customFormat="1" x14ac:dyDescent="0.25"/>
    <row r="201791" customFormat="1" x14ac:dyDescent="0.25"/>
    <row r="201792" customFormat="1" x14ac:dyDescent="0.25"/>
    <row r="201793" customFormat="1" x14ac:dyDescent="0.25"/>
    <row r="201794" customFormat="1" x14ac:dyDescent="0.25"/>
    <row r="201795" customFormat="1" x14ac:dyDescent="0.25"/>
    <row r="201796" customFormat="1" x14ac:dyDescent="0.25"/>
    <row r="201797" customFormat="1" x14ac:dyDescent="0.25"/>
    <row r="201798" customFormat="1" x14ac:dyDescent="0.25"/>
    <row r="201799" customFormat="1" x14ac:dyDescent="0.25"/>
    <row r="201800" customFormat="1" x14ac:dyDescent="0.25"/>
    <row r="201801" customFormat="1" x14ac:dyDescent="0.25"/>
    <row r="201802" customFormat="1" x14ac:dyDescent="0.25"/>
    <row r="201803" customFormat="1" x14ac:dyDescent="0.25"/>
    <row r="201804" customFormat="1" x14ac:dyDescent="0.25"/>
    <row r="201805" customFormat="1" x14ac:dyDescent="0.25"/>
    <row r="201806" customFormat="1" x14ac:dyDescent="0.25"/>
    <row r="201807" customFormat="1" x14ac:dyDescent="0.25"/>
    <row r="201808" customFormat="1" x14ac:dyDescent="0.25"/>
    <row r="201809" customFormat="1" x14ac:dyDescent="0.25"/>
    <row r="201810" customFormat="1" x14ac:dyDescent="0.25"/>
    <row r="201811" customFormat="1" x14ac:dyDescent="0.25"/>
    <row r="201812" customFormat="1" x14ac:dyDescent="0.25"/>
    <row r="201813" customFormat="1" x14ac:dyDescent="0.25"/>
    <row r="201814" customFormat="1" x14ac:dyDescent="0.25"/>
    <row r="201815" customFormat="1" x14ac:dyDescent="0.25"/>
    <row r="201816" customFormat="1" x14ac:dyDescent="0.25"/>
    <row r="201817" customFormat="1" x14ac:dyDescent="0.25"/>
    <row r="201818" customFormat="1" x14ac:dyDescent="0.25"/>
    <row r="201819" customFormat="1" x14ac:dyDescent="0.25"/>
    <row r="201820" customFormat="1" x14ac:dyDescent="0.25"/>
    <row r="201821" customFormat="1" x14ac:dyDescent="0.25"/>
    <row r="201822" customFormat="1" x14ac:dyDescent="0.25"/>
    <row r="201823" customFormat="1" x14ac:dyDescent="0.25"/>
    <row r="201824" customFormat="1" x14ac:dyDescent="0.25"/>
    <row r="201825" customFormat="1" x14ac:dyDescent="0.25"/>
    <row r="201826" customFormat="1" x14ac:dyDescent="0.25"/>
    <row r="201827" customFormat="1" x14ac:dyDescent="0.25"/>
    <row r="201828" customFormat="1" x14ac:dyDescent="0.25"/>
    <row r="201829" customFormat="1" x14ac:dyDescent="0.25"/>
    <row r="201830" customFormat="1" x14ac:dyDescent="0.25"/>
    <row r="201831" customFormat="1" x14ac:dyDescent="0.25"/>
    <row r="201832" customFormat="1" x14ac:dyDescent="0.25"/>
    <row r="201833" customFormat="1" x14ac:dyDescent="0.25"/>
    <row r="201834" customFormat="1" x14ac:dyDescent="0.25"/>
    <row r="201835" customFormat="1" x14ac:dyDescent="0.25"/>
    <row r="201836" customFormat="1" x14ac:dyDescent="0.25"/>
    <row r="201837" customFormat="1" x14ac:dyDescent="0.25"/>
    <row r="201838" customFormat="1" x14ac:dyDescent="0.25"/>
    <row r="201839" customFormat="1" x14ac:dyDescent="0.25"/>
    <row r="201840" customFormat="1" x14ac:dyDescent="0.25"/>
    <row r="201841" customFormat="1" x14ac:dyDescent="0.25"/>
    <row r="201842" customFormat="1" x14ac:dyDescent="0.25"/>
    <row r="201843" customFormat="1" x14ac:dyDescent="0.25"/>
    <row r="201844" customFormat="1" x14ac:dyDescent="0.25"/>
    <row r="201845" customFormat="1" x14ac:dyDescent="0.25"/>
    <row r="201846" customFormat="1" x14ac:dyDescent="0.25"/>
    <row r="201847" customFormat="1" x14ac:dyDescent="0.25"/>
    <row r="201848" customFormat="1" x14ac:dyDescent="0.25"/>
    <row r="201849" customFormat="1" x14ac:dyDescent="0.25"/>
    <row r="201850" customFormat="1" x14ac:dyDescent="0.25"/>
    <row r="201851" customFormat="1" x14ac:dyDescent="0.25"/>
    <row r="201852" customFormat="1" x14ac:dyDescent="0.25"/>
    <row r="201853" customFormat="1" x14ac:dyDescent="0.25"/>
    <row r="201854" customFormat="1" x14ac:dyDescent="0.25"/>
    <row r="201855" customFormat="1" x14ac:dyDescent="0.25"/>
    <row r="201856" customFormat="1" x14ac:dyDescent="0.25"/>
    <row r="201857" customFormat="1" x14ac:dyDescent="0.25"/>
    <row r="201858" customFormat="1" x14ac:dyDescent="0.25"/>
    <row r="201859" customFormat="1" x14ac:dyDescent="0.25"/>
    <row r="201860" customFormat="1" x14ac:dyDescent="0.25"/>
    <row r="201861" customFormat="1" x14ac:dyDescent="0.25"/>
    <row r="201862" customFormat="1" x14ac:dyDescent="0.25"/>
    <row r="201863" customFormat="1" x14ac:dyDescent="0.25"/>
    <row r="201864" customFormat="1" x14ac:dyDescent="0.25"/>
    <row r="201865" customFormat="1" x14ac:dyDescent="0.25"/>
    <row r="201866" customFormat="1" x14ac:dyDescent="0.25"/>
    <row r="201867" customFormat="1" x14ac:dyDescent="0.25"/>
    <row r="201868" customFormat="1" x14ac:dyDescent="0.25"/>
    <row r="201869" customFormat="1" x14ac:dyDescent="0.25"/>
    <row r="201870" customFormat="1" x14ac:dyDescent="0.25"/>
    <row r="201871" customFormat="1" x14ac:dyDescent="0.25"/>
    <row r="201872" customFormat="1" x14ac:dyDescent="0.25"/>
    <row r="201873" customFormat="1" x14ac:dyDescent="0.25"/>
    <row r="201874" customFormat="1" x14ac:dyDescent="0.25"/>
    <row r="201875" customFormat="1" x14ac:dyDescent="0.25"/>
    <row r="201876" customFormat="1" x14ac:dyDescent="0.25"/>
    <row r="201877" customFormat="1" x14ac:dyDescent="0.25"/>
    <row r="201878" customFormat="1" x14ac:dyDescent="0.25"/>
    <row r="201879" customFormat="1" x14ac:dyDescent="0.25"/>
    <row r="201880" customFormat="1" x14ac:dyDescent="0.25"/>
    <row r="201881" customFormat="1" x14ac:dyDescent="0.25"/>
    <row r="201882" customFormat="1" x14ac:dyDescent="0.25"/>
    <row r="201883" customFormat="1" x14ac:dyDescent="0.25"/>
    <row r="201884" customFormat="1" x14ac:dyDescent="0.25"/>
    <row r="201885" customFormat="1" x14ac:dyDescent="0.25"/>
    <row r="201886" customFormat="1" x14ac:dyDescent="0.25"/>
    <row r="201887" customFormat="1" x14ac:dyDescent="0.25"/>
    <row r="201888" customFormat="1" x14ac:dyDescent="0.25"/>
    <row r="201889" customFormat="1" x14ac:dyDescent="0.25"/>
    <row r="201890" customFormat="1" x14ac:dyDescent="0.25"/>
    <row r="201891" customFormat="1" x14ac:dyDescent="0.25"/>
    <row r="201892" customFormat="1" x14ac:dyDescent="0.25"/>
    <row r="201893" customFormat="1" x14ac:dyDescent="0.25"/>
    <row r="201894" customFormat="1" x14ac:dyDescent="0.25"/>
    <row r="201895" customFormat="1" x14ac:dyDescent="0.25"/>
    <row r="201896" customFormat="1" x14ac:dyDescent="0.25"/>
    <row r="201897" customFormat="1" x14ac:dyDescent="0.25"/>
    <row r="201898" customFormat="1" x14ac:dyDescent="0.25"/>
    <row r="201899" customFormat="1" x14ac:dyDescent="0.25"/>
    <row r="201900" customFormat="1" x14ac:dyDescent="0.25"/>
    <row r="201901" customFormat="1" x14ac:dyDescent="0.25"/>
    <row r="201902" customFormat="1" x14ac:dyDescent="0.25"/>
    <row r="201903" customFormat="1" x14ac:dyDescent="0.25"/>
    <row r="201904" customFormat="1" x14ac:dyDescent="0.25"/>
    <row r="201905" customFormat="1" x14ac:dyDescent="0.25"/>
    <row r="201906" customFormat="1" x14ac:dyDescent="0.25"/>
    <row r="201907" customFormat="1" x14ac:dyDescent="0.25"/>
    <row r="201908" customFormat="1" x14ac:dyDescent="0.25"/>
    <row r="201909" customFormat="1" x14ac:dyDescent="0.25"/>
    <row r="201910" customFormat="1" x14ac:dyDescent="0.25"/>
    <row r="201911" customFormat="1" x14ac:dyDescent="0.25"/>
    <row r="201912" customFormat="1" x14ac:dyDescent="0.25"/>
    <row r="201913" customFormat="1" x14ac:dyDescent="0.25"/>
    <row r="201914" customFormat="1" x14ac:dyDescent="0.25"/>
    <row r="201915" customFormat="1" x14ac:dyDescent="0.25"/>
    <row r="201916" customFormat="1" x14ac:dyDescent="0.25"/>
    <row r="201917" customFormat="1" x14ac:dyDescent="0.25"/>
    <row r="201918" customFormat="1" x14ac:dyDescent="0.25"/>
    <row r="201919" customFormat="1" x14ac:dyDescent="0.25"/>
    <row r="201920" customFormat="1" x14ac:dyDescent="0.25"/>
    <row r="201921" customFormat="1" x14ac:dyDescent="0.25"/>
    <row r="201922" customFormat="1" x14ac:dyDescent="0.25"/>
    <row r="201923" customFormat="1" x14ac:dyDescent="0.25"/>
    <row r="201924" customFormat="1" x14ac:dyDescent="0.25"/>
    <row r="201925" customFormat="1" x14ac:dyDescent="0.25"/>
    <row r="201926" customFormat="1" x14ac:dyDescent="0.25"/>
    <row r="201927" customFormat="1" x14ac:dyDescent="0.25"/>
    <row r="201928" customFormat="1" x14ac:dyDescent="0.25"/>
    <row r="201929" customFormat="1" x14ac:dyDescent="0.25"/>
    <row r="201930" customFormat="1" x14ac:dyDescent="0.25"/>
    <row r="201931" customFormat="1" x14ac:dyDescent="0.25"/>
    <row r="201932" customFormat="1" x14ac:dyDescent="0.25"/>
    <row r="201933" customFormat="1" x14ac:dyDescent="0.25"/>
    <row r="201934" customFormat="1" x14ac:dyDescent="0.25"/>
    <row r="201935" customFormat="1" x14ac:dyDescent="0.25"/>
    <row r="201936" customFormat="1" x14ac:dyDescent="0.25"/>
    <row r="201937" customFormat="1" x14ac:dyDescent="0.25"/>
    <row r="201938" customFormat="1" x14ac:dyDescent="0.25"/>
    <row r="201939" customFormat="1" x14ac:dyDescent="0.25"/>
    <row r="201940" customFormat="1" x14ac:dyDescent="0.25"/>
    <row r="201941" customFormat="1" x14ac:dyDescent="0.25"/>
    <row r="201942" customFormat="1" x14ac:dyDescent="0.25"/>
    <row r="201943" customFormat="1" x14ac:dyDescent="0.25"/>
    <row r="201944" customFormat="1" x14ac:dyDescent="0.25"/>
    <row r="201945" customFormat="1" x14ac:dyDescent="0.25"/>
    <row r="201946" customFormat="1" x14ac:dyDescent="0.25"/>
    <row r="201947" customFormat="1" x14ac:dyDescent="0.25"/>
    <row r="201948" customFormat="1" x14ac:dyDescent="0.25"/>
    <row r="201949" customFormat="1" x14ac:dyDescent="0.25"/>
    <row r="201950" customFormat="1" x14ac:dyDescent="0.25"/>
    <row r="201951" customFormat="1" x14ac:dyDescent="0.25"/>
    <row r="201952" customFormat="1" x14ac:dyDescent="0.25"/>
    <row r="201953" customFormat="1" x14ac:dyDescent="0.25"/>
    <row r="201954" customFormat="1" x14ac:dyDescent="0.25"/>
    <row r="201955" customFormat="1" x14ac:dyDescent="0.25"/>
    <row r="201956" customFormat="1" x14ac:dyDescent="0.25"/>
    <row r="201957" customFormat="1" x14ac:dyDescent="0.25"/>
    <row r="201958" customFormat="1" x14ac:dyDescent="0.25"/>
    <row r="201959" customFormat="1" x14ac:dyDescent="0.25"/>
    <row r="201960" customFormat="1" x14ac:dyDescent="0.25"/>
    <row r="201961" customFormat="1" x14ac:dyDescent="0.25"/>
    <row r="201962" customFormat="1" x14ac:dyDescent="0.25"/>
    <row r="201963" customFormat="1" x14ac:dyDescent="0.25"/>
    <row r="201964" customFormat="1" x14ac:dyDescent="0.25"/>
    <row r="201965" customFormat="1" x14ac:dyDescent="0.25"/>
    <row r="201966" customFormat="1" x14ac:dyDescent="0.25"/>
    <row r="201967" customFormat="1" x14ac:dyDescent="0.25"/>
    <row r="201968" customFormat="1" x14ac:dyDescent="0.25"/>
    <row r="201969" customFormat="1" x14ac:dyDescent="0.25"/>
    <row r="201970" customFormat="1" x14ac:dyDescent="0.25"/>
    <row r="201971" customFormat="1" x14ac:dyDescent="0.25"/>
    <row r="201972" customFormat="1" x14ac:dyDescent="0.25"/>
    <row r="201973" customFormat="1" x14ac:dyDescent="0.25"/>
    <row r="201974" customFormat="1" x14ac:dyDescent="0.25"/>
    <row r="201975" customFormat="1" x14ac:dyDescent="0.25"/>
    <row r="201976" customFormat="1" x14ac:dyDescent="0.25"/>
    <row r="201977" customFormat="1" x14ac:dyDescent="0.25"/>
    <row r="201978" customFormat="1" x14ac:dyDescent="0.25"/>
    <row r="201979" customFormat="1" x14ac:dyDescent="0.25"/>
    <row r="201980" customFormat="1" x14ac:dyDescent="0.25"/>
    <row r="201981" customFormat="1" x14ac:dyDescent="0.25"/>
    <row r="201982" customFormat="1" x14ac:dyDescent="0.25"/>
    <row r="201983" customFormat="1" x14ac:dyDescent="0.25"/>
    <row r="201984" customFormat="1" x14ac:dyDescent="0.25"/>
    <row r="201985" customFormat="1" x14ac:dyDescent="0.25"/>
    <row r="201986" customFormat="1" x14ac:dyDescent="0.25"/>
    <row r="201987" customFormat="1" x14ac:dyDescent="0.25"/>
    <row r="201988" customFormat="1" x14ac:dyDescent="0.25"/>
    <row r="201989" customFormat="1" x14ac:dyDescent="0.25"/>
    <row r="201990" customFormat="1" x14ac:dyDescent="0.25"/>
    <row r="201991" customFormat="1" x14ac:dyDescent="0.25"/>
    <row r="201992" customFormat="1" x14ac:dyDescent="0.25"/>
    <row r="201993" customFormat="1" x14ac:dyDescent="0.25"/>
    <row r="201994" customFormat="1" x14ac:dyDescent="0.25"/>
    <row r="201995" customFormat="1" x14ac:dyDescent="0.25"/>
    <row r="201996" customFormat="1" x14ac:dyDescent="0.25"/>
    <row r="201997" customFormat="1" x14ac:dyDescent="0.25"/>
    <row r="201998" customFormat="1" x14ac:dyDescent="0.25"/>
    <row r="201999" customFormat="1" x14ac:dyDescent="0.25"/>
    <row r="202000" customFormat="1" x14ac:dyDescent="0.25"/>
    <row r="202001" customFormat="1" x14ac:dyDescent="0.25"/>
    <row r="202002" customFormat="1" x14ac:dyDescent="0.25"/>
    <row r="202003" customFormat="1" x14ac:dyDescent="0.25"/>
    <row r="202004" customFormat="1" x14ac:dyDescent="0.25"/>
    <row r="202005" customFormat="1" x14ac:dyDescent="0.25"/>
    <row r="202006" customFormat="1" x14ac:dyDescent="0.25"/>
    <row r="202007" customFormat="1" x14ac:dyDescent="0.25"/>
    <row r="202008" customFormat="1" x14ac:dyDescent="0.25"/>
    <row r="202009" customFormat="1" x14ac:dyDescent="0.25"/>
    <row r="202010" customFormat="1" x14ac:dyDescent="0.25"/>
    <row r="202011" customFormat="1" x14ac:dyDescent="0.25"/>
    <row r="202012" customFormat="1" x14ac:dyDescent="0.25"/>
    <row r="202013" customFormat="1" x14ac:dyDescent="0.25"/>
    <row r="202014" customFormat="1" x14ac:dyDescent="0.25"/>
    <row r="202015" customFormat="1" x14ac:dyDescent="0.25"/>
    <row r="202016" customFormat="1" x14ac:dyDescent="0.25"/>
    <row r="202017" customFormat="1" x14ac:dyDescent="0.25"/>
    <row r="202018" customFormat="1" x14ac:dyDescent="0.25"/>
    <row r="202019" customFormat="1" x14ac:dyDescent="0.25"/>
    <row r="202020" customFormat="1" x14ac:dyDescent="0.25"/>
    <row r="202021" customFormat="1" x14ac:dyDescent="0.25"/>
    <row r="202022" customFormat="1" x14ac:dyDescent="0.25"/>
    <row r="202023" customFormat="1" x14ac:dyDescent="0.25"/>
    <row r="202024" customFormat="1" x14ac:dyDescent="0.25"/>
    <row r="202025" customFormat="1" x14ac:dyDescent="0.25"/>
    <row r="202026" customFormat="1" x14ac:dyDescent="0.25"/>
    <row r="202027" customFormat="1" x14ac:dyDescent="0.25"/>
    <row r="202028" customFormat="1" x14ac:dyDescent="0.25"/>
    <row r="202029" customFormat="1" x14ac:dyDescent="0.25"/>
    <row r="202030" customFormat="1" x14ac:dyDescent="0.25"/>
    <row r="202031" customFormat="1" x14ac:dyDescent="0.25"/>
    <row r="202032" customFormat="1" x14ac:dyDescent="0.25"/>
    <row r="202033" customFormat="1" x14ac:dyDescent="0.25"/>
    <row r="202034" customFormat="1" x14ac:dyDescent="0.25"/>
    <row r="202035" customFormat="1" x14ac:dyDescent="0.25"/>
    <row r="202036" customFormat="1" x14ac:dyDescent="0.25"/>
    <row r="202037" customFormat="1" x14ac:dyDescent="0.25"/>
    <row r="202038" customFormat="1" x14ac:dyDescent="0.25"/>
    <row r="202039" customFormat="1" x14ac:dyDescent="0.25"/>
    <row r="202040" customFormat="1" x14ac:dyDescent="0.25"/>
    <row r="202041" customFormat="1" x14ac:dyDescent="0.25"/>
    <row r="202042" customFormat="1" x14ac:dyDescent="0.25"/>
    <row r="202043" customFormat="1" x14ac:dyDescent="0.25"/>
    <row r="202044" customFormat="1" x14ac:dyDescent="0.25"/>
    <row r="202045" customFormat="1" x14ac:dyDescent="0.25"/>
    <row r="202046" customFormat="1" x14ac:dyDescent="0.25"/>
    <row r="202047" customFormat="1" x14ac:dyDescent="0.25"/>
    <row r="202048" customFormat="1" x14ac:dyDescent="0.25"/>
    <row r="202049" customFormat="1" x14ac:dyDescent="0.25"/>
    <row r="202050" customFormat="1" x14ac:dyDescent="0.25"/>
    <row r="202051" customFormat="1" x14ac:dyDescent="0.25"/>
    <row r="202052" customFormat="1" x14ac:dyDescent="0.25"/>
    <row r="202053" customFormat="1" x14ac:dyDescent="0.25"/>
    <row r="202054" customFormat="1" x14ac:dyDescent="0.25"/>
    <row r="202055" customFormat="1" x14ac:dyDescent="0.25"/>
    <row r="202056" customFormat="1" x14ac:dyDescent="0.25"/>
    <row r="202057" customFormat="1" x14ac:dyDescent="0.25"/>
    <row r="202058" customFormat="1" x14ac:dyDescent="0.25"/>
    <row r="202059" customFormat="1" x14ac:dyDescent="0.25"/>
    <row r="202060" customFormat="1" x14ac:dyDescent="0.25"/>
    <row r="202061" customFormat="1" x14ac:dyDescent="0.25"/>
    <row r="202062" customFormat="1" x14ac:dyDescent="0.25"/>
    <row r="202063" customFormat="1" x14ac:dyDescent="0.25"/>
    <row r="202064" customFormat="1" x14ac:dyDescent="0.25"/>
    <row r="202065" customFormat="1" x14ac:dyDescent="0.25"/>
    <row r="202066" customFormat="1" x14ac:dyDescent="0.25"/>
    <row r="202067" customFormat="1" x14ac:dyDescent="0.25"/>
    <row r="202068" customFormat="1" x14ac:dyDescent="0.25"/>
    <row r="202069" customFormat="1" x14ac:dyDescent="0.25"/>
    <row r="202070" customFormat="1" x14ac:dyDescent="0.25"/>
    <row r="202071" customFormat="1" x14ac:dyDescent="0.25"/>
    <row r="202072" customFormat="1" x14ac:dyDescent="0.25"/>
    <row r="202073" customFormat="1" x14ac:dyDescent="0.25"/>
    <row r="202074" customFormat="1" x14ac:dyDescent="0.25"/>
    <row r="202075" customFormat="1" x14ac:dyDescent="0.25"/>
    <row r="202076" customFormat="1" x14ac:dyDescent="0.25"/>
    <row r="202077" customFormat="1" x14ac:dyDescent="0.25"/>
    <row r="202078" customFormat="1" x14ac:dyDescent="0.25"/>
    <row r="202079" customFormat="1" x14ac:dyDescent="0.25"/>
    <row r="202080" customFormat="1" x14ac:dyDescent="0.25"/>
    <row r="202081" customFormat="1" x14ac:dyDescent="0.25"/>
    <row r="202082" customFormat="1" x14ac:dyDescent="0.25"/>
    <row r="202083" customFormat="1" x14ac:dyDescent="0.25"/>
    <row r="202084" customFormat="1" x14ac:dyDescent="0.25"/>
    <row r="202085" customFormat="1" x14ac:dyDescent="0.25"/>
    <row r="202086" customFormat="1" x14ac:dyDescent="0.25"/>
    <row r="202087" customFormat="1" x14ac:dyDescent="0.25"/>
    <row r="202088" customFormat="1" x14ac:dyDescent="0.25"/>
    <row r="202089" customFormat="1" x14ac:dyDescent="0.25"/>
    <row r="202090" customFormat="1" x14ac:dyDescent="0.25"/>
    <row r="202091" customFormat="1" x14ac:dyDescent="0.25"/>
    <row r="202092" customFormat="1" x14ac:dyDescent="0.25"/>
    <row r="202093" customFormat="1" x14ac:dyDescent="0.25"/>
    <row r="202094" customFormat="1" x14ac:dyDescent="0.25"/>
    <row r="202095" customFormat="1" x14ac:dyDescent="0.25"/>
    <row r="202096" customFormat="1" x14ac:dyDescent="0.25"/>
    <row r="202097" customFormat="1" x14ac:dyDescent="0.25"/>
    <row r="202098" customFormat="1" x14ac:dyDescent="0.25"/>
    <row r="202099" customFormat="1" x14ac:dyDescent="0.25"/>
    <row r="202100" customFormat="1" x14ac:dyDescent="0.25"/>
    <row r="202101" customFormat="1" x14ac:dyDescent="0.25"/>
    <row r="202102" customFormat="1" x14ac:dyDescent="0.25"/>
    <row r="202103" customFormat="1" x14ac:dyDescent="0.25"/>
    <row r="202104" customFormat="1" x14ac:dyDescent="0.25"/>
    <row r="202105" customFormat="1" x14ac:dyDescent="0.25"/>
    <row r="202106" customFormat="1" x14ac:dyDescent="0.25"/>
    <row r="202107" customFormat="1" x14ac:dyDescent="0.25"/>
    <row r="202108" customFormat="1" x14ac:dyDescent="0.25"/>
    <row r="202109" customFormat="1" x14ac:dyDescent="0.25"/>
    <row r="202110" customFormat="1" x14ac:dyDescent="0.25"/>
    <row r="202111" customFormat="1" x14ac:dyDescent="0.25"/>
    <row r="202112" customFormat="1" x14ac:dyDescent="0.25"/>
    <row r="202113" customFormat="1" x14ac:dyDescent="0.25"/>
    <row r="202114" customFormat="1" x14ac:dyDescent="0.25"/>
    <row r="202115" customFormat="1" x14ac:dyDescent="0.25"/>
    <row r="202116" customFormat="1" x14ac:dyDescent="0.25"/>
    <row r="202117" customFormat="1" x14ac:dyDescent="0.25"/>
    <row r="202118" customFormat="1" x14ac:dyDescent="0.25"/>
    <row r="202119" customFormat="1" x14ac:dyDescent="0.25"/>
    <row r="202120" customFormat="1" x14ac:dyDescent="0.25"/>
    <row r="202121" customFormat="1" x14ac:dyDescent="0.25"/>
    <row r="202122" customFormat="1" x14ac:dyDescent="0.25"/>
    <row r="202123" customFormat="1" x14ac:dyDescent="0.25"/>
    <row r="202124" customFormat="1" x14ac:dyDescent="0.25"/>
    <row r="202125" customFormat="1" x14ac:dyDescent="0.25"/>
    <row r="202126" customFormat="1" x14ac:dyDescent="0.25"/>
    <row r="202127" customFormat="1" x14ac:dyDescent="0.25"/>
    <row r="202128" customFormat="1" x14ac:dyDescent="0.25"/>
    <row r="202129" customFormat="1" x14ac:dyDescent="0.25"/>
    <row r="202130" customFormat="1" x14ac:dyDescent="0.25"/>
    <row r="202131" customFormat="1" x14ac:dyDescent="0.25"/>
    <row r="202132" customFormat="1" x14ac:dyDescent="0.25"/>
    <row r="202133" customFormat="1" x14ac:dyDescent="0.25"/>
    <row r="202134" customFormat="1" x14ac:dyDescent="0.25"/>
    <row r="202135" customFormat="1" x14ac:dyDescent="0.25"/>
    <row r="202136" customFormat="1" x14ac:dyDescent="0.25"/>
    <row r="202137" customFormat="1" x14ac:dyDescent="0.25"/>
    <row r="202138" customFormat="1" x14ac:dyDescent="0.25"/>
    <row r="202139" customFormat="1" x14ac:dyDescent="0.25"/>
    <row r="202140" customFormat="1" x14ac:dyDescent="0.25"/>
    <row r="202141" customFormat="1" x14ac:dyDescent="0.25"/>
    <row r="202142" customFormat="1" x14ac:dyDescent="0.25"/>
    <row r="202143" customFormat="1" x14ac:dyDescent="0.25"/>
    <row r="202144" customFormat="1" x14ac:dyDescent="0.25"/>
    <row r="202145" customFormat="1" x14ac:dyDescent="0.25"/>
    <row r="202146" customFormat="1" x14ac:dyDescent="0.25"/>
    <row r="202147" customFormat="1" x14ac:dyDescent="0.25"/>
    <row r="202148" customFormat="1" x14ac:dyDescent="0.25"/>
    <row r="202149" customFormat="1" x14ac:dyDescent="0.25"/>
    <row r="202150" customFormat="1" x14ac:dyDescent="0.25"/>
    <row r="202151" customFormat="1" x14ac:dyDescent="0.25"/>
    <row r="202152" customFormat="1" x14ac:dyDescent="0.25"/>
    <row r="202153" customFormat="1" x14ac:dyDescent="0.25"/>
    <row r="202154" customFormat="1" x14ac:dyDescent="0.25"/>
    <row r="202155" customFormat="1" x14ac:dyDescent="0.25"/>
    <row r="202156" customFormat="1" x14ac:dyDescent="0.25"/>
    <row r="202157" customFormat="1" x14ac:dyDescent="0.25"/>
    <row r="202158" customFormat="1" x14ac:dyDescent="0.25"/>
    <row r="202159" customFormat="1" x14ac:dyDescent="0.25"/>
    <row r="202160" customFormat="1" x14ac:dyDescent="0.25"/>
    <row r="202161" customFormat="1" x14ac:dyDescent="0.25"/>
    <row r="202162" customFormat="1" x14ac:dyDescent="0.25"/>
    <row r="202163" customFormat="1" x14ac:dyDescent="0.25"/>
    <row r="202164" customFormat="1" x14ac:dyDescent="0.25"/>
    <row r="202165" customFormat="1" x14ac:dyDescent="0.25"/>
    <row r="202166" customFormat="1" x14ac:dyDescent="0.25"/>
    <row r="202167" customFormat="1" x14ac:dyDescent="0.25"/>
    <row r="202168" customFormat="1" x14ac:dyDescent="0.25"/>
    <row r="202169" customFormat="1" x14ac:dyDescent="0.25"/>
    <row r="202170" customFormat="1" x14ac:dyDescent="0.25"/>
    <row r="202171" customFormat="1" x14ac:dyDescent="0.25"/>
    <row r="202172" customFormat="1" x14ac:dyDescent="0.25"/>
    <row r="202173" customFormat="1" x14ac:dyDescent="0.25"/>
    <row r="202174" customFormat="1" x14ac:dyDescent="0.25"/>
    <row r="202175" customFormat="1" x14ac:dyDescent="0.25"/>
    <row r="202176" customFormat="1" x14ac:dyDescent="0.25"/>
    <row r="202177" customFormat="1" x14ac:dyDescent="0.25"/>
    <row r="202178" customFormat="1" x14ac:dyDescent="0.25"/>
    <row r="202179" customFormat="1" x14ac:dyDescent="0.25"/>
    <row r="202180" customFormat="1" x14ac:dyDescent="0.25"/>
    <row r="202181" customFormat="1" x14ac:dyDescent="0.25"/>
    <row r="202182" customFormat="1" x14ac:dyDescent="0.25"/>
    <row r="202183" customFormat="1" x14ac:dyDescent="0.25"/>
    <row r="202184" customFormat="1" x14ac:dyDescent="0.25"/>
    <row r="202185" customFormat="1" x14ac:dyDescent="0.25"/>
    <row r="202186" customFormat="1" x14ac:dyDescent="0.25"/>
    <row r="202187" customFormat="1" x14ac:dyDescent="0.25"/>
    <row r="202188" customFormat="1" x14ac:dyDescent="0.25"/>
    <row r="202189" customFormat="1" x14ac:dyDescent="0.25"/>
    <row r="202190" customFormat="1" x14ac:dyDescent="0.25"/>
    <row r="202191" customFormat="1" x14ac:dyDescent="0.25"/>
    <row r="202192" customFormat="1" x14ac:dyDescent="0.25"/>
    <row r="202193" customFormat="1" x14ac:dyDescent="0.25"/>
    <row r="202194" customFormat="1" x14ac:dyDescent="0.25"/>
    <row r="202195" customFormat="1" x14ac:dyDescent="0.25"/>
    <row r="202196" customFormat="1" x14ac:dyDescent="0.25"/>
    <row r="202197" customFormat="1" x14ac:dyDescent="0.25"/>
    <row r="202198" customFormat="1" x14ac:dyDescent="0.25"/>
    <row r="202199" customFormat="1" x14ac:dyDescent="0.25"/>
    <row r="202200" customFormat="1" x14ac:dyDescent="0.25"/>
    <row r="202201" customFormat="1" x14ac:dyDescent="0.25"/>
    <row r="202202" customFormat="1" x14ac:dyDescent="0.25"/>
    <row r="202203" customFormat="1" x14ac:dyDescent="0.25"/>
    <row r="202204" customFormat="1" x14ac:dyDescent="0.25"/>
    <row r="202205" customFormat="1" x14ac:dyDescent="0.25"/>
    <row r="202206" customFormat="1" x14ac:dyDescent="0.25"/>
    <row r="202207" customFormat="1" x14ac:dyDescent="0.25"/>
    <row r="202208" customFormat="1" x14ac:dyDescent="0.25"/>
    <row r="202209" customFormat="1" x14ac:dyDescent="0.25"/>
    <row r="202210" customFormat="1" x14ac:dyDescent="0.25"/>
    <row r="202211" customFormat="1" x14ac:dyDescent="0.25"/>
    <row r="202212" customFormat="1" x14ac:dyDescent="0.25"/>
    <row r="202213" customFormat="1" x14ac:dyDescent="0.25"/>
    <row r="202214" customFormat="1" x14ac:dyDescent="0.25"/>
    <row r="202215" customFormat="1" x14ac:dyDescent="0.25"/>
    <row r="202216" customFormat="1" x14ac:dyDescent="0.25"/>
    <row r="202217" customFormat="1" x14ac:dyDescent="0.25"/>
    <row r="202218" customFormat="1" x14ac:dyDescent="0.25"/>
    <row r="202219" customFormat="1" x14ac:dyDescent="0.25"/>
    <row r="202220" customFormat="1" x14ac:dyDescent="0.25"/>
    <row r="202221" customFormat="1" x14ac:dyDescent="0.25"/>
    <row r="202222" customFormat="1" x14ac:dyDescent="0.25"/>
    <row r="202223" customFormat="1" x14ac:dyDescent="0.25"/>
    <row r="202224" customFormat="1" x14ac:dyDescent="0.25"/>
    <row r="202225" customFormat="1" x14ac:dyDescent="0.25"/>
    <row r="202226" customFormat="1" x14ac:dyDescent="0.25"/>
    <row r="202227" customFormat="1" x14ac:dyDescent="0.25"/>
    <row r="202228" customFormat="1" x14ac:dyDescent="0.25"/>
    <row r="202229" customFormat="1" x14ac:dyDescent="0.25"/>
    <row r="202230" customFormat="1" x14ac:dyDescent="0.25"/>
    <row r="202231" customFormat="1" x14ac:dyDescent="0.25"/>
    <row r="202232" customFormat="1" x14ac:dyDescent="0.25"/>
    <row r="202233" customFormat="1" x14ac:dyDescent="0.25"/>
    <row r="202234" customFormat="1" x14ac:dyDescent="0.25"/>
    <row r="202235" customFormat="1" x14ac:dyDescent="0.25"/>
    <row r="202236" customFormat="1" x14ac:dyDescent="0.25"/>
    <row r="202237" customFormat="1" x14ac:dyDescent="0.25"/>
    <row r="202238" customFormat="1" x14ac:dyDescent="0.25"/>
    <row r="202239" customFormat="1" x14ac:dyDescent="0.25"/>
    <row r="202240" customFormat="1" x14ac:dyDescent="0.25"/>
    <row r="202241" customFormat="1" x14ac:dyDescent="0.25"/>
    <row r="202242" customFormat="1" x14ac:dyDescent="0.25"/>
    <row r="202243" customFormat="1" x14ac:dyDescent="0.25"/>
    <row r="202244" customFormat="1" x14ac:dyDescent="0.25"/>
    <row r="202245" customFormat="1" x14ac:dyDescent="0.25"/>
    <row r="202246" customFormat="1" x14ac:dyDescent="0.25"/>
    <row r="202247" customFormat="1" x14ac:dyDescent="0.25"/>
    <row r="202248" customFormat="1" x14ac:dyDescent="0.25"/>
    <row r="202249" customFormat="1" x14ac:dyDescent="0.25"/>
    <row r="202250" customFormat="1" x14ac:dyDescent="0.25"/>
    <row r="202251" customFormat="1" x14ac:dyDescent="0.25"/>
    <row r="202252" customFormat="1" x14ac:dyDescent="0.25"/>
    <row r="202253" customFormat="1" x14ac:dyDescent="0.25"/>
    <row r="202254" customFormat="1" x14ac:dyDescent="0.25"/>
    <row r="202255" customFormat="1" x14ac:dyDescent="0.25"/>
    <row r="202256" customFormat="1" x14ac:dyDescent="0.25"/>
    <row r="202257" customFormat="1" x14ac:dyDescent="0.25"/>
    <row r="202258" customFormat="1" x14ac:dyDescent="0.25"/>
    <row r="202259" customFormat="1" x14ac:dyDescent="0.25"/>
    <row r="202260" customFormat="1" x14ac:dyDescent="0.25"/>
    <row r="202261" customFormat="1" x14ac:dyDescent="0.25"/>
    <row r="202262" customFormat="1" x14ac:dyDescent="0.25"/>
    <row r="202263" customFormat="1" x14ac:dyDescent="0.25"/>
    <row r="202264" customFormat="1" x14ac:dyDescent="0.25"/>
    <row r="202265" customFormat="1" x14ac:dyDescent="0.25"/>
    <row r="202266" customFormat="1" x14ac:dyDescent="0.25"/>
    <row r="202267" customFormat="1" x14ac:dyDescent="0.25"/>
    <row r="202268" customFormat="1" x14ac:dyDescent="0.25"/>
    <row r="202269" customFormat="1" x14ac:dyDescent="0.25"/>
    <row r="202270" customFormat="1" x14ac:dyDescent="0.25"/>
    <row r="202271" customFormat="1" x14ac:dyDescent="0.25"/>
    <row r="202272" customFormat="1" x14ac:dyDescent="0.25"/>
    <row r="202273" customFormat="1" x14ac:dyDescent="0.25"/>
    <row r="202274" customFormat="1" x14ac:dyDescent="0.25"/>
    <row r="202275" customFormat="1" x14ac:dyDescent="0.25"/>
    <row r="202276" customFormat="1" x14ac:dyDescent="0.25"/>
    <row r="202277" customFormat="1" x14ac:dyDescent="0.25"/>
    <row r="202278" customFormat="1" x14ac:dyDescent="0.25"/>
    <row r="202279" customFormat="1" x14ac:dyDescent="0.25"/>
    <row r="202280" customFormat="1" x14ac:dyDescent="0.25"/>
    <row r="202281" customFormat="1" x14ac:dyDescent="0.25"/>
    <row r="202282" customFormat="1" x14ac:dyDescent="0.25"/>
    <row r="202283" customFormat="1" x14ac:dyDescent="0.25"/>
    <row r="202284" customFormat="1" x14ac:dyDescent="0.25"/>
    <row r="202285" customFormat="1" x14ac:dyDescent="0.25"/>
    <row r="202286" customFormat="1" x14ac:dyDescent="0.25"/>
    <row r="202287" customFormat="1" x14ac:dyDescent="0.25"/>
    <row r="202288" customFormat="1" x14ac:dyDescent="0.25"/>
    <row r="202289" customFormat="1" x14ac:dyDescent="0.25"/>
    <row r="202290" customFormat="1" x14ac:dyDescent="0.25"/>
    <row r="202291" customFormat="1" x14ac:dyDescent="0.25"/>
    <row r="202292" customFormat="1" x14ac:dyDescent="0.25"/>
    <row r="202293" customFormat="1" x14ac:dyDescent="0.25"/>
    <row r="202294" customFormat="1" x14ac:dyDescent="0.25"/>
    <row r="202295" customFormat="1" x14ac:dyDescent="0.25"/>
    <row r="202296" customFormat="1" x14ac:dyDescent="0.25"/>
    <row r="202297" customFormat="1" x14ac:dyDescent="0.25"/>
    <row r="202298" customFormat="1" x14ac:dyDescent="0.25"/>
    <row r="202299" customFormat="1" x14ac:dyDescent="0.25"/>
    <row r="202300" customFormat="1" x14ac:dyDescent="0.25"/>
    <row r="202301" customFormat="1" x14ac:dyDescent="0.25"/>
    <row r="202302" customFormat="1" x14ac:dyDescent="0.25"/>
    <row r="202303" customFormat="1" x14ac:dyDescent="0.25"/>
    <row r="202304" customFormat="1" x14ac:dyDescent="0.25"/>
    <row r="202305" customFormat="1" x14ac:dyDescent="0.25"/>
    <row r="202306" customFormat="1" x14ac:dyDescent="0.25"/>
    <row r="202307" customFormat="1" x14ac:dyDescent="0.25"/>
    <row r="202308" customFormat="1" x14ac:dyDescent="0.25"/>
    <row r="202309" customFormat="1" x14ac:dyDescent="0.25"/>
    <row r="202310" customFormat="1" x14ac:dyDescent="0.25"/>
    <row r="202311" customFormat="1" x14ac:dyDescent="0.25"/>
    <row r="202312" customFormat="1" x14ac:dyDescent="0.25"/>
    <row r="202313" customFormat="1" x14ac:dyDescent="0.25"/>
    <row r="202314" customFormat="1" x14ac:dyDescent="0.25"/>
    <row r="202315" customFormat="1" x14ac:dyDescent="0.25"/>
    <row r="202316" customFormat="1" x14ac:dyDescent="0.25"/>
    <row r="202317" customFormat="1" x14ac:dyDescent="0.25"/>
    <row r="202318" customFormat="1" x14ac:dyDescent="0.25"/>
    <row r="202319" customFormat="1" x14ac:dyDescent="0.25"/>
    <row r="202320" customFormat="1" x14ac:dyDescent="0.25"/>
    <row r="202321" customFormat="1" x14ac:dyDescent="0.25"/>
    <row r="202322" customFormat="1" x14ac:dyDescent="0.25"/>
    <row r="202323" customFormat="1" x14ac:dyDescent="0.25"/>
    <row r="202324" customFormat="1" x14ac:dyDescent="0.25"/>
    <row r="202325" customFormat="1" x14ac:dyDescent="0.25"/>
    <row r="202326" customFormat="1" x14ac:dyDescent="0.25"/>
    <row r="202327" customFormat="1" x14ac:dyDescent="0.25"/>
    <row r="202328" customFormat="1" x14ac:dyDescent="0.25"/>
    <row r="202329" customFormat="1" x14ac:dyDescent="0.25"/>
    <row r="202330" customFormat="1" x14ac:dyDescent="0.25"/>
    <row r="202331" customFormat="1" x14ac:dyDescent="0.25"/>
    <row r="202332" customFormat="1" x14ac:dyDescent="0.25"/>
    <row r="202333" customFormat="1" x14ac:dyDescent="0.25"/>
    <row r="202334" customFormat="1" x14ac:dyDescent="0.25"/>
    <row r="202335" customFormat="1" x14ac:dyDescent="0.25"/>
    <row r="202336" customFormat="1" x14ac:dyDescent="0.25"/>
    <row r="202337" customFormat="1" x14ac:dyDescent="0.25"/>
    <row r="202338" customFormat="1" x14ac:dyDescent="0.25"/>
    <row r="202339" customFormat="1" x14ac:dyDescent="0.25"/>
    <row r="202340" customFormat="1" x14ac:dyDescent="0.25"/>
    <row r="202341" customFormat="1" x14ac:dyDescent="0.25"/>
    <row r="202342" customFormat="1" x14ac:dyDescent="0.25"/>
    <row r="202343" customFormat="1" x14ac:dyDescent="0.25"/>
    <row r="202344" customFormat="1" x14ac:dyDescent="0.25"/>
    <row r="202345" customFormat="1" x14ac:dyDescent="0.25"/>
    <row r="202346" customFormat="1" x14ac:dyDescent="0.25"/>
    <row r="202347" customFormat="1" x14ac:dyDescent="0.25"/>
    <row r="202348" customFormat="1" x14ac:dyDescent="0.25"/>
    <row r="202349" customFormat="1" x14ac:dyDescent="0.25"/>
    <row r="202350" customFormat="1" x14ac:dyDescent="0.25"/>
    <row r="202351" customFormat="1" x14ac:dyDescent="0.25"/>
    <row r="202352" customFormat="1" x14ac:dyDescent="0.25"/>
    <row r="202353" customFormat="1" x14ac:dyDescent="0.25"/>
    <row r="202354" customFormat="1" x14ac:dyDescent="0.25"/>
    <row r="202355" customFormat="1" x14ac:dyDescent="0.25"/>
    <row r="202356" customFormat="1" x14ac:dyDescent="0.25"/>
    <row r="202357" customFormat="1" x14ac:dyDescent="0.25"/>
    <row r="202358" customFormat="1" x14ac:dyDescent="0.25"/>
    <row r="202359" customFormat="1" x14ac:dyDescent="0.25"/>
    <row r="202360" customFormat="1" x14ac:dyDescent="0.25"/>
    <row r="202361" customFormat="1" x14ac:dyDescent="0.25"/>
    <row r="202362" customFormat="1" x14ac:dyDescent="0.25"/>
    <row r="202363" customFormat="1" x14ac:dyDescent="0.25"/>
    <row r="202364" customFormat="1" x14ac:dyDescent="0.25"/>
    <row r="202365" customFormat="1" x14ac:dyDescent="0.25"/>
    <row r="202366" customFormat="1" x14ac:dyDescent="0.25"/>
    <row r="202367" customFormat="1" x14ac:dyDescent="0.25"/>
    <row r="202368" customFormat="1" x14ac:dyDescent="0.25"/>
    <row r="202369" customFormat="1" x14ac:dyDescent="0.25"/>
    <row r="202370" customFormat="1" x14ac:dyDescent="0.25"/>
    <row r="202371" customFormat="1" x14ac:dyDescent="0.25"/>
    <row r="202372" customFormat="1" x14ac:dyDescent="0.25"/>
    <row r="202373" customFormat="1" x14ac:dyDescent="0.25"/>
    <row r="202374" customFormat="1" x14ac:dyDescent="0.25"/>
    <row r="202375" customFormat="1" x14ac:dyDescent="0.25"/>
    <row r="202376" customFormat="1" x14ac:dyDescent="0.25"/>
    <row r="202377" customFormat="1" x14ac:dyDescent="0.25"/>
    <row r="202378" customFormat="1" x14ac:dyDescent="0.25"/>
    <row r="202379" customFormat="1" x14ac:dyDescent="0.25"/>
    <row r="202380" customFormat="1" x14ac:dyDescent="0.25"/>
    <row r="202381" customFormat="1" x14ac:dyDescent="0.25"/>
    <row r="202382" customFormat="1" x14ac:dyDescent="0.25"/>
    <row r="202383" customFormat="1" x14ac:dyDescent="0.25"/>
    <row r="202384" customFormat="1" x14ac:dyDescent="0.25"/>
    <row r="202385" customFormat="1" x14ac:dyDescent="0.25"/>
    <row r="202386" customFormat="1" x14ac:dyDescent="0.25"/>
    <row r="202387" customFormat="1" x14ac:dyDescent="0.25"/>
    <row r="202388" customFormat="1" x14ac:dyDescent="0.25"/>
    <row r="202389" customFormat="1" x14ac:dyDescent="0.25"/>
    <row r="202390" customFormat="1" x14ac:dyDescent="0.25"/>
    <row r="202391" customFormat="1" x14ac:dyDescent="0.25"/>
    <row r="202392" customFormat="1" x14ac:dyDescent="0.25"/>
    <row r="202393" customFormat="1" x14ac:dyDescent="0.25"/>
    <row r="202394" customFormat="1" x14ac:dyDescent="0.25"/>
    <row r="202395" customFormat="1" x14ac:dyDescent="0.25"/>
    <row r="202396" customFormat="1" x14ac:dyDescent="0.25"/>
    <row r="202397" customFormat="1" x14ac:dyDescent="0.25"/>
    <row r="202398" customFormat="1" x14ac:dyDescent="0.25"/>
    <row r="202399" customFormat="1" x14ac:dyDescent="0.25"/>
    <row r="202400" customFormat="1" x14ac:dyDescent="0.25"/>
    <row r="202401" customFormat="1" x14ac:dyDescent="0.25"/>
    <row r="202402" customFormat="1" x14ac:dyDescent="0.25"/>
    <row r="202403" customFormat="1" x14ac:dyDescent="0.25"/>
    <row r="202404" customFormat="1" x14ac:dyDescent="0.25"/>
    <row r="202405" customFormat="1" x14ac:dyDescent="0.25"/>
    <row r="202406" customFormat="1" x14ac:dyDescent="0.25"/>
    <row r="202407" customFormat="1" x14ac:dyDescent="0.25"/>
    <row r="202408" customFormat="1" x14ac:dyDescent="0.25"/>
    <row r="202409" customFormat="1" x14ac:dyDescent="0.25"/>
    <row r="202410" customFormat="1" x14ac:dyDescent="0.25"/>
    <row r="202411" customFormat="1" x14ac:dyDescent="0.25"/>
    <row r="202412" customFormat="1" x14ac:dyDescent="0.25"/>
    <row r="202413" customFormat="1" x14ac:dyDescent="0.25"/>
    <row r="202414" customFormat="1" x14ac:dyDescent="0.25"/>
    <row r="202415" customFormat="1" x14ac:dyDescent="0.25"/>
    <row r="202416" customFormat="1" x14ac:dyDescent="0.25"/>
    <row r="202417" customFormat="1" x14ac:dyDescent="0.25"/>
    <row r="202418" customFormat="1" x14ac:dyDescent="0.25"/>
    <row r="202419" customFormat="1" x14ac:dyDescent="0.25"/>
    <row r="202420" customFormat="1" x14ac:dyDescent="0.25"/>
    <row r="202421" customFormat="1" x14ac:dyDescent="0.25"/>
    <row r="202422" customFormat="1" x14ac:dyDescent="0.25"/>
    <row r="202423" customFormat="1" x14ac:dyDescent="0.25"/>
    <row r="202424" customFormat="1" x14ac:dyDescent="0.25"/>
    <row r="202425" customFormat="1" x14ac:dyDescent="0.25"/>
    <row r="202426" customFormat="1" x14ac:dyDescent="0.25"/>
    <row r="202427" customFormat="1" x14ac:dyDescent="0.25"/>
    <row r="202428" customFormat="1" x14ac:dyDescent="0.25"/>
    <row r="202429" customFormat="1" x14ac:dyDescent="0.25"/>
    <row r="202430" customFormat="1" x14ac:dyDescent="0.25"/>
    <row r="202431" customFormat="1" x14ac:dyDescent="0.25"/>
    <row r="202432" customFormat="1" x14ac:dyDescent="0.25"/>
    <row r="202433" customFormat="1" x14ac:dyDescent="0.25"/>
    <row r="202434" customFormat="1" x14ac:dyDescent="0.25"/>
    <row r="202435" customFormat="1" x14ac:dyDescent="0.25"/>
    <row r="202436" customFormat="1" x14ac:dyDescent="0.25"/>
    <row r="202437" customFormat="1" x14ac:dyDescent="0.25"/>
    <row r="202438" customFormat="1" x14ac:dyDescent="0.25"/>
    <row r="202439" customFormat="1" x14ac:dyDescent="0.25"/>
    <row r="202440" customFormat="1" x14ac:dyDescent="0.25"/>
    <row r="202441" customFormat="1" x14ac:dyDescent="0.25"/>
    <row r="202442" customFormat="1" x14ac:dyDescent="0.25"/>
    <row r="202443" customFormat="1" x14ac:dyDescent="0.25"/>
    <row r="202444" customFormat="1" x14ac:dyDescent="0.25"/>
    <row r="202445" customFormat="1" x14ac:dyDescent="0.25"/>
    <row r="202446" customFormat="1" x14ac:dyDescent="0.25"/>
    <row r="202447" customFormat="1" x14ac:dyDescent="0.25"/>
    <row r="202448" customFormat="1" x14ac:dyDescent="0.25"/>
    <row r="202449" customFormat="1" x14ac:dyDescent="0.25"/>
    <row r="202450" customFormat="1" x14ac:dyDescent="0.25"/>
    <row r="202451" customFormat="1" x14ac:dyDescent="0.25"/>
    <row r="202452" customFormat="1" x14ac:dyDescent="0.25"/>
    <row r="202453" customFormat="1" x14ac:dyDescent="0.25"/>
    <row r="202454" customFormat="1" x14ac:dyDescent="0.25"/>
    <row r="202455" customFormat="1" x14ac:dyDescent="0.25"/>
    <row r="202456" customFormat="1" x14ac:dyDescent="0.25"/>
    <row r="202457" customFormat="1" x14ac:dyDescent="0.25"/>
    <row r="202458" customFormat="1" x14ac:dyDescent="0.25"/>
    <row r="202459" customFormat="1" x14ac:dyDescent="0.25"/>
    <row r="202460" customFormat="1" x14ac:dyDescent="0.25"/>
    <row r="202461" customFormat="1" x14ac:dyDescent="0.25"/>
    <row r="202462" customFormat="1" x14ac:dyDescent="0.25"/>
    <row r="202463" customFormat="1" x14ac:dyDescent="0.25"/>
    <row r="202464" customFormat="1" x14ac:dyDescent="0.25"/>
    <row r="202465" customFormat="1" x14ac:dyDescent="0.25"/>
    <row r="202466" customFormat="1" x14ac:dyDescent="0.25"/>
    <row r="202467" customFormat="1" x14ac:dyDescent="0.25"/>
    <row r="202468" customFormat="1" x14ac:dyDescent="0.25"/>
    <row r="202469" customFormat="1" x14ac:dyDescent="0.25"/>
    <row r="202470" customFormat="1" x14ac:dyDescent="0.25"/>
    <row r="202471" customFormat="1" x14ac:dyDescent="0.25"/>
    <row r="202472" customFormat="1" x14ac:dyDescent="0.25"/>
    <row r="202473" customFormat="1" x14ac:dyDescent="0.25"/>
    <row r="202474" customFormat="1" x14ac:dyDescent="0.25"/>
    <row r="202475" customFormat="1" x14ac:dyDescent="0.25"/>
    <row r="202476" customFormat="1" x14ac:dyDescent="0.25"/>
    <row r="202477" customFormat="1" x14ac:dyDescent="0.25"/>
    <row r="202478" customFormat="1" x14ac:dyDescent="0.25"/>
    <row r="202479" customFormat="1" x14ac:dyDescent="0.25"/>
    <row r="202480" customFormat="1" x14ac:dyDescent="0.25"/>
    <row r="202481" customFormat="1" x14ac:dyDescent="0.25"/>
    <row r="202482" customFormat="1" x14ac:dyDescent="0.25"/>
    <row r="202483" customFormat="1" x14ac:dyDescent="0.25"/>
    <row r="202484" customFormat="1" x14ac:dyDescent="0.25"/>
    <row r="202485" customFormat="1" x14ac:dyDescent="0.25"/>
    <row r="202486" customFormat="1" x14ac:dyDescent="0.25"/>
    <row r="202487" customFormat="1" x14ac:dyDescent="0.25"/>
    <row r="202488" customFormat="1" x14ac:dyDescent="0.25"/>
    <row r="202489" customFormat="1" x14ac:dyDescent="0.25"/>
    <row r="202490" customFormat="1" x14ac:dyDescent="0.25"/>
    <row r="202491" customFormat="1" x14ac:dyDescent="0.25"/>
    <row r="202492" customFormat="1" x14ac:dyDescent="0.25"/>
    <row r="202493" customFormat="1" x14ac:dyDescent="0.25"/>
    <row r="202494" customFormat="1" x14ac:dyDescent="0.25"/>
    <row r="202495" customFormat="1" x14ac:dyDescent="0.25"/>
    <row r="202496" customFormat="1" x14ac:dyDescent="0.25"/>
    <row r="202497" customFormat="1" x14ac:dyDescent="0.25"/>
    <row r="202498" customFormat="1" x14ac:dyDescent="0.25"/>
    <row r="202499" customFormat="1" x14ac:dyDescent="0.25"/>
    <row r="202500" customFormat="1" x14ac:dyDescent="0.25"/>
    <row r="202501" customFormat="1" x14ac:dyDescent="0.25"/>
    <row r="202502" customFormat="1" x14ac:dyDescent="0.25"/>
    <row r="202503" customFormat="1" x14ac:dyDescent="0.25"/>
    <row r="202504" customFormat="1" x14ac:dyDescent="0.25"/>
    <row r="202505" customFormat="1" x14ac:dyDescent="0.25"/>
    <row r="202506" customFormat="1" x14ac:dyDescent="0.25"/>
    <row r="202507" customFormat="1" x14ac:dyDescent="0.25"/>
    <row r="202508" customFormat="1" x14ac:dyDescent="0.25"/>
    <row r="202509" customFormat="1" x14ac:dyDescent="0.25"/>
    <row r="202510" customFormat="1" x14ac:dyDescent="0.25"/>
    <row r="202511" customFormat="1" x14ac:dyDescent="0.25"/>
    <row r="202512" customFormat="1" x14ac:dyDescent="0.25"/>
    <row r="202513" customFormat="1" x14ac:dyDescent="0.25"/>
    <row r="202514" customFormat="1" x14ac:dyDescent="0.25"/>
    <row r="202515" customFormat="1" x14ac:dyDescent="0.25"/>
    <row r="202516" customFormat="1" x14ac:dyDescent="0.25"/>
    <row r="202517" customFormat="1" x14ac:dyDescent="0.25"/>
    <row r="202518" customFormat="1" x14ac:dyDescent="0.25"/>
    <row r="202519" customFormat="1" x14ac:dyDescent="0.25"/>
    <row r="202520" customFormat="1" x14ac:dyDescent="0.25"/>
    <row r="202521" customFormat="1" x14ac:dyDescent="0.25"/>
    <row r="202522" customFormat="1" x14ac:dyDescent="0.25"/>
    <row r="202523" customFormat="1" x14ac:dyDescent="0.25"/>
    <row r="202524" customFormat="1" x14ac:dyDescent="0.25"/>
    <row r="202525" customFormat="1" x14ac:dyDescent="0.25"/>
    <row r="202526" customFormat="1" x14ac:dyDescent="0.25"/>
    <row r="202527" customFormat="1" x14ac:dyDescent="0.25"/>
    <row r="202528" customFormat="1" x14ac:dyDescent="0.25"/>
    <row r="202529" customFormat="1" x14ac:dyDescent="0.25"/>
    <row r="202530" customFormat="1" x14ac:dyDescent="0.25"/>
    <row r="202531" customFormat="1" x14ac:dyDescent="0.25"/>
    <row r="202532" customFormat="1" x14ac:dyDescent="0.25"/>
    <row r="202533" customFormat="1" x14ac:dyDescent="0.25"/>
    <row r="202534" customFormat="1" x14ac:dyDescent="0.25"/>
    <row r="202535" customFormat="1" x14ac:dyDescent="0.25"/>
    <row r="202536" customFormat="1" x14ac:dyDescent="0.25"/>
    <row r="202537" customFormat="1" x14ac:dyDescent="0.25"/>
    <row r="202538" customFormat="1" x14ac:dyDescent="0.25"/>
    <row r="202539" customFormat="1" x14ac:dyDescent="0.25"/>
    <row r="202540" customFormat="1" x14ac:dyDescent="0.25"/>
    <row r="202541" customFormat="1" x14ac:dyDescent="0.25"/>
    <row r="202542" customFormat="1" x14ac:dyDescent="0.25"/>
    <row r="202543" customFormat="1" x14ac:dyDescent="0.25"/>
    <row r="202544" customFormat="1" x14ac:dyDescent="0.25"/>
    <row r="202545" customFormat="1" x14ac:dyDescent="0.25"/>
    <row r="202546" customFormat="1" x14ac:dyDescent="0.25"/>
    <row r="202547" customFormat="1" x14ac:dyDescent="0.25"/>
    <row r="202548" customFormat="1" x14ac:dyDescent="0.25"/>
    <row r="202549" customFormat="1" x14ac:dyDescent="0.25"/>
    <row r="202550" customFormat="1" x14ac:dyDescent="0.25"/>
    <row r="202551" customFormat="1" x14ac:dyDescent="0.25"/>
    <row r="202552" customFormat="1" x14ac:dyDescent="0.25"/>
    <row r="202553" customFormat="1" x14ac:dyDescent="0.25"/>
    <row r="202554" customFormat="1" x14ac:dyDescent="0.25"/>
    <row r="202555" customFormat="1" x14ac:dyDescent="0.25"/>
    <row r="202556" customFormat="1" x14ac:dyDescent="0.25"/>
    <row r="202557" customFormat="1" x14ac:dyDescent="0.25"/>
    <row r="202558" customFormat="1" x14ac:dyDescent="0.25"/>
    <row r="202559" customFormat="1" x14ac:dyDescent="0.25"/>
    <row r="202560" customFormat="1" x14ac:dyDescent="0.25"/>
    <row r="202561" customFormat="1" x14ac:dyDescent="0.25"/>
    <row r="202562" customFormat="1" x14ac:dyDescent="0.25"/>
    <row r="202563" customFormat="1" x14ac:dyDescent="0.25"/>
    <row r="202564" customFormat="1" x14ac:dyDescent="0.25"/>
    <row r="202565" customFormat="1" x14ac:dyDescent="0.25"/>
    <row r="202566" customFormat="1" x14ac:dyDescent="0.25"/>
    <row r="202567" customFormat="1" x14ac:dyDescent="0.25"/>
    <row r="202568" customFormat="1" x14ac:dyDescent="0.25"/>
    <row r="202569" customFormat="1" x14ac:dyDescent="0.25"/>
    <row r="202570" customFormat="1" x14ac:dyDescent="0.25"/>
    <row r="202571" customFormat="1" x14ac:dyDescent="0.25"/>
    <row r="202572" customFormat="1" x14ac:dyDescent="0.25"/>
    <row r="202573" customFormat="1" x14ac:dyDescent="0.25"/>
    <row r="202574" customFormat="1" x14ac:dyDescent="0.25"/>
    <row r="202575" customFormat="1" x14ac:dyDescent="0.25"/>
    <row r="202576" customFormat="1" x14ac:dyDescent="0.25"/>
    <row r="202577" customFormat="1" x14ac:dyDescent="0.25"/>
    <row r="202578" customFormat="1" x14ac:dyDescent="0.25"/>
    <row r="202579" customFormat="1" x14ac:dyDescent="0.25"/>
    <row r="202580" customFormat="1" x14ac:dyDescent="0.25"/>
    <row r="202581" customFormat="1" x14ac:dyDescent="0.25"/>
    <row r="202582" customFormat="1" x14ac:dyDescent="0.25"/>
    <row r="202583" customFormat="1" x14ac:dyDescent="0.25"/>
    <row r="202584" customFormat="1" x14ac:dyDescent="0.25"/>
    <row r="202585" customFormat="1" x14ac:dyDescent="0.25"/>
    <row r="202586" customFormat="1" x14ac:dyDescent="0.25"/>
    <row r="202587" customFormat="1" x14ac:dyDescent="0.25"/>
    <row r="202588" customFormat="1" x14ac:dyDescent="0.25"/>
    <row r="202589" customFormat="1" x14ac:dyDescent="0.25"/>
    <row r="202590" customFormat="1" x14ac:dyDescent="0.25"/>
    <row r="202591" customFormat="1" x14ac:dyDescent="0.25"/>
    <row r="202592" customFormat="1" x14ac:dyDescent="0.25"/>
    <row r="202593" customFormat="1" x14ac:dyDescent="0.25"/>
    <row r="202594" customFormat="1" x14ac:dyDescent="0.25"/>
    <row r="202595" customFormat="1" x14ac:dyDescent="0.25"/>
    <row r="202596" customFormat="1" x14ac:dyDescent="0.25"/>
    <row r="202597" customFormat="1" x14ac:dyDescent="0.25"/>
    <row r="202598" customFormat="1" x14ac:dyDescent="0.25"/>
    <row r="202599" customFormat="1" x14ac:dyDescent="0.25"/>
    <row r="202600" customFormat="1" x14ac:dyDescent="0.25"/>
    <row r="202601" customFormat="1" x14ac:dyDescent="0.25"/>
    <row r="202602" customFormat="1" x14ac:dyDescent="0.25"/>
    <row r="202603" customFormat="1" x14ac:dyDescent="0.25"/>
    <row r="202604" customFormat="1" x14ac:dyDescent="0.25"/>
    <row r="202605" customFormat="1" x14ac:dyDescent="0.25"/>
    <row r="202606" customFormat="1" x14ac:dyDescent="0.25"/>
    <row r="202607" customFormat="1" x14ac:dyDescent="0.25"/>
    <row r="202608" customFormat="1" x14ac:dyDescent="0.25"/>
    <row r="202609" customFormat="1" x14ac:dyDescent="0.25"/>
    <row r="202610" customFormat="1" x14ac:dyDescent="0.25"/>
    <row r="202611" customFormat="1" x14ac:dyDescent="0.25"/>
    <row r="202612" customFormat="1" x14ac:dyDescent="0.25"/>
    <row r="202613" customFormat="1" x14ac:dyDescent="0.25"/>
    <row r="202614" customFormat="1" x14ac:dyDescent="0.25"/>
    <row r="202615" customFormat="1" x14ac:dyDescent="0.25"/>
    <row r="202616" customFormat="1" x14ac:dyDescent="0.25"/>
    <row r="202617" customFormat="1" x14ac:dyDescent="0.25"/>
    <row r="202618" customFormat="1" x14ac:dyDescent="0.25"/>
    <row r="202619" customFormat="1" x14ac:dyDescent="0.25"/>
    <row r="202620" customFormat="1" x14ac:dyDescent="0.25"/>
    <row r="202621" customFormat="1" x14ac:dyDescent="0.25"/>
    <row r="202622" customFormat="1" x14ac:dyDescent="0.25"/>
    <row r="202623" customFormat="1" x14ac:dyDescent="0.25"/>
    <row r="202624" customFormat="1" x14ac:dyDescent="0.25"/>
    <row r="202625" customFormat="1" x14ac:dyDescent="0.25"/>
    <row r="202626" customFormat="1" x14ac:dyDescent="0.25"/>
    <row r="202627" customFormat="1" x14ac:dyDescent="0.25"/>
    <row r="202628" customFormat="1" x14ac:dyDescent="0.25"/>
    <row r="202629" customFormat="1" x14ac:dyDescent="0.25"/>
    <row r="202630" customFormat="1" x14ac:dyDescent="0.25"/>
    <row r="202631" customFormat="1" x14ac:dyDescent="0.25"/>
    <row r="202632" customFormat="1" x14ac:dyDescent="0.25"/>
    <row r="202633" customFormat="1" x14ac:dyDescent="0.25"/>
    <row r="202634" customFormat="1" x14ac:dyDescent="0.25"/>
    <row r="202635" customFormat="1" x14ac:dyDescent="0.25"/>
    <row r="202636" customFormat="1" x14ac:dyDescent="0.25"/>
    <row r="202637" customFormat="1" x14ac:dyDescent="0.25"/>
    <row r="202638" customFormat="1" x14ac:dyDescent="0.25"/>
    <row r="202639" customFormat="1" x14ac:dyDescent="0.25"/>
    <row r="202640" customFormat="1" x14ac:dyDescent="0.25"/>
    <row r="202641" customFormat="1" x14ac:dyDescent="0.25"/>
    <row r="202642" customFormat="1" x14ac:dyDescent="0.25"/>
    <row r="202643" customFormat="1" x14ac:dyDescent="0.25"/>
    <row r="202644" customFormat="1" x14ac:dyDescent="0.25"/>
    <row r="202645" customFormat="1" x14ac:dyDescent="0.25"/>
    <row r="202646" customFormat="1" x14ac:dyDescent="0.25"/>
    <row r="202647" customFormat="1" x14ac:dyDescent="0.25"/>
    <row r="202648" customFormat="1" x14ac:dyDescent="0.25"/>
    <row r="202649" customFormat="1" x14ac:dyDescent="0.25"/>
    <row r="202650" customFormat="1" x14ac:dyDescent="0.25"/>
    <row r="202651" customFormat="1" x14ac:dyDescent="0.25"/>
    <row r="202652" customFormat="1" x14ac:dyDescent="0.25"/>
    <row r="202653" customFormat="1" x14ac:dyDescent="0.25"/>
    <row r="202654" customFormat="1" x14ac:dyDescent="0.25"/>
    <row r="202655" customFormat="1" x14ac:dyDescent="0.25"/>
    <row r="202656" customFormat="1" x14ac:dyDescent="0.25"/>
    <row r="202657" customFormat="1" x14ac:dyDescent="0.25"/>
    <row r="202658" customFormat="1" x14ac:dyDescent="0.25"/>
    <row r="202659" customFormat="1" x14ac:dyDescent="0.25"/>
    <row r="202660" customFormat="1" x14ac:dyDescent="0.25"/>
    <row r="202661" customFormat="1" x14ac:dyDescent="0.25"/>
    <row r="202662" customFormat="1" x14ac:dyDescent="0.25"/>
    <row r="202663" customFormat="1" x14ac:dyDescent="0.25"/>
    <row r="202664" customFormat="1" x14ac:dyDescent="0.25"/>
    <row r="202665" customFormat="1" x14ac:dyDescent="0.25"/>
    <row r="202666" customFormat="1" x14ac:dyDescent="0.25"/>
    <row r="202667" customFormat="1" x14ac:dyDescent="0.25"/>
    <row r="202668" customFormat="1" x14ac:dyDescent="0.25"/>
    <row r="202669" customFormat="1" x14ac:dyDescent="0.25"/>
    <row r="202670" customFormat="1" x14ac:dyDescent="0.25"/>
    <row r="202671" customFormat="1" x14ac:dyDescent="0.25"/>
    <row r="202672" customFormat="1" x14ac:dyDescent="0.25"/>
    <row r="202673" customFormat="1" x14ac:dyDescent="0.25"/>
    <row r="202674" customFormat="1" x14ac:dyDescent="0.25"/>
    <row r="202675" customFormat="1" x14ac:dyDescent="0.25"/>
    <row r="202676" customFormat="1" x14ac:dyDescent="0.25"/>
    <row r="202677" customFormat="1" x14ac:dyDescent="0.25"/>
    <row r="202678" customFormat="1" x14ac:dyDescent="0.25"/>
    <row r="202679" customFormat="1" x14ac:dyDescent="0.25"/>
    <row r="202680" customFormat="1" x14ac:dyDescent="0.25"/>
    <row r="202681" customFormat="1" x14ac:dyDescent="0.25"/>
    <row r="202682" customFormat="1" x14ac:dyDescent="0.25"/>
    <row r="202683" customFormat="1" x14ac:dyDescent="0.25"/>
    <row r="202684" customFormat="1" x14ac:dyDescent="0.25"/>
    <row r="202685" customFormat="1" x14ac:dyDescent="0.25"/>
    <row r="202686" customFormat="1" x14ac:dyDescent="0.25"/>
    <row r="202687" customFormat="1" x14ac:dyDescent="0.25"/>
    <row r="202688" customFormat="1" x14ac:dyDescent="0.25"/>
    <row r="202689" customFormat="1" x14ac:dyDescent="0.25"/>
    <row r="202690" customFormat="1" x14ac:dyDescent="0.25"/>
    <row r="202691" customFormat="1" x14ac:dyDescent="0.25"/>
    <row r="202692" customFormat="1" x14ac:dyDescent="0.25"/>
    <row r="202693" customFormat="1" x14ac:dyDescent="0.25"/>
    <row r="202694" customFormat="1" x14ac:dyDescent="0.25"/>
    <row r="202695" customFormat="1" x14ac:dyDescent="0.25"/>
    <row r="202696" customFormat="1" x14ac:dyDescent="0.25"/>
    <row r="202697" customFormat="1" x14ac:dyDescent="0.25"/>
    <row r="202698" customFormat="1" x14ac:dyDescent="0.25"/>
    <row r="202699" customFormat="1" x14ac:dyDescent="0.25"/>
    <row r="202700" customFormat="1" x14ac:dyDescent="0.25"/>
    <row r="202701" customFormat="1" x14ac:dyDescent="0.25"/>
    <row r="202702" customFormat="1" x14ac:dyDescent="0.25"/>
    <row r="202703" customFormat="1" x14ac:dyDescent="0.25"/>
    <row r="202704" customFormat="1" x14ac:dyDescent="0.25"/>
    <row r="202705" customFormat="1" x14ac:dyDescent="0.25"/>
    <row r="202706" customFormat="1" x14ac:dyDescent="0.25"/>
    <row r="202707" customFormat="1" x14ac:dyDescent="0.25"/>
    <row r="202708" customFormat="1" x14ac:dyDescent="0.25"/>
    <row r="202709" customFormat="1" x14ac:dyDescent="0.25"/>
    <row r="202710" customFormat="1" x14ac:dyDescent="0.25"/>
    <row r="202711" customFormat="1" x14ac:dyDescent="0.25"/>
    <row r="202712" customFormat="1" x14ac:dyDescent="0.25"/>
    <row r="202713" customFormat="1" x14ac:dyDescent="0.25"/>
    <row r="202714" customFormat="1" x14ac:dyDescent="0.25"/>
    <row r="202715" customFormat="1" x14ac:dyDescent="0.25"/>
    <row r="202716" customFormat="1" x14ac:dyDescent="0.25"/>
    <row r="202717" customFormat="1" x14ac:dyDescent="0.25"/>
    <row r="202718" customFormat="1" x14ac:dyDescent="0.25"/>
    <row r="202719" customFormat="1" x14ac:dyDescent="0.25"/>
    <row r="202720" customFormat="1" x14ac:dyDescent="0.25"/>
    <row r="202721" customFormat="1" x14ac:dyDescent="0.25"/>
    <row r="202722" customFormat="1" x14ac:dyDescent="0.25"/>
    <row r="202723" customFormat="1" x14ac:dyDescent="0.25"/>
    <row r="202724" customFormat="1" x14ac:dyDescent="0.25"/>
    <row r="202725" customFormat="1" x14ac:dyDescent="0.25"/>
    <row r="202726" customFormat="1" x14ac:dyDescent="0.25"/>
    <row r="202727" customFormat="1" x14ac:dyDescent="0.25"/>
    <row r="202728" customFormat="1" x14ac:dyDescent="0.25"/>
    <row r="202729" customFormat="1" x14ac:dyDescent="0.25"/>
    <row r="202730" customFormat="1" x14ac:dyDescent="0.25"/>
    <row r="202731" customFormat="1" x14ac:dyDescent="0.25"/>
    <row r="202732" customFormat="1" x14ac:dyDescent="0.25"/>
    <row r="202733" customFormat="1" x14ac:dyDescent="0.25"/>
    <row r="202734" customFormat="1" x14ac:dyDescent="0.25"/>
    <row r="202735" customFormat="1" x14ac:dyDescent="0.25"/>
    <row r="202736" customFormat="1" x14ac:dyDescent="0.25"/>
    <row r="202737" customFormat="1" x14ac:dyDescent="0.25"/>
    <row r="202738" customFormat="1" x14ac:dyDescent="0.25"/>
    <row r="202739" customFormat="1" x14ac:dyDescent="0.25"/>
    <row r="202740" customFormat="1" x14ac:dyDescent="0.25"/>
    <row r="202741" customFormat="1" x14ac:dyDescent="0.25"/>
    <row r="202742" customFormat="1" x14ac:dyDescent="0.25"/>
    <row r="202743" customFormat="1" x14ac:dyDescent="0.25"/>
    <row r="202744" customFormat="1" x14ac:dyDescent="0.25"/>
    <row r="202745" customFormat="1" x14ac:dyDescent="0.25"/>
    <row r="202746" customFormat="1" x14ac:dyDescent="0.25"/>
    <row r="202747" customFormat="1" x14ac:dyDescent="0.25"/>
    <row r="202748" customFormat="1" x14ac:dyDescent="0.25"/>
    <row r="202749" customFormat="1" x14ac:dyDescent="0.25"/>
    <row r="202750" customFormat="1" x14ac:dyDescent="0.25"/>
    <row r="202751" customFormat="1" x14ac:dyDescent="0.25"/>
    <row r="202752" customFormat="1" x14ac:dyDescent="0.25"/>
    <row r="202753" customFormat="1" x14ac:dyDescent="0.25"/>
    <row r="202754" customFormat="1" x14ac:dyDescent="0.25"/>
    <row r="202755" customFormat="1" x14ac:dyDescent="0.25"/>
    <row r="202756" customFormat="1" x14ac:dyDescent="0.25"/>
    <row r="202757" customFormat="1" x14ac:dyDescent="0.25"/>
    <row r="202758" customFormat="1" x14ac:dyDescent="0.25"/>
    <row r="202759" customFormat="1" x14ac:dyDescent="0.25"/>
    <row r="202760" customFormat="1" x14ac:dyDescent="0.25"/>
    <row r="202761" customFormat="1" x14ac:dyDescent="0.25"/>
    <row r="202762" customFormat="1" x14ac:dyDescent="0.25"/>
    <row r="202763" customFormat="1" x14ac:dyDescent="0.25"/>
    <row r="202764" customFormat="1" x14ac:dyDescent="0.25"/>
    <row r="202765" customFormat="1" x14ac:dyDescent="0.25"/>
    <row r="202766" customFormat="1" x14ac:dyDescent="0.25"/>
    <row r="202767" customFormat="1" x14ac:dyDescent="0.25"/>
    <row r="202768" customFormat="1" x14ac:dyDescent="0.25"/>
    <row r="202769" customFormat="1" x14ac:dyDescent="0.25"/>
    <row r="202770" customFormat="1" x14ac:dyDescent="0.25"/>
    <row r="202771" customFormat="1" x14ac:dyDescent="0.25"/>
    <row r="202772" customFormat="1" x14ac:dyDescent="0.25"/>
    <row r="202773" customFormat="1" x14ac:dyDescent="0.25"/>
    <row r="202774" customFormat="1" x14ac:dyDescent="0.25"/>
    <row r="202775" customFormat="1" x14ac:dyDescent="0.25"/>
    <row r="202776" customFormat="1" x14ac:dyDescent="0.25"/>
    <row r="202777" customFormat="1" x14ac:dyDescent="0.25"/>
    <row r="202778" customFormat="1" x14ac:dyDescent="0.25"/>
    <row r="202779" customFormat="1" x14ac:dyDescent="0.25"/>
    <row r="202780" customFormat="1" x14ac:dyDescent="0.25"/>
    <row r="202781" customFormat="1" x14ac:dyDescent="0.25"/>
    <row r="202782" customFormat="1" x14ac:dyDescent="0.25"/>
    <row r="202783" customFormat="1" x14ac:dyDescent="0.25"/>
    <row r="202784" customFormat="1" x14ac:dyDescent="0.25"/>
    <row r="202785" customFormat="1" x14ac:dyDescent="0.25"/>
    <row r="202786" customFormat="1" x14ac:dyDescent="0.25"/>
    <row r="202787" customFormat="1" x14ac:dyDescent="0.25"/>
    <row r="202788" customFormat="1" x14ac:dyDescent="0.25"/>
    <row r="202789" customFormat="1" x14ac:dyDescent="0.25"/>
    <row r="202790" customFormat="1" x14ac:dyDescent="0.25"/>
    <row r="202791" customFormat="1" x14ac:dyDescent="0.25"/>
    <row r="202792" customFormat="1" x14ac:dyDescent="0.25"/>
    <row r="202793" customFormat="1" x14ac:dyDescent="0.25"/>
    <row r="202794" customFormat="1" x14ac:dyDescent="0.25"/>
    <row r="202795" customFormat="1" x14ac:dyDescent="0.25"/>
    <row r="202796" customFormat="1" x14ac:dyDescent="0.25"/>
    <row r="202797" customFormat="1" x14ac:dyDescent="0.25"/>
    <row r="202798" customFormat="1" x14ac:dyDescent="0.25"/>
    <row r="202799" customFormat="1" x14ac:dyDescent="0.25"/>
    <row r="202800" customFormat="1" x14ac:dyDescent="0.25"/>
    <row r="202801" customFormat="1" x14ac:dyDescent="0.25"/>
    <row r="202802" customFormat="1" x14ac:dyDescent="0.25"/>
    <row r="202803" customFormat="1" x14ac:dyDescent="0.25"/>
    <row r="202804" customFormat="1" x14ac:dyDescent="0.25"/>
    <row r="202805" customFormat="1" x14ac:dyDescent="0.25"/>
    <row r="202806" customFormat="1" x14ac:dyDescent="0.25"/>
    <row r="202807" customFormat="1" x14ac:dyDescent="0.25"/>
    <row r="202808" customFormat="1" x14ac:dyDescent="0.25"/>
    <row r="202809" customFormat="1" x14ac:dyDescent="0.25"/>
    <row r="202810" customFormat="1" x14ac:dyDescent="0.25"/>
    <row r="202811" customFormat="1" x14ac:dyDescent="0.25"/>
    <row r="202812" customFormat="1" x14ac:dyDescent="0.25"/>
    <row r="202813" customFormat="1" x14ac:dyDescent="0.25"/>
    <row r="202814" customFormat="1" x14ac:dyDescent="0.25"/>
    <row r="202815" customFormat="1" x14ac:dyDescent="0.25"/>
    <row r="202816" customFormat="1" x14ac:dyDescent="0.25"/>
    <row r="202817" customFormat="1" x14ac:dyDescent="0.25"/>
    <row r="202818" customFormat="1" x14ac:dyDescent="0.25"/>
    <row r="202819" customFormat="1" x14ac:dyDescent="0.25"/>
    <row r="202820" customFormat="1" x14ac:dyDescent="0.25"/>
    <row r="202821" customFormat="1" x14ac:dyDescent="0.25"/>
    <row r="202822" customFormat="1" x14ac:dyDescent="0.25"/>
    <row r="202823" customFormat="1" x14ac:dyDescent="0.25"/>
    <row r="202824" customFormat="1" x14ac:dyDescent="0.25"/>
    <row r="202825" customFormat="1" x14ac:dyDescent="0.25"/>
    <row r="202826" customFormat="1" x14ac:dyDescent="0.25"/>
    <row r="202827" customFormat="1" x14ac:dyDescent="0.25"/>
    <row r="202828" customFormat="1" x14ac:dyDescent="0.25"/>
    <row r="202829" customFormat="1" x14ac:dyDescent="0.25"/>
    <row r="202830" customFormat="1" x14ac:dyDescent="0.25"/>
    <row r="202831" customFormat="1" x14ac:dyDescent="0.25"/>
    <row r="202832" customFormat="1" x14ac:dyDescent="0.25"/>
    <row r="202833" customFormat="1" x14ac:dyDescent="0.25"/>
    <row r="202834" customFormat="1" x14ac:dyDescent="0.25"/>
    <row r="202835" customFormat="1" x14ac:dyDescent="0.25"/>
    <row r="202836" customFormat="1" x14ac:dyDescent="0.25"/>
    <row r="202837" customFormat="1" x14ac:dyDescent="0.25"/>
    <row r="202838" customFormat="1" x14ac:dyDescent="0.25"/>
    <row r="202839" customFormat="1" x14ac:dyDescent="0.25"/>
    <row r="202840" customFormat="1" x14ac:dyDescent="0.25"/>
    <row r="202841" customFormat="1" x14ac:dyDescent="0.25"/>
    <row r="202842" customFormat="1" x14ac:dyDescent="0.25"/>
    <row r="202843" customFormat="1" x14ac:dyDescent="0.25"/>
    <row r="202844" customFormat="1" x14ac:dyDescent="0.25"/>
    <row r="202845" customFormat="1" x14ac:dyDescent="0.25"/>
    <row r="202846" customFormat="1" x14ac:dyDescent="0.25"/>
    <row r="202847" customFormat="1" x14ac:dyDescent="0.25"/>
    <row r="202848" customFormat="1" x14ac:dyDescent="0.25"/>
    <row r="202849" customFormat="1" x14ac:dyDescent="0.25"/>
    <row r="202850" customFormat="1" x14ac:dyDescent="0.25"/>
    <row r="202851" customFormat="1" x14ac:dyDescent="0.25"/>
    <row r="202852" customFormat="1" x14ac:dyDescent="0.25"/>
    <row r="202853" customFormat="1" x14ac:dyDescent="0.25"/>
    <row r="202854" customFormat="1" x14ac:dyDescent="0.25"/>
    <row r="202855" customFormat="1" x14ac:dyDescent="0.25"/>
    <row r="202856" customFormat="1" x14ac:dyDescent="0.25"/>
    <row r="202857" customFormat="1" x14ac:dyDescent="0.25"/>
    <row r="202858" customFormat="1" x14ac:dyDescent="0.25"/>
    <row r="202859" customFormat="1" x14ac:dyDescent="0.25"/>
    <row r="202860" customFormat="1" x14ac:dyDescent="0.25"/>
    <row r="202861" customFormat="1" x14ac:dyDescent="0.25"/>
    <row r="202862" customFormat="1" x14ac:dyDescent="0.25"/>
    <row r="202863" customFormat="1" x14ac:dyDescent="0.25"/>
    <row r="202864" customFormat="1" x14ac:dyDescent="0.25"/>
    <row r="202865" customFormat="1" x14ac:dyDescent="0.25"/>
    <row r="202866" customFormat="1" x14ac:dyDescent="0.25"/>
    <row r="202867" customFormat="1" x14ac:dyDescent="0.25"/>
    <row r="202868" customFormat="1" x14ac:dyDescent="0.25"/>
    <row r="202869" customFormat="1" x14ac:dyDescent="0.25"/>
    <row r="202870" customFormat="1" x14ac:dyDescent="0.25"/>
    <row r="202871" customFormat="1" x14ac:dyDescent="0.25"/>
    <row r="202872" customFormat="1" x14ac:dyDescent="0.25"/>
    <row r="202873" customFormat="1" x14ac:dyDescent="0.25"/>
    <row r="202874" customFormat="1" x14ac:dyDescent="0.25"/>
    <row r="202875" customFormat="1" x14ac:dyDescent="0.25"/>
    <row r="202876" customFormat="1" x14ac:dyDescent="0.25"/>
    <row r="202877" customFormat="1" x14ac:dyDescent="0.25"/>
    <row r="202878" customFormat="1" x14ac:dyDescent="0.25"/>
    <row r="202879" customFormat="1" x14ac:dyDescent="0.25"/>
    <row r="202880" customFormat="1" x14ac:dyDescent="0.25"/>
    <row r="202881" customFormat="1" x14ac:dyDescent="0.25"/>
    <row r="202882" customFormat="1" x14ac:dyDescent="0.25"/>
    <row r="202883" customFormat="1" x14ac:dyDescent="0.25"/>
    <row r="202884" customFormat="1" x14ac:dyDescent="0.25"/>
    <row r="202885" customFormat="1" x14ac:dyDescent="0.25"/>
    <row r="202886" customFormat="1" x14ac:dyDescent="0.25"/>
    <row r="202887" customFormat="1" x14ac:dyDescent="0.25"/>
    <row r="202888" customFormat="1" x14ac:dyDescent="0.25"/>
    <row r="202889" customFormat="1" x14ac:dyDescent="0.25"/>
    <row r="202890" customFormat="1" x14ac:dyDescent="0.25"/>
    <row r="202891" customFormat="1" x14ac:dyDescent="0.25"/>
    <row r="202892" customFormat="1" x14ac:dyDescent="0.25"/>
    <row r="202893" customFormat="1" x14ac:dyDescent="0.25"/>
    <row r="202894" customFormat="1" x14ac:dyDescent="0.25"/>
    <row r="202895" customFormat="1" x14ac:dyDescent="0.25"/>
    <row r="202896" customFormat="1" x14ac:dyDescent="0.25"/>
    <row r="202897" customFormat="1" x14ac:dyDescent="0.25"/>
    <row r="202898" customFormat="1" x14ac:dyDescent="0.25"/>
    <row r="202899" customFormat="1" x14ac:dyDescent="0.25"/>
    <row r="202900" customFormat="1" x14ac:dyDescent="0.25"/>
    <row r="202901" customFormat="1" x14ac:dyDescent="0.25"/>
    <row r="202902" customFormat="1" x14ac:dyDescent="0.25"/>
    <row r="202903" customFormat="1" x14ac:dyDescent="0.25"/>
    <row r="202904" customFormat="1" x14ac:dyDescent="0.25"/>
    <row r="202905" customFormat="1" x14ac:dyDescent="0.25"/>
    <row r="202906" customFormat="1" x14ac:dyDescent="0.25"/>
    <row r="202907" customFormat="1" x14ac:dyDescent="0.25"/>
    <row r="202908" customFormat="1" x14ac:dyDescent="0.25"/>
    <row r="202909" customFormat="1" x14ac:dyDescent="0.25"/>
    <row r="202910" customFormat="1" x14ac:dyDescent="0.25"/>
    <row r="202911" customFormat="1" x14ac:dyDescent="0.25"/>
    <row r="202912" customFormat="1" x14ac:dyDescent="0.25"/>
    <row r="202913" customFormat="1" x14ac:dyDescent="0.25"/>
    <row r="202914" customFormat="1" x14ac:dyDescent="0.25"/>
    <row r="202915" customFormat="1" x14ac:dyDescent="0.25"/>
    <row r="202916" customFormat="1" x14ac:dyDescent="0.25"/>
    <row r="202917" customFormat="1" x14ac:dyDescent="0.25"/>
    <row r="202918" customFormat="1" x14ac:dyDescent="0.25"/>
    <row r="202919" customFormat="1" x14ac:dyDescent="0.25"/>
    <row r="202920" customFormat="1" x14ac:dyDescent="0.25"/>
    <row r="202921" customFormat="1" x14ac:dyDescent="0.25"/>
    <row r="202922" customFormat="1" x14ac:dyDescent="0.25"/>
    <row r="202923" customFormat="1" x14ac:dyDescent="0.25"/>
    <row r="202924" customFormat="1" x14ac:dyDescent="0.25"/>
    <row r="202925" customFormat="1" x14ac:dyDescent="0.25"/>
    <row r="202926" customFormat="1" x14ac:dyDescent="0.25"/>
    <row r="202927" customFormat="1" x14ac:dyDescent="0.25"/>
    <row r="202928" customFormat="1" x14ac:dyDescent="0.25"/>
    <row r="202929" customFormat="1" x14ac:dyDescent="0.25"/>
    <row r="202930" customFormat="1" x14ac:dyDescent="0.25"/>
    <row r="202931" customFormat="1" x14ac:dyDescent="0.25"/>
    <row r="202932" customFormat="1" x14ac:dyDescent="0.25"/>
    <row r="202933" customFormat="1" x14ac:dyDescent="0.25"/>
    <row r="202934" customFormat="1" x14ac:dyDescent="0.25"/>
    <row r="202935" customFormat="1" x14ac:dyDescent="0.25"/>
    <row r="202936" customFormat="1" x14ac:dyDescent="0.25"/>
    <row r="202937" customFormat="1" x14ac:dyDescent="0.25"/>
    <row r="202938" customFormat="1" x14ac:dyDescent="0.25"/>
    <row r="202939" customFormat="1" x14ac:dyDescent="0.25"/>
    <row r="202940" customFormat="1" x14ac:dyDescent="0.25"/>
    <row r="202941" customFormat="1" x14ac:dyDescent="0.25"/>
    <row r="202942" customFormat="1" x14ac:dyDescent="0.25"/>
    <row r="202943" customFormat="1" x14ac:dyDescent="0.25"/>
    <row r="202944" customFormat="1" x14ac:dyDescent="0.25"/>
    <row r="202945" customFormat="1" x14ac:dyDescent="0.25"/>
    <row r="202946" customFormat="1" x14ac:dyDescent="0.25"/>
    <row r="202947" customFormat="1" x14ac:dyDescent="0.25"/>
    <row r="202948" customFormat="1" x14ac:dyDescent="0.25"/>
    <row r="202949" customFormat="1" x14ac:dyDescent="0.25"/>
    <row r="202950" customFormat="1" x14ac:dyDescent="0.25"/>
    <row r="202951" customFormat="1" x14ac:dyDescent="0.25"/>
    <row r="202952" customFormat="1" x14ac:dyDescent="0.25"/>
    <row r="202953" customFormat="1" x14ac:dyDescent="0.25"/>
    <row r="202954" customFormat="1" x14ac:dyDescent="0.25"/>
    <row r="202955" customFormat="1" x14ac:dyDescent="0.25"/>
    <row r="202956" customFormat="1" x14ac:dyDescent="0.25"/>
    <row r="202957" customFormat="1" x14ac:dyDescent="0.25"/>
    <row r="202958" customFormat="1" x14ac:dyDescent="0.25"/>
    <row r="202959" customFormat="1" x14ac:dyDescent="0.25"/>
    <row r="202960" customFormat="1" x14ac:dyDescent="0.25"/>
    <row r="202961" customFormat="1" x14ac:dyDescent="0.25"/>
    <row r="202962" customFormat="1" x14ac:dyDescent="0.25"/>
    <row r="202963" customFormat="1" x14ac:dyDescent="0.25"/>
    <row r="202964" customFormat="1" x14ac:dyDescent="0.25"/>
    <row r="202965" customFormat="1" x14ac:dyDescent="0.25"/>
    <row r="202966" customFormat="1" x14ac:dyDescent="0.25"/>
    <row r="202967" customFormat="1" x14ac:dyDescent="0.25"/>
    <row r="202968" customFormat="1" x14ac:dyDescent="0.25"/>
    <row r="202969" customFormat="1" x14ac:dyDescent="0.25"/>
    <row r="202970" customFormat="1" x14ac:dyDescent="0.25"/>
    <row r="202971" customFormat="1" x14ac:dyDescent="0.25"/>
    <row r="202972" customFormat="1" x14ac:dyDescent="0.25"/>
    <row r="202973" customFormat="1" x14ac:dyDescent="0.25"/>
    <row r="202974" customFormat="1" x14ac:dyDescent="0.25"/>
    <row r="202975" customFormat="1" x14ac:dyDescent="0.25"/>
    <row r="202976" customFormat="1" x14ac:dyDescent="0.25"/>
    <row r="202977" customFormat="1" x14ac:dyDescent="0.25"/>
    <row r="202978" customFormat="1" x14ac:dyDescent="0.25"/>
    <row r="202979" customFormat="1" x14ac:dyDescent="0.25"/>
    <row r="202980" customFormat="1" x14ac:dyDescent="0.25"/>
    <row r="202981" customFormat="1" x14ac:dyDescent="0.25"/>
    <row r="202982" customFormat="1" x14ac:dyDescent="0.25"/>
    <row r="202983" customFormat="1" x14ac:dyDescent="0.25"/>
    <row r="202984" customFormat="1" x14ac:dyDescent="0.25"/>
    <row r="202985" customFormat="1" x14ac:dyDescent="0.25"/>
    <row r="202986" customFormat="1" x14ac:dyDescent="0.25"/>
    <row r="202987" customFormat="1" x14ac:dyDescent="0.25"/>
    <row r="202988" customFormat="1" x14ac:dyDescent="0.25"/>
    <row r="202989" customFormat="1" x14ac:dyDescent="0.25"/>
    <row r="202990" customFormat="1" x14ac:dyDescent="0.25"/>
    <row r="202991" customFormat="1" x14ac:dyDescent="0.25"/>
    <row r="202992" customFormat="1" x14ac:dyDescent="0.25"/>
    <row r="202993" customFormat="1" x14ac:dyDescent="0.25"/>
    <row r="202994" customFormat="1" x14ac:dyDescent="0.25"/>
    <row r="202995" customFormat="1" x14ac:dyDescent="0.25"/>
    <row r="202996" customFormat="1" x14ac:dyDescent="0.25"/>
    <row r="202997" customFormat="1" x14ac:dyDescent="0.25"/>
    <row r="202998" customFormat="1" x14ac:dyDescent="0.25"/>
    <row r="202999" customFormat="1" x14ac:dyDescent="0.25"/>
    <row r="203000" customFormat="1" x14ac:dyDescent="0.25"/>
    <row r="203001" customFormat="1" x14ac:dyDescent="0.25"/>
    <row r="203002" customFormat="1" x14ac:dyDescent="0.25"/>
    <row r="203003" customFormat="1" x14ac:dyDescent="0.25"/>
    <row r="203004" customFormat="1" x14ac:dyDescent="0.25"/>
    <row r="203005" customFormat="1" x14ac:dyDescent="0.25"/>
    <row r="203006" customFormat="1" x14ac:dyDescent="0.25"/>
    <row r="203007" customFormat="1" x14ac:dyDescent="0.25"/>
    <row r="203008" customFormat="1" x14ac:dyDescent="0.25"/>
    <row r="203009" customFormat="1" x14ac:dyDescent="0.25"/>
    <row r="203010" customFormat="1" x14ac:dyDescent="0.25"/>
    <row r="203011" customFormat="1" x14ac:dyDescent="0.25"/>
    <row r="203012" customFormat="1" x14ac:dyDescent="0.25"/>
    <row r="203013" customFormat="1" x14ac:dyDescent="0.25"/>
    <row r="203014" customFormat="1" x14ac:dyDescent="0.25"/>
    <row r="203015" customFormat="1" x14ac:dyDescent="0.25"/>
    <row r="203016" customFormat="1" x14ac:dyDescent="0.25"/>
    <row r="203017" customFormat="1" x14ac:dyDescent="0.25"/>
    <row r="203018" customFormat="1" x14ac:dyDescent="0.25"/>
    <row r="203019" customFormat="1" x14ac:dyDescent="0.25"/>
    <row r="203020" customFormat="1" x14ac:dyDescent="0.25"/>
    <row r="203021" customFormat="1" x14ac:dyDescent="0.25"/>
    <row r="203022" customFormat="1" x14ac:dyDescent="0.25"/>
    <row r="203023" customFormat="1" x14ac:dyDescent="0.25"/>
    <row r="203024" customFormat="1" x14ac:dyDescent="0.25"/>
    <row r="203025" customFormat="1" x14ac:dyDescent="0.25"/>
    <row r="203026" customFormat="1" x14ac:dyDescent="0.25"/>
    <row r="203027" customFormat="1" x14ac:dyDescent="0.25"/>
    <row r="203028" customFormat="1" x14ac:dyDescent="0.25"/>
    <row r="203029" customFormat="1" x14ac:dyDescent="0.25"/>
    <row r="203030" customFormat="1" x14ac:dyDescent="0.25"/>
    <row r="203031" customFormat="1" x14ac:dyDescent="0.25"/>
    <row r="203032" customFormat="1" x14ac:dyDescent="0.25"/>
    <row r="203033" customFormat="1" x14ac:dyDescent="0.25"/>
    <row r="203034" customFormat="1" x14ac:dyDescent="0.25"/>
    <row r="203035" customFormat="1" x14ac:dyDescent="0.25"/>
    <row r="203036" customFormat="1" x14ac:dyDescent="0.25"/>
    <row r="203037" customFormat="1" x14ac:dyDescent="0.25"/>
    <row r="203038" customFormat="1" x14ac:dyDescent="0.25"/>
    <row r="203039" customFormat="1" x14ac:dyDescent="0.25"/>
    <row r="203040" customFormat="1" x14ac:dyDescent="0.25"/>
    <row r="203041" customFormat="1" x14ac:dyDescent="0.25"/>
    <row r="203042" customFormat="1" x14ac:dyDescent="0.25"/>
    <row r="203043" customFormat="1" x14ac:dyDescent="0.25"/>
    <row r="203044" customFormat="1" x14ac:dyDescent="0.25"/>
    <row r="203045" customFormat="1" x14ac:dyDescent="0.25"/>
    <row r="203046" customFormat="1" x14ac:dyDescent="0.25"/>
    <row r="203047" customFormat="1" x14ac:dyDescent="0.25"/>
    <row r="203048" customFormat="1" x14ac:dyDescent="0.25"/>
    <row r="203049" customFormat="1" x14ac:dyDescent="0.25"/>
    <row r="203050" customFormat="1" x14ac:dyDescent="0.25"/>
    <row r="203051" customFormat="1" x14ac:dyDescent="0.25"/>
    <row r="203052" customFormat="1" x14ac:dyDescent="0.25"/>
    <row r="203053" customFormat="1" x14ac:dyDescent="0.25"/>
    <row r="203054" customFormat="1" x14ac:dyDescent="0.25"/>
    <row r="203055" customFormat="1" x14ac:dyDescent="0.25"/>
    <row r="203056" customFormat="1" x14ac:dyDescent="0.25"/>
    <row r="203057" customFormat="1" x14ac:dyDescent="0.25"/>
    <row r="203058" customFormat="1" x14ac:dyDescent="0.25"/>
    <row r="203059" customFormat="1" x14ac:dyDescent="0.25"/>
    <row r="203060" customFormat="1" x14ac:dyDescent="0.25"/>
    <row r="203061" customFormat="1" x14ac:dyDescent="0.25"/>
    <row r="203062" customFormat="1" x14ac:dyDescent="0.25"/>
    <row r="203063" customFormat="1" x14ac:dyDescent="0.25"/>
    <row r="203064" customFormat="1" x14ac:dyDescent="0.25"/>
    <row r="203065" customFormat="1" x14ac:dyDescent="0.25"/>
    <row r="203066" customFormat="1" x14ac:dyDescent="0.25"/>
    <row r="203067" customFormat="1" x14ac:dyDescent="0.25"/>
    <row r="203068" customFormat="1" x14ac:dyDescent="0.25"/>
    <row r="203069" customFormat="1" x14ac:dyDescent="0.25"/>
    <row r="203070" customFormat="1" x14ac:dyDescent="0.25"/>
    <row r="203071" customFormat="1" x14ac:dyDescent="0.25"/>
    <row r="203072" customFormat="1" x14ac:dyDescent="0.25"/>
    <row r="203073" customFormat="1" x14ac:dyDescent="0.25"/>
    <row r="203074" customFormat="1" x14ac:dyDescent="0.25"/>
    <row r="203075" customFormat="1" x14ac:dyDescent="0.25"/>
    <row r="203076" customFormat="1" x14ac:dyDescent="0.25"/>
    <row r="203077" customFormat="1" x14ac:dyDescent="0.25"/>
    <row r="203078" customFormat="1" x14ac:dyDescent="0.25"/>
    <row r="203079" customFormat="1" x14ac:dyDescent="0.25"/>
    <row r="203080" customFormat="1" x14ac:dyDescent="0.25"/>
    <row r="203081" customFormat="1" x14ac:dyDescent="0.25"/>
    <row r="203082" customFormat="1" x14ac:dyDescent="0.25"/>
    <row r="203083" customFormat="1" x14ac:dyDescent="0.25"/>
    <row r="203084" customFormat="1" x14ac:dyDescent="0.25"/>
    <row r="203085" customFormat="1" x14ac:dyDescent="0.25"/>
    <row r="203086" customFormat="1" x14ac:dyDescent="0.25"/>
    <row r="203087" customFormat="1" x14ac:dyDescent="0.25"/>
    <row r="203088" customFormat="1" x14ac:dyDescent="0.25"/>
    <row r="203089" customFormat="1" x14ac:dyDescent="0.25"/>
    <row r="203090" customFormat="1" x14ac:dyDescent="0.25"/>
    <row r="203091" customFormat="1" x14ac:dyDescent="0.25"/>
    <row r="203092" customFormat="1" x14ac:dyDescent="0.25"/>
    <row r="203093" customFormat="1" x14ac:dyDescent="0.25"/>
    <row r="203094" customFormat="1" x14ac:dyDescent="0.25"/>
    <row r="203095" customFormat="1" x14ac:dyDescent="0.25"/>
    <row r="203096" customFormat="1" x14ac:dyDescent="0.25"/>
    <row r="203097" customFormat="1" x14ac:dyDescent="0.25"/>
    <row r="203098" customFormat="1" x14ac:dyDescent="0.25"/>
    <row r="203099" customFormat="1" x14ac:dyDescent="0.25"/>
    <row r="203100" customFormat="1" x14ac:dyDescent="0.25"/>
    <row r="203101" customFormat="1" x14ac:dyDescent="0.25"/>
    <row r="203102" customFormat="1" x14ac:dyDescent="0.25"/>
    <row r="203103" customFormat="1" x14ac:dyDescent="0.25"/>
    <row r="203104" customFormat="1" x14ac:dyDescent="0.25"/>
    <row r="203105" customFormat="1" x14ac:dyDescent="0.25"/>
    <row r="203106" customFormat="1" x14ac:dyDescent="0.25"/>
    <row r="203107" customFormat="1" x14ac:dyDescent="0.25"/>
    <row r="203108" customFormat="1" x14ac:dyDescent="0.25"/>
    <row r="203109" customFormat="1" x14ac:dyDescent="0.25"/>
    <row r="203110" customFormat="1" x14ac:dyDescent="0.25"/>
    <row r="203111" customFormat="1" x14ac:dyDescent="0.25"/>
    <row r="203112" customFormat="1" x14ac:dyDescent="0.25"/>
    <row r="203113" customFormat="1" x14ac:dyDescent="0.25"/>
    <row r="203114" customFormat="1" x14ac:dyDescent="0.25"/>
    <row r="203115" customFormat="1" x14ac:dyDescent="0.25"/>
    <row r="203116" customFormat="1" x14ac:dyDescent="0.25"/>
    <row r="203117" customFormat="1" x14ac:dyDescent="0.25"/>
    <row r="203118" customFormat="1" x14ac:dyDescent="0.25"/>
    <row r="203119" customFormat="1" x14ac:dyDescent="0.25"/>
    <row r="203120" customFormat="1" x14ac:dyDescent="0.25"/>
    <row r="203121" customFormat="1" x14ac:dyDescent="0.25"/>
    <row r="203122" customFormat="1" x14ac:dyDescent="0.25"/>
    <row r="203123" customFormat="1" x14ac:dyDescent="0.25"/>
    <row r="203124" customFormat="1" x14ac:dyDescent="0.25"/>
    <row r="203125" customFormat="1" x14ac:dyDescent="0.25"/>
    <row r="203126" customFormat="1" x14ac:dyDescent="0.25"/>
    <row r="203127" customFormat="1" x14ac:dyDescent="0.25"/>
    <row r="203128" customFormat="1" x14ac:dyDescent="0.25"/>
    <row r="203129" customFormat="1" x14ac:dyDescent="0.25"/>
    <row r="203130" customFormat="1" x14ac:dyDescent="0.25"/>
    <row r="203131" customFormat="1" x14ac:dyDescent="0.25"/>
    <row r="203132" customFormat="1" x14ac:dyDescent="0.25"/>
    <row r="203133" customFormat="1" x14ac:dyDescent="0.25"/>
    <row r="203134" customFormat="1" x14ac:dyDescent="0.25"/>
    <row r="203135" customFormat="1" x14ac:dyDescent="0.25"/>
    <row r="203136" customFormat="1" x14ac:dyDescent="0.25"/>
    <row r="203137" customFormat="1" x14ac:dyDescent="0.25"/>
    <row r="203138" customFormat="1" x14ac:dyDescent="0.25"/>
    <row r="203139" customFormat="1" x14ac:dyDescent="0.25"/>
    <row r="203140" customFormat="1" x14ac:dyDescent="0.25"/>
    <row r="203141" customFormat="1" x14ac:dyDescent="0.25"/>
    <row r="203142" customFormat="1" x14ac:dyDescent="0.25"/>
    <row r="203143" customFormat="1" x14ac:dyDescent="0.25"/>
    <row r="203144" customFormat="1" x14ac:dyDescent="0.25"/>
    <row r="203145" customFormat="1" x14ac:dyDescent="0.25"/>
    <row r="203146" customFormat="1" x14ac:dyDescent="0.25"/>
    <row r="203147" customFormat="1" x14ac:dyDescent="0.25"/>
    <row r="203148" customFormat="1" x14ac:dyDescent="0.25"/>
    <row r="203149" customFormat="1" x14ac:dyDescent="0.25"/>
    <row r="203150" customFormat="1" x14ac:dyDescent="0.25"/>
    <row r="203151" customFormat="1" x14ac:dyDescent="0.25"/>
    <row r="203152" customFormat="1" x14ac:dyDescent="0.25"/>
    <row r="203153" customFormat="1" x14ac:dyDescent="0.25"/>
    <row r="203154" customFormat="1" x14ac:dyDescent="0.25"/>
    <row r="203155" customFormat="1" x14ac:dyDescent="0.25"/>
    <row r="203156" customFormat="1" x14ac:dyDescent="0.25"/>
    <row r="203157" customFormat="1" x14ac:dyDescent="0.25"/>
    <row r="203158" customFormat="1" x14ac:dyDescent="0.25"/>
    <row r="203159" customFormat="1" x14ac:dyDescent="0.25"/>
    <row r="203160" customFormat="1" x14ac:dyDescent="0.25"/>
    <row r="203161" customFormat="1" x14ac:dyDescent="0.25"/>
    <row r="203162" customFormat="1" x14ac:dyDescent="0.25"/>
    <row r="203163" customFormat="1" x14ac:dyDescent="0.25"/>
    <row r="203164" customFormat="1" x14ac:dyDescent="0.25"/>
    <row r="203165" customFormat="1" x14ac:dyDescent="0.25"/>
    <row r="203166" customFormat="1" x14ac:dyDescent="0.25"/>
    <row r="203167" customFormat="1" x14ac:dyDescent="0.25"/>
    <row r="203168" customFormat="1" x14ac:dyDescent="0.25"/>
    <row r="203169" customFormat="1" x14ac:dyDescent="0.25"/>
    <row r="203170" customFormat="1" x14ac:dyDescent="0.25"/>
    <row r="203171" customFormat="1" x14ac:dyDescent="0.25"/>
    <row r="203172" customFormat="1" x14ac:dyDescent="0.25"/>
    <row r="203173" customFormat="1" x14ac:dyDescent="0.25"/>
    <row r="203174" customFormat="1" x14ac:dyDescent="0.25"/>
    <row r="203175" customFormat="1" x14ac:dyDescent="0.25"/>
    <row r="203176" customFormat="1" x14ac:dyDescent="0.25"/>
    <row r="203177" customFormat="1" x14ac:dyDescent="0.25"/>
    <row r="203178" customFormat="1" x14ac:dyDescent="0.25"/>
    <row r="203179" customFormat="1" x14ac:dyDescent="0.25"/>
    <row r="203180" customFormat="1" x14ac:dyDescent="0.25"/>
    <row r="203181" customFormat="1" x14ac:dyDescent="0.25"/>
    <row r="203182" customFormat="1" x14ac:dyDescent="0.25"/>
    <row r="203183" customFormat="1" x14ac:dyDescent="0.25"/>
    <row r="203184" customFormat="1" x14ac:dyDescent="0.25"/>
    <row r="203185" customFormat="1" x14ac:dyDescent="0.25"/>
    <row r="203186" customFormat="1" x14ac:dyDescent="0.25"/>
    <row r="203187" customFormat="1" x14ac:dyDescent="0.25"/>
    <row r="203188" customFormat="1" x14ac:dyDescent="0.25"/>
    <row r="203189" customFormat="1" x14ac:dyDescent="0.25"/>
    <row r="203190" customFormat="1" x14ac:dyDescent="0.25"/>
    <row r="203191" customFormat="1" x14ac:dyDescent="0.25"/>
    <row r="203192" customFormat="1" x14ac:dyDescent="0.25"/>
    <row r="203193" customFormat="1" x14ac:dyDescent="0.25"/>
    <row r="203194" customFormat="1" x14ac:dyDescent="0.25"/>
    <row r="203195" customFormat="1" x14ac:dyDescent="0.25"/>
    <row r="203196" customFormat="1" x14ac:dyDescent="0.25"/>
    <row r="203197" customFormat="1" x14ac:dyDescent="0.25"/>
    <row r="203198" customFormat="1" x14ac:dyDescent="0.25"/>
    <row r="203199" customFormat="1" x14ac:dyDescent="0.25"/>
    <row r="203200" customFormat="1" x14ac:dyDescent="0.25"/>
    <row r="203201" customFormat="1" x14ac:dyDescent="0.25"/>
    <row r="203202" customFormat="1" x14ac:dyDescent="0.25"/>
    <row r="203203" customFormat="1" x14ac:dyDescent="0.25"/>
    <row r="203204" customFormat="1" x14ac:dyDescent="0.25"/>
    <row r="203205" customFormat="1" x14ac:dyDescent="0.25"/>
    <row r="203206" customFormat="1" x14ac:dyDescent="0.25"/>
    <row r="203207" customFormat="1" x14ac:dyDescent="0.25"/>
    <row r="203208" customFormat="1" x14ac:dyDescent="0.25"/>
    <row r="203209" customFormat="1" x14ac:dyDescent="0.25"/>
    <row r="203210" customFormat="1" x14ac:dyDescent="0.25"/>
    <row r="203211" customFormat="1" x14ac:dyDescent="0.25"/>
    <row r="203212" customFormat="1" x14ac:dyDescent="0.25"/>
    <row r="203213" customFormat="1" x14ac:dyDescent="0.25"/>
    <row r="203214" customFormat="1" x14ac:dyDescent="0.25"/>
    <row r="203215" customFormat="1" x14ac:dyDescent="0.25"/>
    <row r="203216" customFormat="1" x14ac:dyDescent="0.25"/>
    <row r="203217" customFormat="1" x14ac:dyDescent="0.25"/>
    <row r="203218" customFormat="1" x14ac:dyDescent="0.25"/>
    <row r="203219" customFormat="1" x14ac:dyDescent="0.25"/>
    <row r="203220" customFormat="1" x14ac:dyDescent="0.25"/>
    <row r="203221" customFormat="1" x14ac:dyDescent="0.25"/>
    <row r="203222" customFormat="1" x14ac:dyDescent="0.25"/>
    <row r="203223" customFormat="1" x14ac:dyDescent="0.25"/>
    <row r="203224" customFormat="1" x14ac:dyDescent="0.25"/>
    <row r="203225" customFormat="1" x14ac:dyDescent="0.25"/>
    <row r="203226" customFormat="1" x14ac:dyDescent="0.25"/>
    <row r="203227" customFormat="1" x14ac:dyDescent="0.25"/>
    <row r="203228" customFormat="1" x14ac:dyDescent="0.25"/>
    <row r="203229" customFormat="1" x14ac:dyDescent="0.25"/>
    <row r="203230" customFormat="1" x14ac:dyDescent="0.25"/>
    <row r="203231" customFormat="1" x14ac:dyDescent="0.25"/>
    <row r="203232" customFormat="1" x14ac:dyDescent="0.25"/>
    <row r="203233" customFormat="1" x14ac:dyDescent="0.25"/>
    <row r="203234" customFormat="1" x14ac:dyDescent="0.25"/>
    <row r="203235" customFormat="1" x14ac:dyDescent="0.25"/>
    <row r="203236" customFormat="1" x14ac:dyDescent="0.25"/>
    <row r="203237" customFormat="1" x14ac:dyDescent="0.25"/>
    <row r="203238" customFormat="1" x14ac:dyDescent="0.25"/>
    <row r="203239" customFormat="1" x14ac:dyDescent="0.25"/>
    <row r="203240" customFormat="1" x14ac:dyDescent="0.25"/>
    <row r="203241" customFormat="1" x14ac:dyDescent="0.25"/>
    <row r="203242" customFormat="1" x14ac:dyDescent="0.25"/>
    <row r="203243" customFormat="1" x14ac:dyDescent="0.25"/>
    <row r="203244" customFormat="1" x14ac:dyDescent="0.25"/>
    <row r="203245" customFormat="1" x14ac:dyDescent="0.25"/>
    <row r="203246" customFormat="1" x14ac:dyDescent="0.25"/>
    <row r="203247" customFormat="1" x14ac:dyDescent="0.25"/>
    <row r="203248" customFormat="1" x14ac:dyDescent="0.25"/>
    <row r="203249" customFormat="1" x14ac:dyDescent="0.25"/>
    <row r="203250" customFormat="1" x14ac:dyDescent="0.25"/>
    <row r="203251" customFormat="1" x14ac:dyDescent="0.25"/>
    <row r="203252" customFormat="1" x14ac:dyDescent="0.25"/>
    <row r="203253" customFormat="1" x14ac:dyDescent="0.25"/>
    <row r="203254" customFormat="1" x14ac:dyDescent="0.25"/>
    <row r="203255" customFormat="1" x14ac:dyDescent="0.25"/>
    <row r="203256" customFormat="1" x14ac:dyDescent="0.25"/>
    <row r="203257" customFormat="1" x14ac:dyDescent="0.25"/>
    <row r="203258" customFormat="1" x14ac:dyDescent="0.25"/>
    <row r="203259" customFormat="1" x14ac:dyDescent="0.25"/>
    <row r="203260" customFormat="1" x14ac:dyDescent="0.25"/>
    <row r="203261" customFormat="1" x14ac:dyDescent="0.25"/>
    <row r="203262" customFormat="1" x14ac:dyDescent="0.25"/>
    <row r="203263" customFormat="1" x14ac:dyDescent="0.25"/>
    <row r="203264" customFormat="1" x14ac:dyDescent="0.25"/>
    <row r="203265" customFormat="1" x14ac:dyDescent="0.25"/>
    <row r="203266" customFormat="1" x14ac:dyDescent="0.25"/>
    <row r="203267" customFormat="1" x14ac:dyDescent="0.25"/>
    <row r="203268" customFormat="1" x14ac:dyDescent="0.25"/>
    <row r="203269" customFormat="1" x14ac:dyDescent="0.25"/>
    <row r="203270" customFormat="1" x14ac:dyDescent="0.25"/>
    <row r="203271" customFormat="1" x14ac:dyDescent="0.25"/>
    <row r="203272" customFormat="1" x14ac:dyDescent="0.25"/>
    <row r="203273" customFormat="1" x14ac:dyDescent="0.25"/>
    <row r="203274" customFormat="1" x14ac:dyDescent="0.25"/>
    <row r="203275" customFormat="1" x14ac:dyDescent="0.25"/>
    <row r="203276" customFormat="1" x14ac:dyDescent="0.25"/>
    <row r="203277" customFormat="1" x14ac:dyDescent="0.25"/>
    <row r="203278" customFormat="1" x14ac:dyDescent="0.25"/>
    <row r="203279" customFormat="1" x14ac:dyDescent="0.25"/>
    <row r="203280" customFormat="1" x14ac:dyDescent="0.25"/>
    <row r="203281" customFormat="1" x14ac:dyDescent="0.25"/>
    <row r="203282" customFormat="1" x14ac:dyDescent="0.25"/>
    <row r="203283" customFormat="1" x14ac:dyDescent="0.25"/>
    <row r="203284" customFormat="1" x14ac:dyDescent="0.25"/>
    <row r="203285" customFormat="1" x14ac:dyDescent="0.25"/>
    <row r="203286" customFormat="1" x14ac:dyDescent="0.25"/>
    <row r="203287" customFormat="1" x14ac:dyDescent="0.25"/>
    <row r="203288" customFormat="1" x14ac:dyDescent="0.25"/>
    <row r="203289" customFormat="1" x14ac:dyDescent="0.25"/>
    <row r="203290" customFormat="1" x14ac:dyDescent="0.25"/>
    <row r="203291" customFormat="1" x14ac:dyDescent="0.25"/>
    <row r="203292" customFormat="1" x14ac:dyDescent="0.25"/>
    <row r="203293" customFormat="1" x14ac:dyDescent="0.25"/>
    <row r="203294" customFormat="1" x14ac:dyDescent="0.25"/>
    <row r="203295" customFormat="1" x14ac:dyDescent="0.25"/>
    <row r="203296" customFormat="1" x14ac:dyDescent="0.25"/>
    <row r="203297" customFormat="1" x14ac:dyDescent="0.25"/>
    <row r="203298" customFormat="1" x14ac:dyDescent="0.25"/>
    <row r="203299" customFormat="1" x14ac:dyDescent="0.25"/>
    <row r="203300" customFormat="1" x14ac:dyDescent="0.25"/>
    <row r="203301" customFormat="1" x14ac:dyDescent="0.25"/>
    <row r="203302" customFormat="1" x14ac:dyDescent="0.25"/>
    <row r="203303" customFormat="1" x14ac:dyDescent="0.25"/>
    <row r="203304" customFormat="1" x14ac:dyDescent="0.25"/>
    <row r="203305" customFormat="1" x14ac:dyDescent="0.25"/>
    <row r="203306" customFormat="1" x14ac:dyDescent="0.25"/>
    <row r="203307" customFormat="1" x14ac:dyDescent="0.25"/>
    <row r="203308" customFormat="1" x14ac:dyDescent="0.25"/>
    <row r="203309" customFormat="1" x14ac:dyDescent="0.25"/>
    <row r="203310" customFormat="1" x14ac:dyDescent="0.25"/>
    <row r="203311" customFormat="1" x14ac:dyDescent="0.25"/>
    <row r="203312" customFormat="1" x14ac:dyDescent="0.25"/>
    <row r="203313" customFormat="1" x14ac:dyDescent="0.25"/>
    <row r="203314" customFormat="1" x14ac:dyDescent="0.25"/>
    <row r="203315" customFormat="1" x14ac:dyDescent="0.25"/>
    <row r="203316" customFormat="1" x14ac:dyDescent="0.25"/>
    <row r="203317" customFormat="1" x14ac:dyDescent="0.25"/>
    <row r="203318" customFormat="1" x14ac:dyDescent="0.25"/>
    <row r="203319" customFormat="1" x14ac:dyDescent="0.25"/>
    <row r="203320" customFormat="1" x14ac:dyDescent="0.25"/>
    <row r="203321" customFormat="1" x14ac:dyDescent="0.25"/>
    <row r="203322" customFormat="1" x14ac:dyDescent="0.25"/>
    <row r="203323" customFormat="1" x14ac:dyDescent="0.25"/>
    <row r="203324" customFormat="1" x14ac:dyDescent="0.25"/>
    <row r="203325" customFormat="1" x14ac:dyDescent="0.25"/>
    <row r="203326" customFormat="1" x14ac:dyDescent="0.25"/>
    <row r="203327" customFormat="1" x14ac:dyDescent="0.25"/>
    <row r="203328" customFormat="1" x14ac:dyDescent="0.25"/>
    <row r="203329" customFormat="1" x14ac:dyDescent="0.25"/>
    <row r="203330" customFormat="1" x14ac:dyDescent="0.25"/>
    <row r="203331" customFormat="1" x14ac:dyDescent="0.25"/>
    <row r="203332" customFormat="1" x14ac:dyDescent="0.25"/>
    <row r="203333" customFormat="1" x14ac:dyDescent="0.25"/>
    <row r="203334" customFormat="1" x14ac:dyDescent="0.25"/>
    <row r="203335" customFormat="1" x14ac:dyDescent="0.25"/>
    <row r="203336" customFormat="1" x14ac:dyDescent="0.25"/>
    <row r="203337" customFormat="1" x14ac:dyDescent="0.25"/>
    <row r="203338" customFormat="1" x14ac:dyDescent="0.25"/>
    <row r="203339" customFormat="1" x14ac:dyDescent="0.25"/>
    <row r="203340" customFormat="1" x14ac:dyDescent="0.25"/>
    <row r="203341" customFormat="1" x14ac:dyDescent="0.25"/>
    <row r="203342" customFormat="1" x14ac:dyDescent="0.25"/>
    <row r="203343" customFormat="1" x14ac:dyDescent="0.25"/>
    <row r="203344" customFormat="1" x14ac:dyDescent="0.25"/>
    <row r="203345" customFormat="1" x14ac:dyDescent="0.25"/>
    <row r="203346" customFormat="1" x14ac:dyDescent="0.25"/>
    <row r="203347" customFormat="1" x14ac:dyDescent="0.25"/>
    <row r="203348" customFormat="1" x14ac:dyDescent="0.25"/>
    <row r="203349" customFormat="1" x14ac:dyDescent="0.25"/>
    <row r="203350" customFormat="1" x14ac:dyDescent="0.25"/>
    <row r="203351" customFormat="1" x14ac:dyDescent="0.25"/>
    <row r="203352" customFormat="1" x14ac:dyDescent="0.25"/>
    <row r="203353" customFormat="1" x14ac:dyDescent="0.25"/>
    <row r="203354" customFormat="1" x14ac:dyDescent="0.25"/>
    <row r="203355" customFormat="1" x14ac:dyDescent="0.25"/>
    <row r="203356" customFormat="1" x14ac:dyDescent="0.25"/>
    <row r="203357" customFormat="1" x14ac:dyDescent="0.25"/>
    <row r="203358" customFormat="1" x14ac:dyDescent="0.25"/>
    <row r="203359" customFormat="1" x14ac:dyDescent="0.25"/>
    <row r="203360" customFormat="1" x14ac:dyDescent="0.25"/>
    <row r="203361" customFormat="1" x14ac:dyDescent="0.25"/>
    <row r="203362" customFormat="1" x14ac:dyDescent="0.25"/>
    <row r="203363" customFormat="1" x14ac:dyDescent="0.25"/>
    <row r="203364" customFormat="1" x14ac:dyDescent="0.25"/>
    <row r="203365" customFormat="1" x14ac:dyDescent="0.25"/>
    <row r="203366" customFormat="1" x14ac:dyDescent="0.25"/>
    <row r="203367" customFormat="1" x14ac:dyDescent="0.25"/>
    <row r="203368" customFormat="1" x14ac:dyDescent="0.25"/>
    <row r="203369" customFormat="1" x14ac:dyDescent="0.25"/>
    <row r="203370" customFormat="1" x14ac:dyDescent="0.25"/>
    <row r="203371" customFormat="1" x14ac:dyDescent="0.25"/>
    <row r="203372" customFormat="1" x14ac:dyDescent="0.25"/>
    <row r="203373" customFormat="1" x14ac:dyDescent="0.25"/>
    <row r="203374" customFormat="1" x14ac:dyDescent="0.25"/>
    <row r="203375" customFormat="1" x14ac:dyDescent="0.25"/>
    <row r="203376" customFormat="1" x14ac:dyDescent="0.25"/>
    <row r="203377" customFormat="1" x14ac:dyDescent="0.25"/>
    <row r="203378" customFormat="1" x14ac:dyDescent="0.25"/>
    <row r="203379" customFormat="1" x14ac:dyDescent="0.25"/>
    <row r="203380" customFormat="1" x14ac:dyDescent="0.25"/>
    <row r="203381" customFormat="1" x14ac:dyDescent="0.25"/>
    <row r="203382" customFormat="1" x14ac:dyDescent="0.25"/>
    <row r="203383" customFormat="1" x14ac:dyDescent="0.25"/>
    <row r="203384" customFormat="1" x14ac:dyDescent="0.25"/>
    <row r="203385" customFormat="1" x14ac:dyDescent="0.25"/>
    <row r="203386" customFormat="1" x14ac:dyDescent="0.25"/>
    <row r="203387" customFormat="1" x14ac:dyDescent="0.25"/>
    <row r="203388" customFormat="1" x14ac:dyDescent="0.25"/>
    <row r="203389" customFormat="1" x14ac:dyDescent="0.25"/>
    <row r="203390" customFormat="1" x14ac:dyDescent="0.25"/>
    <row r="203391" customFormat="1" x14ac:dyDescent="0.25"/>
    <row r="203392" customFormat="1" x14ac:dyDescent="0.25"/>
    <row r="203393" customFormat="1" x14ac:dyDescent="0.25"/>
    <row r="203394" customFormat="1" x14ac:dyDescent="0.25"/>
    <row r="203395" customFormat="1" x14ac:dyDescent="0.25"/>
    <row r="203396" customFormat="1" x14ac:dyDescent="0.25"/>
    <row r="203397" customFormat="1" x14ac:dyDescent="0.25"/>
    <row r="203398" customFormat="1" x14ac:dyDescent="0.25"/>
    <row r="203399" customFormat="1" x14ac:dyDescent="0.25"/>
    <row r="203400" customFormat="1" x14ac:dyDescent="0.25"/>
    <row r="203401" customFormat="1" x14ac:dyDescent="0.25"/>
    <row r="203402" customFormat="1" x14ac:dyDescent="0.25"/>
    <row r="203403" customFormat="1" x14ac:dyDescent="0.25"/>
    <row r="203404" customFormat="1" x14ac:dyDescent="0.25"/>
    <row r="203405" customFormat="1" x14ac:dyDescent="0.25"/>
    <row r="203406" customFormat="1" x14ac:dyDescent="0.25"/>
    <row r="203407" customFormat="1" x14ac:dyDescent="0.25"/>
    <row r="203408" customFormat="1" x14ac:dyDescent="0.25"/>
    <row r="203409" customFormat="1" x14ac:dyDescent="0.25"/>
    <row r="203410" customFormat="1" x14ac:dyDescent="0.25"/>
    <row r="203411" customFormat="1" x14ac:dyDescent="0.25"/>
    <row r="203412" customFormat="1" x14ac:dyDescent="0.25"/>
    <row r="203413" customFormat="1" x14ac:dyDescent="0.25"/>
    <row r="203414" customFormat="1" x14ac:dyDescent="0.25"/>
    <row r="203415" customFormat="1" x14ac:dyDescent="0.25"/>
    <row r="203416" customFormat="1" x14ac:dyDescent="0.25"/>
    <row r="203417" customFormat="1" x14ac:dyDescent="0.25"/>
    <row r="203418" customFormat="1" x14ac:dyDescent="0.25"/>
    <row r="203419" customFormat="1" x14ac:dyDescent="0.25"/>
    <row r="203420" customFormat="1" x14ac:dyDescent="0.25"/>
    <row r="203421" customFormat="1" x14ac:dyDescent="0.25"/>
    <row r="203422" customFormat="1" x14ac:dyDescent="0.25"/>
    <row r="203423" customFormat="1" x14ac:dyDescent="0.25"/>
    <row r="203424" customFormat="1" x14ac:dyDescent="0.25"/>
    <row r="203425" customFormat="1" x14ac:dyDescent="0.25"/>
    <row r="203426" customFormat="1" x14ac:dyDescent="0.25"/>
    <row r="203427" customFormat="1" x14ac:dyDescent="0.25"/>
    <row r="203428" customFormat="1" x14ac:dyDescent="0.25"/>
    <row r="203429" customFormat="1" x14ac:dyDescent="0.25"/>
    <row r="203430" customFormat="1" x14ac:dyDescent="0.25"/>
    <row r="203431" customFormat="1" x14ac:dyDescent="0.25"/>
    <row r="203432" customFormat="1" x14ac:dyDescent="0.25"/>
    <row r="203433" customFormat="1" x14ac:dyDescent="0.25"/>
    <row r="203434" customFormat="1" x14ac:dyDescent="0.25"/>
    <row r="203435" customFormat="1" x14ac:dyDescent="0.25"/>
    <row r="203436" customFormat="1" x14ac:dyDescent="0.25"/>
    <row r="203437" customFormat="1" x14ac:dyDescent="0.25"/>
    <row r="203438" customFormat="1" x14ac:dyDescent="0.25"/>
    <row r="203439" customFormat="1" x14ac:dyDescent="0.25"/>
    <row r="203440" customFormat="1" x14ac:dyDescent="0.25"/>
    <row r="203441" customFormat="1" x14ac:dyDescent="0.25"/>
    <row r="203442" customFormat="1" x14ac:dyDescent="0.25"/>
    <row r="203443" customFormat="1" x14ac:dyDescent="0.25"/>
    <row r="203444" customFormat="1" x14ac:dyDescent="0.25"/>
    <row r="203445" customFormat="1" x14ac:dyDescent="0.25"/>
    <row r="203446" customFormat="1" x14ac:dyDescent="0.25"/>
    <row r="203447" customFormat="1" x14ac:dyDescent="0.25"/>
    <row r="203448" customFormat="1" x14ac:dyDescent="0.25"/>
    <row r="203449" customFormat="1" x14ac:dyDescent="0.25"/>
    <row r="203450" customFormat="1" x14ac:dyDescent="0.25"/>
    <row r="203451" customFormat="1" x14ac:dyDescent="0.25"/>
    <row r="203452" customFormat="1" x14ac:dyDescent="0.25"/>
    <row r="203453" customFormat="1" x14ac:dyDescent="0.25"/>
    <row r="203454" customFormat="1" x14ac:dyDescent="0.25"/>
    <row r="203455" customFormat="1" x14ac:dyDescent="0.25"/>
    <row r="203456" customFormat="1" x14ac:dyDescent="0.25"/>
    <row r="203457" customFormat="1" x14ac:dyDescent="0.25"/>
    <row r="203458" customFormat="1" x14ac:dyDescent="0.25"/>
    <row r="203459" customFormat="1" x14ac:dyDescent="0.25"/>
    <row r="203460" customFormat="1" x14ac:dyDescent="0.25"/>
    <row r="203461" customFormat="1" x14ac:dyDescent="0.25"/>
    <row r="203462" customFormat="1" x14ac:dyDescent="0.25"/>
    <row r="203463" customFormat="1" x14ac:dyDescent="0.25"/>
    <row r="203464" customFormat="1" x14ac:dyDescent="0.25"/>
    <row r="203465" customFormat="1" x14ac:dyDescent="0.25"/>
    <row r="203466" customFormat="1" x14ac:dyDescent="0.25"/>
    <row r="203467" customFormat="1" x14ac:dyDescent="0.25"/>
    <row r="203468" customFormat="1" x14ac:dyDescent="0.25"/>
    <row r="203469" customFormat="1" x14ac:dyDescent="0.25"/>
    <row r="203470" customFormat="1" x14ac:dyDescent="0.25"/>
    <row r="203471" customFormat="1" x14ac:dyDescent="0.25"/>
    <row r="203472" customFormat="1" x14ac:dyDescent="0.25"/>
    <row r="203473" customFormat="1" x14ac:dyDescent="0.25"/>
    <row r="203474" customFormat="1" x14ac:dyDescent="0.25"/>
    <row r="203475" customFormat="1" x14ac:dyDescent="0.25"/>
    <row r="203476" customFormat="1" x14ac:dyDescent="0.25"/>
    <row r="203477" customFormat="1" x14ac:dyDescent="0.25"/>
    <row r="203478" customFormat="1" x14ac:dyDescent="0.25"/>
    <row r="203479" customFormat="1" x14ac:dyDescent="0.25"/>
    <row r="203480" customFormat="1" x14ac:dyDescent="0.25"/>
    <row r="203481" customFormat="1" x14ac:dyDescent="0.25"/>
    <row r="203482" customFormat="1" x14ac:dyDescent="0.25"/>
    <row r="203483" customFormat="1" x14ac:dyDescent="0.25"/>
    <row r="203484" customFormat="1" x14ac:dyDescent="0.25"/>
    <row r="203485" customFormat="1" x14ac:dyDescent="0.25"/>
    <row r="203486" customFormat="1" x14ac:dyDescent="0.25"/>
    <row r="203487" customFormat="1" x14ac:dyDescent="0.25"/>
    <row r="203488" customFormat="1" x14ac:dyDescent="0.25"/>
    <row r="203489" customFormat="1" x14ac:dyDescent="0.25"/>
    <row r="203490" customFormat="1" x14ac:dyDescent="0.25"/>
    <row r="203491" customFormat="1" x14ac:dyDescent="0.25"/>
    <row r="203492" customFormat="1" x14ac:dyDescent="0.25"/>
    <row r="203493" customFormat="1" x14ac:dyDescent="0.25"/>
    <row r="203494" customFormat="1" x14ac:dyDescent="0.25"/>
    <row r="203495" customFormat="1" x14ac:dyDescent="0.25"/>
    <row r="203496" customFormat="1" x14ac:dyDescent="0.25"/>
    <row r="203497" customFormat="1" x14ac:dyDescent="0.25"/>
    <row r="203498" customFormat="1" x14ac:dyDescent="0.25"/>
    <row r="203499" customFormat="1" x14ac:dyDescent="0.25"/>
    <row r="203500" customFormat="1" x14ac:dyDescent="0.25"/>
    <row r="203501" customFormat="1" x14ac:dyDescent="0.25"/>
    <row r="203502" customFormat="1" x14ac:dyDescent="0.25"/>
    <row r="203503" customFormat="1" x14ac:dyDescent="0.25"/>
    <row r="203504" customFormat="1" x14ac:dyDescent="0.25"/>
    <row r="203505" customFormat="1" x14ac:dyDescent="0.25"/>
    <row r="203506" customFormat="1" x14ac:dyDescent="0.25"/>
    <row r="203507" customFormat="1" x14ac:dyDescent="0.25"/>
    <row r="203508" customFormat="1" x14ac:dyDescent="0.25"/>
    <row r="203509" customFormat="1" x14ac:dyDescent="0.25"/>
    <row r="203510" customFormat="1" x14ac:dyDescent="0.25"/>
    <row r="203511" customFormat="1" x14ac:dyDescent="0.25"/>
    <row r="203512" customFormat="1" x14ac:dyDescent="0.25"/>
    <row r="203513" customFormat="1" x14ac:dyDescent="0.25"/>
    <row r="203514" customFormat="1" x14ac:dyDescent="0.25"/>
    <row r="203515" customFormat="1" x14ac:dyDescent="0.25"/>
    <row r="203516" customFormat="1" x14ac:dyDescent="0.25"/>
    <row r="203517" customFormat="1" x14ac:dyDescent="0.25"/>
    <row r="203518" customFormat="1" x14ac:dyDescent="0.25"/>
    <row r="203519" customFormat="1" x14ac:dyDescent="0.25"/>
    <row r="203520" customFormat="1" x14ac:dyDescent="0.25"/>
    <row r="203521" customFormat="1" x14ac:dyDescent="0.25"/>
    <row r="203522" customFormat="1" x14ac:dyDescent="0.25"/>
    <row r="203523" customFormat="1" x14ac:dyDescent="0.25"/>
    <row r="203524" customFormat="1" x14ac:dyDescent="0.25"/>
    <row r="203525" customFormat="1" x14ac:dyDescent="0.25"/>
    <row r="203526" customFormat="1" x14ac:dyDescent="0.25"/>
    <row r="203527" customFormat="1" x14ac:dyDescent="0.25"/>
    <row r="203528" customFormat="1" x14ac:dyDescent="0.25"/>
    <row r="203529" customFormat="1" x14ac:dyDescent="0.25"/>
    <row r="203530" customFormat="1" x14ac:dyDescent="0.25"/>
    <row r="203531" customFormat="1" x14ac:dyDescent="0.25"/>
    <row r="203532" customFormat="1" x14ac:dyDescent="0.25"/>
    <row r="203533" customFormat="1" x14ac:dyDescent="0.25"/>
    <row r="203534" customFormat="1" x14ac:dyDescent="0.25"/>
    <row r="203535" customFormat="1" x14ac:dyDescent="0.25"/>
    <row r="203536" customFormat="1" x14ac:dyDescent="0.25"/>
    <row r="203537" customFormat="1" x14ac:dyDescent="0.25"/>
    <row r="203538" customFormat="1" x14ac:dyDescent="0.25"/>
    <row r="203539" customFormat="1" x14ac:dyDescent="0.25"/>
    <row r="203540" customFormat="1" x14ac:dyDescent="0.25"/>
    <row r="203541" customFormat="1" x14ac:dyDescent="0.25"/>
    <row r="203542" customFormat="1" x14ac:dyDescent="0.25"/>
    <row r="203543" customFormat="1" x14ac:dyDescent="0.25"/>
    <row r="203544" customFormat="1" x14ac:dyDescent="0.25"/>
    <row r="203545" customFormat="1" x14ac:dyDescent="0.25"/>
    <row r="203546" customFormat="1" x14ac:dyDescent="0.25"/>
    <row r="203547" customFormat="1" x14ac:dyDescent="0.25"/>
    <row r="203548" customFormat="1" x14ac:dyDescent="0.25"/>
    <row r="203549" customFormat="1" x14ac:dyDescent="0.25"/>
    <row r="203550" customFormat="1" x14ac:dyDescent="0.25"/>
    <row r="203551" customFormat="1" x14ac:dyDescent="0.25"/>
    <row r="203552" customFormat="1" x14ac:dyDescent="0.25"/>
    <row r="203553" customFormat="1" x14ac:dyDescent="0.25"/>
    <row r="203554" customFormat="1" x14ac:dyDescent="0.25"/>
    <row r="203555" customFormat="1" x14ac:dyDescent="0.25"/>
    <row r="203556" customFormat="1" x14ac:dyDescent="0.25"/>
    <row r="203557" customFormat="1" x14ac:dyDescent="0.25"/>
    <row r="203558" customFormat="1" x14ac:dyDescent="0.25"/>
    <row r="203559" customFormat="1" x14ac:dyDescent="0.25"/>
    <row r="203560" customFormat="1" x14ac:dyDescent="0.25"/>
    <row r="203561" customFormat="1" x14ac:dyDescent="0.25"/>
    <row r="203562" customFormat="1" x14ac:dyDescent="0.25"/>
    <row r="203563" customFormat="1" x14ac:dyDescent="0.25"/>
    <row r="203564" customFormat="1" x14ac:dyDescent="0.25"/>
    <row r="203565" customFormat="1" x14ac:dyDescent="0.25"/>
    <row r="203566" customFormat="1" x14ac:dyDescent="0.25"/>
    <row r="203567" customFormat="1" x14ac:dyDescent="0.25"/>
    <row r="203568" customFormat="1" x14ac:dyDescent="0.25"/>
    <row r="203569" customFormat="1" x14ac:dyDescent="0.25"/>
    <row r="203570" customFormat="1" x14ac:dyDescent="0.25"/>
    <row r="203571" customFormat="1" x14ac:dyDescent="0.25"/>
    <row r="203572" customFormat="1" x14ac:dyDescent="0.25"/>
    <row r="203573" customFormat="1" x14ac:dyDescent="0.25"/>
    <row r="203574" customFormat="1" x14ac:dyDescent="0.25"/>
    <row r="203575" customFormat="1" x14ac:dyDescent="0.25"/>
    <row r="203576" customFormat="1" x14ac:dyDescent="0.25"/>
    <row r="203577" customFormat="1" x14ac:dyDescent="0.25"/>
    <row r="203578" customFormat="1" x14ac:dyDescent="0.25"/>
    <row r="203579" customFormat="1" x14ac:dyDescent="0.25"/>
    <row r="203580" customFormat="1" x14ac:dyDescent="0.25"/>
    <row r="203581" customFormat="1" x14ac:dyDescent="0.25"/>
    <row r="203582" customFormat="1" x14ac:dyDescent="0.25"/>
    <row r="203583" customFormat="1" x14ac:dyDescent="0.25"/>
    <row r="203584" customFormat="1" x14ac:dyDescent="0.25"/>
    <row r="203585" customFormat="1" x14ac:dyDescent="0.25"/>
    <row r="203586" customFormat="1" x14ac:dyDescent="0.25"/>
    <row r="203587" customFormat="1" x14ac:dyDescent="0.25"/>
    <row r="203588" customFormat="1" x14ac:dyDescent="0.25"/>
    <row r="203589" customFormat="1" x14ac:dyDescent="0.25"/>
    <row r="203590" customFormat="1" x14ac:dyDescent="0.25"/>
    <row r="203591" customFormat="1" x14ac:dyDescent="0.25"/>
    <row r="203592" customFormat="1" x14ac:dyDescent="0.25"/>
    <row r="203593" customFormat="1" x14ac:dyDescent="0.25"/>
    <row r="203594" customFormat="1" x14ac:dyDescent="0.25"/>
    <row r="203595" customFormat="1" x14ac:dyDescent="0.25"/>
    <row r="203596" customFormat="1" x14ac:dyDescent="0.25"/>
    <row r="203597" customFormat="1" x14ac:dyDescent="0.25"/>
    <row r="203598" customFormat="1" x14ac:dyDescent="0.25"/>
    <row r="203599" customFormat="1" x14ac:dyDescent="0.25"/>
    <row r="203600" customFormat="1" x14ac:dyDescent="0.25"/>
    <row r="203601" customFormat="1" x14ac:dyDescent="0.25"/>
    <row r="203602" customFormat="1" x14ac:dyDescent="0.25"/>
    <row r="203603" customFormat="1" x14ac:dyDescent="0.25"/>
    <row r="203604" customFormat="1" x14ac:dyDescent="0.25"/>
    <row r="203605" customFormat="1" x14ac:dyDescent="0.25"/>
    <row r="203606" customFormat="1" x14ac:dyDescent="0.25"/>
    <row r="203607" customFormat="1" x14ac:dyDescent="0.25"/>
    <row r="203608" customFormat="1" x14ac:dyDescent="0.25"/>
    <row r="203609" customFormat="1" x14ac:dyDescent="0.25"/>
    <row r="203610" customFormat="1" x14ac:dyDescent="0.25"/>
    <row r="203611" customFormat="1" x14ac:dyDescent="0.25"/>
    <row r="203612" customFormat="1" x14ac:dyDescent="0.25"/>
    <row r="203613" customFormat="1" x14ac:dyDescent="0.25"/>
    <row r="203614" customFormat="1" x14ac:dyDescent="0.25"/>
    <row r="203615" customFormat="1" x14ac:dyDescent="0.25"/>
    <row r="203616" customFormat="1" x14ac:dyDescent="0.25"/>
    <row r="203617" customFormat="1" x14ac:dyDescent="0.25"/>
    <row r="203618" customFormat="1" x14ac:dyDescent="0.25"/>
    <row r="203619" customFormat="1" x14ac:dyDescent="0.25"/>
    <row r="203620" customFormat="1" x14ac:dyDescent="0.25"/>
    <row r="203621" customFormat="1" x14ac:dyDescent="0.25"/>
    <row r="203622" customFormat="1" x14ac:dyDescent="0.25"/>
    <row r="203623" customFormat="1" x14ac:dyDescent="0.25"/>
    <row r="203624" customFormat="1" x14ac:dyDescent="0.25"/>
    <row r="203625" customFormat="1" x14ac:dyDescent="0.25"/>
    <row r="203626" customFormat="1" x14ac:dyDescent="0.25"/>
    <row r="203627" customFormat="1" x14ac:dyDescent="0.25"/>
    <row r="203628" customFormat="1" x14ac:dyDescent="0.25"/>
    <row r="203629" customFormat="1" x14ac:dyDescent="0.25"/>
    <row r="203630" customFormat="1" x14ac:dyDescent="0.25"/>
    <row r="203631" customFormat="1" x14ac:dyDescent="0.25"/>
    <row r="203632" customFormat="1" x14ac:dyDescent="0.25"/>
    <row r="203633" customFormat="1" x14ac:dyDescent="0.25"/>
    <row r="203634" customFormat="1" x14ac:dyDescent="0.25"/>
    <row r="203635" customFormat="1" x14ac:dyDescent="0.25"/>
    <row r="203636" customFormat="1" x14ac:dyDescent="0.25"/>
    <row r="203637" customFormat="1" x14ac:dyDescent="0.25"/>
    <row r="203638" customFormat="1" x14ac:dyDescent="0.25"/>
    <row r="203639" customFormat="1" x14ac:dyDescent="0.25"/>
    <row r="203640" customFormat="1" x14ac:dyDescent="0.25"/>
    <row r="203641" customFormat="1" x14ac:dyDescent="0.25"/>
    <row r="203642" customFormat="1" x14ac:dyDescent="0.25"/>
    <row r="203643" customFormat="1" x14ac:dyDescent="0.25"/>
    <row r="203644" customFormat="1" x14ac:dyDescent="0.25"/>
    <row r="203645" customFormat="1" x14ac:dyDescent="0.25"/>
    <row r="203646" customFormat="1" x14ac:dyDescent="0.25"/>
    <row r="203647" customFormat="1" x14ac:dyDescent="0.25"/>
    <row r="203648" customFormat="1" x14ac:dyDescent="0.25"/>
    <row r="203649" customFormat="1" x14ac:dyDescent="0.25"/>
    <row r="203650" customFormat="1" x14ac:dyDescent="0.25"/>
    <row r="203651" customFormat="1" x14ac:dyDescent="0.25"/>
    <row r="203652" customFormat="1" x14ac:dyDescent="0.25"/>
    <row r="203653" customFormat="1" x14ac:dyDescent="0.25"/>
    <row r="203654" customFormat="1" x14ac:dyDescent="0.25"/>
    <row r="203655" customFormat="1" x14ac:dyDescent="0.25"/>
    <row r="203656" customFormat="1" x14ac:dyDescent="0.25"/>
    <row r="203657" customFormat="1" x14ac:dyDescent="0.25"/>
    <row r="203658" customFormat="1" x14ac:dyDescent="0.25"/>
    <row r="203659" customFormat="1" x14ac:dyDescent="0.25"/>
    <row r="203660" customFormat="1" x14ac:dyDescent="0.25"/>
    <row r="203661" customFormat="1" x14ac:dyDescent="0.25"/>
    <row r="203662" customFormat="1" x14ac:dyDescent="0.25"/>
    <row r="203663" customFormat="1" x14ac:dyDescent="0.25"/>
    <row r="203664" customFormat="1" x14ac:dyDescent="0.25"/>
    <row r="203665" customFormat="1" x14ac:dyDescent="0.25"/>
    <row r="203666" customFormat="1" x14ac:dyDescent="0.25"/>
    <row r="203667" customFormat="1" x14ac:dyDescent="0.25"/>
    <row r="203668" customFormat="1" x14ac:dyDescent="0.25"/>
    <row r="203669" customFormat="1" x14ac:dyDescent="0.25"/>
    <row r="203670" customFormat="1" x14ac:dyDescent="0.25"/>
    <row r="203671" customFormat="1" x14ac:dyDescent="0.25"/>
    <row r="203672" customFormat="1" x14ac:dyDescent="0.25"/>
    <row r="203673" customFormat="1" x14ac:dyDescent="0.25"/>
    <row r="203674" customFormat="1" x14ac:dyDescent="0.25"/>
    <row r="203675" customFormat="1" x14ac:dyDescent="0.25"/>
    <row r="203676" customFormat="1" x14ac:dyDescent="0.25"/>
    <row r="203677" customFormat="1" x14ac:dyDescent="0.25"/>
    <row r="203678" customFormat="1" x14ac:dyDescent="0.25"/>
    <row r="203679" customFormat="1" x14ac:dyDescent="0.25"/>
    <row r="203680" customFormat="1" x14ac:dyDescent="0.25"/>
    <row r="203681" customFormat="1" x14ac:dyDescent="0.25"/>
    <row r="203682" customFormat="1" x14ac:dyDescent="0.25"/>
    <row r="203683" customFormat="1" x14ac:dyDescent="0.25"/>
    <row r="203684" customFormat="1" x14ac:dyDescent="0.25"/>
    <row r="203685" customFormat="1" x14ac:dyDescent="0.25"/>
    <row r="203686" customFormat="1" x14ac:dyDescent="0.25"/>
    <row r="203687" customFormat="1" x14ac:dyDescent="0.25"/>
    <row r="203688" customFormat="1" x14ac:dyDescent="0.25"/>
    <row r="203689" customFormat="1" x14ac:dyDescent="0.25"/>
    <row r="203690" customFormat="1" x14ac:dyDescent="0.25"/>
    <row r="203691" customFormat="1" x14ac:dyDescent="0.25"/>
    <row r="203692" customFormat="1" x14ac:dyDescent="0.25"/>
    <row r="203693" customFormat="1" x14ac:dyDescent="0.25"/>
    <row r="203694" customFormat="1" x14ac:dyDescent="0.25"/>
    <row r="203695" customFormat="1" x14ac:dyDescent="0.25"/>
    <row r="203696" customFormat="1" x14ac:dyDescent="0.25"/>
    <row r="203697" customFormat="1" x14ac:dyDescent="0.25"/>
    <row r="203698" customFormat="1" x14ac:dyDescent="0.25"/>
    <row r="203699" customFormat="1" x14ac:dyDescent="0.25"/>
    <row r="203700" customFormat="1" x14ac:dyDescent="0.25"/>
    <row r="203701" customFormat="1" x14ac:dyDescent="0.25"/>
    <row r="203702" customFormat="1" x14ac:dyDescent="0.25"/>
    <row r="203703" customFormat="1" x14ac:dyDescent="0.25"/>
    <row r="203704" customFormat="1" x14ac:dyDescent="0.25"/>
    <row r="203705" customFormat="1" x14ac:dyDescent="0.25"/>
    <row r="203706" customFormat="1" x14ac:dyDescent="0.25"/>
    <row r="203707" customFormat="1" x14ac:dyDescent="0.25"/>
    <row r="203708" customFormat="1" x14ac:dyDescent="0.25"/>
    <row r="203709" customFormat="1" x14ac:dyDescent="0.25"/>
    <row r="203710" customFormat="1" x14ac:dyDescent="0.25"/>
    <row r="203711" customFormat="1" x14ac:dyDescent="0.25"/>
    <row r="203712" customFormat="1" x14ac:dyDescent="0.25"/>
    <row r="203713" customFormat="1" x14ac:dyDescent="0.25"/>
    <row r="203714" customFormat="1" x14ac:dyDescent="0.25"/>
    <row r="203715" customFormat="1" x14ac:dyDescent="0.25"/>
    <row r="203716" customFormat="1" x14ac:dyDescent="0.25"/>
    <row r="203717" customFormat="1" x14ac:dyDescent="0.25"/>
    <row r="203718" customFormat="1" x14ac:dyDescent="0.25"/>
    <row r="203719" customFormat="1" x14ac:dyDescent="0.25"/>
    <row r="203720" customFormat="1" x14ac:dyDescent="0.25"/>
    <row r="203721" customFormat="1" x14ac:dyDescent="0.25"/>
    <row r="203722" customFormat="1" x14ac:dyDescent="0.25"/>
    <row r="203723" customFormat="1" x14ac:dyDescent="0.25"/>
    <row r="203724" customFormat="1" x14ac:dyDescent="0.25"/>
    <row r="203725" customFormat="1" x14ac:dyDescent="0.25"/>
    <row r="203726" customFormat="1" x14ac:dyDescent="0.25"/>
    <row r="203727" customFormat="1" x14ac:dyDescent="0.25"/>
    <row r="203728" customFormat="1" x14ac:dyDescent="0.25"/>
    <row r="203729" customFormat="1" x14ac:dyDescent="0.25"/>
    <row r="203730" customFormat="1" x14ac:dyDescent="0.25"/>
    <row r="203731" customFormat="1" x14ac:dyDescent="0.25"/>
    <row r="203732" customFormat="1" x14ac:dyDescent="0.25"/>
    <row r="203733" customFormat="1" x14ac:dyDescent="0.25"/>
    <row r="203734" customFormat="1" x14ac:dyDescent="0.25"/>
    <row r="203735" customFormat="1" x14ac:dyDescent="0.25"/>
    <row r="203736" customFormat="1" x14ac:dyDescent="0.25"/>
    <row r="203737" customFormat="1" x14ac:dyDescent="0.25"/>
    <row r="203738" customFormat="1" x14ac:dyDescent="0.25"/>
    <row r="203739" customFormat="1" x14ac:dyDescent="0.25"/>
    <row r="203740" customFormat="1" x14ac:dyDescent="0.25"/>
    <row r="203741" customFormat="1" x14ac:dyDescent="0.25"/>
    <row r="203742" customFormat="1" x14ac:dyDescent="0.25"/>
    <row r="203743" customFormat="1" x14ac:dyDescent="0.25"/>
    <row r="203744" customFormat="1" x14ac:dyDescent="0.25"/>
    <row r="203745" customFormat="1" x14ac:dyDescent="0.25"/>
    <row r="203746" customFormat="1" x14ac:dyDescent="0.25"/>
    <row r="203747" customFormat="1" x14ac:dyDescent="0.25"/>
    <row r="203748" customFormat="1" x14ac:dyDescent="0.25"/>
    <row r="203749" customFormat="1" x14ac:dyDescent="0.25"/>
    <row r="203750" customFormat="1" x14ac:dyDescent="0.25"/>
    <row r="203751" customFormat="1" x14ac:dyDescent="0.25"/>
    <row r="203752" customFormat="1" x14ac:dyDescent="0.25"/>
    <row r="203753" customFormat="1" x14ac:dyDescent="0.25"/>
    <row r="203754" customFormat="1" x14ac:dyDescent="0.25"/>
    <row r="203755" customFormat="1" x14ac:dyDescent="0.25"/>
    <row r="203756" customFormat="1" x14ac:dyDescent="0.25"/>
    <row r="203757" customFormat="1" x14ac:dyDescent="0.25"/>
    <row r="203758" customFormat="1" x14ac:dyDescent="0.25"/>
    <row r="203759" customFormat="1" x14ac:dyDescent="0.25"/>
    <row r="203760" customFormat="1" x14ac:dyDescent="0.25"/>
    <row r="203761" customFormat="1" x14ac:dyDescent="0.25"/>
    <row r="203762" customFormat="1" x14ac:dyDescent="0.25"/>
    <row r="203763" customFormat="1" x14ac:dyDescent="0.25"/>
    <row r="203764" customFormat="1" x14ac:dyDescent="0.25"/>
    <row r="203765" customFormat="1" x14ac:dyDescent="0.25"/>
    <row r="203766" customFormat="1" x14ac:dyDescent="0.25"/>
    <row r="203767" customFormat="1" x14ac:dyDescent="0.25"/>
    <row r="203768" customFormat="1" x14ac:dyDescent="0.25"/>
    <row r="203769" customFormat="1" x14ac:dyDescent="0.25"/>
    <row r="203770" customFormat="1" x14ac:dyDescent="0.25"/>
    <row r="203771" customFormat="1" x14ac:dyDescent="0.25"/>
    <row r="203772" customFormat="1" x14ac:dyDescent="0.25"/>
    <row r="203773" customFormat="1" x14ac:dyDescent="0.25"/>
    <row r="203774" customFormat="1" x14ac:dyDescent="0.25"/>
    <row r="203775" customFormat="1" x14ac:dyDescent="0.25"/>
    <row r="203776" customFormat="1" x14ac:dyDescent="0.25"/>
    <row r="203777" customFormat="1" x14ac:dyDescent="0.25"/>
    <row r="203778" customFormat="1" x14ac:dyDescent="0.25"/>
    <row r="203779" customFormat="1" x14ac:dyDescent="0.25"/>
    <row r="203780" customFormat="1" x14ac:dyDescent="0.25"/>
    <row r="203781" customFormat="1" x14ac:dyDescent="0.25"/>
    <row r="203782" customFormat="1" x14ac:dyDescent="0.25"/>
    <row r="203783" customFormat="1" x14ac:dyDescent="0.25"/>
    <row r="203784" customFormat="1" x14ac:dyDescent="0.25"/>
    <row r="203785" customFormat="1" x14ac:dyDescent="0.25"/>
    <row r="203786" customFormat="1" x14ac:dyDescent="0.25"/>
    <row r="203787" customFormat="1" x14ac:dyDescent="0.25"/>
    <row r="203788" customFormat="1" x14ac:dyDescent="0.25"/>
    <row r="203789" customFormat="1" x14ac:dyDescent="0.25"/>
    <row r="203790" customFormat="1" x14ac:dyDescent="0.25"/>
    <row r="203791" customFormat="1" x14ac:dyDescent="0.25"/>
    <row r="203792" customFormat="1" x14ac:dyDescent="0.25"/>
    <row r="203793" customFormat="1" x14ac:dyDescent="0.25"/>
    <row r="203794" customFormat="1" x14ac:dyDescent="0.25"/>
    <row r="203795" customFormat="1" x14ac:dyDescent="0.25"/>
    <row r="203796" customFormat="1" x14ac:dyDescent="0.25"/>
    <row r="203797" customFormat="1" x14ac:dyDescent="0.25"/>
    <row r="203798" customFormat="1" x14ac:dyDescent="0.25"/>
    <row r="203799" customFormat="1" x14ac:dyDescent="0.25"/>
    <row r="203800" customFormat="1" x14ac:dyDescent="0.25"/>
    <row r="203801" customFormat="1" x14ac:dyDescent="0.25"/>
    <row r="203802" customFormat="1" x14ac:dyDescent="0.25"/>
    <row r="203803" customFormat="1" x14ac:dyDescent="0.25"/>
    <row r="203804" customFormat="1" x14ac:dyDescent="0.25"/>
    <row r="203805" customFormat="1" x14ac:dyDescent="0.25"/>
    <row r="203806" customFormat="1" x14ac:dyDescent="0.25"/>
    <row r="203807" customFormat="1" x14ac:dyDescent="0.25"/>
    <row r="203808" customFormat="1" x14ac:dyDescent="0.25"/>
    <row r="203809" customFormat="1" x14ac:dyDescent="0.25"/>
    <row r="203810" customFormat="1" x14ac:dyDescent="0.25"/>
    <row r="203811" customFormat="1" x14ac:dyDescent="0.25"/>
    <row r="203812" customFormat="1" x14ac:dyDescent="0.25"/>
    <row r="203813" customFormat="1" x14ac:dyDescent="0.25"/>
    <row r="203814" customFormat="1" x14ac:dyDescent="0.25"/>
    <row r="203815" customFormat="1" x14ac:dyDescent="0.25"/>
    <row r="203816" customFormat="1" x14ac:dyDescent="0.25"/>
    <row r="203817" customFormat="1" x14ac:dyDescent="0.25"/>
    <row r="203818" customFormat="1" x14ac:dyDescent="0.25"/>
    <row r="203819" customFormat="1" x14ac:dyDescent="0.25"/>
    <row r="203820" customFormat="1" x14ac:dyDescent="0.25"/>
    <row r="203821" customFormat="1" x14ac:dyDescent="0.25"/>
    <row r="203822" customFormat="1" x14ac:dyDescent="0.25"/>
    <row r="203823" customFormat="1" x14ac:dyDescent="0.25"/>
    <row r="203824" customFormat="1" x14ac:dyDescent="0.25"/>
    <row r="203825" customFormat="1" x14ac:dyDescent="0.25"/>
    <row r="203826" customFormat="1" x14ac:dyDescent="0.25"/>
    <row r="203827" customFormat="1" x14ac:dyDescent="0.25"/>
    <row r="203828" customFormat="1" x14ac:dyDescent="0.25"/>
    <row r="203829" customFormat="1" x14ac:dyDescent="0.25"/>
    <row r="203830" customFormat="1" x14ac:dyDescent="0.25"/>
    <row r="203831" customFormat="1" x14ac:dyDescent="0.25"/>
    <row r="203832" customFormat="1" x14ac:dyDescent="0.25"/>
    <row r="203833" customFormat="1" x14ac:dyDescent="0.25"/>
    <row r="203834" customFormat="1" x14ac:dyDescent="0.25"/>
    <row r="203835" customFormat="1" x14ac:dyDescent="0.25"/>
    <row r="203836" customFormat="1" x14ac:dyDescent="0.25"/>
    <row r="203837" customFormat="1" x14ac:dyDescent="0.25"/>
    <row r="203838" customFormat="1" x14ac:dyDescent="0.25"/>
    <row r="203839" customFormat="1" x14ac:dyDescent="0.25"/>
    <row r="203840" customFormat="1" x14ac:dyDescent="0.25"/>
    <row r="203841" customFormat="1" x14ac:dyDescent="0.25"/>
    <row r="203842" customFormat="1" x14ac:dyDescent="0.25"/>
    <row r="203843" customFormat="1" x14ac:dyDescent="0.25"/>
    <row r="203844" customFormat="1" x14ac:dyDescent="0.25"/>
    <row r="203845" customFormat="1" x14ac:dyDescent="0.25"/>
    <row r="203846" customFormat="1" x14ac:dyDescent="0.25"/>
    <row r="203847" customFormat="1" x14ac:dyDescent="0.25"/>
    <row r="203848" customFormat="1" x14ac:dyDescent="0.25"/>
    <row r="203849" customFormat="1" x14ac:dyDescent="0.25"/>
    <row r="203850" customFormat="1" x14ac:dyDescent="0.25"/>
    <row r="203851" customFormat="1" x14ac:dyDescent="0.25"/>
    <row r="203852" customFormat="1" x14ac:dyDescent="0.25"/>
    <row r="203853" customFormat="1" x14ac:dyDescent="0.25"/>
    <row r="203854" customFormat="1" x14ac:dyDescent="0.25"/>
    <row r="203855" customFormat="1" x14ac:dyDescent="0.25"/>
    <row r="203856" customFormat="1" x14ac:dyDescent="0.25"/>
    <row r="203857" customFormat="1" x14ac:dyDescent="0.25"/>
    <row r="203858" customFormat="1" x14ac:dyDescent="0.25"/>
    <row r="203859" customFormat="1" x14ac:dyDescent="0.25"/>
    <row r="203860" customFormat="1" x14ac:dyDescent="0.25"/>
    <row r="203861" customFormat="1" x14ac:dyDescent="0.25"/>
    <row r="203862" customFormat="1" x14ac:dyDescent="0.25"/>
    <row r="203863" customFormat="1" x14ac:dyDescent="0.25"/>
    <row r="203864" customFormat="1" x14ac:dyDescent="0.25"/>
    <row r="203865" customFormat="1" x14ac:dyDescent="0.25"/>
    <row r="203866" customFormat="1" x14ac:dyDescent="0.25"/>
    <row r="203867" customFormat="1" x14ac:dyDescent="0.25"/>
    <row r="203868" customFormat="1" x14ac:dyDescent="0.25"/>
    <row r="203869" customFormat="1" x14ac:dyDescent="0.25"/>
    <row r="203870" customFormat="1" x14ac:dyDescent="0.25"/>
    <row r="203871" customFormat="1" x14ac:dyDescent="0.25"/>
    <row r="203872" customFormat="1" x14ac:dyDescent="0.25"/>
    <row r="203873" customFormat="1" x14ac:dyDescent="0.25"/>
    <row r="203874" customFormat="1" x14ac:dyDescent="0.25"/>
    <row r="203875" customFormat="1" x14ac:dyDescent="0.25"/>
    <row r="203876" customFormat="1" x14ac:dyDescent="0.25"/>
    <row r="203877" customFormat="1" x14ac:dyDescent="0.25"/>
    <row r="203878" customFormat="1" x14ac:dyDescent="0.25"/>
    <row r="203879" customFormat="1" x14ac:dyDescent="0.25"/>
    <row r="203880" customFormat="1" x14ac:dyDescent="0.25"/>
    <row r="203881" customFormat="1" x14ac:dyDescent="0.25"/>
    <row r="203882" customFormat="1" x14ac:dyDescent="0.25"/>
    <row r="203883" customFormat="1" x14ac:dyDescent="0.25"/>
    <row r="203884" customFormat="1" x14ac:dyDescent="0.25"/>
    <row r="203885" customFormat="1" x14ac:dyDescent="0.25"/>
    <row r="203886" customFormat="1" x14ac:dyDescent="0.25"/>
    <row r="203887" customFormat="1" x14ac:dyDescent="0.25"/>
    <row r="203888" customFormat="1" x14ac:dyDescent="0.25"/>
    <row r="203889" customFormat="1" x14ac:dyDescent="0.25"/>
    <row r="203890" customFormat="1" x14ac:dyDescent="0.25"/>
    <row r="203891" customFormat="1" x14ac:dyDescent="0.25"/>
    <row r="203892" customFormat="1" x14ac:dyDescent="0.25"/>
    <row r="203893" customFormat="1" x14ac:dyDescent="0.25"/>
    <row r="203894" customFormat="1" x14ac:dyDescent="0.25"/>
    <row r="203895" customFormat="1" x14ac:dyDescent="0.25"/>
    <row r="203896" customFormat="1" x14ac:dyDescent="0.25"/>
    <row r="203897" customFormat="1" x14ac:dyDescent="0.25"/>
    <row r="203898" customFormat="1" x14ac:dyDescent="0.25"/>
    <row r="203899" customFormat="1" x14ac:dyDescent="0.25"/>
    <row r="203900" customFormat="1" x14ac:dyDescent="0.25"/>
    <row r="203901" customFormat="1" x14ac:dyDescent="0.25"/>
    <row r="203902" customFormat="1" x14ac:dyDescent="0.25"/>
    <row r="203903" customFormat="1" x14ac:dyDescent="0.25"/>
    <row r="203904" customFormat="1" x14ac:dyDescent="0.25"/>
    <row r="203905" customFormat="1" x14ac:dyDescent="0.25"/>
    <row r="203906" customFormat="1" x14ac:dyDescent="0.25"/>
    <row r="203907" customFormat="1" x14ac:dyDescent="0.25"/>
    <row r="203908" customFormat="1" x14ac:dyDescent="0.25"/>
    <row r="203909" customFormat="1" x14ac:dyDescent="0.25"/>
    <row r="203910" customFormat="1" x14ac:dyDescent="0.25"/>
    <row r="203911" customFormat="1" x14ac:dyDescent="0.25"/>
    <row r="203912" customFormat="1" x14ac:dyDescent="0.25"/>
    <row r="203913" customFormat="1" x14ac:dyDescent="0.25"/>
    <row r="203914" customFormat="1" x14ac:dyDescent="0.25"/>
    <row r="203915" customFormat="1" x14ac:dyDescent="0.25"/>
    <row r="203916" customFormat="1" x14ac:dyDescent="0.25"/>
    <row r="203917" customFormat="1" x14ac:dyDescent="0.25"/>
    <row r="203918" customFormat="1" x14ac:dyDescent="0.25"/>
    <row r="203919" customFormat="1" x14ac:dyDescent="0.25"/>
    <row r="203920" customFormat="1" x14ac:dyDescent="0.25"/>
    <row r="203921" customFormat="1" x14ac:dyDescent="0.25"/>
    <row r="203922" customFormat="1" x14ac:dyDescent="0.25"/>
    <row r="203923" customFormat="1" x14ac:dyDescent="0.25"/>
    <row r="203924" customFormat="1" x14ac:dyDescent="0.25"/>
    <row r="203925" customFormat="1" x14ac:dyDescent="0.25"/>
    <row r="203926" customFormat="1" x14ac:dyDescent="0.25"/>
    <row r="203927" customFormat="1" x14ac:dyDescent="0.25"/>
    <row r="203928" customFormat="1" x14ac:dyDescent="0.25"/>
    <row r="203929" customFormat="1" x14ac:dyDescent="0.25"/>
    <row r="203930" customFormat="1" x14ac:dyDescent="0.25"/>
    <row r="203931" customFormat="1" x14ac:dyDescent="0.25"/>
    <row r="203932" customFormat="1" x14ac:dyDescent="0.25"/>
    <row r="203933" customFormat="1" x14ac:dyDescent="0.25"/>
    <row r="203934" customFormat="1" x14ac:dyDescent="0.25"/>
    <row r="203935" customFormat="1" x14ac:dyDescent="0.25"/>
    <row r="203936" customFormat="1" x14ac:dyDescent="0.25"/>
    <row r="203937" customFormat="1" x14ac:dyDescent="0.25"/>
    <row r="203938" customFormat="1" x14ac:dyDescent="0.25"/>
    <row r="203939" customFormat="1" x14ac:dyDescent="0.25"/>
    <row r="203940" customFormat="1" x14ac:dyDescent="0.25"/>
    <row r="203941" customFormat="1" x14ac:dyDescent="0.25"/>
    <row r="203942" customFormat="1" x14ac:dyDescent="0.25"/>
    <row r="203943" customFormat="1" x14ac:dyDescent="0.25"/>
    <row r="203944" customFormat="1" x14ac:dyDescent="0.25"/>
    <row r="203945" customFormat="1" x14ac:dyDescent="0.25"/>
    <row r="203946" customFormat="1" x14ac:dyDescent="0.25"/>
    <row r="203947" customFormat="1" x14ac:dyDescent="0.25"/>
    <row r="203948" customFormat="1" x14ac:dyDescent="0.25"/>
    <row r="203949" customFormat="1" x14ac:dyDescent="0.25"/>
    <row r="203950" customFormat="1" x14ac:dyDescent="0.25"/>
    <row r="203951" customFormat="1" x14ac:dyDescent="0.25"/>
    <row r="203952" customFormat="1" x14ac:dyDescent="0.25"/>
    <row r="203953" customFormat="1" x14ac:dyDescent="0.25"/>
    <row r="203954" customFormat="1" x14ac:dyDescent="0.25"/>
    <row r="203955" customFormat="1" x14ac:dyDescent="0.25"/>
    <row r="203956" customFormat="1" x14ac:dyDescent="0.25"/>
    <row r="203957" customFormat="1" x14ac:dyDescent="0.25"/>
    <row r="203958" customFormat="1" x14ac:dyDescent="0.25"/>
    <row r="203959" customFormat="1" x14ac:dyDescent="0.25"/>
    <row r="203960" customFormat="1" x14ac:dyDescent="0.25"/>
    <row r="203961" customFormat="1" x14ac:dyDescent="0.25"/>
    <row r="203962" customFormat="1" x14ac:dyDescent="0.25"/>
    <row r="203963" customFormat="1" x14ac:dyDescent="0.25"/>
    <row r="203964" customFormat="1" x14ac:dyDescent="0.25"/>
    <row r="203965" customFormat="1" x14ac:dyDescent="0.25"/>
    <row r="203966" customFormat="1" x14ac:dyDescent="0.25"/>
    <row r="203967" customFormat="1" x14ac:dyDescent="0.25"/>
    <row r="203968" customFormat="1" x14ac:dyDescent="0.25"/>
    <row r="203969" customFormat="1" x14ac:dyDescent="0.25"/>
    <row r="203970" customFormat="1" x14ac:dyDescent="0.25"/>
    <row r="203971" customFormat="1" x14ac:dyDescent="0.25"/>
    <row r="203972" customFormat="1" x14ac:dyDescent="0.25"/>
    <row r="203973" customFormat="1" x14ac:dyDescent="0.25"/>
    <row r="203974" customFormat="1" x14ac:dyDescent="0.25"/>
    <row r="203975" customFormat="1" x14ac:dyDescent="0.25"/>
    <row r="203976" customFormat="1" x14ac:dyDescent="0.25"/>
    <row r="203977" customFormat="1" x14ac:dyDescent="0.25"/>
    <row r="203978" customFormat="1" x14ac:dyDescent="0.25"/>
    <row r="203979" customFormat="1" x14ac:dyDescent="0.25"/>
    <row r="203980" customFormat="1" x14ac:dyDescent="0.25"/>
    <row r="203981" customFormat="1" x14ac:dyDescent="0.25"/>
    <row r="203982" customFormat="1" x14ac:dyDescent="0.25"/>
    <row r="203983" customFormat="1" x14ac:dyDescent="0.25"/>
    <row r="203984" customFormat="1" x14ac:dyDescent="0.25"/>
    <row r="203985" customFormat="1" x14ac:dyDescent="0.25"/>
    <row r="203986" customFormat="1" x14ac:dyDescent="0.25"/>
    <row r="203987" customFormat="1" x14ac:dyDescent="0.25"/>
    <row r="203988" customFormat="1" x14ac:dyDescent="0.25"/>
    <row r="203989" customFormat="1" x14ac:dyDescent="0.25"/>
    <row r="203990" customFormat="1" x14ac:dyDescent="0.25"/>
    <row r="203991" customFormat="1" x14ac:dyDescent="0.25"/>
    <row r="203992" customFormat="1" x14ac:dyDescent="0.25"/>
    <row r="203993" customFormat="1" x14ac:dyDescent="0.25"/>
    <row r="203994" customFormat="1" x14ac:dyDescent="0.25"/>
    <row r="203995" customFormat="1" x14ac:dyDescent="0.25"/>
    <row r="203996" customFormat="1" x14ac:dyDescent="0.25"/>
    <row r="203997" customFormat="1" x14ac:dyDescent="0.25"/>
    <row r="203998" customFormat="1" x14ac:dyDescent="0.25"/>
    <row r="203999" customFormat="1" x14ac:dyDescent="0.25"/>
    <row r="204000" customFormat="1" x14ac:dyDescent="0.25"/>
    <row r="204001" customFormat="1" x14ac:dyDescent="0.25"/>
    <row r="204002" customFormat="1" x14ac:dyDescent="0.25"/>
    <row r="204003" customFormat="1" x14ac:dyDescent="0.25"/>
    <row r="204004" customFormat="1" x14ac:dyDescent="0.25"/>
    <row r="204005" customFormat="1" x14ac:dyDescent="0.25"/>
    <row r="204006" customFormat="1" x14ac:dyDescent="0.25"/>
    <row r="204007" customFormat="1" x14ac:dyDescent="0.25"/>
    <row r="204008" customFormat="1" x14ac:dyDescent="0.25"/>
    <row r="204009" customFormat="1" x14ac:dyDescent="0.25"/>
    <row r="204010" customFormat="1" x14ac:dyDescent="0.25"/>
    <row r="204011" customFormat="1" x14ac:dyDescent="0.25"/>
    <row r="204012" customFormat="1" x14ac:dyDescent="0.25"/>
    <row r="204013" customFormat="1" x14ac:dyDescent="0.25"/>
    <row r="204014" customFormat="1" x14ac:dyDescent="0.25"/>
    <row r="204015" customFormat="1" x14ac:dyDescent="0.25"/>
    <row r="204016" customFormat="1" x14ac:dyDescent="0.25"/>
    <row r="204017" customFormat="1" x14ac:dyDescent="0.25"/>
    <row r="204018" customFormat="1" x14ac:dyDescent="0.25"/>
    <row r="204019" customFormat="1" x14ac:dyDescent="0.25"/>
    <row r="204020" customFormat="1" x14ac:dyDescent="0.25"/>
    <row r="204021" customFormat="1" x14ac:dyDescent="0.25"/>
    <row r="204022" customFormat="1" x14ac:dyDescent="0.25"/>
    <row r="204023" customFormat="1" x14ac:dyDescent="0.25"/>
    <row r="204024" customFormat="1" x14ac:dyDescent="0.25"/>
    <row r="204025" customFormat="1" x14ac:dyDescent="0.25"/>
    <row r="204026" customFormat="1" x14ac:dyDescent="0.25"/>
    <row r="204027" customFormat="1" x14ac:dyDescent="0.25"/>
    <row r="204028" customFormat="1" x14ac:dyDescent="0.25"/>
    <row r="204029" customFormat="1" x14ac:dyDescent="0.25"/>
    <row r="204030" customFormat="1" x14ac:dyDescent="0.25"/>
    <row r="204031" customFormat="1" x14ac:dyDescent="0.25"/>
    <row r="204032" customFormat="1" x14ac:dyDescent="0.25"/>
    <row r="204033" customFormat="1" x14ac:dyDescent="0.25"/>
    <row r="204034" customFormat="1" x14ac:dyDescent="0.25"/>
    <row r="204035" customFormat="1" x14ac:dyDescent="0.25"/>
    <row r="204036" customFormat="1" x14ac:dyDescent="0.25"/>
    <row r="204037" customFormat="1" x14ac:dyDescent="0.25"/>
    <row r="204038" customFormat="1" x14ac:dyDescent="0.25"/>
    <row r="204039" customFormat="1" x14ac:dyDescent="0.25"/>
    <row r="204040" customFormat="1" x14ac:dyDescent="0.25"/>
    <row r="204041" customFormat="1" x14ac:dyDescent="0.25"/>
    <row r="204042" customFormat="1" x14ac:dyDescent="0.25"/>
    <row r="204043" customFormat="1" x14ac:dyDescent="0.25"/>
    <row r="204044" customFormat="1" x14ac:dyDescent="0.25"/>
    <row r="204045" customFormat="1" x14ac:dyDescent="0.25"/>
    <row r="204046" customFormat="1" x14ac:dyDescent="0.25"/>
    <row r="204047" customFormat="1" x14ac:dyDescent="0.25"/>
    <row r="204048" customFormat="1" x14ac:dyDescent="0.25"/>
    <row r="204049" customFormat="1" x14ac:dyDescent="0.25"/>
    <row r="204050" customFormat="1" x14ac:dyDescent="0.25"/>
    <row r="204051" customFormat="1" x14ac:dyDescent="0.25"/>
    <row r="204052" customFormat="1" x14ac:dyDescent="0.25"/>
    <row r="204053" customFormat="1" x14ac:dyDescent="0.25"/>
    <row r="204054" customFormat="1" x14ac:dyDescent="0.25"/>
    <row r="204055" customFormat="1" x14ac:dyDescent="0.25"/>
    <row r="204056" customFormat="1" x14ac:dyDescent="0.25"/>
    <row r="204057" customFormat="1" x14ac:dyDescent="0.25"/>
    <row r="204058" customFormat="1" x14ac:dyDescent="0.25"/>
    <row r="204059" customFormat="1" x14ac:dyDescent="0.25"/>
    <row r="204060" customFormat="1" x14ac:dyDescent="0.25"/>
    <row r="204061" customFormat="1" x14ac:dyDescent="0.25"/>
    <row r="204062" customFormat="1" x14ac:dyDescent="0.25"/>
    <row r="204063" customFormat="1" x14ac:dyDescent="0.25"/>
    <row r="204064" customFormat="1" x14ac:dyDescent="0.25"/>
    <row r="204065" customFormat="1" x14ac:dyDescent="0.25"/>
    <row r="204066" customFormat="1" x14ac:dyDescent="0.25"/>
    <row r="204067" customFormat="1" x14ac:dyDescent="0.25"/>
    <row r="204068" customFormat="1" x14ac:dyDescent="0.25"/>
    <row r="204069" customFormat="1" x14ac:dyDescent="0.25"/>
    <row r="204070" customFormat="1" x14ac:dyDescent="0.25"/>
    <row r="204071" customFormat="1" x14ac:dyDescent="0.25"/>
    <row r="204072" customFormat="1" x14ac:dyDescent="0.25"/>
    <row r="204073" customFormat="1" x14ac:dyDescent="0.25"/>
    <row r="204074" customFormat="1" x14ac:dyDescent="0.25"/>
    <row r="204075" customFormat="1" x14ac:dyDescent="0.25"/>
    <row r="204076" customFormat="1" x14ac:dyDescent="0.25"/>
    <row r="204077" customFormat="1" x14ac:dyDescent="0.25"/>
    <row r="204078" customFormat="1" x14ac:dyDescent="0.25"/>
    <row r="204079" customFormat="1" x14ac:dyDescent="0.25"/>
    <row r="204080" customFormat="1" x14ac:dyDescent="0.25"/>
    <row r="204081" customFormat="1" x14ac:dyDescent="0.25"/>
    <row r="204082" customFormat="1" x14ac:dyDescent="0.25"/>
    <row r="204083" customFormat="1" x14ac:dyDescent="0.25"/>
    <row r="204084" customFormat="1" x14ac:dyDescent="0.25"/>
    <row r="204085" customFormat="1" x14ac:dyDescent="0.25"/>
    <row r="204086" customFormat="1" x14ac:dyDescent="0.25"/>
    <row r="204087" customFormat="1" x14ac:dyDescent="0.25"/>
    <row r="204088" customFormat="1" x14ac:dyDescent="0.25"/>
    <row r="204089" customFormat="1" x14ac:dyDescent="0.25"/>
    <row r="204090" customFormat="1" x14ac:dyDescent="0.25"/>
    <row r="204091" customFormat="1" x14ac:dyDescent="0.25"/>
    <row r="204092" customFormat="1" x14ac:dyDescent="0.25"/>
    <row r="204093" customFormat="1" x14ac:dyDescent="0.25"/>
    <row r="204094" customFormat="1" x14ac:dyDescent="0.25"/>
    <row r="204095" customFormat="1" x14ac:dyDescent="0.25"/>
    <row r="204096" customFormat="1" x14ac:dyDescent="0.25"/>
    <row r="204097" customFormat="1" x14ac:dyDescent="0.25"/>
    <row r="204098" customFormat="1" x14ac:dyDescent="0.25"/>
    <row r="204099" customFormat="1" x14ac:dyDescent="0.25"/>
    <row r="204100" customFormat="1" x14ac:dyDescent="0.25"/>
    <row r="204101" customFormat="1" x14ac:dyDescent="0.25"/>
    <row r="204102" customFormat="1" x14ac:dyDescent="0.25"/>
    <row r="204103" customFormat="1" x14ac:dyDescent="0.25"/>
    <row r="204104" customFormat="1" x14ac:dyDescent="0.25"/>
    <row r="204105" customFormat="1" x14ac:dyDescent="0.25"/>
    <row r="204106" customFormat="1" x14ac:dyDescent="0.25"/>
    <row r="204107" customFormat="1" x14ac:dyDescent="0.25"/>
    <row r="204108" customFormat="1" x14ac:dyDescent="0.25"/>
    <row r="204109" customFormat="1" x14ac:dyDescent="0.25"/>
    <row r="204110" customFormat="1" x14ac:dyDescent="0.25"/>
    <row r="204111" customFormat="1" x14ac:dyDescent="0.25"/>
    <row r="204112" customFormat="1" x14ac:dyDescent="0.25"/>
    <row r="204113" customFormat="1" x14ac:dyDescent="0.25"/>
    <row r="204114" customFormat="1" x14ac:dyDescent="0.25"/>
    <row r="204115" customFormat="1" x14ac:dyDescent="0.25"/>
    <row r="204116" customFormat="1" x14ac:dyDescent="0.25"/>
    <row r="204117" customFormat="1" x14ac:dyDescent="0.25"/>
    <row r="204118" customFormat="1" x14ac:dyDescent="0.25"/>
    <row r="204119" customFormat="1" x14ac:dyDescent="0.25"/>
    <row r="204120" customFormat="1" x14ac:dyDescent="0.25"/>
    <row r="204121" customFormat="1" x14ac:dyDescent="0.25"/>
    <row r="204122" customFormat="1" x14ac:dyDescent="0.25"/>
    <row r="204123" customFormat="1" x14ac:dyDescent="0.25"/>
    <row r="204124" customFormat="1" x14ac:dyDescent="0.25"/>
    <row r="204125" customFormat="1" x14ac:dyDescent="0.25"/>
    <row r="204126" customFormat="1" x14ac:dyDescent="0.25"/>
    <row r="204127" customFormat="1" x14ac:dyDescent="0.25"/>
    <row r="204128" customFormat="1" x14ac:dyDescent="0.25"/>
    <row r="204129" customFormat="1" x14ac:dyDescent="0.25"/>
    <row r="204130" customFormat="1" x14ac:dyDescent="0.25"/>
    <row r="204131" customFormat="1" x14ac:dyDescent="0.25"/>
    <row r="204132" customFormat="1" x14ac:dyDescent="0.25"/>
    <row r="204133" customFormat="1" x14ac:dyDescent="0.25"/>
    <row r="204134" customFormat="1" x14ac:dyDescent="0.25"/>
    <row r="204135" customFormat="1" x14ac:dyDescent="0.25"/>
    <row r="204136" customFormat="1" x14ac:dyDescent="0.25"/>
    <row r="204137" customFormat="1" x14ac:dyDescent="0.25"/>
    <row r="204138" customFormat="1" x14ac:dyDescent="0.25"/>
    <row r="204139" customFormat="1" x14ac:dyDescent="0.25"/>
    <row r="204140" customFormat="1" x14ac:dyDescent="0.25"/>
    <row r="204141" customFormat="1" x14ac:dyDescent="0.25"/>
    <row r="204142" customFormat="1" x14ac:dyDescent="0.25"/>
    <row r="204143" customFormat="1" x14ac:dyDescent="0.25"/>
    <row r="204144" customFormat="1" x14ac:dyDescent="0.25"/>
    <row r="204145" customFormat="1" x14ac:dyDescent="0.25"/>
    <row r="204146" customFormat="1" x14ac:dyDescent="0.25"/>
    <row r="204147" customFormat="1" x14ac:dyDescent="0.25"/>
    <row r="204148" customFormat="1" x14ac:dyDescent="0.25"/>
    <row r="204149" customFormat="1" x14ac:dyDescent="0.25"/>
    <row r="204150" customFormat="1" x14ac:dyDescent="0.25"/>
    <row r="204151" customFormat="1" x14ac:dyDescent="0.25"/>
    <row r="204152" customFormat="1" x14ac:dyDescent="0.25"/>
    <row r="204153" customFormat="1" x14ac:dyDescent="0.25"/>
    <row r="204154" customFormat="1" x14ac:dyDescent="0.25"/>
    <row r="204155" customFormat="1" x14ac:dyDescent="0.25"/>
    <row r="204156" customFormat="1" x14ac:dyDescent="0.25"/>
    <row r="204157" customFormat="1" x14ac:dyDescent="0.25"/>
    <row r="204158" customFormat="1" x14ac:dyDescent="0.25"/>
    <row r="204159" customFormat="1" x14ac:dyDescent="0.25"/>
    <row r="204160" customFormat="1" x14ac:dyDescent="0.25"/>
    <row r="204161" customFormat="1" x14ac:dyDescent="0.25"/>
    <row r="204162" customFormat="1" x14ac:dyDescent="0.25"/>
    <row r="204163" customFormat="1" x14ac:dyDescent="0.25"/>
    <row r="204164" customFormat="1" x14ac:dyDescent="0.25"/>
    <row r="204165" customFormat="1" x14ac:dyDescent="0.25"/>
    <row r="204166" customFormat="1" x14ac:dyDescent="0.25"/>
    <row r="204167" customFormat="1" x14ac:dyDescent="0.25"/>
    <row r="204168" customFormat="1" x14ac:dyDescent="0.25"/>
    <row r="204169" customFormat="1" x14ac:dyDescent="0.25"/>
    <row r="204170" customFormat="1" x14ac:dyDescent="0.25"/>
    <row r="204171" customFormat="1" x14ac:dyDescent="0.25"/>
    <row r="204172" customFormat="1" x14ac:dyDescent="0.25"/>
    <row r="204173" customFormat="1" x14ac:dyDescent="0.25"/>
    <row r="204174" customFormat="1" x14ac:dyDescent="0.25"/>
    <row r="204175" customFormat="1" x14ac:dyDescent="0.25"/>
    <row r="204176" customFormat="1" x14ac:dyDescent="0.25"/>
    <row r="204177" customFormat="1" x14ac:dyDescent="0.25"/>
    <row r="204178" customFormat="1" x14ac:dyDescent="0.25"/>
    <row r="204179" customFormat="1" x14ac:dyDescent="0.25"/>
    <row r="204180" customFormat="1" x14ac:dyDescent="0.25"/>
    <row r="204181" customFormat="1" x14ac:dyDescent="0.25"/>
    <row r="204182" customFormat="1" x14ac:dyDescent="0.25"/>
    <row r="204183" customFormat="1" x14ac:dyDescent="0.25"/>
    <row r="204184" customFormat="1" x14ac:dyDescent="0.25"/>
    <row r="204185" customFormat="1" x14ac:dyDescent="0.25"/>
    <row r="204186" customFormat="1" x14ac:dyDescent="0.25"/>
    <row r="204187" customFormat="1" x14ac:dyDescent="0.25"/>
    <row r="204188" customFormat="1" x14ac:dyDescent="0.25"/>
    <row r="204189" customFormat="1" x14ac:dyDescent="0.25"/>
    <row r="204190" customFormat="1" x14ac:dyDescent="0.25"/>
    <row r="204191" customFormat="1" x14ac:dyDescent="0.25"/>
    <row r="204192" customFormat="1" x14ac:dyDescent="0.25"/>
    <row r="204193" customFormat="1" x14ac:dyDescent="0.25"/>
    <row r="204194" customFormat="1" x14ac:dyDescent="0.25"/>
    <row r="204195" customFormat="1" x14ac:dyDescent="0.25"/>
    <row r="204196" customFormat="1" x14ac:dyDescent="0.25"/>
    <row r="204197" customFormat="1" x14ac:dyDescent="0.25"/>
    <row r="204198" customFormat="1" x14ac:dyDescent="0.25"/>
    <row r="204199" customFormat="1" x14ac:dyDescent="0.25"/>
    <row r="204200" customFormat="1" x14ac:dyDescent="0.25"/>
    <row r="204201" customFormat="1" x14ac:dyDescent="0.25"/>
    <row r="204202" customFormat="1" x14ac:dyDescent="0.25"/>
    <row r="204203" customFormat="1" x14ac:dyDescent="0.25"/>
    <row r="204204" customFormat="1" x14ac:dyDescent="0.25"/>
    <row r="204205" customFormat="1" x14ac:dyDescent="0.25"/>
    <row r="204206" customFormat="1" x14ac:dyDescent="0.25"/>
    <row r="204207" customFormat="1" x14ac:dyDescent="0.25"/>
    <row r="204208" customFormat="1" x14ac:dyDescent="0.25"/>
    <row r="204209" customFormat="1" x14ac:dyDescent="0.25"/>
    <row r="204210" customFormat="1" x14ac:dyDescent="0.25"/>
    <row r="204211" customFormat="1" x14ac:dyDescent="0.25"/>
    <row r="204212" customFormat="1" x14ac:dyDescent="0.25"/>
    <row r="204213" customFormat="1" x14ac:dyDescent="0.25"/>
    <row r="204214" customFormat="1" x14ac:dyDescent="0.25"/>
    <row r="204215" customFormat="1" x14ac:dyDescent="0.25"/>
    <row r="204216" customFormat="1" x14ac:dyDescent="0.25"/>
    <row r="204217" customFormat="1" x14ac:dyDescent="0.25"/>
    <row r="204218" customFormat="1" x14ac:dyDescent="0.25"/>
    <row r="204219" customFormat="1" x14ac:dyDescent="0.25"/>
    <row r="204220" customFormat="1" x14ac:dyDescent="0.25"/>
    <row r="204221" customFormat="1" x14ac:dyDescent="0.25"/>
    <row r="204222" customFormat="1" x14ac:dyDescent="0.25"/>
    <row r="204223" customFormat="1" x14ac:dyDescent="0.25"/>
    <row r="204224" customFormat="1" x14ac:dyDescent="0.25"/>
    <row r="204225" customFormat="1" x14ac:dyDescent="0.25"/>
    <row r="204226" customFormat="1" x14ac:dyDescent="0.25"/>
    <row r="204227" customFormat="1" x14ac:dyDescent="0.25"/>
    <row r="204228" customFormat="1" x14ac:dyDescent="0.25"/>
    <row r="204229" customFormat="1" x14ac:dyDescent="0.25"/>
    <row r="204230" customFormat="1" x14ac:dyDescent="0.25"/>
    <row r="204231" customFormat="1" x14ac:dyDescent="0.25"/>
    <row r="204232" customFormat="1" x14ac:dyDescent="0.25"/>
    <row r="204233" customFormat="1" x14ac:dyDescent="0.25"/>
    <row r="204234" customFormat="1" x14ac:dyDescent="0.25"/>
    <row r="204235" customFormat="1" x14ac:dyDescent="0.25"/>
    <row r="204236" customFormat="1" x14ac:dyDescent="0.25"/>
    <row r="204237" customFormat="1" x14ac:dyDescent="0.25"/>
    <row r="204238" customFormat="1" x14ac:dyDescent="0.25"/>
    <row r="204239" customFormat="1" x14ac:dyDescent="0.25"/>
    <row r="204240" customFormat="1" x14ac:dyDescent="0.25"/>
    <row r="204241" customFormat="1" x14ac:dyDescent="0.25"/>
    <row r="204242" customFormat="1" x14ac:dyDescent="0.25"/>
    <row r="204243" customFormat="1" x14ac:dyDescent="0.25"/>
    <row r="204244" customFormat="1" x14ac:dyDescent="0.25"/>
    <row r="204245" customFormat="1" x14ac:dyDescent="0.25"/>
    <row r="204246" customFormat="1" x14ac:dyDescent="0.25"/>
    <row r="204247" customFormat="1" x14ac:dyDescent="0.25"/>
    <row r="204248" customFormat="1" x14ac:dyDescent="0.25"/>
    <row r="204249" customFormat="1" x14ac:dyDescent="0.25"/>
    <row r="204250" customFormat="1" x14ac:dyDescent="0.25"/>
    <row r="204251" customFormat="1" x14ac:dyDescent="0.25"/>
    <row r="204252" customFormat="1" x14ac:dyDescent="0.25"/>
    <row r="204253" customFormat="1" x14ac:dyDescent="0.25"/>
    <row r="204254" customFormat="1" x14ac:dyDescent="0.25"/>
    <row r="204255" customFormat="1" x14ac:dyDescent="0.25"/>
    <row r="204256" customFormat="1" x14ac:dyDescent="0.25"/>
    <row r="204257" customFormat="1" x14ac:dyDescent="0.25"/>
    <row r="204258" customFormat="1" x14ac:dyDescent="0.25"/>
    <row r="204259" customFormat="1" x14ac:dyDescent="0.25"/>
    <row r="204260" customFormat="1" x14ac:dyDescent="0.25"/>
    <row r="204261" customFormat="1" x14ac:dyDescent="0.25"/>
    <row r="204262" customFormat="1" x14ac:dyDescent="0.25"/>
    <row r="204263" customFormat="1" x14ac:dyDescent="0.25"/>
    <row r="204264" customFormat="1" x14ac:dyDescent="0.25"/>
    <row r="204265" customFormat="1" x14ac:dyDescent="0.25"/>
    <row r="204266" customFormat="1" x14ac:dyDescent="0.25"/>
    <row r="204267" customFormat="1" x14ac:dyDescent="0.25"/>
    <row r="204268" customFormat="1" x14ac:dyDescent="0.25"/>
    <row r="204269" customFormat="1" x14ac:dyDescent="0.25"/>
    <row r="204270" customFormat="1" x14ac:dyDescent="0.25"/>
    <row r="204271" customFormat="1" x14ac:dyDescent="0.25"/>
    <row r="204272" customFormat="1" x14ac:dyDescent="0.25"/>
    <row r="204273" customFormat="1" x14ac:dyDescent="0.25"/>
    <row r="204274" customFormat="1" x14ac:dyDescent="0.25"/>
    <row r="204275" customFormat="1" x14ac:dyDescent="0.25"/>
    <row r="204276" customFormat="1" x14ac:dyDescent="0.25"/>
    <row r="204277" customFormat="1" x14ac:dyDescent="0.25"/>
    <row r="204278" customFormat="1" x14ac:dyDescent="0.25"/>
    <row r="204279" customFormat="1" x14ac:dyDescent="0.25"/>
    <row r="204280" customFormat="1" x14ac:dyDescent="0.25"/>
    <row r="204281" customFormat="1" x14ac:dyDescent="0.25"/>
    <row r="204282" customFormat="1" x14ac:dyDescent="0.25"/>
    <row r="204283" customFormat="1" x14ac:dyDescent="0.25"/>
    <row r="204284" customFormat="1" x14ac:dyDescent="0.25"/>
    <row r="204285" customFormat="1" x14ac:dyDescent="0.25"/>
    <row r="204286" customFormat="1" x14ac:dyDescent="0.25"/>
    <row r="204287" customFormat="1" x14ac:dyDescent="0.25"/>
    <row r="204288" customFormat="1" x14ac:dyDescent="0.25"/>
    <row r="204289" customFormat="1" x14ac:dyDescent="0.25"/>
    <row r="204290" customFormat="1" x14ac:dyDescent="0.25"/>
    <row r="204291" customFormat="1" x14ac:dyDescent="0.25"/>
    <row r="204292" customFormat="1" x14ac:dyDescent="0.25"/>
    <row r="204293" customFormat="1" x14ac:dyDescent="0.25"/>
    <row r="204294" customFormat="1" x14ac:dyDescent="0.25"/>
    <row r="204295" customFormat="1" x14ac:dyDescent="0.25"/>
    <row r="204296" customFormat="1" x14ac:dyDescent="0.25"/>
    <row r="204297" customFormat="1" x14ac:dyDescent="0.25"/>
    <row r="204298" customFormat="1" x14ac:dyDescent="0.25"/>
    <row r="204299" customFormat="1" x14ac:dyDescent="0.25"/>
    <row r="204300" customFormat="1" x14ac:dyDescent="0.25"/>
    <row r="204301" customFormat="1" x14ac:dyDescent="0.25"/>
    <row r="204302" customFormat="1" x14ac:dyDescent="0.25"/>
    <row r="204303" customFormat="1" x14ac:dyDescent="0.25"/>
    <row r="204304" customFormat="1" x14ac:dyDescent="0.25"/>
    <row r="204305" customFormat="1" x14ac:dyDescent="0.25"/>
    <row r="204306" customFormat="1" x14ac:dyDescent="0.25"/>
    <row r="204307" customFormat="1" x14ac:dyDescent="0.25"/>
    <row r="204308" customFormat="1" x14ac:dyDescent="0.25"/>
    <row r="204309" customFormat="1" x14ac:dyDescent="0.25"/>
    <row r="204310" customFormat="1" x14ac:dyDescent="0.25"/>
    <row r="204311" customFormat="1" x14ac:dyDescent="0.25"/>
    <row r="204312" customFormat="1" x14ac:dyDescent="0.25"/>
    <row r="204313" customFormat="1" x14ac:dyDescent="0.25"/>
    <row r="204314" customFormat="1" x14ac:dyDescent="0.25"/>
    <row r="204315" customFormat="1" x14ac:dyDescent="0.25"/>
    <row r="204316" customFormat="1" x14ac:dyDescent="0.25"/>
    <row r="204317" customFormat="1" x14ac:dyDescent="0.25"/>
    <row r="204318" customFormat="1" x14ac:dyDescent="0.25"/>
    <row r="204319" customFormat="1" x14ac:dyDescent="0.25"/>
    <row r="204320" customFormat="1" x14ac:dyDescent="0.25"/>
    <row r="204321" customFormat="1" x14ac:dyDescent="0.25"/>
    <row r="204322" customFormat="1" x14ac:dyDescent="0.25"/>
    <row r="204323" customFormat="1" x14ac:dyDescent="0.25"/>
    <row r="204324" customFormat="1" x14ac:dyDescent="0.25"/>
    <row r="204325" customFormat="1" x14ac:dyDescent="0.25"/>
    <row r="204326" customFormat="1" x14ac:dyDescent="0.25"/>
    <row r="204327" customFormat="1" x14ac:dyDescent="0.25"/>
    <row r="204328" customFormat="1" x14ac:dyDescent="0.25"/>
    <row r="204329" customFormat="1" x14ac:dyDescent="0.25"/>
    <row r="204330" customFormat="1" x14ac:dyDescent="0.25"/>
    <row r="204331" customFormat="1" x14ac:dyDescent="0.25"/>
    <row r="204332" customFormat="1" x14ac:dyDescent="0.25"/>
    <row r="204333" customFormat="1" x14ac:dyDescent="0.25"/>
    <row r="204334" customFormat="1" x14ac:dyDescent="0.25"/>
    <row r="204335" customFormat="1" x14ac:dyDescent="0.25"/>
    <row r="204336" customFormat="1" x14ac:dyDescent="0.25"/>
    <row r="204337" customFormat="1" x14ac:dyDescent="0.25"/>
    <row r="204338" customFormat="1" x14ac:dyDescent="0.25"/>
    <row r="204339" customFormat="1" x14ac:dyDescent="0.25"/>
    <row r="204340" customFormat="1" x14ac:dyDescent="0.25"/>
    <row r="204341" customFormat="1" x14ac:dyDescent="0.25"/>
    <row r="204342" customFormat="1" x14ac:dyDescent="0.25"/>
    <row r="204343" customFormat="1" x14ac:dyDescent="0.25"/>
    <row r="204344" customFormat="1" x14ac:dyDescent="0.25"/>
    <row r="204345" customFormat="1" x14ac:dyDescent="0.25"/>
    <row r="204346" customFormat="1" x14ac:dyDescent="0.25"/>
    <row r="204347" customFormat="1" x14ac:dyDescent="0.25"/>
    <row r="204348" customFormat="1" x14ac:dyDescent="0.25"/>
    <row r="204349" customFormat="1" x14ac:dyDescent="0.25"/>
    <row r="204350" customFormat="1" x14ac:dyDescent="0.25"/>
    <row r="204351" customFormat="1" x14ac:dyDescent="0.25"/>
    <row r="204352" customFormat="1" x14ac:dyDescent="0.25"/>
    <row r="204353" customFormat="1" x14ac:dyDescent="0.25"/>
    <row r="204354" customFormat="1" x14ac:dyDescent="0.25"/>
    <row r="204355" customFormat="1" x14ac:dyDescent="0.25"/>
    <row r="204356" customFormat="1" x14ac:dyDescent="0.25"/>
    <row r="204357" customFormat="1" x14ac:dyDescent="0.25"/>
    <row r="204358" customFormat="1" x14ac:dyDescent="0.25"/>
    <row r="204359" customFormat="1" x14ac:dyDescent="0.25"/>
    <row r="204360" customFormat="1" x14ac:dyDescent="0.25"/>
    <row r="204361" customFormat="1" x14ac:dyDescent="0.25"/>
    <row r="204362" customFormat="1" x14ac:dyDescent="0.25"/>
    <row r="204363" customFormat="1" x14ac:dyDescent="0.25"/>
    <row r="204364" customFormat="1" x14ac:dyDescent="0.25"/>
    <row r="204365" customFormat="1" x14ac:dyDescent="0.25"/>
    <row r="204366" customFormat="1" x14ac:dyDescent="0.25"/>
    <row r="204367" customFormat="1" x14ac:dyDescent="0.25"/>
    <row r="204368" customFormat="1" x14ac:dyDescent="0.25"/>
    <row r="204369" customFormat="1" x14ac:dyDescent="0.25"/>
    <row r="204370" customFormat="1" x14ac:dyDescent="0.25"/>
    <row r="204371" customFormat="1" x14ac:dyDescent="0.25"/>
    <row r="204372" customFormat="1" x14ac:dyDescent="0.25"/>
    <row r="204373" customFormat="1" x14ac:dyDescent="0.25"/>
    <row r="204374" customFormat="1" x14ac:dyDescent="0.25"/>
    <row r="204375" customFormat="1" x14ac:dyDescent="0.25"/>
    <row r="204376" customFormat="1" x14ac:dyDescent="0.25"/>
    <row r="204377" customFormat="1" x14ac:dyDescent="0.25"/>
    <row r="204378" customFormat="1" x14ac:dyDescent="0.25"/>
    <row r="204379" customFormat="1" x14ac:dyDescent="0.25"/>
    <row r="204380" customFormat="1" x14ac:dyDescent="0.25"/>
    <row r="204381" customFormat="1" x14ac:dyDescent="0.25"/>
    <row r="204382" customFormat="1" x14ac:dyDescent="0.25"/>
    <row r="204383" customFormat="1" x14ac:dyDescent="0.25"/>
    <row r="204384" customFormat="1" x14ac:dyDescent="0.25"/>
    <row r="204385" customFormat="1" x14ac:dyDescent="0.25"/>
    <row r="204386" customFormat="1" x14ac:dyDescent="0.25"/>
    <row r="204387" customFormat="1" x14ac:dyDescent="0.25"/>
    <row r="204388" customFormat="1" x14ac:dyDescent="0.25"/>
    <row r="204389" customFormat="1" x14ac:dyDescent="0.25"/>
    <row r="204390" customFormat="1" x14ac:dyDescent="0.25"/>
    <row r="204391" customFormat="1" x14ac:dyDescent="0.25"/>
    <row r="204392" customFormat="1" x14ac:dyDescent="0.25"/>
    <row r="204393" customFormat="1" x14ac:dyDescent="0.25"/>
    <row r="204394" customFormat="1" x14ac:dyDescent="0.25"/>
    <row r="204395" customFormat="1" x14ac:dyDescent="0.25"/>
    <row r="204396" customFormat="1" x14ac:dyDescent="0.25"/>
    <row r="204397" customFormat="1" x14ac:dyDescent="0.25"/>
    <row r="204398" customFormat="1" x14ac:dyDescent="0.25"/>
    <row r="204399" customFormat="1" x14ac:dyDescent="0.25"/>
    <row r="204400" customFormat="1" x14ac:dyDescent="0.25"/>
    <row r="204401" customFormat="1" x14ac:dyDescent="0.25"/>
    <row r="204402" customFormat="1" x14ac:dyDescent="0.25"/>
    <row r="204403" customFormat="1" x14ac:dyDescent="0.25"/>
    <row r="204404" customFormat="1" x14ac:dyDescent="0.25"/>
    <row r="204405" customFormat="1" x14ac:dyDescent="0.25"/>
    <row r="204406" customFormat="1" x14ac:dyDescent="0.25"/>
    <row r="204407" customFormat="1" x14ac:dyDescent="0.25"/>
    <row r="204408" customFormat="1" x14ac:dyDescent="0.25"/>
    <row r="204409" customFormat="1" x14ac:dyDescent="0.25"/>
    <row r="204410" customFormat="1" x14ac:dyDescent="0.25"/>
    <row r="204411" customFormat="1" x14ac:dyDescent="0.25"/>
    <row r="204412" customFormat="1" x14ac:dyDescent="0.25"/>
    <row r="204413" customFormat="1" x14ac:dyDescent="0.25"/>
    <row r="204414" customFormat="1" x14ac:dyDescent="0.25"/>
    <row r="204415" customFormat="1" x14ac:dyDescent="0.25"/>
    <row r="204416" customFormat="1" x14ac:dyDescent="0.25"/>
    <row r="204417" customFormat="1" x14ac:dyDescent="0.25"/>
    <row r="204418" customFormat="1" x14ac:dyDescent="0.25"/>
    <row r="204419" customFormat="1" x14ac:dyDescent="0.25"/>
    <row r="204420" customFormat="1" x14ac:dyDescent="0.25"/>
    <row r="204421" customFormat="1" x14ac:dyDescent="0.25"/>
    <row r="204422" customFormat="1" x14ac:dyDescent="0.25"/>
    <row r="204423" customFormat="1" x14ac:dyDescent="0.25"/>
    <row r="204424" customFormat="1" x14ac:dyDescent="0.25"/>
    <row r="204425" customFormat="1" x14ac:dyDescent="0.25"/>
    <row r="204426" customFormat="1" x14ac:dyDescent="0.25"/>
    <row r="204427" customFormat="1" x14ac:dyDescent="0.25"/>
    <row r="204428" customFormat="1" x14ac:dyDescent="0.25"/>
    <row r="204429" customFormat="1" x14ac:dyDescent="0.25"/>
    <row r="204430" customFormat="1" x14ac:dyDescent="0.25"/>
    <row r="204431" customFormat="1" x14ac:dyDescent="0.25"/>
    <row r="204432" customFormat="1" x14ac:dyDescent="0.25"/>
    <row r="204433" customFormat="1" x14ac:dyDescent="0.25"/>
    <row r="204434" customFormat="1" x14ac:dyDescent="0.25"/>
    <row r="204435" customFormat="1" x14ac:dyDescent="0.25"/>
    <row r="204436" customFormat="1" x14ac:dyDescent="0.25"/>
    <row r="204437" customFormat="1" x14ac:dyDescent="0.25"/>
    <row r="204438" customFormat="1" x14ac:dyDescent="0.25"/>
    <row r="204439" customFormat="1" x14ac:dyDescent="0.25"/>
    <row r="204440" customFormat="1" x14ac:dyDescent="0.25"/>
    <row r="204441" customFormat="1" x14ac:dyDescent="0.25"/>
    <row r="204442" customFormat="1" x14ac:dyDescent="0.25"/>
    <row r="204443" customFormat="1" x14ac:dyDescent="0.25"/>
    <row r="204444" customFormat="1" x14ac:dyDescent="0.25"/>
    <row r="204445" customFormat="1" x14ac:dyDescent="0.25"/>
    <row r="204446" customFormat="1" x14ac:dyDescent="0.25"/>
    <row r="204447" customFormat="1" x14ac:dyDescent="0.25"/>
    <row r="204448" customFormat="1" x14ac:dyDescent="0.25"/>
    <row r="204449" customFormat="1" x14ac:dyDescent="0.25"/>
    <row r="204450" customFormat="1" x14ac:dyDescent="0.25"/>
    <row r="204451" customFormat="1" x14ac:dyDescent="0.25"/>
    <row r="204452" customFormat="1" x14ac:dyDescent="0.25"/>
    <row r="204453" customFormat="1" x14ac:dyDescent="0.25"/>
    <row r="204454" customFormat="1" x14ac:dyDescent="0.25"/>
    <row r="204455" customFormat="1" x14ac:dyDescent="0.25"/>
    <row r="204456" customFormat="1" x14ac:dyDescent="0.25"/>
    <row r="204457" customFormat="1" x14ac:dyDescent="0.25"/>
    <row r="204458" customFormat="1" x14ac:dyDescent="0.25"/>
    <row r="204459" customFormat="1" x14ac:dyDescent="0.25"/>
    <row r="204460" customFormat="1" x14ac:dyDescent="0.25"/>
    <row r="204461" customFormat="1" x14ac:dyDescent="0.25"/>
    <row r="204462" customFormat="1" x14ac:dyDescent="0.25"/>
    <row r="204463" customFormat="1" x14ac:dyDescent="0.25"/>
    <row r="204464" customFormat="1" x14ac:dyDescent="0.25"/>
    <row r="204465" customFormat="1" x14ac:dyDescent="0.25"/>
    <row r="204466" customFormat="1" x14ac:dyDescent="0.25"/>
    <row r="204467" customFormat="1" x14ac:dyDescent="0.25"/>
    <row r="204468" customFormat="1" x14ac:dyDescent="0.25"/>
    <row r="204469" customFormat="1" x14ac:dyDescent="0.25"/>
    <row r="204470" customFormat="1" x14ac:dyDescent="0.25"/>
    <row r="204471" customFormat="1" x14ac:dyDescent="0.25"/>
    <row r="204472" customFormat="1" x14ac:dyDescent="0.25"/>
    <row r="204473" customFormat="1" x14ac:dyDescent="0.25"/>
    <row r="204474" customFormat="1" x14ac:dyDescent="0.25"/>
    <row r="204475" customFormat="1" x14ac:dyDescent="0.25"/>
    <row r="204476" customFormat="1" x14ac:dyDescent="0.25"/>
    <row r="204477" customFormat="1" x14ac:dyDescent="0.25"/>
    <row r="204478" customFormat="1" x14ac:dyDescent="0.25"/>
    <row r="204479" customFormat="1" x14ac:dyDescent="0.25"/>
    <row r="204480" customFormat="1" x14ac:dyDescent="0.25"/>
    <row r="204481" customFormat="1" x14ac:dyDescent="0.25"/>
    <row r="204482" customFormat="1" x14ac:dyDescent="0.25"/>
    <row r="204483" customFormat="1" x14ac:dyDescent="0.25"/>
    <row r="204484" customFormat="1" x14ac:dyDescent="0.25"/>
    <row r="204485" customFormat="1" x14ac:dyDescent="0.25"/>
    <row r="204486" customFormat="1" x14ac:dyDescent="0.25"/>
    <row r="204487" customFormat="1" x14ac:dyDescent="0.25"/>
    <row r="204488" customFormat="1" x14ac:dyDescent="0.25"/>
    <row r="204489" customFormat="1" x14ac:dyDescent="0.25"/>
    <row r="204490" customFormat="1" x14ac:dyDescent="0.25"/>
    <row r="204491" customFormat="1" x14ac:dyDescent="0.25"/>
    <row r="204492" customFormat="1" x14ac:dyDescent="0.25"/>
    <row r="204493" customFormat="1" x14ac:dyDescent="0.25"/>
    <row r="204494" customFormat="1" x14ac:dyDescent="0.25"/>
    <row r="204495" customFormat="1" x14ac:dyDescent="0.25"/>
    <row r="204496" customFormat="1" x14ac:dyDescent="0.25"/>
    <row r="204497" customFormat="1" x14ac:dyDescent="0.25"/>
    <row r="204498" customFormat="1" x14ac:dyDescent="0.25"/>
    <row r="204499" customFormat="1" x14ac:dyDescent="0.25"/>
    <row r="204500" customFormat="1" x14ac:dyDescent="0.25"/>
    <row r="204501" customFormat="1" x14ac:dyDescent="0.25"/>
    <row r="204502" customFormat="1" x14ac:dyDescent="0.25"/>
    <row r="204503" customFormat="1" x14ac:dyDescent="0.25"/>
    <row r="204504" customFormat="1" x14ac:dyDescent="0.25"/>
    <row r="204505" customFormat="1" x14ac:dyDescent="0.25"/>
    <row r="204506" customFormat="1" x14ac:dyDescent="0.25"/>
    <row r="204507" customFormat="1" x14ac:dyDescent="0.25"/>
    <row r="204508" customFormat="1" x14ac:dyDescent="0.25"/>
    <row r="204509" customFormat="1" x14ac:dyDescent="0.25"/>
    <row r="204510" customFormat="1" x14ac:dyDescent="0.25"/>
    <row r="204511" customFormat="1" x14ac:dyDescent="0.25"/>
    <row r="204512" customFormat="1" x14ac:dyDescent="0.25"/>
    <row r="204513" customFormat="1" x14ac:dyDescent="0.25"/>
    <row r="204514" customFormat="1" x14ac:dyDescent="0.25"/>
    <row r="204515" customFormat="1" x14ac:dyDescent="0.25"/>
    <row r="204516" customFormat="1" x14ac:dyDescent="0.25"/>
    <row r="204517" customFormat="1" x14ac:dyDescent="0.25"/>
    <row r="204518" customFormat="1" x14ac:dyDescent="0.25"/>
    <row r="204519" customFormat="1" x14ac:dyDescent="0.25"/>
    <row r="204520" customFormat="1" x14ac:dyDescent="0.25"/>
    <row r="204521" customFormat="1" x14ac:dyDescent="0.25"/>
    <row r="204522" customFormat="1" x14ac:dyDescent="0.25"/>
    <row r="204523" customFormat="1" x14ac:dyDescent="0.25"/>
    <row r="204524" customFormat="1" x14ac:dyDescent="0.25"/>
    <row r="204525" customFormat="1" x14ac:dyDescent="0.25"/>
    <row r="204526" customFormat="1" x14ac:dyDescent="0.25"/>
    <row r="204527" customFormat="1" x14ac:dyDescent="0.25"/>
    <row r="204528" customFormat="1" x14ac:dyDescent="0.25"/>
    <row r="204529" customFormat="1" x14ac:dyDescent="0.25"/>
    <row r="204530" customFormat="1" x14ac:dyDescent="0.25"/>
    <row r="204531" customFormat="1" x14ac:dyDescent="0.25"/>
    <row r="204532" customFormat="1" x14ac:dyDescent="0.25"/>
    <row r="204533" customFormat="1" x14ac:dyDescent="0.25"/>
    <row r="204534" customFormat="1" x14ac:dyDescent="0.25"/>
    <row r="204535" customFormat="1" x14ac:dyDescent="0.25"/>
    <row r="204536" customFormat="1" x14ac:dyDescent="0.25"/>
    <row r="204537" customFormat="1" x14ac:dyDescent="0.25"/>
    <row r="204538" customFormat="1" x14ac:dyDescent="0.25"/>
    <row r="204539" customFormat="1" x14ac:dyDescent="0.25"/>
    <row r="204540" customFormat="1" x14ac:dyDescent="0.25"/>
    <row r="204541" customFormat="1" x14ac:dyDescent="0.25"/>
    <row r="204542" customFormat="1" x14ac:dyDescent="0.25"/>
    <row r="204543" customFormat="1" x14ac:dyDescent="0.25"/>
    <row r="204544" customFormat="1" x14ac:dyDescent="0.25"/>
    <row r="204545" customFormat="1" x14ac:dyDescent="0.25"/>
    <row r="204546" customFormat="1" x14ac:dyDescent="0.25"/>
    <row r="204547" customFormat="1" x14ac:dyDescent="0.25"/>
    <row r="204548" customFormat="1" x14ac:dyDescent="0.25"/>
    <row r="204549" customFormat="1" x14ac:dyDescent="0.25"/>
    <row r="204550" customFormat="1" x14ac:dyDescent="0.25"/>
    <row r="204551" customFormat="1" x14ac:dyDescent="0.25"/>
    <row r="204552" customFormat="1" x14ac:dyDescent="0.25"/>
    <row r="204553" customFormat="1" x14ac:dyDescent="0.25"/>
    <row r="204554" customFormat="1" x14ac:dyDescent="0.25"/>
    <row r="204555" customFormat="1" x14ac:dyDescent="0.25"/>
    <row r="204556" customFormat="1" x14ac:dyDescent="0.25"/>
    <row r="204557" customFormat="1" x14ac:dyDescent="0.25"/>
    <row r="204558" customFormat="1" x14ac:dyDescent="0.25"/>
    <row r="204559" customFormat="1" x14ac:dyDescent="0.25"/>
    <row r="204560" customFormat="1" x14ac:dyDescent="0.25"/>
    <row r="204561" customFormat="1" x14ac:dyDescent="0.25"/>
    <row r="204562" customFormat="1" x14ac:dyDescent="0.25"/>
    <row r="204563" customFormat="1" x14ac:dyDescent="0.25"/>
    <row r="204564" customFormat="1" x14ac:dyDescent="0.25"/>
    <row r="204565" customFormat="1" x14ac:dyDescent="0.25"/>
    <row r="204566" customFormat="1" x14ac:dyDescent="0.25"/>
    <row r="204567" customFormat="1" x14ac:dyDescent="0.25"/>
    <row r="204568" customFormat="1" x14ac:dyDescent="0.25"/>
    <row r="204569" customFormat="1" x14ac:dyDescent="0.25"/>
    <row r="204570" customFormat="1" x14ac:dyDescent="0.25"/>
    <row r="204571" customFormat="1" x14ac:dyDescent="0.25"/>
    <row r="204572" customFormat="1" x14ac:dyDescent="0.25"/>
    <row r="204573" customFormat="1" x14ac:dyDescent="0.25"/>
    <row r="204574" customFormat="1" x14ac:dyDescent="0.25"/>
    <row r="204575" customFormat="1" x14ac:dyDescent="0.25"/>
    <row r="204576" customFormat="1" x14ac:dyDescent="0.25"/>
    <row r="204577" customFormat="1" x14ac:dyDescent="0.25"/>
    <row r="204578" customFormat="1" x14ac:dyDescent="0.25"/>
    <row r="204579" customFormat="1" x14ac:dyDescent="0.25"/>
    <row r="204580" customFormat="1" x14ac:dyDescent="0.25"/>
    <row r="204581" customFormat="1" x14ac:dyDescent="0.25"/>
    <row r="204582" customFormat="1" x14ac:dyDescent="0.25"/>
    <row r="204583" customFormat="1" x14ac:dyDescent="0.25"/>
    <row r="204584" customFormat="1" x14ac:dyDescent="0.25"/>
    <row r="204585" customFormat="1" x14ac:dyDescent="0.25"/>
    <row r="204586" customFormat="1" x14ac:dyDescent="0.25"/>
    <row r="204587" customFormat="1" x14ac:dyDescent="0.25"/>
    <row r="204588" customFormat="1" x14ac:dyDescent="0.25"/>
    <row r="204589" customFormat="1" x14ac:dyDescent="0.25"/>
    <row r="204590" customFormat="1" x14ac:dyDescent="0.25"/>
    <row r="204591" customFormat="1" x14ac:dyDescent="0.25"/>
    <row r="204592" customFormat="1" x14ac:dyDescent="0.25"/>
    <row r="204593" customFormat="1" x14ac:dyDescent="0.25"/>
    <row r="204594" customFormat="1" x14ac:dyDescent="0.25"/>
    <row r="204595" customFormat="1" x14ac:dyDescent="0.25"/>
    <row r="204596" customFormat="1" x14ac:dyDescent="0.25"/>
    <row r="204597" customFormat="1" x14ac:dyDescent="0.25"/>
    <row r="204598" customFormat="1" x14ac:dyDescent="0.25"/>
    <row r="204599" customFormat="1" x14ac:dyDescent="0.25"/>
    <row r="204600" customFormat="1" x14ac:dyDescent="0.25"/>
    <row r="204601" customFormat="1" x14ac:dyDescent="0.25"/>
    <row r="204602" customFormat="1" x14ac:dyDescent="0.25"/>
    <row r="204603" customFormat="1" x14ac:dyDescent="0.25"/>
    <row r="204604" customFormat="1" x14ac:dyDescent="0.25"/>
    <row r="204605" customFormat="1" x14ac:dyDescent="0.25"/>
    <row r="204606" customFormat="1" x14ac:dyDescent="0.25"/>
    <row r="204607" customFormat="1" x14ac:dyDescent="0.25"/>
    <row r="204608" customFormat="1" x14ac:dyDescent="0.25"/>
    <row r="204609" customFormat="1" x14ac:dyDescent="0.25"/>
    <row r="204610" customFormat="1" x14ac:dyDescent="0.25"/>
    <row r="204611" customFormat="1" x14ac:dyDescent="0.25"/>
    <row r="204612" customFormat="1" x14ac:dyDescent="0.25"/>
    <row r="204613" customFormat="1" x14ac:dyDescent="0.25"/>
    <row r="204614" customFormat="1" x14ac:dyDescent="0.25"/>
    <row r="204615" customFormat="1" x14ac:dyDescent="0.25"/>
    <row r="204616" customFormat="1" x14ac:dyDescent="0.25"/>
    <row r="204617" customFormat="1" x14ac:dyDescent="0.25"/>
    <row r="204618" customFormat="1" x14ac:dyDescent="0.25"/>
    <row r="204619" customFormat="1" x14ac:dyDescent="0.25"/>
    <row r="204620" customFormat="1" x14ac:dyDescent="0.25"/>
    <row r="204621" customFormat="1" x14ac:dyDescent="0.25"/>
    <row r="204622" customFormat="1" x14ac:dyDescent="0.25"/>
    <row r="204623" customFormat="1" x14ac:dyDescent="0.25"/>
    <row r="204624" customFormat="1" x14ac:dyDescent="0.25"/>
    <row r="204625" customFormat="1" x14ac:dyDescent="0.25"/>
    <row r="204626" customFormat="1" x14ac:dyDescent="0.25"/>
    <row r="204627" customFormat="1" x14ac:dyDescent="0.25"/>
    <row r="204628" customFormat="1" x14ac:dyDescent="0.25"/>
    <row r="204629" customFormat="1" x14ac:dyDescent="0.25"/>
    <row r="204630" customFormat="1" x14ac:dyDescent="0.25"/>
    <row r="204631" customFormat="1" x14ac:dyDescent="0.25"/>
    <row r="204632" customFormat="1" x14ac:dyDescent="0.25"/>
    <row r="204633" customFormat="1" x14ac:dyDescent="0.25"/>
    <row r="204634" customFormat="1" x14ac:dyDescent="0.25"/>
    <row r="204635" customFormat="1" x14ac:dyDescent="0.25"/>
    <row r="204636" customFormat="1" x14ac:dyDescent="0.25"/>
    <row r="204637" customFormat="1" x14ac:dyDescent="0.25"/>
    <row r="204638" customFormat="1" x14ac:dyDescent="0.25"/>
    <row r="204639" customFormat="1" x14ac:dyDescent="0.25"/>
    <row r="204640" customFormat="1" x14ac:dyDescent="0.25"/>
    <row r="204641" customFormat="1" x14ac:dyDescent="0.25"/>
    <row r="204642" customFormat="1" x14ac:dyDescent="0.25"/>
    <row r="204643" customFormat="1" x14ac:dyDescent="0.25"/>
    <row r="204644" customFormat="1" x14ac:dyDescent="0.25"/>
    <row r="204645" customFormat="1" x14ac:dyDescent="0.25"/>
    <row r="204646" customFormat="1" x14ac:dyDescent="0.25"/>
    <row r="204647" customFormat="1" x14ac:dyDescent="0.25"/>
    <row r="204648" customFormat="1" x14ac:dyDescent="0.25"/>
    <row r="204649" customFormat="1" x14ac:dyDescent="0.25"/>
    <row r="204650" customFormat="1" x14ac:dyDescent="0.25"/>
    <row r="204651" customFormat="1" x14ac:dyDescent="0.25"/>
    <row r="204652" customFormat="1" x14ac:dyDescent="0.25"/>
    <row r="204653" customFormat="1" x14ac:dyDescent="0.25"/>
    <row r="204654" customFormat="1" x14ac:dyDescent="0.25"/>
    <row r="204655" customFormat="1" x14ac:dyDescent="0.25"/>
    <row r="204656" customFormat="1" x14ac:dyDescent="0.25"/>
    <row r="204657" customFormat="1" x14ac:dyDescent="0.25"/>
    <row r="204658" customFormat="1" x14ac:dyDescent="0.25"/>
    <row r="204659" customFormat="1" x14ac:dyDescent="0.25"/>
    <row r="204660" customFormat="1" x14ac:dyDescent="0.25"/>
    <row r="204661" customFormat="1" x14ac:dyDescent="0.25"/>
    <row r="204662" customFormat="1" x14ac:dyDescent="0.25"/>
    <row r="204663" customFormat="1" x14ac:dyDescent="0.25"/>
    <row r="204664" customFormat="1" x14ac:dyDescent="0.25"/>
    <row r="204665" customFormat="1" x14ac:dyDescent="0.25"/>
    <row r="204666" customFormat="1" x14ac:dyDescent="0.25"/>
    <row r="204667" customFormat="1" x14ac:dyDescent="0.25"/>
    <row r="204668" customFormat="1" x14ac:dyDescent="0.25"/>
    <row r="204669" customFormat="1" x14ac:dyDescent="0.25"/>
    <row r="204670" customFormat="1" x14ac:dyDescent="0.25"/>
    <row r="204671" customFormat="1" x14ac:dyDescent="0.25"/>
    <row r="204672" customFormat="1" x14ac:dyDescent="0.25"/>
    <row r="204673" customFormat="1" x14ac:dyDescent="0.25"/>
    <row r="204674" customFormat="1" x14ac:dyDescent="0.25"/>
    <row r="204675" customFormat="1" x14ac:dyDescent="0.25"/>
    <row r="204676" customFormat="1" x14ac:dyDescent="0.25"/>
    <row r="204677" customFormat="1" x14ac:dyDescent="0.25"/>
    <row r="204678" customFormat="1" x14ac:dyDescent="0.25"/>
    <row r="204679" customFormat="1" x14ac:dyDescent="0.25"/>
    <row r="204680" customFormat="1" x14ac:dyDescent="0.25"/>
    <row r="204681" customFormat="1" x14ac:dyDescent="0.25"/>
    <row r="204682" customFormat="1" x14ac:dyDescent="0.25"/>
    <row r="204683" customFormat="1" x14ac:dyDescent="0.25"/>
    <row r="204684" customFormat="1" x14ac:dyDescent="0.25"/>
    <row r="204685" customFormat="1" x14ac:dyDescent="0.25"/>
    <row r="204686" customFormat="1" x14ac:dyDescent="0.25"/>
    <row r="204687" customFormat="1" x14ac:dyDescent="0.25"/>
    <row r="204688" customFormat="1" x14ac:dyDescent="0.25"/>
    <row r="204689" customFormat="1" x14ac:dyDescent="0.25"/>
    <row r="204690" customFormat="1" x14ac:dyDescent="0.25"/>
    <row r="204691" customFormat="1" x14ac:dyDescent="0.25"/>
    <row r="204692" customFormat="1" x14ac:dyDescent="0.25"/>
    <row r="204693" customFormat="1" x14ac:dyDescent="0.25"/>
    <row r="204694" customFormat="1" x14ac:dyDescent="0.25"/>
    <row r="204695" customFormat="1" x14ac:dyDescent="0.25"/>
    <row r="204696" customFormat="1" x14ac:dyDescent="0.25"/>
    <row r="204697" customFormat="1" x14ac:dyDescent="0.25"/>
    <row r="204698" customFormat="1" x14ac:dyDescent="0.25"/>
    <row r="204699" customFormat="1" x14ac:dyDescent="0.25"/>
    <row r="204700" customFormat="1" x14ac:dyDescent="0.25"/>
    <row r="204701" customFormat="1" x14ac:dyDescent="0.25"/>
    <row r="204702" customFormat="1" x14ac:dyDescent="0.25"/>
    <row r="204703" customFormat="1" x14ac:dyDescent="0.25"/>
    <row r="204704" customFormat="1" x14ac:dyDescent="0.25"/>
    <row r="204705" customFormat="1" x14ac:dyDescent="0.25"/>
    <row r="204706" customFormat="1" x14ac:dyDescent="0.25"/>
    <row r="204707" customFormat="1" x14ac:dyDescent="0.25"/>
    <row r="204708" customFormat="1" x14ac:dyDescent="0.25"/>
    <row r="204709" customFormat="1" x14ac:dyDescent="0.25"/>
    <row r="204710" customFormat="1" x14ac:dyDescent="0.25"/>
    <row r="204711" customFormat="1" x14ac:dyDescent="0.25"/>
    <row r="204712" customFormat="1" x14ac:dyDescent="0.25"/>
    <row r="204713" customFormat="1" x14ac:dyDescent="0.25"/>
    <row r="204714" customFormat="1" x14ac:dyDescent="0.25"/>
    <row r="204715" customFormat="1" x14ac:dyDescent="0.25"/>
    <row r="204716" customFormat="1" x14ac:dyDescent="0.25"/>
    <row r="204717" customFormat="1" x14ac:dyDescent="0.25"/>
    <row r="204718" customFormat="1" x14ac:dyDescent="0.25"/>
    <row r="204719" customFormat="1" x14ac:dyDescent="0.25"/>
    <row r="204720" customFormat="1" x14ac:dyDescent="0.25"/>
    <row r="204721" customFormat="1" x14ac:dyDescent="0.25"/>
    <row r="204722" customFormat="1" x14ac:dyDescent="0.25"/>
    <row r="204723" customFormat="1" x14ac:dyDescent="0.25"/>
    <row r="204724" customFormat="1" x14ac:dyDescent="0.25"/>
    <row r="204725" customFormat="1" x14ac:dyDescent="0.25"/>
    <row r="204726" customFormat="1" x14ac:dyDescent="0.25"/>
    <row r="204727" customFormat="1" x14ac:dyDescent="0.25"/>
    <row r="204728" customFormat="1" x14ac:dyDescent="0.25"/>
    <row r="204729" customFormat="1" x14ac:dyDescent="0.25"/>
    <row r="204730" customFormat="1" x14ac:dyDescent="0.25"/>
    <row r="204731" customFormat="1" x14ac:dyDescent="0.25"/>
    <row r="204732" customFormat="1" x14ac:dyDescent="0.25"/>
    <row r="204733" customFormat="1" x14ac:dyDescent="0.25"/>
    <row r="204734" customFormat="1" x14ac:dyDescent="0.25"/>
    <row r="204735" customFormat="1" x14ac:dyDescent="0.25"/>
    <row r="204736" customFormat="1" x14ac:dyDescent="0.25"/>
    <row r="204737" customFormat="1" x14ac:dyDescent="0.25"/>
    <row r="204738" customFormat="1" x14ac:dyDescent="0.25"/>
    <row r="204739" customFormat="1" x14ac:dyDescent="0.25"/>
    <row r="204740" customFormat="1" x14ac:dyDescent="0.25"/>
    <row r="204741" customFormat="1" x14ac:dyDescent="0.25"/>
    <row r="204742" customFormat="1" x14ac:dyDescent="0.25"/>
    <row r="204743" customFormat="1" x14ac:dyDescent="0.25"/>
    <row r="204744" customFormat="1" x14ac:dyDescent="0.25"/>
    <row r="204745" customFormat="1" x14ac:dyDescent="0.25"/>
    <row r="204746" customFormat="1" x14ac:dyDescent="0.25"/>
    <row r="204747" customFormat="1" x14ac:dyDescent="0.25"/>
    <row r="204748" customFormat="1" x14ac:dyDescent="0.25"/>
    <row r="204749" customFormat="1" x14ac:dyDescent="0.25"/>
    <row r="204750" customFormat="1" x14ac:dyDescent="0.25"/>
    <row r="204751" customFormat="1" x14ac:dyDescent="0.25"/>
    <row r="204752" customFormat="1" x14ac:dyDescent="0.25"/>
    <row r="204753" customFormat="1" x14ac:dyDescent="0.25"/>
    <row r="204754" customFormat="1" x14ac:dyDescent="0.25"/>
    <row r="204755" customFormat="1" x14ac:dyDescent="0.25"/>
    <row r="204756" customFormat="1" x14ac:dyDescent="0.25"/>
    <row r="204757" customFormat="1" x14ac:dyDescent="0.25"/>
    <row r="204758" customFormat="1" x14ac:dyDescent="0.25"/>
    <row r="204759" customFormat="1" x14ac:dyDescent="0.25"/>
    <row r="204760" customFormat="1" x14ac:dyDescent="0.25"/>
    <row r="204761" customFormat="1" x14ac:dyDescent="0.25"/>
    <row r="204762" customFormat="1" x14ac:dyDescent="0.25"/>
    <row r="204763" customFormat="1" x14ac:dyDescent="0.25"/>
    <row r="204764" customFormat="1" x14ac:dyDescent="0.25"/>
    <row r="204765" customFormat="1" x14ac:dyDescent="0.25"/>
    <row r="204766" customFormat="1" x14ac:dyDescent="0.25"/>
    <row r="204767" customFormat="1" x14ac:dyDescent="0.25"/>
    <row r="204768" customFormat="1" x14ac:dyDescent="0.25"/>
    <row r="204769" customFormat="1" x14ac:dyDescent="0.25"/>
    <row r="204770" customFormat="1" x14ac:dyDescent="0.25"/>
    <row r="204771" customFormat="1" x14ac:dyDescent="0.25"/>
    <row r="204772" customFormat="1" x14ac:dyDescent="0.25"/>
    <row r="204773" customFormat="1" x14ac:dyDescent="0.25"/>
    <row r="204774" customFormat="1" x14ac:dyDescent="0.25"/>
    <row r="204775" customFormat="1" x14ac:dyDescent="0.25"/>
    <row r="204776" customFormat="1" x14ac:dyDescent="0.25"/>
    <row r="204777" customFormat="1" x14ac:dyDescent="0.25"/>
    <row r="204778" customFormat="1" x14ac:dyDescent="0.25"/>
    <row r="204779" customFormat="1" x14ac:dyDescent="0.25"/>
    <row r="204780" customFormat="1" x14ac:dyDescent="0.25"/>
    <row r="204781" customFormat="1" x14ac:dyDescent="0.25"/>
    <row r="204782" customFormat="1" x14ac:dyDescent="0.25"/>
    <row r="204783" customFormat="1" x14ac:dyDescent="0.25"/>
    <row r="204784" customFormat="1" x14ac:dyDescent="0.25"/>
    <row r="204785" customFormat="1" x14ac:dyDescent="0.25"/>
    <row r="204786" customFormat="1" x14ac:dyDescent="0.25"/>
    <row r="204787" customFormat="1" x14ac:dyDescent="0.25"/>
    <row r="204788" customFormat="1" x14ac:dyDescent="0.25"/>
    <row r="204789" customFormat="1" x14ac:dyDescent="0.25"/>
    <row r="204790" customFormat="1" x14ac:dyDescent="0.25"/>
    <row r="204791" customFormat="1" x14ac:dyDescent="0.25"/>
    <row r="204792" customFormat="1" x14ac:dyDescent="0.25"/>
    <row r="204793" customFormat="1" x14ac:dyDescent="0.25"/>
    <row r="204794" customFormat="1" x14ac:dyDescent="0.25"/>
    <row r="204795" customFormat="1" x14ac:dyDescent="0.25"/>
    <row r="204796" customFormat="1" x14ac:dyDescent="0.25"/>
    <row r="204797" customFormat="1" x14ac:dyDescent="0.25"/>
    <row r="204798" customFormat="1" x14ac:dyDescent="0.25"/>
    <row r="204799" customFormat="1" x14ac:dyDescent="0.25"/>
    <row r="204800" customFormat="1" x14ac:dyDescent="0.25"/>
    <row r="204801" customFormat="1" x14ac:dyDescent="0.25"/>
    <row r="204802" customFormat="1" x14ac:dyDescent="0.25"/>
    <row r="204803" customFormat="1" x14ac:dyDescent="0.25"/>
    <row r="204804" customFormat="1" x14ac:dyDescent="0.25"/>
    <row r="204805" customFormat="1" x14ac:dyDescent="0.25"/>
    <row r="204806" customFormat="1" x14ac:dyDescent="0.25"/>
    <row r="204807" customFormat="1" x14ac:dyDescent="0.25"/>
    <row r="204808" customFormat="1" x14ac:dyDescent="0.25"/>
    <row r="204809" customFormat="1" x14ac:dyDescent="0.25"/>
    <row r="204810" customFormat="1" x14ac:dyDescent="0.25"/>
    <row r="204811" customFormat="1" x14ac:dyDescent="0.25"/>
    <row r="204812" customFormat="1" x14ac:dyDescent="0.25"/>
    <row r="204813" customFormat="1" x14ac:dyDescent="0.25"/>
    <row r="204814" customFormat="1" x14ac:dyDescent="0.25"/>
    <row r="204815" customFormat="1" x14ac:dyDescent="0.25"/>
    <row r="204816" customFormat="1" x14ac:dyDescent="0.25"/>
    <row r="204817" customFormat="1" x14ac:dyDescent="0.25"/>
    <row r="204818" customFormat="1" x14ac:dyDescent="0.25"/>
    <row r="204819" customFormat="1" x14ac:dyDescent="0.25"/>
    <row r="204820" customFormat="1" x14ac:dyDescent="0.25"/>
    <row r="204821" customFormat="1" x14ac:dyDescent="0.25"/>
    <row r="204822" customFormat="1" x14ac:dyDescent="0.25"/>
    <row r="204823" customFormat="1" x14ac:dyDescent="0.25"/>
    <row r="204824" customFormat="1" x14ac:dyDescent="0.25"/>
    <row r="204825" customFormat="1" x14ac:dyDescent="0.25"/>
    <row r="204826" customFormat="1" x14ac:dyDescent="0.25"/>
    <row r="204827" customFormat="1" x14ac:dyDescent="0.25"/>
    <row r="204828" customFormat="1" x14ac:dyDescent="0.25"/>
    <row r="204829" customFormat="1" x14ac:dyDescent="0.25"/>
    <row r="204830" customFormat="1" x14ac:dyDescent="0.25"/>
    <row r="204831" customFormat="1" x14ac:dyDescent="0.25"/>
    <row r="204832" customFormat="1" x14ac:dyDescent="0.25"/>
    <row r="204833" customFormat="1" x14ac:dyDescent="0.25"/>
    <row r="204834" customFormat="1" x14ac:dyDescent="0.25"/>
    <row r="204835" customFormat="1" x14ac:dyDescent="0.25"/>
    <row r="204836" customFormat="1" x14ac:dyDescent="0.25"/>
    <row r="204837" customFormat="1" x14ac:dyDescent="0.25"/>
    <row r="204838" customFormat="1" x14ac:dyDescent="0.25"/>
    <row r="204839" customFormat="1" x14ac:dyDescent="0.25"/>
    <row r="204840" customFormat="1" x14ac:dyDescent="0.25"/>
    <row r="204841" customFormat="1" x14ac:dyDescent="0.25"/>
    <row r="204842" customFormat="1" x14ac:dyDescent="0.25"/>
    <row r="204843" customFormat="1" x14ac:dyDescent="0.25"/>
    <row r="204844" customFormat="1" x14ac:dyDescent="0.25"/>
    <row r="204845" customFormat="1" x14ac:dyDescent="0.25"/>
    <row r="204846" customFormat="1" x14ac:dyDescent="0.25"/>
    <row r="204847" customFormat="1" x14ac:dyDescent="0.25"/>
    <row r="204848" customFormat="1" x14ac:dyDescent="0.25"/>
    <row r="204849" customFormat="1" x14ac:dyDescent="0.25"/>
    <row r="204850" customFormat="1" x14ac:dyDescent="0.25"/>
    <row r="204851" customFormat="1" x14ac:dyDescent="0.25"/>
    <row r="204852" customFormat="1" x14ac:dyDescent="0.25"/>
    <row r="204853" customFormat="1" x14ac:dyDescent="0.25"/>
    <row r="204854" customFormat="1" x14ac:dyDescent="0.25"/>
    <row r="204855" customFormat="1" x14ac:dyDescent="0.25"/>
    <row r="204856" customFormat="1" x14ac:dyDescent="0.25"/>
    <row r="204857" customFormat="1" x14ac:dyDescent="0.25"/>
    <row r="204858" customFormat="1" x14ac:dyDescent="0.25"/>
    <row r="204859" customFormat="1" x14ac:dyDescent="0.25"/>
    <row r="204860" customFormat="1" x14ac:dyDescent="0.25"/>
    <row r="204861" customFormat="1" x14ac:dyDescent="0.25"/>
    <row r="204862" customFormat="1" x14ac:dyDescent="0.25"/>
    <row r="204863" customFormat="1" x14ac:dyDescent="0.25"/>
    <row r="204864" customFormat="1" x14ac:dyDescent="0.25"/>
    <row r="204865" customFormat="1" x14ac:dyDescent="0.25"/>
    <row r="204866" customFormat="1" x14ac:dyDescent="0.25"/>
    <row r="204867" customFormat="1" x14ac:dyDescent="0.25"/>
    <row r="204868" customFormat="1" x14ac:dyDescent="0.25"/>
    <row r="204869" customFormat="1" x14ac:dyDescent="0.25"/>
    <row r="204870" customFormat="1" x14ac:dyDescent="0.25"/>
    <row r="204871" customFormat="1" x14ac:dyDescent="0.25"/>
    <row r="204872" customFormat="1" x14ac:dyDescent="0.25"/>
    <row r="204873" customFormat="1" x14ac:dyDescent="0.25"/>
    <row r="204874" customFormat="1" x14ac:dyDescent="0.25"/>
    <row r="204875" customFormat="1" x14ac:dyDescent="0.25"/>
    <row r="204876" customFormat="1" x14ac:dyDescent="0.25"/>
    <row r="204877" customFormat="1" x14ac:dyDescent="0.25"/>
    <row r="204878" customFormat="1" x14ac:dyDescent="0.25"/>
    <row r="204879" customFormat="1" x14ac:dyDescent="0.25"/>
    <row r="204880" customFormat="1" x14ac:dyDescent="0.25"/>
    <row r="204881" customFormat="1" x14ac:dyDescent="0.25"/>
    <row r="204882" customFormat="1" x14ac:dyDescent="0.25"/>
    <row r="204883" customFormat="1" x14ac:dyDescent="0.25"/>
    <row r="204884" customFormat="1" x14ac:dyDescent="0.25"/>
    <row r="204885" customFormat="1" x14ac:dyDescent="0.25"/>
    <row r="204886" customFormat="1" x14ac:dyDescent="0.25"/>
    <row r="204887" customFormat="1" x14ac:dyDescent="0.25"/>
    <row r="204888" customFormat="1" x14ac:dyDescent="0.25"/>
    <row r="204889" customFormat="1" x14ac:dyDescent="0.25"/>
    <row r="204890" customFormat="1" x14ac:dyDescent="0.25"/>
    <row r="204891" customFormat="1" x14ac:dyDescent="0.25"/>
    <row r="204892" customFormat="1" x14ac:dyDescent="0.25"/>
    <row r="204893" customFormat="1" x14ac:dyDescent="0.25"/>
    <row r="204894" customFormat="1" x14ac:dyDescent="0.25"/>
    <row r="204895" customFormat="1" x14ac:dyDescent="0.25"/>
    <row r="204896" customFormat="1" x14ac:dyDescent="0.25"/>
    <row r="204897" customFormat="1" x14ac:dyDescent="0.25"/>
    <row r="204898" customFormat="1" x14ac:dyDescent="0.25"/>
    <row r="204899" customFormat="1" x14ac:dyDescent="0.25"/>
    <row r="204900" customFormat="1" x14ac:dyDescent="0.25"/>
    <row r="204901" customFormat="1" x14ac:dyDescent="0.25"/>
    <row r="204902" customFormat="1" x14ac:dyDescent="0.25"/>
    <row r="204903" customFormat="1" x14ac:dyDescent="0.25"/>
    <row r="204904" customFormat="1" x14ac:dyDescent="0.25"/>
    <row r="204905" customFormat="1" x14ac:dyDescent="0.25"/>
    <row r="204906" customFormat="1" x14ac:dyDescent="0.25"/>
    <row r="204907" customFormat="1" x14ac:dyDescent="0.25"/>
    <row r="204908" customFormat="1" x14ac:dyDescent="0.25"/>
    <row r="204909" customFormat="1" x14ac:dyDescent="0.25"/>
    <row r="204910" customFormat="1" x14ac:dyDescent="0.25"/>
    <row r="204911" customFormat="1" x14ac:dyDescent="0.25"/>
    <row r="204912" customFormat="1" x14ac:dyDescent="0.25"/>
    <row r="204913" customFormat="1" x14ac:dyDescent="0.25"/>
    <row r="204914" customFormat="1" x14ac:dyDescent="0.25"/>
    <row r="204915" customFormat="1" x14ac:dyDescent="0.25"/>
    <row r="204916" customFormat="1" x14ac:dyDescent="0.25"/>
    <row r="204917" customFormat="1" x14ac:dyDescent="0.25"/>
    <row r="204918" customFormat="1" x14ac:dyDescent="0.25"/>
    <row r="204919" customFormat="1" x14ac:dyDescent="0.25"/>
    <row r="204920" customFormat="1" x14ac:dyDescent="0.25"/>
    <row r="204921" customFormat="1" x14ac:dyDescent="0.25"/>
    <row r="204922" customFormat="1" x14ac:dyDescent="0.25"/>
    <row r="204923" customFormat="1" x14ac:dyDescent="0.25"/>
    <row r="204924" customFormat="1" x14ac:dyDescent="0.25"/>
    <row r="204925" customFormat="1" x14ac:dyDescent="0.25"/>
    <row r="204926" customFormat="1" x14ac:dyDescent="0.25"/>
    <row r="204927" customFormat="1" x14ac:dyDescent="0.25"/>
    <row r="204928" customFormat="1" x14ac:dyDescent="0.25"/>
    <row r="204929" customFormat="1" x14ac:dyDescent="0.25"/>
    <row r="204930" customFormat="1" x14ac:dyDescent="0.25"/>
    <row r="204931" customFormat="1" x14ac:dyDescent="0.25"/>
    <row r="204932" customFormat="1" x14ac:dyDescent="0.25"/>
    <row r="204933" customFormat="1" x14ac:dyDescent="0.25"/>
    <row r="204934" customFormat="1" x14ac:dyDescent="0.25"/>
    <row r="204935" customFormat="1" x14ac:dyDescent="0.25"/>
    <row r="204936" customFormat="1" x14ac:dyDescent="0.25"/>
    <row r="204937" customFormat="1" x14ac:dyDescent="0.25"/>
    <row r="204938" customFormat="1" x14ac:dyDescent="0.25"/>
    <row r="204939" customFormat="1" x14ac:dyDescent="0.25"/>
    <row r="204940" customFormat="1" x14ac:dyDescent="0.25"/>
    <row r="204941" customFormat="1" x14ac:dyDescent="0.25"/>
    <row r="204942" customFormat="1" x14ac:dyDescent="0.25"/>
    <row r="204943" customFormat="1" x14ac:dyDescent="0.25"/>
    <row r="204944" customFormat="1" x14ac:dyDescent="0.25"/>
    <row r="204945" customFormat="1" x14ac:dyDescent="0.25"/>
    <row r="204946" customFormat="1" x14ac:dyDescent="0.25"/>
    <row r="204947" customFormat="1" x14ac:dyDescent="0.25"/>
    <row r="204948" customFormat="1" x14ac:dyDescent="0.25"/>
    <row r="204949" customFormat="1" x14ac:dyDescent="0.25"/>
    <row r="204950" customFormat="1" x14ac:dyDescent="0.25"/>
    <row r="204951" customFormat="1" x14ac:dyDescent="0.25"/>
    <row r="204952" customFormat="1" x14ac:dyDescent="0.25"/>
    <row r="204953" customFormat="1" x14ac:dyDescent="0.25"/>
    <row r="204954" customFormat="1" x14ac:dyDescent="0.25"/>
    <row r="204955" customFormat="1" x14ac:dyDescent="0.25"/>
    <row r="204956" customFormat="1" x14ac:dyDescent="0.25"/>
    <row r="204957" customFormat="1" x14ac:dyDescent="0.25"/>
    <row r="204958" customFormat="1" x14ac:dyDescent="0.25"/>
    <row r="204959" customFormat="1" x14ac:dyDescent="0.25"/>
    <row r="204960" customFormat="1" x14ac:dyDescent="0.25"/>
    <row r="204961" customFormat="1" x14ac:dyDescent="0.25"/>
    <row r="204962" customFormat="1" x14ac:dyDescent="0.25"/>
    <row r="204963" customFormat="1" x14ac:dyDescent="0.25"/>
    <row r="204964" customFormat="1" x14ac:dyDescent="0.25"/>
    <row r="204965" customFormat="1" x14ac:dyDescent="0.25"/>
    <row r="204966" customFormat="1" x14ac:dyDescent="0.25"/>
    <row r="204967" customFormat="1" x14ac:dyDescent="0.25"/>
    <row r="204968" customFormat="1" x14ac:dyDescent="0.25"/>
    <row r="204969" customFormat="1" x14ac:dyDescent="0.25"/>
    <row r="204970" customFormat="1" x14ac:dyDescent="0.25"/>
    <row r="204971" customFormat="1" x14ac:dyDescent="0.25"/>
    <row r="204972" customFormat="1" x14ac:dyDescent="0.25"/>
    <row r="204973" customFormat="1" x14ac:dyDescent="0.25"/>
    <row r="204974" customFormat="1" x14ac:dyDescent="0.25"/>
    <row r="204975" customFormat="1" x14ac:dyDescent="0.25"/>
    <row r="204976" customFormat="1" x14ac:dyDescent="0.25"/>
    <row r="204977" customFormat="1" x14ac:dyDescent="0.25"/>
    <row r="204978" customFormat="1" x14ac:dyDescent="0.25"/>
    <row r="204979" customFormat="1" x14ac:dyDescent="0.25"/>
    <row r="204980" customFormat="1" x14ac:dyDescent="0.25"/>
    <row r="204981" customFormat="1" x14ac:dyDescent="0.25"/>
    <row r="204982" customFormat="1" x14ac:dyDescent="0.25"/>
    <row r="204983" customFormat="1" x14ac:dyDescent="0.25"/>
    <row r="204984" customFormat="1" x14ac:dyDescent="0.25"/>
    <row r="204985" customFormat="1" x14ac:dyDescent="0.25"/>
    <row r="204986" customFormat="1" x14ac:dyDescent="0.25"/>
    <row r="204987" customFormat="1" x14ac:dyDescent="0.25"/>
    <row r="204988" customFormat="1" x14ac:dyDescent="0.25"/>
    <row r="204989" customFormat="1" x14ac:dyDescent="0.25"/>
    <row r="204990" customFormat="1" x14ac:dyDescent="0.25"/>
    <row r="204991" customFormat="1" x14ac:dyDescent="0.25"/>
    <row r="204992" customFormat="1" x14ac:dyDescent="0.25"/>
    <row r="204993" customFormat="1" x14ac:dyDescent="0.25"/>
    <row r="204994" customFormat="1" x14ac:dyDescent="0.25"/>
    <row r="204995" customFormat="1" x14ac:dyDescent="0.25"/>
    <row r="204996" customFormat="1" x14ac:dyDescent="0.25"/>
    <row r="204997" customFormat="1" x14ac:dyDescent="0.25"/>
    <row r="204998" customFormat="1" x14ac:dyDescent="0.25"/>
    <row r="204999" customFormat="1" x14ac:dyDescent="0.25"/>
    <row r="205000" customFormat="1" x14ac:dyDescent="0.25"/>
    <row r="205001" customFormat="1" x14ac:dyDescent="0.25"/>
    <row r="205002" customFormat="1" x14ac:dyDescent="0.25"/>
    <row r="205003" customFormat="1" x14ac:dyDescent="0.25"/>
    <row r="205004" customFormat="1" x14ac:dyDescent="0.25"/>
    <row r="205005" customFormat="1" x14ac:dyDescent="0.25"/>
    <row r="205006" customFormat="1" x14ac:dyDescent="0.25"/>
    <row r="205007" customFormat="1" x14ac:dyDescent="0.25"/>
    <row r="205008" customFormat="1" x14ac:dyDescent="0.25"/>
    <row r="205009" customFormat="1" x14ac:dyDescent="0.25"/>
    <row r="205010" customFormat="1" x14ac:dyDescent="0.25"/>
    <row r="205011" customFormat="1" x14ac:dyDescent="0.25"/>
    <row r="205012" customFormat="1" x14ac:dyDescent="0.25"/>
    <row r="205013" customFormat="1" x14ac:dyDescent="0.25"/>
    <row r="205014" customFormat="1" x14ac:dyDescent="0.25"/>
    <row r="205015" customFormat="1" x14ac:dyDescent="0.25"/>
    <row r="205016" customFormat="1" x14ac:dyDescent="0.25"/>
    <row r="205017" customFormat="1" x14ac:dyDescent="0.25"/>
    <row r="205018" customFormat="1" x14ac:dyDescent="0.25"/>
    <row r="205019" customFormat="1" x14ac:dyDescent="0.25"/>
    <row r="205020" customFormat="1" x14ac:dyDescent="0.25"/>
    <row r="205021" customFormat="1" x14ac:dyDescent="0.25"/>
    <row r="205022" customFormat="1" x14ac:dyDescent="0.25"/>
    <row r="205023" customFormat="1" x14ac:dyDescent="0.25"/>
    <row r="205024" customFormat="1" x14ac:dyDescent="0.25"/>
    <row r="205025" customFormat="1" x14ac:dyDescent="0.25"/>
    <row r="205026" customFormat="1" x14ac:dyDescent="0.25"/>
    <row r="205027" customFormat="1" x14ac:dyDescent="0.25"/>
    <row r="205028" customFormat="1" x14ac:dyDescent="0.25"/>
    <row r="205029" customFormat="1" x14ac:dyDescent="0.25"/>
    <row r="205030" customFormat="1" x14ac:dyDescent="0.25"/>
    <row r="205031" customFormat="1" x14ac:dyDescent="0.25"/>
    <row r="205032" customFormat="1" x14ac:dyDescent="0.25"/>
    <row r="205033" customFormat="1" x14ac:dyDescent="0.25"/>
    <row r="205034" customFormat="1" x14ac:dyDescent="0.25"/>
    <row r="205035" customFormat="1" x14ac:dyDescent="0.25"/>
    <row r="205036" customFormat="1" x14ac:dyDescent="0.25"/>
    <row r="205037" customFormat="1" x14ac:dyDescent="0.25"/>
    <row r="205038" customFormat="1" x14ac:dyDescent="0.25"/>
    <row r="205039" customFormat="1" x14ac:dyDescent="0.25"/>
    <row r="205040" customFormat="1" x14ac:dyDescent="0.25"/>
    <row r="205041" customFormat="1" x14ac:dyDescent="0.25"/>
    <row r="205042" customFormat="1" x14ac:dyDescent="0.25"/>
    <row r="205043" customFormat="1" x14ac:dyDescent="0.25"/>
    <row r="205044" customFormat="1" x14ac:dyDescent="0.25"/>
    <row r="205045" customFormat="1" x14ac:dyDescent="0.25"/>
    <row r="205046" customFormat="1" x14ac:dyDescent="0.25"/>
    <row r="205047" customFormat="1" x14ac:dyDescent="0.25"/>
    <row r="205048" customFormat="1" x14ac:dyDescent="0.25"/>
    <row r="205049" customFormat="1" x14ac:dyDescent="0.25"/>
    <row r="205050" customFormat="1" x14ac:dyDescent="0.25"/>
    <row r="205051" customFormat="1" x14ac:dyDescent="0.25"/>
    <row r="205052" customFormat="1" x14ac:dyDescent="0.25"/>
    <row r="205053" customFormat="1" x14ac:dyDescent="0.25"/>
    <row r="205054" customFormat="1" x14ac:dyDescent="0.25"/>
    <row r="205055" customFormat="1" x14ac:dyDescent="0.25"/>
    <row r="205056" customFormat="1" x14ac:dyDescent="0.25"/>
    <row r="205057" customFormat="1" x14ac:dyDescent="0.25"/>
    <row r="205058" customFormat="1" x14ac:dyDescent="0.25"/>
    <row r="205059" customFormat="1" x14ac:dyDescent="0.25"/>
    <row r="205060" customFormat="1" x14ac:dyDescent="0.25"/>
    <row r="205061" customFormat="1" x14ac:dyDescent="0.25"/>
    <row r="205062" customFormat="1" x14ac:dyDescent="0.25"/>
    <row r="205063" customFormat="1" x14ac:dyDescent="0.25"/>
    <row r="205064" customFormat="1" x14ac:dyDescent="0.25"/>
    <row r="205065" customFormat="1" x14ac:dyDescent="0.25"/>
    <row r="205066" customFormat="1" x14ac:dyDescent="0.25"/>
    <row r="205067" customFormat="1" x14ac:dyDescent="0.25"/>
    <row r="205068" customFormat="1" x14ac:dyDescent="0.25"/>
    <row r="205069" customFormat="1" x14ac:dyDescent="0.25"/>
    <row r="205070" customFormat="1" x14ac:dyDescent="0.25"/>
    <row r="205071" customFormat="1" x14ac:dyDescent="0.25"/>
    <row r="205072" customFormat="1" x14ac:dyDescent="0.25"/>
    <row r="205073" customFormat="1" x14ac:dyDescent="0.25"/>
    <row r="205074" customFormat="1" x14ac:dyDescent="0.25"/>
    <row r="205075" customFormat="1" x14ac:dyDescent="0.25"/>
    <row r="205076" customFormat="1" x14ac:dyDescent="0.25"/>
    <row r="205077" customFormat="1" x14ac:dyDescent="0.25"/>
    <row r="205078" customFormat="1" x14ac:dyDescent="0.25"/>
    <row r="205079" customFormat="1" x14ac:dyDescent="0.25"/>
    <row r="205080" customFormat="1" x14ac:dyDescent="0.25"/>
    <row r="205081" customFormat="1" x14ac:dyDescent="0.25"/>
    <row r="205082" customFormat="1" x14ac:dyDescent="0.25"/>
    <row r="205083" customFormat="1" x14ac:dyDescent="0.25"/>
    <row r="205084" customFormat="1" x14ac:dyDescent="0.25"/>
    <row r="205085" customFormat="1" x14ac:dyDescent="0.25"/>
    <row r="205086" customFormat="1" x14ac:dyDescent="0.25"/>
    <row r="205087" customFormat="1" x14ac:dyDescent="0.25"/>
    <row r="205088" customFormat="1" x14ac:dyDescent="0.25"/>
    <row r="205089" customFormat="1" x14ac:dyDescent="0.25"/>
    <row r="205090" customFormat="1" x14ac:dyDescent="0.25"/>
    <row r="205091" customFormat="1" x14ac:dyDescent="0.25"/>
    <row r="205092" customFormat="1" x14ac:dyDescent="0.25"/>
    <row r="205093" customFormat="1" x14ac:dyDescent="0.25"/>
    <row r="205094" customFormat="1" x14ac:dyDescent="0.25"/>
    <row r="205095" customFormat="1" x14ac:dyDescent="0.25"/>
    <row r="205096" customFormat="1" x14ac:dyDescent="0.25"/>
    <row r="205097" customFormat="1" x14ac:dyDescent="0.25"/>
    <row r="205098" customFormat="1" x14ac:dyDescent="0.25"/>
    <row r="205099" customFormat="1" x14ac:dyDescent="0.25"/>
    <row r="205100" customFormat="1" x14ac:dyDescent="0.25"/>
    <row r="205101" customFormat="1" x14ac:dyDescent="0.25"/>
    <row r="205102" customFormat="1" x14ac:dyDescent="0.25"/>
    <row r="205103" customFormat="1" x14ac:dyDescent="0.25"/>
    <row r="205104" customFormat="1" x14ac:dyDescent="0.25"/>
    <row r="205105" customFormat="1" x14ac:dyDescent="0.25"/>
    <row r="205106" customFormat="1" x14ac:dyDescent="0.25"/>
    <row r="205107" customFormat="1" x14ac:dyDescent="0.25"/>
    <row r="205108" customFormat="1" x14ac:dyDescent="0.25"/>
    <row r="205109" customFormat="1" x14ac:dyDescent="0.25"/>
    <row r="205110" customFormat="1" x14ac:dyDescent="0.25"/>
    <row r="205111" customFormat="1" x14ac:dyDescent="0.25"/>
    <row r="205112" customFormat="1" x14ac:dyDescent="0.25"/>
    <row r="205113" customFormat="1" x14ac:dyDescent="0.25"/>
    <row r="205114" customFormat="1" x14ac:dyDescent="0.25"/>
    <row r="205115" customFormat="1" x14ac:dyDescent="0.25"/>
    <row r="205116" customFormat="1" x14ac:dyDescent="0.25"/>
    <row r="205117" customFormat="1" x14ac:dyDescent="0.25"/>
    <row r="205118" customFormat="1" x14ac:dyDescent="0.25"/>
    <row r="205119" customFormat="1" x14ac:dyDescent="0.25"/>
    <row r="205120" customFormat="1" x14ac:dyDescent="0.25"/>
    <row r="205121" customFormat="1" x14ac:dyDescent="0.25"/>
    <row r="205122" customFormat="1" x14ac:dyDescent="0.25"/>
    <row r="205123" customFormat="1" x14ac:dyDescent="0.25"/>
    <row r="205124" customFormat="1" x14ac:dyDescent="0.25"/>
    <row r="205125" customFormat="1" x14ac:dyDescent="0.25"/>
    <row r="205126" customFormat="1" x14ac:dyDescent="0.25"/>
    <row r="205127" customFormat="1" x14ac:dyDescent="0.25"/>
    <row r="205128" customFormat="1" x14ac:dyDescent="0.25"/>
    <row r="205129" customFormat="1" x14ac:dyDescent="0.25"/>
    <row r="205130" customFormat="1" x14ac:dyDescent="0.25"/>
    <row r="205131" customFormat="1" x14ac:dyDescent="0.25"/>
    <row r="205132" customFormat="1" x14ac:dyDescent="0.25"/>
    <row r="205133" customFormat="1" x14ac:dyDescent="0.25"/>
    <row r="205134" customFormat="1" x14ac:dyDescent="0.25"/>
    <row r="205135" customFormat="1" x14ac:dyDescent="0.25"/>
    <row r="205136" customFormat="1" x14ac:dyDescent="0.25"/>
    <row r="205137" customFormat="1" x14ac:dyDescent="0.25"/>
    <row r="205138" customFormat="1" x14ac:dyDescent="0.25"/>
    <row r="205139" customFormat="1" x14ac:dyDescent="0.25"/>
    <row r="205140" customFormat="1" x14ac:dyDescent="0.25"/>
    <row r="205141" customFormat="1" x14ac:dyDescent="0.25"/>
    <row r="205142" customFormat="1" x14ac:dyDescent="0.25"/>
    <row r="205143" customFormat="1" x14ac:dyDescent="0.25"/>
    <row r="205144" customFormat="1" x14ac:dyDescent="0.25"/>
    <row r="205145" customFormat="1" x14ac:dyDescent="0.25"/>
    <row r="205146" customFormat="1" x14ac:dyDescent="0.25"/>
    <row r="205147" customFormat="1" x14ac:dyDescent="0.25"/>
    <row r="205148" customFormat="1" x14ac:dyDescent="0.25"/>
    <row r="205149" customFormat="1" x14ac:dyDescent="0.25"/>
    <row r="205150" customFormat="1" x14ac:dyDescent="0.25"/>
    <row r="205151" customFormat="1" x14ac:dyDescent="0.25"/>
    <row r="205152" customFormat="1" x14ac:dyDescent="0.25"/>
    <row r="205153" customFormat="1" x14ac:dyDescent="0.25"/>
    <row r="205154" customFormat="1" x14ac:dyDescent="0.25"/>
    <row r="205155" customFormat="1" x14ac:dyDescent="0.25"/>
    <row r="205156" customFormat="1" x14ac:dyDescent="0.25"/>
    <row r="205157" customFormat="1" x14ac:dyDescent="0.25"/>
    <row r="205158" customFormat="1" x14ac:dyDescent="0.25"/>
    <row r="205159" customFormat="1" x14ac:dyDescent="0.25"/>
    <row r="205160" customFormat="1" x14ac:dyDescent="0.25"/>
    <row r="205161" customFormat="1" x14ac:dyDescent="0.25"/>
    <row r="205162" customFormat="1" x14ac:dyDescent="0.25"/>
    <row r="205163" customFormat="1" x14ac:dyDescent="0.25"/>
    <row r="205164" customFormat="1" x14ac:dyDescent="0.25"/>
    <row r="205165" customFormat="1" x14ac:dyDescent="0.25"/>
    <row r="205166" customFormat="1" x14ac:dyDescent="0.25"/>
    <row r="205167" customFormat="1" x14ac:dyDescent="0.25"/>
    <row r="205168" customFormat="1" x14ac:dyDescent="0.25"/>
    <row r="205169" customFormat="1" x14ac:dyDescent="0.25"/>
    <row r="205170" customFormat="1" x14ac:dyDescent="0.25"/>
    <row r="205171" customFormat="1" x14ac:dyDescent="0.25"/>
    <row r="205172" customFormat="1" x14ac:dyDescent="0.25"/>
    <row r="205173" customFormat="1" x14ac:dyDescent="0.25"/>
    <row r="205174" customFormat="1" x14ac:dyDescent="0.25"/>
    <row r="205175" customFormat="1" x14ac:dyDescent="0.25"/>
    <row r="205176" customFormat="1" x14ac:dyDescent="0.25"/>
    <row r="205177" customFormat="1" x14ac:dyDescent="0.25"/>
    <row r="205178" customFormat="1" x14ac:dyDescent="0.25"/>
    <row r="205179" customFormat="1" x14ac:dyDescent="0.25"/>
    <row r="205180" customFormat="1" x14ac:dyDescent="0.25"/>
    <row r="205181" customFormat="1" x14ac:dyDescent="0.25"/>
    <row r="205182" customFormat="1" x14ac:dyDescent="0.25"/>
    <row r="205183" customFormat="1" x14ac:dyDescent="0.25"/>
    <row r="205184" customFormat="1" x14ac:dyDescent="0.25"/>
    <row r="205185" customFormat="1" x14ac:dyDescent="0.25"/>
    <row r="205186" customFormat="1" x14ac:dyDescent="0.25"/>
    <row r="205187" customFormat="1" x14ac:dyDescent="0.25"/>
    <row r="205188" customFormat="1" x14ac:dyDescent="0.25"/>
    <row r="205189" customFormat="1" x14ac:dyDescent="0.25"/>
    <row r="205190" customFormat="1" x14ac:dyDescent="0.25"/>
    <row r="205191" customFormat="1" x14ac:dyDescent="0.25"/>
    <row r="205192" customFormat="1" x14ac:dyDescent="0.25"/>
    <row r="205193" customFormat="1" x14ac:dyDescent="0.25"/>
    <row r="205194" customFormat="1" x14ac:dyDescent="0.25"/>
    <row r="205195" customFormat="1" x14ac:dyDescent="0.25"/>
    <row r="205196" customFormat="1" x14ac:dyDescent="0.25"/>
    <row r="205197" customFormat="1" x14ac:dyDescent="0.25"/>
    <row r="205198" customFormat="1" x14ac:dyDescent="0.25"/>
    <row r="205199" customFormat="1" x14ac:dyDescent="0.25"/>
    <row r="205200" customFormat="1" x14ac:dyDescent="0.25"/>
    <row r="205201" customFormat="1" x14ac:dyDescent="0.25"/>
    <row r="205202" customFormat="1" x14ac:dyDescent="0.25"/>
    <row r="205203" customFormat="1" x14ac:dyDescent="0.25"/>
    <row r="205204" customFormat="1" x14ac:dyDescent="0.25"/>
    <row r="205205" customFormat="1" x14ac:dyDescent="0.25"/>
    <row r="205206" customFormat="1" x14ac:dyDescent="0.25"/>
    <row r="205207" customFormat="1" x14ac:dyDescent="0.25"/>
    <row r="205208" customFormat="1" x14ac:dyDescent="0.25"/>
    <row r="205209" customFormat="1" x14ac:dyDescent="0.25"/>
    <row r="205210" customFormat="1" x14ac:dyDescent="0.25"/>
    <row r="205211" customFormat="1" x14ac:dyDescent="0.25"/>
    <row r="205212" customFormat="1" x14ac:dyDescent="0.25"/>
    <row r="205213" customFormat="1" x14ac:dyDescent="0.25"/>
    <row r="205214" customFormat="1" x14ac:dyDescent="0.25"/>
    <row r="205215" customFormat="1" x14ac:dyDescent="0.25"/>
    <row r="205216" customFormat="1" x14ac:dyDescent="0.25"/>
    <row r="205217" customFormat="1" x14ac:dyDescent="0.25"/>
    <row r="205218" customFormat="1" x14ac:dyDescent="0.25"/>
    <row r="205219" customFormat="1" x14ac:dyDescent="0.25"/>
    <row r="205220" customFormat="1" x14ac:dyDescent="0.25"/>
    <row r="205221" customFormat="1" x14ac:dyDescent="0.25"/>
    <row r="205222" customFormat="1" x14ac:dyDescent="0.25"/>
    <row r="205223" customFormat="1" x14ac:dyDescent="0.25"/>
    <row r="205224" customFormat="1" x14ac:dyDescent="0.25"/>
    <row r="205225" customFormat="1" x14ac:dyDescent="0.25"/>
    <row r="205226" customFormat="1" x14ac:dyDescent="0.25"/>
    <row r="205227" customFormat="1" x14ac:dyDescent="0.25"/>
    <row r="205228" customFormat="1" x14ac:dyDescent="0.25"/>
    <row r="205229" customFormat="1" x14ac:dyDescent="0.25"/>
    <row r="205230" customFormat="1" x14ac:dyDescent="0.25"/>
    <row r="205231" customFormat="1" x14ac:dyDescent="0.25"/>
    <row r="205232" customFormat="1" x14ac:dyDescent="0.25"/>
    <row r="205233" customFormat="1" x14ac:dyDescent="0.25"/>
    <row r="205234" customFormat="1" x14ac:dyDescent="0.25"/>
    <row r="205235" customFormat="1" x14ac:dyDescent="0.25"/>
    <row r="205236" customFormat="1" x14ac:dyDescent="0.25"/>
    <row r="205237" customFormat="1" x14ac:dyDescent="0.25"/>
    <row r="205238" customFormat="1" x14ac:dyDescent="0.25"/>
    <row r="205239" customFormat="1" x14ac:dyDescent="0.25"/>
    <row r="205240" customFormat="1" x14ac:dyDescent="0.25"/>
    <row r="205241" customFormat="1" x14ac:dyDescent="0.25"/>
    <row r="205242" customFormat="1" x14ac:dyDescent="0.25"/>
    <row r="205243" customFormat="1" x14ac:dyDescent="0.25"/>
    <row r="205244" customFormat="1" x14ac:dyDescent="0.25"/>
    <row r="205245" customFormat="1" x14ac:dyDescent="0.25"/>
    <row r="205246" customFormat="1" x14ac:dyDescent="0.25"/>
    <row r="205247" customFormat="1" x14ac:dyDescent="0.25"/>
    <row r="205248" customFormat="1" x14ac:dyDescent="0.25"/>
    <row r="205249" customFormat="1" x14ac:dyDescent="0.25"/>
    <row r="205250" customFormat="1" x14ac:dyDescent="0.25"/>
    <row r="205251" customFormat="1" x14ac:dyDescent="0.25"/>
    <row r="205252" customFormat="1" x14ac:dyDescent="0.25"/>
    <row r="205253" customFormat="1" x14ac:dyDescent="0.25"/>
    <row r="205254" customFormat="1" x14ac:dyDescent="0.25"/>
    <row r="205255" customFormat="1" x14ac:dyDescent="0.25"/>
    <row r="205256" customFormat="1" x14ac:dyDescent="0.25"/>
    <row r="205257" customFormat="1" x14ac:dyDescent="0.25"/>
    <row r="205258" customFormat="1" x14ac:dyDescent="0.25"/>
    <row r="205259" customFormat="1" x14ac:dyDescent="0.25"/>
    <row r="205260" customFormat="1" x14ac:dyDescent="0.25"/>
    <row r="205261" customFormat="1" x14ac:dyDescent="0.25"/>
    <row r="205262" customFormat="1" x14ac:dyDescent="0.25"/>
    <row r="205263" customFormat="1" x14ac:dyDescent="0.25"/>
    <row r="205264" customFormat="1" x14ac:dyDescent="0.25"/>
    <row r="205265" customFormat="1" x14ac:dyDescent="0.25"/>
    <row r="205266" customFormat="1" x14ac:dyDescent="0.25"/>
    <row r="205267" customFormat="1" x14ac:dyDescent="0.25"/>
    <row r="205268" customFormat="1" x14ac:dyDescent="0.25"/>
    <row r="205269" customFormat="1" x14ac:dyDescent="0.25"/>
    <row r="205270" customFormat="1" x14ac:dyDescent="0.25"/>
    <row r="205271" customFormat="1" x14ac:dyDescent="0.25"/>
    <row r="205272" customFormat="1" x14ac:dyDescent="0.25"/>
    <row r="205273" customFormat="1" x14ac:dyDescent="0.25"/>
    <row r="205274" customFormat="1" x14ac:dyDescent="0.25"/>
    <row r="205275" customFormat="1" x14ac:dyDescent="0.25"/>
    <row r="205276" customFormat="1" x14ac:dyDescent="0.25"/>
    <row r="205277" customFormat="1" x14ac:dyDescent="0.25"/>
    <row r="205278" customFormat="1" x14ac:dyDescent="0.25"/>
    <row r="205279" customFormat="1" x14ac:dyDescent="0.25"/>
    <row r="205280" customFormat="1" x14ac:dyDescent="0.25"/>
    <row r="205281" customFormat="1" x14ac:dyDescent="0.25"/>
    <row r="205282" customFormat="1" x14ac:dyDescent="0.25"/>
    <row r="205283" customFormat="1" x14ac:dyDescent="0.25"/>
    <row r="205284" customFormat="1" x14ac:dyDescent="0.25"/>
    <row r="205285" customFormat="1" x14ac:dyDescent="0.25"/>
    <row r="205286" customFormat="1" x14ac:dyDescent="0.25"/>
    <row r="205287" customFormat="1" x14ac:dyDescent="0.25"/>
    <row r="205288" customFormat="1" x14ac:dyDescent="0.25"/>
    <row r="205289" customFormat="1" x14ac:dyDescent="0.25"/>
    <row r="205290" customFormat="1" x14ac:dyDescent="0.25"/>
    <row r="205291" customFormat="1" x14ac:dyDescent="0.25"/>
    <row r="205292" customFormat="1" x14ac:dyDescent="0.25"/>
    <row r="205293" customFormat="1" x14ac:dyDescent="0.25"/>
    <row r="205294" customFormat="1" x14ac:dyDescent="0.25"/>
    <row r="205295" customFormat="1" x14ac:dyDescent="0.25"/>
    <row r="205296" customFormat="1" x14ac:dyDescent="0.25"/>
    <row r="205297" customFormat="1" x14ac:dyDescent="0.25"/>
    <row r="205298" customFormat="1" x14ac:dyDescent="0.25"/>
    <row r="205299" customFormat="1" x14ac:dyDescent="0.25"/>
    <row r="205300" customFormat="1" x14ac:dyDescent="0.25"/>
    <row r="205301" customFormat="1" x14ac:dyDescent="0.25"/>
    <row r="205302" customFormat="1" x14ac:dyDescent="0.25"/>
    <row r="205303" customFormat="1" x14ac:dyDescent="0.25"/>
    <row r="205304" customFormat="1" x14ac:dyDescent="0.25"/>
    <row r="205305" customFormat="1" x14ac:dyDescent="0.25"/>
    <row r="205306" customFormat="1" x14ac:dyDescent="0.25"/>
    <row r="205307" customFormat="1" x14ac:dyDescent="0.25"/>
    <row r="205308" customFormat="1" x14ac:dyDescent="0.25"/>
    <row r="205309" customFormat="1" x14ac:dyDescent="0.25"/>
    <row r="205310" customFormat="1" x14ac:dyDescent="0.25"/>
    <row r="205311" customFormat="1" x14ac:dyDescent="0.25"/>
    <row r="205312" customFormat="1" x14ac:dyDescent="0.25"/>
    <row r="205313" customFormat="1" x14ac:dyDescent="0.25"/>
    <row r="205314" customFormat="1" x14ac:dyDescent="0.25"/>
    <row r="205315" customFormat="1" x14ac:dyDescent="0.25"/>
    <row r="205316" customFormat="1" x14ac:dyDescent="0.25"/>
    <row r="205317" customFormat="1" x14ac:dyDescent="0.25"/>
    <row r="205318" customFormat="1" x14ac:dyDescent="0.25"/>
    <row r="205319" customFormat="1" x14ac:dyDescent="0.25"/>
    <row r="205320" customFormat="1" x14ac:dyDescent="0.25"/>
    <row r="205321" customFormat="1" x14ac:dyDescent="0.25"/>
    <row r="205322" customFormat="1" x14ac:dyDescent="0.25"/>
    <row r="205323" customFormat="1" x14ac:dyDescent="0.25"/>
    <row r="205324" customFormat="1" x14ac:dyDescent="0.25"/>
    <row r="205325" customFormat="1" x14ac:dyDescent="0.25"/>
    <row r="205326" customFormat="1" x14ac:dyDescent="0.25"/>
    <row r="205327" customFormat="1" x14ac:dyDescent="0.25"/>
    <row r="205328" customFormat="1" x14ac:dyDescent="0.25"/>
    <row r="205329" customFormat="1" x14ac:dyDescent="0.25"/>
    <row r="205330" customFormat="1" x14ac:dyDescent="0.25"/>
    <row r="205331" customFormat="1" x14ac:dyDescent="0.25"/>
    <row r="205332" customFormat="1" x14ac:dyDescent="0.25"/>
    <row r="205333" customFormat="1" x14ac:dyDescent="0.25"/>
    <row r="205334" customFormat="1" x14ac:dyDescent="0.25"/>
    <row r="205335" customFormat="1" x14ac:dyDescent="0.25"/>
    <row r="205336" customFormat="1" x14ac:dyDescent="0.25"/>
    <row r="205337" customFormat="1" x14ac:dyDescent="0.25"/>
    <row r="205338" customFormat="1" x14ac:dyDescent="0.25"/>
    <row r="205339" customFormat="1" x14ac:dyDescent="0.25"/>
    <row r="205340" customFormat="1" x14ac:dyDescent="0.25"/>
    <row r="205341" customFormat="1" x14ac:dyDescent="0.25"/>
    <row r="205342" customFormat="1" x14ac:dyDescent="0.25"/>
    <row r="205343" customFormat="1" x14ac:dyDescent="0.25"/>
    <row r="205344" customFormat="1" x14ac:dyDescent="0.25"/>
    <row r="205345" customFormat="1" x14ac:dyDescent="0.25"/>
    <row r="205346" customFormat="1" x14ac:dyDescent="0.25"/>
    <row r="205347" customFormat="1" x14ac:dyDescent="0.25"/>
    <row r="205348" customFormat="1" x14ac:dyDescent="0.25"/>
    <row r="205349" customFormat="1" x14ac:dyDescent="0.25"/>
    <row r="205350" customFormat="1" x14ac:dyDescent="0.25"/>
    <row r="205351" customFormat="1" x14ac:dyDescent="0.25"/>
    <row r="205352" customFormat="1" x14ac:dyDescent="0.25"/>
    <row r="205353" customFormat="1" x14ac:dyDescent="0.25"/>
    <row r="205354" customFormat="1" x14ac:dyDescent="0.25"/>
    <row r="205355" customFormat="1" x14ac:dyDescent="0.25"/>
    <row r="205356" customFormat="1" x14ac:dyDescent="0.25"/>
    <row r="205357" customFormat="1" x14ac:dyDescent="0.25"/>
    <row r="205358" customFormat="1" x14ac:dyDescent="0.25"/>
    <row r="205359" customFormat="1" x14ac:dyDescent="0.25"/>
    <row r="205360" customFormat="1" x14ac:dyDescent="0.25"/>
    <row r="205361" customFormat="1" x14ac:dyDescent="0.25"/>
    <row r="205362" customFormat="1" x14ac:dyDescent="0.25"/>
    <row r="205363" customFormat="1" x14ac:dyDescent="0.25"/>
    <row r="205364" customFormat="1" x14ac:dyDescent="0.25"/>
    <row r="205365" customFormat="1" x14ac:dyDescent="0.25"/>
    <row r="205366" customFormat="1" x14ac:dyDescent="0.25"/>
    <row r="205367" customFormat="1" x14ac:dyDescent="0.25"/>
    <row r="205368" customFormat="1" x14ac:dyDescent="0.25"/>
    <row r="205369" customFormat="1" x14ac:dyDescent="0.25"/>
    <row r="205370" customFormat="1" x14ac:dyDescent="0.25"/>
    <row r="205371" customFormat="1" x14ac:dyDescent="0.25"/>
    <row r="205372" customFormat="1" x14ac:dyDescent="0.25"/>
    <row r="205373" customFormat="1" x14ac:dyDescent="0.25"/>
    <row r="205374" customFormat="1" x14ac:dyDescent="0.25"/>
    <row r="205375" customFormat="1" x14ac:dyDescent="0.25"/>
    <row r="205376" customFormat="1" x14ac:dyDescent="0.25"/>
    <row r="205377" customFormat="1" x14ac:dyDescent="0.25"/>
    <row r="205378" customFormat="1" x14ac:dyDescent="0.25"/>
    <row r="205379" customFormat="1" x14ac:dyDescent="0.25"/>
    <row r="205380" customFormat="1" x14ac:dyDescent="0.25"/>
    <row r="205381" customFormat="1" x14ac:dyDescent="0.25"/>
    <row r="205382" customFormat="1" x14ac:dyDescent="0.25"/>
    <row r="205383" customFormat="1" x14ac:dyDescent="0.25"/>
    <row r="205384" customFormat="1" x14ac:dyDescent="0.25"/>
    <row r="205385" customFormat="1" x14ac:dyDescent="0.25"/>
    <row r="205386" customFormat="1" x14ac:dyDescent="0.25"/>
    <row r="205387" customFormat="1" x14ac:dyDescent="0.25"/>
    <row r="205388" customFormat="1" x14ac:dyDescent="0.25"/>
    <row r="205389" customFormat="1" x14ac:dyDescent="0.25"/>
    <row r="205390" customFormat="1" x14ac:dyDescent="0.25"/>
    <row r="205391" customFormat="1" x14ac:dyDescent="0.25"/>
    <row r="205392" customFormat="1" x14ac:dyDescent="0.25"/>
    <row r="205393" customFormat="1" x14ac:dyDescent="0.25"/>
    <row r="205394" customFormat="1" x14ac:dyDescent="0.25"/>
    <row r="205395" customFormat="1" x14ac:dyDescent="0.25"/>
    <row r="205396" customFormat="1" x14ac:dyDescent="0.25"/>
    <row r="205397" customFormat="1" x14ac:dyDescent="0.25"/>
    <row r="205398" customFormat="1" x14ac:dyDescent="0.25"/>
    <row r="205399" customFormat="1" x14ac:dyDescent="0.25"/>
    <row r="205400" customFormat="1" x14ac:dyDescent="0.25"/>
    <row r="205401" customFormat="1" x14ac:dyDescent="0.25"/>
    <row r="205402" customFormat="1" x14ac:dyDescent="0.25"/>
    <row r="205403" customFormat="1" x14ac:dyDescent="0.25"/>
    <row r="205404" customFormat="1" x14ac:dyDescent="0.25"/>
    <row r="205405" customFormat="1" x14ac:dyDescent="0.25"/>
    <row r="205406" customFormat="1" x14ac:dyDescent="0.25"/>
    <row r="205407" customFormat="1" x14ac:dyDescent="0.25"/>
    <row r="205408" customFormat="1" x14ac:dyDescent="0.25"/>
    <row r="205409" customFormat="1" x14ac:dyDescent="0.25"/>
    <row r="205410" customFormat="1" x14ac:dyDescent="0.25"/>
    <row r="205411" customFormat="1" x14ac:dyDescent="0.25"/>
    <row r="205412" customFormat="1" x14ac:dyDescent="0.25"/>
    <row r="205413" customFormat="1" x14ac:dyDescent="0.25"/>
    <row r="205414" customFormat="1" x14ac:dyDescent="0.25"/>
    <row r="205415" customFormat="1" x14ac:dyDescent="0.25"/>
    <row r="205416" customFormat="1" x14ac:dyDescent="0.25"/>
    <row r="205417" customFormat="1" x14ac:dyDescent="0.25"/>
    <row r="205418" customFormat="1" x14ac:dyDescent="0.25"/>
    <row r="205419" customFormat="1" x14ac:dyDescent="0.25"/>
    <row r="205420" customFormat="1" x14ac:dyDescent="0.25"/>
    <row r="205421" customFormat="1" x14ac:dyDescent="0.25"/>
    <row r="205422" customFormat="1" x14ac:dyDescent="0.25"/>
    <row r="205423" customFormat="1" x14ac:dyDescent="0.25"/>
    <row r="205424" customFormat="1" x14ac:dyDescent="0.25"/>
    <row r="205425" customFormat="1" x14ac:dyDescent="0.25"/>
    <row r="205426" customFormat="1" x14ac:dyDescent="0.25"/>
    <row r="205427" customFormat="1" x14ac:dyDescent="0.25"/>
    <row r="205428" customFormat="1" x14ac:dyDescent="0.25"/>
    <row r="205429" customFormat="1" x14ac:dyDescent="0.25"/>
    <row r="205430" customFormat="1" x14ac:dyDescent="0.25"/>
    <row r="205431" customFormat="1" x14ac:dyDescent="0.25"/>
    <row r="205432" customFormat="1" x14ac:dyDescent="0.25"/>
    <row r="205433" customFormat="1" x14ac:dyDescent="0.25"/>
    <row r="205434" customFormat="1" x14ac:dyDescent="0.25"/>
    <row r="205435" customFormat="1" x14ac:dyDescent="0.25"/>
    <row r="205436" customFormat="1" x14ac:dyDescent="0.25"/>
    <row r="205437" customFormat="1" x14ac:dyDescent="0.25"/>
    <row r="205438" customFormat="1" x14ac:dyDescent="0.25"/>
    <row r="205439" customFormat="1" x14ac:dyDescent="0.25"/>
    <row r="205440" customFormat="1" x14ac:dyDescent="0.25"/>
    <row r="205441" customFormat="1" x14ac:dyDescent="0.25"/>
    <row r="205442" customFormat="1" x14ac:dyDescent="0.25"/>
    <row r="205443" customFormat="1" x14ac:dyDescent="0.25"/>
    <row r="205444" customFormat="1" x14ac:dyDescent="0.25"/>
    <row r="205445" customFormat="1" x14ac:dyDescent="0.25"/>
    <row r="205446" customFormat="1" x14ac:dyDescent="0.25"/>
    <row r="205447" customFormat="1" x14ac:dyDescent="0.25"/>
    <row r="205448" customFormat="1" x14ac:dyDescent="0.25"/>
    <row r="205449" customFormat="1" x14ac:dyDescent="0.25"/>
    <row r="205450" customFormat="1" x14ac:dyDescent="0.25"/>
    <row r="205451" customFormat="1" x14ac:dyDescent="0.25"/>
    <row r="205452" customFormat="1" x14ac:dyDescent="0.25"/>
    <row r="205453" customFormat="1" x14ac:dyDescent="0.25"/>
    <row r="205454" customFormat="1" x14ac:dyDescent="0.25"/>
    <row r="205455" customFormat="1" x14ac:dyDescent="0.25"/>
    <row r="205456" customFormat="1" x14ac:dyDescent="0.25"/>
    <row r="205457" customFormat="1" x14ac:dyDescent="0.25"/>
    <row r="205458" customFormat="1" x14ac:dyDescent="0.25"/>
    <row r="205459" customFormat="1" x14ac:dyDescent="0.25"/>
    <row r="205460" customFormat="1" x14ac:dyDescent="0.25"/>
    <row r="205461" customFormat="1" x14ac:dyDescent="0.25"/>
    <row r="205462" customFormat="1" x14ac:dyDescent="0.25"/>
    <row r="205463" customFormat="1" x14ac:dyDescent="0.25"/>
    <row r="205464" customFormat="1" x14ac:dyDescent="0.25"/>
    <row r="205465" customFormat="1" x14ac:dyDescent="0.25"/>
    <row r="205466" customFormat="1" x14ac:dyDescent="0.25"/>
    <row r="205467" customFormat="1" x14ac:dyDescent="0.25"/>
    <row r="205468" customFormat="1" x14ac:dyDescent="0.25"/>
    <row r="205469" customFormat="1" x14ac:dyDescent="0.25"/>
    <row r="205470" customFormat="1" x14ac:dyDescent="0.25"/>
    <row r="205471" customFormat="1" x14ac:dyDescent="0.25"/>
    <row r="205472" customFormat="1" x14ac:dyDescent="0.25"/>
    <row r="205473" customFormat="1" x14ac:dyDescent="0.25"/>
    <row r="205474" customFormat="1" x14ac:dyDescent="0.25"/>
    <row r="205475" customFormat="1" x14ac:dyDescent="0.25"/>
    <row r="205476" customFormat="1" x14ac:dyDescent="0.25"/>
    <row r="205477" customFormat="1" x14ac:dyDescent="0.25"/>
    <row r="205478" customFormat="1" x14ac:dyDescent="0.25"/>
    <row r="205479" customFormat="1" x14ac:dyDescent="0.25"/>
    <row r="205480" customFormat="1" x14ac:dyDescent="0.25"/>
    <row r="205481" customFormat="1" x14ac:dyDescent="0.25"/>
    <row r="205482" customFormat="1" x14ac:dyDescent="0.25"/>
    <row r="205483" customFormat="1" x14ac:dyDescent="0.25"/>
    <row r="205484" customFormat="1" x14ac:dyDescent="0.25"/>
    <row r="205485" customFormat="1" x14ac:dyDescent="0.25"/>
    <row r="205486" customFormat="1" x14ac:dyDescent="0.25"/>
    <row r="205487" customFormat="1" x14ac:dyDescent="0.25"/>
    <row r="205488" customFormat="1" x14ac:dyDescent="0.25"/>
    <row r="205489" customFormat="1" x14ac:dyDescent="0.25"/>
    <row r="205490" customFormat="1" x14ac:dyDescent="0.25"/>
    <row r="205491" customFormat="1" x14ac:dyDescent="0.25"/>
    <row r="205492" customFormat="1" x14ac:dyDescent="0.25"/>
    <row r="205493" customFormat="1" x14ac:dyDescent="0.25"/>
    <row r="205494" customFormat="1" x14ac:dyDescent="0.25"/>
    <row r="205495" customFormat="1" x14ac:dyDescent="0.25"/>
    <row r="205496" customFormat="1" x14ac:dyDescent="0.25"/>
    <row r="205497" customFormat="1" x14ac:dyDescent="0.25"/>
    <row r="205498" customFormat="1" x14ac:dyDescent="0.25"/>
    <row r="205499" customFormat="1" x14ac:dyDescent="0.25"/>
    <row r="205500" customFormat="1" x14ac:dyDescent="0.25"/>
    <row r="205501" customFormat="1" x14ac:dyDescent="0.25"/>
    <row r="205502" customFormat="1" x14ac:dyDescent="0.25"/>
    <row r="205503" customFormat="1" x14ac:dyDescent="0.25"/>
    <row r="205504" customFormat="1" x14ac:dyDescent="0.25"/>
    <row r="205505" customFormat="1" x14ac:dyDescent="0.25"/>
    <row r="205506" customFormat="1" x14ac:dyDescent="0.25"/>
    <row r="205507" customFormat="1" x14ac:dyDescent="0.25"/>
    <row r="205508" customFormat="1" x14ac:dyDescent="0.25"/>
    <row r="205509" customFormat="1" x14ac:dyDescent="0.25"/>
    <row r="205510" customFormat="1" x14ac:dyDescent="0.25"/>
    <row r="205511" customFormat="1" x14ac:dyDescent="0.25"/>
    <row r="205512" customFormat="1" x14ac:dyDescent="0.25"/>
    <row r="205513" customFormat="1" x14ac:dyDescent="0.25"/>
    <row r="205514" customFormat="1" x14ac:dyDescent="0.25"/>
    <row r="205515" customFormat="1" x14ac:dyDescent="0.25"/>
    <row r="205516" customFormat="1" x14ac:dyDescent="0.25"/>
    <row r="205517" customFormat="1" x14ac:dyDescent="0.25"/>
    <row r="205518" customFormat="1" x14ac:dyDescent="0.25"/>
    <row r="205519" customFormat="1" x14ac:dyDescent="0.25"/>
    <row r="205520" customFormat="1" x14ac:dyDescent="0.25"/>
    <row r="205521" customFormat="1" x14ac:dyDescent="0.25"/>
    <row r="205522" customFormat="1" x14ac:dyDescent="0.25"/>
    <row r="205523" customFormat="1" x14ac:dyDescent="0.25"/>
    <row r="205524" customFormat="1" x14ac:dyDescent="0.25"/>
    <row r="205525" customFormat="1" x14ac:dyDescent="0.25"/>
    <row r="205526" customFormat="1" x14ac:dyDescent="0.25"/>
    <row r="205527" customFormat="1" x14ac:dyDescent="0.25"/>
    <row r="205528" customFormat="1" x14ac:dyDescent="0.25"/>
    <row r="205529" customFormat="1" x14ac:dyDescent="0.25"/>
    <row r="205530" customFormat="1" x14ac:dyDescent="0.25"/>
    <row r="205531" customFormat="1" x14ac:dyDescent="0.25"/>
    <row r="205532" customFormat="1" x14ac:dyDescent="0.25"/>
    <row r="205533" customFormat="1" x14ac:dyDescent="0.25"/>
    <row r="205534" customFormat="1" x14ac:dyDescent="0.25"/>
    <row r="205535" customFormat="1" x14ac:dyDescent="0.25"/>
    <row r="205536" customFormat="1" x14ac:dyDescent="0.25"/>
    <row r="205537" customFormat="1" x14ac:dyDescent="0.25"/>
    <row r="205538" customFormat="1" x14ac:dyDescent="0.25"/>
    <row r="205539" customFormat="1" x14ac:dyDescent="0.25"/>
    <row r="205540" customFormat="1" x14ac:dyDescent="0.25"/>
    <row r="205541" customFormat="1" x14ac:dyDescent="0.25"/>
    <row r="205542" customFormat="1" x14ac:dyDescent="0.25"/>
    <row r="205543" customFormat="1" x14ac:dyDescent="0.25"/>
    <row r="205544" customFormat="1" x14ac:dyDescent="0.25"/>
    <row r="205545" customFormat="1" x14ac:dyDescent="0.25"/>
    <row r="205546" customFormat="1" x14ac:dyDescent="0.25"/>
    <row r="205547" customFormat="1" x14ac:dyDescent="0.25"/>
    <row r="205548" customFormat="1" x14ac:dyDescent="0.25"/>
    <row r="205549" customFormat="1" x14ac:dyDescent="0.25"/>
    <row r="205550" customFormat="1" x14ac:dyDescent="0.25"/>
    <row r="205551" customFormat="1" x14ac:dyDescent="0.25"/>
    <row r="205552" customFormat="1" x14ac:dyDescent="0.25"/>
    <row r="205553" customFormat="1" x14ac:dyDescent="0.25"/>
    <row r="205554" customFormat="1" x14ac:dyDescent="0.25"/>
    <row r="205555" customFormat="1" x14ac:dyDescent="0.25"/>
    <row r="205556" customFormat="1" x14ac:dyDescent="0.25"/>
    <row r="205557" customFormat="1" x14ac:dyDescent="0.25"/>
    <row r="205558" customFormat="1" x14ac:dyDescent="0.25"/>
    <row r="205559" customFormat="1" x14ac:dyDescent="0.25"/>
    <row r="205560" customFormat="1" x14ac:dyDescent="0.25"/>
    <row r="205561" customFormat="1" x14ac:dyDescent="0.25"/>
    <row r="205562" customFormat="1" x14ac:dyDescent="0.25"/>
    <row r="205563" customFormat="1" x14ac:dyDescent="0.25"/>
    <row r="205564" customFormat="1" x14ac:dyDescent="0.25"/>
    <row r="205565" customFormat="1" x14ac:dyDescent="0.25"/>
    <row r="205566" customFormat="1" x14ac:dyDescent="0.25"/>
    <row r="205567" customFormat="1" x14ac:dyDescent="0.25"/>
    <row r="205568" customFormat="1" x14ac:dyDescent="0.25"/>
    <row r="205569" customFormat="1" x14ac:dyDescent="0.25"/>
    <row r="205570" customFormat="1" x14ac:dyDescent="0.25"/>
    <row r="205571" customFormat="1" x14ac:dyDescent="0.25"/>
    <row r="205572" customFormat="1" x14ac:dyDescent="0.25"/>
    <row r="205573" customFormat="1" x14ac:dyDescent="0.25"/>
    <row r="205574" customFormat="1" x14ac:dyDescent="0.25"/>
    <row r="205575" customFormat="1" x14ac:dyDescent="0.25"/>
    <row r="205576" customFormat="1" x14ac:dyDescent="0.25"/>
    <row r="205577" customFormat="1" x14ac:dyDescent="0.25"/>
    <row r="205578" customFormat="1" x14ac:dyDescent="0.25"/>
    <row r="205579" customFormat="1" x14ac:dyDescent="0.25"/>
    <row r="205580" customFormat="1" x14ac:dyDescent="0.25"/>
    <row r="205581" customFormat="1" x14ac:dyDescent="0.25"/>
    <row r="205582" customFormat="1" x14ac:dyDescent="0.25"/>
    <row r="205583" customFormat="1" x14ac:dyDescent="0.25"/>
    <row r="205584" customFormat="1" x14ac:dyDescent="0.25"/>
    <row r="205585" customFormat="1" x14ac:dyDescent="0.25"/>
    <row r="205586" customFormat="1" x14ac:dyDescent="0.25"/>
    <row r="205587" customFormat="1" x14ac:dyDescent="0.25"/>
    <row r="205588" customFormat="1" x14ac:dyDescent="0.25"/>
    <row r="205589" customFormat="1" x14ac:dyDescent="0.25"/>
    <row r="205590" customFormat="1" x14ac:dyDescent="0.25"/>
    <row r="205591" customFormat="1" x14ac:dyDescent="0.25"/>
    <row r="205592" customFormat="1" x14ac:dyDescent="0.25"/>
    <row r="205593" customFormat="1" x14ac:dyDescent="0.25"/>
    <row r="205594" customFormat="1" x14ac:dyDescent="0.25"/>
    <row r="205595" customFormat="1" x14ac:dyDescent="0.25"/>
    <row r="205596" customFormat="1" x14ac:dyDescent="0.25"/>
    <row r="205597" customFormat="1" x14ac:dyDescent="0.25"/>
    <row r="205598" customFormat="1" x14ac:dyDescent="0.25"/>
    <row r="205599" customFormat="1" x14ac:dyDescent="0.25"/>
    <row r="205600" customFormat="1" x14ac:dyDescent="0.25"/>
    <row r="205601" customFormat="1" x14ac:dyDescent="0.25"/>
    <row r="205602" customFormat="1" x14ac:dyDescent="0.25"/>
    <row r="205603" customFormat="1" x14ac:dyDescent="0.25"/>
    <row r="205604" customFormat="1" x14ac:dyDescent="0.25"/>
    <row r="205605" customFormat="1" x14ac:dyDescent="0.25"/>
    <row r="205606" customFormat="1" x14ac:dyDescent="0.25"/>
    <row r="205607" customFormat="1" x14ac:dyDescent="0.25"/>
    <row r="205608" customFormat="1" x14ac:dyDescent="0.25"/>
    <row r="205609" customFormat="1" x14ac:dyDescent="0.25"/>
    <row r="205610" customFormat="1" x14ac:dyDescent="0.25"/>
    <row r="205611" customFormat="1" x14ac:dyDescent="0.25"/>
    <row r="205612" customFormat="1" x14ac:dyDescent="0.25"/>
    <row r="205613" customFormat="1" x14ac:dyDescent="0.25"/>
    <row r="205614" customFormat="1" x14ac:dyDescent="0.25"/>
    <row r="205615" customFormat="1" x14ac:dyDescent="0.25"/>
    <row r="205616" customFormat="1" x14ac:dyDescent="0.25"/>
    <row r="205617" customFormat="1" x14ac:dyDescent="0.25"/>
    <row r="205618" customFormat="1" x14ac:dyDescent="0.25"/>
    <row r="205619" customFormat="1" x14ac:dyDescent="0.25"/>
    <row r="205620" customFormat="1" x14ac:dyDescent="0.25"/>
    <row r="205621" customFormat="1" x14ac:dyDescent="0.25"/>
    <row r="205622" customFormat="1" x14ac:dyDescent="0.25"/>
    <row r="205623" customFormat="1" x14ac:dyDescent="0.25"/>
    <row r="205624" customFormat="1" x14ac:dyDescent="0.25"/>
    <row r="205625" customFormat="1" x14ac:dyDescent="0.25"/>
    <row r="205626" customFormat="1" x14ac:dyDescent="0.25"/>
    <row r="205627" customFormat="1" x14ac:dyDescent="0.25"/>
    <row r="205628" customFormat="1" x14ac:dyDescent="0.25"/>
    <row r="205629" customFormat="1" x14ac:dyDescent="0.25"/>
    <row r="205630" customFormat="1" x14ac:dyDescent="0.25"/>
    <row r="205631" customFormat="1" x14ac:dyDescent="0.25"/>
    <row r="205632" customFormat="1" x14ac:dyDescent="0.25"/>
    <row r="205633" customFormat="1" x14ac:dyDescent="0.25"/>
    <row r="205634" customFormat="1" x14ac:dyDescent="0.25"/>
    <row r="205635" customFormat="1" x14ac:dyDescent="0.25"/>
    <row r="205636" customFormat="1" x14ac:dyDescent="0.25"/>
    <row r="205637" customFormat="1" x14ac:dyDescent="0.25"/>
    <row r="205638" customFormat="1" x14ac:dyDescent="0.25"/>
    <row r="205639" customFormat="1" x14ac:dyDescent="0.25"/>
    <row r="205640" customFormat="1" x14ac:dyDescent="0.25"/>
    <row r="205641" customFormat="1" x14ac:dyDescent="0.25"/>
    <row r="205642" customFormat="1" x14ac:dyDescent="0.25"/>
    <row r="205643" customFormat="1" x14ac:dyDescent="0.25"/>
    <row r="205644" customFormat="1" x14ac:dyDescent="0.25"/>
    <row r="205645" customFormat="1" x14ac:dyDescent="0.25"/>
    <row r="205646" customFormat="1" x14ac:dyDescent="0.25"/>
    <row r="205647" customFormat="1" x14ac:dyDescent="0.25"/>
    <row r="205648" customFormat="1" x14ac:dyDescent="0.25"/>
    <row r="205649" customFormat="1" x14ac:dyDescent="0.25"/>
    <row r="205650" customFormat="1" x14ac:dyDescent="0.25"/>
    <row r="205651" customFormat="1" x14ac:dyDescent="0.25"/>
    <row r="205652" customFormat="1" x14ac:dyDescent="0.25"/>
    <row r="205653" customFormat="1" x14ac:dyDescent="0.25"/>
    <row r="205654" customFormat="1" x14ac:dyDescent="0.25"/>
    <row r="205655" customFormat="1" x14ac:dyDescent="0.25"/>
    <row r="205656" customFormat="1" x14ac:dyDescent="0.25"/>
    <row r="205657" customFormat="1" x14ac:dyDescent="0.25"/>
    <row r="205658" customFormat="1" x14ac:dyDescent="0.25"/>
    <row r="205659" customFormat="1" x14ac:dyDescent="0.25"/>
    <row r="205660" customFormat="1" x14ac:dyDescent="0.25"/>
    <row r="205661" customFormat="1" x14ac:dyDescent="0.25"/>
    <row r="205662" customFormat="1" x14ac:dyDescent="0.25"/>
    <row r="205663" customFormat="1" x14ac:dyDescent="0.25"/>
    <row r="205664" customFormat="1" x14ac:dyDescent="0.25"/>
    <row r="205665" customFormat="1" x14ac:dyDescent="0.25"/>
    <row r="205666" customFormat="1" x14ac:dyDescent="0.25"/>
    <row r="205667" customFormat="1" x14ac:dyDescent="0.25"/>
    <row r="205668" customFormat="1" x14ac:dyDescent="0.25"/>
    <row r="205669" customFormat="1" x14ac:dyDescent="0.25"/>
    <row r="205670" customFormat="1" x14ac:dyDescent="0.25"/>
    <row r="205671" customFormat="1" x14ac:dyDescent="0.25"/>
    <row r="205672" customFormat="1" x14ac:dyDescent="0.25"/>
    <row r="205673" customFormat="1" x14ac:dyDescent="0.25"/>
    <row r="205674" customFormat="1" x14ac:dyDescent="0.25"/>
    <row r="205675" customFormat="1" x14ac:dyDescent="0.25"/>
    <row r="205676" customFormat="1" x14ac:dyDescent="0.25"/>
    <row r="205677" customFormat="1" x14ac:dyDescent="0.25"/>
    <row r="205678" customFormat="1" x14ac:dyDescent="0.25"/>
    <row r="205679" customFormat="1" x14ac:dyDescent="0.25"/>
    <row r="205680" customFormat="1" x14ac:dyDescent="0.25"/>
    <row r="205681" customFormat="1" x14ac:dyDescent="0.25"/>
    <row r="205682" customFormat="1" x14ac:dyDescent="0.25"/>
    <row r="205683" customFormat="1" x14ac:dyDescent="0.25"/>
    <row r="205684" customFormat="1" x14ac:dyDescent="0.25"/>
    <row r="205685" customFormat="1" x14ac:dyDescent="0.25"/>
    <row r="205686" customFormat="1" x14ac:dyDescent="0.25"/>
    <row r="205687" customFormat="1" x14ac:dyDescent="0.25"/>
    <row r="205688" customFormat="1" x14ac:dyDescent="0.25"/>
    <row r="205689" customFormat="1" x14ac:dyDescent="0.25"/>
    <row r="205690" customFormat="1" x14ac:dyDescent="0.25"/>
    <row r="205691" customFormat="1" x14ac:dyDescent="0.25"/>
    <row r="205692" customFormat="1" x14ac:dyDescent="0.25"/>
    <row r="205693" customFormat="1" x14ac:dyDescent="0.25"/>
    <row r="205694" customFormat="1" x14ac:dyDescent="0.25"/>
    <row r="205695" customFormat="1" x14ac:dyDescent="0.25"/>
    <row r="205696" customFormat="1" x14ac:dyDescent="0.25"/>
    <row r="205697" customFormat="1" x14ac:dyDescent="0.25"/>
    <row r="205698" customFormat="1" x14ac:dyDescent="0.25"/>
    <row r="205699" customFormat="1" x14ac:dyDescent="0.25"/>
    <row r="205700" customFormat="1" x14ac:dyDescent="0.25"/>
    <row r="205701" customFormat="1" x14ac:dyDescent="0.25"/>
    <row r="205702" customFormat="1" x14ac:dyDescent="0.25"/>
    <row r="205703" customFormat="1" x14ac:dyDescent="0.25"/>
    <row r="205704" customFormat="1" x14ac:dyDescent="0.25"/>
    <row r="205705" customFormat="1" x14ac:dyDescent="0.25"/>
    <row r="205706" customFormat="1" x14ac:dyDescent="0.25"/>
    <row r="205707" customFormat="1" x14ac:dyDescent="0.25"/>
    <row r="205708" customFormat="1" x14ac:dyDescent="0.25"/>
    <row r="205709" customFormat="1" x14ac:dyDescent="0.25"/>
    <row r="205710" customFormat="1" x14ac:dyDescent="0.25"/>
    <row r="205711" customFormat="1" x14ac:dyDescent="0.25"/>
    <row r="205712" customFormat="1" x14ac:dyDescent="0.25"/>
    <row r="205713" customFormat="1" x14ac:dyDescent="0.25"/>
    <row r="205714" customFormat="1" x14ac:dyDescent="0.25"/>
    <row r="205715" customFormat="1" x14ac:dyDescent="0.25"/>
    <row r="205716" customFormat="1" x14ac:dyDescent="0.25"/>
    <row r="205717" customFormat="1" x14ac:dyDescent="0.25"/>
    <row r="205718" customFormat="1" x14ac:dyDescent="0.25"/>
    <row r="205719" customFormat="1" x14ac:dyDescent="0.25"/>
    <row r="205720" customFormat="1" x14ac:dyDescent="0.25"/>
    <row r="205721" customFormat="1" x14ac:dyDescent="0.25"/>
    <row r="205722" customFormat="1" x14ac:dyDescent="0.25"/>
    <row r="205723" customFormat="1" x14ac:dyDescent="0.25"/>
    <row r="205724" customFormat="1" x14ac:dyDescent="0.25"/>
    <row r="205725" customFormat="1" x14ac:dyDescent="0.25"/>
    <row r="205726" customFormat="1" x14ac:dyDescent="0.25"/>
    <row r="205727" customFormat="1" x14ac:dyDescent="0.25"/>
    <row r="205728" customFormat="1" x14ac:dyDescent="0.25"/>
    <row r="205729" customFormat="1" x14ac:dyDescent="0.25"/>
    <row r="205730" customFormat="1" x14ac:dyDescent="0.25"/>
    <row r="205731" customFormat="1" x14ac:dyDescent="0.25"/>
    <row r="205732" customFormat="1" x14ac:dyDescent="0.25"/>
    <row r="205733" customFormat="1" x14ac:dyDescent="0.25"/>
    <row r="205734" customFormat="1" x14ac:dyDescent="0.25"/>
    <row r="205735" customFormat="1" x14ac:dyDescent="0.25"/>
    <row r="205736" customFormat="1" x14ac:dyDescent="0.25"/>
    <row r="205737" customFormat="1" x14ac:dyDescent="0.25"/>
    <row r="205738" customFormat="1" x14ac:dyDescent="0.25"/>
    <row r="205739" customFormat="1" x14ac:dyDescent="0.25"/>
    <row r="205740" customFormat="1" x14ac:dyDescent="0.25"/>
    <row r="205741" customFormat="1" x14ac:dyDescent="0.25"/>
    <row r="205742" customFormat="1" x14ac:dyDescent="0.25"/>
    <row r="205743" customFormat="1" x14ac:dyDescent="0.25"/>
    <row r="205744" customFormat="1" x14ac:dyDescent="0.25"/>
    <row r="205745" customFormat="1" x14ac:dyDescent="0.25"/>
    <row r="205746" customFormat="1" x14ac:dyDescent="0.25"/>
    <row r="205747" customFormat="1" x14ac:dyDescent="0.25"/>
    <row r="205748" customFormat="1" x14ac:dyDescent="0.25"/>
    <row r="205749" customFormat="1" x14ac:dyDescent="0.25"/>
    <row r="205750" customFormat="1" x14ac:dyDescent="0.25"/>
    <row r="205751" customFormat="1" x14ac:dyDescent="0.25"/>
    <row r="205752" customFormat="1" x14ac:dyDescent="0.25"/>
    <row r="205753" customFormat="1" x14ac:dyDescent="0.25"/>
    <row r="205754" customFormat="1" x14ac:dyDescent="0.25"/>
    <row r="205755" customFormat="1" x14ac:dyDescent="0.25"/>
    <row r="205756" customFormat="1" x14ac:dyDescent="0.25"/>
    <row r="205757" customFormat="1" x14ac:dyDescent="0.25"/>
    <row r="205758" customFormat="1" x14ac:dyDescent="0.25"/>
    <row r="205759" customFormat="1" x14ac:dyDescent="0.25"/>
    <row r="205760" customFormat="1" x14ac:dyDescent="0.25"/>
    <row r="205761" customFormat="1" x14ac:dyDescent="0.25"/>
    <row r="205762" customFormat="1" x14ac:dyDescent="0.25"/>
    <row r="205763" customFormat="1" x14ac:dyDescent="0.25"/>
    <row r="205764" customFormat="1" x14ac:dyDescent="0.25"/>
    <row r="205765" customFormat="1" x14ac:dyDescent="0.25"/>
    <row r="205766" customFormat="1" x14ac:dyDescent="0.25"/>
    <row r="205767" customFormat="1" x14ac:dyDescent="0.25"/>
    <row r="205768" customFormat="1" x14ac:dyDescent="0.25"/>
    <row r="205769" customFormat="1" x14ac:dyDescent="0.25"/>
    <row r="205770" customFormat="1" x14ac:dyDescent="0.25"/>
    <row r="205771" customFormat="1" x14ac:dyDescent="0.25"/>
    <row r="205772" customFormat="1" x14ac:dyDescent="0.25"/>
    <row r="205773" customFormat="1" x14ac:dyDescent="0.25"/>
    <row r="205774" customFormat="1" x14ac:dyDescent="0.25"/>
    <row r="205775" customFormat="1" x14ac:dyDescent="0.25"/>
    <row r="205776" customFormat="1" x14ac:dyDescent="0.25"/>
    <row r="205777" customFormat="1" x14ac:dyDescent="0.25"/>
    <row r="205778" customFormat="1" x14ac:dyDescent="0.25"/>
    <row r="205779" customFormat="1" x14ac:dyDescent="0.25"/>
    <row r="205780" customFormat="1" x14ac:dyDescent="0.25"/>
    <row r="205781" customFormat="1" x14ac:dyDescent="0.25"/>
    <row r="205782" customFormat="1" x14ac:dyDescent="0.25"/>
    <row r="205783" customFormat="1" x14ac:dyDescent="0.25"/>
    <row r="205784" customFormat="1" x14ac:dyDescent="0.25"/>
    <row r="205785" customFormat="1" x14ac:dyDescent="0.25"/>
    <row r="205786" customFormat="1" x14ac:dyDescent="0.25"/>
    <row r="205787" customFormat="1" x14ac:dyDescent="0.25"/>
    <row r="205788" customFormat="1" x14ac:dyDescent="0.25"/>
    <row r="205789" customFormat="1" x14ac:dyDescent="0.25"/>
    <row r="205790" customFormat="1" x14ac:dyDescent="0.25"/>
    <row r="205791" customFormat="1" x14ac:dyDescent="0.25"/>
    <row r="205792" customFormat="1" x14ac:dyDescent="0.25"/>
    <row r="205793" customFormat="1" x14ac:dyDescent="0.25"/>
    <row r="205794" customFormat="1" x14ac:dyDescent="0.25"/>
    <row r="205795" customFormat="1" x14ac:dyDescent="0.25"/>
    <row r="205796" customFormat="1" x14ac:dyDescent="0.25"/>
    <row r="205797" customFormat="1" x14ac:dyDescent="0.25"/>
    <row r="205798" customFormat="1" x14ac:dyDescent="0.25"/>
    <row r="205799" customFormat="1" x14ac:dyDescent="0.25"/>
    <row r="205800" customFormat="1" x14ac:dyDescent="0.25"/>
    <row r="205801" customFormat="1" x14ac:dyDescent="0.25"/>
    <row r="205802" customFormat="1" x14ac:dyDescent="0.25"/>
    <row r="205803" customFormat="1" x14ac:dyDescent="0.25"/>
    <row r="205804" customFormat="1" x14ac:dyDescent="0.25"/>
    <row r="205805" customFormat="1" x14ac:dyDescent="0.25"/>
    <row r="205806" customFormat="1" x14ac:dyDescent="0.25"/>
    <row r="205807" customFormat="1" x14ac:dyDescent="0.25"/>
    <row r="205808" customFormat="1" x14ac:dyDescent="0.25"/>
    <row r="205809" customFormat="1" x14ac:dyDescent="0.25"/>
    <row r="205810" customFormat="1" x14ac:dyDescent="0.25"/>
    <row r="205811" customFormat="1" x14ac:dyDescent="0.25"/>
    <row r="205812" customFormat="1" x14ac:dyDescent="0.25"/>
    <row r="205813" customFormat="1" x14ac:dyDescent="0.25"/>
    <row r="205814" customFormat="1" x14ac:dyDescent="0.25"/>
    <row r="205815" customFormat="1" x14ac:dyDescent="0.25"/>
    <row r="205816" customFormat="1" x14ac:dyDescent="0.25"/>
    <row r="205817" customFormat="1" x14ac:dyDescent="0.25"/>
    <row r="205818" customFormat="1" x14ac:dyDescent="0.25"/>
    <row r="205819" customFormat="1" x14ac:dyDescent="0.25"/>
    <row r="205820" customFormat="1" x14ac:dyDescent="0.25"/>
    <row r="205821" customFormat="1" x14ac:dyDescent="0.25"/>
    <row r="205822" customFormat="1" x14ac:dyDescent="0.25"/>
    <row r="205823" customFormat="1" x14ac:dyDescent="0.25"/>
    <row r="205824" customFormat="1" x14ac:dyDescent="0.25"/>
    <row r="205825" customFormat="1" x14ac:dyDescent="0.25"/>
    <row r="205826" customFormat="1" x14ac:dyDescent="0.25"/>
    <row r="205827" customFormat="1" x14ac:dyDescent="0.25"/>
    <row r="205828" customFormat="1" x14ac:dyDescent="0.25"/>
    <row r="205829" customFormat="1" x14ac:dyDescent="0.25"/>
    <row r="205830" customFormat="1" x14ac:dyDescent="0.25"/>
    <row r="205831" customFormat="1" x14ac:dyDescent="0.25"/>
    <row r="205832" customFormat="1" x14ac:dyDescent="0.25"/>
    <row r="205833" customFormat="1" x14ac:dyDescent="0.25"/>
    <row r="205834" customFormat="1" x14ac:dyDescent="0.25"/>
    <row r="205835" customFormat="1" x14ac:dyDescent="0.25"/>
    <row r="205836" customFormat="1" x14ac:dyDescent="0.25"/>
    <row r="205837" customFormat="1" x14ac:dyDescent="0.25"/>
    <row r="205838" customFormat="1" x14ac:dyDescent="0.25"/>
    <row r="205839" customFormat="1" x14ac:dyDescent="0.25"/>
    <row r="205840" customFormat="1" x14ac:dyDescent="0.25"/>
    <row r="205841" customFormat="1" x14ac:dyDescent="0.25"/>
    <row r="205842" customFormat="1" x14ac:dyDescent="0.25"/>
    <row r="205843" customFormat="1" x14ac:dyDescent="0.25"/>
    <row r="205844" customFormat="1" x14ac:dyDescent="0.25"/>
    <row r="205845" customFormat="1" x14ac:dyDescent="0.25"/>
    <row r="205846" customFormat="1" x14ac:dyDescent="0.25"/>
    <row r="205847" customFormat="1" x14ac:dyDescent="0.25"/>
    <row r="205848" customFormat="1" x14ac:dyDescent="0.25"/>
    <row r="205849" customFormat="1" x14ac:dyDescent="0.25"/>
    <row r="205850" customFormat="1" x14ac:dyDescent="0.25"/>
    <row r="205851" customFormat="1" x14ac:dyDescent="0.25"/>
    <row r="205852" customFormat="1" x14ac:dyDescent="0.25"/>
    <row r="205853" customFormat="1" x14ac:dyDescent="0.25"/>
    <row r="205854" customFormat="1" x14ac:dyDescent="0.25"/>
    <row r="205855" customFormat="1" x14ac:dyDescent="0.25"/>
    <row r="205856" customFormat="1" x14ac:dyDescent="0.25"/>
    <row r="205857" customFormat="1" x14ac:dyDescent="0.25"/>
    <row r="205858" customFormat="1" x14ac:dyDescent="0.25"/>
    <row r="205859" customFormat="1" x14ac:dyDescent="0.25"/>
    <row r="205860" customFormat="1" x14ac:dyDescent="0.25"/>
    <row r="205861" customFormat="1" x14ac:dyDescent="0.25"/>
    <row r="205862" customFormat="1" x14ac:dyDescent="0.25"/>
    <row r="205863" customFormat="1" x14ac:dyDescent="0.25"/>
    <row r="205864" customFormat="1" x14ac:dyDescent="0.25"/>
    <row r="205865" customFormat="1" x14ac:dyDescent="0.25"/>
    <row r="205866" customFormat="1" x14ac:dyDescent="0.25"/>
    <row r="205867" customFormat="1" x14ac:dyDescent="0.25"/>
    <row r="205868" customFormat="1" x14ac:dyDescent="0.25"/>
    <row r="205869" customFormat="1" x14ac:dyDescent="0.25"/>
    <row r="205870" customFormat="1" x14ac:dyDescent="0.25"/>
    <row r="205871" customFormat="1" x14ac:dyDescent="0.25"/>
    <row r="205872" customFormat="1" x14ac:dyDescent="0.25"/>
    <row r="205873" customFormat="1" x14ac:dyDescent="0.25"/>
    <row r="205874" customFormat="1" x14ac:dyDescent="0.25"/>
    <row r="205875" customFormat="1" x14ac:dyDescent="0.25"/>
    <row r="205876" customFormat="1" x14ac:dyDescent="0.25"/>
    <row r="205877" customFormat="1" x14ac:dyDescent="0.25"/>
    <row r="205878" customFormat="1" x14ac:dyDescent="0.25"/>
    <row r="205879" customFormat="1" x14ac:dyDescent="0.25"/>
    <row r="205880" customFormat="1" x14ac:dyDescent="0.25"/>
    <row r="205881" customFormat="1" x14ac:dyDescent="0.25"/>
    <row r="205882" customFormat="1" x14ac:dyDescent="0.25"/>
    <row r="205883" customFormat="1" x14ac:dyDescent="0.25"/>
    <row r="205884" customFormat="1" x14ac:dyDescent="0.25"/>
    <row r="205885" customFormat="1" x14ac:dyDescent="0.25"/>
    <row r="205886" customFormat="1" x14ac:dyDescent="0.25"/>
    <row r="205887" customFormat="1" x14ac:dyDescent="0.25"/>
    <row r="205888" customFormat="1" x14ac:dyDescent="0.25"/>
    <row r="205889" customFormat="1" x14ac:dyDescent="0.25"/>
    <row r="205890" customFormat="1" x14ac:dyDescent="0.25"/>
    <row r="205891" customFormat="1" x14ac:dyDescent="0.25"/>
    <row r="205892" customFormat="1" x14ac:dyDescent="0.25"/>
    <row r="205893" customFormat="1" x14ac:dyDescent="0.25"/>
    <row r="205894" customFormat="1" x14ac:dyDescent="0.25"/>
    <row r="205895" customFormat="1" x14ac:dyDescent="0.25"/>
    <row r="205896" customFormat="1" x14ac:dyDescent="0.25"/>
    <row r="205897" customFormat="1" x14ac:dyDescent="0.25"/>
    <row r="205898" customFormat="1" x14ac:dyDescent="0.25"/>
    <row r="205899" customFormat="1" x14ac:dyDescent="0.25"/>
    <row r="205900" customFormat="1" x14ac:dyDescent="0.25"/>
    <row r="205901" customFormat="1" x14ac:dyDescent="0.25"/>
    <row r="205902" customFormat="1" x14ac:dyDescent="0.25"/>
    <row r="205903" customFormat="1" x14ac:dyDescent="0.25"/>
    <row r="205904" customFormat="1" x14ac:dyDescent="0.25"/>
    <row r="205905" customFormat="1" x14ac:dyDescent="0.25"/>
    <row r="205906" customFormat="1" x14ac:dyDescent="0.25"/>
    <row r="205907" customFormat="1" x14ac:dyDescent="0.25"/>
    <row r="205908" customFormat="1" x14ac:dyDescent="0.25"/>
    <row r="205909" customFormat="1" x14ac:dyDescent="0.25"/>
    <row r="205910" customFormat="1" x14ac:dyDescent="0.25"/>
    <row r="205911" customFormat="1" x14ac:dyDescent="0.25"/>
    <row r="205912" customFormat="1" x14ac:dyDescent="0.25"/>
    <row r="205913" customFormat="1" x14ac:dyDescent="0.25"/>
    <row r="205914" customFormat="1" x14ac:dyDescent="0.25"/>
    <row r="205915" customFormat="1" x14ac:dyDescent="0.25"/>
    <row r="205916" customFormat="1" x14ac:dyDescent="0.25"/>
    <row r="205917" customFormat="1" x14ac:dyDescent="0.25"/>
    <row r="205918" customFormat="1" x14ac:dyDescent="0.25"/>
    <row r="205919" customFormat="1" x14ac:dyDescent="0.25"/>
    <row r="205920" customFormat="1" x14ac:dyDescent="0.25"/>
    <row r="205921" customFormat="1" x14ac:dyDescent="0.25"/>
    <row r="205922" customFormat="1" x14ac:dyDescent="0.25"/>
    <row r="205923" customFormat="1" x14ac:dyDescent="0.25"/>
    <row r="205924" customFormat="1" x14ac:dyDescent="0.25"/>
    <row r="205925" customFormat="1" x14ac:dyDescent="0.25"/>
    <row r="205926" customFormat="1" x14ac:dyDescent="0.25"/>
    <row r="205927" customFormat="1" x14ac:dyDescent="0.25"/>
    <row r="205928" customFormat="1" x14ac:dyDescent="0.25"/>
    <row r="205929" customFormat="1" x14ac:dyDescent="0.25"/>
    <row r="205930" customFormat="1" x14ac:dyDescent="0.25"/>
    <row r="205931" customFormat="1" x14ac:dyDescent="0.25"/>
    <row r="205932" customFormat="1" x14ac:dyDescent="0.25"/>
    <row r="205933" customFormat="1" x14ac:dyDescent="0.25"/>
    <row r="205934" customFormat="1" x14ac:dyDescent="0.25"/>
    <row r="205935" customFormat="1" x14ac:dyDescent="0.25"/>
    <row r="205936" customFormat="1" x14ac:dyDescent="0.25"/>
    <row r="205937" customFormat="1" x14ac:dyDescent="0.25"/>
    <row r="205938" customFormat="1" x14ac:dyDescent="0.25"/>
    <row r="205939" customFormat="1" x14ac:dyDescent="0.25"/>
    <row r="205940" customFormat="1" x14ac:dyDescent="0.25"/>
    <row r="205941" customFormat="1" x14ac:dyDescent="0.25"/>
    <row r="205942" customFormat="1" x14ac:dyDescent="0.25"/>
    <row r="205943" customFormat="1" x14ac:dyDescent="0.25"/>
    <row r="205944" customFormat="1" x14ac:dyDescent="0.25"/>
    <row r="205945" customFormat="1" x14ac:dyDescent="0.25"/>
    <row r="205946" customFormat="1" x14ac:dyDescent="0.25"/>
    <row r="205947" customFormat="1" x14ac:dyDescent="0.25"/>
    <row r="205948" customFormat="1" x14ac:dyDescent="0.25"/>
    <row r="205949" customFormat="1" x14ac:dyDescent="0.25"/>
    <row r="205950" customFormat="1" x14ac:dyDescent="0.25"/>
    <row r="205951" customFormat="1" x14ac:dyDescent="0.25"/>
    <row r="205952" customFormat="1" x14ac:dyDescent="0.25"/>
    <row r="205953" customFormat="1" x14ac:dyDescent="0.25"/>
    <row r="205954" customFormat="1" x14ac:dyDescent="0.25"/>
    <row r="205955" customFormat="1" x14ac:dyDescent="0.25"/>
    <row r="205956" customFormat="1" x14ac:dyDescent="0.25"/>
    <row r="205957" customFormat="1" x14ac:dyDescent="0.25"/>
    <row r="205958" customFormat="1" x14ac:dyDescent="0.25"/>
    <row r="205959" customFormat="1" x14ac:dyDescent="0.25"/>
    <row r="205960" customFormat="1" x14ac:dyDescent="0.25"/>
    <row r="205961" customFormat="1" x14ac:dyDescent="0.25"/>
    <row r="205962" customFormat="1" x14ac:dyDescent="0.25"/>
    <row r="205963" customFormat="1" x14ac:dyDescent="0.25"/>
    <row r="205964" customFormat="1" x14ac:dyDescent="0.25"/>
    <row r="205965" customFormat="1" x14ac:dyDescent="0.25"/>
    <row r="205966" customFormat="1" x14ac:dyDescent="0.25"/>
    <row r="205967" customFormat="1" x14ac:dyDescent="0.25"/>
    <row r="205968" customFormat="1" x14ac:dyDescent="0.25"/>
    <row r="205969" customFormat="1" x14ac:dyDescent="0.25"/>
    <row r="205970" customFormat="1" x14ac:dyDescent="0.25"/>
    <row r="205971" customFormat="1" x14ac:dyDescent="0.25"/>
    <row r="205972" customFormat="1" x14ac:dyDescent="0.25"/>
    <row r="205973" customFormat="1" x14ac:dyDescent="0.25"/>
    <row r="205974" customFormat="1" x14ac:dyDescent="0.25"/>
    <row r="205975" customFormat="1" x14ac:dyDescent="0.25"/>
    <row r="205976" customFormat="1" x14ac:dyDescent="0.25"/>
    <row r="205977" customFormat="1" x14ac:dyDescent="0.25"/>
    <row r="205978" customFormat="1" x14ac:dyDescent="0.25"/>
    <row r="205979" customFormat="1" x14ac:dyDescent="0.25"/>
    <row r="205980" customFormat="1" x14ac:dyDescent="0.25"/>
    <row r="205981" customFormat="1" x14ac:dyDescent="0.25"/>
    <row r="205982" customFormat="1" x14ac:dyDescent="0.25"/>
    <row r="205983" customFormat="1" x14ac:dyDescent="0.25"/>
    <row r="205984" customFormat="1" x14ac:dyDescent="0.25"/>
    <row r="205985" customFormat="1" x14ac:dyDescent="0.25"/>
    <row r="205986" customFormat="1" x14ac:dyDescent="0.25"/>
    <row r="205987" customFormat="1" x14ac:dyDescent="0.25"/>
    <row r="205988" customFormat="1" x14ac:dyDescent="0.25"/>
    <row r="205989" customFormat="1" x14ac:dyDescent="0.25"/>
    <row r="205990" customFormat="1" x14ac:dyDescent="0.25"/>
    <row r="205991" customFormat="1" x14ac:dyDescent="0.25"/>
    <row r="205992" customFormat="1" x14ac:dyDescent="0.25"/>
    <row r="205993" customFormat="1" x14ac:dyDescent="0.25"/>
    <row r="205994" customFormat="1" x14ac:dyDescent="0.25"/>
    <row r="205995" customFormat="1" x14ac:dyDescent="0.25"/>
    <row r="205996" customFormat="1" x14ac:dyDescent="0.25"/>
    <row r="205997" customFormat="1" x14ac:dyDescent="0.25"/>
    <row r="205998" customFormat="1" x14ac:dyDescent="0.25"/>
    <row r="205999" customFormat="1" x14ac:dyDescent="0.25"/>
    <row r="206000" customFormat="1" x14ac:dyDescent="0.25"/>
    <row r="206001" customFormat="1" x14ac:dyDescent="0.25"/>
    <row r="206002" customFormat="1" x14ac:dyDescent="0.25"/>
    <row r="206003" customFormat="1" x14ac:dyDescent="0.25"/>
    <row r="206004" customFormat="1" x14ac:dyDescent="0.25"/>
    <row r="206005" customFormat="1" x14ac:dyDescent="0.25"/>
    <row r="206006" customFormat="1" x14ac:dyDescent="0.25"/>
    <row r="206007" customFormat="1" x14ac:dyDescent="0.25"/>
    <row r="206008" customFormat="1" x14ac:dyDescent="0.25"/>
    <row r="206009" customFormat="1" x14ac:dyDescent="0.25"/>
    <row r="206010" customFormat="1" x14ac:dyDescent="0.25"/>
    <row r="206011" customFormat="1" x14ac:dyDescent="0.25"/>
    <row r="206012" customFormat="1" x14ac:dyDescent="0.25"/>
    <row r="206013" customFormat="1" x14ac:dyDescent="0.25"/>
    <row r="206014" customFormat="1" x14ac:dyDescent="0.25"/>
    <row r="206015" customFormat="1" x14ac:dyDescent="0.25"/>
    <row r="206016" customFormat="1" x14ac:dyDescent="0.25"/>
    <row r="206017" customFormat="1" x14ac:dyDescent="0.25"/>
    <row r="206018" customFormat="1" x14ac:dyDescent="0.25"/>
    <row r="206019" customFormat="1" x14ac:dyDescent="0.25"/>
    <row r="206020" customFormat="1" x14ac:dyDescent="0.25"/>
    <row r="206021" customFormat="1" x14ac:dyDescent="0.25"/>
    <row r="206022" customFormat="1" x14ac:dyDescent="0.25"/>
    <row r="206023" customFormat="1" x14ac:dyDescent="0.25"/>
    <row r="206024" customFormat="1" x14ac:dyDescent="0.25"/>
    <row r="206025" customFormat="1" x14ac:dyDescent="0.25"/>
    <row r="206026" customFormat="1" x14ac:dyDescent="0.25"/>
    <row r="206027" customFormat="1" x14ac:dyDescent="0.25"/>
    <row r="206028" customFormat="1" x14ac:dyDescent="0.25"/>
    <row r="206029" customFormat="1" x14ac:dyDescent="0.25"/>
    <row r="206030" customFormat="1" x14ac:dyDescent="0.25"/>
    <row r="206031" customFormat="1" x14ac:dyDescent="0.25"/>
    <row r="206032" customFormat="1" x14ac:dyDescent="0.25"/>
    <row r="206033" customFormat="1" x14ac:dyDescent="0.25"/>
    <row r="206034" customFormat="1" x14ac:dyDescent="0.25"/>
    <row r="206035" customFormat="1" x14ac:dyDescent="0.25"/>
    <row r="206036" customFormat="1" x14ac:dyDescent="0.25"/>
    <row r="206037" customFormat="1" x14ac:dyDescent="0.25"/>
    <row r="206038" customFormat="1" x14ac:dyDescent="0.25"/>
    <row r="206039" customFormat="1" x14ac:dyDescent="0.25"/>
    <row r="206040" customFormat="1" x14ac:dyDescent="0.25"/>
    <row r="206041" customFormat="1" x14ac:dyDescent="0.25"/>
    <row r="206042" customFormat="1" x14ac:dyDescent="0.25"/>
    <row r="206043" customFormat="1" x14ac:dyDescent="0.25"/>
    <row r="206044" customFormat="1" x14ac:dyDescent="0.25"/>
    <row r="206045" customFormat="1" x14ac:dyDescent="0.25"/>
    <row r="206046" customFormat="1" x14ac:dyDescent="0.25"/>
    <row r="206047" customFormat="1" x14ac:dyDescent="0.25"/>
    <row r="206048" customFormat="1" x14ac:dyDescent="0.25"/>
    <row r="206049" customFormat="1" x14ac:dyDescent="0.25"/>
    <row r="206050" customFormat="1" x14ac:dyDescent="0.25"/>
    <row r="206051" customFormat="1" x14ac:dyDescent="0.25"/>
    <row r="206052" customFormat="1" x14ac:dyDescent="0.25"/>
    <row r="206053" customFormat="1" x14ac:dyDescent="0.25"/>
    <row r="206054" customFormat="1" x14ac:dyDescent="0.25"/>
    <row r="206055" customFormat="1" x14ac:dyDescent="0.25"/>
    <row r="206056" customFormat="1" x14ac:dyDescent="0.25"/>
    <row r="206057" customFormat="1" x14ac:dyDescent="0.25"/>
    <row r="206058" customFormat="1" x14ac:dyDescent="0.25"/>
    <row r="206059" customFormat="1" x14ac:dyDescent="0.25"/>
    <row r="206060" customFormat="1" x14ac:dyDescent="0.25"/>
    <row r="206061" customFormat="1" x14ac:dyDescent="0.25"/>
    <row r="206062" customFormat="1" x14ac:dyDescent="0.25"/>
    <row r="206063" customFormat="1" x14ac:dyDescent="0.25"/>
    <row r="206064" customFormat="1" x14ac:dyDescent="0.25"/>
    <row r="206065" customFormat="1" x14ac:dyDescent="0.25"/>
    <row r="206066" customFormat="1" x14ac:dyDescent="0.25"/>
    <row r="206067" customFormat="1" x14ac:dyDescent="0.25"/>
    <row r="206068" customFormat="1" x14ac:dyDescent="0.25"/>
    <row r="206069" customFormat="1" x14ac:dyDescent="0.25"/>
    <row r="206070" customFormat="1" x14ac:dyDescent="0.25"/>
    <row r="206071" customFormat="1" x14ac:dyDescent="0.25"/>
    <row r="206072" customFormat="1" x14ac:dyDescent="0.25"/>
    <row r="206073" customFormat="1" x14ac:dyDescent="0.25"/>
    <row r="206074" customFormat="1" x14ac:dyDescent="0.25"/>
    <row r="206075" customFormat="1" x14ac:dyDescent="0.25"/>
    <row r="206076" customFormat="1" x14ac:dyDescent="0.25"/>
    <row r="206077" customFormat="1" x14ac:dyDescent="0.25"/>
    <row r="206078" customFormat="1" x14ac:dyDescent="0.25"/>
    <row r="206079" customFormat="1" x14ac:dyDescent="0.25"/>
    <row r="206080" customFormat="1" x14ac:dyDescent="0.25"/>
    <row r="206081" customFormat="1" x14ac:dyDescent="0.25"/>
    <row r="206082" customFormat="1" x14ac:dyDescent="0.25"/>
    <row r="206083" customFormat="1" x14ac:dyDescent="0.25"/>
    <row r="206084" customFormat="1" x14ac:dyDescent="0.25"/>
    <row r="206085" customFormat="1" x14ac:dyDescent="0.25"/>
    <row r="206086" customFormat="1" x14ac:dyDescent="0.25"/>
    <row r="206087" customFormat="1" x14ac:dyDescent="0.25"/>
    <row r="206088" customFormat="1" x14ac:dyDescent="0.25"/>
    <row r="206089" customFormat="1" x14ac:dyDescent="0.25"/>
    <row r="206090" customFormat="1" x14ac:dyDescent="0.25"/>
    <row r="206091" customFormat="1" x14ac:dyDescent="0.25"/>
    <row r="206092" customFormat="1" x14ac:dyDescent="0.25"/>
    <row r="206093" customFormat="1" x14ac:dyDescent="0.25"/>
    <row r="206094" customFormat="1" x14ac:dyDescent="0.25"/>
    <row r="206095" customFormat="1" x14ac:dyDescent="0.25"/>
    <row r="206096" customFormat="1" x14ac:dyDescent="0.25"/>
    <row r="206097" customFormat="1" x14ac:dyDescent="0.25"/>
    <row r="206098" customFormat="1" x14ac:dyDescent="0.25"/>
    <row r="206099" customFormat="1" x14ac:dyDescent="0.25"/>
    <row r="206100" customFormat="1" x14ac:dyDescent="0.25"/>
    <row r="206101" customFormat="1" x14ac:dyDescent="0.25"/>
    <row r="206102" customFormat="1" x14ac:dyDescent="0.25"/>
    <row r="206103" customFormat="1" x14ac:dyDescent="0.25"/>
    <row r="206104" customFormat="1" x14ac:dyDescent="0.25"/>
    <row r="206105" customFormat="1" x14ac:dyDescent="0.25"/>
    <row r="206106" customFormat="1" x14ac:dyDescent="0.25"/>
    <row r="206107" customFormat="1" x14ac:dyDescent="0.25"/>
    <row r="206108" customFormat="1" x14ac:dyDescent="0.25"/>
    <row r="206109" customFormat="1" x14ac:dyDescent="0.25"/>
    <row r="206110" customFormat="1" x14ac:dyDescent="0.25"/>
    <row r="206111" customFormat="1" x14ac:dyDescent="0.25"/>
    <row r="206112" customFormat="1" x14ac:dyDescent="0.25"/>
    <row r="206113" customFormat="1" x14ac:dyDescent="0.25"/>
    <row r="206114" customFormat="1" x14ac:dyDescent="0.25"/>
    <row r="206115" customFormat="1" x14ac:dyDescent="0.25"/>
    <row r="206116" customFormat="1" x14ac:dyDescent="0.25"/>
    <row r="206117" customFormat="1" x14ac:dyDescent="0.25"/>
    <row r="206118" customFormat="1" x14ac:dyDescent="0.25"/>
    <row r="206119" customFormat="1" x14ac:dyDescent="0.25"/>
    <row r="206120" customFormat="1" x14ac:dyDescent="0.25"/>
    <row r="206121" customFormat="1" x14ac:dyDescent="0.25"/>
    <row r="206122" customFormat="1" x14ac:dyDescent="0.25"/>
    <row r="206123" customFormat="1" x14ac:dyDescent="0.25"/>
    <row r="206124" customFormat="1" x14ac:dyDescent="0.25"/>
    <row r="206125" customFormat="1" x14ac:dyDescent="0.25"/>
    <row r="206126" customFormat="1" x14ac:dyDescent="0.25"/>
    <row r="206127" customFormat="1" x14ac:dyDescent="0.25"/>
    <row r="206128" customFormat="1" x14ac:dyDescent="0.25"/>
    <row r="206129" customFormat="1" x14ac:dyDescent="0.25"/>
    <row r="206130" customFormat="1" x14ac:dyDescent="0.25"/>
    <row r="206131" customFormat="1" x14ac:dyDescent="0.25"/>
    <row r="206132" customFormat="1" x14ac:dyDescent="0.25"/>
    <row r="206133" customFormat="1" x14ac:dyDescent="0.25"/>
    <row r="206134" customFormat="1" x14ac:dyDescent="0.25"/>
    <row r="206135" customFormat="1" x14ac:dyDescent="0.25"/>
    <row r="206136" customFormat="1" x14ac:dyDescent="0.25"/>
    <row r="206137" customFormat="1" x14ac:dyDescent="0.25"/>
    <row r="206138" customFormat="1" x14ac:dyDescent="0.25"/>
    <row r="206139" customFormat="1" x14ac:dyDescent="0.25"/>
    <row r="206140" customFormat="1" x14ac:dyDescent="0.25"/>
    <row r="206141" customFormat="1" x14ac:dyDescent="0.25"/>
    <row r="206142" customFormat="1" x14ac:dyDescent="0.25"/>
    <row r="206143" customFormat="1" x14ac:dyDescent="0.25"/>
    <row r="206144" customFormat="1" x14ac:dyDescent="0.25"/>
    <row r="206145" customFormat="1" x14ac:dyDescent="0.25"/>
    <row r="206146" customFormat="1" x14ac:dyDescent="0.25"/>
    <row r="206147" customFormat="1" x14ac:dyDescent="0.25"/>
    <row r="206148" customFormat="1" x14ac:dyDescent="0.25"/>
    <row r="206149" customFormat="1" x14ac:dyDescent="0.25"/>
    <row r="206150" customFormat="1" x14ac:dyDescent="0.25"/>
    <row r="206151" customFormat="1" x14ac:dyDescent="0.25"/>
    <row r="206152" customFormat="1" x14ac:dyDescent="0.25"/>
    <row r="206153" customFormat="1" x14ac:dyDescent="0.25"/>
    <row r="206154" customFormat="1" x14ac:dyDescent="0.25"/>
    <row r="206155" customFormat="1" x14ac:dyDescent="0.25"/>
    <row r="206156" customFormat="1" x14ac:dyDescent="0.25"/>
    <row r="206157" customFormat="1" x14ac:dyDescent="0.25"/>
    <row r="206158" customFormat="1" x14ac:dyDescent="0.25"/>
    <row r="206159" customFormat="1" x14ac:dyDescent="0.25"/>
    <row r="206160" customFormat="1" x14ac:dyDescent="0.25"/>
    <row r="206161" customFormat="1" x14ac:dyDescent="0.25"/>
    <row r="206162" customFormat="1" x14ac:dyDescent="0.25"/>
    <row r="206163" customFormat="1" x14ac:dyDescent="0.25"/>
    <row r="206164" customFormat="1" x14ac:dyDescent="0.25"/>
    <row r="206165" customFormat="1" x14ac:dyDescent="0.25"/>
    <row r="206166" customFormat="1" x14ac:dyDescent="0.25"/>
    <row r="206167" customFormat="1" x14ac:dyDescent="0.25"/>
    <row r="206168" customFormat="1" x14ac:dyDescent="0.25"/>
    <row r="206169" customFormat="1" x14ac:dyDescent="0.25"/>
    <row r="206170" customFormat="1" x14ac:dyDescent="0.25"/>
    <row r="206171" customFormat="1" x14ac:dyDescent="0.25"/>
    <row r="206172" customFormat="1" x14ac:dyDescent="0.25"/>
    <row r="206173" customFormat="1" x14ac:dyDescent="0.25"/>
    <row r="206174" customFormat="1" x14ac:dyDescent="0.25"/>
    <row r="206175" customFormat="1" x14ac:dyDescent="0.25"/>
    <row r="206176" customFormat="1" x14ac:dyDescent="0.25"/>
    <row r="206177" customFormat="1" x14ac:dyDescent="0.25"/>
    <row r="206178" customFormat="1" x14ac:dyDescent="0.25"/>
    <row r="206179" customFormat="1" x14ac:dyDescent="0.25"/>
    <row r="206180" customFormat="1" x14ac:dyDescent="0.25"/>
    <row r="206181" customFormat="1" x14ac:dyDescent="0.25"/>
    <row r="206182" customFormat="1" x14ac:dyDescent="0.25"/>
    <row r="206183" customFormat="1" x14ac:dyDescent="0.25"/>
    <row r="206184" customFormat="1" x14ac:dyDescent="0.25"/>
    <row r="206185" customFormat="1" x14ac:dyDescent="0.25"/>
    <row r="206186" customFormat="1" x14ac:dyDescent="0.25"/>
    <row r="206187" customFormat="1" x14ac:dyDescent="0.25"/>
    <row r="206188" customFormat="1" x14ac:dyDescent="0.25"/>
    <row r="206189" customFormat="1" x14ac:dyDescent="0.25"/>
    <row r="206190" customFormat="1" x14ac:dyDescent="0.25"/>
    <row r="206191" customFormat="1" x14ac:dyDescent="0.25"/>
    <row r="206192" customFormat="1" x14ac:dyDescent="0.25"/>
    <row r="206193" customFormat="1" x14ac:dyDescent="0.25"/>
    <row r="206194" customFormat="1" x14ac:dyDescent="0.25"/>
    <row r="206195" customFormat="1" x14ac:dyDescent="0.25"/>
    <row r="206196" customFormat="1" x14ac:dyDescent="0.25"/>
    <row r="206197" customFormat="1" x14ac:dyDescent="0.25"/>
    <row r="206198" customFormat="1" x14ac:dyDescent="0.25"/>
    <row r="206199" customFormat="1" x14ac:dyDescent="0.25"/>
    <row r="206200" customFormat="1" x14ac:dyDescent="0.25"/>
    <row r="206201" customFormat="1" x14ac:dyDescent="0.25"/>
    <row r="206202" customFormat="1" x14ac:dyDescent="0.25"/>
    <row r="206203" customFormat="1" x14ac:dyDescent="0.25"/>
    <row r="206204" customFormat="1" x14ac:dyDescent="0.25"/>
    <row r="206205" customFormat="1" x14ac:dyDescent="0.25"/>
    <row r="206206" customFormat="1" x14ac:dyDescent="0.25"/>
    <row r="206207" customFormat="1" x14ac:dyDescent="0.25"/>
    <row r="206208" customFormat="1" x14ac:dyDescent="0.25"/>
    <row r="206209" customFormat="1" x14ac:dyDescent="0.25"/>
    <row r="206210" customFormat="1" x14ac:dyDescent="0.25"/>
    <row r="206211" customFormat="1" x14ac:dyDescent="0.25"/>
    <row r="206212" customFormat="1" x14ac:dyDescent="0.25"/>
    <row r="206213" customFormat="1" x14ac:dyDescent="0.25"/>
    <row r="206214" customFormat="1" x14ac:dyDescent="0.25"/>
    <row r="206215" customFormat="1" x14ac:dyDescent="0.25"/>
    <row r="206216" customFormat="1" x14ac:dyDescent="0.25"/>
    <row r="206217" customFormat="1" x14ac:dyDescent="0.25"/>
    <row r="206218" customFormat="1" x14ac:dyDescent="0.25"/>
    <row r="206219" customFormat="1" x14ac:dyDescent="0.25"/>
    <row r="206220" customFormat="1" x14ac:dyDescent="0.25"/>
    <row r="206221" customFormat="1" x14ac:dyDescent="0.25"/>
    <row r="206222" customFormat="1" x14ac:dyDescent="0.25"/>
    <row r="206223" customFormat="1" x14ac:dyDescent="0.25"/>
    <row r="206224" customFormat="1" x14ac:dyDescent="0.25"/>
    <row r="206225" customFormat="1" x14ac:dyDescent="0.25"/>
    <row r="206226" customFormat="1" x14ac:dyDescent="0.25"/>
    <row r="206227" customFormat="1" x14ac:dyDescent="0.25"/>
    <row r="206228" customFormat="1" x14ac:dyDescent="0.25"/>
    <row r="206229" customFormat="1" x14ac:dyDescent="0.25"/>
    <row r="206230" customFormat="1" x14ac:dyDescent="0.25"/>
    <row r="206231" customFormat="1" x14ac:dyDescent="0.25"/>
    <row r="206232" customFormat="1" x14ac:dyDescent="0.25"/>
    <row r="206233" customFormat="1" x14ac:dyDescent="0.25"/>
    <row r="206234" customFormat="1" x14ac:dyDescent="0.25"/>
    <row r="206235" customFormat="1" x14ac:dyDescent="0.25"/>
    <row r="206236" customFormat="1" x14ac:dyDescent="0.25"/>
    <row r="206237" customFormat="1" x14ac:dyDescent="0.25"/>
    <row r="206238" customFormat="1" x14ac:dyDescent="0.25"/>
    <row r="206239" customFormat="1" x14ac:dyDescent="0.25"/>
    <row r="206240" customFormat="1" x14ac:dyDescent="0.25"/>
    <row r="206241" customFormat="1" x14ac:dyDescent="0.25"/>
    <row r="206242" customFormat="1" x14ac:dyDescent="0.25"/>
    <row r="206243" customFormat="1" x14ac:dyDescent="0.25"/>
    <row r="206244" customFormat="1" x14ac:dyDescent="0.25"/>
    <row r="206245" customFormat="1" x14ac:dyDescent="0.25"/>
    <row r="206246" customFormat="1" x14ac:dyDescent="0.25"/>
    <row r="206247" customFormat="1" x14ac:dyDescent="0.25"/>
    <row r="206248" customFormat="1" x14ac:dyDescent="0.25"/>
    <row r="206249" customFormat="1" x14ac:dyDescent="0.25"/>
    <row r="206250" customFormat="1" x14ac:dyDescent="0.25"/>
    <row r="206251" customFormat="1" x14ac:dyDescent="0.25"/>
    <row r="206252" customFormat="1" x14ac:dyDescent="0.25"/>
    <row r="206253" customFormat="1" x14ac:dyDescent="0.25"/>
    <row r="206254" customFormat="1" x14ac:dyDescent="0.25"/>
    <row r="206255" customFormat="1" x14ac:dyDescent="0.25"/>
    <row r="206256" customFormat="1" x14ac:dyDescent="0.25"/>
    <row r="206257" customFormat="1" x14ac:dyDescent="0.25"/>
    <row r="206258" customFormat="1" x14ac:dyDescent="0.25"/>
    <row r="206259" customFormat="1" x14ac:dyDescent="0.25"/>
    <row r="206260" customFormat="1" x14ac:dyDescent="0.25"/>
    <row r="206261" customFormat="1" x14ac:dyDescent="0.25"/>
    <row r="206262" customFormat="1" x14ac:dyDescent="0.25"/>
    <row r="206263" customFormat="1" x14ac:dyDescent="0.25"/>
    <row r="206264" customFormat="1" x14ac:dyDescent="0.25"/>
    <row r="206265" customFormat="1" x14ac:dyDescent="0.25"/>
    <row r="206266" customFormat="1" x14ac:dyDescent="0.25"/>
    <row r="206267" customFormat="1" x14ac:dyDescent="0.25"/>
    <row r="206268" customFormat="1" x14ac:dyDescent="0.25"/>
    <row r="206269" customFormat="1" x14ac:dyDescent="0.25"/>
    <row r="206270" customFormat="1" x14ac:dyDescent="0.25"/>
    <row r="206271" customFormat="1" x14ac:dyDescent="0.25"/>
    <row r="206272" customFormat="1" x14ac:dyDescent="0.25"/>
    <row r="206273" customFormat="1" x14ac:dyDescent="0.25"/>
    <row r="206274" customFormat="1" x14ac:dyDescent="0.25"/>
    <row r="206275" customFormat="1" x14ac:dyDescent="0.25"/>
    <row r="206276" customFormat="1" x14ac:dyDescent="0.25"/>
    <row r="206277" customFormat="1" x14ac:dyDescent="0.25"/>
    <row r="206278" customFormat="1" x14ac:dyDescent="0.25"/>
    <row r="206279" customFormat="1" x14ac:dyDescent="0.25"/>
    <row r="206280" customFormat="1" x14ac:dyDescent="0.25"/>
    <row r="206281" customFormat="1" x14ac:dyDescent="0.25"/>
    <row r="206282" customFormat="1" x14ac:dyDescent="0.25"/>
    <row r="206283" customFormat="1" x14ac:dyDescent="0.25"/>
    <row r="206284" customFormat="1" x14ac:dyDescent="0.25"/>
    <row r="206285" customFormat="1" x14ac:dyDescent="0.25"/>
    <row r="206286" customFormat="1" x14ac:dyDescent="0.25"/>
    <row r="206287" customFormat="1" x14ac:dyDescent="0.25"/>
    <row r="206288" customFormat="1" x14ac:dyDescent="0.25"/>
    <row r="206289" customFormat="1" x14ac:dyDescent="0.25"/>
    <row r="206290" customFormat="1" x14ac:dyDescent="0.25"/>
    <row r="206291" customFormat="1" x14ac:dyDescent="0.25"/>
    <row r="206292" customFormat="1" x14ac:dyDescent="0.25"/>
    <row r="206293" customFormat="1" x14ac:dyDescent="0.25"/>
    <row r="206294" customFormat="1" x14ac:dyDescent="0.25"/>
    <row r="206295" customFormat="1" x14ac:dyDescent="0.25"/>
    <row r="206296" customFormat="1" x14ac:dyDescent="0.25"/>
    <row r="206297" customFormat="1" x14ac:dyDescent="0.25"/>
    <row r="206298" customFormat="1" x14ac:dyDescent="0.25"/>
    <row r="206299" customFormat="1" x14ac:dyDescent="0.25"/>
    <row r="206300" customFormat="1" x14ac:dyDescent="0.25"/>
    <row r="206301" customFormat="1" x14ac:dyDescent="0.25"/>
    <row r="206302" customFormat="1" x14ac:dyDescent="0.25"/>
    <row r="206303" customFormat="1" x14ac:dyDescent="0.25"/>
    <row r="206304" customFormat="1" x14ac:dyDescent="0.25"/>
    <row r="206305" customFormat="1" x14ac:dyDescent="0.25"/>
    <row r="206306" customFormat="1" x14ac:dyDescent="0.25"/>
    <row r="206307" customFormat="1" x14ac:dyDescent="0.25"/>
    <row r="206308" customFormat="1" x14ac:dyDescent="0.25"/>
    <row r="206309" customFormat="1" x14ac:dyDescent="0.25"/>
    <row r="206310" customFormat="1" x14ac:dyDescent="0.25"/>
    <row r="206311" customFormat="1" x14ac:dyDescent="0.25"/>
    <row r="206312" customFormat="1" x14ac:dyDescent="0.25"/>
    <row r="206313" customFormat="1" x14ac:dyDescent="0.25"/>
    <row r="206314" customFormat="1" x14ac:dyDescent="0.25"/>
    <row r="206315" customFormat="1" x14ac:dyDescent="0.25"/>
    <row r="206316" customFormat="1" x14ac:dyDescent="0.25"/>
    <row r="206317" customFormat="1" x14ac:dyDescent="0.25"/>
    <row r="206318" customFormat="1" x14ac:dyDescent="0.25"/>
    <row r="206319" customFormat="1" x14ac:dyDescent="0.25"/>
    <row r="206320" customFormat="1" x14ac:dyDescent="0.25"/>
    <row r="206321" customFormat="1" x14ac:dyDescent="0.25"/>
    <row r="206322" customFormat="1" x14ac:dyDescent="0.25"/>
    <row r="206323" customFormat="1" x14ac:dyDescent="0.25"/>
    <row r="206324" customFormat="1" x14ac:dyDescent="0.25"/>
    <row r="206325" customFormat="1" x14ac:dyDescent="0.25"/>
    <row r="206326" customFormat="1" x14ac:dyDescent="0.25"/>
    <row r="206327" customFormat="1" x14ac:dyDescent="0.25"/>
    <row r="206328" customFormat="1" x14ac:dyDescent="0.25"/>
    <row r="206329" customFormat="1" x14ac:dyDescent="0.25"/>
    <row r="206330" customFormat="1" x14ac:dyDescent="0.25"/>
    <row r="206331" customFormat="1" x14ac:dyDescent="0.25"/>
    <row r="206332" customFormat="1" x14ac:dyDescent="0.25"/>
    <row r="206333" customFormat="1" x14ac:dyDescent="0.25"/>
    <row r="206334" customFormat="1" x14ac:dyDescent="0.25"/>
    <row r="206335" customFormat="1" x14ac:dyDescent="0.25"/>
    <row r="206336" customFormat="1" x14ac:dyDescent="0.25"/>
    <row r="206337" customFormat="1" x14ac:dyDescent="0.25"/>
    <row r="206338" customFormat="1" x14ac:dyDescent="0.25"/>
    <row r="206339" customFormat="1" x14ac:dyDescent="0.25"/>
    <row r="206340" customFormat="1" x14ac:dyDescent="0.25"/>
    <row r="206341" customFormat="1" x14ac:dyDescent="0.25"/>
    <row r="206342" customFormat="1" x14ac:dyDescent="0.25"/>
    <row r="206343" customFormat="1" x14ac:dyDescent="0.25"/>
    <row r="206344" customFormat="1" x14ac:dyDescent="0.25"/>
    <row r="206345" customFormat="1" x14ac:dyDescent="0.25"/>
    <row r="206346" customFormat="1" x14ac:dyDescent="0.25"/>
    <row r="206347" customFormat="1" x14ac:dyDescent="0.25"/>
    <row r="206348" customFormat="1" x14ac:dyDescent="0.25"/>
    <row r="206349" customFormat="1" x14ac:dyDescent="0.25"/>
    <row r="206350" customFormat="1" x14ac:dyDescent="0.25"/>
    <row r="206351" customFormat="1" x14ac:dyDescent="0.25"/>
    <row r="206352" customFormat="1" x14ac:dyDescent="0.25"/>
    <row r="206353" customFormat="1" x14ac:dyDescent="0.25"/>
    <row r="206354" customFormat="1" x14ac:dyDescent="0.25"/>
    <row r="206355" customFormat="1" x14ac:dyDescent="0.25"/>
    <row r="206356" customFormat="1" x14ac:dyDescent="0.25"/>
    <row r="206357" customFormat="1" x14ac:dyDescent="0.25"/>
    <row r="206358" customFormat="1" x14ac:dyDescent="0.25"/>
    <row r="206359" customFormat="1" x14ac:dyDescent="0.25"/>
    <row r="206360" customFormat="1" x14ac:dyDescent="0.25"/>
    <row r="206361" customFormat="1" x14ac:dyDescent="0.25"/>
    <row r="206362" customFormat="1" x14ac:dyDescent="0.25"/>
    <row r="206363" customFormat="1" x14ac:dyDescent="0.25"/>
    <row r="206364" customFormat="1" x14ac:dyDescent="0.25"/>
    <row r="206365" customFormat="1" x14ac:dyDescent="0.25"/>
    <row r="206366" customFormat="1" x14ac:dyDescent="0.25"/>
    <row r="206367" customFormat="1" x14ac:dyDescent="0.25"/>
    <row r="206368" customFormat="1" x14ac:dyDescent="0.25"/>
    <row r="206369" customFormat="1" x14ac:dyDescent="0.25"/>
    <row r="206370" customFormat="1" x14ac:dyDescent="0.25"/>
    <row r="206371" customFormat="1" x14ac:dyDescent="0.25"/>
    <row r="206372" customFormat="1" x14ac:dyDescent="0.25"/>
    <row r="206373" customFormat="1" x14ac:dyDescent="0.25"/>
    <row r="206374" customFormat="1" x14ac:dyDescent="0.25"/>
    <row r="206375" customFormat="1" x14ac:dyDescent="0.25"/>
    <row r="206376" customFormat="1" x14ac:dyDescent="0.25"/>
    <row r="206377" customFormat="1" x14ac:dyDescent="0.25"/>
    <row r="206378" customFormat="1" x14ac:dyDescent="0.25"/>
    <row r="206379" customFormat="1" x14ac:dyDescent="0.25"/>
    <row r="206380" customFormat="1" x14ac:dyDescent="0.25"/>
    <row r="206381" customFormat="1" x14ac:dyDescent="0.25"/>
    <row r="206382" customFormat="1" x14ac:dyDescent="0.25"/>
    <row r="206383" customFormat="1" x14ac:dyDescent="0.25"/>
    <row r="206384" customFormat="1" x14ac:dyDescent="0.25"/>
    <row r="206385" customFormat="1" x14ac:dyDescent="0.25"/>
    <row r="206386" customFormat="1" x14ac:dyDescent="0.25"/>
    <row r="206387" customFormat="1" x14ac:dyDescent="0.25"/>
    <row r="206388" customFormat="1" x14ac:dyDescent="0.25"/>
    <row r="206389" customFormat="1" x14ac:dyDescent="0.25"/>
    <row r="206390" customFormat="1" x14ac:dyDescent="0.25"/>
    <row r="206391" customFormat="1" x14ac:dyDescent="0.25"/>
    <row r="206392" customFormat="1" x14ac:dyDescent="0.25"/>
    <row r="206393" customFormat="1" x14ac:dyDescent="0.25"/>
    <row r="206394" customFormat="1" x14ac:dyDescent="0.25"/>
    <row r="206395" customFormat="1" x14ac:dyDescent="0.25"/>
    <row r="206396" customFormat="1" x14ac:dyDescent="0.25"/>
    <row r="206397" customFormat="1" x14ac:dyDescent="0.25"/>
    <row r="206398" customFormat="1" x14ac:dyDescent="0.25"/>
    <row r="206399" customFormat="1" x14ac:dyDescent="0.25"/>
    <row r="206400" customFormat="1" x14ac:dyDescent="0.25"/>
    <row r="206401" customFormat="1" x14ac:dyDescent="0.25"/>
    <row r="206402" customFormat="1" x14ac:dyDescent="0.25"/>
    <row r="206403" customFormat="1" x14ac:dyDescent="0.25"/>
    <row r="206404" customFormat="1" x14ac:dyDescent="0.25"/>
    <row r="206405" customFormat="1" x14ac:dyDescent="0.25"/>
    <row r="206406" customFormat="1" x14ac:dyDescent="0.25"/>
    <row r="206407" customFormat="1" x14ac:dyDescent="0.25"/>
    <row r="206408" customFormat="1" x14ac:dyDescent="0.25"/>
    <row r="206409" customFormat="1" x14ac:dyDescent="0.25"/>
    <row r="206410" customFormat="1" x14ac:dyDescent="0.25"/>
    <row r="206411" customFormat="1" x14ac:dyDescent="0.25"/>
    <row r="206412" customFormat="1" x14ac:dyDescent="0.25"/>
    <row r="206413" customFormat="1" x14ac:dyDescent="0.25"/>
    <row r="206414" customFormat="1" x14ac:dyDescent="0.25"/>
    <row r="206415" customFormat="1" x14ac:dyDescent="0.25"/>
    <row r="206416" customFormat="1" x14ac:dyDescent="0.25"/>
    <row r="206417" customFormat="1" x14ac:dyDescent="0.25"/>
    <row r="206418" customFormat="1" x14ac:dyDescent="0.25"/>
    <row r="206419" customFormat="1" x14ac:dyDescent="0.25"/>
    <row r="206420" customFormat="1" x14ac:dyDescent="0.25"/>
    <row r="206421" customFormat="1" x14ac:dyDescent="0.25"/>
    <row r="206422" customFormat="1" x14ac:dyDescent="0.25"/>
    <row r="206423" customFormat="1" x14ac:dyDescent="0.25"/>
    <row r="206424" customFormat="1" x14ac:dyDescent="0.25"/>
    <row r="206425" customFormat="1" x14ac:dyDescent="0.25"/>
    <row r="206426" customFormat="1" x14ac:dyDescent="0.25"/>
    <row r="206427" customFormat="1" x14ac:dyDescent="0.25"/>
    <row r="206428" customFormat="1" x14ac:dyDescent="0.25"/>
    <row r="206429" customFormat="1" x14ac:dyDescent="0.25"/>
    <row r="206430" customFormat="1" x14ac:dyDescent="0.25"/>
    <row r="206431" customFormat="1" x14ac:dyDescent="0.25"/>
    <row r="206432" customFormat="1" x14ac:dyDescent="0.25"/>
    <row r="206433" customFormat="1" x14ac:dyDescent="0.25"/>
    <row r="206434" customFormat="1" x14ac:dyDescent="0.25"/>
    <row r="206435" customFormat="1" x14ac:dyDescent="0.25"/>
    <row r="206436" customFormat="1" x14ac:dyDescent="0.25"/>
    <row r="206437" customFormat="1" x14ac:dyDescent="0.25"/>
    <row r="206438" customFormat="1" x14ac:dyDescent="0.25"/>
    <row r="206439" customFormat="1" x14ac:dyDescent="0.25"/>
    <row r="206440" customFormat="1" x14ac:dyDescent="0.25"/>
    <row r="206441" customFormat="1" x14ac:dyDescent="0.25"/>
    <row r="206442" customFormat="1" x14ac:dyDescent="0.25"/>
    <row r="206443" customFormat="1" x14ac:dyDescent="0.25"/>
    <row r="206444" customFormat="1" x14ac:dyDescent="0.25"/>
    <row r="206445" customFormat="1" x14ac:dyDescent="0.25"/>
    <row r="206446" customFormat="1" x14ac:dyDescent="0.25"/>
    <row r="206447" customFormat="1" x14ac:dyDescent="0.25"/>
    <row r="206448" customFormat="1" x14ac:dyDescent="0.25"/>
    <row r="206449" customFormat="1" x14ac:dyDescent="0.25"/>
    <row r="206450" customFormat="1" x14ac:dyDescent="0.25"/>
    <row r="206451" customFormat="1" x14ac:dyDescent="0.25"/>
    <row r="206452" customFormat="1" x14ac:dyDescent="0.25"/>
    <row r="206453" customFormat="1" x14ac:dyDescent="0.25"/>
    <row r="206454" customFormat="1" x14ac:dyDescent="0.25"/>
    <row r="206455" customFormat="1" x14ac:dyDescent="0.25"/>
    <row r="206456" customFormat="1" x14ac:dyDescent="0.25"/>
    <row r="206457" customFormat="1" x14ac:dyDescent="0.25"/>
    <row r="206458" customFormat="1" x14ac:dyDescent="0.25"/>
    <row r="206459" customFormat="1" x14ac:dyDescent="0.25"/>
    <row r="206460" customFormat="1" x14ac:dyDescent="0.25"/>
    <row r="206461" customFormat="1" x14ac:dyDescent="0.25"/>
    <row r="206462" customFormat="1" x14ac:dyDescent="0.25"/>
    <row r="206463" customFormat="1" x14ac:dyDescent="0.25"/>
    <row r="206464" customFormat="1" x14ac:dyDescent="0.25"/>
    <row r="206465" customFormat="1" x14ac:dyDescent="0.25"/>
    <row r="206466" customFormat="1" x14ac:dyDescent="0.25"/>
    <row r="206467" customFormat="1" x14ac:dyDescent="0.25"/>
    <row r="206468" customFormat="1" x14ac:dyDescent="0.25"/>
    <row r="206469" customFormat="1" x14ac:dyDescent="0.25"/>
    <row r="206470" customFormat="1" x14ac:dyDescent="0.25"/>
    <row r="206471" customFormat="1" x14ac:dyDescent="0.25"/>
    <row r="206472" customFormat="1" x14ac:dyDescent="0.25"/>
    <row r="206473" customFormat="1" x14ac:dyDescent="0.25"/>
    <row r="206474" customFormat="1" x14ac:dyDescent="0.25"/>
    <row r="206475" customFormat="1" x14ac:dyDescent="0.25"/>
    <row r="206476" customFormat="1" x14ac:dyDescent="0.25"/>
    <row r="206477" customFormat="1" x14ac:dyDescent="0.25"/>
    <row r="206478" customFormat="1" x14ac:dyDescent="0.25"/>
    <row r="206479" customFormat="1" x14ac:dyDescent="0.25"/>
    <row r="206480" customFormat="1" x14ac:dyDescent="0.25"/>
    <row r="206481" customFormat="1" x14ac:dyDescent="0.25"/>
    <row r="206482" customFormat="1" x14ac:dyDescent="0.25"/>
    <row r="206483" customFormat="1" x14ac:dyDescent="0.25"/>
    <row r="206484" customFormat="1" x14ac:dyDescent="0.25"/>
    <row r="206485" customFormat="1" x14ac:dyDescent="0.25"/>
    <row r="206486" customFormat="1" x14ac:dyDescent="0.25"/>
    <row r="206487" customFormat="1" x14ac:dyDescent="0.25"/>
    <row r="206488" customFormat="1" x14ac:dyDescent="0.25"/>
    <row r="206489" customFormat="1" x14ac:dyDescent="0.25"/>
    <row r="206490" customFormat="1" x14ac:dyDescent="0.25"/>
    <row r="206491" customFormat="1" x14ac:dyDescent="0.25"/>
    <row r="206492" customFormat="1" x14ac:dyDescent="0.25"/>
    <row r="206493" customFormat="1" x14ac:dyDescent="0.25"/>
    <row r="206494" customFormat="1" x14ac:dyDescent="0.25"/>
    <row r="206495" customFormat="1" x14ac:dyDescent="0.25"/>
    <row r="206496" customFormat="1" x14ac:dyDescent="0.25"/>
    <row r="206497" customFormat="1" x14ac:dyDescent="0.25"/>
    <row r="206498" customFormat="1" x14ac:dyDescent="0.25"/>
    <row r="206499" customFormat="1" x14ac:dyDescent="0.25"/>
    <row r="206500" customFormat="1" x14ac:dyDescent="0.25"/>
    <row r="206501" customFormat="1" x14ac:dyDescent="0.25"/>
    <row r="206502" customFormat="1" x14ac:dyDescent="0.25"/>
    <row r="206503" customFormat="1" x14ac:dyDescent="0.25"/>
    <row r="206504" customFormat="1" x14ac:dyDescent="0.25"/>
    <row r="206505" customFormat="1" x14ac:dyDescent="0.25"/>
    <row r="206506" customFormat="1" x14ac:dyDescent="0.25"/>
    <row r="206507" customFormat="1" x14ac:dyDescent="0.25"/>
    <row r="206508" customFormat="1" x14ac:dyDescent="0.25"/>
    <row r="206509" customFormat="1" x14ac:dyDescent="0.25"/>
    <row r="206510" customFormat="1" x14ac:dyDescent="0.25"/>
    <row r="206511" customFormat="1" x14ac:dyDescent="0.25"/>
    <row r="206512" customFormat="1" x14ac:dyDescent="0.25"/>
    <row r="206513" customFormat="1" x14ac:dyDescent="0.25"/>
    <row r="206514" customFormat="1" x14ac:dyDescent="0.25"/>
    <row r="206515" customFormat="1" x14ac:dyDescent="0.25"/>
    <row r="206516" customFormat="1" x14ac:dyDescent="0.25"/>
    <row r="206517" customFormat="1" x14ac:dyDescent="0.25"/>
    <row r="206518" customFormat="1" x14ac:dyDescent="0.25"/>
    <row r="206519" customFormat="1" x14ac:dyDescent="0.25"/>
    <row r="206520" customFormat="1" x14ac:dyDescent="0.25"/>
    <row r="206521" customFormat="1" x14ac:dyDescent="0.25"/>
    <row r="206522" customFormat="1" x14ac:dyDescent="0.25"/>
    <row r="206523" customFormat="1" x14ac:dyDescent="0.25"/>
    <row r="206524" customFormat="1" x14ac:dyDescent="0.25"/>
    <row r="206525" customFormat="1" x14ac:dyDescent="0.25"/>
    <row r="206526" customFormat="1" x14ac:dyDescent="0.25"/>
    <row r="206527" customFormat="1" x14ac:dyDescent="0.25"/>
    <row r="206528" customFormat="1" x14ac:dyDescent="0.25"/>
    <row r="206529" customFormat="1" x14ac:dyDescent="0.25"/>
    <row r="206530" customFormat="1" x14ac:dyDescent="0.25"/>
    <row r="206531" customFormat="1" x14ac:dyDescent="0.25"/>
    <row r="206532" customFormat="1" x14ac:dyDescent="0.25"/>
    <row r="206533" customFormat="1" x14ac:dyDescent="0.25"/>
    <row r="206534" customFormat="1" x14ac:dyDescent="0.25"/>
    <row r="206535" customFormat="1" x14ac:dyDescent="0.25"/>
    <row r="206536" customFormat="1" x14ac:dyDescent="0.25"/>
    <row r="206537" customFormat="1" x14ac:dyDescent="0.25"/>
    <row r="206538" customFormat="1" x14ac:dyDescent="0.25"/>
    <row r="206539" customFormat="1" x14ac:dyDescent="0.25"/>
    <row r="206540" customFormat="1" x14ac:dyDescent="0.25"/>
    <row r="206541" customFormat="1" x14ac:dyDescent="0.25"/>
    <row r="206542" customFormat="1" x14ac:dyDescent="0.25"/>
    <row r="206543" customFormat="1" x14ac:dyDescent="0.25"/>
    <row r="206544" customFormat="1" x14ac:dyDescent="0.25"/>
    <row r="206545" customFormat="1" x14ac:dyDescent="0.25"/>
    <row r="206546" customFormat="1" x14ac:dyDescent="0.25"/>
    <row r="206547" customFormat="1" x14ac:dyDescent="0.25"/>
    <row r="206548" customFormat="1" x14ac:dyDescent="0.25"/>
    <row r="206549" customFormat="1" x14ac:dyDescent="0.25"/>
    <row r="206550" customFormat="1" x14ac:dyDescent="0.25"/>
    <row r="206551" customFormat="1" x14ac:dyDescent="0.25"/>
    <row r="206552" customFormat="1" x14ac:dyDescent="0.25"/>
    <row r="206553" customFormat="1" x14ac:dyDescent="0.25"/>
    <row r="206554" customFormat="1" x14ac:dyDescent="0.25"/>
    <row r="206555" customFormat="1" x14ac:dyDescent="0.25"/>
    <row r="206556" customFormat="1" x14ac:dyDescent="0.25"/>
    <row r="206557" customFormat="1" x14ac:dyDescent="0.25"/>
    <row r="206558" customFormat="1" x14ac:dyDescent="0.25"/>
    <row r="206559" customFormat="1" x14ac:dyDescent="0.25"/>
    <row r="206560" customFormat="1" x14ac:dyDescent="0.25"/>
    <row r="206561" customFormat="1" x14ac:dyDescent="0.25"/>
    <row r="206562" customFormat="1" x14ac:dyDescent="0.25"/>
    <row r="206563" customFormat="1" x14ac:dyDescent="0.25"/>
    <row r="206564" customFormat="1" x14ac:dyDescent="0.25"/>
    <row r="206565" customFormat="1" x14ac:dyDescent="0.25"/>
    <row r="206566" customFormat="1" x14ac:dyDescent="0.25"/>
    <row r="206567" customFormat="1" x14ac:dyDescent="0.25"/>
    <row r="206568" customFormat="1" x14ac:dyDescent="0.25"/>
    <row r="206569" customFormat="1" x14ac:dyDescent="0.25"/>
    <row r="206570" customFormat="1" x14ac:dyDescent="0.25"/>
    <row r="206571" customFormat="1" x14ac:dyDescent="0.25"/>
    <row r="206572" customFormat="1" x14ac:dyDescent="0.25"/>
    <row r="206573" customFormat="1" x14ac:dyDescent="0.25"/>
    <row r="206574" customFormat="1" x14ac:dyDescent="0.25"/>
    <row r="206575" customFormat="1" x14ac:dyDescent="0.25"/>
    <row r="206576" customFormat="1" x14ac:dyDescent="0.25"/>
    <row r="206577" customFormat="1" x14ac:dyDescent="0.25"/>
    <row r="206578" customFormat="1" x14ac:dyDescent="0.25"/>
    <row r="206579" customFormat="1" x14ac:dyDescent="0.25"/>
    <row r="206580" customFormat="1" x14ac:dyDescent="0.25"/>
    <row r="206581" customFormat="1" x14ac:dyDescent="0.25"/>
    <row r="206582" customFormat="1" x14ac:dyDescent="0.25"/>
    <row r="206583" customFormat="1" x14ac:dyDescent="0.25"/>
    <row r="206584" customFormat="1" x14ac:dyDescent="0.25"/>
    <row r="206585" customFormat="1" x14ac:dyDescent="0.25"/>
    <row r="206586" customFormat="1" x14ac:dyDescent="0.25"/>
    <row r="206587" customFormat="1" x14ac:dyDescent="0.25"/>
    <row r="206588" customFormat="1" x14ac:dyDescent="0.25"/>
    <row r="206589" customFormat="1" x14ac:dyDescent="0.25"/>
    <row r="206590" customFormat="1" x14ac:dyDescent="0.25"/>
    <row r="206591" customFormat="1" x14ac:dyDescent="0.25"/>
    <row r="206592" customFormat="1" x14ac:dyDescent="0.25"/>
    <row r="206593" customFormat="1" x14ac:dyDescent="0.25"/>
    <row r="206594" customFormat="1" x14ac:dyDescent="0.25"/>
    <row r="206595" customFormat="1" x14ac:dyDescent="0.25"/>
    <row r="206596" customFormat="1" x14ac:dyDescent="0.25"/>
    <row r="206597" customFormat="1" x14ac:dyDescent="0.25"/>
    <row r="206598" customFormat="1" x14ac:dyDescent="0.25"/>
    <row r="206599" customFormat="1" x14ac:dyDescent="0.25"/>
    <row r="206600" customFormat="1" x14ac:dyDescent="0.25"/>
    <row r="206601" customFormat="1" x14ac:dyDescent="0.25"/>
    <row r="206602" customFormat="1" x14ac:dyDescent="0.25"/>
    <row r="206603" customFormat="1" x14ac:dyDescent="0.25"/>
    <row r="206604" customFormat="1" x14ac:dyDescent="0.25"/>
    <row r="206605" customFormat="1" x14ac:dyDescent="0.25"/>
    <row r="206606" customFormat="1" x14ac:dyDescent="0.25"/>
    <row r="206607" customFormat="1" x14ac:dyDescent="0.25"/>
    <row r="206608" customFormat="1" x14ac:dyDescent="0.25"/>
    <row r="206609" customFormat="1" x14ac:dyDescent="0.25"/>
    <row r="206610" customFormat="1" x14ac:dyDescent="0.25"/>
    <row r="206611" customFormat="1" x14ac:dyDescent="0.25"/>
    <row r="206612" customFormat="1" x14ac:dyDescent="0.25"/>
    <row r="206613" customFormat="1" x14ac:dyDescent="0.25"/>
    <row r="206614" customFormat="1" x14ac:dyDescent="0.25"/>
    <row r="206615" customFormat="1" x14ac:dyDescent="0.25"/>
    <row r="206616" customFormat="1" x14ac:dyDescent="0.25"/>
    <row r="206617" customFormat="1" x14ac:dyDescent="0.25"/>
    <row r="206618" customFormat="1" x14ac:dyDescent="0.25"/>
    <row r="206619" customFormat="1" x14ac:dyDescent="0.25"/>
    <row r="206620" customFormat="1" x14ac:dyDescent="0.25"/>
    <row r="206621" customFormat="1" x14ac:dyDescent="0.25"/>
    <row r="206622" customFormat="1" x14ac:dyDescent="0.25"/>
    <row r="206623" customFormat="1" x14ac:dyDescent="0.25"/>
    <row r="206624" customFormat="1" x14ac:dyDescent="0.25"/>
    <row r="206625" customFormat="1" x14ac:dyDescent="0.25"/>
    <row r="206626" customFormat="1" x14ac:dyDescent="0.25"/>
    <row r="206627" customFormat="1" x14ac:dyDescent="0.25"/>
    <row r="206628" customFormat="1" x14ac:dyDescent="0.25"/>
    <row r="206629" customFormat="1" x14ac:dyDescent="0.25"/>
    <row r="206630" customFormat="1" x14ac:dyDescent="0.25"/>
    <row r="206631" customFormat="1" x14ac:dyDescent="0.25"/>
    <row r="206632" customFormat="1" x14ac:dyDescent="0.25"/>
    <row r="206633" customFormat="1" x14ac:dyDescent="0.25"/>
    <row r="206634" customFormat="1" x14ac:dyDescent="0.25"/>
    <row r="206635" customFormat="1" x14ac:dyDescent="0.25"/>
    <row r="206636" customFormat="1" x14ac:dyDescent="0.25"/>
    <row r="206637" customFormat="1" x14ac:dyDescent="0.25"/>
    <row r="206638" customFormat="1" x14ac:dyDescent="0.25"/>
    <row r="206639" customFormat="1" x14ac:dyDescent="0.25"/>
    <row r="206640" customFormat="1" x14ac:dyDescent="0.25"/>
    <row r="206641" customFormat="1" x14ac:dyDescent="0.25"/>
    <row r="206642" customFormat="1" x14ac:dyDescent="0.25"/>
    <row r="206643" customFormat="1" x14ac:dyDescent="0.25"/>
    <row r="206644" customFormat="1" x14ac:dyDescent="0.25"/>
    <row r="206645" customFormat="1" x14ac:dyDescent="0.25"/>
    <row r="206646" customFormat="1" x14ac:dyDescent="0.25"/>
    <row r="206647" customFormat="1" x14ac:dyDescent="0.25"/>
    <row r="206648" customFormat="1" x14ac:dyDescent="0.25"/>
    <row r="206649" customFormat="1" x14ac:dyDescent="0.25"/>
    <row r="206650" customFormat="1" x14ac:dyDescent="0.25"/>
    <row r="206651" customFormat="1" x14ac:dyDescent="0.25"/>
    <row r="206652" customFormat="1" x14ac:dyDescent="0.25"/>
    <row r="206653" customFormat="1" x14ac:dyDescent="0.25"/>
    <row r="206654" customFormat="1" x14ac:dyDescent="0.25"/>
    <row r="206655" customFormat="1" x14ac:dyDescent="0.25"/>
    <row r="206656" customFormat="1" x14ac:dyDescent="0.25"/>
    <row r="206657" customFormat="1" x14ac:dyDescent="0.25"/>
    <row r="206658" customFormat="1" x14ac:dyDescent="0.25"/>
    <row r="206659" customFormat="1" x14ac:dyDescent="0.25"/>
    <row r="206660" customFormat="1" x14ac:dyDescent="0.25"/>
    <row r="206661" customFormat="1" x14ac:dyDescent="0.25"/>
    <row r="206662" customFormat="1" x14ac:dyDescent="0.25"/>
    <row r="206663" customFormat="1" x14ac:dyDescent="0.25"/>
    <row r="206664" customFormat="1" x14ac:dyDescent="0.25"/>
    <row r="206665" customFormat="1" x14ac:dyDescent="0.25"/>
    <row r="206666" customFormat="1" x14ac:dyDescent="0.25"/>
    <row r="206667" customFormat="1" x14ac:dyDescent="0.25"/>
    <row r="206668" customFormat="1" x14ac:dyDescent="0.25"/>
    <row r="206669" customFormat="1" x14ac:dyDescent="0.25"/>
    <row r="206670" customFormat="1" x14ac:dyDescent="0.25"/>
    <row r="206671" customFormat="1" x14ac:dyDescent="0.25"/>
    <row r="206672" customFormat="1" x14ac:dyDescent="0.25"/>
    <row r="206673" customFormat="1" x14ac:dyDescent="0.25"/>
    <row r="206674" customFormat="1" x14ac:dyDescent="0.25"/>
    <row r="206675" customFormat="1" x14ac:dyDescent="0.25"/>
    <row r="206676" customFormat="1" x14ac:dyDescent="0.25"/>
    <row r="206677" customFormat="1" x14ac:dyDescent="0.25"/>
    <row r="206678" customFormat="1" x14ac:dyDescent="0.25"/>
    <row r="206679" customFormat="1" x14ac:dyDescent="0.25"/>
    <row r="206680" customFormat="1" x14ac:dyDescent="0.25"/>
    <row r="206681" customFormat="1" x14ac:dyDescent="0.25"/>
    <row r="206682" customFormat="1" x14ac:dyDescent="0.25"/>
    <row r="206683" customFormat="1" x14ac:dyDescent="0.25"/>
    <row r="206684" customFormat="1" x14ac:dyDescent="0.25"/>
    <row r="206685" customFormat="1" x14ac:dyDescent="0.25"/>
    <row r="206686" customFormat="1" x14ac:dyDescent="0.25"/>
    <row r="206687" customFormat="1" x14ac:dyDescent="0.25"/>
    <row r="206688" customFormat="1" x14ac:dyDescent="0.25"/>
    <row r="206689" customFormat="1" x14ac:dyDescent="0.25"/>
    <row r="206690" customFormat="1" x14ac:dyDescent="0.25"/>
    <row r="206691" customFormat="1" x14ac:dyDescent="0.25"/>
    <row r="206692" customFormat="1" x14ac:dyDescent="0.25"/>
    <row r="206693" customFormat="1" x14ac:dyDescent="0.25"/>
    <row r="206694" customFormat="1" x14ac:dyDescent="0.25"/>
    <row r="206695" customFormat="1" x14ac:dyDescent="0.25"/>
    <row r="206696" customFormat="1" x14ac:dyDescent="0.25"/>
    <row r="206697" customFormat="1" x14ac:dyDescent="0.25"/>
    <row r="206698" customFormat="1" x14ac:dyDescent="0.25"/>
    <row r="206699" customFormat="1" x14ac:dyDescent="0.25"/>
    <row r="206700" customFormat="1" x14ac:dyDescent="0.25"/>
    <row r="206701" customFormat="1" x14ac:dyDescent="0.25"/>
    <row r="206702" customFormat="1" x14ac:dyDescent="0.25"/>
    <row r="206703" customFormat="1" x14ac:dyDescent="0.25"/>
    <row r="206704" customFormat="1" x14ac:dyDescent="0.25"/>
    <row r="206705" customFormat="1" x14ac:dyDescent="0.25"/>
    <row r="206706" customFormat="1" x14ac:dyDescent="0.25"/>
    <row r="206707" customFormat="1" x14ac:dyDescent="0.25"/>
    <row r="206708" customFormat="1" x14ac:dyDescent="0.25"/>
    <row r="206709" customFormat="1" x14ac:dyDescent="0.25"/>
    <row r="206710" customFormat="1" x14ac:dyDescent="0.25"/>
    <row r="206711" customFormat="1" x14ac:dyDescent="0.25"/>
    <row r="206712" customFormat="1" x14ac:dyDescent="0.25"/>
    <row r="206713" customFormat="1" x14ac:dyDescent="0.25"/>
    <row r="206714" customFormat="1" x14ac:dyDescent="0.25"/>
    <row r="206715" customFormat="1" x14ac:dyDescent="0.25"/>
    <row r="206716" customFormat="1" x14ac:dyDescent="0.25"/>
    <row r="206717" customFormat="1" x14ac:dyDescent="0.25"/>
    <row r="206718" customFormat="1" x14ac:dyDescent="0.25"/>
    <row r="206719" customFormat="1" x14ac:dyDescent="0.25"/>
    <row r="206720" customFormat="1" x14ac:dyDescent="0.25"/>
    <row r="206721" customFormat="1" x14ac:dyDescent="0.25"/>
    <row r="206722" customFormat="1" x14ac:dyDescent="0.25"/>
    <row r="206723" customFormat="1" x14ac:dyDescent="0.25"/>
    <row r="206724" customFormat="1" x14ac:dyDescent="0.25"/>
    <row r="206725" customFormat="1" x14ac:dyDescent="0.25"/>
    <row r="206726" customFormat="1" x14ac:dyDescent="0.25"/>
    <row r="206727" customFormat="1" x14ac:dyDescent="0.25"/>
    <row r="206728" customFormat="1" x14ac:dyDescent="0.25"/>
    <row r="206729" customFormat="1" x14ac:dyDescent="0.25"/>
    <row r="206730" customFormat="1" x14ac:dyDescent="0.25"/>
    <row r="206731" customFormat="1" x14ac:dyDescent="0.25"/>
    <row r="206732" customFormat="1" x14ac:dyDescent="0.25"/>
    <row r="206733" customFormat="1" x14ac:dyDescent="0.25"/>
    <row r="206734" customFormat="1" x14ac:dyDescent="0.25"/>
    <row r="206735" customFormat="1" x14ac:dyDescent="0.25"/>
    <row r="206736" customFormat="1" x14ac:dyDescent="0.25"/>
    <row r="206737" customFormat="1" x14ac:dyDescent="0.25"/>
    <row r="206738" customFormat="1" x14ac:dyDescent="0.25"/>
    <row r="206739" customFormat="1" x14ac:dyDescent="0.25"/>
    <row r="206740" customFormat="1" x14ac:dyDescent="0.25"/>
    <row r="206741" customFormat="1" x14ac:dyDescent="0.25"/>
    <row r="206742" customFormat="1" x14ac:dyDescent="0.25"/>
    <row r="206743" customFormat="1" x14ac:dyDescent="0.25"/>
    <row r="206744" customFormat="1" x14ac:dyDescent="0.25"/>
    <row r="206745" customFormat="1" x14ac:dyDescent="0.25"/>
    <row r="206746" customFormat="1" x14ac:dyDescent="0.25"/>
    <row r="206747" customFormat="1" x14ac:dyDescent="0.25"/>
    <row r="206748" customFormat="1" x14ac:dyDescent="0.25"/>
    <row r="206749" customFormat="1" x14ac:dyDescent="0.25"/>
    <row r="206750" customFormat="1" x14ac:dyDescent="0.25"/>
    <row r="206751" customFormat="1" x14ac:dyDescent="0.25"/>
    <row r="206752" customFormat="1" x14ac:dyDescent="0.25"/>
    <row r="206753" customFormat="1" x14ac:dyDescent="0.25"/>
    <row r="206754" customFormat="1" x14ac:dyDescent="0.25"/>
    <row r="206755" customFormat="1" x14ac:dyDescent="0.25"/>
    <row r="206756" customFormat="1" x14ac:dyDescent="0.25"/>
    <row r="206757" customFormat="1" x14ac:dyDescent="0.25"/>
    <row r="206758" customFormat="1" x14ac:dyDescent="0.25"/>
    <row r="206759" customFormat="1" x14ac:dyDescent="0.25"/>
    <row r="206760" customFormat="1" x14ac:dyDescent="0.25"/>
    <row r="206761" customFormat="1" x14ac:dyDescent="0.25"/>
    <row r="206762" customFormat="1" x14ac:dyDescent="0.25"/>
    <row r="206763" customFormat="1" x14ac:dyDescent="0.25"/>
    <row r="206764" customFormat="1" x14ac:dyDescent="0.25"/>
    <row r="206765" customFormat="1" x14ac:dyDescent="0.25"/>
    <row r="206766" customFormat="1" x14ac:dyDescent="0.25"/>
    <row r="206767" customFormat="1" x14ac:dyDescent="0.25"/>
    <row r="206768" customFormat="1" x14ac:dyDescent="0.25"/>
    <row r="206769" customFormat="1" x14ac:dyDescent="0.25"/>
    <row r="206770" customFormat="1" x14ac:dyDescent="0.25"/>
    <row r="206771" customFormat="1" x14ac:dyDescent="0.25"/>
    <row r="206772" customFormat="1" x14ac:dyDescent="0.25"/>
    <row r="206773" customFormat="1" x14ac:dyDescent="0.25"/>
    <row r="206774" customFormat="1" x14ac:dyDescent="0.25"/>
    <row r="206775" customFormat="1" x14ac:dyDescent="0.25"/>
    <row r="206776" customFormat="1" x14ac:dyDescent="0.25"/>
    <row r="206777" customFormat="1" x14ac:dyDescent="0.25"/>
    <row r="206778" customFormat="1" x14ac:dyDescent="0.25"/>
    <row r="206779" customFormat="1" x14ac:dyDescent="0.25"/>
    <row r="206780" customFormat="1" x14ac:dyDescent="0.25"/>
    <row r="206781" customFormat="1" x14ac:dyDescent="0.25"/>
    <row r="206782" customFormat="1" x14ac:dyDescent="0.25"/>
    <row r="206783" customFormat="1" x14ac:dyDescent="0.25"/>
    <row r="206784" customFormat="1" x14ac:dyDescent="0.25"/>
    <row r="206785" customFormat="1" x14ac:dyDescent="0.25"/>
    <row r="206786" customFormat="1" x14ac:dyDescent="0.25"/>
    <row r="206787" customFormat="1" x14ac:dyDescent="0.25"/>
    <row r="206788" customFormat="1" x14ac:dyDescent="0.25"/>
    <row r="206789" customFormat="1" x14ac:dyDescent="0.25"/>
    <row r="206790" customFormat="1" x14ac:dyDescent="0.25"/>
    <row r="206791" customFormat="1" x14ac:dyDescent="0.25"/>
    <row r="206792" customFormat="1" x14ac:dyDescent="0.25"/>
    <row r="206793" customFormat="1" x14ac:dyDescent="0.25"/>
    <row r="206794" customFormat="1" x14ac:dyDescent="0.25"/>
    <row r="206795" customFormat="1" x14ac:dyDescent="0.25"/>
    <row r="206796" customFormat="1" x14ac:dyDescent="0.25"/>
    <row r="206797" customFormat="1" x14ac:dyDescent="0.25"/>
    <row r="206798" customFormat="1" x14ac:dyDescent="0.25"/>
    <row r="206799" customFormat="1" x14ac:dyDescent="0.25"/>
    <row r="206800" customFormat="1" x14ac:dyDescent="0.25"/>
    <row r="206801" customFormat="1" x14ac:dyDescent="0.25"/>
    <row r="206802" customFormat="1" x14ac:dyDescent="0.25"/>
    <row r="206803" customFormat="1" x14ac:dyDescent="0.25"/>
    <row r="206804" customFormat="1" x14ac:dyDescent="0.25"/>
    <row r="206805" customFormat="1" x14ac:dyDescent="0.25"/>
    <row r="206806" customFormat="1" x14ac:dyDescent="0.25"/>
    <row r="206807" customFormat="1" x14ac:dyDescent="0.25"/>
    <row r="206808" customFormat="1" x14ac:dyDescent="0.25"/>
    <row r="206809" customFormat="1" x14ac:dyDescent="0.25"/>
    <row r="206810" customFormat="1" x14ac:dyDescent="0.25"/>
    <row r="206811" customFormat="1" x14ac:dyDescent="0.25"/>
    <row r="206812" customFormat="1" x14ac:dyDescent="0.25"/>
    <row r="206813" customFormat="1" x14ac:dyDescent="0.25"/>
    <row r="206814" customFormat="1" x14ac:dyDescent="0.25"/>
    <row r="206815" customFormat="1" x14ac:dyDescent="0.25"/>
    <row r="206816" customFormat="1" x14ac:dyDescent="0.25"/>
    <row r="206817" customFormat="1" x14ac:dyDescent="0.25"/>
    <row r="206818" customFormat="1" x14ac:dyDescent="0.25"/>
    <row r="206819" customFormat="1" x14ac:dyDescent="0.25"/>
    <row r="206820" customFormat="1" x14ac:dyDescent="0.25"/>
    <row r="206821" customFormat="1" x14ac:dyDescent="0.25"/>
    <row r="206822" customFormat="1" x14ac:dyDescent="0.25"/>
    <row r="206823" customFormat="1" x14ac:dyDescent="0.25"/>
    <row r="206824" customFormat="1" x14ac:dyDescent="0.25"/>
    <row r="206825" customFormat="1" x14ac:dyDescent="0.25"/>
    <row r="206826" customFormat="1" x14ac:dyDescent="0.25"/>
    <row r="206827" customFormat="1" x14ac:dyDescent="0.25"/>
    <row r="206828" customFormat="1" x14ac:dyDescent="0.25"/>
    <row r="206829" customFormat="1" x14ac:dyDescent="0.25"/>
    <row r="206830" customFormat="1" x14ac:dyDescent="0.25"/>
    <row r="206831" customFormat="1" x14ac:dyDescent="0.25"/>
    <row r="206832" customFormat="1" x14ac:dyDescent="0.25"/>
    <row r="206833" customFormat="1" x14ac:dyDescent="0.25"/>
    <row r="206834" customFormat="1" x14ac:dyDescent="0.25"/>
    <row r="206835" customFormat="1" x14ac:dyDescent="0.25"/>
    <row r="206836" customFormat="1" x14ac:dyDescent="0.25"/>
    <row r="206837" customFormat="1" x14ac:dyDescent="0.25"/>
    <row r="206838" customFormat="1" x14ac:dyDescent="0.25"/>
    <row r="206839" customFormat="1" x14ac:dyDescent="0.25"/>
    <row r="206840" customFormat="1" x14ac:dyDescent="0.25"/>
    <row r="206841" customFormat="1" x14ac:dyDescent="0.25"/>
    <row r="206842" customFormat="1" x14ac:dyDescent="0.25"/>
    <row r="206843" customFormat="1" x14ac:dyDescent="0.25"/>
    <row r="206844" customFormat="1" x14ac:dyDescent="0.25"/>
    <row r="206845" customFormat="1" x14ac:dyDescent="0.25"/>
    <row r="206846" customFormat="1" x14ac:dyDescent="0.25"/>
    <row r="206847" customFormat="1" x14ac:dyDescent="0.25"/>
    <row r="206848" customFormat="1" x14ac:dyDescent="0.25"/>
    <row r="206849" customFormat="1" x14ac:dyDescent="0.25"/>
    <row r="206850" customFormat="1" x14ac:dyDescent="0.25"/>
    <row r="206851" customFormat="1" x14ac:dyDescent="0.25"/>
    <row r="206852" customFormat="1" x14ac:dyDescent="0.25"/>
    <row r="206853" customFormat="1" x14ac:dyDescent="0.25"/>
    <row r="206854" customFormat="1" x14ac:dyDescent="0.25"/>
    <row r="206855" customFormat="1" x14ac:dyDescent="0.25"/>
    <row r="206856" customFormat="1" x14ac:dyDescent="0.25"/>
    <row r="206857" customFormat="1" x14ac:dyDescent="0.25"/>
    <row r="206858" customFormat="1" x14ac:dyDescent="0.25"/>
    <row r="206859" customFormat="1" x14ac:dyDescent="0.25"/>
    <row r="206860" customFormat="1" x14ac:dyDescent="0.25"/>
    <row r="206861" customFormat="1" x14ac:dyDescent="0.25"/>
    <row r="206862" customFormat="1" x14ac:dyDescent="0.25"/>
    <row r="206863" customFormat="1" x14ac:dyDescent="0.25"/>
    <row r="206864" customFormat="1" x14ac:dyDescent="0.25"/>
    <row r="206865" customFormat="1" x14ac:dyDescent="0.25"/>
    <row r="206866" customFormat="1" x14ac:dyDescent="0.25"/>
    <row r="206867" customFormat="1" x14ac:dyDescent="0.25"/>
    <row r="206868" customFormat="1" x14ac:dyDescent="0.25"/>
    <row r="206869" customFormat="1" x14ac:dyDescent="0.25"/>
    <row r="206870" customFormat="1" x14ac:dyDescent="0.25"/>
    <row r="206871" customFormat="1" x14ac:dyDescent="0.25"/>
    <row r="206872" customFormat="1" x14ac:dyDescent="0.25"/>
    <row r="206873" customFormat="1" x14ac:dyDescent="0.25"/>
    <row r="206874" customFormat="1" x14ac:dyDescent="0.25"/>
    <row r="206875" customFormat="1" x14ac:dyDescent="0.25"/>
    <row r="206876" customFormat="1" x14ac:dyDescent="0.25"/>
    <row r="206877" customFormat="1" x14ac:dyDescent="0.25"/>
    <row r="206878" customFormat="1" x14ac:dyDescent="0.25"/>
    <row r="206879" customFormat="1" x14ac:dyDescent="0.25"/>
    <row r="206880" customFormat="1" x14ac:dyDescent="0.25"/>
    <row r="206881" customFormat="1" x14ac:dyDescent="0.25"/>
    <row r="206882" customFormat="1" x14ac:dyDescent="0.25"/>
    <row r="206883" customFormat="1" x14ac:dyDescent="0.25"/>
    <row r="206884" customFormat="1" x14ac:dyDescent="0.25"/>
    <row r="206885" customFormat="1" x14ac:dyDescent="0.25"/>
    <row r="206886" customFormat="1" x14ac:dyDescent="0.25"/>
    <row r="206887" customFormat="1" x14ac:dyDescent="0.25"/>
    <row r="206888" customFormat="1" x14ac:dyDescent="0.25"/>
    <row r="206889" customFormat="1" x14ac:dyDescent="0.25"/>
    <row r="206890" customFormat="1" x14ac:dyDescent="0.25"/>
    <row r="206891" customFormat="1" x14ac:dyDescent="0.25"/>
    <row r="206892" customFormat="1" x14ac:dyDescent="0.25"/>
    <row r="206893" customFormat="1" x14ac:dyDescent="0.25"/>
    <row r="206894" customFormat="1" x14ac:dyDescent="0.25"/>
    <row r="206895" customFormat="1" x14ac:dyDescent="0.25"/>
    <row r="206896" customFormat="1" x14ac:dyDescent="0.25"/>
    <row r="206897" customFormat="1" x14ac:dyDescent="0.25"/>
    <row r="206898" customFormat="1" x14ac:dyDescent="0.25"/>
    <row r="206899" customFormat="1" x14ac:dyDescent="0.25"/>
    <row r="206900" customFormat="1" x14ac:dyDescent="0.25"/>
    <row r="206901" customFormat="1" x14ac:dyDescent="0.25"/>
    <row r="206902" customFormat="1" x14ac:dyDescent="0.25"/>
    <row r="206903" customFormat="1" x14ac:dyDescent="0.25"/>
    <row r="206904" customFormat="1" x14ac:dyDescent="0.25"/>
    <row r="206905" customFormat="1" x14ac:dyDescent="0.25"/>
    <row r="206906" customFormat="1" x14ac:dyDescent="0.25"/>
    <row r="206907" customFormat="1" x14ac:dyDescent="0.25"/>
    <row r="206908" customFormat="1" x14ac:dyDescent="0.25"/>
    <row r="206909" customFormat="1" x14ac:dyDescent="0.25"/>
    <row r="206910" customFormat="1" x14ac:dyDescent="0.25"/>
    <row r="206911" customFormat="1" x14ac:dyDescent="0.25"/>
    <row r="206912" customFormat="1" x14ac:dyDescent="0.25"/>
    <row r="206913" customFormat="1" x14ac:dyDescent="0.25"/>
    <row r="206914" customFormat="1" x14ac:dyDescent="0.25"/>
    <row r="206915" customFormat="1" x14ac:dyDescent="0.25"/>
    <row r="206916" customFormat="1" x14ac:dyDescent="0.25"/>
    <row r="206917" customFormat="1" x14ac:dyDescent="0.25"/>
    <row r="206918" customFormat="1" x14ac:dyDescent="0.25"/>
    <row r="206919" customFormat="1" x14ac:dyDescent="0.25"/>
    <row r="206920" customFormat="1" x14ac:dyDescent="0.25"/>
    <row r="206921" customFormat="1" x14ac:dyDescent="0.25"/>
    <row r="206922" customFormat="1" x14ac:dyDescent="0.25"/>
    <row r="206923" customFormat="1" x14ac:dyDescent="0.25"/>
    <row r="206924" customFormat="1" x14ac:dyDescent="0.25"/>
    <row r="206925" customFormat="1" x14ac:dyDescent="0.25"/>
    <row r="206926" customFormat="1" x14ac:dyDescent="0.25"/>
    <row r="206927" customFormat="1" x14ac:dyDescent="0.25"/>
    <row r="206928" customFormat="1" x14ac:dyDescent="0.25"/>
    <row r="206929" customFormat="1" x14ac:dyDescent="0.25"/>
    <row r="206930" customFormat="1" x14ac:dyDescent="0.25"/>
    <row r="206931" customFormat="1" x14ac:dyDescent="0.25"/>
    <row r="206932" customFormat="1" x14ac:dyDescent="0.25"/>
    <row r="206933" customFormat="1" x14ac:dyDescent="0.25"/>
    <row r="206934" customFormat="1" x14ac:dyDescent="0.25"/>
    <row r="206935" customFormat="1" x14ac:dyDescent="0.25"/>
    <row r="206936" customFormat="1" x14ac:dyDescent="0.25"/>
    <row r="206937" customFormat="1" x14ac:dyDescent="0.25"/>
    <row r="206938" customFormat="1" x14ac:dyDescent="0.25"/>
    <row r="206939" customFormat="1" x14ac:dyDescent="0.25"/>
    <row r="206940" customFormat="1" x14ac:dyDescent="0.25"/>
    <row r="206941" customFormat="1" x14ac:dyDescent="0.25"/>
    <row r="206942" customFormat="1" x14ac:dyDescent="0.25"/>
    <row r="206943" customFormat="1" x14ac:dyDescent="0.25"/>
    <row r="206944" customFormat="1" x14ac:dyDescent="0.25"/>
    <row r="206945" customFormat="1" x14ac:dyDescent="0.25"/>
    <row r="206946" customFormat="1" x14ac:dyDescent="0.25"/>
    <row r="206947" customFormat="1" x14ac:dyDescent="0.25"/>
    <row r="206948" customFormat="1" x14ac:dyDescent="0.25"/>
    <row r="206949" customFormat="1" x14ac:dyDescent="0.25"/>
    <row r="206950" customFormat="1" x14ac:dyDescent="0.25"/>
    <row r="206951" customFormat="1" x14ac:dyDescent="0.25"/>
    <row r="206952" customFormat="1" x14ac:dyDescent="0.25"/>
    <row r="206953" customFormat="1" x14ac:dyDescent="0.25"/>
    <row r="206954" customFormat="1" x14ac:dyDescent="0.25"/>
    <row r="206955" customFormat="1" x14ac:dyDescent="0.25"/>
    <row r="206956" customFormat="1" x14ac:dyDescent="0.25"/>
    <row r="206957" customFormat="1" x14ac:dyDescent="0.25"/>
    <row r="206958" customFormat="1" x14ac:dyDescent="0.25"/>
    <row r="206959" customFormat="1" x14ac:dyDescent="0.25"/>
    <row r="206960" customFormat="1" x14ac:dyDescent="0.25"/>
    <row r="206961" customFormat="1" x14ac:dyDescent="0.25"/>
    <row r="206962" customFormat="1" x14ac:dyDescent="0.25"/>
    <row r="206963" customFormat="1" x14ac:dyDescent="0.25"/>
    <row r="206964" customFormat="1" x14ac:dyDescent="0.25"/>
    <row r="206965" customFormat="1" x14ac:dyDescent="0.25"/>
    <row r="206966" customFormat="1" x14ac:dyDescent="0.25"/>
    <row r="206967" customFormat="1" x14ac:dyDescent="0.25"/>
    <row r="206968" customFormat="1" x14ac:dyDescent="0.25"/>
    <row r="206969" customFormat="1" x14ac:dyDescent="0.25"/>
    <row r="206970" customFormat="1" x14ac:dyDescent="0.25"/>
    <row r="206971" customFormat="1" x14ac:dyDescent="0.25"/>
    <row r="206972" customFormat="1" x14ac:dyDescent="0.25"/>
    <row r="206973" customFormat="1" x14ac:dyDescent="0.25"/>
    <row r="206974" customFormat="1" x14ac:dyDescent="0.25"/>
    <row r="206975" customFormat="1" x14ac:dyDescent="0.25"/>
    <row r="206976" customFormat="1" x14ac:dyDescent="0.25"/>
    <row r="206977" customFormat="1" x14ac:dyDescent="0.25"/>
    <row r="206978" customFormat="1" x14ac:dyDescent="0.25"/>
    <row r="206979" customFormat="1" x14ac:dyDescent="0.25"/>
    <row r="206980" customFormat="1" x14ac:dyDescent="0.25"/>
    <row r="206981" customFormat="1" x14ac:dyDescent="0.25"/>
    <row r="206982" customFormat="1" x14ac:dyDescent="0.25"/>
    <row r="206983" customFormat="1" x14ac:dyDescent="0.25"/>
    <row r="206984" customFormat="1" x14ac:dyDescent="0.25"/>
    <row r="206985" customFormat="1" x14ac:dyDescent="0.25"/>
    <row r="206986" customFormat="1" x14ac:dyDescent="0.25"/>
    <row r="206987" customFormat="1" x14ac:dyDescent="0.25"/>
    <row r="206988" customFormat="1" x14ac:dyDescent="0.25"/>
    <row r="206989" customFormat="1" x14ac:dyDescent="0.25"/>
    <row r="206990" customFormat="1" x14ac:dyDescent="0.25"/>
    <row r="206991" customFormat="1" x14ac:dyDescent="0.25"/>
    <row r="206992" customFormat="1" x14ac:dyDescent="0.25"/>
    <row r="206993" customFormat="1" x14ac:dyDescent="0.25"/>
    <row r="206994" customFormat="1" x14ac:dyDescent="0.25"/>
    <row r="206995" customFormat="1" x14ac:dyDescent="0.25"/>
    <row r="206996" customFormat="1" x14ac:dyDescent="0.25"/>
    <row r="206997" customFormat="1" x14ac:dyDescent="0.25"/>
    <row r="206998" customFormat="1" x14ac:dyDescent="0.25"/>
    <row r="206999" customFormat="1" x14ac:dyDescent="0.25"/>
    <row r="207000" customFormat="1" x14ac:dyDescent="0.25"/>
    <row r="207001" customFormat="1" x14ac:dyDescent="0.25"/>
    <row r="207002" customFormat="1" x14ac:dyDescent="0.25"/>
    <row r="207003" customFormat="1" x14ac:dyDescent="0.25"/>
    <row r="207004" customFormat="1" x14ac:dyDescent="0.25"/>
    <row r="207005" customFormat="1" x14ac:dyDescent="0.25"/>
    <row r="207006" customFormat="1" x14ac:dyDescent="0.25"/>
    <row r="207007" customFormat="1" x14ac:dyDescent="0.25"/>
    <row r="207008" customFormat="1" x14ac:dyDescent="0.25"/>
    <row r="207009" customFormat="1" x14ac:dyDescent="0.25"/>
    <row r="207010" customFormat="1" x14ac:dyDescent="0.25"/>
    <row r="207011" customFormat="1" x14ac:dyDescent="0.25"/>
    <row r="207012" customFormat="1" x14ac:dyDescent="0.25"/>
    <row r="207013" customFormat="1" x14ac:dyDescent="0.25"/>
    <row r="207014" customFormat="1" x14ac:dyDescent="0.25"/>
    <row r="207015" customFormat="1" x14ac:dyDescent="0.25"/>
    <row r="207016" customFormat="1" x14ac:dyDescent="0.25"/>
    <row r="207017" customFormat="1" x14ac:dyDescent="0.25"/>
    <row r="207018" customFormat="1" x14ac:dyDescent="0.25"/>
    <row r="207019" customFormat="1" x14ac:dyDescent="0.25"/>
    <row r="207020" customFormat="1" x14ac:dyDescent="0.25"/>
    <row r="207021" customFormat="1" x14ac:dyDescent="0.25"/>
    <row r="207022" customFormat="1" x14ac:dyDescent="0.25"/>
    <row r="207023" customFormat="1" x14ac:dyDescent="0.25"/>
    <row r="207024" customFormat="1" x14ac:dyDescent="0.25"/>
    <row r="207025" customFormat="1" x14ac:dyDescent="0.25"/>
    <row r="207026" customFormat="1" x14ac:dyDescent="0.25"/>
    <row r="207027" customFormat="1" x14ac:dyDescent="0.25"/>
    <row r="207028" customFormat="1" x14ac:dyDescent="0.25"/>
    <row r="207029" customFormat="1" x14ac:dyDescent="0.25"/>
    <row r="207030" customFormat="1" x14ac:dyDescent="0.25"/>
    <row r="207031" customFormat="1" x14ac:dyDescent="0.25"/>
    <row r="207032" customFormat="1" x14ac:dyDescent="0.25"/>
    <row r="207033" customFormat="1" x14ac:dyDescent="0.25"/>
    <row r="207034" customFormat="1" x14ac:dyDescent="0.25"/>
    <row r="207035" customFormat="1" x14ac:dyDescent="0.25"/>
    <row r="207036" customFormat="1" x14ac:dyDescent="0.25"/>
    <row r="207037" customFormat="1" x14ac:dyDescent="0.25"/>
    <row r="207038" customFormat="1" x14ac:dyDescent="0.25"/>
    <row r="207039" customFormat="1" x14ac:dyDescent="0.25"/>
    <row r="207040" customFormat="1" x14ac:dyDescent="0.25"/>
    <row r="207041" customFormat="1" x14ac:dyDescent="0.25"/>
    <row r="207042" customFormat="1" x14ac:dyDescent="0.25"/>
    <row r="207043" customFormat="1" x14ac:dyDescent="0.25"/>
    <row r="207044" customFormat="1" x14ac:dyDescent="0.25"/>
    <row r="207045" customFormat="1" x14ac:dyDescent="0.25"/>
    <row r="207046" customFormat="1" x14ac:dyDescent="0.25"/>
    <row r="207047" customFormat="1" x14ac:dyDescent="0.25"/>
    <row r="207048" customFormat="1" x14ac:dyDescent="0.25"/>
    <row r="207049" customFormat="1" x14ac:dyDescent="0.25"/>
    <row r="207050" customFormat="1" x14ac:dyDescent="0.25"/>
    <row r="207051" customFormat="1" x14ac:dyDescent="0.25"/>
    <row r="207052" customFormat="1" x14ac:dyDescent="0.25"/>
    <row r="207053" customFormat="1" x14ac:dyDescent="0.25"/>
    <row r="207054" customFormat="1" x14ac:dyDescent="0.25"/>
    <row r="207055" customFormat="1" x14ac:dyDescent="0.25"/>
    <row r="207056" customFormat="1" x14ac:dyDescent="0.25"/>
    <row r="207057" customFormat="1" x14ac:dyDescent="0.25"/>
    <row r="207058" customFormat="1" x14ac:dyDescent="0.25"/>
    <row r="207059" customFormat="1" x14ac:dyDescent="0.25"/>
    <row r="207060" customFormat="1" x14ac:dyDescent="0.25"/>
    <row r="207061" customFormat="1" x14ac:dyDescent="0.25"/>
    <row r="207062" customFormat="1" x14ac:dyDescent="0.25"/>
    <row r="207063" customFormat="1" x14ac:dyDescent="0.25"/>
    <row r="207064" customFormat="1" x14ac:dyDescent="0.25"/>
    <row r="207065" customFormat="1" x14ac:dyDescent="0.25"/>
    <row r="207066" customFormat="1" x14ac:dyDescent="0.25"/>
    <row r="207067" customFormat="1" x14ac:dyDescent="0.25"/>
    <row r="207068" customFormat="1" x14ac:dyDescent="0.25"/>
    <row r="207069" customFormat="1" x14ac:dyDescent="0.25"/>
    <row r="207070" customFormat="1" x14ac:dyDescent="0.25"/>
    <row r="207071" customFormat="1" x14ac:dyDescent="0.25"/>
    <row r="207072" customFormat="1" x14ac:dyDescent="0.25"/>
    <row r="207073" customFormat="1" x14ac:dyDescent="0.25"/>
    <row r="207074" customFormat="1" x14ac:dyDescent="0.25"/>
    <row r="207075" customFormat="1" x14ac:dyDescent="0.25"/>
    <row r="207076" customFormat="1" x14ac:dyDescent="0.25"/>
    <row r="207077" customFormat="1" x14ac:dyDescent="0.25"/>
    <row r="207078" customFormat="1" x14ac:dyDescent="0.25"/>
    <row r="207079" customFormat="1" x14ac:dyDescent="0.25"/>
    <row r="207080" customFormat="1" x14ac:dyDescent="0.25"/>
    <row r="207081" customFormat="1" x14ac:dyDescent="0.25"/>
    <row r="207082" customFormat="1" x14ac:dyDescent="0.25"/>
    <row r="207083" customFormat="1" x14ac:dyDescent="0.25"/>
    <row r="207084" customFormat="1" x14ac:dyDescent="0.25"/>
    <row r="207085" customFormat="1" x14ac:dyDescent="0.25"/>
    <row r="207086" customFormat="1" x14ac:dyDescent="0.25"/>
    <row r="207087" customFormat="1" x14ac:dyDescent="0.25"/>
    <row r="207088" customFormat="1" x14ac:dyDescent="0.25"/>
    <row r="207089" customFormat="1" x14ac:dyDescent="0.25"/>
    <row r="207090" customFormat="1" x14ac:dyDescent="0.25"/>
    <row r="207091" customFormat="1" x14ac:dyDescent="0.25"/>
    <row r="207092" customFormat="1" x14ac:dyDescent="0.25"/>
    <row r="207093" customFormat="1" x14ac:dyDescent="0.25"/>
    <row r="207094" customFormat="1" x14ac:dyDescent="0.25"/>
    <row r="207095" customFormat="1" x14ac:dyDescent="0.25"/>
    <row r="207096" customFormat="1" x14ac:dyDescent="0.25"/>
    <row r="207097" customFormat="1" x14ac:dyDescent="0.25"/>
    <row r="207098" customFormat="1" x14ac:dyDescent="0.25"/>
    <row r="207099" customFormat="1" x14ac:dyDescent="0.25"/>
    <row r="207100" customFormat="1" x14ac:dyDescent="0.25"/>
    <row r="207101" customFormat="1" x14ac:dyDescent="0.25"/>
    <row r="207102" customFormat="1" x14ac:dyDescent="0.25"/>
    <row r="207103" customFormat="1" x14ac:dyDescent="0.25"/>
    <row r="207104" customFormat="1" x14ac:dyDescent="0.25"/>
    <row r="207105" customFormat="1" x14ac:dyDescent="0.25"/>
    <row r="207106" customFormat="1" x14ac:dyDescent="0.25"/>
    <row r="207107" customFormat="1" x14ac:dyDescent="0.25"/>
    <row r="207108" customFormat="1" x14ac:dyDescent="0.25"/>
    <row r="207109" customFormat="1" x14ac:dyDescent="0.25"/>
    <row r="207110" customFormat="1" x14ac:dyDescent="0.25"/>
    <row r="207111" customFormat="1" x14ac:dyDescent="0.25"/>
    <row r="207112" customFormat="1" x14ac:dyDescent="0.25"/>
    <row r="207113" customFormat="1" x14ac:dyDescent="0.25"/>
    <row r="207114" customFormat="1" x14ac:dyDescent="0.25"/>
    <row r="207115" customFormat="1" x14ac:dyDescent="0.25"/>
    <row r="207116" customFormat="1" x14ac:dyDescent="0.25"/>
    <row r="207117" customFormat="1" x14ac:dyDescent="0.25"/>
    <row r="207118" customFormat="1" x14ac:dyDescent="0.25"/>
    <row r="207119" customFormat="1" x14ac:dyDescent="0.25"/>
    <row r="207120" customFormat="1" x14ac:dyDescent="0.25"/>
    <row r="207121" customFormat="1" x14ac:dyDescent="0.25"/>
    <row r="207122" customFormat="1" x14ac:dyDescent="0.25"/>
    <row r="207123" customFormat="1" x14ac:dyDescent="0.25"/>
    <row r="207124" customFormat="1" x14ac:dyDescent="0.25"/>
    <row r="207125" customFormat="1" x14ac:dyDescent="0.25"/>
    <row r="207126" customFormat="1" x14ac:dyDescent="0.25"/>
    <row r="207127" customFormat="1" x14ac:dyDescent="0.25"/>
    <row r="207128" customFormat="1" x14ac:dyDescent="0.25"/>
    <row r="207129" customFormat="1" x14ac:dyDescent="0.25"/>
    <row r="207130" customFormat="1" x14ac:dyDescent="0.25"/>
    <row r="207131" customFormat="1" x14ac:dyDescent="0.25"/>
    <row r="207132" customFormat="1" x14ac:dyDescent="0.25"/>
    <row r="207133" customFormat="1" x14ac:dyDescent="0.25"/>
    <row r="207134" customFormat="1" x14ac:dyDescent="0.25"/>
    <row r="207135" customFormat="1" x14ac:dyDescent="0.25"/>
    <row r="207136" customFormat="1" x14ac:dyDescent="0.25"/>
    <row r="207137" customFormat="1" x14ac:dyDescent="0.25"/>
    <row r="207138" customFormat="1" x14ac:dyDescent="0.25"/>
    <row r="207139" customFormat="1" x14ac:dyDescent="0.25"/>
    <row r="207140" customFormat="1" x14ac:dyDescent="0.25"/>
    <row r="207141" customFormat="1" x14ac:dyDescent="0.25"/>
    <row r="207142" customFormat="1" x14ac:dyDescent="0.25"/>
    <row r="207143" customFormat="1" x14ac:dyDescent="0.25"/>
    <row r="207144" customFormat="1" x14ac:dyDescent="0.25"/>
    <row r="207145" customFormat="1" x14ac:dyDescent="0.25"/>
    <row r="207146" customFormat="1" x14ac:dyDescent="0.25"/>
    <row r="207147" customFormat="1" x14ac:dyDescent="0.25"/>
    <row r="207148" customFormat="1" x14ac:dyDescent="0.25"/>
    <row r="207149" customFormat="1" x14ac:dyDescent="0.25"/>
    <row r="207150" customFormat="1" x14ac:dyDescent="0.25"/>
    <row r="207151" customFormat="1" x14ac:dyDescent="0.25"/>
    <row r="207152" customFormat="1" x14ac:dyDescent="0.25"/>
    <row r="207153" customFormat="1" x14ac:dyDescent="0.25"/>
    <row r="207154" customFormat="1" x14ac:dyDescent="0.25"/>
    <row r="207155" customFormat="1" x14ac:dyDescent="0.25"/>
    <row r="207156" customFormat="1" x14ac:dyDescent="0.25"/>
    <row r="207157" customFormat="1" x14ac:dyDescent="0.25"/>
    <row r="207158" customFormat="1" x14ac:dyDescent="0.25"/>
    <row r="207159" customFormat="1" x14ac:dyDescent="0.25"/>
    <row r="207160" customFormat="1" x14ac:dyDescent="0.25"/>
    <row r="207161" customFormat="1" x14ac:dyDescent="0.25"/>
    <row r="207162" customFormat="1" x14ac:dyDescent="0.25"/>
    <row r="207163" customFormat="1" x14ac:dyDescent="0.25"/>
    <row r="207164" customFormat="1" x14ac:dyDescent="0.25"/>
    <row r="207165" customFormat="1" x14ac:dyDescent="0.25"/>
    <row r="207166" customFormat="1" x14ac:dyDescent="0.25"/>
    <row r="207167" customFormat="1" x14ac:dyDescent="0.25"/>
    <row r="207168" customFormat="1" x14ac:dyDescent="0.25"/>
    <row r="207169" customFormat="1" x14ac:dyDescent="0.25"/>
    <row r="207170" customFormat="1" x14ac:dyDescent="0.25"/>
    <row r="207171" customFormat="1" x14ac:dyDescent="0.25"/>
    <row r="207172" customFormat="1" x14ac:dyDescent="0.25"/>
    <row r="207173" customFormat="1" x14ac:dyDescent="0.25"/>
    <row r="207174" customFormat="1" x14ac:dyDescent="0.25"/>
    <row r="207175" customFormat="1" x14ac:dyDescent="0.25"/>
    <row r="207176" customFormat="1" x14ac:dyDescent="0.25"/>
    <row r="207177" customFormat="1" x14ac:dyDescent="0.25"/>
    <row r="207178" customFormat="1" x14ac:dyDescent="0.25"/>
    <row r="207179" customFormat="1" x14ac:dyDescent="0.25"/>
    <row r="207180" customFormat="1" x14ac:dyDescent="0.25"/>
    <row r="207181" customFormat="1" x14ac:dyDescent="0.25"/>
    <row r="207182" customFormat="1" x14ac:dyDescent="0.25"/>
    <row r="207183" customFormat="1" x14ac:dyDescent="0.25"/>
    <row r="207184" customFormat="1" x14ac:dyDescent="0.25"/>
    <row r="207185" customFormat="1" x14ac:dyDescent="0.25"/>
    <row r="207186" customFormat="1" x14ac:dyDescent="0.25"/>
    <row r="207187" customFormat="1" x14ac:dyDescent="0.25"/>
    <row r="207188" customFormat="1" x14ac:dyDescent="0.25"/>
    <row r="207189" customFormat="1" x14ac:dyDescent="0.25"/>
    <row r="207190" customFormat="1" x14ac:dyDescent="0.25"/>
    <row r="207191" customFormat="1" x14ac:dyDescent="0.25"/>
    <row r="207192" customFormat="1" x14ac:dyDescent="0.25"/>
    <row r="207193" customFormat="1" x14ac:dyDescent="0.25"/>
    <row r="207194" customFormat="1" x14ac:dyDescent="0.25"/>
    <row r="207195" customFormat="1" x14ac:dyDescent="0.25"/>
    <row r="207196" customFormat="1" x14ac:dyDescent="0.25"/>
    <row r="207197" customFormat="1" x14ac:dyDescent="0.25"/>
    <row r="207198" customFormat="1" x14ac:dyDescent="0.25"/>
    <row r="207199" customFormat="1" x14ac:dyDescent="0.25"/>
    <row r="207200" customFormat="1" x14ac:dyDescent="0.25"/>
    <row r="207201" customFormat="1" x14ac:dyDescent="0.25"/>
    <row r="207202" customFormat="1" x14ac:dyDescent="0.25"/>
    <row r="207203" customFormat="1" x14ac:dyDescent="0.25"/>
    <row r="207204" customFormat="1" x14ac:dyDescent="0.25"/>
    <row r="207205" customFormat="1" x14ac:dyDescent="0.25"/>
    <row r="207206" customFormat="1" x14ac:dyDescent="0.25"/>
    <row r="207207" customFormat="1" x14ac:dyDescent="0.25"/>
    <row r="207208" customFormat="1" x14ac:dyDescent="0.25"/>
    <row r="207209" customFormat="1" x14ac:dyDescent="0.25"/>
    <row r="207210" customFormat="1" x14ac:dyDescent="0.25"/>
    <row r="207211" customFormat="1" x14ac:dyDescent="0.25"/>
    <row r="207212" customFormat="1" x14ac:dyDescent="0.25"/>
    <row r="207213" customFormat="1" x14ac:dyDescent="0.25"/>
    <row r="207214" customFormat="1" x14ac:dyDescent="0.25"/>
    <row r="207215" customFormat="1" x14ac:dyDescent="0.25"/>
    <row r="207216" customFormat="1" x14ac:dyDescent="0.25"/>
    <row r="207217" customFormat="1" x14ac:dyDescent="0.25"/>
    <row r="207218" customFormat="1" x14ac:dyDescent="0.25"/>
    <row r="207219" customFormat="1" x14ac:dyDescent="0.25"/>
    <row r="207220" customFormat="1" x14ac:dyDescent="0.25"/>
    <row r="207221" customFormat="1" x14ac:dyDescent="0.25"/>
    <row r="207222" customFormat="1" x14ac:dyDescent="0.25"/>
    <row r="207223" customFormat="1" x14ac:dyDescent="0.25"/>
    <row r="207224" customFormat="1" x14ac:dyDescent="0.25"/>
    <row r="207225" customFormat="1" x14ac:dyDescent="0.25"/>
    <row r="207226" customFormat="1" x14ac:dyDescent="0.25"/>
    <row r="207227" customFormat="1" x14ac:dyDescent="0.25"/>
    <row r="207228" customFormat="1" x14ac:dyDescent="0.25"/>
    <row r="207229" customFormat="1" x14ac:dyDescent="0.25"/>
    <row r="207230" customFormat="1" x14ac:dyDescent="0.25"/>
    <row r="207231" customFormat="1" x14ac:dyDescent="0.25"/>
    <row r="207232" customFormat="1" x14ac:dyDescent="0.25"/>
    <row r="207233" customFormat="1" x14ac:dyDescent="0.25"/>
    <row r="207234" customFormat="1" x14ac:dyDescent="0.25"/>
    <row r="207235" customFormat="1" x14ac:dyDescent="0.25"/>
    <row r="207236" customFormat="1" x14ac:dyDescent="0.25"/>
    <row r="207237" customFormat="1" x14ac:dyDescent="0.25"/>
    <row r="207238" customFormat="1" x14ac:dyDescent="0.25"/>
    <row r="207239" customFormat="1" x14ac:dyDescent="0.25"/>
    <row r="207240" customFormat="1" x14ac:dyDescent="0.25"/>
    <row r="207241" customFormat="1" x14ac:dyDescent="0.25"/>
    <row r="207242" customFormat="1" x14ac:dyDescent="0.25"/>
    <row r="207243" customFormat="1" x14ac:dyDescent="0.25"/>
    <row r="207244" customFormat="1" x14ac:dyDescent="0.25"/>
    <row r="207245" customFormat="1" x14ac:dyDescent="0.25"/>
    <row r="207246" customFormat="1" x14ac:dyDescent="0.25"/>
    <row r="207247" customFormat="1" x14ac:dyDescent="0.25"/>
    <row r="207248" customFormat="1" x14ac:dyDescent="0.25"/>
    <row r="207249" customFormat="1" x14ac:dyDescent="0.25"/>
    <row r="207250" customFormat="1" x14ac:dyDescent="0.25"/>
    <row r="207251" customFormat="1" x14ac:dyDescent="0.25"/>
    <row r="207252" customFormat="1" x14ac:dyDescent="0.25"/>
    <row r="207253" customFormat="1" x14ac:dyDescent="0.25"/>
    <row r="207254" customFormat="1" x14ac:dyDescent="0.25"/>
    <row r="207255" customFormat="1" x14ac:dyDescent="0.25"/>
    <row r="207256" customFormat="1" x14ac:dyDescent="0.25"/>
    <row r="207257" customFormat="1" x14ac:dyDescent="0.25"/>
    <row r="207258" customFormat="1" x14ac:dyDescent="0.25"/>
    <row r="207259" customFormat="1" x14ac:dyDescent="0.25"/>
    <row r="207260" customFormat="1" x14ac:dyDescent="0.25"/>
    <row r="207261" customFormat="1" x14ac:dyDescent="0.25"/>
    <row r="207262" customFormat="1" x14ac:dyDescent="0.25"/>
    <row r="207263" customFormat="1" x14ac:dyDescent="0.25"/>
    <row r="207264" customFormat="1" x14ac:dyDescent="0.25"/>
    <row r="207265" customFormat="1" x14ac:dyDescent="0.25"/>
    <row r="207266" customFormat="1" x14ac:dyDescent="0.25"/>
    <row r="207267" customFormat="1" x14ac:dyDescent="0.25"/>
    <row r="207268" customFormat="1" x14ac:dyDescent="0.25"/>
    <row r="207269" customFormat="1" x14ac:dyDescent="0.25"/>
    <row r="207270" customFormat="1" x14ac:dyDescent="0.25"/>
    <row r="207271" customFormat="1" x14ac:dyDescent="0.25"/>
    <row r="207272" customFormat="1" x14ac:dyDescent="0.25"/>
    <row r="207273" customFormat="1" x14ac:dyDescent="0.25"/>
    <row r="207274" customFormat="1" x14ac:dyDescent="0.25"/>
    <row r="207275" customFormat="1" x14ac:dyDescent="0.25"/>
    <row r="207276" customFormat="1" x14ac:dyDescent="0.25"/>
    <row r="207277" customFormat="1" x14ac:dyDescent="0.25"/>
    <row r="207278" customFormat="1" x14ac:dyDescent="0.25"/>
    <row r="207279" customFormat="1" x14ac:dyDescent="0.25"/>
    <row r="207280" customFormat="1" x14ac:dyDescent="0.25"/>
    <row r="207281" customFormat="1" x14ac:dyDescent="0.25"/>
    <row r="207282" customFormat="1" x14ac:dyDescent="0.25"/>
    <row r="207283" customFormat="1" x14ac:dyDescent="0.25"/>
    <row r="207284" customFormat="1" x14ac:dyDescent="0.25"/>
    <row r="207285" customFormat="1" x14ac:dyDescent="0.25"/>
    <row r="207286" customFormat="1" x14ac:dyDescent="0.25"/>
    <row r="207287" customFormat="1" x14ac:dyDescent="0.25"/>
    <row r="207288" customFormat="1" x14ac:dyDescent="0.25"/>
    <row r="207289" customFormat="1" x14ac:dyDescent="0.25"/>
    <row r="207290" customFormat="1" x14ac:dyDescent="0.25"/>
    <row r="207291" customFormat="1" x14ac:dyDescent="0.25"/>
    <row r="207292" customFormat="1" x14ac:dyDescent="0.25"/>
    <row r="207293" customFormat="1" x14ac:dyDescent="0.25"/>
    <row r="207294" customFormat="1" x14ac:dyDescent="0.25"/>
    <row r="207295" customFormat="1" x14ac:dyDescent="0.25"/>
    <row r="207296" customFormat="1" x14ac:dyDescent="0.25"/>
    <row r="207297" customFormat="1" x14ac:dyDescent="0.25"/>
    <row r="207298" customFormat="1" x14ac:dyDescent="0.25"/>
    <row r="207299" customFormat="1" x14ac:dyDescent="0.25"/>
    <row r="207300" customFormat="1" x14ac:dyDescent="0.25"/>
    <row r="207301" customFormat="1" x14ac:dyDescent="0.25"/>
    <row r="207302" customFormat="1" x14ac:dyDescent="0.25"/>
    <row r="207303" customFormat="1" x14ac:dyDescent="0.25"/>
    <row r="207304" customFormat="1" x14ac:dyDescent="0.25"/>
    <row r="207305" customFormat="1" x14ac:dyDescent="0.25"/>
    <row r="207306" customFormat="1" x14ac:dyDescent="0.25"/>
    <row r="207307" customFormat="1" x14ac:dyDescent="0.25"/>
    <row r="207308" customFormat="1" x14ac:dyDescent="0.25"/>
    <row r="207309" customFormat="1" x14ac:dyDescent="0.25"/>
    <row r="207310" customFormat="1" x14ac:dyDescent="0.25"/>
    <row r="207311" customFormat="1" x14ac:dyDescent="0.25"/>
    <row r="207312" customFormat="1" x14ac:dyDescent="0.25"/>
    <row r="207313" customFormat="1" x14ac:dyDescent="0.25"/>
    <row r="207314" customFormat="1" x14ac:dyDescent="0.25"/>
    <row r="207315" customFormat="1" x14ac:dyDescent="0.25"/>
    <row r="207316" customFormat="1" x14ac:dyDescent="0.25"/>
    <row r="207317" customFormat="1" x14ac:dyDescent="0.25"/>
    <row r="207318" customFormat="1" x14ac:dyDescent="0.25"/>
    <row r="207319" customFormat="1" x14ac:dyDescent="0.25"/>
    <row r="207320" customFormat="1" x14ac:dyDescent="0.25"/>
    <row r="207321" customFormat="1" x14ac:dyDescent="0.25"/>
    <row r="207322" customFormat="1" x14ac:dyDescent="0.25"/>
    <row r="207323" customFormat="1" x14ac:dyDescent="0.25"/>
    <row r="207324" customFormat="1" x14ac:dyDescent="0.25"/>
    <row r="207325" customFormat="1" x14ac:dyDescent="0.25"/>
    <row r="207326" customFormat="1" x14ac:dyDescent="0.25"/>
    <row r="207327" customFormat="1" x14ac:dyDescent="0.25"/>
    <row r="207328" customFormat="1" x14ac:dyDescent="0.25"/>
    <row r="207329" customFormat="1" x14ac:dyDescent="0.25"/>
    <row r="207330" customFormat="1" x14ac:dyDescent="0.25"/>
    <row r="207331" customFormat="1" x14ac:dyDescent="0.25"/>
    <row r="207332" customFormat="1" x14ac:dyDescent="0.25"/>
    <row r="207333" customFormat="1" x14ac:dyDescent="0.25"/>
    <row r="207334" customFormat="1" x14ac:dyDescent="0.25"/>
    <row r="207335" customFormat="1" x14ac:dyDescent="0.25"/>
    <row r="207336" customFormat="1" x14ac:dyDescent="0.25"/>
    <row r="207337" customFormat="1" x14ac:dyDescent="0.25"/>
    <row r="207338" customFormat="1" x14ac:dyDescent="0.25"/>
    <row r="207339" customFormat="1" x14ac:dyDescent="0.25"/>
    <row r="207340" customFormat="1" x14ac:dyDescent="0.25"/>
    <row r="207341" customFormat="1" x14ac:dyDescent="0.25"/>
    <row r="207342" customFormat="1" x14ac:dyDescent="0.25"/>
    <row r="207343" customFormat="1" x14ac:dyDescent="0.25"/>
    <row r="207344" customFormat="1" x14ac:dyDescent="0.25"/>
    <row r="207345" customFormat="1" x14ac:dyDescent="0.25"/>
    <row r="207346" customFormat="1" x14ac:dyDescent="0.25"/>
    <row r="207347" customFormat="1" x14ac:dyDescent="0.25"/>
    <row r="207348" customFormat="1" x14ac:dyDescent="0.25"/>
    <row r="207349" customFormat="1" x14ac:dyDescent="0.25"/>
    <row r="207350" customFormat="1" x14ac:dyDescent="0.25"/>
    <row r="207351" customFormat="1" x14ac:dyDescent="0.25"/>
    <row r="207352" customFormat="1" x14ac:dyDescent="0.25"/>
    <row r="207353" customFormat="1" x14ac:dyDescent="0.25"/>
    <row r="207354" customFormat="1" x14ac:dyDescent="0.25"/>
    <row r="207355" customFormat="1" x14ac:dyDescent="0.25"/>
    <row r="207356" customFormat="1" x14ac:dyDescent="0.25"/>
    <row r="207357" customFormat="1" x14ac:dyDescent="0.25"/>
    <row r="207358" customFormat="1" x14ac:dyDescent="0.25"/>
    <row r="207359" customFormat="1" x14ac:dyDescent="0.25"/>
    <row r="207360" customFormat="1" x14ac:dyDescent="0.25"/>
    <row r="207361" customFormat="1" x14ac:dyDescent="0.25"/>
    <row r="207362" customFormat="1" x14ac:dyDescent="0.25"/>
    <row r="207363" customFormat="1" x14ac:dyDescent="0.25"/>
    <row r="207364" customFormat="1" x14ac:dyDescent="0.25"/>
    <row r="207365" customFormat="1" x14ac:dyDescent="0.25"/>
    <row r="207366" customFormat="1" x14ac:dyDescent="0.25"/>
    <row r="207367" customFormat="1" x14ac:dyDescent="0.25"/>
    <row r="207368" customFormat="1" x14ac:dyDescent="0.25"/>
    <row r="207369" customFormat="1" x14ac:dyDescent="0.25"/>
    <row r="207370" customFormat="1" x14ac:dyDescent="0.25"/>
    <row r="207371" customFormat="1" x14ac:dyDescent="0.25"/>
    <row r="207372" customFormat="1" x14ac:dyDescent="0.25"/>
    <row r="207373" customFormat="1" x14ac:dyDescent="0.25"/>
    <row r="207374" customFormat="1" x14ac:dyDescent="0.25"/>
    <row r="207375" customFormat="1" x14ac:dyDescent="0.25"/>
    <row r="207376" customFormat="1" x14ac:dyDescent="0.25"/>
    <row r="207377" customFormat="1" x14ac:dyDescent="0.25"/>
    <row r="207378" customFormat="1" x14ac:dyDescent="0.25"/>
    <row r="207379" customFormat="1" x14ac:dyDescent="0.25"/>
    <row r="207380" customFormat="1" x14ac:dyDescent="0.25"/>
    <row r="207381" customFormat="1" x14ac:dyDescent="0.25"/>
    <row r="207382" customFormat="1" x14ac:dyDescent="0.25"/>
    <row r="207383" customFormat="1" x14ac:dyDescent="0.25"/>
    <row r="207384" customFormat="1" x14ac:dyDescent="0.25"/>
    <row r="207385" customFormat="1" x14ac:dyDescent="0.25"/>
    <row r="207386" customFormat="1" x14ac:dyDescent="0.25"/>
    <row r="207387" customFormat="1" x14ac:dyDescent="0.25"/>
    <row r="207388" customFormat="1" x14ac:dyDescent="0.25"/>
    <row r="207389" customFormat="1" x14ac:dyDescent="0.25"/>
    <row r="207390" customFormat="1" x14ac:dyDescent="0.25"/>
    <row r="207391" customFormat="1" x14ac:dyDescent="0.25"/>
    <row r="207392" customFormat="1" x14ac:dyDescent="0.25"/>
    <row r="207393" customFormat="1" x14ac:dyDescent="0.25"/>
    <row r="207394" customFormat="1" x14ac:dyDescent="0.25"/>
    <row r="207395" customFormat="1" x14ac:dyDescent="0.25"/>
    <row r="207396" customFormat="1" x14ac:dyDescent="0.25"/>
    <row r="207397" customFormat="1" x14ac:dyDescent="0.25"/>
    <row r="207398" customFormat="1" x14ac:dyDescent="0.25"/>
    <row r="207399" customFormat="1" x14ac:dyDescent="0.25"/>
    <row r="207400" customFormat="1" x14ac:dyDescent="0.25"/>
    <row r="207401" customFormat="1" x14ac:dyDescent="0.25"/>
    <row r="207402" customFormat="1" x14ac:dyDescent="0.25"/>
    <row r="207403" customFormat="1" x14ac:dyDescent="0.25"/>
    <row r="207404" customFormat="1" x14ac:dyDescent="0.25"/>
    <row r="207405" customFormat="1" x14ac:dyDescent="0.25"/>
    <row r="207406" customFormat="1" x14ac:dyDescent="0.25"/>
    <row r="207407" customFormat="1" x14ac:dyDescent="0.25"/>
    <row r="207408" customFormat="1" x14ac:dyDescent="0.25"/>
    <row r="207409" customFormat="1" x14ac:dyDescent="0.25"/>
    <row r="207410" customFormat="1" x14ac:dyDescent="0.25"/>
    <row r="207411" customFormat="1" x14ac:dyDescent="0.25"/>
    <row r="207412" customFormat="1" x14ac:dyDescent="0.25"/>
    <row r="207413" customFormat="1" x14ac:dyDescent="0.25"/>
    <row r="207414" customFormat="1" x14ac:dyDescent="0.25"/>
    <row r="207415" customFormat="1" x14ac:dyDescent="0.25"/>
    <row r="207416" customFormat="1" x14ac:dyDescent="0.25"/>
    <row r="207417" customFormat="1" x14ac:dyDescent="0.25"/>
    <row r="207418" customFormat="1" x14ac:dyDescent="0.25"/>
    <row r="207419" customFormat="1" x14ac:dyDescent="0.25"/>
    <row r="207420" customFormat="1" x14ac:dyDescent="0.25"/>
    <row r="207421" customFormat="1" x14ac:dyDescent="0.25"/>
    <row r="207422" customFormat="1" x14ac:dyDescent="0.25"/>
    <row r="207423" customFormat="1" x14ac:dyDescent="0.25"/>
    <row r="207424" customFormat="1" x14ac:dyDescent="0.25"/>
    <row r="207425" customFormat="1" x14ac:dyDescent="0.25"/>
    <row r="207426" customFormat="1" x14ac:dyDescent="0.25"/>
    <row r="207427" customFormat="1" x14ac:dyDescent="0.25"/>
    <row r="207428" customFormat="1" x14ac:dyDescent="0.25"/>
    <row r="207429" customFormat="1" x14ac:dyDescent="0.25"/>
    <row r="207430" customFormat="1" x14ac:dyDescent="0.25"/>
    <row r="207431" customFormat="1" x14ac:dyDescent="0.25"/>
    <row r="207432" customFormat="1" x14ac:dyDescent="0.25"/>
    <row r="207433" customFormat="1" x14ac:dyDescent="0.25"/>
    <row r="207434" customFormat="1" x14ac:dyDescent="0.25"/>
    <row r="207435" customFormat="1" x14ac:dyDescent="0.25"/>
    <row r="207436" customFormat="1" x14ac:dyDescent="0.25"/>
    <row r="207437" customFormat="1" x14ac:dyDescent="0.25"/>
    <row r="207438" customFormat="1" x14ac:dyDescent="0.25"/>
    <row r="207439" customFormat="1" x14ac:dyDescent="0.25"/>
    <row r="207440" customFormat="1" x14ac:dyDescent="0.25"/>
    <row r="207441" customFormat="1" x14ac:dyDescent="0.25"/>
    <row r="207442" customFormat="1" x14ac:dyDescent="0.25"/>
    <row r="207443" customFormat="1" x14ac:dyDescent="0.25"/>
    <row r="207444" customFormat="1" x14ac:dyDescent="0.25"/>
    <row r="207445" customFormat="1" x14ac:dyDescent="0.25"/>
    <row r="207446" customFormat="1" x14ac:dyDescent="0.25"/>
    <row r="207447" customFormat="1" x14ac:dyDescent="0.25"/>
    <row r="207448" customFormat="1" x14ac:dyDescent="0.25"/>
    <row r="207449" customFormat="1" x14ac:dyDescent="0.25"/>
    <row r="207450" customFormat="1" x14ac:dyDescent="0.25"/>
    <row r="207451" customFormat="1" x14ac:dyDescent="0.25"/>
    <row r="207452" customFormat="1" x14ac:dyDescent="0.25"/>
    <row r="207453" customFormat="1" x14ac:dyDescent="0.25"/>
    <row r="207454" customFormat="1" x14ac:dyDescent="0.25"/>
    <row r="207455" customFormat="1" x14ac:dyDescent="0.25"/>
    <row r="207456" customFormat="1" x14ac:dyDescent="0.25"/>
    <row r="207457" customFormat="1" x14ac:dyDescent="0.25"/>
    <row r="207458" customFormat="1" x14ac:dyDescent="0.25"/>
    <row r="207459" customFormat="1" x14ac:dyDescent="0.25"/>
    <row r="207460" customFormat="1" x14ac:dyDescent="0.25"/>
    <row r="207461" customFormat="1" x14ac:dyDescent="0.25"/>
    <row r="207462" customFormat="1" x14ac:dyDescent="0.25"/>
    <row r="207463" customFormat="1" x14ac:dyDescent="0.25"/>
    <row r="207464" customFormat="1" x14ac:dyDescent="0.25"/>
    <row r="207465" customFormat="1" x14ac:dyDescent="0.25"/>
    <row r="207466" customFormat="1" x14ac:dyDescent="0.25"/>
    <row r="207467" customFormat="1" x14ac:dyDescent="0.25"/>
    <row r="207468" customFormat="1" x14ac:dyDescent="0.25"/>
    <row r="207469" customFormat="1" x14ac:dyDescent="0.25"/>
    <row r="207470" customFormat="1" x14ac:dyDescent="0.25"/>
    <row r="207471" customFormat="1" x14ac:dyDescent="0.25"/>
    <row r="207472" customFormat="1" x14ac:dyDescent="0.25"/>
    <row r="207473" customFormat="1" x14ac:dyDescent="0.25"/>
    <row r="207474" customFormat="1" x14ac:dyDescent="0.25"/>
    <row r="207475" customFormat="1" x14ac:dyDescent="0.25"/>
    <row r="207476" customFormat="1" x14ac:dyDescent="0.25"/>
    <row r="207477" customFormat="1" x14ac:dyDescent="0.25"/>
    <row r="207478" customFormat="1" x14ac:dyDescent="0.25"/>
    <row r="207479" customFormat="1" x14ac:dyDescent="0.25"/>
    <row r="207480" customFormat="1" x14ac:dyDescent="0.25"/>
    <row r="207481" customFormat="1" x14ac:dyDescent="0.25"/>
    <row r="207482" customFormat="1" x14ac:dyDescent="0.25"/>
    <row r="207483" customFormat="1" x14ac:dyDescent="0.25"/>
    <row r="207484" customFormat="1" x14ac:dyDescent="0.25"/>
    <row r="207485" customFormat="1" x14ac:dyDescent="0.25"/>
    <row r="207486" customFormat="1" x14ac:dyDescent="0.25"/>
    <row r="207487" customFormat="1" x14ac:dyDescent="0.25"/>
    <row r="207488" customFormat="1" x14ac:dyDescent="0.25"/>
    <row r="207489" customFormat="1" x14ac:dyDescent="0.25"/>
    <row r="207490" customFormat="1" x14ac:dyDescent="0.25"/>
    <row r="207491" customFormat="1" x14ac:dyDescent="0.25"/>
    <row r="207492" customFormat="1" x14ac:dyDescent="0.25"/>
    <row r="207493" customFormat="1" x14ac:dyDescent="0.25"/>
    <row r="207494" customFormat="1" x14ac:dyDescent="0.25"/>
    <row r="207495" customFormat="1" x14ac:dyDescent="0.25"/>
    <row r="207496" customFormat="1" x14ac:dyDescent="0.25"/>
    <row r="207497" customFormat="1" x14ac:dyDescent="0.25"/>
    <row r="207498" customFormat="1" x14ac:dyDescent="0.25"/>
    <row r="207499" customFormat="1" x14ac:dyDescent="0.25"/>
    <row r="207500" customFormat="1" x14ac:dyDescent="0.25"/>
    <row r="207501" customFormat="1" x14ac:dyDescent="0.25"/>
    <row r="207502" customFormat="1" x14ac:dyDescent="0.25"/>
    <row r="207503" customFormat="1" x14ac:dyDescent="0.25"/>
    <row r="207504" customFormat="1" x14ac:dyDescent="0.25"/>
    <row r="207505" customFormat="1" x14ac:dyDescent="0.25"/>
    <row r="207506" customFormat="1" x14ac:dyDescent="0.25"/>
    <row r="207507" customFormat="1" x14ac:dyDescent="0.25"/>
    <row r="207508" customFormat="1" x14ac:dyDescent="0.25"/>
    <row r="207509" customFormat="1" x14ac:dyDescent="0.25"/>
    <row r="207510" customFormat="1" x14ac:dyDescent="0.25"/>
    <row r="207511" customFormat="1" x14ac:dyDescent="0.25"/>
    <row r="207512" customFormat="1" x14ac:dyDescent="0.25"/>
    <row r="207513" customFormat="1" x14ac:dyDescent="0.25"/>
    <row r="207514" customFormat="1" x14ac:dyDescent="0.25"/>
    <row r="207515" customFormat="1" x14ac:dyDescent="0.25"/>
    <row r="207516" customFormat="1" x14ac:dyDescent="0.25"/>
    <row r="207517" customFormat="1" x14ac:dyDescent="0.25"/>
    <row r="207518" customFormat="1" x14ac:dyDescent="0.25"/>
    <row r="207519" customFormat="1" x14ac:dyDescent="0.25"/>
    <row r="207520" customFormat="1" x14ac:dyDescent="0.25"/>
    <row r="207521" customFormat="1" x14ac:dyDescent="0.25"/>
    <row r="207522" customFormat="1" x14ac:dyDescent="0.25"/>
    <row r="207523" customFormat="1" x14ac:dyDescent="0.25"/>
    <row r="207524" customFormat="1" x14ac:dyDescent="0.25"/>
    <row r="207525" customFormat="1" x14ac:dyDescent="0.25"/>
    <row r="207526" customFormat="1" x14ac:dyDescent="0.25"/>
    <row r="207527" customFormat="1" x14ac:dyDescent="0.25"/>
    <row r="207528" customFormat="1" x14ac:dyDescent="0.25"/>
    <row r="207529" customFormat="1" x14ac:dyDescent="0.25"/>
    <row r="207530" customFormat="1" x14ac:dyDescent="0.25"/>
    <row r="207531" customFormat="1" x14ac:dyDescent="0.25"/>
    <row r="207532" customFormat="1" x14ac:dyDescent="0.25"/>
    <row r="207533" customFormat="1" x14ac:dyDescent="0.25"/>
    <row r="207534" customFormat="1" x14ac:dyDescent="0.25"/>
    <row r="207535" customFormat="1" x14ac:dyDescent="0.25"/>
    <row r="207536" customFormat="1" x14ac:dyDescent="0.25"/>
    <row r="207537" customFormat="1" x14ac:dyDescent="0.25"/>
    <row r="207538" customFormat="1" x14ac:dyDescent="0.25"/>
    <row r="207539" customFormat="1" x14ac:dyDescent="0.25"/>
    <row r="207540" customFormat="1" x14ac:dyDescent="0.25"/>
    <row r="207541" customFormat="1" x14ac:dyDescent="0.25"/>
    <row r="207542" customFormat="1" x14ac:dyDescent="0.25"/>
    <row r="207543" customFormat="1" x14ac:dyDescent="0.25"/>
    <row r="207544" customFormat="1" x14ac:dyDescent="0.25"/>
    <row r="207545" customFormat="1" x14ac:dyDescent="0.25"/>
    <row r="207546" customFormat="1" x14ac:dyDescent="0.25"/>
    <row r="207547" customFormat="1" x14ac:dyDescent="0.25"/>
    <row r="207548" customFormat="1" x14ac:dyDescent="0.25"/>
    <row r="207549" customFormat="1" x14ac:dyDescent="0.25"/>
    <row r="207550" customFormat="1" x14ac:dyDescent="0.25"/>
    <row r="207551" customFormat="1" x14ac:dyDescent="0.25"/>
    <row r="207552" customFormat="1" x14ac:dyDescent="0.25"/>
    <row r="207553" customFormat="1" x14ac:dyDescent="0.25"/>
    <row r="207554" customFormat="1" x14ac:dyDescent="0.25"/>
    <row r="207555" customFormat="1" x14ac:dyDescent="0.25"/>
    <row r="207556" customFormat="1" x14ac:dyDescent="0.25"/>
    <row r="207557" customFormat="1" x14ac:dyDescent="0.25"/>
    <row r="207558" customFormat="1" x14ac:dyDescent="0.25"/>
    <row r="207559" customFormat="1" x14ac:dyDescent="0.25"/>
    <row r="207560" customFormat="1" x14ac:dyDescent="0.25"/>
    <row r="207561" customFormat="1" x14ac:dyDescent="0.25"/>
    <row r="207562" customFormat="1" x14ac:dyDescent="0.25"/>
    <row r="207563" customFormat="1" x14ac:dyDescent="0.25"/>
    <row r="207564" customFormat="1" x14ac:dyDescent="0.25"/>
    <row r="207565" customFormat="1" x14ac:dyDescent="0.25"/>
    <row r="207566" customFormat="1" x14ac:dyDescent="0.25"/>
    <row r="207567" customFormat="1" x14ac:dyDescent="0.25"/>
    <row r="207568" customFormat="1" x14ac:dyDescent="0.25"/>
    <row r="207569" customFormat="1" x14ac:dyDescent="0.25"/>
    <row r="207570" customFormat="1" x14ac:dyDescent="0.25"/>
    <row r="207571" customFormat="1" x14ac:dyDescent="0.25"/>
    <row r="207572" customFormat="1" x14ac:dyDescent="0.25"/>
    <row r="207573" customFormat="1" x14ac:dyDescent="0.25"/>
    <row r="207574" customFormat="1" x14ac:dyDescent="0.25"/>
    <row r="207575" customFormat="1" x14ac:dyDescent="0.25"/>
    <row r="207576" customFormat="1" x14ac:dyDescent="0.25"/>
    <row r="207577" customFormat="1" x14ac:dyDescent="0.25"/>
    <row r="207578" customFormat="1" x14ac:dyDescent="0.25"/>
    <row r="207579" customFormat="1" x14ac:dyDescent="0.25"/>
    <row r="207580" customFormat="1" x14ac:dyDescent="0.25"/>
    <row r="207581" customFormat="1" x14ac:dyDescent="0.25"/>
    <row r="207582" customFormat="1" x14ac:dyDescent="0.25"/>
    <row r="207583" customFormat="1" x14ac:dyDescent="0.25"/>
    <row r="207584" customFormat="1" x14ac:dyDescent="0.25"/>
    <row r="207585" customFormat="1" x14ac:dyDescent="0.25"/>
    <row r="207586" customFormat="1" x14ac:dyDescent="0.25"/>
    <row r="207587" customFormat="1" x14ac:dyDescent="0.25"/>
    <row r="207588" customFormat="1" x14ac:dyDescent="0.25"/>
    <row r="207589" customFormat="1" x14ac:dyDescent="0.25"/>
    <row r="207590" customFormat="1" x14ac:dyDescent="0.25"/>
    <row r="207591" customFormat="1" x14ac:dyDescent="0.25"/>
    <row r="207592" customFormat="1" x14ac:dyDescent="0.25"/>
    <row r="207593" customFormat="1" x14ac:dyDescent="0.25"/>
    <row r="207594" customFormat="1" x14ac:dyDescent="0.25"/>
    <row r="207595" customFormat="1" x14ac:dyDescent="0.25"/>
    <row r="207596" customFormat="1" x14ac:dyDescent="0.25"/>
    <row r="207597" customFormat="1" x14ac:dyDescent="0.25"/>
    <row r="207598" customFormat="1" x14ac:dyDescent="0.25"/>
    <row r="207599" customFormat="1" x14ac:dyDescent="0.25"/>
    <row r="207600" customFormat="1" x14ac:dyDescent="0.25"/>
    <row r="207601" customFormat="1" x14ac:dyDescent="0.25"/>
    <row r="207602" customFormat="1" x14ac:dyDescent="0.25"/>
    <row r="207603" customFormat="1" x14ac:dyDescent="0.25"/>
    <row r="207604" customFormat="1" x14ac:dyDescent="0.25"/>
    <row r="207605" customFormat="1" x14ac:dyDescent="0.25"/>
    <row r="207606" customFormat="1" x14ac:dyDescent="0.25"/>
    <row r="207607" customFormat="1" x14ac:dyDescent="0.25"/>
    <row r="207608" customFormat="1" x14ac:dyDescent="0.25"/>
    <row r="207609" customFormat="1" x14ac:dyDescent="0.25"/>
    <row r="207610" customFormat="1" x14ac:dyDescent="0.25"/>
    <row r="207611" customFormat="1" x14ac:dyDescent="0.25"/>
    <row r="207612" customFormat="1" x14ac:dyDescent="0.25"/>
    <row r="207613" customFormat="1" x14ac:dyDescent="0.25"/>
    <row r="207614" customFormat="1" x14ac:dyDescent="0.25"/>
    <row r="207615" customFormat="1" x14ac:dyDescent="0.25"/>
    <row r="207616" customFormat="1" x14ac:dyDescent="0.25"/>
    <row r="207617" customFormat="1" x14ac:dyDescent="0.25"/>
    <row r="207618" customFormat="1" x14ac:dyDescent="0.25"/>
    <row r="207619" customFormat="1" x14ac:dyDescent="0.25"/>
    <row r="207620" customFormat="1" x14ac:dyDescent="0.25"/>
    <row r="207621" customFormat="1" x14ac:dyDescent="0.25"/>
    <row r="207622" customFormat="1" x14ac:dyDescent="0.25"/>
    <row r="207623" customFormat="1" x14ac:dyDescent="0.25"/>
    <row r="207624" customFormat="1" x14ac:dyDescent="0.25"/>
    <row r="207625" customFormat="1" x14ac:dyDescent="0.25"/>
    <row r="207626" customFormat="1" x14ac:dyDescent="0.25"/>
    <row r="207627" customFormat="1" x14ac:dyDescent="0.25"/>
    <row r="207628" customFormat="1" x14ac:dyDescent="0.25"/>
    <row r="207629" customFormat="1" x14ac:dyDescent="0.25"/>
    <row r="207630" customFormat="1" x14ac:dyDescent="0.25"/>
    <row r="207631" customFormat="1" x14ac:dyDescent="0.25"/>
    <row r="207632" customFormat="1" x14ac:dyDescent="0.25"/>
    <row r="207633" customFormat="1" x14ac:dyDescent="0.25"/>
    <row r="207634" customFormat="1" x14ac:dyDescent="0.25"/>
    <row r="207635" customFormat="1" x14ac:dyDescent="0.25"/>
    <row r="207636" customFormat="1" x14ac:dyDescent="0.25"/>
    <row r="207637" customFormat="1" x14ac:dyDescent="0.25"/>
    <row r="207638" customFormat="1" x14ac:dyDescent="0.25"/>
    <row r="207639" customFormat="1" x14ac:dyDescent="0.25"/>
    <row r="207640" customFormat="1" x14ac:dyDescent="0.25"/>
    <row r="207641" customFormat="1" x14ac:dyDescent="0.25"/>
    <row r="207642" customFormat="1" x14ac:dyDescent="0.25"/>
    <row r="207643" customFormat="1" x14ac:dyDescent="0.25"/>
    <row r="207644" customFormat="1" x14ac:dyDescent="0.25"/>
    <row r="207645" customFormat="1" x14ac:dyDescent="0.25"/>
    <row r="207646" customFormat="1" x14ac:dyDescent="0.25"/>
    <row r="207647" customFormat="1" x14ac:dyDescent="0.25"/>
    <row r="207648" customFormat="1" x14ac:dyDescent="0.25"/>
    <row r="207649" customFormat="1" x14ac:dyDescent="0.25"/>
    <row r="207650" customFormat="1" x14ac:dyDescent="0.25"/>
    <row r="207651" customFormat="1" x14ac:dyDescent="0.25"/>
    <row r="207652" customFormat="1" x14ac:dyDescent="0.25"/>
    <row r="207653" customFormat="1" x14ac:dyDescent="0.25"/>
    <row r="207654" customFormat="1" x14ac:dyDescent="0.25"/>
    <row r="207655" customFormat="1" x14ac:dyDescent="0.25"/>
    <row r="207656" customFormat="1" x14ac:dyDescent="0.25"/>
    <row r="207657" customFormat="1" x14ac:dyDescent="0.25"/>
    <row r="207658" customFormat="1" x14ac:dyDescent="0.25"/>
    <row r="207659" customFormat="1" x14ac:dyDescent="0.25"/>
    <row r="207660" customFormat="1" x14ac:dyDescent="0.25"/>
    <row r="207661" customFormat="1" x14ac:dyDescent="0.25"/>
    <row r="207662" customFormat="1" x14ac:dyDescent="0.25"/>
    <row r="207663" customFormat="1" x14ac:dyDescent="0.25"/>
    <row r="207664" customFormat="1" x14ac:dyDescent="0.25"/>
    <row r="207665" customFormat="1" x14ac:dyDescent="0.25"/>
    <row r="207666" customFormat="1" x14ac:dyDescent="0.25"/>
    <row r="207667" customFormat="1" x14ac:dyDescent="0.25"/>
    <row r="207668" customFormat="1" x14ac:dyDescent="0.25"/>
    <row r="207669" customFormat="1" x14ac:dyDescent="0.25"/>
    <row r="207670" customFormat="1" x14ac:dyDescent="0.25"/>
    <row r="207671" customFormat="1" x14ac:dyDescent="0.25"/>
    <row r="207672" customFormat="1" x14ac:dyDescent="0.25"/>
    <row r="207673" customFormat="1" x14ac:dyDescent="0.25"/>
    <row r="207674" customFormat="1" x14ac:dyDescent="0.25"/>
    <row r="207675" customFormat="1" x14ac:dyDescent="0.25"/>
    <row r="207676" customFormat="1" x14ac:dyDescent="0.25"/>
    <row r="207677" customFormat="1" x14ac:dyDescent="0.25"/>
    <row r="207678" customFormat="1" x14ac:dyDescent="0.25"/>
    <row r="207679" customFormat="1" x14ac:dyDescent="0.25"/>
    <row r="207680" customFormat="1" x14ac:dyDescent="0.25"/>
    <row r="207681" customFormat="1" x14ac:dyDescent="0.25"/>
    <row r="207682" customFormat="1" x14ac:dyDescent="0.25"/>
    <row r="207683" customFormat="1" x14ac:dyDescent="0.25"/>
    <row r="207684" customFormat="1" x14ac:dyDescent="0.25"/>
    <row r="207685" customFormat="1" x14ac:dyDescent="0.25"/>
    <row r="207686" customFormat="1" x14ac:dyDescent="0.25"/>
    <row r="207687" customFormat="1" x14ac:dyDescent="0.25"/>
    <row r="207688" customFormat="1" x14ac:dyDescent="0.25"/>
    <row r="207689" customFormat="1" x14ac:dyDescent="0.25"/>
    <row r="207690" customFormat="1" x14ac:dyDescent="0.25"/>
    <row r="207691" customFormat="1" x14ac:dyDescent="0.25"/>
    <row r="207692" customFormat="1" x14ac:dyDescent="0.25"/>
    <row r="207693" customFormat="1" x14ac:dyDescent="0.25"/>
    <row r="207694" customFormat="1" x14ac:dyDescent="0.25"/>
    <row r="207695" customFormat="1" x14ac:dyDescent="0.25"/>
    <row r="207696" customFormat="1" x14ac:dyDescent="0.25"/>
    <row r="207697" customFormat="1" x14ac:dyDescent="0.25"/>
    <row r="207698" customFormat="1" x14ac:dyDescent="0.25"/>
    <row r="207699" customFormat="1" x14ac:dyDescent="0.25"/>
    <row r="207700" customFormat="1" x14ac:dyDescent="0.25"/>
    <row r="207701" customFormat="1" x14ac:dyDescent="0.25"/>
    <row r="207702" customFormat="1" x14ac:dyDescent="0.25"/>
    <row r="207703" customFormat="1" x14ac:dyDescent="0.25"/>
    <row r="207704" customFormat="1" x14ac:dyDescent="0.25"/>
    <row r="207705" customFormat="1" x14ac:dyDescent="0.25"/>
    <row r="207706" customFormat="1" x14ac:dyDescent="0.25"/>
    <row r="207707" customFormat="1" x14ac:dyDescent="0.25"/>
    <row r="207708" customFormat="1" x14ac:dyDescent="0.25"/>
    <row r="207709" customFormat="1" x14ac:dyDescent="0.25"/>
    <row r="207710" customFormat="1" x14ac:dyDescent="0.25"/>
    <row r="207711" customFormat="1" x14ac:dyDescent="0.25"/>
    <row r="207712" customFormat="1" x14ac:dyDescent="0.25"/>
    <row r="207713" customFormat="1" x14ac:dyDescent="0.25"/>
    <row r="207714" customFormat="1" x14ac:dyDescent="0.25"/>
    <row r="207715" customFormat="1" x14ac:dyDescent="0.25"/>
    <row r="207716" customFormat="1" x14ac:dyDescent="0.25"/>
    <row r="207717" customFormat="1" x14ac:dyDescent="0.25"/>
    <row r="207718" customFormat="1" x14ac:dyDescent="0.25"/>
    <row r="207719" customFormat="1" x14ac:dyDescent="0.25"/>
    <row r="207720" customFormat="1" x14ac:dyDescent="0.25"/>
    <row r="207721" customFormat="1" x14ac:dyDescent="0.25"/>
    <row r="207722" customFormat="1" x14ac:dyDescent="0.25"/>
    <row r="207723" customFormat="1" x14ac:dyDescent="0.25"/>
    <row r="207724" customFormat="1" x14ac:dyDescent="0.25"/>
    <row r="207725" customFormat="1" x14ac:dyDescent="0.25"/>
    <row r="207726" customFormat="1" x14ac:dyDescent="0.25"/>
    <row r="207727" customFormat="1" x14ac:dyDescent="0.25"/>
    <row r="207728" customFormat="1" x14ac:dyDescent="0.25"/>
    <row r="207729" customFormat="1" x14ac:dyDescent="0.25"/>
    <row r="207730" customFormat="1" x14ac:dyDescent="0.25"/>
    <row r="207731" customFormat="1" x14ac:dyDescent="0.25"/>
    <row r="207732" customFormat="1" x14ac:dyDescent="0.25"/>
    <row r="207733" customFormat="1" x14ac:dyDescent="0.25"/>
    <row r="207734" customFormat="1" x14ac:dyDescent="0.25"/>
    <row r="207735" customFormat="1" x14ac:dyDescent="0.25"/>
    <row r="207736" customFormat="1" x14ac:dyDescent="0.25"/>
    <row r="207737" customFormat="1" x14ac:dyDescent="0.25"/>
    <row r="207738" customFormat="1" x14ac:dyDescent="0.25"/>
    <row r="207739" customFormat="1" x14ac:dyDescent="0.25"/>
    <row r="207740" customFormat="1" x14ac:dyDescent="0.25"/>
    <row r="207741" customFormat="1" x14ac:dyDescent="0.25"/>
    <row r="207742" customFormat="1" x14ac:dyDescent="0.25"/>
    <row r="207743" customFormat="1" x14ac:dyDescent="0.25"/>
    <row r="207744" customFormat="1" x14ac:dyDescent="0.25"/>
    <row r="207745" customFormat="1" x14ac:dyDescent="0.25"/>
    <row r="207746" customFormat="1" x14ac:dyDescent="0.25"/>
    <row r="207747" customFormat="1" x14ac:dyDescent="0.25"/>
    <row r="207748" customFormat="1" x14ac:dyDescent="0.25"/>
    <row r="207749" customFormat="1" x14ac:dyDescent="0.25"/>
    <row r="207750" customFormat="1" x14ac:dyDescent="0.25"/>
    <row r="207751" customFormat="1" x14ac:dyDescent="0.25"/>
    <row r="207752" customFormat="1" x14ac:dyDescent="0.25"/>
    <row r="207753" customFormat="1" x14ac:dyDescent="0.25"/>
    <row r="207754" customFormat="1" x14ac:dyDescent="0.25"/>
    <row r="207755" customFormat="1" x14ac:dyDescent="0.25"/>
    <row r="207756" customFormat="1" x14ac:dyDescent="0.25"/>
    <row r="207757" customFormat="1" x14ac:dyDescent="0.25"/>
    <row r="207758" customFormat="1" x14ac:dyDescent="0.25"/>
    <row r="207759" customFormat="1" x14ac:dyDescent="0.25"/>
    <row r="207760" customFormat="1" x14ac:dyDescent="0.25"/>
    <row r="207761" customFormat="1" x14ac:dyDescent="0.25"/>
    <row r="207762" customFormat="1" x14ac:dyDescent="0.25"/>
    <row r="207763" customFormat="1" x14ac:dyDescent="0.25"/>
    <row r="207764" customFormat="1" x14ac:dyDescent="0.25"/>
    <row r="207765" customFormat="1" x14ac:dyDescent="0.25"/>
    <row r="207766" customFormat="1" x14ac:dyDescent="0.25"/>
    <row r="207767" customFormat="1" x14ac:dyDescent="0.25"/>
    <row r="207768" customFormat="1" x14ac:dyDescent="0.25"/>
    <row r="207769" customFormat="1" x14ac:dyDescent="0.25"/>
    <row r="207770" customFormat="1" x14ac:dyDescent="0.25"/>
    <row r="207771" customFormat="1" x14ac:dyDescent="0.25"/>
    <row r="207772" customFormat="1" x14ac:dyDescent="0.25"/>
    <row r="207773" customFormat="1" x14ac:dyDescent="0.25"/>
    <row r="207774" customFormat="1" x14ac:dyDescent="0.25"/>
    <row r="207775" customFormat="1" x14ac:dyDescent="0.25"/>
    <row r="207776" customFormat="1" x14ac:dyDescent="0.25"/>
    <row r="207777" customFormat="1" x14ac:dyDescent="0.25"/>
    <row r="207778" customFormat="1" x14ac:dyDescent="0.25"/>
    <row r="207779" customFormat="1" x14ac:dyDescent="0.25"/>
    <row r="207780" customFormat="1" x14ac:dyDescent="0.25"/>
    <row r="207781" customFormat="1" x14ac:dyDescent="0.25"/>
    <row r="207782" customFormat="1" x14ac:dyDescent="0.25"/>
    <row r="207783" customFormat="1" x14ac:dyDescent="0.25"/>
    <row r="207784" customFormat="1" x14ac:dyDescent="0.25"/>
    <row r="207785" customFormat="1" x14ac:dyDescent="0.25"/>
    <row r="207786" customFormat="1" x14ac:dyDescent="0.25"/>
    <row r="207787" customFormat="1" x14ac:dyDescent="0.25"/>
    <row r="207788" customFormat="1" x14ac:dyDescent="0.25"/>
    <row r="207789" customFormat="1" x14ac:dyDescent="0.25"/>
    <row r="207790" customFormat="1" x14ac:dyDescent="0.25"/>
    <row r="207791" customFormat="1" x14ac:dyDescent="0.25"/>
    <row r="207792" customFormat="1" x14ac:dyDescent="0.25"/>
    <row r="207793" customFormat="1" x14ac:dyDescent="0.25"/>
    <row r="207794" customFormat="1" x14ac:dyDescent="0.25"/>
    <row r="207795" customFormat="1" x14ac:dyDescent="0.25"/>
    <row r="207796" customFormat="1" x14ac:dyDescent="0.25"/>
    <row r="207797" customFormat="1" x14ac:dyDescent="0.25"/>
    <row r="207798" customFormat="1" x14ac:dyDescent="0.25"/>
    <row r="207799" customFormat="1" x14ac:dyDescent="0.25"/>
    <row r="207800" customFormat="1" x14ac:dyDescent="0.25"/>
    <row r="207801" customFormat="1" x14ac:dyDescent="0.25"/>
    <row r="207802" customFormat="1" x14ac:dyDescent="0.25"/>
    <row r="207803" customFormat="1" x14ac:dyDescent="0.25"/>
    <row r="207804" customFormat="1" x14ac:dyDescent="0.25"/>
    <row r="207805" customFormat="1" x14ac:dyDescent="0.25"/>
    <row r="207806" customFormat="1" x14ac:dyDescent="0.25"/>
    <row r="207807" customFormat="1" x14ac:dyDescent="0.25"/>
    <row r="207808" customFormat="1" x14ac:dyDescent="0.25"/>
    <row r="207809" customFormat="1" x14ac:dyDescent="0.25"/>
    <row r="207810" customFormat="1" x14ac:dyDescent="0.25"/>
    <row r="207811" customFormat="1" x14ac:dyDescent="0.25"/>
    <row r="207812" customFormat="1" x14ac:dyDescent="0.25"/>
    <row r="207813" customFormat="1" x14ac:dyDescent="0.25"/>
    <row r="207814" customFormat="1" x14ac:dyDescent="0.25"/>
    <row r="207815" customFormat="1" x14ac:dyDescent="0.25"/>
    <row r="207816" customFormat="1" x14ac:dyDescent="0.25"/>
    <row r="207817" customFormat="1" x14ac:dyDescent="0.25"/>
    <row r="207818" customFormat="1" x14ac:dyDescent="0.25"/>
    <row r="207819" customFormat="1" x14ac:dyDescent="0.25"/>
    <row r="207820" customFormat="1" x14ac:dyDescent="0.25"/>
    <row r="207821" customFormat="1" x14ac:dyDescent="0.25"/>
    <row r="207822" customFormat="1" x14ac:dyDescent="0.25"/>
    <row r="207823" customFormat="1" x14ac:dyDescent="0.25"/>
    <row r="207824" customFormat="1" x14ac:dyDescent="0.25"/>
    <row r="207825" customFormat="1" x14ac:dyDescent="0.25"/>
    <row r="207826" customFormat="1" x14ac:dyDescent="0.25"/>
    <row r="207827" customFormat="1" x14ac:dyDescent="0.25"/>
    <row r="207828" customFormat="1" x14ac:dyDescent="0.25"/>
    <row r="207829" customFormat="1" x14ac:dyDescent="0.25"/>
    <row r="207830" customFormat="1" x14ac:dyDescent="0.25"/>
    <row r="207831" customFormat="1" x14ac:dyDescent="0.25"/>
    <row r="207832" customFormat="1" x14ac:dyDescent="0.25"/>
    <row r="207833" customFormat="1" x14ac:dyDescent="0.25"/>
    <row r="207834" customFormat="1" x14ac:dyDescent="0.25"/>
    <row r="207835" customFormat="1" x14ac:dyDescent="0.25"/>
    <row r="207836" customFormat="1" x14ac:dyDescent="0.25"/>
    <row r="207837" customFormat="1" x14ac:dyDescent="0.25"/>
    <row r="207838" customFormat="1" x14ac:dyDescent="0.25"/>
    <row r="207839" customFormat="1" x14ac:dyDescent="0.25"/>
    <row r="207840" customFormat="1" x14ac:dyDescent="0.25"/>
    <row r="207841" customFormat="1" x14ac:dyDescent="0.25"/>
    <row r="207842" customFormat="1" x14ac:dyDescent="0.25"/>
    <row r="207843" customFormat="1" x14ac:dyDescent="0.25"/>
    <row r="207844" customFormat="1" x14ac:dyDescent="0.25"/>
    <row r="207845" customFormat="1" x14ac:dyDescent="0.25"/>
    <row r="207846" customFormat="1" x14ac:dyDescent="0.25"/>
    <row r="207847" customFormat="1" x14ac:dyDescent="0.25"/>
    <row r="207848" customFormat="1" x14ac:dyDescent="0.25"/>
    <row r="207849" customFormat="1" x14ac:dyDescent="0.25"/>
    <row r="207850" customFormat="1" x14ac:dyDescent="0.25"/>
    <row r="207851" customFormat="1" x14ac:dyDescent="0.25"/>
    <row r="207852" customFormat="1" x14ac:dyDescent="0.25"/>
    <row r="207853" customFormat="1" x14ac:dyDescent="0.25"/>
    <row r="207854" customFormat="1" x14ac:dyDescent="0.25"/>
    <row r="207855" customFormat="1" x14ac:dyDescent="0.25"/>
    <row r="207856" customFormat="1" x14ac:dyDescent="0.25"/>
    <row r="207857" customFormat="1" x14ac:dyDescent="0.25"/>
    <row r="207858" customFormat="1" x14ac:dyDescent="0.25"/>
    <row r="207859" customFormat="1" x14ac:dyDescent="0.25"/>
    <row r="207860" customFormat="1" x14ac:dyDescent="0.25"/>
    <row r="207861" customFormat="1" x14ac:dyDescent="0.25"/>
    <row r="207862" customFormat="1" x14ac:dyDescent="0.25"/>
    <row r="207863" customFormat="1" x14ac:dyDescent="0.25"/>
    <row r="207864" customFormat="1" x14ac:dyDescent="0.25"/>
    <row r="207865" customFormat="1" x14ac:dyDescent="0.25"/>
    <row r="207866" customFormat="1" x14ac:dyDescent="0.25"/>
    <row r="207867" customFormat="1" x14ac:dyDescent="0.25"/>
    <row r="207868" customFormat="1" x14ac:dyDescent="0.25"/>
    <row r="207869" customFormat="1" x14ac:dyDescent="0.25"/>
    <row r="207870" customFormat="1" x14ac:dyDescent="0.25"/>
    <row r="207871" customFormat="1" x14ac:dyDescent="0.25"/>
    <row r="207872" customFormat="1" x14ac:dyDescent="0.25"/>
    <row r="207873" customFormat="1" x14ac:dyDescent="0.25"/>
    <row r="207874" customFormat="1" x14ac:dyDescent="0.25"/>
    <row r="207875" customFormat="1" x14ac:dyDescent="0.25"/>
    <row r="207876" customFormat="1" x14ac:dyDescent="0.25"/>
    <row r="207877" customFormat="1" x14ac:dyDescent="0.25"/>
    <row r="207878" customFormat="1" x14ac:dyDescent="0.25"/>
    <row r="207879" customFormat="1" x14ac:dyDescent="0.25"/>
    <row r="207880" customFormat="1" x14ac:dyDescent="0.25"/>
    <row r="207881" customFormat="1" x14ac:dyDescent="0.25"/>
    <row r="207882" customFormat="1" x14ac:dyDescent="0.25"/>
    <row r="207883" customFormat="1" x14ac:dyDescent="0.25"/>
    <row r="207884" customFormat="1" x14ac:dyDescent="0.25"/>
    <row r="207885" customFormat="1" x14ac:dyDescent="0.25"/>
    <row r="207886" customFormat="1" x14ac:dyDescent="0.25"/>
    <row r="207887" customFormat="1" x14ac:dyDescent="0.25"/>
    <row r="207888" customFormat="1" x14ac:dyDescent="0.25"/>
    <row r="207889" customFormat="1" x14ac:dyDescent="0.25"/>
    <row r="207890" customFormat="1" x14ac:dyDescent="0.25"/>
    <row r="207891" customFormat="1" x14ac:dyDescent="0.25"/>
    <row r="207892" customFormat="1" x14ac:dyDescent="0.25"/>
    <row r="207893" customFormat="1" x14ac:dyDescent="0.25"/>
    <row r="207894" customFormat="1" x14ac:dyDescent="0.25"/>
    <row r="207895" customFormat="1" x14ac:dyDescent="0.25"/>
    <row r="207896" customFormat="1" x14ac:dyDescent="0.25"/>
    <row r="207897" customFormat="1" x14ac:dyDescent="0.25"/>
    <row r="207898" customFormat="1" x14ac:dyDescent="0.25"/>
    <row r="207899" customFormat="1" x14ac:dyDescent="0.25"/>
    <row r="207900" customFormat="1" x14ac:dyDescent="0.25"/>
    <row r="207901" customFormat="1" x14ac:dyDescent="0.25"/>
    <row r="207902" customFormat="1" x14ac:dyDescent="0.25"/>
    <row r="207903" customFormat="1" x14ac:dyDescent="0.25"/>
    <row r="207904" customFormat="1" x14ac:dyDescent="0.25"/>
    <row r="207905" customFormat="1" x14ac:dyDescent="0.25"/>
    <row r="207906" customFormat="1" x14ac:dyDescent="0.25"/>
    <row r="207907" customFormat="1" x14ac:dyDescent="0.25"/>
    <row r="207908" customFormat="1" x14ac:dyDescent="0.25"/>
    <row r="207909" customFormat="1" x14ac:dyDescent="0.25"/>
    <row r="207910" customFormat="1" x14ac:dyDescent="0.25"/>
    <row r="207911" customFormat="1" x14ac:dyDescent="0.25"/>
    <row r="207912" customFormat="1" x14ac:dyDescent="0.25"/>
    <row r="207913" customFormat="1" x14ac:dyDescent="0.25"/>
    <row r="207914" customFormat="1" x14ac:dyDescent="0.25"/>
    <row r="207915" customFormat="1" x14ac:dyDescent="0.25"/>
    <row r="207916" customFormat="1" x14ac:dyDescent="0.25"/>
    <row r="207917" customFormat="1" x14ac:dyDescent="0.25"/>
    <row r="207918" customFormat="1" x14ac:dyDescent="0.25"/>
    <row r="207919" customFormat="1" x14ac:dyDescent="0.25"/>
    <row r="207920" customFormat="1" x14ac:dyDescent="0.25"/>
    <row r="207921" customFormat="1" x14ac:dyDescent="0.25"/>
    <row r="207922" customFormat="1" x14ac:dyDescent="0.25"/>
    <row r="207923" customFormat="1" x14ac:dyDescent="0.25"/>
    <row r="207924" customFormat="1" x14ac:dyDescent="0.25"/>
    <row r="207925" customFormat="1" x14ac:dyDescent="0.25"/>
    <row r="207926" customFormat="1" x14ac:dyDescent="0.25"/>
    <row r="207927" customFormat="1" x14ac:dyDescent="0.25"/>
    <row r="207928" customFormat="1" x14ac:dyDescent="0.25"/>
    <row r="207929" customFormat="1" x14ac:dyDescent="0.25"/>
    <row r="207930" customFormat="1" x14ac:dyDescent="0.25"/>
    <row r="207931" customFormat="1" x14ac:dyDescent="0.25"/>
    <row r="207932" customFormat="1" x14ac:dyDescent="0.25"/>
    <row r="207933" customFormat="1" x14ac:dyDescent="0.25"/>
    <row r="207934" customFormat="1" x14ac:dyDescent="0.25"/>
    <row r="207935" customFormat="1" x14ac:dyDescent="0.25"/>
    <row r="207936" customFormat="1" x14ac:dyDescent="0.25"/>
    <row r="207937" customFormat="1" x14ac:dyDescent="0.25"/>
    <row r="207938" customFormat="1" x14ac:dyDescent="0.25"/>
    <row r="207939" customFormat="1" x14ac:dyDescent="0.25"/>
    <row r="207940" customFormat="1" x14ac:dyDescent="0.25"/>
    <row r="207941" customFormat="1" x14ac:dyDescent="0.25"/>
    <row r="207942" customFormat="1" x14ac:dyDescent="0.25"/>
    <row r="207943" customFormat="1" x14ac:dyDescent="0.25"/>
    <row r="207944" customFormat="1" x14ac:dyDescent="0.25"/>
    <row r="207945" customFormat="1" x14ac:dyDescent="0.25"/>
    <row r="207946" customFormat="1" x14ac:dyDescent="0.25"/>
    <row r="207947" customFormat="1" x14ac:dyDescent="0.25"/>
    <row r="207948" customFormat="1" x14ac:dyDescent="0.25"/>
    <row r="207949" customFormat="1" x14ac:dyDescent="0.25"/>
    <row r="207950" customFormat="1" x14ac:dyDescent="0.25"/>
    <row r="207951" customFormat="1" x14ac:dyDescent="0.25"/>
    <row r="207952" customFormat="1" x14ac:dyDescent="0.25"/>
    <row r="207953" customFormat="1" x14ac:dyDescent="0.25"/>
    <row r="207954" customFormat="1" x14ac:dyDescent="0.25"/>
    <row r="207955" customFormat="1" x14ac:dyDescent="0.25"/>
    <row r="207956" customFormat="1" x14ac:dyDescent="0.25"/>
    <row r="207957" customFormat="1" x14ac:dyDescent="0.25"/>
    <row r="207958" customFormat="1" x14ac:dyDescent="0.25"/>
    <row r="207959" customFormat="1" x14ac:dyDescent="0.25"/>
    <row r="207960" customFormat="1" x14ac:dyDescent="0.25"/>
    <row r="207961" customFormat="1" x14ac:dyDescent="0.25"/>
    <row r="207962" customFormat="1" x14ac:dyDescent="0.25"/>
    <row r="207963" customFormat="1" x14ac:dyDescent="0.25"/>
    <row r="207964" customFormat="1" x14ac:dyDescent="0.25"/>
    <row r="207965" customFormat="1" x14ac:dyDescent="0.25"/>
    <row r="207966" customFormat="1" x14ac:dyDescent="0.25"/>
    <row r="207967" customFormat="1" x14ac:dyDescent="0.25"/>
    <row r="207968" customFormat="1" x14ac:dyDescent="0.25"/>
    <row r="207969" customFormat="1" x14ac:dyDescent="0.25"/>
    <row r="207970" customFormat="1" x14ac:dyDescent="0.25"/>
    <row r="207971" customFormat="1" x14ac:dyDescent="0.25"/>
    <row r="207972" customFormat="1" x14ac:dyDescent="0.25"/>
    <row r="207973" customFormat="1" x14ac:dyDescent="0.25"/>
    <row r="207974" customFormat="1" x14ac:dyDescent="0.25"/>
    <row r="207975" customFormat="1" x14ac:dyDescent="0.25"/>
    <row r="207976" customFormat="1" x14ac:dyDescent="0.25"/>
    <row r="207977" customFormat="1" x14ac:dyDescent="0.25"/>
    <row r="207978" customFormat="1" x14ac:dyDescent="0.25"/>
    <row r="207979" customFormat="1" x14ac:dyDescent="0.25"/>
    <row r="207980" customFormat="1" x14ac:dyDescent="0.25"/>
    <row r="207981" customFormat="1" x14ac:dyDescent="0.25"/>
    <row r="207982" customFormat="1" x14ac:dyDescent="0.25"/>
    <row r="207983" customFormat="1" x14ac:dyDescent="0.25"/>
    <row r="207984" customFormat="1" x14ac:dyDescent="0.25"/>
    <row r="207985" customFormat="1" x14ac:dyDescent="0.25"/>
    <row r="207986" customFormat="1" x14ac:dyDescent="0.25"/>
    <row r="207987" customFormat="1" x14ac:dyDescent="0.25"/>
    <row r="207988" customFormat="1" x14ac:dyDescent="0.25"/>
    <row r="207989" customFormat="1" x14ac:dyDescent="0.25"/>
    <row r="207990" customFormat="1" x14ac:dyDescent="0.25"/>
    <row r="207991" customFormat="1" x14ac:dyDescent="0.25"/>
    <row r="207992" customFormat="1" x14ac:dyDescent="0.25"/>
    <row r="207993" customFormat="1" x14ac:dyDescent="0.25"/>
    <row r="207994" customFormat="1" x14ac:dyDescent="0.25"/>
    <row r="207995" customFormat="1" x14ac:dyDescent="0.25"/>
    <row r="207996" customFormat="1" x14ac:dyDescent="0.25"/>
    <row r="207997" customFormat="1" x14ac:dyDescent="0.25"/>
    <row r="207998" customFormat="1" x14ac:dyDescent="0.25"/>
    <row r="207999" customFormat="1" x14ac:dyDescent="0.25"/>
    <row r="208000" customFormat="1" x14ac:dyDescent="0.25"/>
    <row r="208001" customFormat="1" x14ac:dyDescent="0.25"/>
    <row r="208002" customFormat="1" x14ac:dyDescent="0.25"/>
    <row r="208003" customFormat="1" x14ac:dyDescent="0.25"/>
    <row r="208004" customFormat="1" x14ac:dyDescent="0.25"/>
    <row r="208005" customFormat="1" x14ac:dyDescent="0.25"/>
    <row r="208006" customFormat="1" x14ac:dyDescent="0.25"/>
    <row r="208007" customFormat="1" x14ac:dyDescent="0.25"/>
    <row r="208008" customFormat="1" x14ac:dyDescent="0.25"/>
    <row r="208009" customFormat="1" x14ac:dyDescent="0.25"/>
    <row r="208010" customFormat="1" x14ac:dyDescent="0.25"/>
    <row r="208011" customFormat="1" x14ac:dyDescent="0.25"/>
    <row r="208012" customFormat="1" x14ac:dyDescent="0.25"/>
    <row r="208013" customFormat="1" x14ac:dyDescent="0.25"/>
    <row r="208014" customFormat="1" x14ac:dyDescent="0.25"/>
    <row r="208015" customFormat="1" x14ac:dyDescent="0.25"/>
    <row r="208016" customFormat="1" x14ac:dyDescent="0.25"/>
    <row r="208017" customFormat="1" x14ac:dyDescent="0.25"/>
    <row r="208018" customFormat="1" x14ac:dyDescent="0.25"/>
    <row r="208019" customFormat="1" x14ac:dyDescent="0.25"/>
    <row r="208020" customFormat="1" x14ac:dyDescent="0.25"/>
    <row r="208021" customFormat="1" x14ac:dyDescent="0.25"/>
    <row r="208022" customFormat="1" x14ac:dyDescent="0.25"/>
    <row r="208023" customFormat="1" x14ac:dyDescent="0.25"/>
    <row r="208024" customFormat="1" x14ac:dyDescent="0.25"/>
    <row r="208025" customFormat="1" x14ac:dyDescent="0.25"/>
    <row r="208026" customFormat="1" x14ac:dyDescent="0.25"/>
    <row r="208027" customFormat="1" x14ac:dyDescent="0.25"/>
    <row r="208028" customFormat="1" x14ac:dyDescent="0.25"/>
    <row r="208029" customFormat="1" x14ac:dyDescent="0.25"/>
    <row r="208030" customFormat="1" x14ac:dyDescent="0.25"/>
    <row r="208031" customFormat="1" x14ac:dyDescent="0.25"/>
    <row r="208032" customFormat="1" x14ac:dyDescent="0.25"/>
    <row r="208033" customFormat="1" x14ac:dyDescent="0.25"/>
    <row r="208034" customFormat="1" x14ac:dyDescent="0.25"/>
    <row r="208035" customFormat="1" x14ac:dyDescent="0.25"/>
    <row r="208036" customFormat="1" x14ac:dyDescent="0.25"/>
    <row r="208037" customFormat="1" x14ac:dyDescent="0.25"/>
    <row r="208038" customFormat="1" x14ac:dyDescent="0.25"/>
    <row r="208039" customFormat="1" x14ac:dyDescent="0.25"/>
    <row r="208040" customFormat="1" x14ac:dyDescent="0.25"/>
    <row r="208041" customFormat="1" x14ac:dyDescent="0.25"/>
    <row r="208042" customFormat="1" x14ac:dyDescent="0.25"/>
    <row r="208043" customFormat="1" x14ac:dyDescent="0.25"/>
    <row r="208044" customFormat="1" x14ac:dyDescent="0.25"/>
    <row r="208045" customFormat="1" x14ac:dyDescent="0.25"/>
    <row r="208046" customFormat="1" x14ac:dyDescent="0.25"/>
    <row r="208047" customFormat="1" x14ac:dyDescent="0.25"/>
    <row r="208048" customFormat="1" x14ac:dyDescent="0.25"/>
    <row r="208049" customFormat="1" x14ac:dyDescent="0.25"/>
    <row r="208050" customFormat="1" x14ac:dyDescent="0.25"/>
    <row r="208051" customFormat="1" x14ac:dyDescent="0.25"/>
    <row r="208052" customFormat="1" x14ac:dyDescent="0.25"/>
    <row r="208053" customFormat="1" x14ac:dyDescent="0.25"/>
    <row r="208054" customFormat="1" x14ac:dyDescent="0.25"/>
    <row r="208055" customFormat="1" x14ac:dyDescent="0.25"/>
    <row r="208056" customFormat="1" x14ac:dyDescent="0.25"/>
    <row r="208057" customFormat="1" x14ac:dyDescent="0.25"/>
    <row r="208058" customFormat="1" x14ac:dyDescent="0.25"/>
    <row r="208059" customFormat="1" x14ac:dyDescent="0.25"/>
    <row r="208060" customFormat="1" x14ac:dyDescent="0.25"/>
    <row r="208061" customFormat="1" x14ac:dyDescent="0.25"/>
    <row r="208062" customFormat="1" x14ac:dyDescent="0.25"/>
    <row r="208063" customFormat="1" x14ac:dyDescent="0.25"/>
    <row r="208064" customFormat="1" x14ac:dyDescent="0.25"/>
    <row r="208065" customFormat="1" x14ac:dyDescent="0.25"/>
    <row r="208066" customFormat="1" x14ac:dyDescent="0.25"/>
    <row r="208067" customFormat="1" x14ac:dyDescent="0.25"/>
    <row r="208068" customFormat="1" x14ac:dyDescent="0.25"/>
    <row r="208069" customFormat="1" x14ac:dyDescent="0.25"/>
    <row r="208070" customFormat="1" x14ac:dyDescent="0.25"/>
    <row r="208071" customFormat="1" x14ac:dyDescent="0.25"/>
    <row r="208072" customFormat="1" x14ac:dyDescent="0.25"/>
    <row r="208073" customFormat="1" x14ac:dyDescent="0.25"/>
    <row r="208074" customFormat="1" x14ac:dyDescent="0.25"/>
    <row r="208075" customFormat="1" x14ac:dyDescent="0.25"/>
    <row r="208076" customFormat="1" x14ac:dyDescent="0.25"/>
    <row r="208077" customFormat="1" x14ac:dyDescent="0.25"/>
    <row r="208078" customFormat="1" x14ac:dyDescent="0.25"/>
    <row r="208079" customFormat="1" x14ac:dyDescent="0.25"/>
    <row r="208080" customFormat="1" x14ac:dyDescent="0.25"/>
    <row r="208081" customFormat="1" x14ac:dyDescent="0.25"/>
    <row r="208082" customFormat="1" x14ac:dyDescent="0.25"/>
    <row r="208083" customFormat="1" x14ac:dyDescent="0.25"/>
    <row r="208084" customFormat="1" x14ac:dyDescent="0.25"/>
    <row r="208085" customFormat="1" x14ac:dyDescent="0.25"/>
    <row r="208086" customFormat="1" x14ac:dyDescent="0.25"/>
    <row r="208087" customFormat="1" x14ac:dyDescent="0.25"/>
    <row r="208088" customFormat="1" x14ac:dyDescent="0.25"/>
    <row r="208089" customFormat="1" x14ac:dyDescent="0.25"/>
    <row r="208090" customFormat="1" x14ac:dyDescent="0.25"/>
    <row r="208091" customFormat="1" x14ac:dyDescent="0.25"/>
    <row r="208092" customFormat="1" x14ac:dyDescent="0.25"/>
    <row r="208093" customFormat="1" x14ac:dyDescent="0.25"/>
    <row r="208094" customFormat="1" x14ac:dyDescent="0.25"/>
    <row r="208095" customFormat="1" x14ac:dyDescent="0.25"/>
    <row r="208096" customFormat="1" x14ac:dyDescent="0.25"/>
    <row r="208097" customFormat="1" x14ac:dyDescent="0.25"/>
    <row r="208098" customFormat="1" x14ac:dyDescent="0.25"/>
    <row r="208099" customFormat="1" x14ac:dyDescent="0.25"/>
    <row r="208100" customFormat="1" x14ac:dyDescent="0.25"/>
    <row r="208101" customFormat="1" x14ac:dyDescent="0.25"/>
    <row r="208102" customFormat="1" x14ac:dyDescent="0.25"/>
    <row r="208103" customFormat="1" x14ac:dyDescent="0.25"/>
    <row r="208104" customFormat="1" x14ac:dyDescent="0.25"/>
    <row r="208105" customFormat="1" x14ac:dyDescent="0.25"/>
    <row r="208106" customFormat="1" x14ac:dyDescent="0.25"/>
    <row r="208107" customFormat="1" x14ac:dyDescent="0.25"/>
    <row r="208108" customFormat="1" x14ac:dyDescent="0.25"/>
    <row r="208109" customFormat="1" x14ac:dyDescent="0.25"/>
    <row r="208110" customFormat="1" x14ac:dyDescent="0.25"/>
    <row r="208111" customFormat="1" x14ac:dyDescent="0.25"/>
    <row r="208112" customFormat="1" x14ac:dyDescent="0.25"/>
    <row r="208113" customFormat="1" x14ac:dyDescent="0.25"/>
    <row r="208114" customFormat="1" x14ac:dyDescent="0.25"/>
    <row r="208115" customFormat="1" x14ac:dyDescent="0.25"/>
    <row r="208116" customFormat="1" x14ac:dyDescent="0.25"/>
    <row r="208117" customFormat="1" x14ac:dyDescent="0.25"/>
    <row r="208118" customFormat="1" x14ac:dyDescent="0.25"/>
    <row r="208119" customFormat="1" x14ac:dyDescent="0.25"/>
    <row r="208120" customFormat="1" x14ac:dyDescent="0.25"/>
    <row r="208121" customFormat="1" x14ac:dyDescent="0.25"/>
    <row r="208122" customFormat="1" x14ac:dyDescent="0.25"/>
    <row r="208123" customFormat="1" x14ac:dyDescent="0.25"/>
    <row r="208124" customFormat="1" x14ac:dyDescent="0.25"/>
    <row r="208125" customFormat="1" x14ac:dyDescent="0.25"/>
    <row r="208126" customFormat="1" x14ac:dyDescent="0.25"/>
    <row r="208127" customFormat="1" x14ac:dyDescent="0.25"/>
    <row r="208128" customFormat="1" x14ac:dyDescent="0.25"/>
    <row r="208129" customFormat="1" x14ac:dyDescent="0.25"/>
    <row r="208130" customFormat="1" x14ac:dyDescent="0.25"/>
    <row r="208131" customFormat="1" x14ac:dyDescent="0.25"/>
    <row r="208132" customFormat="1" x14ac:dyDescent="0.25"/>
    <row r="208133" customFormat="1" x14ac:dyDescent="0.25"/>
    <row r="208134" customFormat="1" x14ac:dyDescent="0.25"/>
    <row r="208135" customFormat="1" x14ac:dyDescent="0.25"/>
    <row r="208136" customFormat="1" x14ac:dyDescent="0.25"/>
    <row r="208137" customFormat="1" x14ac:dyDescent="0.25"/>
    <row r="208138" customFormat="1" x14ac:dyDescent="0.25"/>
    <row r="208139" customFormat="1" x14ac:dyDescent="0.25"/>
    <row r="208140" customFormat="1" x14ac:dyDescent="0.25"/>
    <row r="208141" customFormat="1" x14ac:dyDescent="0.25"/>
    <row r="208142" customFormat="1" x14ac:dyDescent="0.25"/>
    <row r="208143" customFormat="1" x14ac:dyDescent="0.25"/>
    <row r="208144" customFormat="1" x14ac:dyDescent="0.25"/>
    <row r="208145" customFormat="1" x14ac:dyDescent="0.25"/>
    <row r="208146" customFormat="1" x14ac:dyDescent="0.25"/>
    <row r="208147" customFormat="1" x14ac:dyDescent="0.25"/>
    <row r="208148" customFormat="1" x14ac:dyDescent="0.25"/>
    <row r="208149" customFormat="1" x14ac:dyDescent="0.25"/>
    <row r="208150" customFormat="1" x14ac:dyDescent="0.25"/>
    <row r="208151" customFormat="1" x14ac:dyDescent="0.25"/>
    <row r="208152" customFormat="1" x14ac:dyDescent="0.25"/>
    <row r="208153" customFormat="1" x14ac:dyDescent="0.25"/>
    <row r="208154" customFormat="1" x14ac:dyDescent="0.25"/>
    <row r="208155" customFormat="1" x14ac:dyDescent="0.25"/>
    <row r="208156" customFormat="1" x14ac:dyDescent="0.25"/>
    <row r="208157" customFormat="1" x14ac:dyDescent="0.25"/>
    <row r="208158" customFormat="1" x14ac:dyDescent="0.25"/>
    <row r="208159" customFormat="1" x14ac:dyDescent="0.25"/>
    <row r="208160" customFormat="1" x14ac:dyDescent="0.25"/>
    <row r="208161" customFormat="1" x14ac:dyDescent="0.25"/>
    <row r="208162" customFormat="1" x14ac:dyDescent="0.25"/>
    <row r="208163" customFormat="1" x14ac:dyDescent="0.25"/>
    <row r="208164" customFormat="1" x14ac:dyDescent="0.25"/>
    <row r="208165" customFormat="1" x14ac:dyDescent="0.25"/>
    <row r="208166" customFormat="1" x14ac:dyDescent="0.25"/>
    <row r="208167" customFormat="1" x14ac:dyDescent="0.25"/>
    <row r="208168" customFormat="1" x14ac:dyDescent="0.25"/>
    <row r="208169" customFormat="1" x14ac:dyDescent="0.25"/>
    <row r="208170" customFormat="1" x14ac:dyDescent="0.25"/>
    <row r="208171" customFormat="1" x14ac:dyDescent="0.25"/>
    <row r="208172" customFormat="1" x14ac:dyDescent="0.25"/>
    <row r="208173" customFormat="1" x14ac:dyDescent="0.25"/>
    <row r="208174" customFormat="1" x14ac:dyDescent="0.25"/>
    <row r="208175" customFormat="1" x14ac:dyDescent="0.25"/>
    <row r="208176" customFormat="1" x14ac:dyDescent="0.25"/>
    <row r="208177" customFormat="1" x14ac:dyDescent="0.25"/>
    <row r="208178" customFormat="1" x14ac:dyDescent="0.25"/>
    <row r="208179" customFormat="1" x14ac:dyDescent="0.25"/>
    <row r="208180" customFormat="1" x14ac:dyDescent="0.25"/>
    <row r="208181" customFormat="1" x14ac:dyDescent="0.25"/>
    <row r="208182" customFormat="1" x14ac:dyDescent="0.25"/>
    <row r="208183" customFormat="1" x14ac:dyDescent="0.25"/>
    <row r="208184" customFormat="1" x14ac:dyDescent="0.25"/>
    <row r="208185" customFormat="1" x14ac:dyDescent="0.25"/>
    <row r="208186" customFormat="1" x14ac:dyDescent="0.25"/>
    <row r="208187" customFormat="1" x14ac:dyDescent="0.25"/>
    <row r="208188" customFormat="1" x14ac:dyDescent="0.25"/>
    <row r="208189" customFormat="1" x14ac:dyDescent="0.25"/>
    <row r="208190" customFormat="1" x14ac:dyDescent="0.25"/>
    <row r="208191" customFormat="1" x14ac:dyDescent="0.25"/>
    <row r="208192" customFormat="1" x14ac:dyDescent="0.25"/>
    <row r="208193" customFormat="1" x14ac:dyDescent="0.25"/>
    <row r="208194" customFormat="1" x14ac:dyDescent="0.25"/>
    <row r="208195" customFormat="1" x14ac:dyDescent="0.25"/>
    <row r="208196" customFormat="1" x14ac:dyDescent="0.25"/>
    <row r="208197" customFormat="1" x14ac:dyDescent="0.25"/>
    <row r="208198" customFormat="1" x14ac:dyDescent="0.25"/>
    <row r="208199" customFormat="1" x14ac:dyDescent="0.25"/>
    <row r="208200" customFormat="1" x14ac:dyDescent="0.25"/>
    <row r="208201" customFormat="1" x14ac:dyDescent="0.25"/>
    <row r="208202" customFormat="1" x14ac:dyDescent="0.25"/>
    <row r="208203" customFormat="1" x14ac:dyDescent="0.25"/>
    <row r="208204" customFormat="1" x14ac:dyDescent="0.25"/>
    <row r="208205" customFormat="1" x14ac:dyDescent="0.25"/>
    <row r="208206" customFormat="1" x14ac:dyDescent="0.25"/>
    <row r="208207" customFormat="1" x14ac:dyDescent="0.25"/>
    <row r="208208" customFormat="1" x14ac:dyDescent="0.25"/>
    <row r="208209" customFormat="1" x14ac:dyDescent="0.25"/>
    <row r="208210" customFormat="1" x14ac:dyDescent="0.25"/>
    <row r="208211" customFormat="1" x14ac:dyDescent="0.25"/>
    <row r="208212" customFormat="1" x14ac:dyDescent="0.25"/>
    <row r="208213" customFormat="1" x14ac:dyDescent="0.25"/>
    <row r="208214" customFormat="1" x14ac:dyDescent="0.25"/>
    <row r="208215" customFormat="1" x14ac:dyDescent="0.25"/>
    <row r="208216" customFormat="1" x14ac:dyDescent="0.25"/>
    <row r="208217" customFormat="1" x14ac:dyDescent="0.25"/>
    <row r="208218" customFormat="1" x14ac:dyDescent="0.25"/>
    <row r="208219" customFormat="1" x14ac:dyDescent="0.25"/>
    <row r="208220" customFormat="1" x14ac:dyDescent="0.25"/>
    <row r="208221" customFormat="1" x14ac:dyDescent="0.25"/>
    <row r="208222" customFormat="1" x14ac:dyDescent="0.25"/>
    <row r="208223" customFormat="1" x14ac:dyDescent="0.25"/>
    <row r="208224" customFormat="1" x14ac:dyDescent="0.25"/>
    <row r="208225" customFormat="1" x14ac:dyDescent="0.25"/>
    <row r="208226" customFormat="1" x14ac:dyDescent="0.25"/>
    <row r="208227" customFormat="1" x14ac:dyDescent="0.25"/>
    <row r="208228" customFormat="1" x14ac:dyDescent="0.25"/>
    <row r="208229" customFormat="1" x14ac:dyDescent="0.25"/>
    <row r="208230" customFormat="1" x14ac:dyDescent="0.25"/>
    <row r="208231" customFormat="1" x14ac:dyDescent="0.25"/>
    <row r="208232" customFormat="1" x14ac:dyDescent="0.25"/>
    <row r="208233" customFormat="1" x14ac:dyDescent="0.25"/>
    <row r="208234" customFormat="1" x14ac:dyDescent="0.25"/>
    <row r="208235" customFormat="1" x14ac:dyDescent="0.25"/>
    <row r="208236" customFormat="1" x14ac:dyDescent="0.25"/>
    <row r="208237" customFormat="1" x14ac:dyDescent="0.25"/>
    <row r="208238" customFormat="1" x14ac:dyDescent="0.25"/>
    <row r="208239" customFormat="1" x14ac:dyDescent="0.25"/>
    <row r="208240" customFormat="1" x14ac:dyDescent="0.25"/>
    <row r="208241" customFormat="1" x14ac:dyDescent="0.25"/>
    <row r="208242" customFormat="1" x14ac:dyDescent="0.25"/>
    <row r="208243" customFormat="1" x14ac:dyDescent="0.25"/>
    <row r="208244" customFormat="1" x14ac:dyDescent="0.25"/>
    <row r="208245" customFormat="1" x14ac:dyDescent="0.25"/>
    <row r="208246" customFormat="1" x14ac:dyDescent="0.25"/>
    <row r="208247" customFormat="1" x14ac:dyDescent="0.25"/>
    <row r="208248" customFormat="1" x14ac:dyDescent="0.25"/>
    <row r="208249" customFormat="1" x14ac:dyDescent="0.25"/>
    <row r="208250" customFormat="1" x14ac:dyDescent="0.25"/>
    <row r="208251" customFormat="1" x14ac:dyDescent="0.25"/>
    <row r="208252" customFormat="1" x14ac:dyDescent="0.25"/>
    <row r="208253" customFormat="1" x14ac:dyDescent="0.25"/>
    <row r="208254" customFormat="1" x14ac:dyDescent="0.25"/>
    <row r="208255" customFormat="1" x14ac:dyDescent="0.25"/>
    <row r="208256" customFormat="1" x14ac:dyDescent="0.25"/>
    <row r="208257" customFormat="1" x14ac:dyDescent="0.25"/>
    <row r="208258" customFormat="1" x14ac:dyDescent="0.25"/>
    <row r="208259" customFormat="1" x14ac:dyDescent="0.25"/>
    <row r="208260" customFormat="1" x14ac:dyDescent="0.25"/>
    <row r="208261" customFormat="1" x14ac:dyDescent="0.25"/>
    <row r="208262" customFormat="1" x14ac:dyDescent="0.25"/>
    <row r="208263" customFormat="1" x14ac:dyDescent="0.25"/>
    <row r="208264" customFormat="1" x14ac:dyDescent="0.25"/>
    <row r="208265" customFormat="1" x14ac:dyDescent="0.25"/>
    <row r="208266" customFormat="1" x14ac:dyDescent="0.25"/>
    <row r="208267" customFormat="1" x14ac:dyDescent="0.25"/>
    <row r="208268" customFormat="1" x14ac:dyDescent="0.25"/>
    <row r="208269" customFormat="1" x14ac:dyDescent="0.25"/>
    <row r="208270" customFormat="1" x14ac:dyDescent="0.25"/>
    <row r="208271" customFormat="1" x14ac:dyDescent="0.25"/>
    <row r="208272" customFormat="1" x14ac:dyDescent="0.25"/>
    <row r="208273" customFormat="1" x14ac:dyDescent="0.25"/>
    <row r="208274" customFormat="1" x14ac:dyDescent="0.25"/>
    <row r="208275" customFormat="1" x14ac:dyDescent="0.25"/>
    <row r="208276" customFormat="1" x14ac:dyDescent="0.25"/>
    <row r="208277" customFormat="1" x14ac:dyDescent="0.25"/>
    <row r="208278" customFormat="1" x14ac:dyDescent="0.25"/>
    <row r="208279" customFormat="1" x14ac:dyDescent="0.25"/>
    <row r="208280" customFormat="1" x14ac:dyDescent="0.25"/>
    <row r="208281" customFormat="1" x14ac:dyDescent="0.25"/>
    <row r="208282" customFormat="1" x14ac:dyDescent="0.25"/>
    <row r="208283" customFormat="1" x14ac:dyDescent="0.25"/>
    <row r="208284" customFormat="1" x14ac:dyDescent="0.25"/>
    <row r="208285" customFormat="1" x14ac:dyDescent="0.25"/>
    <row r="208286" customFormat="1" x14ac:dyDescent="0.25"/>
    <row r="208287" customFormat="1" x14ac:dyDescent="0.25"/>
    <row r="208288" customFormat="1" x14ac:dyDescent="0.25"/>
    <row r="208289" customFormat="1" x14ac:dyDescent="0.25"/>
    <row r="208290" customFormat="1" x14ac:dyDescent="0.25"/>
    <row r="208291" customFormat="1" x14ac:dyDescent="0.25"/>
    <row r="208292" customFormat="1" x14ac:dyDescent="0.25"/>
    <row r="208293" customFormat="1" x14ac:dyDescent="0.25"/>
    <row r="208294" customFormat="1" x14ac:dyDescent="0.25"/>
    <row r="208295" customFormat="1" x14ac:dyDescent="0.25"/>
    <row r="208296" customFormat="1" x14ac:dyDescent="0.25"/>
    <row r="208297" customFormat="1" x14ac:dyDescent="0.25"/>
    <row r="208298" customFormat="1" x14ac:dyDescent="0.25"/>
    <row r="208299" customFormat="1" x14ac:dyDescent="0.25"/>
    <row r="208300" customFormat="1" x14ac:dyDescent="0.25"/>
    <row r="208301" customFormat="1" x14ac:dyDescent="0.25"/>
    <row r="208302" customFormat="1" x14ac:dyDescent="0.25"/>
    <row r="208303" customFormat="1" x14ac:dyDescent="0.25"/>
    <row r="208304" customFormat="1" x14ac:dyDescent="0.25"/>
    <row r="208305" customFormat="1" x14ac:dyDescent="0.25"/>
    <row r="208306" customFormat="1" x14ac:dyDescent="0.25"/>
    <row r="208307" customFormat="1" x14ac:dyDescent="0.25"/>
    <row r="208308" customFormat="1" x14ac:dyDescent="0.25"/>
    <row r="208309" customFormat="1" x14ac:dyDescent="0.25"/>
    <row r="208310" customFormat="1" x14ac:dyDescent="0.25"/>
    <row r="208311" customFormat="1" x14ac:dyDescent="0.25"/>
    <row r="208312" customFormat="1" x14ac:dyDescent="0.25"/>
    <row r="208313" customFormat="1" x14ac:dyDescent="0.25"/>
    <row r="208314" customFormat="1" x14ac:dyDescent="0.25"/>
    <row r="208315" customFormat="1" x14ac:dyDescent="0.25"/>
    <row r="208316" customFormat="1" x14ac:dyDescent="0.25"/>
    <row r="208317" customFormat="1" x14ac:dyDescent="0.25"/>
    <row r="208318" customFormat="1" x14ac:dyDescent="0.25"/>
    <row r="208319" customFormat="1" x14ac:dyDescent="0.25"/>
    <row r="208320" customFormat="1" x14ac:dyDescent="0.25"/>
    <row r="208321" customFormat="1" x14ac:dyDescent="0.25"/>
    <row r="208322" customFormat="1" x14ac:dyDescent="0.25"/>
    <row r="208323" customFormat="1" x14ac:dyDescent="0.25"/>
    <row r="208324" customFormat="1" x14ac:dyDescent="0.25"/>
    <row r="208325" customFormat="1" x14ac:dyDescent="0.25"/>
    <row r="208326" customFormat="1" x14ac:dyDescent="0.25"/>
    <row r="208327" customFormat="1" x14ac:dyDescent="0.25"/>
    <row r="208328" customFormat="1" x14ac:dyDescent="0.25"/>
    <row r="208329" customFormat="1" x14ac:dyDescent="0.25"/>
    <row r="208330" customFormat="1" x14ac:dyDescent="0.25"/>
    <row r="208331" customFormat="1" x14ac:dyDescent="0.25"/>
    <row r="208332" customFormat="1" x14ac:dyDescent="0.25"/>
    <row r="208333" customFormat="1" x14ac:dyDescent="0.25"/>
    <row r="208334" customFormat="1" x14ac:dyDescent="0.25"/>
    <row r="208335" customFormat="1" x14ac:dyDescent="0.25"/>
    <row r="208336" customFormat="1" x14ac:dyDescent="0.25"/>
    <row r="208337" customFormat="1" x14ac:dyDescent="0.25"/>
    <row r="208338" customFormat="1" x14ac:dyDescent="0.25"/>
    <row r="208339" customFormat="1" x14ac:dyDescent="0.25"/>
    <row r="208340" customFormat="1" x14ac:dyDescent="0.25"/>
    <row r="208341" customFormat="1" x14ac:dyDescent="0.25"/>
    <row r="208342" customFormat="1" x14ac:dyDescent="0.25"/>
    <row r="208343" customFormat="1" x14ac:dyDescent="0.25"/>
    <row r="208344" customFormat="1" x14ac:dyDescent="0.25"/>
    <row r="208345" customFormat="1" x14ac:dyDescent="0.25"/>
    <row r="208346" customFormat="1" x14ac:dyDescent="0.25"/>
    <row r="208347" customFormat="1" x14ac:dyDescent="0.25"/>
    <row r="208348" customFormat="1" x14ac:dyDescent="0.25"/>
    <row r="208349" customFormat="1" x14ac:dyDescent="0.25"/>
    <row r="208350" customFormat="1" x14ac:dyDescent="0.25"/>
    <row r="208351" customFormat="1" x14ac:dyDescent="0.25"/>
    <row r="208352" customFormat="1" x14ac:dyDescent="0.25"/>
    <row r="208353" customFormat="1" x14ac:dyDescent="0.25"/>
    <row r="208354" customFormat="1" x14ac:dyDescent="0.25"/>
    <row r="208355" customFormat="1" x14ac:dyDescent="0.25"/>
    <row r="208356" customFormat="1" x14ac:dyDescent="0.25"/>
    <row r="208357" customFormat="1" x14ac:dyDescent="0.25"/>
    <row r="208358" customFormat="1" x14ac:dyDescent="0.25"/>
    <row r="208359" customFormat="1" x14ac:dyDescent="0.25"/>
    <row r="208360" customFormat="1" x14ac:dyDescent="0.25"/>
    <row r="208361" customFormat="1" x14ac:dyDescent="0.25"/>
    <row r="208362" customFormat="1" x14ac:dyDescent="0.25"/>
    <row r="208363" customFormat="1" x14ac:dyDescent="0.25"/>
    <row r="208364" customFormat="1" x14ac:dyDescent="0.25"/>
    <row r="208365" customFormat="1" x14ac:dyDescent="0.25"/>
    <row r="208366" customFormat="1" x14ac:dyDescent="0.25"/>
    <row r="208367" customFormat="1" x14ac:dyDescent="0.25"/>
    <row r="208368" customFormat="1" x14ac:dyDescent="0.25"/>
    <row r="208369" customFormat="1" x14ac:dyDescent="0.25"/>
    <row r="208370" customFormat="1" x14ac:dyDescent="0.25"/>
    <row r="208371" customFormat="1" x14ac:dyDescent="0.25"/>
    <row r="208372" customFormat="1" x14ac:dyDescent="0.25"/>
    <row r="208373" customFormat="1" x14ac:dyDescent="0.25"/>
    <row r="208374" customFormat="1" x14ac:dyDescent="0.25"/>
    <row r="208375" customFormat="1" x14ac:dyDescent="0.25"/>
    <row r="208376" customFormat="1" x14ac:dyDescent="0.25"/>
    <row r="208377" customFormat="1" x14ac:dyDescent="0.25"/>
    <row r="208378" customFormat="1" x14ac:dyDescent="0.25"/>
    <row r="208379" customFormat="1" x14ac:dyDescent="0.25"/>
    <row r="208380" customFormat="1" x14ac:dyDescent="0.25"/>
    <row r="208381" customFormat="1" x14ac:dyDescent="0.25"/>
    <row r="208382" customFormat="1" x14ac:dyDescent="0.25"/>
    <row r="208383" customFormat="1" x14ac:dyDescent="0.25"/>
    <row r="208384" customFormat="1" x14ac:dyDescent="0.25"/>
    <row r="208385" customFormat="1" x14ac:dyDescent="0.25"/>
    <row r="208386" customFormat="1" x14ac:dyDescent="0.25"/>
    <row r="208387" customFormat="1" x14ac:dyDescent="0.25"/>
    <row r="208388" customFormat="1" x14ac:dyDescent="0.25"/>
    <row r="208389" customFormat="1" x14ac:dyDescent="0.25"/>
    <row r="208390" customFormat="1" x14ac:dyDescent="0.25"/>
    <row r="208391" customFormat="1" x14ac:dyDescent="0.25"/>
    <row r="208392" customFormat="1" x14ac:dyDescent="0.25"/>
    <row r="208393" customFormat="1" x14ac:dyDescent="0.25"/>
    <row r="208394" customFormat="1" x14ac:dyDescent="0.25"/>
    <row r="208395" customFormat="1" x14ac:dyDescent="0.25"/>
    <row r="208396" customFormat="1" x14ac:dyDescent="0.25"/>
    <row r="208397" customFormat="1" x14ac:dyDescent="0.25"/>
    <row r="208398" customFormat="1" x14ac:dyDescent="0.25"/>
    <row r="208399" customFormat="1" x14ac:dyDescent="0.25"/>
    <row r="208400" customFormat="1" x14ac:dyDescent="0.25"/>
    <row r="208401" customFormat="1" x14ac:dyDescent="0.25"/>
    <row r="208402" customFormat="1" x14ac:dyDescent="0.25"/>
    <row r="208403" customFormat="1" x14ac:dyDescent="0.25"/>
    <row r="208404" customFormat="1" x14ac:dyDescent="0.25"/>
    <row r="208405" customFormat="1" x14ac:dyDescent="0.25"/>
    <row r="208406" customFormat="1" x14ac:dyDescent="0.25"/>
    <row r="208407" customFormat="1" x14ac:dyDescent="0.25"/>
    <row r="208408" customFormat="1" x14ac:dyDescent="0.25"/>
    <row r="208409" customFormat="1" x14ac:dyDescent="0.25"/>
    <row r="208410" customFormat="1" x14ac:dyDescent="0.25"/>
    <row r="208411" customFormat="1" x14ac:dyDescent="0.25"/>
    <row r="208412" customFormat="1" x14ac:dyDescent="0.25"/>
    <row r="208413" customFormat="1" x14ac:dyDescent="0.25"/>
    <row r="208414" customFormat="1" x14ac:dyDescent="0.25"/>
    <row r="208415" customFormat="1" x14ac:dyDescent="0.25"/>
    <row r="208416" customFormat="1" x14ac:dyDescent="0.25"/>
    <row r="208417" customFormat="1" x14ac:dyDescent="0.25"/>
    <row r="208418" customFormat="1" x14ac:dyDescent="0.25"/>
    <row r="208419" customFormat="1" x14ac:dyDescent="0.25"/>
    <row r="208420" customFormat="1" x14ac:dyDescent="0.25"/>
    <row r="208421" customFormat="1" x14ac:dyDescent="0.25"/>
    <row r="208422" customFormat="1" x14ac:dyDescent="0.25"/>
    <row r="208423" customFormat="1" x14ac:dyDescent="0.25"/>
    <row r="208424" customFormat="1" x14ac:dyDescent="0.25"/>
    <row r="208425" customFormat="1" x14ac:dyDescent="0.25"/>
    <row r="208426" customFormat="1" x14ac:dyDescent="0.25"/>
    <row r="208427" customFormat="1" x14ac:dyDescent="0.25"/>
    <row r="208428" customFormat="1" x14ac:dyDescent="0.25"/>
    <row r="208429" customFormat="1" x14ac:dyDescent="0.25"/>
    <row r="208430" customFormat="1" x14ac:dyDescent="0.25"/>
    <row r="208431" customFormat="1" x14ac:dyDescent="0.25"/>
    <row r="208432" customFormat="1" x14ac:dyDescent="0.25"/>
    <row r="208433" customFormat="1" x14ac:dyDescent="0.25"/>
    <row r="208434" customFormat="1" x14ac:dyDescent="0.25"/>
    <row r="208435" customFormat="1" x14ac:dyDescent="0.25"/>
    <row r="208436" customFormat="1" x14ac:dyDescent="0.25"/>
    <row r="208437" customFormat="1" x14ac:dyDescent="0.25"/>
    <row r="208438" customFormat="1" x14ac:dyDescent="0.25"/>
    <row r="208439" customFormat="1" x14ac:dyDescent="0.25"/>
    <row r="208440" customFormat="1" x14ac:dyDescent="0.25"/>
    <row r="208441" customFormat="1" x14ac:dyDescent="0.25"/>
    <row r="208442" customFormat="1" x14ac:dyDescent="0.25"/>
    <row r="208443" customFormat="1" x14ac:dyDescent="0.25"/>
    <row r="208444" customFormat="1" x14ac:dyDescent="0.25"/>
    <row r="208445" customFormat="1" x14ac:dyDescent="0.25"/>
    <row r="208446" customFormat="1" x14ac:dyDescent="0.25"/>
    <row r="208447" customFormat="1" x14ac:dyDescent="0.25"/>
    <row r="208448" customFormat="1" x14ac:dyDescent="0.25"/>
    <row r="208449" customFormat="1" x14ac:dyDescent="0.25"/>
    <row r="208450" customFormat="1" x14ac:dyDescent="0.25"/>
    <row r="208451" customFormat="1" x14ac:dyDescent="0.25"/>
    <row r="208452" customFormat="1" x14ac:dyDescent="0.25"/>
    <row r="208453" customFormat="1" x14ac:dyDescent="0.25"/>
    <row r="208454" customFormat="1" x14ac:dyDescent="0.25"/>
    <row r="208455" customFormat="1" x14ac:dyDescent="0.25"/>
    <row r="208456" customFormat="1" x14ac:dyDescent="0.25"/>
    <row r="208457" customFormat="1" x14ac:dyDescent="0.25"/>
    <row r="208458" customFormat="1" x14ac:dyDescent="0.25"/>
    <row r="208459" customFormat="1" x14ac:dyDescent="0.25"/>
    <row r="208460" customFormat="1" x14ac:dyDescent="0.25"/>
    <row r="208461" customFormat="1" x14ac:dyDescent="0.25"/>
    <row r="208462" customFormat="1" x14ac:dyDescent="0.25"/>
    <row r="208463" customFormat="1" x14ac:dyDescent="0.25"/>
    <row r="208464" customFormat="1" x14ac:dyDescent="0.25"/>
    <row r="208465" customFormat="1" x14ac:dyDescent="0.25"/>
    <row r="208466" customFormat="1" x14ac:dyDescent="0.25"/>
    <row r="208467" customFormat="1" x14ac:dyDescent="0.25"/>
    <row r="208468" customFormat="1" x14ac:dyDescent="0.25"/>
    <row r="208469" customFormat="1" x14ac:dyDescent="0.25"/>
    <row r="208470" customFormat="1" x14ac:dyDescent="0.25"/>
    <row r="208471" customFormat="1" x14ac:dyDescent="0.25"/>
    <row r="208472" customFormat="1" x14ac:dyDescent="0.25"/>
    <row r="208473" customFormat="1" x14ac:dyDescent="0.25"/>
    <row r="208474" customFormat="1" x14ac:dyDescent="0.25"/>
    <row r="208475" customFormat="1" x14ac:dyDescent="0.25"/>
    <row r="208476" customFormat="1" x14ac:dyDescent="0.25"/>
    <row r="208477" customFormat="1" x14ac:dyDescent="0.25"/>
    <row r="208478" customFormat="1" x14ac:dyDescent="0.25"/>
    <row r="208479" customFormat="1" x14ac:dyDescent="0.25"/>
    <row r="208480" customFormat="1" x14ac:dyDescent="0.25"/>
    <row r="208481" customFormat="1" x14ac:dyDescent="0.25"/>
    <row r="208482" customFormat="1" x14ac:dyDescent="0.25"/>
    <row r="208483" customFormat="1" x14ac:dyDescent="0.25"/>
    <row r="208484" customFormat="1" x14ac:dyDescent="0.25"/>
    <row r="208485" customFormat="1" x14ac:dyDescent="0.25"/>
    <row r="208486" customFormat="1" x14ac:dyDescent="0.25"/>
    <row r="208487" customFormat="1" x14ac:dyDescent="0.25"/>
    <row r="208488" customFormat="1" x14ac:dyDescent="0.25"/>
    <row r="208489" customFormat="1" x14ac:dyDescent="0.25"/>
    <row r="208490" customFormat="1" x14ac:dyDescent="0.25"/>
    <row r="208491" customFormat="1" x14ac:dyDescent="0.25"/>
    <row r="208492" customFormat="1" x14ac:dyDescent="0.25"/>
    <row r="208493" customFormat="1" x14ac:dyDescent="0.25"/>
    <row r="208494" customFormat="1" x14ac:dyDescent="0.25"/>
    <row r="208495" customFormat="1" x14ac:dyDescent="0.25"/>
    <row r="208496" customFormat="1" x14ac:dyDescent="0.25"/>
    <row r="208497" customFormat="1" x14ac:dyDescent="0.25"/>
    <row r="208498" customFormat="1" x14ac:dyDescent="0.25"/>
    <row r="208499" customFormat="1" x14ac:dyDescent="0.25"/>
    <row r="208500" customFormat="1" x14ac:dyDescent="0.25"/>
    <row r="208501" customFormat="1" x14ac:dyDescent="0.25"/>
    <row r="208502" customFormat="1" x14ac:dyDescent="0.25"/>
    <row r="208503" customFormat="1" x14ac:dyDescent="0.25"/>
    <row r="208504" customFormat="1" x14ac:dyDescent="0.25"/>
    <row r="208505" customFormat="1" x14ac:dyDescent="0.25"/>
    <row r="208506" customFormat="1" x14ac:dyDescent="0.25"/>
    <row r="208507" customFormat="1" x14ac:dyDescent="0.25"/>
    <row r="208508" customFormat="1" x14ac:dyDescent="0.25"/>
    <row r="208509" customFormat="1" x14ac:dyDescent="0.25"/>
    <row r="208510" customFormat="1" x14ac:dyDescent="0.25"/>
    <row r="208511" customFormat="1" x14ac:dyDescent="0.25"/>
    <row r="208512" customFormat="1" x14ac:dyDescent="0.25"/>
    <row r="208513" customFormat="1" x14ac:dyDescent="0.25"/>
    <row r="208514" customFormat="1" x14ac:dyDescent="0.25"/>
    <row r="208515" customFormat="1" x14ac:dyDescent="0.25"/>
    <row r="208516" customFormat="1" x14ac:dyDescent="0.25"/>
    <row r="208517" customFormat="1" x14ac:dyDescent="0.25"/>
    <row r="208518" customFormat="1" x14ac:dyDescent="0.25"/>
    <row r="208519" customFormat="1" x14ac:dyDescent="0.25"/>
    <row r="208520" customFormat="1" x14ac:dyDescent="0.25"/>
    <row r="208521" customFormat="1" x14ac:dyDescent="0.25"/>
    <row r="208522" customFormat="1" x14ac:dyDescent="0.25"/>
    <row r="208523" customFormat="1" x14ac:dyDescent="0.25"/>
    <row r="208524" customFormat="1" x14ac:dyDescent="0.25"/>
    <row r="208525" customFormat="1" x14ac:dyDescent="0.25"/>
    <row r="208526" customFormat="1" x14ac:dyDescent="0.25"/>
    <row r="208527" customFormat="1" x14ac:dyDescent="0.25"/>
    <row r="208528" customFormat="1" x14ac:dyDescent="0.25"/>
    <row r="208529" customFormat="1" x14ac:dyDescent="0.25"/>
    <row r="208530" customFormat="1" x14ac:dyDescent="0.25"/>
    <row r="208531" customFormat="1" x14ac:dyDescent="0.25"/>
    <row r="208532" customFormat="1" x14ac:dyDescent="0.25"/>
    <row r="208533" customFormat="1" x14ac:dyDescent="0.25"/>
    <row r="208534" customFormat="1" x14ac:dyDescent="0.25"/>
    <row r="208535" customFormat="1" x14ac:dyDescent="0.25"/>
    <row r="208536" customFormat="1" x14ac:dyDescent="0.25"/>
    <row r="208537" customFormat="1" x14ac:dyDescent="0.25"/>
    <row r="208538" customFormat="1" x14ac:dyDescent="0.25"/>
    <row r="208539" customFormat="1" x14ac:dyDescent="0.25"/>
    <row r="208540" customFormat="1" x14ac:dyDescent="0.25"/>
    <row r="208541" customFormat="1" x14ac:dyDescent="0.25"/>
    <row r="208542" customFormat="1" x14ac:dyDescent="0.25"/>
    <row r="208543" customFormat="1" x14ac:dyDescent="0.25"/>
    <row r="208544" customFormat="1" x14ac:dyDescent="0.25"/>
    <row r="208545" customFormat="1" x14ac:dyDescent="0.25"/>
    <row r="208546" customFormat="1" x14ac:dyDescent="0.25"/>
    <row r="208547" customFormat="1" x14ac:dyDescent="0.25"/>
    <row r="208548" customFormat="1" x14ac:dyDescent="0.25"/>
    <row r="208549" customFormat="1" x14ac:dyDescent="0.25"/>
    <row r="208550" customFormat="1" x14ac:dyDescent="0.25"/>
    <row r="208551" customFormat="1" x14ac:dyDescent="0.25"/>
    <row r="208552" customFormat="1" x14ac:dyDescent="0.25"/>
    <row r="208553" customFormat="1" x14ac:dyDescent="0.25"/>
    <row r="208554" customFormat="1" x14ac:dyDescent="0.25"/>
    <row r="208555" customFormat="1" x14ac:dyDescent="0.25"/>
    <row r="208556" customFormat="1" x14ac:dyDescent="0.25"/>
    <row r="208557" customFormat="1" x14ac:dyDescent="0.25"/>
    <row r="208558" customFormat="1" x14ac:dyDescent="0.25"/>
    <row r="208559" customFormat="1" x14ac:dyDescent="0.25"/>
    <row r="208560" customFormat="1" x14ac:dyDescent="0.25"/>
    <row r="208561" customFormat="1" x14ac:dyDescent="0.25"/>
    <row r="208562" customFormat="1" x14ac:dyDescent="0.25"/>
    <row r="208563" customFormat="1" x14ac:dyDescent="0.25"/>
    <row r="208564" customFormat="1" x14ac:dyDescent="0.25"/>
    <row r="208565" customFormat="1" x14ac:dyDescent="0.25"/>
    <row r="208566" customFormat="1" x14ac:dyDescent="0.25"/>
    <row r="208567" customFormat="1" x14ac:dyDescent="0.25"/>
    <row r="208568" customFormat="1" x14ac:dyDescent="0.25"/>
    <row r="208569" customFormat="1" x14ac:dyDescent="0.25"/>
    <row r="208570" customFormat="1" x14ac:dyDescent="0.25"/>
    <row r="208571" customFormat="1" x14ac:dyDescent="0.25"/>
    <row r="208572" customFormat="1" x14ac:dyDescent="0.25"/>
    <row r="208573" customFormat="1" x14ac:dyDescent="0.25"/>
    <row r="208574" customFormat="1" x14ac:dyDescent="0.25"/>
    <row r="208575" customFormat="1" x14ac:dyDescent="0.25"/>
    <row r="208576" customFormat="1" x14ac:dyDescent="0.25"/>
    <row r="208577" customFormat="1" x14ac:dyDescent="0.25"/>
    <row r="208578" customFormat="1" x14ac:dyDescent="0.25"/>
    <row r="208579" customFormat="1" x14ac:dyDescent="0.25"/>
    <row r="208580" customFormat="1" x14ac:dyDescent="0.25"/>
    <row r="208581" customFormat="1" x14ac:dyDescent="0.25"/>
    <row r="208582" customFormat="1" x14ac:dyDescent="0.25"/>
    <row r="208583" customFormat="1" x14ac:dyDescent="0.25"/>
    <row r="208584" customFormat="1" x14ac:dyDescent="0.25"/>
    <row r="208585" customFormat="1" x14ac:dyDescent="0.25"/>
    <row r="208586" customFormat="1" x14ac:dyDescent="0.25"/>
    <row r="208587" customFormat="1" x14ac:dyDescent="0.25"/>
    <row r="208588" customFormat="1" x14ac:dyDescent="0.25"/>
    <row r="208589" customFormat="1" x14ac:dyDescent="0.25"/>
    <row r="208590" customFormat="1" x14ac:dyDescent="0.25"/>
    <row r="208591" customFormat="1" x14ac:dyDescent="0.25"/>
    <row r="208592" customFormat="1" x14ac:dyDescent="0.25"/>
    <row r="208593" customFormat="1" x14ac:dyDescent="0.25"/>
    <row r="208594" customFormat="1" x14ac:dyDescent="0.25"/>
    <row r="208595" customFormat="1" x14ac:dyDescent="0.25"/>
    <row r="208596" customFormat="1" x14ac:dyDescent="0.25"/>
    <row r="208597" customFormat="1" x14ac:dyDescent="0.25"/>
    <row r="208598" customFormat="1" x14ac:dyDescent="0.25"/>
    <row r="208599" customFormat="1" x14ac:dyDescent="0.25"/>
    <row r="208600" customFormat="1" x14ac:dyDescent="0.25"/>
    <row r="208601" customFormat="1" x14ac:dyDescent="0.25"/>
    <row r="208602" customFormat="1" x14ac:dyDescent="0.25"/>
    <row r="208603" customFormat="1" x14ac:dyDescent="0.25"/>
    <row r="208604" customFormat="1" x14ac:dyDescent="0.25"/>
    <row r="208605" customFormat="1" x14ac:dyDescent="0.25"/>
    <row r="208606" customFormat="1" x14ac:dyDescent="0.25"/>
    <row r="208607" customFormat="1" x14ac:dyDescent="0.25"/>
    <row r="208608" customFormat="1" x14ac:dyDescent="0.25"/>
    <row r="208609" customFormat="1" x14ac:dyDescent="0.25"/>
    <row r="208610" customFormat="1" x14ac:dyDescent="0.25"/>
    <row r="208611" customFormat="1" x14ac:dyDescent="0.25"/>
    <row r="208612" customFormat="1" x14ac:dyDescent="0.25"/>
    <row r="208613" customFormat="1" x14ac:dyDescent="0.25"/>
    <row r="208614" customFormat="1" x14ac:dyDescent="0.25"/>
    <row r="208615" customFormat="1" x14ac:dyDescent="0.25"/>
    <row r="208616" customFormat="1" x14ac:dyDescent="0.25"/>
    <row r="208617" customFormat="1" x14ac:dyDescent="0.25"/>
    <row r="208618" customFormat="1" x14ac:dyDescent="0.25"/>
    <row r="208619" customFormat="1" x14ac:dyDescent="0.25"/>
    <row r="208620" customFormat="1" x14ac:dyDescent="0.25"/>
    <row r="208621" customFormat="1" x14ac:dyDescent="0.25"/>
    <row r="208622" customFormat="1" x14ac:dyDescent="0.25"/>
    <row r="208623" customFormat="1" x14ac:dyDescent="0.25"/>
    <row r="208624" customFormat="1" x14ac:dyDescent="0.25"/>
    <row r="208625" customFormat="1" x14ac:dyDescent="0.25"/>
    <row r="208626" customFormat="1" x14ac:dyDescent="0.25"/>
    <row r="208627" customFormat="1" x14ac:dyDescent="0.25"/>
    <row r="208628" customFormat="1" x14ac:dyDescent="0.25"/>
    <row r="208629" customFormat="1" x14ac:dyDescent="0.25"/>
    <row r="208630" customFormat="1" x14ac:dyDescent="0.25"/>
    <row r="208631" customFormat="1" x14ac:dyDescent="0.25"/>
    <row r="208632" customFormat="1" x14ac:dyDescent="0.25"/>
    <row r="208633" customFormat="1" x14ac:dyDescent="0.25"/>
    <row r="208634" customFormat="1" x14ac:dyDescent="0.25"/>
    <row r="208635" customFormat="1" x14ac:dyDescent="0.25"/>
    <row r="208636" customFormat="1" x14ac:dyDescent="0.25"/>
    <row r="208637" customFormat="1" x14ac:dyDescent="0.25"/>
    <row r="208638" customFormat="1" x14ac:dyDescent="0.25"/>
    <row r="208639" customFormat="1" x14ac:dyDescent="0.25"/>
    <row r="208640" customFormat="1" x14ac:dyDescent="0.25"/>
    <row r="208641" customFormat="1" x14ac:dyDescent="0.25"/>
    <row r="208642" customFormat="1" x14ac:dyDescent="0.25"/>
    <row r="208643" customFormat="1" x14ac:dyDescent="0.25"/>
    <row r="208644" customFormat="1" x14ac:dyDescent="0.25"/>
    <row r="208645" customFormat="1" x14ac:dyDescent="0.25"/>
    <row r="208646" customFormat="1" x14ac:dyDescent="0.25"/>
    <row r="208647" customFormat="1" x14ac:dyDescent="0.25"/>
    <row r="208648" customFormat="1" x14ac:dyDescent="0.25"/>
    <row r="208649" customFormat="1" x14ac:dyDescent="0.25"/>
    <row r="208650" customFormat="1" x14ac:dyDescent="0.25"/>
    <row r="208651" customFormat="1" x14ac:dyDescent="0.25"/>
    <row r="208652" customFormat="1" x14ac:dyDescent="0.25"/>
    <row r="208653" customFormat="1" x14ac:dyDescent="0.25"/>
    <row r="208654" customFormat="1" x14ac:dyDescent="0.25"/>
    <row r="208655" customFormat="1" x14ac:dyDescent="0.25"/>
    <row r="208656" customFormat="1" x14ac:dyDescent="0.25"/>
    <row r="208657" customFormat="1" x14ac:dyDescent="0.25"/>
    <row r="208658" customFormat="1" x14ac:dyDescent="0.25"/>
    <row r="208659" customFormat="1" x14ac:dyDescent="0.25"/>
    <row r="208660" customFormat="1" x14ac:dyDescent="0.25"/>
    <row r="208661" customFormat="1" x14ac:dyDescent="0.25"/>
    <row r="208662" customFormat="1" x14ac:dyDescent="0.25"/>
    <row r="208663" customFormat="1" x14ac:dyDescent="0.25"/>
    <row r="208664" customFormat="1" x14ac:dyDescent="0.25"/>
    <row r="208665" customFormat="1" x14ac:dyDescent="0.25"/>
    <row r="208666" customFormat="1" x14ac:dyDescent="0.25"/>
    <row r="208667" customFormat="1" x14ac:dyDescent="0.25"/>
    <row r="208668" customFormat="1" x14ac:dyDescent="0.25"/>
    <row r="208669" customFormat="1" x14ac:dyDescent="0.25"/>
    <row r="208670" customFormat="1" x14ac:dyDescent="0.25"/>
    <row r="208671" customFormat="1" x14ac:dyDescent="0.25"/>
    <row r="208672" customFormat="1" x14ac:dyDescent="0.25"/>
    <row r="208673" customFormat="1" x14ac:dyDescent="0.25"/>
    <row r="208674" customFormat="1" x14ac:dyDescent="0.25"/>
    <row r="208675" customFormat="1" x14ac:dyDescent="0.25"/>
    <row r="208676" customFormat="1" x14ac:dyDescent="0.25"/>
    <row r="208677" customFormat="1" x14ac:dyDescent="0.25"/>
    <row r="208678" customFormat="1" x14ac:dyDescent="0.25"/>
    <row r="208679" customFormat="1" x14ac:dyDescent="0.25"/>
    <row r="208680" customFormat="1" x14ac:dyDescent="0.25"/>
    <row r="208681" customFormat="1" x14ac:dyDescent="0.25"/>
    <row r="208682" customFormat="1" x14ac:dyDescent="0.25"/>
    <row r="208683" customFormat="1" x14ac:dyDescent="0.25"/>
    <row r="208684" customFormat="1" x14ac:dyDescent="0.25"/>
    <row r="208685" customFormat="1" x14ac:dyDescent="0.25"/>
    <row r="208686" customFormat="1" x14ac:dyDescent="0.25"/>
    <row r="208687" customFormat="1" x14ac:dyDescent="0.25"/>
    <row r="208688" customFormat="1" x14ac:dyDescent="0.25"/>
    <row r="208689" customFormat="1" x14ac:dyDescent="0.25"/>
    <row r="208690" customFormat="1" x14ac:dyDescent="0.25"/>
    <row r="208691" customFormat="1" x14ac:dyDescent="0.25"/>
    <row r="208692" customFormat="1" x14ac:dyDescent="0.25"/>
    <row r="208693" customFormat="1" x14ac:dyDescent="0.25"/>
    <row r="208694" customFormat="1" x14ac:dyDescent="0.25"/>
    <row r="208695" customFormat="1" x14ac:dyDescent="0.25"/>
    <row r="208696" customFormat="1" x14ac:dyDescent="0.25"/>
    <row r="208697" customFormat="1" x14ac:dyDescent="0.25"/>
    <row r="208698" customFormat="1" x14ac:dyDescent="0.25"/>
    <row r="208699" customFormat="1" x14ac:dyDescent="0.25"/>
    <row r="208700" customFormat="1" x14ac:dyDescent="0.25"/>
    <row r="208701" customFormat="1" x14ac:dyDescent="0.25"/>
    <row r="208702" customFormat="1" x14ac:dyDescent="0.25"/>
    <row r="208703" customFormat="1" x14ac:dyDescent="0.25"/>
    <row r="208704" customFormat="1" x14ac:dyDescent="0.25"/>
    <row r="208705" customFormat="1" x14ac:dyDescent="0.25"/>
    <row r="208706" customFormat="1" x14ac:dyDescent="0.25"/>
    <row r="208707" customFormat="1" x14ac:dyDescent="0.25"/>
    <row r="208708" customFormat="1" x14ac:dyDescent="0.25"/>
    <row r="208709" customFormat="1" x14ac:dyDescent="0.25"/>
    <row r="208710" customFormat="1" x14ac:dyDescent="0.25"/>
    <row r="208711" customFormat="1" x14ac:dyDescent="0.25"/>
    <row r="208712" customFormat="1" x14ac:dyDescent="0.25"/>
    <row r="208713" customFormat="1" x14ac:dyDescent="0.25"/>
    <row r="208714" customFormat="1" x14ac:dyDescent="0.25"/>
    <row r="208715" customFormat="1" x14ac:dyDescent="0.25"/>
    <row r="208716" customFormat="1" x14ac:dyDescent="0.25"/>
    <row r="208717" customFormat="1" x14ac:dyDescent="0.25"/>
    <row r="208718" customFormat="1" x14ac:dyDescent="0.25"/>
    <row r="208719" customFormat="1" x14ac:dyDescent="0.25"/>
    <row r="208720" customFormat="1" x14ac:dyDescent="0.25"/>
    <row r="208721" customFormat="1" x14ac:dyDescent="0.25"/>
    <row r="208722" customFormat="1" x14ac:dyDescent="0.25"/>
    <row r="208723" customFormat="1" x14ac:dyDescent="0.25"/>
    <row r="208724" customFormat="1" x14ac:dyDescent="0.25"/>
    <row r="208725" customFormat="1" x14ac:dyDescent="0.25"/>
    <row r="208726" customFormat="1" x14ac:dyDescent="0.25"/>
    <row r="208727" customFormat="1" x14ac:dyDescent="0.25"/>
    <row r="208728" customFormat="1" x14ac:dyDescent="0.25"/>
    <row r="208729" customFormat="1" x14ac:dyDescent="0.25"/>
    <row r="208730" customFormat="1" x14ac:dyDescent="0.25"/>
    <row r="208731" customFormat="1" x14ac:dyDescent="0.25"/>
    <row r="208732" customFormat="1" x14ac:dyDescent="0.25"/>
    <row r="208733" customFormat="1" x14ac:dyDescent="0.25"/>
    <row r="208734" customFormat="1" x14ac:dyDescent="0.25"/>
    <row r="208735" customFormat="1" x14ac:dyDescent="0.25"/>
    <row r="208736" customFormat="1" x14ac:dyDescent="0.25"/>
    <row r="208737" customFormat="1" x14ac:dyDescent="0.25"/>
    <row r="208738" customFormat="1" x14ac:dyDescent="0.25"/>
    <row r="208739" customFormat="1" x14ac:dyDescent="0.25"/>
    <row r="208740" customFormat="1" x14ac:dyDescent="0.25"/>
    <row r="208741" customFormat="1" x14ac:dyDescent="0.25"/>
    <row r="208742" customFormat="1" x14ac:dyDescent="0.25"/>
    <row r="208743" customFormat="1" x14ac:dyDescent="0.25"/>
    <row r="208744" customFormat="1" x14ac:dyDescent="0.25"/>
    <row r="208745" customFormat="1" x14ac:dyDescent="0.25"/>
    <row r="208746" customFormat="1" x14ac:dyDescent="0.25"/>
    <row r="208747" customFormat="1" x14ac:dyDescent="0.25"/>
    <row r="208748" customFormat="1" x14ac:dyDescent="0.25"/>
    <row r="208749" customFormat="1" x14ac:dyDescent="0.25"/>
    <row r="208750" customFormat="1" x14ac:dyDescent="0.25"/>
    <row r="208751" customFormat="1" x14ac:dyDescent="0.25"/>
    <row r="208752" customFormat="1" x14ac:dyDescent="0.25"/>
    <row r="208753" customFormat="1" x14ac:dyDescent="0.25"/>
    <row r="208754" customFormat="1" x14ac:dyDescent="0.25"/>
    <row r="208755" customFormat="1" x14ac:dyDescent="0.25"/>
    <row r="208756" customFormat="1" x14ac:dyDescent="0.25"/>
    <row r="208757" customFormat="1" x14ac:dyDescent="0.25"/>
    <row r="208758" customFormat="1" x14ac:dyDescent="0.25"/>
    <row r="208759" customFormat="1" x14ac:dyDescent="0.25"/>
    <row r="208760" customFormat="1" x14ac:dyDescent="0.25"/>
    <row r="208761" customFormat="1" x14ac:dyDescent="0.25"/>
    <row r="208762" customFormat="1" x14ac:dyDescent="0.25"/>
    <row r="208763" customFormat="1" x14ac:dyDescent="0.25"/>
    <row r="208764" customFormat="1" x14ac:dyDescent="0.25"/>
    <row r="208765" customFormat="1" x14ac:dyDescent="0.25"/>
    <row r="208766" customFormat="1" x14ac:dyDescent="0.25"/>
    <row r="208767" customFormat="1" x14ac:dyDescent="0.25"/>
    <row r="208768" customFormat="1" x14ac:dyDescent="0.25"/>
    <row r="208769" customFormat="1" x14ac:dyDescent="0.25"/>
    <row r="208770" customFormat="1" x14ac:dyDescent="0.25"/>
    <row r="208771" customFormat="1" x14ac:dyDescent="0.25"/>
    <row r="208772" customFormat="1" x14ac:dyDescent="0.25"/>
    <row r="208773" customFormat="1" x14ac:dyDescent="0.25"/>
    <row r="208774" customFormat="1" x14ac:dyDescent="0.25"/>
    <row r="208775" customFormat="1" x14ac:dyDescent="0.25"/>
    <row r="208776" customFormat="1" x14ac:dyDescent="0.25"/>
    <row r="208777" customFormat="1" x14ac:dyDescent="0.25"/>
    <row r="208778" customFormat="1" x14ac:dyDescent="0.25"/>
    <row r="208779" customFormat="1" x14ac:dyDescent="0.25"/>
    <row r="208780" customFormat="1" x14ac:dyDescent="0.25"/>
    <row r="208781" customFormat="1" x14ac:dyDescent="0.25"/>
    <row r="208782" customFormat="1" x14ac:dyDescent="0.25"/>
    <row r="208783" customFormat="1" x14ac:dyDescent="0.25"/>
    <row r="208784" customFormat="1" x14ac:dyDescent="0.25"/>
    <row r="208785" customFormat="1" x14ac:dyDescent="0.25"/>
    <row r="208786" customFormat="1" x14ac:dyDescent="0.25"/>
    <row r="208787" customFormat="1" x14ac:dyDescent="0.25"/>
    <row r="208788" customFormat="1" x14ac:dyDescent="0.25"/>
    <row r="208789" customFormat="1" x14ac:dyDescent="0.25"/>
    <row r="208790" customFormat="1" x14ac:dyDescent="0.25"/>
    <row r="208791" customFormat="1" x14ac:dyDescent="0.25"/>
    <row r="208792" customFormat="1" x14ac:dyDescent="0.25"/>
    <row r="208793" customFormat="1" x14ac:dyDescent="0.25"/>
    <row r="208794" customFormat="1" x14ac:dyDescent="0.25"/>
    <row r="208795" customFormat="1" x14ac:dyDescent="0.25"/>
    <row r="208796" customFormat="1" x14ac:dyDescent="0.25"/>
    <row r="208797" customFormat="1" x14ac:dyDescent="0.25"/>
    <row r="208798" customFormat="1" x14ac:dyDescent="0.25"/>
    <row r="208799" customFormat="1" x14ac:dyDescent="0.25"/>
    <row r="208800" customFormat="1" x14ac:dyDescent="0.25"/>
    <row r="208801" customFormat="1" x14ac:dyDescent="0.25"/>
    <row r="208802" customFormat="1" x14ac:dyDescent="0.25"/>
    <row r="208803" customFormat="1" x14ac:dyDescent="0.25"/>
    <row r="208804" customFormat="1" x14ac:dyDescent="0.25"/>
    <row r="208805" customFormat="1" x14ac:dyDescent="0.25"/>
    <row r="208806" customFormat="1" x14ac:dyDescent="0.25"/>
    <row r="208807" customFormat="1" x14ac:dyDescent="0.25"/>
    <row r="208808" customFormat="1" x14ac:dyDescent="0.25"/>
    <row r="208809" customFormat="1" x14ac:dyDescent="0.25"/>
    <row r="208810" customFormat="1" x14ac:dyDescent="0.25"/>
    <row r="208811" customFormat="1" x14ac:dyDescent="0.25"/>
    <row r="208812" customFormat="1" x14ac:dyDescent="0.25"/>
    <row r="208813" customFormat="1" x14ac:dyDescent="0.25"/>
    <row r="208814" customFormat="1" x14ac:dyDescent="0.25"/>
    <row r="208815" customFormat="1" x14ac:dyDescent="0.25"/>
    <row r="208816" customFormat="1" x14ac:dyDescent="0.25"/>
    <row r="208817" customFormat="1" x14ac:dyDescent="0.25"/>
    <row r="208818" customFormat="1" x14ac:dyDescent="0.25"/>
    <row r="208819" customFormat="1" x14ac:dyDescent="0.25"/>
    <row r="208820" customFormat="1" x14ac:dyDescent="0.25"/>
    <row r="208821" customFormat="1" x14ac:dyDescent="0.25"/>
    <row r="208822" customFormat="1" x14ac:dyDescent="0.25"/>
    <row r="208823" customFormat="1" x14ac:dyDescent="0.25"/>
    <row r="208824" customFormat="1" x14ac:dyDescent="0.25"/>
    <row r="208825" customFormat="1" x14ac:dyDescent="0.25"/>
    <row r="208826" customFormat="1" x14ac:dyDescent="0.25"/>
    <row r="208827" customFormat="1" x14ac:dyDescent="0.25"/>
    <row r="208828" customFormat="1" x14ac:dyDescent="0.25"/>
    <row r="208829" customFormat="1" x14ac:dyDescent="0.25"/>
    <row r="208830" customFormat="1" x14ac:dyDescent="0.25"/>
    <row r="208831" customFormat="1" x14ac:dyDescent="0.25"/>
    <row r="208832" customFormat="1" x14ac:dyDescent="0.25"/>
    <row r="208833" customFormat="1" x14ac:dyDescent="0.25"/>
    <row r="208834" customFormat="1" x14ac:dyDescent="0.25"/>
    <row r="208835" customFormat="1" x14ac:dyDescent="0.25"/>
    <row r="208836" customFormat="1" x14ac:dyDescent="0.25"/>
    <row r="208837" customFormat="1" x14ac:dyDescent="0.25"/>
    <row r="208838" customFormat="1" x14ac:dyDescent="0.25"/>
    <row r="208839" customFormat="1" x14ac:dyDescent="0.25"/>
    <row r="208840" customFormat="1" x14ac:dyDescent="0.25"/>
    <row r="208841" customFormat="1" x14ac:dyDescent="0.25"/>
    <row r="208842" customFormat="1" x14ac:dyDescent="0.25"/>
    <row r="208843" customFormat="1" x14ac:dyDescent="0.25"/>
    <row r="208844" customFormat="1" x14ac:dyDescent="0.25"/>
    <row r="208845" customFormat="1" x14ac:dyDescent="0.25"/>
    <row r="208846" customFormat="1" x14ac:dyDescent="0.25"/>
    <row r="208847" customFormat="1" x14ac:dyDescent="0.25"/>
    <row r="208848" customFormat="1" x14ac:dyDescent="0.25"/>
    <row r="208849" customFormat="1" x14ac:dyDescent="0.25"/>
    <row r="208850" customFormat="1" x14ac:dyDescent="0.25"/>
    <row r="208851" customFormat="1" x14ac:dyDescent="0.25"/>
    <row r="208852" customFormat="1" x14ac:dyDescent="0.25"/>
    <row r="208853" customFormat="1" x14ac:dyDescent="0.25"/>
    <row r="208854" customFormat="1" x14ac:dyDescent="0.25"/>
    <row r="208855" customFormat="1" x14ac:dyDescent="0.25"/>
    <row r="208856" customFormat="1" x14ac:dyDescent="0.25"/>
    <row r="208857" customFormat="1" x14ac:dyDescent="0.25"/>
    <row r="208858" customFormat="1" x14ac:dyDescent="0.25"/>
    <row r="208859" customFormat="1" x14ac:dyDescent="0.25"/>
    <row r="208860" customFormat="1" x14ac:dyDescent="0.25"/>
    <row r="208861" customFormat="1" x14ac:dyDescent="0.25"/>
    <row r="208862" customFormat="1" x14ac:dyDescent="0.25"/>
    <row r="208863" customFormat="1" x14ac:dyDescent="0.25"/>
    <row r="208864" customFormat="1" x14ac:dyDescent="0.25"/>
    <row r="208865" customFormat="1" x14ac:dyDescent="0.25"/>
    <row r="208866" customFormat="1" x14ac:dyDescent="0.25"/>
    <row r="208867" customFormat="1" x14ac:dyDescent="0.25"/>
    <row r="208868" customFormat="1" x14ac:dyDescent="0.25"/>
    <row r="208869" customFormat="1" x14ac:dyDescent="0.25"/>
    <row r="208870" customFormat="1" x14ac:dyDescent="0.25"/>
    <row r="208871" customFormat="1" x14ac:dyDescent="0.25"/>
    <row r="208872" customFormat="1" x14ac:dyDescent="0.25"/>
    <row r="208873" customFormat="1" x14ac:dyDescent="0.25"/>
    <row r="208874" customFormat="1" x14ac:dyDescent="0.25"/>
    <row r="208875" customFormat="1" x14ac:dyDescent="0.25"/>
    <row r="208876" customFormat="1" x14ac:dyDescent="0.25"/>
    <row r="208877" customFormat="1" x14ac:dyDescent="0.25"/>
    <row r="208878" customFormat="1" x14ac:dyDescent="0.25"/>
    <row r="208879" customFormat="1" x14ac:dyDescent="0.25"/>
    <row r="208880" customFormat="1" x14ac:dyDescent="0.25"/>
    <row r="208881" customFormat="1" x14ac:dyDescent="0.25"/>
    <row r="208882" customFormat="1" x14ac:dyDescent="0.25"/>
    <row r="208883" customFormat="1" x14ac:dyDescent="0.25"/>
    <row r="208884" customFormat="1" x14ac:dyDescent="0.25"/>
    <row r="208885" customFormat="1" x14ac:dyDescent="0.25"/>
    <row r="208886" customFormat="1" x14ac:dyDescent="0.25"/>
    <row r="208887" customFormat="1" x14ac:dyDescent="0.25"/>
    <row r="208888" customFormat="1" x14ac:dyDescent="0.25"/>
    <row r="208889" customFormat="1" x14ac:dyDescent="0.25"/>
    <row r="208890" customFormat="1" x14ac:dyDescent="0.25"/>
    <row r="208891" customFormat="1" x14ac:dyDescent="0.25"/>
    <row r="208892" customFormat="1" x14ac:dyDescent="0.25"/>
    <row r="208893" customFormat="1" x14ac:dyDescent="0.25"/>
    <row r="208894" customFormat="1" x14ac:dyDescent="0.25"/>
    <row r="208895" customFormat="1" x14ac:dyDescent="0.25"/>
    <row r="208896" customFormat="1" x14ac:dyDescent="0.25"/>
    <row r="208897" customFormat="1" x14ac:dyDescent="0.25"/>
    <row r="208898" customFormat="1" x14ac:dyDescent="0.25"/>
    <row r="208899" customFormat="1" x14ac:dyDescent="0.25"/>
    <row r="208900" customFormat="1" x14ac:dyDescent="0.25"/>
    <row r="208901" customFormat="1" x14ac:dyDescent="0.25"/>
    <row r="208902" customFormat="1" x14ac:dyDescent="0.25"/>
    <row r="208903" customFormat="1" x14ac:dyDescent="0.25"/>
    <row r="208904" customFormat="1" x14ac:dyDescent="0.25"/>
    <row r="208905" customFormat="1" x14ac:dyDescent="0.25"/>
    <row r="208906" customFormat="1" x14ac:dyDescent="0.25"/>
    <row r="208907" customFormat="1" x14ac:dyDescent="0.25"/>
    <row r="208908" customFormat="1" x14ac:dyDescent="0.25"/>
    <row r="208909" customFormat="1" x14ac:dyDescent="0.25"/>
    <row r="208910" customFormat="1" x14ac:dyDescent="0.25"/>
    <row r="208911" customFormat="1" x14ac:dyDescent="0.25"/>
    <row r="208912" customFormat="1" x14ac:dyDescent="0.25"/>
    <row r="208913" customFormat="1" x14ac:dyDescent="0.25"/>
    <row r="208914" customFormat="1" x14ac:dyDescent="0.25"/>
    <row r="208915" customFormat="1" x14ac:dyDescent="0.25"/>
    <row r="208916" customFormat="1" x14ac:dyDescent="0.25"/>
    <row r="208917" customFormat="1" x14ac:dyDescent="0.25"/>
    <row r="208918" customFormat="1" x14ac:dyDescent="0.25"/>
    <row r="208919" customFormat="1" x14ac:dyDescent="0.25"/>
    <row r="208920" customFormat="1" x14ac:dyDescent="0.25"/>
    <row r="208921" customFormat="1" x14ac:dyDescent="0.25"/>
    <row r="208922" customFormat="1" x14ac:dyDescent="0.25"/>
    <row r="208923" customFormat="1" x14ac:dyDescent="0.25"/>
    <row r="208924" customFormat="1" x14ac:dyDescent="0.25"/>
    <row r="208925" customFormat="1" x14ac:dyDescent="0.25"/>
    <row r="208926" customFormat="1" x14ac:dyDescent="0.25"/>
    <row r="208927" customFormat="1" x14ac:dyDescent="0.25"/>
    <row r="208928" customFormat="1" x14ac:dyDescent="0.25"/>
    <row r="208929" customFormat="1" x14ac:dyDescent="0.25"/>
    <row r="208930" customFormat="1" x14ac:dyDescent="0.25"/>
    <row r="208931" customFormat="1" x14ac:dyDescent="0.25"/>
    <row r="208932" customFormat="1" x14ac:dyDescent="0.25"/>
    <row r="208933" customFormat="1" x14ac:dyDescent="0.25"/>
    <row r="208934" customFormat="1" x14ac:dyDescent="0.25"/>
    <row r="208935" customFormat="1" x14ac:dyDescent="0.25"/>
    <row r="208936" customFormat="1" x14ac:dyDescent="0.25"/>
    <row r="208937" customFormat="1" x14ac:dyDescent="0.25"/>
    <row r="208938" customFormat="1" x14ac:dyDescent="0.25"/>
    <row r="208939" customFormat="1" x14ac:dyDescent="0.25"/>
    <row r="208940" customFormat="1" x14ac:dyDescent="0.25"/>
    <row r="208941" customFormat="1" x14ac:dyDescent="0.25"/>
    <row r="208942" customFormat="1" x14ac:dyDescent="0.25"/>
    <row r="208943" customFormat="1" x14ac:dyDescent="0.25"/>
    <row r="208944" customFormat="1" x14ac:dyDescent="0.25"/>
    <row r="208945" customFormat="1" x14ac:dyDescent="0.25"/>
    <row r="208946" customFormat="1" x14ac:dyDescent="0.25"/>
    <row r="208947" customFormat="1" x14ac:dyDescent="0.25"/>
    <row r="208948" customFormat="1" x14ac:dyDescent="0.25"/>
    <row r="208949" customFormat="1" x14ac:dyDescent="0.25"/>
    <row r="208950" customFormat="1" x14ac:dyDescent="0.25"/>
    <row r="208951" customFormat="1" x14ac:dyDescent="0.25"/>
    <row r="208952" customFormat="1" x14ac:dyDescent="0.25"/>
    <row r="208953" customFormat="1" x14ac:dyDescent="0.25"/>
    <row r="208954" customFormat="1" x14ac:dyDescent="0.25"/>
    <row r="208955" customFormat="1" x14ac:dyDescent="0.25"/>
    <row r="208956" customFormat="1" x14ac:dyDescent="0.25"/>
    <row r="208957" customFormat="1" x14ac:dyDescent="0.25"/>
    <row r="208958" customFormat="1" x14ac:dyDescent="0.25"/>
    <row r="208959" customFormat="1" x14ac:dyDescent="0.25"/>
    <row r="208960" customFormat="1" x14ac:dyDescent="0.25"/>
    <row r="208961" customFormat="1" x14ac:dyDescent="0.25"/>
    <row r="208962" customFormat="1" x14ac:dyDescent="0.25"/>
    <row r="208963" customFormat="1" x14ac:dyDescent="0.25"/>
    <row r="208964" customFormat="1" x14ac:dyDescent="0.25"/>
    <row r="208965" customFormat="1" x14ac:dyDescent="0.25"/>
    <row r="208966" customFormat="1" x14ac:dyDescent="0.25"/>
    <row r="208967" customFormat="1" x14ac:dyDescent="0.25"/>
    <row r="208968" customFormat="1" x14ac:dyDescent="0.25"/>
    <row r="208969" customFormat="1" x14ac:dyDescent="0.25"/>
    <row r="208970" customFormat="1" x14ac:dyDescent="0.25"/>
    <row r="208971" customFormat="1" x14ac:dyDescent="0.25"/>
    <row r="208972" customFormat="1" x14ac:dyDescent="0.25"/>
    <row r="208973" customFormat="1" x14ac:dyDescent="0.25"/>
    <row r="208974" customFormat="1" x14ac:dyDescent="0.25"/>
    <row r="208975" customFormat="1" x14ac:dyDescent="0.25"/>
    <row r="208976" customFormat="1" x14ac:dyDescent="0.25"/>
    <row r="208977" customFormat="1" x14ac:dyDescent="0.25"/>
    <row r="208978" customFormat="1" x14ac:dyDescent="0.25"/>
    <row r="208979" customFormat="1" x14ac:dyDescent="0.25"/>
    <row r="208980" customFormat="1" x14ac:dyDescent="0.25"/>
    <row r="208981" customFormat="1" x14ac:dyDescent="0.25"/>
    <row r="208982" customFormat="1" x14ac:dyDescent="0.25"/>
    <row r="208983" customFormat="1" x14ac:dyDescent="0.25"/>
    <row r="208984" customFormat="1" x14ac:dyDescent="0.25"/>
    <row r="208985" customFormat="1" x14ac:dyDescent="0.25"/>
    <row r="208986" customFormat="1" x14ac:dyDescent="0.25"/>
    <row r="208987" customFormat="1" x14ac:dyDescent="0.25"/>
    <row r="208988" customFormat="1" x14ac:dyDescent="0.25"/>
    <row r="208989" customFormat="1" x14ac:dyDescent="0.25"/>
    <row r="208990" customFormat="1" x14ac:dyDescent="0.25"/>
    <row r="208991" customFormat="1" x14ac:dyDescent="0.25"/>
    <row r="208992" customFormat="1" x14ac:dyDescent="0.25"/>
    <row r="208993" customFormat="1" x14ac:dyDescent="0.25"/>
    <row r="208994" customFormat="1" x14ac:dyDescent="0.25"/>
    <row r="208995" customFormat="1" x14ac:dyDescent="0.25"/>
    <row r="208996" customFormat="1" x14ac:dyDescent="0.25"/>
    <row r="208997" customFormat="1" x14ac:dyDescent="0.25"/>
    <row r="208998" customFormat="1" x14ac:dyDescent="0.25"/>
    <row r="208999" customFormat="1" x14ac:dyDescent="0.25"/>
    <row r="209000" customFormat="1" x14ac:dyDescent="0.25"/>
    <row r="209001" customFormat="1" x14ac:dyDescent="0.25"/>
    <row r="209002" customFormat="1" x14ac:dyDescent="0.25"/>
    <row r="209003" customFormat="1" x14ac:dyDescent="0.25"/>
    <row r="209004" customFormat="1" x14ac:dyDescent="0.25"/>
    <row r="209005" customFormat="1" x14ac:dyDescent="0.25"/>
    <row r="209006" customFormat="1" x14ac:dyDescent="0.25"/>
    <row r="209007" customFormat="1" x14ac:dyDescent="0.25"/>
    <row r="209008" customFormat="1" x14ac:dyDescent="0.25"/>
    <row r="209009" customFormat="1" x14ac:dyDescent="0.25"/>
    <row r="209010" customFormat="1" x14ac:dyDescent="0.25"/>
    <row r="209011" customFormat="1" x14ac:dyDescent="0.25"/>
    <row r="209012" customFormat="1" x14ac:dyDescent="0.25"/>
    <row r="209013" customFormat="1" x14ac:dyDescent="0.25"/>
    <row r="209014" customFormat="1" x14ac:dyDescent="0.25"/>
    <row r="209015" customFormat="1" x14ac:dyDescent="0.25"/>
    <row r="209016" customFormat="1" x14ac:dyDescent="0.25"/>
    <row r="209017" customFormat="1" x14ac:dyDescent="0.25"/>
    <row r="209018" customFormat="1" x14ac:dyDescent="0.25"/>
    <row r="209019" customFormat="1" x14ac:dyDescent="0.25"/>
    <row r="209020" customFormat="1" x14ac:dyDescent="0.25"/>
    <row r="209021" customFormat="1" x14ac:dyDescent="0.25"/>
    <row r="209022" customFormat="1" x14ac:dyDescent="0.25"/>
    <row r="209023" customFormat="1" x14ac:dyDescent="0.25"/>
    <row r="209024" customFormat="1" x14ac:dyDescent="0.25"/>
    <row r="209025" customFormat="1" x14ac:dyDescent="0.25"/>
    <row r="209026" customFormat="1" x14ac:dyDescent="0.25"/>
    <row r="209027" customFormat="1" x14ac:dyDescent="0.25"/>
    <row r="209028" customFormat="1" x14ac:dyDescent="0.25"/>
    <row r="209029" customFormat="1" x14ac:dyDescent="0.25"/>
    <row r="209030" customFormat="1" x14ac:dyDescent="0.25"/>
    <row r="209031" customFormat="1" x14ac:dyDescent="0.25"/>
    <row r="209032" customFormat="1" x14ac:dyDescent="0.25"/>
    <row r="209033" customFormat="1" x14ac:dyDescent="0.25"/>
    <row r="209034" customFormat="1" x14ac:dyDescent="0.25"/>
    <row r="209035" customFormat="1" x14ac:dyDescent="0.25"/>
    <row r="209036" customFormat="1" x14ac:dyDescent="0.25"/>
    <row r="209037" customFormat="1" x14ac:dyDescent="0.25"/>
    <row r="209038" customFormat="1" x14ac:dyDescent="0.25"/>
    <row r="209039" customFormat="1" x14ac:dyDescent="0.25"/>
    <row r="209040" customFormat="1" x14ac:dyDescent="0.25"/>
    <row r="209041" customFormat="1" x14ac:dyDescent="0.25"/>
    <row r="209042" customFormat="1" x14ac:dyDescent="0.25"/>
    <row r="209043" customFormat="1" x14ac:dyDescent="0.25"/>
    <row r="209044" customFormat="1" x14ac:dyDescent="0.25"/>
    <row r="209045" customFormat="1" x14ac:dyDescent="0.25"/>
    <row r="209046" customFormat="1" x14ac:dyDescent="0.25"/>
    <row r="209047" customFormat="1" x14ac:dyDescent="0.25"/>
    <row r="209048" customFormat="1" x14ac:dyDescent="0.25"/>
    <row r="209049" customFormat="1" x14ac:dyDescent="0.25"/>
    <row r="209050" customFormat="1" x14ac:dyDescent="0.25"/>
    <row r="209051" customFormat="1" x14ac:dyDescent="0.25"/>
    <row r="209052" customFormat="1" x14ac:dyDescent="0.25"/>
    <row r="209053" customFormat="1" x14ac:dyDescent="0.25"/>
    <row r="209054" customFormat="1" x14ac:dyDescent="0.25"/>
    <row r="209055" customFormat="1" x14ac:dyDescent="0.25"/>
    <row r="209056" customFormat="1" x14ac:dyDescent="0.25"/>
    <row r="209057" customFormat="1" x14ac:dyDescent="0.25"/>
    <row r="209058" customFormat="1" x14ac:dyDescent="0.25"/>
    <row r="209059" customFormat="1" x14ac:dyDescent="0.25"/>
    <row r="209060" customFormat="1" x14ac:dyDescent="0.25"/>
    <row r="209061" customFormat="1" x14ac:dyDescent="0.25"/>
    <row r="209062" customFormat="1" x14ac:dyDescent="0.25"/>
    <row r="209063" customFormat="1" x14ac:dyDescent="0.25"/>
    <row r="209064" customFormat="1" x14ac:dyDescent="0.25"/>
    <row r="209065" customFormat="1" x14ac:dyDescent="0.25"/>
    <row r="209066" customFormat="1" x14ac:dyDescent="0.25"/>
    <row r="209067" customFormat="1" x14ac:dyDescent="0.25"/>
    <row r="209068" customFormat="1" x14ac:dyDescent="0.25"/>
    <row r="209069" customFormat="1" x14ac:dyDescent="0.25"/>
    <row r="209070" customFormat="1" x14ac:dyDescent="0.25"/>
    <row r="209071" customFormat="1" x14ac:dyDescent="0.25"/>
    <row r="209072" customFormat="1" x14ac:dyDescent="0.25"/>
    <row r="209073" customFormat="1" x14ac:dyDescent="0.25"/>
    <row r="209074" customFormat="1" x14ac:dyDescent="0.25"/>
    <row r="209075" customFormat="1" x14ac:dyDescent="0.25"/>
    <row r="209076" customFormat="1" x14ac:dyDescent="0.25"/>
    <row r="209077" customFormat="1" x14ac:dyDescent="0.25"/>
    <row r="209078" customFormat="1" x14ac:dyDescent="0.25"/>
    <row r="209079" customFormat="1" x14ac:dyDescent="0.25"/>
    <row r="209080" customFormat="1" x14ac:dyDescent="0.25"/>
    <row r="209081" customFormat="1" x14ac:dyDescent="0.25"/>
    <row r="209082" customFormat="1" x14ac:dyDescent="0.25"/>
    <row r="209083" customFormat="1" x14ac:dyDescent="0.25"/>
    <row r="209084" customFormat="1" x14ac:dyDescent="0.25"/>
    <row r="209085" customFormat="1" x14ac:dyDescent="0.25"/>
    <row r="209086" customFormat="1" x14ac:dyDescent="0.25"/>
    <row r="209087" customFormat="1" x14ac:dyDescent="0.25"/>
    <row r="209088" customFormat="1" x14ac:dyDescent="0.25"/>
    <row r="209089" customFormat="1" x14ac:dyDescent="0.25"/>
    <row r="209090" customFormat="1" x14ac:dyDescent="0.25"/>
    <row r="209091" customFormat="1" x14ac:dyDescent="0.25"/>
    <row r="209092" customFormat="1" x14ac:dyDescent="0.25"/>
    <row r="209093" customFormat="1" x14ac:dyDescent="0.25"/>
    <row r="209094" customFormat="1" x14ac:dyDescent="0.25"/>
    <row r="209095" customFormat="1" x14ac:dyDescent="0.25"/>
    <row r="209096" customFormat="1" x14ac:dyDescent="0.25"/>
    <row r="209097" customFormat="1" x14ac:dyDescent="0.25"/>
    <row r="209098" customFormat="1" x14ac:dyDescent="0.25"/>
    <row r="209099" customFormat="1" x14ac:dyDescent="0.25"/>
    <row r="209100" customFormat="1" x14ac:dyDescent="0.25"/>
    <row r="209101" customFormat="1" x14ac:dyDescent="0.25"/>
    <row r="209102" customFormat="1" x14ac:dyDescent="0.25"/>
    <row r="209103" customFormat="1" x14ac:dyDescent="0.25"/>
    <row r="209104" customFormat="1" x14ac:dyDescent="0.25"/>
    <row r="209105" customFormat="1" x14ac:dyDescent="0.25"/>
    <row r="209106" customFormat="1" x14ac:dyDescent="0.25"/>
    <row r="209107" customFormat="1" x14ac:dyDescent="0.25"/>
    <row r="209108" customFormat="1" x14ac:dyDescent="0.25"/>
    <row r="209109" customFormat="1" x14ac:dyDescent="0.25"/>
    <row r="209110" customFormat="1" x14ac:dyDescent="0.25"/>
    <row r="209111" customFormat="1" x14ac:dyDescent="0.25"/>
    <row r="209112" customFormat="1" x14ac:dyDescent="0.25"/>
    <row r="209113" customFormat="1" x14ac:dyDescent="0.25"/>
    <row r="209114" customFormat="1" x14ac:dyDescent="0.25"/>
    <row r="209115" customFormat="1" x14ac:dyDescent="0.25"/>
    <row r="209116" customFormat="1" x14ac:dyDescent="0.25"/>
    <row r="209117" customFormat="1" x14ac:dyDescent="0.25"/>
    <row r="209118" customFormat="1" x14ac:dyDescent="0.25"/>
    <row r="209119" customFormat="1" x14ac:dyDescent="0.25"/>
    <row r="209120" customFormat="1" x14ac:dyDescent="0.25"/>
    <row r="209121" customFormat="1" x14ac:dyDescent="0.25"/>
    <row r="209122" customFormat="1" x14ac:dyDescent="0.25"/>
    <row r="209123" customFormat="1" x14ac:dyDescent="0.25"/>
    <row r="209124" customFormat="1" x14ac:dyDescent="0.25"/>
    <row r="209125" customFormat="1" x14ac:dyDescent="0.25"/>
    <row r="209126" customFormat="1" x14ac:dyDescent="0.25"/>
    <row r="209127" customFormat="1" x14ac:dyDescent="0.25"/>
    <row r="209128" customFormat="1" x14ac:dyDescent="0.25"/>
    <row r="209129" customFormat="1" x14ac:dyDescent="0.25"/>
    <row r="209130" customFormat="1" x14ac:dyDescent="0.25"/>
    <row r="209131" customFormat="1" x14ac:dyDescent="0.25"/>
    <row r="209132" customFormat="1" x14ac:dyDescent="0.25"/>
    <row r="209133" customFormat="1" x14ac:dyDescent="0.25"/>
    <row r="209134" customFormat="1" x14ac:dyDescent="0.25"/>
    <row r="209135" customFormat="1" x14ac:dyDescent="0.25"/>
    <row r="209136" customFormat="1" x14ac:dyDescent="0.25"/>
    <row r="209137" customFormat="1" x14ac:dyDescent="0.25"/>
    <row r="209138" customFormat="1" x14ac:dyDescent="0.25"/>
    <row r="209139" customFormat="1" x14ac:dyDescent="0.25"/>
    <row r="209140" customFormat="1" x14ac:dyDescent="0.25"/>
    <row r="209141" customFormat="1" x14ac:dyDescent="0.25"/>
    <row r="209142" customFormat="1" x14ac:dyDescent="0.25"/>
    <row r="209143" customFormat="1" x14ac:dyDescent="0.25"/>
    <row r="209144" customFormat="1" x14ac:dyDescent="0.25"/>
    <row r="209145" customFormat="1" x14ac:dyDescent="0.25"/>
    <row r="209146" customFormat="1" x14ac:dyDescent="0.25"/>
    <row r="209147" customFormat="1" x14ac:dyDescent="0.25"/>
    <row r="209148" customFormat="1" x14ac:dyDescent="0.25"/>
    <row r="209149" customFormat="1" x14ac:dyDescent="0.25"/>
    <row r="209150" customFormat="1" x14ac:dyDescent="0.25"/>
    <row r="209151" customFormat="1" x14ac:dyDescent="0.25"/>
    <row r="209152" customFormat="1" x14ac:dyDescent="0.25"/>
    <row r="209153" customFormat="1" x14ac:dyDescent="0.25"/>
    <row r="209154" customFormat="1" x14ac:dyDescent="0.25"/>
    <row r="209155" customFormat="1" x14ac:dyDescent="0.25"/>
    <row r="209156" customFormat="1" x14ac:dyDescent="0.25"/>
    <row r="209157" customFormat="1" x14ac:dyDescent="0.25"/>
    <row r="209158" customFormat="1" x14ac:dyDescent="0.25"/>
    <row r="209159" customFormat="1" x14ac:dyDescent="0.25"/>
    <row r="209160" customFormat="1" x14ac:dyDescent="0.25"/>
    <row r="209161" customFormat="1" x14ac:dyDescent="0.25"/>
    <row r="209162" customFormat="1" x14ac:dyDescent="0.25"/>
    <row r="209163" customFormat="1" x14ac:dyDescent="0.25"/>
    <row r="209164" customFormat="1" x14ac:dyDescent="0.25"/>
    <row r="209165" customFormat="1" x14ac:dyDescent="0.25"/>
    <row r="209166" customFormat="1" x14ac:dyDescent="0.25"/>
    <row r="209167" customFormat="1" x14ac:dyDescent="0.25"/>
    <row r="209168" customFormat="1" x14ac:dyDescent="0.25"/>
    <row r="209169" customFormat="1" x14ac:dyDescent="0.25"/>
    <row r="209170" customFormat="1" x14ac:dyDescent="0.25"/>
    <row r="209171" customFormat="1" x14ac:dyDescent="0.25"/>
    <row r="209172" customFormat="1" x14ac:dyDescent="0.25"/>
    <row r="209173" customFormat="1" x14ac:dyDescent="0.25"/>
    <row r="209174" customFormat="1" x14ac:dyDescent="0.25"/>
    <row r="209175" customFormat="1" x14ac:dyDescent="0.25"/>
    <row r="209176" customFormat="1" x14ac:dyDescent="0.25"/>
    <row r="209177" customFormat="1" x14ac:dyDescent="0.25"/>
    <row r="209178" customFormat="1" x14ac:dyDescent="0.25"/>
    <row r="209179" customFormat="1" x14ac:dyDescent="0.25"/>
    <row r="209180" customFormat="1" x14ac:dyDescent="0.25"/>
    <row r="209181" customFormat="1" x14ac:dyDescent="0.25"/>
    <row r="209182" customFormat="1" x14ac:dyDescent="0.25"/>
    <row r="209183" customFormat="1" x14ac:dyDescent="0.25"/>
    <row r="209184" customFormat="1" x14ac:dyDescent="0.25"/>
    <row r="209185" customFormat="1" x14ac:dyDescent="0.25"/>
    <row r="209186" customFormat="1" x14ac:dyDescent="0.25"/>
    <row r="209187" customFormat="1" x14ac:dyDescent="0.25"/>
    <row r="209188" customFormat="1" x14ac:dyDescent="0.25"/>
    <row r="209189" customFormat="1" x14ac:dyDescent="0.25"/>
    <row r="209190" customFormat="1" x14ac:dyDescent="0.25"/>
    <row r="209191" customFormat="1" x14ac:dyDescent="0.25"/>
    <row r="209192" customFormat="1" x14ac:dyDescent="0.25"/>
    <row r="209193" customFormat="1" x14ac:dyDescent="0.25"/>
    <row r="209194" customFormat="1" x14ac:dyDescent="0.25"/>
    <row r="209195" customFormat="1" x14ac:dyDescent="0.25"/>
    <row r="209196" customFormat="1" x14ac:dyDescent="0.25"/>
    <row r="209197" customFormat="1" x14ac:dyDescent="0.25"/>
    <row r="209198" customFormat="1" x14ac:dyDescent="0.25"/>
    <row r="209199" customFormat="1" x14ac:dyDescent="0.25"/>
    <row r="209200" customFormat="1" x14ac:dyDescent="0.25"/>
    <row r="209201" customFormat="1" x14ac:dyDescent="0.25"/>
    <row r="209202" customFormat="1" x14ac:dyDescent="0.25"/>
    <row r="209203" customFormat="1" x14ac:dyDescent="0.25"/>
    <row r="209204" customFormat="1" x14ac:dyDescent="0.25"/>
    <row r="209205" customFormat="1" x14ac:dyDescent="0.25"/>
    <row r="209206" customFormat="1" x14ac:dyDescent="0.25"/>
    <row r="209207" customFormat="1" x14ac:dyDescent="0.25"/>
    <row r="209208" customFormat="1" x14ac:dyDescent="0.25"/>
    <row r="209209" customFormat="1" x14ac:dyDescent="0.25"/>
    <row r="209210" customFormat="1" x14ac:dyDescent="0.25"/>
    <row r="209211" customFormat="1" x14ac:dyDescent="0.25"/>
    <row r="209212" customFormat="1" x14ac:dyDescent="0.25"/>
    <row r="209213" customFormat="1" x14ac:dyDescent="0.25"/>
    <row r="209214" customFormat="1" x14ac:dyDescent="0.25"/>
    <row r="209215" customFormat="1" x14ac:dyDescent="0.25"/>
    <row r="209216" customFormat="1" x14ac:dyDescent="0.25"/>
    <row r="209217" customFormat="1" x14ac:dyDescent="0.25"/>
    <row r="209218" customFormat="1" x14ac:dyDescent="0.25"/>
    <row r="209219" customFormat="1" x14ac:dyDescent="0.25"/>
    <row r="209220" customFormat="1" x14ac:dyDescent="0.25"/>
    <row r="209221" customFormat="1" x14ac:dyDescent="0.25"/>
    <row r="209222" customFormat="1" x14ac:dyDescent="0.25"/>
    <row r="209223" customFormat="1" x14ac:dyDescent="0.25"/>
    <row r="209224" customFormat="1" x14ac:dyDescent="0.25"/>
    <row r="209225" customFormat="1" x14ac:dyDescent="0.25"/>
    <row r="209226" customFormat="1" x14ac:dyDescent="0.25"/>
    <row r="209227" customFormat="1" x14ac:dyDescent="0.25"/>
    <row r="209228" customFormat="1" x14ac:dyDescent="0.25"/>
    <row r="209229" customFormat="1" x14ac:dyDescent="0.25"/>
    <row r="209230" customFormat="1" x14ac:dyDescent="0.25"/>
    <row r="209231" customFormat="1" x14ac:dyDescent="0.25"/>
    <row r="209232" customFormat="1" x14ac:dyDescent="0.25"/>
    <row r="209233" customFormat="1" x14ac:dyDescent="0.25"/>
    <row r="209234" customFormat="1" x14ac:dyDescent="0.25"/>
    <row r="209235" customFormat="1" x14ac:dyDescent="0.25"/>
    <row r="209236" customFormat="1" x14ac:dyDescent="0.25"/>
    <row r="209237" customFormat="1" x14ac:dyDescent="0.25"/>
    <row r="209238" customFormat="1" x14ac:dyDescent="0.25"/>
    <row r="209239" customFormat="1" x14ac:dyDescent="0.25"/>
    <row r="209240" customFormat="1" x14ac:dyDescent="0.25"/>
    <row r="209241" customFormat="1" x14ac:dyDescent="0.25"/>
    <row r="209242" customFormat="1" x14ac:dyDescent="0.25"/>
    <row r="209243" customFormat="1" x14ac:dyDescent="0.25"/>
    <row r="209244" customFormat="1" x14ac:dyDescent="0.25"/>
    <row r="209245" customFormat="1" x14ac:dyDescent="0.25"/>
    <row r="209246" customFormat="1" x14ac:dyDescent="0.25"/>
    <row r="209247" customFormat="1" x14ac:dyDescent="0.25"/>
    <row r="209248" customFormat="1" x14ac:dyDescent="0.25"/>
    <row r="209249" customFormat="1" x14ac:dyDescent="0.25"/>
    <row r="209250" customFormat="1" x14ac:dyDescent="0.25"/>
    <row r="209251" customFormat="1" x14ac:dyDescent="0.25"/>
    <row r="209252" customFormat="1" x14ac:dyDescent="0.25"/>
    <row r="209253" customFormat="1" x14ac:dyDescent="0.25"/>
    <row r="209254" customFormat="1" x14ac:dyDescent="0.25"/>
    <row r="209255" customFormat="1" x14ac:dyDescent="0.25"/>
    <row r="209256" customFormat="1" x14ac:dyDescent="0.25"/>
    <row r="209257" customFormat="1" x14ac:dyDescent="0.25"/>
    <row r="209258" customFormat="1" x14ac:dyDescent="0.25"/>
    <row r="209259" customFormat="1" x14ac:dyDescent="0.25"/>
    <row r="209260" customFormat="1" x14ac:dyDescent="0.25"/>
    <row r="209261" customFormat="1" x14ac:dyDescent="0.25"/>
    <row r="209262" customFormat="1" x14ac:dyDescent="0.25"/>
    <row r="209263" customFormat="1" x14ac:dyDescent="0.25"/>
    <row r="209264" customFormat="1" x14ac:dyDescent="0.25"/>
    <row r="209265" customFormat="1" x14ac:dyDescent="0.25"/>
    <row r="209266" customFormat="1" x14ac:dyDescent="0.25"/>
    <row r="209267" customFormat="1" x14ac:dyDescent="0.25"/>
    <row r="209268" customFormat="1" x14ac:dyDescent="0.25"/>
    <row r="209269" customFormat="1" x14ac:dyDescent="0.25"/>
    <row r="209270" customFormat="1" x14ac:dyDescent="0.25"/>
    <row r="209271" customFormat="1" x14ac:dyDescent="0.25"/>
    <row r="209272" customFormat="1" x14ac:dyDescent="0.25"/>
    <row r="209273" customFormat="1" x14ac:dyDescent="0.25"/>
    <row r="209274" customFormat="1" x14ac:dyDescent="0.25"/>
    <row r="209275" customFormat="1" x14ac:dyDescent="0.25"/>
    <row r="209276" customFormat="1" x14ac:dyDescent="0.25"/>
    <row r="209277" customFormat="1" x14ac:dyDescent="0.25"/>
    <row r="209278" customFormat="1" x14ac:dyDescent="0.25"/>
    <row r="209279" customFormat="1" x14ac:dyDescent="0.25"/>
    <row r="209280" customFormat="1" x14ac:dyDescent="0.25"/>
    <row r="209281" customFormat="1" x14ac:dyDescent="0.25"/>
    <row r="209282" customFormat="1" x14ac:dyDescent="0.25"/>
    <row r="209283" customFormat="1" x14ac:dyDescent="0.25"/>
    <row r="209284" customFormat="1" x14ac:dyDescent="0.25"/>
    <row r="209285" customFormat="1" x14ac:dyDescent="0.25"/>
    <row r="209286" customFormat="1" x14ac:dyDescent="0.25"/>
    <row r="209287" customFormat="1" x14ac:dyDescent="0.25"/>
    <row r="209288" customFormat="1" x14ac:dyDescent="0.25"/>
    <row r="209289" customFormat="1" x14ac:dyDescent="0.25"/>
    <row r="209290" customFormat="1" x14ac:dyDescent="0.25"/>
    <row r="209291" customFormat="1" x14ac:dyDescent="0.25"/>
    <row r="209292" customFormat="1" x14ac:dyDescent="0.25"/>
    <row r="209293" customFormat="1" x14ac:dyDescent="0.25"/>
    <row r="209294" customFormat="1" x14ac:dyDescent="0.25"/>
    <row r="209295" customFormat="1" x14ac:dyDescent="0.25"/>
    <row r="209296" customFormat="1" x14ac:dyDescent="0.25"/>
    <row r="209297" customFormat="1" x14ac:dyDescent="0.25"/>
    <row r="209298" customFormat="1" x14ac:dyDescent="0.25"/>
    <row r="209299" customFormat="1" x14ac:dyDescent="0.25"/>
    <row r="209300" customFormat="1" x14ac:dyDescent="0.25"/>
    <row r="209301" customFormat="1" x14ac:dyDescent="0.25"/>
    <row r="209302" customFormat="1" x14ac:dyDescent="0.25"/>
    <row r="209303" customFormat="1" x14ac:dyDescent="0.25"/>
    <row r="209304" customFormat="1" x14ac:dyDescent="0.25"/>
    <row r="209305" customFormat="1" x14ac:dyDescent="0.25"/>
    <row r="209306" customFormat="1" x14ac:dyDescent="0.25"/>
    <row r="209307" customFormat="1" x14ac:dyDescent="0.25"/>
    <row r="209308" customFormat="1" x14ac:dyDescent="0.25"/>
    <row r="209309" customFormat="1" x14ac:dyDescent="0.25"/>
    <row r="209310" customFormat="1" x14ac:dyDescent="0.25"/>
    <row r="209311" customFormat="1" x14ac:dyDescent="0.25"/>
    <row r="209312" customFormat="1" x14ac:dyDescent="0.25"/>
    <row r="209313" customFormat="1" x14ac:dyDescent="0.25"/>
    <row r="209314" customFormat="1" x14ac:dyDescent="0.25"/>
    <row r="209315" customFormat="1" x14ac:dyDescent="0.25"/>
    <row r="209316" customFormat="1" x14ac:dyDescent="0.25"/>
    <row r="209317" customFormat="1" x14ac:dyDescent="0.25"/>
    <row r="209318" customFormat="1" x14ac:dyDescent="0.25"/>
    <row r="209319" customFormat="1" x14ac:dyDescent="0.25"/>
    <row r="209320" customFormat="1" x14ac:dyDescent="0.25"/>
    <row r="209321" customFormat="1" x14ac:dyDescent="0.25"/>
    <row r="209322" customFormat="1" x14ac:dyDescent="0.25"/>
    <row r="209323" customFormat="1" x14ac:dyDescent="0.25"/>
    <row r="209324" customFormat="1" x14ac:dyDescent="0.25"/>
    <row r="209325" customFormat="1" x14ac:dyDescent="0.25"/>
    <row r="209326" customFormat="1" x14ac:dyDescent="0.25"/>
    <row r="209327" customFormat="1" x14ac:dyDescent="0.25"/>
    <row r="209328" customFormat="1" x14ac:dyDescent="0.25"/>
    <row r="209329" customFormat="1" x14ac:dyDescent="0.25"/>
    <row r="209330" customFormat="1" x14ac:dyDescent="0.25"/>
    <row r="209331" customFormat="1" x14ac:dyDescent="0.25"/>
    <row r="209332" customFormat="1" x14ac:dyDescent="0.25"/>
    <row r="209333" customFormat="1" x14ac:dyDescent="0.25"/>
    <row r="209334" customFormat="1" x14ac:dyDescent="0.25"/>
    <row r="209335" customFormat="1" x14ac:dyDescent="0.25"/>
    <row r="209336" customFormat="1" x14ac:dyDescent="0.25"/>
    <row r="209337" customFormat="1" x14ac:dyDescent="0.25"/>
    <row r="209338" customFormat="1" x14ac:dyDescent="0.25"/>
    <row r="209339" customFormat="1" x14ac:dyDescent="0.25"/>
    <row r="209340" customFormat="1" x14ac:dyDescent="0.25"/>
    <row r="209341" customFormat="1" x14ac:dyDescent="0.25"/>
    <row r="209342" customFormat="1" x14ac:dyDescent="0.25"/>
    <row r="209343" customFormat="1" x14ac:dyDescent="0.25"/>
    <row r="209344" customFormat="1" x14ac:dyDescent="0.25"/>
    <row r="209345" customFormat="1" x14ac:dyDescent="0.25"/>
    <row r="209346" customFormat="1" x14ac:dyDescent="0.25"/>
    <row r="209347" customFormat="1" x14ac:dyDescent="0.25"/>
    <row r="209348" customFormat="1" x14ac:dyDescent="0.25"/>
    <row r="209349" customFormat="1" x14ac:dyDescent="0.25"/>
    <row r="209350" customFormat="1" x14ac:dyDescent="0.25"/>
    <row r="209351" customFormat="1" x14ac:dyDescent="0.25"/>
    <row r="209352" customFormat="1" x14ac:dyDescent="0.25"/>
    <row r="209353" customFormat="1" x14ac:dyDescent="0.25"/>
    <row r="209354" customFormat="1" x14ac:dyDescent="0.25"/>
    <row r="209355" customFormat="1" x14ac:dyDescent="0.25"/>
    <row r="209356" customFormat="1" x14ac:dyDescent="0.25"/>
    <row r="209357" customFormat="1" x14ac:dyDescent="0.25"/>
    <row r="209358" customFormat="1" x14ac:dyDescent="0.25"/>
    <row r="209359" customFormat="1" x14ac:dyDescent="0.25"/>
    <row r="209360" customFormat="1" x14ac:dyDescent="0.25"/>
    <row r="209361" customFormat="1" x14ac:dyDescent="0.25"/>
    <row r="209362" customFormat="1" x14ac:dyDescent="0.25"/>
    <row r="209363" customFormat="1" x14ac:dyDescent="0.25"/>
    <row r="209364" customFormat="1" x14ac:dyDescent="0.25"/>
    <row r="209365" customFormat="1" x14ac:dyDescent="0.25"/>
    <row r="209366" customFormat="1" x14ac:dyDescent="0.25"/>
    <row r="209367" customFormat="1" x14ac:dyDescent="0.25"/>
    <row r="209368" customFormat="1" x14ac:dyDescent="0.25"/>
    <row r="209369" customFormat="1" x14ac:dyDescent="0.25"/>
    <row r="209370" customFormat="1" x14ac:dyDescent="0.25"/>
    <row r="209371" customFormat="1" x14ac:dyDescent="0.25"/>
    <row r="209372" customFormat="1" x14ac:dyDescent="0.25"/>
    <row r="209373" customFormat="1" x14ac:dyDescent="0.25"/>
    <row r="209374" customFormat="1" x14ac:dyDescent="0.25"/>
    <row r="209375" customFormat="1" x14ac:dyDescent="0.25"/>
    <row r="209376" customFormat="1" x14ac:dyDescent="0.25"/>
    <row r="209377" customFormat="1" x14ac:dyDescent="0.25"/>
    <row r="209378" customFormat="1" x14ac:dyDescent="0.25"/>
    <row r="209379" customFormat="1" x14ac:dyDescent="0.25"/>
    <row r="209380" customFormat="1" x14ac:dyDescent="0.25"/>
    <row r="209381" customFormat="1" x14ac:dyDescent="0.25"/>
    <row r="209382" customFormat="1" x14ac:dyDescent="0.25"/>
    <row r="209383" customFormat="1" x14ac:dyDescent="0.25"/>
    <row r="209384" customFormat="1" x14ac:dyDescent="0.25"/>
    <row r="209385" customFormat="1" x14ac:dyDescent="0.25"/>
    <row r="209386" customFormat="1" x14ac:dyDescent="0.25"/>
    <row r="209387" customFormat="1" x14ac:dyDescent="0.25"/>
    <row r="209388" customFormat="1" x14ac:dyDescent="0.25"/>
    <row r="209389" customFormat="1" x14ac:dyDescent="0.25"/>
    <row r="209390" customFormat="1" x14ac:dyDescent="0.25"/>
    <row r="209391" customFormat="1" x14ac:dyDescent="0.25"/>
    <row r="209392" customFormat="1" x14ac:dyDescent="0.25"/>
    <row r="209393" customFormat="1" x14ac:dyDescent="0.25"/>
    <row r="209394" customFormat="1" x14ac:dyDescent="0.25"/>
    <row r="209395" customFormat="1" x14ac:dyDescent="0.25"/>
    <row r="209396" customFormat="1" x14ac:dyDescent="0.25"/>
    <row r="209397" customFormat="1" x14ac:dyDescent="0.25"/>
    <row r="209398" customFormat="1" x14ac:dyDescent="0.25"/>
    <row r="209399" customFormat="1" x14ac:dyDescent="0.25"/>
    <row r="209400" customFormat="1" x14ac:dyDescent="0.25"/>
    <row r="209401" customFormat="1" x14ac:dyDescent="0.25"/>
    <row r="209402" customFormat="1" x14ac:dyDescent="0.25"/>
    <row r="209403" customFormat="1" x14ac:dyDescent="0.25"/>
    <row r="209404" customFormat="1" x14ac:dyDescent="0.25"/>
    <row r="209405" customFormat="1" x14ac:dyDescent="0.25"/>
    <row r="209406" customFormat="1" x14ac:dyDescent="0.25"/>
    <row r="209407" customFormat="1" x14ac:dyDescent="0.25"/>
    <row r="209408" customFormat="1" x14ac:dyDescent="0.25"/>
    <row r="209409" customFormat="1" x14ac:dyDescent="0.25"/>
    <row r="209410" customFormat="1" x14ac:dyDescent="0.25"/>
    <row r="209411" customFormat="1" x14ac:dyDescent="0.25"/>
    <row r="209412" customFormat="1" x14ac:dyDescent="0.25"/>
    <row r="209413" customFormat="1" x14ac:dyDescent="0.25"/>
    <row r="209414" customFormat="1" x14ac:dyDescent="0.25"/>
    <row r="209415" customFormat="1" x14ac:dyDescent="0.25"/>
    <row r="209416" customFormat="1" x14ac:dyDescent="0.25"/>
    <row r="209417" customFormat="1" x14ac:dyDescent="0.25"/>
    <row r="209418" customFormat="1" x14ac:dyDescent="0.25"/>
    <row r="209419" customFormat="1" x14ac:dyDescent="0.25"/>
    <row r="209420" customFormat="1" x14ac:dyDescent="0.25"/>
    <row r="209421" customFormat="1" x14ac:dyDescent="0.25"/>
    <row r="209422" customFormat="1" x14ac:dyDescent="0.25"/>
    <row r="209423" customFormat="1" x14ac:dyDescent="0.25"/>
    <row r="209424" customFormat="1" x14ac:dyDescent="0.25"/>
    <row r="209425" customFormat="1" x14ac:dyDescent="0.25"/>
    <row r="209426" customFormat="1" x14ac:dyDescent="0.25"/>
    <row r="209427" customFormat="1" x14ac:dyDescent="0.25"/>
    <row r="209428" customFormat="1" x14ac:dyDescent="0.25"/>
    <row r="209429" customFormat="1" x14ac:dyDescent="0.25"/>
    <row r="209430" customFormat="1" x14ac:dyDescent="0.25"/>
    <row r="209431" customFormat="1" x14ac:dyDescent="0.25"/>
    <row r="209432" customFormat="1" x14ac:dyDescent="0.25"/>
    <row r="209433" customFormat="1" x14ac:dyDescent="0.25"/>
    <row r="209434" customFormat="1" x14ac:dyDescent="0.25"/>
    <row r="209435" customFormat="1" x14ac:dyDescent="0.25"/>
    <row r="209436" customFormat="1" x14ac:dyDescent="0.25"/>
    <row r="209437" customFormat="1" x14ac:dyDescent="0.25"/>
    <row r="209438" customFormat="1" x14ac:dyDescent="0.25"/>
    <row r="209439" customFormat="1" x14ac:dyDescent="0.25"/>
    <row r="209440" customFormat="1" x14ac:dyDescent="0.25"/>
    <row r="209441" customFormat="1" x14ac:dyDescent="0.25"/>
    <row r="209442" customFormat="1" x14ac:dyDescent="0.25"/>
    <row r="209443" customFormat="1" x14ac:dyDescent="0.25"/>
    <row r="209444" customFormat="1" x14ac:dyDescent="0.25"/>
    <row r="209445" customFormat="1" x14ac:dyDescent="0.25"/>
    <row r="209446" customFormat="1" x14ac:dyDescent="0.25"/>
    <row r="209447" customFormat="1" x14ac:dyDescent="0.25"/>
    <row r="209448" customFormat="1" x14ac:dyDescent="0.25"/>
    <row r="209449" customFormat="1" x14ac:dyDescent="0.25"/>
    <row r="209450" customFormat="1" x14ac:dyDescent="0.25"/>
    <row r="209451" customFormat="1" x14ac:dyDescent="0.25"/>
    <row r="209452" customFormat="1" x14ac:dyDescent="0.25"/>
    <row r="209453" customFormat="1" x14ac:dyDescent="0.25"/>
    <row r="209454" customFormat="1" x14ac:dyDescent="0.25"/>
    <row r="209455" customFormat="1" x14ac:dyDescent="0.25"/>
    <row r="209456" customFormat="1" x14ac:dyDescent="0.25"/>
    <row r="209457" customFormat="1" x14ac:dyDescent="0.25"/>
    <row r="209458" customFormat="1" x14ac:dyDescent="0.25"/>
    <row r="209459" customFormat="1" x14ac:dyDescent="0.25"/>
    <row r="209460" customFormat="1" x14ac:dyDescent="0.25"/>
    <row r="209461" customFormat="1" x14ac:dyDescent="0.25"/>
    <row r="209462" customFormat="1" x14ac:dyDescent="0.25"/>
    <row r="209463" customFormat="1" x14ac:dyDescent="0.25"/>
    <row r="209464" customFormat="1" x14ac:dyDescent="0.25"/>
    <row r="209465" customFormat="1" x14ac:dyDescent="0.25"/>
    <row r="209466" customFormat="1" x14ac:dyDescent="0.25"/>
    <row r="209467" customFormat="1" x14ac:dyDescent="0.25"/>
    <row r="209468" customFormat="1" x14ac:dyDescent="0.25"/>
    <row r="209469" customFormat="1" x14ac:dyDescent="0.25"/>
    <row r="209470" customFormat="1" x14ac:dyDescent="0.25"/>
    <row r="209471" customFormat="1" x14ac:dyDescent="0.25"/>
    <row r="209472" customFormat="1" x14ac:dyDescent="0.25"/>
    <row r="209473" customFormat="1" x14ac:dyDescent="0.25"/>
    <row r="209474" customFormat="1" x14ac:dyDescent="0.25"/>
    <row r="209475" customFormat="1" x14ac:dyDescent="0.25"/>
    <row r="209476" customFormat="1" x14ac:dyDescent="0.25"/>
    <row r="209477" customFormat="1" x14ac:dyDescent="0.25"/>
    <row r="209478" customFormat="1" x14ac:dyDescent="0.25"/>
    <row r="209479" customFormat="1" x14ac:dyDescent="0.25"/>
    <row r="209480" customFormat="1" x14ac:dyDescent="0.25"/>
    <row r="209481" customFormat="1" x14ac:dyDescent="0.25"/>
    <row r="209482" customFormat="1" x14ac:dyDescent="0.25"/>
    <row r="209483" customFormat="1" x14ac:dyDescent="0.25"/>
    <row r="209484" customFormat="1" x14ac:dyDescent="0.25"/>
    <row r="209485" customFormat="1" x14ac:dyDescent="0.25"/>
    <row r="209486" customFormat="1" x14ac:dyDescent="0.25"/>
    <row r="209487" customFormat="1" x14ac:dyDescent="0.25"/>
    <row r="209488" customFormat="1" x14ac:dyDescent="0.25"/>
    <row r="209489" customFormat="1" x14ac:dyDescent="0.25"/>
    <row r="209490" customFormat="1" x14ac:dyDescent="0.25"/>
    <row r="209491" customFormat="1" x14ac:dyDescent="0.25"/>
    <row r="209492" customFormat="1" x14ac:dyDescent="0.25"/>
    <row r="209493" customFormat="1" x14ac:dyDescent="0.25"/>
    <row r="209494" customFormat="1" x14ac:dyDescent="0.25"/>
    <row r="209495" customFormat="1" x14ac:dyDescent="0.25"/>
    <row r="209496" customFormat="1" x14ac:dyDescent="0.25"/>
    <row r="209497" customFormat="1" x14ac:dyDescent="0.25"/>
    <row r="209498" customFormat="1" x14ac:dyDescent="0.25"/>
    <row r="209499" customFormat="1" x14ac:dyDescent="0.25"/>
    <row r="209500" customFormat="1" x14ac:dyDescent="0.25"/>
    <row r="209501" customFormat="1" x14ac:dyDescent="0.25"/>
    <row r="209502" customFormat="1" x14ac:dyDescent="0.25"/>
    <row r="209503" customFormat="1" x14ac:dyDescent="0.25"/>
    <row r="209504" customFormat="1" x14ac:dyDescent="0.25"/>
    <row r="209505" customFormat="1" x14ac:dyDescent="0.25"/>
    <row r="209506" customFormat="1" x14ac:dyDescent="0.25"/>
    <row r="209507" customFormat="1" x14ac:dyDescent="0.25"/>
    <row r="209508" customFormat="1" x14ac:dyDescent="0.25"/>
    <row r="209509" customFormat="1" x14ac:dyDescent="0.25"/>
    <row r="209510" customFormat="1" x14ac:dyDescent="0.25"/>
    <row r="209511" customFormat="1" x14ac:dyDescent="0.25"/>
    <row r="209512" customFormat="1" x14ac:dyDescent="0.25"/>
    <row r="209513" customFormat="1" x14ac:dyDescent="0.25"/>
    <row r="209514" customFormat="1" x14ac:dyDescent="0.25"/>
    <row r="209515" customFormat="1" x14ac:dyDescent="0.25"/>
    <row r="209516" customFormat="1" x14ac:dyDescent="0.25"/>
    <row r="209517" customFormat="1" x14ac:dyDescent="0.25"/>
    <row r="209518" customFormat="1" x14ac:dyDescent="0.25"/>
    <row r="209519" customFormat="1" x14ac:dyDescent="0.25"/>
    <row r="209520" customFormat="1" x14ac:dyDescent="0.25"/>
    <row r="209521" customFormat="1" x14ac:dyDescent="0.25"/>
    <row r="209522" customFormat="1" x14ac:dyDescent="0.25"/>
    <row r="209523" customFormat="1" x14ac:dyDescent="0.25"/>
    <row r="209524" customFormat="1" x14ac:dyDescent="0.25"/>
    <row r="209525" customFormat="1" x14ac:dyDescent="0.25"/>
    <row r="209526" customFormat="1" x14ac:dyDescent="0.25"/>
    <row r="209527" customFormat="1" x14ac:dyDescent="0.25"/>
    <row r="209528" customFormat="1" x14ac:dyDescent="0.25"/>
    <row r="209529" customFormat="1" x14ac:dyDescent="0.25"/>
    <row r="209530" customFormat="1" x14ac:dyDescent="0.25"/>
    <row r="209531" customFormat="1" x14ac:dyDescent="0.25"/>
    <row r="209532" customFormat="1" x14ac:dyDescent="0.25"/>
    <row r="209533" customFormat="1" x14ac:dyDescent="0.25"/>
    <row r="209534" customFormat="1" x14ac:dyDescent="0.25"/>
    <row r="209535" customFormat="1" x14ac:dyDescent="0.25"/>
    <row r="209536" customFormat="1" x14ac:dyDescent="0.25"/>
    <row r="209537" customFormat="1" x14ac:dyDescent="0.25"/>
    <row r="209538" customFormat="1" x14ac:dyDescent="0.25"/>
    <row r="209539" customFormat="1" x14ac:dyDescent="0.25"/>
    <row r="209540" customFormat="1" x14ac:dyDescent="0.25"/>
    <row r="209541" customFormat="1" x14ac:dyDescent="0.25"/>
    <row r="209542" customFormat="1" x14ac:dyDescent="0.25"/>
    <row r="209543" customFormat="1" x14ac:dyDescent="0.25"/>
    <row r="209544" customFormat="1" x14ac:dyDescent="0.25"/>
    <row r="209545" customFormat="1" x14ac:dyDescent="0.25"/>
    <row r="209546" customFormat="1" x14ac:dyDescent="0.25"/>
    <row r="209547" customFormat="1" x14ac:dyDescent="0.25"/>
    <row r="209548" customFormat="1" x14ac:dyDescent="0.25"/>
    <row r="209549" customFormat="1" x14ac:dyDescent="0.25"/>
    <row r="209550" customFormat="1" x14ac:dyDescent="0.25"/>
    <row r="209551" customFormat="1" x14ac:dyDescent="0.25"/>
    <row r="209552" customFormat="1" x14ac:dyDescent="0.25"/>
    <row r="209553" customFormat="1" x14ac:dyDescent="0.25"/>
    <row r="209554" customFormat="1" x14ac:dyDescent="0.25"/>
    <row r="209555" customFormat="1" x14ac:dyDescent="0.25"/>
    <row r="209556" customFormat="1" x14ac:dyDescent="0.25"/>
    <row r="209557" customFormat="1" x14ac:dyDescent="0.25"/>
    <row r="209558" customFormat="1" x14ac:dyDescent="0.25"/>
    <row r="209559" customFormat="1" x14ac:dyDescent="0.25"/>
    <row r="209560" customFormat="1" x14ac:dyDescent="0.25"/>
    <row r="209561" customFormat="1" x14ac:dyDescent="0.25"/>
    <row r="209562" customFormat="1" x14ac:dyDescent="0.25"/>
    <row r="209563" customFormat="1" x14ac:dyDescent="0.25"/>
    <row r="209564" customFormat="1" x14ac:dyDescent="0.25"/>
    <row r="209565" customFormat="1" x14ac:dyDescent="0.25"/>
    <row r="209566" customFormat="1" x14ac:dyDescent="0.25"/>
    <row r="209567" customFormat="1" x14ac:dyDescent="0.25"/>
    <row r="209568" customFormat="1" x14ac:dyDescent="0.25"/>
    <row r="209569" customFormat="1" x14ac:dyDescent="0.25"/>
    <row r="209570" customFormat="1" x14ac:dyDescent="0.25"/>
    <row r="209571" customFormat="1" x14ac:dyDescent="0.25"/>
    <row r="209572" customFormat="1" x14ac:dyDescent="0.25"/>
    <row r="209573" customFormat="1" x14ac:dyDescent="0.25"/>
    <row r="209574" customFormat="1" x14ac:dyDescent="0.25"/>
    <row r="209575" customFormat="1" x14ac:dyDescent="0.25"/>
    <row r="209576" customFormat="1" x14ac:dyDescent="0.25"/>
    <row r="209577" customFormat="1" x14ac:dyDescent="0.25"/>
    <row r="209578" customFormat="1" x14ac:dyDescent="0.25"/>
    <row r="209579" customFormat="1" x14ac:dyDescent="0.25"/>
    <row r="209580" customFormat="1" x14ac:dyDescent="0.25"/>
    <row r="209581" customFormat="1" x14ac:dyDescent="0.25"/>
    <row r="209582" customFormat="1" x14ac:dyDescent="0.25"/>
    <row r="209583" customFormat="1" x14ac:dyDescent="0.25"/>
    <row r="209584" customFormat="1" x14ac:dyDescent="0.25"/>
    <row r="209585" customFormat="1" x14ac:dyDescent="0.25"/>
    <row r="209586" customFormat="1" x14ac:dyDescent="0.25"/>
    <row r="209587" customFormat="1" x14ac:dyDescent="0.25"/>
    <row r="209588" customFormat="1" x14ac:dyDescent="0.25"/>
    <row r="209589" customFormat="1" x14ac:dyDescent="0.25"/>
    <row r="209590" customFormat="1" x14ac:dyDescent="0.25"/>
    <row r="209591" customFormat="1" x14ac:dyDescent="0.25"/>
    <row r="209592" customFormat="1" x14ac:dyDescent="0.25"/>
    <row r="209593" customFormat="1" x14ac:dyDescent="0.25"/>
    <row r="209594" customFormat="1" x14ac:dyDescent="0.25"/>
    <row r="209595" customFormat="1" x14ac:dyDescent="0.25"/>
    <row r="209596" customFormat="1" x14ac:dyDescent="0.25"/>
    <row r="209597" customFormat="1" x14ac:dyDescent="0.25"/>
    <row r="209598" customFormat="1" x14ac:dyDescent="0.25"/>
    <row r="209599" customFormat="1" x14ac:dyDescent="0.25"/>
    <row r="209600" customFormat="1" x14ac:dyDescent="0.25"/>
    <row r="209601" customFormat="1" x14ac:dyDescent="0.25"/>
    <row r="209602" customFormat="1" x14ac:dyDescent="0.25"/>
    <row r="209603" customFormat="1" x14ac:dyDescent="0.25"/>
    <row r="209604" customFormat="1" x14ac:dyDescent="0.25"/>
    <row r="209605" customFormat="1" x14ac:dyDescent="0.25"/>
    <row r="209606" customFormat="1" x14ac:dyDescent="0.25"/>
    <row r="209607" customFormat="1" x14ac:dyDescent="0.25"/>
    <row r="209608" customFormat="1" x14ac:dyDescent="0.25"/>
    <row r="209609" customFormat="1" x14ac:dyDescent="0.25"/>
    <row r="209610" customFormat="1" x14ac:dyDescent="0.25"/>
    <row r="209611" customFormat="1" x14ac:dyDescent="0.25"/>
    <row r="209612" customFormat="1" x14ac:dyDescent="0.25"/>
    <row r="209613" customFormat="1" x14ac:dyDescent="0.25"/>
    <row r="209614" customFormat="1" x14ac:dyDescent="0.25"/>
    <row r="209615" customFormat="1" x14ac:dyDescent="0.25"/>
    <row r="209616" customFormat="1" x14ac:dyDescent="0.25"/>
    <row r="209617" customFormat="1" x14ac:dyDescent="0.25"/>
    <row r="209618" customFormat="1" x14ac:dyDescent="0.25"/>
    <row r="209619" customFormat="1" x14ac:dyDescent="0.25"/>
    <row r="209620" customFormat="1" x14ac:dyDescent="0.25"/>
    <row r="209621" customFormat="1" x14ac:dyDescent="0.25"/>
    <row r="209622" customFormat="1" x14ac:dyDescent="0.25"/>
    <row r="209623" customFormat="1" x14ac:dyDescent="0.25"/>
    <row r="209624" customFormat="1" x14ac:dyDescent="0.25"/>
    <row r="209625" customFormat="1" x14ac:dyDescent="0.25"/>
    <row r="209626" customFormat="1" x14ac:dyDescent="0.25"/>
    <row r="209627" customFormat="1" x14ac:dyDescent="0.25"/>
    <row r="209628" customFormat="1" x14ac:dyDescent="0.25"/>
    <row r="209629" customFormat="1" x14ac:dyDescent="0.25"/>
    <row r="209630" customFormat="1" x14ac:dyDescent="0.25"/>
    <row r="209631" customFormat="1" x14ac:dyDescent="0.25"/>
    <row r="209632" customFormat="1" x14ac:dyDescent="0.25"/>
    <row r="209633" customFormat="1" x14ac:dyDescent="0.25"/>
    <row r="209634" customFormat="1" x14ac:dyDescent="0.25"/>
    <row r="209635" customFormat="1" x14ac:dyDescent="0.25"/>
    <row r="209636" customFormat="1" x14ac:dyDescent="0.25"/>
    <row r="209637" customFormat="1" x14ac:dyDescent="0.25"/>
    <row r="209638" customFormat="1" x14ac:dyDescent="0.25"/>
    <row r="209639" customFormat="1" x14ac:dyDescent="0.25"/>
    <row r="209640" customFormat="1" x14ac:dyDescent="0.25"/>
    <row r="209641" customFormat="1" x14ac:dyDescent="0.25"/>
    <row r="209642" customFormat="1" x14ac:dyDescent="0.25"/>
    <row r="209643" customFormat="1" x14ac:dyDescent="0.25"/>
    <row r="209644" customFormat="1" x14ac:dyDescent="0.25"/>
    <row r="209645" customFormat="1" x14ac:dyDescent="0.25"/>
    <row r="209646" customFormat="1" x14ac:dyDescent="0.25"/>
    <row r="209647" customFormat="1" x14ac:dyDescent="0.25"/>
    <row r="209648" customFormat="1" x14ac:dyDescent="0.25"/>
    <row r="209649" customFormat="1" x14ac:dyDescent="0.25"/>
    <row r="209650" customFormat="1" x14ac:dyDescent="0.25"/>
    <row r="209651" customFormat="1" x14ac:dyDescent="0.25"/>
    <row r="209652" customFormat="1" x14ac:dyDescent="0.25"/>
    <row r="209653" customFormat="1" x14ac:dyDescent="0.25"/>
    <row r="209654" customFormat="1" x14ac:dyDescent="0.25"/>
    <row r="209655" customFormat="1" x14ac:dyDescent="0.25"/>
    <row r="209656" customFormat="1" x14ac:dyDescent="0.25"/>
    <row r="209657" customFormat="1" x14ac:dyDescent="0.25"/>
    <row r="209658" customFormat="1" x14ac:dyDescent="0.25"/>
    <row r="209659" customFormat="1" x14ac:dyDescent="0.25"/>
    <row r="209660" customFormat="1" x14ac:dyDescent="0.25"/>
    <row r="209661" customFormat="1" x14ac:dyDescent="0.25"/>
    <row r="209662" customFormat="1" x14ac:dyDescent="0.25"/>
    <row r="209663" customFormat="1" x14ac:dyDescent="0.25"/>
    <row r="209664" customFormat="1" x14ac:dyDescent="0.25"/>
    <row r="209665" customFormat="1" x14ac:dyDescent="0.25"/>
    <row r="209666" customFormat="1" x14ac:dyDescent="0.25"/>
    <row r="209667" customFormat="1" x14ac:dyDescent="0.25"/>
    <row r="209668" customFormat="1" x14ac:dyDescent="0.25"/>
    <row r="209669" customFormat="1" x14ac:dyDescent="0.25"/>
    <row r="209670" customFormat="1" x14ac:dyDescent="0.25"/>
    <row r="209671" customFormat="1" x14ac:dyDescent="0.25"/>
    <row r="209672" customFormat="1" x14ac:dyDescent="0.25"/>
    <row r="209673" customFormat="1" x14ac:dyDescent="0.25"/>
    <row r="209674" customFormat="1" x14ac:dyDescent="0.25"/>
    <row r="209675" customFormat="1" x14ac:dyDescent="0.25"/>
    <row r="209676" customFormat="1" x14ac:dyDescent="0.25"/>
    <row r="209677" customFormat="1" x14ac:dyDescent="0.25"/>
    <row r="209678" customFormat="1" x14ac:dyDescent="0.25"/>
    <row r="209679" customFormat="1" x14ac:dyDescent="0.25"/>
    <row r="209680" customFormat="1" x14ac:dyDescent="0.25"/>
    <row r="209681" customFormat="1" x14ac:dyDescent="0.25"/>
    <row r="209682" customFormat="1" x14ac:dyDescent="0.25"/>
    <row r="209683" customFormat="1" x14ac:dyDescent="0.25"/>
    <row r="209684" customFormat="1" x14ac:dyDescent="0.25"/>
    <row r="209685" customFormat="1" x14ac:dyDescent="0.25"/>
    <row r="209686" customFormat="1" x14ac:dyDescent="0.25"/>
    <row r="209687" customFormat="1" x14ac:dyDescent="0.25"/>
    <row r="209688" customFormat="1" x14ac:dyDescent="0.25"/>
    <row r="209689" customFormat="1" x14ac:dyDescent="0.25"/>
    <row r="209690" customFormat="1" x14ac:dyDescent="0.25"/>
    <row r="209691" customFormat="1" x14ac:dyDescent="0.25"/>
    <row r="209692" customFormat="1" x14ac:dyDescent="0.25"/>
    <row r="209693" customFormat="1" x14ac:dyDescent="0.25"/>
    <row r="209694" customFormat="1" x14ac:dyDescent="0.25"/>
    <row r="209695" customFormat="1" x14ac:dyDescent="0.25"/>
    <row r="209696" customFormat="1" x14ac:dyDescent="0.25"/>
    <row r="209697" customFormat="1" x14ac:dyDescent="0.25"/>
    <row r="209698" customFormat="1" x14ac:dyDescent="0.25"/>
    <row r="209699" customFormat="1" x14ac:dyDescent="0.25"/>
    <row r="209700" customFormat="1" x14ac:dyDescent="0.25"/>
    <row r="209701" customFormat="1" x14ac:dyDescent="0.25"/>
    <row r="209702" customFormat="1" x14ac:dyDescent="0.25"/>
    <row r="209703" customFormat="1" x14ac:dyDescent="0.25"/>
    <row r="209704" customFormat="1" x14ac:dyDescent="0.25"/>
    <row r="209705" customFormat="1" x14ac:dyDescent="0.25"/>
    <row r="209706" customFormat="1" x14ac:dyDescent="0.25"/>
    <row r="209707" customFormat="1" x14ac:dyDescent="0.25"/>
    <row r="209708" customFormat="1" x14ac:dyDescent="0.25"/>
    <row r="209709" customFormat="1" x14ac:dyDescent="0.25"/>
    <row r="209710" customFormat="1" x14ac:dyDescent="0.25"/>
    <row r="209711" customFormat="1" x14ac:dyDescent="0.25"/>
    <row r="209712" customFormat="1" x14ac:dyDescent="0.25"/>
    <row r="209713" customFormat="1" x14ac:dyDescent="0.25"/>
    <row r="209714" customFormat="1" x14ac:dyDescent="0.25"/>
    <row r="209715" customFormat="1" x14ac:dyDescent="0.25"/>
    <row r="209716" customFormat="1" x14ac:dyDescent="0.25"/>
    <row r="209717" customFormat="1" x14ac:dyDescent="0.25"/>
    <row r="209718" customFormat="1" x14ac:dyDescent="0.25"/>
    <row r="209719" customFormat="1" x14ac:dyDescent="0.25"/>
    <row r="209720" customFormat="1" x14ac:dyDescent="0.25"/>
    <row r="209721" customFormat="1" x14ac:dyDescent="0.25"/>
    <row r="209722" customFormat="1" x14ac:dyDescent="0.25"/>
    <row r="209723" customFormat="1" x14ac:dyDescent="0.25"/>
    <row r="209724" customFormat="1" x14ac:dyDescent="0.25"/>
    <row r="209725" customFormat="1" x14ac:dyDescent="0.25"/>
    <row r="209726" customFormat="1" x14ac:dyDescent="0.25"/>
    <row r="209727" customFormat="1" x14ac:dyDescent="0.25"/>
    <row r="209728" customFormat="1" x14ac:dyDescent="0.25"/>
    <row r="209729" customFormat="1" x14ac:dyDescent="0.25"/>
    <row r="209730" customFormat="1" x14ac:dyDescent="0.25"/>
    <row r="209731" customFormat="1" x14ac:dyDescent="0.25"/>
    <row r="209732" customFormat="1" x14ac:dyDescent="0.25"/>
    <row r="209733" customFormat="1" x14ac:dyDescent="0.25"/>
    <row r="209734" customFormat="1" x14ac:dyDescent="0.25"/>
    <row r="209735" customFormat="1" x14ac:dyDescent="0.25"/>
    <row r="209736" customFormat="1" x14ac:dyDescent="0.25"/>
    <row r="209737" customFormat="1" x14ac:dyDescent="0.25"/>
    <row r="209738" customFormat="1" x14ac:dyDescent="0.25"/>
    <row r="209739" customFormat="1" x14ac:dyDescent="0.25"/>
    <row r="209740" customFormat="1" x14ac:dyDescent="0.25"/>
    <row r="209741" customFormat="1" x14ac:dyDescent="0.25"/>
    <row r="209742" customFormat="1" x14ac:dyDescent="0.25"/>
    <row r="209743" customFormat="1" x14ac:dyDescent="0.25"/>
    <row r="209744" customFormat="1" x14ac:dyDescent="0.25"/>
    <row r="209745" customFormat="1" x14ac:dyDescent="0.25"/>
    <row r="209746" customFormat="1" x14ac:dyDescent="0.25"/>
    <row r="209747" customFormat="1" x14ac:dyDescent="0.25"/>
    <row r="209748" customFormat="1" x14ac:dyDescent="0.25"/>
    <row r="209749" customFormat="1" x14ac:dyDescent="0.25"/>
    <row r="209750" customFormat="1" x14ac:dyDescent="0.25"/>
    <row r="209751" customFormat="1" x14ac:dyDescent="0.25"/>
    <row r="209752" customFormat="1" x14ac:dyDescent="0.25"/>
    <row r="209753" customFormat="1" x14ac:dyDescent="0.25"/>
    <row r="209754" customFormat="1" x14ac:dyDescent="0.25"/>
    <row r="209755" customFormat="1" x14ac:dyDescent="0.25"/>
    <row r="209756" customFormat="1" x14ac:dyDescent="0.25"/>
    <row r="209757" customFormat="1" x14ac:dyDescent="0.25"/>
    <row r="209758" customFormat="1" x14ac:dyDescent="0.25"/>
    <row r="209759" customFormat="1" x14ac:dyDescent="0.25"/>
    <row r="209760" customFormat="1" x14ac:dyDescent="0.25"/>
    <row r="209761" customFormat="1" x14ac:dyDescent="0.25"/>
    <row r="209762" customFormat="1" x14ac:dyDescent="0.25"/>
    <row r="209763" customFormat="1" x14ac:dyDescent="0.25"/>
    <row r="209764" customFormat="1" x14ac:dyDescent="0.25"/>
    <row r="209765" customFormat="1" x14ac:dyDescent="0.25"/>
    <row r="209766" customFormat="1" x14ac:dyDescent="0.25"/>
    <row r="209767" customFormat="1" x14ac:dyDescent="0.25"/>
    <row r="209768" customFormat="1" x14ac:dyDescent="0.25"/>
    <row r="209769" customFormat="1" x14ac:dyDescent="0.25"/>
    <row r="209770" customFormat="1" x14ac:dyDescent="0.25"/>
    <row r="209771" customFormat="1" x14ac:dyDescent="0.25"/>
    <row r="209772" customFormat="1" x14ac:dyDescent="0.25"/>
    <row r="209773" customFormat="1" x14ac:dyDescent="0.25"/>
    <row r="209774" customFormat="1" x14ac:dyDescent="0.25"/>
    <row r="209775" customFormat="1" x14ac:dyDescent="0.25"/>
    <row r="209776" customFormat="1" x14ac:dyDescent="0.25"/>
    <row r="209777" customFormat="1" x14ac:dyDescent="0.25"/>
    <row r="209778" customFormat="1" x14ac:dyDescent="0.25"/>
    <row r="209779" customFormat="1" x14ac:dyDescent="0.25"/>
    <row r="209780" customFormat="1" x14ac:dyDescent="0.25"/>
    <row r="209781" customFormat="1" x14ac:dyDescent="0.25"/>
    <row r="209782" customFormat="1" x14ac:dyDescent="0.25"/>
    <row r="209783" customFormat="1" x14ac:dyDescent="0.25"/>
    <row r="209784" customFormat="1" x14ac:dyDescent="0.25"/>
    <row r="209785" customFormat="1" x14ac:dyDescent="0.25"/>
    <row r="209786" customFormat="1" x14ac:dyDescent="0.25"/>
    <row r="209787" customFormat="1" x14ac:dyDescent="0.25"/>
    <row r="209788" customFormat="1" x14ac:dyDescent="0.25"/>
    <row r="209789" customFormat="1" x14ac:dyDescent="0.25"/>
    <row r="209790" customFormat="1" x14ac:dyDescent="0.25"/>
    <row r="209791" customFormat="1" x14ac:dyDescent="0.25"/>
    <row r="209792" customFormat="1" x14ac:dyDescent="0.25"/>
    <row r="209793" customFormat="1" x14ac:dyDescent="0.25"/>
    <row r="209794" customFormat="1" x14ac:dyDescent="0.25"/>
    <row r="209795" customFormat="1" x14ac:dyDescent="0.25"/>
    <row r="209796" customFormat="1" x14ac:dyDescent="0.25"/>
    <row r="209797" customFormat="1" x14ac:dyDescent="0.25"/>
    <row r="209798" customFormat="1" x14ac:dyDescent="0.25"/>
    <row r="209799" customFormat="1" x14ac:dyDescent="0.25"/>
    <row r="209800" customFormat="1" x14ac:dyDescent="0.25"/>
    <row r="209801" customFormat="1" x14ac:dyDescent="0.25"/>
    <row r="209802" customFormat="1" x14ac:dyDescent="0.25"/>
    <row r="209803" customFormat="1" x14ac:dyDescent="0.25"/>
    <row r="209804" customFormat="1" x14ac:dyDescent="0.25"/>
    <row r="209805" customFormat="1" x14ac:dyDescent="0.25"/>
    <row r="209806" customFormat="1" x14ac:dyDescent="0.25"/>
    <row r="209807" customFormat="1" x14ac:dyDescent="0.25"/>
    <row r="209808" customFormat="1" x14ac:dyDescent="0.25"/>
    <row r="209809" customFormat="1" x14ac:dyDescent="0.25"/>
    <row r="209810" customFormat="1" x14ac:dyDescent="0.25"/>
    <row r="209811" customFormat="1" x14ac:dyDescent="0.25"/>
    <row r="209812" customFormat="1" x14ac:dyDescent="0.25"/>
    <row r="209813" customFormat="1" x14ac:dyDescent="0.25"/>
    <row r="209814" customFormat="1" x14ac:dyDescent="0.25"/>
    <row r="209815" customFormat="1" x14ac:dyDescent="0.25"/>
    <row r="209816" customFormat="1" x14ac:dyDescent="0.25"/>
    <row r="209817" customFormat="1" x14ac:dyDescent="0.25"/>
    <row r="209818" customFormat="1" x14ac:dyDescent="0.25"/>
    <row r="209819" customFormat="1" x14ac:dyDescent="0.25"/>
    <row r="209820" customFormat="1" x14ac:dyDescent="0.25"/>
    <row r="209821" customFormat="1" x14ac:dyDescent="0.25"/>
    <row r="209822" customFormat="1" x14ac:dyDescent="0.25"/>
    <row r="209823" customFormat="1" x14ac:dyDescent="0.25"/>
    <row r="209824" customFormat="1" x14ac:dyDescent="0.25"/>
    <row r="209825" customFormat="1" x14ac:dyDescent="0.25"/>
    <row r="209826" customFormat="1" x14ac:dyDescent="0.25"/>
    <row r="209827" customFormat="1" x14ac:dyDescent="0.25"/>
    <row r="209828" customFormat="1" x14ac:dyDescent="0.25"/>
    <row r="209829" customFormat="1" x14ac:dyDescent="0.25"/>
    <row r="209830" customFormat="1" x14ac:dyDescent="0.25"/>
    <row r="209831" customFormat="1" x14ac:dyDescent="0.25"/>
    <row r="209832" customFormat="1" x14ac:dyDescent="0.25"/>
    <row r="209833" customFormat="1" x14ac:dyDescent="0.25"/>
    <row r="209834" customFormat="1" x14ac:dyDescent="0.25"/>
    <row r="209835" customFormat="1" x14ac:dyDescent="0.25"/>
    <row r="209836" customFormat="1" x14ac:dyDescent="0.25"/>
    <row r="209837" customFormat="1" x14ac:dyDescent="0.25"/>
    <row r="209838" customFormat="1" x14ac:dyDescent="0.25"/>
    <row r="209839" customFormat="1" x14ac:dyDescent="0.25"/>
    <row r="209840" customFormat="1" x14ac:dyDescent="0.25"/>
    <row r="209841" customFormat="1" x14ac:dyDescent="0.25"/>
    <row r="209842" customFormat="1" x14ac:dyDescent="0.25"/>
    <row r="209843" customFormat="1" x14ac:dyDescent="0.25"/>
    <row r="209844" customFormat="1" x14ac:dyDescent="0.25"/>
    <row r="209845" customFormat="1" x14ac:dyDescent="0.25"/>
    <row r="209846" customFormat="1" x14ac:dyDescent="0.25"/>
    <row r="209847" customFormat="1" x14ac:dyDescent="0.25"/>
    <row r="209848" customFormat="1" x14ac:dyDescent="0.25"/>
    <row r="209849" customFormat="1" x14ac:dyDescent="0.25"/>
    <row r="209850" customFormat="1" x14ac:dyDescent="0.25"/>
    <row r="209851" customFormat="1" x14ac:dyDescent="0.25"/>
    <row r="209852" customFormat="1" x14ac:dyDescent="0.25"/>
    <row r="209853" customFormat="1" x14ac:dyDescent="0.25"/>
    <row r="209854" customFormat="1" x14ac:dyDescent="0.25"/>
    <row r="209855" customFormat="1" x14ac:dyDescent="0.25"/>
    <row r="209856" customFormat="1" x14ac:dyDescent="0.25"/>
    <row r="209857" customFormat="1" x14ac:dyDescent="0.25"/>
    <row r="209858" customFormat="1" x14ac:dyDescent="0.25"/>
    <row r="209859" customFormat="1" x14ac:dyDescent="0.25"/>
    <row r="209860" customFormat="1" x14ac:dyDescent="0.25"/>
    <row r="209861" customFormat="1" x14ac:dyDescent="0.25"/>
    <row r="209862" customFormat="1" x14ac:dyDescent="0.25"/>
    <row r="209863" customFormat="1" x14ac:dyDescent="0.25"/>
    <row r="209864" customFormat="1" x14ac:dyDescent="0.25"/>
    <row r="209865" customFormat="1" x14ac:dyDescent="0.25"/>
    <row r="209866" customFormat="1" x14ac:dyDescent="0.25"/>
    <row r="209867" customFormat="1" x14ac:dyDescent="0.25"/>
    <row r="209868" customFormat="1" x14ac:dyDescent="0.25"/>
    <row r="209869" customFormat="1" x14ac:dyDescent="0.25"/>
    <row r="209870" customFormat="1" x14ac:dyDescent="0.25"/>
    <row r="209871" customFormat="1" x14ac:dyDescent="0.25"/>
    <row r="209872" customFormat="1" x14ac:dyDescent="0.25"/>
    <row r="209873" customFormat="1" x14ac:dyDescent="0.25"/>
    <row r="209874" customFormat="1" x14ac:dyDescent="0.25"/>
    <row r="209875" customFormat="1" x14ac:dyDescent="0.25"/>
    <row r="209876" customFormat="1" x14ac:dyDescent="0.25"/>
    <row r="209877" customFormat="1" x14ac:dyDescent="0.25"/>
    <row r="209878" customFormat="1" x14ac:dyDescent="0.25"/>
    <row r="209879" customFormat="1" x14ac:dyDescent="0.25"/>
    <row r="209880" customFormat="1" x14ac:dyDescent="0.25"/>
    <row r="209881" customFormat="1" x14ac:dyDescent="0.25"/>
    <row r="209882" customFormat="1" x14ac:dyDescent="0.25"/>
    <row r="209883" customFormat="1" x14ac:dyDescent="0.25"/>
    <row r="209884" customFormat="1" x14ac:dyDescent="0.25"/>
    <row r="209885" customFormat="1" x14ac:dyDescent="0.25"/>
    <row r="209886" customFormat="1" x14ac:dyDescent="0.25"/>
    <row r="209887" customFormat="1" x14ac:dyDescent="0.25"/>
    <row r="209888" customFormat="1" x14ac:dyDescent="0.25"/>
    <row r="209889" customFormat="1" x14ac:dyDescent="0.25"/>
    <row r="209890" customFormat="1" x14ac:dyDescent="0.25"/>
    <row r="209891" customFormat="1" x14ac:dyDescent="0.25"/>
    <row r="209892" customFormat="1" x14ac:dyDescent="0.25"/>
    <row r="209893" customFormat="1" x14ac:dyDescent="0.25"/>
    <row r="209894" customFormat="1" x14ac:dyDescent="0.25"/>
    <row r="209895" customFormat="1" x14ac:dyDescent="0.25"/>
    <row r="209896" customFormat="1" x14ac:dyDescent="0.25"/>
    <row r="209897" customFormat="1" x14ac:dyDescent="0.25"/>
    <row r="209898" customFormat="1" x14ac:dyDescent="0.25"/>
    <row r="209899" customFormat="1" x14ac:dyDescent="0.25"/>
    <row r="209900" customFormat="1" x14ac:dyDescent="0.25"/>
    <row r="209901" customFormat="1" x14ac:dyDescent="0.25"/>
    <row r="209902" customFormat="1" x14ac:dyDescent="0.25"/>
    <row r="209903" customFormat="1" x14ac:dyDescent="0.25"/>
    <row r="209904" customFormat="1" x14ac:dyDescent="0.25"/>
    <row r="209905" customFormat="1" x14ac:dyDescent="0.25"/>
    <row r="209906" customFormat="1" x14ac:dyDescent="0.25"/>
    <row r="209907" customFormat="1" x14ac:dyDescent="0.25"/>
    <row r="209908" customFormat="1" x14ac:dyDescent="0.25"/>
    <row r="209909" customFormat="1" x14ac:dyDescent="0.25"/>
    <row r="209910" customFormat="1" x14ac:dyDescent="0.25"/>
    <row r="209911" customFormat="1" x14ac:dyDescent="0.25"/>
    <row r="209912" customFormat="1" x14ac:dyDescent="0.25"/>
    <row r="209913" customFormat="1" x14ac:dyDescent="0.25"/>
    <row r="209914" customFormat="1" x14ac:dyDescent="0.25"/>
    <row r="209915" customFormat="1" x14ac:dyDescent="0.25"/>
    <row r="209916" customFormat="1" x14ac:dyDescent="0.25"/>
    <row r="209917" customFormat="1" x14ac:dyDescent="0.25"/>
    <row r="209918" customFormat="1" x14ac:dyDescent="0.25"/>
    <row r="209919" customFormat="1" x14ac:dyDescent="0.25"/>
    <row r="209920" customFormat="1" x14ac:dyDescent="0.25"/>
    <row r="209921" customFormat="1" x14ac:dyDescent="0.25"/>
    <row r="209922" customFormat="1" x14ac:dyDescent="0.25"/>
    <row r="209923" customFormat="1" x14ac:dyDescent="0.25"/>
    <row r="209924" customFormat="1" x14ac:dyDescent="0.25"/>
    <row r="209925" customFormat="1" x14ac:dyDescent="0.25"/>
    <row r="209926" customFormat="1" x14ac:dyDescent="0.25"/>
    <row r="209927" customFormat="1" x14ac:dyDescent="0.25"/>
    <row r="209928" customFormat="1" x14ac:dyDescent="0.25"/>
    <row r="209929" customFormat="1" x14ac:dyDescent="0.25"/>
    <row r="209930" customFormat="1" x14ac:dyDescent="0.25"/>
    <row r="209931" customFormat="1" x14ac:dyDescent="0.25"/>
    <row r="209932" customFormat="1" x14ac:dyDescent="0.25"/>
    <row r="209933" customFormat="1" x14ac:dyDescent="0.25"/>
    <row r="209934" customFormat="1" x14ac:dyDescent="0.25"/>
    <row r="209935" customFormat="1" x14ac:dyDescent="0.25"/>
    <row r="209936" customFormat="1" x14ac:dyDescent="0.25"/>
    <row r="209937" customFormat="1" x14ac:dyDescent="0.25"/>
    <row r="209938" customFormat="1" x14ac:dyDescent="0.25"/>
    <row r="209939" customFormat="1" x14ac:dyDescent="0.25"/>
    <row r="209940" customFormat="1" x14ac:dyDescent="0.25"/>
    <row r="209941" customFormat="1" x14ac:dyDescent="0.25"/>
    <row r="209942" customFormat="1" x14ac:dyDescent="0.25"/>
    <row r="209943" customFormat="1" x14ac:dyDescent="0.25"/>
    <row r="209944" customFormat="1" x14ac:dyDescent="0.25"/>
    <row r="209945" customFormat="1" x14ac:dyDescent="0.25"/>
    <row r="209946" customFormat="1" x14ac:dyDescent="0.25"/>
    <row r="209947" customFormat="1" x14ac:dyDescent="0.25"/>
    <row r="209948" customFormat="1" x14ac:dyDescent="0.25"/>
    <row r="209949" customFormat="1" x14ac:dyDescent="0.25"/>
    <row r="209950" customFormat="1" x14ac:dyDescent="0.25"/>
    <row r="209951" customFormat="1" x14ac:dyDescent="0.25"/>
    <row r="209952" customFormat="1" x14ac:dyDescent="0.25"/>
    <row r="209953" customFormat="1" x14ac:dyDescent="0.25"/>
    <row r="209954" customFormat="1" x14ac:dyDescent="0.25"/>
    <row r="209955" customFormat="1" x14ac:dyDescent="0.25"/>
    <row r="209956" customFormat="1" x14ac:dyDescent="0.25"/>
    <row r="209957" customFormat="1" x14ac:dyDescent="0.25"/>
    <row r="209958" customFormat="1" x14ac:dyDescent="0.25"/>
    <row r="209959" customFormat="1" x14ac:dyDescent="0.25"/>
    <row r="209960" customFormat="1" x14ac:dyDescent="0.25"/>
    <row r="209961" customFormat="1" x14ac:dyDescent="0.25"/>
    <row r="209962" customFormat="1" x14ac:dyDescent="0.25"/>
    <row r="209963" customFormat="1" x14ac:dyDescent="0.25"/>
    <row r="209964" customFormat="1" x14ac:dyDescent="0.25"/>
    <row r="209965" customFormat="1" x14ac:dyDescent="0.25"/>
    <row r="209966" customFormat="1" x14ac:dyDescent="0.25"/>
    <row r="209967" customFormat="1" x14ac:dyDescent="0.25"/>
    <row r="209968" customFormat="1" x14ac:dyDescent="0.25"/>
    <row r="209969" customFormat="1" x14ac:dyDescent="0.25"/>
    <row r="209970" customFormat="1" x14ac:dyDescent="0.25"/>
    <row r="209971" customFormat="1" x14ac:dyDescent="0.25"/>
    <row r="209972" customFormat="1" x14ac:dyDescent="0.25"/>
    <row r="209973" customFormat="1" x14ac:dyDescent="0.25"/>
    <row r="209974" customFormat="1" x14ac:dyDescent="0.25"/>
    <row r="209975" customFormat="1" x14ac:dyDescent="0.25"/>
    <row r="209976" customFormat="1" x14ac:dyDescent="0.25"/>
    <row r="209977" customFormat="1" x14ac:dyDescent="0.25"/>
    <row r="209978" customFormat="1" x14ac:dyDescent="0.25"/>
    <row r="209979" customFormat="1" x14ac:dyDescent="0.25"/>
    <row r="209980" customFormat="1" x14ac:dyDescent="0.25"/>
    <row r="209981" customFormat="1" x14ac:dyDescent="0.25"/>
    <row r="209982" customFormat="1" x14ac:dyDescent="0.25"/>
    <row r="209983" customFormat="1" x14ac:dyDescent="0.25"/>
    <row r="209984" customFormat="1" x14ac:dyDescent="0.25"/>
    <row r="209985" customFormat="1" x14ac:dyDescent="0.25"/>
    <row r="209986" customFormat="1" x14ac:dyDescent="0.25"/>
    <row r="209987" customFormat="1" x14ac:dyDescent="0.25"/>
    <row r="209988" customFormat="1" x14ac:dyDescent="0.25"/>
    <row r="209989" customFormat="1" x14ac:dyDescent="0.25"/>
    <row r="209990" customFormat="1" x14ac:dyDescent="0.25"/>
    <row r="209991" customFormat="1" x14ac:dyDescent="0.25"/>
    <row r="209992" customFormat="1" x14ac:dyDescent="0.25"/>
    <row r="209993" customFormat="1" x14ac:dyDescent="0.25"/>
    <row r="209994" customFormat="1" x14ac:dyDescent="0.25"/>
    <row r="209995" customFormat="1" x14ac:dyDescent="0.25"/>
    <row r="209996" customFormat="1" x14ac:dyDescent="0.25"/>
    <row r="209997" customFormat="1" x14ac:dyDescent="0.25"/>
    <row r="209998" customFormat="1" x14ac:dyDescent="0.25"/>
    <row r="209999" customFormat="1" x14ac:dyDescent="0.25"/>
    <row r="210000" customFormat="1" x14ac:dyDescent="0.25"/>
    <row r="210001" customFormat="1" x14ac:dyDescent="0.25"/>
    <row r="210002" customFormat="1" x14ac:dyDescent="0.25"/>
    <row r="210003" customFormat="1" x14ac:dyDescent="0.25"/>
    <row r="210004" customFormat="1" x14ac:dyDescent="0.25"/>
    <row r="210005" customFormat="1" x14ac:dyDescent="0.25"/>
    <row r="210006" customFormat="1" x14ac:dyDescent="0.25"/>
    <row r="210007" customFormat="1" x14ac:dyDescent="0.25"/>
    <row r="210008" customFormat="1" x14ac:dyDescent="0.25"/>
    <row r="210009" customFormat="1" x14ac:dyDescent="0.25"/>
    <row r="210010" customFormat="1" x14ac:dyDescent="0.25"/>
    <row r="210011" customFormat="1" x14ac:dyDescent="0.25"/>
    <row r="210012" customFormat="1" x14ac:dyDescent="0.25"/>
    <row r="210013" customFormat="1" x14ac:dyDescent="0.25"/>
    <row r="210014" customFormat="1" x14ac:dyDescent="0.25"/>
    <row r="210015" customFormat="1" x14ac:dyDescent="0.25"/>
    <row r="210016" customFormat="1" x14ac:dyDescent="0.25"/>
    <row r="210017" customFormat="1" x14ac:dyDescent="0.25"/>
    <row r="210018" customFormat="1" x14ac:dyDescent="0.25"/>
    <row r="210019" customFormat="1" x14ac:dyDescent="0.25"/>
    <row r="210020" customFormat="1" x14ac:dyDescent="0.25"/>
    <row r="210021" customFormat="1" x14ac:dyDescent="0.25"/>
    <row r="210022" customFormat="1" x14ac:dyDescent="0.25"/>
    <row r="210023" customFormat="1" x14ac:dyDescent="0.25"/>
    <row r="210024" customFormat="1" x14ac:dyDescent="0.25"/>
    <row r="210025" customFormat="1" x14ac:dyDescent="0.25"/>
    <row r="210026" customFormat="1" x14ac:dyDescent="0.25"/>
    <row r="210027" customFormat="1" x14ac:dyDescent="0.25"/>
    <row r="210028" customFormat="1" x14ac:dyDescent="0.25"/>
    <row r="210029" customFormat="1" x14ac:dyDescent="0.25"/>
    <row r="210030" customFormat="1" x14ac:dyDescent="0.25"/>
    <row r="210031" customFormat="1" x14ac:dyDescent="0.25"/>
    <row r="210032" customFormat="1" x14ac:dyDescent="0.25"/>
    <row r="210033" customFormat="1" x14ac:dyDescent="0.25"/>
    <row r="210034" customFormat="1" x14ac:dyDescent="0.25"/>
    <row r="210035" customFormat="1" x14ac:dyDescent="0.25"/>
    <row r="210036" customFormat="1" x14ac:dyDescent="0.25"/>
    <row r="210037" customFormat="1" x14ac:dyDescent="0.25"/>
    <row r="210038" customFormat="1" x14ac:dyDescent="0.25"/>
    <row r="210039" customFormat="1" x14ac:dyDescent="0.25"/>
    <row r="210040" customFormat="1" x14ac:dyDescent="0.25"/>
    <row r="210041" customFormat="1" x14ac:dyDescent="0.25"/>
    <row r="210042" customFormat="1" x14ac:dyDescent="0.25"/>
    <row r="210043" customFormat="1" x14ac:dyDescent="0.25"/>
    <row r="210044" customFormat="1" x14ac:dyDescent="0.25"/>
    <row r="210045" customFormat="1" x14ac:dyDescent="0.25"/>
    <row r="210046" customFormat="1" x14ac:dyDescent="0.25"/>
    <row r="210047" customFormat="1" x14ac:dyDescent="0.25"/>
    <row r="210048" customFormat="1" x14ac:dyDescent="0.25"/>
    <row r="210049" customFormat="1" x14ac:dyDescent="0.25"/>
    <row r="210050" customFormat="1" x14ac:dyDescent="0.25"/>
    <row r="210051" customFormat="1" x14ac:dyDescent="0.25"/>
    <row r="210052" customFormat="1" x14ac:dyDescent="0.25"/>
    <row r="210053" customFormat="1" x14ac:dyDescent="0.25"/>
    <row r="210054" customFormat="1" x14ac:dyDescent="0.25"/>
    <row r="210055" customFormat="1" x14ac:dyDescent="0.25"/>
    <row r="210056" customFormat="1" x14ac:dyDescent="0.25"/>
    <row r="210057" customFormat="1" x14ac:dyDescent="0.25"/>
    <row r="210058" customFormat="1" x14ac:dyDescent="0.25"/>
    <row r="210059" customFormat="1" x14ac:dyDescent="0.25"/>
    <row r="210060" customFormat="1" x14ac:dyDescent="0.25"/>
    <row r="210061" customFormat="1" x14ac:dyDescent="0.25"/>
    <row r="210062" customFormat="1" x14ac:dyDescent="0.25"/>
    <row r="210063" customFormat="1" x14ac:dyDescent="0.25"/>
    <row r="210064" customFormat="1" x14ac:dyDescent="0.25"/>
    <row r="210065" customFormat="1" x14ac:dyDescent="0.25"/>
    <row r="210066" customFormat="1" x14ac:dyDescent="0.25"/>
    <row r="210067" customFormat="1" x14ac:dyDescent="0.25"/>
    <row r="210068" customFormat="1" x14ac:dyDescent="0.25"/>
    <row r="210069" customFormat="1" x14ac:dyDescent="0.25"/>
    <row r="210070" customFormat="1" x14ac:dyDescent="0.25"/>
    <row r="210071" customFormat="1" x14ac:dyDescent="0.25"/>
    <row r="210072" customFormat="1" x14ac:dyDescent="0.25"/>
    <row r="210073" customFormat="1" x14ac:dyDescent="0.25"/>
    <row r="210074" customFormat="1" x14ac:dyDescent="0.25"/>
    <row r="210075" customFormat="1" x14ac:dyDescent="0.25"/>
    <row r="210076" customFormat="1" x14ac:dyDescent="0.25"/>
    <row r="210077" customFormat="1" x14ac:dyDescent="0.25"/>
    <row r="210078" customFormat="1" x14ac:dyDescent="0.25"/>
    <row r="210079" customFormat="1" x14ac:dyDescent="0.25"/>
    <row r="210080" customFormat="1" x14ac:dyDescent="0.25"/>
    <row r="210081" customFormat="1" x14ac:dyDescent="0.25"/>
    <row r="210082" customFormat="1" x14ac:dyDescent="0.25"/>
    <row r="210083" customFormat="1" x14ac:dyDescent="0.25"/>
    <row r="210084" customFormat="1" x14ac:dyDescent="0.25"/>
    <row r="210085" customFormat="1" x14ac:dyDescent="0.25"/>
    <row r="210086" customFormat="1" x14ac:dyDescent="0.25"/>
    <row r="210087" customFormat="1" x14ac:dyDescent="0.25"/>
    <row r="210088" customFormat="1" x14ac:dyDescent="0.25"/>
    <row r="210089" customFormat="1" x14ac:dyDescent="0.25"/>
    <row r="210090" customFormat="1" x14ac:dyDescent="0.25"/>
    <row r="210091" customFormat="1" x14ac:dyDescent="0.25"/>
    <row r="210092" customFormat="1" x14ac:dyDescent="0.25"/>
    <row r="210093" customFormat="1" x14ac:dyDescent="0.25"/>
    <row r="210094" customFormat="1" x14ac:dyDescent="0.25"/>
    <row r="210095" customFormat="1" x14ac:dyDescent="0.25"/>
    <row r="210096" customFormat="1" x14ac:dyDescent="0.25"/>
    <row r="210097" customFormat="1" x14ac:dyDescent="0.25"/>
    <row r="210098" customFormat="1" x14ac:dyDescent="0.25"/>
    <row r="210099" customFormat="1" x14ac:dyDescent="0.25"/>
    <row r="210100" customFormat="1" x14ac:dyDescent="0.25"/>
    <row r="210101" customFormat="1" x14ac:dyDescent="0.25"/>
    <row r="210102" customFormat="1" x14ac:dyDescent="0.25"/>
    <row r="210103" customFormat="1" x14ac:dyDescent="0.25"/>
    <row r="210104" customFormat="1" x14ac:dyDescent="0.25"/>
    <row r="210105" customFormat="1" x14ac:dyDescent="0.25"/>
    <row r="210106" customFormat="1" x14ac:dyDescent="0.25"/>
    <row r="210107" customFormat="1" x14ac:dyDescent="0.25"/>
    <row r="210108" customFormat="1" x14ac:dyDescent="0.25"/>
    <row r="210109" customFormat="1" x14ac:dyDescent="0.25"/>
    <row r="210110" customFormat="1" x14ac:dyDescent="0.25"/>
    <row r="210111" customFormat="1" x14ac:dyDescent="0.25"/>
    <row r="210112" customFormat="1" x14ac:dyDescent="0.25"/>
    <row r="210113" customFormat="1" x14ac:dyDescent="0.25"/>
    <row r="210114" customFormat="1" x14ac:dyDescent="0.25"/>
    <row r="210115" customFormat="1" x14ac:dyDescent="0.25"/>
    <row r="210116" customFormat="1" x14ac:dyDescent="0.25"/>
    <row r="210117" customFormat="1" x14ac:dyDescent="0.25"/>
    <row r="210118" customFormat="1" x14ac:dyDescent="0.25"/>
    <row r="210119" customFormat="1" x14ac:dyDescent="0.25"/>
    <row r="210120" customFormat="1" x14ac:dyDescent="0.25"/>
    <row r="210121" customFormat="1" x14ac:dyDescent="0.25"/>
    <row r="210122" customFormat="1" x14ac:dyDescent="0.25"/>
    <row r="210123" customFormat="1" x14ac:dyDescent="0.25"/>
    <row r="210124" customFormat="1" x14ac:dyDescent="0.25"/>
    <row r="210125" customFormat="1" x14ac:dyDescent="0.25"/>
    <row r="210126" customFormat="1" x14ac:dyDescent="0.25"/>
    <row r="210127" customFormat="1" x14ac:dyDescent="0.25"/>
    <row r="210128" customFormat="1" x14ac:dyDescent="0.25"/>
    <row r="210129" customFormat="1" x14ac:dyDescent="0.25"/>
    <row r="210130" customFormat="1" x14ac:dyDescent="0.25"/>
    <row r="210131" customFormat="1" x14ac:dyDescent="0.25"/>
    <row r="210132" customFormat="1" x14ac:dyDescent="0.25"/>
    <row r="210133" customFormat="1" x14ac:dyDescent="0.25"/>
    <row r="210134" customFormat="1" x14ac:dyDescent="0.25"/>
    <row r="210135" customFormat="1" x14ac:dyDescent="0.25"/>
    <row r="210136" customFormat="1" x14ac:dyDescent="0.25"/>
    <row r="210137" customFormat="1" x14ac:dyDescent="0.25"/>
    <row r="210138" customFormat="1" x14ac:dyDescent="0.25"/>
    <row r="210139" customFormat="1" x14ac:dyDescent="0.25"/>
    <row r="210140" customFormat="1" x14ac:dyDescent="0.25"/>
    <row r="210141" customFormat="1" x14ac:dyDescent="0.25"/>
    <row r="210142" customFormat="1" x14ac:dyDescent="0.25"/>
    <row r="210143" customFormat="1" x14ac:dyDescent="0.25"/>
    <row r="210144" customFormat="1" x14ac:dyDescent="0.25"/>
    <row r="210145" customFormat="1" x14ac:dyDescent="0.25"/>
    <row r="210146" customFormat="1" x14ac:dyDescent="0.25"/>
    <row r="210147" customFormat="1" x14ac:dyDescent="0.25"/>
    <row r="210148" customFormat="1" x14ac:dyDescent="0.25"/>
    <row r="210149" customFormat="1" x14ac:dyDescent="0.25"/>
    <row r="210150" customFormat="1" x14ac:dyDescent="0.25"/>
    <row r="210151" customFormat="1" x14ac:dyDescent="0.25"/>
    <row r="210152" customFormat="1" x14ac:dyDescent="0.25"/>
    <row r="210153" customFormat="1" x14ac:dyDescent="0.25"/>
    <row r="210154" customFormat="1" x14ac:dyDescent="0.25"/>
    <row r="210155" customFormat="1" x14ac:dyDescent="0.25"/>
    <row r="210156" customFormat="1" x14ac:dyDescent="0.25"/>
    <row r="210157" customFormat="1" x14ac:dyDescent="0.25"/>
    <row r="210158" customFormat="1" x14ac:dyDescent="0.25"/>
    <row r="210159" customFormat="1" x14ac:dyDescent="0.25"/>
    <row r="210160" customFormat="1" x14ac:dyDescent="0.25"/>
    <row r="210161" customFormat="1" x14ac:dyDescent="0.25"/>
    <row r="210162" customFormat="1" x14ac:dyDescent="0.25"/>
    <row r="210163" customFormat="1" x14ac:dyDescent="0.25"/>
    <row r="210164" customFormat="1" x14ac:dyDescent="0.25"/>
    <row r="210165" customFormat="1" x14ac:dyDescent="0.25"/>
    <row r="210166" customFormat="1" x14ac:dyDescent="0.25"/>
    <row r="210167" customFormat="1" x14ac:dyDescent="0.25"/>
    <row r="210168" customFormat="1" x14ac:dyDescent="0.25"/>
    <row r="210169" customFormat="1" x14ac:dyDescent="0.25"/>
    <row r="210170" customFormat="1" x14ac:dyDescent="0.25"/>
    <row r="210171" customFormat="1" x14ac:dyDescent="0.25"/>
    <row r="210172" customFormat="1" x14ac:dyDescent="0.25"/>
    <row r="210173" customFormat="1" x14ac:dyDescent="0.25"/>
    <row r="210174" customFormat="1" x14ac:dyDescent="0.25"/>
    <row r="210175" customFormat="1" x14ac:dyDescent="0.25"/>
    <row r="210176" customFormat="1" x14ac:dyDescent="0.25"/>
    <row r="210177" customFormat="1" x14ac:dyDescent="0.25"/>
    <row r="210178" customFormat="1" x14ac:dyDescent="0.25"/>
    <row r="210179" customFormat="1" x14ac:dyDescent="0.25"/>
    <row r="210180" customFormat="1" x14ac:dyDescent="0.25"/>
    <row r="210181" customFormat="1" x14ac:dyDescent="0.25"/>
    <row r="210182" customFormat="1" x14ac:dyDescent="0.25"/>
    <row r="210183" customFormat="1" x14ac:dyDescent="0.25"/>
    <row r="210184" customFormat="1" x14ac:dyDescent="0.25"/>
    <row r="210185" customFormat="1" x14ac:dyDescent="0.25"/>
    <row r="210186" customFormat="1" x14ac:dyDescent="0.25"/>
    <row r="210187" customFormat="1" x14ac:dyDescent="0.25"/>
    <row r="210188" customFormat="1" x14ac:dyDescent="0.25"/>
    <row r="210189" customFormat="1" x14ac:dyDescent="0.25"/>
    <row r="210190" customFormat="1" x14ac:dyDescent="0.25"/>
    <row r="210191" customFormat="1" x14ac:dyDescent="0.25"/>
    <row r="210192" customFormat="1" x14ac:dyDescent="0.25"/>
    <row r="210193" customFormat="1" x14ac:dyDescent="0.25"/>
    <row r="210194" customFormat="1" x14ac:dyDescent="0.25"/>
    <row r="210195" customFormat="1" x14ac:dyDescent="0.25"/>
    <row r="210196" customFormat="1" x14ac:dyDescent="0.25"/>
    <row r="210197" customFormat="1" x14ac:dyDescent="0.25"/>
    <row r="210198" customFormat="1" x14ac:dyDescent="0.25"/>
    <row r="210199" customFormat="1" x14ac:dyDescent="0.25"/>
    <row r="210200" customFormat="1" x14ac:dyDescent="0.25"/>
    <row r="210201" customFormat="1" x14ac:dyDescent="0.25"/>
    <row r="210202" customFormat="1" x14ac:dyDescent="0.25"/>
    <row r="210203" customFormat="1" x14ac:dyDescent="0.25"/>
    <row r="210204" customFormat="1" x14ac:dyDescent="0.25"/>
    <row r="210205" customFormat="1" x14ac:dyDescent="0.25"/>
    <row r="210206" customFormat="1" x14ac:dyDescent="0.25"/>
    <row r="210207" customFormat="1" x14ac:dyDescent="0.25"/>
    <row r="210208" customFormat="1" x14ac:dyDescent="0.25"/>
    <row r="210209" customFormat="1" x14ac:dyDescent="0.25"/>
    <row r="210210" customFormat="1" x14ac:dyDescent="0.25"/>
    <row r="210211" customFormat="1" x14ac:dyDescent="0.25"/>
    <row r="210212" customFormat="1" x14ac:dyDescent="0.25"/>
    <row r="210213" customFormat="1" x14ac:dyDescent="0.25"/>
    <row r="210214" customFormat="1" x14ac:dyDescent="0.25"/>
    <row r="210215" customFormat="1" x14ac:dyDescent="0.25"/>
    <row r="210216" customFormat="1" x14ac:dyDescent="0.25"/>
    <row r="210217" customFormat="1" x14ac:dyDescent="0.25"/>
    <row r="210218" customFormat="1" x14ac:dyDescent="0.25"/>
    <row r="210219" customFormat="1" x14ac:dyDescent="0.25"/>
    <row r="210220" customFormat="1" x14ac:dyDescent="0.25"/>
    <row r="210221" customFormat="1" x14ac:dyDescent="0.25"/>
    <row r="210222" customFormat="1" x14ac:dyDescent="0.25"/>
    <row r="210223" customFormat="1" x14ac:dyDescent="0.25"/>
    <row r="210224" customFormat="1" x14ac:dyDescent="0.25"/>
    <row r="210225" customFormat="1" x14ac:dyDescent="0.25"/>
    <row r="210226" customFormat="1" x14ac:dyDescent="0.25"/>
    <row r="210227" customFormat="1" x14ac:dyDescent="0.25"/>
    <row r="210228" customFormat="1" x14ac:dyDescent="0.25"/>
    <row r="210229" customFormat="1" x14ac:dyDescent="0.25"/>
    <row r="210230" customFormat="1" x14ac:dyDescent="0.25"/>
    <row r="210231" customFormat="1" x14ac:dyDescent="0.25"/>
    <row r="210232" customFormat="1" x14ac:dyDescent="0.25"/>
    <row r="210233" customFormat="1" x14ac:dyDescent="0.25"/>
    <row r="210234" customFormat="1" x14ac:dyDescent="0.25"/>
    <row r="210235" customFormat="1" x14ac:dyDescent="0.25"/>
    <row r="210236" customFormat="1" x14ac:dyDescent="0.25"/>
    <row r="210237" customFormat="1" x14ac:dyDescent="0.25"/>
    <row r="210238" customFormat="1" x14ac:dyDescent="0.25"/>
    <row r="210239" customFormat="1" x14ac:dyDescent="0.25"/>
    <row r="210240" customFormat="1" x14ac:dyDescent="0.25"/>
    <row r="210241" customFormat="1" x14ac:dyDescent="0.25"/>
    <row r="210242" customFormat="1" x14ac:dyDescent="0.25"/>
    <row r="210243" customFormat="1" x14ac:dyDescent="0.25"/>
    <row r="210244" customFormat="1" x14ac:dyDescent="0.25"/>
    <row r="210245" customFormat="1" x14ac:dyDescent="0.25"/>
    <row r="210246" customFormat="1" x14ac:dyDescent="0.25"/>
    <row r="210247" customFormat="1" x14ac:dyDescent="0.25"/>
    <row r="210248" customFormat="1" x14ac:dyDescent="0.25"/>
    <row r="210249" customFormat="1" x14ac:dyDescent="0.25"/>
    <row r="210250" customFormat="1" x14ac:dyDescent="0.25"/>
    <row r="210251" customFormat="1" x14ac:dyDescent="0.25"/>
    <row r="210252" customFormat="1" x14ac:dyDescent="0.25"/>
    <row r="210253" customFormat="1" x14ac:dyDescent="0.25"/>
    <row r="210254" customFormat="1" x14ac:dyDescent="0.25"/>
    <row r="210255" customFormat="1" x14ac:dyDescent="0.25"/>
    <row r="210256" customFormat="1" x14ac:dyDescent="0.25"/>
    <row r="210257" customFormat="1" x14ac:dyDescent="0.25"/>
    <row r="210258" customFormat="1" x14ac:dyDescent="0.25"/>
    <row r="210259" customFormat="1" x14ac:dyDescent="0.25"/>
    <row r="210260" customFormat="1" x14ac:dyDescent="0.25"/>
    <row r="210261" customFormat="1" x14ac:dyDescent="0.25"/>
    <row r="210262" customFormat="1" x14ac:dyDescent="0.25"/>
    <row r="210263" customFormat="1" x14ac:dyDescent="0.25"/>
    <row r="210264" customFormat="1" x14ac:dyDescent="0.25"/>
    <row r="210265" customFormat="1" x14ac:dyDescent="0.25"/>
    <row r="210266" customFormat="1" x14ac:dyDescent="0.25"/>
    <row r="210267" customFormat="1" x14ac:dyDescent="0.25"/>
    <row r="210268" customFormat="1" x14ac:dyDescent="0.25"/>
    <row r="210269" customFormat="1" x14ac:dyDescent="0.25"/>
    <row r="210270" customFormat="1" x14ac:dyDescent="0.25"/>
    <row r="210271" customFormat="1" x14ac:dyDescent="0.25"/>
    <row r="210272" customFormat="1" x14ac:dyDescent="0.25"/>
    <row r="210273" customFormat="1" x14ac:dyDescent="0.25"/>
    <row r="210274" customFormat="1" x14ac:dyDescent="0.25"/>
    <row r="210275" customFormat="1" x14ac:dyDescent="0.25"/>
    <row r="210276" customFormat="1" x14ac:dyDescent="0.25"/>
    <row r="210277" customFormat="1" x14ac:dyDescent="0.25"/>
    <row r="210278" customFormat="1" x14ac:dyDescent="0.25"/>
    <row r="210279" customFormat="1" x14ac:dyDescent="0.25"/>
    <row r="210280" customFormat="1" x14ac:dyDescent="0.25"/>
    <row r="210281" customFormat="1" x14ac:dyDescent="0.25"/>
    <row r="210282" customFormat="1" x14ac:dyDescent="0.25"/>
    <row r="210283" customFormat="1" x14ac:dyDescent="0.25"/>
    <row r="210284" customFormat="1" x14ac:dyDescent="0.25"/>
    <row r="210285" customFormat="1" x14ac:dyDescent="0.25"/>
    <row r="210286" customFormat="1" x14ac:dyDescent="0.25"/>
    <row r="210287" customFormat="1" x14ac:dyDescent="0.25"/>
    <row r="210288" customFormat="1" x14ac:dyDescent="0.25"/>
    <row r="210289" customFormat="1" x14ac:dyDescent="0.25"/>
    <row r="210290" customFormat="1" x14ac:dyDescent="0.25"/>
    <row r="210291" customFormat="1" x14ac:dyDescent="0.25"/>
    <row r="210292" customFormat="1" x14ac:dyDescent="0.25"/>
    <row r="210293" customFormat="1" x14ac:dyDescent="0.25"/>
    <row r="210294" customFormat="1" x14ac:dyDescent="0.25"/>
    <row r="210295" customFormat="1" x14ac:dyDescent="0.25"/>
    <row r="210296" customFormat="1" x14ac:dyDescent="0.25"/>
    <row r="210297" customFormat="1" x14ac:dyDescent="0.25"/>
    <row r="210298" customFormat="1" x14ac:dyDescent="0.25"/>
    <row r="210299" customFormat="1" x14ac:dyDescent="0.25"/>
    <row r="210300" customFormat="1" x14ac:dyDescent="0.25"/>
    <row r="210301" customFormat="1" x14ac:dyDescent="0.25"/>
    <row r="210302" customFormat="1" x14ac:dyDescent="0.25"/>
    <row r="210303" customFormat="1" x14ac:dyDescent="0.25"/>
    <row r="210304" customFormat="1" x14ac:dyDescent="0.25"/>
    <row r="210305" customFormat="1" x14ac:dyDescent="0.25"/>
    <row r="210306" customFormat="1" x14ac:dyDescent="0.25"/>
    <row r="210307" customFormat="1" x14ac:dyDescent="0.25"/>
    <row r="210308" customFormat="1" x14ac:dyDescent="0.25"/>
    <row r="210309" customFormat="1" x14ac:dyDescent="0.25"/>
    <row r="210310" customFormat="1" x14ac:dyDescent="0.25"/>
    <row r="210311" customFormat="1" x14ac:dyDescent="0.25"/>
    <row r="210312" customFormat="1" x14ac:dyDescent="0.25"/>
    <row r="210313" customFormat="1" x14ac:dyDescent="0.25"/>
    <row r="210314" customFormat="1" x14ac:dyDescent="0.25"/>
    <row r="210315" customFormat="1" x14ac:dyDescent="0.25"/>
    <row r="210316" customFormat="1" x14ac:dyDescent="0.25"/>
    <row r="210317" customFormat="1" x14ac:dyDescent="0.25"/>
    <row r="210318" customFormat="1" x14ac:dyDescent="0.25"/>
    <row r="210319" customFormat="1" x14ac:dyDescent="0.25"/>
    <row r="210320" customFormat="1" x14ac:dyDescent="0.25"/>
    <row r="210321" customFormat="1" x14ac:dyDescent="0.25"/>
    <row r="210322" customFormat="1" x14ac:dyDescent="0.25"/>
    <row r="210323" customFormat="1" x14ac:dyDescent="0.25"/>
    <row r="210324" customFormat="1" x14ac:dyDescent="0.25"/>
    <row r="210325" customFormat="1" x14ac:dyDescent="0.25"/>
    <row r="210326" customFormat="1" x14ac:dyDescent="0.25"/>
    <row r="210327" customFormat="1" x14ac:dyDescent="0.25"/>
    <row r="210328" customFormat="1" x14ac:dyDescent="0.25"/>
    <row r="210329" customFormat="1" x14ac:dyDescent="0.25"/>
    <row r="210330" customFormat="1" x14ac:dyDescent="0.25"/>
    <row r="210331" customFormat="1" x14ac:dyDescent="0.25"/>
    <row r="210332" customFormat="1" x14ac:dyDescent="0.25"/>
    <row r="210333" customFormat="1" x14ac:dyDescent="0.25"/>
    <row r="210334" customFormat="1" x14ac:dyDescent="0.25"/>
    <row r="210335" customFormat="1" x14ac:dyDescent="0.25"/>
    <row r="210336" customFormat="1" x14ac:dyDescent="0.25"/>
    <row r="210337" customFormat="1" x14ac:dyDescent="0.25"/>
    <row r="210338" customFormat="1" x14ac:dyDescent="0.25"/>
    <row r="210339" customFormat="1" x14ac:dyDescent="0.25"/>
    <row r="210340" customFormat="1" x14ac:dyDescent="0.25"/>
    <row r="210341" customFormat="1" x14ac:dyDescent="0.25"/>
    <row r="210342" customFormat="1" x14ac:dyDescent="0.25"/>
    <row r="210343" customFormat="1" x14ac:dyDescent="0.25"/>
    <row r="210344" customFormat="1" x14ac:dyDescent="0.25"/>
    <row r="210345" customFormat="1" x14ac:dyDescent="0.25"/>
    <row r="210346" customFormat="1" x14ac:dyDescent="0.25"/>
    <row r="210347" customFormat="1" x14ac:dyDescent="0.25"/>
    <row r="210348" customFormat="1" x14ac:dyDescent="0.25"/>
    <row r="210349" customFormat="1" x14ac:dyDescent="0.25"/>
    <row r="210350" customFormat="1" x14ac:dyDescent="0.25"/>
    <row r="210351" customFormat="1" x14ac:dyDescent="0.25"/>
    <row r="210352" customFormat="1" x14ac:dyDescent="0.25"/>
    <row r="210353" customFormat="1" x14ac:dyDescent="0.25"/>
    <row r="210354" customFormat="1" x14ac:dyDescent="0.25"/>
    <row r="210355" customFormat="1" x14ac:dyDescent="0.25"/>
    <row r="210356" customFormat="1" x14ac:dyDescent="0.25"/>
    <row r="210357" customFormat="1" x14ac:dyDescent="0.25"/>
    <row r="210358" customFormat="1" x14ac:dyDescent="0.25"/>
    <row r="210359" customFormat="1" x14ac:dyDescent="0.25"/>
    <row r="210360" customFormat="1" x14ac:dyDescent="0.25"/>
    <row r="210361" customFormat="1" x14ac:dyDescent="0.25"/>
    <row r="210362" customFormat="1" x14ac:dyDescent="0.25"/>
    <row r="210363" customFormat="1" x14ac:dyDescent="0.25"/>
    <row r="210364" customFormat="1" x14ac:dyDescent="0.25"/>
    <row r="210365" customFormat="1" x14ac:dyDescent="0.25"/>
    <row r="210366" customFormat="1" x14ac:dyDescent="0.25"/>
    <row r="210367" customFormat="1" x14ac:dyDescent="0.25"/>
    <row r="210368" customFormat="1" x14ac:dyDescent="0.25"/>
    <row r="210369" customFormat="1" x14ac:dyDescent="0.25"/>
    <row r="210370" customFormat="1" x14ac:dyDescent="0.25"/>
    <row r="210371" customFormat="1" x14ac:dyDescent="0.25"/>
    <row r="210372" customFormat="1" x14ac:dyDescent="0.25"/>
    <row r="210373" customFormat="1" x14ac:dyDescent="0.25"/>
    <row r="210374" customFormat="1" x14ac:dyDescent="0.25"/>
    <row r="210375" customFormat="1" x14ac:dyDescent="0.25"/>
    <row r="210376" customFormat="1" x14ac:dyDescent="0.25"/>
    <row r="210377" customFormat="1" x14ac:dyDescent="0.25"/>
    <row r="210378" customFormat="1" x14ac:dyDescent="0.25"/>
    <row r="210379" customFormat="1" x14ac:dyDescent="0.25"/>
    <row r="210380" customFormat="1" x14ac:dyDescent="0.25"/>
    <row r="210381" customFormat="1" x14ac:dyDescent="0.25"/>
    <row r="210382" customFormat="1" x14ac:dyDescent="0.25"/>
    <row r="210383" customFormat="1" x14ac:dyDescent="0.25"/>
    <row r="210384" customFormat="1" x14ac:dyDescent="0.25"/>
    <row r="210385" customFormat="1" x14ac:dyDescent="0.25"/>
    <row r="210386" customFormat="1" x14ac:dyDescent="0.25"/>
    <row r="210387" customFormat="1" x14ac:dyDescent="0.25"/>
    <row r="210388" customFormat="1" x14ac:dyDescent="0.25"/>
    <row r="210389" customFormat="1" x14ac:dyDescent="0.25"/>
    <row r="210390" customFormat="1" x14ac:dyDescent="0.25"/>
    <row r="210391" customFormat="1" x14ac:dyDescent="0.25"/>
    <row r="210392" customFormat="1" x14ac:dyDescent="0.25"/>
    <row r="210393" customFormat="1" x14ac:dyDescent="0.25"/>
    <row r="210394" customFormat="1" x14ac:dyDescent="0.25"/>
    <row r="210395" customFormat="1" x14ac:dyDescent="0.25"/>
    <row r="210396" customFormat="1" x14ac:dyDescent="0.25"/>
    <row r="210397" customFormat="1" x14ac:dyDescent="0.25"/>
    <row r="210398" customFormat="1" x14ac:dyDescent="0.25"/>
    <row r="210399" customFormat="1" x14ac:dyDescent="0.25"/>
    <row r="210400" customFormat="1" x14ac:dyDescent="0.25"/>
    <row r="210401" customFormat="1" x14ac:dyDescent="0.25"/>
    <row r="210402" customFormat="1" x14ac:dyDescent="0.25"/>
    <row r="210403" customFormat="1" x14ac:dyDescent="0.25"/>
    <row r="210404" customFormat="1" x14ac:dyDescent="0.25"/>
    <row r="210405" customFormat="1" x14ac:dyDescent="0.25"/>
    <row r="210406" customFormat="1" x14ac:dyDescent="0.25"/>
    <row r="210407" customFormat="1" x14ac:dyDescent="0.25"/>
    <row r="210408" customFormat="1" x14ac:dyDescent="0.25"/>
    <row r="210409" customFormat="1" x14ac:dyDescent="0.25"/>
    <row r="210410" customFormat="1" x14ac:dyDescent="0.25"/>
    <row r="210411" customFormat="1" x14ac:dyDescent="0.25"/>
    <row r="210412" customFormat="1" x14ac:dyDescent="0.25"/>
    <row r="210413" customFormat="1" x14ac:dyDescent="0.25"/>
    <row r="210414" customFormat="1" x14ac:dyDescent="0.25"/>
    <row r="210415" customFormat="1" x14ac:dyDescent="0.25"/>
    <row r="210416" customFormat="1" x14ac:dyDescent="0.25"/>
    <row r="210417" customFormat="1" x14ac:dyDescent="0.25"/>
    <row r="210418" customFormat="1" x14ac:dyDescent="0.25"/>
    <row r="210419" customFormat="1" x14ac:dyDescent="0.25"/>
    <row r="210420" customFormat="1" x14ac:dyDescent="0.25"/>
    <row r="210421" customFormat="1" x14ac:dyDescent="0.25"/>
    <row r="210422" customFormat="1" x14ac:dyDescent="0.25"/>
    <row r="210423" customFormat="1" x14ac:dyDescent="0.25"/>
    <row r="210424" customFormat="1" x14ac:dyDescent="0.25"/>
    <row r="210425" customFormat="1" x14ac:dyDescent="0.25"/>
    <row r="210426" customFormat="1" x14ac:dyDescent="0.25"/>
    <row r="210427" customFormat="1" x14ac:dyDescent="0.25"/>
    <row r="210428" customFormat="1" x14ac:dyDescent="0.25"/>
    <row r="210429" customFormat="1" x14ac:dyDescent="0.25"/>
    <row r="210430" customFormat="1" x14ac:dyDescent="0.25"/>
    <row r="210431" customFormat="1" x14ac:dyDescent="0.25"/>
    <row r="210432" customFormat="1" x14ac:dyDescent="0.25"/>
    <row r="210433" customFormat="1" x14ac:dyDescent="0.25"/>
    <row r="210434" customFormat="1" x14ac:dyDescent="0.25"/>
    <row r="210435" customFormat="1" x14ac:dyDescent="0.25"/>
    <row r="210436" customFormat="1" x14ac:dyDescent="0.25"/>
    <row r="210437" customFormat="1" x14ac:dyDescent="0.25"/>
    <row r="210438" customFormat="1" x14ac:dyDescent="0.25"/>
    <row r="210439" customFormat="1" x14ac:dyDescent="0.25"/>
    <row r="210440" customFormat="1" x14ac:dyDescent="0.25"/>
    <row r="210441" customFormat="1" x14ac:dyDescent="0.25"/>
    <row r="210442" customFormat="1" x14ac:dyDescent="0.25"/>
    <row r="210443" customFormat="1" x14ac:dyDescent="0.25"/>
    <row r="210444" customFormat="1" x14ac:dyDescent="0.25"/>
    <row r="210445" customFormat="1" x14ac:dyDescent="0.25"/>
    <row r="210446" customFormat="1" x14ac:dyDescent="0.25"/>
    <row r="210447" customFormat="1" x14ac:dyDescent="0.25"/>
    <row r="210448" customFormat="1" x14ac:dyDescent="0.25"/>
    <row r="210449" customFormat="1" x14ac:dyDescent="0.25"/>
    <row r="210450" customFormat="1" x14ac:dyDescent="0.25"/>
    <row r="210451" customFormat="1" x14ac:dyDescent="0.25"/>
    <row r="210452" customFormat="1" x14ac:dyDescent="0.25"/>
    <row r="210453" customFormat="1" x14ac:dyDescent="0.25"/>
    <row r="210454" customFormat="1" x14ac:dyDescent="0.25"/>
    <row r="210455" customFormat="1" x14ac:dyDescent="0.25"/>
    <row r="210456" customFormat="1" x14ac:dyDescent="0.25"/>
    <row r="210457" customFormat="1" x14ac:dyDescent="0.25"/>
    <row r="210458" customFormat="1" x14ac:dyDescent="0.25"/>
    <row r="210459" customFormat="1" x14ac:dyDescent="0.25"/>
    <row r="210460" customFormat="1" x14ac:dyDescent="0.25"/>
    <row r="210461" customFormat="1" x14ac:dyDescent="0.25"/>
    <row r="210462" customFormat="1" x14ac:dyDescent="0.25"/>
    <row r="210463" customFormat="1" x14ac:dyDescent="0.25"/>
    <row r="210464" customFormat="1" x14ac:dyDescent="0.25"/>
    <row r="210465" customFormat="1" x14ac:dyDescent="0.25"/>
    <row r="210466" customFormat="1" x14ac:dyDescent="0.25"/>
    <row r="210467" customFormat="1" x14ac:dyDescent="0.25"/>
    <row r="210468" customFormat="1" x14ac:dyDescent="0.25"/>
    <row r="210469" customFormat="1" x14ac:dyDescent="0.25"/>
    <row r="210470" customFormat="1" x14ac:dyDescent="0.25"/>
    <row r="210471" customFormat="1" x14ac:dyDescent="0.25"/>
    <row r="210472" customFormat="1" x14ac:dyDescent="0.25"/>
    <row r="210473" customFormat="1" x14ac:dyDescent="0.25"/>
    <row r="210474" customFormat="1" x14ac:dyDescent="0.25"/>
    <row r="210475" customFormat="1" x14ac:dyDescent="0.25"/>
    <row r="210476" customFormat="1" x14ac:dyDescent="0.25"/>
    <row r="210477" customFormat="1" x14ac:dyDescent="0.25"/>
    <row r="210478" customFormat="1" x14ac:dyDescent="0.25"/>
    <row r="210479" customFormat="1" x14ac:dyDescent="0.25"/>
    <row r="210480" customFormat="1" x14ac:dyDescent="0.25"/>
    <row r="210481" customFormat="1" x14ac:dyDescent="0.25"/>
    <row r="210482" customFormat="1" x14ac:dyDescent="0.25"/>
    <row r="210483" customFormat="1" x14ac:dyDescent="0.25"/>
    <row r="210484" customFormat="1" x14ac:dyDescent="0.25"/>
    <row r="210485" customFormat="1" x14ac:dyDescent="0.25"/>
    <row r="210486" customFormat="1" x14ac:dyDescent="0.25"/>
    <row r="210487" customFormat="1" x14ac:dyDescent="0.25"/>
    <row r="210488" customFormat="1" x14ac:dyDescent="0.25"/>
    <row r="210489" customFormat="1" x14ac:dyDescent="0.25"/>
    <row r="210490" customFormat="1" x14ac:dyDescent="0.25"/>
    <row r="210491" customFormat="1" x14ac:dyDescent="0.25"/>
    <row r="210492" customFormat="1" x14ac:dyDescent="0.25"/>
    <row r="210493" customFormat="1" x14ac:dyDescent="0.25"/>
    <row r="210494" customFormat="1" x14ac:dyDescent="0.25"/>
    <row r="210495" customFormat="1" x14ac:dyDescent="0.25"/>
    <row r="210496" customFormat="1" x14ac:dyDescent="0.25"/>
    <row r="210497" customFormat="1" x14ac:dyDescent="0.25"/>
    <row r="210498" customFormat="1" x14ac:dyDescent="0.25"/>
    <row r="210499" customFormat="1" x14ac:dyDescent="0.25"/>
    <row r="210500" customFormat="1" x14ac:dyDescent="0.25"/>
    <row r="210501" customFormat="1" x14ac:dyDescent="0.25"/>
    <row r="210502" customFormat="1" x14ac:dyDescent="0.25"/>
    <row r="210503" customFormat="1" x14ac:dyDescent="0.25"/>
    <row r="210504" customFormat="1" x14ac:dyDescent="0.25"/>
    <row r="210505" customFormat="1" x14ac:dyDescent="0.25"/>
    <row r="210506" customFormat="1" x14ac:dyDescent="0.25"/>
    <row r="210507" customFormat="1" x14ac:dyDescent="0.25"/>
    <row r="210508" customFormat="1" x14ac:dyDescent="0.25"/>
    <row r="210509" customFormat="1" x14ac:dyDescent="0.25"/>
    <row r="210510" customFormat="1" x14ac:dyDescent="0.25"/>
    <row r="210511" customFormat="1" x14ac:dyDescent="0.25"/>
    <row r="210512" customFormat="1" x14ac:dyDescent="0.25"/>
    <row r="210513" customFormat="1" x14ac:dyDescent="0.25"/>
    <row r="210514" customFormat="1" x14ac:dyDescent="0.25"/>
    <row r="210515" customFormat="1" x14ac:dyDescent="0.25"/>
    <row r="210516" customFormat="1" x14ac:dyDescent="0.25"/>
    <row r="210517" customFormat="1" x14ac:dyDescent="0.25"/>
    <row r="210518" customFormat="1" x14ac:dyDescent="0.25"/>
    <row r="210519" customFormat="1" x14ac:dyDescent="0.25"/>
    <row r="210520" customFormat="1" x14ac:dyDescent="0.25"/>
    <row r="210521" customFormat="1" x14ac:dyDescent="0.25"/>
    <row r="210522" customFormat="1" x14ac:dyDescent="0.25"/>
    <row r="210523" customFormat="1" x14ac:dyDescent="0.25"/>
    <row r="210524" customFormat="1" x14ac:dyDescent="0.25"/>
    <row r="210525" customFormat="1" x14ac:dyDescent="0.25"/>
    <row r="210526" customFormat="1" x14ac:dyDescent="0.25"/>
    <row r="210527" customFormat="1" x14ac:dyDescent="0.25"/>
    <row r="210528" customFormat="1" x14ac:dyDescent="0.25"/>
    <row r="210529" customFormat="1" x14ac:dyDescent="0.25"/>
    <row r="210530" customFormat="1" x14ac:dyDescent="0.25"/>
    <row r="210531" customFormat="1" x14ac:dyDescent="0.25"/>
    <row r="210532" customFormat="1" x14ac:dyDescent="0.25"/>
    <row r="210533" customFormat="1" x14ac:dyDescent="0.25"/>
    <row r="210534" customFormat="1" x14ac:dyDescent="0.25"/>
    <row r="210535" customFormat="1" x14ac:dyDescent="0.25"/>
    <row r="210536" customFormat="1" x14ac:dyDescent="0.25"/>
    <row r="210537" customFormat="1" x14ac:dyDescent="0.25"/>
    <row r="210538" customFormat="1" x14ac:dyDescent="0.25"/>
    <row r="210539" customFormat="1" x14ac:dyDescent="0.25"/>
    <row r="210540" customFormat="1" x14ac:dyDescent="0.25"/>
    <row r="210541" customFormat="1" x14ac:dyDescent="0.25"/>
    <row r="210542" customFormat="1" x14ac:dyDescent="0.25"/>
    <row r="210543" customFormat="1" x14ac:dyDescent="0.25"/>
    <row r="210544" customFormat="1" x14ac:dyDescent="0.25"/>
    <row r="210545" customFormat="1" x14ac:dyDescent="0.25"/>
    <row r="210546" customFormat="1" x14ac:dyDescent="0.25"/>
    <row r="210547" customFormat="1" x14ac:dyDescent="0.25"/>
    <row r="210548" customFormat="1" x14ac:dyDescent="0.25"/>
    <row r="210549" customFormat="1" x14ac:dyDescent="0.25"/>
    <row r="210550" customFormat="1" x14ac:dyDescent="0.25"/>
    <row r="210551" customFormat="1" x14ac:dyDescent="0.25"/>
    <row r="210552" customFormat="1" x14ac:dyDescent="0.25"/>
    <row r="210553" customFormat="1" x14ac:dyDescent="0.25"/>
    <row r="210554" customFormat="1" x14ac:dyDescent="0.25"/>
    <row r="210555" customFormat="1" x14ac:dyDescent="0.25"/>
    <row r="210556" customFormat="1" x14ac:dyDescent="0.25"/>
    <row r="210557" customFormat="1" x14ac:dyDescent="0.25"/>
    <row r="210558" customFormat="1" x14ac:dyDescent="0.25"/>
    <row r="210559" customFormat="1" x14ac:dyDescent="0.25"/>
    <row r="210560" customFormat="1" x14ac:dyDescent="0.25"/>
    <row r="210561" customFormat="1" x14ac:dyDescent="0.25"/>
    <row r="210562" customFormat="1" x14ac:dyDescent="0.25"/>
    <row r="210563" customFormat="1" x14ac:dyDescent="0.25"/>
    <row r="210564" customFormat="1" x14ac:dyDescent="0.25"/>
    <row r="210565" customFormat="1" x14ac:dyDescent="0.25"/>
    <row r="210566" customFormat="1" x14ac:dyDescent="0.25"/>
    <row r="210567" customFormat="1" x14ac:dyDescent="0.25"/>
    <row r="210568" customFormat="1" x14ac:dyDescent="0.25"/>
    <row r="210569" customFormat="1" x14ac:dyDescent="0.25"/>
    <row r="210570" customFormat="1" x14ac:dyDescent="0.25"/>
    <row r="210571" customFormat="1" x14ac:dyDescent="0.25"/>
    <row r="210572" customFormat="1" x14ac:dyDescent="0.25"/>
    <row r="210573" customFormat="1" x14ac:dyDescent="0.25"/>
    <row r="210574" customFormat="1" x14ac:dyDescent="0.25"/>
    <row r="210575" customFormat="1" x14ac:dyDescent="0.25"/>
    <row r="210576" customFormat="1" x14ac:dyDescent="0.25"/>
    <row r="210577" customFormat="1" x14ac:dyDescent="0.25"/>
    <row r="210578" customFormat="1" x14ac:dyDescent="0.25"/>
    <row r="210579" customFormat="1" x14ac:dyDescent="0.25"/>
    <row r="210580" customFormat="1" x14ac:dyDescent="0.25"/>
    <row r="210581" customFormat="1" x14ac:dyDescent="0.25"/>
    <row r="210582" customFormat="1" x14ac:dyDescent="0.25"/>
    <row r="210583" customFormat="1" x14ac:dyDescent="0.25"/>
    <row r="210584" customFormat="1" x14ac:dyDescent="0.25"/>
    <row r="210585" customFormat="1" x14ac:dyDescent="0.25"/>
    <row r="210586" customFormat="1" x14ac:dyDescent="0.25"/>
    <row r="210587" customFormat="1" x14ac:dyDescent="0.25"/>
    <row r="210588" customFormat="1" x14ac:dyDescent="0.25"/>
    <row r="210589" customFormat="1" x14ac:dyDescent="0.25"/>
    <row r="210590" customFormat="1" x14ac:dyDescent="0.25"/>
    <row r="210591" customFormat="1" x14ac:dyDescent="0.25"/>
    <row r="210592" customFormat="1" x14ac:dyDescent="0.25"/>
    <row r="210593" customFormat="1" x14ac:dyDescent="0.25"/>
    <row r="210594" customFormat="1" x14ac:dyDescent="0.25"/>
    <row r="210595" customFormat="1" x14ac:dyDescent="0.25"/>
    <row r="210596" customFormat="1" x14ac:dyDescent="0.25"/>
    <row r="210597" customFormat="1" x14ac:dyDescent="0.25"/>
    <row r="210598" customFormat="1" x14ac:dyDescent="0.25"/>
    <row r="210599" customFormat="1" x14ac:dyDescent="0.25"/>
    <row r="210600" customFormat="1" x14ac:dyDescent="0.25"/>
    <row r="210601" customFormat="1" x14ac:dyDescent="0.25"/>
    <row r="210602" customFormat="1" x14ac:dyDescent="0.25"/>
    <row r="210603" customFormat="1" x14ac:dyDescent="0.25"/>
    <row r="210604" customFormat="1" x14ac:dyDescent="0.25"/>
    <row r="210605" customFormat="1" x14ac:dyDescent="0.25"/>
    <row r="210606" customFormat="1" x14ac:dyDescent="0.25"/>
    <row r="210607" customFormat="1" x14ac:dyDescent="0.25"/>
    <row r="210608" customFormat="1" x14ac:dyDescent="0.25"/>
    <row r="210609" customFormat="1" x14ac:dyDescent="0.25"/>
    <row r="210610" customFormat="1" x14ac:dyDescent="0.25"/>
    <row r="210611" customFormat="1" x14ac:dyDescent="0.25"/>
    <row r="210612" customFormat="1" x14ac:dyDescent="0.25"/>
    <row r="210613" customFormat="1" x14ac:dyDescent="0.25"/>
    <row r="210614" customFormat="1" x14ac:dyDescent="0.25"/>
    <row r="210615" customFormat="1" x14ac:dyDescent="0.25"/>
    <row r="210616" customFormat="1" x14ac:dyDescent="0.25"/>
    <row r="210617" customFormat="1" x14ac:dyDescent="0.25"/>
    <row r="210618" customFormat="1" x14ac:dyDescent="0.25"/>
    <row r="210619" customFormat="1" x14ac:dyDescent="0.25"/>
    <row r="210620" customFormat="1" x14ac:dyDescent="0.25"/>
    <row r="210621" customFormat="1" x14ac:dyDescent="0.25"/>
    <row r="210622" customFormat="1" x14ac:dyDescent="0.25"/>
    <row r="210623" customFormat="1" x14ac:dyDescent="0.25"/>
    <row r="210624" customFormat="1" x14ac:dyDescent="0.25"/>
    <row r="210625" customFormat="1" x14ac:dyDescent="0.25"/>
    <row r="210626" customFormat="1" x14ac:dyDescent="0.25"/>
    <row r="210627" customFormat="1" x14ac:dyDescent="0.25"/>
    <row r="210628" customFormat="1" x14ac:dyDescent="0.25"/>
    <row r="210629" customFormat="1" x14ac:dyDescent="0.25"/>
    <row r="210630" customFormat="1" x14ac:dyDescent="0.25"/>
    <row r="210631" customFormat="1" x14ac:dyDescent="0.25"/>
    <row r="210632" customFormat="1" x14ac:dyDescent="0.25"/>
    <row r="210633" customFormat="1" x14ac:dyDescent="0.25"/>
    <row r="210634" customFormat="1" x14ac:dyDescent="0.25"/>
    <row r="210635" customFormat="1" x14ac:dyDescent="0.25"/>
    <row r="210636" customFormat="1" x14ac:dyDescent="0.25"/>
    <row r="210637" customFormat="1" x14ac:dyDescent="0.25"/>
    <row r="210638" customFormat="1" x14ac:dyDescent="0.25"/>
    <row r="210639" customFormat="1" x14ac:dyDescent="0.25"/>
    <row r="210640" customFormat="1" x14ac:dyDescent="0.25"/>
    <row r="210641" customFormat="1" x14ac:dyDescent="0.25"/>
    <row r="210642" customFormat="1" x14ac:dyDescent="0.25"/>
    <row r="210643" customFormat="1" x14ac:dyDescent="0.25"/>
    <row r="210644" customFormat="1" x14ac:dyDescent="0.25"/>
    <row r="210645" customFormat="1" x14ac:dyDescent="0.25"/>
    <row r="210646" customFormat="1" x14ac:dyDescent="0.25"/>
    <row r="210647" customFormat="1" x14ac:dyDescent="0.25"/>
    <row r="210648" customFormat="1" x14ac:dyDescent="0.25"/>
    <row r="210649" customFormat="1" x14ac:dyDescent="0.25"/>
    <row r="210650" customFormat="1" x14ac:dyDescent="0.25"/>
    <row r="210651" customFormat="1" x14ac:dyDescent="0.25"/>
    <row r="210652" customFormat="1" x14ac:dyDescent="0.25"/>
    <row r="210653" customFormat="1" x14ac:dyDescent="0.25"/>
    <row r="210654" customFormat="1" x14ac:dyDescent="0.25"/>
    <row r="210655" customFormat="1" x14ac:dyDescent="0.25"/>
    <row r="210656" customFormat="1" x14ac:dyDescent="0.25"/>
    <row r="210657" customFormat="1" x14ac:dyDescent="0.25"/>
    <row r="210658" customFormat="1" x14ac:dyDescent="0.25"/>
    <row r="210659" customFormat="1" x14ac:dyDescent="0.25"/>
    <row r="210660" customFormat="1" x14ac:dyDescent="0.25"/>
    <row r="210661" customFormat="1" x14ac:dyDescent="0.25"/>
    <row r="210662" customFormat="1" x14ac:dyDescent="0.25"/>
    <row r="210663" customFormat="1" x14ac:dyDescent="0.25"/>
    <row r="210664" customFormat="1" x14ac:dyDescent="0.25"/>
    <row r="210665" customFormat="1" x14ac:dyDescent="0.25"/>
    <row r="210666" customFormat="1" x14ac:dyDescent="0.25"/>
    <row r="210667" customFormat="1" x14ac:dyDescent="0.25"/>
    <row r="210668" customFormat="1" x14ac:dyDescent="0.25"/>
    <row r="210669" customFormat="1" x14ac:dyDescent="0.25"/>
    <row r="210670" customFormat="1" x14ac:dyDescent="0.25"/>
    <row r="210671" customFormat="1" x14ac:dyDescent="0.25"/>
    <row r="210672" customFormat="1" x14ac:dyDescent="0.25"/>
    <row r="210673" customFormat="1" x14ac:dyDescent="0.25"/>
    <row r="210674" customFormat="1" x14ac:dyDescent="0.25"/>
    <row r="210675" customFormat="1" x14ac:dyDescent="0.25"/>
    <row r="210676" customFormat="1" x14ac:dyDescent="0.25"/>
    <row r="210677" customFormat="1" x14ac:dyDescent="0.25"/>
    <row r="210678" customFormat="1" x14ac:dyDescent="0.25"/>
    <row r="210679" customFormat="1" x14ac:dyDescent="0.25"/>
    <row r="210680" customFormat="1" x14ac:dyDescent="0.25"/>
    <row r="210681" customFormat="1" x14ac:dyDescent="0.25"/>
    <row r="210682" customFormat="1" x14ac:dyDescent="0.25"/>
    <row r="210683" customFormat="1" x14ac:dyDescent="0.25"/>
    <row r="210684" customFormat="1" x14ac:dyDescent="0.25"/>
    <row r="210685" customFormat="1" x14ac:dyDescent="0.25"/>
    <row r="210686" customFormat="1" x14ac:dyDescent="0.25"/>
    <row r="210687" customFormat="1" x14ac:dyDescent="0.25"/>
    <row r="210688" customFormat="1" x14ac:dyDescent="0.25"/>
    <row r="210689" customFormat="1" x14ac:dyDescent="0.25"/>
    <row r="210690" customFormat="1" x14ac:dyDescent="0.25"/>
    <row r="210691" customFormat="1" x14ac:dyDescent="0.25"/>
    <row r="210692" customFormat="1" x14ac:dyDescent="0.25"/>
    <row r="210693" customFormat="1" x14ac:dyDescent="0.25"/>
    <row r="210694" customFormat="1" x14ac:dyDescent="0.25"/>
    <row r="210695" customFormat="1" x14ac:dyDescent="0.25"/>
    <row r="210696" customFormat="1" x14ac:dyDescent="0.25"/>
    <row r="210697" customFormat="1" x14ac:dyDescent="0.25"/>
    <row r="210698" customFormat="1" x14ac:dyDescent="0.25"/>
    <row r="210699" customFormat="1" x14ac:dyDescent="0.25"/>
    <row r="210700" customFormat="1" x14ac:dyDescent="0.25"/>
    <row r="210701" customFormat="1" x14ac:dyDescent="0.25"/>
    <row r="210702" customFormat="1" x14ac:dyDescent="0.25"/>
    <row r="210703" customFormat="1" x14ac:dyDescent="0.25"/>
    <row r="210704" customFormat="1" x14ac:dyDescent="0.25"/>
    <row r="210705" customFormat="1" x14ac:dyDescent="0.25"/>
    <row r="210706" customFormat="1" x14ac:dyDescent="0.25"/>
    <row r="210707" customFormat="1" x14ac:dyDescent="0.25"/>
    <row r="210708" customFormat="1" x14ac:dyDescent="0.25"/>
    <row r="210709" customFormat="1" x14ac:dyDescent="0.25"/>
    <row r="210710" customFormat="1" x14ac:dyDescent="0.25"/>
    <row r="210711" customFormat="1" x14ac:dyDescent="0.25"/>
    <row r="210712" customFormat="1" x14ac:dyDescent="0.25"/>
    <row r="210713" customFormat="1" x14ac:dyDescent="0.25"/>
    <row r="210714" customFormat="1" x14ac:dyDescent="0.25"/>
    <row r="210715" customFormat="1" x14ac:dyDescent="0.25"/>
    <row r="210716" customFormat="1" x14ac:dyDescent="0.25"/>
    <row r="210717" customFormat="1" x14ac:dyDescent="0.25"/>
    <row r="210718" customFormat="1" x14ac:dyDescent="0.25"/>
    <row r="210719" customFormat="1" x14ac:dyDescent="0.25"/>
    <row r="210720" customFormat="1" x14ac:dyDescent="0.25"/>
    <row r="210721" customFormat="1" x14ac:dyDescent="0.25"/>
    <row r="210722" customFormat="1" x14ac:dyDescent="0.25"/>
    <row r="210723" customFormat="1" x14ac:dyDescent="0.25"/>
    <row r="210724" customFormat="1" x14ac:dyDescent="0.25"/>
    <row r="210725" customFormat="1" x14ac:dyDescent="0.25"/>
    <row r="210726" customFormat="1" x14ac:dyDescent="0.25"/>
    <row r="210727" customFormat="1" x14ac:dyDescent="0.25"/>
    <row r="210728" customFormat="1" x14ac:dyDescent="0.25"/>
    <row r="210729" customFormat="1" x14ac:dyDescent="0.25"/>
    <row r="210730" customFormat="1" x14ac:dyDescent="0.25"/>
    <row r="210731" customFormat="1" x14ac:dyDescent="0.25"/>
    <row r="210732" customFormat="1" x14ac:dyDescent="0.25"/>
    <row r="210733" customFormat="1" x14ac:dyDescent="0.25"/>
    <row r="210734" customFormat="1" x14ac:dyDescent="0.25"/>
    <row r="210735" customFormat="1" x14ac:dyDescent="0.25"/>
    <row r="210736" customFormat="1" x14ac:dyDescent="0.25"/>
    <row r="210737" customFormat="1" x14ac:dyDescent="0.25"/>
    <row r="210738" customFormat="1" x14ac:dyDescent="0.25"/>
    <row r="210739" customFormat="1" x14ac:dyDescent="0.25"/>
    <row r="210740" customFormat="1" x14ac:dyDescent="0.25"/>
    <row r="210741" customFormat="1" x14ac:dyDescent="0.25"/>
    <row r="210742" customFormat="1" x14ac:dyDescent="0.25"/>
    <row r="210743" customFormat="1" x14ac:dyDescent="0.25"/>
    <row r="210744" customFormat="1" x14ac:dyDescent="0.25"/>
    <row r="210745" customFormat="1" x14ac:dyDescent="0.25"/>
    <row r="210746" customFormat="1" x14ac:dyDescent="0.25"/>
    <row r="210747" customFormat="1" x14ac:dyDescent="0.25"/>
    <row r="210748" customFormat="1" x14ac:dyDescent="0.25"/>
    <row r="210749" customFormat="1" x14ac:dyDescent="0.25"/>
    <row r="210750" customFormat="1" x14ac:dyDescent="0.25"/>
    <row r="210751" customFormat="1" x14ac:dyDescent="0.25"/>
    <row r="210752" customFormat="1" x14ac:dyDescent="0.25"/>
    <row r="210753" customFormat="1" x14ac:dyDescent="0.25"/>
    <row r="210754" customFormat="1" x14ac:dyDescent="0.25"/>
    <row r="210755" customFormat="1" x14ac:dyDescent="0.25"/>
    <row r="210756" customFormat="1" x14ac:dyDescent="0.25"/>
    <row r="210757" customFormat="1" x14ac:dyDescent="0.25"/>
    <row r="210758" customFormat="1" x14ac:dyDescent="0.25"/>
    <row r="210759" customFormat="1" x14ac:dyDescent="0.25"/>
    <row r="210760" customFormat="1" x14ac:dyDescent="0.25"/>
    <row r="210761" customFormat="1" x14ac:dyDescent="0.25"/>
    <row r="210762" customFormat="1" x14ac:dyDescent="0.25"/>
    <row r="210763" customFormat="1" x14ac:dyDescent="0.25"/>
    <row r="210764" customFormat="1" x14ac:dyDescent="0.25"/>
    <row r="210765" customFormat="1" x14ac:dyDescent="0.25"/>
    <row r="210766" customFormat="1" x14ac:dyDescent="0.25"/>
    <row r="210767" customFormat="1" x14ac:dyDescent="0.25"/>
    <row r="210768" customFormat="1" x14ac:dyDescent="0.25"/>
    <row r="210769" customFormat="1" x14ac:dyDescent="0.25"/>
    <row r="210770" customFormat="1" x14ac:dyDescent="0.25"/>
    <row r="210771" customFormat="1" x14ac:dyDescent="0.25"/>
    <row r="210772" customFormat="1" x14ac:dyDescent="0.25"/>
    <row r="210773" customFormat="1" x14ac:dyDescent="0.25"/>
    <row r="210774" customFormat="1" x14ac:dyDescent="0.25"/>
    <row r="210775" customFormat="1" x14ac:dyDescent="0.25"/>
    <row r="210776" customFormat="1" x14ac:dyDescent="0.25"/>
    <row r="210777" customFormat="1" x14ac:dyDescent="0.25"/>
    <row r="210778" customFormat="1" x14ac:dyDescent="0.25"/>
    <row r="210779" customFormat="1" x14ac:dyDescent="0.25"/>
    <row r="210780" customFormat="1" x14ac:dyDescent="0.25"/>
    <row r="210781" customFormat="1" x14ac:dyDescent="0.25"/>
    <row r="210782" customFormat="1" x14ac:dyDescent="0.25"/>
    <row r="210783" customFormat="1" x14ac:dyDescent="0.25"/>
    <row r="210784" customFormat="1" x14ac:dyDescent="0.25"/>
    <row r="210785" customFormat="1" x14ac:dyDescent="0.25"/>
    <row r="210786" customFormat="1" x14ac:dyDescent="0.25"/>
    <row r="210787" customFormat="1" x14ac:dyDescent="0.25"/>
    <row r="210788" customFormat="1" x14ac:dyDescent="0.25"/>
    <row r="210789" customFormat="1" x14ac:dyDescent="0.25"/>
    <row r="210790" customFormat="1" x14ac:dyDescent="0.25"/>
    <row r="210791" customFormat="1" x14ac:dyDescent="0.25"/>
    <row r="210792" customFormat="1" x14ac:dyDescent="0.25"/>
    <row r="210793" customFormat="1" x14ac:dyDescent="0.25"/>
    <row r="210794" customFormat="1" x14ac:dyDescent="0.25"/>
    <row r="210795" customFormat="1" x14ac:dyDescent="0.25"/>
    <row r="210796" customFormat="1" x14ac:dyDescent="0.25"/>
    <row r="210797" customFormat="1" x14ac:dyDescent="0.25"/>
    <row r="210798" customFormat="1" x14ac:dyDescent="0.25"/>
    <row r="210799" customFormat="1" x14ac:dyDescent="0.25"/>
    <row r="210800" customFormat="1" x14ac:dyDescent="0.25"/>
    <row r="210801" customFormat="1" x14ac:dyDescent="0.25"/>
    <row r="210802" customFormat="1" x14ac:dyDescent="0.25"/>
    <row r="210803" customFormat="1" x14ac:dyDescent="0.25"/>
    <row r="210804" customFormat="1" x14ac:dyDescent="0.25"/>
    <row r="210805" customFormat="1" x14ac:dyDescent="0.25"/>
    <row r="210806" customFormat="1" x14ac:dyDescent="0.25"/>
    <row r="210807" customFormat="1" x14ac:dyDescent="0.25"/>
    <row r="210808" customFormat="1" x14ac:dyDescent="0.25"/>
    <row r="210809" customFormat="1" x14ac:dyDescent="0.25"/>
    <row r="210810" customFormat="1" x14ac:dyDescent="0.25"/>
    <row r="210811" customFormat="1" x14ac:dyDescent="0.25"/>
    <row r="210812" customFormat="1" x14ac:dyDescent="0.25"/>
    <row r="210813" customFormat="1" x14ac:dyDescent="0.25"/>
    <row r="210814" customFormat="1" x14ac:dyDescent="0.25"/>
    <row r="210815" customFormat="1" x14ac:dyDescent="0.25"/>
    <row r="210816" customFormat="1" x14ac:dyDescent="0.25"/>
    <row r="210817" customFormat="1" x14ac:dyDescent="0.25"/>
    <row r="210818" customFormat="1" x14ac:dyDescent="0.25"/>
    <row r="210819" customFormat="1" x14ac:dyDescent="0.25"/>
    <row r="210820" customFormat="1" x14ac:dyDescent="0.25"/>
    <row r="210821" customFormat="1" x14ac:dyDescent="0.25"/>
    <row r="210822" customFormat="1" x14ac:dyDescent="0.25"/>
    <row r="210823" customFormat="1" x14ac:dyDescent="0.25"/>
    <row r="210824" customFormat="1" x14ac:dyDescent="0.25"/>
    <row r="210825" customFormat="1" x14ac:dyDescent="0.25"/>
    <row r="210826" customFormat="1" x14ac:dyDescent="0.25"/>
    <row r="210827" customFormat="1" x14ac:dyDescent="0.25"/>
    <row r="210828" customFormat="1" x14ac:dyDescent="0.25"/>
    <row r="210829" customFormat="1" x14ac:dyDescent="0.25"/>
    <row r="210830" customFormat="1" x14ac:dyDescent="0.25"/>
    <row r="210831" customFormat="1" x14ac:dyDescent="0.25"/>
    <row r="210832" customFormat="1" x14ac:dyDescent="0.25"/>
    <row r="210833" customFormat="1" x14ac:dyDescent="0.25"/>
    <row r="210834" customFormat="1" x14ac:dyDescent="0.25"/>
    <row r="210835" customFormat="1" x14ac:dyDescent="0.25"/>
    <row r="210836" customFormat="1" x14ac:dyDescent="0.25"/>
    <row r="210837" customFormat="1" x14ac:dyDescent="0.25"/>
    <row r="210838" customFormat="1" x14ac:dyDescent="0.25"/>
    <row r="210839" customFormat="1" x14ac:dyDescent="0.25"/>
    <row r="210840" customFormat="1" x14ac:dyDescent="0.25"/>
    <row r="210841" customFormat="1" x14ac:dyDescent="0.25"/>
    <row r="210842" customFormat="1" x14ac:dyDescent="0.25"/>
    <row r="210843" customFormat="1" x14ac:dyDescent="0.25"/>
    <row r="210844" customFormat="1" x14ac:dyDescent="0.25"/>
    <row r="210845" customFormat="1" x14ac:dyDescent="0.25"/>
    <row r="210846" customFormat="1" x14ac:dyDescent="0.25"/>
    <row r="210847" customFormat="1" x14ac:dyDescent="0.25"/>
    <row r="210848" customFormat="1" x14ac:dyDescent="0.25"/>
    <row r="210849" customFormat="1" x14ac:dyDescent="0.25"/>
    <row r="210850" customFormat="1" x14ac:dyDescent="0.25"/>
    <row r="210851" customFormat="1" x14ac:dyDescent="0.25"/>
    <row r="210852" customFormat="1" x14ac:dyDescent="0.25"/>
    <row r="210853" customFormat="1" x14ac:dyDescent="0.25"/>
    <row r="210854" customFormat="1" x14ac:dyDescent="0.25"/>
    <row r="210855" customFormat="1" x14ac:dyDescent="0.25"/>
    <row r="210856" customFormat="1" x14ac:dyDescent="0.25"/>
    <row r="210857" customFormat="1" x14ac:dyDescent="0.25"/>
    <row r="210858" customFormat="1" x14ac:dyDescent="0.25"/>
    <row r="210859" customFormat="1" x14ac:dyDescent="0.25"/>
    <row r="210860" customFormat="1" x14ac:dyDescent="0.25"/>
    <row r="210861" customFormat="1" x14ac:dyDescent="0.25"/>
    <row r="210862" customFormat="1" x14ac:dyDescent="0.25"/>
    <row r="210863" customFormat="1" x14ac:dyDescent="0.25"/>
    <row r="210864" customFormat="1" x14ac:dyDescent="0.25"/>
    <row r="210865" customFormat="1" x14ac:dyDescent="0.25"/>
    <row r="210866" customFormat="1" x14ac:dyDescent="0.25"/>
    <row r="210867" customFormat="1" x14ac:dyDescent="0.25"/>
    <row r="210868" customFormat="1" x14ac:dyDescent="0.25"/>
    <row r="210869" customFormat="1" x14ac:dyDescent="0.25"/>
    <row r="210870" customFormat="1" x14ac:dyDescent="0.25"/>
    <row r="210871" customFormat="1" x14ac:dyDescent="0.25"/>
    <row r="210872" customFormat="1" x14ac:dyDescent="0.25"/>
    <row r="210873" customFormat="1" x14ac:dyDescent="0.25"/>
    <row r="210874" customFormat="1" x14ac:dyDescent="0.25"/>
    <row r="210875" customFormat="1" x14ac:dyDescent="0.25"/>
    <row r="210876" customFormat="1" x14ac:dyDescent="0.25"/>
    <row r="210877" customFormat="1" x14ac:dyDescent="0.25"/>
    <row r="210878" customFormat="1" x14ac:dyDescent="0.25"/>
    <row r="210879" customFormat="1" x14ac:dyDescent="0.25"/>
    <row r="210880" customFormat="1" x14ac:dyDescent="0.25"/>
    <row r="210881" customFormat="1" x14ac:dyDescent="0.25"/>
    <row r="210882" customFormat="1" x14ac:dyDescent="0.25"/>
    <row r="210883" customFormat="1" x14ac:dyDescent="0.25"/>
    <row r="210884" customFormat="1" x14ac:dyDescent="0.25"/>
    <row r="210885" customFormat="1" x14ac:dyDescent="0.25"/>
    <row r="210886" customFormat="1" x14ac:dyDescent="0.25"/>
    <row r="210887" customFormat="1" x14ac:dyDescent="0.25"/>
    <row r="210888" customFormat="1" x14ac:dyDescent="0.25"/>
    <row r="210889" customFormat="1" x14ac:dyDescent="0.25"/>
    <row r="210890" customFormat="1" x14ac:dyDescent="0.25"/>
    <row r="210891" customFormat="1" x14ac:dyDescent="0.25"/>
    <row r="210892" customFormat="1" x14ac:dyDescent="0.25"/>
    <row r="210893" customFormat="1" x14ac:dyDescent="0.25"/>
    <row r="210894" customFormat="1" x14ac:dyDescent="0.25"/>
    <row r="210895" customFormat="1" x14ac:dyDescent="0.25"/>
    <row r="210896" customFormat="1" x14ac:dyDescent="0.25"/>
    <row r="210897" customFormat="1" x14ac:dyDescent="0.25"/>
    <row r="210898" customFormat="1" x14ac:dyDescent="0.25"/>
    <row r="210899" customFormat="1" x14ac:dyDescent="0.25"/>
    <row r="210900" customFormat="1" x14ac:dyDescent="0.25"/>
    <row r="210901" customFormat="1" x14ac:dyDescent="0.25"/>
    <row r="210902" customFormat="1" x14ac:dyDescent="0.25"/>
    <row r="210903" customFormat="1" x14ac:dyDescent="0.25"/>
    <row r="210904" customFormat="1" x14ac:dyDescent="0.25"/>
    <row r="210905" customFormat="1" x14ac:dyDescent="0.25"/>
    <row r="210906" customFormat="1" x14ac:dyDescent="0.25"/>
    <row r="210907" customFormat="1" x14ac:dyDescent="0.25"/>
    <row r="210908" customFormat="1" x14ac:dyDescent="0.25"/>
    <row r="210909" customFormat="1" x14ac:dyDescent="0.25"/>
    <row r="210910" customFormat="1" x14ac:dyDescent="0.25"/>
    <row r="210911" customFormat="1" x14ac:dyDescent="0.25"/>
    <row r="210912" customFormat="1" x14ac:dyDescent="0.25"/>
    <row r="210913" customFormat="1" x14ac:dyDescent="0.25"/>
    <row r="210914" customFormat="1" x14ac:dyDescent="0.25"/>
    <row r="210915" customFormat="1" x14ac:dyDescent="0.25"/>
    <row r="210916" customFormat="1" x14ac:dyDescent="0.25"/>
    <row r="210917" customFormat="1" x14ac:dyDescent="0.25"/>
    <row r="210918" customFormat="1" x14ac:dyDescent="0.25"/>
    <row r="210919" customFormat="1" x14ac:dyDescent="0.25"/>
    <row r="210920" customFormat="1" x14ac:dyDescent="0.25"/>
    <row r="210921" customFormat="1" x14ac:dyDescent="0.25"/>
    <row r="210922" customFormat="1" x14ac:dyDescent="0.25"/>
    <row r="210923" customFormat="1" x14ac:dyDescent="0.25"/>
    <row r="210924" customFormat="1" x14ac:dyDescent="0.25"/>
    <row r="210925" customFormat="1" x14ac:dyDescent="0.25"/>
    <row r="210926" customFormat="1" x14ac:dyDescent="0.25"/>
    <row r="210927" customFormat="1" x14ac:dyDescent="0.25"/>
    <row r="210928" customFormat="1" x14ac:dyDescent="0.25"/>
    <row r="210929" customFormat="1" x14ac:dyDescent="0.25"/>
    <row r="210930" customFormat="1" x14ac:dyDescent="0.25"/>
    <row r="210931" customFormat="1" x14ac:dyDescent="0.25"/>
    <row r="210932" customFormat="1" x14ac:dyDescent="0.25"/>
    <row r="210933" customFormat="1" x14ac:dyDescent="0.25"/>
    <row r="210934" customFormat="1" x14ac:dyDescent="0.25"/>
    <row r="210935" customFormat="1" x14ac:dyDescent="0.25"/>
    <row r="210936" customFormat="1" x14ac:dyDescent="0.25"/>
    <row r="210937" customFormat="1" x14ac:dyDescent="0.25"/>
    <row r="210938" customFormat="1" x14ac:dyDescent="0.25"/>
    <row r="210939" customFormat="1" x14ac:dyDescent="0.25"/>
    <row r="210940" customFormat="1" x14ac:dyDescent="0.25"/>
    <row r="210941" customFormat="1" x14ac:dyDescent="0.25"/>
    <row r="210942" customFormat="1" x14ac:dyDescent="0.25"/>
    <row r="210943" customFormat="1" x14ac:dyDescent="0.25"/>
    <row r="210944" customFormat="1" x14ac:dyDescent="0.25"/>
    <row r="210945" customFormat="1" x14ac:dyDescent="0.25"/>
    <row r="210946" customFormat="1" x14ac:dyDescent="0.25"/>
    <row r="210947" customFormat="1" x14ac:dyDescent="0.25"/>
    <row r="210948" customFormat="1" x14ac:dyDescent="0.25"/>
    <row r="210949" customFormat="1" x14ac:dyDescent="0.25"/>
    <row r="210950" customFormat="1" x14ac:dyDescent="0.25"/>
    <row r="210951" customFormat="1" x14ac:dyDescent="0.25"/>
    <row r="210952" customFormat="1" x14ac:dyDescent="0.25"/>
    <row r="210953" customFormat="1" x14ac:dyDescent="0.25"/>
    <row r="210954" customFormat="1" x14ac:dyDescent="0.25"/>
    <row r="210955" customFormat="1" x14ac:dyDescent="0.25"/>
    <row r="210956" customFormat="1" x14ac:dyDescent="0.25"/>
    <row r="210957" customFormat="1" x14ac:dyDescent="0.25"/>
    <row r="210958" customFormat="1" x14ac:dyDescent="0.25"/>
    <row r="210959" customFormat="1" x14ac:dyDescent="0.25"/>
    <row r="210960" customFormat="1" x14ac:dyDescent="0.25"/>
    <row r="210961" customFormat="1" x14ac:dyDescent="0.25"/>
    <row r="210962" customFormat="1" x14ac:dyDescent="0.25"/>
    <row r="210963" customFormat="1" x14ac:dyDescent="0.25"/>
    <row r="210964" customFormat="1" x14ac:dyDescent="0.25"/>
    <row r="210965" customFormat="1" x14ac:dyDescent="0.25"/>
    <row r="210966" customFormat="1" x14ac:dyDescent="0.25"/>
    <row r="210967" customFormat="1" x14ac:dyDescent="0.25"/>
    <row r="210968" customFormat="1" x14ac:dyDescent="0.25"/>
    <row r="210969" customFormat="1" x14ac:dyDescent="0.25"/>
    <row r="210970" customFormat="1" x14ac:dyDescent="0.25"/>
    <row r="210971" customFormat="1" x14ac:dyDescent="0.25"/>
    <row r="210972" customFormat="1" x14ac:dyDescent="0.25"/>
    <row r="210973" customFormat="1" x14ac:dyDescent="0.25"/>
    <row r="210974" customFormat="1" x14ac:dyDescent="0.25"/>
    <row r="210975" customFormat="1" x14ac:dyDescent="0.25"/>
    <row r="210976" customFormat="1" x14ac:dyDescent="0.25"/>
    <row r="210977" customFormat="1" x14ac:dyDescent="0.25"/>
    <row r="210978" customFormat="1" x14ac:dyDescent="0.25"/>
    <row r="210979" customFormat="1" x14ac:dyDescent="0.25"/>
    <row r="210980" customFormat="1" x14ac:dyDescent="0.25"/>
    <row r="210981" customFormat="1" x14ac:dyDescent="0.25"/>
    <row r="210982" customFormat="1" x14ac:dyDescent="0.25"/>
    <row r="210983" customFormat="1" x14ac:dyDescent="0.25"/>
    <row r="210984" customFormat="1" x14ac:dyDescent="0.25"/>
    <row r="210985" customFormat="1" x14ac:dyDescent="0.25"/>
    <row r="210986" customFormat="1" x14ac:dyDescent="0.25"/>
    <row r="210987" customFormat="1" x14ac:dyDescent="0.25"/>
    <row r="210988" customFormat="1" x14ac:dyDescent="0.25"/>
    <row r="210989" customFormat="1" x14ac:dyDescent="0.25"/>
    <row r="210990" customFormat="1" x14ac:dyDescent="0.25"/>
    <row r="210991" customFormat="1" x14ac:dyDescent="0.25"/>
    <row r="210992" customFormat="1" x14ac:dyDescent="0.25"/>
    <row r="210993" customFormat="1" x14ac:dyDescent="0.25"/>
    <row r="210994" customFormat="1" x14ac:dyDescent="0.25"/>
    <row r="210995" customFormat="1" x14ac:dyDescent="0.25"/>
    <row r="210996" customFormat="1" x14ac:dyDescent="0.25"/>
    <row r="210997" customFormat="1" x14ac:dyDescent="0.25"/>
    <row r="210998" customFormat="1" x14ac:dyDescent="0.25"/>
    <row r="210999" customFormat="1" x14ac:dyDescent="0.25"/>
    <row r="211000" customFormat="1" x14ac:dyDescent="0.25"/>
    <row r="211001" customFormat="1" x14ac:dyDescent="0.25"/>
    <row r="211002" customFormat="1" x14ac:dyDescent="0.25"/>
    <row r="211003" customFormat="1" x14ac:dyDescent="0.25"/>
    <row r="211004" customFormat="1" x14ac:dyDescent="0.25"/>
    <row r="211005" customFormat="1" x14ac:dyDescent="0.25"/>
    <row r="211006" customFormat="1" x14ac:dyDescent="0.25"/>
    <row r="211007" customFormat="1" x14ac:dyDescent="0.25"/>
    <row r="211008" customFormat="1" x14ac:dyDescent="0.25"/>
    <row r="211009" customFormat="1" x14ac:dyDescent="0.25"/>
    <row r="211010" customFormat="1" x14ac:dyDescent="0.25"/>
    <row r="211011" customFormat="1" x14ac:dyDescent="0.25"/>
    <row r="211012" customFormat="1" x14ac:dyDescent="0.25"/>
    <row r="211013" customFormat="1" x14ac:dyDescent="0.25"/>
    <row r="211014" customFormat="1" x14ac:dyDescent="0.25"/>
    <row r="211015" customFormat="1" x14ac:dyDescent="0.25"/>
    <row r="211016" customFormat="1" x14ac:dyDescent="0.25"/>
    <row r="211017" customFormat="1" x14ac:dyDescent="0.25"/>
    <row r="211018" customFormat="1" x14ac:dyDescent="0.25"/>
    <row r="211019" customFormat="1" x14ac:dyDescent="0.25"/>
    <row r="211020" customFormat="1" x14ac:dyDescent="0.25"/>
    <row r="211021" customFormat="1" x14ac:dyDescent="0.25"/>
    <row r="211022" customFormat="1" x14ac:dyDescent="0.25"/>
    <row r="211023" customFormat="1" x14ac:dyDescent="0.25"/>
    <row r="211024" customFormat="1" x14ac:dyDescent="0.25"/>
    <row r="211025" customFormat="1" x14ac:dyDescent="0.25"/>
    <row r="211026" customFormat="1" x14ac:dyDescent="0.25"/>
    <row r="211027" customFormat="1" x14ac:dyDescent="0.25"/>
    <row r="211028" customFormat="1" x14ac:dyDescent="0.25"/>
    <row r="211029" customFormat="1" x14ac:dyDescent="0.25"/>
    <row r="211030" customFormat="1" x14ac:dyDescent="0.25"/>
    <row r="211031" customFormat="1" x14ac:dyDescent="0.25"/>
    <row r="211032" customFormat="1" x14ac:dyDescent="0.25"/>
    <row r="211033" customFormat="1" x14ac:dyDescent="0.25"/>
    <row r="211034" customFormat="1" x14ac:dyDescent="0.25"/>
    <row r="211035" customFormat="1" x14ac:dyDescent="0.25"/>
    <row r="211036" customFormat="1" x14ac:dyDescent="0.25"/>
    <row r="211037" customFormat="1" x14ac:dyDescent="0.25"/>
    <row r="211038" customFormat="1" x14ac:dyDescent="0.25"/>
    <row r="211039" customFormat="1" x14ac:dyDescent="0.25"/>
    <row r="211040" customFormat="1" x14ac:dyDescent="0.25"/>
    <row r="211041" customFormat="1" x14ac:dyDescent="0.25"/>
    <row r="211042" customFormat="1" x14ac:dyDescent="0.25"/>
    <row r="211043" customFormat="1" x14ac:dyDescent="0.25"/>
    <row r="211044" customFormat="1" x14ac:dyDescent="0.25"/>
    <row r="211045" customFormat="1" x14ac:dyDescent="0.25"/>
    <row r="211046" customFormat="1" x14ac:dyDescent="0.25"/>
    <row r="211047" customFormat="1" x14ac:dyDescent="0.25"/>
    <row r="211048" customFormat="1" x14ac:dyDescent="0.25"/>
    <row r="211049" customFormat="1" x14ac:dyDescent="0.25"/>
    <row r="211050" customFormat="1" x14ac:dyDescent="0.25"/>
    <row r="211051" customFormat="1" x14ac:dyDescent="0.25"/>
    <row r="211052" customFormat="1" x14ac:dyDescent="0.25"/>
    <row r="211053" customFormat="1" x14ac:dyDescent="0.25"/>
    <row r="211054" customFormat="1" x14ac:dyDescent="0.25"/>
    <row r="211055" customFormat="1" x14ac:dyDescent="0.25"/>
    <row r="211056" customFormat="1" x14ac:dyDescent="0.25"/>
    <row r="211057" customFormat="1" x14ac:dyDescent="0.25"/>
    <row r="211058" customFormat="1" x14ac:dyDescent="0.25"/>
    <row r="211059" customFormat="1" x14ac:dyDescent="0.25"/>
    <row r="211060" customFormat="1" x14ac:dyDescent="0.25"/>
    <row r="211061" customFormat="1" x14ac:dyDescent="0.25"/>
    <row r="211062" customFormat="1" x14ac:dyDescent="0.25"/>
    <row r="211063" customFormat="1" x14ac:dyDescent="0.25"/>
    <row r="211064" customFormat="1" x14ac:dyDescent="0.25"/>
    <row r="211065" customFormat="1" x14ac:dyDescent="0.25"/>
    <row r="211066" customFormat="1" x14ac:dyDescent="0.25"/>
    <row r="211067" customFormat="1" x14ac:dyDescent="0.25"/>
    <row r="211068" customFormat="1" x14ac:dyDescent="0.25"/>
    <row r="211069" customFormat="1" x14ac:dyDescent="0.25"/>
    <row r="211070" customFormat="1" x14ac:dyDescent="0.25"/>
    <row r="211071" customFormat="1" x14ac:dyDescent="0.25"/>
    <row r="211072" customFormat="1" x14ac:dyDescent="0.25"/>
    <row r="211073" customFormat="1" x14ac:dyDescent="0.25"/>
    <row r="211074" customFormat="1" x14ac:dyDescent="0.25"/>
    <row r="211075" customFormat="1" x14ac:dyDescent="0.25"/>
    <row r="211076" customFormat="1" x14ac:dyDescent="0.25"/>
    <row r="211077" customFormat="1" x14ac:dyDescent="0.25"/>
    <row r="211078" customFormat="1" x14ac:dyDescent="0.25"/>
    <row r="211079" customFormat="1" x14ac:dyDescent="0.25"/>
    <row r="211080" customFormat="1" x14ac:dyDescent="0.25"/>
    <row r="211081" customFormat="1" x14ac:dyDescent="0.25"/>
    <row r="211082" customFormat="1" x14ac:dyDescent="0.25"/>
    <row r="211083" customFormat="1" x14ac:dyDescent="0.25"/>
    <row r="211084" customFormat="1" x14ac:dyDescent="0.25"/>
    <row r="211085" customFormat="1" x14ac:dyDescent="0.25"/>
    <row r="211086" customFormat="1" x14ac:dyDescent="0.25"/>
    <row r="211087" customFormat="1" x14ac:dyDescent="0.25"/>
    <row r="211088" customFormat="1" x14ac:dyDescent="0.25"/>
    <row r="211089" customFormat="1" x14ac:dyDescent="0.25"/>
    <row r="211090" customFormat="1" x14ac:dyDescent="0.25"/>
    <row r="211091" customFormat="1" x14ac:dyDescent="0.25"/>
    <row r="211092" customFormat="1" x14ac:dyDescent="0.25"/>
    <row r="211093" customFormat="1" x14ac:dyDescent="0.25"/>
    <row r="211094" customFormat="1" x14ac:dyDescent="0.25"/>
    <row r="211095" customFormat="1" x14ac:dyDescent="0.25"/>
    <row r="211096" customFormat="1" x14ac:dyDescent="0.25"/>
    <row r="211097" customFormat="1" x14ac:dyDescent="0.25"/>
    <row r="211098" customFormat="1" x14ac:dyDescent="0.25"/>
    <row r="211099" customFormat="1" x14ac:dyDescent="0.25"/>
    <row r="211100" customFormat="1" x14ac:dyDescent="0.25"/>
    <row r="211101" customFormat="1" x14ac:dyDescent="0.25"/>
    <row r="211102" customFormat="1" x14ac:dyDescent="0.25"/>
    <row r="211103" customFormat="1" x14ac:dyDescent="0.25"/>
    <row r="211104" customFormat="1" x14ac:dyDescent="0.25"/>
    <row r="211105" customFormat="1" x14ac:dyDescent="0.25"/>
    <row r="211106" customFormat="1" x14ac:dyDescent="0.25"/>
    <row r="211107" customFormat="1" x14ac:dyDescent="0.25"/>
    <row r="211108" customFormat="1" x14ac:dyDescent="0.25"/>
    <row r="211109" customFormat="1" x14ac:dyDescent="0.25"/>
    <row r="211110" customFormat="1" x14ac:dyDescent="0.25"/>
    <row r="211111" customFormat="1" x14ac:dyDescent="0.25"/>
    <row r="211112" customFormat="1" x14ac:dyDescent="0.25"/>
    <row r="211113" customFormat="1" x14ac:dyDescent="0.25"/>
    <row r="211114" customFormat="1" x14ac:dyDescent="0.25"/>
    <row r="211115" customFormat="1" x14ac:dyDescent="0.25"/>
    <row r="211116" customFormat="1" x14ac:dyDescent="0.25"/>
    <row r="211117" customFormat="1" x14ac:dyDescent="0.25"/>
    <row r="211118" customFormat="1" x14ac:dyDescent="0.25"/>
    <row r="211119" customFormat="1" x14ac:dyDescent="0.25"/>
    <row r="211120" customFormat="1" x14ac:dyDescent="0.25"/>
    <row r="211121" customFormat="1" x14ac:dyDescent="0.25"/>
    <row r="211122" customFormat="1" x14ac:dyDescent="0.25"/>
    <row r="211123" customFormat="1" x14ac:dyDescent="0.25"/>
    <row r="211124" customFormat="1" x14ac:dyDescent="0.25"/>
    <row r="211125" customFormat="1" x14ac:dyDescent="0.25"/>
    <row r="211126" customFormat="1" x14ac:dyDescent="0.25"/>
    <row r="211127" customFormat="1" x14ac:dyDescent="0.25"/>
    <row r="211128" customFormat="1" x14ac:dyDescent="0.25"/>
    <row r="211129" customFormat="1" x14ac:dyDescent="0.25"/>
    <row r="211130" customFormat="1" x14ac:dyDescent="0.25"/>
    <row r="211131" customFormat="1" x14ac:dyDescent="0.25"/>
    <row r="211132" customFormat="1" x14ac:dyDescent="0.25"/>
    <row r="211133" customFormat="1" x14ac:dyDescent="0.25"/>
    <row r="211134" customFormat="1" x14ac:dyDescent="0.25"/>
    <row r="211135" customFormat="1" x14ac:dyDescent="0.25"/>
    <row r="211136" customFormat="1" x14ac:dyDescent="0.25"/>
    <row r="211137" customFormat="1" x14ac:dyDescent="0.25"/>
    <row r="211138" customFormat="1" x14ac:dyDescent="0.25"/>
    <row r="211139" customFormat="1" x14ac:dyDescent="0.25"/>
    <row r="211140" customFormat="1" x14ac:dyDescent="0.25"/>
    <row r="211141" customFormat="1" x14ac:dyDescent="0.25"/>
    <row r="211142" customFormat="1" x14ac:dyDescent="0.25"/>
    <row r="211143" customFormat="1" x14ac:dyDescent="0.25"/>
    <row r="211144" customFormat="1" x14ac:dyDescent="0.25"/>
    <row r="211145" customFormat="1" x14ac:dyDescent="0.25"/>
    <row r="211146" customFormat="1" x14ac:dyDescent="0.25"/>
    <row r="211147" customFormat="1" x14ac:dyDescent="0.25"/>
    <row r="211148" customFormat="1" x14ac:dyDescent="0.25"/>
    <row r="211149" customFormat="1" x14ac:dyDescent="0.25"/>
    <row r="211150" customFormat="1" x14ac:dyDescent="0.25"/>
    <row r="211151" customFormat="1" x14ac:dyDescent="0.25"/>
    <row r="211152" customFormat="1" x14ac:dyDescent="0.25"/>
    <row r="211153" customFormat="1" x14ac:dyDescent="0.25"/>
    <row r="211154" customFormat="1" x14ac:dyDescent="0.25"/>
    <row r="211155" customFormat="1" x14ac:dyDescent="0.25"/>
    <row r="211156" customFormat="1" x14ac:dyDescent="0.25"/>
    <row r="211157" customFormat="1" x14ac:dyDescent="0.25"/>
    <row r="211158" customFormat="1" x14ac:dyDescent="0.25"/>
    <row r="211159" customFormat="1" x14ac:dyDescent="0.25"/>
    <row r="211160" customFormat="1" x14ac:dyDescent="0.25"/>
    <row r="211161" customFormat="1" x14ac:dyDescent="0.25"/>
    <row r="211162" customFormat="1" x14ac:dyDescent="0.25"/>
    <row r="211163" customFormat="1" x14ac:dyDescent="0.25"/>
    <row r="211164" customFormat="1" x14ac:dyDescent="0.25"/>
    <row r="211165" customFormat="1" x14ac:dyDescent="0.25"/>
    <row r="211166" customFormat="1" x14ac:dyDescent="0.25"/>
    <row r="211167" customFormat="1" x14ac:dyDescent="0.25"/>
    <row r="211168" customFormat="1" x14ac:dyDescent="0.25"/>
    <row r="211169" customFormat="1" x14ac:dyDescent="0.25"/>
    <row r="211170" customFormat="1" x14ac:dyDescent="0.25"/>
    <row r="211171" customFormat="1" x14ac:dyDescent="0.25"/>
    <row r="211172" customFormat="1" x14ac:dyDescent="0.25"/>
    <row r="211173" customFormat="1" x14ac:dyDescent="0.25"/>
    <row r="211174" customFormat="1" x14ac:dyDescent="0.25"/>
    <row r="211175" customFormat="1" x14ac:dyDescent="0.25"/>
    <row r="211176" customFormat="1" x14ac:dyDescent="0.25"/>
    <row r="211177" customFormat="1" x14ac:dyDescent="0.25"/>
    <row r="211178" customFormat="1" x14ac:dyDescent="0.25"/>
    <row r="211179" customFormat="1" x14ac:dyDescent="0.25"/>
    <row r="211180" customFormat="1" x14ac:dyDescent="0.25"/>
    <row r="211181" customFormat="1" x14ac:dyDescent="0.25"/>
    <row r="211182" customFormat="1" x14ac:dyDescent="0.25"/>
    <row r="211183" customFormat="1" x14ac:dyDescent="0.25"/>
    <row r="211184" customFormat="1" x14ac:dyDescent="0.25"/>
    <row r="211185" customFormat="1" x14ac:dyDescent="0.25"/>
    <row r="211186" customFormat="1" x14ac:dyDescent="0.25"/>
    <row r="211187" customFormat="1" x14ac:dyDescent="0.25"/>
    <row r="211188" customFormat="1" x14ac:dyDescent="0.25"/>
    <row r="211189" customFormat="1" x14ac:dyDescent="0.25"/>
    <row r="211190" customFormat="1" x14ac:dyDescent="0.25"/>
    <row r="211191" customFormat="1" x14ac:dyDescent="0.25"/>
    <row r="211192" customFormat="1" x14ac:dyDescent="0.25"/>
    <row r="211193" customFormat="1" x14ac:dyDescent="0.25"/>
    <row r="211194" customFormat="1" x14ac:dyDescent="0.25"/>
    <row r="211195" customFormat="1" x14ac:dyDescent="0.25"/>
    <row r="211196" customFormat="1" x14ac:dyDescent="0.25"/>
    <row r="211197" customFormat="1" x14ac:dyDescent="0.25"/>
    <row r="211198" customFormat="1" x14ac:dyDescent="0.25"/>
    <row r="211199" customFormat="1" x14ac:dyDescent="0.25"/>
    <row r="211200" customFormat="1" x14ac:dyDescent="0.25"/>
    <row r="211201" customFormat="1" x14ac:dyDescent="0.25"/>
    <row r="211202" customFormat="1" x14ac:dyDescent="0.25"/>
    <row r="211203" customFormat="1" x14ac:dyDescent="0.25"/>
    <row r="211204" customFormat="1" x14ac:dyDescent="0.25"/>
    <row r="211205" customFormat="1" x14ac:dyDescent="0.25"/>
    <row r="211206" customFormat="1" x14ac:dyDescent="0.25"/>
    <row r="211207" customFormat="1" x14ac:dyDescent="0.25"/>
    <row r="211208" customFormat="1" x14ac:dyDescent="0.25"/>
    <row r="211209" customFormat="1" x14ac:dyDescent="0.25"/>
    <row r="211210" customFormat="1" x14ac:dyDescent="0.25"/>
    <row r="211211" customFormat="1" x14ac:dyDescent="0.25"/>
    <row r="211212" customFormat="1" x14ac:dyDescent="0.25"/>
    <row r="211213" customFormat="1" x14ac:dyDescent="0.25"/>
    <row r="211214" customFormat="1" x14ac:dyDescent="0.25"/>
    <row r="211215" customFormat="1" x14ac:dyDescent="0.25"/>
    <row r="211216" customFormat="1" x14ac:dyDescent="0.25"/>
    <row r="211217" customFormat="1" x14ac:dyDescent="0.25"/>
    <row r="211218" customFormat="1" x14ac:dyDescent="0.25"/>
    <row r="211219" customFormat="1" x14ac:dyDescent="0.25"/>
    <row r="211220" customFormat="1" x14ac:dyDescent="0.25"/>
    <row r="211221" customFormat="1" x14ac:dyDescent="0.25"/>
    <row r="211222" customFormat="1" x14ac:dyDescent="0.25"/>
    <row r="211223" customFormat="1" x14ac:dyDescent="0.25"/>
    <row r="211224" customFormat="1" x14ac:dyDescent="0.25"/>
    <row r="211225" customFormat="1" x14ac:dyDescent="0.25"/>
    <row r="211226" customFormat="1" x14ac:dyDescent="0.25"/>
    <row r="211227" customFormat="1" x14ac:dyDescent="0.25"/>
    <row r="211228" customFormat="1" x14ac:dyDescent="0.25"/>
    <row r="211229" customFormat="1" x14ac:dyDescent="0.25"/>
    <row r="211230" customFormat="1" x14ac:dyDescent="0.25"/>
    <row r="211231" customFormat="1" x14ac:dyDescent="0.25"/>
    <row r="211232" customFormat="1" x14ac:dyDescent="0.25"/>
    <row r="211233" customFormat="1" x14ac:dyDescent="0.25"/>
    <row r="211234" customFormat="1" x14ac:dyDescent="0.25"/>
    <row r="211235" customFormat="1" x14ac:dyDescent="0.25"/>
    <row r="211236" customFormat="1" x14ac:dyDescent="0.25"/>
    <row r="211237" customFormat="1" x14ac:dyDescent="0.25"/>
    <row r="211238" customFormat="1" x14ac:dyDescent="0.25"/>
    <row r="211239" customFormat="1" x14ac:dyDescent="0.25"/>
    <row r="211240" customFormat="1" x14ac:dyDescent="0.25"/>
    <row r="211241" customFormat="1" x14ac:dyDescent="0.25"/>
    <row r="211242" customFormat="1" x14ac:dyDescent="0.25"/>
    <row r="211243" customFormat="1" x14ac:dyDescent="0.25"/>
    <row r="211244" customFormat="1" x14ac:dyDescent="0.25"/>
    <row r="211245" customFormat="1" x14ac:dyDescent="0.25"/>
    <row r="211246" customFormat="1" x14ac:dyDescent="0.25"/>
    <row r="211247" customFormat="1" x14ac:dyDescent="0.25"/>
    <row r="211248" customFormat="1" x14ac:dyDescent="0.25"/>
    <row r="211249" customFormat="1" x14ac:dyDescent="0.25"/>
    <row r="211250" customFormat="1" x14ac:dyDescent="0.25"/>
    <row r="211251" customFormat="1" x14ac:dyDescent="0.25"/>
    <row r="211252" customFormat="1" x14ac:dyDescent="0.25"/>
    <row r="211253" customFormat="1" x14ac:dyDescent="0.25"/>
    <row r="211254" customFormat="1" x14ac:dyDescent="0.25"/>
    <row r="211255" customFormat="1" x14ac:dyDescent="0.25"/>
    <row r="211256" customFormat="1" x14ac:dyDescent="0.25"/>
    <row r="211257" customFormat="1" x14ac:dyDescent="0.25"/>
    <row r="211258" customFormat="1" x14ac:dyDescent="0.25"/>
    <row r="211259" customFormat="1" x14ac:dyDescent="0.25"/>
    <row r="211260" customFormat="1" x14ac:dyDescent="0.25"/>
    <row r="211261" customFormat="1" x14ac:dyDescent="0.25"/>
    <row r="211262" customFormat="1" x14ac:dyDescent="0.25"/>
    <row r="211263" customFormat="1" x14ac:dyDescent="0.25"/>
    <row r="211264" customFormat="1" x14ac:dyDescent="0.25"/>
    <row r="211265" customFormat="1" x14ac:dyDescent="0.25"/>
    <row r="211266" customFormat="1" x14ac:dyDescent="0.25"/>
    <row r="211267" customFormat="1" x14ac:dyDescent="0.25"/>
    <row r="211268" customFormat="1" x14ac:dyDescent="0.25"/>
    <row r="211269" customFormat="1" x14ac:dyDescent="0.25"/>
    <row r="211270" customFormat="1" x14ac:dyDescent="0.25"/>
    <row r="211271" customFormat="1" x14ac:dyDescent="0.25"/>
    <row r="211272" customFormat="1" x14ac:dyDescent="0.25"/>
    <row r="211273" customFormat="1" x14ac:dyDescent="0.25"/>
    <row r="211274" customFormat="1" x14ac:dyDescent="0.25"/>
    <row r="211275" customFormat="1" x14ac:dyDescent="0.25"/>
    <row r="211276" customFormat="1" x14ac:dyDescent="0.25"/>
    <row r="211277" customFormat="1" x14ac:dyDescent="0.25"/>
    <row r="211278" customFormat="1" x14ac:dyDescent="0.25"/>
    <row r="211279" customFormat="1" x14ac:dyDescent="0.25"/>
    <row r="211280" customFormat="1" x14ac:dyDescent="0.25"/>
    <row r="211281" customFormat="1" x14ac:dyDescent="0.25"/>
    <row r="211282" customFormat="1" x14ac:dyDescent="0.25"/>
    <row r="211283" customFormat="1" x14ac:dyDescent="0.25"/>
    <row r="211284" customFormat="1" x14ac:dyDescent="0.25"/>
    <row r="211285" customFormat="1" x14ac:dyDescent="0.25"/>
    <row r="211286" customFormat="1" x14ac:dyDescent="0.25"/>
    <row r="211287" customFormat="1" x14ac:dyDescent="0.25"/>
    <row r="211288" customFormat="1" x14ac:dyDescent="0.25"/>
    <row r="211289" customFormat="1" x14ac:dyDescent="0.25"/>
    <row r="211290" customFormat="1" x14ac:dyDescent="0.25"/>
    <row r="211291" customFormat="1" x14ac:dyDescent="0.25"/>
    <row r="211292" customFormat="1" x14ac:dyDescent="0.25"/>
    <row r="211293" customFormat="1" x14ac:dyDescent="0.25"/>
    <row r="211294" customFormat="1" x14ac:dyDescent="0.25"/>
    <row r="211295" customFormat="1" x14ac:dyDescent="0.25"/>
    <row r="211296" customFormat="1" x14ac:dyDescent="0.25"/>
    <row r="211297" customFormat="1" x14ac:dyDescent="0.25"/>
    <row r="211298" customFormat="1" x14ac:dyDescent="0.25"/>
    <row r="211299" customFormat="1" x14ac:dyDescent="0.25"/>
    <row r="211300" customFormat="1" x14ac:dyDescent="0.25"/>
    <row r="211301" customFormat="1" x14ac:dyDescent="0.25"/>
    <row r="211302" customFormat="1" x14ac:dyDescent="0.25"/>
    <row r="211303" customFormat="1" x14ac:dyDescent="0.25"/>
    <row r="211304" customFormat="1" x14ac:dyDescent="0.25"/>
    <row r="211305" customFormat="1" x14ac:dyDescent="0.25"/>
    <row r="211306" customFormat="1" x14ac:dyDescent="0.25"/>
    <row r="211307" customFormat="1" x14ac:dyDescent="0.25"/>
    <row r="211308" customFormat="1" x14ac:dyDescent="0.25"/>
    <row r="211309" customFormat="1" x14ac:dyDescent="0.25"/>
    <row r="211310" customFormat="1" x14ac:dyDescent="0.25"/>
    <row r="211311" customFormat="1" x14ac:dyDescent="0.25"/>
    <row r="211312" customFormat="1" x14ac:dyDescent="0.25"/>
    <row r="211313" customFormat="1" x14ac:dyDescent="0.25"/>
    <row r="211314" customFormat="1" x14ac:dyDescent="0.25"/>
    <row r="211315" customFormat="1" x14ac:dyDescent="0.25"/>
    <row r="211316" customFormat="1" x14ac:dyDescent="0.25"/>
    <row r="211317" customFormat="1" x14ac:dyDescent="0.25"/>
    <row r="211318" customFormat="1" x14ac:dyDescent="0.25"/>
    <row r="211319" customFormat="1" x14ac:dyDescent="0.25"/>
    <row r="211320" customFormat="1" x14ac:dyDescent="0.25"/>
    <row r="211321" customFormat="1" x14ac:dyDescent="0.25"/>
    <row r="211322" customFormat="1" x14ac:dyDescent="0.25"/>
    <row r="211323" customFormat="1" x14ac:dyDescent="0.25"/>
    <row r="211324" customFormat="1" x14ac:dyDescent="0.25"/>
    <row r="211325" customFormat="1" x14ac:dyDescent="0.25"/>
    <row r="211326" customFormat="1" x14ac:dyDescent="0.25"/>
    <row r="211327" customFormat="1" x14ac:dyDescent="0.25"/>
    <row r="211328" customFormat="1" x14ac:dyDescent="0.25"/>
    <row r="211329" customFormat="1" x14ac:dyDescent="0.25"/>
    <row r="211330" customFormat="1" x14ac:dyDescent="0.25"/>
    <row r="211331" customFormat="1" x14ac:dyDescent="0.25"/>
    <row r="211332" customFormat="1" x14ac:dyDescent="0.25"/>
    <row r="211333" customFormat="1" x14ac:dyDescent="0.25"/>
    <row r="211334" customFormat="1" x14ac:dyDescent="0.25"/>
    <row r="211335" customFormat="1" x14ac:dyDescent="0.25"/>
    <row r="211336" customFormat="1" x14ac:dyDescent="0.25"/>
    <row r="211337" customFormat="1" x14ac:dyDescent="0.25"/>
    <row r="211338" customFormat="1" x14ac:dyDescent="0.25"/>
    <row r="211339" customFormat="1" x14ac:dyDescent="0.25"/>
    <row r="211340" customFormat="1" x14ac:dyDescent="0.25"/>
    <row r="211341" customFormat="1" x14ac:dyDescent="0.25"/>
    <row r="211342" customFormat="1" x14ac:dyDescent="0.25"/>
    <row r="211343" customFormat="1" x14ac:dyDescent="0.25"/>
    <row r="211344" customFormat="1" x14ac:dyDescent="0.25"/>
    <row r="211345" customFormat="1" x14ac:dyDescent="0.25"/>
    <row r="211346" customFormat="1" x14ac:dyDescent="0.25"/>
    <row r="211347" customFormat="1" x14ac:dyDescent="0.25"/>
    <row r="211348" customFormat="1" x14ac:dyDescent="0.25"/>
    <row r="211349" customFormat="1" x14ac:dyDescent="0.25"/>
    <row r="211350" customFormat="1" x14ac:dyDescent="0.25"/>
    <row r="211351" customFormat="1" x14ac:dyDescent="0.25"/>
    <row r="211352" customFormat="1" x14ac:dyDescent="0.25"/>
    <row r="211353" customFormat="1" x14ac:dyDescent="0.25"/>
    <row r="211354" customFormat="1" x14ac:dyDescent="0.25"/>
    <row r="211355" customFormat="1" x14ac:dyDescent="0.25"/>
    <row r="211356" customFormat="1" x14ac:dyDescent="0.25"/>
    <row r="211357" customFormat="1" x14ac:dyDescent="0.25"/>
    <row r="211358" customFormat="1" x14ac:dyDescent="0.25"/>
    <row r="211359" customFormat="1" x14ac:dyDescent="0.25"/>
    <row r="211360" customFormat="1" x14ac:dyDescent="0.25"/>
    <row r="211361" customFormat="1" x14ac:dyDescent="0.25"/>
    <row r="211362" customFormat="1" x14ac:dyDescent="0.25"/>
    <row r="211363" customFormat="1" x14ac:dyDescent="0.25"/>
    <row r="211364" customFormat="1" x14ac:dyDescent="0.25"/>
    <row r="211365" customFormat="1" x14ac:dyDescent="0.25"/>
    <row r="211366" customFormat="1" x14ac:dyDescent="0.25"/>
    <row r="211367" customFormat="1" x14ac:dyDescent="0.25"/>
    <row r="211368" customFormat="1" x14ac:dyDescent="0.25"/>
    <row r="211369" customFormat="1" x14ac:dyDescent="0.25"/>
    <row r="211370" customFormat="1" x14ac:dyDescent="0.25"/>
    <row r="211371" customFormat="1" x14ac:dyDescent="0.25"/>
    <row r="211372" customFormat="1" x14ac:dyDescent="0.25"/>
    <row r="211373" customFormat="1" x14ac:dyDescent="0.25"/>
    <row r="211374" customFormat="1" x14ac:dyDescent="0.25"/>
    <row r="211375" customFormat="1" x14ac:dyDescent="0.25"/>
    <row r="211376" customFormat="1" x14ac:dyDescent="0.25"/>
    <row r="211377" customFormat="1" x14ac:dyDescent="0.25"/>
    <row r="211378" customFormat="1" x14ac:dyDescent="0.25"/>
    <row r="211379" customFormat="1" x14ac:dyDescent="0.25"/>
    <row r="211380" customFormat="1" x14ac:dyDescent="0.25"/>
    <row r="211381" customFormat="1" x14ac:dyDescent="0.25"/>
    <row r="211382" customFormat="1" x14ac:dyDescent="0.25"/>
    <row r="211383" customFormat="1" x14ac:dyDescent="0.25"/>
    <row r="211384" customFormat="1" x14ac:dyDescent="0.25"/>
    <row r="211385" customFormat="1" x14ac:dyDescent="0.25"/>
    <row r="211386" customFormat="1" x14ac:dyDescent="0.25"/>
    <row r="211387" customFormat="1" x14ac:dyDescent="0.25"/>
    <row r="211388" customFormat="1" x14ac:dyDescent="0.25"/>
    <row r="211389" customFormat="1" x14ac:dyDescent="0.25"/>
    <row r="211390" customFormat="1" x14ac:dyDescent="0.25"/>
    <row r="211391" customFormat="1" x14ac:dyDescent="0.25"/>
    <row r="211392" customFormat="1" x14ac:dyDescent="0.25"/>
    <row r="211393" customFormat="1" x14ac:dyDescent="0.25"/>
    <row r="211394" customFormat="1" x14ac:dyDescent="0.25"/>
    <row r="211395" customFormat="1" x14ac:dyDescent="0.25"/>
    <row r="211396" customFormat="1" x14ac:dyDescent="0.25"/>
    <row r="211397" customFormat="1" x14ac:dyDescent="0.25"/>
    <row r="211398" customFormat="1" x14ac:dyDescent="0.25"/>
    <row r="211399" customFormat="1" x14ac:dyDescent="0.25"/>
    <row r="211400" customFormat="1" x14ac:dyDescent="0.25"/>
    <row r="211401" customFormat="1" x14ac:dyDescent="0.25"/>
    <row r="211402" customFormat="1" x14ac:dyDescent="0.25"/>
    <row r="211403" customFormat="1" x14ac:dyDescent="0.25"/>
    <row r="211404" customFormat="1" x14ac:dyDescent="0.25"/>
    <row r="211405" customFormat="1" x14ac:dyDescent="0.25"/>
    <row r="211406" customFormat="1" x14ac:dyDescent="0.25"/>
    <row r="211407" customFormat="1" x14ac:dyDescent="0.25"/>
    <row r="211408" customFormat="1" x14ac:dyDescent="0.25"/>
    <row r="211409" customFormat="1" x14ac:dyDescent="0.25"/>
    <row r="211410" customFormat="1" x14ac:dyDescent="0.25"/>
    <row r="211411" customFormat="1" x14ac:dyDescent="0.25"/>
    <row r="211412" customFormat="1" x14ac:dyDescent="0.25"/>
    <row r="211413" customFormat="1" x14ac:dyDescent="0.25"/>
    <row r="211414" customFormat="1" x14ac:dyDescent="0.25"/>
    <row r="211415" customFormat="1" x14ac:dyDescent="0.25"/>
    <row r="211416" customFormat="1" x14ac:dyDescent="0.25"/>
    <row r="211417" customFormat="1" x14ac:dyDescent="0.25"/>
    <row r="211418" customFormat="1" x14ac:dyDescent="0.25"/>
    <row r="211419" customFormat="1" x14ac:dyDescent="0.25"/>
    <row r="211420" customFormat="1" x14ac:dyDescent="0.25"/>
    <row r="211421" customFormat="1" x14ac:dyDescent="0.25"/>
    <row r="211422" customFormat="1" x14ac:dyDescent="0.25"/>
    <row r="211423" customFormat="1" x14ac:dyDescent="0.25"/>
    <row r="211424" customFormat="1" x14ac:dyDescent="0.25"/>
    <row r="211425" customFormat="1" x14ac:dyDescent="0.25"/>
    <row r="211426" customFormat="1" x14ac:dyDescent="0.25"/>
    <row r="211427" customFormat="1" x14ac:dyDescent="0.25"/>
    <row r="211428" customFormat="1" x14ac:dyDescent="0.25"/>
    <row r="211429" customFormat="1" x14ac:dyDescent="0.25"/>
    <row r="211430" customFormat="1" x14ac:dyDescent="0.25"/>
    <row r="211431" customFormat="1" x14ac:dyDescent="0.25"/>
    <row r="211432" customFormat="1" x14ac:dyDescent="0.25"/>
    <row r="211433" customFormat="1" x14ac:dyDescent="0.25"/>
    <row r="211434" customFormat="1" x14ac:dyDescent="0.25"/>
    <row r="211435" customFormat="1" x14ac:dyDescent="0.25"/>
    <row r="211436" customFormat="1" x14ac:dyDescent="0.25"/>
    <row r="211437" customFormat="1" x14ac:dyDescent="0.25"/>
    <row r="211438" customFormat="1" x14ac:dyDescent="0.25"/>
    <row r="211439" customFormat="1" x14ac:dyDescent="0.25"/>
    <row r="211440" customFormat="1" x14ac:dyDescent="0.25"/>
    <row r="211441" customFormat="1" x14ac:dyDescent="0.25"/>
    <row r="211442" customFormat="1" x14ac:dyDescent="0.25"/>
    <row r="211443" customFormat="1" x14ac:dyDescent="0.25"/>
    <row r="211444" customFormat="1" x14ac:dyDescent="0.25"/>
    <row r="211445" customFormat="1" x14ac:dyDescent="0.25"/>
    <row r="211446" customFormat="1" x14ac:dyDescent="0.25"/>
    <row r="211447" customFormat="1" x14ac:dyDescent="0.25"/>
    <row r="211448" customFormat="1" x14ac:dyDescent="0.25"/>
    <row r="211449" customFormat="1" x14ac:dyDescent="0.25"/>
    <row r="211450" customFormat="1" x14ac:dyDescent="0.25"/>
    <row r="211451" customFormat="1" x14ac:dyDescent="0.25"/>
    <row r="211452" customFormat="1" x14ac:dyDescent="0.25"/>
    <row r="211453" customFormat="1" x14ac:dyDescent="0.25"/>
    <row r="211454" customFormat="1" x14ac:dyDescent="0.25"/>
    <row r="211455" customFormat="1" x14ac:dyDescent="0.25"/>
    <row r="211456" customFormat="1" x14ac:dyDescent="0.25"/>
    <row r="211457" customFormat="1" x14ac:dyDescent="0.25"/>
    <row r="211458" customFormat="1" x14ac:dyDescent="0.25"/>
    <row r="211459" customFormat="1" x14ac:dyDescent="0.25"/>
    <row r="211460" customFormat="1" x14ac:dyDescent="0.25"/>
    <row r="211461" customFormat="1" x14ac:dyDescent="0.25"/>
    <row r="211462" customFormat="1" x14ac:dyDescent="0.25"/>
    <row r="211463" customFormat="1" x14ac:dyDescent="0.25"/>
    <row r="211464" customFormat="1" x14ac:dyDescent="0.25"/>
    <row r="211465" customFormat="1" x14ac:dyDescent="0.25"/>
    <row r="211466" customFormat="1" x14ac:dyDescent="0.25"/>
    <row r="211467" customFormat="1" x14ac:dyDescent="0.25"/>
    <row r="211468" customFormat="1" x14ac:dyDescent="0.25"/>
    <row r="211469" customFormat="1" x14ac:dyDescent="0.25"/>
    <row r="211470" customFormat="1" x14ac:dyDescent="0.25"/>
    <row r="211471" customFormat="1" x14ac:dyDescent="0.25"/>
    <row r="211472" customFormat="1" x14ac:dyDescent="0.25"/>
    <row r="211473" customFormat="1" x14ac:dyDescent="0.25"/>
    <row r="211474" customFormat="1" x14ac:dyDescent="0.25"/>
    <row r="211475" customFormat="1" x14ac:dyDescent="0.25"/>
    <row r="211476" customFormat="1" x14ac:dyDescent="0.25"/>
    <row r="211477" customFormat="1" x14ac:dyDescent="0.25"/>
    <row r="211478" customFormat="1" x14ac:dyDescent="0.25"/>
    <row r="211479" customFormat="1" x14ac:dyDescent="0.25"/>
    <row r="211480" customFormat="1" x14ac:dyDescent="0.25"/>
    <row r="211481" customFormat="1" x14ac:dyDescent="0.25"/>
    <row r="211482" customFormat="1" x14ac:dyDescent="0.25"/>
    <row r="211483" customFormat="1" x14ac:dyDescent="0.25"/>
    <row r="211484" customFormat="1" x14ac:dyDescent="0.25"/>
    <row r="211485" customFormat="1" x14ac:dyDescent="0.25"/>
    <row r="211486" customFormat="1" x14ac:dyDescent="0.25"/>
    <row r="211487" customFormat="1" x14ac:dyDescent="0.25"/>
    <row r="211488" customFormat="1" x14ac:dyDescent="0.25"/>
    <row r="211489" customFormat="1" x14ac:dyDescent="0.25"/>
    <row r="211490" customFormat="1" x14ac:dyDescent="0.25"/>
    <row r="211491" customFormat="1" x14ac:dyDescent="0.25"/>
    <row r="211492" customFormat="1" x14ac:dyDescent="0.25"/>
    <row r="211493" customFormat="1" x14ac:dyDescent="0.25"/>
    <row r="211494" customFormat="1" x14ac:dyDescent="0.25"/>
    <row r="211495" customFormat="1" x14ac:dyDescent="0.25"/>
    <row r="211496" customFormat="1" x14ac:dyDescent="0.25"/>
    <row r="211497" customFormat="1" x14ac:dyDescent="0.25"/>
    <row r="211498" customFormat="1" x14ac:dyDescent="0.25"/>
    <row r="211499" customFormat="1" x14ac:dyDescent="0.25"/>
    <row r="211500" customFormat="1" x14ac:dyDescent="0.25"/>
    <row r="211501" customFormat="1" x14ac:dyDescent="0.25"/>
    <row r="211502" customFormat="1" x14ac:dyDescent="0.25"/>
    <row r="211503" customFormat="1" x14ac:dyDescent="0.25"/>
    <row r="211504" customFormat="1" x14ac:dyDescent="0.25"/>
    <row r="211505" customFormat="1" x14ac:dyDescent="0.25"/>
    <row r="211506" customFormat="1" x14ac:dyDescent="0.25"/>
    <row r="211507" customFormat="1" x14ac:dyDescent="0.25"/>
    <row r="211508" customFormat="1" x14ac:dyDescent="0.25"/>
    <row r="211509" customFormat="1" x14ac:dyDescent="0.25"/>
    <row r="211510" customFormat="1" x14ac:dyDescent="0.25"/>
    <row r="211511" customFormat="1" x14ac:dyDescent="0.25"/>
    <row r="211512" customFormat="1" x14ac:dyDescent="0.25"/>
    <row r="211513" customFormat="1" x14ac:dyDescent="0.25"/>
    <row r="211514" customFormat="1" x14ac:dyDescent="0.25"/>
    <row r="211515" customFormat="1" x14ac:dyDescent="0.25"/>
    <row r="211516" customFormat="1" x14ac:dyDescent="0.25"/>
    <row r="211517" customFormat="1" x14ac:dyDescent="0.25"/>
    <row r="211518" customFormat="1" x14ac:dyDescent="0.25"/>
    <row r="211519" customFormat="1" x14ac:dyDescent="0.25"/>
    <row r="211520" customFormat="1" x14ac:dyDescent="0.25"/>
    <row r="211521" customFormat="1" x14ac:dyDescent="0.25"/>
    <row r="211522" customFormat="1" x14ac:dyDescent="0.25"/>
    <row r="211523" customFormat="1" x14ac:dyDescent="0.25"/>
    <row r="211524" customFormat="1" x14ac:dyDescent="0.25"/>
    <row r="211525" customFormat="1" x14ac:dyDescent="0.25"/>
    <row r="211526" customFormat="1" x14ac:dyDescent="0.25"/>
    <row r="211527" customFormat="1" x14ac:dyDescent="0.25"/>
    <row r="211528" customFormat="1" x14ac:dyDescent="0.25"/>
    <row r="211529" customFormat="1" x14ac:dyDescent="0.25"/>
    <row r="211530" customFormat="1" x14ac:dyDescent="0.25"/>
    <row r="211531" customFormat="1" x14ac:dyDescent="0.25"/>
    <row r="211532" customFormat="1" x14ac:dyDescent="0.25"/>
    <row r="211533" customFormat="1" x14ac:dyDescent="0.25"/>
    <row r="211534" customFormat="1" x14ac:dyDescent="0.25"/>
    <row r="211535" customFormat="1" x14ac:dyDescent="0.25"/>
    <row r="211536" customFormat="1" x14ac:dyDescent="0.25"/>
    <row r="211537" customFormat="1" x14ac:dyDescent="0.25"/>
    <row r="211538" customFormat="1" x14ac:dyDescent="0.25"/>
    <row r="211539" customFormat="1" x14ac:dyDescent="0.25"/>
    <row r="211540" customFormat="1" x14ac:dyDescent="0.25"/>
    <row r="211541" customFormat="1" x14ac:dyDescent="0.25"/>
    <row r="211542" customFormat="1" x14ac:dyDescent="0.25"/>
    <row r="211543" customFormat="1" x14ac:dyDescent="0.25"/>
    <row r="211544" customFormat="1" x14ac:dyDescent="0.25"/>
    <row r="211545" customFormat="1" x14ac:dyDescent="0.25"/>
    <row r="211546" customFormat="1" x14ac:dyDescent="0.25"/>
    <row r="211547" customFormat="1" x14ac:dyDescent="0.25"/>
    <row r="211548" customFormat="1" x14ac:dyDescent="0.25"/>
    <row r="211549" customFormat="1" x14ac:dyDescent="0.25"/>
    <row r="211550" customFormat="1" x14ac:dyDescent="0.25"/>
    <row r="211551" customFormat="1" x14ac:dyDescent="0.25"/>
    <row r="211552" customFormat="1" x14ac:dyDescent="0.25"/>
    <row r="211553" customFormat="1" x14ac:dyDescent="0.25"/>
    <row r="211554" customFormat="1" x14ac:dyDescent="0.25"/>
    <row r="211555" customFormat="1" x14ac:dyDescent="0.25"/>
    <row r="211556" customFormat="1" x14ac:dyDescent="0.25"/>
    <row r="211557" customFormat="1" x14ac:dyDescent="0.25"/>
    <row r="211558" customFormat="1" x14ac:dyDescent="0.25"/>
    <row r="211559" customFormat="1" x14ac:dyDescent="0.25"/>
    <row r="211560" customFormat="1" x14ac:dyDescent="0.25"/>
    <row r="211561" customFormat="1" x14ac:dyDescent="0.25"/>
    <row r="211562" customFormat="1" x14ac:dyDescent="0.25"/>
    <row r="211563" customFormat="1" x14ac:dyDescent="0.25"/>
    <row r="211564" customFormat="1" x14ac:dyDescent="0.25"/>
    <row r="211565" customFormat="1" x14ac:dyDescent="0.25"/>
    <row r="211566" customFormat="1" x14ac:dyDescent="0.25"/>
    <row r="211567" customFormat="1" x14ac:dyDescent="0.25"/>
    <row r="211568" customFormat="1" x14ac:dyDescent="0.25"/>
    <row r="211569" customFormat="1" x14ac:dyDescent="0.25"/>
    <row r="211570" customFormat="1" x14ac:dyDescent="0.25"/>
    <row r="211571" customFormat="1" x14ac:dyDescent="0.25"/>
    <row r="211572" customFormat="1" x14ac:dyDescent="0.25"/>
    <row r="211573" customFormat="1" x14ac:dyDescent="0.25"/>
    <row r="211574" customFormat="1" x14ac:dyDescent="0.25"/>
    <row r="211575" customFormat="1" x14ac:dyDescent="0.25"/>
    <row r="211576" customFormat="1" x14ac:dyDescent="0.25"/>
    <row r="211577" customFormat="1" x14ac:dyDescent="0.25"/>
    <row r="211578" customFormat="1" x14ac:dyDescent="0.25"/>
    <row r="211579" customFormat="1" x14ac:dyDescent="0.25"/>
    <row r="211580" customFormat="1" x14ac:dyDescent="0.25"/>
    <row r="211581" customFormat="1" x14ac:dyDescent="0.25"/>
    <row r="211582" customFormat="1" x14ac:dyDescent="0.25"/>
    <row r="211583" customFormat="1" x14ac:dyDescent="0.25"/>
    <row r="211584" customFormat="1" x14ac:dyDescent="0.25"/>
    <row r="211585" customFormat="1" x14ac:dyDescent="0.25"/>
    <row r="211586" customFormat="1" x14ac:dyDescent="0.25"/>
    <row r="211587" customFormat="1" x14ac:dyDescent="0.25"/>
    <row r="211588" customFormat="1" x14ac:dyDescent="0.25"/>
    <row r="211589" customFormat="1" x14ac:dyDescent="0.25"/>
    <row r="211590" customFormat="1" x14ac:dyDescent="0.25"/>
    <row r="211591" customFormat="1" x14ac:dyDescent="0.25"/>
    <row r="211592" customFormat="1" x14ac:dyDescent="0.25"/>
    <row r="211593" customFormat="1" x14ac:dyDescent="0.25"/>
    <row r="211594" customFormat="1" x14ac:dyDescent="0.25"/>
    <row r="211595" customFormat="1" x14ac:dyDescent="0.25"/>
    <row r="211596" customFormat="1" x14ac:dyDescent="0.25"/>
    <row r="211597" customFormat="1" x14ac:dyDescent="0.25"/>
    <row r="211598" customFormat="1" x14ac:dyDescent="0.25"/>
    <row r="211599" customFormat="1" x14ac:dyDescent="0.25"/>
    <row r="211600" customFormat="1" x14ac:dyDescent="0.25"/>
    <row r="211601" customFormat="1" x14ac:dyDescent="0.25"/>
    <row r="211602" customFormat="1" x14ac:dyDescent="0.25"/>
    <row r="211603" customFormat="1" x14ac:dyDescent="0.25"/>
    <row r="211604" customFormat="1" x14ac:dyDescent="0.25"/>
    <row r="211605" customFormat="1" x14ac:dyDescent="0.25"/>
    <row r="211606" customFormat="1" x14ac:dyDescent="0.25"/>
    <row r="211607" customFormat="1" x14ac:dyDescent="0.25"/>
    <row r="211608" customFormat="1" x14ac:dyDescent="0.25"/>
    <row r="211609" customFormat="1" x14ac:dyDescent="0.25"/>
    <row r="211610" customFormat="1" x14ac:dyDescent="0.25"/>
    <row r="211611" customFormat="1" x14ac:dyDescent="0.25"/>
    <row r="211612" customFormat="1" x14ac:dyDescent="0.25"/>
    <row r="211613" customFormat="1" x14ac:dyDescent="0.25"/>
    <row r="211614" customFormat="1" x14ac:dyDescent="0.25"/>
    <row r="211615" customFormat="1" x14ac:dyDescent="0.25"/>
    <row r="211616" customFormat="1" x14ac:dyDescent="0.25"/>
    <row r="211617" customFormat="1" x14ac:dyDescent="0.25"/>
    <row r="211618" customFormat="1" x14ac:dyDescent="0.25"/>
    <row r="211619" customFormat="1" x14ac:dyDescent="0.25"/>
    <row r="211620" customFormat="1" x14ac:dyDescent="0.25"/>
    <row r="211621" customFormat="1" x14ac:dyDescent="0.25"/>
    <row r="211622" customFormat="1" x14ac:dyDescent="0.25"/>
    <row r="211623" customFormat="1" x14ac:dyDescent="0.25"/>
    <row r="211624" customFormat="1" x14ac:dyDescent="0.25"/>
    <row r="211625" customFormat="1" x14ac:dyDescent="0.25"/>
    <row r="211626" customFormat="1" x14ac:dyDescent="0.25"/>
    <row r="211627" customFormat="1" x14ac:dyDescent="0.25"/>
    <row r="211628" customFormat="1" x14ac:dyDescent="0.25"/>
    <row r="211629" customFormat="1" x14ac:dyDescent="0.25"/>
    <row r="211630" customFormat="1" x14ac:dyDescent="0.25"/>
    <row r="211631" customFormat="1" x14ac:dyDescent="0.25"/>
    <row r="211632" customFormat="1" x14ac:dyDescent="0.25"/>
    <row r="211633" customFormat="1" x14ac:dyDescent="0.25"/>
    <row r="211634" customFormat="1" x14ac:dyDescent="0.25"/>
    <row r="211635" customFormat="1" x14ac:dyDescent="0.25"/>
    <row r="211636" customFormat="1" x14ac:dyDescent="0.25"/>
    <row r="211637" customFormat="1" x14ac:dyDescent="0.25"/>
    <row r="211638" customFormat="1" x14ac:dyDescent="0.25"/>
    <row r="211639" customFormat="1" x14ac:dyDescent="0.25"/>
    <row r="211640" customFormat="1" x14ac:dyDescent="0.25"/>
    <row r="211641" customFormat="1" x14ac:dyDescent="0.25"/>
    <row r="211642" customFormat="1" x14ac:dyDescent="0.25"/>
    <row r="211643" customFormat="1" x14ac:dyDescent="0.25"/>
    <row r="211644" customFormat="1" x14ac:dyDescent="0.25"/>
    <row r="211645" customFormat="1" x14ac:dyDescent="0.25"/>
    <row r="211646" customFormat="1" x14ac:dyDescent="0.25"/>
    <row r="211647" customFormat="1" x14ac:dyDescent="0.25"/>
    <row r="211648" customFormat="1" x14ac:dyDescent="0.25"/>
    <row r="211649" customFormat="1" x14ac:dyDescent="0.25"/>
    <row r="211650" customFormat="1" x14ac:dyDescent="0.25"/>
    <row r="211651" customFormat="1" x14ac:dyDescent="0.25"/>
    <row r="211652" customFormat="1" x14ac:dyDescent="0.25"/>
    <row r="211653" customFormat="1" x14ac:dyDescent="0.25"/>
    <row r="211654" customFormat="1" x14ac:dyDescent="0.25"/>
    <row r="211655" customFormat="1" x14ac:dyDescent="0.25"/>
    <row r="211656" customFormat="1" x14ac:dyDescent="0.25"/>
    <row r="211657" customFormat="1" x14ac:dyDescent="0.25"/>
    <row r="211658" customFormat="1" x14ac:dyDescent="0.25"/>
    <row r="211659" customFormat="1" x14ac:dyDescent="0.25"/>
    <row r="211660" customFormat="1" x14ac:dyDescent="0.25"/>
    <row r="211661" customFormat="1" x14ac:dyDescent="0.25"/>
    <row r="211662" customFormat="1" x14ac:dyDescent="0.25"/>
    <row r="211663" customFormat="1" x14ac:dyDescent="0.25"/>
    <row r="211664" customFormat="1" x14ac:dyDescent="0.25"/>
    <row r="211665" customFormat="1" x14ac:dyDescent="0.25"/>
    <row r="211666" customFormat="1" x14ac:dyDescent="0.25"/>
    <row r="211667" customFormat="1" x14ac:dyDescent="0.25"/>
    <row r="211668" customFormat="1" x14ac:dyDescent="0.25"/>
    <row r="211669" customFormat="1" x14ac:dyDescent="0.25"/>
    <row r="211670" customFormat="1" x14ac:dyDescent="0.25"/>
    <row r="211671" customFormat="1" x14ac:dyDescent="0.25"/>
    <row r="211672" customFormat="1" x14ac:dyDescent="0.25"/>
    <row r="211673" customFormat="1" x14ac:dyDescent="0.25"/>
    <row r="211674" customFormat="1" x14ac:dyDescent="0.25"/>
    <row r="211675" customFormat="1" x14ac:dyDescent="0.25"/>
    <row r="211676" customFormat="1" x14ac:dyDescent="0.25"/>
    <row r="211677" customFormat="1" x14ac:dyDescent="0.25"/>
    <row r="211678" customFormat="1" x14ac:dyDescent="0.25"/>
    <row r="211679" customFormat="1" x14ac:dyDescent="0.25"/>
    <row r="211680" customFormat="1" x14ac:dyDescent="0.25"/>
    <row r="211681" customFormat="1" x14ac:dyDescent="0.25"/>
    <row r="211682" customFormat="1" x14ac:dyDescent="0.25"/>
    <row r="211683" customFormat="1" x14ac:dyDescent="0.25"/>
    <row r="211684" customFormat="1" x14ac:dyDescent="0.25"/>
    <row r="211685" customFormat="1" x14ac:dyDescent="0.25"/>
    <row r="211686" customFormat="1" x14ac:dyDescent="0.25"/>
    <row r="211687" customFormat="1" x14ac:dyDescent="0.25"/>
    <row r="211688" customFormat="1" x14ac:dyDescent="0.25"/>
    <row r="211689" customFormat="1" x14ac:dyDescent="0.25"/>
    <row r="211690" customFormat="1" x14ac:dyDescent="0.25"/>
    <row r="211691" customFormat="1" x14ac:dyDescent="0.25"/>
    <row r="211692" customFormat="1" x14ac:dyDescent="0.25"/>
    <row r="211693" customFormat="1" x14ac:dyDescent="0.25"/>
    <row r="211694" customFormat="1" x14ac:dyDescent="0.25"/>
    <row r="211695" customFormat="1" x14ac:dyDescent="0.25"/>
    <row r="211696" customFormat="1" x14ac:dyDescent="0.25"/>
    <row r="211697" customFormat="1" x14ac:dyDescent="0.25"/>
    <row r="211698" customFormat="1" x14ac:dyDescent="0.25"/>
    <row r="211699" customFormat="1" x14ac:dyDescent="0.25"/>
    <row r="211700" customFormat="1" x14ac:dyDescent="0.25"/>
    <row r="211701" customFormat="1" x14ac:dyDescent="0.25"/>
    <row r="211702" customFormat="1" x14ac:dyDescent="0.25"/>
    <row r="211703" customFormat="1" x14ac:dyDescent="0.25"/>
    <row r="211704" customFormat="1" x14ac:dyDescent="0.25"/>
    <row r="211705" customFormat="1" x14ac:dyDescent="0.25"/>
    <row r="211706" customFormat="1" x14ac:dyDescent="0.25"/>
    <row r="211707" customFormat="1" x14ac:dyDescent="0.25"/>
    <row r="211708" customFormat="1" x14ac:dyDescent="0.25"/>
    <row r="211709" customFormat="1" x14ac:dyDescent="0.25"/>
    <row r="211710" customFormat="1" x14ac:dyDescent="0.25"/>
    <row r="211711" customFormat="1" x14ac:dyDescent="0.25"/>
    <row r="211712" customFormat="1" x14ac:dyDescent="0.25"/>
    <row r="211713" customFormat="1" x14ac:dyDescent="0.25"/>
    <row r="211714" customFormat="1" x14ac:dyDescent="0.25"/>
    <row r="211715" customFormat="1" x14ac:dyDescent="0.25"/>
    <row r="211716" customFormat="1" x14ac:dyDescent="0.25"/>
    <row r="211717" customFormat="1" x14ac:dyDescent="0.25"/>
    <row r="211718" customFormat="1" x14ac:dyDescent="0.25"/>
    <row r="211719" customFormat="1" x14ac:dyDescent="0.25"/>
    <row r="211720" customFormat="1" x14ac:dyDescent="0.25"/>
    <row r="211721" customFormat="1" x14ac:dyDescent="0.25"/>
    <row r="211722" customFormat="1" x14ac:dyDescent="0.25"/>
    <row r="211723" customFormat="1" x14ac:dyDescent="0.25"/>
    <row r="211724" customFormat="1" x14ac:dyDescent="0.25"/>
    <row r="211725" customFormat="1" x14ac:dyDescent="0.25"/>
    <row r="211726" customFormat="1" x14ac:dyDescent="0.25"/>
    <row r="211727" customFormat="1" x14ac:dyDescent="0.25"/>
    <row r="211728" customFormat="1" x14ac:dyDescent="0.25"/>
    <row r="211729" customFormat="1" x14ac:dyDescent="0.25"/>
    <row r="211730" customFormat="1" x14ac:dyDescent="0.25"/>
    <row r="211731" customFormat="1" x14ac:dyDescent="0.25"/>
    <row r="211732" customFormat="1" x14ac:dyDescent="0.25"/>
    <row r="211733" customFormat="1" x14ac:dyDescent="0.25"/>
    <row r="211734" customFormat="1" x14ac:dyDescent="0.25"/>
    <row r="211735" customFormat="1" x14ac:dyDescent="0.25"/>
    <row r="211736" customFormat="1" x14ac:dyDescent="0.25"/>
    <row r="211737" customFormat="1" x14ac:dyDescent="0.25"/>
    <row r="211738" customFormat="1" x14ac:dyDescent="0.25"/>
    <row r="211739" customFormat="1" x14ac:dyDescent="0.25"/>
    <row r="211740" customFormat="1" x14ac:dyDescent="0.25"/>
    <row r="211741" customFormat="1" x14ac:dyDescent="0.25"/>
    <row r="211742" customFormat="1" x14ac:dyDescent="0.25"/>
    <row r="211743" customFormat="1" x14ac:dyDescent="0.25"/>
    <row r="211744" customFormat="1" x14ac:dyDescent="0.25"/>
    <row r="211745" customFormat="1" x14ac:dyDescent="0.25"/>
    <row r="211746" customFormat="1" x14ac:dyDescent="0.25"/>
    <row r="211747" customFormat="1" x14ac:dyDescent="0.25"/>
    <row r="211748" customFormat="1" x14ac:dyDescent="0.25"/>
    <row r="211749" customFormat="1" x14ac:dyDescent="0.25"/>
    <row r="211750" customFormat="1" x14ac:dyDescent="0.25"/>
    <row r="211751" customFormat="1" x14ac:dyDescent="0.25"/>
    <row r="211752" customFormat="1" x14ac:dyDescent="0.25"/>
    <row r="211753" customFormat="1" x14ac:dyDescent="0.25"/>
    <row r="211754" customFormat="1" x14ac:dyDescent="0.25"/>
    <row r="211755" customFormat="1" x14ac:dyDescent="0.25"/>
    <row r="211756" customFormat="1" x14ac:dyDescent="0.25"/>
    <row r="211757" customFormat="1" x14ac:dyDescent="0.25"/>
    <row r="211758" customFormat="1" x14ac:dyDescent="0.25"/>
    <row r="211759" customFormat="1" x14ac:dyDescent="0.25"/>
    <row r="211760" customFormat="1" x14ac:dyDescent="0.25"/>
    <row r="211761" customFormat="1" x14ac:dyDescent="0.25"/>
    <row r="211762" customFormat="1" x14ac:dyDescent="0.25"/>
    <row r="211763" customFormat="1" x14ac:dyDescent="0.25"/>
    <row r="211764" customFormat="1" x14ac:dyDescent="0.25"/>
    <row r="211765" customFormat="1" x14ac:dyDescent="0.25"/>
    <row r="211766" customFormat="1" x14ac:dyDescent="0.25"/>
    <row r="211767" customFormat="1" x14ac:dyDescent="0.25"/>
    <row r="211768" customFormat="1" x14ac:dyDescent="0.25"/>
    <row r="211769" customFormat="1" x14ac:dyDescent="0.25"/>
    <row r="211770" customFormat="1" x14ac:dyDescent="0.25"/>
    <row r="211771" customFormat="1" x14ac:dyDescent="0.25"/>
    <row r="211772" customFormat="1" x14ac:dyDescent="0.25"/>
    <row r="211773" customFormat="1" x14ac:dyDescent="0.25"/>
    <row r="211774" customFormat="1" x14ac:dyDescent="0.25"/>
    <row r="211775" customFormat="1" x14ac:dyDescent="0.25"/>
    <row r="211776" customFormat="1" x14ac:dyDescent="0.25"/>
    <row r="211777" customFormat="1" x14ac:dyDescent="0.25"/>
    <row r="211778" customFormat="1" x14ac:dyDescent="0.25"/>
    <row r="211779" customFormat="1" x14ac:dyDescent="0.25"/>
    <row r="211780" customFormat="1" x14ac:dyDescent="0.25"/>
    <row r="211781" customFormat="1" x14ac:dyDescent="0.25"/>
    <row r="211782" customFormat="1" x14ac:dyDescent="0.25"/>
    <row r="211783" customFormat="1" x14ac:dyDescent="0.25"/>
    <row r="211784" customFormat="1" x14ac:dyDescent="0.25"/>
    <row r="211785" customFormat="1" x14ac:dyDescent="0.25"/>
    <row r="211786" customFormat="1" x14ac:dyDescent="0.25"/>
    <row r="211787" customFormat="1" x14ac:dyDescent="0.25"/>
    <row r="211788" customFormat="1" x14ac:dyDescent="0.25"/>
    <row r="211789" customFormat="1" x14ac:dyDescent="0.25"/>
    <row r="211790" customFormat="1" x14ac:dyDescent="0.25"/>
    <row r="211791" customFormat="1" x14ac:dyDescent="0.25"/>
    <row r="211792" customFormat="1" x14ac:dyDescent="0.25"/>
    <row r="211793" customFormat="1" x14ac:dyDescent="0.25"/>
    <row r="211794" customFormat="1" x14ac:dyDescent="0.25"/>
    <row r="211795" customFormat="1" x14ac:dyDescent="0.25"/>
    <row r="211796" customFormat="1" x14ac:dyDescent="0.25"/>
    <row r="211797" customFormat="1" x14ac:dyDescent="0.25"/>
    <row r="211798" customFormat="1" x14ac:dyDescent="0.25"/>
    <row r="211799" customFormat="1" x14ac:dyDescent="0.25"/>
    <row r="211800" customFormat="1" x14ac:dyDescent="0.25"/>
    <row r="211801" customFormat="1" x14ac:dyDescent="0.25"/>
    <row r="211802" customFormat="1" x14ac:dyDescent="0.25"/>
    <row r="211803" customFormat="1" x14ac:dyDescent="0.25"/>
    <row r="211804" customFormat="1" x14ac:dyDescent="0.25"/>
    <row r="211805" customFormat="1" x14ac:dyDescent="0.25"/>
    <row r="211806" customFormat="1" x14ac:dyDescent="0.25"/>
    <row r="211807" customFormat="1" x14ac:dyDescent="0.25"/>
    <row r="211808" customFormat="1" x14ac:dyDescent="0.25"/>
    <row r="211809" customFormat="1" x14ac:dyDescent="0.25"/>
    <row r="211810" customFormat="1" x14ac:dyDescent="0.25"/>
    <row r="211811" customFormat="1" x14ac:dyDescent="0.25"/>
    <row r="211812" customFormat="1" x14ac:dyDescent="0.25"/>
    <row r="211813" customFormat="1" x14ac:dyDescent="0.25"/>
    <row r="211814" customFormat="1" x14ac:dyDescent="0.25"/>
    <row r="211815" customFormat="1" x14ac:dyDescent="0.25"/>
    <row r="211816" customFormat="1" x14ac:dyDescent="0.25"/>
    <row r="211817" customFormat="1" x14ac:dyDescent="0.25"/>
    <row r="211818" customFormat="1" x14ac:dyDescent="0.25"/>
    <row r="211819" customFormat="1" x14ac:dyDescent="0.25"/>
    <row r="211820" customFormat="1" x14ac:dyDescent="0.25"/>
    <row r="211821" customFormat="1" x14ac:dyDescent="0.25"/>
    <row r="211822" customFormat="1" x14ac:dyDescent="0.25"/>
    <row r="211823" customFormat="1" x14ac:dyDescent="0.25"/>
    <row r="211824" customFormat="1" x14ac:dyDescent="0.25"/>
    <row r="211825" customFormat="1" x14ac:dyDescent="0.25"/>
    <row r="211826" customFormat="1" x14ac:dyDescent="0.25"/>
    <row r="211827" customFormat="1" x14ac:dyDescent="0.25"/>
    <row r="211828" customFormat="1" x14ac:dyDescent="0.25"/>
    <row r="211829" customFormat="1" x14ac:dyDescent="0.25"/>
    <row r="211830" customFormat="1" x14ac:dyDescent="0.25"/>
    <row r="211831" customFormat="1" x14ac:dyDescent="0.25"/>
    <row r="211832" customFormat="1" x14ac:dyDescent="0.25"/>
    <row r="211833" customFormat="1" x14ac:dyDescent="0.25"/>
    <row r="211834" customFormat="1" x14ac:dyDescent="0.25"/>
    <row r="211835" customFormat="1" x14ac:dyDescent="0.25"/>
    <row r="211836" customFormat="1" x14ac:dyDescent="0.25"/>
    <row r="211837" customFormat="1" x14ac:dyDescent="0.25"/>
    <row r="211838" customFormat="1" x14ac:dyDescent="0.25"/>
    <row r="211839" customFormat="1" x14ac:dyDescent="0.25"/>
    <row r="211840" customFormat="1" x14ac:dyDescent="0.25"/>
    <row r="211841" customFormat="1" x14ac:dyDescent="0.25"/>
    <row r="211842" customFormat="1" x14ac:dyDescent="0.25"/>
    <row r="211843" customFormat="1" x14ac:dyDescent="0.25"/>
    <row r="211844" customFormat="1" x14ac:dyDescent="0.25"/>
    <row r="211845" customFormat="1" x14ac:dyDescent="0.25"/>
    <row r="211846" customFormat="1" x14ac:dyDescent="0.25"/>
    <row r="211847" customFormat="1" x14ac:dyDescent="0.25"/>
    <row r="211848" customFormat="1" x14ac:dyDescent="0.25"/>
    <row r="211849" customFormat="1" x14ac:dyDescent="0.25"/>
    <row r="211850" customFormat="1" x14ac:dyDescent="0.25"/>
    <row r="211851" customFormat="1" x14ac:dyDescent="0.25"/>
    <row r="211852" customFormat="1" x14ac:dyDescent="0.25"/>
    <row r="211853" customFormat="1" x14ac:dyDescent="0.25"/>
    <row r="211854" customFormat="1" x14ac:dyDescent="0.25"/>
    <row r="211855" customFormat="1" x14ac:dyDescent="0.25"/>
    <row r="211856" customFormat="1" x14ac:dyDescent="0.25"/>
    <row r="211857" customFormat="1" x14ac:dyDescent="0.25"/>
    <row r="211858" customFormat="1" x14ac:dyDescent="0.25"/>
    <row r="211859" customFormat="1" x14ac:dyDescent="0.25"/>
    <row r="211860" customFormat="1" x14ac:dyDescent="0.25"/>
    <row r="211861" customFormat="1" x14ac:dyDescent="0.25"/>
    <row r="211862" customFormat="1" x14ac:dyDescent="0.25"/>
    <row r="211863" customFormat="1" x14ac:dyDescent="0.25"/>
    <row r="211864" customFormat="1" x14ac:dyDescent="0.25"/>
    <row r="211865" customFormat="1" x14ac:dyDescent="0.25"/>
    <row r="211866" customFormat="1" x14ac:dyDescent="0.25"/>
    <row r="211867" customFormat="1" x14ac:dyDescent="0.25"/>
    <row r="211868" customFormat="1" x14ac:dyDescent="0.25"/>
    <row r="211869" customFormat="1" x14ac:dyDescent="0.25"/>
    <row r="211870" customFormat="1" x14ac:dyDescent="0.25"/>
    <row r="211871" customFormat="1" x14ac:dyDescent="0.25"/>
    <row r="211872" customFormat="1" x14ac:dyDescent="0.25"/>
    <row r="211873" customFormat="1" x14ac:dyDescent="0.25"/>
    <row r="211874" customFormat="1" x14ac:dyDescent="0.25"/>
    <row r="211875" customFormat="1" x14ac:dyDescent="0.25"/>
    <row r="211876" customFormat="1" x14ac:dyDescent="0.25"/>
    <row r="211877" customFormat="1" x14ac:dyDescent="0.25"/>
    <row r="211878" customFormat="1" x14ac:dyDescent="0.25"/>
    <row r="211879" customFormat="1" x14ac:dyDescent="0.25"/>
    <row r="211880" customFormat="1" x14ac:dyDescent="0.25"/>
    <row r="211881" customFormat="1" x14ac:dyDescent="0.25"/>
    <row r="211882" customFormat="1" x14ac:dyDescent="0.25"/>
    <row r="211883" customFormat="1" x14ac:dyDescent="0.25"/>
    <row r="211884" customFormat="1" x14ac:dyDescent="0.25"/>
    <row r="211885" customFormat="1" x14ac:dyDescent="0.25"/>
    <row r="211886" customFormat="1" x14ac:dyDescent="0.25"/>
    <row r="211887" customFormat="1" x14ac:dyDescent="0.25"/>
    <row r="211888" customFormat="1" x14ac:dyDescent="0.25"/>
    <row r="211889" customFormat="1" x14ac:dyDescent="0.25"/>
    <row r="211890" customFormat="1" x14ac:dyDescent="0.25"/>
    <row r="211891" customFormat="1" x14ac:dyDescent="0.25"/>
    <row r="211892" customFormat="1" x14ac:dyDescent="0.25"/>
    <row r="211893" customFormat="1" x14ac:dyDescent="0.25"/>
    <row r="211894" customFormat="1" x14ac:dyDescent="0.25"/>
    <row r="211895" customFormat="1" x14ac:dyDescent="0.25"/>
    <row r="211896" customFormat="1" x14ac:dyDescent="0.25"/>
    <row r="211897" customFormat="1" x14ac:dyDescent="0.25"/>
    <row r="211898" customFormat="1" x14ac:dyDescent="0.25"/>
    <row r="211899" customFormat="1" x14ac:dyDescent="0.25"/>
    <row r="211900" customFormat="1" x14ac:dyDescent="0.25"/>
    <row r="211901" customFormat="1" x14ac:dyDescent="0.25"/>
    <row r="211902" customFormat="1" x14ac:dyDescent="0.25"/>
    <row r="211903" customFormat="1" x14ac:dyDescent="0.25"/>
    <row r="211904" customFormat="1" x14ac:dyDescent="0.25"/>
    <row r="211905" customFormat="1" x14ac:dyDescent="0.25"/>
    <row r="211906" customFormat="1" x14ac:dyDescent="0.25"/>
    <row r="211907" customFormat="1" x14ac:dyDescent="0.25"/>
    <row r="211908" customFormat="1" x14ac:dyDescent="0.25"/>
    <row r="211909" customFormat="1" x14ac:dyDescent="0.25"/>
    <row r="211910" customFormat="1" x14ac:dyDescent="0.25"/>
    <row r="211911" customFormat="1" x14ac:dyDescent="0.25"/>
    <row r="211912" customFormat="1" x14ac:dyDescent="0.25"/>
    <row r="211913" customFormat="1" x14ac:dyDescent="0.25"/>
    <row r="211914" customFormat="1" x14ac:dyDescent="0.25"/>
    <row r="211915" customFormat="1" x14ac:dyDescent="0.25"/>
    <row r="211916" customFormat="1" x14ac:dyDescent="0.25"/>
    <row r="211917" customFormat="1" x14ac:dyDescent="0.25"/>
    <row r="211918" customFormat="1" x14ac:dyDescent="0.25"/>
    <row r="211919" customFormat="1" x14ac:dyDescent="0.25"/>
    <row r="211920" customFormat="1" x14ac:dyDescent="0.25"/>
    <row r="211921" customFormat="1" x14ac:dyDescent="0.25"/>
    <row r="211922" customFormat="1" x14ac:dyDescent="0.25"/>
    <row r="211923" customFormat="1" x14ac:dyDescent="0.25"/>
    <row r="211924" customFormat="1" x14ac:dyDescent="0.25"/>
    <row r="211925" customFormat="1" x14ac:dyDescent="0.25"/>
    <row r="211926" customFormat="1" x14ac:dyDescent="0.25"/>
    <row r="211927" customFormat="1" x14ac:dyDescent="0.25"/>
    <row r="211928" customFormat="1" x14ac:dyDescent="0.25"/>
    <row r="211929" customFormat="1" x14ac:dyDescent="0.25"/>
    <row r="211930" customFormat="1" x14ac:dyDescent="0.25"/>
    <row r="211931" customFormat="1" x14ac:dyDescent="0.25"/>
    <row r="211932" customFormat="1" x14ac:dyDescent="0.25"/>
    <row r="211933" customFormat="1" x14ac:dyDescent="0.25"/>
    <row r="211934" customFormat="1" x14ac:dyDescent="0.25"/>
    <row r="211935" customFormat="1" x14ac:dyDescent="0.25"/>
    <row r="211936" customFormat="1" x14ac:dyDescent="0.25"/>
    <row r="211937" customFormat="1" x14ac:dyDescent="0.25"/>
    <row r="211938" customFormat="1" x14ac:dyDescent="0.25"/>
    <row r="211939" customFormat="1" x14ac:dyDescent="0.25"/>
    <row r="211940" customFormat="1" x14ac:dyDescent="0.25"/>
    <row r="211941" customFormat="1" x14ac:dyDescent="0.25"/>
    <row r="211942" customFormat="1" x14ac:dyDescent="0.25"/>
    <row r="211943" customFormat="1" x14ac:dyDescent="0.25"/>
    <row r="211944" customFormat="1" x14ac:dyDescent="0.25"/>
    <row r="211945" customFormat="1" x14ac:dyDescent="0.25"/>
    <row r="211946" customFormat="1" x14ac:dyDescent="0.25"/>
    <row r="211947" customFormat="1" x14ac:dyDescent="0.25"/>
    <row r="211948" customFormat="1" x14ac:dyDescent="0.25"/>
    <row r="211949" customFormat="1" x14ac:dyDescent="0.25"/>
    <row r="211950" customFormat="1" x14ac:dyDescent="0.25"/>
    <row r="211951" customFormat="1" x14ac:dyDescent="0.25"/>
    <row r="211952" customFormat="1" x14ac:dyDescent="0.25"/>
    <row r="211953" customFormat="1" x14ac:dyDescent="0.25"/>
    <row r="211954" customFormat="1" x14ac:dyDescent="0.25"/>
    <row r="211955" customFormat="1" x14ac:dyDescent="0.25"/>
    <row r="211956" customFormat="1" x14ac:dyDescent="0.25"/>
    <row r="211957" customFormat="1" x14ac:dyDescent="0.25"/>
    <row r="211958" customFormat="1" x14ac:dyDescent="0.25"/>
    <row r="211959" customFormat="1" x14ac:dyDescent="0.25"/>
    <row r="211960" customFormat="1" x14ac:dyDescent="0.25"/>
    <row r="211961" customFormat="1" x14ac:dyDescent="0.25"/>
    <row r="211962" customFormat="1" x14ac:dyDescent="0.25"/>
    <row r="211963" customFormat="1" x14ac:dyDescent="0.25"/>
    <row r="211964" customFormat="1" x14ac:dyDescent="0.25"/>
    <row r="211965" customFormat="1" x14ac:dyDescent="0.25"/>
    <row r="211966" customFormat="1" x14ac:dyDescent="0.25"/>
    <row r="211967" customFormat="1" x14ac:dyDescent="0.25"/>
    <row r="211968" customFormat="1" x14ac:dyDescent="0.25"/>
    <row r="211969" customFormat="1" x14ac:dyDescent="0.25"/>
    <row r="211970" customFormat="1" x14ac:dyDescent="0.25"/>
    <row r="211971" customFormat="1" x14ac:dyDescent="0.25"/>
    <row r="211972" customFormat="1" x14ac:dyDescent="0.25"/>
    <row r="211973" customFormat="1" x14ac:dyDescent="0.25"/>
    <row r="211974" customFormat="1" x14ac:dyDescent="0.25"/>
    <row r="211975" customFormat="1" x14ac:dyDescent="0.25"/>
    <row r="211976" customFormat="1" x14ac:dyDescent="0.25"/>
    <row r="211977" customFormat="1" x14ac:dyDescent="0.25"/>
    <row r="211978" customFormat="1" x14ac:dyDescent="0.25"/>
    <row r="211979" customFormat="1" x14ac:dyDescent="0.25"/>
    <row r="211980" customFormat="1" x14ac:dyDescent="0.25"/>
    <row r="211981" customFormat="1" x14ac:dyDescent="0.25"/>
    <row r="211982" customFormat="1" x14ac:dyDescent="0.25"/>
    <row r="211983" customFormat="1" x14ac:dyDescent="0.25"/>
    <row r="211984" customFormat="1" x14ac:dyDescent="0.25"/>
    <row r="211985" customFormat="1" x14ac:dyDescent="0.25"/>
    <row r="211986" customFormat="1" x14ac:dyDescent="0.25"/>
    <row r="211987" customFormat="1" x14ac:dyDescent="0.25"/>
    <row r="211988" customFormat="1" x14ac:dyDescent="0.25"/>
    <row r="211989" customFormat="1" x14ac:dyDescent="0.25"/>
    <row r="211990" customFormat="1" x14ac:dyDescent="0.25"/>
    <row r="211991" customFormat="1" x14ac:dyDescent="0.25"/>
    <row r="211992" customFormat="1" x14ac:dyDescent="0.25"/>
    <row r="211993" customFormat="1" x14ac:dyDescent="0.25"/>
    <row r="211994" customFormat="1" x14ac:dyDescent="0.25"/>
    <row r="211995" customFormat="1" x14ac:dyDescent="0.25"/>
    <row r="211996" customFormat="1" x14ac:dyDescent="0.25"/>
    <row r="211997" customFormat="1" x14ac:dyDescent="0.25"/>
    <row r="211998" customFormat="1" x14ac:dyDescent="0.25"/>
    <row r="211999" customFormat="1" x14ac:dyDescent="0.25"/>
    <row r="212000" customFormat="1" x14ac:dyDescent="0.25"/>
    <row r="212001" customFormat="1" x14ac:dyDescent="0.25"/>
    <row r="212002" customFormat="1" x14ac:dyDescent="0.25"/>
    <row r="212003" customFormat="1" x14ac:dyDescent="0.25"/>
    <row r="212004" customFormat="1" x14ac:dyDescent="0.25"/>
    <row r="212005" customFormat="1" x14ac:dyDescent="0.25"/>
    <row r="212006" customFormat="1" x14ac:dyDescent="0.25"/>
    <row r="212007" customFormat="1" x14ac:dyDescent="0.25"/>
    <row r="212008" customFormat="1" x14ac:dyDescent="0.25"/>
    <row r="212009" customFormat="1" x14ac:dyDescent="0.25"/>
    <row r="212010" customFormat="1" x14ac:dyDescent="0.25"/>
    <row r="212011" customFormat="1" x14ac:dyDescent="0.25"/>
    <row r="212012" customFormat="1" x14ac:dyDescent="0.25"/>
    <row r="212013" customFormat="1" x14ac:dyDescent="0.25"/>
    <row r="212014" customFormat="1" x14ac:dyDescent="0.25"/>
    <row r="212015" customFormat="1" x14ac:dyDescent="0.25"/>
    <row r="212016" customFormat="1" x14ac:dyDescent="0.25"/>
    <row r="212017" customFormat="1" x14ac:dyDescent="0.25"/>
    <row r="212018" customFormat="1" x14ac:dyDescent="0.25"/>
    <row r="212019" customFormat="1" x14ac:dyDescent="0.25"/>
    <row r="212020" customFormat="1" x14ac:dyDescent="0.25"/>
    <row r="212021" customFormat="1" x14ac:dyDescent="0.25"/>
    <row r="212022" customFormat="1" x14ac:dyDescent="0.25"/>
    <row r="212023" customFormat="1" x14ac:dyDescent="0.25"/>
    <row r="212024" customFormat="1" x14ac:dyDescent="0.25"/>
    <row r="212025" customFormat="1" x14ac:dyDescent="0.25"/>
    <row r="212026" customFormat="1" x14ac:dyDescent="0.25"/>
    <row r="212027" customFormat="1" x14ac:dyDescent="0.25"/>
    <row r="212028" customFormat="1" x14ac:dyDescent="0.25"/>
    <row r="212029" customFormat="1" x14ac:dyDescent="0.25"/>
    <row r="212030" customFormat="1" x14ac:dyDescent="0.25"/>
    <row r="212031" customFormat="1" x14ac:dyDescent="0.25"/>
    <row r="212032" customFormat="1" x14ac:dyDescent="0.25"/>
    <row r="212033" customFormat="1" x14ac:dyDescent="0.25"/>
    <row r="212034" customFormat="1" x14ac:dyDescent="0.25"/>
    <row r="212035" customFormat="1" x14ac:dyDescent="0.25"/>
    <row r="212036" customFormat="1" x14ac:dyDescent="0.25"/>
    <row r="212037" customFormat="1" x14ac:dyDescent="0.25"/>
    <row r="212038" customFormat="1" x14ac:dyDescent="0.25"/>
    <row r="212039" customFormat="1" x14ac:dyDescent="0.25"/>
    <row r="212040" customFormat="1" x14ac:dyDescent="0.25"/>
    <row r="212041" customFormat="1" x14ac:dyDescent="0.25"/>
    <row r="212042" customFormat="1" x14ac:dyDescent="0.25"/>
    <row r="212043" customFormat="1" x14ac:dyDescent="0.25"/>
    <row r="212044" customFormat="1" x14ac:dyDescent="0.25"/>
    <row r="212045" customFormat="1" x14ac:dyDescent="0.25"/>
    <row r="212046" customFormat="1" x14ac:dyDescent="0.25"/>
    <row r="212047" customFormat="1" x14ac:dyDescent="0.25"/>
    <row r="212048" customFormat="1" x14ac:dyDescent="0.25"/>
    <row r="212049" customFormat="1" x14ac:dyDescent="0.25"/>
    <row r="212050" customFormat="1" x14ac:dyDescent="0.25"/>
    <row r="212051" customFormat="1" x14ac:dyDescent="0.25"/>
    <row r="212052" customFormat="1" x14ac:dyDescent="0.25"/>
    <row r="212053" customFormat="1" x14ac:dyDescent="0.25"/>
    <row r="212054" customFormat="1" x14ac:dyDescent="0.25"/>
    <row r="212055" customFormat="1" x14ac:dyDescent="0.25"/>
    <row r="212056" customFormat="1" x14ac:dyDescent="0.25"/>
    <row r="212057" customFormat="1" x14ac:dyDescent="0.25"/>
    <row r="212058" customFormat="1" x14ac:dyDescent="0.25"/>
    <row r="212059" customFormat="1" x14ac:dyDescent="0.25"/>
    <row r="212060" customFormat="1" x14ac:dyDescent="0.25"/>
    <row r="212061" customFormat="1" x14ac:dyDescent="0.25"/>
    <row r="212062" customFormat="1" x14ac:dyDescent="0.25"/>
    <row r="212063" customFormat="1" x14ac:dyDescent="0.25"/>
    <row r="212064" customFormat="1" x14ac:dyDescent="0.25"/>
    <row r="212065" customFormat="1" x14ac:dyDescent="0.25"/>
    <row r="212066" customFormat="1" x14ac:dyDescent="0.25"/>
    <row r="212067" customFormat="1" x14ac:dyDescent="0.25"/>
    <row r="212068" customFormat="1" x14ac:dyDescent="0.25"/>
    <row r="212069" customFormat="1" x14ac:dyDescent="0.25"/>
    <row r="212070" customFormat="1" x14ac:dyDescent="0.25"/>
    <row r="212071" customFormat="1" x14ac:dyDescent="0.25"/>
    <row r="212072" customFormat="1" x14ac:dyDescent="0.25"/>
    <row r="212073" customFormat="1" x14ac:dyDescent="0.25"/>
    <row r="212074" customFormat="1" x14ac:dyDescent="0.25"/>
    <row r="212075" customFormat="1" x14ac:dyDescent="0.25"/>
    <row r="212076" customFormat="1" x14ac:dyDescent="0.25"/>
    <row r="212077" customFormat="1" x14ac:dyDescent="0.25"/>
    <row r="212078" customFormat="1" x14ac:dyDescent="0.25"/>
    <row r="212079" customFormat="1" x14ac:dyDescent="0.25"/>
    <row r="212080" customFormat="1" x14ac:dyDescent="0.25"/>
    <row r="212081" customFormat="1" x14ac:dyDescent="0.25"/>
    <row r="212082" customFormat="1" x14ac:dyDescent="0.25"/>
    <row r="212083" customFormat="1" x14ac:dyDescent="0.25"/>
    <row r="212084" customFormat="1" x14ac:dyDescent="0.25"/>
    <row r="212085" customFormat="1" x14ac:dyDescent="0.25"/>
    <row r="212086" customFormat="1" x14ac:dyDescent="0.25"/>
    <row r="212087" customFormat="1" x14ac:dyDescent="0.25"/>
    <row r="212088" customFormat="1" x14ac:dyDescent="0.25"/>
    <row r="212089" customFormat="1" x14ac:dyDescent="0.25"/>
    <row r="212090" customFormat="1" x14ac:dyDescent="0.25"/>
    <row r="212091" customFormat="1" x14ac:dyDescent="0.25"/>
    <row r="212092" customFormat="1" x14ac:dyDescent="0.25"/>
    <row r="212093" customFormat="1" x14ac:dyDescent="0.25"/>
    <row r="212094" customFormat="1" x14ac:dyDescent="0.25"/>
    <row r="212095" customFormat="1" x14ac:dyDescent="0.25"/>
    <row r="212096" customFormat="1" x14ac:dyDescent="0.25"/>
    <row r="212097" customFormat="1" x14ac:dyDescent="0.25"/>
    <row r="212098" customFormat="1" x14ac:dyDescent="0.25"/>
    <row r="212099" customFormat="1" x14ac:dyDescent="0.25"/>
    <row r="212100" customFormat="1" x14ac:dyDescent="0.25"/>
    <row r="212101" customFormat="1" x14ac:dyDescent="0.25"/>
    <row r="212102" customFormat="1" x14ac:dyDescent="0.25"/>
    <row r="212103" customFormat="1" x14ac:dyDescent="0.25"/>
    <row r="212104" customFormat="1" x14ac:dyDescent="0.25"/>
    <row r="212105" customFormat="1" x14ac:dyDescent="0.25"/>
    <row r="212106" customFormat="1" x14ac:dyDescent="0.25"/>
    <row r="212107" customFormat="1" x14ac:dyDescent="0.25"/>
    <row r="212108" customFormat="1" x14ac:dyDescent="0.25"/>
    <row r="212109" customFormat="1" x14ac:dyDescent="0.25"/>
    <row r="212110" customFormat="1" x14ac:dyDescent="0.25"/>
    <row r="212111" customFormat="1" x14ac:dyDescent="0.25"/>
    <row r="212112" customFormat="1" x14ac:dyDescent="0.25"/>
    <row r="212113" customFormat="1" x14ac:dyDescent="0.25"/>
    <row r="212114" customFormat="1" x14ac:dyDescent="0.25"/>
    <row r="212115" customFormat="1" x14ac:dyDescent="0.25"/>
    <row r="212116" customFormat="1" x14ac:dyDescent="0.25"/>
    <row r="212117" customFormat="1" x14ac:dyDescent="0.25"/>
    <row r="212118" customFormat="1" x14ac:dyDescent="0.25"/>
    <row r="212119" customFormat="1" x14ac:dyDescent="0.25"/>
    <row r="212120" customFormat="1" x14ac:dyDescent="0.25"/>
    <row r="212121" customFormat="1" x14ac:dyDescent="0.25"/>
    <row r="212122" customFormat="1" x14ac:dyDescent="0.25"/>
    <row r="212123" customFormat="1" x14ac:dyDescent="0.25"/>
    <row r="212124" customFormat="1" x14ac:dyDescent="0.25"/>
    <row r="212125" customFormat="1" x14ac:dyDescent="0.25"/>
    <row r="212126" customFormat="1" x14ac:dyDescent="0.25"/>
    <row r="212127" customFormat="1" x14ac:dyDescent="0.25"/>
    <row r="212128" customFormat="1" x14ac:dyDescent="0.25"/>
    <row r="212129" customFormat="1" x14ac:dyDescent="0.25"/>
    <row r="212130" customFormat="1" x14ac:dyDescent="0.25"/>
    <row r="212131" customFormat="1" x14ac:dyDescent="0.25"/>
    <row r="212132" customFormat="1" x14ac:dyDescent="0.25"/>
    <row r="212133" customFormat="1" x14ac:dyDescent="0.25"/>
    <row r="212134" customFormat="1" x14ac:dyDescent="0.25"/>
    <row r="212135" customFormat="1" x14ac:dyDescent="0.25"/>
    <row r="212136" customFormat="1" x14ac:dyDescent="0.25"/>
    <row r="212137" customFormat="1" x14ac:dyDescent="0.25"/>
    <row r="212138" customFormat="1" x14ac:dyDescent="0.25"/>
    <row r="212139" customFormat="1" x14ac:dyDescent="0.25"/>
    <row r="212140" customFormat="1" x14ac:dyDescent="0.25"/>
    <row r="212141" customFormat="1" x14ac:dyDescent="0.25"/>
    <row r="212142" customFormat="1" x14ac:dyDescent="0.25"/>
    <row r="212143" customFormat="1" x14ac:dyDescent="0.25"/>
    <row r="212144" customFormat="1" x14ac:dyDescent="0.25"/>
    <row r="212145" customFormat="1" x14ac:dyDescent="0.25"/>
    <row r="212146" customFormat="1" x14ac:dyDescent="0.25"/>
    <row r="212147" customFormat="1" x14ac:dyDescent="0.25"/>
    <row r="212148" customFormat="1" x14ac:dyDescent="0.25"/>
    <row r="212149" customFormat="1" x14ac:dyDescent="0.25"/>
    <row r="212150" customFormat="1" x14ac:dyDescent="0.25"/>
    <row r="212151" customFormat="1" x14ac:dyDescent="0.25"/>
    <row r="212152" customFormat="1" x14ac:dyDescent="0.25"/>
    <row r="212153" customFormat="1" x14ac:dyDescent="0.25"/>
    <row r="212154" customFormat="1" x14ac:dyDescent="0.25"/>
    <row r="212155" customFormat="1" x14ac:dyDescent="0.25"/>
    <row r="212156" customFormat="1" x14ac:dyDescent="0.25"/>
    <row r="212157" customFormat="1" x14ac:dyDescent="0.25"/>
    <row r="212158" customFormat="1" x14ac:dyDescent="0.25"/>
    <row r="212159" customFormat="1" x14ac:dyDescent="0.25"/>
    <row r="212160" customFormat="1" x14ac:dyDescent="0.25"/>
    <row r="212161" customFormat="1" x14ac:dyDescent="0.25"/>
    <row r="212162" customFormat="1" x14ac:dyDescent="0.25"/>
    <row r="212163" customFormat="1" x14ac:dyDescent="0.25"/>
    <row r="212164" customFormat="1" x14ac:dyDescent="0.25"/>
    <row r="212165" customFormat="1" x14ac:dyDescent="0.25"/>
    <row r="212166" customFormat="1" x14ac:dyDescent="0.25"/>
    <row r="212167" customFormat="1" x14ac:dyDescent="0.25"/>
    <row r="212168" customFormat="1" x14ac:dyDescent="0.25"/>
    <row r="212169" customFormat="1" x14ac:dyDescent="0.25"/>
    <row r="212170" customFormat="1" x14ac:dyDescent="0.25"/>
    <row r="212171" customFormat="1" x14ac:dyDescent="0.25"/>
    <row r="212172" customFormat="1" x14ac:dyDescent="0.25"/>
    <row r="212173" customFormat="1" x14ac:dyDescent="0.25"/>
    <row r="212174" customFormat="1" x14ac:dyDescent="0.25"/>
    <row r="212175" customFormat="1" x14ac:dyDescent="0.25"/>
    <row r="212176" customFormat="1" x14ac:dyDescent="0.25"/>
    <row r="212177" customFormat="1" x14ac:dyDescent="0.25"/>
    <row r="212178" customFormat="1" x14ac:dyDescent="0.25"/>
    <row r="212179" customFormat="1" x14ac:dyDescent="0.25"/>
    <row r="212180" customFormat="1" x14ac:dyDescent="0.25"/>
    <row r="212181" customFormat="1" x14ac:dyDescent="0.25"/>
    <row r="212182" customFormat="1" x14ac:dyDescent="0.25"/>
    <row r="212183" customFormat="1" x14ac:dyDescent="0.25"/>
    <row r="212184" customFormat="1" x14ac:dyDescent="0.25"/>
    <row r="212185" customFormat="1" x14ac:dyDescent="0.25"/>
    <row r="212186" customFormat="1" x14ac:dyDescent="0.25"/>
    <row r="212187" customFormat="1" x14ac:dyDescent="0.25"/>
    <row r="212188" customFormat="1" x14ac:dyDescent="0.25"/>
    <row r="212189" customFormat="1" x14ac:dyDescent="0.25"/>
    <row r="212190" customFormat="1" x14ac:dyDescent="0.25"/>
    <row r="212191" customFormat="1" x14ac:dyDescent="0.25"/>
    <row r="212192" customFormat="1" x14ac:dyDescent="0.25"/>
    <row r="212193" customFormat="1" x14ac:dyDescent="0.25"/>
    <row r="212194" customFormat="1" x14ac:dyDescent="0.25"/>
    <row r="212195" customFormat="1" x14ac:dyDescent="0.25"/>
    <row r="212196" customFormat="1" x14ac:dyDescent="0.25"/>
    <row r="212197" customFormat="1" x14ac:dyDescent="0.25"/>
    <row r="212198" customFormat="1" x14ac:dyDescent="0.25"/>
    <row r="212199" customFormat="1" x14ac:dyDescent="0.25"/>
    <row r="212200" customFormat="1" x14ac:dyDescent="0.25"/>
    <row r="212201" customFormat="1" x14ac:dyDescent="0.25"/>
    <row r="212202" customFormat="1" x14ac:dyDescent="0.25"/>
    <row r="212203" customFormat="1" x14ac:dyDescent="0.25"/>
    <row r="212204" customFormat="1" x14ac:dyDescent="0.25"/>
    <row r="212205" customFormat="1" x14ac:dyDescent="0.25"/>
    <row r="212206" customFormat="1" x14ac:dyDescent="0.25"/>
    <row r="212207" customFormat="1" x14ac:dyDescent="0.25"/>
    <row r="212208" customFormat="1" x14ac:dyDescent="0.25"/>
    <row r="212209" customFormat="1" x14ac:dyDescent="0.25"/>
    <row r="212210" customFormat="1" x14ac:dyDescent="0.25"/>
    <row r="212211" customFormat="1" x14ac:dyDescent="0.25"/>
    <row r="212212" customFormat="1" x14ac:dyDescent="0.25"/>
    <row r="212213" customFormat="1" x14ac:dyDescent="0.25"/>
    <row r="212214" customFormat="1" x14ac:dyDescent="0.25"/>
    <row r="212215" customFormat="1" x14ac:dyDescent="0.25"/>
    <row r="212216" customFormat="1" x14ac:dyDescent="0.25"/>
    <row r="212217" customFormat="1" x14ac:dyDescent="0.25"/>
    <row r="212218" customFormat="1" x14ac:dyDescent="0.25"/>
    <row r="212219" customFormat="1" x14ac:dyDescent="0.25"/>
    <row r="212220" customFormat="1" x14ac:dyDescent="0.25"/>
    <row r="212221" customFormat="1" x14ac:dyDescent="0.25"/>
    <row r="212222" customFormat="1" x14ac:dyDescent="0.25"/>
    <row r="212223" customFormat="1" x14ac:dyDescent="0.25"/>
    <row r="212224" customFormat="1" x14ac:dyDescent="0.25"/>
    <row r="212225" customFormat="1" x14ac:dyDescent="0.25"/>
    <row r="212226" customFormat="1" x14ac:dyDescent="0.25"/>
    <row r="212227" customFormat="1" x14ac:dyDescent="0.25"/>
    <row r="212228" customFormat="1" x14ac:dyDescent="0.25"/>
    <row r="212229" customFormat="1" x14ac:dyDescent="0.25"/>
    <row r="212230" customFormat="1" x14ac:dyDescent="0.25"/>
    <row r="212231" customFormat="1" x14ac:dyDescent="0.25"/>
    <row r="212232" customFormat="1" x14ac:dyDescent="0.25"/>
    <row r="212233" customFormat="1" x14ac:dyDescent="0.25"/>
    <row r="212234" customFormat="1" x14ac:dyDescent="0.25"/>
    <row r="212235" customFormat="1" x14ac:dyDescent="0.25"/>
    <row r="212236" customFormat="1" x14ac:dyDescent="0.25"/>
    <row r="212237" customFormat="1" x14ac:dyDescent="0.25"/>
    <row r="212238" customFormat="1" x14ac:dyDescent="0.25"/>
    <row r="212239" customFormat="1" x14ac:dyDescent="0.25"/>
    <row r="212240" customFormat="1" x14ac:dyDescent="0.25"/>
    <row r="212241" customFormat="1" x14ac:dyDescent="0.25"/>
    <row r="212242" customFormat="1" x14ac:dyDescent="0.25"/>
    <row r="212243" customFormat="1" x14ac:dyDescent="0.25"/>
    <row r="212244" customFormat="1" x14ac:dyDescent="0.25"/>
    <row r="212245" customFormat="1" x14ac:dyDescent="0.25"/>
    <row r="212246" customFormat="1" x14ac:dyDescent="0.25"/>
    <row r="212247" customFormat="1" x14ac:dyDescent="0.25"/>
    <row r="212248" customFormat="1" x14ac:dyDescent="0.25"/>
    <row r="212249" customFormat="1" x14ac:dyDescent="0.25"/>
    <row r="212250" customFormat="1" x14ac:dyDescent="0.25"/>
    <row r="212251" customFormat="1" x14ac:dyDescent="0.25"/>
    <row r="212252" customFormat="1" x14ac:dyDescent="0.25"/>
    <row r="212253" customFormat="1" x14ac:dyDescent="0.25"/>
    <row r="212254" customFormat="1" x14ac:dyDescent="0.25"/>
    <row r="212255" customFormat="1" x14ac:dyDescent="0.25"/>
    <row r="212256" customFormat="1" x14ac:dyDescent="0.25"/>
    <row r="212257" customFormat="1" x14ac:dyDescent="0.25"/>
    <row r="212258" customFormat="1" x14ac:dyDescent="0.25"/>
    <row r="212259" customFormat="1" x14ac:dyDescent="0.25"/>
    <row r="212260" customFormat="1" x14ac:dyDescent="0.25"/>
    <row r="212261" customFormat="1" x14ac:dyDescent="0.25"/>
    <row r="212262" customFormat="1" x14ac:dyDescent="0.25"/>
    <row r="212263" customFormat="1" x14ac:dyDescent="0.25"/>
    <row r="212264" customFormat="1" x14ac:dyDescent="0.25"/>
    <row r="212265" customFormat="1" x14ac:dyDescent="0.25"/>
    <row r="212266" customFormat="1" x14ac:dyDescent="0.25"/>
    <row r="212267" customFormat="1" x14ac:dyDescent="0.25"/>
    <row r="212268" customFormat="1" x14ac:dyDescent="0.25"/>
    <row r="212269" customFormat="1" x14ac:dyDescent="0.25"/>
    <row r="212270" customFormat="1" x14ac:dyDescent="0.25"/>
    <row r="212271" customFormat="1" x14ac:dyDescent="0.25"/>
    <row r="212272" customFormat="1" x14ac:dyDescent="0.25"/>
    <row r="212273" customFormat="1" x14ac:dyDescent="0.25"/>
    <row r="212274" customFormat="1" x14ac:dyDescent="0.25"/>
    <row r="212275" customFormat="1" x14ac:dyDescent="0.25"/>
    <row r="212276" customFormat="1" x14ac:dyDescent="0.25"/>
    <row r="212277" customFormat="1" x14ac:dyDescent="0.25"/>
    <row r="212278" customFormat="1" x14ac:dyDescent="0.25"/>
    <row r="212279" customFormat="1" x14ac:dyDescent="0.25"/>
    <row r="212280" customFormat="1" x14ac:dyDescent="0.25"/>
    <row r="212281" customFormat="1" x14ac:dyDescent="0.25"/>
    <row r="212282" customFormat="1" x14ac:dyDescent="0.25"/>
    <row r="212283" customFormat="1" x14ac:dyDescent="0.25"/>
    <row r="212284" customFormat="1" x14ac:dyDescent="0.25"/>
    <row r="212285" customFormat="1" x14ac:dyDescent="0.25"/>
    <row r="212286" customFormat="1" x14ac:dyDescent="0.25"/>
    <row r="212287" customFormat="1" x14ac:dyDescent="0.25"/>
    <row r="212288" customFormat="1" x14ac:dyDescent="0.25"/>
    <row r="212289" customFormat="1" x14ac:dyDescent="0.25"/>
    <row r="212290" customFormat="1" x14ac:dyDescent="0.25"/>
    <row r="212291" customFormat="1" x14ac:dyDescent="0.25"/>
    <row r="212292" customFormat="1" x14ac:dyDescent="0.25"/>
    <row r="212293" customFormat="1" x14ac:dyDescent="0.25"/>
    <row r="212294" customFormat="1" x14ac:dyDescent="0.25"/>
    <row r="212295" customFormat="1" x14ac:dyDescent="0.25"/>
    <row r="212296" customFormat="1" x14ac:dyDescent="0.25"/>
    <row r="212297" customFormat="1" x14ac:dyDescent="0.25"/>
    <row r="212298" customFormat="1" x14ac:dyDescent="0.25"/>
    <row r="212299" customFormat="1" x14ac:dyDescent="0.25"/>
    <row r="212300" customFormat="1" x14ac:dyDescent="0.25"/>
    <row r="212301" customFormat="1" x14ac:dyDescent="0.25"/>
    <row r="212302" customFormat="1" x14ac:dyDescent="0.25"/>
    <row r="212303" customFormat="1" x14ac:dyDescent="0.25"/>
    <row r="212304" customFormat="1" x14ac:dyDescent="0.25"/>
    <row r="212305" customFormat="1" x14ac:dyDescent="0.25"/>
    <row r="212306" customFormat="1" x14ac:dyDescent="0.25"/>
    <row r="212307" customFormat="1" x14ac:dyDescent="0.25"/>
    <row r="212308" customFormat="1" x14ac:dyDescent="0.25"/>
    <row r="212309" customFormat="1" x14ac:dyDescent="0.25"/>
    <row r="212310" customFormat="1" x14ac:dyDescent="0.25"/>
    <row r="212311" customFormat="1" x14ac:dyDescent="0.25"/>
    <row r="212312" customFormat="1" x14ac:dyDescent="0.25"/>
    <row r="212313" customFormat="1" x14ac:dyDescent="0.25"/>
    <row r="212314" customFormat="1" x14ac:dyDescent="0.25"/>
    <row r="212315" customFormat="1" x14ac:dyDescent="0.25"/>
    <row r="212316" customFormat="1" x14ac:dyDescent="0.25"/>
    <row r="212317" customFormat="1" x14ac:dyDescent="0.25"/>
    <row r="212318" customFormat="1" x14ac:dyDescent="0.25"/>
    <row r="212319" customFormat="1" x14ac:dyDescent="0.25"/>
    <row r="212320" customFormat="1" x14ac:dyDescent="0.25"/>
    <row r="212321" customFormat="1" x14ac:dyDescent="0.25"/>
    <row r="212322" customFormat="1" x14ac:dyDescent="0.25"/>
    <row r="212323" customFormat="1" x14ac:dyDescent="0.25"/>
    <row r="212324" customFormat="1" x14ac:dyDescent="0.25"/>
    <row r="212325" customFormat="1" x14ac:dyDescent="0.25"/>
    <row r="212326" customFormat="1" x14ac:dyDescent="0.25"/>
    <row r="212327" customFormat="1" x14ac:dyDescent="0.25"/>
    <row r="212328" customFormat="1" x14ac:dyDescent="0.25"/>
    <row r="212329" customFormat="1" x14ac:dyDescent="0.25"/>
    <row r="212330" customFormat="1" x14ac:dyDescent="0.25"/>
    <row r="212331" customFormat="1" x14ac:dyDescent="0.25"/>
    <row r="212332" customFormat="1" x14ac:dyDescent="0.25"/>
    <row r="212333" customFormat="1" x14ac:dyDescent="0.25"/>
    <row r="212334" customFormat="1" x14ac:dyDescent="0.25"/>
    <row r="212335" customFormat="1" x14ac:dyDescent="0.25"/>
    <row r="212336" customFormat="1" x14ac:dyDescent="0.25"/>
    <row r="212337" customFormat="1" x14ac:dyDescent="0.25"/>
    <row r="212338" customFormat="1" x14ac:dyDescent="0.25"/>
    <row r="212339" customFormat="1" x14ac:dyDescent="0.25"/>
    <row r="212340" customFormat="1" x14ac:dyDescent="0.25"/>
    <row r="212341" customFormat="1" x14ac:dyDescent="0.25"/>
    <row r="212342" customFormat="1" x14ac:dyDescent="0.25"/>
    <row r="212343" customFormat="1" x14ac:dyDescent="0.25"/>
    <row r="212344" customFormat="1" x14ac:dyDescent="0.25"/>
    <row r="212345" customFormat="1" x14ac:dyDescent="0.25"/>
    <row r="212346" customFormat="1" x14ac:dyDescent="0.25"/>
    <row r="212347" customFormat="1" x14ac:dyDescent="0.25"/>
    <row r="212348" customFormat="1" x14ac:dyDescent="0.25"/>
    <row r="212349" customFormat="1" x14ac:dyDescent="0.25"/>
    <row r="212350" customFormat="1" x14ac:dyDescent="0.25"/>
    <row r="212351" customFormat="1" x14ac:dyDescent="0.25"/>
    <row r="212352" customFormat="1" x14ac:dyDescent="0.25"/>
    <row r="212353" customFormat="1" x14ac:dyDescent="0.25"/>
    <row r="212354" customFormat="1" x14ac:dyDescent="0.25"/>
    <row r="212355" customFormat="1" x14ac:dyDescent="0.25"/>
    <row r="212356" customFormat="1" x14ac:dyDescent="0.25"/>
    <row r="212357" customFormat="1" x14ac:dyDescent="0.25"/>
    <row r="212358" customFormat="1" x14ac:dyDescent="0.25"/>
    <row r="212359" customFormat="1" x14ac:dyDescent="0.25"/>
    <row r="212360" customFormat="1" x14ac:dyDescent="0.25"/>
    <row r="212361" customFormat="1" x14ac:dyDescent="0.25"/>
    <row r="212362" customFormat="1" x14ac:dyDescent="0.25"/>
    <row r="212363" customFormat="1" x14ac:dyDescent="0.25"/>
    <row r="212364" customFormat="1" x14ac:dyDescent="0.25"/>
    <row r="212365" customFormat="1" x14ac:dyDescent="0.25"/>
    <row r="212366" customFormat="1" x14ac:dyDescent="0.25"/>
    <row r="212367" customFormat="1" x14ac:dyDescent="0.25"/>
    <row r="212368" customFormat="1" x14ac:dyDescent="0.25"/>
    <row r="212369" customFormat="1" x14ac:dyDescent="0.25"/>
    <row r="212370" customFormat="1" x14ac:dyDescent="0.25"/>
    <row r="212371" customFormat="1" x14ac:dyDescent="0.25"/>
    <row r="212372" customFormat="1" x14ac:dyDescent="0.25"/>
    <row r="212373" customFormat="1" x14ac:dyDescent="0.25"/>
    <row r="212374" customFormat="1" x14ac:dyDescent="0.25"/>
    <row r="212375" customFormat="1" x14ac:dyDescent="0.25"/>
    <row r="212376" customFormat="1" x14ac:dyDescent="0.25"/>
    <row r="212377" customFormat="1" x14ac:dyDescent="0.25"/>
    <row r="212378" customFormat="1" x14ac:dyDescent="0.25"/>
    <row r="212379" customFormat="1" x14ac:dyDescent="0.25"/>
    <row r="212380" customFormat="1" x14ac:dyDescent="0.25"/>
    <row r="212381" customFormat="1" x14ac:dyDescent="0.25"/>
    <row r="212382" customFormat="1" x14ac:dyDescent="0.25"/>
    <row r="212383" customFormat="1" x14ac:dyDescent="0.25"/>
    <row r="212384" customFormat="1" x14ac:dyDescent="0.25"/>
    <row r="212385" customFormat="1" x14ac:dyDescent="0.25"/>
    <row r="212386" customFormat="1" x14ac:dyDescent="0.25"/>
    <row r="212387" customFormat="1" x14ac:dyDescent="0.25"/>
    <row r="212388" customFormat="1" x14ac:dyDescent="0.25"/>
    <row r="212389" customFormat="1" x14ac:dyDescent="0.25"/>
    <row r="212390" customFormat="1" x14ac:dyDescent="0.25"/>
    <row r="212391" customFormat="1" x14ac:dyDescent="0.25"/>
    <row r="212392" customFormat="1" x14ac:dyDescent="0.25"/>
    <row r="212393" customFormat="1" x14ac:dyDescent="0.25"/>
    <row r="212394" customFormat="1" x14ac:dyDescent="0.25"/>
    <row r="212395" customFormat="1" x14ac:dyDescent="0.25"/>
    <row r="212396" customFormat="1" x14ac:dyDescent="0.25"/>
    <row r="212397" customFormat="1" x14ac:dyDescent="0.25"/>
    <row r="212398" customFormat="1" x14ac:dyDescent="0.25"/>
    <row r="212399" customFormat="1" x14ac:dyDescent="0.25"/>
    <row r="212400" customFormat="1" x14ac:dyDescent="0.25"/>
    <row r="212401" customFormat="1" x14ac:dyDescent="0.25"/>
    <row r="212402" customFormat="1" x14ac:dyDescent="0.25"/>
    <row r="212403" customFormat="1" x14ac:dyDescent="0.25"/>
    <row r="212404" customFormat="1" x14ac:dyDescent="0.25"/>
    <row r="212405" customFormat="1" x14ac:dyDescent="0.25"/>
    <row r="212406" customFormat="1" x14ac:dyDescent="0.25"/>
    <row r="212407" customFormat="1" x14ac:dyDescent="0.25"/>
    <row r="212408" customFormat="1" x14ac:dyDescent="0.25"/>
    <row r="212409" customFormat="1" x14ac:dyDescent="0.25"/>
    <row r="212410" customFormat="1" x14ac:dyDescent="0.25"/>
    <row r="212411" customFormat="1" x14ac:dyDescent="0.25"/>
    <row r="212412" customFormat="1" x14ac:dyDescent="0.25"/>
    <row r="212413" customFormat="1" x14ac:dyDescent="0.25"/>
    <row r="212414" customFormat="1" x14ac:dyDescent="0.25"/>
    <row r="212415" customFormat="1" x14ac:dyDescent="0.25"/>
    <row r="212416" customFormat="1" x14ac:dyDescent="0.25"/>
    <row r="212417" customFormat="1" x14ac:dyDescent="0.25"/>
    <row r="212418" customFormat="1" x14ac:dyDescent="0.25"/>
    <row r="212419" customFormat="1" x14ac:dyDescent="0.25"/>
    <row r="212420" customFormat="1" x14ac:dyDescent="0.25"/>
    <row r="212421" customFormat="1" x14ac:dyDescent="0.25"/>
    <row r="212422" customFormat="1" x14ac:dyDescent="0.25"/>
    <row r="212423" customFormat="1" x14ac:dyDescent="0.25"/>
    <row r="212424" customFormat="1" x14ac:dyDescent="0.25"/>
    <row r="212425" customFormat="1" x14ac:dyDescent="0.25"/>
    <row r="212426" customFormat="1" x14ac:dyDescent="0.25"/>
    <row r="212427" customFormat="1" x14ac:dyDescent="0.25"/>
    <row r="212428" customFormat="1" x14ac:dyDescent="0.25"/>
    <row r="212429" customFormat="1" x14ac:dyDescent="0.25"/>
    <row r="212430" customFormat="1" x14ac:dyDescent="0.25"/>
    <row r="212431" customFormat="1" x14ac:dyDescent="0.25"/>
    <row r="212432" customFormat="1" x14ac:dyDescent="0.25"/>
    <row r="212433" customFormat="1" x14ac:dyDescent="0.25"/>
    <row r="212434" customFormat="1" x14ac:dyDescent="0.25"/>
    <row r="212435" customFormat="1" x14ac:dyDescent="0.25"/>
    <row r="212436" customFormat="1" x14ac:dyDescent="0.25"/>
    <row r="212437" customFormat="1" x14ac:dyDescent="0.25"/>
    <row r="212438" customFormat="1" x14ac:dyDescent="0.25"/>
    <row r="212439" customFormat="1" x14ac:dyDescent="0.25"/>
    <row r="212440" customFormat="1" x14ac:dyDescent="0.25"/>
    <row r="212441" customFormat="1" x14ac:dyDescent="0.25"/>
    <row r="212442" customFormat="1" x14ac:dyDescent="0.25"/>
    <row r="212443" customFormat="1" x14ac:dyDescent="0.25"/>
    <row r="212444" customFormat="1" x14ac:dyDescent="0.25"/>
    <row r="212445" customFormat="1" x14ac:dyDescent="0.25"/>
    <row r="212446" customFormat="1" x14ac:dyDescent="0.25"/>
    <row r="212447" customFormat="1" x14ac:dyDescent="0.25"/>
    <row r="212448" customFormat="1" x14ac:dyDescent="0.25"/>
    <row r="212449" customFormat="1" x14ac:dyDescent="0.25"/>
    <row r="212450" customFormat="1" x14ac:dyDescent="0.25"/>
    <row r="212451" customFormat="1" x14ac:dyDescent="0.25"/>
    <row r="212452" customFormat="1" x14ac:dyDescent="0.25"/>
    <row r="212453" customFormat="1" x14ac:dyDescent="0.25"/>
    <row r="212454" customFormat="1" x14ac:dyDescent="0.25"/>
    <row r="212455" customFormat="1" x14ac:dyDescent="0.25"/>
    <row r="212456" customFormat="1" x14ac:dyDescent="0.25"/>
    <row r="212457" customFormat="1" x14ac:dyDescent="0.25"/>
    <row r="212458" customFormat="1" x14ac:dyDescent="0.25"/>
    <row r="212459" customFormat="1" x14ac:dyDescent="0.25"/>
    <row r="212460" customFormat="1" x14ac:dyDescent="0.25"/>
    <row r="212461" customFormat="1" x14ac:dyDescent="0.25"/>
    <row r="212462" customFormat="1" x14ac:dyDescent="0.25"/>
    <row r="212463" customFormat="1" x14ac:dyDescent="0.25"/>
    <row r="212464" customFormat="1" x14ac:dyDescent="0.25"/>
    <row r="212465" customFormat="1" x14ac:dyDescent="0.25"/>
    <row r="212466" customFormat="1" x14ac:dyDescent="0.25"/>
    <row r="212467" customFormat="1" x14ac:dyDescent="0.25"/>
    <row r="212468" customFormat="1" x14ac:dyDescent="0.25"/>
    <row r="212469" customFormat="1" x14ac:dyDescent="0.25"/>
    <row r="212470" customFormat="1" x14ac:dyDescent="0.25"/>
    <row r="212471" customFormat="1" x14ac:dyDescent="0.25"/>
    <row r="212472" customFormat="1" x14ac:dyDescent="0.25"/>
    <row r="212473" customFormat="1" x14ac:dyDescent="0.25"/>
    <row r="212474" customFormat="1" x14ac:dyDescent="0.25"/>
    <row r="212475" customFormat="1" x14ac:dyDescent="0.25"/>
    <row r="212476" customFormat="1" x14ac:dyDescent="0.25"/>
    <row r="212477" customFormat="1" x14ac:dyDescent="0.25"/>
    <row r="212478" customFormat="1" x14ac:dyDescent="0.25"/>
    <row r="212479" customFormat="1" x14ac:dyDescent="0.25"/>
    <row r="212480" customFormat="1" x14ac:dyDescent="0.25"/>
    <row r="212481" customFormat="1" x14ac:dyDescent="0.25"/>
    <row r="212482" customFormat="1" x14ac:dyDescent="0.25"/>
    <row r="212483" customFormat="1" x14ac:dyDescent="0.25"/>
    <row r="212484" customFormat="1" x14ac:dyDescent="0.25"/>
    <row r="212485" customFormat="1" x14ac:dyDescent="0.25"/>
    <row r="212486" customFormat="1" x14ac:dyDescent="0.25"/>
    <row r="212487" customFormat="1" x14ac:dyDescent="0.25"/>
    <row r="212488" customFormat="1" x14ac:dyDescent="0.25"/>
    <row r="212489" customFormat="1" x14ac:dyDescent="0.25"/>
    <row r="212490" customFormat="1" x14ac:dyDescent="0.25"/>
    <row r="212491" customFormat="1" x14ac:dyDescent="0.25"/>
    <row r="212492" customFormat="1" x14ac:dyDescent="0.25"/>
    <row r="212493" customFormat="1" x14ac:dyDescent="0.25"/>
    <row r="212494" customFormat="1" x14ac:dyDescent="0.25"/>
    <row r="212495" customFormat="1" x14ac:dyDescent="0.25"/>
    <row r="212496" customFormat="1" x14ac:dyDescent="0.25"/>
    <row r="212497" customFormat="1" x14ac:dyDescent="0.25"/>
    <row r="212498" customFormat="1" x14ac:dyDescent="0.25"/>
    <row r="212499" customFormat="1" x14ac:dyDescent="0.25"/>
    <row r="212500" customFormat="1" x14ac:dyDescent="0.25"/>
    <row r="212501" customFormat="1" x14ac:dyDescent="0.25"/>
    <row r="212502" customFormat="1" x14ac:dyDescent="0.25"/>
    <row r="212503" customFormat="1" x14ac:dyDescent="0.25"/>
    <row r="212504" customFormat="1" x14ac:dyDescent="0.25"/>
    <row r="212505" customFormat="1" x14ac:dyDescent="0.25"/>
    <row r="212506" customFormat="1" x14ac:dyDescent="0.25"/>
    <row r="212507" customFormat="1" x14ac:dyDescent="0.25"/>
    <row r="212508" customFormat="1" x14ac:dyDescent="0.25"/>
    <row r="212509" customFormat="1" x14ac:dyDescent="0.25"/>
    <row r="212510" customFormat="1" x14ac:dyDescent="0.25"/>
    <row r="212511" customFormat="1" x14ac:dyDescent="0.25"/>
    <row r="212512" customFormat="1" x14ac:dyDescent="0.25"/>
    <row r="212513" customFormat="1" x14ac:dyDescent="0.25"/>
    <row r="212514" customFormat="1" x14ac:dyDescent="0.25"/>
    <row r="212515" customFormat="1" x14ac:dyDescent="0.25"/>
    <row r="212516" customFormat="1" x14ac:dyDescent="0.25"/>
    <row r="212517" customFormat="1" x14ac:dyDescent="0.25"/>
    <row r="212518" customFormat="1" x14ac:dyDescent="0.25"/>
    <row r="212519" customFormat="1" x14ac:dyDescent="0.25"/>
    <row r="212520" customFormat="1" x14ac:dyDescent="0.25"/>
    <row r="212521" customFormat="1" x14ac:dyDescent="0.25"/>
    <row r="212522" customFormat="1" x14ac:dyDescent="0.25"/>
    <row r="212523" customFormat="1" x14ac:dyDescent="0.25"/>
    <row r="212524" customFormat="1" x14ac:dyDescent="0.25"/>
    <row r="212525" customFormat="1" x14ac:dyDescent="0.25"/>
    <row r="212526" customFormat="1" x14ac:dyDescent="0.25"/>
    <row r="212527" customFormat="1" x14ac:dyDescent="0.25"/>
    <row r="212528" customFormat="1" x14ac:dyDescent="0.25"/>
    <row r="212529" customFormat="1" x14ac:dyDescent="0.25"/>
    <row r="212530" customFormat="1" x14ac:dyDescent="0.25"/>
    <row r="212531" customFormat="1" x14ac:dyDescent="0.25"/>
    <row r="212532" customFormat="1" x14ac:dyDescent="0.25"/>
    <row r="212533" customFormat="1" x14ac:dyDescent="0.25"/>
    <row r="212534" customFormat="1" x14ac:dyDescent="0.25"/>
    <row r="212535" customFormat="1" x14ac:dyDescent="0.25"/>
    <row r="212536" customFormat="1" x14ac:dyDescent="0.25"/>
    <row r="212537" customFormat="1" x14ac:dyDescent="0.25"/>
    <row r="212538" customFormat="1" x14ac:dyDescent="0.25"/>
    <row r="212539" customFormat="1" x14ac:dyDescent="0.25"/>
    <row r="212540" customFormat="1" x14ac:dyDescent="0.25"/>
    <row r="212541" customFormat="1" x14ac:dyDescent="0.25"/>
    <row r="212542" customFormat="1" x14ac:dyDescent="0.25"/>
    <row r="212543" customFormat="1" x14ac:dyDescent="0.25"/>
    <row r="212544" customFormat="1" x14ac:dyDescent="0.25"/>
    <row r="212545" customFormat="1" x14ac:dyDescent="0.25"/>
    <row r="212546" customFormat="1" x14ac:dyDescent="0.25"/>
    <row r="212547" customFormat="1" x14ac:dyDescent="0.25"/>
    <row r="212548" customFormat="1" x14ac:dyDescent="0.25"/>
    <row r="212549" customFormat="1" x14ac:dyDescent="0.25"/>
    <row r="212550" customFormat="1" x14ac:dyDescent="0.25"/>
    <row r="212551" customFormat="1" x14ac:dyDescent="0.25"/>
    <row r="212552" customFormat="1" x14ac:dyDescent="0.25"/>
    <row r="212553" customFormat="1" x14ac:dyDescent="0.25"/>
    <row r="212554" customFormat="1" x14ac:dyDescent="0.25"/>
    <row r="212555" customFormat="1" x14ac:dyDescent="0.25"/>
    <row r="212556" customFormat="1" x14ac:dyDescent="0.25"/>
    <row r="212557" customFormat="1" x14ac:dyDescent="0.25"/>
    <row r="212558" customFormat="1" x14ac:dyDescent="0.25"/>
    <row r="212559" customFormat="1" x14ac:dyDescent="0.25"/>
    <row r="212560" customFormat="1" x14ac:dyDescent="0.25"/>
    <row r="212561" customFormat="1" x14ac:dyDescent="0.25"/>
    <row r="212562" customFormat="1" x14ac:dyDescent="0.25"/>
    <row r="212563" customFormat="1" x14ac:dyDescent="0.25"/>
    <row r="212564" customFormat="1" x14ac:dyDescent="0.25"/>
    <row r="212565" customFormat="1" x14ac:dyDescent="0.25"/>
    <row r="212566" customFormat="1" x14ac:dyDescent="0.25"/>
    <row r="212567" customFormat="1" x14ac:dyDescent="0.25"/>
    <row r="212568" customFormat="1" x14ac:dyDescent="0.25"/>
    <row r="212569" customFormat="1" x14ac:dyDescent="0.25"/>
    <row r="212570" customFormat="1" x14ac:dyDescent="0.25"/>
    <row r="212571" customFormat="1" x14ac:dyDescent="0.25"/>
    <row r="212572" customFormat="1" x14ac:dyDescent="0.25"/>
    <row r="212573" customFormat="1" x14ac:dyDescent="0.25"/>
    <row r="212574" customFormat="1" x14ac:dyDescent="0.25"/>
    <row r="212575" customFormat="1" x14ac:dyDescent="0.25"/>
    <row r="212576" customFormat="1" x14ac:dyDescent="0.25"/>
    <row r="212577" customFormat="1" x14ac:dyDescent="0.25"/>
    <row r="212578" customFormat="1" x14ac:dyDescent="0.25"/>
    <row r="212579" customFormat="1" x14ac:dyDescent="0.25"/>
    <row r="212580" customFormat="1" x14ac:dyDescent="0.25"/>
    <row r="212581" customFormat="1" x14ac:dyDescent="0.25"/>
    <row r="212582" customFormat="1" x14ac:dyDescent="0.25"/>
    <row r="212583" customFormat="1" x14ac:dyDescent="0.25"/>
    <row r="212584" customFormat="1" x14ac:dyDescent="0.25"/>
    <row r="212585" customFormat="1" x14ac:dyDescent="0.25"/>
    <row r="212586" customFormat="1" x14ac:dyDescent="0.25"/>
    <row r="212587" customFormat="1" x14ac:dyDescent="0.25"/>
    <row r="212588" customFormat="1" x14ac:dyDescent="0.25"/>
    <row r="212589" customFormat="1" x14ac:dyDescent="0.25"/>
    <row r="212590" customFormat="1" x14ac:dyDescent="0.25"/>
    <row r="212591" customFormat="1" x14ac:dyDescent="0.25"/>
    <row r="212592" customFormat="1" x14ac:dyDescent="0.25"/>
    <row r="212593" customFormat="1" x14ac:dyDescent="0.25"/>
    <row r="212594" customFormat="1" x14ac:dyDescent="0.25"/>
    <row r="212595" customFormat="1" x14ac:dyDescent="0.25"/>
    <row r="212596" customFormat="1" x14ac:dyDescent="0.25"/>
    <row r="212597" customFormat="1" x14ac:dyDescent="0.25"/>
    <row r="212598" customFormat="1" x14ac:dyDescent="0.25"/>
    <row r="212599" customFormat="1" x14ac:dyDescent="0.25"/>
    <row r="212600" customFormat="1" x14ac:dyDescent="0.25"/>
    <row r="212601" customFormat="1" x14ac:dyDescent="0.25"/>
    <row r="212602" customFormat="1" x14ac:dyDescent="0.25"/>
    <row r="212603" customFormat="1" x14ac:dyDescent="0.25"/>
    <row r="212604" customFormat="1" x14ac:dyDescent="0.25"/>
    <row r="212605" customFormat="1" x14ac:dyDescent="0.25"/>
    <row r="212606" customFormat="1" x14ac:dyDescent="0.25"/>
    <row r="212607" customFormat="1" x14ac:dyDescent="0.25"/>
    <row r="212608" customFormat="1" x14ac:dyDescent="0.25"/>
    <row r="212609" customFormat="1" x14ac:dyDescent="0.25"/>
    <row r="212610" customFormat="1" x14ac:dyDescent="0.25"/>
    <row r="212611" customFormat="1" x14ac:dyDescent="0.25"/>
    <row r="212612" customFormat="1" x14ac:dyDescent="0.25"/>
    <row r="212613" customFormat="1" x14ac:dyDescent="0.25"/>
    <row r="212614" customFormat="1" x14ac:dyDescent="0.25"/>
    <row r="212615" customFormat="1" x14ac:dyDescent="0.25"/>
    <row r="212616" customFormat="1" x14ac:dyDescent="0.25"/>
    <row r="212617" customFormat="1" x14ac:dyDescent="0.25"/>
    <row r="212618" customFormat="1" x14ac:dyDescent="0.25"/>
    <row r="212619" customFormat="1" x14ac:dyDescent="0.25"/>
    <row r="212620" customFormat="1" x14ac:dyDescent="0.25"/>
    <row r="212621" customFormat="1" x14ac:dyDescent="0.25"/>
    <row r="212622" customFormat="1" x14ac:dyDescent="0.25"/>
    <row r="212623" customFormat="1" x14ac:dyDescent="0.25"/>
    <row r="212624" customFormat="1" x14ac:dyDescent="0.25"/>
    <row r="212625" customFormat="1" x14ac:dyDescent="0.25"/>
    <row r="212626" customFormat="1" x14ac:dyDescent="0.25"/>
    <row r="212627" customFormat="1" x14ac:dyDescent="0.25"/>
    <row r="212628" customFormat="1" x14ac:dyDescent="0.25"/>
    <row r="212629" customFormat="1" x14ac:dyDescent="0.25"/>
    <row r="212630" customFormat="1" x14ac:dyDescent="0.25"/>
    <row r="212631" customFormat="1" x14ac:dyDescent="0.25"/>
    <row r="212632" customFormat="1" x14ac:dyDescent="0.25"/>
    <row r="212633" customFormat="1" x14ac:dyDescent="0.25"/>
    <row r="212634" customFormat="1" x14ac:dyDescent="0.25"/>
    <row r="212635" customFormat="1" x14ac:dyDescent="0.25"/>
    <row r="212636" customFormat="1" x14ac:dyDescent="0.25"/>
    <row r="212637" customFormat="1" x14ac:dyDescent="0.25"/>
    <row r="212638" customFormat="1" x14ac:dyDescent="0.25"/>
    <row r="212639" customFormat="1" x14ac:dyDescent="0.25"/>
    <row r="212640" customFormat="1" x14ac:dyDescent="0.25"/>
    <row r="212641" customFormat="1" x14ac:dyDescent="0.25"/>
    <row r="212642" customFormat="1" x14ac:dyDescent="0.25"/>
    <row r="212643" customFormat="1" x14ac:dyDescent="0.25"/>
    <row r="212644" customFormat="1" x14ac:dyDescent="0.25"/>
    <row r="212645" customFormat="1" x14ac:dyDescent="0.25"/>
    <row r="212646" customFormat="1" x14ac:dyDescent="0.25"/>
    <row r="212647" customFormat="1" x14ac:dyDescent="0.25"/>
    <row r="212648" customFormat="1" x14ac:dyDescent="0.25"/>
    <row r="212649" customFormat="1" x14ac:dyDescent="0.25"/>
    <row r="212650" customFormat="1" x14ac:dyDescent="0.25"/>
    <row r="212651" customFormat="1" x14ac:dyDescent="0.25"/>
    <row r="212652" customFormat="1" x14ac:dyDescent="0.25"/>
    <row r="212653" customFormat="1" x14ac:dyDescent="0.25"/>
    <row r="212654" customFormat="1" x14ac:dyDescent="0.25"/>
    <row r="212655" customFormat="1" x14ac:dyDescent="0.25"/>
    <row r="212656" customFormat="1" x14ac:dyDescent="0.25"/>
    <row r="212657" customFormat="1" x14ac:dyDescent="0.25"/>
    <row r="212658" customFormat="1" x14ac:dyDescent="0.25"/>
    <row r="212659" customFormat="1" x14ac:dyDescent="0.25"/>
    <row r="212660" customFormat="1" x14ac:dyDescent="0.25"/>
    <row r="212661" customFormat="1" x14ac:dyDescent="0.25"/>
    <row r="212662" customFormat="1" x14ac:dyDescent="0.25"/>
    <row r="212663" customFormat="1" x14ac:dyDescent="0.25"/>
    <row r="212664" customFormat="1" x14ac:dyDescent="0.25"/>
    <row r="212665" customFormat="1" x14ac:dyDescent="0.25"/>
    <row r="212666" customFormat="1" x14ac:dyDescent="0.25"/>
    <row r="212667" customFormat="1" x14ac:dyDescent="0.25"/>
    <row r="212668" customFormat="1" x14ac:dyDescent="0.25"/>
    <row r="212669" customFormat="1" x14ac:dyDescent="0.25"/>
    <row r="212670" customFormat="1" x14ac:dyDescent="0.25"/>
    <row r="212671" customFormat="1" x14ac:dyDescent="0.25"/>
    <row r="212672" customFormat="1" x14ac:dyDescent="0.25"/>
    <row r="212673" customFormat="1" x14ac:dyDescent="0.25"/>
    <row r="212674" customFormat="1" x14ac:dyDescent="0.25"/>
    <row r="212675" customFormat="1" x14ac:dyDescent="0.25"/>
    <row r="212676" customFormat="1" x14ac:dyDescent="0.25"/>
    <row r="212677" customFormat="1" x14ac:dyDescent="0.25"/>
    <row r="212678" customFormat="1" x14ac:dyDescent="0.25"/>
    <row r="212679" customFormat="1" x14ac:dyDescent="0.25"/>
    <row r="212680" customFormat="1" x14ac:dyDescent="0.25"/>
    <row r="212681" customFormat="1" x14ac:dyDescent="0.25"/>
    <row r="212682" customFormat="1" x14ac:dyDescent="0.25"/>
    <row r="212683" customFormat="1" x14ac:dyDescent="0.25"/>
    <row r="212684" customFormat="1" x14ac:dyDescent="0.25"/>
    <row r="212685" customFormat="1" x14ac:dyDescent="0.25"/>
    <row r="212686" customFormat="1" x14ac:dyDescent="0.25"/>
    <row r="212687" customFormat="1" x14ac:dyDescent="0.25"/>
    <row r="212688" customFormat="1" x14ac:dyDescent="0.25"/>
    <row r="212689" customFormat="1" x14ac:dyDescent="0.25"/>
    <row r="212690" customFormat="1" x14ac:dyDescent="0.25"/>
    <row r="212691" customFormat="1" x14ac:dyDescent="0.25"/>
    <row r="212692" customFormat="1" x14ac:dyDescent="0.25"/>
    <row r="212693" customFormat="1" x14ac:dyDescent="0.25"/>
    <row r="212694" customFormat="1" x14ac:dyDescent="0.25"/>
    <row r="212695" customFormat="1" x14ac:dyDescent="0.25"/>
    <row r="212696" customFormat="1" x14ac:dyDescent="0.25"/>
    <row r="212697" customFormat="1" x14ac:dyDescent="0.25"/>
    <row r="212698" customFormat="1" x14ac:dyDescent="0.25"/>
    <row r="212699" customFormat="1" x14ac:dyDescent="0.25"/>
    <row r="212700" customFormat="1" x14ac:dyDescent="0.25"/>
    <row r="212701" customFormat="1" x14ac:dyDescent="0.25"/>
    <row r="212702" customFormat="1" x14ac:dyDescent="0.25"/>
    <row r="212703" customFormat="1" x14ac:dyDescent="0.25"/>
    <row r="212704" customFormat="1" x14ac:dyDescent="0.25"/>
    <row r="212705" customFormat="1" x14ac:dyDescent="0.25"/>
    <row r="212706" customFormat="1" x14ac:dyDescent="0.25"/>
    <row r="212707" customFormat="1" x14ac:dyDescent="0.25"/>
    <row r="212708" customFormat="1" x14ac:dyDescent="0.25"/>
    <row r="212709" customFormat="1" x14ac:dyDescent="0.25"/>
    <row r="212710" customFormat="1" x14ac:dyDescent="0.25"/>
    <row r="212711" customFormat="1" x14ac:dyDescent="0.25"/>
    <row r="212712" customFormat="1" x14ac:dyDescent="0.25"/>
    <row r="212713" customFormat="1" x14ac:dyDescent="0.25"/>
    <row r="212714" customFormat="1" x14ac:dyDescent="0.25"/>
    <row r="212715" customFormat="1" x14ac:dyDescent="0.25"/>
    <row r="212716" customFormat="1" x14ac:dyDescent="0.25"/>
    <row r="212717" customFormat="1" x14ac:dyDescent="0.25"/>
    <row r="212718" customFormat="1" x14ac:dyDescent="0.25"/>
    <row r="212719" customFormat="1" x14ac:dyDescent="0.25"/>
    <row r="212720" customFormat="1" x14ac:dyDescent="0.25"/>
    <row r="212721" customFormat="1" x14ac:dyDescent="0.25"/>
    <row r="212722" customFormat="1" x14ac:dyDescent="0.25"/>
    <row r="212723" customFormat="1" x14ac:dyDescent="0.25"/>
    <row r="212724" customFormat="1" x14ac:dyDescent="0.25"/>
    <row r="212725" customFormat="1" x14ac:dyDescent="0.25"/>
    <row r="212726" customFormat="1" x14ac:dyDescent="0.25"/>
    <row r="212727" customFormat="1" x14ac:dyDescent="0.25"/>
    <row r="212728" customFormat="1" x14ac:dyDescent="0.25"/>
    <row r="212729" customFormat="1" x14ac:dyDescent="0.25"/>
    <row r="212730" customFormat="1" x14ac:dyDescent="0.25"/>
    <row r="212731" customFormat="1" x14ac:dyDescent="0.25"/>
    <row r="212732" customFormat="1" x14ac:dyDescent="0.25"/>
    <row r="212733" customFormat="1" x14ac:dyDescent="0.25"/>
    <row r="212734" customFormat="1" x14ac:dyDescent="0.25"/>
    <row r="212735" customFormat="1" x14ac:dyDescent="0.25"/>
    <row r="212736" customFormat="1" x14ac:dyDescent="0.25"/>
    <row r="212737" customFormat="1" x14ac:dyDescent="0.25"/>
    <row r="212738" customFormat="1" x14ac:dyDescent="0.25"/>
    <row r="212739" customFormat="1" x14ac:dyDescent="0.25"/>
    <row r="212740" customFormat="1" x14ac:dyDescent="0.25"/>
    <row r="212741" customFormat="1" x14ac:dyDescent="0.25"/>
    <row r="212742" customFormat="1" x14ac:dyDescent="0.25"/>
    <row r="212743" customFormat="1" x14ac:dyDescent="0.25"/>
    <row r="212744" customFormat="1" x14ac:dyDescent="0.25"/>
    <row r="212745" customFormat="1" x14ac:dyDescent="0.25"/>
    <row r="212746" customFormat="1" x14ac:dyDescent="0.25"/>
    <row r="212747" customFormat="1" x14ac:dyDescent="0.25"/>
    <row r="212748" customFormat="1" x14ac:dyDescent="0.25"/>
    <row r="212749" customFormat="1" x14ac:dyDescent="0.25"/>
    <row r="212750" customFormat="1" x14ac:dyDescent="0.25"/>
    <row r="212751" customFormat="1" x14ac:dyDescent="0.25"/>
    <row r="212752" customFormat="1" x14ac:dyDescent="0.25"/>
    <row r="212753" customFormat="1" x14ac:dyDescent="0.25"/>
    <row r="212754" customFormat="1" x14ac:dyDescent="0.25"/>
    <row r="212755" customFormat="1" x14ac:dyDescent="0.25"/>
    <row r="212756" customFormat="1" x14ac:dyDescent="0.25"/>
    <row r="212757" customFormat="1" x14ac:dyDescent="0.25"/>
    <row r="212758" customFormat="1" x14ac:dyDescent="0.25"/>
    <row r="212759" customFormat="1" x14ac:dyDescent="0.25"/>
    <row r="212760" customFormat="1" x14ac:dyDescent="0.25"/>
    <row r="212761" customFormat="1" x14ac:dyDescent="0.25"/>
    <row r="212762" customFormat="1" x14ac:dyDescent="0.25"/>
    <row r="212763" customFormat="1" x14ac:dyDescent="0.25"/>
    <row r="212764" customFormat="1" x14ac:dyDescent="0.25"/>
    <row r="212765" customFormat="1" x14ac:dyDescent="0.25"/>
    <row r="212766" customFormat="1" x14ac:dyDescent="0.25"/>
    <row r="212767" customFormat="1" x14ac:dyDescent="0.25"/>
    <row r="212768" customFormat="1" x14ac:dyDescent="0.25"/>
    <row r="212769" customFormat="1" x14ac:dyDescent="0.25"/>
    <row r="212770" customFormat="1" x14ac:dyDescent="0.25"/>
    <row r="212771" customFormat="1" x14ac:dyDescent="0.25"/>
    <row r="212772" customFormat="1" x14ac:dyDescent="0.25"/>
    <row r="212773" customFormat="1" x14ac:dyDescent="0.25"/>
    <row r="212774" customFormat="1" x14ac:dyDescent="0.25"/>
    <row r="212775" customFormat="1" x14ac:dyDescent="0.25"/>
    <row r="212776" customFormat="1" x14ac:dyDescent="0.25"/>
    <row r="212777" customFormat="1" x14ac:dyDescent="0.25"/>
    <row r="212778" customFormat="1" x14ac:dyDescent="0.25"/>
    <row r="212779" customFormat="1" x14ac:dyDescent="0.25"/>
    <row r="212780" customFormat="1" x14ac:dyDescent="0.25"/>
    <row r="212781" customFormat="1" x14ac:dyDescent="0.25"/>
    <row r="212782" customFormat="1" x14ac:dyDescent="0.25"/>
    <row r="212783" customFormat="1" x14ac:dyDescent="0.25"/>
    <row r="212784" customFormat="1" x14ac:dyDescent="0.25"/>
    <row r="212785" customFormat="1" x14ac:dyDescent="0.25"/>
    <row r="212786" customFormat="1" x14ac:dyDescent="0.25"/>
    <row r="212787" customFormat="1" x14ac:dyDescent="0.25"/>
    <row r="212788" customFormat="1" x14ac:dyDescent="0.25"/>
    <row r="212789" customFormat="1" x14ac:dyDescent="0.25"/>
    <row r="212790" customFormat="1" x14ac:dyDescent="0.25"/>
    <row r="212791" customFormat="1" x14ac:dyDescent="0.25"/>
    <row r="212792" customFormat="1" x14ac:dyDescent="0.25"/>
    <row r="212793" customFormat="1" x14ac:dyDescent="0.25"/>
    <row r="212794" customFormat="1" x14ac:dyDescent="0.25"/>
    <row r="212795" customFormat="1" x14ac:dyDescent="0.25"/>
    <row r="212796" customFormat="1" x14ac:dyDescent="0.25"/>
    <row r="212797" customFormat="1" x14ac:dyDescent="0.25"/>
    <row r="212798" customFormat="1" x14ac:dyDescent="0.25"/>
    <row r="212799" customFormat="1" x14ac:dyDescent="0.25"/>
    <row r="212800" customFormat="1" x14ac:dyDescent="0.25"/>
    <row r="212801" customFormat="1" x14ac:dyDescent="0.25"/>
    <row r="212802" customFormat="1" x14ac:dyDescent="0.25"/>
    <row r="212803" customFormat="1" x14ac:dyDescent="0.25"/>
    <row r="212804" customFormat="1" x14ac:dyDescent="0.25"/>
    <row r="212805" customFormat="1" x14ac:dyDescent="0.25"/>
    <row r="212806" customFormat="1" x14ac:dyDescent="0.25"/>
    <row r="212807" customFormat="1" x14ac:dyDescent="0.25"/>
    <row r="212808" customFormat="1" x14ac:dyDescent="0.25"/>
    <row r="212809" customFormat="1" x14ac:dyDescent="0.25"/>
    <row r="212810" customFormat="1" x14ac:dyDescent="0.25"/>
    <row r="212811" customFormat="1" x14ac:dyDescent="0.25"/>
    <row r="212812" customFormat="1" x14ac:dyDescent="0.25"/>
    <row r="212813" customFormat="1" x14ac:dyDescent="0.25"/>
    <row r="212814" customFormat="1" x14ac:dyDescent="0.25"/>
    <row r="212815" customFormat="1" x14ac:dyDescent="0.25"/>
    <row r="212816" customFormat="1" x14ac:dyDescent="0.25"/>
    <row r="212817" customFormat="1" x14ac:dyDescent="0.25"/>
    <row r="212818" customFormat="1" x14ac:dyDescent="0.25"/>
    <row r="212819" customFormat="1" x14ac:dyDescent="0.25"/>
    <row r="212820" customFormat="1" x14ac:dyDescent="0.25"/>
    <row r="212821" customFormat="1" x14ac:dyDescent="0.25"/>
    <row r="212822" customFormat="1" x14ac:dyDescent="0.25"/>
    <row r="212823" customFormat="1" x14ac:dyDescent="0.25"/>
    <row r="212824" customFormat="1" x14ac:dyDescent="0.25"/>
    <row r="212825" customFormat="1" x14ac:dyDescent="0.25"/>
    <row r="212826" customFormat="1" x14ac:dyDescent="0.25"/>
    <row r="212827" customFormat="1" x14ac:dyDescent="0.25"/>
    <row r="212828" customFormat="1" x14ac:dyDescent="0.25"/>
    <row r="212829" customFormat="1" x14ac:dyDescent="0.25"/>
    <row r="212830" customFormat="1" x14ac:dyDescent="0.25"/>
    <row r="212831" customFormat="1" x14ac:dyDescent="0.25"/>
    <row r="212832" customFormat="1" x14ac:dyDescent="0.25"/>
    <row r="212833" customFormat="1" x14ac:dyDescent="0.25"/>
    <row r="212834" customFormat="1" x14ac:dyDescent="0.25"/>
    <row r="212835" customFormat="1" x14ac:dyDescent="0.25"/>
    <row r="212836" customFormat="1" x14ac:dyDescent="0.25"/>
    <row r="212837" customFormat="1" x14ac:dyDescent="0.25"/>
    <row r="212838" customFormat="1" x14ac:dyDescent="0.25"/>
    <row r="212839" customFormat="1" x14ac:dyDescent="0.25"/>
    <row r="212840" customFormat="1" x14ac:dyDescent="0.25"/>
    <row r="212841" customFormat="1" x14ac:dyDescent="0.25"/>
    <row r="212842" customFormat="1" x14ac:dyDescent="0.25"/>
    <row r="212843" customFormat="1" x14ac:dyDescent="0.25"/>
    <row r="212844" customFormat="1" x14ac:dyDescent="0.25"/>
    <row r="212845" customFormat="1" x14ac:dyDescent="0.25"/>
    <row r="212846" customFormat="1" x14ac:dyDescent="0.25"/>
    <row r="212847" customFormat="1" x14ac:dyDescent="0.25"/>
    <row r="212848" customFormat="1" x14ac:dyDescent="0.25"/>
    <row r="212849" customFormat="1" x14ac:dyDescent="0.25"/>
    <row r="212850" customFormat="1" x14ac:dyDescent="0.25"/>
    <row r="212851" customFormat="1" x14ac:dyDescent="0.25"/>
    <row r="212852" customFormat="1" x14ac:dyDescent="0.25"/>
    <row r="212853" customFormat="1" x14ac:dyDescent="0.25"/>
    <row r="212854" customFormat="1" x14ac:dyDescent="0.25"/>
    <row r="212855" customFormat="1" x14ac:dyDescent="0.25"/>
    <row r="212856" customFormat="1" x14ac:dyDescent="0.25"/>
    <row r="212857" customFormat="1" x14ac:dyDescent="0.25"/>
    <row r="212858" customFormat="1" x14ac:dyDescent="0.25"/>
    <row r="212859" customFormat="1" x14ac:dyDescent="0.25"/>
    <row r="212860" customFormat="1" x14ac:dyDescent="0.25"/>
    <row r="212861" customFormat="1" x14ac:dyDescent="0.25"/>
    <row r="212862" customFormat="1" x14ac:dyDescent="0.25"/>
    <row r="212863" customFormat="1" x14ac:dyDescent="0.25"/>
    <row r="212864" customFormat="1" x14ac:dyDescent="0.25"/>
    <row r="212865" customFormat="1" x14ac:dyDescent="0.25"/>
    <row r="212866" customFormat="1" x14ac:dyDescent="0.25"/>
    <row r="212867" customFormat="1" x14ac:dyDescent="0.25"/>
    <row r="212868" customFormat="1" x14ac:dyDescent="0.25"/>
    <row r="212869" customFormat="1" x14ac:dyDescent="0.25"/>
    <row r="212870" customFormat="1" x14ac:dyDescent="0.25"/>
    <row r="212871" customFormat="1" x14ac:dyDescent="0.25"/>
    <row r="212872" customFormat="1" x14ac:dyDescent="0.25"/>
    <row r="212873" customFormat="1" x14ac:dyDescent="0.25"/>
    <row r="212874" customFormat="1" x14ac:dyDescent="0.25"/>
    <row r="212875" customFormat="1" x14ac:dyDescent="0.25"/>
    <row r="212876" customFormat="1" x14ac:dyDescent="0.25"/>
    <row r="212877" customFormat="1" x14ac:dyDescent="0.25"/>
    <row r="212878" customFormat="1" x14ac:dyDescent="0.25"/>
    <row r="212879" customFormat="1" x14ac:dyDescent="0.25"/>
    <row r="212880" customFormat="1" x14ac:dyDescent="0.25"/>
    <row r="212881" customFormat="1" x14ac:dyDescent="0.25"/>
    <row r="212882" customFormat="1" x14ac:dyDescent="0.25"/>
    <row r="212883" customFormat="1" x14ac:dyDescent="0.25"/>
    <row r="212884" customFormat="1" x14ac:dyDescent="0.25"/>
    <row r="212885" customFormat="1" x14ac:dyDescent="0.25"/>
    <row r="212886" customFormat="1" x14ac:dyDescent="0.25"/>
    <row r="212887" customFormat="1" x14ac:dyDescent="0.25"/>
    <row r="212888" customFormat="1" x14ac:dyDescent="0.25"/>
    <row r="212889" customFormat="1" x14ac:dyDescent="0.25"/>
    <row r="212890" customFormat="1" x14ac:dyDescent="0.25"/>
    <row r="212891" customFormat="1" x14ac:dyDescent="0.25"/>
    <row r="212892" customFormat="1" x14ac:dyDescent="0.25"/>
    <row r="212893" customFormat="1" x14ac:dyDescent="0.25"/>
    <row r="212894" customFormat="1" x14ac:dyDescent="0.25"/>
    <row r="212895" customFormat="1" x14ac:dyDescent="0.25"/>
    <row r="212896" customFormat="1" x14ac:dyDescent="0.25"/>
    <row r="212897" customFormat="1" x14ac:dyDescent="0.25"/>
    <row r="212898" customFormat="1" x14ac:dyDescent="0.25"/>
    <row r="212899" customFormat="1" x14ac:dyDescent="0.25"/>
    <row r="212900" customFormat="1" x14ac:dyDescent="0.25"/>
    <row r="212901" customFormat="1" x14ac:dyDescent="0.25"/>
    <row r="212902" customFormat="1" x14ac:dyDescent="0.25"/>
    <row r="212903" customFormat="1" x14ac:dyDescent="0.25"/>
    <row r="212904" customFormat="1" x14ac:dyDescent="0.25"/>
    <row r="212905" customFormat="1" x14ac:dyDescent="0.25"/>
    <row r="212906" customFormat="1" x14ac:dyDescent="0.25"/>
    <row r="212907" customFormat="1" x14ac:dyDescent="0.25"/>
    <row r="212908" customFormat="1" x14ac:dyDescent="0.25"/>
    <row r="212909" customFormat="1" x14ac:dyDescent="0.25"/>
    <row r="212910" customFormat="1" x14ac:dyDescent="0.25"/>
    <row r="212911" customFormat="1" x14ac:dyDescent="0.25"/>
    <row r="212912" customFormat="1" x14ac:dyDescent="0.25"/>
    <row r="212913" customFormat="1" x14ac:dyDescent="0.25"/>
    <row r="212914" customFormat="1" x14ac:dyDescent="0.25"/>
    <row r="212915" customFormat="1" x14ac:dyDescent="0.25"/>
    <row r="212916" customFormat="1" x14ac:dyDescent="0.25"/>
    <row r="212917" customFormat="1" x14ac:dyDescent="0.25"/>
    <row r="212918" customFormat="1" x14ac:dyDescent="0.25"/>
    <row r="212919" customFormat="1" x14ac:dyDescent="0.25"/>
    <row r="212920" customFormat="1" x14ac:dyDescent="0.25"/>
    <row r="212921" customFormat="1" x14ac:dyDescent="0.25"/>
    <row r="212922" customFormat="1" x14ac:dyDescent="0.25"/>
    <row r="212923" customFormat="1" x14ac:dyDescent="0.25"/>
    <row r="212924" customFormat="1" x14ac:dyDescent="0.25"/>
    <row r="212925" customFormat="1" x14ac:dyDescent="0.25"/>
    <row r="212926" customFormat="1" x14ac:dyDescent="0.25"/>
    <row r="212927" customFormat="1" x14ac:dyDescent="0.25"/>
    <row r="212928" customFormat="1" x14ac:dyDescent="0.25"/>
    <row r="212929" customFormat="1" x14ac:dyDescent="0.25"/>
    <row r="212930" customFormat="1" x14ac:dyDescent="0.25"/>
    <row r="212931" customFormat="1" x14ac:dyDescent="0.25"/>
    <row r="212932" customFormat="1" x14ac:dyDescent="0.25"/>
    <row r="212933" customFormat="1" x14ac:dyDescent="0.25"/>
    <row r="212934" customFormat="1" x14ac:dyDescent="0.25"/>
    <row r="212935" customFormat="1" x14ac:dyDescent="0.25"/>
    <row r="212936" customFormat="1" x14ac:dyDescent="0.25"/>
    <row r="212937" customFormat="1" x14ac:dyDescent="0.25"/>
    <row r="212938" customFormat="1" x14ac:dyDescent="0.25"/>
    <row r="212939" customFormat="1" x14ac:dyDescent="0.25"/>
    <row r="212940" customFormat="1" x14ac:dyDescent="0.25"/>
    <row r="212941" customFormat="1" x14ac:dyDescent="0.25"/>
    <row r="212942" customFormat="1" x14ac:dyDescent="0.25"/>
    <row r="212943" customFormat="1" x14ac:dyDescent="0.25"/>
    <row r="212944" customFormat="1" x14ac:dyDescent="0.25"/>
    <row r="212945" customFormat="1" x14ac:dyDescent="0.25"/>
    <row r="212946" customFormat="1" x14ac:dyDescent="0.25"/>
    <row r="212947" customFormat="1" x14ac:dyDescent="0.25"/>
    <row r="212948" customFormat="1" x14ac:dyDescent="0.25"/>
    <row r="212949" customFormat="1" x14ac:dyDescent="0.25"/>
    <row r="212950" customFormat="1" x14ac:dyDescent="0.25"/>
    <row r="212951" customFormat="1" x14ac:dyDescent="0.25"/>
    <row r="212952" customFormat="1" x14ac:dyDescent="0.25"/>
    <row r="212953" customFormat="1" x14ac:dyDescent="0.25"/>
    <row r="212954" customFormat="1" x14ac:dyDescent="0.25"/>
    <row r="212955" customFormat="1" x14ac:dyDescent="0.25"/>
    <row r="212956" customFormat="1" x14ac:dyDescent="0.25"/>
    <row r="212957" customFormat="1" x14ac:dyDescent="0.25"/>
    <row r="212958" customFormat="1" x14ac:dyDescent="0.25"/>
    <row r="212959" customFormat="1" x14ac:dyDescent="0.25"/>
    <row r="212960" customFormat="1" x14ac:dyDescent="0.25"/>
    <row r="212961" customFormat="1" x14ac:dyDescent="0.25"/>
    <row r="212962" customFormat="1" x14ac:dyDescent="0.25"/>
    <row r="212963" customFormat="1" x14ac:dyDescent="0.25"/>
    <row r="212964" customFormat="1" x14ac:dyDescent="0.25"/>
    <row r="212965" customFormat="1" x14ac:dyDescent="0.25"/>
    <row r="212966" customFormat="1" x14ac:dyDescent="0.25"/>
    <row r="212967" customFormat="1" x14ac:dyDescent="0.25"/>
    <row r="212968" customFormat="1" x14ac:dyDescent="0.25"/>
    <row r="212969" customFormat="1" x14ac:dyDescent="0.25"/>
    <row r="212970" customFormat="1" x14ac:dyDescent="0.25"/>
    <row r="212971" customFormat="1" x14ac:dyDescent="0.25"/>
    <row r="212972" customFormat="1" x14ac:dyDescent="0.25"/>
    <row r="212973" customFormat="1" x14ac:dyDescent="0.25"/>
    <row r="212974" customFormat="1" x14ac:dyDescent="0.25"/>
    <row r="212975" customFormat="1" x14ac:dyDescent="0.25"/>
    <row r="212976" customFormat="1" x14ac:dyDescent="0.25"/>
    <row r="212977" customFormat="1" x14ac:dyDescent="0.25"/>
    <row r="212978" customFormat="1" x14ac:dyDescent="0.25"/>
    <row r="212979" customFormat="1" x14ac:dyDescent="0.25"/>
    <row r="212980" customFormat="1" x14ac:dyDescent="0.25"/>
    <row r="212981" customFormat="1" x14ac:dyDescent="0.25"/>
    <row r="212982" customFormat="1" x14ac:dyDescent="0.25"/>
    <row r="212983" customFormat="1" x14ac:dyDescent="0.25"/>
    <row r="212984" customFormat="1" x14ac:dyDescent="0.25"/>
    <row r="212985" customFormat="1" x14ac:dyDescent="0.25"/>
    <row r="212986" customFormat="1" x14ac:dyDescent="0.25"/>
    <row r="212987" customFormat="1" x14ac:dyDescent="0.25"/>
    <row r="212988" customFormat="1" x14ac:dyDescent="0.25"/>
    <row r="212989" customFormat="1" x14ac:dyDescent="0.25"/>
    <row r="212990" customFormat="1" x14ac:dyDescent="0.25"/>
    <row r="212991" customFormat="1" x14ac:dyDescent="0.25"/>
    <row r="212992" customFormat="1" x14ac:dyDescent="0.25"/>
    <row r="212993" customFormat="1" x14ac:dyDescent="0.25"/>
    <row r="212994" customFormat="1" x14ac:dyDescent="0.25"/>
    <row r="212995" customFormat="1" x14ac:dyDescent="0.25"/>
    <row r="212996" customFormat="1" x14ac:dyDescent="0.25"/>
    <row r="212997" customFormat="1" x14ac:dyDescent="0.25"/>
    <row r="212998" customFormat="1" x14ac:dyDescent="0.25"/>
    <row r="212999" customFormat="1" x14ac:dyDescent="0.25"/>
    <row r="213000" customFormat="1" x14ac:dyDescent="0.25"/>
    <row r="213001" customFormat="1" x14ac:dyDescent="0.25"/>
    <row r="213002" customFormat="1" x14ac:dyDescent="0.25"/>
    <row r="213003" customFormat="1" x14ac:dyDescent="0.25"/>
    <row r="213004" customFormat="1" x14ac:dyDescent="0.25"/>
    <row r="213005" customFormat="1" x14ac:dyDescent="0.25"/>
    <row r="213006" customFormat="1" x14ac:dyDescent="0.25"/>
    <row r="213007" customFormat="1" x14ac:dyDescent="0.25"/>
    <row r="213008" customFormat="1" x14ac:dyDescent="0.25"/>
    <row r="213009" customFormat="1" x14ac:dyDescent="0.25"/>
    <row r="213010" customFormat="1" x14ac:dyDescent="0.25"/>
    <row r="213011" customFormat="1" x14ac:dyDescent="0.25"/>
    <row r="213012" customFormat="1" x14ac:dyDescent="0.25"/>
    <row r="213013" customFormat="1" x14ac:dyDescent="0.25"/>
    <row r="213014" customFormat="1" x14ac:dyDescent="0.25"/>
    <row r="213015" customFormat="1" x14ac:dyDescent="0.25"/>
    <row r="213016" customFormat="1" x14ac:dyDescent="0.25"/>
    <row r="213017" customFormat="1" x14ac:dyDescent="0.25"/>
    <row r="213018" customFormat="1" x14ac:dyDescent="0.25"/>
    <row r="213019" customFormat="1" x14ac:dyDescent="0.25"/>
    <row r="213020" customFormat="1" x14ac:dyDescent="0.25"/>
    <row r="213021" customFormat="1" x14ac:dyDescent="0.25"/>
    <row r="213022" customFormat="1" x14ac:dyDescent="0.25"/>
    <row r="213023" customFormat="1" x14ac:dyDescent="0.25"/>
    <row r="213024" customFormat="1" x14ac:dyDescent="0.25"/>
    <row r="213025" customFormat="1" x14ac:dyDescent="0.25"/>
    <row r="213026" customFormat="1" x14ac:dyDescent="0.25"/>
    <row r="213027" customFormat="1" x14ac:dyDescent="0.25"/>
    <row r="213028" customFormat="1" x14ac:dyDescent="0.25"/>
    <row r="213029" customFormat="1" x14ac:dyDescent="0.25"/>
    <row r="213030" customFormat="1" x14ac:dyDescent="0.25"/>
    <row r="213031" customFormat="1" x14ac:dyDescent="0.25"/>
    <row r="213032" customFormat="1" x14ac:dyDescent="0.25"/>
    <row r="213033" customFormat="1" x14ac:dyDescent="0.25"/>
    <row r="213034" customFormat="1" x14ac:dyDescent="0.25"/>
    <row r="213035" customFormat="1" x14ac:dyDescent="0.25"/>
    <row r="213036" customFormat="1" x14ac:dyDescent="0.25"/>
    <row r="213037" customFormat="1" x14ac:dyDescent="0.25"/>
    <row r="213038" customFormat="1" x14ac:dyDescent="0.25"/>
    <row r="213039" customFormat="1" x14ac:dyDescent="0.25"/>
    <row r="213040" customFormat="1" x14ac:dyDescent="0.25"/>
    <row r="213041" customFormat="1" x14ac:dyDescent="0.25"/>
    <row r="213042" customFormat="1" x14ac:dyDescent="0.25"/>
    <row r="213043" customFormat="1" x14ac:dyDescent="0.25"/>
    <row r="213044" customFormat="1" x14ac:dyDescent="0.25"/>
    <row r="213045" customFormat="1" x14ac:dyDescent="0.25"/>
    <row r="213046" customFormat="1" x14ac:dyDescent="0.25"/>
    <row r="213047" customFormat="1" x14ac:dyDescent="0.25"/>
    <row r="213048" customFormat="1" x14ac:dyDescent="0.25"/>
    <row r="213049" customFormat="1" x14ac:dyDescent="0.25"/>
    <row r="213050" customFormat="1" x14ac:dyDescent="0.25"/>
    <row r="213051" customFormat="1" x14ac:dyDescent="0.25"/>
    <row r="213052" customFormat="1" x14ac:dyDescent="0.25"/>
    <row r="213053" customFormat="1" x14ac:dyDescent="0.25"/>
    <row r="213054" customFormat="1" x14ac:dyDescent="0.25"/>
    <row r="213055" customFormat="1" x14ac:dyDescent="0.25"/>
    <row r="213056" customFormat="1" x14ac:dyDescent="0.25"/>
    <row r="213057" customFormat="1" x14ac:dyDescent="0.25"/>
    <row r="213058" customFormat="1" x14ac:dyDescent="0.25"/>
    <row r="213059" customFormat="1" x14ac:dyDescent="0.25"/>
    <row r="213060" customFormat="1" x14ac:dyDescent="0.25"/>
    <row r="213061" customFormat="1" x14ac:dyDescent="0.25"/>
    <row r="213062" customFormat="1" x14ac:dyDescent="0.25"/>
    <row r="213063" customFormat="1" x14ac:dyDescent="0.25"/>
    <row r="213064" customFormat="1" x14ac:dyDescent="0.25"/>
    <row r="213065" customFormat="1" x14ac:dyDescent="0.25"/>
    <row r="213066" customFormat="1" x14ac:dyDescent="0.25"/>
    <row r="213067" customFormat="1" x14ac:dyDescent="0.25"/>
    <row r="213068" customFormat="1" x14ac:dyDescent="0.25"/>
    <row r="213069" customFormat="1" x14ac:dyDescent="0.25"/>
    <row r="213070" customFormat="1" x14ac:dyDescent="0.25"/>
    <row r="213071" customFormat="1" x14ac:dyDescent="0.25"/>
    <row r="213072" customFormat="1" x14ac:dyDescent="0.25"/>
    <row r="213073" customFormat="1" x14ac:dyDescent="0.25"/>
    <row r="213074" customFormat="1" x14ac:dyDescent="0.25"/>
    <row r="213075" customFormat="1" x14ac:dyDescent="0.25"/>
    <row r="213076" customFormat="1" x14ac:dyDescent="0.25"/>
    <row r="213077" customFormat="1" x14ac:dyDescent="0.25"/>
    <row r="213078" customFormat="1" x14ac:dyDescent="0.25"/>
    <row r="213079" customFormat="1" x14ac:dyDescent="0.25"/>
    <row r="213080" customFormat="1" x14ac:dyDescent="0.25"/>
    <row r="213081" customFormat="1" x14ac:dyDescent="0.25"/>
    <row r="213082" customFormat="1" x14ac:dyDescent="0.25"/>
    <row r="213083" customFormat="1" x14ac:dyDescent="0.25"/>
    <row r="213084" customFormat="1" x14ac:dyDescent="0.25"/>
    <row r="213085" customFormat="1" x14ac:dyDescent="0.25"/>
    <row r="213086" customFormat="1" x14ac:dyDescent="0.25"/>
    <row r="213087" customFormat="1" x14ac:dyDescent="0.25"/>
    <row r="213088" customFormat="1" x14ac:dyDescent="0.25"/>
    <row r="213089" customFormat="1" x14ac:dyDescent="0.25"/>
    <row r="213090" customFormat="1" x14ac:dyDescent="0.25"/>
    <row r="213091" customFormat="1" x14ac:dyDescent="0.25"/>
    <row r="213092" customFormat="1" x14ac:dyDescent="0.25"/>
    <row r="213093" customFormat="1" x14ac:dyDescent="0.25"/>
    <row r="213094" customFormat="1" x14ac:dyDescent="0.25"/>
    <row r="213095" customFormat="1" x14ac:dyDescent="0.25"/>
    <row r="213096" customFormat="1" x14ac:dyDescent="0.25"/>
    <row r="213097" customFormat="1" x14ac:dyDescent="0.25"/>
    <row r="213098" customFormat="1" x14ac:dyDescent="0.25"/>
    <row r="213099" customFormat="1" x14ac:dyDescent="0.25"/>
    <row r="213100" customFormat="1" x14ac:dyDescent="0.25"/>
    <row r="213101" customFormat="1" x14ac:dyDescent="0.25"/>
    <row r="213102" customFormat="1" x14ac:dyDescent="0.25"/>
    <row r="213103" customFormat="1" x14ac:dyDescent="0.25"/>
    <row r="213104" customFormat="1" x14ac:dyDescent="0.25"/>
    <row r="213105" customFormat="1" x14ac:dyDescent="0.25"/>
    <row r="213106" customFormat="1" x14ac:dyDescent="0.25"/>
    <row r="213107" customFormat="1" x14ac:dyDescent="0.25"/>
    <row r="213108" customFormat="1" x14ac:dyDescent="0.25"/>
    <row r="213109" customFormat="1" x14ac:dyDescent="0.25"/>
    <row r="213110" customFormat="1" x14ac:dyDescent="0.25"/>
    <row r="213111" customFormat="1" x14ac:dyDescent="0.25"/>
    <row r="213112" customFormat="1" x14ac:dyDescent="0.25"/>
    <row r="213113" customFormat="1" x14ac:dyDescent="0.25"/>
    <row r="213114" customFormat="1" x14ac:dyDescent="0.25"/>
    <row r="213115" customFormat="1" x14ac:dyDescent="0.25"/>
    <row r="213116" customFormat="1" x14ac:dyDescent="0.25"/>
    <row r="213117" customFormat="1" x14ac:dyDescent="0.25"/>
    <row r="213118" customFormat="1" x14ac:dyDescent="0.25"/>
    <row r="213119" customFormat="1" x14ac:dyDescent="0.25"/>
    <row r="213120" customFormat="1" x14ac:dyDescent="0.25"/>
    <row r="213121" customFormat="1" x14ac:dyDescent="0.25"/>
    <row r="213122" customFormat="1" x14ac:dyDescent="0.25"/>
    <row r="213123" customFormat="1" x14ac:dyDescent="0.25"/>
    <row r="213124" customFormat="1" x14ac:dyDescent="0.25"/>
    <row r="213125" customFormat="1" x14ac:dyDescent="0.25"/>
    <row r="213126" customFormat="1" x14ac:dyDescent="0.25"/>
    <row r="213127" customFormat="1" x14ac:dyDescent="0.25"/>
    <row r="213128" customFormat="1" x14ac:dyDescent="0.25"/>
    <row r="213129" customFormat="1" x14ac:dyDescent="0.25"/>
    <row r="213130" customFormat="1" x14ac:dyDescent="0.25"/>
    <row r="213131" customFormat="1" x14ac:dyDescent="0.25"/>
    <row r="213132" customFormat="1" x14ac:dyDescent="0.25"/>
    <row r="213133" customFormat="1" x14ac:dyDescent="0.25"/>
    <row r="213134" customFormat="1" x14ac:dyDescent="0.25"/>
    <row r="213135" customFormat="1" x14ac:dyDescent="0.25"/>
    <row r="213136" customFormat="1" x14ac:dyDescent="0.25"/>
    <row r="213137" customFormat="1" x14ac:dyDescent="0.25"/>
    <row r="213138" customFormat="1" x14ac:dyDescent="0.25"/>
    <row r="213139" customFormat="1" x14ac:dyDescent="0.25"/>
    <row r="213140" customFormat="1" x14ac:dyDescent="0.25"/>
    <row r="213141" customFormat="1" x14ac:dyDescent="0.25"/>
    <row r="213142" customFormat="1" x14ac:dyDescent="0.25"/>
    <row r="213143" customFormat="1" x14ac:dyDescent="0.25"/>
    <row r="213144" customFormat="1" x14ac:dyDescent="0.25"/>
    <row r="213145" customFormat="1" x14ac:dyDescent="0.25"/>
    <row r="213146" customFormat="1" x14ac:dyDescent="0.25"/>
    <row r="213147" customFormat="1" x14ac:dyDescent="0.25"/>
    <row r="213148" customFormat="1" x14ac:dyDescent="0.25"/>
    <row r="213149" customFormat="1" x14ac:dyDescent="0.25"/>
    <row r="213150" customFormat="1" x14ac:dyDescent="0.25"/>
    <row r="213151" customFormat="1" x14ac:dyDescent="0.25"/>
    <row r="213152" customFormat="1" x14ac:dyDescent="0.25"/>
    <row r="213153" customFormat="1" x14ac:dyDescent="0.25"/>
    <row r="213154" customFormat="1" x14ac:dyDescent="0.25"/>
    <row r="213155" customFormat="1" x14ac:dyDescent="0.25"/>
    <row r="213156" customFormat="1" x14ac:dyDescent="0.25"/>
    <row r="213157" customFormat="1" x14ac:dyDescent="0.25"/>
    <row r="213158" customFormat="1" x14ac:dyDescent="0.25"/>
    <row r="213159" customFormat="1" x14ac:dyDescent="0.25"/>
    <row r="213160" customFormat="1" x14ac:dyDescent="0.25"/>
    <row r="213161" customFormat="1" x14ac:dyDescent="0.25"/>
    <row r="213162" customFormat="1" x14ac:dyDescent="0.25"/>
    <row r="213163" customFormat="1" x14ac:dyDescent="0.25"/>
    <row r="213164" customFormat="1" x14ac:dyDescent="0.25"/>
    <row r="213165" customFormat="1" x14ac:dyDescent="0.25"/>
    <row r="213166" customFormat="1" x14ac:dyDescent="0.25"/>
    <row r="213167" customFormat="1" x14ac:dyDescent="0.25"/>
    <row r="213168" customFormat="1" x14ac:dyDescent="0.25"/>
    <row r="213169" customFormat="1" x14ac:dyDescent="0.25"/>
    <row r="213170" customFormat="1" x14ac:dyDescent="0.25"/>
    <row r="213171" customFormat="1" x14ac:dyDescent="0.25"/>
    <row r="213172" customFormat="1" x14ac:dyDescent="0.25"/>
    <row r="213173" customFormat="1" x14ac:dyDescent="0.25"/>
    <row r="213174" customFormat="1" x14ac:dyDescent="0.25"/>
    <row r="213175" customFormat="1" x14ac:dyDescent="0.25"/>
    <row r="213176" customFormat="1" x14ac:dyDescent="0.25"/>
    <row r="213177" customFormat="1" x14ac:dyDescent="0.25"/>
    <row r="213178" customFormat="1" x14ac:dyDescent="0.25"/>
    <row r="213179" customFormat="1" x14ac:dyDescent="0.25"/>
    <row r="213180" customFormat="1" x14ac:dyDescent="0.25"/>
    <row r="213181" customFormat="1" x14ac:dyDescent="0.25"/>
    <row r="213182" customFormat="1" x14ac:dyDescent="0.25"/>
    <row r="213183" customFormat="1" x14ac:dyDescent="0.25"/>
    <row r="213184" customFormat="1" x14ac:dyDescent="0.25"/>
    <row r="213185" customFormat="1" x14ac:dyDescent="0.25"/>
    <row r="213186" customFormat="1" x14ac:dyDescent="0.25"/>
    <row r="213187" customFormat="1" x14ac:dyDescent="0.25"/>
    <row r="213188" customFormat="1" x14ac:dyDescent="0.25"/>
    <row r="213189" customFormat="1" x14ac:dyDescent="0.25"/>
    <row r="213190" customFormat="1" x14ac:dyDescent="0.25"/>
    <row r="213191" customFormat="1" x14ac:dyDescent="0.25"/>
    <row r="213192" customFormat="1" x14ac:dyDescent="0.25"/>
    <row r="213193" customFormat="1" x14ac:dyDescent="0.25"/>
    <row r="213194" customFormat="1" x14ac:dyDescent="0.25"/>
    <row r="213195" customFormat="1" x14ac:dyDescent="0.25"/>
    <row r="213196" customFormat="1" x14ac:dyDescent="0.25"/>
    <row r="213197" customFormat="1" x14ac:dyDescent="0.25"/>
    <row r="213198" customFormat="1" x14ac:dyDescent="0.25"/>
    <row r="213199" customFormat="1" x14ac:dyDescent="0.25"/>
    <row r="213200" customFormat="1" x14ac:dyDescent="0.25"/>
    <row r="213201" customFormat="1" x14ac:dyDescent="0.25"/>
    <row r="213202" customFormat="1" x14ac:dyDescent="0.25"/>
    <row r="213203" customFormat="1" x14ac:dyDescent="0.25"/>
    <row r="213204" customFormat="1" x14ac:dyDescent="0.25"/>
    <row r="213205" customFormat="1" x14ac:dyDescent="0.25"/>
    <row r="213206" customFormat="1" x14ac:dyDescent="0.25"/>
    <row r="213207" customFormat="1" x14ac:dyDescent="0.25"/>
    <row r="213208" customFormat="1" x14ac:dyDescent="0.25"/>
    <row r="213209" customFormat="1" x14ac:dyDescent="0.25"/>
    <row r="213210" customFormat="1" x14ac:dyDescent="0.25"/>
    <row r="213211" customFormat="1" x14ac:dyDescent="0.25"/>
    <row r="213212" customFormat="1" x14ac:dyDescent="0.25"/>
    <row r="213213" customFormat="1" x14ac:dyDescent="0.25"/>
    <row r="213214" customFormat="1" x14ac:dyDescent="0.25"/>
    <row r="213215" customFormat="1" x14ac:dyDescent="0.25"/>
    <row r="213216" customFormat="1" x14ac:dyDescent="0.25"/>
    <row r="213217" customFormat="1" x14ac:dyDescent="0.25"/>
    <row r="213218" customFormat="1" x14ac:dyDescent="0.25"/>
    <row r="213219" customFormat="1" x14ac:dyDescent="0.25"/>
    <row r="213220" customFormat="1" x14ac:dyDescent="0.25"/>
    <row r="213221" customFormat="1" x14ac:dyDescent="0.25"/>
    <row r="213222" customFormat="1" x14ac:dyDescent="0.25"/>
    <row r="213223" customFormat="1" x14ac:dyDescent="0.25"/>
    <row r="213224" customFormat="1" x14ac:dyDescent="0.25"/>
    <row r="213225" customFormat="1" x14ac:dyDescent="0.25"/>
    <row r="213226" customFormat="1" x14ac:dyDescent="0.25"/>
    <row r="213227" customFormat="1" x14ac:dyDescent="0.25"/>
    <row r="213228" customFormat="1" x14ac:dyDescent="0.25"/>
    <row r="213229" customFormat="1" x14ac:dyDescent="0.25"/>
    <row r="213230" customFormat="1" x14ac:dyDescent="0.25"/>
    <row r="213231" customFormat="1" x14ac:dyDescent="0.25"/>
    <row r="213232" customFormat="1" x14ac:dyDescent="0.25"/>
    <row r="213233" customFormat="1" x14ac:dyDescent="0.25"/>
    <row r="213234" customFormat="1" x14ac:dyDescent="0.25"/>
    <row r="213235" customFormat="1" x14ac:dyDescent="0.25"/>
    <row r="213236" customFormat="1" x14ac:dyDescent="0.25"/>
    <row r="213237" customFormat="1" x14ac:dyDescent="0.25"/>
    <row r="213238" customFormat="1" x14ac:dyDescent="0.25"/>
    <row r="213239" customFormat="1" x14ac:dyDescent="0.25"/>
    <row r="213240" customFormat="1" x14ac:dyDescent="0.25"/>
    <row r="213241" customFormat="1" x14ac:dyDescent="0.25"/>
    <row r="213242" customFormat="1" x14ac:dyDescent="0.25"/>
    <row r="213243" customFormat="1" x14ac:dyDescent="0.25"/>
    <row r="213244" customFormat="1" x14ac:dyDescent="0.25"/>
    <row r="213245" customFormat="1" x14ac:dyDescent="0.25"/>
    <row r="213246" customFormat="1" x14ac:dyDescent="0.25"/>
    <row r="213247" customFormat="1" x14ac:dyDescent="0.25"/>
    <row r="213248" customFormat="1" x14ac:dyDescent="0.25"/>
    <row r="213249" customFormat="1" x14ac:dyDescent="0.25"/>
    <row r="213250" customFormat="1" x14ac:dyDescent="0.25"/>
    <row r="213251" customFormat="1" x14ac:dyDescent="0.25"/>
    <row r="213252" customFormat="1" x14ac:dyDescent="0.25"/>
    <row r="213253" customFormat="1" x14ac:dyDescent="0.25"/>
    <row r="213254" customFormat="1" x14ac:dyDescent="0.25"/>
    <row r="213255" customFormat="1" x14ac:dyDescent="0.25"/>
    <row r="213256" customFormat="1" x14ac:dyDescent="0.25"/>
    <row r="213257" customFormat="1" x14ac:dyDescent="0.25"/>
    <row r="213258" customFormat="1" x14ac:dyDescent="0.25"/>
    <row r="213259" customFormat="1" x14ac:dyDescent="0.25"/>
    <row r="213260" customFormat="1" x14ac:dyDescent="0.25"/>
    <row r="213261" customFormat="1" x14ac:dyDescent="0.25"/>
    <row r="213262" customFormat="1" x14ac:dyDescent="0.25"/>
    <row r="213263" customFormat="1" x14ac:dyDescent="0.25"/>
    <row r="213264" customFormat="1" x14ac:dyDescent="0.25"/>
    <row r="213265" customFormat="1" x14ac:dyDescent="0.25"/>
    <row r="213266" customFormat="1" x14ac:dyDescent="0.25"/>
    <row r="213267" customFormat="1" x14ac:dyDescent="0.25"/>
    <row r="213268" customFormat="1" x14ac:dyDescent="0.25"/>
    <row r="213269" customFormat="1" x14ac:dyDescent="0.25"/>
    <row r="213270" customFormat="1" x14ac:dyDescent="0.25"/>
    <row r="213271" customFormat="1" x14ac:dyDescent="0.25"/>
    <row r="213272" customFormat="1" x14ac:dyDescent="0.25"/>
    <row r="213273" customFormat="1" x14ac:dyDescent="0.25"/>
    <row r="213274" customFormat="1" x14ac:dyDescent="0.25"/>
    <row r="213275" customFormat="1" x14ac:dyDescent="0.25"/>
    <row r="213276" customFormat="1" x14ac:dyDescent="0.25"/>
    <row r="213277" customFormat="1" x14ac:dyDescent="0.25"/>
    <row r="213278" customFormat="1" x14ac:dyDescent="0.25"/>
    <row r="213279" customFormat="1" x14ac:dyDescent="0.25"/>
    <row r="213280" customFormat="1" x14ac:dyDescent="0.25"/>
    <row r="213281" customFormat="1" x14ac:dyDescent="0.25"/>
    <row r="213282" customFormat="1" x14ac:dyDescent="0.25"/>
    <row r="213283" customFormat="1" x14ac:dyDescent="0.25"/>
    <row r="213284" customFormat="1" x14ac:dyDescent="0.25"/>
    <row r="213285" customFormat="1" x14ac:dyDescent="0.25"/>
    <row r="213286" customFormat="1" x14ac:dyDescent="0.25"/>
    <row r="213287" customFormat="1" x14ac:dyDescent="0.25"/>
    <row r="213288" customFormat="1" x14ac:dyDescent="0.25"/>
    <row r="213289" customFormat="1" x14ac:dyDescent="0.25"/>
    <row r="213290" customFormat="1" x14ac:dyDescent="0.25"/>
    <row r="213291" customFormat="1" x14ac:dyDescent="0.25"/>
    <row r="213292" customFormat="1" x14ac:dyDescent="0.25"/>
    <row r="213293" customFormat="1" x14ac:dyDescent="0.25"/>
    <row r="213294" customFormat="1" x14ac:dyDescent="0.25"/>
    <row r="213295" customFormat="1" x14ac:dyDescent="0.25"/>
    <row r="213296" customFormat="1" x14ac:dyDescent="0.25"/>
    <row r="213297" customFormat="1" x14ac:dyDescent="0.25"/>
    <row r="213298" customFormat="1" x14ac:dyDescent="0.25"/>
    <row r="213299" customFormat="1" x14ac:dyDescent="0.25"/>
    <row r="213300" customFormat="1" x14ac:dyDescent="0.25"/>
    <row r="213301" customFormat="1" x14ac:dyDescent="0.25"/>
    <row r="213302" customFormat="1" x14ac:dyDescent="0.25"/>
    <row r="213303" customFormat="1" x14ac:dyDescent="0.25"/>
    <row r="213304" customFormat="1" x14ac:dyDescent="0.25"/>
    <row r="213305" customFormat="1" x14ac:dyDescent="0.25"/>
    <row r="213306" customFormat="1" x14ac:dyDescent="0.25"/>
    <row r="213307" customFormat="1" x14ac:dyDescent="0.25"/>
    <row r="213308" customFormat="1" x14ac:dyDescent="0.25"/>
    <row r="213309" customFormat="1" x14ac:dyDescent="0.25"/>
    <row r="213310" customFormat="1" x14ac:dyDescent="0.25"/>
    <row r="213311" customFormat="1" x14ac:dyDescent="0.25"/>
    <row r="213312" customFormat="1" x14ac:dyDescent="0.25"/>
    <row r="213313" customFormat="1" x14ac:dyDescent="0.25"/>
    <row r="213314" customFormat="1" x14ac:dyDescent="0.25"/>
    <row r="213315" customFormat="1" x14ac:dyDescent="0.25"/>
    <row r="213316" customFormat="1" x14ac:dyDescent="0.25"/>
    <row r="213317" customFormat="1" x14ac:dyDescent="0.25"/>
    <row r="213318" customFormat="1" x14ac:dyDescent="0.25"/>
    <row r="213319" customFormat="1" x14ac:dyDescent="0.25"/>
    <row r="213320" customFormat="1" x14ac:dyDescent="0.25"/>
    <row r="213321" customFormat="1" x14ac:dyDescent="0.25"/>
    <row r="213322" customFormat="1" x14ac:dyDescent="0.25"/>
    <row r="213323" customFormat="1" x14ac:dyDescent="0.25"/>
    <row r="213324" customFormat="1" x14ac:dyDescent="0.25"/>
    <row r="213325" customFormat="1" x14ac:dyDescent="0.25"/>
    <row r="213326" customFormat="1" x14ac:dyDescent="0.25"/>
    <row r="213327" customFormat="1" x14ac:dyDescent="0.25"/>
    <row r="213328" customFormat="1" x14ac:dyDescent="0.25"/>
    <row r="213329" customFormat="1" x14ac:dyDescent="0.25"/>
    <row r="213330" customFormat="1" x14ac:dyDescent="0.25"/>
    <row r="213331" customFormat="1" x14ac:dyDescent="0.25"/>
    <row r="213332" customFormat="1" x14ac:dyDescent="0.25"/>
    <row r="213333" customFormat="1" x14ac:dyDescent="0.25"/>
    <row r="213334" customFormat="1" x14ac:dyDescent="0.25"/>
    <row r="213335" customFormat="1" x14ac:dyDescent="0.25"/>
    <row r="213336" customFormat="1" x14ac:dyDescent="0.25"/>
    <row r="213337" customFormat="1" x14ac:dyDescent="0.25"/>
    <row r="213338" customFormat="1" x14ac:dyDescent="0.25"/>
    <row r="213339" customFormat="1" x14ac:dyDescent="0.25"/>
    <row r="213340" customFormat="1" x14ac:dyDescent="0.25"/>
    <row r="213341" customFormat="1" x14ac:dyDescent="0.25"/>
    <row r="213342" customFormat="1" x14ac:dyDescent="0.25"/>
    <row r="213343" customFormat="1" x14ac:dyDescent="0.25"/>
    <row r="213344" customFormat="1" x14ac:dyDescent="0.25"/>
    <row r="213345" customFormat="1" x14ac:dyDescent="0.25"/>
    <row r="213346" customFormat="1" x14ac:dyDescent="0.25"/>
    <row r="213347" customFormat="1" x14ac:dyDescent="0.25"/>
    <row r="213348" customFormat="1" x14ac:dyDescent="0.25"/>
    <row r="213349" customFormat="1" x14ac:dyDescent="0.25"/>
    <row r="213350" customFormat="1" x14ac:dyDescent="0.25"/>
    <row r="213351" customFormat="1" x14ac:dyDescent="0.25"/>
    <row r="213352" customFormat="1" x14ac:dyDescent="0.25"/>
    <row r="213353" customFormat="1" x14ac:dyDescent="0.25"/>
    <row r="213354" customFormat="1" x14ac:dyDescent="0.25"/>
    <row r="213355" customFormat="1" x14ac:dyDescent="0.25"/>
    <row r="213356" customFormat="1" x14ac:dyDescent="0.25"/>
    <row r="213357" customFormat="1" x14ac:dyDescent="0.25"/>
    <row r="213358" customFormat="1" x14ac:dyDescent="0.25"/>
    <row r="213359" customFormat="1" x14ac:dyDescent="0.25"/>
    <row r="213360" customFormat="1" x14ac:dyDescent="0.25"/>
    <row r="213361" customFormat="1" x14ac:dyDescent="0.25"/>
    <row r="213362" customFormat="1" x14ac:dyDescent="0.25"/>
    <row r="213363" customFormat="1" x14ac:dyDescent="0.25"/>
    <row r="213364" customFormat="1" x14ac:dyDescent="0.25"/>
    <row r="213365" customFormat="1" x14ac:dyDescent="0.25"/>
    <row r="213366" customFormat="1" x14ac:dyDescent="0.25"/>
    <row r="213367" customFormat="1" x14ac:dyDescent="0.25"/>
    <row r="213368" customFormat="1" x14ac:dyDescent="0.25"/>
    <row r="213369" customFormat="1" x14ac:dyDescent="0.25"/>
    <row r="213370" customFormat="1" x14ac:dyDescent="0.25"/>
    <row r="213371" customFormat="1" x14ac:dyDescent="0.25"/>
    <row r="213372" customFormat="1" x14ac:dyDescent="0.25"/>
    <row r="213373" customFormat="1" x14ac:dyDescent="0.25"/>
    <row r="213374" customFormat="1" x14ac:dyDescent="0.25"/>
    <row r="213375" customFormat="1" x14ac:dyDescent="0.25"/>
    <row r="213376" customFormat="1" x14ac:dyDescent="0.25"/>
    <row r="213377" customFormat="1" x14ac:dyDescent="0.25"/>
    <row r="213378" customFormat="1" x14ac:dyDescent="0.25"/>
    <row r="213379" customFormat="1" x14ac:dyDescent="0.25"/>
    <row r="213380" customFormat="1" x14ac:dyDescent="0.25"/>
    <row r="213381" customFormat="1" x14ac:dyDescent="0.25"/>
    <row r="213382" customFormat="1" x14ac:dyDescent="0.25"/>
    <row r="213383" customFormat="1" x14ac:dyDescent="0.25"/>
    <row r="213384" customFormat="1" x14ac:dyDescent="0.25"/>
    <row r="213385" customFormat="1" x14ac:dyDescent="0.25"/>
    <row r="213386" customFormat="1" x14ac:dyDescent="0.25"/>
    <row r="213387" customFormat="1" x14ac:dyDescent="0.25"/>
    <row r="213388" customFormat="1" x14ac:dyDescent="0.25"/>
    <row r="213389" customFormat="1" x14ac:dyDescent="0.25"/>
    <row r="213390" customFormat="1" x14ac:dyDescent="0.25"/>
    <row r="213391" customFormat="1" x14ac:dyDescent="0.25"/>
    <row r="213392" customFormat="1" x14ac:dyDescent="0.25"/>
    <row r="213393" customFormat="1" x14ac:dyDescent="0.25"/>
    <row r="213394" customFormat="1" x14ac:dyDescent="0.25"/>
    <row r="213395" customFormat="1" x14ac:dyDescent="0.25"/>
    <row r="213396" customFormat="1" x14ac:dyDescent="0.25"/>
    <row r="213397" customFormat="1" x14ac:dyDescent="0.25"/>
    <row r="213398" customFormat="1" x14ac:dyDescent="0.25"/>
    <row r="213399" customFormat="1" x14ac:dyDescent="0.25"/>
    <row r="213400" customFormat="1" x14ac:dyDescent="0.25"/>
    <row r="213401" customFormat="1" x14ac:dyDescent="0.25"/>
    <row r="213402" customFormat="1" x14ac:dyDescent="0.25"/>
    <row r="213403" customFormat="1" x14ac:dyDescent="0.25"/>
    <row r="213404" customFormat="1" x14ac:dyDescent="0.25"/>
    <row r="213405" customFormat="1" x14ac:dyDescent="0.25"/>
    <row r="213406" customFormat="1" x14ac:dyDescent="0.25"/>
    <row r="213407" customFormat="1" x14ac:dyDescent="0.25"/>
    <row r="213408" customFormat="1" x14ac:dyDescent="0.25"/>
    <row r="213409" customFormat="1" x14ac:dyDescent="0.25"/>
    <row r="213410" customFormat="1" x14ac:dyDescent="0.25"/>
    <row r="213411" customFormat="1" x14ac:dyDescent="0.25"/>
    <row r="213412" customFormat="1" x14ac:dyDescent="0.25"/>
    <row r="213413" customFormat="1" x14ac:dyDescent="0.25"/>
    <row r="213414" customFormat="1" x14ac:dyDescent="0.25"/>
    <row r="213415" customFormat="1" x14ac:dyDescent="0.25"/>
    <row r="213416" customFormat="1" x14ac:dyDescent="0.25"/>
    <row r="213417" customFormat="1" x14ac:dyDescent="0.25"/>
    <row r="213418" customFormat="1" x14ac:dyDescent="0.25"/>
    <row r="213419" customFormat="1" x14ac:dyDescent="0.25"/>
    <row r="213420" customFormat="1" x14ac:dyDescent="0.25"/>
    <row r="213421" customFormat="1" x14ac:dyDescent="0.25"/>
    <row r="213422" customFormat="1" x14ac:dyDescent="0.25"/>
    <row r="213423" customFormat="1" x14ac:dyDescent="0.25"/>
    <row r="213424" customFormat="1" x14ac:dyDescent="0.25"/>
    <row r="213425" customFormat="1" x14ac:dyDescent="0.25"/>
    <row r="213426" customFormat="1" x14ac:dyDescent="0.25"/>
    <row r="213427" customFormat="1" x14ac:dyDescent="0.25"/>
    <row r="213428" customFormat="1" x14ac:dyDescent="0.25"/>
    <row r="213429" customFormat="1" x14ac:dyDescent="0.25"/>
    <row r="213430" customFormat="1" x14ac:dyDescent="0.25"/>
    <row r="213431" customFormat="1" x14ac:dyDescent="0.25"/>
    <row r="213432" customFormat="1" x14ac:dyDescent="0.25"/>
    <row r="213433" customFormat="1" x14ac:dyDescent="0.25"/>
    <row r="213434" customFormat="1" x14ac:dyDescent="0.25"/>
    <row r="213435" customFormat="1" x14ac:dyDescent="0.25"/>
    <row r="213436" customFormat="1" x14ac:dyDescent="0.25"/>
    <row r="213437" customFormat="1" x14ac:dyDescent="0.25"/>
    <row r="213438" customFormat="1" x14ac:dyDescent="0.25"/>
    <row r="213439" customFormat="1" x14ac:dyDescent="0.25"/>
    <row r="213440" customFormat="1" x14ac:dyDescent="0.25"/>
    <row r="213441" customFormat="1" x14ac:dyDescent="0.25"/>
    <row r="213442" customFormat="1" x14ac:dyDescent="0.25"/>
    <row r="213443" customFormat="1" x14ac:dyDescent="0.25"/>
    <row r="213444" customFormat="1" x14ac:dyDescent="0.25"/>
    <row r="213445" customFormat="1" x14ac:dyDescent="0.25"/>
    <row r="213446" customFormat="1" x14ac:dyDescent="0.25"/>
    <row r="213447" customFormat="1" x14ac:dyDescent="0.25"/>
    <row r="213448" customFormat="1" x14ac:dyDescent="0.25"/>
    <row r="213449" customFormat="1" x14ac:dyDescent="0.25"/>
    <row r="213450" customFormat="1" x14ac:dyDescent="0.25"/>
    <row r="213451" customFormat="1" x14ac:dyDescent="0.25"/>
    <row r="213452" customFormat="1" x14ac:dyDescent="0.25"/>
    <row r="213453" customFormat="1" x14ac:dyDescent="0.25"/>
    <row r="213454" customFormat="1" x14ac:dyDescent="0.25"/>
    <row r="213455" customFormat="1" x14ac:dyDescent="0.25"/>
    <row r="213456" customFormat="1" x14ac:dyDescent="0.25"/>
    <row r="213457" customFormat="1" x14ac:dyDescent="0.25"/>
    <row r="213458" customFormat="1" x14ac:dyDescent="0.25"/>
    <row r="213459" customFormat="1" x14ac:dyDescent="0.25"/>
    <row r="213460" customFormat="1" x14ac:dyDescent="0.25"/>
    <row r="213461" customFormat="1" x14ac:dyDescent="0.25"/>
    <row r="213462" customFormat="1" x14ac:dyDescent="0.25"/>
    <row r="213463" customFormat="1" x14ac:dyDescent="0.25"/>
    <row r="213464" customFormat="1" x14ac:dyDescent="0.25"/>
    <row r="213465" customFormat="1" x14ac:dyDescent="0.25"/>
    <row r="213466" customFormat="1" x14ac:dyDescent="0.25"/>
    <row r="213467" customFormat="1" x14ac:dyDescent="0.25"/>
    <row r="213468" customFormat="1" x14ac:dyDescent="0.25"/>
    <row r="213469" customFormat="1" x14ac:dyDescent="0.25"/>
    <row r="213470" customFormat="1" x14ac:dyDescent="0.25"/>
    <row r="213471" customFormat="1" x14ac:dyDescent="0.25"/>
    <row r="213472" customFormat="1" x14ac:dyDescent="0.25"/>
    <row r="213473" customFormat="1" x14ac:dyDescent="0.25"/>
    <row r="213474" customFormat="1" x14ac:dyDescent="0.25"/>
    <row r="213475" customFormat="1" x14ac:dyDescent="0.25"/>
    <row r="213476" customFormat="1" x14ac:dyDescent="0.25"/>
    <row r="213477" customFormat="1" x14ac:dyDescent="0.25"/>
    <row r="213478" customFormat="1" x14ac:dyDescent="0.25"/>
    <row r="213479" customFormat="1" x14ac:dyDescent="0.25"/>
    <row r="213480" customFormat="1" x14ac:dyDescent="0.25"/>
    <row r="213481" customFormat="1" x14ac:dyDescent="0.25"/>
    <row r="213482" customFormat="1" x14ac:dyDescent="0.25"/>
    <row r="213483" customFormat="1" x14ac:dyDescent="0.25"/>
    <row r="213484" customFormat="1" x14ac:dyDescent="0.25"/>
    <row r="213485" customFormat="1" x14ac:dyDescent="0.25"/>
    <row r="213486" customFormat="1" x14ac:dyDescent="0.25"/>
    <row r="213487" customFormat="1" x14ac:dyDescent="0.25"/>
    <row r="213488" customFormat="1" x14ac:dyDescent="0.25"/>
    <row r="213489" customFormat="1" x14ac:dyDescent="0.25"/>
    <row r="213490" customFormat="1" x14ac:dyDescent="0.25"/>
    <row r="213491" customFormat="1" x14ac:dyDescent="0.25"/>
    <row r="213492" customFormat="1" x14ac:dyDescent="0.25"/>
    <row r="213493" customFormat="1" x14ac:dyDescent="0.25"/>
    <row r="213494" customFormat="1" x14ac:dyDescent="0.25"/>
    <row r="213495" customFormat="1" x14ac:dyDescent="0.25"/>
    <row r="213496" customFormat="1" x14ac:dyDescent="0.25"/>
    <row r="213497" customFormat="1" x14ac:dyDescent="0.25"/>
    <row r="213498" customFormat="1" x14ac:dyDescent="0.25"/>
    <row r="213499" customFormat="1" x14ac:dyDescent="0.25"/>
    <row r="213500" customFormat="1" x14ac:dyDescent="0.25"/>
    <row r="213501" customFormat="1" x14ac:dyDescent="0.25"/>
    <row r="213502" customFormat="1" x14ac:dyDescent="0.25"/>
    <row r="213503" customFormat="1" x14ac:dyDescent="0.25"/>
    <row r="213504" customFormat="1" x14ac:dyDescent="0.25"/>
    <row r="213505" customFormat="1" x14ac:dyDescent="0.25"/>
    <row r="213506" customFormat="1" x14ac:dyDescent="0.25"/>
    <row r="213507" customFormat="1" x14ac:dyDescent="0.25"/>
    <row r="213508" customFormat="1" x14ac:dyDescent="0.25"/>
    <row r="213509" customFormat="1" x14ac:dyDescent="0.25"/>
    <row r="213510" customFormat="1" x14ac:dyDescent="0.25"/>
    <row r="213511" customFormat="1" x14ac:dyDescent="0.25"/>
    <row r="213512" customFormat="1" x14ac:dyDescent="0.25"/>
    <row r="213513" customFormat="1" x14ac:dyDescent="0.25"/>
    <row r="213514" customFormat="1" x14ac:dyDescent="0.25"/>
    <row r="213515" customFormat="1" x14ac:dyDescent="0.25"/>
    <row r="213516" customFormat="1" x14ac:dyDescent="0.25"/>
    <row r="213517" customFormat="1" x14ac:dyDescent="0.25"/>
    <row r="213518" customFormat="1" x14ac:dyDescent="0.25"/>
    <row r="213519" customFormat="1" x14ac:dyDescent="0.25"/>
    <row r="213520" customFormat="1" x14ac:dyDescent="0.25"/>
    <row r="213521" customFormat="1" x14ac:dyDescent="0.25"/>
    <row r="213522" customFormat="1" x14ac:dyDescent="0.25"/>
    <row r="213523" customFormat="1" x14ac:dyDescent="0.25"/>
    <row r="213524" customFormat="1" x14ac:dyDescent="0.25"/>
    <row r="213525" customFormat="1" x14ac:dyDescent="0.25"/>
    <row r="213526" customFormat="1" x14ac:dyDescent="0.25"/>
    <row r="213527" customFormat="1" x14ac:dyDescent="0.25"/>
    <row r="213528" customFormat="1" x14ac:dyDescent="0.25"/>
    <row r="213529" customFormat="1" x14ac:dyDescent="0.25"/>
    <row r="213530" customFormat="1" x14ac:dyDescent="0.25"/>
    <row r="213531" customFormat="1" x14ac:dyDescent="0.25"/>
    <row r="213532" customFormat="1" x14ac:dyDescent="0.25"/>
    <row r="213533" customFormat="1" x14ac:dyDescent="0.25"/>
    <row r="213534" customFormat="1" x14ac:dyDescent="0.25"/>
    <row r="213535" customFormat="1" x14ac:dyDescent="0.25"/>
    <row r="213536" customFormat="1" x14ac:dyDescent="0.25"/>
    <row r="213537" customFormat="1" x14ac:dyDescent="0.25"/>
    <row r="213538" customFormat="1" x14ac:dyDescent="0.25"/>
    <row r="213539" customFormat="1" x14ac:dyDescent="0.25"/>
    <row r="213540" customFormat="1" x14ac:dyDescent="0.25"/>
    <row r="213541" customFormat="1" x14ac:dyDescent="0.25"/>
    <row r="213542" customFormat="1" x14ac:dyDescent="0.25"/>
    <row r="213543" customFormat="1" x14ac:dyDescent="0.25"/>
    <row r="213544" customFormat="1" x14ac:dyDescent="0.25"/>
    <row r="213545" customFormat="1" x14ac:dyDescent="0.25"/>
    <row r="213546" customFormat="1" x14ac:dyDescent="0.25"/>
    <row r="213547" customFormat="1" x14ac:dyDescent="0.25"/>
    <row r="213548" customFormat="1" x14ac:dyDescent="0.25"/>
    <row r="213549" customFormat="1" x14ac:dyDescent="0.25"/>
    <row r="213550" customFormat="1" x14ac:dyDescent="0.25"/>
    <row r="213551" customFormat="1" x14ac:dyDescent="0.25"/>
    <row r="213552" customFormat="1" x14ac:dyDescent="0.25"/>
    <row r="213553" customFormat="1" x14ac:dyDescent="0.25"/>
    <row r="213554" customFormat="1" x14ac:dyDescent="0.25"/>
    <row r="213555" customFormat="1" x14ac:dyDescent="0.25"/>
    <row r="213556" customFormat="1" x14ac:dyDescent="0.25"/>
    <row r="213557" customFormat="1" x14ac:dyDescent="0.25"/>
    <row r="213558" customFormat="1" x14ac:dyDescent="0.25"/>
    <row r="213559" customFormat="1" x14ac:dyDescent="0.25"/>
    <row r="213560" customFormat="1" x14ac:dyDescent="0.25"/>
    <row r="213561" customFormat="1" x14ac:dyDescent="0.25"/>
    <row r="213562" customFormat="1" x14ac:dyDescent="0.25"/>
    <row r="213563" customFormat="1" x14ac:dyDescent="0.25"/>
    <row r="213564" customFormat="1" x14ac:dyDescent="0.25"/>
    <row r="213565" customFormat="1" x14ac:dyDescent="0.25"/>
    <row r="213566" customFormat="1" x14ac:dyDescent="0.25"/>
    <row r="213567" customFormat="1" x14ac:dyDescent="0.25"/>
    <row r="213568" customFormat="1" x14ac:dyDescent="0.25"/>
    <row r="213569" customFormat="1" x14ac:dyDescent="0.25"/>
    <row r="213570" customFormat="1" x14ac:dyDescent="0.25"/>
    <row r="213571" customFormat="1" x14ac:dyDescent="0.25"/>
    <row r="213572" customFormat="1" x14ac:dyDescent="0.25"/>
    <row r="213573" customFormat="1" x14ac:dyDescent="0.25"/>
    <row r="213574" customFormat="1" x14ac:dyDescent="0.25"/>
    <row r="213575" customFormat="1" x14ac:dyDescent="0.25"/>
    <row r="213576" customFormat="1" x14ac:dyDescent="0.25"/>
    <row r="213577" customFormat="1" x14ac:dyDescent="0.25"/>
    <row r="213578" customFormat="1" x14ac:dyDescent="0.25"/>
    <row r="213579" customFormat="1" x14ac:dyDescent="0.25"/>
    <row r="213580" customFormat="1" x14ac:dyDescent="0.25"/>
    <row r="213581" customFormat="1" x14ac:dyDescent="0.25"/>
    <row r="213582" customFormat="1" x14ac:dyDescent="0.25"/>
    <row r="213583" customFormat="1" x14ac:dyDescent="0.25"/>
    <row r="213584" customFormat="1" x14ac:dyDescent="0.25"/>
    <row r="213585" customFormat="1" x14ac:dyDescent="0.25"/>
    <row r="213586" customFormat="1" x14ac:dyDescent="0.25"/>
    <row r="213587" customFormat="1" x14ac:dyDescent="0.25"/>
    <row r="213588" customFormat="1" x14ac:dyDescent="0.25"/>
    <row r="213589" customFormat="1" x14ac:dyDescent="0.25"/>
    <row r="213590" customFormat="1" x14ac:dyDescent="0.25"/>
    <row r="213591" customFormat="1" x14ac:dyDescent="0.25"/>
    <row r="213592" customFormat="1" x14ac:dyDescent="0.25"/>
    <row r="213593" customFormat="1" x14ac:dyDescent="0.25"/>
    <row r="213594" customFormat="1" x14ac:dyDescent="0.25"/>
    <row r="213595" customFormat="1" x14ac:dyDescent="0.25"/>
    <row r="213596" customFormat="1" x14ac:dyDescent="0.25"/>
    <row r="213597" customFormat="1" x14ac:dyDescent="0.25"/>
    <row r="213598" customFormat="1" x14ac:dyDescent="0.25"/>
    <row r="213599" customFormat="1" x14ac:dyDescent="0.25"/>
    <row r="213600" customFormat="1" x14ac:dyDescent="0.25"/>
    <row r="213601" customFormat="1" x14ac:dyDescent="0.25"/>
    <row r="213602" customFormat="1" x14ac:dyDescent="0.25"/>
    <row r="213603" customFormat="1" x14ac:dyDescent="0.25"/>
    <row r="213604" customFormat="1" x14ac:dyDescent="0.25"/>
    <row r="213605" customFormat="1" x14ac:dyDescent="0.25"/>
    <row r="213606" customFormat="1" x14ac:dyDescent="0.25"/>
    <row r="213607" customFormat="1" x14ac:dyDescent="0.25"/>
    <row r="213608" customFormat="1" x14ac:dyDescent="0.25"/>
    <row r="213609" customFormat="1" x14ac:dyDescent="0.25"/>
    <row r="213610" customFormat="1" x14ac:dyDescent="0.25"/>
    <row r="213611" customFormat="1" x14ac:dyDescent="0.25"/>
    <row r="213612" customFormat="1" x14ac:dyDescent="0.25"/>
    <row r="213613" customFormat="1" x14ac:dyDescent="0.25"/>
    <row r="213614" customFormat="1" x14ac:dyDescent="0.25"/>
    <row r="213615" customFormat="1" x14ac:dyDescent="0.25"/>
    <row r="213616" customFormat="1" x14ac:dyDescent="0.25"/>
    <row r="213617" customFormat="1" x14ac:dyDescent="0.25"/>
    <row r="213618" customFormat="1" x14ac:dyDescent="0.25"/>
    <row r="213619" customFormat="1" x14ac:dyDescent="0.25"/>
    <row r="213620" customFormat="1" x14ac:dyDescent="0.25"/>
    <row r="213621" customFormat="1" x14ac:dyDescent="0.25"/>
    <row r="213622" customFormat="1" x14ac:dyDescent="0.25"/>
    <row r="213623" customFormat="1" x14ac:dyDescent="0.25"/>
    <row r="213624" customFormat="1" x14ac:dyDescent="0.25"/>
    <row r="213625" customFormat="1" x14ac:dyDescent="0.25"/>
    <row r="213626" customFormat="1" x14ac:dyDescent="0.25"/>
    <row r="213627" customFormat="1" x14ac:dyDescent="0.25"/>
    <row r="213628" customFormat="1" x14ac:dyDescent="0.25"/>
    <row r="213629" customFormat="1" x14ac:dyDescent="0.25"/>
    <row r="213630" customFormat="1" x14ac:dyDescent="0.25"/>
    <row r="213631" customFormat="1" x14ac:dyDescent="0.25"/>
    <row r="213632" customFormat="1" x14ac:dyDescent="0.25"/>
    <row r="213633" customFormat="1" x14ac:dyDescent="0.25"/>
    <row r="213634" customFormat="1" x14ac:dyDescent="0.25"/>
    <row r="213635" customFormat="1" x14ac:dyDescent="0.25"/>
    <row r="213636" customFormat="1" x14ac:dyDescent="0.25"/>
    <row r="213637" customFormat="1" x14ac:dyDescent="0.25"/>
    <row r="213638" customFormat="1" x14ac:dyDescent="0.25"/>
    <row r="213639" customFormat="1" x14ac:dyDescent="0.25"/>
    <row r="213640" customFormat="1" x14ac:dyDescent="0.25"/>
    <row r="213641" customFormat="1" x14ac:dyDescent="0.25"/>
    <row r="213642" customFormat="1" x14ac:dyDescent="0.25"/>
    <row r="213643" customFormat="1" x14ac:dyDescent="0.25"/>
    <row r="213644" customFormat="1" x14ac:dyDescent="0.25"/>
    <row r="213645" customFormat="1" x14ac:dyDescent="0.25"/>
    <row r="213646" customFormat="1" x14ac:dyDescent="0.25"/>
    <row r="213647" customFormat="1" x14ac:dyDescent="0.25"/>
    <row r="213648" customFormat="1" x14ac:dyDescent="0.25"/>
    <row r="213649" customFormat="1" x14ac:dyDescent="0.25"/>
    <row r="213650" customFormat="1" x14ac:dyDescent="0.25"/>
    <row r="213651" customFormat="1" x14ac:dyDescent="0.25"/>
    <row r="213652" customFormat="1" x14ac:dyDescent="0.25"/>
    <row r="213653" customFormat="1" x14ac:dyDescent="0.25"/>
    <row r="213654" customFormat="1" x14ac:dyDescent="0.25"/>
    <row r="213655" customFormat="1" x14ac:dyDescent="0.25"/>
    <row r="213656" customFormat="1" x14ac:dyDescent="0.25"/>
    <row r="213657" customFormat="1" x14ac:dyDescent="0.25"/>
    <row r="213658" customFormat="1" x14ac:dyDescent="0.25"/>
    <row r="213659" customFormat="1" x14ac:dyDescent="0.25"/>
    <row r="213660" customFormat="1" x14ac:dyDescent="0.25"/>
    <row r="213661" customFormat="1" x14ac:dyDescent="0.25"/>
    <row r="213662" customFormat="1" x14ac:dyDescent="0.25"/>
    <row r="213663" customFormat="1" x14ac:dyDescent="0.25"/>
    <row r="213664" customFormat="1" x14ac:dyDescent="0.25"/>
    <row r="213665" customFormat="1" x14ac:dyDescent="0.25"/>
    <row r="213666" customFormat="1" x14ac:dyDescent="0.25"/>
    <row r="213667" customFormat="1" x14ac:dyDescent="0.25"/>
    <row r="213668" customFormat="1" x14ac:dyDescent="0.25"/>
    <row r="213669" customFormat="1" x14ac:dyDescent="0.25"/>
    <row r="213670" customFormat="1" x14ac:dyDescent="0.25"/>
    <row r="213671" customFormat="1" x14ac:dyDescent="0.25"/>
    <row r="213672" customFormat="1" x14ac:dyDescent="0.25"/>
    <row r="213673" customFormat="1" x14ac:dyDescent="0.25"/>
    <row r="213674" customFormat="1" x14ac:dyDescent="0.25"/>
    <row r="213675" customFormat="1" x14ac:dyDescent="0.25"/>
    <row r="213676" customFormat="1" x14ac:dyDescent="0.25"/>
    <row r="213677" customFormat="1" x14ac:dyDescent="0.25"/>
    <row r="213678" customFormat="1" x14ac:dyDescent="0.25"/>
    <row r="213679" customFormat="1" x14ac:dyDescent="0.25"/>
    <row r="213680" customFormat="1" x14ac:dyDescent="0.25"/>
    <row r="213681" customFormat="1" x14ac:dyDescent="0.25"/>
    <row r="213682" customFormat="1" x14ac:dyDescent="0.25"/>
    <row r="213683" customFormat="1" x14ac:dyDescent="0.25"/>
    <row r="213684" customFormat="1" x14ac:dyDescent="0.25"/>
    <row r="213685" customFormat="1" x14ac:dyDescent="0.25"/>
    <row r="213686" customFormat="1" x14ac:dyDescent="0.25"/>
    <row r="213687" customFormat="1" x14ac:dyDescent="0.25"/>
    <row r="213688" customFormat="1" x14ac:dyDescent="0.25"/>
    <row r="213689" customFormat="1" x14ac:dyDescent="0.25"/>
    <row r="213690" customFormat="1" x14ac:dyDescent="0.25"/>
    <row r="213691" customFormat="1" x14ac:dyDescent="0.25"/>
    <row r="213692" customFormat="1" x14ac:dyDescent="0.25"/>
    <row r="213693" customFormat="1" x14ac:dyDescent="0.25"/>
    <row r="213694" customFormat="1" x14ac:dyDescent="0.25"/>
    <row r="213695" customFormat="1" x14ac:dyDescent="0.25"/>
    <row r="213696" customFormat="1" x14ac:dyDescent="0.25"/>
    <row r="213697" customFormat="1" x14ac:dyDescent="0.25"/>
    <row r="213698" customFormat="1" x14ac:dyDescent="0.25"/>
    <row r="213699" customFormat="1" x14ac:dyDescent="0.25"/>
    <row r="213700" customFormat="1" x14ac:dyDescent="0.25"/>
    <row r="213701" customFormat="1" x14ac:dyDescent="0.25"/>
    <row r="213702" customFormat="1" x14ac:dyDescent="0.25"/>
    <row r="213703" customFormat="1" x14ac:dyDescent="0.25"/>
    <row r="213704" customFormat="1" x14ac:dyDescent="0.25"/>
    <row r="213705" customFormat="1" x14ac:dyDescent="0.25"/>
    <row r="213706" customFormat="1" x14ac:dyDescent="0.25"/>
    <row r="213707" customFormat="1" x14ac:dyDescent="0.25"/>
    <row r="213708" customFormat="1" x14ac:dyDescent="0.25"/>
    <row r="213709" customFormat="1" x14ac:dyDescent="0.25"/>
    <row r="213710" customFormat="1" x14ac:dyDescent="0.25"/>
    <row r="213711" customFormat="1" x14ac:dyDescent="0.25"/>
    <row r="213712" customFormat="1" x14ac:dyDescent="0.25"/>
    <row r="213713" customFormat="1" x14ac:dyDescent="0.25"/>
    <row r="213714" customFormat="1" x14ac:dyDescent="0.25"/>
    <row r="213715" customFormat="1" x14ac:dyDescent="0.25"/>
    <row r="213716" customFormat="1" x14ac:dyDescent="0.25"/>
    <row r="213717" customFormat="1" x14ac:dyDescent="0.25"/>
    <row r="213718" customFormat="1" x14ac:dyDescent="0.25"/>
    <row r="213719" customFormat="1" x14ac:dyDescent="0.25"/>
    <row r="213720" customFormat="1" x14ac:dyDescent="0.25"/>
    <row r="213721" customFormat="1" x14ac:dyDescent="0.25"/>
    <row r="213722" customFormat="1" x14ac:dyDescent="0.25"/>
    <row r="213723" customFormat="1" x14ac:dyDescent="0.25"/>
    <row r="213724" customFormat="1" x14ac:dyDescent="0.25"/>
    <row r="213725" customFormat="1" x14ac:dyDescent="0.25"/>
    <row r="213726" customFormat="1" x14ac:dyDescent="0.25"/>
    <row r="213727" customFormat="1" x14ac:dyDescent="0.25"/>
    <row r="213728" customFormat="1" x14ac:dyDescent="0.25"/>
    <row r="213729" customFormat="1" x14ac:dyDescent="0.25"/>
    <row r="213730" customFormat="1" x14ac:dyDescent="0.25"/>
    <row r="213731" customFormat="1" x14ac:dyDescent="0.25"/>
    <row r="213732" customFormat="1" x14ac:dyDescent="0.25"/>
    <row r="213733" customFormat="1" x14ac:dyDescent="0.25"/>
    <row r="213734" customFormat="1" x14ac:dyDescent="0.25"/>
    <row r="213735" customFormat="1" x14ac:dyDescent="0.25"/>
    <row r="213736" customFormat="1" x14ac:dyDescent="0.25"/>
    <row r="213737" customFormat="1" x14ac:dyDescent="0.25"/>
    <row r="213738" customFormat="1" x14ac:dyDescent="0.25"/>
    <row r="213739" customFormat="1" x14ac:dyDescent="0.25"/>
    <row r="213740" customFormat="1" x14ac:dyDescent="0.25"/>
    <row r="213741" customFormat="1" x14ac:dyDescent="0.25"/>
    <row r="213742" customFormat="1" x14ac:dyDescent="0.25"/>
    <row r="213743" customFormat="1" x14ac:dyDescent="0.25"/>
    <row r="213744" customFormat="1" x14ac:dyDescent="0.25"/>
    <row r="213745" customFormat="1" x14ac:dyDescent="0.25"/>
    <row r="213746" customFormat="1" x14ac:dyDescent="0.25"/>
    <row r="213747" customFormat="1" x14ac:dyDescent="0.25"/>
    <row r="213748" customFormat="1" x14ac:dyDescent="0.25"/>
    <row r="213749" customFormat="1" x14ac:dyDescent="0.25"/>
    <row r="213750" customFormat="1" x14ac:dyDescent="0.25"/>
    <row r="213751" customFormat="1" x14ac:dyDescent="0.25"/>
    <row r="213752" customFormat="1" x14ac:dyDescent="0.25"/>
    <row r="213753" customFormat="1" x14ac:dyDescent="0.25"/>
    <row r="213754" customFormat="1" x14ac:dyDescent="0.25"/>
    <row r="213755" customFormat="1" x14ac:dyDescent="0.25"/>
    <row r="213756" customFormat="1" x14ac:dyDescent="0.25"/>
    <row r="213757" customFormat="1" x14ac:dyDescent="0.25"/>
    <row r="213758" customFormat="1" x14ac:dyDescent="0.25"/>
    <row r="213759" customFormat="1" x14ac:dyDescent="0.25"/>
    <row r="213760" customFormat="1" x14ac:dyDescent="0.25"/>
    <row r="213761" customFormat="1" x14ac:dyDescent="0.25"/>
    <row r="213762" customFormat="1" x14ac:dyDescent="0.25"/>
    <row r="213763" customFormat="1" x14ac:dyDescent="0.25"/>
    <row r="213764" customFormat="1" x14ac:dyDescent="0.25"/>
    <row r="213765" customFormat="1" x14ac:dyDescent="0.25"/>
    <row r="213766" customFormat="1" x14ac:dyDescent="0.25"/>
    <row r="213767" customFormat="1" x14ac:dyDescent="0.25"/>
    <row r="213768" customFormat="1" x14ac:dyDescent="0.25"/>
    <row r="213769" customFormat="1" x14ac:dyDescent="0.25"/>
    <row r="213770" customFormat="1" x14ac:dyDescent="0.25"/>
    <row r="213771" customFormat="1" x14ac:dyDescent="0.25"/>
    <row r="213772" customFormat="1" x14ac:dyDescent="0.25"/>
    <row r="213773" customFormat="1" x14ac:dyDescent="0.25"/>
    <row r="213774" customFormat="1" x14ac:dyDescent="0.25"/>
    <row r="213775" customFormat="1" x14ac:dyDescent="0.25"/>
    <row r="213776" customFormat="1" x14ac:dyDescent="0.25"/>
    <row r="213777" customFormat="1" x14ac:dyDescent="0.25"/>
    <row r="213778" customFormat="1" x14ac:dyDescent="0.25"/>
    <row r="213779" customFormat="1" x14ac:dyDescent="0.25"/>
    <row r="213780" customFormat="1" x14ac:dyDescent="0.25"/>
    <row r="213781" customFormat="1" x14ac:dyDescent="0.25"/>
    <row r="213782" customFormat="1" x14ac:dyDescent="0.25"/>
    <row r="213783" customFormat="1" x14ac:dyDescent="0.25"/>
    <row r="213784" customFormat="1" x14ac:dyDescent="0.25"/>
    <row r="213785" customFormat="1" x14ac:dyDescent="0.25"/>
    <row r="213786" customFormat="1" x14ac:dyDescent="0.25"/>
    <row r="213787" customFormat="1" x14ac:dyDescent="0.25"/>
    <row r="213788" customFormat="1" x14ac:dyDescent="0.25"/>
    <row r="213789" customFormat="1" x14ac:dyDescent="0.25"/>
    <row r="213790" customFormat="1" x14ac:dyDescent="0.25"/>
    <row r="213791" customFormat="1" x14ac:dyDescent="0.25"/>
    <row r="213792" customFormat="1" x14ac:dyDescent="0.25"/>
    <row r="213793" customFormat="1" x14ac:dyDescent="0.25"/>
    <row r="213794" customFormat="1" x14ac:dyDescent="0.25"/>
    <row r="213795" customFormat="1" x14ac:dyDescent="0.25"/>
    <row r="213796" customFormat="1" x14ac:dyDescent="0.25"/>
    <row r="213797" customFormat="1" x14ac:dyDescent="0.25"/>
    <row r="213798" customFormat="1" x14ac:dyDescent="0.25"/>
    <row r="213799" customFormat="1" x14ac:dyDescent="0.25"/>
    <row r="213800" customFormat="1" x14ac:dyDescent="0.25"/>
    <row r="213801" customFormat="1" x14ac:dyDescent="0.25"/>
    <row r="213802" customFormat="1" x14ac:dyDescent="0.25"/>
    <row r="213803" customFormat="1" x14ac:dyDescent="0.25"/>
    <row r="213804" customFormat="1" x14ac:dyDescent="0.25"/>
    <row r="213805" customFormat="1" x14ac:dyDescent="0.25"/>
    <row r="213806" customFormat="1" x14ac:dyDescent="0.25"/>
    <row r="213807" customFormat="1" x14ac:dyDescent="0.25"/>
    <row r="213808" customFormat="1" x14ac:dyDescent="0.25"/>
    <row r="213809" customFormat="1" x14ac:dyDescent="0.25"/>
    <row r="213810" customFormat="1" x14ac:dyDescent="0.25"/>
    <row r="213811" customFormat="1" x14ac:dyDescent="0.25"/>
    <row r="213812" customFormat="1" x14ac:dyDescent="0.25"/>
    <row r="213813" customFormat="1" x14ac:dyDescent="0.25"/>
    <row r="213814" customFormat="1" x14ac:dyDescent="0.25"/>
    <row r="213815" customFormat="1" x14ac:dyDescent="0.25"/>
    <row r="213816" customFormat="1" x14ac:dyDescent="0.25"/>
    <row r="213817" customFormat="1" x14ac:dyDescent="0.25"/>
    <row r="213818" customFormat="1" x14ac:dyDescent="0.25"/>
    <row r="213819" customFormat="1" x14ac:dyDescent="0.25"/>
    <row r="213820" customFormat="1" x14ac:dyDescent="0.25"/>
    <row r="213821" customFormat="1" x14ac:dyDescent="0.25"/>
    <row r="213822" customFormat="1" x14ac:dyDescent="0.25"/>
    <row r="213823" customFormat="1" x14ac:dyDescent="0.25"/>
    <row r="213824" customFormat="1" x14ac:dyDescent="0.25"/>
    <row r="213825" customFormat="1" x14ac:dyDescent="0.25"/>
    <row r="213826" customFormat="1" x14ac:dyDescent="0.25"/>
    <row r="213827" customFormat="1" x14ac:dyDescent="0.25"/>
    <row r="213828" customFormat="1" x14ac:dyDescent="0.25"/>
    <row r="213829" customFormat="1" x14ac:dyDescent="0.25"/>
    <row r="213830" customFormat="1" x14ac:dyDescent="0.25"/>
    <row r="213831" customFormat="1" x14ac:dyDescent="0.25"/>
    <row r="213832" customFormat="1" x14ac:dyDescent="0.25"/>
    <row r="213833" customFormat="1" x14ac:dyDescent="0.25"/>
    <row r="213834" customFormat="1" x14ac:dyDescent="0.25"/>
    <row r="213835" customFormat="1" x14ac:dyDescent="0.25"/>
    <row r="213836" customFormat="1" x14ac:dyDescent="0.25"/>
    <row r="213837" customFormat="1" x14ac:dyDescent="0.25"/>
    <row r="213838" customFormat="1" x14ac:dyDescent="0.25"/>
    <row r="213839" customFormat="1" x14ac:dyDescent="0.25"/>
    <row r="213840" customFormat="1" x14ac:dyDescent="0.25"/>
    <row r="213841" customFormat="1" x14ac:dyDescent="0.25"/>
    <row r="213842" customFormat="1" x14ac:dyDescent="0.25"/>
    <row r="213843" customFormat="1" x14ac:dyDescent="0.25"/>
    <row r="213844" customFormat="1" x14ac:dyDescent="0.25"/>
    <row r="213845" customFormat="1" x14ac:dyDescent="0.25"/>
    <row r="213846" customFormat="1" x14ac:dyDescent="0.25"/>
    <row r="213847" customFormat="1" x14ac:dyDescent="0.25"/>
    <row r="213848" customFormat="1" x14ac:dyDescent="0.25"/>
    <row r="213849" customFormat="1" x14ac:dyDescent="0.25"/>
    <row r="213850" customFormat="1" x14ac:dyDescent="0.25"/>
    <row r="213851" customFormat="1" x14ac:dyDescent="0.25"/>
    <row r="213852" customFormat="1" x14ac:dyDescent="0.25"/>
    <row r="213853" customFormat="1" x14ac:dyDescent="0.25"/>
    <row r="213854" customFormat="1" x14ac:dyDescent="0.25"/>
    <row r="213855" customFormat="1" x14ac:dyDescent="0.25"/>
    <row r="213856" customFormat="1" x14ac:dyDescent="0.25"/>
    <row r="213857" customFormat="1" x14ac:dyDescent="0.25"/>
    <row r="213858" customFormat="1" x14ac:dyDescent="0.25"/>
    <row r="213859" customFormat="1" x14ac:dyDescent="0.25"/>
    <row r="213860" customFormat="1" x14ac:dyDescent="0.25"/>
    <row r="213861" customFormat="1" x14ac:dyDescent="0.25"/>
    <row r="213862" customFormat="1" x14ac:dyDescent="0.25"/>
    <row r="213863" customFormat="1" x14ac:dyDescent="0.25"/>
    <row r="213864" customFormat="1" x14ac:dyDescent="0.25"/>
    <row r="213865" customFormat="1" x14ac:dyDescent="0.25"/>
    <row r="213866" customFormat="1" x14ac:dyDescent="0.25"/>
    <row r="213867" customFormat="1" x14ac:dyDescent="0.25"/>
    <row r="213868" customFormat="1" x14ac:dyDescent="0.25"/>
    <row r="213869" customFormat="1" x14ac:dyDescent="0.25"/>
    <row r="213870" customFormat="1" x14ac:dyDescent="0.25"/>
    <row r="213871" customFormat="1" x14ac:dyDescent="0.25"/>
    <row r="213872" customFormat="1" x14ac:dyDescent="0.25"/>
    <row r="213873" customFormat="1" x14ac:dyDescent="0.25"/>
    <row r="213874" customFormat="1" x14ac:dyDescent="0.25"/>
    <row r="213875" customFormat="1" x14ac:dyDescent="0.25"/>
    <row r="213876" customFormat="1" x14ac:dyDescent="0.25"/>
    <row r="213877" customFormat="1" x14ac:dyDescent="0.25"/>
    <row r="213878" customFormat="1" x14ac:dyDescent="0.25"/>
    <row r="213879" customFormat="1" x14ac:dyDescent="0.25"/>
    <row r="213880" customFormat="1" x14ac:dyDescent="0.25"/>
    <row r="213881" customFormat="1" x14ac:dyDescent="0.25"/>
    <row r="213882" customFormat="1" x14ac:dyDescent="0.25"/>
    <row r="213883" customFormat="1" x14ac:dyDescent="0.25"/>
    <row r="213884" customFormat="1" x14ac:dyDescent="0.25"/>
    <row r="213885" customFormat="1" x14ac:dyDescent="0.25"/>
    <row r="213886" customFormat="1" x14ac:dyDescent="0.25"/>
    <row r="213887" customFormat="1" x14ac:dyDescent="0.25"/>
    <row r="213888" customFormat="1" x14ac:dyDescent="0.25"/>
    <row r="213889" customFormat="1" x14ac:dyDescent="0.25"/>
    <row r="213890" customFormat="1" x14ac:dyDescent="0.25"/>
    <row r="213891" customFormat="1" x14ac:dyDescent="0.25"/>
    <row r="213892" customFormat="1" x14ac:dyDescent="0.25"/>
    <row r="213893" customFormat="1" x14ac:dyDescent="0.25"/>
    <row r="213894" customFormat="1" x14ac:dyDescent="0.25"/>
    <row r="213895" customFormat="1" x14ac:dyDescent="0.25"/>
    <row r="213896" customFormat="1" x14ac:dyDescent="0.25"/>
    <row r="213897" customFormat="1" x14ac:dyDescent="0.25"/>
    <row r="213898" customFormat="1" x14ac:dyDescent="0.25"/>
    <row r="213899" customFormat="1" x14ac:dyDescent="0.25"/>
    <row r="213900" customFormat="1" x14ac:dyDescent="0.25"/>
    <row r="213901" customFormat="1" x14ac:dyDescent="0.25"/>
    <row r="213902" customFormat="1" x14ac:dyDescent="0.25"/>
    <row r="213903" customFormat="1" x14ac:dyDescent="0.25"/>
    <row r="213904" customFormat="1" x14ac:dyDescent="0.25"/>
    <row r="213905" customFormat="1" x14ac:dyDescent="0.25"/>
    <row r="213906" customFormat="1" x14ac:dyDescent="0.25"/>
    <row r="213907" customFormat="1" x14ac:dyDescent="0.25"/>
    <row r="213908" customFormat="1" x14ac:dyDescent="0.25"/>
    <row r="213909" customFormat="1" x14ac:dyDescent="0.25"/>
    <row r="213910" customFormat="1" x14ac:dyDescent="0.25"/>
    <row r="213911" customFormat="1" x14ac:dyDescent="0.25"/>
    <row r="213912" customFormat="1" x14ac:dyDescent="0.25"/>
    <row r="213913" customFormat="1" x14ac:dyDescent="0.25"/>
    <row r="213914" customFormat="1" x14ac:dyDescent="0.25"/>
    <row r="213915" customFormat="1" x14ac:dyDescent="0.25"/>
    <row r="213916" customFormat="1" x14ac:dyDescent="0.25"/>
    <row r="213917" customFormat="1" x14ac:dyDescent="0.25"/>
    <row r="213918" customFormat="1" x14ac:dyDescent="0.25"/>
    <row r="213919" customFormat="1" x14ac:dyDescent="0.25"/>
    <row r="213920" customFormat="1" x14ac:dyDescent="0.25"/>
    <row r="213921" customFormat="1" x14ac:dyDescent="0.25"/>
    <row r="213922" customFormat="1" x14ac:dyDescent="0.25"/>
    <row r="213923" customFormat="1" x14ac:dyDescent="0.25"/>
    <row r="213924" customFormat="1" x14ac:dyDescent="0.25"/>
    <row r="213925" customFormat="1" x14ac:dyDescent="0.25"/>
    <row r="213926" customFormat="1" x14ac:dyDescent="0.25"/>
    <row r="213927" customFormat="1" x14ac:dyDescent="0.25"/>
    <row r="213928" customFormat="1" x14ac:dyDescent="0.25"/>
    <row r="213929" customFormat="1" x14ac:dyDescent="0.25"/>
    <row r="213930" customFormat="1" x14ac:dyDescent="0.25"/>
    <row r="213931" customFormat="1" x14ac:dyDescent="0.25"/>
    <row r="213932" customFormat="1" x14ac:dyDescent="0.25"/>
    <row r="213933" customFormat="1" x14ac:dyDescent="0.25"/>
    <row r="213934" customFormat="1" x14ac:dyDescent="0.25"/>
    <row r="213935" customFormat="1" x14ac:dyDescent="0.25"/>
    <row r="213936" customFormat="1" x14ac:dyDescent="0.25"/>
    <row r="213937" customFormat="1" x14ac:dyDescent="0.25"/>
    <row r="213938" customFormat="1" x14ac:dyDescent="0.25"/>
    <row r="213939" customFormat="1" x14ac:dyDescent="0.25"/>
    <row r="213940" customFormat="1" x14ac:dyDescent="0.25"/>
    <row r="213941" customFormat="1" x14ac:dyDescent="0.25"/>
    <row r="213942" customFormat="1" x14ac:dyDescent="0.25"/>
    <row r="213943" customFormat="1" x14ac:dyDescent="0.25"/>
    <row r="213944" customFormat="1" x14ac:dyDescent="0.25"/>
    <row r="213945" customFormat="1" x14ac:dyDescent="0.25"/>
    <row r="213946" customFormat="1" x14ac:dyDescent="0.25"/>
    <row r="213947" customFormat="1" x14ac:dyDescent="0.25"/>
    <row r="213948" customFormat="1" x14ac:dyDescent="0.25"/>
    <row r="213949" customFormat="1" x14ac:dyDescent="0.25"/>
    <row r="213950" customFormat="1" x14ac:dyDescent="0.25"/>
    <row r="213951" customFormat="1" x14ac:dyDescent="0.25"/>
    <row r="213952" customFormat="1" x14ac:dyDescent="0.25"/>
    <row r="213953" customFormat="1" x14ac:dyDescent="0.25"/>
    <row r="213954" customFormat="1" x14ac:dyDescent="0.25"/>
    <row r="213955" customFormat="1" x14ac:dyDescent="0.25"/>
    <row r="213956" customFormat="1" x14ac:dyDescent="0.25"/>
    <row r="213957" customFormat="1" x14ac:dyDescent="0.25"/>
    <row r="213958" customFormat="1" x14ac:dyDescent="0.25"/>
    <row r="213959" customFormat="1" x14ac:dyDescent="0.25"/>
    <row r="213960" customFormat="1" x14ac:dyDescent="0.25"/>
    <row r="213961" customFormat="1" x14ac:dyDescent="0.25"/>
    <row r="213962" customFormat="1" x14ac:dyDescent="0.25"/>
    <row r="213963" customFormat="1" x14ac:dyDescent="0.25"/>
    <row r="213964" customFormat="1" x14ac:dyDescent="0.25"/>
    <row r="213965" customFormat="1" x14ac:dyDescent="0.25"/>
    <row r="213966" customFormat="1" x14ac:dyDescent="0.25"/>
    <row r="213967" customFormat="1" x14ac:dyDescent="0.25"/>
    <row r="213968" customFormat="1" x14ac:dyDescent="0.25"/>
    <row r="213969" customFormat="1" x14ac:dyDescent="0.25"/>
    <row r="213970" customFormat="1" x14ac:dyDescent="0.25"/>
    <row r="213971" customFormat="1" x14ac:dyDescent="0.25"/>
    <row r="213972" customFormat="1" x14ac:dyDescent="0.25"/>
    <row r="213973" customFormat="1" x14ac:dyDescent="0.25"/>
    <row r="213974" customFormat="1" x14ac:dyDescent="0.25"/>
    <row r="213975" customFormat="1" x14ac:dyDescent="0.25"/>
    <row r="213976" customFormat="1" x14ac:dyDescent="0.25"/>
    <row r="213977" customFormat="1" x14ac:dyDescent="0.25"/>
    <row r="213978" customFormat="1" x14ac:dyDescent="0.25"/>
    <row r="213979" customFormat="1" x14ac:dyDescent="0.25"/>
    <row r="213980" customFormat="1" x14ac:dyDescent="0.25"/>
    <row r="213981" customFormat="1" x14ac:dyDescent="0.25"/>
    <row r="213982" customFormat="1" x14ac:dyDescent="0.25"/>
    <row r="213983" customFormat="1" x14ac:dyDescent="0.25"/>
    <row r="213984" customFormat="1" x14ac:dyDescent="0.25"/>
    <row r="213985" customFormat="1" x14ac:dyDescent="0.25"/>
    <row r="213986" customFormat="1" x14ac:dyDescent="0.25"/>
    <row r="213987" customFormat="1" x14ac:dyDescent="0.25"/>
    <row r="213988" customFormat="1" x14ac:dyDescent="0.25"/>
    <row r="213989" customFormat="1" x14ac:dyDescent="0.25"/>
    <row r="213990" customFormat="1" x14ac:dyDescent="0.25"/>
    <row r="213991" customFormat="1" x14ac:dyDescent="0.25"/>
    <row r="213992" customFormat="1" x14ac:dyDescent="0.25"/>
    <row r="213993" customFormat="1" x14ac:dyDescent="0.25"/>
    <row r="213994" customFormat="1" x14ac:dyDescent="0.25"/>
    <row r="213995" customFormat="1" x14ac:dyDescent="0.25"/>
    <row r="213996" customFormat="1" x14ac:dyDescent="0.25"/>
    <row r="213997" customFormat="1" x14ac:dyDescent="0.25"/>
    <row r="213998" customFormat="1" x14ac:dyDescent="0.25"/>
    <row r="213999" customFormat="1" x14ac:dyDescent="0.25"/>
    <row r="214000" customFormat="1" x14ac:dyDescent="0.25"/>
    <row r="214001" customFormat="1" x14ac:dyDescent="0.25"/>
    <row r="214002" customFormat="1" x14ac:dyDescent="0.25"/>
    <row r="214003" customFormat="1" x14ac:dyDescent="0.25"/>
    <row r="214004" customFormat="1" x14ac:dyDescent="0.25"/>
    <row r="214005" customFormat="1" x14ac:dyDescent="0.25"/>
    <row r="214006" customFormat="1" x14ac:dyDescent="0.25"/>
    <row r="214007" customFormat="1" x14ac:dyDescent="0.25"/>
    <row r="214008" customFormat="1" x14ac:dyDescent="0.25"/>
    <row r="214009" customFormat="1" x14ac:dyDescent="0.25"/>
    <row r="214010" customFormat="1" x14ac:dyDescent="0.25"/>
    <row r="214011" customFormat="1" x14ac:dyDescent="0.25"/>
    <row r="214012" customFormat="1" x14ac:dyDescent="0.25"/>
    <row r="214013" customFormat="1" x14ac:dyDescent="0.25"/>
    <row r="214014" customFormat="1" x14ac:dyDescent="0.25"/>
    <row r="214015" customFormat="1" x14ac:dyDescent="0.25"/>
    <row r="214016" customFormat="1" x14ac:dyDescent="0.25"/>
    <row r="214017" customFormat="1" x14ac:dyDescent="0.25"/>
    <row r="214018" customFormat="1" x14ac:dyDescent="0.25"/>
    <row r="214019" customFormat="1" x14ac:dyDescent="0.25"/>
    <row r="214020" customFormat="1" x14ac:dyDescent="0.25"/>
    <row r="214021" customFormat="1" x14ac:dyDescent="0.25"/>
    <row r="214022" customFormat="1" x14ac:dyDescent="0.25"/>
    <row r="214023" customFormat="1" x14ac:dyDescent="0.25"/>
    <row r="214024" customFormat="1" x14ac:dyDescent="0.25"/>
    <row r="214025" customFormat="1" x14ac:dyDescent="0.25"/>
    <row r="214026" customFormat="1" x14ac:dyDescent="0.25"/>
    <row r="214027" customFormat="1" x14ac:dyDescent="0.25"/>
    <row r="214028" customFormat="1" x14ac:dyDescent="0.25"/>
    <row r="214029" customFormat="1" x14ac:dyDescent="0.25"/>
    <row r="214030" customFormat="1" x14ac:dyDescent="0.25"/>
    <row r="214031" customFormat="1" x14ac:dyDescent="0.25"/>
    <row r="214032" customFormat="1" x14ac:dyDescent="0.25"/>
    <row r="214033" customFormat="1" x14ac:dyDescent="0.25"/>
    <row r="214034" customFormat="1" x14ac:dyDescent="0.25"/>
    <row r="214035" customFormat="1" x14ac:dyDescent="0.25"/>
    <row r="214036" customFormat="1" x14ac:dyDescent="0.25"/>
    <row r="214037" customFormat="1" x14ac:dyDescent="0.25"/>
    <row r="214038" customFormat="1" x14ac:dyDescent="0.25"/>
    <row r="214039" customFormat="1" x14ac:dyDescent="0.25"/>
    <row r="214040" customFormat="1" x14ac:dyDescent="0.25"/>
    <row r="214041" customFormat="1" x14ac:dyDescent="0.25"/>
    <row r="214042" customFormat="1" x14ac:dyDescent="0.25"/>
    <row r="214043" customFormat="1" x14ac:dyDescent="0.25"/>
    <row r="214044" customFormat="1" x14ac:dyDescent="0.25"/>
    <row r="214045" customFormat="1" x14ac:dyDescent="0.25"/>
    <row r="214046" customFormat="1" x14ac:dyDescent="0.25"/>
    <row r="214047" customFormat="1" x14ac:dyDescent="0.25"/>
    <row r="214048" customFormat="1" x14ac:dyDescent="0.25"/>
    <row r="214049" customFormat="1" x14ac:dyDescent="0.25"/>
    <row r="214050" customFormat="1" x14ac:dyDescent="0.25"/>
    <row r="214051" customFormat="1" x14ac:dyDescent="0.25"/>
    <row r="214052" customFormat="1" x14ac:dyDescent="0.25"/>
    <row r="214053" customFormat="1" x14ac:dyDescent="0.25"/>
    <row r="214054" customFormat="1" x14ac:dyDescent="0.25"/>
    <row r="214055" customFormat="1" x14ac:dyDescent="0.25"/>
    <row r="214056" customFormat="1" x14ac:dyDescent="0.25"/>
    <row r="214057" customFormat="1" x14ac:dyDescent="0.25"/>
    <row r="214058" customFormat="1" x14ac:dyDescent="0.25"/>
    <row r="214059" customFormat="1" x14ac:dyDescent="0.25"/>
    <row r="214060" customFormat="1" x14ac:dyDescent="0.25"/>
    <row r="214061" customFormat="1" x14ac:dyDescent="0.25"/>
    <row r="214062" customFormat="1" x14ac:dyDescent="0.25"/>
    <row r="214063" customFormat="1" x14ac:dyDescent="0.25"/>
    <row r="214064" customFormat="1" x14ac:dyDescent="0.25"/>
    <row r="214065" customFormat="1" x14ac:dyDescent="0.25"/>
    <row r="214066" customFormat="1" x14ac:dyDescent="0.25"/>
    <row r="214067" customFormat="1" x14ac:dyDescent="0.25"/>
    <row r="214068" customFormat="1" x14ac:dyDescent="0.25"/>
    <row r="214069" customFormat="1" x14ac:dyDescent="0.25"/>
    <row r="214070" customFormat="1" x14ac:dyDescent="0.25"/>
    <row r="214071" customFormat="1" x14ac:dyDescent="0.25"/>
    <row r="214072" customFormat="1" x14ac:dyDescent="0.25"/>
    <row r="214073" customFormat="1" x14ac:dyDescent="0.25"/>
    <row r="214074" customFormat="1" x14ac:dyDescent="0.25"/>
    <row r="214075" customFormat="1" x14ac:dyDescent="0.25"/>
    <row r="214076" customFormat="1" x14ac:dyDescent="0.25"/>
    <row r="214077" customFormat="1" x14ac:dyDescent="0.25"/>
    <row r="214078" customFormat="1" x14ac:dyDescent="0.25"/>
    <row r="214079" customFormat="1" x14ac:dyDescent="0.25"/>
    <row r="214080" customFormat="1" x14ac:dyDescent="0.25"/>
    <row r="214081" customFormat="1" x14ac:dyDescent="0.25"/>
    <row r="214082" customFormat="1" x14ac:dyDescent="0.25"/>
    <row r="214083" customFormat="1" x14ac:dyDescent="0.25"/>
    <row r="214084" customFormat="1" x14ac:dyDescent="0.25"/>
    <row r="214085" customFormat="1" x14ac:dyDescent="0.25"/>
    <row r="214086" customFormat="1" x14ac:dyDescent="0.25"/>
    <row r="214087" customFormat="1" x14ac:dyDescent="0.25"/>
    <row r="214088" customFormat="1" x14ac:dyDescent="0.25"/>
    <row r="214089" customFormat="1" x14ac:dyDescent="0.25"/>
    <row r="214090" customFormat="1" x14ac:dyDescent="0.25"/>
    <row r="214091" customFormat="1" x14ac:dyDescent="0.25"/>
    <row r="214092" customFormat="1" x14ac:dyDescent="0.25"/>
    <row r="214093" customFormat="1" x14ac:dyDescent="0.25"/>
    <row r="214094" customFormat="1" x14ac:dyDescent="0.25"/>
    <row r="214095" customFormat="1" x14ac:dyDescent="0.25"/>
    <row r="214096" customFormat="1" x14ac:dyDescent="0.25"/>
    <row r="214097" customFormat="1" x14ac:dyDescent="0.25"/>
    <row r="214098" customFormat="1" x14ac:dyDescent="0.25"/>
    <row r="214099" customFormat="1" x14ac:dyDescent="0.25"/>
    <row r="214100" customFormat="1" x14ac:dyDescent="0.25"/>
    <row r="214101" customFormat="1" x14ac:dyDescent="0.25"/>
    <row r="214102" customFormat="1" x14ac:dyDescent="0.25"/>
    <row r="214103" customFormat="1" x14ac:dyDescent="0.25"/>
    <row r="214104" customFormat="1" x14ac:dyDescent="0.25"/>
    <row r="214105" customFormat="1" x14ac:dyDescent="0.25"/>
    <row r="214106" customFormat="1" x14ac:dyDescent="0.25"/>
    <row r="214107" customFormat="1" x14ac:dyDescent="0.25"/>
    <row r="214108" customFormat="1" x14ac:dyDescent="0.25"/>
    <row r="214109" customFormat="1" x14ac:dyDescent="0.25"/>
    <row r="214110" customFormat="1" x14ac:dyDescent="0.25"/>
    <row r="214111" customFormat="1" x14ac:dyDescent="0.25"/>
    <row r="214112" customFormat="1" x14ac:dyDescent="0.25"/>
    <row r="214113" customFormat="1" x14ac:dyDescent="0.25"/>
    <row r="214114" customFormat="1" x14ac:dyDescent="0.25"/>
    <row r="214115" customFormat="1" x14ac:dyDescent="0.25"/>
    <row r="214116" customFormat="1" x14ac:dyDescent="0.25"/>
    <row r="214117" customFormat="1" x14ac:dyDescent="0.25"/>
    <row r="214118" customFormat="1" x14ac:dyDescent="0.25"/>
    <row r="214119" customFormat="1" x14ac:dyDescent="0.25"/>
    <row r="214120" customFormat="1" x14ac:dyDescent="0.25"/>
    <row r="214121" customFormat="1" x14ac:dyDescent="0.25"/>
    <row r="214122" customFormat="1" x14ac:dyDescent="0.25"/>
    <row r="214123" customFormat="1" x14ac:dyDescent="0.25"/>
    <row r="214124" customFormat="1" x14ac:dyDescent="0.25"/>
    <row r="214125" customFormat="1" x14ac:dyDescent="0.25"/>
    <row r="214126" customFormat="1" x14ac:dyDescent="0.25"/>
    <row r="214127" customFormat="1" x14ac:dyDescent="0.25"/>
    <row r="214128" customFormat="1" x14ac:dyDescent="0.25"/>
    <row r="214129" customFormat="1" x14ac:dyDescent="0.25"/>
    <row r="214130" customFormat="1" x14ac:dyDescent="0.25"/>
    <row r="214131" customFormat="1" x14ac:dyDescent="0.25"/>
    <row r="214132" customFormat="1" x14ac:dyDescent="0.25"/>
    <row r="214133" customFormat="1" x14ac:dyDescent="0.25"/>
    <row r="214134" customFormat="1" x14ac:dyDescent="0.25"/>
    <row r="214135" customFormat="1" x14ac:dyDescent="0.25"/>
    <row r="214136" customFormat="1" x14ac:dyDescent="0.25"/>
    <row r="214137" customFormat="1" x14ac:dyDescent="0.25"/>
    <row r="214138" customFormat="1" x14ac:dyDescent="0.25"/>
    <row r="214139" customFormat="1" x14ac:dyDescent="0.25"/>
    <row r="214140" customFormat="1" x14ac:dyDescent="0.25"/>
    <row r="214141" customFormat="1" x14ac:dyDescent="0.25"/>
    <row r="214142" customFormat="1" x14ac:dyDescent="0.25"/>
    <row r="214143" customFormat="1" x14ac:dyDescent="0.25"/>
    <row r="214144" customFormat="1" x14ac:dyDescent="0.25"/>
    <row r="214145" customFormat="1" x14ac:dyDescent="0.25"/>
    <row r="214146" customFormat="1" x14ac:dyDescent="0.25"/>
    <row r="214147" customFormat="1" x14ac:dyDescent="0.25"/>
    <row r="214148" customFormat="1" x14ac:dyDescent="0.25"/>
    <row r="214149" customFormat="1" x14ac:dyDescent="0.25"/>
    <row r="214150" customFormat="1" x14ac:dyDescent="0.25"/>
    <row r="214151" customFormat="1" x14ac:dyDescent="0.25"/>
    <row r="214152" customFormat="1" x14ac:dyDescent="0.25"/>
    <row r="214153" customFormat="1" x14ac:dyDescent="0.25"/>
    <row r="214154" customFormat="1" x14ac:dyDescent="0.25"/>
    <row r="214155" customFormat="1" x14ac:dyDescent="0.25"/>
    <row r="214156" customFormat="1" x14ac:dyDescent="0.25"/>
    <row r="214157" customFormat="1" x14ac:dyDescent="0.25"/>
    <row r="214158" customFormat="1" x14ac:dyDescent="0.25"/>
    <row r="214159" customFormat="1" x14ac:dyDescent="0.25"/>
    <row r="214160" customFormat="1" x14ac:dyDescent="0.25"/>
    <row r="214161" customFormat="1" x14ac:dyDescent="0.25"/>
    <row r="214162" customFormat="1" x14ac:dyDescent="0.25"/>
    <row r="214163" customFormat="1" x14ac:dyDescent="0.25"/>
    <row r="214164" customFormat="1" x14ac:dyDescent="0.25"/>
    <row r="214165" customFormat="1" x14ac:dyDescent="0.25"/>
    <row r="214166" customFormat="1" x14ac:dyDescent="0.25"/>
    <row r="214167" customFormat="1" x14ac:dyDescent="0.25"/>
    <row r="214168" customFormat="1" x14ac:dyDescent="0.25"/>
    <row r="214169" customFormat="1" x14ac:dyDescent="0.25"/>
    <row r="214170" customFormat="1" x14ac:dyDescent="0.25"/>
    <row r="214171" customFormat="1" x14ac:dyDescent="0.25"/>
    <row r="214172" customFormat="1" x14ac:dyDescent="0.25"/>
    <row r="214173" customFormat="1" x14ac:dyDescent="0.25"/>
    <row r="214174" customFormat="1" x14ac:dyDescent="0.25"/>
    <row r="214175" customFormat="1" x14ac:dyDescent="0.25"/>
    <row r="214176" customFormat="1" x14ac:dyDescent="0.25"/>
    <row r="214177" customFormat="1" x14ac:dyDescent="0.25"/>
    <row r="214178" customFormat="1" x14ac:dyDescent="0.25"/>
    <row r="214179" customFormat="1" x14ac:dyDescent="0.25"/>
    <row r="214180" customFormat="1" x14ac:dyDescent="0.25"/>
    <row r="214181" customFormat="1" x14ac:dyDescent="0.25"/>
    <row r="214182" customFormat="1" x14ac:dyDescent="0.25"/>
    <row r="214183" customFormat="1" x14ac:dyDescent="0.25"/>
    <row r="214184" customFormat="1" x14ac:dyDescent="0.25"/>
    <row r="214185" customFormat="1" x14ac:dyDescent="0.25"/>
    <row r="214186" customFormat="1" x14ac:dyDescent="0.25"/>
    <row r="214187" customFormat="1" x14ac:dyDescent="0.25"/>
    <row r="214188" customFormat="1" x14ac:dyDescent="0.25"/>
    <row r="214189" customFormat="1" x14ac:dyDescent="0.25"/>
    <row r="214190" customFormat="1" x14ac:dyDescent="0.25"/>
    <row r="214191" customFormat="1" x14ac:dyDescent="0.25"/>
    <row r="214192" customFormat="1" x14ac:dyDescent="0.25"/>
    <row r="214193" customFormat="1" x14ac:dyDescent="0.25"/>
    <row r="214194" customFormat="1" x14ac:dyDescent="0.25"/>
    <row r="214195" customFormat="1" x14ac:dyDescent="0.25"/>
    <row r="214196" customFormat="1" x14ac:dyDescent="0.25"/>
    <row r="214197" customFormat="1" x14ac:dyDescent="0.25"/>
    <row r="214198" customFormat="1" x14ac:dyDescent="0.25"/>
    <row r="214199" customFormat="1" x14ac:dyDescent="0.25"/>
    <row r="214200" customFormat="1" x14ac:dyDescent="0.25"/>
    <row r="214201" customFormat="1" x14ac:dyDescent="0.25"/>
    <row r="214202" customFormat="1" x14ac:dyDescent="0.25"/>
    <row r="214203" customFormat="1" x14ac:dyDescent="0.25"/>
    <row r="214204" customFormat="1" x14ac:dyDescent="0.25"/>
    <row r="214205" customFormat="1" x14ac:dyDescent="0.25"/>
    <row r="214206" customFormat="1" x14ac:dyDescent="0.25"/>
    <row r="214207" customFormat="1" x14ac:dyDescent="0.25"/>
    <row r="214208" customFormat="1" x14ac:dyDescent="0.25"/>
    <row r="214209" customFormat="1" x14ac:dyDescent="0.25"/>
    <row r="214210" customFormat="1" x14ac:dyDescent="0.25"/>
    <row r="214211" customFormat="1" x14ac:dyDescent="0.25"/>
    <row r="214212" customFormat="1" x14ac:dyDescent="0.25"/>
    <row r="214213" customFormat="1" x14ac:dyDescent="0.25"/>
    <row r="214214" customFormat="1" x14ac:dyDescent="0.25"/>
    <row r="214215" customFormat="1" x14ac:dyDescent="0.25"/>
    <row r="214216" customFormat="1" x14ac:dyDescent="0.25"/>
    <row r="214217" customFormat="1" x14ac:dyDescent="0.25"/>
    <row r="214218" customFormat="1" x14ac:dyDescent="0.25"/>
    <row r="214219" customFormat="1" x14ac:dyDescent="0.25"/>
    <row r="214220" customFormat="1" x14ac:dyDescent="0.25"/>
    <row r="214221" customFormat="1" x14ac:dyDescent="0.25"/>
    <row r="214222" customFormat="1" x14ac:dyDescent="0.25"/>
    <row r="214223" customFormat="1" x14ac:dyDescent="0.25"/>
    <row r="214224" customFormat="1" x14ac:dyDescent="0.25"/>
    <row r="214225" customFormat="1" x14ac:dyDescent="0.25"/>
    <row r="214226" customFormat="1" x14ac:dyDescent="0.25"/>
    <row r="214227" customFormat="1" x14ac:dyDescent="0.25"/>
    <row r="214228" customFormat="1" x14ac:dyDescent="0.25"/>
    <row r="214229" customFormat="1" x14ac:dyDescent="0.25"/>
    <row r="214230" customFormat="1" x14ac:dyDescent="0.25"/>
    <row r="214231" customFormat="1" x14ac:dyDescent="0.25"/>
    <row r="214232" customFormat="1" x14ac:dyDescent="0.25"/>
    <row r="214233" customFormat="1" x14ac:dyDescent="0.25"/>
    <row r="214234" customFormat="1" x14ac:dyDescent="0.25"/>
    <row r="214235" customFormat="1" x14ac:dyDescent="0.25"/>
    <row r="214236" customFormat="1" x14ac:dyDescent="0.25"/>
    <row r="214237" customFormat="1" x14ac:dyDescent="0.25"/>
    <row r="214238" customFormat="1" x14ac:dyDescent="0.25"/>
    <row r="214239" customFormat="1" x14ac:dyDescent="0.25"/>
    <row r="214240" customFormat="1" x14ac:dyDescent="0.25"/>
    <row r="214241" customFormat="1" x14ac:dyDescent="0.25"/>
    <row r="214242" customFormat="1" x14ac:dyDescent="0.25"/>
    <row r="214243" customFormat="1" x14ac:dyDescent="0.25"/>
    <row r="214244" customFormat="1" x14ac:dyDescent="0.25"/>
    <row r="214245" customFormat="1" x14ac:dyDescent="0.25"/>
    <row r="214246" customFormat="1" x14ac:dyDescent="0.25"/>
    <row r="214247" customFormat="1" x14ac:dyDescent="0.25"/>
    <row r="214248" customFormat="1" x14ac:dyDescent="0.25"/>
    <row r="214249" customFormat="1" x14ac:dyDescent="0.25"/>
    <row r="214250" customFormat="1" x14ac:dyDescent="0.25"/>
    <row r="214251" customFormat="1" x14ac:dyDescent="0.25"/>
    <row r="214252" customFormat="1" x14ac:dyDescent="0.25"/>
    <row r="214253" customFormat="1" x14ac:dyDescent="0.25"/>
    <row r="214254" customFormat="1" x14ac:dyDescent="0.25"/>
    <row r="214255" customFormat="1" x14ac:dyDescent="0.25"/>
    <row r="214256" customFormat="1" x14ac:dyDescent="0.25"/>
    <row r="214257" customFormat="1" x14ac:dyDescent="0.25"/>
    <row r="214258" customFormat="1" x14ac:dyDescent="0.25"/>
    <row r="214259" customFormat="1" x14ac:dyDescent="0.25"/>
    <row r="214260" customFormat="1" x14ac:dyDescent="0.25"/>
    <row r="214261" customFormat="1" x14ac:dyDescent="0.25"/>
    <row r="214262" customFormat="1" x14ac:dyDescent="0.25"/>
    <row r="214263" customFormat="1" x14ac:dyDescent="0.25"/>
    <row r="214264" customFormat="1" x14ac:dyDescent="0.25"/>
    <row r="214265" customFormat="1" x14ac:dyDescent="0.25"/>
    <row r="214266" customFormat="1" x14ac:dyDescent="0.25"/>
    <row r="214267" customFormat="1" x14ac:dyDescent="0.25"/>
    <row r="214268" customFormat="1" x14ac:dyDescent="0.25"/>
    <row r="214269" customFormat="1" x14ac:dyDescent="0.25"/>
    <row r="214270" customFormat="1" x14ac:dyDescent="0.25"/>
    <row r="214271" customFormat="1" x14ac:dyDescent="0.25"/>
    <row r="214272" customFormat="1" x14ac:dyDescent="0.25"/>
    <row r="214273" customFormat="1" x14ac:dyDescent="0.25"/>
    <row r="214274" customFormat="1" x14ac:dyDescent="0.25"/>
    <row r="214275" customFormat="1" x14ac:dyDescent="0.25"/>
    <row r="214276" customFormat="1" x14ac:dyDescent="0.25"/>
    <row r="214277" customFormat="1" x14ac:dyDescent="0.25"/>
    <row r="214278" customFormat="1" x14ac:dyDescent="0.25"/>
    <row r="214279" customFormat="1" x14ac:dyDescent="0.25"/>
    <row r="214280" customFormat="1" x14ac:dyDescent="0.25"/>
    <row r="214281" customFormat="1" x14ac:dyDescent="0.25"/>
    <row r="214282" customFormat="1" x14ac:dyDescent="0.25"/>
    <row r="214283" customFormat="1" x14ac:dyDescent="0.25"/>
    <row r="214284" customFormat="1" x14ac:dyDescent="0.25"/>
    <row r="214285" customFormat="1" x14ac:dyDescent="0.25"/>
    <row r="214286" customFormat="1" x14ac:dyDescent="0.25"/>
    <row r="214287" customFormat="1" x14ac:dyDescent="0.25"/>
    <row r="214288" customFormat="1" x14ac:dyDescent="0.25"/>
    <row r="214289" customFormat="1" x14ac:dyDescent="0.25"/>
    <row r="214290" customFormat="1" x14ac:dyDescent="0.25"/>
    <row r="214291" customFormat="1" x14ac:dyDescent="0.25"/>
    <row r="214292" customFormat="1" x14ac:dyDescent="0.25"/>
    <row r="214293" customFormat="1" x14ac:dyDescent="0.25"/>
    <row r="214294" customFormat="1" x14ac:dyDescent="0.25"/>
    <row r="214295" customFormat="1" x14ac:dyDescent="0.25"/>
    <row r="214296" customFormat="1" x14ac:dyDescent="0.25"/>
    <row r="214297" customFormat="1" x14ac:dyDescent="0.25"/>
    <row r="214298" customFormat="1" x14ac:dyDescent="0.25"/>
    <row r="214299" customFormat="1" x14ac:dyDescent="0.25"/>
    <row r="214300" customFormat="1" x14ac:dyDescent="0.25"/>
    <row r="214301" customFormat="1" x14ac:dyDescent="0.25"/>
    <row r="214302" customFormat="1" x14ac:dyDescent="0.25"/>
    <row r="214303" customFormat="1" x14ac:dyDescent="0.25"/>
    <row r="214304" customFormat="1" x14ac:dyDescent="0.25"/>
    <row r="214305" customFormat="1" x14ac:dyDescent="0.25"/>
    <row r="214306" customFormat="1" x14ac:dyDescent="0.25"/>
    <row r="214307" customFormat="1" x14ac:dyDescent="0.25"/>
    <row r="214308" customFormat="1" x14ac:dyDescent="0.25"/>
    <row r="214309" customFormat="1" x14ac:dyDescent="0.25"/>
    <row r="214310" customFormat="1" x14ac:dyDescent="0.25"/>
    <row r="214311" customFormat="1" x14ac:dyDescent="0.25"/>
    <row r="214312" customFormat="1" x14ac:dyDescent="0.25"/>
    <row r="214313" customFormat="1" x14ac:dyDescent="0.25"/>
    <row r="214314" customFormat="1" x14ac:dyDescent="0.25"/>
    <row r="214315" customFormat="1" x14ac:dyDescent="0.25"/>
    <row r="214316" customFormat="1" x14ac:dyDescent="0.25"/>
    <row r="214317" customFormat="1" x14ac:dyDescent="0.25"/>
    <row r="214318" customFormat="1" x14ac:dyDescent="0.25"/>
    <row r="214319" customFormat="1" x14ac:dyDescent="0.25"/>
    <row r="214320" customFormat="1" x14ac:dyDescent="0.25"/>
    <row r="214321" customFormat="1" x14ac:dyDescent="0.25"/>
    <row r="214322" customFormat="1" x14ac:dyDescent="0.25"/>
    <row r="214323" customFormat="1" x14ac:dyDescent="0.25"/>
    <row r="214324" customFormat="1" x14ac:dyDescent="0.25"/>
    <row r="214325" customFormat="1" x14ac:dyDescent="0.25"/>
    <row r="214326" customFormat="1" x14ac:dyDescent="0.25"/>
    <row r="214327" customFormat="1" x14ac:dyDescent="0.25"/>
    <row r="214328" customFormat="1" x14ac:dyDescent="0.25"/>
    <row r="214329" customFormat="1" x14ac:dyDescent="0.25"/>
    <row r="214330" customFormat="1" x14ac:dyDescent="0.25"/>
    <row r="214331" customFormat="1" x14ac:dyDescent="0.25"/>
    <row r="214332" customFormat="1" x14ac:dyDescent="0.25"/>
    <row r="214333" customFormat="1" x14ac:dyDescent="0.25"/>
    <row r="214334" customFormat="1" x14ac:dyDescent="0.25"/>
    <row r="214335" customFormat="1" x14ac:dyDescent="0.25"/>
    <row r="214336" customFormat="1" x14ac:dyDescent="0.25"/>
    <row r="214337" customFormat="1" x14ac:dyDescent="0.25"/>
    <row r="214338" customFormat="1" x14ac:dyDescent="0.25"/>
    <row r="214339" customFormat="1" x14ac:dyDescent="0.25"/>
    <row r="214340" customFormat="1" x14ac:dyDescent="0.25"/>
    <row r="214341" customFormat="1" x14ac:dyDescent="0.25"/>
    <row r="214342" customFormat="1" x14ac:dyDescent="0.25"/>
    <row r="214343" customFormat="1" x14ac:dyDescent="0.25"/>
    <row r="214344" customFormat="1" x14ac:dyDescent="0.25"/>
    <row r="214345" customFormat="1" x14ac:dyDescent="0.25"/>
    <row r="214346" customFormat="1" x14ac:dyDescent="0.25"/>
    <row r="214347" customFormat="1" x14ac:dyDescent="0.25"/>
    <row r="214348" customFormat="1" x14ac:dyDescent="0.25"/>
    <row r="214349" customFormat="1" x14ac:dyDescent="0.25"/>
    <row r="214350" customFormat="1" x14ac:dyDescent="0.25"/>
    <row r="214351" customFormat="1" x14ac:dyDescent="0.25"/>
    <row r="214352" customFormat="1" x14ac:dyDescent="0.25"/>
    <row r="214353" customFormat="1" x14ac:dyDescent="0.25"/>
    <row r="214354" customFormat="1" x14ac:dyDescent="0.25"/>
    <row r="214355" customFormat="1" x14ac:dyDescent="0.25"/>
    <row r="214356" customFormat="1" x14ac:dyDescent="0.25"/>
    <row r="214357" customFormat="1" x14ac:dyDescent="0.25"/>
    <row r="214358" customFormat="1" x14ac:dyDescent="0.25"/>
    <row r="214359" customFormat="1" x14ac:dyDescent="0.25"/>
    <row r="214360" customFormat="1" x14ac:dyDescent="0.25"/>
    <row r="214361" customFormat="1" x14ac:dyDescent="0.25"/>
    <row r="214362" customFormat="1" x14ac:dyDescent="0.25"/>
    <row r="214363" customFormat="1" x14ac:dyDescent="0.25"/>
    <row r="214364" customFormat="1" x14ac:dyDescent="0.25"/>
    <row r="214365" customFormat="1" x14ac:dyDescent="0.25"/>
    <row r="214366" customFormat="1" x14ac:dyDescent="0.25"/>
    <row r="214367" customFormat="1" x14ac:dyDescent="0.25"/>
    <row r="214368" customFormat="1" x14ac:dyDescent="0.25"/>
    <row r="214369" customFormat="1" x14ac:dyDescent="0.25"/>
    <row r="214370" customFormat="1" x14ac:dyDescent="0.25"/>
    <row r="214371" customFormat="1" x14ac:dyDescent="0.25"/>
    <row r="214372" customFormat="1" x14ac:dyDescent="0.25"/>
    <row r="214373" customFormat="1" x14ac:dyDescent="0.25"/>
    <row r="214374" customFormat="1" x14ac:dyDescent="0.25"/>
    <row r="214375" customFormat="1" x14ac:dyDescent="0.25"/>
    <row r="214376" customFormat="1" x14ac:dyDescent="0.25"/>
    <row r="214377" customFormat="1" x14ac:dyDescent="0.25"/>
    <row r="214378" customFormat="1" x14ac:dyDescent="0.25"/>
    <row r="214379" customFormat="1" x14ac:dyDescent="0.25"/>
    <row r="214380" customFormat="1" x14ac:dyDescent="0.25"/>
    <row r="214381" customFormat="1" x14ac:dyDescent="0.25"/>
    <row r="214382" customFormat="1" x14ac:dyDescent="0.25"/>
    <row r="214383" customFormat="1" x14ac:dyDescent="0.25"/>
    <row r="214384" customFormat="1" x14ac:dyDescent="0.25"/>
    <row r="214385" customFormat="1" x14ac:dyDescent="0.25"/>
    <row r="214386" customFormat="1" x14ac:dyDescent="0.25"/>
    <row r="214387" customFormat="1" x14ac:dyDescent="0.25"/>
    <row r="214388" customFormat="1" x14ac:dyDescent="0.25"/>
    <row r="214389" customFormat="1" x14ac:dyDescent="0.25"/>
    <row r="214390" customFormat="1" x14ac:dyDescent="0.25"/>
    <row r="214391" customFormat="1" x14ac:dyDescent="0.25"/>
    <row r="214392" customFormat="1" x14ac:dyDescent="0.25"/>
    <row r="214393" customFormat="1" x14ac:dyDescent="0.25"/>
    <row r="214394" customFormat="1" x14ac:dyDescent="0.25"/>
    <row r="214395" customFormat="1" x14ac:dyDescent="0.25"/>
    <row r="214396" customFormat="1" x14ac:dyDescent="0.25"/>
    <row r="214397" customFormat="1" x14ac:dyDescent="0.25"/>
    <row r="214398" customFormat="1" x14ac:dyDescent="0.25"/>
    <row r="214399" customFormat="1" x14ac:dyDescent="0.25"/>
    <row r="214400" customFormat="1" x14ac:dyDescent="0.25"/>
    <row r="214401" customFormat="1" x14ac:dyDescent="0.25"/>
    <row r="214402" customFormat="1" x14ac:dyDescent="0.25"/>
    <row r="214403" customFormat="1" x14ac:dyDescent="0.25"/>
    <row r="214404" customFormat="1" x14ac:dyDescent="0.25"/>
    <row r="214405" customFormat="1" x14ac:dyDescent="0.25"/>
    <row r="214406" customFormat="1" x14ac:dyDescent="0.25"/>
    <row r="214407" customFormat="1" x14ac:dyDescent="0.25"/>
    <row r="214408" customFormat="1" x14ac:dyDescent="0.25"/>
    <row r="214409" customFormat="1" x14ac:dyDescent="0.25"/>
    <row r="214410" customFormat="1" x14ac:dyDescent="0.25"/>
    <row r="214411" customFormat="1" x14ac:dyDescent="0.25"/>
    <row r="214412" customFormat="1" x14ac:dyDescent="0.25"/>
    <row r="214413" customFormat="1" x14ac:dyDescent="0.25"/>
    <row r="214414" customFormat="1" x14ac:dyDescent="0.25"/>
    <row r="214415" customFormat="1" x14ac:dyDescent="0.25"/>
    <row r="214416" customFormat="1" x14ac:dyDescent="0.25"/>
    <row r="214417" customFormat="1" x14ac:dyDescent="0.25"/>
    <row r="214418" customFormat="1" x14ac:dyDescent="0.25"/>
    <row r="214419" customFormat="1" x14ac:dyDescent="0.25"/>
    <row r="214420" customFormat="1" x14ac:dyDescent="0.25"/>
    <row r="214421" customFormat="1" x14ac:dyDescent="0.25"/>
    <row r="214422" customFormat="1" x14ac:dyDescent="0.25"/>
    <row r="214423" customFormat="1" x14ac:dyDescent="0.25"/>
    <row r="214424" customFormat="1" x14ac:dyDescent="0.25"/>
    <row r="214425" customFormat="1" x14ac:dyDescent="0.25"/>
    <row r="214426" customFormat="1" x14ac:dyDescent="0.25"/>
    <row r="214427" customFormat="1" x14ac:dyDescent="0.25"/>
    <row r="214428" customFormat="1" x14ac:dyDescent="0.25"/>
    <row r="214429" customFormat="1" x14ac:dyDescent="0.25"/>
    <row r="214430" customFormat="1" x14ac:dyDescent="0.25"/>
    <row r="214431" customFormat="1" x14ac:dyDescent="0.25"/>
    <row r="214432" customFormat="1" x14ac:dyDescent="0.25"/>
    <row r="214433" customFormat="1" x14ac:dyDescent="0.25"/>
    <row r="214434" customFormat="1" x14ac:dyDescent="0.25"/>
    <row r="214435" customFormat="1" x14ac:dyDescent="0.25"/>
    <row r="214436" customFormat="1" x14ac:dyDescent="0.25"/>
    <row r="214437" customFormat="1" x14ac:dyDescent="0.25"/>
    <row r="214438" customFormat="1" x14ac:dyDescent="0.25"/>
    <row r="214439" customFormat="1" x14ac:dyDescent="0.25"/>
    <row r="214440" customFormat="1" x14ac:dyDescent="0.25"/>
    <row r="214441" customFormat="1" x14ac:dyDescent="0.25"/>
    <row r="214442" customFormat="1" x14ac:dyDescent="0.25"/>
    <row r="214443" customFormat="1" x14ac:dyDescent="0.25"/>
    <row r="214444" customFormat="1" x14ac:dyDescent="0.25"/>
    <row r="214445" customFormat="1" x14ac:dyDescent="0.25"/>
    <row r="214446" customFormat="1" x14ac:dyDescent="0.25"/>
    <row r="214447" customFormat="1" x14ac:dyDescent="0.25"/>
    <row r="214448" customFormat="1" x14ac:dyDescent="0.25"/>
    <row r="214449" customFormat="1" x14ac:dyDescent="0.25"/>
    <row r="214450" customFormat="1" x14ac:dyDescent="0.25"/>
    <row r="214451" customFormat="1" x14ac:dyDescent="0.25"/>
    <row r="214452" customFormat="1" x14ac:dyDescent="0.25"/>
    <row r="214453" customFormat="1" x14ac:dyDescent="0.25"/>
    <row r="214454" customFormat="1" x14ac:dyDescent="0.25"/>
    <row r="214455" customFormat="1" x14ac:dyDescent="0.25"/>
    <row r="214456" customFormat="1" x14ac:dyDescent="0.25"/>
    <row r="214457" customFormat="1" x14ac:dyDescent="0.25"/>
    <row r="214458" customFormat="1" x14ac:dyDescent="0.25"/>
    <row r="214459" customFormat="1" x14ac:dyDescent="0.25"/>
    <row r="214460" customFormat="1" x14ac:dyDescent="0.25"/>
    <row r="214461" customFormat="1" x14ac:dyDescent="0.25"/>
    <row r="214462" customFormat="1" x14ac:dyDescent="0.25"/>
    <row r="214463" customFormat="1" x14ac:dyDescent="0.25"/>
    <row r="214464" customFormat="1" x14ac:dyDescent="0.25"/>
    <row r="214465" customFormat="1" x14ac:dyDescent="0.25"/>
    <row r="214466" customFormat="1" x14ac:dyDescent="0.25"/>
    <row r="214467" customFormat="1" x14ac:dyDescent="0.25"/>
    <row r="214468" customFormat="1" x14ac:dyDescent="0.25"/>
    <row r="214469" customFormat="1" x14ac:dyDescent="0.25"/>
    <row r="214470" customFormat="1" x14ac:dyDescent="0.25"/>
    <row r="214471" customFormat="1" x14ac:dyDescent="0.25"/>
    <row r="214472" customFormat="1" x14ac:dyDescent="0.25"/>
    <row r="214473" customFormat="1" x14ac:dyDescent="0.25"/>
    <row r="214474" customFormat="1" x14ac:dyDescent="0.25"/>
    <row r="214475" customFormat="1" x14ac:dyDescent="0.25"/>
    <row r="214476" customFormat="1" x14ac:dyDescent="0.25"/>
    <row r="214477" customFormat="1" x14ac:dyDescent="0.25"/>
    <row r="214478" customFormat="1" x14ac:dyDescent="0.25"/>
    <row r="214479" customFormat="1" x14ac:dyDescent="0.25"/>
    <row r="214480" customFormat="1" x14ac:dyDescent="0.25"/>
    <row r="214481" customFormat="1" x14ac:dyDescent="0.25"/>
    <row r="214482" customFormat="1" x14ac:dyDescent="0.25"/>
    <row r="214483" customFormat="1" x14ac:dyDescent="0.25"/>
    <row r="214484" customFormat="1" x14ac:dyDescent="0.25"/>
    <row r="214485" customFormat="1" x14ac:dyDescent="0.25"/>
    <row r="214486" customFormat="1" x14ac:dyDescent="0.25"/>
    <row r="214487" customFormat="1" x14ac:dyDescent="0.25"/>
    <row r="214488" customFormat="1" x14ac:dyDescent="0.25"/>
    <row r="214489" customFormat="1" x14ac:dyDescent="0.25"/>
    <row r="214490" customFormat="1" x14ac:dyDescent="0.25"/>
    <row r="214491" customFormat="1" x14ac:dyDescent="0.25"/>
    <row r="214492" customFormat="1" x14ac:dyDescent="0.25"/>
    <row r="214493" customFormat="1" x14ac:dyDescent="0.25"/>
    <row r="214494" customFormat="1" x14ac:dyDescent="0.25"/>
    <row r="214495" customFormat="1" x14ac:dyDescent="0.25"/>
    <row r="214496" customFormat="1" x14ac:dyDescent="0.25"/>
    <row r="214497" customFormat="1" x14ac:dyDescent="0.25"/>
    <row r="214498" customFormat="1" x14ac:dyDescent="0.25"/>
    <row r="214499" customFormat="1" x14ac:dyDescent="0.25"/>
    <row r="214500" customFormat="1" x14ac:dyDescent="0.25"/>
    <row r="214501" customFormat="1" x14ac:dyDescent="0.25"/>
    <row r="214502" customFormat="1" x14ac:dyDescent="0.25"/>
    <row r="214503" customFormat="1" x14ac:dyDescent="0.25"/>
    <row r="214504" customFormat="1" x14ac:dyDescent="0.25"/>
    <row r="214505" customFormat="1" x14ac:dyDescent="0.25"/>
    <row r="214506" customFormat="1" x14ac:dyDescent="0.25"/>
    <row r="214507" customFormat="1" x14ac:dyDescent="0.25"/>
    <row r="214508" customFormat="1" x14ac:dyDescent="0.25"/>
    <row r="214509" customFormat="1" x14ac:dyDescent="0.25"/>
    <row r="214510" customFormat="1" x14ac:dyDescent="0.25"/>
    <row r="214511" customFormat="1" x14ac:dyDescent="0.25"/>
    <row r="214512" customFormat="1" x14ac:dyDescent="0.25"/>
    <row r="214513" customFormat="1" x14ac:dyDescent="0.25"/>
    <row r="214514" customFormat="1" x14ac:dyDescent="0.25"/>
    <row r="214515" customFormat="1" x14ac:dyDescent="0.25"/>
    <row r="214516" customFormat="1" x14ac:dyDescent="0.25"/>
    <row r="214517" customFormat="1" x14ac:dyDescent="0.25"/>
    <row r="214518" customFormat="1" x14ac:dyDescent="0.25"/>
    <row r="214519" customFormat="1" x14ac:dyDescent="0.25"/>
    <row r="214520" customFormat="1" x14ac:dyDescent="0.25"/>
    <row r="214521" customFormat="1" x14ac:dyDescent="0.25"/>
    <row r="214522" customFormat="1" x14ac:dyDescent="0.25"/>
    <row r="214523" customFormat="1" x14ac:dyDescent="0.25"/>
    <row r="214524" customFormat="1" x14ac:dyDescent="0.25"/>
    <row r="214525" customFormat="1" x14ac:dyDescent="0.25"/>
    <row r="214526" customFormat="1" x14ac:dyDescent="0.25"/>
    <row r="214527" customFormat="1" x14ac:dyDescent="0.25"/>
    <row r="214528" customFormat="1" x14ac:dyDescent="0.25"/>
    <row r="214529" customFormat="1" x14ac:dyDescent="0.25"/>
    <row r="214530" customFormat="1" x14ac:dyDescent="0.25"/>
    <row r="214531" customFormat="1" x14ac:dyDescent="0.25"/>
    <row r="214532" customFormat="1" x14ac:dyDescent="0.25"/>
    <row r="214533" customFormat="1" x14ac:dyDescent="0.25"/>
    <row r="214534" customFormat="1" x14ac:dyDescent="0.25"/>
    <row r="214535" customFormat="1" x14ac:dyDescent="0.25"/>
    <row r="214536" customFormat="1" x14ac:dyDescent="0.25"/>
    <row r="214537" customFormat="1" x14ac:dyDescent="0.25"/>
    <row r="214538" customFormat="1" x14ac:dyDescent="0.25"/>
    <row r="214539" customFormat="1" x14ac:dyDescent="0.25"/>
    <row r="214540" customFormat="1" x14ac:dyDescent="0.25"/>
    <row r="214541" customFormat="1" x14ac:dyDescent="0.25"/>
    <row r="214542" customFormat="1" x14ac:dyDescent="0.25"/>
    <row r="214543" customFormat="1" x14ac:dyDescent="0.25"/>
    <row r="214544" customFormat="1" x14ac:dyDescent="0.25"/>
    <row r="214545" customFormat="1" x14ac:dyDescent="0.25"/>
    <row r="214546" customFormat="1" x14ac:dyDescent="0.25"/>
    <row r="214547" customFormat="1" x14ac:dyDescent="0.25"/>
    <row r="214548" customFormat="1" x14ac:dyDescent="0.25"/>
    <row r="214549" customFormat="1" x14ac:dyDescent="0.25"/>
    <row r="214550" customFormat="1" x14ac:dyDescent="0.25"/>
    <row r="214551" customFormat="1" x14ac:dyDescent="0.25"/>
    <row r="214552" customFormat="1" x14ac:dyDescent="0.25"/>
    <row r="214553" customFormat="1" x14ac:dyDescent="0.25"/>
    <row r="214554" customFormat="1" x14ac:dyDescent="0.25"/>
    <row r="214555" customFormat="1" x14ac:dyDescent="0.25"/>
    <row r="214556" customFormat="1" x14ac:dyDescent="0.25"/>
    <row r="214557" customFormat="1" x14ac:dyDescent="0.25"/>
    <row r="214558" customFormat="1" x14ac:dyDescent="0.25"/>
    <row r="214559" customFormat="1" x14ac:dyDescent="0.25"/>
    <row r="214560" customFormat="1" x14ac:dyDescent="0.25"/>
    <row r="214561" customFormat="1" x14ac:dyDescent="0.25"/>
    <row r="214562" customFormat="1" x14ac:dyDescent="0.25"/>
    <row r="214563" customFormat="1" x14ac:dyDescent="0.25"/>
    <row r="214564" customFormat="1" x14ac:dyDescent="0.25"/>
    <row r="214565" customFormat="1" x14ac:dyDescent="0.25"/>
    <row r="214566" customFormat="1" x14ac:dyDescent="0.25"/>
    <row r="214567" customFormat="1" x14ac:dyDescent="0.25"/>
    <row r="214568" customFormat="1" x14ac:dyDescent="0.25"/>
    <row r="214569" customFormat="1" x14ac:dyDescent="0.25"/>
    <row r="214570" customFormat="1" x14ac:dyDescent="0.25"/>
    <row r="214571" customFormat="1" x14ac:dyDescent="0.25"/>
    <row r="214572" customFormat="1" x14ac:dyDescent="0.25"/>
    <row r="214573" customFormat="1" x14ac:dyDescent="0.25"/>
    <row r="214574" customFormat="1" x14ac:dyDescent="0.25"/>
    <row r="214575" customFormat="1" x14ac:dyDescent="0.25"/>
    <row r="214576" customFormat="1" x14ac:dyDescent="0.25"/>
    <row r="214577" customFormat="1" x14ac:dyDescent="0.25"/>
    <row r="214578" customFormat="1" x14ac:dyDescent="0.25"/>
    <row r="214579" customFormat="1" x14ac:dyDescent="0.25"/>
    <row r="214580" customFormat="1" x14ac:dyDescent="0.25"/>
    <row r="214581" customFormat="1" x14ac:dyDescent="0.25"/>
    <row r="214582" customFormat="1" x14ac:dyDescent="0.25"/>
    <row r="214583" customFormat="1" x14ac:dyDescent="0.25"/>
    <row r="214584" customFormat="1" x14ac:dyDescent="0.25"/>
    <row r="214585" customFormat="1" x14ac:dyDescent="0.25"/>
    <row r="214586" customFormat="1" x14ac:dyDescent="0.25"/>
    <row r="214587" customFormat="1" x14ac:dyDescent="0.25"/>
    <row r="214588" customFormat="1" x14ac:dyDescent="0.25"/>
    <row r="214589" customFormat="1" x14ac:dyDescent="0.25"/>
    <row r="214590" customFormat="1" x14ac:dyDescent="0.25"/>
    <row r="214591" customFormat="1" x14ac:dyDescent="0.25"/>
    <row r="214592" customFormat="1" x14ac:dyDescent="0.25"/>
    <row r="214593" customFormat="1" x14ac:dyDescent="0.25"/>
    <row r="214594" customFormat="1" x14ac:dyDescent="0.25"/>
    <row r="214595" customFormat="1" x14ac:dyDescent="0.25"/>
    <row r="214596" customFormat="1" x14ac:dyDescent="0.25"/>
    <row r="214597" customFormat="1" x14ac:dyDescent="0.25"/>
    <row r="214598" customFormat="1" x14ac:dyDescent="0.25"/>
    <row r="214599" customFormat="1" x14ac:dyDescent="0.25"/>
    <row r="214600" customFormat="1" x14ac:dyDescent="0.25"/>
    <row r="214601" customFormat="1" x14ac:dyDescent="0.25"/>
    <row r="214602" customFormat="1" x14ac:dyDescent="0.25"/>
    <row r="214603" customFormat="1" x14ac:dyDescent="0.25"/>
    <row r="214604" customFormat="1" x14ac:dyDescent="0.25"/>
    <row r="214605" customFormat="1" x14ac:dyDescent="0.25"/>
    <row r="214606" customFormat="1" x14ac:dyDescent="0.25"/>
    <row r="214607" customFormat="1" x14ac:dyDescent="0.25"/>
    <row r="214608" customFormat="1" x14ac:dyDescent="0.25"/>
    <row r="214609" customFormat="1" x14ac:dyDescent="0.25"/>
    <row r="214610" customFormat="1" x14ac:dyDescent="0.25"/>
    <row r="214611" customFormat="1" x14ac:dyDescent="0.25"/>
    <row r="214612" customFormat="1" x14ac:dyDescent="0.25"/>
    <row r="214613" customFormat="1" x14ac:dyDescent="0.25"/>
    <row r="214614" customFormat="1" x14ac:dyDescent="0.25"/>
    <row r="214615" customFormat="1" x14ac:dyDescent="0.25"/>
    <row r="214616" customFormat="1" x14ac:dyDescent="0.25"/>
    <row r="214617" customFormat="1" x14ac:dyDescent="0.25"/>
    <row r="214618" customFormat="1" x14ac:dyDescent="0.25"/>
    <row r="214619" customFormat="1" x14ac:dyDescent="0.25"/>
    <row r="214620" customFormat="1" x14ac:dyDescent="0.25"/>
    <row r="214621" customFormat="1" x14ac:dyDescent="0.25"/>
    <row r="214622" customFormat="1" x14ac:dyDescent="0.25"/>
    <row r="214623" customFormat="1" x14ac:dyDescent="0.25"/>
    <row r="214624" customFormat="1" x14ac:dyDescent="0.25"/>
    <row r="214625" customFormat="1" x14ac:dyDescent="0.25"/>
    <row r="214626" customFormat="1" x14ac:dyDescent="0.25"/>
    <row r="214627" customFormat="1" x14ac:dyDescent="0.25"/>
    <row r="214628" customFormat="1" x14ac:dyDescent="0.25"/>
    <row r="214629" customFormat="1" x14ac:dyDescent="0.25"/>
    <row r="214630" customFormat="1" x14ac:dyDescent="0.25"/>
    <row r="214631" customFormat="1" x14ac:dyDescent="0.25"/>
    <row r="214632" customFormat="1" x14ac:dyDescent="0.25"/>
    <row r="214633" customFormat="1" x14ac:dyDescent="0.25"/>
    <row r="214634" customFormat="1" x14ac:dyDescent="0.25"/>
    <row r="214635" customFormat="1" x14ac:dyDescent="0.25"/>
    <row r="214636" customFormat="1" x14ac:dyDescent="0.25"/>
    <row r="214637" customFormat="1" x14ac:dyDescent="0.25"/>
    <row r="214638" customFormat="1" x14ac:dyDescent="0.25"/>
    <row r="214639" customFormat="1" x14ac:dyDescent="0.25"/>
    <row r="214640" customFormat="1" x14ac:dyDescent="0.25"/>
    <row r="214641" customFormat="1" x14ac:dyDescent="0.25"/>
    <row r="214642" customFormat="1" x14ac:dyDescent="0.25"/>
    <row r="214643" customFormat="1" x14ac:dyDescent="0.25"/>
    <row r="214644" customFormat="1" x14ac:dyDescent="0.25"/>
    <row r="214645" customFormat="1" x14ac:dyDescent="0.25"/>
    <row r="214646" customFormat="1" x14ac:dyDescent="0.25"/>
    <row r="214647" customFormat="1" x14ac:dyDescent="0.25"/>
    <row r="214648" customFormat="1" x14ac:dyDescent="0.25"/>
    <row r="214649" customFormat="1" x14ac:dyDescent="0.25"/>
    <row r="214650" customFormat="1" x14ac:dyDescent="0.25"/>
    <row r="214651" customFormat="1" x14ac:dyDescent="0.25"/>
    <row r="214652" customFormat="1" x14ac:dyDescent="0.25"/>
    <row r="214653" customFormat="1" x14ac:dyDescent="0.25"/>
    <row r="214654" customFormat="1" x14ac:dyDescent="0.25"/>
    <row r="214655" customFormat="1" x14ac:dyDescent="0.25"/>
    <row r="214656" customFormat="1" x14ac:dyDescent="0.25"/>
    <row r="214657" customFormat="1" x14ac:dyDescent="0.25"/>
    <row r="214658" customFormat="1" x14ac:dyDescent="0.25"/>
    <row r="214659" customFormat="1" x14ac:dyDescent="0.25"/>
    <row r="214660" customFormat="1" x14ac:dyDescent="0.25"/>
    <row r="214661" customFormat="1" x14ac:dyDescent="0.25"/>
    <row r="214662" customFormat="1" x14ac:dyDescent="0.25"/>
    <row r="214663" customFormat="1" x14ac:dyDescent="0.25"/>
    <row r="214664" customFormat="1" x14ac:dyDescent="0.25"/>
    <row r="214665" customFormat="1" x14ac:dyDescent="0.25"/>
    <row r="214666" customFormat="1" x14ac:dyDescent="0.25"/>
    <row r="214667" customFormat="1" x14ac:dyDescent="0.25"/>
    <row r="214668" customFormat="1" x14ac:dyDescent="0.25"/>
    <row r="214669" customFormat="1" x14ac:dyDescent="0.25"/>
    <row r="214670" customFormat="1" x14ac:dyDescent="0.25"/>
    <row r="214671" customFormat="1" x14ac:dyDescent="0.25"/>
    <row r="214672" customFormat="1" x14ac:dyDescent="0.25"/>
    <row r="214673" customFormat="1" x14ac:dyDescent="0.25"/>
    <row r="214674" customFormat="1" x14ac:dyDescent="0.25"/>
    <row r="214675" customFormat="1" x14ac:dyDescent="0.25"/>
    <row r="214676" customFormat="1" x14ac:dyDescent="0.25"/>
    <row r="214677" customFormat="1" x14ac:dyDescent="0.25"/>
    <row r="214678" customFormat="1" x14ac:dyDescent="0.25"/>
    <row r="214679" customFormat="1" x14ac:dyDescent="0.25"/>
    <row r="214680" customFormat="1" x14ac:dyDescent="0.25"/>
    <row r="214681" customFormat="1" x14ac:dyDescent="0.25"/>
    <row r="214682" customFormat="1" x14ac:dyDescent="0.25"/>
    <row r="214683" customFormat="1" x14ac:dyDescent="0.25"/>
    <row r="214684" customFormat="1" x14ac:dyDescent="0.25"/>
    <row r="214685" customFormat="1" x14ac:dyDescent="0.25"/>
    <row r="214686" customFormat="1" x14ac:dyDescent="0.25"/>
    <row r="214687" customFormat="1" x14ac:dyDescent="0.25"/>
    <row r="214688" customFormat="1" x14ac:dyDescent="0.25"/>
    <row r="214689" customFormat="1" x14ac:dyDescent="0.25"/>
    <row r="214690" customFormat="1" x14ac:dyDescent="0.25"/>
    <row r="214691" customFormat="1" x14ac:dyDescent="0.25"/>
    <row r="214692" customFormat="1" x14ac:dyDescent="0.25"/>
    <row r="214693" customFormat="1" x14ac:dyDescent="0.25"/>
    <row r="214694" customFormat="1" x14ac:dyDescent="0.25"/>
    <row r="214695" customFormat="1" x14ac:dyDescent="0.25"/>
    <row r="214696" customFormat="1" x14ac:dyDescent="0.25"/>
    <row r="214697" customFormat="1" x14ac:dyDescent="0.25"/>
    <row r="214698" customFormat="1" x14ac:dyDescent="0.25"/>
    <row r="214699" customFormat="1" x14ac:dyDescent="0.25"/>
    <row r="214700" customFormat="1" x14ac:dyDescent="0.25"/>
    <row r="214701" customFormat="1" x14ac:dyDescent="0.25"/>
    <row r="214702" customFormat="1" x14ac:dyDescent="0.25"/>
    <row r="214703" customFormat="1" x14ac:dyDescent="0.25"/>
    <row r="214704" customFormat="1" x14ac:dyDescent="0.25"/>
    <row r="214705" customFormat="1" x14ac:dyDescent="0.25"/>
    <row r="214706" customFormat="1" x14ac:dyDescent="0.25"/>
    <row r="214707" customFormat="1" x14ac:dyDescent="0.25"/>
    <row r="214708" customFormat="1" x14ac:dyDescent="0.25"/>
    <row r="214709" customFormat="1" x14ac:dyDescent="0.25"/>
    <row r="214710" customFormat="1" x14ac:dyDescent="0.25"/>
    <row r="214711" customFormat="1" x14ac:dyDescent="0.25"/>
    <row r="214712" customFormat="1" x14ac:dyDescent="0.25"/>
    <row r="214713" customFormat="1" x14ac:dyDescent="0.25"/>
    <row r="214714" customFormat="1" x14ac:dyDescent="0.25"/>
    <row r="214715" customFormat="1" x14ac:dyDescent="0.25"/>
    <row r="214716" customFormat="1" x14ac:dyDescent="0.25"/>
    <row r="214717" customFormat="1" x14ac:dyDescent="0.25"/>
    <row r="214718" customFormat="1" x14ac:dyDescent="0.25"/>
    <row r="214719" customFormat="1" x14ac:dyDescent="0.25"/>
    <row r="214720" customFormat="1" x14ac:dyDescent="0.25"/>
    <row r="214721" customFormat="1" x14ac:dyDescent="0.25"/>
    <row r="214722" customFormat="1" x14ac:dyDescent="0.25"/>
    <row r="214723" customFormat="1" x14ac:dyDescent="0.25"/>
    <row r="214724" customFormat="1" x14ac:dyDescent="0.25"/>
    <row r="214725" customFormat="1" x14ac:dyDescent="0.25"/>
    <row r="214726" customFormat="1" x14ac:dyDescent="0.25"/>
    <row r="214727" customFormat="1" x14ac:dyDescent="0.25"/>
    <row r="214728" customFormat="1" x14ac:dyDescent="0.25"/>
    <row r="214729" customFormat="1" x14ac:dyDescent="0.25"/>
    <row r="214730" customFormat="1" x14ac:dyDescent="0.25"/>
    <row r="214731" customFormat="1" x14ac:dyDescent="0.25"/>
    <row r="214732" customFormat="1" x14ac:dyDescent="0.25"/>
    <row r="214733" customFormat="1" x14ac:dyDescent="0.25"/>
    <row r="214734" customFormat="1" x14ac:dyDescent="0.25"/>
    <row r="214735" customFormat="1" x14ac:dyDescent="0.25"/>
    <row r="214736" customFormat="1" x14ac:dyDescent="0.25"/>
    <row r="214737" customFormat="1" x14ac:dyDescent="0.25"/>
    <row r="214738" customFormat="1" x14ac:dyDescent="0.25"/>
    <row r="214739" customFormat="1" x14ac:dyDescent="0.25"/>
    <row r="214740" customFormat="1" x14ac:dyDescent="0.25"/>
    <row r="214741" customFormat="1" x14ac:dyDescent="0.25"/>
    <row r="214742" customFormat="1" x14ac:dyDescent="0.25"/>
    <row r="214743" customFormat="1" x14ac:dyDescent="0.25"/>
    <row r="214744" customFormat="1" x14ac:dyDescent="0.25"/>
    <row r="214745" customFormat="1" x14ac:dyDescent="0.25"/>
    <row r="214746" customFormat="1" x14ac:dyDescent="0.25"/>
    <row r="214747" customFormat="1" x14ac:dyDescent="0.25"/>
    <row r="214748" customFormat="1" x14ac:dyDescent="0.25"/>
    <row r="214749" customFormat="1" x14ac:dyDescent="0.25"/>
    <row r="214750" customFormat="1" x14ac:dyDescent="0.25"/>
    <row r="214751" customFormat="1" x14ac:dyDescent="0.25"/>
    <row r="214752" customFormat="1" x14ac:dyDescent="0.25"/>
    <row r="214753" customFormat="1" x14ac:dyDescent="0.25"/>
    <row r="214754" customFormat="1" x14ac:dyDescent="0.25"/>
    <row r="214755" customFormat="1" x14ac:dyDescent="0.25"/>
    <row r="214756" customFormat="1" x14ac:dyDescent="0.25"/>
    <row r="214757" customFormat="1" x14ac:dyDescent="0.25"/>
    <row r="214758" customFormat="1" x14ac:dyDescent="0.25"/>
    <row r="214759" customFormat="1" x14ac:dyDescent="0.25"/>
    <row r="214760" customFormat="1" x14ac:dyDescent="0.25"/>
    <row r="214761" customFormat="1" x14ac:dyDescent="0.25"/>
    <row r="214762" customFormat="1" x14ac:dyDescent="0.25"/>
    <row r="214763" customFormat="1" x14ac:dyDescent="0.25"/>
    <row r="214764" customFormat="1" x14ac:dyDescent="0.25"/>
    <row r="214765" customFormat="1" x14ac:dyDescent="0.25"/>
    <row r="214766" customFormat="1" x14ac:dyDescent="0.25"/>
    <row r="214767" customFormat="1" x14ac:dyDescent="0.25"/>
    <row r="214768" customFormat="1" x14ac:dyDescent="0.25"/>
    <row r="214769" customFormat="1" x14ac:dyDescent="0.25"/>
    <row r="214770" customFormat="1" x14ac:dyDescent="0.25"/>
    <row r="214771" customFormat="1" x14ac:dyDescent="0.25"/>
    <row r="214772" customFormat="1" x14ac:dyDescent="0.25"/>
    <row r="214773" customFormat="1" x14ac:dyDescent="0.25"/>
    <row r="214774" customFormat="1" x14ac:dyDescent="0.25"/>
    <row r="214775" customFormat="1" x14ac:dyDescent="0.25"/>
    <row r="214776" customFormat="1" x14ac:dyDescent="0.25"/>
    <row r="214777" customFormat="1" x14ac:dyDescent="0.25"/>
    <row r="214778" customFormat="1" x14ac:dyDescent="0.25"/>
    <row r="214779" customFormat="1" x14ac:dyDescent="0.25"/>
    <row r="214780" customFormat="1" x14ac:dyDescent="0.25"/>
    <row r="214781" customFormat="1" x14ac:dyDescent="0.25"/>
    <row r="214782" customFormat="1" x14ac:dyDescent="0.25"/>
    <row r="214783" customFormat="1" x14ac:dyDescent="0.25"/>
    <row r="214784" customFormat="1" x14ac:dyDescent="0.25"/>
    <row r="214785" customFormat="1" x14ac:dyDescent="0.25"/>
    <row r="214786" customFormat="1" x14ac:dyDescent="0.25"/>
    <row r="214787" customFormat="1" x14ac:dyDescent="0.25"/>
    <row r="214788" customFormat="1" x14ac:dyDescent="0.25"/>
    <row r="214789" customFormat="1" x14ac:dyDescent="0.25"/>
    <row r="214790" customFormat="1" x14ac:dyDescent="0.25"/>
    <row r="214791" customFormat="1" x14ac:dyDescent="0.25"/>
    <row r="214792" customFormat="1" x14ac:dyDescent="0.25"/>
    <row r="214793" customFormat="1" x14ac:dyDescent="0.25"/>
    <row r="214794" customFormat="1" x14ac:dyDescent="0.25"/>
    <row r="214795" customFormat="1" x14ac:dyDescent="0.25"/>
    <row r="214796" customFormat="1" x14ac:dyDescent="0.25"/>
    <row r="214797" customFormat="1" x14ac:dyDescent="0.25"/>
    <row r="214798" customFormat="1" x14ac:dyDescent="0.25"/>
    <row r="214799" customFormat="1" x14ac:dyDescent="0.25"/>
    <row r="214800" customFormat="1" x14ac:dyDescent="0.25"/>
    <row r="214801" customFormat="1" x14ac:dyDescent="0.25"/>
    <row r="214802" customFormat="1" x14ac:dyDescent="0.25"/>
    <row r="214803" customFormat="1" x14ac:dyDescent="0.25"/>
    <row r="214804" customFormat="1" x14ac:dyDescent="0.25"/>
    <row r="214805" customFormat="1" x14ac:dyDescent="0.25"/>
    <row r="214806" customFormat="1" x14ac:dyDescent="0.25"/>
    <row r="214807" customFormat="1" x14ac:dyDescent="0.25"/>
    <row r="214808" customFormat="1" x14ac:dyDescent="0.25"/>
    <row r="214809" customFormat="1" x14ac:dyDescent="0.25"/>
    <row r="214810" customFormat="1" x14ac:dyDescent="0.25"/>
    <row r="214811" customFormat="1" x14ac:dyDescent="0.25"/>
    <row r="214812" customFormat="1" x14ac:dyDescent="0.25"/>
    <row r="214813" customFormat="1" x14ac:dyDescent="0.25"/>
    <row r="214814" customFormat="1" x14ac:dyDescent="0.25"/>
    <row r="214815" customFormat="1" x14ac:dyDescent="0.25"/>
    <row r="214816" customFormat="1" x14ac:dyDescent="0.25"/>
    <row r="214817" customFormat="1" x14ac:dyDescent="0.25"/>
    <row r="214818" customFormat="1" x14ac:dyDescent="0.25"/>
    <row r="214819" customFormat="1" x14ac:dyDescent="0.25"/>
    <row r="214820" customFormat="1" x14ac:dyDescent="0.25"/>
    <row r="214821" customFormat="1" x14ac:dyDescent="0.25"/>
    <row r="214822" customFormat="1" x14ac:dyDescent="0.25"/>
    <row r="214823" customFormat="1" x14ac:dyDescent="0.25"/>
    <row r="214824" customFormat="1" x14ac:dyDescent="0.25"/>
    <row r="214825" customFormat="1" x14ac:dyDescent="0.25"/>
    <row r="214826" customFormat="1" x14ac:dyDescent="0.25"/>
    <row r="214827" customFormat="1" x14ac:dyDescent="0.25"/>
    <row r="214828" customFormat="1" x14ac:dyDescent="0.25"/>
    <row r="214829" customFormat="1" x14ac:dyDescent="0.25"/>
    <row r="214830" customFormat="1" x14ac:dyDescent="0.25"/>
    <row r="214831" customFormat="1" x14ac:dyDescent="0.25"/>
    <row r="214832" customFormat="1" x14ac:dyDescent="0.25"/>
    <row r="214833" customFormat="1" x14ac:dyDescent="0.25"/>
    <row r="214834" customFormat="1" x14ac:dyDescent="0.25"/>
    <row r="214835" customFormat="1" x14ac:dyDescent="0.25"/>
    <row r="214836" customFormat="1" x14ac:dyDescent="0.25"/>
    <row r="214837" customFormat="1" x14ac:dyDescent="0.25"/>
    <row r="214838" customFormat="1" x14ac:dyDescent="0.25"/>
    <row r="214839" customFormat="1" x14ac:dyDescent="0.25"/>
    <row r="214840" customFormat="1" x14ac:dyDescent="0.25"/>
    <row r="214841" customFormat="1" x14ac:dyDescent="0.25"/>
    <row r="214842" customFormat="1" x14ac:dyDescent="0.25"/>
    <row r="214843" customFormat="1" x14ac:dyDescent="0.25"/>
    <row r="214844" customFormat="1" x14ac:dyDescent="0.25"/>
    <row r="214845" customFormat="1" x14ac:dyDescent="0.25"/>
    <row r="214846" customFormat="1" x14ac:dyDescent="0.25"/>
    <row r="214847" customFormat="1" x14ac:dyDescent="0.25"/>
    <row r="214848" customFormat="1" x14ac:dyDescent="0.25"/>
    <row r="214849" customFormat="1" x14ac:dyDescent="0.25"/>
    <row r="214850" customFormat="1" x14ac:dyDescent="0.25"/>
    <row r="214851" customFormat="1" x14ac:dyDescent="0.25"/>
    <row r="214852" customFormat="1" x14ac:dyDescent="0.25"/>
    <row r="214853" customFormat="1" x14ac:dyDescent="0.25"/>
    <row r="214854" customFormat="1" x14ac:dyDescent="0.25"/>
    <row r="214855" customFormat="1" x14ac:dyDescent="0.25"/>
    <row r="214856" customFormat="1" x14ac:dyDescent="0.25"/>
    <row r="214857" customFormat="1" x14ac:dyDescent="0.25"/>
    <row r="214858" customFormat="1" x14ac:dyDescent="0.25"/>
    <row r="214859" customFormat="1" x14ac:dyDescent="0.25"/>
    <row r="214860" customFormat="1" x14ac:dyDescent="0.25"/>
    <row r="214861" customFormat="1" x14ac:dyDescent="0.25"/>
    <row r="214862" customFormat="1" x14ac:dyDescent="0.25"/>
    <row r="214863" customFormat="1" x14ac:dyDescent="0.25"/>
    <row r="214864" customFormat="1" x14ac:dyDescent="0.25"/>
    <row r="214865" customFormat="1" x14ac:dyDescent="0.25"/>
    <row r="214866" customFormat="1" x14ac:dyDescent="0.25"/>
    <row r="214867" customFormat="1" x14ac:dyDescent="0.25"/>
    <row r="214868" customFormat="1" x14ac:dyDescent="0.25"/>
    <row r="214869" customFormat="1" x14ac:dyDescent="0.25"/>
    <row r="214870" customFormat="1" x14ac:dyDescent="0.25"/>
    <row r="214871" customFormat="1" x14ac:dyDescent="0.25"/>
    <row r="214872" customFormat="1" x14ac:dyDescent="0.25"/>
    <row r="214873" customFormat="1" x14ac:dyDescent="0.25"/>
    <row r="214874" customFormat="1" x14ac:dyDescent="0.25"/>
    <row r="214875" customFormat="1" x14ac:dyDescent="0.25"/>
    <row r="214876" customFormat="1" x14ac:dyDescent="0.25"/>
    <row r="214877" customFormat="1" x14ac:dyDescent="0.25"/>
    <row r="214878" customFormat="1" x14ac:dyDescent="0.25"/>
    <row r="214879" customFormat="1" x14ac:dyDescent="0.25"/>
    <row r="214880" customFormat="1" x14ac:dyDescent="0.25"/>
    <row r="214881" customFormat="1" x14ac:dyDescent="0.25"/>
    <row r="214882" customFormat="1" x14ac:dyDescent="0.25"/>
    <row r="214883" customFormat="1" x14ac:dyDescent="0.25"/>
    <row r="214884" customFormat="1" x14ac:dyDescent="0.25"/>
    <row r="214885" customFormat="1" x14ac:dyDescent="0.25"/>
    <row r="214886" customFormat="1" x14ac:dyDescent="0.25"/>
    <row r="214887" customFormat="1" x14ac:dyDescent="0.25"/>
    <row r="214888" customFormat="1" x14ac:dyDescent="0.25"/>
    <row r="214889" customFormat="1" x14ac:dyDescent="0.25"/>
    <row r="214890" customFormat="1" x14ac:dyDescent="0.25"/>
    <row r="214891" customFormat="1" x14ac:dyDescent="0.25"/>
    <row r="214892" customFormat="1" x14ac:dyDescent="0.25"/>
    <row r="214893" customFormat="1" x14ac:dyDescent="0.25"/>
    <row r="214894" customFormat="1" x14ac:dyDescent="0.25"/>
    <row r="214895" customFormat="1" x14ac:dyDescent="0.25"/>
    <row r="214896" customFormat="1" x14ac:dyDescent="0.25"/>
    <row r="214897" customFormat="1" x14ac:dyDescent="0.25"/>
    <row r="214898" customFormat="1" x14ac:dyDescent="0.25"/>
    <row r="214899" customFormat="1" x14ac:dyDescent="0.25"/>
    <row r="214900" customFormat="1" x14ac:dyDescent="0.25"/>
    <row r="214901" customFormat="1" x14ac:dyDescent="0.25"/>
    <row r="214902" customFormat="1" x14ac:dyDescent="0.25"/>
    <row r="214903" customFormat="1" x14ac:dyDescent="0.25"/>
    <row r="214904" customFormat="1" x14ac:dyDescent="0.25"/>
    <row r="214905" customFormat="1" x14ac:dyDescent="0.25"/>
    <row r="214906" customFormat="1" x14ac:dyDescent="0.25"/>
    <row r="214907" customFormat="1" x14ac:dyDescent="0.25"/>
    <row r="214908" customFormat="1" x14ac:dyDescent="0.25"/>
    <row r="214909" customFormat="1" x14ac:dyDescent="0.25"/>
    <row r="214910" customFormat="1" x14ac:dyDescent="0.25"/>
    <row r="214911" customFormat="1" x14ac:dyDescent="0.25"/>
    <row r="214912" customFormat="1" x14ac:dyDescent="0.25"/>
    <row r="214913" customFormat="1" x14ac:dyDescent="0.25"/>
    <row r="214914" customFormat="1" x14ac:dyDescent="0.25"/>
    <row r="214915" customFormat="1" x14ac:dyDescent="0.25"/>
    <row r="214916" customFormat="1" x14ac:dyDescent="0.25"/>
    <row r="214917" customFormat="1" x14ac:dyDescent="0.25"/>
    <row r="214918" customFormat="1" x14ac:dyDescent="0.25"/>
    <row r="214919" customFormat="1" x14ac:dyDescent="0.25"/>
    <row r="214920" customFormat="1" x14ac:dyDescent="0.25"/>
    <row r="214921" customFormat="1" x14ac:dyDescent="0.25"/>
    <row r="214922" customFormat="1" x14ac:dyDescent="0.25"/>
    <row r="214923" customFormat="1" x14ac:dyDescent="0.25"/>
    <row r="214924" customFormat="1" x14ac:dyDescent="0.25"/>
    <row r="214925" customFormat="1" x14ac:dyDescent="0.25"/>
    <row r="214926" customFormat="1" x14ac:dyDescent="0.25"/>
    <row r="214927" customFormat="1" x14ac:dyDescent="0.25"/>
    <row r="214928" customFormat="1" x14ac:dyDescent="0.25"/>
    <row r="214929" customFormat="1" x14ac:dyDescent="0.25"/>
    <row r="214930" customFormat="1" x14ac:dyDescent="0.25"/>
    <row r="214931" customFormat="1" x14ac:dyDescent="0.25"/>
    <row r="214932" customFormat="1" x14ac:dyDescent="0.25"/>
    <row r="214933" customFormat="1" x14ac:dyDescent="0.25"/>
    <row r="214934" customFormat="1" x14ac:dyDescent="0.25"/>
    <row r="214935" customFormat="1" x14ac:dyDescent="0.25"/>
    <row r="214936" customFormat="1" x14ac:dyDescent="0.25"/>
    <row r="214937" customFormat="1" x14ac:dyDescent="0.25"/>
    <row r="214938" customFormat="1" x14ac:dyDescent="0.25"/>
    <row r="214939" customFormat="1" x14ac:dyDescent="0.25"/>
    <row r="214940" customFormat="1" x14ac:dyDescent="0.25"/>
    <row r="214941" customFormat="1" x14ac:dyDescent="0.25"/>
    <row r="214942" customFormat="1" x14ac:dyDescent="0.25"/>
    <row r="214943" customFormat="1" x14ac:dyDescent="0.25"/>
    <row r="214944" customFormat="1" x14ac:dyDescent="0.25"/>
    <row r="214945" customFormat="1" x14ac:dyDescent="0.25"/>
    <row r="214946" customFormat="1" x14ac:dyDescent="0.25"/>
    <row r="214947" customFormat="1" x14ac:dyDescent="0.25"/>
    <row r="214948" customFormat="1" x14ac:dyDescent="0.25"/>
    <row r="214949" customFormat="1" x14ac:dyDescent="0.25"/>
    <row r="214950" customFormat="1" x14ac:dyDescent="0.25"/>
    <row r="214951" customFormat="1" x14ac:dyDescent="0.25"/>
    <row r="214952" customFormat="1" x14ac:dyDescent="0.25"/>
    <row r="214953" customFormat="1" x14ac:dyDescent="0.25"/>
    <row r="214954" customFormat="1" x14ac:dyDescent="0.25"/>
    <row r="214955" customFormat="1" x14ac:dyDescent="0.25"/>
    <row r="214956" customFormat="1" x14ac:dyDescent="0.25"/>
    <row r="214957" customFormat="1" x14ac:dyDescent="0.25"/>
    <row r="214958" customFormat="1" x14ac:dyDescent="0.25"/>
    <row r="214959" customFormat="1" x14ac:dyDescent="0.25"/>
    <row r="214960" customFormat="1" x14ac:dyDescent="0.25"/>
    <row r="214961" customFormat="1" x14ac:dyDescent="0.25"/>
    <row r="214962" customFormat="1" x14ac:dyDescent="0.25"/>
    <row r="214963" customFormat="1" x14ac:dyDescent="0.25"/>
    <row r="214964" customFormat="1" x14ac:dyDescent="0.25"/>
    <row r="214965" customFormat="1" x14ac:dyDescent="0.25"/>
    <row r="214966" customFormat="1" x14ac:dyDescent="0.25"/>
    <row r="214967" customFormat="1" x14ac:dyDescent="0.25"/>
    <row r="214968" customFormat="1" x14ac:dyDescent="0.25"/>
    <row r="214969" customFormat="1" x14ac:dyDescent="0.25"/>
    <row r="214970" customFormat="1" x14ac:dyDescent="0.25"/>
    <row r="214971" customFormat="1" x14ac:dyDescent="0.25"/>
    <row r="214972" customFormat="1" x14ac:dyDescent="0.25"/>
    <row r="214973" customFormat="1" x14ac:dyDescent="0.25"/>
    <row r="214974" customFormat="1" x14ac:dyDescent="0.25"/>
    <row r="214975" customFormat="1" x14ac:dyDescent="0.25"/>
    <row r="214976" customFormat="1" x14ac:dyDescent="0.25"/>
    <row r="214977" customFormat="1" x14ac:dyDescent="0.25"/>
    <row r="214978" customFormat="1" x14ac:dyDescent="0.25"/>
    <row r="214979" customFormat="1" x14ac:dyDescent="0.25"/>
    <row r="214980" customFormat="1" x14ac:dyDescent="0.25"/>
    <row r="214981" customFormat="1" x14ac:dyDescent="0.25"/>
    <row r="214982" customFormat="1" x14ac:dyDescent="0.25"/>
    <row r="214983" customFormat="1" x14ac:dyDescent="0.25"/>
    <row r="214984" customFormat="1" x14ac:dyDescent="0.25"/>
    <row r="214985" customFormat="1" x14ac:dyDescent="0.25"/>
    <row r="214986" customFormat="1" x14ac:dyDescent="0.25"/>
    <row r="214987" customFormat="1" x14ac:dyDescent="0.25"/>
    <row r="214988" customFormat="1" x14ac:dyDescent="0.25"/>
    <row r="214989" customFormat="1" x14ac:dyDescent="0.25"/>
    <row r="214990" customFormat="1" x14ac:dyDescent="0.25"/>
    <row r="214991" customFormat="1" x14ac:dyDescent="0.25"/>
    <row r="214992" customFormat="1" x14ac:dyDescent="0.25"/>
    <row r="214993" customFormat="1" x14ac:dyDescent="0.25"/>
    <row r="214994" customFormat="1" x14ac:dyDescent="0.25"/>
    <row r="214995" customFormat="1" x14ac:dyDescent="0.25"/>
    <row r="214996" customFormat="1" x14ac:dyDescent="0.25"/>
    <row r="214997" customFormat="1" x14ac:dyDescent="0.25"/>
    <row r="214998" customFormat="1" x14ac:dyDescent="0.25"/>
    <row r="214999" customFormat="1" x14ac:dyDescent="0.25"/>
    <row r="215000" customFormat="1" x14ac:dyDescent="0.25"/>
    <row r="215001" customFormat="1" x14ac:dyDescent="0.25"/>
    <row r="215002" customFormat="1" x14ac:dyDescent="0.25"/>
    <row r="215003" customFormat="1" x14ac:dyDescent="0.25"/>
    <row r="215004" customFormat="1" x14ac:dyDescent="0.25"/>
    <row r="215005" customFormat="1" x14ac:dyDescent="0.25"/>
    <row r="215006" customFormat="1" x14ac:dyDescent="0.25"/>
    <row r="215007" customFormat="1" x14ac:dyDescent="0.25"/>
    <row r="215008" customFormat="1" x14ac:dyDescent="0.25"/>
    <row r="215009" customFormat="1" x14ac:dyDescent="0.25"/>
    <row r="215010" customFormat="1" x14ac:dyDescent="0.25"/>
    <row r="215011" customFormat="1" x14ac:dyDescent="0.25"/>
    <row r="215012" customFormat="1" x14ac:dyDescent="0.25"/>
    <row r="215013" customFormat="1" x14ac:dyDescent="0.25"/>
    <row r="215014" customFormat="1" x14ac:dyDescent="0.25"/>
    <row r="215015" customFormat="1" x14ac:dyDescent="0.25"/>
    <row r="215016" customFormat="1" x14ac:dyDescent="0.25"/>
    <row r="215017" customFormat="1" x14ac:dyDescent="0.25"/>
    <row r="215018" customFormat="1" x14ac:dyDescent="0.25"/>
    <row r="215019" customFormat="1" x14ac:dyDescent="0.25"/>
    <row r="215020" customFormat="1" x14ac:dyDescent="0.25"/>
    <row r="215021" customFormat="1" x14ac:dyDescent="0.25"/>
    <row r="215022" customFormat="1" x14ac:dyDescent="0.25"/>
    <row r="215023" customFormat="1" x14ac:dyDescent="0.25"/>
    <row r="215024" customFormat="1" x14ac:dyDescent="0.25"/>
    <row r="215025" customFormat="1" x14ac:dyDescent="0.25"/>
    <row r="215026" customFormat="1" x14ac:dyDescent="0.25"/>
    <row r="215027" customFormat="1" x14ac:dyDescent="0.25"/>
    <row r="215028" customFormat="1" x14ac:dyDescent="0.25"/>
    <row r="215029" customFormat="1" x14ac:dyDescent="0.25"/>
    <row r="215030" customFormat="1" x14ac:dyDescent="0.25"/>
    <row r="215031" customFormat="1" x14ac:dyDescent="0.25"/>
    <row r="215032" customFormat="1" x14ac:dyDescent="0.25"/>
    <row r="215033" customFormat="1" x14ac:dyDescent="0.25"/>
    <row r="215034" customFormat="1" x14ac:dyDescent="0.25"/>
    <row r="215035" customFormat="1" x14ac:dyDescent="0.25"/>
    <row r="215036" customFormat="1" x14ac:dyDescent="0.25"/>
    <row r="215037" customFormat="1" x14ac:dyDescent="0.25"/>
    <row r="215038" customFormat="1" x14ac:dyDescent="0.25"/>
    <row r="215039" customFormat="1" x14ac:dyDescent="0.25"/>
    <row r="215040" customFormat="1" x14ac:dyDescent="0.25"/>
    <row r="215041" customFormat="1" x14ac:dyDescent="0.25"/>
    <row r="215042" customFormat="1" x14ac:dyDescent="0.25"/>
    <row r="215043" customFormat="1" x14ac:dyDescent="0.25"/>
    <row r="215044" customFormat="1" x14ac:dyDescent="0.25"/>
    <row r="215045" customFormat="1" x14ac:dyDescent="0.25"/>
    <row r="215046" customFormat="1" x14ac:dyDescent="0.25"/>
    <row r="215047" customFormat="1" x14ac:dyDescent="0.25"/>
    <row r="215048" customFormat="1" x14ac:dyDescent="0.25"/>
    <row r="215049" customFormat="1" x14ac:dyDescent="0.25"/>
    <row r="215050" customFormat="1" x14ac:dyDescent="0.25"/>
    <row r="215051" customFormat="1" x14ac:dyDescent="0.25"/>
    <row r="215052" customFormat="1" x14ac:dyDescent="0.25"/>
    <row r="215053" customFormat="1" x14ac:dyDescent="0.25"/>
    <row r="215054" customFormat="1" x14ac:dyDescent="0.25"/>
    <row r="215055" customFormat="1" x14ac:dyDescent="0.25"/>
    <row r="215056" customFormat="1" x14ac:dyDescent="0.25"/>
    <row r="215057" customFormat="1" x14ac:dyDescent="0.25"/>
    <row r="215058" customFormat="1" x14ac:dyDescent="0.25"/>
    <row r="215059" customFormat="1" x14ac:dyDescent="0.25"/>
    <row r="215060" customFormat="1" x14ac:dyDescent="0.25"/>
    <row r="215061" customFormat="1" x14ac:dyDescent="0.25"/>
    <row r="215062" customFormat="1" x14ac:dyDescent="0.25"/>
    <row r="215063" customFormat="1" x14ac:dyDescent="0.25"/>
    <row r="215064" customFormat="1" x14ac:dyDescent="0.25"/>
    <row r="215065" customFormat="1" x14ac:dyDescent="0.25"/>
    <row r="215066" customFormat="1" x14ac:dyDescent="0.25"/>
    <row r="215067" customFormat="1" x14ac:dyDescent="0.25"/>
    <row r="215068" customFormat="1" x14ac:dyDescent="0.25"/>
    <row r="215069" customFormat="1" x14ac:dyDescent="0.25"/>
    <row r="215070" customFormat="1" x14ac:dyDescent="0.25"/>
    <row r="215071" customFormat="1" x14ac:dyDescent="0.25"/>
    <row r="215072" customFormat="1" x14ac:dyDescent="0.25"/>
    <row r="215073" customFormat="1" x14ac:dyDescent="0.25"/>
    <row r="215074" customFormat="1" x14ac:dyDescent="0.25"/>
    <row r="215075" customFormat="1" x14ac:dyDescent="0.25"/>
    <row r="215076" customFormat="1" x14ac:dyDescent="0.25"/>
    <row r="215077" customFormat="1" x14ac:dyDescent="0.25"/>
    <row r="215078" customFormat="1" x14ac:dyDescent="0.25"/>
    <row r="215079" customFormat="1" x14ac:dyDescent="0.25"/>
    <row r="215080" customFormat="1" x14ac:dyDescent="0.25"/>
    <row r="215081" customFormat="1" x14ac:dyDescent="0.25"/>
    <row r="215082" customFormat="1" x14ac:dyDescent="0.25"/>
    <row r="215083" customFormat="1" x14ac:dyDescent="0.25"/>
    <row r="215084" customFormat="1" x14ac:dyDescent="0.25"/>
    <row r="215085" customFormat="1" x14ac:dyDescent="0.25"/>
    <row r="215086" customFormat="1" x14ac:dyDescent="0.25"/>
    <row r="215087" customFormat="1" x14ac:dyDescent="0.25"/>
    <row r="215088" customFormat="1" x14ac:dyDescent="0.25"/>
    <row r="215089" customFormat="1" x14ac:dyDescent="0.25"/>
    <row r="215090" customFormat="1" x14ac:dyDescent="0.25"/>
    <row r="215091" customFormat="1" x14ac:dyDescent="0.25"/>
    <row r="215092" customFormat="1" x14ac:dyDescent="0.25"/>
    <row r="215093" customFormat="1" x14ac:dyDescent="0.25"/>
    <row r="215094" customFormat="1" x14ac:dyDescent="0.25"/>
    <row r="215095" customFormat="1" x14ac:dyDescent="0.25"/>
    <row r="215096" customFormat="1" x14ac:dyDescent="0.25"/>
    <row r="215097" customFormat="1" x14ac:dyDescent="0.25"/>
    <row r="215098" customFormat="1" x14ac:dyDescent="0.25"/>
    <row r="215099" customFormat="1" x14ac:dyDescent="0.25"/>
    <row r="215100" customFormat="1" x14ac:dyDescent="0.25"/>
    <row r="215101" customFormat="1" x14ac:dyDescent="0.25"/>
    <row r="215102" customFormat="1" x14ac:dyDescent="0.25"/>
    <row r="215103" customFormat="1" x14ac:dyDescent="0.25"/>
    <row r="215104" customFormat="1" x14ac:dyDescent="0.25"/>
    <row r="215105" customFormat="1" x14ac:dyDescent="0.25"/>
    <row r="215106" customFormat="1" x14ac:dyDescent="0.25"/>
    <row r="215107" customFormat="1" x14ac:dyDescent="0.25"/>
    <row r="215108" customFormat="1" x14ac:dyDescent="0.25"/>
    <row r="215109" customFormat="1" x14ac:dyDescent="0.25"/>
    <row r="215110" customFormat="1" x14ac:dyDescent="0.25"/>
    <row r="215111" customFormat="1" x14ac:dyDescent="0.25"/>
    <row r="215112" customFormat="1" x14ac:dyDescent="0.25"/>
    <row r="215113" customFormat="1" x14ac:dyDescent="0.25"/>
    <row r="215114" customFormat="1" x14ac:dyDescent="0.25"/>
    <row r="215115" customFormat="1" x14ac:dyDescent="0.25"/>
    <row r="215116" customFormat="1" x14ac:dyDescent="0.25"/>
    <row r="215117" customFormat="1" x14ac:dyDescent="0.25"/>
    <row r="215118" customFormat="1" x14ac:dyDescent="0.25"/>
    <row r="215119" customFormat="1" x14ac:dyDescent="0.25"/>
    <row r="215120" customFormat="1" x14ac:dyDescent="0.25"/>
    <row r="215121" customFormat="1" x14ac:dyDescent="0.25"/>
    <row r="215122" customFormat="1" x14ac:dyDescent="0.25"/>
    <row r="215123" customFormat="1" x14ac:dyDescent="0.25"/>
    <row r="215124" customFormat="1" x14ac:dyDescent="0.25"/>
    <row r="215125" customFormat="1" x14ac:dyDescent="0.25"/>
    <row r="215126" customFormat="1" x14ac:dyDescent="0.25"/>
    <row r="215127" customFormat="1" x14ac:dyDescent="0.25"/>
    <row r="215128" customFormat="1" x14ac:dyDescent="0.25"/>
    <row r="215129" customFormat="1" x14ac:dyDescent="0.25"/>
    <row r="215130" customFormat="1" x14ac:dyDescent="0.25"/>
    <row r="215131" customFormat="1" x14ac:dyDescent="0.25"/>
    <row r="215132" customFormat="1" x14ac:dyDescent="0.25"/>
    <row r="215133" customFormat="1" x14ac:dyDescent="0.25"/>
    <row r="215134" customFormat="1" x14ac:dyDescent="0.25"/>
    <row r="215135" customFormat="1" x14ac:dyDescent="0.25"/>
    <row r="215136" customFormat="1" x14ac:dyDescent="0.25"/>
    <row r="215137" customFormat="1" x14ac:dyDescent="0.25"/>
    <row r="215138" customFormat="1" x14ac:dyDescent="0.25"/>
    <row r="215139" customFormat="1" x14ac:dyDescent="0.25"/>
    <row r="215140" customFormat="1" x14ac:dyDescent="0.25"/>
    <row r="215141" customFormat="1" x14ac:dyDescent="0.25"/>
    <row r="215142" customFormat="1" x14ac:dyDescent="0.25"/>
    <row r="215143" customFormat="1" x14ac:dyDescent="0.25"/>
    <row r="215144" customFormat="1" x14ac:dyDescent="0.25"/>
    <row r="215145" customFormat="1" x14ac:dyDescent="0.25"/>
    <row r="215146" customFormat="1" x14ac:dyDescent="0.25"/>
    <row r="215147" customFormat="1" x14ac:dyDescent="0.25"/>
    <row r="215148" customFormat="1" x14ac:dyDescent="0.25"/>
    <row r="215149" customFormat="1" x14ac:dyDescent="0.25"/>
    <row r="215150" customFormat="1" x14ac:dyDescent="0.25"/>
    <row r="215151" customFormat="1" x14ac:dyDescent="0.25"/>
    <row r="215152" customFormat="1" x14ac:dyDescent="0.25"/>
    <row r="215153" customFormat="1" x14ac:dyDescent="0.25"/>
    <row r="215154" customFormat="1" x14ac:dyDescent="0.25"/>
    <row r="215155" customFormat="1" x14ac:dyDescent="0.25"/>
    <row r="215156" customFormat="1" x14ac:dyDescent="0.25"/>
    <row r="215157" customFormat="1" x14ac:dyDescent="0.25"/>
    <row r="215158" customFormat="1" x14ac:dyDescent="0.25"/>
    <row r="215159" customFormat="1" x14ac:dyDescent="0.25"/>
    <row r="215160" customFormat="1" x14ac:dyDescent="0.25"/>
    <row r="215161" customFormat="1" x14ac:dyDescent="0.25"/>
    <row r="215162" customFormat="1" x14ac:dyDescent="0.25"/>
    <row r="215163" customFormat="1" x14ac:dyDescent="0.25"/>
    <row r="215164" customFormat="1" x14ac:dyDescent="0.25"/>
    <row r="215165" customFormat="1" x14ac:dyDescent="0.25"/>
    <row r="215166" customFormat="1" x14ac:dyDescent="0.25"/>
    <row r="215167" customFormat="1" x14ac:dyDescent="0.25"/>
    <row r="215168" customFormat="1" x14ac:dyDescent="0.25"/>
    <row r="215169" customFormat="1" x14ac:dyDescent="0.25"/>
    <row r="215170" customFormat="1" x14ac:dyDescent="0.25"/>
    <row r="215171" customFormat="1" x14ac:dyDescent="0.25"/>
    <row r="215172" customFormat="1" x14ac:dyDescent="0.25"/>
    <row r="215173" customFormat="1" x14ac:dyDescent="0.25"/>
    <row r="215174" customFormat="1" x14ac:dyDescent="0.25"/>
    <row r="215175" customFormat="1" x14ac:dyDescent="0.25"/>
    <row r="215176" customFormat="1" x14ac:dyDescent="0.25"/>
    <row r="215177" customFormat="1" x14ac:dyDescent="0.25"/>
    <row r="215178" customFormat="1" x14ac:dyDescent="0.25"/>
    <row r="215179" customFormat="1" x14ac:dyDescent="0.25"/>
    <row r="215180" customFormat="1" x14ac:dyDescent="0.25"/>
    <row r="215181" customFormat="1" x14ac:dyDescent="0.25"/>
    <row r="215182" customFormat="1" x14ac:dyDescent="0.25"/>
    <row r="215183" customFormat="1" x14ac:dyDescent="0.25"/>
    <row r="215184" customFormat="1" x14ac:dyDescent="0.25"/>
    <row r="215185" customFormat="1" x14ac:dyDescent="0.25"/>
    <row r="215186" customFormat="1" x14ac:dyDescent="0.25"/>
    <row r="215187" customFormat="1" x14ac:dyDescent="0.25"/>
    <row r="215188" customFormat="1" x14ac:dyDescent="0.25"/>
    <row r="215189" customFormat="1" x14ac:dyDescent="0.25"/>
    <row r="215190" customFormat="1" x14ac:dyDescent="0.25"/>
    <row r="215191" customFormat="1" x14ac:dyDescent="0.25"/>
    <row r="215192" customFormat="1" x14ac:dyDescent="0.25"/>
    <row r="215193" customFormat="1" x14ac:dyDescent="0.25"/>
    <row r="215194" customFormat="1" x14ac:dyDescent="0.25"/>
    <row r="215195" customFormat="1" x14ac:dyDescent="0.25"/>
    <row r="215196" customFormat="1" x14ac:dyDescent="0.25"/>
    <row r="215197" customFormat="1" x14ac:dyDescent="0.25"/>
    <row r="215198" customFormat="1" x14ac:dyDescent="0.25"/>
    <row r="215199" customFormat="1" x14ac:dyDescent="0.25"/>
    <row r="215200" customFormat="1" x14ac:dyDescent="0.25"/>
    <row r="215201" customFormat="1" x14ac:dyDescent="0.25"/>
    <row r="215202" customFormat="1" x14ac:dyDescent="0.25"/>
    <row r="215203" customFormat="1" x14ac:dyDescent="0.25"/>
    <row r="215204" customFormat="1" x14ac:dyDescent="0.25"/>
    <row r="215205" customFormat="1" x14ac:dyDescent="0.25"/>
    <row r="215206" customFormat="1" x14ac:dyDescent="0.25"/>
    <row r="215207" customFormat="1" x14ac:dyDescent="0.25"/>
    <row r="215208" customFormat="1" x14ac:dyDescent="0.25"/>
    <row r="215209" customFormat="1" x14ac:dyDescent="0.25"/>
    <row r="215210" customFormat="1" x14ac:dyDescent="0.25"/>
    <row r="215211" customFormat="1" x14ac:dyDescent="0.25"/>
    <row r="215212" customFormat="1" x14ac:dyDescent="0.25"/>
    <row r="215213" customFormat="1" x14ac:dyDescent="0.25"/>
    <row r="215214" customFormat="1" x14ac:dyDescent="0.25"/>
    <row r="215215" customFormat="1" x14ac:dyDescent="0.25"/>
    <row r="215216" customFormat="1" x14ac:dyDescent="0.25"/>
    <row r="215217" customFormat="1" x14ac:dyDescent="0.25"/>
    <row r="215218" customFormat="1" x14ac:dyDescent="0.25"/>
    <row r="215219" customFormat="1" x14ac:dyDescent="0.25"/>
    <row r="215220" customFormat="1" x14ac:dyDescent="0.25"/>
    <row r="215221" customFormat="1" x14ac:dyDescent="0.25"/>
    <row r="215222" customFormat="1" x14ac:dyDescent="0.25"/>
    <row r="215223" customFormat="1" x14ac:dyDescent="0.25"/>
    <row r="215224" customFormat="1" x14ac:dyDescent="0.25"/>
    <row r="215225" customFormat="1" x14ac:dyDescent="0.25"/>
    <row r="215226" customFormat="1" x14ac:dyDescent="0.25"/>
    <row r="215227" customFormat="1" x14ac:dyDescent="0.25"/>
    <row r="215228" customFormat="1" x14ac:dyDescent="0.25"/>
    <row r="215229" customFormat="1" x14ac:dyDescent="0.25"/>
    <row r="215230" customFormat="1" x14ac:dyDescent="0.25"/>
    <row r="215231" customFormat="1" x14ac:dyDescent="0.25"/>
    <row r="215232" customFormat="1" x14ac:dyDescent="0.25"/>
    <row r="215233" customFormat="1" x14ac:dyDescent="0.25"/>
    <row r="215234" customFormat="1" x14ac:dyDescent="0.25"/>
    <row r="215235" customFormat="1" x14ac:dyDescent="0.25"/>
    <row r="215236" customFormat="1" x14ac:dyDescent="0.25"/>
    <row r="215237" customFormat="1" x14ac:dyDescent="0.25"/>
    <row r="215238" customFormat="1" x14ac:dyDescent="0.25"/>
    <row r="215239" customFormat="1" x14ac:dyDescent="0.25"/>
    <row r="215240" customFormat="1" x14ac:dyDescent="0.25"/>
    <row r="215241" customFormat="1" x14ac:dyDescent="0.25"/>
    <row r="215242" customFormat="1" x14ac:dyDescent="0.25"/>
    <row r="215243" customFormat="1" x14ac:dyDescent="0.25"/>
    <row r="215244" customFormat="1" x14ac:dyDescent="0.25"/>
    <row r="215245" customFormat="1" x14ac:dyDescent="0.25"/>
    <row r="215246" customFormat="1" x14ac:dyDescent="0.25"/>
    <row r="215247" customFormat="1" x14ac:dyDescent="0.25"/>
    <row r="215248" customFormat="1" x14ac:dyDescent="0.25"/>
    <row r="215249" customFormat="1" x14ac:dyDescent="0.25"/>
    <row r="215250" customFormat="1" x14ac:dyDescent="0.25"/>
    <row r="215251" customFormat="1" x14ac:dyDescent="0.25"/>
    <row r="215252" customFormat="1" x14ac:dyDescent="0.25"/>
    <row r="215253" customFormat="1" x14ac:dyDescent="0.25"/>
    <row r="215254" customFormat="1" x14ac:dyDescent="0.25"/>
    <row r="215255" customFormat="1" x14ac:dyDescent="0.25"/>
    <row r="215256" customFormat="1" x14ac:dyDescent="0.25"/>
    <row r="215257" customFormat="1" x14ac:dyDescent="0.25"/>
    <row r="215258" customFormat="1" x14ac:dyDescent="0.25"/>
    <row r="215259" customFormat="1" x14ac:dyDescent="0.25"/>
    <row r="215260" customFormat="1" x14ac:dyDescent="0.25"/>
    <row r="215261" customFormat="1" x14ac:dyDescent="0.25"/>
    <row r="215262" customFormat="1" x14ac:dyDescent="0.25"/>
    <row r="215263" customFormat="1" x14ac:dyDescent="0.25"/>
    <row r="215264" customFormat="1" x14ac:dyDescent="0.25"/>
    <row r="215265" customFormat="1" x14ac:dyDescent="0.25"/>
    <row r="215266" customFormat="1" x14ac:dyDescent="0.25"/>
    <row r="215267" customFormat="1" x14ac:dyDescent="0.25"/>
    <row r="215268" customFormat="1" x14ac:dyDescent="0.25"/>
    <row r="215269" customFormat="1" x14ac:dyDescent="0.25"/>
    <row r="215270" customFormat="1" x14ac:dyDescent="0.25"/>
    <row r="215271" customFormat="1" x14ac:dyDescent="0.25"/>
    <row r="215272" customFormat="1" x14ac:dyDescent="0.25"/>
    <row r="215273" customFormat="1" x14ac:dyDescent="0.25"/>
    <row r="215274" customFormat="1" x14ac:dyDescent="0.25"/>
    <row r="215275" customFormat="1" x14ac:dyDescent="0.25"/>
    <row r="215276" customFormat="1" x14ac:dyDescent="0.25"/>
    <row r="215277" customFormat="1" x14ac:dyDescent="0.25"/>
    <row r="215278" customFormat="1" x14ac:dyDescent="0.25"/>
    <row r="215279" customFormat="1" x14ac:dyDescent="0.25"/>
    <row r="215280" customFormat="1" x14ac:dyDescent="0.25"/>
    <row r="215281" customFormat="1" x14ac:dyDescent="0.25"/>
    <row r="215282" customFormat="1" x14ac:dyDescent="0.25"/>
    <row r="215283" customFormat="1" x14ac:dyDescent="0.25"/>
    <row r="215284" customFormat="1" x14ac:dyDescent="0.25"/>
    <row r="215285" customFormat="1" x14ac:dyDescent="0.25"/>
    <row r="215286" customFormat="1" x14ac:dyDescent="0.25"/>
    <row r="215287" customFormat="1" x14ac:dyDescent="0.25"/>
    <row r="215288" customFormat="1" x14ac:dyDescent="0.25"/>
    <row r="215289" customFormat="1" x14ac:dyDescent="0.25"/>
    <row r="215290" customFormat="1" x14ac:dyDescent="0.25"/>
    <row r="215291" customFormat="1" x14ac:dyDescent="0.25"/>
    <row r="215292" customFormat="1" x14ac:dyDescent="0.25"/>
    <row r="215293" customFormat="1" x14ac:dyDescent="0.25"/>
    <row r="215294" customFormat="1" x14ac:dyDescent="0.25"/>
    <row r="215295" customFormat="1" x14ac:dyDescent="0.25"/>
    <row r="215296" customFormat="1" x14ac:dyDescent="0.25"/>
    <row r="215297" customFormat="1" x14ac:dyDescent="0.25"/>
    <row r="215298" customFormat="1" x14ac:dyDescent="0.25"/>
    <row r="215299" customFormat="1" x14ac:dyDescent="0.25"/>
    <row r="215300" customFormat="1" x14ac:dyDescent="0.25"/>
    <row r="215301" customFormat="1" x14ac:dyDescent="0.25"/>
    <row r="215302" customFormat="1" x14ac:dyDescent="0.25"/>
    <row r="215303" customFormat="1" x14ac:dyDescent="0.25"/>
    <row r="215304" customFormat="1" x14ac:dyDescent="0.25"/>
    <row r="215305" customFormat="1" x14ac:dyDescent="0.25"/>
    <row r="215306" customFormat="1" x14ac:dyDescent="0.25"/>
    <row r="215307" customFormat="1" x14ac:dyDescent="0.25"/>
    <row r="215308" customFormat="1" x14ac:dyDescent="0.25"/>
    <row r="215309" customFormat="1" x14ac:dyDescent="0.25"/>
    <row r="215310" customFormat="1" x14ac:dyDescent="0.25"/>
    <row r="215311" customFormat="1" x14ac:dyDescent="0.25"/>
    <row r="215312" customFormat="1" x14ac:dyDescent="0.25"/>
    <row r="215313" customFormat="1" x14ac:dyDescent="0.25"/>
    <row r="215314" customFormat="1" x14ac:dyDescent="0.25"/>
    <row r="215315" customFormat="1" x14ac:dyDescent="0.25"/>
    <row r="215316" customFormat="1" x14ac:dyDescent="0.25"/>
    <row r="215317" customFormat="1" x14ac:dyDescent="0.25"/>
    <row r="215318" customFormat="1" x14ac:dyDescent="0.25"/>
    <row r="215319" customFormat="1" x14ac:dyDescent="0.25"/>
    <row r="215320" customFormat="1" x14ac:dyDescent="0.25"/>
    <row r="215321" customFormat="1" x14ac:dyDescent="0.25"/>
    <row r="215322" customFormat="1" x14ac:dyDescent="0.25"/>
    <row r="215323" customFormat="1" x14ac:dyDescent="0.25"/>
    <row r="215324" customFormat="1" x14ac:dyDescent="0.25"/>
    <row r="215325" customFormat="1" x14ac:dyDescent="0.25"/>
    <row r="215326" customFormat="1" x14ac:dyDescent="0.25"/>
    <row r="215327" customFormat="1" x14ac:dyDescent="0.25"/>
    <row r="215328" customFormat="1" x14ac:dyDescent="0.25"/>
    <row r="215329" customFormat="1" x14ac:dyDescent="0.25"/>
    <row r="215330" customFormat="1" x14ac:dyDescent="0.25"/>
    <row r="215331" customFormat="1" x14ac:dyDescent="0.25"/>
    <row r="215332" customFormat="1" x14ac:dyDescent="0.25"/>
    <row r="215333" customFormat="1" x14ac:dyDescent="0.25"/>
    <row r="215334" customFormat="1" x14ac:dyDescent="0.25"/>
    <row r="215335" customFormat="1" x14ac:dyDescent="0.25"/>
    <row r="215336" customFormat="1" x14ac:dyDescent="0.25"/>
    <row r="215337" customFormat="1" x14ac:dyDescent="0.25"/>
    <row r="215338" customFormat="1" x14ac:dyDescent="0.25"/>
    <row r="215339" customFormat="1" x14ac:dyDescent="0.25"/>
    <row r="215340" customFormat="1" x14ac:dyDescent="0.25"/>
    <row r="215341" customFormat="1" x14ac:dyDescent="0.25"/>
    <row r="215342" customFormat="1" x14ac:dyDescent="0.25"/>
    <row r="215343" customFormat="1" x14ac:dyDescent="0.25"/>
    <row r="215344" customFormat="1" x14ac:dyDescent="0.25"/>
    <row r="215345" customFormat="1" x14ac:dyDescent="0.25"/>
    <row r="215346" customFormat="1" x14ac:dyDescent="0.25"/>
    <row r="215347" customFormat="1" x14ac:dyDescent="0.25"/>
    <row r="215348" customFormat="1" x14ac:dyDescent="0.25"/>
    <row r="215349" customFormat="1" x14ac:dyDescent="0.25"/>
    <row r="215350" customFormat="1" x14ac:dyDescent="0.25"/>
    <row r="215351" customFormat="1" x14ac:dyDescent="0.25"/>
    <row r="215352" customFormat="1" x14ac:dyDescent="0.25"/>
    <row r="215353" customFormat="1" x14ac:dyDescent="0.25"/>
    <row r="215354" customFormat="1" x14ac:dyDescent="0.25"/>
    <row r="215355" customFormat="1" x14ac:dyDescent="0.25"/>
    <row r="215356" customFormat="1" x14ac:dyDescent="0.25"/>
    <row r="215357" customFormat="1" x14ac:dyDescent="0.25"/>
    <row r="215358" customFormat="1" x14ac:dyDescent="0.25"/>
    <row r="215359" customFormat="1" x14ac:dyDescent="0.25"/>
    <row r="215360" customFormat="1" x14ac:dyDescent="0.25"/>
    <row r="215361" customFormat="1" x14ac:dyDescent="0.25"/>
    <row r="215362" customFormat="1" x14ac:dyDescent="0.25"/>
    <row r="215363" customFormat="1" x14ac:dyDescent="0.25"/>
    <row r="215364" customFormat="1" x14ac:dyDescent="0.25"/>
    <row r="215365" customFormat="1" x14ac:dyDescent="0.25"/>
    <row r="215366" customFormat="1" x14ac:dyDescent="0.25"/>
    <row r="215367" customFormat="1" x14ac:dyDescent="0.25"/>
    <row r="215368" customFormat="1" x14ac:dyDescent="0.25"/>
    <row r="215369" customFormat="1" x14ac:dyDescent="0.25"/>
    <row r="215370" customFormat="1" x14ac:dyDescent="0.25"/>
    <row r="215371" customFormat="1" x14ac:dyDescent="0.25"/>
    <row r="215372" customFormat="1" x14ac:dyDescent="0.25"/>
    <row r="215373" customFormat="1" x14ac:dyDescent="0.25"/>
    <row r="215374" customFormat="1" x14ac:dyDescent="0.25"/>
    <row r="215375" customFormat="1" x14ac:dyDescent="0.25"/>
    <row r="215376" customFormat="1" x14ac:dyDescent="0.25"/>
    <row r="215377" customFormat="1" x14ac:dyDescent="0.25"/>
    <row r="215378" customFormat="1" x14ac:dyDescent="0.25"/>
    <row r="215379" customFormat="1" x14ac:dyDescent="0.25"/>
    <row r="215380" customFormat="1" x14ac:dyDescent="0.25"/>
    <row r="215381" customFormat="1" x14ac:dyDescent="0.25"/>
    <row r="215382" customFormat="1" x14ac:dyDescent="0.25"/>
    <row r="215383" customFormat="1" x14ac:dyDescent="0.25"/>
    <row r="215384" customFormat="1" x14ac:dyDescent="0.25"/>
    <row r="215385" customFormat="1" x14ac:dyDescent="0.25"/>
    <row r="215386" customFormat="1" x14ac:dyDescent="0.25"/>
    <row r="215387" customFormat="1" x14ac:dyDescent="0.25"/>
    <row r="215388" customFormat="1" x14ac:dyDescent="0.25"/>
    <row r="215389" customFormat="1" x14ac:dyDescent="0.25"/>
    <row r="215390" customFormat="1" x14ac:dyDescent="0.25"/>
    <row r="215391" customFormat="1" x14ac:dyDescent="0.25"/>
    <row r="215392" customFormat="1" x14ac:dyDescent="0.25"/>
    <row r="215393" customFormat="1" x14ac:dyDescent="0.25"/>
    <row r="215394" customFormat="1" x14ac:dyDescent="0.25"/>
    <row r="215395" customFormat="1" x14ac:dyDescent="0.25"/>
    <row r="215396" customFormat="1" x14ac:dyDescent="0.25"/>
    <row r="215397" customFormat="1" x14ac:dyDescent="0.25"/>
    <row r="215398" customFormat="1" x14ac:dyDescent="0.25"/>
    <row r="215399" customFormat="1" x14ac:dyDescent="0.25"/>
    <row r="215400" customFormat="1" x14ac:dyDescent="0.25"/>
    <row r="215401" customFormat="1" x14ac:dyDescent="0.25"/>
    <row r="215402" customFormat="1" x14ac:dyDescent="0.25"/>
    <row r="215403" customFormat="1" x14ac:dyDescent="0.25"/>
    <row r="215404" customFormat="1" x14ac:dyDescent="0.25"/>
    <row r="215405" customFormat="1" x14ac:dyDescent="0.25"/>
    <row r="215406" customFormat="1" x14ac:dyDescent="0.25"/>
    <row r="215407" customFormat="1" x14ac:dyDescent="0.25"/>
    <row r="215408" customFormat="1" x14ac:dyDescent="0.25"/>
    <row r="215409" customFormat="1" x14ac:dyDescent="0.25"/>
    <row r="215410" customFormat="1" x14ac:dyDescent="0.25"/>
    <row r="215411" customFormat="1" x14ac:dyDescent="0.25"/>
    <row r="215412" customFormat="1" x14ac:dyDescent="0.25"/>
    <row r="215413" customFormat="1" x14ac:dyDescent="0.25"/>
    <row r="215414" customFormat="1" x14ac:dyDescent="0.25"/>
    <row r="215415" customFormat="1" x14ac:dyDescent="0.25"/>
    <row r="215416" customFormat="1" x14ac:dyDescent="0.25"/>
    <row r="215417" customFormat="1" x14ac:dyDescent="0.25"/>
    <row r="215418" customFormat="1" x14ac:dyDescent="0.25"/>
    <row r="215419" customFormat="1" x14ac:dyDescent="0.25"/>
    <row r="215420" customFormat="1" x14ac:dyDescent="0.25"/>
    <row r="215421" customFormat="1" x14ac:dyDescent="0.25"/>
    <row r="215422" customFormat="1" x14ac:dyDescent="0.25"/>
    <row r="215423" customFormat="1" x14ac:dyDescent="0.25"/>
    <row r="215424" customFormat="1" x14ac:dyDescent="0.25"/>
    <row r="215425" customFormat="1" x14ac:dyDescent="0.25"/>
    <row r="215426" customFormat="1" x14ac:dyDescent="0.25"/>
    <row r="215427" customFormat="1" x14ac:dyDescent="0.25"/>
    <row r="215428" customFormat="1" x14ac:dyDescent="0.25"/>
    <row r="215429" customFormat="1" x14ac:dyDescent="0.25"/>
    <row r="215430" customFormat="1" x14ac:dyDescent="0.25"/>
    <row r="215431" customFormat="1" x14ac:dyDescent="0.25"/>
    <row r="215432" customFormat="1" x14ac:dyDescent="0.25"/>
    <row r="215433" customFormat="1" x14ac:dyDescent="0.25"/>
    <row r="215434" customFormat="1" x14ac:dyDescent="0.25"/>
    <row r="215435" customFormat="1" x14ac:dyDescent="0.25"/>
    <row r="215436" customFormat="1" x14ac:dyDescent="0.25"/>
    <row r="215437" customFormat="1" x14ac:dyDescent="0.25"/>
    <row r="215438" customFormat="1" x14ac:dyDescent="0.25"/>
    <row r="215439" customFormat="1" x14ac:dyDescent="0.25"/>
    <row r="215440" customFormat="1" x14ac:dyDescent="0.25"/>
    <row r="215441" customFormat="1" x14ac:dyDescent="0.25"/>
    <row r="215442" customFormat="1" x14ac:dyDescent="0.25"/>
    <row r="215443" customFormat="1" x14ac:dyDescent="0.25"/>
    <row r="215444" customFormat="1" x14ac:dyDescent="0.25"/>
    <row r="215445" customFormat="1" x14ac:dyDescent="0.25"/>
    <row r="215446" customFormat="1" x14ac:dyDescent="0.25"/>
    <row r="215447" customFormat="1" x14ac:dyDescent="0.25"/>
    <row r="215448" customFormat="1" x14ac:dyDescent="0.25"/>
    <row r="215449" customFormat="1" x14ac:dyDescent="0.25"/>
    <row r="215450" customFormat="1" x14ac:dyDescent="0.25"/>
    <row r="215451" customFormat="1" x14ac:dyDescent="0.25"/>
    <row r="215452" customFormat="1" x14ac:dyDescent="0.25"/>
    <row r="215453" customFormat="1" x14ac:dyDescent="0.25"/>
    <row r="215454" customFormat="1" x14ac:dyDescent="0.25"/>
    <row r="215455" customFormat="1" x14ac:dyDescent="0.25"/>
    <row r="215456" customFormat="1" x14ac:dyDescent="0.25"/>
    <row r="215457" customFormat="1" x14ac:dyDescent="0.25"/>
    <row r="215458" customFormat="1" x14ac:dyDescent="0.25"/>
    <row r="215459" customFormat="1" x14ac:dyDescent="0.25"/>
    <row r="215460" customFormat="1" x14ac:dyDescent="0.25"/>
    <row r="215461" customFormat="1" x14ac:dyDescent="0.25"/>
    <row r="215462" customFormat="1" x14ac:dyDescent="0.25"/>
    <row r="215463" customFormat="1" x14ac:dyDescent="0.25"/>
    <row r="215464" customFormat="1" x14ac:dyDescent="0.25"/>
    <row r="215465" customFormat="1" x14ac:dyDescent="0.25"/>
    <row r="215466" customFormat="1" x14ac:dyDescent="0.25"/>
    <row r="215467" customFormat="1" x14ac:dyDescent="0.25"/>
    <row r="215468" customFormat="1" x14ac:dyDescent="0.25"/>
    <row r="215469" customFormat="1" x14ac:dyDescent="0.25"/>
    <row r="215470" customFormat="1" x14ac:dyDescent="0.25"/>
    <row r="215471" customFormat="1" x14ac:dyDescent="0.25"/>
    <row r="215472" customFormat="1" x14ac:dyDescent="0.25"/>
    <row r="215473" customFormat="1" x14ac:dyDescent="0.25"/>
    <row r="215474" customFormat="1" x14ac:dyDescent="0.25"/>
    <row r="215475" customFormat="1" x14ac:dyDescent="0.25"/>
    <row r="215476" customFormat="1" x14ac:dyDescent="0.25"/>
    <row r="215477" customFormat="1" x14ac:dyDescent="0.25"/>
    <row r="215478" customFormat="1" x14ac:dyDescent="0.25"/>
    <row r="215479" customFormat="1" x14ac:dyDescent="0.25"/>
    <row r="215480" customFormat="1" x14ac:dyDescent="0.25"/>
    <row r="215481" customFormat="1" x14ac:dyDescent="0.25"/>
    <row r="215482" customFormat="1" x14ac:dyDescent="0.25"/>
    <row r="215483" customFormat="1" x14ac:dyDescent="0.25"/>
    <row r="215484" customFormat="1" x14ac:dyDescent="0.25"/>
    <row r="215485" customFormat="1" x14ac:dyDescent="0.25"/>
    <row r="215486" customFormat="1" x14ac:dyDescent="0.25"/>
    <row r="215487" customFormat="1" x14ac:dyDescent="0.25"/>
    <row r="215488" customFormat="1" x14ac:dyDescent="0.25"/>
    <row r="215489" customFormat="1" x14ac:dyDescent="0.25"/>
    <row r="215490" customFormat="1" x14ac:dyDescent="0.25"/>
    <row r="215491" customFormat="1" x14ac:dyDescent="0.25"/>
    <row r="215492" customFormat="1" x14ac:dyDescent="0.25"/>
    <row r="215493" customFormat="1" x14ac:dyDescent="0.25"/>
    <row r="215494" customFormat="1" x14ac:dyDescent="0.25"/>
    <row r="215495" customFormat="1" x14ac:dyDescent="0.25"/>
    <row r="215496" customFormat="1" x14ac:dyDescent="0.25"/>
    <row r="215497" customFormat="1" x14ac:dyDescent="0.25"/>
    <row r="215498" customFormat="1" x14ac:dyDescent="0.25"/>
    <row r="215499" customFormat="1" x14ac:dyDescent="0.25"/>
    <row r="215500" customFormat="1" x14ac:dyDescent="0.25"/>
    <row r="215501" customFormat="1" x14ac:dyDescent="0.25"/>
    <row r="215502" customFormat="1" x14ac:dyDescent="0.25"/>
    <row r="215503" customFormat="1" x14ac:dyDescent="0.25"/>
    <row r="215504" customFormat="1" x14ac:dyDescent="0.25"/>
    <row r="215505" customFormat="1" x14ac:dyDescent="0.25"/>
    <row r="215506" customFormat="1" x14ac:dyDescent="0.25"/>
    <row r="215507" customFormat="1" x14ac:dyDescent="0.25"/>
    <row r="215508" customFormat="1" x14ac:dyDescent="0.25"/>
    <row r="215509" customFormat="1" x14ac:dyDescent="0.25"/>
    <row r="215510" customFormat="1" x14ac:dyDescent="0.25"/>
    <row r="215511" customFormat="1" x14ac:dyDescent="0.25"/>
    <row r="215512" customFormat="1" x14ac:dyDescent="0.25"/>
    <row r="215513" customFormat="1" x14ac:dyDescent="0.25"/>
    <row r="215514" customFormat="1" x14ac:dyDescent="0.25"/>
    <row r="215515" customFormat="1" x14ac:dyDescent="0.25"/>
    <row r="215516" customFormat="1" x14ac:dyDescent="0.25"/>
    <row r="215517" customFormat="1" x14ac:dyDescent="0.25"/>
    <row r="215518" customFormat="1" x14ac:dyDescent="0.25"/>
    <row r="215519" customFormat="1" x14ac:dyDescent="0.25"/>
    <row r="215520" customFormat="1" x14ac:dyDescent="0.25"/>
    <row r="215521" customFormat="1" x14ac:dyDescent="0.25"/>
    <row r="215522" customFormat="1" x14ac:dyDescent="0.25"/>
    <row r="215523" customFormat="1" x14ac:dyDescent="0.25"/>
    <row r="215524" customFormat="1" x14ac:dyDescent="0.25"/>
    <row r="215525" customFormat="1" x14ac:dyDescent="0.25"/>
    <row r="215526" customFormat="1" x14ac:dyDescent="0.25"/>
    <row r="215527" customFormat="1" x14ac:dyDescent="0.25"/>
    <row r="215528" customFormat="1" x14ac:dyDescent="0.25"/>
    <row r="215529" customFormat="1" x14ac:dyDescent="0.25"/>
    <row r="215530" customFormat="1" x14ac:dyDescent="0.25"/>
    <row r="215531" customFormat="1" x14ac:dyDescent="0.25"/>
    <row r="215532" customFormat="1" x14ac:dyDescent="0.25"/>
    <row r="215533" customFormat="1" x14ac:dyDescent="0.25"/>
    <row r="215534" customFormat="1" x14ac:dyDescent="0.25"/>
    <row r="215535" customFormat="1" x14ac:dyDescent="0.25"/>
    <row r="215536" customFormat="1" x14ac:dyDescent="0.25"/>
    <row r="215537" customFormat="1" x14ac:dyDescent="0.25"/>
    <row r="215538" customFormat="1" x14ac:dyDescent="0.25"/>
    <row r="215539" customFormat="1" x14ac:dyDescent="0.25"/>
    <row r="215540" customFormat="1" x14ac:dyDescent="0.25"/>
    <row r="215541" customFormat="1" x14ac:dyDescent="0.25"/>
    <row r="215542" customFormat="1" x14ac:dyDescent="0.25"/>
    <row r="215543" customFormat="1" x14ac:dyDescent="0.25"/>
    <row r="215544" customFormat="1" x14ac:dyDescent="0.25"/>
    <row r="215545" customFormat="1" x14ac:dyDescent="0.25"/>
    <row r="215546" customFormat="1" x14ac:dyDescent="0.25"/>
    <row r="215547" customFormat="1" x14ac:dyDescent="0.25"/>
    <row r="215548" customFormat="1" x14ac:dyDescent="0.25"/>
    <row r="215549" customFormat="1" x14ac:dyDescent="0.25"/>
    <row r="215550" customFormat="1" x14ac:dyDescent="0.25"/>
    <row r="215551" customFormat="1" x14ac:dyDescent="0.25"/>
    <row r="215552" customFormat="1" x14ac:dyDescent="0.25"/>
    <row r="215553" customFormat="1" x14ac:dyDescent="0.25"/>
    <row r="215554" customFormat="1" x14ac:dyDescent="0.25"/>
    <row r="215555" customFormat="1" x14ac:dyDescent="0.25"/>
    <row r="215556" customFormat="1" x14ac:dyDescent="0.25"/>
    <row r="215557" customFormat="1" x14ac:dyDescent="0.25"/>
    <row r="215558" customFormat="1" x14ac:dyDescent="0.25"/>
    <row r="215559" customFormat="1" x14ac:dyDescent="0.25"/>
    <row r="215560" customFormat="1" x14ac:dyDescent="0.25"/>
    <row r="215561" customFormat="1" x14ac:dyDescent="0.25"/>
    <row r="215562" customFormat="1" x14ac:dyDescent="0.25"/>
    <row r="215563" customFormat="1" x14ac:dyDescent="0.25"/>
    <row r="215564" customFormat="1" x14ac:dyDescent="0.25"/>
    <row r="215565" customFormat="1" x14ac:dyDescent="0.25"/>
    <row r="215566" customFormat="1" x14ac:dyDescent="0.25"/>
    <row r="215567" customFormat="1" x14ac:dyDescent="0.25"/>
    <row r="215568" customFormat="1" x14ac:dyDescent="0.25"/>
    <row r="215569" customFormat="1" x14ac:dyDescent="0.25"/>
    <row r="215570" customFormat="1" x14ac:dyDescent="0.25"/>
    <row r="215571" customFormat="1" x14ac:dyDescent="0.25"/>
    <row r="215572" customFormat="1" x14ac:dyDescent="0.25"/>
    <row r="215573" customFormat="1" x14ac:dyDescent="0.25"/>
    <row r="215574" customFormat="1" x14ac:dyDescent="0.25"/>
    <row r="215575" customFormat="1" x14ac:dyDescent="0.25"/>
    <row r="215576" customFormat="1" x14ac:dyDescent="0.25"/>
    <row r="215577" customFormat="1" x14ac:dyDescent="0.25"/>
    <row r="215578" customFormat="1" x14ac:dyDescent="0.25"/>
    <row r="215579" customFormat="1" x14ac:dyDescent="0.25"/>
    <row r="215580" customFormat="1" x14ac:dyDescent="0.25"/>
    <row r="215581" customFormat="1" x14ac:dyDescent="0.25"/>
    <row r="215582" customFormat="1" x14ac:dyDescent="0.25"/>
    <row r="215583" customFormat="1" x14ac:dyDescent="0.25"/>
    <row r="215584" customFormat="1" x14ac:dyDescent="0.25"/>
    <row r="215585" customFormat="1" x14ac:dyDescent="0.25"/>
    <row r="215586" customFormat="1" x14ac:dyDescent="0.25"/>
    <row r="215587" customFormat="1" x14ac:dyDescent="0.25"/>
    <row r="215588" customFormat="1" x14ac:dyDescent="0.25"/>
    <row r="215589" customFormat="1" x14ac:dyDescent="0.25"/>
    <row r="215590" customFormat="1" x14ac:dyDescent="0.25"/>
    <row r="215591" customFormat="1" x14ac:dyDescent="0.25"/>
    <row r="215592" customFormat="1" x14ac:dyDescent="0.25"/>
    <row r="215593" customFormat="1" x14ac:dyDescent="0.25"/>
    <row r="215594" customFormat="1" x14ac:dyDescent="0.25"/>
    <row r="215595" customFormat="1" x14ac:dyDescent="0.25"/>
    <row r="215596" customFormat="1" x14ac:dyDescent="0.25"/>
    <row r="215597" customFormat="1" x14ac:dyDescent="0.25"/>
    <row r="215598" customFormat="1" x14ac:dyDescent="0.25"/>
    <row r="215599" customFormat="1" x14ac:dyDescent="0.25"/>
    <row r="215600" customFormat="1" x14ac:dyDescent="0.25"/>
    <row r="215601" customFormat="1" x14ac:dyDescent="0.25"/>
    <row r="215602" customFormat="1" x14ac:dyDescent="0.25"/>
    <row r="215603" customFormat="1" x14ac:dyDescent="0.25"/>
    <row r="215604" customFormat="1" x14ac:dyDescent="0.25"/>
    <row r="215605" customFormat="1" x14ac:dyDescent="0.25"/>
    <row r="215606" customFormat="1" x14ac:dyDescent="0.25"/>
    <row r="215607" customFormat="1" x14ac:dyDescent="0.25"/>
    <row r="215608" customFormat="1" x14ac:dyDescent="0.25"/>
    <row r="215609" customFormat="1" x14ac:dyDescent="0.25"/>
    <row r="215610" customFormat="1" x14ac:dyDescent="0.25"/>
    <row r="215611" customFormat="1" x14ac:dyDescent="0.25"/>
    <row r="215612" customFormat="1" x14ac:dyDescent="0.25"/>
    <row r="215613" customFormat="1" x14ac:dyDescent="0.25"/>
    <row r="215614" customFormat="1" x14ac:dyDescent="0.25"/>
    <row r="215615" customFormat="1" x14ac:dyDescent="0.25"/>
    <row r="215616" customFormat="1" x14ac:dyDescent="0.25"/>
    <row r="215617" customFormat="1" x14ac:dyDescent="0.25"/>
    <row r="215618" customFormat="1" x14ac:dyDescent="0.25"/>
    <row r="215619" customFormat="1" x14ac:dyDescent="0.25"/>
    <row r="215620" customFormat="1" x14ac:dyDescent="0.25"/>
    <row r="215621" customFormat="1" x14ac:dyDescent="0.25"/>
    <row r="215622" customFormat="1" x14ac:dyDescent="0.25"/>
    <row r="215623" customFormat="1" x14ac:dyDescent="0.25"/>
    <row r="215624" customFormat="1" x14ac:dyDescent="0.25"/>
    <row r="215625" customFormat="1" x14ac:dyDescent="0.25"/>
    <row r="215626" customFormat="1" x14ac:dyDescent="0.25"/>
    <row r="215627" customFormat="1" x14ac:dyDescent="0.25"/>
    <row r="215628" customFormat="1" x14ac:dyDescent="0.25"/>
    <row r="215629" customFormat="1" x14ac:dyDescent="0.25"/>
    <row r="215630" customFormat="1" x14ac:dyDescent="0.25"/>
    <row r="215631" customFormat="1" x14ac:dyDescent="0.25"/>
    <row r="215632" customFormat="1" x14ac:dyDescent="0.25"/>
    <row r="215633" customFormat="1" x14ac:dyDescent="0.25"/>
    <row r="215634" customFormat="1" x14ac:dyDescent="0.25"/>
    <row r="215635" customFormat="1" x14ac:dyDescent="0.25"/>
    <row r="215636" customFormat="1" x14ac:dyDescent="0.25"/>
    <row r="215637" customFormat="1" x14ac:dyDescent="0.25"/>
    <row r="215638" customFormat="1" x14ac:dyDescent="0.25"/>
    <row r="215639" customFormat="1" x14ac:dyDescent="0.25"/>
    <row r="215640" customFormat="1" x14ac:dyDescent="0.25"/>
    <row r="215641" customFormat="1" x14ac:dyDescent="0.25"/>
    <row r="215642" customFormat="1" x14ac:dyDescent="0.25"/>
    <row r="215643" customFormat="1" x14ac:dyDescent="0.25"/>
    <row r="215644" customFormat="1" x14ac:dyDescent="0.25"/>
    <row r="215645" customFormat="1" x14ac:dyDescent="0.25"/>
    <row r="215646" customFormat="1" x14ac:dyDescent="0.25"/>
    <row r="215647" customFormat="1" x14ac:dyDescent="0.25"/>
    <row r="215648" customFormat="1" x14ac:dyDescent="0.25"/>
    <row r="215649" customFormat="1" x14ac:dyDescent="0.25"/>
    <row r="215650" customFormat="1" x14ac:dyDescent="0.25"/>
    <row r="215651" customFormat="1" x14ac:dyDescent="0.25"/>
    <row r="215652" customFormat="1" x14ac:dyDescent="0.25"/>
    <row r="215653" customFormat="1" x14ac:dyDescent="0.25"/>
    <row r="215654" customFormat="1" x14ac:dyDescent="0.25"/>
    <row r="215655" customFormat="1" x14ac:dyDescent="0.25"/>
    <row r="215656" customFormat="1" x14ac:dyDescent="0.25"/>
    <row r="215657" customFormat="1" x14ac:dyDescent="0.25"/>
    <row r="215658" customFormat="1" x14ac:dyDescent="0.25"/>
    <row r="215659" customFormat="1" x14ac:dyDescent="0.25"/>
    <row r="215660" customFormat="1" x14ac:dyDescent="0.25"/>
    <row r="215661" customFormat="1" x14ac:dyDescent="0.25"/>
    <row r="215662" customFormat="1" x14ac:dyDescent="0.25"/>
    <row r="215663" customFormat="1" x14ac:dyDescent="0.25"/>
    <row r="215664" customFormat="1" x14ac:dyDescent="0.25"/>
    <row r="215665" customFormat="1" x14ac:dyDescent="0.25"/>
    <row r="215666" customFormat="1" x14ac:dyDescent="0.25"/>
    <row r="215667" customFormat="1" x14ac:dyDescent="0.25"/>
    <row r="215668" customFormat="1" x14ac:dyDescent="0.25"/>
    <row r="215669" customFormat="1" x14ac:dyDescent="0.25"/>
    <row r="215670" customFormat="1" x14ac:dyDescent="0.25"/>
    <row r="215671" customFormat="1" x14ac:dyDescent="0.25"/>
    <row r="215672" customFormat="1" x14ac:dyDescent="0.25"/>
    <row r="215673" customFormat="1" x14ac:dyDescent="0.25"/>
    <row r="215674" customFormat="1" x14ac:dyDescent="0.25"/>
    <row r="215675" customFormat="1" x14ac:dyDescent="0.25"/>
    <row r="215676" customFormat="1" x14ac:dyDescent="0.25"/>
    <row r="215677" customFormat="1" x14ac:dyDescent="0.25"/>
    <row r="215678" customFormat="1" x14ac:dyDescent="0.25"/>
    <row r="215679" customFormat="1" x14ac:dyDescent="0.25"/>
    <row r="215680" customFormat="1" x14ac:dyDescent="0.25"/>
    <row r="215681" customFormat="1" x14ac:dyDescent="0.25"/>
    <row r="215682" customFormat="1" x14ac:dyDescent="0.25"/>
    <row r="215683" customFormat="1" x14ac:dyDescent="0.25"/>
    <row r="215684" customFormat="1" x14ac:dyDescent="0.25"/>
    <row r="215685" customFormat="1" x14ac:dyDescent="0.25"/>
    <row r="215686" customFormat="1" x14ac:dyDescent="0.25"/>
    <row r="215687" customFormat="1" x14ac:dyDescent="0.25"/>
    <row r="215688" customFormat="1" x14ac:dyDescent="0.25"/>
    <row r="215689" customFormat="1" x14ac:dyDescent="0.25"/>
    <row r="215690" customFormat="1" x14ac:dyDescent="0.25"/>
    <row r="215691" customFormat="1" x14ac:dyDescent="0.25"/>
    <row r="215692" customFormat="1" x14ac:dyDescent="0.25"/>
    <row r="215693" customFormat="1" x14ac:dyDescent="0.25"/>
    <row r="215694" customFormat="1" x14ac:dyDescent="0.25"/>
    <row r="215695" customFormat="1" x14ac:dyDescent="0.25"/>
    <row r="215696" customFormat="1" x14ac:dyDescent="0.25"/>
    <row r="215697" customFormat="1" x14ac:dyDescent="0.25"/>
    <row r="215698" customFormat="1" x14ac:dyDescent="0.25"/>
    <row r="215699" customFormat="1" x14ac:dyDescent="0.25"/>
    <row r="215700" customFormat="1" x14ac:dyDescent="0.25"/>
    <row r="215701" customFormat="1" x14ac:dyDescent="0.25"/>
    <row r="215702" customFormat="1" x14ac:dyDescent="0.25"/>
    <row r="215703" customFormat="1" x14ac:dyDescent="0.25"/>
    <row r="215704" customFormat="1" x14ac:dyDescent="0.25"/>
    <row r="215705" customFormat="1" x14ac:dyDescent="0.25"/>
    <row r="215706" customFormat="1" x14ac:dyDescent="0.25"/>
    <row r="215707" customFormat="1" x14ac:dyDescent="0.25"/>
    <row r="215708" customFormat="1" x14ac:dyDescent="0.25"/>
    <row r="215709" customFormat="1" x14ac:dyDescent="0.25"/>
    <row r="215710" customFormat="1" x14ac:dyDescent="0.25"/>
    <row r="215711" customFormat="1" x14ac:dyDescent="0.25"/>
    <row r="215712" customFormat="1" x14ac:dyDescent="0.25"/>
    <row r="215713" customFormat="1" x14ac:dyDescent="0.25"/>
    <row r="215714" customFormat="1" x14ac:dyDescent="0.25"/>
    <row r="215715" customFormat="1" x14ac:dyDescent="0.25"/>
    <row r="215716" customFormat="1" x14ac:dyDescent="0.25"/>
    <row r="215717" customFormat="1" x14ac:dyDescent="0.25"/>
    <row r="215718" customFormat="1" x14ac:dyDescent="0.25"/>
    <row r="215719" customFormat="1" x14ac:dyDescent="0.25"/>
    <row r="215720" customFormat="1" x14ac:dyDescent="0.25"/>
    <row r="215721" customFormat="1" x14ac:dyDescent="0.25"/>
    <row r="215722" customFormat="1" x14ac:dyDescent="0.25"/>
    <row r="215723" customFormat="1" x14ac:dyDescent="0.25"/>
    <row r="215724" customFormat="1" x14ac:dyDescent="0.25"/>
    <row r="215725" customFormat="1" x14ac:dyDescent="0.25"/>
    <row r="215726" customFormat="1" x14ac:dyDescent="0.25"/>
    <row r="215727" customFormat="1" x14ac:dyDescent="0.25"/>
    <row r="215728" customFormat="1" x14ac:dyDescent="0.25"/>
    <row r="215729" customFormat="1" x14ac:dyDescent="0.25"/>
    <row r="215730" customFormat="1" x14ac:dyDescent="0.25"/>
    <row r="215731" customFormat="1" x14ac:dyDescent="0.25"/>
    <row r="215732" customFormat="1" x14ac:dyDescent="0.25"/>
    <row r="215733" customFormat="1" x14ac:dyDescent="0.25"/>
    <row r="215734" customFormat="1" x14ac:dyDescent="0.25"/>
    <row r="215735" customFormat="1" x14ac:dyDescent="0.25"/>
    <row r="215736" customFormat="1" x14ac:dyDescent="0.25"/>
    <row r="215737" customFormat="1" x14ac:dyDescent="0.25"/>
    <row r="215738" customFormat="1" x14ac:dyDescent="0.25"/>
    <row r="215739" customFormat="1" x14ac:dyDescent="0.25"/>
    <row r="215740" customFormat="1" x14ac:dyDescent="0.25"/>
    <row r="215741" customFormat="1" x14ac:dyDescent="0.25"/>
    <row r="215742" customFormat="1" x14ac:dyDescent="0.25"/>
    <row r="215743" customFormat="1" x14ac:dyDescent="0.25"/>
    <row r="215744" customFormat="1" x14ac:dyDescent="0.25"/>
    <row r="215745" customFormat="1" x14ac:dyDescent="0.25"/>
    <row r="215746" customFormat="1" x14ac:dyDescent="0.25"/>
    <row r="215747" customFormat="1" x14ac:dyDescent="0.25"/>
    <row r="215748" customFormat="1" x14ac:dyDescent="0.25"/>
    <row r="215749" customFormat="1" x14ac:dyDescent="0.25"/>
    <row r="215750" customFormat="1" x14ac:dyDescent="0.25"/>
    <row r="215751" customFormat="1" x14ac:dyDescent="0.25"/>
    <row r="215752" customFormat="1" x14ac:dyDescent="0.25"/>
    <row r="215753" customFormat="1" x14ac:dyDescent="0.25"/>
    <row r="215754" customFormat="1" x14ac:dyDescent="0.25"/>
    <row r="215755" customFormat="1" x14ac:dyDescent="0.25"/>
    <row r="215756" customFormat="1" x14ac:dyDescent="0.25"/>
    <row r="215757" customFormat="1" x14ac:dyDescent="0.25"/>
    <row r="215758" customFormat="1" x14ac:dyDescent="0.25"/>
    <row r="215759" customFormat="1" x14ac:dyDescent="0.25"/>
    <row r="215760" customFormat="1" x14ac:dyDescent="0.25"/>
    <row r="215761" customFormat="1" x14ac:dyDescent="0.25"/>
    <row r="215762" customFormat="1" x14ac:dyDescent="0.25"/>
    <row r="215763" customFormat="1" x14ac:dyDescent="0.25"/>
    <row r="215764" customFormat="1" x14ac:dyDescent="0.25"/>
    <row r="215765" customFormat="1" x14ac:dyDescent="0.25"/>
    <row r="215766" customFormat="1" x14ac:dyDescent="0.25"/>
    <row r="215767" customFormat="1" x14ac:dyDescent="0.25"/>
    <row r="215768" customFormat="1" x14ac:dyDescent="0.25"/>
    <row r="215769" customFormat="1" x14ac:dyDescent="0.25"/>
    <row r="215770" customFormat="1" x14ac:dyDescent="0.25"/>
    <row r="215771" customFormat="1" x14ac:dyDescent="0.25"/>
    <row r="215772" customFormat="1" x14ac:dyDescent="0.25"/>
    <row r="215773" customFormat="1" x14ac:dyDescent="0.25"/>
    <row r="215774" customFormat="1" x14ac:dyDescent="0.25"/>
    <row r="215775" customFormat="1" x14ac:dyDescent="0.25"/>
    <row r="215776" customFormat="1" x14ac:dyDescent="0.25"/>
    <row r="215777" customFormat="1" x14ac:dyDescent="0.25"/>
    <row r="215778" customFormat="1" x14ac:dyDescent="0.25"/>
    <row r="215779" customFormat="1" x14ac:dyDescent="0.25"/>
    <row r="215780" customFormat="1" x14ac:dyDescent="0.25"/>
    <row r="215781" customFormat="1" x14ac:dyDescent="0.25"/>
    <row r="215782" customFormat="1" x14ac:dyDescent="0.25"/>
    <row r="215783" customFormat="1" x14ac:dyDescent="0.25"/>
    <row r="215784" customFormat="1" x14ac:dyDescent="0.25"/>
    <row r="215785" customFormat="1" x14ac:dyDescent="0.25"/>
    <row r="215786" customFormat="1" x14ac:dyDescent="0.25"/>
    <row r="215787" customFormat="1" x14ac:dyDescent="0.25"/>
    <row r="215788" customFormat="1" x14ac:dyDescent="0.25"/>
    <row r="215789" customFormat="1" x14ac:dyDescent="0.25"/>
    <row r="215790" customFormat="1" x14ac:dyDescent="0.25"/>
    <row r="215791" customFormat="1" x14ac:dyDescent="0.25"/>
    <row r="215792" customFormat="1" x14ac:dyDescent="0.25"/>
    <row r="215793" customFormat="1" x14ac:dyDescent="0.25"/>
    <row r="215794" customFormat="1" x14ac:dyDescent="0.25"/>
    <row r="215795" customFormat="1" x14ac:dyDescent="0.25"/>
    <row r="215796" customFormat="1" x14ac:dyDescent="0.25"/>
    <row r="215797" customFormat="1" x14ac:dyDescent="0.25"/>
    <row r="215798" customFormat="1" x14ac:dyDescent="0.25"/>
    <row r="215799" customFormat="1" x14ac:dyDescent="0.25"/>
    <row r="215800" customFormat="1" x14ac:dyDescent="0.25"/>
    <row r="215801" customFormat="1" x14ac:dyDescent="0.25"/>
    <row r="215802" customFormat="1" x14ac:dyDescent="0.25"/>
    <row r="215803" customFormat="1" x14ac:dyDescent="0.25"/>
    <row r="215804" customFormat="1" x14ac:dyDescent="0.25"/>
    <row r="215805" customFormat="1" x14ac:dyDescent="0.25"/>
    <row r="215806" customFormat="1" x14ac:dyDescent="0.25"/>
    <row r="215807" customFormat="1" x14ac:dyDescent="0.25"/>
    <row r="215808" customFormat="1" x14ac:dyDescent="0.25"/>
    <row r="215809" customFormat="1" x14ac:dyDescent="0.25"/>
    <row r="215810" customFormat="1" x14ac:dyDescent="0.25"/>
    <row r="215811" customFormat="1" x14ac:dyDescent="0.25"/>
    <row r="215812" customFormat="1" x14ac:dyDescent="0.25"/>
    <row r="215813" customFormat="1" x14ac:dyDescent="0.25"/>
    <row r="215814" customFormat="1" x14ac:dyDescent="0.25"/>
    <row r="215815" customFormat="1" x14ac:dyDescent="0.25"/>
    <row r="215816" customFormat="1" x14ac:dyDescent="0.25"/>
    <row r="215817" customFormat="1" x14ac:dyDescent="0.25"/>
    <row r="215818" customFormat="1" x14ac:dyDescent="0.25"/>
    <row r="215819" customFormat="1" x14ac:dyDescent="0.25"/>
    <row r="215820" customFormat="1" x14ac:dyDescent="0.25"/>
    <row r="215821" customFormat="1" x14ac:dyDescent="0.25"/>
    <row r="215822" customFormat="1" x14ac:dyDescent="0.25"/>
    <row r="215823" customFormat="1" x14ac:dyDescent="0.25"/>
    <row r="215824" customFormat="1" x14ac:dyDescent="0.25"/>
    <row r="215825" customFormat="1" x14ac:dyDescent="0.25"/>
    <row r="215826" customFormat="1" x14ac:dyDescent="0.25"/>
    <row r="215827" customFormat="1" x14ac:dyDescent="0.25"/>
    <row r="215828" customFormat="1" x14ac:dyDescent="0.25"/>
    <row r="215829" customFormat="1" x14ac:dyDescent="0.25"/>
    <row r="215830" customFormat="1" x14ac:dyDescent="0.25"/>
    <row r="215831" customFormat="1" x14ac:dyDescent="0.25"/>
    <row r="215832" customFormat="1" x14ac:dyDescent="0.25"/>
    <row r="215833" customFormat="1" x14ac:dyDescent="0.25"/>
    <row r="215834" customFormat="1" x14ac:dyDescent="0.25"/>
    <row r="215835" customFormat="1" x14ac:dyDescent="0.25"/>
    <row r="215836" customFormat="1" x14ac:dyDescent="0.25"/>
    <row r="215837" customFormat="1" x14ac:dyDescent="0.25"/>
    <row r="215838" customFormat="1" x14ac:dyDescent="0.25"/>
    <row r="215839" customFormat="1" x14ac:dyDescent="0.25"/>
    <row r="215840" customFormat="1" x14ac:dyDescent="0.25"/>
    <row r="215841" customFormat="1" x14ac:dyDescent="0.25"/>
    <row r="215842" customFormat="1" x14ac:dyDescent="0.25"/>
    <row r="215843" customFormat="1" x14ac:dyDescent="0.25"/>
    <row r="215844" customFormat="1" x14ac:dyDescent="0.25"/>
    <row r="215845" customFormat="1" x14ac:dyDescent="0.25"/>
    <row r="215846" customFormat="1" x14ac:dyDescent="0.25"/>
    <row r="215847" customFormat="1" x14ac:dyDescent="0.25"/>
    <row r="215848" customFormat="1" x14ac:dyDescent="0.25"/>
    <row r="215849" customFormat="1" x14ac:dyDescent="0.25"/>
    <row r="215850" customFormat="1" x14ac:dyDescent="0.25"/>
    <row r="215851" customFormat="1" x14ac:dyDescent="0.25"/>
    <row r="215852" customFormat="1" x14ac:dyDescent="0.25"/>
    <row r="215853" customFormat="1" x14ac:dyDescent="0.25"/>
    <row r="215854" customFormat="1" x14ac:dyDescent="0.25"/>
    <row r="215855" customFormat="1" x14ac:dyDescent="0.25"/>
    <row r="215856" customFormat="1" x14ac:dyDescent="0.25"/>
    <row r="215857" customFormat="1" x14ac:dyDescent="0.25"/>
    <row r="215858" customFormat="1" x14ac:dyDescent="0.25"/>
    <row r="215859" customFormat="1" x14ac:dyDescent="0.25"/>
    <row r="215860" customFormat="1" x14ac:dyDescent="0.25"/>
    <row r="215861" customFormat="1" x14ac:dyDescent="0.25"/>
    <row r="215862" customFormat="1" x14ac:dyDescent="0.25"/>
    <row r="215863" customFormat="1" x14ac:dyDescent="0.25"/>
    <row r="215864" customFormat="1" x14ac:dyDescent="0.25"/>
    <row r="215865" customFormat="1" x14ac:dyDescent="0.25"/>
    <row r="215866" customFormat="1" x14ac:dyDescent="0.25"/>
    <row r="215867" customFormat="1" x14ac:dyDescent="0.25"/>
    <row r="215868" customFormat="1" x14ac:dyDescent="0.25"/>
    <row r="215869" customFormat="1" x14ac:dyDescent="0.25"/>
    <row r="215870" customFormat="1" x14ac:dyDescent="0.25"/>
    <row r="215871" customFormat="1" x14ac:dyDescent="0.25"/>
    <row r="215872" customFormat="1" x14ac:dyDescent="0.25"/>
    <row r="215873" customFormat="1" x14ac:dyDescent="0.25"/>
    <row r="215874" customFormat="1" x14ac:dyDescent="0.25"/>
    <row r="215875" customFormat="1" x14ac:dyDescent="0.25"/>
    <row r="215876" customFormat="1" x14ac:dyDescent="0.25"/>
    <row r="215877" customFormat="1" x14ac:dyDescent="0.25"/>
    <row r="215878" customFormat="1" x14ac:dyDescent="0.25"/>
    <row r="215879" customFormat="1" x14ac:dyDescent="0.25"/>
    <row r="215880" customFormat="1" x14ac:dyDescent="0.25"/>
    <row r="215881" customFormat="1" x14ac:dyDescent="0.25"/>
    <row r="215882" customFormat="1" x14ac:dyDescent="0.25"/>
    <row r="215883" customFormat="1" x14ac:dyDescent="0.25"/>
    <row r="215884" customFormat="1" x14ac:dyDescent="0.25"/>
    <row r="215885" customFormat="1" x14ac:dyDescent="0.25"/>
    <row r="215886" customFormat="1" x14ac:dyDescent="0.25"/>
    <row r="215887" customFormat="1" x14ac:dyDescent="0.25"/>
    <row r="215888" customFormat="1" x14ac:dyDescent="0.25"/>
    <row r="215889" customFormat="1" x14ac:dyDescent="0.25"/>
    <row r="215890" customFormat="1" x14ac:dyDescent="0.25"/>
    <row r="215891" customFormat="1" x14ac:dyDescent="0.25"/>
    <row r="215892" customFormat="1" x14ac:dyDescent="0.25"/>
    <row r="215893" customFormat="1" x14ac:dyDescent="0.25"/>
    <row r="215894" customFormat="1" x14ac:dyDescent="0.25"/>
    <row r="215895" customFormat="1" x14ac:dyDescent="0.25"/>
    <row r="215896" customFormat="1" x14ac:dyDescent="0.25"/>
    <row r="215897" customFormat="1" x14ac:dyDescent="0.25"/>
    <row r="215898" customFormat="1" x14ac:dyDescent="0.25"/>
    <row r="215899" customFormat="1" x14ac:dyDescent="0.25"/>
    <row r="215900" customFormat="1" x14ac:dyDescent="0.25"/>
    <row r="215901" customFormat="1" x14ac:dyDescent="0.25"/>
    <row r="215902" customFormat="1" x14ac:dyDescent="0.25"/>
    <row r="215903" customFormat="1" x14ac:dyDescent="0.25"/>
    <row r="215904" customFormat="1" x14ac:dyDescent="0.25"/>
    <row r="215905" customFormat="1" x14ac:dyDescent="0.25"/>
    <row r="215906" customFormat="1" x14ac:dyDescent="0.25"/>
    <row r="215907" customFormat="1" x14ac:dyDescent="0.25"/>
    <row r="215908" customFormat="1" x14ac:dyDescent="0.25"/>
    <row r="215909" customFormat="1" x14ac:dyDescent="0.25"/>
    <row r="215910" customFormat="1" x14ac:dyDescent="0.25"/>
    <row r="215911" customFormat="1" x14ac:dyDescent="0.25"/>
    <row r="215912" customFormat="1" x14ac:dyDescent="0.25"/>
    <row r="215913" customFormat="1" x14ac:dyDescent="0.25"/>
    <row r="215914" customFormat="1" x14ac:dyDescent="0.25"/>
    <row r="215915" customFormat="1" x14ac:dyDescent="0.25"/>
    <row r="215916" customFormat="1" x14ac:dyDescent="0.25"/>
    <row r="215917" customFormat="1" x14ac:dyDescent="0.25"/>
    <row r="215918" customFormat="1" x14ac:dyDescent="0.25"/>
    <row r="215919" customFormat="1" x14ac:dyDescent="0.25"/>
    <row r="215920" customFormat="1" x14ac:dyDescent="0.25"/>
    <row r="215921" customFormat="1" x14ac:dyDescent="0.25"/>
    <row r="215922" customFormat="1" x14ac:dyDescent="0.25"/>
    <row r="215923" customFormat="1" x14ac:dyDescent="0.25"/>
    <row r="215924" customFormat="1" x14ac:dyDescent="0.25"/>
    <row r="215925" customFormat="1" x14ac:dyDescent="0.25"/>
    <row r="215926" customFormat="1" x14ac:dyDescent="0.25"/>
    <row r="215927" customFormat="1" x14ac:dyDescent="0.25"/>
    <row r="215928" customFormat="1" x14ac:dyDescent="0.25"/>
    <row r="215929" customFormat="1" x14ac:dyDescent="0.25"/>
    <row r="215930" customFormat="1" x14ac:dyDescent="0.25"/>
    <row r="215931" customFormat="1" x14ac:dyDescent="0.25"/>
    <row r="215932" customFormat="1" x14ac:dyDescent="0.25"/>
    <row r="215933" customFormat="1" x14ac:dyDescent="0.25"/>
    <row r="215934" customFormat="1" x14ac:dyDescent="0.25"/>
    <row r="215935" customFormat="1" x14ac:dyDescent="0.25"/>
    <row r="215936" customFormat="1" x14ac:dyDescent="0.25"/>
    <row r="215937" customFormat="1" x14ac:dyDescent="0.25"/>
    <row r="215938" customFormat="1" x14ac:dyDescent="0.25"/>
    <row r="215939" customFormat="1" x14ac:dyDescent="0.25"/>
    <row r="215940" customFormat="1" x14ac:dyDescent="0.25"/>
    <row r="215941" customFormat="1" x14ac:dyDescent="0.25"/>
    <row r="215942" customFormat="1" x14ac:dyDescent="0.25"/>
    <row r="215943" customFormat="1" x14ac:dyDescent="0.25"/>
    <row r="215944" customFormat="1" x14ac:dyDescent="0.25"/>
    <row r="215945" customFormat="1" x14ac:dyDescent="0.25"/>
    <row r="215946" customFormat="1" x14ac:dyDescent="0.25"/>
    <row r="215947" customFormat="1" x14ac:dyDescent="0.25"/>
    <row r="215948" customFormat="1" x14ac:dyDescent="0.25"/>
    <row r="215949" customFormat="1" x14ac:dyDescent="0.25"/>
    <row r="215950" customFormat="1" x14ac:dyDescent="0.25"/>
    <row r="215951" customFormat="1" x14ac:dyDescent="0.25"/>
    <row r="215952" customFormat="1" x14ac:dyDescent="0.25"/>
    <row r="215953" customFormat="1" x14ac:dyDescent="0.25"/>
    <row r="215954" customFormat="1" x14ac:dyDescent="0.25"/>
    <row r="215955" customFormat="1" x14ac:dyDescent="0.25"/>
    <row r="215956" customFormat="1" x14ac:dyDescent="0.25"/>
    <row r="215957" customFormat="1" x14ac:dyDescent="0.25"/>
    <row r="215958" customFormat="1" x14ac:dyDescent="0.25"/>
    <row r="215959" customFormat="1" x14ac:dyDescent="0.25"/>
    <row r="215960" customFormat="1" x14ac:dyDescent="0.25"/>
    <row r="215961" customFormat="1" x14ac:dyDescent="0.25"/>
    <row r="215962" customFormat="1" x14ac:dyDescent="0.25"/>
    <row r="215963" customFormat="1" x14ac:dyDescent="0.25"/>
    <row r="215964" customFormat="1" x14ac:dyDescent="0.25"/>
    <row r="215965" customFormat="1" x14ac:dyDescent="0.25"/>
    <row r="215966" customFormat="1" x14ac:dyDescent="0.25"/>
    <row r="215967" customFormat="1" x14ac:dyDescent="0.25"/>
    <row r="215968" customFormat="1" x14ac:dyDescent="0.25"/>
    <row r="215969" customFormat="1" x14ac:dyDescent="0.25"/>
    <row r="215970" customFormat="1" x14ac:dyDescent="0.25"/>
    <row r="215971" customFormat="1" x14ac:dyDescent="0.25"/>
    <row r="215972" customFormat="1" x14ac:dyDescent="0.25"/>
    <row r="215973" customFormat="1" x14ac:dyDescent="0.25"/>
    <row r="215974" customFormat="1" x14ac:dyDescent="0.25"/>
    <row r="215975" customFormat="1" x14ac:dyDescent="0.25"/>
    <row r="215976" customFormat="1" x14ac:dyDescent="0.25"/>
    <row r="215977" customFormat="1" x14ac:dyDescent="0.25"/>
    <row r="215978" customFormat="1" x14ac:dyDescent="0.25"/>
    <row r="215979" customFormat="1" x14ac:dyDescent="0.25"/>
    <row r="215980" customFormat="1" x14ac:dyDescent="0.25"/>
    <row r="215981" customFormat="1" x14ac:dyDescent="0.25"/>
    <row r="215982" customFormat="1" x14ac:dyDescent="0.25"/>
    <row r="215983" customFormat="1" x14ac:dyDescent="0.25"/>
    <row r="215984" customFormat="1" x14ac:dyDescent="0.25"/>
    <row r="215985" customFormat="1" x14ac:dyDescent="0.25"/>
    <row r="215986" customFormat="1" x14ac:dyDescent="0.25"/>
    <row r="215987" customFormat="1" x14ac:dyDescent="0.25"/>
    <row r="215988" customFormat="1" x14ac:dyDescent="0.25"/>
    <row r="215989" customFormat="1" x14ac:dyDescent="0.25"/>
    <row r="215990" customFormat="1" x14ac:dyDescent="0.25"/>
    <row r="215991" customFormat="1" x14ac:dyDescent="0.25"/>
    <row r="215992" customFormat="1" x14ac:dyDescent="0.25"/>
    <row r="215993" customFormat="1" x14ac:dyDescent="0.25"/>
    <row r="215994" customFormat="1" x14ac:dyDescent="0.25"/>
    <row r="215995" customFormat="1" x14ac:dyDescent="0.25"/>
    <row r="215996" customFormat="1" x14ac:dyDescent="0.25"/>
    <row r="215997" customFormat="1" x14ac:dyDescent="0.25"/>
    <row r="215998" customFormat="1" x14ac:dyDescent="0.25"/>
    <row r="215999" customFormat="1" x14ac:dyDescent="0.25"/>
    <row r="216000" customFormat="1" x14ac:dyDescent="0.25"/>
    <row r="216001" customFormat="1" x14ac:dyDescent="0.25"/>
    <row r="216002" customFormat="1" x14ac:dyDescent="0.25"/>
    <row r="216003" customFormat="1" x14ac:dyDescent="0.25"/>
    <row r="216004" customFormat="1" x14ac:dyDescent="0.25"/>
    <row r="216005" customFormat="1" x14ac:dyDescent="0.25"/>
    <row r="216006" customFormat="1" x14ac:dyDescent="0.25"/>
    <row r="216007" customFormat="1" x14ac:dyDescent="0.25"/>
    <row r="216008" customFormat="1" x14ac:dyDescent="0.25"/>
    <row r="216009" customFormat="1" x14ac:dyDescent="0.25"/>
    <row r="216010" customFormat="1" x14ac:dyDescent="0.25"/>
    <row r="216011" customFormat="1" x14ac:dyDescent="0.25"/>
    <row r="216012" customFormat="1" x14ac:dyDescent="0.25"/>
    <row r="216013" customFormat="1" x14ac:dyDescent="0.25"/>
    <row r="216014" customFormat="1" x14ac:dyDescent="0.25"/>
    <row r="216015" customFormat="1" x14ac:dyDescent="0.25"/>
    <row r="216016" customFormat="1" x14ac:dyDescent="0.25"/>
    <row r="216017" customFormat="1" x14ac:dyDescent="0.25"/>
    <row r="216018" customFormat="1" x14ac:dyDescent="0.25"/>
    <row r="216019" customFormat="1" x14ac:dyDescent="0.25"/>
    <row r="216020" customFormat="1" x14ac:dyDescent="0.25"/>
    <row r="216021" customFormat="1" x14ac:dyDescent="0.25"/>
    <row r="216022" customFormat="1" x14ac:dyDescent="0.25"/>
    <row r="216023" customFormat="1" x14ac:dyDescent="0.25"/>
    <row r="216024" customFormat="1" x14ac:dyDescent="0.25"/>
    <row r="216025" customFormat="1" x14ac:dyDescent="0.25"/>
    <row r="216026" customFormat="1" x14ac:dyDescent="0.25"/>
    <row r="216027" customFormat="1" x14ac:dyDescent="0.25"/>
    <row r="216028" customFormat="1" x14ac:dyDescent="0.25"/>
    <row r="216029" customFormat="1" x14ac:dyDescent="0.25"/>
    <row r="216030" customFormat="1" x14ac:dyDescent="0.25"/>
    <row r="216031" customFormat="1" x14ac:dyDescent="0.25"/>
    <row r="216032" customFormat="1" x14ac:dyDescent="0.25"/>
    <row r="216033" customFormat="1" x14ac:dyDescent="0.25"/>
    <row r="216034" customFormat="1" x14ac:dyDescent="0.25"/>
    <row r="216035" customFormat="1" x14ac:dyDescent="0.25"/>
    <row r="216036" customFormat="1" x14ac:dyDescent="0.25"/>
    <row r="216037" customFormat="1" x14ac:dyDescent="0.25"/>
    <row r="216038" customFormat="1" x14ac:dyDescent="0.25"/>
    <row r="216039" customFormat="1" x14ac:dyDescent="0.25"/>
    <row r="216040" customFormat="1" x14ac:dyDescent="0.25"/>
    <row r="216041" customFormat="1" x14ac:dyDescent="0.25"/>
    <row r="216042" customFormat="1" x14ac:dyDescent="0.25"/>
    <row r="216043" customFormat="1" x14ac:dyDescent="0.25"/>
    <row r="216044" customFormat="1" x14ac:dyDescent="0.25"/>
    <row r="216045" customFormat="1" x14ac:dyDescent="0.25"/>
    <row r="216046" customFormat="1" x14ac:dyDescent="0.25"/>
    <row r="216047" customFormat="1" x14ac:dyDescent="0.25"/>
    <row r="216048" customFormat="1" x14ac:dyDescent="0.25"/>
    <row r="216049" customFormat="1" x14ac:dyDescent="0.25"/>
    <row r="216050" customFormat="1" x14ac:dyDescent="0.25"/>
    <row r="216051" customFormat="1" x14ac:dyDescent="0.25"/>
    <row r="216052" customFormat="1" x14ac:dyDescent="0.25"/>
    <row r="216053" customFormat="1" x14ac:dyDescent="0.25"/>
    <row r="216054" customFormat="1" x14ac:dyDescent="0.25"/>
    <row r="216055" customFormat="1" x14ac:dyDescent="0.25"/>
    <row r="216056" customFormat="1" x14ac:dyDescent="0.25"/>
    <row r="216057" customFormat="1" x14ac:dyDescent="0.25"/>
    <row r="216058" customFormat="1" x14ac:dyDescent="0.25"/>
    <row r="216059" customFormat="1" x14ac:dyDescent="0.25"/>
    <row r="216060" customFormat="1" x14ac:dyDescent="0.25"/>
    <row r="216061" customFormat="1" x14ac:dyDescent="0.25"/>
    <row r="216062" customFormat="1" x14ac:dyDescent="0.25"/>
    <row r="216063" customFormat="1" x14ac:dyDescent="0.25"/>
    <row r="216064" customFormat="1" x14ac:dyDescent="0.25"/>
    <row r="216065" customFormat="1" x14ac:dyDescent="0.25"/>
    <row r="216066" customFormat="1" x14ac:dyDescent="0.25"/>
    <row r="216067" customFormat="1" x14ac:dyDescent="0.25"/>
    <row r="216068" customFormat="1" x14ac:dyDescent="0.25"/>
    <row r="216069" customFormat="1" x14ac:dyDescent="0.25"/>
    <row r="216070" customFormat="1" x14ac:dyDescent="0.25"/>
    <row r="216071" customFormat="1" x14ac:dyDescent="0.25"/>
    <row r="216072" customFormat="1" x14ac:dyDescent="0.25"/>
    <row r="216073" customFormat="1" x14ac:dyDescent="0.25"/>
    <row r="216074" customFormat="1" x14ac:dyDescent="0.25"/>
    <row r="216075" customFormat="1" x14ac:dyDescent="0.25"/>
    <row r="216076" customFormat="1" x14ac:dyDescent="0.25"/>
    <row r="216077" customFormat="1" x14ac:dyDescent="0.25"/>
    <row r="216078" customFormat="1" x14ac:dyDescent="0.25"/>
    <row r="216079" customFormat="1" x14ac:dyDescent="0.25"/>
    <row r="216080" customFormat="1" x14ac:dyDescent="0.25"/>
    <row r="216081" customFormat="1" x14ac:dyDescent="0.25"/>
    <row r="216082" customFormat="1" x14ac:dyDescent="0.25"/>
    <row r="216083" customFormat="1" x14ac:dyDescent="0.25"/>
    <row r="216084" customFormat="1" x14ac:dyDescent="0.25"/>
    <row r="216085" customFormat="1" x14ac:dyDescent="0.25"/>
    <row r="216086" customFormat="1" x14ac:dyDescent="0.25"/>
    <row r="216087" customFormat="1" x14ac:dyDescent="0.25"/>
    <row r="216088" customFormat="1" x14ac:dyDescent="0.25"/>
    <row r="216089" customFormat="1" x14ac:dyDescent="0.25"/>
    <row r="216090" customFormat="1" x14ac:dyDescent="0.25"/>
    <row r="216091" customFormat="1" x14ac:dyDescent="0.25"/>
    <row r="216092" customFormat="1" x14ac:dyDescent="0.25"/>
    <row r="216093" customFormat="1" x14ac:dyDescent="0.25"/>
    <row r="216094" customFormat="1" x14ac:dyDescent="0.25"/>
    <row r="216095" customFormat="1" x14ac:dyDescent="0.25"/>
    <row r="216096" customFormat="1" x14ac:dyDescent="0.25"/>
    <row r="216097" customFormat="1" x14ac:dyDescent="0.25"/>
    <row r="216098" customFormat="1" x14ac:dyDescent="0.25"/>
    <row r="216099" customFormat="1" x14ac:dyDescent="0.25"/>
    <row r="216100" customFormat="1" x14ac:dyDescent="0.25"/>
    <row r="216101" customFormat="1" x14ac:dyDescent="0.25"/>
    <row r="216102" customFormat="1" x14ac:dyDescent="0.25"/>
    <row r="216103" customFormat="1" x14ac:dyDescent="0.25"/>
    <row r="216104" customFormat="1" x14ac:dyDescent="0.25"/>
    <row r="216105" customFormat="1" x14ac:dyDescent="0.25"/>
    <row r="216106" customFormat="1" x14ac:dyDescent="0.25"/>
    <row r="216107" customFormat="1" x14ac:dyDescent="0.25"/>
    <row r="216108" customFormat="1" x14ac:dyDescent="0.25"/>
    <row r="216109" customFormat="1" x14ac:dyDescent="0.25"/>
    <row r="216110" customFormat="1" x14ac:dyDescent="0.25"/>
    <row r="216111" customFormat="1" x14ac:dyDescent="0.25"/>
    <row r="216112" customFormat="1" x14ac:dyDescent="0.25"/>
    <row r="216113" customFormat="1" x14ac:dyDescent="0.25"/>
    <row r="216114" customFormat="1" x14ac:dyDescent="0.25"/>
    <row r="216115" customFormat="1" x14ac:dyDescent="0.25"/>
    <row r="216116" customFormat="1" x14ac:dyDescent="0.25"/>
    <row r="216117" customFormat="1" x14ac:dyDescent="0.25"/>
    <row r="216118" customFormat="1" x14ac:dyDescent="0.25"/>
    <row r="216119" customFormat="1" x14ac:dyDescent="0.25"/>
    <row r="216120" customFormat="1" x14ac:dyDescent="0.25"/>
    <row r="216121" customFormat="1" x14ac:dyDescent="0.25"/>
    <row r="216122" customFormat="1" x14ac:dyDescent="0.25"/>
    <row r="216123" customFormat="1" x14ac:dyDescent="0.25"/>
    <row r="216124" customFormat="1" x14ac:dyDescent="0.25"/>
    <row r="216125" customFormat="1" x14ac:dyDescent="0.25"/>
    <row r="216126" customFormat="1" x14ac:dyDescent="0.25"/>
    <row r="216127" customFormat="1" x14ac:dyDescent="0.25"/>
    <row r="216128" customFormat="1" x14ac:dyDescent="0.25"/>
    <row r="216129" customFormat="1" x14ac:dyDescent="0.25"/>
    <row r="216130" customFormat="1" x14ac:dyDescent="0.25"/>
    <row r="216131" customFormat="1" x14ac:dyDescent="0.25"/>
    <row r="216132" customFormat="1" x14ac:dyDescent="0.25"/>
    <row r="216133" customFormat="1" x14ac:dyDescent="0.25"/>
    <row r="216134" customFormat="1" x14ac:dyDescent="0.25"/>
    <row r="216135" customFormat="1" x14ac:dyDescent="0.25"/>
    <row r="216136" customFormat="1" x14ac:dyDescent="0.25"/>
    <row r="216137" customFormat="1" x14ac:dyDescent="0.25"/>
    <row r="216138" customFormat="1" x14ac:dyDescent="0.25"/>
    <row r="216139" customFormat="1" x14ac:dyDescent="0.25"/>
    <row r="216140" customFormat="1" x14ac:dyDescent="0.25"/>
    <row r="216141" customFormat="1" x14ac:dyDescent="0.25"/>
    <row r="216142" customFormat="1" x14ac:dyDescent="0.25"/>
    <row r="216143" customFormat="1" x14ac:dyDescent="0.25"/>
    <row r="216144" customFormat="1" x14ac:dyDescent="0.25"/>
    <row r="216145" customFormat="1" x14ac:dyDescent="0.25"/>
    <row r="216146" customFormat="1" x14ac:dyDescent="0.25"/>
    <row r="216147" customFormat="1" x14ac:dyDescent="0.25"/>
    <row r="216148" customFormat="1" x14ac:dyDescent="0.25"/>
    <row r="216149" customFormat="1" x14ac:dyDescent="0.25"/>
    <row r="216150" customFormat="1" x14ac:dyDescent="0.25"/>
    <row r="216151" customFormat="1" x14ac:dyDescent="0.25"/>
    <row r="216152" customFormat="1" x14ac:dyDescent="0.25"/>
    <row r="216153" customFormat="1" x14ac:dyDescent="0.25"/>
    <row r="216154" customFormat="1" x14ac:dyDescent="0.25"/>
    <row r="216155" customFormat="1" x14ac:dyDescent="0.25"/>
    <row r="216156" customFormat="1" x14ac:dyDescent="0.25"/>
    <row r="216157" customFormat="1" x14ac:dyDescent="0.25"/>
    <row r="216158" customFormat="1" x14ac:dyDescent="0.25"/>
    <row r="216159" customFormat="1" x14ac:dyDescent="0.25"/>
    <row r="216160" customFormat="1" x14ac:dyDescent="0.25"/>
    <row r="216161" customFormat="1" x14ac:dyDescent="0.25"/>
    <row r="216162" customFormat="1" x14ac:dyDescent="0.25"/>
    <row r="216163" customFormat="1" x14ac:dyDescent="0.25"/>
    <row r="216164" customFormat="1" x14ac:dyDescent="0.25"/>
    <row r="216165" customFormat="1" x14ac:dyDescent="0.25"/>
    <row r="216166" customFormat="1" x14ac:dyDescent="0.25"/>
    <row r="216167" customFormat="1" x14ac:dyDescent="0.25"/>
    <row r="216168" customFormat="1" x14ac:dyDescent="0.25"/>
    <row r="216169" customFormat="1" x14ac:dyDescent="0.25"/>
    <row r="216170" customFormat="1" x14ac:dyDescent="0.25"/>
    <row r="216171" customFormat="1" x14ac:dyDescent="0.25"/>
    <row r="216172" customFormat="1" x14ac:dyDescent="0.25"/>
    <row r="216173" customFormat="1" x14ac:dyDescent="0.25"/>
    <row r="216174" customFormat="1" x14ac:dyDescent="0.25"/>
    <row r="216175" customFormat="1" x14ac:dyDescent="0.25"/>
    <row r="216176" customFormat="1" x14ac:dyDescent="0.25"/>
    <row r="216177" customFormat="1" x14ac:dyDescent="0.25"/>
    <row r="216178" customFormat="1" x14ac:dyDescent="0.25"/>
    <row r="216179" customFormat="1" x14ac:dyDescent="0.25"/>
    <row r="216180" customFormat="1" x14ac:dyDescent="0.25"/>
    <row r="216181" customFormat="1" x14ac:dyDescent="0.25"/>
    <row r="216182" customFormat="1" x14ac:dyDescent="0.25"/>
    <row r="216183" customFormat="1" x14ac:dyDescent="0.25"/>
    <row r="216184" customFormat="1" x14ac:dyDescent="0.25"/>
    <row r="216185" customFormat="1" x14ac:dyDescent="0.25"/>
    <row r="216186" customFormat="1" x14ac:dyDescent="0.25"/>
    <row r="216187" customFormat="1" x14ac:dyDescent="0.25"/>
    <row r="216188" customFormat="1" x14ac:dyDescent="0.25"/>
    <row r="216189" customFormat="1" x14ac:dyDescent="0.25"/>
    <row r="216190" customFormat="1" x14ac:dyDescent="0.25"/>
    <row r="216191" customFormat="1" x14ac:dyDescent="0.25"/>
    <row r="216192" customFormat="1" x14ac:dyDescent="0.25"/>
    <row r="216193" customFormat="1" x14ac:dyDescent="0.25"/>
    <row r="216194" customFormat="1" x14ac:dyDescent="0.25"/>
    <row r="216195" customFormat="1" x14ac:dyDescent="0.25"/>
    <row r="216196" customFormat="1" x14ac:dyDescent="0.25"/>
    <row r="216197" customFormat="1" x14ac:dyDescent="0.25"/>
    <row r="216198" customFormat="1" x14ac:dyDescent="0.25"/>
    <row r="216199" customFormat="1" x14ac:dyDescent="0.25"/>
    <row r="216200" customFormat="1" x14ac:dyDescent="0.25"/>
    <row r="216201" customFormat="1" x14ac:dyDescent="0.25"/>
    <row r="216202" customFormat="1" x14ac:dyDescent="0.25"/>
    <row r="216203" customFormat="1" x14ac:dyDescent="0.25"/>
    <row r="216204" customFormat="1" x14ac:dyDescent="0.25"/>
    <row r="216205" customFormat="1" x14ac:dyDescent="0.25"/>
    <row r="216206" customFormat="1" x14ac:dyDescent="0.25"/>
    <row r="216207" customFormat="1" x14ac:dyDescent="0.25"/>
    <row r="216208" customFormat="1" x14ac:dyDescent="0.25"/>
    <row r="216209" customFormat="1" x14ac:dyDescent="0.25"/>
    <row r="216210" customFormat="1" x14ac:dyDescent="0.25"/>
    <row r="216211" customFormat="1" x14ac:dyDescent="0.25"/>
    <row r="216212" customFormat="1" x14ac:dyDescent="0.25"/>
    <row r="216213" customFormat="1" x14ac:dyDescent="0.25"/>
    <row r="216214" customFormat="1" x14ac:dyDescent="0.25"/>
    <row r="216215" customFormat="1" x14ac:dyDescent="0.25"/>
    <row r="216216" customFormat="1" x14ac:dyDescent="0.25"/>
    <row r="216217" customFormat="1" x14ac:dyDescent="0.25"/>
    <row r="216218" customFormat="1" x14ac:dyDescent="0.25"/>
    <row r="216219" customFormat="1" x14ac:dyDescent="0.25"/>
    <row r="216220" customFormat="1" x14ac:dyDescent="0.25"/>
    <row r="216221" customFormat="1" x14ac:dyDescent="0.25"/>
    <row r="216222" customFormat="1" x14ac:dyDescent="0.25"/>
    <row r="216223" customFormat="1" x14ac:dyDescent="0.25"/>
    <row r="216224" customFormat="1" x14ac:dyDescent="0.25"/>
    <row r="216225" customFormat="1" x14ac:dyDescent="0.25"/>
    <row r="216226" customFormat="1" x14ac:dyDescent="0.25"/>
    <row r="216227" customFormat="1" x14ac:dyDescent="0.25"/>
    <row r="216228" customFormat="1" x14ac:dyDescent="0.25"/>
    <row r="216229" customFormat="1" x14ac:dyDescent="0.25"/>
    <row r="216230" customFormat="1" x14ac:dyDescent="0.25"/>
    <row r="216231" customFormat="1" x14ac:dyDescent="0.25"/>
    <row r="216232" customFormat="1" x14ac:dyDescent="0.25"/>
    <row r="216233" customFormat="1" x14ac:dyDescent="0.25"/>
    <row r="216234" customFormat="1" x14ac:dyDescent="0.25"/>
    <row r="216235" customFormat="1" x14ac:dyDescent="0.25"/>
    <row r="216236" customFormat="1" x14ac:dyDescent="0.25"/>
    <row r="216237" customFormat="1" x14ac:dyDescent="0.25"/>
    <row r="216238" customFormat="1" x14ac:dyDescent="0.25"/>
    <row r="216239" customFormat="1" x14ac:dyDescent="0.25"/>
    <row r="216240" customFormat="1" x14ac:dyDescent="0.25"/>
    <row r="216241" customFormat="1" x14ac:dyDescent="0.25"/>
    <row r="216242" customFormat="1" x14ac:dyDescent="0.25"/>
    <row r="216243" customFormat="1" x14ac:dyDescent="0.25"/>
    <row r="216244" customFormat="1" x14ac:dyDescent="0.25"/>
    <row r="216245" customFormat="1" x14ac:dyDescent="0.25"/>
    <row r="216246" customFormat="1" x14ac:dyDescent="0.25"/>
    <row r="216247" customFormat="1" x14ac:dyDescent="0.25"/>
    <row r="216248" customFormat="1" x14ac:dyDescent="0.25"/>
    <row r="216249" customFormat="1" x14ac:dyDescent="0.25"/>
    <row r="216250" customFormat="1" x14ac:dyDescent="0.25"/>
    <row r="216251" customFormat="1" x14ac:dyDescent="0.25"/>
    <row r="216252" customFormat="1" x14ac:dyDescent="0.25"/>
    <row r="216253" customFormat="1" x14ac:dyDescent="0.25"/>
    <row r="216254" customFormat="1" x14ac:dyDescent="0.25"/>
    <row r="216255" customFormat="1" x14ac:dyDescent="0.25"/>
    <row r="216256" customFormat="1" x14ac:dyDescent="0.25"/>
    <row r="216257" customFormat="1" x14ac:dyDescent="0.25"/>
    <row r="216258" customFormat="1" x14ac:dyDescent="0.25"/>
    <row r="216259" customFormat="1" x14ac:dyDescent="0.25"/>
    <row r="216260" customFormat="1" x14ac:dyDescent="0.25"/>
    <row r="216261" customFormat="1" x14ac:dyDescent="0.25"/>
    <row r="216262" customFormat="1" x14ac:dyDescent="0.25"/>
    <row r="216263" customFormat="1" x14ac:dyDescent="0.25"/>
    <row r="216264" customFormat="1" x14ac:dyDescent="0.25"/>
    <row r="216265" customFormat="1" x14ac:dyDescent="0.25"/>
    <row r="216266" customFormat="1" x14ac:dyDescent="0.25"/>
    <row r="216267" customFormat="1" x14ac:dyDescent="0.25"/>
    <row r="216268" customFormat="1" x14ac:dyDescent="0.25"/>
    <row r="216269" customFormat="1" x14ac:dyDescent="0.25"/>
    <row r="216270" customFormat="1" x14ac:dyDescent="0.25"/>
    <row r="216271" customFormat="1" x14ac:dyDescent="0.25"/>
    <row r="216272" customFormat="1" x14ac:dyDescent="0.25"/>
    <row r="216273" customFormat="1" x14ac:dyDescent="0.25"/>
    <row r="216274" customFormat="1" x14ac:dyDescent="0.25"/>
    <row r="216275" customFormat="1" x14ac:dyDescent="0.25"/>
    <row r="216276" customFormat="1" x14ac:dyDescent="0.25"/>
    <row r="216277" customFormat="1" x14ac:dyDescent="0.25"/>
    <row r="216278" customFormat="1" x14ac:dyDescent="0.25"/>
    <row r="216279" customFormat="1" x14ac:dyDescent="0.25"/>
    <row r="216280" customFormat="1" x14ac:dyDescent="0.25"/>
    <row r="216281" customFormat="1" x14ac:dyDescent="0.25"/>
    <row r="216282" customFormat="1" x14ac:dyDescent="0.25"/>
    <row r="216283" customFormat="1" x14ac:dyDescent="0.25"/>
    <row r="216284" customFormat="1" x14ac:dyDescent="0.25"/>
    <row r="216285" customFormat="1" x14ac:dyDescent="0.25"/>
    <row r="216286" customFormat="1" x14ac:dyDescent="0.25"/>
    <row r="216287" customFormat="1" x14ac:dyDescent="0.25"/>
    <row r="216288" customFormat="1" x14ac:dyDescent="0.25"/>
    <row r="216289" customFormat="1" x14ac:dyDescent="0.25"/>
    <row r="216290" customFormat="1" x14ac:dyDescent="0.25"/>
    <row r="216291" customFormat="1" x14ac:dyDescent="0.25"/>
    <row r="216292" customFormat="1" x14ac:dyDescent="0.25"/>
    <row r="216293" customFormat="1" x14ac:dyDescent="0.25"/>
    <row r="216294" customFormat="1" x14ac:dyDescent="0.25"/>
    <row r="216295" customFormat="1" x14ac:dyDescent="0.25"/>
    <row r="216296" customFormat="1" x14ac:dyDescent="0.25"/>
    <row r="216297" customFormat="1" x14ac:dyDescent="0.25"/>
    <row r="216298" customFormat="1" x14ac:dyDescent="0.25"/>
    <row r="216299" customFormat="1" x14ac:dyDescent="0.25"/>
    <row r="216300" customFormat="1" x14ac:dyDescent="0.25"/>
    <row r="216301" customFormat="1" x14ac:dyDescent="0.25"/>
    <row r="216302" customFormat="1" x14ac:dyDescent="0.25"/>
    <row r="216303" customFormat="1" x14ac:dyDescent="0.25"/>
    <row r="216304" customFormat="1" x14ac:dyDescent="0.25"/>
    <row r="216305" customFormat="1" x14ac:dyDescent="0.25"/>
    <row r="216306" customFormat="1" x14ac:dyDescent="0.25"/>
    <row r="216307" customFormat="1" x14ac:dyDescent="0.25"/>
    <row r="216308" customFormat="1" x14ac:dyDescent="0.25"/>
    <row r="216309" customFormat="1" x14ac:dyDescent="0.25"/>
    <row r="216310" customFormat="1" x14ac:dyDescent="0.25"/>
    <row r="216311" customFormat="1" x14ac:dyDescent="0.25"/>
    <row r="216312" customFormat="1" x14ac:dyDescent="0.25"/>
    <row r="216313" customFormat="1" x14ac:dyDescent="0.25"/>
    <row r="216314" customFormat="1" x14ac:dyDescent="0.25"/>
    <row r="216315" customFormat="1" x14ac:dyDescent="0.25"/>
    <row r="216316" customFormat="1" x14ac:dyDescent="0.25"/>
    <row r="216317" customFormat="1" x14ac:dyDescent="0.25"/>
    <row r="216318" customFormat="1" x14ac:dyDescent="0.25"/>
    <row r="216319" customFormat="1" x14ac:dyDescent="0.25"/>
    <row r="216320" customFormat="1" x14ac:dyDescent="0.25"/>
    <row r="216321" customFormat="1" x14ac:dyDescent="0.25"/>
    <row r="216322" customFormat="1" x14ac:dyDescent="0.25"/>
    <row r="216323" customFormat="1" x14ac:dyDescent="0.25"/>
    <row r="216324" customFormat="1" x14ac:dyDescent="0.25"/>
    <row r="216325" customFormat="1" x14ac:dyDescent="0.25"/>
    <row r="216326" customFormat="1" x14ac:dyDescent="0.25"/>
    <row r="216327" customFormat="1" x14ac:dyDescent="0.25"/>
    <row r="216328" customFormat="1" x14ac:dyDescent="0.25"/>
    <row r="216329" customFormat="1" x14ac:dyDescent="0.25"/>
    <row r="216330" customFormat="1" x14ac:dyDescent="0.25"/>
    <row r="216331" customFormat="1" x14ac:dyDescent="0.25"/>
    <row r="216332" customFormat="1" x14ac:dyDescent="0.25"/>
    <row r="216333" customFormat="1" x14ac:dyDescent="0.25"/>
    <row r="216334" customFormat="1" x14ac:dyDescent="0.25"/>
    <row r="216335" customFormat="1" x14ac:dyDescent="0.25"/>
    <row r="216336" customFormat="1" x14ac:dyDescent="0.25"/>
    <row r="216337" customFormat="1" x14ac:dyDescent="0.25"/>
    <row r="216338" customFormat="1" x14ac:dyDescent="0.25"/>
    <row r="216339" customFormat="1" x14ac:dyDescent="0.25"/>
    <row r="216340" customFormat="1" x14ac:dyDescent="0.25"/>
    <row r="216341" customFormat="1" x14ac:dyDescent="0.25"/>
    <row r="216342" customFormat="1" x14ac:dyDescent="0.25"/>
    <row r="216343" customFormat="1" x14ac:dyDescent="0.25"/>
    <row r="216344" customFormat="1" x14ac:dyDescent="0.25"/>
    <row r="216345" customFormat="1" x14ac:dyDescent="0.25"/>
    <row r="216346" customFormat="1" x14ac:dyDescent="0.25"/>
    <row r="216347" customFormat="1" x14ac:dyDescent="0.25"/>
    <row r="216348" customFormat="1" x14ac:dyDescent="0.25"/>
    <row r="216349" customFormat="1" x14ac:dyDescent="0.25"/>
    <row r="216350" customFormat="1" x14ac:dyDescent="0.25"/>
    <row r="216351" customFormat="1" x14ac:dyDescent="0.25"/>
    <row r="216352" customFormat="1" x14ac:dyDescent="0.25"/>
    <row r="216353" customFormat="1" x14ac:dyDescent="0.25"/>
    <row r="216354" customFormat="1" x14ac:dyDescent="0.25"/>
    <row r="216355" customFormat="1" x14ac:dyDescent="0.25"/>
    <row r="216356" customFormat="1" x14ac:dyDescent="0.25"/>
    <row r="216357" customFormat="1" x14ac:dyDescent="0.25"/>
    <row r="216358" customFormat="1" x14ac:dyDescent="0.25"/>
    <row r="216359" customFormat="1" x14ac:dyDescent="0.25"/>
    <row r="216360" customFormat="1" x14ac:dyDescent="0.25"/>
    <row r="216361" customFormat="1" x14ac:dyDescent="0.25"/>
    <row r="216362" customFormat="1" x14ac:dyDescent="0.25"/>
    <row r="216363" customFormat="1" x14ac:dyDescent="0.25"/>
    <row r="216364" customFormat="1" x14ac:dyDescent="0.25"/>
    <row r="216365" customFormat="1" x14ac:dyDescent="0.25"/>
    <row r="216366" customFormat="1" x14ac:dyDescent="0.25"/>
    <row r="216367" customFormat="1" x14ac:dyDescent="0.25"/>
    <row r="216368" customFormat="1" x14ac:dyDescent="0.25"/>
    <row r="216369" customFormat="1" x14ac:dyDescent="0.25"/>
    <row r="216370" customFormat="1" x14ac:dyDescent="0.25"/>
    <row r="216371" customFormat="1" x14ac:dyDescent="0.25"/>
    <row r="216372" customFormat="1" x14ac:dyDescent="0.25"/>
    <row r="216373" customFormat="1" x14ac:dyDescent="0.25"/>
    <row r="216374" customFormat="1" x14ac:dyDescent="0.25"/>
    <row r="216375" customFormat="1" x14ac:dyDescent="0.25"/>
    <row r="216376" customFormat="1" x14ac:dyDescent="0.25"/>
    <row r="216377" customFormat="1" x14ac:dyDescent="0.25"/>
    <row r="216378" customFormat="1" x14ac:dyDescent="0.25"/>
    <row r="216379" customFormat="1" x14ac:dyDescent="0.25"/>
    <row r="216380" customFormat="1" x14ac:dyDescent="0.25"/>
    <row r="216381" customFormat="1" x14ac:dyDescent="0.25"/>
    <row r="216382" customFormat="1" x14ac:dyDescent="0.25"/>
    <row r="216383" customFormat="1" x14ac:dyDescent="0.25"/>
    <row r="216384" customFormat="1" x14ac:dyDescent="0.25"/>
    <row r="216385" customFormat="1" x14ac:dyDescent="0.25"/>
    <row r="216386" customFormat="1" x14ac:dyDescent="0.25"/>
    <row r="216387" customFormat="1" x14ac:dyDescent="0.25"/>
    <row r="216388" customFormat="1" x14ac:dyDescent="0.25"/>
    <row r="216389" customFormat="1" x14ac:dyDescent="0.25"/>
    <row r="216390" customFormat="1" x14ac:dyDescent="0.25"/>
    <row r="216391" customFormat="1" x14ac:dyDescent="0.25"/>
    <row r="216392" customFormat="1" x14ac:dyDescent="0.25"/>
    <row r="216393" customFormat="1" x14ac:dyDescent="0.25"/>
    <row r="216394" customFormat="1" x14ac:dyDescent="0.25"/>
    <row r="216395" customFormat="1" x14ac:dyDescent="0.25"/>
    <row r="216396" customFormat="1" x14ac:dyDescent="0.25"/>
    <row r="216397" customFormat="1" x14ac:dyDescent="0.25"/>
    <row r="216398" customFormat="1" x14ac:dyDescent="0.25"/>
    <row r="216399" customFormat="1" x14ac:dyDescent="0.25"/>
    <row r="216400" customFormat="1" x14ac:dyDescent="0.25"/>
    <row r="216401" customFormat="1" x14ac:dyDescent="0.25"/>
    <row r="216402" customFormat="1" x14ac:dyDescent="0.25"/>
    <row r="216403" customFormat="1" x14ac:dyDescent="0.25"/>
    <row r="216404" customFormat="1" x14ac:dyDescent="0.25"/>
    <row r="216405" customFormat="1" x14ac:dyDescent="0.25"/>
    <row r="216406" customFormat="1" x14ac:dyDescent="0.25"/>
    <row r="216407" customFormat="1" x14ac:dyDescent="0.25"/>
    <row r="216408" customFormat="1" x14ac:dyDescent="0.25"/>
    <row r="216409" customFormat="1" x14ac:dyDescent="0.25"/>
    <row r="216410" customFormat="1" x14ac:dyDescent="0.25"/>
    <row r="216411" customFormat="1" x14ac:dyDescent="0.25"/>
    <row r="216412" customFormat="1" x14ac:dyDescent="0.25"/>
    <row r="216413" customFormat="1" x14ac:dyDescent="0.25"/>
    <row r="216414" customFormat="1" x14ac:dyDescent="0.25"/>
    <row r="216415" customFormat="1" x14ac:dyDescent="0.25"/>
    <row r="216416" customFormat="1" x14ac:dyDescent="0.25"/>
    <row r="216417" customFormat="1" x14ac:dyDescent="0.25"/>
    <row r="216418" customFormat="1" x14ac:dyDescent="0.25"/>
    <row r="216419" customFormat="1" x14ac:dyDescent="0.25"/>
    <row r="216420" customFormat="1" x14ac:dyDescent="0.25"/>
    <row r="216421" customFormat="1" x14ac:dyDescent="0.25"/>
    <row r="216422" customFormat="1" x14ac:dyDescent="0.25"/>
    <row r="216423" customFormat="1" x14ac:dyDescent="0.25"/>
    <row r="216424" customFormat="1" x14ac:dyDescent="0.25"/>
    <row r="216425" customFormat="1" x14ac:dyDescent="0.25"/>
    <row r="216426" customFormat="1" x14ac:dyDescent="0.25"/>
    <row r="216427" customFormat="1" x14ac:dyDescent="0.25"/>
    <row r="216428" customFormat="1" x14ac:dyDescent="0.25"/>
    <row r="216429" customFormat="1" x14ac:dyDescent="0.25"/>
    <row r="216430" customFormat="1" x14ac:dyDescent="0.25"/>
    <row r="216431" customFormat="1" x14ac:dyDescent="0.25"/>
    <row r="216432" customFormat="1" x14ac:dyDescent="0.25"/>
    <row r="216433" customFormat="1" x14ac:dyDescent="0.25"/>
    <row r="216434" customFormat="1" x14ac:dyDescent="0.25"/>
    <row r="216435" customFormat="1" x14ac:dyDescent="0.25"/>
    <row r="216436" customFormat="1" x14ac:dyDescent="0.25"/>
    <row r="216437" customFormat="1" x14ac:dyDescent="0.25"/>
    <row r="216438" customFormat="1" x14ac:dyDescent="0.25"/>
    <row r="216439" customFormat="1" x14ac:dyDescent="0.25"/>
    <row r="216440" customFormat="1" x14ac:dyDescent="0.25"/>
    <row r="216441" customFormat="1" x14ac:dyDescent="0.25"/>
    <row r="216442" customFormat="1" x14ac:dyDescent="0.25"/>
    <row r="216443" customFormat="1" x14ac:dyDescent="0.25"/>
    <row r="216444" customFormat="1" x14ac:dyDescent="0.25"/>
    <row r="216445" customFormat="1" x14ac:dyDescent="0.25"/>
    <row r="216446" customFormat="1" x14ac:dyDescent="0.25"/>
    <row r="216447" customFormat="1" x14ac:dyDescent="0.25"/>
    <row r="216448" customFormat="1" x14ac:dyDescent="0.25"/>
    <row r="216449" customFormat="1" x14ac:dyDescent="0.25"/>
    <row r="216450" customFormat="1" x14ac:dyDescent="0.25"/>
    <row r="216451" customFormat="1" x14ac:dyDescent="0.25"/>
    <row r="216452" customFormat="1" x14ac:dyDescent="0.25"/>
    <row r="216453" customFormat="1" x14ac:dyDescent="0.25"/>
    <row r="216454" customFormat="1" x14ac:dyDescent="0.25"/>
    <row r="216455" customFormat="1" x14ac:dyDescent="0.25"/>
    <row r="216456" customFormat="1" x14ac:dyDescent="0.25"/>
    <row r="216457" customFormat="1" x14ac:dyDescent="0.25"/>
    <row r="216458" customFormat="1" x14ac:dyDescent="0.25"/>
    <row r="216459" customFormat="1" x14ac:dyDescent="0.25"/>
    <row r="216460" customFormat="1" x14ac:dyDescent="0.25"/>
    <row r="216461" customFormat="1" x14ac:dyDescent="0.25"/>
    <row r="216462" customFormat="1" x14ac:dyDescent="0.25"/>
    <row r="216463" customFormat="1" x14ac:dyDescent="0.25"/>
    <row r="216464" customFormat="1" x14ac:dyDescent="0.25"/>
    <row r="216465" customFormat="1" x14ac:dyDescent="0.25"/>
    <row r="216466" customFormat="1" x14ac:dyDescent="0.25"/>
    <row r="216467" customFormat="1" x14ac:dyDescent="0.25"/>
    <row r="216468" customFormat="1" x14ac:dyDescent="0.25"/>
    <row r="216469" customFormat="1" x14ac:dyDescent="0.25"/>
    <row r="216470" customFormat="1" x14ac:dyDescent="0.25"/>
    <row r="216471" customFormat="1" x14ac:dyDescent="0.25"/>
    <row r="216472" customFormat="1" x14ac:dyDescent="0.25"/>
    <row r="216473" customFormat="1" x14ac:dyDescent="0.25"/>
    <row r="216474" customFormat="1" x14ac:dyDescent="0.25"/>
    <row r="216475" customFormat="1" x14ac:dyDescent="0.25"/>
    <row r="216476" customFormat="1" x14ac:dyDescent="0.25"/>
    <row r="216477" customFormat="1" x14ac:dyDescent="0.25"/>
    <row r="216478" customFormat="1" x14ac:dyDescent="0.25"/>
    <row r="216479" customFormat="1" x14ac:dyDescent="0.25"/>
    <row r="216480" customFormat="1" x14ac:dyDescent="0.25"/>
    <row r="216481" customFormat="1" x14ac:dyDescent="0.25"/>
    <row r="216482" customFormat="1" x14ac:dyDescent="0.25"/>
    <row r="216483" customFormat="1" x14ac:dyDescent="0.25"/>
    <row r="216484" customFormat="1" x14ac:dyDescent="0.25"/>
    <row r="216485" customFormat="1" x14ac:dyDescent="0.25"/>
    <row r="216486" customFormat="1" x14ac:dyDescent="0.25"/>
    <row r="216487" customFormat="1" x14ac:dyDescent="0.25"/>
    <row r="216488" customFormat="1" x14ac:dyDescent="0.25"/>
    <row r="216489" customFormat="1" x14ac:dyDescent="0.25"/>
    <row r="216490" customFormat="1" x14ac:dyDescent="0.25"/>
    <row r="216491" customFormat="1" x14ac:dyDescent="0.25"/>
    <row r="216492" customFormat="1" x14ac:dyDescent="0.25"/>
    <row r="216493" customFormat="1" x14ac:dyDescent="0.25"/>
    <row r="216494" customFormat="1" x14ac:dyDescent="0.25"/>
    <row r="216495" customFormat="1" x14ac:dyDescent="0.25"/>
    <row r="216496" customFormat="1" x14ac:dyDescent="0.25"/>
    <row r="216497" customFormat="1" x14ac:dyDescent="0.25"/>
    <row r="216498" customFormat="1" x14ac:dyDescent="0.25"/>
    <row r="216499" customFormat="1" x14ac:dyDescent="0.25"/>
    <row r="216500" customFormat="1" x14ac:dyDescent="0.25"/>
    <row r="216501" customFormat="1" x14ac:dyDescent="0.25"/>
    <row r="216502" customFormat="1" x14ac:dyDescent="0.25"/>
    <row r="216503" customFormat="1" x14ac:dyDescent="0.25"/>
    <row r="216504" customFormat="1" x14ac:dyDescent="0.25"/>
    <row r="216505" customFormat="1" x14ac:dyDescent="0.25"/>
    <row r="216506" customFormat="1" x14ac:dyDescent="0.25"/>
    <row r="216507" customFormat="1" x14ac:dyDescent="0.25"/>
    <row r="216508" customFormat="1" x14ac:dyDescent="0.25"/>
    <row r="216509" customFormat="1" x14ac:dyDescent="0.25"/>
    <row r="216510" customFormat="1" x14ac:dyDescent="0.25"/>
    <row r="216511" customFormat="1" x14ac:dyDescent="0.25"/>
    <row r="216512" customFormat="1" x14ac:dyDescent="0.25"/>
    <row r="216513" customFormat="1" x14ac:dyDescent="0.25"/>
    <row r="216514" customFormat="1" x14ac:dyDescent="0.25"/>
    <row r="216515" customFormat="1" x14ac:dyDescent="0.25"/>
    <row r="216516" customFormat="1" x14ac:dyDescent="0.25"/>
    <row r="216517" customFormat="1" x14ac:dyDescent="0.25"/>
    <row r="216518" customFormat="1" x14ac:dyDescent="0.25"/>
    <row r="216519" customFormat="1" x14ac:dyDescent="0.25"/>
    <row r="216520" customFormat="1" x14ac:dyDescent="0.25"/>
    <row r="216521" customFormat="1" x14ac:dyDescent="0.25"/>
    <row r="216522" customFormat="1" x14ac:dyDescent="0.25"/>
    <row r="216523" customFormat="1" x14ac:dyDescent="0.25"/>
    <row r="216524" customFormat="1" x14ac:dyDescent="0.25"/>
    <row r="216525" customFormat="1" x14ac:dyDescent="0.25"/>
    <row r="216526" customFormat="1" x14ac:dyDescent="0.25"/>
    <row r="216527" customFormat="1" x14ac:dyDescent="0.25"/>
    <row r="216528" customFormat="1" x14ac:dyDescent="0.25"/>
    <row r="216529" customFormat="1" x14ac:dyDescent="0.25"/>
    <row r="216530" customFormat="1" x14ac:dyDescent="0.25"/>
    <row r="216531" customFormat="1" x14ac:dyDescent="0.25"/>
    <row r="216532" customFormat="1" x14ac:dyDescent="0.25"/>
    <row r="216533" customFormat="1" x14ac:dyDescent="0.25"/>
    <row r="216534" customFormat="1" x14ac:dyDescent="0.25"/>
    <row r="216535" customFormat="1" x14ac:dyDescent="0.25"/>
    <row r="216536" customFormat="1" x14ac:dyDescent="0.25"/>
    <row r="216537" customFormat="1" x14ac:dyDescent="0.25"/>
    <row r="216538" customFormat="1" x14ac:dyDescent="0.25"/>
    <row r="216539" customFormat="1" x14ac:dyDescent="0.25"/>
    <row r="216540" customFormat="1" x14ac:dyDescent="0.25"/>
    <row r="216541" customFormat="1" x14ac:dyDescent="0.25"/>
    <row r="216542" customFormat="1" x14ac:dyDescent="0.25"/>
    <row r="216543" customFormat="1" x14ac:dyDescent="0.25"/>
    <row r="216544" customFormat="1" x14ac:dyDescent="0.25"/>
    <row r="216545" customFormat="1" x14ac:dyDescent="0.25"/>
    <row r="216546" customFormat="1" x14ac:dyDescent="0.25"/>
    <row r="216547" customFormat="1" x14ac:dyDescent="0.25"/>
    <row r="216548" customFormat="1" x14ac:dyDescent="0.25"/>
    <row r="216549" customFormat="1" x14ac:dyDescent="0.25"/>
    <row r="216550" customFormat="1" x14ac:dyDescent="0.25"/>
    <row r="216551" customFormat="1" x14ac:dyDescent="0.25"/>
    <row r="216552" customFormat="1" x14ac:dyDescent="0.25"/>
    <row r="216553" customFormat="1" x14ac:dyDescent="0.25"/>
    <row r="216554" customFormat="1" x14ac:dyDescent="0.25"/>
    <row r="216555" customFormat="1" x14ac:dyDescent="0.25"/>
    <row r="216556" customFormat="1" x14ac:dyDescent="0.25"/>
    <row r="216557" customFormat="1" x14ac:dyDescent="0.25"/>
    <row r="216558" customFormat="1" x14ac:dyDescent="0.25"/>
    <row r="216559" customFormat="1" x14ac:dyDescent="0.25"/>
    <row r="216560" customFormat="1" x14ac:dyDescent="0.25"/>
    <row r="216561" customFormat="1" x14ac:dyDescent="0.25"/>
    <row r="216562" customFormat="1" x14ac:dyDescent="0.25"/>
    <row r="216563" customFormat="1" x14ac:dyDescent="0.25"/>
    <row r="216564" customFormat="1" x14ac:dyDescent="0.25"/>
    <row r="216565" customFormat="1" x14ac:dyDescent="0.25"/>
    <row r="216566" customFormat="1" x14ac:dyDescent="0.25"/>
    <row r="216567" customFormat="1" x14ac:dyDescent="0.25"/>
    <row r="216568" customFormat="1" x14ac:dyDescent="0.25"/>
    <row r="216569" customFormat="1" x14ac:dyDescent="0.25"/>
    <row r="216570" customFormat="1" x14ac:dyDescent="0.25"/>
    <row r="216571" customFormat="1" x14ac:dyDescent="0.25"/>
    <row r="216572" customFormat="1" x14ac:dyDescent="0.25"/>
    <row r="216573" customFormat="1" x14ac:dyDescent="0.25"/>
    <row r="216574" customFormat="1" x14ac:dyDescent="0.25"/>
    <row r="216575" customFormat="1" x14ac:dyDescent="0.25"/>
    <row r="216576" customFormat="1" x14ac:dyDescent="0.25"/>
    <row r="216577" customFormat="1" x14ac:dyDescent="0.25"/>
    <row r="216578" customFormat="1" x14ac:dyDescent="0.25"/>
    <row r="216579" customFormat="1" x14ac:dyDescent="0.25"/>
    <row r="216580" customFormat="1" x14ac:dyDescent="0.25"/>
    <row r="216581" customFormat="1" x14ac:dyDescent="0.25"/>
    <row r="216582" customFormat="1" x14ac:dyDescent="0.25"/>
    <row r="216583" customFormat="1" x14ac:dyDescent="0.25"/>
    <row r="216584" customFormat="1" x14ac:dyDescent="0.25"/>
    <row r="216585" customFormat="1" x14ac:dyDescent="0.25"/>
    <row r="216586" customFormat="1" x14ac:dyDescent="0.25"/>
    <row r="216587" customFormat="1" x14ac:dyDescent="0.25"/>
    <row r="216588" customFormat="1" x14ac:dyDescent="0.25"/>
    <row r="216589" customFormat="1" x14ac:dyDescent="0.25"/>
    <row r="216590" customFormat="1" x14ac:dyDescent="0.25"/>
    <row r="216591" customFormat="1" x14ac:dyDescent="0.25"/>
    <row r="216592" customFormat="1" x14ac:dyDescent="0.25"/>
    <row r="216593" customFormat="1" x14ac:dyDescent="0.25"/>
    <row r="216594" customFormat="1" x14ac:dyDescent="0.25"/>
    <row r="216595" customFormat="1" x14ac:dyDescent="0.25"/>
    <row r="216596" customFormat="1" x14ac:dyDescent="0.25"/>
    <row r="216597" customFormat="1" x14ac:dyDescent="0.25"/>
    <row r="216598" customFormat="1" x14ac:dyDescent="0.25"/>
    <row r="216599" customFormat="1" x14ac:dyDescent="0.25"/>
    <row r="216600" customFormat="1" x14ac:dyDescent="0.25"/>
    <row r="216601" customFormat="1" x14ac:dyDescent="0.25"/>
    <row r="216602" customFormat="1" x14ac:dyDescent="0.25"/>
    <row r="216603" customFormat="1" x14ac:dyDescent="0.25"/>
    <row r="216604" customFormat="1" x14ac:dyDescent="0.25"/>
    <row r="216605" customFormat="1" x14ac:dyDescent="0.25"/>
    <row r="216606" customFormat="1" x14ac:dyDescent="0.25"/>
    <row r="216607" customFormat="1" x14ac:dyDescent="0.25"/>
    <row r="216608" customFormat="1" x14ac:dyDescent="0.25"/>
    <row r="216609" customFormat="1" x14ac:dyDescent="0.25"/>
    <row r="216610" customFormat="1" x14ac:dyDescent="0.25"/>
    <row r="216611" customFormat="1" x14ac:dyDescent="0.25"/>
    <row r="216612" customFormat="1" x14ac:dyDescent="0.25"/>
    <row r="216613" customFormat="1" x14ac:dyDescent="0.25"/>
    <row r="216614" customFormat="1" x14ac:dyDescent="0.25"/>
    <row r="216615" customFormat="1" x14ac:dyDescent="0.25"/>
    <row r="216616" customFormat="1" x14ac:dyDescent="0.25"/>
    <row r="216617" customFormat="1" x14ac:dyDescent="0.25"/>
    <row r="216618" customFormat="1" x14ac:dyDescent="0.25"/>
    <row r="216619" customFormat="1" x14ac:dyDescent="0.25"/>
    <row r="216620" customFormat="1" x14ac:dyDescent="0.25"/>
    <row r="216621" customFormat="1" x14ac:dyDescent="0.25"/>
    <row r="216622" customFormat="1" x14ac:dyDescent="0.25"/>
    <row r="216623" customFormat="1" x14ac:dyDescent="0.25"/>
    <row r="216624" customFormat="1" x14ac:dyDescent="0.25"/>
    <row r="216625" customFormat="1" x14ac:dyDescent="0.25"/>
    <row r="216626" customFormat="1" x14ac:dyDescent="0.25"/>
    <row r="216627" customFormat="1" x14ac:dyDescent="0.25"/>
    <row r="216628" customFormat="1" x14ac:dyDescent="0.25"/>
    <row r="216629" customFormat="1" x14ac:dyDescent="0.25"/>
    <row r="216630" customFormat="1" x14ac:dyDescent="0.25"/>
    <row r="216631" customFormat="1" x14ac:dyDescent="0.25"/>
    <row r="216632" customFormat="1" x14ac:dyDescent="0.25"/>
    <row r="216633" customFormat="1" x14ac:dyDescent="0.25"/>
    <row r="216634" customFormat="1" x14ac:dyDescent="0.25"/>
    <row r="216635" customFormat="1" x14ac:dyDescent="0.25"/>
    <row r="216636" customFormat="1" x14ac:dyDescent="0.25"/>
    <row r="216637" customFormat="1" x14ac:dyDescent="0.25"/>
    <row r="216638" customFormat="1" x14ac:dyDescent="0.25"/>
    <row r="216639" customFormat="1" x14ac:dyDescent="0.25"/>
    <row r="216640" customFormat="1" x14ac:dyDescent="0.25"/>
    <row r="216641" customFormat="1" x14ac:dyDescent="0.25"/>
    <row r="216642" customFormat="1" x14ac:dyDescent="0.25"/>
    <row r="216643" customFormat="1" x14ac:dyDescent="0.25"/>
    <row r="216644" customFormat="1" x14ac:dyDescent="0.25"/>
    <row r="216645" customFormat="1" x14ac:dyDescent="0.25"/>
    <row r="216646" customFormat="1" x14ac:dyDescent="0.25"/>
    <row r="216647" customFormat="1" x14ac:dyDescent="0.25"/>
    <row r="216648" customFormat="1" x14ac:dyDescent="0.25"/>
    <row r="216649" customFormat="1" x14ac:dyDescent="0.25"/>
    <row r="216650" customFormat="1" x14ac:dyDescent="0.25"/>
    <row r="216651" customFormat="1" x14ac:dyDescent="0.25"/>
    <row r="216652" customFormat="1" x14ac:dyDescent="0.25"/>
    <row r="216653" customFormat="1" x14ac:dyDescent="0.25"/>
    <row r="216654" customFormat="1" x14ac:dyDescent="0.25"/>
    <row r="216655" customFormat="1" x14ac:dyDescent="0.25"/>
    <row r="216656" customFormat="1" x14ac:dyDescent="0.25"/>
    <row r="216657" customFormat="1" x14ac:dyDescent="0.25"/>
    <row r="216658" customFormat="1" x14ac:dyDescent="0.25"/>
    <row r="216659" customFormat="1" x14ac:dyDescent="0.25"/>
    <row r="216660" customFormat="1" x14ac:dyDescent="0.25"/>
    <row r="216661" customFormat="1" x14ac:dyDescent="0.25"/>
    <row r="216662" customFormat="1" x14ac:dyDescent="0.25"/>
    <row r="216663" customFormat="1" x14ac:dyDescent="0.25"/>
    <row r="216664" customFormat="1" x14ac:dyDescent="0.25"/>
    <row r="216665" customFormat="1" x14ac:dyDescent="0.25"/>
    <row r="216666" customFormat="1" x14ac:dyDescent="0.25"/>
    <row r="216667" customFormat="1" x14ac:dyDescent="0.25"/>
    <row r="216668" customFormat="1" x14ac:dyDescent="0.25"/>
    <row r="216669" customFormat="1" x14ac:dyDescent="0.25"/>
    <row r="216670" customFormat="1" x14ac:dyDescent="0.25"/>
    <row r="216671" customFormat="1" x14ac:dyDescent="0.25"/>
    <row r="216672" customFormat="1" x14ac:dyDescent="0.25"/>
    <row r="216673" customFormat="1" x14ac:dyDescent="0.25"/>
    <row r="216674" customFormat="1" x14ac:dyDescent="0.25"/>
    <row r="216675" customFormat="1" x14ac:dyDescent="0.25"/>
    <row r="216676" customFormat="1" x14ac:dyDescent="0.25"/>
    <row r="216677" customFormat="1" x14ac:dyDescent="0.25"/>
    <row r="216678" customFormat="1" x14ac:dyDescent="0.25"/>
    <row r="216679" customFormat="1" x14ac:dyDescent="0.25"/>
    <row r="216680" customFormat="1" x14ac:dyDescent="0.25"/>
    <row r="216681" customFormat="1" x14ac:dyDescent="0.25"/>
    <row r="216682" customFormat="1" x14ac:dyDescent="0.25"/>
    <row r="216683" customFormat="1" x14ac:dyDescent="0.25"/>
    <row r="216684" customFormat="1" x14ac:dyDescent="0.25"/>
    <row r="216685" customFormat="1" x14ac:dyDescent="0.25"/>
    <row r="216686" customFormat="1" x14ac:dyDescent="0.25"/>
    <row r="216687" customFormat="1" x14ac:dyDescent="0.25"/>
    <row r="216688" customFormat="1" x14ac:dyDescent="0.25"/>
    <row r="216689" customFormat="1" x14ac:dyDescent="0.25"/>
    <row r="216690" customFormat="1" x14ac:dyDescent="0.25"/>
    <row r="216691" customFormat="1" x14ac:dyDescent="0.25"/>
    <row r="216692" customFormat="1" x14ac:dyDescent="0.25"/>
    <row r="216693" customFormat="1" x14ac:dyDescent="0.25"/>
    <row r="216694" customFormat="1" x14ac:dyDescent="0.25"/>
    <row r="216695" customFormat="1" x14ac:dyDescent="0.25"/>
    <row r="216696" customFormat="1" x14ac:dyDescent="0.25"/>
    <row r="216697" customFormat="1" x14ac:dyDescent="0.25"/>
    <row r="216698" customFormat="1" x14ac:dyDescent="0.25"/>
    <row r="216699" customFormat="1" x14ac:dyDescent="0.25"/>
    <row r="216700" customFormat="1" x14ac:dyDescent="0.25"/>
    <row r="216701" customFormat="1" x14ac:dyDescent="0.25"/>
    <row r="216702" customFormat="1" x14ac:dyDescent="0.25"/>
    <row r="216703" customFormat="1" x14ac:dyDescent="0.25"/>
    <row r="216704" customFormat="1" x14ac:dyDescent="0.25"/>
    <row r="216705" customFormat="1" x14ac:dyDescent="0.25"/>
    <row r="216706" customFormat="1" x14ac:dyDescent="0.25"/>
    <row r="216707" customFormat="1" x14ac:dyDescent="0.25"/>
    <row r="216708" customFormat="1" x14ac:dyDescent="0.25"/>
    <row r="216709" customFormat="1" x14ac:dyDescent="0.25"/>
    <row r="216710" customFormat="1" x14ac:dyDescent="0.25"/>
    <row r="216711" customFormat="1" x14ac:dyDescent="0.25"/>
    <row r="216712" customFormat="1" x14ac:dyDescent="0.25"/>
    <row r="216713" customFormat="1" x14ac:dyDescent="0.25"/>
    <row r="216714" customFormat="1" x14ac:dyDescent="0.25"/>
    <row r="216715" customFormat="1" x14ac:dyDescent="0.25"/>
    <row r="216716" customFormat="1" x14ac:dyDescent="0.25"/>
    <row r="216717" customFormat="1" x14ac:dyDescent="0.25"/>
    <row r="216718" customFormat="1" x14ac:dyDescent="0.25"/>
    <row r="216719" customFormat="1" x14ac:dyDescent="0.25"/>
    <row r="216720" customFormat="1" x14ac:dyDescent="0.25"/>
    <row r="216721" customFormat="1" x14ac:dyDescent="0.25"/>
    <row r="216722" customFormat="1" x14ac:dyDescent="0.25"/>
    <row r="216723" customFormat="1" x14ac:dyDescent="0.25"/>
    <row r="216724" customFormat="1" x14ac:dyDescent="0.25"/>
    <row r="216725" customFormat="1" x14ac:dyDescent="0.25"/>
    <row r="216726" customFormat="1" x14ac:dyDescent="0.25"/>
    <row r="216727" customFormat="1" x14ac:dyDescent="0.25"/>
    <row r="216728" customFormat="1" x14ac:dyDescent="0.25"/>
    <row r="216729" customFormat="1" x14ac:dyDescent="0.25"/>
    <row r="216730" customFormat="1" x14ac:dyDescent="0.25"/>
    <row r="216731" customFormat="1" x14ac:dyDescent="0.25"/>
    <row r="216732" customFormat="1" x14ac:dyDescent="0.25"/>
    <row r="216733" customFormat="1" x14ac:dyDescent="0.25"/>
    <row r="216734" customFormat="1" x14ac:dyDescent="0.25"/>
    <row r="216735" customFormat="1" x14ac:dyDescent="0.25"/>
    <row r="216736" customFormat="1" x14ac:dyDescent="0.25"/>
    <row r="216737" customFormat="1" x14ac:dyDescent="0.25"/>
    <row r="216738" customFormat="1" x14ac:dyDescent="0.25"/>
    <row r="216739" customFormat="1" x14ac:dyDescent="0.25"/>
    <row r="216740" customFormat="1" x14ac:dyDescent="0.25"/>
    <row r="216741" customFormat="1" x14ac:dyDescent="0.25"/>
    <row r="216742" customFormat="1" x14ac:dyDescent="0.25"/>
    <row r="216743" customFormat="1" x14ac:dyDescent="0.25"/>
    <row r="216744" customFormat="1" x14ac:dyDescent="0.25"/>
    <row r="216745" customFormat="1" x14ac:dyDescent="0.25"/>
    <row r="216746" customFormat="1" x14ac:dyDescent="0.25"/>
    <row r="216747" customFormat="1" x14ac:dyDescent="0.25"/>
    <row r="216748" customFormat="1" x14ac:dyDescent="0.25"/>
    <row r="216749" customFormat="1" x14ac:dyDescent="0.25"/>
    <row r="216750" customFormat="1" x14ac:dyDescent="0.25"/>
    <row r="216751" customFormat="1" x14ac:dyDescent="0.25"/>
    <row r="216752" customFormat="1" x14ac:dyDescent="0.25"/>
    <row r="216753" customFormat="1" x14ac:dyDescent="0.25"/>
    <row r="216754" customFormat="1" x14ac:dyDescent="0.25"/>
    <row r="216755" customFormat="1" x14ac:dyDescent="0.25"/>
    <row r="216756" customFormat="1" x14ac:dyDescent="0.25"/>
    <row r="216757" customFormat="1" x14ac:dyDescent="0.25"/>
    <row r="216758" customFormat="1" x14ac:dyDescent="0.25"/>
    <row r="216759" customFormat="1" x14ac:dyDescent="0.25"/>
    <row r="216760" customFormat="1" x14ac:dyDescent="0.25"/>
    <row r="216761" customFormat="1" x14ac:dyDescent="0.25"/>
    <row r="216762" customFormat="1" x14ac:dyDescent="0.25"/>
    <row r="216763" customFormat="1" x14ac:dyDescent="0.25"/>
    <row r="216764" customFormat="1" x14ac:dyDescent="0.25"/>
    <row r="216765" customFormat="1" x14ac:dyDescent="0.25"/>
    <row r="216766" customFormat="1" x14ac:dyDescent="0.25"/>
    <row r="216767" customFormat="1" x14ac:dyDescent="0.25"/>
    <row r="216768" customFormat="1" x14ac:dyDescent="0.25"/>
    <row r="216769" customFormat="1" x14ac:dyDescent="0.25"/>
    <row r="216770" customFormat="1" x14ac:dyDescent="0.25"/>
    <row r="216771" customFormat="1" x14ac:dyDescent="0.25"/>
    <row r="216772" customFormat="1" x14ac:dyDescent="0.25"/>
    <row r="216773" customFormat="1" x14ac:dyDescent="0.25"/>
    <row r="216774" customFormat="1" x14ac:dyDescent="0.25"/>
    <row r="216775" customFormat="1" x14ac:dyDescent="0.25"/>
    <row r="216776" customFormat="1" x14ac:dyDescent="0.25"/>
    <row r="216777" customFormat="1" x14ac:dyDescent="0.25"/>
    <row r="216778" customFormat="1" x14ac:dyDescent="0.25"/>
    <row r="216779" customFormat="1" x14ac:dyDescent="0.25"/>
    <row r="216780" customFormat="1" x14ac:dyDescent="0.25"/>
    <row r="216781" customFormat="1" x14ac:dyDescent="0.25"/>
    <row r="216782" customFormat="1" x14ac:dyDescent="0.25"/>
    <row r="216783" customFormat="1" x14ac:dyDescent="0.25"/>
    <row r="216784" customFormat="1" x14ac:dyDescent="0.25"/>
    <row r="216785" customFormat="1" x14ac:dyDescent="0.25"/>
    <row r="216786" customFormat="1" x14ac:dyDescent="0.25"/>
    <row r="216787" customFormat="1" x14ac:dyDescent="0.25"/>
    <row r="216788" customFormat="1" x14ac:dyDescent="0.25"/>
    <row r="216789" customFormat="1" x14ac:dyDescent="0.25"/>
    <row r="216790" customFormat="1" x14ac:dyDescent="0.25"/>
    <row r="216791" customFormat="1" x14ac:dyDescent="0.25"/>
    <row r="216792" customFormat="1" x14ac:dyDescent="0.25"/>
    <row r="216793" customFormat="1" x14ac:dyDescent="0.25"/>
    <row r="216794" customFormat="1" x14ac:dyDescent="0.25"/>
    <row r="216795" customFormat="1" x14ac:dyDescent="0.25"/>
    <row r="216796" customFormat="1" x14ac:dyDescent="0.25"/>
    <row r="216797" customFormat="1" x14ac:dyDescent="0.25"/>
    <row r="216798" customFormat="1" x14ac:dyDescent="0.25"/>
    <row r="216799" customFormat="1" x14ac:dyDescent="0.25"/>
    <row r="216800" customFormat="1" x14ac:dyDescent="0.25"/>
    <row r="216801" customFormat="1" x14ac:dyDescent="0.25"/>
    <row r="216802" customFormat="1" x14ac:dyDescent="0.25"/>
    <row r="216803" customFormat="1" x14ac:dyDescent="0.25"/>
    <row r="216804" customFormat="1" x14ac:dyDescent="0.25"/>
    <row r="216805" customFormat="1" x14ac:dyDescent="0.25"/>
    <row r="216806" customFormat="1" x14ac:dyDescent="0.25"/>
    <row r="216807" customFormat="1" x14ac:dyDescent="0.25"/>
    <row r="216808" customFormat="1" x14ac:dyDescent="0.25"/>
    <row r="216809" customFormat="1" x14ac:dyDescent="0.25"/>
    <row r="216810" customFormat="1" x14ac:dyDescent="0.25"/>
    <row r="216811" customFormat="1" x14ac:dyDescent="0.25"/>
    <row r="216812" customFormat="1" x14ac:dyDescent="0.25"/>
    <row r="216813" customFormat="1" x14ac:dyDescent="0.25"/>
    <row r="216814" customFormat="1" x14ac:dyDescent="0.25"/>
    <row r="216815" customFormat="1" x14ac:dyDescent="0.25"/>
    <row r="216816" customFormat="1" x14ac:dyDescent="0.25"/>
    <row r="216817" customFormat="1" x14ac:dyDescent="0.25"/>
    <row r="216818" customFormat="1" x14ac:dyDescent="0.25"/>
    <row r="216819" customFormat="1" x14ac:dyDescent="0.25"/>
    <row r="216820" customFormat="1" x14ac:dyDescent="0.25"/>
    <row r="216821" customFormat="1" x14ac:dyDescent="0.25"/>
    <row r="216822" customFormat="1" x14ac:dyDescent="0.25"/>
    <row r="216823" customFormat="1" x14ac:dyDescent="0.25"/>
    <row r="216824" customFormat="1" x14ac:dyDescent="0.25"/>
    <row r="216825" customFormat="1" x14ac:dyDescent="0.25"/>
    <row r="216826" customFormat="1" x14ac:dyDescent="0.25"/>
    <row r="216827" customFormat="1" x14ac:dyDescent="0.25"/>
    <row r="216828" customFormat="1" x14ac:dyDescent="0.25"/>
    <row r="216829" customFormat="1" x14ac:dyDescent="0.25"/>
    <row r="216830" customFormat="1" x14ac:dyDescent="0.25"/>
    <row r="216831" customFormat="1" x14ac:dyDescent="0.25"/>
    <row r="216832" customFormat="1" x14ac:dyDescent="0.25"/>
    <row r="216833" customFormat="1" x14ac:dyDescent="0.25"/>
    <row r="216834" customFormat="1" x14ac:dyDescent="0.25"/>
    <row r="216835" customFormat="1" x14ac:dyDescent="0.25"/>
    <row r="216836" customFormat="1" x14ac:dyDescent="0.25"/>
    <row r="216837" customFormat="1" x14ac:dyDescent="0.25"/>
    <row r="216838" customFormat="1" x14ac:dyDescent="0.25"/>
    <row r="216839" customFormat="1" x14ac:dyDescent="0.25"/>
    <row r="216840" customFormat="1" x14ac:dyDescent="0.25"/>
    <row r="216841" customFormat="1" x14ac:dyDescent="0.25"/>
    <row r="216842" customFormat="1" x14ac:dyDescent="0.25"/>
    <row r="216843" customFormat="1" x14ac:dyDescent="0.25"/>
    <row r="216844" customFormat="1" x14ac:dyDescent="0.25"/>
    <row r="216845" customFormat="1" x14ac:dyDescent="0.25"/>
    <row r="216846" customFormat="1" x14ac:dyDescent="0.25"/>
    <row r="216847" customFormat="1" x14ac:dyDescent="0.25"/>
    <row r="216848" customFormat="1" x14ac:dyDescent="0.25"/>
    <row r="216849" customFormat="1" x14ac:dyDescent="0.25"/>
    <row r="216850" customFormat="1" x14ac:dyDescent="0.25"/>
    <row r="216851" customFormat="1" x14ac:dyDescent="0.25"/>
    <row r="216852" customFormat="1" x14ac:dyDescent="0.25"/>
    <row r="216853" customFormat="1" x14ac:dyDescent="0.25"/>
    <row r="216854" customFormat="1" x14ac:dyDescent="0.25"/>
    <row r="216855" customFormat="1" x14ac:dyDescent="0.25"/>
    <row r="216856" customFormat="1" x14ac:dyDescent="0.25"/>
    <row r="216857" customFormat="1" x14ac:dyDescent="0.25"/>
    <row r="216858" customFormat="1" x14ac:dyDescent="0.25"/>
    <row r="216859" customFormat="1" x14ac:dyDescent="0.25"/>
    <row r="216860" customFormat="1" x14ac:dyDescent="0.25"/>
    <row r="216861" customFormat="1" x14ac:dyDescent="0.25"/>
    <row r="216862" customFormat="1" x14ac:dyDescent="0.25"/>
    <row r="216863" customFormat="1" x14ac:dyDescent="0.25"/>
    <row r="216864" customFormat="1" x14ac:dyDescent="0.25"/>
    <row r="216865" customFormat="1" x14ac:dyDescent="0.25"/>
    <row r="216866" customFormat="1" x14ac:dyDescent="0.25"/>
    <row r="216867" customFormat="1" x14ac:dyDescent="0.25"/>
    <row r="216868" customFormat="1" x14ac:dyDescent="0.25"/>
    <row r="216869" customFormat="1" x14ac:dyDescent="0.25"/>
    <row r="216870" customFormat="1" x14ac:dyDescent="0.25"/>
    <row r="216871" customFormat="1" x14ac:dyDescent="0.25"/>
    <row r="216872" customFormat="1" x14ac:dyDescent="0.25"/>
    <row r="216873" customFormat="1" x14ac:dyDescent="0.25"/>
    <row r="216874" customFormat="1" x14ac:dyDescent="0.25"/>
    <row r="216875" customFormat="1" x14ac:dyDescent="0.25"/>
    <row r="216876" customFormat="1" x14ac:dyDescent="0.25"/>
    <row r="216877" customFormat="1" x14ac:dyDescent="0.25"/>
    <row r="216878" customFormat="1" x14ac:dyDescent="0.25"/>
    <row r="216879" customFormat="1" x14ac:dyDescent="0.25"/>
    <row r="216880" customFormat="1" x14ac:dyDescent="0.25"/>
    <row r="216881" customFormat="1" x14ac:dyDescent="0.25"/>
    <row r="216882" customFormat="1" x14ac:dyDescent="0.25"/>
    <row r="216883" customFormat="1" x14ac:dyDescent="0.25"/>
    <row r="216884" customFormat="1" x14ac:dyDescent="0.25"/>
    <row r="216885" customFormat="1" x14ac:dyDescent="0.25"/>
    <row r="216886" customFormat="1" x14ac:dyDescent="0.25"/>
    <row r="216887" customFormat="1" x14ac:dyDescent="0.25"/>
    <row r="216888" customFormat="1" x14ac:dyDescent="0.25"/>
    <row r="216889" customFormat="1" x14ac:dyDescent="0.25"/>
    <row r="216890" customFormat="1" x14ac:dyDescent="0.25"/>
    <row r="216891" customFormat="1" x14ac:dyDescent="0.25"/>
    <row r="216892" customFormat="1" x14ac:dyDescent="0.25"/>
    <row r="216893" customFormat="1" x14ac:dyDescent="0.25"/>
    <row r="216894" customFormat="1" x14ac:dyDescent="0.25"/>
    <row r="216895" customFormat="1" x14ac:dyDescent="0.25"/>
    <row r="216896" customFormat="1" x14ac:dyDescent="0.25"/>
    <row r="216897" customFormat="1" x14ac:dyDescent="0.25"/>
    <row r="216898" customFormat="1" x14ac:dyDescent="0.25"/>
    <row r="216899" customFormat="1" x14ac:dyDescent="0.25"/>
    <row r="216900" customFormat="1" x14ac:dyDescent="0.25"/>
    <row r="216901" customFormat="1" x14ac:dyDescent="0.25"/>
    <row r="216902" customFormat="1" x14ac:dyDescent="0.25"/>
    <row r="216903" customFormat="1" x14ac:dyDescent="0.25"/>
    <row r="216904" customFormat="1" x14ac:dyDescent="0.25"/>
    <row r="216905" customFormat="1" x14ac:dyDescent="0.25"/>
    <row r="216906" customFormat="1" x14ac:dyDescent="0.25"/>
    <row r="216907" customFormat="1" x14ac:dyDescent="0.25"/>
    <row r="216908" customFormat="1" x14ac:dyDescent="0.25"/>
    <row r="216909" customFormat="1" x14ac:dyDescent="0.25"/>
    <row r="216910" customFormat="1" x14ac:dyDescent="0.25"/>
    <row r="216911" customFormat="1" x14ac:dyDescent="0.25"/>
    <row r="216912" customFormat="1" x14ac:dyDescent="0.25"/>
    <row r="216913" customFormat="1" x14ac:dyDescent="0.25"/>
    <row r="216914" customFormat="1" x14ac:dyDescent="0.25"/>
    <row r="216915" customFormat="1" x14ac:dyDescent="0.25"/>
    <row r="216916" customFormat="1" x14ac:dyDescent="0.25"/>
    <row r="216917" customFormat="1" x14ac:dyDescent="0.25"/>
    <row r="216918" customFormat="1" x14ac:dyDescent="0.25"/>
    <row r="216919" customFormat="1" x14ac:dyDescent="0.25"/>
    <row r="216920" customFormat="1" x14ac:dyDescent="0.25"/>
    <row r="216921" customFormat="1" x14ac:dyDescent="0.25"/>
    <row r="216922" customFormat="1" x14ac:dyDescent="0.25"/>
    <row r="216923" customFormat="1" x14ac:dyDescent="0.25"/>
    <row r="216924" customFormat="1" x14ac:dyDescent="0.25"/>
    <row r="216925" customFormat="1" x14ac:dyDescent="0.25"/>
    <row r="216926" customFormat="1" x14ac:dyDescent="0.25"/>
    <row r="216927" customFormat="1" x14ac:dyDescent="0.25"/>
    <row r="216928" customFormat="1" x14ac:dyDescent="0.25"/>
    <row r="216929" customFormat="1" x14ac:dyDescent="0.25"/>
    <row r="216930" customFormat="1" x14ac:dyDescent="0.25"/>
    <row r="216931" customFormat="1" x14ac:dyDescent="0.25"/>
    <row r="216932" customFormat="1" x14ac:dyDescent="0.25"/>
    <row r="216933" customFormat="1" x14ac:dyDescent="0.25"/>
    <row r="216934" customFormat="1" x14ac:dyDescent="0.25"/>
    <row r="216935" customFormat="1" x14ac:dyDescent="0.25"/>
    <row r="216936" customFormat="1" x14ac:dyDescent="0.25"/>
    <row r="216937" customFormat="1" x14ac:dyDescent="0.25"/>
    <row r="216938" customFormat="1" x14ac:dyDescent="0.25"/>
    <row r="216939" customFormat="1" x14ac:dyDescent="0.25"/>
    <row r="216940" customFormat="1" x14ac:dyDescent="0.25"/>
    <row r="216941" customFormat="1" x14ac:dyDescent="0.25"/>
    <row r="216942" customFormat="1" x14ac:dyDescent="0.25"/>
    <row r="216943" customFormat="1" x14ac:dyDescent="0.25"/>
    <row r="216944" customFormat="1" x14ac:dyDescent="0.25"/>
    <row r="216945" customFormat="1" x14ac:dyDescent="0.25"/>
    <row r="216946" customFormat="1" x14ac:dyDescent="0.25"/>
    <row r="216947" customFormat="1" x14ac:dyDescent="0.25"/>
    <row r="216948" customFormat="1" x14ac:dyDescent="0.25"/>
    <row r="216949" customFormat="1" x14ac:dyDescent="0.25"/>
    <row r="216950" customFormat="1" x14ac:dyDescent="0.25"/>
    <row r="216951" customFormat="1" x14ac:dyDescent="0.25"/>
    <row r="216952" customFormat="1" x14ac:dyDescent="0.25"/>
    <row r="216953" customFormat="1" x14ac:dyDescent="0.25"/>
    <row r="216954" customFormat="1" x14ac:dyDescent="0.25"/>
    <row r="216955" customFormat="1" x14ac:dyDescent="0.25"/>
    <row r="216956" customFormat="1" x14ac:dyDescent="0.25"/>
    <row r="216957" customFormat="1" x14ac:dyDescent="0.25"/>
    <row r="216958" customFormat="1" x14ac:dyDescent="0.25"/>
    <row r="216959" customFormat="1" x14ac:dyDescent="0.25"/>
    <row r="216960" customFormat="1" x14ac:dyDescent="0.25"/>
    <row r="216961" customFormat="1" x14ac:dyDescent="0.25"/>
    <row r="216962" customFormat="1" x14ac:dyDescent="0.25"/>
    <row r="216963" customFormat="1" x14ac:dyDescent="0.25"/>
    <row r="216964" customFormat="1" x14ac:dyDescent="0.25"/>
    <row r="216965" customFormat="1" x14ac:dyDescent="0.25"/>
    <row r="216966" customFormat="1" x14ac:dyDescent="0.25"/>
    <row r="216967" customFormat="1" x14ac:dyDescent="0.25"/>
    <row r="216968" customFormat="1" x14ac:dyDescent="0.25"/>
    <row r="216969" customFormat="1" x14ac:dyDescent="0.25"/>
    <row r="216970" customFormat="1" x14ac:dyDescent="0.25"/>
    <row r="216971" customFormat="1" x14ac:dyDescent="0.25"/>
    <row r="216972" customFormat="1" x14ac:dyDescent="0.25"/>
    <row r="216973" customFormat="1" x14ac:dyDescent="0.25"/>
    <row r="216974" customFormat="1" x14ac:dyDescent="0.25"/>
    <row r="216975" customFormat="1" x14ac:dyDescent="0.25"/>
    <row r="216976" customFormat="1" x14ac:dyDescent="0.25"/>
    <row r="216977" customFormat="1" x14ac:dyDescent="0.25"/>
    <row r="216978" customFormat="1" x14ac:dyDescent="0.25"/>
    <row r="216979" customFormat="1" x14ac:dyDescent="0.25"/>
    <row r="216980" customFormat="1" x14ac:dyDescent="0.25"/>
    <row r="216981" customFormat="1" x14ac:dyDescent="0.25"/>
    <row r="216982" customFormat="1" x14ac:dyDescent="0.25"/>
    <row r="216983" customFormat="1" x14ac:dyDescent="0.25"/>
    <row r="216984" customFormat="1" x14ac:dyDescent="0.25"/>
    <row r="216985" customFormat="1" x14ac:dyDescent="0.25"/>
    <row r="216986" customFormat="1" x14ac:dyDescent="0.25"/>
    <row r="216987" customFormat="1" x14ac:dyDescent="0.25"/>
    <row r="216988" customFormat="1" x14ac:dyDescent="0.25"/>
    <row r="216989" customFormat="1" x14ac:dyDescent="0.25"/>
    <row r="216990" customFormat="1" x14ac:dyDescent="0.25"/>
    <row r="216991" customFormat="1" x14ac:dyDescent="0.25"/>
    <row r="216992" customFormat="1" x14ac:dyDescent="0.25"/>
    <row r="216993" customFormat="1" x14ac:dyDescent="0.25"/>
    <row r="216994" customFormat="1" x14ac:dyDescent="0.25"/>
    <row r="216995" customFormat="1" x14ac:dyDescent="0.25"/>
    <row r="216996" customFormat="1" x14ac:dyDescent="0.25"/>
    <row r="216997" customFormat="1" x14ac:dyDescent="0.25"/>
    <row r="216998" customFormat="1" x14ac:dyDescent="0.25"/>
    <row r="216999" customFormat="1" x14ac:dyDescent="0.25"/>
    <row r="217000" customFormat="1" x14ac:dyDescent="0.25"/>
    <row r="217001" customFormat="1" x14ac:dyDescent="0.25"/>
    <row r="217002" customFormat="1" x14ac:dyDescent="0.25"/>
    <row r="217003" customFormat="1" x14ac:dyDescent="0.25"/>
    <row r="217004" customFormat="1" x14ac:dyDescent="0.25"/>
    <row r="217005" customFormat="1" x14ac:dyDescent="0.25"/>
    <row r="217006" customFormat="1" x14ac:dyDescent="0.25"/>
    <row r="217007" customFormat="1" x14ac:dyDescent="0.25"/>
    <row r="217008" customFormat="1" x14ac:dyDescent="0.25"/>
    <row r="217009" customFormat="1" x14ac:dyDescent="0.25"/>
    <row r="217010" customFormat="1" x14ac:dyDescent="0.25"/>
    <row r="217011" customFormat="1" x14ac:dyDescent="0.25"/>
    <row r="217012" customFormat="1" x14ac:dyDescent="0.25"/>
    <row r="217013" customFormat="1" x14ac:dyDescent="0.25"/>
    <row r="217014" customFormat="1" x14ac:dyDescent="0.25"/>
    <row r="217015" customFormat="1" x14ac:dyDescent="0.25"/>
    <row r="217016" customFormat="1" x14ac:dyDescent="0.25"/>
    <row r="217017" customFormat="1" x14ac:dyDescent="0.25"/>
    <row r="217018" customFormat="1" x14ac:dyDescent="0.25"/>
    <row r="217019" customFormat="1" x14ac:dyDescent="0.25"/>
    <row r="217020" customFormat="1" x14ac:dyDescent="0.25"/>
    <row r="217021" customFormat="1" x14ac:dyDescent="0.25"/>
    <row r="217022" customFormat="1" x14ac:dyDescent="0.25"/>
    <row r="217023" customFormat="1" x14ac:dyDescent="0.25"/>
    <row r="217024" customFormat="1" x14ac:dyDescent="0.25"/>
    <row r="217025" customFormat="1" x14ac:dyDescent="0.25"/>
    <row r="217026" customFormat="1" x14ac:dyDescent="0.25"/>
    <row r="217027" customFormat="1" x14ac:dyDescent="0.25"/>
    <row r="217028" customFormat="1" x14ac:dyDescent="0.25"/>
    <row r="217029" customFormat="1" x14ac:dyDescent="0.25"/>
    <row r="217030" customFormat="1" x14ac:dyDescent="0.25"/>
    <row r="217031" customFormat="1" x14ac:dyDescent="0.25"/>
    <row r="217032" customFormat="1" x14ac:dyDescent="0.25"/>
    <row r="217033" customFormat="1" x14ac:dyDescent="0.25"/>
    <row r="217034" customFormat="1" x14ac:dyDescent="0.25"/>
    <row r="217035" customFormat="1" x14ac:dyDescent="0.25"/>
    <row r="217036" customFormat="1" x14ac:dyDescent="0.25"/>
    <row r="217037" customFormat="1" x14ac:dyDescent="0.25"/>
    <row r="217038" customFormat="1" x14ac:dyDescent="0.25"/>
    <row r="217039" customFormat="1" x14ac:dyDescent="0.25"/>
    <row r="217040" customFormat="1" x14ac:dyDescent="0.25"/>
    <row r="217041" customFormat="1" x14ac:dyDescent="0.25"/>
    <row r="217042" customFormat="1" x14ac:dyDescent="0.25"/>
    <row r="217043" customFormat="1" x14ac:dyDescent="0.25"/>
    <row r="217044" customFormat="1" x14ac:dyDescent="0.25"/>
    <row r="217045" customFormat="1" x14ac:dyDescent="0.25"/>
    <row r="217046" customFormat="1" x14ac:dyDescent="0.25"/>
    <row r="217047" customFormat="1" x14ac:dyDescent="0.25"/>
    <row r="217048" customFormat="1" x14ac:dyDescent="0.25"/>
    <row r="217049" customFormat="1" x14ac:dyDescent="0.25"/>
    <row r="217050" customFormat="1" x14ac:dyDescent="0.25"/>
    <row r="217051" customFormat="1" x14ac:dyDescent="0.25"/>
    <row r="217052" customFormat="1" x14ac:dyDescent="0.25"/>
    <row r="217053" customFormat="1" x14ac:dyDescent="0.25"/>
    <row r="217054" customFormat="1" x14ac:dyDescent="0.25"/>
    <row r="217055" customFormat="1" x14ac:dyDescent="0.25"/>
    <row r="217056" customFormat="1" x14ac:dyDescent="0.25"/>
    <row r="217057" customFormat="1" x14ac:dyDescent="0.25"/>
    <row r="217058" customFormat="1" x14ac:dyDescent="0.25"/>
    <row r="217059" customFormat="1" x14ac:dyDescent="0.25"/>
    <row r="217060" customFormat="1" x14ac:dyDescent="0.25"/>
    <row r="217061" customFormat="1" x14ac:dyDescent="0.25"/>
    <row r="217062" customFormat="1" x14ac:dyDescent="0.25"/>
    <row r="217063" customFormat="1" x14ac:dyDescent="0.25"/>
    <row r="217064" customFormat="1" x14ac:dyDescent="0.25"/>
    <row r="217065" customFormat="1" x14ac:dyDescent="0.25"/>
    <row r="217066" customFormat="1" x14ac:dyDescent="0.25"/>
    <row r="217067" customFormat="1" x14ac:dyDescent="0.25"/>
    <row r="217068" customFormat="1" x14ac:dyDescent="0.25"/>
    <row r="217069" customFormat="1" x14ac:dyDescent="0.25"/>
    <row r="217070" customFormat="1" x14ac:dyDescent="0.25"/>
    <row r="217071" customFormat="1" x14ac:dyDescent="0.25"/>
    <row r="217072" customFormat="1" x14ac:dyDescent="0.25"/>
    <row r="217073" customFormat="1" x14ac:dyDescent="0.25"/>
    <row r="217074" customFormat="1" x14ac:dyDescent="0.25"/>
    <row r="217075" customFormat="1" x14ac:dyDescent="0.25"/>
    <row r="217076" customFormat="1" x14ac:dyDescent="0.25"/>
    <row r="217077" customFormat="1" x14ac:dyDescent="0.25"/>
    <row r="217078" customFormat="1" x14ac:dyDescent="0.25"/>
    <row r="217079" customFormat="1" x14ac:dyDescent="0.25"/>
    <row r="217080" customFormat="1" x14ac:dyDescent="0.25"/>
    <row r="217081" customFormat="1" x14ac:dyDescent="0.25"/>
    <row r="217082" customFormat="1" x14ac:dyDescent="0.25"/>
    <row r="217083" customFormat="1" x14ac:dyDescent="0.25"/>
    <row r="217084" customFormat="1" x14ac:dyDescent="0.25"/>
    <row r="217085" customFormat="1" x14ac:dyDescent="0.25"/>
    <row r="217086" customFormat="1" x14ac:dyDescent="0.25"/>
    <row r="217087" customFormat="1" x14ac:dyDescent="0.25"/>
    <row r="217088" customFormat="1" x14ac:dyDescent="0.25"/>
    <row r="217089" customFormat="1" x14ac:dyDescent="0.25"/>
    <row r="217090" customFormat="1" x14ac:dyDescent="0.25"/>
    <row r="217091" customFormat="1" x14ac:dyDescent="0.25"/>
    <row r="217092" customFormat="1" x14ac:dyDescent="0.25"/>
    <row r="217093" customFormat="1" x14ac:dyDescent="0.25"/>
    <row r="217094" customFormat="1" x14ac:dyDescent="0.25"/>
    <row r="217095" customFormat="1" x14ac:dyDescent="0.25"/>
    <row r="217096" customFormat="1" x14ac:dyDescent="0.25"/>
    <row r="217097" customFormat="1" x14ac:dyDescent="0.25"/>
    <row r="217098" customFormat="1" x14ac:dyDescent="0.25"/>
    <row r="217099" customFormat="1" x14ac:dyDescent="0.25"/>
    <row r="217100" customFormat="1" x14ac:dyDescent="0.25"/>
    <row r="217101" customFormat="1" x14ac:dyDescent="0.25"/>
    <row r="217102" customFormat="1" x14ac:dyDescent="0.25"/>
    <row r="217103" customFormat="1" x14ac:dyDescent="0.25"/>
    <row r="217104" customFormat="1" x14ac:dyDescent="0.25"/>
    <row r="217105" customFormat="1" x14ac:dyDescent="0.25"/>
    <row r="217106" customFormat="1" x14ac:dyDescent="0.25"/>
    <row r="217107" customFormat="1" x14ac:dyDescent="0.25"/>
    <row r="217108" customFormat="1" x14ac:dyDescent="0.25"/>
    <row r="217109" customFormat="1" x14ac:dyDescent="0.25"/>
    <row r="217110" customFormat="1" x14ac:dyDescent="0.25"/>
    <row r="217111" customFormat="1" x14ac:dyDescent="0.25"/>
    <row r="217112" customFormat="1" x14ac:dyDescent="0.25"/>
    <row r="217113" customFormat="1" x14ac:dyDescent="0.25"/>
    <row r="217114" customFormat="1" x14ac:dyDescent="0.25"/>
    <row r="217115" customFormat="1" x14ac:dyDescent="0.25"/>
    <row r="217116" customFormat="1" x14ac:dyDescent="0.25"/>
    <row r="217117" customFormat="1" x14ac:dyDescent="0.25"/>
    <row r="217118" customFormat="1" x14ac:dyDescent="0.25"/>
    <row r="217119" customFormat="1" x14ac:dyDescent="0.25"/>
    <row r="217120" customFormat="1" x14ac:dyDescent="0.25"/>
    <row r="217121" customFormat="1" x14ac:dyDescent="0.25"/>
    <row r="217122" customFormat="1" x14ac:dyDescent="0.25"/>
    <row r="217123" customFormat="1" x14ac:dyDescent="0.25"/>
    <row r="217124" customFormat="1" x14ac:dyDescent="0.25"/>
    <row r="217125" customFormat="1" x14ac:dyDescent="0.25"/>
    <row r="217126" customFormat="1" x14ac:dyDescent="0.25"/>
    <row r="217127" customFormat="1" x14ac:dyDescent="0.25"/>
    <row r="217128" customFormat="1" x14ac:dyDescent="0.25"/>
    <row r="217129" customFormat="1" x14ac:dyDescent="0.25"/>
    <row r="217130" customFormat="1" x14ac:dyDescent="0.25"/>
    <row r="217131" customFormat="1" x14ac:dyDescent="0.25"/>
    <row r="217132" customFormat="1" x14ac:dyDescent="0.25"/>
    <row r="217133" customFormat="1" x14ac:dyDescent="0.25"/>
    <row r="217134" customFormat="1" x14ac:dyDescent="0.25"/>
    <row r="217135" customFormat="1" x14ac:dyDescent="0.25"/>
    <row r="217136" customFormat="1" x14ac:dyDescent="0.25"/>
    <row r="217137" customFormat="1" x14ac:dyDescent="0.25"/>
    <row r="217138" customFormat="1" x14ac:dyDescent="0.25"/>
    <row r="217139" customFormat="1" x14ac:dyDescent="0.25"/>
    <row r="217140" customFormat="1" x14ac:dyDescent="0.25"/>
    <row r="217141" customFormat="1" x14ac:dyDescent="0.25"/>
    <row r="217142" customFormat="1" x14ac:dyDescent="0.25"/>
    <row r="217143" customFormat="1" x14ac:dyDescent="0.25"/>
    <row r="217144" customFormat="1" x14ac:dyDescent="0.25"/>
    <row r="217145" customFormat="1" x14ac:dyDescent="0.25"/>
    <row r="217146" customFormat="1" x14ac:dyDescent="0.25"/>
    <row r="217147" customFormat="1" x14ac:dyDescent="0.25"/>
    <row r="217148" customFormat="1" x14ac:dyDescent="0.25"/>
    <row r="217149" customFormat="1" x14ac:dyDescent="0.25"/>
    <row r="217150" customFormat="1" x14ac:dyDescent="0.25"/>
    <row r="217151" customFormat="1" x14ac:dyDescent="0.25"/>
    <row r="217152" customFormat="1" x14ac:dyDescent="0.25"/>
    <row r="217153" customFormat="1" x14ac:dyDescent="0.25"/>
    <row r="217154" customFormat="1" x14ac:dyDescent="0.25"/>
    <row r="217155" customFormat="1" x14ac:dyDescent="0.25"/>
    <row r="217156" customFormat="1" x14ac:dyDescent="0.25"/>
    <row r="217157" customFormat="1" x14ac:dyDescent="0.25"/>
    <row r="217158" customFormat="1" x14ac:dyDescent="0.25"/>
    <row r="217159" customFormat="1" x14ac:dyDescent="0.25"/>
    <row r="217160" customFormat="1" x14ac:dyDescent="0.25"/>
    <row r="217161" customFormat="1" x14ac:dyDescent="0.25"/>
    <row r="217162" customFormat="1" x14ac:dyDescent="0.25"/>
    <row r="217163" customFormat="1" x14ac:dyDescent="0.25"/>
    <row r="217164" customFormat="1" x14ac:dyDescent="0.25"/>
    <row r="217165" customFormat="1" x14ac:dyDescent="0.25"/>
    <row r="217166" customFormat="1" x14ac:dyDescent="0.25"/>
    <row r="217167" customFormat="1" x14ac:dyDescent="0.25"/>
    <row r="217168" customFormat="1" x14ac:dyDescent="0.25"/>
    <row r="217169" customFormat="1" x14ac:dyDescent="0.25"/>
    <row r="217170" customFormat="1" x14ac:dyDescent="0.25"/>
    <row r="217171" customFormat="1" x14ac:dyDescent="0.25"/>
    <row r="217172" customFormat="1" x14ac:dyDescent="0.25"/>
    <row r="217173" customFormat="1" x14ac:dyDescent="0.25"/>
    <row r="217174" customFormat="1" x14ac:dyDescent="0.25"/>
    <row r="217175" customFormat="1" x14ac:dyDescent="0.25"/>
    <row r="217176" customFormat="1" x14ac:dyDescent="0.25"/>
    <row r="217177" customFormat="1" x14ac:dyDescent="0.25"/>
    <row r="217178" customFormat="1" x14ac:dyDescent="0.25"/>
    <row r="217179" customFormat="1" x14ac:dyDescent="0.25"/>
    <row r="217180" customFormat="1" x14ac:dyDescent="0.25"/>
    <row r="217181" customFormat="1" x14ac:dyDescent="0.25"/>
    <row r="217182" customFormat="1" x14ac:dyDescent="0.25"/>
    <row r="217183" customFormat="1" x14ac:dyDescent="0.25"/>
    <row r="217184" customFormat="1" x14ac:dyDescent="0.25"/>
    <row r="217185" customFormat="1" x14ac:dyDescent="0.25"/>
    <row r="217186" customFormat="1" x14ac:dyDescent="0.25"/>
    <row r="217187" customFormat="1" x14ac:dyDescent="0.25"/>
    <row r="217188" customFormat="1" x14ac:dyDescent="0.25"/>
    <row r="217189" customFormat="1" x14ac:dyDescent="0.25"/>
    <row r="217190" customFormat="1" x14ac:dyDescent="0.25"/>
    <row r="217191" customFormat="1" x14ac:dyDescent="0.25"/>
    <row r="217192" customFormat="1" x14ac:dyDescent="0.25"/>
    <row r="217193" customFormat="1" x14ac:dyDescent="0.25"/>
    <row r="217194" customFormat="1" x14ac:dyDescent="0.25"/>
    <row r="217195" customFormat="1" x14ac:dyDescent="0.25"/>
    <row r="217196" customFormat="1" x14ac:dyDescent="0.25"/>
    <row r="217197" customFormat="1" x14ac:dyDescent="0.25"/>
    <row r="217198" customFormat="1" x14ac:dyDescent="0.25"/>
    <row r="217199" customFormat="1" x14ac:dyDescent="0.25"/>
    <row r="217200" customFormat="1" x14ac:dyDescent="0.25"/>
    <row r="217201" customFormat="1" x14ac:dyDescent="0.25"/>
    <row r="217202" customFormat="1" x14ac:dyDescent="0.25"/>
    <row r="217203" customFormat="1" x14ac:dyDescent="0.25"/>
    <row r="217204" customFormat="1" x14ac:dyDescent="0.25"/>
    <row r="217205" customFormat="1" x14ac:dyDescent="0.25"/>
    <row r="217206" customFormat="1" x14ac:dyDescent="0.25"/>
    <row r="217207" customFormat="1" x14ac:dyDescent="0.25"/>
    <row r="217208" customFormat="1" x14ac:dyDescent="0.25"/>
    <row r="217209" customFormat="1" x14ac:dyDescent="0.25"/>
    <row r="217210" customFormat="1" x14ac:dyDescent="0.25"/>
    <row r="217211" customFormat="1" x14ac:dyDescent="0.25"/>
    <row r="217212" customFormat="1" x14ac:dyDescent="0.25"/>
    <row r="217213" customFormat="1" x14ac:dyDescent="0.25"/>
    <row r="217214" customFormat="1" x14ac:dyDescent="0.25"/>
    <row r="217215" customFormat="1" x14ac:dyDescent="0.25"/>
    <row r="217216" customFormat="1" x14ac:dyDescent="0.25"/>
    <row r="217217" customFormat="1" x14ac:dyDescent="0.25"/>
    <row r="217218" customFormat="1" x14ac:dyDescent="0.25"/>
    <row r="217219" customFormat="1" x14ac:dyDescent="0.25"/>
    <row r="217220" customFormat="1" x14ac:dyDescent="0.25"/>
    <row r="217221" customFormat="1" x14ac:dyDescent="0.25"/>
    <row r="217222" customFormat="1" x14ac:dyDescent="0.25"/>
    <row r="217223" customFormat="1" x14ac:dyDescent="0.25"/>
    <row r="217224" customFormat="1" x14ac:dyDescent="0.25"/>
    <row r="217225" customFormat="1" x14ac:dyDescent="0.25"/>
    <row r="217226" customFormat="1" x14ac:dyDescent="0.25"/>
    <row r="217227" customFormat="1" x14ac:dyDescent="0.25"/>
    <row r="217228" customFormat="1" x14ac:dyDescent="0.25"/>
    <row r="217229" customFormat="1" x14ac:dyDescent="0.25"/>
    <row r="217230" customFormat="1" x14ac:dyDescent="0.25"/>
    <row r="217231" customFormat="1" x14ac:dyDescent="0.25"/>
    <row r="217232" customFormat="1" x14ac:dyDescent="0.25"/>
    <row r="217233" customFormat="1" x14ac:dyDescent="0.25"/>
    <row r="217234" customFormat="1" x14ac:dyDescent="0.25"/>
    <row r="217235" customFormat="1" x14ac:dyDescent="0.25"/>
    <row r="217236" customFormat="1" x14ac:dyDescent="0.25"/>
    <row r="217237" customFormat="1" x14ac:dyDescent="0.25"/>
    <row r="217238" customFormat="1" x14ac:dyDescent="0.25"/>
    <row r="217239" customFormat="1" x14ac:dyDescent="0.25"/>
    <row r="217240" customFormat="1" x14ac:dyDescent="0.25"/>
    <row r="217241" customFormat="1" x14ac:dyDescent="0.25"/>
    <row r="217242" customFormat="1" x14ac:dyDescent="0.25"/>
    <row r="217243" customFormat="1" x14ac:dyDescent="0.25"/>
    <row r="217244" customFormat="1" x14ac:dyDescent="0.25"/>
    <row r="217245" customFormat="1" x14ac:dyDescent="0.25"/>
    <row r="217246" customFormat="1" x14ac:dyDescent="0.25"/>
    <row r="217247" customFormat="1" x14ac:dyDescent="0.25"/>
    <row r="217248" customFormat="1" x14ac:dyDescent="0.25"/>
    <row r="217249" customFormat="1" x14ac:dyDescent="0.25"/>
    <row r="217250" customFormat="1" x14ac:dyDescent="0.25"/>
    <row r="217251" customFormat="1" x14ac:dyDescent="0.25"/>
    <row r="217252" customFormat="1" x14ac:dyDescent="0.25"/>
    <row r="217253" customFormat="1" x14ac:dyDescent="0.25"/>
    <row r="217254" customFormat="1" x14ac:dyDescent="0.25"/>
    <row r="217255" customFormat="1" x14ac:dyDescent="0.25"/>
    <row r="217256" customFormat="1" x14ac:dyDescent="0.25"/>
    <row r="217257" customFormat="1" x14ac:dyDescent="0.25"/>
    <row r="217258" customFormat="1" x14ac:dyDescent="0.25"/>
    <row r="217259" customFormat="1" x14ac:dyDescent="0.25"/>
    <row r="217260" customFormat="1" x14ac:dyDescent="0.25"/>
    <row r="217261" customFormat="1" x14ac:dyDescent="0.25"/>
    <row r="217262" customFormat="1" x14ac:dyDescent="0.25"/>
    <row r="217263" customFormat="1" x14ac:dyDescent="0.25"/>
    <row r="217264" customFormat="1" x14ac:dyDescent="0.25"/>
    <row r="217265" customFormat="1" x14ac:dyDescent="0.25"/>
    <row r="217266" customFormat="1" x14ac:dyDescent="0.25"/>
    <row r="217267" customFormat="1" x14ac:dyDescent="0.25"/>
    <row r="217268" customFormat="1" x14ac:dyDescent="0.25"/>
    <row r="217269" customFormat="1" x14ac:dyDescent="0.25"/>
    <row r="217270" customFormat="1" x14ac:dyDescent="0.25"/>
    <row r="217271" customFormat="1" x14ac:dyDescent="0.25"/>
    <row r="217272" customFormat="1" x14ac:dyDescent="0.25"/>
    <row r="217273" customFormat="1" x14ac:dyDescent="0.25"/>
    <row r="217274" customFormat="1" x14ac:dyDescent="0.25"/>
    <row r="217275" customFormat="1" x14ac:dyDescent="0.25"/>
    <row r="217276" customFormat="1" x14ac:dyDescent="0.25"/>
    <row r="217277" customFormat="1" x14ac:dyDescent="0.25"/>
    <row r="217278" customFormat="1" x14ac:dyDescent="0.25"/>
    <row r="217279" customFormat="1" x14ac:dyDescent="0.25"/>
    <row r="217280" customFormat="1" x14ac:dyDescent="0.25"/>
    <row r="217281" customFormat="1" x14ac:dyDescent="0.25"/>
    <row r="217282" customFormat="1" x14ac:dyDescent="0.25"/>
    <row r="217283" customFormat="1" x14ac:dyDescent="0.25"/>
    <row r="217284" customFormat="1" x14ac:dyDescent="0.25"/>
    <row r="217285" customFormat="1" x14ac:dyDescent="0.25"/>
    <row r="217286" customFormat="1" x14ac:dyDescent="0.25"/>
    <row r="217287" customFormat="1" x14ac:dyDescent="0.25"/>
    <row r="217288" customFormat="1" x14ac:dyDescent="0.25"/>
    <row r="217289" customFormat="1" x14ac:dyDescent="0.25"/>
    <row r="217290" customFormat="1" x14ac:dyDescent="0.25"/>
    <row r="217291" customFormat="1" x14ac:dyDescent="0.25"/>
    <row r="217292" customFormat="1" x14ac:dyDescent="0.25"/>
    <row r="217293" customFormat="1" x14ac:dyDescent="0.25"/>
    <row r="217294" customFormat="1" x14ac:dyDescent="0.25"/>
    <row r="217295" customFormat="1" x14ac:dyDescent="0.25"/>
    <row r="217296" customFormat="1" x14ac:dyDescent="0.25"/>
    <row r="217297" customFormat="1" x14ac:dyDescent="0.25"/>
    <row r="217298" customFormat="1" x14ac:dyDescent="0.25"/>
    <row r="217299" customFormat="1" x14ac:dyDescent="0.25"/>
    <row r="217300" customFormat="1" x14ac:dyDescent="0.25"/>
    <row r="217301" customFormat="1" x14ac:dyDescent="0.25"/>
    <row r="217302" customFormat="1" x14ac:dyDescent="0.25"/>
    <row r="217303" customFormat="1" x14ac:dyDescent="0.25"/>
    <row r="217304" customFormat="1" x14ac:dyDescent="0.25"/>
    <row r="217305" customFormat="1" x14ac:dyDescent="0.25"/>
    <row r="217306" customFormat="1" x14ac:dyDescent="0.25"/>
    <row r="217307" customFormat="1" x14ac:dyDescent="0.25"/>
    <row r="217308" customFormat="1" x14ac:dyDescent="0.25"/>
    <row r="217309" customFormat="1" x14ac:dyDescent="0.25"/>
    <row r="217310" customFormat="1" x14ac:dyDescent="0.25"/>
    <row r="217311" customFormat="1" x14ac:dyDescent="0.25"/>
    <row r="217312" customFormat="1" x14ac:dyDescent="0.25"/>
    <row r="217313" customFormat="1" x14ac:dyDescent="0.25"/>
    <row r="217314" customFormat="1" x14ac:dyDescent="0.25"/>
    <row r="217315" customFormat="1" x14ac:dyDescent="0.25"/>
    <row r="217316" customFormat="1" x14ac:dyDescent="0.25"/>
    <row r="217317" customFormat="1" x14ac:dyDescent="0.25"/>
    <row r="217318" customFormat="1" x14ac:dyDescent="0.25"/>
    <row r="217319" customFormat="1" x14ac:dyDescent="0.25"/>
    <row r="217320" customFormat="1" x14ac:dyDescent="0.25"/>
    <row r="217321" customFormat="1" x14ac:dyDescent="0.25"/>
    <row r="217322" customFormat="1" x14ac:dyDescent="0.25"/>
    <row r="217323" customFormat="1" x14ac:dyDescent="0.25"/>
    <row r="217324" customFormat="1" x14ac:dyDescent="0.25"/>
    <row r="217325" customFormat="1" x14ac:dyDescent="0.25"/>
    <row r="217326" customFormat="1" x14ac:dyDescent="0.25"/>
    <row r="217327" customFormat="1" x14ac:dyDescent="0.25"/>
    <row r="217328" customFormat="1" x14ac:dyDescent="0.25"/>
    <row r="217329" customFormat="1" x14ac:dyDescent="0.25"/>
    <row r="217330" customFormat="1" x14ac:dyDescent="0.25"/>
    <row r="217331" customFormat="1" x14ac:dyDescent="0.25"/>
    <row r="217332" customFormat="1" x14ac:dyDescent="0.25"/>
    <row r="217333" customFormat="1" x14ac:dyDescent="0.25"/>
    <row r="217334" customFormat="1" x14ac:dyDescent="0.25"/>
    <row r="217335" customFormat="1" x14ac:dyDescent="0.25"/>
    <row r="217336" customFormat="1" x14ac:dyDescent="0.25"/>
    <row r="217337" customFormat="1" x14ac:dyDescent="0.25"/>
    <row r="217338" customFormat="1" x14ac:dyDescent="0.25"/>
    <row r="217339" customFormat="1" x14ac:dyDescent="0.25"/>
    <row r="217340" customFormat="1" x14ac:dyDescent="0.25"/>
    <row r="217341" customFormat="1" x14ac:dyDescent="0.25"/>
    <row r="217342" customFormat="1" x14ac:dyDescent="0.25"/>
    <row r="217343" customFormat="1" x14ac:dyDescent="0.25"/>
    <row r="217344" customFormat="1" x14ac:dyDescent="0.25"/>
    <row r="217345" customFormat="1" x14ac:dyDescent="0.25"/>
    <row r="217346" customFormat="1" x14ac:dyDescent="0.25"/>
    <row r="217347" customFormat="1" x14ac:dyDescent="0.25"/>
    <row r="217348" customFormat="1" x14ac:dyDescent="0.25"/>
    <row r="217349" customFormat="1" x14ac:dyDescent="0.25"/>
    <row r="217350" customFormat="1" x14ac:dyDescent="0.25"/>
    <row r="217351" customFormat="1" x14ac:dyDescent="0.25"/>
    <row r="217352" customFormat="1" x14ac:dyDescent="0.25"/>
    <row r="217353" customFormat="1" x14ac:dyDescent="0.25"/>
    <row r="217354" customFormat="1" x14ac:dyDescent="0.25"/>
    <row r="217355" customFormat="1" x14ac:dyDescent="0.25"/>
    <row r="217356" customFormat="1" x14ac:dyDescent="0.25"/>
    <row r="217357" customFormat="1" x14ac:dyDescent="0.25"/>
    <row r="217358" customFormat="1" x14ac:dyDescent="0.25"/>
    <row r="217359" customFormat="1" x14ac:dyDescent="0.25"/>
    <row r="217360" customFormat="1" x14ac:dyDescent="0.25"/>
    <row r="217361" customFormat="1" x14ac:dyDescent="0.25"/>
    <row r="217362" customFormat="1" x14ac:dyDescent="0.25"/>
    <row r="217363" customFormat="1" x14ac:dyDescent="0.25"/>
    <row r="217364" customFormat="1" x14ac:dyDescent="0.25"/>
    <row r="217365" customFormat="1" x14ac:dyDescent="0.25"/>
    <row r="217366" customFormat="1" x14ac:dyDescent="0.25"/>
    <row r="217367" customFormat="1" x14ac:dyDescent="0.25"/>
    <row r="217368" customFormat="1" x14ac:dyDescent="0.25"/>
    <row r="217369" customFormat="1" x14ac:dyDescent="0.25"/>
    <row r="217370" customFormat="1" x14ac:dyDescent="0.25"/>
    <row r="217371" customFormat="1" x14ac:dyDescent="0.25"/>
    <row r="217372" customFormat="1" x14ac:dyDescent="0.25"/>
    <row r="217373" customFormat="1" x14ac:dyDescent="0.25"/>
    <row r="217374" customFormat="1" x14ac:dyDescent="0.25"/>
    <row r="217375" customFormat="1" x14ac:dyDescent="0.25"/>
    <row r="217376" customFormat="1" x14ac:dyDescent="0.25"/>
    <row r="217377" customFormat="1" x14ac:dyDescent="0.25"/>
    <row r="217378" customFormat="1" x14ac:dyDescent="0.25"/>
    <row r="217379" customFormat="1" x14ac:dyDescent="0.25"/>
    <row r="217380" customFormat="1" x14ac:dyDescent="0.25"/>
    <row r="217381" customFormat="1" x14ac:dyDescent="0.25"/>
    <row r="217382" customFormat="1" x14ac:dyDescent="0.25"/>
    <row r="217383" customFormat="1" x14ac:dyDescent="0.25"/>
    <row r="217384" customFormat="1" x14ac:dyDescent="0.25"/>
    <row r="217385" customFormat="1" x14ac:dyDescent="0.25"/>
    <row r="217386" customFormat="1" x14ac:dyDescent="0.25"/>
    <row r="217387" customFormat="1" x14ac:dyDescent="0.25"/>
    <row r="217388" customFormat="1" x14ac:dyDescent="0.25"/>
    <row r="217389" customFormat="1" x14ac:dyDescent="0.25"/>
    <row r="217390" customFormat="1" x14ac:dyDescent="0.25"/>
    <row r="217391" customFormat="1" x14ac:dyDescent="0.25"/>
    <row r="217392" customFormat="1" x14ac:dyDescent="0.25"/>
    <row r="217393" customFormat="1" x14ac:dyDescent="0.25"/>
    <row r="217394" customFormat="1" x14ac:dyDescent="0.25"/>
    <row r="217395" customFormat="1" x14ac:dyDescent="0.25"/>
    <row r="217396" customFormat="1" x14ac:dyDescent="0.25"/>
    <row r="217397" customFormat="1" x14ac:dyDescent="0.25"/>
    <row r="217398" customFormat="1" x14ac:dyDescent="0.25"/>
    <row r="217399" customFormat="1" x14ac:dyDescent="0.25"/>
    <row r="217400" customFormat="1" x14ac:dyDescent="0.25"/>
    <row r="217401" customFormat="1" x14ac:dyDescent="0.25"/>
    <row r="217402" customFormat="1" x14ac:dyDescent="0.25"/>
    <row r="217403" customFormat="1" x14ac:dyDescent="0.25"/>
    <row r="217404" customFormat="1" x14ac:dyDescent="0.25"/>
    <row r="217405" customFormat="1" x14ac:dyDescent="0.25"/>
    <row r="217406" customFormat="1" x14ac:dyDescent="0.25"/>
    <row r="217407" customFormat="1" x14ac:dyDescent="0.25"/>
    <row r="217408" customFormat="1" x14ac:dyDescent="0.25"/>
    <row r="217409" customFormat="1" x14ac:dyDescent="0.25"/>
    <row r="217410" customFormat="1" x14ac:dyDescent="0.25"/>
    <row r="217411" customFormat="1" x14ac:dyDescent="0.25"/>
    <row r="217412" customFormat="1" x14ac:dyDescent="0.25"/>
    <row r="217413" customFormat="1" x14ac:dyDescent="0.25"/>
    <row r="217414" customFormat="1" x14ac:dyDescent="0.25"/>
    <row r="217415" customFormat="1" x14ac:dyDescent="0.25"/>
    <row r="217416" customFormat="1" x14ac:dyDescent="0.25"/>
    <row r="217417" customFormat="1" x14ac:dyDescent="0.25"/>
    <row r="217418" customFormat="1" x14ac:dyDescent="0.25"/>
    <row r="217419" customFormat="1" x14ac:dyDescent="0.25"/>
    <row r="217420" customFormat="1" x14ac:dyDescent="0.25"/>
    <row r="217421" customFormat="1" x14ac:dyDescent="0.25"/>
    <row r="217422" customFormat="1" x14ac:dyDescent="0.25"/>
    <row r="217423" customFormat="1" x14ac:dyDescent="0.25"/>
    <row r="217424" customFormat="1" x14ac:dyDescent="0.25"/>
    <row r="217425" customFormat="1" x14ac:dyDescent="0.25"/>
    <row r="217426" customFormat="1" x14ac:dyDescent="0.25"/>
    <row r="217427" customFormat="1" x14ac:dyDescent="0.25"/>
    <row r="217428" customFormat="1" x14ac:dyDescent="0.25"/>
    <row r="217429" customFormat="1" x14ac:dyDescent="0.25"/>
    <row r="217430" customFormat="1" x14ac:dyDescent="0.25"/>
    <row r="217431" customFormat="1" x14ac:dyDescent="0.25"/>
    <row r="217432" customFormat="1" x14ac:dyDescent="0.25"/>
    <row r="217433" customFormat="1" x14ac:dyDescent="0.25"/>
    <row r="217434" customFormat="1" x14ac:dyDescent="0.25"/>
    <row r="217435" customFormat="1" x14ac:dyDescent="0.25"/>
    <row r="217436" customFormat="1" x14ac:dyDescent="0.25"/>
    <row r="217437" customFormat="1" x14ac:dyDescent="0.25"/>
    <row r="217438" customFormat="1" x14ac:dyDescent="0.25"/>
    <row r="217439" customFormat="1" x14ac:dyDescent="0.25"/>
    <row r="217440" customFormat="1" x14ac:dyDescent="0.25"/>
    <row r="217441" customFormat="1" x14ac:dyDescent="0.25"/>
    <row r="217442" customFormat="1" x14ac:dyDescent="0.25"/>
    <row r="217443" customFormat="1" x14ac:dyDescent="0.25"/>
    <row r="217444" customFormat="1" x14ac:dyDescent="0.25"/>
    <row r="217445" customFormat="1" x14ac:dyDescent="0.25"/>
    <row r="217446" customFormat="1" x14ac:dyDescent="0.25"/>
    <row r="217447" customFormat="1" x14ac:dyDescent="0.25"/>
    <row r="217448" customFormat="1" x14ac:dyDescent="0.25"/>
    <row r="217449" customFormat="1" x14ac:dyDescent="0.25"/>
    <row r="217450" customFormat="1" x14ac:dyDescent="0.25"/>
    <row r="217451" customFormat="1" x14ac:dyDescent="0.25"/>
    <row r="217452" customFormat="1" x14ac:dyDescent="0.25"/>
    <row r="217453" customFormat="1" x14ac:dyDescent="0.25"/>
    <row r="217454" customFormat="1" x14ac:dyDescent="0.25"/>
    <row r="217455" customFormat="1" x14ac:dyDescent="0.25"/>
    <row r="217456" customFormat="1" x14ac:dyDescent="0.25"/>
    <row r="217457" customFormat="1" x14ac:dyDescent="0.25"/>
    <row r="217458" customFormat="1" x14ac:dyDescent="0.25"/>
    <row r="217459" customFormat="1" x14ac:dyDescent="0.25"/>
    <row r="217460" customFormat="1" x14ac:dyDescent="0.25"/>
    <row r="217461" customFormat="1" x14ac:dyDescent="0.25"/>
    <row r="217462" customFormat="1" x14ac:dyDescent="0.25"/>
    <row r="217463" customFormat="1" x14ac:dyDescent="0.25"/>
    <row r="217464" customFormat="1" x14ac:dyDescent="0.25"/>
    <row r="217465" customFormat="1" x14ac:dyDescent="0.25"/>
    <row r="217466" customFormat="1" x14ac:dyDescent="0.25"/>
    <row r="217467" customFormat="1" x14ac:dyDescent="0.25"/>
    <row r="217468" customFormat="1" x14ac:dyDescent="0.25"/>
    <row r="217469" customFormat="1" x14ac:dyDescent="0.25"/>
    <row r="217470" customFormat="1" x14ac:dyDescent="0.25"/>
    <row r="217471" customFormat="1" x14ac:dyDescent="0.25"/>
    <row r="217472" customFormat="1" x14ac:dyDescent="0.25"/>
    <row r="217473" customFormat="1" x14ac:dyDescent="0.25"/>
    <row r="217474" customFormat="1" x14ac:dyDescent="0.25"/>
    <row r="217475" customFormat="1" x14ac:dyDescent="0.25"/>
    <row r="217476" customFormat="1" x14ac:dyDescent="0.25"/>
    <row r="217477" customFormat="1" x14ac:dyDescent="0.25"/>
    <row r="217478" customFormat="1" x14ac:dyDescent="0.25"/>
    <row r="217479" customFormat="1" x14ac:dyDescent="0.25"/>
    <row r="217480" customFormat="1" x14ac:dyDescent="0.25"/>
    <row r="217481" customFormat="1" x14ac:dyDescent="0.25"/>
    <row r="217482" customFormat="1" x14ac:dyDescent="0.25"/>
    <row r="217483" customFormat="1" x14ac:dyDescent="0.25"/>
    <row r="217484" customFormat="1" x14ac:dyDescent="0.25"/>
    <row r="217485" customFormat="1" x14ac:dyDescent="0.25"/>
    <row r="217486" customFormat="1" x14ac:dyDescent="0.25"/>
    <row r="217487" customFormat="1" x14ac:dyDescent="0.25"/>
    <row r="217488" customFormat="1" x14ac:dyDescent="0.25"/>
    <row r="217489" customFormat="1" x14ac:dyDescent="0.25"/>
    <row r="217490" customFormat="1" x14ac:dyDescent="0.25"/>
    <row r="217491" customFormat="1" x14ac:dyDescent="0.25"/>
    <row r="217492" customFormat="1" x14ac:dyDescent="0.25"/>
    <row r="217493" customFormat="1" x14ac:dyDescent="0.25"/>
    <row r="217494" customFormat="1" x14ac:dyDescent="0.25"/>
    <row r="217495" customFormat="1" x14ac:dyDescent="0.25"/>
    <row r="217496" customFormat="1" x14ac:dyDescent="0.25"/>
    <row r="217497" customFormat="1" x14ac:dyDescent="0.25"/>
    <row r="217498" customFormat="1" x14ac:dyDescent="0.25"/>
    <row r="217499" customFormat="1" x14ac:dyDescent="0.25"/>
    <row r="217500" customFormat="1" x14ac:dyDescent="0.25"/>
    <row r="217501" customFormat="1" x14ac:dyDescent="0.25"/>
    <row r="217502" customFormat="1" x14ac:dyDescent="0.25"/>
    <row r="217503" customFormat="1" x14ac:dyDescent="0.25"/>
    <row r="217504" customFormat="1" x14ac:dyDescent="0.25"/>
    <row r="217505" customFormat="1" x14ac:dyDescent="0.25"/>
    <row r="217506" customFormat="1" x14ac:dyDescent="0.25"/>
    <row r="217507" customFormat="1" x14ac:dyDescent="0.25"/>
    <row r="217508" customFormat="1" x14ac:dyDescent="0.25"/>
    <row r="217509" customFormat="1" x14ac:dyDescent="0.25"/>
    <row r="217510" customFormat="1" x14ac:dyDescent="0.25"/>
    <row r="217511" customFormat="1" x14ac:dyDescent="0.25"/>
    <row r="217512" customFormat="1" x14ac:dyDescent="0.25"/>
    <row r="217513" customFormat="1" x14ac:dyDescent="0.25"/>
    <row r="217514" customFormat="1" x14ac:dyDescent="0.25"/>
    <row r="217515" customFormat="1" x14ac:dyDescent="0.25"/>
    <row r="217516" customFormat="1" x14ac:dyDescent="0.25"/>
    <row r="217517" customFormat="1" x14ac:dyDescent="0.25"/>
    <row r="217518" customFormat="1" x14ac:dyDescent="0.25"/>
    <row r="217519" customFormat="1" x14ac:dyDescent="0.25"/>
    <row r="217520" customFormat="1" x14ac:dyDescent="0.25"/>
    <row r="217521" customFormat="1" x14ac:dyDescent="0.25"/>
    <row r="217522" customFormat="1" x14ac:dyDescent="0.25"/>
    <row r="217523" customFormat="1" x14ac:dyDescent="0.25"/>
    <row r="217524" customFormat="1" x14ac:dyDescent="0.25"/>
    <row r="217525" customFormat="1" x14ac:dyDescent="0.25"/>
    <row r="217526" customFormat="1" x14ac:dyDescent="0.25"/>
    <row r="217527" customFormat="1" x14ac:dyDescent="0.25"/>
    <row r="217528" customFormat="1" x14ac:dyDescent="0.25"/>
    <row r="217529" customFormat="1" x14ac:dyDescent="0.25"/>
    <row r="217530" customFormat="1" x14ac:dyDescent="0.25"/>
    <row r="217531" customFormat="1" x14ac:dyDescent="0.25"/>
    <row r="217532" customFormat="1" x14ac:dyDescent="0.25"/>
    <row r="217533" customFormat="1" x14ac:dyDescent="0.25"/>
    <row r="217534" customFormat="1" x14ac:dyDescent="0.25"/>
    <row r="217535" customFormat="1" x14ac:dyDescent="0.25"/>
    <row r="217536" customFormat="1" x14ac:dyDescent="0.25"/>
    <row r="217537" customFormat="1" x14ac:dyDescent="0.25"/>
    <row r="217538" customFormat="1" x14ac:dyDescent="0.25"/>
    <row r="217539" customFormat="1" x14ac:dyDescent="0.25"/>
    <row r="217540" customFormat="1" x14ac:dyDescent="0.25"/>
    <row r="217541" customFormat="1" x14ac:dyDescent="0.25"/>
    <row r="217542" customFormat="1" x14ac:dyDescent="0.25"/>
    <row r="217543" customFormat="1" x14ac:dyDescent="0.25"/>
    <row r="217544" customFormat="1" x14ac:dyDescent="0.25"/>
    <row r="217545" customFormat="1" x14ac:dyDescent="0.25"/>
    <row r="217546" customFormat="1" x14ac:dyDescent="0.25"/>
    <row r="217547" customFormat="1" x14ac:dyDescent="0.25"/>
    <row r="217548" customFormat="1" x14ac:dyDescent="0.25"/>
    <row r="217549" customFormat="1" x14ac:dyDescent="0.25"/>
    <row r="217550" customFormat="1" x14ac:dyDescent="0.25"/>
    <row r="217551" customFormat="1" x14ac:dyDescent="0.25"/>
    <row r="217552" customFormat="1" x14ac:dyDescent="0.25"/>
    <row r="217553" customFormat="1" x14ac:dyDescent="0.25"/>
    <row r="217554" customFormat="1" x14ac:dyDescent="0.25"/>
    <row r="217555" customFormat="1" x14ac:dyDescent="0.25"/>
    <row r="217556" customFormat="1" x14ac:dyDescent="0.25"/>
    <row r="217557" customFormat="1" x14ac:dyDescent="0.25"/>
    <row r="217558" customFormat="1" x14ac:dyDescent="0.25"/>
    <row r="217559" customFormat="1" x14ac:dyDescent="0.25"/>
    <row r="217560" customFormat="1" x14ac:dyDescent="0.25"/>
    <row r="217561" customFormat="1" x14ac:dyDescent="0.25"/>
    <row r="217562" customFormat="1" x14ac:dyDescent="0.25"/>
    <row r="217563" customFormat="1" x14ac:dyDescent="0.25"/>
    <row r="217564" customFormat="1" x14ac:dyDescent="0.25"/>
    <row r="217565" customFormat="1" x14ac:dyDescent="0.25"/>
    <row r="217566" customFormat="1" x14ac:dyDescent="0.25"/>
    <row r="217567" customFormat="1" x14ac:dyDescent="0.25"/>
    <row r="217568" customFormat="1" x14ac:dyDescent="0.25"/>
    <row r="217569" customFormat="1" x14ac:dyDescent="0.25"/>
    <row r="217570" customFormat="1" x14ac:dyDescent="0.25"/>
    <row r="217571" customFormat="1" x14ac:dyDescent="0.25"/>
    <row r="217572" customFormat="1" x14ac:dyDescent="0.25"/>
    <row r="217573" customFormat="1" x14ac:dyDescent="0.25"/>
    <row r="217574" customFormat="1" x14ac:dyDescent="0.25"/>
    <row r="217575" customFormat="1" x14ac:dyDescent="0.25"/>
    <row r="217576" customFormat="1" x14ac:dyDescent="0.25"/>
    <row r="217577" customFormat="1" x14ac:dyDescent="0.25"/>
    <row r="217578" customFormat="1" x14ac:dyDescent="0.25"/>
    <row r="217579" customFormat="1" x14ac:dyDescent="0.25"/>
    <row r="217580" customFormat="1" x14ac:dyDescent="0.25"/>
    <row r="217581" customFormat="1" x14ac:dyDescent="0.25"/>
    <row r="217582" customFormat="1" x14ac:dyDescent="0.25"/>
    <row r="217583" customFormat="1" x14ac:dyDescent="0.25"/>
    <row r="217584" customFormat="1" x14ac:dyDescent="0.25"/>
    <row r="217585" customFormat="1" x14ac:dyDescent="0.25"/>
    <row r="217586" customFormat="1" x14ac:dyDescent="0.25"/>
    <row r="217587" customFormat="1" x14ac:dyDescent="0.25"/>
    <row r="217588" customFormat="1" x14ac:dyDescent="0.25"/>
    <row r="217589" customFormat="1" x14ac:dyDescent="0.25"/>
    <row r="217590" customFormat="1" x14ac:dyDescent="0.25"/>
    <row r="217591" customFormat="1" x14ac:dyDescent="0.25"/>
    <row r="217592" customFormat="1" x14ac:dyDescent="0.25"/>
    <row r="217593" customFormat="1" x14ac:dyDescent="0.25"/>
    <row r="217594" customFormat="1" x14ac:dyDescent="0.25"/>
    <row r="217595" customFormat="1" x14ac:dyDescent="0.25"/>
    <row r="217596" customFormat="1" x14ac:dyDescent="0.25"/>
    <row r="217597" customFormat="1" x14ac:dyDescent="0.25"/>
    <row r="217598" customFormat="1" x14ac:dyDescent="0.25"/>
    <row r="217599" customFormat="1" x14ac:dyDescent="0.25"/>
    <row r="217600" customFormat="1" x14ac:dyDescent="0.25"/>
    <row r="217601" customFormat="1" x14ac:dyDescent="0.25"/>
    <row r="217602" customFormat="1" x14ac:dyDescent="0.25"/>
    <row r="217603" customFormat="1" x14ac:dyDescent="0.25"/>
    <row r="217604" customFormat="1" x14ac:dyDescent="0.25"/>
    <row r="217605" customFormat="1" x14ac:dyDescent="0.25"/>
    <row r="217606" customFormat="1" x14ac:dyDescent="0.25"/>
    <row r="217607" customFormat="1" x14ac:dyDescent="0.25"/>
    <row r="217608" customFormat="1" x14ac:dyDescent="0.25"/>
    <row r="217609" customFormat="1" x14ac:dyDescent="0.25"/>
    <row r="217610" customFormat="1" x14ac:dyDescent="0.25"/>
    <row r="217611" customFormat="1" x14ac:dyDescent="0.25"/>
    <row r="217612" customFormat="1" x14ac:dyDescent="0.25"/>
    <row r="217613" customFormat="1" x14ac:dyDescent="0.25"/>
    <row r="217614" customFormat="1" x14ac:dyDescent="0.25"/>
    <row r="217615" customFormat="1" x14ac:dyDescent="0.25"/>
    <row r="217616" customFormat="1" x14ac:dyDescent="0.25"/>
    <row r="217617" customFormat="1" x14ac:dyDescent="0.25"/>
    <row r="217618" customFormat="1" x14ac:dyDescent="0.25"/>
    <row r="217619" customFormat="1" x14ac:dyDescent="0.25"/>
    <row r="217620" customFormat="1" x14ac:dyDescent="0.25"/>
    <row r="217621" customFormat="1" x14ac:dyDescent="0.25"/>
    <row r="217622" customFormat="1" x14ac:dyDescent="0.25"/>
    <row r="217623" customFormat="1" x14ac:dyDescent="0.25"/>
    <row r="217624" customFormat="1" x14ac:dyDescent="0.25"/>
    <row r="217625" customFormat="1" x14ac:dyDescent="0.25"/>
    <row r="217626" customFormat="1" x14ac:dyDescent="0.25"/>
    <row r="217627" customFormat="1" x14ac:dyDescent="0.25"/>
    <row r="217628" customFormat="1" x14ac:dyDescent="0.25"/>
    <row r="217629" customFormat="1" x14ac:dyDescent="0.25"/>
    <row r="217630" customFormat="1" x14ac:dyDescent="0.25"/>
    <row r="217631" customFormat="1" x14ac:dyDescent="0.25"/>
    <row r="217632" customFormat="1" x14ac:dyDescent="0.25"/>
    <row r="217633" customFormat="1" x14ac:dyDescent="0.25"/>
    <row r="217634" customFormat="1" x14ac:dyDescent="0.25"/>
    <row r="217635" customFormat="1" x14ac:dyDescent="0.25"/>
    <row r="217636" customFormat="1" x14ac:dyDescent="0.25"/>
    <row r="217637" customFormat="1" x14ac:dyDescent="0.25"/>
    <row r="217638" customFormat="1" x14ac:dyDescent="0.25"/>
    <row r="217639" customFormat="1" x14ac:dyDescent="0.25"/>
    <row r="217640" customFormat="1" x14ac:dyDescent="0.25"/>
    <row r="217641" customFormat="1" x14ac:dyDescent="0.25"/>
    <row r="217642" customFormat="1" x14ac:dyDescent="0.25"/>
    <row r="217643" customFormat="1" x14ac:dyDescent="0.25"/>
    <row r="217644" customFormat="1" x14ac:dyDescent="0.25"/>
    <row r="217645" customFormat="1" x14ac:dyDescent="0.25"/>
    <row r="217646" customFormat="1" x14ac:dyDescent="0.25"/>
    <row r="217647" customFormat="1" x14ac:dyDescent="0.25"/>
    <row r="217648" customFormat="1" x14ac:dyDescent="0.25"/>
    <row r="217649" customFormat="1" x14ac:dyDescent="0.25"/>
    <row r="217650" customFormat="1" x14ac:dyDescent="0.25"/>
    <row r="217651" customFormat="1" x14ac:dyDescent="0.25"/>
    <row r="217652" customFormat="1" x14ac:dyDescent="0.25"/>
    <row r="217653" customFormat="1" x14ac:dyDescent="0.25"/>
    <row r="217654" customFormat="1" x14ac:dyDescent="0.25"/>
    <row r="217655" customFormat="1" x14ac:dyDescent="0.25"/>
    <row r="217656" customFormat="1" x14ac:dyDescent="0.25"/>
    <row r="217657" customFormat="1" x14ac:dyDescent="0.25"/>
    <row r="217658" customFormat="1" x14ac:dyDescent="0.25"/>
    <row r="217659" customFormat="1" x14ac:dyDescent="0.25"/>
    <row r="217660" customFormat="1" x14ac:dyDescent="0.25"/>
    <row r="217661" customFormat="1" x14ac:dyDescent="0.25"/>
    <row r="217662" customFormat="1" x14ac:dyDescent="0.25"/>
    <row r="217663" customFormat="1" x14ac:dyDescent="0.25"/>
    <row r="217664" customFormat="1" x14ac:dyDescent="0.25"/>
    <row r="217665" customFormat="1" x14ac:dyDescent="0.25"/>
    <row r="217666" customFormat="1" x14ac:dyDescent="0.25"/>
    <row r="217667" customFormat="1" x14ac:dyDescent="0.25"/>
    <row r="217668" customFormat="1" x14ac:dyDescent="0.25"/>
    <row r="217669" customFormat="1" x14ac:dyDescent="0.25"/>
    <row r="217670" customFormat="1" x14ac:dyDescent="0.25"/>
    <row r="217671" customFormat="1" x14ac:dyDescent="0.25"/>
    <row r="217672" customFormat="1" x14ac:dyDescent="0.25"/>
    <row r="217673" customFormat="1" x14ac:dyDescent="0.25"/>
    <row r="217674" customFormat="1" x14ac:dyDescent="0.25"/>
    <row r="217675" customFormat="1" x14ac:dyDescent="0.25"/>
    <row r="217676" customFormat="1" x14ac:dyDescent="0.25"/>
    <row r="217677" customFormat="1" x14ac:dyDescent="0.25"/>
    <row r="217678" customFormat="1" x14ac:dyDescent="0.25"/>
    <row r="217679" customFormat="1" x14ac:dyDescent="0.25"/>
    <row r="217680" customFormat="1" x14ac:dyDescent="0.25"/>
    <row r="217681" customFormat="1" x14ac:dyDescent="0.25"/>
    <row r="217682" customFormat="1" x14ac:dyDescent="0.25"/>
    <row r="217683" customFormat="1" x14ac:dyDescent="0.25"/>
    <row r="217684" customFormat="1" x14ac:dyDescent="0.25"/>
    <row r="217685" customFormat="1" x14ac:dyDescent="0.25"/>
    <row r="217686" customFormat="1" x14ac:dyDescent="0.25"/>
    <row r="217687" customFormat="1" x14ac:dyDescent="0.25"/>
    <row r="217688" customFormat="1" x14ac:dyDescent="0.25"/>
    <row r="217689" customFormat="1" x14ac:dyDescent="0.25"/>
    <row r="217690" customFormat="1" x14ac:dyDescent="0.25"/>
    <row r="217691" customFormat="1" x14ac:dyDescent="0.25"/>
    <row r="217692" customFormat="1" x14ac:dyDescent="0.25"/>
    <row r="217693" customFormat="1" x14ac:dyDescent="0.25"/>
    <row r="217694" customFormat="1" x14ac:dyDescent="0.25"/>
    <row r="217695" customFormat="1" x14ac:dyDescent="0.25"/>
    <row r="217696" customFormat="1" x14ac:dyDescent="0.25"/>
    <row r="217697" customFormat="1" x14ac:dyDescent="0.25"/>
    <row r="217698" customFormat="1" x14ac:dyDescent="0.25"/>
    <row r="217699" customFormat="1" x14ac:dyDescent="0.25"/>
    <row r="217700" customFormat="1" x14ac:dyDescent="0.25"/>
    <row r="217701" customFormat="1" x14ac:dyDescent="0.25"/>
    <row r="217702" customFormat="1" x14ac:dyDescent="0.25"/>
    <row r="217703" customFormat="1" x14ac:dyDescent="0.25"/>
    <row r="217704" customFormat="1" x14ac:dyDescent="0.25"/>
    <row r="217705" customFormat="1" x14ac:dyDescent="0.25"/>
    <row r="217706" customFormat="1" x14ac:dyDescent="0.25"/>
    <row r="217707" customFormat="1" x14ac:dyDescent="0.25"/>
    <row r="217708" customFormat="1" x14ac:dyDescent="0.25"/>
    <row r="217709" customFormat="1" x14ac:dyDescent="0.25"/>
    <row r="217710" customFormat="1" x14ac:dyDescent="0.25"/>
    <row r="217711" customFormat="1" x14ac:dyDescent="0.25"/>
    <row r="217712" customFormat="1" x14ac:dyDescent="0.25"/>
    <row r="217713" customFormat="1" x14ac:dyDescent="0.25"/>
    <row r="217714" customFormat="1" x14ac:dyDescent="0.25"/>
    <row r="217715" customFormat="1" x14ac:dyDescent="0.25"/>
    <row r="217716" customFormat="1" x14ac:dyDescent="0.25"/>
    <row r="217717" customFormat="1" x14ac:dyDescent="0.25"/>
    <row r="217718" customFormat="1" x14ac:dyDescent="0.25"/>
    <row r="217719" customFormat="1" x14ac:dyDescent="0.25"/>
    <row r="217720" customFormat="1" x14ac:dyDescent="0.25"/>
    <row r="217721" customFormat="1" x14ac:dyDescent="0.25"/>
    <row r="217722" customFormat="1" x14ac:dyDescent="0.25"/>
    <row r="217723" customFormat="1" x14ac:dyDescent="0.25"/>
    <row r="217724" customFormat="1" x14ac:dyDescent="0.25"/>
    <row r="217725" customFormat="1" x14ac:dyDescent="0.25"/>
    <row r="217726" customFormat="1" x14ac:dyDescent="0.25"/>
    <row r="217727" customFormat="1" x14ac:dyDescent="0.25"/>
    <row r="217728" customFormat="1" x14ac:dyDescent="0.25"/>
    <row r="217729" customFormat="1" x14ac:dyDescent="0.25"/>
    <row r="217730" customFormat="1" x14ac:dyDescent="0.25"/>
    <row r="217731" customFormat="1" x14ac:dyDescent="0.25"/>
    <row r="217732" customFormat="1" x14ac:dyDescent="0.25"/>
    <row r="217733" customFormat="1" x14ac:dyDescent="0.25"/>
    <row r="217734" customFormat="1" x14ac:dyDescent="0.25"/>
    <row r="217735" customFormat="1" x14ac:dyDescent="0.25"/>
    <row r="217736" customFormat="1" x14ac:dyDescent="0.25"/>
    <row r="217737" customFormat="1" x14ac:dyDescent="0.25"/>
    <row r="217738" customFormat="1" x14ac:dyDescent="0.25"/>
    <row r="217739" customFormat="1" x14ac:dyDescent="0.25"/>
    <row r="217740" customFormat="1" x14ac:dyDescent="0.25"/>
    <row r="217741" customFormat="1" x14ac:dyDescent="0.25"/>
    <row r="217742" customFormat="1" x14ac:dyDescent="0.25"/>
    <row r="217743" customFormat="1" x14ac:dyDescent="0.25"/>
    <row r="217744" customFormat="1" x14ac:dyDescent="0.25"/>
    <row r="217745" customFormat="1" x14ac:dyDescent="0.25"/>
    <row r="217746" customFormat="1" x14ac:dyDescent="0.25"/>
    <row r="217747" customFormat="1" x14ac:dyDescent="0.25"/>
    <row r="217748" customFormat="1" x14ac:dyDescent="0.25"/>
    <row r="217749" customFormat="1" x14ac:dyDescent="0.25"/>
    <row r="217750" customFormat="1" x14ac:dyDescent="0.25"/>
    <row r="217751" customFormat="1" x14ac:dyDescent="0.25"/>
    <row r="217752" customFormat="1" x14ac:dyDescent="0.25"/>
    <row r="217753" customFormat="1" x14ac:dyDescent="0.25"/>
    <row r="217754" customFormat="1" x14ac:dyDescent="0.25"/>
    <row r="217755" customFormat="1" x14ac:dyDescent="0.25"/>
    <row r="217756" customFormat="1" x14ac:dyDescent="0.25"/>
    <row r="217757" customFormat="1" x14ac:dyDescent="0.25"/>
    <row r="217758" customFormat="1" x14ac:dyDescent="0.25"/>
    <row r="217759" customFormat="1" x14ac:dyDescent="0.25"/>
    <row r="217760" customFormat="1" x14ac:dyDescent="0.25"/>
    <row r="217761" customFormat="1" x14ac:dyDescent="0.25"/>
    <row r="217762" customFormat="1" x14ac:dyDescent="0.25"/>
    <row r="217763" customFormat="1" x14ac:dyDescent="0.25"/>
    <row r="217764" customFormat="1" x14ac:dyDescent="0.25"/>
    <row r="217765" customFormat="1" x14ac:dyDescent="0.25"/>
    <row r="217766" customFormat="1" x14ac:dyDescent="0.25"/>
    <row r="217767" customFormat="1" x14ac:dyDescent="0.25"/>
    <row r="217768" customFormat="1" x14ac:dyDescent="0.25"/>
    <row r="217769" customFormat="1" x14ac:dyDescent="0.25"/>
    <row r="217770" customFormat="1" x14ac:dyDescent="0.25"/>
    <row r="217771" customFormat="1" x14ac:dyDescent="0.25"/>
    <row r="217772" customFormat="1" x14ac:dyDescent="0.25"/>
    <row r="217773" customFormat="1" x14ac:dyDescent="0.25"/>
    <row r="217774" customFormat="1" x14ac:dyDescent="0.25"/>
    <row r="217775" customFormat="1" x14ac:dyDescent="0.25"/>
    <row r="217776" customFormat="1" x14ac:dyDescent="0.25"/>
    <row r="217777" customFormat="1" x14ac:dyDescent="0.25"/>
    <row r="217778" customFormat="1" x14ac:dyDescent="0.25"/>
    <row r="217779" customFormat="1" x14ac:dyDescent="0.25"/>
    <row r="217780" customFormat="1" x14ac:dyDescent="0.25"/>
    <row r="217781" customFormat="1" x14ac:dyDescent="0.25"/>
    <row r="217782" customFormat="1" x14ac:dyDescent="0.25"/>
    <row r="217783" customFormat="1" x14ac:dyDescent="0.25"/>
    <row r="217784" customFormat="1" x14ac:dyDescent="0.25"/>
    <row r="217785" customFormat="1" x14ac:dyDescent="0.25"/>
    <row r="217786" customFormat="1" x14ac:dyDescent="0.25"/>
    <row r="217787" customFormat="1" x14ac:dyDescent="0.25"/>
    <row r="217788" customFormat="1" x14ac:dyDescent="0.25"/>
    <row r="217789" customFormat="1" x14ac:dyDescent="0.25"/>
    <row r="217790" customFormat="1" x14ac:dyDescent="0.25"/>
    <row r="217791" customFormat="1" x14ac:dyDescent="0.25"/>
    <row r="217792" customFormat="1" x14ac:dyDescent="0.25"/>
    <row r="217793" customFormat="1" x14ac:dyDescent="0.25"/>
    <row r="217794" customFormat="1" x14ac:dyDescent="0.25"/>
    <row r="217795" customFormat="1" x14ac:dyDescent="0.25"/>
    <row r="217796" customFormat="1" x14ac:dyDescent="0.25"/>
    <row r="217797" customFormat="1" x14ac:dyDescent="0.25"/>
    <row r="217798" customFormat="1" x14ac:dyDescent="0.25"/>
    <row r="217799" customFormat="1" x14ac:dyDescent="0.25"/>
    <row r="217800" customFormat="1" x14ac:dyDescent="0.25"/>
    <row r="217801" customFormat="1" x14ac:dyDescent="0.25"/>
    <row r="217802" customFormat="1" x14ac:dyDescent="0.25"/>
    <row r="217803" customFormat="1" x14ac:dyDescent="0.25"/>
    <row r="217804" customFormat="1" x14ac:dyDescent="0.25"/>
    <row r="217805" customFormat="1" x14ac:dyDescent="0.25"/>
    <row r="217806" customFormat="1" x14ac:dyDescent="0.25"/>
    <row r="217807" customFormat="1" x14ac:dyDescent="0.25"/>
    <row r="217808" customFormat="1" x14ac:dyDescent="0.25"/>
    <row r="217809" customFormat="1" x14ac:dyDescent="0.25"/>
    <row r="217810" customFormat="1" x14ac:dyDescent="0.25"/>
    <row r="217811" customFormat="1" x14ac:dyDescent="0.25"/>
    <row r="217812" customFormat="1" x14ac:dyDescent="0.25"/>
    <row r="217813" customFormat="1" x14ac:dyDescent="0.25"/>
    <row r="217814" customFormat="1" x14ac:dyDescent="0.25"/>
    <row r="217815" customFormat="1" x14ac:dyDescent="0.25"/>
    <row r="217816" customFormat="1" x14ac:dyDescent="0.25"/>
    <row r="217817" customFormat="1" x14ac:dyDescent="0.25"/>
    <row r="217818" customFormat="1" x14ac:dyDescent="0.25"/>
    <row r="217819" customFormat="1" x14ac:dyDescent="0.25"/>
    <row r="217820" customFormat="1" x14ac:dyDescent="0.25"/>
    <row r="217821" customFormat="1" x14ac:dyDescent="0.25"/>
    <row r="217822" customFormat="1" x14ac:dyDescent="0.25"/>
    <row r="217823" customFormat="1" x14ac:dyDescent="0.25"/>
    <row r="217824" customFormat="1" x14ac:dyDescent="0.25"/>
    <row r="217825" customFormat="1" x14ac:dyDescent="0.25"/>
    <row r="217826" customFormat="1" x14ac:dyDescent="0.25"/>
    <row r="217827" customFormat="1" x14ac:dyDescent="0.25"/>
    <row r="217828" customFormat="1" x14ac:dyDescent="0.25"/>
    <row r="217829" customFormat="1" x14ac:dyDescent="0.25"/>
    <row r="217830" customFormat="1" x14ac:dyDescent="0.25"/>
    <row r="217831" customFormat="1" x14ac:dyDescent="0.25"/>
    <row r="217832" customFormat="1" x14ac:dyDescent="0.25"/>
    <row r="217833" customFormat="1" x14ac:dyDescent="0.25"/>
    <row r="217834" customFormat="1" x14ac:dyDescent="0.25"/>
    <row r="217835" customFormat="1" x14ac:dyDescent="0.25"/>
    <row r="217836" customFormat="1" x14ac:dyDescent="0.25"/>
    <row r="217837" customFormat="1" x14ac:dyDescent="0.25"/>
    <row r="217838" customFormat="1" x14ac:dyDescent="0.25"/>
    <row r="217839" customFormat="1" x14ac:dyDescent="0.25"/>
    <row r="217840" customFormat="1" x14ac:dyDescent="0.25"/>
    <row r="217841" customFormat="1" x14ac:dyDescent="0.25"/>
    <row r="217842" customFormat="1" x14ac:dyDescent="0.25"/>
    <row r="217843" customFormat="1" x14ac:dyDescent="0.25"/>
    <row r="217844" customFormat="1" x14ac:dyDescent="0.25"/>
    <row r="217845" customFormat="1" x14ac:dyDescent="0.25"/>
    <row r="217846" customFormat="1" x14ac:dyDescent="0.25"/>
    <row r="217847" customFormat="1" x14ac:dyDescent="0.25"/>
    <row r="217848" customFormat="1" x14ac:dyDescent="0.25"/>
    <row r="217849" customFormat="1" x14ac:dyDescent="0.25"/>
    <row r="217850" customFormat="1" x14ac:dyDescent="0.25"/>
    <row r="217851" customFormat="1" x14ac:dyDescent="0.25"/>
    <row r="217852" customFormat="1" x14ac:dyDescent="0.25"/>
    <row r="217853" customFormat="1" x14ac:dyDescent="0.25"/>
    <row r="217854" customFormat="1" x14ac:dyDescent="0.25"/>
    <row r="217855" customFormat="1" x14ac:dyDescent="0.25"/>
    <row r="217856" customFormat="1" x14ac:dyDescent="0.25"/>
    <row r="217857" customFormat="1" x14ac:dyDescent="0.25"/>
    <row r="217858" customFormat="1" x14ac:dyDescent="0.25"/>
    <row r="217859" customFormat="1" x14ac:dyDescent="0.25"/>
    <row r="217860" customFormat="1" x14ac:dyDescent="0.25"/>
    <row r="217861" customFormat="1" x14ac:dyDescent="0.25"/>
    <row r="217862" customFormat="1" x14ac:dyDescent="0.25"/>
    <row r="217863" customFormat="1" x14ac:dyDescent="0.25"/>
    <row r="217864" customFormat="1" x14ac:dyDescent="0.25"/>
    <row r="217865" customFormat="1" x14ac:dyDescent="0.25"/>
    <row r="217866" customFormat="1" x14ac:dyDescent="0.25"/>
    <row r="217867" customFormat="1" x14ac:dyDescent="0.25"/>
    <row r="217868" customFormat="1" x14ac:dyDescent="0.25"/>
    <row r="217869" customFormat="1" x14ac:dyDescent="0.25"/>
    <row r="217870" customFormat="1" x14ac:dyDescent="0.25"/>
    <row r="217871" customFormat="1" x14ac:dyDescent="0.25"/>
    <row r="217872" customFormat="1" x14ac:dyDescent="0.25"/>
    <row r="217873" customFormat="1" x14ac:dyDescent="0.25"/>
    <row r="217874" customFormat="1" x14ac:dyDescent="0.25"/>
    <row r="217875" customFormat="1" x14ac:dyDescent="0.25"/>
    <row r="217876" customFormat="1" x14ac:dyDescent="0.25"/>
    <row r="217877" customFormat="1" x14ac:dyDescent="0.25"/>
    <row r="217878" customFormat="1" x14ac:dyDescent="0.25"/>
    <row r="217879" customFormat="1" x14ac:dyDescent="0.25"/>
    <row r="217880" customFormat="1" x14ac:dyDescent="0.25"/>
    <row r="217881" customFormat="1" x14ac:dyDescent="0.25"/>
    <row r="217882" customFormat="1" x14ac:dyDescent="0.25"/>
    <row r="217883" customFormat="1" x14ac:dyDescent="0.25"/>
    <row r="217884" customFormat="1" x14ac:dyDescent="0.25"/>
    <row r="217885" customFormat="1" x14ac:dyDescent="0.25"/>
    <row r="217886" customFormat="1" x14ac:dyDescent="0.25"/>
    <row r="217887" customFormat="1" x14ac:dyDescent="0.25"/>
    <row r="217888" customFormat="1" x14ac:dyDescent="0.25"/>
    <row r="217889" customFormat="1" x14ac:dyDescent="0.25"/>
    <row r="217890" customFormat="1" x14ac:dyDescent="0.25"/>
    <row r="217891" customFormat="1" x14ac:dyDescent="0.25"/>
    <row r="217892" customFormat="1" x14ac:dyDescent="0.25"/>
    <row r="217893" customFormat="1" x14ac:dyDescent="0.25"/>
    <row r="217894" customFormat="1" x14ac:dyDescent="0.25"/>
    <row r="217895" customFormat="1" x14ac:dyDescent="0.25"/>
    <row r="217896" customFormat="1" x14ac:dyDescent="0.25"/>
    <row r="217897" customFormat="1" x14ac:dyDescent="0.25"/>
    <row r="217898" customFormat="1" x14ac:dyDescent="0.25"/>
    <row r="217899" customFormat="1" x14ac:dyDescent="0.25"/>
    <row r="217900" customFormat="1" x14ac:dyDescent="0.25"/>
    <row r="217901" customFormat="1" x14ac:dyDescent="0.25"/>
    <row r="217902" customFormat="1" x14ac:dyDescent="0.25"/>
    <row r="217903" customFormat="1" x14ac:dyDescent="0.25"/>
    <row r="217904" customFormat="1" x14ac:dyDescent="0.25"/>
    <row r="217905" customFormat="1" x14ac:dyDescent="0.25"/>
    <row r="217906" customFormat="1" x14ac:dyDescent="0.25"/>
    <row r="217907" customFormat="1" x14ac:dyDescent="0.25"/>
    <row r="217908" customFormat="1" x14ac:dyDescent="0.25"/>
    <row r="217909" customFormat="1" x14ac:dyDescent="0.25"/>
    <row r="217910" customFormat="1" x14ac:dyDescent="0.25"/>
    <row r="217911" customFormat="1" x14ac:dyDescent="0.25"/>
    <row r="217912" customFormat="1" x14ac:dyDescent="0.25"/>
    <row r="217913" customFormat="1" x14ac:dyDescent="0.25"/>
    <row r="217914" customFormat="1" x14ac:dyDescent="0.25"/>
    <row r="217915" customFormat="1" x14ac:dyDescent="0.25"/>
    <row r="217916" customFormat="1" x14ac:dyDescent="0.25"/>
    <row r="217917" customFormat="1" x14ac:dyDescent="0.25"/>
    <row r="217918" customFormat="1" x14ac:dyDescent="0.25"/>
    <row r="217919" customFormat="1" x14ac:dyDescent="0.25"/>
    <row r="217920" customFormat="1" x14ac:dyDescent="0.25"/>
    <row r="217921" customFormat="1" x14ac:dyDescent="0.25"/>
    <row r="217922" customFormat="1" x14ac:dyDescent="0.25"/>
    <row r="217923" customFormat="1" x14ac:dyDescent="0.25"/>
    <row r="217924" customFormat="1" x14ac:dyDescent="0.25"/>
    <row r="217925" customFormat="1" x14ac:dyDescent="0.25"/>
    <row r="217926" customFormat="1" x14ac:dyDescent="0.25"/>
    <row r="217927" customFormat="1" x14ac:dyDescent="0.25"/>
    <row r="217928" customFormat="1" x14ac:dyDescent="0.25"/>
    <row r="217929" customFormat="1" x14ac:dyDescent="0.25"/>
    <row r="217930" customFormat="1" x14ac:dyDescent="0.25"/>
    <row r="217931" customFormat="1" x14ac:dyDescent="0.25"/>
    <row r="217932" customFormat="1" x14ac:dyDescent="0.25"/>
    <row r="217933" customFormat="1" x14ac:dyDescent="0.25"/>
    <row r="217934" customFormat="1" x14ac:dyDescent="0.25"/>
    <row r="217935" customFormat="1" x14ac:dyDescent="0.25"/>
    <row r="217936" customFormat="1" x14ac:dyDescent="0.25"/>
    <row r="217937" customFormat="1" x14ac:dyDescent="0.25"/>
    <row r="217938" customFormat="1" x14ac:dyDescent="0.25"/>
    <row r="217939" customFormat="1" x14ac:dyDescent="0.25"/>
    <row r="217940" customFormat="1" x14ac:dyDescent="0.25"/>
    <row r="217941" customFormat="1" x14ac:dyDescent="0.25"/>
    <row r="217942" customFormat="1" x14ac:dyDescent="0.25"/>
    <row r="217943" customFormat="1" x14ac:dyDescent="0.25"/>
    <row r="217944" customFormat="1" x14ac:dyDescent="0.25"/>
    <row r="217945" customFormat="1" x14ac:dyDescent="0.25"/>
    <row r="217946" customFormat="1" x14ac:dyDescent="0.25"/>
    <row r="217947" customFormat="1" x14ac:dyDescent="0.25"/>
    <row r="217948" customFormat="1" x14ac:dyDescent="0.25"/>
    <row r="217949" customFormat="1" x14ac:dyDescent="0.25"/>
    <row r="217950" customFormat="1" x14ac:dyDescent="0.25"/>
    <row r="217951" customFormat="1" x14ac:dyDescent="0.25"/>
    <row r="217952" customFormat="1" x14ac:dyDescent="0.25"/>
    <row r="217953" customFormat="1" x14ac:dyDescent="0.25"/>
    <row r="217954" customFormat="1" x14ac:dyDescent="0.25"/>
    <row r="217955" customFormat="1" x14ac:dyDescent="0.25"/>
    <row r="217956" customFormat="1" x14ac:dyDescent="0.25"/>
    <row r="217957" customFormat="1" x14ac:dyDescent="0.25"/>
    <row r="217958" customFormat="1" x14ac:dyDescent="0.25"/>
    <row r="217959" customFormat="1" x14ac:dyDescent="0.25"/>
    <row r="217960" customFormat="1" x14ac:dyDescent="0.25"/>
    <row r="217961" customFormat="1" x14ac:dyDescent="0.25"/>
    <row r="217962" customFormat="1" x14ac:dyDescent="0.25"/>
    <row r="217963" customFormat="1" x14ac:dyDescent="0.25"/>
    <row r="217964" customFormat="1" x14ac:dyDescent="0.25"/>
    <row r="217965" customFormat="1" x14ac:dyDescent="0.25"/>
    <row r="217966" customFormat="1" x14ac:dyDescent="0.25"/>
    <row r="217967" customFormat="1" x14ac:dyDescent="0.25"/>
    <row r="217968" customFormat="1" x14ac:dyDescent="0.25"/>
    <row r="217969" customFormat="1" x14ac:dyDescent="0.25"/>
    <row r="217970" customFormat="1" x14ac:dyDescent="0.25"/>
    <row r="217971" customFormat="1" x14ac:dyDescent="0.25"/>
    <row r="217972" customFormat="1" x14ac:dyDescent="0.25"/>
    <row r="217973" customFormat="1" x14ac:dyDescent="0.25"/>
    <row r="217974" customFormat="1" x14ac:dyDescent="0.25"/>
    <row r="217975" customFormat="1" x14ac:dyDescent="0.25"/>
    <row r="217976" customFormat="1" x14ac:dyDescent="0.25"/>
    <row r="217977" customFormat="1" x14ac:dyDescent="0.25"/>
    <row r="217978" customFormat="1" x14ac:dyDescent="0.25"/>
    <row r="217979" customFormat="1" x14ac:dyDescent="0.25"/>
    <row r="217980" customFormat="1" x14ac:dyDescent="0.25"/>
    <row r="217981" customFormat="1" x14ac:dyDescent="0.25"/>
    <row r="217982" customFormat="1" x14ac:dyDescent="0.25"/>
    <row r="217983" customFormat="1" x14ac:dyDescent="0.25"/>
    <row r="217984" customFormat="1" x14ac:dyDescent="0.25"/>
    <row r="217985" customFormat="1" x14ac:dyDescent="0.25"/>
    <row r="217986" customFormat="1" x14ac:dyDescent="0.25"/>
    <row r="217987" customFormat="1" x14ac:dyDescent="0.25"/>
    <row r="217988" customFormat="1" x14ac:dyDescent="0.25"/>
    <row r="217989" customFormat="1" x14ac:dyDescent="0.25"/>
    <row r="217990" customFormat="1" x14ac:dyDescent="0.25"/>
    <row r="217991" customFormat="1" x14ac:dyDescent="0.25"/>
    <row r="217992" customFormat="1" x14ac:dyDescent="0.25"/>
    <row r="217993" customFormat="1" x14ac:dyDescent="0.25"/>
    <row r="217994" customFormat="1" x14ac:dyDescent="0.25"/>
    <row r="217995" customFormat="1" x14ac:dyDescent="0.25"/>
    <row r="217996" customFormat="1" x14ac:dyDescent="0.25"/>
    <row r="217997" customFormat="1" x14ac:dyDescent="0.25"/>
    <row r="217998" customFormat="1" x14ac:dyDescent="0.25"/>
    <row r="217999" customFormat="1" x14ac:dyDescent="0.25"/>
    <row r="218000" customFormat="1" x14ac:dyDescent="0.25"/>
    <row r="218001" customFormat="1" x14ac:dyDescent="0.25"/>
    <row r="218002" customFormat="1" x14ac:dyDescent="0.25"/>
    <row r="218003" customFormat="1" x14ac:dyDescent="0.25"/>
    <row r="218004" customFormat="1" x14ac:dyDescent="0.25"/>
    <row r="218005" customFormat="1" x14ac:dyDescent="0.25"/>
    <row r="218006" customFormat="1" x14ac:dyDescent="0.25"/>
    <row r="218007" customFormat="1" x14ac:dyDescent="0.25"/>
    <row r="218008" customFormat="1" x14ac:dyDescent="0.25"/>
    <row r="218009" customFormat="1" x14ac:dyDescent="0.25"/>
    <row r="218010" customFormat="1" x14ac:dyDescent="0.25"/>
    <row r="218011" customFormat="1" x14ac:dyDescent="0.25"/>
    <row r="218012" customFormat="1" x14ac:dyDescent="0.25"/>
    <row r="218013" customFormat="1" x14ac:dyDescent="0.25"/>
    <row r="218014" customFormat="1" x14ac:dyDescent="0.25"/>
    <row r="218015" customFormat="1" x14ac:dyDescent="0.25"/>
    <row r="218016" customFormat="1" x14ac:dyDescent="0.25"/>
    <row r="218017" customFormat="1" x14ac:dyDescent="0.25"/>
    <row r="218018" customFormat="1" x14ac:dyDescent="0.25"/>
    <row r="218019" customFormat="1" x14ac:dyDescent="0.25"/>
    <row r="218020" customFormat="1" x14ac:dyDescent="0.25"/>
    <row r="218021" customFormat="1" x14ac:dyDescent="0.25"/>
    <row r="218022" customFormat="1" x14ac:dyDescent="0.25"/>
    <row r="218023" customFormat="1" x14ac:dyDescent="0.25"/>
    <row r="218024" customFormat="1" x14ac:dyDescent="0.25"/>
    <row r="218025" customFormat="1" x14ac:dyDescent="0.25"/>
    <row r="218026" customFormat="1" x14ac:dyDescent="0.25"/>
    <row r="218027" customFormat="1" x14ac:dyDescent="0.25"/>
    <row r="218028" customFormat="1" x14ac:dyDescent="0.25"/>
    <row r="218029" customFormat="1" x14ac:dyDescent="0.25"/>
    <row r="218030" customFormat="1" x14ac:dyDescent="0.25"/>
    <row r="218031" customFormat="1" x14ac:dyDescent="0.25"/>
    <row r="218032" customFormat="1" x14ac:dyDescent="0.25"/>
    <row r="218033" customFormat="1" x14ac:dyDescent="0.25"/>
    <row r="218034" customFormat="1" x14ac:dyDescent="0.25"/>
    <row r="218035" customFormat="1" x14ac:dyDescent="0.25"/>
    <row r="218036" customFormat="1" x14ac:dyDescent="0.25"/>
    <row r="218037" customFormat="1" x14ac:dyDescent="0.25"/>
    <row r="218038" customFormat="1" x14ac:dyDescent="0.25"/>
    <row r="218039" customFormat="1" x14ac:dyDescent="0.25"/>
    <row r="218040" customFormat="1" x14ac:dyDescent="0.25"/>
    <row r="218041" customFormat="1" x14ac:dyDescent="0.25"/>
    <row r="218042" customFormat="1" x14ac:dyDescent="0.25"/>
    <row r="218043" customFormat="1" x14ac:dyDescent="0.25"/>
    <row r="218044" customFormat="1" x14ac:dyDescent="0.25"/>
    <row r="218045" customFormat="1" x14ac:dyDescent="0.25"/>
    <row r="218046" customFormat="1" x14ac:dyDescent="0.25"/>
    <row r="218047" customFormat="1" x14ac:dyDescent="0.25"/>
    <row r="218048" customFormat="1" x14ac:dyDescent="0.25"/>
    <row r="218049" customFormat="1" x14ac:dyDescent="0.25"/>
    <row r="218050" customFormat="1" x14ac:dyDescent="0.25"/>
    <row r="218051" customFormat="1" x14ac:dyDescent="0.25"/>
    <row r="218052" customFormat="1" x14ac:dyDescent="0.25"/>
    <row r="218053" customFormat="1" x14ac:dyDescent="0.25"/>
    <row r="218054" customFormat="1" x14ac:dyDescent="0.25"/>
    <row r="218055" customFormat="1" x14ac:dyDescent="0.25"/>
    <row r="218056" customFormat="1" x14ac:dyDescent="0.25"/>
    <row r="218057" customFormat="1" x14ac:dyDescent="0.25"/>
    <row r="218058" customFormat="1" x14ac:dyDescent="0.25"/>
    <row r="218059" customFormat="1" x14ac:dyDescent="0.25"/>
    <row r="218060" customFormat="1" x14ac:dyDescent="0.25"/>
    <row r="218061" customFormat="1" x14ac:dyDescent="0.25"/>
    <row r="218062" customFormat="1" x14ac:dyDescent="0.25"/>
    <row r="218063" customFormat="1" x14ac:dyDescent="0.25"/>
    <row r="218064" customFormat="1" x14ac:dyDescent="0.25"/>
    <row r="218065" customFormat="1" x14ac:dyDescent="0.25"/>
    <row r="218066" customFormat="1" x14ac:dyDescent="0.25"/>
    <row r="218067" customFormat="1" x14ac:dyDescent="0.25"/>
    <row r="218068" customFormat="1" x14ac:dyDescent="0.25"/>
    <row r="218069" customFormat="1" x14ac:dyDescent="0.25"/>
    <row r="218070" customFormat="1" x14ac:dyDescent="0.25"/>
    <row r="218071" customFormat="1" x14ac:dyDescent="0.25"/>
    <row r="218072" customFormat="1" x14ac:dyDescent="0.25"/>
    <row r="218073" customFormat="1" x14ac:dyDescent="0.25"/>
    <row r="218074" customFormat="1" x14ac:dyDescent="0.25"/>
    <row r="218075" customFormat="1" x14ac:dyDescent="0.25"/>
    <row r="218076" customFormat="1" x14ac:dyDescent="0.25"/>
    <row r="218077" customFormat="1" x14ac:dyDescent="0.25"/>
    <row r="218078" customFormat="1" x14ac:dyDescent="0.25"/>
    <row r="218079" customFormat="1" x14ac:dyDescent="0.25"/>
    <row r="218080" customFormat="1" x14ac:dyDescent="0.25"/>
    <row r="218081" customFormat="1" x14ac:dyDescent="0.25"/>
    <row r="218082" customFormat="1" x14ac:dyDescent="0.25"/>
    <row r="218083" customFormat="1" x14ac:dyDescent="0.25"/>
    <row r="218084" customFormat="1" x14ac:dyDescent="0.25"/>
    <row r="218085" customFormat="1" x14ac:dyDescent="0.25"/>
    <row r="218086" customFormat="1" x14ac:dyDescent="0.25"/>
    <row r="218087" customFormat="1" x14ac:dyDescent="0.25"/>
    <row r="218088" customFormat="1" x14ac:dyDescent="0.25"/>
    <row r="218089" customFormat="1" x14ac:dyDescent="0.25"/>
    <row r="218090" customFormat="1" x14ac:dyDescent="0.25"/>
    <row r="218091" customFormat="1" x14ac:dyDescent="0.25"/>
    <row r="218092" customFormat="1" x14ac:dyDescent="0.25"/>
    <row r="218093" customFormat="1" x14ac:dyDescent="0.25"/>
    <row r="218094" customFormat="1" x14ac:dyDescent="0.25"/>
    <row r="218095" customFormat="1" x14ac:dyDescent="0.25"/>
    <row r="218096" customFormat="1" x14ac:dyDescent="0.25"/>
    <row r="218097" customFormat="1" x14ac:dyDescent="0.25"/>
    <row r="218098" customFormat="1" x14ac:dyDescent="0.25"/>
    <row r="218099" customFormat="1" x14ac:dyDescent="0.25"/>
    <row r="218100" customFormat="1" x14ac:dyDescent="0.25"/>
    <row r="218101" customFormat="1" x14ac:dyDescent="0.25"/>
    <row r="218102" customFormat="1" x14ac:dyDescent="0.25"/>
    <row r="218103" customFormat="1" x14ac:dyDescent="0.25"/>
    <row r="218104" customFormat="1" x14ac:dyDescent="0.25"/>
    <row r="218105" customFormat="1" x14ac:dyDescent="0.25"/>
    <row r="218106" customFormat="1" x14ac:dyDescent="0.25"/>
    <row r="218107" customFormat="1" x14ac:dyDescent="0.25"/>
    <row r="218108" customFormat="1" x14ac:dyDescent="0.25"/>
    <row r="218109" customFormat="1" x14ac:dyDescent="0.25"/>
    <row r="218110" customFormat="1" x14ac:dyDescent="0.25"/>
    <row r="218111" customFormat="1" x14ac:dyDescent="0.25"/>
    <row r="218112" customFormat="1" x14ac:dyDescent="0.25"/>
    <row r="218113" customFormat="1" x14ac:dyDescent="0.25"/>
    <row r="218114" customFormat="1" x14ac:dyDescent="0.25"/>
    <row r="218115" customFormat="1" x14ac:dyDescent="0.25"/>
    <row r="218116" customFormat="1" x14ac:dyDescent="0.25"/>
    <row r="218117" customFormat="1" x14ac:dyDescent="0.25"/>
    <row r="218118" customFormat="1" x14ac:dyDescent="0.25"/>
    <row r="218119" customFormat="1" x14ac:dyDescent="0.25"/>
    <row r="218120" customFormat="1" x14ac:dyDescent="0.25"/>
    <row r="218121" customFormat="1" x14ac:dyDescent="0.25"/>
    <row r="218122" customFormat="1" x14ac:dyDescent="0.25"/>
    <row r="218123" customFormat="1" x14ac:dyDescent="0.25"/>
    <row r="218124" customFormat="1" x14ac:dyDescent="0.25"/>
    <row r="218125" customFormat="1" x14ac:dyDescent="0.25"/>
    <row r="218126" customFormat="1" x14ac:dyDescent="0.25"/>
    <row r="218127" customFormat="1" x14ac:dyDescent="0.25"/>
    <row r="218128" customFormat="1" x14ac:dyDescent="0.25"/>
    <row r="218129" customFormat="1" x14ac:dyDescent="0.25"/>
    <row r="218130" customFormat="1" x14ac:dyDescent="0.25"/>
    <row r="218131" customFormat="1" x14ac:dyDescent="0.25"/>
    <row r="218132" customFormat="1" x14ac:dyDescent="0.25"/>
    <row r="218133" customFormat="1" x14ac:dyDescent="0.25"/>
    <row r="218134" customFormat="1" x14ac:dyDescent="0.25"/>
    <row r="218135" customFormat="1" x14ac:dyDescent="0.25"/>
    <row r="218136" customFormat="1" x14ac:dyDescent="0.25"/>
    <row r="218137" customFormat="1" x14ac:dyDescent="0.25"/>
    <row r="218138" customFormat="1" x14ac:dyDescent="0.25"/>
    <row r="218139" customFormat="1" x14ac:dyDescent="0.25"/>
    <row r="218140" customFormat="1" x14ac:dyDescent="0.25"/>
    <row r="218141" customFormat="1" x14ac:dyDescent="0.25"/>
    <row r="218142" customFormat="1" x14ac:dyDescent="0.25"/>
    <row r="218143" customFormat="1" x14ac:dyDescent="0.25"/>
    <row r="218144" customFormat="1" x14ac:dyDescent="0.25"/>
    <row r="218145" customFormat="1" x14ac:dyDescent="0.25"/>
    <row r="218146" customFormat="1" x14ac:dyDescent="0.25"/>
    <row r="218147" customFormat="1" x14ac:dyDescent="0.25"/>
    <row r="218148" customFormat="1" x14ac:dyDescent="0.25"/>
    <row r="218149" customFormat="1" x14ac:dyDescent="0.25"/>
    <row r="218150" customFormat="1" x14ac:dyDescent="0.25"/>
    <row r="218151" customFormat="1" x14ac:dyDescent="0.25"/>
    <row r="218152" customFormat="1" x14ac:dyDescent="0.25"/>
    <row r="218153" customFormat="1" x14ac:dyDescent="0.25"/>
    <row r="218154" customFormat="1" x14ac:dyDescent="0.25"/>
    <row r="218155" customFormat="1" x14ac:dyDescent="0.25"/>
    <row r="218156" customFormat="1" x14ac:dyDescent="0.25"/>
    <row r="218157" customFormat="1" x14ac:dyDescent="0.25"/>
    <row r="218158" customFormat="1" x14ac:dyDescent="0.25"/>
    <row r="218159" customFormat="1" x14ac:dyDescent="0.25"/>
    <row r="218160" customFormat="1" x14ac:dyDescent="0.25"/>
    <row r="218161" customFormat="1" x14ac:dyDescent="0.25"/>
    <row r="218162" customFormat="1" x14ac:dyDescent="0.25"/>
    <row r="218163" customFormat="1" x14ac:dyDescent="0.25"/>
    <row r="218164" customFormat="1" x14ac:dyDescent="0.25"/>
    <row r="218165" customFormat="1" x14ac:dyDescent="0.25"/>
    <row r="218166" customFormat="1" x14ac:dyDescent="0.25"/>
    <row r="218167" customFormat="1" x14ac:dyDescent="0.25"/>
    <row r="218168" customFormat="1" x14ac:dyDescent="0.25"/>
    <row r="218169" customFormat="1" x14ac:dyDescent="0.25"/>
    <row r="218170" customFormat="1" x14ac:dyDescent="0.25"/>
    <row r="218171" customFormat="1" x14ac:dyDescent="0.25"/>
    <row r="218172" customFormat="1" x14ac:dyDescent="0.25"/>
    <row r="218173" customFormat="1" x14ac:dyDescent="0.25"/>
    <row r="218174" customFormat="1" x14ac:dyDescent="0.25"/>
    <row r="218175" customFormat="1" x14ac:dyDescent="0.25"/>
    <row r="218176" customFormat="1" x14ac:dyDescent="0.25"/>
    <row r="218177" customFormat="1" x14ac:dyDescent="0.25"/>
    <row r="218178" customFormat="1" x14ac:dyDescent="0.25"/>
    <row r="218179" customFormat="1" x14ac:dyDescent="0.25"/>
    <row r="218180" customFormat="1" x14ac:dyDescent="0.25"/>
    <row r="218181" customFormat="1" x14ac:dyDescent="0.25"/>
    <row r="218182" customFormat="1" x14ac:dyDescent="0.25"/>
    <row r="218183" customFormat="1" x14ac:dyDescent="0.25"/>
    <row r="218184" customFormat="1" x14ac:dyDescent="0.25"/>
    <row r="218185" customFormat="1" x14ac:dyDescent="0.25"/>
    <row r="218186" customFormat="1" x14ac:dyDescent="0.25"/>
    <row r="218187" customFormat="1" x14ac:dyDescent="0.25"/>
    <row r="218188" customFormat="1" x14ac:dyDescent="0.25"/>
    <row r="218189" customFormat="1" x14ac:dyDescent="0.25"/>
    <row r="218190" customFormat="1" x14ac:dyDescent="0.25"/>
    <row r="218191" customFormat="1" x14ac:dyDescent="0.25"/>
    <row r="218192" customFormat="1" x14ac:dyDescent="0.25"/>
    <row r="218193" customFormat="1" x14ac:dyDescent="0.25"/>
    <row r="218194" customFormat="1" x14ac:dyDescent="0.25"/>
    <row r="218195" customFormat="1" x14ac:dyDescent="0.25"/>
    <row r="218196" customFormat="1" x14ac:dyDescent="0.25"/>
    <row r="218197" customFormat="1" x14ac:dyDescent="0.25"/>
    <row r="218198" customFormat="1" x14ac:dyDescent="0.25"/>
    <row r="218199" customFormat="1" x14ac:dyDescent="0.25"/>
    <row r="218200" customFormat="1" x14ac:dyDescent="0.25"/>
    <row r="218201" customFormat="1" x14ac:dyDescent="0.25"/>
    <row r="218202" customFormat="1" x14ac:dyDescent="0.25"/>
    <row r="218203" customFormat="1" x14ac:dyDescent="0.25"/>
    <row r="218204" customFormat="1" x14ac:dyDescent="0.25"/>
    <row r="218205" customFormat="1" x14ac:dyDescent="0.25"/>
    <row r="218206" customFormat="1" x14ac:dyDescent="0.25"/>
    <row r="218207" customFormat="1" x14ac:dyDescent="0.25"/>
    <row r="218208" customFormat="1" x14ac:dyDescent="0.25"/>
    <row r="218209" customFormat="1" x14ac:dyDescent="0.25"/>
    <row r="218210" customFormat="1" x14ac:dyDescent="0.25"/>
    <row r="218211" customFormat="1" x14ac:dyDescent="0.25"/>
    <row r="218212" customFormat="1" x14ac:dyDescent="0.25"/>
    <row r="218213" customFormat="1" x14ac:dyDescent="0.25"/>
    <row r="218214" customFormat="1" x14ac:dyDescent="0.25"/>
    <row r="218215" customFormat="1" x14ac:dyDescent="0.25"/>
    <row r="218216" customFormat="1" x14ac:dyDescent="0.25"/>
    <row r="218217" customFormat="1" x14ac:dyDescent="0.25"/>
    <row r="218218" customFormat="1" x14ac:dyDescent="0.25"/>
    <row r="218219" customFormat="1" x14ac:dyDescent="0.25"/>
    <row r="218220" customFormat="1" x14ac:dyDescent="0.25"/>
    <row r="218221" customFormat="1" x14ac:dyDescent="0.25"/>
    <row r="218222" customFormat="1" x14ac:dyDescent="0.25"/>
    <row r="218223" customFormat="1" x14ac:dyDescent="0.25"/>
    <row r="218224" customFormat="1" x14ac:dyDescent="0.25"/>
    <row r="218225" customFormat="1" x14ac:dyDescent="0.25"/>
    <row r="218226" customFormat="1" x14ac:dyDescent="0.25"/>
    <row r="218227" customFormat="1" x14ac:dyDescent="0.25"/>
    <row r="218228" customFormat="1" x14ac:dyDescent="0.25"/>
    <row r="218229" customFormat="1" x14ac:dyDescent="0.25"/>
    <row r="218230" customFormat="1" x14ac:dyDescent="0.25"/>
    <row r="218231" customFormat="1" x14ac:dyDescent="0.25"/>
    <row r="218232" customFormat="1" x14ac:dyDescent="0.25"/>
    <row r="218233" customFormat="1" x14ac:dyDescent="0.25"/>
    <row r="218234" customFormat="1" x14ac:dyDescent="0.25"/>
    <row r="218235" customFormat="1" x14ac:dyDescent="0.25"/>
    <row r="218236" customFormat="1" x14ac:dyDescent="0.25"/>
    <row r="218237" customFormat="1" x14ac:dyDescent="0.25"/>
    <row r="218238" customFormat="1" x14ac:dyDescent="0.25"/>
    <row r="218239" customFormat="1" x14ac:dyDescent="0.25"/>
    <row r="218240" customFormat="1" x14ac:dyDescent="0.25"/>
    <row r="218241" customFormat="1" x14ac:dyDescent="0.25"/>
    <row r="218242" customFormat="1" x14ac:dyDescent="0.25"/>
    <row r="218243" customFormat="1" x14ac:dyDescent="0.25"/>
    <row r="218244" customFormat="1" x14ac:dyDescent="0.25"/>
    <row r="218245" customFormat="1" x14ac:dyDescent="0.25"/>
    <row r="218246" customFormat="1" x14ac:dyDescent="0.25"/>
    <row r="218247" customFormat="1" x14ac:dyDescent="0.25"/>
    <row r="218248" customFormat="1" x14ac:dyDescent="0.25"/>
    <row r="218249" customFormat="1" x14ac:dyDescent="0.25"/>
    <row r="218250" customFormat="1" x14ac:dyDescent="0.25"/>
    <row r="218251" customFormat="1" x14ac:dyDescent="0.25"/>
    <row r="218252" customFormat="1" x14ac:dyDescent="0.25"/>
    <row r="218253" customFormat="1" x14ac:dyDescent="0.25"/>
    <row r="218254" customFormat="1" x14ac:dyDescent="0.25"/>
    <row r="218255" customFormat="1" x14ac:dyDescent="0.25"/>
    <row r="218256" customFormat="1" x14ac:dyDescent="0.25"/>
    <row r="218257" customFormat="1" x14ac:dyDescent="0.25"/>
    <row r="218258" customFormat="1" x14ac:dyDescent="0.25"/>
    <row r="218259" customFormat="1" x14ac:dyDescent="0.25"/>
    <row r="218260" customFormat="1" x14ac:dyDescent="0.25"/>
    <row r="218261" customFormat="1" x14ac:dyDescent="0.25"/>
    <row r="218262" customFormat="1" x14ac:dyDescent="0.25"/>
    <row r="218263" customFormat="1" x14ac:dyDescent="0.25"/>
    <row r="218264" customFormat="1" x14ac:dyDescent="0.25"/>
    <row r="218265" customFormat="1" x14ac:dyDescent="0.25"/>
    <row r="218266" customFormat="1" x14ac:dyDescent="0.25"/>
    <row r="218267" customFormat="1" x14ac:dyDescent="0.25"/>
    <row r="218268" customFormat="1" x14ac:dyDescent="0.25"/>
    <row r="218269" customFormat="1" x14ac:dyDescent="0.25"/>
    <row r="218270" customFormat="1" x14ac:dyDescent="0.25"/>
    <row r="218271" customFormat="1" x14ac:dyDescent="0.25"/>
    <row r="218272" customFormat="1" x14ac:dyDescent="0.25"/>
    <row r="218273" customFormat="1" x14ac:dyDescent="0.25"/>
    <row r="218274" customFormat="1" x14ac:dyDescent="0.25"/>
    <row r="218275" customFormat="1" x14ac:dyDescent="0.25"/>
    <row r="218276" customFormat="1" x14ac:dyDescent="0.25"/>
    <row r="218277" customFormat="1" x14ac:dyDescent="0.25"/>
    <row r="218278" customFormat="1" x14ac:dyDescent="0.25"/>
    <row r="218279" customFormat="1" x14ac:dyDescent="0.25"/>
    <row r="218280" customFormat="1" x14ac:dyDescent="0.25"/>
    <row r="218281" customFormat="1" x14ac:dyDescent="0.25"/>
    <row r="218282" customFormat="1" x14ac:dyDescent="0.25"/>
    <row r="218283" customFormat="1" x14ac:dyDescent="0.25"/>
    <row r="218284" customFormat="1" x14ac:dyDescent="0.25"/>
    <row r="218285" customFormat="1" x14ac:dyDescent="0.25"/>
    <row r="218286" customFormat="1" x14ac:dyDescent="0.25"/>
    <row r="218287" customFormat="1" x14ac:dyDescent="0.25"/>
    <row r="218288" customFormat="1" x14ac:dyDescent="0.25"/>
    <row r="218289" customFormat="1" x14ac:dyDescent="0.25"/>
    <row r="218290" customFormat="1" x14ac:dyDescent="0.25"/>
    <row r="218291" customFormat="1" x14ac:dyDescent="0.25"/>
    <row r="218292" customFormat="1" x14ac:dyDescent="0.25"/>
    <row r="218293" customFormat="1" x14ac:dyDescent="0.25"/>
    <row r="218294" customFormat="1" x14ac:dyDescent="0.25"/>
    <row r="218295" customFormat="1" x14ac:dyDescent="0.25"/>
    <row r="218296" customFormat="1" x14ac:dyDescent="0.25"/>
    <row r="218297" customFormat="1" x14ac:dyDescent="0.25"/>
    <row r="218298" customFormat="1" x14ac:dyDescent="0.25"/>
    <row r="218299" customFormat="1" x14ac:dyDescent="0.25"/>
    <row r="218300" customFormat="1" x14ac:dyDescent="0.25"/>
    <row r="218301" customFormat="1" x14ac:dyDescent="0.25"/>
    <row r="218302" customFormat="1" x14ac:dyDescent="0.25"/>
    <row r="218303" customFormat="1" x14ac:dyDescent="0.25"/>
    <row r="218304" customFormat="1" x14ac:dyDescent="0.25"/>
    <row r="218305" customFormat="1" x14ac:dyDescent="0.25"/>
    <row r="218306" customFormat="1" x14ac:dyDescent="0.25"/>
    <row r="218307" customFormat="1" x14ac:dyDescent="0.25"/>
    <row r="218308" customFormat="1" x14ac:dyDescent="0.25"/>
    <row r="218309" customFormat="1" x14ac:dyDescent="0.25"/>
    <row r="218310" customFormat="1" x14ac:dyDescent="0.25"/>
    <row r="218311" customFormat="1" x14ac:dyDescent="0.25"/>
    <row r="218312" customFormat="1" x14ac:dyDescent="0.25"/>
    <row r="218313" customFormat="1" x14ac:dyDescent="0.25"/>
    <row r="218314" customFormat="1" x14ac:dyDescent="0.25"/>
    <row r="218315" customFormat="1" x14ac:dyDescent="0.25"/>
    <row r="218316" customFormat="1" x14ac:dyDescent="0.25"/>
    <row r="218317" customFormat="1" x14ac:dyDescent="0.25"/>
    <row r="218318" customFormat="1" x14ac:dyDescent="0.25"/>
    <row r="218319" customFormat="1" x14ac:dyDescent="0.25"/>
    <row r="218320" customFormat="1" x14ac:dyDescent="0.25"/>
    <row r="218321" customFormat="1" x14ac:dyDescent="0.25"/>
    <row r="218322" customFormat="1" x14ac:dyDescent="0.25"/>
    <row r="218323" customFormat="1" x14ac:dyDescent="0.25"/>
    <row r="218324" customFormat="1" x14ac:dyDescent="0.25"/>
    <row r="218325" customFormat="1" x14ac:dyDescent="0.25"/>
    <row r="218326" customFormat="1" x14ac:dyDescent="0.25"/>
    <row r="218327" customFormat="1" x14ac:dyDescent="0.25"/>
    <row r="218328" customFormat="1" x14ac:dyDescent="0.25"/>
    <row r="218329" customFormat="1" x14ac:dyDescent="0.25"/>
    <row r="218330" customFormat="1" x14ac:dyDescent="0.25"/>
    <row r="218331" customFormat="1" x14ac:dyDescent="0.25"/>
    <row r="218332" customFormat="1" x14ac:dyDescent="0.25"/>
    <row r="218333" customFormat="1" x14ac:dyDescent="0.25"/>
    <row r="218334" customFormat="1" x14ac:dyDescent="0.25"/>
    <row r="218335" customFormat="1" x14ac:dyDescent="0.25"/>
    <row r="218336" customFormat="1" x14ac:dyDescent="0.25"/>
    <row r="218337" customFormat="1" x14ac:dyDescent="0.25"/>
    <row r="218338" customFormat="1" x14ac:dyDescent="0.25"/>
    <row r="218339" customFormat="1" x14ac:dyDescent="0.25"/>
    <row r="218340" customFormat="1" x14ac:dyDescent="0.25"/>
    <row r="218341" customFormat="1" x14ac:dyDescent="0.25"/>
    <row r="218342" customFormat="1" x14ac:dyDescent="0.25"/>
    <row r="218343" customFormat="1" x14ac:dyDescent="0.25"/>
    <row r="218344" customFormat="1" x14ac:dyDescent="0.25"/>
    <row r="218345" customFormat="1" x14ac:dyDescent="0.25"/>
    <row r="218346" customFormat="1" x14ac:dyDescent="0.25"/>
    <row r="218347" customFormat="1" x14ac:dyDescent="0.25"/>
    <row r="218348" customFormat="1" x14ac:dyDescent="0.25"/>
    <row r="218349" customFormat="1" x14ac:dyDescent="0.25"/>
    <row r="218350" customFormat="1" x14ac:dyDescent="0.25"/>
    <row r="218351" customFormat="1" x14ac:dyDescent="0.25"/>
    <row r="218352" customFormat="1" x14ac:dyDescent="0.25"/>
    <row r="218353" customFormat="1" x14ac:dyDescent="0.25"/>
    <row r="218354" customFormat="1" x14ac:dyDescent="0.25"/>
    <row r="218355" customFormat="1" x14ac:dyDescent="0.25"/>
    <row r="218356" customFormat="1" x14ac:dyDescent="0.25"/>
    <row r="218357" customFormat="1" x14ac:dyDescent="0.25"/>
    <row r="218358" customFormat="1" x14ac:dyDescent="0.25"/>
    <row r="218359" customFormat="1" x14ac:dyDescent="0.25"/>
    <row r="218360" customFormat="1" x14ac:dyDescent="0.25"/>
    <row r="218361" customFormat="1" x14ac:dyDescent="0.25"/>
    <row r="218362" customFormat="1" x14ac:dyDescent="0.25"/>
    <row r="218363" customFormat="1" x14ac:dyDescent="0.25"/>
    <row r="218364" customFormat="1" x14ac:dyDescent="0.25"/>
    <row r="218365" customFormat="1" x14ac:dyDescent="0.25"/>
    <row r="218366" customFormat="1" x14ac:dyDescent="0.25"/>
    <row r="218367" customFormat="1" x14ac:dyDescent="0.25"/>
    <row r="218368" customFormat="1" x14ac:dyDescent="0.25"/>
    <row r="218369" customFormat="1" x14ac:dyDescent="0.25"/>
    <row r="218370" customFormat="1" x14ac:dyDescent="0.25"/>
    <row r="218371" customFormat="1" x14ac:dyDescent="0.25"/>
    <row r="218372" customFormat="1" x14ac:dyDescent="0.25"/>
    <row r="218373" customFormat="1" x14ac:dyDescent="0.25"/>
    <row r="218374" customFormat="1" x14ac:dyDescent="0.25"/>
    <row r="218375" customFormat="1" x14ac:dyDescent="0.25"/>
    <row r="218376" customFormat="1" x14ac:dyDescent="0.25"/>
    <row r="218377" customFormat="1" x14ac:dyDescent="0.25"/>
    <row r="218378" customFormat="1" x14ac:dyDescent="0.25"/>
    <row r="218379" customFormat="1" x14ac:dyDescent="0.25"/>
    <row r="218380" customFormat="1" x14ac:dyDescent="0.25"/>
    <row r="218381" customFormat="1" x14ac:dyDescent="0.25"/>
    <row r="218382" customFormat="1" x14ac:dyDescent="0.25"/>
    <row r="218383" customFormat="1" x14ac:dyDescent="0.25"/>
    <row r="218384" customFormat="1" x14ac:dyDescent="0.25"/>
    <row r="218385" customFormat="1" x14ac:dyDescent="0.25"/>
    <row r="218386" customFormat="1" x14ac:dyDescent="0.25"/>
    <row r="218387" customFormat="1" x14ac:dyDescent="0.25"/>
    <row r="218388" customFormat="1" x14ac:dyDescent="0.25"/>
    <row r="218389" customFormat="1" x14ac:dyDescent="0.25"/>
    <row r="218390" customFormat="1" x14ac:dyDescent="0.25"/>
    <row r="218391" customFormat="1" x14ac:dyDescent="0.25"/>
    <row r="218392" customFormat="1" x14ac:dyDescent="0.25"/>
    <row r="218393" customFormat="1" x14ac:dyDescent="0.25"/>
    <row r="218394" customFormat="1" x14ac:dyDescent="0.25"/>
    <row r="218395" customFormat="1" x14ac:dyDescent="0.25"/>
    <row r="218396" customFormat="1" x14ac:dyDescent="0.25"/>
    <row r="218397" customFormat="1" x14ac:dyDescent="0.25"/>
    <row r="218398" customFormat="1" x14ac:dyDescent="0.25"/>
    <row r="218399" customFormat="1" x14ac:dyDescent="0.25"/>
    <row r="218400" customFormat="1" x14ac:dyDescent="0.25"/>
    <row r="218401" customFormat="1" x14ac:dyDescent="0.25"/>
    <row r="218402" customFormat="1" x14ac:dyDescent="0.25"/>
    <row r="218403" customFormat="1" x14ac:dyDescent="0.25"/>
    <row r="218404" customFormat="1" x14ac:dyDescent="0.25"/>
    <row r="218405" customFormat="1" x14ac:dyDescent="0.25"/>
    <row r="218406" customFormat="1" x14ac:dyDescent="0.25"/>
    <row r="218407" customFormat="1" x14ac:dyDescent="0.25"/>
    <row r="218408" customFormat="1" x14ac:dyDescent="0.25"/>
    <row r="218409" customFormat="1" x14ac:dyDescent="0.25"/>
    <row r="218410" customFormat="1" x14ac:dyDescent="0.25"/>
    <row r="218411" customFormat="1" x14ac:dyDescent="0.25"/>
    <row r="218412" customFormat="1" x14ac:dyDescent="0.25"/>
    <row r="218413" customFormat="1" x14ac:dyDescent="0.25"/>
    <row r="218414" customFormat="1" x14ac:dyDescent="0.25"/>
    <row r="218415" customFormat="1" x14ac:dyDescent="0.25"/>
    <row r="218416" customFormat="1" x14ac:dyDescent="0.25"/>
    <row r="218417" customFormat="1" x14ac:dyDescent="0.25"/>
    <row r="218418" customFormat="1" x14ac:dyDescent="0.25"/>
    <row r="218419" customFormat="1" x14ac:dyDescent="0.25"/>
    <row r="218420" customFormat="1" x14ac:dyDescent="0.25"/>
    <row r="218421" customFormat="1" x14ac:dyDescent="0.25"/>
    <row r="218422" customFormat="1" x14ac:dyDescent="0.25"/>
    <row r="218423" customFormat="1" x14ac:dyDescent="0.25"/>
    <row r="218424" customFormat="1" x14ac:dyDescent="0.25"/>
    <row r="218425" customFormat="1" x14ac:dyDescent="0.25"/>
    <row r="218426" customFormat="1" x14ac:dyDescent="0.25"/>
    <row r="218427" customFormat="1" x14ac:dyDescent="0.25"/>
    <row r="218428" customFormat="1" x14ac:dyDescent="0.25"/>
    <row r="218429" customFormat="1" x14ac:dyDescent="0.25"/>
    <row r="218430" customFormat="1" x14ac:dyDescent="0.25"/>
    <row r="218431" customFormat="1" x14ac:dyDescent="0.25"/>
    <row r="218432" customFormat="1" x14ac:dyDescent="0.25"/>
    <row r="218433" customFormat="1" x14ac:dyDescent="0.25"/>
    <row r="218434" customFormat="1" x14ac:dyDescent="0.25"/>
    <row r="218435" customFormat="1" x14ac:dyDescent="0.25"/>
    <row r="218436" customFormat="1" x14ac:dyDescent="0.25"/>
    <row r="218437" customFormat="1" x14ac:dyDescent="0.25"/>
    <row r="218438" customFormat="1" x14ac:dyDescent="0.25"/>
    <row r="218439" customFormat="1" x14ac:dyDescent="0.25"/>
    <row r="218440" customFormat="1" x14ac:dyDescent="0.25"/>
    <row r="218441" customFormat="1" x14ac:dyDescent="0.25"/>
    <row r="218442" customFormat="1" x14ac:dyDescent="0.25"/>
    <row r="218443" customFormat="1" x14ac:dyDescent="0.25"/>
    <row r="218444" customFormat="1" x14ac:dyDescent="0.25"/>
    <row r="218445" customFormat="1" x14ac:dyDescent="0.25"/>
    <row r="218446" customFormat="1" x14ac:dyDescent="0.25"/>
    <row r="218447" customFormat="1" x14ac:dyDescent="0.25"/>
    <row r="218448" customFormat="1" x14ac:dyDescent="0.25"/>
    <row r="218449" customFormat="1" x14ac:dyDescent="0.25"/>
    <row r="218450" customFormat="1" x14ac:dyDescent="0.25"/>
    <row r="218451" customFormat="1" x14ac:dyDescent="0.25"/>
    <row r="218452" customFormat="1" x14ac:dyDescent="0.25"/>
    <row r="218453" customFormat="1" x14ac:dyDescent="0.25"/>
    <row r="218454" customFormat="1" x14ac:dyDescent="0.25"/>
    <row r="218455" customFormat="1" x14ac:dyDescent="0.25"/>
    <row r="218456" customFormat="1" x14ac:dyDescent="0.25"/>
    <row r="218457" customFormat="1" x14ac:dyDescent="0.25"/>
    <row r="218458" customFormat="1" x14ac:dyDescent="0.25"/>
    <row r="218459" customFormat="1" x14ac:dyDescent="0.25"/>
    <row r="218460" customFormat="1" x14ac:dyDescent="0.25"/>
    <row r="218461" customFormat="1" x14ac:dyDescent="0.25"/>
    <row r="218462" customFormat="1" x14ac:dyDescent="0.25"/>
    <row r="218463" customFormat="1" x14ac:dyDescent="0.25"/>
    <row r="218464" customFormat="1" x14ac:dyDescent="0.25"/>
    <row r="218465" customFormat="1" x14ac:dyDescent="0.25"/>
    <row r="218466" customFormat="1" x14ac:dyDescent="0.25"/>
    <row r="218467" customFormat="1" x14ac:dyDescent="0.25"/>
    <row r="218468" customFormat="1" x14ac:dyDescent="0.25"/>
    <row r="218469" customFormat="1" x14ac:dyDescent="0.25"/>
    <row r="218470" customFormat="1" x14ac:dyDescent="0.25"/>
    <row r="218471" customFormat="1" x14ac:dyDescent="0.25"/>
    <row r="218472" customFormat="1" x14ac:dyDescent="0.25"/>
    <row r="218473" customFormat="1" x14ac:dyDescent="0.25"/>
    <row r="218474" customFormat="1" x14ac:dyDescent="0.25"/>
    <row r="218475" customFormat="1" x14ac:dyDescent="0.25"/>
    <row r="218476" customFormat="1" x14ac:dyDescent="0.25"/>
    <row r="218477" customFormat="1" x14ac:dyDescent="0.25"/>
    <row r="218478" customFormat="1" x14ac:dyDescent="0.25"/>
    <row r="218479" customFormat="1" x14ac:dyDescent="0.25"/>
    <row r="218480" customFormat="1" x14ac:dyDescent="0.25"/>
    <row r="218481" customFormat="1" x14ac:dyDescent="0.25"/>
    <row r="218482" customFormat="1" x14ac:dyDescent="0.25"/>
    <row r="218483" customFormat="1" x14ac:dyDescent="0.25"/>
    <row r="218484" customFormat="1" x14ac:dyDescent="0.25"/>
    <row r="218485" customFormat="1" x14ac:dyDescent="0.25"/>
    <row r="218486" customFormat="1" x14ac:dyDescent="0.25"/>
    <row r="218487" customFormat="1" x14ac:dyDescent="0.25"/>
    <row r="218488" customFormat="1" x14ac:dyDescent="0.25"/>
    <row r="218489" customFormat="1" x14ac:dyDescent="0.25"/>
    <row r="218490" customFormat="1" x14ac:dyDescent="0.25"/>
    <row r="218491" customFormat="1" x14ac:dyDescent="0.25"/>
    <row r="218492" customFormat="1" x14ac:dyDescent="0.25"/>
    <row r="218493" customFormat="1" x14ac:dyDescent="0.25"/>
    <row r="218494" customFormat="1" x14ac:dyDescent="0.25"/>
    <row r="218495" customFormat="1" x14ac:dyDescent="0.25"/>
    <row r="218496" customFormat="1" x14ac:dyDescent="0.25"/>
    <row r="218497" customFormat="1" x14ac:dyDescent="0.25"/>
    <row r="218498" customFormat="1" x14ac:dyDescent="0.25"/>
    <row r="218499" customFormat="1" x14ac:dyDescent="0.25"/>
    <row r="218500" customFormat="1" x14ac:dyDescent="0.25"/>
    <row r="218501" customFormat="1" x14ac:dyDescent="0.25"/>
    <row r="218502" customFormat="1" x14ac:dyDescent="0.25"/>
    <row r="218503" customFormat="1" x14ac:dyDescent="0.25"/>
    <row r="218504" customFormat="1" x14ac:dyDescent="0.25"/>
    <row r="218505" customFormat="1" x14ac:dyDescent="0.25"/>
    <row r="218506" customFormat="1" x14ac:dyDescent="0.25"/>
    <row r="218507" customFormat="1" x14ac:dyDescent="0.25"/>
    <row r="218508" customFormat="1" x14ac:dyDescent="0.25"/>
    <row r="218509" customFormat="1" x14ac:dyDescent="0.25"/>
    <row r="218510" customFormat="1" x14ac:dyDescent="0.25"/>
    <row r="218511" customFormat="1" x14ac:dyDescent="0.25"/>
    <row r="218512" customFormat="1" x14ac:dyDescent="0.25"/>
    <row r="218513" customFormat="1" x14ac:dyDescent="0.25"/>
    <row r="218514" customFormat="1" x14ac:dyDescent="0.25"/>
    <row r="218515" customFormat="1" x14ac:dyDescent="0.25"/>
    <row r="218516" customFormat="1" x14ac:dyDescent="0.25"/>
    <row r="218517" customFormat="1" x14ac:dyDescent="0.25"/>
    <row r="218518" customFormat="1" x14ac:dyDescent="0.25"/>
    <row r="218519" customFormat="1" x14ac:dyDescent="0.25"/>
    <row r="218520" customFormat="1" x14ac:dyDescent="0.25"/>
    <row r="218521" customFormat="1" x14ac:dyDescent="0.25"/>
    <row r="218522" customFormat="1" x14ac:dyDescent="0.25"/>
    <row r="218523" customFormat="1" x14ac:dyDescent="0.25"/>
    <row r="218524" customFormat="1" x14ac:dyDescent="0.25"/>
    <row r="218525" customFormat="1" x14ac:dyDescent="0.25"/>
    <row r="218526" customFormat="1" x14ac:dyDescent="0.25"/>
    <row r="218527" customFormat="1" x14ac:dyDescent="0.25"/>
    <row r="218528" customFormat="1" x14ac:dyDescent="0.25"/>
    <row r="218529" customFormat="1" x14ac:dyDescent="0.25"/>
    <row r="218530" customFormat="1" x14ac:dyDescent="0.25"/>
    <row r="218531" customFormat="1" x14ac:dyDescent="0.25"/>
    <row r="218532" customFormat="1" x14ac:dyDescent="0.25"/>
    <row r="218533" customFormat="1" x14ac:dyDescent="0.25"/>
    <row r="218534" customFormat="1" x14ac:dyDescent="0.25"/>
    <row r="218535" customFormat="1" x14ac:dyDescent="0.25"/>
    <row r="218536" customFormat="1" x14ac:dyDescent="0.25"/>
    <row r="218537" customFormat="1" x14ac:dyDescent="0.25"/>
    <row r="218538" customFormat="1" x14ac:dyDescent="0.25"/>
    <row r="218539" customFormat="1" x14ac:dyDescent="0.25"/>
    <row r="218540" customFormat="1" x14ac:dyDescent="0.25"/>
    <row r="218541" customFormat="1" x14ac:dyDescent="0.25"/>
    <row r="218542" customFormat="1" x14ac:dyDescent="0.25"/>
    <row r="218543" customFormat="1" x14ac:dyDescent="0.25"/>
    <row r="218544" customFormat="1" x14ac:dyDescent="0.25"/>
    <row r="218545" customFormat="1" x14ac:dyDescent="0.25"/>
    <row r="218546" customFormat="1" x14ac:dyDescent="0.25"/>
    <row r="218547" customFormat="1" x14ac:dyDescent="0.25"/>
    <row r="218548" customFormat="1" x14ac:dyDescent="0.25"/>
    <row r="218549" customFormat="1" x14ac:dyDescent="0.25"/>
    <row r="218550" customFormat="1" x14ac:dyDescent="0.25"/>
    <row r="218551" customFormat="1" x14ac:dyDescent="0.25"/>
    <row r="218552" customFormat="1" x14ac:dyDescent="0.25"/>
    <row r="218553" customFormat="1" x14ac:dyDescent="0.25"/>
    <row r="218554" customFormat="1" x14ac:dyDescent="0.25"/>
    <row r="218555" customFormat="1" x14ac:dyDescent="0.25"/>
    <row r="218556" customFormat="1" x14ac:dyDescent="0.25"/>
    <row r="218557" customFormat="1" x14ac:dyDescent="0.25"/>
    <row r="218558" customFormat="1" x14ac:dyDescent="0.25"/>
    <row r="218559" customFormat="1" x14ac:dyDescent="0.25"/>
    <row r="218560" customFormat="1" x14ac:dyDescent="0.25"/>
    <row r="218561" customFormat="1" x14ac:dyDescent="0.25"/>
    <row r="218562" customFormat="1" x14ac:dyDescent="0.25"/>
    <row r="218563" customFormat="1" x14ac:dyDescent="0.25"/>
    <row r="218564" customFormat="1" x14ac:dyDescent="0.25"/>
    <row r="218565" customFormat="1" x14ac:dyDescent="0.25"/>
    <row r="218566" customFormat="1" x14ac:dyDescent="0.25"/>
    <row r="218567" customFormat="1" x14ac:dyDescent="0.25"/>
    <row r="218568" customFormat="1" x14ac:dyDescent="0.25"/>
    <row r="218569" customFormat="1" x14ac:dyDescent="0.25"/>
    <row r="218570" customFormat="1" x14ac:dyDescent="0.25"/>
    <row r="218571" customFormat="1" x14ac:dyDescent="0.25"/>
    <row r="218572" customFormat="1" x14ac:dyDescent="0.25"/>
    <row r="218573" customFormat="1" x14ac:dyDescent="0.25"/>
    <row r="218574" customFormat="1" x14ac:dyDescent="0.25"/>
    <row r="218575" customFormat="1" x14ac:dyDescent="0.25"/>
    <row r="218576" customFormat="1" x14ac:dyDescent="0.25"/>
    <row r="218577" customFormat="1" x14ac:dyDescent="0.25"/>
    <row r="218578" customFormat="1" x14ac:dyDescent="0.25"/>
    <row r="218579" customFormat="1" x14ac:dyDescent="0.25"/>
    <row r="218580" customFormat="1" x14ac:dyDescent="0.25"/>
    <row r="218581" customFormat="1" x14ac:dyDescent="0.25"/>
    <row r="218582" customFormat="1" x14ac:dyDescent="0.25"/>
    <row r="218583" customFormat="1" x14ac:dyDescent="0.25"/>
    <row r="218584" customFormat="1" x14ac:dyDescent="0.25"/>
    <row r="218585" customFormat="1" x14ac:dyDescent="0.25"/>
    <row r="218586" customFormat="1" x14ac:dyDescent="0.25"/>
    <row r="218587" customFormat="1" x14ac:dyDescent="0.25"/>
    <row r="218588" customFormat="1" x14ac:dyDescent="0.25"/>
    <row r="218589" customFormat="1" x14ac:dyDescent="0.25"/>
    <row r="218590" customFormat="1" x14ac:dyDescent="0.25"/>
    <row r="218591" customFormat="1" x14ac:dyDescent="0.25"/>
    <row r="218592" customFormat="1" x14ac:dyDescent="0.25"/>
    <row r="218593" customFormat="1" x14ac:dyDescent="0.25"/>
    <row r="218594" customFormat="1" x14ac:dyDescent="0.25"/>
    <row r="218595" customFormat="1" x14ac:dyDescent="0.25"/>
    <row r="218596" customFormat="1" x14ac:dyDescent="0.25"/>
    <row r="218597" customFormat="1" x14ac:dyDescent="0.25"/>
    <row r="218598" customFormat="1" x14ac:dyDescent="0.25"/>
    <row r="218599" customFormat="1" x14ac:dyDescent="0.25"/>
    <row r="218600" customFormat="1" x14ac:dyDescent="0.25"/>
    <row r="218601" customFormat="1" x14ac:dyDescent="0.25"/>
    <row r="218602" customFormat="1" x14ac:dyDescent="0.25"/>
    <row r="218603" customFormat="1" x14ac:dyDescent="0.25"/>
    <row r="218604" customFormat="1" x14ac:dyDescent="0.25"/>
    <row r="218605" customFormat="1" x14ac:dyDescent="0.25"/>
    <row r="218606" customFormat="1" x14ac:dyDescent="0.25"/>
    <row r="218607" customFormat="1" x14ac:dyDescent="0.25"/>
    <row r="218608" customFormat="1" x14ac:dyDescent="0.25"/>
    <row r="218609" customFormat="1" x14ac:dyDescent="0.25"/>
    <row r="218610" customFormat="1" x14ac:dyDescent="0.25"/>
    <row r="218611" customFormat="1" x14ac:dyDescent="0.25"/>
    <row r="218612" customFormat="1" x14ac:dyDescent="0.25"/>
    <row r="218613" customFormat="1" x14ac:dyDescent="0.25"/>
    <row r="218614" customFormat="1" x14ac:dyDescent="0.25"/>
    <row r="218615" customFormat="1" x14ac:dyDescent="0.25"/>
    <row r="218616" customFormat="1" x14ac:dyDescent="0.25"/>
    <row r="218617" customFormat="1" x14ac:dyDescent="0.25"/>
    <row r="218618" customFormat="1" x14ac:dyDescent="0.25"/>
    <row r="218619" customFormat="1" x14ac:dyDescent="0.25"/>
    <row r="218620" customFormat="1" x14ac:dyDescent="0.25"/>
    <row r="218621" customFormat="1" x14ac:dyDescent="0.25"/>
    <row r="218622" customFormat="1" x14ac:dyDescent="0.25"/>
    <row r="218623" customFormat="1" x14ac:dyDescent="0.25"/>
    <row r="218624" customFormat="1" x14ac:dyDescent="0.25"/>
    <row r="218625" customFormat="1" x14ac:dyDescent="0.25"/>
    <row r="218626" customFormat="1" x14ac:dyDescent="0.25"/>
    <row r="218627" customFormat="1" x14ac:dyDescent="0.25"/>
    <row r="218628" customFormat="1" x14ac:dyDescent="0.25"/>
    <row r="218629" customFormat="1" x14ac:dyDescent="0.25"/>
    <row r="218630" customFormat="1" x14ac:dyDescent="0.25"/>
    <row r="218631" customFormat="1" x14ac:dyDescent="0.25"/>
    <row r="218632" customFormat="1" x14ac:dyDescent="0.25"/>
    <row r="218633" customFormat="1" x14ac:dyDescent="0.25"/>
    <row r="218634" customFormat="1" x14ac:dyDescent="0.25"/>
    <row r="218635" customFormat="1" x14ac:dyDescent="0.25"/>
    <row r="218636" customFormat="1" x14ac:dyDescent="0.25"/>
    <row r="218637" customFormat="1" x14ac:dyDescent="0.25"/>
    <row r="218638" customFormat="1" x14ac:dyDescent="0.25"/>
    <row r="218639" customFormat="1" x14ac:dyDescent="0.25"/>
    <row r="218640" customFormat="1" x14ac:dyDescent="0.25"/>
    <row r="218641" customFormat="1" x14ac:dyDescent="0.25"/>
    <row r="218642" customFormat="1" x14ac:dyDescent="0.25"/>
    <row r="218643" customFormat="1" x14ac:dyDescent="0.25"/>
    <row r="218644" customFormat="1" x14ac:dyDescent="0.25"/>
    <row r="218645" customFormat="1" x14ac:dyDescent="0.25"/>
    <row r="218646" customFormat="1" x14ac:dyDescent="0.25"/>
    <row r="218647" customFormat="1" x14ac:dyDescent="0.25"/>
    <row r="218648" customFormat="1" x14ac:dyDescent="0.25"/>
    <row r="218649" customFormat="1" x14ac:dyDescent="0.25"/>
    <row r="218650" customFormat="1" x14ac:dyDescent="0.25"/>
    <row r="218651" customFormat="1" x14ac:dyDescent="0.25"/>
    <row r="218652" customFormat="1" x14ac:dyDescent="0.25"/>
    <row r="218653" customFormat="1" x14ac:dyDescent="0.25"/>
    <row r="218654" customFormat="1" x14ac:dyDescent="0.25"/>
    <row r="218655" customFormat="1" x14ac:dyDescent="0.25"/>
    <row r="218656" customFormat="1" x14ac:dyDescent="0.25"/>
    <row r="218657" customFormat="1" x14ac:dyDescent="0.25"/>
    <row r="218658" customFormat="1" x14ac:dyDescent="0.25"/>
    <row r="218659" customFormat="1" x14ac:dyDescent="0.25"/>
    <row r="218660" customFormat="1" x14ac:dyDescent="0.25"/>
    <row r="218661" customFormat="1" x14ac:dyDescent="0.25"/>
    <row r="218662" customFormat="1" x14ac:dyDescent="0.25"/>
    <row r="218663" customFormat="1" x14ac:dyDescent="0.25"/>
    <row r="218664" customFormat="1" x14ac:dyDescent="0.25"/>
    <row r="218665" customFormat="1" x14ac:dyDescent="0.25"/>
    <row r="218666" customFormat="1" x14ac:dyDescent="0.25"/>
    <row r="218667" customFormat="1" x14ac:dyDescent="0.25"/>
    <row r="218668" customFormat="1" x14ac:dyDescent="0.25"/>
    <row r="218669" customFormat="1" x14ac:dyDescent="0.25"/>
    <row r="218670" customFormat="1" x14ac:dyDescent="0.25"/>
    <row r="218671" customFormat="1" x14ac:dyDescent="0.25"/>
    <row r="218672" customFormat="1" x14ac:dyDescent="0.25"/>
    <row r="218673" customFormat="1" x14ac:dyDescent="0.25"/>
    <row r="218674" customFormat="1" x14ac:dyDescent="0.25"/>
    <row r="218675" customFormat="1" x14ac:dyDescent="0.25"/>
    <row r="218676" customFormat="1" x14ac:dyDescent="0.25"/>
    <row r="218677" customFormat="1" x14ac:dyDescent="0.25"/>
    <row r="218678" customFormat="1" x14ac:dyDescent="0.25"/>
    <row r="218679" customFormat="1" x14ac:dyDescent="0.25"/>
    <row r="218680" customFormat="1" x14ac:dyDescent="0.25"/>
    <row r="218681" customFormat="1" x14ac:dyDescent="0.25"/>
    <row r="218682" customFormat="1" x14ac:dyDescent="0.25"/>
    <row r="218683" customFormat="1" x14ac:dyDescent="0.25"/>
    <row r="218684" customFormat="1" x14ac:dyDescent="0.25"/>
    <row r="218685" customFormat="1" x14ac:dyDescent="0.25"/>
    <row r="218686" customFormat="1" x14ac:dyDescent="0.25"/>
    <row r="218687" customFormat="1" x14ac:dyDescent="0.25"/>
    <row r="218688" customFormat="1" x14ac:dyDescent="0.25"/>
    <row r="218689" customFormat="1" x14ac:dyDescent="0.25"/>
    <row r="218690" customFormat="1" x14ac:dyDescent="0.25"/>
    <row r="218691" customFormat="1" x14ac:dyDescent="0.25"/>
    <row r="218692" customFormat="1" x14ac:dyDescent="0.25"/>
    <row r="218693" customFormat="1" x14ac:dyDescent="0.25"/>
    <row r="218694" customFormat="1" x14ac:dyDescent="0.25"/>
    <row r="218695" customFormat="1" x14ac:dyDescent="0.25"/>
    <row r="218696" customFormat="1" x14ac:dyDescent="0.25"/>
    <row r="218697" customFormat="1" x14ac:dyDescent="0.25"/>
    <row r="218698" customFormat="1" x14ac:dyDescent="0.25"/>
    <row r="218699" customFormat="1" x14ac:dyDescent="0.25"/>
    <row r="218700" customFormat="1" x14ac:dyDescent="0.25"/>
    <row r="218701" customFormat="1" x14ac:dyDescent="0.25"/>
    <row r="218702" customFormat="1" x14ac:dyDescent="0.25"/>
    <row r="218703" customFormat="1" x14ac:dyDescent="0.25"/>
    <row r="218704" customFormat="1" x14ac:dyDescent="0.25"/>
    <row r="218705" customFormat="1" x14ac:dyDescent="0.25"/>
    <row r="218706" customFormat="1" x14ac:dyDescent="0.25"/>
    <row r="218707" customFormat="1" x14ac:dyDescent="0.25"/>
    <row r="218708" customFormat="1" x14ac:dyDescent="0.25"/>
    <row r="218709" customFormat="1" x14ac:dyDescent="0.25"/>
    <row r="218710" customFormat="1" x14ac:dyDescent="0.25"/>
    <row r="218711" customFormat="1" x14ac:dyDescent="0.25"/>
    <row r="218712" customFormat="1" x14ac:dyDescent="0.25"/>
    <row r="218713" customFormat="1" x14ac:dyDescent="0.25"/>
    <row r="218714" customFormat="1" x14ac:dyDescent="0.25"/>
    <row r="218715" customFormat="1" x14ac:dyDescent="0.25"/>
    <row r="218716" customFormat="1" x14ac:dyDescent="0.25"/>
    <row r="218717" customFormat="1" x14ac:dyDescent="0.25"/>
    <row r="218718" customFormat="1" x14ac:dyDescent="0.25"/>
    <row r="218719" customFormat="1" x14ac:dyDescent="0.25"/>
    <row r="218720" customFormat="1" x14ac:dyDescent="0.25"/>
    <row r="218721" customFormat="1" x14ac:dyDescent="0.25"/>
    <row r="218722" customFormat="1" x14ac:dyDescent="0.25"/>
    <row r="218723" customFormat="1" x14ac:dyDescent="0.25"/>
    <row r="218724" customFormat="1" x14ac:dyDescent="0.25"/>
    <row r="218725" customFormat="1" x14ac:dyDescent="0.25"/>
    <row r="218726" customFormat="1" x14ac:dyDescent="0.25"/>
    <row r="218727" customFormat="1" x14ac:dyDescent="0.25"/>
    <row r="218728" customFormat="1" x14ac:dyDescent="0.25"/>
    <row r="218729" customFormat="1" x14ac:dyDescent="0.25"/>
    <row r="218730" customFormat="1" x14ac:dyDescent="0.25"/>
    <row r="218731" customFormat="1" x14ac:dyDescent="0.25"/>
    <row r="218732" customFormat="1" x14ac:dyDescent="0.25"/>
    <row r="218733" customFormat="1" x14ac:dyDescent="0.25"/>
    <row r="218734" customFormat="1" x14ac:dyDescent="0.25"/>
    <row r="218735" customFormat="1" x14ac:dyDescent="0.25"/>
    <row r="218736" customFormat="1" x14ac:dyDescent="0.25"/>
    <row r="218737" customFormat="1" x14ac:dyDescent="0.25"/>
    <row r="218738" customFormat="1" x14ac:dyDescent="0.25"/>
    <row r="218739" customFormat="1" x14ac:dyDescent="0.25"/>
    <row r="218740" customFormat="1" x14ac:dyDescent="0.25"/>
    <row r="218741" customFormat="1" x14ac:dyDescent="0.25"/>
    <row r="218742" customFormat="1" x14ac:dyDescent="0.25"/>
    <row r="218743" customFormat="1" x14ac:dyDescent="0.25"/>
    <row r="218744" customFormat="1" x14ac:dyDescent="0.25"/>
    <row r="218745" customFormat="1" x14ac:dyDescent="0.25"/>
    <row r="218746" customFormat="1" x14ac:dyDescent="0.25"/>
    <row r="218747" customFormat="1" x14ac:dyDescent="0.25"/>
    <row r="218748" customFormat="1" x14ac:dyDescent="0.25"/>
    <row r="218749" customFormat="1" x14ac:dyDescent="0.25"/>
    <row r="218750" customFormat="1" x14ac:dyDescent="0.25"/>
    <row r="218751" customFormat="1" x14ac:dyDescent="0.25"/>
    <row r="218752" customFormat="1" x14ac:dyDescent="0.25"/>
    <row r="218753" customFormat="1" x14ac:dyDescent="0.25"/>
    <row r="218754" customFormat="1" x14ac:dyDescent="0.25"/>
    <row r="218755" customFormat="1" x14ac:dyDescent="0.25"/>
    <row r="218756" customFormat="1" x14ac:dyDescent="0.25"/>
    <row r="218757" customFormat="1" x14ac:dyDescent="0.25"/>
    <row r="218758" customFormat="1" x14ac:dyDescent="0.25"/>
    <row r="218759" customFormat="1" x14ac:dyDescent="0.25"/>
    <row r="218760" customFormat="1" x14ac:dyDescent="0.25"/>
    <row r="218761" customFormat="1" x14ac:dyDescent="0.25"/>
    <row r="218762" customFormat="1" x14ac:dyDescent="0.25"/>
    <row r="218763" customFormat="1" x14ac:dyDescent="0.25"/>
    <row r="218764" customFormat="1" x14ac:dyDescent="0.25"/>
    <row r="218765" customFormat="1" x14ac:dyDescent="0.25"/>
    <row r="218766" customFormat="1" x14ac:dyDescent="0.25"/>
    <row r="218767" customFormat="1" x14ac:dyDescent="0.25"/>
    <row r="218768" customFormat="1" x14ac:dyDescent="0.25"/>
    <row r="218769" customFormat="1" x14ac:dyDescent="0.25"/>
    <row r="218770" customFormat="1" x14ac:dyDescent="0.25"/>
    <row r="218771" customFormat="1" x14ac:dyDescent="0.25"/>
    <row r="218772" customFormat="1" x14ac:dyDescent="0.25"/>
    <row r="218773" customFormat="1" x14ac:dyDescent="0.25"/>
    <row r="218774" customFormat="1" x14ac:dyDescent="0.25"/>
    <row r="218775" customFormat="1" x14ac:dyDescent="0.25"/>
    <row r="218776" customFormat="1" x14ac:dyDescent="0.25"/>
    <row r="218777" customFormat="1" x14ac:dyDescent="0.25"/>
    <row r="218778" customFormat="1" x14ac:dyDescent="0.25"/>
    <row r="218779" customFormat="1" x14ac:dyDescent="0.25"/>
    <row r="218780" customFormat="1" x14ac:dyDescent="0.25"/>
    <row r="218781" customFormat="1" x14ac:dyDescent="0.25"/>
    <row r="218782" customFormat="1" x14ac:dyDescent="0.25"/>
    <row r="218783" customFormat="1" x14ac:dyDescent="0.25"/>
    <row r="218784" customFormat="1" x14ac:dyDescent="0.25"/>
    <row r="218785" customFormat="1" x14ac:dyDescent="0.25"/>
    <row r="218786" customFormat="1" x14ac:dyDescent="0.25"/>
    <row r="218787" customFormat="1" x14ac:dyDescent="0.25"/>
    <row r="218788" customFormat="1" x14ac:dyDescent="0.25"/>
    <row r="218789" customFormat="1" x14ac:dyDescent="0.25"/>
    <row r="218790" customFormat="1" x14ac:dyDescent="0.25"/>
    <row r="218791" customFormat="1" x14ac:dyDescent="0.25"/>
    <row r="218792" customFormat="1" x14ac:dyDescent="0.25"/>
    <row r="218793" customFormat="1" x14ac:dyDescent="0.25"/>
    <row r="218794" customFormat="1" x14ac:dyDescent="0.25"/>
    <row r="218795" customFormat="1" x14ac:dyDescent="0.25"/>
    <row r="218796" customFormat="1" x14ac:dyDescent="0.25"/>
    <row r="218797" customFormat="1" x14ac:dyDescent="0.25"/>
    <row r="218798" customFormat="1" x14ac:dyDescent="0.25"/>
    <row r="218799" customFormat="1" x14ac:dyDescent="0.25"/>
    <row r="218800" customFormat="1" x14ac:dyDescent="0.25"/>
    <row r="218801" customFormat="1" x14ac:dyDescent="0.25"/>
    <row r="218802" customFormat="1" x14ac:dyDescent="0.25"/>
    <row r="218803" customFormat="1" x14ac:dyDescent="0.25"/>
    <row r="218804" customFormat="1" x14ac:dyDescent="0.25"/>
    <row r="218805" customFormat="1" x14ac:dyDescent="0.25"/>
    <row r="218806" customFormat="1" x14ac:dyDescent="0.25"/>
    <row r="218807" customFormat="1" x14ac:dyDescent="0.25"/>
    <row r="218808" customFormat="1" x14ac:dyDescent="0.25"/>
    <row r="218809" customFormat="1" x14ac:dyDescent="0.25"/>
    <row r="218810" customFormat="1" x14ac:dyDescent="0.25"/>
    <row r="218811" customFormat="1" x14ac:dyDescent="0.25"/>
    <row r="218812" customFormat="1" x14ac:dyDescent="0.25"/>
    <row r="218813" customFormat="1" x14ac:dyDescent="0.25"/>
    <row r="218814" customFormat="1" x14ac:dyDescent="0.25"/>
    <row r="218815" customFormat="1" x14ac:dyDescent="0.25"/>
    <row r="218816" customFormat="1" x14ac:dyDescent="0.25"/>
    <row r="218817" customFormat="1" x14ac:dyDescent="0.25"/>
    <row r="218818" customFormat="1" x14ac:dyDescent="0.25"/>
    <row r="218819" customFormat="1" x14ac:dyDescent="0.25"/>
    <row r="218820" customFormat="1" x14ac:dyDescent="0.25"/>
    <row r="218821" customFormat="1" x14ac:dyDescent="0.25"/>
    <row r="218822" customFormat="1" x14ac:dyDescent="0.25"/>
    <row r="218823" customFormat="1" x14ac:dyDescent="0.25"/>
    <row r="218824" customFormat="1" x14ac:dyDescent="0.25"/>
    <row r="218825" customFormat="1" x14ac:dyDescent="0.25"/>
    <row r="218826" customFormat="1" x14ac:dyDescent="0.25"/>
    <row r="218827" customFormat="1" x14ac:dyDescent="0.25"/>
    <row r="218828" customFormat="1" x14ac:dyDescent="0.25"/>
    <row r="218829" customFormat="1" x14ac:dyDescent="0.25"/>
    <row r="218830" customFormat="1" x14ac:dyDescent="0.25"/>
    <row r="218831" customFormat="1" x14ac:dyDescent="0.25"/>
    <row r="218832" customFormat="1" x14ac:dyDescent="0.25"/>
    <row r="218833" customFormat="1" x14ac:dyDescent="0.25"/>
    <row r="218834" customFormat="1" x14ac:dyDescent="0.25"/>
    <row r="218835" customFormat="1" x14ac:dyDescent="0.25"/>
    <row r="218836" customFormat="1" x14ac:dyDescent="0.25"/>
    <row r="218837" customFormat="1" x14ac:dyDescent="0.25"/>
    <row r="218838" customFormat="1" x14ac:dyDescent="0.25"/>
    <row r="218839" customFormat="1" x14ac:dyDescent="0.25"/>
    <row r="218840" customFormat="1" x14ac:dyDescent="0.25"/>
    <row r="218841" customFormat="1" x14ac:dyDescent="0.25"/>
    <row r="218842" customFormat="1" x14ac:dyDescent="0.25"/>
    <row r="218843" customFormat="1" x14ac:dyDescent="0.25"/>
    <row r="218844" customFormat="1" x14ac:dyDescent="0.25"/>
    <row r="218845" customFormat="1" x14ac:dyDescent="0.25"/>
    <row r="218846" customFormat="1" x14ac:dyDescent="0.25"/>
    <row r="218847" customFormat="1" x14ac:dyDescent="0.25"/>
    <row r="218848" customFormat="1" x14ac:dyDescent="0.25"/>
    <row r="218849" customFormat="1" x14ac:dyDescent="0.25"/>
    <row r="218850" customFormat="1" x14ac:dyDescent="0.25"/>
    <row r="218851" customFormat="1" x14ac:dyDescent="0.25"/>
    <row r="218852" customFormat="1" x14ac:dyDescent="0.25"/>
    <row r="218853" customFormat="1" x14ac:dyDescent="0.25"/>
    <row r="218854" customFormat="1" x14ac:dyDescent="0.25"/>
    <row r="218855" customFormat="1" x14ac:dyDescent="0.25"/>
    <row r="218856" customFormat="1" x14ac:dyDescent="0.25"/>
    <row r="218857" customFormat="1" x14ac:dyDescent="0.25"/>
    <row r="218858" customFormat="1" x14ac:dyDescent="0.25"/>
    <row r="218859" customFormat="1" x14ac:dyDescent="0.25"/>
    <row r="218860" customFormat="1" x14ac:dyDescent="0.25"/>
    <row r="218861" customFormat="1" x14ac:dyDescent="0.25"/>
    <row r="218862" customFormat="1" x14ac:dyDescent="0.25"/>
    <row r="218863" customFormat="1" x14ac:dyDescent="0.25"/>
    <row r="218864" customFormat="1" x14ac:dyDescent="0.25"/>
    <row r="218865" customFormat="1" x14ac:dyDescent="0.25"/>
    <row r="218866" customFormat="1" x14ac:dyDescent="0.25"/>
    <row r="218867" customFormat="1" x14ac:dyDescent="0.25"/>
    <row r="218868" customFormat="1" x14ac:dyDescent="0.25"/>
    <row r="218869" customFormat="1" x14ac:dyDescent="0.25"/>
    <row r="218870" customFormat="1" x14ac:dyDescent="0.25"/>
    <row r="218871" customFormat="1" x14ac:dyDescent="0.25"/>
    <row r="218872" customFormat="1" x14ac:dyDescent="0.25"/>
    <row r="218873" customFormat="1" x14ac:dyDescent="0.25"/>
    <row r="218874" customFormat="1" x14ac:dyDescent="0.25"/>
    <row r="218875" customFormat="1" x14ac:dyDescent="0.25"/>
    <row r="218876" customFormat="1" x14ac:dyDescent="0.25"/>
    <row r="218877" customFormat="1" x14ac:dyDescent="0.25"/>
    <row r="218878" customFormat="1" x14ac:dyDescent="0.25"/>
    <row r="218879" customFormat="1" x14ac:dyDescent="0.25"/>
    <row r="218880" customFormat="1" x14ac:dyDescent="0.25"/>
    <row r="218881" customFormat="1" x14ac:dyDescent="0.25"/>
    <row r="218882" customFormat="1" x14ac:dyDescent="0.25"/>
    <row r="218883" customFormat="1" x14ac:dyDescent="0.25"/>
    <row r="218884" customFormat="1" x14ac:dyDescent="0.25"/>
    <row r="218885" customFormat="1" x14ac:dyDescent="0.25"/>
    <row r="218886" customFormat="1" x14ac:dyDescent="0.25"/>
    <row r="218887" customFormat="1" x14ac:dyDescent="0.25"/>
    <row r="218888" customFormat="1" x14ac:dyDescent="0.25"/>
    <row r="218889" customFormat="1" x14ac:dyDescent="0.25"/>
    <row r="218890" customFormat="1" x14ac:dyDescent="0.25"/>
    <row r="218891" customFormat="1" x14ac:dyDescent="0.25"/>
    <row r="218892" customFormat="1" x14ac:dyDescent="0.25"/>
    <row r="218893" customFormat="1" x14ac:dyDescent="0.25"/>
    <row r="218894" customFormat="1" x14ac:dyDescent="0.25"/>
    <row r="218895" customFormat="1" x14ac:dyDescent="0.25"/>
    <row r="218896" customFormat="1" x14ac:dyDescent="0.25"/>
    <row r="218897" customFormat="1" x14ac:dyDescent="0.25"/>
    <row r="218898" customFormat="1" x14ac:dyDescent="0.25"/>
    <row r="218899" customFormat="1" x14ac:dyDescent="0.25"/>
    <row r="218900" customFormat="1" x14ac:dyDescent="0.25"/>
    <row r="218901" customFormat="1" x14ac:dyDescent="0.25"/>
    <row r="218902" customFormat="1" x14ac:dyDescent="0.25"/>
    <row r="218903" customFormat="1" x14ac:dyDescent="0.25"/>
    <row r="218904" customFormat="1" x14ac:dyDescent="0.25"/>
    <row r="218905" customFormat="1" x14ac:dyDescent="0.25"/>
    <row r="218906" customFormat="1" x14ac:dyDescent="0.25"/>
    <row r="218907" customFormat="1" x14ac:dyDescent="0.25"/>
    <row r="218908" customFormat="1" x14ac:dyDescent="0.25"/>
    <row r="218909" customFormat="1" x14ac:dyDescent="0.25"/>
    <row r="218910" customFormat="1" x14ac:dyDescent="0.25"/>
    <row r="218911" customFormat="1" x14ac:dyDescent="0.25"/>
    <row r="218912" customFormat="1" x14ac:dyDescent="0.25"/>
    <row r="218913" customFormat="1" x14ac:dyDescent="0.25"/>
    <row r="218914" customFormat="1" x14ac:dyDescent="0.25"/>
    <row r="218915" customFormat="1" x14ac:dyDescent="0.25"/>
    <row r="218916" customFormat="1" x14ac:dyDescent="0.25"/>
    <row r="218917" customFormat="1" x14ac:dyDescent="0.25"/>
    <row r="218918" customFormat="1" x14ac:dyDescent="0.25"/>
    <row r="218919" customFormat="1" x14ac:dyDescent="0.25"/>
    <row r="218920" customFormat="1" x14ac:dyDescent="0.25"/>
    <row r="218921" customFormat="1" x14ac:dyDescent="0.25"/>
    <row r="218922" customFormat="1" x14ac:dyDescent="0.25"/>
    <row r="218923" customFormat="1" x14ac:dyDescent="0.25"/>
    <row r="218924" customFormat="1" x14ac:dyDescent="0.25"/>
    <row r="218925" customFormat="1" x14ac:dyDescent="0.25"/>
    <row r="218926" customFormat="1" x14ac:dyDescent="0.25"/>
    <row r="218927" customFormat="1" x14ac:dyDescent="0.25"/>
    <row r="218928" customFormat="1" x14ac:dyDescent="0.25"/>
    <row r="218929" customFormat="1" x14ac:dyDescent="0.25"/>
    <row r="218930" customFormat="1" x14ac:dyDescent="0.25"/>
    <row r="218931" customFormat="1" x14ac:dyDescent="0.25"/>
    <row r="218932" customFormat="1" x14ac:dyDescent="0.25"/>
    <row r="218933" customFormat="1" x14ac:dyDescent="0.25"/>
    <row r="218934" customFormat="1" x14ac:dyDescent="0.25"/>
    <row r="218935" customFormat="1" x14ac:dyDescent="0.25"/>
    <row r="218936" customFormat="1" x14ac:dyDescent="0.25"/>
    <row r="218937" customFormat="1" x14ac:dyDescent="0.25"/>
    <row r="218938" customFormat="1" x14ac:dyDescent="0.25"/>
    <row r="218939" customFormat="1" x14ac:dyDescent="0.25"/>
    <row r="218940" customFormat="1" x14ac:dyDescent="0.25"/>
    <row r="218941" customFormat="1" x14ac:dyDescent="0.25"/>
    <row r="218942" customFormat="1" x14ac:dyDescent="0.25"/>
    <row r="218943" customFormat="1" x14ac:dyDescent="0.25"/>
    <row r="218944" customFormat="1" x14ac:dyDescent="0.25"/>
    <row r="218945" customFormat="1" x14ac:dyDescent="0.25"/>
    <row r="218946" customFormat="1" x14ac:dyDescent="0.25"/>
    <row r="218947" customFormat="1" x14ac:dyDescent="0.25"/>
    <row r="218948" customFormat="1" x14ac:dyDescent="0.25"/>
    <row r="218949" customFormat="1" x14ac:dyDescent="0.25"/>
    <row r="218950" customFormat="1" x14ac:dyDescent="0.25"/>
    <row r="218951" customFormat="1" x14ac:dyDescent="0.25"/>
    <row r="218952" customFormat="1" x14ac:dyDescent="0.25"/>
    <row r="218953" customFormat="1" x14ac:dyDescent="0.25"/>
    <row r="218954" customFormat="1" x14ac:dyDescent="0.25"/>
    <row r="218955" customFormat="1" x14ac:dyDescent="0.25"/>
    <row r="218956" customFormat="1" x14ac:dyDescent="0.25"/>
    <row r="218957" customFormat="1" x14ac:dyDescent="0.25"/>
    <row r="218958" customFormat="1" x14ac:dyDescent="0.25"/>
    <row r="218959" customFormat="1" x14ac:dyDescent="0.25"/>
    <row r="218960" customFormat="1" x14ac:dyDescent="0.25"/>
    <row r="218961" customFormat="1" x14ac:dyDescent="0.25"/>
    <row r="218962" customFormat="1" x14ac:dyDescent="0.25"/>
    <row r="218963" customFormat="1" x14ac:dyDescent="0.25"/>
    <row r="218964" customFormat="1" x14ac:dyDescent="0.25"/>
    <row r="218965" customFormat="1" x14ac:dyDescent="0.25"/>
    <row r="218966" customFormat="1" x14ac:dyDescent="0.25"/>
    <row r="218967" customFormat="1" x14ac:dyDescent="0.25"/>
    <row r="218968" customFormat="1" x14ac:dyDescent="0.25"/>
    <row r="218969" customFormat="1" x14ac:dyDescent="0.25"/>
    <row r="218970" customFormat="1" x14ac:dyDescent="0.25"/>
    <row r="218971" customFormat="1" x14ac:dyDescent="0.25"/>
    <row r="218972" customFormat="1" x14ac:dyDescent="0.25"/>
    <row r="218973" customFormat="1" x14ac:dyDescent="0.25"/>
    <row r="218974" customFormat="1" x14ac:dyDescent="0.25"/>
    <row r="218975" customFormat="1" x14ac:dyDescent="0.25"/>
    <row r="218976" customFormat="1" x14ac:dyDescent="0.25"/>
    <row r="218977" customFormat="1" x14ac:dyDescent="0.25"/>
    <row r="218978" customFormat="1" x14ac:dyDescent="0.25"/>
    <row r="218979" customFormat="1" x14ac:dyDescent="0.25"/>
    <row r="218980" customFormat="1" x14ac:dyDescent="0.25"/>
    <row r="218981" customFormat="1" x14ac:dyDescent="0.25"/>
    <row r="218982" customFormat="1" x14ac:dyDescent="0.25"/>
    <row r="218983" customFormat="1" x14ac:dyDescent="0.25"/>
    <row r="218984" customFormat="1" x14ac:dyDescent="0.25"/>
    <row r="218985" customFormat="1" x14ac:dyDescent="0.25"/>
    <row r="218986" customFormat="1" x14ac:dyDescent="0.25"/>
    <row r="218987" customFormat="1" x14ac:dyDescent="0.25"/>
    <row r="218988" customFormat="1" x14ac:dyDescent="0.25"/>
    <row r="218989" customFormat="1" x14ac:dyDescent="0.25"/>
    <row r="218990" customFormat="1" x14ac:dyDescent="0.25"/>
    <row r="218991" customFormat="1" x14ac:dyDescent="0.25"/>
    <row r="218992" customFormat="1" x14ac:dyDescent="0.25"/>
    <row r="218993" customFormat="1" x14ac:dyDescent="0.25"/>
    <row r="218994" customFormat="1" x14ac:dyDescent="0.25"/>
    <row r="218995" customFormat="1" x14ac:dyDescent="0.25"/>
    <row r="218996" customFormat="1" x14ac:dyDescent="0.25"/>
    <row r="218997" customFormat="1" x14ac:dyDescent="0.25"/>
    <row r="218998" customFormat="1" x14ac:dyDescent="0.25"/>
    <row r="218999" customFormat="1" x14ac:dyDescent="0.25"/>
    <row r="219000" customFormat="1" x14ac:dyDescent="0.25"/>
    <row r="219001" customFormat="1" x14ac:dyDescent="0.25"/>
    <row r="219002" customFormat="1" x14ac:dyDescent="0.25"/>
    <row r="219003" customFormat="1" x14ac:dyDescent="0.25"/>
    <row r="219004" customFormat="1" x14ac:dyDescent="0.25"/>
    <row r="219005" customFormat="1" x14ac:dyDescent="0.25"/>
    <row r="219006" customFormat="1" x14ac:dyDescent="0.25"/>
    <row r="219007" customFormat="1" x14ac:dyDescent="0.25"/>
    <row r="219008" customFormat="1" x14ac:dyDescent="0.25"/>
    <row r="219009" customFormat="1" x14ac:dyDescent="0.25"/>
    <row r="219010" customFormat="1" x14ac:dyDescent="0.25"/>
    <row r="219011" customFormat="1" x14ac:dyDescent="0.25"/>
    <row r="219012" customFormat="1" x14ac:dyDescent="0.25"/>
    <row r="219013" customFormat="1" x14ac:dyDescent="0.25"/>
    <row r="219014" customFormat="1" x14ac:dyDescent="0.25"/>
    <row r="219015" customFormat="1" x14ac:dyDescent="0.25"/>
    <row r="219016" customFormat="1" x14ac:dyDescent="0.25"/>
    <row r="219017" customFormat="1" x14ac:dyDescent="0.25"/>
    <row r="219018" customFormat="1" x14ac:dyDescent="0.25"/>
    <row r="219019" customFormat="1" x14ac:dyDescent="0.25"/>
    <row r="219020" customFormat="1" x14ac:dyDescent="0.25"/>
    <row r="219021" customFormat="1" x14ac:dyDescent="0.25"/>
    <row r="219022" customFormat="1" x14ac:dyDescent="0.25"/>
    <row r="219023" customFormat="1" x14ac:dyDescent="0.25"/>
    <row r="219024" customFormat="1" x14ac:dyDescent="0.25"/>
    <row r="219025" customFormat="1" x14ac:dyDescent="0.25"/>
    <row r="219026" customFormat="1" x14ac:dyDescent="0.25"/>
    <row r="219027" customFormat="1" x14ac:dyDescent="0.25"/>
    <row r="219028" customFormat="1" x14ac:dyDescent="0.25"/>
    <row r="219029" customFormat="1" x14ac:dyDescent="0.25"/>
    <row r="219030" customFormat="1" x14ac:dyDescent="0.25"/>
    <row r="219031" customFormat="1" x14ac:dyDescent="0.25"/>
    <row r="219032" customFormat="1" x14ac:dyDescent="0.25"/>
    <row r="219033" customFormat="1" x14ac:dyDescent="0.25"/>
    <row r="219034" customFormat="1" x14ac:dyDescent="0.25"/>
    <row r="219035" customFormat="1" x14ac:dyDescent="0.25"/>
    <row r="219036" customFormat="1" x14ac:dyDescent="0.25"/>
    <row r="219037" customFormat="1" x14ac:dyDescent="0.25"/>
    <row r="219038" customFormat="1" x14ac:dyDescent="0.25"/>
    <row r="219039" customFormat="1" x14ac:dyDescent="0.25"/>
    <row r="219040" customFormat="1" x14ac:dyDescent="0.25"/>
    <row r="219041" customFormat="1" x14ac:dyDescent="0.25"/>
    <row r="219042" customFormat="1" x14ac:dyDescent="0.25"/>
    <row r="219043" customFormat="1" x14ac:dyDescent="0.25"/>
    <row r="219044" customFormat="1" x14ac:dyDescent="0.25"/>
    <row r="219045" customFormat="1" x14ac:dyDescent="0.25"/>
    <row r="219046" customFormat="1" x14ac:dyDescent="0.25"/>
    <row r="219047" customFormat="1" x14ac:dyDescent="0.25"/>
    <row r="219048" customFormat="1" x14ac:dyDescent="0.25"/>
    <row r="219049" customFormat="1" x14ac:dyDescent="0.25"/>
    <row r="219050" customFormat="1" x14ac:dyDescent="0.25"/>
    <row r="219051" customFormat="1" x14ac:dyDescent="0.25"/>
    <row r="219052" customFormat="1" x14ac:dyDescent="0.25"/>
    <row r="219053" customFormat="1" x14ac:dyDescent="0.25"/>
    <row r="219054" customFormat="1" x14ac:dyDescent="0.25"/>
    <row r="219055" customFormat="1" x14ac:dyDescent="0.25"/>
    <row r="219056" customFormat="1" x14ac:dyDescent="0.25"/>
    <row r="219057" customFormat="1" x14ac:dyDescent="0.25"/>
    <row r="219058" customFormat="1" x14ac:dyDescent="0.25"/>
    <row r="219059" customFormat="1" x14ac:dyDescent="0.25"/>
    <row r="219060" customFormat="1" x14ac:dyDescent="0.25"/>
    <row r="219061" customFormat="1" x14ac:dyDescent="0.25"/>
    <row r="219062" customFormat="1" x14ac:dyDescent="0.25"/>
    <row r="219063" customFormat="1" x14ac:dyDescent="0.25"/>
    <row r="219064" customFormat="1" x14ac:dyDescent="0.25"/>
    <row r="219065" customFormat="1" x14ac:dyDescent="0.25"/>
    <row r="219066" customFormat="1" x14ac:dyDescent="0.25"/>
    <row r="219067" customFormat="1" x14ac:dyDescent="0.25"/>
    <row r="219068" customFormat="1" x14ac:dyDescent="0.25"/>
    <row r="219069" customFormat="1" x14ac:dyDescent="0.25"/>
    <row r="219070" customFormat="1" x14ac:dyDescent="0.25"/>
    <row r="219071" customFormat="1" x14ac:dyDescent="0.25"/>
    <row r="219072" customFormat="1" x14ac:dyDescent="0.25"/>
    <row r="219073" customFormat="1" x14ac:dyDescent="0.25"/>
    <row r="219074" customFormat="1" x14ac:dyDescent="0.25"/>
    <row r="219075" customFormat="1" x14ac:dyDescent="0.25"/>
    <row r="219076" customFormat="1" x14ac:dyDescent="0.25"/>
    <row r="219077" customFormat="1" x14ac:dyDescent="0.25"/>
    <row r="219078" customFormat="1" x14ac:dyDescent="0.25"/>
    <row r="219079" customFormat="1" x14ac:dyDescent="0.25"/>
    <row r="219080" customFormat="1" x14ac:dyDescent="0.25"/>
    <row r="219081" customFormat="1" x14ac:dyDescent="0.25"/>
    <row r="219082" customFormat="1" x14ac:dyDescent="0.25"/>
    <row r="219083" customFormat="1" x14ac:dyDescent="0.25"/>
    <row r="219084" customFormat="1" x14ac:dyDescent="0.25"/>
    <row r="219085" customFormat="1" x14ac:dyDescent="0.25"/>
    <row r="219086" customFormat="1" x14ac:dyDescent="0.25"/>
    <row r="219087" customFormat="1" x14ac:dyDescent="0.25"/>
    <row r="219088" customFormat="1" x14ac:dyDescent="0.25"/>
    <row r="219089" customFormat="1" x14ac:dyDescent="0.25"/>
    <row r="219090" customFormat="1" x14ac:dyDescent="0.25"/>
    <row r="219091" customFormat="1" x14ac:dyDescent="0.25"/>
    <row r="219092" customFormat="1" x14ac:dyDescent="0.25"/>
    <row r="219093" customFormat="1" x14ac:dyDescent="0.25"/>
    <row r="219094" customFormat="1" x14ac:dyDescent="0.25"/>
    <row r="219095" customFormat="1" x14ac:dyDescent="0.25"/>
    <row r="219096" customFormat="1" x14ac:dyDescent="0.25"/>
    <row r="219097" customFormat="1" x14ac:dyDescent="0.25"/>
    <row r="219098" customFormat="1" x14ac:dyDescent="0.25"/>
    <row r="219099" customFormat="1" x14ac:dyDescent="0.25"/>
    <row r="219100" customFormat="1" x14ac:dyDescent="0.25"/>
    <row r="219101" customFormat="1" x14ac:dyDescent="0.25"/>
    <row r="219102" customFormat="1" x14ac:dyDescent="0.25"/>
    <row r="219103" customFormat="1" x14ac:dyDescent="0.25"/>
    <row r="219104" customFormat="1" x14ac:dyDescent="0.25"/>
    <row r="219105" customFormat="1" x14ac:dyDescent="0.25"/>
    <row r="219106" customFormat="1" x14ac:dyDescent="0.25"/>
    <row r="219107" customFormat="1" x14ac:dyDescent="0.25"/>
    <row r="219108" customFormat="1" x14ac:dyDescent="0.25"/>
    <row r="219109" customFormat="1" x14ac:dyDescent="0.25"/>
    <row r="219110" customFormat="1" x14ac:dyDescent="0.25"/>
    <row r="219111" customFormat="1" x14ac:dyDescent="0.25"/>
    <row r="219112" customFormat="1" x14ac:dyDescent="0.25"/>
    <row r="219113" customFormat="1" x14ac:dyDescent="0.25"/>
    <row r="219114" customFormat="1" x14ac:dyDescent="0.25"/>
    <row r="219115" customFormat="1" x14ac:dyDescent="0.25"/>
    <row r="219116" customFormat="1" x14ac:dyDescent="0.25"/>
    <row r="219117" customFormat="1" x14ac:dyDescent="0.25"/>
    <row r="219118" customFormat="1" x14ac:dyDescent="0.25"/>
    <row r="219119" customFormat="1" x14ac:dyDescent="0.25"/>
    <row r="219120" customFormat="1" x14ac:dyDescent="0.25"/>
    <row r="219121" customFormat="1" x14ac:dyDescent="0.25"/>
    <row r="219122" customFormat="1" x14ac:dyDescent="0.25"/>
    <row r="219123" customFormat="1" x14ac:dyDescent="0.25"/>
    <row r="219124" customFormat="1" x14ac:dyDescent="0.25"/>
    <row r="219125" customFormat="1" x14ac:dyDescent="0.25"/>
    <row r="219126" customFormat="1" x14ac:dyDescent="0.25"/>
    <row r="219127" customFormat="1" x14ac:dyDescent="0.25"/>
    <row r="219128" customFormat="1" x14ac:dyDescent="0.25"/>
    <row r="219129" customFormat="1" x14ac:dyDescent="0.25"/>
    <row r="219130" customFormat="1" x14ac:dyDescent="0.25"/>
    <row r="219131" customFormat="1" x14ac:dyDescent="0.25"/>
    <row r="219132" customFormat="1" x14ac:dyDescent="0.25"/>
    <row r="219133" customFormat="1" x14ac:dyDescent="0.25"/>
    <row r="219134" customFormat="1" x14ac:dyDescent="0.25"/>
    <row r="219135" customFormat="1" x14ac:dyDescent="0.25"/>
    <row r="219136" customFormat="1" x14ac:dyDescent="0.25"/>
    <row r="219137" customFormat="1" x14ac:dyDescent="0.25"/>
    <row r="219138" customFormat="1" x14ac:dyDescent="0.25"/>
    <row r="219139" customFormat="1" x14ac:dyDescent="0.25"/>
    <row r="219140" customFormat="1" x14ac:dyDescent="0.25"/>
    <row r="219141" customFormat="1" x14ac:dyDescent="0.25"/>
    <row r="219142" customFormat="1" x14ac:dyDescent="0.25"/>
    <row r="219143" customFormat="1" x14ac:dyDescent="0.25"/>
    <row r="219144" customFormat="1" x14ac:dyDescent="0.25"/>
    <row r="219145" customFormat="1" x14ac:dyDescent="0.25"/>
    <row r="219146" customFormat="1" x14ac:dyDescent="0.25"/>
    <row r="219147" customFormat="1" x14ac:dyDescent="0.25"/>
    <row r="219148" customFormat="1" x14ac:dyDescent="0.25"/>
    <row r="219149" customFormat="1" x14ac:dyDescent="0.25"/>
    <row r="219150" customFormat="1" x14ac:dyDescent="0.25"/>
    <row r="219151" customFormat="1" x14ac:dyDescent="0.25"/>
    <row r="219152" customFormat="1" x14ac:dyDescent="0.25"/>
    <row r="219153" customFormat="1" x14ac:dyDescent="0.25"/>
    <row r="219154" customFormat="1" x14ac:dyDescent="0.25"/>
    <row r="219155" customFormat="1" x14ac:dyDescent="0.25"/>
    <row r="219156" customFormat="1" x14ac:dyDescent="0.25"/>
    <row r="219157" customFormat="1" x14ac:dyDescent="0.25"/>
    <row r="219158" customFormat="1" x14ac:dyDescent="0.25"/>
    <row r="219159" customFormat="1" x14ac:dyDescent="0.25"/>
    <row r="219160" customFormat="1" x14ac:dyDescent="0.25"/>
    <row r="219161" customFormat="1" x14ac:dyDescent="0.25"/>
    <row r="219162" customFormat="1" x14ac:dyDescent="0.25"/>
    <row r="219163" customFormat="1" x14ac:dyDescent="0.25"/>
    <row r="219164" customFormat="1" x14ac:dyDescent="0.25"/>
    <row r="219165" customFormat="1" x14ac:dyDescent="0.25"/>
    <row r="219166" customFormat="1" x14ac:dyDescent="0.25"/>
    <row r="219167" customFormat="1" x14ac:dyDescent="0.25"/>
    <row r="219168" customFormat="1" x14ac:dyDescent="0.25"/>
    <row r="219169" customFormat="1" x14ac:dyDescent="0.25"/>
    <row r="219170" customFormat="1" x14ac:dyDescent="0.25"/>
    <row r="219171" customFormat="1" x14ac:dyDescent="0.25"/>
    <row r="219172" customFormat="1" x14ac:dyDescent="0.25"/>
    <row r="219173" customFormat="1" x14ac:dyDescent="0.25"/>
    <row r="219174" customFormat="1" x14ac:dyDescent="0.25"/>
    <row r="219175" customFormat="1" x14ac:dyDescent="0.25"/>
    <row r="219176" customFormat="1" x14ac:dyDescent="0.25"/>
    <row r="219177" customFormat="1" x14ac:dyDescent="0.25"/>
    <row r="219178" customFormat="1" x14ac:dyDescent="0.25"/>
    <row r="219179" customFormat="1" x14ac:dyDescent="0.25"/>
    <row r="219180" customFormat="1" x14ac:dyDescent="0.25"/>
    <row r="219181" customFormat="1" x14ac:dyDescent="0.25"/>
    <row r="219182" customFormat="1" x14ac:dyDescent="0.25"/>
    <row r="219183" customFormat="1" x14ac:dyDescent="0.25"/>
    <row r="219184" customFormat="1" x14ac:dyDescent="0.25"/>
    <row r="219185" customFormat="1" x14ac:dyDescent="0.25"/>
    <row r="219186" customFormat="1" x14ac:dyDescent="0.25"/>
    <row r="219187" customFormat="1" x14ac:dyDescent="0.25"/>
    <row r="219188" customFormat="1" x14ac:dyDescent="0.25"/>
    <row r="219189" customFormat="1" x14ac:dyDescent="0.25"/>
    <row r="219190" customFormat="1" x14ac:dyDescent="0.25"/>
    <row r="219191" customFormat="1" x14ac:dyDescent="0.25"/>
    <row r="219192" customFormat="1" x14ac:dyDescent="0.25"/>
    <row r="219193" customFormat="1" x14ac:dyDescent="0.25"/>
    <row r="219194" customFormat="1" x14ac:dyDescent="0.25"/>
    <row r="219195" customFormat="1" x14ac:dyDescent="0.25"/>
    <row r="219196" customFormat="1" x14ac:dyDescent="0.25"/>
    <row r="219197" customFormat="1" x14ac:dyDescent="0.25"/>
    <row r="219198" customFormat="1" x14ac:dyDescent="0.25"/>
    <row r="219199" customFormat="1" x14ac:dyDescent="0.25"/>
    <row r="219200" customFormat="1" x14ac:dyDescent="0.25"/>
    <row r="219201" customFormat="1" x14ac:dyDescent="0.25"/>
    <row r="219202" customFormat="1" x14ac:dyDescent="0.25"/>
    <row r="219203" customFormat="1" x14ac:dyDescent="0.25"/>
    <row r="219204" customFormat="1" x14ac:dyDescent="0.25"/>
    <row r="219205" customFormat="1" x14ac:dyDescent="0.25"/>
    <row r="219206" customFormat="1" x14ac:dyDescent="0.25"/>
    <row r="219207" customFormat="1" x14ac:dyDescent="0.25"/>
    <row r="219208" customFormat="1" x14ac:dyDescent="0.25"/>
    <row r="219209" customFormat="1" x14ac:dyDescent="0.25"/>
    <row r="219210" customFormat="1" x14ac:dyDescent="0.25"/>
    <row r="219211" customFormat="1" x14ac:dyDescent="0.25"/>
    <row r="219212" customFormat="1" x14ac:dyDescent="0.25"/>
    <row r="219213" customFormat="1" x14ac:dyDescent="0.25"/>
    <row r="219214" customFormat="1" x14ac:dyDescent="0.25"/>
    <row r="219215" customFormat="1" x14ac:dyDescent="0.25"/>
    <row r="219216" customFormat="1" x14ac:dyDescent="0.25"/>
    <row r="219217" customFormat="1" x14ac:dyDescent="0.25"/>
    <row r="219218" customFormat="1" x14ac:dyDescent="0.25"/>
    <row r="219219" customFormat="1" x14ac:dyDescent="0.25"/>
    <row r="219220" customFormat="1" x14ac:dyDescent="0.25"/>
    <row r="219221" customFormat="1" x14ac:dyDescent="0.25"/>
    <row r="219222" customFormat="1" x14ac:dyDescent="0.25"/>
    <row r="219223" customFormat="1" x14ac:dyDescent="0.25"/>
    <row r="219224" customFormat="1" x14ac:dyDescent="0.25"/>
    <row r="219225" customFormat="1" x14ac:dyDescent="0.25"/>
    <row r="219226" customFormat="1" x14ac:dyDescent="0.25"/>
    <row r="219227" customFormat="1" x14ac:dyDescent="0.25"/>
    <row r="219228" customFormat="1" x14ac:dyDescent="0.25"/>
    <row r="219229" customFormat="1" x14ac:dyDescent="0.25"/>
    <row r="219230" customFormat="1" x14ac:dyDescent="0.25"/>
    <row r="219231" customFormat="1" x14ac:dyDescent="0.25"/>
    <row r="219232" customFormat="1" x14ac:dyDescent="0.25"/>
    <row r="219233" customFormat="1" x14ac:dyDescent="0.25"/>
    <row r="219234" customFormat="1" x14ac:dyDescent="0.25"/>
    <row r="219235" customFormat="1" x14ac:dyDescent="0.25"/>
    <row r="219236" customFormat="1" x14ac:dyDescent="0.25"/>
    <row r="219237" customFormat="1" x14ac:dyDescent="0.25"/>
    <row r="219238" customFormat="1" x14ac:dyDescent="0.25"/>
    <row r="219239" customFormat="1" x14ac:dyDescent="0.25"/>
    <row r="219240" customFormat="1" x14ac:dyDescent="0.25"/>
    <row r="219241" customFormat="1" x14ac:dyDescent="0.25"/>
    <row r="219242" customFormat="1" x14ac:dyDescent="0.25"/>
    <row r="219243" customFormat="1" x14ac:dyDescent="0.25"/>
    <row r="219244" customFormat="1" x14ac:dyDescent="0.25"/>
    <row r="219245" customFormat="1" x14ac:dyDescent="0.25"/>
    <row r="219246" customFormat="1" x14ac:dyDescent="0.25"/>
    <row r="219247" customFormat="1" x14ac:dyDescent="0.25"/>
    <row r="219248" customFormat="1" x14ac:dyDescent="0.25"/>
    <row r="219249" customFormat="1" x14ac:dyDescent="0.25"/>
    <row r="219250" customFormat="1" x14ac:dyDescent="0.25"/>
    <row r="219251" customFormat="1" x14ac:dyDescent="0.25"/>
    <row r="219252" customFormat="1" x14ac:dyDescent="0.25"/>
    <row r="219253" customFormat="1" x14ac:dyDescent="0.25"/>
    <row r="219254" customFormat="1" x14ac:dyDescent="0.25"/>
    <row r="219255" customFormat="1" x14ac:dyDescent="0.25"/>
    <row r="219256" customFormat="1" x14ac:dyDescent="0.25"/>
    <row r="219257" customFormat="1" x14ac:dyDescent="0.25"/>
    <row r="219258" customFormat="1" x14ac:dyDescent="0.25"/>
    <row r="219259" customFormat="1" x14ac:dyDescent="0.25"/>
    <row r="219260" customFormat="1" x14ac:dyDescent="0.25"/>
    <row r="219261" customFormat="1" x14ac:dyDescent="0.25"/>
    <row r="219262" customFormat="1" x14ac:dyDescent="0.25"/>
    <row r="219263" customFormat="1" x14ac:dyDescent="0.25"/>
    <row r="219264" customFormat="1" x14ac:dyDescent="0.25"/>
    <row r="219265" customFormat="1" x14ac:dyDescent="0.25"/>
    <row r="219266" customFormat="1" x14ac:dyDescent="0.25"/>
    <row r="219267" customFormat="1" x14ac:dyDescent="0.25"/>
    <row r="219268" customFormat="1" x14ac:dyDescent="0.25"/>
    <row r="219269" customFormat="1" x14ac:dyDescent="0.25"/>
    <row r="219270" customFormat="1" x14ac:dyDescent="0.25"/>
    <row r="219271" customFormat="1" x14ac:dyDescent="0.25"/>
    <row r="219272" customFormat="1" x14ac:dyDescent="0.25"/>
    <row r="219273" customFormat="1" x14ac:dyDescent="0.25"/>
    <row r="219274" customFormat="1" x14ac:dyDescent="0.25"/>
    <row r="219275" customFormat="1" x14ac:dyDescent="0.25"/>
    <row r="219276" customFormat="1" x14ac:dyDescent="0.25"/>
    <row r="219277" customFormat="1" x14ac:dyDescent="0.25"/>
    <row r="219278" customFormat="1" x14ac:dyDescent="0.25"/>
    <row r="219279" customFormat="1" x14ac:dyDescent="0.25"/>
    <row r="219280" customFormat="1" x14ac:dyDescent="0.25"/>
    <row r="219281" customFormat="1" x14ac:dyDescent="0.25"/>
    <row r="219282" customFormat="1" x14ac:dyDescent="0.25"/>
    <row r="219283" customFormat="1" x14ac:dyDescent="0.25"/>
    <row r="219284" customFormat="1" x14ac:dyDescent="0.25"/>
    <row r="219285" customFormat="1" x14ac:dyDescent="0.25"/>
    <row r="219286" customFormat="1" x14ac:dyDescent="0.25"/>
    <row r="219287" customFormat="1" x14ac:dyDescent="0.25"/>
    <row r="219288" customFormat="1" x14ac:dyDescent="0.25"/>
    <row r="219289" customFormat="1" x14ac:dyDescent="0.25"/>
    <row r="219290" customFormat="1" x14ac:dyDescent="0.25"/>
    <row r="219291" customFormat="1" x14ac:dyDescent="0.25"/>
    <row r="219292" customFormat="1" x14ac:dyDescent="0.25"/>
    <row r="219293" customFormat="1" x14ac:dyDescent="0.25"/>
    <row r="219294" customFormat="1" x14ac:dyDescent="0.25"/>
    <row r="219295" customFormat="1" x14ac:dyDescent="0.25"/>
    <row r="219296" customFormat="1" x14ac:dyDescent="0.25"/>
    <row r="219297" customFormat="1" x14ac:dyDescent="0.25"/>
    <row r="219298" customFormat="1" x14ac:dyDescent="0.25"/>
    <row r="219299" customFormat="1" x14ac:dyDescent="0.25"/>
    <row r="219300" customFormat="1" x14ac:dyDescent="0.25"/>
    <row r="219301" customFormat="1" x14ac:dyDescent="0.25"/>
    <row r="219302" customFormat="1" x14ac:dyDescent="0.25"/>
    <row r="219303" customFormat="1" x14ac:dyDescent="0.25"/>
    <row r="219304" customFormat="1" x14ac:dyDescent="0.25"/>
    <row r="219305" customFormat="1" x14ac:dyDescent="0.25"/>
    <row r="219306" customFormat="1" x14ac:dyDescent="0.25"/>
    <row r="219307" customFormat="1" x14ac:dyDescent="0.25"/>
    <row r="219308" customFormat="1" x14ac:dyDescent="0.25"/>
    <row r="219309" customFormat="1" x14ac:dyDescent="0.25"/>
    <row r="219310" customFormat="1" x14ac:dyDescent="0.25"/>
    <row r="219311" customFormat="1" x14ac:dyDescent="0.25"/>
    <row r="219312" customFormat="1" x14ac:dyDescent="0.25"/>
    <row r="219313" customFormat="1" x14ac:dyDescent="0.25"/>
    <row r="219314" customFormat="1" x14ac:dyDescent="0.25"/>
    <row r="219315" customFormat="1" x14ac:dyDescent="0.25"/>
    <row r="219316" customFormat="1" x14ac:dyDescent="0.25"/>
    <row r="219317" customFormat="1" x14ac:dyDescent="0.25"/>
    <row r="219318" customFormat="1" x14ac:dyDescent="0.25"/>
    <row r="219319" customFormat="1" x14ac:dyDescent="0.25"/>
    <row r="219320" customFormat="1" x14ac:dyDescent="0.25"/>
    <row r="219321" customFormat="1" x14ac:dyDescent="0.25"/>
    <row r="219322" customFormat="1" x14ac:dyDescent="0.25"/>
    <row r="219323" customFormat="1" x14ac:dyDescent="0.25"/>
    <row r="219324" customFormat="1" x14ac:dyDescent="0.25"/>
    <row r="219325" customFormat="1" x14ac:dyDescent="0.25"/>
    <row r="219326" customFormat="1" x14ac:dyDescent="0.25"/>
    <row r="219327" customFormat="1" x14ac:dyDescent="0.25"/>
    <row r="219328" customFormat="1" x14ac:dyDescent="0.25"/>
    <row r="219329" customFormat="1" x14ac:dyDescent="0.25"/>
    <row r="219330" customFormat="1" x14ac:dyDescent="0.25"/>
    <row r="219331" customFormat="1" x14ac:dyDescent="0.25"/>
    <row r="219332" customFormat="1" x14ac:dyDescent="0.25"/>
    <row r="219333" customFormat="1" x14ac:dyDescent="0.25"/>
    <row r="219334" customFormat="1" x14ac:dyDescent="0.25"/>
    <row r="219335" customFormat="1" x14ac:dyDescent="0.25"/>
    <row r="219336" customFormat="1" x14ac:dyDescent="0.25"/>
    <row r="219337" customFormat="1" x14ac:dyDescent="0.25"/>
    <row r="219338" customFormat="1" x14ac:dyDescent="0.25"/>
    <row r="219339" customFormat="1" x14ac:dyDescent="0.25"/>
    <row r="219340" customFormat="1" x14ac:dyDescent="0.25"/>
    <row r="219341" customFormat="1" x14ac:dyDescent="0.25"/>
    <row r="219342" customFormat="1" x14ac:dyDescent="0.25"/>
    <row r="219343" customFormat="1" x14ac:dyDescent="0.25"/>
    <row r="219344" customFormat="1" x14ac:dyDescent="0.25"/>
    <row r="219345" customFormat="1" x14ac:dyDescent="0.25"/>
    <row r="219346" customFormat="1" x14ac:dyDescent="0.25"/>
    <row r="219347" customFormat="1" x14ac:dyDescent="0.25"/>
    <row r="219348" customFormat="1" x14ac:dyDescent="0.25"/>
    <row r="219349" customFormat="1" x14ac:dyDescent="0.25"/>
    <row r="219350" customFormat="1" x14ac:dyDescent="0.25"/>
    <row r="219351" customFormat="1" x14ac:dyDescent="0.25"/>
    <row r="219352" customFormat="1" x14ac:dyDescent="0.25"/>
    <row r="219353" customFormat="1" x14ac:dyDescent="0.25"/>
    <row r="219354" customFormat="1" x14ac:dyDescent="0.25"/>
    <row r="219355" customFormat="1" x14ac:dyDescent="0.25"/>
    <row r="219356" customFormat="1" x14ac:dyDescent="0.25"/>
    <row r="219357" customFormat="1" x14ac:dyDescent="0.25"/>
    <row r="219358" customFormat="1" x14ac:dyDescent="0.25"/>
    <row r="219359" customFormat="1" x14ac:dyDescent="0.25"/>
    <row r="219360" customFormat="1" x14ac:dyDescent="0.25"/>
    <row r="219361" customFormat="1" x14ac:dyDescent="0.25"/>
    <row r="219362" customFormat="1" x14ac:dyDescent="0.25"/>
    <row r="219363" customFormat="1" x14ac:dyDescent="0.25"/>
    <row r="219364" customFormat="1" x14ac:dyDescent="0.25"/>
    <row r="219365" customFormat="1" x14ac:dyDescent="0.25"/>
    <row r="219366" customFormat="1" x14ac:dyDescent="0.25"/>
    <row r="219367" customFormat="1" x14ac:dyDescent="0.25"/>
    <row r="219368" customFormat="1" x14ac:dyDescent="0.25"/>
    <row r="219369" customFormat="1" x14ac:dyDescent="0.25"/>
    <row r="219370" customFormat="1" x14ac:dyDescent="0.25"/>
    <row r="219371" customFormat="1" x14ac:dyDescent="0.25"/>
    <row r="219372" customFormat="1" x14ac:dyDescent="0.25"/>
    <row r="219373" customFormat="1" x14ac:dyDescent="0.25"/>
    <row r="219374" customFormat="1" x14ac:dyDescent="0.25"/>
    <row r="219375" customFormat="1" x14ac:dyDescent="0.25"/>
    <row r="219376" customFormat="1" x14ac:dyDescent="0.25"/>
    <row r="219377" customFormat="1" x14ac:dyDescent="0.25"/>
    <row r="219378" customFormat="1" x14ac:dyDescent="0.25"/>
    <row r="219379" customFormat="1" x14ac:dyDescent="0.25"/>
    <row r="219380" customFormat="1" x14ac:dyDescent="0.25"/>
    <row r="219381" customFormat="1" x14ac:dyDescent="0.25"/>
    <row r="219382" customFormat="1" x14ac:dyDescent="0.25"/>
    <row r="219383" customFormat="1" x14ac:dyDescent="0.25"/>
    <row r="219384" customFormat="1" x14ac:dyDescent="0.25"/>
    <row r="219385" customFormat="1" x14ac:dyDescent="0.25"/>
    <row r="219386" customFormat="1" x14ac:dyDescent="0.25"/>
    <row r="219387" customFormat="1" x14ac:dyDescent="0.25"/>
    <row r="219388" customFormat="1" x14ac:dyDescent="0.25"/>
    <row r="219389" customFormat="1" x14ac:dyDescent="0.25"/>
    <row r="219390" customFormat="1" x14ac:dyDescent="0.25"/>
    <row r="219391" customFormat="1" x14ac:dyDescent="0.25"/>
    <row r="219392" customFormat="1" x14ac:dyDescent="0.25"/>
    <row r="219393" customFormat="1" x14ac:dyDescent="0.25"/>
    <row r="219394" customFormat="1" x14ac:dyDescent="0.25"/>
    <row r="219395" customFormat="1" x14ac:dyDescent="0.25"/>
    <row r="219396" customFormat="1" x14ac:dyDescent="0.25"/>
    <row r="219397" customFormat="1" x14ac:dyDescent="0.25"/>
    <row r="219398" customFormat="1" x14ac:dyDescent="0.25"/>
    <row r="219399" customFormat="1" x14ac:dyDescent="0.25"/>
    <row r="219400" customFormat="1" x14ac:dyDescent="0.25"/>
    <row r="219401" customFormat="1" x14ac:dyDescent="0.25"/>
    <row r="219402" customFormat="1" x14ac:dyDescent="0.25"/>
    <row r="219403" customFormat="1" x14ac:dyDescent="0.25"/>
    <row r="219404" customFormat="1" x14ac:dyDescent="0.25"/>
    <row r="219405" customFormat="1" x14ac:dyDescent="0.25"/>
    <row r="219406" customFormat="1" x14ac:dyDescent="0.25"/>
    <row r="219407" customFormat="1" x14ac:dyDescent="0.25"/>
    <row r="219408" customFormat="1" x14ac:dyDescent="0.25"/>
    <row r="219409" customFormat="1" x14ac:dyDescent="0.25"/>
    <row r="219410" customFormat="1" x14ac:dyDescent="0.25"/>
    <row r="219411" customFormat="1" x14ac:dyDescent="0.25"/>
    <row r="219412" customFormat="1" x14ac:dyDescent="0.25"/>
    <row r="219413" customFormat="1" x14ac:dyDescent="0.25"/>
    <row r="219414" customFormat="1" x14ac:dyDescent="0.25"/>
    <row r="219415" customFormat="1" x14ac:dyDescent="0.25"/>
    <row r="219416" customFormat="1" x14ac:dyDescent="0.25"/>
    <row r="219417" customFormat="1" x14ac:dyDescent="0.25"/>
    <row r="219418" customFormat="1" x14ac:dyDescent="0.25"/>
    <row r="219419" customFormat="1" x14ac:dyDescent="0.25"/>
    <row r="219420" customFormat="1" x14ac:dyDescent="0.25"/>
    <row r="219421" customFormat="1" x14ac:dyDescent="0.25"/>
    <row r="219422" customFormat="1" x14ac:dyDescent="0.25"/>
    <row r="219423" customFormat="1" x14ac:dyDescent="0.25"/>
    <row r="219424" customFormat="1" x14ac:dyDescent="0.25"/>
    <row r="219425" customFormat="1" x14ac:dyDescent="0.25"/>
    <row r="219426" customFormat="1" x14ac:dyDescent="0.25"/>
    <row r="219427" customFormat="1" x14ac:dyDescent="0.25"/>
    <row r="219428" customFormat="1" x14ac:dyDescent="0.25"/>
    <row r="219429" customFormat="1" x14ac:dyDescent="0.25"/>
    <row r="219430" customFormat="1" x14ac:dyDescent="0.25"/>
    <row r="219431" customFormat="1" x14ac:dyDescent="0.25"/>
    <row r="219432" customFormat="1" x14ac:dyDescent="0.25"/>
    <row r="219433" customFormat="1" x14ac:dyDescent="0.25"/>
    <row r="219434" customFormat="1" x14ac:dyDescent="0.25"/>
    <row r="219435" customFormat="1" x14ac:dyDescent="0.25"/>
    <row r="219436" customFormat="1" x14ac:dyDescent="0.25"/>
    <row r="219437" customFormat="1" x14ac:dyDescent="0.25"/>
    <row r="219438" customFormat="1" x14ac:dyDescent="0.25"/>
    <row r="219439" customFormat="1" x14ac:dyDescent="0.25"/>
    <row r="219440" customFormat="1" x14ac:dyDescent="0.25"/>
    <row r="219441" customFormat="1" x14ac:dyDescent="0.25"/>
    <row r="219442" customFormat="1" x14ac:dyDescent="0.25"/>
    <row r="219443" customFormat="1" x14ac:dyDescent="0.25"/>
    <row r="219444" customFormat="1" x14ac:dyDescent="0.25"/>
    <row r="219445" customFormat="1" x14ac:dyDescent="0.25"/>
    <row r="219446" customFormat="1" x14ac:dyDescent="0.25"/>
    <row r="219447" customFormat="1" x14ac:dyDescent="0.25"/>
    <row r="219448" customFormat="1" x14ac:dyDescent="0.25"/>
    <row r="219449" customFormat="1" x14ac:dyDescent="0.25"/>
    <row r="219450" customFormat="1" x14ac:dyDescent="0.25"/>
    <row r="219451" customFormat="1" x14ac:dyDescent="0.25"/>
    <row r="219452" customFormat="1" x14ac:dyDescent="0.25"/>
    <row r="219453" customFormat="1" x14ac:dyDescent="0.25"/>
    <row r="219454" customFormat="1" x14ac:dyDescent="0.25"/>
    <row r="219455" customFormat="1" x14ac:dyDescent="0.25"/>
    <row r="219456" customFormat="1" x14ac:dyDescent="0.25"/>
    <row r="219457" customFormat="1" x14ac:dyDescent="0.25"/>
    <row r="219458" customFormat="1" x14ac:dyDescent="0.25"/>
    <row r="219459" customFormat="1" x14ac:dyDescent="0.25"/>
    <row r="219460" customFormat="1" x14ac:dyDescent="0.25"/>
    <row r="219461" customFormat="1" x14ac:dyDescent="0.25"/>
    <row r="219462" customFormat="1" x14ac:dyDescent="0.25"/>
    <row r="219463" customFormat="1" x14ac:dyDescent="0.25"/>
    <row r="219464" customFormat="1" x14ac:dyDescent="0.25"/>
    <row r="219465" customFormat="1" x14ac:dyDescent="0.25"/>
    <row r="219466" customFormat="1" x14ac:dyDescent="0.25"/>
    <row r="219467" customFormat="1" x14ac:dyDescent="0.25"/>
    <row r="219468" customFormat="1" x14ac:dyDescent="0.25"/>
    <row r="219469" customFormat="1" x14ac:dyDescent="0.25"/>
    <row r="219470" customFormat="1" x14ac:dyDescent="0.25"/>
    <row r="219471" customFormat="1" x14ac:dyDescent="0.25"/>
    <row r="219472" customFormat="1" x14ac:dyDescent="0.25"/>
    <row r="219473" customFormat="1" x14ac:dyDescent="0.25"/>
    <row r="219474" customFormat="1" x14ac:dyDescent="0.25"/>
    <row r="219475" customFormat="1" x14ac:dyDescent="0.25"/>
    <row r="219476" customFormat="1" x14ac:dyDescent="0.25"/>
    <row r="219477" customFormat="1" x14ac:dyDescent="0.25"/>
    <row r="219478" customFormat="1" x14ac:dyDescent="0.25"/>
    <row r="219479" customFormat="1" x14ac:dyDescent="0.25"/>
    <row r="219480" customFormat="1" x14ac:dyDescent="0.25"/>
    <row r="219481" customFormat="1" x14ac:dyDescent="0.25"/>
    <row r="219482" customFormat="1" x14ac:dyDescent="0.25"/>
    <row r="219483" customFormat="1" x14ac:dyDescent="0.25"/>
    <row r="219484" customFormat="1" x14ac:dyDescent="0.25"/>
    <row r="219485" customFormat="1" x14ac:dyDescent="0.25"/>
    <row r="219486" customFormat="1" x14ac:dyDescent="0.25"/>
    <row r="219487" customFormat="1" x14ac:dyDescent="0.25"/>
    <row r="219488" customFormat="1" x14ac:dyDescent="0.25"/>
    <row r="219489" customFormat="1" x14ac:dyDescent="0.25"/>
    <row r="219490" customFormat="1" x14ac:dyDescent="0.25"/>
    <row r="219491" customFormat="1" x14ac:dyDescent="0.25"/>
    <row r="219492" customFormat="1" x14ac:dyDescent="0.25"/>
    <row r="219493" customFormat="1" x14ac:dyDescent="0.25"/>
    <row r="219494" customFormat="1" x14ac:dyDescent="0.25"/>
    <row r="219495" customFormat="1" x14ac:dyDescent="0.25"/>
    <row r="219496" customFormat="1" x14ac:dyDescent="0.25"/>
    <row r="219497" customFormat="1" x14ac:dyDescent="0.25"/>
    <row r="219498" customFormat="1" x14ac:dyDescent="0.25"/>
    <row r="219499" customFormat="1" x14ac:dyDescent="0.25"/>
    <row r="219500" customFormat="1" x14ac:dyDescent="0.25"/>
    <row r="219501" customFormat="1" x14ac:dyDescent="0.25"/>
    <row r="219502" customFormat="1" x14ac:dyDescent="0.25"/>
    <row r="219503" customFormat="1" x14ac:dyDescent="0.25"/>
    <row r="219504" customFormat="1" x14ac:dyDescent="0.25"/>
    <row r="219505" customFormat="1" x14ac:dyDescent="0.25"/>
    <row r="219506" customFormat="1" x14ac:dyDescent="0.25"/>
    <row r="219507" customFormat="1" x14ac:dyDescent="0.25"/>
    <row r="219508" customFormat="1" x14ac:dyDescent="0.25"/>
    <row r="219509" customFormat="1" x14ac:dyDescent="0.25"/>
    <row r="219510" customFormat="1" x14ac:dyDescent="0.25"/>
    <row r="219511" customFormat="1" x14ac:dyDescent="0.25"/>
    <row r="219512" customFormat="1" x14ac:dyDescent="0.25"/>
    <row r="219513" customFormat="1" x14ac:dyDescent="0.25"/>
    <row r="219514" customFormat="1" x14ac:dyDescent="0.25"/>
    <row r="219515" customFormat="1" x14ac:dyDescent="0.25"/>
    <row r="219516" customFormat="1" x14ac:dyDescent="0.25"/>
    <row r="219517" customFormat="1" x14ac:dyDescent="0.25"/>
    <row r="219518" customFormat="1" x14ac:dyDescent="0.25"/>
    <row r="219519" customFormat="1" x14ac:dyDescent="0.25"/>
    <row r="219520" customFormat="1" x14ac:dyDescent="0.25"/>
    <row r="219521" customFormat="1" x14ac:dyDescent="0.25"/>
    <row r="219522" customFormat="1" x14ac:dyDescent="0.25"/>
    <row r="219523" customFormat="1" x14ac:dyDescent="0.25"/>
    <row r="219524" customFormat="1" x14ac:dyDescent="0.25"/>
    <row r="219525" customFormat="1" x14ac:dyDescent="0.25"/>
    <row r="219526" customFormat="1" x14ac:dyDescent="0.25"/>
    <row r="219527" customFormat="1" x14ac:dyDescent="0.25"/>
    <row r="219528" customFormat="1" x14ac:dyDescent="0.25"/>
    <row r="219529" customFormat="1" x14ac:dyDescent="0.25"/>
    <row r="219530" customFormat="1" x14ac:dyDescent="0.25"/>
    <row r="219531" customFormat="1" x14ac:dyDescent="0.25"/>
    <row r="219532" customFormat="1" x14ac:dyDescent="0.25"/>
    <row r="219533" customFormat="1" x14ac:dyDescent="0.25"/>
    <row r="219534" customFormat="1" x14ac:dyDescent="0.25"/>
    <row r="219535" customFormat="1" x14ac:dyDescent="0.25"/>
    <row r="219536" customFormat="1" x14ac:dyDescent="0.25"/>
    <row r="219537" customFormat="1" x14ac:dyDescent="0.25"/>
    <row r="219538" customFormat="1" x14ac:dyDescent="0.25"/>
    <row r="219539" customFormat="1" x14ac:dyDescent="0.25"/>
    <row r="219540" customFormat="1" x14ac:dyDescent="0.25"/>
    <row r="219541" customFormat="1" x14ac:dyDescent="0.25"/>
    <row r="219542" customFormat="1" x14ac:dyDescent="0.25"/>
    <row r="219543" customFormat="1" x14ac:dyDescent="0.25"/>
    <row r="219544" customFormat="1" x14ac:dyDescent="0.25"/>
    <row r="219545" customFormat="1" x14ac:dyDescent="0.25"/>
    <row r="219546" customFormat="1" x14ac:dyDescent="0.25"/>
    <row r="219547" customFormat="1" x14ac:dyDescent="0.25"/>
    <row r="219548" customFormat="1" x14ac:dyDescent="0.25"/>
    <row r="219549" customFormat="1" x14ac:dyDescent="0.25"/>
    <row r="219550" customFormat="1" x14ac:dyDescent="0.25"/>
    <row r="219551" customFormat="1" x14ac:dyDescent="0.25"/>
    <row r="219552" customFormat="1" x14ac:dyDescent="0.25"/>
    <row r="219553" customFormat="1" x14ac:dyDescent="0.25"/>
    <row r="219554" customFormat="1" x14ac:dyDescent="0.25"/>
    <row r="219555" customFormat="1" x14ac:dyDescent="0.25"/>
    <row r="219556" customFormat="1" x14ac:dyDescent="0.25"/>
    <row r="219557" customFormat="1" x14ac:dyDescent="0.25"/>
    <row r="219558" customFormat="1" x14ac:dyDescent="0.25"/>
    <row r="219559" customFormat="1" x14ac:dyDescent="0.25"/>
    <row r="219560" customFormat="1" x14ac:dyDescent="0.25"/>
    <row r="219561" customFormat="1" x14ac:dyDescent="0.25"/>
    <row r="219562" customFormat="1" x14ac:dyDescent="0.25"/>
    <row r="219563" customFormat="1" x14ac:dyDescent="0.25"/>
    <row r="219564" customFormat="1" x14ac:dyDescent="0.25"/>
    <row r="219565" customFormat="1" x14ac:dyDescent="0.25"/>
    <row r="219566" customFormat="1" x14ac:dyDescent="0.25"/>
    <row r="219567" customFormat="1" x14ac:dyDescent="0.25"/>
    <row r="219568" customFormat="1" x14ac:dyDescent="0.25"/>
    <row r="219569" customFormat="1" x14ac:dyDescent="0.25"/>
    <row r="219570" customFormat="1" x14ac:dyDescent="0.25"/>
    <row r="219571" customFormat="1" x14ac:dyDescent="0.25"/>
    <row r="219572" customFormat="1" x14ac:dyDescent="0.25"/>
    <row r="219573" customFormat="1" x14ac:dyDescent="0.25"/>
    <row r="219574" customFormat="1" x14ac:dyDescent="0.25"/>
    <row r="219575" customFormat="1" x14ac:dyDescent="0.25"/>
    <row r="219576" customFormat="1" x14ac:dyDescent="0.25"/>
    <row r="219577" customFormat="1" x14ac:dyDescent="0.25"/>
    <row r="219578" customFormat="1" x14ac:dyDescent="0.25"/>
    <row r="219579" customFormat="1" x14ac:dyDescent="0.25"/>
    <row r="219580" customFormat="1" x14ac:dyDescent="0.25"/>
    <row r="219581" customFormat="1" x14ac:dyDescent="0.25"/>
    <row r="219582" customFormat="1" x14ac:dyDescent="0.25"/>
    <row r="219583" customFormat="1" x14ac:dyDescent="0.25"/>
    <row r="219584" customFormat="1" x14ac:dyDescent="0.25"/>
    <row r="219585" customFormat="1" x14ac:dyDescent="0.25"/>
    <row r="219586" customFormat="1" x14ac:dyDescent="0.25"/>
    <row r="219587" customFormat="1" x14ac:dyDescent="0.25"/>
    <row r="219588" customFormat="1" x14ac:dyDescent="0.25"/>
    <row r="219589" customFormat="1" x14ac:dyDescent="0.25"/>
    <row r="219590" customFormat="1" x14ac:dyDescent="0.25"/>
    <row r="219591" customFormat="1" x14ac:dyDescent="0.25"/>
    <row r="219592" customFormat="1" x14ac:dyDescent="0.25"/>
    <row r="219593" customFormat="1" x14ac:dyDescent="0.25"/>
    <row r="219594" customFormat="1" x14ac:dyDescent="0.25"/>
    <row r="219595" customFormat="1" x14ac:dyDescent="0.25"/>
    <row r="219596" customFormat="1" x14ac:dyDescent="0.25"/>
    <row r="219597" customFormat="1" x14ac:dyDescent="0.25"/>
    <row r="219598" customFormat="1" x14ac:dyDescent="0.25"/>
    <row r="219599" customFormat="1" x14ac:dyDescent="0.25"/>
    <row r="219600" customFormat="1" x14ac:dyDescent="0.25"/>
    <row r="219601" customFormat="1" x14ac:dyDescent="0.25"/>
    <row r="219602" customFormat="1" x14ac:dyDescent="0.25"/>
    <row r="219603" customFormat="1" x14ac:dyDescent="0.25"/>
    <row r="219604" customFormat="1" x14ac:dyDescent="0.25"/>
    <row r="219605" customFormat="1" x14ac:dyDescent="0.25"/>
    <row r="219606" customFormat="1" x14ac:dyDescent="0.25"/>
    <row r="219607" customFormat="1" x14ac:dyDescent="0.25"/>
    <row r="219608" customFormat="1" x14ac:dyDescent="0.25"/>
    <row r="219609" customFormat="1" x14ac:dyDescent="0.25"/>
    <row r="219610" customFormat="1" x14ac:dyDescent="0.25"/>
    <row r="219611" customFormat="1" x14ac:dyDescent="0.25"/>
    <row r="219612" customFormat="1" x14ac:dyDescent="0.25"/>
    <row r="219613" customFormat="1" x14ac:dyDescent="0.25"/>
    <row r="219614" customFormat="1" x14ac:dyDescent="0.25"/>
    <row r="219615" customFormat="1" x14ac:dyDescent="0.25"/>
    <row r="219616" customFormat="1" x14ac:dyDescent="0.25"/>
    <row r="219617" customFormat="1" x14ac:dyDescent="0.25"/>
    <row r="219618" customFormat="1" x14ac:dyDescent="0.25"/>
    <row r="219619" customFormat="1" x14ac:dyDescent="0.25"/>
    <row r="219620" customFormat="1" x14ac:dyDescent="0.25"/>
    <row r="219621" customFormat="1" x14ac:dyDescent="0.25"/>
    <row r="219622" customFormat="1" x14ac:dyDescent="0.25"/>
    <row r="219623" customFormat="1" x14ac:dyDescent="0.25"/>
    <row r="219624" customFormat="1" x14ac:dyDescent="0.25"/>
    <row r="219625" customFormat="1" x14ac:dyDescent="0.25"/>
    <row r="219626" customFormat="1" x14ac:dyDescent="0.25"/>
    <row r="219627" customFormat="1" x14ac:dyDescent="0.25"/>
    <row r="219628" customFormat="1" x14ac:dyDescent="0.25"/>
    <row r="219629" customFormat="1" x14ac:dyDescent="0.25"/>
    <row r="219630" customFormat="1" x14ac:dyDescent="0.25"/>
    <row r="219631" customFormat="1" x14ac:dyDescent="0.25"/>
    <row r="219632" customFormat="1" x14ac:dyDescent="0.25"/>
    <row r="219633" customFormat="1" x14ac:dyDescent="0.25"/>
    <row r="219634" customFormat="1" x14ac:dyDescent="0.25"/>
    <row r="219635" customFormat="1" x14ac:dyDescent="0.25"/>
    <row r="219636" customFormat="1" x14ac:dyDescent="0.25"/>
    <row r="219637" customFormat="1" x14ac:dyDescent="0.25"/>
    <row r="219638" customFormat="1" x14ac:dyDescent="0.25"/>
    <row r="219639" customFormat="1" x14ac:dyDescent="0.25"/>
    <row r="219640" customFormat="1" x14ac:dyDescent="0.25"/>
    <row r="219641" customFormat="1" x14ac:dyDescent="0.25"/>
    <row r="219642" customFormat="1" x14ac:dyDescent="0.25"/>
    <row r="219643" customFormat="1" x14ac:dyDescent="0.25"/>
    <row r="219644" customFormat="1" x14ac:dyDescent="0.25"/>
    <row r="219645" customFormat="1" x14ac:dyDescent="0.25"/>
    <row r="219646" customFormat="1" x14ac:dyDescent="0.25"/>
    <row r="219647" customFormat="1" x14ac:dyDescent="0.25"/>
    <row r="219648" customFormat="1" x14ac:dyDescent="0.25"/>
    <row r="219649" customFormat="1" x14ac:dyDescent="0.25"/>
    <row r="219650" customFormat="1" x14ac:dyDescent="0.25"/>
    <row r="219651" customFormat="1" x14ac:dyDescent="0.25"/>
    <row r="219652" customFormat="1" x14ac:dyDescent="0.25"/>
    <row r="219653" customFormat="1" x14ac:dyDescent="0.25"/>
    <row r="219654" customFormat="1" x14ac:dyDescent="0.25"/>
    <row r="219655" customFormat="1" x14ac:dyDescent="0.25"/>
    <row r="219656" customFormat="1" x14ac:dyDescent="0.25"/>
    <row r="219657" customFormat="1" x14ac:dyDescent="0.25"/>
    <row r="219658" customFormat="1" x14ac:dyDescent="0.25"/>
    <row r="219659" customFormat="1" x14ac:dyDescent="0.25"/>
    <row r="219660" customFormat="1" x14ac:dyDescent="0.25"/>
    <row r="219661" customFormat="1" x14ac:dyDescent="0.25"/>
    <row r="219662" customFormat="1" x14ac:dyDescent="0.25"/>
    <row r="219663" customFormat="1" x14ac:dyDescent="0.25"/>
    <row r="219664" customFormat="1" x14ac:dyDescent="0.25"/>
    <row r="219665" customFormat="1" x14ac:dyDescent="0.25"/>
    <row r="219666" customFormat="1" x14ac:dyDescent="0.25"/>
    <row r="219667" customFormat="1" x14ac:dyDescent="0.25"/>
    <row r="219668" customFormat="1" x14ac:dyDescent="0.25"/>
    <row r="219669" customFormat="1" x14ac:dyDescent="0.25"/>
    <row r="219670" customFormat="1" x14ac:dyDescent="0.25"/>
    <row r="219671" customFormat="1" x14ac:dyDescent="0.25"/>
    <row r="219672" customFormat="1" x14ac:dyDescent="0.25"/>
    <row r="219673" customFormat="1" x14ac:dyDescent="0.25"/>
    <row r="219674" customFormat="1" x14ac:dyDescent="0.25"/>
    <row r="219675" customFormat="1" x14ac:dyDescent="0.25"/>
    <row r="219676" customFormat="1" x14ac:dyDescent="0.25"/>
    <row r="219677" customFormat="1" x14ac:dyDescent="0.25"/>
    <row r="219678" customFormat="1" x14ac:dyDescent="0.25"/>
    <row r="219679" customFormat="1" x14ac:dyDescent="0.25"/>
    <row r="219680" customFormat="1" x14ac:dyDescent="0.25"/>
    <row r="219681" customFormat="1" x14ac:dyDescent="0.25"/>
    <row r="219682" customFormat="1" x14ac:dyDescent="0.25"/>
    <row r="219683" customFormat="1" x14ac:dyDescent="0.25"/>
    <row r="219684" customFormat="1" x14ac:dyDescent="0.25"/>
    <row r="219685" customFormat="1" x14ac:dyDescent="0.25"/>
    <row r="219686" customFormat="1" x14ac:dyDescent="0.25"/>
    <row r="219687" customFormat="1" x14ac:dyDescent="0.25"/>
    <row r="219688" customFormat="1" x14ac:dyDescent="0.25"/>
    <row r="219689" customFormat="1" x14ac:dyDescent="0.25"/>
    <row r="219690" customFormat="1" x14ac:dyDescent="0.25"/>
    <row r="219691" customFormat="1" x14ac:dyDescent="0.25"/>
    <row r="219692" customFormat="1" x14ac:dyDescent="0.25"/>
    <row r="219693" customFormat="1" x14ac:dyDescent="0.25"/>
    <row r="219694" customFormat="1" x14ac:dyDescent="0.25"/>
    <row r="219695" customFormat="1" x14ac:dyDescent="0.25"/>
    <row r="219696" customFormat="1" x14ac:dyDescent="0.25"/>
    <row r="219697" customFormat="1" x14ac:dyDescent="0.25"/>
    <row r="219698" customFormat="1" x14ac:dyDescent="0.25"/>
    <row r="219699" customFormat="1" x14ac:dyDescent="0.25"/>
    <row r="219700" customFormat="1" x14ac:dyDescent="0.25"/>
    <row r="219701" customFormat="1" x14ac:dyDescent="0.25"/>
    <row r="219702" customFormat="1" x14ac:dyDescent="0.25"/>
    <row r="219703" customFormat="1" x14ac:dyDescent="0.25"/>
    <row r="219704" customFormat="1" x14ac:dyDescent="0.25"/>
    <row r="219705" customFormat="1" x14ac:dyDescent="0.25"/>
    <row r="219706" customFormat="1" x14ac:dyDescent="0.25"/>
    <row r="219707" customFormat="1" x14ac:dyDescent="0.25"/>
    <row r="219708" customFormat="1" x14ac:dyDescent="0.25"/>
    <row r="219709" customFormat="1" x14ac:dyDescent="0.25"/>
    <row r="219710" customFormat="1" x14ac:dyDescent="0.25"/>
    <row r="219711" customFormat="1" x14ac:dyDescent="0.25"/>
    <row r="219712" customFormat="1" x14ac:dyDescent="0.25"/>
    <row r="219713" customFormat="1" x14ac:dyDescent="0.25"/>
    <row r="219714" customFormat="1" x14ac:dyDescent="0.25"/>
    <row r="219715" customFormat="1" x14ac:dyDescent="0.25"/>
    <row r="219716" customFormat="1" x14ac:dyDescent="0.25"/>
    <row r="219717" customFormat="1" x14ac:dyDescent="0.25"/>
    <row r="219718" customFormat="1" x14ac:dyDescent="0.25"/>
    <row r="219719" customFormat="1" x14ac:dyDescent="0.25"/>
    <row r="219720" customFormat="1" x14ac:dyDescent="0.25"/>
    <row r="219721" customFormat="1" x14ac:dyDescent="0.25"/>
    <row r="219722" customFormat="1" x14ac:dyDescent="0.25"/>
    <row r="219723" customFormat="1" x14ac:dyDescent="0.25"/>
    <row r="219724" customFormat="1" x14ac:dyDescent="0.25"/>
    <row r="219725" customFormat="1" x14ac:dyDescent="0.25"/>
    <row r="219726" customFormat="1" x14ac:dyDescent="0.25"/>
    <row r="219727" customFormat="1" x14ac:dyDescent="0.25"/>
    <row r="219728" customFormat="1" x14ac:dyDescent="0.25"/>
    <row r="219729" customFormat="1" x14ac:dyDescent="0.25"/>
    <row r="219730" customFormat="1" x14ac:dyDescent="0.25"/>
    <row r="219731" customFormat="1" x14ac:dyDescent="0.25"/>
    <row r="219732" customFormat="1" x14ac:dyDescent="0.25"/>
    <row r="219733" customFormat="1" x14ac:dyDescent="0.25"/>
    <row r="219734" customFormat="1" x14ac:dyDescent="0.25"/>
    <row r="219735" customFormat="1" x14ac:dyDescent="0.25"/>
    <row r="219736" customFormat="1" x14ac:dyDescent="0.25"/>
    <row r="219737" customFormat="1" x14ac:dyDescent="0.25"/>
    <row r="219738" customFormat="1" x14ac:dyDescent="0.25"/>
    <row r="219739" customFormat="1" x14ac:dyDescent="0.25"/>
    <row r="219740" customFormat="1" x14ac:dyDescent="0.25"/>
    <row r="219741" customFormat="1" x14ac:dyDescent="0.25"/>
    <row r="219742" customFormat="1" x14ac:dyDescent="0.25"/>
    <row r="219743" customFormat="1" x14ac:dyDescent="0.25"/>
    <row r="219744" customFormat="1" x14ac:dyDescent="0.25"/>
    <row r="219745" customFormat="1" x14ac:dyDescent="0.25"/>
    <row r="219746" customFormat="1" x14ac:dyDescent="0.25"/>
    <row r="219747" customFormat="1" x14ac:dyDescent="0.25"/>
    <row r="219748" customFormat="1" x14ac:dyDescent="0.25"/>
    <row r="219749" customFormat="1" x14ac:dyDescent="0.25"/>
    <row r="219750" customFormat="1" x14ac:dyDescent="0.25"/>
    <row r="219751" customFormat="1" x14ac:dyDescent="0.25"/>
    <row r="219752" customFormat="1" x14ac:dyDescent="0.25"/>
    <row r="219753" customFormat="1" x14ac:dyDescent="0.25"/>
    <row r="219754" customFormat="1" x14ac:dyDescent="0.25"/>
    <row r="219755" customFormat="1" x14ac:dyDescent="0.25"/>
    <row r="219756" customFormat="1" x14ac:dyDescent="0.25"/>
    <row r="219757" customFormat="1" x14ac:dyDescent="0.25"/>
    <row r="219758" customFormat="1" x14ac:dyDescent="0.25"/>
    <row r="219759" customFormat="1" x14ac:dyDescent="0.25"/>
    <row r="219760" customFormat="1" x14ac:dyDescent="0.25"/>
    <row r="219761" customFormat="1" x14ac:dyDescent="0.25"/>
    <row r="219762" customFormat="1" x14ac:dyDescent="0.25"/>
    <row r="219763" customFormat="1" x14ac:dyDescent="0.25"/>
    <row r="219764" customFormat="1" x14ac:dyDescent="0.25"/>
    <row r="219765" customFormat="1" x14ac:dyDescent="0.25"/>
    <row r="219766" customFormat="1" x14ac:dyDescent="0.25"/>
    <row r="219767" customFormat="1" x14ac:dyDescent="0.25"/>
    <row r="219768" customFormat="1" x14ac:dyDescent="0.25"/>
    <row r="219769" customFormat="1" x14ac:dyDescent="0.25"/>
    <row r="219770" customFormat="1" x14ac:dyDescent="0.25"/>
    <row r="219771" customFormat="1" x14ac:dyDescent="0.25"/>
    <row r="219772" customFormat="1" x14ac:dyDescent="0.25"/>
    <row r="219773" customFormat="1" x14ac:dyDescent="0.25"/>
    <row r="219774" customFormat="1" x14ac:dyDescent="0.25"/>
    <row r="219775" customFormat="1" x14ac:dyDescent="0.25"/>
    <row r="219776" customFormat="1" x14ac:dyDescent="0.25"/>
    <row r="219777" customFormat="1" x14ac:dyDescent="0.25"/>
    <row r="219778" customFormat="1" x14ac:dyDescent="0.25"/>
    <row r="219779" customFormat="1" x14ac:dyDescent="0.25"/>
    <row r="219780" customFormat="1" x14ac:dyDescent="0.25"/>
    <row r="219781" customFormat="1" x14ac:dyDescent="0.25"/>
    <row r="219782" customFormat="1" x14ac:dyDescent="0.25"/>
    <row r="219783" customFormat="1" x14ac:dyDescent="0.25"/>
    <row r="219784" customFormat="1" x14ac:dyDescent="0.25"/>
    <row r="219785" customFormat="1" x14ac:dyDescent="0.25"/>
    <row r="219786" customFormat="1" x14ac:dyDescent="0.25"/>
    <row r="219787" customFormat="1" x14ac:dyDescent="0.25"/>
    <row r="219788" customFormat="1" x14ac:dyDescent="0.25"/>
    <row r="219789" customFormat="1" x14ac:dyDescent="0.25"/>
    <row r="219790" customFormat="1" x14ac:dyDescent="0.25"/>
    <row r="219791" customFormat="1" x14ac:dyDescent="0.25"/>
    <row r="219792" customFormat="1" x14ac:dyDescent="0.25"/>
    <row r="219793" customFormat="1" x14ac:dyDescent="0.25"/>
    <row r="219794" customFormat="1" x14ac:dyDescent="0.25"/>
    <row r="219795" customFormat="1" x14ac:dyDescent="0.25"/>
    <row r="219796" customFormat="1" x14ac:dyDescent="0.25"/>
    <row r="219797" customFormat="1" x14ac:dyDescent="0.25"/>
    <row r="219798" customFormat="1" x14ac:dyDescent="0.25"/>
    <row r="219799" customFormat="1" x14ac:dyDescent="0.25"/>
    <row r="219800" customFormat="1" x14ac:dyDescent="0.25"/>
    <row r="219801" customFormat="1" x14ac:dyDescent="0.25"/>
    <row r="219802" customFormat="1" x14ac:dyDescent="0.25"/>
    <row r="219803" customFormat="1" x14ac:dyDescent="0.25"/>
    <row r="219804" customFormat="1" x14ac:dyDescent="0.25"/>
    <row r="219805" customFormat="1" x14ac:dyDescent="0.25"/>
    <row r="219806" customFormat="1" x14ac:dyDescent="0.25"/>
    <row r="219807" customFormat="1" x14ac:dyDescent="0.25"/>
    <row r="219808" customFormat="1" x14ac:dyDescent="0.25"/>
    <row r="219809" customFormat="1" x14ac:dyDescent="0.25"/>
    <row r="219810" customFormat="1" x14ac:dyDescent="0.25"/>
    <row r="219811" customFormat="1" x14ac:dyDescent="0.25"/>
    <row r="219812" customFormat="1" x14ac:dyDescent="0.25"/>
    <row r="219813" customFormat="1" x14ac:dyDescent="0.25"/>
    <row r="219814" customFormat="1" x14ac:dyDescent="0.25"/>
    <row r="219815" customFormat="1" x14ac:dyDescent="0.25"/>
    <row r="219816" customFormat="1" x14ac:dyDescent="0.25"/>
    <row r="219817" customFormat="1" x14ac:dyDescent="0.25"/>
    <row r="219818" customFormat="1" x14ac:dyDescent="0.25"/>
    <row r="219819" customFormat="1" x14ac:dyDescent="0.25"/>
    <row r="219820" customFormat="1" x14ac:dyDescent="0.25"/>
    <row r="219821" customFormat="1" x14ac:dyDescent="0.25"/>
    <row r="219822" customFormat="1" x14ac:dyDescent="0.25"/>
    <row r="219823" customFormat="1" x14ac:dyDescent="0.25"/>
    <row r="219824" customFormat="1" x14ac:dyDescent="0.25"/>
    <row r="219825" customFormat="1" x14ac:dyDescent="0.25"/>
    <row r="219826" customFormat="1" x14ac:dyDescent="0.25"/>
    <row r="219827" customFormat="1" x14ac:dyDescent="0.25"/>
    <row r="219828" customFormat="1" x14ac:dyDescent="0.25"/>
    <row r="219829" customFormat="1" x14ac:dyDescent="0.25"/>
    <row r="219830" customFormat="1" x14ac:dyDescent="0.25"/>
    <row r="219831" customFormat="1" x14ac:dyDescent="0.25"/>
    <row r="219832" customFormat="1" x14ac:dyDescent="0.25"/>
    <row r="219833" customFormat="1" x14ac:dyDescent="0.25"/>
    <row r="219834" customFormat="1" x14ac:dyDescent="0.25"/>
    <row r="219835" customFormat="1" x14ac:dyDescent="0.25"/>
    <row r="219836" customFormat="1" x14ac:dyDescent="0.25"/>
    <row r="219837" customFormat="1" x14ac:dyDescent="0.25"/>
    <row r="219838" customFormat="1" x14ac:dyDescent="0.25"/>
    <row r="219839" customFormat="1" x14ac:dyDescent="0.25"/>
    <row r="219840" customFormat="1" x14ac:dyDescent="0.25"/>
    <row r="219841" customFormat="1" x14ac:dyDescent="0.25"/>
    <row r="219842" customFormat="1" x14ac:dyDescent="0.25"/>
    <row r="219843" customFormat="1" x14ac:dyDescent="0.25"/>
    <row r="219844" customFormat="1" x14ac:dyDescent="0.25"/>
    <row r="219845" customFormat="1" x14ac:dyDescent="0.25"/>
    <row r="219846" customFormat="1" x14ac:dyDescent="0.25"/>
    <row r="219847" customFormat="1" x14ac:dyDescent="0.25"/>
    <row r="219848" customFormat="1" x14ac:dyDescent="0.25"/>
    <row r="219849" customFormat="1" x14ac:dyDescent="0.25"/>
    <row r="219850" customFormat="1" x14ac:dyDescent="0.25"/>
    <row r="219851" customFormat="1" x14ac:dyDescent="0.25"/>
    <row r="219852" customFormat="1" x14ac:dyDescent="0.25"/>
    <row r="219853" customFormat="1" x14ac:dyDescent="0.25"/>
    <row r="219854" customFormat="1" x14ac:dyDescent="0.25"/>
    <row r="219855" customFormat="1" x14ac:dyDescent="0.25"/>
    <row r="219856" customFormat="1" x14ac:dyDescent="0.25"/>
    <row r="219857" customFormat="1" x14ac:dyDescent="0.25"/>
    <row r="219858" customFormat="1" x14ac:dyDescent="0.25"/>
    <row r="219859" customFormat="1" x14ac:dyDescent="0.25"/>
    <row r="219860" customFormat="1" x14ac:dyDescent="0.25"/>
    <row r="219861" customFormat="1" x14ac:dyDescent="0.25"/>
    <row r="219862" customFormat="1" x14ac:dyDescent="0.25"/>
    <row r="219863" customFormat="1" x14ac:dyDescent="0.25"/>
    <row r="219864" customFormat="1" x14ac:dyDescent="0.25"/>
    <row r="219865" customFormat="1" x14ac:dyDescent="0.25"/>
    <row r="219866" customFormat="1" x14ac:dyDescent="0.25"/>
    <row r="219867" customFormat="1" x14ac:dyDescent="0.25"/>
    <row r="219868" customFormat="1" x14ac:dyDescent="0.25"/>
    <row r="219869" customFormat="1" x14ac:dyDescent="0.25"/>
    <row r="219870" customFormat="1" x14ac:dyDescent="0.25"/>
    <row r="219871" customFormat="1" x14ac:dyDescent="0.25"/>
    <row r="219872" customFormat="1" x14ac:dyDescent="0.25"/>
    <row r="219873" customFormat="1" x14ac:dyDescent="0.25"/>
    <row r="219874" customFormat="1" x14ac:dyDescent="0.25"/>
    <row r="219875" customFormat="1" x14ac:dyDescent="0.25"/>
    <row r="219876" customFormat="1" x14ac:dyDescent="0.25"/>
    <row r="219877" customFormat="1" x14ac:dyDescent="0.25"/>
    <row r="219878" customFormat="1" x14ac:dyDescent="0.25"/>
    <row r="219879" customFormat="1" x14ac:dyDescent="0.25"/>
    <row r="219880" customFormat="1" x14ac:dyDescent="0.25"/>
    <row r="219881" customFormat="1" x14ac:dyDescent="0.25"/>
    <row r="219882" customFormat="1" x14ac:dyDescent="0.25"/>
    <row r="219883" customFormat="1" x14ac:dyDescent="0.25"/>
    <row r="219884" customFormat="1" x14ac:dyDescent="0.25"/>
    <row r="219885" customFormat="1" x14ac:dyDescent="0.25"/>
    <row r="219886" customFormat="1" x14ac:dyDescent="0.25"/>
    <row r="219887" customFormat="1" x14ac:dyDescent="0.25"/>
    <row r="219888" customFormat="1" x14ac:dyDescent="0.25"/>
    <row r="219889" customFormat="1" x14ac:dyDescent="0.25"/>
    <row r="219890" customFormat="1" x14ac:dyDescent="0.25"/>
    <row r="219891" customFormat="1" x14ac:dyDescent="0.25"/>
    <row r="219892" customFormat="1" x14ac:dyDescent="0.25"/>
    <row r="219893" customFormat="1" x14ac:dyDescent="0.25"/>
    <row r="219894" customFormat="1" x14ac:dyDescent="0.25"/>
    <row r="219895" customFormat="1" x14ac:dyDescent="0.25"/>
    <row r="219896" customFormat="1" x14ac:dyDescent="0.25"/>
    <row r="219897" customFormat="1" x14ac:dyDescent="0.25"/>
    <row r="219898" customFormat="1" x14ac:dyDescent="0.25"/>
    <row r="219899" customFormat="1" x14ac:dyDescent="0.25"/>
    <row r="219900" customFormat="1" x14ac:dyDescent="0.25"/>
    <row r="219901" customFormat="1" x14ac:dyDescent="0.25"/>
    <row r="219902" customFormat="1" x14ac:dyDescent="0.25"/>
    <row r="219903" customFormat="1" x14ac:dyDescent="0.25"/>
    <row r="219904" customFormat="1" x14ac:dyDescent="0.25"/>
    <row r="219905" customFormat="1" x14ac:dyDescent="0.25"/>
    <row r="219906" customFormat="1" x14ac:dyDescent="0.25"/>
    <row r="219907" customFormat="1" x14ac:dyDescent="0.25"/>
    <row r="219908" customFormat="1" x14ac:dyDescent="0.25"/>
    <row r="219909" customFormat="1" x14ac:dyDescent="0.25"/>
    <row r="219910" customFormat="1" x14ac:dyDescent="0.25"/>
    <row r="219911" customFormat="1" x14ac:dyDescent="0.25"/>
    <row r="219912" customFormat="1" x14ac:dyDescent="0.25"/>
    <row r="219913" customFormat="1" x14ac:dyDescent="0.25"/>
    <row r="219914" customFormat="1" x14ac:dyDescent="0.25"/>
    <row r="219915" customFormat="1" x14ac:dyDescent="0.25"/>
    <row r="219916" customFormat="1" x14ac:dyDescent="0.25"/>
    <row r="219917" customFormat="1" x14ac:dyDescent="0.25"/>
    <row r="219918" customFormat="1" x14ac:dyDescent="0.25"/>
    <row r="219919" customFormat="1" x14ac:dyDescent="0.25"/>
    <row r="219920" customFormat="1" x14ac:dyDescent="0.25"/>
    <row r="219921" customFormat="1" x14ac:dyDescent="0.25"/>
    <row r="219922" customFormat="1" x14ac:dyDescent="0.25"/>
    <row r="219923" customFormat="1" x14ac:dyDescent="0.25"/>
    <row r="219924" customFormat="1" x14ac:dyDescent="0.25"/>
    <row r="219925" customFormat="1" x14ac:dyDescent="0.25"/>
    <row r="219926" customFormat="1" x14ac:dyDescent="0.25"/>
    <row r="219927" customFormat="1" x14ac:dyDescent="0.25"/>
    <row r="219928" customFormat="1" x14ac:dyDescent="0.25"/>
    <row r="219929" customFormat="1" x14ac:dyDescent="0.25"/>
    <row r="219930" customFormat="1" x14ac:dyDescent="0.25"/>
    <row r="219931" customFormat="1" x14ac:dyDescent="0.25"/>
    <row r="219932" customFormat="1" x14ac:dyDescent="0.25"/>
    <row r="219933" customFormat="1" x14ac:dyDescent="0.25"/>
    <row r="219934" customFormat="1" x14ac:dyDescent="0.25"/>
    <row r="219935" customFormat="1" x14ac:dyDescent="0.25"/>
    <row r="219936" customFormat="1" x14ac:dyDescent="0.25"/>
    <row r="219937" customFormat="1" x14ac:dyDescent="0.25"/>
    <row r="219938" customFormat="1" x14ac:dyDescent="0.25"/>
    <row r="219939" customFormat="1" x14ac:dyDescent="0.25"/>
    <row r="219940" customFormat="1" x14ac:dyDescent="0.25"/>
    <row r="219941" customFormat="1" x14ac:dyDescent="0.25"/>
    <row r="219942" customFormat="1" x14ac:dyDescent="0.25"/>
    <row r="219943" customFormat="1" x14ac:dyDescent="0.25"/>
    <row r="219944" customFormat="1" x14ac:dyDescent="0.25"/>
    <row r="219945" customFormat="1" x14ac:dyDescent="0.25"/>
    <row r="219946" customFormat="1" x14ac:dyDescent="0.25"/>
    <row r="219947" customFormat="1" x14ac:dyDescent="0.25"/>
    <row r="219948" customFormat="1" x14ac:dyDescent="0.25"/>
    <row r="219949" customFormat="1" x14ac:dyDescent="0.25"/>
    <row r="219950" customFormat="1" x14ac:dyDescent="0.25"/>
    <row r="219951" customFormat="1" x14ac:dyDescent="0.25"/>
    <row r="219952" customFormat="1" x14ac:dyDescent="0.25"/>
    <row r="219953" customFormat="1" x14ac:dyDescent="0.25"/>
    <row r="219954" customFormat="1" x14ac:dyDescent="0.25"/>
    <row r="219955" customFormat="1" x14ac:dyDescent="0.25"/>
    <row r="219956" customFormat="1" x14ac:dyDescent="0.25"/>
    <row r="219957" customFormat="1" x14ac:dyDescent="0.25"/>
    <row r="219958" customFormat="1" x14ac:dyDescent="0.25"/>
    <row r="219959" customFormat="1" x14ac:dyDescent="0.25"/>
    <row r="219960" customFormat="1" x14ac:dyDescent="0.25"/>
    <row r="219961" customFormat="1" x14ac:dyDescent="0.25"/>
    <row r="219962" customFormat="1" x14ac:dyDescent="0.25"/>
    <row r="219963" customFormat="1" x14ac:dyDescent="0.25"/>
    <row r="219964" customFormat="1" x14ac:dyDescent="0.25"/>
    <row r="219965" customFormat="1" x14ac:dyDescent="0.25"/>
    <row r="219966" customFormat="1" x14ac:dyDescent="0.25"/>
    <row r="219967" customFormat="1" x14ac:dyDescent="0.25"/>
    <row r="219968" customFormat="1" x14ac:dyDescent="0.25"/>
    <row r="219969" customFormat="1" x14ac:dyDescent="0.25"/>
    <row r="219970" customFormat="1" x14ac:dyDescent="0.25"/>
    <row r="219971" customFormat="1" x14ac:dyDescent="0.25"/>
    <row r="219972" customFormat="1" x14ac:dyDescent="0.25"/>
    <row r="219973" customFormat="1" x14ac:dyDescent="0.25"/>
    <row r="219974" customFormat="1" x14ac:dyDescent="0.25"/>
    <row r="219975" customFormat="1" x14ac:dyDescent="0.25"/>
    <row r="219976" customFormat="1" x14ac:dyDescent="0.25"/>
    <row r="219977" customFormat="1" x14ac:dyDescent="0.25"/>
    <row r="219978" customFormat="1" x14ac:dyDescent="0.25"/>
    <row r="219979" customFormat="1" x14ac:dyDescent="0.25"/>
    <row r="219980" customFormat="1" x14ac:dyDescent="0.25"/>
    <row r="219981" customFormat="1" x14ac:dyDescent="0.25"/>
    <row r="219982" customFormat="1" x14ac:dyDescent="0.25"/>
    <row r="219983" customFormat="1" x14ac:dyDescent="0.25"/>
    <row r="219984" customFormat="1" x14ac:dyDescent="0.25"/>
    <row r="219985" customFormat="1" x14ac:dyDescent="0.25"/>
    <row r="219986" customFormat="1" x14ac:dyDescent="0.25"/>
    <row r="219987" customFormat="1" x14ac:dyDescent="0.25"/>
    <row r="219988" customFormat="1" x14ac:dyDescent="0.25"/>
    <row r="219989" customFormat="1" x14ac:dyDescent="0.25"/>
    <row r="219990" customFormat="1" x14ac:dyDescent="0.25"/>
    <row r="219991" customFormat="1" x14ac:dyDescent="0.25"/>
    <row r="219992" customFormat="1" x14ac:dyDescent="0.25"/>
    <row r="219993" customFormat="1" x14ac:dyDescent="0.25"/>
    <row r="219994" customFormat="1" x14ac:dyDescent="0.25"/>
    <row r="219995" customFormat="1" x14ac:dyDescent="0.25"/>
    <row r="219996" customFormat="1" x14ac:dyDescent="0.25"/>
    <row r="219997" customFormat="1" x14ac:dyDescent="0.25"/>
    <row r="219998" customFormat="1" x14ac:dyDescent="0.25"/>
    <row r="219999" customFormat="1" x14ac:dyDescent="0.25"/>
    <row r="220000" customFormat="1" x14ac:dyDescent="0.25"/>
    <row r="220001" customFormat="1" x14ac:dyDescent="0.25"/>
    <row r="220002" customFormat="1" x14ac:dyDescent="0.25"/>
    <row r="220003" customFormat="1" x14ac:dyDescent="0.25"/>
    <row r="220004" customFormat="1" x14ac:dyDescent="0.25"/>
    <row r="220005" customFormat="1" x14ac:dyDescent="0.25"/>
    <row r="220006" customFormat="1" x14ac:dyDescent="0.25"/>
    <row r="220007" customFormat="1" x14ac:dyDescent="0.25"/>
    <row r="220008" customFormat="1" x14ac:dyDescent="0.25"/>
    <row r="220009" customFormat="1" x14ac:dyDescent="0.25"/>
    <row r="220010" customFormat="1" x14ac:dyDescent="0.25"/>
    <row r="220011" customFormat="1" x14ac:dyDescent="0.25"/>
    <row r="220012" customFormat="1" x14ac:dyDescent="0.25"/>
    <row r="220013" customFormat="1" x14ac:dyDescent="0.25"/>
    <row r="220014" customFormat="1" x14ac:dyDescent="0.25"/>
    <row r="220015" customFormat="1" x14ac:dyDescent="0.25"/>
    <row r="220016" customFormat="1" x14ac:dyDescent="0.25"/>
    <row r="220017" customFormat="1" x14ac:dyDescent="0.25"/>
    <row r="220018" customFormat="1" x14ac:dyDescent="0.25"/>
    <row r="220019" customFormat="1" x14ac:dyDescent="0.25"/>
    <row r="220020" customFormat="1" x14ac:dyDescent="0.25"/>
    <row r="220021" customFormat="1" x14ac:dyDescent="0.25"/>
    <row r="220022" customFormat="1" x14ac:dyDescent="0.25"/>
    <row r="220023" customFormat="1" x14ac:dyDescent="0.25"/>
    <row r="220024" customFormat="1" x14ac:dyDescent="0.25"/>
    <row r="220025" customFormat="1" x14ac:dyDescent="0.25"/>
    <row r="220026" customFormat="1" x14ac:dyDescent="0.25"/>
    <row r="220027" customFormat="1" x14ac:dyDescent="0.25"/>
    <row r="220028" customFormat="1" x14ac:dyDescent="0.25"/>
    <row r="220029" customFormat="1" x14ac:dyDescent="0.25"/>
    <row r="220030" customFormat="1" x14ac:dyDescent="0.25"/>
    <row r="220031" customFormat="1" x14ac:dyDescent="0.25"/>
    <row r="220032" customFormat="1" x14ac:dyDescent="0.25"/>
    <row r="220033" customFormat="1" x14ac:dyDescent="0.25"/>
    <row r="220034" customFormat="1" x14ac:dyDescent="0.25"/>
    <row r="220035" customFormat="1" x14ac:dyDescent="0.25"/>
    <row r="220036" customFormat="1" x14ac:dyDescent="0.25"/>
    <row r="220037" customFormat="1" x14ac:dyDescent="0.25"/>
    <row r="220038" customFormat="1" x14ac:dyDescent="0.25"/>
    <row r="220039" customFormat="1" x14ac:dyDescent="0.25"/>
    <row r="220040" customFormat="1" x14ac:dyDescent="0.25"/>
    <row r="220041" customFormat="1" x14ac:dyDescent="0.25"/>
    <row r="220042" customFormat="1" x14ac:dyDescent="0.25"/>
    <row r="220043" customFormat="1" x14ac:dyDescent="0.25"/>
    <row r="220044" customFormat="1" x14ac:dyDescent="0.25"/>
    <row r="220045" customFormat="1" x14ac:dyDescent="0.25"/>
    <row r="220046" customFormat="1" x14ac:dyDescent="0.25"/>
    <row r="220047" customFormat="1" x14ac:dyDescent="0.25"/>
    <row r="220048" customFormat="1" x14ac:dyDescent="0.25"/>
    <row r="220049" customFormat="1" x14ac:dyDescent="0.25"/>
    <row r="220050" customFormat="1" x14ac:dyDescent="0.25"/>
    <row r="220051" customFormat="1" x14ac:dyDescent="0.25"/>
    <row r="220052" customFormat="1" x14ac:dyDescent="0.25"/>
    <row r="220053" customFormat="1" x14ac:dyDescent="0.25"/>
    <row r="220054" customFormat="1" x14ac:dyDescent="0.25"/>
    <row r="220055" customFormat="1" x14ac:dyDescent="0.25"/>
    <row r="220056" customFormat="1" x14ac:dyDescent="0.25"/>
    <row r="220057" customFormat="1" x14ac:dyDescent="0.25"/>
    <row r="220058" customFormat="1" x14ac:dyDescent="0.25"/>
    <row r="220059" customFormat="1" x14ac:dyDescent="0.25"/>
    <row r="220060" customFormat="1" x14ac:dyDescent="0.25"/>
    <row r="220061" customFormat="1" x14ac:dyDescent="0.25"/>
    <row r="220062" customFormat="1" x14ac:dyDescent="0.25"/>
    <row r="220063" customFormat="1" x14ac:dyDescent="0.25"/>
    <row r="220064" customFormat="1" x14ac:dyDescent="0.25"/>
    <row r="220065" customFormat="1" x14ac:dyDescent="0.25"/>
    <row r="220066" customFormat="1" x14ac:dyDescent="0.25"/>
    <row r="220067" customFormat="1" x14ac:dyDescent="0.25"/>
    <row r="220068" customFormat="1" x14ac:dyDescent="0.25"/>
    <row r="220069" customFormat="1" x14ac:dyDescent="0.25"/>
    <row r="220070" customFormat="1" x14ac:dyDescent="0.25"/>
    <row r="220071" customFormat="1" x14ac:dyDescent="0.25"/>
    <row r="220072" customFormat="1" x14ac:dyDescent="0.25"/>
    <row r="220073" customFormat="1" x14ac:dyDescent="0.25"/>
    <row r="220074" customFormat="1" x14ac:dyDescent="0.25"/>
    <row r="220075" customFormat="1" x14ac:dyDescent="0.25"/>
    <row r="220076" customFormat="1" x14ac:dyDescent="0.25"/>
    <row r="220077" customFormat="1" x14ac:dyDescent="0.25"/>
    <row r="220078" customFormat="1" x14ac:dyDescent="0.25"/>
    <row r="220079" customFormat="1" x14ac:dyDescent="0.25"/>
    <row r="220080" customFormat="1" x14ac:dyDescent="0.25"/>
    <row r="220081" customFormat="1" x14ac:dyDescent="0.25"/>
    <row r="220082" customFormat="1" x14ac:dyDescent="0.25"/>
    <row r="220083" customFormat="1" x14ac:dyDescent="0.25"/>
    <row r="220084" customFormat="1" x14ac:dyDescent="0.25"/>
    <row r="220085" customFormat="1" x14ac:dyDescent="0.25"/>
    <row r="220086" customFormat="1" x14ac:dyDescent="0.25"/>
    <row r="220087" customFormat="1" x14ac:dyDescent="0.25"/>
    <row r="220088" customFormat="1" x14ac:dyDescent="0.25"/>
    <row r="220089" customFormat="1" x14ac:dyDescent="0.25"/>
    <row r="220090" customFormat="1" x14ac:dyDescent="0.25"/>
    <row r="220091" customFormat="1" x14ac:dyDescent="0.25"/>
    <row r="220092" customFormat="1" x14ac:dyDescent="0.25"/>
    <row r="220093" customFormat="1" x14ac:dyDescent="0.25"/>
    <row r="220094" customFormat="1" x14ac:dyDescent="0.25"/>
    <row r="220095" customFormat="1" x14ac:dyDescent="0.25"/>
    <row r="220096" customFormat="1" x14ac:dyDescent="0.25"/>
    <row r="220097" customFormat="1" x14ac:dyDescent="0.25"/>
    <row r="220098" customFormat="1" x14ac:dyDescent="0.25"/>
    <row r="220099" customFormat="1" x14ac:dyDescent="0.25"/>
    <row r="220100" customFormat="1" x14ac:dyDescent="0.25"/>
    <row r="220101" customFormat="1" x14ac:dyDescent="0.25"/>
    <row r="220102" customFormat="1" x14ac:dyDescent="0.25"/>
    <row r="220103" customFormat="1" x14ac:dyDescent="0.25"/>
    <row r="220104" customFormat="1" x14ac:dyDescent="0.25"/>
    <row r="220105" customFormat="1" x14ac:dyDescent="0.25"/>
    <row r="220106" customFormat="1" x14ac:dyDescent="0.25"/>
    <row r="220107" customFormat="1" x14ac:dyDescent="0.25"/>
    <row r="220108" customFormat="1" x14ac:dyDescent="0.25"/>
    <row r="220109" customFormat="1" x14ac:dyDescent="0.25"/>
    <row r="220110" customFormat="1" x14ac:dyDescent="0.25"/>
    <row r="220111" customFormat="1" x14ac:dyDescent="0.25"/>
    <row r="220112" customFormat="1" x14ac:dyDescent="0.25"/>
    <row r="220113" customFormat="1" x14ac:dyDescent="0.25"/>
    <row r="220114" customFormat="1" x14ac:dyDescent="0.25"/>
    <row r="220115" customFormat="1" x14ac:dyDescent="0.25"/>
    <row r="220116" customFormat="1" x14ac:dyDescent="0.25"/>
    <row r="220117" customFormat="1" x14ac:dyDescent="0.25"/>
    <row r="220118" customFormat="1" x14ac:dyDescent="0.25"/>
    <row r="220119" customFormat="1" x14ac:dyDescent="0.25"/>
    <row r="220120" customFormat="1" x14ac:dyDescent="0.25"/>
    <row r="220121" customFormat="1" x14ac:dyDescent="0.25"/>
    <row r="220122" customFormat="1" x14ac:dyDescent="0.25"/>
    <row r="220123" customFormat="1" x14ac:dyDescent="0.25"/>
    <row r="220124" customFormat="1" x14ac:dyDescent="0.25"/>
    <row r="220125" customFormat="1" x14ac:dyDescent="0.25"/>
    <row r="220126" customFormat="1" x14ac:dyDescent="0.25"/>
    <row r="220127" customFormat="1" x14ac:dyDescent="0.25"/>
    <row r="220128" customFormat="1" x14ac:dyDescent="0.25"/>
    <row r="220129" customFormat="1" x14ac:dyDescent="0.25"/>
    <row r="220130" customFormat="1" x14ac:dyDescent="0.25"/>
    <row r="220131" customFormat="1" x14ac:dyDescent="0.25"/>
    <row r="220132" customFormat="1" x14ac:dyDescent="0.25"/>
    <row r="220133" customFormat="1" x14ac:dyDescent="0.25"/>
    <row r="220134" customFormat="1" x14ac:dyDescent="0.25"/>
    <row r="220135" customFormat="1" x14ac:dyDescent="0.25"/>
    <row r="220136" customFormat="1" x14ac:dyDescent="0.25"/>
    <row r="220137" customFormat="1" x14ac:dyDescent="0.25"/>
    <row r="220138" customFormat="1" x14ac:dyDescent="0.25"/>
    <row r="220139" customFormat="1" x14ac:dyDescent="0.25"/>
    <row r="220140" customFormat="1" x14ac:dyDescent="0.25"/>
    <row r="220141" customFormat="1" x14ac:dyDescent="0.25"/>
    <row r="220142" customFormat="1" x14ac:dyDescent="0.25"/>
    <row r="220143" customFormat="1" x14ac:dyDescent="0.25"/>
    <row r="220144" customFormat="1" x14ac:dyDescent="0.25"/>
    <row r="220145" customFormat="1" x14ac:dyDescent="0.25"/>
    <row r="220146" customFormat="1" x14ac:dyDescent="0.25"/>
    <row r="220147" customFormat="1" x14ac:dyDescent="0.25"/>
    <row r="220148" customFormat="1" x14ac:dyDescent="0.25"/>
    <row r="220149" customFormat="1" x14ac:dyDescent="0.25"/>
    <row r="220150" customFormat="1" x14ac:dyDescent="0.25"/>
    <row r="220151" customFormat="1" x14ac:dyDescent="0.25"/>
    <row r="220152" customFormat="1" x14ac:dyDescent="0.25"/>
    <row r="220153" customFormat="1" x14ac:dyDescent="0.25"/>
    <row r="220154" customFormat="1" x14ac:dyDescent="0.25"/>
    <row r="220155" customFormat="1" x14ac:dyDescent="0.25"/>
    <row r="220156" customFormat="1" x14ac:dyDescent="0.25"/>
    <row r="220157" customFormat="1" x14ac:dyDescent="0.25"/>
    <row r="220158" customFormat="1" x14ac:dyDescent="0.25"/>
    <row r="220159" customFormat="1" x14ac:dyDescent="0.25"/>
    <row r="220160" customFormat="1" x14ac:dyDescent="0.25"/>
    <row r="220161" customFormat="1" x14ac:dyDescent="0.25"/>
    <row r="220162" customFormat="1" x14ac:dyDescent="0.25"/>
    <row r="220163" customFormat="1" x14ac:dyDescent="0.25"/>
    <row r="220164" customFormat="1" x14ac:dyDescent="0.25"/>
    <row r="220165" customFormat="1" x14ac:dyDescent="0.25"/>
    <row r="220166" customFormat="1" x14ac:dyDescent="0.25"/>
    <row r="220167" customFormat="1" x14ac:dyDescent="0.25"/>
    <row r="220168" customFormat="1" x14ac:dyDescent="0.25"/>
    <row r="220169" customFormat="1" x14ac:dyDescent="0.25"/>
    <row r="220170" customFormat="1" x14ac:dyDescent="0.25"/>
    <row r="220171" customFormat="1" x14ac:dyDescent="0.25"/>
    <row r="220172" customFormat="1" x14ac:dyDescent="0.25"/>
    <row r="220173" customFormat="1" x14ac:dyDescent="0.25"/>
    <row r="220174" customFormat="1" x14ac:dyDescent="0.25"/>
    <row r="220175" customFormat="1" x14ac:dyDescent="0.25"/>
    <row r="220176" customFormat="1" x14ac:dyDescent="0.25"/>
    <row r="220177" customFormat="1" x14ac:dyDescent="0.25"/>
    <row r="220178" customFormat="1" x14ac:dyDescent="0.25"/>
    <row r="220179" customFormat="1" x14ac:dyDescent="0.25"/>
    <row r="220180" customFormat="1" x14ac:dyDescent="0.25"/>
    <row r="220181" customFormat="1" x14ac:dyDescent="0.25"/>
    <row r="220182" customFormat="1" x14ac:dyDescent="0.25"/>
    <row r="220183" customFormat="1" x14ac:dyDescent="0.25"/>
    <row r="220184" customFormat="1" x14ac:dyDescent="0.25"/>
    <row r="220185" customFormat="1" x14ac:dyDescent="0.25"/>
    <row r="220186" customFormat="1" x14ac:dyDescent="0.25"/>
    <row r="220187" customFormat="1" x14ac:dyDescent="0.25"/>
    <row r="220188" customFormat="1" x14ac:dyDescent="0.25"/>
    <row r="220189" customFormat="1" x14ac:dyDescent="0.25"/>
    <row r="220190" customFormat="1" x14ac:dyDescent="0.25"/>
    <row r="220191" customFormat="1" x14ac:dyDescent="0.25"/>
    <row r="220192" customFormat="1" x14ac:dyDescent="0.25"/>
    <row r="220193" customFormat="1" x14ac:dyDescent="0.25"/>
    <row r="220194" customFormat="1" x14ac:dyDescent="0.25"/>
    <row r="220195" customFormat="1" x14ac:dyDescent="0.25"/>
    <row r="220196" customFormat="1" x14ac:dyDescent="0.25"/>
    <row r="220197" customFormat="1" x14ac:dyDescent="0.25"/>
    <row r="220198" customFormat="1" x14ac:dyDescent="0.25"/>
    <row r="220199" customFormat="1" x14ac:dyDescent="0.25"/>
    <row r="220200" customFormat="1" x14ac:dyDescent="0.25"/>
    <row r="220201" customFormat="1" x14ac:dyDescent="0.25"/>
    <row r="220202" customFormat="1" x14ac:dyDescent="0.25"/>
    <row r="220203" customFormat="1" x14ac:dyDescent="0.25"/>
    <row r="220204" customFormat="1" x14ac:dyDescent="0.25"/>
    <row r="220205" customFormat="1" x14ac:dyDescent="0.25"/>
    <row r="220206" customFormat="1" x14ac:dyDescent="0.25"/>
    <row r="220207" customFormat="1" x14ac:dyDescent="0.25"/>
    <row r="220208" customFormat="1" x14ac:dyDescent="0.25"/>
    <row r="220209" customFormat="1" x14ac:dyDescent="0.25"/>
    <row r="220210" customFormat="1" x14ac:dyDescent="0.25"/>
    <row r="220211" customFormat="1" x14ac:dyDescent="0.25"/>
    <row r="220212" customFormat="1" x14ac:dyDescent="0.25"/>
    <row r="220213" customFormat="1" x14ac:dyDescent="0.25"/>
    <row r="220214" customFormat="1" x14ac:dyDescent="0.25"/>
    <row r="220215" customFormat="1" x14ac:dyDescent="0.25"/>
    <row r="220216" customFormat="1" x14ac:dyDescent="0.25"/>
    <row r="220217" customFormat="1" x14ac:dyDescent="0.25"/>
    <row r="220218" customFormat="1" x14ac:dyDescent="0.25"/>
    <row r="220219" customFormat="1" x14ac:dyDescent="0.25"/>
    <row r="220220" customFormat="1" x14ac:dyDescent="0.25"/>
    <row r="220221" customFormat="1" x14ac:dyDescent="0.25"/>
    <row r="220222" customFormat="1" x14ac:dyDescent="0.25"/>
    <row r="220223" customFormat="1" x14ac:dyDescent="0.25"/>
    <row r="220224" customFormat="1" x14ac:dyDescent="0.25"/>
    <row r="220225" customFormat="1" x14ac:dyDescent="0.25"/>
    <row r="220226" customFormat="1" x14ac:dyDescent="0.25"/>
    <row r="220227" customFormat="1" x14ac:dyDescent="0.25"/>
    <row r="220228" customFormat="1" x14ac:dyDescent="0.25"/>
    <row r="220229" customFormat="1" x14ac:dyDescent="0.25"/>
    <row r="220230" customFormat="1" x14ac:dyDescent="0.25"/>
    <row r="220231" customFormat="1" x14ac:dyDescent="0.25"/>
    <row r="220232" customFormat="1" x14ac:dyDescent="0.25"/>
    <row r="220233" customFormat="1" x14ac:dyDescent="0.25"/>
    <row r="220234" customFormat="1" x14ac:dyDescent="0.25"/>
    <row r="220235" customFormat="1" x14ac:dyDescent="0.25"/>
    <row r="220236" customFormat="1" x14ac:dyDescent="0.25"/>
    <row r="220237" customFormat="1" x14ac:dyDescent="0.25"/>
    <row r="220238" customFormat="1" x14ac:dyDescent="0.25"/>
    <row r="220239" customFormat="1" x14ac:dyDescent="0.25"/>
    <row r="220240" customFormat="1" x14ac:dyDescent="0.25"/>
    <row r="220241" customFormat="1" x14ac:dyDescent="0.25"/>
    <row r="220242" customFormat="1" x14ac:dyDescent="0.25"/>
    <row r="220243" customFormat="1" x14ac:dyDescent="0.25"/>
    <row r="220244" customFormat="1" x14ac:dyDescent="0.25"/>
    <row r="220245" customFormat="1" x14ac:dyDescent="0.25"/>
    <row r="220246" customFormat="1" x14ac:dyDescent="0.25"/>
    <row r="220247" customFormat="1" x14ac:dyDescent="0.25"/>
    <row r="220248" customFormat="1" x14ac:dyDescent="0.25"/>
    <row r="220249" customFormat="1" x14ac:dyDescent="0.25"/>
    <row r="220250" customFormat="1" x14ac:dyDescent="0.25"/>
    <row r="220251" customFormat="1" x14ac:dyDescent="0.25"/>
    <row r="220252" customFormat="1" x14ac:dyDescent="0.25"/>
    <row r="220253" customFormat="1" x14ac:dyDescent="0.25"/>
    <row r="220254" customFormat="1" x14ac:dyDescent="0.25"/>
    <row r="220255" customFormat="1" x14ac:dyDescent="0.25"/>
    <row r="220256" customFormat="1" x14ac:dyDescent="0.25"/>
    <row r="220257" customFormat="1" x14ac:dyDescent="0.25"/>
    <row r="220258" customFormat="1" x14ac:dyDescent="0.25"/>
    <row r="220259" customFormat="1" x14ac:dyDescent="0.25"/>
    <row r="220260" customFormat="1" x14ac:dyDescent="0.25"/>
    <row r="220261" customFormat="1" x14ac:dyDescent="0.25"/>
    <row r="220262" customFormat="1" x14ac:dyDescent="0.25"/>
    <row r="220263" customFormat="1" x14ac:dyDescent="0.25"/>
    <row r="220264" customFormat="1" x14ac:dyDescent="0.25"/>
    <row r="220265" customFormat="1" x14ac:dyDescent="0.25"/>
    <row r="220266" customFormat="1" x14ac:dyDescent="0.25"/>
    <row r="220267" customFormat="1" x14ac:dyDescent="0.25"/>
    <row r="220268" customFormat="1" x14ac:dyDescent="0.25"/>
    <row r="220269" customFormat="1" x14ac:dyDescent="0.25"/>
    <row r="220270" customFormat="1" x14ac:dyDescent="0.25"/>
    <row r="220271" customFormat="1" x14ac:dyDescent="0.25"/>
    <row r="220272" customFormat="1" x14ac:dyDescent="0.25"/>
    <row r="220273" customFormat="1" x14ac:dyDescent="0.25"/>
    <row r="220274" customFormat="1" x14ac:dyDescent="0.25"/>
    <row r="220275" customFormat="1" x14ac:dyDescent="0.25"/>
    <row r="220276" customFormat="1" x14ac:dyDescent="0.25"/>
    <row r="220277" customFormat="1" x14ac:dyDescent="0.25"/>
    <row r="220278" customFormat="1" x14ac:dyDescent="0.25"/>
    <row r="220279" customFormat="1" x14ac:dyDescent="0.25"/>
    <row r="220280" customFormat="1" x14ac:dyDescent="0.25"/>
    <row r="220281" customFormat="1" x14ac:dyDescent="0.25"/>
    <row r="220282" customFormat="1" x14ac:dyDescent="0.25"/>
    <row r="220283" customFormat="1" x14ac:dyDescent="0.25"/>
    <row r="220284" customFormat="1" x14ac:dyDescent="0.25"/>
    <row r="220285" customFormat="1" x14ac:dyDescent="0.25"/>
    <row r="220286" customFormat="1" x14ac:dyDescent="0.25"/>
    <row r="220287" customFormat="1" x14ac:dyDescent="0.25"/>
    <row r="220288" customFormat="1" x14ac:dyDescent="0.25"/>
    <row r="220289" customFormat="1" x14ac:dyDescent="0.25"/>
    <row r="220290" customFormat="1" x14ac:dyDescent="0.25"/>
    <row r="220291" customFormat="1" x14ac:dyDescent="0.25"/>
    <row r="220292" customFormat="1" x14ac:dyDescent="0.25"/>
    <row r="220293" customFormat="1" x14ac:dyDescent="0.25"/>
    <row r="220294" customFormat="1" x14ac:dyDescent="0.25"/>
    <row r="220295" customFormat="1" x14ac:dyDescent="0.25"/>
    <row r="220296" customFormat="1" x14ac:dyDescent="0.25"/>
    <row r="220297" customFormat="1" x14ac:dyDescent="0.25"/>
    <row r="220298" customFormat="1" x14ac:dyDescent="0.25"/>
    <row r="220299" customFormat="1" x14ac:dyDescent="0.25"/>
    <row r="220300" customFormat="1" x14ac:dyDescent="0.25"/>
    <row r="220301" customFormat="1" x14ac:dyDescent="0.25"/>
    <row r="220302" customFormat="1" x14ac:dyDescent="0.25"/>
    <row r="220303" customFormat="1" x14ac:dyDescent="0.25"/>
    <row r="220304" customFormat="1" x14ac:dyDescent="0.25"/>
    <row r="220305" customFormat="1" x14ac:dyDescent="0.25"/>
    <row r="220306" customFormat="1" x14ac:dyDescent="0.25"/>
    <row r="220307" customFormat="1" x14ac:dyDescent="0.25"/>
    <row r="220308" customFormat="1" x14ac:dyDescent="0.25"/>
    <row r="220309" customFormat="1" x14ac:dyDescent="0.25"/>
    <row r="220310" customFormat="1" x14ac:dyDescent="0.25"/>
    <row r="220311" customFormat="1" x14ac:dyDescent="0.25"/>
    <row r="220312" customFormat="1" x14ac:dyDescent="0.25"/>
    <row r="220313" customFormat="1" x14ac:dyDescent="0.25"/>
    <row r="220314" customFormat="1" x14ac:dyDescent="0.25"/>
    <row r="220315" customFormat="1" x14ac:dyDescent="0.25"/>
    <row r="220316" customFormat="1" x14ac:dyDescent="0.25"/>
    <row r="220317" customFormat="1" x14ac:dyDescent="0.25"/>
    <row r="220318" customFormat="1" x14ac:dyDescent="0.25"/>
    <row r="220319" customFormat="1" x14ac:dyDescent="0.25"/>
    <row r="220320" customFormat="1" x14ac:dyDescent="0.25"/>
    <row r="220321" customFormat="1" x14ac:dyDescent="0.25"/>
    <row r="220322" customFormat="1" x14ac:dyDescent="0.25"/>
    <row r="220323" customFormat="1" x14ac:dyDescent="0.25"/>
    <row r="220324" customFormat="1" x14ac:dyDescent="0.25"/>
    <row r="220325" customFormat="1" x14ac:dyDescent="0.25"/>
    <row r="220326" customFormat="1" x14ac:dyDescent="0.25"/>
    <row r="220327" customFormat="1" x14ac:dyDescent="0.25"/>
    <row r="220328" customFormat="1" x14ac:dyDescent="0.25"/>
    <row r="220329" customFormat="1" x14ac:dyDescent="0.25"/>
    <row r="220330" customFormat="1" x14ac:dyDescent="0.25"/>
    <row r="220331" customFormat="1" x14ac:dyDescent="0.25"/>
    <row r="220332" customFormat="1" x14ac:dyDescent="0.25"/>
    <row r="220333" customFormat="1" x14ac:dyDescent="0.25"/>
    <row r="220334" customFormat="1" x14ac:dyDescent="0.25"/>
    <row r="220335" customFormat="1" x14ac:dyDescent="0.25"/>
    <row r="220336" customFormat="1" x14ac:dyDescent="0.25"/>
    <row r="220337" customFormat="1" x14ac:dyDescent="0.25"/>
    <row r="220338" customFormat="1" x14ac:dyDescent="0.25"/>
    <row r="220339" customFormat="1" x14ac:dyDescent="0.25"/>
    <row r="220340" customFormat="1" x14ac:dyDescent="0.25"/>
    <row r="220341" customFormat="1" x14ac:dyDescent="0.25"/>
    <row r="220342" customFormat="1" x14ac:dyDescent="0.25"/>
    <row r="220343" customFormat="1" x14ac:dyDescent="0.25"/>
    <row r="220344" customFormat="1" x14ac:dyDescent="0.25"/>
    <row r="220345" customFormat="1" x14ac:dyDescent="0.25"/>
    <row r="220346" customFormat="1" x14ac:dyDescent="0.25"/>
    <row r="220347" customFormat="1" x14ac:dyDescent="0.25"/>
    <row r="220348" customFormat="1" x14ac:dyDescent="0.25"/>
    <row r="220349" customFormat="1" x14ac:dyDescent="0.25"/>
    <row r="220350" customFormat="1" x14ac:dyDescent="0.25"/>
    <row r="220351" customFormat="1" x14ac:dyDescent="0.25"/>
    <row r="220352" customFormat="1" x14ac:dyDescent="0.25"/>
    <row r="220353" customFormat="1" x14ac:dyDescent="0.25"/>
    <row r="220354" customFormat="1" x14ac:dyDescent="0.25"/>
    <row r="220355" customFormat="1" x14ac:dyDescent="0.25"/>
    <row r="220356" customFormat="1" x14ac:dyDescent="0.25"/>
    <row r="220357" customFormat="1" x14ac:dyDescent="0.25"/>
    <row r="220358" customFormat="1" x14ac:dyDescent="0.25"/>
    <row r="220359" customFormat="1" x14ac:dyDescent="0.25"/>
    <row r="220360" customFormat="1" x14ac:dyDescent="0.25"/>
    <row r="220361" customFormat="1" x14ac:dyDescent="0.25"/>
    <row r="220362" customFormat="1" x14ac:dyDescent="0.25"/>
    <row r="220363" customFormat="1" x14ac:dyDescent="0.25"/>
    <row r="220364" customFormat="1" x14ac:dyDescent="0.25"/>
    <row r="220365" customFormat="1" x14ac:dyDescent="0.25"/>
    <row r="220366" customFormat="1" x14ac:dyDescent="0.25"/>
    <row r="220367" customFormat="1" x14ac:dyDescent="0.25"/>
    <row r="220368" customFormat="1" x14ac:dyDescent="0.25"/>
    <row r="220369" customFormat="1" x14ac:dyDescent="0.25"/>
    <row r="220370" customFormat="1" x14ac:dyDescent="0.25"/>
    <row r="220371" customFormat="1" x14ac:dyDescent="0.25"/>
    <row r="220372" customFormat="1" x14ac:dyDescent="0.25"/>
    <row r="220373" customFormat="1" x14ac:dyDescent="0.25"/>
    <row r="220374" customFormat="1" x14ac:dyDescent="0.25"/>
    <row r="220375" customFormat="1" x14ac:dyDescent="0.25"/>
    <row r="220376" customFormat="1" x14ac:dyDescent="0.25"/>
    <row r="220377" customFormat="1" x14ac:dyDescent="0.25"/>
    <row r="220378" customFormat="1" x14ac:dyDescent="0.25"/>
    <row r="220379" customFormat="1" x14ac:dyDescent="0.25"/>
    <row r="220380" customFormat="1" x14ac:dyDescent="0.25"/>
    <row r="220381" customFormat="1" x14ac:dyDescent="0.25"/>
    <row r="220382" customFormat="1" x14ac:dyDescent="0.25"/>
    <row r="220383" customFormat="1" x14ac:dyDescent="0.25"/>
    <row r="220384" customFormat="1" x14ac:dyDescent="0.25"/>
    <row r="220385" customFormat="1" x14ac:dyDescent="0.25"/>
    <row r="220386" customFormat="1" x14ac:dyDescent="0.25"/>
    <row r="220387" customFormat="1" x14ac:dyDescent="0.25"/>
    <row r="220388" customFormat="1" x14ac:dyDescent="0.25"/>
    <row r="220389" customFormat="1" x14ac:dyDescent="0.25"/>
    <row r="220390" customFormat="1" x14ac:dyDescent="0.25"/>
    <row r="220391" customFormat="1" x14ac:dyDescent="0.25"/>
    <row r="220392" customFormat="1" x14ac:dyDescent="0.25"/>
    <row r="220393" customFormat="1" x14ac:dyDescent="0.25"/>
    <row r="220394" customFormat="1" x14ac:dyDescent="0.25"/>
    <row r="220395" customFormat="1" x14ac:dyDescent="0.25"/>
    <row r="220396" customFormat="1" x14ac:dyDescent="0.25"/>
    <row r="220397" customFormat="1" x14ac:dyDescent="0.25"/>
    <row r="220398" customFormat="1" x14ac:dyDescent="0.25"/>
    <row r="220399" customFormat="1" x14ac:dyDescent="0.25"/>
    <row r="220400" customFormat="1" x14ac:dyDescent="0.25"/>
    <row r="220401" customFormat="1" x14ac:dyDescent="0.25"/>
    <row r="220402" customFormat="1" x14ac:dyDescent="0.25"/>
    <row r="220403" customFormat="1" x14ac:dyDescent="0.25"/>
    <row r="220404" customFormat="1" x14ac:dyDescent="0.25"/>
    <row r="220405" customFormat="1" x14ac:dyDescent="0.25"/>
    <row r="220406" customFormat="1" x14ac:dyDescent="0.25"/>
    <row r="220407" customFormat="1" x14ac:dyDescent="0.25"/>
    <row r="220408" customFormat="1" x14ac:dyDescent="0.25"/>
    <row r="220409" customFormat="1" x14ac:dyDescent="0.25"/>
    <row r="220410" customFormat="1" x14ac:dyDescent="0.25"/>
    <row r="220411" customFormat="1" x14ac:dyDescent="0.25"/>
    <row r="220412" customFormat="1" x14ac:dyDescent="0.25"/>
    <row r="220413" customFormat="1" x14ac:dyDescent="0.25"/>
    <row r="220414" customFormat="1" x14ac:dyDescent="0.25"/>
    <row r="220415" customFormat="1" x14ac:dyDescent="0.25"/>
    <row r="220416" customFormat="1" x14ac:dyDescent="0.25"/>
    <row r="220417" customFormat="1" x14ac:dyDescent="0.25"/>
    <row r="220418" customFormat="1" x14ac:dyDescent="0.25"/>
    <row r="220419" customFormat="1" x14ac:dyDescent="0.25"/>
    <row r="220420" customFormat="1" x14ac:dyDescent="0.25"/>
    <row r="220421" customFormat="1" x14ac:dyDescent="0.25"/>
    <row r="220422" customFormat="1" x14ac:dyDescent="0.25"/>
    <row r="220423" customFormat="1" x14ac:dyDescent="0.25"/>
    <row r="220424" customFormat="1" x14ac:dyDescent="0.25"/>
    <row r="220425" customFormat="1" x14ac:dyDescent="0.25"/>
    <row r="220426" customFormat="1" x14ac:dyDescent="0.25"/>
    <row r="220427" customFormat="1" x14ac:dyDescent="0.25"/>
    <row r="220428" customFormat="1" x14ac:dyDescent="0.25"/>
    <row r="220429" customFormat="1" x14ac:dyDescent="0.25"/>
    <row r="220430" customFormat="1" x14ac:dyDescent="0.25"/>
    <row r="220431" customFormat="1" x14ac:dyDescent="0.25"/>
    <row r="220432" customFormat="1" x14ac:dyDescent="0.25"/>
    <row r="220433" customFormat="1" x14ac:dyDescent="0.25"/>
    <row r="220434" customFormat="1" x14ac:dyDescent="0.25"/>
    <row r="220435" customFormat="1" x14ac:dyDescent="0.25"/>
    <row r="220436" customFormat="1" x14ac:dyDescent="0.25"/>
    <row r="220437" customFormat="1" x14ac:dyDescent="0.25"/>
    <row r="220438" customFormat="1" x14ac:dyDescent="0.25"/>
    <row r="220439" customFormat="1" x14ac:dyDescent="0.25"/>
    <row r="220440" customFormat="1" x14ac:dyDescent="0.25"/>
    <row r="220441" customFormat="1" x14ac:dyDescent="0.25"/>
    <row r="220442" customFormat="1" x14ac:dyDescent="0.25"/>
    <row r="220443" customFormat="1" x14ac:dyDescent="0.25"/>
    <row r="220444" customFormat="1" x14ac:dyDescent="0.25"/>
    <row r="220445" customFormat="1" x14ac:dyDescent="0.25"/>
    <row r="220446" customFormat="1" x14ac:dyDescent="0.25"/>
    <row r="220447" customFormat="1" x14ac:dyDescent="0.25"/>
    <row r="220448" customFormat="1" x14ac:dyDescent="0.25"/>
    <row r="220449" customFormat="1" x14ac:dyDescent="0.25"/>
    <row r="220450" customFormat="1" x14ac:dyDescent="0.25"/>
    <row r="220451" customFormat="1" x14ac:dyDescent="0.25"/>
    <row r="220452" customFormat="1" x14ac:dyDescent="0.25"/>
    <row r="220453" customFormat="1" x14ac:dyDescent="0.25"/>
    <row r="220454" customFormat="1" x14ac:dyDescent="0.25"/>
    <row r="220455" customFormat="1" x14ac:dyDescent="0.25"/>
    <row r="220456" customFormat="1" x14ac:dyDescent="0.25"/>
    <row r="220457" customFormat="1" x14ac:dyDescent="0.25"/>
    <row r="220458" customFormat="1" x14ac:dyDescent="0.25"/>
    <row r="220459" customFormat="1" x14ac:dyDescent="0.25"/>
    <row r="220460" customFormat="1" x14ac:dyDescent="0.25"/>
    <row r="220461" customFormat="1" x14ac:dyDescent="0.25"/>
    <row r="220462" customFormat="1" x14ac:dyDescent="0.25"/>
    <row r="220463" customFormat="1" x14ac:dyDescent="0.25"/>
    <row r="220464" customFormat="1" x14ac:dyDescent="0.25"/>
    <row r="220465" customFormat="1" x14ac:dyDescent="0.25"/>
    <row r="220466" customFormat="1" x14ac:dyDescent="0.25"/>
    <row r="220467" customFormat="1" x14ac:dyDescent="0.25"/>
    <row r="220468" customFormat="1" x14ac:dyDescent="0.25"/>
    <row r="220469" customFormat="1" x14ac:dyDescent="0.25"/>
    <row r="220470" customFormat="1" x14ac:dyDescent="0.25"/>
    <row r="220471" customFormat="1" x14ac:dyDescent="0.25"/>
    <row r="220472" customFormat="1" x14ac:dyDescent="0.25"/>
    <row r="220473" customFormat="1" x14ac:dyDescent="0.25"/>
    <row r="220474" customFormat="1" x14ac:dyDescent="0.25"/>
    <row r="220475" customFormat="1" x14ac:dyDescent="0.25"/>
    <row r="220476" customFormat="1" x14ac:dyDescent="0.25"/>
    <row r="220477" customFormat="1" x14ac:dyDescent="0.25"/>
    <row r="220478" customFormat="1" x14ac:dyDescent="0.25"/>
    <row r="220479" customFormat="1" x14ac:dyDescent="0.25"/>
    <row r="220480" customFormat="1" x14ac:dyDescent="0.25"/>
    <row r="220481" customFormat="1" x14ac:dyDescent="0.25"/>
    <row r="220482" customFormat="1" x14ac:dyDescent="0.25"/>
    <row r="220483" customFormat="1" x14ac:dyDescent="0.25"/>
    <row r="220484" customFormat="1" x14ac:dyDescent="0.25"/>
    <row r="220485" customFormat="1" x14ac:dyDescent="0.25"/>
    <row r="220486" customFormat="1" x14ac:dyDescent="0.25"/>
    <row r="220487" customFormat="1" x14ac:dyDescent="0.25"/>
    <row r="220488" customFormat="1" x14ac:dyDescent="0.25"/>
    <row r="220489" customFormat="1" x14ac:dyDescent="0.25"/>
    <row r="220490" customFormat="1" x14ac:dyDescent="0.25"/>
    <row r="220491" customFormat="1" x14ac:dyDescent="0.25"/>
    <row r="220492" customFormat="1" x14ac:dyDescent="0.25"/>
    <row r="220493" customFormat="1" x14ac:dyDescent="0.25"/>
    <row r="220494" customFormat="1" x14ac:dyDescent="0.25"/>
    <row r="220495" customFormat="1" x14ac:dyDescent="0.25"/>
    <row r="220496" customFormat="1" x14ac:dyDescent="0.25"/>
    <row r="220497" customFormat="1" x14ac:dyDescent="0.25"/>
    <row r="220498" customFormat="1" x14ac:dyDescent="0.25"/>
    <row r="220499" customFormat="1" x14ac:dyDescent="0.25"/>
    <row r="220500" customFormat="1" x14ac:dyDescent="0.25"/>
    <row r="220501" customFormat="1" x14ac:dyDescent="0.25"/>
    <row r="220502" customFormat="1" x14ac:dyDescent="0.25"/>
    <row r="220503" customFormat="1" x14ac:dyDescent="0.25"/>
    <row r="220504" customFormat="1" x14ac:dyDescent="0.25"/>
    <row r="220505" customFormat="1" x14ac:dyDescent="0.25"/>
    <row r="220506" customFormat="1" x14ac:dyDescent="0.25"/>
    <row r="220507" customFormat="1" x14ac:dyDescent="0.25"/>
    <row r="220508" customFormat="1" x14ac:dyDescent="0.25"/>
    <row r="220509" customFormat="1" x14ac:dyDescent="0.25"/>
    <row r="220510" customFormat="1" x14ac:dyDescent="0.25"/>
    <row r="220511" customFormat="1" x14ac:dyDescent="0.25"/>
    <row r="220512" customFormat="1" x14ac:dyDescent="0.25"/>
    <row r="220513" customFormat="1" x14ac:dyDescent="0.25"/>
    <row r="220514" customFormat="1" x14ac:dyDescent="0.25"/>
    <row r="220515" customFormat="1" x14ac:dyDescent="0.25"/>
    <row r="220516" customFormat="1" x14ac:dyDescent="0.25"/>
    <row r="220517" customFormat="1" x14ac:dyDescent="0.25"/>
    <row r="220518" customFormat="1" x14ac:dyDescent="0.25"/>
    <row r="220519" customFormat="1" x14ac:dyDescent="0.25"/>
    <row r="220520" customFormat="1" x14ac:dyDescent="0.25"/>
    <row r="220521" customFormat="1" x14ac:dyDescent="0.25"/>
    <row r="220522" customFormat="1" x14ac:dyDescent="0.25"/>
    <row r="220523" customFormat="1" x14ac:dyDescent="0.25"/>
    <row r="220524" customFormat="1" x14ac:dyDescent="0.25"/>
    <row r="220525" customFormat="1" x14ac:dyDescent="0.25"/>
    <row r="220526" customFormat="1" x14ac:dyDescent="0.25"/>
    <row r="220527" customFormat="1" x14ac:dyDescent="0.25"/>
    <row r="220528" customFormat="1" x14ac:dyDescent="0.25"/>
    <row r="220529" customFormat="1" x14ac:dyDescent="0.25"/>
    <row r="220530" customFormat="1" x14ac:dyDescent="0.25"/>
    <row r="220531" customFormat="1" x14ac:dyDescent="0.25"/>
    <row r="220532" customFormat="1" x14ac:dyDescent="0.25"/>
    <row r="220533" customFormat="1" x14ac:dyDescent="0.25"/>
    <row r="220534" customFormat="1" x14ac:dyDescent="0.25"/>
    <row r="220535" customFormat="1" x14ac:dyDescent="0.25"/>
    <row r="220536" customFormat="1" x14ac:dyDescent="0.25"/>
    <row r="220537" customFormat="1" x14ac:dyDescent="0.25"/>
    <row r="220538" customFormat="1" x14ac:dyDescent="0.25"/>
    <row r="220539" customFormat="1" x14ac:dyDescent="0.25"/>
    <row r="220540" customFormat="1" x14ac:dyDescent="0.25"/>
    <row r="220541" customFormat="1" x14ac:dyDescent="0.25"/>
    <row r="220542" customFormat="1" x14ac:dyDescent="0.25"/>
    <row r="220543" customFormat="1" x14ac:dyDescent="0.25"/>
    <row r="220544" customFormat="1" x14ac:dyDescent="0.25"/>
    <row r="220545" customFormat="1" x14ac:dyDescent="0.25"/>
    <row r="220546" customFormat="1" x14ac:dyDescent="0.25"/>
    <row r="220547" customFormat="1" x14ac:dyDescent="0.25"/>
    <row r="220548" customFormat="1" x14ac:dyDescent="0.25"/>
    <row r="220549" customFormat="1" x14ac:dyDescent="0.25"/>
    <row r="220550" customFormat="1" x14ac:dyDescent="0.25"/>
    <row r="220551" customFormat="1" x14ac:dyDescent="0.25"/>
    <row r="220552" customFormat="1" x14ac:dyDescent="0.25"/>
    <row r="220553" customFormat="1" x14ac:dyDescent="0.25"/>
    <row r="220554" customFormat="1" x14ac:dyDescent="0.25"/>
    <row r="220555" customFormat="1" x14ac:dyDescent="0.25"/>
    <row r="220556" customFormat="1" x14ac:dyDescent="0.25"/>
    <row r="220557" customFormat="1" x14ac:dyDescent="0.25"/>
    <row r="220558" customFormat="1" x14ac:dyDescent="0.25"/>
    <row r="220559" customFormat="1" x14ac:dyDescent="0.25"/>
    <row r="220560" customFormat="1" x14ac:dyDescent="0.25"/>
    <row r="220561" customFormat="1" x14ac:dyDescent="0.25"/>
    <row r="220562" customFormat="1" x14ac:dyDescent="0.25"/>
    <row r="220563" customFormat="1" x14ac:dyDescent="0.25"/>
    <row r="220564" customFormat="1" x14ac:dyDescent="0.25"/>
    <row r="220565" customFormat="1" x14ac:dyDescent="0.25"/>
    <row r="220566" customFormat="1" x14ac:dyDescent="0.25"/>
    <row r="220567" customFormat="1" x14ac:dyDescent="0.25"/>
    <row r="220568" customFormat="1" x14ac:dyDescent="0.25"/>
    <row r="220569" customFormat="1" x14ac:dyDescent="0.25"/>
    <row r="220570" customFormat="1" x14ac:dyDescent="0.25"/>
    <row r="220571" customFormat="1" x14ac:dyDescent="0.25"/>
    <row r="220572" customFormat="1" x14ac:dyDescent="0.25"/>
    <row r="220573" customFormat="1" x14ac:dyDescent="0.25"/>
    <row r="220574" customFormat="1" x14ac:dyDescent="0.25"/>
    <row r="220575" customFormat="1" x14ac:dyDescent="0.25"/>
    <row r="220576" customFormat="1" x14ac:dyDescent="0.25"/>
    <row r="220577" customFormat="1" x14ac:dyDescent="0.25"/>
    <row r="220578" customFormat="1" x14ac:dyDescent="0.25"/>
    <row r="220579" customFormat="1" x14ac:dyDescent="0.25"/>
    <row r="220580" customFormat="1" x14ac:dyDescent="0.25"/>
    <row r="220581" customFormat="1" x14ac:dyDescent="0.25"/>
    <row r="220582" customFormat="1" x14ac:dyDescent="0.25"/>
    <row r="220583" customFormat="1" x14ac:dyDescent="0.25"/>
    <row r="220584" customFormat="1" x14ac:dyDescent="0.25"/>
    <row r="220585" customFormat="1" x14ac:dyDescent="0.25"/>
    <row r="220586" customFormat="1" x14ac:dyDescent="0.25"/>
    <row r="220587" customFormat="1" x14ac:dyDescent="0.25"/>
    <row r="220588" customFormat="1" x14ac:dyDescent="0.25"/>
    <row r="220589" customFormat="1" x14ac:dyDescent="0.25"/>
    <row r="220590" customFormat="1" x14ac:dyDescent="0.25"/>
    <row r="220591" customFormat="1" x14ac:dyDescent="0.25"/>
    <row r="220592" customFormat="1" x14ac:dyDescent="0.25"/>
    <row r="220593" customFormat="1" x14ac:dyDescent="0.25"/>
    <row r="220594" customFormat="1" x14ac:dyDescent="0.25"/>
    <row r="220595" customFormat="1" x14ac:dyDescent="0.25"/>
    <row r="220596" customFormat="1" x14ac:dyDescent="0.25"/>
    <row r="220597" customFormat="1" x14ac:dyDescent="0.25"/>
    <row r="220598" customFormat="1" x14ac:dyDescent="0.25"/>
    <row r="220599" customFormat="1" x14ac:dyDescent="0.25"/>
    <row r="220600" customFormat="1" x14ac:dyDescent="0.25"/>
    <row r="220601" customFormat="1" x14ac:dyDescent="0.25"/>
    <row r="220602" customFormat="1" x14ac:dyDescent="0.25"/>
    <row r="220603" customFormat="1" x14ac:dyDescent="0.25"/>
    <row r="220604" customFormat="1" x14ac:dyDescent="0.25"/>
    <row r="220605" customFormat="1" x14ac:dyDescent="0.25"/>
    <row r="220606" customFormat="1" x14ac:dyDescent="0.25"/>
    <row r="220607" customFormat="1" x14ac:dyDescent="0.25"/>
    <row r="220608" customFormat="1" x14ac:dyDescent="0.25"/>
    <row r="220609" customFormat="1" x14ac:dyDescent="0.25"/>
    <row r="220610" customFormat="1" x14ac:dyDescent="0.25"/>
    <row r="220611" customFormat="1" x14ac:dyDescent="0.25"/>
    <row r="220612" customFormat="1" x14ac:dyDescent="0.25"/>
    <row r="220613" customFormat="1" x14ac:dyDescent="0.25"/>
    <row r="220614" customFormat="1" x14ac:dyDescent="0.25"/>
    <row r="220615" customFormat="1" x14ac:dyDescent="0.25"/>
    <row r="220616" customFormat="1" x14ac:dyDescent="0.25"/>
    <row r="220617" customFormat="1" x14ac:dyDescent="0.25"/>
    <row r="220618" customFormat="1" x14ac:dyDescent="0.25"/>
    <row r="220619" customFormat="1" x14ac:dyDescent="0.25"/>
    <row r="220620" customFormat="1" x14ac:dyDescent="0.25"/>
    <row r="220621" customFormat="1" x14ac:dyDescent="0.25"/>
    <row r="220622" customFormat="1" x14ac:dyDescent="0.25"/>
    <row r="220623" customFormat="1" x14ac:dyDescent="0.25"/>
    <row r="220624" customFormat="1" x14ac:dyDescent="0.25"/>
    <row r="220625" customFormat="1" x14ac:dyDescent="0.25"/>
    <row r="220626" customFormat="1" x14ac:dyDescent="0.25"/>
    <row r="220627" customFormat="1" x14ac:dyDescent="0.25"/>
    <row r="220628" customFormat="1" x14ac:dyDescent="0.25"/>
    <row r="220629" customFormat="1" x14ac:dyDescent="0.25"/>
    <row r="220630" customFormat="1" x14ac:dyDescent="0.25"/>
    <row r="220631" customFormat="1" x14ac:dyDescent="0.25"/>
    <row r="220632" customFormat="1" x14ac:dyDescent="0.25"/>
    <row r="220633" customFormat="1" x14ac:dyDescent="0.25"/>
    <row r="220634" customFormat="1" x14ac:dyDescent="0.25"/>
    <row r="220635" customFormat="1" x14ac:dyDescent="0.25"/>
    <row r="220636" customFormat="1" x14ac:dyDescent="0.25"/>
    <row r="220637" customFormat="1" x14ac:dyDescent="0.25"/>
    <row r="220638" customFormat="1" x14ac:dyDescent="0.25"/>
    <row r="220639" customFormat="1" x14ac:dyDescent="0.25"/>
    <row r="220640" customFormat="1" x14ac:dyDescent="0.25"/>
    <row r="220641" customFormat="1" x14ac:dyDescent="0.25"/>
    <row r="220642" customFormat="1" x14ac:dyDescent="0.25"/>
    <row r="220643" customFormat="1" x14ac:dyDescent="0.25"/>
    <row r="220644" customFormat="1" x14ac:dyDescent="0.25"/>
    <row r="220645" customFormat="1" x14ac:dyDescent="0.25"/>
    <row r="220646" customFormat="1" x14ac:dyDescent="0.25"/>
    <row r="220647" customFormat="1" x14ac:dyDescent="0.25"/>
    <row r="220648" customFormat="1" x14ac:dyDescent="0.25"/>
    <row r="220649" customFormat="1" x14ac:dyDescent="0.25"/>
    <row r="220650" customFormat="1" x14ac:dyDescent="0.25"/>
    <row r="220651" customFormat="1" x14ac:dyDescent="0.25"/>
    <row r="220652" customFormat="1" x14ac:dyDescent="0.25"/>
    <row r="220653" customFormat="1" x14ac:dyDescent="0.25"/>
    <row r="220654" customFormat="1" x14ac:dyDescent="0.25"/>
    <row r="220655" customFormat="1" x14ac:dyDescent="0.25"/>
    <row r="220656" customFormat="1" x14ac:dyDescent="0.25"/>
    <row r="220657" customFormat="1" x14ac:dyDescent="0.25"/>
    <row r="220658" customFormat="1" x14ac:dyDescent="0.25"/>
    <row r="220659" customFormat="1" x14ac:dyDescent="0.25"/>
    <row r="220660" customFormat="1" x14ac:dyDescent="0.25"/>
    <row r="220661" customFormat="1" x14ac:dyDescent="0.25"/>
    <row r="220662" customFormat="1" x14ac:dyDescent="0.25"/>
    <row r="220663" customFormat="1" x14ac:dyDescent="0.25"/>
    <row r="220664" customFormat="1" x14ac:dyDescent="0.25"/>
    <row r="220665" customFormat="1" x14ac:dyDescent="0.25"/>
    <row r="220666" customFormat="1" x14ac:dyDescent="0.25"/>
    <row r="220667" customFormat="1" x14ac:dyDescent="0.25"/>
    <row r="220668" customFormat="1" x14ac:dyDescent="0.25"/>
    <row r="220669" customFormat="1" x14ac:dyDescent="0.25"/>
    <row r="220670" customFormat="1" x14ac:dyDescent="0.25"/>
    <row r="220671" customFormat="1" x14ac:dyDescent="0.25"/>
    <row r="220672" customFormat="1" x14ac:dyDescent="0.25"/>
    <row r="220673" customFormat="1" x14ac:dyDescent="0.25"/>
    <row r="220674" customFormat="1" x14ac:dyDescent="0.25"/>
    <row r="220675" customFormat="1" x14ac:dyDescent="0.25"/>
    <row r="220676" customFormat="1" x14ac:dyDescent="0.25"/>
    <row r="220677" customFormat="1" x14ac:dyDescent="0.25"/>
    <row r="220678" customFormat="1" x14ac:dyDescent="0.25"/>
    <row r="220679" customFormat="1" x14ac:dyDescent="0.25"/>
    <row r="220680" customFormat="1" x14ac:dyDescent="0.25"/>
    <row r="220681" customFormat="1" x14ac:dyDescent="0.25"/>
    <row r="220682" customFormat="1" x14ac:dyDescent="0.25"/>
    <row r="220683" customFormat="1" x14ac:dyDescent="0.25"/>
    <row r="220684" customFormat="1" x14ac:dyDescent="0.25"/>
    <row r="220685" customFormat="1" x14ac:dyDescent="0.25"/>
    <row r="220686" customFormat="1" x14ac:dyDescent="0.25"/>
    <row r="220687" customFormat="1" x14ac:dyDescent="0.25"/>
    <row r="220688" customFormat="1" x14ac:dyDescent="0.25"/>
    <row r="220689" customFormat="1" x14ac:dyDescent="0.25"/>
    <row r="220690" customFormat="1" x14ac:dyDescent="0.25"/>
    <row r="220691" customFormat="1" x14ac:dyDescent="0.25"/>
    <row r="220692" customFormat="1" x14ac:dyDescent="0.25"/>
    <row r="220693" customFormat="1" x14ac:dyDescent="0.25"/>
    <row r="220694" customFormat="1" x14ac:dyDescent="0.25"/>
    <row r="220695" customFormat="1" x14ac:dyDescent="0.25"/>
    <row r="220696" customFormat="1" x14ac:dyDescent="0.25"/>
    <row r="220697" customFormat="1" x14ac:dyDescent="0.25"/>
    <row r="220698" customFormat="1" x14ac:dyDescent="0.25"/>
    <row r="220699" customFormat="1" x14ac:dyDescent="0.25"/>
    <row r="220700" customFormat="1" x14ac:dyDescent="0.25"/>
    <row r="220701" customFormat="1" x14ac:dyDescent="0.25"/>
    <row r="220702" customFormat="1" x14ac:dyDescent="0.25"/>
    <row r="220703" customFormat="1" x14ac:dyDescent="0.25"/>
    <row r="220704" customFormat="1" x14ac:dyDescent="0.25"/>
    <row r="220705" customFormat="1" x14ac:dyDescent="0.25"/>
    <row r="220706" customFormat="1" x14ac:dyDescent="0.25"/>
    <row r="220707" customFormat="1" x14ac:dyDescent="0.25"/>
    <row r="220708" customFormat="1" x14ac:dyDescent="0.25"/>
    <row r="220709" customFormat="1" x14ac:dyDescent="0.25"/>
    <row r="220710" customFormat="1" x14ac:dyDescent="0.25"/>
    <row r="220711" customFormat="1" x14ac:dyDescent="0.25"/>
    <row r="220712" customFormat="1" x14ac:dyDescent="0.25"/>
    <row r="220713" customFormat="1" x14ac:dyDescent="0.25"/>
    <row r="220714" customFormat="1" x14ac:dyDescent="0.25"/>
    <row r="220715" customFormat="1" x14ac:dyDescent="0.25"/>
    <row r="220716" customFormat="1" x14ac:dyDescent="0.25"/>
    <row r="220717" customFormat="1" x14ac:dyDescent="0.25"/>
    <row r="220718" customFormat="1" x14ac:dyDescent="0.25"/>
    <row r="220719" customFormat="1" x14ac:dyDescent="0.25"/>
    <row r="220720" customFormat="1" x14ac:dyDescent="0.25"/>
    <row r="220721" customFormat="1" x14ac:dyDescent="0.25"/>
    <row r="220722" customFormat="1" x14ac:dyDescent="0.25"/>
    <row r="220723" customFormat="1" x14ac:dyDescent="0.25"/>
    <row r="220724" customFormat="1" x14ac:dyDescent="0.25"/>
    <row r="220725" customFormat="1" x14ac:dyDescent="0.25"/>
    <row r="220726" customFormat="1" x14ac:dyDescent="0.25"/>
    <row r="220727" customFormat="1" x14ac:dyDescent="0.25"/>
    <row r="220728" customFormat="1" x14ac:dyDescent="0.25"/>
    <row r="220729" customFormat="1" x14ac:dyDescent="0.25"/>
    <row r="220730" customFormat="1" x14ac:dyDescent="0.25"/>
    <row r="220731" customFormat="1" x14ac:dyDescent="0.25"/>
    <row r="220732" customFormat="1" x14ac:dyDescent="0.25"/>
    <row r="220733" customFormat="1" x14ac:dyDescent="0.25"/>
    <row r="220734" customFormat="1" x14ac:dyDescent="0.25"/>
    <row r="220735" customFormat="1" x14ac:dyDescent="0.25"/>
    <row r="220736" customFormat="1" x14ac:dyDescent="0.25"/>
    <row r="220737" customFormat="1" x14ac:dyDescent="0.25"/>
    <row r="220738" customFormat="1" x14ac:dyDescent="0.25"/>
    <row r="220739" customFormat="1" x14ac:dyDescent="0.25"/>
    <row r="220740" customFormat="1" x14ac:dyDescent="0.25"/>
    <row r="220741" customFormat="1" x14ac:dyDescent="0.25"/>
    <row r="220742" customFormat="1" x14ac:dyDescent="0.25"/>
    <row r="220743" customFormat="1" x14ac:dyDescent="0.25"/>
    <row r="220744" customFormat="1" x14ac:dyDescent="0.25"/>
    <row r="220745" customFormat="1" x14ac:dyDescent="0.25"/>
    <row r="220746" customFormat="1" x14ac:dyDescent="0.25"/>
    <row r="220747" customFormat="1" x14ac:dyDescent="0.25"/>
    <row r="220748" customFormat="1" x14ac:dyDescent="0.25"/>
    <row r="220749" customFormat="1" x14ac:dyDescent="0.25"/>
    <row r="220750" customFormat="1" x14ac:dyDescent="0.25"/>
    <row r="220751" customFormat="1" x14ac:dyDescent="0.25"/>
    <row r="220752" customFormat="1" x14ac:dyDescent="0.25"/>
    <row r="220753" customFormat="1" x14ac:dyDescent="0.25"/>
    <row r="220754" customFormat="1" x14ac:dyDescent="0.25"/>
    <row r="220755" customFormat="1" x14ac:dyDescent="0.25"/>
    <row r="220756" customFormat="1" x14ac:dyDescent="0.25"/>
    <row r="220757" customFormat="1" x14ac:dyDescent="0.25"/>
    <row r="220758" customFormat="1" x14ac:dyDescent="0.25"/>
    <row r="220759" customFormat="1" x14ac:dyDescent="0.25"/>
    <row r="220760" customFormat="1" x14ac:dyDescent="0.25"/>
    <row r="220761" customFormat="1" x14ac:dyDescent="0.25"/>
    <row r="220762" customFormat="1" x14ac:dyDescent="0.25"/>
    <row r="220763" customFormat="1" x14ac:dyDescent="0.25"/>
    <row r="220764" customFormat="1" x14ac:dyDescent="0.25"/>
    <row r="220765" customFormat="1" x14ac:dyDescent="0.25"/>
    <row r="220766" customFormat="1" x14ac:dyDescent="0.25"/>
    <row r="220767" customFormat="1" x14ac:dyDescent="0.25"/>
    <row r="220768" customFormat="1" x14ac:dyDescent="0.25"/>
    <row r="220769" customFormat="1" x14ac:dyDescent="0.25"/>
    <row r="220770" customFormat="1" x14ac:dyDescent="0.25"/>
    <row r="220771" customFormat="1" x14ac:dyDescent="0.25"/>
    <row r="220772" customFormat="1" x14ac:dyDescent="0.25"/>
    <row r="220773" customFormat="1" x14ac:dyDescent="0.25"/>
    <row r="220774" customFormat="1" x14ac:dyDescent="0.25"/>
    <row r="220775" customFormat="1" x14ac:dyDescent="0.25"/>
    <row r="220776" customFormat="1" x14ac:dyDescent="0.25"/>
    <row r="220777" customFormat="1" x14ac:dyDescent="0.25"/>
    <row r="220778" customFormat="1" x14ac:dyDescent="0.25"/>
    <row r="220779" customFormat="1" x14ac:dyDescent="0.25"/>
    <row r="220780" customFormat="1" x14ac:dyDescent="0.25"/>
    <row r="220781" customFormat="1" x14ac:dyDescent="0.25"/>
    <row r="220782" customFormat="1" x14ac:dyDescent="0.25"/>
    <row r="220783" customFormat="1" x14ac:dyDescent="0.25"/>
    <row r="220784" customFormat="1" x14ac:dyDescent="0.25"/>
    <row r="220785" customFormat="1" x14ac:dyDescent="0.25"/>
    <row r="220786" customFormat="1" x14ac:dyDescent="0.25"/>
    <row r="220787" customFormat="1" x14ac:dyDescent="0.25"/>
    <row r="220788" customFormat="1" x14ac:dyDescent="0.25"/>
    <row r="220789" customFormat="1" x14ac:dyDescent="0.25"/>
    <row r="220790" customFormat="1" x14ac:dyDescent="0.25"/>
    <row r="220791" customFormat="1" x14ac:dyDescent="0.25"/>
    <row r="220792" customFormat="1" x14ac:dyDescent="0.25"/>
    <row r="220793" customFormat="1" x14ac:dyDescent="0.25"/>
    <row r="220794" customFormat="1" x14ac:dyDescent="0.25"/>
    <row r="220795" customFormat="1" x14ac:dyDescent="0.25"/>
    <row r="220796" customFormat="1" x14ac:dyDescent="0.25"/>
    <row r="220797" customFormat="1" x14ac:dyDescent="0.25"/>
    <row r="220798" customFormat="1" x14ac:dyDescent="0.25"/>
    <row r="220799" customFormat="1" x14ac:dyDescent="0.25"/>
    <row r="220800" customFormat="1" x14ac:dyDescent="0.25"/>
    <row r="220801" customFormat="1" x14ac:dyDescent="0.25"/>
    <row r="220802" customFormat="1" x14ac:dyDescent="0.25"/>
    <row r="220803" customFormat="1" x14ac:dyDescent="0.25"/>
    <row r="220804" customFormat="1" x14ac:dyDescent="0.25"/>
    <row r="220805" customFormat="1" x14ac:dyDescent="0.25"/>
    <row r="220806" customFormat="1" x14ac:dyDescent="0.25"/>
    <row r="220807" customFormat="1" x14ac:dyDescent="0.25"/>
    <row r="220808" customFormat="1" x14ac:dyDescent="0.25"/>
    <row r="220809" customFormat="1" x14ac:dyDescent="0.25"/>
    <row r="220810" customFormat="1" x14ac:dyDescent="0.25"/>
    <row r="220811" customFormat="1" x14ac:dyDescent="0.25"/>
    <row r="220812" customFormat="1" x14ac:dyDescent="0.25"/>
    <row r="220813" customFormat="1" x14ac:dyDescent="0.25"/>
    <row r="220814" customFormat="1" x14ac:dyDescent="0.25"/>
    <row r="220815" customFormat="1" x14ac:dyDescent="0.25"/>
    <row r="220816" customFormat="1" x14ac:dyDescent="0.25"/>
    <row r="220817" customFormat="1" x14ac:dyDescent="0.25"/>
    <row r="220818" customFormat="1" x14ac:dyDescent="0.25"/>
    <row r="220819" customFormat="1" x14ac:dyDescent="0.25"/>
    <row r="220820" customFormat="1" x14ac:dyDescent="0.25"/>
    <row r="220821" customFormat="1" x14ac:dyDescent="0.25"/>
    <row r="220822" customFormat="1" x14ac:dyDescent="0.25"/>
    <row r="220823" customFormat="1" x14ac:dyDescent="0.25"/>
    <row r="220824" customFormat="1" x14ac:dyDescent="0.25"/>
    <row r="220825" customFormat="1" x14ac:dyDescent="0.25"/>
    <row r="220826" customFormat="1" x14ac:dyDescent="0.25"/>
    <row r="220827" customFormat="1" x14ac:dyDescent="0.25"/>
    <row r="220828" customFormat="1" x14ac:dyDescent="0.25"/>
    <row r="220829" customFormat="1" x14ac:dyDescent="0.25"/>
    <row r="220830" customFormat="1" x14ac:dyDescent="0.25"/>
    <row r="220831" customFormat="1" x14ac:dyDescent="0.25"/>
    <row r="220832" customFormat="1" x14ac:dyDescent="0.25"/>
    <row r="220833" customFormat="1" x14ac:dyDescent="0.25"/>
    <row r="220834" customFormat="1" x14ac:dyDescent="0.25"/>
    <row r="220835" customFormat="1" x14ac:dyDescent="0.25"/>
    <row r="220836" customFormat="1" x14ac:dyDescent="0.25"/>
    <row r="220837" customFormat="1" x14ac:dyDescent="0.25"/>
    <row r="220838" customFormat="1" x14ac:dyDescent="0.25"/>
    <row r="220839" customFormat="1" x14ac:dyDescent="0.25"/>
    <row r="220840" customFormat="1" x14ac:dyDescent="0.25"/>
    <row r="220841" customFormat="1" x14ac:dyDescent="0.25"/>
    <row r="220842" customFormat="1" x14ac:dyDescent="0.25"/>
    <row r="220843" customFormat="1" x14ac:dyDescent="0.25"/>
    <row r="220844" customFormat="1" x14ac:dyDescent="0.25"/>
    <row r="220845" customFormat="1" x14ac:dyDescent="0.25"/>
    <row r="220846" customFormat="1" x14ac:dyDescent="0.25"/>
    <row r="220847" customFormat="1" x14ac:dyDescent="0.25"/>
    <row r="220848" customFormat="1" x14ac:dyDescent="0.25"/>
    <row r="220849" customFormat="1" x14ac:dyDescent="0.25"/>
    <row r="220850" customFormat="1" x14ac:dyDescent="0.25"/>
    <row r="220851" customFormat="1" x14ac:dyDescent="0.25"/>
    <row r="220852" customFormat="1" x14ac:dyDescent="0.25"/>
    <row r="220853" customFormat="1" x14ac:dyDescent="0.25"/>
    <row r="220854" customFormat="1" x14ac:dyDescent="0.25"/>
    <row r="220855" customFormat="1" x14ac:dyDescent="0.25"/>
    <row r="220856" customFormat="1" x14ac:dyDescent="0.25"/>
    <row r="220857" customFormat="1" x14ac:dyDescent="0.25"/>
    <row r="220858" customFormat="1" x14ac:dyDescent="0.25"/>
    <row r="220859" customFormat="1" x14ac:dyDescent="0.25"/>
    <row r="220860" customFormat="1" x14ac:dyDescent="0.25"/>
    <row r="220861" customFormat="1" x14ac:dyDescent="0.25"/>
    <row r="220862" customFormat="1" x14ac:dyDescent="0.25"/>
    <row r="220863" customFormat="1" x14ac:dyDescent="0.25"/>
    <row r="220864" customFormat="1" x14ac:dyDescent="0.25"/>
    <row r="220865" customFormat="1" x14ac:dyDescent="0.25"/>
    <row r="220866" customFormat="1" x14ac:dyDescent="0.25"/>
    <row r="220867" customFormat="1" x14ac:dyDescent="0.25"/>
    <row r="220868" customFormat="1" x14ac:dyDescent="0.25"/>
    <row r="220869" customFormat="1" x14ac:dyDescent="0.25"/>
    <row r="220870" customFormat="1" x14ac:dyDescent="0.25"/>
    <row r="220871" customFormat="1" x14ac:dyDescent="0.25"/>
    <row r="220872" customFormat="1" x14ac:dyDescent="0.25"/>
    <row r="220873" customFormat="1" x14ac:dyDescent="0.25"/>
    <row r="220874" customFormat="1" x14ac:dyDescent="0.25"/>
    <row r="220875" customFormat="1" x14ac:dyDescent="0.25"/>
    <row r="220876" customFormat="1" x14ac:dyDescent="0.25"/>
    <row r="220877" customFormat="1" x14ac:dyDescent="0.25"/>
    <row r="220878" customFormat="1" x14ac:dyDescent="0.25"/>
    <row r="220879" customFormat="1" x14ac:dyDescent="0.25"/>
    <row r="220880" customFormat="1" x14ac:dyDescent="0.25"/>
    <row r="220881" customFormat="1" x14ac:dyDescent="0.25"/>
    <row r="220882" customFormat="1" x14ac:dyDescent="0.25"/>
    <row r="220883" customFormat="1" x14ac:dyDescent="0.25"/>
    <row r="220884" customFormat="1" x14ac:dyDescent="0.25"/>
    <row r="220885" customFormat="1" x14ac:dyDescent="0.25"/>
    <row r="220886" customFormat="1" x14ac:dyDescent="0.25"/>
    <row r="220887" customFormat="1" x14ac:dyDescent="0.25"/>
    <row r="220888" customFormat="1" x14ac:dyDescent="0.25"/>
    <row r="220889" customFormat="1" x14ac:dyDescent="0.25"/>
    <row r="220890" customFormat="1" x14ac:dyDescent="0.25"/>
    <row r="220891" customFormat="1" x14ac:dyDescent="0.25"/>
    <row r="220892" customFormat="1" x14ac:dyDescent="0.25"/>
    <row r="220893" customFormat="1" x14ac:dyDescent="0.25"/>
    <row r="220894" customFormat="1" x14ac:dyDescent="0.25"/>
    <row r="220895" customFormat="1" x14ac:dyDescent="0.25"/>
    <row r="220896" customFormat="1" x14ac:dyDescent="0.25"/>
    <row r="220897" customFormat="1" x14ac:dyDescent="0.25"/>
    <row r="220898" customFormat="1" x14ac:dyDescent="0.25"/>
    <row r="220899" customFormat="1" x14ac:dyDescent="0.25"/>
    <row r="220900" customFormat="1" x14ac:dyDescent="0.25"/>
    <row r="220901" customFormat="1" x14ac:dyDescent="0.25"/>
    <row r="220902" customFormat="1" x14ac:dyDescent="0.25"/>
    <row r="220903" customFormat="1" x14ac:dyDescent="0.25"/>
    <row r="220904" customFormat="1" x14ac:dyDescent="0.25"/>
    <row r="220905" customFormat="1" x14ac:dyDescent="0.25"/>
    <row r="220906" customFormat="1" x14ac:dyDescent="0.25"/>
    <row r="220907" customFormat="1" x14ac:dyDescent="0.25"/>
    <row r="220908" customFormat="1" x14ac:dyDescent="0.25"/>
    <row r="220909" customFormat="1" x14ac:dyDescent="0.25"/>
    <row r="220910" customFormat="1" x14ac:dyDescent="0.25"/>
    <row r="220911" customFormat="1" x14ac:dyDescent="0.25"/>
    <row r="220912" customFormat="1" x14ac:dyDescent="0.25"/>
    <row r="220913" customFormat="1" x14ac:dyDescent="0.25"/>
    <row r="220914" customFormat="1" x14ac:dyDescent="0.25"/>
    <row r="220915" customFormat="1" x14ac:dyDescent="0.25"/>
    <row r="220916" customFormat="1" x14ac:dyDescent="0.25"/>
    <row r="220917" customFormat="1" x14ac:dyDescent="0.25"/>
    <row r="220918" customFormat="1" x14ac:dyDescent="0.25"/>
    <row r="220919" customFormat="1" x14ac:dyDescent="0.25"/>
    <row r="220920" customFormat="1" x14ac:dyDescent="0.25"/>
    <row r="220921" customFormat="1" x14ac:dyDescent="0.25"/>
    <row r="220922" customFormat="1" x14ac:dyDescent="0.25"/>
    <row r="220923" customFormat="1" x14ac:dyDescent="0.25"/>
    <row r="220924" customFormat="1" x14ac:dyDescent="0.25"/>
    <row r="220925" customFormat="1" x14ac:dyDescent="0.25"/>
    <row r="220926" customFormat="1" x14ac:dyDescent="0.25"/>
    <row r="220927" customFormat="1" x14ac:dyDescent="0.25"/>
    <row r="220928" customFormat="1" x14ac:dyDescent="0.25"/>
    <row r="220929" customFormat="1" x14ac:dyDescent="0.25"/>
    <row r="220930" customFormat="1" x14ac:dyDescent="0.25"/>
    <row r="220931" customFormat="1" x14ac:dyDescent="0.25"/>
    <row r="220932" customFormat="1" x14ac:dyDescent="0.25"/>
    <row r="220933" customFormat="1" x14ac:dyDescent="0.25"/>
    <row r="220934" customFormat="1" x14ac:dyDescent="0.25"/>
    <row r="220935" customFormat="1" x14ac:dyDescent="0.25"/>
    <row r="220936" customFormat="1" x14ac:dyDescent="0.25"/>
    <row r="220937" customFormat="1" x14ac:dyDescent="0.25"/>
    <row r="220938" customFormat="1" x14ac:dyDescent="0.25"/>
    <row r="220939" customFormat="1" x14ac:dyDescent="0.25"/>
    <row r="220940" customFormat="1" x14ac:dyDescent="0.25"/>
    <row r="220941" customFormat="1" x14ac:dyDescent="0.25"/>
    <row r="220942" customFormat="1" x14ac:dyDescent="0.25"/>
    <row r="220943" customFormat="1" x14ac:dyDescent="0.25"/>
    <row r="220944" customFormat="1" x14ac:dyDescent="0.25"/>
    <row r="220945" customFormat="1" x14ac:dyDescent="0.25"/>
    <row r="220946" customFormat="1" x14ac:dyDescent="0.25"/>
    <row r="220947" customFormat="1" x14ac:dyDescent="0.25"/>
    <row r="220948" customFormat="1" x14ac:dyDescent="0.25"/>
    <row r="220949" customFormat="1" x14ac:dyDescent="0.25"/>
    <row r="220950" customFormat="1" x14ac:dyDescent="0.25"/>
    <row r="220951" customFormat="1" x14ac:dyDescent="0.25"/>
    <row r="220952" customFormat="1" x14ac:dyDescent="0.25"/>
    <row r="220953" customFormat="1" x14ac:dyDescent="0.25"/>
    <row r="220954" customFormat="1" x14ac:dyDescent="0.25"/>
    <row r="220955" customFormat="1" x14ac:dyDescent="0.25"/>
    <row r="220956" customFormat="1" x14ac:dyDescent="0.25"/>
    <row r="220957" customFormat="1" x14ac:dyDescent="0.25"/>
    <row r="220958" customFormat="1" x14ac:dyDescent="0.25"/>
    <row r="220959" customFormat="1" x14ac:dyDescent="0.25"/>
    <row r="220960" customFormat="1" x14ac:dyDescent="0.25"/>
    <row r="220961" customFormat="1" x14ac:dyDescent="0.25"/>
    <row r="220962" customFormat="1" x14ac:dyDescent="0.25"/>
    <row r="220963" customFormat="1" x14ac:dyDescent="0.25"/>
    <row r="220964" customFormat="1" x14ac:dyDescent="0.25"/>
    <row r="220965" customFormat="1" x14ac:dyDescent="0.25"/>
    <row r="220966" customFormat="1" x14ac:dyDescent="0.25"/>
    <row r="220967" customFormat="1" x14ac:dyDescent="0.25"/>
    <row r="220968" customFormat="1" x14ac:dyDescent="0.25"/>
    <row r="220969" customFormat="1" x14ac:dyDescent="0.25"/>
    <row r="220970" customFormat="1" x14ac:dyDescent="0.25"/>
    <row r="220971" customFormat="1" x14ac:dyDescent="0.25"/>
    <row r="220972" customFormat="1" x14ac:dyDescent="0.25"/>
    <row r="220973" customFormat="1" x14ac:dyDescent="0.25"/>
    <row r="220974" customFormat="1" x14ac:dyDescent="0.25"/>
    <row r="220975" customFormat="1" x14ac:dyDescent="0.25"/>
    <row r="220976" customFormat="1" x14ac:dyDescent="0.25"/>
    <row r="220977" customFormat="1" x14ac:dyDescent="0.25"/>
    <row r="220978" customFormat="1" x14ac:dyDescent="0.25"/>
    <row r="220979" customFormat="1" x14ac:dyDescent="0.25"/>
    <row r="220980" customFormat="1" x14ac:dyDescent="0.25"/>
    <row r="220981" customFormat="1" x14ac:dyDescent="0.25"/>
    <row r="220982" customFormat="1" x14ac:dyDescent="0.25"/>
    <row r="220983" customFormat="1" x14ac:dyDescent="0.25"/>
    <row r="220984" customFormat="1" x14ac:dyDescent="0.25"/>
    <row r="220985" customFormat="1" x14ac:dyDescent="0.25"/>
    <row r="220986" customFormat="1" x14ac:dyDescent="0.25"/>
    <row r="220987" customFormat="1" x14ac:dyDescent="0.25"/>
    <row r="220988" customFormat="1" x14ac:dyDescent="0.25"/>
    <row r="220989" customFormat="1" x14ac:dyDescent="0.25"/>
    <row r="220990" customFormat="1" x14ac:dyDescent="0.25"/>
    <row r="220991" customFormat="1" x14ac:dyDescent="0.25"/>
    <row r="220992" customFormat="1" x14ac:dyDescent="0.25"/>
    <row r="220993" customFormat="1" x14ac:dyDescent="0.25"/>
    <row r="220994" customFormat="1" x14ac:dyDescent="0.25"/>
    <row r="220995" customFormat="1" x14ac:dyDescent="0.25"/>
    <row r="220996" customFormat="1" x14ac:dyDescent="0.25"/>
    <row r="220997" customFormat="1" x14ac:dyDescent="0.25"/>
    <row r="220998" customFormat="1" x14ac:dyDescent="0.25"/>
    <row r="220999" customFormat="1" x14ac:dyDescent="0.25"/>
    <row r="221000" customFormat="1" x14ac:dyDescent="0.25"/>
    <row r="221001" customFormat="1" x14ac:dyDescent="0.25"/>
    <row r="221002" customFormat="1" x14ac:dyDescent="0.25"/>
    <row r="221003" customFormat="1" x14ac:dyDescent="0.25"/>
    <row r="221004" customFormat="1" x14ac:dyDescent="0.25"/>
    <row r="221005" customFormat="1" x14ac:dyDescent="0.25"/>
    <row r="221006" customFormat="1" x14ac:dyDescent="0.25"/>
    <row r="221007" customFormat="1" x14ac:dyDescent="0.25"/>
    <row r="221008" customFormat="1" x14ac:dyDescent="0.25"/>
    <row r="221009" customFormat="1" x14ac:dyDescent="0.25"/>
    <row r="221010" customFormat="1" x14ac:dyDescent="0.25"/>
    <row r="221011" customFormat="1" x14ac:dyDescent="0.25"/>
    <row r="221012" customFormat="1" x14ac:dyDescent="0.25"/>
    <row r="221013" customFormat="1" x14ac:dyDescent="0.25"/>
    <row r="221014" customFormat="1" x14ac:dyDescent="0.25"/>
    <row r="221015" customFormat="1" x14ac:dyDescent="0.25"/>
    <row r="221016" customFormat="1" x14ac:dyDescent="0.25"/>
    <row r="221017" customFormat="1" x14ac:dyDescent="0.25"/>
    <row r="221018" customFormat="1" x14ac:dyDescent="0.25"/>
    <row r="221019" customFormat="1" x14ac:dyDescent="0.25"/>
    <row r="221020" customFormat="1" x14ac:dyDescent="0.25"/>
    <row r="221021" customFormat="1" x14ac:dyDescent="0.25"/>
    <row r="221022" customFormat="1" x14ac:dyDescent="0.25"/>
    <row r="221023" customFormat="1" x14ac:dyDescent="0.25"/>
    <row r="221024" customFormat="1" x14ac:dyDescent="0.25"/>
    <row r="221025" customFormat="1" x14ac:dyDescent="0.25"/>
    <row r="221026" customFormat="1" x14ac:dyDescent="0.25"/>
    <row r="221027" customFormat="1" x14ac:dyDescent="0.25"/>
    <row r="221028" customFormat="1" x14ac:dyDescent="0.25"/>
    <row r="221029" customFormat="1" x14ac:dyDescent="0.25"/>
    <row r="221030" customFormat="1" x14ac:dyDescent="0.25"/>
    <row r="221031" customFormat="1" x14ac:dyDescent="0.25"/>
    <row r="221032" customFormat="1" x14ac:dyDescent="0.25"/>
    <row r="221033" customFormat="1" x14ac:dyDescent="0.25"/>
    <row r="221034" customFormat="1" x14ac:dyDescent="0.25"/>
    <row r="221035" customFormat="1" x14ac:dyDescent="0.25"/>
    <row r="221036" customFormat="1" x14ac:dyDescent="0.25"/>
    <row r="221037" customFormat="1" x14ac:dyDescent="0.25"/>
    <row r="221038" customFormat="1" x14ac:dyDescent="0.25"/>
    <row r="221039" customFormat="1" x14ac:dyDescent="0.25"/>
    <row r="221040" customFormat="1" x14ac:dyDescent="0.25"/>
    <row r="221041" customFormat="1" x14ac:dyDescent="0.25"/>
    <row r="221042" customFormat="1" x14ac:dyDescent="0.25"/>
    <row r="221043" customFormat="1" x14ac:dyDescent="0.25"/>
    <row r="221044" customFormat="1" x14ac:dyDescent="0.25"/>
    <row r="221045" customFormat="1" x14ac:dyDescent="0.25"/>
    <row r="221046" customFormat="1" x14ac:dyDescent="0.25"/>
    <row r="221047" customFormat="1" x14ac:dyDescent="0.25"/>
    <row r="221048" customFormat="1" x14ac:dyDescent="0.25"/>
    <row r="221049" customFormat="1" x14ac:dyDescent="0.25"/>
    <row r="221050" customFormat="1" x14ac:dyDescent="0.25"/>
    <row r="221051" customFormat="1" x14ac:dyDescent="0.25"/>
    <row r="221052" customFormat="1" x14ac:dyDescent="0.25"/>
    <row r="221053" customFormat="1" x14ac:dyDescent="0.25"/>
    <row r="221054" customFormat="1" x14ac:dyDescent="0.25"/>
    <row r="221055" customFormat="1" x14ac:dyDescent="0.25"/>
    <row r="221056" customFormat="1" x14ac:dyDescent="0.25"/>
    <row r="221057" customFormat="1" x14ac:dyDescent="0.25"/>
    <row r="221058" customFormat="1" x14ac:dyDescent="0.25"/>
    <row r="221059" customFormat="1" x14ac:dyDescent="0.25"/>
    <row r="221060" customFormat="1" x14ac:dyDescent="0.25"/>
    <row r="221061" customFormat="1" x14ac:dyDescent="0.25"/>
    <row r="221062" customFormat="1" x14ac:dyDescent="0.25"/>
    <row r="221063" customFormat="1" x14ac:dyDescent="0.25"/>
    <row r="221064" customFormat="1" x14ac:dyDescent="0.25"/>
    <row r="221065" customFormat="1" x14ac:dyDescent="0.25"/>
    <row r="221066" customFormat="1" x14ac:dyDescent="0.25"/>
    <row r="221067" customFormat="1" x14ac:dyDescent="0.25"/>
    <row r="221068" customFormat="1" x14ac:dyDescent="0.25"/>
    <row r="221069" customFormat="1" x14ac:dyDescent="0.25"/>
    <row r="221070" customFormat="1" x14ac:dyDescent="0.25"/>
    <row r="221071" customFormat="1" x14ac:dyDescent="0.25"/>
    <row r="221072" customFormat="1" x14ac:dyDescent="0.25"/>
    <row r="221073" customFormat="1" x14ac:dyDescent="0.25"/>
    <row r="221074" customFormat="1" x14ac:dyDescent="0.25"/>
    <row r="221075" customFormat="1" x14ac:dyDescent="0.25"/>
    <row r="221076" customFormat="1" x14ac:dyDescent="0.25"/>
    <row r="221077" customFormat="1" x14ac:dyDescent="0.25"/>
    <row r="221078" customFormat="1" x14ac:dyDescent="0.25"/>
    <row r="221079" customFormat="1" x14ac:dyDescent="0.25"/>
    <row r="221080" customFormat="1" x14ac:dyDescent="0.25"/>
    <row r="221081" customFormat="1" x14ac:dyDescent="0.25"/>
    <row r="221082" customFormat="1" x14ac:dyDescent="0.25"/>
    <row r="221083" customFormat="1" x14ac:dyDescent="0.25"/>
    <row r="221084" customFormat="1" x14ac:dyDescent="0.25"/>
    <row r="221085" customFormat="1" x14ac:dyDescent="0.25"/>
    <row r="221086" customFormat="1" x14ac:dyDescent="0.25"/>
    <row r="221087" customFormat="1" x14ac:dyDescent="0.25"/>
    <row r="221088" customFormat="1" x14ac:dyDescent="0.25"/>
    <row r="221089" customFormat="1" x14ac:dyDescent="0.25"/>
    <row r="221090" customFormat="1" x14ac:dyDescent="0.25"/>
    <row r="221091" customFormat="1" x14ac:dyDescent="0.25"/>
    <row r="221092" customFormat="1" x14ac:dyDescent="0.25"/>
    <row r="221093" customFormat="1" x14ac:dyDescent="0.25"/>
    <row r="221094" customFormat="1" x14ac:dyDescent="0.25"/>
    <row r="221095" customFormat="1" x14ac:dyDescent="0.25"/>
    <row r="221096" customFormat="1" x14ac:dyDescent="0.25"/>
    <row r="221097" customFormat="1" x14ac:dyDescent="0.25"/>
    <row r="221098" customFormat="1" x14ac:dyDescent="0.25"/>
    <row r="221099" customFormat="1" x14ac:dyDescent="0.25"/>
    <row r="221100" customFormat="1" x14ac:dyDescent="0.25"/>
    <row r="221101" customFormat="1" x14ac:dyDescent="0.25"/>
    <row r="221102" customFormat="1" x14ac:dyDescent="0.25"/>
    <row r="221103" customFormat="1" x14ac:dyDescent="0.25"/>
    <row r="221104" customFormat="1" x14ac:dyDescent="0.25"/>
    <row r="221105" customFormat="1" x14ac:dyDescent="0.25"/>
    <row r="221106" customFormat="1" x14ac:dyDescent="0.25"/>
    <row r="221107" customFormat="1" x14ac:dyDescent="0.25"/>
    <row r="221108" customFormat="1" x14ac:dyDescent="0.25"/>
    <row r="221109" customFormat="1" x14ac:dyDescent="0.25"/>
    <row r="221110" customFormat="1" x14ac:dyDescent="0.25"/>
    <row r="221111" customFormat="1" x14ac:dyDescent="0.25"/>
    <row r="221112" customFormat="1" x14ac:dyDescent="0.25"/>
    <row r="221113" customFormat="1" x14ac:dyDescent="0.25"/>
    <row r="221114" customFormat="1" x14ac:dyDescent="0.25"/>
    <row r="221115" customFormat="1" x14ac:dyDescent="0.25"/>
    <row r="221116" customFormat="1" x14ac:dyDescent="0.25"/>
    <row r="221117" customFormat="1" x14ac:dyDescent="0.25"/>
    <row r="221118" customFormat="1" x14ac:dyDescent="0.25"/>
    <row r="221119" customFormat="1" x14ac:dyDescent="0.25"/>
    <row r="221120" customFormat="1" x14ac:dyDescent="0.25"/>
    <row r="221121" customFormat="1" x14ac:dyDescent="0.25"/>
    <row r="221122" customFormat="1" x14ac:dyDescent="0.25"/>
    <row r="221123" customFormat="1" x14ac:dyDescent="0.25"/>
    <row r="221124" customFormat="1" x14ac:dyDescent="0.25"/>
    <row r="221125" customFormat="1" x14ac:dyDescent="0.25"/>
    <row r="221126" customFormat="1" x14ac:dyDescent="0.25"/>
    <row r="221127" customFormat="1" x14ac:dyDescent="0.25"/>
    <row r="221128" customFormat="1" x14ac:dyDescent="0.25"/>
    <row r="221129" customFormat="1" x14ac:dyDescent="0.25"/>
    <row r="221130" customFormat="1" x14ac:dyDescent="0.25"/>
    <row r="221131" customFormat="1" x14ac:dyDescent="0.25"/>
    <row r="221132" customFormat="1" x14ac:dyDescent="0.25"/>
    <row r="221133" customFormat="1" x14ac:dyDescent="0.25"/>
    <row r="221134" customFormat="1" x14ac:dyDescent="0.25"/>
    <row r="221135" customFormat="1" x14ac:dyDescent="0.25"/>
    <row r="221136" customFormat="1" x14ac:dyDescent="0.25"/>
    <row r="221137" customFormat="1" x14ac:dyDescent="0.25"/>
    <row r="221138" customFormat="1" x14ac:dyDescent="0.25"/>
    <row r="221139" customFormat="1" x14ac:dyDescent="0.25"/>
    <row r="221140" customFormat="1" x14ac:dyDescent="0.25"/>
    <row r="221141" customFormat="1" x14ac:dyDescent="0.25"/>
    <row r="221142" customFormat="1" x14ac:dyDescent="0.25"/>
    <row r="221143" customFormat="1" x14ac:dyDescent="0.25"/>
    <row r="221144" customFormat="1" x14ac:dyDescent="0.25"/>
    <row r="221145" customFormat="1" x14ac:dyDescent="0.25"/>
    <row r="221146" customFormat="1" x14ac:dyDescent="0.25"/>
    <row r="221147" customFormat="1" x14ac:dyDescent="0.25"/>
    <row r="221148" customFormat="1" x14ac:dyDescent="0.25"/>
    <row r="221149" customFormat="1" x14ac:dyDescent="0.25"/>
    <row r="221150" customFormat="1" x14ac:dyDescent="0.25"/>
    <row r="221151" customFormat="1" x14ac:dyDescent="0.25"/>
    <row r="221152" customFormat="1" x14ac:dyDescent="0.25"/>
    <row r="221153" customFormat="1" x14ac:dyDescent="0.25"/>
    <row r="221154" customFormat="1" x14ac:dyDescent="0.25"/>
    <row r="221155" customFormat="1" x14ac:dyDescent="0.25"/>
    <row r="221156" customFormat="1" x14ac:dyDescent="0.25"/>
    <row r="221157" customFormat="1" x14ac:dyDescent="0.25"/>
    <row r="221158" customFormat="1" x14ac:dyDescent="0.25"/>
    <row r="221159" customFormat="1" x14ac:dyDescent="0.25"/>
    <row r="221160" customFormat="1" x14ac:dyDescent="0.25"/>
    <row r="221161" customFormat="1" x14ac:dyDescent="0.25"/>
    <row r="221162" customFormat="1" x14ac:dyDescent="0.25"/>
    <row r="221163" customFormat="1" x14ac:dyDescent="0.25"/>
    <row r="221164" customFormat="1" x14ac:dyDescent="0.25"/>
    <row r="221165" customFormat="1" x14ac:dyDescent="0.25"/>
    <row r="221166" customFormat="1" x14ac:dyDescent="0.25"/>
    <row r="221167" customFormat="1" x14ac:dyDescent="0.25"/>
    <row r="221168" customFormat="1" x14ac:dyDescent="0.25"/>
    <row r="221169" customFormat="1" x14ac:dyDescent="0.25"/>
    <row r="221170" customFormat="1" x14ac:dyDescent="0.25"/>
    <row r="221171" customFormat="1" x14ac:dyDescent="0.25"/>
    <row r="221172" customFormat="1" x14ac:dyDescent="0.25"/>
    <row r="221173" customFormat="1" x14ac:dyDescent="0.25"/>
    <row r="221174" customFormat="1" x14ac:dyDescent="0.25"/>
    <row r="221175" customFormat="1" x14ac:dyDescent="0.25"/>
    <row r="221176" customFormat="1" x14ac:dyDescent="0.25"/>
    <row r="221177" customFormat="1" x14ac:dyDescent="0.25"/>
    <row r="221178" customFormat="1" x14ac:dyDescent="0.25"/>
    <row r="221179" customFormat="1" x14ac:dyDescent="0.25"/>
    <row r="221180" customFormat="1" x14ac:dyDescent="0.25"/>
    <row r="221181" customFormat="1" x14ac:dyDescent="0.25"/>
    <row r="221182" customFormat="1" x14ac:dyDescent="0.25"/>
    <row r="221183" customFormat="1" x14ac:dyDescent="0.25"/>
    <row r="221184" customFormat="1" x14ac:dyDescent="0.25"/>
    <row r="221185" customFormat="1" x14ac:dyDescent="0.25"/>
    <row r="221186" customFormat="1" x14ac:dyDescent="0.25"/>
    <row r="221187" customFormat="1" x14ac:dyDescent="0.25"/>
    <row r="221188" customFormat="1" x14ac:dyDescent="0.25"/>
    <row r="221189" customFormat="1" x14ac:dyDescent="0.25"/>
    <row r="221190" customFormat="1" x14ac:dyDescent="0.25"/>
    <row r="221191" customFormat="1" x14ac:dyDescent="0.25"/>
    <row r="221192" customFormat="1" x14ac:dyDescent="0.25"/>
    <row r="221193" customFormat="1" x14ac:dyDescent="0.25"/>
    <row r="221194" customFormat="1" x14ac:dyDescent="0.25"/>
    <row r="221195" customFormat="1" x14ac:dyDescent="0.25"/>
    <row r="221196" customFormat="1" x14ac:dyDescent="0.25"/>
    <row r="221197" customFormat="1" x14ac:dyDescent="0.25"/>
    <row r="221198" customFormat="1" x14ac:dyDescent="0.25"/>
    <row r="221199" customFormat="1" x14ac:dyDescent="0.25"/>
    <row r="221200" customFormat="1" x14ac:dyDescent="0.25"/>
    <row r="221201" customFormat="1" x14ac:dyDescent="0.25"/>
    <row r="221202" customFormat="1" x14ac:dyDescent="0.25"/>
    <row r="221203" customFormat="1" x14ac:dyDescent="0.25"/>
    <row r="221204" customFormat="1" x14ac:dyDescent="0.25"/>
    <row r="221205" customFormat="1" x14ac:dyDescent="0.25"/>
    <row r="221206" customFormat="1" x14ac:dyDescent="0.25"/>
    <row r="221207" customFormat="1" x14ac:dyDescent="0.25"/>
    <row r="221208" customFormat="1" x14ac:dyDescent="0.25"/>
    <row r="221209" customFormat="1" x14ac:dyDescent="0.25"/>
    <row r="221210" customFormat="1" x14ac:dyDescent="0.25"/>
    <row r="221211" customFormat="1" x14ac:dyDescent="0.25"/>
    <row r="221212" customFormat="1" x14ac:dyDescent="0.25"/>
    <row r="221213" customFormat="1" x14ac:dyDescent="0.25"/>
    <row r="221214" customFormat="1" x14ac:dyDescent="0.25"/>
    <row r="221215" customFormat="1" x14ac:dyDescent="0.25"/>
    <row r="221216" customFormat="1" x14ac:dyDescent="0.25"/>
    <row r="221217" customFormat="1" x14ac:dyDescent="0.25"/>
    <row r="221218" customFormat="1" x14ac:dyDescent="0.25"/>
    <row r="221219" customFormat="1" x14ac:dyDescent="0.25"/>
    <row r="221220" customFormat="1" x14ac:dyDescent="0.25"/>
    <row r="221221" customFormat="1" x14ac:dyDescent="0.25"/>
    <row r="221222" customFormat="1" x14ac:dyDescent="0.25"/>
    <row r="221223" customFormat="1" x14ac:dyDescent="0.25"/>
    <row r="221224" customFormat="1" x14ac:dyDescent="0.25"/>
    <row r="221225" customFormat="1" x14ac:dyDescent="0.25"/>
    <row r="221226" customFormat="1" x14ac:dyDescent="0.25"/>
    <row r="221227" customFormat="1" x14ac:dyDescent="0.25"/>
    <row r="221228" customFormat="1" x14ac:dyDescent="0.25"/>
    <row r="221229" customFormat="1" x14ac:dyDescent="0.25"/>
    <row r="221230" customFormat="1" x14ac:dyDescent="0.25"/>
    <row r="221231" customFormat="1" x14ac:dyDescent="0.25"/>
    <row r="221232" customFormat="1" x14ac:dyDescent="0.25"/>
    <row r="221233" customFormat="1" x14ac:dyDescent="0.25"/>
    <row r="221234" customFormat="1" x14ac:dyDescent="0.25"/>
    <row r="221235" customFormat="1" x14ac:dyDescent="0.25"/>
    <row r="221236" customFormat="1" x14ac:dyDescent="0.25"/>
    <row r="221237" customFormat="1" x14ac:dyDescent="0.25"/>
    <row r="221238" customFormat="1" x14ac:dyDescent="0.25"/>
    <row r="221239" customFormat="1" x14ac:dyDescent="0.25"/>
    <row r="221240" customFormat="1" x14ac:dyDescent="0.25"/>
    <row r="221241" customFormat="1" x14ac:dyDescent="0.25"/>
    <row r="221242" customFormat="1" x14ac:dyDescent="0.25"/>
    <row r="221243" customFormat="1" x14ac:dyDescent="0.25"/>
    <row r="221244" customFormat="1" x14ac:dyDescent="0.25"/>
    <row r="221245" customFormat="1" x14ac:dyDescent="0.25"/>
    <row r="221246" customFormat="1" x14ac:dyDescent="0.25"/>
    <row r="221247" customFormat="1" x14ac:dyDescent="0.25"/>
    <row r="221248" customFormat="1" x14ac:dyDescent="0.25"/>
    <row r="221249" customFormat="1" x14ac:dyDescent="0.25"/>
    <row r="221250" customFormat="1" x14ac:dyDescent="0.25"/>
    <row r="221251" customFormat="1" x14ac:dyDescent="0.25"/>
    <row r="221252" customFormat="1" x14ac:dyDescent="0.25"/>
    <row r="221253" customFormat="1" x14ac:dyDescent="0.25"/>
    <row r="221254" customFormat="1" x14ac:dyDescent="0.25"/>
    <row r="221255" customFormat="1" x14ac:dyDescent="0.25"/>
    <row r="221256" customFormat="1" x14ac:dyDescent="0.25"/>
    <row r="221257" customFormat="1" x14ac:dyDescent="0.25"/>
    <row r="221258" customFormat="1" x14ac:dyDescent="0.25"/>
    <row r="221259" customFormat="1" x14ac:dyDescent="0.25"/>
    <row r="221260" customFormat="1" x14ac:dyDescent="0.25"/>
    <row r="221261" customFormat="1" x14ac:dyDescent="0.25"/>
    <row r="221262" customFormat="1" x14ac:dyDescent="0.25"/>
    <row r="221263" customFormat="1" x14ac:dyDescent="0.25"/>
    <row r="221264" customFormat="1" x14ac:dyDescent="0.25"/>
    <row r="221265" customFormat="1" x14ac:dyDescent="0.25"/>
    <row r="221266" customFormat="1" x14ac:dyDescent="0.25"/>
    <row r="221267" customFormat="1" x14ac:dyDescent="0.25"/>
    <row r="221268" customFormat="1" x14ac:dyDescent="0.25"/>
    <row r="221269" customFormat="1" x14ac:dyDescent="0.25"/>
    <row r="221270" customFormat="1" x14ac:dyDescent="0.25"/>
    <row r="221271" customFormat="1" x14ac:dyDescent="0.25"/>
    <row r="221272" customFormat="1" x14ac:dyDescent="0.25"/>
    <row r="221273" customFormat="1" x14ac:dyDescent="0.25"/>
    <row r="221274" customFormat="1" x14ac:dyDescent="0.25"/>
    <row r="221275" customFormat="1" x14ac:dyDescent="0.25"/>
    <row r="221276" customFormat="1" x14ac:dyDescent="0.25"/>
    <row r="221277" customFormat="1" x14ac:dyDescent="0.25"/>
    <row r="221278" customFormat="1" x14ac:dyDescent="0.25"/>
    <row r="221279" customFormat="1" x14ac:dyDescent="0.25"/>
    <row r="221280" customFormat="1" x14ac:dyDescent="0.25"/>
    <row r="221281" customFormat="1" x14ac:dyDescent="0.25"/>
    <row r="221282" customFormat="1" x14ac:dyDescent="0.25"/>
    <row r="221283" customFormat="1" x14ac:dyDescent="0.25"/>
    <row r="221284" customFormat="1" x14ac:dyDescent="0.25"/>
    <row r="221285" customFormat="1" x14ac:dyDescent="0.25"/>
    <row r="221286" customFormat="1" x14ac:dyDescent="0.25"/>
    <row r="221287" customFormat="1" x14ac:dyDescent="0.25"/>
    <row r="221288" customFormat="1" x14ac:dyDescent="0.25"/>
    <row r="221289" customFormat="1" x14ac:dyDescent="0.25"/>
    <row r="221290" customFormat="1" x14ac:dyDescent="0.25"/>
    <row r="221291" customFormat="1" x14ac:dyDescent="0.25"/>
    <row r="221292" customFormat="1" x14ac:dyDescent="0.25"/>
    <row r="221293" customFormat="1" x14ac:dyDescent="0.25"/>
    <row r="221294" customFormat="1" x14ac:dyDescent="0.25"/>
    <row r="221295" customFormat="1" x14ac:dyDescent="0.25"/>
    <row r="221296" customFormat="1" x14ac:dyDescent="0.25"/>
    <row r="221297" customFormat="1" x14ac:dyDescent="0.25"/>
    <row r="221298" customFormat="1" x14ac:dyDescent="0.25"/>
    <row r="221299" customFormat="1" x14ac:dyDescent="0.25"/>
    <row r="221300" customFormat="1" x14ac:dyDescent="0.25"/>
    <row r="221301" customFormat="1" x14ac:dyDescent="0.25"/>
    <row r="221302" customFormat="1" x14ac:dyDescent="0.25"/>
    <row r="221303" customFormat="1" x14ac:dyDescent="0.25"/>
    <row r="221304" customFormat="1" x14ac:dyDescent="0.25"/>
    <row r="221305" customFormat="1" x14ac:dyDescent="0.25"/>
    <row r="221306" customFormat="1" x14ac:dyDescent="0.25"/>
    <row r="221307" customFormat="1" x14ac:dyDescent="0.25"/>
    <row r="221308" customFormat="1" x14ac:dyDescent="0.25"/>
    <row r="221309" customFormat="1" x14ac:dyDescent="0.25"/>
    <row r="221310" customFormat="1" x14ac:dyDescent="0.25"/>
    <row r="221311" customFormat="1" x14ac:dyDescent="0.25"/>
    <row r="221312" customFormat="1" x14ac:dyDescent="0.25"/>
    <row r="221313" customFormat="1" x14ac:dyDescent="0.25"/>
    <row r="221314" customFormat="1" x14ac:dyDescent="0.25"/>
    <row r="221315" customFormat="1" x14ac:dyDescent="0.25"/>
    <row r="221316" customFormat="1" x14ac:dyDescent="0.25"/>
    <row r="221317" customFormat="1" x14ac:dyDescent="0.25"/>
    <row r="221318" customFormat="1" x14ac:dyDescent="0.25"/>
    <row r="221319" customFormat="1" x14ac:dyDescent="0.25"/>
    <row r="221320" customFormat="1" x14ac:dyDescent="0.25"/>
    <row r="221321" customFormat="1" x14ac:dyDescent="0.25"/>
    <row r="221322" customFormat="1" x14ac:dyDescent="0.25"/>
    <row r="221323" customFormat="1" x14ac:dyDescent="0.25"/>
    <row r="221324" customFormat="1" x14ac:dyDescent="0.25"/>
    <row r="221325" customFormat="1" x14ac:dyDescent="0.25"/>
    <row r="221326" customFormat="1" x14ac:dyDescent="0.25"/>
    <row r="221327" customFormat="1" x14ac:dyDescent="0.25"/>
    <row r="221328" customFormat="1" x14ac:dyDescent="0.25"/>
    <row r="221329" customFormat="1" x14ac:dyDescent="0.25"/>
    <row r="221330" customFormat="1" x14ac:dyDescent="0.25"/>
    <row r="221331" customFormat="1" x14ac:dyDescent="0.25"/>
    <row r="221332" customFormat="1" x14ac:dyDescent="0.25"/>
    <row r="221333" customFormat="1" x14ac:dyDescent="0.25"/>
    <row r="221334" customFormat="1" x14ac:dyDescent="0.25"/>
    <row r="221335" customFormat="1" x14ac:dyDescent="0.25"/>
    <row r="221336" customFormat="1" x14ac:dyDescent="0.25"/>
    <row r="221337" customFormat="1" x14ac:dyDescent="0.25"/>
    <row r="221338" customFormat="1" x14ac:dyDescent="0.25"/>
    <row r="221339" customFormat="1" x14ac:dyDescent="0.25"/>
    <row r="221340" customFormat="1" x14ac:dyDescent="0.25"/>
    <row r="221341" customFormat="1" x14ac:dyDescent="0.25"/>
    <row r="221342" customFormat="1" x14ac:dyDescent="0.25"/>
    <row r="221343" customFormat="1" x14ac:dyDescent="0.25"/>
    <row r="221344" customFormat="1" x14ac:dyDescent="0.25"/>
    <row r="221345" customFormat="1" x14ac:dyDescent="0.25"/>
    <row r="221346" customFormat="1" x14ac:dyDescent="0.25"/>
    <row r="221347" customFormat="1" x14ac:dyDescent="0.25"/>
    <row r="221348" customFormat="1" x14ac:dyDescent="0.25"/>
    <row r="221349" customFormat="1" x14ac:dyDescent="0.25"/>
    <row r="221350" customFormat="1" x14ac:dyDescent="0.25"/>
    <row r="221351" customFormat="1" x14ac:dyDescent="0.25"/>
    <row r="221352" customFormat="1" x14ac:dyDescent="0.25"/>
    <row r="221353" customFormat="1" x14ac:dyDescent="0.25"/>
    <row r="221354" customFormat="1" x14ac:dyDescent="0.25"/>
    <row r="221355" customFormat="1" x14ac:dyDescent="0.25"/>
    <row r="221356" customFormat="1" x14ac:dyDescent="0.25"/>
    <row r="221357" customFormat="1" x14ac:dyDescent="0.25"/>
    <row r="221358" customFormat="1" x14ac:dyDescent="0.25"/>
    <row r="221359" customFormat="1" x14ac:dyDescent="0.25"/>
    <row r="221360" customFormat="1" x14ac:dyDescent="0.25"/>
    <row r="221361" customFormat="1" x14ac:dyDescent="0.25"/>
    <row r="221362" customFormat="1" x14ac:dyDescent="0.25"/>
    <row r="221363" customFormat="1" x14ac:dyDescent="0.25"/>
    <row r="221364" customFormat="1" x14ac:dyDescent="0.25"/>
    <row r="221365" customFormat="1" x14ac:dyDescent="0.25"/>
    <row r="221366" customFormat="1" x14ac:dyDescent="0.25"/>
    <row r="221367" customFormat="1" x14ac:dyDescent="0.25"/>
    <row r="221368" customFormat="1" x14ac:dyDescent="0.25"/>
    <row r="221369" customFormat="1" x14ac:dyDescent="0.25"/>
    <row r="221370" customFormat="1" x14ac:dyDescent="0.25"/>
    <row r="221371" customFormat="1" x14ac:dyDescent="0.25"/>
    <row r="221372" customFormat="1" x14ac:dyDescent="0.25"/>
    <row r="221373" customFormat="1" x14ac:dyDescent="0.25"/>
    <row r="221374" customFormat="1" x14ac:dyDescent="0.25"/>
    <row r="221375" customFormat="1" x14ac:dyDescent="0.25"/>
    <row r="221376" customFormat="1" x14ac:dyDescent="0.25"/>
    <row r="221377" customFormat="1" x14ac:dyDescent="0.25"/>
    <row r="221378" customFormat="1" x14ac:dyDescent="0.25"/>
    <row r="221379" customFormat="1" x14ac:dyDescent="0.25"/>
    <row r="221380" customFormat="1" x14ac:dyDescent="0.25"/>
    <row r="221381" customFormat="1" x14ac:dyDescent="0.25"/>
    <row r="221382" customFormat="1" x14ac:dyDescent="0.25"/>
    <row r="221383" customFormat="1" x14ac:dyDescent="0.25"/>
    <row r="221384" customFormat="1" x14ac:dyDescent="0.25"/>
    <row r="221385" customFormat="1" x14ac:dyDescent="0.25"/>
    <row r="221386" customFormat="1" x14ac:dyDescent="0.25"/>
    <row r="221387" customFormat="1" x14ac:dyDescent="0.25"/>
    <row r="221388" customFormat="1" x14ac:dyDescent="0.25"/>
    <row r="221389" customFormat="1" x14ac:dyDescent="0.25"/>
    <row r="221390" customFormat="1" x14ac:dyDescent="0.25"/>
    <row r="221391" customFormat="1" x14ac:dyDescent="0.25"/>
    <row r="221392" customFormat="1" x14ac:dyDescent="0.25"/>
    <row r="221393" customFormat="1" x14ac:dyDescent="0.25"/>
    <row r="221394" customFormat="1" x14ac:dyDescent="0.25"/>
    <row r="221395" customFormat="1" x14ac:dyDescent="0.25"/>
    <row r="221396" customFormat="1" x14ac:dyDescent="0.25"/>
    <row r="221397" customFormat="1" x14ac:dyDescent="0.25"/>
    <row r="221398" customFormat="1" x14ac:dyDescent="0.25"/>
    <row r="221399" customFormat="1" x14ac:dyDescent="0.25"/>
    <row r="221400" customFormat="1" x14ac:dyDescent="0.25"/>
    <row r="221401" customFormat="1" x14ac:dyDescent="0.25"/>
    <row r="221402" customFormat="1" x14ac:dyDescent="0.25"/>
    <row r="221403" customFormat="1" x14ac:dyDescent="0.25"/>
    <row r="221404" customFormat="1" x14ac:dyDescent="0.25"/>
    <row r="221405" customFormat="1" x14ac:dyDescent="0.25"/>
    <row r="221406" customFormat="1" x14ac:dyDescent="0.25"/>
    <row r="221407" customFormat="1" x14ac:dyDescent="0.25"/>
    <row r="221408" customFormat="1" x14ac:dyDescent="0.25"/>
    <row r="221409" customFormat="1" x14ac:dyDescent="0.25"/>
    <row r="221410" customFormat="1" x14ac:dyDescent="0.25"/>
    <row r="221411" customFormat="1" x14ac:dyDescent="0.25"/>
    <row r="221412" customFormat="1" x14ac:dyDescent="0.25"/>
    <row r="221413" customFormat="1" x14ac:dyDescent="0.25"/>
    <row r="221414" customFormat="1" x14ac:dyDescent="0.25"/>
    <row r="221415" customFormat="1" x14ac:dyDescent="0.25"/>
    <row r="221416" customFormat="1" x14ac:dyDescent="0.25"/>
    <row r="221417" customFormat="1" x14ac:dyDescent="0.25"/>
    <row r="221418" customFormat="1" x14ac:dyDescent="0.25"/>
    <row r="221419" customFormat="1" x14ac:dyDescent="0.25"/>
    <row r="221420" customFormat="1" x14ac:dyDescent="0.25"/>
    <row r="221421" customFormat="1" x14ac:dyDescent="0.25"/>
    <row r="221422" customFormat="1" x14ac:dyDescent="0.25"/>
    <row r="221423" customFormat="1" x14ac:dyDescent="0.25"/>
    <row r="221424" customFormat="1" x14ac:dyDescent="0.25"/>
    <row r="221425" customFormat="1" x14ac:dyDescent="0.25"/>
    <row r="221426" customFormat="1" x14ac:dyDescent="0.25"/>
    <row r="221427" customFormat="1" x14ac:dyDescent="0.25"/>
    <row r="221428" customFormat="1" x14ac:dyDescent="0.25"/>
    <row r="221429" customFormat="1" x14ac:dyDescent="0.25"/>
    <row r="221430" customFormat="1" x14ac:dyDescent="0.25"/>
    <row r="221431" customFormat="1" x14ac:dyDescent="0.25"/>
    <row r="221432" customFormat="1" x14ac:dyDescent="0.25"/>
    <row r="221433" customFormat="1" x14ac:dyDescent="0.25"/>
    <row r="221434" customFormat="1" x14ac:dyDescent="0.25"/>
    <row r="221435" customFormat="1" x14ac:dyDescent="0.25"/>
    <row r="221436" customFormat="1" x14ac:dyDescent="0.25"/>
    <row r="221437" customFormat="1" x14ac:dyDescent="0.25"/>
    <row r="221438" customFormat="1" x14ac:dyDescent="0.25"/>
    <row r="221439" customFormat="1" x14ac:dyDescent="0.25"/>
    <row r="221440" customFormat="1" x14ac:dyDescent="0.25"/>
    <row r="221441" customFormat="1" x14ac:dyDescent="0.25"/>
    <row r="221442" customFormat="1" x14ac:dyDescent="0.25"/>
    <row r="221443" customFormat="1" x14ac:dyDescent="0.25"/>
    <row r="221444" customFormat="1" x14ac:dyDescent="0.25"/>
    <row r="221445" customFormat="1" x14ac:dyDescent="0.25"/>
    <row r="221446" customFormat="1" x14ac:dyDescent="0.25"/>
    <row r="221447" customFormat="1" x14ac:dyDescent="0.25"/>
    <row r="221448" customFormat="1" x14ac:dyDescent="0.25"/>
    <row r="221449" customFormat="1" x14ac:dyDescent="0.25"/>
    <row r="221450" customFormat="1" x14ac:dyDescent="0.25"/>
    <row r="221451" customFormat="1" x14ac:dyDescent="0.25"/>
    <row r="221452" customFormat="1" x14ac:dyDescent="0.25"/>
    <row r="221453" customFormat="1" x14ac:dyDescent="0.25"/>
    <row r="221454" customFormat="1" x14ac:dyDescent="0.25"/>
    <row r="221455" customFormat="1" x14ac:dyDescent="0.25"/>
    <row r="221456" customFormat="1" x14ac:dyDescent="0.25"/>
    <row r="221457" customFormat="1" x14ac:dyDescent="0.25"/>
    <row r="221458" customFormat="1" x14ac:dyDescent="0.25"/>
    <row r="221459" customFormat="1" x14ac:dyDescent="0.25"/>
    <row r="221460" customFormat="1" x14ac:dyDescent="0.25"/>
    <row r="221461" customFormat="1" x14ac:dyDescent="0.25"/>
    <row r="221462" customFormat="1" x14ac:dyDescent="0.25"/>
    <row r="221463" customFormat="1" x14ac:dyDescent="0.25"/>
    <row r="221464" customFormat="1" x14ac:dyDescent="0.25"/>
    <row r="221465" customFormat="1" x14ac:dyDescent="0.25"/>
    <row r="221466" customFormat="1" x14ac:dyDescent="0.25"/>
    <row r="221467" customFormat="1" x14ac:dyDescent="0.25"/>
    <row r="221468" customFormat="1" x14ac:dyDescent="0.25"/>
    <row r="221469" customFormat="1" x14ac:dyDescent="0.25"/>
    <row r="221470" customFormat="1" x14ac:dyDescent="0.25"/>
    <row r="221471" customFormat="1" x14ac:dyDescent="0.25"/>
    <row r="221472" customFormat="1" x14ac:dyDescent="0.25"/>
    <row r="221473" customFormat="1" x14ac:dyDescent="0.25"/>
    <row r="221474" customFormat="1" x14ac:dyDescent="0.25"/>
    <row r="221475" customFormat="1" x14ac:dyDescent="0.25"/>
    <row r="221476" customFormat="1" x14ac:dyDescent="0.25"/>
    <row r="221477" customFormat="1" x14ac:dyDescent="0.25"/>
    <row r="221478" customFormat="1" x14ac:dyDescent="0.25"/>
    <row r="221479" customFormat="1" x14ac:dyDescent="0.25"/>
    <row r="221480" customFormat="1" x14ac:dyDescent="0.25"/>
    <row r="221481" customFormat="1" x14ac:dyDescent="0.25"/>
    <row r="221482" customFormat="1" x14ac:dyDescent="0.25"/>
    <row r="221483" customFormat="1" x14ac:dyDescent="0.25"/>
    <row r="221484" customFormat="1" x14ac:dyDescent="0.25"/>
    <row r="221485" customFormat="1" x14ac:dyDescent="0.25"/>
    <row r="221486" customFormat="1" x14ac:dyDescent="0.25"/>
    <row r="221487" customFormat="1" x14ac:dyDescent="0.25"/>
    <row r="221488" customFormat="1" x14ac:dyDescent="0.25"/>
    <row r="221489" customFormat="1" x14ac:dyDescent="0.25"/>
    <row r="221490" customFormat="1" x14ac:dyDescent="0.25"/>
    <row r="221491" customFormat="1" x14ac:dyDescent="0.25"/>
    <row r="221492" customFormat="1" x14ac:dyDescent="0.25"/>
    <row r="221493" customFormat="1" x14ac:dyDescent="0.25"/>
    <row r="221494" customFormat="1" x14ac:dyDescent="0.25"/>
    <row r="221495" customFormat="1" x14ac:dyDescent="0.25"/>
    <row r="221496" customFormat="1" x14ac:dyDescent="0.25"/>
    <row r="221497" customFormat="1" x14ac:dyDescent="0.25"/>
    <row r="221498" customFormat="1" x14ac:dyDescent="0.25"/>
    <row r="221499" customFormat="1" x14ac:dyDescent="0.25"/>
    <row r="221500" customFormat="1" x14ac:dyDescent="0.25"/>
    <row r="221501" customFormat="1" x14ac:dyDescent="0.25"/>
    <row r="221502" customFormat="1" x14ac:dyDescent="0.25"/>
    <row r="221503" customFormat="1" x14ac:dyDescent="0.25"/>
    <row r="221504" customFormat="1" x14ac:dyDescent="0.25"/>
    <row r="221505" customFormat="1" x14ac:dyDescent="0.25"/>
    <row r="221506" customFormat="1" x14ac:dyDescent="0.25"/>
    <row r="221507" customFormat="1" x14ac:dyDescent="0.25"/>
    <row r="221508" customFormat="1" x14ac:dyDescent="0.25"/>
    <row r="221509" customFormat="1" x14ac:dyDescent="0.25"/>
    <row r="221510" customFormat="1" x14ac:dyDescent="0.25"/>
    <row r="221511" customFormat="1" x14ac:dyDescent="0.25"/>
    <row r="221512" customFormat="1" x14ac:dyDescent="0.25"/>
    <row r="221513" customFormat="1" x14ac:dyDescent="0.25"/>
    <row r="221514" customFormat="1" x14ac:dyDescent="0.25"/>
    <row r="221515" customFormat="1" x14ac:dyDescent="0.25"/>
    <row r="221516" customFormat="1" x14ac:dyDescent="0.25"/>
    <row r="221517" customFormat="1" x14ac:dyDescent="0.25"/>
    <row r="221518" customFormat="1" x14ac:dyDescent="0.25"/>
    <row r="221519" customFormat="1" x14ac:dyDescent="0.25"/>
    <row r="221520" customFormat="1" x14ac:dyDescent="0.25"/>
    <row r="221521" customFormat="1" x14ac:dyDescent="0.25"/>
    <row r="221522" customFormat="1" x14ac:dyDescent="0.25"/>
    <row r="221523" customFormat="1" x14ac:dyDescent="0.25"/>
    <row r="221524" customFormat="1" x14ac:dyDescent="0.25"/>
    <row r="221525" customFormat="1" x14ac:dyDescent="0.25"/>
    <row r="221526" customFormat="1" x14ac:dyDescent="0.25"/>
    <row r="221527" customFormat="1" x14ac:dyDescent="0.25"/>
    <row r="221528" customFormat="1" x14ac:dyDescent="0.25"/>
    <row r="221529" customFormat="1" x14ac:dyDescent="0.25"/>
    <row r="221530" customFormat="1" x14ac:dyDescent="0.25"/>
    <row r="221531" customFormat="1" x14ac:dyDescent="0.25"/>
    <row r="221532" customFormat="1" x14ac:dyDescent="0.25"/>
    <row r="221533" customFormat="1" x14ac:dyDescent="0.25"/>
    <row r="221534" customFormat="1" x14ac:dyDescent="0.25"/>
    <row r="221535" customFormat="1" x14ac:dyDescent="0.25"/>
    <row r="221536" customFormat="1" x14ac:dyDescent="0.25"/>
    <row r="221537" customFormat="1" x14ac:dyDescent="0.25"/>
    <row r="221538" customFormat="1" x14ac:dyDescent="0.25"/>
    <row r="221539" customFormat="1" x14ac:dyDescent="0.25"/>
    <row r="221540" customFormat="1" x14ac:dyDescent="0.25"/>
    <row r="221541" customFormat="1" x14ac:dyDescent="0.25"/>
    <row r="221542" customFormat="1" x14ac:dyDescent="0.25"/>
    <row r="221543" customFormat="1" x14ac:dyDescent="0.25"/>
    <row r="221544" customFormat="1" x14ac:dyDescent="0.25"/>
    <row r="221545" customFormat="1" x14ac:dyDescent="0.25"/>
    <row r="221546" customFormat="1" x14ac:dyDescent="0.25"/>
    <row r="221547" customFormat="1" x14ac:dyDescent="0.25"/>
    <row r="221548" customFormat="1" x14ac:dyDescent="0.25"/>
    <row r="221549" customFormat="1" x14ac:dyDescent="0.25"/>
    <row r="221550" customFormat="1" x14ac:dyDescent="0.25"/>
    <row r="221551" customFormat="1" x14ac:dyDescent="0.25"/>
    <row r="221552" customFormat="1" x14ac:dyDescent="0.25"/>
    <row r="221553" customFormat="1" x14ac:dyDescent="0.25"/>
    <row r="221554" customFormat="1" x14ac:dyDescent="0.25"/>
    <row r="221555" customFormat="1" x14ac:dyDescent="0.25"/>
    <row r="221556" customFormat="1" x14ac:dyDescent="0.25"/>
    <row r="221557" customFormat="1" x14ac:dyDescent="0.25"/>
    <row r="221558" customFormat="1" x14ac:dyDescent="0.25"/>
    <row r="221559" customFormat="1" x14ac:dyDescent="0.25"/>
    <row r="221560" customFormat="1" x14ac:dyDescent="0.25"/>
    <row r="221561" customFormat="1" x14ac:dyDescent="0.25"/>
    <row r="221562" customFormat="1" x14ac:dyDescent="0.25"/>
    <row r="221563" customFormat="1" x14ac:dyDescent="0.25"/>
    <row r="221564" customFormat="1" x14ac:dyDescent="0.25"/>
    <row r="221565" customFormat="1" x14ac:dyDescent="0.25"/>
    <row r="221566" customFormat="1" x14ac:dyDescent="0.25"/>
    <row r="221567" customFormat="1" x14ac:dyDescent="0.25"/>
    <row r="221568" customFormat="1" x14ac:dyDescent="0.25"/>
    <row r="221569" customFormat="1" x14ac:dyDescent="0.25"/>
    <row r="221570" customFormat="1" x14ac:dyDescent="0.25"/>
    <row r="221571" customFormat="1" x14ac:dyDescent="0.25"/>
    <row r="221572" customFormat="1" x14ac:dyDescent="0.25"/>
    <row r="221573" customFormat="1" x14ac:dyDescent="0.25"/>
    <row r="221574" customFormat="1" x14ac:dyDescent="0.25"/>
    <row r="221575" customFormat="1" x14ac:dyDescent="0.25"/>
    <row r="221576" customFormat="1" x14ac:dyDescent="0.25"/>
    <row r="221577" customFormat="1" x14ac:dyDescent="0.25"/>
    <row r="221578" customFormat="1" x14ac:dyDescent="0.25"/>
    <row r="221579" customFormat="1" x14ac:dyDescent="0.25"/>
    <row r="221580" customFormat="1" x14ac:dyDescent="0.25"/>
    <row r="221581" customFormat="1" x14ac:dyDescent="0.25"/>
    <row r="221582" customFormat="1" x14ac:dyDescent="0.25"/>
    <row r="221583" customFormat="1" x14ac:dyDescent="0.25"/>
    <row r="221584" customFormat="1" x14ac:dyDescent="0.25"/>
    <row r="221585" customFormat="1" x14ac:dyDescent="0.25"/>
    <row r="221586" customFormat="1" x14ac:dyDescent="0.25"/>
    <row r="221587" customFormat="1" x14ac:dyDescent="0.25"/>
    <row r="221588" customFormat="1" x14ac:dyDescent="0.25"/>
    <row r="221589" customFormat="1" x14ac:dyDescent="0.25"/>
    <row r="221590" customFormat="1" x14ac:dyDescent="0.25"/>
    <row r="221591" customFormat="1" x14ac:dyDescent="0.25"/>
    <row r="221592" customFormat="1" x14ac:dyDescent="0.25"/>
    <row r="221593" customFormat="1" x14ac:dyDescent="0.25"/>
    <row r="221594" customFormat="1" x14ac:dyDescent="0.25"/>
    <row r="221595" customFormat="1" x14ac:dyDescent="0.25"/>
    <row r="221596" customFormat="1" x14ac:dyDescent="0.25"/>
    <row r="221597" customFormat="1" x14ac:dyDescent="0.25"/>
    <row r="221598" customFormat="1" x14ac:dyDescent="0.25"/>
    <row r="221599" customFormat="1" x14ac:dyDescent="0.25"/>
    <row r="221600" customFormat="1" x14ac:dyDescent="0.25"/>
    <row r="221601" customFormat="1" x14ac:dyDescent="0.25"/>
    <row r="221602" customFormat="1" x14ac:dyDescent="0.25"/>
    <row r="221603" customFormat="1" x14ac:dyDescent="0.25"/>
    <row r="221604" customFormat="1" x14ac:dyDescent="0.25"/>
    <row r="221605" customFormat="1" x14ac:dyDescent="0.25"/>
    <row r="221606" customFormat="1" x14ac:dyDescent="0.25"/>
    <row r="221607" customFormat="1" x14ac:dyDescent="0.25"/>
    <row r="221608" customFormat="1" x14ac:dyDescent="0.25"/>
    <row r="221609" customFormat="1" x14ac:dyDescent="0.25"/>
    <row r="221610" customFormat="1" x14ac:dyDescent="0.25"/>
    <row r="221611" customFormat="1" x14ac:dyDescent="0.25"/>
    <row r="221612" customFormat="1" x14ac:dyDescent="0.25"/>
    <row r="221613" customFormat="1" x14ac:dyDescent="0.25"/>
    <row r="221614" customFormat="1" x14ac:dyDescent="0.25"/>
    <row r="221615" customFormat="1" x14ac:dyDescent="0.25"/>
    <row r="221616" customFormat="1" x14ac:dyDescent="0.25"/>
    <row r="221617" customFormat="1" x14ac:dyDescent="0.25"/>
    <row r="221618" customFormat="1" x14ac:dyDescent="0.25"/>
    <row r="221619" customFormat="1" x14ac:dyDescent="0.25"/>
    <row r="221620" customFormat="1" x14ac:dyDescent="0.25"/>
    <row r="221621" customFormat="1" x14ac:dyDescent="0.25"/>
    <row r="221622" customFormat="1" x14ac:dyDescent="0.25"/>
    <row r="221623" customFormat="1" x14ac:dyDescent="0.25"/>
    <row r="221624" customFormat="1" x14ac:dyDescent="0.25"/>
    <row r="221625" customFormat="1" x14ac:dyDescent="0.25"/>
    <row r="221626" customFormat="1" x14ac:dyDescent="0.25"/>
    <row r="221627" customFormat="1" x14ac:dyDescent="0.25"/>
    <row r="221628" customFormat="1" x14ac:dyDescent="0.25"/>
    <row r="221629" customFormat="1" x14ac:dyDescent="0.25"/>
    <row r="221630" customFormat="1" x14ac:dyDescent="0.25"/>
    <row r="221631" customFormat="1" x14ac:dyDescent="0.25"/>
    <row r="221632" customFormat="1" x14ac:dyDescent="0.25"/>
    <row r="221633" customFormat="1" x14ac:dyDescent="0.25"/>
    <row r="221634" customFormat="1" x14ac:dyDescent="0.25"/>
    <row r="221635" customFormat="1" x14ac:dyDescent="0.25"/>
    <row r="221636" customFormat="1" x14ac:dyDescent="0.25"/>
    <row r="221637" customFormat="1" x14ac:dyDescent="0.25"/>
    <row r="221638" customFormat="1" x14ac:dyDescent="0.25"/>
    <row r="221639" customFormat="1" x14ac:dyDescent="0.25"/>
    <row r="221640" customFormat="1" x14ac:dyDescent="0.25"/>
    <row r="221641" customFormat="1" x14ac:dyDescent="0.25"/>
    <row r="221642" customFormat="1" x14ac:dyDescent="0.25"/>
    <row r="221643" customFormat="1" x14ac:dyDescent="0.25"/>
    <row r="221644" customFormat="1" x14ac:dyDescent="0.25"/>
    <row r="221645" customFormat="1" x14ac:dyDescent="0.25"/>
    <row r="221646" customFormat="1" x14ac:dyDescent="0.25"/>
    <row r="221647" customFormat="1" x14ac:dyDescent="0.25"/>
    <row r="221648" customFormat="1" x14ac:dyDescent="0.25"/>
    <row r="221649" customFormat="1" x14ac:dyDescent="0.25"/>
    <row r="221650" customFormat="1" x14ac:dyDescent="0.25"/>
    <row r="221651" customFormat="1" x14ac:dyDescent="0.25"/>
    <row r="221652" customFormat="1" x14ac:dyDescent="0.25"/>
    <row r="221653" customFormat="1" x14ac:dyDescent="0.25"/>
    <row r="221654" customFormat="1" x14ac:dyDescent="0.25"/>
    <row r="221655" customFormat="1" x14ac:dyDescent="0.25"/>
    <row r="221656" customFormat="1" x14ac:dyDescent="0.25"/>
    <row r="221657" customFormat="1" x14ac:dyDescent="0.25"/>
    <row r="221658" customFormat="1" x14ac:dyDescent="0.25"/>
    <row r="221659" customFormat="1" x14ac:dyDescent="0.25"/>
    <row r="221660" customFormat="1" x14ac:dyDescent="0.25"/>
    <row r="221661" customFormat="1" x14ac:dyDescent="0.25"/>
    <row r="221662" customFormat="1" x14ac:dyDescent="0.25"/>
    <row r="221663" customFormat="1" x14ac:dyDescent="0.25"/>
    <row r="221664" customFormat="1" x14ac:dyDescent="0.25"/>
    <row r="221665" customFormat="1" x14ac:dyDescent="0.25"/>
    <row r="221666" customFormat="1" x14ac:dyDescent="0.25"/>
    <row r="221667" customFormat="1" x14ac:dyDescent="0.25"/>
    <row r="221668" customFormat="1" x14ac:dyDescent="0.25"/>
    <row r="221669" customFormat="1" x14ac:dyDescent="0.25"/>
    <row r="221670" customFormat="1" x14ac:dyDescent="0.25"/>
    <row r="221671" customFormat="1" x14ac:dyDescent="0.25"/>
    <row r="221672" customFormat="1" x14ac:dyDescent="0.25"/>
    <row r="221673" customFormat="1" x14ac:dyDescent="0.25"/>
    <row r="221674" customFormat="1" x14ac:dyDescent="0.25"/>
    <row r="221675" customFormat="1" x14ac:dyDescent="0.25"/>
    <row r="221676" customFormat="1" x14ac:dyDescent="0.25"/>
    <row r="221677" customFormat="1" x14ac:dyDescent="0.25"/>
    <row r="221678" customFormat="1" x14ac:dyDescent="0.25"/>
    <row r="221679" customFormat="1" x14ac:dyDescent="0.25"/>
    <row r="221680" customFormat="1" x14ac:dyDescent="0.25"/>
    <row r="221681" customFormat="1" x14ac:dyDescent="0.25"/>
    <row r="221682" customFormat="1" x14ac:dyDescent="0.25"/>
    <row r="221683" customFormat="1" x14ac:dyDescent="0.25"/>
    <row r="221684" customFormat="1" x14ac:dyDescent="0.25"/>
    <row r="221685" customFormat="1" x14ac:dyDescent="0.25"/>
    <row r="221686" customFormat="1" x14ac:dyDescent="0.25"/>
    <row r="221687" customFormat="1" x14ac:dyDescent="0.25"/>
    <row r="221688" customFormat="1" x14ac:dyDescent="0.25"/>
    <row r="221689" customFormat="1" x14ac:dyDescent="0.25"/>
    <row r="221690" customFormat="1" x14ac:dyDescent="0.25"/>
    <row r="221691" customFormat="1" x14ac:dyDescent="0.25"/>
    <row r="221692" customFormat="1" x14ac:dyDescent="0.25"/>
    <row r="221693" customFormat="1" x14ac:dyDescent="0.25"/>
    <row r="221694" customFormat="1" x14ac:dyDescent="0.25"/>
    <row r="221695" customFormat="1" x14ac:dyDescent="0.25"/>
    <row r="221696" customFormat="1" x14ac:dyDescent="0.25"/>
    <row r="221697" customFormat="1" x14ac:dyDescent="0.25"/>
    <row r="221698" customFormat="1" x14ac:dyDescent="0.25"/>
    <row r="221699" customFormat="1" x14ac:dyDescent="0.25"/>
    <row r="221700" customFormat="1" x14ac:dyDescent="0.25"/>
    <row r="221701" customFormat="1" x14ac:dyDescent="0.25"/>
    <row r="221702" customFormat="1" x14ac:dyDescent="0.25"/>
    <row r="221703" customFormat="1" x14ac:dyDescent="0.25"/>
    <row r="221704" customFormat="1" x14ac:dyDescent="0.25"/>
    <row r="221705" customFormat="1" x14ac:dyDescent="0.25"/>
    <row r="221706" customFormat="1" x14ac:dyDescent="0.25"/>
    <row r="221707" customFormat="1" x14ac:dyDescent="0.25"/>
    <row r="221708" customFormat="1" x14ac:dyDescent="0.25"/>
    <row r="221709" customFormat="1" x14ac:dyDescent="0.25"/>
    <row r="221710" customFormat="1" x14ac:dyDescent="0.25"/>
    <row r="221711" customFormat="1" x14ac:dyDescent="0.25"/>
    <row r="221712" customFormat="1" x14ac:dyDescent="0.25"/>
    <row r="221713" customFormat="1" x14ac:dyDescent="0.25"/>
    <row r="221714" customFormat="1" x14ac:dyDescent="0.25"/>
    <row r="221715" customFormat="1" x14ac:dyDescent="0.25"/>
    <row r="221716" customFormat="1" x14ac:dyDescent="0.25"/>
    <row r="221717" customFormat="1" x14ac:dyDescent="0.25"/>
    <row r="221718" customFormat="1" x14ac:dyDescent="0.25"/>
    <row r="221719" customFormat="1" x14ac:dyDescent="0.25"/>
    <row r="221720" customFormat="1" x14ac:dyDescent="0.25"/>
    <row r="221721" customFormat="1" x14ac:dyDescent="0.25"/>
    <row r="221722" customFormat="1" x14ac:dyDescent="0.25"/>
    <row r="221723" customFormat="1" x14ac:dyDescent="0.25"/>
    <row r="221724" customFormat="1" x14ac:dyDescent="0.25"/>
    <row r="221725" customFormat="1" x14ac:dyDescent="0.25"/>
    <row r="221726" customFormat="1" x14ac:dyDescent="0.25"/>
    <row r="221727" customFormat="1" x14ac:dyDescent="0.25"/>
    <row r="221728" customFormat="1" x14ac:dyDescent="0.25"/>
    <row r="221729" customFormat="1" x14ac:dyDescent="0.25"/>
    <row r="221730" customFormat="1" x14ac:dyDescent="0.25"/>
    <row r="221731" customFormat="1" x14ac:dyDescent="0.25"/>
    <row r="221732" customFormat="1" x14ac:dyDescent="0.25"/>
    <row r="221733" customFormat="1" x14ac:dyDescent="0.25"/>
    <row r="221734" customFormat="1" x14ac:dyDescent="0.25"/>
    <row r="221735" customFormat="1" x14ac:dyDescent="0.25"/>
    <row r="221736" customFormat="1" x14ac:dyDescent="0.25"/>
    <row r="221737" customFormat="1" x14ac:dyDescent="0.25"/>
    <row r="221738" customFormat="1" x14ac:dyDescent="0.25"/>
    <row r="221739" customFormat="1" x14ac:dyDescent="0.25"/>
    <row r="221740" customFormat="1" x14ac:dyDescent="0.25"/>
    <row r="221741" customFormat="1" x14ac:dyDescent="0.25"/>
    <row r="221742" customFormat="1" x14ac:dyDescent="0.25"/>
    <row r="221743" customFormat="1" x14ac:dyDescent="0.25"/>
    <row r="221744" customFormat="1" x14ac:dyDescent="0.25"/>
    <row r="221745" customFormat="1" x14ac:dyDescent="0.25"/>
    <row r="221746" customFormat="1" x14ac:dyDescent="0.25"/>
    <row r="221747" customFormat="1" x14ac:dyDescent="0.25"/>
    <row r="221748" customFormat="1" x14ac:dyDescent="0.25"/>
    <row r="221749" customFormat="1" x14ac:dyDescent="0.25"/>
    <row r="221750" customFormat="1" x14ac:dyDescent="0.25"/>
    <row r="221751" customFormat="1" x14ac:dyDescent="0.25"/>
    <row r="221752" customFormat="1" x14ac:dyDescent="0.25"/>
    <row r="221753" customFormat="1" x14ac:dyDescent="0.25"/>
    <row r="221754" customFormat="1" x14ac:dyDescent="0.25"/>
    <row r="221755" customFormat="1" x14ac:dyDescent="0.25"/>
    <row r="221756" customFormat="1" x14ac:dyDescent="0.25"/>
    <row r="221757" customFormat="1" x14ac:dyDescent="0.25"/>
    <row r="221758" customFormat="1" x14ac:dyDescent="0.25"/>
    <row r="221759" customFormat="1" x14ac:dyDescent="0.25"/>
    <row r="221760" customFormat="1" x14ac:dyDescent="0.25"/>
    <row r="221761" customFormat="1" x14ac:dyDescent="0.25"/>
    <row r="221762" customFormat="1" x14ac:dyDescent="0.25"/>
    <row r="221763" customFormat="1" x14ac:dyDescent="0.25"/>
    <row r="221764" customFormat="1" x14ac:dyDescent="0.25"/>
    <row r="221765" customFormat="1" x14ac:dyDescent="0.25"/>
    <row r="221766" customFormat="1" x14ac:dyDescent="0.25"/>
    <row r="221767" customFormat="1" x14ac:dyDescent="0.25"/>
    <row r="221768" customFormat="1" x14ac:dyDescent="0.25"/>
    <row r="221769" customFormat="1" x14ac:dyDescent="0.25"/>
    <row r="221770" customFormat="1" x14ac:dyDescent="0.25"/>
    <row r="221771" customFormat="1" x14ac:dyDescent="0.25"/>
    <row r="221772" customFormat="1" x14ac:dyDescent="0.25"/>
    <row r="221773" customFormat="1" x14ac:dyDescent="0.25"/>
    <row r="221774" customFormat="1" x14ac:dyDescent="0.25"/>
    <row r="221775" customFormat="1" x14ac:dyDescent="0.25"/>
    <row r="221776" customFormat="1" x14ac:dyDescent="0.25"/>
    <row r="221777" customFormat="1" x14ac:dyDescent="0.25"/>
    <row r="221778" customFormat="1" x14ac:dyDescent="0.25"/>
    <row r="221779" customFormat="1" x14ac:dyDescent="0.25"/>
    <row r="221780" customFormat="1" x14ac:dyDescent="0.25"/>
    <row r="221781" customFormat="1" x14ac:dyDescent="0.25"/>
    <row r="221782" customFormat="1" x14ac:dyDescent="0.25"/>
    <row r="221783" customFormat="1" x14ac:dyDescent="0.25"/>
    <row r="221784" customFormat="1" x14ac:dyDescent="0.25"/>
    <row r="221785" customFormat="1" x14ac:dyDescent="0.25"/>
    <row r="221786" customFormat="1" x14ac:dyDescent="0.25"/>
    <row r="221787" customFormat="1" x14ac:dyDescent="0.25"/>
    <row r="221788" customFormat="1" x14ac:dyDescent="0.25"/>
    <row r="221789" customFormat="1" x14ac:dyDescent="0.25"/>
    <row r="221790" customFormat="1" x14ac:dyDescent="0.25"/>
    <row r="221791" customFormat="1" x14ac:dyDescent="0.25"/>
    <row r="221792" customFormat="1" x14ac:dyDescent="0.25"/>
    <row r="221793" customFormat="1" x14ac:dyDescent="0.25"/>
    <row r="221794" customFormat="1" x14ac:dyDescent="0.25"/>
    <row r="221795" customFormat="1" x14ac:dyDescent="0.25"/>
    <row r="221796" customFormat="1" x14ac:dyDescent="0.25"/>
    <row r="221797" customFormat="1" x14ac:dyDescent="0.25"/>
    <row r="221798" customFormat="1" x14ac:dyDescent="0.25"/>
    <row r="221799" customFormat="1" x14ac:dyDescent="0.25"/>
    <row r="221800" customFormat="1" x14ac:dyDescent="0.25"/>
    <row r="221801" customFormat="1" x14ac:dyDescent="0.25"/>
    <row r="221802" customFormat="1" x14ac:dyDescent="0.25"/>
    <row r="221803" customFormat="1" x14ac:dyDescent="0.25"/>
    <row r="221804" customFormat="1" x14ac:dyDescent="0.25"/>
    <row r="221805" customFormat="1" x14ac:dyDescent="0.25"/>
    <row r="221806" customFormat="1" x14ac:dyDescent="0.25"/>
    <row r="221807" customFormat="1" x14ac:dyDescent="0.25"/>
    <row r="221808" customFormat="1" x14ac:dyDescent="0.25"/>
    <row r="221809" customFormat="1" x14ac:dyDescent="0.25"/>
    <row r="221810" customFormat="1" x14ac:dyDescent="0.25"/>
    <row r="221811" customFormat="1" x14ac:dyDescent="0.25"/>
    <row r="221812" customFormat="1" x14ac:dyDescent="0.25"/>
    <row r="221813" customFormat="1" x14ac:dyDescent="0.25"/>
    <row r="221814" customFormat="1" x14ac:dyDescent="0.25"/>
    <row r="221815" customFormat="1" x14ac:dyDescent="0.25"/>
    <row r="221816" customFormat="1" x14ac:dyDescent="0.25"/>
    <row r="221817" customFormat="1" x14ac:dyDescent="0.25"/>
    <row r="221818" customFormat="1" x14ac:dyDescent="0.25"/>
    <row r="221819" customFormat="1" x14ac:dyDescent="0.25"/>
    <row r="221820" customFormat="1" x14ac:dyDescent="0.25"/>
    <row r="221821" customFormat="1" x14ac:dyDescent="0.25"/>
    <row r="221822" customFormat="1" x14ac:dyDescent="0.25"/>
    <row r="221823" customFormat="1" x14ac:dyDescent="0.25"/>
    <row r="221824" customFormat="1" x14ac:dyDescent="0.25"/>
    <row r="221825" customFormat="1" x14ac:dyDescent="0.25"/>
    <row r="221826" customFormat="1" x14ac:dyDescent="0.25"/>
    <row r="221827" customFormat="1" x14ac:dyDescent="0.25"/>
    <row r="221828" customFormat="1" x14ac:dyDescent="0.25"/>
    <row r="221829" customFormat="1" x14ac:dyDescent="0.25"/>
    <row r="221830" customFormat="1" x14ac:dyDescent="0.25"/>
    <row r="221831" customFormat="1" x14ac:dyDescent="0.25"/>
    <row r="221832" customFormat="1" x14ac:dyDescent="0.25"/>
    <row r="221833" customFormat="1" x14ac:dyDescent="0.25"/>
    <row r="221834" customFormat="1" x14ac:dyDescent="0.25"/>
    <row r="221835" customFormat="1" x14ac:dyDescent="0.25"/>
    <row r="221836" customFormat="1" x14ac:dyDescent="0.25"/>
    <row r="221837" customFormat="1" x14ac:dyDescent="0.25"/>
    <row r="221838" customFormat="1" x14ac:dyDescent="0.25"/>
    <row r="221839" customFormat="1" x14ac:dyDescent="0.25"/>
    <row r="221840" customFormat="1" x14ac:dyDescent="0.25"/>
    <row r="221841" customFormat="1" x14ac:dyDescent="0.25"/>
    <row r="221842" customFormat="1" x14ac:dyDescent="0.25"/>
    <row r="221843" customFormat="1" x14ac:dyDescent="0.25"/>
    <row r="221844" customFormat="1" x14ac:dyDescent="0.25"/>
    <row r="221845" customFormat="1" x14ac:dyDescent="0.25"/>
    <row r="221846" customFormat="1" x14ac:dyDescent="0.25"/>
    <row r="221847" customFormat="1" x14ac:dyDescent="0.25"/>
    <row r="221848" customFormat="1" x14ac:dyDescent="0.25"/>
    <row r="221849" customFormat="1" x14ac:dyDescent="0.25"/>
    <row r="221850" customFormat="1" x14ac:dyDescent="0.25"/>
    <row r="221851" customFormat="1" x14ac:dyDescent="0.25"/>
    <row r="221852" customFormat="1" x14ac:dyDescent="0.25"/>
    <row r="221853" customFormat="1" x14ac:dyDescent="0.25"/>
    <row r="221854" customFormat="1" x14ac:dyDescent="0.25"/>
    <row r="221855" customFormat="1" x14ac:dyDescent="0.25"/>
    <row r="221856" customFormat="1" x14ac:dyDescent="0.25"/>
    <row r="221857" customFormat="1" x14ac:dyDescent="0.25"/>
    <row r="221858" customFormat="1" x14ac:dyDescent="0.25"/>
    <row r="221859" customFormat="1" x14ac:dyDescent="0.25"/>
    <row r="221860" customFormat="1" x14ac:dyDescent="0.25"/>
    <row r="221861" customFormat="1" x14ac:dyDescent="0.25"/>
    <row r="221862" customFormat="1" x14ac:dyDescent="0.25"/>
    <row r="221863" customFormat="1" x14ac:dyDescent="0.25"/>
    <row r="221864" customFormat="1" x14ac:dyDescent="0.25"/>
    <row r="221865" customFormat="1" x14ac:dyDescent="0.25"/>
    <row r="221866" customFormat="1" x14ac:dyDescent="0.25"/>
    <row r="221867" customFormat="1" x14ac:dyDescent="0.25"/>
    <row r="221868" customFormat="1" x14ac:dyDescent="0.25"/>
    <row r="221869" customFormat="1" x14ac:dyDescent="0.25"/>
    <row r="221870" customFormat="1" x14ac:dyDescent="0.25"/>
    <row r="221871" customFormat="1" x14ac:dyDescent="0.25"/>
    <row r="221872" customFormat="1" x14ac:dyDescent="0.25"/>
    <row r="221873" customFormat="1" x14ac:dyDescent="0.25"/>
    <row r="221874" customFormat="1" x14ac:dyDescent="0.25"/>
    <row r="221875" customFormat="1" x14ac:dyDescent="0.25"/>
    <row r="221876" customFormat="1" x14ac:dyDescent="0.25"/>
    <row r="221877" customFormat="1" x14ac:dyDescent="0.25"/>
    <row r="221878" customFormat="1" x14ac:dyDescent="0.25"/>
    <row r="221879" customFormat="1" x14ac:dyDescent="0.25"/>
    <row r="221880" customFormat="1" x14ac:dyDescent="0.25"/>
    <row r="221881" customFormat="1" x14ac:dyDescent="0.25"/>
    <row r="221882" customFormat="1" x14ac:dyDescent="0.25"/>
    <row r="221883" customFormat="1" x14ac:dyDescent="0.25"/>
    <row r="221884" customFormat="1" x14ac:dyDescent="0.25"/>
    <row r="221885" customFormat="1" x14ac:dyDescent="0.25"/>
    <row r="221886" customFormat="1" x14ac:dyDescent="0.25"/>
    <row r="221887" customFormat="1" x14ac:dyDescent="0.25"/>
    <row r="221888" customFormat="1" x14ac:dyDescent="0.25"/>
    <row r="221889" customFormat="1" x14ac:dyDescent="0.25"/>
    <row r="221890" customFormat="1" x14ac:dyDescent="0.25"/>
    <row r="221891" customFormat="1" x14ac:dyDescent="0.25"/>
    <row r="221892" customFormat="1" x14ac:dyDescent="0.25"/>
    <row r="221893" customFormat="1" x14ac:dyDescent="0.25"/>
    <row r="221894" customFormat="1" x14ac:dyDescent="0.25"/>
    <row r="221895" customFormat="1" x14ac:dyDescent="0.25"/>
    <row r="221896" customFormat="1" x14ac:dyDescent="0.25"/>
    <row r="221897" customFormat="1" x14ac:dyDescent="0.25"/>
    <row r="221898" customFormat="1" x14ac:dyDescent="0.25"/>
    <row r="221899" customFormat="1" x14ac:dyDescent="0.25"/>
    <row r="221900" customFormat="1" x14ac:dyDescent="0.25"/>
    <row r="221901" customFormat="1" x14ac:dyDescent="0.25"/>
    <row r="221902" customFormat="1" x14ac:dyDescent="0.25"/>
    <row r="221903" customFormat="1" x14ac:dyDescent="0.25"/>
    <row r="221904" customFormat="1" x14ac:dyDescent="0.25"/>
    <row r="221905" customFormat="1" x14ac:dyDescent="0.25"/>
    <row r="221906" customFormat="1" x14ac:dyDescent="0.25"/>
    <row r="221907" customFormat="1" x14ac:dyDescent="0.25"/>
    <row r="221908" customFormat="1" x14ac:dyDescent="0.25"/>
    <row r="221909" customFormat="1" x14ac:dyDescent="0.25"/>
    <row r="221910" customFormat="1" x14ac:dyDescent="0.25"/>
    <row r="221911" customFormat="1" x14ac:dyDescent="0.25"/>
    <row r="221912" customFormat="1" x14ac:dyDescent="0.25"/>
    <row r="221913" customFormat="1" x14ac:dyDescent="0.25"/>
    <row r="221914" customFormat="1" x14ac:dyDescent="0.25"/>
    <row r="221915" customFormat="1" x14ac:dyDescent="0.25"/>
    <row r="221916" customFormat="1" x14ac:dyDescent="0.25"/>
    <row r="221917" customFormat="1" x14ac:dyDescent="0.25"/>
    <row r="221918" customFormat="1" x14ac:dyDescent="0.25"/>
    <row r="221919" customFormat="1" x14ac:dyDescent="0.25"/>
    <row r="221920" customFormat="1" x14ac:dyDescent="0.25"/>
    <row r="221921" customFormat="1" x14ac:dyDescent="0.25"/>
    <row r="221922" customFormat="1" x14ac:dyDescent="0.25"/>
    <row r="221923" customFormat="1" x14ac:dyDescent="0.25"/>
    <row r="221924" customFormat="1" x14ac:dyDescent="0.25"/>
    <row r="221925" customFormat="1" x14ac:dyDescent="0.25"/>
    <row r="221926" customFormat="1" x14ac:dyDescent="0.25"/>
    <row r="221927" customFormat="1" x14ac:dyDescent="0.25"/>
    <row r="221928" customFormat="1" x14ac:dyDescent="0.25"/>
    <row r="221929" customFormat="1" x14ac:dyDescent="0.25"/>
    <row r="221930" customFormat="1" x14ac:dyDescent="0.25"/>
    <row r="221931" customFormat="1" x14ac:dyDescent="0.25"/>
    <row r="221932" customFormat="1" x14ac:dyDescent="0.25"/>
    <row r="221933" customFormat="1" x14ac:dyDescent="0.25"/>
    <row r="221934" customFormat="1" x14ac:dyDescent="0.25"/>
    <row r="221935" customFormat="1" x14ac:dyDescent="0.25"/>
    <row r="221936" customFormat="1" x14ac:dyDescent="0.25"/>
    <row r="221937" customFormat="1" x14ac:dyDescent="0.25"/>
    <row r="221938" customFormat="1" x14ac:dyDescent="0.25"/>
    <row r="221939" customFormat="1" x14ac:dyDescent="0.25"/>
    <row r="221940" customFormat="1" x14ac:dyDescent="0.25"/>
    <row r="221941" customFormat="1" x14ac:dyDescent="0.25"/>
    <row r="221942" customFormat="1" x14ac:dyDescent="0.25"/>
    <row r="221943" customFormat="1" x14ac:dyDescent="0.25"/>
    <row r="221944" customFormat="1" x14ac:dyDescent="0.25"/>
    <row r="221945" customFormat="1" x14ac:dyDescent="0.25"/>
    <row r="221946" customFormat="1" x14ac:dyDescent="0.25"/>
    <row r="221947" customFormat="1" x14ac:dyDescent="0.25"/>
    <row r="221948" customFormat="1" x14ac:dyDescent="0.25"/>
    <row r="221949" customFormat="1" x14ac:dyDescent="0.25"/>
    <row r="221950" customFormat="1" x14ac:dyDescent="0.25"/>
    <row r="221951" customFormat="1" x14ac:dyDescent="0.25"/>
    <row r="221952" customFormat="1" x14ac:dyDescent="0.25"/>
    <row r="221953" customFormat="1" x14ac:dyDescent="0.25"/>
    <row r="221954" customFormat="1" x14ac:dyDescent="0.25"/>
    <row r="221955" customFormat="1" x14ac:dyDescent="0.25"/>
    <row r="221956" customFormat="1" x14ac:dyDescent="0.25"/>
    <row r="221957" customFormat="1" x14ac:dyDescent="0.25"/>
    <row r="221958" customFormat="1" x14ac:dyDescent="0.25"/>
    <row r="221959" customFormat="1" x14ac:dyDescent="0.25"/>
    <row r="221960" customFormat="1" x14ac:dyDescent="0.25"/>
    <row r="221961" customFormat="1" x14ac:dyDescent="0.25"/>
    <row r="221962" customFormat="1" x14ac:dyDescent="0.25"/>
    <row r="221963" customFormat="1" x14ac:dyDescent="0.25"/>
    <row r="221964" customFormat="1" x14ac:dyDescent="0.25"/>
    <row r="221965" customFormat="1" x14ac:dyDescent="0.25"/>
    <row r="221966" customFormat="1" x14ac:dyDescent="0.25"/>
    <row r="221967" customFormat="1" x14ac:dyDescent="0.25"/>
    <row r="221968" customFormat="1" x14ac:dyDescent="0.25"/>
    <row r="221969" customFormat="1" x14ac:dyDescent="0.25"/>
    <row r="221970" customFormat="1" x14ac:dyDescent="0.25"/>
    <row r="221971" customFormat="1" x14ac:dyDescent="0.25"/>
    <row r="221972" customFormat="1" x14ac:dyDescent="0.25"/>
    <row r="221973" customFormat="1" x14ac:dyDescent="0.25"/>
    <row r="221974" customFormat="1" x14ac:dyDescent="0.25"/>
    <row r="221975" customFormat="1" x14ac:dyDescent="0.25"/>
    <row r="221976" customFormat="1" x14ac:dyDescent="0.25"/>
    <row r="221977" customFormat="1" x14ac:dyDescent="0.25"/>
    <row r="221978" customFormat="1" x14ac:dyDescent="0.25"/>
    <row r="221979" customFormat="1" x14ac:dyDescent="0.25"/>
    <row r="221980" customFormat="1" x14ac:dyDescent="0.25"/>
    <row r="221981" customFormat="1" x14ac:dyDescent="0.25"/>
    <row r="221982" customFormat="1" x14ac:dyDescent="0.25"/>
    <row r="221983" customFormat="1" x14ac:dyDescent="0.25"/>
    <row r="221984" customFormat="1" x14ac:dyDescent="0.25"/>
    <row r="221985" customFormat="1" x14ac:dyDescent="0.25"/>
    <row r="221986" customFormat="1" x14ac:dyDescent="0.25"/>
    <row r="221987" customFormat="1" x14ac:dyDescent="0.25"/>
    <row r="221988" customFormat="1" x14ac:dyDescent="0.25"/>
    <row r="221989" customFormat="1" x14ac:dyDescent="0.25"/>
    <row r="221990" customFormat="1" x14ac:dyDescent="0.25"/>
    <row r="221991" customFormat="1" x14ac:dyDescent="0.25"/>
    <row r="221992" customFormat="1" x14ac:dyDescent="0.25"/>
    <row r="221993" customFormat="1" x14ac:dyDescent="0.25"/>
    <row r="221994" customFormat="1" x14ac:dyDescent="0.25"/>
    <row r="221995" customFormat="1" x14ac:dyDescent="0.25"/>
    <row r="221996" customFormat="1" x14ac:dyDescent="0.25"/>
    <row r="221997" customFormat="1" x14ac:dyDescent="0.25"/>
    <row r="221998" customFormat="1" x14ac:dyDescent="0.25"/>
    <row r="221999" customFormat="1" x14ac:dyDescent="0.25"/>
    <row r="222000" customFormat="1" x14ac:dyDescent="0.25"/>
    <row r="222001" customFormat="1" x14ac:dyDescent="0.25"/>
    <row r="222002" customFormat="1" x14ac:dyDescent="0.25"/>
    <row r="222003" customFormat="1" x14ac:dyDescent="0.25"/>
    <row r="222004" customFormat="1" x14ac:dyDescent="0.25"/>
    <row r="222005" customFormat="1" x14ac:dyDescent="0.25"/>
    <row r="222006" customFormat="1" x14ac:dyDescent="0.25"/>
    <row r="222007" customFormat="1" x14ac:dyDescent="0.25"/>
    <row r="222008" customFormat="1" x14ac:dyDescent="0.25"/>
    <row r="222009" customFormat="1" x14ac:dyDescent="0.25"/>
    <row r="222010" customFormat="1" x14ac:dyDescent="0.25"/>
    <row r="222011" customFormat="1" x14ac:dyDescent="0.25"/>
    <row r="222012" customFormat="1" x14ac:dyDescent="0.25"/>
    <row r="222013" customFormat="1" x14ac:dyDescent="0.25"/>
    <row r="222014" customFormat="1" x14ac:dyDescent="0.25"/>
    <row r="222015" customFormat="1" x14ac:dyDescent="0.25"/>
    <row r="222016" customFormat="1" x14ac:dyDescent="0.25"/>
    <row r="222017" customFormat="1" x14ac:dyDescent="0.25"/>
    <row r="222018" customFormat="1" x14ac:dyDescent="0.25"/>
    <row r="222019" customFormat="1" x14ac:dyDescent="0.25"/>
    <row r="222020" customFormat="1" x14ac:dyDescent="0.25"/>
    <row r="222021" customFormat="1" x14ac:dyDescent="0.25"/>
    <row r="222022" customFormat="1" x14ac:dyDescent="0.25"/>
    <row r="222023" customFormat="1" x14ac:dyDescent="0.25"/>
    <row r="222024" customFormat="1" x14ac:dyDescent="0.25"/>
    <row r="222025" customFormat="1" x14ac:dyDescent="0.25"/>
    <row r="222026" customFormat="1" x14ac:dyDescent="0.25"/>
    <row r="222027" customFormat="1" x14ac:dyDescent="0.25"/>
    <row r="222028" customFormat="1" x14ac:dyDescent="0.25"/>
    <row r="222029" customFormat="1" x14ac:dyDescent="0.25"/>
    <row r="222030" customFormat="1" x14ac:dyDescent="0.25"/>
    <row r="222031" customFormat="1" x14ac:dyDescent="0.25"/>
    <row r="222032" customFormat="1" x14ac:dyDescent="0.25"/>
    <row r="222033" customFormat="1" x14ac:dyDescent="0.25"/>
    <row r="222034" customFormat="1" x14ac:dyDescent="0.25"/>
    <row r="222035" customFormat="1" x14ac:dyDescent="0.25"/>
    <row r="222036" customFormat="1" x14ac:dyDescent="0.25"/>
    <row r="222037" customFormat="1" x14ac:dyDescent="0.25"/>
    <row r="222038" customFormat="1" x14ac:dyDescent="0.25"/>
    <row r="222039" customFormat="1" x14ac:dyDescent="0.25"/>
    <row r="222040" customFormat="1" x14ac:dyDescent="0.25"/>
    <row r="222041" customFormat="1" x14ac:dyDescent="0.25"/>
    <row r="222042" customFormat="1" x14ac:dyDescent="0.25"/>
    <row r="222043" customFormat="1" x14ac:dyDescent="0.25"/>
    <row r="222044" customFormat="1" x14ac:dyDescent="0.25"/>
    <row r="222045" customFormat="1" x14ac:dyDescent="0.25"/>
    <row r="222046" customFormat="1" x14ac:dyDescent="0.25"/>
    <row r="222047" customFormat="1" x14ac:dyDescent="0.25"/>
    <row r="222048" customFormat="1" x14ac:dyDescent="0.25"/>
    <row r="222049" customFormat="1" x14ac:dyDescent="0.25"/>
    <row r="222050" customFormat="1" x14ac:dyDescent="0.25"/>
    <row r="222051" customFormat="1" x14ac:dyDescent="0.25"/>
    <row r="222052" customFormat="1" x14ac:dyDescent="0.25"/>
    <row r="222053" customFormat="1" x14ac:dyDescent="0.25"/>
    <row r="222054" customFormat="1" x14ac:dyDescent="0.25"/>
    <row r="222055" customFormat="1" x14ac:dyDescent="0.25"/>
    <row r="222056" customFormat="1" x14ac:dyDescent="0.25"/>
    <row r="222057" customFormat="1" x14ac:dyDescent="0.25"/>
    <row r="222058" customFormat="1" x14ac:dyDescent="0.25"/>
    <row r="222059" customFormat="1" x14ac:dyDescent="0.25"/>
    <row r="222060" customFormat="1" x14ac:dyDescent="0.25"/>
    <row r="222061" customFormat="1" x14ac:dyDescent="0.25"/>
    <row r="222062" customFormat="1" x14ac:dyDescent="0.25"/>
    <row r="222063" customFormat="1" x14ac:dyDescent="0.25"/>
    <row r="222064" customFormat="1" x14ac:dyDescent="0.25"/>
    <row r="222065" customFormat="1" x14ac:dyDescent="0.25"/>
    <row r="222066" customFormat="1" x14ac:dyDescent="0.25"/>
    <row r="222067" customFormat="1" x14ac:dyDescent="0.25"/>
    <row r="222068" customFormat="1" x14ac:dyDescent="0.25"/>
    <row r="222069" customFormat="1" x14ac:dyDescent="0.25"/>
    <row r="222070" customFormat="1" x14ac:dyDescent="0.25"/>
    <row r="222071" customFormat="1" x14ac:dyDescent="0.25"/>
    <row r="222072" customFormat="1" x14ac:dyDescent="0.25"/>
    <row r="222073" customFormat="1" x14ac:dyDescent="0.25"/>
    <row r="222074" customFormat="1" x14ac:dyDescent="0.25"/>
    <row r="222075" customFormat="1" x14ac:dyDescent="0.25"/>
    <row r="222076" customFormat="1" x14ac:dyDescent="0.25"/>
    <row r="222077" customFormat="1" x14ac:dyDescent="0.25"/>
    <row r="222078" customFormat="1" x14ac:dyDescent="0.25"/>
    <row r="222079" customFormat="1" x14ac:dyDescent="0.25"/>
    <row r="222080" customFormat="1" x14ac:dyDescent="0.25"/>
    <row r="222081" customFormat="1" x14ac:dyDescent="0.25"/>
    <row r="222082" customFormat="1" x14ac:dyDescent="0.25"/>
    <row r="222083" customFormat="1" x14ac:dyDescent="0.25"/>
    <row r="222084" customFormat="1" x14ac:dyDescent="0.25"/>
    <row r="222085" customFormat="1" x14ac:dyDescent="0.25"/>
    <row r="222086" customFormat="1" x14ac:dyDescent="0.25"/>
    <row r="222087" customFormat="1" x14ac:dyDescent="0.25"/>
    <row r="222088" customFormat="1" x14ac:dyDescent="0.25"/>
    <row r="222089" customFormat="1" x14ac:dyDescent="0.25"/>
    <row r="222090" customFormat="1" x14ac:dyDescent="0.25"/>
    <row r="222091" customFormat="1" x14ac:dyDescent="0.25"/>
    <row r="222092" customFormat="1" x14ac:dyDescent="0.25"/>
    <row r="222093" customFormat="1" x14ac:dyDescent="0.25"/>
    <row r="222094" customFormat="1" x14ac:dyDescent="0.25"/>
    <row r="222095" customFormat="1" x14ac:dyDescent="0.25"/>
    <row r="222096" customFormat="1" x14ac:dyDescent="0.25"/>
    <row r="222097" customFormat="1" x14ac:dyDescent="0.25"/>
    <row r="222098" customFormat="1" x14ac:dyDescent="0.25"/>
    <row r="222099" customFormat="1" x14ac:dyDescent="0.25"/>
    <row r="222100" customFormat="1" x14ac:dyDescent="0.25"/>
    <row r="222101" customFormat="1" x14ac:dyDescent="0.25"/>
    <row r="222102" customFormat="1" x14ac:dyDescent="0.25"/>
    <row r="222103" customFormat="1" x14ac:dyDescent="0.25"/>
    <row r="222104" customFormat="1" x14ac:dyDescent="0.25"/>
    <row r="222105" customFormat="1" x14ac:dyDescent="0.25"/>
    <row r="222106" customFormat="1" x14ac:dyDescent="0.25"/>
    <row r="222107" customFormat="1" x14ac:dyDescent="0.25"/>
    <row r="222108" customFormat="1" x14ac:dyDescent="0.25"/>
    <row r="222109" customFormat="1" x14ac:dyDescent="0.25"/>
    <row r="222110" customFormat="1" x14ac:dyDescent="0.25"/>
    <row r="222111" customFormat="1" x14ac:dyDescent="0.25"/>
    <row r="222112" customFormat="1" x14ac:dyDescent="0.25"/>
    <row r="222113" customFormat="1" x14ac:dyDescent="0.25"/>
    <row r="222114" customFormat="1" x14ac:dyDescent="0.25"/>
    <row r="222115" customFormat="1" x14ac:dyDescent="0.25"/>
    <row r="222116" customFormat="1" x14ac:dyDescent="0.25"/>
    <row r="222117" customFormat="1" x14ac:dyDescent="0.25"/>
    <row r="222118" customFormat="1" x14ac:dyDescent="0.25"/>
    <row r="222119" customFormat="1" x14ac:dyDescent="0.25"/>
    <row r="222120" customFormat="1" x14ac:dyDescent="0.25"/>
    <row r="222121" customFormat="1" x14ac:dyDescent="0.25"/>
    <row r="222122" customFormat="1" x14ac:dyDescent="0.25"/>
    <row r="222123" customFormat="1" x14ac:dyDescent="0.25"/>
    <row r="222124" customFormat="1" x14ac:dyDescent="0.25"/>
    <row r="222125" customFormat="1" x14ac:dyDescent="0.25"/>
    <row r="222126" customFormat="1" x14ac:dyDescent="0.25"/>
    <row r="222127" customFormat="1" x14ac:dyDescent="0.25"/>
    <row r="222128" customFormat="1" x14ac:dyDescent="0.25"/>
    <row r="222129" customFormat="1" x14ac:dyDescent="0.25"/>
    <row r="222130" customFormat="1" x14ac:dyDescent="0.25"/>
    <row r="222131" customFormat="1" x14ac:dyDescent="0.25"/>
    <row r="222132" customFormat="1" x14ac:dyDescent="0.25"/>
    <row r="222133" customFormat="1" x14ac:dyDescent="0.25"/>
    <row r="222134" customFormat="1" x14ac:dyDescent="0.25"/>
    <row r="222135" customFormat="1" x14ac:dyDescent="0.25"/>
    <row r="222136" customFormat="1" x14ac:dyDescent="0.25"/>
    <row r="222137" customFormat="1" x14ac:dyDescent="0.25"/>
    <row r="222138" customFormat="1" x14ac:dyDescent="0.25"/>
    <row r="222139" customFormat="1" x14ac:dyDescent="0.25"/>
    <row r="222140" customFormat="1" x14ac:dyDescent="0.25"/>
    <row r="222141" customFormat="1" x14ac:dyDescent="0.25"/>
    <row r="222142" customFormat="1" x14ac:dyDescent="0.25"/>
    <row r="222143" customFormat="1" x14ac:dyDescent="0.25"/>
    <row r="222144" customFormat="1" x14ac:dyDescent="0.25"/>
    <row r="222145" customFormat="1" x14ac:dyDescent="0.25"/>
    <row r="222146" customFormat="1" x14ac:dyDescent="0.25"/>
    <row r="222147" customFormat="1" x14ac:dyDescent="0.25"/>
    <row r="222148" customFormat="1" x14ac:dyDescent="0.25"/>
    <row r="222149" customFormat="1" x14ac:dyDescent="0.25"/>
    <row r="222150" customFormat="1" x14ac:dyDescent="0.25"/>
    <row r="222151" customFormat="1" x14ac:dyDescent="0.25"/>
    <row r="222152" customFormat="1" x14ac:dyDescent="0.25"/>
    <row r="222153" customFormat="1" x14ac:dyDescent="0.25"/>
    <row r="222154" customFormat="1" x14ac:dyDescent="0.25"/>
    <row r="222155" customFormat="1" x14ac:dyDescent="0.25"/>
    <row r="222156" customFormat="1" x14ac:dyDescent="0.25"/>
    <row r="222157" customFormat="1" x14ac:dyDescent="0.25"/>
    <row r="222158" customFormat="1" x14ac:dyDescent="0.25"/>
    <row r="222159" customFormat="1" x14ac:dyDescent="0.25"/>
    <row r="222160" customFormat="1" x14ac:dyDescent="0.25"/>
    <row r="222161" customFormat="1" x14ac:dyDescent="0.25"/>
    <row r="222162" customFormat="1" x14ac:dyDescent="0.25"/>
    <row r="222163" customFormat="1" x14ac:dyDescent="0.25"/>
    <row r="222164" customFormat="1" x14ac:dyDescent="0.25"/>
    <row r="222165" customFormat="1" x14ac:dyDescent="0.25"/>
    <row r="222166" customFormat="1" x14ac:dyDescent="0.25"/>
    <row r="222167" customFormat="1" x14ac:dyDescent="0.25"/>
    <row r="222168" customFormat="1" x14ac:dyDescent="0.25"/>
    <row r="222169" customFormat="1" x14ac:dyDescent="0.25"/>
    <row r="222170" customFormat="1" x14ac:dyDescent="0.25"/>
    <row r="222171" customFormat="1" x14ac:dyDescent="0.25"/>
    <row r="222172" customFormat="1" x14ac:dyDescent="0.25"/>
    <row r="222173" customFormat="1" x14ac:dyDescent="0.25"/>
    <row r="222174" customFormat="1" x14ac:dyDescent="0.25"/>
    <row r="222175" customFormat="1" x14ac:dyDescent="0.25"/>
    <row r="222176" customFormat="1" x14ac:dyDescent="0.25"/>
    <row r="222177" customFormat="1" x14ac:dyDescent="0.25"/>
    <row r="222178" customFormat="1" x14ac:dyDescent="0.25"/>
    <row r="222179" customFormat="1" x14ac:dyDescent="0.25"/>
    <row r="222180" customFormat="1" x14ac:dyDescent="0.25"/>
    <row r="222181" customFormat="1" x14ac:dyDescent="0.25"/>
    <row r="222182" customFormat="1" x14ac:dyDescent="0.25"/>
    <row r="222183" customFormat="1" x14ac:dyDescent="0.25"/>
    <row r="222184" customFormat="1" x14ac:dyDescent="0.25"/>
    <row r="222185" customFormat="1" x14ac:dyDescent="0.25"/>
    <row r="222186" customFormat="1" x14ac:dyDescent="0.25"/>
    <row r="222187" customFormat="1" x14ac:dyDescent="0.25"/>
    <row r="222188" customFormat="1" x14ac:dyDescent="0.25"/>
    <row r="222189" customFormat="1" x14ac:dyDescent="0.25"/>
    <row r="222190" customFormat="1" x14ac:dyDescent="0.25"/>
    <row r="222191" customFormat="1" x14ac:dyDescent="0.25"/>
    <row r="222192" customFormat="1" x14ac:dyDescent="0.25"/>
    <row r="222193" customFormat="1" x14ac:dyDescent="0.25"/>
    <row r="222194" customFormat="1" x14ac:dyDescent="0.25"/>
    <row r="222195" customFormat="1" x14ac:dyDescent="0.25"/>
    <row r="222196" customFormat="1" x14ac:dyDescent="0.25"/>
    <row r="222197" customFormat="1" x14ac:dyDescent="0.25"/>
    <row r="222198" customFormat="1" x14ac:dyDescent="0.25"/>
    <row r="222199" customFormat="1" x14ac:dyDescent="0.25"/>
    <row r="222200" customFormat="1" x14ac:dyDescent="0.25"/>
    <row r="222201" customFormat="1" x14ac:dyDescent="0.25"/>
    <row r="222202" customFormat="1" x14ac:dyDescent="0.25"/>
    <row r="222203" customFormat="1" x14ac:dyDescent="0.25"/>
    <row r="222204" customFormat="1" x14ac:dyDescent="0.25"/>
    <row r="222205" customFormat="1" x14ac:dyDescent="0.25"/>
    <row r="222206" customFormat="1" x14ac:dyDescent="0.25"/>
    <row r="222207" customFormat="1" x14ac:dyDescent="0.25"/>
    <row r="222208" customFormat="1" x14ac:dyDescent="0.25"/>
    <row r="222209" customFormat="1" x14ac:dyDescent="0.25"/>
    <row r="222210" customFormat="1" x14ac:dyDescent="0.25"/>
    <row r="222211" customFormat="1" x14ac:dyDescent="0.25"/>
    <row r="222212" customFormat="1" x14ac:dyDescent="0.25"/>
    <row r="222213" customFormat="1" x14ac:dyDescent="0.25"/>
    <row r="222214" customFormat="1" x14ac:dyDescent="0.25"/>
    <row r="222215" customFormat="1" x14ac:dyDescent="0.25"/>
    <row r="222216" customFormat="1" x14ac:dyDescent="0.25"/>
    <row r="222217" customFormat="1" x14ac:dyDescent="0.25"/>
    <row r="222218" customFormat="1" x14ac:dyDescent="0.25"/>
    <row r="222219" customFormat="1" x14ac:dyDescent="0.25"/>
    <row r="222220" customFormat="1" x14ac:dyDescent="0.25"/>
    <row r="222221" customFormat="1" x14ac:dyDescent="0.25"/>
    <row r="222222" customFormat="1" x14ac:dyDescent="0.25"/>
    <row r="222223" customFormat="1" x14ac:dyDescent="0.25"/>
    <row r="222224" customFormat="1" x14ac:dyDescent="0.25"/>
    <row r="222225" customFormat="1" x14ac:dyDescent="0.25"/>
    <row r="222226" customFormat="1" x14ac:dyDescent="0.25"/>
    <row r="222227" customFormat="1" x14ac:dyDescent="0.25"/>
    <row r="222228" customFormat="1" x14ac:dyDescent="0.25"/>
    <row r="222229" customFormat="1" x14ac:dyDescent="0.25"/>
    <row r="222230" customFormat="1" x14ac:dyDescent="0.25"/>
    <row r="222231" customFormat="1" x14ac:dyDescent="0.25"/>
    <row r="222232" customFormat="1" x14ac:dyDescent="0.25"/>
    <row r="222233" customFormat="1" x14ac:dyDescent="0.25"/>
    <row r="222234" customFormat="1" x14ac:dyDescent="0.25"/>
    <row r="222235" customFormat="1" x14ac:dyDescent="0.25"/>
    <row r="222236" customFormat="1" x14ac:dyDescent="0.25"/>
    <row r="222237" customFormat="1" x14ac:dyDescent="0.25"/>
    <row r="222238" customFormat="1" x14ac:dyDescent="0.25"/>
    <row r="222239" customFormat="1" x14ac:dyDescent="0.25"/>
    <row r="222240" customFormat="1" x14ac:dyDescent="0.25"/>
    <row r="222241" customFormat="1" x14ac:dyDescent="0.25"/>
    <row r="222242" customFormat="1" x14ac:dyDescent="0.25"/>
    <row r="222243" customFormat="1" x14ac:dyDescent="0.25"/>
    <row r="222244" customFormat="1" x14ac:dyDescent="0.25"/>
    <row r="222245" customFormat="1" x14ac:dyDescent="0.25"/>
    <row r="222246" customFormat="1" x14ac:dyDescent="0.25"/>
    <row r="222247" customFormat="1" x14ac:dyDescent="0.25"/>
    <row r="222248" customFormat="1" x14ac:dyDescent="0.25"/>
    <row r="222249" customFormat="1" x14ac:dyDescent="0.25"/>
    <row r="222250" customFormat="1" x14ac:dyDescent="0.25"/>
    <row r="222251" customFormat="1" x14ac:dyDescent="0.25"/>
    <row r="222252" customFormat="1" x14ac:dyDescent="0.25"/>
    <row r="222253" customFormat="1" x14ac:dyDescent="0.25"/>
    <row r="222254" customFormat="1" x14ac:dyDescent="0.25"/>
    <row r="222255" customFormat="1" x14ac:dyDescent="0.25"/>
    <row r="222256" customFormat="1" x14ac:dyDescent="0.25"/>
    <row r="222257" customFormat="1" x14ac:dyDescent="0.25"/>
    <row r="222258" customFormat="1" x14ac:dyDescent="0.25"/>
    <row r="222259" customFormat="1" x14ac:dyDescent="0.25"/>
    <row r="222260" customFormat="1" x14ac:dyDescent="0.25"/>
    <row r="222261" customFormat="1" x14ac:dyDescent="0.25"/>
    <row r="222262" customFormat="1" x14ac:dyDescent="0.25"/>
    <row r="222263" customFormat="1" x14ac:dyDescent="0.25"/>
    <row r="222264" customFormat="1" x14ac:dyDescent="0.25"/>
    <row r="222265" customFormat="1" x14ac:dyDescent="0.25"/>
    <row r="222266" customFormat="1" x14ac:dyDescent="0.25"/>
    <row r="222267" customFormat="1" x14ac:dyDescent="0.25"/>
    <row r="222268" customFormat="1" x14ac:dyDescent="0.25"/>
    <row r="222269" customFormat="1" x14ac:dyDescent="0.25"/>
    <row r="222270" customFormat="1" x14ac:dyDescent="0.25"/>
    <row r="222271" customFormat="1" x14ac:dyDescent="0.25"/>
    <row r="222272" customFormat="1" x14ac:dyDescent="0.25"/>
    <row r="222273" customFormat="1" x14ac:dyDescent="0.25"/>
    <row r="222274" customFormat="1" x14ac:dyDescent="0.25"/>
    <row r="222275" customFormat="1" x14ac:dyDescent="0.25"/>
    <row r="222276" customFormat="1" x14ac:dyDescent="0.25"/>
    <row r="222277" customFormat="1" x14ac:dyDescent="0.25"/>
    <row r="222278" customFormat="1" x14ac:dyDescent="0.25"/>
    <row r="222279" customFormat="1" x14ac:dyDescent="0.25"/>
    <row r="222280" customFormat="1" x14ac:dyDescent="0.25"/>
    <row r="222281" customFormat="1" x14ac:dyDescent="0.25"/>
    <row r="222282" customFormat="1" x14ac:dyDescent="0.25"/>
    <row r="222283" customFormat="1" x14ac:dyDescent="0.25"/>
    <row r="222284" customFormat="1" x14ac:dyDescent="0.25"/>
    <row r="222285" customFormat="1" x14ac:dyDescent="0.25"/>
    <row r="222286" customFormat="1" x14ac:dyDescent="0.25"/>
    <row r="222287" customFormat="1" x14ac:dyDescent="0.25"/>
    <row r="222288" customFormat="1" x14ac:dyDescent="0.25"/>
    <row r="222289" customFormat="1" x14ac:dyDescent="0.25"/>
    <row r="222290" customFormat="1" x14ac:dyDescent="0.25"/>
    <row r="222291" customFormat="1" x14ac:dyDescent="0.25"/>
    <row r="222292" customFormat="1" x14ac:dyDescent="0.25"/>
    <row r="222293" customFormat="1" x14ac:dyDescent="0.25"/>
    <row r="222294" customFormat="1" x14ac:dyDescent="0.25"/>
    <row r="222295" customFormat="1" x14ac:dyDescent="0.25"/>
    <row r="222296" customFormat="1" x14ac:dyDescent="0.25"/>
    <row r="222297" customFormat="1" x14ac:dyDescent="0.25"/>
    <row r="222298" customFormat="1" x14ac:dyDescent="0.25"/>
    <row r="222299" customFormat="1" x14ac:dyDescent="0.25"/>
    <row r="222300" customFormat="1" x14ac:dyDescent="0.25"/>
    <row r="222301" customFormat="1" x14ac:dyDescent="0.25"/>
    <row r="222302" customFormat="1" x14ac:dyDescent="0.25"/>
    <row r="222303" customFormat="1" x14ac:dyDescent="0.25"/>
    <row r="222304" customFormat="1" x14ac:dyDescent="0.25"/>
    <row r="222305" customFormat="1" x14ac:dyDescent="0.25"/>
    <row r="222306" customFormat="1" x14ac:dyDescent="0.25"/>
    <row r="222307" customFormat="1" x14ac:dyDescent="0.25"/>
    <row r="222308" customFormat="1" x14ac:dyDescent="0.25"/>
    <row r="222309" customFormat="1" x14ac:dyDescent="0.25"/>
    <row r="222310" customFormat="1" x14ac:dyDescent="0.25"/>
    <row r="222311" customFormat="1" x14ac:dyDescent="0.25"/>
    <row r="222312" customFormat="1" x14ac:dyDescent="0.25"/>
    <row r="222313" customFormat="1" x14ac:dyDescent="0.25"/>
    <row r="222314" customFormat="1" x14ac:dyDescent="0.25"/>
    <row r="222315" customFormat="1" x14ac:dyDescent="0.25"/>
    <row r="222316" customFormat="1" x14ac:dyDescent="0.25"/>
    <row r="222317" customFormat="1" x14ac:dyDescent="0.25"/>
    <row r="222318" customFormat="1" x14ac:dyDescent="0.25"/>
    <row r="222319" customFormat="1" x14ac:dyDescent="0.25"/>
    <row r="222320" customFormat="1" x14ac:dyDescent="0.25"/>
    <row r="222321" customFormat="1" x14ac:dyDescent="0.25"/>
    <row r="222322" customFormat="1" x14ac:dyDescent="0.25"/>
    <row r="222323" customFormat="1" x14ac:dyDescent="0.25"/>
    <row r="222324" customFormat="1" x14ac:dyDescent="0.25"/>
    <row r="222325" customFormat="1" x14ac:dyDescent="0.25"/>
    <row r="222326" customFormat="1" x14ac:dyDescent="0.25"/>
    <row r="222327" customFormat="1" x14ac:dyDescent="0.25"/>
    <row r="222328" customFormat="1" x14ac:dyDescent="0.25"/>
    <row r="222329" customFormat="1" x14ac:dyDescent="0.25"/>
    <row r="222330" customFormat="1" x14ac:dyDescent="0.25"/>
    <row r="222331" customFormat="1" x14ac:dyDescent="0.25"/>
    <row r="222332" customFormat="1" x14ac:dyDescent="0.25"/>
    <row r="222333" customFormat="1" x14ac:dyDescent="0.25"/>
    <row r="222334" customFormat="1" x14ac:dyDescent="0.25"/>
    <row r="222335" customFormat="1" x14ac:dyDescent="0.25"/>
    <row r="222336" customFormat="1" x14ac:dyDescent="0.25"/>
    <row r="222337" customFormat="1" x14ac:dyDescent="0.25"/>
    <row r="222338" customFormat="1" x14ac:dyDescent="0.25"/>
    <row r="222339" customFormat="1" x14ac:dyDescent="0.25"/>
    <row r="222340" customFormat="1" x14ac:dyDescent="0.25"/>
    <row r="222341" customFormat="1" x14ac:dyDescent="0.25"/>
    <row r="222342" customFormat="1" x14ac:dyDescent="0.25"/>
    <row r="222343" customFormat="1" x14ac:dyDescent="0.25"/>
    <row r="222344" customFormat="1" x14ac:dyDescent="0.25"/>
    <row r="222345" customFormat="1" x14ac:dyDescent="0.25"/>
    <row r="222346" customFormat="1" x14ac:dyDescent="0.25"/>
    <row r="222347" customFormat="1" x14ac:dyDescent="0.25"/>
    <row r="222348" customFormat="1" x14ac:dyDescent="0.25"/>
    <row r="222349" customFormat="1" x14ac:dyDescent="0.25"/>
    <row r="222350" customFormat="1" x14ac:dyDescent="0.25"/>
    <row r="222351" customFormat="1" x14ac:dyDescent="0.25"/>
    <row r="222352" customFormat="1" x14ac:dyDescent="0.25"/>
    <row r="222353" customFormat="1" x14ac:dyDescent="0.25"/>
    <row r="222354" customFormat="1" x14ac:dyDescent="0.25"/>
    <row r="222355" customFormat="1" x14ac:dyDescent="0.25"/>
    <row r="222356" customFormat="1" x14ac:dyDescent="0.25"/>
    <row r="222357" customFormat="1" x14ac:dyDescent="0.25"/>
    <row r="222358" customFormat="1" x14ac:dyDescent="0.25"/>
    <row r="222359" customFormat="1" x14ac:dyDescent="0.25"/>
    <row r="222360" customFormat="1" x14ac:dyDescent="0.25"/>
    <row r="222361" customFormat="1" x14ac:dyDescent="0.25"/>
    <row r="222362" customFormat="1" x14ac:dyDescent="0.25"/>
    <row r="222363" customFormat="1" x14ac:dyDescent="0.25"/>
    <row r="222364" customFormat="1" x14ac:dyDescent="0.25"/>
    <row r="222365" customFormat="1" x14ac:dyDescent="0.25"/>
    <row r="222366" customFormat="1" x14ac:dyDescent="0.25"/>
    <row r="222367" customFormat="1" x14ac:dyDescent="0.25"/>
    <row r="222368" customFormat="1" x14ac:dyDescent="0.25"/>
    <row r="222369" customFormat="1" x14ac:dyDescent="0.25"/>
    <row r="222370" customFormat="1" x14ac:dyDescent="0.25"/>
    <row r="222371" customFormat="1" x14ac:dyDescent="0.25"/>
    <row r="222372" customFormat="1" x14ac:dyDescent="0.25"/>
    <row r="222373" customFormat="1" x14ac:dyDescent="0.25"/>
    <row r="222374" customFormat="1" x14ac:dyDescent="0.25"/>
    <row r="222375" customFormat="1" x14ac:dyDescent="0.25"/>
    <row r="222376" customFormat="1" x14ac:dyDescent="0.25"/>
    <row r="222377" customFormat="1" x14ac:dyDescent="0.25"/>
    <row r="222378" customFormat="1" x14ac:dyDescent="0.25"/>
    <row r="222379" customFormat="1" x14ac:dyDescent="0.25"/>
    <row r="222380" customFormat="1" x14ac:dyDescent="0.25"/>
    <row r="222381" customFormat="1" x14ac:dyDescent="0.25"/>
    <row r="222382" customFormat="1" x14ac:dyDescent="0.25"/>
    <row r="222383" customFormat="1" x14ac:dyDescent="0.25"/>
    <row r="222384" customFormat="1" x14ac:dyDescent="0.25"/>
    <row r="222385" customFormat="1" x14ac:dyDescent="0.25"/>
    <row r="222386" customFormat="1" x14ac:dyDescent="0.25"/>
    <row r="222387" customFormat="1" x14ac:dyDescent="0.25"/>
    <row r="222388" customFormat="1" x14ac:dyDescent="0.25"/>
    <row r="222389" customFormat="1" x14ac:dyDescent="0.25"/>
    <row r="222390" customFormat="1" x14ac:dyDescent="0.25"/>
    <row r="222391" customFormat="1" x14ac:dyDescent="0.25"/>
    <row r="222392" customFormat="1" x14ac:dyDescent="0.25"/>
    <row r="222393" customFormat="1" x14ac:dyDescent="0.25"/>
    <row r="222394" customFormat="1" x14ac:dyDescent="0.25"/>
    <row r="222395" customFormat="1" x14ac:dyDescent="0.25"/>
    <row r="222396" customFormat="1" x14ac:dyDescent="0.25"/>
    <row r="222397" customFormat="1" x14ac:dyDescent="0.25"/>
    <row r="222398" customFormat="1" x14ac:dyDescent="0.25"/>
    <row r="222399" customFormat="1" x14ac:dyDescent="0.25"/>
    <row r="222400" customFormat="1" x14ac:dyDescent="0.25"/>
    <row r="222401" customFormat="1" x14ac:dyDescent="0.25"/>
    <row r="222402" customFormat="1" x14ac:dyDescent="0.25"/>
    <row r="222403" customFormat="1" x14ac:dyDescent="0.25"/>
    <row r="222404" customFormat="1" x14ac:dyDescent="0.25"/>
    <row r="222405" customFormat="1" x14ac:dyDescent="0.25"/>
    <row r="222406" customFormat="1" x14ac:dyDescent="0.25"/>
    <row r="222407" customFormat="1" x14ac:dyDescent="0.25"/>
    <row r="222408" customFormat="1" x14ac:dyDescent="0.25"/>
    <row r="222409" customFormat="1" x14ac:dyDescent="0.25"/>
    <row r="222410" customFormat="1" x14ac:dyDescent="0.25"/>
    <row r="222411" customFormat="1" x14ac:dyDescent="0.25"/>
    <row r="222412" customFormat="1" x14ac:dyDescent="0.25"/>
    <row r="222413" customFormat="1" x14ac:dyDescent="0.25"/>
    <row r="222414" customFormat="1" x14ac:dyDescent="0.25"/>
    <row r="222415" customFormat="1" x14ac:dyDescent="0.25"/>
    <row r="222416" customFormat="1" x14ac:dyDescent="0.25"/>
    <row r="222417" customFormat="1" x14ac:dyDescent="0.25"/>
    <row r="222418" customFormat="1" x14ac:dyDescent="0.25"/>
    <row r="222419" customFormat="1" x14ac:dyDescent="0.25"/>
    <row r="222420" customFormat="1" x14ac:dyDescent="0.25"/>
    <row r="222421" customFormat="1" x14ac:dyDescent="0.25"/>
    <row r="222422" customFormat="1" x14ac:dyDescent="0.25"/>
    <row r="222423" customFormat="1" x14ac:dyDescent="0.25"/>
    <row r="222424" customFormat="1" x14ac:dyDescent="0.25"/>
    <row r="222425" customFormat="1" x14ac:dyDescent="0.25"/>
    <row r="222426" customFormat="1" x14ac:dyDescent="0.25"/>
    <row r="222427" customFormat="1" x14ac:dyDescent="0.25"/>
    <row r="222428" customFormat="1" x14ac:dyDescent="0.25"/>
    <row r="222429" customFormat="1" x14ac:dyDescent="0.25"/>
    <row r="222430" customFormat="1" x14ac:dyDescent="0.25"/>
    <row r="222431" customFormat="1" x14ac:dyDescent="0.25"/>
    <row r="222432" customFormat="1" x14ac:dyDescent="0.25"/>
    <row r="222433" customFormat="1" x14ac:dyDescent="0.25"/>
    <row r="222434" customFormat="1" x14ac:dyDescent="0.25"/>
    <row r="222435" customFormat="1" x14ac:dyDescent="0.25"/>
    <row r="222436" customFormat="1" x14ac:dyDescent="0.25"/>
    <row r="222437" customFormat="1" x14ac:dyDescent="0.25"/>
    <row r="222438" customFormat="1" x14ac:dyDescent="0.25"/>
    <row r="222439" customFormat="1" x14ac:dyDescent="0.25"/>
    <row r="222440" customFormat="1" x14ac:dyDescent="0.25"/>
    <row r="222441" customFormat="1" x14ac:dyDescent="0.25"/>
    <row r="222442" customFormat="1" x14ac:dyDescent="0.25"/>
    <row r="222443" customFormat="1" x14ac:dyDescent="0.25"/>
    <row r="222444" customFormat="1" x14ac:dyDescent="0.25"/>
    <row r="222445" customFormat="1" x14ac:dyDescent="0.25"/>
    <row r="222446" customFormat="1" x14ac:dyDescent="0.25"/>
    <row r="222447" customFormat="1" x14ac:dyDescent="0.25"/>
    <row r="222448" customFormat="1" x14ac:dyDescent="0.25"/>
    <row r="222449" customFormat="1" x14ac:dyDescent="0.25"/>
    <row r="222450" customFormat="1" x14ac:dyDescent="0.25"/>
    <row r="222451" customFormat="1" x14ac:dyDescent="0.25"/>
    <row r="222452" customFormat="1" x14ac:dyDescent="0.25"/>
    <row r="222453" customFormat="1" x14ac:dyDescent="0.25"/>
    <row r="222454" customFormat="1" x14ac:dyDescent="0.25"/>
    <row r="222455" customFormat="1" x14ac:dyDescent="0.25"/>
    <row r="222456" customFormat="1" x14ac:dyDescent="0.25"/>
    <row r="222457" customFormat="1" x14ac:dyDescent="0.25"/>
    <row r="222458" customFormat="1" x14ac:dyDescent="0.25"/>
    <row r="222459" customFormat="1" x14ac:dyDescent="0.25"/>
    <row r="222460" customFormat="1" x14ac:dyDescent="0.25"/>
    <row r="222461" customFormat="1" x14ac:dyDescent="0.25"/>
    <row r="222462" customFormat="1" x14ac:dyDescent="0.25"/>
    <row r="222463" customFormat="1" x14ac:dyDescent="0.25"/>
    <row r="222464" customFormat="1" x14ac:dyDescent="0.25"/>
    <row r="222465" customFormat="1" x14ac:dyDescent="0.25"/>
    <row r="222466" customFormat="1" x14ac:dyDescent="0.25"/>
    <row r="222467" customFormat="1" x14ac:dyDescent="0.25"/>
    <row r="222468" customFormat="1" x14ac:dyDescent="0.25"/>
    <row r="222469" customFormat="1" x14ac:dyDescent="0.25"/>
    <row r="222470" customFormat="1" x14ac:dyDescent="0.25"/>
    <row r="222471" customFormat="1" x14ac:dyDescent="0.25"/>
    <row r="222472" customFormat="1" x14ac:dyDescent="0.25"/>
    <row r="222473" customFormat="1" x14ac:dyDescent="0.25"/>
    <row r="222474" customFormat="1" x14ac:dyDescent="0.25"/>
    <row r="222475" customFormat="1" x14ac:dyDescent="0.25"/>
    <row r="222476" customFormat="1" x14ac:dyDescent="0.25"/>
    <row r="222477" customFormat="1" x14ac:dyDescent="0.25"/>
    <row r="222478" customFormat="1" x14ac:dyDescent="0.25"/>
    <row r="222479" customFormat="1" x14ac:dyDescent="0.25"/>
    <row r="222480" customFormat="1" x14ac:dyDescent="0.25"/>
    <row r="222481" customFormat="1" x14ac:dyDescent="0.25"/>
    <row r="222482" customFormat="1" x14ac:dyDescent="0.25"/>
    <row r="222483" customFormat="1" x14ac:dyDescent="0.25"/>
    <row r="222484" customFormat="1" x14ac:dyDescent="0.25"/>
    <row r="222485" customFormat="1" x14ac:dyDescent="0.25"/>
    <row r="222486" customFormat="1" x14ac:dyDescent="0.25"/>
    <row r="222487" customFormat="1" x14ac:dyDescent="0.25"/>
    <row r="222488" customFormat="1" x14ac:dyDescent="0.25"/>
    <row r="222489" customFormat="1" x14ac:dyDescent="0.25"/>
    <row r="222490" customFormat="1" x14ac:dyDescent="0.25"/>
    <row r="222491" customFormat="1" x14ac:dyDescent="0.25"/>
    <row r="222492" customFormat="1" x14ac:dyDescent="0.25"/>
    <row r="222493" customFormat="1" x14ac:dyDescent="0.25"/>
    <row r="222494" customFormat="1" x14ac:dyDescent="0.25"/>
    <row r="222495" customFormat="1" x14ac:dyDescent="0.25"/>
    <row r="222496" customFormat="1" x14ac:dyDescent="0.25"/>
    <row r="222497" customFormat="1" x14ac:dyDescent="0.25"/>
    <row r="222498" customFormat="1" x14ac:dyDescent="0.25"/>
    <row r="222499" customFormat="1" x14ac:dyDescent="0.25"/>
    <row r="222500" customFormat="1" x14ac:dyDescent="0.25"/>
    <row r="222501" customFormat="1" x14ac:dyDescent="0.25"/>
    <row r="222502" customFormat="1" x14ac:dyDescent="0.25"/>
    <row r="222503" customFormat="1" x14ac:dyDescent="0.25"/>
    <row r="222504" customFormat="1" x14ac:dyDescent="0.25"/>
    <row r="222505" customFormat="1" x14ac:dyDescent="0.25"/>
    <row r="222506" customFormat="1" x14ac:dyDescent="0.25"/>
    <row r="222507" customFormat="1" x14ac:dyDescent="0.25"/>
    <row r="222508" customFormat="1" x14ac:dyDescent="0.25"/>
    <row r="222509" customFormat="1" x14ac:dyDescent="0.25"/>
    <row r="222510" customFormat="1" x14ac:dyDescent="0.25"/>
    <row r="222511" customFormat="1" x14ac:dyDescent="0.25"/>
    <row r="222512" customFormat="1" x14ac:dyDescent="0.25"/>
    <row r="222513" customFormat="1" x14ac:dyDescent="0.25"/>
    <row r="222514" customFormat="1" x14ac:dyDescent="0.25"/>
    <row r="222515" customFormat="1" x14ac:dyDescent="0.25"/>
    <row r="222516" customFormat="1" x14ac:dyDescent="0.25"/>
    <row r="222517" customFormat="1" x14ac:dyDescent="0.25"/>
    <row r="222518" customFormat="1" x14ac:dyDescent="0.25"/>
    <row r="222519" customFormat="1" x14ac:dyDescent="0.25"/>
    <row r="222520" customFormat="1" x14ac:dyDescent="0.25"/>
    <row r="222521" customFormat="1" x14ac:dyDescent="0.25"/>
    <row r="222522" customFormat="1" x14ac:dyDescent="0.25"/>
    <row r="222523" customFormat="1" x14ac:dyDescent="0.25"/>
    <row r="222524" customFormat="1" x14ac:dyDescent="0.25"/>
    <row r="222525" customFormat="1" x14ac:dyDescent="0.25"/>
    <row r="222526" customFormat="1" x14ac:dyDescent="0.25"/>
    <row r="222527" customFormat="1" x14ac:dyDescent="0.25"/>
    <row r="222528" customFormat="1" x14ac:dyDescent="0.25"/>
    <row r="222529" customFormat="1" x14ac:dyDescent="0.25"/>
    <row r="222530" customFormat="1" x14ac:dyDescent="0.25"/>
    <row r="222531" customFormat="1" x14ac:dyDescent="0.25"/>
    <row r="222532" customFormat="1" x14ac:dyDescent="0.25"/>
    <row r="222533" customFormat="1" x14ac:dyDescent="0.25"/>
    <row r="222534" customFormat="1" x14ac:dyDescent="0.25"/>
    <row r="222535" customFormat="1" x14ac:dyDescent="0.25"/>
    <row r="222536" customFormat="1" x14ac:dyDescent="0.25"/>
    <row r="222537" customFormat="1" x14ac:dyDescent="0.25"/>
    <row r="222538" customFormat="1" x14ac:dyDescent="0.25"/>
    <row r="222539" customFormat="1" x14ac:dyDescent="0.25"/>
    <row r="222540" customFormat="1" x14ac:dyDescent="0.25"/>
    <row r="222541" customFormat="1" x14ac:dyDescent="0.25"/>
    <row r="222542" customFormat="1" x14ac:dyDescent="0.25"/>
    <row r="222543" customFormat="1" x14ac:dyDescent="0.25"/>
    <row r="222544" customFormat="1" x14ac:dyDescent="0.25"/>
    <row r="222545" customFormat="1" x14ac:dyDescent="0.25"/>
    <row r="222546" customFormat="1" x14ac:dyDescent="0.25"/>
    <row r="222547" customFormat="1" x14ac:dyDescent="0.25"/>
    <row r="222548" customFormat="1" x14ac:dyDescent="0.25"/>
    <row r="222549" customFormat="1" x14ac:dyDescent="0.25"/>
    <row r="222550" customFormat="1" x14ac:dyDescent="0.25"/>
    <row r="222551" customFormat="1" x14ac:dyDescent="0.25"/>
    <row r="222552" customFormat="1" x14ac:dyDescent="0.25"/>
    <row r="222553" customFormat="1" x14ac:dyDescent="0.25"/>
    <row r="222554" customFormat="1" x14ac:dyDescent="0.25"/>
    <row r="222555" customFormat="1" x14ac:dyDescent="0.25"/>
    <row r="222556" customFormat="1" x14ac:dyDescent="0.25"/>
    <row r="222557" customFormat="1" x14ac:dyDescent="0.25"/>
    <row r="222558" customFormat="1" x14ac:dyDescent="0.25"/>
    <row r="222559" customFormat="1" x14ac:dyDescent="0.25"/>
    <row r="222560" customFormat="1" x14ac:dyDescent="0.25"/>
    <row r="222561" customFormat="1" x14ac:dyDescent="0.25"/>
    <row r="222562" customFormat="1" x14ac:dyDescent="0.25"/>
    <row r="222563" customFormat="1" x14ac:dyDescent="0.25"/>
    <row r="222564" customFormat="1" x14ac:dyDescent="0.25"/>
    <row r="222565" customFormat="1" x14ac:dyDescent="0.25"/>
    <row r="222566" customFormat="1" x14ac:dyDescent="0.25"/>
    <row r="222567" customFormat="1" x14ac:dyDescent="0.25"/>
    <row r="222568" customFormat="1" x14ac:dyDescent="0.25"/>
    <row r="222569" customFormat="1" x14ac:dyDescent="0.25"/>
    <row r="222570" customFormat="1" x14ac:dyDescent="0.25"/>
    <row r="222571" customFormat="1" x14ac:dyDescent="0.25"/>
    <row r="222572" customFormat="1" x14ac:dyDescent="0.25"/>
    <row r="222573" customFormat="1" x14ac:dyDescent="0.25"/>
    <row r="222574" customFormat="1" x14ac:dyDescent="0.25"/>
    <row r="222575" customFormat="1" x14ac:dyDescent="0.25"/>
    <row r="222576" customFormat="1" x14ac:dyDescent="0.25"/>
    <row r="222577" customFormat="1" x14ac:dyDescent="0.25"/>
    <row r="222578" customFormat="1" x14ac:dyDescent="0.25"/>
    <row r="222579" customFormat="1" x14ac:dyDescent="0.25"/>
    <row r="222580" customFormat="1" x14ac:dyDescent="0.25"/>
    <row r="222581" customFormat="1" x14ac:dyDescent="0.25"/>
    <row r="222582" customFormat="1" x14ac:dyDescent="0.25"/>
    <row r="222583" customFormat="1" x14ac:dyDescent="0.25"/>
    <row r="222584" customFormat="1" x14ac:dyDescent="0.25"/>
    <row r="222585" customFormat="1" x14ac:dyDescent="0.25"/>
    <row r="222586" customFormat="1" x14ac:dyDescent="0.25"/>
    <row r="222587" customFormat="1" x14ac:dyDescent="0.25"/>
    <row r="222588" customFormat="1" x14ac:dyDescent="0.25"/>
    <row r="222589" customFormat="1" x14ac:dyDescent="0.25"/>
    <row r="222590" customFormat="1" x14ac:dyDescent="0.25"/>
    <row r="222591" customFormat="1" x14ac:dyDescent="0.25"/>
    <row r="222592" customFormat="1" x14ac:dyDescent="0.25"/>
    <row r="222593" customFormat="1" x14ac:dyDescent="0.25"/>
    <row r="222594" customFormat="1" x14ac:dyDescent="0.25"/>
    <row r="222595" customFormat="1" x14ac:dyDescent="0.25"/>
    <row r="222596" customFormat="1" x14ac:dyDescent="0.25"/>
    <row r="222597" customFormat="1" x14ac:dyDescent="0.25"/>
    <row r="222598" customFormat="1" x14ac:dyDescent="0.25"/>
    <row r="222599" customFormat="1" x14ac:dyDescent="0.25"/>
    <row r="222600" customFormat="1" x14ac:dyDescent="0.25"/>
    <row r="222601" customFormat="1" x14ac:dyDescent="0.25"/>
    <row r="222602" customFormat="1" x14ac:dyDescent="0.25"/>
    <row r="222603" customFormat="1" x14ac:dyDescent="0.25"/>
    <row r="222604" customFormat="1" x14ac:dyDescent="0.25"/>
    <row r="222605" customFormat="1" x14ac:dyDescent="0.25"/>
    <row r="222606" customFormat="1" x14ac:dyDescent="0.25"/>
    <row r="222607" customFormat="1" x14ac:dyDescent="0.25"/>
    <row r="222608" customFormat="1" x14ac:dyDescent="0.25"/>
    <row r="222609" customFormat="1" x14ac:dyDescent="0.25"/>
    <row r="222610" customFormat="1" x14ac:dyDescent="0.25"/>
    <row r="222611" customFormat="1" x14ac:dyDescent="0.25"/>
    <row r="222612" customFormat="1" x14ac:dyDescent="0.25"/>
    <row r="222613" customFormat="1" x14ac:dyDescent="0.25"/>
    <row r="222614" customFormat="1" x14ac:dyDescent="0.25"/>
    <row r="222615" customFormat="1" x14ac:dyDescent="0.25"/>
    <row r="222616" customFormat="1" x14ac:dyDescent="0.25"/>
    <row r="222617" customFormat="1" x14ac:dyDescent="0.25"/>
    <row r="222618" customFormat="1" x14ac:dyDescent="0.25"/>
    <row r="222619" customFormat="1" x14ac:dyDescent="0.25"/>
    <row r="222620" customFormat="1" x14ac:dyDescent="0.25"/>
    <row r="222621" customFormat="1" x14ac:dyDescent="0.25"/>
    <row r="222622" customFormat="1" x14ac:dyDescent="0.25"/>
    <row r="222623" customFormat="1" x14ac:dyDescent="0.25"/>
    <row r="222624" customFormat="1" x14ac:dyDescent="0.25"/>
    <row r="222625" customFormat="1" x14ac:dyDescent="0.25"/>
    <row r="222626" customFormat="1" x14ac:dyDescent="0.25"/>
    <row r="222627" customFormat="1" x14ac:dyDescent="0.25"/>
    <row r="222628" customFormat="1" x14ac:dyDescent="0.25"/>
    <row r="222629" customFormat="1" x14ac:dyDescent="0.25"/>
    <row r="222630" customFormat="1" x14ac:dyDescent="0.25"/>
    <row r="222631" customFormat="1" x14ac:dyDescent="0.25"/>
    <row r="222632" customFormat="1" x14ac:dyDescent="0.25"/>
    <row r="222633" customFormat="1" x14ac:dyDescent="0.25"/>
    <row r="222634" customFormat="1" x14ac:dyDescent="0.25"/>
    <row r="222635" customFormat="1" x14ac:dyDescent="0.25"/>
    <row r="222636" customFormat="1" x14ac:dyDescent="0.25"/>
    <row r="222637" customFormat="1" x14ac:dyDescent="0.25"/>
    <row r="222638" customFormat="1" x14ac:dyDescent="0.25"/>
    <row r="222639" customFormat="1" x14ac:dyDescent="0.25"/>
    <row r="222640" customFormat="1" x14ac:dyDescent="0.25"/>
    <row r="222641" customFormat="1" x14ac:dyDescent="0.25"/>
    <row r="222642" customFormat="1" x14ac:dyDescent="0.25"/>
    <row r="222643" customFormat="1" x14ac:dyDescent="0.25"/>
    <row r="222644" customFormat="1" x14ac:dyDescent="0.25"/>
    <row r="222645" customFormat="1" x14ac:dyDescent="0.25"/>
    <row r="222646" customFormat="1" x14ac:dyDescent="0.25"/>
    <row r="222647" customFormat="1" x14ac:dyDescent="0.25"/>
    <row r="222648" customFormat="1" x14ac:dyDescent="0.25"/>
    <row r="222649" customFormat="1" x14ac:dyDescent="0.25"/>
    <row r="222650" customFormat="1" x14ac:dyDescent="0.25"/>
    <row r="222651" customFormat="1" x14ac:dyDescent="0.25"/>
    <row r="222652" customFormat="1" x14ac:dyDescent="0.25"/>
    <row r="222653" customFormat="1" x14ac:dyDescent="0.25"/>
    <row r="222654" customFormat="1" x14ac:dyDescent="0.25"/>
    <row r="222655" customFormat="1" x14ac:dyDescent="0.25"/>
    <row r="222656" customFormat="1" x14ac:dyDescent="0.25"/>
    <row r="222657" customFormat="1" x14ac:dyDescent="0.25"/>
    <row r="222658" customFormat="1" x14ac:dyDescent="0.25"/>
    <row r="222659" customFormat="1" x14ac:dyDescent="0.25"/>
    <row r="222660" customFormat="1" x14ac:dyDescent="0.25"/>
    <row r="222661" customFormat="1" x14ac:dyDescent="0.25"/>
    <row r="222662" customFormat="1" x14ac:dyDescent="0.25"/>
    <row r="222663" customFormat="1" x14ac:dyDescent="0.25"/>
    <row r="222664" customFormat="1" x14ac:dyDescent="0.25"/>
    <row r="222665" customFormat="1" x14ac:dyDescent="0.25"/>
    <row r="222666" customFormat="1" x14ac:dyDescent="0.25"/>
    <row r="222667" customFormat="1" x14ac:dyDescent="0.25"/>
    <row r="222668" customFormat="1" x14ac:dyDescent="0.25"/>
    <row r="222669" customFormat="1" x14ac:dyDescent="0.25"/>
    <row r="222670" customFormat="1" x14ac:dyDescent="0.25"/>
    <row r="222671" customFormat="1" x14ac:dyDescent="0.25"/>
    <row r="222672" customFormat="1" x14ac:dyDescent="0.25"/>
    <row r="222673" customFormat="1" x14ac:dyDescent="0.25"/>
    <row r="222674" customFormat="1" x14ac:dyDescent="0.25"/>
    <row r="222675" customFormat="1" x14ac:dyDescent="0.25"/>
    <row r="222676" customFormat="1" x14ac:dyDescent="0.25"/>
    <row r="222677" customFormat="1" x14ac:dyDescent="0.25"/>
    <row r="222678" customFormat="1" x14ac:dyDescent="0.25"/>
    <row r="222679" customFormat="1" x14ac:dyDescent="0.25"/>
    <row r="222680" customFormat="1" x14ac:dyDescent="0.25"/>
    <row r="222681" customFormat="1" x14ac:dyDescent="0.25"/>
    <row r="222682" customFormat="1" x14ac:dyDescent="0.25"/>
    <row r="222683" customFormat="1" x14ac:dyDescent="0.25"/>
    <row r="222684" customFormat="1" x14ac:dyDescent="0.25"/>
    <row r="222685" customFormat="1" x14ac:dyDescent="0.25"/>
    <row r="222686" customFormat="1" x14ac:dyDescent="0.25"/>
    <row r="222687" customFormat="1" x14ac:dyDescent="0.25"/>
    <row r="222688" customFormat="1" x14ac:dyDescent="0.25"/>
    <row r="222689" customFormat="1" x14ac:dyDescent="0.25"/>
    <row r="222690" customFormat="1" x14ac:dyDescent="0.25"/>
    <row r="222691" customFormat="1" x14ac:dyDescent="0.25"/>
    <row r="222692" customFormat="1" x14ac:dyDescent="0.25"/>
    <row r="222693" customFormat="1" x14ac:dyDescent="0.25"/>
    <row r="222694" customFormat="1" x14ac:dyDescent="0.25"/>
    <row r="222695" customFormat="1" x14ac:dyDescent="0.25"/>
    <row r="222696" customFormat="1" x14ac:dyDescent="0.25"/>
    <row r="222697" customFormat="1" x14ac:dyDescent="0.25"/>
    <row r="222698" customFormat="1" x14ac:dyDescent="0.25"/>
    <row r="222699" customFormat="1" x14ac:dyDescent="0.25"/>
    <row r="222700" customFormat="1" x14ac:dyDescent="0.25"/>
    <row r="222701" customFormat="1" x14ac:dyDescent="0.25"/>
    <row r="222702" customFormat="1" x14ac:dyDescent="0.25"/>
    <row r="222703" customFormat="1" x14ac:dyDescent="0.25"/>
    <row r="222704" customFormat="1" x14ac:dyDescent="0.25"/>
    <row r="222705" customFormat="1" x14ac:dyDescent="0.25"/>
    <row r="222706" customFormat="1" x14ac:dyDescent="0.25"/>
    <row r="222707" customFormat="1" x14ac:dyDescent="0.25"/>
    <row r="222708" customFormat="1" x14ac:dyDescent="0.25"/>
    <row r="222709" customFormat="1" x14ac:dyDescent="0.25"/>
    <row r="222710" customFormat="1" x14ac:dyDescent="0.25"/>
    <row r="222711" customFormat="1" x14ac:dyDescent="0.25"/>
    <row r="222712" customFormat="1" x14ac:dyDescent="0.25"/>
    <row r="222713" customFormat="1" x14ac:dyDescent="0.25"/>
    <row r="222714" customFormat="1" x14ac:dyDescent="0.25"/>
    <row r="222715" customFormat="1" x14ac:dyDescent="0.25"/>
    <row r="222716" customFormat="1" x14ac:dyDescent="0.25"/>
    <row r="222717" customFormat="1" x14ac:dyDescent="0.25"/>
    <row r="222718" customFormat="1" x14ac:dyDescent="0.25"/>
    <row r="222719" customFormat="1" x14ac:dyDescent="0.25"/>
    <row r="222720" customFormat="1" x14ac:dyDescent="0.25"/>
    <row r="222721" customFormat="1" x14ac:dyDescent="0.25"/>
    <row r="222722" customFormat="1" x14ac:dyDescent="0.25"/>
    <row r="222723" customFormat="1" x14ac:dyDescent="0.25"/>
    <row r="222724" customFormat="1" x14ac:dyDescent="0.25"/>
    <row r="222725" customFormat="1" x14ac:dyDescent="0.25"/>
    <row r="222726" customFormat="1" x14ac:dyDescent="0.25"/>
    <row r="222727" customFormat="1" x14ac:dyDescent="0.25"/>
    <row r="222728" customFormat="1" x14ac:dyDescent="0.25"/>
    <row r="222729" customFormat="1" x14ac:dyDescent="0.25"/>
    <row r="222730" customFormat="1" x14ac:dyDescent="0.25"/>
    <row r="222731" customFormat="1" x14ac:dyDescent="0.25"/>
    <row r="222732" customFormat="1" x14ac:dyDescent="0.25"/>
    <row r="222733" customFormat="1" x14ac:dyDescent="0.25"/>
    <row r="222734" customFormat="1" x14ac:dyDescent="0.25"/>
    <row r="222735" customFormat="1" x14ac:dyDescent="0.25"/>
    <row r="222736" customFormat="1" x14ac:dyDescent="0.25"/>
    <row r="222737" customFormat="1" x14ac:dyDescent="0.25"/>
    <row r="222738" customFormat="1" x14ac:dyDescent="0.25"/>
    <row r="222739" customFormat="1" x14ac:dyDescent="0.25"/>
    <row r="222740" customFormat="1" x14ac:dyDescent="0.25"/>
    <row r="222741" customFormat="1" x14ac:dyDescent="0.25"/>
    <row r="222742" customFormat="1" x14ac:dyDescent="0.25"/>
    <row r="222743" customFormat="1" x14ac:dyDescent="0.25"/>
    <row r="222744" customFormat="1" x14ac:dyDescent="0.25"/>
    <row r="222745" customFormat="1" x14ac:dyDescent="0.25"/>
    <row r="222746" customFormat="1" x14ac:dyDescent="0.25"/>
    <row r="222747" customFormat="1" x14ac:dyDescent="0.25"/>
    <row r="222748" customFormat="1" x14ac:dyDescent="0.25"/>
    <row r="222749" customFormat="1" x14ac:dyDescent="0.25"/>
    <row r="222750" customFormat="1" x14ac:dyDescent="0.25"/>
    <row r="222751" customFormat="1" x14ac:dyDescent="0.25"/>
    <row r="222752" customFormat="1" x14ac:dyDescent="0.25"/>
    <row r="222753" customFormat="1" x14ac:dyDescent="0.25"/>
    <row r="222754" customFormat="1" x14ac:dyDescent="0.25"/>
    <row r="222755" customFormat="1" x14ac:dyDescent="0.25"/>
    <row r="222756" customFormat="1" x14ac:dyDescent="0.25"/>
    <row r="222757" customFormat="1" x14ac:dyDescent="0.25"/>
    <row r="222758" customFormat="1" x14ac:dyDescent="0.25"/>
    <row r="222759" customFormat="1" x14ac:dyDescent="0.25"/>
    <row r="222760" customFormat="1" x14ac:dyDescent="0.25"/>
    <row r="222761" customFormat="1" x14ac:dyDescent="0.25"/>
    <row r="222762" customFormat="1" x14ac:dyDescent="0.25"/>
    <row r="222763" customFormat="1" x14ac:dyDescent="0.25"/>
    <row r="222764" customFormat="1" x14ac:dyDescent="0.25"/>
    <row r="222765" customFormat="1" x14ac:dyDescent="0.25"/>
    <row r="222766" customFormat="1" x14ac:dyDescent="0.25"/>
    <row r="222767" customFormat="1" x14ac:dyDescent="0.25"/>
    <row r="222768" customFormat="1" x14ac:dyDescent="0.25"/>
    <row r="222769" customFormat="1" x14ac:dyDescent="0.25"/>
    <row r="222770" customFormat="1" x14ac:dyDescent="0.25"/>
    <row r="222771" customFormat="1" x14ac:dyDescent="0.25"/>
    <row r="222772" customFormat="1" x14ac:dyDescent="0.25"/>
    <row r="222773" customFormat="1" x14ac:dyDescent="0.25"/>
    <row r="222774" customFormat="1" x14ac:dyDescent="0.25"/>
    <row r="222775" customFormat="1" x14ac:dyDescent="0.25"/>
    <row r="222776" customFormat="1" x14ac:dyDescent="0.25"/>
    <row r="222777" customFormat="1" x14ac:dyDescent="0.25"/>
    <row r="222778" customFormat="1" x14ac:dyDescent="0.25"/>
    <row r="222779" customFormat="1" x14ac:dyDescent="0.25"/>
    <row r="222780" customFormat="1" x14ac:dyDescent="0.25"/>
    <row r="222781" customFormat="1" x14ac:dyDescent="0.25"/>
    <row r="222782" customFormat="1" x14ac:dyDescent="0.25"/>
    <row r="222783" customFormat="1" x14ac:dyDescent="0.25"/>
    <row r="222784" customFormat="1" x14ac:dyDescent="0.25"/>
    <row r="222785" customFormat="1" x14ac:dyDescent="0.25"/>
    <row r="222786" customFormat="1" x14ac:dyDescent="0.25"/>
    <row r="222787" customFormat="1" x14ac:dyDescent="0.25"/>
    <row r="222788" customFormat="1" x14ac:dyDescent="0.25"/>
    <row r="222789" customFormat="1" x14ac:dyDescent="0.25"/>
    <row r="222790" customFormat="1" x14ac:dyDescent="0.25"/>
    <row r="222791" customFormat="1" x14ac:dyDescent="0.25"/>
    <row r="222792" customFormat="1" x14ac:dyDescent="0.25"/>
    <row r="222793" customFormat="1" x14ac:dyDescent="0.25"/>
    <row r="222794" customFormat="1" x14ac:dyDescent="0.25"/>
    <row r="222795" customFormat="1" x14ac:dyDescent="0.25"/>
    <row r="222796" customFormat="1" x14ac:dyDescent="0.25"/>
    <row r="222797" customFormat="1" x14ac:dyDescent="0.25"/>
    <row r="222798" customFormat="1" x14ac:dyDescent="0.25"/>
    <row r="222799" customFormat="1" x14ac:dyDescent="0.25"/>
    <row r="222800" customFormat="1" x14ac:dyDescent="0.25"/>
    <row r="222801" customFormat="1" x14ac:dyDescent="0.25"/>
    <row r="222802" customFormat="1" x14ac:dyDescent="0.25"/>
    <row r="222803" customFormat="1" x14ac:dyDescent="0.25"/>
    <row r="222804" customFormat="1" x14ac:dyDescent="0.25"/>
    <row r="222805" customFormat="1" x14ac:dyDescent="0.25"/>
    <row r="222806" customFormat="1" x14ac:dyDescent="0.25"/>
    <row r="222807" customFormat="1" x14ac:dyDescent="0.25"/>
    <row r="222808" customFormat="1" x14ac:dyDescent="0.25"/>
    <row r="222809" customFormat="1" x14ac:dyDescent="0.25"/>
    <row r="222810" customFormat="1" x14ac:dyDescent="0.25"/>
    <row r="222811" customFormat="1" x14ac:dyDescent="0.25"/>
    <row r="222812" customFormat="1" x14ac:dyDescent="0.25"/>
    <row r="222813" customFormat="1" x14ac:dyDescent="0.25"/>
    <row r="222814" customFormat="1" x14ac:dyDescent="0.25"/>
    <row r="222815" customFormat="1" x14ac:dyDescent="0.25"/>
    <row r="222816" customFormat="1" x14ac:dyDescent="0.25"/>
    <row r="222817" customFormat="1" x14ac:dyDescent="0.25"/>
    <row r="222818" customFormat="1" x14ac:dyDescent="0.25"/>
    <row r="222819" customFormat="1" x14ac:dyDescent="0.25"/>
    <row r="222820" customFormat="1" x14ac:dyDescent="0.25"/>
    <row r="222821" customFormat="1" x14ac:dyDescent="0.25"/>
    <row r="222822" customFormat="1" x14ac:dyDescent="0.25"/>
    <row r="222823" customFormat="1" x14ac:dyDescent="0.25"/>
    <row r="222824" customFormat="1" x14ac:dyDescent="0.25"/>
    <row r="222825" customFormat="1" x14ac:dyDescent="0.25"/>
    <row r="222826" customFormat="1" x14ac:dyDescent="0.25"/>
    <row r="222827" customFormat="1" x14ac:dyDescent="0.25"/>
    <row r="222828" customFormat="1" x14ac:dyDescent="0.25"/>
    <row r="222829" customFormat="1" x14ac:dyDescent="0.25"/>
    <row r="222830" customFormat="1" x14ac:dyDescent="0.25"/>
    <row r="222831" customFormat="1" x14ac:dyDescent="0.25"/>
    <row r="222832" customFormat="1" x14ac:dyDescent="0.25"/>
    <row r="222833" customFormat="1" x14ac:dyDescent="0.25"/>
    <row r="222834" customFormat="1" x14ac:dyDescent="0.25"/>
    <row r="222835" customFormat="1" x14ac:dyDescent="0.25"/>
    <row r="222836" customFormat="1" x14ac:dyDescent="0.25"/>
    <row r="222837" customFormat="1" x14ac:dyDescent="0.25"/>
    <row r="222838" customFormat="1" x14ac:dyDescent="0.25"/>
    <row r="222839" customFormat="1" x14ac:dyDescent="0.25"/>
    <row r="222840" customFormat="1" x14ac:dyDescent="0.25"/>
    <row r="222841" customFormat="1" x14ac:dyDescent="0.25"/>
    <row r="222842" customFormat="1" x14ac:dyDescent="0.25"/>
    <row r="222843" customFormat="1" x14ac:dyDescent="0.25"/>
    <row r="222844" customFormat="1" x14ac:dyDescent="0.25"/>
    <row r="222845" customFormat="1" x14ac:dyDescent="0.25"/>
    <row r="222846" customFormat="1" x14ac:dyDescent="0.25"/>
    <row r="222847" customFormat="1" x14ac:dyDescent="0.25"/>
    <row r="222848" customFormat="1" x14ac:dyDescent="0.25"/>
    <row r="222849" customFormat="1" x14ac:dyDescent="0.25"/>
    <row r="222850" customFormat="1" x14ac:dyDescent="0.25"/>
    <row r="222851" customFormat="1" x14ac:dyDescent="0.25"/>
    <row r="222852" customFormat="1" x14ac:dyDescent="0.25"/>
    <row r="222853" customFormat="1" x14ac:dyDescent="0.25"/>
    <row r="222854" customFormat="1" x14ac:dyDescent="0.25"/>
    <row r="222855" customFormat="1" x14ac:dyDescent="0.25"/>
    <row r="222856" customFormat="1" x14ac:dyDescent="0.25"/>
    <row r="222857" customFormat="1" x14ac:dyDescent="0.25"/>
    <row r="222858" customFormat="1" x14ac:dyDescent="0.25"/>
    <row r="222859" customFormat="1" x14ac:dyDescent="0.25"/>
    <row r="222860" customFormat="1" x14ac:dyDescent="0.25"/>
    <row r="222861" customFormat="1" x14ac:dyDescent="0.25"/>
    <row r="222862" customFormat="1" x14ac:dyDescent="0.25"/>
    <row r="222863" customFormat="1" x14ac:dyDescent="0.25"/>
    <row r="222864" customFormat="1" x14ac:dyDescent="0.25"/>
    <row r="222865" customFormat="1" x14ac:dyDescent="0.25"/>
    <row r="222866" customFormat="1" x14ac:dyDescent="0.25"/>
    <row r="222867" customFormat="1" x14ac:dyDescent="0.25"/>
    <row r="222868" customFormat="1" x14ac:dyDescent="0.25"/>
    <row r="222869" customFormat="1" x14ac:dyDescent="0.25"/>
    <row r="222870" customFormat="1" x14ac:dyDescent="0.25"/>
    <row r="222871" customFormat="1" x14ac:dyDescent="0.25"/>
    <row r="222872" customFormat="1" x14ac:dyDescent="0.25"/>
    <row r="222873" customFormat="1" x14ac:dyDescent="0.25"/>
    <row r="222874" customFormat="1" x14ac:dyDescent="0.25"/>
    <row r="222875" customFormat="1" x14ac:dyDescent="0.25"/>
    <row r="222876" customFormat="1" x14ac:dyDescent="0.25"/>
    <row r="222877" customFormat="1" x14ac:dyDescent="0.25"/>
    <row r="222878" customFormat="1" x14ac:dyDescent="0.25"/>
    <row r="222879" customFormat="1" x14ac:dyDescent="0.25"/>
    <row r="222880" customFormat="1" x14ac:dyDescent="0.25"/>
    <row r="222881" customFormat="1" x14ac:dyDescent="0.25"/>
    <row r="222882" customFormat="1" x14ac:dyDescent="0.25"/>
    <row r="222883" customFormat="1" x14ac:dyDescent="0.25"/>
    <row r="222884" customFormat="1" x14ac:dyDescent="0.25"/>
    <row r="222885" customFormat="1" x14ac:dyDescent="0.25"/>
    <row r="222886" customFormat="1" x14ac:dyDescent="0.25"/>
    <row r="222887" customFormat="1" x14ac:dyDescent="0.25"/>
    <row r="222888" customFormat="1" x14ac:dyDescent="0.25"/>
    <row r="222889" customFormat="1" x14ac:dyDescent="0.25"/>
    <row r="222890" customFormat="1" x14ac:dyDescent="0.25"/>
    <row r="222891" customFormat="1" x14ac:dyDescent="0.25"/>
    <row r="222892" customFormat="1" x14ac:dyDescent="0.25"/>
    <row r="222893" customFormat="1" x14ac:dyDescent="0.25"/>
    <row r="222894" customFormat="1" x14ac:dyDescent="0.25"/>
    <row r="222895" customFormat="1" x14ac:dyDescent="0.25"/>
    <row r="222896" customFormat="1" x14ac:dyDescent="0.25"/>
    <row r="222897" customFormat="1" x14ac:dyDescent="0.25"/>
    <row r="222898" customFormat="1" x14ac:dyDescent="0.25"/>
    <row r="222899" customFormat="1" x14ac:dyDescent="0.25"/>
    <row r="222900" customFormat="1" x14ac:dyDescent="0.25"/>
    <row r="222901" customFormat="1" x14ac:dyDescent="0.25"/>
    <row r="222902" customFormat="1" x14ac:dyDescent="0.25"/>
    <row r="222903" customFormat="1" x14ac:dyDescent="0.25"/>
    <row r="222904" customFormat="1" x14ac:dyDescent="0.25"/>
    <row r="222905" customFormat="1" x14ac:dyDescent="0.25"/>
    <row r="222906" customFormat="1" x14ac:dyDescent="0.25"/>
    <row r="222907" customFormat="1" x14ac:dyDescent="0.25"/>
    <row r="222908" customFormat="1" x14ac:dyDescent="0.25"/>
    <row r="222909" customFormat="1" x14ac:dyDescent="0.25"/>
    <row r="222910" customFormat="1" x14ac:dyDescent="0.25"/>
    <row r="222911" customFormat="1" x14ac:dyDescent="0.25"/>
    <row r="222912" customFormat="1" x14ac:dyDescent="0.25"/>
    <row r="222913" customFormat="1" x14ac:dyDescent="0.25"/>
    <row r="222914" customFormat="1" x14ac:dyDescent="0.25"/>
    <row r="222915" customFormat="1" x14ac:dyDescent="0.25"/>
    <row r="222916" customFormat="1" x14ac:dyDescent="0.25"/>
    <row r="222917" customFormat="1" x14ac:dyDescent="0.25"/>
    <row r="222918" customFormat="1" x14ac:dyDescent="0.25"/>
    <row r="222919" customFormat="1" x14ac:dyDescent="0.25"/>
    <row r="222920" customFormat="1" x14ac:dyDescent="0.25"/>
    <row r="222921" customFormat="1" x14ac:dyDescent="0.25"/>
    <row r="222922" customFormat="1" x14ac:dyDescent="0.25"/>
    <row r="222923" customFormat="1" x14ac:dyDescent="0.25"/>
    <row r="222924" customFormat="1" x14ac:dyDescent="0.25"/>
    <row r="222925" customFormat="1" x14ac:dyDescent="0.25"/>
    <row r="222926" customFormat="1" x14ac:dyDescent="0.25"/>
    <row r="222927" customFormat="1" x14ac:dyDescent="0.25"/>
    <row r="222928" customFormat="1" x14ac:dyDescent="0.25"/>
    <row r="222929" customFormat="1" x14ac:dyDescent="0.25"/>
    <row r="222930" customFormat="1" x14ac:dyDescent="0.25"/>
    <row r="222931" customFormat="1" x14ac:dyDescent="0.25"/>
    <row r="222932" customFormat="1" x14ac:dyDescent="0.25"/>
    <row r="222933" customFormat="1" x14ac:dyDescent="0.25"/>
    <row r="222934" customFormat="1" x14ac:dyDescent="0.25"/>
    <row r="222935" customFormat="1" x14ac:dyDescent="0.25"/>
    <row r="222936" customFormat="1" x14ac:dyDescent="0.25"/>
    <row r="222937" customFormat="1" x14ac:dyDescent="0.25"/>
    <row r="222938" customFormat="1" x14ac:dyDescent="0.25"/>
    <row r="222939" customFormat="1" x14ac:dyDescent="0.25"/>
    <row r="222940" customFormat="1" x14ac:dyDescent="0.25"/>
    <row r="222941" customFormat="1" x14ac:dyDescent="0.25"/>
    <row r="222942" customFormat="1" x14ac:dyDescent="0.25"/>
    <row r="222943" customFormat="1" x14ac:dyDescent="0.25"/>
    <row r="222944" customFormat="1" x14ac:dyDescent="0.25"/>
    <row r="222945" customFormat="1" x14ac:dyDescent="0.25"/>
    <row r="222946" customFormat="1" x14ac:dyDescent="0.25"/>
    <row r="222947" customFormat="1" x14ac:dyDescent="0.25"/>
    <row r="222948" customFormat="1" x14ac:dyDescent="0.25"/>
    <row r="222949" customFormat="1" x14ac:dyDescent="0.25"/>
    <row r="222950" customFormat="1" x14ac:dyDescent="0.25"/>
    <row r="222951" customFormat="1" x14ac:dyDescent="0.25"/>
    <row r="222952" customFormat="1" x14ac:dyDescent="0.25"/>
    <row r="222953" customFormat="1" x14ac:dyDescent="0.25"/>
    <row r="222954" customFormat="1" x14ac:dyDescent="0.25"/>
    <row r="222955" customFormat="1" x14ac:dyDescent="0.25"/>
    <row r="222956" customFormat="1" x14ac:dyDescent="0.25"/>
    <row r="222957" customFormat="1" x14ac:dyDescent="0.25"/>
    <row r="222958" customFormat="1" x14ac:dyDescent="0.25"/>
    <row r="222959" customFormat="1" x14ac:dyDescent="0.25"/>
    <row r="222960" customFormat="1" x14ac:dyDescent="0.25"/>
    <row r="222961" customFormat="1" x14ac:dyDescent="0.25"/>
    <row r="222962" customFormat="1" x14ac:dyDescent="0.25"/>
    <row r="222963" customFormat="1" x14ac:dyDescent="0.25"/>
    <row r="222964" customFormat="1" x14ac:dyDescent="0.25"/>
    <row r="222965" customFormat="1" x14ac:dyDescent="0.25"/>
    <row r="222966" customFormat="1" x14ac:dyDescent="0.25"/>
    <row r="222967" customFormat="1" x14ac:dyDescent="0.25"/>
    <row r="222968" customFormat="1" x14ac:dyDescent="0.25"/>
    <row r="222969" customFormat="1" x14ac:dyDescent="0.25"/>
    <row r="222970" customFormat="1" x14ac:dyDescent="0.25"/>
    <row r="222971" customFormat="1" x14ac:dyDescent="0.25"/>
    <row r="222972" customFormat="1" x14ac:dyDescent="0.25"/>
    <row r="222973" customFormat="1" x14ac:dyDescent="0.25"/>
    <row r="222974" customFormat="1" x14ac:dyDescent="0.25"/>
    <row r="222975" customFormat="1" x14ac:dyDescent="0.25"/>
    <row r="222976" customFormat="1" x14ac:dyDescent="0.25"/>
    <row r="222977" customFormat="1" x14ac:dyDescent="0.25"/>
    <row r="222978" customFormat="1" x14ac:dyDescent="0.25"/>
    <row r="222979" customFormat="1" x14ac:dyDescent="0.25"/>
    <row r="222980" customFormat="1" x14ac:dyDescent="0.25"/>
    <row r="222981" customFormat="1" x14ac:dyDescent="0.25"/>
    <row r="222982" customFormat="1" x14ac:dyDescent="0.25"/>
    <row r="222983" customFormat="1" x14ac:dyDescent="0.25"/>
    <row r="222984" customFormat="1" x14ac:dyDescent="0.25"/>
    <row r="222985" customFormat="1" x14ac:dyDescent="0.25"/>
    <row r="222986" customFormat="1" x14ac:dyDescent="0.25"/>
    <row r="222987" customFormat="1" x14ac:dyDescent="0.25"/>
    <row r="222988" customFormat="1" x14ac:dyDescent="0.25"/>
    <row r="222989" customFormat="1" x14ac:dyDescent="0.25"/>
    <row r="222990" customFormat="1" x14ac:dyDescent="0.25"/>
    <row r="222991" customFormat="1" x14ac:dyDescent="0.25"/>
    <row r="222992" customFormat="1" x14ac:dyDescent="0.25"/>
    <row r="222993" customFormat="1" x14ac:dyDescent="0.25"/>
    <row r="222994" customFormat="1" x14ac:dyDescent="0.25"/>
    <row r="222995" customFormat="1" x14ac:dyDescent="0.25"/>
    <row r="222996" customFormat="1" x14ac:dyDescent="0.25"/>
    <row r="222997" customFormat="1" x14ac:dyDescent="0.25"/>
    <row r="222998" customFormat="1" x14ac:dyDescent="0.25"/>
    <row r="222999" customFormat="1" x14ac:dyDescent="0.25"/>
    <row r="223000" customFormat="1" x14ac:dyDescent="0.25"/>
    <row r="223001" customFormat="1" x14ac:dyDescent="0.25"/>
    <row r="223002" customFormat="1" x14ac:dyDescent="0.25"/>
    <row r="223003" customFormat="1" x14ac:dyDescent="0.25"/>
    <row r="223004" customFormat="1" x14ac:dyDescent="0.25"/>
    <row r="223005" customFormat="1" x14ac:dyDescent="0.25"/>
    <row r="223006" customFormat="1" x14ac:dyDescent="0.25"/>
    <row r="223007" customFormat="1" x14ac:dyDescent="0.25"/>
    <row r="223008" customFormat="1" x14ac:dyDescent="0.25"/>
    <row r="223009" customFormat="1" x14ac:dyDescent="0.25"/>
    <row r="223010" customFormat="1" x14ac:dyDescent="0.25"/>
    <row r="223011" customFormat="1" x14ac:dyDescent="0.25"/>
    <row r="223012" customFormat="1" x14ac:dyDescent="0.25"/>
    <row r="223013" customFormat="1" x14ac:dyDescent="0.25"/>
    <row r="223014" customFormat="1" x14ac:dyDescent="0.25"/>
    <row r="223015" customFormat="1" x14ac:dyDescent="0.25"/>
    <row r="223016" customFormat="1" x14ac:dyDescent="0.25"/>
    <row r="223017" customFormat="1" x14ac:dyDescent="0.25"/>
    <row r="223018" customFormat="1" x14ac:dyDescent="0.25"/>
    <row r="223019" customFormat="1" x14ac:dyDescent="0.25"/>
    <row r="223020" customFormat="1" x14ac:dyDescent="0.25"/>
    <row r="223021" customFormat="1" x14ac:dyDescent="0.25"/>
    <row r="223022" customFormat="1" x14ac:dyDescent="0.25"/>
    <row r="223023" customFormat="1" x14ac:dyDescent="0.25"/>
    <row r="223024" customFormat="1" x14ac:dyDescent="0.25"/>
    <row r="223025" customFormat="1" x14ac:dyDescent="0.25"/>
    <row r="223026" customFormat="1" x14ac:dyDescent="0.25"/>
    <row r="223027" customFormat="1" x14ac:dyDescent="0.25"/>
    <row r="223028" customFormat="1" x14ac:dyDescent="0.25"/>
    <row r="223029" customFormat="1" x14ac:dyDescent="0.25"/>
    <row r="223030" customFormat="1" x14ac:dyDescent="0.25"/>
    <row r="223031" customFormat="1" x14ac:dyDescent="0.25"/>
    <row r="223032" customFormat="1" x14ac:dyDescent="0.25"/>
    <row r="223033" customFormat="1" x14ac:dyDescent="0.25"/>
    <row r="223034" customFormat="1" x14ac:dyDescent="0.25"/>
    <row r="223035" customFormat="1" x14ac:dyDescent="0.25"/>
    <row r="223036" customFormat="1" x14ac:dyDescent="0.25"/>
    <row r="223037" customFormat="1" x14ac:dyDescent="0.25"/>
    <row r="223038" customFormat="1" x14ac:dyDescent="0.25"/>
    <row r="223039" customFormat="1" x14ac:dyDescent="0.25"/>
    <row r="223040" customFormat="1" x14ac:dyDescent="0.25"/>
    <row r="223041" customFormat="1" x14ac:dyDescent="0.25"/>
    <row r="223042" customFormat="1" x14ac:dyDescent="0.25"/>
    <row r="223043" customFormat="1" x14ac:dyDescent="0.25"/>
    <row r="223044" customFormat="1" x14ac:dyDescent="0.25"/>
    <row r="223045" customFormat="1" x14ac:dyDescent="0.25"/>
    <row r="223046" customFormat="1" x14ac:dyDescent="0.25"/>
    <row r="223047" customFormat="1" x14ac:dyDescent="0.25"/>
    <row r="223048" customFormat="1" x14ac:dyDescent="0.25"/>
    <row r="223049" customFormat="1" x14ac:dyDescent="0.25"/>
    <row r="223050" customFormat="1" x14ac:dyDescent="0.25"/>
    <row r="223051" customFormat="1" x14ac:dyDescent="0.25"/>
    <row r="223052" customFormat="1" x14ac:dyDescent="0.25"/>
    <row r="223053" customFormat="1" x14ac:dyDescent="0.25"/>
    <row r="223054" customFormat="1" x14ac:dyDescent="0.25"/>
    <row r="223055" customFormat="1" x14ac:dyDescent="0.25"/>
    <row r="223056" customFormat="1" x14ac:dyDescent="0.25"/>
    <row r="223057" customFormat="1" x14ac:dyDescent="0.25"/>
    <row r="223058" customFormat="1" x14ac:dyDescent="0.25"/>
    <row r="223059" customFormat="1" x14ac:dyDescent="0.25"/>
    <row r="223060" customFormat="1" x14ac:dyDescent="0.25"/>
    <row r="223061" customFormat="1" x14ac:dyDescent="0.25"/>
    <row r="223062" customFormat="1" x14ac:dyDescent="0.25"/>
    <row r="223063" customFormat="1" x14ac:dyDescent="0.25"/>
    <row r="223064" customFormat="1" x14ac:dyDescent="0.25"/>
    <row r="223065" customFormat="1" x14ac:dyDescent="0.25"/>
    <row r="223066" customFormat="1" x14ac:dyDescent="0.25"/>
    <row r="223067" customFormat="1" x14ac:dyDescent="0.25"/>
    <row r="223068" customFormat="1" x14ac:dyDescent="0.25"/>
    <row r="223069" customFormat="1" x14ac:dyDescent="0.25"/>
    <row r="223070" customFormat="1" x14ac:dyDescent="0.25"/>
    <row r="223071" customFormat="1" x14ac:dyDescent="0.25"/>
    <row r="223072" customFormat="1" x14ac:dyDescent="0.25"/>
    <row r="223073" customFormat="1" x14ac:dyDescent="0.25"/>
    <row r="223074" customFormat="1" x14ac:dyDescent="0.25"/>
    <row r="223075" customFormat="1" x14ac:dyDescent="0.25"/>
    <row r="223076" customFormat="1" x14ac:dyDescent="0.25"/>
    <row r="223077" customFormat="1" x14ac:dyDescent="0.25"/>
    <row r="223078" customFormat="1" x14ac:dyDescent="0.25"/>
    <row r="223079" customFormat="1" x14ac:dyDescent="0.25"/>
    <row r="223080" customFormat="1" x14ac:dyDescent="0.25"/>
    <row r="223081" customFormat="1" x14ac:dyDescent="0.25"/>
    <row r="223082" customFormat="1" x14ac:dyDescent="0.25"/>
    <row r="223083" customFormat="1" x14ac:dyDescent="0.25"/>
    <row r="223084" customFormat="1" x14ac:dyDescent="0.25"/>
    <row r="223085" customFormat="1" x14ac:dyDescent="0.25"/>
    <row r="223086" customFormat="1" x14ac:dyDescent="0.25"/>
    <row r="223087" customFormat="1" x14ac:dyDescent="0.25"/>
    <row r="223088" customFormat="1" x14ac:dyDescent="0.25"/>
    <row r="223089" customFormat="1" x14ac:dyDescent="0.25"/>
    <row r="223090" customFormat="1" x14ac:dyDescent="0.25"/>
    <row r="223091" customFormat="1" x14ac:dyDescent="0.25"/>
    <row r="223092" customFormat="1" x14ac:dyDescent="0.25"/>
    <row r="223093" customFormat="1" x14ac:dyDescent="0.25"/>
    <row r="223094" customFormat="1" x14ac:dyDescent="0.25"/>
    <row r="223095" customFormat="1" x14ac:dyDescent="0.25"/>
    <row r="223096" customFormat="1" x14ac:dyDescent="0.25"/>
    <row r="223097" customFormat="1" x14ac:dyDescent="0.25"/>
    <row r="223098" customFormat="1" x14ac:dyDescent="0.25"/>
    <row r="223099" customFormat="1" x14ac:dyDescent="0.25"/>
    <row r="223100" customFormat="1" x14ac:dyDescent="0.25"/>
    <row r="223101" customFormat="1" x14ac:dyDescent="0.25"/>
    <row r="223102" customFormat="1" x14ac:dyDescent="0.25"/>
    <row r="223103" customFormat="1" x14ac:dyDescent="0.25"/>
    <row r="223104" customFormat="1" x14ac:dyDescent="0.25"/>
    <row r="223105" customFormat="1" x14ac:dyDescent="0.25"/>
    <row r="223106" customFormat="1" x14ac:dyDescent="0.25"/>
    <row r="223107" customFormat="1" x14ac:dyDescent="0.25"/>
    <row r="223108" customFormat="1" x14ac:dyDescent="0.25"/>
    <row r="223109" customFormat="1" x14ac:dyDescent="0.25"/>
    <row r="223110" customFormat="1" x14ac:dyDescent="0.25"/>
    <row r="223111" customFormat="1" x14ac:dyDescent="0.25"/>
    <row r="223112" customFormat="1" x14ac:dyDescent="0.25"/>
    <row r="223113" customFormat="1" x14ac:dyDescent="0.25"/>
    <row r="223114" customFormat="1" x14ac:dyDescent="0.25"/>
    <row r="223115" customFormat="1" x14ac:dyDescent="0.25"/>
    <row r="223116" customFormat="1" x14ac:dyDescent="0.25"/>
    <row r="223117" customFormat="1" x14ac:dyDescent="0.25"/>
    <row r="223118" customFormat="1" x14ac:dyDescent="0.25"/>
    <row r="223119" customFormat="1" x14ac:dyDescent="0.25"/>
    <row r="223120" customFormat="1" x14ac:dyDescent="0.25"/>
    <row r="223121" customFormat="1" x14ac:dyDescent="0.25"/>
    <row r="223122" customFormat="1" x14ac:dyDescent="0.25"/>
    <row r="223123" customFormat="1" x14ac:dyDescent="0.25"/>
    <row r="223124" customFormat="1" x14ac:dyDescent="0.25"/>
    <row r="223125" customFormat="1" x14ac:dyDescent="0.25"/>
    <row r="223126" customFormat="1" x14ac:dyDescent="0.25"/>
    <row r="223127" customFormat="1" x14ac:dyDescent="0.25"/>
    <row r="223128" customFormat="1" x14ac:dyDescent="0.25"/>
    <row r="223129" customFormat="1" x14ac:dyDescent="0.25"/>
    <row r="223130" customFormat="1" x14ac:dyDescent="0.25"/>
    <row r="223131" customFormat="1" x14ac:dyDescent="0.25"/>
    <row r="223132" customFormat="1" x14ac:dyDescent="0.25"/>
    <row r="223133" customFormat="1" x14ac:dyDescent="0.25"/>
    <row r="223134" customFormat="1" x14ac:dyDescent="0.25"/>
    <row r="223135" customFormat="1" x14ac:dyDescent="0.25"/>
    <row r="223136" customFormat="1" x14ac:dyDescent="0.25"/>
    <row r="223137" customFormat="1" x14ac:dyDescent="0.25"/>
    <row r="223138" customFormat="1" x14ac:dyDescent="0.25"/>
    <row r="223139" customFormat="1" x14ac:dyDescent="0.25"/>
    <row r="223140" customFormat="1" x14ac:dyDescent="0.25"/>
    <row r="223141" customFormat="1" x14ac:dyDescent="0.25"/>
    <row r="223142" customFormat="1" x14ac:dyDescent="0.25"/>
    <row r="223143" customFormat="1" x14ac:dyDescent="0.25"/>
    <row r="223144" customFormat="1" x14ac:dyDescent="0.25"/>
    <row r="223145" customFormat="1" x14ac:dyDescent="0.25"/>
    <row r="223146" customFormat="1" x14ac:dyDescent="0.25"/>
    <row r="223147" customFormat="1" x14ac:dyDescent="0.25"/>
    <row r="223148" customFormat="1" x14ac:dyDescent="0.25"/>
    <row r="223149" customFormat="1" x14ac:dyDescent="0.25"/>
    <row r="223150" customFormat="1" x14ac:dyDescent="0.25"/>
    <row r="223151" customFormat="1" x14ac:dyDescent="0.25"/>
    <row r="223152" customFormat="1" x14ac:dyDescent="0.25"/>
    <row r="223153" customFormat="1" x14ac:dyDescent="0.25"/>
    <row r="223154" customFormat="1" x14ac:dyDescent="0.25"/>
    <row r="223155" customFormat="1" x14ac:dyDescent="0.25"/>
    <row r="223156" customFormat="1" x14ac:dyDescent="0.25"/>
    <row r="223157" customFormat="1" x14ac:dyDescent="0.25"/>
    <row r="223158" customFormat="1" x14ac:dyDescent="0.25"/>
    <row r="223159" customFormat="1" x14ac:dyDescent="0.25"/>
    <row r="223160" customFormat="1" x14ac:dyDescent="0.25"/>
    <row r="223161" customFormat="1" x14ac:dyDescent="0.25"/>
    <row r="223162" customFormat="1" x14ac:dyDescent="0.25"/>
    <row r="223163" customFormat="1" x14ac:dyDescent="0.25"/>
    <row r="223164" customFormat="1" x14ac:dyDescent="0.25"/>
    <row r="223165" customFormat="1" x14ac:dyDescent="0.25"/>
    <row r="223166" customFormat="1" x14ac:dyDescent="0.25"/>
    <row r="223167" customFormat="1" x14ac:dyDescent="0.25"/>
    <row r="223168" customFormat="1" x14ac:dyDescent="0.25"/>
    <row r="223169" customFormat="1" x14ac:dyDescent="0.25"/>
    <row r="223170" customFormat="1" x14ac:dyDescent="0.25"/>
    <row r="223171" customFormat="1" x14ac:dyDescent="0.25"/>
    <row r="223172" customFormat="1" x14ac:dyDescent="0.25"/>
    <row r="223173" customFormat="1" x14ac:dyDescent="0.25"/>
    <row r="223174" customFormat="1" x14ac:dyDescent="0.25"/>
    <row r="223175" customFormat="1" x14ac:dyDescent="0.25"/>
    <row r="223176" customFormat="1" x14ac:dyDescent="0.25"/>
    <row r="223177" customFormat="1" x14ac:dyDescent="0.25"/>
    <row r="223178" customFormat="1" x14ac:dyDescent="0.25"/>
    <row r="223179" customFormat="1" x14ac:dyDescent="0.25"/>
    <row r="223180" customFormat="1" x14ac:dyDescent="0.25"/>
    <row r="223181" customFormat="1" x14ac:dyDescent="0.25"/>
    <row r="223182" customFormat="1" x14ac:dyDescent="0.25"/>
    <row r="223183" customFormat="1" x14ac:dyDescent="0.25"/>
    <row r="223184" customFormat="1" x14ac:dyDescent="0.25"/>
    <row r="223185" customFormat="1" x14ac:dyDescent="0.25"/>
    <row r="223186" customFormat="1" x14ac:dyDescent="0.25"/>
    <row r="223187" customFormat="1" x14ac:dyDescent="0.25"/>
    <row r="223188" customFormat="1" x14ac:dyDescent="0.25"/>
    <row r="223189" customFormat="1" x14ac:dyDescent="0.25"/>
    <row r="223190" customFormat="1" x14ac:dyDescent="0.25"/>
    <row r="223191" customFormat="1" x14ac:dyDescent="0.25"/>
    <row r="223192" customFormat="1" x14ac:dyDescent="0.25"/>
    <row r="223193" customFormat="1" x14ac:dyDescent="0.25"/>
    <row r="223194" customFormat="1" x14ac:dyDescent="0.25"/>
    <row r="223195" customFormat="1" x14ac:dyDescent="0.25"/>
    <row r="223196" customFormat="1" x14ac:dyDescent="0.25"/>
    <row r="223197" customFormat="1" x14ac:dyDescent="0.25"/>
    <row r="223198" customFormat="1" x14ac:dyDescent="0.25"/>
    <row r="223199" customFormat="1" x14ac:dyDescent="0.25"/>
    <row r="223200" customFormat="1" x14ac:dyDescent="0.25"/>
    <row r="223201" customFormat="1" x14ac:dyDescent="0.25"/>
    <row r="223202" customFormat="1" x14ac:dyDescent="0.25"/>
    <row r="223203" customFormat="1" x14ac:dyDescent="0.25"/>
    <row r="223204" customFormat="1" x14ac:dyDescent="0.25"/>
    <row r="223205" customFormat="1" x14ac:dyDescent="0.25"/>
    <row r="223206" customFormat="1" x14ac:dyDescent="0.25"/>
    <row r="223207" customFormat="1" x14ac:dyDescent="0.25"/>
    <row r="223208" customFormat="1" x14ac:dyDescent="0.25"/>
    <row r="223209" customFormat="1" x14ac:dyDescent="0.25"/>
    <row r="223210" customFormat="1" x14ac:dyDescent="0.25"/>
    <row r="223211" customFormat="1" x14ac:dyDescent="0.25"/>
    <row r="223212" customFormat="1" x14ac:dyDescent="0.25"/>
    <row r="223213" customFormat="1" x14ac:dyDescent="0.25"/>
    <row r="223214" customFormat="1" x14ac:dyDescent="0.25"/>
    <row r="223215" customFormat="1" x14ac:dyDescent="0.25"/>
    <row r="223216" customFormat="1" x14ac:dyDescent="0.25"/>
    <row r="223217" customFormat="1" x14ac:dyDescent="0.25"/>
    <row r="223218" customFormat="1" x14ac:dyDescent="0.25"/>
    <row r="223219" customFormat="1" x14ac:dyDescent="0.25"/>
    <row r="223220" customFormat="1" x14ac:dyDescent="0.25"/>
    <row r="223221" customFormat="1" x14ac:dyDescent="0.25"/>
    <row r="223222" customFormat="1" x14ac:dyDescent="0.25"/>
    <row r="223223" customFormat="1" x14ac:dyDescent="0.25"/>
    <row r="223224" customFormat="1" x14ac:dyDescent="0.25"/>
    <row r="223225" customFormat="1" x14ac:dyDescent="0.25"/>
    <row r="223226" customFormat="1" x14ac:dyDescent="0.25"/>
    <row r="223227" customFormat="1" x14ac:dyDescent="0.25"/>
    <row r="223228" customFormat="1" x14ac:dyDescent="0.25"/>
    <row r="223229" customFormat="1" x14ac:dyDescent="0.25"/>
    <row r="223230" customFormat="1" x14ac:dyDescent="0.25"/>
    <row r="223231" customFormat="1" x14ac:dyDescent="0.25"/>
    <row r="223232" customFormat="1" x14ac:dyDescent="0.25"/>
    <row r="223233" customFormat="1" x14ac:dyDescent="0.25"/>
    <row r="223234" customFormat="1" x14ac:dyDescent="0.25"/>
    <row r="223235" customFormat="1" x14ac:dyDescent="0.25"/>
    <row r="223236" customFormat="1" x14ac:dyDescent="0.25"/>
    <row r="223237" customFormat="1" x14ac:dyDescent="0.25"/>
    <row r="223238" customFormat="1" x14ac:dyDescent="0.25"/>
    <row r="223239" customFormat="1" x14ac:dyDescent="0.25"/>
    <row r="223240" customFormat="1" x14ac:dyDescent="0.25"/>
    <row r="223241" customFormat="1" x14ac:dyDescent="0.25"/>
    <row r="223242" customFormat="1" x14ac:dyDescent="0.25"/>
    <row r="223243" customFormat="1" x14ac:dyDescent="0.25"/>
    <row r="223244" customFormat="1" x14ac:dyDescent="0.25"/>
    <row r="223245" customFormat="1" x14ac:dyDescent="0.25"/>
    <row r="223246" customFormat="1" x14ac:dyDescent="0.25"/>
    <row r="223247" customFormat="1" x14ac:dyDescent="0.25"/>
    <row r="223248" customFormat="1" x14ac:dyDescent="0.25"/>
    <row r="223249" customFormat="1" x14ac:dyDescent="0.25"/>
    <row r="223250" customFormat="1" x14ac:dyDescent="0.25"/>
    <row r="223251" customFormat="1" x14ac:dyDescent="0.25"/>
    <row r="223252" customFormat="1" x14ac:dyDescent="0.25"/>
    <row r="223253" customFormat="1" x14ac:dyDescent="0.25"/>
    <row r="223254" customFormat="1" x14ac:dyDescent="0.25"/>
    <row r="223255" customFormat="1" x14ac:dyDescent="0.25"/>
    <row r="223256" customFormat="1" x14ac:dyDescent="0.25"/>
    <row r="223257" customFormat="1" x14ac:dyDescent="0.25"/>
    <row r="223258" customFormat="1" x14ac:dyDescent="0.25"/>
    <row r="223259" customFormat="1" x14ac:dyDescent="0.25"/>
    <row r="223260" customFormat="1" x14ac:dyDescent="0.25"/>
    <row r="223261" customFormat="1" x14ac:dyDescent="0.25"/>
    <row r="223262" customFormat="1" x14ac:dyDescent="0.25"/>
    <row r="223263" customFormat="1" x14ac:dyDescent="0.25"/>
    <row r="223264" customFormat="1" x14ac:dyDescent="0.25"/>
    <row r="223265" customFormat="1" x14ac:dyDescent="0.25"/>
    <row r="223266" customFormat="1" x14ac:dyDescent="0.25"/>
    <row r="223267" customFormat="1" x14ac:dyDescent="0.25"/>
    <row r="223268" customFormat="1" x14ac:dyDescent="0.25"/>
    <row r="223269" customFormat="1" x14ac:dyDescent="0.25"/>
    <row r="223270" customFormat="1" x14ac:dyDescent="0.25"/>
    <row r="223271" customFormat="1" x14ac:dyDescent="0.25"/>
    <row r="223272" customFormat="1" x14ac:dyDescent="0.25"/>
    <row r="223273" customFormat="1" x14ac:dyDescent="0.25"/>
    <row r="223274" customFormat="1" x14ac:dyDescent="0.25"/>
    <row r="223275" customFormat="1" x14ac:dyDescent="0.25"/>
    <row r="223276" customFormat="1" x14ac:dyDescent="0.25"/>
    <row r="223277" customFormat="1" x14ac:dyDescent="0.25"/>
    <row r="223278" customFormat="1" x14ac:dyDescent="0.25"/>
    <row r="223279" customFormat="1" x14ac:dyDescent="0.25"/>
    <row r="223280" customFormat="1" x14ac:dyDescent="0.25"/>
    <row r="223281" customFormat="1" x14ac:dyDescent="0.25"/>
    <row r="223282" customFormat="1" x14ac:dyDescent="0.25"/>
    <row r="223283" customFormat="1" x14ac:dyDescent="0.25"/>
    <row r="223284" customFormat="1" x14ac:dyDescent="0.25"/>
    <row r="223285" customFormat="1" x14ac:dyDescent="0.25"/>
    <row r="223286" customFormat="1" x14ac:dyDescent="0.25"/>
    <row r="223287" customFormat="1" x14ac:dyDescent="0.25"/>
    <row r="223288" customFormat="1" x14ac:dyDescent="0.25"/>
    <row r="223289" customFormat="1" x14ac:dyDescent="0.25"/>
    <row r="223290" customFormat="1" x14ac:dyDescent="0.25"/>
    <row r="223291" customFormat="1" x14ac:dyDescent="0.25"/>
    <row r="223292" customFormat="1" x14ac:dyDescent="0.25"/>
    <row r="223293" customFormat="1" x14ac:dyDescent="0.25"/>
    <row r="223294" customFormat="1" x14ac:dyDescent="0.25"/>
    <row r="223295" customFormat="1" x14ac:dyDescent="0.25"/>
    <row r="223296" customFormat="1" x14ac:dyDescent="0.25"/>
    <row r="223297" customFormat="1" x14ac:dyDescent="0.25"/>
    <row r="223298" customFormat="1" x14ac:dyDescent="0.25"/>
    <row r="223299" customFormat="1" x14ac:dyDescent="0.25"/>
    <row r="223300" customFormat="1" x14ac:dyDescent="0.25"/>
    <row r="223301" customFormat="1" x14ac:dyDescent="0.25"/>
    <row r="223302" customFormat="1" x14ac:dyDescent="0.25"/>
    <row r="223303" customFormat="1" x14ac:dyDescent="0.25"/>
    <row r="223304" customFormat="1" x14ac:dyDescent="0.25"/>
    <row r="223305" customFormat="1" x14ac:dyDescent="0.25"/>
    <row r="223306" customFormat="1" x14ac:dyDescent="0.25"/>
    <row r="223307" customFormat="1" x14ac:dyDescent="0.25"/>
    <row r="223308" customFormat="1" x14ac:dyDescent="0.25"/>
    <row r="223309" customFormat="1" x14ac:dyDescent="0.25"/>
    <row r="223310" customFormat="1" x14ac:dyDescent="0.25"/>
    <row r="223311" customFormat="1" x14ac:dyDescent="0.25"/>
    <row r="223312" customFormat="1" x14ac:dyDescent="0.25"/>
    <row r="223313" customFormat="1" x14ac:dyDescent="0.25"/>
    <row r="223314" customFormat="1" x14ac:dyDescent="0.25"/>
    <row r="223315" customFormat="1" x14ac:dyDescent="0.25"/>
    <row r="223316" customFormat="1" x14ac:dyDescent="0.25"/>
    <row r="223317" customFormat="1" x14ac:dyDescent="0.25"/>
    <row r="223318" customFormat="1" x14ac:dyDescent="0.25"/>
    <row r="223319" customFormat="1" x14ac:dyDescent="0.25"/>
    <row r="223320" customFormat="1" x14ac:dyDescent="0.25"/>
    <row r="223321" customFormat="1" x14ac:dyDescent="0.25"/>
    <row r="223322" customFormat="1" x14ac:dyDescent="0.25"/>
    <row r="223323" customFormat="1" x14ac:dyDescent="0.25"/>
    <row r="223324" customFormat="1" x14ac:dyDescent="0.25"/>
    <row r="223325" customFormat="1" x14ac:dyDescent="0.25"/>
    <row r="223326" customFormat="1" x14ac:dyDescent="0.25"/>
    <row r="223327" customFormat="1" x14ac:dyDescent="0.25"/>
    <row r="223328" customFormat="1" x14ac:dyDescent="0.25"/>
    <row r="223329" customFormat="1" x14ac:dyDescent="0.25"/>
    <row r="223330" customFormat="1" x14ac:dyDescent="0.25"/>
    <row r="223331" customFormat="1" x14ac:dyDescent="0.25"/>
    <row r="223332" customFormat="1" x14ac:dyDescent="0.25"/>
    <row r="223333" customFormat="1" x14ac:dyDescent="0.25"/>
    <row r="223334" customFormat="1" x14ac:dyDescent="0.25"/>
    <row r="223335" customFormat="1" x14ac:dyDescent="0.25"/>
    <row r="223336" customFormat="1" x14ac:dyDescent="0.25"/>
    <row r="223337" customFormat="1" x14ac:dyDescent="0.25"/>
    <row r="223338" customFormat="1" x14ac:dyDescent="0.25"/>
    <row r="223339" customFormat="1" x14ac:dyDescent="0.25"/>
    <row r="223340" customFormat="1" x14ac:dyDescent="0.25"/>
    <row r="223341" customFormat="1" x14ac:dyDescent="0.25"/>
    <row r="223342" customFormat="1" x14ac:dyDescent="0.25"/>
    <row r="223343" customFormat="1" x14ac:dyDescent="0.25"/>
    <row r="223344" customFormat="1" x14ac:dyDescent="0.25"/>
    <row r="223345" customFormat="1" x14ac:dyDescent="0.25"/>
    <row r="223346" customFormat="1" x14ac:dyDescent="0.25"/>
    <row r="223347" customFormat="1" x14ac:dyDescent="0.25"/>
    <row r="223348" customFormat="1" x14ac:dyDescent="0.25"/>
    <row r="223349" customFormat="1" x14ac:dyDescent="0.25"/>
    <row r="223350" customFormat="1" x14ac:dyDescent="0.25"/>
    <row r="223351" customFormat="1" x14ac:dyDescent="0.25"/>
    <row r="223352" customFormat="1" x14ac:dyDescent="0.25"/>
    <row r="223353" customFormat="1" x14ac:dyDescent="0.25"/>
    <row r="223354" customFormat="1" x14ac:dyDescent="0.25"/>
    <row r="223355" customFormat="1" x14ac:dyDescent="0.25"/>
    <row r="223356" customFormat="1" x14ac:dyDescent="0.25"/>
    <row r="223357" customFormat="1" x14ac:dyDescent="0.25"/>
    <row r="223358" customFormat="1" x14ac:dyDescent="0.25"/>
    <row r="223359" customFormat="1" x14ac:dyDescent="0.25"/>
    <row r="223360" customFormat="1" x14ac:dyDescent="0.25"/>
    <row r="223361" customFormat="1" x14ac:dyDescent="0.25"/>
    <row r="223362" customFormat="1" x14ac:dyDescent="0.25"/>
    <row r="223363" customFormat="1" x14ac:dyDescent="0.25"/>
    <row r="223364" customFormat="1" x14ac:dyDescent="0.25"/>
    <row r="223365" customFormat="1" x14ac:dyDescent="0.25"/>
    <row r="223366" customFormat="1" x14ac:dyDescent="0.25"/>
    <row r="223367" customFormat="1" x14ac:dyDescent="0.25"/>
    <row r="223368" customFormat="1" x14ac:dyDescent="0.25"/>
    <row r="223369" customFormat="1" x14ac:dyDescent="0.25"/>
    <row r="223370" customFormat="1" x14ac:dyDescent="0.25"/>
    <row r="223371" customFormat="1" x14ac:dyDescent="0.25"/>
    <row r="223372" customFormat="1" x14ac:dyDescent="0.25"/>
    <row r="223373" customFormat="1" x14ac:dyDescent="0.25"/>
    <row r="223374" customFormat="1" x14ac:dyDescent="0.25"/>
    <row r="223375" customFormat="1" x14ac:dyDescent="0.25"/>
    <row r="223376" customFormat="1" x14ac:dyDescent="0.25"/>
    <row r="223377" customFormat="1" x14ac:dyDescent="0.25"/>
    <row r="223378" customFormat="1" x14ac:dyDescent="0.25"/>
    <row r="223379" customFormat="1" x14ac:dyDescent="0.25"/>
    <row r="223380" customFormat="1" x14ac:dyDescent="0.25"/>
    <row r="223381" customFormat="1" x14ac:dyDescent="0.25"/>
    <row r="223382" customFormat="1" x14ac:dyDescent="0.25"/>
    <row r="223383" customFormat="1" x14ac:dyDescent="0.25"/>
    <row r="223384" customFormat="1" x14ac:dyDescent="0.25"/>
    <row r="223385" customFormat="1" x14ac:dyDescent="0.25"/>
    <row r="223386" customFormat="1" x14ac:dyDescent="0.25"/>
    <row r="223387" customFormat="1" x14ac:dyDescent="0.25"/>
    <row r="223388" customFormat="1" x14ac:dyDescent="0.25"/>
    <row r="223389" customFormat="1" x14ac:dyDescent="0.25"/>
    <row r="223390" customFormat="1" x14ac:dyDescent="0.25"/>
    <row r="223391" customFormat="1" x14ac:dyDescent="0.25"/>
    <row r="223392" customFormat="1" x14ac:dyDescent="0.25"/>
    <row r="223393" customFormat="1" x14ac:dyDescent="0.25"/>
    <row r="223394" customFormat="1" x14ac:dyDescent="0.25"/>
    <row r="223395" customFormat="1" x14ac:dyDescent="0.25"/>
    <row r="223396" customFormat="1" x14ac:dyDescent="0.25"/>
    <row r="223397" customFormat="1" x14ac:dyDescent="0.25"/>
    <row r="223398" customFormat="1" x14ac:dyDescent="0.25"/>
    <row r="223399" customFormat="1" x14ac:dyDescent="0.25"/>
    <row r="223400" customFormat="1" x14ac:dyDescent="0.25"/>
    <row r="223401" customFormat="1" x14ac:dyDescent="0.25"/>
    <row r="223402" customFormat="1" x14ac:dyDescent="0.25"/>
    <row r="223403" customFormat="1" x14ac:dyDescent="0.25"/>
    <row r="223404" customFormat="1" x14ac:dyDescent="0.25"/>
    <row r="223405" customFormat="1" x14ac:dyDescent="0.25"/>
    <row r="223406" customFormat="1" x14ac:dyDescent="0.25"/>
    <row r="223407" customFormat="1" x14ac:dyDescent="0.25"/>
    <row r="223408" customFormat="1" x14ac:dyDescent="0.25"/>
    <row r="223409" customFormat="1" x14ac:dyDescent="0.25"/>
    <row r="223410" customFormat="1" x14ac:dyDescent="0.25"/>
    <row r="223411" customFormat="1" x14ac:dyDescent="0.25"/>
    <row r="223412" customFormat="1" x14ac:dyDescent="0.25"/>
    <row r="223413" customFormat="1" x14ac:dyDescent="0.25"/>
    <row r="223414" customFormat="1" x14ac:dyDescent="0.25"/>
    <row r="223415" customFormat="1" x14ac:dyDescent="0.25"/>
    <row r="223416" customFormat="1" x14ac:dyDescent="0.25"/>
    <row r="223417" customFormat="1" x14ac:dyDescent="0.25"/>
    <row r="223418" customFormat="1" x14ac:dyDescent="0.25"/>
    <row r="223419" customFormat="1" x14ac:dyDescent="0.25"/>
    <row r="223420" customFormat="1" x14ac:dyDescent="0.25"/>
    <row r="223421" customFormat="1" x14ac:dyDescent="0.25"/>
    <row r="223422" customFormat="1" x14ac:dyDescent="0.25"/>
    <row r="223423" customFormat="1" x14ac:dyDescent="0.25"/>
    <row r="223424" customFormat="1" x14ac:dyDescent="0.25"/>
    <row r="223425" customFormat="1" x14ac:dyDescent="0.25"/>
    <row r="223426" customFormat="1" x14ac:dyDescent="0.25"/>
    <row r="223427" customFormat="1" x14ac:dyDescent="0.25"/>
    <row r="223428" customFormat="1" x14ac:dyDescent="0.25"/>
    <row r="223429" customFormat="1" x14ac:dyDescent="0.25"/>
    <row r="223430" customFormat="1" x14ac:dyDescent="0.25"/>
    <row r="223431" customFormat="1" x14ac:dyDescent="0.25"/>
    <row r="223432" customFormat="1" x14ac:dyDescent="0.25"/>
    <row r="223433" customFormat="1" x14ac:dyDescent="0.25"/>
    <row r="223434" customFormat="1" x14ac:dyDescent="0.25"/>
    <row r="223435" customFormat="1" x14ac:dyDescent="0.25"/>
    <row r="223436" customFormat="1" x14ac:dyDescent="0.25"/>
    <row r="223437" customFormat="1" x14ac:dyDescent="0.25"/>
    <row r="223438" customFormat="1" x14ac:dyDescent="0.25"/>
    <row r="223439" customFormat="1" x14ac:dyDescent="0.25"/>
    <row r="223440" customFormat="1" x14ac:dyDescent="0.25"/>
    <row r="223441" customFormat="1" x14ac:dyDescent="0.25"/>
    <row r="223442" customFormat="1" x14ac:dyDescent="0.25"/>
    <row r="223443" customFormat="1" x14ac:dyDescent="0.25"/>
    <row r="223444" customFormat="1" x14ac:dyDescent="0.25"/>
    <row r="223445" customFormat="1" x14ac:dyDescent="0.25"/>
    <row r="223446" customFormat="1" x14ac:dyDescent="0.25"/>
    <row r="223447" customFormat="1" x14ac:dyDescent="0.25"/>
    <row r="223448" customFormat="1" x14ac:dyDescent="0.25"/>
    <row r="223449" customFormat="1" x14ac:dyDescent="0.25"/>
    <row r="223450" customFormat="1" x14ac:dyDescent="0.25"/>
    <row r="223451" customFormat="1" x14ac:dyDescent="0.25"/>
    <row r="223452" customFormat="1" x14ac:dyDescent="0.25"/>
    <row r="223453" customFormat="1" x14ac:dyDescent="0.25"/>
    <row r="223454" customFormat="1" x14ac:dyDescent="0.25"/>
    <row r="223455" customFormat="1" x14ac:dyDescent="0.25"/>
    <row r="223456" customFormat="1" x14ac:dyDescent="0.25"/>
    <row r="223457" customFormat="1" x14ac:dyDescent="0.25"/>
    <row r="223458" customFormat="1" x14ac:dyDescent="0.25"/>
    <row r="223459" customFormat="1" x14ac:dyDescent="0.25"/>
    <row r="223460" customFormat="1" x14ac:dyDescent="0.25"/>
    <row r="223461" customFormat="1" x14ac:dyDescent="0.25"/>
    <row r="223462" customFormat="1" x14ac:dyDescent="0.25"/>
    <row r="223463" customFormat="1" x14ac:dyDescent="0.25"/>
    <row r="223464" customFormat="1" x14ac:dyDescent="0.25"/>
    <row r="223465" customFormat="1" x14ac:dyDescent="0.25"/>
    <row r="223466" customFormat="1" x14ac:dyDescent="0.25"/>
    <row r="223467" customFormat="1" x14ac:dyDescent="0.25"/>
    <row r="223468" customFormat="1" x14ac:dyDescent="0.25"/>
    <row r="223469" customFormat="1" x14ac:dyDescent="0.25"/>
    <row r="223470" customFormat="1" x14ac:dyDescent="0.25"/>
    <row r="223471" customFormat="1" x14ac:dyDescent="0.25"/>
    <row r="223472" customFormat="1" x14ac:dyDescent="0.25"/>
    <row r="223473" customFormat="1" x14ac:dyDescent="0.25"/>
    <row r="223474" customFormat="1" x14ac:dyDescent="0.25"/>
    <row r="223475" customFormat="1" x14ac:dyDescent="0.25"/>
    <row r="223476" customFormat="1" x14ac:dyDescent="0.25"/>
    <row r="223477" customFormat="1" x14ac:dyDescent="0.25"/>
    <row r="223478" customFormat="1" x14ac:dyDescent="0.25"/>
    <row r="223479" customFormat="1" x14ac:dyDescent="0.25"/>
    <row r="223480" customFormat="1" x14ac:dyDescent="0.25"/>
    <row r="223481" customFormat="1" x14ac:dyDescent="0.25"/>
    <row r="223482" customFormat="1" x14ac:dyDescent="0.25"/>
    <row r="223483" customFormat="1" x14ac:dyDescent="0.25"/>
    <row r="223484" customFormat="1" x14ac:dyDescent="0.25"/>
    <row r="223485" customFormat="1" x14ac:dyDescent="0.25"/>
    <row r="223486" customFormat="1" x14ac:dyDescent="0.25"/>
    <row r="223487" customFormat="1" x14ac:dyDescent="0.25"/>
    <row r="223488" customFormat="1" x14ac:dyDescent="0.25"/>
    <row r="223489" customFormat="1" x14ac:dyDescent="0.25"/>
    <row r="223490" customFormat="1" x14ac:dyDescent="0.25"/>
    <row r="223491" customFormat="1" x14ac:dyDescent="0.25"/>
    <row r="223492" customFormat="1" x14ac:dyDescent="0.25"/>
    <row r="223493" customFormat="1" x14ac:dyDescent="0.25"/>
    <row r="223494" customFormat="1" x14ac:dyDescent="0.25"/>
    <row r="223495" customFormat="1" x14ac:dyDescent="0.25"/>
    <row r="223496" customFormat="1" x14ac:dyDescent="0.25"/>
    <row r="223497" customFormat="1" x14ac:dyDescent="0.25"/>
    <row r="223498" customFormat="1" x14ac:dyDescent="0.25"/>
    <row r="223499" customFormat="1" x14ac:dyDescent="0.25"/>
    <row r="223500" customFormat="1" x14ac:dyDescent="0.25"/>
    <row r="223501" customFormat="1" x14ac:dyDescent="0.25"/>
    <row r="223502" customFormat="1" x14ac:dyDescent="0.25"/>
    <row r="223503" customFormat="1" x14ac:dyDescent="0.25"/>
    <row r="223504" customFormat="1" x14ac:dyDescent="0.25"/>
    <row r="223505" customFormat="1" x14ac:dyDescent="0.25"/>
    <row r="223506" customFormat="1" x14ac:dyDescent="0.25"/>
    <row r="223507" customFormat="1" x14ac:dyDescent="0.25"/>
    <row r="223508" customFormat="1" x14ac:dyDescent="0.25"/>
    <row r="223509" customFormat="1" x14ac:dyDescent="0.25"/>
    <row r="223510" customFormat="1" x14ac:dyDescent="0.25"/>
    <row r="223511" customFormat="1" x14ac:dyDescent="0.25"/>
    <row r="223512" customFormat="1" x14ac:dyDescent="0.25"/>
    <row r="223513" customFormat="1" x14ac:dyDescent="0.25"/>
    <row r="223514" customFormat="1" x14ac:dyDescent="0.25"/>
    <row r="223515" customFormat="1" x14ac:dyDescent="0.25"/>
    <row r="223516" customFormat="1" x14ac:dyDescent="0.25"/>
    <row r="223517" customFormat="1" x14ac:dyDescent="0.25"/>
    <row r="223518" customFormat="1" x14ac:dyDescent="0.25"/>
    <row r="223519" customFormat="1" x14ac:dyDescent="0.25"/>
    <row r="223520" customFormat="1" x14ac:dyDescent="0.25"/>
    <row r="223521" customFormat="1" x14ac:dyDescent="0.25"/>
    <row r="223522" customFormat="1" x14ac:dyDescent="0.25"/>
    <row r="223523" customFormat="1" x14ac:dyDescent="0.25"/>
    <row r="223524" customFormat="1" x14ac:dyDescent="0.25"/>
    <row r="223525" customFormat="1" x14ac:dyDescent="0.25"/>
    <row r="223526" customFormat="1" x14ac:dyDescent="0.25"/>
    <row r="223527" customFormat="1" x14ac:dyDescent="0.25"/>
    <row r="223528" customFormat="1" x14ac:dyDescent="0.25"/>
    <row r="223529" customFormat="1" x14ac:dyDescent="0.25"/>
    <row r="223530" customFormat="1" x14ac:dyDescent="0.25"/>
    <row r="223531" customFormat="1" x14ac:dyDescent="0.25"/>
    <row r="223532" customFormat="1" x14ac:dyDescent="0.25"/>
    <row r="223533" customFormat="1" x14ac:dyDescent="0.25"/>
    <row r="223534" customFormat="1" x14ac:dyDescent="0.25"/>
    <row r="223535" customFormat="1" x14ac:dyDescent="0.25"/>
    <row r="223536" customFormat="1" x14ac:dyDescent="0.25"/>
    <row r="223537" customFormat="1" x14ac:dyDescent="0.25"/>
    <row r="223538" customFormat="1" x14ac:dyDescent="0.25"/>
    <row r="223539" customFormat="1" x14ac:dyDescent="0.25"/>
    <row r="223540" customFormat="1" x14ac:dyDescent="0.25"/>
    <row r="223541" customFormat="1" x14ac:dyDescent="0.25"/>
    <row r="223542" customFormat="1" x14ac:dyDescent="0.25"/>
    <row r="223543" customFormat="1" x14ac:dyDescent="0.25"/>
    <row r="223544" customFormat="1" x14ac:dyDescent="0.25"/>
    <row r="223545" customFormat="1" x14ac:dyDescent="0.25"/>
    <row r="223546" customFormat="1" x14ac:dyDescent="0.25"/>
    <row r="223547" customFormat="1" x14ac:dyDescent="0.25"/>
    <row r="223548" customFormat="1" x14ac:dyDescent="0.25"/>
    <row r="223549" customFormat="1" x14ac:dyDescent="0.25"/>
    <row r="223550" customFormat="1" x14ac:dyDescent="0.25"/>
    <row r="223551" customFormat="1" x14ac:dyDescent="0.25"/>
    <row r="223552" customFormat="1" x14ac:dyDescent="0.25"/>
    <row r="223553" customFormat="1" x14ac:dyDescent="0.25"/>
    <row r="223554" customFormat="1" x14ac:dyDescent="0.25"/>
    <row r="223555" customFormat="1" x14ac:dyDescent="0.25"/>
    <row r="223556" customFormat="1" x14ac:dyDescent="0.25"/>
    <row r="223557" customFormat="1" x14ac:dyDescent="0.25"/>
    <row r="223558" customFormat="1" x14ac:dyDescent="0.25"/>
    <row r="223559" customFormat="1" x14ac:dyDescent="0.25"/>
    <row r="223560" customFormat="1" x14ac:dyDescent="0.25"/>
    <row r="223561" customFormat="1" x14ac:dyDescent="0.25"/>
    <row r="223562" customFormat="1" x14ac:dyDescent="0.25"/>
    <row r="223563" customFormat="1" x14ac:dyDescent="0.25"/>
    <row r="223564" customFormat="1" x14ac:dyDescent="0.25"/>
    <row r="223565" customFormat="1" x14ac:dyDescent="0.25"/>
    <row r="223566" customFormat="1" x14ac:dyDescent="0.25"/>
    <row r="223567" customFormat="1" x14ac:dyDescent="0.25"/>
    <row r="223568" customFormat="1" x14ac:dyDescent="0.25"/>
    <row r="223569" customFormat="1" x14ac:dyDescent="0.25"/>
    <row r="223570" customFormat="1" x14ac:dyDescent="0.25"/>
    <row r="223571" customFormat="1" x14ac:dyDescent="0.25"/>
    <row r="223572" customFormat="1" x14ac:dyDescent="0.25"/>
    <row r="223573" customFormat="1" x14ac:dyDescent="0.25"/>
    <row r="223574" customFormat="1" x14ac:dyDescent="0.25"/>
    <row r="223575" customFormat="1" x14ac:dyDescent="0.25"/>
    <row r="223576" customFormat="1" x14ac:dyDescent="0.25"/>
    <row r="223577" customFormat="1" x14ac:dyDescent="0.25"/>
    <row r="223578" customFormat="1" x14ac:dyDescent="0.25"/>
    <row r="223579" customFormat="1" x14ac:dyDescent="0.25"/>
    <row r="223580" customFormat="1" x14ac:dyDescent="0.25"/>
    <row r="223581" customFormat="1" x14ac:dyDescent="0.25"/>
    <row r="223582" customFormat="1" x14ac:dyDescent="0.25"/>
    <row r="223583" customFormat="1" x14ac:dyDescent="0.25"/>
    <row r="223584" customFormat="1" x14ac:dyDescent="0.25"/>
    <row r="223585" customFormat="1" x14ac:dyDescent="0.25"/>
    <row r="223586" customFormat="1" x14ac:dyDescent="0.25"/>
    <row r="223587" customFormat="1" x14ac:dyDescent="0.25"/>
    <row r="223588" customFormat="1" x14ac:dyDescent="0.25"/>
    <row r="223589" customFormat="1" x14ac:dyDescent="0.25"/>
    <row r="223590" customFormat="1" x14ac:dyDescent="0.25"/>
    <row r="223591" customFormat="1" x14ac:dyDescent="0.25"/>
    <row r="223592" customFormat="1" x14ac:dyDescent="0.25"/>
    <row r="223593" customFormat="1" x14ac:dyDescent="0.25"/>
    <row r="223594" customFormat="1" x14ac:dyDescent="0.25"/>
    <row r="223595" customFormat="1" x14ac:dyDescent="0.25"/>
    <row r="223596" customFormat="1" x14ac:dyDescent="0.25"/>
    <row r="223597" customFormat="1" x14ac:dyDescent="0.25"/>
    <row r="223598" customFormat="1" x14ac:dyDescent="0.25"/>
    <row r="223599" customFormat="1" x14ac:dyDescent="0.25"/>
    <row r="223600" customFormat="1" x14ac:dyDescent="0.25"/>
    <row r="223601" customFormat="1" x14ac:dyDescent="0.25"/>
    <row r="223602" customFormat="1" x14ac:dyDescent="0.25"/>
    <row r="223603" customFormat="1" x14ac:dyDescent="0.25"/>
    <row r="223604" customFormat="1" x14ac:dyDescent="0.25"/>
    <row r="223605" customFormat="1" x14ac:dyDescent="0.25"/>
    <row r="223606" customFormat="1" x14ac:dyDescent="0.25"/>
    <row r="223607" customFormat="1" x14ac:dyDescent="0.25"/>
    <row r="223608" customFormat="1" x14ac:dyDescent="0.25"/>
    <row r="223609" customFormat="1" x14ac:dyDescent="0.25"/>
    <row r="223610" customFormat="1" x14ac:dyDescent="0.25"/>
    <row r="223611" customFormat="1" x14ac:dyDescent="0.25"/>
    <row r="223612" customFormat="1" x14ac:dyDescent="0.25"/>
    <row r="223613" customFormat="1" x14ac:dyDescent="0.25"/>
    <row r="223614" customFormat="1" x14ac:dyDescent="0.25"/>
    <row r="223615" customFormat="1" x14ac:dyDescent="0.25"/>
    <row r="223616" customFormat="1" x14ac:dyDescent="0.25"/>
    <row r="223617" customFormat="1" x14ac:dyDescent="0.25"/>
    <row r="223618" customFormat="1" x14ac:dyDescent="0.25"/>
    <row r="223619" customFormat="1" x14ac:dyDescent="0.25"/>
    <row r="223620" customFormat="1" x14ac:dyDescent="0.25"/>
    <row r="223621" customFormat="1" x14ac:dyDescent="0.25"/>
    <row r="223622" customFormat="1" x14ac:dyDescent="0.25"/>
    <row r="223623" customFormat="1" x14ac:dyDescent="0.25"/>
    <row r="223624" customFormat="1" x14ac:dyDescent="0.25"/>
    <row r="223625" customFormat="1" x14ac:dyDescent="0.25"/>
    <row r="223626" customFormat="1" x14ac:dyDescent="0.25"/>
    <row r="223627" customFormat="1" x14ac:dyDescent="0.25"/>
    <row r="223628" customFormat="1" x14ac:dyDescent="0.25"/>
    <row r="223629" customFormat="1" x14ac:dyDescent="0.25"/>
    <row r="223630" customFormat="1" x14ac:dyDescent="0.25"/>
    <row r="223631" customFormat="1" x14ac:dyDescent="0.25"/>
    <row r="223632" customFormat="1" x14ac:dyDescent="0.25"/>
    <row r="223633" customFormat="1" x14ac:dyDescent="0.25"/>
    <row r="223634" customFormat="1" x14ac:dyDescent="0.25"/>
    <row r="223635" customFormat="1" x14ac:dyDescent="0.25"/>
    <row r="223636" customFormat="1" x14ac:dyDescent="0.25"/>
    <row r="223637" customFormat="1" x14ac:dyDescent="0.25"/>
    <row r="223638" customFormat="1" x14ac:dyDescent="0.25"/>
    <row r="223639" customFormat="1" x14ac:dyDescent="0.25"/>
    <row r="223640" customFormat="1" x14ac:dyDescent="0.25"/>
    <row r="223641" customFormat="1" x14ac:dyDescent="0.25"/>
    <row r="223642" customFormat="1" x14ac:dyDescent="0.25"/>
    <row r="223643" customFormat="1" x14ac:dyDescent="0.25"/>
    <row r="223644" customFormat="1" x14ac:dyDescent="0.25"/>
    <row r="223645" customFormat="1" x14ac:dyDescent="0.25"/>
    <row r="223646" customFormat="1" x14ac:dyDescent="0.25"/>
    <row r="223647" customFormat="1" x14ac:dyDescent="0.25"/>
    <row r="223648" customFormat="1" x14ac:dyDescent="0.25"/>
    <row r="223649" customFormat="1" x14ac:dyDescent="0.25"/>
    <row r="223650" customFormat="1" x14ac:dyDescent="0.25"/>
    <row r="223651" customFormat="1" x14ac:dyDescent="0.25"/>
    <row r="223652" customFormat="1" x14ac:dyDescent="0.25"/>
    <row r="223653" customFormat="1" x14ac:dyDescent="0.25"/>
    <row r="223654" customFormat="1" x14ac:dyDescent="0.25"/>
    <row r="223655" customFormat="1" x14ac:dyDescent="0.25"/>
    <row r="223656" customFormat="1" x14ac:dyDescent="0.25"/>
    <row r="223657" customFormat="1" x14ac:dyDescent="0.25"/>
    <row r="223658" customFormat="1" x14ac:dyDescent="0.25"/>
    <row r="223659" customFormat="1" x14ac:dyDescent="0.25"/>
    <row r="223660" customFormat="1" x14ac:dyDescent="0.25"/>
    <row r="223661" customFormat="1" x14ac:dyDescent="0.25"/>
    <row r="223662" customFormat="1" x14ac:dyDescent="0.25"/>
    <row r="223663" customFormat="1" x14ac:dyDescent="0.25"/>
    <row r="223664" customFormat="1" x14ac:dyDescent="0.25"/>
    <row r="223665" customFormat="1" x14ac:dyDescent="0.25"/>
    <row r="223666" customFormat="1" x14ac:dyDescent="0.25"/>
    <row r="223667" customFormat="1" x14ac:dyDescent="0.25"/>
    <row r="223668" customFormat="1" x14ac:dyDescent="0.25"/>
    <row r="223669" customFormat="1" x14ac:dyDescent="0.25"/>
    <row r="223670" customFormat="1" x14ac:dyDescent="0.25"/>
    <row r="223671" customFormat="1" x14ac:dyDescent="0.25"/>
    <row r="223672" customFormat="1" x14ac:dyDescent="0.25"/>
    <row r="223673" customFormat="1" x14ac:dyDescent="0.25"/>
    <row r="223674" customFormat="1" x14ac:dyDescent="0.25"/>
    <row r="223675" customFormat="1" x14ac:dyDescent="0.25"/>
    <row r="223676" customFormat="1" x14ac:dyDescent="0.25"/>
    <row r="223677" customFormat="1" x14ac:dyDescent="0.25"/>
    <row r="223678" customFormat="1" x14ac:dyDescent="0.25"/>
    <row r="223679" customFormat="1" x14ac:dyDescent="0.25"/>
    <row r="223680" customFormat="1" x14ac:dyDescent="0.25"/>
    <row r="223681" customFormat="1" x14ac:dyDescent="0.25"/>
    <row r="223682" customFormat="1" x14ac:dyDescent="0.25"/>
    <row r="223683" customFormat="1" x14ac:dyDescent="0.25"/>
    <row r="223684" customFormat="1" x14ac:dyDescent="0.25"/>
    <row r="223685" customFormat="1" x14ac:dyDescent="0.25"/>
    <row r="223686" customFormat="1" x14ac:dyDescent="0.25"/>
    <row r="223687" customFormat="1" x14ac:dyDescent="0.25"/>
    <row r="223688" customFormat="1" x14ac:dyDescent="0.25"/>
    <row r="223689" customFormat="1" x14ac:dyDescent="0.25"/>
    <row r="223690" customFormat="1" x14ac:dyDescent="0.25"/>
    <row r="223691" customFormat="1" x14ac:dyDescent="0.25"/>
    <row r="223692" customFormat="1" x14ac:dyDescent="0.25"/>
    <row r="223693" customFormat="1" x14ac:dyDescent="0.25"/>
    <row r="223694" customFormat="1" x14ac:dyDescent="0.25"/>
    <row r="223695" customFormat="1" x14ac:dyDescent="0.25"/>
    <row r="223696" customFormat="1" x14ac:dyDescent="0.25"/>
    <row r="223697" customFormat="1" x14ac:dyDescent="0.25"/>
    <row r="223698" customFormat="1" x14ac:dyDescent="0.25"/>
    <row r="223699" customFormat="1" x14ac:dyDescent="0.25"/>
    <row r="223700" customFormat="1" x14ac:dyDescent="0.25"/>
    <row r="223701" customFormat="1" x14ac:dyDescent="0.25"/>
    <row r="223702" customFormat="1" x14ac:dyDescent="0.25"/>
    <row r="223703" customFormat="1" x14ac:dyDescent="0.25"/>
    <row r="223704" customFormat="1" x14ac:dyDescent="0.25"/>
    <row r="223705" customFormat="1" x14ac:dyDescent="0.25"/>
    <row r="223706" customFormat="1" x14ac:dyDescent="0.25"/>
    <row r="223707" customFormat="1" x14ac:dyDescent="0.25"/>
    <row r="223708" customFormat="1" x14ac:dyDescent="0.25"/>
    <row r="223709" customFormat="1" x14ac:dyDescent="0.25"/>
    <row r="223710" customFormat="1" x14ac:dyDescent="0.25"/>
    <row r="223711" customFormat="1" x14ac:dyDescent="0.25"/>
    <row r="223712" customFormat="1" x14ac:dyDescent="0.25"/>
    <row r="223713" customFormat="1" x14ac:dyDescent="0.25"/>
    <row r="223714" customFormat="1" x14ac:dyDescent="0.25"/>
    <row r="223715" customFormat="1" x14ac:dyDescent="0.25"/>
    <row r="223716" customFormat="1" x14ac:dyDescent="0.25"/>
    <row r="223717" customFormat="1" x14ac:dyDescent="0.25"/>
    <row r="223718" customFormat="1" x14ac:dyDescent="0.25"/>
    <row r="223719" customFormat="1" x14ac:dyDescent="0.25"/>
    <row r="223720" customFormat="1" x14ac:dyDescent="0.25"/>
    <row r="223721" customFormat="1" x14ac:dyDescent="0.25"/>
    <row r="223722" customFormat="1" x14ac:dyDescent="0.25"/>
    <row r="223723" customFormat="1" x14ac:dyDescent="0.25"/>
    <row r="223724" customFormat="1" x14ac:dyDescent="0.25"/>
    <row r="223725" customFormat="1" x14ac:dyDescent="0.25"/>
    <row r="223726" customFormat="1" x14ac:dyDescent="0.25"/>
    <row r="223727" customFormat="1" x14ac:dyDescent="0.25"/>
    <row r="223728" customFormat="1" x14ac:dyDescent="0.25"/>
    <row r="223729" customFormat="1" x14ac:dyDescent="0.25"/>
    <row r="223730" customFormat="1" x14ac:dyDescent="0.25"/>
    <row r="223731" customFormat="1" x14ac:dyDescent="0.25"/>
    <row r="223732" customFormat="1" x14ac:dyDescent="0.25"/>
    <row r="223733" customFormat="1" x14ac:dyDescent="0.25"/>
    <row r="223734" customFormat="1" x14ac:dyDescent="0.25"/>
    <row r="223735" customFormat="1" x14ac:dyDescent="0.25"/>
    <row r="223736" customFormat="1" x14ac:dyDescent="0.25"/>
    <row r="223737" customFormat="1" x14ac:dyDescent="0.25"/>
    <row r="223738" customFormat="1" x14ac:dyDescent="0.25"/>
    <row r="223739" customFormat="1" x14ac:dyDescent="0.25"/>
    <row r="223740" customFormat="1" x14ac:dyDescent="0.25"/>
    <row r="223741" customFormat="1" x14ac:dyDescent="0.25"/>
    <row r="223742" customFormat="1" x14ac:dyDescent="0.25"/>
    <row r="223743" customFormat="1" x14ac:dyDescent="0.25"/>
    <row r="223744" customFormat="1" x14ac:dyDescent="0.25"/>
    <row r="223745" customFormat="1" x14ac:dyDescent="0.25"/>
    <row r="223746" customFormat="1" x14ac:dyDescent="0.25"/>
    <row r="223747" customFormat="1" x14ac:dyDescent="0.25"/>
    <row r="223748" customFormat="1" x14ac:dyDescent="0.25"/>
    <row r="223749" customFormat="1" x14ac:dyDescent="0.25"/>
    <row r="223750" customFormat="1" x14ac:dyDescent="0.25"/>
    <row r="223751" customFormat="1" x14ac:dyDescent="0.25"/>
    <row r="223752" customFormat="1" x14ac:dyDescent="0.25"/>
    <row r="223753" customFormat="1" x14ac:dyDescent="0.25"/>
    <row r="223754" customFormat="1" x14ac:dyDescent="0.25"/>
    <row r="223755" customFormat="1" x14ac:dyDescent="0.25"/>
    <row r="223756" customFormat="1" x14ac:dyDescent="0.25"/>
    <row r="223757" customFormat="1" x14ac:dyDescent="0.25"/>
    <row r="223758" customFormat="1" x14ac:dyDescent="0.25"/>
    <row r="223759" customFormat="1" x14ac:dyDescent="0.25"/>
    <row r="223760" customFormat="1" x14ac:dyDescent="0.25"/>
    <row r="223761" customFormat="1" x14ac:dyDescent="0.25"/>
    <row r="223762" customFormat="1" x14ac:dyDescent="0.25"/>
    <row r="223763" customFormat="1" x14ac:dyDescent="0.25"/>
    <row r="223764" customFormat="1" x14ac:dyDescent="0.25"/>
    <row r="223765" customFormat="1" x14ac:dyDescent="0.25"/>
    <row r="223766" customFormat="1" x14ac:dyDescent="0.25"/>
    <row r="223767" customFormat="1" x14ac:dyDescent="0.25"/>
    <row r="223768" customFormat="1" x14ac:dyDescent="0.25"/>
    <row r="223769" customFormat="1" x14ac:dyDescent="0.25"/>
    <row r="223770" customFormat="1" x14ac:dyDescent="0.25"/>
    <row r="223771" customFormat="1" x14ac:dyDescent="0.25"/>
    <row r="223772" customFormat="1" x14ac:dyDescent="0.25"/>
    <row r="223773" customFormat="1" x14ac:dyDescent="0.25"/>
    <row r="223774" customFormat="1" x14ac:dyDescent="0.25"/>
    <row r="223775" customFormat="1" x14ac:dyDescent="0.25"/>
    <row r="223776" customFormat="1" x14ac:dyDescent="0.25"/>
    <row r="223777" customFormat="1" x14ac:dyDescent="0.25"/>
    <row r="223778" customFormat="1" x14ac:dyDescent="0.25"/>
    <row r="223779" customFormat="1" x14ac:dyDescent="0.25"/>
    <row r="223780" customFormat="1" x14ac:dyDescent="0.25"/>
    <row r="223781" customFormat="1" x14ac:dyDescent="0.25"/>
    <row r="223782" customFormat="1" x14ac:dyDescent="0.25"/>
    <row r="223783" customFormat="1" x14ac:dyDescent="0.25"/>
    <row r="223784" customFormat="1" x14ac:dyDescent="0.25"/>
    <row r="223785" customFormat="1" x14ac:dyDescent="0.25"/>
    <row r="223786" customFormat="1" x14ac:dyDescent="0.25"/>
    <row r="223787" customFormat="1" x14ac:dyDescent="0.25"/>
    <row r="223788" customFormat="1" x14ac:dyDescent="0.25"/>
    <row r="223789" customFormat="1" x14ac:dyDescent="0.25"/>
    <row r="223790" customFormat="1" x14ac:dyDescent="0.25"/>
    <row r="223791" customFormat="1" x14ac:dyDescent="0.25"/>
    <row r="223792" customFormat="1" x14ac:dyDescent="0.25"/>
    <row r="223793" customFormat="1" x14ac:dyDescent="0.25"/>
    <row r="223794" customFormat="1" x14ac:dyDescent="0.25"/>
    <row r="223795" customFormat="1" x14ac:dyDescent="0.25"/>
    <row r="223796" customFormat="1" x14ac:dyDescent="0.25"/>
    <row r="223797" customFormat="1" x14ac:dyDescent="0.25"/>
    <row r="223798" customFormat="1" x14ac:dyDescent="0.25"/>
    <row r="223799" customFormat="1" x14ac:dyDescent="0.25"/>
    <row r="223800" customFormat="1" x14ac:dyDescent="0.25"/>
    <row r="223801" customFormat="1" x14ac:dyDescent="0.25"/>
    <row r="223802" customFormat="1" x14ac:dyDescent="0.25"/>
    <row r="223803" customFormat="1" x14ac:dyDescent="0.25"/>
    <row r="223804" customFormat="1" x14ac:dyDescent="0.25"/>
    <row r="223805" customFormat="1" x14ac:dyDescent="0.25"/>
    <row r="223806" customFormat="1" x14ac:dyDescent="0.25"/>
    <row r="223807" customFormat="1" x14ac:dyDescent="0.25"/>
    <row r="223808" customFormat="1" x14ac:dyDescent="0.25"/>
    <row r="223809" customFormat="1" x14ac:dyDescent="0.25"/>
    <row r="223810" customFormat="1" x14ac:dyDescent="0.25"/>
    <row r="223811" customFormat="1" x14ac:dyDescent="0.25"/>
    <row r="223812" customFormat="1" x14ac:dyDescent="0.25"/>
    <row r="223813" customFormat="1" x14ac:dyDescent="0.25"/>
    <row r="223814" customFormat="1" x14ac:dyDescent="0.25"/>
    <row r="223815" customFormat="1" x14ac:dyDescent="0.25"/>
    <row r="223816" customFormat="1" x14ac:dyDescent="0.25"/>
    <row r="223817" customFormat="1" x14ac:dyDescent="0.25"/>
    <row r="223818" customFormat="1" x14ac:dyDescent="0.25"/>
    <row r="223819" customFormat="1" x14ac:dyDescent="0.25"/>
    <row r="223820" customFormat="1" x14ac:dyDescent="0.25"/>
    <row r="223821" customFormat="1" x14ac:dyDescent="0.25"/>
    <row r="223822" customFormat="1" x14ac:dyDescent="0.25"/>
    <row r="223823" customFormat="1" x14ac:dyDescent="0.25"/>
    <row r="223824" customFormat="1" x14ac:dyDescent="0.25"/>
    <row r="223825" customFormat="1" x14ac:dyDescent="0.25"/>
    <row r="223826" customFormat="1" x14ac:dyDescent="0.25"/>
    <row r="223827" customFormat="1" x14ac:dyDescent="0.25"/>
    <row r="223828" customFormat="1" x14ac:dyDescent="0.25"/>
    <row r="223829" customFormat="1" x14ac:dyDescent="0.25"/>
    <row r="223830" customFormat="1" x14ac:dyDescent="0.25"/>
    <row r="223831" customFormat="1" x14ac:dyDescent="0.25"/>
    <row r="223832" customFormat="1" x14ac:dyDescent="0.25"/>
    <row r="223833" customFormat="1" x14ac:dyDescent="0.25"/>
    <row r="223834" customFormat="1" x14ac:dyDescent="0.25"/>
    <row r="223835" customFormat="1" x14ac:dyDescent="0.25"/>
    <row r="223836" customFormat="1" x14ac:dyDescent="0.25"/>
    <row r="223837" customFormat="1" x14ac:dyDescent="0.25"/>
    <row r="223838" customFormat="1" x14ac:dyDescent="0.25"/>
    <row r="223839" customFormat="1" x14ac:dyDescent="0.25"/>
    <row r="223840" customFormat="1" x14ac:dyDescent="0.25"/>
    <row r="223841" customFormat="1" x14ac:dyDescent="0.25"/>
    <row r="223842" customFormat="1" x14ac:dyDescent="0.25"/>
    <row r="223843" customFormat="1" x14ac:dyDescent="0.25"/>
    <row r="223844" customFormat="1" x14ac:dyDescent="0.25"/>
    <row r="223845" customFormat="1" x14ac:dyDescent="0.25"/>
    <row r="223846" customFormat="1" x14ac:dyDescent="0.25"/>
    <row r="223847" customFormat="1" x14ac:dyDescent="0.25"/>
    <row r="223848" customFormat="1" x14ac:dyDescent="0.25"/>
    <row r="223849" customFormat="1" x14ac:dyDescent="0.25"/>
    <row r="223850" customFormat="1" x14ac:dyDescent="0.25"/>
    <row r="223851" customFormat="1" x14ac:dyDescent="0.25"/>
    <row r="223852" customFormat="1" x14ac:dyDescent="0.25"/>
    <row r="223853" customFormat="1" x14ac:dyDescent="0.25"/>
    <row r="223854" customFormat="1" x14ac:dyDescent="0.25"/>
    <row r="223855" customFormat="1" x14ac:dyDescent="0.25"/>
    <row r="223856" customFormat="1" x14ac:dyDescent="0.25"/>
    <row r="223857" customFormat="1" x14ac:dyDescent="0.25"/>
    <row r="223858" customFormat="1" x14ac:dyDescent="0.25"/>
    <row r="223859" customFormat="1" x14ac:dyDescent="0.25"/>
    <row r="223860" customFormat="1" x14ac:dyDescent="0.25"/>
    <row r="223861" customFormat="1" x14ac:dyDescent="0.25"/>
    <row r="223862" customFormat="1" x14ac:dyDescent="0.25"/>
    <row r="223863" customFormat="1" x14ac:dyDescent="0.25"/>
    <row r="223864" customFormat="1" x14ac:dyDescent="0.25"/>
    <row r="223865" customFormat="1" x14ac:dyDescent="0.25"/>
    <row r="223866" customFormat="1" x14ac:dyDescent="0.25"/>
    <row r="223867" customFormat="1" x14ac:dyDescent="0.25"/>
    <row r="223868" customFormat="1" x14ac:dyDescent="0.25"/>
    <row r="223869" customFormat="1" x14ac:dyDescent="0.25"/>
    <row r="223870" customFormat="1" x14ac:dyDescent="0.25"/>
    <row r="223871" customFormat="1" x14ac:dyDescent="0.25"/>
    <row r="223872" customFormat="1" x14ac:dyDescent="0.25"/>
    <row r="223873" customFormat="1" x14ac:dyDescent="0.25"/>
    <row r="223874" customFormat="1" x14ac:dyDescent="0.25"/>
    <row r="223875" customFormat="1" x14ac:dyDescent="0.25"/>
    <row r="223876" customFormat="1" x14ac:dyDescent="0.25"/>
    <row r="223877" customFormat="1" x14ac:dyDescent="0.25"/>
    <row r="223878" customFormat="1" x14ac:dyDescent="0.25"/>
    <row r="223879" customFormat="1" x14ac:dyDescent="0.25"/>
    <row r="223880" customFormat="1" x14ac:dyDescent="0.25"/>
    <row r="223881" customFormat="1" x14ac:dyDescent="0.25"/>
    <row r="223882" customFormat="1" x14ac:dyDescent="0.25"/>
    <row r="223883" customFormat="1" x14ac:dyDescent="0.25"/>
    <row r="223884" customFormat="1" x14ac:dyDescent="0.25"/>
    <row r="223885" customFormat="1" x14ac:dyDescent="0.25"/>
    <row r="223886" customFormat="1" x14ac:dyDescent="0.25"/>
    <row r="223887" customFormat="1" x14ac:dyDescent="0.25"/>
    <row r="223888" customFormat="1" x14ac:dyDescent="0.25"/>
    <row r="223889" customFormat="1" x14ac:dyDescent="0.25"/>
    <row r="223890" customFormat="1" x14ac:dyDescent="0.25"/>
    <row r="223891" customFormat="1" x14ac:dyDescent="0.25"/>
    <row r="223892" customFormat="1" x14ac:dyDescent="0.25"/>
    <row r="223893" customFormat="1" x14ac:dyDescent="0.25"/>
    <row r="223894" customFormat="1" x14ac:dyDescent="0.25"/>
    <row r="223895" customFormat="1" x14ac:dyDescent="0.25"/>
    <row r="223896" customFormat="1" x14ac:dyDescent="0.25"/>
    <row r="223897" customFormat="1" x14ac:dyDescent="0.25"/>
    <row r="223898" customFormat="1" x14ac:dyDescent="0.25"/>
    <row r="223899" customFormat="1" x14ac:dyDescent="0.25"/>
    <row r="223900" customFormat="1" x14ac:dyDescent="0.25"/>
    <row r="223901" customFormat="1" x14ac:dyDescent="0.25"/>
    <row r="223902" customFormat="1" x14ac:dyDescent="0.25"/>
    <row r="223903" customFormat="1" x14ac:dyDescent="0.25"/>
    <row r="223904" customFormat="1" x14ac:dyDescent="0.25"/>
    <row r="223905" customFormat="1" x14ac:dyDescent="0.25"/>
    <row r="223906" customFormat="1" x14ac:dyDescent="0.25"/>
    <row r="223907" customFormat="1" x14ac:dyDescent="0.25"/>
    <row r="223908" customFormat="1" x14ac:dyDescent="0.25"/>
    <row r="223909" customFormat="1" x14ac:dyDescent="0.25"/>
    <row r="223910" customFormat="1" x14ac:dyDescent="0.25"/>
    <row r="223911" customFormat="1" x14ac:dyDescent="0.25"/>
    <row r="223912" customFormat="1" x14ac:dyDescent="0.25"/>
    <row r="223913" customFormat="1" x14ac:dyDescent="0.25"/>
    <row r="223914" customFormat="1" x14ac:dyDescent="0.25"/>
    <row r="223915" customFormat="1" x14ac:dyDescent="0.25"/>
    <row r="223916" customFormat="1" x14ac:dyDescent="0.25"/>
    <row r="223917" customFormat="1" x14ac:dyDescent="0.25"/>
    <row r="223918" customFormat="1" x14ac:dyDescent="0.25"/>
    <row r="223919" customFormat="1" x14ac:dyDescent="0.25"/>
    <row r="223920" customFormat="1" x14ac:dyDescent="0.25"/>
    <row r="223921" customFormat="1" x14ac:dyDescent="0.25"/>
    <row r="223922" customFormat="1" x14ac:dyDescent="0.25"/>
    <row r="223923" customFormat="1" x14ac:dyDescent="0.25"/>
    <row r="223924" customFormat="1" x14ac:dyDescent="0.25"/>
    <row r="223925" customFormat="1" x14ac:dyDescent="0.25"/>
    <row r="223926" customFormat="1" x14ac:dyDescent="0.25"/>
    <row r="223927" customFormat="1" x14ac:dyDescent="0.25"/>
    <row r="223928" customFormat="1" x14ac:dyDescent="0.25"/>
    <row r="223929" customFormat="1" x14ac:dyDescent="0.25"/>
    <row r="223930" customFormat="1" x14ac:dyDescent="0.25"/>
    <row r="223931" customFormat="1" x14ac:dyDescent="0.25"/>
    <row r="223932" customFormat="1" x14ac:dyDescent="0.25"/>
    <row r="223933" customFormat="1" x14ac:dyDescent="0.25"/>
    <row r="223934" customFormat="1" x14ac:dyDescent="0.25"/>
    <row r="223935" customFormat="1" x14ac:dyDescent="0.25"/>
    <row r="223936" customFormat="1" x14ac:dyDescent="0.25"/>
    <row r="223937" customFormat="1" x14ac:dyDescent="0.25"/>
    <row r="223938" customFormat="1" x14ac:dyDescent="0.25"/>
    <row r="223939" customFormat="1" x14ac:dyDescent="0.25"/>
    <row r="223940" customFormat="1" x14ac:dyDescent="0.25"/>
    <row r="223941" customFormat="1" x14ac:dyDescent="0.25"/>
    <row r="223942" customFormat="1" x14ac:dyDescent="0.25"/>
    <row r="223943" customFormat="1" x14ac:dyDescent="0.25"/>
    <row r="223944" customFormat="1" x14ac:dyDescent="0.25"/>
    <row r="223945" customFormat="1" x14ac:dyDescent="0.25"/>
    <row r="223946" customFormat="1" x14ac:dyDescent="0.25"/>
    <row r="223947" customFormat="1" x14ac:dyDescent="0.25"/>
    <row r="223948" customFormat="1" x14ac:dyDescent="0.25"/>
    <row r="223949" customFormat="1" x14ac:dyDescent="0.25"/>
    <row r="223950" customFormat="1" x14ac:dyDescent="0.25"/>
    <row r="223951" customFormat="1" x14ac:dyDescent="0.25"/>
    <row r="223952" customFormat="1" x14ac:dyDescent="0.25"/>
    <row r="223953" customFormat="1" x14ac:dyDescent="0.25"/>
    <row r="223954" customFormat="1" x14ac:dyDescent="0.25"/>
    <row r="223955" customFormat="1" x14ac:dyDescent="0.25"/>
    <row r="223956" customFormat="1" x14ac:dyDescent="0.25"/>
    <row r="223957" customFormat="1" x14ac:dyDescent="0.25"/>
    <row r="223958" customFormat="1" x14ac:dyDescent="0.25"/>
    <row r="223959" customFormat="1" x14ac:dyDescent="0.25"/>
    <row r="223960" customFormat="1" x14ac:dyDescent="0.25"/>
    <row r="223961" customFormat="1" x14ac:dyDescent="0.25"/>
    <row r="223962" customFormat="1" x14ac:dyDescent="0.25"/>
    <row r="223963" customFormat="1" x14ac:dyDescent="0.25"/>
    <row r="223964" customFormat="1" x14ac:dyDescent="0.25"/>
    <row r="223965" customFormat="1" x14ac:dyDescent="0.25"/>
    <row r="223966" customFormat="1" x14ac:dyDescent="0.25"/>
    <row r="223967" customFormat="1" x14ac:dyDescent="0.25"/>
    <row r="223968" customFormat="1" x14ac:dyDescent="0.25"/>
    <row r="223969" customFormat="1" x14ac:dyDescent="0.25"/>
    <row r="223970" customFormat="1" x14ac:dyDescent="0.25"/>
    <row r="223971" customFormat="1" x14ac:dyDescent="0.25"/>
    <row r="223972" customFormat="1" x14ac:dyDescent="0.25"/>
    <row r="223973" customFormat="1" x14ac:dyDescent="0.25"/>
    <row r="223974" customFormat="1" x14ac:dyDescent="0.25"/>
    <row r="223975" customFormat="1" x14ac:dyDescent="0.25"/>
    <row r="223976" customFormat="1" x14ac:dyDescent="0.25"/>
    <row r="223977" customFormat="1" x14ac:dyDescent="0.25"/>
    <row r="223978" customFormat="1" x14ac:dyDescent="0.25"/>
    <row r="223979" customFormat="1" x14ac:dyDescent="0.25"/>
    <row r="223980" customFormat="1" x14ac:dyDescent="0.25"/>
    <row r="223981" customFormat="1" x14ac:dyDescent="0.25"/>
    <row r="223982" customFormat="1" x14ac:dyDescent="0.25"/>
    <row r="223983" customFormat="1" x14ac:dyDescent="0.25"/>
    <row r="223984" customFormat="1" x14ac:dyDescent="0.25"/>
    <row r="223985" customFormat="1" x14ac:dyDescent="0.25"/>
    <row r="223986" customFormat="1" x14ac:dyDescent="0.25"/>
    <row r="223987" customFormat="1" x14ac:dyDescent="0.25"/>
    <row r="223988" customFormat="1" x14ac:dyDescent="0.25"/>
    <row r="223989" customFormat="1" x14ac:dyDescent="0.25"/>
    <row r="223990" customFormat="1" x14ac:dyDescent="0.25"/>
    <row r="223991" customFormat="1" x14ac:dyDescent="0.25"/>
    <row r="223992" customFormat="1" x14ac:dyDescent="0.25"/>
    <row r="223993" customFormat="1" x14ac:dyDescent="0.25"/>
    <row r="223994" customFormat="1" x14ac:dyDescent="0.25"/>
    <row r="223995" customFormat="1" x14ac:dyDescent="0.25"/>
    <row r="223996" customFormat="1" x14ac:dyDescent="0.25"/>
    <row r="223997" customFormat="1" x14ac:dyDescent="0.25"/>
    <row r="223998" customFormat="1" x14ac:dyDescent="0.25"/>
    <row r="223999" customFormat="1" x14ac:dyDescent="0.25"/>
    <row r="224000" customFormat="1" x14ac:dyDescent="0.25"/>
    <row r="224001" customFormat="1" x14ac:dyDescent="0.25"/>
    <row r="224002" customFormat="1" x14ac:dyDescent="0.25"/>
    <row r="224003" customFormat="1" x14ac:dyDescent="0.25"/>
    <row r="224004" customFormat="1" x14ac:dyDescent="0.25"/>
    <row r="224005" customFormat="1" x14ac:dyDescent="0.25"/>
    <row r="224006" customFormat="1" x14ac:dyDescent="0.25"/>
    <row r="224007" customFormat="1" x14ac:dyDescent="0.25"/>
    <row r="224008" customFormat="1" x14ac:dyDescent="0.25"/>
    <row r="224009" customFormat="1" x14ac:dyDescent="0.25"/>
    <row r="224010" customFormat="1" x14ac:dyDescent="0.25"/>
    <row r="224011" customFormat="1" x14ac:dyDescent="0.25"/>
    <row r="224012" customFormat="1" x14ac:dyDescent="0.25"/>
    <row r="224013" customFormat="1" x14ac:dyDescent="0.25"/>
    <row r="224014" customFormat="1" x14ac:dyDescent="0.25"/>
    <row r="224015" customFormat="1" x14ac:dyDescent="0.25"/>
    <row r="224016" customFormat="1" x14ac:dyDescent="0.25"/>
    <row r="224017" customFormat="1" x14ac:dyDescent="0.25"/>
    <row r="224018" customFormat="1" x14ac:dyDescent="0.25"/>
    <row r="224019" customFormat="1" x14ac:dyDescent="0.25"/>
    <row r="224020" customFormat="1" x14ac:dyDescent="0.25"/>
    <row r="224021" customFormat="1" x14ac:dyDescent="0.25"/>
    <row r="224022" customFormat="1" x14ac:dyDescent="0.25"/>
    <row r="224023" customFormat="1" x14ac:dyDescent="0.25"/>
    <row r="224024" customFormat="1" x14ac:dyDescent="0.25"/>
    <row r="224025" customFormat="1" x14ac:dyDescent="0.25"/>
    <row r="224026" customFormat="1" x14ac:dyDescent="0.25"/>
    <row r="224027" customFormat="1" x14ac:dyDescent="0.25"/>
    <row r="224028" customFormat="1" x14ac:dyDescent="0.25"/>
    <row r="224029" customFormat="1" x14ac:dyDescent="0.25"/>
    <row r="224030" customFormat="1" x14ac:dyDescent="0.25"/>
    <row r="224031" customFormat="1" x14ac:dyDescent="0.25"/>
    <row r="224032" customFormat="1" x14ac:dyDescent="0.25"/>
    <row r="224033" customFormat="1" x14ac:dyDescent="0.25"/>
    <row r="224034" customFormat="1" x14ac:dyDescent="0.25"/>
    <row r="224035" customFormat="1" x14ac:dyDescent="0.25"/>
    <row r="224036" customFormat="1" x14ac:dyDescent="0.25"/>
    <row r="224037" customFormat="1" x14ac:dyDescent="0.25"/>
    <row r="224038" customFormat="1" x14ac:dyDescent="0.25"/>
    <row r="224039" customFormat="1" x14ac:dyDescent="0.25"/>
    <row r="224040" customFormat="1" x14ac:dyDescent="0.25"/>
    <row r="224041" customFormat="1" x14ac:dyDescent="0.25"/>
    <row r="224042" customFormat="1" x14ac:dyDescent="0.25"/>
    <row r="224043" customFormat="1" x14ac:dyDescent="0.25"/>
    <row r="224044" customFormat="1" x14ac:dyDescent="0.25"/>
    <row r="224045" customFormat="1" x14ac:dyDescent="0.25"/>
    <row r="224046" customFormat="1" x14ac:dyDescent="0.25"/>
    <row r="224047" customFormat="1" x14ac:dyDescent="0.25"/>
    <row r="224048" customFormat="1" x14ac:dyDescent="0.25"/>
    <row r="224049" customFormat="1" x14ac:dyDescent="0.25"/>
    <row r="224050" customFormat="1" x14ac:dyDescent="0.25"/>
    <row r="224051" customFormat="1" x14ac:dyDescent="0.25"/>
    <row r="224052" customFormat="1" x14ac:dyDescent="0.25"/>
    <row r="224053" customFormat="1" x14ac:dyDescent="0.25"/>
    <row r="224054" customFormat="1" x14ac:dyDescent="0.25"/>
    <row r="224055" customFormat="1" x14ac:dyDescent="0.25"/>
    <row r="224056" customFormat="1" x14ac:dyDescent="0.25"/>
    <row r="224057" customFormat="1" x14ac:dyDescent="0.25"/>
    <row r="224058" customFormat="1" x14ac:dyDescent="0.25"/>
    <row r="224059" customFormat="1" x14ac:dyDescent="0.25"/>
    <row r="224060" customFormat="1" x14ac:dyDescent="0.25"/>
    <row r="224061" customFormat="1" x14ac:dyDescent="0.25"/>
    <row r="224062" customFormat="1" x14ac:dyDescent="0.25"/>
    <row r="224063" customFormat="1" x14ac:dyDescent="0.25"/>
    <row r="224064" customFormat="1" x14ac:dyDescent="0.25"/>
    <row r="224065" customFormat="1" x14ac:dyDescent="0.25"/>
    <row r="224066" customFormat="1" x14ac:dyDescent="0.25"/>
    <row r="224067" customFormat="1" x14ac:dyDescent="0.25"/>
    <row r="224068" customFormat="1" x14ac:dyDescent="0.25"/>
    <row r="224069" customFormat="1" x14ac:dyDescent="0.25"/>
    <row r="224070" customFormat="1" x14ac:dyDescent="0.25"/>
    <row r="224071" customFormat="1" x14ac:dyDescent="0.25"/>
    <row r="224072" customFormat="1" x14ac:dyDescent="0.25"/>
    <row r="224073" customFormat="1" x14ac:dyDescent="0.25"/>
    <row r="224074" customFormat="1" x14ac:dyDescent="0.25"/>
    <row r="224075" customFormat="1" x14ac:dyDescent="0.25"/>
    <row r="224076" customFormat="1" x14ac:dyDescent="0.25"/>
    <row r="224077" customFormat="1" x14ac:dyDescent="0.25"/>
    <row r="224078" customFormat="1" x14ac:dyDescent="0.25"/>
    <row r="224079" customFormat="1" x14ac:dyDescent="0.25"/>
    <row r="224080" customFormat="1" x14ac:dyDescent="0.25"/>
    <row r="224081" customFormat="1" x14ac:dyDescent="0.25"/>
    <row r="224082" customFormat="1" x14ac:dyDescent="0.25"/>
    <row r="224083" customFormat="1" x14ac:dyDescent="0.25"/>
    <row r="224084" customFormat="1" x14ac:dyDescent="0.25"/>
    <row r="224085" customFormat="1" x14ac:dyDescent="0.25"/>
    <row r="224086" customFormat="1" x14ac:dyDescent="0.25"/>
    <row r="224087" customFormat="1" x14ac:dyDescent="0.25"/>
    <row r="224088" customFormat="1" x14ac:dyDescent="0.25"/>
    <row r="224089" customFormat="1" x14ac:dyDescent="0.25"/>
    <row r="224090" customFormat="1" x14ac:dyDescent="0.25"/>
    <row r="224091" customFormat="1" x14ac:dyDescent="0.25"/>
    <row r="224092" customFormat="1" x14ac:dyDescent="0.25"/>
    <row r="224093" customFormat="1" x14ac:dyDescent="0.25"/>
    <row r="224094" customFormat="1" x14ac:dyDescent="0.25"/>
    <row r="224095" customFormat="1" x14ac:dyDescent="0.25"/>
    <row r="224096" customFormat="1" x14ac:dyDescent="0.25"/>
    <row r="224097" customFormat="1" x14ac:dyDescent="0.25"/>
    <row r="224098" customFormat="1" x14ac:dyDescent="0.25"/>
    <row r="224099" customFormat="1" x14ac:dyDescent="0.25"/>
    <row r="224100" customFormat="1" x14ac:dyDescent="0.25"/>
    <row r="224101" customFormat="1" x14ac:dyDescent="0.25"/>
    <row r="224102" customFormat="1" x14ac:dyDescent="0.25"/>
    <row r="224103" customFormat="1" x14ac:dyDescent="0.25"/>
    <row r="224104" customFormat="1" x14ac:dyDescent="0.25"/>
    <row r="224105" customFormat="1" x14ac:dyDescent="0.25"/>
    <row r="224106" customFormat="1" x14ac:dyDescent="0.25"/>
    <row r="224107" customFormat="1" x14ac:dyDescent="0.25"/>
    <row r="224108" customFormat="1" x14ac:dyDescent="0.25"/>
    <row r="224109" customFormat="1" x14ac:dyDescent="0.25"/>
    <row r="224110" customFormat="1" x14ac:dyDescent="0.25"/>
    <row r="224111" customFormat="1" x14ac:dyDescent="0.25"/>
    <row r="224112" customFormat="1" x14ac:dyDescent="0.25"/>
    <row r="224113" customFormat="1" x14ac:dyDescent="0.25"/>
    <row r="224114" customFormat="1" x14ac:dyDescent="0.25"/>
    <row r="224115" customFormat="1" x14ac:dyDescent="0.25"/>
    <row r="224116" customFormat="1" x14ac:dyDescent="0.25"/>
    <row r="224117" customFormat="1" x14ac:dyDescent="0.25"/>
    <row r="224118" customFormat="1" x14ac:dyDescent="0.25"/>
    <row r="224119" customFormat="1" x14ac:dyDescent="0.25"/>
    <row r="224120" customFormat="1" x14ac:dyDescent="0.25"/>
    <row r="224121" customFormat="1" x14ac:dyDescent="0.25"/>
    <row r="224122" customFormat="1" x14ac:dyDescent="0.25"/>
    <row r="224123" customFormat="1" x14ac:dyDescent="0.25"/>
    <row r="224124" customFormat="1" x14ac:dyDescent="0.25"/>
    <row r="224125" customFormat="1" x14ac:dyDescent="0.25"/>
    <row r="224126" customFormat="1" x14ac:dyDescent="0.25"/>
    <row r="224127" customFormat="1" x14ac:dyDescent="0.25"/>
    <row r="224128" customFormat="1" x14ac:dyDescent="0.25"/>
    <row r="224129" customFormat="1" x14ac:dyDescent="0.25"/>
    <row r="224130" customFormat="1" x14ac:dyDescent="0.25"/>
    <row r="224131" customFormat="1" x14ac:dyDescent="0.25"/>
    <row r="224132" customFormat="1" x14ac:dyDescent="0.25"/>
    <row r="224133" customFormat="1" x14ac:dyDescent="0.25"/>
    <row r="224134" customFormat="1" x14ac:dyDescent="0.25"/>
    <row r="224135" customFormat="1" x14ac:dyDescent="0.25"/>
    <row r="224136" customFormat="1" x14ac:dyDescent="0.25"/>
    <row r="224137" customFormat="1" x14ac:dyDescent="0.25"/>
    <row r="224138" customFormat="1" x14ac:dyDescent="0.25"/>
    <row r="224139" customFormat="1" x14ac:dyDescent="0.25"/>
    <row r="224140" customFormat="1" x14ac:dyDescent="0.25"/>
    <row r="224141" customFormat="1" x14ac:dyDescent="0.25"/>
    <row r="224142" customFormat="1" x14ac:dyDescent="0.25"/>
    <row r="224143" customFormat="1" x14ac:dyDescent="0.25"/>
    <row r="224144" customFormat="1" x14ac:dyDescent="0.25"/>
    <row r="224145" customFormat="1" x14ac:dyDescent="0.25"/>
    <row r="224146" customFormat="1" x14ac:dyDescent="0.25"/>
    <row r="224147" customFormat="1" x14ac:dyDescent="0.25"/>
    <row r="224148" customFormat="1" x14ac:dyDescent="0.25"/>
    <row r="224149" customFormat="1" x14ac:dyDescent="0.25"/>
    <row r="224150" customFormat="1" x14ac:dyDescent="0.25"/>
    <row r="224151" customFormat="1" x14ac:dyDescent="0.25"/>
    <row r="224152" customFormat="1" x14ac:dyDescent="0.25"/>
    <row r="224153" customFormat="1" x14ac:dyDescent="0.25"/>
    <row r="224154" customFormat="1" x14ac:dyDescent="0.25"/>
    <row r="224155" customFormat="1" x14ac:dyDescent="0.25"/>
    <row r="224156" customFormat="1" x14ac:dyDescent="0.25"/>
    <row r="224157" customFormat="1" x14ac:dyDescent="0.25"/>
    <row r="224158" customFormat="1" x14ac:dyDescent="0.25"/>
    <row r="224159" customFormat="1" x14ac:dyDescent="0.25"/>
    <row r="224160" customFormat="1" x14ac:dyDescent="0.25"/>
    <row r="224161" customFormat="1" x14ac:dyDescent="0.25"/>
    <row r="224162" customFormat="1" x14ac:dyDescent="0.25"/>
    <row r="224163" customFormat="1" x14ac:dyDescent="0.25"/>
    <row r="224164" customFormat="1" x14ac:dyDescent="0.25"/>
    <row r="224165" customFormat="1" x14ac:dyDescent="0.25"/>
    <row r="224166" customFormat="1" x14ac:dyDescent="0.25"/>
    <row r="224167" customFormat="1" x14ac:dyDescent="0.25"/>
    <row r="224168" customFormat="1" x14ac:dyDescent="0.25"/>
    <row r="224169" customFormat="1" x14ac:dyDescent="0.25"/>
    <row r="224170" customFormat="1" x14ac:dyDescent="0.25"/>
    <row r="224171" customFormat="1" x14ac:dyDescent="0.25"/>
    <row r="224172" customFormat="1" x14ac:dyDescent="0.25"/>
    <row r="224173" customFormat="1" x14ac:dyDescent="0.25"/>
    <row r="224174" customFormat="1" x14ac:dyDescent="0.25"/>
    <row r="224175" customFormat="1" x14ac:dyDescent="0.25"/>
    <row r="224176" customFormat="1" x14ac:dyDescent="0.25"/>
    <row r="224177" customFormat="1" x14ac:dyDescent="0.25"/>
    <row r="224178" customFormat="1" x14ac:dyDescent="0.25"/>
    <row r="224179" customFormat="1" x14ac:dyDescent="0.25"/>
    <row r="224180" customFormat="1" x14ac:dyDescent="0.25"/>
    <row r="224181" customFormat="1" x14ac:dyDescent="0.25"/>
    <row r="224182" customFormat="1" x14ac:dyDescent="0.25"/>
    <row r="224183" customFormat="1" x14ac:dyDescent="0.25"/>
    <row r="224184" customFormat="1" x14ac:dyDescent="0.25"/>
    <row r="224185" customFormat="1" x14ac:dyDescent="0.25"/>
    <row r="224186" customFormat="1" x14ac:dyDescent="0.25"/>
    <row r="224187" customFormat="1" x14ac:dyDescent="0.25"/>
    <row r="224188" customFormat="1" x14ac:dyDescent="0.25"/>
    <row r="224189" customFormat="1" x14ac:dyDescent="0.25"/>
    <row r="224190" customFormat="1" x14ac:dyDescent="0.25"/>
    <row r="224191" customFormat="1" x14ac:dyDescent="0.25"/>
    <row r="224192" customFormat="1" x14ac:dyDescent="0.25"/>
    <row r="224193" customFormat="1" x14ac:dyDescent="0.25"/>
    <row r="224194" customFormat="1" x14ac:dyDescent="0.25"/>
    <row r="224195" customFormat="1" x14ac:dyDescent="0.25"/>
    <row r="224196" customFormat="1" x14ac:dyDescent="0.25"/>
    <row r="224197" customFormat="1" x14ac:dyDescent="0.25"/>
    <row r="224198" customFormat="1" x14ac:dyDescent="0.25"/>
    <row r="224199" customFormat="1" x14ac:dyDescent="0.25"/>
    <row r="224200" customFormat="1" x14ac:dyDescent="0.25"/>
    <row r="224201" customFormat="1" x14ac:dyDescent="0.25"/>
    <row r="224202" customFormat="1" x14ac:dyDescent="0.25"/>
    <row r="224203" customFormat="1" x14ac:dyDescent="0.25"/>
    <row r="224204" customFormat="1" x14ac:dyDescent="0.25"/>
    <row r="224205" customFormat="1" x14ac:dyDescent="0.25"/>
    <row r="224206" customFormat="1" x14ac:dyDescent="0.25"/>
    <row r="224207" customFormat="1" x14ac:dyDescent="0.25"/>
    <row r="224208" customFormat="1" x14ac:dyDescent="0.25"/>
    <row r="224209" customFormat="1" x14ac:dyDescent="0.25"/>
    <row r="224210" customFormat="1" x14ac:dyDescent="0.25"/>
    <row r="224211" customFormat="1" x14ac:dyDescent="0.25"/>
    <row r="224212" customFormat="1" x14ac:dyDescent="0.25"/>
    <row r="224213" customFormat="1" x14ac:dyDescent="0.25"/>
    <row r="224214" customFormat="1" x14ac:dyDescent="0.25"/>
    <row r="224215" customFormat="1" x14ac:dyDescent="0.25"/>
    <row r="224216" customFormat="1" x14ac:dyDescent="0.25"/>
    <row r="224217" customFormat="1" x14ac:dyDescent="0.25"/>
    <row r="224218" customFormat="1" x14ac:dyDescent="0.25"/>
    <row r="224219" customFormat="1" x14ac:dyDescent="0.25"/>
    <row r="224220" customFormat="1" x14ac:dyDescent="0.25"/>
    <row r="224221" customFormat="1" x14ac:dyDescent="0.25"/>
    <row r="224222" customFormat="1" x14ac:dyDescent="0.25"/>
    <row r="224223" customFormat="1" x14ac:dyDescent="0.25"/>
    <row r="224224" customFormat="1" x14ac:dyDescent="0.25"/>
    <row r="224225" customFormat="1" x14ac:dyDescent="0.25"/>
    <row r="224226" customFormat="1" x14ac:dyDescent="0.25"/>
    <row r="224227" customFormat="1" x14ac:dyDescent="0.25"/>
    <row r="224228" customFormat="1" x14ac:dyDescent="0.25"/>
    <row r="224229" customFormat="1" x14ac:dyDescent="0.25"/>
    <row r="224230" customFormat="1" x14ac:dyDescent="0.25"/>
    <row r="224231" customFormat="1" x14ac:dyDescent="0.25"/>
    <row r="224232" customFormat="1" x14ac:dyDescent="0.25"/>
    <row r="224233" customFormat="1" x14ac:dyDescent="0.25"/>
    <row r="224234" customFormat="1" x14ac:dyDescent="0.25"/>
    <row r="224235" customFormat="1" x14ac:dyDescent="0.25"/>
    <row r="224236" customFormat="1" x14ac:dyDescent="0.25"/>
    <row r="224237" customFormat="1" x14ac:dyDescent="0.25"/>
    <row r="224238" customFormat="1" x14ac:dyDescent="0.25"/>
    <row r="224239" customFormat="1" x14ac:dyDescent="0.25"/>
    <row r="224240" customFormat="1" x14ac:dyDescent="0.25"/>
    <row r="224241" customFormat="1" x14ac:dyDescent="0.25"/>
    <row r="224242" customFormat="1" x14ac:dyDescent="0.25"/>
    <row r="224243" customFormat="1" x14ac:dyDescent="0.25"/>
    <row r="224244" customFormat="1" x14ac:dyDescent="0.25"/>
    <row r="224245" customFormat="1" x14ac:dyDescent="0.25"/>
    <row r="224246" customFormat="1" x14ac:dyDescent="0.25"/>
    <row r="224247" customFormat="1" x14ac:dyDescent="0.25"/>
    <row r="224248" customFormat="1" x14ac:dyDescent="0.25"/>
    <row r="224249" customFormat="1" x14ac:dyDescent="0.25"/>
    <row r="224250" customFormat="1" x14ac:dyDescent="0.25"/>
    <row r="224251" customFormat="1" x14ac:dyDescent="0.25"/>
    <row r="224252" customFormat="1" x14ac:dyDescent="0.25"/>
    <row r="224253" customFormat="1" x14ac:dyDescent="0.25"/>
    <row r="224254" customFormat="1" x14ac:dyDescent="0.25"/>
    <row r="224255" customFormat="1" x14ac:dyDescent="0.25"/>
    <row r="224256" customFormat="1" x14ac:dyDescent="0.25"/>
    <row r="224257" customFormat="1" x14ac:dyDescent="0.25"/>
    <row r="224258" customFormat="1" x14ac:dyDescent="0.25"/>
    <row r="224259" customFormat="1" x14ac:dyDescent="0.25"/>
    <row r="224260" customFormat="1" x14ac:dyDescent="0.25"/>
    <row r="224261" customFormat="1" x14ac:dyDescent="0.25"/>
    <row r="224262" customFormat="1" x14ac:dyDescent="0.25"/>
    <row r="224263" customFormat="1" x14ac:dyDescent="0.25"/>
    <row r="224264" customFormat="1" x14ac:dyDescent="0.25"/>
    <row r="224265" customFormat="1" x14ac:dyDescent="0.25"/>
    <row r="224266" customFormat="1" x14ac:dyDescent="0.25"/>
    <row r="224267" customFormat="1" x14ac:dyDescent="0.25"/>
    <row r="224268" customFormat="1" x14ac:dyDescent="0.25"/>
    <row r="224269" customFormat="1" x14ac:dyDescent="0.25"/>
    <row r="224270" customFormat="1" x14ac:dyDescent="0.25"/>
    <row r="224271" customFormat="1" x14ac:dyDescent="0.25"/>
    <row r="224272" customFormat="1" x14ac:dyDescent="0.25"/>
    <row r="224273" customFormat="1" x14ac:dyDescent="0.25"/>
    <row r="224274" customFormat="1" x14ac:dyDescent="0.25"/>
    <row r="224275" customFormat="1" x14ac:dyDescent="0.25"/>
    <row r="224276" customFormat="1" x14ac:dyDescent="0.25"/>
    <row r="224277" customFormat="1" x14ac:dyDescent="0.25"/>
    <row r="224278" customFormat="1" x14ac:dyDescent="0.25"/>
    <row r="224279" customFormat="1" x14ac:dyDescent="0.25"/>
    <row r="224280" customFormat="1" x14ac:dyDescent="0.25"/>
    <row r="224281" customFormat="1" x14ac:dyDescent="0.25"/>
    <row r="224282" customFormat="1" x14ac:dyDescent="0.25"/>
    <row r="224283" customFormat="1" x14ac:dyDescent="0.25"/>
    <row r="224284" customFormat="1" x14ac:dyDescent="0.25"/>
    <row r="224285" customFormat="1" x14ac:dyDescent="0.25"/>
    <row r="224286" customFormat="1" x14ac:dyDescent="0.25"/>
    <row r="224287" customFormat="1" x14ac:dyDescent="0.25"/>
    <row r="224288" customFormat="1" x14ac:dyDescent="0.25"/>
    <row r="224289" customFormat="1" x14ac:dyDescent="0.25"/>
    <row r="224290" customFormat="1" x14ac:dyDescent="0.25"/>
    <row r="224291" customFormat="1" x14ac:dyDescent="0.25"/>
    <row r="224292" customFormat="1" x14ac:dyDescent="0.25"/>
    <row r="224293" customFormat="1" x14ac:dyDescent="0.25"/>
    <row r="224294" customFormat="1" x14ac:dyDescent="0.25"/>
    <row r="224295" customFormat="1" x14ac:dyDescent="0.25"/>
    <row r="224296" customFormat="1" x14ac:dyDescent="0.25"/>
    <row r="224297" customFormat="1" x14ac:dyDescent="0.25"/>
    <row r="224298" customFormat="1" x14ac:dyDescent="0.25"/>
    <row r="224299" customFormat="1" x14ac:dyDescent="0.25"/>
    <row r="224300" customFormat="1" x14ac:dyDescent="0.25"/>
    <row r="224301" customFormat="1" x14ac:dyDescent="0.25"/>
    <row r="224302" customFormat="1" x14ac:dyDescent="0.25"/>
    <row r="224303" customFormat="1" x14ac:dyDescent="0.25"/>
    <row r="224304" customFormat="1" x14ac:dyDescent="0.25"/>
    <row r="224305" customFormat="1" x14ac:dyDescent="0.25"/>
    <row r="224306" customFormat="1" x14ac:dyDescent="0.25"/>
    <row r="224307" customFormat="1" x14ac:dyDescent="0.25"/>
    <row r="224308" customFormat="1" x14ac:dyDescent="0.25"/>
    <row r="224309" customFormat="1" x14ac:dyDescent="0.25"/>
    <row r="224310" customFormat="1" x14ac:dyDescent="0.25"/>
    <row r="224311" customFormat="1" x14ac:dyDescent="0.25"/>
    <row r="224312" customFormat="1" x14ac:dyDescent="0.25"/>
    <row r="224313" customFormat="1" x14ac:dyDescent="0.25"/>
    <row r="224314" customFormat="1" x14ac:dyDescent="0.25"/>
    <row r="224315" customFormat="1" x14ac:dyDescent="0.25"/>
    <row r="224316" customFormat="1" x14ac:dyDescent="0.25"/>
    <row r="224317" customFormat="1" x14ac:dyDescent="0.25"/>
    <row r="224318" customFormat="1" x14ac:dyDescent="0.25"/>
    <row r="224319" customFormat="1" x14ac:dyDescent="0.25"/>
    <row r="224320" customFormat="1" x14ac:dyDescent="0.25"/>
    <row r="224321" customFormat="1" x14ac:dyDescent="0.25"/>
    <row r="224322" customFormat="1" x14ac:dyDescent="0.25"/>
    <row r="224323" customFormat="1" x14ac:dyDescent="0.25"/>
    <row r="224324" customFormat="1" x14ac:dyDescent="0.25"/>
    <row r="224325" customFormat="1" x14ac:dyDescent="0.25"/>
    <row r="224326" customFormat="1" x14ac:dyDescent="0.25"/>
    <row r="224327" customFormat="1" x14ac:dyDescent="0.25"/>
    <row r="224328" customFormat="1" x14ac:dyDescent="0.25"/>
    <row r="224329" customFormat="1" x14ac:dyDescent="0.25"/>
    <row r="224330" customFormat="1" x14ac:dyDescent="0.25"/>
    <row r="224331" customFormat="1" x14ac:dyDescent="0.25"/>
    <row r="224332" customFormat="1" x14ac:dyDescent="0.25"/>
    <row r="224333" customFormat="1" x14ac:dyDescent="0.25"/>
    <row r="224334" customFormat="1" x14ac:dyDescent="0.25"/>
    <row r="224335" customFormat="1" x14ac:dyDescent="0.25"/>
    <row r="224336" customFormat="1" x14ac:dyDescent="0.25"/>
    <row r="224337" customFormat="1" x14ac:dyDescent="0.25"/>
    <row r="224338" customFormat="1" x14ac:dyDescent="0.25"/>
    <row r="224339" customFormat="1" x14ac:dyDescent="0.25"/>
    <row r="224340" customFormat="1" x14ac:dyDescent="0.25"/>
    <row r="224341" customFormat="1" x14ac:dyDescent="0.25"/>
    <row r="224342" customFormat="1" x14ac:dyDescent="0.25"/>
    <row r="224343" customFormat="1" x14ac:dyDescent="0.25"/>
    <row r="224344" customFormat="1" x14ac:dyDescent="0.25"/>
    <row r="224345" customFormat="1" x14ac:dyDescent="0.25"/>
    <row r="224346" customFormat="1" x14ac:dyDescent="0.25"/>
    <row r="224347" customFormat="1" x14ac:dyDescent="0.25"/>
    <row r="224348" customFormat="1" x14ac:dyDescent="0.25"/>
    <row r="224349" customFormat="1" x14ac:dyDescent="0.25"/>
    <row r="224350" customFormat="1" x14ac:dyDescent="0.25"/>
    <row r="224351" customFormat="1" x14ac:dyDescent="0.25"/>
    <row r="224352" customFormat="1" x14ac:dyDescent="0.25"/>
    <row r="224353" customFormat="1" x14ac:dyDescent="0.25"/>
    <row r="224354" customFormat="1" x14ac:dyDescent="0.25"/>
    <row r="224355" customFormat="1" x14ac:dyDescent="0.25"/>
    <row r="224356" customFormat="1" x14ac:dyDescent="0.25"/>
    <row r="224357" customFormat="1" x14ac:dyDescent="0.25"/>
    <row r="224358" customFormat="1" x14ac:dyDescent="0.25"/>
    <row r="224359" customFormat="1" x14ac:dyDescent="0.25"/>
    <row r="224360" customFormat="1" x14ac:dyDescent="0.25"/>
    <row r="224361" customFormat="1" x14ac:dyDescent="0.25"/>
    <row r="224362" customFormat="1" x14ac:dyDescent="0.25"/>
    <row r="224363" customFormat="1" x14ac:dyDescent="0.25"/>
    <row r="224364" customFormat="1" x14ac:dyDescent="0.25"/>
    <row r="224365" customFormat="1" x14ac:dyDescent="0.25"/>
    <row r="224366" customFormat="1" x14ac:dyDescent="0.25"/>
    <row r="224367" customFormat="1" x14ac:dyDescent="0.25"/>
    <row r="224368" customFormat="1" x14ac:dyDescent="0.25"/>
    <row r="224369" customFormat="1" x14ac:dyDescent="0.25"/>
    <row r="224370" customFormat="1" x14ac:dyDescent="0.25"/>
    <row r="224371" customFormat="1" x14ac:dyDescent="0.25"/>
    <row r="224372" customFormat="1" x14ac:dyDescent="0.25"/>
    <row r="224373" customFormat="1" x14ac:dyDescent="0.25"/>
    <row r="224374" customFormat="1" x14ac:dyDescent="0.25"/>
    <row r="224375" customFormat="1" x14ac:dyDescent="0.25"/>
    <row r="224376" customFormat="1" x14ac:dyDescent="0.25"/>
    <row r="224377" customFormat="1" x14ac:dyDescent="0.25"/>
    <row r="224378" customFormat="1" x14ac:dyDescent="0.25"/>
    <row r="224379" customFormat="1" x14ac:dyDescent="0.25"/>
    <row r="224380" customFormat="1" x14ac:dyDescent="0.25"/>
    <row r="224381" customFormat="1" x14ac:dyDescent="0.25"/>
    <row r="224382" customFormat="1" x14ac:dyDescent="0.25"/>
    <row r="224383" customFormat="1" x14ac:dyDescent="0.25"/>
    <row r="224384" customFormat="1" x14ac:dyDescent="0.25"/>
    <row r="224385" customFormat="1" x14ac:dyDescent="0.25"/>
    <row r="224386" customFormat="1" x14ac:dyDescent="0.25"/>
    <row r="224387" customFormat="1" x14ac:dyDescent="0.25"/>
    <row r="224388" customFormat="1" x14ac:dyDescent="0.25"/>
    <row r="224389" customFormat="1" x14ac:dyDescent="0.25"/>
    <row r="224390" customFormat="1" x14ac:dyDescent="0.25"/>
    <row r="224391" customFormat="1" x14ac:dyDescent="0.25"/>
    <row r="224392" customFormat="1" x14ac:dyDescent="0.25"/>
    <row r="224393" customFormat="1" x14ac:dyDescent="0.25"/>
    <row r="224394" customFormat="1" x14ac:dyDescent="0.25"/>
    <row r="224395" customFormat="1" x14ac:dyDescent="0.25"/>
    <row r="224396" customFormat="1" x14ac:dyDescent="0.25"/>
    <row r="224397" customFormat="1" x14ac:dyDescent="0.25"/>
    <row r="224398" customFormat="1" x14ac:dyDescent="0.25"/>
    <row r="224399" customFormat="1" x14ac:dyDescent="0.25"/>
    <row r="224400" customFormat="1" x14ac:dyDescent="0.25"/>
    <row r="224401" customFormat="1" x14ac:dyDescent="0.25"/>
    <row r="224402" customFormat="1" x14ac:dyDescent="0.25"/>
    <row r="224403" customFormat="1" x14ac:dyDescent="0.25"/>
    <row r="224404" customFormat="1" x14ac:dyDescent="0.25"/>
    <row r="224405" customFormat="1" x14ac:dyDescent="0.25"/>
    <row r="224406" customFormat="1" x14ac:dyDescent="0.25"/>
    <row r="224407" customFormat="1" x14ac:dyDescent="0.25"/>
    <row r="224408" customFormat="1" x14ac:dyDescent="0.25"/>
    <row r="224409" customFormat="1" x14ac:dyDescent="0.25"/>
    <row r="224410" customFormat="1" x14ac:dyDescent="0.25"/>
    <row r="224411" customFormat="1" x14ac:dyDescent="0.25"/>
    <row r="224412" customFormat="1" x14ac:dyDescent="0.25"/>
    <row r="224413" customFormat="1" x14ac:dyDescent="0.25"/>
    <row r="224414" customFormat="1" x14ac:dyDescent="0.25"/>
    <row r="224415" customFormat="1" x14ac:dyDescent="0.25"/>
    <row r="224416" customFormat="1" x14ac:dyDescent="0.25"/>
    <row r="224417" customFormat="1" x14ac:dyDescent="0.25"/>
    <row r="224418" customFormat="1" x14ac:dyDescent="0.25"/>
    <row r="224419" customFormat="1" x14ac:dyDescent="0.25"/>
    <row r="224420" customFormat="1" x14ac:dyDescent="0.25"/>
    <row r="224421" customFormat="1" x14ac:dyDescent="0.25"/>
    <row r="224422" customFormat="1" x14ac:dyDescent="0.25"/>
    <row r="224423" customFormat="1" x14ac:dyDescent="0.25"/>
    <row r="224424" customFormat="1" x14ac:dyDescent="0.25"/>
    <row r="224425" customFormat="1" x14ac:dyDescent="0.25"/>
    <row r="224426" customFormat="1" x14ac:dyDescent="0.25"/>
    <row r="224427" customFormat="1" x14ac:dyDescent="0.25"/>
    <row r="224428" customFormat="1" x14ac:dyDescent="0.25"/>
    <row r="224429" customFormat="1" x14ac:dyDescent="0.25"/>
    <row r="224430" customFormat="1" x14ac:dyDescent="0.25"/>
    <row r="224431" customFormat="1" x14ac:dyDescent="0.25"/>
    <row r="224432" customFormat="1" x14ac:dyDescent="0.25"/>
    <row r="224433" customFormat="1" x14ac:dyDescent="0.25"/>
    <row r="224434" customFormat="1" x14ac:dyDescent="0.25"/>
    <row r="224435" customFormat="1" x14ac:dyDescent="0.25"/>
    <row r="224436" customFormat="1" x14ac:dyDescent="0.25"/>
    <row r="224437" customFormat="1" x14ac:dyDescent="0.25"/>
    <row r="224438" customFormat="1" x14ac:dyDescent="0.25"/>
    <row r="224439" customFormat="1" x14ac:dyDescent="0.25"/>
    <row r="224440" customFormat="1" x14ac:dyDescent="0.25"/>
    <row r="224441" customFormat="1" x14ac:dyDescent="0.25"/>
    <row r="224442" customFormat="1" x14ac:dyDescent="0.25"/>
    <row r="224443" customFormat="1" x14ac:dyDescent="0.25"/>
    <row r="224444" customFormat="1" x14ac:dyDescent="0.25"/>
    <row r="224445" customFormat="1" x14ac:dyDescent="0.25"/>
    <row r="224446" customFormat="1" x14ac:dyDescent="0.25"/>
    <row r="224447" customFormat="1" x14ac:dyDescent="0.25"/>
    <row r="224448" customFormat="1" x14ac:dyDescent="0.25"/>
    <row r="224449" customFormat="1" x14ac:dyDescent="0.25"/>
    <row r="224450" customFormat="1" x14ac:dyDescent="0.25"/>
    <row r="224451" customFormat="1" x14ac:dyDescent="0.25"/>
    <row r="224452" customFormat="1" x14ac:dyDescent="0.25"/>
    <row r="224453" customFormat="1" x14ac:dyDescent="0.25"/>
    <row r="224454" customFormat="1" x14ac:dyDescent="0.25"/>
    <row r="224455" customFormat="1" x14ac:dyDescent="0.25"/>
    <row r="224456" customFormat="1" x14ac:dyDescent="0.25"/>
    <row r="224457" customFormat="1" x14ac:dyDescent="0.25"/>
    <row r="224458" customFormat="1" x14ac:dyDescent="0.25"/>
    <row r="224459" customFormat="1" x14ac:dyDescent="0.25"/>
    <row r="224460" customFormat="1" x14ac:dyDescent="0.25"/>
    <row r="224461" customFormat="1" x14ac:dyDescent="0.25"/>
    <row r="224462" customFormat="1" x14ac:dyDescent="0.25"/>
    <row r="224463" customFormat="1" x14ac:dyDescent="0.25"/>
    <row r="224464" customFormat="1" x14ac:dyDescent="0.25"/>
    <row r="224465" customFormat="1" x14ac:dyDescent="0.25"/>
    <row r="224466" customFormat="1" x14ac:dyDescent="0.25"/>
    <row r="224467" customFormat="1" x14ac:dyDescent="0.25"/>
    <row r="224468" customFormat="1" x14ac:dyDescent="0.25"/>
    <row r="224469" customFormat="1" x14ac:dyDescent="0.25"/>
    <row r="224470" customFormat="1" x14ac:dyDescent="0.25"/>
    <row r="224471" customFormat="1" x14ac:dyDescent="0.25"/>
    <row r="224472" customFormat="1" x14ac:dyDescent="0.25"/>
    <row r="224473" customFormat="1" x14ac:dyDescent="0.25"/>
    <row r="224474" customFormat="1" x14ac:dyDescent="0.25"/>
    <row r="224475" customFormat="1" x14ac:dyDescent="0.25"/>
    <row r="224476" customFormat="1" x14ac:dyDescent="0.25"/>
    <row r="224477" customFormat="1" x14ac:dyDescent="0.25"/>
    <row r="224478" customFormat="1" x14ac:dyDescent="0.25"/>
    <row r="224479" customFormat="1" x14ac:dyDescent="0.25"/>
    <row r="224480" customFormat="1" x14ac:dyDescent="0.25"/>
    <row r="224481" customFormat="1" x14ac:dyDescent="0.25"/>
    <row r="224482" customFormat="1" x14ac:dyDescent="0.25"/>
    <row r="224483" customFormat="1" x14ac:dyDescent="0.25"/>
    <row r="224484" customFormat="1" x14ac:dyDescent="0.25"/>
    <row r="224485" customFormat="1" x14ac:dyDescent="0.25"/>
    <row r="224486" customFormat="1" x14ac:dyDescent="0.25"/>
    <row r="224487" customFormat="1" x14ac:dyDescent="0.25"/>
    <row r="224488" customFormat="1" x14ac:dyDescent="0.25"/>
    <row r="224489" customFormat="1" x14ac:dyDescent="0.25"/>
    <row r="224490" customFormat="1" x14ac:dyDescent="0.25"/>
    <row r="224491" customFormat="1" x14ac:dyDescent="0.25"/>
    <row r="224492" customFormat="1" x14ac:dyDescent="0.25"/>
    <row r="224493" customFormat="1" x14ac:dyDescent="0.25"/>
    <row r="224494" customFormat="1" x14ac:dyDescent="0.25"/>
    <row r="224495" customFormat="1" x14ac:dyDescent="0.25"/>
    <row r="224496" customFormat="1" x14ac:dyDescent="0.25"/>
    <row r="224497" customFormat="1" x14ac:dyDescent="0.25"/>
    <row r="224498" customFormat="1" x14ac:dyDescent="0.25"/>
    <row r="224499" customFormat="1" x14ac:dyDescent="0.25"/>
    <row r="224500" customFormat="1" x14ac:dyDescent="0.25"/>
    <row r="224501" customFormat="1" x14ac:dyDescent="0.25"/>
    <row r="224502" customFormat="1" x14ac:dyDescent="0.25"/>
    <row r="224503" customFormat="1" x14ac:dyDescent="0.25"/>
    <row r="224504" customFormat="1" x14ac:dyDescent="0.25"/>
    <row r="224505" customFormat="1" x14ac:dyDescent="0.25"/>
    <row r="224506" customFormat="1" x14ac:dyDescent="0.25"/>
    <row r="224507" customFormat="1" x14ac:dyDescent="0.25"/>
    <row r="224508" customFormat="1" x14ac:dyDescent="0.25"/>
    <row r="224509" customFormat="1" x14ac:dyDescent="0.25"/>
    <row r="224510" customFormat="1" x14ac:dyDescent="0.25"/>
    <row r="224511" customFormat="1" x14ac:dyDescent="0.25"/>
    <row r="224512" customFormat="1" x14ac:dyDescent="0.25"/>
    <row r="224513" customFormat="1" x14ac:dyDescent="0.25"/>
    <row r="224514" customFormat="1" x14ac:dyDescent="0.25"/>
    <row r="224515" customFormat="1" x14ac:dyDescent="0.25"/>
    <row r="224516" customFormat="1" x14ac:dyDescent="0.25"/>
    <row r="224517" customFormat="1" x14ac:dyDescent="0.25"/>
    <row r="224518" customFormat="1" x14ac:dyDescent="0.25"/>
    <row r="224519" customFormat="1" x14ac:dyDescent="0.25"/>
    <row r="224520" customFormat="1" x14ac:dyDescent="0.25"/>
    <row r="224521" customFormat="1" x14ac:dyDescent="0.25"/>
    <row r="224522" customFormat="1" x14ac:dyDescent="0.25"/>
    <row r="224523" customFormat="1" x14ac:dyDescent="0.25"/>
    <row r="224524" customFormat="1" x14ac:dyDescent="0.25"/>
    <row r="224525" customFormat="1" x14ac:dyDescent="0.25"/>
    <row r="224526" customFormat="1" x14ac:dyDescent="0.25"/>
    <row r="224527" customFormat="1" x14ac:dyDescent="0.25"/>
    <row r="224528" customFormat="1" x14ac:dyDescent="0.25"/>
    <row r="224529" customFormat="1" x14ac:dyDescent="0.25"/>
    <row r="224530" customFormat="1" x14ac:dyDescent="0.25"/>
    <row r="224531" customFormat="1" x14ac:dyDescent="0.25"/>
    <row r="224532" customFormat="1" x14ac:dyDescent="0.25"/>
    <row r="224533" customFormat="1" x14ac:dyDescent="0.25"/>
    <row r="224534" customFormat="1" x14ac:dyDescent="0.25"/>
    <row r="224535" customFormat="1" x14ac:dyDescent="0.25"/>
    <row r="224536" customFormat="1" x14ac:dyDescent="0.25"/>
    <row r="224537" customFormat="1" x14ac:dyDescent="0.25"/>
    <row r="224538" customFormat="1" x14ac:dyDescent="0.25"/>
    <row r="224539" customFormat="1" x14ac:dyDescent="0.25"/>
    <row r="224540" customFormat="1" x14ac:dyDescent="0.25"/>
    <row r="224541" customFormat="1" x14ac:dyDescent="0.25"/>
    <row r="224542" customFormat="1" x14ac:dyDescent="0.25"/>
    <row r="224543" customFormat="1" x14ac:dyDescent="0.25"/>
    <row r="224544" customFormat="1" x14ac:dyDescent="0.25"/>
    <row r="224545" customFormat="1" x14ac:dyDescent="0.25"/>
    <row r="224546" customFormat="1" x14ac:dyDescent="0.25"/>
    <row r="224547" customFormat="1" x14ac:dyDescent="0.25"/>
    <row r="224548" customFormat="1" x14ac:dyDescent="0.25"/>
    <row r="224549" customFormat="1" x14ac:dyDescent="0.25"/>
    <row r="224550" customFormat="1" x14ac:dyDescent="0.25"/>
    <row r="224551" customFormat="1" x14ac:dyDescent="0.25"/>
    <row r="224552" customFormat="1" x14ac:dyDescent="0.25"/>
    <row r="224553" customFormat="1" x14ac:dyDescent="0.25"/>
    <row r="224554" customFormat="1" x14ac:dyDescent="0.25"/>
    <row r="224555" customFormat="1" x14ac:dyDescent="0.25"/>
    <row r="224556" customFormat="1" x14ac:dyDescent="0.25"/>
    <row r="224557" customFormat="1" x14ac:dyDescent="0.25"/>
    <row r="224558" customFormat="1" x14ac:dyDescent="0.25"/>
    <row r="224559" customFormat="1" x14ac:dyDescent="0.25"/>
    <row r="224560" customFormat="1" x14ac:dyDescent="0.25"/>
    <row r="224561" customFormat="1" x14ac:dyDescent="0.25"/>
    <row r="224562" customFormat="1" x14ac:dyDescent="0.25"/>
    <row r="224563" customFormat="1" x14ac:dyDescent="0.25"/>
    <row r="224564" customFormat="1" x14ac:dyDescent="0.25"/>
    <row r="224565" customFormat="1" x14ac:dyDescent="0.25"/>
    <row r="224566" customFormat="1" x14ac:dyDescent="0.25"/>
    <row r="224567" customFormat="1" x14ac:dyDescent="0.25"/>
    <row r="224568" customFormat="1" x14ac:dyDescent="0.25"/>
    <row r="224569" customFormat="1" x14ac:dyDescent="0.25"/>
    <row r="224570" customFormat="1" x14ac:dyDescent="0.25"/>
    <row r="224571" customFormat="1" x14ac:dyDescent="0.25"/>
    <row r="224572" customFormat="1" x14ac:dyDescent="0.25"/>
    <row r="224573" customFormat="1" x14ac:dyDescent="0.25"/>
    <row r="224574" customFormat="1" x14ac:dyDescent="0.25"/>
    <row r="224575" customFormat="1" x14ac:dyDescent="0.25"/>
    <row r="224576" customFormat="1" x14ac:dyDescent="0.25"/>
    <row r="224577" customFormat="1" x14ac:dyDescent="0.25"/>
    <row r="224578" customFormat="1" x14ac:dyDescent="0.25"/>
    <row r="224579" customFormat="1" x14ac:dyDescent="0.25"/>
    <row r="224580" customFormat="1" x14ac:dyDescent="0.25"/>
    <row r="224581" customFormat="1" x14ac:dyDescent="0.25"/>
    <row r="224582" customFormat="1" x14ac:dyDescent="0.25"/>
    <row r="224583" customFormat="1" x14ac:dyDescent="0.25"/>
    <row r="224584" customFormat="1" x14ac:dyDescent="0.25"/>
    <row r="224585" customFormat="1" x14ac:dyDescent="0.25"/>
    <row r="224586" customFormat="1" x14ac:dyDescent="0.25"/>
    <row r="224587" customFormat="1" x14ac:dyDescent="0.25"/>
    <row r="224588" customFormat="1" x14ac:dyDescent="0.25"/>
    <row r="224589" customFormat="1" x14ac:dyDescent="0.25"/>
    <row r="224590" customFormat="1" x14ac:dyDescent="0.25"/>
    <row r="224591" customFormat="1" x14ac:dyDescent="0.25"/>
    <row r="224592" customFormat="1" x14ac:dyDescent="0.25"/>
    <row r="224593" customFormat="1" x14ac:dyDescent="0.25"/>
    <row r="224594" customFormat="1" x14ac:dyDescent="0.25"/>
    <row r="224595" customFormat="1" x14ac:dyDescent="0.25"/>
    <row r="224596" customFormat="1" x14ac:dyDescent="0.25"/>
    <row r="224597" customFormat="1" x14ac:dyDescent="0.25"/>
    <row r="224598" customFormat="1" x14ac:dyDescent="0.25"/>
    <row r="224599" customFormat="1" x14ac:dyDescent="0.25"/>
    <row r="224600" customFormat="1" x14ac:dyDescent="0.25"/>
    <row r="224601" customFormat="1" x14ac:dyDescent="0.25"/>
    <row r="224602" customFormat="1" x14ac:dyDescent="0.25"/>
    <row r="224603" customFormat="1" x14ac:dyDescent="0.25"/>
    <row r="224604" customFormat="1" x14ac:dyDescent="0.25"/>
    <row r="224605" customFormat="1" x14ac:dyDescent="0.25"/>
    <row r="224606" customFormat="1" x14ac:dyDescent="0.25"/>
    <row r="224607" customFormat="1" x14ac:dyDescent="0.25"/>
    <row r="224608" customFormat="1" x14ac:dyDescent="0.25"/>
    <row r="224609" customFormat="1" x14ac:dyDescent="0.25"/>
    <row r="224610" customFormat="1" x14ac:dyDescent="0.25"/>
    <row r="224611" customFormat="1" x14ac:dyDescent="0.25"/>
    <row r="224612" customFormat="1" x14ac:dyDescent="0.25"/>
    <row r="224613" customFormat="1" x14ac:dyDescent="0.25"/>
    <row r="224614" customFormat="1" x14ac:dyDescent="0.25"/>
    <row r="224615" customFormat="1" x14ac:dyDescent="0.25"/>
    <row r="224616" customFormat="1" x14ac:dyDescent="0.25"/>
    <row r="224617" customFormat="1" x14ac:dyDescent="0.25"/>
    <row r="224618" customFormat="1" x14ac:dyDescent="0.25"/>
    <row r="224619" customFormat="1" x14ac:dyDescent="0.25"/>
    <row r="224620" customFormat="1" x14ac:dyDescent="0.25"/>
    <row r="224621" customFormat="1" x14ac:dyDescent="0.25"/>
    <row r="224622" customFormat="1" x14ac:dyDescent="0.25"/>
    <row r="224623" customFormat="1" x14ac:dyDescent="0.25"/>
    <row r="224624" customFormat="1" x14ac:dyDescent="0.25"/>
    <row r="224625" customFormat="1" x14ac:dyDescent="0.25"/>
    <row r="224626" customFormat="1" x14ac:dyDescent="0.25"/>
    <row r="224627" customFormat="1" x14ac:dyDescent="0.25"/>
    <row r="224628" customFormat="1" x14ac:dyDescent="0.25"/>
    <row r="224629" customFormat="1" x14ac:dyDescent="0.25"/>
    <row r="224630" customFormat="1" x14ac:dyDescent="0.25"/>
    <row r="224631" customFormat="1" x14ac:dyDescent="0.25"/>
    <row r="224632" customFormat="1" x14ac:dyDescent="0.25"/>
    <row r="224633" customFormat="1" x14ac:dyDescent="0.25"/>
    <row r="224634" customFormat="1" x14ac:dyDescent="0.25"/>
    <row r="224635" customFormat="1" x14ac:dyDescent="0.25"/>
    <row r="224636" customFormat="1" x14ac:dyDescent="0.25"/>
    <row r="224637" customFormat="1" x14ac:dyDescent="0.25"/>
    <row r="224638" customFormat="1" x14ac:dyDescent="0.25"/>
    <row r="224639" customFormat="1" x14ac:dyDescent="0.25"/>
    <row r="224640" customFormat="1" x14ac:dyDescent="0.25"/>
    <row r="224641" customFormat="1" x14ac:dyDescent="0.25"/>
    <row r="224642" customFormat="1" x14ac:dyDescent="0.25"/>
    <row r="224643" customFormat="1" x14ac:dyDescent="0.25"/>
    <row r="224644" customFormat="1" x14ac:dyDescent="0.25"/>
    <row r="224645" customFormat="1" x14ac:dyDescent="0.25"/>
    <row r="224646" customFormat="1" x14ac:dyDescent="0.25"/>
    <row r="224647" customFormat="1" x14ac:dyDescent="0.25"/>
    <row r="224648" customFormat="1" x14ac:dyDescent="0.25"/>
    <row r="224649" customFormat="1" x14ac:dyDescent="0.25"/>
    <row r="224650" customFormat="1" x14ac:dyDescent="0.25"/>
    <row r="224651" customFormat="1" x14ac:dyDescent="0.25"/>
    <row r="224652" customFormat="1" x14ac:dyDescent="0.25"/>
    <row r="224653" customFormat="1" x14ac:dyDescent="0.25"/>
    <row r="224654" customFormat="1" x14ac:dyDescent="0.25"/>
    <row r="224655" customFormat="1" x14ac:dyDescent="0.25"/>
    <row r="224656" customFormat="1" x14ac:dyDescent="0.25"/>
    <row r="224657" customFormat="1" x14ac:dyDescent="0.25"/>
    <row r="224658" customFormat="1" x14ac:dyDescent="0.25"/>
    <row r="224659" customFormat="1" x14ac:dyDescent="0.25"/>
    <row r="224660" customFormat="1" x14ac:dyDescent="0.25"/>
    <row r="224661" customFormat="1" x14ac:dyDescent="0.25"/>
    <row r="224662" customFormat="1" x14ac:dyDescent="0.25"/>
    <row r="224663" customFormat="1" x14ac:dyDescent="0.25"/>
    <row r="224664" customFormat="1" x14ac:dyDescent="0.25"/>
    <row r="224665" customFormat="1" x14ac:dyDescent="0.25"/>
    <row r="224666" customFormat="1" x14ac:dyDescent="0.25"/>
    <row r="224667" customFormat="1" x14ac:dyDescent="0.25"/>
    <row r="224668" customFormat="1" x14ac:dyDescent="0.25"/>
    <row r="224669" customFormat="1" x14ac:dyDescent="0.25"/>
    <row r="224670" customFormat="1" x14ac:dyDescent="0.25"/>
    <row r="224671" customFormat="1" x14ac:dyDescent="0.25"/>
    <row r="224672" customFormat="1" x14ac:dyDescent="0.25"/>
    <row r="224673" customFormat="1" x14ac:dyDescent="0.25"/>
    <row r="224674" customFormat="1" x14ac:dyDescent="0.25"/>
    <row r="224675" customFormat="1" x14ac:dyDescent="0.25"/>
    <row r="224676" customFormat="1" x14ac:dyDescent="0.25"/>
    <row r="224677" customFormat="1" x14ac:dyDescent="0.25"/>
    <row r="224678" customFormat="1" x14ac:dyDescent="0.25"/>
    <row r="224679" customFormat="1" x14ac:dyDescent="0.25"/>
    <row r="224680" customFormat="1" x14ac:dyDescent="0.25"/>
    <row r="224681" customFormat="1" x14ac:dyDescent="0.25"/>
    <row r="224682" customFormat="1" x14ac:dyDescent="0.25"/>
    <row r="224683" customFormat="1" x14ac:dyDescent="0.25"/>
    <row r="224684" customFormat="1" x14ac:dyDescent="0.25"/>
    <row r="224685" customFormat="1" x14ac:dyDescent="0.25"/>
    <row r="224686" customFormat="1" x14ac:dyDescent="0.25"/>
    <row r="224687" customFormat="1" x14ac:dyDescent="0.25"/>
    <row r="224688" customFormat="1" x14ac:dyDescent="0.25"/>
    <row r="224689" customFormat="1" x14ac:dyDescent="0.25"/>
    <row r="224690" customFormat="1" x14ac:dyDescent="0.25"/>
    <row r="224691" customFormat="1" x14ac:dyDescent="0.25"/>
    <row r="224692" customFormat="1" x14ac:dyDescent="0.25"/>
    <row r="224693" customFormat="1" x14ac:dyDescent="0.25"/>
    <row r="224694" customFormat="1" x14ac:dyDescent="0.25"/>
    <row r="224695" customFormat="1" x14ac:dyDescent="0.25"/>
    <row r="224696" customFormat="1" x14ac:dyDescent="0.25"/>
    <row r="224697" customFormat="1" x14ac:dyDescent="0.25"/>
    <row r="224698" customFormat="1" x14ac:dyDescent="0.25"/>
    <row r="224699" customFormat="1" x14ac:dyDescent="0.25"/>
    <row r="224700" customFormat="1" x14ac:dyDescent="0.25"/>
    <row r="224701" customFormat="1" x14ac:dyDescent="0.25"/>
    <row r="224702" customFormat="1" x14ac:dyDescent="0.25"/>
    <row r="224703" customFormat="1" x14ac:dyDescent="0.25"/>
    <row r="224704" customFormat="1" x14ac:dyDescent="0.25"/>
    <row r="224705" customFormat="1" x14ac:dyDescent="0.25"/>
    <row r="224706" customFormat="1" x14ac:dyDescent="0.25"/>
    <row r="224707" customFormat="1" x14ac:dyDescent="0.25"/>
    <row r="224708" customFormat="1" x14ac:dyDescent="0.25"/>
    <row r="224709" customFormat="1" x14ac:dyDescent="0.25"/>
    <row r="224710" customFormat="1" x14ac:dyDescent="0.25"/>
    <row r="224711" customFormat="1" x14ac:dyDescent="0.25"/>
    <row r="224712" customFormat="1" x14ac:dyDescent="0.25"/>
    <row r="224713" customFormat="1" x14ac:dyDescent="0.25"/>
    <row r="224714" customFormat="1" x14ac:dyDescent="0.25"/>
    <row r="224715" customFormat="1" x14ac:dyDescent="0.25"/>
    <row r="224716" customFormat="1" x14ac:dyDescent="0.25"/>
    <row r="224717" customFormat="1" x14ac:dyDescent="0.25"/>
    <row r="224718" customFormat="1" x14ac:dyDescent="0.25"/>
    <row r="224719" customFormat="1" x14ac:dyDescent="0.25"/>
    <row r="224720" customFormat="1" x14ac:dyDescent="0.25"/>
    <row r="224721" customFormat="1" x14ac:dyDescent="0.25"/>
    <row r="224722" customFormat="1" x14ac:dyDescent="0.25"/>
    <row r="224723" customFormat="1" x14ac:dyDescent="0.25"/>
    <row r="224724" customFormat="1" x14ac:dyDescent="0.25"/>
    <row r="224725" customFormat="1" x14ac:dyDescent="0.25"/>
    <row r="224726" customFormat="1" x14ac:dyDescent="0.25"/>
    <row r="224727" customFormat="1" x14ac:dyDescent="0.25"/>
    <row r="224728" customFormat="1" x14ac:dyDescent="0.25"/>
    <row r="224729" customFormat="1" x14ac:dyDescent="0.25"/>
    <row r="224730" customFormat="1" x14ac:dyDescent="0.25"/>
    <row r="224731" customFormat="1" x14ac:dyDescent="0.25"/>
    <row r="224732" customFormat="1" x14ac:dyDescent="0.25"/>
    <row r="224733" customFormat="1" x14ac:dyDescent="0.25"/>
    <row r="224734" customFormat="1" x14ac:dyDescent="0.25"/>
    <row r="224735" customFormat="1" x14ac:dyDescent="0.25"/>
    <row r="224736" customFormat="1" x14ac:dyDescent="0.25"/>
    <row r="224737" customFormat="1" x14ac:dyDescent="0.25"/>
    <row r="224738" customFormat="1" x14ac:dyDescent="0.25"/>
    <row r="224739" customFormat="1" x14ac:dyDescent="0.25"/>
    <row r="224740" customFormat="1" x14ac:dyDescent="0.25"/>
    <row r="224741" customFormat="1" x14ac:dyDescent="0.25"/>
    <row r="224742" customFormat="1" x14ac:dyDescent="0.25"/>
    <row r="224743" customFormat="1" x14ac:dyDescent="0.25"/>
    <row r="224744" customFormat="1" x14ac:dyDescent="0.25"/>
    <row r="224745" customFormat="1" x14ac:dyDescent="0.25"/>
    <row r="224746" customFormat="1" x14ac:dyDescent="0.25"/>
    <row r="224747" customFormat="1" x14ac:dyDescent="0.25"/>
    <row r="224748" customFormat="1" x14ac:dyDescent="0.25"/>
    <row r="224749" customFormat="1" x14ac:dyDescent="0.25"/>
    <row r="224750" customFormat="1" x14ac:dyDescent="0.25"/>
    <row r="224751" customFormat="1" x14ac:dyDescent="0.25"/>
    <row r="224752" customFormat="1" x14ac:dyDescent="0.25"/>
    <row r="224753" customFormat="1" x14ac:dyDescent="0.25"/>
    <row r="224754" customFormat="1" x14ac:dyDescent="0.25"/>
    <row r="224755" customFormat="1" x14ac:dyDescent="0.25"/>
    <row r="224756" customFormat="1" x14ac:dyDescent="0.25"/>
    <row r="224757" customFormat="1" x14ac:dyDescent="0.25"/>
    <row r="224758" customFormat="1" x14ac:dyDescent="0.25"/>
    <row r="224759" customFormat="1" x14ac:dyDescent="0.25"/>
    <row r="224760" customFormat="1" x14ac:dyDescent="0.25"/>
    <row r="224761" customFormat="1" x14ac:dyDescent="0.25"/>
    <row r="224762" customFormat="1" x14ac:dyDescent="0.25"/>
    <row r="224763" customFormat="1" x14ac:dyDescent="0.25"/>
    <row r="224764" customFormat="1" x14ac:dyDescent="0.25"/>
    <row r="224765" customFormat="1" x14ac:dyDescent="0.25"/>
    <row r="224766" customFormat="1" x14ac:dyDescent="0.25"/>
    <row r="224767" customFormat="1" x14ac:dyDescent="0.25"/>
    <row r="224768" customFormat="1" x14ac:dyDescent="0.25"/>
    <row r="224769" customFormat="1" x14ac:dyDescent="0.25"/>
    <row r="224770" customFormat="1" x14ac:dyDescent="0.25"/>
    <row r="224771" customFormat="1" x14ac:dyDescent="0.25"/>
    <row r="224772" customFormat="1" x14ac:dyDescent="0.25"/>
    <row r="224773" customFormat="1" x14ac:dyDescent="0.25"/>
    <row r="224774" customFormat="1" x14ac:dyDescent="0.25"/>
    <row r="224775" customFormat="1" x14ac:dyDescent="0.25"/>
    <row r="224776" customFormat="1" x14ac:dyDescent="0.25"/>
    <row r="224777" customFormat="1" x14ac:dyDescent="0.25"/>
    <row r="224778" customFormat="1" x14ac:dyDescent="0.25"/>
    <row r="224779" customFormat="1" x14ac:dyDescent="0.25"/>
    <row r="224780" customFormat="1" x14ac:dyDescent="0.25"/>
    <row r="224781" customFormat="1" x14ac:dyDescent="0.25"/>
    <row r="224782" customFormat="1" x14ac:dyDescent="0.25"/>
    <row r="224783" customFormat="1" x14ac:dyDescent="0.25"/>
    <row r="224784" customFormat="1" x14ac:dyDescent="0.25"/>
    <row r="224785" customFormat="1" x14ac:dyDescent="0.25"/>
    <row r="224786" customFormat="1" x14ac:dyDescent="0.25"/>
    <row r="224787" customFormat="1" x14ac:dyDescent="0.25"/>
    <row r="224788" customFormat="1" x14ac:dyDescent="0.25"/>
    <row r="224789" customFormat="1" x14ac:dyDescent="0.25"/>
    <row r="224790" customFormat="1" x14ac:dyDescent="0.25"/>
    <row r="224791" customFormat="1" x14ac:dyDescent="0.25"/>
    <row r="224792" customFormat="1" x14ac:dyDescent="0.25"/>
    <row r="224793" customFormat="1" x14ac:dyDescent="0.25"/>
    <row r="224794" customFormat="1" x14ac:dyDescent="0.25"/>
    <row r="224795" customFormat="1" x14ac:dyDescent="0.25"/>
    <row r="224796" customFormat="1" x14ac:dyDescent="0.25"/>
    <row r="224797" customFormat="1" x14ac:dyDescent="0.25"/>
    <row r="224798" customFormat="1" x14ac:dyDescent="0.25"/>
    <row r="224799" customFormat="1" x14ac:dyDescent="0.25"/>
    <row r="224800" customFormat="1" x14ac:dyDescent="0.25"/>
    <row r="224801" customFormat="1" x14ac:dyDescent="0.25"/>
    <row r="224802" customFormat="1" x14ac:dyDescent="0.25"/>
    <row r="224803" customFormat="1" x14ac:dyDescent="0.25"/>
    <row r="224804" customFormat="1" x14ac:dyDescent="0.25"/>
    <row r="224805" customFormat="1" x14ac:dyDescent="0.25"/>
    <row r="224806" customFormat="1" x14ac:dyDescent="0.25"/>
    <row r="224807" customFormat="1" x14ac:dyDescent="0.25"/>
    <row r="224808" customFormat="1" x14ac:dyDescent="0.25"/>
    <row r="224809" customFormat="1" x14ac:dyDescent="0.25"/>
    <row r="224810" customFormat="1" x14ac:dyDescent="0.25"/>
    <row r="224811" customFormat="1" x14ac:dyDescent="0.25"/>
    <row r="224812" customFormat="1" x14ac:dyDescent="0.25"/>
    <row r="224813" customFormat="1" x14ac:dyDescent="0.25"/>
    <row r="224814" customFormat="1" x14ac:dyDescent="0.25"/>
    <row r="224815" customFormat="1" x14ac:dyDescent="0.25"/>
    <row r="224816" customFormat="1" x14ac:dyDescent="0.25"/>
    <row r="224817" customFormat="1" x14ac:dyDescent="0.25"/>
    <row r="224818" customFormat="1" x14ac:dyDescent="0.25"/>
    <row r="224819" customFormat="1" x14ac:dyDescent="0.25"/>
    <row r="224820" customFormat="1" x14ac:dyDescent="0.25"/>
    <row r="224821" customFormat="1" x14ac:dyDescent="0.25"/>
    <row r="224822" customFormat="1" x14ac:dyDescent="0.25"/>
    <row r="224823" customFormat="1" x14ac:dyDescent="0.25"/>
    <row r="224824" customFormat="1" x14ac:dyDescent="0.25"/>
    <row r="224825" customFormat="1" x14ac:dyDescent="0.25"/>
    <row r="224826" customFormat="1" x14ac:dyDescent="0.25"/>
    <row r="224827" customFormat="1" x14ac:dyDescent="0.25"/>
    <row r="224828" customFormat="1" x14ac:dyDescent="0.25"/>
    <row r="224829" customFormat="1" x14ac:dyDescent="0.25"/>
    <row r="224830" customFormat="1" x14ac:dyDescent="0.25"/>
    <row r="224831" customFormat="1" x14ac:dyDescent="0.25"/>
    <row r="224832" customFormat="1" x14ac:dyDescent="0.25"/>
    <row r="224833" customFormat="1" x14ac:dyDescent="0.25"/>
    <row r="224834" customFormat="1" x14ac:dyDescent="0.25"/>
    <row r="224835" customFormat="1" x14ac:dyDescent="0.25"/>
    <row r="224836" customFormat="1" x14ac:dyDescent="0.25"/>
    <row r="224837" customFormat="1" x14ac:dyDescent="0.25"/>
    <row r="224838" customFormat="1" x14ac:dyDescent="0.25"/>
    <row r="224839" customFormat="1" x14ac:dyDescent="0.25"/>
    <row r="224840" customFormat="1" x14ac:dyDescent="0.25"/>
    <row r="224841" customFormat="1" x14ac:dyDescent="0.25"/>
    <row r="224842" customFormat="1" x14ac:dyDescent="0.25"/>
    <row r="224843" customFormat="1" x14ac:dyDescent="0.25"/>
    <row r="224844" customFormat="1" x14ac:dyDescent="0.25"/>
    <row r="224845" customFormat="1" x14ac:dyDescent="0.25"/>
    <row r="224846" customFormat="1" x14ac:dyDescent="0.25"/>
    <row r="224847" customFormat="1" x14ac:dyDescent="0.25"/>
    <row r="224848" customFormat="1" x14ac:dyDescent="0.25"/>
    <row r="224849" customFormat="1" x14ac:dyDescent="0.25"/>
    <row r="224850" customFormat="1" x14ac:dyDescent="0.25"/>
    <row r="224851" customFormat="1" x14ac:dyDescent="0.25"/>
    <row r="224852" customFormat="1" x14ac:dyDescent="0.25"/>
    <row r="224853" customFormat="1" x14ac:dyDescent="0.25"/>
    <row r="224854" customFormat="1" x14ac:dyDescent="0.25"/>
    <row r="224855" customFormat="1" x14ac:dyDescent="0.25"/>
    <row r="224856" customFormat="1" x14ac:dyDescent="0.25"/>
    <row r="224857" customFormat="1" x14ac:dyDescent="0.25"/>
    <row r="224858" customFormat="1" x14ac:dyDescent="0.25"/>
    <row r="224859" customFormat="1" x14ac:dyDescent="0.25"/>
    <row r="224860" customFormat="1" x14ac:dyDescent="0.25"/>
    <row r="224861" customFormat="1" x14ac:dyDescent="0.25"/>
    <row r="224862" customFormat="1" x14ac:dyDescent="0.25"/>
    <row r="224863" customFormat="1" x14ac:dyDescent="0.25"/>
    <row r="224864" customFormat="1" x14ac:dyDescent="0.25"/>
    <row r="224865" customFormat="1" x14ac:dyDescent="0.25"/>
    <row r="224866" customFormat="1" x14ac:dyDescent="0.25"/>
    <row r="224867" customFormat="1" x14ac:dyDescent="0.25"/>
    <row r="224868" customFormat="1" x14ac:dyDescent="0.25"/>
    <row r="224869" customFormat="1" x14ac:dyDescent="0.25"/>
    <row r="224870" customFormat="1" x14ac:dyDescent="0.25"/>
    <row r="224871" customFormat="1" x14ac:dyDescent="0.25"/>
    <row r="224872" customFormat="1" x14ac:dyDescent="0.25"/>
    <row r="224873" customFormat="1" x14ac:dyDescent="0.25"/>
    <row r="224874" customFormat="1" x14ac:dyDescent="0.25"/>
    <row r="224875" customFormat="1" x14ac:dyDescent="0.25"/>
    <row r="224876" customFormat="1" x14ac:dyDescent="0.25"/>
    <row r="224877" customFormat="1" x14ac:dyDescent="0.25"/>
    <row r="224878" customFormat="1" x14ac:dyDescent="0.25"/>
    <row r="224879" customFormat="1" x14ac:dyDescent="0.25"/>
    <row r="224880" customFormat="1" x14ac:dyDescent="0.25"/>
    <row r="224881" customFormat="1" x14ac:dyDescent="0.25"/>
    <row r="224882" customFormat="1" x14ac:dyDescent="0.25"/>
    <row r="224883" customFormat="1" x14ac:dyDescent="0.25"/>
    <row r="224884" customFormat="1" x14ac:dyDescent="0.25"/>
    <row r="224885" customFormat="1" x14ac:dyDescent="0.25"/>
    <row r="224886" customFormat="1" x14ac:dyDescent="0.25"/>
    <row r="224887" customFormat="1" x14ac:dyDescent="0.25"/>
    <row r="224888" customFormat="1" x14ac:dyDescent="0.25"/>
    <row r="224889" customFormat="1" x14ac:dyDescent="0.25"/>
    <row r="224890" customFormat="1" x14ac:dyDescent="0.25"/>
    <row r="224891" customFormat="1" x14ac:dyDescent="0.25"/>
    <row r="224892" customFormat="1" x14ac:dyDescent="0.25"/>
    <row r="224893" customFormat="1" x14ac:dyDescent="0.25"/>
    <row r="224894" customFormat="1" x14ac:dyDescent="0.25"/>
    <row r="224895" customFormat="1" x14ac:dyDescent="0.25"/>
    <row r="224896" customFormat="1" x14ac:dyDescent="0.25"/>
    <row r="224897" customFormat="1" x14ac:dyDescent="0.25"/>
    <row r="224898" customFormat="1" x14ac:dyDescent="0.25"/>
    <row r="224899" customFormat="1" x14ac:dyDescent="0.25"/>
    <row r="224900" customFormat="1" x14ac:dyDescent="0.25"/>
    <row r="224901" customFormat="1" x14ac:dyDescent="0.25"/>
    <row r="224902" customFormat="1" x14ac:dyDescent="0.25"/>
    <row r="224903" customFormat="1" x14ac:dyDescent="0.25"/>
    <row r="224904" customFormat="1" x14ac:dyDescent="0.25"/>
    <row r="224905" customFormat="1" x14ac:dyDescent="0.25"/>
    <row r="224906" customFormat="1" x14ac:dyDescent="0.25"/>
    <row r="224907" customFormat="1" x14ac:dyDescent="0.25"/>
    <row r="224908" customFormat="1" x14ac:dyDescent="0.25"/>
    <row r="224909" customFormat="1" x14ac:dyDescent="0.25"/>
    <row r="224910" customFormat="1" x14ac:dyDescent="0.25"/>
    <row r="224911" customFormat="1" x14ac:dyDescent="0.25"/>
    <row r="224912" customFormat="1" x14ac:dyDescent="0.25"/>
    <row r="224913" customFormat="1" x14ac:dyDescent="0.25"/>
    <row r="224914" customFormat="1" x14ac:dyDescent="0.25"/>
    <row r="224915" customFormat="1" x14ac:dyDescent="0.25"/>
    <row r="224916" customFormat="1" x14ac:dyDescent="0.25"/>
    <row r="224917" customFormat="1" x14ac:dyDescent="0.25"/>
    <row r="224918" customFormat="1" x14ac:dyDescent="0.25"/>
    <row r="224919" customFormat="1" x14ac:dyDescent="0.25"/>
    <row r="224920" customFormat="1" x14ac:dyDescent="0.25"/>
    <row r="224921" customFormat="1" x14ac:dyDescent="0.25"/>
    <row r="224922" customFormat="1" x14ac:dyDescent="0.25"/>
    <row r="224923" customFormat="1" x14ac:dyDescent="0.25"/>
    <row r="224924" customFormat="1" x14ac:dyDescent="0.25"/>
    <row r="224925" customFormat="1" x14ac:dyDescent="0.25"/>
    <row r="224926" customFormat="1" x14ac:dyDescent="0.25"/>
    <row r="224927" customFormat="1" x14ac:dyDescent="0.25"/>
    <row r="224928" customFormat="1" x14ac:dyDescent="0.25"/>
    <row r="224929" customFormat="1" x14ac:dyDescent="0.25"/>
    <row r="224930" customFormat="1" x14ac:dyDescent="0.25"/>
    <row r="224931" customFormat="1" x14ac:dyDescent="0.25"/>
    <row r="224932" customFormat="1" x14ac:dyDescent="0.25"/>
    <row r="224933" customFormat="1" x14ac:dyDescent="0.25"/>
    <row r="224934" customFormat="1" x14ac:dyDescent="0.25"/>
    <row r="224935" customFormat="1" x14ac:dyDescent="0.25"/>
    <row r="224936" customFormat="1" x14ac:dyDescent="0.25"/>
    <row r="224937" customFormat="1" x14ac:dyDescent="0.25"/>
    <row r="224938" customFormat="1" x14ac:dyDescent="0.25"/>
    <row r="224939" customFormat="1" x14ac:dyDescent="0.25"/>
    <row r="224940" customFormat="1" x14ac:dyDescent="0.25"/>
    <row r="224941" customFormat="1" x14ac:dyDescent="0.25"/>
    <row r="224942" customFormat="1" x14ac:dyDescent="0.25"/>
    <row r="224943" customFormat="1" x14ac:dyDescent="0.25"/>
    <row r="224944" customFormat="1" x14ac:dyDescent="0.25"/>
    <row r="224945" customFormat="1" x14ac:dyDescent="0.25"/>
    <row r="224946" customFormat="1" x14ac:dyDescent="0.25"/>
    <row r="224947" customFormat="1" x14ac:dyDescent="0.25"/>
    <row r="224948" customFormat="1" x14ac:dyDescent="0.25"/>
    <row r="224949" customFormat="1" x14ac:dyDescent="0.25"/>
    <row r="224950" customFormat="1" x14ac:dyDescent="0.25"/>
    <row r="224951" customFormat="1" x14ac:dyDescent="0.25"/>
    <row r="224952" customFormat="1" x14ac:dyDescent="0.25"/>
    <row r="224953" customFormat="1" x14ac:dyDescent="0.25"/>
    <row r="224954" customFormat="1" x14ac:dyDescent="0.25"/>
    <row r="224955" customFormat="1" x14ac:dyDescent="0.25"/>
    <row r="224956" customFormat="1" x14ac:dyDescent="0.25"/>
    <row r="224957" customFormat="1" x14ac:dyDescent="0.25"/>
    <row r="224958" customFormat="1" x14ac:dyDescent="0.25"/>
    <row r="224959" customFormat="1" x14ac:dyDescent="0.25"/>
    <row r="224960" customFormat="1" x14ac:dyDescent="0.25"/>
    <row r="224961" customFormat="1" x14ac:dyDescent="0.25"/>
    <row r="224962" customFormat="1" x14ac:dyDescent="0.25"/>
    <row r="224963" customFormat="1" x14ac:dyDescent="0.25"/>
    <row r="224964" customFormat="1" x14ac:dyDescent="0.25"/>
    <row r="224965" customFormat="1" x14ac:dyDescent="0.25"/>
    <row r="224966" customFormat="1" x14ac:dyDescent="0.25"/>
    <row r="224967" customFormat="1" x14ac:dyDescent="0.25"/>
    <row r="224968" customFormat="1" x14ac:dyDescent="0.25"/>
    <row r="224969" customFormat="1" x14ac:dyDescent="0.25"/>
    <row r="224970" customFormat="1" x14ac:dyDescent="0.25"/>
    <row r="224971" customFormat="1" x14ac:dyDescent="0.25"/>
    <row r="224972" customFormat="1" x14ac:dyDescent="0.25"/>
    <row r="224973" customFormat="1" x14ac:dyDescent="0.25"/>
    <row r="224974" customFormat="1" x14ac:dyDescent="0.25"/>
    <row r="224975" customFormat="1" x14ac:dyDescent="0.25"/>
    <row r="224976" customFormat="1" x14ac:dyDescent="0.25"/>
    <row r="224977" customFormat="1" x14ac:dyDescent="0.25"/>
    <row r="224978" customFormat="1" x14ac:dyDescent="0.25"/>
    <row r="224979" customFormat="1" x14ac:dyDescent="0.25"/>
    <row r="224980" customFormat="1" x14ac:dyDescent="0.25"/>
    <row r="224981" customFormat="1" x14ac:dyDescent="0.25"/>
    <row r="224982" customFormat="1" x14ac:dyDescent="0.25"/>
    <row r="224983" customFormat="1" x14ac:dyDescent="0.25"/>
    <row r="224984" customFormat="1" x14ac:dyDescent="0.25"/>
    <row r="224985" customFormat="1" x14ac:dyDescent="0.25"/>
    <row r="224986" customFormat="1" x14ac:dyDescent="0.25"/>
    <row r="224987" customFormat="1" x14ac:dyDescent="0.25"/>
    <row r="224988" customFormat="1" x14ac:dyDescent="0.25"/>
    <row r="224989" customFormat="1" x14ac:dyDescent="0.25"/>
    <row r="224990" customFormat="1" x14ac:dyDescent="0.25"/>
    <row r="224991" customFormat="1" x14ac:dyDescent="0.25"/>
    <row r="224992" customFormat="1" x14ac:dyDescent="0.25"/>
    <row r="224993" customFormat="1" x14ac:dyDescent="0.25"/>
    <row r="224994" customFormat="1" x14ac:dyDescent="0.25"/>
    <row r="224995" customFormat="1" x14ac:dyDescent="0.25"/>
    <row r="224996" customFormat="1" x14ac:dyDescent="0.25"/>
    <row r="224997" customFormat="1" x14ac:dyDescent="0.25"/>
    <row r="224998" customFormat="1" x14ac:dyDescent="0.25"/>
    <row r="224999" customFormat="1" x14ac:dyDescent="0.25"/>
    <row r="225000" customFormat="1" x14ac:dyDescent="0.25"/>
    <row r="225001" customFormat="1" x14ac:dyDescent="0.25"/>
    <row r="225002" customFormat="1" x14ac:dyDescent="0.25"/>
    <row r="225003" customFormat="1" x14ac:dyDescent="0.25"/>
    <row r="225004" customFormat="1" x14ac:dyDescent="0.25"/>
    <row r="225005" customFormat="1" x14ac:dyDescent="0.25"/>
    <row r="225006" customFormat="1" x14ac:dyDescent="0.25"/>
    <row r="225007" customFormat="1" x14ac:dyDescent="0.25"/>
    <row r="225008" customFormat="1" x14ac:dyDescent="0.25"/>
    <row r="225009" customFormat="1" x14ac:dyDescent="0.25"/>
    <row r="225010" customFormat="1" x14ac:dyDescent="0.25"/>
    <row r="225011" customFormat="1" x14ac:dyDescent="0.25"/>
    <row r="225012" customFormat="1" x14ac:dyDescent="0.25"/>
    <row r="225013" customFormat="1" x14ac:dyDescent="0.25"/>
    <row r="225014" customFormat="1" x14ac:dyDescent="0.25"/>
    <row r="225015" customFormat="1" x14ac:dyDescent="0.25"/>
    <row r="225016" customFormat="1" x14ac:dyDescent="0.25"/>
    <row r="225017" customFormat="1" x14ac:dyDescent="0.25"/>
    <row r="225018" customFormat="1" x14ac:dyDescent="0.25"/>
    <row r="225019" customFormat="1" x14ac:dyDescent="0.25"/>
    <row r="225020" customFormat="1" x14ac:dyDescent="0.25"/>
    <row r="225021" customFormat="1" x14ac:dyDescent="0.25"/>
    <row r="225022" customFormat="1" x14ac:dyDescent="0.25"/>
    <row r="225023" customFormat="1" x14ac:dyDescent="0.25"/>
    <row r="225024" customFormat="1" x14ac:dyDescent="0.25"/>
    <row r="225025" customFormat="1" x14ac:dyDescent="0.25"/>
    <row r="225026" customFormat="1" x14ac:dyDescent="0.25"/>
    <row r="225027" customFormat="1" x14ac:dyDescent="0.25"/>
    <row r="225028" customFormat="1" x14ac:dyDescent="0.25"/>
    <row r="225029" customFormat="1" x14ac:dyDescent="0.25"/>
    <row r="225030" customFormat="1" x14ac:dyDescent="0.25"/>
    <row r="225031" customFormat="1" x14ac:dyDescent="0.25"/>
    <row r="225032" customFormat="1" x14ac:dyDescent="0.25"/>
    <row r="225033" customFormat="1" x14ac:dyDescent="0.25"/>
    <row r="225034" customFormat="1" x14ac:dyDescent="0.25"/>
    <row r="225035" customFormat="1" x14ac:dyDescent="0.25"/>
    <row r="225036" customFormat="1" x14ac:dyDescent="0.25"/>
    <row r="225037" customFormat="1" x14ac:dyDescent="0.25"/>
    <row r="225038" customFormat="1" x14ac:dyDescent="0.25"/>
    <row r="225039" customFormat="1" x14ac:dyDescent="0.25"/>
    <row r="225040" customFormat="1" x14ac:dyDescent="0.25"/>
    <row r="225041" customFormat="1" x14ac:dyDescent="0.25"/>
    <row r="225042" customFormat="1" x14ac:dyDescent="0.25"/>
    <row r="225043" customFormat="1" x14ac:dyDescent="0.25"/>
    <row r="225044" customFormat="1" x14ac:dyDescent="0.25"/>
    <row r="225045" customFormat="1" x14ac:dyDescent="0.25"/>
    <row r="225046" customFormat="1" x14ac:dyDescent="0.25"/>
    <row r="225047" customFormat="1" x14ac:dyDescent="0.25"/>
    <row r="225048" customFormat="1" x14ac:dyDescent="0.25"/>
    <row r="225049" customFormat="1" x14ac:dyDescent="0.25"/>
    <row r="225050" customFormat="1" x14ac:dyDescent="0.25"/>
    <row r="225051" customFormat="1" x14ac:dyDescent="0.25"/>
    <row r="225052" customFormat="1" x14ac:dyDescent="0.25"/>
    <row r="225053" customFormat="1" x14ac:dyDescent="0.25"/>
    <row r="225054" customFormat="1" x14ac:dyDescent="0.25"/>
    <row r="225055" customFormat="1" x14ac:dyDescent="0.25"/>
    <row r="225056" customFormat="1" x14ac:dyDescent="0.25"/>
    <row r="225057" customFormat="1" x14ac:dyDescent="0.25"/>
    <row r="225058" customFormat="1" x14ac:dyDescent="0.25"/>
    <row r="225059" customFormat="1" x14ac:dyDescent="0.25"/>
    <row r="225060" customFormat="1" x14ac:dyDescent="0.25"/>
    <row r="225061" customFormat="1" x14ac:dyDescent="0.25"/>
    <row r="225062" customFormat="1" x14ac:dyDescent="0.25"/>
    <row r="225063" customFormat="1" x14ac:dyDescent="0.25"/>
    <row r="225064" customFormat="1" x14ac:dyDescent="0.25"/>
    <row r="225065" customFormat="1" x14ac:dyDescent="0.25"/>
    <row r="225066" customFormat="1" x14ac:dyDescent="0.25"/>
    <row r="225067" customFormat="1" x14ac:dyDescent="0.25"/>
    <row r="225068" customFormat="1" x14ac:dyDescent="0.25"/>
    <row r="225069" customFormat="1" x14ac:dyDescent="0.25"/>
    <row r="225070" customFormat="1" x14ac:dyDescent="0.25"/>
    <row r="225071" customFormat="1" x14ac:dyDescent="0.25"/>
    <row r="225072" customFormat="1" x14ac:dyDescent="0.25"/>
    <row r="225073" customFormat="1" x14ac:dyDescent="0.25"/>
    <row r="225074" customFormat="1" x14ac:dyDescent="0.25"/>
    <row r="225075" customFormat="1" x14ac:dyDescent="0.25"/>
    <row r="225076" customFormat="1" x14ac:dyDescent="0.25"/>
    <row r="225077" customFormat="1" x14ac:dyDescent="0.25"/>
    <row r="225078" customFormat="1" x14ac:dyDescent="0.25"/>
    <row r="225079" customFormat="1" x14ac:dyDescent="0.25"/>
    <row r="225080" customFormat="1" x14ac:dyDescent="0.25"/>
    <row r="225081" customFormat="1" x14ac:dyDescent="0.25"/>
    <row r="225082" customFormat="1" x14ac:dyDescent="0.25"/>
    <row r="225083" customFormat="1" x14ac:dyDescent="0.25"/>
    <row r="225084" customFormat="1" x14ac:dyDescent="0.25"/>
    <row r="225085" customFormat="1" x14ac:dyDescent="0.25"/>
    <row r="225086" customFormat="1" x14ac:dyDescent="0.25"/>
    <row r="225087" customFormat="1" x14ac:dyDescent="0.25"/>
    <row r="225088" customFormat="1" x14ac:dyDescent="0.25"/>
    <row r="225089" customFormat="1" x14ac:dyDescent="0.25"/>
    <row r="225090" customFormat="1" x14ac:dyDescent="0.25"/>
    <row r="225091" customFormat="1" x14ac:dyDescent="0.25"/>
    <row r="225092" customFormat="1" x14ac:dyDescent="0.25"/>
    <row r="225093" customFormat="1" x14ac:dyDescent="0.25"/>
    <row r="225094" customFormat="1" x14ac:dyDescent="0.25"/>
    <row r="225095" customFormat="1" x14ac:dyDescent="0.25"/>
    <row r="225096" customFormat="1" x14ac:dyDescent="0.25"/>
    <row r="225097" customFormat="1" x14ac:dyDescent="0.25"/>
    <row r="225098" customFormat="1" x14ac:dyDescent="0.25"/>
    <row r="225099" customFormat="1" x14ac:dyDescent="0.25"/>
    <row r="225100" customFormat="1" x14ac:dyDescent="0.25"/>
    <row r="225101" customFormat="1" x14ac:dyDescent="0.25"/>
    <row r="225102" customFormat="1" x14ac:dyDescent="0.25"/>
    <row r="225103" customFormat="1" x14ac:dyDescent="0.25"/>
    <row r="225104" customFormat="1" x14ac:dyDescent="0.25"/>
    <row r="225105" customFormat="1" x14ac:dyDescent="0.25"/>
    <row r="225106" customFormat="1" x14ac:dyDescent="0.25"/>
    <row r="225107" customFormat="1" x14ac:dyDescent="0.25"/>
    <row r="225108" customFormat="1" x14ac:dyDescent="0.25"/>
    <row r="225109" customFormat="1" x14ac:dyDescent="0.25"/>
    <row r="225110" customFormat="1" x14ac:dyDescent="0.25"/>
    <row r="225111" customFormat="1" x14ac:dyDescent="0.25"/>
    <row r="225112" customFormat="1" x14ac:dyDescent="0.25"/>
    <row r="225113" customFormat="1" x14ac:dyDescent="0.25"/>
    <row r="225114" customFormat="1" x14ac:dyDescent="0.25"/>
    <row r="225115" customFormat="1" x14ac:dyDescent="0.25"/>
    <row r="225116" customFormat="1" x14ac:dyDescent="0.25"/>
    <row r="225117" customFormat="1" x14ac:dyDescent="0.25"/>
    <row r="225118" customFormat="1" x14ac:dyDescent="0.25"/>
    <row r="225119" customFormat="1" x14ac:dyDescent="0.25"/>
    <row r="225120" customFormat="1" x14ac:dyDescent="0.25"/>
    <row r="225121" customFormat="1" x14ac:dyDescent="0.25"/>
    <row r="225122" customFormat="1" x14ac:dyDescent="0.25"/>
    <row r="225123" customFormat="1" x14ac:dyDescent="0.25"/>
    <row r="225124" customFormat="1" x14ac:dyDescent="0.25"/>
    <row r="225125" customFormat="1" x14ac:dyDescent="0.25"/>
    <row r="225126" customFormat="1" x14ac:dyDescent="0.25"/>
    <row r="225127" customFormat="1" x14ac:dyDescent="0.25"/>
    <row r="225128" customFormat="1" x14ac:dyDescent="0.25"/>
    <row r="225129" customFormat="1" x14ac:dyDescent="0.25"/>
    <row r="225130" customFormat="1" x14ac:dyDescent="0.25"/>
    <row r="225131" customFormat="1" x14ac:dyDescent="0.25"/>
    <row r="225132" customFormat="1" x14ac:dyDescent="0.25"/>
    <row r="225133" customFormat="1" x14ac:dyDescent="0.25"/>
    <row r="225134" customFormat="1" x14ac:dyDescent="0.25"/>
    <row r="225135" customFormat="1" x14ac:dyDescent="0.25"/>
    <row r="225136" customFormat="1" x14ac:dyDescent="0.25"/>
    <row r="225137" customFormat="1" x14ac:dyDescent="0.25"/>
    <row r="225138" customFormat="1" x14ac:dyDescent="0.25"/>
    <row r="225139" customFormat="1" x14ac:dyDescent="0.25"/>
    <row r="225140" customFormat="1" x14ac:dyDescent="0.25"/>
    <row r="225141" customFormat="1" x14ac:dyDescent="0.25"/>
    <row r="225142" customFormat="1" x14ac:dyDescent="0.25"/>
    <row r="225143" customFormat="1" x14ac:dyDescent="0.25"/>
    <row r="225144" customFormat="1" x14ac:dyDescent="0.25"/>
    <row r="225145" customFormat="1" x14ac:dyDescent="0.25"/>
    <row r="225146" customFormat="1" x14ac:dyDescent="0.25"/>
    <row r="225147" customFormat="1" x14ac:dyDescent="0.25"/>
    <row r="225148" customFormat="1" x14ac:dyDescent="0.25"/>
    <row r="225149" customFormat="1" x14ac:dyDescent="0.25"/>
    <row r="225150" customFormat="1" x14ac:dyDescent="0.25"/>
    <row r="225151" customFormat="1" x14ac:dyDescent="0.25"/>
    <row r="225152" customFormat="1" x14ac:dyDescent="0.25"/>
    <row r="225153" customFormat="1" x14ac:dyDescent="0.25"/>
    <row r="225154" customFormat="1" x14ac:dyDescent="0.25"/>
    <row r="225155" customFormat="1" x14ac:dyDescent="0.25"/>
    <row r="225156" customFormat="1" x14ac:dyDescent="0.25"/>
    <row r="225157" customFormat="1" x14ac:dyDescent="0.25"/>
    <row r="225158" customFormat="1" x14ac:dyDescent="0.25"/>
    <row r="225159" customFormat="1" x14ac:dyDescent="0.25"/>
    <row r="225160" customFormat="1" x14ac:dyDescent="0.25"/>
    <row r="225161" customFormat="1" x14ac:dyDescent="0.25"/>
    <row r="225162" customFormat="1" x14ac:dyDescent="0.25"/>
    <row r="225163" customFormat="1" x14ac:dyDescent="0.25"/>
    <row r="225164" customFormat="1" x14ac:dyDescent="0.25"/>
    <row r="225165" customFormat="1" x14ac:dyDescent="0.25"/>
    <row r="225166" customFormat="1" x14ac:dyDescent="0.25"/>
    <row r="225167" customFormat="1" x14ac:dyDescent="0.25"/>
    <row r="225168" customFormat="1" x14ac:dyDescent="0.25"/>
    <row r="225169" customFormat="1" x14ac:dyDescent="0.25"/>
    <row r="225170" customFormat="1" x14ac:dyDescent="0.25"/>
    <row r="225171" customFormat="1" x14ac:dyDescent="0.25"/>
    <row r="225172" customFormat="1" x14ac:dyDescent="0.25"/>
    <row r="225173" customFormat="1" x14ac:dyDescent="0.25"/>
    <row r="225174" customFormat="1" x14ac:dyDescent="0.25"/>
    <row r="225175" customFormat="1" x14ac:dyDescent="0.25"/>
    <row r="225176" customFormat="1" x14ac:dyDescent="0.25"/>
    <row r="225177" customFormat="1" x14ac:dyDescent="0.25"/>
    <row r="225178" customFormat="1" x14ac:dyDescent="0.25"/>
    <row r="225179" customFormat="1" x14ac:dyDescent="0.25"/>
    <row r="225180" customFormat="1" x14ac:dyDescent="0.25"/>
    <row r="225181" customFormat="1" x14ac:dyDescent="0.25"/>
    <row r="225182" customFormat="1" x14ac:dyDescent="0.25"/>
    <row r="225183" customFormat="1" x14ac:dyDescent="0.25"/>
    <row r="225184" customFormat="1" x14ac:dyDescent="0.25"/>
    <row r="225185" customFormat="1" x14ac:dyDescent="0.25"/>
    <row r="225186" customFormat="1" x14ac:dyDescent="0.25"/>
    <row r="225187" customFormat="1" x14ac:dyDescent="0.25"/>
    <row r="225188" customFormat="1" x14ac:dyDescent="0.25"/>
    <row r="225189" customFormat="1" x14ac:dyDescent="0.25"/>
    <row r="225190" customFormat="1" x14ac:dyDescent="0.25"/>
    <row r="225191" customFormat="1" x14ac:dyDescent="0.25"/>
    <row r="225192" customFormat="1" x14ac:dyDescent="0.25"/>
    <row r="225193" customFormat="1" x14ac:dyDescent="0.25"/>
    <row r="225194" customFormat="1" x14ac:dyDescent="0.25"/>
    <row r="225195" customFormat="1" x14ac:dyDescent="0.25"/>
    <row r="225196" customFormat="1" x14ac:dyDescent="0.25"/>
    <row r="225197" customFormat="1" x14ac:dyDescent="0.25"/>
    <row r="225198" customFormat="1" x14ac:dyDescent="0.25"/>
    <row r="225199" customFormat="1" x14ac:dyDescent="0.25"/>
    <row r="225200" customFormat="1" x14ac:dyDescent="0.25"/>
    <row r="225201" customFormat="1" x14ac:dyDescent="0.25"/>
    <row r="225202" customFormat="1" x14ac:dyDescent="0.25"/>
    <row r="225203" customFormat="1" x14ac:dyDescent="0.25"/>
    <row r="225204" customFormat="1" x14ac:dyDescent="0.25"/>
    <row r="225205" customFormat="1" x14ac:dyDescent="0.25"/>
    <row r="225206" customFormat="1" x14ac:dyDescent="0.25"/>
    <row r="225207" customFormat="1" x14ac:dyDescent="0.25"/>
    <row r="225208" customFormat="1" x14ac:dyDescent="0.25"/>
    <row r="225209" customFormat="1" x14ac:dyDescent="0.25"/>
    <row r="225210" customFormat="1" x14ac:dyDescent="0.25"/>
    <row r="225211" customFormat="1" x14ac:dyDescent="0.25"/>
    <row r="225212" customFormat="1" x14ac:dyDescent="0.25"/>
    <row r="225213" customFormat="1" x14ac:dyDescent="0.25"/>
    <row r="225214" customFormat="1" x14ac:dyDescent="0.25"/>
    <row r="225215" customFormat="1" x14ac:dyDescent="0.25"/>
    <row r="225216" customFormat="1" x14ac:dyDescent="0.25"/>
    <row r="225217" customFormat="1" x14ac:dyDescent="0.25"/>
    <row r="225218" customFormat="1" x14ac:dyDescent="0.25"/>
    <row r="225219" customFormat="1" x14ac:dyDescent="0.25"/>
    <row r="225220" customFormat="1" x14ac:dyDescent="0.25"/>
    <row r="225221" customFormat="1" x14ac:dyDescent="0.25"/>
    <row r="225222" customFormat="1" x14ac:dyDescent="0.25"/>
    <row r="225223" customFormat="1" x14ac:dyDescent="0.25"/>
    <row r="225224" customFormat="1" x14ac:dyDescent="0.25"/>
    <row r="225225" customFormat="1" x14ac:dyDescent="0.25"/>
    <row r="225226" customFormat="1" x14ac:dyDescent="0.25"/>
    <row r="225227" customFormat="1" x14ac:dyDescent="0.25"/>
    <row r="225228" customFormat="1" x14ac:dyDescent="0.25"/>
    <row r="225229" customFormat="1" x14ac:dyDescent="0.25"/>
    <row r="225230" customFormat="1" x14ac:dyDescent="0.25"/>
    <row r="225231" customFormat="1" x14ac:dyDescent="0.25"/>
    <row r="225232" customFormat="1" x14ac:dyDescent="0.25"/>
    <row r="225233" customFormat="1" x14ac:dyDescent="0.25"/>
    <row r="225234" customFormat="1" x14ac:dyDescent="0.25"/>
    <row r="225235" customFormat="1" x14ac:dyDescent="0.25"/>
    <row r="225236" customFormat="1" x14ac:dyDescent="0.25"/>
    <row r="225237" customFormat="1" x14ac:dyDescent="0.25"/>
    <row r="225238" customFormat="1" x14ac:dyDescent="0.25"/>
    <row r="225239" customFormat="1" x14ac:dyDescent="0.25"/>
    <row r="225240" customFormat="1" x14ac:dyDescent="0.25"/>
    <row r="225241" customFormat="1" x14ac:dyDescent="0.25"/>
    <row r="225242" customFormat="1" x14ac:dyDescent="0.25"/>
    <row r="225243" customFormat="1" x14ac:dyDescent="0.25"/>
    <row r="225244" customFormat="1" x14ac:dyDescent="0.25"/>
    <row r="225245" customFormat="1" x14ac:dyDescent="0.25"/>
    <row r="225246" customFormat="1" x14ac:dyDescent="0.25"/>
    <row r="225247" customFormat="1" x14ac:dyDescent="0.25"/>
    <row r="225248" customFormat="1" x14ac:dyDescent="0.25"/>
    <row r="225249" customFormat="1" x14ac:dyDescent="0.25"/>
    <row r="225250" customFormat="1" x14ac:dyDescent="0.25"/>
    <row r="225251" customFormat="1" x14ac:dyDescent="0.25"/>
    <row r="225252" customFormat="1" x14ac:dyDescent="0.25"/>
    <row r="225253" customFormat="1" x14ac:dyDescent="0.25"/>
    <row r="225254" customFormat="1" x14ac:dyDescent="0.25"/>
    <row r="225255" customFormat="1" x14ac:dyDescent="0.25"/>
    <row r="225256" customFormat="1" x14ac:dyDescent="0.25"/>
    <row r="225257" customFormat="1" x14ac:dyDescent="0.25"/>
    <row r="225258" customFormat="1" x14ac:dyDescent="0.25"/>
    <row r="225259" customFormat="1" x14ac:dyDescent="0.25"/>
    <row r="225260" customFormat="1" x14ac:dyDescent="0.25"/>
    <row r="225261" customFormat="1" x14ac:dyDescent="0.25"/>
    <row r="225262" customFormat="1" x14ac:dyDescent="0.25"/>
    <row r="225263" customFormat="1" x14ac:dyDescent="0.25"/>
    <row r="225264" customFormat="1" x14ac:dyDescent="0.25"/>
    <row r="225265" customFormat="1" x14ac:dyDescent="0.25"/>
    <row r="225266" customFormat="1" x14ac:dyDescent="0.25"/>
    <row r="225267" customFormat="1" x14ac:dyDescent="0.25"/>
    <row r="225268" customFormat="1" x14ac:dyDescent="0.25"/>
    <row r="225269" customFormat="1" x14ac:dyDescent="0.25"/>
    <row r="225270" customFormat="1" x14ac:dyDescent="0.25"/>
    <row r="225271" customFormat="1" x14ac:dyDescent="0.25"/>
    <row r="225272" customFormat="1" x14ac:dyDescent="0.25"/>
    <row r="225273" customFormat="1" x14ac:dyDescent="0.25"/>
    <row r="225274" customFormat="1" x14ac:dyDescent="0.25"/>
    <row r="225275" customFormat="1" x14ac:dyDescent="0.25"/>
    <row r="225276" customFormat="1" x14ac:dyDescent="0.25"/>
    <row r="225277" customFormat="1" x14ac:dyDescent="0.25"/>
    <row r="225278" customFormat="1" x14ac:dyDescent="0.25"/>
    <row r="225279" customFormat="1" x14ac:dyDescent="0.25"/>
    <row r="225280" customFormat="1" x14ac:dyDescent="0.25"/>
    <row r="225281" customFormat="1" x14ac:dyDescent="0.25"/>
    <row r="225282" customFormat="1" x14ac:dyDescent="0.25"/>
    <row r="225283" customFormat="1" x14ac:dyDescent="0.25"/>
    <row r="225284" customFormat="1" x14ac:dyDescent="0.25"/>
    <row r="225285" customFormat="1" x14ac:dyDescent="0.25"/>
    <row r="225286" customFormat="1" x14ac:dyDescent="0.25"/>
    <row r="225287" customFormat="1" x14ac:dyDescent="0.25"/>
    <row r="225288" customFormat="1" x14ac:dyDescent="0.25"/>
    <row r="225289" customFormat="1" x14ac:dyDescent="0.25"/>
    <row r="225290" customFormat="1" x14ac:dyDescent="0.25"/>
    <row r="225291" customFormat="1" x14ac:dyDescent="0.25"/>
    <row r="225292" customFormat="1" x14ac:dyDescent="0.25"/>
    <row r="225293" customFormat="1" x14ac:dyDescent="0.25"/>
    <row r="225294" customFormat="1" x14ac:dyDescent="0.25"/>
    <row r="225295" customFormat="1" x14ac:dyDescent="0.25"/>
    <row r="225296" customFormat="1" x14ac:dyDescent="0.25"/>
    <row r="225297" customFormat="1" x14ac:dyDescent="0.25"/>
    <row r="225298" customFormat="1" x14ac:dyDescent="0.25"/>
    <row r="225299" customFormat="1" x14ac:dyDescent="0.25"/>
    <row r="225300" customFormat="1" x14ac:dyDescent="0.25"/>
    <row r="225301" customFormat="1" x14ac:dyDescent="0.25"/>
    <row r="225302" customFormat="1" x14ac:dyDescent="0.25"/>
    <row r="225303" customFormat="1" x14ac:dyDescent="0.25"/>
    <row r="225304" customFormat="1" x14ac:dyDescent="0.25"/>
    <row r="225305" customFormat="1" x14ac:dyDescent="0.25"/>
    <row r="225306" customFormat="1" x14ac:dyDescent="0.25"/>
    <row r="225307" customFormat="1" x14ac:dyDescent="0.25"/>
    <row r="225308" customFormat="1" x14ac:dyDescent="0.25"/>
    <row r="225309" customFormat="1" x14ac:dyDescent="0.25"/>
    <row r="225310" customFormat="1" x14ac:dyDescent="0.25"/>
    <row r="225311" customFormat="1" x14ac:dyDescent="0.25"/>
    <row r="225312" customFormat="1" x14ac:dyDescent="0.25"/>
    <row r="225313" customFormat="1" x14ac:dyDescent="0.25"/>
    <row r="225314" customFormat="1" x14ac:dyDescent="0.25"/>
    <row r="225315" customFormat="1" x14ac:dyDescent="0.25"/>
    <row r="225316" customFormat="1" x14ac:dyDescent="0.25"/>
    <row r="225317" customFormat="1" x14ac:dyDescent="0.25"/>
    <row r="225318" customFormat="1" x14ac:dyDescent="0.25"/>
    <row r="225319" customFormat="1" x14ac:dyDescent="0.25"/>
    <row r="225320" customFormat="1" x14ac:dyDescent="0.25"/>
    <row r="225321" customFormat="1" x14ac:dyDescent="0.25"/>
    <row r="225322" customFormat="1" x14ac:dyDescent="0.25"/>
    <row r="225323" customFormat="1" x14ac:dyDescent="0.25"/>
    <row r="225324" customFormat="1" x14ac:dyDescent="0.25"/>
    <row r="225325" customFormat="1" x14ac:dyDescent="0.25"/>
    <row r="225326" customFormat="1" x14ac:dyDescent="0.25"/>
    <row r="225327" customFormat="1" x14ac:dyDescent="0.25"/>
    <row r="225328" customFormat="1" x14ac:dyDescent="0.25"/>
    <row r="225329" customFormat="1" x14ac:dyDescent="0.25"/>
    <row r="225330" customFormat="1" x14ac:dyDescent="0.25"/>
    <row r="225331" customFormat="1" x14ac:dyDescent="0.25"/>
    <row r="225332" customFormat="1" x14ac:dyDescent="0.25"/>
    <row r="225333" customFormat="1" x14ac:dyDescent="0.25"/>
    <row r="225334" customFormat="1" x14ac:dyDescent="0.25"/>
    <row r="225335" customFormat="1" x14ac:dyDescent="0.25"/>
    <row r="225336" customFormat="1" x14ac:dyDescent="0.25"/>
    <row r="225337" customFormat="1" x14ac:dyDescent="0.25"/>
    <row r="225338" customFormat="1" x14ac:dyDescent="0.25"/>
    <row r="225339" customFormat="1" x14ac:dyDescent="0.25"/>
    <row r="225340" customFormat="1" x14ac:dyDescent="0.25"/>
    <row r="225341" customFormat="1" x14ac:dyDescent="0.25"/>
    <row r="225342" customFormat="1" x14ac:dyDescent="0.25"/>
    <row r="225343" customFormat="1" x14ac:dyDescent="0.25"/>
    <row r="225344" customFormat="1" x14ac:dyDescent="0.25"/>
    <row r="225345" customFormat="1" x14ac:dyDescent="0.25"/>
    <row r="225346" customFormat="1" x14ac:dyDescent="0.25"/>
    <row r="225347" customFormat="1" x14ac:dyDescent="0.25"/>
    <row r="225348" customFormat="1" x14ac:dyDescent="0.25"/>
    <row r="225349" customFormat="1" x14ac:dyDescent="0.25"/>
    <row r="225350" customFormat="1" x14ac:dyDescent="0.25"/>
    <row r="225351" customFormat="1" x14ac:dyDescent="0.25"/>
    <row r="225352" customFormat="1" x14ac:dyDescent="0.25"/>
    <row r="225353" customFormat="1" x14ac:dyDescent="0.25"/>
    <row r="225354" customFormat="1" x14ac:dyDescent="0.25"/>
    <row r="225355" customFormat="1" x14ac:dyDescent="0.25"/>
    <row r="225356" customFormat="1" x14ac:dyDescent="0.25"/>
    <row r="225357" customFormat="1" x14ac:dyDescent="0.25"/>
    <row r="225358" customFormat="1" x14ac:dyDescent="0.25"/>
    <row r="225359" customFormat="1" x14ac:dyDescent="0.25"/>
    <row r="225360" customFormat="1" x14ac:dyDescent="0.25"/>
    <row r="225361" customFormat="1" x14ac:dyDescent="0.25"/>
    <row r="225362" customFormat="1" x14ac:dyDescent="0.25"/>
    <row r="225363" customFormat="1" x14ac:dyDescent="0.25"/>
    <row r="225364" customFormat="1" x14ac:dyDescent="0.25"/>
    <row r="225365" customFormat="1" x14ac:dyDescent="0.25"/>
    <row r="225366" customFormat="1" x14ac:dyDescent="0.25"/>
    <row r="225367" customFormat="1" x14ac:dyDescent="0.25"/>
    <row r="225368" customFormat="1" x14ac:dyDescent="0.25"/>
    <row r="225369" customFormat="1" x14ac:dyDescent="0.25"/>
    <row r="225370" customFormat="1" x14ac:dyDescent="0.25"/>
    <row r="225371" customFormat="1" x14ac:dyDescent="0.25"/>
    <row r="225372" customFormat="1" x14ac:dyDescent="0.25"/>
    <row r="225373" customFormat="1" x14ac:dyDescent="0.25"/>
    <row r="225374" customFormat="1" x14ac:dyDescent="0.25"/>
    <row r="225375" customFormat="1" x14ac:dyDescent="0.25"/>
    <row r="225376" customFormat="1" x14ac:dyDescent="0.25"/>
    <row r="225377" customFormat="1" x14ac:dyDescent="0.25"/>
    <row r="225378" customFormat="1" x14ac:dyDescent="0.25"/>
    <row r="225379" customFormat="1" x14ac:dyDescent="0.25"/>
    <row r="225380" customFormat="1" x14ac:dyDescent="0.25"/>
    <row r="225381" customFormat="1" x14ac:dyDescent="0.25"/>
    <row r="225382" customFormat="1" x14ac:dyDescent="0.25"/>
    <row r="225383" customFormat="1" x14ac:dyDescent="0.25"/>
    <row r="225384" customFormat="1" x14ac:dyDescent="0.25"/>
    <row r="225385" customFormat="1" x14ac:dyDescent="0.25"/>
    <row r="225386" customFormat="1" x14ac:dyDescent="0.25"/>
    <row r="225387" customFormat="1" x14ac:dyDescent="0.25"/>
    <row r="225388" customFormat="1" x14ac:dyDescent="0.25"/>
    <row r="225389" customFormat="1" x14ac:dyDescent="0.25"/>
    <row r="225390" customFormat="1" x14ac:dyDescent="0.25"/>
    <row r="225391" customFormat="1" x14ac:dyDescent="0.25"/>
    <row r="225392" customFormat="1" x14ac:dyDescent="0.25"/>
    <row r="225393" customFormat="1" x14ac:dyDescent="0.25"/>
    <row r="225394" customFormat="1" x14ac:dyDescent="0.25"/>
    <row r="225395" customFormat="1" x14ac:dyDescent="0.25"/>
    <row r="225396" customFormat="1" x14ac:dyDescent="0.25"/>
    <row r="225397" customFormat="1" x14ac:dyDescent="0.25"/>
    <row r="225398" customFormat="1" x14ac:dyDescent="0.25"/>
    <row r="225399" customFormat="1" x14ac:dyDescent="0.25"/>
    <row r="225400" customFormat="1" x14ac:dyDescent="0.25"/>
    <row r="225401" customFormat="1" x14ac:dyDescent="0.25"/>
    <row r="225402" customFormat="1" x14ac:dyDescent="0.25"/>
    <row r="225403" customFormat="1" x14ac:dyDescent="0.25"/>
    <row r="225404" customFormat="1" x14ac:dyDescent="0.25"/>
    <row r="225405" customFormat="1" x14ac:dyDescent="0.25"/>
    <row r="225406" customFormat="1" x14ac:dyDescent="0.25"/>
    <row r="225407" customFormat="1" x14ac:dyDescent="0.25"/>
    <row r="225408" customFormat="1" x14ac:dyDescent="0.25"/>
    <row r="225409" customFormat="1" x14ac:dyDescent="0.25"/>
    <row r="225410" customFormat="1" x14ac:dyDescent="0.25"/>
    <row r="225411" customFormat="1" x14ac:dyDescent="0.25"/>
    <row r="225412" customFormat="1" x14ac:dyDescent="0.25"/>
    <row r="225413" customFormat="1" x14ac:dyDescent="0.25"/>
    <row r="225414" customFormat="1" x14ac:dyDescent="0.25"/>
    <row r="225415" customFormat="1" x14ac:dyDescent="0.25"/>
    <row r="225416" customFormat="1" x14ac:dyDescent="0.25"/>
    <row r="225417" customFormat="1" x14ac:dyDescent="0.25"/>
    <row r="225418" customFormat="1" x14ac:dyDescent="0.25"/>
    <row r="225419" customFormat="1" x14ac:dyDescent="0.25"/>
    <row r="225420" customFormat="1" x14ac:dyDescent="0.25"/>
    <row r="225421" customFormat="1" x14ac:dyDescent="0.25"/>
    <row r="225422" customFormat="1" x14ac:dyDescent="0.25"/>
    <row r="225423" customFormat="1" x14ac:dyDescent="0.25"/>
    <row r="225424" customFormat="1" x14ac:dyDescent="0.25"/>
    <row r="225425" customFormat="1" x14ac:dyDescent="0.25"/>
    <row r="225426" customFormat="1" x14ac:dyDescent="0.25"/>
    <row r="225427" customFormat="1" x14ac:dyDescent="0.25"/>
    <row r="225428" customFormat="1" x14ac:dyDescent="0.25"/>
    <row r="225429" customFormat="1" x14ac:dyDescent="0.25"/>
    <row r="225430" customFormat="1" x14ac:dyDescent="0.25"/>
    <row r="225431" customFormat="1" x14ac:dyDescent="0.25"/>
    <row r="225432" customFormat="1" x14ac:dyDescent="0.25"/>
    <row r="225433" customFormat="1" x14ac:dyDescent="0.25"/>
    <row r="225434" customFormat="1" x14ac:dyDescent="0.25"/>
    <row r="225435" customFormat="1" x14ac:dyDescent="0.25"/>
    <row r="225436" customFormat="1" x14ac:dyDescent="0.25"/>
    <row r="225437" customFormat="1" x14ac:dyDescent="0.25"/>
    <row r="225438" customFormat="1" x14ac:dyDescent="0.25"/>
    <row r="225439" customFormat="1" x14ac:dyDescent="0.25"/>
    <row r="225440" customFormat="1" x14ac:dyDescent="0.25"/>
    <row r="225441" customFormat="1" x14ac:dyDescent="0.25"/>
    <row r="225442" customFormat="1" x14ac:dyDescent="0.25"/>
    <row r="225443" customFormat="1" x14ac:dyDescent="0.25"/>
    <row r="225444" customFormat="1" x14ac:dyDescent="0.25"/>
    <row r="225445" customFormat="1" x14ac:dyDescent="0.25"/>
    <row r="225446" customFormat="1" x14ac:dyDescent="0.25"/>
    <row r="225447" customFormat="1" x14ac:dyDescent="0.25"/>
    <row r="225448" customFormat="1" x14ac:dyDescent="0.25"/>
    <row r="225449" customFormat="1" x14ac:dyDescent="0.25"/>
    <row r="225450" customFormat="1" x14ac:dyDescent="0.25"/>
    <row r="225451" customFormat="1" x14ac:dyDescent="0.25"/>
    <row r="225452" customFormat="1" x14ac:dyDescent="0.25"/>
    <row r="225453" customFormat="1" x14ac:dyDescent="0.25"/>
    <row r="225454" customFormat="1" x14ac:dyDescent="0.25"/>
    <row r="225455" customFormat="1" x14ac:dyDescent="0.25"/>
    <row r="225456" customFormat="1" x14ac:dyDescent="0.25"/>
    <row r="225457" customFormat="1" x14ac:dyDescent="0.25"/>
    <row r="225458" customFormat="1" x14ac:dyDescent="0.25"/>
    <row r="225459" customFormat="1" x14ac:dyDescent="0.25"/>
    <row r="225460" customFormat="1" x14ac:dyDescent="0.25"/>
    <row r="225461" customFormat="1" x14ac:dyDescent="0.25"/>
    <row r="225462" customFormat="1" x14ac:dyDescent="0.25"/>
    <row r="225463" customFormat="1" x14ac:dyDescent="0.25"/>
    <row r="225464" customFormat="1" x14ac:dyDescent="0.25"/>
    <row r="225465" customFormat="1" x14ac:dyDescent="0.25"/>
    <row r="225466" customFormat="1" x14ac:dyDescent="0.25"/>
    <row r="225467" customFormat="1" x14ac:dyDescent="0.25"/>
    <row r="225468" customFormat="1" x14ac:dyDescent="0.25"/>
    <row r="225469" customFormat="1" x14ac:dyDescent="0.25"/>
    <row r="225470" customFormat="1" x14ac:dyDescent="0.25"/>
    <row r="225471" customFormat="1" x14ac:dyDescent="0.25"/>
    <row r="225472" customFormat="1" x14ac:dyDescent="0.25"/>
    <row r="225473" customFormat="1" x14ac:dyDescent="0.25"/>
    <row r="225474" customFormat="1" x14ac:dyDescent="0.25"/>
    <row r="225475" customFormat="1" x14ac:dyDescent="0.25"/>
    <row r="225476" customFormat="1" x14ac:dyDescent="0.25"/>
    <row r="225477" customFormat="1" x14ac:dyDescent="0.25"/>
    <row r="225478" customFormat="1" x14ac:dyDescent="0.25"/>
    <row r="225479" customFormat="1" x14ac:dyDescent="0.25"/>
    <row r="225480" customFormat="1" x14ac:dyDescent="0.25"/>
    <row r="225481" customFormat="1" x14ac:dyDescent="0.25"/>
    <row r="225482" customFormat="1" x14ac:dyDescent="0.25"/>
    <row r="225483" customFormat="1" x14ac:dyDescent="0.25"/>
    <row r="225484" customFormat="1" x14ac:dyDescent="0.25"/>
    <row r="225485" customFormat="1" x14ac:dyDescent="0.25"/>
    <row r="225486" customFormat="1" x14ac:dyDescent="0.25"/>
    <row r="225487" customFormat="1" x14ac:dyDescent="0.25"/>
    <row r="225488" customFormat="1" x14ac:dyDescent="0.25"/>
    <row r="225489" customFormat="1" x14ac:dyDescent="0.25"/>
    <row r="225490" customFormat="1" x14ac:dyDescent="0.25"/>
    <row r="225491" customFormat="1" x14ac:dyDescent="0.25"/>
    <row r="225492" customFormat="1" x14ac:dyDescent="0.25"/>
    <row r="225493" customFormat="1" x14ac:dyDescent="0.25"/>
    <row r="225494" customFormat="1" x14ac:dyDescent="0.25"/>
    <row r="225495" customFormat="1" x14ac:dyDescent="0.25"/>
    <row r="225496" customFormat="1" x14ac:dyDescent="0.25"/>
    <row r="225497" customFormat="1" x14ac:dyDescent="0.25"/>
    <row r="225498" customFormat="1" x14ac:dyDescent="0.25"/>
    <row r="225499" customFormat="1" x14ac:dyDescent="0.25"/>
    <row r="225500" customFormat="1" x14ac:dyDescent="0.25"/>
    <row r="225501" customFormat="1" x14ac:dyDescent="0.25"/>
    <row r="225502" customFormat="1" x14ac:dyDescent="0.25"/>
    <row r="225503" customFormat="1" x14ac:dyDescent="0.25"/>
    <row r="225504" customFormat="1" x14ac:dyDescent="0.25"/>
    <row r="225505" customFormat="1" x14ac:dyDescent="0.25"/>
    <row r="225506" customFormat="1" x14ac:dyDescent="0.25"/>
    <row r="225507" customFormat="1" x14ac:dyDescent="0.25"/>
    <row r="225508" customFormat="1" x14ac:dyDescent="0.25"/>
    <row r="225509" customFormat="1" x14ac:dyDescent="0.25"/>
    <row r="225510" customFormat="1" x14ac:dyDescent="0.25"/>
    <row r="225511" customFormat="1" x14ac:dyDescent="0.25"/>
    <row r="225512" customFormat="1" x14ac:dyDescent="0.25"/>
    <row r="225513" customFormat="1" x14ac:dyDescent="0.25"/>
    <row r="225514" customFormat="1" x14ac:dyDescent="0.25"/>
    <row r="225515" customFormat="1" x14ac:dyDescent="0.25"/>
    <row r="225516" customFormat="1" x14ac:dyDescent="0.25"/>
    <row r="225517" customFormat="1" x14ac:dyDescent="0.25"/>
    <row r="225518" customFormat="1" x14ac:dyDescent="0.25"/>
    <row r="225519" customFormat="1" x14ac:dyDescent="0.25"/>
    <row r="225520" customFormat="1" x14ac:dyDescent="0.25"/>
    <row r="225521" customFormat="1" x14ac:dyDescent="0.25"/>
    <row r="225522" customFormat="1" x14ac:dyDescent="0.25"/>
    <row r="225523" customFormat="1" x14ac:dyDescent="0.25"/>
    <row r="225524" customFormat="1" x14ac:dyDescent="0.25"/>
    <row r="225525" customFormat="1" x14ac:dyDescent="0.25"/>
    <row r="225526" customFormat="1" x14ac:dyDescent="0.25"/>
    <row r="225527" customFormat="1" x14ac:dyDescent="0.25"/>
    <row r="225528" customFormat="1" x14ac:dyDescent="0.25"/>
    <row r="225529" customFormat="1" x14ac:dyDescent="0.25"/>
    <row r="225530" customFormat="1" x14ac:dyDescent="0.25"/>
    <row r="225531" customFormat="1" x14ac:dyDescent="0.25"/>
    <row r="225532" customFormat="1" x14ac:dyDescent="0.25"/>
    <row r="225533" customFormat="1" x14ac:dyDescent="0.25"/>
    <row r="225534" customFormat="1" x14ac:dyDescent="0.25"/>
    <row r="225535" customFormat="1" x14ac:dyDescent="0.25"/>
    <row r="225536" customFormat="1" x14ac:dyDescent="0.25"/>
    <row r="225537" customFormat="1" x14ac:dyDescent="0.25"/>
    <row r="225538" customFormat="1" x14ac:dyDescent="0.25"/>
    <row r="225539" customFormat="1" x14ac:dyDescent="0.25"/>
    <row r="225540" customFormat="1" x14ac:dyDescent="0.25"/>
    <row r="225541" customFormat="1" x14ac:dyDescent="0.25"/>
    <row r="225542" customFormat="1" x14ac:dyDescent="0.25"/>
    <row r="225543" customFormat="1" x14ac:dyDescent="0.25"/>
    <row r="225544" customFormat="1" x14ac:dyDescent="0.25"/>
    <row r="225545" customFormat="1" x14ac:dyDescent="0.25"/>
    <row r="225546" customFormat="1" x14ac:dyDescent="0.25"/>
    <row r="225547" customFormat="1" x14ac:dyDescent="0.25"/>
    <row r="225548" customFormat="1" x14ac:dyDescent="0.25"/>
    <row r="225549" customFormat="1" x14ac:dyDescent="0.25"/>
    <row r="225550" customFormat="1" x14ac:dyDescent="0.25"/>
    <row r="225551" customFormat="1" x14ac:dyDescent="0.25"/>
    <row r="225552" customFormat="1" x14ac:dyDescent="0.25"/>
    <row r="225553" customFormat="1" x14ac:dyDescent="0.25"/>
    <row r="225554" customFormat="1" x14ac:dyDescent="0.25"/>
    <row r="225555" customFormat="1" x14ac:dyDescent="0.25"/>
    <row r="225556" customFormat="1" x14ac:dyDescent="0.25"/>
    <row r="225557" customFormat="1" x14ac:dyDescent="0.25"/>
    <row r="225558" customFormat="1" x14ac:dyDescent="0.25"/>
    <row r="225559" customFormat="1" x14ac:dyDescent="0.25"/>
    <row r="225560" customFormat="1" x14ac:dyDescent="0.25"/>
    <row r="225561" customFormat="1" x14ac:dyDescent="0.25"/>
    <row r="225562" customFormat="1" x14ac:dyDescent="0.25"/>
    <row r="225563" customFormat="1" x14ac:dyDescent="0.25"/>
    <row r="225564" customFormat="1" x14ac:dyDescent="0.25"/>
    <row r="225565" customFormat="1" x14ac:dyDescent="0.25"/>
    <row r="225566" customFormat="1" x14ac:dyDescent="0.25"/>
    <row r="225567" customFormat="1" x14ac:dyDescent="0.25"/>
    <row r="225568" customFormat="1" x14ac:dyDescent="0.25"/>
    <row r="225569" customFormat="1" x14ac:dyDescent="0.25"/>
    <row r="225570" customFormat="1" x14ac:dyDescent="0.25"/>
    <row r="225571" customFormat="1" x14ac:dyDescent="0.25"/>
    <row r="225572" customFormat="1" x14ac:dyDescent="0.25"/>
    <row r="225573" customFormat="1" x14ac:dyDescent="0.25"/>
    <row r="225574" customFormat="1" x14ac:dyDescent="0.25"/>
    <row r="225575" customFormat="1" x14ac:dyDescent="0.25"/>
    <row r="225576" customFormat="1" x14ac:dyDescent="0.25"/>
    <row r="225577" customFormat="1" x14ac:dyDescent="0.25"/>
    <row r="225578" customFormat="1" x14ac:dyDescent="0.25"/>
    <row r="225579" customFormat="1" x14ac:dyDescent="0.25"/>
    <row r="225580" customFormat="1" x14ac:dyDescent="0.25"/>
    <row r="225581" customFormat="1" x14ac:dyDescent="0.25"/>
    <row r="225582" customFormat="1" x14ac:dyDescent="0.25"/>
    <row r="225583" customFormat="1" x14ac:dyDescent="0.25"/>
    <row r="225584" customFormat="1" x14ac:dyDescent="0.25"/>
    <row r="225585" customFormat="1" x14ac:dyDescent="0.25"/>
    <row r="225586" customFormat="1" x14ac:dyDescent="0.25"/>
    <row r="225587" customFormat="1" x14ac:dyDescent="0.25"/>
    <row r="225588" customFormat="1" x14ac:dyDescent="0.25"/>
    <row r="225589" customFormat="1" x14ac:dyDescent="0.25"/>
    <row r="225590" customFormat="1" x14ac:dyDescent="0.25"/>
    <row r="225591" customFormat="1" x14ac:dyDescent="0.25"/>
    <row r="225592" customFormat="1" x14ac:dyDescent="0.25"/>
    <row r="225593" customFormat="1" x14ac:dyDescent="0.25"/>
    <row r="225594" customFormat="1" x14ac:dyDescent="0.25"/>
    <row r="225595" customFormat="1" x14ac:dyDescent="0.25"/>
    <row r="225596" customFormat="1" x14ac:dyDescent="0.25"/>
    <row r="225597" customFormat="1" x14ac:dyDescent="0.25"/>
    <row r="225598" customFormat="1" x14ac:dyDescent="0.25"/>
    <row r="225599" customFormat="1" x14ac:dyDescent="0.25"/>
    <row r="225600" customFormat="1" x14ac:dyDescent="0.25"/>
    <row r="225601" customFormat="1" x14ac:dyDescent="0.25"/>
    <row r="225602" customFormat="1" x14ac:dyDescent="0.25"/>
    <row r="225603" customFormat="1" x14ac:dyDescent="0.25"/>
    <row r="225604" customFormat="1" x14ac:dyDescent="0.25"/>
    <row r="225605" customFormat="1" x14ac:dyDescent="0.25"/>
    <row r="225606" customFormat="1" x14ac:dyDescent="0.25"/>
    <row r="225607" customFormat="1" x14ac:dyDescent="0.25"/>
    <row r="225608" customFormat="1" x14ac:dyDescent="0.25"/>
    <row r="225609" customFormat="1" x14ac:dyDescent="0.25"/>
    <row r="225610" customFormat="1" x14ac:dyDescent="0.25"/>
    <row r="225611" customFormat="1" x14ac:dyDescent="0.25"/>
    <row r="225612" customFormat="1" x14ac:dyDescent="0.25"/>
    <row r="225613" customFormat="1" x14ac:dyDescent="0.25"/>
    <row r="225614" customFormat="1" x14ac:dyDescent="0.25"/>
    <row r="225615" customFormat="1" x14ac:dyDescent="0.25"/>
    <row r="225616" customFormat="1" x14ac:dyDescent="0.25"/>
    <row r="225617" customFormat="1" x14ac:dyDescent="0.25"/>
    <row r="225618" customFormat="1" x14ac:dyDescent="0.25"/>
    <row r="225619" customFormat="1" x14ac:dyDescent="0.25"/>
    <row r="225620" customFormat="1" x14ac:dyDescent="0.25"/>
    <row r="225621" customFormat="1" x14ac:dyDescent="0.25"/>
    <row r="225622" customFormat="1" x14ac:dyDescent="0.25"/>
    <row r="225623" customFormat="1" x14ac:dyDescent="0.25"/>
    <row r="225624" customFormat="1" x14ac:dyDescent="0.25"/>
    <row r="225625" customFormat="1" x14ac:dyDescent="0.25"/>
    <row r="225626" customFormat="1" x14ac:dyDescent="0.25"/>
    <row r="225627" customFormat="1" x14ac:dyDescent="0.25"/>
    <row r="225628" customFormat="1" x14ac:dyDescent="0.25"/>
    <row r="225629" customFormat="1" x14ac:dyDescent="0.25"/>
    <row r="225630" customFormat="1" x14ac:dyDescent="0.25"/>
    <row r="225631" customFormat="1" x14ac:dyDescent="0.25"/>
    <row r="225632" customFormat="1" x14ac:dyDescent="0.25"/>
    <row r="225633" customFormat="1" x14ac:dyDescent="0.25"/>
    <row r="225634" customFormat="1" x14ac:dyDescent="0.25"/>
    <row r="225635" customFormat="1" x14ac:dyDescent="0.25"/>
    <row r="225636" customFormat="1" x14ac:dyDescent="0.25"/>
    <row r="225637" customFormat="1" x14ac:dyDescent="0.25"/>
    <row r="225638" customFormat="1" x14ac:dyDescent="0.25"/>
    <row r="225639" customFormat="1" x14ac:dyDescent="0.25"/>
    <row r="225640" customFormat="1" x14ac:dyDescent="0.25"/>
    <row r="225641" customFormat="1" x14ac:dyDescent="0.25"/>
    <row r="225642" customFormat="1" x14ac:dyDescent="0.25"/>
    <row r="225643" customFormat="1" x14ac:dyDescent="0.25"/>
    <row r="225644" customFormat="1" x14ac:dyDescent="0.25"/>
    <row r="225645" customFormat="1" x14ac:dyDescent="0.25"/>
    <row r="225646" customFormat="1" x14ac:dyDescent="0.25"/>
    <row r="225647" customFormat="1" x14ac:dyDescent="0.25"/>
    <row r="225648" customFormat="1" x14ac:dyDescent="0.25"/>
    <row r="225649" customFormat="1" x14ac:dyDescent="0.25"/>
    <row r="225650" customFormat="1" x14ac:dyDescent="0.25"/>
    <row r="225651" customFormat="1" x14ac:dyDescent="0.25"/>
    <row r="225652" customFormat="1" x14ac:dyDescent="0.25"/>
    <row r="225653" customFormat="1" x14ac:dyDescent="0.25"/>
    <row r="225654" customFormat="1" x14ac:dyDescent="0.25"/>
    <row r="225655" customFormat="1" x14ac:dyDescent="0.25"/>
    <row r="225656" customFormat="1" x14ac:dyDescent="0.25"/>
    <row r="225657" customFormat="1" x14ac:dyDescent="0.25"/>
    <row r="225658" customFormat="1" x14ac:dyDescent="0.25"/>
    <row r="225659" customFormat="1" x14ac:dyDescent="0.25"/>
    <row r="225660" customFormat="1" x14ac:dyDescent="0.25"/>
    <row r="225661" customFormat="1" x14ac:dyDescent="0.25"/>
    <row r="225662" customFormat="1" x14ac:dyDescent="0.25"/>
    <row r="225663" customFormat="1" x14ac:dyDescent="0.25"/>
    <row r="225664" customFormat="1" x14ac:dyDescent="0.25"/>
    <row r="225665" customFormat="1" x14ac:dyDescent="0.25"/>
    <row r="225666" customFormat="1" x14ac:dyDescent="0.25"/>
    <row r="225667" customFormat="1" x14ac:dyDescent="0.25"/>
    <row r="225668" customFormat="1" x14ac:dyDescent="0.25"/>
    <row r="225669" customFormat="1" x14ac:dyDescent="0.25"/>
    <row r="225670" customFormat="1" x14ac:dyDescent="0.25"/>
    <row r="225671" customFormat="1" x14ac:dyDescent="0.25"/>
    <row r="225672" customFormat="1" x14ac:dyDescent="0.25"/>
    <row r="225673" customFormat="1" x14ac:dyDescent="0.25"/>
    <row r="225674" customFormat="1" x14ac:dyDescent="0.25"/>
    <row r="225675" customFormat="1" x14ac:dyDescent="0.25"/>
    <row r="225676" customFormat="1" x14ac:dyDescent="0.25"/>
    <row r="225677" customFormat="1" x14ac:dyDescent="0.25"/>
    <row r="225678" customFormat="1" x14ac:dyDescent="0.25"/>
    <row r="225679" customFormat="1" x14ac:dyDescent="0.25"/>
    <row r="225680" customFormat="1" x14ac:dyDescent="0.25"/>
    <row r="225681" customFormat="1" x14ac:dyDescent="0.25"/>
    <row r="225682" customFormat="1" x14ac:dyDescent="0.25"/>
    <row r="225683" customFormat="1" x14ac:dyDescent="0.25"/>
    <row r="225684" customFormat="1" x14ac:dyDescent="0.25"/>
    <row r="225685" customFormat="1" x14ac:dyDescent="0.25"/>
    <row r="225686" customFormat="1" x14ac:dyDescent="0.25"/>
    <row r="225687" customFormat="1" x14ac:dyDescent="0.25"/>
    <row r="225688" customFormat="1" x14ac:dyDescent="0.25"/>
    <row r="225689" customFormat="1" x14ac:dyDescent="0.25"/>
    <row r="225690" customFormat="1" x14ac:dyDescent="0.25"/>
    <row r="225691" customFormat="1" x14ac:dyDescent="0.25"/>
    <row r="225692" customFormat="1" x14ac:dyDescent="0.25"/>
    <row r="225693" customFormat="1" x14ac:dyDescent="0.25"/>
    <row r="225694" customFormat="1" x14ac:dyDescent="0.25"/>
    <row r="225695" customFormat="1" x14ac:dyDescent="0.25"/>
    <row r="225696" customFormat="1" x14ac:dyDescent="0.25"/>
    <row r="225697" customFormat="1" x14ac:dyDescent="0.25"/>
    <row r="225698" customFormat="1" x14ac:dyDescent="0.25"/>
    <row r="225699" customFormat="1" x14ac:dyDescent="0.25"/>
    <row r="225700" customFormat="1" x14ac:dyDescent="0.25"/>
    <row r="225701" customFormat="1" x14ac:dyDescent="0.25"/>
    <row r="225702" customFormat="1" x14ac:dyDescent="0.25"/>
    <row r="225703" customFormat="1" x14ac:dyDescent="0.25"/>
    <row r="225704" customFormat="1" x14ac:dyDescent="0.25"/>
    <row r="225705" customFormat="1" x14ac:dyDescent="0.25"/>
    <row r="225706" customFormat="1" x14ac:dyDescent="0.25"/>
    <row r="225707" customFormat="1" x14ac:dyDescent="0.25"/>
    <row r="225708" customFormat="1" x14ac:dyDescent="0.25"/>
    <row r="225709" customFormat="1" x14ac:dyDescent="0.25"/>
    <row r="225710" customFormat="1" x14ac:dyDescent="0.25"/>
    <row r="225711" customFormat="1" x14ac:dyDescent="0.25"/>
    <row r="225712" customFormat="1" x14ac:dyDescent="0.25"/>
    <row r="225713" customFormat="1" x14ac:dyDescent="0.25"/>
    <row r="225714" customFormat="1" x14ac:dyDescent="0.25"/>
    <row r="225715" customFormat="1" x14ac:dyDescent="0.25"/>
    <row r="225716" customFormat="1" x14ac:dyDescent="0.25"/>
    <row r="225717" customFormat="1" x14ac:dyDescent="0.25"/>
    <row r="225718" customFormat="1" x14ac:dyDescent="0.25"/>
    <row r="225719" customFormat="1" x14ac:dyDescent="0.25"/>
    <row r="225720" customFormat="1" x14ac:dyDescent="0.25"/>
    <row r="225721" customFormat="1" x14ac:dyDescent="0.25"/>
    <row r="225722" customFormat="1" x14ac:dyDescent="0.25"/>
    <row r="225723" customFormat="1" x14ac:dyDescent="0.25"/>
    <row r="225724" customFormat="1" x14ac:dyDescent="0.25"/>
    <row r="225725" customFormat="1" x14ac:dyDescent="0.25"/>
    <row r="225726" customFormat="1" x14ac:dyDescent="0.25"/>
    <row r="225727" customFormat="1" x14ac:dyDescent="0.25"/>
    <row r="225728" customFormat="1" x14ac:dyDescent="0.25"/>
    <row r="225729" customFormat="1" x14ac:dyDescent="0.25"/>
    <row r="225730" customFormat="1" x14ac:dyDescent="0.25"/>
    <row r="225731" customFormat="1" x14ac:dyDescent="0.25"/>
    <row r="225732" customFormat="1" x14ac:dyDescent="0.25"/>
    <row r="225733" customFormat="1" x14ac:dyDescent="0.25"/>
    <row r="225734" customFormat="1" x14ac:dyDescent="0.25"/>
    <row r="225735" customFormat="1" x14ac:dyDescent="0.25"/>
    <row r="225736" customFormat="1" x14ac:dyDescent="0.25"/>
    <row r="225737" customFormat="1" x14ac:dyDescent="0.25"/>
    <row r="225738" customFormat="1" x14ac:dyDescent="0.25"/>
    <row r="225739" customFormat="1" x14ac:dyDescent="0.25"/>
    <row r="225740" customFormat="1" x14ac:dyDescent="0.25"/>
    <row r="225741" customFormat="1" x14ac:dyDescent="0.25"/>
    <row r="225742" customFormat="1" x14ac:dyDescent="0.25"/>
    <row r="225743" customFormat="1" x14ac:dyDescent="0.25"/>
    <row r="225744" customFormat="1" x14ac:dyDescent="0.25"/>
    <row r="225745" customFormat="1" x14ac:dyDescent="0.25"/>
    <row r="225746" customFormat="1" x14ac:dyDescent="0.25"/>
    <row r="225747" customFormat="1" x14ac:dyDescent="0.25"/>
    <row r="225748" customFormat="1" x14ac:dyDescent="0.25"/>
    <row r="225749" customFormat="1" x14ac:dyDescent="0.25"/>
    <row r="225750" customFormat="1" x14ac:dyDescent="0.25"/>
    <row r="225751" customFormat="1" x14ac:dyDescent="0.25"/>
    <row r="225752" customFormat="1" x14ac:dyDescent="0.25"/>
    <row r="225753" customFormat="1" x14ac:dyDescent="0.25"/>
    <row r="225754" customFormat="1" x14ac:dyDescent="0.25"/>
    <row r="225755" customFormat="1" x14ac:dyDescent="0.25"/>
    <row r="225756" customFormat="1" x14ac:dyDescent="0.25"/>
    <row r="225757" customFormat="1" x14ac:dyDescent="0.25"/>
    <row r="225758" customFormat="1" x14ac:dyDescent="0.25"/>
    <row r="225759" customFormat="1" x14ac:dyDescent="0.25"/>
    <row r="225760" customFormat="1" x14ac:dyDescent="0.25"/>
    <row r="225761" customFormat="1" x14ac:dyDescent="0.25"/>
    <row r="225762" customFormat="1" x14ac:dyDescent="0.25"/>
    <row r="225763" customFormat="1" x14ac:dyDescent="0.25"/>
    <row r="225764" customFormat="1" x14ac:dyDescent="0.25"/>
    <row r="225765" customFormat="1" x14ac:dyDescent="0.25"/>
    <row r="225766" customFormat="1" x14ac:dyDescent="0.25"/>
    <row r="225767" customFormat="1" x14ac:dyDescent="0.25"/>
    <row r="225768" customFormat="1" x14ac:dyDescent="0.25"/>
    <row r="225769" customFormat="1" x14ac:dyDescent="0.25"/>
    <row r="225770" customFormat="1" x14ac:dyDescent="0.25"/>
    <row r="225771" customFormat="1" x14ac:dyDescent="0.25"/>
    <row r="225772" customFormat="1" x14ac:dyDescent="0.25"/>
    <row r="225773" customFormat="1" x14ac:dyDescent="0.25"/>
    <row r="225774" customFormat="1" x14ac:dyDescent="0.25"/>
    <row r="225775" customFormat="1" x14ac:dyDescent="0.25"/>
    <row r="225776" customFormat="1" x14ac:dyDescent="0.25"/>
    <row r="225777" customFormat="1" x14ac:dyDescent="0.25"/>
    <row r="225778" customFormat="1" x14ac:dyDescent="0.25"/>
    <row r="225779" customFormat="1" x14ac:dyDescent="0.25"/>
    <row r="225780" customFormat="1" x14ac:dyDescent="0.25"/>
    <row r="225781" customFormat="1" x14ac:dyDescent="0.25"/>
    <row r="225782" customFormat="1" x14ac:dyDescent="0.25"/>
    <row r="225783" customFormat="1" x14ac:dyDescent="0.25"/>
    <row r="225784" customFormat="1" x14ac:dyDescent="0.25"/>
    <row r="225785" customFormat="1" x14ac:dyDescent="0.25"/>
    <row r="225786" customFormat="1" x14ac:dyDescent="0.25"/>
    <row r="225787" customFormat="1" x14ac:dyDescent="0.25"/>
    <row r="225788" customFormat="1" x14ac:dyDescent="0.25"/>
    <row r="225789" customFormat="1" x14ac:dyDescent="0.25"/>
    <row r="225790" customFormat="1" x14ac:dyDescent="0.25"/>
    <row r="225791" customFormat="1" x14ac:dyDescent="0.25"/>
    <row r="225792" customFormat="1" x14ac:dyDescent="0.25"/>
    <row r="225793" customFormat="1" x14ac:dyDescent="0.25"/>
    <row r="225794" customFormat="1" x14ac:dyDescent="0.25"/>
    <row r="225795" customFormat="1" x14ac:dyDescent="0.25"/>
    <row r="225796" customFormat="1" x14ac:dyDescent="0.25"/>
    <row r="225797" customFormat="1" x14ac:dyDescent="0.25"/>
    <row r="225798" customFormat="1" x14ac:dyDescent="0.25"/>
    <row r="225799" customFormat="1" x14ac:dyDescent="0.25"/>
    <row r="225800" customFormat="1" x14ac:dyDescent="0.25"/>
    <row r="225801" customFormat="1" x14ac:dyDescent="0.25"/>
    <row r="225802" customFormat="1" x14ac:dyDescent="0.25"/>
    <row r="225803" customFormat="1" x14ac:dyDescent="0.25"/>
    <row r="225804" customFormat="1" x14ac:dyDescent="0.25"/>
    <row r="225805" customFormat="1" x14ac:dyDescent="0.25"/>
    <row r="225806" customFormat="1" x14ac:dyDescent="0.25"/>
    <row r="225807" customFormat="1" x14ac:dyDescent="0.25"/>
    <row r="225808" customFormat="1" x14ac:dyDescent="0.25"/>
    <row r="225809" customFormat="1" x14ac:dyDescent="0.25"/>
    <row r="225810" customFormat="1" x14ac:dyDescent="0.25"/>
    <row r="225811" customFormat="1" x14ac:dyDescent="0.25"/>
    <row r="225812" customFormat="1" x14ac:dyDescent="0.25"/>
    <row r="225813" customFormat="1" x14ac:dyDescent="0.25"/>
    <row r="225814" customFormat="1" x14ac:dyDescent="0.25"/>
    <row r="225815" customFormat="1" x14ac:dyDescent="0.25"/>
    <row r="225816" customFormat="1" x14ac:dyDescent="0.25"/>
    <row r="225817" customFormat="1" x14ac:dyDescent="0.25"/>
    <row r="225818" customFormat="1" x14ac:dyDescent="0.25"/>
    <row r="225819" customFormat="1" x14ac:dyDescent="0.25"/>
    <row r="225820" customFormat="1" x14ac:dyDescent="0.25"/>
    <row r="225821" customFormat="1" x14ac:dyDescent="0.25"/>
    <row r="225822" customFormat="1" x14ac:dyDescent="0.25"/>
    <row r="225823" customFormat="1" x14ac:dyDescent="0.25"/>
    <row r="225824" customFormat="1" x14ac:dyDescent="0.25"/>
    <row r="225825" customFormat="1" x14ac:dyDescent="0.25"/>
    <row r="225826" customFormat="1" x14ac:dyDescent="0.25"/>
    <row r="225827" customFormat="1" x14ac:dyDescent="0.25"/>
    <row r="225828" customFormat="1" x14ac:dyDescent="0.25"/>
    <row r="225829" customFormat="1" x14ac:dyDescent="0.25"/>
    <row r="225830" customFormat="1" x14ac:dyDescent="0.25"/>
    <row r="225831" customFormat="1" x14ac:dyDescent="0.25"/>
    <row r="225832" customFormat="1" x14ac:dyDescent="0.25"/>
    <row r="225833" customFormat="1" x14ac:dyDescent="0.25"/>
    <row r="225834" customFormat="1" x14ac:dyDescent="0.25"/>
    <row r="225835" customFormat="1" x14ac:dyDescent="0.25"/>
    <row r="225836" customFormat="1" x14ac:dyDescent="0.25"/>
    <row r="225837" customFormat="1" x14ac:dyDescent="0.25"/>
    <row r="225838" customFormat="1" x14ac:dyDescent="0.25"/>
    <row r="225839" customFormat="1" x14ac:dyDescent="0.25"/>
    <row r="225840" customFormat="1" x14ac:dyDescent="0.25"/>
    <row r="225841" customFormat="1" x14ac:dyDescent="0.25"/>
    <row r="225842" customFormat="1" x14ac:dyDescent="0.25"/>
    <row r="225843" customFormat="1" x14ac:dyDescent="0.25"/>
    <row r="225844" customFormat="1" x14ac:dyDescent="0.25"/>
    <row r="225845" customFormat="1" x14ac:dyDescent="0.25"/>
    <row r="225846" customFormat="1" x14ac:dyDescent="0.25"/>
    <row r="225847" customFormat="1" x14ac:dyDescent="0.25"/>
    <row r="225848" customFormat="1" x14ac:dyDescent="0.25"/>
    <row r="225849" customFormat="1" x14ac:dyDescent="0.25"/>
    <row r="225850" customFormat="1" x14ac:dyDescent="0.25"/>
    <row r="225851" customFormat="1" x14ac:dyDescent="0.25"/>
    <row r="225852" customFormat="1" x14ac:dyDescent="0.25"/>
    <row r="225853" customFormat="1" x14ac:dyDescent="0.25"/>
    <row r="225854" customFormat="1" x14ac:dyDescent="0.25"/>
    <row r="225855" customFormat="1" x14ac:dyDescent="0.25"/>
    <row r="225856" customFormat="1" x14ac:dyDescent="0.25"/>
    <row r="225857" customFormat="1" x14ac:dyDescent="0.25"/>
    <row r="225858" customFormat="1" x14ac:dyDescent="0.25"/>
    <row r="225859" customFormat="1" x14ac:dyDescent="0.25"/>
    <row r="225860" customFormat="1" x14ac:dyDescent="0.25"/>
    <row r="225861" customFormat="1" x14ac:dyDescent="0.25"/>
    <row r="225862" customFormat="1" x14ac:dyDescent="0.25"/>
    <row r="225863" customFormat="1" x14ac:dyDescent="0.25"/>
    <row r="225864" customFormat="1" x14ac:dyDescent="0.25"/>
    <row r="225865" customFormat="1" x14ac:dyDescent="0.25"/>
    <row r="225866" customFormat="1" x14ac:dyDescent="0.25"/>
    <row r="225867" customFormat="1" x14ac:dyDescent="0.25"/>
    <row r="225868" customFormat="1" x14ac:dyDescent="0.25"/>
    <row r="225869" customFormat="1" x14ac:dyDescent="0.25"/>
    <row r="225870" customFormat="1" x14ac:dyDescent="0.25"/>
    <row r="225871" customFormat="1" x14ac:dyDescent="0.25"/>
    <row r="225872" customFormat="1" x14ac:dyDescent="0.25"/>
    <row r="225873" customFormat="1" x14ac:dyDescent="0.25"/>
    <row r="225874" customFormat="1" x14ac:dyDescent="0.25"/>
    <row r="225875" customFormat="1" x14ac:dyDescent="0.25"/>
    <row r="225876" customFormat="1" x14ac:dyDescent="0.25"/>
    <row r="225877" customFormat="1" x14ac:dyDescent="0.25"/>
    <row r="225878" customFormat="1" x14ac:dyDescent="0.25"/>
    <row r="225879" customFormat="1" x14ac:dyDescent="0.25"/>
    <row r="225880" customFormat="1" x14ac:dyDescent="0.25"/>
    <row r="225881" customFormat="1" x14ac:dyDescent="0.25"/>
    <row r="225882" customFormat="1" x14ac:dyDescent="0.25"/>
    <row r="225883" customFormat="1" x14ac:dyDescent="0.25"/>
    <row r="225884" customFormat="1" x14ac:dyDescent="0.25"/>
    <row r="225885" customFormat="1" x14ac:dyDescent="0.25"/>
    <row r="225886" customFormat="1" x14ac:dyDescent="0.25"/>
    <row r="225887" customFormat="1" x14ac:dyDescent="0.25"/>
    <row r="225888" customFormat="1" x14ac:dyDescent="0.25"/>
    <row r="225889" customFormat="1" x14ac:dyDescent="0.25"/>
    <row r="225890" customFormat="1" x14ac:dyDescent="0.25"/>
    <row r="225891" customFormat="1" x14ac:dyDescent="0.25"/>
    <row r="225892" customFormat="1" x14ac:dyDescent="0.25"/>
    <row r="225893" customFormat="1" x14ac:dyDescent="0.25"/>
    <row r="225894" customFormat="1" x14ac:dyDescent="0.25"/>
    <row r="225895" customFormat="1" x14ac:dyDescent="0.25"/>
    <row r="225896" customFormat="1" x14ac:dyDescent="0.25"/>
    <row r="225897" customFormat="1" x14ac:dyDescent="0.25"/>
    <row r="225898" customFormat="1" x14ac:dyDescent="0.25"/>
    <row r="225899" customFormat="1" x14ac:dyDescent="0.25"/>
    <row r="225900" customFormat="1" x14ac:dyDescent="0.25"/>
    <row r="225901" customFormat="1" x14ac:dyDescent="0.25"/>
    <row r="225902" customFormat="1" x14ac:dyDescent="0.25"/>
    <row r="225903" customFormat="1" x14ac:dyDescent="0.25"/>
    <row r="225904" customFormat="1" x14ac:dyDescent="0.25"/>
    <row r="225905" customFormat="1" x14ac:dyDescent="0.25"/>
    <row r="225906" customFormat="1" x14ac:dyDescent="0.25"/>
    <row r="225907" customFormat="1" x14ac:dyDescent="0.25"/>
    <row r="225908" customFormat="1" x14ac:dyDescent="0.25"/>
    <row r="225909" customFormat="1" x14ac:dyDescent="0.25"/>
    <row r="225910" customFormat="1" x14ac:dyDescent="0.25"/>
    <row r="225911" customFormat="1" x14ac:dyDescent="0.25"/>
    <row r="225912" customFormat="1" x14ac:dyDescent="0.25"/>
    <row r="225913" customFormat="1" x14ac:dyDescent="0.25"/>
    <row r="225914" customFormat="1" x14ac:dyDescent="0.25"/>
    <row r="225915" customFormat="1" x14ac:dyDescent="0.25"/>
    <row r="225916" customFormat="1" x14ac:dyDescent="0.25"/>
    <row r="225917" customFormat="1" x14ac:dyDescent="0.25"/>
    <row r="225918" customFormat="1" x14ac:dyDescent="0.25"/>
    <row r="225919" customFormat="1" x14ac:dyDescent="0.25"/>
    <row r="225920" customFormat="1" x14ac:dyDescent="0.25"/>
    <row r="225921" customFormat="1" x14ac:dyDescent="0.25"/>
    <row r="225922" customFormat="1" x14ac:dyDescent="0.25"/>
    <row r="225923" customFormat="1" x14ac:dyDescent="0.25"/>
    <row r="225924" customFormat="1" x14ac:dyDescent="0.25"/>
    <row r="225925" customFormat="1" x14ac:dyDescent="0.25"/>
    <row r="225926" customFormat="1" x14ac:dyDescent="0.25"/>
    <row r="225927" customFormat="1" x14ac:dyDescent="0.25"/>
    <row r="225928" customFormat="1" x14ac:dyDescent="0.25"/>
    <row r="225929" customFormat="1" x14ac:dyDescent="0.25"/>
    <row r="225930" customFormat="1" x14ac:dyDescent="0.25"/>
    <row r="225931" customFormat="1" x14ac:dyDescent="0.25"/>
    <row r="225932" customFormat="1" x14ac:dyDescent="0.25"/>
    <row r="225933" customFormat="1" x14ac:dyDescent="0.25"/>
    <row r="225934" customFormat="1" x14ac:dyDescent="0.25"/>
    <row r="225935" customFormat="1" x14ac:dyDescent="0.25"/>
    <row r="225936" customFormat="1" x14ac:dyDescent="0.25"/>
    <row r="225937" customFormat="1" x14ac:dyDescent="0.25"/>
    <row r="225938" customFormat="1" x14ac:dyDescent="0.25"/>
    <row r="225939" customFormat="1" x14ac:dyDescent="0.25"/>
    <row r="225940" customFormat="1" x14ac:dyDescent="0.25"/>
    <row r="225941" customFormat="1" x14ac:dyDescent="0.25"/>
    <row r="225942" customFormat="1" x14ac:dyDescent="0.25"/>
    <row r="225943" customFormat="1" x14ac:dyDescent="0.25"/>
    <row r="225944" customFormat="1" x14ac:dyDescent="0.25"/>
    <row r="225945" customFormat="1" x14ac:dyDescent="0.25"/>
    <row r="225946" customFormat="1" x14ac:dyDescent="0.25"/>
    <row r="225947" customFormat="1" x14ac:dyDescent="0.25"/>
    <row r="225948" customFormat="1" x14ac:dyDescent="0.25"/>
    <row r="225949" customFormat="1" x14ac:dyDescent="0.25"/>
    <row r="225950" customFormat="1" x14ac:dyDescent="0.25"/>
    <row r="225951" customFormat="1" x14ac:dyDescent="0.25"/>
    <row r="225952" customFormat="1" x14ac:dyDescent="0.25"/>
    <row r="225953" customFormat="1" x14ac:dyDescent="0.25"/>
    <row r="225954" customFormat="1" x14ac:dyDescent="0.25"/>
    <row r="225955" customFormat="1" x14ac:dyDescent="0.25"/>
    <row r="225956" customFormat="1" x14ac:dyDescent="0.25"/>
    <row r="225957" customFormat="1" x14ac:dyDescent="0.25"/>
    <row r="225958" customFormat="1" x14ac:dyDescent="0.25"/>
    <row r="225959" customFormat="1" x14ac:dyDescent="0.25"/>
    <row r="225960" customFormat="1" x14ac:dyDescent="0.25"/>
    <row r="225961" customFormat="1" x14ac:dyDescent="0.25"/>
    <row r="225962" customFormat="1" x14ac:dyDescent="0.25"/>
    <row r="225963" customFormat="1" x14ac:dyDescent="0.25"/>
    <row r="225964" customFormat="1" x14ac:dyDescent="0.25"/>
    <row r="225965" customFormat="1" x14ac:dyDescent="0.25"/>
    <row r="225966" customFormat="1" x14ac:dyDescent="0.25"/>
    <row r="225967" customFormat="1" x14ac:dyDescent="0.25"/>
    <row r="225968" customFormat="1" x14ac:dyDescent="0.25"/>
    <row r="225969" customFormat="1" x14ac:dyDescent="0.25"/>
    <row r="225970" customFormat="1" x14ac:dyDescent="0.25"/>
    <row r="225971" customFormat="1" x14ac:dyDescent="0.25"/>
    <row r="225972" customFormat="1" x14ac:dyDescent="0.25"/>
    <row r="225973" customFormat="1" x14ac:dyDescent="0.25"/>
    <row r="225974" customFormat="1" x14ac:dyDescent="0.25"/>
    <row r="225975" customFormat="1" x14ac:dyDescent="0.25"/>
    <row r="225976" customFormat="1" x14ac:dyDescent="0.25"/>
    <row r="225977" customFormat="1" x14ac:dyDescent="0.25"/>
    <row r="225978" customFormat="1" x14ac:dyDescent="0.25"/>
    <row r="225979" customFormat="1" x14ac:dyDescent="0.25"/>
    <row r="225980" customFormat="1" x14ac:dyDescent="0.25"/>
    <row r="225981" customFormat="1" x14ac:dyDescent="0.25"/>
    <row r="225982" customFormat="1" x14ac:dyDescent="0.25"/>
    <row r="225983" customFormat="1" x14ac:dyDescent="0.25"/>
    <row r="225984" customFormat="1" x14ac:dyDescent="0.25"/>
    <row r="225985" customFormat="1" x14ac:dyDescent="0.25"/>
    <row r="225986" customFormat="1" x14ac:dyDescent="0.25"/>
    <row r="225987" customFormat="1" x14ac:dyDescent="0.25"/>
    <row r="225988" customFormat="1" x14ac:dyDescent="0.25"/>
    <row r="225989" customFormat="1" x14ac:dyDescent="0.25"/>
    <row r="225990" customFormat="1" x14ac:dyDescent="0.25"/>
    <row r="225991" customFormat="1" x14ac:dyDescent="0.25"/>
    <row r="225992" customFormat="1" x14ac:dyDescent="0.25"/>
    <row r="225993" customFormat="1" x14ac:dyDescent="0.25"/>
    <row r="225994" customFormat="1" x14ac:dyDescent="0.25"/>
    <row r="225995" customFormat="1" x14ac:dyDescent="0.25"/>
    <row r="225996" customFormat="1" x14ac:dyDescent="0.25"/>
    <row r="225997" customFormat="1" x14ac:dyDescent="0.25"/>
    <row r="225998" customFormat="1" x14ac:dyDescent="0.25"/>
    <row r="225999" customFormat="1" x14ac:dyDescent="0.25"/>
    <row r="226000" customFormat="1" x14ac:dyDescent="0.25"/>
    <row r="226001" customFormat="1" x14ac:dyDescent="0.25"/>
    <row r="226002" customFormat="1" x14ac:dyDescent="0.25"/>
    <row r="226003" customFormat="1" x14ac:dyDescent="0.25"/>
    <row r="226004" customFormat="1" x14ac:dyDescent="0.25"/>
    <row r="226005" customFormat="1" x14ac:dyDescent="0.25"/>
    <row r="226006" customFormat="1" x14ac:dyDescent="0.25"/>
    <row r="226007" customFormat="1" x14ac:dyDescent="0.25"/>
    <row r="226008" customFormat="1" x14ac:dyDescent="0.25"/>
    <row r="226009" customFormat="1" x14ac:dyDescent="0.25"/>
    <row r="226010" customFormat="1" x14ac:dyDescent="0.25"/>
    <row r="226011" customFormat="1" x14ac:dyDescent="0.25"/>
    <row r="226012" customFormat="1" x14ac:dyDescent="0.25"/>
    <row r="226013" customFormat="1" x14ac:dyDescent="0.25"/>
    <row r="226014" customFormat="1" x14ac:dyDescent="0.25"/>
    <row r="226015" customFormat="1" x14ac:dyDescent="0.25"/>
    <row r="226016" customFormat="1" x14ac:dyDescent="0.25"/>
    <row r="226017" customFormat="1" x14ac:dyDescent="0.25"/>
    <row r="226018" customFormat="1" x14ac:dyDescent="0.25"/>
    <row r="226019" customFormat="1" x14ac:dyDescent="0.25"/>
    <row r="226020" customFormat="1" x14ac:dyDescent="0.25"/>
    <row r="226021" customFormat="1" x14ac:dyDescent="0.25"/>
    <row r="226022" customFormat="1" x14ac:dyDescent="0.25"/>
    <row r="226023" customFormat="1" x14ac:dyDescent="0.25"/>
    <row r="226024" customFormat="1" x14ac:dyDescent="0.25"/>
    <row r="226025" customFormat="1" x14ac:dyDescent="0.25"/>
    <row r="226026" customFormat="1" x14ac:dyDescent="0.25"/>
    <row r="226027" customFormat="1" x14ac:dyDescent="0.25"/>
    <row r="226028" customFormat="1" x14ac:dyDescent="0.25"/>
    <row r="226029" customFormat="1" x14ac:dyDescent="0.25"/>
    <row r="226030" customFormat="1" x14ac:dyDescent="0.25"/>
    <row r="226031" customFormat="1" x14ac:dyDescent="0.25"/>
    <row r="226032" customFormat="1" x14ac:dyDescent="0.25"/>
    <row r="226033" customFormat="1" x14ac:dyDescent="0.25"/>
    <row r="226034" customFormat="1" x14ac:dyDescent="0.25"/>
    <row r="226035" customFormat="1" x14ac:dyDescent="0.25"/>
    <row r="226036" customFormat="1" x14ac:dyDescent="0.25"/>
    <row r="226037" customFormat="1" x14ac:dyDescent="0.25"/>
    <row r="226038" customFormat="1" x14ac:dyDescent="0.25"/>
    <row r="226039" customFormat="1" x14ac:dyDescent="0.25"/>
    <row r="226040" customFormat="1" x14ac:dyDescent="0.25"/>
    <row r="226041" customFormat="1" x14ac:dyDescent="0.25"/>
    <row r="226042" customFormat="1" x14ac:dyDescent="0.25"/>
    <row r="226043" customFormat="1" x14ac:dyDescent="0.25"/>
    <row r="226044" customFormat="1" x14ac:dyDescent="0.25"/>
    <row r="226045" customFormat="1" x14ac:dyDescent="0.25"/>
    <row r="226046" customFormat="1" x14ac:dyDescent="0.25"/>
    <row r="226047" customFormat="1" x14ac:dyDescent="0.25"/>
    <row r="226048" customFormat="1" x14ac:dyDescent="0.25"/>
    <row r="226049" customFormat="1" x14ac:dyDescent="0.25"/>
    <row r="226050" customFormat="1" x14ac:dyDescent="0.25"/>
    <row r="226051" customFormat="1" x14ac:dyDescent="0.25"/>
    <row r="226052" customFormat="1" x14ac:dyDescent="0.25"/>
    <row r="226053" customFormat="1" x14ac:dyDescent="0.25"/>
    <row r="226054" customFormat="1" x14ac:dyDescent="0.25"/>
    <row r="226055" customFormat="1" x14ac:dyDescent="0.25"/>
    <row r="226056" customFormat="1" x14ac:dyDescent="0.25"/>
    <row r="226057" customFormat="1" x14ac:dyDescent="0.25"/>
    <row r="226058" customFormat="1" x14ac:dyDescent="0.25"/>
    <row r="226059" customFormat="1" x14ac:dyDescent="0.25"/>
    <row r="226060" customFormat="1" x14ac:dyDescent="0.25"/>
    <row r="226061" customFormat="1" x14ac:dyDescent="0.25"/>
    <row r="226062" customFormat="1" x14ac:dyDescent="0.25"/>
    <row r="226063" customFormat="1" x14ac:dyDescent="0.25"/>
    <row r="226064" customFormat="1" x14ac:dyDescent="0.25"/>
    <row r="226065" customFormat="1" x14ac:dyDescent="0.25"/>
    <row r="226066" customFormat="1" x14ac:dyDescent="0.25"/>
    <row r="226067" customFormat="1" x14ac:dyDescent="0.25"/>
    <row r="226068" customFormat="1" x14ac:dyDescent="0.25"/>
    <row r="226069" customFormat="1" x14ac:dyDescent="0.25"/>
    <row r="226070" customFormat="1" x14ac:dyDescent="0.25"/>
    <row r="226071" customFormat="1" x14ac:dyDescent="0.25"/>
    <row r="226072" customFormat="1" x14ac:dyDescent="0.25"/>
    <row r="226073" customFormat="1" x14ac:dyDescent="0.25"/>
    <row r="226074" customFormat="1" x14ac:dyDescent="0.25"/>
    <row r="226075" customFormat="1" x14ac:dyDescent="0.25"/>
    <row r="226076" customFormat="1" x14ac:dyDescent="0.25"/>
    <row r="226077" customFormat="1" x14ac:dyDescent="0.25"/>
    <row r="226078" customFormat="1" x14ac:dyDescent="0.25"/>
    <row r="226079" customFormat="1" x14ac:dyDescent="0.25"/>
    <row r="226080" customFormat="1" x14ac:dyDescent="0.25"/>
    <row r="226081" customFormat="1" x14ac:dyDescent="0.25"/>
    <row r="226082" customFormat="1" x14ac:dyDescent="0.25"/>
    <row r="226083" customFormat="1" x14ac:dyDescent="0.25"/>
    <row r="226084" customFormat="1" x14ac:dyDescent="0.25"/>
    <row r="226085" customFormat="1" x14ac:dyDescent="0.25"/>
    <row r="226086" customFormat="1" x14ac:dyDescent="0.25"/>
    <row r="226087" customFormat="1" x14ac:dyDescent="0.25"/>
    <row r="226088" customFormat="1" x14ac:dyDescent="0.25"/>
    <row r="226089" customFormat="1" x14ac:dyDescent="0.25"/>
    <row r="226090" customFormat="1" x14ac:dyDescent="0.25"/>
    <row r="226091" customFormat="1" x14ac:dyDescent="0.25"/>
    <row r="226092" customFormat="1" x14ac:dyDescent="0.25"/>
    <row r="226093" customFormat="1" x14ac:dyDescent="0.25"/>
    <row r="226094" customFormat="1" x14ac:dyDescent="0.25"/>
    <row r="226095" customFormat="1" x14ac:dyDescent="0.25"/>
    <row r="226096" customFormat="1" x14ac:dyDescent="0.25"/>
    <row r="226097" customFormat="1" x14ac:dyDescent="0.25"/>
    <row r="226098" customFormat="1" x14ac:dyDescent="0.25"/>
    <row r="226099" customFormat="1" x14ac:dyDescent="0.25"/>
    <row r="226100" customFormat="1" x14ac:dyDescent="0.25"/>
    <row r="226101" customFormat="1" x14ac:dyDescent="0.25"/>
    <row r="226102" customFormat="1" x14ac:dyDescent="0.25"/>
    <row r="226103" customFormat="1" x14ac:dyDescent="0.25"/>
    <row r="226104" customFormat="1" x14ac:dyDescent="0.25"/>
    <row r="226105" customFormat="1" x14ac:dyDescent="0.25"/>
    <row r="226106" customFormat="1" x14ac:dyDescent="0.25"/>
    <row r="226107" customFormat="1" x14ac:dyDescent="0.25"/>
    <row r="226108" customFormat="1" x14ac:dyDescent="0.25"/>
    <row r="226109" customFormat="1" x14ac:dyDescent="0.25"/>
    <row r="226110" customFormat="1" x14ac:dyDescent="0.25"/>
    <row r="226111" customFormat="1" x14ac:dyDescent="0.25"/>
    <row r="226112" customFormat="1" x14ac:dyDescent="0.25"/>
    <row r="226113" customFormat="1" x14ac:dyDescent="0.25"/>
    <row r="226114" customFormat="1" x14ac:dyDescent="0.25"/>
    <row r="226115" customFormat="1" x14ac:dyDescent="0.25"/>
    <row r="226116" customFormat="1" x14ac:dyDescent="0.25"/>
    <row r="226117" customFormat="1" x14ac:dyDescent="0.25"/>
    <row r="226118" customFormat="1" x14ac:dyDescent="0.25"/>
    <row r="226119" customFormat="1" x14ac:dyDescent="0.25"/>
    <row r="226120" customFormat="1" x14ac:dyDescent="0.25"/>
    <row r="226121" customFormat="1" x14ac:dyDescent="0.25"/>
    <row r="226122" customFormat="1" x14ac:dyDescent="0.25"/>
    <row r="226123" customFormat="1" x14ac:dyDescent="0.25"/>
    <row r="226124" customFormat="1" x14ac:dyDescent="0.25"/>
    <row r="226125" customFormat="1" x14ac:dyDescent="0.25"/>
    <row r="226126" customFormat="1" x14ac:dyDescent="0.25"/>
    <row r="226127" customFormat="1" x14ac:dyDescent="0.25"/>
    <row r="226128" customFormat="1" x14ac:dyDescent="0.25"/>
    <row r="226129" customFormat="1" x14ac:dyDescent="0.25"/>
    <row r="226130" customFormat="1" x14ac:dyDescent="0.25"/>
    <row r="226131" customFormat="1" x14ac:dyDescent="0.25"/>
    <row r="226132" customFormat="1" x14ac:dyDescent="0.25"/>
    <row r="226133" customFormat="1" x14ac:dyDescent="0.25"/>
    <row r="226134" customFormat="1" x14ac:dyDescent="0.25"/>
    <row r="226135" customFormat="1" x14ac:dyDescent="0.25"/>
    <row r="226136" customFormat="1" x14ac:dyDescent="0.25"/>
    <row r="226137" customFormat="1" x14ac:dyDescent="0.25"/>
    <row r="226138" customFormat="1" x14ac:dyDescent="0.25"/>
    <row r="226139" customFormat="1" x14ac:dyDescent="0.25"/>
    <row r="226140" customFormat="1" x14ac:dyDescent="0.25"/>
    <row r="226141" customFormat="1" x14ac:dyDescent="0.25"/>
    <row r="226142" customFormat="1" x14ac:dyDescent="0.25"/>
    <row r="226143" customFormat="1" x14ac:dyDescent="0.25"/>
    <row r="226144" customFormat="1" x14ac:dyDescent="0.25"/>
    <row r="226145" customFormat="1" x14ac:dyDescent="0.25"/>
    <row r="226146" customFormat="1" x14ac:dyDescent="0.25"/>
    <row r="226147" customFormat="1" x14ac:dyDescent="0.25"/>
    <row r="226148" customFormat="1" x14ac:dyDescent="0.25"/>
    <row r="226149" customFormat="1" x14ac:dyDescent="0.25"/>
    <row r="226150" customFormat="1" x14ac:dyDescent="0.25"/>
    <row r="226151" customFormat="1" x14ac:dyDescent="0.25"/>
    <row r="226152" customFormat="1" x14ac:dyDescent="0.25"/>
    <row r="226153" customFormat="1" x14ac:dyDescent="0.25"/>
    <row r="226154" customFormat="1" x14ac:dyDescent="0.25"/>
    <row r="226155" customFormat="1" x14ac:dyDescent="0.25"/>
    <row r="226156" customFormat="1" x14ac:dyDescent="0.25"/>
    <row r="226157" customFormat="1" x14ac:dyDescent="0.25"/>
    <row r="226158" customFormat="1" x14ac:dyDescent="0.25"/>
    <row r="226159" customFormat="1" x14ac:dyDescent="0.25"/>
    <row r="226160" customFormat="1" x14ac:dyDescent="0.25"/>
    <row r="226161" customFormat="1" x14ac:dyDescent="0.25"/>
    <row r="226162" customFormat="1" x14ac:dyDescent="0.25"/>
    <row r="226163" customFormat="1" x14ac:dyDescent="0.25"/>
    <row r="226164" customFormat="1" x14ac:dyDescent="0.25"/>
    <row r="226165" customFormat="1" x14ac:dyDescent="0.25"/>
    <row r="226166" customFormat="1" x14ac:dyDescent="0.25"/>
    <row r="226167" customFormat="1" x14ac:dyDescent="0.25"/>
    <row r="226168" customFormat="1" x14ac:dyDescent="0.25"/>
    <row r="226169" customFormat="1" x14ac:dyDescent="0.25"/>
    <row r="226170" customFormat="1" x14ac:dyDescent="0.25"/>
    <row r="226171" customFormat="1" x14ac:dyDescent="0.25"/>
    <row r="226172" customFormat="1" x14ac:dyDescent="0.25"/>
    <row r="226173" customFormat="1" x14ac:dyDescent="0.25"/>
    <row r="226174" customFormat="1" x14ac:dyDescent="0.25"/>
    <row r="226175" customFormat="1" x14ac:dyDescent="0.25"/>
    <row r="226176" customFormat="1" x14ac:dyDescent="0.25"/>
    <row r="226177" customFormat="1" x14ac:dyDescent="0.25"/>
    <row r="226178" customFormat="1" x14ac:dyDescent="0.25"/>
    <row r="226179" customFormat="1" x14ac:dyDescent="0.25"/>
    <row r="226180" customFormat="1" x14ac:dyDescent="0.25"/>
    <row r="226181" customFormat="1" x14ac:dyDescent="0.25"/>
    <row r="226182" customFormat="1" x14ac:dyDescent="0.25"/>
    <row r="226183" customFormat="1" x14ac:dyDescent="0.25"/>
    <row r="226184" customFormat="1" x14ac:dyDescent="0.25"/>
    <row r="226185" customFormat="1" x14ac:dyDescent="0.25"/>
    <row r="226186" customFormat="1" x14ac:dyDescent="0.25"/>
    <row r="226187" customFormat="1" x14ac:dyDescent="0.25"/>
    <row r="226188" customFormat="1" x14ac:dyDescent="0.25"/>
    <row r="226189" customFormat="1" x14ac:dyDescent="0.25"/>
    <row r="226190" customFormat="1" x14ac:dyDescent="0.25"/>
    <row r="226191" customFormat="1" x14ac:dyDescent="0.25"/>
    <row r="226192" customFormat="1" x14ac:dyDescent="0.25"/>
    <row r="226193" customFormat="1" x14ac:dyDescent="0.25"/>
    <row r="226194" customFormat="1" x14ac:dyDescent="0.25"/>
    <row r="226195" customFormat="1" x14ac:dyDescent="0.25"/>
    <row r="226196" customFormat="1" x14ac:dyDescent="0.25"/>
    <row r="226197" customFormat="1" x14ac:dyDescent="0.25"/>
    <row r="226198" customFormat="1" x14ac:dyDescent="0.25"/>
    <row r="226199" customFormat="1" x14ac:dyDescent="0.25"/>
    <row r="226200" customFormat="1" x14ac:dyDescent="0.25"/>
    <row r="226201" customFormat="1" x14ac:dyDescent="0.25"/>
    <row r="226202" customFormat="1" x14ac:dyDescent="0.25"/>
    <row r="226203" customFormat="1" x14ac:dyDescent="0.25"/>
    <row r="226204" customFormat="1" x14ac:dyDescent="0.25"/>
    <row r="226205" customFormat="1" x14ac:dyDescent="0.25"/>
    <row r="226206" customFormat="1" x14ac:dyDescent="0.25"/>
    <row r="226207" customFormat="1" x14ac:dyDescent="0.25"/>
    <row r="226208" customFormat="1" x14ac:dyDescent="0.25"/>
    <row r="226209" customFormat="1" x14ac:dyDescent="0.25"/>
    <row r="226210" customFormat="1" x14ac:dyDescent="0.25"/>
    <row r="226211" customFormat="1" x14ac:dyDescent="0.25"/>
    <row r="226212" customFormat="1" x14ac:dyDescent="0.25"/>
    <row r="226213" customFormat="1" x14ac:dyDescent="0.25"/>
    <row r="226214" customFormat="1" x14ac:dyDescent="0.25"/>
    <row r="226215" customFormat="1" x14ac:dyDescent="0.25"/>
    <row r="226216" customFormat="1" x14ac:dyDescent="0.25"/>
    <row r="226217" customFormat="1" x14ac:dyDescent="0.25"/>
    <row r="226218" customFormat="1" x14ac:dyDescent="0.25"/>
    <row r="226219" customFormat="1" x14ac:dyDescent="0.25"/>
    <row r="226220" customFormat="1" x14ac:dyDescent="0.25"/>
    <row r="226221" customFormat="1" x14ac:dyDescent="0.25"/>
    <row r="226222" customFormat="1" x14ac:dyDescent="0.25"/>
    <row r="226223" customFormat="1" x14ac:dyDescent="0.25"/>
    <row r="226224" customFormat="1" x14ac:dyDescent="0.25"/>
    <row r="226225" customFormat="1" x14ac:dyDescent="0.25"/>
    <row r="226226" customFormat="1" x14ac:dyDescent="0.25"/>
    <row r="226227" customFormat="1" x14ac:dyDescent="0.25"/>
    <row r="226228" customFormat="1" x14ac:dyDescent="0.25"/>
    <row r="226229" customFormat="1" x14ac:dyDescent="0.25"/>
    <row r="226230" customFormat="1" x14ac:dyDescent="0.25"/>
    <row r="226231" customFormat="1" x14ac:dyDescent="0.25"/>
    <row r="226232" customFormat="1" x14ac:dyDescent="0.25"/>
    <row r="226233" customFormat="1" x14ac:dyDescent="0.25"/>
    <row r="226234" customFormat="1" x14ac:dyDescent="0.25"/>
    <row r="226235" customFormat="1" x14ac:dyDescent="0.25"/>
    <row r="226236" customFormat="1" x14ac:dyDescent="0.25"/>
    <row r="226237" customFormat="1" x14ac:dyDescent="0.25"/>
    <row r="226238" customFormat="1" x14ac:dyDescent="0.25"/>
    <row r="226239" customFormat="1" x14ac:dyDescent="0.25"/>
    <row r="226240" customFormat="1" x14ac:dyDescent="0.25"/>
    <row r="226241" customFormat="1" x14ac:dyDescent="0.25"/>
    <row r="226242" customFormat="1" x14ac:dyDescent="0.25"/>
    <row r="226243" customFormat="1" x14ac:dyDescent="0.25"/>
    <row r="226244" customFormat="1" x14ac:dyDescent="0.25"/>
    <row r="226245" customFormat="1" x14ac:dyDescent="0.25"/>
    <row r="226246" customFormat="1" x14ac:dyDescent="0.25"/>
    <row r="226247" customFormat="1" x14ac:dyDescent="0.25"/>
    <row r="226248" customFormat="1" x14ac:dyDescent="0.25"/>
    <row r="226249" customFormat="1" x14ac:dyDescent="0.25"/>
    <row r="226250" customFormat="1" x14ac:dyDescent="0.25"/>
    <row r="226251" customFormat="1" x14ac:dyDescent="0.25"/>
    <row r="226252" customFormat="1" x14ac:dyDescent="0.25"/>
    <row r="226253" customFormat="1" x14ac:dyDescent="0.25"/>
    <row r="226254" customFormat="1" x14ac:dyDescent="0.25"/>
    <row r="226255" customFormat="1" x14ac:dyDescent="0.25"/>
    <row r="226256" customFormat="1" x14ac:dyDescent="0.25"/>
    <row r="226257" customFormat="1" x14ac:dyDescent="0.25"/>
    <row r="226258" customFormat="1" x14ac:dyDescent="0.25"/>
    <row r="226259" customFormat="1" x14ac:dyDescent="0.25"/>
    <row r="226260" customFormat="1" x14ac:dyDescent="0.25"/>
    <row r="226261" customFormat="1" x14ac:dyDescent="0.25"/>
    <row r="226262" customFormat="1" x14ac:dyDescent="0.25"/>
    <row r="226263" customFormat="1" x14ac:dyDescent="0.25"/>
    <row r="226264" customFormat="1" x14ac:dyDescent="0.25"/>
    <row r="226265" customFormat="1" x14ac:dyDescent="0.25"/>
    <row r="226266" customFormat="1" x14ac:dyDescent="0.25"/>
    <row r="226267" customFormat="1" x14ac:dyDescent="0.25"/>
    <row r="226268" customFormat="1" x14ac:dyDescent="0.25"/>
    <row r="226269" customFormat="1" x14ac:dyDescent="0.25"/>
    <row r="226270" customFormat="1" x14ac:dyDescent="0.25"/>
    <row r="226271" customFormat="1" x14ac:dyDescent="0.25"/>
    <row r="226272" customFormat="1" x14ac:dyDescent="0.25"/>
    <row r="226273" customFormat="1" x14ac:dyDescent="0.25"/>
    <row r="226274" customFormat="1" x14ac:dyDescent="0.25"/>
    <row r="226275" customFormat="1" x14ac:dyDescent="0.25"/>
    <row r="226276" customFormat="1" x14ac:dyDescent="0.25"/>
    <row r="226277" customFormat="1" x14ac:dyDescent="0.25"/>
    <row r="226278" customFormat="1" x14ac:dyDescent="0.25"/>
    <row r="226279" customFormat="1" x14ac:dyDescent="0.25"/>
    <row r="226280" customFormat="1" x14ac:dyDescent="0.25"/>
    <row r="226281" customFormat="1" x14ac:dyDescent="0.25"/>
    <row r="226282" customFormat="1" x14ac:dyDescent="0.25"/>
    <row r="226283" customFormat="1" x14ac:dyDescent="0.25"/>
    <row r="226284" customFormat="1" x14ac:dyDescent="0.25"/>
    <row r="226285" customFormat="1" x14ac:dyDescent="0.25"/>
    <row r="226286" customFormat="1" x14ac:dyDescent="0.25"/>
    <row r="226287" customFormat="1" x14ac:dyDescent="0.25"/>
    <row r="226288" customFormat="1" x14ac:dyDescent="0.25"/>
    <row r="226289" customFormat="1" x14ac:dyDescent="0.25"/>
    <row r="226290" customFormat="1" x14ac:dyDescent="0.25"/>
    <row r="226291" customFormat="1" x14ac:dyDescent="0.25"/>
    <row r="226292" customFormat="1" x14ac:dyDescent="0.25"/>
    <row r="226293" customFormat="1" x14ac:dyDescent="0.25"/>
    <row r="226294" customFormat="1" x14ac:dyDescent="0.25"/>
    <row r="226295" customFormat="1" x14ac:dyDescent="0.25"/>
    <row r="226296" customFormat="1" x14ac:dyDescent="0.25"/>
    <row r="226297" customFormat="1" x14ac:dyDescent="0.25"/>
    <row r="226298" customFormat="1" x14ac:dyDescent="0.25"/>
    <row r="226299" customFormat="1" x14ac:dyDescent="0.25"/>
    <row r="226300" customFormat="1" x14ac:dyDescent="0.25"/>
    <row r="226301" customFormat="1" x14ac:dyDescent="0.25"/>
    <row r="226302" customFormat="1" x14ac:dyDescent="0.25"/>
    <row r="226303" customFormat="1" x14ac:dyDescent="0.25"/>
    <row r="226304" customFormat="1" x14ac:dyDescent="0.25"/>
    <row r="226305" customFormat="1" x14ac:dyDescent="0.25"/>
    <row r="226306" customFormat="1" x14ac:dyDescent="0.25"/>
    <row r="226307" customFormat="1" x14ac:dyDescent="0.25"/>
    <row r="226308" customFormat="1" x14ac:dyDescent="0.25"/>
    <row r="226309" customFormat="1" x14ac:dyDescent="0.25"/>
    <row r="226310" customFormat="1" x14ac:dyDescent="0.25"/>
    <row r="226311" customFormat="1" x14ac:dyDescent="0.25"/>
    <row r="226312" customFormat="1" x14ac:dyDescent="0.25"/>
    <row r="226313" customFormat="1" x14ac:dyDescent="0.25"/>
    <row r="226314" customFormat="1" x14ac:dyDescent="0.25"/>
    <row r="226315" customFormat="1" x14ac:dyDescent="0.25"/>
    <row r="226316" customFormat="1" x14ac:dyDescent="0.25"/>
    <row r="226317" customFormat="1" x14ac:dyDescent="0.25"/>
    <row r="226318" customFormat="1" x14ac:dyDescent="0.25"/>
    <row r="226319" customFormat="1" x14ac:dyDescent="0.25"/>
    <row r="226320" customFormat="1" x14ac:dyDescent="0.25"/>
    <row r="226321" customFormat="1" x14ac:dyDescent="0.25"/>
    <row r="226322" customFormat="1" x14ac:dyDescent="0.25"/>
    <row r="226323" customFormat="1" x14ac:dyDescent="0.25"/>
    <row r="226324" customFormat="1" x14ac:dyDescent="0.25"/>
    <row r="226325" customFormat="1" x14ac:dyDescent="0.25"/>
    <row r="226326" customFormat="1" x14ac:dyDescent="0.25"/>
    <row r="226327" customFormat="1" x14ac:dyDescent="0.25"/>
    <row r="226328" customFormat="1" x14ac:dyDescent="0.25"/>
    <row r="226329" customFormat="1" x14ac:dyDescent="0.25"/>
    <row r="226330" customFormat="1" x14ac:dyDescent="0.25"/>
    <row r="226331" customFormat="1" x14ac:dyDescent="0.25"/>
    <row r="226332" customFormat="1" x14ac:dyDescent="0.25"/>
    <row r="226333" customFormat="1" x14ac:dyDescent="0.25"/>
    <row r="226334" customFormat="1" x14ac:dyDescent="0.25"/>
    <row r="226335" customFormat="1" x14ac:dyDescent="0.25"/>
    <row r="226336" customFormat="1" x14ac:dyDescent="0.25"/>
    <row r="226337" customFormat="1" x14ac:dyDescent="0.25"/>
    <row r="226338" customFormat="1" x14ac:dyDescent="0.25"/>
    <row r="226339" customFormat="1" x14ac:dyDescent="0.25"/>
    <row r="226340" customFormat="1" x14ac:dyDescent="0.25"/>
    <row r="226341" customFormat="1" x14ac:dyDescent="0.25"/>
    <row r="226342" customFormat="1" x14ac:dyDescent="0.25"/>
    <row r="226343" customFormat="1" x14ac:dyDescent="0.25"/>
    <row r="226344" customFormat="1" x14ac:dyDescent="0.25"/>
    <row r="226345" customFormat="1" x14ac:dyDescent="0.25"/>
    <row r="226346" customFormat="1" x14ac:dyDescent="0.25"/>
    <row r="226347" customFormat="1" x14ac:dyDescent="0.25"/>
    <row r="226348" customFormat="1" x14ac:dyDescent="0.25"/>
    <row r="226349" customFormat="1" x14ac:dyDescent="0.25"/>
    <row r="226350" customFormat="1" x14ac:dyDescent="0.25"/>
    <row r="226351" customFormat="1" x14ac:dyDescent="0.25"/>
    <row r="226352" customFormat="1" x14ac:dyDescent="0.25"/>
    <row r="226353" customFormat="1" x14ac:dyDescent="0.25"/>
    <row r="226354" customFormat="1" x14ac:dyDescent="0.25"/>
    <row r="226355" customFormat="1" x14ac:dyDescent="0.25"/>
    <row r="226356" customFormat="1" x14ac:dyDescent="0.25"/>
    <row r="226357" customFormat="1" x14ac:dyDescent="0.25"/>
    <row r="226358" customFormat="1" x14ac:dyDescent="0.25"/>
    <row r="226359" customFormat="1" x14ac:dyDescent="0.25"/>
    <row r="226360" customFormat="1" x14ac:dyDescent="0.25"/>
    <row r="226361" customFormat="1" x14ac:dyDescent="0.25"/>
    <row r="226362" customFormat="1" x14ac:dyDescent="0.25"/>
    <row r="226363" customFormat="1" x14ac:dyDescent="0.25"/>
    <row r="226364" customFormat="1" x14ac:dyDescent="0.25"/>
    <row r="226365" customFormat="1" x14ac:dyDescent="0.25"/>
    <row r="226366" customFormat="1" x14ac:dyDescent="0.25"/>
    <row r="226367" customFormat="1" x14ac:dyDescent="0.25"/>
    <row r="226368" customFormat="1" x14ac:dyDescent="0.25"/>
    <row r="226369" customFormat="1" x14ac:dyDescent="0.25"/>
    <row r="226370" customFormat="1" x14ac:dyDescent="0.25"/>
    <row r="226371" customFormat="1" x14ac:dyDescent="0.25"/>
    <row r="226372" customFormat="1" x14ac:dyDescent="0.25"/>
    <row r="226373" customFormat="1" x14ac:dyDescent="0.25"/>
    <row r="226374" customFormat="1" x14ac:dyDescent="0.25"/>
    <row r="226375" customFormat="1" x14ac:dyDescent="0.25"/>
    <row r="226376" customFormat="1" x14ac:dyDescent="0.25"/>
    <row r="226377" customFormat="1" x14ac:dyDescent="0.25"/>
    <row r="226378" customFormat="1" x14ac:dyDescent="0.25"/>
    <row r="226379" customFormat="1" x14ac:dyDescent="0.25"/>
    <row r="226380" customFormat="1" x14ac:dyDescent="0.25"/>
    <row r="226381" customFormat="1" x14ac:dyDescent="0.25"/>
    <row r="226382" customFormat="1" x14ac:dyDescent="0.25"/>
    <row r="226383" customFormat="1" x14ac:dyDescent="0.25"/>
    <row r="226384" customFormat="1" x14ac:dyDescent="0.25"/>
    <row r="226385" customFormat="1" x14ac:dyDescent="0.25"/>
    <row r="226386" customFormat="1" x14ac:dyDescent="0.25"/>
    <row r="226387" customFormat="1" x14ac:dyDescent="0.25"/>
    <row r="226388" customFormat="1" x14ac:dyDescent="0.25"/>
    <row r="226389" customFormat="1" x14ac:dyDescent="0.25"/>
    <row r="226390" customFormat="1" x14ac:dyDescent="0.25"/>
    <row r="226391" customFormat="1" x14ac:dyDescent="0.25"/>
    <row r="226392" customFormat="1" x14ac:dyDescent="0.25"/>
    <row r="226393" customFormat="1" x14ac:dyDescent="0.25"/>
    <row r="226394" customFormat="1" x14ac:dyDescent="0.25"/>
    <row r="226395" customFormat="1" x14ac:dyDescent="0.25"/>
    <row r="226396" customFormat="1" x14ac:dyDescent="0.25"/>
    <row r="226397" customFormat="1" x14ac:dyDescent="0.25"/>
    <row r="226398" customFormat="1" x14ac:dyDescent="0.25"/>
    <row r="226399" customFormat="1" x14ac:dyDescent="0.25"/>
    <row r="226400" customFormat="1" x14ac:dyDescent="0.25"/>
    <row r="226401" customFormat="1" x14ac:dyDescent="0.25"/>
    <row r="226402" customFormat="1" x14ac:dyDescent="0.25"/>
    <row r="226403" customFormat="1" x14ac:dyDescent="0.25"/>
    <row r="226404" customFormat="1" x14ac:dyDescent="0.25"/>
    <row r="226405" customFormat="1" x14ac:dyDescent="0.25"/>
    <row r="226406" customFormat="1" x14ac:dyDescent="0.25"/>
    <row r="226407" customFormat="1" x14ac:dyDescent="0.25"/>
    <row r="226408" customFormat="1" x14ac:dyDescent="0.25"/>
    <row r="226409" customFormat="1" x14ac:dyDescent="0.25"/>
    <row r="226410" customFormat="1" x14ac:dyDescent="0.25"/>
    <row r="226411" customFormat="1" x14ac:dyDescent="0.25"/>
    <row r="226412" customFormat="1" x14ac:dyDescent="0.25"/>
    <row r="226413" customFormat="1" x14ac:dyDescent="0.25"/>
    <row r="226414" customFormat="1" x14ac:dyDescent="0.25"/>
    <row r="226415" customFormat="1" x14ac:dyDescent="0.25"/>
    <row r="226416" customFormat="1" x14ac:dyDescent="0.25"/>
    <row r="226417" customFormat="1" x14ac:dyDescent="0.25"/>
    <row r="226418" customFormat="1" x14ac:dyDescent="0.25"/>
    <row r="226419" customFormat="1" x14ac:dyDescent="0.25"/>
    <row r="226420" customFormat="1" x14ac:dyDescent="0.25"/>
    <row r="226421" customFormat="1" x14ac:dyDescent="0.25"/>
    <row r="226422" customFormat="1" x14ac:dyDescent="0.25"/>
    <row r="226423" customFormat="1" x14ac:dyDescent="0.25"/>
    <row r="226424" customFormat="1" x14ac:dyDescent="0.25"/>
    <row r="226425" customFormat="1" x14ac:dyDescent="0.25"/>
    <row r="226426" customFormat="1" x14ac:dyDescent="0.25"/>
    <row r="226427" customFormat="1" x14ac:dyDescent="0.25"/>
    <row r="226428" customFormat="1" x14ac:dyDescent="0.25"/>
    <row r="226429" customFormat="1" x14ac:dyDescent="0.25"/>
    <row r="226430" customFormat="1" x14ac:dyDescent="0.25"/>
    <row r="226431" customFormat="1" x14ac:dyDescent="0.25"/>
    <row r="226432" customFormat="1" x14ac:dyDescent="0.25"/>
    <row r="226433" customFormat="1" x14ac:dyDescent="0.25"/>
    <row r="226434" customFormat="1" x14ac:dyDescent="0.25"/>
    <row r="226435" customFormat="1" x14ac:dyDescent="0.25"/>
    <row r="226436" customFormat="1" x14ac:dyDescent="0.25"/>
    <row r="226437" customFormat="1" x14ac:dyDescent="0.25"/>
    <row r="226438" customFormat="1" x14ac:dyDescent="0.25"/>
    <row r="226439" customFormat="1" x14ac:dyDescent="0.25"/>
    <row r="226440" customFormat="1" x14ac:dyDescent="0.25"/>
    <row r="226441" customFormat="1" x14ac:dyDescent="0.25"/>
    <row r="226442" customFormat="1" x14ac:dyDescent="0.25"/>
    <row r="226443" customFormat="1" x14ac:dyDescent="0.25"/>
    <row r="226444" customFormat="1" x14ac:dyDescent="0.25"/>
    <row r="226445" customFormat="1" x14ac:dyDescent="0.25"/>
    <row r="226446" customFormat="1" x14ac:dyDescent="0.25"/>
    <row r="226447" customFormat="1" x14ac:dyDescent="0.25"/>
    <row r="226448" customFormat="1" x14ac:dyDescent="0.25"/>
    <row r="226449" customFormat="1" x14ac:dyDescent="0.25"/>
    <row r="226450" customFormat="1" x14ac:dyDescent="0.25"/>
    <row r="226451" customFormat="1" x14ac:dyDescent="0.25"/>
    <row r="226452" customFormat="1" x14ac:dyDescent="0.25"/>
    <row r="226453" customFormat="1" x14ac:dyDescent="0.25"/>
    <row r="226454" customFormat="1" x14ac:dyDescent="0.25"/>
    <row r="226455" customFormat="1" x14ac:dyDescent="0.25"/>
    <row r="226456" customFormat="1" x14ac:dyDescent="0.25"/>
    <row r="226457" customFormat="1" x14ac:dyDescent="0.25"/>
    <row r="226458" customFormat="1" x14ac:dyDescent="0.25"/>
    <row r="226459" customFormat="1" x14ac:dyDescent="0.25"/>
    <row r="226460" customFormat="1" x14ac:dyDescent="0.25"/>
    <row r="226461" customFormat="1" x14ac:dyDescent="0.25"/>
    <row r="226462" customFormat="1" x14ac:dyDescent="0.25"/>
    <row r="226463" customFormat="1" x14ac:dyDescent="0.25"/>
    <row r="226464" customFormat="1" x14ac:dyDescent="0.25"/>
    <row r="226465" customFormat="1" x14ac:dyDescent="0.25"/>
    <row r="226466" customFormat="1" x14ac:dyDescent="0.25"/>
    <row r="226467" customFormat="1" x14ac:dyDescent="0.25"/>
    <row r="226468" customFormat="1" x14ac:dyDescent="0.25"/>
    <row r="226469" customFormat="1" x14ac:dyDescent="0.25"/>
    <row r="226470" customFormat="1" x14ac:dyDescent="0.25"/>
    <row r="226471" customFormat="1" x14ac:dyDescent="0.25"/>
    <row r="226472" customFormat="1" x14ac:dyDescent="0.25"/>
    <row r="226473" customFormat="1" x14ac:dyDescent="0.25"/>
    <row r="226474" customFormat="1" x14ac:dyDescent="0.25"/>
    <row r="226475" customFormat="1" x14ac:dyDescent="0.25"/>
    <row r="226476" customFormat="1" x14ac:dyDescent="0.25"/>
    <row r="226477" customFormat="1" x14ac:dyDescent="0.25"/>
    <row r="226478" customFormat="1" x14ac:dyDescent="0.25"/>
    <row r="226479" customFormat="1" x14ac:dyDescent="0.25"/>
    <row r="226480" customFormat="1" x14ac:dyDescent="0.25"/>
    <row r="226481" customFormat="1" x14ac:dyDescent="0.25"/>
    <row r="226482" customFormat="1" x14ac:dyDescent="0.25"/>
    <row r="226483" customFormat="1" x14ac:dyDescent="0.25"/>
    <row r="226484" customFormat="1" x14ac:dyDescent="0.25"/>
    <row r="226485" customFormat="1" x14ac:dyDescent="0.25"/>
    <row r="226486" customFormat="1" x14ac:dyDescent="0.25"/>
    <row r="226487" customFormat="1" x14ac:dyDescent="0.25"/>
    <row r="226488" customFormat="1" x14ac:dyDescent="0.25"/>
    <row r="226489" customFormat="1" x14ac:dyDescent="0.25"/>
    <row r="226490" customFormat="1" x14ac:dyDescent="0.25"/>
    <row r="226491" customFormat="1" x14ac:dyDescent="0.25"/>
    <row r="226492" customFormat="1" x14ac:dyDescent="0.25"/>
    <row r="226493" customFormat="1" x14ac:dyDescent="0.25"/>
    <row r="226494" customFormat="1" x14ac:dyDescent="0.25"/>
    <row r="226495" customFormat="1" x14ac:dyDescent="0.25"/>
    <row r="226496" customFormat="1" x14ac:dyDescent="0.25"/>
    <row r="226497" customFormat="1" x14ac:dyDescent="0.25"/>
    <row r="226498" customFormat="1" x14ac:dyDescent="0.25"/>
    <row r="226499" customFormat="1" x14ac:dyDescent="0.25"/>
    <row r="226500" customFormat="1" x14ac:dyDescent="0.25"/>
    <row r="226501" customFormat="1" x14ac:dyDescent="0.25"/>
    <row r="226502" customFormat="1" x14ac:dyDescent="0.25"/>
    <row r="226503" customFormat="1" x14ac:dyDescent="0.25"/>
    <row r="226504" customFormat="1" x14ac:dyDescent="0.25"/>
    <row r="226505" customFormat="1" x14ac:dyDescent="0.25"/>
    <row r="226506" customFormat="1" x14ac:dyDescent="0.25"/>
    <row r="226507" customFormat="1" x14ac:dyDescent="0.25"/>
    <row r="226508" customFormat="1" x14ac:dyDescent="0.25"/>
    <row r="226509" customFormat="1" x14ac:dyDescent="0.25"/>
    <row r="226510" customFormat="1" x14ac:dyDescent="0.25"/>
    <row r="226511" customFormat="1" x14ac:dyDescent="0.25"/>
    <row r="226512" customFormat="1" x14ac:dyDescent="0.25"/>
    <row r="226513" customFormat="1" x14ac:dyDescent="0.25"/>
    <row r="226514" customFormat="1" x14ac:dyDescent="0.25"/>
    <row r="226515" customFormat="1" x14ac:dyDescent="0.25"/>
    <row r="226516" customFormat="1" x14ac:dyDescent="0.25"/>
    <row r="226517" customFormat="1" x14ac:dyDescent="0.25"/>
    <row r="226518" customFormat="1" x14ac:dyDescent="0.25"/>
    <row r="226519" customFormat="1" x14ac:dyDescent="0.25"/>
    <row r="226520" customFormat="1" x14ac:dyDescent="0.25"/>
    <row r="226521" customFormat="1" x14ac:dyDescent="0.25"/>
    <row r="226522" customFormat="1" x14ac:dyDescent="0.25"/>
    <row r="226523" customFormat="1" x14ac:dyDescent="0.25"/>
    <row r="226524" customFormat="1" x14ac:dyDescent="0.25"/>
    <row r="226525" customFormat="1" x14ac:dyDescent="0.25"/>
    <row r="226526" customFormat="1" x14ac:dyDescent="0.25"/>
    <row r="226527" customFormat="1" x14ac:dyDescent="0.25"/>
    <row r="226528" customFormat="1" x14ac:dyDescent="0.25"/>
    <row r="226529" customFormat="1" x14ac:dyDescent="0.25"/>
    <row r="226530" customFormat="1" x14ac:dyDescent="0.25"/>
    <row r="226531" customFormat="1" x14ac:dyDescent="0.25"/>
    <row r="226532" customFormat="1" x14ac:dyDescent="0.25"/>
    <row r="226533" customFormat="1" x14ac:dyDescent="0.25"/>
    <row r="226534" customFormat="1" x14ac:dyDescent="0.25"/>
    <row r="226535" customFormat="1" x14ac:dyDescent="0.25"/>
    <row r="226536" customFormat="1" x14ac:dyDescent="0.25"/>
    <row r="226537" customFormat="1" x14ac:dyDescent="0.25"/>
    <row r="226538" customFormat="1" x14ac:dyDescent="0.25"/>
    <row r="226539" customFormat="1" x14ac:dyDescent="0.25"/>
    <row r="226540" customFormat="1" x14ac:dyDescent="0.25"/>
    <row r="226541" customFormat="1" x14ac:dyDescent="0.25"/>
    <row r="226542" customFormat="1" x14ac:dyDescent="0.25"/>
    <row r="226543" customFormat="1" x14ac:dyDescent="0.25"/>
    <row r="226544" customFormat="1" x14ac:dyDescent="0.25"/>
    <row r="226545" customFormat="1" x14ac:dyDescent="0.25"/>
    <row r="226546" customFormat="1" x14ac:dyDescent="0.25"/>
    <row r="226547" customFormat="1" x14ac:dyDescent="0.25"/>
    <row r="226548" customFormat="1" x14ac:dyDescent="0.25"/>
    <row r="226549" customFormat="1" x14ac:dyDescent="0.25"/>
    <row r="226550" customFormat="1" x14ac:dyDescent="0.25"/>
    <row r="226551" customFormat="1" x14ac:dyDescent="0.25"/>
    <row r="226552" customFormat="1" x14ac:dyDescent="0.25"/>
    <row r="226553" customFormat="1" x14ac:dyDescent="0.25"/>
    <row r="226554" customFormat="1" x14ac:dyDescent="0.25"/>
    <row r="226555" customFormat="1" x14ac:dyDescent="0.25"/>
    <row r="226556" customFormat="1" x14ac:dyDescent="0.25"/>
    <row r="226557" customFormat="1" x14ac:dyDescent="0.25"/>
    <row r="226558" customFormat="1" x14ac:dyDescent="0.25"/>
    <row r="226559" customFormat="1" x14ac:dyDescent="0.25"/>
    <row r="226560" customFormat="1" x14ac:dyDescent="0.25"/>
    <row r="226561" customFormat="1" x14ac:dyDescent="0.25"/>
    <row r="226562" customFormat="1" x14ac:dyDescent="0.25"/>
    <row r="226563" customFormat="1" x14ac:dyDescent="0.25"/>
    <row r="226564" customFormat="1" x14ac:dyDescent="0.25"/>
    <row r="226565" customFormat="1" x14ac:dyDescent="0.25"/>
    <row r="226566" customFormat="1" x14ac:dyDescent="0.25"/>
    <row r="226567" customFormat="1" x14ac:dyDescent="0.25"/>
    <row r="226568" customFormat="1" x14ac:dyDescent="0.25"/>
    <row r="226569" customFormat="1" x14ac:dyDescent="0.25"/>
    <row r="226570" customFormat="1" x14ac:dyDescent="0.25"/>
    <row r="226571" customFormat="1" x14ac:dyDescent="0.25"/>
    <row r="226572" customFormat="1" x14ac:dyDescent="0.25"/>
    <row r="226573" customFormat="1" x14ac:dyDescent="0.25"/>
    <row r="226574" customFormat="1" x14ac:dyDescent="0.25"/>
    <row r="226575" customFormat="1" x14ac:dyDescent="0.25"/>
    <row r="226576" customFormat="1" x14ac:dyDescent="0.25"/>
    <row r="226577" customFormat="1" x14ac:dyDescent="0.25"/>
    <row r="226578" customFormat="1" x14ac:dyDescent="0.25"/>
    <row r="226579" customFormat="1" x14ac:dyDescent="0.25"/>
    <row r="226580" customFormat="1" x14ac:dyDescent="0.25"/>
    <row r="226581" customFormat="1" x14ac:dyDescent="0.25"/>
    <row r="226582" customFormat="1" x14ac:dyDescent="0.25"/>
    <row r="226583" customFormat="1" x14ac:dyDescent="0.25"/>
    <row r="226584" customFormat="1" x14ac:dyDescent="0.25"/>
    <row r="226585" customFormat="1" x14ac:dyDescent="0.25"/>
    <row r="226586" customFormat="1" x14ac:dyDescent="0.25"/>
    <row r="226587" customFormat="1" x14ac:dyDescent="0.25"/>
    <row r="226588" customFormat="1" x14ac:dyDescent="0.25"/>
    <row r="226589" customFormat="1" x14ac:dyDescent="0.25"/>
    <row r="226590" customFormat="1" x14ac:dyDescent="0.25"/>
    <row r="226591" customFormat="1" x14ac:dyDescent="0.25"/>
    <row r="226592" customFormat="1" x14ac:dyDescent="0.25"/>
    <row r="226593" customFormat="1" x14ac:dyDescent="0.25"/>
    <row r="226594" customFormat="1" x14ac:dyDescent="0.25"/>
    <row r="226595" customFormat="1" x14ac:dyDescent="0.25"/>
    <row r="226596" customFormat="1" x14ac:dyDescent="0.25"/>
    <row r="226597" customFormat="1" x14ac:dyDescent="0.25"/>
    <row r="226598" customFormat="1" x14ac:dyDescent="0.25"/>
    <row r="226599" customFormat="1" x14ac:dyDescent="0.25"/>
    <row r="226600" customFormat="1" x14ac:dyDescent="0.25"/>
    <row r="226601" customFormat="1" x14ac:dyDescent="0.25"/>
    <row r="226602" customFormat="1" x14ac:dyDescent="0.25"/>
    <row r="226603" customFormat="1" x14ac:dyDescent="0.25"/>
    <row r="226604" customFormat="1" x14ac:dyDescent="0.25"/>
    <row r="226605" customFormat="1" x14ac:dyDescent="0.25"/>
    <row r="226606" customFormat="1" x14ac:dyDescent="0.25"/>
    <row r="226607" customFormat="1" x14ac:dyDescent="0.25"/>
    <row r="226608" customFormat="1" x14ac:dyDescent="0.25"/>
    <row r="226609" customFormat="1" x14ac:dyDescent="0.25"/>
    <row r="226610" customFormat="1" x14ac:dyDescent="0.25"/>
    <row r="226611" customFormat="1" x14ac:dyDescent="0.25"/>
    <row r="226612" customFormat="1" x14ac:dyDescent="0.25"/>
    <row r="226613" customFormat="1" x14ac:dyDescent="0.25"/>
    <row r="226614" customFormat="1" x14ac:dyDescent="0.25"/>
    <row r="226615" customFormat="1" x14ac:dyDescent="0.25"/>
    <row r="226616" customFormat="1" x14ac:dyDescent="0.25"/>
    <row r="226617" customFormat="1" x14ac:dyDescent="0.25"/>
    <row r="226618" customFormat="1" x14ac:dyDescent="0.25"/>
    <row r="226619" customFormat="1" x14ac:dyDescent="0.25"/>
    <row r="226620" customFormat="1" x14ac:dyDescent="0.25"/>
    <row r="226621" customFormat="1" x14ac:dyDescent="0.25"/>
    <row r="226622" customFormat="1" x14ac:dyDescent="0.25"/>
    <row r="226623" customFormat="1" x14ac:dyDescent="0.25"/>
    <row r="226624" customFormat="1" x14ac:dyDescent="0.25"/>
    <row r="226625" customFormat="1" x14ac:dyDescent="0.25"/>
    <row r="226626" customFormat="1" x14ac:dyDescent="0.25"/>
    <row r="226627" customFormat="1" x14ac:dyDescent="0.25"/>
    <row r="226628" customFormat="1" x14ac:dyDescent="0.25"/>
    <row r="226629" customFormat="1" x14ac:dyDescent="0.25"/>
    <row r="226630" customFormat="1" x14ac:dyDescent="0.25"/>
    <row r="226631" customFormat="1" x14ac:dyDescent="0.25"/>
    <row r="226632" customFormat="1" x14ac:dyDescent="0.25"/>
    <row r="226633" customFormat="1" x14ac:dyDescent="0.25"/>
    <row r="226634" customFormat="1" x14ac:dyDescent="0.25"/>
    <row r="226635" customFormat="1" x14ac:dyDescent="0.25"/>
    <row r="226636" customFormat="1" x14ac:dyDescent="0.25"/>
    <row r="226637" customFormat="1" x14ac:dyDescent="0.25"/>
    <row r="226638" customFormat="1" x14ac:dyDescent="0.25"/>
    <row r="226639" customFormat="1" x14ac:dyDescent="0.25"/>
    <row r="226640" customFormat="1" x14ac:dyDescent="0.25"/>
    <row r="226641" customFormat="1" x14ac:dyDescent="0.25"/>
    <row r="226642" customFormat="1" x14ac:dyDescent="0.25"/>
    <row r="226643" customFormat="1" x14ac:dyDescent="0.25"/>
    <row r="226644" customFormat="1" x14ac:dyDescent="0.25"/>
    <row r="226645" customFormat="1" x14ac:dyDescent="0.25"/>
    <row r="226646" customFormat="1" x14ac:dyDescent="0.25"/>
    <row r="226647" customFormat="1" x14ac:dyDescent="0.25"/>
    <row r="226648" customFormat="1" x14ac:dyDescent="0.25"/>
    <row r="226649" customFormat="1" x14ac:dyDescent="0.25"/>
    <row r="226650" customFormat="1" x14ac:dyDescent="0.25"/>
    <row r="226651" customFormat="1" x14ac:dyDescent="0.25"/>
    <row r="226652" customFormat="1" x14ac:dyDescent="0.25"/>
    <row r="226653" customFormat="1" x14ac:dyDescent="0.25"/>
    <row r="226654" customFormat="1" x14ac:dyDescent="0.25"/>
    <row r="226655" customFormat="1" x14ac:dyDescent="0.25"/>
    <row r="226656" customFormat="1" x14ac:dyDescent="0.25"/>
    <row r="226657" customFormat="1" x14ac:dyDescent="0.25"/>
    <row r="226658" customFormat="1" x14ac:dyDescent="0.25"/>
    <row r="226659" customFormat="1" x14ac:dyDescent="0.25"/>
    <row r="226660" customFormat="1" x14ac:dyDescent="0.25"/>
    <row r="226661" customFormat="1" x14ac:dyDescent="0.25"/>
    <row r="226662" customFormat="1" x14ac:dyDescent="0.25"/>
    <row r="226663" customFormat="1" x14ac:dyDescent="0.25"/>
    <row r="226664" customFormat="1" x14ac:dyDescent="0.25"/>
    <row r="226665" customFormat="1" x14ac:dyDescent="0.25"/>
    <row r="226666" customFormat="1" x14ac:dyDescent="0.25"/>
    <row r="226667" customFormat="1" x14ac:dyDescent="0.25"/>
    <row r="226668" customFormat="1" x14ac:dyDescent="0.25"/>
    <row r="226669" customFormat="1" x14ac:dyDescent="0.25"/>
    <row r="226670" customFormat="1" x14ac:dyDescent="0.25"/>
    <row r="226671" customFormat="1" x14ac:dyDescent="0.25"/>
    <row r="226672" customFormat="1" x14ac:dyDescent="0.25"/>
    <row r="226673" customFormat="1" x14ac:dyDescent="0.25"/>
    <row r="226674" customFormat="1" x14ac:dyDescent="0.25"/>
    <row r="226675" customFormat="1" x14ac:dyDescent="0.25"/>
    <row r="226676" customFormat="1" x14ac:dyDescent="0.25"/>
    <row r="226677" customFormat="1" x14ac:dyDescent="0.25"/>
    <row r="226678" customFormat="1" x14ac:dyDescent="0.25"/>
    <row r="226679" customFormat="1" x14ac:dyDescent="0.25"/>
    <row r="226680" customFormat="1" x14ac:dyDescent="0.25"/>
    <row r="226681" customFormat="1" x14ac:dyDescent="0.25"/>
    <row r="226682" customFormat="1" x14ac:dyDescent="0.25"/>
    <row r="226683" customFormat="1" x14ac:dyDescent="0.25"/>
    <row r="226684" customFormat="1" x14ac:dyDescent="0.25"/>
    <row r="226685" customFormat="1" x14ac:dyDescent="0.25"/>
    <row r="226686" customFormat="1" x14ac:dyDescent="0.25"/>
    <row r="226687" customFormat="1" x14ac:dyDescent="0.25"/>
    <row r="226688" customFormat="1" x14ac:dyDescent="0.25"/>
    <row r="226689" customFormat="1" x14ac:dyDescent="0.25"/>
    <row r="226690" customFormat="1" x14ac:dyDescent="0.25"/>
    <row r="226691" customFormat="1" x14ac:dyDescent="0.25"/>
    <row r="226692" customFormat="1" x14ac:dyDescent="0.25"/>
    <row r="226693" customFormat="1" x14ac:dyDescent="0.25"/>
    <row r="226694" customFormat="1" x14ac:dyDescent="0.25"/>
    <row r="226695" customFormat="1" x14ac:dyDescent="0.25"/>
    <row r="226696" customFormat="1" x14ac:dyDescent="0.25"/>
    <row r="226697" customFormat="1" x14ac:dyDescent="0.25"/>
    <row r="226698" customFormat="1" x14ac:dyDescent="0.25"/>
    <row r="226699" customFormat="1" x14ac:dyDescent="0.25"/>
    <row r="226700" customFormat="1" x14ac:dyDescent="0.25"/>
    <row r="226701" customFormat="1" x14ac:dyDescent="0.25"/>
    <row r="226702" customFormat="1" x14ac:dyDescent="0.25"/>
    <row r="226703" customFormat="1" x14ac:dyDescent="0.25"/>
    <row r="226704" customFormat="1" x14ac:dyDescent="0.25"/>
    <row r="226705" customFormat="1" x14ac:dyDescent="0.25"/>
    <row r="226706" customFormat="1" x14ac:dyDescent="0.25"/>
    <row r="226707" customFormat="1" x14ac:dyDescent="0.25"/>
    <row r="226708" customFormat="1" x14ac:dyDescent="0.25"/>
    <row r="226709" customFormat="1" x14ac:dyDescent="0.25"/>
    <row r="226710" customFormat="1" x14ac:dyDescent="0.25"/>
    <row r="226711" customFormat="1" x14ac:dyDescent="0.25"/>
    <row r="226712" customFormat="1" x14ac:dyDescent="0.25"/>
    <row r="226713" customFormat="1" x14ac:dyDescent="0.25"/>
    <row r="226714" customFormat="1" x14ac:dyDescent="0.25"/>
    <row r="226715" customFormat="1" x14ac:dyDescent="0.25"/>
    <row r="226716" customFormat="1" x14ac:dyDescent="0.25"/>
    <row r="226717" customFormat="1" x14ac:dyDescent="0.25"/>
    <row r="226718" customFormat="1" x14ac:dyDescent="0.25"/>
    <row r="226719" customFormat="1" x14ac:dyDescent="0.25"/>
    <row r="226720" customFormat="1" x14ac:dyDescent="0.25"/>
    <row r="226721" customFormat="1" x14ac:dyDescent="0.25"/>
    <row r="226722" customFormat="1" x14ac:dyDescent="0.25"/>
    <row r="226723" customFormat="1" x14ac:dyDescent="0.25"/>
    <row r="226724" customFormat="1" x14ac:dyDescent="0.25"/>
    <row r="226725" customFormat="1" x14ac:dyDescent="0.25"/>
    <row r="226726" customFormat="1" x14ac:dyDescent="0.25"/>
    <row r="226727" customFormat="1" x14ac:dyDescent="0.25"/>
    <row r="226728" customFormat="1" x14ac:dyDescent="0.25"/>
    <row r="226729" customFormat="1" x14ac:dyDescent="0.25"/>
    <row r="226730" customFormat="1" x14ac:dyDescent="0.25"/>
    <row r="226731" customFormat="1" x14ac:dyDescent="0.25"/>
    <row r="226732" customFormat="1" x14ac:dyDescent="0.25"/>
    <row r="226733" customFormat="1" x14ac:dyDescent="0.25"/>
    <row r="226734" customFormat="1" x14ac:dyDescent="0.25"/>
    <row r="226735" customFormat="1" x14ac:dyDescent="0.25"/>
    <row r="226736" customFormat="1" x14ac:dyDescent="0.25"/>
    <row r="226737" customFormat="1" x14ac:dyDescent="0.25"/>
    <row r="226738" customFormat="1" x14ac:dyDescent="0.25"/>
    <row r="226739" customFormat="1" x14ac:dyDescent="0.25"/>
    <row r="226740" customFormat="1" x14ac:dyDescent="0.25"/>
    <row r="226741" customFormat="1" x14ac:dyDescent="0.25"/>
    <row r="226742" customFormat="1" x14ac:dyDescent="0.25"/>
    <row r="226743" customFormat="1" x14ac:dyDescent="0.25"/>
    <row r="226744" customFormat="1" x14ac:dyDescent="0.25"/>
    <row r="226745" customFormat="1" x14ac:dyDescent="0.25"/>
    <row r="226746" customFormat="1" x14ac:dyDescent="0.25"/>
    <row r="226747" customFormat="1" x14ac:dyDescent="0.25"/>
    <row r="226748" customFormat="1" x14ac:dyDescent="0.25"/>
    <row r="226749" customFormat="1" x14ac:dyDescent="0.25"/>
    <row r="226750" customFormat="1" x14ac:dyDescent="0.25"/>
    <row r="226751" customFormat="1" x14ac:dyDescent="0.25"/>
    <row r="226752" customFormat="1" x14ac:dyDescent="0.25"/>
    <row r="226753" customFormat="1" x14ac:dyDescent="0.25"/>
    <row r="226754" customFormat="1" x14ac:dyDescent="0.25"/>
    <row r="226755" customFormat="1" x14ac:dyDescent="0.25"/>
    <row r="226756" customFormat="1" x14ac:dyDescent="0.25"/>
    <row r="226757" customFormat="1" x14ac:dyDescent="0.25"/>
    <row r="226758" customFormat="1" x14ac:dyDescent="0.25"/>
    <row r="226759" customFormat="1" x14ac:dyDescent="0.25"/>
    <row r="226760" customFormat="1" x14ac:dyDescent="0.25"/>
    <row r="226761" customFormat="1" x14ac:dyDescent="0.25"/>
    <row r="226762" customFormat="1" x14ac:dyDescent="0.25"/>
    <row r="226763" customFormat="1" x14ac:dyDescent="0.25"/>
    <row r="226764" customFormat="1" x14ac:dyDescent="0.25"/>
    <row r="226765" customFormat="1" x14ac:dyDescent="0.25"/>
    <row r="226766" customFormat="1" x14ac:dyDescent="0.25"/>
    <row r="226767" customFormat="1" x14ac:dyDescent="0.25"/>
    <row r="226768" customFormat="1" x14ac:dyDescent="0.25"/>
    <row r="226769" customFormat="1" x14ac:dyDescent="0.25"/>
    <row r="226770" customFormat="1" x14ac:dyDescent="0.25"/>
    <row r="226771" customFormat="1" x14ac:dyDescent="0.25"/>
    <row r="226772" customFormat="1" x14ac:dyDescent="0.25"/>
    <row r="226773" customFormat="1" x14ac:dyDescent="0.25"/>
    <row r="226774" customFormat="1" x14ac:dyDescent="0.25"/>
    <row r="226775" customFormat="1" x14ac:dyDescent="0.25"/>
    <row r="226776" customFormat="1" x14ac:dyDescent="0.25"/>
    <row r="226777" customFormat="1" x14ac:dyDescent="0.25"/>
    <row r="226778" customFormat="1" x14ac:dyDescent="0.25"/>
    <row r="226779" customFormat="1" x14ac:dyDescent="0.25"/>
    <row r="226780" customFormat="1" x14ac:dyDescent="0.25"/>
    <row r="226781" customFormat="1" x14ac:dyDescent="0.25"/>
    <row r="226782" customFormat="1" x14ac:dyDescent="0.25"/>
    <row r="226783" customFormat="1" x14ac:dyDescent="0.25"/>
    <row r="226784" customFormat="1" x14ac:dyDescent="0.25"/>
    <row r="226785" customFormat="1" x14ac:dyDescent="0.25"/>
    <row r="226786" customFormat="1" x14ac:dyDescent="0.25"/>
    <row r="226787" customFormat="1" x14ac:dyDescent="0.25"/>
    <row r="226788" customFormat="1" x14ac:dyDescent="0.25"/>
    <row r="226789" customFormat="1" x14ac:dyDescent="0.25"/>
    <row r="226790" customFormat="1" x14ac:dyDescent="0.25"/>
    <row r="226791" customFormat="1" x14ac:dyDescent="0.25"/>
    <row r="226792" customFormat="1" x14ac:dyDescent="0.25"/>
    <row r="226793" customFormat="1" x14ac:dyDescent="0.25"/>
    <row r="226794" customFormat="1" x14ac:dyDescent="0.25"/>
    <row r="226795" customFormat="1" x14ac:dyDescent="0.25"/>
    <row r="226796" customFormat="1" x14ac:dyDescent="0.25"/>
    <row r="226797" customFormat="1" x14ac:dyDescent="0.25"/>
    <row r="226798" customFormat="1" x14ac:dyDescent="0.25"/>
    <row r="226799" customFormat="1" x14ac:dyDescent="0.25"/>
    <row r="226800" customFormat="1" x14ac:dyDescent="0.25"/>
    <row r="226801" customFormat="1" x14ac:dyDescent="0.25"/>
    <row r="226802" customFormat="1" x14ac:dyDescent="0.25"/>
    <row r="226803" customFormat="1" x14ac:dyDescent="0.25"/>
    <row r="226804" customFormat="1" x14ac:dyDescent="0.25"/>
    <row r="226805" customFormat="1" x14ac:dyDescent="0.25"/>
    <row r="226806" customFormat="1" x14ac:dyDescent="0.25"/>
    <row r="226807" customFormat="1" x14ac:dyDescent="0.25"/>
    <row r="226808" customFormat="1" x14ac:dyDescent="0.25"/>
    <row r="226809" customFormat="1" x14ac:dyDescent="0.25"/>
    <row r="226810" customFormat="1" x14ac:dyDescent="0.25"/>
    <row r="226811" customFormat="1" x14ac:dyDescent="0.25"/>
    <row r="226812" customFormat="1" x14ac:dyDescent="0.25"/>
    <row r="226813" customFormat="1" x14ac:dyDescent="0.25"/>
    <row r="226814" customFormat="1" x14ac:dyDescent="0.25"/>
    <row r="226815" customFormat="1" x14ac:dyDescent="0.25"/>
    <row r="226816" customFormat="1" x14ac:dyDescent="0.25"/>
    <row r="226817" customFormat="1" x14ac:dyDescent="0.25"/>
    <row r="226818" customFormat="1" x14ac:dyDescent="0.25"/>
    <row r="226819" customFormat="1" x14ac:dyDescent="0.25"/>
    <row r="226820" customFormat="1" x14ac:dyDescent="0.25"/>
    <row r="226821" customFormat="1" x14ac:dyDescent="0.25"/>
    <row r="226822" customFormat="1" x14ac:dyDescent="0.25"/>
    <row r="226823" customFormat="1" x14ac:dyDescent="0.25"/>
    <row r="226824" customFormat="1" x14ac:dyDescent="0.25"/>
    <row r="226825" customFormat="1" x14ac:dyDescent="0.25"/>
    <row r="226826" customFormat="1" x14ac:dyDescent="0.25"/>
    <row r="226827" customFormat="1" x14ac:dyDescent="0.25"/>
    <row r="226828" customFormat="1" x14ac:dyDescent="0.25"/>
    <row r="226829" customFormat="1" x14ac:dyDescent="0.25"/>
    <row r="226830" customFormat="1" x14ac:dyDescent="0.25"/>
    <row r="226831" customFormat="1" x14ac:dyDescent="0.25"/>
    <row r="226832" customFormat="1" x14ac:dyDescent="0.25"/>
    <row r="226833" customFormat="1" x14ac:dyDescent="0.25"/>
    <row r="226834" customFormat="1" x14ac:dyDescent="0.25"/>
    <row r="226835" customFormat="1" x14ac:dyDescent="0.25"/>
    <row r="226836" customFormat="1" x14ac:dyDescent="0.25"/>
    <row r="226837" customFormat="1" x14ac:dyDescent="0.25"/>
    <row r="226838" customFormat="1" x14ac:dyDescent="0.25"/>
    <row r="226839" customFormat="1" x14ac:dyDescent="0.25"/>
    <row r="226840" customFormat="1" x14ac:dyDescent="0.25"/>
    <row r="226841" customFormat="1" x14ac:dyDescent="0.25"/>
    <row r="226842" customFormat="1" x14ac:dyDescent="0.25"/>
    <row r="226843" customFormat="1" x14ac:dyDescent="0.25"/>
    <row r="226844" customFormat="1" x14ac:dyDescent="0.25"/>
    <row r="226845" customFormat="1" x14ac:dyDescent="0.25"/>
    <row r="226846" customFormat="1" x14ac:dyDescent="0.25"/>
    <row r="226847" customFormat="1" x14ac:dyDescent="0.25"/>
    <row r="226848" customFormat="1" x14ac:dyDescent="0.25"/>
    <row r="226849" customFormat="1" x14ac:dyDescent="0.25"/>
    <row r="226850" customFormat="1" x14ac:dyDescent="0.25"/>
    <row r="226851" customFormat="1" x14ac:dyDescent="0.25"/>
    <row r="226852" customFormat="1" x14ac:dyDescent="0.25"/>
    <row r="226853" customFormat="1" x14ac:dyDescent="0.25"/>
    <row r="226854" customFormat="1" x14ac:dyDescent="0.25"/>
    <row r="226855" customFormat="1" x14ac:dyDescent="0.25"/>
    <row r="226856" customFormat="1" x14ac:dyDescent="0.25"/>
    <row r="226857" customFormat="1" x14ac:dyDescent="0.25"/>
    <row r="226858" customFormat="1" x14ac:dyDescent="0.25"/>
    <row r="226859" customFormat="1" x14ac:dyDescent="0.25"/>
    <row r="226860" customFormat="1" x14ac:dyDescent="0.25"/>
    <row r="226861" customFormat="1" x14ac:dyDescent="0.25"/>
    <row r="226862" customFormat="1" x14ac:dyDescent="0.25"/>
    <row r="226863" customFormat="1" x14ac:dyDescent="0.25"/>
    <row r="226864" customFormat="1" x14ac:dyDescent="0.25"/>
    <row r="226865" customFormat="1" x14ac:dyDescent="0.25"/>
    <row r="226866" customFormat="1" x14ac:dyDescent="0.25"/>
    <row r="226867" customFormat="1" x14ac:dyDescent="0.25"/>
    <row r="226868" customFormat="1" x14ac:dyDescent="0.25"/>
    <row r="226869" customFormat="1" x14ac:dyDescent="0.25"/>
    <row r="226870" customFormat="1" x14ac:dyDescent="0.25"/>
    <row r="226871" customFormat="1" x14ac:dyDescent="0.25"/>
    <row r="226872" customFormat="1" x14ac:dyDescent="0.25"/>
    <row r="226873" customFormat="1" x14ac:dyDescent="0.25"/>
    <row r="226874" customFormat="1" x14ac:dyDescent="0.25"/>
    <row r="226875" customFormat="1" x14ac:dyDescent="0.25"/>
    <row r="226876" customFormat="1" x14ac:dyDescent="0.25"/>
    <row r="226877" customFormat="1" x14ac:dyDescent="0.25"/>
    <row r="226878" customFormat="1" x14ac:dyDescent="0.25"/>
    <row r="226879" customFormat="1" x14ac:dyDescent="0.25"/>
    <row r="226880" customFormat="1" x14ac:dyDescent="0.25"/>
    <row r="226881" customFormat="1" x14ac:dyDescent="0.25"/>
    <row r="226882" customFormat="1" x14ac:dyDescent="0.25"/>
    <row r="226883" customFormat="1" x14ac:dyDescent="0.25"/>
    <row r="226884" customFormat="1" x14ac:dyDescent="0.25"/>
    <row r="226885" customFormat="1" x14ac:dyDescent="0.25"/>
    <row r="226886" customFormat="1" x14ac:dyDescent="0.25"/>
    <row r="226887" customFormat="1" x14ac:dyDescent="0.25"/>
    <row r="226888" customFormat="1" x14ac:dyDescent="0.25"/>
    <row r="226889" customFormat="1" x14ac:dyDescent="0.25"/>
    <row r="226890" customFormat="1" x14ac:dyDescent="0.25"/>
    <row r="226891" customFormat="1" x14ac:dyDescent="0.25"/>
    <row r="226892" customFormat="1" x14ac:dyDescent="0.25"/>
    <row r="226893" customFormat="1" x14ac:dyDescent="0.25"/>
    <row r="226894" customFormat="1" x14ac:dyDescent="0.25"/>
    <row r="226895" customFormat="1" x14ac:dyDescent="0.25"/>
    <row r="226896" customFormat="1" x14ac:dyDescent="0.25"/>
    <row r="226897" customFormat="1" x14ac:dyDescent="0.25"/>
    <row r="226898" customFormat="1" x14ac:dyDescent="0.25"/>
    <row r="226899" customFormat="1" x14ac:dyDescent="0.25"/>
    <row r="226900" customFormat="1" x14ac:dyDescent="0.25"/>
    <row r="226901" customFormat="1" x14ac:dyDescent="0.25"/>
    <row r="226902" customFormat="1" x14ac:dyDescent="0.25"/>
    <row r="226903" customFormat="1" x14ac:dyDescent="0.25"/>
    <row r="226904" customFormat="1" x14ac:dyDescent="0.25"/>
    <row r="226905" customFormat="1" x14ac:dyDescent="0.25"/>
    <row r="226906" customFormat="1" x14ac:dyDescent="0.25"/>
    <row r="226907" customFormat="1" x14ac:dyDescent="0.25"/>
    <row r="226908" customFormat="1" x14ac:dyDescent="0.25"/>
    <row r="226909" customFormat="1" x14ac:dyDescent="0.25"/>
    <row r="226910" customFormat="1" x14ac:dyDescent="0.25"/>
    <row r="226911" customFormat="1" x14ac:dyDescent="0.25"/>
    <row r="226912" customFormat="1" x14ac:dyDescent="0.25"/>
    <row r="226913" customFormat="1" x14ac:dyDescent="0.25"/>
    <row r="226914" customFormat="1" x14ac:dyDescent="0.25"/>
    <row r="226915" customFormat="1" x14ac:dyDescent="0.25"/>
    <row r="226916" customFormat="1" x14ac:dyDescent="0.25"/>
    <row r="226917" customFormat="1" x14ac:dyDescent="0.25"/>
    <row r="226918" customFormat="1" x14ac:dyDescent="0.25"/>
    <row r="226919" customFormat="1" x14ac:dyDescent="0.25"/>
    <row r="226920" customFormat="1" x14ac:dyDescent="0.25"/>
    <row r="226921" customFormat="1" x14ac:dyDescent="0.25"/>
    <row r="226922" customFormat="1" x14ac:dyDescent="0.25"/>
    <row r="226923" customFormat="1" x14ac:dyDescent="0.25"/>
    <row r="226924" customFormat="1" x14ac:dyDescent="0.25"/>
    <row r="226925" customFormat="1" x14ac:dyDescent="0.25"/>
    <row r="226926" customFormat="1" x14ac:dyDescent="0.25"/>
    <row r="226927" customFormat="1" x14ac:dyDescent="0.25"/>
    <row r="226928" customFormat="1" x14ac:dyDescent="0.25"/>
    <row r="226929" customFormat="1" x14ac:dyDescent="0.25"/>
    <row r="226930" customFormat="1" x14ac:dyDescent="0.25"/>
    <row r="226931" customFormat="1" x14ac:dyDescent="0.25"/>
    <row r="226932" customFormat="1" x14ac:dyDescent="0.25"/>
    <row r="226933" customFormat="1" x14ac:dyDescent="0.25"/>
    <row r="226934" customFormat="1" x14ac:dyDescent="0.25"/>
    <row r="226935" customFormat="1" x14ac:dyDescent="0.25"/>
    <row r="226936" customFormat="1" x14ac:dyDescent="0.25"/>
    <row r="226937" customFormat="1" x14ac:dyDescent="0.25"/>
    <row r="226938" customFormat="1" x14ac:dyDescent="0.25"/>
    <row r="226939" customFormat="1" x14ac:dyDescent="0.25"/>
    <row r="226940" customFormat="1" x14ac:dyDescent="0.25"/>
    <row r="226941" customFormat="1" x14ac:dyDescent="0.25"/>
    <row r="226942" customFormat="1" x14ac:dyDescent="0.25"/>
    <row r="226943" customFormat="1" x14ac:dyDescent="0.25"/>
    <row r="226944" customFormat="1" x14ac:dyDescent="0.25"/>
    <row r="226945" customFormat="1" x14ac:dyDescent="0.25"/>
    <row r="226946" customFormat="1" x14ac:dyDescent="0.25"/>
    <row r="226947" customFormat="1" x14ac:dyDescent="0.25"/>
    <row r="226948" customFormat="1" x14ac:dyDescent="0.25"/>
    <row r="226949" customFormat="1" x14ac:dyDescent="0.25"/>
    <row r="226950" customFormat="1" x14ac:dyDescent="0.25"/>
    <row r="226951" customFormat="1" x14ac:dyDescent="0.25"/>
    <row r="226952" customFormat="1" x14ac:dyDescent="0.25"/>
    <row r="226953" customFormat="1" x14ac:dyDescent="0.25"/>
    <row r="226954" customFormat="1" x14ac:dyDescent="0.25"/>
    <row r="226955" customFormat="1" x14ac:dyDescent="0.25"/>
    <row r="226956" customFormat="1" x14ac:dyDescent="0.25"/>
    <row r="226957" customFormat="1" x14ac:dyDescent="0.25"/>
    <row r="226958" customFormat="1" x14ac:dyDescent="0.25"/>
    <row r="226959" customFormat="1" x14ac:dyDescent="0.25"/>
    <row r="226960" customFormat="1" x14ac:dyDescent="0.25"/>
    <row r="226961" customFormat="1" x14ac:dyDescent="0.25"/>
    <row r="226962" customFormat="1" x14ac:dyDescent="0.25"/>
    <row r="226963" customFormat="1" x14ac:dyDescent="0.25"/>
    <row r="226964" customFormat="1" x14ac:dyDescent="0.25"/>
    <row r="226965" customFormat="1" x14ac:dyDescent="0.25"/>
    <row r="226966" customFormat="1" x14ac:dyDescent="0.25"/>
    <row r="226967" customFormat="1" x14ac:dyDescent="0.25"/>
    <row r="226968" customFormat="1" x14ac:dyDescent="0.25"/>
    <row r="226969" customFormat="1" x14ac:dyDescent="0.25"/>
    <row r="226970" customFormat="1" x14ac:dyDescent="0.25"/>
    <row r="226971" customFormat="1" x14ac:dyDescent="0.25"/>
    <row r="226972" customFormat="1" x14ac:dyDescent="0.25"/>
    <row r="226973" customFormat="1" x14ac:dyDescent="0.25"/>
    <row r="226974" customFormat="1" x14ac:dyDescent="0.25"/>
    <row r="226975" customFormat="1" x14ac:dyDescent="0.25"/>
    <row r="226976" customFormat="1" x14ac:dyDescent="0.25"/>
    <row r="226977" customFormat="1" x14ac:dyDescent="0.25"/>
    <row r="226978" customFormat="1" x14ac:dyDescent="0.25"/>
    <row r="226979" customFormat="1" x14ac:dyDescent="0.25"/>
    <row r="226980" customFormat="1" x14ac:dyDescent="0.25"/>
    <row r="226981" customFormat="1" x14ac:dyDescent="0.25"/>
    <row r="226982" customFormat="1" x14ac:dyDescent="0.25"/>
    <row r="226983" customFormat="1" x14ac:dyDescent="0.25"/>
    <row r="226984" customFormat="1" x14ac:dyDescent="0.25"/>
    <row r="226985" customFormat="1" x14ac:dyDescent="0.25"/>
    <row r="226986" customFormat="1" x14ac:dyDescent="0.25"/>
    <row r="226987" customFormat="1" x14ac:dyDescent="0.25"/>
    <row r="226988" customFormat="1" x14ac:dyDescent="0.25"/>
    <row r="226989" customFormat="1" x14ac:dyDescent="0.25"/>
    <row r="226990" customFormat="1" x14ac:dyDescent="0.25"/>
    <row r="226991" customFormat="1" x14ac:dyDescent="0.25"/>
    <row r="226992" customFormat="1" x14ac:dyDescent="0.25"/>
    <row r="226993" customFormat="1" x14ac:dyDescent="0.25"/>
    <row r="226994" customFormat="1" x14ac:dyDescent="0.25"/>
    <row r="226995" customFormat="1" x14ac:dyDescent="0.25"/>
    <row r="226996" customFormat="1" x14ac:dyDescent="0.25"/>
    <row r="226997" customFormat="1" x14ac:dyDescent="0.25"/>
    <row r="226998" customFormat="1" x14ac:dyDescent="0.25"/>
    <row r="226999" customFormat="1" x14ac:dyDescent="0.25"/>
    <row r="227000" customFormat="1" x14ac:dyDescent="0.25"/>
    <row r="227001" customFormat="1" x14ac:dyDescent="0.25"/>
    <row r="227002" customFormat="1" x14ac:dyDescent="0.25"/>
    <row r="227003" customFormat="1" x14ac:dyDescent="0.25"/>
    <row r="227004" customFormat="1" x14ac:dyDescent="0.25"/>
    <row r="227005" customFormat="1" x14ac:dyDescent="0.25"/>
    <row r="227006" customFormat="1" x14ac:dyDescent="0.25"/>
    <row r="227007" customFormat="1" x14ac:dyDescent="0.25"/>
    <row r="227008" customFormat="1" x14ac:dyDescent="0.25"/>
    <row r="227009" customFormat="1" x14ac:dyDescent="0.25"/>
    <row r="227010" customFormat="1" x14ac:dyDescent="0.25"/>
    <row r="227011" customFormat="1" x14ac:dyDescent="0.25"/>
    <row r="227012" customFormat="1" x14ac:dyDescent="0.25"/>
    <row r="227013" customFormat="1" x14ac:dyDescent="0.25"/>
    <row r="227014" customFormat="1" x14ac:dyDescent="0.25"/>
    <row r="227015" customFormat="1" x14ac:dyDescent="0.25"/>
    <row r="227016" customFormat="1" x14ac:dyDescent="0.25"/>
    <row r="227017" customFormat="1" x14ac:dyDescent="0.25"/>
    <row r="227018" customFormat="1" x14ac:dyDescent="0.25"/>
    <row r="227019" customFormat="1" x14ac:dyDescent="0.25"/>
    <row r="227020" customFormat="1" x14ac:dyDescent="0.25"/>
    <row r="227021" customFormat="1" x14ac:dyDescent="0.25"/>
    <row r="227022" customFormat="1" x14ac:dyDescent="0.25"/>
    <row r="227023" customFormat="1" x14ac:dyDescent="0.25"/>
    <row r="227024" customFormat="1" x14ac:dyDescent="0.25"/>
    <row r="227025" customFormat="1" x14ac:dyDescent="0.25"/>
    <row r="227026" customFormat="1" x14ac:dyDescent="0.25"/>
    <row r="227027" customFormat="1" x14ac:dyDescent="0.25"/>
    <row r="227028" customFormat="1" x14ac:dyDescent="0.25"/>
    <row r="227029" customFormat="1" x14ac:dyDescent="0.25"/>
    <row r="227030" customFormat="1" x14ac:dyDescent="0.25"/>
    <row r="227031" customFormat="1" x14ac:dyDescent="0.25"/>
    <row r="227032" customFormat="1" x14ac:dyDescent="0.25"/>
    <row r="227033" customFormat="1" x14ac:dyDescent="0.25"/>
    <row r="227034" customFormat="1" x14ac:dyDescent="0.25"/>
    <row r="227035" customFormat="1" x14ac:dyDescent="0.25"/>
    <row r="227036" customFormat="1" x14ac:dyDescent="0.25"/>
    <row r="227037" customFormat="1" x14ac:dyDescent="0.25"/>
    <row r="227038" customFormat="1" x14ac:dyDescent="0.25"/>
    <row r="227039" customFormat="1" x14ac:dyDescent="0.25"/>
    <row r="227040" customFormat="1" x14ac:dyDescent="0.25"/>
    <row r="227041" customFormat="1" x14ac:dyDescent="0.25"/>
    <row r="227042" customFormat="1" x14ac:dyDescent="0.25"/>
    <row r="227043" customFormat="1" x14ac:dyDescent="0.25"/>
    <row r="227044" customFormat="1" x14ac:dyDescent="0.25"/>
    <row r="227045" customFormat="1" x14ac:dyDescent="0.25"/>
    <row r="227046" customFormat="1" x14ac:dyDescent="0.25"/>
    <row r="227047" customFormat="1" x14ac:dyDescent="0.25"/>
    <row r="227048" customFormat="1" x14ac:dyDescent="0.25"/>
    <row r="227049" customFormat="1" x14ac:dyDescent="0.25"/>
    <row r="227050" customFormat="1" x14ac:dyDescent="0.25"/>
    <row r="227051" customFormat="1" x14ac:dyDescent="0.25"/>
    <row r="227052" customFormat="1" x14ac:dyDescent="0.25"/>
    <row r="227053" customFormat="1" x14ac:dyDescent="0.25"/>
    <row r="227054" customFormat="1" x14ac:dyDescent="0.25"/>
    <row r="227055" customFormat="1" x14ac:dyDescent="0.25"/>
    <row r="227056" customFormat="1" x14ac:dyDescent="0.25"/>
    <row r="227057" customFormat="1" x14ac:dyDescent="0.25"/>
    <row r="227058" customFormat="1" x14ac:dyDescent="0.25"/>
    <row r="227059" customFormat="1" x14ac:dyDescent="0.25"/>
    <row r="227060" customFormat="1" x14ac:dyDescent="0.25"/>
    <row r="227061" customFormat="1" x14ac:dyDescent="0.25"/>
    <row r="227062" customFormat="1" x14ac:dyDescent="0.25"/>
    <row r="227063" customFormat="1" x14ac:dyDescent="0.25"/>
    <row r="227064" customFormat="1" x14ac:dyDescent="0.25"/>
    <row r="227065" customFormat="1" x14ac:dyDescent="0.25"/>
    <row r="227066" customFormat="1" x14ac:dyDescent="0.25"/>
    <row r="227067" customFormat="1" x14ac:dyDescent="0.25"/>
    <row r="227068" customFormat="1" x14ac:dyDescent="0.25"/>
    <row r="227069" customFormat="1" x14ac:dyDescent="0.25"/>
    <row r="227070" customFormat="1" x14ac:dyDescent="0.25"/>
    <row r="227071" customFormat="1" x14ac:dyDescent="0.25"/>
    <row r="227072" customFormat="1" x14ac:dyDescent="0.25"/>
    <row r="227073" customFormat="1" x14ac:dyDescent="0.25"/>
    <row r="227074" customFormat="1" x14ac:dyDescent="0.25"/>
    <row r="227075" customFormat="1" x14ac:dyDescent="0.25"/>
    <row r="227076" customFormat="1" x14ac:dyDescent="0.25"/>
    <row r="227077" customFormat="1" x14ac:dyDescent="0.25"/>
    <row r="227078" customFormat="1" x14ac:dyDescent="0.25"/>
    <row r="227079" customFormat="1" x14ac:dyDescent="0.25"/>
    <row r="227080" customFormat="1" x14ac:dyDescent="0.25"/>
    <row r="227081" customFormat="1" x14ac:dyDescent="0.25"/>
    <row r="227082" customFormat="1" x14ac:dyDescent="0.25"/>
    <row r="227083" customFormat="1" x14ac:dyDescent="0.25"/>
    <row r="227084" customFormat="1" x14ac:dyDescent="0.25"/>
    <row r="227085" customFormat="1" x14ac:dyDescent="0.25"/>
    <row r="227086" customFormat="1" x14ac:dyDescent="0.25"/>
    <row r="227087" customFormat="1" x14ac:dyDescent="0.25"/>
    <row r="227088" customFormat="1" x14ac:dyDescent="0.25"/>
    <row r="227089" customFormat="1" x14ac:dyDescent="0.25"/>
    <row r="227090" customFormat="1" x14ac:dyDescent="0.25"/>
    <row r="227091" customFormat="1" x14ac:dyDescent="0.25"/>
    <row r="227092" customFormat="1" x14ac:dyDescent="0.25"/>
    <row r="227093" customFormat="1" x14ac:dyDescent="0.25"/>
    <row r="227094" customFormat="1" x14ac:dyDescent="0.25"/>
    <row r="227095" customFormat="1" x14ac:dyDescent="0.25"/>
    <row r="227096" customFormat="1" x14ac:dyDescent="0.25"/>
    <row r="227097" customFormat="1" x14ac:dyDescent="0.25"/>
    <row r="227098" customFormat="1" x14ac:dyDescent="0.25"/>
    <row r="227099" customFormat="1" x14ac:dyDescent="0.25"/>
    <row r="227100" customFormat="1" x14ac:dyDescent="0.25"/>
    <row r="227101" customFormat="1" x14ac:dyDescent="0.25"/>
    <row r="227102" customFormat="1" x14ac:dyDescent="0.25"/>
    <row r="227103" customFormat="1" x14ac:dyDescent="0.25"/>
    <row r="227104" customFormat="1" x14ac:dyDescent="0.25"/>
    <row r="227105" customFormat="1" x14ac:dyDescent="0.25"/>
    <row r="227106" customFormat="1" x14ac:dyDescent="0.25"/>
    <row r="227107" customFormat="1" x14ac:dyDescent="0.25"/>
    <row r="227108" customFormat="1" x14ac:dyDescent="0.25"/>
    <row r="227109" customFormat="1" x14ac:dyDescent="0.25"/>
    <row r="227110" customFormat="1" x14ac:dyDescent="0.25"/>
    <row r="227111" customFormat="1" x14ac:dyDescent="0.25"/>
    <row r="227112" customFormat="1" x14ac:dyDescent="0.25"/>
    <row r="227113" customFormat="1" x14ac:dyDescent="0.25"/>
    <row r="227114" customFormat="1" x14ac:dyDescent="0.25"/>
    <row r="227115" customFormat="1" x14ac:dyDescent="0.25"/>
    <row r="227116" customFormat="1" x14ac:dyDescent="0.25"/>
    <row r="227117" customFormat="1" x14ac:dyDescent="0.25"/>
    <row r="227118" customFormat="1" x14ac:dyDescent="0.25"/>
    <row r="227119" customFormat="1" x14ac:dyDescent="0.25"/>
    <row r="227120" customFormat="1" x14ac:dyDescent="0.25"/>
    <row r="227121" customFormat="1" x14ac:dyDescent="0.25"/>
    <row r="227122" customFormat="1" x14ac:dyDescent="0.25"/>
    <row r="227123" customFormat="1" x14ac:dyDescent="0.25"/>
    <row r="227124" customFormat="1" x14ac:dyDescent="0.25"/>
    <row r="227125" customFormat="1" x14ac:dyDescent="0.25"/>
    <row r="227126" customFormat="1" x14ac:dyDescent="0.25"/>
    <row r="227127" customFormat="1" x14ac:dyDescent="0.25"/>
    <row r="227128" customFormat="1" x14ac:dyDescent="0.25"/>
    <row r="227129" customFormat="1" x14ac:dyDescent="0.25"/>
    <row r="227130" customFormat="1" x14ac:dyDescent="0.25"/>
    <row r="227131" customFormat="1" x14ac:dyDescent="0.25"/>
    <row r="227132" customFormat="1" x14ac:dyDescent="0.25"/>
    <row r="227133" customFormat="1" x14ac:dyDescent="0.25"/>
    <row r="227134" customFormat="1" x14ac:dyDescent="0.25"/>
    <row r="227135" customFormat="1" x14ac:dyDescent="0.25"/>
    <row r="227136" customFormat="1" x14ac:dyDescent="0.25"/>
    <row r="227137" customFormat="1" x14ac:dyDescent="0.25"/>
    <row r="227138" customFormat="1" x14ac:dyDescent="0.25"/>
    <row r="227139" customFormat="1" x14ac:dyDescent="0.25"/>
    <row r="227140" customFormat="1" x14ac:dyDescent="0.25"/>
    <row r="227141" customFormat="1" x14ac:dyDescent="0.25"/>
    <row r="227142" customFormat="1" x14ac:dyDescent="0.25"/>
    <row r="227143" customFormat="1" x14ac:dyDescent="0.25"/>
    <row r="227144" customFormat="1" x14ac:dyDescent="0.25"/>
    <row r="227145" customFormat="1" x14ac:dyDescent="0.25"/>
    <row r="227146" customFormat="1" x14ac:dyDescent="0.25"/>
    <row r="227147" customFormat="1" x14ac:dyDescent="0.25"/>
    <row r="227148" customFormat="1" x14ac:dyDescent="0.25"/>
    <row r="227149" customFormat="1" x14ac:dyDescent="0.25"/>
    <row r="227150" customFormat="1" x14ac:dyDescent="0.25"/>
    <row r="227151" customFormat="1" x14ac:dyDescent="0.25"/>
    <row r="227152" customFormat="1" x14ac:dyDescent="0.25"/>
    <row r="227153" customFormat="1" x14ac:dyDescent="0.25"/>
    <row r="227154" customFormat="1" x14ac:dyDescent="0.25"/>
    <row r="227155" customFormat="1" x14ac:dyDescent="0.25"/>
    <row r="227156" customFormat="1" x14ac:dyDescent="0.25"/>
    <row r="227157" customFormat="1" x14ac:dyDescent="0.25"/>
    <row r="227158" customFormat="1" x14ac:dyDescent="0.25"/>
    <row r="227159" customFormat="1" x14ac:dyDescent="0.25"/>
    <row r="227160" customFormat="1" x14ac:dyDescent="0.25"/>
    <row r="227161" customFormat="1" x14ac:dyDescent="0.25"/>
    <row r="227162" customFormat="1" x14ac:dyDescent="0.25"/>
    <row r="227163" customFormat="1" x14ac:dyDescent="0.25"/>
    <row r="227164" customFormat="1" x14ac:dyDescent="0.25"/>
    <row r="227165" customFormat="1" x14ac:dyDescent="0.25"/>
    <row r="227166" customFormat="1" x14ac:dyDescent="0.25"/>
    <row r="227167" customFormat="1" x14ac:dyDescent="0.25"/>
    <row r="227168" customFormat="1" x14ac:dyDescent="0.25"/>
    <row r="227169" customFormat="1" x14ac:dyDescent="0.25"/>
    <row r="227170" customFormat="1" x14ac:dyDescent="0.25"/>
    <row r="227171" customFormat="1" x14ac:dyDescent="0.25"/>
    <row r="227172" customFormat="1" x14ac:dyDescent="0.25"/>
    <row r="227173" customFormat="1" x14ac:dyDescent="0.25"/>
    <row r="227174" customFormat="1" x14ac:dyDescent="0.25"/>
    <row r="227175" customFormat="1" x14ac:dyDescent="0.25"/>
    <row r="227176" customFormat="1" x14ac:dyDescent="0.25"/>
    <row r="227177" customFormat="1" x14ac:dyDescent="0.25"/>
    <row r="227178" customFormat="1" x14ac:dyDescent="0.25"/>
    <row r="227179" customFormat="1" x14ac:dyDescent="0.25"/>
    <row r="227180" customFormat="1" x14ac:dyDescent="0.25"/>
    <row r="227181" customFormat="1" x14ac:dyDescent="0.25"/>
    <row r="227182" customFormat="1" x14ac:dyDescent="0.25"/>
    <row r="227183" customFormat="1" x14ac:dyDescent="0.25"/>
    <row r="227184" customFormat="1" x14ac:dyDescent="0.25"/>
    <row r="227185" customFormat="1" x14ac:dyDescent="0.25"/>
    <row r="227186" customFormat="1" x14ac:dyDescent="0.25"/>
    <row r="227187" customFormat="1" x14ac:dyDescent="0.25"/>
    <row r="227188" customFormat="1" x14ac:dyDescent="0.25"/>
    <row r="227189" customFormat="1" x14ac:dyDescent="0.25"/>
    <row r="227190" customFormat="1" x14ac:dyDescent="0.25"/>
    <row r="227191" customFormat="1" x14ac:dyDescent="0.25"/>
    <row r="227192" customFormat="1" x14ac:dyDescent="0.25"/>
    <row r="227193" customFormat="1" x14ac:dyDescent="0.25"/>
    <row r="227194" customFormat="1" x14ac:dyDescent="0.25"/>
    <row r="227195" customFormat="1" x14ac:dyDescent="0.25"/>
    <row r="227196" customFormat="1" x14ac:dyDescent="0.25"/>
    <row r="227197" customFormat="1" x14ac:dyDescent="0.25"/>
    <row r="227198" customFormat="1" x14ac:dyDescent="0.25"/>
    <row r="227199" customFormat="1" x14ac:dyDescent="0.25"/>
    <row r="227200" customFormat="1" x14ac:dyDescent="0.25"/>
    <row r="227201" customFormat="1" x14ac:dyDescent="0.25"/>
    <row r="227202" customFormat="1" x14ac:dyDescent="0.25"/>
    <row r="227203" customFormat="1" x14ac:dyDescent="0.25"/>
    <row r="227204" customFormat="1" x14ac:dyDescent="0.25"/>
    <row r="227205" customFormat="1" x14ac:dyDescent="0.25"/>
    <row r="227206" customFormat="1" x14ac:dyDescent="0.25"/>
    <row r="227207" customFormat="1" x14ac:dyDescent="0.25"/>
    <row r="227208" customFormat="1" x14ac:dyDescent="0.25"/>
    <row r="227209" customFormat="1" x14ac:dyDescent="0.25"/>
    <row r="227210" customFormat="1" x14ac:dyDescent="0.25"/>
    <row r="227211" customFormat="1" x14ac:dyDescent="0.25"/>
    <row r="227212" customFormat="1" x14ac:dyDescent="0.25"/>
    <row r="227213" customFormat="1" x14ac:dyDescent="0.25"/>
    <row r="227214" customFormat="1" x14ac:dyDescent="0.25"/>
    <row r="227215" customFormat="1" x14ac:dyDescent="0.25"/>
    <row r="227216" customFormat="1" x14ac:dyDescent="0.25"/>
    <row r="227217" customFormat="1" x14ac:dyDescent="0.25"/>
    <row r="227218" customFormat="1" x14ac:dyDescent="0.25"/>
    <row r="227219" customFormat="1" x14ac:dyDescent="0.25"/>
    <row r="227220" customFormat="1" x14ac:dyDescent="0.25"/>
    <row r="227221" customFormat="1" x14ac:dyDescent="0.25"/>
    <row r="227222" customFormat="1" x14ac:dyDescent="0.25"/>
    <row r="227223" customFormat="1" x14ac:dyDescent="0.25"/>
    <row r="227224" customFormat="1" x14ac:dyDescent="0.25"/>
    <row r="227225" customFormat="1" x14ac:dyDescent="0.25"/>
    <row r="227226" customFormat="1" x14ac:dyDescent="0.25"/>
    <row r="227227" customFormat="1" x14ac:dyDescent="0.25"/>
    <row r="227228" customFormat="1" x14ac:dyDescent="0.25"/>
    <row r="227229" customFormat="1" x14ac:dyDescent="0.25"/>
    <row r="227230" customFormat="1" x14ac:dyDescent="0.25"/>
    <row r="227231" customFormat="1" x14ac:dyDescent="0.25"/>
    <row r="227232" customFormat="1" x14ac:dyDescent="0.25"/>
    <row r="227233" customFormat="1" x14ac:dyDescent="0.25"/>
    <row r="227234" customFormat="1" x14ac:dyDescent="0.25"/>
    <row r="227235" customFormat="1" x14ac:dyDescent="0.25"/>
    <row r="227236" customFormat="1" x14ac:dyDescent="0.25"/>
    <row r="227237" customFormat="1" x14ac:dyDescent="0.25"/>
    <row r="227238" customFormat="1" x14ac:dyDescent="0.25"/>
    <row r="227239" customFormat="1" x14ac:dyDescent="0.25"/>
    <row r="227240" customFormat="1" x14ac:dyDescent="0.25"/>
    <row r="227241" customFormat="1" x14ac:dyDescent="0.25"/>
    <row r="227242" customFormat="1" x14ac:dyDescent="0.25"/>
    <row r="227243" customFormat="1" x14ac:dyDescent="0.25"/>
    <row r="227244" customFormat="1" x14ac:dyDescent="0.25"/>
    <row r="227245" customFormat="1" x14ac:dyDescent="0.25"/>
    <row r="227246" customFormat="1" x14ac:dyDescent="0.25"/>
    <row r="227247" customFormat="1" x14ac:dyDescent="0.25"/>
    <row r="227248" customFormat="1" x14ac:dyDescent="0.25"/>
    <row r="227249" customFormat="1" x14ac:dyDescent="0.25"/>
    <row r="227250" customFormat="1" x14ac:dyDescent="0.25"/>
    <row r="227251" customFormat="1" x14ac:dyDescent="0.25"/>
    <row r="227252" customFormat="1" x14ac:dyDescent="0.25"/>
    <row r="227253" customFormat="1" x14ac:dyDescent="0.25"/>
    <row r="227254" customFormat="1" x14ac:dyDescent="0.25"/>
    <row r="227255" customFormat="1" x14ac:dyDescent="0.25"/>
    <row r="227256" customFormat="1" x14ac:dyDescent="0.25"/>
    <row r="227257" customFormat="1" x14ac:dyDescent="0.25"/>
    <row r="227258" customFormat="1" x14ac:dyDescent="0.25"/>
    <row r="227259" customFormat="1" x14ac:dyDescent="0.25"/>
    <row r="227260" customFormat="1" x14ac:dyDescent="0.25"/>
    <row r="227261" customFormat="1" x14ac:dyDescent="0.25"/>
    <row r="227262" customFormat="1" x14ac:dyDescent="0.25"/>
    <row r="227263" customFormat="1" x14ac:dyDescent="0.25"/>
    <row r="227264" customFormat="1" x14ac:dyDescent="0.25"/>
    <row r="227265" customFormat="1" x14ac:dyDescent="0.25"/>
    <row r="227266" customFormat="1" x14ac:dyDescent="0.25"/>
    <row r="227267" customFormat="1" x14ac:dyDescent="0.25"/>
    <row r="227268" customFormat="1" x14ac:dyDescent="0.25"/>
    <row r="227269" customFormat="1" x14ac:dyDescent="0.25"/>
    <row r="227270" customFormat="1" x14ac:dyDescent="0.25"/>
    <row r="227271" customFormat="1" x14ac:dyDescent="0.25"/>
    <row r="227272" customFormat="1" x14ac:dyDescent="0.25"/>
    <row r="227273" customFormat="1" x14ac:dyDescent="0.25"/>
    <row r="227274" customFormat="1" x14ac:dyDescent="0.25"/>
    <row r="227275" customFormat="1" x14ac:dyDescent="0.25"/>
    <row r="227276" customFormat="1" x14ac:dyDescent="0.25"/>
    <row r="227277" customFormat="1" x14ac:dyDescent="0.25"/>
    <row r="227278" customFormat="1" x14ac:dyDescent="0.25"/>
    <row r="227279" customFormat="1" x14ac:dyDescent="0.25"/>
    <row r="227280" customFormat="1" x14ac:dyDescent="0.25"/>
    <row r="227281" customFormat="1" x14ac:dyDescent="0.25"/>
    <row r="227282" customFormat="1" x14ac:dyDescent="0.25"/>
    <row r="227283" customFormat="1" x14ac:dyDescent="0.25"/>
    <row r="227284" customFormat="1" x14ac:dyDescent="0.25"/>
    <row r="227285" customFormat="1" x14ac:dyDescent="0.25"/>
    <row r="227286" customFormat="1" x14ac:dyDescent="0.25"/>
    <row r="227287" customFormat="1" x14ac:dyDescent="0.25"/>
    <row r="227288" customFormat="1" x14ac:dyDescent="0.25"/>
    <row r="227289" customFormat="1" x14ac:dyDescent="0.25"/>
    <row r="227290" customFormat="1" x14ac:dyDescent="0.25"/>
    <row r="227291" customFormat="1" x14ac:dyDescent="0.25"/>
    <row r="227292" customFormat="1" x14ac:dyDescent="0.25"/>
    <row r="227293" customFormat="1" x14ac:dyDescent="0.25"/>
    <row r="227294" customFormat="1" x14ac:dyDescent="0.25"/>
    <row r="227295" customFormat="1" x14ac:dyDescent="0.25"/>
    <row r="227296" customFormat="1" x14ac:dyDescent="0.25"/>
    <row r="227297" customFormat="1" x14ac:dyDescent="0.25"/>
    <row r="227298" customFormat="1" x14ac:dyDescent="0.25"/>
    <row r="227299" customFormat="1" x14ac:dyDescent="0.25"/>
    <row r="227300" customFormat="1" x14ac:dyDescent="0.25"/>
    <row r="227301" customFormat="1" x14ac:dyDescent="0.25"/>
    <row r="227302" customFormat="1" x14ac:dyDescent="0.25"/>
    <row r="227303" customFormat="1" x14ac:dyDescent="0.25"/>
    <row r="227304" customFormat="1" x14ac:dyDescent="0.25"/>
    <row r="227305" customFormat="1" x14ac:dyDescent="0.25"/>
    <row r="227306" customFormat="1" x14ac:dyDescent="0.25"/>
    <row r="227307" customFormat="1" x14ac:dyDescent="0.25"/>
    <row r="227308" customFormat="1" x14ac:dyDescent="0.25"/>
    <row r="227309" customFormat="1" x14ac:dyDescent="0.25"/>
    <row r="227310" customFormat="1" x14ac:dyDescent="0.25"/>
    <row r="227311" customFormat="1" x14ac:dyDescent="0.25"/>
    <row r="227312" customFormat="1" x14ac:dyDescent="0.25"/>
    <row r="227313" customFormat="1" x14ac:dyDescent="0.25"/>
    <row r="227314" customFormat="1" x14ac:dyDescent="0.25"/>
    <row r="227315" customFormat="1" x14ac:dyDescent="0.25"/>
    <row r="227316" customFormat="1" x14ac:dyDescent="0.25"/>
    <row r="227317" customFormat="1" x14ac:dyDescent="0.25"/>
    <row r="227318" customFormat="1" x14ac:dyDescent="0.25"/>
    <row r="227319" customFormat="1" x14ac:dyDescent="0.25"/>
    <row r="227320" customFormat="1" x14ac:dyDescent="0.25"/>
    <row r="227321" customFormat="1" x14ac:dyDescent="0.25"/>
    <row r="227322" customFormat="1" x14ac:dyDescent="0.25"/>
    <row r="227323" customFormat="1" x14ac:dyDescent="0.25"/>
    <row r="227324" customFormat="1" x14ac:dyDescent="0.25"/>
    <row r="227325" customFormat="1" x14ac:dyDescent="0.25"/>
    <row r="227326" customFormat="1" x14ac:dyDescent="0.25"/>
    <row r="227327" customFormat="1" x14ac:dyDescent="0.25"/>
    <row r="227328" customFormat="1" x14ac:dyDescent="0.25"/>
    <row r="227329" customFormat="1" x14ac:dyDescent="0.25"/>
    <row r="227330" customFormat="1" x14ac:dyDescent="0.25"/>
    <row r="227331" customFormat="1" x14ac:dyDescent="0.25"/>
    <row r="227332" customFormat="1" x14ac:dyDescent="0.25"/>
    <row r="227333" customFormat="1" x14ac:dyDescent="0.25"/>
    <row r="227334" customFormat="1" x14ac:dyDescent="0.25"/>
    <row r="227335" customFormat="1" x14ac:dyDescent="0.25"/>
    <row r="227336" customFormat="1" x14ac:dyDescent="0.25"/>
    <row r="227337" customFormat="1" x14ac:dyDescent="0.25"/>
    <row r="227338" customFormat="1" x14ac:dyDescent="0.25"/>
    <row r="227339" customFormat="1" x14ac:dyDescent="0.25"/>
    <row r="227340" customFormat="1" x14ac:dyDescent="0.25"/>
    <row r="227341" customFormat="1" x14ac:dyDescent="0.25"/>
    <row r="227342" customFormat="1" x14ac:dyDescent="0.25"/>
    <row r="227343" customFormat="1" x14ac:dyDescent="0.25"/>
    <row r="227344" customFormat="1" x14ac:dyDescent="0.25"/>
    <row r="227345" customFormat="1" x14ac:dyDescent="0.25"/>
    <row r="227346" customFormat="1" x14ac:dyDescent="0.25"/>
    <row r="227347" customFormat="1" x14ac:dyDescent="0.25"/>
    <row r="227348" customFormat="1" x14ac:dyDescent="0.25"/>
    <row r="227349" customFormat="1" x14ac:dyDescent="0.25"/>
    <row r="227350" customFormat="1" x14ac:dyDescent="0.25"/>
    <row r="227351" customFormat="1" x14ac:dyDescent="0.25"/>
    <row r="227352" customFormat="1" x14ac:dyDescent="0.25"/>
    <row r="227353" customFormat="1" x14ac:dyDescent="0.25"/>
    <row r="227354" customFormat="1" x14ac:dyDescent="0.25"/>
    <row r="227355" customFormat="1" x14ac:dyDescent="0.25"/>
    <row r="227356" customFormat="1" x14ac:dyDescent="0.25"/>
    <row r="227357" customFormat="1" x14ac:dyDescent="0.25"/>
    <row r="227358" customFormat="1" x14ac:dyDescent="0.25"/>
    <row r="227359" customFormat="1" x14ac:dyDescent="0.25"/>
    <row r="227360" customFormat="1" x14ac:dyDescent="0.25"/>
    <row r="227361" customFormat="1" x14ac:dyDescent="0.25"/>
    <row r="227362" customFormat="1" x14ac:dyDescent="0.25"/>
    <row r="227363" customFormat="1" x14ac:dyDescent="0.25"/>
    <row r="227364" customFormat="1" x14ac:dyDescent="0.25"/>
    <row r="227365" customFormat="1" x14ac:dyDescent="0.25"/>
    <row r="227366" customFormat="1" x14ac:dyDescent="0.25"/>
    <row r="227367" customFormat="1" x14ac:dyDescent="0.25"/>
    <row r="227368" customFormat="1" x14ac:dyDescent="0.25"/>
    <row r="227369" customFormat="1" x14ac:dyDescent="0.25"/>
    <row r="227370" customFormat="1" x14ac:dyDescent="0.25"/>
    <row r="227371" customFormat="1" x14ac:dyDescent="0.25"/>
    <row r="227372" customFormat="1" x14ac:dyDescent="0.25"/>
    <row r="227373" customFormat="1" x14ac:dyDescent="0.25"/>
    <row r="227374" customFormat="1" x14ac:dyDescent="0.25"/>
    <row r="227375" customFormat="1" x14ac:dyDescent="0.25"/>
    <row r="227376" customFormat="1" x14ac:dyDescent="0.25"/>
    <row r="227377" customFormat="1" x14ac:dyDescent="0.25"/>
    <row r="227378" customFormat="1" x14ac:dyDescent="0.25"/>
    <row r="227379" customFormat="1" x14ac:dyDescent="0.25"/>
    <row r="227380" customFormat="1" x14ac:dyDescent="0.25"/>
    <row r="227381" customFormat="1" x14ac:dyDescent="0.25"/>
    <row r="227382" customFormat="1" x14ac:dyDescent="0.25"/>
    <row r="227383" customFormat="1" x14ac:dyDescent="0.25"/>
    <row r="227384" customFormat="1" x14ac:dyDescent="0.25"/>
    <row r="227385" customFormat="1" x14ac:dyDescent="0.25"/>
    <row r="227386" customFormat="1" x14ac:dyDescent="0.25"/>
    <row r="227387" customFormat="1" x14ac:dyDescent="0.25"/>
    <row r="227388" customFormat="1" x14ac:dyDescent="0.25"/>
    <row r="227389" customFormat="1" x14ac:dyDescent="0.25"/>
    <row r="227390" customFormat="1" x14ac:dyDescent="0.25"/>
    <row r="227391" customFormat="1" x14ac:dyDescent="0.25"/>
    <row r="227392" customFormat="1" x14ac:dyDescent="0.25"/>
    <row r="227393" customFormat="1" x14ac:dyDescent="0.25"/>
    <row r="227394" customFormat="1" x14ac:dyDescent="0.25"/>
    <row r="227395" customFormat="1" x14ac:dyDescent="0.25"/>
    <row r="227396" customFormat="1" x14ac:dyDescent="0.25"/>
    <row r="227397" customFormat="1" x14ac:dyDescent="0.25"/>
    <row r="227398" customFormat="1" x14ac:dyDescent="0.25"/>
    <row r="227399" customFormat="1" x14ac:dyDescent="0.25"/>
    <row r="227400" customFormat="1" x14ac:dyDescent="0.25"/>
    <row r="227401" customFormat="1" x14ac:dyDescent="0.25"/>
    <row r="227402" customFormat="1" x14ac:dyDescent="0.25"/>
    <row r="227403" customFormat="1" x14ac:dyDescent="0.25"/>
    <row r="227404" customFormat="1" x14ac:dyDescent="0.25"/>
    <row r="227405" customFormat="1" x14ac:dyDescent="0.25"/>
    <row r="227406" customFormat="1" x14ac:dyDescent="0.25"/>
    <row r="227407" customFormat="1" x14ac:dyDescent="0.25"/>
    <row r="227408" customFormat="1" x14ac:dyDescent="0.25"/>
    <row r="227409" customFormat="1" x14ac:dyDescent="0.25"/>
    <row r="227410" customFormat="1" x14ac:dyDescent="0.25"/>
    <row r="227411" customFormat="1" x14ac:dyDescent="0.25"/>
    <row r="227412" customFormat="1" x14ac:dyDescent="0.25"/>
    <row r="227413" customFormat="1" x14ac:dyDescent="0.25"/>
    <row r="227414" customFormat="1" x14ac:dyDescent="0.25"/>
    <row r="227415" customFormat="1" x14ac:dyDescent="0.25"/>
    <row r="227416" customFormat="1" x14ac:dyDescent="0.25"/>
    <row r="227417" customFormat="1" x14ac:dyDescent="0.25"/>
    <row r="227418" customFormat="1" x14ac:dyDescent="0.25"/>
    <row r="227419" customFormat="1" x14ac:dyDescent="0.25"/>
    <row r="227420" customFormat="1" x14ac:dyDescent="0.25"/>
    <row r="227421" customFormat="1" x14ac:dyDescent="0.25"/>
    <row r="227422" customFormat="1" x14ac:dyDescent="0.25"/>
    <row r="227423" customFormat="1" x14ac:dyDescent="0.25"/>
    <row r="227424" customFormat="1" x14ac:dyDescent="0.25"/>
    <row r="227425" customFormat="1" x14ac:dyDescent="0.25"/>
    <row r="227426" customFormat="1" x14ac:dyDescent="0.25"/>
    <row r="227427" customFormat="1" x14ac:dyDescent="0.25"/>
    <row r="227428" customFormat="1" x14ac:dyDescent="0.25"/>
    <row r="227429" customFormat="1" x14ac:dyDescent="0.25"/>
    <row r="227430" customFormat="1" x14ac:dyDescent="0.25"/>
    <row r="227431" customFormat="1" x14ac:dyDescent="0.25"/>
    <row r="227432" customFormat="1" x14ac:dyDescent="0.25"/>
    <row r="227433" customFormat="1" x14ac:dyDescent="0.25"/>
    <row r="227434" customFormat="1" x14ac:dyDescent="0.25"/>
    <row r="227435" customFormat="1" x14ac:dyDescent="0.25"/>
    <row r="227436" customFormat="1" x14ac:dyDescent="0.25"/>
    <row r="227437" customFormat="1" x14ac:dyDescent="0.25"/>
    <row r="227438" customFormat="1" x14ac:dyDescent="0.25"/>
    <row r="227439" customFormat="1" x14ac:dyDescent="0.25"/>
    <row r="227440" customFormat="1" x14ac:dyDescent="0.25"/>
    <row r="227441" customFormat="1" x14ac:dyDescent="0.25"/>
    <row r="227442" customFormat="1" x14ac:dyDescent="0.25"/>
    <row r="227443" customFormat="1" x14ac:dyDescent="0.25"/>
    <row r="227444" customFormat="1" x14ac:dyDescent="0.25"/>
    <row r="227445" customFormat="1" x14ac:dyDescent="0.25"/>
    <row r="227446" customFormat="1" x14ac:dyDescent="0.25"/>
    <row r="227447" customFormat="1" x14ac:dyDescent="0.25"/>
    <row r="227448" customFormat="1" x14ac:dyDescent="0.25"/>
    <row r="227449" customFormat="1" x14ac:dyDescent="0.25"/>
    <row r="227450" customFormat="1" x14ac:dyDescent="0.25"/>
    <row r="227451" customFormat="1" x14ac:dyDescent="0.25"/>
    <row r="227452" customFormat="1" x14ac:dyDescent="0.25"/>
    <row r="227453" customFormat="1" x14ac:dyDescent="0.25"/>
    <row r="227454" customFormat="1" x14ac:dyDescent="0.25"/>
    <row r="227455" customFormat="1" x14ac:dyDescent="0.25"/>
    <row r="227456" customFormat="1" x14ac:dyDescent="0.25"/>
    <row r="227457" customFormat="1" x14ac:dyDescent="0.25"/>
    <row r="227458" customFormat="1" x14ac:dyDescent="0.25"/>
    <row r="227459" customFormat="1" x14ac:dyDescent="0.25"/>
    <row r="227460" customFormat="1" x14ac:dyDescent="0.25"/>
    <row r="227461" customFormat="1" x14ac:dyDescent="0.25"/>
    <row r="227462" customFormat="1" x14ac:dyDescent="0.25"/>
    <row r="227463" customFormat="1" x14ac:dyDescent="0.25"/>
    <row r="227464" customFormat="1" x14ac:dyDescent="0.25"/>
    <row r="227465" customFormat="1" x14ac:dyDescent="0.25"/>
    <row r="227466" customFormat="1" x14ac:dyDescent="0.25"/>
    <row r="227467" customFormat="1" x14ac:dyDescent="0.25"/>
    <row r="227468" customFormat="1" x14ac:dyDescent="0.25"/>
    <row r="227469" customFormat="1" x14ac:dyDescent="0.25"/>
    <row r="227470" customFormat="1" x14ac:dyDescent="0.25"/>
    <row r="227471" customFormat="1" x14ac:dyDescent="0.25"/>
    <row r="227472" customFormat="1" x14ac:dyDescent="0.25"/>
    <row r="227473" customFormat="1" x14ac:dyDescent="0.25"/>
    <row r="227474" customFormat="1" x14ac:dyDescent="0.25"/>
    <row r="227475" customFormat="1" x14ac:dyDescent="0.25"/>
    <row r="227476" customFormat="1" x14ac:dyDescent="0.25"/>
    <row r="227477" customFormat="1" x14ac:dyDescent="0.25"/>
    <row r="227478" customFormat="1" x14ac:dyDescent="0.25"/>
    <row r="227479" customFormat="1" x14ac:dyDescent="0.25"/>
    <row r="227480" customFormat="1" x14ac:dyDescent="0.25"/>
    <row r="227481" customFormat="1" x14ac:dyDescent="0.25"/>
    <row r="227482" customFormat="1" x14ac:dyDescent="0.25"/>
    <row r="227483" customFormat="1" x14ac:dyDescent="0.25"/>
    <row r="227484" customFormat="1" x14ac:dyDescent="0.25"/>
    <row r="227485" customFormat="1" x14ac:dyDescent="0.25"/>
    <row r="227486" customFormat="1" x14ac:dyDescent="0.25"/>
    <row r="227487" customFormat="1" x14ac:dyDescent="0.25"/>
    <row r="227488" customFormat="1" x14ac:dyDescent="0.25"/>
    <row r="227489" customFormat="1" x14ac:dyDescent="0.25"/>
    <row r="227490" customFormat="1" x14ac:dyDescent="0.25"/>
    <row r="227491" customFormat="1" x14ac:dyDescent="0.25"/>
    <row r="227492" customFormat="1" x14ac:dyDescent="0.25"/>
    <row r="227493" customFormat="1" x14ac:dyDescent="0.25"/>
    <row r="227494" customFormat="1" x14ac:dyDescent="0.25"/>
    <row r="227495" customFormat="1" x14ac:dyDescent="0.25"/>
    <row r="227496" customFormat="1" x14ac:dyDescent="0.25"/>
    <row r="227497" customFormat="1" x14ac:dyDescent="0.25"/>
    <row r="227498" customFormat="1" x14ac:dyDescent="0.25"/>
    <row r="227499" customFormat="1" x14ac:dyDescent="0.25"/>
    <row r="227500" customFormat="1" x14ac:dyDescent="0.25"/>
    <row r="227501" customFormat="1" x14ac:dyDescent="0.25"/>
    <row r="227502" customFormat="1" x14ac:dyDescent="0.25"/>
    <row r="227503" customFormat="1" x14ac:dyDescent="0.25"/>
    <row r="227504" customFormat="1" x14ac:dyDescent="0.25"/>
    <row r="227505" customFormat="1" x14ac:dyDescent="0.25"/>
    <row r="227506" customFormat="1" x14ac:dyDescent="0.25"/>
    <row r="227507" customFormat="1" x14ac:dyDescent="0.25"/>
    <row r="227508" customFormat="1" x14ac:dyDescent="0.25"/>
    <row r="227509" customFormat="1" x14ac:dyDescent="0.25"/>
    <row r="227510" customFormat="1" x14ac:dyDescent="0.25"/>
    <row r="227511" customFormat="1" x14ac:dyDescent="0.25"/>
    <row r="227512" customFormat="1" x14ac:dyDescent="0.25"/>
    <row r="227513" customFormat="1" x14ac:dyDescent="0.25"/>
    <row r="227514" customFormat="1" x14ac:dyDescent="0.25"/>
    <row r="227515" customFormat="1" x14ac:dyDescent="0.25"/>
    <row r="227516" customFormat="1" x14ac:dyDescent="0.25"/>
    <row r="227517" customFormat="1" x14ac:dyDescent="0.25"/>
    <row r="227518" customFormat="1" x14ac:dyDescent="0.25"/>
    <row r="227519" customFormat="1" x14ac:dyDescent="0.25"/>
    <row r="227520" customFormat="1" x14ac:dyDescent="0.25"/>
    <row r="227521" customFormat="1" x14ac:dyDescent="0.25"/>
    <row r="227522" customFormat="1" x14ac:dyDescent="0.25"/>
    <row r="227523" customFormat="1" x14ac:dyDescent="0.25"/>
    <row r="227524" customFormat="1" x14ac:dyDescent="0.25"/>
    <row r="227525" customFormat="1" x14ac:dyDescent="0.25"/>
    <row r="227526" customFormat="1" x14ac:dyDescent="0.25"/>
    <row r="227527" customFormat="1" x14ac:dyDescent="0.25"/>
    <row r="227528" customFormat="1" x14ac:dyDescent="0.25"/>
    <row r="227529" customFormat="1" x14ac:dyDescent="0.25"/>
    <row r="227530" customFormat="1" x14ac:dyDescent="0.25"/>
    <row r="227531" customFormat="1" x14ac:dyDescent="0.25"/>
    <row r="227532" customFormat="1" x14ac:dyDescent="0.25"/>
    <row r="227533" customFormat="1" x14ac:dyDescent="0.25"/>
    <row r="227534" customFormat="1" x14ac:dyDescent="0.25"/>
    <row r="227535" customFormat="1" x14ac:dyDescent="0.25"/>
    <row r="227536" customFormat="1" x14ac:dyDescent="0.25"/>
    <row r="227537" customFormat="1" x14ac:dyDescent="0.25"/>
    <row r="227538" customFormat="1" x14ac:dyDescent="0.25"/>
    <row r="227539" customFormat="1" x14ac:dyDescent="0.25"/>
    <row r="227540" customFormat="1" x14ac:dyDescent="0.25"/>
    <row r="227541" customFormat="1" x14ac:dyDescent="0.25"/>
    <row r="227542" customFormat="1" x14ac:dyDescent="0.25"/>
    <row r="227543" customFormat="1" x14ac:dyDescent="0.25"/>
    <row r="227544" customFormat="1" x14ac:dyDescent="0.25"/>
    <row r="227545" customFormat="1" x14ac:dyDescent="0.25"/>
    <row r="227546" customFormat="1" x14ac:dyDescent="0.25"/>
    <row r="227547" customFormat="1" x14ac:dyDescent="0.25"/>
    <row r="227548" customFormat="1" x14ac:dyDescent="0.25"/>
    <row r="227549" customFormat="1" x14ac:dyDescent="0.25"/>
    <row r="227550" customFormat="1" x14ac:dyDescent="0.25"/>
    <row r="227551" customFormat="1" x14ac:dyDescent="0.25"/>
    <row r="227552" customFormat="1" x14ac:dyDescent="0.25"/>
    <row r="227553" customFormat="1" x14ac:dyDescent="0.25"/>
    <row r="227554" customFormat="1" x14ac:dyDescent="0.25"/>
    <row r="227555" customFormat="1" x14ac:dyDescent="0.25"/>
    <row r="227556" customFormat="1" x14ac:dyDescent="0.25"/>
    <row r="227557" customFormat="1" x14ac:dyDescent="0.25"/>
    <row r="227558" customFormat="1" x14ac:dyDescent="0.25"/>
    <row r="227559" customFormat="1" x14ac:dyDescent="0.25"/>
    <row r="227560" customFormat="1" x14ac:dyDescent="0.25"/>
    <row r="227561" customFormat="1" x14ac:dyDescent="0.25"/>
    <row r="227562" customFormat="1" x14ac:dyDescent="0.25"/>
    <row r="227563" customFormat="1" x14ac:dyDescent="0.25"/>
    <row r="227564" customFormat="1" x14ac:dyDescent="0.25"/>
    <row r="227565" customFormat="1" x14ac:dyDescent="0.25"/>
    <row r="227566" customFormat="1" x14ac:dyDescent="0.25"/>
    <row r="227567" customFormat="1" x14ac:dyDescent="0.25"/>
    <row r="227568" customFormat="1" x14ac:dyDescent="0.25"/>
    <row r="227569" customFormat="1" x14ac:dyDescent="0.25"/>
    <row r="227570" customFormat="1" x14ac:dyDescent="0.25"/>
    <row r="227571" customFormat="1" x14ac:dyDescent="0.25"/>
    <row r="227572" customFormat="1" x14ac:dyDescent="0.25"/>
    <row r="227573" customFormat="1" x14ac:dyDescent="0.25"/>
    <row r="227574" customFormat="1" x14ac:dyDescent="0.25"/>
    <row r="227575" customFormat="1" x14ac:dyDescent="0.25"/>
    <row r="227576" customFormat="1" x14ac:dyDescent="0.25"/>
    <row r="227577" customFormat="1" x14ac:dyDescent="0.25"/>
    <row r="227578" customFormat="1" x14ac:dyDescent="0.25"/>
    <row r="227579" customFormat="1" x14ac:dyDescent="0.25"/>
    <row r="227580" customFormat="1" x14ac:dyDescent="0.25"/>
    <row r="227581" customFormat="1" x14ac:dyDescent="0.25"/>
    <row r="227582" customFormat="1" x14ac:dyDescent="0.25"/>
    <row r="227583" customFormat="1" x14ac:dyDescent="0.25"/>
    <row r="227584" customFormat="1" x14ac:dyDescent="0.25"/>
    <row r="227585" customFormat="1" x14ac:dyDescent="0.25"/>
    <row r="227586" customFormat="1" x14ac:dyDescent="0.25"/>
    <row r="227587" customFormat="1" x14ac:dyDescent="0.25"/>
    <row r="227588" customFormat="1" x14ac:dyDescent="0.25"/>
    <row r="227589" customFormat="1" x14ac:dyDescent="0.25"/>
    <row r="227590" customFormat="1" x14ac:dyDescent="0.25"/>
    <row r="227591" customFormat="1" x14ac:dyDescent="0.25"/>
    <row r="227592" customFormat="1" x14ac:dyDescent="0.25"/>
    <row r="227593" customFormat="1" x14ac:dyDescent="0.25"/>
    <row r="227594" customFormat="1" x14ac:dyDescent="0.25"/>
    <row r="227595" customFormat="1" x14ac:dyDescent="0.25"/>
    <row r="227596" customFormat="1" x14ac:dyDescent="0.25"/>
    <row r="227597" customFormat="1" x14ac:dyDescent="0.25"/>
    <row r="227598" customFormat="1" x14ac:dyDescent="0.25"/>
    <row r="227599" customFormat="1" x14ac:dyDescent="0.25"/>
    <row r="227600" customFormat="1" x14ac:dyDescent="0.25"/>
    <row r="227601" customFormat="1" x14ac:dyDescent="0.25"/>
    <row r="227602" customFormat="1" x14ac:dyDescent="0.25"/>
    <row r="227603" customFormat="1" x14ac:dyDescent="0.25"/>
    <row r="227604" customFormat="1" x14ac:dyDescent="0.25"/>
    <row r="227605" customFormat="1" x14ac:dyDescent="0.25"/>
    <row r="227606" customFormat="1" x14ac:dyDescent="0.25"/>
    <row r="227607" customFormat="1" x14ac:dyDescent="0.25"/>
    <row r="227608" customFormat="1" x14ac:dyDescent="0.25"/>
    <row r="227609" customFormat="1" x14ac:dyDescent="0.25"/>
    <row r="227610" customFormat="1" x14ac:dyDescent="0.25"/>
    <row r="227611" customFormat="1" x14ac:dyDescent="0.25"/>
    <row r="227612" customFormat="1" x14ac:dyDescent="0.25"/>
    <row r="227613" customFormat="1" x14ac:dyDescent="0.25"/>
    <row r="227614" customFormat="1" x14ac:dyDescent="0.25"/>
    <row r="227615" customFormat="1" x14ac:dyDescent="0.25"/>
    <row r="227616" customFormat="1" x14ac:dyDescent="0.25"/>
    <row r="227617" customFormat="1" x14ac:dyDescent="0.25"/>
    <row r="227618" customFormat="1" x14ac:dyDescent="0.25"/>
    <row r="227619" customFormat="1" x14ac:dyDescent="0.25"/>
    <row r="227620" customFormat="1" x14ac:dyDescent="0.25"/>
    <row r="227621" customFormat="1" x14ac:dyDescent="0.25"/>
    <row r="227622" customFormat="1" x14ac:dyDescent="0.25"/>
    <row r="227623" customFormat="1" x14ac:dyDescent="0.25"/>
    <row r="227624" customFormat="1" x14ac:dyDescent="0.25"/>
    <row r="227625" customFormat="1" x14ac:dyDescent="0.25"/>
    <row r="227626" customFormat="1" x14ac:dyDescent="0.25"/>
    <row r="227627" customFormat="1" x14ac:dyDescent="0.25"/>
    <row r="227628" customFormat="1" x14ac:dyDescent="0.25"/>
    <row r="227629" customFormat="1" x14ac:dyDescent="0.25"/>
    <row r="227630" customFormat="1" x14ac:dyDescent="0.25"/>
    <row r="227631" customFormat="1" x14ac:dyDescent="0.25"/>
    <row r="227632" customFormat="1" x14ac:dyDescent="0.25"/>
    <row r="227633" customFormat="1" x14ac:dyDescent="0.25"/>
    <row r="227634" customFormat="1" x14ac:dyDescent="0.25"/>
    <row r="227635" customFormat="1" x14ac:dyDescent="0.25"/>
    <row r="227636" customFormat="1" x14ac:dyDescent="0.25"/>
    <row r="227637" customFormat="1" x14ac:dyDescent="0.25"/>
    <row r="227638" customFormat="1" x14ac:dyDescent="0.25"/>
    <row r="227639" customFormat="1" x14ac:dyDescent="0.25"/>
    <row r="227640" customFormat="1" x14ac:dyDescent="0.25"/>
    <row r="227641" customFormat="1" x14ac:dyDescent="0.25"/>
    <row r="227642" customFormat="1" x14ac:dyDescent="0.25"/>
    <row r="227643" customFormat="1" x14ac:dyDescent="0.25"/>
    <row r="227644" customFormat="1" x14ac:dyDescent="0.25"/>
    <row r="227645" customFormat="1" x14ac:dyDescent="0.25"/>
    <row r="227646" customFormat="1" x14ac:dyDescent="0.25"/>
    <row r="227647" customFormat="1" x14ac:dyDescent="0.25"/>
    <row r="227648" customFormat="1" x14ac:dyDescent="0.25"/>
    <row r="227649" customFormat="1" x14ac:dyDescent="0.25"/>
    <row r="227650" customFormat="1" x14ac:dyDescent="0.25"/>
    <row r="227651" customFormat="1" x14ac:dyDescent="0.25"/>
    <row r="227652" customFormat="1" x14ac:dyDescent="0.25"/>
    <row r="227653" customFormat="1" x14ac:dyDescent="0.25"/>
    <row r="227654" customFormat="1" x14ac:dyDescent="0.25"/>
    <row r="227655" customFormat="1" x14ac:dyDescent="0.25"/>
    <row r="227656" customFormat="1" x14ac:dyDescent="0.25"/>
    <row r="227657" customFormat="1" x14ac:dyDescent="0.25"/>
    <row r="227658" customFormat="1" x14ac:dyDescent="0.25"/>
    <row r="227659" customFormat="1" x14ac:dyDescent="0.25"/>
    <row r="227660" customFormat="1" x14ac:dyDescent="0.25"/>
    <row r="227661" customFormat="1" x14ac:dyDescent="0.25"/>
    <row r="227662" customFormat="1" x14ac:dyDescent="0.25"/>
    <row r="227663" customFormat="1" x14ac:dyDescent="0.25"/>
    <row r="227664" customFormat="1" x14ac:dyDescent="0.25"/>
    <row r="227665" customFormat="1" x14ac:dyDescent="0.25"/>
    <row r="227666" customFormat="1" x14ac:dyDescent="0.25"/>
    <row r="227667" customFormat="1" x14ac:dyDescent="0.25"/>
    <row r="227668" customFormat="1" x14ac:dyDescent="0.25"/>
    <row r="227669" customFormat="1" x14ac:dyDescent="0.25"/>
    <row r="227670" customFormat="1" x14ac:dyDescent="0.25"/>
    <row r="227671" customFormat="1" x14ac:dyDescent="0.25"/>
    <row r="227672" customFormat="1" x14ac:dyDescent="0.25"/>
    <row r="227673" customFormat="1" x14ac:dyDescent="0.25"/>
    <row r="227674" customFormat="1" x14ac:dyDescent="0.25"/>
    <row r="227675" customFormat="1" x14ac:dyDescent="0.25"/>
    <row r="227676" customFormat="1" x14ac:dyDescent="0.25"/>
    <row r="227677" customFormat="1" x14ac:dyDescent="0.25"/>
    <row r="227678" customFormat="1" x14ac:dyDescent="0.25"/>
    <row r="227679" customFormat="1" x14ac:dyDescent="0.25"/>
    <row r="227680" customFormat="1" x14ac:dyDescent="0.25"/>
    <row r="227681" customFormat="1" x14ac:dyDescent="0.25"/>
    <row r="227682" customFormat="1" x14ac:dyDescent="0.25"/>
    <row r="227683" customFormat="1" x14ac:dyDescent="0.25"/>
    <row r="227684" customFormat="1" x14ac:dyDescent="0.25"/>
    <row r="227685" customFormat="1" x14ac:dyDescent="0.25"/>
    <row r="227686" customFormat="1" x14ac:dyDescent="0.25"/>
    <row r="227687" customFormat="1" x14ac:dyDescent="0.25"/>
    <row r="227688" customFormat="1" x14ac:dyDescent="0.25"/>
    <row r="227689" customFormat="1" x14ac:dyDescent="0.25"/>
    <row r="227690" customFormat="1" x14ac:dyDescent="0.25"/>
    <row r="227691" customFormat="1" x14ac:dyDescent="0.25"/>
    <row r="227692" customFormat="1" x14ac:dyDescent="0.25"/>
    <row r="227693" customFormat="1" x14ac:dyDescent="0.25"/>
    <row r="227694" customFormat="1" x14ac:dyDescent="0.25"/>
    <row r="227695" customFormat="1" x14ac:dyDescent="0.25"/>
    <row r="227696" customFormat="1" x14ac:dyDescent="0.25"/>
    <row r="227697" customFormat="1" x14ac:dyDescent="0.25"/>
    <row r="227698" customFormat="1" x14ac:dyDescent="0.25"/>
    <row r="227699" customFormat="1" x14ac:dyDescent="0.25"/>
    <row r="227700" customFormat="1" x14ac:dyDescent="0.25"/>
    <row r="227701" customFormat="1" x14ac:dyDescent="0.25"/>
    <row r="227702" customFormat="1" x14ac:dyDescent="0.25"/>
    <row r="227703" customFormat="1" x14ac:dyDescent="0.25"/>
    <row r="227704" customFormat="1" x14ac:dyDescent="0.25"/>
    <row r="227705" customFormat="1" x14ac:dyDescent="0.25"/>
    <row r="227706" customFormat="1" x14ac:dyDescent="0.25"/>
    <row r="227707" customFormat="1" x14ac:dyDescent="0.25"/>
    <row r="227708" customFormat="1" x14ac:dyDescent="0.25"/>
    <row r="227709" customFormat="1" x14ac:dyDescent="0.25"/>
    <row r="227710" customFormat="1" x14ac:dyDescent="0.25"/>
    <row r="227711" customFormat="1" x14ac:dyDescent="0.25"/>
    <row r="227712" customFormat="1" x14ac:dyDescent="0.25"/>
    <row r="227713" customFormat="1" x14ac:dyDescent="0.25"/>
    <row r="227714" customFormat="1" x14ac:dyDescent="0.25"/>
    <row r="227715" customFormat="1" x14ac:dyDescent="0.25"/>
    <row r="227716" customFormat="1" x14ac:dyDescent="0.25"/>
    <row r="227717" customFormat="1" x14ac:dyDescent="0.25"/>
    <row r="227718" customFormat="1" x14ac:dyDescent="0.25"/>
    <row r="227719" customFormat="1" x14ac:dyDescent="0.25"/>
    <row r="227720" customFormat="1" x14ac:dyDescent="0.25"/>
    <row r="227721" customFormat="1" x14ac:dyDescent="0.25"/>
    <row r="227722" customFormat="1" x14ac:dyDescent="0.25"/>
    <row r="227723" customFormat="1" x14ac:dyDescent="0.25"/>
    <row r="227724" customFormat="1" x14ac:dyDescent="0.25"/>
    <row r="227725" customFormat="1" x14ac:dyDescent="0.25"/>
    <row r="227726" customFormat="1" x14ac:dyDescent="0.25"/>
    <row r="227727" customFormat="1" x14ac:dyDescent="0.25"/>
    <row r="227728" customFormat="1" x14ac:dyDescent="0.25"/>
    <row r="227729" customFormat="1" x14ac:dyDescent="0.25"/>
    <row r="227730" customFormat="1" x14ac:dyDescent="0.25"/>
    <row r="227731" customFormat="1" x14ac:dyDescent="0.25"/>
    <row r="227732" customFormat="1" x14ac:dyDescent="0.25"/>
    <row r="227733" customFormat="1" x14ac:dyDescent="0.25"/>
    <row r="227734" customFormat="1" x14ac:dyDescent="0.25"/>
    <row r="227735" customFormat="1" x14ac:dyDescent="0.25"/>
    <row r="227736" customFormat="1" x14ac:dyDescent="0.25"/>
    <row r="227737" customFormat="1" x14ac:dyDescent="0.25"/>
    <row r="227738" customFormat="1" x14ac:dyDescent="0.25"/>
    <row r="227739" customFormat="1" x14ac:dyDescent="0.25"/>
    <row r="227740" customFormat="1" x14ac:dyDescent="0.25"/>
    <row r="227741" customFormat="1" x14ac:dyDescent="0.25"/>
    <row r="227742" customFormat="1" x14ac:dyDescent="0.25"/>
    <row r="227743" customFormat="1" x14ac:dyDescent="0.25"/>
    <row r="227744" customFormat="1" x14ac:dyDescent="0.25"/>
    <row r="227745" customFormat="1" x14ac:dyDescent="0.25"/>
    <row r="227746" customFormat="1" x14ac:dyDescent="0.25"/>
    <row r="227747" customFormat="1" x14ac:dyDescent="0.25"/>
    <row r="227748" customFormat="1" x14ac:dyDescent="0.25"/>
    <row r="227749" customFormat="1" x14ac:dyDescent="0.25"/>
    <row r="227750" customFormat="1" x14ac:dyDescent="0.25"/>
    <row r="227751" customFormat="1" x14ac:dyDescent="0.25"/>
    <row r="227752" customFormat="1" x14ac:dyDescent="0.25"/>
    <row r="227753" customFormat="1" x14ac:dyDescent="0.25"/>
    <row r="227754" customFormat="1" x14ac:dyDescent="0.25"/>
    <row r="227755" customFormat="1" x14ac:dyDescent="0.25"/>
    <row r="227756" customFormat="1" x14ac:dyDescent="0.25"/>
    <row r="227757" customFormat="1" x14ac:dyDescent="0.25"/>
    <row r="227758" customFormat="1" x14ac:dyDescent="0.25"/>
    <row r="227759" customFormat="1" x14ac:dyDescent="0.25"/>
    <row r="227760" customFormat="1" x14ac:dyDescent="0.25"/>
    <row r="227761" customFormat="1" x14ac:dyDescent="0.25"/>
    <row r="227762" customFormat="1" x14ac:dyDescent="0.25"/>
    <row r="227763" customFormat="1" x14ac:dyDescent="0.25"/>
    <row r="227764" customFormat="1" x14ac:dyDescent="0.25"/>
    <row r="227765" customFormat="1" x14ac:dyDescent="0.25"/>
    <row r="227766" customFormat="1" x14ac:dyDescent="0.25"/>
    <row r="227767" customFormat="1" x14ac:dyDescent="0.25"/>
    <row r="227768" customFormat="1" x14ac:dyDescent="0.25"/>
    <row r="227769" customFormat="1" x14ac:dyDescent="0.25"/>
    <row r="227770" customFormat="1" x14ac:dyDescent="0.25"/>
    <row r="227771" customFormat="1" x14ac:dyDescent="0.25"/>
    <row r="227772" customFormat="1" x14ac:dyDescent="0.25"/>
    <row r="227773" customFormat="1" x14ac:dyDescent="0.25"/>
    <row r="227774" customFormat="1" x14ac:dyDescent="0.25"/>
    <row r="227775" customFormat="1" x14ac:dyDescent="0.25"/>
    <row r="227776" customFormat="1" x14ac:dyDescent="0.25"/>
    <row r="227777" customFormat="1" x14ac:dyDescent="0.25"/>
    <row r="227778" customFormat="1" x14ac:dyDescent="0.25"/>
    <row r="227779" customFormat="1" x14ac:dyDescent="0.25"/>
    <row r="227780" customFormat="1" x14ac:dyDescent="0.25"/>
    <row r="227781" customFormat="1" x14ac:dyDescent="0.25"/>
    <row r="227782" customFormat="1" x14ac:dyDescent="0.25"/>
    <row r="227783" customFormat="1" x14ac:dyDescent="0.25"/>
    <row r="227784" customFormat="1" x14ac:dyDescent="0.25"/>
    <row r="227785" customFormat="1" x14ac:dyDescent="0.25"/>
    <row r="227786" customFormat="1" x14ac:dyDescent="0.25"/>
    <row r="227787" customFormat="1" x14ac:dyDescent="0.25"/>
    <row r="227788" customFormat="1" x14ac:dyDescent="0.25"/>
    <row r="227789" customFormat="1" x14ac:dyDescent="0.25"/>
    <row r="227790" customFormat="1" x14ac:dyDescent="0.25"/>
    <row r="227791" customFormat="1" x14ac:dyDescent="0.25"/>
    <row r="227792" customFormat="1" x14ac:dyDescent="0.25"/>
    <row r="227793" customFormat="1" x14ac:dyDescent="0.25"/>
    <row r="227794" customFormat="1" x14ac:dyDescent="0.25"/>
    <row r="227795" customFormat="1" x14ac:dyDescent="0.25"/>
    <row r="227796" customFormat="1" x14ac:dyDescent="0.25"/>
    <row r="227797" customFormat="1" x14ac:dyDescent="0.25"/>
    <row r="227798" customFormat="1" x14ac:dyDescent="0.25"/>
    <row r="227799" customFormat="1" x14ac:dyDescent="0.25"/>
    <row r="227800" customFormat="1" x14ac:dyDescent="0.25"/>
    <row r="227801" customFormat="1" x14ac:dyDescent="0.25"/>
    <row r="227802" customFormat="1" x14ac:dyDescent="0.25"/>
    <row r="227803" customFormat="1" x14ac:dyDescent="0.25"/>
    <row r="227804" customFormat="1" x14ac:dyDescent="0.25"/>
    <row r="227805" customFormat="1" x14ac:dyDescent="0.25"/>
    <row r="227806" customFormat="1" x14ac:dyDescent="0.25"/>
    <row r="227807" customFormat="1" x14ac:dyDescent="0.25"/>
    <row r="227808" customFormat="1" x14ac:dyDescent="0.25"/>
    <row r="227809" customFormat="1" x14ac:dyDescent="0.25"/>
    <row r="227810" customFormat="1" x14ac:dyDescent="0.25"/>
    <row r="227811" customFormat="1" x14ac:dyDescent="0.25"/>
    <row r="227812" customFormat="1" x14ac:dyDescent="0.25"/>
    <row r="227813" customFormat="1" x14ac:dyDescent="0.25"/>
    <row r="227814" customFormat="1" x14ac:dyDescent="0.25"/>
    <row r="227815" customFormat="1" x14ac:dyDescent="0.25"/>
    <row r="227816" customFormat="1" x14ac:dyDescent="0.25"/>
    <row r="227817" customFormat="1" x14ac:dyDescent="0.25"/>
    <row r="227818" customFormat="1" x14ac:dyDescent="0.25"/>
    <row r="227819" customFormat="1" x14ac:dyDescent="0.25"/>
    <row r="227820" customFormat="1" x14ac:dyDescent="0.25"/>
    <row r="227821" customFormat="1" x14ac:dyDescent="0.25"/>
    <row r="227822" customFormat="1" x14ac:dyDescent="0.25"/>
    <row r="227823" customFormat="1" x14ac:dyDescent="0.25"/>
    <row r="227824" customFormat="1" x14ac:dyDescent="0.25"/>
    <row r="227825" customFormat="1" x14ac:dyDescent="0.25"/>
    <row r="227826" customFormat="1" x14ac:dyDescent="0.25"/>
    <row r="227827" customFormat="1" x14ac:dyDescent="0.25"/>
    <row r="227828" customFormat="1" x14ac:dyDescent="0.25"/>
    <row r="227829" customFormat="1" x14ac:dyDescent="0.25"/>
    <row r="227830" customFormat="1" x14ac:dyDescent="0.25"/>
    <row r="227831" customFormat="1" x14ac:dyDescent="0.25"/>
    <row r="227832" customFormat="1" x14ac:dyDescent="0.25"/>
    <row r="227833" customFormat="1" x14ac:dyDescent="0.25"/>
    <row r="227834" customFormat="1" x14ac:dyDescent="0.25"/>
    <row r="227835" customFormat="1" x14ac:dyDescent="0.25"/>
    <row r="227836" customFormat="1" x14ac:dyDescent="0.25"/>
    <row r="227837" customFormat="1" x14ac:dyDescent="0.25"/>
    <row r="227838" customFormat="1" x14ac:dyDescent="0.25"/>
    <row r="227839" customFormat="1" x14ac:dyDescent="0.25"/>
    <row r="227840" customFormat="1" x14ac:dyDescent="0.25"/>
    <row r="227841" customFormat="1" x14ac:dyDescent="0.25"/>
    <row r="227842" customFormat="1" x14ac:dyDescent="0.25"/>
    <row r="227843" customFormat="1" x14ac:dyDescent="0.25"/>
    <row r="227844" customFormat="1" x14ac:dyDescent="0.25"/>
    <row r="227845" customFormat="1" x14ac:dyDescent="0.25"/>
    <row r="227846" customFormat="1" x14ac:dyDescent="0.25"/>
    <row r="227847" customFormat="1" x14ac:dyDescent="0.25"/>
    <row r="227848" customFormat="1" x14ac:dyDescent="0.25"/>
    <row r="227849" customFormat="1" x14ac:dyDescent="0.25"/>
    <row r="227850" customFormat="1" x14ac:dyDescent="0.25"/>
    <row r="227851" customFormat="1" x14ac:dyDescent="0.25"/>
    <row r="227852" customFormat="1" x14ac:dyDescent="0.25"/>
    <row r="227853" customFormat="1" x14ac:dyDescent="0.25"/>
    <row r="227854" customFormat="1" x14ac:dyDescent="0.25"/>
    <row r="227855" customFormat="1" x14ac:dyDescent="0.25"/>
    <row r="227856" customFormat="1" x14ac:dyDescent="0.25"/>
    <row r="227857" customFormat="1" x14ac:dyDescent="0.25"/>
    <row r="227858" customFormat="1" x14ac:dyDescent="0.25"/>
    <row r="227859" customFormat="1" x14ac:dyDescent="0.25"/>
    <row r="227860" customFormat="1" x14ac:dyDescent="0.25"/>
    <row r="227861" customFormat="1" x14ac:dyDescent="0.25"/>
    <row r="227862" customFormat="1" x14ac:dyDescent="0.25"/>
    <row r="227863" customFormat="1" x14ac:dyDescent="0.25"/>
    <row r="227864" customFormat="1" x14ac:dyDescent="0.25"/>
    <row r="227865" customFormat="1" x14ac:dyDescent="0.25"/>
    <row r="227866" customFormat="1" x14ac:dyDescent="0.25"/>
    <row r="227867" customFormat="1" x14ac:dyDescent="0.25"/>
    <row r="227868" customFormat="1" x14ac:dyDescent="0.25"/>
    <row r="227869" customFormat="1" x14ac:dyDescent="0.25"/>
    <row r="227870" customFormat="1" x14ac:dyDescent="0.25"/>
    <row r="227871" customFormat="1" x14ac:dyDescent="0.25"/>
    <row r="227872" customFormat="1" x14ac:dyDescent="0.25"/>
    <row r="227873" customFormat="1" x14ac:dyDescent="0.25"/>
    <row r="227874" customFormat="1" x14ac:dyDescent="0.25"/>
    <row r="227875" customFormat="1" x14ac:dyDescent="0.25"/>
    <row r="227876" customFormat="1" x14ac:dyDescent="0.25"/>
    <row r="227877" customFormat="1" x14ac:dyDescent="0.25"/>
    <row r="227878" customFormat="1" x14ac:dyDescent="0.25"/>
    <row r="227879" customFormat="1" x14ac:dyDescent="0.25"/>
    <row r="227880" customFormat="1" x14ac:dyDescent="0.25"/>
    <row r="227881" customFormat="1" x14ac:dyDescent="0.25"/>
    <row r="227882" customFormat="1" x14ac:dyDescent="0.25"/>
    <row r="227883" customFormat="1" x14ac:dyDescent="0.25"/>
    <row r="227884" customFormat="1" x14ac:dyDescent="0.25"/>
    <row r="227885" customFormat="1" x14ac:dyDescent="0.25"/>
    <row r="227886" customFormat="1" x14ac:dyDescent="0.25"/>
    <row r="227887" customFormat="1" x14ac:dyDescent="0.25"/>
    <row r="227888" customFormat="1" x14ac:dyDescent="0.25"/>
    <row r="227889" customFormat="1" x14ac:dyDescent="0.25"/>
    <row r="227890" customFormat="1" x14ac:dyDescent="0.25"/>
    <row r="227891" customFormat="1" x14ac:dyDescent="0.25"/>
    <row r="227892" customFormat="1" x14ac:dyDescent="0.25"/>
    <row r="227893" customFormat="1" x14ac:dyDescent="0.25"/>
    <row r="227894" customFormat="1" x14ac:dyDescent="0.25"/>
    <row r="227895" customFormat="1" x14ac:dyDescent="0.25"/>
    <row r="227896" customFormat="1" x14ac:dyDescent="0.25"/>
    <row r="227897" customFormat="1" x14ac:dyDescent="0.25"/>
    <row r="227898" customFormat="1" x14ac:dyDescent="0.25"/>
    <row r="227899" customFormat="1" x14ac:dyDescent="0.25"/>
    <row r="227900" customFormat="1" x14ac:dyDescent="0.25"/>
    <row r="227901" customFormat="1" x14ac:dyDescent="0.25"/>
    <row r="227902" customFormat="1" x14ac:dyDescent="0.25"/>
    <row r="227903" customFormat="1" x14ac:dyDescent="0.25"/>
    <row r="227904" customFormat="1" x14ac:dyDescent="0.25"/>
    <row r="227905" customFormat="1" x14ac:dyDescent="0.25"/>
    <row r="227906" customFormat="1" x14ac:dyDescent="0.25"/>
    <row r="227907" customFormat="1" x14ac:dyDescent="0.25"/>
    <row r="227908" customFormat="1" x14ac:dyDescent="0.25"/>
    <row r="227909" customFormat="1" x14ac:dyDescent="0.25"/>
    <row r="227910" customFormat="1" x14ac:dyDescent="0.25"/>
    <row r="227911" customFormat="1" x14ac:dyDescent="0.25"/>
    <row r="227912" customFormat="1" x14ac:dyDescent="0.25"/>
    <row r="227913" customFormat="1" x14ac:dyDescent="0.25"/>
    <row r="227914" customFormat="1" x14ac:dyDescent="0.25"/>
    <row r="227915" customFormat="1" x14ac:dyDescent="0.25"/>
    <row r="227916" customFormat="1" x14ac:dyDescent="0.25"/>
    <row r="227917" customFormat="1" x14ac:dyDescent="0.25"/>
    <row r="227918" customFormat="1" x14ac:dyDescent="0.25"/>
    <row r="227919" customFormat="1" x14ac:dyDescent="0.25"/>
    <row r="227920" customFormat="1" x14ac:dyDescent="0.25"/>
    <row r="227921" customFormat="1" x14ac:dyDescent="0.25"/>
    <row r="227922" customFormat="1" x14ac:dyDescent="0.25"/>
    <row r="227923" customFormat="1" x14ac:dyDescent="0.25"/>
    <row r="227924" customFormat="1" x14ac:dyDescent="0.25"/>
    <row r="227925" customFormat="1" x14ac:dyDescent="0.25"/>
    <row r="227926" customFormat="1" x14ac:dyDescent="0.25"/>
    <row r="227927" customFormat="1" x14ac:dyDescent="0.25"/>
    <row r="227928" customFormat="1" x14ac:dyDescent="0.25"/>
    <row r="227929" customFormat="1" x14ac:dyDescent="0.25"/>
    <row r="227930" customFormat="1" x14ac:dyDescent="0.25"/>
    <row r="227931" customFormat="1" x14ac:dyDescent="0.25"/>
    <row r="227932" customFormat="1" x14ac:dyDescent="0.25"/>
    <row r="227933" customFormat="1" x14ac:dyDescent="0.25"/>
    <row r="227934" customFormat="1" x14ac:dyDescent="0.25"/>
    <row r="227935" customFormat="1" x14ac:dyDescent="0.25"/>
    <row r="227936" customFormat="1" x14ac:dyDescent="0.25"/>
    <row r="227937" customFormat="1" x14ac:dyDescent="0.25"/>
    <row r="227938" customFormat="1" x14ac:dyDescent="0.25"/>
    <row r="227939" customFormat="1" x14ac:dyDescent="0.25"/>
    <row r="227940" customFormat="1" x14ac:dyDescent="0.25"/>
    <row r="227941" customFormat="1" x14ac:dyDescent="0.25"/>
    <row r="227942" customFormat="1" x14ac:dyDescent="0.25"/>
    <row r="227943" customFormat="1" x14ac:dyDescent="0.25"/>
    <row r="227944" customFormat="1" x14ac:dyDescent="0.25"/>
    <row r="227945" customFormat="1" x14ac:dyDescent="0.25"/>
    <row r="227946" customFormat="1" x14ac:dyDescent="0.25"/>
    <row r="227947" customFormat="1" x14ac:dyDescent="0.25"/>
    <row r="227948" customFormat="1" x14ac:dyDescent="0.25"/>
    <row r="227949" customFormat="1" x14ac:dyDescent="0.25"/>
    <row r="227950" customFormat="1" x14ac:dyDescent="0.25"/>
    <row r="227951" customFormat="1" x14ac:dyDescent="0.25"/>
    <row r="227952" customFormat="1" x14ac:dyDescent="0.25"/>
    <row r="227953" customFormat="1" x14ac:dyDescent="0.25"/>
    <row r="227954" customFormat="1" x14ac:dyDescent="0.25"/>
    <row r="227955" customFormat="1" x14ac:dyDescent="0.25"/>
    <row r="227956" customFormat="1" x14ac:dyDescent="0.25"/>
    <row r="227957" customFormat="1" x14ac:dyDescent="0.25"/>
    <row r="227958" customFormat="1" x14ac:dyDescent="0.25"/>
    <row r="227959" customFormat="1" x14ac:dyDescent="0.25"/>
    <row r="227960" customFormat="1" x14ac:dyDescent="0.25"/>
    <row r="227961" customFormat="1" x14ac:dyDescent="0.25"/>
    <row r="227962" customFormat="1" x14ac:dyDescent="0.25"/>
    <row r="227963" customFormat="1" x14ac:dyDescent="0.25"/>
    <row r="227964" customFormat="1" x14ac:dyDescent="0.25"/>
    <row r="227965" customFormat="1" x14ac:dyDescent="0.25"/>
    <row r="227966" customFormat="1" x14ac:dyDescent="0.25"/>
    <row r="227967" customFormat="1" x14ac:dyDescent="0.25"/>
    <row r="227968" customFormat="1" x14ac:dyDescent="0.25"/>
    <row r="227969" customFormat="1" x14ac:dyDescent="0.25"/>
    <row r="227970" customFormat="1" x14ac:dyDescent="0.25"/>
    <row r="227971" customFormat="1" x14ac:dyDescent="0.25"/>
    <row r="227972" customFormat="1" x14ac:dyDescent="0.25"/>
    <row r="227973" customFormat="1" x14ac:dyDescent="0.25"/>
    <row r="227974" customFormat="1" x14ac:dyDescent="0.25"/>
    <row r="227975" customFormat="1" x14ac:dyDescent="0.25"/>
    <row r="227976" customFormat="1" x14ac:dyDescent="0.25"/>
    <row r="227977" customFormat="1" x14ac:dyDescent="0.25"/>
    <row r="227978" customFormat="1" x14ac:dyDescent="0.25"/>
    <row r="227979" customFormat="1" x14ac:dyDescent="0.25"/>
    <row r="227980" customFormat="1" x14ac:dyDescent="0.25"/>
    <row r="227981" customFormat="1" x14ac:dyDescent="0.25"/>
    <row r="227982" customFormat="1" x14ac:dyDescent="0.25"/>
    <row r="227983" customFormat="1" x14ac:dyDescent="0.25"/>
    <row r="227984" customFormat="1" x14ac:dyDescent="0.25"/>
    <row r="227985" customFormat="1" x14ac:dyDescent="0.25"/>
    <row r="227986" customFormat="1" x14ac:dyDescent="0.25"/>
    <row r="227987" customFormat="1" x14ac:dyDescent="0.25"/>
    <row r="227988" customFormat="1" x14ac:dyDescent="0.25"/>
    <row r="227989" customFormat="1" x14ac:dyDescent="0.25"/>
    <row r="227990" customFormat="1" x14ac:dyDescent="0.25"/>
    <row r="227991" customFormat="1" x14ac:dyDescent="0.25"/>
    <row r="227992" customFormat="1" x14ac:dyDescent="0.25"/>
    <row r="227993" customFormat="1" x14ac:dyDescent="0.25"/>
    <row r="227994" customFormat="1" x14ac:dyDescent="0.25"/>
    <row r="227995" customFormat="1" x14ac:dyDescent="0.25"/>
    <row r="227996" customFormat="1" x14ac:dyDescent="0.25"/>
    <row r="227997" customFormat="1" x14ac:dyDescent="0.25"/>
    <row r="227998" customFormat="1" x14ac:dyDescent="0.25"/>
    <row r="227999" customFormat="1" x14ac:dyDescent="0.25"/>
    <row r="228000" customFormat="1" x14ac:dyDescent="0.25"/>
    <row r="228001" customFormat="1" x14ac:dyDescent="0.25"/>
    <row r="228002" customFormat="1" x14ac:dyDescent="0.25"/>
    <row r="228003" customFormat="1" x14ac:dyDescent="0.25"/>
    <row r="228004" customFormat="1" x14ac:dyDescent="0.25"/>
    <row r="228005" customFormat="1" x14ac:dyDescent="0.25"/>
    <row r="228006" customFormat="1" x14ac:dyDescent="0.25"/>
    <row r="228007" customFormat="1" x14ac:dyDescent="0.25"/>
    <row r="228008" customFormat="1" x14ac:dyDescent="0.25"/>
    <row r="228009" customFormat="1" x14ac:dyDescent="0.25"/>
    <row r="228010" customFormat="1" x14ac:dyDescent="0.25"/>
    <row r="228011" customFormat="1" x14ac:dyDescent="0.25"/>
    <row r="228012" customFormat="1" x14ac:dyDescent="0.25"/>
    <row r="228013" customFormat="1" x14ac:dyDescent="0.25"/>
    <row r="228014" customFormat="1" x14ac:dyDescent="0.25"/>
    <row r="228015" customFormat="1" x14ac:dyDescent="0.25"/>
    <row r="228016" customFormat="1" x14ac:dyDescent="0.25"/>
    <row r="228017" customFormat="1" x14ac:dyDescent="0.25"/>
    <row r="228018" customFormat="1" x14ac:dyDescent="0.25"/>
    <row r="228019" customFormat="1" x14ac:dyDescent="0.25"/>
    <row r="228020" customFormat="1" x14ac:dyDescent="0.25"/>
    <row r="228021" customFormat="1" x14ac:dyDescent="0.25"/>
    <row r="228022" customFormat="1" x14ac:dyDescent="0.25"/>
    <row r="228023" customFormat="1" x14ac:dyDescent="0.25"/>
    <row r="228024" customFormat="1" x14ac:dyDescent="0.25"/>
    <row r="228025" customFormat="1" x14ac:dyDescent="0.25"/>
    <row r="228026" customFormat="1" x14ac:dyDescent="0.25"/>
    <row r="228027" customFormat="1" x14ac:dyDescent="0.25"/>
    <row r="228028" customFormat="1" x14ac:dyDescent="0.25"/>
    <row r="228029" customFormat="1" x14ac:dyDescent="0.25"/>
    <row r="228030" customFormat="1" x14ac:dyDescent="0.25"/>
    <row r="228031" customFormat="1" x14ac:dyDescent="0.25"/>
    <row r="228032" customFormat="1" x14ac:dyDescent="0.25"/>
    <row r="228033" customFormat="1" x14ac:dyDescent="0.25"/>
    <row r="228034" customFormat="1" x14ac:dyDescent="0.25"/>
    <row r="228035" customFormat="1" x14ac:dyDescent="0.25"/>
    <row r="228036" customFormat="1" x14ac:dyDescent="0.25"/>
    <row r="228037" customFormat="1" x14ac:dyDescent="0.25"/>
    <row r="228038" customFormat="1" x14ac:dyDescent="0.25"/>
    <row r="228039" customFormat="1" x14ac:dyDescent="0.25"/>
    <row r="228040" customFormat="1" x14ac:dyDescent="0.25"/>
    <row r="228041" customFormat="1" x14ac:dyDescent="0.25"/>
    <row r="228042" customFormat="1" x14ac:dyDescent="0.25"/>
    <row r="228043" customFormat="1" x14ac:dyDescent="0.25"/>
    <row r="228044" customFormat="1" x14ac:dyDescent="0.25"/>
    <row r="228045" customFormat="1" x14ac:dyDescent="0.25"/>
    <row r="228046" customFormat="1" x14ac:dyDescent="0.25"/>
    <row r="228047" customFormat="1" x14ac:dyDescent="0.25"/>
    <row r="228048" customFormat="1" x14ac:dyDescent="0.25"/>
    <row r="228049" customFormat="1" x14ac:dyDescent="0.25"/>
    <row r="228050" customFormat="1" x14ac:dyDescent="0.25"/>
    <row r="228051" customFormat="1" x14ac:dyDescent="0.25"/>
    <row r="228052" customFormat="1" x14ac:dyDescent="0.25"/>
    <row r="228053" customFormat="1" x14ac:dyDescent="0.25"/>
    <row r="228054" customFormat="1" x14ac:dyDescent="0.25"/>
    <row r="228055" customFormat="1" x14ac:dyDescent="0.25"/>
    <row r="228056" customFormat="1" x14ac:dyDescent="0.25"/>
    <row r="228057" customFormat="1" x14ac:dyDescent="0.25"/>
    <row r="228058" customFormat="1" x14ac:dyDescent="0.25"/>
    <row r="228059" customFormat="1" x14ac:dyDescent="0.25"/>
    <row r="228060" customFormat="1" x14ac:dyDescent="0.25"/>
    <row r="228061" customFormat="1" x14ac:dyDescent="0.25"/>
    <row r="228062" customFormat="1" x14ac:dyDescent="0.25"/>
    <row r="228063" customFormat="1" x14ac:dyDescent="0.25"/>
    <row r="228064" customFormat="1" x14ac:dyDescent="0.25"/>
    <row r="228065" customFormat="1" x14ac:dyDescent="0.25"/>
    <row r="228066" customFormat="1" x14ac:dyDescent="0.25"/>
    <row r="228067" customFormat="1" x14ac:dyDescent="0.25"/>
    <row r="228068" customFormat="1" x14ac:dyDescent="0.25"/>
    <row r="228069" customFormat="1" x14ac:dyDescent="0.25"/>
    <row r="228070" customFormat="1" x14ac:dyDescent="0.25"/>
    <row r="228071" customFormat="1" x14ac:dyDescent="0.25"/>
    <row r="228072" customFormat="1" x14ac:dyDescent="0.25"/>
    <row r="228073" customFormat="1" x14ac:dyDescent="0.25"/>
    <row r="228074" customFormat="1" x14ac:dyDescent="0.25"/>
    <row r="228075" customFormat="1" x14ac:dyDescent="0.25"/>
    <row r="228076" customFormat="1" x14ac:dyDescent="0.25"/>
    <row r="228077" customFormat="1" x14ac:dyDescent="0.25"/>
    <row r="228078" customFormat="1" x14ac:dyDescent="0.25"/>
    <row r="228079" customFormat="1" x14ac:dyDescent="0.25"/>
    <row r="228080" customFormat="1" x14ac:dyDescent="0.25"/>
    <row r="228081" customFormat="1" x14ac:dyDescent="0.25"/>
    <row r="228082" customFormat="1" x14ac:dyDescent="0.25"/>
    <row r="228083" customFormat="1" x14ac:dyDescent="0.25"/>
    <row r="228084" customFormat="1" x14ac:dyDescent="0.25"/>
    <row r="228085" customFormat="1" x14ac:dyDescent="0.25"/>
    <row r="228086" customFormat="1" x14ac:dyDescent="0.25"/>
    <row r="228087" customFormat="1" x14ac:dyDescent="0.25"/>
    <row r="228088" customFormat="1" x14ac:dyDescent="0.25"/>
    <row r="228089" customFormat="1" x14ac:dyDescent="0.25"/>
    <row r="228090" customFormat="1" x14ac:dyDescent="0.25"/>
    <row r="228091" customFormat="1" x14ac:dyDescent="0.25"/>
    <row r="228092" customFormat="1" x14ac:dyDescent="0.25"/>
    <row r="228093" customFormat="1" x14ac:dyDescent="0.25"/>
    <row r="228094" customFormat="1" x14ac:dyDescent="0.25"/>
    <row r="228095" customFormat="1" x14ac:dyDescent="0.25"/>
    <row r="228096" customFormat="1" x14ac:dyDescent="0.25"/>
    <row r="228097" customFormat="1" x14ac:dyDescent="0.25"/>
    <row r="228098" customFormat="1" x14ac:dyDescent="0.25"/>
    <row r="228099" customFormat="1" x14ac:dyDescent="0.25"/>
    <row r="228100" customFormat="1" x14ac:dyDescent="0.25"/>
    <row r="228101" customFormat="1" x14ac:dyDescent="0.25"/>
    <row r="228102" customFormat="1" x14ac:dyDescent="0.25"/>
    <row r="228103" customFormat="1" x14ac:dyDescent="0.25"/>
    <row r="228104" customFormat="1" x14ac:dyDescent="0.25"/>
    <row r="228105" customFormat="1" x14ac:dyDescent="0.25"/>
    <row r="228106" customFormat="1" x14ac:dyDescent="0.25"/>
    <row r="228107" customFormat="1" x14ac:dyDescent="0.25"/>
    <row r="228108" customFormat="1" x14ac:dyDescent="0.25"/>
    <row r="228109" customFormat="1" x14ac:dyDescent="0.25"/>
    <row r="228110" customFormat="1" x14ac:dyDescent="0.25"/>
    <row r="228111" customFormat="1" x14ac:dyDescent="0.25"/>
    <row r="228112" customFormat="1" x14ac:dyDescent="0.25"/>
    <row r="228113" customFormat="1" x14ac:dyDescent="0.25"/>
    <row r="228114" customFormat="1" x14ac:dyDescent="0.25"/>
    <row r="228115" customFormat="1" x14ac:dyDescent="0.25"/>
    <row r="228116" customFormat="1" x14ac:dyDescent="0.25"/>
    <row r="228117" customFormat="1" x14ac:dyDescent="0.25"/>
    <row r="228118" customFormat="1" x14ac:dyDescent="0.25"/>
    <row r="228119" customFormat="1" x14ac:dyDescent="0.25"/>
    <row r="228120" customFormat="1" x14ac:dyDescent="0.25"/>
    <row r="228121" customFormat="1" x14ac:dyDescent="0.25"/>
    <row r="228122" customFormat="1" x14ac:dyDescent="0.25"/>
    <row r="228123" customFormat="1" x14ac:dyDescent="0.25"/>
    <row r="228124" customFormat="1" x14ac:dyDescent="0.25"/>
    <row r="228125" customFormat="1" x14ac:dyDescent="0.25"/>
    <row r="228126" customFormat="1" x14ac:dyDescent="0.25"/>
    <row r="228127" customFormat="1" x14ac:dyDescent="0.25"/>
    <row r="228128" customFormat="1" x14ac:dyDescent="0.25"/>
    <row r="228129" customFormat="1" x14ac:dyDescent="0.25"/>
    <row r="228130" customFormat="1" x14ac:dyDescent="0.25"/>
    <row r="228131" customFormat="1" x14ac:dyDescent="0.25"/>
    <row r="228132" customFormat="1" x14ac:dyDescent="0.25"/>
    <row r="228133" customFormat="1" x14ac:dyDescent="0.25"/>
    <row r="228134" customFormat="1" x14ac:dyDescent="0.25"/>
    <row r="228135" customFormat="1" x14ac:dyDescent="0.25"/>
    <row r="228136" customFormat="1" x14ac:dyDescent="0.25"/>
    <row r="228137" customFormat="1" x14ac:dyDescent="0.25"/>
    <row r="228138" customFormat="1" x14ac:dyDescent="0.25"/>
    <row r="228139" customFormat="1" x14ac:dyDescent="0.25"/>
    <row r="228140" customFormat="1" x14ac:dyDescent="0.25"/>
    <row r="228141" customFormat="1" x14ac:dyDescent="0.25"/>
    <row r="228142" customFormat="1" x14ac:dyDescent="0.25"/>
    <row r="228143" customFormat="1" x14ac:dyDescent="0.25"/>
    <row r="228144" customFormat="1" x14ac:dyDescent="0.25"/>
    <row r="228145" customFormat="1" x14ac:dyDescent="0.25"/>
    <row r="228146" customFormat="1" x14ac:dyDescent="0.25"/>
    <row r="228147" customFormat="1" x14ac:dyDescent="0.25"/>
    <row r="228148" customFormat="1" x14ac:dyDescent="0.25"/>
    <row r="228149" customFormat="1" x14ac:dyDescent="0.25"/>
    <row r="228150" customFormat="1" x14ac:dyDescent="0.25"/>
    <row r="228151" customFormat="1" x14ac:dyDescent="0.25"/>
    <row r="228152" customFormat="1" x14ac:dyDescent="0.25"/>
    <row r="228153" customFormat="1" x14ac:dyDescent="0.25"/>
    <row r="228154" customFormat="1" x14ac:dyDescent="0.25"/>
    <row r="228155" customFormat="1" x14ac:dyDescent="0.25"/>
    <row r="228156" customFormat="1" x14ac:dyDescent="0.25"/>
    <row r="228157" customFormat="1" x14ac:dyDescent="0.25"/>
    <row r="228158" customFormat="1" x14ac:dyDescent="0.25"/>
    <row r="228159" customFormat="1" x14ac:dyDescent="0.25"/>
    <row r="228160" customFormat="1" x14ac:dyDescent="0.25"/>
    <row r="228161" customFormat="1" x14ac:dyDescent="0.25"/>
    <row r="228162" customFormat="1" x14ac:dyDescent="0.25"/>
    <row r="228163" customFormat="1" x14ac:dyDescent="0.25"/>
    <row r="228164" customFormat="1" x14ac:dyDescent="0.25"/>
    <row r="228165" customFormat="1" x14ac:dyDescent="0.25"/>
    <row r="228166" customFormat="1" x14ac:dyDescent="0.25"/>
    <row r="228167" customFormat="1" x14ac:dyDescent="0.25"/>
    <row r="228168" customFormat="1" x14ac:dyDescent="0.25"/>
    <row r="228169" customFormat="1" x14ac:dyDescent="0.25"/>
    <row r="228170" customFormat="1" x14ac:dyDescent="0.25"/>
    <row r="228171" customFormat="1" x14ac:dyDescent="0.25"/>
    <row r="228172" customFormat="1" x14ac:dyDescent="0.25"/>
    <row r="228173" customFormat="1" x14ac:dyDescent="0.25"/>
    <row r="228174" customFormat="1" x14ac:dyDescent="0.25"/>
    <row r="228175" customFormat="1" x14ac:dyDescent="0.25"/>
    <row r="228176" customFormat="1" x14ac:dyDescent="0.25"/>
    <row r="228177" customFormat="1" x14ac:dyDescent="0.25"/>
    <row r="228178" customFormat="1" x14ac:dyDescent="0.25"/>
    <row r="228179" customFormat="1" x14ac:dyDescent="0.25"/>
    <row r="228180" customFormat="1" x14ac:dyDescent="0.25"/>
    <row r="228181" customFormat="1" x14ac:dyDescent="0.25"/>
    <row r="228182" customFormat="1" x14ac:dyDescent="0.25"/>
    <row r="228183" customFormat="1" x14ac:dyDescent="0.25"/>
    <row r="228184" customFormat="1" x14ac:dyDescent="0.25"/>
    <row r="228185" customFormat="1" x14ac:dyDescent="0.25"/>
    <row r="228186" customFormat="1" x14ac:dyDescent="0.25"/>
    <row r="228187" customFormat="1" x14ac:dyDescent="0.25"/>
    <row r="228188" customFormat="1" x14ac:dyDescent="0.25"/>
    <row r="228189" customFormat="1" x14ac:dyDescent="0.25"/>
    <row r="228190" customFormat="1" x14ac:dyDescent="0.25"/>
    <row r="228191" customFormat="1" x14ac:dyDescent="0.25"/>
    <row r="228192" customFormat="1" x14ac:dyDescent="0.25"/>
    <row r="228193" customFormat="1" x14ac:dyDescent="0.25"/>
    <row r="228194" customFormat="1" x14ac:dyDescent="0.25"/>
    <row r="228195" customFormat="1" x14ac:dyDescent="0.25"/>
    <row r="228196" customFormat="1" x14ac:dyDescent="0.25"/>
    <row r="228197" customFormat="1" x14ac:dyDescent="0.25"/>
    <row r="228198" customFormat="1" x14ac:dyDescent="0.25"/>
    <row r="228199" customFormat="1" x14ac:dyDescent="0.25"/>
    <row r="228200" customFormat="1" x14ac:dyDescent="0.25"/>
    <row r="228201" customFormat="1" x14ac:dyDescent="0.25"/>
    <row r="228202" customFormat="1" x14ac:dyDescent="0.25"/>
    <row r="228203" customFormat="1" x14ac:dyDescent="0.25"/>
    <row r="228204" customFormat="1" x14ac:dyDescent="0.25"/>
    <row r="228205" customFormat="1" x14ac:dyDescent="0.25"/>
    <row r="228206" customFormat="1" x14ac:dyDescent="0.25"/>
    <row r="228207" customFormat="1" x14ac:dyDescent="0.25"/>
    <row r="228208" customFormat="1" x14ac:dyDescent="0.25"/>
    <row r="228209" customFormat="1" x14ac:dyDescent="0.25"/>
    <row r="228210" customFormat="1" x14ac:dyDescent="0.25"/>
    <row r="228211" customFormat="1" x14ac:dyDescent="0.25"/>
    <row r="228212" customFormat="1" x14ac:dyDescent="0.25"/>
    <row r="228213" customFormat="1" x14ac:dyDescent="0.25"/>
    <row r="228214" customFormat="1" x14ac:dyDescent="0.25"/>
    <row r="228215" customFormat="1" x14ac:dyDescent="0.25"/>
    <row r="228216" customFormat="1" x14ac:dyDescent="0.25"/>
    <row r="228217" customFormat="1" x14ac:dyDescent="0.25"/>
    <row r="228218" customFormat="1" x14ac:dyDescent="0.25"/>
    <row r="228219" customFormat="1" x14ac:dyDescent="0.25"/>
    <row r="228220" customFormat="1" x14ac:dyDescent="0.25"/>
    <row r="228221" customFormat="1" x14ac:dyDescent="0.25"/>
    <row r="228222" customFormat="1" x14ac:dyDescent="0.25"/>
    <row r="228223" customFormat="1" x14ac:dyDescent="0.25"/>
    <row r="228224" customFormat="1" x14ac:dyDescent="0.25"/>
    <row r="228225" customFormat="1" x14ac:dyDescent="0.25"/>
    <row r="228226" customFormat="1" x14ac:dyDescent="0.25"/>
    <row r="228227" customFormat="1" x14ac:dyDescent="0.25"/>
    <row r="228228" customFormat="1" x14ac:dyDescent="0.25"/>
    <row r="228229" customFormat="1" x14ac:dyDescent="0.25"/>
    <row r="228230" customFormat="1" x14ac:dyDescent="0.25"/>
    <row r="228231" customFormat="1" x14ac:dyDescent="0.25"/>
    <row r="228232" customFormat="1" x14ac:dyDescent="0.25"/>
    <row r="228233" customFormat="1" x14ac:dyDescent="0.25"/>
    <row r="228234" customFormat="1" x14ac:dyDescent="0.25"/>
    <row r="228235" customFormat="1" x14ac:dyDescent="0.25"/>
    <row r="228236" customFormat="1" x14ac:dyDescent="0.25"/>
    <row r="228237" customFormat="1" x14ac:dyDescent="0.25"/>
    <row r="228238" customFormat="1" x14ac:dyDescent="0.25"/>
    <row r="228239" customFormat="1" x14ac:dyDescent="0.25"/>
    <row r="228240" customFormat="1" x14ac:dyDescent="0.25"/>
    <row r="228241" customFormat="1" x14ac:dyDescent="0.25"/>
    <row r="228242" customFormat="1" x14ac:dyDescent="0.25"/>
    <row r="228243" customFormat="1" x14ac:dyDescent="0.25"/>
    <row r="228244" customFormat="1" x14ac:dyDescent="0.25"/>
    <row r="228245" customFormat="1" x14ac:dyDescent="0.25"/>
    <row r="228246" customFormat="1" x14ac:dyDescent="0.25"/>
    <row r="228247" customFormat="1" x14ac:dyDescent="0.25"/>
    <row r="228248" customFormat="1" x14ac:dyDescent="0.25"/>
    <row r="228249" customFormat="1" x14ac:dyDescent="0.25"/>
    <row r="228250" customFormat="1" x14ac:dyDescent="0.25"/>
    <row r="228251" customFormat="1" x14ac:dyDescent="0.25"/>
    <row r="228252" customFormat="1" x14ac:dyDescent="0.25"/>
    <row r="228253" customFormat="1" x14ac:dyDescent="0.25"/>
    <row r="228254" customFormat="1" x14ac:dyDescent="0.25"/>
    <row r="228255" customFormat="1" x14ac:dyDescent="0.25"/>
    <row r="228256" customFormat="1" x14ac:dyDescent="0.25"/>
    <row r="228257" customFormat="1" x14ac:dyDescent="0.25"/>
    <row r="228258" customFormat="1" x14ac:dyDescent="0.25"/>
    <row r="228259" customFormat="1" x14ac:dyDescent="0.25"/>
    <row r="228260" customFormat="1" x14ac:dyDescent="0.25"/>
    <row r="228261" customFormat="1" x14ac:dyDescent="0.25"/>
    <row r="228262" customFormat="1" x14ac:dyDescent="0.25"/>
    <row r="228263" customFormat="1" x14ac:dyDescent="0.25"/>
    <row r="228264" customFormat="1" x14ac:dyDescent="0.25"/>
    <row r="228265" customFormat="1" x14ac:dyDescent="0.25"/>
    <row r="228266" customFormat="1" x14ac:dyDescent="0.25"/>
    <row r="228267" customFormat="1" x14ac:dyDescent="0.25"/>
    <row r="228268" customFormat="1" x14ac:dyDescent="0.25"/>
    <row r="228269" customFormat="1" x14ac:dyDescent="0.25"/>
    <row r="228270" customFormat="1" x14ac:dyDescent="0.25"/>
    <row r="228271" customFormat="1" x14ac:dyDescent="0.25"/>
    <row r="228272" customFormat="1" x14ac:dyDescent="0.25"/>
    <row r="228273" customFormat="1" x14ac:dyDescent="0.25"/>
    <row r="228274" customFormat="1" x14ac:dyDescent="0.25"/>
    <row r="228275" customFormat="1" x14ac:dyDescent="0.25"/>
    <row r="228276" customFormat="1" x14ac:dyDescent="0.25"/>
    <row r="228277" customFormat="1" x14ac:dyDescent="0.25"/>
    <row r="228278" customFormat="1" x14ac:dyDescent="0.25"/>
    <row r="228279" customFormat="1" x14ac:dyDescent="0.25"/>
    <row r="228280" customFormat="1" x14ac:dyDescent="0.25"/>
    <row r="228281" customFormat="1" x14ac:dyDescent="0.25"/>
    <row r="228282" customFormat="1" x14ac:dyDescent="0.25"/>
    <row r="228283" customFormat="1" x14ac:dyDescent="0.25"/>
    <row r="228284" customFormat="1" x14ac:dyDescent="0.25"/>
    <row r="228285" customFormat="1" x14ac:dyDescent="0.25"/>
    <row r="228286" customFormat="1" x14ac:dyDescent="0.25"/>
    <row r="228287" customFormat="1" x14ac:dyDescent="0.25"/>
    <row r="228288" customFormat="1" x14ac:dyDescent="0.25"/>
    <row r="228289" customFormat="1" x14ac:dyDescent="0.25"/>
    <row r="228290" customFormat="1" x14ac:dyDescent="0.25"/>
    <row r="228291" customFormat="1" x14ac:dyDescent="0.25"/>
    <row r="228292" customFormat="1" x14ac:dyDescent="0.25"/>
    <row r="228293" customFormat="1" x14ac:dyDescent="0.25"/>
    <row r="228294" customFormat="1" x14ac:dyDescent="0.25"/>
    <row r="228295" customFormat="1" x14ac:dyDescent="0.25"/>
    <row r="228296" customFormat="1" x14ac:dyDescent="0.25"/>
    <row r="228297" customFormat="1" x14ac:dyDescent="0.25"/>
    <row r="228298" customFormat="1" x14ac:dyDescent="0.25"/>
    <row r="228299" customFormat="1" x14ac:dyDescent="0.25"/>
    <row r="228300" customFormat="1" x14ac:dyDescent="0.25"/>
    <row r="228301" customFormat="1" x14ac:dyDescent="0.25"/>
    <row r="228302" customFormat="1" x14ac:dyDescent="0.25"/>
    <row r="228303" customFormat="1" x14ac:dyDescent="0.25"/>
    <row r="228304" customFormat="1" x14ac:dyDescent="0.25"/>
    <row r="228305" customFormat="1" x14ac:dyDescent="0.25"/>
    <row r="228306" customFormat="1" x14ac:dyDescent="0.25"/>
    <row r="228307" customFormat="1" x14ac:dyDescent="0.25"/>
    <row r="228308" customFormat="1" x14ac:dyDescent="0.25"/>
    <row r="228309" customFormat="1" x14ac:dyDescent="0.25"/>
    <row r="228310" customFormat="1" x14ac:dyDescent="0.25"/>
    <row r="228311" customFormat="1" x14ac:dyDescent="0.25"/>
    <row r="228312" customFormat="1" x14ac:dyDescent="0.25"/>
    <row r="228313" customFormat="1" x14ac:dyDescent="0.25"/>
    <row r="228314" customFormat="1" x14ac:dyDescent="0.25"/>
    <row r="228315" customFormat="1" x14ac:dyDescent="0.25"/>
    <row r="228316" customFormat="1" x14ac:dyDescent="0.25"/>
    <row r="228317" customFormat="1" x14ac:dyDescent="0.25"/>
    <row r="228318" customFormat="1" x14ac:dyDescent="0.25"/>
    <row r="228319" customFormat="1" x14ac:dyDescent="0.25"/>
    <row r="228320" customFormat="1" x14ac:dyDescent="0.25"/>
    <row r="228321" customFormat="1" x14ac:dyDescent="0.25"/>
    <row r="228322" customFormat="1" x14ac:dyDescent="0.25"/>
    <row r="228323" customFormat="1" x14ac:dyDescent="0.25"/>
    <row r="228324" customFormat="1" x14ac:dyDescent="0.25"/>
    <row r="228325" customFormat="1" x14ac:dyDescent="0.25"/>
    <row r="228326" customFormat="1" x14ac:dyDescent="0.25"/>
    <row r="228327" customFormat="1" x14ac:dyDescent="0.25"/>
    <row r="228328" customFormat="1" x14ac:dyDescent="0.25"/>
    <row r="228329" customFormat="1" x14ac:dyDescent="0.25"/>
    <row r="228330" customFormat="1" x14ac:dyDescent="0.25"/>
    <row r="228331" customFormat="1" x14ac:dyDescent="0.25"/>
    <row r="228332" customFormat="1" x14ac:dyDescent="0.25"/>
    <row r="228333" customFormat="1" x14ac:dyDescent="0.25"/>
    <row r="228334" customFormat="1" x14ac:dyDescent="0.25"/>
    <row r="228335" customFormat="1" x14ac:dyDescent="0.25"/>
    <row r="228336" customFormat="1" x14ac:dyDescent="0.25"/>
    <row r="228337" customFormat="1" x14ac:dyDescent="0.25"/>
    <row r="228338" customFormat="1" x14ac:dyDescent="0.25"/>
    <row r="228339" customFormat="1" x14ac:dyDescent="0.25"/>
    <row r="228340" customFormat="1" x14ac:dyDescent="0.25"/>
    <row r="228341" customFormat="1" x14ac:dyDescent="0.25"/>
    <row r="228342" customFormat="1" x14ac:dyDescent="0.25"/>
    <row r="228343" customFormat="1" x14ac:dyDescent="0.25"/>
    <row r="228344" customFormat="1" x14ac:dyDescent="0.25"/>
    <row r="228345" customFormat="1" x14ac:dyDescent="0.25"/>
    <row r="228346" customFormat="1" x14ac:dyDescent="0.25"/>
    <row r="228347" customFormat="1" x14ac:dyDescent="0.25"/>
    <row r="228348" customFormat="1" x14ac:dyDescent="0.25"/>
    <row r="228349" customFormat="1" x14ac:dyDescent="0.25"/>
    <row r="228350" customFormat="1" x14ac:dyDescent="0.25"/>
    <row r="228351" customFormat="1" x14ac:dyDescent="0.25"/>
    <row r="228352" customFormat="1" x14ac:dyDescent="0.25"/>
    <row r="228353" customFormat="1" x14ac:dyDescent="0.25"/>
    <row r="228354" customFormat="1" x14ac:dyDescent="0.25"/>
    <row r="228355" customFormat="1" x14ac:dyDescent="0.25"/>
    <row r="228356" customFormat="1" x14ac:dyDescent="0.25"/>
    <row r="228357" customFormat="1" x14ac:dyDescent="0.25"/>
    <row r="228358" customFormat="1" x14ac:dyDescent="0.25"/>
    <row r="228359" customFormat="1" x14ac:dyDescent="0.25"/>
    <row r="228360" customFormat="1" x14ac:dyDescent="0.25"/>
    <row r="228361" customFormat="1" x14ac:dyDescent="0.25"/>
    <row r="228362" customFormat="1" x14ac:dyDescent="0.25"/>
    <row r="228363" customFormat="1" x14ac:dyDescent="0.25"/>
    <row r="228364" customFormat="1" x14ac:dyDescent="0.25"/>
    <row r="228365" customFormat="1" x14ac:dyDescent="0.25"/>
    <row r="228366" customFormat="1" x14ac:dyDescent="0.25"/>
    <row r="228367" customFormat="1" x14ac:dyDescent="0.25"/>
    <row r="228368" customFormat="1" x14ac:dyDescent="0.25"/>
    <row r="228369" customFormat="1" x14ac:dyDescent="0.25"/>
    <row r="228370" customFormat="1" x14ac:dyDescent="0.25"/>
    <row r="228371" customFormat="1" x14ac:dyDescent="0.25"/>
    <row r="228372" customFormat="1" x14ac:dyDescent="0.25"/>
    <row r="228373" customFormat="1" x14ac:dyDescent="0.25"/>
    <row r="228374" customFormat="1" x14ac:dyDescent="0.25"/>
    <row r="228375" customFormat="1" x14ac:dyDescent="0.25"/>
    <row r="228376" customFormat="1" x14ac:dyDescent="0.25"/>
    <row r="228377" customFormat="1" x14ac:dyDescent="0.25"/>
    <row r="228378" customFormat="1" x14ac:dyDescent="0.25"/>
    <row r="228379" customFormat="1" x14ac:dyDescent="0.25"/>
    <row r="228380" customFormat="1" x14ac:dyDescent="0.25"/>
    <row r="228381" customFormat="1" x14ac:dyDescent="0.25"/>
    <row r="228382" customFormat="1" x14ac:dyDescent="0.25"/>
    <row r="228383" customFormat="1" x14ac:dyDescent="0.25"/>
    <row r="228384" customFormat="1" x14ac:dyDescent="0.25"/>
    <row r="228385" customFormat="1" x14ac:dyDescent="0.25"/>
    <row r="228386" customFormat="1" x14ac:dyDescent="0.25"/>
    <row r="228387" customFormat="1" x14ac:dyDescent="0.25"/>
    <row r="228388" customFormat="1" x14ac:dyDescent="0.25"/>
    <row r="228389" customFormat="1" x14ac:dyDescent="0.25"/>
    <row r="228390" customFormat="1" x14ac:dyDescent="0.25"/>
    <row r="228391" customFormat="1" x14ac:dyDescent="0.25"/>
    <row r="228392" customFormat="1" x14ac:dyDescent="0.25"/>
    <row r="228393" customFormat="1" x14ac:dyDescent="0.25"/>
    <row r="228394" customFormat="1" x14ac:dyDescent="0.25"/>
    <row r="228395" customFormat="1" x14ac:dyDescent="0.25"/>
    <row r="228396" customFormat="1" x14ac:dyDescent="0.25"/>
    <row r="228397" customFormat="1" x14ac:dyDescent="0.25"/>
    <row r="228398" customFormat="1" x14ac:dyDescent="0.25"/>
    <row r="228399" customFormat="1" x14ac:dyDescent="0.25"/>
    <row r="228400" customFormat="1" x14ac:dyDescent="0.25"/>
    <row r="228401" customFormat="1" x14ac:dyDescent="0.25"/>
    <row r="228402" customFormat="1" x14ac:dyDescent="0.25"/>
    <row r="228403" customFormat="1" x14ac:dyDescent="0.25"/>
    <row r="228404" customFormat="1" x14ac:dyDescent="0.25"/>
    <row r="228405" customFormat="1" x14ac:dyDescent="0.25"/>
    <row r="228406" customFormat="1" x14ac:dyDescent="0.25"/>
    <row r="228407" customFormat="1" x14ac:dyDescent="0.25"/>
    <row r="228408" customFormat="1" x14ac:dyDescent="0.25"/>
    <row r="228409" customFormat="1" x14ac:dyDescent="0.25"/>
    <row r="228410" customFormat="1" x14ac:dyDescent="0.25"/>
    <row r="228411" customFormat="1" x14ac:dyDescent="0.25"/>
    <row r="228412" customFormat="1" x14ac:dyDescent="0.25"/>
    <row r="228413" customFormat="1" x14ac:dyDescent="0.25"/>
    <row r="228414" customFormat="1" x14ac:dyDescent="0.25"/>
    <row r="228415" customFormat="1" x14ac:dyDescent="0.25"/>
    <row r="228416" customFormat="1" x14ac:dyDescent="0.25"/>
    <row r="228417" customFormat="1" x14ac:dyDescent="0.25"/>
    <row r="228418" customFormat="1" x14ac:dyDescent="0.25"/>
    <row r="228419" customFormat="1" x14ac:dyDescent="0.25"/>
    <row r="228420" customFormat="1" x14ac:dyDescent="0.25"/>
    <row r="228421" customFormat="1" x14ac:dyDescent="0.25"/>
    <row r="228422" customFormat="1" x14ac:dyDescent="0.25"/>
    <row r="228423" customFormat="1" x14ac:dyDescent="0.25"/>
    <row r="228424" customFormat="1" x14ac:dyDescent="0.25"/>
    <row r="228425" customFormat="1" x14ac:dyDescent="0.25"/>
    <row r="228426" customFormat="1" x14ac:dyDescent="0.25"/>
    <row r="228427" customFormat="1" x14ac:dyDescent="0.25"/>
    <row r="228428" customFormat="1" x14ac:dyDescent="0.25"/>
    <row r="228429" customFormat="1" x14ac:dyDescent="0.25"/>
    <row r="228430" customFormat="1" x14ac:dyDescent="0.25"/>
    <row r="228431" customFormat="1" x14ac:dyDescent="0.25"/>
    <row r="228432" customFormat="1" x14ac:dyDescent="0.25"/>
    <row r="228433" customFormat="1" x14ac:dyDescent="0.25"/>
    <row r="228434" customFormat="1" x14ac:dyDescent="0.25"/>
    <row r="228435" customFormat="1" x14ac:dyDescent="0.25"/>
    <row r="228436" customFormat="1" x14ac:dyDescent="0.25"/>
    <row r="228437" customFormat="1" x14ac:dyDescent="0.25"/>
    <row r="228438" customFormat="1" x14ac:dyDescent="0.25"/>
    <row r="228439" customFormat="1" x14ac:dyDescent="0.25"/>
    <row r="228440" customFormat="1" x14ac:dyDescent="0.25"/>
    <row r="228441" customFormat="1" x14ac:dyDescent="0.25"/>
    <row r="228442" customFormat="1" x14ac:dyDescent="0.25"/>
    <row r="228443" customFormat="1" x14ac:dyDescent="0.25"/>
    <row r="228444" customFormat="1" x14ac:dyDescent="0.25"/>
    <row r="228445" customFormat="1" x14ac:dyDescent="0.25"/>
    <row r="228446" customFormat="1" x14ac:dyDescent="0.25"/>
    <row r="228447" customFormat="1" x14ac:dyDescent="0.25"/>
    <row r="228448" customFormat="1" x14ac:dyDescent="0.25"/>
    <row r="228449" customFormat="1" x14ac:dyDescent="0.25"/>
    <row r="228450" customFormat="1" x14ac:dyDescent="0.25"/>
    <row r="228451" customFormat="1" x14ac:dyDescent="0.25"/>
    <row r="228452" customFormat="1" x14ac:dyDescent="0.25"/>
    <row r="228453" customFormat="1" x14ac:dyDescent="0.25"/>
    <row r="228454" customFormat="1" x14ac:dyDescent="0.25"/>
    <row r="228455" customFormat="1" x14ac:dyDescent="0.25"/>
    <row r="228456" customFormat="1" x14ac:dyDescent="0.25"/>
    <row r="228457" customFormat="1" x14ac:dyDescent="0.25"/>
    <row r="228458" customFormat="1" x14ac:dyDescent="0.25"/>
    <row r="228459" customFormat="1" x14ac:dyDescent="0.25"/>
    <row r="228460" customFormat="1" x14ac:dyDescent="0.25"/>
    <row r="228461" customFormat="1" x14ac:dyDescent="0.25"/>
    <row r="228462" customFormat="1" x14ac:dyDescent="0.25"/>
    <row r="228463" customFormat="1" x14ac:dyDescent="0.25"/>
    <row r="228464" customFormat="1" x14ac:dyDescent="0.25"/>
    <row r="228465" customFormat="1" x14ac:dyDescent="0.25"/>
    <row r="228466" customFormat="1" x14ac:dyDescent="0.25"/>
    <row r="228467" customFormat="1" x14ac:dyDescent="0.25"/>
    <row r="228468" customFormat="1" x14ac:dyDescent="0.25"/>
    <row r="228469" customFormat="1" x14ac:dyDescent="0.25"/>
    <row r="228470" customFormat="1" x14ac:dyDescent="0.25"/>
    <row r="228471" customFormat="1" x14ac:dyDescent="0.25"/>
    <row r="228472" customFormat="1" x14ac:dyDescent="0.25"/>
    <row r="228473" customFormat="1" x14ac:dyDescent="0.25"/>
    <row r="228474" customFormat="1" x14ac:dyDescent="0.25"/>
    <row r="228475" customFormat="1" x14ac:dyDescent="0.25"/>
    <row r="228476" customFormat="1" x14ac:dyDescent="0.25"/>
    <row r="228477" customFormat="1" x14ac:dyDescent="0.25"/>
    <row r="228478" customFormat="1" x14ac:dyDescent="0.25"/>
    <row r="228479" customFormat="1" x14ac:dyDescent="0.25"/>
    <row r="228480" customFormat="1" x14ac:dyDescent="0.25"/>
    <row r="228481" customFormat="1" x14ac:dyDescent="0.25"/>
    <row r="228482" customFormat="1" x14ac:dyDescent="0.25"/>
    <row r="228483" customFormat="1" x14ac:dyDescent="0.25"/>
    <row r="228484" customFormat="1" x14ac:dyDescent="0.25"/>
    <row r="228485" customFormat="1" x14ac:dyDescent="0.25"/>
    <row r="228486" customFormat="1" x14ac:dyDescent="0.25"/>
    <row r="228487" customFormat="1" x14ac:dyDescent="0.25"/>
    <row r="228488" customFormat="1" x14ac:dyDescent="0.25"/>
    <row r="228489" customFormat="1" x14ac:dyDescent="0.25"/>
    <row r="228490" customFormat="1" x14ac:dyDescent="0.25"/>
    <row r="228491" customFormat="1" x14ac:dyDescent="0.25"/>
    <row r="228492" customFormat="1" x14ac:dyDescent="0.25"/>
    <row r="228493" customFormat="1" x14ac:dyDescent="0.25"/>
    <row r="228494" customFormat="1" x14ac:dyDescent="0.25"/>
    <row r="228495" customFormat="1" x14ac:dyDescent="0.25"/>
    <row r="228496" customFormat="1" x14ac:dyDescent="0.25"/>
    <row r="228497" customFormat="1" x14ac:dyDescent="0.25"/>
    <row r="228498" customFormat="1" x14ac:dyDescent="0.25"/>
    <row r="228499" customFormat="1" x14ac:dyDescent="0.25"/>
    <row r="228500" customFormat="1" x14ac:dyDescent="0.25"/>
    <row r="228501" customFormat="1" x14ac:dyDescent="0.25"/>
    <row r="228502" customFormat="1" x14ac:dyDescent="0.25"/>
    <row r="228503" customFormat="1" x14ac:dyDescent="0.25"/>
    <row r="228504" customFormat="1" x14ac:dyDescent="0.25"/>
    <row r="228505" customFormat="1" x14ac:dyDescent="0.25"/>
    <row r="228506" customFormat="1" x14ac:dyDescent="0.25"/>
    <row r="228507" customFormat="1" x14ac:dyDescent="0.25"/>
    <row r="228508" customFormat="1" x14ac:dyDescent="0.25"/>
    <row r="228509" customFormat="1" x14ac:dyDescent="0.25"/>
    <row r="228510" customFormat="1" x14ac:dyDescent="0.25"/>
    <row r="228511" customFormat="1" x14ac:dyDescent="0.25"/>
    <row r="228512" customFormat="1" x14ac:dyDescent="0.25"/>
    <row r="228513" customFormat="1" x14ac:dyDescent="0.25"/>
    <row r="228514" customFormat="1" x14ac:dyDescent="0.25"/>
    <row r="228515" customFormat="1" x14ac:dyDescent="0.25"/>
    <row r="228516" customFormat="1" x14ac:dyDescent="0.25"/>
    <row r="228517" customFormat="1" x14ac:dyDescent="0.25"/>
    <row r="228518" customFormat="1" x14ac:dyDescent="0.25"/>
    <row r="228519" customFormat="1" x14ac:dyDescent="0.25"/>
    <row r="228520" customFormat="1" x14ac:dyDescent="0.25"/>
    <row r="228521" customFormat="1" x14ac:dyDescent="0.25"/>
    <row r="228522" customFormat="1" x14ac:dyDescent="0.25"/>
    <row r="228523" customFormat="1" x14ac:dyDescent="0.25"/>
    <row r="228524" customFormat="1" x14ac:dyDescent="0.25"/>
    <row r="228525" customFormat="1" x14ac:dyDescent="0.25"/>
    <row r="228526" customFormat="1" x14ac:dyDescent="0.25"/>
    <row r="228527" customFormat="1" x14ac:dyDescent="0.25"/>
    <row r="228528" customFormat="1" x14ac:dyDescent="0.25"/>
    <row r="228529" customFormat="1" x14ac:dyDescent="0.25"/>
    <row r="228530" customFormat="1" x14ac:dyDescent="0.25"/>
    <row r="228531" customFormat="1" x14ac:dyDescent="0.25"/>
    <row r="228532" customFormat="1" x14ac:dyDescent="0.25"/>
    <row r="228533" customFormat="1" x14ac:dyDescent="0.25"/>
    <row r="228534" customFormat="1" x14ac:dyDescent="0.25"/>
    <row r="228535" customFormat="1" x14ac:dyDescent="0.25"/>
    <row r="228536" customFormat="1" x14ac:dyDescent="0.25"/>
    <row r="228537" customFormat="1" x14ac:dyDescent="0.25"/>
    <row r="228538" customFormat="1" x14ac:dyDescent="0.25"/>
    <row r="228539" customFormat="1" x14ac:dyDescent="0.25"/>
    <row r="228540" customFormat="1" x14ac:dyDescent="0.25"/>
    <row r="228541" customFormat="1" x14ac:dyDescent="0.25"/>
    <row r="228542" customFormat="1" x14ac:dyDescent="0.25"/>
    <row r="228543" customFormat="1" x14ac:dyDescent="0.25"/>
    <row r="228544" customFormat="1" x14ac:dyDescent="0.25"/>
    <row r="228545" customFormat="1" x14ac:dyDescent="0.25"/>
    <row r="228546" customFormat="1" x14ac:dyDescent="0.25"/>
    <row r="228547" customFormat="1" x14ac:dyDescent="0.25"/>
    <row r="228548" customFormat="1" x14ac:dyDescent="0.25"/>
    <row r="228549" customFormat="1" x14ac:dyDescent="0.25"/>
    <row r="228550" customFormat="1" x14ac:dyDescent="0.25"/>
    <row r="228551" customFormat="1" x14ac:dyDescent="0.25"/>
    <row r="228552" customFormat="1" x14ac:dyDescent="0.25"/>
    <row r="228553" customFormat="1" x14ac:dyDescent="0.25"/>
    <row r="228554" customFormat="1" x14ac:dyDescent="0.25"/>
    <row r="228555" customFormat="1" x14ac:dyDescent="0.25"/>
    <row r="228556" customFormat="1" x14ac:dyDescent="0.25"/>
    <row r="228557" customFormat="1" x14ac:dyDescent="0.25"/>
    <row r="228558" customFormat="1" x14ac:dyDescent="0.25"/>
    <row r="228559" customFormat="1" x14ac:dyDescent="0.25"/>
    <row r="228560" customFormat="1" x14ac:dyDescent="0.25"/>
    <row r="228561" customFormat="1" x14ac:dyDescent="0.25"/>
    <row r="228562" customFormat="1" x14ac:dyDescent="0.25"/>
    <row r="228563" customFormat="1" x14ac:dyDescent="0.25"/>
    <row r="228564" customFormat="1" x14ac:dyDescent="0.25"/>
    <row r="228565" customFormat="1" x14ac:dyDescent="0.25"/>
    <row r="228566" customFormat="1" x14ac:dyDescent="0.25"/>
    <row r="228567" customFormat="1" x14ac:dyDescent="0.25"/>
    <row r="228568" customFormat="1" x14ac:dyDescent="0.25"/>
    <row r="228569" customFormat="1" x14ac:dyDescent="0.25"/>
    <row r="228570" customFormat="1" x14ac:dyDescent="0.25"/>
    <row r="228571" customFormat="1" x14ac:dyDescent="0.25"/>
    <row r="228572" customFormat="1" x14ac:dyDescent="0.25"/>
    <row r="228573" customFormat="1" x14ac:dyDescent="0.25"/>
    <row r="228574" customFormat="1" x14ac:dyDescent="0.25"/>
    <row r="228575" customFormat="1" x14ac:dyDescent="0.25"/>
    <row r="228576" customFormat="1" x14ac:dyDescent="0.25"/>
    <row r="228577" customFormat="1" x14ac:dyDescent="0.25"/>
    <row r="228578" customFormat="1" x14ac:dyDescent="0.25"/>
    <row r="228579" customFormat="1" x14ac:dyDescent="0.25"/>
    <row r="228580" customFormat="1" x14ac:dyDescent="0.25"/>
    <row r="228581" customFormat="1" x14ac:dyDescent="0.25"/>
    <row r="228582" customFormat="1" x14ac:dyDescent="0.25"/>
    <row r="228583" customFormat="1" x14ac:dyDescent="0.25"/>
    <row r="228584" customFormat="1" x14ac:dyDescent="0.25"/>
    <row r="228585" customFormat="1" x14ac:dyDescent="0.25"/>
    <row r="228586" customFormat="1" x14ac:dyDescent="0.25"/>
    <row r="228587" customFormat="1" x14ac:dyDescent="0.25"/>
    <row r="228588" customFormat="1" x14ac:dyDescent="0.25"/>
    <row r="228589" customFormat="1" x14ac:dyDescent="0.25"/>
    <row r="228590" customFormat="1" x14ac:dyDescent="0.25"/>
    <row r="228591" customFormat="1" x14ac:dyDescent="0.25"/>
    <row r="228592" customFormat="1" x14ac:dyDescent="0.25"/>
    <row r="228593" customFormat="1" x14ac:dyDescent="0.25"/>
    <row r="228594" customFormat="1" x14ac:dyDescent="0.25"/>
    <row r="228595" customFormat="1" x14ac:dyDescent="0.25"/>
    <row r="228596" customFormat="1" x14ac:dyDescent="0.25"/>
    <row r="228597" customFormat="1" x14ac:dyDescent="0.25"/>
    <row r="228598" customFormat="1" x14ac:dyDescent="0.25"/>
    <row r="228599" customFormat="1" x14ac:dyDescent="0.25"/>
    <row r="228600" customFormat="1" x14ac:dyDescent="0.25"/>
    <row r="228601" customFormat="1" x14ac:dyDescent="0.25"/>
    <row r="228602" customFormat="1" x14ac:dyDescent="0.25"/>
    <row r="228603" customFormat="1" x14ac:dyDescent="0.25"/>
    <row r="228604" customFormat="1" x14ac:dyDescent="0.25"/>
    <row r="228605" customFormat="1" x14ac:dyDescent="0.25"/>
    <row r="228606" customFormat="1" x14ac:dyDescent="0.25"/>
    <row r="228607" customFormat="1" x14ac:dyDescent="0.25"/>
    <row r="228608" customFormat="1" x14ac:dyDescent="0.25"/>
    <row r="228609" customFormat="1" x14ac:dyDescent="0.25"/>
    <row r="228610" customFormat="1" x14ac:dyDescent="0.25"/>
    <row r="228611" customFormat="1" x14ac:dyDescent="0.25"/>
    <row r="228612" customFormat="1" x14ac:dyDescent="0.25"/>
    <row r="228613" customFormat="1" x14ac:dyDescent="0.25"/>
    <row r="228614" customFormat="1" x14ac:dyDescent="0.25"/>
    <row r="228615" customFormat="1" x14ac:dyDescent="0.25"/>
    <row r="228616" customFormat="1" x14ac:dyDescent="0.25"/>
    <row r="228617" customFormat="1" x14ac:dyDescent="0.25"/>
    <row r="228618" customFormat="1" x14ac:dyDescent="0.25"/>
    <row r="228619" customFormat="1" x14ac:dyDescent="0.25"/>
    <row r="228620" customFormat="1" x14ac:dyDescent="0.25"/>
    <row r="228621" customFormat="1" x14ac:dyDescent="0.25"/>
    <row r="228622" customFormat="1" x14ac:dyDescent="0.25"/>
    <row r="228623" customFormat="1" x14ac:dyDescent="0.25"/>
    <row r="228624" customFormat="1" x14ac:dyDescent="0.25"/>
    <row r="228625" customFormat="1" x14ac:dyDescent="0.25"/>
    <row r="228626" customFormat="1" x14ac:dyDescent="0.25"/>
    <row r="228627" customFormat="1" x14ac:dyDescent="0.25"/>
    <row r="228628" customFormat="1" x14ac:dyDescent="0.25"/>
    <row r="228629" customFormat="1" x14ac:dyDescent="0.25"/>
    <row r="228630" customFormat="1" x14ac:dyDescent="0.25"/>
    <row r="228631" customFormat="1" x14ac:dyDescent="0.25"/>
    <row r="228632" customFormat="1" x14ac:dyDescent="0.25"/>
    <row r="228633" customFormat="1" x14ac:dyDescent="0.25"/>
    <row r="228634" customFormat="1" x14ac:dyDescent="0.25"/>
    <row r="228635" customFormat="1" x14ac:dyDescent="0.25"/>
    <row r="228636" customFormat="1" x14ac:dyDescent="0.25"/>
    <row r="228637" customFormat="1" x14ac:dyDescent="0.25"/>
    <row r="228638" customFormat="1" x14ac:dyDescent="0.25"/>
    <row r="228639" customFormat="1" x14ac:dyDescent="0.25"/>
    <row r="228640" customFormat="1" x14ac:dyDescent="0.25"/>
    <row r="228641" customFormat="1" x14ac:dyDescent="0.25"/>
    <row r="228642" customFormat="1" x14ac:dyDescent="0.25"/>
    <row r="228643" customFormat="1" x14ac:dyDescent="0.25"/>
    <row r="228644" customFormat="1" x14ac:dyDescent="0.25"/>
    <row r="228645" customFormat="1" x14ac:dyDescent="0.25"/>
    <row r="228646" customFormat="1" x14ac:dyDescent="0.25"/>
    <row r="228647" customFormat="1" x14ac:dyDescent="0.25"/>
    <row r="228648" customFormat="1" x14ac:dyDescent="0.25"/>
    <row r="228649" customFormat="1" x14ac:dyDescent="0.25"/>
    <row r="228650" customFormat="1" x14ac:dyDescent="0.25"/>
    <row r="228651" customFormat="1" x14ac:dyDescent="0.25"/>
    <row r="228652" customFormat="1" x14ac:dyDescent="0.25"/>
    <row r="228653" customFormat="1" x14ac:dyDescent="0.25"/>
    <row r="228654" customFormat="1" x14ac:dyDescent="0.25"/>
    <row r="228655" customFormat="1" x14ac:dyDescent="0.25"/>
    <row r="228656" customFormat="1" x14ac:dyDescent="0.25"/>
    <row r="228657" customFormat="1" x14ac:dyDescent="0.25"/>
    <row r="228658" customFormat="1" x14ac:dyDescent="0.25"/>
    <row r="228659" customFormat="1" x14ac:dyDescent="0.25"/>
    <row r="228660" customFormat="1" x14ac:dyDescent="0.25"/>
    <row r="228661" customFormat="1" x14ac:dyDescent="0.25"/>
    <row r="228662" customFormat="1" x14ac:dyDescent="0.25"/>
    <row r="228663" customFormat="1" x14ac:dyDescent="0.25"/>
    <row r="228664" customFormat="1" x14ac:dyDescent="0.25"/>
    <row r="228665" customFormat="1" x14ac:dyDescent="0.25"/>
    <row r="228666" customFormat="1" x14ac:dyDescent="0.25"/>
    <row r="228667" customFormat="1" x14ac:dyDescent="0.25"/>
    <row r="228668" customFormat="1" x14ac:dyDescent="0.25"/>
    <row r="228669" customFormat="1" x14ac:dyDescent="0.25"/>
    <row r="228670" customFormat="1" x14ac:dyDescent="0.25"/>
    <row r="228671" customFormat="1" x14ac:dyDescent="0.25"/>
    <row r="228672" customFormat="1" x14ac:dyDescent="0.25"/>
    <row r="228673" customFormat="1" x14ac:dyDescent="0.25"/>
    <row r="228674" customFormat="1" x14ac:dyDescent="0.25"/>
    <row r="228675" customFormat="1" x14ac:dyDescent="0.25"/>
    <row r="228676" customFormat="1" x14ac:dyDescent="0.25"/>
    <row r="228677" customFormat="1" x14ac:dyDescent="0.25"/>
    <row r="228678" customFormat="1" x14ac:dyDescent="0.25"/>
    <row r="228679" customFormat="1" x14ac:dyDescent="0.25"/>
    <row r="228680" customFormat="1" x14ac:dyDescent="0.25"/>
    <row r="228681" customFormat="1" x14ac:dyDescent="0.25"/>
    <row r="228682" customFormat="1" x14ac:dyDescent="0.25"/>
    <row r="228683" customFormat="1" x14ac:dyDescent="0.25"/>
    <row r="228684" customFormat="1" x14ac:dyDescent="0.25"/>
    <row r="228685" customFormat="1" x14ac:dyDescent="0.25"/>
    <row r="228686" customFormat="1" x14ac:dyDescent="0.25"/>
    <row r="228687" customFormat="1" x14ac:dyDescent="0.25"/>
    <row r="228688" customFormat="1" x14ac:dyDescent="0.25"/>
    <row r="228689" customFormat="1" x14ac:dyDescent="0.25"/>
    <row r="228690" customFormat="1" x14ac:dyDescent="0.25"/>
    <row r="228691" customFormat="1" x14ac:dyDescent="0.25"/>
    <row r="228692" customFormat="1" x14ac:dyDescent="0.25"/>
    <row r="228693" customFormat="1" x14ac:dyDescent="0.25"/>
    <row r="228694" customFormat="1" x14ac:dyDescent="0.25"/>
    <row r="228695" customFormat="1" x14ac:dyDescent="0.25"/>
    <row r="228696" customFormat="1" x14ac:dyDescent="0.25"/>
    <row r="228697" customFormat="1" x14ac:dyDescent="0.25"/>
    <row r="228698" customFormat="1" x14ac:dyDescent="0.25"/>
    <row r="228699" customFormat="1" x14ac:dyDescent="0.25"/>
    <row r="228700" customFormat="1" x14ac:dyDescent="0.25"/>
    <row r="228701" customFormat="1" x14ac:dyDescent="0.25"/>
    <row r="228702" customFormat="1" x14ac:dyDescent="0.25"/>
    <row r="228703" customFormat="1" x14ac:dyDescent="0.25"/>
    <row r="228704" customFormat="1" x14ac:dyDescent="0.25"/>
    <row r="228705" customFormat="1" x14ac:dyDescent="0.25"/>
    <row r="228706" customFormat="1" x14ac:dyDescent="0.25"/>
    <row r="228707" customFormat="1" x14ac:dyDescent="0.25"/>
    <row r="228708" customFormat="1" x14ac:dyDescent="0.25"/>
    <row r="228709" customFormat="1" x14ac:dyDescent="0.25"/>
    <row r="228710" customFormat="1" x14ac:dyDescent="0.25"/>
    <row r="228711" customFormat="1" x14ac:dyDescent="0.25"/>
    <row r="228712" customFormat="1" x14ac:dyDescent="0.25"/>
    <row r="228713" customFormat="1" x14ac:dyDescent="0.25"/>
    <row r="228714" customFormat="1" x14ac:dyDescent="0.25"/>
    <row r="228715" customFormat="1" x14ac:dyDescent="0.25"/>
    <row r="228716" customFormat="1" x14ac:dyDescent="0.25"/>
    <row r="228717" customFormat="1" x14ac:dyDescent="0.25"/>
    <row r="228718" customFormat="1" x14ac:dyDescent="0.25"/>
    <row r="228719" customFormat="1" x14ac:dyDescent="0.25"/>
    <row r="228720" customFormat="1" x14ac:dyDescent="0.25"/>
    <row r="228721" customFormat="1" x14ac:dyDescent="0.25"/>
    <row r="228722" customFormat="1" x14ac:dyDescent="0.25"/>
    <row r="228723" customFormat="1" x14ac:dyDescent="0.25"/>
    <row r="228724" customFormat="1" x14ac:dyDescent="0.25"/>
    <row r="228725" customFormat="1" x14ac:dyDescent="0.25"/>
    <row r="228726" customFormat="1" x14ac:dyDescent="0.25"/>
    <row r="228727" customFormat="1" x14ac:dyDescent="0.25"/>
    <row r="228728" customFormat="1" x14ac:dyDescent="0.25"/>
    <row r="228729" customFormat="1" x14ac:dyDescent="0.25"/>
    <row r="228730" customFormat="1" x14ac:dyDescent="0.25"/>
    <row r="228731" customFormat="1" x14ac:dyDescent="0.25"/>
    <row r="228732" customFormat="1" x14ac:dyDescent="0.25"/>
    <row r="228733" customFormat="1" x14ac:dyDescent="0.25"/>
    <row r="228734" customFormat="1" x14ac:dyDescent="0.25"/>
    <row r="228735" customFormat="1" x14ac:dyDescent="0.25"/>
    <row r="228736" customFormat="1" x14ac:dyDescent="0.25"/>
    <row r="228737" customFormat="1" x14ac:dyDescent="0.25"/>
    <row r="228738" customFormat="1" x14ac:dyDescent="0.25"/>
    <row r="228739" customFormat="1" x14ac:dyDescent="0.25"/>
    <row r="228740" customFormat="1" x14ac:dyDescent="0.25"/>
    <row r="228741" customFormat="1" x14ac:dyDescent="0.25"/>
    <row r="228742" customFormat="1" x14ac:dyDescent="0.25"/>
    <row r="228743" customFormat="1" x14ac:dyDescent="0.25"/>
    <row r="228744" customFormat="1" x14ac:dyDescent="0.25"/>
    <row r="228745" customFormat="1" x14ac:dyDescent="0.25"/>
    <row r="228746" customFormat="1" x14ac:dyDescent="0.25"/>
    <row r="228747" customFormat="1" x14ac:dyDescent="0.25"/>
    <row r="228748" customFormat="1" x14ac:dyDescent="0.25"/>
    <row r="228749" customFormat="1" x14ac:dyDescent="0.25"/>
    <row r="228750" customFormat="1" x14ac:dyDescent="0.25"/>
    <row r="228751" customFormat="1" x14ac:dyDescent="0.25"/>
    <row r="228752" customFormat="1" x14ac:dyDescent="0.25"/>
    <row r="228753" customFormat="1" x14ac:dyDescent="0.25"/>
    <row r="228754" customFormat="1" x14ac:dyDescent="0.25"/>
    <row r="228755" customFormat="1" x14ac:dyDescent="0.25"/>
    <row r="228756" customFormat="1" x14ac:dyDescent="0.25"/>
    <row r="228757" customFormat="1" x14ac:dyDescent="0.25"/>
    <row r="228758" customFormat="1" x14ac:dyDescent="0.25"/>
    <row r="228759" customFormat="1" x14ac:dyDescent="0.25"/>
    <row r="228760" customFormat="1" x14ac:dyDescent="0.25"/>
    <row r="228761" customFormat="1" x14ac:dyDescent="0.25"/>
    <row r="228762" customFormat="1" x14ac:dyDescent="0.25"/>
    <row r="228763" customFormat="1" x14ac:dyDescent="0.25"/>
    <row r="228764" customFormat="1" x14ac:dyDescent="0.25"/>
    <row r="228765" customFormat="1" x14ac:dyDescent="0.25"/>
    <row r="228766" customFormat="1" x14ac:dyDescent="0.25"/>
    <row r="228767" customFormat="1" x14ac:dyDescent="0.25"/>
    <row r="228768" customFormat="1" x14ac:dyDescent="0.25"/>
    <row r="228769" customFormat="1" x14ac:dyDescent="0.25"/>
    <row r="228770" customFormat="1" x14ac:dyDescent="0.25"/>
    <row r="228771" customFormat="1" x14ac:dyDescent="0.25"/>
    <row r="228772" customFormat="1" x14ac:dyDescent="0.25"/>
    <row r="228773" customFormat="1" x14ac:dyDescent="0.25"/>
    <row r="228774" customFormat="1" x14ac:dyDescent="0.25"/>
    <row r="228775" customFormat="1" x14ac:dyDescent="0.25"/>
    <row r="228776" customFormat="1" x14ac:dyDescent="0.25"/>
    <row r="228777" customFormat="1" x14ac:dyDescent="0.25"/>
    <row r="228778" customFormat="1" x14ac:dyDescent="0.25"/>
    <row r="228779" customFormat="1" x14ac:dyDescent="0.25"/>
    <row r="228780" customFormat="1" x14ac:dyDescent="0.25"/>
    <row r="228781" customFormat="1" x14ac:dyDescent="0.25"/>
    <row r="228782" customFormat="1" x14ac:dyDescent="0.25"/>
    <row r="228783" customFormat="1" x14ac:dyDescent="0.25"/>
    <row r="228784" customFormat="1" x14ac:dyDescent="0.25"/>
    <row r="228785" customFormat="1" x14ac:dyDescent="0.25"/>
    <row r="228786" customFormat="1" x14ac:dyDescent="0.25"/>
    <row r="228787" customFormat="1" x14ac:dyDescent="0.25"/>
    <row r="228788" customFormat="1" x14ac:dyDescent="0.25"/>
    <row r="228789" customFormat="1" x14ac:dyDescent="0.25"/>
    <row r="228790" customFormat="1" x14ac:dyDescent="0.25"/>
    <row r="228791" customFormat="1" x14ac:dyDescent="0.25"/>
    <row r="228792" customFormat="1" x14ac:dyDescent="0.25"/>
    <row r="228793" customFormat="1" x14ac:dyDescent="0.25"/>
    <row r="228794" customFormat="1" x14ac:dyDescent="0.25"/>
    <row r="228795" customFormat="1" x14ac:dyDescent="0.25"/>
    <row r="228796" customFormat="1" x14ac:dyDescent="0.25"/>
    <row r="228797" customFormat="1" x14ac:dyDescent="0.25"/>
    <row r="228798" customFormat="1" x14ac:dyDescent="0.25"/>
    <row r="228799" customFormat="1" x14ac:dyDescent="0.25"/>
    <row r="228800" customFormat="1" x14ac:dyDescent="0.25"/>
    <row r="228801" customFormat="1" x14ac:dyDescent="0.25"/>
    <row r="228802" customFormat="1" x14ac:dyDescent="0.25"/>
    <row r="228803" customFormat="1" x14ac:dyDescent="0.25"/>
    <row r="228804" customFormat="1" x14ac:dyDescent="0.25"/>
    <row r="228805" customFormat="1" x14ac:dyDescent="0.25"/>
    <row r="228806" customFormat="1" x14ac:dyDescent="0.25"/>
    <row r="228807" customFormat="1" x14ac:dyDescent="0.25"/>
    <row r="228808" customFormat="1" x14ac:dyDescent="0.25"/>
    <row r="228809" customFormat="1" x14ac:dyDescent="0.25"/>
    <row r="228810" customFormat="1" x14ac:dyDescent="0.25"/>
    <row r="228811" customFormat="1" x14ac:dyDescent="0.25"/>
    <row r="228812" customFormat="1" x14ac:dyDescent="0.25"/>
    <row r="228813" customFormat="1" x14ac:dyDescent="0.25"/>
    <row r="228814" customFormat="1" x14ac:dyDescent="0.25"/>
    <row r="228815" customFormat="1" x14ac:dyDescent="0.25"/>
    <row r="228816" customFormat="1" x14ac:dyDescent="0.25"/>
    <row r="228817" customFormat="1" x14ac:dyDescent="0.25"/>
    <row r="228818" customFormat="1" x14ac:dyDescent="0.25"/>
    <row r="228819" customFormat="1" x14ac:dyDescent="0.25"/>
    <row r="228820" customFormat="1" x14ac:dyDescent="0.25"/>
    <row r="228821" customFormat="1" x14ac:dyDescent="0.25"/>
    <row r="228822" customFormat="1" x14ac:dyDescent="0.25"/>
    <row r="228823" customFormat="1" x14ac:dyDescent="0.25"/>
    <row r="228824" customFormat="1" x14ac:dyDescent="0.25"/>
    <row r="228825" customFormat="1" x14ac:dyDescent="0.25"/>
    <row r="228826" customFormat="1" x14ac:dyDescent="0.25"/>
    <row r="228827" customFormat="1" x14ac:dyDescent="0.25"/>
    <row r="228828" customFormat="1" x14ac:dyDescent="0.25"/>
    <row r="228829" customFormat="1" x14ac:dyDescent="0.25"/>
    <row r="228830" customFormat="1" x14ac:dyDescent="0.25"/>
    <row r="228831" customFormat="1" x14ac:dyDescent="0.25"/>
    <row r="228832" customFormat="1" x14ac:dyDescent="0.25"/>
    <row r="228833" customFormat="1" x14ac:dyDescent="0.25"/>
    <row r="228834" customFormat="1" x14ac:dyDescent="0.25"/>
    <row r="228835" customFormat="1" x14ac:dyDescent="0.25"/>
    <row r="228836" customFormat="1" x14ac:dyDescent="0.25"/>
    <row r="228837" customFormat="1" x14ac:dyDescent="0.25"/>
    <row r="228838" customFormat="1" x14ac:dyDescent="0.25"/>
    <row r="228839" customFormat="1" x14ac:dyDescent="0.25"/>
    <row r="228840" customFormat="1" x14ac:dyDescent="0.25"/>
    <row r="228841" customFormat="1" x14ac:dyDescent="0.25"/>
    <row r="228842" customFormat="1" x14ac:dyDescent="0.25"/>
    <row r="228843" customFormat="1" x14ac:dyDescent="0.25"/>
    <row r="228844" customFormat="1" x14ac:dyDescent="0.25"/>
    <row r="228845" customFormat="1" x14ac:dyDescent="0.25"/>
    <row r="228846" customFormat="1" x14ac:dyDescent="0.25"/>
    <row r="228847" customFormat="1" x14ac:dyDescent="0.25"/>
    <row r="228848" customFormat="1" x14ac:dyDescent="0.25"/>
    <row r="228849" customFormat="1" x14ac:dyDescent="0.25"/>
    <row r="228850" customFormat="1" x14ac:dyDescent="0.25"/>
    <row r="228851" customFormat="1" x14ac:dyDescent="0.25"/>
    <row r="228852" customFormat="1" x14ac:dyDescent="0.25"/>
    <row r="228853" customFormat="1" x14ac:dyDescent="0.25"/>
    <row r="228854" customFormat="1" x14ac:dyDescent="0.25"/>
    <row r="228855" customFormat="1" x14ac:dyDescent="0.25"/>
    <row r="228856" customFormat="1" x14ac:dyDescent="0.25"/>
    <row r="228857" customFormat="1" x14ac:dyDescent="0.25"/>
    <row r="228858" customFormat="1" x14ac:dyDescent="0.25"/>
    <row r="228859" customFormat="1" x14ac:dyDescent="0.25"/>
    <row r="228860" customFormat="1" x14ac:dyDescent="0.25"/>
    <row r="228861" customFormat="1" x14ac:dyDescent="0.25"/>
    <row r="228862" customFormat="1" x14ac:dyDescent="0.25"/>
    <row r="228863" customFormat="1" x14ac:dyDescent="0.25"/>
    <row r="228864" customFormat="1" x14ac:dyDescent="0.25"/>
    <row r="228865" customFormat="1" x14ac:dyDescent="0.25"/>
    <row r="228866" customFormat="1" x14ac:dyDescent="0.25"/>
    <row r="228867" customFormat="1" x14ac:dyDescent="0.25"/>
    <row r="228868" customFormat="1" x14ac:dyDescent="0.25"/>
    <row r="228869" customFormat="1" x14ac:dyDescent="0.25"/>
    <row r="228870" customFormat="1" x14ac:dyDescent="0.25"/>
    <row r="228871" customFormat="1" x14ac:dyDescent="0.25"/>
    <row r="228872" customFormat="1" x14ac:dyDescent="0.25"/>
    <row r="228873" customFormat="1" x14ac:dyDescent="0.25"/>
    <row r="228874" customFormat="1" x14ac:dyDescent="0.25"/>
    <row r="228875" customFormat="1" x14ac:dyDescent="0.25"/>
    <row r="228876" customFormat="1" x14ac:dyDescent="0.25"/>
    <row r="228877" customFormat="1" x14ac:dyDescent="0.25"/>
    <row r="228878" customFormat="1" x14ac:dyDescent="0.25"/>
    <row r="228879" customFormat="1" x14ac:dyDescent="0.25"/>
    <row r="228880" customFormat="1" x14ac:dyDescent="0.25"/>
    <row r="228881" customFormat="1" x14ac:dyDescent="0.25"/>
    <row r="228882" customFormat="1" x14ac:dyDescent="0.25"/>
    <row r="228883" customFormat="1" x14ac:dyDescent="0.25"/>
    <row r="228884" customFormat="1" x14ac:dyDescent="0.25"/>
    <row r="228885" customFormat="1" x14ac:dyDescent="0.25"/>
    <row r="228886" customFormat="1" x14ac:dyDescent="0.25"/>
    <row r="228887" customFormat="1" x14ac:dyDescent="0.25"/>
    <row r="228888" customFormat="1" x14ac:dyDescent="0.25"/>
    <row r="228889" customFormat="1" x14ac:dyDescent="0.25"/>
    <row r="228890" customFormat="1" x14ac:dyDescent="0.25"/>
    <row r="228891" customFormat="1" x14ac:dyDescent="0.25"/>
    <row r="228892" customFormat="1" x14ac:dyDescent="0.25"/>
    <row r="228893" customFormat="1" x14ac:dyDescent="0.25"/>
    <row r="228894" customFormat="1" x14ac:dyDescent="0.25"/>
    <row r="228895" customFormat="1" x14ac:dyDescent="0.25"/>
    <row r="228896" customFormat="1" x14ac:dyDescent="0.25"/>
    <row r="228897" customFormat="1" x14ac:dyDescent="0.25"/>
    <row r="228898" customFormat="1" x14ac:dyDescent="0.25"/>
    <row r="228899" customFormat="1" x14ac:dyDescent="0.25"/>
    <row r="228900" customFormat="1" x14ac:dyDescent="0.25"/>
    <row r="228901" customFormat="1" x14ac:dyDescent="0.25"/>
    <row r="228902" customFormat="1" x14ac:dyDescent="0.25"/>
    <row r="228903" customFormat="1" x14ac:dyDescent="0.25"/>
    <row r="228904" customFormat="1" x14ac:dyDescent="0.25"/>
    <row r="228905" customFormat="1" x14ac:dyDescent="0.25"/>
    <row r="228906" customFormat="1" x14ac:dyDescent="0.25"/>
    <row r="228907" customFormat="1" x14ac:dyDescent="0.25"/>
    <row r="228908" customFormat="1" x14ac:dyDescent="0.25"/>
    <row r="228909" customFormat="1" x14ac:dyDescent="0.25"/>
    <row r="228910" customFormat="1" x14ac:dyDescent="0.25"/>
    <row r="228911" customFormat="1" x14ac:dyDescent="0.25"/>
    <row r="228912" customFormat="1" x14ac:dyDescent="0.25"/>
    <row r="228913" customFormat="1" x14ac:dyDescent="0.25"/>
    <row r="228914" customFormat="1" x14ac:dyDescent="0.25"/>
    <row r="228915" customFormat="1" x14ac:dyDescent="0.25"/>
    <row r="228916" customFormat="1" x14ac:dyDescent="0.25"/>
    <row r="228917" customFormat="1" x14ac:dyDescent="0.25"/>
    <row r="228918" customFormat="1" x14ac:dyDescent="0.25"/>
    <row r="228919" customFormat="1" x14ac:dyDescent="0.25"/>
    <row r="228920" customFormat="1" x14ac:dyDescent="0.25"/>
    <row r="228921" customFormat="1" x14ac:dyDescent="0.25"/>
    <row r="228922" customFormat="1" x14ac:dyDescent="0.25"/>
    <row r="228923" customFormat="1" x14ac:dyDescent="0.25"/>
    <row r="228924" customFormat="1" x14ac:dyDescent="0.25"/>
    <row r="228925" customFormat="1" x14ac:dyDescent="0.25"/>
    <row r="228926" customFormat="1" x14ac:dyDescent="0.25"/>
    <row r="228927" customFormat="1" x14ac:dyDescent="0.25"/>
    <row r="228928" customFormat="1" x14ac:dyDescent="0.25"/>
    <row r="228929" customFormat="1" x14ac:dyDescent="0.25"/>
    <row r="228930" customFormat="1" x14ac:dyDescent="0.25"/>
    <row r="228931" customFormat="1" x14ac:dyDescent="0.25"/>
    <row r="228932" customFormat="1" x14ac:dyDescent="0.25"/>
    <row r="228933" customFormat="1" x14ac:dyDescent="0.25"/>
    <row r="228934" customFormat="1" x14ac:dyDescent="0.25"/>
    <row r="228935" customFormat="1" x14ac:dyDescent="0.25"/>
    <row r="228936" customFormat="1" x14ac:dyDescent="0.25"/>
    <row r="228937" customFormat="1" x14ac:dyDescent="0.25"/>
    <row r="228938" customFormat="1" x14ac:dyDescent="0.25"/>
    <row r="228939" customFormat="1" x14ac:dyDescent="0.25"/>
    <row r="228940" customFormat="1" x14ac:dyDescent="0.25"/>
    <row r="228941" customFormat="1" x14ac:dyDescent="0.25"/>
    <row r="228942" customFormat="1" x14ac:dyDescent="0.25"/>
    <row r="228943" customFormat="1" x14ac:dyDescent="0.25"/>
    <row r="228944" customFormat="1" x14ac:dyDescent="0.25"/>
    <row r="228945" customFormat="1" x14ac:dyDescent="0.25"/>
    <row r="228946" customFormat="1" x14ac:dyDescent="0.25"/>
    <row r="228947" customFormat="1" x14ac:dyDescent="0.25"/>
    <row r="228948" customFormat="1" x14ac:dyDescent="0.25"/>
    <row r="228949" customFormat="1" x14ac:dyDescent="0.25"/>
    <row r="228950" customFormat="1" x14ac:dyDescent="0.25"/>
    <row r="228951" customFormat="1" x14ac:dyDescent="0.25"/>
    <row r="228952" customFormat="1" x14ac:dyDescent="0.25"/>
    <row r="228953" customFormat="1" x14ac:dyDescent="0.25"/>
    <row r="228954" customFormat="1" x14ac:dyDescent="0.25"/>
    <row r="228955" customFormat="1" x14ac:dyDescent="0.25"/>
    <row r="228956" customFormat="1" x14ac:dyDescent="0.25"/>
    <row r="228957" customFormat="1" x14ac:dyDescent="0.25"/>
    <row r="228958" customFormat="1" x14ac:dyDescent="0.25"/>
    <row r="228959" customFormat="1" x14ac:dyDescent="0.25"/>
    <row r="228960" customFormat="1" x14ac:dyDescent="0.25"/>
    <row r="228961" customFormat="1" x14ac:dyDescent="0.25"/>
    <row r="228962" customFormat="1" x14ac:dyDescent="0.25"/>
    <row r="228963" customFormat="1" x14ac:dyDescent="0.25"/>
    <row r="228964" customFormat="1" x14ac:dyDescent="0.25"/>
    <row r="228965" customFormat="1" x14ac:dyDescent="0.25"/>
    <row r="228966" customFormat="1" x14ac:dyDescent="0.25"/>
    <row r="228967" customFormat="1" x14ac:dyDescent="0.25"/>
    <row r="228968" customFormat="1" x14ac:dyDescent="0.25"/>
    <row r="228969" customFormat="1" x14ac:dyDescent="0.25"/>
    <row r="228970" customFormat="1" x14ac:dyDescent="0.25"/>
    <row r="228971" customFormat="1" x14ac:dyDescent="0.25"/>
    <row r="228972" customFormat="1" x14ac:dyDescent="0.25"/>
    <row r="228973" customFormat="1" x14ac:dyDescent="0.25"/>
    <row r="228974" customFormat="1" x14ac:dyDescent="0.25"/>
    <row r="228975" customFormat="1" x14ac:dyDescent="0.25"/>
    <row r="228976" customFormat="1" x14ac:dyDescent="0.25"/>
    <row r="228977" customFormat="1" x14ac:dyDescent="0.25"/>
    <row r="228978" customFormat="1" x14ac:dyDescent="0.25"/>
    <row r="228979" customFormat="1" x14ac:dyDescent="0.25"/>
    <row r="228980" customFormat="1" x14ac:dyDescent="0.25"/>
    <row r="228981" customFormat="1" x14ac:dyDescent="0.25"/>
    <row r="228982" customFormat="1" x14ac:dyDescent="0.25"/>
    <row r="228983" customFormat="1" x14ac:dyDescent="0.25"/>
    <row r="228984" customFormat="1" x14ac:dyDescent="0.25"/>
    <row r="228985" customFormat="1" x14ac:dyDescent="0.25"/>
    <row r="228986" customFormat="1" x14ac:dyDescent="0.25"/>
    <row r="228987" customFormat="1" x14ac:dyDescent="0.25"/>
    <row r="228988" customFormat="1" x14ac:dyDescent="0.25"/>
    <row r="228989" customFormat="1" x14ac:dyDescent="0.25"/>
    <row r="228990" customFormat="1" x14ac:dyDescent="0.25"/>
    <row r="228991" customFormat="1" x14ac:dyDescent="0.25"/>
    <row r="228992" customFormat="1" x14ac:dyDescent="0.25"/>
    <row r="228993" customFormat="1" x14ac:dyDescent="0.25"/>
    <row r="228994" customFormat="1" x14ac:dyDescent="0.25"/>
    <row r="228995" customFormat="1" x14ac:dyDescent="0.25"/>
    <row r="228996" customFormat="1" x14ac:dyDescent="0.25"/>
    <row r="228997" customFormat="1" x14ac:dyDescent="0.25"/>
    <row r="228998" customFormat="1" x14ac:dyDescent="0.25"/>
    <row r="228999" customFormat="1" x14ac:dyDescent="0.25"/>
    <row r="229000" customFormat="1" x14ac:dyDescent="0.25"/>
    <row r="229001" customFormat="1" x14ac:dyDescent="0.25"/>
    <row r="229002" customFormat="1" x14ac:dyDescent="0.25"/>
    <row r="229003" customFormat="1" x14ac:dyDescent="0.25"/>
    <row r="229004" customFormat="1" x14ac:dyDescent="0.25"/>
    <row r="229005" customFormat="1" x14ac:dyDescent="0.25"/>
    <row r="229006" customFormat="1" x14ac:dyDescent="0.25"/>
    <row r="229007" customFormat="1" x14ac:dyDescent="0.25"/>
    <row r="229008" customFormat="1" x14ac:dyDescent="0.25"/>
    <row r="229009" customFormat="1" x14ac:dyDescent="0.25"/>
    <row r="229010" customFormat="1" x14ac:dyDescent="0.25"/>
    <row r="229011" customFormat="1" x14ac:dyDescent="0.25"/>
    <row r="229012" customFormat="1" x14ac:dyDescent="0.25"/>
    <row r="229013" customFormat="1" x14ac:dyDescent="0.25"/>
    <row r="229014" customFormat="1" x14ac:dyDescent="0.25"/>
    <row r="229015" customFormat="1" x14ac:dyDescent="0.25"/>
    <row r="229016" customFormat="1" x14ac:dyDescent="0.25"/>
    <row r="229017" customFormat="1" x14ac:dyDescent="0.25"/>
    <row r="229018" customFormat="1" x14ac:dyDescent="0.25"/>
    <row r="229019" customFormat="1" x14ac:dyDescent="0.25"/>
    <row r="229020" customFormat="1" x14ac:dyDescent="0.25"/>
    <row r="229021" customFormat="1" x14ac:dyDescent="0.25"/>
    <row r="229022" customFormat="1" x14ac:dyDescent="0.25"/>
    <row r="229023" customFormat="1" x14ac:dyDescent="0.25"/>
    <row r="229024" customFormat="1" x14ac:dyDescent="0.25"/>
    <row r="229025" customFormat="1" x14ac:dyDescent="0.25"/>
    <row r="229026" customFormat="1" x14ac:dyDescent="0.25"/>
    <row r="229027" customFormat="1" x14ac:dyDescent="0.25"/>
    <row r="229028" customFormat="1" x14ac:dyDescent="0.25"/>
    <row r="229029" customFormat="1" x14ac:dyDescent="0.25"/>
    <row r="229030" customFormat="1" x14ac:dyDescent="0.25"/>
    <row r="229031" customFormat="1" x14ac:dyDescent="0.25"/>
    <row r="229032" customFormat="1" x14ac:dyDescent="0.25"/>
    <row r="229033" customFormat="1" x14ac:dyDescent="0.25"/>
    <row r="229034" customFormat="1" x14ac:dyDescent="0.25"/>
    <row r="229035" customFormat="1" x14ac:dyDescent="0.25"/>
    <row r="229036" customFormat="1" x14ac:dyDescent="0.25"/>
    <row r="229037" customFormat="1" x14ac:dyDescent="0.25"/>
    <row r="229038" customFormat="1" x14ac:dyDescent="0.25"/>
    <row r="229039" customFormat="1" x14ac:dyDescent="0.25"/>
    <row r="229040" customFormat="1" x14ac:dyDescent="0.25"/>
    <row r="229041" customFormat="1" x14ac:dyDescent="0.25"/>
    <row r="229042" customFormat="1" x14ac:dyDescent="0.25"/>
    <row r="229043" customFormat="1" x14ac:dyDescent="0.25"/>
    <row r="229044" customFormat="1" x14ac:dyDescent="0.25"/>
    <row r="229045" customFormat="1" x14ac:dyDescent="0.25"/>
    <row r="229046" customFormat="1" x14ac:dyDescent="0.25"/>
    <row r="229047" customFormat="1" x14ac:dyDescent="0.25"/>
    <row r="229048" customFormat="1" x14ac:dyDescent="0.25"/>
    <row r="229049" customFormat="1" x14ac:dyDescent="0.25"/>
    <row r="229050" customFormat="1" x14ac:dyDescent="0.25"/>
    <row r="229051" customFormat="1" x14ac:dyDescent="0.25"/>
    <row r="229052" customFormat="1" x14ac:dyDescent="0.25"/>
    <row r="229053" customFormat="1" x14ac:dyDescent="0.25"/>
    <row r="229054" customFormat="1" x14ac:dyDescent="0.25"/>
    <row r="229055" customFormat="1" x14ac:dyDescent="0.25"/>
    <row r="229056" customFormat="1" x14ac:dyDescent="0.25"/>
    <row r="229057" customFormat="1" x14ac:dyDescent="0.25"/>
    <row r="229058" customFormat="1" x14ac:dyDescent="0.25"/>
    <row r="229059" customFormat="1" x14ac:dyDescent="0.25"/>
    <row r="229060" customFormat="1" x14ac:dyDescent="0.25"/>
    <row r="229061" customFormat="1" x14ac:dyDescent="0.25"/>
    <row r="229062" customFormat="1" x14ac:dyDescent="0.25"/>
    <row r="229063" customFormat="1" x14ac:dyDescent="0.25"/>
    <row r="229064" customFormat="1" x14ac:dyDescent="0.25"/>
    <row r="229065" customFormat="1" x14ac:dyDescent="0.25"/>
    <row r="229066" customFormat="1" x14ac:dyDescent="0.25"/>
    <row r="229067" customFormat="1" x14ac:dyDescent="0.25"/>
    <row r="229068" customFormat="1" x14ac:dyDescent="0.25"/>
    <row r="229069" customFormat="1" x14ac:dyDescent="0.25"/>
    <row r="229070" customFormat="1" x14ac:dyDescent="0.25"/>
    <row r="229071" customFormat="1" x14ac:dyDescent="0.25"/>
    <row r="229072" customFormat="1" x14ac:dyDescent="0.25"/>
    <row r="229073" customFormat="1" x14ac:dyDescent="0.25"/>
    <row r="229074" customFormat="1" x14ac:dyDescent="0.25"/>
    <row r="229075" customFormat="1" x14ac:dyDescent="0.25"/>
    <row r="229076" customFormat="1" x14ac:dyDescent="0.25"/>
    <row r="229077" customFormat="1" x14ac:dyDescent="0.25"/>
    <row r="229078" customFormat="1" x14ac:dyDescent="0.25"/>
    <row r="229079" customFormat="1" x14ac:dyDescent="0.25"/>
    <row r="229080" customFormat="1" x14ac:dyDescent="0.25"/>
    <row r="229081" customFormat="1" x14ac:dyDescent="0.25"/>
    <row r="229082" customFormat="1" x14ac:dyDescent="0.25"/>
    <row r="229083" customFormat="1" x14ac:dyDescent="0.25"/>
    <row r="229084" customFormat="1" x14ac:dyDescent="0.25"/>
    <row r="229085" customFormat="1" x14ac:dyDescent="0.25"/>
    <row r="229086" customFormat="1" x14ac:dyDescent="0.25"/>
    <row r="229087" customFormat="1" x14ac:dyDescent="0.25"/>
    <row r="229088" customFormat="1" x14ac:dyDescent="0.25"/>
    <row r="229089" customFormat="1" x14ac:dyDescent="0.25"/>
    <row r="229090" customFormat="1" x14ac:dyDescent="0.25"/>
    <row r="229091" customFormat="1" x14ac:dyDescent="0.25"/>
    <row r="229092" customFormat="1" x14ac:dyDescent="0.25"/>
    <row r="229093" customFormat="1" x14ac:dyDescent="0.25"/>
    <row r="229094" customFormat="1" x14ac:dyDescent="0.25"/>
    <row r="229095" customFormat="1" x14ac:dyDescent="0.25"/>
    <row r="229096" customFormat="1" x14ac:dyDescent="0.25"/>
    <row r="229097" customFormat="1" x14ac:dyDescent="0.25"/>
    <row r="229098" customFormat="1" x14ac:dyDescent="0.25"/>
    <row r="229099" customFormat="1" x14ac:dyDescent="0.25"/>
    <row r="229100" customFormat="1" x14ac:dyDescent="0.25"/>
    <row r="229101" customFormat="1" x14ac:dyDescent="0.25"/>
    <row r="229102" customFormat="1" x14ac:dyDescent="0.25"/>
    <row r="229103" customFormat="1" x14ac:dyDescent="0.25"/>
    <row r="229104" customFormat="1" x14ac:dyDescent="0.25"/>
    <row r="229105" customFormat="1" x14ac:dyDescent="0.25"/>
    <row r="229106" customFormat="1" x14ac:dyDescent="0.25"/>
    <row r="229107" customFormat="1" x14ac:dyDescent="0.25"/>
    <row r="229108" customFormat="1" x14ac:dyDescent="0.25"/>
    <row r="229109" customFormat="1" x14ac:dyDescent="0.25"/>
    <row r="229110" customFormat="1" x14ac:dyDescent="0.25"/>
    <row r="229111" customFormat="1" x14ac:dyDescent="0.25"/>
    <row r="229112" customFormat="1" x14ac:dyDescent="0.25"/>
    <row r="229113" customFormat="1" x14ac:dyDescent="0.25"/>
    <row r="229114" customFormat="1" x14ac:dyDescent="0.25"/>
    <row r="229115" customFormat="1" x14ac:dyDescent="0.25"/>
    <row r="229116" customFormat="1" x14ac:dyDescent="0.25"/>
    <row r="229117" customFormat="1" x14ac:dyDescent="0.25"/>
    <row r="229118" customFormat="1" x14ac:dyDescent="0.25"/>
    <row r="229119" customFormat="1" x14ac:dyDescent="0.25"/>
    <row r="229120" customFormat="1" x14ac:dyDescent="0.25"/>
    <row r="229121" customFormat="1" x14ac:dyDescent="0.25"/>
    <row r="229122" customFormat="1" x14ac:dyDescent="0.25"/>
    <row r="229123" customFormat="1" x14ac:dyDescent="0.25"/>
    <row r="229124" customFormat="1" x14ac:dyDescent="0.25"/>
    <row r="229125" customFormat="1" x14ac:dyDescent="0.25"/>
    <row r="229126" customFormat="1" x14ac:dyDescent="0.25"/>
    <row r="229127" customFormat="1" x14ac:dyDescent="0.25"/>
    <row r="229128" customFormat="1" x14ac:dyDescent="0.25"/>
    <row r="229129" customFormat="1" x14ac:dyDescent="0.25"/>
    <row r="229130" customFormat="1" x14ac:dyDescent="0.25"/>
    <row r="229131" customFormat="1" x14ac:dyDescent="0.25"/>
    <row r="229132" customFormat="1" x14ac:dyDescent="0.25"/>
    <row r="229133" customFormat="1" x14ac:dyDescent="0.25"/>
    <row r="229134" customFormat="1" x14ac:dyDescent="0.25"/>
    <row r="229135" customFormat="1" x14ac:dyDescent="0.25"/>
    <row r="229136" customFormat="1" x14ac:dyDescent="0.25"/>
    <row r="229137" customFormat="1" x14ac:dyDescent="0.25"/>
    <row r="229138" customFormat="1" x14ac:dyDescent="0.25"/>
    <row r="229139" customFormat="1" x14ac:dyDescent="0.25"/>
    <row r="229140" customFormat="1" x14ac:dyDescent="0.25"/>
    <row r="229141" customFormat="1" x14ac:dyDescent="0.25"/>
    <row r="229142" customFormat="1" x14ac:dyDescent="0.25"/>
    <row r="229143" customFormat="1" x14ac:dyDescent="0.25"/>
    <row r="229144" customFormat="1" x14ac:dyDescent="0.25"/>
    <row r="229145" customFormat="1" x14ac:dyDescent="0.25"/>
    <row r="229146" customFormat="1" x14ac:dyDescent="0.25"/>
    <row r="229147" customFormat="1" x14ac:dyDescent="0.25"/>
    <row r="229148" customFormat="1" x14ac:dyDescent="0.25"/>
    <row r="229149" customFormat="1" x14ac:dyDescent="0.25"/>
    <row r="229150" customFormat="1" x14ac:dyDescent="0.25"/>
    <row r="229151" customFormat="1" x14ac:dyDescent="0.25"/>
    <row r="229152" customFormat="1" x14ac:dyDescent="0.25"/>
    <row r="229153" customFormat="1" x14ac:dyDescent="0.25"/>
    <row r="229154" customFormat="1" x14ac:dyDescent="0.25"/>
    <row r="229155" customFormat="1" x14ac:dyDescent="0.25"/>
    <row r="229156" customFormat="1" x14ac:dyDescent="0.25"/>
    <row r="229157" customFormat="1" x14ac:dyDescent="0.25"/>
    <row r="229158" customFormat="1" x14ac:dyDescent="0.25"/>
    <row r="229159" customFormat="1" x14ac:dyDescent="0.25"/>
    <row r="229160" customFormat="1" x14ac:dyDescent="0.25"/>
    <row r="229161" customFormat="1" x14ac:dyDescent="0.25"/>
    <row r="229162" customFormat="1" x14ac:dyDescent="0.25"/>
    <row r="229163" customFormat="1" x14ac:dyDescent="0.25"/>
    <row r="229164" customFormat="1" x14ac:dyDescent="0.25"/>
    <row r="229165" customFormat="1" x14ac:dyDescent="0.25"/>
    <row r="229166" customFormat="1" x14ac:dyDescent="0.25"/>
    <row r="229167" customFormat="1" x14ac:dyDescent="0.25"/>
    <row r="229168" customFormat="1" x14ac:dyDescent="0.25"/>
    <row r="229169" customFormat="1" x14ac:dyDescent="0.25"/>
    <row r="229170" customFormat="1" x14ac:dyDescent="0.25"/>
    <row r="229171" customFormat="1" x14ac:dyDescent="0.25"/>
    <row r="229172" customFormat="1" x14ac:dyDescent="0.25"/>
    <row r="229173" customFormat="1" x14ac:dyDescent="0.25"/>
    <row r="229174" customFormat="1" x14ac:dyDescent="0.25"/>
    <row r="229175" customFormat="1" x14ac:dyDescent="0.25"/>
    <row r="229176" customFormat="1" x14ac:dyDescent="0.25"/>
    <row r="229177" customFormat="1" x14ac:dyDescent="0.25"/>
    <row r="229178" customFormat="1" x14ac:dyDescent="0.25"/>
    <row r="229179" customFormat="1" x14ac:dyDescent="0.25"/>
    <row r="229180" customFormat="1" x14ac:dyDescent="0.25"/>
    <row r="229181" customFormat="1" x14ac:dyDescent="0.25"/>
    <row r="229182" customFormat="1" x14ac:dyDescent="0.25"/>
    <row r="229183" customFormat="1" x14ac:dyDescent="0.25"/>
    <row r="229184" customFormat="1" x14ac:dyDescent="0.25"/>
    <row r="229185" customFormat="1" x14ac:dyDescent="0.25"/>
    <row r="229186" customFormat="1" x14ac:dyDescent="0.25"/>
    <row r="229187" customFormat="1" x14ac:dyDescent="0.25"/>
    <row r="229188" customFormat="1" x14ac:dyDescent="0.25"/>
    <row r="229189" customFormat="1" x14ac:dyDescent="0.25"/>
    <row r="229190" customFormat="1" x14ac:dyDescent="0.25"/>
    <row r="229191" customFormat="1" x14ac:dyDescent="0.25"/>
    <row r="229192" customFormat="1" x14ac:dyDescent="0.25"/>
    <row r="229193" customFormat="1" x14ac:dyDescent="0.25"/>
    <row r="229194" customFormat="1" x14ac:dyDescent="0.25"/>
    <row r="229195" customFormat="1" x14ac:dyDescent="0.25"/>
    <row r="229196" customFormat="1" x14ac:dyDescent="0.25"/>
    <row r="229197" customFormat="1" x14ac:dyDescent="0.25"/>
    <row r="229198" customFormat="1" x14ac:dyDescent="0.25"/>
    <row r="229199" customFormat="1" x14ac:dyDescent="0.25"/>
    <row r="229200" customFormat="1" x14ac:dyDescent="0.25"/>
    <row r="229201" customFormat="1" x14ac:dyDescent="0.25"/>
    <row r="229202" customFormat="1" x14ac:dyDescent="0.25"/>
    <row r="229203" customFormat="1" x14ac:dyDescent="0.25"/>
    <row r="229204" customFormat="1" x14ac:dyDescent="0.25"/>
    <row r="229205" customFormat="1" x14ac:dyDescent="0.25"/>
    <row r="229206" customFormat="1" x14ac:dyDescent="0.25"/>
    <row r="229207" customFormat="1" x14ac:dyDescent="0.25"/>
    <row r="229208" customFormat="1" x14ac:dyDescent="0.25"/>
    <row r="229209" customFormat="1" x14ac:dyDescent="0.25"/>
    <row r="229210" customFormat="1" x14ac:dyDescent="0.25"/>
    <row r="229211" customFormat="1" x14ac:dyDescent="0.25"/>
    <row r="229212" customFormat="1" x14ac:dyDescent="0.25"/>
    <row r="229213" customFormat="1" x14ac:dyDescent="0.25"/>
    <row r="229214" customFormat="1" x14ac:dyDescent="0.25"/>
    <row r="229215" customFormat="1" x14ac:dyDescent="0.25"/>
    <row r="229216" customFormat="1" x14ac:dyDescent="0.25"/>
    <row r="229217" customFormat="1" x14ac:dyDescent="0.25"/>
    <row r="229218" customFormat="1" x14ac:dyDescent="0.25"/>
    <row r="229219" customFormat="1" x14ac:dyDescent="0.25"/>
    <row r="229220" customFormat="1" x14ac:dyDescent="0.25"/>
    <row r="229221" customFormat="1" x14ac:dyDescent="0.25"/>
    <row r="229222" customFormat="1" x14ac:dyDescent="0.25"/>
    <row r="229223" customFormat="1" x14ac:dyDescent="0.25"/>
    <row r="229224" customFormat="1" x14ac:dyDescent="0.25"/>
    <row r="229225" customFormat="1" x14ac:dyDescent="0.25"/>
    <row r="229226" customFormat="1" x14ac:dyDescent="0.25"/>
    <row r="229227" customFormat="1" x14ac:dyDescent="0.25"/>
    <row r="229228" customFormat="1" x14ac:dyDescent="0.25"/>
    <row r="229229" customFormat="1" x14ac:dyDescent="0.25"/>
    <row r="229230" customFormat="1" x14ac:dyDescent="0.25"/>
    <row r="229231" customFormat="1" x14ac:dyDescent="0.25"/>
    <row r="229232" customFormat="1" x14ac:dyDescent="0.25"/>
    <row r="229233" customFormat="1" x14ac:dyDescent="0.25"/>
    <row r="229234" customFormat="1" x14ac:dyDescent="0.25"/>
    <row r="229235" customFormat="1" x14ac:dyDescent="0.25"/>
    <row r="229236" customFormat="1" x14ac:dyDescent="0.25"/>
    <row r="229237" customFormat="1" x14ac:dyDescent="0.25"/>
    <row r="229238" customFormat="1" x14ac:dyDescent="0.25"/>
    <row r="229239" customFormat="1" x14ac:dyDescent="0.25"/>
    <row r="229240" customFormat="1" x14ac:dyDescent="0.25"/>
    <row r="229241" customFormat="1" x14ac:dyDescent="0.25"/>
    <row r="229242" customFormat="1" x14ac:dyDescent="0.25"/>
    <row r="229243" customFormat="1" x14ac:dyDescent="0.25"/>
    <row r="229244" customFormat="1" x14ac:dyDescent="0.25"/>
    <row r="229245" customFormat="1" x14ac:dyDescent="0.25"/>
    <row r="229246" customFormat="1" x14ac:dyDescent="0.25"/>
    <row r="229247" customFormat="1" x14ac:dyDescent="0.25"/>
    <row r="229248" customFormat="1" x14ac:dyDescent="0.25"/>
    <row r="229249" customFormat="1" x14ac:dyDescent="0.25"/>
    <row r="229250" customFormat="1" x14ac:dyDescent="0.25"/>
    <row r="229251" customFormat="1" x14ac:dyDescent="0.25"/>
    <row r="229252" customFormat="1" x14ac:dyDescent="0.25"/>
    <row r="229253" customFormat="1" x14ac:dyDescent="0.25"/>
    <row r="229254" customFormat="1" x14ac:dyDescent="0.25"/>
    <row r="229255" customFormat="1" x14ac:dyDescent="0.25"/>
    <row r="229256" customFormat="1" x14ac:dyDescent="0.25"/>
    <row r="229257" customFormat="1" x14ac:dyDescent="0.25"/>
    <row r="229258" customFormat="1" x14ac:dyDescent="0.25"/>
    <row r="229259" customFormat="1" x14ac:dyDescent="0.25"/>
    <row r="229260" customFormat="1" x14ac:dyDescent="0.25"/>
    <row r="229261" customFormat="1" x14ac:dyDescent="0.25"/>
    <row r="229262" customFormat="1" x14ac:dyDescent="0.25"/>
    <row r="229263" customFormat="1" x14ac:dyDescent="0.25"/>
    <row r="229264" customFormat="1" x14ac:dyDescent="0.25"/>
    <row r="229265" customFormat="1" x14ac:dyDescent="0.25"/>
    <row r="229266" customFormat="1" x14ac:dyDescent="0.25"/>
    <row r="229267" customFormat="1" x14ac:dyDescent="0.25"/>
    <row r="229268" customFormat="1" x14ac:dyDescent="0.25"/>
    <row r="229269" customFormat="1" x14ac:dyDescent="0.25"/>
    <row r="229270" customFormat="1" x14ac:dyDescent="0.25"/>
    <row r="229271" customFormat="1" x14ac:dyDescent="0.25"/>
    <row r="229272" customFormat="1" x14ac:dyDescent="0.25"/>
    <row r="229273" customFormat="1" x14ac:dyDescent="0.25"/>
    <row r="229274" customFormat="1" x14ac:dyDescent="0.25"/>
    <row r="229275" customFormat="1" x14ac:dyDescent="0.25"/>
    <row r="229276" customFormat="1" x14ac:dyDescent="0.25"/>
    <row r="229277" customFormat="1" x14ac:dyDescent="0.25"/>
    <row r="229278" customFormat="1" x14ac:dyDescent="0.25"/>
    <row r="229279" customFormat="1" x14ac:dyDescent="0.25"/>
    <row r="229280" customFormat="1" x14ac:dyDescent="0.25"/>
    <row r="229281" customFormat="1" x14ac:dyDescent="0.25"/>
    <row r="229282" customFormat="1" x14ac:dyDescent="0.25"/>
    <row r="229283" customFormat="1" x14ac:dyDescent="0.25"/>
    <row r="229284" customFormat="1" x14ac:dyDescent="0.25"/>
    <row r="229285" customFormat="1" x14ac:dyDescent="0.25"/>
    <row r="229286" customFormat="1" x14ac:dyDescent="0.25"/>
    <row r="229287" customFormat="1" x14ac:dyDescent="0.25"/>
    <row r="229288" customFormat="1" x14ac:dyDescent="0.25"/>
    <row r="229289" customFormat="1" x14ac:dyDescent="0.25"/>
    <row r="229290" customFormat="1" x14ac:dyDescent="0.25"/>
    <row r="229291" customFormat="1" x14ac:dyDescent="0.25"/>
    <row r="229292" customFormat="1" x14ac:dyDescent="0.25"/>
    <row r="229293" customFormat="1" x14ac:dyDescent="0.25"/>
    <row r="229294" customFormat="1" x14ac:dyDescent="0.25"/>
    <row r="229295" customFormat="1" x14ac:dyDescent="0.25"/>
    <row r="229296" customFormat="1" x14ac:dyDescent="0.25"/>
    <row r="229297" customFormat="1" x14ac:dyDescent="0.25"/>
    <row r="229298" customFormat="1" x14ac:dyDescent="0.25"/>
    <row r="229299" customFormat="1" x14ac:dyDescent="0.25"/>
    <row r="229300" customFormat="1" x14ac:dyDescent="0.25"/>
    <row r="229301" customFormat="1" x14ac:dyDescent="0.25"/>
    <row r="229302" customFormat="1" x14ac:dyDescent="0.25"/>
    <row r="229303" customFormat="1" x14ac:dyDescent="0.25"/>
    <row r="229304" customFormat="1" x14ac:dyDescent="0.25"/>
    <row r="229305" customFormat="1" x14ac:dyDescent="0.25"/>
    <row r="229306" customFormat="1" x14ac:dyDescent="0.25"/>
    <row r="229307" customFormat="1" x14ac:dyDescent="0.25"/>
    <row r="229308" customFormat="1" x14ac:dyDescent="0.25"/>
    <row r="229309" customFormat="1" x14ac:dyDescent="0.25"/>
    <row r="229310" customFormat="1" x14ac:dyDescent="0.25"/>
    <row r="229311" customFormat="1" x14ac:dyDescent="0.25"/>
    <row r="229312" customFormat="1" x14ac:dyDescent="0.25"/>
    <row r="229313" customFormat="1" x14ac:dyDescent="0.25"/>
    <row r="229314" customFormat="1" x14ac:dyDescent="0.25"/>
    <row r="229315" customFormat="1" x14ac:dyDescent="0.25"/>
    <row r="229316" customFormat="1" x14ac:dyDescent="0.25"/>
    <row r="229317" customFormat="1" x14ac:dyDescent="0.25"/>
    <row r="229318" customFormat="1" x14ac:dyDescent="0.25"/>
    <row r="229319" customFormat="1" x14ac:dyDescent="0.25"/>
    <row r="229320" customFormat="1" x14ac:dyDescent="0.25"/>
    <row r="229321" customFormat="1" x14ac:dyDescent="0.25"/>
    <row r="229322" customFormat="1" x14ac:dyDescent="0.25"/>
    <row r="229323" customFormat="1" x14ac:dyDescent="0.25"/>
    <row r="229324" customFormat="1" x14ac:dyDescent="0.25"/>
    <row r="229325" customFormat="1" x14ac:dyDescent="0.25"/>
    <row r="229326" customFormat="1" x14ac:dyDescent="0.25"/>
    <row r="229327" customFormat="1" x14ac:dyDescent="0.25"/>
    <row r="229328" customFormat="1" x14ac:dyDescent="0.25"/>
    <row r="229329" customFormat="1" x14ac:dyDescent="0.25"/>
    <row r="229330" customFormat="1" x14ac:dyDescent="0.25"/>
    <row r="229331" customFormat="1" x14ac:dyDescent="0.25"/>
    <row r="229332" customFormat="1" x14ac:dyDescent="0.25"/>
    <row r="229333" customFormat="1" x14ac:dyDescent="0.25"/>
    <row r="229334" customFormat="1" x14ac:dyDescent="0.25"/>
    <row r="229335" customFormat="1" x14ac:dyDescent="0.25"/>
    <row r="229336" customFormat="1" x14ac:dyDescent="0.25"/>
    <row r="229337" customFormat="1" x14ac:dyDescent="0.25"/>
    <row r="229338" customFormat="1" x14ac:dyDescent="0.25"/>
    <row r="229339" customFormat="1" x14ac:dyDescent="0.25"/>
    <row r="229340" customFormat="1" x14ac:dyDescent="0.25"/>
    <row r="229341" customFormat="1" x14ac:dyDescent="0.25"/>
    <row r="229342" customFormat="1" x14ac:dyDescent="0.25"/>
    <row r="229343" customFormat="1" x14ac:dyDescent="0.25"/>
    <row r="229344" customFormat="1" x14ac:dyDescent="0.25"/>
    <row r="229345" customFormat="1" x14ac:dyDescent="0.25"/>
    <row r="229346" customFormat="1" x14ac:dyDescent="0.25"/>
    <row r="229347" customFormat="1" x14ac:dyDescent="0.25"/>
    <row r="229348" customFormat="1" x14ac:dyDescent="0.25"/>
    <row r="229349" customFormat="1" x14ac:dyDescent="0.25"/>
    <row r="229350" customFormat="1" x14ac:dyDescent="0.25"/>
    <row r="229351" customFormat="1" x14ac:dyDescent="0.25"/>
    <row r="229352" customFormat="1" x14ac:dyDescent="0.25"/>
    <row r="229353" customFormat="1" x14ac:dyDescent="0.25"/>
    <row r="229354" customFormat="1" x14ac:dyDescent="0.25"/>
    <row r="229355" customFormat="1" x14ac:dyDescent="0.25"/>
    <row r="229356" customFormat="1" x14ac:dyDescent="0.25"/>
    <row r="229357" customFormat="1" x14ac:dyDescent="0.25"/>
    <row r="229358" customFormat="1" x14ac:dyDescent="0.25"/>
    <row r="229359" customFormat="1" x14ac:dyDescent="0.25"/>
    <row r="229360" customFormat="1" x14ac:dyDescent="0.25"/>
    <row r="229361" customFormat="1" x14ac:dyDescent="0.25"/>
    <row r="229362" customFormat="1" x14ac:dyDescent="0.25"/>
    <row r="229363" customFormat="1" x14ac:dyDescent="0.25"/>
    <row r="229364" customFormat="1" x14ac:dyDescent="0.25"/>
    <row r="229365" customFormat="1" x14ac:dyDescent="0.25"/>
    <row r="229366" customFormat="1" x14ac:dyDescent="0.25"/>
    <row r="229367" customFormat="1" x14ac:dyDescent="0.25"/>
    <row r="229368" customFormat="1" x14ac:dyDescent="0.25"/>
    <row r="229369" customFormat="1" x14ac:dyDescent="0.25"/>
    <row r="229370" customFormat="1" x14ac:dyDescent="0.25"/>
    <row r="229371" customFormat="1" x14ac:dyDescent="0.25"/>
    <row r="229372" customFormat="1" x14ac:dyDescent="0.25"/>
    <row r="229373" customFormat="1" x14ac:dyDescent="0.25"/>
    <row r="229374" customFormat="1" x14ac:dyDescent="0.25"/>
    <row r="229375" customFormat="1" x14ac:dyDescent="0.25"/>
    <row r="229376" customFormat="1" x14ac:dyDescent="0.25"/>
    <row r="229377" customFormat="1" x14ac:dyDescent="0.25"/>
    <row r="229378" customFormat="1" x14ac:dyDescent="0.25"/>
    <row r="229379" customFormat="1" x14ac:dyDescent="0.25"/>
    <row r="229380" customFormat="1" x14ac:dyDescent="0.25"/>
    <row r="229381" customFormat="1" x14ac:dyDescent="0.25"/>
    <row r="229382" customFormat="1" x14ac:dyDescent="0.25"/>
    <row r="229383" customFormat="1" x14ac:dyDescent="0.25"/>
    <row r="229384" customFormat="1" x14ac:dyDescent="0.25"/>
    <row r="229385" customFormat="1" x14ac:dyDescent="0.25"/>
    <row r="229386" customFormat="1" x14ac:dyDescent="0.25"/>
    <row r="229387" customFormat="1" x14ac:dyDescent="0.25"/>
    <row r="229388" customFormat="1" x14ac:dyDescent="0.25"/>
    <row r="229389" customFormat="1" x14ac:dyDescent="0.25"/>
    <row r="229390" customFormat="1" x14ac:dyDescent="0.25"/>
    <row r="229391" customFormat="1" x14ac:dyDescent="0.25"/>
    <row r="229392" customFormat="1" x14ac:dyDescent="0.25"/>
    <row r="229393" customFormat="1" x14ac:dyDescent="0.25"/>
    <row r="229394" customFormat="1" x14ac:dyDescent="0.25"/>
    <row r="229395" customFormat="1" x14ac:dyDescent="0.25"/>
    <row r="229396" customFormat="1" x14ac:dyDescent="0.25"/>
    <row r="229397" customFormat="1" x14ac:dyDescent="0.25"/>
    <row r="229398" customFormat="1" x14ac:dyDescent="0.25"/>
    <row r="229399" customFormat="1" x14ac:dyDescent="0.25"/>
    <row r="229400" customFormat="1" x14ac:dyDescent="0.25"/>
    <row r="229401" customFormat="1" x14ac:dyDescent="0.25"/>
    <row r="229402" customFormat="1" x14ac:dyDescent="0.25"/>
    <row r="229403" customFormat="1" x14ac:dyDescent="0.25"/>
    <row r="229404" customFormat="1" x14ac:dyDescent="0.25"/>
    <row r="229405" customFormat="1" x14ac:dyDescent="0.25"/>
    <row r="229406" customFormat="1" x14ac:dyDescent="0.25"/>
    <row r="229407" customFormat="1" x14ac:dyDescent="0.25"/>
    <row r="229408" customFormat="1" x14ac:dyDescent="0.25"/>
    <row r="229409" customFormat="1" x14ac:dyDescent="0.25"/>
    <row r="229410" customFormat="1" x14ac:dyDescent="0.25"/>
    <row r="229411" customFormat="1" x14ac:dyDescent="0.25"/>
    <row r="229412" customFormat="1" x14ac:dyDescent="0.25"/>
    <row r="229413" customFormat="1" x14ac:dyDescent="0.25"/>
    <row r="229414" customFormat="1" x14ac:dyDescent="0.25"/>
    <row r="229415" customFormat="1" x14ac:dyDescent="0.25"/>
    <row r="229416" customFormat="1" x14ac:dyDescent="0.25"/>
    <row r="229417" customFormat="1" x14ac:dyDescent="0.25"/>
    <row r="229418" customFormat="1" x14ac:dyDescent="0.25"/>
    <row r="229419" customFormat="1" x14ac:dyDescent="0.25"/>
    <row r="229420" customFormat="1" x14ac:dyDescent="0.25"/>
    <row r="229421" customFormat="1" x14ac:dyDescent="0.25"/>
    <row r="229422" customFormat="1" x14ac:dyDescent="0.25"/>
    <row r="229423" customFormat="1" x14ac:dyDescent="0.25"/>
    <row r="229424" customFormat="1" x14ac:dyDescent="0.25"/>
    <row r="229425" customFormat="1" x14ac:dyDescent="0.25"/>
    <row r="229426" customFormat="1" x14ac:dyDescent="0.25"/>
    <row r="229427" customFormat="1" x14ac:dyDescent="0.25"/>
    <row r="229428" customFormat="1" x14ac:dyDescent="0.25"/>
    <row r="229429" customFormat="1" x14ac:dyDescent="0.25"/>
    <row r="229430" customFormat="1" x14ac:dyDescent="0.25"/>
    <row r="229431" customFormat="1" x14ac:dyDescent="0.25"/>
    <row r="229432" customFormat="1" x14ac:dyDescent="0.25"/>
    <row r="229433" customFormat="1" x14ac:dyDescent="0.25"/>
    <row r="229434" customFormat="1" x14ac:dyDescent="0.25"/>
    <row r="229435" customFormat="1" x14ac:dyDescent="0.25"/>
    <row r="229436" customFormat="1" x14ac:dyDescent="0.25"/>
    <row r="229437" customFormat="1" x14ac:dyDescent="0.25"/>
    <row r="229438" customFormat="1" x14ac:dyDescent="0.25"/>
    <row r="229439" customFormat="1" x14ac:dyDescent="0.25"/>
    <row r="229440" customFormat="1" x14ac:dyDescent="0.25"/>
    <row r="229441" customFormat="1" x14ac:dyDescent="0.25"/>
    <row r="229442" customFormat="1" x14ac:dyDescent="0.25"/>
    <row r="229443" customFormat="1" x14ac:dyDescent="0.25"/>
    <row r="229444" customFormat="1" x14ac:dyDescent="0.25"/>
    <row r="229445" customFormat="1" x14ac:dyDescent="0.25"/>
    <row r="229446" customFormat="1" x14ac:dyDescent="0.25"/>
    <row r="229447" customFormat="1" x14ac:dyDescent="0.25"/>
    <row r="229448" customFormat="1" x14ac:dyDescent="0.25"/>
    <row r="229449" customFormat="1" x14ac:dyDescent="0.25"/>
    <row r="229450" customFormat="1" x14ac:dyDescent="0.25"/>
    <row r="229451" customFormat="1" x14ac:dyDescent="0.25"/>
    <row r="229452" customFormat="1" x14ac:dyDescent="0.25"/>
    <row r="229453" customFormat="1" x14ac:dyDescent="0.25"/>
    <row r="229454" customFormat="1" x14ac:dyDescent="0.25"/>
    <row r="229455" customFormat="1" x14ac:dyDescent="0.25"/>
    <row r="229456" customFormat="1" x14ac:dyDescent="0.25"/>
    <row r="229457" customFormat="1" x14ac:dyDescent="0.25"/>
    <row r="229458" customFormat="1" x14ac:dyDescent="0.25"/>
    <row r="229459" customFormat="1" x14ac:dyDescent="0.25"/>
    <row r="229460" customFormat="1" x14ac:dyDescent="0.25"/>
    <row r="229461" customFormat="1" x14ac:dyDescent="0.25"/>
    <row r="229462" customFormat="1" x14ac:dyDescent="0.25"/>
    <row r="229463" customFormat="1" x14ac:dyDescent="0.25"/>
    <row r="229464" customFormat="1" x14ac:dyDescent="0.25"/>
    <row r="229465" customFormat="1" x14ac:dyDescent="0.25"/>
    <row r="229466" customFormat="1" x14ac:dyDescent="0.25"/>
    <row r="229467" customFormat="1" x14ac:dyDescent="0.25"/>
    <row r="229468" customFormat="1" x14ac:dyDescent="0.25"/>
    <row r="229469" customFormat="1" x14ac:dyDescent="0.25"/>
    <row r="229470" customFormat="1" x14ac:dyDescent="0.25"/>
    <row r="229471" customFormat="1" x14ac:dyDescent="0.25"/>
    <row r="229472" customFormat="1" x14ac:dyDescent="0.25"/>
    <row r="229473" customFormat="1" x14ac:dyDescent="0.25"/>
    <row r="229474" customFormat="1" x14ac:dyDescent="0.25"/>
    <row r="229475" customFormat="1" x14ac:dyDescent="0.25"/>
    <row r="229476" customFormat="1" x14ac:dyDescent="0.25"/>
    <row r="229477" customFormat="1" x14ac:dyDescent="0.25"/>
    <row r="229478" customFormat="1" x14ac:dyDescent="0.25"/>
    <row r="229479" customFormat="1" x14ac:dyDescent="0.25"/>
    <row r="229480" customFormat="1" x14ac:dyDescent="0.25"/>
    <row r="229481" customFormat="1" x14ac:dyDescent="0.25"/>
    <row r="229482" customFormat="1" x14ac:dyDescent="0.25"/>
    <row r="229483" customFormat="1" x14ac:dyDescent="0.25"/>
    <row r="229484" customFormat="1" x14ac:dyDescent="0.25"/>
    <row r="229485" customFormat="1" x14ac:dyDescent="0.25"/>
    <row r="229486" customFormat="1" x14ac:dyDescent="0.25"/>
    <row r="229487" customFormat="1" x14ac:dyDescent="0.25"/>
    <row r="229488" customFormat="1" x14ac:dyDescent="0.25"/>
    <row r="229489" customFormat="1" x14ac:dyDescent="0.25"/>
    <row r="229490" customFormat="1" x14ac:dyDescent="0.25"/>
    <row r="229491" customFormat="1" x14ac:dyDescent="0.25"/>
    <row r="229492" customFormat="1" x14ac:dyDescent="0.25"/>
    <row r="229493" customFormat="1" x14ac:dyDescent="0.25"/>
    <row r="229494" customFormat="1" x14ac:dyDescent="0.25"/>
    <row r="229495" customFormat="1" x14ac:dyDescent="0.25"/>
    <row r="229496" customFormat="1" x14ac:dyDescent="0.25"/>
    <row r="229497" customFormat="1" x14ac:dyDescent="0.25"/>
    <row r="229498" customFormat="1" x14ac:dyDescent="0.25"/>
    <row r="229499" customFormat="1" x14ac:dyDescent="0.25"/>
    <row r="229500" customFormat="1" x14ac:dyDescent="0.25"/>
    <row r="229501" customFormat="1" x14ac:dyDescent="0.25"/>
    <row r="229502" customFormat="1" x14ac:dyDescent="0.25"/>
    <row r="229503" customFormat="1" x14ac:dyDescent="0.25"/>
    <row r="229504" customFormat="1" x14ac:dyDescent="0.25"/>
    <row r="229505" customFormat="1" x14ac:dyDescent="0.25"/>
    <row r="229506" customFormat="1" x14ac:dyDescent="0.25"/>
    <row r="229507" customFormat="1" x14ac:dyDescent="0.25"/>
    <row r="229508" customFormat="1" x14ac:dyDescent="0.25"/>
    <row r="229509" customFormat="1" x14ac:dyDescent="0.25"/>
    <row r="229510" customFormat="1" x14ac:dyDescent="0.25"/>
    <row r="229511" customFormat="1" x14ac:dyDescent="0.25"/>
    <row r="229512" customFormat="1" x14ac:dyDescent="0.25"/>
    <row r="229513" customFormat="1" x14ac:dyDescent="0.25"/>
    <row r="229514" customFormat="1" x14ac:dyDescent="0.25"/>
    <row r="229515" customFormat="1" x14ac:dyDescent="0.25"/>
    <row r="229516" customFormat="1" x14ac:dyDescent="0.25"/>
    <row r="229517" customFormat="1" x14ac:dyDescent="0.25"/>
    <row r="229518" customFormat="1" x14ac:dyDescent="0.25"/>
    <row r="229519" customFormat="1" x14ac:dyDescent="0.25"/>
    <row r="229520" customFormat="1" x14ac:dyDescent="0.25"/>
    <row r="229521" customFormat="1" x14ac:dyDescent="0.25"/>
    <row r="229522" customFormat="1" x14ac:dyDescent="0.25"/>
    <row r="229523" customFormat="1" x14ac:dyDescent="0.25"/>
    <row r="229524" customFormat="1" x14ac:dyDescent="0.25"/>
    <row r="229525" customFormat="1" x14ac:dyDescent="0.25"/>
    <row r="229526" customFormat="1" x14ac:dyDescent="0.25"/>
    <row r="229527" customFormat="1" x14ac:dyDescent="0.25"/>
    <row r="229528" customFormat="1" x14ac:dyDescent="0.25"/>
    <row r="229529" customFormat="1" x14ac:dyDescent="0.25"/>
    <row r="229530" customFormat="1" x14ac:dyDescent="0.25"/>
    <row r="229531" customFormat="1" x14ac:dyDescent="0.25"/>
    <row r="229532" customFormat="1" x14ac:dyDescent="0.25"/>
    <row r="229533" customFormat="1" x14ac:dyDescent="0.25"/>
    <row r="229534" customFormat="1" x14ac:dyDescent="0.25"/>
    <row r="229535" customFormat="1" x14ac:dyDescent="0.25"/>
    <row r="229536" customFormat="1" x14ac:dyDescent="0.25"/>
    <row r="229537" customFormat="1" x14ac:dyDescent="0.25"/>
    <row r="229538" customFormat="1" x14ac:dyDescent="0.25"/>
    <row r="229539" customFormat="1" x14ac:dyDescent="0.25"/>
    <row r="229540" customFormat="1" x14ac:dyDescent="0.25"/>
    <row r="229541" customFormat="1" x14ac:dyDescent="0.25"/>
    <row r="229542" customFormat="1" x14ac:dyDescent="0.25"/>
    <row r="229543" customFormat="1" x14ac:dyDescent="0.25"/>
    <row r="229544" customFormat="1" x14ac:dyDescent="0.25"/>
    <row r="229545" customFormat="1" x14ac:dyDescent="0.25"/>
    <row r="229546" customFormat="1" x14ac:dyDescent="0.25"/>
    <row r="229547" customFormat="1" x14ac:dyDescent="0.25"/>
    <row r="229548" customFormat="1" x14ac:dyDescent="0.25"/>
    <row r="229549" customFormat="1" x14ac:dyDescent="0.25"/>
    <row r="229550" customFormat="1" x14ac:dyDescent="0.25"/>
    <row r="229551" customFormat="1" x14ac:dyDescent="0.25"/>
    <row r="229552" customFormat="1" x14ac:dyDescent="0.25"/>
    <row r="229553" customFormat="1" x14ac:dyDescent="0.25"/>
    <row r="229554" customFormat="1" x14ac:dyDescent="0.25"/>
    <row r="229555" customFormat="1" x14ac:dyDescent="0.25"/>
    <row r="229556" customFormat="1" x14ac:dyDescent="0.25"/>
    <row r="229557" customFormat="1" x14ac:dyDescent="0.25"/>
    <row r="229558" customFormat="1" x14ac:dyDescent="0.25"/>
    <row r="229559" customFormat="1" x14ac:dyDescent="0.25"/>
    <row r="229560" customFormat="1" x14ac:dyDescent="0.25"/>
    <row r="229561" customFormat="1" x14ac:dyDescent="0.25"/>
    <row r="229562" customFormat="1" x14ac:dyDescent="0.25"/>
    <row r="229563" customFormat="1" x14ac:dyDescent="0.25"/>
    <row r="229564" customFormat="1" x14ac:dyDescent="0.25"/>
    <row r="229565" customFormat="1" x14ac:dyDescent="0.25"/>
    <row r="229566" customFormat="1" x14ac:dyDescent="0.25"/>
    <row r="229567" customFormat="1" x14ac:dyDescent="0.25"/>
    <row r="229568" customFormat="1" x14ac:dyDescent="0.25"/>
    <row r="229569" customFormat="1" x14ac:dyDescent="0.25"/>
    <row r="229570" customFormat="1" x14ac:dyDescent="0.25"/>
    <row r="229571" customFormat="1" x14ac:dyDescent="0.25"/>
    <row r="229572" customFormat="1" x14ac:dyDescent="0.25"/>
    <row r="229573" customFormat="1" x14ac:dyDescent="0.25"/>
    <row r="229574" customFormat="1" x14ac:dyDescent="0.25"/>
    <row r="229575" customFormat="1" x14ac:dyDescent="0.25"/>
    <row r="229576" customFormat="1" x14ac:dyDescent="0.25"/>
    <row r="229577" customFormat="1" x14ac:dyDescent="0.25"/>
    <row r="229578" customFormat="1" x14ac:dyDescent="0.25"/>
    <row r="229579" customFormat="1" x14ac:dyDescent="0.25"/>
    <row r="229580" customFormat="1" x14ac:dyDescent="0.25"/>
    <row r="229581" customFormat="1" x14ac:dyDescent="0.25"/>
    <row r="229582" customFormat="1" x14ac:dyDescent="0.25"/>
    <row r="229583" customFormat="1" x14ac:dyDescent="0.25"/>
    <row r="229584" customFormat="1" x14ac:dyDescent="0.25"/>
    <row r="229585" customFormat="1" x14ac:dyDescent="0.25"/>
    <row r="229586" customFormat="1" x14ac:dyDescent="0.25"/>
    <row r="229587" customFormat="1" x14ac:dyDescent="0.25"/>
    <row r="229588" customFormat="1" x14ac:dyDescent="0.25"/>
    <row r="229589" customFormat="1" x14ac:dyDescent="0.25"/>
    <row r="229590" customFormat="1" x14ac:dyDescent="0.25"/>
    <row r="229591" customFormat="1" x14ac:dyDescent="0.25"/>
    <row r="229592" customFormat="1" x14ac:dyDescent="0.25"/>
    <row r="229593" customFormat="1" x14ac:dyDescent="0.25"/>
    <row r="229594" customFormat="1" x14ac:dyDescent="0.25"/>
    <row r="229595" customFormat="1" x14ac:dyDescent="0.25"/>
    <row r="229596" customFormat="1" x14ac:dyDescent="0.25"/>
    <row r="229597" customFormat="1" x14ac:dyDescent="0.25"/>
    <row r="229598" customFormat="1" x14ac:dyDescent="0.25"/>
    <row r="229599" customFormat="1" x14ac:dyDescent="0.25"/>
    <row r="229600" customFormat="1" x14ac:dyDescent="0.25"/>
    <row r="229601" customFormat="1" x14ac:dyDescent="0.25"/>
    <row r="229602" customFormat="1" x14ac:dyDescent="0.25"/>
    <row r="229603" customFormat="1" x14ac:dyDescent="0.25"/>
    <row r="229604" customFormat="1" x14ac:dyDescent="0.25"/>
    <row r="229605" customFormat="1" x14ac:dyDescent="0.25"/>
    <row r="229606" customFormat="1" x14ac:dyDescent="0.25"/>
    <row r="229607" customFormat="1" x14ac:dyDescent="0.25"/>
    <row r="229608" customFormat="1" x14ac:dyDescent="0.25"/>
    <row r="229609" customFormat="1" x14ac:dyDescent="0.25"/>
    <row r="229610" customFormat="1" x14ac:dyDescent="0.25"/>
    <row r="229611" customFormat="1" x14ac:dyDescent="0.25"/>
    <row r="229612" customFormat="1" x14ac:dyDescent="0.25"/>
    <row r="229613" customFormat="1" x14ac:dyDescent="0.25"/>
    <row r="229614" customFormat="1" x14ac:dyDescent="0.25"/>
    <row r="229615" customFormat="1" x14ac:dyDescent="0.25"/>
    <row r="229616" customFormat="1" x14ac:dyDescent="0.25"/>
    <row r="229617" customFormat="1" x14ac:dyDescent="0.25"/>
    <row r="229618" customFormat="1" x14ac:dyDescent="0.25"/>
    <row r="229619" customFormat="1" x14ac:dyDescent="0.25"/>
    <row r="229620" customFormat="1" x14ac:dyDescent="0.25"/>
    <row r="229621" customFormat="1" x14ac:dyDescent="0.25"/>
    <row r="229622" customFormat="1" x14ac:dyDescent="0.25"/>
    <row r="229623" customFormat="1" x14ac:dyDescent="0.25"/>
    <row r="229624" customFormat="1" x14ac:dyDescent="0.25"/>
    <row r="229625" customFormat="1" x14ac:dyDescent="0.25"/>
    <row r="229626" customFormat="1" x14ac:dyDescent="0.25"/>
    <row r="229627" customFormat="1" x14ac:dyDescent="0.25"/>
    <row r="229628" customFormat="1" x14ac:dyDescent="0.25"/>
    <row r="229629" customFormat="1" x14ac:dyDescent="0.25"/>
    <row r="229630" customFormat="1" x14ac:dyDescent="0.25"/>
    <row r="229631" customFormat="1" x14ac:dyDescent="0.25"/>
    <row r="229632" customFormat="1" x14ac:dyDescent="0.25"/>
    <row r="229633" customFormat="1" x14ac:dyDescent="0.25"/>
    <row r="229634" customFormat="1" x14ac:dyDescent="0.25"/>
    <row r="229635" customFormat="1" x14ac:dyDescent="0.25"/>
    <row r="229636" customFormat="1" x14ac:dyDescent="0.25"/>
    <row r="229637" customFormat="1" x14ac:dyDescent="0.25"/>
    <row r="229638" customFormat="1" x14ac:dyDescent="0.25"/>
    <row r="229639" customFormat="1" x14ac:dyDescent="0.25"/>
    <row r="229640" customFormat="1" x14ac:dyDescent="0.25"/>
    <row r="229641" customFormat="1" x14ac:dyDescent="0.25"/>
    <row r="229642" customFormat="1" x14ac:dyDescent="0.25"/>
    <row r="229643" customFormat="1" x14ac:dyDescent="0.25"/>
    <row r="229644" customFormat="1" x14ac:dyDescent="0.25"/>
    <row r="229645" customFormat="1" x14ac:dyDescent="0.25"/>
    <row r="229646" customFormat="1" x14ac:dyDescent="0.25"/>
    <row r="229647" customFormat="1" x14ac:dyDescent="0.25"/>
    <row r="229648" customFormat="1" x14ac:dyDescent="0.25"/>
    <row r="229649" customFormat="1" x14ac:dyDescent="0.25"/>
    <row r="229650" customFormat="1" x14ac:dyDescent="0.25"/>
    <row r="229651" customFormat="1" x14ac:dyDescent="0.25"/>
    <row r="229652" customFormat="1" x14ac:dyDescent="0.25"/>
    <row r="229653" customFormat="1" x14ac:dyDescent="0.25"/>
    <row r="229654" customFormat="1" x14ac:dyDescent="0.25"/>
    <row r="229655" customFormat="1" x14ac:dyDescent="0.25"/>
    <row r="229656" customFormat="1" x14ac:dyDescent="0.25"/>
    <row r="229657" customFormat="1" x14ac:dyDescent="0.25"/>
    <row r="229658" customFormat="1" x14ac:dyDescent="0.25"/>
    <row r="229659" customFormat="1" x14ac:dyDescent="0.25"/>
    <row r="229660" customFormat="1" x14ac:dyDescent="0.25"/>
    <row r="229661" customFormat="1" x14ac:dyDescent="0.25"/>
    <row r="229662" customFormat="1" x14ac:dyDescent="0.25"/>
    <row r="229663" customFormat="1" x14ac:dyDescent="0.25"/>
    <row r="229664" customFormat="1" x14ac:dyDescent="0.25"/>
    <row r="229665" customFormat="1" x14ac:dyDescent="0.25"/>
    <row r="229666" customFormat="1" x14ac:dyDescent="0.25"/>
    <row r="229667" customFormat="1" x14ac:dyDescent="0.25"/>
    <row r="229668" customFormat="1" x14ac:dyDescent="0.25"/>
    <row r="229669" customFormat="1" x14ac:dyDescent="0.25"/>
    <row r="229670" customFormat="1" x14ac:dyDescent="0.25"/>
    <row r="229671" customFormat="1" x14ac:dyDescent="0.25"/>
    <row r="229672" customFormat="1" x14ac:dyDescent="0.25"/>
    <row r="229673" customFormat="1" x14ac:dyDescent="0.25"/>
    <row r="229674" customFormat="1" x14ac:dyDescent="0.25"/>
    <row r="229675" customFormat="1" x14ac:dyDescent="0.25"/>
    <row r="229676" customFormat="1" x14ac:dyDescent="0.25"/>
    <row r="229677" customFormat="1" x14ac:dyDescent="0.25"/>
    <row r="229678" customFormat="1" x14ac:dyDescent="0.25"/>
    <row r="229679" customFormat="1" x14ac:dyDescent="0.25"/>
    <row r="229680" customFormat="1" x14ac:dyDescent="0.25"/>
    <row r="229681" customFormat="1" x14ac:dyDescent="0.25"/>
    <row r="229682" customFormat="1" x14ac:dyDescent="0.25"/>
    <row r="229683" customFormat="1" x14ac:dyDescent="0.25"/>
    <row r="229684" customFormat="1" x14ac:dyDescent="0.25"/>
    <row r="229685" customFormat="1" x14ac:dyDescent="0.25"/>
    <row r="229686" customFormat="1" x14ac:dyDescent="0.25"/>
    <row r="229687" customFormat="1" x14ac:dyDescent="0.25"/>
    <row r="229688" customFormat="1" x14ac:dyDescent="0.25"/>
    <row r="229689" customFormat="1" x14ac:dyDescent="0.25"/>
    <row r="229690" customFormat="1" x14ac:dyDescent="0.25"/>
    <row r="229691" customFormat="1" x14ac:dyDescent="0.25"/>
    <row r="229692" customFormat="1" x14ac:dyDescent="0.25"/>
    <row r="229693" customFormat="1" x14ac:dyDescent="0.25"/>
    <row r="229694" customFormat="1" x14ac:dyDescent="0.25"/>
    <row r="229695" customFormat="1" x14ac:dyDescent="0.25"/>
    <row r="229696" customFormat="1" x14ac:dyDescent="0.25"/>
    <row r="229697" customFormat="1" x14ac:dyDescent="0.25"/>
    <row r="229698" customFormat="1" x14ac:dyDescent="0.25"/>
    <row r="229699" customFormat="1" x14ac:dyDescent="0.25"/>
    <row r="229700" customFormat="1" x14ac:dyDescent="0.25"/>
    <row r="229701" customFormat="1" x14ac:dyDescent="0.25"/>
    <row r="229702" customFormat="1" x14ac:dyDescent="0.25"/>
    <row r="229703" customFormat="1" x14ac:dyDescent="0.25"/>
    <row r="229704" customFormat="1" x14ac:dyDescent="0.25"/>
    <row r="229705" customFormat="1" x14ac:dyDescent="0.25"/>
    <row r="229706" customFormat="1" x14ac:dyDescent="0.25"/>
    <row r="229707" customFormat="1" x14ac:dyDescent="0.25"/>
    <row r="229708" customFormat="1" x14ac:dyDescent="0.25"/>
    <row r="229709" customFormat="1" x14ac:dyDescent="0.25"/>
    <row r="229710" customFormat="1" x14ac:dyDescent="0.25"/>
    <row r="229711" customFormat="1" x14ac:dyDescent="0.25"/>
    <row r="229712" customFormat="1" x14ac:dyDescent="0.25"/>
    <row r="229713" customFormat="1" x14ac:dyDescent="0.25"/>
    <row r="229714" customFormat="1" x14ac:dyDescent="0.25"/>
    <row r="229715" customFormat="1" x14ac:dyDescent="0.25"/>
    <row r="229716" customFormat="1" x14ac:dyDescent="0.25"/>
    <row r="229717" customFormat="1" x14ac:dyDescent="0.25"/>
    <row r="229718" customFormat="1" x14ac:dyDescent="0.25"/>
    <row r="229719" customFormat="1" x14ac:dyDescent="0.25"/>
    <row r="229720" customFormat="1" x14ac:dyDescent="0.25"/>
    <row r="229721" customFormat="1" x14ac:dyDescent="0.25"/>
    <row r="229722" customFormat="1" x14ac:dyDescent="0.25"/>
    <row r="229723" customFormat="1" x14ac:dyDescent="0.25"/>
    <row r="229724" customFormat="1" x14ac:dyDescent="0.25"/>
    <row r="229725" customFormat="1" x14ac:dyDescent="0.25"/>
    <row r="229726" customFormat="1" x14ac:dyDescent="0.25"/>
    <row r="229727" customFormat="1" x14ac:dyDescent="0.25"/>
    <row r="229728" customFormat="1" x14ac:dyDescent="0.25"/>
    <row r="229729" customFormat="1" x14ac:dyDescent="0.25"/>
    <row r="229730" customFormat="1" x14ac:dyDescent="0.25"/>
    <row r="229731" customFormat="1" x14ac:dyDescent="0.25"/>
    <row r="229732" customFormat="1" x14ac:dyDescent="0.25"/>
    <row r="229733" customFormat="1" x14ac:dyDescent="0.25"/>
    <row r="229734" customFormat="1" x14ac:dyDescent="0.25"/>
    <row r="229735" customFormat="1" x14ac:dyDescent="0.25"/>
    <row r="229736" customFormat="1" x14ac:dyDescent="0.25"/>
    <row r="229737" customFormat="1" x14ac:dyDescent="0.25"/>
    <row r="229738" customFormat="1" x14ac:dyDescent="0.25"/>
    <row r="229739" customFormat="1" x14ac:dyDescent="0.25"/>
    <row r="229740" customFormat="1" x14ac:dyDescent="0.25"/>
    <row r="229741" customFormat="1" x14ac:dyDescent="0.25"/>
    <row r="229742" customFormat="1" x14ac:dyDescent="0.25"/>
    <row r="229743" customFormat="1" x14ac:dyDescent="0.25"/>
    <row r="229744" customFormat="1" x14ac:dyDescent="0.25"/>
    <row r="229745" customFormat="1" x14ac:dyDescent="0.25"/>
    <row r="229746" customFormat="1" x14ac:dyDescent="0.25"/>
    <row r="229747" customFormat="1" x14ac:dyDescent="0.25"/>
    <row r="229748" customFormat="1" x14ac:dyDescent="0.25"/>
    <row r="229749" customFormat="1" x14ac:dyDescent="0.25"/>
    <row r="229750" customFormat="1" x14ac:dyDescent="0.25"/>
    <row r="229751" customFormat="1" x14ac:dyDescent="0.25"/>
    <row r="229752" customFormat="1" x14ac:dyDescent="0.25"/>
    <row r="229753" customFormat="1" x14ac:dyDescent="0.25"/>
    <row r="229754" customFormat="1" x14ac:dyDescent="0.25"/>
    <row r="229755" customFormat="1" x14ac:dyDescent="0.25"/>
    <row r="229756" customFormat="1" x14ac:dyDescent="0.25"/>
    <row r="229757" customFormat="1" x14ac:dyDescent="0.25"/>
    <row r="229758" customFormat="1" x14ac:dyDescent="0.25"/>
    <row r="229759" customFormat="1" x14ac:dyDescent="0.25"/>
    <row r="229760" customFormat="1" x14ac:dyDescent="0.25"/>
    <row r="229761" customFormat="1" x14ac:dyDescent="0.25"/>
    <row r="229762" customFormat="1" x14ac:dyDescent="0.25"/>
    <row r="229763" customFormat="1" x14ac:dyDescent="0.25"/>
    <row r="229764" customFormat="1" x14ac:dyDescent="0.25"/>
    <row r="229765" customFormat="1" x14ac:dyDescent="0.25"/>
    <row r="229766" customFormat="1" x14ac:dyDescent="0.25"/>
    <row r="229767" customFormat="1" x14ac:dyDescent="0.25"/>
    <row r="229768" customFormat="1" x14ac:dyDescent="0.25"/>
    <row r="229769" customFormat="1" x14ac:dyDescent="0.25"/>
    <row r="229770" customFormat="1" x14ac:dyDescent="0.25"/>
    <row r="229771" customFormat="1" x14ac:dyDescent="0.25"/>
    <row r="229772" customFormat="1" x14ac:dyDescent="0.25"/>
    <row r="229773" customFormat="1" x14ac:dyDescent="0.25"/>
    <row r="229774" customFormat="1" x14ac:dyDescent="0.25"/>
    <row r="229775" customFormat="1" x14ac:dyDescent="0.25"/>
    <row r="229776" customFormat="1" x14ac:dyDescent="0.25"/>
    <row r="229777" customFormat="1" x14ac:dyDescent="0.25"/>
    <row r="229778" customFormat="1" x14ac:dyDescent="0.25"/>
    <row r="229779" customFormat="1" x14ac:dyDescent="0.25"/>
    <row r="229780" customFormat="1" x14ac:dyDescent="0.25"/>
    <row r="229781" customFormat="1" x14ac:dyDescent="0.25"/>
    <row r="229782" customFormat="1" x14ac:dyDescent="0.25"/>
    <row r="229783" customFormat="1" x14ac:dyDescent="0.25"/>
    <row r="229784" customFormat="1" x14ac:dyDescent="0.25"/>
    <row r="229785" customFormat="1" x14ac:dyDescent="0.25"/>
    <row r="229786" customFormat="1" x14ac:dyDescent="0.25"/>
    <row r="229787" customFormat="1" x14ac:dyDescent="0.25"/>
    <row r="229788" customFormat="1" x14ac:dyDescent="0.25"/>
    <row r="229789" customFormat="1" x14ac:dyDescent="0.25"/>
    <row r="229790" customFormat="1" x14ac:dyDescent="0.25"/>
    <row r="229791" customFormat="1" x14ac:dyDescent="0.25"/>
    <row r="229792" customFormat="1" x14ac:dyDescent="0.25"/>
    <row r="229793" customFormat="1" x14ac:dyDescent="0.25"/>
    <row r="229794" customFormat="1" x14ac:dyDescent="0.25"/>
    <row r="229795" customFormat="1" x14ac:dyDescent="0.25"/>
    <row r="229796" customFormat="1" x14ac:dyDescent="0.25"/>
    <row r="229797" customFormat="1" x14ac:dyDescent="0.25"/>
    <row r="229798" customFormat="1" x14ac:dyDescent="0.25"/>
    <row r="229799" customFormat="1" x14ac:dyDescent="0.25"/>
    <row r="229800" customFormat="1" x14ac:dyDescent="0.25"/>
    <row r="229801" customFormat="1" x14ac:dyDescent="0.25"/>
    <row r="229802" customFormat="1" x14ac:dyDescent="0.25"/>
    <row r="229803" customFormat="1" x14ac:dyDescent="0.25"/>
    <row r="229804" customFormat="1" x14ac:dyDescent="0.25"/>
    <row r="229805" customFormat="1" x14ac:dyDescent="0.25"/>
    <row r="229806" customFormat="1" x14ac:dyDescent="0.25"/>
    <row r="229807" customFormat="1" x14ac:dyDescent="0.25"/>
    <row r="229808" customFormat="1" x14ac:dyDescent="0.25"/>
    <row r="229809" customFormat="1" x14ac:dyDescent="0.25"/>
    <row r="229810" customFormat="1" x14ac:dyDescent="0.25"/>
    <row r="229811" customFormat="1" x14ac:dyDescent="0.25"/>
    <row r="229812" customFormat="1" x14ac:dyDescent="0.25"/>
    <row r="229813" customFormat="1" x14ac:dyDescent="0.25"/>
    <row r="229814" customFormat="1" x14ac:dyDescent="0.25"/>
    <row r="229815" customFormat="1" x14ac:dyDescent="0.25"/>
    <row r="229816" customFormat="1" x14ac:dyDescent="0.25"/>
    <row r="229817" customFormat="1" x14ac:dyDescent="0.25"/>
    <row r="229818" customFormat="1" x14ac:dyDescent="0.25"/>
    <row r="229819" customFormat="1" x14ac:dyDescent="0.25"/>
    <row r="229820" customFormat="1" x14ac:dyDescent="0.25"/>
    <row r="229821" customFormat="1" x14ac:dyDescent="0.25"/>
    <row r="229822" customFormat="1" x14ac:dyDescent="0.25"/>
    <row r="229823" customFormat="1" x14ac:dyDescent="0.25"/>
    <row r="229824" customFormat="1" x14ac:dyDescent="0.25"/>
    <row r="229825" customFormat="1" x14ac:dyDescent="0.25"/>
    <row r="229826" customFormat="1" x14ac:dyDescent="0.25"/>
    <row r="229827" customFormat="1" x14ac:dyDescent="0.25"/>
    <row r="229828" customFormat="1" x14ac:dyDescent="0.25"/>
    <row r="229829" customFormat="1" x14ac:dyDescent="0.25"/>
    <row r="229830" customFormat="1" x14ac:dyDescent="0.25"/>
    <row r="229831" customFormat="1" x14ac:dyDescent="0.25"/>
    <row r="229832" customFormat="1" x14ac:dyDescent="0.25"/>
    <row r="229833" customFormat="1" x14ac:dyDescent="0.25"/>
    <row r="229834" customFormat="1" x14ac:dyDescent="0.25"/>
    <row r="229835" customFormat="1" x14ac:dyDescent="0.25"/>
    <row r="229836" customFormat="1" x14ac:dyDescent="0.25"/>
    <row r="229837" customFormat="1" x14ac:dyDescent="0.25"/>
    <row r="229838" customFormat="1" x14ac:dyDescent="0.25"/>
    <row r="229839" customFormat="1" x14ac:dyDescent="0.25"/>
    <row r="229840" customFormat="1" x14ac:dyDescent="0.25"/>
    <row r="229841" customFormat="1" x14ac:dyDescent="0.25"/>
    <row r="229842" customFormat="1" x14ac:dyDescent="0.25"/>
    <row r="229843" customFormat="1" x14ac:dyDescent="0.25"/>
    <row r="229844" customFormat="1" x14ac:dyDescent="0.25"/>
    <row r="229845" customFormat="1" x14ac:dyDescent="0.25"/>
    <row r="229846" customFormat="1" x14ac:dyDescent="0.25"/>
    <row r="229847" customFormat="1" x14ac:dyDescent="0.25"/>
    <row r="229848" customFormat="1" x14ac:dyDescent="0.25"/>
    <row r="229849" customFormat="1" x14ac:dyDescent="0.25"/>
    <row r="229850" customFormat="1" x14ac:dyDescent="0.25"/>
    <row r="229851" customFormat="1" x14ac:dyDescent="0.25"/>
    <row r="229852" customFormat="1" x14ac:dyDescent="0.25"/>
    <row r="229853" customFormat="1" x14ac:dyDescent="0.25"/>
    <row r="229854" customFormat="1" x14ac:dyDescent="0.25"/>
    <row r="229855" customFormat="1" x14ac:dyDescent="0.25"/>
    <row r="229856" customFormat="1" x14ac:dyDescent="0.25"/>
    <row r="229857" customFormat="1" x14ac:dyDescent="0.25"/>
    <row r="229858" customFormat="1" x14ac:dyDescent="0.25"/>
    <row r="229859" customFormat="1" x14ac:dyDescent="0.25"/>
    <row r="229860" customFormat="1" x14ac:dyDescent="0.25"/>
    <row r="229861" customFormat="1" x14ac:dyDescent="0.25"/>
    <row r="229862" customFormat="1" x14ac:dyDescent="0.25"/>
    <row r="229863" customFormat="1" x14ac:dyDescent="0.25"/>
    <row r="229864" customFormat="1" x14ac:dyDescent="0.25"/>
    <row r="229865" customFormat="1" x14ac:dyDescent="0.25"/>
    <row r="229866" customFormat="1" x14ac:dyDescent="0.25"/>
    <row r="229867" customFormat="1" x14ac:dyDescent="0.25"/>
    <row r="229868" customFormat="1" x14ac:dyDescent="0.25"/>
    <row r="229869" customFormat="1" x14ac:dyDescent="0.25"/>
    <row r="229870" customFormat="1" x14ac:dyDescent="0.25"/>
    <row r="229871" customFormat="1" x14ac:dyDescent="0.25"/>
    <row r="229872" customFormat="1" x14ac:dyDescent="0.25"/>
    <row r="229873" customFormat="1" x14ac:dyDescent="0.25"/>
    <row r="229874" customFormat="1" x14ac:dyDescent="0.25"/>
    <row r="229875" customFormat="1" x14ac:dyDescent="0.25"/>
    <row r="229876" customFormat="1" x14ac:dyDescent="0.25"/>
    <row r="229877" customFormat="1" x14ac:dyDescent="0.25"/>
    <row r="229878" customFormat="1" x14ac:dyDescent="0.25"/>
    <row r="229879" customFormat="1" x14ac:dyDescent="0.25"/>
    <row r="229880" customFormat="1" x14ac:dyDescent="0.25"/>
    <row r="229881" customFormat="1" x14ac:dyDescent="0.25"/>
    <row r="229882" customFormat="1" x14ac:dyDescent="0.25"/>
    <row r="229883" customFormat="1" x14ac:dyDescent="0.25"/>
    <row r="229884" customFormat="1" x14ac:dyDescent="0.25"/>
    <row r="229885" customFormat="1" x14ac:dyDescent="0.25"/>
    <row r="229886" customFormat="1" x14ac:dyDescent="0.25"/>
    <row r="229887" customFormat="1" x14ac:dyDescent="0.25"/>
    <row r="229888" customFormat="1" x14ac:dyDescent="0.25"/>
    <row r="229889" customFormat="1" x14ac:dyDescent="0.25"/>
    <row r="229890" customFormat="1" x14ac:dyDescent="0.25"/>
    <row r="229891" customFormat="1" x14ac:dyDescent="0.25"/>
    <row r="229892" customFormat="1" x14ac:dyDescent="0.25"/>
    <row r="229893" customFormat="1" x14ac:dyDescent="0.25"/>
    <row r="229894" customFormat="1" x14ac:dyDescent="0.25"/>
    <row r="229895" customFormat="1" x14ac:dyDescent="0.25"/>
    <row r="229896" customFormat="1" x14ac:dyDescent="0.25"/>
    <row r="229897" customFormat="1" x14ac:dyDescent="0.25"/>
    <row r="229898" customFormat="1" x14ac:dyDescent="0.25"/>
    <row r="229899" customFormat="1" x14ac:dyDescent="0.25"/>
    <row r="229900" customFormat="1" x14ac:dyDescent="0.25"/>
    <row r="229901" customFormat="1" x14ac:dyDescent="0.25"/>
    <row r="229902" customFormat="1" x14ac:dyDescent="0.25"/>
    <row r="229903" customFormat="1" x14ac:dyDescent="0.25"/>
    <row r="229904" customFormat="1" x14ac:dyDescent="0.25"/>
    <row r="229905" customFormat="1" x14ac:dyDescent="0.25"/>
    <row r="229906" customFormat="1" x14ac:dyDescent="0.25"/>
    <row r="229907" customFormat="1" x14ac:dyDescent="0.25"/>
    <row r="229908" customFormat="1" x14ac:dyDescent="0.25"/>
    <row r="229909" customFormat="1" x14ac:dyDescent="0.25"/>
    <row r="229910" customFormat="1" x14ac:dyDescent="0.25"/>
    <row r="229911" customFormat="1" x14ac:dyDescent="0.25"/>
    <row r="229912" customFormat="1" x14ac:dyDescent="0.25"/>
    <row r="229913" customFormat="1" x14ac:dyDescent="0.25"/>
    <row r="229914" customFormat="1" x14ac:dyDescent="0.25"/>
    <row r="229915" customFormat="1" x14ac:dyDescent="0.25"/>
    <row r="229916" customFormat="1" x14ac:dyDescent="0.25"/>
    <row r="229917" customFormat="1" x14ac:dyDescent="0.25"/>
    <row r="229918" customFormat="1" x14ac:dyDescent="0.25"/>
    <row r="229919" customFormat="1" x14ac:dyDescent="0.25"/>
    <row r="229920" customFormat="1" x14ac:dyDescent="0.25"/>
    <row r="229921" customFormat="1" x14ac:dyDescent="0.25"/>
    <row r="229922" customFormat="1" x14ac:dyDescent="0.25"/>
    <row r="229923" customFormat="1" x14ac:dyDescent="0.25"/>
    <row r="229924" customFormat="1" x14ac:dyDescent="0.25"/>
    <row r="229925" customFormat="1" x14ac:dyDescent="0.25"/>
    <row r="229926" customFormat="1" x14ac:dyDescent="0.25"/>
    <row r="229927" customFormat="1" x14ac:dyDescent="0.25"/>
    <row r="229928" customFormat="1" x14ac:dyDescent="0.25"/>
    <row r="229929" customFormat="1" x14ac:dyDescent="0.25"/>
    <row r="229930" customFormat="1" x14ac:dyDescent="0.25"/>
    <row r="229931" customFormat="1" x14ac:dyDescent="0.25"/>
    <row r="229932" customFormat="1" x14ac:dyDescent="0.25"/>
    <row r="229933" customFormat="1" x14ac:dyDescent="0.25"/>
    <row r="229934" customFormat="1" x14ac:dyDescent="0.25"/>
    <row r="229935" customFormat="1" x14ac:dyDescent="0.25"/>
    <row r="229936" customFormat="1" x14ac:dyDescent="0.25"/>
    <row r="229937" customFormat="1" x14ac:dyDescent="0.25"/>
    <row r="229938" customFormat="1" x14ac:dyDescent="0.25"/>
    <row r="229939" customFormat="1" x14ac:dyDescent="0.25"/>
    <row r="229940" customFormat="1" x14ac:dyDescent="0.25"/>
    <row r="229941" customFormat="1" x14ac:dyDescent="0.25"/>
    <row r="229942" customFormat="1" x14ac:dyDescent="0.25"/>
    <row r="229943" customFormat="1" x14ac:dyDescent="0.25"/>
    <row r="229944" customFormat="1" x14ac:dyDescent="0.25"/>
    <row r="229945" customFormat="1" x14ac:dyDescent="0.25"/>
    <row r="229946" customFormat="1" x14ac:dyDescent="0.25"/>
    <row r="229947" customFormat="1" x14ac:dyDescent="0.25"/>
    <row r="229948" customFormat="1" x14ac:dyDescent="0.25"/>
    <row r="229949" customFormat="1" x14ac:dyDescent="0.25"/>
    <row r="229950" customFormat="1" x14ac:dyDescent="0.25"/>
    <row r="229951" customFormat="1" x14ac:dyDescent="0.25"/>
    <row r="229952" customFormat="1" x14ac:dyDescent="0.25"/>
    <row r="229953" customFormat="1" x14ac:dyDescent="0.25"/>
    <row r="229954" customFormat="1" x14ac:dyDescent="0.25"/>
    <row r="229955" customFormat="1" x14ac:dyDescent="0.25"/>
    <row r="229956" customFormat="1" x14ac:dyDescent="0.25"/>
    <row r="229957" customFormat="1" x14ac:dyDescent="0.25"/>
    <row r="229958" customFormat="1" x14ac:dyDescent="0.25"/>
    <row r="229959" customFormat="1" x14ac:dyDescent="0.25"/>
    <row r="229960" customFormat="1" x14ac:dyDescent="0.25"/>
    <row r="229961" customFormat="1" x14ac:dyDescent="0.25"/>
    <row r="229962" customFormat="1" x14ac:dyDescent="0.25"/>
    <row r="229963" customFormat="1" x14ac:dyDescent="0.25"/>
    <row r="229964" customFormat="1" x14ac:dyDescent="0.25"/>
    <row r="229965" customFormat="1" x14ac:dyDescent="0.25"/>
    <row r="229966" customFormat="1" x14ac:dyDescent="0.25"/>
    <row r="229967" customFormat="1" x14ac:dyDescent="0.25"/>
    <row r="229968" customFormat="1" x14ac:dyDescent="0.25"/>
    <row r="229969" customFormat="1" x14ac:dyDescent="0.25"/>
    <row r="229970" customFormat="1" x14ac:dyDescent="0.25"/>
    <row r="229971" customFormat="1" x14ac:dyDescent="0.25"/>
    <row r="229972" customFormat="1" x14ac:dyDescent="0.25"/>
    <row r="229973" customFormat="1" x14ac:dyDescent="0.25"/>
    <row r="229974" customFormat="1" x14ac:dyDescent="0.25"/>
    <row r="229975" customFormat="1" x14ac:dyDescent="0.25"/>
    <row r="229976" customFormat="1" x14ac:dyDescent="0.25"/>
    <row r="229977" customFormat="1" x14ac:dyDescent="0.25"/>
    <row r="229978" customFormat="1" x14ac:dyDescent="0.25"/>
    <row r="229979" customFormat="1" x14ac:dyDescent="0.25"/>
    <row r="229980" customFormat="1" x14ac:dyDescent="0.25"/>
    <row r="229981" customFormat="1" x14ac:dyDescent="0.25"/>
    <row r="229982" customFormat="1" x14ac:dyDescent="0.25"/>
    <row r="229983" customFormat="1" x14ac:dyDescent="0.25"/>
    <row r="229984" customFormat="1" x14ac:dyDescent="0.25"/>
    <row r="229985" customFormat="1" x14ac:dyDescent="0.25"/>
    <row r="229986" customFormat="1" x14ac:dyDescent="0.25"/>
    <row r="229987" customFormat="1" x14ac:dyDescent="0.25"/>
    <row r="229988" customFormat="1" x14ac:dyDescent="0.25"/>
    <row r="229989" customFormat="1" x14ac:dyDescent="0.25"/>
    <row r="229990" customFormat="1" x14ac:dyDescent="0.25"/>
    <row r="229991" customFormat="1" x14ac:dyDescent="0.25"/>
    <row r="229992" customFormat="1" x14ac:dyDescent="0.25"/>
    <row r="229993" customFormat="1" x14ac:dyDescent="0.25"/>
    <row r="229994" customFormat="1" x14ac:dyDescent="0.25"/>
    <row r="229995" customFormat="1" x14ac:dyDescent="0.25"/>
    <row r="229996" customFormat="1" x14ac:dyDescent="0.25"/>
    <row r="229997" customFormat="1" x14ac:dyDescent="0.25"/>
    <row r="229998" customFormat="1" x14ac:dyDescent="0.25"/>
    <row r="229999" customFormat="1" x14ac:dyDescent="0.25"/>
    <row r="230000" customFormat="1" x14ac:dyDescent="0.25"/>
    <row r="230001" customFormat="1" x14ac:dyDescent="0.25"/>
    <row r="230002" customFormat="1" x14ac:dyDescent="0.25"/>
    <row r="230003" customFormat="1" x14ac:dyDescent="0.25"/>
    <row r="230004" customFormat="1" x14ac:dyDescent="0.25"/>
    <row r="230005" customFormat="1" x14ac:dyDescent="0.25"/>
    <row r="230006" customFormat="1" x14ac:dyDescent="0.25"/>
    <row r="230007" customFormat="1" x14ac:dyDescent="0.25"/>
    <row r="230008" customFormat="1" x14ac:dyDescent="0.25"/>
    <row r="230009" customFormat="1" x14ac:dyDescent="0.25"/>
    <row r="230010" customFormat="1" x14ac:dyDescent="0.25"/>
    <row r="230011" customFormat="1" x14ac:dyDescent="0.25"/>
    <row r="230012" customFormat="1" x14ac:dyDescent="0.25"/>
    <row r="230013" customFormat="1" x14ac:dyDescent="0.25"/>
    <row r="230014" customFormat="1" x14ac:dyDescent="0.25"/>
    <row r="230015" customFormat="1" x14ac:dyDescent="0.25"/>
    <row r="230016" customFormat="1" x14ac:dyDescent="0.25"/>
    <row r="230017" customFormat="1" x14ac:dyDescent="0.25"/>
    <row r="230018" customFormat="1" x14ac:dyDescent="0.25"/>
    <row r="230019" customFormat="1" x14ac:dyDescent="0.25"/>
    <row r="230020" customFormat="1" x14ac:dyDescent="0.25"/>
    <row r="230021" customFormat="1" x14ac:dyDescent="0.25"/>
    <row r="230022" customFormat="1" x14ac:dyDescent="0.25"/>
    <row r="230023" customFormat="1" x14ac:dyDescent="0.25"/>
    <row r="230024" customFormat="1" x14ac:dyDescent="0.25"/>
    <row r="230025" customFormat="1" x14ac:dyDescent="0.25"/>
    <row r="230026" customFormat="1" x14ac:dyDescent="0.25"/>
    <row r="230027" customFormat="1" x14ac:dyDescent="0.25"/>
    <row r="230028" customFormat="1" x14ac:dyDescent="0.25"/>
    <row r="230029" customFormat="1" x14ac:dyDescent="0.25"/>
    <row r="230030" customFormat="1" x14ac:dyDescent="0.25"/>
    <row r="230031" customFormat="1" x14ac:dyDescent="0.25"/>
    <row r="230032" customFormat="1" x14ac:dyDescent="0.25"/>
    <row r="230033" customFormat="1" x14ac:dyDescent="0.25"/>
    <row r="230034" customFormat="1" x14ac:dyDescent="0.25"/>
    <row r="230035" customFormat="1" x14ac:dyDescent="0.25"/>
    <row r="230036" customFormat="1" x14ac:dyDescent="0.25"/>
    <row r="230037" customFormat="1" x14ac:dyDescent="0.25"/>
    <row r="230038" customFormat="1" x14ac:dyDescent="0.25"/>
    <row r="230039" customFormat="1" x14ac:dyDescent="0.25"/>
    <row r="230040" customFormat="1" x14ac:dyDescent="0.25"/>
    <row r="230041" customFormat="1" x14ac:dyDescent="0.25"/>
    <row r="230042" customFormat="1" x14ac:dyDescent="0.25"/>
    <row r="230043" customFormat="1" x14ac:dyDescent="0.25"/>
    <row r="230044" customFormat="1" x14ac:dyDescent="0.25"/>
    <row r="230045" customFormat="1" x14ac:dyDescent="0.25"/>
    <row r="230046" customFormat="1" x14ac:dyDescent="0.25"/>
    <row r="230047" customFormat="1" x14ac:dyDescent="0.25"/>
    <row r="230048" customFormat="1" x14ac:dyDescent="0.25"/>
    <row r="230049" customFormat="1" x14ac:dyDescent="0.25"/>
    <row r="230050" customFormat="1" x14ac:dyDescent="0.25"/>
    <row r="230051" customFormat="1" x14ac:dyDescent="0.25"/>
    <row r="230052" customFormat="1" x14ac:dyDescent="0.25"/>
    <row r="230053" customFormat="1" x14ac:dyDescent="0.25"/>
    <row r="230054" customFormat="1" x14ac:dyDescent="0.25"/>
    <row r="230055" customFormat="1" x14ac:dyDescent="0.25"/>
    <row r="230056" customFormat="1" x14ac:dyDescent="0.25"/>
    <row r="230057" customFormat="1" x14ac:dyDescent="0.25"/>
    <row r="230058" customFormat="1" x14ac:dyDescent="0.25"/>
    <row r="230059" customFormat="1" x14ac:dyDescent="0.25"/>
    <row r="230060" customFormat="1" x14ac:dyDescent="0.25"/>
    <row r="230061" customFormat="1" x14ac:dyDescent="0.25"/>
    <row r="230062" customFormat="1" x14ac:dyDescent="0.25"/>
    <row r="230063" customFormat="1" x14ac:dyDescent="0.25"/>
    <row r="230064" customFormat="1" x14ac:dyDescent="0.25"/>
    <row r="230065" customFormat="1" x14ac:dyDescent="0.25"/>
    <row r="230066" customFormat="1" x14ac:dyDescent="0.25"/>
    <row r="230067" customFormat="1" x14ac:dyDescent="0.25"/>
    <row r="230068" customFormat="1" x14ac:dyDescent="0.25"/>
    <row r="230069" customFormat="1" x14ac:dyDescent="0.25"/>
    <row r="230070" customFormat="1" x14ac:dyDescent="0.25"/>
    <row r="230071" customFormat="1" x14ac:dyDescent="0.25"/>
    <row r="230072" customFormat="1" x14ac:dyDescent="0.25"/>
    <row r="230073" customFormat="1" x14ac:dyDescent="0.25"/>
    <row r="230074" customFormat="1" x14ac:dyDescent="0.25"/>
    <row r="230075" customFormat="1" x14ac:dyDescent="0.25"/>
    <row r="230076" customFormat="1" x14ac:dyDescent="0.25"/>
    <row r="230077" customFormat="1" x14ac:dyDescent="0.25"/>
    <row r="230078" customFormat="1" x14ac:dyDescent="0.25"/>
    <row r="230079" customFormat="1" x14ac:dyDescent="0.25"/>
    <row r="230080" customFormat="1" x14ac:dyDescent="0.25"/>
    <row r="230081" customFormat="1" x14ac:dyDescent="0.25"/>
    <row r="230082" customFormat="1" x14ac:dyDescent="0.25"/>
    <row r="230083" customFormat="1" x14ac:dyDescent="0.25"/>
    <row r="230084" customFormat="1" x14ac:dyDescent="0.25"/>
    <row r="230085" customFormat="1" x14ac:dyDescent="0.25"/>
    <row r="230086" customFormat="1" x14ac:dyDescent="0.25"/>
    <row r="230087" customFormat="1" x14ac:dyDescent="0.25"/>
    <row r="230088" customFormat="1" x14ac:dyDescent="0.25"/>
    <row r="230089" customFormat="1" x14ac:dyDescent="0.25"/>
    <row r="230090" customFormat="1" x14ac:dyDescent="0.25"/>
    <row r="230091" customFormat="1" x14ac:dyDescent="0.25"/>
    <row r="230092" customFormat="1" x14ac:dyDescent="0.25"/>
    <row r="230093" customFormat="1" x14ac:dyDescent="0.25"/>
    <row r="230094" customFormat="1" x14ac:dyDescent="0.25"/>
    <row r="230095" customFormat="1" x14ac:dyDescent="0.25"/>
    <row r="230096" customFormat="1" x14ac:dyDescent="0.25"/>
    <row r="230097" customFormat="1" x14ac:dyDescent="0.25"/>
    <row r="230098" customFormat="1" x14ac:dyDescent="0.25"/>
    <row r="230099" customFormat="1" x14ac:dyDescent="0.25"/>
    <row r="230100" customFormat="1" x14ac:dyDescent="0.25"/>
    <row r="230101" customFormat="1" x14ac:dyDescent="0.25"/>
    <row r="230102" customFormat="1" x14ac:dyDescent="0.25"/>
    <row r="230103" customFormat="1" x14ac:dyDescent="0.25"/>
    <row r="230104" customFormat="1" x14ac:dyDescent="0.25"/>
    <row r="230105" customFormat="1" x14ac:dyDescent="0.25"/>
    <row r="230106" customFormat="1" x14ac:dyDescent="0.25"/>
    <row r="230107" customFormat="1" x14ac:dyDescent="0.25"/>
    <row r="230108" customFormat="1" x14ac:dyDescent="0.25"/>
    <row r="230109" customFormat="1" x14ac:dyDescent="0.25"/>
    <row r="230110" customFormat="1" x14ac:dyDescent="0.25"/>
    <row r="230111" customFormat="1" x14ac:dyDescent="0.25"/>
    <row r="230112" customFormat="1" x14ac:dyDescent="0.25"/>
    <row r="230113" customFormat="1" x14ac:dyDescent="0.25"/>
    <row r="230114" customFormat="1" x14ac:dyDescent="0.25"/>
    <row r="230115" customFormat="1" x14ac:dyDescent="0.25"/>
    <row r="230116" customFormat="1" x14ac:dyDescent="0.25"/>
    <row r="230117" customFormat="1" x14ac:dyDescent="0.25"/>
    <row r="230118" customFormat="1" x14ac:dyDescent="0.25"/>
    <row r="230119" customFormat="1" x14ac:dyDescent="0.25"/>
    <row r="230120" customFormat="1" x14ac:dyDescent="0.25"/>
    <row r="230121" customFormat="1" x14ac:dyDescent="0.25"/>
    <row r="230122" customFormat="1" x14ac:dyDescent="0.25"/>
    <row r="230123" customFormat="1" x14ac:dyDescent="0.25"/>
    <row r="230124" customFormat="1" x14ac:dyDescent="0.25"/>
    <row r="230125" customFormat="1" x14ac:dyDescent="0.25"/>
    <row r="230126" customFormat="1" x14ac:dyDescent="0.25"/>
    <row r="230127" customFormat="1" x14ac:dyDescent="0.25"/>
    <row r="230128" customFormat="1" x14ac:dyDescent="0.25"/>
    <row r="230129" customFormat="1" x14ac:dyDescent="0.25"/>
    <row r="230130" customFormat="1" x14ac:dyDescent="0.25"/>
    <row r="230131" customFormat="1" x14ac:dyDescent="0.25"/>
    <row r="230132" customFormat="1" x14ac:dyDescent="0.25"/>
    <row r="230133" customFormat="1" x14ac:dyDescent="0.25"/>
    <row r="230134" customFormat="1" x14ac:dyDescent="0.25"/>
    <row r="230135" customFormat="1" x14ac:dyDescent="0.25"/>
    <row r="230136" customFormat="1" x14ac:dyDescent="0.25"/>
    <row r="230137" customFormat="1" x14ac:dyDescent="0.25"/>
    <row r="230138" customFormat="1" x14ac:dyDescent="0.25"/>
    <row r="230139" customFormat="1" x14ac:dyDescent="0.25"/>
    <row r="230140" customFormat="1" x14ac:dyDescent="0.25"/>
    <row r="230141" customFormat="1" x14ac:dyDescent="0.25"/>
    <row r="230142" customFormat="1" x14ac:dyDescent="0.25"/>
    <row r="230143" customFormat="1" x14ac:dyDescent="0.25"/>
    <row r="230144" customFormat="1" x14ac:dyDescent="0.25"/>
    <row r="230145" customFormat="1" x14ac:dyDescent="0.25"/>
    <row r="230146" customFormat="1" x14ac:dyDescent="0.25"/>
    <row r="230147" customFormat="1" x14ac:dyDescent="0.25"/>
    <row r="230148" customFormat="1" x14ac:dyDescent="0.25"/>
    <row r="230149" customFormat="1" x14ac:dyDescent="0.25"/>
    <row r="230150" customFormat="1" x14ac:dyDescent="0.25"/>
    <row r="230151" customFormat="1" x14ac:dyDescent="0.25"/>
    <row r="230152" customFormat="1" x14ac:dyDescent="0.25"/>
    <row r="230153" customFormat="1" x14ac:dyDescent="0.25"/>
    <row r="230154" customFormat="1" x14ac:dyDescent="0.25"/>
    <row r="230155" customFormat="1" x14ac:dyDescent="0.25"/>
    <row r="230156" customFormat="1" x14ac:dyDescent="0.25"/>
    <row r="230157" customFormat="1" x14ac:dyDescent="0.25"/>
    <row r="230158" customFormat="1" x14ac:dyDescent="0.25"/>
    <row r="230159" customFormat="1" x14ac:dyDescent="0.25"/>
    <row r="230160" customFormat="1" x14ac:dyDescent="0.25"/>
    <row r="230161" customFormat="1" x14ac:dyDescent="0.25"/>
    <row r="230162" customFormat="1" x14ac:dyDescent="0.25"/>
    <row r="230163" customFormat="1" x14ac:dyDescent="0.25"/>
    <row r="230164" customFormat="1" x14ac:dyDescent="0.25"/>
    <row r="230165" customFormat="1" x14ac:dyDescent="0.25"/>
    <row r="230166" customFormat="1" x14ac:dyDescent="0.25"/>
    <row r="230167" customFormat="1" x14ac:dyDescent="0.25"/>
    <row r="230168" customFormat="1" x14ac:dyDescent="0.25"/>
    <row r="230169" customFormat="1" x14ac:dyDescent="0.25"/>
    <row r="230170" customFormat="1" x14ac:dyDescent="0.25"/>
    <row r="230171" customFormat="1" x14ac:dyDescent="0.25"/>
    <row r="230172" customFormat="1" x14ac:dyDescent="0.25"/>
    <row r="230173" customFormat="1" x14ac:dyDescent="0.25"/>
    <row r="230174" customFormat="1" x14ac:dyDescent="0.25"/>
    <row r="230175" customFormat="1" x14ac:dyDescent="0.25"/>
    <row r="230176" customFormat="1" x14ac:dyDescent="0.25"/>
    <row r="230177" customFormat="1" x14ac:dyDescent="0.25"/>
    <row r="230178" customFormat="1" x14ac:dyDescent="0.25"/>
    <row r="230179" customFormat="1" x14ac:dyDescent="0.25"/>
    <row r="230180" customFormat="1" x14ac:dyDescent="0.25"/>
    <row r="230181" customFormat="1" x14ac:dyDescent="0.25"/>
    <row r="230182" customFormat="1" x14ac:dyDescent="0.25"/>
    <row r="230183" customFormat="1" x14ac:dyDescent="0.25"/>
    <row r="230184" customFormat="1" x14ac:dyDescent="0.25"/>
    <row r="230185" customFormat="1" x14ac:dyDescent="0.25"/>
    <row r="230186" customFormat="1" x14ac:dyDescent="0.25"/>
    <row r="230187" customFormat="1" x14ac:dyDescent="0.25"/>
    <row r="230188" customFormat="1" x14ac:dyDescent="0.25"/>
    <row r="230189" customFormat="1" x14ac:dyDescent="0.25"/>
    <row r="230190" customFormat="1" x14ac:dyDescent="0.25"/>
    <row r="230191" customFormat="1" x14ac:dyDescent="0.25"/>
    <row r="230192" customFormat="1" x14ac:dyDescent="0.25"/>
    <row r="230193" customFormat="1" x14ac:dyDescent="0.25"/>
    <row r="230194" customFormat="1" x14ac:dyDescent="0.25"/>
    <row r="230195" customFormat="1" x14ac:dyDescent="0.25"/>
    <row r="230196" customFormat="1" x14ac:dyDescent="0.25"/>
    <row r="230197" customFormat="1" x14ac:dyDescent="0.25"/>
    <row r="230198" customFormat="1" x14ac:dyDescent="0.25"/>
    <row r="230199" customFormat="1" x14ac:dyDescent="0.25"/>
    <row r="230200" customFormat="1" x14ac:dyDescent="0.25"/>
    <row r="230201" customFormat="1" x14ac:dyDescent="0.25"/>
    <row r="230202" customFormat="1" x14ac:dyDescent="0.25"/>
    <row r="230203" customFormat="1" x14ac:dyDescent="0.25"/>
    <row r="230204" customFormat="1" x14ac:dyDescent="0.25"/>
    <row r="230205" customFormat="1" x14ac:dyDescent="0.25"/>
    <row r="230206" customFormat="1" x14ac:dyDescent="0.25"/>
    <row r="230207" customFormat="1" x14ac:dyDescent="0.25"/>
    <row r="230208" customFormat="1" x14ac:dyDescent="0.25"/>
    <row r="230209" customFormat="1" x14ac:dyDescent="0.25"/>
    <row r="230210" customFormat="1" x14ac:dyDescent="0.25"/>
    <row r="230211" customFormat="1" x14ac:dyDescent="0.25"/>
    <row r="230212" customFormat="1" x14ac:dyDescent="0.25"/>
    <row r="230213" customFormat="1" x14ac:dyDescent="0.25"/>
    <row r="230214" customFormat="1" x14ac:dyDescent="0.25"/>
    <row r="230215" customFormat="1" x14ac:dyDescent="0.25"/>
    <row r="230216" customFormat="1" x14ac:dyDescent="0.25"/>
    <row r="230217" customFormat="1" x14ac:dyDescent="0.25"/>
    <row r="230218" customFormat="1" x14ac:dyDescent="0.25"/>
    <row r="230219" customFormat="1" x14ac:dyDescent="0.25"/>
    <row r="230220" customFormat="1" x14ac:dyDescent="0.25"/>
    <row r="230221" customFormat="1" x14ac:dyDescent="0.25"/>
    <row r="230222" customFormat="1" x14ac:dyDescent="0.25"/>
    <row r="230223" customFormat="1" x14ac:dyDescent="0.25"/>
    <row r="230224" customFormat="1" x14ac:dyDescent="0.25"/>
    <row r="230225" customFormat="1" x14ac:dyDescent="0.25"/>
    <row r="230226" customFormat="1" x14ac:dyDescent="0.25"/>
    <row r="230227" customFormat="1" x14ac:dyDescent="0.25"/>
    <row r="230228" customFormat="1" x14ac:dyDescent="0.25"/>
    <row r="230229" customFormat="1" x14ac:dyDescent="0.25"/>
    <row r="230230" customFormat="1" x14ac:dyDescent="0.25"/>
    <row r="230231" customFormat="1" x14ac:dyDescent="0.25"/>
    <row r="230232" customFormat="1" x14ac:dyDescent="0.25"/>
    <row r="230233" customFormat="1" x14ac:dyDescent="0.25"/>
    <row r="230234" customFormat="1" x14ac:dyDescent="0.25"/>
    <row r="230235" customFormat="1" x14ac:dyDescent="0.25"/>
    <row r="230236" customFormat="1" x14ac:dyDescent="0.25"/>
    <row r="230237" customFormat="1" x14ac:dyDescent="0.25"/>
    <row r="230238" customFormat="1" x14ac:dyDescent="0.25"/>
    <row r="230239" customFormat="1" x14ac:dyDescent="0.25"/>
    <row r="230240" customFormat="1" x14ac:dyDescent="0.25"/>
    <row r="230241" customFormat="1" x14ac:dyDescent="0.25"/>
    <row r="230242" customFormat="1" x14ac:dyDescent="0.25"/>
    <row r="230243" customFormat="1" x14ac:dyDescent="0.25"/>
    <row r="230244" customFormat="1" x14ac:dyDescent="0.25"/>
    <row r="230245" customFormat="1" x14ac:dyDescent="0.25"/>
    <row r="230246" customFormat="1" x14ac:dyDescent="0.25"/>
    <row r="230247" customFormat="1" x14ac:dyDescent="0.25"/>
    <row r="230248" customFormat="1" x14ac:dyDescent="0.25"/>
    <row r="230249" customFormat="1" x14ac:dyDescent="0.25"/>
    <row r="230250" customFormat="1" x14ac:dyDescent="0.25"/>
    <row r="230251" customFormat="1" x14ac:dyDescent="0.25"/>
    <row r="230252" customFormat="1" x14ac:dyDescent="0.25"/>
    <row r="230253" customFormat="1" x14ac:dyDescent="0.25"/>
    <row r="230254" customFormat="1" x14ac:dyDescent="0.25"/>
    <row r="230255" customFormat="1" x14ac:dyDescent="0.25"/>
    <row r="230256" customFormat="1" x14ac:dyDescent="0.25"/>
    <row r="230257" customFormat="1" x14ac:dyDescent="0.25"/>
    <row r="230258" customFormat="1" x14ac:dyDescent="0.25"/>
    <row r="230259" customFormat="1" x14ac:dyDescent="0.25"/>
    <row r="230260" customFormat="1" x14ac:dyDescent="0.25"/>
    <row r="230261" customFormat="1" x14ac:dyDescent="0.25"/>
    <row r="230262" customFormat="1" x14ac:dyDescent="0.25"/>
    <row r="230263" customFormat="1" x14ac:dyDescent="0.25"/>
    <row r="230264" customFormat="1" x14ac:dyDescent="0.25"/>
    <row r="230265" customFormat="1" x14ac:dyDescent="0.25"/>
    <row r="230266" customFormat="1" x14ac:dyDescent="0.25"/>
    <row r="230267" customFormat="1" x14ac:dyDescent="0.25"/>
    <row r="230268" customFormat="1" x14ac:dyDescent="0.25"/>
    <row r="230269" customFormat="1" x14ac:dyDescent="0.25"/>
    <row r="230270" customFormat="1" x14ac:dyDescent="0.25"/>
    <row r="230271" customFormat="1" x14ac:dyDescent="0.25"/>
    <row r="230272" customFormat="1" x14ac:dyDescent="0.25"/>
    <row r="230273" customFormat="1" x14ac:dyDescent="0.25"/>
    <row r="230274" customFormat="1" x14ac:dyDescent="0.25"/>
    <row r="230275" customFormat="1" x14ac:dyDescent="0.25"/>
    <row r="230276" customFormat="1" x14ac:dyDescent="0.25"/>
    <row r="230277" customFormat="1" x14ac:dyDescent="0.25"/>
    <row r="230278" customFormat="1" x14ac:dyDescent="0.25"/>
    <row r="230279" customFormat="1" x14ac:dyDescent="0.25"/>
    <row r="230280" customFormat="1" x14ac:dyDescent="0.25"/>
    <row r="230281" customFormat="1" x14ac:dyDescent="0.25"/>
    <row r="230282" customFormat="1" x14ac:dyDescent="0.25"/>
    <row r="230283" customFormat="1" x14ac:dyDescent="0.25"/>
    <row r="230284" customFormat="1" x14ac:dyDescent="0.25"/>
    <row r="230285" customFormat="1" x14ac:dyDescent="0.25"/>
    <row r="230286" customFormat="1" x14ac:dyDescent="0.25"/>
    <row r="230287" customFormat="1" x14ac:dyDescent="0.25"/>
    <row r="230288" customFormat="1" x14ac:dyDescent="0.25"/>
    <row r="230289" customFormat="1" x14ac:dyDescent="0.25"/>
    <row r="230290" customFormat="1" x14ac:dyDescent="0.25"/>
    <row r="230291" customFormat="1" x14ac:dyDescent="0.25"/>
    <row r="230292" customFormat="1" x14ac:dyDescent="0.25"/>
    <row r="230293" customFormat="1" x14ac:dyDescent="0.25"/>
    <row r="230294" customFormat="1" x14ac:dyDescent="0.25"/>
    <row r="230295" customFormat="1" x14ac:dyDescent="0.25"/>
    <row r="230296" customFormat="1" x14ac:dyDescent="0.25"/>
    <row r="230297" customFormat="1" x14ac:dyDescent="0.25"/>
    <row r="230298" customFormat="1" x14ac:dyDescent="0.25"/>
    <row r="230299" customFormat="1" x14ac:dyDescent="0.25"/>
    <row r="230300" customFormat="1" x14ac:dyDescent="0.25"/>
    <row r="230301" customFormat="1" x14ac:dyDescent="0.25"/>
    <row r="230302" customFormat="1" x14ac:dyDescent="0.25"/>
    <row r="230303" customFormat="1" x14ac:dyDescent="0.25"/>
    <row r="230304" customFormat="1" x14ac:dyDescent="0.25"/>
    <row r="230305" customFormat="1" x14ac:dyDescent="0.25"/>
    <row r="230306" customFormat="1" x14ac:dyDescent="0.25"/>
    <row r="230307" customFormat="1" x14ac:dyDescent="0.25"/>
    <row r="230308" customFormat="1" x14ac:dyDescent="0.25"/>
    <row r="230309" customFormat="1" x14ac:dyDescent="0.25"/>
    <row r="230310" customFormat="1" x14ac:dyDescent="0.25"/>
    <row r="230311" customFormat="1" x14ac:dyDescent="0.25"/>
    <row r="230312" customFormat="1" x14ac:dyDescent="0.25"/>
    <row r="230313" customFormat="1" x14ac:dyDescent="0.25"/>
    <row r="230314" customFormat="1" x14ac:dyDescent="0.25"/>
    <row r="230315" customFormat="1" x14ac:dyDescent="0.25"/>
    <row r="230316" customFormat="1" x14ac:dyDescent="0.25"/>
    <row r="230317" customFormat="1" x14ac:dyDescent="0.25"/>
    <row r="230318" customFormat="1" x14ac:dyDescent="0.25"/>
    <row r="230319" customFormat="1" x14ac:dyDescent="0.25"/>
    <row r="230320" customFormat="1" x14ac:dyDescent="0.25"/>
    <row r="230321" customFormat="1" x14ac:dyDescent="0.25"/>
    <row r="230322" customFormat="1" x14ac:dyDescent="0.25"/>
    <row r="230323" customFormat="1" x14ac:dyDescent="0.25"/>
    <row r="230324" customFormat="1" x14ac:dyDescent="0.25"/>
    <row r="230325" customFormat="1" x14ac:dyDescent="0.25"/>
    <row r="230326" customFormat="1" x14ac:dyDescent="0.25"/>
    <row r="230327" customFormat="1" x14ac:dyDescent="0.25"/>
    <row r="230328" customFormat="1" x14ac:dyDescent="0.25"/>
    <row r="230329" customFormat="1" x14ac:dyDescent="0.25"/>
    <row r="230330" customFormat="1" x14ac:dyDescent="0.25"/>
    <row r="230331" customFormat="1" x14ac:dyDescent="0.25"/>
    <row r="230332" customFormat="1" x14ac:dyDescent="0.25"/>
    <row r="230333" customFormat="1" x14ac:dyDescent="0.25"/>
    <row r="230334" customFormat="1" x14ac:dyDescent="0.25"/>
    <row r="230335" customFormat="1" x14ac:dyDescent="0.25"/>
    <row r="230336" customFormat="1" x14ac:dyDescent="0.25"/>
    <row r="230337" customFormat="1" x14ac:dyDescent="0.25"/>
    <row r="230338" customFormat="1" x14ac:dyDescent="0.25"/>
    <row r="230339" customFormat="1" x14ac:dyDescent="0.25"/>
    <row r="230340" customFormat="1" x14ac:dyDescent="0.25"/>
    <row r="230341" customFormat="1" x14ac:dyDescent="0.25"/>
    <row r="230342" customFormat="1" x14ac:dyDescent="0.25"/>
    <row r="230343" customFormat="1" x14ac:dyDescent="0.25"/>
    <row r="230344" customFormat="1" x14ac:dyDescent="0.25"/>
    <row r="230345" customFormat="1" x14ac:dyDescent="0.25"/>
    <row r="230346" customFormat="1" x14ac:dyDescent="0.25"/>
    <row r="230347" customFormat="1" x14ac:dyDescent="0.25"/>
    <row r="230348" customFormat="1" x14ac:dyDescent="0.25"/>
    <row r="230349" customFormat="1" x14ac:dyDescent="0.25"/>
    <row r="230350" customFormat="1" x14ac:dyDescent="0.25"/>
    <row r="230351" customFormat="1" x14ac:dyDescent="0.25"/>
    <row r="230352" customFormat="1" x14ac:dyDescent="0.25"/>
    <row r="230353" customFormat="1" x14ac:dyDescent="0.25"/>
    <row r="230354" customFormat="1" x14ac:dyDescent="0.25"/>
    <row r="230355" customFormat="1" x14ac:dyDescent="0.25"/>
    <row r="230356" customFormat="1" x14ac:dyDescent="0.25"/>
    <row r="230357" customFormat="1" x14ac:dyDescent="0.25"/>
    <row r="230358" customFormat="1" x14ac:dyDescent="0.25"/>
    <row r="230359" customFormat="1" x14ac:dyDescent="0.25"/>
    <row r="230360" customFormat="1" x14ac:dyDescent="0.25"/>
    <row r="230361" customFormat="1" x14ac:dyDescent="0.25"/>
    <row r="230362" customFormat="1" x14ac:dyDescent="0.25"/>
    <row r="230363" customFormat="1" x14ac:dyDescent="0.25"/>
    <row r="230364" customFormat="1" x14ac:dyDescent="0.25"/>
    <row r="230365" customFormat="1" x14ac:dyDescent="0.25"/>
    <row r="230366" customFormat="1" x14ac:dyDescent="0.25"/>
    <row r="230367" customFormat="1" x14ac:dyDescent="0.25"/>
    <row r="230368" customFormat="1" x14ac:dyDescent="0.25"/>
    <row r="230369" customFormat="1" x14ac:dyDescent="0.25"/>
    <row r="230370" customFormat="1" x14ac:dyDescent="0.25"/>
    <row r="230371" customFormat="1" x14ac:dyDescent="0.25"/>
    <row r="230372" customFormat="1" x14ac:dyDescent="0.25"/>
    <row r="230373" customFormat="1" x14ac:dyDescent="0.25"/>
    <row r="230374" customFormat="1" x14ac:dyDescent="0.25"/>
    <row r="230375" customFormat="1" x14ac:dyDescent="0.25"/>
    <row r="230376" customFormat="1" x14ac:dyDescent="0.25"/>
    <row r="230377" customFormat="1" x14ac:dyDescent="0.25"/>
    <row r="230378" customFormat="1" x14ac:dyDescent="0.25"/>
    <row r="230379" customFormat="1" x14ac:dyDescent="0.25"/>
    <row r="230380" customFormat="1" x14ac:dyDescent="0.25"/>
    <row r="230381" customFormat="1" x14ac:dyDescent="0.25"/>
    <row r="230382" customFormat="1" x14ac:dyDescent="0.25"/>
    <row r="230383" customFormat="1" x14ac:dyDescent="0.25"/>
    <row r="230384" customFormat="1" x14ac:dyDescent="0.25"/>
    <row r="230385" customFormat="1" x14ac:dyDescent="0.25"/>
    <row r="230386" customFormat="1" x14ac:dyDescent="0.25"/>
    <row r="230387" customFormat="1" x14ac:dyDescent="0.25"/>
    <row r="230388" customFormat="1" x14ac:dyDescent="0.25"/>
    <row r="230389" customFormat="1" x14ac:dyDescent="0.25"/>
    <row r="230390" customFormat="1" x14ac:dyDescent="0.25"/>
    <row r="230391" customFormat="1" x14ac:dyDescent="0.25"/>
    <row r="230392" customFormat="1" x14ac:dyDescent="0.25"/>
    <row r="230393" customFormat="1" x14ac:dyDescent="0.25"/>
    <row r="230394" customFormat="1" x14ac:dyDescent="0.25"/>
    <row r="230395" customFormat="1" x14ac:dyDescent="0.25"/>
    <row r="230396" customFormat="1" x14ac:dyDescent="0.25"/>
    <row r="230397" customFormat="1" x14ac:dyDescent="0.25"/>
    <row r="230398" customFormat="1" x14ac:dyDescent="0.25"/>
    <row r="230399" customFormat="1" x14ac:dyDescent="0.25"/>
    <row r="230400" customFormat="1" x14ac:dyDescent="0.25"/>
    <row r="230401" customFormat="1" x14ac:dyDescent="0.25"/>
    <row r="230402" customFormat="1" x14ac:dyDescent="0.25"/>
    <row r="230403" customFormat="1" x14ac:dyDescent="0.25"/>
    <row r="230404" customFormat="1" x14ac:dyDescent="0.25"/>
    <row r="230405" customFormat="1" x14ac:dyDescent="0.25"/>
    <row r="230406" customFormat="1" x14ac:dyDescent="0.25"/>
    <row r="230407" customFormat="1" x14ac:dyDescent="0.25"/>
    <row r="230408" customFormat="1" x14ac:dyDescent="0.25"/>
    <row r="230409" customFormat="1" x14ac:dyDescent="0.25"/>
    <row r="230410" customFormat="1" x14ac:dyDescent="0.25"/>
    <row r="230411" customFormat="1" x14ac:dyDescent="0.25"/>
    <row r="230412" customFormat="1" x14ac:dyDescent="0.25"/>
    <row r="230413" customFormat="1" x14ac:dyDescent="0.25"/>
    <row r="230414" customFormat="1" x14ac:dyDescent="0.25"/>
    <row r="230415" customFormat="1" x14ac:dyDescent="0.25"/>
    <row r="230416" customFormat="1" x14ac:dyDescent="0.25"/>
    <row r="230417" customFormat="1" x14ac:dyDescent="0.25"/>
    <row r="230418" customFormat="1" x14ac:dyDescent="0.25"/>
    <row r="230419" customFormat="1" x14ac:dyDescent="0.25"/>
    <row r="230420" customFormat="1" x14ac:dyDescent="0.25"/>
    <row r="230421" customFormat="1" x14ac:dyDescent="0.25"/>
    <row r="230422" customFormat="1" x14ac:dyDescent="0.25"/>
    <row r="230423" customFormat="1" x14ac:dyDescent="0.25"/>
    <row r="230424" customFormat="1" x14ac:dyDescent="0.25"/>
    <row r="230425" customFormat="1" x14ac:dyDescent="0.25"/>
    <row r="230426" customFormat="1" x14ac:dyDescent="0.25"/>
    <row r="230427" customFormat="1" x14ac:dyDescent="0.25"/>
    <row r="230428" customFormat="1" x14ac:dyDescent="0.25"/>
    <row r="230429" customFormat="1" x14ac:dyDescent="0.25"/>
    <row r="230430" customFormat="1" x14ac:dyDescent="0.25"/>
    <row r="230431" customFormat="1" x14ac:dyDescent="0.25"/>
    <row r="230432" customFormat="1" x14ac:dyDescent="0.25"/>
    <row r="230433" customFormat="1" x14ac:dyDescent="0.25"/>
    <row r="230434" customFormat="1" x14ac:dyDescent="0.25"/>
    <row r="230435" customFormat="1" x14ac:dyDescent="0.25"/>
    <row r="230436" customFormat="1" x14ac:dyDescent="0.25"/>
    <row r="230437" customFormat="1" x14ac:dyDescent="0.25"/>
    <row r="230438" customFormat="1" x14ac:dyDescent="0.25"/>
    <row r="230439" customFormat="1" x14ac:dyDescent="0.25"/>
    <row r="230440" customFormat="1" x14ac:dyDescent="0.25"/>
    <row r="230441" customFormat="1" x14ac:dyDescent="0.25"/>
    <row r="230442" customFormat="1" x14ac:dyDescent="0.25"/>
    <row r="230443" customFormat="1" x14ac:dyDescent="0.25"/>
    <row r="230444" customFormat="1" x14ac:dyDescent="0.25"/>
    <row r="230445" customFormat="1" x14ac:dyDescent="0.25"/>
    <row r="230446" customFormat="1" x14ac:dyDescent="0.25"/>
    <row r="230447" customFormat="1" x14ac:dyDescent="0.25"/>
    <row r="230448" customFormat="1" x14ac:dyDescent="0.25"/>
    <row r="230449" customFormat="1" x14ac:dyDescent="0.25"/>
    <row r="230450" customFormat="1" x14ac:dyDescent="0.25"/>
    <row r="230451" customFormat="1" x14ac:dyDescent="0.25"/>
    <row r="230452" customFormat="1" x14ac:dyDescent="0.25"/>
    <row r="230453" customFormat="1" x14ac:dyDescent="0.25"/>
    <row r="230454" customFormat="1" x14ac:dyDescent="0.25"/>
    <row r="230455" customFormat="1" x14ac:dyDescent="0.25"/>
    <row r="230456" customFormat="1" x14ac:dyDescent="0.25"/>
    <row r="230457" customFormat="1" x14ac:dyDescent="0.25"/>
    <row r="230458" customFormat="1" x14ac:dyDescent="0.25"/>
    <row r="230459" customFormat="1" x14ac:dyDescent="0.25"/>
    <row r="230460" customFormat="1" x14ac:dyDescent="0.25"/>
    <row r="230461" customFormat="1" x14ac:dyDescent="0.25"/>
    <row r="230462" customFormat="1" x14ac:dyDescent="0.25"/>
    <row r="230463" customFormat="1" x14ac:dyDescent="0.25"/>
    <row r="230464" customFormat="1" x14ac:dyDescent="0.25"/>
    <row r="230465" customFormat="1" x14ac:dyDescent="0.25"/>
    <row r="230466" customFormat="1" x14ac:dyDescent="0.25"/>
    <row r="230467" customFormat="1" x14ac:dyDescent="0.25"/>
    <row r="230468" customFormat="1" x14ac:dyDescent="0.25"/>
    <row r="230469" customFormat="1" x14ac:dyDescent="0.25"/>
    <row r="230470" customFormat="1" x14ac:dyDescent="0.25"/>
    <row r="230471" customFormat="1" x14ac:dyDescent="0.25"/>
    <row r="230472" customFormat="1" x14ac:dyDescent="0.25"/>
    <row r="230473" customFormat="1" x14ac:dyDescent="0.25"/>
    <row r="230474" customFormat="1" x14ac:dyDescent="0.25"/>
    <row r="230475" customFormat="1" x14ac:dyDescent="0.25"/>
    <row r="230476" customFormat="1" x14ac:dyDescent="0.25"/>
    <row r="230477" customFormat="1" x14ac:dyDescent="0.25"/>
    <row r="230478" customFormat="1" x14ac:dyDescent="0.25"/>
    <row r="230479" customFormat="1" x14ac:dyDescent="0.25"/>
    <row r="230480" customFormat="1" x14ac:dyDescent="0.25"/>
    <row r="230481" customFormat="1" x14ac:dyDescent="0.25"/>
    <row r="230482" customFormat="1" x14ac:dyDescent="0.25"/>
    <row r="230483" customFormat="1" x14ac:dyDescent="0.25"/>
    <row r="230484" customFormat="1" x14ac:dyDescent="0.25"/>
    <row r="230485" customFormat="1" x14ac:dyDescent="0.25"/>
    <row r="230486" customFormat="1" x14ac:dyDescent="0.25"/>
    <row r="230487" customFormat="1" x14ac:dyDescent="0.25"/>
    <row r="230488" customFormat="1" x14ac:dyDescent="0.25"/>
    <row r="230489" customFormat="1" x14ac:dyDescent="0.25"/>
    <row r="230490" customFormat="1" x14ac:dyDescent="0.25"/>
    <row r="230491" customFormat="1" x14ac:dyDescent="0.25"/>
    <row r="230492" customFormat="1" x14ac:dyDescent="0.25"/>
    <row r="230493" customFormat="1" x14ac:dyDescent="0.25"/>
    <row r="230494" customFormat="1" x14ac:dyDescent="0.25"/>
    <row r="230495" customFormat="1" x14ac:dyDescent="0.25"/>
    <row r="230496" customFormat="1" x14ac:dyDescent="0.25"/>
    <row r="230497" customFormat="1" x14ac:dyDescent="0.25"/>
    <row r="230498" customFormat="1" x14ac:dyDescent="0.25"/>
    <row r="230499" customFormat="1" x14ac:dyDescent="0.25"/>
    <row r="230500" customFormat="1" x14ac:dyDescent="0.25"/>
    <row r="230501" customFormat="1" x14ac:dyDescent="0.25"/>
    <row r="230502" customFormat="1" x14ac:dyDescent="0.25"/>
    <row r="230503" customFormat="1" x14ac:dyDescent="0.25"/>
    <row r="230504" customFormat="1" x14ac:dyDescent="0.25"/>
    <row r="230505" customFormat="1" x14ac:dyDescent="0.25"/>
    <row r="230506" customFormat="1" x14ac:dyDescent="0.25"/>
    <row r="230507" customFormat="1" x14ac:dyDescent="0.25"/>
    <row r="230508" customFormat="1" x14ac:dyDescent="0.25"/>
    <row r="230509" customFormat="1" x14ac:dyDescent="0.25"/>
    <row r="230510" customFormat="1" x14ac:dyDescent="0.25"/>
    <row r="230511" customFormat="1" x14ac:dyDescent="0.25"/>
    <row r="230512" customFormat="1" x14ac:dyDescent="0.25"/>
    <row r="230513" customFormat="1" x14ac:dyDescent="0.25"/>
    <row r="230514" customFormat="1" x14ac:dyDescent="0.25"/>
    <row r="230515" customFormat="1" x14ac:dyDescent="0.25"/>
    <row r="230516" customFormat="1" x14ac:dyDescent="0.25"/>
    <row r="230517" customFormat="1" x14ac:dyDescent="0.25"/>
    <row r="230518" customFormat="1" x14ac:dyDescent="0.25"/>
    <row r="230519" customFormat="1" x14ac:dyDescent="0.25"/>
    <row r="230520" customFormat="1" x14ac:dyDescent="0.25"/>
    <row r="230521" customFormat="1" x14ac:dyDescent="0.25"/>
    <row r="230522" customFormat="1" x14ac:dyDescent="0.25"/>
    <row r="230523" customFormat="1" x14ac:dyDescent="0.25"/>
    <row r="230524" customFormat="1" x14ac:dyDescent="0.25"/>
    <row r="230525" customFormat="1" x14ac:dyDescent="0.25"/>
    <row r="230526" customFormat="1" x14ac:dyDescent="0.25"/>
    <row r="230527" customFormat="1" x14ac:dyDescent="0.25"/>
    <row r="230528" customFormat="1" x14ac:dyDescent="0.25"/>
    <row r="230529" customFormat="1" x14ac:dyDescent="0.25"/>
    <row r="230530" customFormat="1" x14ac:dyDescent="0.25"/>
    <row r="230531" customFormat="1" x14ac:dyDescent="0.25"/>
    <row r="230532" customFormat="1" x14ac:dyDescent="0.25"/>
    <row r="230533" customFormat="1" x14ac:dyDescent="0.25"/>
    <row r="230534" customFormat="1" x14ac:dyDescent="0.25"/>
    <row r="230535" customFormat="1" x14ac:dyDescent="0.25"/>
    <row r="230536" customFormat="1" x14ac:dyDescent="0.25"/>
    <row r="230537" customFormat="1" x14ac:dyDescent="0.25"/>
    <row r="230538" customFormat="1" x14ac:dyDescent="0.25"/>
    <row r="230539" customFormat="1" x14ac:dyDescent="0.25"/>
    <row r="230540" customFormat="1" x14ac:dyDescent="0.25"/>
    <row r="230541" customFormat="1" x14ac:dyDescent="0.25"/>
    <row r="230542" customFormat="1" x14ac:dyDescent="0.25"/>
    <row r="230543" customFormat="1" x14ac:dyDescent="0.25"/>
    <row r="230544" customFormat="1" x14ac:dyDescent="0.25"/>
    <row r="230545" customFormat="1" x14ac:dyDescent="0.25"/>
    <row r="230546" customFormat="1" x14ac:dyDescent="0.25"/>
    <row r="230547" customFormat="1" x14ac:dyDescent="0.25"/>
    <row r="230548" customFormat="1" x14ac:dyDescent="0.25"/>
    <row r="230549" customFormat="1" x14ac:dyDescent="0.25"/>
    <row r="230550" customFormat="1" x14ac:dyDescent="0.25"/>
    <row r="230551" customFormat="1" x14ac:dyDescent="0.25"/>
    <row r="230552" customFormat="1" x14ac:dyDescent="0.25"/>
    <row r="230553" customFormat="1" x14ac:dyDescent="0.25"/>
    <row r="230554" customFormat="1" x14ac:dyDescent="0.25"/>
    <row r="230555" customFormat="1" x14ac:dyDescent="0.25"/>
    <row r="230556" customFormat="1" x14ac:dyDescent="0.25"/>
    <row r="230557" customFormat="1" x14ac:dyDescent="0.25"/>
    <row r="230558" customFormat="1" x14ac:dyDescent="0.25"/>
    <row r="230559" customFormat="1" x14ac:dyDescent="0.25"/>
    <row r="230560" customFormat="1" x14ac:dyDescent="0.25"/>
    <row r="230561" customFormat="1" x14ac:dyDescent="0.25"/>
    <row r="230562" customFormat="1" x14ac:dyDescent="0.25"/>
    <row r="230563" customFormat="1" x14ac:dyDescent="0.25"/>
    <row r="230564" customFormat="1" x14ac:dyDescent="0.25"/>
    <row r="230565" customFormat="1" x14ac:dyDescent="0.25"/>
    <row r="230566" customFormat="1" x14ac:dyDescent="0.25"/>
    <row r="230567" customFormat="1" x14ac:dyDescent="0.25"/>
    <row r="230568" customFormat="1" x14ac:dyDescent="0.25"/>
    <row r="230569" customFormat="1" x14ac:dyDescent="0.25"/>
    <row r="230570" customFormat="1" x14ac:dyDescent="0.25"/>
    <row r="230571" customFormat="1" x14ac:dyDescent="0.25"/>
    <row r="230572" customFormat="1" x14ac:dyDescent="0.25"/>
    <row r="230573" customFormat="1" x14ac:dyDescent="0.25"/>
    <row r="230574" customFormat="1" x14ac:dyDescent="0.25"/>
    <row r="230575" customFormat="1" x14ac:dyDescent="0.25"/>
    <row r="230576" customFormat="1" x14ac:dyDescent="0.25"/>
    <row r="230577" customFormat="1" x14ac:dyDescent="0.25"/>
    <row r="230578" customFormat="1" x14ac:dyDescent="0.25"/>
    <row r="230579" customFormat="1" x14ac:dyDescent="0.25"/>
    <row r="230580" customFormat="1" x14ac:dyDescent="0.25"/>
    <row r="230581" customFormat="1" x14ac:dyDescent="0.25"/>
    <row r="230582" customFormat="1" x14ac:dyDescent="0.25"/>
    <row r="230583" customFormat="1" x14ac:dyDescent="0.25"/>
    <row r="230584" customFormat="1" x14ac:dyDescent="0.25"/>
    <row r="230585" customFormat="1" x14ac:dyDescent="0.25"/>
    <row r="230586" customFormat="1" x14ac:dyDescent="0.25"/>
    <row r="230587" customFormat="1" x14ac:dyDescent="0.25"/>
    <row r="230588" customFormat="1" x14ac:dyDescent="0.25"/>
    <row r="230589" customFormat="1" x14ac:dyDescent="0.25"/>
    <row r="230590" customFormat="1" x14ac:dyDescent="0.25"/>
    <row r="230591" customFormat="1" x14ac:dyDescent="0.25"/>
    <row r="230592" customFormat="1" x14ac:dyDescent="0.25"/>
    <row r="230593" customFormat="1" x14ac:dyDescent="0.25"/>
    <row r="230594" customFormat="1" x14ac:dyDescent="0.25"/>
    <row r="230595" customFormat="1" x14ac:dyDescent="0.25"/>
    <row r="230596" customFormat="1" x14ac:dyDescent="0.25"/>
    <row r="230597" customFormat="1" x14ac:dyDescent="0.25"/>
    <row r="230598" customFormat="1" x14ac:dyDescent="0.25"/>
    <row r="230599" customFormat="1" x14ac:dyDescent="0.25"/>
    <row r="230600" customFormat="1" x14ac:dyDescent="0.25"/>
    <row r="230601" customFormat="1" x14ac:dyDescent="0.25"/>
    <row r="230602" customFormat="1" x14ac:dyDescent="0.25"/>
    <row r="230603" customFormat="1" x14ac:dyDescent="0.25"/>
    <row r="230604" customFormat="1" x14ac:dyDescent="0.25"/>
    <row r="230605" customFormat="1" x14ac:dyDescent="0.25"/>
    <row r="230606" customFormat="1" x14ac:dyDescent="0.25"/>
    <row r="230607" customFormat="1" x14ac:dyDescent="0.25"/>
    <row r="230608" customFormat="1" x14ac:dyDescent="0.25"/>
    <row r="230609" customFormat="1" x14ac:dyDescent="0.25"/>
    <row r="230610" customFormat="1" x14ac:dyDescent="0.25"/>
    <row r="230611" customFormat="1" x14ac:dyDescent="0.25"/>
    <row r="230612" customFormat="1" x14ac:dyDescent="0.25"/>
    <row r="230613" customFormat="1" x14ac:dyDescent="0.25"/>
    <row r="230614" customFormat="1" x14ac:dyDescent="0.25"/>
    <row r="230615" customFormat="1" x14ac:dyDescent="0.25"/>
    <row r="230616" customFormat="1" x14ac:dyDescent="0.25"/>
    <row r="230617" customFormat="1" x14ac:dyDescent="0.25"/>
    <row r="230618" customFormat="1" x14ac:dyDescent="0.25"/>
    <row r="230619" customFormat="1" x14ac:dyDescent="0.25"/>
    <row r="230620" customFormat="1" x14ac:dyDescent="0.25"/>
    <row r="230621" customFormat="1" x14ac:dyDescent="0.25"/>
    <row r="230622" customFormat="1" x14ac:dyDescent="0.25"/>
    <row r="230623" customFormat="1" x14ac:dyDescent="0.25"/>
    <row r="230624" customFormat="1" x14ac:dyDescent="0.25"/>
    <row r="230625" customFormat="1" x14ac:dyDescent="0.25"/>
    <row r="230626" customFormat="1" x14ac:dyDescent="0.25"/>
    <row r="230627" customFormat="1" x14ac:dyDescent="0.25"/>
    <row r="230628" customFormat="1" x14ac:dyDescent="0.25"/>
    <row r="230629" customFormat="1" x14ac:dyDescent="0.25"/>
    <row r="230630" customFormat="1" x14ac:dyDescent="0.25"/>
    <row r="230631" customFormat="1" x14ac:dyDescent="0.25"/>
    <row r="230632" customFormat="1" x14ac:dyDescent="0.25"/>
    <row r="230633" customFormat="1" x14ac:dyDescent="0.25"/>
    <row r="230634" customFormat="1" x14ac:dyDescent="0.25"/>
    <row r="230635" customFormat="1" x14ac:dyDescent="0.25"/>
    <row r="230636" customFormat="1" x14ac:dyDescent="0.25"/>
    <row r="230637" customFormat="1" x14ac:dyDescent="0.25"/>
    <row r="230638" customFormat="1" x14ac:dyDescent="0.25"/>
    <row r="230639" customFormat="1" x14ac:dyDescent="0.25"/>
    <row r="230640" customFormat="1" x14ac:dyDescent="0.25"/>
    <row r="230641" customFormat="1" x14ac:dyDescent="0.25"/>
    <row r="230642" customFormat="1" x14ac:dyDescent="0.25"/>
    <row r="230643" customFormat="1" x14ac:dyDescent="0.25"/>
    <row r="230644" customFormat="1" x14ac:dyDescent="0.25"/>
    <row r="230645" customFormat="1" x14ac:dyDescent="0.25"/>
    <row r="230646" customFormat="1" x14ac:dyDescent="0.25"/>
    <row r="230647" customFormat="1" x14ac:dyDescent="0.25"/>
    <row r="230648" customFormat="1" x14ac:dyDescent="0.25"/>
    <row r="230649" customFormat="1" x14ac:dyDescent="0.25"/>
    <row r="230650" customFormat="1" x14ac:dyDescent="0.25"/>
    <row r="230651" customFormat="1" x14ac:dyDescent="0.25"/>
    <row r="230652" customFormat="1" x14ac:dyDescent="0.25"/>
    <row r="230653" customFormat="1" x14ac:dyDescent="0.25"/>
    <row r="230654" customFormat="1" x14ac:dyDescent="0.25"/>
    <row r="230655" customFormat="1" x14ac:dyDescent="0.25"/>
    <row r="230656" customFormat="1" x14ac:dyDescent="0.25"/>
    <row r="230657" customFormat="1" x14ac:dyDescent="0.25"/>
    <row r="230658" customFormat="1" x14ac:dyDescent="0.25"/>
    <row r="230659" customFormat="1" x14ac:dyDescent="0.25"/>
    <row r="230660" customFormat="1" x14ac:dyDescent="0.25"/>
    <row r="230661" customFormat="1" x14ac:dyDescent="0.25"/>
    <row r="230662" customFormat="1" x14ac:dyDescent="0.25"/>
    <row r="230663" customFormat="1" x14ac:dyDescent="0.25"/>
    <row r="230664" customFormat="1" x14ac:dyDescent="0.25"/>
    <row r="230665" customFormat="1" x14ac:dyDescent="0.25"/>
    <row r="230666" customFormat="1" x14ac:dyDescent="0.25"/>
    <row r="230667" customFormat="1" x14ac:dyDescent="0.25"/>
    <row r="230668" customFormat="1" x14ac:dyDescent="0.25"/>
    <row r="230669" customFormat="1" x14ac:dyDescent="0.25"/>
    <row r="230670" customFormat="1" x14ac:dyDescent="0.25"/>
    <row r="230671" customFormat="1" x14ac:dyDescent="0.25"/>
    <row r="230672" customFormat="1" x14ac:dyDescent="0.25"/>
    <row r="230673" customFormat="1" x14ac:dyDescent="0.25"/>
    <row r="230674" customFormat="1" x14ac:dyDescent="0.25"/>
    <row r="230675" customFormat="1" x14ac:dyDescent="0.25"/>
    <row r="230676" customFormat="1" x14ac:dyDescent="0.25"/>
    <row r="230677" customFormat="1" x14ac:dyDescent="0.25"/>
    <row r="230678" customFormat="1" x14ac:dyDescent="0.25"/>
    <row r="230679" customFormat="1" x14ac:dyDescent="0.25"/>
    <row r="230680" customFormat="1" x14ac:dyDescent="0.25"/>
    <row r="230681" customFormat="1" x14ac:dyDescent="0.25"/>
    <row r="230682" customFormat="1" x14ac:dyDescent="0.25"/>
    <row r="230683" customFormat="1" x14ac:dyDescent="0.25"/>
    <row r="230684" customFormat="1" x14ac:dyDescent="0.25"/>
    <row r="230685" customFormat="1" x14ac:dyDescent="0.25"/>
    <row r="230686" customFormat="1" x14ac:dyDescent="0.25"/>
    <row r="230687" customFormat="1" x14ac:dyDescent="0.25"/>
    <row r="230688" customFormat="1" x14ac:dyDescent="0.25"/>
    <row r="230689" customFormat="1" x14ac:dyDescent="0.25"/>
    <row r="230690" customFormat="1" x14ac:dyDescent="0.25"/>
    <row r="230691" customFormat="1" x14ac:dyDescent="0.25"/>
    <row r="230692" customFormat="1" x14ac:dyDescent="0.25"/>
    <row r="230693" customFormat="1" x14ac:dyDescent="0.25"/>
    <row r="230694" customFormat="1" x14ac:dyDescent="0.25"/>
    <row r="230695" customFormat="1" x14ac:dyDescent="0.25"/>
    <row r="230696" customFormat="1" x14ac:dyDescent="0.25"/>
    <row r="230697" customFormat="1" x14ac:dyDescent="0.25"/>
    <row r="230698" customFormat="1" x14ac:dyDescent="0.25"/>
    <row r="230699" customFormat="1" x14ac:dyDescent="0.25"/>
    <row r="230700" customFormat="1" x14ac:dyDescent="0.25"/>
    <row r="230701" customFormat="1" x14ac:dyDescent="0.25"/>
    <row r="230702" customFormat="1" x14ac:dyDescent="0.25"/>
    <row r="230703" customFormat="1" x14ac:dyDescent="0.25"/>
    <row r="230704" customFormat="1" x14ac:dyDescent="0.25"/>
    <row r="230705" customFormat="1" x14ac:dyDescent="0.25"/>
    <row r="230706" customFormat="1" x14ac:dyDescent="0.25"/>
    <row r="230707" customFormat="1" x14ac:dyDescent="0.25"/>
    <row r="230708" customFormat="1" x14ac:dyDescent="0.25"/>
    <row r="230709" customFormat="1" x14ac:dyDescent="0.25"/>
    <row r="230710" customFormat="1" x14ac:dyDescent="0.25"/>
    <row r="230711" customFormat="1" x14ac:dyDescent="0.25"/>
    <row r="230712" customFormat="1" x14ac:dyDescent="0.25"/>
    <row r="230713" customFormat="1" x14ac:dyDescent="0.25"/>
    <row r="230714" customFormat="1" x14ac:dyDescent="0.25"/>
    <row r="230715" customFormat="1" x14ac:dyDescent="0.25"/>
    <row r="230716" customFormat="1" x14ac:dyDescent="0.25"/>
    <row r="230717" customFormat="1" x14ac:dyDescent="0.25"/>
    <row r="230718" customFormat="1" x14ac:dyDescent="0.25"/>
    <row r="230719" customFormat="1" x14ac:dyDescent="0.25"/>
    <row r="230720" customFormat="1" x14ac:dyDescent="0.25"/>
    <row r="230721" customFormat="1" x14ac:dyDescent="0.25"/>
    <row r="230722" customFormat="1" x14ac:dyDescent="0.25"/>
    <row r="230723" customFormat="1" x14ac:dyDescent="0.25"/>
    <row r="230724" customFormat="1" x14ac:dyDescent="0.25"/>
    <row r="230725" customFormat="1" x14ac:dyDescent="0.25"/>
    <row r="230726" customFormat="1" x14ac:dyDescent="0.25"/>
    <row r="230727" customFormat="1" x14ac:dyDescent="0.25"/>
    <row r="230728" customFormat="1" x14ac:dyDescent="0.25"/>
    <row r="230729" customFormat="1" x14ac:dyDescent="0.25"/>
    <row r="230730" customFormat="1" x14ac:dyDescent="0.25"/>
    <row r="230731" customFormat="1" x14ac:dyDescent="0.25"/>
    <row r="230732" customFormat="1" x14ac:dyDescent="0.25"/>
    <row r="230733" customFormat="1" x14ac:dyDescent="0.25"/>
    <row r="230734" customFormat="1" x14ac:dyDescent="0.25"/>
    <row r="230735" customFormat="1" x14ac:dyDescent="0.25"/>
    <row r="230736" customFormat="1" x14ac:dyDescent="0.25"/>
    <row r="230737" customFormat="1" x14ac:dyDescent="0.25"/>
    <row r="230738" customFormat="1" x14ac:dyDescent="0.25"/>
    <row r="230739" customFormat="1" x14ac:dyDescent="0.25"/>
    <row r="230740" customFormat="1" x14ac:dyDescent="0.25"/>
    <row r="230741" customFormat="1" x14ac:dyDescent="0.25"/>
    <row r="230742" customFormat="1" x14ac:dyDescent="0.25"/>
    <row r="230743" customFormat="1" x14ac:dyDescent="0.25"/>
    <row r="230744" customFormat="1" x14ac:dyDescent="0.25"/>
    <row r="230745" customFormat="1" x14ac:dyDescent="0.25"/>
    <row r="230746" customFormat="1" x14ac:dyDescent="0.25"/>
    <row r="230747" customFormat="1" x14ac:dyDescent="0.25"/>
    <row r="230748" customFormat="1" x14ac:dyDescent="0.25"/>
    <row r="230749" customFormat="1" x14ac:dyDescent="0.25"/>
    <row r="230750" customFormat="1" x14ac:dyDescent="0.25"/>
    <row r="230751" customFormat="1" x14ac:dyDescent="0.25"/>
    <row r="230752" customFormat="1" x14ac:dyDescent="0.25"/>
    <row r="230753" customFormat="1" x14ac:dyDescent="0.25"/>
    <row r="230754" customFormat="1" x14ac:dyDescent="0.25"/>
    <row r="230755" customFormat="1" x14ac:dyDescent="0.25"/>
    <row r="230756" customFormat="1" x14ac:dyDescent="0.25"/>
    <row r="230757" customFormat="1" x14ac:dyDescent="0.25"/>
    <row r="230758" customFormat="1" x14ac:dyDescent="0.25"/>
    <row r="230759" customFormat="1" x14ac:dyDescent="0.25"/>
    <row r="230760" customFormat="1" x14ac:dyDescent="0.25"/>
    <row r="230761" customFormat="1" x14ac:dyDescent="0.25"/>
    <row r="230762" customFormat="1" x14ac:dyDescent="0.25"/>
    <row r="230763" customFormat="1" x14ac:dyDescent="0.25"/>
    <row r="230764" customFormat="1" x14ac:dyDescent="0.25"/>
    <row r="230765" customFormat="1" x14ac:dyDescent="0.25"/>
    <row r="230766" customFormat="1" x14ac:dyDescent="0.25"/>
    <row r="230767" customFormat="1" x14ac:dyDescent="0.25"/>
    <row r="230768" customFormat="1" x14ac:dyDescent="0.25"/>
    <row r="230769" customFormat="1" x14ac:dyDescent="0.25"/>
    <row r="230770" customFormat="1" x14ac:dyDescent="0.25"/>
    <row r="230771" customFormat="1" x14ac:dyDescent="0.25"/>
    <row r="230772" customFormat="1" x14ac:dyDescent="0.25"/>
    <row r="230773" customFormat="1" x14ac:dyDescent="0.25"/>
    <row r="230774" customFormat="1" x14ac:dyDescent="0.25"/>
    <row r="230775" customFormat="1" x14ac:dyDescent="0.25"/>
    <row r="230776" customFormat="1" x14ac:dyDescent="0.25"/>
    <row r="230777" customFormat="1" x14ac:dyDescent="0.25"/>
    <row r="230778" customFormat="1" x14ac:dyDescent="0.25"/>
    <row r="230779" customFormat="1" x14ac:dyDescent="0.25"/>
    <row r="230780" customFormat="1" x14ac:dyDescent="0.25"/>
    <row r="230781" customFormat="1" x14ac:dyDescent="0.25"/>
    <row r="230782" customFormat="1" x14ac:dyDescent="0.25"/>
    <row r="230783" customFormat="1" x14ac:dyDescent="0.25"/>
    <row r="230784" customFormat="1" x14ac:dyDescent="0.25"/>
    <row r="230785" customFormat="1" x14ac:dyDescent="0.25"/>
    <row r="230786" customFormat="1" x14ac:dyDescent="0.25"/>
    <row r="230787" customFormat="1" x14ac:dyDescent="0.25"/>
    <row r="230788" customFormat="1" x14ac:dyDescent="0.25"/>
    <row r="230789" customFormat="1" x14ac:dyDescent="0.25"/>
    <row r="230790" customFormat="1" x14ac:dyDescent="0.25"/>
    <row r="230791" customFormat="1" x14ac:dyDescent="0.25"/>
    <row r="230792" customFormat="1" x14ac:dyDescent="0.25"/>
    <row r="230793" customFormat="1" x14ac:dyDescent="0.25"/>
    <row r="230794" customFormat="1" x14ac:dyDescent="0.25"/>
    <row r="230795" customFormat="1" x14ac:dyDescent="0.25"/>
    <row r="230796" customFormat="1" x14ac:dyDescent="0.25"/>
    <row r="230797" customFormat="1" x14ac:dyDescent="0.25"/>
    <row r="230798" customFormat="1" x14ac:dyDescent="0.25"/>
    <row r="230799" customFormat="1" x14ac:dyDescent="0.25"/>
    <row r="230800" customFormat="1" x14ac:dyDescent="0.25"/>
    <row r="230801" customFormat="1" x14ac:dyDescent="0.25"/>
    <row r="230802" customFormat="1" x14ac:dyDescent="0.25"/>
    <row r="230803" customFormat="1" x14ac:dyDescent="0.25"/>
    <row r="230804" customFormat="1" x14ac:dyDescent="0.25"/>
    <row r="230805" customFormat="1" x14ac:dyDescent="0.25"/>
    <row r="230806" customFormat="1" x14ac:dyDescent="0.25"/>
    <row r="230807" customFormat="1" x14ac:dyDescent="0.25"/>
    <row r="230808" customFormat="1" x14ac:dyDescent="0.25"/>
    <row r="230809" customFormat="1" x14ac:dyDescent="0.25"/>
    <row r="230810" customFormat="1" x14ac:dyDescent="0.25"/>
    <row r="230811" customFormat="1" x14ac:dyDescent="0.25"/>
    <row r="230812" customFormat="1" x14ac:dyDescent="0.25"/>
    <row r="230813" customFormat="1" x14ac:dyDescent="0.25"/>
    <row r="230814" customFormat="1" x14ac:dyDescent="0.25"/>
    <row r="230815" customFormat="1" x14ac:dyDescent="0.25"/>
    <row r="230816" customFormat="1" x14ac:dyDescent="0.25"/>
    <row r="230817" customFormat="1" x14ac:dyDescent="0.25"/>
    <row r="230818" customFormat="1" x14ac:dyDescent="0.25"/>
    <row r="230819" customFormat="1" x14ac:dyDescent="0.25"/>
    <row r="230820" customFormat="1" x14ac:dyDescent="0.25"/>
    <row r="230821" customFormat="1" x14ac:dyDescent="0.25"/>
    <row r="230822" customFormat="1" x14ac:dyDescent="0.25"/>
    <row r="230823" customFormat="1" x14ac:dyDescent="0.25"/>
    <row r="230824" customFormat="1" x14ac:dyDescent="0.25"/>
    <row r="230825" customFormat="1" x14ac:dyDescent="0.25"/>
    <row r="230826" customFormat="1" x14ac:dyDescent="0.25"/>
    <row r="230827" customFormat="1" x14ac:dyDescent="0.25"/>
    <row r="230828" customFormat="1" x14ac:dyDescent="0.25"/>
    <row r="230829" customFormat="1" x14ac:dyDescent="0.25"/>
    <row r="230830" customFormat="1" x14ac:dyDescent="0.25"/>
    <row r="230831" customFormat="1" x14ac:dyDescent="0.25"/>
    <row r="230832" customFormat="1" x14ac:dyDescent="0.25"/>
    <row r="230833" customFormat="1" x14ac:dyDescent="0.25"/>
    <row r="230834" customFormat="1" x14ac:dyDescent="0.25"/>
    <row r="230835" customFormat="1" x14ac:dyDescent="0.25"/>
    <row r="230836" customFormat="1" x14ac:dyDescent="0.25"/>
    <row r="230837" customFormat="1" x14ac:dyDescent="0.25"/>
    <row r="230838" customFormat="1" x14ac:dyDescent="0.25"/>
    <row r="230839" customFormat="1" x14ac:dyDescent="0.25"/>
    <row r="230840" customFormat="1" x14ac:dyDescent="0.25"/>
    <row r="230841" customFormat="1" x14ac:dyDescent="0.25"/>
    <row r="230842" customFormat="1" x14ac:dyDescent="0.25"/>
    <row r="230843" customFormat="1" x14ac:dyDescent="0.25"/>
    <row r="230844" customFormat="1" x14ac:dyDescent="0.25"/>
    <row r="230845" customFormat="1" x14ac:dyDescent="0.25"/>
    <row r="230846" customFormat="1" x14ac:dyDescent="0.25"/>
    <row r="230847" customFormat="1" x14ac:dyDescent="0.25"/>
    <row r="230848" customFormat="1" x14ac:dyDescent="0.25"/>
    <row r="230849" customFormat="1" x14ac:dyDescent="0.25"/>
    <row r="230850" customFormat="1" x14ac:dyDescent="0.25"/>
    <row r="230851" customFormat="1" x14ac:dyDescent="0.25"/>
    <row r="230852" customFormat="1" x14ac:dyDescent="0.25"/>
    <row r="230853" customFormat="1" x14ac:dyDescent="0.25"/>
    <row r="230854" customFormat="1" x14ac:dyDescent="0.25"/>
    <row r="230855" customFormat="1" x14ac:dyDescent="0.25"/>
    <row r="230856" customFormat="1" x14ac:dyDescent="0.25"/>
    <row r="230857" customFormat="1" x14ac:dyDescent="0.25"/>
    <row r="230858" customFormat="1" x14ac:dyDescent="0.25"/>
    <row r="230859" customFormat="1" x14ac:dyDescent="0.25"/>
    <row r="230860" customFormat="1" x14ac:dyDescent="0.25"/>
    <row r="230861" customFormat="1" x14ac:dyDescent="0.25"/>
    <row r="230862" customFormat="1" x14ac:dyDescent="0.25"/>
    <row r="230863" customFormat="1" x14ac:dyDescent="0.25"/>
    <row r="230864" customFormat="1" x14ac:dyDescent="0.25"/>
    <row r="230865" customFormat="1" x14ac:dyDescent="0.25"/>
    <row r="230866" customFormat="1" x14ac:dyDescent="0.25"/>
    <row r="230867" customFormat="1" x14ac:dyDescent="0.25"/>
    <row r="230868" customFormat="1" x14ac:dyDescent="0.25"/>
    <row r="230869" customFormat="1" x14ac:dyDescent="0.25"/>
    <row r="230870" customFormat="1" x14ac:dyDescent="0.25"/>
    <row r="230871" customFormat="1" x14ac:dyDescent="0.25"/>
    <row r="230872" customFormat="1" x14ac:dyDescent="0.25"/>
    <row r="230873" customFormat="1" x14ac:dyDescent="0.25"/>
    <row r="230874" customFormat="1" x14ac:dyDescent="0.25"/>
    <row r="230875" customFormat="1" x14ac:dyDescent="0.25"/>
    <row r="230876" customFormat="1" x14ac:dyDescent="0.25"/>
    <row r="230877" customFormat="1" x14ac:dyDescent="0.25"/>
    <row r="230878" customFormat="1" x14ac:dyDescent="0.25"/>
    <row r="230879" customFormat="1" x14ac:dyDescent="0.25"/>
    <row r="230880" customFormat="1" x14ac:dyDescent="0.25"/>
    <row r="230881" customFormat="1" x14ac:dyDescent="0.25"/>
    <row r="230882" customFormat="1" x14ac:dyDescent="0.25"/>
    <row r="230883" customFormat="1" x14ac:dyDescent="0.25"/>
    <row r="230884" customFormat="1" x14ac:dyDescent="0.25"/>
    <row r="230885" customFormat="1" x14ac:dyDescent="0.25"/>
    <row r="230886" customFormat="1" x14ac:dyDescent="0.25"/>
    <row r="230887" customFormat="1" x14ac:dyDescent="0.25"/>
    <row r="230888" customFormat="1" x14ac:dyDescent="0.25"/>
    <row r="230889" customFormat="1" x14ac:dyDescent="0.25"/>
    <row r="230890" customFormat="1" x14ac:dyDescent="0.25"/>
    <row r="230891" customFormat="1" x14ac:dyDescent="0.25"/>
    <row r="230892" customFormat="1" x14ac:dyDescent="0.25"/>
    <row r="230893" customFormat="1" x14ac:dyDescent="0.25"/>
    <row r="230894" customFormat="1" x14ac:dyDescent="0.25"/>
    <row r="230895" customFormat="1" x14ac:dyDescent="0.25"/>
    <row r="230896" customFormat="1" x14ac:dyDescent="0.25"/>
    <row r="230897" customFormat="1" x14ac:dyDescent="0.25"/>
    <row r="230898" customFormat="1" x14ac:dyDescent="0.25"/>
    <row r="230899" customFormat="1" x14ac:dyDescent="0.25"/>
    <row r="230900" customFormat="1" x14ac:dyDescent="0.25"/>
    <row r="230901" customFormat="1" x14ac:dyDescent="0.25"/>
    <row r="230902" customFormat="1" x14ac:dyDescent="0.25"/>
    <row r="230903" customFormat="1" x14ac:dyDescent="0.25"/>
    <row r="230904" customFormat="1" x14ac:dyDescent="0.25"/>
    <row r="230905" customFormat="1" x14ac:dyDescent="0.25"/>
    <row r="230906" customFormat="1" x14ac:dyDescent="0.25"/>
    <row r="230907" customFormat="1" x14ac:dyDescent="0.25"/>
    <row r="230908" customFormat="1" x14ac:dyDescent="0.25"/>
    <row r="230909" customFormat="1" x14ac:dyDescent="0.25"/>
    <row r="230910" customFormat="1" x14ac:dyDescent="0.25"/>
    <row r="230911" customFormat="1" x14ac:dyDescent="0.25"/>
    <row r="230912" customFormat="1" x14ac:dyDescent="0.25"/>
    <row r="230913" customFormat="1" x14ac:dyDescent="0.25"/>
    <row r="230914" customFormat="1" x14ac:dyDescent="0.25"/>
    <row r="230915" customFormat="1" x14ac:dyDescent="0.25"/>
    <row r="230916" customFormat="1" x14ac:dyDescent="0.25"/>
    <row r="230917" customFormat="1" x14ac:dyDescent="0.25"/>
    <row r="230918" customFormat="1" x14ac:dyDescent="0.25"/>
    <row r="230919" customFormat="1" x14ac:dyDescent="0.25"/>
    <row r="230920" customFormat="1" x14ac:dyDescent="0.25"/>
    <row r="230921" customFormat="1" x14ac:dyDescent="0.25"/>
    <row r="230922" customFormat="1" x14ac:dyDescent="0.25"/>
    <row r="230923" customFormat="1" x14ac:dyDescent="0.25"/>
    <row r="230924" customFormat="1" x14ac:dyDescent="0.25"/>
    <row r="230925" customFormat="1" x14ac:dyDescent="0.25"/>
    <row r="230926" customFormat="1" x14ac:dyDescent="0.25"/>
    <row r="230927" customFormat="1" x14ac:dyDescent="0.25"/>
    <row r="230928" customFormat="1" x14ac:dyDescent="0.25"/>
    <row r="230929" customFormat="1" x14ac:dyDescent="0.25"/>
    <row r="230930" customFormat="1" x14ac:dyDescent="0.25"/>
    <row r="230931" customFormat="1" x14ac:dyDescent="0.25"/>
    <row r="230932" customFormat="1" x14ac:dyDescent="0.25"/>
    <row r="230933" customFormat="1" x14ac:dyDescent="0.25"/>
    <row r="230934" customFormat="1" x14ac:dyDescent="0.25"/>
    <row r="230935" customFormat="1" x14ac:dyDescent="0.25"/>
    <row r="230936" customFormat="1" x14ac:dyDescent="0.25"/>
    <row r="230937" customFormat="1" x14ac:dyDescent="0.25"/>
    <row r="230938" customFormat="1" x14ac:dyDescent="0.25"/>
    <row r="230939" customFormat="1" x14ac:dyDescent="0.25"/>
    <row r="230940" customFormat="1" x14ac:dyDescent="0.25"/>
    <row r="230941" customFormat="1" x14ac:dyDescent="0.25"/>
    <row r="230942" customFormat="1" x14ac:dyDescent="0.25"/>
    <row r="230943" customFormat="1" x14ac:dyDescent="0.25"/>
    <row r="230944" customFormat="1" x14ac:dyDescent="0.25"/>
    <row r="230945" customFormat="1" x14ac:dyDescent="0.25"/>
    <row r="230946" customFormat="1" x14ac:dyDescent="0.25"/>
    <row r="230947" customFormat="1" x14ac:dyDescent="0.25"/>
    <row r="230948" customFormat="1" x14ac:dyDescent="0.25"/>
    <row r="230949" customFormat="1" x14ac:dyDescent="0.25"/>
    <row r="230950" customFormat="1" x14ac:dyDescent="0.25"/>
    <row r="230951" customFormat="1" x14ac:dyDescent="0.25"/>
    <row r="230952" customFormat="1" x14ac:dyDescent="0.25"/>
    <row r="230953" customFormat="1" x14ac:dyDescent="0.25"/>
    <row r="230954" customFormat="1" x14ac:dyDescent="0.25"/>
    <row r="230955" customFormat="1" x14ac:dyDescent="0.25"/>
    <row r="230956" customFormat="1" x14ac:dyDescent="0.25"/>
    <row r="230957" customFormat="1" x14ac:dyDescent="0.25"/>
    <row r="230958" customFormat="1" x14ac:dyDescent="0.25"/>
    <row r="230959" customFormat="1" x14ac:dyDescent="0.25"/>
    <row r="230960" customFormat="1" x14ac:dyDescent="0.25"/>
    <row r="230961" customFormat="1" x14ac:dyDescent="0.25"/>
    <row r="230962" customFormat="1" x14ac:dyDescent="0.25"/>
    <row r="230963" customFormat="1" x14ac:dyDescent="0.25"/>
    <row r="230964" customFormat="1" x14ac:dyDescent="0.25"/>
    <row r="230965" customFormat="1" x14ac:dyDescent="0.25"/>
    <row r="230966" customFormat="1" x14ac:dyDescent="0.25"/>
    <row r="230967" customFormat="1" x14ac:dyDescent="0.25"/>
    <row r="230968" customFormat="1" x14ac:dyDescent="0.25"/>
    <row r="230969" customFormat="1" x14ac:dyDescent="0.25"/>
    <row r="230970" customFormat="1" x14ac:dyDescent="0.25"/>
    <row r="230971" customFormat="1" x14ac:dyDescent="0.25"/>
    <row r="230972" customFormat="1" x14ac:dyDescent="0.25"/>
    <row r="230973" customFormat="1" x14ac:dyDescent="0.25"/>
    <row r="230974" customFormat="1" x14ac:dyDescent="0.25"/>
    <row r="230975" customFormat="1" x14ac:dyDescent="0.25"/>
    <row r="230976" customFormat="1" x14ac:dyDescent="0.25"/>
    <row r="230977" customFormat="1" x14ac:dyDescent="0.25"/>
    <row r="230978" customFormat="1" x14ac:dyDescent="0.25"/>
    <row r="230979" customFormat="1" x14ac:dyDescent="0.25"/>
    <row r="230980" customFormat="1" x14ac:dyDescent="0.25"/>
    <row r="230981" customFormat="1" x14ac:dyDescent="0.25"/>
    <row r="230982" customFormat="1" x14ac:dyDescent="0.25"/>
    <row r="230983" customFormat="1" x14ac:dyDescent="0.25"/>
    <row r="230984" customFormat="1" x14ac:dyDescent="0.25"/>
    <row r="230985" customFormat="1" x14ac:dyDescent="0.25"/>
    <row r="230986" customFormat="1" x14ac:dyDescent="0.25"/>
    <row r="230987" customFormat="1" x14ac:dyDescent="0.25"/>
    <row r="230988" customFormat="1" x14ac:dyDescent="0.25"/>
    <row r="230989" customFormat="1" x14ac:dyDescent="0.25"/>
    <row r="230990" customFormat="1" x14ac:dyDescent="0.25"/>
    <row r="230991" customFormat="1" x14ac:dyDescent="0.25"/>
    <row r="230992" customFormat="1" x14ac:dyDescent="0.25"/>
    <row r="230993" customFormat="1" x14ac:dyDescent="0.25"/>
    <row r="230994" customFormat="1" x14ac:dyDescent="0.25"/>
    <row r="230995" customFormat="1" x14ac:dyDescent="0.25"/>
    <row r="230996" customFormat="1" x14ac:dyDescent="0.25"/>
    <row r="230997" customFormat="1" x14ac:dyDescent="0.25"/>
    <row r="230998" customFormat="1" x14ac:dyDescent="0.25"/>
    <row r="230999" customFormat="1" x14ac:dyDescent="0.25"/>
    <row r="231000" customFormat="1" x14ac:dyDescent="0.25"/>
    <row r="231001" customFormat="1" x14ac:dyDescent="0.25"/>
    <row r="231002" customFormat="1" x14ac:dyDescent="0.25"/>
    <row r="231003" customFormat="1" x14ac:dyDescent="0.25"/>
    <row r="231004" customFormat="1" x14ac:dyDescent="0.25"/>
    <row r="231005" customFormat="1" x14ac:dyDescent="0.25"/>
    <row r="231006" customFormat="1" x14ac:dyDescent="0.25"/>
    <row r="231007" customFormat="1" x14ac:dyDescent="0.25"/>
    <row r="231008" customFormat="1" x14ac:dyDescent="0.25"/>
    <row r="231009" customFormat="1" x14ac:dyDescent="0.25"/>
    <row r="231010" customFormat="1" x14ac:dyDescent="0.25"/>
    <row r="231011" customFormat="1" x14ac:dyDescent="0.25"/>
    <row r="231012" customFormat="1" x14ac:dyDescent="0.25"/>
    <row r="231013" customFormat="1" x14ac:dyDescent="0.25"/>
    <row r="231014" customFormat="1" x14ac:dyDescent="0.25"/>
    <row r="231015" customFormat="1" x14ac:dyDescent="0.25"/>
    <row r="231016" customFormat="1" x14ac:dyDescent="0.25"/>
    <row r="231017" customFormat="1" x14ac:dyDescent="0.25"/>
    <row r="231018" customFormat="1" x14ac:dyDescent="0.25"/>
    <row r="231019" customFormat="1" x14ac:dyDescent="0.25"/>
    <row r="231020" customFormat="1" x14ac:dyDescent="0.25"/>
    <row r="231021" customFormat="1" x14ac:dyDescent="0.25"/>
    <row r="231022" customFormat="1" x14ac:dyDescent="0.25"/>
    <row r="231023" customFormat="1" x14ac:dyDescent="0.25"/>
    <row r="231024" customFormat="1" x14ac:dyDescent="0.25"/>
    <row r="231025" customFormat="1" x14ac:dyDescent="0.25"/>
    <row r="231026" customFormat="1" x14ac:dyDescent="0.25"/>
    <row r="231027" customFormat="1" x14ac:dyDescent="0.25"/>
    <row r="231028" customFormat="1" x14ac:dyDescent="0.25"/>
    <row r="231029" customFormat="1" x14ac:dyDescent="0.25"/>
    <row r="231030" customFormat="1" x14ac:dyDescent="0.25"/>
    <row r="231031" customFormat="1" x14ac:dyDescent="0.25"/>
    <row r="231032" customFormat="1" x14ac:dyDescent="0.25"/>
    <row r="231033" customFormat="1" x14ac:dyDescent="0.25"/>
    <row r="231034" customFormat="1" x14ac:dyDescent="0.25"/>
    <row r="231035" customFormat="1" x14ac:dyDescent="0.25"/>
    <row r="231036" customFormat="1" x14ac:dyDescent="0.25"/>
    <row r="231037" customFormat="1" x14ac:dyDescent="0.25"/>
    <row r="231038" customFormat="1" x14ac:dyDescent="0.25"/>
    <row r="231039" customFormat="1" x14ac:dyDescent="0.25"/>
    <row r="231040" customFormat="1" x14ac:dyDescent="0.25"/>
    <row r="231041" customFormat="1" x14ac:dyDescent="0.25"/>
    <row r="231042" customFormat="1" x14ac:dyDescent="0.25"/>
    <row r="231043" customFormat="1" x14ac:dyDescent="0.25"/>
    <row r="231044" customFormat="1" x14ac:dyDescent="0.25"/>
    <row r="231045" customFormat="1" x14ac:dyDescent="0.25"/>
    <row r="231046" customFormat="1" x14ac:dyDescent="0.25"/>
    <row r="231047" customFormat="1" x14ac:dyDescent="0.25"/>
    <row r="231048" customFormat="1" x14ac:dyDescent="0.25"/>
    <row r="231049" customFormat="1" x14ac:dyDescent="0.25"/>
    <row r="231050" customFormat="1" x14ac:dyDescent="0.25"/>
    <row r="231051" customFormat="1" x14ac:dyDescent="0.25"/>
    <row r="231052" customFormat="1" x14ac:dyDescent="0.25"/>
    <row r="231053" customFormat="1" x14ac:dyDescent="0.25"/>
    <row r="231054" customFormat="1" x14ac:dyDescent="0.25"/>
    <row r="231055" customFormat="1" x14ac:dyDescent="0.25"/>
    <row r="231056" customFormat="1" x14ac:dyDescent="0.25"/>
    <row r="231057" customFormat="1" x14ac:dyDescent="0.25"/>
    <row r="231058" customFormat="1" x14ac:dyDescent="0.25"/>
    <row r="231059" customFormat="1" x14ac:dyDescent="0.25"/>
    <row r="231060" customFormat="1" x14ac:dyDescent="0.25"/>
    <row r="231061" customFormat="1" x14ac:dyDescent="0.25"/>
    <row r="231062" customFormat="1" x14ac:dyDescent="0.25"/>
    <row r="231063" customFormat="1" x14ac:dyDescent="0.25"/>
    <row r="231064" customFormat="1" x14ac:dyDescent="0.25"/>
    <row r="231065" customFormat="1" x14ac:dyDescent="0.25"/>
    <row r="231066" customFormat="1" x14ac:dyDescent="0.25"/>
    <row r="231067" customFormat="1" x14ac:dyDescent="0.25"/>
    <row r="231068" customFormat="1" x14ac:dyDescent="0.25"/>
    <row r="231069" customFormat="1" x14ac:dyDescent="0.25"/>
    <row r="231070" customFormat="1" x14ac:dyDescent="0.25"/>
    <row r="231071" customFormat="1" x14ac:dyDescent="0.25"/>
    <row r="231072" customFormat="1" x14ac:dyDescent="0.25"/>
    <row r="231073" customFormat="1" x14ac:dyDescent="0.25"/>
    <row r="231074" customFormat="1" x14ac:dyDescent="0.25"/>
    <row r="231075" customFormat="1" x14ac:dyDescent="0.25"/>
    <row r="231076" customFormat="1" x14ac:dyDescent="0.25"/>
    <row r="231077" customFormat="1" x14ac:dyDescent="0.25"/>
    <row r="231078" customFormat="1" x14ac:dyDescent="0.25"/>
    <row r="231079" customFormat="1" x14ac:dyDescent="0.25"/>
    <row r="231080" customFormat="1" x14ac:dyDescent="0.25"/>
    <row r="231081" customFormat="1" x14ac:dyDescent="0.25"/>
    <row r="231082" customFormat="1" x14ac:dyDescent="0.25"/>
    <row r="231083" customFormat="1" x14ac:dyDescent="0.25"/>
    <row r="231084" customFormat="1" x14ac:dyDescent="0.25"/>
    <row r="231085" customFormat="1" x14ac:dyDescent="0.25"/>
    <row r="231086" customFormat="1" x14ac:dyDescent="0.25"/>
    <row r="231087" customFormat="1" x14ac:dyDescent="0.25"/>
    <row r="231088" customFormat="1" x14ac:dyDescent="0.25"/>
    <row r="231089" customFormat="1" x14ac:dyDescent="0.25"/>
    <row r="231090" customFormat="1" x14ac:dyDescent="0.25"/>
    <row r="231091" customFormat="1" x14ac:dyDescent="0.25"/>
    <row r="231092" customFormat="1" x14ac:dyDescent="0.25"/>
    <row r="231093" customFormat="1" x14ac:dyDescent="0.25"/>
    <row r="231094" customFormat="1" x14ac:dyDescent="0.25"/>
    <row r="231095" customFormat="1" x14ac:dyDescent="0.25"/>
    <row r="231096" customFormat="1" x14ac:dyDescent="0.25"/>
    <row r="231097" customFormat="1" x14ac:dyDescent="0.25"/>
    <row r="231098" customFormat="1" x14ac:dyDescent="0.25"/>
    <row r="231099" customFormat="1" x14ac:dyDescent="0.25"/>
    <row r="231100" customFormat="1" x14ac:dyDescent="0.25"/>
    <row r="231101" customFormat="1" x14ac:dyDescent="0.25"/>
    <row r="231102" customFormat="1" x14ac:dyDescent="0.25"/>
    <row r="231103" customFormat="1" x14ac:dyDescent="0.25"/>
    <row r="231104" customFormat="1" x14ac:dyDescent="0.25"/>
    <row r="231105" customFormat="1" x14ac:dyDescent="0.25"/>
    <row r="231106" customFormat="1" x14ac:dyDescent="0.25"/>
    <row r="231107" customFormat="1" x14ac:dyDescent="0.25"/>
    <row r="231108" customFormat="1" x14ac:dyDescent="0.25"/>
    <row r="231109" customFormat="1" x14ac:dyDescent="0.25"/>
    <row r="231110" customFormat="1" x14ac:dyDescent="0.25"/>
    <row r="231111" customFormat="1" x14ac:dyDescent="0.25"/>
    <row r="231112" customFormat="1" x14ac:dyDescent="0.25"/>
    <row r="231113" customFormat="1" x14ac:dyDescent="0.25"/>
    <row r="231114" customFormat="1" x14ac:dyDescent="0.25"/>
    <row r="231115" customFormat="1" x14ac:dyDescent="0.25"/>
    <row r="231116" customFormat="1" x14ac:dyDescent="0.25"/>
    <row r="231117" customFormat="1" x14ac:dyDescent="0.25"/>
    <row r="231118" customFormat="1" x14ac:dyDescent="0.25"/>
    <row r="231119" customFormat="1" x14ac:dyDescent="0.25"/>
    <row r="231120" customFormat="1" x14ac:dyDescent="0.25"/>
    <row r="231121" customFormat="1" x14ac:dyDescent="0.25"/>
    <row r="231122" customFormat="1" x14ac:dyDescent="0.25"/>
    <row r="231123" customFormat="1" x14ac:dyDescent="0.25"/>
    <row r="231124" customFormat="1" x14ac:dyDescent="0.25"/>
    <row r="231125" customFormat="1" x14ac:dyDescent="0.25"/>
    <row r="231126" customFormat="1" x14ac:dyDescent="0.25"/>
    <row r="231127" customFormat="1" x14ac:dyDescent="0.25"/>
    <row r="231128" customFormat="1" x14ac:dyDescent="0.25"/>
    <row r="231129" customFormat="1" x14ac:dyDescent="0.25"/>
    <row r="231130" customFormat="1" x14ac:dyDescent="0.25"/>
    <row r="231131" customFormat="1" x14ac:dyDescent="0.25"/>
    <row r="231132" customFormat="1" x14ac:dyDescent="0.25"/>
    <row r="231133" customFormat="1" x14ac:dyDescent="0.25"/>
    <row r="231134" customFormat="1" x14ac:dyDescent="0.25"/>
    <row r="231135" customFormat="1" x14ac:dyDescent="0.25"/>
    <row r="231136" customFormat="1" x14ac:dyDescent="0.25"/>
    <row r="231137" customFormat="1" x14ac:dyDescent="0.25"/>
    <row r="231138" customFormat="1" x14ac:dyDescent="0.25"/>
    <row r="231139" customFormat="1" x14ac:dyDescent="0.25"/>
    <row r="231140" customFormat="1" x14ac:dyDescent="0.25"/>
    <row r="231141" customFormat="1" x14ac:dyDescent="0.25"/>
    <row r="231142" customFormat="1" x14ac:dyDescent="0.25"/>
    <row r="231143" customFormat="1" x14ac:dyDescent="0.25"/>
    <row r="231144" customFormat="1" x14ac:dyDescent="0.25"/>
    <row r="231145" customFormat="1" x14ac:dyDescent="0.25"/>
    <row r="231146" customFormat="1" x14ac:dyDescent="0.25"/>
    <row r="231147" customFormat="1" x14ac:dyDescent="0.25"/>
    <row r="231148" customFormat="1" x14ac:dyDescent="0.25"/>
    <row r="231149" customFormat="1" x14ac:dyDescent="0.25"/>
    <row r="231150" customFormat="1" x14ac:dyDescent="0.25"/>
    <row r="231151" customFormat="1" x14ac:dyDescent="0.25"/>
    <row r="231152" customFormat="1" x14ac:dyDescent="0.25"/>
    <row r="231153" customFormat="1" x14ac:dyDescent="0.25"/>
    <row r="231154" customFormat="1" x14ac:dyDescent="0.25"/>
    <row r="231155" customFormat="1" x14ac:dyDescent="0.25"/>
    <row r="231156" customFormat="1" x14ac:dyDescent="0.25"/>
    <row r="231157" customFormat="1" x14ac:dyDescent="0.25"/>
    <row r="231158" customFormat="1" x14ac:dyDescent="0.25"/>
    <row r="231159" customFormat="1" x14ac:dyDescent="0.25"/>
    <row r="231160" customFormat="1" x14ac:dyDescent="0.25"/>
    <row r="231161" customFormat="1" x14ac:dyDescent="0.25"/>
    <row r="231162" customFormat="1" x14ac:dyDescent="0.25"/>
    <row r="231163" customFormat="1" x14ac:dyDescent="0.25"/>
    <row r="231164" customFormat="1" x14ac:dyDescent="0.25"/>
    <row r="231165" customFormat="1" x14ac:dyDescent="0.25"/>
    <row r="231166" customFormat="1" x14ac:dyDescent="0.25"/>
    <row r="231167" customFormat="1" x14ac:dyDescent="0.25"/>
    <row r="231168" customFormat="1" x14ac:dyDescent="0.25"/>
    <row r="231169" customFormat="1" x14ac:dyDescent="0.25"/>
    <row r="231170" customFormat="1" x14ac:dyDescent="0.25"/>
    <row r="231171" customFormat="1" x14ac:dyDescent="0.25"/>
    <row r="231172" customFormat="1" x14ac:dyDescent="0.25"/>
    <row r="231173" customFormat="1" x14ac:dyDescent="0.25"/>
    <row r="231174" customFormat="1" x14ac:dyDescent="0.25"/>
    <row r="231175" customFormat="1" x14ac:dyDescent="0.25"/>
    <row r="231176" customFormat="1" x14ac:dyDescent="0.25"/>
    <row r="231177" customFormat="1" x14ac:dyDescent="0.25"/>
    <row r="231178" customFormat="1" x14ac:dyDescent="0.25"/>
    <row r="231179" customFormat="1" x14ac:dyDescent="0.25"/>
    <row r="231180" customFormat="1" x14ac:dyDescent="0.25"/>
    <row r="231181" customFormat="1" x14ac:dyDescent="0.25"/>
    <row r="231182" customFormat="1" x14ac:dyDescent="0.25"/>
    <row r="231183" customFormat="1" x14ac:dyDescent="0.25"/>
    <row r="231184" customFormat="1" x14ac:dyDescent="0.25"/>
    <row r="231185" customFormat="1" x14ac:dyDescent="0.25"/>
    <row r="231186" customFormat="1" x14ac:dyDescent="0.25"/>
    <row r="231187" customFormat="1" x14ac:dyDescent="0.25"/>
    <row r="231188" customFormat="1" x14ac:dyDescent="0.25"/>
    <row r="231189" customFormat="1" x14ac:dyDescent="0.25"/>
    <row r="231190" customFormat="1" x14ac:dyDescent="0.25"/>
    <row r="231191" customFormat="1" x14ac:dyDescent="0.25"/>
    <row r="231192" customFormat="1" x14ac:dyDescent="0.25"/>
    <row r="231193" customFormat="1" x14ac:dyDescent="0.25"/>
    <row r="231194" customFormat="1" x14ac:dyDescent="0.25"/>
    <row r="231195" customFormat="1" x14ac:dyDescent="0.25"/>
    <row r="231196" customFormat="1" x14ac:dyDescent="0.25"/>
    <row r="231197" customFormat="1" x14ac:dyDescent="0.25"/>
    <row r="231198" customFormat="1" x14ac:dyDescent="0.25"/>
    <row r="231199" customFormat="1" x14ac:dyDescent="0.25"/>
    <row r="231200" customFormat="1" x14ac:dyDescent="0.25"/>
    <row r="231201" customFormat="1" x14ac:dyDescent="0.25"/>
    <row r="231202" customFormat="1" x14ac:dyDescent="0.25"/>
    <row r="231203" customFormat="1" x14ac:dyDescent="0.25"/>
    <row r="231204" customFormat="1" x14ac:dyDescent="0.25"/>
    <row r="231205" customFormat="1" x14ac:dyDescent="0.25"/>
    <row r="231206" customFormat="1" x14ac:dyDescent="0.25"/>
    <row r="231207" customFormat="1" x14ac:dyDescent="0.25"/>
    <row r="231208" customFormat="1" x14ac:dyDescent="0.25"/>
    <row r="231209" customFormat="1" x14ac:dyDescent="0.25"/>
    <row r="231210" customFormat="1" x14ac:dyDescent="0.25"/>
    <row r="231211" customFormat="1" x14ac:dyDescent="0.25"/>
    <row r="231212" customFormat="1" x14ac:dyDescent="0.25"/>
    <row r="231213" customFormat="1" x14ac:dyDescent="0.25"/>
    <row r="231214" customFormat="1" x14ac:dyDescent="0.25"/>
    <row r="231215" customFormat="1" x14ac:dyDescent="0.25"/>
    <row r="231216" customFormat="1" x14ac:dyDescent="0.25"/>
    <row r="231217" customFormat="1" x14ac:dyDescent="0.25"/>
    <row r="231218" customFormat="1" x14ac:dyDescent="0.25"/>
    <row r="231219" customFormat="1" x14ac:dyDescent="0.25"/>
    <row r="231220" customFormat="1" x14ac:dyDescent="0.25"/>
    <row r="231221" customFormat="1" x14ac:dyDescent="0.25"/>
    <row r="231222" customFormat="1" x14ac:dyDescent="0.25"/>
    <row r="231223" customFormat="1" x14ac:dyDescent="0.25"/>
    <row r="231224" customFormat="1" x14ac:dyDescent="0.25"/>
    <row r="231225" customFormat="1" x14ac:dyDescent="0.25"/>
    <row r="231226" customFormat="1" x14ac:dyDescent="0.25"/>
    <row r="231227" customFormat="1" x14ac:dyDescent="0.25"/>
    <row r="231228" customFormat="1" x14ac:dyDescent="0.25"/>
    <row r="231229" customFormat="1" x14ac:dyDescent="0.25"/>
    <row r="231230" customFormat="1" x14ac:dyDescent="0.25"/>
    <row r="231231" customFormat="1" x14ac:dyDescent="0.25"/>
    <row r="231232" customFormat="1" x14ac:dyDescent="0.25"/>
    <row r="231233" customFormat="1" x14ac:dyDescent="0.25"/>
    <row r="231234" customFormat="1" x14ac:dyDescent="0.25"/>
    <row r="231235" customFormat="1" x14ac:dyDescent="0.25"/>
    <row r="231236" customFormat="1" x14ac:dyDescent="0.25"/>
    <row r="231237" customFormat="1" x14ac:dyDescent="0.25"/>
    <row r="231238" customFormat="1" x14ac:dyDescent="0.25"/>
    <row r="231239" customFormat="1" x14ac:dyDescent="0.25"/>
    <row r="231240" customFormat="1" x14ac:dyDescent="0.25"/>
    <row r="231241" customFormat="1" x14ac:dyDescent="0.25"/>
    <row r="231242" customFormat="1" x14ac:dyDescent="0.25"/>
    <row r="231243" customFormat="1" x14ac:dyDescent="0.25"/>
    <row r="231244" customFormat="1" x14ac:dyDescent="0.25"/>
    <row r="231245" customFormat="1" x14ac:dyDescent="0.25"/>
    <row r="231246" customFormat="1" x14ac:dyDescent="0.25"/>
    <row r="231247" customFormat="1" x14ac:dyDescent="0.25"/>
    <row r="231248" customFormat="1" x14ac:dyDescent="0.25"/>
    <row r="231249" customFormat="1" x14ac:dyDescent="0.25"/>
    <row r="231250" customFormat="1" x14ac:dyDescent="0.25"/>
    <row r="231251" customFormat="1" x14ac:dyDescent="0.25"/>
    <row r="231252" customFormat="1" x14ac:dyDescent="0.25"/>
    <row r="231253" customFormat="1" x14ac:dyDescent="0.25"/>
    <row r="231254" customFormat="1" x14ac:dyDescent="0.25"/>
    <row r="231255" customFormat="1" x14ac:dyDescent="0.25"/>
    <row r="231256" customFormat="1" x14ac:dyDescent="0.25"/>
    <row r="231257" customFormat="1" x14ac:dyDescent="0.25"/>
    <row r="231258" customFormat="1" x14ac:dyDescent="0.25"/>
    <row r="231259" customFormat="1" x14ac:dyDescent="0.25"/>
    <row r="231260" customFormat="1" x14ac:dyDescent="0.25"/>
    <row r="231261" customFormat="1" x14ac:dyDescent="0.25"/>
    <row r="231262" customFormat="1" x14ac:dyDescent="0.25"/>
    <row r="231263" customFormat="1" x14ac:dyDescent="0.25"/>
    <row r="231264" customFormat="1" x14ac:dyDescent="0.25"/>
    <row r="231265" customFormat="1" x14ac:dyDescent="0.25"/>
    <row r="231266" customFormat="1" x14ac:dyDescent="0.25"/>
    <row r="231267" customFormat="1" x14ac:dyDescent="0.25"/>
    <row r="231268" customFormat="1" x14ac:dyDescent="0.25"/>
    <row r="231269" customFormat="1" x14ac:dyDescent="0.25"/>
    <row r="231270" customFormat="1" x14ac:dyDescent="0.25"/>
    <row r="231271" customFormat="1" x14ac:dyDescent="0.25"/>
    <row r="231272" customFormat="1" x14ac:dyDescent="0.25"/>
    <row r="231273" customFormat="1" x14ac:dyDescent="0.25"/>
    <row r="231274" customFormat="1" x14ac:dyDescent="0.25"/>
    <row r="231275" customFormat="1" x14ac:dyDescent="0.25"/>
    <row r="231276" customFormat="1" x14ac:dyDescent="0.25"/>
    <row r="231277" customFormat="1" x14ac:dyDescent="0.25"/>
    <row r="231278" customFormat="1" x14ac:dyDescent="0.25"/>
    <row r="231279" customFormat="1" x14ac:dyDescent="0.25"/>
    <row r="231280" customFormat="1" x14ac:dyDescent="0.25"/>
    <row r="231281" customFormat="1" x14ac:dyDescent="0.25"/>
    <row r="231282" customFormat="1" x14ac:dyDescent="0.25"/>
    <row r="231283" customFormat="1" x14ac:dyDescent="0.25"/>
    <row r="231284" customFormat="1" x14ac:dyDescent="0.25"/>
    <row r="231285" customFormat="1" x14ac:dyDescent="0.25"/>
    <row r="231286" customFormat="1" x14ac:dyDescent="0.25"/>
    <row r="231287" customFormat="1" x14ac:dyDescent="0.25"/>
    <row r="231288" customFormat="1" x14ac:dyDescent="0.25"/>
    <row r="231289" customFormat="1" x14ac:dyDescent="0.25"/>
    <row r="231290" customFormat="1" x14ac:dyDescent="0.25"/>
    <row r="231291" customFormat="1" x14ac:dyDescent="0.25"/>
    <row r="231292" customFormat="1" x14ac:dyDescent="0.25"/>
    <row r="231293" customFormat="1" x14ac:dyDescent="0.25"/>
    <row r="231294" customFormat="1" x14ac:dyDescent="0.25"/>
    <row r="231295" customFormat="1" x14ac:dyDescent="0.25"/>
    <row r="231296" customFormat="1" x14ac:dyDescent="0.25"/>
    <row r="231297" customFormat="1" x14ac:dyDescent="0.25"/>
    <row r="231298" customFormat="1" x14ac:dyDescent="0.25"/>
    <row r="231299" customFormat="1" x14ac:dyDescent="0.25"/>
    <row r="231300" customFormat="1" x14ac:dyDescent="0.25"/>
    <row r="231301" customFormat="1" x14ac:dyDescent="0.25"/>
    <row r="231302" customFormat="1" x14ac:dyDescent="0.25"/>
    <row r="231303" customFormat="1" x14ac:dyDescent="0.25"/>
    <row r="231304" customFormat="1" x14ac:dyDescent="0.25"/>
    <row r="231305" customFormat="1" x14ac:dyDescent="0.25"/>
    <row r="231306" customFormat="1" x14ac:dyDescent="0.25"/>
    <row r="231307" customFormat="1" x14ac:dyDescent="0.25"/>
    <row r="231308" customFormat="1" x14ac:dyDescent="0.25"/>
    <row r="231309" customFormat="1" x14ac:dyDescent="0.25"/>
    <row r="231310" customFormat="1" x14ac:dyDescent="0.25"/>
    <row r="231311" customFormat="1" x14ac:dyDescent="0.25"/>
    <row r="231312" customFormat="1" x14ac:dyDescent="0.25"/>
    <row r="231313" customFormat="1" x14ac:dyDescent="0.25"/>
    <row r="231314" customFormat="1" x14ac:dyDescent="0.25"/>
    <row r="231315" customFormat="1" x14ac:dyDescent="0.25"/>
    <row r="231316" customFormat="1" x14ac:dyDescent="0.25"/>
    <row r="231317" customFormat="1" x14ac:dyDescent="0.25"/>
    <row r="231318" customFormat="1" x14ac:dyDescent="0.25"/>
    <row r="231319" customFormat="1" x14ac:dyDescent="0.25"/>
    <row r="231320" customFormat="1" x14ac:dyDescent="0.25"/>
    <row r="231321" customFormat="1" x14ac:dyDescent="0.25"/>
    <row r="231322" customFormat="1" x14ac:dyDescent="0.25"/>
    <row r="231323" customFormat="1" x14ac:dyDescent="0.25"/>
    <row r="231324" customFormat="1" x14ac:dyDescent="0.25"/>
    <row r="231325" customFormat="1" x14ac:dyDescent="0.25"/>
    <row r="231326" customFormat="1" x14ac:dyDescent="0.25"/>
    <row r="231327" customFormat="1" x14ac:dyDescent="0.25"/>
    <row r="231328" customFormat="1" x14ac:dyDescent="0.25"/>
    <row r="231329" customFormat="1" x14ac:dyDescent="0.25"/>
    <row r="231330" customFormat="1" x14ac:dyDescent="0.25"/>
    <row r="231331" customFormat="1" x14ac:dyDescent="0.25"/>
    <row r="231332" customFormat="1" x14ac:dyDescent="0.25"/>
    <row r="231333" customFormat="1" x14ac:dyDescent="0.25"/>
    <row r="231334" customFormat="1" x14ac:dyDescent="0.25"/>
    <row r="231335" customFormat="1" x14ac:dyDescent="0.25"/>
    <row r="231336" customFormat="1" x14ac:dyDescent="0.25"/>
    <row r="231337" customFormat="1" x14ac:dyDescent="0.25"/>
    <row r="231338" customFormat="1" x14ac:dyDescent="0.25"/>
    <row r="231339" customFormat="1" x14ac:dyDescent="0.25"/>
    <row r="231340" customFormat="1" x14ac:dyDescent="0.25"/>
    <row r="231341" customFormat="1" x14ac:dyDescent="0.25"/>
    <row r="231342" customFormat="1" x14ac:dyDescent="0.25"/>
    <row r="231343" customFormat="1" x14ac:dyDescent="0.25"/>
    <row r="231344" customFormat="1" x14ac:dyDescent="0.25"/>
    <row r="231345" customFormat="1" x14ac:dyDescent="0.25"/>
    <row r="231346" customFormat="1" x14ac:dyDescent="0.25"/>
    <row r="231347" customFormat="1" x14ac:dyDescent="0.25"/>
    <row r="231348" customFormat="1" x14ac:dyDescent="0.25"/>
    <row r="231349" customFormat="1" x14ac:dyDescent="0.25"/>
    <row r="231350" customFormat="1" x14ac:dyDescent="0.25"/>
    <row r="231351" customFormat="1" x14ac:dyDescent="0.25"/>
    <row r="231352" customFormat="1" x14ac:dyDescent="0.25"/>
    <row r="231353" customFormat="1" x14ac:dyDescent="0.25"/>
    <row r="231354" customFormat="1" x14ac:dyDescent="0.25"/>
    <row r="231355" customFormat="1" x14ac:dyDescent="0.25"/>
    <row r="231356" customFormat="1" x14ac:dyDescent="0.25"/>
    <row r="231357" customFormat="1" x14ac:dyDescent="0.25"/>
    <row r="231358" customFormat="1" x14ac:dyDescent="0.25"/>
    <row r="231359" customFormat="1" x14ac:dyDescent="0.25"/>
    <row r="231360" customFormat="1" x14ac:dyDescent="0.25"/>
    <row r="231361" customFormat="1" x14ac:dyDescent="0.25"/>
    <row r="231362" customFormat="1" x14ac:dyDescent="0.25"/>
    <row r="231363" customFormat="1" x14ac:dyDescent="0.25"/>
    <row r="231364" customFormat="1" x14ac:dyDescent="0.25"/>
    <row r="231365" customFormat="1" x14ac:dyDescent="0.25"/>
    <row r="231366" customFormat="1" x14ac:dyDescent="0.25"/>
    <row r="231367" customFormat="1" x14ac:dyDescent="0.25"/>
    <row r="231368" customFormat="1" x14ac:dyDescent="0.25"/>
    <row r="231369" customFormat="1" x14ac:dyDescent="0.25"/>
    <row r="231370" customFormat="1" x14ac:dyDescent="0.25"/>
    <row r="231371" customFormat="1" x14ac:dyDescent="0.25"/>
    <row r="231372" customFormat="1" x14ac:dyDescent="0.25"/>
    <row r="231373" customFormat="1" x14ac:dyDescent="0.25"/>
    <row r="231374" customFormat="1" x14ac:dyDescent="0.25"/>
    <row r="231375" customFormat="1" x14ac:dyDescent="0.25"/>
    <row r="231376" customFormat="1" x14ac:dyDescent="0.25"/>
    <row r="231377" customFormat="1" x14ac:dyDescent="0.25"/>
    <row r="231378" customFormat="1" x14ac:dyDescent="0.25"/>
    <row r="231379" customFormat="1" x14ac:dyDescent="0.25"/>
    <row r="231380" customFormat="1" x14ac:dyDescent="0.25"/>
    <row r="231381" customFormat="1" x14ac:dyDescent="0.25"/>
    <row r="231382" customFormat="1" x14ac:dyDescent="0.25"/>
    <row r="231383" customFormat="1" x14ac:dyDescent="0.25"/>
    <row r="231384" customFormat="1" x14ac:dyDescent="0.25"/>
    <row r="231385" customFormat="1" x14ac:dyDescent="0.25"/>
    <row r="231386" customFormat="1" x14ac:dyDescent="0.25"/>
    <row r="231387" customFormat="1" x14ac:dyDescent="0.25"/>
    <row r="231388" customFormat="1" x14ac:dyDescent="0.25"/>
    <row r="231389" customFormat="1" x14ac:dyDescent="0.25"/>
    <row r="231390" customFormat="1" x14ac:dyDescent="0.25"/>
    <row r="231391" customFormat="1" x14ac:dyDescent="0.25"/>
    <row r="231392" customFormat="1" x14ac:dyDescent="0.25"/>
    <row r="231393" customFormat="1" x14ac:dyDescent="0.25"/>
    <row r="231394" customFormat="1" x14ac:dyDescent="0.25"/>
    <row r="231395" customFormat="1" x14ac:dyDescent="0.25"/>
    <row r="231396" customFormat="1" x14ac:dyDescent="0.25"/>
    <row r="231397" customFormat="1" x14ac:dyDescent="0.25"/>
    <row r="231398" customFormat="1" x14ac:dyDescent="0.25"/>
    <row r="231399" customFormat="1" x14ac:dyDescent="0.25"/>
    <row r="231400" customFormat="1" x14ac:dyDescent="0.25"/>
    <row r="231401" customFormat="1" x14ac:dyDescent="0.25"/>
    <row r="231402" customFormat="1" x14ac:dyDescent="0.25"/>
    <row r="231403" customFormat="1" x14ac:dyDescent="0.25"/>
    <row r="231404" customFormat="1" x14ac:dyDescent="0.25"/>
    <row r="231405" customFormat="1" x14ac:dyDescent="0.25"/>
    <row r="231406" customFormat="1" x14ac:dyDescent="0.25"/>
    <row r="231407" customFormat="1" x14ac:dyDescent="0.25"/>
    <row r="231408" customFormat="1" x14ac:dyDescent="0.25"/>
    <row r="231409" customFormat="1" x14ac:dyDescent="0.25"/>
    <row r="231410" customFormat="1" x14ac:dyDescent="0.25"/>
    <row r="231411" customFormat="1" x14ac:dyDescent="0.25"/>
    <row r="231412" customFormat="1" x14ac:dyDescent="0.25"/>
    <row r="231413" customFormat="1" x14ac:dyDescent="0.25"/>
    <row r="231414" customFormat="1" x14ac:dyDescent="0.25"/>
    <row r="231415" customFormat="1" x14ac:dyDescent="0.25"/>
    <row r="231416" customFormat="1" x14ac:dyDescent="0.25"/>
    <row r="231417" customFormat="1" x14ac:dyDescent="0.25"/>
    <row r="231418" customFormat="1" x14ac:dyDescent="0.25"/>
    <row r="231419" customFormat="1" x14ac:dyDescent="0.25"/>
    <row r="231420" customFormat="1" x14ac:dyDescent="0.25"/>
    <row r="231421" customFormat="1" x14ac:dyDescent="0.25"/>
    <row r="231422" customFormat="1" x14ac:dyDescent="0.25"/>
    <row r="231423" customFormat="1" x14ac:dyDescent="0.25"/>
    <row r="231424" customFormat="1" x14ac:dyDescent="0.25"/>
    <row r="231425" customFormat="1" x14ac:dyDescent="0.25"/>
    <row r="231426" customFormat="1" x14ac:dyDescent="0.25"/>
    <row r="231427" customFormat="1" x14ac:dyDescent="0.25"/>
    <row r="231428" customFormat="1" x14ac:dyDescent="0.25"/>
    <row r="231429" customFormat="1" x14ac:dyDescent="0.25"/>
    <row r="231430" customFormat="1" x14ac:dyDescent="0.25"/>
    <row r="231431" customFormat="1" x14ac:dyDescent="0.25"/>
    <row r="231432" customFormat="1" x14ac:dyDescent="0.25"/>
    <row r="231433" customFormat="1" x14ac:dyDescent="0.25"/>
    <row r="231434" customFormat="1" x14ac:dyDescent="0.25"/>
    <row r="231435" customFormat="1" x14ac:dyDescent="0.25"/>
    <row r="231436" customFormat="1" x14ac:dyDescent="0.25"/>
    <row r="231437" customFormat="1" x14ac:dyDescent="0.25"/>
    <row r="231438" customFormat="1" x14ac:dyDescent="0.25"/>
    <row r="231439" customFormat="1" x14ac:dyDescent="0.25"/>
    <row r="231440" customFormat="1" x14ac:dyDescent="0.25"/>
    <row r="231441" customFormat="1" x14ac:dyDescent="0.25"/>
    <row r="231442" customFormat="1" x14ac:dyDescent="0.25"/>
    <row r="231443" customFormat="1" x14ac:dyDescent="0.25"/>
    <row r="231444" customFormat="1" x14ac:dyDescent="0.25"/>
    <row r="231445" customFormat="1" x14ac:dyDescent="0.25"/>
    <row r="231446" customFormat="1" x14ac:dyDescent="0.25"/>
    <row r="231447" customFormat="1" x14ac:dyDescent="0.25"/>
    <row r="231448" customFormat="1" x14ac:dyDescent="0.25"/>
    <row r="231449" customFormat="1" x14ac:dyDescent="0.25"/>
    <row r="231450" customFormat="1" x14ac:dyDescent="0.25"/>
    <row r="231451" customFormat="1" x14ac:dyDescent="0.25"/>
    <row r="231452" customFormat="1" x14ac:dyDescent="0.25"/>
    <row r="231453" customFormat="1" x14ac:dyDescent="0.25"/>
    <row r="231454" customFormat="1" x14ac:dyDescent="0.25"/>
    <row r="231455" customFormat="1" x14ac:dyDescent="0.25"/>
    <row r="231456" customFormat="1" x14ac:dyDescent="0.25"/>
    <row r="231457" customFormat="1" x14ac:dyDescent="0.25"/>
    <row r="231458" customFormat="1" x14ac:dyDescent="0.25"/>
    <row r="231459" customFormat="1" x14ac:dyDescent="0.25"/>
    <row r="231460" customFormat="1" x14ac:dyDescent="0.25"/>
    <row r="231461" customFormat="1" x14ac:dyDescent="0.25"/>
    <row r="231462" customFormat="1" x14ac:dyDescent="0.25"/>
    <row r="231463" customFormat="1" x14ac:dyDescent="0.25"/>
    <row r="231464" customFormat="1" x14ac:dyDescent="0.25"/>
    <row r="231465" customFormat="1" x14ac:dyDescent="0.25"/>
    <row r="231466" customFormat="1" x14ac:dyDescent="0.25"/>
    <row r="231467" customFormat="1" x14ac:dyDescent="0.25"/>
    <row r="231468" customFormat="1" x14ac:dyDescent="0.25"/>
    <row r="231469" customFormat="1" x14ac:dyDescent="0.25"/>
    <row r="231470" customFormat="1" x14ac:dyDescent="0.25"/>
    <row r="231471" customFormat="1" x14ac:dyDescent="0.25"/>
    <row r="231472" customFormat="1" x14ac:dyDescent="0.25"/>
    <row r="231473" customFormat="1" x14ac:dyDescent="0.25"/>
    <row r="231474" customFormat="1" x14ac:dyDescent="0.25"/>
    <row r="231475" customFormat="1" x14ac:dyDescent="0.25"/>
    <row r="231476" customFormat="1" x14ac:dyDescent="0.25"/>
    <row r="231477" customFormat="1" x14ac:dyDescent="0.25"/>
    <row r="231478" customFormat="1" x14ac:dyDescent="0.25"/>
    <row r="231479" customFormat="1" x14ac:dyDescent="0.25"/>
    <row r="231480" customFormat="1" x14ac:dyDescent="0.25"/>
    <row r="231481" customFormat="1" x14ac:dyDescent="0.25"/>
    <row r="231482" customFormat="1" x14ac:dyDescent="0.25"/>
    <row r="231483" customFormat="1" x14ac:dyDescent="0.25"/>
    <row r="231484" customFormat="1" x14ac:dyDescent="0.25"/>
    <row r="231485" customFormat="1" x14ac:dyDescent="0.25"/>
    <row r="231486" customFormat="1" x14ac:dyDescent="0.25"/>
    <row r="231487" customFormat="1" x14ac:dyDescent="0.25"/>
    <row r="231488" customFormat="1" x14ac:dyDescent="0.25"/>
    <row r="231489" customFormat="1" x14ac:dyDescent="0.25"/>
    <row r="231490" customFormat="1" x14ac:dyDescent="0.25"/>
    <row r="231491" customFormat="1" x14ac:dyDescent="0.25"/>
    <row r="231492" customFormat="1" x14ac:dyDescent="0.25"/>
    <row r="231493" customFormat="1" x14ac:dyDescent="0.25"/>
    <row r="231494" customFormat="1" x14ac:dyDescent="0.25"/>
    <row r="231495" customFormat="1" x14ac:dyDescent="0.25"/>
    <row r="231496" customFormat="1" x14ac:dyDescent="0.25"/>
    <row r="231497" customFormat="1" x14ac:dyDescent="0.25"/>
    <row r="231498" customFormat="1" x14ac:dyDescent="0.25"/>
    <row r="231499" customFormat="1" x14ac:dyDescent="0.25"/>
    <row r="231500" customFormat="1" x14ac:dyDescent="0.25"/>
    <row r="231501" customFormat="1" x14ac:dyDescent="0.25"/>
    <row r="231502" customFormat="1" x14ac:dyDescent="0.25"/>
    <row r="231503" customFormat="1" x14ac:dyDescent="0.25"/>
    <row r="231504" customFormat="1" x14ac:dyDescent="0.25"/>
    <row r="231505" customFormat="1" x14ac:dyDescent="0.25"/>
    <row r="231506" customFormat="1" x14ac:dyDescent="0.25"/>
    <row r="231507" customFormat="1" x14ac:dyDescent="0.25"/>
    <row r="231508" customFormat="1" x14ac:dyDescent="0.25"/>
    <row r="231509" customFormat="1" x14ac:dyDescent="0.25"/>
    <row r="231510" customFormat="1" x14ac:dyDescent="0.25"/>
    <row r="231511" customFormat="1" x14ac:dyDescent="0.25"/>
    <row r="231512" customFormat="1" x14ac:dyDescent="0.25"/>
    <row r="231513" customFormat="1" x14ac:dyDescent="0.25"/>
    <row r="231514" customFormat="1" x14ac:dyDescent="0.25"/>
    <row r="231515" customFormat="1" x14ac:dyDescent="0.25"/>
    <row r="231516" customFormat="1" x14ac:dyDescent="0.25"/>
    <row r="231517" customFormat="1" x14ac:dyDescent="0.25"/>
    <row r="231518" customFormat="1" x14ac:dyDescent="0.25"/>
    <row r="231519" customFormat="1" x14ac:dyDescent="0.25"/>
    <row r="231520" customFormat="1" x14ac:dyDescent="0.25"/>
    <row r="231521" customFormat="1" x14ac:dyDescent="0.25"/>
    <row r="231522" customFormat="1" x14ac:dyDescent="0.25"/>
    <row r="231523" customFormat="1" x14ac:dyDescent="0.25"/>
    <row r="231524" customFormat="1" x14ac:dyDescent="0.25"/>
    <row r="231525" customFormat="1" x14ac:dyDescent="0.25"/>
    <row r="231526" customFormat="1" x14ac:dyDescent="0.25"/>
    <row r="231527" customFormat="1" x14ac:dyDescent="0.25"/>
    <row r="231528" customFormat="1" x14ac:dyDescent="0.25"/>
    <row r="231529" customFormat="1" x14ac:dyDescent="0.25"/>
    <row r="231530" customFormat="1" x14ac:dyDescent="0.25"/>
    <row r="231531" customFormat="1" x14ac:dyDescent="0.25"/>
    <row r="231532" customFormat="1" x14ac:dyDescent="0.25"/>
    <row r="231533" customFormat="1" x14ac:dyDescent="0.25"/>
    <row r="231534" customFormat="1" x14ac:dyDescent="0.25"/>
    <row r="231535" customFormat="1" x14ac:dyDescent="0.25"/>
    <row r="231536" customFormat="1" x14ac:dyDescent="0.25"/>
    <row r="231537" customFormat="1" x14ac:dyDescent="0.25"/>
    <row r="231538" customFormat="1" x14ac:dyDescent="0.25"/>
    <row r="231539" customFormat="1" x14ac:dyDescent="0.25"/>
    <row r="231540" customFormat="1" x14ac:dyDescent="0.25"/>
    <row r="231541" customFormat="1" x14ac:dyDescent="0.25"/>
    <row r="231542" customFormat="1" x14ac:dyDescent="0.25"/>
    <row r="231543" customFormat="1" x14ac:dyDescent="0.25"/>
    <row r="231544" customFormat="1" x14ac:dyDescent="0.25"/>
    <row r="231545" customFormat="1" x14ac:dyDescent="0.25"/>
    <row r="231546" customFormat="1" x14ac:dyDescent="0.25"/>
    <row r="231547" customFormat="1" x14ac:dyDescent="0.25"/>
    <row r="231548" customFormat="1" x14ac:dyDescent="0.25"/>
    <row r="231549" customFormat="1" x14ac:dyDescent="0.25"/>
    <row r="231550" customFormat="1" x14ac:dyDescent="0.25"/>
    <row r="231551" customFormat="1" x14ac:dyDescent="0.25"/>
    <row r="231552" customFormat="1" x14ac:dyDescent="0.25"/>
    <row r="231553" customFormat="1" x14ac:dyDescent="0.25"/>
    <row r="231554" customFormat="1" x14ac:dyDescent="0.25"/>
    <row r="231555" customFormat="1" x14ac:dyDescent="0.25"/>
    <row r="231556" customFormat="1" x14ac:dyDescent="0.25"/>
    <row r="231557" customFormat="1" x14ac:dyDescent="0.25"/>
    <row r="231558" customFormat="1" x14ac:dyDescent="0.25"/>
    <row r="231559" customFormat="1" x14ac:dyDescent="0.25"/>
    <row r="231560" customFormat="1" x14ac:dyDescent="0.25"/>
    <row r="231561" customFormat="1" x14ac:dyDescent="0.25"/>
    <row r="231562" customFormat="1" x14ac:dyDescent="0.25"/>
    <row r="231563" customFormat="1" x14ac:dyDescent="0.25"/>
    <row r="231564" customFormat="1" x14ac:dyDescent="0.25"/>
    <row r="231565" customFormat="1" x14ac:dyDescent="0.25"/>
    <row r="231566" customFormat="1" x14ac:dyDescent="0.25"/>
    <row r="231567" customFormat="1" x14ac:dyDescent="0.25"/>
    <row r="231568" customFormat="1" x14ac:dyDescent="0.25"/>
    <row r="231569" customFormat="1" x14ac:dyDescent="0.25"/>
    <row r="231570" customFormat="1" x14ac:dyDescent="0.25"/>
    <row r="231571" customFormat="1" x14ac:dyDescent="0.25"/>
    <row r="231572" customFormat="1" x14ac:dyDescent="0.25"/>
    <row r="231573" customFormat="1" x14ac:dyDescent="0.25"/>
    <row r="231574" customFormat="1" x14ac:dyDescent="0.25"/>
    <row r="231575" customFormat="1" x14ac:dyDescent="0.25"/>
    <row r="231576" customFormat="1" x14ac:dyDescent="0.25"/>
    <row r="231577" customFormat="1" x14ac:dyDescent="0.25"/>
    <row r="231578" customFormat="1" x14ac:dyDescent="0.25"/>
    <row r="231579" customFormat="1" x14ac:dyDescent="0.25"/>
    <row r="231580" customFormat="1" x14ac:dyDescent="0.25"/>
    <row r="231581" customFormat="1" x14ac:dyDescent="0.25"/>
    <row r="231582" customFormat="1" x14ac:dyDescent="0.25"/>
    <row r="231583" customFormat="1" x14ac:dyDescent="0.25"/>
    <row r="231584" customFormat="1" x14ac:dyDescent="0.25"/>
    <row r="231585" customFormat="1" x14ac:dyDescent="0.25"/>
    <row r="231586" customFormat="1" x14ac:dyDescent="0.25"/>
    <row r="231587" customFormat="1" x14ac:dyDescent="0.25"/>
    <row r="231588" customFormat="1" x14ac:dyDescent="0.25"/>
    <row r="231589" customFormat="1" x14ac:dyDescent="0.25"/>
    <row r="231590" customFormat="1" x14ac:dyDescent="0.25"/>
    <row r="231591" customFormat="1" x14ac:dyDescent="0.25"/>
    <row r="231592" customFormat="1" x14ac:dyDescent="0.25"/>
    <row r="231593" customFormat="1" x14ac:dyDescent="0.25"/>
    <row r="231594" customFormat="1" x14ac:dyDescent="0.25"/>
    <row r="231595" customFormat="1" x14ac:dyDescent="0.25"/>
    <row r="231596" customFormat="1" x14ac:dyDescent="0.25"/>
    <row r="231597" customFormat="1" x14ac:dyDescent="0.25"/>
    <row r="231598" customFormat="1" x14ac:dyDescent="0.25"/>
    <row r="231599" customFormat="1" x14ac:dyDescent="0.25"/>
    <row r="231600" customFormat="1" x14ac:dyDescent="0.25"/>
    <row r="231601" customFormat="1" x14ac:dyDescent="0.25"/>
    <row r="231602" customFormat="1" x14ac:dyDescent="0.25"/>
    <row r="231603" customFormat="1" x14ac:dyDescent="0.25"/>
    <row r="231604" customFormat="1" x14ac:dyDescent="0.25"/>
    <row r="231605" customFormat="1" x14ac:dyDescent="0.25"/>
    <row r="231606" customFormat="1" x14ac:dyDescent="0.25"/>
    <row r="231607" customFormat="1" x14ac:dyDescent="0.25"/>
    <row r="231608" customFormat="1" x14ac:dyDescent="0.25"/>
    <row r="231609" customFormat="1" x14ac:dyDescent="0.25"/>
    <row r="231610" customFormat="1" x14ac:dyDescent="0.25"/>
    <row r="231611" customFormat="1" x14ac:dyDescent="0.25"/>
    <row r="231612" customFormat="1" x14ac:dyDescent="0.25"/>
    <row r="231613" customFormat="1" x14ac:dyDescent="0.25"/>
    <row r="231614" customFormat="1" x14ac:dyDescent="0.25"/>
    <row r="231615" customFormat="1" x14ac:dyDescent="0.25"/>
    <row r="231616" customFormat="1" x14ac:dyDescent="0.25"/>
    <row r="231617" customFormat="1" x14ac:dyDescent="0.25"/>
    <row r="231618" customFormat="1" x14ac:dyDescent="0.25"/>
    <row r="231619" customFormat="1" x14ac:dyDescent="0.25"/>
    <row r="231620" customFormat="1" x14ac:dyDescent="0.25"/>
    <row r="231621" customFormat="1" x14ac:dyDescent="0.25"/>
    <row r="231622" customFormat="1" x14ac:dyDescent="0.25"/>
    <row r="231623" customFormat="1" x14ac:dyDescent="0.25"/>
    <row r="231624" customFormat="1" x14ac:dyDescent="0.25"/>
    <row r="231625" customFormat="1" x14ac:dyDescent="0.25"/>
    <row r="231626" customFormat="1" x14ac:dyDescent="0.25"/>
    <row r="231627" customFormat="1" x14ac:dyDescent="0.25"/>
    <row r="231628" customFormat="1" x14ac:dyDescent="0.25"/>
    <row r="231629" customFormat="1" x14ac:dyDescent="0.25"/>
    <row r="231630" customFormat="1" x14ac:dyDescent="0.25"/>
    <row r="231631" customFormat="1" x14ac:dyDescent="0.25"/>
    <row r="231632" customFormat="1" x14ac:dyDescent="0.25"/>
    <row r="231633" customFormat="1" x14ac:dyDescent="0.25"/>
    <row r="231634" customFormat="1" x14ac:dyDescent="0.25"/>
    <row r="231635" customFormat="1" x14ac:dyDescent="0.25"/>
    <row r="231636" customFormat="1" x14ac:dyDescent="0.25"/>
    <row r="231637" customFormat="1" x14ac:dyDescent="0.25"/>
    <row r="231638" customFormat="1" x14ac:dyDescent="0.25"/>
    <row r="231639" customFormat="1" x14ac:dyDescent="0.25"/>
    <row r="231640" customFormat="1" x14ac:dyDescent="0.25"/>
    <row r="231641" customFormat="1" x14ac:dyDescent="0.25"/>
    <row r="231642" customFormat="1" x14ac:dyDescent="0.25"/>
    <row r="231643" customFormat="1" x14ac:dyDescent="0.25"/>
    <row r="231644" customFormat="1" x14ac:dyDescent="0.25"/>
    <row r="231645" customFormat="1" x14ac:dyDescent="0.25"/>
    <row r="231646" customFormat="1" x14ac:dyDescent="0.25"/>
    <row r="231647" customFormat="1" x14ac:dyDescent="0.25"/>
    <row r="231648" customFormat="1" x14ac:dyDescent="0.25"/>
    <row r="231649" customFormat="1" x14ac:dyDescent="0.25"/>
    <row r="231650" customFormat="1" x14ac:dyDescent="0.25"/>
    <row r="231651" customFormat="1" x14ac:dyDescent="0.25"/>
    <row r="231652" customFormat="1" x14ac:dyDescent="0.25"/>
    <row r="231653" customFormat="1" x14ac:dyDescent="0.25"/>
    <row r="231654" customFormat="1" x14ac:dyDescent="0.25"/>
    <row r="231655" customFormat="1" x14ac:dyDescent="0.25"/>
    <row r="231656" customFormat="1" x14ac:dyDescent="0.25"/>
    <row r="231657" customFormat="1" x14ac:dyDescent="0.25"/>
    <row r="231658" customFormat="1" x14ac:dyDescent="0.25"/>
    <row r="231659" customFormat="1" x14ac:dyDescent="0.25"/>
    <row r="231660" customFormat="1" x14ac:dyDescent="0.25"/>
    <row r="231661" customFormat="1" x14ac:dyDescent="0.25"/>
    <row r="231662" customFormat="1" x14ac:dyDescent="0.25"/>
    <row r="231663" customFormat="1" x14ac:dyDescent="0.25"/>
    <row r="231664" customFormat="1" x14ac:dyDescent="0.25"/>
    <row r="231665" customFormat="1" x14ac:dyDescent="0.25"/>
    <row r="231666" customFormat="1" x14ac:dyDescent="0.25"/>
    <row r="231667" customFormat="1" x14ac:dyDescent="0.25"/>
    <row r="231668" customFormat="1" x14ac:dyDescent="0.25"/>
    <row r="231669" customFormat="1" x14ac:dyDescent="0.25"/>
    <row r="231670" customFormat="1" x14ac:dyDescent="0.25"/>
    <row r="231671" customFormat="1" x14ac:dyDescent="0.25"/>
    <row r="231672" customFormat="1" x14ac:dyDescent="0.25"/>
    <row r="231673" customFormat="1" x14ac:dyDescent="0.25"/>
    <row r="231674" customFormat="1" x14ac:dyDescent="0.25"/>
    <row r="231675" customFormat="1" x14ac:dyDescent="0.25"/>
    <row r="231676" customFormat="1" x14ac:dyDescent="0.25"/>
    <row r="231677" customFormat="1" x14ac:dyDescent="0.25"/>
    <row r="231678" customFormat="1" x14ac:dyDescent="0.25"/>
    <row r="231679" customFormat="1" x14ac:dyDescent="0.25"/>
    <row r="231680" customFormat="1" x14ac:dyDescent="0.25"/>
    <row r="231681" customFormat="1" x14ac:dyDescent="0.25"/>
    <row r="231682" customFormat="1" x14ac:dyDescent="0.25"/>
    <row r="231683" customFormat="1" x14ac:dyDescent="0.25"/>
    <row r="231684" customFormat="1" x14ac:dyDescent="0.25"/>
    <row r="231685" customFormat="1" x14ac:dyDescent="0.25"/>
    <row r="231686" customFormat="1" x14ac:dyDescent="0.25"/>
    <row r="231687" customFormat="1" x14ac:dyDescent="0.25"/>
    <row r="231688" customFormat="1" x14ac:dyDescent="0.25"/>
    <row r="231689" customFormat="1" x14ac:dyDescent="0.25"/>
    <row r="231690" customFormat="1" x14ac:dyDescent="0.25"/>
    <row r="231691" customFormat="1" x14ac:dyDescent="0.25"/>
    <row r="231692" customFormat="1" x14ac:dyDescent="0.25"/>
    <row r="231693" customFormat="1" x14ac:dyDescent="0.25"/>
    <row r="231694" customFormat="1" x14ac:dyDescent="0.25"/>
    <row r="231695" customFormat="1" x14ac:dyDescent="0.25"/>
    <row r="231696" customFormat="1" x14ac:dyDescent="0.25"/>
    <row r="231697" customFormat="1" x14ac:dyDescent="0.25"/>
    <row r="231698" customFormat="1" x14ac:dyDescent="0.25"/>
    <row r="231699" customFormat="1" x14ac:dyDescent="0.25"/>
    <row r="231700" customFormat="1" x14ac:dyDescent="0.25"/>
    <row r="231701" customFormat="1" x14ac:dyDescent="0.25"/>
    <row r="231702" customFormat="1" x14ac:dyDescent="0.25"/>
    <row r="231703" customFormat="1" x14ac:dyDescent="0.25"/>
    <row r="231704" customFormat="1" x14ac:dyDescent="0.25"/>
    <row r="231705" customFormat="1" x14ac:dyDescent="0.25"/>
    <row r="231706" customFormat="1" x14ac:dyDescent="0.25"/>
    <row r="231707" customFormat="1" x14ac:dyDescent="0.25"/>
    <row r="231708" customFormat="1" x14ac:dyDescent="0.25"/>
    <row r="231709" customFormat="1" x14ac:dyDescent="0.25"/>
    <row r="231710" customFormat="1" x14ac:dyDescent="0.25"/>
    <row r="231711" customFormat="1" x14ac:dyDescent="0.25"/>
    <row r="231712" customFormat="1" x14ac:dyDescent="0.25"/>
    <row r="231713" customFormat="1" x14ac:dyDescent="0.25"/>
    <row r="231714" customFormat="1" x14ac:dyDescent="0.25"/>
    <row r="231715" customFormat="1" x14ac:dyDescent="0.25"/>
    <row r="231716" customFormat="1" x14ac:dyDescent="0.25"/>
    <row r="231717" customFormat="1" x14ac:dyDescent="0.25"/>
    <row r="231718" customFormat="1" x14ac:dyDescent="0.25"/>
    <row r="231719" customFormat="1" x14ac:dyDescent="0.25"/>
    <row r="231720" customFormat="1" x14ac:dyDescent="0.25"/>
    <row r="231721" customFormat="1" x14ac:dyDescent="0.25"/>
    <row r="231722" customFormat="1" x14ac:dyDescent="0.25"/>
    <row r="231723" customFormat="1" x14ac:dyDescent="0.25"/>
    <row r="231724" customFormat="1" x14ac:dyDescent="0.25"/>
    <row r="231725" customFormat="1" x14ac:dyDescent="0.25"/>
    <row r="231726" customFormat="1" x14ac:dyDescent="0.25"/>
    <row r="231727" customFormat="1" x14ac:dyDescent="0.25"/>
    <row r="231728" customFormat="1" x14ac:dyDescent="0.25"/>
    <row r="231729" customFormat="1" x14ac:dyDescent="0.25"/>
    <row r="231730" customFormat="1" x14ac:dyDescent="0.25"/>
    <row r="231731" customFormat="1" x14ac:dyDescent="0.25"/>
    <row r="231732" customFormat="1" x14ac:dyDescent="0.25"/>
    <row r="231733" customFormat="1" x14ac:dyDescent="0.25"/>
    <row r="231734" customFormat="1" x14ac:dyDescent="0.25"/>
    <row r="231735" customFormat="1" x14ac:dyDescent="0.25"/>
    <row r="231736" customFormat="1" x14ac:dyDescent="0.25"/>
    <row r="231737" customFormat="1" x14ac:dyDescent="0.25"/>
    <row r="231738" customFormat="1" x14ac:dyDescent="0.25"/>
    <row r="231739" customFormat="1" x14ac:dyDescent="0.25"/>
    <row r="231740" customFormat="1" x14ac:dyDescent="0.25"/>
    <row r="231741" customFormat="1" x14ac:dyDescent="0.25"/>
    <row r="231742" customFormat="1" x14ac:dyDescent="0.25"/>
    <row r="231743" customFormat="1" x14ac:dyDescent="0.25"/>
    <row r="231744" customFormat="1" x14ac:dyDescent="0.25"/>
    <row r="231745" customFormat="1" x14ac:dyDescent="0.25"/>
    <row r="231746" customFormat="1" x14ac:dyDescent="0.25"/>
    <row r="231747" customFormat="1" x14ac:dyDescent="0.25"/>
    <row r="231748" customFormat="1" x14ac:dyDescent="0.25"/>
    <row r="231749" customFormat="1" x14ac:dyDescent="0.25"/>
    <row r="231750" customFormat="1" x14ac:dyDescent="0.25"/>
    <row r="231751" customFormat="1" x14ac:dyDescent="0.25"/>
    <row r="231752" customFormat="1" x14ac:dyDescent="0.25"/>
    <row r="231753" customFormat="1" x14ac:dyDescent="0.25"/>
    <row r="231754" customFormat="1" x14ac:dyDescent="0.25"/>
    <row r="231755" customFormat="1" x14ac:dyDescent="0.25"/>
    <row r="231756" customFormat="1" x14ac:dyDescent="0.25"/>
    <row r="231757" customFormat="1" x14ac:dyDescent="0.25"/>
    <row r="231758" customFormat="1" x14ac:dyDescent="0.25"/>
    <row r="231759" customFormat="1" x14ac:dyDescent="0.25"/>
    <row r="231760" customFormat="1" x14ac:dyDescent="0.25"/>
    <row r="231761" customFormat="1" x14ac:dyDescent="0.25"/>
    <row r="231762" customFormat="1" x14ac:dyDescent="0.25"/>
    <row r="231763" customFormat="1" x14ac:dyDescent="0.25"/>
    <row r="231764" customFormat="1" x14ac:dyDescent="0.25"/>
    <row r="231765" customFormat="1" x14ac:dyDescent="0.25"/>
    <row r="231766" customFormat="1" x14ac:dyDescent="0.25"/>
    <row r="231767" customFormat="1" x14ac:dyDescent="0.25"/>
    <row r="231768" customFormat="1" x14ac:dyDescent="0.25"/>
    <row r="231769" customFormat="1" x14ac:dyDescent="0.25"/>
    <row r="231770" customFormat="1" x14ac:dyDescent="0.25"/>
    <row r="231771" customFormat="1" x14ac:dyDescent="0.25"/>
    <row r="231772" customFormat="1" x14ac:dyDescent="0.25"/>
    <row r="231773" customFormat="1" x14ac:dyDescent="0.25"/>
    <row r="231774" customFormat="1" x14ac:dyDescent="0.25"/>
    <row r="231775" customFormat="1" x14ac:dyDescent="0.25"/>
    <row r="231776" customFormat="1" x14ac:dyDescent="0.25"/>
    <row r="231777" customFormat="1" x14ac:dyDescent="0.25"/>
    <row r="231778" customFormat="1" x14ac:dyDescent="0.25"/>
    <row r="231779" customFormat="1" x14ac:dyDescent="0.25"/>
    <row r="231780" customFormat="1" x14ac:dyDescent="0.25"/>
    <row r="231781" customFormat="1" x14ac:dyDescent="0.25"/>
    <row r="231782" customFormat="1" x14ac:dyDescent="0.25"/>
    <row r="231783" customFormat="1" x14ac:dyDescent="0.25"/>
    <row r="231784" customFormat="1" x14ac:dyDescent="0.25"/>
    <row r="231785" customFormat="1" x14ac:dyDescent="0.25"/>
    <row r="231786" customFormat="1" x14ac:dyDescent="0.25"/>
    <row r="231787" customFormat="1" x14ac:dyDescent="0.25"/>
    <row r="231788" customFormat="1" x14ac:dyDescent="0.25"/>
    <row r="231789" customFormat="1" x14ac:dyDescent="0.25"/>
    <row r="231790" customFormat="1" x14ac:dyDescent="0.25"/>
    <row r="231791" customFormat="1" x14ac:dyDescent="0.25"/>
    <row r="231792" customFormat="1" x14ac:dyDescent="0.25"/>
    <row r="231793" customFormat="1" x14ac:dyDescent="0.25"/>
    <row r="231794" customFormat="1" x14ac:dyDescent="0.25"/>
    <row r="231795" customFormat="1" x14ac:dyDescent="0.25"/>
    <row r="231796" customFormat="1" x14ac:dyDescent="0.25"/>
    <row r="231797" customFormat="1" x14ac:dyDescent="0.25"/>
    <row r="231798" customFormat="1" x14ac:dyDescent="0.25"/>
    <row r="231799" customFormat="1" x14ac:dyDescent="0.25"/>
    <row r="231800" customFormat="1" x14ac:dyDescent="0.25"/>
    <row r="231801" customFormat="1" x14ac:dyDescent="0.25"/>
    <row r="231802" customFormat="1" x14ac:dyDescent="0.25"/>
    <row r="231803" customFormat="1" x14ac:dyDescent="0.25"/>
    <row r="231804" customFormat="1" x14ac:dyDescent="0.25"/>
    <row r="231805" customFormat="1" x14ac:dyDescent="0.25"/>
    <row r="231806" customFormat="1" x14ac:dyDescent="0.25"/>
    <row r="231807" customFormat="1" x14ac:dyDescent="0.25"/>
    <row r="231808" customFormat="1" x14ac:dyDescent="0.25"/>
    <row r="231809" customFormat="1" x14ac:dyDescent="0.25"/>
    <row r="231810" customFormat="1" x14ac:dyDescent="0.25"/>
    <row r="231811" customFormat="1" x14ac:dyDescent="0.25"/>
    <row r="231812" customFormat="1" x14ac:dyDescent="0.25"/>
    <row r="231813" customFormat="1" x14ac:dyDescent="0.25"/>
    <row r="231814" customFormat="1" x14ac:dyDescent="0.25"/>
    <row r="231815" customFormat="1" x14ac:dyDescent="0.25"/>
    <row r="231816" customFormat="1" x14ac:dyDescent="0.25"/>
    <row r="231817" customFormat="1" x14ac:dyDescent="0.25"/>
    <row r="231818" customFormat="1" x14ac:dyDescent="0.25"/>
    <row r="231819" customFormat="1" x14ac:dyDescent="0.25"/>
    <row r="231820" customFormat="1" x14ac:dyDescent="0.25"/>
    <row r="231821" customFormat="1" x14ac:dyDescent="0.25"/>
    <row r="231822" customFormat="1" x14ac:dyDescent="0.25"/>
    <row r="231823" customFormat="1" x14ac:dyDescent="0.25"/>
    <row r="231824" customFormat="1" x14ac:dyDescent="0.25"/>
    <row r="231825" customFormat="1" x14ac:dyDescent="0.25"/>
    <row r="231826" customFormat="1" x14ac:dyDescent="0.25"/>
    <row r="231827" customFormat="1" x14ac:dyDescent="0.25"/>
    <row r="231828" customFormat="1" x14ac:dyDescent="0.25"/>
    <row r="231829" customFormat="1" x14ac:dyDescent="0.25"/>
    <row r="231830" customFormat="1" x14ac:dyDescent="0.25"/>
    <row r="231831" customFormat="1" x14ac:dyDescent="0.25"/>
    <row r="231832" customFormat="1" x14ac:dyDescent="0.25"/>
    <row r="231833" customFormat="1" x14ac:dyDescent="0.25"/>
    <row r="231834" customFormat="1" x14ac:dyDescent="0.25"/>
    <row r="231835" customFormat="1" x14ac:dyDescent="0.25"/>
    <row r="231836" customFormat="1" x14ac:dyDescent="0.25"/>
    <row r="231837" customFormat="1" x14ac:dyDescent="0.25"/>
    <row r="231838" customFormat="1" x14ac:dyDescent="0.25"/>
    <row r="231839" customFormat="1" x14ac:dyDescent="0.25"/>
    <row r="231840" customFormat="1" x14ac:dyDescent="0.25"/>
    <row r="231841" customFormat="1" x14ac:dyDescent="0.25"/>
    <row r="231842" customFormat="1" x14ac:dyDescent="0.25"/>
    <row r="231843" customFormat="1" x14ac:dyDescent="0.25"/>
    <row r="231844" customFormat="1" x14ac:dyDescent="0.25"/>
    <row r="231845" customFormat="1" x14ac:dyDescent="0.25"/>
    <row r="231846" customFormat="1" x14ac:dyDescent="0.25"/>
    <row r="231847" customFormat="1" x14ac:dyDescent="0.25"/>
    <row r="231848" customFormat="1" x14ac:dyDescent="0.25"/>
    <row r="231849" customFormat="1" x14ac:dyDescent="0.25"/>
    <row r="231850" customFormat="1" x14ac:dyDescent="0.25"/>
    <row r="231851" customFormat="1" x14ac:dyDescent="0.25"/>
    <row r="231852" customFormat="1" x14ac:dyDescent="0.25"/>
    <row r="231853" customFormat="1" x14ac:dyDescent="0.25"/>
    <row r="231854" customFormat="1" x14ac:dyDescent="0.25"/>
    <row r="231855" customFormat="1" x14ac:dyDescent="0.25"/>
    <row r="231856" customFormat="1" x14ac:dyDescent="0.25"/>
    <row r="231857" customFormat="1" x14ac:dyDescent="0.25"/>
    <row r="231858" customFormat="1" x14ac:dyDescent="0.25"/>
    <row r="231859" customFormat="1" x14ac:dyDescent="0.25"/>
    <row r="231860" customFormat="1" x14ac:dyDescent="0.25"/>
    <row r="231861" customFormat="1" x14ac:dyDescent="0.25"/>
    <row r="231862" customFormat="1" x14ac:dyDescent="0.25"/>
    <row r="231863" customFormat="1" x14ac:dyDescent="0.25"/>
    <row r="231864" customFormat="1" x14ac:dyDescent="0.25"/>
    <row r="231865" customFormat="1" x14ac:dyDescent="0.25"/>
    <row r="231866" customFormat="1" x14ac:dyDescent="0.25"/>
    <row r="231867" customFormat="1" x14ac:dyDescent="0.25"/>
    <row r="231868" customFormat="1" x14ac:dyDescent="0.25"/>
    <row r="231869" customFormat="1" x14ac:dyDescent="0.25"/>
    <row r="231870" customFormat="1" x14ac:dyDescent="0.25"/>
    <row r="231871" customFormat="1" x14ac:dyDescent="0.25"/>
    <row r="231872" customFormat="1" x14ac:dyDescent="0.25"/>
    <row r="231873" customFormat="1" x14ac:dyDescent="0.25"/>
    <row r="231874" customFormat="1" x14ac:dyDescent="0.25"/>
    <row r="231875" customFormat="1" x14ac:dyDescent="0.25"/>
    <row r="231876" customFormat="1" x14ac:dyDescent="0.25"/>
    <row r="231877" customFormat="1" x14ac:dyDescent="0.25"/>
    <row r="231878" customFormat="1" x14ac:dyDescent="0.25"/>
    <row r="231879" customFormat="1" x14ac:dyDescent="0.25"/>
    <row r="231880" customFormat="1" x14ac:dyDescent="0.25"/>
    <row r="231881" customFormat="1" x14ac:dyDescent="0.25"/>
    <row r="231882" customFormat="1" x14ac:dyDescent="0.25"/>
    <row r="231883" customFormat="1" x14ac:dyDescent="0.25"/>
    <row r="231884" customFormat="1" x14ac:dyDescent="0.25"/>
    <row r="231885" customFormat="1" x14ac:dyDescent="0.25"/>
    <row r="231886" customFormat="1" x14ac:dyDescent="0.25"/>
    <row r="231887" customFormat="1" x14ac:dyDescent="0.25"/>
    <row r="231888" customFormat="1" x14ac:dyDescent="0.25"/>
    <row r="231889" customFormat="1" x14ac:dyDescent="0.25"/>
    <row r="231890" customFormat="1" x14ac:dyDescent="0.25"/>
    <row r="231891" customFormat="1" x14ac:dyDescent="0.25"/>
    <row r="231892" customFormat="1" x14ac:dyDescent="0.25"/>
    <row r="231893" customFormat="1" x14ac:dyDescent="0.25"/>
    <row r="231894" customFormat="1" x14ac:dyDescent="0.25"/>
    <row r="231895" customFormat="1" x14ac:dyDescent="0.25"/>
    <row r="231896" customFormat="1" x14ac:dyDescent="0.25"/>
    <row r="231897" customFormat="1" x14ac:dyDescent="0.25"/>
    <row r="231898" customFormat="1" x14ac:dyDescent="0.25"/>
    <row r="231899" customFormat="1" x14ac:dyDescent="0.25"/>
    <row r="231900" customFormat="1" x14ac:dyDescent="0.25"/>
    <row r="231901" customFormat="1" x14ac:dyDescent="0.25"/>
    <row r="231902" customFormat="1" x14ac:dyDescent="0.25"/>
    <row r="231903" customFormat="1" x14ac:dyDescent="0.25"/>
    <row r="231904" customFormat="1" x14ac:dyDescent="0.25"/>
    <row r="231905" customFormat="1" x14ac:dyDescent="0.25"/>
    <row r="231906" customFormat="1" x14ac:dyDescent="0.25"/>
    <row r="231907" customFormat="1" x14ac:dyDescent="0.25"/>
    <row r="231908" customFormat="1" x14ac:dyDescent="0.25"/>
    <row r="231909" customFormat="1" x14ac:dyDescent="0.25"/>
    <row r="231910" customFormat="1" x14ac:dyDescent="0.25"/>
    <row r="231911" customFormat="1" x14ac:dyDescent="0.25"/>
    <row r="231912" customFormat="1" x14ac:dyDescent="0.25"/>
    <row r="231913" customFormat="1" x14ac:dyDescent="0.25"/>
    <row r="231914" customFormat="1" x14ac:dyDescent="0.25"/>
    <row r="231915" customFormat="1" x14ac:dyDescent="0.25"/>
    <row r="231916" customFormat="1" x14ac:dyDescent="0.25"/>
    <row r="231917" customFormat="1" x14ac:dyDescent="0.25"/>
    <row r="231918" customFormat="1" x14ac:dyDescent="0.25"/>
    <row r="231919" customFormat="1" x14ac:dyDescent="0.25"/>
    <row r="231920" customFormat="1" x14ac:dyDescent="0.25"/>
    <row r="231921" customFormat="1" x14ac:dyDescent="0.25"/>
    <row r="231922" customFormat="1" x14ac:dyDescent="0.25"/>
    <row r="231923" customFormat="1" x14ac:dyDescent="0.25"/>
    <row r="231924" customFormat="1" x14ac:dyDescent="0.25"/>
    <row r="231925" customFormat="1" x14ac:dyDescent="0.25"/>
    <row r="231926" customFormat="1" x14ac:dyDescent="0.25"/>
    <row r="231927" customFormat="1" x14ac:dyDescent="0.25"/>
    <row r="231928" customFormat="1" x14ac:dyDescent="0.25"/>
    <row r="231929" customFormat="1" x14ac:dyDescent="0.25"/>
    <row r="231930" customFormat="1" x14ac:dyDescent="0.25"/>
    <row r="231931" customFormat="1" x14ac:dyDescent="0.25"/>
    <row r="231932" customFormat="1" x14ac:dyDescent="0.25"/>
    <row r="231933" customFormat="1" x14ac:dyDescent="0.25"/>
    <row r="231934" customFormat="1" x14ac:dyDescent="0.25"/>
    <row r="231935" customFormat="1" x14ac:dyDescent="0.25"/>
    <row r="231936" customFormat="1" x14ac:dyDescent="0.25"/>
    <row r="231937" customFormat="1" x14ac:dyDescent="0.25"/>
    <row r="231938" customFormat="1" x14ac:dyDescent="0.25"/>
    <row r="231939" customFormat="1" x14ac:dyDescent="0.25"/>
    <row r="231940" customFormat="1" x14ac:dyDescent="0.25"/>
    <row r="231941" customFormat="1" x14ac:dyDescent="0.25"/>
    <row r="231942" customFormat="1" x14ac:dyDescent="0.25"/>
    <row r="231943" customFormat="1" x14ac:dyDescent="0.25"/>
    <row r="231944" customFormat="1" x14ac:dyDescent="0.25"/>
    <row r="231945" customFormat="1" x14ac:dyDescent="0.25"/>
    <row r="231946" customFormat="1" x14ac:dyDescent="0.25"/>
    <row r="231947" customFormat="1" x14ac:dyDescent="0.25"/>
    <row r="231948" customFormat="1" x14ac:dyDescent="0.25"/>
    <row r="231949" customFormat="1" x14ac:dyDescent="0.25"/>
    <row r="231950" customFormat="1" x14ac:dyDescent="0.25"/>
    <row r="231951" customFormat="1" x14ac:dyDescent="0.25"/>
    <row r="231952" customFormat="1" x14ac:dyDescent="0.25"/>
    <row r="231953" customFormat="1" x14ac:dyDescent="0.25"/>
    <row r="231954" customFormat="1" x14ac:dyDescent="0.25"/>
    <row r="231955" customFormat="1" x14ac:dyDescent="0.25"/>
    <row r="231956" customFormat="1" x14ac:dyDescent="0.25"/>
    <row r="231957" customFormat="1" x14ac:dyDescent="0.25"/>
    <row r="231958" customFormat="1" x14ac:dyDescent="0.25"/>
    <row r="231959" customFormat="1" x14ac:dyDescent="0.25"/>
    <row r="231960" customFormat="1" x14ac:dyDescent="0.25"/>
    <row r="231961" customFormat="1" x14ac:dyDescent="0.25"/>
    <row r="231962" customFormat="1" x14ac:dyDescent="0.25"/>
    <row r="231963" customFormat="1" x14ac:dyDescent="0.25"/>
    <row r="231964" customFormat="1" x14ac:dyDescent="0.25"/>
    <row r="231965" customFormat="1" x14ac:dyDescent="0.25"/>
    <row r="231966" customFormat="1" x14ac:dyDescent="0.25"/>
    <row r="231967" customFormat="1" x14ac:dyDescent="0.25"/>
    <row r="231968" customFormat="1" x14ac:dyDescent="0.25"/>
    <row r="231969" customFormat="1" x14ac:dyDescent="0.25"/>
    <row r="231970" customFormat="1" x14ac:dyDescent="0.25"/>
    <row r="231971" customFormat="1" x14ac:dyDescent="0.25"/>
    <row r="231972" customFormat="1" x14ac:dyDescent="0.25"/>
    <row r="231973" customFormat="1" x14ac:dyDescent="0.25"/>
    <row r="231974" customFormat="1" x14ac:dyDescent="0.25"/>
    <row r="231975" customFormat="1" x14ac:dyDescent="0.25"/>
    <row r="231976" customFormat="1" x14ac:dyDescent="0.25"/>
    <row r="231977" customFormat="1" x14ac:dyDescent="0.25"/>
    <row r="231978" customFormat="1" x14ac:dyDescent="0.25"/>
    <row r="231979" customFormat="1" x14ac:dyDescent="0.25"/>
    <row r="231980" customFormat="1" x14ac:dyDescent="0.25"/>
    <row r="231981" customFormat="1" x14ac:dyDescent="0.25"/>
    <row r="231982" customFormat="1" x14ac:dyDescent="0.25"/>
    <row r="231983" customFormat="1" x14ac:dyDescent="0.25"/>
    <row r="231984" customFormat="1" x14ac:dyDescent="0.25"/>
    <row r="231985" customFormat="1" x14ac:dyDescent="0.25"/>
    <row r="231986" customFormat="1" x14ac:dyDescent="0.25"/>
    <row r="231987" customFormat="1" x14ac:dyDescent="0.25"/>
    <row r="231988" customFormat="1" x14ac:dyDescent="0.25"/>
    <row r="231989" customFormat="1" x14ac:dyDescent="0.25"/>
    <row r="231990" customFormat="1" x14ac:dyDescent="0.25"/>
    <row r="231991" customFormat="1" x14ac:dyDescent="0.25"/>
    <row r="231992" customFormat="1" x14ac:dyDescent="0.25"/>
    <row r="231993" customFormat="1" x14ac:dyDescent="0.25"/>
    <row r="231994" customFormat="1" x14ac:dyDescent="0.25"/>
    <row r="231995" customFormat="1" x14ac:dyDescent="0.25"/>
    <row r="231996" customFormat="1" x14ac:dyDescent="0.25"/>
    <row r="231997" customFormat="1" x14ac:dyDescent="0.25"/>
    <row r="231998" customFormat="1" x14ac:dyDescent="0.25"/>
    <row r="231999" customFormat="1" x14ac:dyDescent="0.25"/>
    <row r="232000" customFormat="1" x14ac:dyDescent="0.25"/>
    <row r="232001" customFormat="1" x14ac:dyDescent="0.25"/>
    <row r="232002" customFormat="1" x14ac:dyDescent="0.25"/>
    <row r="232003" customFormat="1" x14ac:dyDescent="0.25"/>
    <row r="232004" customFormat="1" x14ac:dyDescent="0.25"/>
    <row r="232005" customFormat="1" x14ac:dyDescent="0.25"/>
    <row r="232006" customFormat="1" x14ac:dyDescent="0.25"/>
    <row r="232007" customFormat="1" x14ac:dyDescent="0.25"/>
    <row r="232008" customFormat="1" x14ac:dyDescent="0.25"/>
    <row r="232009" customFormat="1" x14ac:dyDescent="0.25"/>
    <row r="232010" customFormat="1" x14ac:dyDescent="0.25"/>
    <row r="232011" customFormat="1" x14ac:dyDescent="0.25"/>
    <row r="232012" customFormat="1" x14ac:dyDescent="0.25"/>
    <row r="232013" customFormat="1" x14ac:dyDescent="0.25"/>
    <row r="232014" customFormat="1" x14ac:dyDescent="0.25"/>
    <row r="232015" customFormat="1" x14ac:dyDescent="0.25"/>
    <row r="232016" customFormat="1" x14ac:dyDescent="0.25"/>
    <row r="232017" customFormat="1" x14ac:dyDescent="0.25"/>
    <row r="232018" customFormat="1" x14ac:dyDescent="0.25"/>
    <row r="232019" customFormat="1" x14ac:dyDescent="0.25"/>
    <row r="232020" customFormat="1" x14ac:dyDescent="0.25"/>
    <row r="232021" customFormat="1" x14ac:dyDescent="0.25"/>
    <row r="232022" customFormat="1" x14ac:dyDescent="0.25"/>
    <row r="232023" customFormat="1" x14ac:dyDescent="0.25"/>
    <row r="232024" customFormat="1" x14ac:dyDescent="0.25"/>
    <row r="232025" customFormat="1" x14ac:dyDescent="0.25"/>
    <row r="232026" customFormat="1" x14ac:dyDescent="0.25"/>
    <row r="232027" customFormat="1" x14ac:dyDescent="0.25"/>
    <row r="232028" customFormat="1" x14ac:dyDescent="0.25"/>
    <row r="232029" customFormat="1" x14ac:dyDescent="0.25"/>
    <row r="232030" customFormat="1" x14ac:dyDescent="0.25"/>
    <row r="232031" customFormat="1" x14ac:dyDescent="0.25"/>
    <row r="232032" customFormat="1" x14ac:dyDescent="0.25"/>
    <row r="232033" customFormat="1" x14ac:dyDescent="0.25"/>
    <row r="232034" customFormat="1" x14ac:dyDescent="0.25"/>
    <row r="232035" customFormat="1" x14ac:dyDescent="0.25"/>
    <row r="232036" customFormat="1" x14ac:dyDescent="0.25"/>
    <row r="232037" customFormat="1" x14ac:dyDescent="0.25"/>
    <row r="232038" customFormat="1" x14ac:dyDescent="0.25"/>
    <row r="232039" customFormat="1" x14ac:dyDescent="0.25"/>
    <row r="232040" customFormat="1" x14ac:dyDescent="0.25"/>
    <row r="232041" customFormat="1" x14ac:dyDescent="0.25"/>
    <row r="232042" customFormat="1" x14ac:dyDescent="0.25"/>
    <row r="232043" customFormat="1" x14ac:dyDescent="0.25"/>
    <row r="232044" customFormat="1" x14ac:dyDescent="0.25"/>
    <row r="232045" customFormat="1" x14ac:dyDescent="0.25"/>
    <row r="232046" customFormat="1" x14ac:dyDescent="0.25"/>
    <row r="232047" customFormat="1" x14ac:dyDescent="0.25"/>
    <row r="232048" customFormat="1" x14ac:dyDescent="0.25"/>
    <row r="232049" customFormat="1" x14ac:dyDescent="0.25"/>
    <row r="232050" customFormat="1" x14ac:dyDescent="0.25"/>
    <row r="232051" customFormat="1" x14ac:dyDescent="0.25"/>
    <row r="232052" customFormat="1" x14ac:dyDescent="0.25"/>
    <row r="232053" customFormat="1" x14ac:dyDescent="0.25"/>
    <row r="232054" customFormat="1" x14ac:dyDescent="0.25"/>
    <row r="232055" customFormat="1" x14ac:dyDescent="0.25"/>
    <row r="232056" customFormat="1" x14ac:dyDescent="0.25"/>
    <row r="232057" customFormat="1" x14ac:dyDescent="0.25"/>
    <row r="232058" customFormat="1" x14ac:dyDescent="0.25"/>
    <row r="232059" customFormat="1" x14ac:dyDescent="0.25"/>
    <row r="232060" customFormat="1" x14ac:dyDescent="0.25"/>
    <row r="232061" customFormat="1" x14ac:dyDescent="0.25"/>
    <row r="232062" customFormat="1" x14ac:dyDescent="0.25"/>
    <row r="232063" customFormat="1" x14ac:dyDescent="0.25"/>
    <row r="232064" customFormat="1" x14ac:dyDescent="0.25"/>
    <row r="232065" customFormat="1" x14ac:dyDescent="0.25"/>
    <row r="232066" customFormat="1" x14ac:dyDescent="0.25"/>
    <row r="232067" customFormat="1" x14ac:dyDescent="0.25"/>
    <row r="232068" customFormat="1" x14ac:dyDescent="0.25"/>
    <row r="232069" customFormat="1" x14ac:dyDescent="0.25"/>
    <row r="232070" customFormat="1" x14ac:dyDescent="0.25"/>
    <row r="232071" customFormat="1" x14ac:dyDescent="0.25"/>
    <row r="232072" customFormat="1" x14ac:dyDescent="0.25"/>
    <row r="232073" customFormat="1" x14ac:dyDescent="0.25"/>
    <row r="232074" customFormat="1" x14ac:dyDescent="0.25"/>
    <row r="232075" customFormat="1" x14ac:dyDescent="0.25"/>
    <row r="232076" customFormat="1" x14ac:dyDescent="0.25"/>
    <row r="232077" customFormat="1" x14ac:dyDescent="0.25"/>
    <row r="232078" customFormat="1" x14ac:dyDescent="0.25"/>
    <row r="232079" customFormat="1" x14ac:dyDescent="0.25"/>
    <row r="232080" customFormat="1" x14ac:dyDescent="0.25"/>
    <row r="232081" customFormat="1" x14ac:dyDescent="0.25"/>
    <row r="232082" customFormat="1" x14ac:dyDescent="0.25"/>
    <row r="232083" customFormat="1" x14ac:dyDescent="0.25"/>
    <row r="232084" customFormat="1" x14ac:dyDescent="0.25"/>
    <row r="232085" customFormat="1" x14ac:dyDescent="0.25"/>
    <row r="232086" customFormat="1" x14ac:dyDescent="0.25"/>
    <row r="232087" customFormat="1" x14ac:dyDescent="0.25"/>
    <row r="232088" customFormat="1" x14ac:dyDescent="0.25"/>
    <row r="232089" customFormat="1" x14ac:dyDescent="0.25"/>
    <row r="232090" customFormat="1" x14ac:dyDescent="0.25"/>
    <row r="232091" customFormat="1" x14ac:dyDescent="0.25"/>
    <row r="232092" customFormat="1" x14ac:dyDescent="0.25"/>
    <row r="232093" customFormat="1" x14ac:dyDescent="0.25"/>
    <row r="232094" customFormat="1" x14ac:dyDescent="0.25"/>
    <row r="232095" customFormat="1" x14ac:dyDescent="0.25"/>
    <row r="232096" customFormat="1" x14ac:dyDescent="0.25"/>
    <row r="232097" customFormat="1" x14ac:dyDescent="0.25"/>
    <row r="232098" customFormat="1" x14ac:dyDescent="0.25"/>
    <row r="232099" customFormat="1" x14ac:dyDescent="0.25"/>
    <row r="232100" customFormat="1" x14ac:dyDescent="0.25"/>
    <row r="232101" customFormat="1" x14ac:dyDescent="0.25"/>
    <row r="232102" customFormat="1" x14ac:dyDescent="0.25"/>
    <row r="232103" customFormat="1" x14ac:dyDescent="0.25"/>
    <row r="232104" customFormat="1" x14ac:dyDescent="0.25"/>
    <row r="232105" customFormat="1" x14ac:dyDescent="0.25"/>
    <row r="232106" customFormat="1" x14ac:dyDescent="0.25"/>
    <row r="232107" customFormat="1" x14ac:dyDescent="0.25"/>
    <row r="232108" customFormat="1" x14ac:dyDescent="0.25"/>
    <row r="232109" customFormat="1" x14ac:dyDescent="0.25"/>
    <row r="232110" customFormat="1" x14ac:dyDescent="0.25"/>
    <row r="232111" customFormat="1" x14ac:dyDescent="0.25"/>
    <row r="232112" customFormat="1" x14ac:dyDescent="0.25"/>
    <row r="232113" customFormat="1" x14ac:dyDescent="0.25"/>
    <row r="232114" customFormat="1" x14ac:dyDescent="0.25"/>
    <row r="232115" customFormat="1" x14ac:dyDescent="0.25"/>
    <row r="232116" customFormat="1" x14ac:dyDescent="0.25"/>
    <row r="232117" customFormat="1" x14ac:dyDescent="0.25"/>
    <row r="232118" customFormat="1" x14ac:dyDescent="0.25"/>
    <row r="232119" customFormat="1" x14ac:dyDescent="0.25"/>
    <row r="232120" customFormat="1" x14ac:dyDescent="0.25"/>
    <row r="232121" customFormat="1" x14ac:dyDescent="0.25"/>
    <row r="232122" customFormat="1" x14ac:dyDescent="0.25"/>
    <row r="232123" customFormat="1" x14ac:dyDescent="0.25"/>
    <row r="232124" customFormat="1" x14ac:dyDescent="0.25"/>
    <row r="232125" customFormat="1" x14ac:dyDescent="0.25"/>
    <row r="232126" customFormat="1" x14ac:dyDescent="0.25"/>
    <row r="232127" customFormat="1" x14ac:dyDescent="0.25"/>
    <row r="232128" customFormat="1" x14ac:dyDescent="0.25"/>
    <row r="232129" customFormat="1" x14ac:dyDescent="0.25"/>
    <row r="232130" customFormat="1" x14ac:dyDescent="0.25"/>
    <row r="232131" customFormat="1" x14ac:dyDescent="0.25"/>
    <row r="232132" customFormat="1" x14ac:dyDescent="0.25"/>
    <row r="232133" customFormat="1" x14ac:dyDescent="0.25"/>
    <row r="232134" customFormat="1" x14ac:dyDescent="0.25"/>
    <row r="232135" customFormat="1" x14ac:dyDescent="0.25"/>
    <row r="232136" customFormat="1" x14ac:dyDescent="0.25"/>
    <row r="232137" customFormat="1" x14ac:dyDescent="0.25"/>
    <row r="232138" customFormat="1" x14ac:dyDescent="0.25"/>
    <row r="232139" customFormat="1" x14ac:dyDescent="0.25"/>
    <row r="232140" customFormat="1" x14ac:dyDescent="0.25"/>
    <row r="232141" customFormat="1" x14ac:dyDescent="0.25"/>
    <row r="232142" customFormat="1" x14ac:dyDescent="0.25"/>
    <row r="232143" customFormat="1" x14ac:dyDescent="0.25"/>
    <row r="232144" customFormat="1" x14ac:dyDescent="0.25"/>
    <row r="232145" customFormat="1" x14ac:dyDescent="0.25"/>
    <row r="232146" customFormat="1" x14ac:dyDescent="0.25"/>
    <row r="232147" customFormat="1" x14ac:dyDescent="0.25"/>
    <row r="232148" customFormat="1" x14ac:dyDescent="0.25"/>
    <row r="232149" customFormat="1" x14ac:dyDescent="0.25"/>
    <row r="232150" customFormat="1" x14ac:dyDescent="0.25"/>
    <row r="232151" customFormat="1" x14ac:dyDescent="0.25"/>
    <row r="232152" customFormat="1" x14ac:dyDescent="0.25"/>
    <row r="232153" customFormat="1" x14ac:dyDescent="0.25"/>
    <row r="232154" customFormat="1" x14ac:dyDescent="0.25"/>
    <row r="232155" customFormat="1" x14ac:dyDescent="0.25"/>
    <row r="232156" customFormat="1" x14ac:dyDescent="0.25"/>
    <row r="232157" customFormat="1" x14ac:dyDescent="0.25"/>
    <row r="232158" customFormat="1" x14ac:dyDescent="0.25"/>
    <row r="232159" customFormat="1" x14ac:dyDescent="0.25"/>
    <row r="232160" customFormat="1" x14ac:dyDescent="0.25"/>
    <row r="232161" customFormat="1" x14ac:dyDescent="0.25"/>
    <row r="232162" customFormat="1" x14ac:dyDescent="0.25"/>
    <row r="232163" customFormat="1" x14ac:dyDescent="0.25"/>
    <row r="232164" customFormat="1" x14ac:dyDescent="0.25"/>
    <row r="232165" customFormat="1" x14ac:dyDescent="0.25"/>
    <row r="232166" customFormat="1" x14ac:dyDescent="0.25"/>
    <row r="232167" customFormat="1" x14ac:dyDescent="0.25"/>
    <row r="232168" customFormat="1" x14ac:dyDescent="0.25"/>
    <row r="232169" customFormat="1" x14ac:dyDescent="0.25"/>
    <row r="232170" customFormat="1" x14ac:dyDescent="0.25"/>
    <row r="232171" customFormat="1" x14ac:dyDescent="0.25"/>
    <row r="232172" customFormat="1" x14ac:dyDescent="0.25"/>
    <row r="232173" customFormat="1" x14ac:dyDescent="0.25"/>
    <row r="232174" customFormat="1" x14ac:dyDescent="0.25"/>
    <row r="232175" customFormat="1" x14ac:dyDescent="0.25"/>
    <row r="232176" customFormat="1" x14ac:dyDescent="0.25"/>
    <row r="232177" customFormat="1" x14ac:dyDescent="0.25"/>
    <row r="232178" customFormat="1" x14ac:dyDescent="0.25"/>
    <row r="232179" customFormat="1" x14ac:dyDescent="0.25"/>
    <row r="232180" customFormat="1" x14ac:dyDescent="0.25"/>
    <row r="232181" customFormat="1" x14ac:dyDescent="0.25"/>
    <row r="232182" customFormat="1" x14ac:dyDescent="0.25"/>
    <row r="232183" customFormat="1" x14ac:dyDescent="0.25"/>
    <row r="232184" customFormat="1" x14ac:dyDescent="0.25"/>
    <row r="232185" customFormat="1" x14ac:dyDescent="0.25"/>
    <row r="232186" customFormat="1" x14ac:dyDescent="0.25"/>
    <row r="232187" customFormat="1" x14ac:dyDescent="0.25"/>
    <row r="232188" customFormat="1" x14ac:dyDescent="0.25"/>
    <row r="232189" customFormat="1" x14ac:dyDescent="0.25"/>
    <row r="232190" customFormat="1" x14ac:dyDescent="0.25"/>
    <row r="232191" customFormat="1" x14ac:dyDescent="0.25"/>
    <row r="232192" customFormat="1" x14ac:dyDescent="0.25"/>
    <row r="232193" customFormat="1" x14ac:dyDescent="0.25"/>
    <row r="232194" customFormat="1" x14ac:dyDescent="0.25"/>
    <row r="232195" customFormat="1" x14ac:dyDescent="0.25"/>
    <row r="232196" customFormat="1" x14ac:dyDescent="0.25"/>
    <row r="232197" customFormat="1" x14ac:dyDescent="0.25"/>
    <row r="232198" customFormat="1" x14ac:dyDescent="0.25"/>
    <row r="232199" customFormat="1" x14ac:dyDescent="0.25"/>
    <row r="232200" customFormat="1" x14ac:dyDescent="0.25"/>
    <row r="232201" customFormat="1" x14ac:dyDescent="0.25"/>
    <row r="232202" customFormat="1" x14ac:dyDescent="0.25"/>
    <row r="232203" customFormat="1" x14ac:dyDescent="0.25"/>
    <row r="232204" customFormat="1" x14ac:dyDescent="0.25"/>
    <row r="232205" customFormat="1" x14ac:dyDescent="0.25"/>
    <row r="232206" customFormat="1" x14ac:dyDescent="0.25"/>
    <row r="232207" customFormat="1" x14ac:dyDescent="0.25"/>
    <row r="232208" customFormat="1" x14ac:dyDescent="0.25"/>
    <row r="232209" customFormat="1" x14ac:dyDescent="0.25"/>
    <row r="232210" customFormat="1" x14ac:dyDescent="0.25"/>
    <row r="232211" customFormat="1" x14ac:dyDescent="0.25"/>
    <row r="232212" customFormat="1" x14ac:dyDescent="0.25"/>
    <row r="232213" customFormat="1" x14ac:dyDescent="0.25"/>
    <row r="232214" customFormat="1" x14ac:dyDescent="0.25"/>
    <row r="232215" customFormat="1" x14ac:dyDescent="0.25"/>
    <row r="232216" customFormat="1" x14ac:dyDescent="0.25"/>
    <row r="232217" customFormat="1" x14ac:dyDescent="0.25"/>
    <row r="232218" customFormat="1" x14ac:dyDescent="0.25"/>
    <row r="232219" customFormat="1" x14ac:dyDescent="0.25"/>
    <row r="232220" customFormat="1" x14ac:dyDescent="0.25"/>
    <row r="232221" customFormat="1" x14ac:dyDescent="0.25"/>
    <row r="232222" customFormat="1" x14ac:dyDescent="0.25"/>
    <row r="232223" customFormat="1" x14ac:dyDescent="0.25"/>
    <row r="232224" customFormat="1" x14ac:dyDescent="0.25"/>
    <row r="232225" customFormat="1" x14ac:dyDescent="0.25"/>
    <row r="232226" customFormat="1" x14ac:dyDescent="0.25"/>
    <row r="232227" customFormat="1" x14ac:dyDescent="0.25"/>
    <row r="232228" customFormat="1" x14ac:dyDescent="0.25"/>
    <row r="232229" customFormat="1" x14ac:dyDescent="0.25"/>
    <row r="232230" customFormat="1" x14ac:dyDescent="0.25"/>
    <row r="232231" customFormat="1" x14ac:dyDescent="0.25"/>
    <row r="232232" customFormat="1" x14ac:dyDescent="0.25"/>
    <row r="232233" customFormat="1" x14ac:dyDescent="0.25"/>
    <row r="232234" customFormat="1" x14ac:dyDescent="0.25"/>
    <row r="232235" customFormat="1" x14ac:dyDescent="0.25"/>
    <row r="232236" customFormat="1" x14ac:dyDescent="0.25"/>
    <row r="232237" customFormat="1" x14ac:dyDescent="0.25"/>
    <row r="232238" customFormat="1" x14ac:dyDescent="0.25"/>
    <row r="232239" customFormat="1" x14ac:dyDescent="0.25"/>
    <row r="232240" customFormat="1" x14ac:dyDescent="0.25"/>
    <row r="232241" customFormat="1" x14ac:dyDescent="0.25"/>
    <row r="232242" customFormat="1" x14ac:dyDescent="0.25"/>
    <row r="232243" customFormat="1" x14ac:dyDescent="0.25"/>
    <row r="232244" customFormat="1" x14ac:dyDescent="0.25"/>
    <row r="232245" customFormat="1" x14ac:dyDescent="0.25"/>
    <row r="232246" customFormat="1" x14ac:dyDescent="0.25"/>
    <row r="232247" customFormat="1" x14ac:dyDescent="0.25"/>
    <row r="232248" customFormat="1" x14ac:dyDescent="0.25"/>
    <row r="232249" customFormat="1" x14ac:dyDescent="0.25"/>
    <row r="232250" customFormat="1" x14ac:dyDescent="0.25"/>
    <row r="232251" customFormat="1" x14ac:dyDescent="0.25"/>
    <row r="232252" customFormat="1" x14ac:dyDescent="0.25"/>
    <row r="232253" customFormat="1" x14ac:dyDescent="0.25"/>
    <row r="232254" customFormat="1" x14ac:dyDescent="0.25"/>
    <row r="232255" customFormat="1" x14ac:dyDescent="0.25"/>
    <row r="232256" customFormat="1" x14ac:dyDescent="0.25"/>
    <row r="232257" customFormat="1" x14ac:dyDescent="0.25"/>
    <row r="232258" customFormat="1" x14ac:dyDescent="0.25"/>
    <row r="232259" customFormat="1" x14ac:dyDescent="0.25"/>
    <row r="232260" customFormat="1" x14ac:dyDescent="0.25"/>
    <row r="232261" customFormat="1" x14ac:dyDescent="0.25"/>
    <row r="232262" customFormat="1" x14ac:dyDescent="0.25"/>
    <row r="232263" customFormat="1" x14ac:dyDescent="0.25"/>
    <row r="232264" customFormat="1" x14ac:dyDescent="0.25"/>
    <row r="232265" customFormat="1" x14ac:dyDescent="0.25"/>
    <row r="232266" customFormat="1" x14ac:dyDescent="0.25"/>
    <row r="232267" customFormat="1" x14ac:dyDescent="0.25"/>
    <row r="232268" customFormat="1" x14ac:dyDescent="0.25"/>
    <row r="232269" customFormat="1" x14ac:dyDescent="0.25"/>
    <row r="232270" customFormat="1" x14ac:dyDescent="0.25"/>
    <row r="232271" customFormat="1" x14ac:dyDescent="0.25"/>
    <row r="232272" customFormat="1" x14ac:dyDescent="0.25"/>
    <row r="232273" customFormat="1" x14ac:dyDescent="0.25"/>
    <row r="232274" customFormat="1" x14ac:dyDescent="0.25"/>
    <row r="232275" customFormat="1" x14ac:dyDescent="0.25"/>
    <row r="232276" customFormat="1" x14ac:dyDescent="0.25"/>
    <row r="232277" customFormat="1" x14ac:dyDescent="0.25"/>
    <row r="232278" customFormat="1" x14ac:dyDescent="0.25"/>
    <row r="232279" customFormat="1" x14ac:dyDescent="0.25"/>
    <row r="232280" customFormat="1" x14ac:dyDescent="0.25"/>
    <row r="232281" customFormat="1" x14ac:dyDescent="0.25"/>
    <row r="232282" customFormat="1" x14ac:dyDescent="0.25"/>
    <row r="232283" customFormat="1" x14ac:dyDescent="0.25"/>
    <row r="232284" customFormat="1" x14ac:dyDescent="0.25"/>
    <row r="232285" customFormat="1" x14ac:dyDescent="0.25"/>
    <row r="232286" customFormat="1" x14ac:dyDescent="0.25"/>
    <row r="232287" customFormat="1" x14ac:dyDescent="0.25"/>
    <row r="232288" customFormat="1" x14ac:dyDescent="0.25"/>
    <row r="232289" customFormat="1" x14ac:dyDescent="0.25"/>
    <row r="232290" customFormat="1" x14ac:dyDescent="0.25"/>
    <row r="232291" customFormat="1" x14ac:dyDescent="0.25"/>
    <row r="232292" customFormat="1" x14ac:dyDescent="0.25"/>
    <row r="232293" customFormat="1" x14ac:dyDescent="0.25"/>
    <row r="232294" customFormat="1" x14ac:dyDescent="0.25"/>
    <row r="232295" customFormat="1" x14ac:dyDescent="0.25"/>
    <row r="232296" customFormat="1" x14ac:dyDescent="0.25"/>
    <row r="232297" customFormat="1" x14ac:dyDescent="0.25"/>
    <row r="232298" customFormat="1" x14ac:dyDescent="0.25"/>
    <row r="232299" customFormat="1" x14ac:dyDescent="0.25"/>
    <row r="232300" customFormat="1" x14ac:dyDescent="0.25"/>
    <row r="232301" customFormat="1" x14ac:dyDescent="0.25"/>
    <row r="232302" customFormat="1" x14ac:dyDescent="0.25"/>
    <row r="232303" customFormat="1" x14ac:dyDescent="0.25"/>
    <row r="232304" customFormat="1" x14ac:dyDescent="0.25"/>
    <row r="232305" customFormat="1" x14ac:dyDescent="0.25"/>
    <row r="232306" customFormat="1" x14ac:dyDescent="0.25"/>
    <row r="232307" customFormat="1" x14ac:dyDescent="0.25"/>
    <row r="232308" customFormat="1" x14ac:dyDescent="0.25"/>
    <row r="232309" customFormat="1" x14ac:dyDescent="0.25"/>
    <row r="232310" customFormat="1" x14ac:dyDescent="0.25"/>
    <row r="232311" customFormat="1" x14ac:dyDescent="0.25"/>
    <row r="232312" customFormat="1" x14ac:dyDescent="0.25"/>
    <row r="232313" customFormat="1" x14ac:dyDescent="0.25"/>
    <row r="232314" customFormat="1" x14ac:dyDescent="0.25"/>
    <row r="232315" customFormat="1" x14ac:dyDescent="0.25"/>
    <row r="232316" customFormat="1" x14ac:dyDescent="0.25"/>
    <row r="232317" customFormat="1" x14ac:dyDescent="0.25"/>
    <row r="232318" customFormat="1" x14ac:dyDescent="0.25"/>
    <row r="232319" customFormat="1" x14ac:dyDescent="0.25"/>
    <row r="232320" customFormat="1" x14ac:dyDescent="0.25"/>
    <row r="232321" customFormat="1" x14ac:dyDescent="0.25"/>
    <row r="232322" customFormat="1" x14ac:dyDescent="0.25"/>
    <row r="232323" customFormat="1" x14ac:dyDescent="0.25"/>
    <row r="232324" customFormat="1" x14ac:dyDescent="0.25"/>
    <row r="232325" customFormat="1" x14ac:dyDescent="0.25"/>
    <row r="232326" customFormat="1" x14ac:dyDescent="0.25"/>
    <row r="232327" customFormat="1" x14ac:dyDescent="0.25"/>
    <row r="232328" customFormat="1" x14ac:dyDescent="0.25"/>
    <row r="232329" customFormat="1" x14ac:dyDescent="0.25"/>
    <row r="232330" customFormat="1" x14ac:dyDescent="0.25"/>
    <row r="232331" customFormat="1" x14ac:dyDescent="0.25"/>
    <row r="232332" customFormat="1" x14ac:dyDescent="0.25"/>
    <row r="232333" customFormat="1" x14ac:dyDescent="0.25"/>
    <row r="232334" customFormat="1" x14ac:dyDescent="0.25"/>
    <row r="232335" customFormat="1" x14ac:dyDescent="0.25"/>
    <row r="232336" customFormat="1" x14ac:dyDescent="0.25"/>
    <row r="232337" customFormat="1" x14ac:dyDescent="0.25"/>
    <row r="232338" customFormat="1" x14ac:dyDescent="0.25"/>
    <row r="232339" customFormat="1" x14ac:dyDescent="0.25"/>
    <row r="232340" customFormat="1" x14ac:dyDescent="0.25"/>
    <row r="232341" customFormat="1" x14ac:dyDescent="0.25"/>
    <row r="232342" customFormat="1" x14ac:dyDescent="0.25"/>
    <row r="232343" customFormat="1" x14ac:dyDescent="0.25"/>
    <row r="232344" customFormat="1" x14ac:dyDescent="0.25"/>
    <row r="232345" customFormat="1" x14ac:dyDescent="0.25"/>
    <row r="232346" customFormat="1" x14ac:dyDescent="0.25"/>
    <row r="232347" customFormat="1" x14ac:dyDescent="0.25"/>
    <row r="232348" customFormat="1" x14ac:dyDescent="0.25"/>
    <row r="232349" customFormat="1" x14ac:dyDescent="0.25"/>
    <row r="232350" customFormat="1" x14ac:dyDescent="0.25"/>
    <row r="232351" customFormat="1" x14ac:dyDescent="0.25"/>
    <row r="232352" customFormat="1" x14ac:dyDescent="0.25"/>
    <row r="232353" customFormat="1" x14ac:dyDescent="0.25"/>
    <row r="232354" customFormat="1" x14ac:dyDescent="0.25"/>
    <row r="232355" customFormat="1" x14ac:dyDescent="0.25"/>
    <row r="232356" customFormat="1" x14ac:dyDescent="0.25"/>
    <row r="232357" customFormat="1" x14ac:dyDescent="0.25"/>
    <row r="232358" customFormat="1" x14ac:dyDescent="0.25"/>
    <row r="232359" customFormat="1" x14ac:dyDescent="0.25"/>
    <row r="232360" customFormat="1" x14ac:dyDescent="0.25"/>
    <row r="232361" customFormat="1" x14ac:dyDescent="0.25"/>
    <row r="232362" customFormat="1" x14ac:dyDescent="0.25"/>
    <row r="232363" customFormat="1" x14ac:dyDescent="0.25"/>
    <row r="232364" customFormat="1" x14ac:dyDescent="0.25"/>
    <row r="232365" customFormat="1" x14ac:dyDescent="0.25"/>
    <row r="232366" customFormat="1" x14ac:dyDescent="0.25"/>
    <row r="232367" customFormat="1" x14ac:dyDescent="0.25"/>
    <row r="232368" customFormat="1" x14ac:dyDescent="0.25"/>
    <row r="232369" customFormat="1" x14ac:dyDescent="0.25"/>
    <row r="232370" customFormat="1" x14ac:dyDescent="0.25"/>
    <row r="232371" customFormat="1" x14ac:dyDescent="0.25"/>
    <row r="232372" customFormat="1" x14ac:dyDescent="0.25"/>
    <row r="232373" customFormat="1" x14ac:dyDescent="0.25"/>
    <row r="232374" customFormat="1" x14ac:dyDescent="0.25"/>
    <row r="232375" customFormat="1" x14ac:dyDescent="0.25"/>
    <row r="232376" customFormat="1" x14ac:dyDescent="0.25"/>
    <row r="232377" customFormat="1" x14ac:dyDescent="0.25"/>
    <row r="232378" customFormat="1" x14ac:dyDescent="0.25"/>
    <row r="232379" customFormat="1" x14ac:dyDescent="0.25"/>
    <row r="232380" customFormat="1" x14ac:dyDescent="0.25"/>
    <row r="232381" customFormat="1" x14ac:dyDescent="0.25"/>
    <row r="232382" customFormat="1" x14ac:dyDescent="0.25"/>
    <row r="232383" customFormat="1" x14ac:dyDescent="0.25"/>
    <row r="232384" customFormat="1" x14ac:dyDescent="0.25"/>
    <row r="232385" customFormat="1" x14ac:dyDescent="0.25"/>
    <row r="232386" customFormat="1" x14ac:dyDescent="0.25"/>
    <row r="232387" customFormat="1" x14ac:dyDescent="0.25"/>
    <row r="232388" customFormat="1" x14ac:dyDescent="0.25"/>
    <row r="232389" customFormat="1" x14ac:dyDescent="0.25"/>
    <row r="232390" customFormat="1" x14ac:dyDescent="0.25"/>
    <row r="232391" customFormat="1" x14ac:dyDescent="0.25"/>
    <row r="232392" customFormat="1" x14ac:dyDescent="0.25"/>
    <row r="232393" customFormat="1" x14ac:dyDescent="0.25"/>
    <row r="232394" customFormat="1" x14ac:dyDescent="0.25"/>
    <row r="232395" customFormat="1" x14ac:dyDescent="0.25"/>
    <row r="232396" customFormat="1" x14ac:dyDescent="0.25"/>
    <row r="232397" customFormat="1" x14ac:dyDescent="0.25"/>
    <row r="232398" customFormat="1" x14ac:dyDescent="0.25"/>
    <row r="232399" customFormat="1" x14ac:dyDescent="0.25"/>
    <row r="232400" customFormat="1" x14ac:dyDescent="0.25"/>
    <row r="232401" customFormat="1" x14ac:dyDescent="0.25"/>
    <row r="232402" customFormat="1" x14ac:dyDescent="0.25"/>
    <row r="232403" customFormat="1" x14ac:dyDescent="0.25"/>
    <row r="232404" customFormat="1" x14ac:dyDescent="0.25"/>
    <row r="232405" customFormat="1" x14ac:dyDescent="0.25"/>
    <row r="232406" customFormat="1" x14ac:dyDescent="0.25"/>
    <row r="232407" customFormat="1" x14ac:dyDescent="0.25"/>
    <row r="232408" customFormat="1" x14ac:dyDescent="0.25"/>
    <row r="232409" customFormat="1" x14ac:dyDescent="0.25"/>
    <row r="232410" customFormat="1" x14ac:dyDescent="0.25"/>
    <row r="232411" customFormat="1" x14ac:dyDescent="0.25"/>
    <row r="232412" customFormat="1" x14ac:dyDescent="0.25"/>
    <row r="232413" customFormat="1" x14ac:dyDescent="0.25"/>
    <row r="232414" customFormat="1" x14ac:dyDescent="0.25"/>
    <row r="232415" customFormat="1" x14ac:dyDescent="0.25"/>
    <row r="232416" customFormat="1" x14ac:dyDescent="0.25"/>
    <row r="232417" customFormat="1" x14ac:dyDescent="0.25"/>
    <row r="232418" customFormat="1" x14ac:dyDescent="0.25"/>
    <row r="232419" customFormat="1" x14ac:dyDescent="0.25"/>
    <row r="232420" customFormat="1" x14ac:dyDescent="0.25"/>
    <row r="232421" customFormat="1" x14ac:dyDescent="0.25"/>
    <row r="232422" customFormat="1" x14ac:dyDescent="0.25"/>
    <row r="232423" customFormat="1" x14ac:dyDescent="0.25"/>
    <row r="232424" customFormat="1" x14ac:dyDescent="0.25"/>
    <row r="232425" customFormat="1" x14ac:dyDescent="0.25"/>
    <row r="232426" customFormat="1" x14ac:dyDescent="0.25"/>
    <row r="232427" customFormat="1" x14ac:dyDescent="0.25"/>
    <row r="232428" customFormat="1" x14ac:dyDescent="0.25"/>
    <row r="232429" customFormat="1" x14ac:dyDescent="0.25"/>
    <row r="232430" customFormat="1" x14ac:dyDescent="0.25"/>
    <row r="232431" customFormat="1" x14ac:dyDescent="0.25"/>
    <row r="232432" customFormat="1" x14ac:dyDescent="0.25"/>
    <row r="232433" customFormat="1" x14ac:dyDescent="0.25"/>
    <row r="232434" customFormat="1" x14ac:dyDescent="0.25"/>
    <row r="232435" customFormat="1" x14ac:dyDescent="0.25"/>
    <row r="232436" customFormat="1" x14ac:dyDescent="0.25"/>
    <row r="232437" customFormat="1" x14ac:dyDescent="0.25"/>
    <row r="232438" customFormat="1" x14ac:dyDescent="0.25"/>
    <row r="232439" customFormat="1" x14ac:dyDescent="0.25"/>
    <row r="232440" customFormat="1" x14ac:dyDescent="0.25"/>
    <row r="232441" customFormat="1" x14ac:dyDescent="0.25"/>
    <row r="232442" customFormat="1" x14ac:dyDescent="0.25"/>
    <row r="232443" customFormat="1" x14ac:dyDescent="0.25"/>
    <row r="232444" customFormat="1" x14ac:dyDescent="0.25"/>
    <row r="232445" customFormat="1" x14ac:dyDescent="0.25"/>
    <row r="232446" customFormat="1" x14ac:dyDescent="0.25"/>
    <row r="232447" customFormat="1" x14ac:dyDescent="0.25"/>
    <row r="232448" customFormat="1" x14ac:dyDescent="0.25"/>
    <row r="232449" customFormat="1" x14ac:dyDescent="0.25"/>
    <row r="232450" customFormat="1" x14ac:dyDescent="0.25"/>
    <row r="232451" customFormat="1" x14ac:dyDescent="0.25"/>
    <row r="232452" customFormat="1" x14ac:dyDescent="0.25"/>
    <row r="232453" customFormat="1" x14ac:dyDescent="0.25"/>
    <row r="232454" customFormat="1" x14ac:dyDescent="0.25"/>
    <row r="232455" customFormat="1" x14ac:dyDescent="0.25"/>
    <row r="232456" customFormat="1" x14ac:dyDescent="0.25"/>
    <row r="232457" customFormat="1" x14ac:dyDescent="0.25"/>
    <row r="232458" customFormat="1" x14ac:dyDescent="0.25"/>
    <row r="232459" customFormat="1" x14ac:dyDescent="0.25"/>
    <row r="232460" customFormat="1" x14ac:dyDescent="0.25"/>
    <row r="232461" customFormat="1" x14ac:dyDescent="0.25"/>
    <row r="232462" customFormat="1" x14ac:dyDescent="0.25"/>
    <row r="232463" customFormat="1" x14ac:dyDescent="0.25"/>
    <row r="232464" customFormat="1" x14ac:dyDescent="0.25"/>
    <row r="232465" customFormat="1" x14ac:dyDescent="0.25"/>
    <row r="232466" customFormat="1" x14ac:dyDescent="0.25"/>
    <row r="232467" customFormat="1" x14ac:dyDescent="0.25"/>
    <row r="232468" customFormat="1" x14ac:dyDescent="0.25"/>
    <row r="232469" customFormat="1" x14ac:dyDescent="0.25"/>
    <row r="232470" customFormat="1" x14ac:dyDescent="0.25"/>
    <row r="232471" customFormat="1" x14ac:dyDescent="0.25"/>
    <row r="232472" customFormat="1" x14ac:dyDescent="0.25"/>
    <row r="232473" customFormat="1" x14ac:dyDescent="0.25"/>
    <row r="232474" customFormat="1" x14ac:dyDescent="0.25"/>
    <row r="232475" customFormat="1" x14ac:dyDescent="0.25"/>
    <row r="232476" customFormat="1" x14ac:dyDescent="0.25"/>
    <row r="232477" customFormat="1" x14ac:dyDescent="0.25"/>
    <row r="232478" customFormat="1" x14ac:dyDescent="0.25"/>
    <row r="232479" customFormat="1" x14ac:dyDescent="0.25"/>
    <row r="232480" customFormat="1" x14ac:dyDescent="0.25"/>
    <row r="232481" customFormat="1" x14ac:dyDescent="0.25"/>
    <row r="232482" customFormat="1" x14ac:dyDescent="0.25"/>
    <row r="232483" customFormat="1" x14ac:dyDescent="0.25"/>
    <row r="232484" customFormat="1" x14ac:dyDescent="0.25"/>
    <row r="232485" customFormat="1" x14ac:dyDescent="0.25"/>
    <row r="232486" customFormat="1" x14ac:dyDescent="0.25"/>
    <row r="232487" customFormat="1" x14ac:dyDescent="0.25"/>
    <row r="232488" customFormat="1" x14ac:dyDescent="0.25"/>
    <row r="232489" customFormat="1" x14ac:dyDescent="0.25"/>
    <row r="232490" customFormat="1" x14ac:dyDescent="0.25"/>
    <row r="232491" customFormat="1" x14ac:dyDescent="0.25"/>
    <row r="232492" customFormat="1" x14ac:dyDescent="0.25"/>
    <row r="232493" customFormat="1" x14ac:dyDescent="0.25"/>
    <row r="232494" customFormat="1" x14ac:dyDescent="0.25"/>
    <row r="232495" customFormat="1" x14ac:dyDescent="0.25"/>
    <row r="232496" customFormat="1" x14ac:dyDescent="0.25"/>
    <row r="232497" customFormat="1" x14ac:dyDescent="0.25"/>
    <row r="232498" customFormat="1" x14ac:dyDescent="0.25"/>
    <row r="232499" customFormat="1" x14ac:dyDescent="0.25"/>
    <row r="232500" customFormat="1" x14ac:dyDescent="0.25"/>
    <row r="232501" customFormat="1" x14ac:dyDescent="0.25"/>
    <row r="232502" customFormat="1" x14ac:dyDescent="0.25"/>
    <row r="232503" customFormat="1" x14ac:dyDescent="0.25"/>
    <row r="232504" customFormat="1" x14ac:dyDescent="0.25"/>
    <row r="232505" customFormat="1" x14ac:dyDescent="0.25"/>
    <row r="232506" customFormat="1" x14ac:dyDescent="0.25"/>
    <row r="232507" customFormat="1" x14ac:dyDescent="0.25"/>
    <row r="232508" customFormat="1" x14ac:dyDescent="0.25"/>
    <row r="232509" customFormat="1" x14ac:dyDescent="0.25"/>
    <row r="232510" customFormat="1" x14ac:dyDescent="0.25"/>
    <row r="232511" customFormat="1" x14ac:dyDescent="0.25"/>
    <row r="232512" customFormat="1" x14ac:dyDescent="0.25"/>
    <row r="232513" customFormat="1" x14ac:dyDescent="0.25"/>
    <row r="232514" customFormat="1" x14ac:dyDescent="0.25"/>
    <row r="232515" customFormat="1" x14ac:dyDescent="0.25"/>
    <row r="232516" customFormat="1" x14ac:dyDescent="0.25"/>
    <row r="232517" customFormat="1" x14ac:dyDescent="0.25"/>
    <row r="232518" customFormat="1" x14ac:dyDescent="0.25"/>
    <row r="232519" customFormat="1" x14ac:dyDescent="0.25"/>
    <row r="232520" customFormat="1" x14ac:dyDescent="0.25"/>
    <row r="232521" customFormat="1" x14ac:dyDescent="0.25"/>
    <row r="232522" customFormat="1" x14ac:dyDescent="0.25"/>
    <row r="232523" customFormat="1" x14ac:dyDescent="0.25"/>
    <row r="232524" customFormat="1" x14ac:dyDescent="0.25"/>
    <row r="232525" customFormat="1" x14ac:dyDescent="0.25"/>
    <row r="232526" customFormat="1" x14ac:dyDescent="0.25"/>
    <row r="232527" customFormat="1" x14ac:dyDescent="0.25"/>
    <row r="232528" customFormat="1" x14ac:dyDescent="0.25"/>
    <row r="232529" customFormat="1" x14ac:dyDescent="0.25"/>
    <row r="232530" customFormat="1" x14ac:dyDescent="0.25"/>
    <row r="232531" customFormat="1" x14ac:dyDescent="0.25"/>
    <row r="232532" customFormat="1" x14ac:dyDescent="0.25"/>
    <row r="232533" customFormat="1" x14ac:dyDescent="0.25"/>
    <row r="232534" customFormat="1" x14ac:dyDescent="0.25"/>
    <row r="232535" customFormat="1" x14ac:dyDescent="0.25"/>
    <row r="232536" customFormat="1" x14ac:dyDescent="0.25"/>
    <row r="232537" customFormat="1" x14ac:dyDescent="0.25"/>
    <row r="232538" customFormat="1" x14ac:dyDescent="0.25"/>
    <row r="232539" customFormat="1" x14ac:dyDescent="0.25"/>
    <row r="232540" customFormat="1" x14ac:dyDescent="0.25"/>
    <row r="232541" customFormat="1" x14ac:dyDescent="0.25"/>
    <row r="232542" customFormat="1" x14ac:dyDescent="0.25"/>
    <row r="232543" customFormat="1" x14ac:dyDescent="0.25"/>
    <row r="232544" customFormat="1" x14ac:dyDescent="0.25"/>
    <row r="232545" customFormat="1" x14ac:dyDescent="0.25"/>
    <row r="232546" customFormat="1" x14ac:dyDescent="0.25"/>
    <row r="232547" customFormat="1" x14ac:dyDescent="0.25"/>
    <row r="232548" customFormat="1" x14ac:dyDescent="0.25"/>
    <row r="232549" customFormat="1" x14ac:dyDescent="0.25"/>
    <row r="232550" customFormat="1" x14ac:dyDescent="0.25"/>
    <row r="232551" customFormat="1" x14ac:dyDescent="0.25"/>
    <row r="232552" customFormat="1" x14ac:dyDescent="0.25"/>
    <row r="232553" customFormat="1" x14ac:dyDescent="0.25"/>
    <row r="232554" customFormat="1" x14ac:dyDescent="0.25"/>
    <row r="232555" customFormat="1" x14ac:dyDescent="0.25"/>
    <row r="232556" customFormat="1" x14ac:dyDescent="0.25"/>
    <row r="232557" customFormat="1" x14ac:dyDescent="0.25"/>
    <row r="232558" customFormat="1" x14ac:dyDescent="0.25"/>
    <row r="232559" customFormat="1" x14ac:dyDescent="0.25"/>
    <row r="232560" customFormat="1" x14ac:dyDescent="0.25"/>
    <row r="232561" customFormat="1" x14ac:dyDescent="0.25"/>
    <row r="232562" customFormat="1" x14ac:dyDescent="0.25"/>
    <row r="232563" customFormat="1" x14ac:dyDescent="0.25"/>
    <row r="232564" customFormat="1" x14ac:dyDescent="0.25"/>
    <row r="232565" customFormat="1" x14ac:dyDescent="0.25"/>
    <row r="232566" customFormat="1" x14ac:dyDescent="0.25"/>
    <row r="232567" customFormat="1" x14ac:dyDescent="0.25"/>
    <row r="232568" customFormat="1" x14ac:dyDescent="0.25"/>
    <row r="232569" customFormat="1" x14ac:dyDescent="0.25"/>
    <row r="232570" customFormat="1" x14ac:dyDescent="0.25"/>
    <row r="232571" customFormat="1" x14ac:dyDescent="0.25"/>
    <row r="232572" customFormat="1" x14ac:dyDescent="0.25"/>
    <row r="232573" customFormat="1" x14ac:dyDescent="0.25"/>
    <row r="232574" customFormat="1" x14ac:dyDescent="0.25"/>
    <row r="232575" customFormat="1" x14ac:dyDescent="0.25"/>
    <row r="232576" customFormat="1" x14ac:dyDescent="0.25"/>
    <row r="232577" customFormat="1" x14ac:dyDescent="0.25"/>
    <row r="232578" customFormat="1" x14ac:dyDescent="0.25"/>
    <row r="232579" customFormat="1" x14ac:dyDescent="0.25"/>
    <row r="232580" customFormat="1" x14ac:dyDescent="0.25"/>
    <row r="232581" customFormat="1" x14ac:dyDescent="0.25"/>
    <row r="232582" customFormat="1" x14ac:dyDescent="0.25"/>
    <row r="232583" customFormat="1" x14ac:dyDescent="0.25"/>
    <row r="232584" customFormat="1" x14ac:dyDescent="0.25"/>
    <row r="232585" customFormat="1" x14ac:dyDescent="0.25"/>
    <row r="232586" customFormat="1" x14ac:dyDescent="0.25"/>
    <row r="232587" customFormat="1" x14ac:dyDescent="0.25"/>
    <row r="232588" customFormat="1" x14ac:dyDescent="0.25"/>
    <row r="232589" customFormat="1" x14ac:dyDescent="0.25"/>
    <row r="232590" customFormat="1" x14ac:dyDescent="0.25"/>
    <row r="232591" customFormat="1" x14ac:dyDescent="0.25"/>
    <row r="232592" customFormat="1" x14ac:dyDescent="0.25"/>
    <row r="232593" customFormat="1" x14ac:dyDescent="0.25"/>
    <row r="232594" customFormat="1" x14ac:dyDescent="0.25"/>
    <row r="232595" customFormat="1" x14ac:dyDescent="0.25"/>
    <row r="232596" customFormat="1" x14ac:dyDescent="0.25"/>
    <row r="232597" customFormat="1" x14ac:dyDescent="0.25"/>
    <row r="232598" customFormat="1" x14ac:dyDescent="0.25"/>
    <row r="232599" customFormat="1" x14ac:dyDescent="0.25"/>
    <row r="232600" customFormat="1" x14ac:dyDescent="0.25"/>
    <row r="232601" customFormat="1" x14ac:dyDescent="0.25"/>
    <row r="232602" customFormat="1" x14ac:dyDescent="0.25"/>
    <row r="232603" customFormat="1" x14ac:dyDescent="0.25"/>
    <row r="232604" customFormat="1" x14ac:dyDescent="0.25"/>
    <row r="232605" customFormat="1" x14ac:dyDescent="0.25"/>
    <row r="232606" customFormat="1" x14ac:dyDescent="0.25"/>
    <row r="232607" customFormat="1" x14ac:dyDescent="0.25"/>
    <row r="232608" customFormat="1" x14ac:dyDescent="0.25"/>
    <row r="232609" customFormat="1" x14ac:dyDescent="0.25"/>
    <row r="232610" customFormat="1" x14ac:dyDescent="0.25"/>
    <row r="232611" customFormat="1" x14ac:dyDescent="0.25"/>
    <row r="232612" customFormat="1" x14ac:dyDescent="0.25"/>
    <row r="232613" customFormat="1" x14ac:dyDescent="0.25"/>
    <row r="232614" customFormat="1" x14ac:dyDescent="0.25"/>
    <row r="232615" customFormat="1" x14ac:dyDescent="0.25"/>
    <row r="232616" customFormat="1" x14ac:dyDescent="0.25"/>
    <row r="232617" customFormat="1" x14ac:dyDescent="0.25"/>
    <row r="232618" customFormat="1" x14ac:dyDescent="0.25"/>
    <row r="232619" customFormat="1" x14ac:dyDescent="0.25"/>
    <row r="232620" customFormat="1" x14ac:dyDescent="0.25"/>
    <row r="232621" customFormat="1" x14ac:dyDescent="0.25"/>
    <row r="232622" customFormat="1" x14ac:dyDescent="0.25"/>
    <row r="232623" customFormat="1" x14ac:dyDescent="0.25"/>
    <row r="232624" customFormat="1" x14ac:dyDescent="0.25"/>
    <row r="232625" customFormat="1" x14ac:dyDescent="0.25"/>
    <row r="232626" customFormat="1" x14ac:dyDescent="0.25"/>
    <row r="232627" customFormat="1" x14ac:dyDescent="0.25"/>
    <row r="232628" customFormat="1" x14ac:dyDescent="0.25"/>
    <row r="232629" customFormat="1" x14ac:dyDescent="0.25"/>
    <row r="232630" customFormat="1" x14ac:dyDescent="0.25"/>
    <row r="232631" customFormat="1" x14ac:dyDescent="0.25"/>
    <row r="232632" customFormat="1" x14ac:dyDescent="0.25"/>
    <row r="232633" customFormat="1" x14ac:dyDescent="0.25"/>
    <row r="232634" customFormat="1" x14ac:dyDescent="0.25"/>
    <row r="232635" customFormat="1" x14ac:dyDescent="0.25"/>
    <row r="232636" customFormat="1" x14ac:dyDescent="0.25"/>
    <row r="232637" customFormat="1" x14ac:dyDescent="0.25"/>
    <row r="232638" customFormat="1" x14ac:dyDescent="0.25"/>
    <row r="232639" customFormat="1" x14ac:dyDescent="0.25"/>
    <row r="232640" customFormat="1" x14ac:dyDescent="0.25"/>
    <row r="232641" customFormat="1" x14ac:dyDescent="0.25"/>
    <row r="232642" customFormat="1" x14ac:dyDescent="0.25"/>
    <row r="232643" customFormat="1" x14ac:dyDescent="0.25"/>
    <row r="232644" customFormat="1" x14ac:dyDescent="0.25"/>
    <row r="232645" customFormat="1" x14ac:dyDescent="0.25"/>
    <row r="232646" customFormat="1" x14ac:dyDescent="0.25"/>
    <row r="232647" customFormat="1" x14ac:dyDescent="0.25"/>
    <row r="232648" customFormat="1" x14ac:dyDescent="0.25"/>
    <row r="232649" customFormat="1" x14ac:dyDescent="0.25"/>
    <row r="232650" customFormat="1" x14ac:dyDescent="0.25"/>
    <row r="232651" customFormat="1" x14ac:dyDescent="0.25"/>
    <row r="232652" customFormat="1" x14ac:dyDescent="0.25"/>
    <row r="232653" customFormat="1" x14ac:dyDescent="0.25"/>
    <row r="232654" customFormat="1" x14ac:dyDescent="0.25"/>
    <row r="232655" customFormat="1" x14ac:dyDescent="0.25"/>
    <row r="232656" customFormat="1" x14ac:dyDescent="0.25"/>
    <row r="232657" customFormat="1" x14ac:dyDescent="0.25"/>
    <row r="232658" customFormat="1" x14ac:dyDescent="0.25"/>
    <row r="232659" customFormat="1" x14ac:dyDescent="0.25"/>
    <row r="232660" customFormat="1" x14ac:dyDescent="0.25"/>
    <row r="232661" customFormat="1" x14ac:dyDescent="0.25"/>
    <row r="232662" customFormat="1" x14ac:dyDescent="0.25"/>
    <row r="232663" customFormat="1" x14ac:dyDescent="0.25"/>
    <row r="232664" customFormat="1" x14ac:dyDescent="0.25"/>
    <row r="232665" customFormat="1" x14ac:dyDescent="0.25"/>
    <row r="232666" customFormat="1" x14ac:dyDescent="0.25"/>
    <row r="232667" customFormat="1" x14ac:dyDescent="0.25"/>
    <row r="232668" customFormat="1" x14ac:dyDescent="0.25"/>
    <row r="232669" customFormat="1" x14ac:dyDescent="0.25"/>
    <row r="232670" customFormat="1" x14ac:dyDescent="0.25"/>
    <row r="232671" customFormat="1" x14ac:dyDescent="0.25"/>
    <row r="232672" customFormat="1" x14ac:dyDescent="0.25"/>
    <row r="232673" customFormat="1" x14ac:dyDescent="0.25"/>
    <row r="232674" customFormat="1" x14ac:dyDescent="0.25"/>
    <row r="232675" customFormat="1" x14ac:dyDescent="0.25"/>
    <row r="232676" customFormat="1" x14ac:dyDescent="0.25"/>
    <row r="232677" customFormat="1" x14ac:dyDescent="0.25"/>
    <row r="232678" customFormat="1" x14ac:dyDescent="0.25"/>
    <row r="232679" customFormat="1" x14ac:dyDescent="0.25"/>
    <row r="232680" customFormat="1" x14ac:dyDescent="0.25"/>
    <row r="232681" customFormat="1" x14ac:dyDescent="0.25"/>
    <row r="232682" customFormat="1" x14ac:dyDescent="0.25"/>
    <row r="232683" customFormat="1" x14ac:dyDescent="0.25"/>
    <row r="232684" customFormat="1" x14ac:dyDescent="0.25"/>
    <row r="232685" customFormat="1" x14ac:dyDescent="0.25"/>
    <row r="232686" customFormat="1" x14ac:dyDescent="0.25"/>
    <row r="232687" customFormat="1" x14ac:dyDescent="0.25"/>
    <row r="232688" customFormat="1" x14ac:dyDescent="0.25"/>
    <row r="232689" customFormat="1" x14ac:dyDescent="0.25"/>
    <row r="232690" customFormat="1" x14ac:dyDescent="0.25"/>
    <row r="232691" customFormat="1" x14ac:dyDescent="0.25"/>
    <row r="232692" customFormat="1" x14ac:dyDescent="0.25"/>
    <row r="232693" customFormat="1" x14ac:dyDescent="0.25"/>
    <row r="232694" customFormat="1" x14ac:dyDescent="0.25"/>
    <row r="232695" customFormat="1" x14ac:dyDescent="0.25"/>
    <row r="232696" customFormat="1" x14ac:dyDescent="0.25"/>
    <row r="232697" customFormat="1" x14ac:dyDescent="0.25"/>
    <row r="232698" customFormat="1" x14ac:dyDescent="0.25"/>
    <row r="232699" customFormat="1" x14ac:dyDescent="0.25"/>
    <row r="232700" customFormat="1" x14ac:dyDescent="0.25"/>
    <row r="232701" customFormat="1" x14ac:dyDescent="0.25"/>
    <row r="232702" customFormat="1" x14ac:dyDescent="0.25"/>
    <row r="232703" customFormat="1" x14ac:dyDescent="0.25"/>
    <row r="232704" customFormat="1" x14ac:dyDescent="0.25"/>
    <row r="232705" customFormat="1" x14ac:dyDescent="0.25"/>
    <row r="232706" customFormat="1" x14ac:dyDescent="0.25"/>
    <row r="232707" customFormat="1" x14ac:dyDescent="0.25"/>
    <row r="232708" customFormat="1" x14ac:dyDescent="0.25"/>
    <row r="232709" customFormat="1" x14ac:dyDescent="0.25"/>
    <row r="232710" customFormat="1" x14ac:dyDescent="0.25"/>
    <row r="232711" customFormat="1" x14ac:dyDescent="0.25"/>
    <row r="232712" customFormat="1" x14ac:dyDescent="0.25"/>
    <row r="232713" customFormat="1" x14ac:dyDescent="0.25"/>
    <row r="232714" customFormat="1" x14ac:dyDescent="0.25"/>
    <row r="232715" customFormat="1" x14ac:dyDescent="0.25"/>
    <row r="232716" customFormat="1" x14ac:dyDescent="0.25"/>
    <row r="232717" customFormat="1" x14ac:dyDescent="0.25"/>
    <row r="232718" customFormat="1" x14ac:dyDescent="0.25"/>
    <row r="232719" customFormat="1" x14ac:dyDescent="0.25"/>
    <row r="232720" customFormat="1" x14ac:dyDescent="0.25"/>
    <row r="232721" customFormat="1" x14ac:dyDescent="0.25"/>
    <row r="232722" customFormat="1" x14ac:dyDescent="0.25"/>
    <row r="232723" customFormat="1" x14ac:dyDescent="0.25"/>
    <row r="232724" customFormat="1" x14ac:dyDescent="0.25"/>
    <row r="232725" customFormat="1" x14ac:dyDescent="0.25"/>
    <row r="232726" customFormat="1" x14ac:dyDescent="0.25"/>
    <row r="232727" customFormat="1" x14ac:dyDescent="0.25"/>
    <row r="232728" customFormat="1" x14ac:dyDescent="0.25"/>
    <row r="232729" customFormat="1" x14ac:dyDescent="0.25"/>
    <row r="232730" customFormat="1" x14ac:dyDescent="0.25"/>
    <row r="232731" customFormat="1" x14ac:dyDescent="0.25"/>
    <row r="232732" customFormat="1" x14ac:dyDescent="0.25"/>
    <row r="232733" customFormat="1" x14ac:dyDescent="0.25"/>
    <row r="232734" customFormat="1" x14ac:dyDescent="0.25"/>
    <row r="232735" customFormat="1" x14ac:dyDescent="0.25"/>
    <row r="232736" customFormat="1" x14ac:dyDescent="0.25"/>
    <row r="232737" customFormat="1" x14ac:dyDescent="0.25"/>
    <row r="232738" customFormat="1" x14ac:dyDescent="0.25"/>
    <row r="232739" customFormat="1" x14ac:dyDescent="0.25"/>
    <row r="232740" customFormat="1" x14ac:dyDescent="0.25"/>
    <row r="232741" customFormat="1" x14ac:dyDescent="0.25"/>
    <row r="232742" customFormat="1" x14ac:dyDescent="0.25"/>
    <row r="232743" customFormat="1" x14ac:dyDescent="0.25"/>
    <row r="232744" customFormat="1" x14ac:dyDescent="0.25"/>
    <row r="232745" customFormat="1" x14ac:dyDescent="0.25"/>
    <row r="232746" customFormat="1" x14ac:dyDescent="0.25"/>
    <row r="232747" customFormat="1" x14ac:dyDescent="0.25"/>
    <row r="232748" customFormat="1" x14ac:dyDescent="0.25"/>
    <row r="232749" customFormat="1" x14ac:dyDescent="0.25"/>
    <row r="232750" customFormat="1" x14ac:dyDescent="0.25"/>
    <row r="232751" customFormat="1" x14ac:dyDescent="0.25"/>
    <row r="232752" customFormat="1" x14ac:dyDescent="0.25"/>
    <row r="232753" customFormat="1" x14ac:dyDescent="0.25"/>
    <row r="232754" customFormat="1" x14ac:dyDescent="0.25"/>
    <row r="232755" customFormat="1" x14ac:dyDescent="0.25"/>
    <row r="232756" customFormat="1" x14ac:dyDescent="0.25"/>
    <row r="232757" customFormat="1" x14ac:dyDescent="0.25"/>
    <row r="232758" customFormat="1" x14ac:dyDescent="0.25"/>
    <row r="232759" customFormat="1" x14ac:dyDescent="0.25"/>
    <row r="232760" customFormat="1" x14ac:dyDescent="0.25"/>
    <row r="232761" customFormat="1" x14ac:dyDescent="0.25"/>
    <row r="232762" customFormat="1" x14ac:dyDescent="0.25"/>
    <row r="232763" customFormat="1" x14ac:dyDescent="0.25"/>
    <row r="232764" customFormat="1" x14ac:dyDescent="0.25"/>
    <row r="232765" customFormat="1" x14ac:dyDescent="0.25"/>
    <row r="232766" customFormat="1" x14ac:dyDescent="0.25"/>
    <row r="232767" customFormat="1" x14ac:dyDescent="0.25"/>
    <row r="232768" customFormat="1" x14ac:dyDescent="0.25"/>
    <row r="232769" customFormat="1" x14ac:dyDescent="0.25"/>
    <row r="232770" customFormat="1" x14ac:dyDescent="0.25"/>
    <row r="232771" customFormat="1" x14ac:dyDescent="0.25"/>
    <row r="232772" customFormat="1" x14ac:dyDescent="0.25"/>
    <row r="232773" customFormat="1" x14ac:dyDescent="0.25"/>
    <row r="232774" customFormat="1" x14ac:dyDescent="0.25"/>
    <row r="232775" customFormat="1" x14ac:dyDescent="0.25"/>
    <row r="232776" customFormat="1" x14ac:dyDescent="0.25"/>
    <row r="232777" customFormat="1" x14ac:dyDescent="0.25"/>
    <row r="232778" customFormat="1" x14ac:dyDescent="0.25"/>
    <row r="232779" customFormat="1" x14ac:dyDescent="0.25"/>
    <row r="232780" customFormat="1" x14ac:dyDescent="0.25"/>
    <row r="232781" customFormat="1" x14ac:dyDescent="0.25"/>
    <row r="232782" customFormat="1" x14ac:dyDescent="0.25"/>
    <row r="232783" customFormat="1" x14ac:dyDescent="0.25"/>
    <row r="232784" customFormat="1" x14ac:dyDescent="0.25"/>
    <row r="232785" customFormat="1" x14ac:dyDescent="0.25"/>
    <row r="232786" customFormat="1" x14ac:dyDescent="0.25"/>
    <row r="232787" customFormat="1" x14ac:dyDescent="0.25"/>
    <row r="232788" customFormat="1" x14ac:dyDescent="0.25"/>
    <row r="232789" customFormat="1" x14ac:dyDescent="0.25"/>
    <row r="232790" customFormat="1" x14ac:dyDescent="0.25"/>
    <row r="232791" customFormat="1" x14ac:dyDescent="0.25"/>
    <row r="232792" customFormat="1" x14ac:dyDescent="0.25"/>
    <row r="232793" customFormat="1" x14ac:dyDescent="0.25"/>
    <row r="232794" customFormat="1" x14ac:dyDescent="0.25"/>
    <row r="232795" customFormat="1" x14ac:dyDescent="0.25"/>
    <row r="232796" customFormat="1" x14ac:dyDescent="0.25"/>
    <row r="232797" customFormat="1" x14ac:dyDescent="0.25"/>
    <row r="232798" customFormat="1" x14ac:dyDescent="0.25"/>
    <row r="232799" customFormat="1" x14ac:dyDescent="0.25"/>
    <row r="232800" customFormat="1" x14ac:dyDescent="0.25"/>
    <row r="232801" customFormat="1" x14ac:dyDescent="0.25"/>
    <row r="232802" customFormat="1" x14ac:dyDescent="0.25"/>
    <row r="232803" customFormat="1" x14ac:dyDescent="0.25"/>
    <row r="232804" customFormat="1" x14ac:dyDescent="0.25"/>
    <row r="232805" customFormat="1" x14ac:dyDescent="0.25"/>
    <row r="232806" customFormat="1" x14ac:dyDescent="0.25"/>
    <row r="232807" customFormat="1" x14ac:dyDescent="0.25"/>
    <row r="232808" customFormat="1" x14ac:dyDescent="0.25"/>
    <row r="232809" customFormat="1" x14ac:dyDescent="0.25"/>
    <row r="232810" customFormat="1" x14ac:dyDescent="0.25"/>
    <row r="232811" customFormat="1" x14ac:dyDescent="0.25"/>
    <row r="232812" customFormat="1" x14ac:dyDescent="0.25"/>
    <row r="232813" customFormat="1" x14ac:dyDescent="0.25"/>
    <row r="232814" customFormat="1" x14ac:dyDescent="0.25"/>
    <row r="232815" customFormat="1" x14ac:dyDescent="0.25"/>
    <row r="232816" customFormat="1" x14ac:dyDescent="0.25"/>
    <row r="232817" customFormat="1" x14ac:dyDescent="0.25"/>
    <row r="232818" customFormat="1" x14ac:dyDescent="0.25"/>
    <row r="232819" customFormat="1" x14ac:dyDescent="0.25"/>
    <row r="232820" customFormat="1" x14ac:dyDescent="0.25"/>
    <row r="232821" customFormat="1" x14ac:dyDescent="0.25"/>
    <row r="232822" customFormat="1" x14ac:dyDescent="0.25"/>
    <row r="232823" customFormat="1" x14ac:dyDescent="0.25"/>
    <row r="232824" customFormat="1" x14ac:dyDescent="0.25"/>
    <row r="232825" customFormat="1" x14ac:dyDescent="0.25"/>
    <row r="232826" customFormat="1" x14ac:dyDescent="0.25"/>
    <row r="232827" customFormat="1" x14ac:dyDescent="0.25"/>
    <row r="232828" customFormat="1" x14ac:dyDescent="0.25"/>
    <row r="232829" customFormat="1" x14ac:dyDescent="0.25"/>
    <row r="232830" customFormat="1" x14ac:dyDescent="0.25"/>
    <row r="232831" customFormat="1" x14ac:dyDescent="0.25"/>
    <row r="232832" customFormat="1" x14ac:dyDescent="0.25"/>
    <row r="232833" customFormat="1" x14ac:dyDescent="0.25"/>
    <row r="232834" customFormat="1" x14ac:dyDescent="0.25"/>
    <row r="232835" customFormat="1" x14ac:dyDescent="0.25"/>
    <row r="232836" customFormat="1" x14ac:dyDescent="0.25"/>
    <row r="232837" customFormat="1" x14ac:dyDescent="0.25"/>
    <row r="232838" customFormat="1" x14ac:dyDescent="0.25"/>
    <row r="232839" customFormat="1" x14ac:dyDescent="0.25"/>
    <row r="232840" customFormat="1" x14ac:dyDescent="0.25"/>
    <row r="232841" customFormat="1" x14ac:dyDescent="0.25"/>
    <row r="232842" customFormat="1" x14ac:dyDescent="0.25"/>
    <row r="232843" customFormat="1" x14ac:dyDescent="0.25"/>
    <row r="232844" customFormat="1" x14ac:dyDescent="0.25"/>
    <row r="232845" customFormat="1" x14ac:dyDescent="0.25"/>
    <row r="232846" customFormat="1" x14ac:dyDescent="0.25"/>
    <row r="232847" customFormat="1" x14ac:dyDescent="0.25"/>
    <row r="232848" customFormat="1" x14ac:dyDescent="0.25"/>
    <row r="232849" customFormat="1" x14ac:dyDescent="0.25"/>
    <row r="232850" customFormat="1" x14ac:dyDescent="0.25"/>
    <row r="232851" customFormat="1" x14ac:dyDescent="0.25"/>
    <row r="232852" customFormat="1" x14ac:dyDescent="0.25"/>
    <row r="232853" customFormat="1" x14ac:dyDescent="0.25"/>
    <row r="232854" customFormat="1" x14ac:dyDescent="0.25"/>
    <row r="232855" customFormat="1" x14ac:dyDescent="0.25"/>
    <row r="232856" customFormat="1" x14ac:dyDescent="0.25"/>
    <row r="232857" customFormat="1" x14ac:dyDescent="0.25"/>
    <row r="232858" customFormat="1" x14ac:dyDescent="0.25"/>
    <row r="232859" customFormat="1" x14ac:dyDescent="0.25"/>
    <row r="232860" customFormat="1" x14ac:dyDescent="0.25"/>
    <row r="232861" customFormat="1" x14ac:dyDescent="0.25"/>
    <row r="232862" customFormat="1" x14ac:dyDescent="0.25"/>
    <row r="232863" customFormat="1" x14ac:dyDescent="0.25"/>
    <row r="232864" customFormat="1" x14ac:dyDescent="0.25"/>
    <row r="232865" customFormat="1" x14ac:dyDescent="0.25"/>
    <row r="232866" customFormat="1" x14ac:dyDescent="0.25"/>
    <row r="232867" customFormat="1" x14ac:dyDescent="0.25"/>
    <row r="232868" customFormat="1" x14ac:dyDescent="0.25"/>
    <row r="232869" customFormat="1" x14ac:dyDescent="0.25"/>
    <row r="232870" customFormat="1" x14ac:dyDescent="0.25"/>
    <row r="232871" customFormat="1" x14ac:dyDescent="0.25"/>
    <row r="232872" customFormat="1" x14ac:dyDescent="0.25"/>
    <row r="232873" customFormat="1" x14ac:dyDescent="0.25"/>
    <row r="232874" customFormat="1" x14ac:dyDescent="0.25"/>
    <row r="232875" customFormat="1" x14ac:dyDescent="0.25"/>
    <row r="232876" customFormat="1" x14ac:dyDescent="0.25"/>
    <row r="232877" customFormat="1" x14ac:dyDescent="0.25"/>
    <row r="232878" customFormat="1" x14ac:dyDescent="0.25"/>
    <row r="232879" customFormat="1" x14ac:dyDescent="0.25"/>
    <row r="232880" customFormat="1" x14ac:dyDescent="0.25"/>
    <row r="232881" customFormat="1" x14ac:dyDescent="0.25"/>
    <row r="232882" customFormat="1" x14ac:dyDescent="0.25"/>
    <row r="232883" customFormat="1" x14ac:dyDescent="0.25"/>
    <row r="232884" customFormat="1" x14ac:dyDescent="0.25"/>
    <row r="232885" customFormat="1" x14ac:dyDescent="0.25"/>
    <row r="232886" customFormat="1" x14ac:dyDescent="0.25"/>
    <row r="232887" customFormat="1" x14ac:dyDescent="0.25"/>
    <row r="232888" customFormat="1" x14ac:dyDescent="0.25"/>
    <row r="232889" customFormat="1" x14ac:dyDescent="0.25"/>
    <row r="232890" customFormat="1" x14ac:dyDescent="0.25"/>
    <row r="232891" customFormat="1" x14ac:dyDescent="0.25"/>
    <row r="232892" customFormat="1" x14ac:dyDescent="0.25"/>
    <row r="232893" customFormat="1" x14ac:dyDescent="0.25"/>
    <row r="232894" customFormat="1" x14ac:dyDescent="0.25"/>
    <row r="232895" customFormat="1" x14ac:dyDescent="0.25"/>
    <row r="232896" customFormat="1" x14ac:dyDescent="0.25"/>
    <row r="232897" customFormat="1" x14ac:dyDescent="0.25"/>
    <row r="232898" customFormat="1" x14ac:dyDescent="0.25"/>
    <row r="232899" customFormat="1" x14ac:dyDescent="0.25"/>
    <row r="232900" customFormat="1" x14ac:dyDescent="0.25"/>
    <row r="232901" customFormat="1" x14ac:dyDescent="0.25"/>
    <row r="232902" customFormat="1" x14ac:dyDescent="0.25"/>
    <row r="232903" customFormat="1" x14ac:dyDescent="0.25"/>
    <row r="232904" customFormat="1" x14ac:dyDescent="0.25"/>
    <row r="232905" customFormat="1" x14ac:dyDescent="0.25"/>
    <row r="232906" customFormat="1" x14ac:dyDescent="0.25"/>
    <row r="232907" customFormat="1" x14ac:dyDescent="0.25"/>
    <row r="232908" customFormat="1" x14ac:dyDescent="0.25"/>
    <row r="232909" customFormat="1" x14ac:dyDescent="0.25"/>
    <row r="232910" customFormat="1" x14ac:dyDescent="0.25"/>
    <row r="232911" customFormat="1" x14ac:dyDescent="0.25"/>
    <row r="232912" customFormat="1" x14ac:dyDescent="0.25"/>
    <row r="232913" customFormat="1" x14ac:dyDescent="0.25"/>
    <row r="232914" customFormat="1" x14ac:dyDescent="0.25"/>
    <row r="232915" customFormat="1" x14ac:dyDescent="0.25"/>
    <row r="232916" customFormat="1" x14ac:dyDescent="0.25"/>
    <row r="232917" customFormat="1" x14ac:dyDescent="0.25"/>
    <row r="232918" customFormat="1" x14ac:dyDescent="0.25"/>
    <row r="232919" customFormat="1" x14ac:dyDescent="0.25"/>
    <row r="232920" customFormat="1" x14ac:dyDescent="0.25"/>
    <row r="232921" customFormat="1" x14ac:dyDescent="0.25"/>
    <row r="232922" customFormat="1" x14ac:dyDescent="0.25"/>
    <row r="232923" customFormat="1" x14ac:dyDescent="0.25"/>
    <row r="232924" customFormat="1" x14ac:dyDescent="0.25"/>
    <row r="232925" customFormat="1" x14ac:dyDescent="0.25"/>
    <row r="232926" customFormat="1" x14ac:dyDescent="0.25"/>
    <row r="232927" customFormat="1" x14ac:dyDescent="0.25"/>
    <row r="232928" customFormat="1" x14ac:dyDescent="0.25"/>
    <row r="232929" customFormat="1" x14ac:dyDescent="0.25"/>
    <row r="232930" customFormat="1" x14ac:dyDescent="0.25"/>
    <row r="232931" customFormat="1" x14ac:dyDescent="0.25"/>
    <row r="232932" customFormat="1" x14ac:dyDescent="0.25"/>
    <row r="232933" customFormat="1" x14ac:dyDescent="0.25"/>
    <row r="232934" customFormat="1" x14ac:dyDescent="0.25"/>
    <row r="232935" customFormat="1" x14ac:dyDescent="0.25"/>
    <row r="232936" customFormat="1" x14ac:dyDescent="0.25"/>
    <row r="232937" customFormat="1" x14ac:dyDescent="0.25"/>
    <row r="232938" customFormat="1" x14ac:dyDescent="0.25"/>
    <row r="232939" customFormat="1" x14ac:dyDescent="0.25"/>
    <row r="232940" customFormat="1" x14ac:dyDescent="0.25"/>
    <row r="232941" customFormat="1" x14ac:dyDescent="0.25"/>
    <row r="232942" customFormat="1" x14ac:dyDescent="0.25"/>
    <row r="232943" customFormat="1" x14ac:dyDescent="0.25"/>
    <row r="232944" customFormat="1" x14ac:dyDescent="0.25"/>
    <row r="232945" customFormat="1" x14ac:dyDescent="0.25"/>
    <row r="232946" customFormat="1" x14ac:dyDescent="0.25"/>
    <row r="232947" customFormat="1" x14ac:dyDescent="0.25"/>
    <row r="232948" customFormat="1" x14ac:dyDescent="0.25"/>
    <row r="232949" customFormat="1" x14ac:dyDescent="0.25"/>
    <row r="232950" customFormat="1" x14ac:dyDescent="0.25"/>
    <row r="232951" customFormat="1" x14ac:dyDescent="0.25"/>
    <row r="232952" customFormat="1" x14ac:dyDescent="0.25"/>
    <row r="232953" customFormat="1" x14ac:dyDescent="0.25"/>
    <row r="232954" customFormat="1" x14ac:dyDescent="0.25"/>
    <row r="232955" customFormat="1" x14ac:dyDescent="0.25"/>
    <row r="232956" customFormat="1" x14ac:dyDescent="0.25"/>
    <row r="232957" customFormat="1" x14ac:dyDescent="0.25"/>
    <row r="232958" customFormat="1" x14ac:dyDescent="0.25"/>
    <row r="232959" customFormat="1" x14ac:dyDescent="0.25"/>
    <row r="232960" customFormat="1" x14ac:dyDescent="0.25"/>
    <row r="232961" customFormat="1" x14ac:dyDescent="0.25"/>
    <row r="232962" customFormat="1" x14ac:dyDescent="0.25"/>
    <row r="232963" customFormat="1" x14ac:dyDescent="0.25"/>
    <row r="232964" customFormat="1" x14ac:dyDescent="0.25"/>
    <row r="232965" customFormat="1" x14ac:dyDescent="0.25"/>
    <row r="232966" customFormat="1" x14ac:dyDescent="0.25"/>
    <row r="232967" customFormat="1" x14ac:dyDescent="0.25"/>
    <row r="232968" customFormat="1" x14ac:dyDescent="0.25"/>
    <row r="232969" customFormat="1" x14ac:dyDescent="0.25"/>
    <row r="232970" customFormat="1" x14ac:dyDescent="0.25"/>
    <row r="232971" customFormat="1" x14ac:dyDescent="0.25"/>
    <row r="232972" customFormat="1" x14ac:dyDescent="0.25"/>
    <row r="232973" customFormat="1" x14ac:dyDescent="0.25"/>
    <row r="232974" customFormat="1" x14ac:dyDescent="0.25"/>
    <row r="232975" customFormat="1" x14ac:dyDescent="0.25"/>
    <row r="232976" customFormat="1" x14ac:dyDescent="0.25"/>
    <row r="232977" customFormat="1" x14ac:dyDescent="0.25"/>
    <row r="232978" customFormat="1" x14ac:dyDescent="0.25"/>
    <row r="232979" customFormat="1" x14ac:dyDescent="0.25"/>
    <row r="232980" customFormat="1" x14ac:dyDescent="0.25"/>
    <row r="232981" customFormat="1" x14ac:dyDescent="0.25"/>
    <row r="232982" customFormat="1" x14ac:dyDescent="0.25"/>
    <row r="232983" customFormat="1" x14ac:dyDescent="0.25"/>
    <row r="232984" customFormat="1" x14ac:dyDescent="0.25"/>
    <row r="232985" customFormat="1" x14ac:dyDescent="0.25"/>
    <row r="232986" customFormat="1" x14ac:dyDescent="0.25"/>
    <row r="232987" customFormat="1" x14ac:dyDescent="0.25"/>
    <row r="232988" customFormat="1" x14ac:dyDescent="0.25"/>
    <row r="232989" customFormat="1" x14ac:dyDescent="0.25"/>
    <row r="232990" customFormat="1" x14ac:dyDescent="0.25"/>
    <row r="232991" customFormat="1" x14ac:dyDescent="0.25"/>
    <row r="232992" customFormat="1" x14ac:dyDescent="0.25"/>
    <row r="232993" customFormat="1" x14ac:dyDescent="0.25"/>
    <row r="232994" customFormat="1" x14ac:dyDescent="0.25"/>
    <row r="232995" customFormat="1" x14ac:dyDescent="0.25"/>
    <row r="232996" customFormat="1" x14ac:dyDescent="0.25"/>
    <row r="232997" customFormat="1" x14ac:dyDescent="0.25"/>
    <row r="232998" customFormat="1" x14ac:dyDescent="0.25"/>
    <row r="232999" customFormat="1" x14ac:dyDescent="0.25"/>
    <row r="233000" customFormat="1" x14ac:dyDescent="0.25"/>
    <row r="233001" customFormat="1" x14ac:dyDescent="0.25"/>
    <row r="233002" customFormat="1" x14ac:dyDescent="0.25"/>
    <row r="233003" customFormat="1" x14ac:dyDescent="0.25"/>
    <row r="233004" customFormat="1" x14ac:dyDescent="0.25"/>
    <row r="233005" customFormat="1" x14ac:dyDescent="0.25"/>
    <row r="233006" customFormat="1" x14ac:dyDescent="0.25"/>
    <row r="233007" customFormat="1" x14ac:dyDescent="0.25"/>
    <row r="233008" customFormat="1" x14ac:dyDescent="0.25"/>
    <row r="233009" customFormat="1" x14ac:dyDescent="0.25"/>
    <row r="233010" customFormat="1" x14ac:dyDescent="0.25"/>
    <row r="233011" customFormat="1" x14ac:dyDescent="0.25"/>
    <row r="233012" customFormat="1" x14ac:dyDescent="0.25"/>
    <row r="233013" customFormat="1" x14ac:dyDescent="0.25"/>
    <row r="233014" customFormat="1" x14ac:dyDescent="0.25"/>
    <row r="233015" customFormat="1" x14ac:dyDescent="0.25"/>
    <row r="233016" customFormat="1" x14ac:dyDescent="0.25"/>
    <row r="233017" customFormat="1" x14ac:dyDescent="0.25"/>
    <row r="233018" customFormat="1" x14ac:dyDescent="0.25"/>
    <row r="233019" customFormat="1" x14ac:dyDescent="0.25"/>
    <row r="233020" customFormat="1" x14ac:dyDescent="0.25"/>
    <row r="233021" customFormat="1" x14ac:dyDescent="0.25"/>
    <row r="233022" customFormat="1" x14ac:dyDescent="0.25"/>
    <row r="233023" customFormat="1" x14ac:dyDescent="0.25"/>
    <row r="233024" customFormat="1" x14ac:dyDescent="0.25"/>
    <row r="233025" customFormat="1" x14ac:dyDescent="0.25"/>
    <row r="233026" customFormat="1" x14ac:dyDescent="0.25"/>
    <row r="233027" customFormat="1" x14ac:dyDescent="0.25"/>
    <row r="233028" customFormat="1" x14ac:dyDescent="0.25"/>
    <row r="233029" customFormat="1" x14ac:dyDescent="0.25"/>
    <row r="233030" customFormat="1" x14ac:dyDescent="0.25"/>
    <row r="233031" customFormat="1" x14ac:dyDescent="0.25"/>
    <row r="233032" customFormat="1" x14ac:dyDescent="0.25"/>
    <row r="233033" customFormat="1" x14ac:dyDescent="0.25"/>
    <row r="233034" customFormat="1" x14ac:dyDescent="0.25"/>
    <row r="233035" customFormat="1" x14ac:dyDescent="0.25"/>
    <row r="233036" customFormat="1" x14ac:dyDescent="0.25"/>
    <row r="233037" customFormat="1" x14ac:dyDescent="0.25"/>
    <row r="233038" customFormat="1" x14ac:dyDescent="0.25"/>
    <row r="233039" customFormat="1" x14ac:dyDescent="0.25"/>
    <row r="233040" customFormat="1" x14ac:dyDescent="0.25"/>
    <row r="233041" customFormat="1" x14ac:dyDescent="0.25"/>
    <row r="233042" customFormat="1" x14ac:dyDescent="0.25"/>
    <row r="233043" customFormat="1" x14ac:dyDescent="0.25"/>
    <row r="233044" customFormat="1" x14ac:dyDescent="0.25"/>
    <row r="233045" customFormat="1" x14ac:dyDescent="0.25"/>
    <row r="233046" customFormat="1" x14ac:dyDescent="0.25"/>
    <row r="233047" customFormat="1" x14ac:dyDescent="0.25"/>
    <row r="233048" customFormat="1" x14ac:dyDescent="0.25"/>
    <row r="233049" customFormat="1" x14ac:dyDescent="0.25"/>
    <row r="233050" customFormat="1" x14ac:dyDescent="0.25"/>
    <row r="233051" customFormat="1" x14ac:dyDescent="0.25"/>
    <row r="233052" customFormat="1" x14ac:dyDescent="0.25"/>
    <row r="233053" customFormat="1" x14ac:dyDescent="0.25"/>
    <row r="233054" customFormat="1" x14ac:dyDescent="0.25"/>
    <row r="233055" customFormat="1" x14ac:dyDescent="0.25"/>
    <row r="233056" customFormat="1" x14ac:dyDescent="0.25"/>
    <row r="233057" customFormat="1" x14ac:dyDescent="0.25"/>
    <row r="233058" customFormat="1" x14ac:dyDescent="0.25"/>
    <row r="233059" customFormat="1" x14ac:dyDescent="0.25"/>
    <row r="233060" customFormat="1" x14ac:dyDescent="0.25"/>
    <row r="233061" customFormat="1" x14ac:dyDescent="0.25"/>
    <row r="233062" customFormat="1" x14ac:dyDescent="0.25"/>
    <row r="233063" customFormat="1" x14ac:dyDescent="0.25"/>
    <row r="233064" customFormat="1" x14ac:dyDescent="0.25"/>
    <row r="233065" customFormat="1" x14ac:dyDescent="0.25"/>
    <row r="233066" customFormat="1" x14ac:dyDescent="0.25"/>
    <row r="233067" customFormat="1" x14ac:dyDescent="0.25"/>
    <row r="233068" customFormat="1" x14ac:dyDescent="0.25"/>
    <row r="233069" customFormat="1" x14ac:dyDescent="0.25"/>
    <row r="233070" customFormat="1" x14ac:dyDescent="0.25"/>
    <row r="233071" customFormat="1" x14ac:dyDescent="0.25"/>
    <row r="233072" customFormat="1" x14ac:dyDescent="0.25"/>
    <row r="233073" customFormat="1" x14ac:dyDescent="0.25"/>
    <row r="233074" customFormat="1" x14ac:dyDescent="0.25"/>
    <row r="233075" customFormat="1" x14ac:dyDescent="0.25"/>
    <row r="233076" customFormat="1" x14ac:dyDescent="0.25"/>
    <row r="233077" customFormat="1" x14ac:dyDescent="0.25"/>
    <row r="233078" customFormat="1" x14ac:dyDescent="0.25"/>
    <row r="233079" customFormat="1" x14ac:dyDescent="0.25"/>
    <row r="233080" customFormat="1" x14ac:dyDescent="0.25"/>
    <row r="233081" customFormat="1" x14ac:dyDescent="0.25"/>
    <row r="233082" customFormat="1" x14ac:dyDescent="0.25"/>
    <row r="233083" customFormat="1" x14ac:dyDescent="0.25"/>
    <row r="233084" customFormat="1" x14ac:dyDescent="0.25"/>
    <row r="233085" customFormat="1" x14ac:dyDescent="0.25"/>
    <row r="233086" customFormat="1" x14ac:dyDescent="0.25"/>
    <row r="233087" customFormat="1" x14ac:dyDescent="0.25"/>
    <row r="233088" customFormat="1" x14ac:dyDescent="0.25"/>
    <row r="233089" customFormat="1" x14ac:dyDescent="0.25"/>
    <row r="233090" customFormat="1" x14ac:dyDescent="0.25"/>
    <row r="233091" customFormat="1" x14ac:dyDescent="0.25"/>
    <row r="233092" customFormat="1" x14ac:dyDescent="0.25"/>
    <row r="233093" customFormat="1" x14ac:dyDescent="0.25"/>
    <row r="233094" customFormat="1" x14ac:dyDescent="0.25"/>
    <row r="233095" customFormat="1" x14ac:dyDescent="0.25"/>
    <row r="233096" customFormat="1" x14ac:dyDescent="0.25"/>
    <row r="233097" customFormat="1" x14ac:dyDescent="0.25"/>
    <row r="233098" customFormat="1" x14ac:dyDescent="0.25"/>
    <row r="233099" customFormat="1" x14ac:dyDescent="0.25"/>
    <row r="233100" customFormat="1" x14ac:dyDescent="0.25"/>
    <row r="233101" customFormat="1" x14ac:dyDescent="0.25"/>
    <row r="233102" customFormat="1" x14ac:dyDescent="0.25"/>
    <row r="233103" customFormat="1" x14ac:dyDescent="0.25"/>
    <row r="233104" customFormat="1" x14ac:dyDescent="0.25"/>
    <row r="233105" customFormat="1" x14ac:dyDescent="0.25"/>
    <row r="233106" customFormat="1" x14ac:dyDescent="0.25"/>
    <row r="233107" customFormat="1" x14ac:dyDescent="0.25"/>
    <row r="233108" customFormat="1" x14ac:dyDescent="0.25"/>
    <row r="233109" customFormat="1" x14ac:dyDescent="0.25"/>
    <row r="233110" customFormat="1" x14ac:dyDescent="0.25"/>
    <row r="233111" customFormat="1" x14ac:dyDescent="0.25"/>
    <row r="233112" customFormat="1" x14ac:dyDescent="0.25"/>
    <row r="233113" customFormat="1" x14ac:dyDescent="0.25"/>
    <row r="233114" customFormat="1" x14ac:dyDescent="0.25"/>
    <row r="233115" customFormat="1" x14ac:dyDescent="0.25"/>
    <row r="233116" customFormat="1" x14ac:dyDescent="0.25"/>
    <row r="233117" customFormat="1" x14ac:dyDescent="0.25"/>
    <row r="233118" customFormat="1" x14ac:dyDescent="0.25"/>
    <row r="233119" customFormat="1" x14ac:dyDescent="0.25"/>
    <row r="233120" customFormat="1" x14ac:dyDescent="0.25"/>
    <row r="233121" customFormat="1" x14ac:dyDescent="0.25"/>
    <row r="233122" customFormat="1" x14ac:dyDescent="0.25"/>
    <row r="233123" customFormat="1" x14ac:dyDescent="0.25"/>
    <row r="233124" customFormat="1" x14ac:dyDescent="0.25"/>
    <row r="233125" customFormat="1" x14ac:dyDescent="0.25"/>
    <row r="233126" customFormat="1" x14ac:dyDescent="0.25"/>
    <row r="233127" customFormat="1" x14ac:dyDescent="0.25"/>
    <row r="233128" customFormat="1" x14ac:dyDescent="0.25"/>
    <row r="233129" customFormat="1" x14ac:dyDescent="0.25"/>
    <row r="233130" customFormat="1" x14ac:dyDescent="0.25"/>
    <row r="233131" customFormat="1" x14ac:dyDescent="0.25"/>
    <row r="233132" customFormat="1" x14ac:dyDescent="0.25"/>
    <row r="233133" customFormat="1" x14ac:dyDescent="0.25"/>
    <row r="233134" customFormat="1" x14ac:dyDescent="0.25"/>
    <row r="233135" customFormat="1" x14ac:dyDescent="0.25"/>
    <row r="233136" customFormat="1" x14ac:dyDescent="0.25"/>
    <row r="233137" customFormat="1" x14ac:dyDescent="0.25"/>
    <row r="233138" customFormat="1" x14ac:dyDescent="0.25"/>
    <row r="233139" customFormat="1" x14ac:dyDescent="0.25"/>
    <row r="233140" customFormat="1" x14ac:dyDescent="0.25"/>
    <row r="233141" customFormat="1" x14ac:dyDescent="0.25"/>
    <row r="233142" customFormat="1" x14ac:dyDescent="0.25"/>
    <row r="233143" customFormat="1" x14ac:dyDescent="0.25"/>
    <row r="233144" customFormat="1" x14ac:dyDescent="0.25"/>
    <row r="233145" customFormat="1" x14ac:dyDescent="0.25"/>
    <row r="233146" customFormat="1" x14ac:dyDescent="0.25"/>
    <row r="233147" customFormat="1" x14ac:dyDescent="0.25"/>
    <row r="233148" customFormat="1" x14ac:dyDescent="0.25"/>
    <row r="233149" customFormat="1" x14ac:dyDescent="0.25"/>
    <row r="233150" customFormat="1" x14ac:dyDescent="0.25"/>
    <row r="233151" customFormat="1" x14ac:dyDescent="0.25"/>
    <row r="233152" customFormat="1" x14ac:dyDescent="0.25"/>
    <row r="233153" customFormat="1" x14ac:dyDescent="0.25"/>
    <row r="233154" customFormat="1" x14ac:dyDescent="0.25"/>
    <row r="233155" customFormat="1" x14ac:dyDescent="0.25"/>
    <row r="233156" customFormat="1" x14ac:dyDescent="0.25"/>
    <row r="233157" customFormat="1" x14ac:dyDescent="0.25"/>
    <row r="233158" customFormat="1" x14ac:dyDescent="0.25"/>
    <row r="233159" customFormat="1" x14ac:dyDescent="0.25"/>
    <row r="233160" customFormat="1" x14ac:dyDescent="0.25"/>
    <row r="233161" customFormat="1" x14ac:dyDescent="0.25"/>
    <row r="233162" customFormat="1" x14ac:dyDescent="0.25"/>
    <row r="233163" customFormat="1" x14ac:dyDescent="0.25"/>
    <row r="233164" customFormat="1" x14ac:dyDescent="0.25"/>
    <row r="233165" customFormat="1" x14ac:dyDescent="0.25"/>
    <row r="233166" customFormat="1" x14ac:dyDescent="0.25"/>
    <row r="233167" customFormat="1" x14ac:dyDescent="0.25"/>
    <row r="233168" customFormat="1" x14ac:dyDescent="0.25"/>
    <row r="233169" customFormat="1" x14ac:dyDescent="0.25"/>
    <row r="233170" customFormat="1" x14ac:dyDescent="0.25"/>
    <row r="233171" customFormat="1" x14ac:dyDescent="0.25"/>
    <row r="233172" customFormat="1" x14ac:dyDescent="0.25"/>
    <row r="233173" customFormat="1" x14ac:dyDescent="0.25"/>
    <row r="233174" customFormat="1" x14ac:dyDescent="0.25"/>
    <row r="233175" customFormat="1" x14ac:dyDescent="0.25"/>
    <row r="233176" customFormat="1" x14ac:dyDescent="0.25"/>
    <row r="233177" customFormat="1" x14ac:dyDescent="0.25"/>
    <row r="233178" customFormat="1" x14ac:dyDescent="0.25"/>
    <row r="233179" customFormat="1" x14ac:dyDescent="0.25"/>
    <row r="233180" customFormat="1" x14ac:dyDescent="0.25"/>
    <row r="233181" customFormat="1" x14ac:dyDescent="0.25"/>
    <row r="233182" customFormat="1" x14ac:dyDescent="0.25"/>
    <row r="233183" customFormat="1" x14ac:dyDescent="0.25"/>
    <row r="233184" customFormat="1" x14ac:dyDescent="0.25"/>
    <row r="233185" customFormat="1" x14ac:dyDescent="0.25"/>
    <row r="233186" customFormat="1" x14ac:dyDescent="0.25"/>
    <row r="233187" customFormat="1" x14ac:dyDescent="0.25"/>
    <row r="233188" customFormat="1" x14ac:dyDescent="0.25"/>
    <row r="233189" customFormat="1" x14ac:dyDescent="0.25"/>
    <row r="233190" customFormat="1" x14ac:dyDescent="0.25"/>
    <row r="233191" customFormat="1" x14ac:dyDescent="0.25"/>
    <row r="233192" customFormat="1" x14ac:dyDescent="0.25"/>
    <row r="233193" customFormat="1" x14ac:dyDescent="0.25"/>
    <row r="233194" customFormat="1" x14ac:dyDescent="0.25"/>
    <row r="233195" customFormat="1" x14ac:dyDescent="0.25"/>
    <row r="233196" customFormat="1" x14ac:dyDescent="0.25"/>
    <row r="233197" customFormat="1" x14ac:dyDescent="0.25"/>
    <row r="233198" customFormat="1" x14ac:dyDescent="0.25"/>
    <row r="233199" customFormat="1" x14ac:dyDescent="0.25"/>
    <row r="233200" customFormat="1" x14ac:dyDescent="0.25"/>
    <row r="233201" customFormat="1" x14ac:dyDescent="0.25"/>
    <row r="233202" customFormat="1" x14ac:dyDescent="0.25"/>
    <row r="233203" customFormat="1" x14ac:dyDescent="0.25"/>
    <row r="233204" customFormat="1" x14ac:dyDescent="0.25"/>
    <row r="233205" customFormat="1" x14ac:dyDescent="0.25"/>
    <row r="233206" customFormat="1" x14ac:dyDescent="0.25"/>
    <row r="233207" customFormat="1" x14ac:dyDescent="0.25"/>
    <row r="233208" customFormat="1" x14ac:dyDescent="0.25"/>
    <row r="233209" customFormat="1" x14ac:dyDescent="0.25"/>
    <row r="233210" customFormat="1" x14ac:dyDescent="0.25"/>
    <row r="233211" customFormat="1" x14ac:dyDescent="0.25"/>
    <row r="233212" customFormat="1" x14ac:dyDescent="0.25"/>
    <row r="233213" customFormat="1" x14ac:dyDescent="0.25"/>
    <row r="233214" customFormat="1" x14ac:dyDescent="0.25"/>
    <row r="233215" customFormat="1" x14ac:dyDescent="0.25"/>
    <row r="233216" customFormat="1" x14ac:dyDescent="0.25"/>
    <row r="233217" customFormat="1" x14ac:dyDescent="0.25"/>
    <row r="233218" customFormat="1" x14ac:dyDescent="0.25"/>
    <row r="233219" customFormat="1" x14ac:dyDescent="0.25"/>
    <row r="233220" customFormat="1" x14ac:dyDescent="0.25"/>
    <row r="233221" customFormat="1" x14ac:dyDescent="0.25"/>
    <row r="233222" customFormat="1" x14ac:dyDescent="0.25"/>
    <row r="233223" customFormat="1" x14ac:dyDescent="0.25"/>
    <row r="233224" customFormat="1" x14ac:dyDescent="0.25"/>
    <row r="233225" customFormat="1" x14ac:dyDescent="0.25"/>
    <row r="233226" customFormat="1" x14ac:dyDescent="0.25"/>
    <row r="233227" customFormat="1" x14ac:dyDescent="0.25"/>
    <row r="233228" customFormat="1" x14ac:dyDescent="0.25"/>
    <row r="233229" customFormat="1" x14ac:dyDescent="0.25"/>
    <row r="233230" customFormat="1" x14ac:dyDescent="0.25"/>
    <row r="233231" customFormat="1" x14ac:dyDescent="0.25"/>
    <row r="233232" customFormat="1" x14ac:dyDescent="0.25"/>
    <row r="233233" customFormat="1" x14ac:dyDescent="0.25"/>
    <row r="233234" customFormat="1" x14ac:dyDescent="0.25"/>
    <row r="233235" customFormat="1" x14ac:dyDescent="0.25"/>
    <row r="233236" customFormat="1" x14ac:dyDescent="0.25"/>
    <row r="233237" customFormat="1" x14ac:dyDescent="0.25"/>
    <row r="233238" customFormat="1" x14ac:dyDescent="0.25"/>
    <row r="233239" customFormat="1" x14ac:dyDescent="0.25"/>
    <row r="233240" customFormat="1" x14ac:dyDescent="0.25"/>
    <row r="233241" customFormat="1" x14ac:dyDescent="0.25"/>
    <row r="233242" customFormat="1" x14ac:dyDescent="0.25"/>
    <row r="233243" customFormat="1" x14ac:dyDescent="0.25"/>
    <row r="233244" customFormat="1" x14ac:dyDescent="0.25"/>
    <row r="233245" customFormat="1" x14ac:dyDescent="0.25"/>
    <row r="233246" customFormat="1" x14ac:dyDescent="0.25"/>
    <row r="233247" customFormat="1" x14ac:dyDescent="0.25"/>
    <row r="233248" customFormat="1" x14ac:dyDescent="0.25"/>
    <row r="233249" customFormat="1" x14ac:dyDescent="0.25"/>
    <row r="233250" customFormat="1" x14ac:dyDescent="0.25"/>
    <row r="233251" customFormat="1" x14ac:dyDescent="0.25"/>
    <row r="233252" customFormat="1" x14ac:dyDescent="0.25"/>
    <row r="233253" customFormat="1" x14ac:dyDescent="0.25"/>
    <row r="233254" customFormat="1" x14ac:dyDescent="0.25"/>
    <row r="233255" customFormat="1" x14ac:dyDescent="0.25"/>
    <row r="233256" customFormat="1" x14ac:dyDescent="0.25"/>
    <row r="233257" customFormat="1" x14ac:dyDescent="0.25"/>
    <row r="233258" customFormat="1" x14ac:dyDescent="0.25"/>
    <row r="233259" customFormat="1" x14ac:dyDescent="0.25"/>
    <row r="233260" customFormat="1" x14ac:dyDescent="0.25"/>
    <row r="233261" customFormat="1" x14ac:dyDescent="0.25"/>
    <row r="233262" customFormat="1" x14ac:dyDescent="0.25"/>
    <row r="233263" customFormat="1" x14ac:dyDescent="0.25"/>
    <row r="233264" customFormat="1" x14ac:dyDescent="0.25"/>
    <row r="233265" customFormat="1" x14ac:dyDescent="0.25"/>
    <row r="233266" customFormat="1" x14ac:dyDescent="0.25"/>
    <row r="233267" customFormat="1" x14ac:dyDescent="0.25"/>
    <row r="233268" customFormat="1" x14ac:dyDescent="0.25"/>
    <row r="233269" customFormat="1" x14ac:dyDescent="0.25"/>
    <row r="233270" customFormat="1" x14ac:dyDescent="0.25"/>
    <row r="233271" customFormat="1" x14ac:dyDescent="0.25"/>
    <row r="233272" customFormat="1" x14ac:dyDescent="0.25"/>
    <row r="233273" customFormat="1" x14ac:dyDescent="0.25"/>
    <row r="233274" customFormat="1" x14ac:dyDescent="0.25"/>
    <row r="233275" customFormat="1" x14ac:dyDescent="0.25"/>
    <row r="233276" customFormat="1" x14ac:dyDescent="0.25"/>
    <row r="233277" customFormat="1" x14ac:dyDescent="0.25"/>
    <row r="233278" customFormat="1" x14ac:dyDescent="0.25"/>
    <row r="233279" customFormat="1" x14ac:dyDescent="0.25"/>
    <row r="233280" customFormat="1" x14ac:dyDescent="0.25"/>
    <row r="233281" customFormat="1" x14ac:dyDescent="0.25"/>
    <row r="233282" customFormat="1" x14ac:dyDescent="0.25"/>
    <row r="233283" customFormat="1" x14ac:dyDescent="0.25"/>
    <row r="233284" customFormat="1" x14ac:dyDescent="0.25"/>
    <row r="233285" customFormat="1" x14ac:dyDescent="0.25"/>
    <row r="233286" customFormat="1" x14ac:dyDescent="0.25"/>
    <row r="233287" customFormat="1" x14ac:dyDescent="0.25"/>
    <row r="233288" customFormat="1" x14ac:dyDescent="0.25"/>
    <row r="233289" customFormat="1" x14ac:dyDescent="0.25"/>
    <row r="233290" customFormat="1" x14ac:dyDescent="0.25"/>
    <row r="233291" customFormat="1" x14ac:dyDescent="0.25"/>
    <row r="233292" customFormat="1" x14ac:dyDescent="0.25"/>
    <row r="233293" customFormat="1" x14ac:dyDescent="0.25"/>
    <row r="233294" customFormat="1" x14ac:dyDescent="0.25"/>
    <row r="233295" customFormat="1" x14ac:dyDescent="0.25"/>
    <row r="233296" customFormat="1" x14ac:dyDescent="0.25"/>
    <row r="233297" customFormat="1" x14ac:dyDescent="0.25"/>
    <row r="233298" customFormat="1" x14ac:dyDescent="0.25"/>
    <row r="233299" customFormat="1" x14ac:dyDescent="0.25"/>
    <row r="233300" customFormat="1" x14ac:dyDescent="0.25"/>
    <row r="233301" customFormat="1" x14ac:dyDescent="0.25"/>
    <row r="233302" customFormat="1" x14ac:dyDescent="0.25"/>
    <row r="233303" customFormat="1" x14ac:dyDescent="0.25"/>
    <row r="233304" customFormat="1" x14ac:dyDescent="0.25"/>
    <row r="233305" customFormat="1" x14ac:dyDescent="0.25"/>
    <row r="233306" customFormat="1" x14ac:dyDescent="0.25"/>
    <row r="233307" customFormat="1" x14ac:dyDescent="0.25"/>
    <row r="233308" customFormat="1" x14ac:dyDescent="0.25"/>
    <row r="233309" customFormat="1" x14ac:dyDescent="0.25"/>
    <row r="233310" customFormat="1" x14ac:dyDescent="0.25"/>
    <row r="233311" customFormat="1" x14ac:dyDescent="0.25"/>
    <row r="233312" customFormat="1" x14ac:dyDescent="0.25"/>
    <row r="233313" customFormat="1" x14ac:dyDescent="0.25"/>
    <row r="233314" customFormat="1" x14ac:dyDescent="0.25"/>
    <row r="233315" customFormat="1" x14ac:dyDescent="0.25"/>
    <row r="233316" customFormat="1" x14ac:dyDescent="0.25"/>
    <row r="233317" customFormat="1" x14ac:dyDescent="0.25"/>
    <row r="233318" customFormat="1" x14ac:dyDescent="0.25"/>
    <row r="233319" customFormat="1" x14ac:dyDescent="0.25"/>
    <row r="233320" customFormat="1" x14ac:dyDescent="0.25"/>
    <row r="233321" customFormat="1" x14ac:dyDescent="0.25"/>
    <row r="233322" customFormat="1" x14ac:dyDescent="0.25"/>
    <row r="233323" customFormat="1" x14ac:dyDescent="0.25"/>
    <row r="233324" customFormat="1" x14ac:dyDescent="0.25"/>
    <row r="233325" customFormat="1" x14ac:dyDescent="0.25"/>
    <row r="233326" customFormat="1" x14ac:dyDescent="0.25"/>
    <row r="233327" customFormat="1" x14ac:dyDescent="0.25"/>
    <row r="233328" customFormat="1" x14ac:dyDescent="0.25"/>
    <row r="233329" customFormat="1" x14ac:dyDescent="0.25"/>
    <row r="233330" customFormat="1" x14ac:dyDescent="0.25"/>
    <row r="233331" customFormat="1" x14ac:dyDescent="0.25"/>
    <row r="233332" customFormat="1" x14ac:dyDescent="0.25"/>
    <row r="233333" customFormat="1" x14ac:dyDescent="0.25"/>
    <row r="233334" customFormat="1" x14ac:dyDescent="0.25"/>
    <row r="233335" customFormat="1" x14ac:dyDescent="0.25"/>
    <row r="233336" customFormat="1" x14ac:dyDescent="0.25"/>
    <row r="233337" customFormat="1" x14ac:dyDescent="0.25"/>
    <row r="233338" customFormat="1" x14ac:dyDescent="0.25"/>
    <row r="233339" customFormat="1" x14ac:dyDescent="0.25"/>
    <row r="233340" customFormat="1" x14ac:dyDescent="0.25"/>
    <row r="233341" customFormat="1" x14ac:dyDescent="0.25"/>
    <row r="233342" customFormat="1" x14ac:dyDescent="0.25"/>
    <row r="233343" customFormat="1" x14ac:dyDescent="0.25"/>
    <row r="233344" customFormat="1" x14ac:dyDescent="0.25"/>
    <row r="233345" customFormat="1" x14ac:dyDescent="0.25"/>
    <row r="233346" customFormat="1" x14ac:dyDescent="0.25"/>
    <row r="233347" customFormat="1" x14ac:dyDescent="0.25"/>
    <row r="233348" customFormat="1" x14ac:dyDescent="0.25"/>
    <row r="233349" customFormat="1" x14ac:dyDescent="0.25"/>
    <row r="233350" customFormat="1" x14ac:dyDescent="0.25"/>
    <row r="233351" customFormat="1" x14ac:dyDescent="0.25"/>
    <row r="233352" customFormat="1" x14ac:dyDescent="0.25"/>
    <row r="233353" customFormat="1" x14ac:dyDescent="0.25"/>
    <row r="233354" customFormat="1" x14ac:dyDescent="0.25"/>
    <row r="233355" customFormat="1" x14ac:dyDescent="0.25"/>
    <row r="233356" customFormat="1" x14ac:dyDescent="0.25"/>
    <row r="233357" customFormat="1" x14ac:dyDescent="0.25"/>
    <row r="233358" customFormat="1" x14ac:dyDescent="0.25"/>
    <row r="233359" customFormat="1" x14ac:dyDescent="0.25"/>
    <row r="233360" customFormat="1" x14ac:dyDescent="0.25"/>
    <row r="233361" customFormat="1" x14ac:dyDescent="0.25"/>
    <row r="233362" customFormat="1" x14ac:dyDescent="0.25"/>
    <row r="233363" customFormat="1" x14ac:dyDescent="0.25"/>
    <row r="233364" customFormat="1" x14ac:dyDescent="0.25"/>
    <row r="233365" customFormat="1" x14ac:dyDescent="0.25"/>
    <row r="233366" customFormat="1" x14ac:dyDescent="0.25"/>
    <row r="233367" customFormat="1" x14ac:dyDescent="0.25"/>
    <row r="233368" customFormat="1" x14ac:dyDescent="0.25"/>
    <row r="233369" customFormat="1" x14ac:dyDescent="0.25"/>
    <row r="233370" customFormat="1" x14ac:dyDescent="0.25"/>
    <row r="233371" customFormat="1" x14ac:dyDescent="0.25"/>
    <row r="233372" customFormat="1" x14ac:dyDescent="0.25"/>
    <row r="233373" customFormat="1" x14ac:dyDescent="0.25"/>
    <row r="233374" customFormat="1" x14ac:dyDescent="0.25"/>
    <row r="233375" customFormat="1" x14ac:dyDescent="0.25"/>
    <row r="233376" customFormat="1" x14ac:dyDescent="0.25"/>
    <row r="233377" customFormat="1" x14ac:dyDescent="0.25"/>
    <row r="233378" customFormat="1" x14ac:dyDescent="0.25"/>
    <row r="233379" customFormat="1" x14ac:dyDescent="0.25"/>
    <row r="233380" customFormat="1" x14ac:dyDescent="0.25"/>
    <row r="233381" customFormat="1" x14ac:dyDescent="0.25"/>
    <row r="233382" customFormat="1" x14ac:dyDescent="0.25"/>
    <row r="233383" customFormat="1" x14ac:dyDescent="0.25"/>
    <row r="233384" customFormat="1" x14ac:dyDescent="0.25"/>
    <row r="233385" customFormat="1" x14ac:dyDescent="0.25"/>
    <row r="233386" customFormat="1" x14ac:dyDescent="0.25"/>
    <row r="233387" customFormat="1" x14ac:dyDescent="0.25"/>
    <row r="233388" customFormat="1" x14ac:dyDescent="0.25"/>
    <row r="233389" customFormat="1" x14ac:dyDescent="0.25"/>
    <row r="233390" customFormat="1" x14ac:dyDescent="0.25"/>
    <row r="233391" customFormat="1" x14ac:dyDescent="0.25"/>
    <row r="233392" customFormat="1" x14ac:dyDescent="0.25"/>
    <row r="233393" customFormat="1" x14ac:dyDescent="0.25"/>
    <row r="233394" customFormat="1" x14ac:dyDescent="0.25"/>
    <row r="233395" customFormat="1" x14ac:dyDescent="0.25"/>
    <row r="233396" customFormat="1" x14ac:dyDescent="0.25"/>
    <row r="233397" customFormat="1" x14ac:dyDescent="0.25"/>
    <row r="233398" customFormat="1" x14ac:dyDescent="0.25"/>
    <row r="233399" customFormat="1" x14ac:dyDescent="0.25"/>
    <row r="233400" customFormat="1" x14ac:dyDescent="0.25"/>
    <row r="233401" customFormat="1" x14ac:dyDescent="0.25"/>
    <row r="233402" customFormat="1" x14ac:dyDescent="0.25"/>
    <row r="233403" customFormat="1" x14ac:dyDescent="0.25"/>
    <row r="233404" customFormat="1" x14ac:dyDescent="0.25"/>
    <row r="233405" customFormat="1" x14ac:dyDescent="0.25"/>
    <row r="233406" customFormat="1" x14ac:dyDescent="0.25"/>
    <row r="233407" customFormat="1" x14ac:dyDescent="0.25"/>
    <row r="233408" customFormat="1" x14ac:dyDescent="0.25"/>
    <row r="233409" customFormat="1" x14ac:dyDescent="0.25"/>
    <row r="233410" customFormat="1" x14ac:dyDescent="0.25"/>
    <row r="233411" customFormat="1" x14ac:dyDescent="0.25"/>
    <row r="233412" customFormat="1" x14ac:dyDescent="0.25"/>
    <row r="233413" customFormat="1" x14ac:dyDescent="0.25"/>
    <row r="233414" customFormat="1" x14ac:dyDescent="0.25"/>
    <row r="233415" customFormat="1" x14ac:dyDescent="0.25"/>
    <row r="233416" customFormat="1" x14ac:dyDescent="0.25"/>
    <row r="233417" customFormat="1" x14ac:dyDescent="0.25"/>
    <row r="233418" customFormat="1" x14ac:dyDescent="0.25"/>
    <row r="233419" customFormat="1" x14ac:dyDescent="0.25"/>
    <row r="233420" customFormat="1" x14ac:dyDescent="0.25"/>
    <row r="233421" customFormat="1" x14ac:dyDescent="0.25"/>
    <row r="233422" customFormat="1" x14ac:dyDescent="0.25"/>
    <row r="233423" customFormat="1" x14ac:dyDescent="0.25"/>
    <row r="233424" customFormat="1" x14ac:dyDescent="0.25"/>
    <row r="233425" customFormat="1" x14ac:dyDescent="0.25"/>
    <row r="233426" customFormat="1" x14ac:dyDescent="0.25"/>
    <row r="233427" customFormat="1" x14ac:dyDescent="0.25"/>
    <row r="233428" customFormat="1" x14ac:dyDescent="0.25"/>
    <row r="233429" customFormat="1" x14ac:dyDescent="0.25"/>
    <row r="233430" customFormat="1" x14ac:dyDescent="0.25"/>
    <row r="233431" customFormat="1" x14ac:dyDescent="0.25"/>
    <row r="233432" customFormat="1" x14ac:dyDescent="0.25"/>
    <row r="233433" customFormat="1" x14ac:dyDescent="0.25"/>
    <row r="233434" customFormat="1" x14ac:dyDescent="0.25"/>
    <row r="233435" customFormat="1" x14ac:dyDescent="0.25"/>
    <row r="233436" customFormat="1" x14ac:dyDescent="0.25"/>
    <row r="233437" customFormat="1" x14ac:dyDescent="0.25"/>
    <row r="233438" customFormat="1" x14ac:dyDescent="0.25"/>
    <row r="233439" customFormat="1" x14ac:dyDescent="0.25"/>
    <row r="233440" customFormat="1" x14ac:dyDescent="0.25"/>
    <row r="233441" customFormat="1" x14ac:dyDescent="0.25"/>
    <row r="233442" customFormat="1" x14ac:dyDescent="0.25"/>
    <row r="233443" customFormat="1" x14ac:dyDescent="0.25"/>
    <row r="233444" customFormat="1" x14ac:dyDescent="0.25"/>
    <row r="233445" customFormat="1" x14ac:dyDescent="0.25"/>
    <row r="233446" customFormat="1" x14ac:dyDescent="0.25"/>
    <row r="233447" customFormat="1" x14ac:dyDescent="0.25"/>
    <row r="233448" customFormat="1" x14ac:dyDescent="0.25"/>
    <row r="233449" customFormat="1" x14ac:dyDescent="0.25"/>
    <row r="233450" customFormat="1" x14ac:dyDescent="0.25"/>
    <row r="233451" customFormat="1" x14ac:dyDescent="0.25"/>
    <row r="233452" customFormat="1" x14ac:dyDescent="0.25"/>
    <row r="233453" customFormat="1" x14ac:dyDescent="0.25"/>
    <row r="233454" customFormat="1" x14ac:dyDescent="0.25"/>
    <row r="233455" customFormat="1" x14ac:dyDescent="0.25"/>
    <row r="233456" customFormat="1" x14ac:dyDescent="0.25"/>
    <row r="233457" customFormat="1" x14ac:dyDescent="0.25"/>
    <row r="233458" customFormat="1" x14ac:dyDescent="0.25"/>
    <row r="233459" customFormat="1" x14ac:dyDescent="0.25"/>
    <row r="233460" customFormat="1" x14ac:dyDescent="0.25"/>
    <row r="233461" customFormat="1" x14ac:dyDescent="0.25"/>
    <row r="233462" customFormat="1" x14ac:dyDescent="0.25"/>
    <row r="233463" customFormat="1" x14ac:dyDescent="0.25"/>
    <row r="233464" customFormat="1" x14ac:dyDescent="0.25"/>
    <row r="233465" customFormat="1" x14ac:dyDescent="0.25"/>
    <row r="233466" customFormat="1" x14ac:dyDescent="0.25"/>
    <row r="233467" customFormat="1" x14ac:dyDescent="0.25"/>
    <row r="233468" customFormat="1" x14ac:dyDescent="0.25"/>
    <row r="233469" customFormat="1" x14ac:dyDescent="0.25"/>
    <row r="233470" customFormat="1" x14ac:dyDescent="0.25"/>
    <row r="233471" customFormat="1" x14ac:dyDescent="0.25"/>
    <row r="233472" customFormat="1" x14ac:dyDescent="0.25"/>
    <row r="233473" customFormat="1" x14ac:dyDescent="0.25"/>
    <row r="233474" customFormat="1" x14ac:dyDescent="0.25"/>
    <row r="233475" customFormat="1" x14ac:dyDescent="0.25"/>
    <row r="233476" customFormat="1" x14ac:dyDescent="0.25"/>
    <row r="233477" customFormat="1" x14ac:dyDescent="0.25"/>
    <row r="233478" customFormat="1" x14ac:dyDescent="0.25"/>
    <row r="233479" customFormat="1" x14ac:dyDescent="0.25"/>
    <row r="233480" customFormat="1" x14ac:dyDescent="0.25"/>
    <row r="233481" customFormat="1" x14ac:dyDescent="0.25"/>
    <row r="233482" customFormat="1" x14ac:dyDescent="0.25"/>
    <row r="233483" customFormat="1" x14ac:dyDescent="0.25"/>
    <row r="233484" customFormat="1" x14ac:dyDescent="0.25"/>
    <row r="233485" customFormat="1" x14ac:dyDescent="0.25"/>
    <row r="233486" customFormat="1" x14ac:dyDescent="0.25"/>
    <row r="233487" customFormat="1" x14ac:dyDescent="0.25"/>
    <row r="233488" customFormat="1" x14ac:dyDescent="0.25"/>
    <row r="233489" customFormat="1" x14ac:dyDescent="0.25"/>
    <row r="233490" customFormat="1" x14ac:dyDescent="0.25"/>
    <row r="233491" customFormat="1" x14ac:dyDescent="0.25"/>
    <row r="233492" customFormat="1" x14ac:dyDescent="0.25"/>
    <row r="233493" customFormat="1" x14ac:dyDescent="0.25"/>
    <row r="233494" customFormat="1" x14ac:dyDescent="0.25"/>
    <row r="233495" customFormat="1" x14ac:dyDescent="0.25"/>
    <row r="233496" customFormat="1" x14ac:dyDescent="0.25"/>
    <row r="233497" customFormat="1" x14ac:dyDescent="0.25"/>
    <row r="233498" customFormat="1" x14ac:dyDescent="0.25"/>
    <row r="233499" customFormat="1" x14ac:dyDescent="0.25"/>
    <row r="233500" customFormat="1" x14ac:dyDescent="0.25"/>
    <row r="233501" customFormat="1" x14ac:dyDescent="0.25"/>
    <row r="233502" customFormat="1" x14ac:dyDescent="0.25"/>
    <row r="233503" customFormat="1" x14ac:dyDescent="0.25"/>
    <row r="233504" customFormat="1" x14ac:dyDescent="0.25"/>
    <row r="233505" customFormat="1" x14ac:dyDescent="0.25"/>
    <row r="233506" customFormat="1" x14ac:dyDescent="0.25"/>
    <row r="233507" customFormat="1" x14ac:dyDescent="0.25"/>
    <row r="233508" customFormat="1" x14ac:dyDescent="0.25"/>
    <row r="233509" customFormat="1" x14ac:dyDescent="0.25"/>
    <row r="233510" customFormat="1" x14ac:dyDescent="0.25"/>
    <row r="233511" customFormat="1" x14ac:dyDescent="0.25"/>
    <row r="233512" customFormat="1" x14ac:dyDescent="0.25"/>
    <row r="233513" customFormat="1" x14ac:dyDescent="0.25"/>
    <row r="233514" customFormat="1" x14ac:dyDescent="0.25"/>
    <row r="233515" customFormat="1" x14ac:dyDescent="0.25"/>
    <row r="233516" customFormat="1" x14ac:dyDescent="0.25"/>
    <row r="233517" customFormat="1" x14ac:dyDescent="0.25"/>
    <row r="233518" customFormat="1" x14ac:dyDescent="0.25"/>
    <row r="233519" customFormat="1" x14ac:dyDescent="0.25"/>
    <row r="233520" customFormat="1" x14ac:dyDescent="0.25"/>
    <row r="233521" customFormat="1" x14ac:dyDescent="0.25"/>
    <row r="233522" customFormat="1" x14ac:dyDescent="0.25"/>
    <row r="233523" customFormat="1" x14ac:dyDescent="0.25"/>
    <row r="233524" customFormat="1" x14ac:dyDescent="0.25"/>
    <row r="233525" customFormat="1" x14ac:dyDescent="0.25"/>
    <row r="233526" customFormat="1" x14ac:dyDescent="0.25"/>
    <row r="233527" customFormat="1" x14ac:dyDescent="0.25"/>
    <row r="233528" customFormat="1" x14ac:dyDescent="0.25"/>
    <row r="233529" customFormat="1" x14ac:dyDescent="0.25"/>
    <row r="233530" customFormat="1" x14ac:dyDescent="0.25"/>
    <row r="233531" customFormat="1" x14ac:dyDescent="0.25"/>
    <row r="233532" customFormat="1" x14ac:dyDescent="0.25"/>
    <row r="233533" customFormat="1" x14ac:dyDescent="0.25"/>
    <row r="233534" customFormat="1" x14ac:dyDescent="0.25"/>
    <row r="233535" customFormat="1" x14ac:dyDescent="0.25"/>
    <row r="233536" customFormat="1" x14ac:dyDescent="0.25"/>
    <row r="233537" customFormat="1" x14ac:dyDescent="0.25"/>
    <row r="233538" customFormat="1" x14ac:dyDescent="0.25"/>
    <row r="233539" customFormat="1" x14ac:dyDescent="0.25"/>
    <row r="233540" customFormat="1" x14ac:dyDescent="0.25"/>
    <row r="233541" customFormat="1" x14ac:dyDescent="0.25"/>
    <row r="233542" customFormat="1" x14ac:dyDescent="0.25"/>
    <row r="233543" customFormat="1" x14ac:dyDescent="0.25"/>
    <row r="233544" customFormat="1" x14ac:dyDescent="0.25"/>
    <row r="233545" customFormat="1" x14ac:dyDescent="0.25"/>
    <row r="233546" customFormat="1" x14ac:dyDescent="0.25"/>
    <row r="233547" customFormat="1" x14ac:dyDescent="0.25"/>
    <row r="233548" customFormat="1" x14ac:dyDescent="0.25"/>
    <row r="233549" customFormat="1" x14ac:dyDescent="0.25"/>
    <row r="233550" customFormat="1" x14ac:dyDescent="0.25"/>
    <row r="233551" customFormat="1" x14ac:dyDescent="0.25"/>
    <row r="233552" customFormat="1" x14ac:dyDescent="0.25"/>
    <row r="233553" customFormat="1" x14ac:dyDescent="0.25"/>
    <row r="233554" customFormat="1" x14ac:dyDescent="0.25"/>
    <row r="233555" customFormat="1" x14ac:dyDescent="0.25"/>
    <row r="233556" customFormat="1" x14ac:dyDescent="0.25"/>
    <row r="233557" customFormat="1" x14ac:dyDescent="0.25"/>
    <row r="233558" customFormat="1" x14ac:dyDescent="0.25"/>
    <row r="233559" customFormat="1" x14ac:dyDescent="0.25"/>
    <row r="233560" customFormat="1" x14ac:dyDescent="0.25"/>
    <row r="233561" customFormat="1" x14ac:dyDescent="0.25"/>
    <row r="233562" customFormat="1" x14ac:dyDescent="0.25"/>
    <row r="233563" customFormat="1" x14ac:dyDescent="0.25"/>
    <row r="233564" customFormat="1" x14ac:dyDescent="0.25"/>
    <row r="233565" customFormat="1" x14ac:dyDescent="0.25"/>
    <row r="233566" customFormat="1" x14ac:dyDescent="0.25"/>
    <row r="233567" customFormat="1" x14ac:dyDescent="0.25"/>
    <row r="233568" customFormat="1" x14ac:dyDescent="0.25"/>
    <row r="233569" customFormat="1" x14ac:dyDescent="0.25"/>
    <row r="233570" customFormat="1" x14ac:dyDescent="0.25"/>
    <row r="233571" customFormat="1" x14ac:dyDescent="0.25"/>
    <row r="233572" customFormat="1" x14ac:dyDescent="0.25"/>
    <row r="233573" customFormat="1" x14ac:dyDescent="0.25"/>
    <row r="233574" customFormat="1" x14ac:dyDescent="0.25"/>
    <row r="233575" customFormat="1" x14ac:dyDescent="0.25"/>
    <row r="233576" customFormat="1" x14ac:dyDescent="0.25"/>
    <row r="233577" customFormat="1" x14ac:dyDescent="0.25"/>
    <row r="233578" customFormat="1" x14ac:dyDescent="0.25"/>
    <row r="233579" customFormat="1" x14ac:dyDescent="0.25"/>
    <row r="233580" customFormat="1" x14ac:dyDescent="0.25"/>
    <row r="233581" customFormat="1" x14ac:dyDescent="0.25"/>
    <row r="233582" customFormat="1" x14ac:dyDescent="0.25"/>
    <row r="233583" customFormat="1" x14ac:dyDescent="0.25"/>
    <row r="233584" customFormat="1" x14ac:dyDescent="0.25"/>
    <row r="233585" customFormat="1" x14ac:dyDescent="0.25"/>
    <row r="233586" customFormat="1" x14ac:dyDescent="0.25"/>
    <row r="233587" customFormat="1" x14ac:dyDescent="0.25"/>
    <row r="233588" customFormat="1" x14ac:dyDescent="0.25"/>
    <row r="233589" customFormat="1" x14ac:dyDescent="0.25"/>
    <row r="233590" customFormat="1" x14ac:dyDescent="0.25"/>
    <row r="233591" customFormat="1" x14ac:dyDescent="0.25"/>
    <row r="233592" customFormat="1" x14ac:dyDescent="0.25"/>
    <row r="233593" customFormat="1" x14ac:dyDescent="0.25"/>
    <row r="233594" customFormat="1" x14ac:dyDescent="0.25"/>
    <row r="233595" customFormat="1" x14ac:dyDescent="0.25"/>
    <row r="233596" customFormat="1" x14ac:dyDescent="0.25"/>
    <row r="233597" customFormat="1" x14ac:dyDescent="0.25"/>
    <row r="233598" customFormat="1" x14ac:dyDescent="0.25"/>
    <row r="233599" customFormat="1" x14ac:dyDescent="0.25"/>
    <row r="233600" customFormat="1" x14ac:dyDescent="0.25"/>
    <row r="233601" customFormat="1" x14ac:dyDescent="0.25"/>
    <row r="233602" customFormat="1" x14ac:dyDescent="0.25"/>
    <row r="233603" customFormat="1" x14ac:dyDescent="0.25"/>
    <row r="233604" customFormat="1" x14ac:dyDescent="0.25"/>
    <row r="233605" customFormat="1" x14ac:dyDescent="0.25"/>
    <row r="233606" customFormat="1" x14ac:dyDescent="0.25"/>
    <row r="233607" customFormat="1" x14ac:dyDescent="0.25"/>
    <row r="233608" customFormat="1" x14ac:dyDescent="0.25"/>
    <row r="233609" customFormat="1" x14ac:dyDescent="0.25"/>
    <row r="233610" customFormat="1" x14ac:dyDescent="0.25"/>
    <row r="233611" customFormat="1" x14ac:dyDescent="0.25"/>
    <row r="233612" customFormat="1" x14ac:dyDescent="0.25"/>
    <row r="233613" customFormat="1" x14ac:dyDescent="0.25"/>
    <row r="233614" customFormat="1" x14ac:dyDescent="0.25"/>
    <row r="233615" customFormat="1" x14ac:dyDescent="0.25"/>
    <row r="233616" customFormat="1" x14ac:dyDescent="0.25"/>
    <row r="233617" customFormat="1" x14ac:dyDescent="0.25"/>
    <row r="233618" customFormat="1" x14ac:dyDescent="0.25"/>
    <row r="233619" customFormat="1" x14ac:dyDescent="0.25"/>
    <row r="233620" customFormat="1" x14ac:dyDescent="0.25"/>
    <row r="233621" customFormat="1" x14ac:dyDescent="0.25"/>
    <row r="233622" customFormat="1" x14ac:dyDescent="0.25"/>
    <row r="233623" customFormat="1" x14ac:dyDescent="0.25"/>
    <row r="233624" customFormat="1" x14ac:dyDescent="0.25"/>
    <row r="233625" customFormat="1" x14ac:dyDescent="0.25"/>
    <row r="233626" customFormat="1" x14ac:dyDescent="0.25"/>
    <row r="233627" customFormat="1" x14ac:dyDescent="0.25"/>
    <row r="233628" customFormat="1" x14ac:dyDescent="0.25"/>
    <row r="233629" customFormat="1" x14ac:dyDescent="0.25"/>
    <row r="233630" customFormat="1" x14ac:dyDescent="0.25"/>
    <row r="233631" customFormat="1" x14ac:dyDescent="0.25"/>
    <row r="233632" customFormat="1" x14ac:dyDescent="0.25"/>
    <row r="233633" customFormat="1" x14ac:dyDescent="0.25"/>
    <row r="233634" customFormat="1" x14ac:dyDescent="0.25"/>
    <row r="233635" customFormat="1" x14ac:dyDescent="0.25"/>
    <row r="233636" customFormat="1" x14ac:dyDescent="0.25"/>
    <row r="233637" customFormat="1" x14ac:dyDescent="0.25"/>
    <row r="233638" customFormat="1" x14ac:dyDescent="0.25"/>
    <row r="233639" customFormat="1" x14ac:dyDescent="0.25"/>
    <row r="233640" customFormat="1" x14ac:dyDescent="0.25"/>
    <row r="233641" customFormat="1" x14ac:dyDescent="0.25"/>
    <row r="233642" customFormat="1" x14ac:dyDescent="0.25"/>
    <row r="233643" customFormat="1" x14ac:dyDescent="0.25"/>
    <row r="233644" customFormat="1" x14ac:dyDescent="0.25"/>
    <row r="233645" customFormat="1" x14ac:dyDescent="0.25"/>
    <row r="233646" customFormat="1" x14ac:dyDescent="0.25"/>
    <row r="233647" customFormat="1" x14ac:dyDescent="0.25"/>
    <row r="233648" customFormat="1" x14ac:dyDescent="0.25"/>
    <row r="233649" customFormat="1" x14ac:dyDescent="0.25"/>
    <row r="233650" customFormat="1" x14ac:dyDescent="0.25"/>
    <row r="233651" customFormat="1" x14ac:dyDescent="0.25"/>
    <row r="233652" customFormat="1" x14ac:dyDescent="0.25"/>
    <row r="233653" customFormat="1" x14ac:dyDescent="0.25"/>
    <row r="233654" customFormat="1" x14ac:dyDescent="0.25"/>
    <row r="233655" customFormat="1" x14ac:dyDescent="0.25"/>
    <row r="233656" customFormat="1" x14ac:dyDescent="0.25"/>
    <row r="233657" customFormat="1" x14ac:dyDescent="0.25"/>
    <row r="233658" customFormat="1" x14ac:dyDescent="0.25"/>
    <row r="233659" customFormat="1" x14ac:dyDescent="0.25"/>
    <row r="233660" customFormat="1" x14ac:dyDescent="0.25"/>
    <row r="233661" customFormat="1" x14ac:dyDescent="0.25"/>
    <row r="233662" customFormat="1" x14ac:dyDescent="0.25"/>
    <row r="233663" customFormat="1" x14ac:dyDescent="0.25"/>
    <row r="233664" customFormat="1" x14ac:dyDescent="0.25"/>
    <row r="233665" customFormat="1" x14ac:dyDescent="0.25"/>
    <row r="233666" customFormat="1" x14ac:dyDescent="0.25"/>
    <row r="233667" customFormat="1" x14ac:dyDescent="0.25"/>
    <row r="233668" customFormat="1" x14ac:dyDescent="0.25"/>
    <row r="233669" customFormat="1" x14ac:dyDescent="0.25"/>
    <row r="233670" customFormat="1" x14ac:dyDescent="0.25"/>
    <row r="233671" customFormat="1" x14ac:dyDescent="0.25"/>
    <row r="233672" customFormat="1" x14ac:dyDescent="0.25"/>
    <row r="233673" customFormat="1" x14ac:dyDescent="0.25"/>
    <row r="233674" customFormat="1" x14ac:dyDescent="0.25"/>
    <row r="233675" customFormat="1" x14ac:dyDescent="0.25"/>
    <row r="233676" customFormat="1" x14ac:dyDescent="0.25"/>
    <row r="233677" customFormat="1" x14ac:dyDescent="0.25"/>
    <row r="233678" customFormat="1" x14ac:dyDescent="0.25"/>
    <row r="233679" customFormat="1" x14ac:dyDescent="0.25"/>
    <row r="233680" customFormat="1" x14ac:dyDescent="0.25"/>
    <row r="233681" customFormat="1" x14ac:dyDescent="0.25"/>
    <row r="233682" customFormat="1" x14ac:dyDescent="0.25"/>
    <row r="233683" customFormat="1" x14ac:dyDescent="0.25"/>
    <row r="233684" customFormat="1" x14ac:dyDescent="0.25"/>
    <row r="233685" customFormat="1" x14ac:dyDescent="0.25"/>
    <row r="233686" customFormat="1" x14ac:dyDescent="0.25"/>
    <row r="233687" customFormat="1" x14ac:dyDescent="0.25"/>
    <row r="233688" customFormat="1" x14ac:dyDescent="0.25"/>
    <row r="233689" customFormat="1" x14ac:dyDescent="0.25"/>
    <row r="233690" customFormat="1" x14ac:dyDescent="0.25"/>
    <row r="233691" customFormat="1" x14ac:dyDescent="0.25"/>
    <row r="233692" customFormat="1" x14ac:dyDescent="0.25"/>
    <row r="233693" customFormat="1" x14ac:dyDescent="0.25"/>
    <row r="233694" customFormat="1" x14ac:dyDescent="0.25"/>
    <row r="233695" customFormat="1" x14ac:dyDescent="0.25"/>
    <row r="233696" customFormat="1" x14ac:dyDescent="0.25"/>
    <row r="233697" customFormat="1" x14ac:dyDescent="0.25"/>
    <row r="233698" customFormat="1" x14ac:dyDescent="0.25"/>
    <row r="233699" customFormat="1" x14ac:dyDescent="0.25"/>
    <row r="233700" customFormat="1" x14ac:dyDescent="0.25"/>
    <row r="233701" customFormat="1" x14ac:dyDescent="0.25"/>
    <row r="233702" customFormat="1" x14ac:dyDescent="0.25"/>
    <row r="233703" customFormat="1" x14ac:dyDescent="0.25"/>
    <row r="233704" customFormat="1" x14ac:dyDescent="0.25"/>
    <row r="233705" customFormat="1" x14ac:dyDescent="0.25"/>
    <row r="233706" customFormat="1" x14ac:dyDescent="0.25"/>
    <row r="233707" customFormat="1" x14ac:dyDescent="0.25"/>
    <row r="233708" customFormat="1" x14ac:dyDescent="0.25"/>
    <row r="233709" customFormat="1" x14ac:dyDescent="0.25"/>
    <row r="233710" customFormat="1" x14ac:dyDescent="0.25"/>
    <row r="233711" customFormat="1" x14ac:dyDescent="0.25"/>
    <row r="233712" customFormat="1" x14ac:dyDescent="0.25"/>
    <row r="233713" customFormat="1" x14ac:dyDescent="0.25"/>
    <row r="233714" customFormat="1" x14ac:dyDescent="0.25"/>
    <row r="233715" customFormat="1" x14ac:dyDescent="0.25"/>
    <row r="233716" customFormat="1" x14ac:dyDescent="0.25"/>
    <row r="233717" customFormat="1" x14ac:dyDescent="0.25"/>
    <row r="233718" customFormat="1" x14ac:dyDescent="0.25"/>
    <row r="233719" customFormat="1" x14ac:dyDescent="0.25"/>
    <row r="233720" customFormat="1" x14ac:dyDescent="0.25"/>
    <row r="233721" customFormat="1" x14ac:dyDescent="0.25"/>
    <row r="233722" customFormat="1" x14ac:dyDescent="0.25"/>
    <row r="233723" customFormat="1" x14ac:dyDescent="0.25"/>
    <row r="233724" customFormat="1" x14ac:dyDescent="0.25"/>
    <row r="233725" customFormat="1" x14ac:dyDescent="0.25"/>
    <row r="233726" customFormat="1" x14ac:dyDescent="0.25"/>
    <row r="233727" customFormat="1" x14ac:dyDescent="0.25"/>
    <row r="233728" customFormat="1" x14ac:dyDescent="0.25"/>
    <row r="233729" customFormat="1" x14ac:dyDescent="0.25"/>
    <row r="233730" customFormat="1" x14ac:dyDescent="0.25"/>
    <row r="233731" customFormat="1" x14ac:dyDescent="0.25"/>
    <row r="233732" customFormat="1" x14ac:dyDescent="0.25"/>
    <row r="233733" customFormat="1" x14ac:dyDescent="0.25"/>
    <row r="233734" customFormat="1" x14ac:dyDescent="0.25"/>
    <row r="233735" customFormat="1" x14ac:dyDescent="0.25"/>
    <row r="233736" customFormat="1" x14ac:dyDescent="0.25"/>
    <row r="233737" customFormat="1" x14ac:dyDescent="0.25"/>
    <row r="233738" customFormat="1" x14ac:dyDescent="0.25"/>
    <row r="233739" customFormat="1" x14ac:dyDescent="0.25"/>
    <row r="233740" customFormat="1" x14ac:dyDescent="0.25"/>
    <row r="233741" customFormat="1" x14ac:dyDescent="0.25"/>
    <row r="233742" customFormat="1" x14ac:dyDescent="0.25"/>
    <row r="233743" customFormat="1" x14ac:dyDescent="0.25"/>
    <row r="233744" customFormat="1" x14ac:dyDescent="0.25"/>
    <row r="233745" customFormat="1" x14ac:dyDescent="0.25"/>
    <row r="233746" customFormat="1" x14ac:dyDescent="0.25"/>
    <row r="233747" customFormat="1" x14ac:dyDescent="0.25"/>
    <row r="233748" customFormat="1" x14ac:dyDescent="0.25"/>
    <row r="233749" customFormat="1" x14ac:dyDescent="0.25"/>
    <row r="233750" customFormat="1" x14ac:dyDescent="0.25"/>
    <row r="233751" customFormat="1" x14ac:dyDescent="0.25"/>
    <row r="233752" customFormat="1" x14ac:dyDescent="0.25"/>
    <row r="233753" customFormat="1" x14ac:dyDescent="0.25"/>
    <row r="233754" customFormat="1" x14ac:dyDescent="0.25"/>
    <row r="233755" customFormat="1" x14ac:dyDescent="0.25"/>
    <row r="233756" customFormat="1" x14ac:dyDescent="0.25"/>
    <row r="233757" customFormat="1" x14ac:dyDescent="0.25"/>
    <row r="233758" customFormat="1" x14ac:dyDescent="0.25"/>
    <row r="233759" customFormat="1" x14ac:dyDescent="0.25"/>
    <row r="233760" customFormat="1" x14ac:dyDescent="0.25"/>
    <row r="233761" customFormat="1" x14ac:dyDescent="0.25"/>
    <row r="233762" customFormat="1" x14ac:dyDescent="0.25"/>
    <row r="233763" customFormat="1" x14ac:dyDescent="0.25"/>
    <row r="233764" customFormat="1" x14ac:dyDescent="0.25"/>
    <row r="233765" customFormat="1" x14ac:dyDescent="0.25"/>
    <row r="233766" customFormat="1" x14ac:dyDescent="0.25"/>
    <row r="233767" customFormat="1" x14ac:dyDescent="0.25"/>
    <row r="233768" customFormat="1" x14ac:dyDescent="0.25"/>
    <row r="233769" customFormat="1" x14ac:dyDescent="0.25"/>
    <row r="233770" customFormat="1" x14ac:dyDescent="0.25"/>
    <row r="233771" customFormat="1" x14ac:dyDescent="0.25"/>
    <row r="233772" customFormat="1" x14ac:dyDescent="0.25"/>
    <row r="233773" customFormat="1" x14ac:dyDescent="0.25"/>
    <row r="233774" customFormat="1" x14ac:dyDescent="0.25"/>
    <row r="233775" customFormat="1" x14ac:dyDescent="0.25"/>
    <row r="233776" customFormat="1" x14ac:dyDescent="0.25"/>
    <row r="233777" customFormat="1" x14ac:dyDescent="0.25"/>
    <row r="233778" customFormat="1" x14ac:dyDescent="0.25"/>
    <row r="233779" customFormat="1" x14ac:dyDescent="0.25"/>
    <row r="233780" customFormat="1" x14ac:dyDescent="0.25"/>
    <row r="233781" customFormat="1" x14ac:dyDescent="0.25"/>
    <row r="233782" customFormat="1" x14ac:dyDescent="0.25"/>
    <row r="233783" customFormat="1" x14ac:dyDescent="0.25"/>
    <row r="233784" customFormat="1" x14ac:dyDescent="0.25"/>
    <row r="233785" customFormat="1" x14ac:dyDescent="0.25"/>
    <row r="233786" customFormat="1" x14ac:dyDescent="0.25"/>
    <row r="233787" customFormat="1" x14ac:dyDescent="0.25"/>
    <row r="233788" customFormat="1" x14ac:dyDescent="0.25"/>
    <row r="233789" customFormat="1" x14ac:dyDescent="0.25"/>
    <row r="233790" customFormat="1" x14ac:dyDescent="0.25"/>
    <row r="233791" customFormat="1" x14ac:dyDescent="0.25"/>
    <row r="233792" customFormat="1" x14ac:dyDescent="0.25"/>
    <row r="233793" customFormat="1" x14ac:dyDescent="0.25"/>
    <row r="233794" customFormat="1" x14ac:dyDescent="0.25"/>
    <row r="233795" customFormat="1" x14ac:dyDescent="0.25"/>
    <row r="233796" customFormat="1" x14ac:dyDescent="0.25"/>
    <row r="233797" customFormat="1" x14ac:dyDescent="0.25"/>
    <row r="233798" customFormat="1" x14ac:dyDescent="0.25"/>
    <row r="233799" customFormat="1" x14ac:dyDescent="0.25"/>
    <row r="233800" customFormat="1" x14ac:dyDescent="0.25"/>
    <row r="233801" customFormat="1" x14ac:dyDescent="0.25"/>
    <row r="233802" customFormat="1" x14ac:dyDescent="0.25"/>
    <row r="233803" customFormat="1" x14ac:dyDescent="0.25"/>
    <row r="233804" customFormat="1" x14ac:dyDescent="0.25"/>
    <row r="233805" customFormat="1" x14ac:dyDescent="0.25"/>
    <row r="233806" customFormat="1" x14ac:dyDescent="0.25"/>
    <row r="233807" customFormat="1" x14ac:dyDescent="0.25"/>
    <row r="233808" customFormat="1" x14ac:dyDescent="0.25"/>
    <row r="233809" customFormat="1" x14ac:dyDescent="0.25"/>
    <row r="233810" customFormat="1" x14ac:dyDescent="0.25"/>
    <row r="233811" customFormat="1" x14ac:dyDescent="0.25"/>
    <row r="233812" customFormat="1" x14ac:dyDescent="0.25"/>
    <row r="233813" customFormat="1" x14ac:dyDescent="0.25"/>
    <row r="233814" customFormat="1" x14ac:dyDescent="0.25"/>
    <row r="233815" customFormat="1" x14ac:dyDescent="0.25"/>
    <row r="233816" customFormat="1" x14ac:dyDescent="0.25"/>
    <row r="233817" customFormat="1" x14ac:dyDescent="0.25"/>
    <row r="233818" customFormat="1" x14ac:dyDescent="0.25"/>
    <row r="233819" customFormat="1" x14ac:dyDescent="0.25"/>
    <row r="233820" customFormat="1" x14ac:dyDescent="0.25"/>
    <row r="233821" customFormat="1" x14ac:dyDescent="0.25"/>
    <row r="233822" customFormat="1" x14ac:dyDescent="0.25"/>
    <row r="233823" customFormat="1" x14ac:dyDescent="0.25"/>
    <row r="233824" customFormat="1" x14ac:dyDescent="0.25"/>
    <row r="233825" customFormat="1" x14ac:dyDescent="0.25"/>
    <row r="233826" customFormat="1" x14ac:dyDescent="0.25"/>
    <row r="233827" customFormat="1" x14ac:dyDescent="0.25"/>
    <row r="233828" customFormat="1" x14ac:dyDescent="0.25"/>
    <row r="233829" customFormat="1" x14ac:dyDescent="0.25"/>
    <row r="233830" customFormat="1" x14ac:dyDescent="0.25"/>
    <row r="233831" customFormat="1" x14ac:dyDescent="0.25"/>
    <row r="233832" customFormat="1" x14ac:dyDescent="0.25"/>
    <row r="233833" customFormat="1" x14ac:dyDescent="0.25"/>
    <row r="233834" customFormat="1" x14ac:dyDescent="0.25"/>
    <row r="233835" customFormat="1" x14ac:dyDescent="0.25"/>
    <row r="233836" customFormat="1" x14ac:dyDescent="0.25"/>
    <row r="233837" customFormat="1" x14ac:dyDescent="0.25"/>
    <row r="233838" customFormat="1" x14ac:dyDescent="0.25"/>
    <row r="233839" customFormat="1" x14ac:dyDescent="0.25"/>
    <row r="233840" customFormat="1" x14ac:dyDescent="0.25"/>
    <row r="233841" customFormat="1" x14ac:dyDescent="0.25"/>
    <row r="233842" customFormat="1" x14ac:dyDescent="0.25"/>
    <row r="233843" customFormat="1" x14ac:dyDescent="0.25"/>
    <row r="233844" customFormat="1" x14ac:dyDescent="0.25"/>
    <row r="233845" customFormat="1" x14ac:dyDescent="0.25"/>
    <row r="233846" customFormat="1" x14ac:dyDescent="0.25"/>
    <row r="233847" customFormat="1" x14ac:dyDescent="0.25"/>
    <row r="233848" customFormat="1" x14ac:dyDescent="0.25"/>
    <row r="233849" customFormat="1" x14ac:dyDescent="0.25"/>
    <row r="233850" customFormat="1" x14ac:dyDescent="0.25"/>
    <row r="233851" customFormat="1" x14ac:dyDescent="0.25"/>
    <row r="233852" customFormat="1" x14ac:dyDescent="0.25"/>
    <row r="233853" customFormat="1" x14ac:dyDescent="0.25"/>
    <row r="233854" customFormat="1" x14ac:dyDescent="0.25"/>
    <row r="233855" customFormat="1" x14ac:dyDescent="0.25"/>
    <row r="233856" customFormat="1" x14ac:dyDescent="0.25"/>
    <row r="233857" customFormat="1" x14ac:dyDescent="0.25"/>
    <row r="233858" customFormat="1" x14ac:dyDescent="0.25"/>
    <row r="233859" customFormat="1" x14ac:dyDescent="0.25"/>
    <row r="233860" customFormat="1" x14ac:dyDescent="0.25"/>
    <row r="233861" customFormat="1" x14ac:dyDescent="0.25"/>
    <row r="233862" customFormat="1" x14ac:dyDescent="0.25"/>
    <row r="233863" customFormat="1" x14ac:dyDescent="0.25"/>
    <row r="233864" customFormat="1" x14ac:dyDescent="0.25"/>
    <row r="233865" customFormat="1" x14ac:dyDescent="0.25"/>
    <row r="233866" customFormat="1" x14ac:dyDescent="0.25"/>
    <row r="233867" customFormat="1" x14ac:dyDescent="0.25"/>
    <row r="233868" customFormat="1" x14ac:dyDescent="0.25"/>
    <row r="233869" customFormat="1" x14ac:dyDescent="0.25"/>
    <row r="233870" customFormat="1" x14ac:dyDescent="0.25"/>
    <row r="233871" customFormat="1" x14ac:dyDescent="0.25"/>
    <row r="233872" customFormat="1" x14ac:dyDescent="0.25"/>
    <row r="233873" customFormat="1" x14ac:dyDescent="0.25"/>
    <row r="233874" customFormat="1" x14ac:dyDescent="0.25"/>
    <row r="233875" customFormat="1" x14ac:dyDescent="0.25"/>
    <row r="233876" customFormat="1" x14ac:dyDescent="0.25"/>
    <row r="233877" customFormat="1" x14ac:dyDescent="0.25"/>
    <row r="233878" customFormat="1" x14ac:dyDescent="0.25"/>
    <row r="233879" customFormat="1" x14ac:dyDescent="0.25"/>
    <row r="233880" customFormat="1" x14ac:dyDescent="0.25"/>
    <row r="233881" customFormat="1" x14ac:dyDescent="0.25"/>
    <row r="233882" customFormat="1" x14ac:dyDescent="0.25"/>
    <row r="233883" customFormat="1" x14ac:dyDescent="0.25"/>
    <row r="233884" customFormat="1" x14ac:dyDescent="0.25"/>
    <row r="233885" customFormat="1" x14ac:dyDescent="0.25"/>
    <row r="233886" customFormat="1" x14ac:dyDescent="0.25"/>
    <row r="233887" customFormat="1" x14ac:dyDescent="0.25"/>
    <row r="233888" customFormat="1" x14ac:dyDescent="0.25"/>
    <row r="233889" customFormat="1" x14ac:dyDescent="0.25"/>
    <row r="233890" customFormat="1" x14ac:dyDescent="0.25"/>
    <row r="233891" customFormat="1" x14ac:dyDescent="0.25"/>
    <row r="233892" customFormat="1" x14ac:dyDescent="0.25"/>
    <row r="233893" customFormat="1" x14ac:dyDescent="0.25"/>
    <row r="233894" customFormat="1" x14ac:dyDescent="0.25"/>
    <row r="233895" customFormat="1" x14ac:dyDescent="0.25"/>
    <row r="233896" customFormat="1" x14ac:dyDescent="0.25"/>
    <row r="233897" customFormat="1" x14ac:dyDescent="0.25"/>
    <row r="233898" customFormat="1" x14ac:dyDescent="0.25"/>
    <row r="233899" customFormat="1" x14ac:dyDescent="0.25"/>
    <row r="233900" customFormat="1" x14ac:dyDescent="0.25"/>
    <row r="233901" customFormat="1" x14ac:dyDescent="0.25"/>
    <row r="233902" customFormat="1" x14ac:dyDescent="0.25"/>
    <row r="233903" customFormat="1" x14ac:dyDescent="0.25"/>
    <row r="233904" customFormat="1" x14ac:dyDescent="0.25"/>
    <row r="233905" customFormat="1" x14ac:dyDescent="0.25"/>
    <row r="233906" customFormat="1" x14ac:dyDescent="0.25"/>
    <row r="233907" customFormat="1" x14ac:dyDescent="0.25"/>
    <row r="233908" customFormat="1" x14ac:dyDescent="0.25"/>
    <row r="233909" customFormat="1" x14ac:dyDescent="0.25"/>
    <row r="233910" customFormat="1" x14ac:dyDescent="0.25"/>
    <row r="233911" customFormat="1" x14ac:dyDescent="0.25"/>
    <row r="233912" customFormat="1" x14ac:dyDescent="0.25"/>
    <row r="233913" customFormat="1" x14ac:dyDescent="0.25"/>
    <row r="233914" customFormat="1" x14ac:dyDescent="0.25"/>
    <row r="233915" customFormat="1" x14ac:dyDescent="0.25"/>
    <row r="233916" customFormat="1" x14ac:dyDescent="0.25"/>
    <row r="233917" customFormat="1" x14ac:dyDescent="0.25"/>
    <row r="233918" customFormat="1" x14ac:dyDescent="0.25"/>
    <row r="233919" customFormat="1" x14ac:dyDescent="0.25"/>
    <row r="233920" customFormat="1" x14ac:dyDescent="0.25"/>
    <row r="233921" customFormat="1" x14ac:dyDescent="0.25"/>
    <row r="233922" customFormat="1" x14ac:dyDescent="0.25"/>
    <row r="233923" customFormat="1" x14ac:dyDescent="0.25"/>
    <row r="233924" customFormat="1" x14ac:dyDescent="0.25"/>
    <row r="233925" customFormat="1" x14ac:dyDescent="0.25"/>
    <row r="233926" customFormat="1" x14ac:dyDescent="0.25"/>
    <row r="233927" customFormat="1" x14ac:dyDescent="0.25"/>
    <row r="233928" customFormat="1" x14ac:dyDescent="0.25"/>
    <row r="233929" customFormat="1" x14ac:dyDescent="0.25"/>
    <row r="233930" customFormat="1" x14ac:dyDescent="0.25"/>
    <row r="233931" customFormat="1" x14ac:dyDescent="0.25"/>
    <row r="233932" customFormat="1" x14ac:dyDescent="0.25"/>
    <row r="233933" customFormat="1" x14ac:dyDescent="0.25"/>
    <row r="233934" customFormat="1" x14ac:dyDescent="0.25"/>
    <row r="233935" customFormat="1" x14ac:dyDescent="0.25"/>
    <row r="233936" customFormat="1" x14ac:dyDescent="0.25"/>
    <row r="233937" customFormat="1" x14ac:dyDescent="0.25"/>
    <row r="233938" customFormat="1" x14ac:dyDescent="0.25"/>
    <row r="233939" customFormat="1" x14ac:dyDescent="0.25"/>
    <row r="233940" customFormat="1" x14ac:dyDescent="0.25"/>
    <row r="233941" customFormat="1" x14ac:dyDescent="0.25"/>
    <row r="233942" customFormat="1" x14ac:dyDescent="0.25"/>
    <row r="233943" customFormat="1" x14ac:dyDescent="0.25"/>
    <row r="233944" customFormat="1" x14ac:dyDescent="0.25"/>
    <row r="233945" customFormat="1" x14ac:dyDescent="0.25"/>
    <row r="233946" customFormat="1" x14ac:dyDescent="0.25"/>
    <row r="233947" customFormat="1" x14ac:dyDescent="0.25"/>
    <row r="233948" customFormat="1" x14ac:dyDescent="0.25"/>
    <row r="233949" customFormat="1" x14ac:dyDescent="0.25"/>
    <row r="233950" customFormat="1" x14ac:dyDescent="0.25"/>
    <row r="233951" customFormat="1" x14ac:dyDescent="0.25"/>
    <row r="233952" customFormat="1" x14ac:dyDescent="0.25"/>
    <row r="233953" customFormat="1" x14ac:dyDescent="0.25"/>
    <row r="233954" customFormat="1" x14ac:dyDescent="0.25"/>
    <row r="233955" customFormat="1" x14ac:dyDescent="0.25"/>
    <row r="233956" customFormat="1" x14ac:dyDescent="0.25"/>
    <row r="233957" customFormat="1" x14ac:dyDescent="0.25"/>
    <row r="233958" customFormat="1" x14ac:dyDescent="0.25"/>
    <row r="233959" customFormat="1" x14ac:dyDescent="0.25"/>
    <row r="233960" customFormat="1" x14ac:dyDescent="0.25"/>
    <row r="233961" customFormat="1" x14ac:dyDescent="0.25"/>
    <row r="233962" customFormat="1" x14ac:dyDescent="0.25"/>
    <row r="233963" customFormat="1" x14ac:dyDescent="0.25"/>
    <row r="233964" customFormat="1" x14ac:dyDescent="0.25"/>
    <row r="233965" customFormat="1" x14ac:dyDescent="0.25"/>
    <row r="233966" customFormat="1" x14ac:dyDescent="0.25"/>
    <row r="233967" customFormat="1" x14ac:dyDescent="0.25"/>
    <row r="233968" customFormat="1" x14ac:dyDescent="0.25"/>
    <row r="233969" customFormat="1" x14ac:dyDescent="0.25"/>
    <row r="233970" customFormat="1" x14ac:dyDescent="0.25"/>
    <row r="233971" customFormat="1" x14ac:dyDescent="0.25"/>
    <row r="233972" customFormat="1" x14ac:dyDescent="0.25"/>
    <row r="233973" customFormat="1" x14ac:dyDescent="0.25"/>
    <row r="233974" customFormat="1" x14ac:dyDescent="0.25"/>
    <row r="233975" customFormat="1" x14ac:dyDescent="0.25"/>
    <row r="233976" customFormat="1" x14ac:dyDescent="0.25"/>
    <row r="233977" customFormat="1" x14ac:dyDescent="0.25"/>
    <row r="233978" customFormat="1" x14ac:dyDescent="0.25"/>
    <row r="233979" customFormat="1" x14ac:dyDescent="0.25"/>
    <row r="233980" customFormat="1" x14ac:dyDescent="0.25"/>
    <row r="233981" customFormat="1" x14ac:dyDescent="0.25"/>
    <row r="233982" customFormat="1" x14ac:dyDescent="0.25"/>
    <row r="233983" customFormat="1" x14ac:dyDescent="0.25"/>
    <row r="233984" customFormat="1" x14ac:dyDescent="0.25"/>
    <row r="233985" customFormat="1" x14ac:dyDescent="0.25"/>
    <row r="233986" customFormat="1" x14ac:dyDescent="0.25"/>
    <row r="233987" customFormat="1" x14ac:dyDescent="0.25"/>
    <row r="233988" customFormat="1" x14ac:dyDescent="0.25"/>
    <row r="233989" customFormat="1" x14ac:dyDescent="0.25"/>
    <row r="233990" customFormat="1" x14ac:dyDescent="0.25"/>
    <row r="233991" customFormat="1" x14ac:dyDescent="0.25"/>
    <row r="233992" customFormat="1" x14ac:dyDescent="0.25"/>
    <row r="233993" customFormat="1" x14ac:dyDescent="0.25"/>
    <row r="233994" customFormat="1" x14ac:dyDescent="0.25"/>
    <row r="233995" customFormat="1" x14ac:dyDescent="0.25"/>
    <row r="233996" customFormat="1" x14ac:dyDescent="0.25"/>
    <row r="233997" customFormat="1" x14ac:dyDescent="0.25"/>
    <row r="233998" customFormat="1" x14ac:dyDescent="0.25"/>
    <row r="233999" customFormat="1" x14ac:dyDescent="0.25"/>
    <row r="234000" customFormat="1" x14ac:dyDescent="0.25"/>
    <row r="234001" customFormat="1" x14ac:dyDescent="0.25"/>
    <row r="234002" customFormat="1" x14ac:dyDescent="0.25"/>
    <row r="234003" customFormat="1" x14ac:dyDescent="0.25"/>
    <row r="234004" customFormat="1" x14ac:dyDescent="0.25"/>
    <row r="234005" customFormat="1" x14ac:dyDescent="0.25"/>
    <row r="234006" customFormat="1" x14ac:dyDescent="0.25"/>
    <row r="234007" customFormat="1" x14ac:dyDescent="0.25"/>
    <row r="234008" customFormat="1" x14ac:dyDescent="0.25"/>
    <row r="234009" customFormat="1" x14ac:dyDescent="0.25"/>
    <row r="234010" customFormat="1" x14ac:dyDescent="0.25"/>
    <row r="234011" customFormat="1" x14ac:dyDescent="0.25"/>
    <row r="234012" customFormat="1" x14ac:dyDescent="0.25"/>
    <row r="234013" customFormat="1" x14ac:dyDescent="0.25"/>
    <row r="234014" customFormat="1" x14ac:dyDescent="0.25"/>
    <row r="234015" customFormat="1" x14ac:dyDescent="0.25"/>
    <row r="234016" customFormat="1" x14ac:dyDescent="0.25"/>
    <row r="234017" customFormat="1" x14ac:dyDescent="0.25"/>
    <row r="234018" customFormat="1" x14ac:dyDescent="0.25"/>
    <row r="234019" customFormat="1" x14ac:dyDescent="0.25"/>
    <row r="234020" customFormat="1" x14ac:dyDescent="0.25"/>
    <row r="234021" customFormat="1" x14ac:dyDescent="0.25"/>
    <row r="234022" customFormat="1" x14ac:dyDescent="0.25"/>
    <row r="234023" customFormat="1" x14ac:dyDescent="0.25"/>
    <row r="234024" customFormat="1" x14ac:dyDescent="0.25"/>
    <row r="234025" customFormat="1" x14ac:dyDescent="0.25"/>
    <row r="234026" customFormat="1" x14ac:dyDescent="0.25"/>
    <row r="234027" customFormat="1" x14ac:dyDescent="0.25"/>
    <row r="234028" customFormat="1" x14ac:dyDescent="0.25"/>
    <row r="234029" customFormat="1" x14ac:dyDescent="0.25"/>
    <row r="234030" customFormat="1" x14ac:dyDescent="0.25"/>
    <row r="234031" customFormat="1" x14ac:dyDescent="0.25"/>
    <row r="234032" customFormat="1" x14ac:dyDescent="0.25"/>
    <row r="234033" customFormat="1" x14ac:dyDescent="0.25"/>
    <row r="234034" customFormat="1" x14ac:dyDescent="0.25"/>
    <row r="234035" customFormat="1" x14ac:dyDescent="0.25"/>
    <row r="234036" customFormat="1" x14ac:dyDescent="0.25"/>
    <row r="234037" customFormat="1" x14ac:dyDescent="0.25"/>
    <row r="234038" customFormat="1" x14ac:dyDescent="0.25"/>
    <row r="234039" customFormat="1" x14ac:dyDescent="0.25"/>
    <row r="234040" customFormat="1" x14ac:dyDescent="0.25"/>
    <row r="234041" customFormat="1" x14ac:dyDescent="0.25"/>
    <row r="234042" customFormat="1" x14ac:dyDescent="0.25"/>
    <row r="234043" customFormat="1" x14ac:dyDescent="0.25"/>
    <row r="234044" customFormat="1" x14ac:dyDescent="0.25"/>
    <row r="234045" customFormat="1" x14ac:dyDescent="0.25"/>
    <row r="234046" customFormat="1" x14ac:dyDescent="0.25"/>
    <row r="234047" customFormat="1" x14ac:dyDescent="0.25"/>
    <row r="234048" customFormat="1" x14ac:dyDescent="0.25"/>
    <row r="234049" customFormat="1" x14ac:dyDescent="0.25"/>
    <row r="234050" customFormat="1" x14ac:dyDescent="0.25"/>
    <row r="234051" customFormat="1" x14ac:dyDescent="0.25"/>
    <row r="234052" customFormat="1" x14ac:dyDescent="0.25"/>
    <row r="234053" customFormat="1" x14ac:dyDescent="0.25"/>
    <row r="234054" customFormat="1" x14ac:dyDescent="0.25"/>
    <row r="234055" customFormat="1" x14ac:dyDescent="0.25"/>
    <row r="234056" customFormat="1" x14ac:dyDescent="0.25"/>
    <row r="234057" customFormat="1" x14ac:dyDescent="0.25"/>
    <row r="234058" customFormat="1" x14ac:dyDescent="0.25"/>
    <row r="234059" customFormat="1" x14ac:dyDescent="0.25"/>
    <row r="234060" customFormat="1" x14ac:dyDescent="0.25"/>
    <row r="234061" customFormat="1" x14ac:dyDescent="0.25"/>
    <row r="234062" customFormat="1" x14ac:dyDescent="0.25"/>
    <row r="234063" customFormat="1" x14ac:dyDescent="0.25"/>
    <row r="234064" customFormat="1" x14ac:dyDescent="0.25"/>
    <row r="234065" customFormat="1" x14ac:dyDescent="0.25"/>
    <row r="234066" customFormat="1" x14ac:dyDescent="0.25"/>
    <row r="234067" customFormat="1" x14ac:dyDescent="0.25"/>
    <row r="234068" customFormat="1" x14ac:dyDescent="0.25"/>
    <row r="234069" customFormat="1" x14ac:dyDescent="0.25"/>
    <row r="234070" customFormat="1" x14ac:dyDescent="0.25"/>
    <row r="234071" customFormat="1" x14ac:dyDescent="0.25"/>
    <row r="234072" customFormat="1" x14ac:dyDescent="0.25"/>
    <row r="234073" customFormat="1" x14ac:dyDescent="0.25"/>
    <row r="234074" customFormat="1" x14ac:dyDescent="0.25"/>
    <row r="234075" customFormat="1" x14ac:dyDescent="0.25"/>
    <row r="234076" customFormat="1" x14ac:dyDescent="0.25"/>
    <row r="234077" customFormat="1" x14ac:dyDescent="0.25"/>
    <row r="234078" customFormat="1" x14ac:dyDescent="0.25"/>
    <row r="234079" customFormat="1" x14ac:dyDescent="0.25"/>
    <row r="234080" customFormat="1" x14ac:dyDescent="0.25"/>
    <row r="234081" customFormat="1" x14ac:dyDescent="0.25"/>
    <row r="234082" customFormat="1" x14ac:dyDescent="0.25"/>
    <row r="234083" customFormat="1" x14ac:dyDescent="0.25"/>
    <row r="234084" customFormat="1" x14ac:dyDescent="0.25"/>
    <row r="234085" customFormat="1" x14ac:dyDescent="0.25"/>
    <row r="234086" customFormat="1" x14ac:dyDescent="0.25"/>
    <row r="234087" customFormat="1" x14ac:dyDescent="0.25"/>
    <row r="234088" customFormat="1" x14ac:dyDescent="0.25"/>
    <row r="234089" customFormat="1" x14ac:dyDescent="0.25"/>
    <row r="234090" customFormat="1" x14ac:dyDescent="0.25"/>
    <row r="234091" customFormat="1" x14ac:dyDescent="0.25"/>
    <row r="234092" customFormat="1" x14ac:dyDescent="0.25"/>
    <row r="234093" customFormat="1" x14ac:dyDescent="0.25"/>
    <row r="234094" customFormat="1" x14ac:dyDescent="0.25"/>
    <row r="234095" customFormat="1" x14ac:dyDescent="0.25"/>
    <row r="234096" customFormat="1" x14ac:dyDescent="0.25"/>
    <row r="234097" customFormat="1" x14ac:dyDescent="0.25"/>
    <row r="234098" customFormat="1" x14ac:dyDescent="0.25"/>
    <row r="234099" customFormat="1" x14ac:dyDescent="0.25"/>
    <row r="234100" customFormat="1" x14ac:dyDescent="0.25"/>
    <row r="234101" customFormat="1" x14ac:dyDescent="0.25"/>
    <row r="234102" customFormat="1" x14ac:dyDescent="0.25"/>
    <row r="234103" customFormat="1" x14ac:dyDescent="0.25"/>
    <row r="234104" customFormat="1" x14ac:dyDescent="0.25"/>
    <row r="234105" customFormat="1" x14ac:dyDescent="0.25"/>
    <row r="234106" customFormat="1" x14ac:dyDescent="0.25"/>
    <row r="234107" customFormat="1" x14ac:dyDescent="0.25"/>
    <row r="234108" customFormat="1" x14ac:dyDescent="0.25"/>
    <row r="234109" customFormat="1" x14ac:dyDescent="0.25"/>
    <row r="234110" customFormat="1" x14ac:dyDescent="0.25"/>
    <row r="234111" customFormat="1" x14ac:dyDescent="0.25"/>
    <row r="234112" customFormat="1" x14ac:dyDescent="0.25"/>
    <row r="234113" customFormat="1" x14ac:dyDescent="0.25"/>
    <row r="234114" customFormat="1" x14ac:dyDescent="0.25"/>
    <row r="234115" customFormat="1" x14ac:dyDescent="0.25"/>
    <row r="234116" customFormat="1" x14ac:dyDescent="0.25"/>
    <row r="234117" customFormat="1" x14ac:dyDescent="0.25"/>
    <row r="234118" customFormat="1" x14ac:dyDescent="0.25"/>
    <row r="234119" customFormat="1" x14ac:dyDescent="0.25"/>
    <row r="234120" customFormat="1" x14ac:dyDescent="0.25"/>
    <row r="234121" customFormat="1" x14ac:dyDescent="0.25"/>
    <row r="234122" customFormat="1" x14ac:dyDescent="0.25"/>
    <row r="234123" customFormat="1" x14ac:dyDescent="0.25"/>
    <row r="234124" customFormat="1" x14ac:dyDescent="0.25"/>
    <row r="234125" customFormat="1" x14ac:dyDescent="0.25"/>
    <row r="234126" customFormat="1" x14ac:dyDescent="0.25"/>
    <row r="234127" customFormat="1" x14ac:dyDescent="0.25"/>
    <row r="234128" customFormat="1" x14ac:dyDescent="0.25"/>
    <row r="234129" customFormat="1" x14ac:dyDescent="0.25"/>
    <row r="234130" customFormat="1" x14ac:dyDescent="0.25"/>
    <row r="234131" customFormat="1" x14ac:dyDescent="0.25"/>
    <row r="234132" customFormat="1" x14ac:dyDescent="0.25"/>
    <row r="234133" customFormat="1" x14ac:dyDescent="0.25"/>
    <row r="234134" customFormat="1" x14ac:dyDescent="0.25"/>
    <row r="234135" customFormat="1" x14ac:dyDescent="0.25"/>
    <row r="234136" customFormat="1" x14ac:dyDescent="0.25"/>
    <row r="234137" customFormat="1" x14ac:dyDescent="0.25"/>
    <row r="234138" customFormat="1" x14ac:dyDescent="0.25"/>
    <row r="234139" customFormat="1" x14ac:dyDescent="0.25"/>
    <row r="234140" customFormat="1" x14ac:dyDescent="0.25"/>
    <row r="234141" customFormat="1" x14ac:dyDescent="0.25"/>
    <row r="234142" customFormat="1" x14ac:dyDescent="0.25"/>
    <row r="234143" customFormat="1" x14ac:dyDescent="0.25"/>
    <row r="234144" customFormat="1" x14ac:dyDescent="0.25"/>
    <row r="234145" customFormat="1" x14ac:dyDescent="0.25"/>
    <row r="234146" customFormat="1" x14ac:dyDescent="0.25"/>
    <row r="234147" customFormat="1" x14ac:dyDescent="0.25"/>
    <row r="234148" customFormat="1" x14ac:dyDescent="0.25"/>
    <row r="234149" customFormat="1" x14ac:dyDescent="0.25"/>
    <row r="234150" customFormat="1" x14ac:dyDescent="0.25"/>
    <row r="234151" customFormat="1" x14ac:dyDescent="0.25"/>
    <row r="234152" customFormat="1" x14ac:dyDescent="0.25"/>
    <row r="234153" customFormat="1" x14ac:dyDescent="0.25"/>
    <row r="234154" customFormat="1" x14ac:dyDescent="0.25"/>
    <row r="234155" customFormat="1" x14ac:dyDescent="0.25"/>
    <row r="234156" customFormat="1" x14ac:dyDescent="0.25"/>
    <row r="234157" customFormat="1" x14ac:dyDescent="0.25"/>
    <row r="234158" customFormat="1" x14ac:dyDescent="0.25"/>
    <row r="234159" customFormat="1" x14ac:dyDescent="0.25"/>
    <row r="234160" customFormat="1" x14ac:dyDescent="0.25"/>
    <row r="234161" customFormat="1" x14ac:dyDescent="0.25"/>
    <row r="234162" customFormat="1" x14ac:dyDescent="0.25"/>
    <row r="234163" customFormat="1" x14ac:dyDescent="0.25"/>
    <row r="234164" customFormat="1" x14ac:dyDescent="0.25"/>
    <row r="234165" customFormat="1" x14ac:dyDescent="0.25"/>
    <row r="234166" customFormat="1" x14ac:dyDescent="0.25"/>
    <row r="234167" customFormat="1" x14ac:dyDescent="0.25"/>
    <row r="234168" customFormat="1" x14ac:dyDescent="0.25"/>
    <row r="234169" customFormat="1" x14ac:dyDescent="0.25"/>
    <row r="234170" customFormat="1" x14ac:dyDescent="0.25"/>
    <row r="234171" customFormat="1" x14ac:dyDescent="0.25"/>
    <row r="234172" customFormat="1" x14ac:dyDescent="0.25"/>
    <row r="234173" customFormat="1" x14ac:dyDescent="0.25"/>
    <row r="234174" customFormat="1" x14ac:dyDescent="0.25"/>
    <row r="234175" customFormat="1" x14ac:dyDescent="0.25"/>
    <row r="234176" customFormat="1" x14ac:dyDescent="0.25"/>
    <row r="234177" customFormat="1" x14ac:dyDescent="0.25"/>
    <row r="234178" customFormat="1" x14ac:dyDescent="0.25"/>
    <row r="234179" customFormat="1" x14ac:dyDescent="0.25"/>
    <row r="234180" customFormat="1" x14ac:dyDescent="0.25"/>
    <row r="234181" customFormat="1" x14ac:dyDescent="0.25"/>
    <row r="234182" customFormat="1" x14ac:dyDescent="0.25"/>
    <row r="234183" customFormat="1" x14ac:dyDescent="0.25"/>
    <row r="234184" customFormat="1" x14ac:dyDescent="0.25"/>
    <row r="234185" customFormat="1" x14ac:dyDescent="0.25"/>
    <row r="234186" customFormat="1" x14ac:dyDescent="0.25"/>
    <row r="234187" customFormat="1" x14ac:dyDescent="0.25"/>
    <row r="234188" customFormat="1" x14ac:dyDescent="0.25"/>
    <row r="234189" customFormat="1" x14ac:dyDescent="0.25"/>
    <row r="234190" customFormat="1" x14ac:dyDescent="0.25"/>
    <row r="234191" customFormat="1" x14ac:dyDescent="0.25"/>
    <row r="234192" customFormat="1" x14ac:dyDescent="0.25"/>
    <row r="234193" customFormat="1" x14ac:dyDescent="0.25"/>
    <row r="234194" customFormat="1" x14ac:dyDescent="0.25"/>
    <row r="234195" customFormat="1" x14ac:dyDescent="0.25"/>
    <row r="234196" customFormat="1" x14ac:dyDescent="0.25"/>
    <row r="234197" customFormat="1" x14ac:dyDescent="0.25"/>
    <row r="234198" customFormat="1" x14ac:dyDescent="0.25"/>
    <row r="234199" customFormat="1" x14ac:dyDescent="0.25"/>
    <row r="234200" customFormat="1" x14ac:dyDescent="0.25"/>
    <row r="234201" customFormat="1" x14ac:dyDescent="0.25"/>
    <row r="234202" customFormat="1" x14ac:dyDescent="0.25"/>
    <row r="234203" customFormat="1" x14ac:dyDescent="0.25"/>
    <row r="234204" customFormat="1" x14ac:dyDescent="0.25"/>
    <row r="234205" customFormat="1" x14ac:dyDescent="0.25"/>
    <row r="234206" customFormat="1" x14ac:dyDescent="0.25"/>
    <row r="234207" customFormat="1" x14ac:dyDescent="0.25"/>
    <row r="234208" customFormat="1" x14ac:dyDescent="0.25"/>
    <row r="234209" customFormat="1" x14ac:dyDescent="0.25"/>
    <row r="234210" customFormat="1" x14ac:dyDescent="0.25"/>
    <row r="234211" customFormat="1" x14ac:dyDescent="0.25"/>
    <row r="234212" customFormat="1" x14ac:dyDescent="0.25"/>
    <row r="234213" customFormat="1" x14ac:dyDescent="0.25"/>
    <row r="234214" customFormat="1" x14ac:dyDescent="0.25"/>
    <row r="234215" customFormat="1" x14ac:dyDescent="0.25"/>
    <row r="234216" customFormat="1" x14ac:dyDescent="0.25"/>
    <row r="234217" customFormat="1" x14ac:dyDescent="0.25"/>
    <row r="234218" customFormat="1" x14ac:dyDescent="0.25"/>
    <row r="234219" customFormat="1" x14ac:dyDescent="0.25"/>
    <row r="234220" customFormat="1" x14ac:dyDescent="0.25"/>
    <row r="234221" customFormat="1" x14ac:dyDescent="0.25"/>
    <row r="234222" customFormat="1" x14ac:dyDescent="0.25"/>
    <row r="234223" customFormat="1" x14ac:dyDescent="0.25"/>
    <row r="234224" customFormat="1" x14ac:dyDescent="0.25"/>
    <row r="234225" customFormat="1" x14ac:dyDescent="0.25"/>
    <row r="234226" customFormat="1" x14ac:dyDescent="0.25"/>
    <row r="234227" customFormat="1" x14ac:dyDescent="0.25"/>
    <row r="234228" customFormat="1" x14ac:dyDescent="0.25"/>
    <row r="234229" customFormat="1" x14ac:dyDescent="0.25"/>
    <row r="234230" customFormat="1" x14ac:dyDescent="0.25"/>
    <row r="234231" customFormat="1" x14ac:dyDescent="0.25"/>
    <row r="234232" customFormat="1" x14ac:dyDescent="0.25"/>
    <row r="234233" customFormat="1" x14ac:dyDescent="0.25"/>
    <row r="234234" customFormat="1" x14ac:dyDescent="0.25"/>
    <row r="234235" customFormat="1" x14ac:dyDescent="0.25"/>
    <row r="234236" customFormat="1" x14ac:dyDescent="0.25"/>
    <row r="234237" customFormat="1" x14ac:dyDescent="0.25"/>
    <row r="234238" customFormat="1" x14ac:dyDescent="0.25"/>
    <row r="234239" customFormat="1" x14ac:dyDescent="0.25"/>
    <row r="234240" customFormat="1" x14ac:dyDescent="0.25"/>
    <row r="234241" customFormat="1" x14ac:dyDescent="0.25"/>
    <row r="234242" customFormat="1" x14ac:dyDescent="0.25"/>
    <row r="234243" customFormat="1" x14ac:dyDescent="0.25"/>
    <row r="234244" customFormat="1" x14ac:dyDescent="0.25"/>
    <row r="234245" customFormat="1" x14ac:dyDescent="0.25"/>
    <row r="234246" customFormat="1" x14ac:dyDescent="0.25"/>
    <row r="234247" customFormat="1" x14ac:dyDescent="0.25"/>
    <row r="234248" customFormat="1" x14ac:dyDescent="0.25"/>
    <row r="234249" customFormat="1" x14ac:dyDescent="0.25"/>
    <row r="234250" customFormat="1" x14ac:dyDescent="0.25"/>
    <row r="234251" customFormat="1" x14ac:dyDescent="0.25"/>
    <row r="234252" customFormat="1" x14ac:dyDescent="0.25"/>
    <row r="234253" customFormat="1" x14ac:dyDescent="0.25"/>
    <row r="234254" customFormat="1" x14ac:dyDescent="0.25"/>
    <row r="234255" customFormat="1" x14ac:dyDescent="0.25"/>
    <row r="234256" customFormat="1" x14ac:dyDescent="0.25"/>
    <row r="234257" customFormat="1" x14ac:dyDescent="0.25"/>
    <row r="234258" customFormat="1" x14ac:dyDescent="0.25"/>
    <row r="234259" customFormat="1" x14ac:dyDescent="0.25"/>
    <row r="234260" customFormat="1" x14ac:dyDescent="0.25"/>
    <row r="234261" customFormat="1" x14ac:dyDescent="0.25"/>
    <row r="234262" customFormat="1" x14ac:dyDescent="0.25"/>
    <row r="234263" customFormat="1" x14ac:dyDescent="0.25"/>
    <row r="234264" customFormat="1" x14ac:dyDescent="0.25"/>
    <row r="234265" customFormat="1" x14ac:dyDescent="0.25"/>
    <row r="234266" customFormat="1" x14ac:dyDescent="0.25"/>
    <row r="234267" customFormat="1" x14ac:dyDescent="0.25"/>
    <row r="234268" customFormat="1" x14ac:dyDescent="0.25"/>
    <row r="234269" customFormat="1" x14ac:dyDescent="0.25"/>
    <row r="234270" customFormat="1" x14ac:dyDescent="0.25"/>
    <row r="234271" customFormat="1" x14ac:dyDescent="0.25"/>
    <row r="234272" customFormat="1" x14ac:dyDescent="0.25"/>
    <row r="234273" customFormat="1" x14ac:dyDescent="0.25"/>
    <row r="234274" customFormat="1" x14ac:dyDescent="0.25"/>
    <row r="234275" customFormat="1" x14ac:dyDescent="0.25"/>
    <row r="234276" customFormat="1" x14ac:dyDescent="0.25"/>
    <row r="234277" customFormat="1" x14ac:dyDescent="0.25"/>
    <row r="234278" customFormat="1" x14ac:dyDescent="0.25"/>
    <row r="234279" customFormat="1" x14ac:dyDescent="0.25"/>
    <row r="234280" customFormat="1" x14ac:dyDescent="0.25"/>
    <row r="234281" customFormat="1" x14ac:dyDescent="0.25"/>
    <row r="234282" customFormat="1" x14ac:dyDescent="0.25"/>
    <row r="234283" customFormat="1" x14ac:dyDescent="0.25"/>
    <row r="234284" customFormat="1" x14ac:dyDescent="0.25"/>
    <row r="234285" customFormat="1" x14ac:dyDescent="0.25"/>
    <row r="234286" customFormat="1" x14ac:dyDescent="0.25"/>
    <row r="234287" customFormat="1" x14ac:dyDescent="0.25"/>
    <row r="234288" customFormat="1" x14ac:dyDescent="0.25"/>
    <row r="234289" customFormat="1" x14ac:dyDescent="0.25"/>
    <row r="234290" customFormat="1" x14ac:dyDescent="0.25"/>
    <row r="234291" customFormat="1" x14ac:dyDescent="0.25"/>
    <row r="234292" customFormat="1" x14ac:dyDescent="0.25"/>
    <row r="234293" customFormat="1" x14ac:dyDescent="0.25"/>
    <row r="234294" customFormat="1" x14ac:dyDescent="0.25"/>
    <row r="234295" customFormat="1" x14ac:dyDescent="0.25"/>
    <row r="234296" customFormat="1" x14ac:dyDescent="0.25"/>
    <row r="234297" customFormat="1" x14ac:dyDescent="0.25"/>
    <row r="234298" customFormat="1" x14ac:dyDescent="0.25"/>
    <row r="234299" customFormat="1" x14ac:dyDescent="0.25"/>
    <row r="234300" customFormat="1" x14ac:dyDescent="0.25"/>
    <row r="234301" customFormat="1" x14ac:dyDescent="0.25"/>
    <row r="234302" customFormat="1" x14ac:dyDescent="0.25"/>
    <row r="234303" customFormat="1" x14ac:dyDescent="0.25"/>
    <row r="234304" customFormat="1" x14ac:dyDescent="0.25"/>
    <row r="234305" customFormat="1" x14ac:dyDescent="0.25"/>
    <row r="234306" customFormat="1" x14ac:dyDescent="0.25"/>
    <row r="234307" customFormat="1" x14ac:dyDescent="0.25"/>
    <row r="234308" customFormat="1" x14ac:dyDescent="0.25"/>
    <row r="234309" customFormat="1" x14ac:dyDescent="0.25"/>
    <row r="234310" customFormat="1" x14ac:dyDescent="0.25"/>
    <row r="234311" customFormat="1" x14ac:dyDescent="0.25"/>
    <row r="234312" customFormat="1" x14ac:dyDescent="0.25"/>
    <row r="234313" customFormat="1" x14ac:dyDescent="0.25"/>
    <row r="234314" customFormat="1" x14ac:dyDescent="0.25"/>
    <row r="234315" customFormat="1" x14ac:dyDescent="0.25"/>
    <row r="234316" customFormat="1" x14ac:dyDescent="0.25"/>
    <row r="234317" customFormat="1" x14ac:dyDescent="0.25"/>
    <row r="234318" customFormat="1" x14ac:dyDescent="0.25"/>
    <row r="234319" customFormat="1" x14ac:dyDescent="0.25"/>
    <row r="234320" customFormat="1" x14ac:dyDescent="0.25"/>
    <row r="234321" customFormat="1" x14ac:dyDescent="0.25"/>
    <row r="234322" customFormat="1" x14ac:dyDescent="0.25"/>
    <row r="234323" customFormat="1" x14ac:dyDescent="0.25"/>
    <row r="234324" customFormat="1" x14ac:dyDescent="0.25"/>
    <row r="234325" customFormat="1" x14ac:dyDescent="0.25"/>
    <row r="234326" customFormat="1" x14ac:dyDescent="0.25"/>
    <row r="234327" customFormat="1" x14ac:dyDescent="0.25"/>
    <row r="234328" customFormat="1" x14ac:dyDescent="0.25"/>
    <row r="234329" customFormat="1" x14ac:dyDescent="0.25"/>
    <row r="234330" customFormat="1" x14ac:dyDescent="0.25"/>
    <row r="234331" customFormat="1" x14ac:dyDescent="0.25"/>
    <row r="234332" customFormat="1" x14ac:dyDescent="0.25"/>
    <row r="234333" customFormat="1" x14ac:dyDescent="0.25"/>
    <row r="234334" customFormat="1" x14ac:dyDescent="0.25"/>
    <row r="234335" customFormat="1" x14ac:dyDescent="0.25"/>
    <row r="234336" customFormat="1" x14ac:dyDescent="0.25"/>
    <row r="234337" customFormat="1" x14ac:dyDescent="0.25"/>
    <row r="234338" customFormat="1" x14ac:dyDescent="0.25"/>
    <row r="234339" customFormat="1" x14ac:dyDescent="0.25"/>
    <row r="234340" customFormat="1" x14ac:dyDescent="0.25"/>
    <row r="234341" customFormat="1" x14ac:dyDescent="0.25"/>
    <row r="234342" customFormat="1" x14ac:dyDescent="0.25"/>
    <row r="234343" customFormat="1" x14ac:dyDescent="0.25"/>
    <row r="234344" customFormat="1" x14ac:dyDescent="0.25"/>
    <row r="234345" customFormat="1" x14ac:dyDescent="0.25"/>
    <row r="234346" customFormat="1" x14ac:dyDescent="0.25"/>
    <row r="234347" customFormat="1" x14ac:dyDescent="0.25"/>
    <row r="234348" customFormat="1" x14ac:dyDescent="0.25"/>
    <row r="234349" customFormat="1" x14ac:dyDescent="0.25"/>
    <row r="234350" customFormat="1" x14ac:dyDescent="0.25"/>
    <row r="234351" customFormat="1" x14ac:dyDescent="0.25"/>
    <row r="234352" customFormat="1" x14ac:dyDescent="0.25"/>
    <row r="234353" customFormat="1" x14ac:dyDescent="0.25"/>
    <row r="234354" customFormat="1" x14ac:dyDescent="0.25"/>
    <row r="234355" customFormat="1" x14ac:dyDescent="0.25"/>
    <row r="234356" customFormat="1" x14ac:dyDescent="0.25"/>
    <row r="234357" customFormat="1" x14ac:dyDescent="0.25"/>
    <row r="234358" customFormat="1" x14ac:dyDescent="0.25"/>
    <row r="234359" customFormat="1" x14ac:dyDescent="0.25"/>
    <row r="234360" customFormat="1" x14ac:dyDescent="0.25"/>
    <row r="234361" customFormat="1" x14ac:dyDescent="0.25"/>
    <row r="234362" customFormat="1" x14ac:dyDescent="0.25"/>
    <row r="234363" customFormat="1" x14ac:dyDescent="0.25"/>
    <row r="234364" customFormat="1" x14ac:dyDescent="0.25"/>
    <row r="234365" customFormat="1" x14ac:dyDescent="0.25"/>
    <row r="234366" customFormat="1" x14ac:dyDescent="0.25"/>
    <row r="234367" customFormat="1" x14ac:dyDescent="0.25"/>
    <row r="234368" customFormat="1" x14ac:dyDescent="0.25"/>
    <row r="234369" customFormat="1" x14ac:dyDescent="0.25"/>
    <row r="234370" customFormat="1" x14ac:dyDescent="0.25"/>
    <row r="234371" customFormat="1" x14ac:dyDescent="0.25"/>
    <row r="234372" customFormat="1" x14ac:dyDescent="0.25"/>
    <row r="234373" customFormat="1" x14ac:dyDescent="0.25"/>
    <row r="234374" customFormat="1" x14ac:dyDescent="0.25"/>
    <row r="234375" customFormat="1" x14ac:dyDescent="0.25"/>
    <row r="234376" customFormat="1" x14ac:dyDescent="0.25"/>
    <row r="234377" customFormat="1" x14ac:dyDescent="0.25"/>
    <row r="234378" customFormat="1" x14ac:dyDescent="0.25"/>
    <row r="234379" customFormat="1" x14ac:dyDescent="0.25"/>
    <row r="234380" customFormat="1" x14ac:dyDescent="0.25"/>
    <row r="234381" customFormat="1" x14ac:dyDescent="0.25"/>
    <row r="234382" customFormat="1" x14ac:dyDescent="0.25"/>
    <row r="234383" customFormat="1" x14ac:dyDescent="0.25"/>
    <row r="234384" customFormat="1" x14ac:dyDescent="0.25"/>
    <row r="234385" customFormat="1" x14ac:dyDescent="0.25"/>
    <row r="234386" customFormat="1" x14ac:dyDescent="0.25"/>
    <row r="234387" customFormat="1" x14ac:dyDescent="0.25"/>
    <row r="234388" customFormat="1" x14ac:dyDescent="0.25"/>
    <row r="234389" customFormat="1" x14ac:dyDescent="0.25"/>
    <row r="234390" customFormat="1" x14ac:dyDescent="0.25"/>
    <row r="234391" customFormat="1" x14ac:dyDescent="0.25"/>
    <row r="234392" customFormat="1" x14ac:dyDescent="0.25"/>
    <row r="234393" customFormat="1" x14ac:dyDescent="0.25"/>
    <row r="234394" customFormat="1" x14ac:dyDescent="0.25"/>
    <row r="234395" customFormat="1" x14ac:dyDescent="0.25"/>
    <row r="234396" customFormat="1" x14ac:dyDescent="0.25"/>
    <row r="234397" customFormat="1" x14ac:dyDescent="0.25"/>
    <row r="234398" customFormat="1" x14ac:dyDescent="0.25"/>
    <row r="234399" customFormat="1" x14ac:dyDescent="0.25"/>
    <row r="234400" customFormat="1" x14ac:dyDescent="0.25"/>
    <row r="234401" customFormat="1" x14ac:dyDescent="0.25"/>
    <row r="234402" customFormat="1" x14ac:dyDescent="0.25"/>
    <row r="234403" customFormat="1" x14ac:dyDescent="0.25"/>
    <row r="234404" customFormat="1" x14ac:dyDescent="0.25"/>
    <row r="234405" customFormat="1" x14ac:dyDescent="0.25"/>
    <row r="234406" customFormat="1" x14ac:dyDescent="0.25"/>
    <row r="234407" customFormat="1" x14ac:dyDescent="0.25"/>
    <row r="234408" customFormat="1" x14ac:dyDescent="0.25"/>
    <row r="234409" customFormat="1" x14ac:dyDescent="0.25"/>
    <row r="234410" customFormat="1" x14ac:dyDescent="0.25"/>
    <row r="234411" customFormat="1" x14ac:dyDescent="0.25"/>
    <row r="234412" customFormat="1" x14ac:dyDescent="0.25"/>
    <row r="234413" customFormat="1" x14ac:dyDescent="0.25"/>
    <row r="234414" customFormat="1" x14ac:dyDescent="0.25"/>
    <row r="234415" customFormat="1" x14ac:dyDescent="0.25"/>
    <row r="234416" customFormat="1" x14ac:dyDescent="0.25"/>
    <row r="234417" customFormat="1" x14ac:dyDescent="0.25"/>
    <row r="234418" customFormat="1" x14ac:dyDescent="0.25"/>
    <row r="234419" customFormat="1" x14ac:dyDescent="0.25"/>
    <row r="234420" customFormat="1" x14ac:dyDescent="0.25"/>
    <row r="234421" customFormat="1" x14ac:dyDescent="0.25"/>
    <row r="234422" customFormat="1" x14ac:dyDescent="0.25"/>
    <row r="234423" customFormat="1" x14ac:dyDescent="0.25"/>
    <row r="234424" customFormat="1" x14ac:dyDescent="0.25"/>
    <row r="234425" customFormat="1" x14ac:dyDescent="0.25"/>
    <row r="234426" customFormat="1" x14ac:dyDescent="0.25"/>
    <row r="234427" customFormat="1" x14ac:dyDescent="0.25"/>
    <row r="234428" customFormat="1" x14ac:dyDescent="0.25"/>
    <row r="234429" customFormat="1" x14ac:dyDescent="0.25"/>
    <row r="234430" customFormat="1" x14ac:dyDescent="0.25"/>
    <row r="234431" customFormat="1" x14ac:dyDescent="0.25"/>
    <row r="234432" customFormat="1" x14ac:dyDescent="0.25"/>
    <row r="234433" customFormat="1" x14ac:dyDescent="0.25"/>
    <row r="234434" customFormat="1" x14ac:dyDescent="0.25"/>
    <row r="234435" customFormat="1" x14ac:dyDescent="0.25"/>
    <row r="234436" customFormat="1" x14ac:dyDescent="0.25"/>
    <row r="234437" customFormat="1" x14ac:dyDescent="0.25"/>
    <row r="234438" customFormat="1" x14ac:dyDescent="0.25"/>
    <row r="234439" customFormat="1" x14ac:dyDescent="0.25"/>
    <row r="234440" customFormat="1" x14ac:dyDescent="0.25"/>
    <row r="234441" customFormat="1" x14ac:dyDescent="0.25"/>
    <row r="234442" customFormat="1" x14ac:dyDescent="0.25"/>
    <row r="234443" customFormat="1" x14ac:dyDescent="0.25"/>
    <row r="234444" customFormat="1" x14ac:dyDescent="0.25"/>
    <row r="234445" customFormat="1" x14ac:dyDescent="0.25"/>
    <row r="234446" customFormat="1" x14ac:dyDescent="0.25"/>
    <row r="234447" customFormat="1" x14ac:dyDescent="0.25"/>
    <row r="234448" customFormat="1" x14ac:dyDescent="0.25"/>
    <row r="234449" customFormat="1" x14ac:dyDescent="0.25"/>
    <row r="234450" customFormat="1" x14ac:dyDescent="0.25"/>
    <row r="234451" customFormat="1" x14ac:dyDescent="0.25"/>
    <row r="234452" customFormat="1" x14ac:dyDescent="0.25"/>
    <row r="234453" customFormat="1" x14ac:dyDescent="0.25"/>
    <row r="234454" customFormat="1" x14ac:dyDescent="0.25"/>
    <row r="234455" customFormat="1" x14ac:dyDescent="0.25"/>
    <row r="234456" customFormat="1" x14ac:dyDescent="0.25"/>
    <row r="234457" customFormat="1" x14ac:dyDescent="0.25"/>
    <row r="234458" customFormat="1" x14ac:dyDescent="0.25"/>
    <row r="234459" customFormat="1" x14ac:dyDescent="0.25"/>
    <row r="234460" customFormat="1" x14ac:dyDescent="0.25"/>
    <row r="234461" customFormat="1" x14ac:dyDescent="0.25"/>
    <row r="234462" customFormat="1" x14ac:dyDescent="0.25"/>
    <row r="234463" customFormat="1" x14ac:dyDescent="0.25"/>
    <row r="234464" customFormat="1" x14ac:dyDescent="0.25"/>
    <row r="234465" customFormat="1" x14ac:dyDescent="0.25"/>
    <row r="234466" customFormat="1" x14ac:dyDescent="0.25"/>
    <row r="234467" customFormat="1" x14ac:dyDescent="0.25"/>
    <row r="234468" customFormat="1" x14ac:dyDescent="0.25"/>
    <row r="234469" customFormat="1" x14ac:dyDescent="0.25"/>
    <row r="234470" customFormat="1" x14ac:dyDescent="0.25"/>
    <row r="234471" customFormat="1" x14ac:dyDescent="0.25"/>
    <row r="234472" customFormat="1" x14ac:dyDescent="0.25"/>
    <row r="234473" customFormat="1" x14ac:dyDescent="0.25"/>
    <row r="234474" customFormat="1" x14ac:dyDescent="0.25"/>
    <row r="234475" customFormat="1" x14ac:dyDescent="0.25"/>
    <row r="234476" customFormat="1" x14ac:dyDescent="0.25"/>
    <row r="234477" customFormat="1" x14ac:dyDescent="0.25"/>
    <row r="234478" customFormat="1" x14ac:dyDescent="0.25"/>
    <row r="234479" customFormat="1" x14ac:dyDescent="0.25"/>
    <row r="234480" customFormat="1" x14ac:dyDescent="0.25"/>
    <row r="234481" customFormat="1" x14ac:dyDescent="0.25"/>
    <row r="234482" customFormat="1" x14ac:dyDescent="0.25"/>
    <row r="234483" customFormat="1" x14ac:dyDescent="0.25"/>
    <row r="234484" customFormat="1" x14ac:dyDescent="0.25"/>
    <row r="234485" customFormat="1" x14ac:dyDescent="0.25"/>
    <row r="234486" customFormat="1" x14ac:dyDescent="0.25"/>
    <row r="234487" customFormat="1" x14ac:dyDescent="0.25"/>
    <row r="234488" customFormat="1" x14ac:dyDescent="0.25"/>
    <row r="234489" customFormat="1" x14ac:dyDescent="0.25"/>
    <row r="234490" customFormat="1" x14ac:dyDescent="0.25"/>
    <row r="234491" customFormat="1" x14ac:dyDescent="0.25"/>
    <row r="234492" customFormat="1" x14ac:dyDescent="0.25"/>
    <row r="234493" customFormat="1" x14ac:dyDescent="0.25"/>
    <row r="234494" customFormat="1" x14ac:dyDescent="0.25"/>
    <row r="234495" customFormat="1" x14ac:dyDescent="0.25"/>
    <row r="234496" customFormat="1" x14ac:dyDescent="0.25"/>
    <row r="234497" customFormat="1" x14ac:dyDescent="0.25"/>
    <row r="234498" customFormat="1" x14ac:dyDescent="0.25"/>
    <row r="234499" customFormat="1" x14ac:dyDescent="0.25"/>
    <row r="234500" customFormat="1" x14ac:dyDescent="0.25"/>
    <row r="234501" customFormat="1" x14ac:dyDescent="0.25"/>
    <row r="234502" customFormat="1" x14ac:dyDescent="0.25"/>
    <row r="234503" customFormat="1" x14ac:dyDescent="0.25"/>
    <row r="234504" customFormat="1" x14ac:dyDescent="0.25"/>
    <row r="234505" customFormat="1" x14ac:dyDescent="0.25"/>
    <row r="234506" customFormat="1" x14ac:dyDescent="0.25"/>
    <row r="234507" customFormat="1" x14ac:dyDescent="0.25"/>
    <row r="234508" customFormat="1" x14ac:dyDescent="0.25"/>
    <row r="234509" customFormat="1" x14ac:dyDescent="0.25"/>
    <row r="234510" customFormat="1" x14ac:dyDescent="0.25"/>
    <row r="234511" customFormat="1" x14ac:dyDescent="0.25"/>
    <row r="234512" customFormat="1" x14ac:dyDescent="0.25"/>
    <row r="234513" customFormat="1" x14ac:dyDescent="0.25"/>
    <row r="234514" customFormat="1" x14ac:dyDescent="0.25"/>
    <row r="234515" customFormat="1" x14ac:dyDescent="0.25"/>
    <row r="234516" customFormat="1" x14ac:dyDescent="0.25"/>
    <row r="234517" customFormat="1" x14ac:dyDescent="0.25"/>
    <row r="234518" customFormat="1" x14ac:dyDescent="0.25"/>
    <row r="234519" customFormat="1" x14ac:dyDescent="0.25"/>
    <row r="234520" customFormat="1" x14ac:dyDescent="0.25"/>
    <row r="234521" customFormat="1" x14ac:dyDescent="0.25"/>
    <row r="234522" customFormat="1" x14ac:dyDescent="0.25"/>
    <row r="234523" customFormat="1" x14ac:dyDescent="0.25"/>
    <row r="234524" customFormat="1" x14ac:dyDescent="0.25"/>
    <row r="234525" customFormat="1" x14ac:dyDescent="0.25"/>
    <row r="234526" customFormat="1" x14ac:dyDescent="0.25"/>
    <row r="234527" customFormat="1" x14ac:dyDescent="0.25"/>
    <row r="234528" customFormat="1" x14ac:dyDescent="0.25"/>
    <row r="234529" customFormat="1" x14ac:dyDescent="0.25"/>
    <row r="234530" customFormat="1" x14ac:dyDescent="0.25"/>
    <row r="234531" customFormat="1" x14ac:dyDescent="0.25"/>
    <row r="234532" customFormat="1" x14ac:dyDescent="0.25"/>
    <row r="234533" customFormat="1" x14ac:dyDescent="0.25"/>
    <row r="234534" customFormat="1" x14ac:dyDescent="0.25"/>
    <row r="234535" customFormat="1" x14ac:dyDescent="0.25"/>
    <row r="234536" customFormat="1" x14ac:dyDescent="0.25"/>
    <row r="234537" customFormat="1" x14ac:dyDescent="0.25"/>
    <row r="234538" customFormat="1" x14ac:dyDescent="0.25"/>
    <row r="234539" customFormat="1" x14ac:dyDescent="0.25"/>
    <row r="234540" customFormat="1" x14ac:dyDescent="0.25"/>
    <row r="234541" customFormat="1" x14ac:dyDescent="0.25"/>
    <row r="234542" customFormat="1" x14ac:dyDescent="0.25"/>
    <row r="234543" customFormat="1" x14ac:dyDescent="0.25"/>
    <row r="234544" customFormat="1" x14ac:dyDescent="0.25"/>
    <row r="234545" customFormat="1" x14ac:dyDescent="0.25"/>
    <row r="234546" customFormat="1" x14ac:dyDescent="0.25"/>
    <row r="234547" customFormat="1" x14ac:dyDescent="0.25"/>
    <row r="234548" customFormat="1" x14ac:dyDescent="0.25"/>
    <row r="234549" customFormat="1" x14ac:dyDescent="0.25"/>
    <row r="234550" customFormat="1" x14ac:dyDescent="0.25"/>
    <row r="234551" customFormat="1" x14ac:dyDescent="0.25"/>
    <row r="234552" customFormat="1" x14ac:dyDescent="0.25"/>
    <row r="234553" customFormat="1" x14ac:dyDescent="0.25"/>
    <row r="234554" customFormat="1" x14ac:dyDescent="0.25"/>
    <row r="234555" customFormat="1" x14ac:dyDescent="0.25"/>
    <row r="234556" customFormat="1" x14ac:dyDescent="0.25"/>
    <row r="234557" customFormat="1" x14ac:dyDescent="0.25"/>
    <row r="234558" customFormat="1" x14ac:dyDescent="0.25"/>
    <row r="234559" customFormat="1" x14ac:dyDescent="0.25"/>
    <row r="234560" customFormat="1" x14ac:dyDescent="0.25"/>
    <row r="234561" customFormat="1" x14ac:dyDescent="0.25"/>
    <row r="234562" customFormat="1" x14ac:dyDescent="0.25"/>
    <row r="234563" customFormat="1" x14ac:dyDescent="0.25"/>
    <row r="234564" customFormat="1" x14ac:dyDescent="0.25"/>
    <row r="234565" customFormat="1" x14ac:dyDescent="0.25"/>
    <row r="234566" customFormat="1" x14ac:dyDescent="0.25"/>
    <row r="234567" customFormat="1" x14ac:dyDescent="0.25"/>
    <row r="234568" customFormat="1" x14ac:dyDescent="0.25"/>
    <row r="234569" customFormat="1" x14ac:dyDescent="0.25"/>
    <row r="234570" customFormat="1" x14ac:dyDescent="0.25"/>
    <row r="234571" customFormat="1" x14ac:dyDescent="0.25"/>
    <row r="234572" customFormat="1" x14ac:dyDescent="0.25"/>
    <row r="234573" customFormat="1" x14ac:dyDescent="0.25"/>
    <row r="234574" customFormat="1" x14ac:dyDescent="0.25"/>
    <row r="234575" customFormat="1" x14ac:dyDescent="0.25"/>
    <row r="234576" customFormat="1" x14ac:dyDescent="0.25"/>
    <row r="234577" customFormat="1" x14ac:dyDescent="0.25"/>
    <row r="234578" customFormat="1" x14ac:dyDescent="0.25"/>
    <row r="234579" customFormat="1" x14ac:dyDescent="0.25"/>
    <row r="234580" customFormat="1" x14ac:dyDescent="0.25"/>
    <row r="234581" customFormat="1" x14ac:dyDescent="0.25"/>
    <row r="234582" customFormat="1" x14ac:dyDescent="0.25"/>
    <row r="234583" customFormat="1" x14ac:dyDescent="0.25"/>
    <row r="234584" customFormat="1" x14ac:dyDescent="0.25"/>
    <row r="234585" customFormat="1" x14ac:dyDescent="0.25"/>
    <row r="234586" customFormat="1" x14ac:dyDescent="0.25"/>
    <row r="234587" customFormat="1" x14ac:dyDescent="0.25"/>
    <row r="234588" customFormat="1" x14ac:dyDescent="0.25"/>
    <row r="234589" customFormat="1" x14ac:dyDescent="0.25"/>
    <row r="234590" customFormat="1" x14ac:dyDescent="0.25"/>
    <row r="234591" customFormat="1" x14ac:dyDescent="0.25"/>
    <row r="234592" customFormat="1" x14ac:dyDescent="0.25"/>
    <row r="234593" customFormat="1" x14ac:dyDescent="0.25"/>
    <row r="234594" customFormat="1" x14ac:dyDescent="0.25"/>
    <row r="234595" customFormat="1" x14ac:dyDescent="0.25"/>
    <row r="234596" customFormat="1" x14ac:dyDescent="0.25"/>
    <row r="234597" customFormat="1" x14ac:dyDescent="0.25"/>
    <row r="234598" customFormat="1" x14ac:dyDescent="0.25"/>
    <row r="234599" customFormat="1" x14ac:dyDescent="0.25"/>
    <row r="234600" customFormat="1" x14ac:dyDescent="0.25"/>
    <row r="234601" customFormat="1" x14ac:dyDescent="0.25"/>
    <row r="234602" customFormat="1" x14ac:dyDescent="0.25"/>
    <row r="234603" customFormat="1" x14ac:dyDescent="0.25"/>
    <row r="234604" customFormat="1" x14ac:dyDescent="0.25"/>
    <row r="234605" customFormat="1" x14ac:dyDescent="0.25"/>
    <row r="234606" customFormat="1" x14ac:dyDescent="0.25"/>
    <row r="234607" customFormat="1" x14ac:dyDescent="0.25"/>
    <row r="234608" customFormat="1" x14ac:dyDescent="0.25"/>
    <row r="234609" customFormat="1" x14ac:dyDescent="0.25"/>
    <row r="234610" customFormat="1" x14ac:dyDescent="0.25"/>
    <row r="234611" customFormat="1" x14ac:dyDescent="0.25"/>
    <row r="234612" customFormat="1" x14ac:dyDescent="0.25"/>
    <row r="234613" customFormat="1" x14ac:dyDescent="0.25"/>
    <row r="234614" customFormat="1" x14ac:dyDescent="0.25"/>
    <row r="234615" customFormat="1" x14ac:dyDescent="0.25"/>
    <row r="234616" customFormat="1" x14ac:dyDescent="0.25"/>
    <row r="234617" customFormat="1" x14ac:dyDescent="0.25"/>
    <row r="234618" customFormat="1" x14ac:dyDescent="0.25"/>
    <row r="234619" customFormat="1" x14ac:dyDescent="0.25"/>
    <row r="234620" customFormat="1" x14ac:dyDescent="0.25"/>
    <row r="234621" customFormat="1" x14ac:dyDescent="0.25"/>
    <row r="234622" customFormat="1" x14ac:dyDescent="0.25"/>
    <row r="234623" customFormat="1" x14ac:dyDescent="0.25"/>
    <row r="234624" customFormat="1" x14ac:dyDescent="0.25"/>
    <row r="234625" customFormat="1" x14ac:dyDescent="0.25"/>
    <row r="234626" customFormat="1" x14ac:dyDescent="0.25"/>
    <row r="234627" customFormat="1" x14ac:dyDescent="0.25"/>
    <row r="234628" customFormat="1" x14ac:dyDescent="0.25"/>
    <row r="234629" customFormat="1" x14ac:dyDescent="0.25"/>
    <row r="234630" customFormat="1" x14ac:dyDescent="0.25"/>
    <row r="234631" customFormat="1" x14ac:dyDescent="0.25"/>
    <row r="234632" customFormat="1" x14ac:dyDescent="0.25"/>
    <row r="234633" customFormat="1" x14ac:dyDescent="0.25"/>
    <row r="234634" customFormat="1" x14ac:dyDescent="0.25"/>
    <row r="234635" customFormat="1" x14ac:dyDescent="0.25"/>
    <row r="234636" customFormat="1" x14ac:dyDescent="0.25"/>
    <row r="234637" customFormat="1" x14ac:dyDescent="0.25"/>
    <row r="234638" customFormat="1" x14ac:dyDescent="0.25"/>
    <row r="234639" customFormat="1" x14ac:dyDescent="0.25"/>
    <row r="234640" customFormat="1" x14ac:dyDescent="0.25"/>
    <row r="234641" customFormat="1" x14ac:dyDescent="0.25"/>
    <row r="234642" customFormat="1" x14ac:dyDescent="0.25"/>
    <row r="234643" customFormat="1" x14ac:dyDescent="0.25"/>
    <row r="234644" customFormat="1" x14ac:dyDescent="0.25"/>
    <row r="234645" customFormat="1" x14ac:dyDescent="0.25"/>
    <row r="234646" customFormat="1" x14ac:dyDescent="0.25"/>
    <row r="234647" customFormat="1" x14ac:dyDescent="0.25"/>
    <row r="234648" customFormat="1" x14ac:dyDescent="0.25"/>
    <row r="234649" customFormat="1" x14ac:dyDescent="0.25"/>
    <row r="234650" customFormat="1" x14ac:dyDescent="0.25"/>
    <row r="234651" customFormat="1" x14ac:dyDescent="0.25"/>
    <row r="234652" customFormat="1" x14ac:dyDescent="0.25"/>
    <row r="234653" customFormat="1" x14ac:dyDescent="0.25"/>
    <row r="234654" customFormat="1" x14ac:dyDescent="0.25"/>
    <row r="234655" customFormat="1" x14ac:dyDescent="0.25"/>
    <row r="234656" customFormat="1" x14ac:dyDescent="0.25"/>
    <row r="234657" customFormat="1" x14ac:dyDescent="0.25"/>
    <row r="234658" customFormat="1" x14ac:dyDescent="0.25"/>
    <row r="234659" customFormat="1" x14ac:dyDescent="0.25"/>
    <row r="234660" customFormat="1" x14ac:dyDescent="0.25"/>
    <row r="234661" customFormat="1" x14ac:dyDescent="0.25"/>
    <row r="234662" customFormat="1" x14ac:dyDescent="0.25"/>
    <row r="234663" customFormat="1" x14ac:dyDescent="0.25"/>
    <row r="234664" customFormat="1" x14ac:dyDescent="0.25"/>
    <row r="234665" customFormat="1" x14ac:dyDescent="0.25"/>
    <row r="234666" customFormat="1" x14ac:dyDescent="0.25"/>
    <row r="234667" customFormat="1" x14ac:dyDescent="0.25"/>
    <row r="234668" customFormat="1" x14ac:dyDescent="0.25"/>
    <row r="234669" customFormat="1" x14ac:dyDescent="0.25"/>
    <row r="234670" customFormat="1" x14ac:dyDescent="0.25"/>
    <row r="234671" customFormat="1" x14ac:dyDescent="0.25"/>
    <row r="234672" customFormat="1" x14ac:dyDescent="0.25"/>
    <row r="234673" customFormat="1" x14ac:dyDescent="0.25"/>
    <row r="234674" customFormat="1" x14ac:dyDescent="0.25"/>
    <row r="234675" customFormat="1" x14ac:dyDescent="0.25"/>
    <row r="234676" customFormat="1" x14ac:dyDescent="0.25"/>
    <row r="234677" customFormat="1" x14ac:dyDescent="0.25"/>
    <row r="234678" customFormat="1" x14ac:dyDescent="0.25"/>
    <row r="234679" customFormat="1" x14ac:dyDescent="0.25"/>
    <row r="234680" customFormat="1" x14ac:dyDescent="0.25"/>
    <row r="234681" customFormat="1" x14ac:dyDescent="0.25"/>
    <row r="234682" customFormat="1" x14ac:dyDescent="0.25"/>
    <row r="234683" customFormat="1" x14ac:dyDescent="0.25"/>
    <row r="234684" customFormat="1" x14ac:dyDescent="0.25"/>
    <row r="234685" customFormat="1" x14ac:dyDescent="0.25"/>
    <row r="234686" customFormat="1" x14ac:dyDescent="0.25"/>
    <row r="234687" customFormat="1" x14ac:dyDescent="0.25"/>
    <row r="234688" customFormat="1" x14ac:dyDescent="0.25"/>
    <row r="234689" customFormat="1" x14ac:dyDescent="0.25"/>
    <row r="234690" customFormat="1" x14ac:dyDescent="0.25"/>
    <row r="234691" customFormat="1" x14ac:dyDescent="0.25"/>
    <row r="234692" customFormat="1" x14ac:dyDescent="0.25"/>
    <row r="234693" customFormat="1" x14ac:dyDescent="0.25"/>
    <row r="234694" customFormat="1" x14ac:dyDescent="0.25"/>
    <row r="234695" customFormat="1" x14ac:dyDescent="0.25"/>
    <row r="234696" customFormat="1" x14ac:dyDescent="0.25"/>
    <row r="234697" customFormat="1" x14ac:dyDescent="0.25"/>
    <row r="234698" customFormat="1" x14ac:dyDescent="0.25"/>
    <row r="234699" customFormat="1" x14ac:dyDescent="0.25"/>
    <row r="234700" customFormat="1" x14ac:dyDescent="0.25"/>
    <row r="234701" customFormat="1" x14ac:dyDescent="0.25"/>
    <row r="234702" customFormat="1" x14ac:dyDescent="0.25"/>
    <row r="234703" customFormat="1" x14ac:dyDescent="0.25"/>
    <row r="234704" customFormat="1" x14ac:dyDescent="0.25"/>
    <row r="234705" customFormat="1" x14ac:dyDescent="0.25"/>
    <row r="234706" customFormat="1" x14ac:dyDescent="0.25"/>
    <row r="234707" customFormat="1" x14ac:dyDescent="0.25"/>
    <row r="234708" customFormat="1" x14ac:dyDescent="0.25"/>
    <row r="234709" customFormat="1" x14ac:dyDescent="0.25"/>
    <row r="234710" customFormat="1" x14ac:dyDescent="0.25"/>
    <row r="234711" customFormat="1" x14ac:dyDescent="0.25"/>
    <row r="234712" customFormat="1" x14ac:dyDescent="0.25"/>
    <row r="234713" customFormat="1" x14ac:dyDescent="0.25"/>
    <row r="234714" customFormat="1" x14ac:dyDescent="0.25"/>
    <row r="234715" customFormat="1" x14ac:dyDescent="0.25"/>
    <row r="234716" customFormat="1" x14ac:dyDescent="0.25"/>
    <row r="234717" customFormat="1" x14ac:dyDescent="0.25"/>
    <row r="234718" customFormat="1" x14ac:dyDescent="0.25"/>
    <row r="234719" customFormat="1" x14ac:dyDescent="0.25"/>
    <row r="234720" customFormat="1" x14ac:dyDescent="0.25"/>
    <row r="234721" customFormat="1" x14ac:dyDescent="0.25"/>
    <row r="234722" customFormat="1" x14ac:dyDescent="0.25"/>
    <row r="234723" customFormat="1" x14ac:dyDescent="0.25"/>
    <row r="234724" customFormat="1" x14ac:dyDescent="0.25"/>
    <row r="234725" customFormat="1" x14ac:dyDescent="0.25"/>
    <row r="234726" customFormat="1" x14ac:dyDescent="0.25"/>
    <row r="234727" customFormat="1" x14ac:dyDescent="0.25"/>
    <row r="234728" customFormat="1" x14ac:dyDescent="0.25"/>
    <row r="234729" customFormat="1" x14ac:dyDescent="0.25"/>
    <row r="234730" customFormat="1" x14ac:dyDescent="0.25"/>
    <row r="234731" customFormat="1" x14ac:dyDescent="0.25"/>
    <row r="234732" customFormat="1" x14ac:dyDescent="0.25"/>
    <row r="234733" customFormat="1" x14ac:dyDescent="0.25"/>
    <row r="234734" customFormat="1" x14ac:dyDescent="0.25"/>
    <row r="234735" customFormat="1" x14ac:dyDescent="0.25"/>
    <row r="234736" customFormat="1" x14ac:dyDescent="0.25"/>
    <row r="234737" customFormat="1" x14ac:dyDescent="0.25"/>
    <row r="234738" customFormat="1" x14ac:dyDescent="0.25"/>
    <row r="234739" customFormat="1" x14ac:dyDescent="0.25"/>
    <row r="234740" customFormat="1" x14ac:dyDescent="0.25"/>
    <row r="234741" customFormat="1" x14ac:dyDescent="0.25"/>
    <row r="234742" customFormat="1" x14ac:dyDescent="0.25"/>
    <row r="234743" customFormat="1" x14ac:dyDescent="0.25"/>
    <row r="234744" customFormat="1" x14ac:dyDescent="0.25"/>
    <row r="234745" customFormat="1" x14ac:dyDescent="0.25"/>
    <row r="234746" customFormat="1" x14ac:dyDescent="0.25"/>
    <row r="234747" customFormat="1" x14ac:dyDescent="0.25"/>
    <row r="234748" customFormat="1" x14ac:dyDescent="0.25"/>
    <row r="234749" customFormat="1" x14ac:dyDescent="0.25"/>
    <row r="234750" customFormat="1" x14ac:dyDescent="0.25"/>
    <row r="234751" customFormat="1" x14ac:dyDescent="0.25"/>
    <row r="234752" customFormat="1" x14ac:dyDescent="0.25"/>
    <row r="234753" customFormat="1" x14ac:dyDescent="0.25"/>
    <row r="234754" customFormat="1" x14ac:dyDescent="0.25"/>
    <row r="234755" customFormat="1" x14ac:dyDescent="0.25"/>
    <row r="234756" customFormat="1" x14ac:dyDescent="0.25"/>
    <row r="234757" customFormat="1" x14ac:dyDescent="0.25"/>
    <row r="234758" customFormat="1" x14ac:dyDescent="0.25"/>
    <row r="234759" customFormat="1" x14ac:dyDescent="0.25"/>
    <row r="234760" customFormat="1" x14ac:dyDescent="0.25"/>
    <row r="234761" customFormat="1" x14ac:dyDescent="0.25"/>
    <row r="234762" customFormat="1" x14ac:dyDescent="0.25"/>
    <row r="234763" customFormat="1" x14ac:dyDescent="0.25"/>
    <row r="234764" customFormat="1" x14ac:dyDescent="0.25"/>
    <row r="234765" customFormat="1" x14ac:dyDescent="0.25"/>
    <row r="234766" customFormat="1" x14ac:dyDescent="0.25"/>
    <row r="234767" customFormat="1" x14ac:dyDescent="0.25"/>
    <row r="234768" customFormat="1" x14ac:dyDescent="0.25"/>
    <row r="234769" customFormat="1" x14ac:dyDescent="0.25"/>
    <row r="234770" customFormat="1" x14ac:dyDescent="0.25"/>
    <row r="234771" customFormat="1" x14ac:dyDescent="0.25"/>
    <row r="234772" customFormat="1" x14ac:dyDescent="0.25"/>
    <row r="234773" customFormat="1" x14ac:dyDescent="0.25"/>
    <row r="234774" customFormat="1" x14ac:dyDescent="0.25"/>
    <row r="234775" customFormat="1" x14ac:dyDescent="0.25"/>
    <row r="234776" customFormat="1" x14ac:dyDescent="0.25"/>
    <row r="234777" customFormat="1" x14ac:dyDescent="0.25"/>
    <row r="234778" customFormat="1" x14ac:dyDescent="0.25"/>
    <row r="234779" customFormat="1" x14ac:dyDescent="0.25"/>
    <row r="234780" customFormat="1" x14ac:dyDescent="0.25"/>
    <row r="234781" customFormat="1" x14ac:dyDescent="0.25"/>
    <row r="234782" customFormat="1" x14ac:dyDescent="0.25"/>
    <row r="234783" customFormat="1" x14ac:dyDescent="0.25"/>
    <row r="234784" customFormat="1" x14ac:dyDescent="0.25"/>
    <row r="234785" customFormat="1" x14ac:dyDescent="0.25"/>
    <row r="234786" customFormat="1" x14ac:dyDescent="0.25"/>
    <row r="234787" customFormat="1" x14ac:dyDescent="0.25"/>
    <row r="234788" customFormat="1" x14ac:dyDescent="0.25"/>
    <row r="234789" customFormat="1" x14ac:dyDescent="0.25"/>
    <row r="234790" customFormat="1" x14ac:dyDescent="0.25"/>
    <row r="234791" customFormat="1" x14ac:dyDescent="0.25"/>
    <row r="234792" customFormat="1" x14ac:dyDescent="0.25"/>
    <row r="234793" customFormat="1" x14ac:dyDescent="0.25"/>
    <row r="234794" customFormat="1" x14ac:dyDescent="0.25"/>
    <row r="234795" customFormat="1" x14ac:dyDescent="0.25"/>
    <row r="234796" customFormat="1" x14ac:dyDescent="0.25"/>
    <row r="234797" customFormat="1" x14ac:dyDescent="0.25"/>
    <row r="234798" customFormat="1" x14ac:dyDescent="0.25"/>
    <row r="234799" customFormat="1" x14ac:dyDescent="0.25"/>
    <row r="234800" customFormat="1" x14ac:dyDescent="0.25"/>
    <row r="234801" customFormat="1" x14ac:dyDescent="0.25"/>
    <row r="234802" customFormat="1" x14ac:dyDescent="0.25"/>
    <row r="234803" customFormat="1" x14ac:dyDescent="0.25"/>
    <row r="234804" customFormat="1" x14ac:dyDescent="0.25"/>
    <row r="234805" customFormat="1" x14ac:dyDescent="0.25"/>
    <row r="234806" customFormat="1" x14ac:dyDescent="0.25"/>
    <row r="234807" customFormat="1" x14ac:dyDescent="0.25"/>
    <row r="234808" customFormat="1" x14ac:dyDescent="0.25"/>
    <row r="234809" customFormat="1" x14ac:dyDescent="0.25"/>
    <row r="234810" customFormat="1" x14ac:dyDescent="0.25"/>
    <row r="234811" customFormat="1" x14ac:dyDescent="0.25"/>
    <row r="234812" customFormat="1" x14ac:dyDescent="0.25"/>
    <row r="234813" customFormat="1" x14ac:dyDescent="0.25"/>
    <row r="234814" customFormat="1" x14ac:dyDescent="0.25"/>
    <row r="234815" customFormat="1" x14ac:dyDescent="0.25"/>
    <row r="234816" customFormat="1" x14ac:dyDescent="0.25"/>
    <row r="234817" customFormat="1" x14ac:dyDescent="0.25"/>
    <row r="234818" customFormat="1" x14ac:dyDescent="0.25"/>
    <row r="234819" customFormat="1" x14ac:dyDescent="0.25"/>
    <row r="234820" customFormat="1" x14ac:dyDescent="0.25"/>
    <row r="234821" customFormat="1" x14ac:dyDescent="0.25"/>
    <row r="234822" customFormat="1" x14ac:dyDescent="0.25"/>
    <row r="234823" customFormat="1" x14ac:dyDescent="0.25"/>
    <row r="234824" customFormat="1" x14ac:dyDescent="0.25"/>
    <row r="234825" customFormat="1" x14ac:dyDescent="0.25"/>
    <row r="234826" customFormat="1" x14ac:dyDescent="0.25"/>
    <row r="234827" customFormat="1" x14ac:dyDescent="0.25"/>
    <row r="234828" customFormat="1" x14ac:dyDescent="0.25"/>
    <row r="234829" customFormat="1" x14ac:dyDescent="0.25"/>
    <row r="234830" customFormat="1" x14ac:dyDescent="0.25"/>
    <row r="234831" customFormat="1" x14ac:dyDescent="0.25"/>
    <row r="234832" customFormat="1" x14ac:dyDescent="0.25"/>
    <row r="234833" customFormat="1" x14ac:dyDescent="0.25"/>
    <row r="234834" customFormat="1" x14ac:dyDescent="0.25"/>
    <row r="234835" customFormat="1" x14ac:dyDescent="0.25"/>
    <row r="234836" customFormat="1" x14ac:dyDescent="0.25"/>
    <row r="234837" customFormat="1" x14ac:dyDescent="0.25"/>
    <row r="234838" customFormat="1" x14ac:dyDescent="0.25"/>
    <row r="234839" customFormat="1" x14ac:dyDescent="0.25"/>
    <row r="234840" customFormat="1" x14ac:dyDescent="0.25"/>
    <row r="234841" customFormat="1" x14ac:dyDescent="0.25"/>
    <row r="234842" customFormat="1" x14ac:dyDescent="0.25"/>
    <row r="234843" customFormat="1" x14ac:dyDescent="0.25"/>
    <row r="234844" customFormat="1" x14ac:dyDescent="0.25"/>
    <row r="234845" customFormat="1" x14ac:dyDescent="0.25"/>
    <row r="234846" customFormat="1" x14ac:dyDescent="0.25"/>
    <row r="234847" customFormat="1" x14ac:dyDescent="0.25"/>
    <row r="234848" customFormat="1" x14ac:dyDescent="0.25"/>
    <row r="234849" customFormat="1" x14ac:dyDescent="0.25"/>
    <row r="234850" customFormat="1" x14ac:dyDescent="0.25"/>
    <row r="234851" customFormat="1" x14ac:dyDescent="0.25"/>
    <row r="234852" customFormat="1" x14ac:dyDescent="0.25"/>
    <row r="234853" customFormat="1" x14ac:dyDescent="0.25"/>
    <row r="234854" customFormat="1" x14ac:dyDescent="0.25"/>
    <row r="234855" customFormat="1" x14ac:dyDescent="0.25"/>
    <row r="234856" customFormat="1" x14ac:dyDescent="0.25"/>
    <row r="234857" customFormat="1" x14ac:dyDescent="0.25"/>
    <row r="234858" customFormat="1" x14ac:dyDescent="0.25"/>
    <row r="234859" customFormat="1" x14ac:dyDescent="0.25"/>
    <row r="234860" customFormat="1" x14ac:dyDescent="0.25"/>
    <row r="234861" customFormat="1" x14ac:dyDescent="0.25"/>
    <row r="234862" customFormat="1" x14ac:dyDescent="0.25"/>
    <row r="234863" customFormat="1" x14ac:dyDescent="0.25"/>
    <row r="234864" customFormat="1" x14ac:dyDescent="0.25"/>
    <row r="234865" customFormat="1" x14ac:dyDescent="0.25"/>
    <row r="234866" customFormat="1" x14ac:dyDescent="0.25"/>
    <row r="234867" customFormat="1" x14ac:dyDescent="0.25"/>
    <row r="234868" customFormat="1" x14ac:dyDescent="0.25"/>
    <row r="234869" customFormat="1" x14ac:dyDescent="0.25"/>
    <row r="234870" customFormat="1" x14ac:dyDescent="0.25"/>
    <row r="234871" customFormat="1" x14ac:dyDescent="0.25"/>
    <row r="234872" customFormat="1" x14ac:dyDescent="0.25"/>
    <row r="234873" customFormat="1" x14ac:dyDescent="0.25"/>
    <row r="234874" customFormat="1" x14ac:dyDescent="0.25"/>
    <row r="234875" customFormat="1" x14ac:dyDescent="0.25"/>
    <row r="234876" customFormat="1" x14ac:dyDescent="0.25"/>
    <row r="234877" customFormat="1" x14ac:dyDescent="0.25"/>
    <row r="234878" customFormat="1" x14ac:dyDescent="0.25"/>
    <row r="234879" customFormat="1" x14ac:dyDescent="0.25"/>
    <row r="234880" customFormat="1" x14ac:dyDescent="0.25"/>
    <row r="234881" customFormat="1" x14ac:dyDescent="0.25"/>
    <row r="234882" customFormat="1" x14ac:dyDescent="0.25"/>
    <row r="234883" customFormat="1" x14ac:dyDescent="0.25"/>
    <row r="234884" customFormat="1" x14ac:dyDescent="0.25"/>
    <row r="234885" customFormat="1" x14ac:dyDescent="0.25"/>
    <row r="234886" customFormat="1" x14ac:dyDescent="0.25"/>
    <row r="234887" customFormat="1" x14ac:dyDescent="0.25"/>
    <row r="234888" customFormat="1" x14ac:dyDescent="0.25"/>
    <row r="234889" customFormat="1" x14ac:dyDescent="0.25"/>
    <row r="234890" customFormat="1" x14ac:dyDescent="0.25"/>
    <row r="234891" customFormat="1" x14ac:dyDescent="0.25"/>
    <row r="234892" customFormat="1" x14ac:dyDescent="0.25"/>
    <row r="234893" customFormat="1" x14ac:dyDescent="0.25"/>
    <row r="234894" customFormat="1" x14ac:dyDescent="0.25"/>
    <row r="234895" customFormat="1" x14ac:dyDescent="0.25"/>
    <row r="234896" customFormat="1" x14ac:dyDescent="0.25"/>
    <row r="234897" customFormat="1" x14ac:dyDescent="0.25"/>
    <row r="234898" customFormat="1" x14ac:dyDescent="0.25"/>
    <row r="234899" customFormat="1" x14ac:dyDescent="0.25"/>
    <row r="234900" customFormat="1" x14ac:dyDescent="0.25"/>
    <row r="234901" customFormat="1" x14ac:dyDescent="0.25"/>
    <row r="234902" customFormat="1" x14ac:dyDescent="0.25"/>
    <row r="234903" customFormat="1" x14ac:dyDescent="0.25"/>
    <row r="234904" customFormat="1" x14ac:dyDescent="0.25"/>
    <row r="234905" customFormat="1" x14ac:dyDescent="0.25"/>
    <row r="234906" customFormat="1" x14ac:dyDescent="0.25"/>
    <row r="234907" customFormat="1" x14ac:dyDescent="0.25"/>
    <row r="234908" customFormat="1" x14ac:dyDescent="0.25"/>
    <row r="234909" customFormat="1" x14ac:dyDescent="0.25"/>
    <row r="234910" customFormat="1" x14ac:dyDescent="0.25"/>
    <row r="234911" customFormat="1" x14ac:dyDescent="0.25"/>
    <row r="234912" customFormat="1" x14ac:dyDescent="0.25"/>
    <row r="234913" customFormat="1" x14ac:dyDescent="0.25"/>
    <row r="234914" customFormat="1" x14ac:dyDescent="0.25"/>
    <row r="234915" customFormat="1" x14ac:dyDescent="0.25"/>
    <row r="234916" customFormat="1" x14ac:dyDescent="0.25"/>
    <row r="234917" customFormat="1" x14ac:dyDescent="0.25"/>
    <row r="234918" customFormat="1" x14ac:dyDescent="0.25"/>
    <row r="234919" customFormat="1" x14ac:dyDescent="0.25"/>
    <row r="234920" customFormat="1" x14ac:dyDescent="0.25"/>
    <row r="234921" customFormat="1" x14ac:dyDescent="0.25"/>
    <row r="234922" customFormat="1" x14ac:dyDescent="0.25"/>
    <row r="234923" customFormat="1" x14ac:dyDescent="0.25"/>
    <row r="234924" customFormat="1" x14ac:dyDescent="0.25"/>
    <row r="234925" customFormat="1" x14ac:dyDescent="0.25"/>
    <row r="234926" customFormat="1" x14ac:dyDescent="0.25"/>
    <row r="234927" customFormat="1" x14ac:dyDescent="0.25"/>
    <row r="234928" customFormat="1" x14ac:dyDescent="0.25"/>
    <row r="234929" customFormat="1" x14ac:dyDescent="0.25"/>
    <row r="234930" customFormat="1" x14ac:dyDescent="0.25"/>
    <row r="234931" customFormat="1" x14ac:dyDescent="0.25"/>
    <row r="234932" customFormat="1" x14ac:dyDescent="0.25"/>
    <row r="234933" customFormat="1" x14ac:dyDescent="0.25"/>
    <row r="234934" customFormat="1" x14ac:dyDescent="0.25"/>
    <row r="234935" customFormat="1" x14ac:dyDescent="0.25"/>
    <row r="234936" customFormat="1" x14ac:dyDescent="0.25"/>
    <row r="234937" customFormat="1" x14ac:dyDescent="0.25"/>
    <row r="234938" customFormat="1" x14ac:dyDescent="0.25"/>
    <row r="234939" customFormat="1" x14ac:dyDescent="0.25"/>
    <row r="234940" customFormat="1" x14ac:dyDescent="0.25"/>
    <row r="234941" customFormat="1" x14ac:dyDescent="0.25"/>
    <row r="234942" customFormat="1" x14ac:dyDescent="0.25"/>
    <row r="234943" customFormat="1" x14ac:dyDescent="0.25"/>
    <row r="234944" customFormat="1" x14ac:dyDescent="0.25"/>
    <row r="234945" customFormat="1" x14ac:dyDescent="0.25"/>
    <row r="234946" customFormat="1" x14ac:dyDescent="0.25"/>
    <row r="234947" customFormat="1" x14ac:dyDescent="0.25"/>
    <row r="234948" customFormat="1" x14ac:dyDescent="0.25"/>
    <row r="234949" customFormat="1" x14ac:dyDescent="0.25"/>
    <row r="234950" customFormat="1" x14ac:dyDescent="0.25"/>
    <row r="234951" customFormat="1" x14ac:dyDescent="0.25"/>
    <row r="234952" customFormat="1" x14ac:dyDescent="0.25"/>
    <row r="234953" customFormat="1" x14ac:dyDescent="0.25"/>
    <row r="234954" customFormat="1" x14ac:dyDescent="0.25"/>
    <row r="234955" customFormat="1" x14ac:dyDescent="0.25"/>
    <row r="234956" customFormat="1" x14ac:dyDescent="0.25"/>
    <row r="234957" customFormat="1" x14ac:dyDescent="0.25"/>
    <row r="234958" customFormat="1" x14ac:dyDescent="0.25"/>
    <row r="234959" customFormat="1" x14ac:dyDescent="0.25"/>
    <row r="234960" customFormat="1" x14ac:dyDescent="0.25"/>
    <row r="234961" customFormat="1" x14ac:dyDescent="0.25"/>
    <row r="234962" customFormat="1" x14ac:dyDescent="0.25"/>
    <row r="234963" customFormat="1" x14ac:dyDescent="0.25"/>
    <row r="234964" customFormat="1" x14ac:dyDescent="0.25"/>
    <row r="234965" customFormat="1" x14ac:dyDescent="0.25"/>
    <row r="234966" customFormat="1" x14ac:dyDescent="0.25"/>
    <row r="234967" customFormat="1" x14ac:dyDescent="0.25"/>
    <row r="234968" customFormat="1" x14ac:dyDescent="0.25"/>
    <row r="234969" customFormat="1" x14ac:dyDescent="0.25"/>
    <row r="234970" customFormat="1" x14ac:dyDescent="0.25"/>
    <row r="234971" customFormat="1" x14ac:dyDescent="0.25"/>
    <row r="234972" customFormat="1" x14ac:dyDescent="0.25"/>
    <row r="234973" customFormat="1" x14ac:dyDescent="0.25"/>
    <row r="234974" customFormat="1" x14ac:dyDescent="0.25"/>
    <row r="234975" customFormat="1" x14ac:dyDescent="0.25"/>
    <row r="234976" customFormat="1" x14ac:dyDescent="0.25"/>
    <row r="234977" customFormat="1" x14ac:dyDescent="0.25"/>
    <row r="234978" customFormat="1" x14ac:dyDescent="0.25"/>
    <row r="234979" customFormat="1" x14ac:dyDescent="0.25"/>
    <row r="234980" customFormat="1" x14ac:dyDescent="0.25"/>
    <row r="234981" customFormat="1" x14ac:dyDescent="0.25"/>
    <row r="234982" customFormat="1" x14ac:dyDescent="0.25"/>
    <row r="234983" customFormat="1" x14ac:dyDescent="0.25"/>
    <row r="234984" customFormat="1" x14ac:dyDescent="0.25"/>
    <row r="234985" customFormat="1" x14ac:dyDescent="0.25"/>
    <row r="234986" customFormat="1" x14ac:dyDescent="0.25"/>
    <row r="234987" customFormat="1" x14ac:dyDescent="0.25"/>
    <row r="234988" customFormat="1" x14ac:dyDescent="0.25"/>
    <row r="234989" customFormat="1" x14ac:dyDescent="0.25"/>
    <row r="234990" customFormat="1" x14ac:dyDescent="0.25"/>
    <row r="234991" customFormat="1" x14ac:dyDescent="0.25"/>
    <row r="234992" customFormat="1" x14ac:dyDescent="0.25"/>
    <row r="234993" customFormat="1" x14ac:dyDescent="0.25"/>
    <row r="234994" customFormat="1" x14ac:dyDescent="0.25"/>
    <row r="234995" customFormat="1" x14ac:dyDescent="0.25"/>
    <row r="234996" customFormat="1" x14ac:dyDescent="0.25"/>
    <row r="234997" customFormat="1" x14ac:dyDescent="0.25"/>
    <row r="234998" customFormat="1" x14ac:dyDescent="0.25"/>
    <row r="234999" customFormat="1" x14ac:dyDescent="0.25"/>
    <row r="235000" customFormat="1" x14ac:dyDescent="0.25"/>
    <row r="235001" customFormat="1" x14ac:dyDescent="0.25"/>
    <row r="235002" customFormat="1" x14ac:dyDescent="0.25"/>
    <row r="235003" customFormat="1" x14ac:dyDescent="0.25"/>
    <row r="235004" customFormat="1" x14ac:dyDescent="0.25"/>
    <row r="235005" customFormat="1" x14ac:dyDescent="0.25"/>
    <row r="235006" customFormat="1" x14ac:dyDescent="0.25"/>
    <row r="235007" customFormat="1" x14ac:dyDescent="0.25"/>
    <row r="235008" customFormat="1" x14ac:dyDescent="0.25"/>
    <row r="235009" customFormat="1" x14ac:dyDescent="0.25"/>
    <row r="235010" customFormat="1" x14ac:dyDescent="0.25"/>
    <row r="235011" customFormat="1" x14ac:dyDescent="0.25"/>
    <row r="235012" customFormat="1" x14ac:dyDescent="0.25"/>
    <row r="235013" customFormat="1" x14ac:dyDescent="0.25"/>
    <row r="235014" customFormat="1" x14ac:dyDescent="0.25"/>
    <row r="235015" customFormat="1" x14ac:dyDescent="0.25"/>
    <row r="235016" customFormat="1" x14ac:dyDescent="0.25"/>
    <row r="235017" customFormat="1" x14ac:dyDescent="0.25"/>
    <row r="235018" customFormat="1" x14ac:dyDescent="0.25"/>
    <row r="235019" customFormat="1" x14ac:dyDescent="0.25"/>
    <row r="235020" customFormat="1" x14ac:dyDescent="0.25"/>
    <row r="235021" customFormat="1" x14ac:dyDescent="0.25"/>
    <row r="235022" customFormat="1" x14ac:dyDescent="0.25"/>
    <row r="235023" customFormat="1" x14ac:dyDescent="0.25"/>
    <row r="235024" customFormat="1" x14ac:dyDescent="0.25"/>
    <row r="235025" customFormat="1" x14ac:dyDescent="0.25"/>
    <row r="235026" customFormat="1" x14ac:dyDescent="0.25"/>
    <row r="235027" customFormat="1" x14ac:dyDescent="0.25"/>
    <row r="235028" customFormat="1" x14ac:dyDescent="0.25"/>
    <row r="235029" customFormat="1" x14ac:dyDescent="0.25"/>
    <row r="235030" customFormat="1" x14ac:dyDescent="0.25"/>
    <row r="235031" customFormat="1" x14ac:dyDescent="0.25"/>
    <row r="235032" customFormat="1" x14ac:dyDescent="0.25"/>
    <row r="235033" customFormat="1" x14ac:dyDescent="0.25"/>
    <row r="235034" customFormat="1" x14ac:dyDescent="0.25"/>
    <row r="235035" customFormat="1" x14ac:dyDescent="0.25"/>
    <row r="235036" customFormat="1" x14ac:dyDescent="0.25"/>
    <row r="235037" customFormat="1" x14ac:dyDescent="0.25"/>
    <row r="235038" customFormat="1" x14ac:dyDescent="0.25"/>
    <row r="235039" customFormat="1" x14ac:dyDescent="0.25"/>
    <row r="235040" customFormat="1" x14ac:dyDescent="0.25"/>
    <row r="235041" customFormat="1" x14ac:dyDescent="0.25"/>
    <row r="235042" customFormat="1" x14ac:dyDescent="0.25"/>
    <row r="235043" customFormat="1" x14ac:dyDescent="0.25"/>
    <row r="235044" customFormat="1" x14ac:dyDescent="0.25"/>
    <row r="235045" customFormat="1" x14ac:dyDescent="0.25"/>
    <row r="235046" customFormat="1" x14ac:dyDescent="0.25"/>
    <row r="235047" customFormat="1" x14ac:dyDescent="0.25"/>
    <row r="235048" customFormat="1" x14ac:dyDescent="0.25"/>
    <row r="235049" customFormat="1" x14ac:dyDescent="0.25"/>
    <row r="235050" customFormat="1" x14ac:dyDescent="0.25"/>
    <row r="235051" customFormat="1" x14ac:dyDescent="0.25"/>
    <row r="235052" customFormat="1" x14ac:dyDescent="0.25"/>
    <row r="235053" customFormat="1" x14ac:dyDescent="0.25"/>
    <row r="235054" customFormat="1" x14ac:dyDescent="0.25"/>
    <row r="235055" customFormat="1" x14ac:dyDescent="0.25"/>
    <row r="235056" customFormat="1" x14ac:dyDescent="0.25"/>
    <row r="235057" customFormat="1" x14ac:dyDescent="0.25"/>
    <row r="235058" customFormat="1" x14ac:dyDescent="0.25"/>
    <row r="235059" customFormat="1" x14ac:dyDescent="0.25"/>
    <row r="235060" customFormat="1" x14ac:dyDescent="0.25"/>
    <row r="235061" customFormat="1" x14ac:dyDescent="0.25"/>
    <row r="235062" customFormat="1" x14ac:dyDescent="0.25"/>
    <row r="235063" customFormat="1" x14ac:dyDescent="0.25"/>
    <row r="235064" customFormat="1" x14ac:dyDescent="0.25"/>
    <row r="235065" customFormat="1" x14ac:dyDescent="0.25"/>
    <row r="235066" customFormat="1" x14ac:dyDescent="0.25"/>
    <row r="235067" customFormat="1" x14ac:dyDescent="0.25"/>
    <row r="235068" customFormat="1" x14ac:dyDescent="0.25"/>
    <row r="235069" customFormat="1" x14ac:dyDescent="0.25"/>
    <row r="235070" customFormat="1" x14ac:dyDescent="0.25"/>
    <row r="235071" customFormat="1" x14ac:dyDescent="0.25"/>
    <row r="235072" customFormat="1" x14ac:dyDescent="0.25"/>
    <row r="235073" customFormat="1" x14ac:dyDescent="0.25"/>
    <row r="235074" customFormat="1" x14ac:dyDescent="0.25"/>
    <row r="235075" customFormat="1" x14ac:dyDescent="0.25"/>
    <row r="235076" customFormat="1" x14ac:dyDescent="0.25"/>
    <row r="235077" customFormat="1" x14ac:dyDescent="0.25"/>
    <row r="235078" customFormat="1" x14ac:dyDescent="0.25"/>
    <row r="235079" customFormat="1" x14ac:dyDescent="0.25"/>
    <row r="235080" customFormat="1" x14ac:dyDescent="0.25"/>
    <row r="235081" customFormat="1" x14ac:dyDescent="0.25"/>
    <row r="235082" customFormat="1" x14ac:dyDescent="0.25"/>
    <row r="235083" customFormat="1" x14ac:dyDescent="0.25"/>
    <row r="235084" customFormat="1" x14ac:dyDescent="0.25"/>
    <row r="235085" customFormat="1" x14ac:dyDescent="0.25"/>
    <row r="235086" customFormat="1" x14ac:dyDescent="0.25"/>
    <row r="235087" customFormat="1" x14ac:dyDescent="0.25"/>
    <row r="235088" customFormat="1" x14ac:dyDescent="0.25"/>
    <row r="235089" customFormat="1" x14ac:dyDescent="0.25"/>
    <row r="235090" customFormat="1" x14ac:dyDescent="0.25"/>
    <row r="235091" customFormat="1" x14ac:dyDescent="0.25"/>
    <row r="235092" customFormat="1" x14ac:dyDescent="0.25"/>
    <row r="235093" customFormat="1" x14ac:dyDescent="0.25"/>
    <row r="235094" customFormat="1" x14ac:dyDescent="0.25"/>
    <row r="235095" customFormat="1" x14ac:dyDescent="0.25"/>
    <row r="235096" customFormat="1" x14ac:dyDescent="0.25"/>
    <row r="235097" customFormat="1" x14ac:dyDescent="0.25"/>
    <row r="235098" customFormat="1" x14ac:dyDescent="0.25"/>
    <row r="235099" customFormat="1" x14ac:dyDescent="0.25"/>
    <row r="235100" customFormat="1" x14ac:dyDescent="0.25"/>
    <row r="235101" customFormat="1" x14ac:dyDescent="0.25"/>
    <row r="235102" customFormat="1" x14ac:dyDescent="0.25"/>
    <row r="235103" customFormat="1" x14ac:dyDescent="0.25"/>
    <row r="235104" customFormat="1" x14ac:dyDescent="0.25"/>
    <row r="235105" customFormat="1" x14ac:dyDescent="0.25"/>
    <row r="235106" customFormat="1" x14ac:dyDescent="0.25"/>
    <row r="235107" customFormat="1" x14ac:dyDescent="0.25"/>
    <row r="235108" customFormat="1" x14ac:dyDescent="0.25"/>
    <row r="235109" customFormat="1" x14ac:dyDescent="0.25"/>
    <row r="235110" customFormat="1" x14ac:dyDescent="0.25"/>
    <row r="235111" customFormat="1" x14ac:dyDescent="0.25"/>
    <row r="235112" customFormat="1" x14ac:dyDescent="0.25"/>
    <row r="235113" customFormat="1" x14ac:dyDescent="0.25"/>
    <row r="235114" customFormat="1" x14ac:dyDescent="0.25"/>
    <row r="235115" customFormat="1" x14ac:dyDescent="0.25"/>
    <row r="235116" customFormat="1" x14ac:dyDescent="0.25"/>
    <row r="235117" customFormat="1" x14ac:dyDescent="0.25"/>
    <row r="235118" customFormat="1" x14ac:dyDescent="0.25"/>
    <row r="235119" customFormat="1" x14ac:dyDescent="0.25"/>
    <row r="235120" customFormat="1" x14ac:dyDescent="0.25"/>
    <row r="235121" customFormat="1" x14ac:dyDescent="0.25"/>
    <row r="235122" customFormat="1" x14ac:dyDescent="0.25"/>
    <row r="235123" customFormat="1" x14ac:dyDescent="0.25"/>
    <row r="235124" customFormat="1" x14ac:dyDescent="0.25"/>
    <row r="235125" customFormat="1" x14ac:dyDescent="0.25"/>
    <row r="235126" customFormat="1" x14ac:dyDescent="0.25"/>
    <row r="235127" customFormat="1" x14ac:dyDescent="0.25"/>
    <row r="235128" customFormat="1" x14ac:dyDescent="0.25"/>
    <row r="235129" customFormat="1" x14ac:dyDescent="0.25"/>
    <row r="235130" customFormat="1" x14ac:dyDescent="0.25"/>
    <row r="235131" customFormat="1" x14ac:dyDescent="0.25"/>
    <row r="235132" customFormat="1" x14ac:dyDescent="0.25"/>
    <row r="235133" customFormat="1" x14ac:dyDescent="0.25"/>
    <row r="235134" customFormat="1" x14ac:dyDescent="0.25"/>
    <row r="235135" customFormat="1" x14ac:dyDescent="0.25"/>
    <row r="235136" customFormat="1" x14ac:dyDescent="0.25"/>
    <row r="235137" customFormat="1" x14ac:dyDescent="0.25"/>
    <row r="235138" customFormat="1" x14ac:dyDescent="0.25"/>
    <row r="235139" customFormat="1" x14ac:dyDescent="0.25"/>
    <row r="235140" customFormat="1" x14ac:dyDescent="0.25"/>
    <row r="235141" customFormat="1" x14ac:dyDescent="0.25"/>
    <row r="235142" customFormat="1" x14ac:dyDescent="0.25"/>
    <row r="235143" customFormat="1" x14ac:dyDescent="0.25"/>
    <row r="235144" customFormat="1" x14ac:dyDescent="0.25"/>
    <row r="235145" customFormat="1" x14ac:dyDescent="0.25"/>
    <row r="235146" customFormat="1" x14ac:dyDescent="0.25"/>
    <row r="235147" customFormat="1" x14ac:dyDescent="0.25"/>
    <row r="235148" customFormat="1" x14ac:dyDescent="0.25"/>
    <row r="235149" customFormat="1" x14ac:dyDescent="0.25"/>
    <row r="235150" customFormat="1" x14ac:dyDescent="0.25"/>
    <row r="235151" customFormat="1" x14ac:dyDescent="0.25"/>
    <row r="235152" customFormat="1" x14ac:dyDescent="0.25"/>
    <row r="235153" customFormat="1" x14ac:dyDescent="0.25"/>
    <row r="235154" customFormat="1" x14ac:dyDescent="0.25"/>
    <row r="235155" customFormat="1" x14ac:dyDescent="0.25"/>
    <row r="235156" customFormat="1" x14ac:dyDescent="0.25"/>
    <row r="235157" customFormat="1" x14ac:dyDescent="0.25"/>
    <row r="235158" customFormat="1" x14ac:dyDescent="0.25"/>
    <row r="235159" customFormat="1" x14ac:dyDescent="0.25"/>
    <row r="235160" customFormat="1" x14ac:dyDescent="0.25"/>
    <row r="235161" customFormat="1" x14ac:dyDescent="0.25"/>
    <row r="235162" customFormat="1" x14ac:dyDescent="0.25"/>
    <row r="235163" customFormat="1" x14ac:dyDescent="0.25"/>
    <row r="235164" customFormat="1" x14ac:dyDescent="0.25"/>
    <row r="235165" customFormat="1" x14ac:dyDescent="0.25"/>
    <row r="235166" customFormat="1" x14ac:dyDescent="0.25"/>
    <row r="235167" customFormat="1" x14ac:dyDescent="0.25"/>
    <row r="235168" customFormat="1" x14ac:dyDescent="0.25"/>
    <row r="235169" customFormat="1" x14ac:dyDescent="0.25"/>
    <row r="235170" customFormat="1" x14ac:dyDescent="0.25"/>
    <row r="235171" customFormat="1" x14ac:dyDescent="0.25"/>
    <row r="235172" customFormat="1" x14ac:dyDescent="0.25"/>
    <row r="235173" customFormat="1" x14ac:dyDescent="0.25"/>
    <row r="235174" customFormat="1" x14ac:dyDescent="0.25"/>
    <row r="235175" customFormat="1" x14ac:dyDescent="0.25"/>
    <row r="235176" customFormat="1" x14ac:dyDescent="0.25"/>
    <row r="235177" customFormat="1" x14ac:dyDescent="0.25"/>
    <row r="235178" customFormat="1" x14ac:dyDescent="0.25"/>
    <row r="235179" customFormat="1" x14ac:dyDescent="0.25"/>
    <row r="235180" customFormat="1" x14ac:dyDescent="0.25"/>
    <row r="235181" customFormat="1" x14ac:dyDescent="0.25"/>
    <row r="235182" customFormat="1" x14ac:dyDescent="0.25"/>
    <row r="235183" customFormat="1" x14ac:dyDescent="0.25"/>
    <row r="235184" customFormat="1" x14ac:dyDescent="0.25"/>
    <row r="235185" customFormat="1" x14ac:dyDescent="0.25"/>
    <row r="235186" customFormat="1" x14ac:dyDescent="0.25"/>
    <row r="235187" customFormat="1" x14ac:dyDescent="0.25"/>
    <row r="235188" customFormat="1" x14ac:dyDescent="0.25"/>
    <row r="235189" customFormat="1" x14ac:dyDescent="0.25"/>
    <row r="235190" customFormat="1" x14ac:dyDescent="0.25"/>
    <row r="235191" customFormat="1" x14ac:dyDescent="0.25"/>
    <row r="235192" customFormat="1" x14ac:dyDescent="0.25"/>
    <row r="235193" customFormat="1" x14ac:dyDescent="0.25"/>
    <row r="235194" customFormat="1" x14ac:dyDescent="0.25"/>
    <row r="235195" customFormat="1" x14ac:dyDescent="0.25"/>
    <row r="235196" customFormat="1" x14ac:dyDescent="0.25"/>
    <row r="235197" customFormat="1" x14ac:dyDescent="0.25"/>
    <row r="235198" customFormat="1" x14ac:dyDescent="0.25"/>
    <row r="235199" customFormat="1" x14ac:dyDescent="0.25"/>
    <row r="235200" customFormat="1" x14ac:dyDescent="0.25"/>
    <row r="235201" customFormat="1" x14ac:dyDescent="0.25"/>
    <row r="235202" customFormat="1" x14ac:dyDescent="0.25"/>
    <row r="235203" customFormat="1" x14ac:dyDescent="0.25"/>
    <row r="235204" customFormat="1" x14ac:dyDescent="0.25"/>
    <row r="235205" customFormat="1" x14ac:dyDescent="0.25"/>
    <row r="235206" customFormat="1" x14ac:dyDescent="0.25"/>
    <row r="235207" customFormat="1" x14ac:dyDescent="0.25"/>
    <row r="235208" customFormat="1" x14ac:dyDescent="0.25"/>
    <row r="235209" customFormat="1" x14ac:dyDescent="0.25"/>
    <row r="235210" customFormat="1" x14ac:dyDescent="0.25"/>
    <row r="235211" customFormat="1" x14ac:dyDescent="0.25"/>
    <row r="235212" customFormat="1" x14ac:dyDescent="0.25"/>
    <row r="235213" customFormat="1" x14ac:dyDescent="0.25"/>
    <row r="235214" customFormat="1" x14ac:dyDescent="0.25"/>
    <row r="235215" customFormat="1" x14ac:dyDescent="0.25"/>
    <row r="235216" customFormat="1" x14ac:dyDescent="0.25"/>
    <row r="235217" customFormat="1" x14ac:dyDescent="0.25"/>
    <row r="235218" customFormat="1" x14ac:dyDescent="0.25"/>
    <row r="235219" customFormat="1" x14ac:dyDescent="0.25"/>
    <row r="235220" customFormat="1" x14ac:dyDescent="0.25"/>
    <row r="235221" customFormat="1" x14ac:dyDescent="0.25"/>
    <row r="235222" customFormat="1" x14ac:dyDescent="0.25"/>
    <row r="235223" customFormat="1" x14ac:dyDescent="0.25"/>
    <row r="235224" customFormat="1" x14ac:dyDescent="0.25"/>
    <row r="235225" customFormat="1" x14ac:dyDescent="0.25"/>
    <row r="235226" customFormat="1" x14ac:dyDescent="0.25"/>
    <row r="235227" customFormat="1" x14ac:dyDescent="0.25"/>
    <row r="235228" customFormat="1" x14ac:dyDescent="0.25"/>
    <row r="235229" customFormat="1" x14ac:dyDescent="0.25"/>
    <row r="235230" customFormat="1" x14ac:dyDescent="0.25"/>
    <row r="235231" customFormat="1" x14ac:dyDescent="0.25"/>
    <row r="235232" customFormat="1" x14ac:dyDescent="0.25"/>
    <row r="235233" customFormat="1" x14ac:dyDescent="0.25"/>
    <row r="235234" customFormat="1" x14ac:dyDescent="0.25"/>
    <row r="235235" customFormat="1" x14ac:dyDescent="0.25"/>
    <row r="235236" customFormat="1" x14ac:dyDescent="0.25"/>
    <row r="235237" customFormat="1" x14ac:dyDescent="0.25"/>
    <row r="235238" customFormat="1" x14ac:dyDescent="0.25"/>
    <row r="235239" customFormat="1" x14ac:dyDescent="0.25"/>
    <row r="235240" customFormat="1" x14ac:dyDescent="0.25"/>
    <row r="235241" customFormat="1" x14ac:dyDescent="0.25"/>
    <row r="235242" customFormat="1" x14ac:dyDescent="0.25"/>
    <row r="235243" customFormat="1" x14ac:dyDescent="0.25"/>
    <row r="235244" customFormat="1" x14ac:dyDescent="0.25"/>
    <row r="235245" customFormat="1" x14ac:dyDescent="0.25"/>
    <row r="235246" customFormat="1" x14ac:dyDescent="0.25"/>
    <row r="235247" customFormat="1" x14ac:dyDescent="0.25"/>
    <row r="235248" customFormat="1" x14ac:dyDescent="0.25"/>
    <row r="235249" customFormat="1" x14ac:dyDescent="0.25"/>
    <row r="235250" customFormat="1" x14ac:dyDescent="0.25"/>
    <row r="235251" customFormat="1" x14ac:dyDescent="0.25"/>
    <row r="235252" customFormat="1" x14ac:dyDescent="0.25"/>
    <row r="235253" customFormat="1" x14ac:dyDescent="0.25"/>
    <row r="235254" customFormat="1" x14ac:dyDescent="0.25"/>
    <row r="235255" customFormat="1" x14ac:dyDescent="0.25"/>
    <row r="235256" customFormat="1" x14ac:dyDescent="0.25"/>
    <row r="235257" customFormat="1" x14ac:dyDescent="0.25"/>
    <row r="235258" customFormat="1" x14ac:dyDescent="0.25"/>
    <row r="235259" customFormat="1" x14ac:dyDescent="0.25"/>
    <row r="235260" customFormat="1" x14ac:dyDescent="0.25"/>
    <row r="235261" customFormat="1" x14ac:dyDescent="0.25"/>
    <row r="235262" customFormat="1" x14ac:dyDescent="0.25"/>
    <row r="235263" customFormat="1" x14ac:dyDescent="0.25"/>
    <row r="235264" customFormat="1" x14ac:dyDescent="0.25"/>
    <row r="235265" customFormat="1" x14ac:dyDescent="0.25"/>
    <row r="235266" customFormat="1" x14ac:dyDescent="0.25"/>
    <row r="235267" customFormat="1" x14ac:dyDescent="0.25"/>
    <row r="235268" customFormat="1" x14ac:dyDescent="0.25"/>
    <row r="235269" customFormat="1" x14ac:dyDescent="0.25"/>
    <row r="235270" customFormat="1" x14ac:dyDescent="0.25"/>
    <row r="235271" customFormat="1" x14ac:dyDescent="0.25"/>
    <row r="235272" customFormat="1" x14ac:dyDescent="0.25"/>
    <row r="235273" customFormat="1" x14ac:dyDescent="0.25"/>
    <row r="235274" customFormat="1" x14ac:dyDescent="0.25"/>
    <row r="235275" customFormat="1" x14ac:dyDescent="0.25"/>
    <row r="235276" customFormat="1" x14ac:dyDescent="0.25"/>
    <row r="235277" customFormat="1" x14ac:dyDescent="0.25"/>
    <row r="235278" customFormat="1" x14ac:dyDescent="0.25"/>
    <row r="235279" customFormat="1" x14ac:dyDescent="0.25"/>
    <row r="235280" customFormat="1" x14ac:dyDescent="0.25"/>
    <row r="235281" customFormat="1" x14ac:dyDescent="0.25"/>
    <row r="235282" customFormat="1" x14ac:dyDescent="0.25"/>
    <row r="235283" customFormat="1" x14ac:dyDescent="0.25"/>
    <row r="235284" customFormat="1" x14ac:dyDescent="0.25"/>
    <row r="235285" customFormat="1" x14ac:dyDescent="0.25"/>
    <row r="235286" customFormat="1" x14ac:dyDescent="0.25"/>
    <row r="235287" customFormat="1" x14ac:dyDescent="0.25"/>
    <row r="235288" customFormat="1" x14ac:dyDescent="0.25"/>
    <row r="235289" customFormat="1" x14ac:dyDescent="0.25"/>
    <row r="235290" customFormat="1" x14ac:dyDescent="0.25"/>
    <row r="235291" customFormat="1" x14ac:dyDescent="0.25"/>
    <row r="235292" customFormat="1" x14ac:dyDescent="0.25"/>
    <row r="235293" customFormat="1" x14ac:dyDescent="0.25"/>
    <row r="235294" customFormat="1" x14ac:dyDescent="0.25"/>
    <row r="235295" customFormat="1" x14ac:dyDescent="0.25"/>
    <row r="235296" customFormat="1" x14ac:dyDescent="0.25"/>
    <row r="235297" customFormat="1" x14ac:dyDescent="0.25"/>
    <row r="235298" customFormat="1" x14ac:dyDescent="0.25"/>
    <row r="235299" customFormat="1" x14ac:dyDescent="0.25"/>
    <row r="235300" customFormat="1" x14ac:dyDescent="0.25"/>
    <row r="235301" customFormat="1" x14ac:dyDescent="0.25"/>
    <row r="235302" customFormat="1" x14ac:dyDescent="0.25"/>
    <row r="235303" customFormat="1" x14ac:dyDescent="0.25"/>
    <row r="235304" customFormat="1" x14ac:dyDescent="0.25"/>
    <row r="235305" customFormat="1" x14ac:dyDescent="0.25"/>
    <row r="235306" customFormat="1" x14ac:dyDescent="0.25"/>
    <row r="235307" customFormat="1" x14ac:dyDescent="0.25"/>
    <row r="235308" customFormat="1" x14ac:dyDescent="0.25"/>
    <row r="235309" customFormat="1" x14ac:dyDescent="0.25"/>
    <row r="235310" customFormat="1" x14ac:dyDescent="0.25"/>
    <row r="235311" customFormat="1" x14ac:dyDescent="0.25"/>
    <row r="235312" customFormat="1" x14ac:dyDescent="0.25"/>
    <row r="235313" customFormat="1" x14ac:dyDescent="0.25"/>
    <row r="235314" customFormat="1" x14ac:dyDescent="0.25"/>
    <row r="235315" customFormat="1" x14ac:dyDescent="0.25"/>
    <row r="235316" customFormat="1" x14ac:dyDescent="0.25"/>
    <row r="235317" customFormat="1" x14ac:dyDescent="0.25"/>
    <row r="235318" customFormat="1" x14ac:dyDescent="0.25"/>
    <row r="235319" customFormat="1" x14ac:dyDescent="0.25"/>
    <row r="235320" customFormat="1" x14ac:dyDescent="0.25"/>
    <row r="235321" customFormat="1" x14ac:dyDescent="0.25"/>
    <row r="235322" customFormat="1" x14ac:dyDescent="0.25"/>
    <row r="235323" customFormat="1" x14ac:dyDescent="0.25"/>
    <row r="235324" customFormat="1" x14ac:dyDescent="0.25"/>
    <row r="235325" customFormat="1" x14ac:dyDescent="0.25"/>
    <row r="235326" customFormat="1" x14ac:dyDescent="0.25"/>
    <row r="235327" customFormat="1" x14ac:dyDescent="0.25"/>
    <row r="235328" customFormat="1" x14ac:dyDescent="0.25"/>
    <row r="235329" customFormat="1" x14ac:dyDescent="0.25"/>
    <row r="235330" customFormat="1" x14ac:dyDescent="0.25"/>
    <row r="235331" customFormat="1" x14ac:dyDescent="0.25"/>
    <row r="235332" customFormat="1" x14ac:dyDescent="0.25"/>
    <row r="235333" customFormat="1" x14ac:dyDescent="0.25"/>
    <row r="235334" customFormat="1" x14ac:dyDescent="0.25"/>
    <row r="235335" customFormat="1" x14ac:dyDescent="0.25"/>
    <row r="235336" customFormat="1" x14ac:dyDescent="0.25"/>
    <row r="235337" customFormat="1" x14ac:dyDescent="0.25"/>
    <row r="235338" customFormat="1" x14ac:dyDescent="0.25"/>
    <row r="235339" customFormat="1" x14ac:dyDescent="0.25"/>
    <row r="235340" customFormat="1" x14ac:dyDescent="0.25"/>
    <row r="235341" customFormat="1" x14ac:dyDescent="0.25"/>
    <row r="235342" customFormat="1" x14ac:dyDescent="0.25"/>
    <row r="235343" customFormat="1" x14ac:dyDescent="0.25"/>
    <row r="235344" customFormat="1" x14ac:dyDescent="0.25"/>
    <row r="235345" customFormat="1" x14ac:dyDescent="0.25"/>
    <row r="235346" customFormat="1" x14ac:dyDescent="0.25"/>
    <row r="235347" customFormat="1" x14ac:dyDescent="0.25"/>
    <row r="235348" customFormat="1" x14ac:dyDescent="0.25"/>
    <row r="235349" customFormat="1" x14ac:dyDescent="0.25"/>
    <row r="235350" customFormat="1" x14ac:dyDescent="0.25"/>
    <row r="235351" customFormat="1" x14ac:dyDescent="0.25"/>
    <row r="235352" customFormat="1" x14ac:dyDescent="0.25"/>
    <row r="235353" customFormat="1" x14ac:dyDescent="0.25"/>
    <row r="235354" customFormat="1" x14ac:dyDescent="0.25"/>
    <row r="235355" customFormat="1" x14ac:dyDescent="0.25"/>
    <row r="235356" customFormat="1" x14ac:dyDescent="0.25"/>
    <row r="235357" customFormat="1" x14ac:dyDescent="0.25"/>
    <row r="235358" customFormat="1" x14ac:dyDescent="0.25"/>
    <row r="235359" customFormat="1" x14ac:dyDescent="0.25"/>
    <row r="235360" customFormat="1" x14ac:dyDescent="0.25"/>
    <row r="235361" customFormat="1" x14ac:dyDescent="0.25"/>
    <row r="235362" customFormat="1" x14ac:dyDescent="0.25"/>
    <row r="235363" customFormat="1" x14ac:dyDescent="0.25"/>
    <row r="235364" customFormat="1" x14ac:dyDescent="0.25"/>
    <row r="235365" customFormat="1" x14ac:dyDescent="0.25"/>
    <row r="235366" customFormat="1" x14ac:dyDescent="0.25"/>
    <row r="235367" customFormat="1" x14ac:dyDescent="0.25"/>
    <row r="235368" customFormat="1" x14ac:dyDescent="0.25"/>
    <row r="235369" customFormat="1" x14ac:dyDescent="0.25"/>
    <row r="235370" customFormat="1" x14ac:dyDescent="0.25"/>
    <row r="235371" customFormat="1" x14ac:dyDescent="0.25"/>
    <row r="235372" customFormat="1" x14ac:dyDescent="0.25"/>
    <row r="235373" customFormat="1" x14ac:dyDescent="0.25"/>
    <row r="235374" customFormat="1" x14ac:dyDescent="0.25"/>
    <row r="235375" customFormat="1" x14ac:dyDescent="0.25"/>
    <row r="235376" customFormat="1" x14ac:dyDescent="0.25"/>
    <row r="235377" customFormat="1" x14ac:dyDescent="0.25"/>
    <row r="235378" customFormat="1" x14ac:dyDescent="0.25"/>
    <row r="235379" customFormat="1" x14ac:dyDescent="0.25"/>
    <row r="235380" customFormat="1" x14ac:dyDescent="0.25"/>
    <row r="235381" customFormat="1" x14ac:dyDescent="0.25"/>
    <row r="235382" customFormat="1" x14ac:dyDescent="0.25"/>
    <row r="235383" customFormat="1" x14ac:dyDescent="0.25"/>
    <row r="235384" customFormat="1" x14ac:dyDescent="0.25"/>
    <row r="235385" customFormat="1" x14ac:dyDescent="0.25"/>
    <row r="235386" customFormat="1" x14ac:dyDescent="0.25"/>
    <row r="235387" customFormat="1" x14ac:dyDescent="0.25"/>
    <row r="235388" customFormat="1" x14ac:dyDescent="0.25"/>
    <row r="235389" customFormat="1" x14ac:dyDescent="0.25"/>
    <row r="235390" customFormat="1" x14ac:dyDescent="0.25"/>
    <row r="235391" customFormat="1" x14ac:dyDescent="0.25"/>
    <row r="235392" customFormat="1" x14ac:dyDescent="0.25"/>
    <row r="235393" customFormat="1" x14ac:dyDescent="0.25"/>
    <row r="235394" customFormat="1" x14ac:dyDescent="0.25"/>
    <row r="235395" customFormat="1" x14ac:dyDescent="0.25"/>
    <row r="235396" customFormat="1" x14ac:dyDescent="0.25"/>
    <row r="235397" customFormat="1" x14ac:dyDescent="0.25"/>
    <row r="235398" customFormat="1" x14ac:dyDescent="0.25"/>
    <row r="235399" customFormat="1" x14ac:dyDescent="0.25"/>
    <row r="235400" customFormat="1" x14ac:dyDescent="0.25"/>
    <row r="235401" customFormat="1" x14ac:dyDescent="0.25"/>
    <row r="235402" customFormat="1" x14ac:dyDescent="0.25"/>
    <row r="235403" customFormat="1" x14ac:dyDescent="0.25"/>
    <row r="235404" customFormat="1" x14ac:dyDescent="0.25"/>
    <row r="235405" customFormat="1" x14ac:dyDescent="0.25"/>
    <row r="235406" customFormat="1" x14ac:dyDescent="0.25"/>
    <row r="235407" customFormat="1" x14ac:dyDescent="0.25"/>
    <row r="235408" customFormat="1" x14ac:dyDescent="0.25"/>
    <row r="235409" customFormat="1" x14ac:dyDescent="0.25"/>
    <row r="235410" customFormat="1" x14ac:dyDescent="0.25"/>
    <row r="235411" customFormat="1" x14ac:dyDescent="0.25"/>
    <row r="235412" customFormat="1" x14ac:dyDescent="0.25"/>
    <row r="235413" customFormat="1" x14ac:dyDescent="0.25"/>
    <row r="235414" customFormat="1" x14ac:dyDescent="0.25"/>
    <row r="235415" customFormat="1" x14ac:dyDescent="0.25"/>
    <row r="235416" customFormat="1" x14ac:dyDescent="0.25"/>
    <row r="235417" customFormat="1" x14ac:dyDescent="0.25"/>
    <row r="235418" customFormat="1" x14ac:dyDescent="0.25"/>
    <row r="235419" customFormat="1" x14ac:dyDescent="0.25"/>
    <row r="235420" customFormat="1" x14ac:dyDescent="0.25"/>
    <row r="235421" customFormat="1" x14ac:dyDescent="0.25"/>
    <row r="235422" customFormat="1" x14ac:dyDescent="0.25"/>
    <row r="235423" customFormat="1" x14ac:dyDescent="0.25"/>
    <row r="235424" customFormat="1" x14ac:dyDescent="0.25"/>
    <row r="235425" customFormat="1" x14ac:dyDescent="0.25"/>
    <row r="235426" customFormat="1" x14ac:dyDescent="0.25"/>
    <row r="235427" customFormat="1" x14ac:dyDescent="0.25"/>
    <row r="235428" customFormat="1" x14ac:dyDescent="0.25"/>
    <row r="235429" customFormat="1" x14ac:dyDescent="0.25"/>
    <row r="235430" customFormat="1" x14ac:dyDescent="0.25"/>
    <row r="235431" customFormat="1" x14ac:dyDescent="0.25"/>
    <row r="235432" customFormat="1" x14ac:dyDescent="0.25"/>
    <row r="235433" customFormat="1" x14ac:dyDescent="0.25"/>
    <row r="235434" customFormat="1" x14ac:dyDescent="0.25"/>
    <row r="235435" customFormat="1" x14ac:dyDescent="0.25"/>
    <row r="235436" customFormat="1" x14ac:dyDescent="0.25"/>
    <row r="235437" customFormat="1" x14ac:dyDescent="0.25"/>
    <row r="235438" customFormat="1" x14ac:dyDescent="0.25"/>
    <row r="235439" customFormat="1" x14ac:dyDescent="0.25"/>
    <row r="235440" customFormat="1" x14ac:dyDescent="0.25"/>
    <row r="235441" customFormat="1" x14ac:dyDescent="0.25"/>
    <row r="235442" customFormat="1" x14ac:dyDescent="0.25"/>
    <row r="235443" customFormat="1" x14ac:dyDescent="0.25"/>
    <row r="235444" customFormat="1" x14ac:dyDescent="0.25"/>
    <row r="235445" customFormat="1" x14ac:dyDescent="0.25"/>
    <row r="235446" customFormat="1" x14ac:dyDescent="0.25"/>
    <row r="235447" customFormat="1" x14ac:dyDescent="0.25"/>
    <row r="235448" customFormat="1" x14ac:dyDescent="0.25"/>
    <row r="235449" customFormat="1" x14ac:dyDescent="0.25"/>
    <row r="235450" customFormat="1" x14ac:dyDescent="0.25"/>
    <row r="235451" customFormat="1" x14ac:dyDescent="0.25"/>
    <row r="235452" customFormat="1" x14ac:dyDescent="0.25"/>
    <row r="235453" customFormat="1" x14ac:dyDescent="0.25"/>
    <row r="235454" customFormat="1" x14ac:dyDescent="0.25"/>
    <row r="235455" customFormat="1" x14ac:dyDescent="0.25"/>
    <row r="235456" customFormat="1" x14ac:dyDescent="0.25"/>
    <row r="235457" customFormat="1" x14ac:dyDescent="0.25"/>
    <row r="235458" customFormat="1" x14ac:dyDescent="0.25"/>
    <row r="235459" customFormat="1" x14ac:dyDescent="0.25"/>
    <row r="235460" customFormat="1" x14ac:dyDescent="0.25"/>
    <row r="235461" customFormat="1" x14ac:dyDescent="0.25"/>
    <row r="235462" customFormat="1" x14ac:dyDescent="0.25"/>
    <row r="235463" customFormat="1" x14ac:dyDescent="0.25"/>
    <row r="235464" customFormat="1" x14ac:dyDescent="0.25"/>
    <row r="235465" customFormat="1" x14ac:dyDescent="0.25"/>
    <row r="235466" customFormat="1" x14ac:dyDescent="0.25"/>
    <row r="235467" customFormat="1" x14ac:dyDescent="0.25"/>
    <row r="235468" customFormat="1" x14ac:dyDescent="0.25"/>
    <row r="235469" customFormat="1" x14ac:dyDescent="0.25"/>
    <row r="235470" customFormat="1" x14ac:dyDescent="0.25"/>
    <row r="235471" customFormat="1" x14ac:dyDescent="0.25"/>
    <row r="235472" customFormat="1" x14ac:dyDescent="0.25"/>
    <row r="235473" customFormat="1" x14ac:dyDescent="0.25"/>
    <row r="235474" customFormat="1" x14ac:dyDescent="0.25"/>
    <row r="235475" customFormat="1" x14ac:dyDescent="0.25"/>
    <row r="235476" customFormat="1" x14ac:dyDescent="0.25"/>
    <row r="235477" customFormat="1" x14ac:dyDescent="0.25"/>
    <row r="235478" customFormat="1" x14ac:dyDescent="0.25"/>
    <row r="235479" customFormat="1" x14ac:dyDescent="0.25"/>
    <row r="235480" customFormat="1" x14ac:dyDescent="0.25"/>
    <row r="235481" customFormat="1" x14ac:dyDescent="0.25"/>
    <row r="235482" customFormat="1" x14ac:dyDescent="0.25"/>
    <row r="235483" customFormat="1" x14ac:dyDescent="0.25"/>
    <row r="235484" customFormat="1" x14ac:dyDescent="0.25"/>
    <row r="235485" customFormat="1" x14ac:dyDescent="0.25"/>
    <row r="235486" customFormat="1" x14ac:dyDescent="0.25"/>
    <row r="235487" customFormat="1" x14ac:dyDescent="0.25"/>
    <row r="235488" customFormat="1" x14ac:dyDescent="0.25"/>
    <row r="235489" customFormat="1" x14ac:dyDescent="0.25"/>
    <row r="235490" customFormat="1" x14ac:dyDescent="0.25"/>
    <row r="235491" customFormat="1" x14ac:dyDescent="0.25"/>
    <row r="235492" customFormat="1" x14ac:dyDescent="0.25"/>
    <row r="235493" customFormat="1" x14ac:dyDescent="0.25"/>
    <row r="235494" customFormat="1" x14ac:dyDescent="0.25"/>
    <row r="235495" customFormat="1" x14ac:dyDescent="0.25"/>
    <row r="235496" customFormat="1" x14ac:dyDescent="0.25"/>
    <row r="235497" customFormat="1" x14ac:dyDescent="0.25"/>
    <row r="235498" customFormat="1" x14ac:dyDescent="0.25"/>
    <row r="235499" customFormat="1" x14ac:dyDescent="0.25"/>
    <row r="235500" customFormat="1" x14ac:dyDescent="0.25"/>
    <row r="235501" customFormat="1" x14ac:dyDescent="0.25"/>
    <row r="235502" customFormat="1" x14ac:dyDescent="0.25"/>
    <row r="235503" customFormat="1" x14ac:dyDescent="0.25"/>
    <row r="235504" customFormat="1" x14ac:dyDescent="0.25"/>
    <row r="235505" customFormat="1" x14ac:dyDescent="0.25"/>
    <row r="235506" customFormat="1" x14ac:dyDescent="0.25"/>
    <row r="235507" customFormat="1" x14ac:dyDescent="0.25"/>
    <row r="235508" customFormat="1" x14ac:dyDescent="0.25"/>
    <row r="235509" customFormat="1" x14ac:dyDescent="0.25"/>
    <row r="235510" customFormat="1" x14ac:dyDescent="0.25"/>
    <row r="235511" customFormat="1" x14ac:dyDescent="0.25"/>
    <row r="235512" customFormat="1" x14ac:dyDescent="0.25"/>
    <row r="235513" customFormat="1" x14ac:dyDescent="0.25"/>
    <row r="235514" customFormat="1" x14ac:dyDescent="0.25"/>
    <row r="235515" customFormat="1" x14ac:dyDescent="0.25"/>
    <row r="235516" customFormat="1" x14ac:dyDescent="0.25"/>
    <row r="235517" customFormat="1" x14ac:dyDescent="0.25"/>
    <row r="235518" customFormat="1" x14ac:dyDescent="0.25"/>
    <row r="235519" customFormat="1" x14ac:dyDescent="0.25"/>
    <row r="235520" customFormat="1" x14ac:dyDescent="0.25"/>
    <row r="235521" customFormat="1" x14ac:dyDescent="0.25"/>
    <row r="235522" customFormat="1" x14ac:dyDescent="0.25"/>
    <row r="235523" customFormat="1" x14ac:dyDescent="0.25"/>
    <row r="235524" customFormat="1" x14ac:dyDescent="0.25"/>
    <row r="235525" customFormat="1" x14ac:dyDescent="0.25"/>
    <row r="235526" customFormat="1" x14ac:dyDescent="0.25"/>
    <row r="235527" customFormat="1" x14ac:dyDescent="0.25"/>
    <row r="235528" customFormat="1" x14ac:dyDescent="0.25"/>
    <row r="235529" customFormat="1" x14ac:dyDescent="0.25"/>
    <row r="235530" customFormat="1" x14ac:dyDescent="0.25"/>
    <row r="235531" customFormat="1" x14ac:dyDescent="0.25"/>
    <row r="235532" customFormat="1" x14ac:dyDescent="0.25"/>
    <row r="235533" customFormat="1" x14ac:dyDescent="0.25"/>
    <row r="235534" customFormat="1" x14ac:dyDescent="0.25"/>
    <row r="235535" customFormat="1" x14ac:dyDescent="0.25"/>
    <row r="235536" customFormat="1" x14ac:dyDescent="0.25"/>
    <row r="235537" customFormat="1" x14ac:dyDescent="0.25"/>
    <row r="235538" customFormat="1" x14ac:dyDescent="0.25"/>
    <row r="235539" customFormat="1" x14ac:dyDescent="0.25"/>
    <row r="235540" customFormat="1" x14ac:dyDescent="0.25"/>
    <row r="235541" customFormat="1" x14ac:dyDescent="0.25"/>
    <row r="235542" customFormat="1" x14ac:dyDescent="0.25"/>
    <row r="235543" customFormat="1" x14ac:dyDescent="0.25"/>
    <row r="235544" customFormat="1" x14ac:dyDescent="0.25"/>
    <row r="235545" customFormat="1" x14ac:dyDescent="0.25"/>
    <row r="235546" customFormat="1" x14ac:dyDescent="0.25"/>
    <row r="235547" customFormat="1" x14ac:dyDescent="0.25"/>
    <row r="235548" customFormat="1" x14ac:dyDescent="0.25"/>
    <row r="235549" customFormat="1" x14ac:dyDescent="0.25"/>
    <row r="235550" customFormat="1" x14ac:dyDescent="0.25"/>
    <row r="235551" customFormat="1" x14ac:dyDescent="0.25"/>
    <row r="235552" customFormat="1" x14ac:dyDescent="0.25"/>
    <row r="235553" customFormat="1" x14ac:dyDescent="0.25"/>
    <row r="235554" customFormat="1" x14ac:dyDescent="0.25"/>
    <row r="235555" customFormat="1" x14ac:dyDescent="0.25"/>
    <row r="235556" customFormat="1" x14ac:dyDescent="0.25"/>
    <row r="235557" customFormat="1" x14ac:dyDescent="0.25"/>
    <row r="235558" customFormat="1" x14ac:dyDescent="0.25"/>
    <row r="235559" customFormat="1" x14ac:dyDescent="0.25"/>
    <row r="235560" customFormat="1" x14ac:dyDescent="0.25"/>
    <row r="235561" customFormat="1" x14ac:dyDescent="0.25"/>
    <row r="235562" customFormat="1" x14ac:dyDescent="0.25"/>
    <row r="235563" customFormat="1" x14ac:dyDescent="0.25"/>
    <row r="235564" customFormat="1" x14ac:dyDescent="0.25"/>
    <row r="235565" customFormat="1" x14ac:dyDescent="0.25"/>
    <row r="235566" customFormat="1" x14ac:dyDescent="0.25"/>
    <row r="235567" customFormat="1" x14ac:dyDescent="0.25"/>
    <row r="235568" customFormat="1" x14ac:dyDescent="0.25"/>
    <row r="235569" customFormat="1" x14ac:dyDescent="0.25"/>
    <row r="235570" customFormat="1" x14ac:dyDescent="0.25"/>
    <row r="235571" customFormat="1" x14ac:dyDescent="0.25"/>
    <row r="235572" customFormat="1" x14ac:dyDescent="0.25"/>
    <row r="235573" customFormat="1" x14ac:dyDescent="0.25"/>
    <row r="235574" customFormat="1" x14ac:dyDescent="0.25"/>
    <row r="235575" customFormat="1" x14ac:dyDescent="0.25"/>
    <row r="235576" customFormat="1" x14ac:dyDescent="0.25"/>
    <row r="235577" customFormat="1" x14ac:dyDescent="0.25"/>
    <row r="235578" customFormat="1" x14ac:dyDescent="0.25"/>
    <row r="235579" customFormat="1" x14ac:dyDescent="0.25"/>
    <row r="235580" customFormat="1" x14ac:dyDescent="0.25"/>
    <row r="235581" customFormat="1" x14ac:dyDescent="0.25"/>
    <row r="235582" customFormat="1" x14ac:dyDescent="0.25"/>
    <row r="235583" customFormat="1" x14ac:dyDescent="0.25"/>
    <row r="235584" customFormat="1" x14ac:dyDescent="0.25"/>
    <row r="235585" customFormat="1" x14ac:dyDescent="0.25"/>
    <row r="235586" customFormat="1" x14ac:dyDescent="0.25"/>
    <row r="235587" customFormat="1" x14ac:dyDescent="0.25"/>
    <row r="235588" customFormat="1" x14ac:dyDescent="0.25"/>
    <row r="235589" customFormat="1" x14ac:dyDescent="0.25"/>
    <row r="235590" customFormat="1" x14ac:dyDescent="0.25"/>
    <row r="235591" customFormat="1" x14ac:dyDescent="0.25"/>
    <row r="235592" customFormat="1" x14ac:dyDescent="0.25"/>
    <row r="235593" customFormat="1" x14ac:dyDescent="0.25"/>
    <row r="235594" customFormat="1" x14ac:dyDescent="0.25"/>
    <row r="235595" customFormat="1" x14ac:dyDescent="0.25"/>
    <row r="235596" customFormat="1" x14ac:dyDescent="0.25"/>
    <row r="235597" customFormat="1" x14ac:dyDescent="0.25"/>
    <row r="235598" customFormat="1" x14ac:dyDescent="0.25"/>
    <row r="235599" customFormat="1" x14ac:dyDescent="0.25"/>
    <row r="235600" customFormat="1" x14ac:dyDescent="0.25"/>
    <row r="235601" customFormat="1" x14ac:dyDescent="0.25"/>
    <row r="235602" customFormat="1" x14ac:dyDescent="0.25"/>
    <row r="235603" customFormat="1" x14ac:dyDescent="0.25"/>
    <row r="235604" customFormat="1" x14ac:dyDescent="0.25"/>
    <row r="235605" customFormat="1" x14ac:dyDescent="0.25"/>
    <row r="235606" customFormat="1" x14ac:dyDescent="0.25"/>
    <row r="235607" customFormat="1" x14ac:dyDescent="0.25"/>
    <row r="235608" customFormat="1" x14ac:dyDescent="0.25"/>
    <row r="235609" customFormat="1" x14ac:dyDescent="0.25"/>
    <row r="235610" customFormat="1" x14ac:dyDescent="0.25"/>
    <row r="235611" customFormat="1" x14ac:dyDescent="0.25"/>
    <row r="235612" customFormat="1" x14ac:dyDescent="0.25"/>
    <row r="235613" customFormat="1" x14ac:dyDescent="0.25"/>
    <row r="235614" customFormat="1" x14ac:dyDescent="0.25"/>
    <row r="235615" customFormat="1" x14ac:dyDescent="0.25"/>
    <row r="235616" customFormat="1" x14ac:dyDescent="0.25"/>
    <row r="235617" customFormat="1" x14ac:dyDescent="0.25"/>
    <row r="235618" customFormat="1" x14ac:dyDescent="0.25"/>
    <row r="235619" customFormat="1" x14ac:dyDescent="0.25"/>
    <row r="235620" customFormat="1" x14ac:dyDescent="0.25"/>
    <row r="235621" customFormat="1" x14ac:dyDescent="0.25"/>
    <row r="235622" customFormat="1" x14ac:dyDescent="0.25"/>
    <row r="235623" customFormat="1" x14ac:dyDescent="0.25"/>
    <row r="235624" customFormat="1" x14ac:dyDescent="0.25"/>
    <row r="235625" customFormat="1" x14ac:dyDescent="0.25"/>
    <row r="235626" customFormat="1" x14ac:dyDescent="0.25"/>
    <row r="235627" customFormat="1" x14ac:dyDescent="0.25"/>
    <row r="235628" customFormat="1" x14ac:dyDescent="0.25"/>
    <row r="235629" customFormat="1" x14ac:dyDescent="0.25"/>
    <row r="235630" customFormat="1" x14ac:dyDescent="0.25"/>
    <row r="235631" customFormat="1" x14ac:dyDescent="0.25"/>
    <row r="235632" customFormat="1" x14ac:dyDescent="0.25"/>
    <row r="235633" customFormat="1" x14ac:dyDescent="0.25"/>
    <row r="235634" customFormat="1" x14ac:dyDescent="0.25"/>
    <row r="235635" customFormat="1" x14ac:dyDescent="0.25"/>
    <row r="235636" customFormat="1" x14ac:dyDescent="0.25"/>
    <row r="235637" customFormat="1" x14ac:dyDescent="0.25"/>
    <row r="235638" customFormat="1" x14ac:dyDescent="0.25"/>
    <row r="235639" customFormat="1" x14ac:dyDescent="0.25"/>
    <row r="235640" customFormat="1" x14ac:dyDescent="0.25"/>
    <row r="235641" customFormat="1" x14ac:dyDescent="0.25"/>
    <row r="235642" customFormat="1" x14ac:dyDescent="0.25"/>
    <row r="235643" customFormat="1" x14ac:dyDescent="0.25"/>
    <row r="235644" customFormat="1" x14ac:dyDescent="0.25"/>
    <row r="235645" customFormat="1" x14ac:dyDescent="0.25"/>
    <row r="235646" customFormat="1" x14ac:dyDescent="0.25"/>
    <row r="235647" customFormat="1" x14ac:dyDescent="0.25"/>
    <row r="235648" customFormat="1" x14ac:dyDescent="0.25"/>
    <row r="235649" customFormat="1" x14ac:dyDescent="0.25"/>
    <row r="235650" customFormat="1" x14ac:dyDescent="0.25"/>
    <row r="235651" customFormat="1" x14ac:dyDescent="0.25"/>
    <row r="235652" customFormat="1" x14ac:dyDescent="0.25"/>
    <row r="235653" customFormat="1" x14ac:dyDescent="0.25"/>
    <row r="235654" customFormat="1" x14ac:dyDescent="0.25"/>
    <row r="235655" customFormat="1" x14ac:dyDescent="0.25"/>
    <row r="235656" customFormat="1" x14ac:dyDescent="0.25"/>
    <row r="235657" customFormat="1" x14ac:dyDescent="0.25"/>
    <row r="235658" customFormat="1" x14ac:dyDescent="0.25"/>
    <row r="235659" customFormat="1" x14ac:dyDescent="0.25"/>
    <row r="235660" customFormat="1" x14ac:dyDescent="0.25"/>
    <row r="235661" customFormat="1" x14ac:dyDescent="0.25"/>
    <row r="235662" customFormat="1" x14ac:dyDescent="0.25"/>
    <row r="235663" customFormat="1" x14ac:dyDescent="0.25"/>
    <row r="235664" customFormat="1" x14ac:dyDescent="0.25"/>
    <row r="235665" customFormat="1" x14ac:dyDescent="0.25"/>
    <row r="235666" customFormat="1" x14ac:dyDescent="0.25"/>
    <row r="235667" customFormat="1" x14ac:dyDescent="0.25"/>
    <row r="235668" customFormat="1" x14ac:dyDescent="0.25"/>
    <row r="235669" customFormat="1" x14ac:dyDescent="0.25"/>
    <row r="235670" customFormat="1" x14ac:dyDescent="0.25"/>
    <row r="235671" customFormat="1" x14ac:dyDescent="0.25"/>
    <row r="235672" customFormat="1" x14ac:dyDescent="0.25"/>
    <row r="235673" customFormat="1" x14ac:dyDescent="0.25"/>
    <row r="235674" customFormat="1" x14ac:dyDescent="0.25"/>
    <row r="235675" customFormat="1" x14ac:dyDescent="0.25"/>
    <row r="235676" customFormat="1" x14ac:dyDescent="0.25"/>
    <row r="235677" customFormat="1" x14ac:dyDescent="0.25"/>
    <row r="235678" customFormat="1" x14ac:dyDescent="0.25"/>
    <row r="235679" customFormat="1" x14ac:dyDescent="0.25"/>
    <row r="235680" customFormat="1" x14ac:dyDescent="0.25"/>
    <row r="235681" customFormat="1" x14ac:dyDescent="0.25"/>
    <row r="235682" customFormat="1" x14ac:dyDescent="0.25"/>
    <row r="235683" customFormat="1" x14ac:dyDescent="0.25"/>
    <row r="235684" customFormat="1" x14ac:dyDescent="0.25"/>
    <row r="235685" customFormat="1" x14ac:dyDescent="0.25"/>
    <row r="235686" customFormat="1" x14ac:dyDescent="0.25"/>
    <row r="235687" customFormat="1" x14ac:dyDescent="0.25"/>
    <row r="235688" customFormat="1" x14ac:dyDescent="0.25"/>
    <row r="235689" customFormat="1" x14ac:dyDescent="0.25"/>
    <row r="235690" customFormat="1" x14ac:dyDescent="0.25"/>
    <row r="235691" customFormat="1" x14ac:dyDescent="0.25"/>
    <row r="235692" customFormat="1" x14ac:dyDescent="0.25"/>
    <row r="235693" customFormat="1" x14ac:dyDescent="0.25"/>
    <row r="235694" customFormat="1" x14ac:dyDescent="0.25"/>
    <row r="235695" customFormat="1" x14ac:dyDescent="0.25"/>
    <row r="235696" customFormat="1" x14ac:dyDescent="0.25"/>
    <row r="235697" customFormat="1" x14ac:dyDescent="0.25"/>
    <row r="235698" customFormat="1" x14ac:dyDescent="0.25"/>
    <row r="235699" customFormat="1" x14ac:dyDescent="0.25"/>
    <row r="235700" customFormat="1" x14ac:dyDescent="0.25"/>
    <row r="235701" customFormat="1" x14ac:dyDescent="0.25"/>
    <row r="235702" customFormat="1" x14ac:dyDescent="0.25"/>
    <row r="235703" customFormat="1" x14ac:dyDescent="0.25"/>
    <row r="235704" customFormat="1" x14ac:dyDescent="0.25"/>
    <row r="235705" customFormat="1" x14ac:dyDescent="0.25"/>
    <row r="235706" customFormat="1" x14ac:dyDescent="0.25"/>
    <row r="235707" customFormat="1" x14ac:dyDescent="0.25"/>
    <row r="235708" customFormat="1" x14ac:dyDescent="0.25"/>
    <row r="235709" customFormat="1" x14ac:dyDescent="0.25"/>
    <row r="235710" customFormat="1" x14ac:dyDescent="0.25"/>
    <row r="235711" customFormat="1" x14ac:dyDescent="0.25"/>
    <row r="235712" customFormat="1" x14ac:dyDescent="0.25"/>
    <row r="235713" customFormat="1" x14ac:dyDescent="0.25"/>
    <row r="235714" customFormat="1" x14ac:dyDescent="0.25"/>
    <row r="235715" customFormat="1" x14ac:dyDescent="0.25"/>
    <row r="235716" customFormat="1" x14ac:dyDescent="0.25"/>
    <row r="235717" customFormat="1" x14ac:dyDescent="0.25"/>
    <row r="235718" customFormat="1" x14ac:dyDescent="0.25"/>
    <row r="235719" customFormat="1" x14ac:dyDescent="0.25"/>
    <row r="235720" customFormat="1" x14ac:dyDescent="0.25"/>
    <row r="235721" customFormat="1" x14ac:dyDescent="0.25"/>
    <row r="235722" customFormat="1" x14ac:dyDescent="0.25"/>
    <row r="235723" customFormat="1" x14ac:dyDescent="0.25"/>
    <row r="235724" customFormat="1" x14ac:dyDescent="0.25"/>
    <row r="235725" customFormat="1" x14ac:dyDescent="0.25"/>
    <row r="235726" customFormat="1" x14ac:dyDescent="0.25"/>
    <row r="235727" customFormat="1" x14ac:dyDescent="0.25"/>
    <row r="235728" customFormat="1" x14ac:dyDescent="0.25"/>
    <row r="235729" customFormat="1" x14ac:dyDescent="0.25"/>
    <row r="235730" customFormat="1" x14ac:dyDescent="0.25"/>
    <row r="235731" customFormat="1" x14ac:dyDescent="0.25"/>
    <row r="235732" customFormat="1" x14ac:dyDescent="0.25"/>
    <row r="235733" customFormat="1" x14ac:dyDescent="0.25"/>
    <row r="235734" customFormat="1" x14ac:dyDescent="0.25"/>
    <row r="235735" customFormat="1" x14ac:dyDescent="0.25"/>
    <row r="235736" customFormat="1" x14ac:dyDescent="0.25"/>
    <row r="235737" customFormat="1" x14ac:dyDescent="0.25"/>
    <row r="235738" customFormat="1" x14ac:dyDescent="0.25"/>
    <row r="235739" customFormat="1" x14ac:dyDescent="0.25"/>
    <row r="235740" customFormat="1" x14ac:dyDescent="0.25"/>
    <row r="235741" customFormat="1" x14ac:dyDescent="0.25"/>
    <row r="235742" customFormat="1" x14ac:dyDescent="0.25"/>
    <row r="235743" customFormat="1" x14ac:dyDescent="0.25"/>
    <row r="235744" customFormat="1" x14ac:dyDescent="0.25"/>
    <row r="235745" customFormat="1" x14ac:dyDescent="0.25"/>
    <row r="235746" customFormat="1" x14ac:dyDescent="0.25"/>
    <row r="235747" customFormat="1" x14ac:dyDescent="0.25"/>
    <row r="235748" customFormat="1" x14ac:dyDescent="0.25"/>
    <row r="235749" customFormat="1" x14ac:dyDescent="0.25"/>
    <row r="235750" customFormat="1" x14ac:dyDescent="0.25"/>
    <row r="235751" customFormat="1" x14ac:dyDescent="0.25"/>
    <row r="235752" customFormat="1" x14ac:dyDescent="0.25"/>
    <row r="235753" customFormat="1" x14ac:dyDescent="0.25"/>
    <row r="235754" customFormat="1" x14ac:dyDescent="0.25"/>
    <row r="235755" customFormat="1" x14ac:dyDescent="0.25"/>
    <row r="235756" customFormat="1" x14ac:dyDescent="0.25"/>
    <row r="235757" customFormat="1" x14ac:dyDescent="0.25"/>
    <row r="235758" customFormat="1" x14ac:dyDescent="0.25"/>
    <row r="235759" customFormat="1" x14ac:dyDescent="0.25"/>
    <row r="235760" customFormat="1" x14ac:dyDescent="0.25"/>
    <row r="235761" customFormat="1" x14ac:dyDescent="0.25"/>
    <row r="235762" customFormat="1" x14ac:dyDescent="0.25"/>
    <row r="235763" customFormat="1" x14ac:dyDescent="0.25"/>
    <row r="235764" customFormat="1" x14ac:dyDescent="0.25"/>
    <row r="235765" customFormat="1" x14ac:dyDescent="0.25"/>
    <row r="235766" customFormat="1" x14ac:dyDescent="0.25"/>
    <row r="235767" customFormat="1" x14ac:dyDescent="0.25"/>
    <row r="235768" customFormat="1" x14ac:dyDescent="0.25"/>
    <row r="235769" customFormat="1" x14ac:dyDescent="0.25"/>
    <row r="235770" customFormat="1" x14ac:dyDescent="0.25"/>
    <row r="235771" customFormat="1" x14ac:dyDescent="0.25"/>
    <row r="235772" customFormat="1" x14ac:dyDescent="0.25"/>
    <row r="235773" customFormat="1" x14ac:dyDescent="0.25"/>
    <row r="235774" customFormat="1" x14ac:dyDescent="0.25"/>
    <row r="235775" customFormat="1" x14ac:dyDescent="0.25"/>
    <row r="235776" customFormat="1" x14ac:dyDescent="0.25"/>
    <row r="235777" customFormat="1" x14ac:dyDescent="0.25"/>
    <row r="235778" customFormat="1" x14ac:dyDescent="0.25"/>
    <row r="235779" customFormat="1" x14ac:dyDescent="0.25"/>
    <row r="235780" customFormat="1" x14ac:dyDescent="0.25"/>
    <row r="235781" customFormat="1" x14ac:dyDescent="0.25"/>
    <row r="235782" customFormat="1" x14ac:dyDescent="0.25"/>
    <row r="235783" customFormat="1" x14ac:dyDescent="0.25"/>
    <row r="235784" customFormat="1" x14ac:dyDescent="0.25"/>
    <row r="235785" customFormat="1" x14ac:dyDescent="0.25"/>
    <row r="235786" customFormat="1" x14ac:dyDescent="0.25"/>
    <row r="235787" customFormat="1" x14ac:dyDescent="0.25"/>
    <row r="235788" customFormat="1" x14ac:dyDescent="0.25"/>
    <row r="235789" customFormat="1" x14ac:dyDescent="0.25"/>
    <row r="235790" customFormat="1" x14ac:dyDescent="0.25"/>
    <row r="235791" customFormat="1" x14ac:dyDescent="0.25"/>
    <row r="235792" customFormat="1" x14ac:dyDescent="0.25"/>
    <row r="235793" customFormat="1" x14ac:dyDescent="0.25"/>
    <row r="235794" customFormat="1" x14ac:dyDescent="0.25"/>
    <row r="235795" customFormat="1" x14ac:dyDescent="0.25"/>
    <row r="235796" customFormat="1" x14ac:dyDescent="0.25"/>
    <row r="235797" customFormat="1" x14ac:dyDescent="0.25"/>
    <row r="235798" customFormat="1" x14ac:dyDescent="0.25"/>
    <row r="235799" customFormat="1" x14ac:dyDescent="0.25"/>
    <row r="235800" customFormat="1" x14ac:dyDescent="0.25"/>
    <row r="235801" customFormat="1" x14ac:dyDescent="0.25"/>
    <row r="235802" customFormat="1" x14ac:dyDescent="0.25"/>
    <row r="235803" customFormat="1" x14ac:dyDescent="0.25"/>
    <row r="235804" customFormat="1" x14ac:dyDescent="0.25"/>
    <row r="235805" customFormat="1" x14ac:dyDescent="0.25"/>
    <row r="235806" customFormat="1" x14ac:dyDescent="0.25"/>
    <row r="235807" customFormat="1" x14ac:dyDescent="0.25"/>
    <row r="235808" customFormat="1" x14ac:dyDescent="0.25"/>
    <row r="235809" customFormat="1" x14ac:dyDescent="0.25"/>
    <row r="235810" customFormat="1" x14ac:dyDescent="0.25"/>
    <row r="235811" customFormat="1" x14ac:dyDescent="0.25"/>
    <row r="235812" customFormat="1" x14ac:dyDescent="0.25"/>
    <row r="235813" customFormat="1" x14ac:dyDescent="0.25"/>
    <row r="235814" customFormat="1" x14ac:dyDescent="0.25"/>
    <row r="235815" customFormat="1" x14ac:dyDescent="0.25"/>
    <row r="235816" customFormat="1" x14ac:dyDescent="0.25"/>
    <row r="235817" customFormat="1" x14ac:dyDescent="0.25"/>
    <row r="235818" customFormat="1" x14ac:dyDescent="0.25"/>
    <row r="235819" customFormat="1" x14ac:dyDescent="0.25"/>
    <row r="235820" customFormat="1" x14ac:dyDescent="0.25"/>
    <row r="235821" customFormat="1" x14ac:dyDescent="0.25"/>
    <row r="235822" customFormat="1" x14ac:dyDescent="0.25"/>
    <row r="235823" customFormat="1" x14ac:dyDescent="0.25"/>
    <row r="235824" customFormat="1" x14ac:dyDescent="0.25"/>
    <row r="235825" customFormat="1" x14ac:dyDescent="0.25"/>
    <row r="235826" customFormat="1" x14ac:dyDescent="0.25"/>
    <row r="235827" customFormat="1" x14ac:dyDescent="0.25"/>
    <row r="235828" customFormat="1" x14ac:dyDescent="0.25"/>
    <row r="235829" customFormat="1" x14ac:dyDescent="0.25"/>
    <row r="235830" customFormat="1" x14ac:dyDescent="0.25"/>
    <row r="235831" customFormat="1" x14ac:dyDescent="0.25"/>
    <row r="235832" customFormat="1" x14ac:dyDescent="0.25"/>
    <row r="235833" customFormat="1" x14ac:dyDescent="0.25"/>
    <row r="235834" customFormat="1" x14ac:dyDescent="0.25"/>
    <row r="235835" customFormat="1" x14ac:dyDescent="0.25"/>
    <row r="235836" customFormat="1" x14ac:dyDescent="0.25"/>
    <row r="235837" customFormat="1" x14ac:dyDescent="0.25"/>
    <row r="235838" customFormat="1" x14ac:dyDescent="0.25"/>
    <row r="235839" customFormat="1" x14ac:dyDescent="0.25"/>
    <row r="235840" customFormat="1" x14ac:dyDescent="0.25"/>
    <row r="235841" customFormat="1" x14ac:dyDescent="0.25"/>
    <row r="235842" customFormat="1" x14ac:dyDescent="0.25"/>
    <row r="235843" customFormat="1" x14ac:dyDescent="0.25"/>
    <row r="235844" customFormat="1" x14ac:dyDescent="0.25"/>
    <row r="235845" customFormat="1" x14ac:dyDescent="0.25"/>
    <row r="235846" customFormat="1" x14ac:dyDescent="0.25"/>
    <row r="235847" customFormat="1" x14ac:dyDescent="0.25"/>
    <row r="235848" customFormat="1" x14ac:dyDescent="0.25"/>
    <row r="235849" customFormat="1" x14ac:dyDescent="0.25"/>
    <row r="235850" customFormat="1" x14ac:dyDescent="0.25"/>
    <row r="235851" customFormat="1" x14ac:dyDescent="0.25"/>
    <row r="235852" customFormat="1" x14ac:dyDescent="0.25"/>
    <row r="235853" customFormat="1" x14ac:dyDescent="0.25"/>
    <row r="235854" customFormat="1" x14ac:dyDescent="0.25"/>
    <row r="235855" customFormat="1" x14ac:dyDescent="0.25"/>
    <row r="235856" customFormat="1" x14ac:dyDescent="0.25"/>
    <row r="235857" customFormat="1" x14ac:dyDescent="0.25"/>
    <row r="235858" customFormat="1" x14ac:dyDescent="0.25"/>
    <row r="235859" customFormat="1" x14ac:dyDescent="0.25"/>
    <row r="235860" customFormat="1" x14ac:dyDescent="0.25"/>
    <row r="235861" customFormat="1" x14ac:dyDescent="0.25"/>
    <row r="235862" customFormat="1" x14ac:dyDescent="0.25"/>
    <row r="235863" customFormat="1" x14ac:dyDescent="0.25"/>
    <row r="235864" customFormat="1" x14ac:dyDescent="0.25"/>
    <row r="235865" customFormat="1" x14ac:dyDescent="0.25"/>
    <row r="235866" customFormat="1" x14ac:dyDescent="0.25"/>
    <row r="235867" customFormat="1" x14ac:dyDescent="0.25"/>
    <row r="235868" customFormat="1" x14ac:dyDescent="0.25"/>
    <row r="235869" customFormat="1" x14ac:dyDescent="0.25"/>
    <row r="235870" customFormat="1" x14ac:dyDescent="0.25"/>
    <row r="235871" customFormat="1" x14ac:dyDescent="0.25"/>
    <row r="235872" customFormat="1" x14ac:dyDescent="0.25"/>
    <row r="235873" customFormat="1" x14ac:dyDescent="0.25"/>
    <row r="235874" customFormat="1" x14ac:dyDescent="0.25"/>
    <row r="235875" customFormat="1" x14ac:dyDescent="0.25"/>
    <row r="235876" customFormat="1" x14ac:dyDescent="0.25"/>
    <row r="235877" customFormat="1" x14ac:dyDescent="0.25"/>
    <row r="235878" customFormat="1" x14ac:dyDescent="0.25"/>
    <row r="235879" customFormat="1" x14ac:dyDescent="0.25"/>
    <row r="235880" customFormat="1" x14ac:dyDescent="0.25"/>
    <row r="235881" customFormat="1" x14ac:dyDescent="0.25"/>
    <row r="235882" customFormat="1" x14ac:dyDescent="0.25"/>
    <row r="235883" customFormat="1" x14ac:dyDescent="0.25"/>
    <row r="235884" customFormat="1" x14ac:dyDescent="0.25"/>
    <row r="235885" customFormat="1" x14ac:dyDescent="0.25"/>
    <row r="235886" customFormat="1" x14ac:dyDescent="0.25"/>
    <row r="235887" customFormat="1" x14ac:dyDescent="0.25"/>
    <row r="235888" customFormat="1" x14ac:dyDescent="0.25"/>
    <row r="235889" customFormat="1" x14ac:dyDescent="0.25"/>
    <row r="235890" customFormat="1" x14ac:dyDescent="0.25"/>
    <row r="235891" customFormat="1" x14ac:dyDescent="0.25"/>
    <row r="235892" customFormat="1" x14ac:dyDescent="0.25"/>
    <row r="235893" customFormat="1" x14ac:dyDescent="0.25"/>
    <row r="235894" customFormat="1" x14ac:dyDescent="0.25"/>
    <row r="235895" customFormat="1" x14ac:dyDescent="0.25"/>
    <row r="235896" customFormat="1" x14ac:dyDescent="0.25"/>
    <row r="235897" customFormat="1" x14ac:dyDescent="0.25"/>
    <row r="235898" customFormat="1" x14ac:dyDescent="0.25"/>
    <row r="235899" customFormat="1" x14ac:dyDescent="0.25"/>
    <row r="235900" customFormat="1" x14ac:dyDescent="0.25"/>
    <row r="235901" customFormat="1" x14ac:dyDescent="0.25"/>
    <row r="235902" customFormat="1" x14ac:dyDescent="0.25"/>
    <row r="235903" customFormat="1" x14ac:dyDescent="0.25"/>
    <row r="235904" customFormat="1" x14ac:dyDescent="0.25"/>
    <row r="235905" customFormat="1" x14ac:dyDescent="0.25"/>
    <row r="235906" customFormat="1" x14ac:dyDescent="0.25"/>
    <row r="235907" customFormat="1" x14ac:dyDescent="0.25"/>
    <row r="235908" customFormat="1" x14ac:dyDescent="0.25"/>
    <row r="235909" customFormat="1" x14ac:dyDescent="0.25"/>
    <row r="235910" customFormat="1" x14ac:dyDescent="0.25"/>
    <row r="235911" customFormat="1" x14ac:dyDescent="0.25"/>
    <row r="235912" customFormat="1" x14ac:dyDescent="0.25"/>
    <row r="235913" customFormat="1" x14ac:dyDescent="0.25"/>
    <row r="235914" customFormat="1" x14ac:dyDescent="0.25"/>
    <row r="235915" customFormat="1" x14ac:dyDescent="0.25"/>
    <row r="235916" customFormat="1" x14ac:dyDescent="0.25"/>
    <row r="235917" customFormat="1" x14ac:dyDescent="0.25"/>
    <row r="235918" customFormat="1" x14ac:dyDescent="0.25"/>
    <row r="235919" customFormat="1" x14ac:dyDescent="0.25"/>
    <row r="235920" customFormat="1" x14ac:dyDescent="0.25"/>
    <row r="235921" customFormat="1" x14ac:dyDescent="0.25"/>
    <row r="235922" customFormat="1" x14ac:dyDescent="0.25"/>
    <row r="235923" customFormat="1" x14ac:dyDescent="0.25"/>
    <row r="235924" customFormat="1" x14ac:dyDescent="0.25"/>
    <row r="235925" customFormat="1" x14ac:dyDescent="0.25"/>
    <row r="235926" customFormat="1" x14ac:dyDescent="0.25"/>
    <row r="235927" customFormat="1" x14ac:dyDescent="0.25"/>
    <row r="235928" customFormat="1" x14ac:dyDescent="0.25"/>
    <row r="235929" customFormat="1" x14ac:dyDescent="0.25"/>
    <row r="235930" customFormat="1" x14ac:dyDescent="0.25"/>
    <row r="235931" customFormat="1" x14ac:dyDescent="0.25"/>
    <row r="235932" customFormat="1" x14ac:dyDescent="0.25"/>
    <row r="235933" customFormat="1" x14ac:dyDescent="0.25"/>
    <row r="235934" customFormat="1" x14ac:dyDescent="0.25"/>
    <row r="235935" customFormat="1" x14ac:dyDescent="0.25"/>
    <row r="235936" customFormat="1" x14ac:dyDescent="0.25"/>
    <row r="235937" customFormat="1" x14ac:dyDescent="0.25"/>
    <row r="235938" customFormat="1" x14ac:dyDescent="0.25"/>
    <row r="235939" customFormat="1" x14ac:dyDescent="0.25"/>
    <row r="235940" customFormat="1" x14ac:dyDescent="0.25"/>
    <row r="235941" customFormat="1" x14ac:dyDescent="0.25"/>
    <row r="235942" customFormat="1" x14ac:dyDescent="0.25"/>
    <row r="235943" customFormat="1" x14ac:dyDescent="0.25"/>
    <row r="235944" customFormat="1" x14ac:dyDescent="0.25"/>
    <row r="235945" customFormat="1" x14ac:dyDescent="0.25"/>
    <row r="235946" customFormat="1" x14ac:dyDescent="0.25"/>
    <row r="235947" customFormat="1" x14ac:dyDescent="0.25"/>
    <row r="235948" customFormat="1" x14ac:dyDescent="0.25"/>
    <row r="235949" customFormat="1" x14ac:dyDescent="0.25"/>
    <row r="235950" customFormat="1" x14ac:dyDescent="0.25"/>
    <row r="235951" customFormat="1" x14ac:dyDescent="0.25"/>
    <row r="235952" customFormat="1" x14ac:dyDescent="0.25"/>
    <row r="235953" customFormat="1" x14ac:dyDescent="0.25"/>
    <row r="235954" customFormat="1" x14ac:dyDescent="0.25"/>
    <row r="235955" customFormat="1" x14ac:dyDescent="0.25"/>
    <row r="235956" customFormat="1" x14ac:dyDescent="0.25"/>
    <row r="235957" customFormat="1" x14ac:dyDescent="0.25"/>
    <row r="235958" customFormat="1" x14ac:dyDescent="0.25"/>
    <row r="235959" customFormat="1" x14ac:dyDescent="0.25"/>
    <row r="235960" customFormat="1" x14ac:dyDescent="0.25"/>
    <row r="235961" customFormat="1" x14ac:dyDescent="0.25"/>
    <row r="235962" customFormat="1" x14ac:dyDescent="0.25"/>
    <row r="235963" customFormat="1" x14ac:dyDescent="0.25"/>
    <row r="235964" customFormat="1" x14ac:dyDescent="0.25"/>
    <row r="235965" customFormat="1" x14ac:dyDescent="0.25"/>
    <row r="235966" customFormat="1" x14ac:dyDescent="0.25"/>
    <row r="235967" customFormat="1" x14ac:dyDescent="0.25"/>
    <row r="235968" customFormat="1" x14ac:dyDescent="0.25"/>
    <row r="235969" customFormat="1" x14ac:dyDescent="0.25"/>
    <row r="235970" customFormat="1" x14ac:dyDescent="0.25"/>
    <row r="235971" customFormat="1" x14ac:dyDescent="0.25"/>
    <row r="235972" customFormat="1" x14ac:dyDescent="0.25"/>
    <row r="235973" customFormat="1" x14ac:dyDescent="0.25"/>
    <row r="235974" customFormat="1" x14ac:dyDescent="0.25"/>
    <row r="235975" customFormat="1" x14ac:dyDescent="0.25"/>
    <row r="235976" customFormat="1" x14ac:dyDescent="0.25"/>
    <row r="235977" customFormat="1" x14ac:dyDescent="0.25"/>
    <row r="235978" customFormat="1" x14ac:dyDescent="0.25"/>
    <row r="235979" customFormat="1" x14ac:dyDescent="0.25"/>
    <row r="235980" customFormat="1" x14ac:dyDescent="0.25"/>
    <row r="235981" customFormat="1" x14ac:dyDescent="0.25"/>
    <row r="235982" customFormat="1" x14ac:dyDescent="0.25"/>
    <row r="235983" customFormat="1" x14ac:dyDescent="0.25"/>
    <row r="235984" customFormat="1" x14ac:dyDescent="0.25"/>
    <row r="235985" customFormat="1" x14ac:dyDescent="0.25"/>
    <row r="235986" customFormat="1" x14ac:dyDescent="0.25"/>
    <row r="235987" customFormat="1" x14ac:dyDescent="0.25"/>
    <row r="235988" customFormat="1" x14ac:dyDescent="0.25"/>
    <row r="235989" customFormat="1" x14ac:dyDescent="0.25"/>
    <row r="235990" customFormat="1" x14ac:dyDescent="0.25"/>
    <row r="235991" customFormat="1" x14ac:dyDescent="0.25"/>
    <row r="235992" customFormat="1" x14ac:dyDescent="0.25"/>
    <row r="235993" customFormat="1" x14ac:dyDescent="0.25"/>
    <row r="235994" customFormat="1" x14ac:dyDescent="0.25"/>
    <row r="235995" customFormat="1" x14ac:dyDescent="0.25"/>
    <row r="235996" customFormat="1" x14ac:dyDescent="0.25"/>
    <row r="235997" customFormat="1" x14ac:dyDescent="0.25"/>
    <row r="235998" customFormat="1" x14ac:dyDescent="0.25"/>
    <row r="235999" customFormat="1" x14ac:dyDescent="0.25"/>
    <row r="236000" customFormat="1" x14ac:dyDescent="0.25"/>
    <row r="236001" customFormat="1" x14ac:dyDescent="0.25"/>
    <row r="236002" customFormat="1" x14ac:dyDescent="0.25"/>
    <row r="236003" customFormat="1" x14ac:dyDescent="0.25"/>
    <row r="236004" customFormat="1" x14ac:dyDescent="0.25"/>
    <row r="236005" customFormat="1" x14ac:dyDescent="0.25"/>
    <row r="236006" customFormat="1" x14ac:dyDescent="0.25"/>
    <row r="236007" customFormat="1" x14ac:dyDescent="0.25"/>
    <row r="236008" customFormat="1" x14ac:dyDescent="0.25"/>
    <row r="236009" customFormat="1" x14ac:dyDescent="0.25"/>
    <row r="236010" customFormat="1" x14ac:dyDescent="0.25"/>
    <row r="236011" customFormat="1" x14ac:dyDescent="0.25"/>
    <row r="236012" customFormat="1" x14ac:dyDescent="0.25"/>
    <row r="236013" customFormat="1" x14ac:dyDescent="0.25"/>
    <row r="236014" customFormat="1" x14ac:dyDescent="0.25"/>
    <row r="236015" customFormat="1" x14ac:dyDescent="0.25"/>
    <row r="236016" customFormat="1" x14ac:dyDescent="0.25"/>
    <row r="236017" customFormat="1" x14ac:dyDescent="0.25"/>
    <row r="236018" customFormat="1" x14ac:dyDescent="0.25"/>
    <row r="236019" customFormat="1" x14ac:dyDescent="0.25"/>
    <row r="236020" customFormat="1" x14ac:dyDescent="0.25"/>
    <row r="236021" customFormat="1" x14ac:dyDescent="0.25"/>
    <row r="236022" customFormat="1" x14ac:dyDescent="0.25"/>
    <row r="236023" customFormat="1" x14ac:dyDescent="0.25"/>
    <row r="236024" customFormat="1" x14ac:dyDescent="0.25"/>
    <row r="236025" customFormat="1" x14ac:dyDescent="0.25"/>
    <row r="236026" customFormat="1" x14ac:dyDescent="0.25"/>
    <row r="236027" customFormat="1" x14ac:dyDescent="0.25"/>
    <row r="236028" customFormat="1" x14ac:dyDescent="0.25"/>
    <row r="236029" customFormat="1" x14ac:dyDescent="0.25"/>
    <row r="236030" customFormat="1" x14ac:dyDescent="0.25"/>
    <row r="236031" customFormat="1" x14ac:dyDescent="0.25"/>
    <row r="236032" customFormat="1" x14ac:dyDescent="0.25"/>
    <row r="236033" customFormat="1" x14ac:dyDescent="0.25"/>
    <row r="236034" customFormat="1" x14ac:dyDescent="0.25"/>
    <row r="236035" customFormat="1" x14ac:dyDescent="0.25"/>
    <row r="236036" customFormat="1" x14ac:dyDescent="0.25"/>
    <row r="236037" customFormat="1" x14ac:dyDescent="0.25"/>
    <row r="236038" customFormat="1" x14ac:dyDescent="0.25"/>
    <row r="236039" customFormat="1" x14ac:dyDescent="0.25"/>
    <row r="236040" customFormat="1" x14ac:dyDescent="0.25"/>
    <row r="236041" customFormat="1" x14ac:dyDescent="0.25"/>
    <row r="236042" customFormat="1" x14ac:dyDescent="0.25"/>
    <row r="236043" customFormat="1" x14ac:dyDescent="0.25"/>
    <row r="236044" customFormat="1" x14ac:dyDescent="0.25"/>
    <row r="236045" customFormat="1" x14ac:dyDescent="0.25"/>
    <row r="236046" customFormat="1" x14ac:dyDescent="0.25"/>
    <row r="236047" customFormat="1" x14ac:dyDescent="0.25"/>
    <row r="236048" customFormat="1" x14ac:dyDescent="0.25"/>
    <row r="236049" customFormat="1" x14ac:dyDescent="0.25"/>
    <row r="236050" customFormat="1" x14ac:dyDescent="0.25"/>
    <row r="236051" customFormat="1" x14ac:dyDescent="0.25"/>
    <row r="236052" customFormat="1" x14ac:dyDescent="0.25"/>
    <row r="236053" customFormat="1" x14ac:dyDescent="0.25"/>
    <row r="236054" customFormat="1" x14ac:dyDescent="0.25"/>
    <row r="236055" customFormat="1" x14ac:dyDescent="0.25"/>
    <row r="236056" customFormat="1" x14ac:dyDescent="0.25"/>
    <row r="236057" customFormat="1" x14ac:dyDescent="0.25"/>
    <row r="236058" customFormat="1" x14ac:dyDescent="0.25"/>
    <row r="236059" customFormat="1" x14ac:dyDescent="0.25"/>
    <row r="236060" customFormat="1" x14ac:dyDescent="0.25"/>
    <row r="236061" customFormat="1" x14ac:dyDescent="0.25"/>
    <row r="236062" customFormat="1" x14ac:dyDescent="0.25"/>
    <row r="236063" customFormat="1" x14ac:dyDescent="0.25"/>
    <row r="236064" customFormat="1" x14ac:dyDescent="0.25"/>
    <row r="236065" customFormat="1" x14ac:dyDescent="0.25"/>
    <row r="236066" customFormat="1" x14ac:dyDescent="0.25"/>
    <row r="236067" customFormat="1" x14ac:dyDescent="0.25"/>
    <row r="236068" customFormat="1" x14ac:dyDescent="0.25"/>
    <row r="236069" customFormat="1" x14ac:dyDescent="0.25"/>
    <row r="236070" customFormat="1" x14ac:dyDescent="0.25"/>
    <row r="236071" customFormat="1" x14ac:dyDescent="0.25"/>
    <row r="236072" customFormat="1" x14ac:dyDescent="0.25"/>
    <row r="236073" customFormat="1" x14ac:dyDescent="0.25"/>
    <row r="236074" customFormat="1" x14ac:dyDescent="0.25"/>
    <row r="236075" customFormat="1" x14ac:dyDescent="0.25"/>
    <row r="236076" customFormat="1" x14ac:dyDescent="0.25"/>
    <row r="236077" customFormat="1" x14ac:dyDescent="0.25"/>
    <row r="236078" customFormat="1" x14ac:dyDescent="0.25"/>
    <row r="236079" customFormat="1" x14ac:dyDescent="0.25"/>
    <row r="236080" customFormat="1" x14ac:dyDescent="0.25"/>
    <row r="236081" customFormat="1" x14ac:dyDescent="0.25"/>
    <row r="236082" customFormat="1" x14ac:dyDescent="0.25"/>
    <row r="236083" customFormat="1" x14ac:dyDescent="0.25"/>
    <row r="236084" customFormat="1" x14ac:dyDescent="0.25"/>
    <row r="236085" customFormat="1" x14ac:dyDescent="0.25"/>
    <row r="236086" customFormat="1" x14ac:dyDescent="0.25"/>
    <row r="236087" customFormat="1" x14ac:dyDescent="0.25"/>
    <row r="236088" customFormat="1" x14ac:dyDescent="0.25"/>
    <row r="236089" customFormat="1" x14ac:dyDescent="0.25"/>
    <row r="236090" customFormat="1" x14ac:dyDescent="0.25"/>
    <row r="236091" customFormat="1" x14ac:dyDescent="0.25"/>
    <row r="236092" customFormat="1" x14ac:dyDescent="0.25"/>
    <row r="236093" customFormat="1" x14ac:dyDescent="0.25"/>
    <row r="236094" customFormat="1" x14ac:dyDescent="0.25"/>
    <row r="236095" customFormat="1" x14ac:dyDescent="0.25"/>
    <row r="236096" customFormat="1" x14ac:dyDescent="0.25"/>
    <row r="236097" customFormat="1" x14ac:dyDescent="0.25"/>
    <row r="236098" customFormat="1" x14ac:dyDescent="0.25"/>
    <row r="236099" customFormat="1" x14ac:dyDescent="0.25"/>
    <row r="236100" customFormat="1" x14ac:dyDescent="0.25"/>
    <row r="236101" customFormat="1" x14ac:dyDescent="0.25"/>
    <row r="236102" customFormat="1" x14ac:dyDescent="0.25"/>
    <row r="236103" customFormat="1" x14ac:dyDescent="0.25"/>
    <row r="236104" customFormat="1" x14ac:dyDescent="0.25"/>
    <row r="236105" customFormat="1" x14ac:dyDescent="0.25"/>
    <row r="236106" customFormat="1" x14ac:dyDescent="0.25"/>
    <row r="236107" customFormat="1" x14ac:dyDescent="0.25"/>
    <row r="236108" customFormat="1" x14ac:dyDescent="0.25"/>
    <row r="236109" customFormat="1" x14ac:dyDescent="0.25"/>
    <row r="236110" customFormat="1" x14ac:dyDescent="0.25"/>
    <row r="236111" customFormat="1" x14ac:dyDescent="0.25"/>
    <row r="236112" customFormat="1" x14ac:dyDescent="0.25"/>
    <row r="236113" customFormat="1" x14ac:dyDescent="0.25"/>
    <row r="236114" customFormat="1" x14ac:dyDescent="0.25"/>
    <row r="236115" customFormat="1" x14ac:dyDescent="0.25"/>
    <row r="236116" customFormat="1" x14ac:dyDescent="0.25"/>
    <row r="236117" customFormat="1" x14ac:dyDescent="0.25"/>
    <row r="236118" customFormat="1" x14ac:dyDescent="0.25"/>
    <row r="236119" customFormat="1" x14ac:dyDescent="0.25"/>
    <row r="236120" customFormat="1" x14ac:dyDescent="0.25"/>
    <row r="236121" customFormat="1" x14ac:dyDescent="0.25"/>
    <row r="236122" customFormat="1" x14ac:dyDescent="0.25"/>
    <row r="236123" customFormat="1" x14ac:dyDescent="0.25"/>
    <row r="236124" customFormat="1" x14ac:dyDescent="0.25"/>
    <row r="236125" customFormat="1" x14ac:dyDescent="0.25"/>
    <row r="236126" customFormat="1" x14ac:dyDescent="0.25"/>
    <row r="236127" customFormat="1" x14ac:dyDescent="0.25"/>
    <row r="236128" customFormat="1" x14ac:dyDescent="0.25"/>
    <row r="236129" customFormat="1" x14ac:dyDescent="0.25"/>
    <row r="236130" customFormat="1" x14ac:dyDescent="0.25"/>
    <row r="236131" customFormat="1" x14ac:dyDescent="0.25"/>
    <row r="236132" customFormat="1" x14ac:dyDescent="0.25"/>
    <row r="236133" customFormat="1" x14ac:dyDescent="0.25"/>
    <row r="236134" customFormat="1" x14ac:dyDescent="0.25"/>
    <row r="236135" customFormat="1" x14ac:dyDescent="0.25"/>
    <row r="236136" customFormat="1" x14ac:dyDescent="0.25"/>
    <row r="236137" customFormat="1" x14ac:dyDescent="0.25"/>
    <row r="236138" customFormat="1" x14ac:dyDescent="0.25"/>
    <row r="236139" customFormat="1" x14ac:dyDescent="0.25"/>
    <row r="236140" customFormat="1" x14ac:dyDescent="0.25"/>
    <row r="236141" customFormat="1" x14ac:dyDescent="0.25"/>
    <row r="236142" customFormat="1" x14ac:dyDescent="0.25"/>
    <row r="236143" customFormat="1" x14ac:dyDescent="0.25"/>
    <row r="236144" customFormat="1" x14ac:dyDescent="0.25"/>
    <row r="236145" customFormat="1" x14ac:dyDescent="0.25"/>
    <row r="236146" customFormat="1" x14ac:dyDescent="0.25"/>
    <row r="236147" customFormat="1" x14ac:dyDescent="0.25"/>
    <row r="236148" customFormat="1" x14ac:dyDescent="0.25"/>
    <row r="236149" customFormat="1" x14ac:dyDescent="0.25"/>
    <row r="236150" customFormat="1" x14ac:dyDescent="0.25"/>
    <row r="236151" customFormat="1" x14ac:dyDescent="0.25"/>
    <row r="236152" customFormat="1" x14ac:dyDescent="0.25"/>
    <row r="236153" customFormat="1" x14ac:dyDescent="0.25"/>
    <row r="236154" customFormat="1" x14ac:dyDescent="0.25"/>
    <row r="236155" customFormat="1" x14ac:dyDescent="0.25"/>
    <row r="236156" customFormat="1" x14ac:dyDescent="0.25"/>
    <row r="236157" customFormat="1" x14ac:dyDescent="0.25"/>
    <row r="236158" customFormat="1" x14ac:dyDescent="0.25"/>
    <row r="236159" customFormat="1" x14ac:dyDescent="0.25"/>
    <row r="236160" customFormat="1" x14ac:dyDescent="0.25"/>
    <row r="236161" customFormat="1" x14ac:dyDescent="0.25"/>
    <row r="236162" customFormat="1" x14ac:dyDescent="0.25"/>
    <row r="236163" customFormat="1" x14ac:dyDescent="0.25"/>
    <row r="236164" customFormat="1" x14ac:dyDescent="0.25"/>
    <row r="236165" customFormat="1" x14ac:dyDescent="0.25"/>
    <row r="236166" customFormat="1" x14ac:dyDescent="0.25"/>
    <row r="236167" customFormat="1" x14ac:dyDescent="0.25"/>
    <row r="236168" customFormat="1" x14ac:dyDescent="0.25"/>
    <row r="236169" customFormat="1" x14ac:dyDescent="0.25"/>
    <row r="236170" customFormat="1" x14ac:dyDescent="0.25"/>
    <row r="236171" customFormat="1" x14ac:dyDescent="0.25"/>
    <row r="236172" customFormat="1" x14ac:dyDescent="0.25"/>
    <row r="236173" customFormat="1" x14ac:dyDescent="0.25"/>
    <row r="236174" customFormat="1" x14ac:dyDescent="0.25"/>
    <row r="236175" customFormat="1" x14ac:dyDescent="0.25"/>
    <row r="236176" customFormat="1" x14ac:dyDescent="0.25"/>
    <row r="236177" customFormat="1" x14ac:dyDescent="0.25"/>
    <row r="236178" customFormat="1" x14ac:dyDescent="0.25"/>
    <row r="236179" customFormat="1" x14ac:dyDescent="0.25"/>
    <row r="236180" customFormat="1" x14ac:dyDescent="0.25"/>
    <row r="236181" customFormat="1" x14ac:dyDescent="0.25"/>
    <row r="236182" customFormat="1" x14ac:dyDescent="0.25"/>
    <row r="236183" customFormat="1" x14ac:dyDescent="0.25"/>
    <row r="236184" customFormat="1" x14ac:dyDescent="0.25"/>
    <row r="236185" customFormat="1" x14ac:dyDescent="0.25"/>
    <row r="236186" customFormat="1" x14ac:dyDescent="0.25"/>
    <row r="236187" customFormat="1" x14ac:dyDescent="0.25"/>
    <row r="236188" customFormat="1" x14ac:dyDescent="0.25"/>
    <row r="236189" customFormat="1" x14ac:dyDescent="0.25"/>
    <row r="236190" customFormat="1" x14ac:dyDescent="0.25"/>
    <row r="236191" customFormat="1" x14ac:dyDescent="0.25"/>
    <row r="236192" customFormat="1" x14ac:dyDescent="0.25"/>
    <row r="236193" customFormat="1" x14ac:dyDescent="0.25"/>
    <row r="236194" customFormat="1" x14ac:dyDescent="0.25"/>
    <row r="236195" customFormat="1" x14ac:dyDescent="0.25"/>
    <row r="236196" customFormat="1" x14ac:dyDescent="0.25"/>
    <row r="236197" customFormat="1" x14ac:dyDescent="0.25"/>
    <row r="236198" customFormat="1" x14ac:dyDescent="0.25"/>
    <row r="236199" customFormat="1" x14ac:dyDescent="0.25"/>
    <row r="236200" customFormat="1" x14ac:dyDescent="0.25"/>
    <row r="236201" customFormat="1" x14ac:dyDescent="0.25"/>
    <row r="236202" customFormat="1" x14ac:dyDescent="0.25"/>
    <row r="236203" customFormat="1" x14ac:dyDescent="0.25"/>
    <row r="236204" customFormat="1" x14ac:dyDescent="0.25"/>
    <row r="236205" customFormat="1" x14ac:dyDescent="0.25"/>
    <row r="236206" customFormat="1" x14ac:dyDescent="0.25"/>
    <row r="236207" customFormat="1" x14ac:dyDescent="0.25"/>
    <row r="236208" customFormat="1" x14ac:dyDescent="0.25"/>
    <row r="236209" customFormat="1" x14ac:dyDescent="0.25"/>
    <row r="236210" customFormat="1" x14ac:dyDescent="0.25"/>
    <row r="236211" customFormat="1" x14ac:dyDescent="0.25"/>
    <row r="236212" customFormat="1" x14ac:dyDescent="0.25"/>
    <row r="236213" customFormat="1" x14ac:dyDescent="0.25"/>
    <row r="236214" customFormat="1" x14ac:dyDescent="0.25"/>
    <row r="236215" customFormat="1" x14ac:dyDescent="0.25"/>
    <row r="236216" customFormat="1" x14ac:dyDescent="0.25"/>
    <row r="236217" customFormat="1" x14ac:dyDescent="0.25"/>
    <row r="236218" customFormat="1" x14ac:dyDescent="0.25"/>
    <row r="236219" customFormat="1" x14ac:dyDescent="0.25"/>
    <row r="236220" customFormat="1" x14ac:dyDescent="0.25"/>
    <row r="236221" customFormat="1" x14ac:dyDescent="0.25"/>
    <row r="236222" customFormat="1" x14ac:dyDescent="0.25"/>
    <row r="236223" customFormat="1" x14ac:dyDescent="0.25"/>
    <row r="236224" customFormat="1" x14ac:dyDescent="0.25"/>
    <row r="236225" customFormat="1" x14ac:dyDescent="0.25"/>
    <row r="236226" customFormat="1" x14ac:dyDescent="0.25"/>
    <row r="236227" customFormat="1" x14ac:dyDescent="0.25"/>
    <row r="236228" customFormat="1" x14ac:dyDescent="0.25"/>
    <row r="236229" customFormat="1" x14ac:dyDescent="0.25"/>
    <row r="236230" customFormat="1" x14ac:dyDescent="0.25"/>
    <row r="236231" customFormat="1" x14ac:dyDescent="0.25"/>
    <row r="236232" customFormat="1" x14ac:dyDescent="0.25"/>
    <row r="236233" customFormat="1" x14ac:dyDescent="0.25"/>
    <row r="236234" customFormat="1" x14ac:dyDescent="0.25"/>
    <row r="236235" customFormat="1" x14ac:dyDescent="0.25"/>
    <row r="236236" customFormat="1" x14ac:dyDescent="0.25"/>
    <row r="236237" customFormat="1" x14ac:dyDescent="0.25"/>
    <row r="236238" customFormat="1" x14ac:dyDescent="0.25"/>
    <row r="236239" customFormat="1" x14ac:dyDescent="0.25"/>
    <row r="236240" customFormat="1" x14ac:dyDescent="0.25"/>
    <row r="236241" customFormat="1" x14ac:dyDescent="0.25"/>
    <row r="236242" customFormat="1" x14ac:dyDescent="0.25"/>
    <row r="236243" customFormat="1" x14ac:dyDescent="0.25"/>
    <row r="236244" customFormat="1" x14ac:dyDescent="0.25"/>
    <row r="236245" customFormat="1" x14ac:dyDescent="0.25"/>
    <row r="236246" customFormat="1" x14ac:dyDescent="0.25"/>
    <row r="236247" customFormat="1" x14ac:dyDescent="0.25"/>
    <row r="236248" customFormat="1" x14ac:dyDescent="0.25"/>
    <row r="236249" customFormat="1" x14ac:dyDescent="0.25"/>
    <row r="236250" customFormat="1" x14ac:dyDescent="0.25"/>
    <row r="236251" customFormat="1" x14ac:dyDescent="0.25"/>
    <row r="236252" customFormat="1" x14ac:dyDescent="0.25"/>
    <row r="236253" customFormat="1" x14ac:dyDescent="0.25"/>
    <row r="236254" customFormat="1" x14ac:dyDescent="0.25"/>
    <row r="236255" customFormat="1" x14ac:dyDescent="0.25"/>
    <row r="236256" customFormat="1" x14ac:dyDescent="0.25"/>
    <row r="236257" customFormat="1" x14ac:dyDescent="0.25"/>
    <row r="236258" customFormat="1" x14ac:dyDescent="0.25"/>
    <row r="236259" customFormat="1" x14ac:dyDescent="0.25"/>
    <row r="236260" customFormat="1" x14ac:dyDescent="0.25"/>
    <row r="236261" customFormat="1" x14ac:dyDescent="0.25"/>
    <row r="236262" customFormat="1" x14ac:dyDescent="0.25"/>
    <row r="236263" customFormat="1" x14ac:dyDescent="0.25"/>
    <row r="236264" customFormat="1" x14ac:dyDescent="0.25"/>
    <row r="236265" customFormat="1" x14ac:dyDescent="0.25"/>
    <row r="236266" customFormat="1" x14ac:dyDescent="0.25"/>
    <row r="236267" customFormat="1" x14ac:dyDescent="0.25"/>
    <row r="236268" customFormat="1" x14ac:dyDescent="0.25"/>
    <row r="236269" customFormat="1" x14ac:dyDescent="0.25"/>
    <row r="236270" customFormat="1" x14ac:dyDescent="0.25"/>
    <row r="236271" customFormat="1" x14ac:dyDescent="0.25"/>
    <row r="236272" customFormat="1" x14ac:dyDescent="0.25"/>
    <row r="236273" customFormat="1" x14ac:dyDescent="0.25"/>
    <row r="236274" customFormat="1" x14ac:dyDescent="0.25"/>
    <row r="236275" customFormat="1" x14ac:dyDescent="0.25"/>
    <row r="236276" customFormat="1" x14ac:dyDescent="0.25"/>
    <row r="236277" customFormat="1" x14ac:dyDescent="0.25"/>
    <row r="236278" customFormat="1" x14ac:dyDescent="0.25"/>
    <row r="236279" customFormat="1" x14ac:dyDescent="0.25"/>
    <row r="236280" customFormat="1" x14ac:dyDescent="0.25"/>
    <row r="236281" customFormat="1" x14ac:dyDescent="0.25"/>
    <row r="236282" customFormat="1" x14ac:dyDescent="0.25"/>
    <row r="236283" customFormat="1" x14ac:dyDescent="0.25"/>
    <row r="236284" customFormat="1" x14ac:dyDescent="0.25"/>
    <row r="236285" customFormat="1" x14ac:dyDescent="0.25"/>
    <row r="236286" customFormat="1" x14ac:dyDescent="0.25"/>
    <row r="236287" customFormat="1" x14ac:dyDescent="0.25"/>
    <row r="236288" customFormat="1" x14ac:dyDescent="0.25"/>
    <row r="236289" customFormat="1" x14ac:dyDescent="0.25"/>
    <row r="236290" customFormat="1" x14ac:dyDescent="0.25"/>
    <row r="236291" customFormat="1" x14ac:dyDescent="0.25"/>
    <row r="236292" customFormat="1" x14ac:dyDescent="0.25"/>
    <row r="236293" customFormat="1" x14ac:dyDescent="0.25"/>
    <row r="236294" customFormat="1" x14ac:dyDescent="0.25"/>
    <row r="236295" customFormat="1" x14ac:dyDescent="0.25"/>
    <row r="236296" customFormat="1" x14ac:dyDescent="0.25"/>
    <row r="236297" customFormat="1" x14ac:dyDescent="0.25"/>
    <row r="236298" customFormat="1" x14ac:dyDescent="0.25"/>
    <row r="236299" customFormat="1" x14ac:dyDescent="0.25"/>
    <row r="236300" customFormat="1" x14ac:dyDescent="0.25"/>
    <row r="236301" customFormat="1" x14ac:dyDescent="0.25"/>
    <row r="236302" customFormat="1" x14ac:dyDescent="0.25"/>
    <row r="236303" customFormat="1" x14ac:dyDescent="0.25"/>
    <row r="236304" customFormat="1" x14ac:dyDescent="0.25"/>
    <row r="236305" customFormat="1" x14ac:dyDescent="0.25"/>
    <row r="236306" customFormat="1" x14ac:dyDescent="0.25"/>
    <row r="236307" customFormat="1" x14ac:dyDescent="0.25"/>
    <row r="236308" customFormat="1" x14ac:dyDescent="0.25"/>
    <row r="236309" customFormat="1" x14ac:dyDescent="0.25"/>
    <row r="236310" customFormat="1" x14ac:dyDescent="0.25"/>
    <row r="236311" customFormat="1" x14ac:dyDescent="0.25"/>
    <row r="236312" customFormat="1" x14ac:dyDescent="0.25"/>
    <row r="236313" customFormat="1" x14ac:dyDescent="0.25"/>
    <row r="236314" customFormat="1" x14ac:dyDescent="0.25"/>
    <row r="236315" customFormat="1" x14ac:dyDescent="0.25"/>
    <row r="236316" customFormat="1" x14ac:dyDescent="0.25"/>
    <row r="236317" customFormat="1" x14ac:dyDescent="0.25"/>
    <row r="236318" customFormat="1" x14ac:dyDescent="0.25"/>
    <row r="236319" customFormat="1" x14ac:dyDescent="0.25"/>
    <row r="236320" customFormat="1" x14ac:dyDescent="0.25"/>
    <row r="236321" customFormat="1" x14ac:dyDescent="0.25"/>
    <row r="236322" customFormat="1" x14ac:dyDescent="0.25"/>
    <row r="236323" customFormat="1" x14ac:dyDescent="0.25"/>
    <row r="236324" customFormat="1" x14ac:dyDescent="0.25"/>
    <row r="236325" customFormat="1" x14ac:dyDescent="0.25"/>
    <row r="236326" customFormat="1" x14ac:dyDescent="0.25"/>
    <row r="236327" customFormat="1" x14ac:dyDescent="0.25"/>
    <row r="236328" customFormat="1" x14ac:dyDescent="0.25"/>
    <row r="236329" customFormat="1" x14ac:dyDescent="0.25"/>
    <row r="236330" customFormat="1" x14ac:dyDescent="0.25"/>
    <row r="236331" customFormat="1" x14ac:dyDescent="0.25"/>
    <row r="236332" customFormat="1" x14ac:dyDescent="0.25"/>
    <row r="236333" customFormat="1" x14ac:dyDescent="0.25"/>
    <row r="236334" customFormat="1" x14ac:dyDescent="0.25"/>
    <row r="236335" customFormat="1" x14ac:dyDescent="0.25"/>
    <row r="236336" customFormat="1" x14ac:dyDescent="0.25"/>
    <row r="236337" customFormat="1" x14ac:dyDescent="0.25"/>
    <row r="236338" customFormat="1" x14ac:dyDescent="0.25"/>
    <row r="236339" customFormat="1" x14ac:dyDescent="0.25"/>
    <row r="236340" customFormat="1" x14ac:dyDescent="0.25"/>
    <row r="236341" customFormat="1" x14ac:dyDescent="0.25"/>
    <row r="236342" customFormat="1" x14ac:dyDescent="0.25"/>
    <row r="236343" customFormat="1" x14ac:dyDescent="0.25"/>
    <row r="236344" customFormat="1" x14ac:dyDescent="0.25"/>
    <row r="236345" customFormat="1" x14ac:dyDescent="0.25"/>
    <row r="236346" customFormat="1" x14ac:dyDescent="0.25"/>
    <row r="236347" customFormat="1" x14ac:dyDescent="0.25"/>
    <row r="236348" customFormat="1" x14ac:dyDescent="0.25"/>
    <row r="236349" customFormat="1" x14ac:dyDescent="0.25"/>
    <row r="236350" customFormat="1" x14ac:dyDescent="0.25"/>
    <row r="236351" customFormat="1" x14ac:dyDescent="0.25"/>
    <row r="236352" customFormat="1" x14ac:dyDescent="0.25"/>
    <row r="236353" customFormat="1" x14ac:dyDescent="0.25"/>
    <row r="236354" customFormat="1" x14ac:dyDescent="0.25"/>
    <row r="236355" customFormat="1" x14ac:dyDescent="0.25"/>
    <row r="236356" customFormat="1" x14ac:dyDescent="0.25"/>
    <row r="236357" customFormat="1" x14ac:dyDescent="0.25"/>
    <row r="236358" customFormat="1" x14ac:dyDescent="0.25"/>
    <row r="236359" customFormat="1" x14ac:dyDescent="0.25"/>
    <row r="236360" customFormat="1" x14ac:dyDescent="0.25"/>
    <row r="236361" customFormat="1" x14ac:dyDescent="0.25"/>
    <row r="236362" customFormat="1" x14ac:dyDescent="0.25"/>
    <row r="236363" customFormat="1" x14ac:dyDescent="0.25"/>
    <row r="236364" customFormat="1" x14ac:dyDescent="0.25"/>
    <row r="236365" customFormat="1" x14ac:dyDescent="0.25"/>
    <row r="236366" customFormat="1" x14ac:dyDescent="0.25"/>
    <row r="236367" customFormat="1" x14ac:dyDescent="0.25"/>
    <row r="236368" customFormat="1" x14ac:dyDescent="0.25"/>
    <row r="236369" customFormat="1" x14ac:dyDescent="0.25"/>
    <row r="236370" customFormat="1" x14ac:dyDescent="0.25"/>
    <row r="236371" customFormat="1" x14ac:dyDescent="0.25"/>
    <row r="236372" customFormat="1" x14ac:dyDescent="0.25"/>
    <row r="236373" customFormat="1" x14ac:dyDescent="0.25"/>
    <row r="236374" customFormat="1" x14ac:dyDescent="0.25"/>
    <row r="236375" customFormat="1" x14ac:dyDescent="0.25"/>
    <row r="236376" customFormat="1" x14ac:dyDescent="0.25"/>
    <row r="236377" customFormat="1" x14ac:dyDescent="0.25"/>
    <row r="236378" customFormat="1" x14ac:dyDescent="0.25"/>
    <row r="236379" customFormat="1" x14ac:dyDescent="0.25"/>
    <row r="236380" customFormat="1" x14ac:dyDescent="0.25"/>
    <row r="236381" customFormat="1" x14ac:dyDescent="0.25"/>
    <row r="236382" customFormat="1" x14ac:dyDescent="0.25"/>
    <row r="236383" customFormat="1" x14ac:dyDescent="0.25"/>
    <row r="236384" customFormat="1" x14ac:dyDescent="0.25"/>
    <row r="236385" customFormat="1" x14ac:dyDescent="0.25"/>
    <row r="236386" customFormat="1" x14ac:dyDescent="0.25"/>
    <row r="236387" customFormat="1" x14ac:dyDescent="0.25"/>
    <row r="236388" customFormat="1" x14ac:dyDescent="0.25"/>
    <row r="236389" customFormat="1" x14ac:dyDescent="0.25"/>
    <row r="236390" customFormat="1" x14ac:dyDescent="0.25"/>
    <row r="236391" customFormat="1" x14ac:dyDescent="0.25"/>
    <row r="236392" customFormat="1" x14ac:dyDescent="0.25"/>
    <row r="236393" customFormat="1" x14ac:dyDescent="0.25"/>
    <row r="236394" customFormat="1" x14ac:dyDescent="0.25"/>
    <row r="236395" customFormat="1" x14ac:dyDescent="0.25"/>
    <row r="236396" customFormat="1" x14ac:dyDescent="0.25"/>
    <row r="236397" customFormat="1" x14ac:dyDescent="0.25"/>
    <row r="236398" customFormat="1" x14ac:dyDescent="0.25"/>
    <row r="236399" customFormat="1" x14ac:dyDescent="0.25"/>
    <row r="236400" customFormat="1" x14ac:dyDescent="0.25"/>
    <row r="236401" customFormat="1" x14ac:dyDescent="0.25"/>
    <row r="236402" customFormat="1" x14ac:dyDescent="0.25"/>
    <row r="236403" customFormat="1" x14ac:dyDescent="0.25"/>
    <row r="236404" customFormat="1" x14ac:dyDescent="0.25"/>
    <row r="236405" customFormat="1" x14ac:dyDescent="0.25"/>
    <row r="236406" customFormat="1" x14ac:dyDescent="0.25"/>
    <row r="236407" customFormat="1" x14ac:dyDescent="0.25"/>
    <row r="236408" customFormat="1" x14ac:dyDescent="0.25"/>
    <row r="236409" customFormat="1" x14ac:dyDescent="0.25"/>
    <row r="236410" customFormat="1" x14ac:dyDescent="0.25"/>
    <row r="236411" customFormat="1" x14ac:dyDescent="0.25"/>
    <row r="236412" customFormat="1" x14ac:dyDescent="0.25"/>
    <row r="236413" customFormat="1" x14ac:dyDescent="0.25"/>
    <row r="236414" customFormat="1" x14ac:dyDescent="0.25"/>
    <row r="236415" customFormat="1" x14ac:dyDescent="0.25"/>
    <row r="236416" customFormat="1" x14ac:dyDescent="0.25"/>
    <row r="236417" customFormat="1" x14ac:dyDescent="0.25"/>
    <row r="236418" customFormat="1" x14ac:dyDescent="0.25"/>
    <row r="236419" customFormat="1" x14ac:dyDescent="0.25"/>
    <row r="236420" customFormat="1" x14ac:dyDescent="0.25"/>
    <row r="236421" customFormat="1" x14ac:dyDescent="0.25"/>
    <row r="236422" customFormat="1" x14ac:dyDescent="0.25"/>
    <row r="236423" customFormat="1" x14ac:dyDescent="0.25"/>
    <row r="236424" customFormat="1" x14ac:dyDescent="0.25"/>
    <row r="236425" customFormat="1" x14ac:dyDescent="0.25"/>
    <row r="236426" customFormat="1" x14ac:dyDescent="0.25"/>
    <row r="236427" customFormat="1" x14ac:dyDescent="0.25"/>
    <row r="236428" customFormat="1" x14ac:dyDescent="0.25"/>
    <row r="236429" customFormat="1" x14ac:dyDescent="0.25"/>
    <row r="236430" customFormat="1" x14ac:dyDescent="0.25"/>
    <row r="236431" customFormat="1" x14ac:dyDescent="0.25"/>
    <row r="236432" customFormat="1" x14ac:dyDescent="0.25"/>
    <row r="236433" customFormat="1" x14ac:dyDescent="0.25"/>
    <row r="236434" customFormat="1" x14ac:dyDescent="0.25"/>
    <row r="236435" customFormat="1" x14ac:dyDescent="0.25"/>
    <row r="236436" customFormat="1" x14ac:dyDescent="0.25"/>
    <row r="236437" customFormat="1" x14ac:dyDescent="0.25"/>
    <row r="236438" customFormat="1" x14ac:dyDescent="0.25"/>
    <row r="236439" customFormat="1" x14ac:dyDescent="0.25"/>
    <row r="236440" customFormat="1" x14ac:dyDescent="0.25"/>
    <row r="236441" customFormat="1" x14ac:dyDescent="0.25"/>
    <row r="236442" customFormat="1" x14ac:dyDescent="0.25"/>
    <row r="236443" customFormat="1" x14ac:dyDescent="0.25"/>
    <row r="236444" customFormat="1" x14ac:dyDescent="0.25"/>
    <row r="236445" customFormat="1" x14ac:dyDescent="0.25"/>
    <row r="236446" customFormat="1" x14ac:dyDescent="0.25"/>
    <row r="236447" customFormat="1" x14ac:dyDescent="0.25"/>
    <row r="236448" customFormat="1" x14ac:dyDescent="0.25"/>
    <row r="236449" customFormat="1" x14ac:dyDescent="0.25"/>
    <row r="236450" customFormat="1" x14ac:dyDescent="0.25"/>
    <row r="236451" customFormat="1" x14ac:dyDescent="0.25"/>
    <row r="236452" customFormat="1" x14ac:dyDescent="0.25"/>
    <row r="236453" customFormat="1" x14ac:dyDescent="0.25"/>
    <row r="236454" customFormat="1" x14ac:dyDescent="0.25"/>
    <row r="236455" customFormat="1" x14ac:dyDescent="0.25"/>
    <row r="236456" customFormat="1" x14ac:dyDescent="0.25"/>
    <row r="236457" customFormat="1" x14ac:dyDescent="0.25"/>
    <row r="236458" customFormat="1" x14ac:dyDescent="0.25"/>
    <row r="236459" customFormat="1" x14ac:dyDescent="0.25"/>
    <row r="236460" customFormat="1" x14ac:dyDescent="0.25"/>
    <row r="236461" customFormat="1" x14ac:dyDescent="0.25"/>
    <row r="236462" customFormat="1" x14ac:dyDescent="0.25"/>
    <row r="236463" customFormat="1" x14ac:dyDescent="0.25"/>
    <row r="236464" customFormat="1" x14ac:dyDescent="0.25"/>
    <row r="236465" customFormat="1" x14ac:dyDescent="0.25"/>
    <row r="236466" customFormat="1" x14ac:dyDescent="0.25"/>
    <row r="236467" customFormat="1" x14ac:dyDescent="0.25"/>
    <row r="236468" customFormat="1" x14ac:dyDescent="0.25"/>
    <row r="236469" customFormat="1" x14ac:dyDescent="0.25"/>
    <row r="236470" customFormat="1" x14ac:dyDescent="0.25"/>
    <row r="236471" customFormat="1" x14ac:dyDescent="0.25"/>
    <row r="236472" customFormat="1" x14ac:dyDescent="0.25"/>
    <row r="236473" customFormat="1" x14ac:dyDescent="0.25"/>
    <row r="236474" customFormat="1" x14ac:dyDescent="0.25"/>
    <row r="236475" customFormat="1" x14ac:dyDescent="0.25"/>
    <row r="236476" customFormat="1" x14ac:dyDescent="0.25"/>
    <row r="236477" customFormat="1" x14ac:dyDescent="0.25"/>
    <row r="236478" customFormat="1" x14ac:dyDescent="0.25"/>
    <row r="236479" customFormat="1" x14ac:dyDescent="0.25"/>
    <row r="236480" customFormat="1" x14ac:dyDescent="0.25"/>
    <row r="236481" customFormat="1" x14ac:dyDescent="0.25"/>
    <row r="236482" customFormat="1" x14ac:dyDescent="0.25"/>
    <row r="236483" customFormat="1" x14ac:dyDescent="0.25"/>
    <row r="236484" customFormat="1" x14ac:dyDescent="0.25"/>
    <row r="236485" customFormat="1" x14ac:dyDescent="0.25"/>
    <row r="236486" customFormat="1" x14ac:dyDescent="0.25"/>
    <row r="236487" customFormat="1" x14ac:dyDescent="0.25"/>
    <row r="236488" customFormat="1" x14ac:dyDescent="0.25"/>
    <row r="236489" customFormat="1" x14ac:dyDescent="0.25"/>
    <row r="236490" customFormat="1" x14ac:dyDescent="0.25"/>
    <row r="236491" customFormat="1" x14ac:dyDescent="0.25"/>
    <row r="236492" customFormat="1" x14ac:dyDescent="0.25"/>
    <row r="236493" customFormat="1" x14ac:dyDescent="0.25"/>
    <row r="236494" customFormat="1" x14ac:dyDescent="0.25"/>
    <row r="236495" customFormat="1" x14ac:dyDescent="0.25"/>
    <row r="236496" customFormat="1" x14ac:dyDescent="0.25"/>
    <row r="236497" customFormat="1" x14ac:dyDescent="0.25"/>
    <row r="236498" customFormat="1" x14ac:dyDescent="0.25"/>
    <row r="236499" customFormat="1" x14ac:dyDescent="0.25"/>
    <row r="236500" customFormat="1" x14ac:dyDescent="0.25"/>
    <row r="236501" customFormat="1" x14ac:dyDescent="0.25"/>
    <row r="236502" customFormat="1" x14ac:dyDescent="0.25"/>
    <row r="236503" customFormat="1" x14ac:dyDescent="0.25"/>
    <row r="236504" customFormat="1" x14ac:dyDescent="0.25"/>
    <row r="236505" customFormat="1" x14ac:dyDescent="0.25"/>
    <row r="236506" customFormat="1" x14ac:dyDescent="0.25"/>
    <row r="236507" customFormat="1" x14ac:dyDescent="0.25"/>
    <row r="236508" customFormat="1" x14ac:dyDescent="0.25"/>
    <row r="236509" customFormat="1" x14ac:dyDescent="0.25"/>
    <row r="236510" customFormat="1" x14ac:dyDescent="0.25"/>
    <row r="236511" customFormat="1" x14ac:dyDescent="0.25"/>
    <row r="236512" customFormat="1" x14ac:dyDescent="0.25"/>
    <row r="236513" customFormat="1" x14ac:dyDescent="0.25"/>
    <row r="236514" customFormat="1" x14ac:dyDescent="0.25"/>
    <row r="236515" customFormat="1" x14ac:dyDescent="0.25"/>
    <row r="236516" customFormat="1" x14ac:dyDescent="0.25"/>
    <row r="236517" customFormat="1" x14ac:dyDescent="0.25"/>
    <row r="236518" customFormat="1" x14ac:dyDescent="0.25"/>
    <row r="236519" customFormat="1" x14ac:dyDescent="0.25"/>
    <row r="236520" customFormat="1" x14ac:dyDescent="0.25"/>
    <row r="236521" customFormat="1" x14ac:dyDescent="0.25"/>
    <row r="236522" customFormat="1" x14ac:dyDescent="0.25"/>
    <row r="236523" customFormat="1" x14ac:dyDescent="0.25"/>
    <row r="236524" customFormat="1" x14ac:dyDescent="0.25"/>
    <row r="236525" customFormat="1" x14ac:dyDescent="0.25"/>
    <row r="236526" customFormat="1" x14ac:dyDescent="0.25"/>
    <row r="236527" customFormat="1" x14ac:dyDescent="0.25"/>
    <row r="236528" customFormat="1" x14ac:dyDescent="0.25"/>
    <row r="236529" customFormat="1" x14ac:dyDescent="0.25"/>
    <row r="236530" customFormat="1" x14ac:dyDescent="0.25"/>
    <row r="236531" customFormat="1" x14ac:dyDescent="0.25"/>
    <row r="236532" customFormat="1" x14ac:dyDescent="0.25"/>
    <row r="236533" customFormat="1" x14ac:dyDescent="0.25"/>
    <row r="236534" customFormat="1" x14ac:dyDescent="0.25"/>
    <row r="236535" customFormat="1" x14ac:dyDescent="0.25"/>
    <row r="236536" customFormat="1" x14ac:dyDescent="0.25"/>
    <row r="236537" customFormat="1" x14ac:dyDescent="0.25"/>
    <row r="236538" customFormat="1" x14ac:dyDescent="0.25"/>
    <row r="236539" customFormat="1" x14ac:dyDescent="0.25"/>
    <row r="236540" customFormat="1" x14ac:dyDescent="0.25"/>
    <row r="236541" customFormat="1" x14ac:dyDescent="0.25"/>
    <row r="236542" customFormat="1" x14ac:dyDescent="0.25"/>
    <row r="236543" customFormat="1" x14ac:dyDescent="0.25"/>
    <row r="236544" customFormat="1" x14ac:dyDescent="0.25"/>
    <row r="236545" customFormat="1" x14ac:dyDescent="0.25"/>
    <row r="236546" customFormat="1" x14ac:dyDescent="0.25"/>
    <row r="236547" customFormat="1" x14ac:dyDescent="0.25"/>
    <row r="236548" customFormat="1" x14ac:dyDescent="0.25"/>
    <row r="236549" customFormat="1" x14ac:dyDescent="0.25"/>
    <row r="236550" customFormat="1" x14ac:dyDescent="0.25"/>
    <row r="236551" customFormat="1" x14ac:dyDescent="0.25"/>
    <row r="236552" customFormat="1" x14ac:dyDescent="0.25"/>
    <row r="236553" customFormat="1" x14ac:dyDescent="0.25"/>
    <row r="236554" customFormat="1" x14ac:dyDescent="0.25"/>
    <row r="236555" customFormat="1" x14ac:dyDescent="0.25"/>
    <row r="236556" customFormat="1" x14ac:dyDescent="0.25"/>
    <row r="236557" customFormat="1" x14ac:dyDescent="0.25"/>
    <row r="236558" customFormat="1" x14ac:dyDescent="0.25"/>
    <row r="236559" customFormat="1" x14ac:dyDescent="0.25"/>
    <row r="236560" customFormat="1" x14ac:dyDescent="0.25"/>
    <row r="236561" customFormat="1" x14ac:dyDescent="0.25"/>
    <row r="236562" customFormat="1" x14ac:dyDescent="0.25"/>
    <row r="236563" customFormat="1" x14ac:dyDescent="0.25"/>
    <row r="236564" customFormat="1" x14ac:dyDescent="0.25"/>
    <row r="236565" customFormat="1" x14ac:dyDescent="0.25"/>
    <row r="236566" customFormat="1" x14ac:dyDescent="0.25"/>
    <row r="236567" customFormat="1" x14ac:dyDescent="0.25"/>
    <row r="236568" customFormat="1" x14ac:dyDescent="0.25"/>
    <row r="236569" customFormat="1" x14ac:dyDescent="0.25"/>
    <row r="236570" customFormat="1" x14ac:dyDescent="0.25"/>
    <row r="236571" customFormat="1" x14ac:dyDescent="0.25"/>
    <row r="236572" customFormat="1" x14ac:dyDescent="0.25"/>
    <row r="236573" customFormat="1" x14ac:dyDescent="0.25"/>
    <row r="236574" customFormat="1" x14ac:dyDescent="0.25"/>
    <row r="236575" customFormat="1" x14ac:dyDescent="0.25"/>
    <row r="236576" customFormat="1" x14ac:dyDescent="0.25"/>
    <row r="236577" customFormat="1" x14ac:dyDescent="0.25"/>
    <row r="236578" customFormat="1" x14ac:dyDescent="0.25"/>
    <row r="236579" customFormat="1" x14ac:dyDescent="0.25"/>
    <row r="236580" customFormat="1" x14ac:dyDescent="0.25"/>
    <row r="236581" customFormat="1" x14ac:dyDescent="0.25"/>
    <row r="236582" customFormat="1" x14ac:dyDescent="0.25"/>
    <row r="236583" customFormat="1" x14ac:dyDescent="0.25"/>
    <row r="236584" customFormat="1" x14ac:dyDescent="0.25"/>
    <row r="236585" customFormat="1" x14ac:dyDescent="0.25"/>
    <row r="236586" customFormat="1" x14ac:dyDescent="0.25"/>
    <row r="236587" customFormat="1" x14ac:dyDescent="0.25"/>
    <row r="236588" customFormat="1" x14ac:dyDescent="0.25"/>
    <row r="236589" customFormat="1" x14ac:dyDescent="0.25"/>
    <row r="236590" customFormat="1" x14ac:dyDescent="0.25"/>
    <row r="236591" customFormat="1" x14ac:dyDescent="0.25"/>
    <row r="236592" customFormat="1" x14ac:dyDescent="0.25"/>
    <row r="236593" customFormat="1" x14ac:dyDescent="0.25"/>
    <row r="236594" customFormat="1" x14ac:dyDescent="0.25"/>
    <row r="236595" customFormat="1" x14ac:dyDescent="0.25"/>
    <row r="236596" customFormat="1" x14ac:dyDescent="0.25"/>
    <row r="236597" customFormat="1" x14ac:dyDescent="0.25"/>
    <row r="236598" customFormat="1" x14ac:dyDescent="0.25"/>
    <row r="236599" customFormat="1" x14ac:dyDescent="0.25"/>
    <row r="236600" customFormat="1" x14ac:dyDescent="0.25"/>
    <row r="236601" customFormat="1" x14ac:dyDescent="0.25"/>
    <row r="236602" customFormat="1" x14ac:dyDescent="0.25"/>
    <row r="236603" customFormat="1" x14ac:dyDescent="0.25"/>
    <row r="236604" customFormat="1" x14ac:dyDescent="0.25"/>
    <row r="236605" customFormat="1" x14ac:dyDescent="0.25"/>
    <row r="236606" customFormat="1" x14ac:dyDescent="0.25"/>
    <row r="236607" customFormat="1" x14ac:dyDescent="0.25"/>
    <row r="236608" customFormat="1" x14ac:dyDescent="0.25"/>
    <row r="236609" customFormat="1" x14ac:dyDescent="0.25"/>
    <row r="236610" customFormat="1" x14ac:dyDescent="0.25"/>
    <row r="236611" customFormat="1" x14ac:dyDescent="0.25"/>
    <row r="236612" customFormat="1" x14ac:dyDescent="0.25"/>
    <row r="236613" customFormat="1" x14ac:dyDescent="0.25"/>
    <row r="236614" customFormat="1" x14ac:dyDescent="0.25"/>
    <row r="236615" customFormat="1" x14ac:dyDescent="0.25"/>
    <row r="236616" customFormat="1" x14ac:dyDescent="0.25"/>
    <row r="236617" customFormat="1" x14ac:dyDescent="0.25"/>
    <row r="236618" customFormat="1" x14ac:dyDescent="0.25"/>
    <row r="236619" customFormat="1" x14ac:dyDescent="0.25"/>
    <row r="236620" customFormat="1" x14ac:dyDescent="0.25"/>
    <row r="236621" customFormat="1" x14ac:dyDescent="0.25"/>
    <row r="236622" customFormat="1" x14ac:dyDescent="0.25"/>
    <row r="236623" customFormat="1" x14ac:dyDescent="0.25"/>
    <row r="236624" customFormat="1" x14ac:dyDescent="0.25"/>
    <row r="236625" customFormat="1" x14ac:dyDescent="0.25"/>
    <row r="236626" customFormat="1" x14ac:dyDescent="0.25"/>
    <row r="236627" customFormat="1" x14ac:dyDescent="0.25"/>
    <row r="236628" customFormat="1" x14ac:dyDescent="0.25"/>
    <row r="236629" customFormat="1" x14ac:dyDescent="0.25"/>
    <row r="236630" customFormat="1" x14ac:dyDescent="0.25"/>
    <row r="236631" customFormat="1" x14ac:dyDescent="0.25"/>
    <row r="236632" customFormat="1" x14ac:dyDescent="0.25"/>
    <row r="236633" customFormat="1" x14ac:dyDescent="0.25"/>
    <row r="236634" customFormat="1" x14ac:dyDescent="0.25"/>
    <row r="236635" customFormat="1" x14ac:dyDescent="0.25"/>
    <row r="236636" customFormat="1" x14ac:dyDescent="0.25"/>
    <row r="236637" customFormat="1" x14ac:dyDescent="0.25"/>
    <row r="236638" customFormat="1" x14ac:dyDescent="0.25"/>
    <row r="236639" customFormat="1" x14ac:dyDescent="0.25"/>
    <row r="236640" customFormat="1" x14ac:dyDescent="0.25"/>
    <row r="236641" customFormat="1" x14ac:dyDescent="0.25"/>
    <row r="236642" customFormat="1" x14ac:dyDescent="0.25"/>
    <row r="236643" customFormat="1" x14ac:dyDescent="0.25"/>
    <row r="236644" customFormat="1" x14ac:dyDescent="0.25"/>
    <row r="236645" customFormat="1" x14ac:dyDescent="0.25"/>
    <row r="236646" customFormat="1" x14ac:dyDescent="0.25"/>
    <row r="236647" customFormat="1" x14ac:dyDescent="0.25"/>
    <row r="236648" customFormat="1" x14ac:dyDescent="0.25"/>
    <row r="236649" customFormat="1" x14ac:dyDescent="0.25"/>
    <row r="236650" customFormat="1" x14ac:dyDescent="0.25"/>
    <row r="236651" customFormat="1" x14ac:dyDescent="0.25"/>
    <row r="236652" customFormat="1" x14ac:dyDescent="0.25"/>
    <row r="236653" customFormat="1" x14ac:dyDescent="0.25"/>
    <row r="236654" customFormat="1" x14ac:dyDescent="0.25"/>
    <row r="236655" customFormat="1" x14ac:dyDescent="0.25"/>
    <row r="236656" customFormat="1" x14ac:dyDescent="0.25"/>
    <row r="236657" customFormat="1" x14ac:dyDescent="0.25"/>
    <row r="236658" customFormat="1" x14ac:dyDescent="0.25"/>
    <row r="236659" customFormat="1" x14ac:dyDescent="0.25"/>
    <row r="236660" customFormat="1" x14ac:dyDescent="0.25"/>
    <row r="236661" customFormat="1" x14ac:dyDescent="0.25"/>
    <row r="236662" customFormat="1" x14ac:dyDescent="0.25"/>
    <row r="236663" customFormat="1" x14ac:dyDescent="0.25"/>
    <row r="236664" customFormat="1" x14ac:dyDescent="0.25"/>
    <row r="236665" customFormat="1" x14ac:dyDescent="0.25"/>
    <row r="236666" customFormat="1" x14ac:dyDescent="0.25"/>
    <row r="236667" customFormat="1" x14ac:dyDescent="0.25"/>
    <row r="236668" customFormat="1" x14ac:dyDescent="0.25"/>
    <row r="236669" customFormat="1" x14ac:dyDescent="0.25"/>
    <row r="236670" customFormat="1" x14ac:dyDescent="0.25"/>
    <row r="236671" customFormat="1" x14ac:dyDescent="0.25"/>
    <row r="236672" customFormat="1" x14ac:dyDescent="0.25"/>
    <row r="236673" customFormat="1" x14ac:dyDescent="0.25"/>
    <row r="236674" customFormat="1" x14ac:dyDescent="0.25"/>
    <row r="236675" customFormat="1" x14ac:dyDescent="0.25"/>
    <row r="236676" customFormat="1" x14ac:dyDescent="0.25"/>
    <row r="236677" customFormat="1" x14ac:dyDescent="0.25"/>
    <row r="236678" customFormat="1" x14ac:dyDescent="0.25"/>
    <row r="236679" customFormat="1" x14ac:dyDescent="0.25"/>
    <row r="236680" customFormat="1" x14ac:dyDescent="0.25"/>
    <row r="236681" customFormat="1" x14ac:dyDescent="0.25"/>
    <row r="236682" customFormat="1" x14ac:dyDescent="0.25"/>
    <row r="236683" customFormat="1" x14ac:dyDescent="0.25"/>
    <row r="236684" customFormat="1" x14ac:dyDescent="0.25"/>
    <row r="236685" customFormat="1" x14ac:dyDescent="0.25"/>
    <row r="236686" customFormat="1" x14ac:dyDescent="0.25"/>
    <row r="236687" customFormat="1" x14ac:dyDescent="0.25"/>
    <row r="236688" customFormat="1" x14ac:dyDescent="0.25"/>
    <row r="236689" customFormat="1" x14ac:dyDescent="0.25"/>
    <row r="236690" customFormat="1" x14ac:dyDescent="0.25"/>
    <row r="236691" customFormat="1" x14ac:dyDescent="0.25"/>
    <row r="236692" customFormat="1" x14ac:dyDescent="0.25"/>
    <row r="236693" customFormat="1" x14ac:dyDescent="0.25"/>
    <row r="236694" customFormat="1" x14ac:dyDescent="0.25"/>
    <row r="236695" customFormat="1" x14ac:dyDescent="0.25"/>
    <row r="236696" customFormat="1" x14ac:dyDescent="0.25"/>
    <row r="236697" customFormat="1" x14ac:dyDescent="0.25"/>
    <row r="236698" customFormat="1" x14ac:dyDescent="0.25"/>
    <row r="236699" customFormat="1" x14ac:dyDescent="0.25"/>
    <row r="236700" customFormat="1" x14ac:dyDescent="0.25"/>
    <row r="236701" customFormat="1" x14ac:dyDescent="0.25"/>
    <row r="236702" customFormat="1" x14ac:dyDescent="0.25"/>
    <row r="236703" customFormat="1" x14ac:dyDescent="0.25"/>
    <row r="236704" customFormat="1" x14ac:dyDescent="0.25"/>
    <row r="236705" customFormat="1" x14ac:dyDescent="0.25"/>
    <row r="236706" customFormat="1" x14ac:dyDescent="0.25"/>
    <row r="236707" customFormat="1" x14ac:dyDescent="0.25"/>
    <row r="236708" customFormat="1" x14ac:dyDescent="0.25"/>
    <row r="236709" customFormat="1" x14ac:dyDescent="0.25"/>
    <row r="236710" customFormat="1" x14ac:dyDescent="0.25"/>
    <row r="236711" customFormat="1" x14ac:dyDescent="0.25"/>
    <row r="236712" customFormat="1" x14ac:dyDescent="0.25"/>
    <row r="236713" customFormat="1" x14ac:dyDescent="0.25"/>
    <row r="236714" customFormat="1" x14ac:dyDescent="0.25"/>
    <row r="236715" customFormat="1" x14ac:dyDescent="0.25"/>
    <row r="236716" customFormat="1" x14ac:dyDescent="0.25"/>
    <row r="236717" customFormat="1" x14ac:dyDescent="0.25"/>
    <row r="236718" customFormat="1" x14ac:dyDescent="0.25"/>
    <row r="236719" customFormat="1" x14ac:dyDescent="0.25"/>
    <row r="236720" customFormat="1" x14ac:dyDescent="0.25"/>
    <row r="236721" customFormat="1" x14ac:dyDescent="0.25"/>
    <row r="236722" customFormat="1" x14ac:dyDescent="0.25"/>
    <row r="236723" customFormat="1" x14ac:dyDescent="0.25"/>
    <row r="236724" customFormat="1" x14ac:dyDescent="0.25"/>
    <row r="236725" customFormat="1" x14ac:dyDescent="0.25"/>
    <row r="236726" customFormat="1" x14ac:dyDescent="0.25"/>
    <row r="236727" customFormat="1" x14ac:dyDescent="0.25"/>
    <row r="236728" customFormat="1" x14ac:dyDescent="0.25"/>
    <row r="236729" customFormat="1" x14ac:dyDescent="0.25"/>
    <row r="236730" customFormat="1" x14ac:dyDescent="0.25"/>
    <row r="236731" customFormat="1" x14ac:dyDescent="0.25"/>
    <row r="236732" customFormat="1" x14ac:dyDescent="0.25"/>
    <row r="236733" customFormat="1" x14ac:dyDescent="0.25"/>
    <row r="236734" customFormat="1" x14ac:dyDescent="0.25"/>
    <row r="236735" customFormat="1" x14ac:dyDescent="0.25"/>
    <row r="236736" customFormat="1" x14ac:dyDescent="0.25"/>
    <row r="236737" customFormat="1" x14ac:dyDescent="0.25"/>
    <row r="236738" customFormat="1" x14ac:dyDescent="0.25"/>
    <row r="236739" customFormat="1" x14ac:dyDescent="0.25"/>
    <row r="236740" customFormat="1" x14ac:dyDescent="0.25"/>
    <row r="236741" customFormat="1" x14ac:dyDescent="0.25"/>
    <row r="236742" customFormat="1" x14ac:dyDescent="0.25"/>
    <row r="236743" customFormat="1" x14ac:dyDescent="0.25"/>
    <row r="236744" customFormat="1" x14ac:dyDescent="0.25"/>
    <row r="236745" customFormat="1" x14ac:dyDescent="0.25"/>
    <row r="236746" customFormat="1" x14ac:dyDescent="0.25"/>
    <row r="236747" customFormat="1" x14ac:dyDescent="0.25"/>
    <row r="236748" customFormat="1" x14ac:dyDescent="0.25"/>
    <row r="236749" customFormat="1" x14ac:dyDescent="0.25"/>
    <row r="236750" customFormat="1" x14ac:dyDescent="0.25"/>
    <row r="236751" customFormat="1" x14ac:dyDescent="0.25"/>
    <row r="236752" customFormat="1" x14ac:dyDescent="0.25"/>
    <row r="236753" customFormat="1" x14ac:dyDescent="0.25"/>
    <row r="236754" customFormat="1" x14ac:dyDescent="0.25"/>
    <row r="236755" customFormat="1" x14ac:dyDescent="0.25"/>
    <row r="236756" customFormat="1" x14ac:dyDescent="0.25"/>
    <row r="236757" customFormat="1" x14ac:dyDescent="0.25"/>
    <row r="236758" customFormat="1" x14ac:dyDescent="0.25"/>
    <row r="236759" customFormat="1" x14ac:dyDescent="0.25"/>
    <row r="236760" customFormat="1" x14ac:dyDescent="0.25"/>
    <row r="236761" customFormat="1" x14ac:dyDescent="0.25"/>
    <row r="236762" customFormat="1" x14ac:dyDescent="0.25"/>
    <row r="236763" customFormat="1" x14ac:dyDescent="0.25"/>
    <row r="236764" customFormat="1" x14ac:dyDescent="0.25"/>
    <row r="236765" customFormat="1" x14ac:dyDescent="0.25"/>
    <row r="236766" customFormat="1" x14ac:dyDescent="0.25"/>
    <row r="236767" customFormat="1" x14ac:dyDescent="0.25"/>
    <row r="236768" customFormat="1" x14ac:dyDescent="0.25"/>
    <row r="236769" customFormat="1" x14ac:dyDescent="0.25"/>
    <row r="236770" customFormat="1" x14ac:dyDescent="0.25"/>
    <row r="236771" customFormat="1" x14ac:dyDescent="0.25"/>
    <row r="236772" customFormat="1" x14ac:dyDescent="0.25"/>
    <row r="236773" customFormat="1" x14ac:dyDescent="0.25"/>
    <row r="236774" customFormat="1" x14ac:dyDescent="0.25"/>
    <row r="236775" customFormat="1" x14ac:dyDescent="0.25"/>
    <row r="236776" customFormat="1" x14ac:dyDescent="0.25"/>
    <row r="236777" customFormat="1" x14ac:dyDescent="0.25"/>
    <row r="236778" customFormat="1" x14ac:dyDescent="0.25"/>
    <row r="236779" customFormat="1" x14ac:dyDescent="0.25"/>
    <row r="236780" customFormat="1" x14ac:dyDescent="0.25"/>
    <row r="236781" customFormat="1" x14ac:dyDescent="0.25"/>
    <row r="236782" customFormat="1" x14ac:dyDescent="0.25"/>
    <row r="236783" customFormat="1" x14ac:dyDescent="0.25"/>
    <row r="236784" customFormat="1" x14ac:dyDescent="0.25"/>
    <row r="236785" customFormat="1" x14ac:dyDescent="0.25"/>
    <row r="236786" customFormat="1" x14ac:dyDescent="0.25"/>
    <row r="236787" customFormat="1" x14ac:dyDescent="0.25"/>
    <row r="236788" customFormat="1" x14ac:dyDescent="0.25"/>
    <row r="236789" customFormat="1" x14ac:dyDescent="0.25"/>
    <row r="236790" customFormat="1" x14ac:dyDescent="0.25"/>
    <row r="236791" customFormat="1" x14ac:dyDescent="0.25"/>
    <row r="236792" customFormat="1" x14ac:dyDescent="0.25"/>
    <row r="236793" customFormat="1" x14ac:dyDescent="0.25"/>
    <row r="236794" customFormat="1" x14ac:dyDescent="0.25"/>
    <row r="236795" customFormat="1" x14ac:dyDescent="0.25"/>
    <row r="236796" customFormat="1" x14ac:dyDescent="0.25"/>
    <row r="236797" customFormat="1" x14ac:dyDescent="0.25"/>
    <row r="236798" customFormat="1" x14ac:dyDescent="0.25"/>
    <row r="236799" customFormat="1" x14ac:dyDescent="0.25"/>
    <row r="236800" customFormat="1" x14ac:dyDescent="0.25"/>
    <row r="236801" customFormat="1" x14ac:dyDescent="0.25"/>
    <row r="236802" customFormat="1" x14ac:dyDescent="0.25"/>
    <row r="236803" customFormat="1" x14ac:dyDescent="0.25"/>
    <row r="236804" customFormat="1" x14ac:dyDescent="0.25"/>
    <row r="236805" customFormat="1" x14ac:dyDescent="0.25"/>
    <row r="236806" customFormat="1" x14ac:dyDescent="0.25"/>
    <row r="236807" customFormat="1" x14ac:dyDescent="0.25"/>
    <row r="236808" customFormat="1" x14ac:dyDescent="0.25"/>
    <row r="236809" customFormat="1" x14ac:dyDescent="0.25"/>
    <row r="236810" customFormat="1" x14ac:dyDescent="0.25"/>
    <row r="236811" customFormat="1" x14ac:dyDescent="0.25"/>
    <row r="236812" customFormat="1" x14ac:dyDescent="0.25"/>
    <row r="236813" customFormat="1" x14ac:dyDescent="0.25"/>
    <row r="236814" customFormat="1" x14ac:dyDescent="0.25"/>
    <row r="236815" customFormat="1" x14ac:dyDescent="0.25"/>
    <row r="236816" customFormat="1" x14ac:dyDescent="0.25"/>
    <row r="236817" customFormat="1" x14ac:dyDescent="0.25"/>
    <row r="236818" customFormat="1" x14ac:dyDescent="0.25"/>
    <row r="236819" customFormat="1" x14ac:dyDescent="0.25"/>
    <row r="236820" customFormat="1" x14ac:dyDescent="0.25"/>
    <row r="236821" customFormat="1" x14ac:dyDescent="0.25"/>
    <row r="236822" customFormat="1" x14ac:dyDescent="0.25"/>
    <row r="236823" customFormat="1" x14ac:dyDescent="0.25"/>
    <row r="236824" customFormat="1" x14ac:dyDescent="0.25"/>
    <row r="236825" customFormat="1" x14ac:dyDescent="0.25"/>
    <row r="236826" customFormat="1" x14ac:dyDescent="0.25"/>
    <row r="236827" customFormat="1" x14ac:dyDescent="0.25"/>
    <row r="236828" customFormat="1" x14ac:dyDescent="0.25"/>
    <row r="236829" customFormat="1" x14ac:dyDescent="0.25"/>
    <row r="236830" customFormat="1" x14ac:dyDescent="0.25"/>
    <row r="236831" customFormat="1" x14ac:dyDescent="0.25"/>
    <row r="236832" customFormat="1" x14ac:dyDescent="0.25"/>
    <row r="236833" customFormat="1" x14ac:dyDescent="0.25"/>
    <row r="236834" customFormat="1" x14ac:dyDescent="0.25"/>
    <row r="236835" customFormat="1" x14ac:dyDescent="0.25"/>
    <row r="236836" customFormat="1" x14ac:dyDescent="0.25"/>
    <row r="236837" customFormat="1" x14ac:dyDescent="0.25"/>
    <row r="236838" customFormat="1" x14ac:dyDescent="0.25"/>
    <row r="236839" customFormat="1" x14ac:dyDescent="0.25"/>
    <row r="236840" customFormat="1" x14ac:dyDescent="0.25"/>
    <row r="236841" customFormat="1" x14ac:dyDescent="0.25"/>
    <row r="236842" customFormat="1" x14ac:dyDescent="0.25"/>
    <row r="236843" customFormat="1" x14ac:dyDescent="0.25"/>
    <row r="236844" customFormat="1" x14ac:dyDescent="0.25"/>
    <row r="236845" customFormat="1" x14ac:dyDescent="0.25"/>
    <row r="236846" customFormat="1" x14ac:dyDescent="0.25"/>
    <row r="236847" customFormat="1" x14ac:dyDescent="0.25"/>
    <row r="236848" customFormat="1" x14ac:dyDescent="0.25"/>
    <row r="236849" customFormat="1" x14ac:dyDescent="0.25"/>
    <row r="236850" customFormat="1" x14ac:dyDescent="0.25"/>
    <row r="236851" customFormat="1" x14ac:dyDescent="0.25"/>
    <row r="236852" customFormat="1" x14ac:dyDescent="0.25"/>
    <row r="236853" customFormat="1" x14ac:dyDescent="0.25"/>
    <row r="236854" customFormat="1" x14ac:dyDescent="0.25"/>
    <row r="236855" customFormat="1" x14ac:dyDescent="0.25"/>
    <row r="236856" customFormat="1" x14ac:dyDescent="0.25"/>
    <row r="236857" customFormat="1" x14ac:dyDescent="0.25"/>
    <row r="236858" customFormat="1" x14ac:dyDescent="0.25"/>
    <row r="236859" customFormat="1" x14ac:dyDescent="0.25"/>
    <row r="236860" customFormat="1" x14ac:dyDescent="0.25"/>
    <row r="236861" customFormat="1" x14ac:dyDescent="0.25"/>
    <row r="236862" customFormat="1" x14ac:dyDescent="0.25"/>
    <row r="236863" customFormat="1" x14ac:dyDescent="0.25"/>
    <row r="236864" customFormat="1" x14ac:dyDescent="0.25"/>
    <row r="236865" customFormat="1" x14ac:dyDescent="0.25"/>
    <row r="236866" customFormat="1" x14ac:dyDescent="0.25"/>
    <row r="236867" customFormat="1" x14ac:dyDescent="0.25"/>
    <row r="236868" customFormat="1" x14ac:dyDescent="0.25"/>
    <row r="236869" customFormat="1" x14ac:dyDescent="0.25"/>
    <row r="236870" customFormat="1" x14ac:dyDescent="0.25"/>
    <row r="236871" customFormat="1" x14ac:dyDescent="0.25"/>
    <row r="236872" customFormat="1" x14ac:dyDescent="0.25"/>
    <row r="236873" customFormat="1" x14ac:dyDescent="0.25"/>
    <row r="236874" customFormat="1" x14ac:dyDescent="0.25"/>
    <row r="236875" customFormat="1" x14ac:dyDescent="0.25"/>
    <row r="236876" customFormat="1" x14ac:dyDescent="0.25"/>
    <row r="236877" customFormat="1" x14ac:dyDescent="0.25"/>
    <row r="236878" customFormat="1" x14ac:dyDescent="0.25"/>
    <row r="236879" customFormat="1" x14ac:dyDescent="0.25"/>
    <row r="236880" customFormat="1" x14ac:dyDescent="0.25"/>
    <row r="236881" customFormat="1" x14ac:dyDescent="0.25"/>
    <row r="236882" customFormat="1" x14ac:dyDescent="0.25"/>
    <row r="236883" customFormat="1" x14ac:dyDescent="0.25"/>
    <row r="236884" customFormat="1" x14ac:dyDescent="0.25"/>
    <row r="236885" customFormat="1" x14ac:dyDescent="0.25"/>
    <row r="236886" customFormat="1" x14ac:dyDescent="0.25"/>
    <row r="236887" customFormat="1" x14ac:dyDescent="0.25"/>
    <row r="236888" customFormat="1" x14ac:dyDescent="0.25"/>
    <row r="236889" customFormat="1" x14ac:dyDescent="0.25"/>
    <row r="236890" customFormat="1" x14ac:dyDescent="0.25"/>
    <row r="236891" customFormat="1" x14ac:dyDescent="0.25"/>
    <row r="236892" customFormat="1" x14ac:dyDescent="0.25"/>
    <row r="236893" customFormat="1" x14ac:dyDescent="0.25"/>
    <row r="236894" customFormat="1" x14ac:dyDescent="0.25"/>
    <row r="236895" customFormat="1" x14ac:dyDescent="0.25"/>
    <row r="236896" customFormat="1" x14ac:dyDescent="0.25"/>
    <row r="236897" customFormat="1" x14ac:dyDescent="0.25"/>
    <row r="236898" customFormat="1" x14ac:dyDescent="0.25"/>
    <row r="236899" customFormat="1" x14ac:dyDescent="0.25"/>
    <row r="236900" customFormat="1" x14ac:dyDescent="0.25"/>
    <row r="236901" customFormat="1" x14ac:dyDescent="0.25"/>
    <row r="236902" customFormat="1" x14ac:dyDescent="0.25"/>
    <row r="236903" customFormat="1" x14ac:dyDescent="0.25"/>
    <row r="236904" customFormat="1" x14ac:dyDescent="0.25"/>
    <row r="236905" customFormat="1" x14ac:dyDescent="0.25"/>
    <row r="236906" customFormat="1" x14ac:dyDescent="0.25"/>
    <row r="236907" customFormat="1" x14ac:dyDescent="0.25"/>
    <row r="236908" customFormat="1" x14ac:dyDescent="0.25"/>
    <row r="236909" customFormat="1" x14ac:dyDescent="0.25"/>
    <row r="236910" customFormat="1" x14ac:dyDescent="0.25"/>
    <row r="236911" customFormat="1" x14ac:dyDescent="0.25"/>
    <row r="236912" customFormat="1" x14ac:dyDescent="0.25"/>
    <row r="236913" customFormat="1" x14ac:dyDescent="0.25"/>
    <row r="236914" customFormat="1" x14ac:dyDescent="0.25"/>
    <row r="236915" customFormat="1" x14ac:dyDescent="0.25"/>
    <row r="236916" customFormat="1" x14ac:dyDescent="0.25"/>
    <row r="236917" customFormat="1" x14ac:dyDescent="0.25"/>
    <row r="236918" customFormat="1" x14ac:dyDescent="0.25"/>
    <row r="236919" customFormat="1" x14ac:dyDescent="0.25"/>
    <row r="236920" customFormat="1" x14ac:dyDescent="0.25"/>
    <row r="236921" customFormat="1" x14ac:dyDescent="0.25"/>
    <row r="236922" customFormat="1" x14ac:dyDescent="0.25"/>
    <row r="236923" customFormat="1" x14ac:dyDescent="0.25"/>
    <row r="236924" customFormat="1" x14ac:dyDescent="0.25"/>
    <row r="236925" customFormat="1" x14ac:dyDescent="0.25"/>
    <row r="236926" customFormat="1" x14ac:dyDescent="0.25"/>
    <row r="236927" customFormat="1" x14ac:dyDescent="0.25"/>
    <row r="236928" customFormat="1" x14ac:dyDescent="0.25"/>
    <row r="236929" customFormat="1" x14ac:dyDescent="0.25"/>
    <row r="236930" customFormat="1" x14ac:dyDescent="0.25"/>
    <row r="236931" customFormat="1" x14ac:dyDescent="0.25"/>
    <row r="236932" customFormat="1" x14ac:dyDescent="0.25"/>
    <row r="236933" customFormat="1" x14ac:dyDescent="0.25"/>
    <row r="236934" customFormat="1" x14ac:dyDescent="0.25"/>
    <row r="236935" customFormat="1" x14ac:dyDescent="0.25"/>
    <row r="236936" customFormat="1" x14ac:dyDescent="0.25"/>
    <row r="236937" customFormat="1" x14ac:dyDescent="0.25"/>
    <row r="236938" customFormat="1" x14ac:dyDescent="0.25"/>
    <row r="236939" customFormat="1" x14ac:dyDescent="0.25"/>
    <row r="236940" customFormat="1" x14ac:dyDescent="0.25"/>
    <row r="236941" customFormat="1" x14ac:dyDescent="0.25"/>
    <row r="236942" customFormat="1" x14ac:dyDescent="0.25"/>
    <row r="236943" customFormat="1" x14ac:dyDescent="0.25"/>
    <row r="236944" customFormat="1" x14ac:dyDescent="0.25"/>
    <row r="236945" customFormat="1" x14ac:dyDescent="0.25"/>
    <row r="236946" customFormat="1" x14ac:dyDescent="0.25"/>
    <row r="236947" customFormat="1" x14ac:dyDescent="0.25"/>
    <row r="236948" customFormat="1" x14ac:dyDescent="0.25"/>
    <row r="236949" customFormat="1" x14ac:dyDescent="0.25"/>
    <row r="236950" customFormat="1" x14ac:dyDescent="0.25"/>
    <row r="236951" customFormat="1" x14ac:dyDescent="0.25"/>
    <row r="236952" customFormat="1" x14ac:dyDescent="0.25"/>
    <row r="236953" customFormat="1" x14ac:dyDescent="0.25"/>
    <row r="236954" customFormat="1" x14ac:dyDescent="0.25"/>
    <row r="236955" customFormat="1" x14ac:dyDescent="0.25"/>
    <row r="236956" customFormat="1" x14ac:dyDescent="0.25"/>
    <row r="236957" customFormat="1" x14ac:dyDescent="0.25"/>
    <row r="236958" customFormat="1" x14ac:dyDescent="0.25"/>
    <row r="236959" customFormat="1" x14ac:dyDescent="0.25"/>
    <row r="236960" customFormat="1" x14ac:dyDescent="0.25"/>
    <row r="236961" customFormat="1" x14ac:dyDescent="0.25"/>
    <row r="236962" customFormat="1" x14ac:dyDescent="0.25"/>
    <row r="236963" customFormat="1" x14ac:dyDescent="0.25"/>
    <row r="236964" customFormat="1" x14ac:dyDescent="0.25"/>
    <row r="236965" customFormat="1" x14ac:dyDescent="0.25"/>
    <row r="236966" customFormat="1" x14ac:dyDescent="0.25"/>
    <row r="236967" customFormat="1" x14ac:dyDescent="0.25"/>
    <row r="236968" customFormat="1" x14ac:dyDescent="0.25"/>
    <row r="236969" customFormat="1" x14ac:dyDescent="0.25"/>
    <row r="236970" customFormat="1" x14ac:dyDescent="0.25"/>
    <row r="236971" customFormat="1" x14ac:dyDescent="0.25"/>
    <row r="236972" customFormat="1" x14ac:dyDescent="0.25"/>
    <row r="236973" customFormat="1" x14ac:dyDescent="0.25"/>
    <row r="236974" customFormat="1" x14ac:dyDescent="0.25"/>
    <row r="236975" customFormat="1" x14ac:dyDescent="0.25"/>
    <row r="236976" customFormat="1" x14ac:dyDescent="0.25"/>
    <row r="236977" customFormat="1" x14ac:dyDescent="0.25"/>
    <row r="236978" customFormat="1" x14ac:dyDescent="0.25"/>
    <row r="236979" customFormat="1" x14ac:dyDescent="0.25"/>
    <row r="236980" customFormat="1" x14ac:dyDescent="0.25"/>
    <row r="236981" customFormat="1" x14ac:dyDescent="0.25"/>
    <row r="236982" customFormat="1" x14ac:dyDescent="0.25"/>
    <row r="236983" customFormat="1" x14ac:dyDescent="0.25"/>
    <row r="236984" customFormat="1" x14ac:dyDescent="0.25"/>
    <row r="236985" customFormat="1" x14ac:dyDescent="0.25"/>
    <row r="236986" customFormat="1" x14ac:dyDescent="0.25"/>
    <row r="236987" customFormat="1" x14ac:dyDescent="0.25"/>
    <row r="236988" customFormat="1" x14ac:dyDescent="0.25"/>
    <row r="236989" customFormat="1" x14ac:dyDescent="0.25"/>
    <row r="236990" customFormat="1" x14ac:dyDescent="0.25"/>
    <row r="236991" customFormat="1" x14ac:dyDescent="0.25"/>
    <row r="236992" customFormat="1" x14ac:dyDescent="0.25"/>
    <row r="236993" customFormat="1" x14ac:dyDescent="0.25"/>
    <row r="236994" customFormat="1" x14ac:dyDescent="0.25"/>
    <row r="236995" customFormat="1" x14ac:dyDescent="0.25"/>
    <row r="236996" customFormat="1" x14ac:dyDescent="0.25"/>
    <row r="236997" customFormat="1" x14ac:dyDescent="0.25"/>
    <row r="236998" customFormat="1" x14ac:dyDescent="0.25"/>
    <row r="236999" customFormat="1" x14ac:dyDescent="0.25"/>
    <row r="237000" customFormat="1" x14ac:dyDescent="0.25"/>
    <row r="237001" customFormat="1" x14ac:dyDescent="0.25"/>
    <row r="237002" customFormat="1" x14ac:dyDescent="0.25"/>
    <row r="237003" customFormat="1" x14ac:dyDescent="0.25"/>
    <row r="237004" customFormat="1" x14ac:dyDescent="0.25"/>
    <row r="237005" customFormat="1" x14ac:dyDescent="0.25"/>
    <row r="237006" customFormat="1" x14ac:dyDescent="0.25"/>
    <row r="237007" customFormat="1" x14ac:dyDescent="0.25"/>
    <row r="237008" customFormat="1" x14ac:dyDescent="0.25"/>
    <row r="237009" customFormat="1" x14ac:dyDescent="0.25"/>
    <row r="237010" customFormat="1" x14ac:dyDescent="0.25"/>
    <row r="237011" customFormat="1" x14ac:dyDescent="0.25"/>
    <row r="237012" customFormat="1" x14ac:dyDescent="0.25"/>
    <row r="237013" customFormat="1" x14ac:dyDescent="0.25"/>
    <row r="237014" customFormat="1" x14ac:dyDescent="0.25"/>
    <row r="237015" customFormat="1" x14ac:dyDescent="0.25"/>
    <row r="237016" customFormat="1" x14ac:dyDescent="0.25"/>
    <row r="237017" customFormat="1" x14ac:dyDescent="0.25"/>
    <row r="237018" customFormat="1" x14ac:dyDescent="0.25"/>
    <row r="237019" customFormat="1" x14ac:dyDescent="0.25"/>
    <row r="237020" customFormat="1" x14ac:dyDescent="0.25"/>
    <row r="237021" customFormat="1" x14ac:dyDescent="0.25"/>
    <row r="237022" customFormat="1" x14ac:dyDescent="0.25"/>
    <row r="237023" customFormat="1" x14ac:dyDescent="0.25"/>
    <row r="237024" customFormat="1" x14ac:dyDescent="0.25"/>
    <row r="237025" customFormat="1" x14ac:dyDescent="0.25"/>
    <row r="237026" customFormat="1" x14ac:dyDescent="0.25"/>
    <row r="237027" customFormat="1" x14ac:dyDescent="0.25"/>
    <row r="237028" customFormat="1" x14ac:dyDescent="0.25"/>
    <row r="237029" customFormat="1" x14ac:dyDescent="0.25"/>
    <row r="237030" customFormat="1" x14ac:dyDescent="0.25"/>
    <row r="237031" customFormat="1" x14ac:dyDescent="0.25"/>
    <row r="237032" customFormat="1" x14ac:dyDescent="0.25"/>
    <row r="237033" customFormat="1" x14ac:dyDescent="0.25"/>
    <row r="237034" customFormat="1" x14ac:dyDescent="0.25"/>
    <row r="237035" customFormat="1" x14ac:dyDescent="0.25"/>
    <row r="237036" customFormat="1" x14ac:dyDescent="0.25"/>
    <row r="237037" customFormat="1" x14ac:dyDescent="0.25"/>
    <row r="237038" customFormat="1" x14ac:dyDescent="0.25"/>
    <row r="237039" customFormat="1" x14ac:dyDescent="0.25"/>
    <row r="237040" customFormat="1" x14ac:dyDescent="0.25"/>
    <row r="237041" customFormat="1" x14ac:dyDescent="0.25"/>
    <row r="237042" customFormat="1" x14ac:dyDescent="0.25"/>
    <row r="237043" customFormat="1" x14ac:dyDescent="0.25"/>
    <row r="237044" customFormat="1" x14ac:dyDescent="0.25"/>
    <row r="237045" customFormat="1" x14ac:dyDescent="0.25"/>
    <row r="237046" customFormat="1" x14ac:dyDescent="0.25"/>
    <row r="237047" customFormat="1" x14ac:dyDescent="0.25"/>
    <row r="237048" customFormat="1" x14ac:dyDescent="0.25"/>
    <row r="237049" customFormat="1" x14ac:dyDescent="0.25"/>
    <row r="237050" customFormat="1" x14ac:dyDescent="0.25"/>
    <row r="237051" customFormat="1" x14ac:dyDescent="0.25"/>
    <row r="237052" customFormat="1" x14ac:dyDescent="0.25"/>
    <row r="237053" customFormat="1" x14ac:dyDescent="0.25"/>
    <row r="237054" customFormat="1" x14ac:dyDescent="0.25"/>
    <row r="237055" customFormat="1" x14ac:dyDescent="0.25"/>
    <row r="237056" customFormat="1" x14ac:dyDescent="0.25"/>
    <row r="237057" customFormat="1" x14ac:dyDescent="0.25"/>
    <row r="237058" customFormat="1" x14ac:dyDescent="0.25"/>
    <row r="237059" customFormat="1" x14ac:dyDescent="0.25"/>
    <row r="237060" customFormat="1" x14ac:dyDescent="0.25"/>
    <row r="237061" customFormat="1" x14ac:dyDescent="0.25"/>
    <row r="237062" customFormat="1" x14ac:dyDescent="0.25"/>
    <row r="237063" customFormat="1" x14ac:dyDescent="0.25"/>
    <row r="237064" customFormat="1" x14ac:dyDescent="0.25"/>
    <row r="237065" customFormat="1" x14ac:dyDescent="0.25"/>
    <row r="237066" customFormat="1" x14ac:dyDescent="0.25"/>
    <row r="237067" customFormat="1" x14ac:dyDescent="0.25"/>
    <row r="237068" customFormat="1" x14ac:dyDescent="0.25"/>
    <row r="237069" customFormat="1" x14ac:dyDescent="0.25"/>
    <row r="237070" customFormat="1" x14ac:dyDescent="0.25"/>
    <row r="237071" customFormat="1" x14ac:dyDescent="0.25"/>
    <row r="237072" customFormat="1" x14ac:dyDescent="0.25"/>
    <row r="237073" customFormat="1" x14ac:dyDescent="0.25"/>
    <row r="237074" customFormat="1" x14ac:dyDescent="0.25"/>
    <row r="237075" customFormat="1" x14ac:dyDescent="0.25"/>
    <row r="237076" customFormat="1" x14ac:dyDescent="0.25"/>
    <row r="237077" customFormat="1" x14ac:dyDescent="0.25"/>
    <row r="237078" customFormat="1" x14ac:dyDescent="0.25"/>
    <row r="237079" customFormat="1" x14ac:dyDescent="0.25"/>
    <row r="237080" customFormat="1" x14ac:dyDescent="0.25"/>
    <row r="237081" customFormat="1" x14ac:dyDescent="0.25"/>
    <row r="237082" customFormat="1" x14ac:dyDescent="0.25"/>
    <row r="237083" customFormat="1" x14ac:dyDescent="0.25"/>
    <row r="237084" customFormat="1" x14ac:dyDescent="0.25"/>
    <row r="237085" customFormat="1" x14ac:dyDescent="0.25"/>
    <row r="237086" customFormat="1" x14ac:dyDescent="0.25"/>
    <row r="237087" customFormat="1" x14ac:dyDescent="0.25"/>
    <row r="237088" customFormat="1" x14ac:dyDescent="0.25"/>
    <row r="237089" customFormat="1" x14ac:dyDescent="0.25"/>
    <row r="237090" customFormat="1" x14ac:dyDescent="0.25"/>
    <row r="237091" customFormat="1" x14ac:dyDescent="0.25"/>
    <row r="237092" customFormat="1" x14ac:dyDescent="0.25"/>
    <row r="237093" customFormat="1" x14ac:dyDescent="0.25"/>
    <row r="237094" customFormat="1" x14ac:dyDescent="0.25"/>
    <row r="237095" customFormat="1" x14ac:dyDescent="0.25"/>
    <row r="237096" customFormat="1" x14ac:dyDescent="0.25"/>
    <row r="237097" customFormat="1" x14ac:dyDescent="0.25"/>
    <row r="237098" customFormat="1" x14ac:dyDescent="0.25"/>
    <row r="237099" customFormat="1" x14ac:dyDescent="0.25"/>
    <row r="237100" customFormat="1" x14ac:dyDescent="0.25"/>
    <row r="237101" customFormat="1" x14ac:dyDescent="0.25"/>
    <row r="237102" customFormat="1" x14ac:dyDescent="0.25"/>
    <row r="237103" customFormat="1" x14ac:dyDescent="0.25"/>
    <row r="237104" customFormat="1" x14ac:dyDescent="0.25"/>
    <row r="237105" customFormat="1" x14ac:dyDescent="0.25"/>
    <row r="237106" customFormat="1" x14ac:dyDescent="0.25"/>
    <row r="237107" customFormat="1" x14ac:dyDescent="0.25"/>
    <row r="237108" customFormat="1" x14ac:dyDescent="0.25"/>
    <row r="237109" customFormat="1" x14ac:dyDescent="0.25"/>
    <row r="237110" customFormat="1" x14ac:dyDescent="0.25"/>
    <row r="237111" customFormat="1" x14ac:dyDescent="0.25"/>
    <row r="237112" customFormat="1" x14ac:dyDescent="0.25"/>
    <row r="237113" customFormat="1" x14ac:dyDescent="0.25"/>
    <row r="237114" customFormat="1" x14ac:dyDescent="0.25"/>
    <row r="237115" customFormat="1" x14ac:dyDescent="0.25"/>
    <row r="237116" customFormat="1" x14ac:dyDescent="0.25"/>
    <row r="237117" customFormat="1" x14ac:dyDescent="0.25"/>
    <row r="237118" customFormat="1" x14ac:dyDescent="0.25"/>
    <row r="237119" customFormat="1" x14ac:dyDescent="0.25"/>
    <row r="237120" customFormat="1" x14ac:dyDescent="0.25"/>
    <row r="237121" customFormat="1" x14ac:dyDescent="0.25"/>
    <row r="237122" customFormat="1" x14ac:dyDescent="0.25"/>
    <row r="237123" customFormat="1" x14ac:dyDescent="0.25"/>
    <row r="237124" customFormat="1" x14ac:dyDescent="0.25"/>
    <row r="237125" customFormat="1" x14ac:dyDescent="0.25"/>
    <row r="237126" customFormat="1" x14ac:dyDescent="0.25"/>
    <row r="237127" customFormat="1" x14ac:dyDescent="0.25"/>
    <row r="237128" customFormat="1" x14ac:dyDescent="0.25"/>
    <row r="237129" customFormat="1" x14ac:dyDescent="0.25"/>
    <row r="237130" customFormat="1" x14ac:dyDescent="0.25"/>
    <row r="237131" customFormat="1" x14ac:dyDescent="0.25"/>
    <row r="237132" customFormat="1" x14ac:dyDescent="0.25"/>
    <row r="237133" customFormat="1" x14ac:dyDescent="0.25"/>
    <row r="237134" customFormat="1" x14ac:dyDescent="0.25"/>
    <row r="237135" customFormat="1" x14ac:dyDescent="0.25"/>
    <row r="237136" customFormat="1" x14ac:dyDescent="0.25"/>
    <row r="237137" customFormat="1" x14ac:dyDescent="0.25"/>
    <row r="237138" customFormat="1" x14ac:dyDescent="0.25"/>
    <row r="237139" customFormat="1" x14ac:dyDescent="0.25"/>
    <row r="237140" customFormat="1" x14ac:dyDescent="0.25"/>
    <row r="237141" customFormat="1" x14ac:dyDescent="0.25"/>
    <row r="237142" customFormat="1" x14ac:dyDescent="0.25"/>
    <row r="237143" customFormat="1" x14ac:dyDescent="0.25"/>
    <row r="237144" customFormat="1" x14ac:dyDescent="0.25"/>
    <row r="237145" customFormat="1" x14ac:dyDescent="0.25"/>
    <row r="237146" customFormat="1" x14ac:dyDescent="0.25"/>
    <row r="237147" customFormat="1" x14ac:dyDescent="0.25"/>
    <row r="237148" customFormat="1" x14ac:dyDescent="0.25"/>
    <row r="237149" customFormat="1" x14ac:dyDescent="0.25"/>
    <row r="237150" customFormat="1" x14ac:dyDescent="0.25"/>
    <row r="237151" customFormat="1" x14ac:dyDescent="0.25"/>
    <row r="237152" customFormat="1" x14ac:dyDescent="0.25"/>
    <row r="237153" customFormat="1" x14ac:dyDescent="0.25"/>
    <row r="237154" customFormat="1" x14ac:dyDescent="0.25"/>
    <row r="237155" customFormat="1" x14ac:dyDescent="0.25"/>
    <row r="237156" customFormat="1" x14ac:dyDescent="0.25"/>
    <row r="237157" customFormat="1" x14ac:dyDescent="0.25"/>
    <row r="237158" customFormat="1" x14ac:dyDescent="0.25"/>
    <row r="237159" customFormat="1" x14ac:dyDescent="0.25"/>
    <row r="237160" customFormat="1" x14ac:dyDescent="0.25"/>
    <row r="237161" customFormat="1" x14ac:dyDescent="0.25"/>
    <row r="237162" customFormat="1" x14ac:dyDescent="0.25"/>
    <row r="237163" customFormat="1" x14ac:dyDescent="0.25"/>
    <row r="237164" customFormat="1" x14ac:dyDescent="0.25"/>
    <row r="237165" customFormat="1" x14ac:dyDescent="0.25"/>
    <row r="237166" customFormat="1" x14ac:dyDescent="0.25"/>
    <row r="237167" customFormat="1" x14ac:dyDescent="0.25"/>
    <row r="237168" customFormat="1" x14ac:dyDescent="0.25"/>
    <row r="237169" customFormat="1" x14ac:dyDescent="0.25"/>
    <row r="237170" customFormat="1" x14ac:dyDescent="0.25"/>
    <row r="237171" customFormat="1" x14ac:dyDescent="0.25"/>
    <row r="237172" customFormat="1" x14ac:dyDescent="0.25"/>
    <row r="237173" customFormat="1" x14ac:dyDescent="0.25"/>
    <row r="237174" customFormat="1" x14ac:dyDescent="0.25"/>
    <row r="237175" customFormat="1" x14ac:dyDescent="0.25"/>
    <row r="237176" customFormat="1" x14ac:dyDescent="0.25"/>
    <row r="237177" customFormat="1" x14ac:dyDescent="0.25"/>
    <row r="237178" customFormat="1" x14ac:dyDescent="0.25"/>
    <row r="237179" customFormat="1" x14ac:dyDescent="0.25"/>
    <row r="237180" customFormat="1" x14ac:dyDescent="0.25"/>
    <row r="237181" customFormat="1" x14ac:dyDescent="0.25"/>
    <row r="237182" customFormat="1" x14ac:dyDescent="0.25"/>
    <row r="237183" customFormat="1" x14ac:dyDescent="0.25"/>
    <row r="237184" customFormat="1" x14ac:dyDescent="0.25"/>
    <row r="237185" customFormat="1" x14ac:dyDescent="0.25"/>
    <row r="237186" customFormat="1" x14ac:dyDescent="0.25"/>
    <row r="237187" customFormat="1" x14ac:dyDescent="0.25"/>
    <row r="237188" customFormat="1" x14ac:dyDescent="0.25"/>
    <row r="237189" customFormat="1" x14ac:dyDescent="0.25"/>
    <row r="237190" customFormat="1" x14ac:dyDescent="0.25"/>
    <row r="237191" customFormat="1" x14ac:dyDescent="0.25"/>
    <row r="237192" customFormat="1" x14ac:dyDescent="0.25"/>
    <row r="237193" customFormat="1" x14ac:dyDescent="0.25"/>
    <row r="237194" customFormat="1" x14ac:dyDescent="0.25"/>
    <row r="237195" customFormat="1" x14ac:dyDescent="0.25"/>
    <row r="237196" customFormat="1" x14ac:dyDescent="0.25"/>
    <row r="237197" customFormat="1" x14ac:dyDescent="0.25"/>
    <row r="237198" customFormat="1" x14ac:dyDescent="0.25"/>
    <row r="237199" customFormat="1" x14ac:dyDescent="0.25"/>
    <row r="237200" customFormat="1" x14ac:dyDescent="0.25"/>
    <row r="237201" customFormat="1" x14ac:dyDescent="0.25"/>
    <row r="237202" customFormat="1" x14ac:dyDescent="0.25"/>
    <row r="237203" customFormat="1" x14ac:dyDescent="0.25"/>
    <row r="237204" customFormat="1" x14ac:dyDescent="0.25"/>
    <row r="237205" customFormat="1" x14ac:dyDescent="0.25"/>
    <row r="237206" customFormat="1" x14ac:dyDescent="0.25"/>
    <row r="237207" customFormat="1" x14ac:dyDescent="0.25"/>
    <row r="237208" customFormat="1" x14ac:dyDescent="0.25"/>
    <row r="237209" customFormat="1" x14ac:dyDescent="0.25"/>
    <row r="237210" customFormat="1" x14ac:dyDescent="0.25"/>
    <row r="237211" customFormat="1" x14ac:dyDescent="0.25"/>
    <row r="237212" customFormat="1" x14ac:dyDescent="0.25"/>
    <row r="237213" customFormat="1" x14ac:dyDescent="0.25"/>
    <row r="237214" customFormat="1" x14ac:dyDescent="0.25"/>
    <row r="237215" customFormat="1" x14ac:dyDescent="0.25"/>
    <row r="237216" customFormat="1" x14ac:dyDescent="0.25"/>
    <row r="237217" customFormat="1" x14ac:dyDescent="0.25"/>
    <row r="237218" customFormat="1" x14ac:dyDescent="0.25"/>
    <row r="237219" customFormat="1" x14ac:dyDescent="0.25"/>
    <row r="237220" customFormat="1" x14ac:dyDescent="0.25"/>
    <row r="237221" customFormat="1" x14ac:dyDescent="0.25"/>
    <row r="237222" customFormat="1" x14ac:dyDescent="0.25"/>
    <row r="237223" customFormat="1" x14ac:dyDescent="0.25"/>
    <row r="237224" customFormat="1" x14ac:dyDescent="0.25"/>
    <row r="237225" customFormat="1" x14ac:dyDescent="0.25"/>
    <row r="237226" customFormat="1" x14ac:dyDescent="0.25"/>
    <row r="237227" customFormat="1" x14ac:dyDescent="0.25"/>
    <row r="237228" customFormat="1" x14ac:dyDescent="0.25"/>
    <row r="237229" customFormat="1" x14ac:dyDescent="0.25"/>
    <row r="237230" customFormat="1" x14ac:dyDescent="0.25"/>
    <row r="237231" customFormat="1" x14ac:dyDescent="0.25"/>
    <row r="237232" customFormat="1" x14ac:dyDescent="0.25"/>
    <row r="237233" customFormat="1" x14ac:dyDescent="0.25"/>
    <row r="237234" customFormat="1" x14ac:dyDescent="0.25"/>
    <row r="237235" customFormat="1" x14ac:dyDescent="0.25"/>
    <row r="237236" customFormat="1" x14ac:dyDescent="0.25"/>
    <row r="237237" customFormat="1" x14ac:dyDescent="0.25"/>
    <row r="237238" customFormat="1" x14ac:dyDescent="0.25"/>
    <row r="237239" customFormat="1" x14ac:dyDescent="0.25"/>
    <row r="237240" customFormat="1" x14ac:dyDescent="0.25"/>
    <row r="237241" customFormat="1" x14ac:dyDescent="0.25"/>
    <row r="237242" customFormat="1" x14ac:dyDescent="0.25"/>
    <row r="237243" customFormat="1" x14ac:dyDescent="0.25"/>
    <row r="237244" customFormat="1" x14ac:dyDescent="0.25"/>
    <row r="237245" customFormat="1" x14ac:dyDescent="0.25"/>
    <row r="237246" customFormat="1" x14ac:dyDescent="0.25"/>
    <row r="237247" customFormat="1" x14ac:dyDescent="0.25"/>
    <row r="237248" customFormat="1" x14ac:dyDescent="0.25"/>
    <row r="237249" customFormat="1" x14ac:dyDescent="0.25"/>
    <row r="237250" customFormat="1" x14ac:dyDescent="0.25"/>
    <row r="237251" customFormat="1" x14ac:dyDescent="0.25"/>
    <row r="237252" customFormat="1" x14ac:dyDescent="0.25"/>
    <row r="237253" customFormat="1" x14ac:dyDescent="0.25"/>
    <row r="237254" customFormat="1" x14ac:dyDescent="0.25"/>
    <row r="237255" customFormat="1" x14ac:dyDescent="0.25"/>
    <row r="237256" customFormat="1" x14ac:dyDescent="0.25"/>
    <row r="237257" customFormat="1" x14ac:dyDescent="0.25"/>
    <row r="237258" customFormat="1" x14ac:dyDescent="0.25"/>
    <row r="237259" customFormat="1" x14ac:dyDescent="0.25"/>
    <row r="237260" customFormat="1" x14ac:dyDescent="0.25"/>
    <row r="237261" customFormat="1" x14ac:dyDescent="0.25"/>
    <row r="237262" customFormat="1" x14ac:dyDescent="0.25"/>
    <row r="237263" customFormat="1" x14ac:dyDescent="0.25"/>
    <row r="237264" customFormat="1" x14ac:dyDescent="0.25"/>
    <row r="237265" customFormat="1" x14ac:dyDescent="0.25"/>
    <row r="237266" customFormat="1" x14ac:dyDescent="0.25"/>
    <row r="237267" customFormat="1" x14ac:dyDescent="0.25"/>
    <row r="237268" customFormat="1" x14ac:dyDescent="0.25"/>
    <row r="237269" customFormat="1" x14ac:dyDescent="0.25"/>
    <row r="237270" customFormat="1" x14ac:dyDescent="0.25"/>
    <row r="237271" customFormat="1" x14ac:dyDescent="0.25"/>
    <row r="237272" customFormat="1" x14ac:dyDescent="0.25"/>
    <row r="237273" customFormat="1" x14ac:dyDescent="0.25"/>
    <row r="237274" customFormat="1" x14ac:dyDescent="0.25"/>
    <row r="237275" customFormat="1" x14ac:dyDescent="0.25"/>
    <row r="237276" customFormat="1" x14ac:dyDescent="0.25"/>
    <row r="237277" customFormat="1" x14ac:dyDescent="0.25"/>
    <row r="237278" customFormat="1" x14ac:dyDescent="0.25"/>
    <row r="237279" customFormat="1" x14ac:dyDescent="0.25"/>
    <row r="237280" customFormat="1" x14ac:dyDescent="0.25"/>
    <row r="237281" customFormat="1" x14ac:dyDescent="0.25"/>
    <row r="237282" customFormat="1" x14ac:dyDescent="0.25"/>
    <row r="237283" customFormat="1" x14ac:dyDescent="0.25"/>
    <row r="237284" customFormat="1" x14ac:dyDescent="0.25"/>
    <row r="237285" customFormat="1" x14ac:dyDescent="0.25"/>
    <row r="237286" customFormat="1" x14ac:dyDescent="0.25"/>
    <row r="237287" customFormat="1" x14ac:dyDescent="0.25"/>
    <row r="237288" customFormat="1" x14ac:dyDescent="0.25"/>
    <row r="237289" customFormat="1" x14ac:dyDescent="0.25"/>
    <row r="237290" customFormat="1" x14ac:dyDescent="0.25"/>
    <row r="237291" customFormat="1" x14ac:dyDescent="0.25"/>
    <row r="237292" customFormat="1" x14ac:dyDescent="0.25"/>
    <row r="237293" customFormat="1" x14ac:dyDescent="0.25"/>
    <row r="237294" customFormat="1" x14ac:dyDescent="0.25"/>
    <row r="237295" customFormat="1" x14ac:dyDescent="0.25"/>
    <row r="237296" customFormat="1" x14ac:dyDescent="0.25"/>
    <row r="237297" customFormat="1" x14ac:dyDescent="0.25"/>
    <row r="237298" customFormat="1" x14ac:dyDescent="0.25"/>
    <row r="237299" customFormat="1" x14ac:dyDescent="0.25"/>
    <row r="237300" customFormat="1" x14ac:dyDescent="0.25"/>
    <row r="237301" customFormat="1" x14ac:dyDescent="0.25"/>
    <row r="237302" customFormat="1" x14ac:dyDescent="0.25"/>
    <row r="237303" customFormat="1" x14ac:dyDescent="0.25"/>
    <row r="237304" customFormat="1" x14ac:dyDescent="0.25"/>
    <row r="237305" customFormat="1" x14ac:dyDescent="0.25"/>
    <row r="237306" customFormat="1" x14ac:dyDescent="0.25"/>
    <row r="237307" customFormat="1" x14ac:dyDescent="0.25"/>
    <row r="237308" customFormat="1" x14ac:dyDescent="0.25"/>
    <row r="237309" customFormat="1" x14ac:dyDescent="0.25"/>
    <row r="237310" customFormat="1" x14ac:dyDescent="0.25"/>
    <row r="237311" customFormat="1" x14ac:dyDescent="0.25"/>
    <row r="237312" customFormat="1" x14ac:dyDescent="0.25"/>
    <row r="237313" customFormat="1" x14ac:dyDescent="0.25"/>
    <row r="237314" customFormat="1" x14ac:dyDescent="0.25"/>
    <row r="237315" customFormat="1" x14ac:dyDescent="0.25"/>
    <row r="237316" customFormat="1" x14ac:dyDescent="0.25"/>
    <row r="237317" customFormat="1" x14ac:dyDescent="0.25"/>
    <row r="237318" customFormat="1" x14ac:dyDescent="0.25"/>
    <row r="237319" customFormat="1" x14ac:dyDescent="0.25"/>
    <row r="237320" customFormat="1" x14ac:dyDescent="0.25"/>
    <row r="237321" customFormat="1" x14ac:dyDescent="0.25"/>
    <row r="237322" customFormat="1" x14ac:dyDescent="0.25"/>
    <row r="237323" customFormat="1" x14ac:dyDescent="0.25"/>
    <row r="237324" customFormat="1" x14ac:dyDescent="0.25"/>
    <row r="237325" customFormat="1" x14ac:dyDescent="0.25"/>
    <row r="237326" customFormat="1" x14ac:dyDescent="0.25"/>
    <row r="237327" customFormat="1" x14ac:dyDescent="0.25"/>
    <row r="237328" customFormat="1" x14ac:dyDescent="0.25"/>
    <row r="237329" customFormat="1" x14ac:dyDescent="0.25"/>
    <row r="237330" customFormat="1" x14ac:dyDescent="0.25"/>
    <row r="237331" customFormat="1" x14ac:dyDescent="0.25"/>
    <row r="237332" customFormat="1" x14ac:dyDescent="0.25"/>
    <row r="237333" customFormat="1" x14ac:dyDescent="0.25"/>
    <row r="237334" customFormat="1" x14ac:dyDescent="0.25"/>
    <row r="237335" customFormat="1" x14ac:dyDescent="0.25"/>
    <row r="237336" customFormat="1" x14ac:dyDescent="0.25"/>
    <row r="237337" customFormat="1" x14ac:dyDescent="0.25"/>
    <row r="237338" customFormat="1" x14ac:dyDescent="0.25"/>
    <row r="237339" customFormat="1" x14ac:dyDescent="0.25"/>
    <row r="237340" customFormat="1" x14ac:dyDescent="0.25"/>
    <row r="237341" customFormat="1" x14ac:dyDescent="0.25"/>
    <row r="237342" customFormat="1" x14ac:dyDescent="0.25"/>
    <row r="237343" customFormat="1" x14ac:dyDescent="0.25"/>
    <row r="237344" customFormat="1" x14ac:dyDescent="0.25"/>
    <row r="237345" customFormat="1" x14ac:dyDescent="0.25"/>
    <row r="237346" customFormat="1" x14ac:dyDescent="0.25"/>
    <row r="237347" customFormat="1" x14ac:dyDescent="0.25"/>
    <row r="237348" customFormat="1" x14ac:dyDescent="0.25"/>
    <row r="237349" customFormat="1" x14ac:dyDescent="0.25"/>
    <row r="237350" customFormat="1" x14ac:dyDescent="0.25"/>
    <row r="237351" customFormat="1" x14ac:dyDescent="0.25"/>
    <row r="237352" customFormat="1" x14ac:dyDescent="0.25"/>
    <row r="237353" customFormat="1" x14ac:dyDescent="0.25"/>
    <row r="237354" customFormat="1" x14ac:dyDescent="0.25"/>
    <row r="237355" customFormat="1" x14ac:dyDescent="0.25"/>
    <row r="237356" customFormat="1" x14ac:dyDescent="0.25"/>
    <row r="237357" customFormat="1" x14ac:dyDescent="0.25"/>
    <row r="237358" customFormat="1" x14ac:dyDescent="0.25"/>
    <row r="237359" customFormat="1" x14ac:dyDescent="0.25"/>
    <row r="237360" customFormat="1" x14ac:dyDescent="0.25"/>
    <row r="237361" customFormat="1" x14ac:dyDescent="0.25"/>
    <row r="237362" customFormat="1" x14ac:dyDescent="0.25"/>
    <row r="237363" customFormat="1" x14ac:dyDescent="0.25"/>
    <row r="237364" customFormat="1" x14ac:dyDescent="0.25"/>
    <row r="237365" customFormat="1" x14ac:dyDescent="0.25"/>
    <row r="237366" customFormat="1" x14ac:dyDescent="0.25"/>
    <row r="237367" customFormat="1" x14ac:dyDescent="0.25"/>
    <row r="237368" customFormat="1" x14ac:dyDescent="0.25"/>
    <row r="237369" customFormat="1" x14ac:dyDescent="0.25"/>
    <row r="237370" customFormat="1" x14ac:dyDescent="0.25"/>
    <row r="237371" customFormat="1" x14ac:dyDescent="0.25"/>
    <row r="237372" customFormat="1" x14ac:dyDescent="0.25"/>
    <row r="237373" customFormat="1" x14ac:dyDescent="0.25"/>
    <row r="237374" customFormat="1" x14ac:dyDescent="0.25"/>
    <row r="237375" customFormat="1" x14ac:dyDescent="0.25"/>
    <row r="237376" customFormat="1" x14ac:dyDescent="0.25"/>
    <row r="237377" customFormat="1" x14ac:dyDescent="0.25"/>
    <row r="237378" customFormat="1" x14ac:dyDescent="0.25"/>
    <row r="237379" customFormat="1" x14ac:dyDescent="0.25"/>
    <row r="237380" customFormat="1" x14ac:dyDescent="0.25"/>
    <row r="237381" customFormat="1" x14ac:dyDescent="0.25"/>
    <row r="237382" customFormat="1" x14ac:dyDescent="0.25"/>
    <row r="237383" customFormat="1" x14ac:dyDescent="0.25"/>
    <row r="237384" customFormat="1" x14ac:dyDescent="0.25"/>
    <row r="237385" customFormat="1" x14ac:dyDescent="0.25"/>
    <row r="237386" customFormat="1" x14ac:dyDescent="0.25"/>
    <row r="237387" customFormat="1" x14ac:dyDescent="0.25"/>
    <row r="237388" customFormat="1" x14ac:dyDescent="0.25"/>
    <row r="237389" customFormat="1" x14ac:dyDescent="0.25"/>
    <row r="237390" customFormat="1" x14ac:dyDescent="0.25"/>
    <row r="237391" customFormat="1" x14ac:dyDescent="0.25"/>
    <row r="237392" customFormat="1" x14ac:dyDescent="0.25"/>
    <row r="237393" customFormat="1" x14ac:dyDescent="0.25"/>
    <row r="237394" customFormat="1" x14ac:dyDescent="0.25"/>
    <row r="237395" customFormat="1" x14ac:dyDescent="0.25"/>
    <row r="237396" customFormat="1" x14ac:dyDescent="0.25"/>
    <row r="237397" customFormat="1" x14ac:dyDescent="0.25"/>
    <row r="237398" customFormat="1" x14ac:dyDescent="0.25"/>
    <row r="237399" customFormat="1" x14ac:dyDescent="0.25"/>
    <row r="237400" customFormat="1" x14ac:dyDescent="0.25"/>
    <row r="237401" customFormat="1" x14ac:dyDescent="0.25"/>
    <row r="237402" customFormat="1" x14ac:dyDescent="0.25"/>
    <row r="237403" customFormat="1" x14ac:dyDescent="0.25"/>
    <row r="237404" customFormat="1" x14ac:dyDescent="0.25"/>
    <row r="237405" customFormat="1" x14ac:dyDescent="0.25"/>
    <row r="237406" customFormat="1" x14ac:dyDescent="0.25"/>
    <row r="237407" customFormat="1" x14ac:dyDescent="0.25"/>
    <row r="237408" customFormat="1" x14ac:dyDescent="0.25"/>
    <row r="237409" customFormat="1" x14ac:dyDescent="0.25"/>
    <row r="237410" customFormat="1" x14ac:dyDescent="0.25"/>
    <row r="237411" customFormat="1" x14ac:dyDescent="0.25"/>
    <row r="237412" customFormat="1" x14ac:dyDescent="0.25"/>
    <row r="237413" customFormat="1" x14ac:dyDescent="0.25"/>
    <row r="237414" customFormat="1" x14ac:dyDescent="0.25"/>
    <row r="237415" customFormat="1" x14ac:dyDescent="0.25"/>
    <row r="237416" customFormat="1" x14ac:dyDescent="0.25"/>
    <row r="237417" customFormat="1" x14ac:dyDescent="0.25"/>
    <row r="237418" customFormat="1" x14ac:dyDescent="0.25"/>
    <row r="237419" customFormat="1" x14ac:dyDescent="0.25"/>
    <row r="237420" customFormat="1" x14ac:dyDescent="0.25"/>
    <row r="237421" customFormat="1" x14ac:dyDescent="0.25"/>
    <row r="237422" customFormat="1" x14ac:dyDescent="0.25"/>
    <row r="237423" customFormat="1" x14ac:dyDescent="0.25"/>
    <row r="237424" customFormat="1" x14ac:dyDescent="0.25"/>
    <row r="237425" customFormat="1" x14ac:dyDescent="0.25"/>
    <row r="237426" customFormat="1" x14ac:dyDescent="0.25"/>
    <row r="237427" customFormat="1" x14ac:dyDescent="0.25"/>
    <row r="237428" customFormat="1" x14ac:dyDescent="0.25"/>
    <row r="237429" customFormat="1" x14ac:dyDescent="0.25"/>
    <row r="237430" customFormat="1" x14ac:dyDescent="0.25"/>
    <row r="237431" customFormat="1" x14ac:dyDescent="0.25"/>
    <row r="237432" customFormat="1" x14ac:dyDescent="0.25"/>
    <row r="237433" customFormat="1" x14ac:dyDescent="0.25"/>
    <row r="237434" customFormat="1" x14ac:dyDescent="0.25"/>
    <row r="237435" customFormat="1" x14ac:dyDescent="0.25"/>
    <row r="237436" customFormat="1" x14ac:dyDescent="0.25"/>
    <row r="237437" customFormat="1" x14ac:dyDescent="0.25"/>
    <row r="237438" customFormat="1" x14ac:dyDescent="0.25"/>
    <row r="237439" customFormat="1" x14ac:dyDescent="0.25"/>
    <row r="237440" customFormat="1" x14ac:dyDescent="0.25"/>
    <row r="237441" customFormat="1" x14ac:dyDescent="0.25"/>
    <row r="237442" customFormat="1" x14ac:dyDescent="0.25"/>
    <row r="237443" customFormat="1" x14ac:dyDescent="0.25"/>
    <row r="237444" customFormat="1" x14ac:dyDescent="0.25"/>
    <row r="237445" customFormat="1" x14ac:dyDescent="0.25"/>
    <row r="237446" customFormat="1" x14ac:dyDescent="0.25"/>
    <row r="237447" customFormat="1" x14ac:dyDescent="0.25"/>
    <row r="237448" customFormat="1" x14ac:dyDescent="0.25"/>
    <row r="237449" customFormat="1" x14ac:dyDescent="0.25"/>
    <row r="237450" customFormat="1" x14ac:dyDescent="0.25"/>
    <row r="237451" customFormat="1" x14ac:dyDescent="0.25"/>
    <row r="237452" customFormat="1" x14ac:dyDescent="0.25"/>
    <row r="237453" customFormat="1" x14ac:dyDescent="0.25"/>
    <row r="237454" customFormat="1" x14ac:dyDescent="0.25"/>
    <row r="237455" customFormat="1" x14ac:dyDescent="0.25"/>
    <row r="237456" customFormat="1" x14ac:dyDescent="0.25"/>
    <row r="237457" customFormat="1" x14ac:dyDescent="0.25"/>
    <row r="237458" customFormat="1" x14ac:dyDescent="0.25"/>
    <row r="237459" customFormat="1" x14ac:dyDescent="0.25"/>
    <row r="237460" customFormat="1" x14ac:dyDescent="0.25"/>
    <row r="237461" customFormat="1" x14ac:dyDescent="0.25"/>
    <row r="237462" customFormat="1" x14ac:dyDescent="0.25"/>
    <row r="237463" customFormat="1" x14ac:dyDescent="0.25"/>
    <row r="237464" customFormat="1" x14ac:dyDescent="0.25"/>
    <row r="237465" customFormat="1" x14ac:dyDescent="0.25"/>
    <row r="237466" customFormat="1" x14ac:dyDescent="0.25"/>
    <row r="237467" customFormat="1" x14ac:dyDescent="0.25"/>
    <row r="237468" customFormat="1" x14ac:dyDescent="0.25"/>
    <row r="237469" customFormat="1" x14ac:dyDescent="0.25"/>
    <row r="237470" customFormat="1" x14ac:dyDescent="0.25"/>
    <row r="237471" customFormat="1" x14ac:dyDescent="0.25"/>
    <row r="237472" customFormat="1" x14ac:dyDescent="0.25"/>
    <row r="237473" customFormat="1" x14ac:dyDescent="0.25"/>
    <row r="237474" customFormat="1" x14ac:dyDescent="0.25"/>
    <row r="237475" customFormat="1" x14ac:dyDescent="0.25"/>
    <row r="237476" customFormat="1" x14ac:dyDescent="0.25"/>
    <row r="237477" customFormat="1" x14ac:dyDescent="0.25"/>
    <row r="237478" customFormat="1" x14ac:dyDescent="0.25"/>
    <row r="237479" customFormat="1" x14ac:dyDescent="0.25"/>
    <row r="237480" customFormat="1" x14ac:dyDescent="0.25"/>
    <row r="237481" customFormat="1" x14ac:dyDescent="0.25"/>
    <row r="237482" customFormat="1" x14ac:dyDescent="0.25"/>
    <row r="237483" customFormat="1" x14ac:dyDescent="0.25"/>
    <row r="237484" customFormat="1" x14ac:dyDescent="0.25"/>
    <row r="237485" customFormat="1" x14ac:dyDescent="0.25"/>
    <row r="237486" customFormat="1" x14ac:dyDescent="0.25"/>
    <row r="237487" customFormat="1" x14ac:dyDescent="0.25"/>
    <row r="237488" customFormat="1" x14ac:dyDescent="0.25"/>
    <row r="237489" customFormat="1" x14ac:dyDescent="0.25"/>
    <row r="237490" customFormat="1" x14ac:dyDescent="0.25"/>
    <row r="237491" customFormat="1" x14ac:dyDescent="0.25"/>
    <row r="237492" customFormat="1" x14ac:dyDescent="0.25"/>
    <row r="237493" customFormat="1" x14ac:dyDescent="0.25"/>
    <row r="237494" customFormat="1" x14ac:dyDescent="0.25"/>
    <row r="237495" customFormat="1" x14ac:dyDescent="0.25"/>
    <row r="237496" customFormat="1" x14ac:dyDescent="0.25"/>
    <row r="237497" customFormat="1" x14ac:dyDescent="0.25"/>
    <row r="237498" customFormat="1" x14ac:dyDescent="0.25"/>
    <row r="237499" customFormat="1" x14ac:dyDescent="0.25"/>
    <row r="237500" customFormat="1" x14ac:dyDescent="0.25"/>
    <row r="237501" customFormat="1" x14ac:dyDescent="0.25"/>
    <row r="237502" customFormat="1" x14ac:dyDescent="0.25"/>
    <row r="237503" customFormat="1" x14ac:dyDescent="0.25"/>
    <row r="237504" customFormat="1" x14ac:dyDescent="0.25"/>
    <row r="237505" customFormat="1" x14ac:dyDescent="0.25"/>
    <row r="237506" customFormat="1" x14ac:dyDescent="0.25"/>
    <row r="237507" customFormat="1" x14ac:dyDescent="0.25"/>
    <row r="237508" customFormat="1" x14ac:dyDescent="0.25"/>
    <row r="237509" customFormat="1" x14ac:dyDescent="0.25"/>
    <row r="237510" customFormat="1" x14ac:dyDescent="0.25"/>
    <row r="237511" customFormat="1" x14ac:dyDescent="0.25"/>
    <row r="237512" customFormat="1" x14ac:dyDescent="0.25"/>
    <row r="237513" customFormat="1" x14ac:dyDescent="0.25"/>
    <row r="237514" customFormat="1" x14ac:dyDescent="0.25"/>
    <row r="237515" customFormat="1" x14ac:dyDescent="0.25"/>
    <row r="237516" customFormat="1" x14ac:dyDescent="0.25"/>
    <row r="237517" customFormat="1" x14ac:dyDescent="0.25"/>
    <row r="237518" customFormat="1" x14ac:dyDescent="0.25"/>
    <row r="237519" customFormat="1" x14ac:dyDescent="0.25"/>
    <row r="237520" customFormat="1" x14ac:dyDescent="0.25"/>
    <row r="237521" customFormat="1" x14ac:dyDescent="0.25"/>
    <row r="237522" customFormat="1" x14ac:dyDescent="0.25"/>
    <row r="237523" customFormat="1" x14ac:dyDescent="0.25"/>
    <row r="237524" customFormat="1" x14ac:dyDescent="0.25"/>
    <row r="237525" customFormat="1" x14ac:dyDescent="0.25"/>
    <row r="237526" customFormat="1" x14ac:dyDescent="0.25"/>
    <row r="237527" customFormat="1" x14ac:dyDescent="0.25"/>
    <row r="237528" customFormat="1" x14ac:dyDescent="0.25"/>
    <row r="237529" customFormat="1" x14ac:dyDescent="0.25"/>
    <row r="237530" customFormat="1" x14ac:dyDescent="0.25"/>
    <row r="237531" customFormat="1" x14ac:dyDescent="0.25"/>
    <row r="237532" customFormat="1" x14ac:dyDescent="0.25"/>
    <row r="237533" customFormat="1" x14ac:dyDescent="0.25"/>
    <row r="237534" customFormat="1" x14ac:dyDescent="0.25"/>
    <row r="237535" customFormat="1" x14ac:dyDescent="0.25"/>
    <row r="237536" customFormat="1" x14ac:dyDescent="0.25"/>
    <row r="237537" customFormat="1" x14ac:dyDescent="0.25"/>
    <row r="237538" customFormat="1" x14ac:dyDescent="0.25"/>
    <row r="237539" customFormat="1" x14ac:dyDescent="0.25"/>
    <row r="237540" customFormat="1" x14ac:dyDescent="0.25"/>
    <row r="237541" customFormat="1" x14ac:dyDescent="0.25"/>
    <row r="237542" customFormat="1" x14ac:dyDescent="0.25"/>
    <row r="237543" customFormat="1" x14ac:dyDescent="0.25"/>
    <row r="237544" customFormat="1" x14ac:dyDescent="0.25"/>
    <row r="237545" customFormat="1" x14ac:dyDescent="0.25"/>
    <row r="237546" customFormat="1" x14ac:dyDescent="0.25"/>
    <row r="237547" customFormat="1" x14ac:dyDescent="0.25"/>
    <row r="237548" customFormat="1" x14ac:dyDescent="0.25"/>
    <row r="237549" customFormat="1" x14ac:dyDescent="0.25"/>
    <row r="237550" customFormat="1" x14ac:dyDescent="0.25"/>
    <row r="237551" customFormat="1" x14ac:dyDescent="0.25"/>
    <row r="237552" customFormat="1" x14ac:dyDescent="0.25"/>
    <row r="237553" customFormat="1" x14ac:dyDescent="0.25"/>
    <row r="237554" customFormat="1" x14ac:dyDescent="0.25"/>
    <row r="237555" customFormat="1" x14ac:dyDescent="0.25"/>
    <row r="237556" customFormat="1" x14ac:dyDescent="0.25"/>
    <row r="237557" customFormat="1" x14ac:dyDescent="0.25"/>
    <row r="237558" customFormat="1" x14ac:dyDescent="0.25"/>
    <row r="237559" customFormat="1" x14ac:dyDescent="0.25"/>
    <row r="237560" customFormat="1" x14ac:dyDescent="0.25"/>
    <row r="237561" customFormat="1" x14ac:dyDescent="0.25"/>
    <row r="237562" customFormat="1" x14ac:dyDescent="0.25"/>
    <row r="237563" customFormat="1" x14ac:dyDescent="0.25"/>
    <row r="237564" customFormat="1" x14ac:dyDescent="0.25"/>
    <row r="237565" customFormat="1" x14ac:dyDescent="0.25"/>
    <row r="237566" customFormat="1" x14ac:dyDescent="0.25"/>
    <row r="237567" customFormat="1" x14ac:dyDescent="0.25"/>
    <row r="237568" customFormat="1" x14ac:dyDescent="0.25"/>
    <row r="237569" customFormat="1" x14ac:dyDescent="0.25"/>
    <row r="237570" customFormat="1" x14ac:dyDescent="0.25"/>
    <row r="237571" customFormat="1" x14ac:dyDescent="0.25"/>
    <row r="237572" customFormat="1" x14ac:dyDescent="0.25"/>
    <row r="237573" customFormat="1" x14ac:dyDescent="0.25"/>
    <row r="237574" customFormat="1" x14ac:dyDescent="0.25"/>
    <row r="237575" customFormat="1" x14ac:dyDescent="0.25"/>
    <row r="237576" customFormat="1" x14ac:dyDescent="0.25"/>
    <row r="237577" customFormat="1" x14ac:dyDescent="0.25"/>
    <row r="237578" customFormat="1" x14ac:dyDescent="0.25"/>
    <row r="237579" customFormat="1" x14ac:dyDescent="0.25"/>
    <row r="237580" customFormat="1" x14ac:dyDescent="0.25"/>
    <row r="237581" customFormat="1" x14ac:dyDescent="0.25"/>
    <row r="237582" customFormat="1" x14ac:dyDescent="0.25"/>
    <row r="237583" customFormat="1" x14ac:dyDescent="0.25"/>
    <row r="237584" customFormat="1" x14ac:dyDescent="0.25"/>
    <row r="237585" customFormat="1" x14ac:dyDescent="0.25"/>
    <row r="237586" customFormat="1" x14ac:dyDescent="0.25"/>
    <row r="237587" customFormat="1" x14ac:dyDescent="0.25"/>
    <row r="237588" customFormat="1" x14ac:dyDescent="0.25"/>
    <row r="237589" customFormat="1" x14ac:dyDescent="0.25"/>
    <row r="237590" customFormat="1" x14ac:dyDescent="0.25"/>
    <row r="237591" customFormat="1" x14ac:dyDescent="0.25"/>
    <row r="237592" customFormat="1" x14ac:dyDescent="0.25"/>
    <row r="237593" customFormat="1" x14ac:dyDescent="0.25"/>
    <row r="237594" customFormat="1" x14ac:dyDescent="0.25"/>
    <row r="237595" customFormat="1" x14ac:dyDescent="0.25"/>
    <row r="237596" customFormat="1" x14ac:dyDescent="0.25"/>
    <row r="237597" customFormat="1" x14ac:dyDescent="0.25"/>
    <row r="237598" customFormat="1" x14ac:dyDescent="0.25"/>
    <row r="237599" customFormat="1" x14ac:dyDescent="0.25"/>
    <row r="237600" customFormat="1" x14ac:dyDescent="0.25"/>
    <row r="237601" customFormat="1" x14ac:dyDescent="0.25"/>
    <row r="237602" customFormat="1" x14ac:dyDescent="0.25"/>
    <row r="237603" customFormat="1" x14ac:dyDescent="0.25"/>
    <row r="237604" customFormat="1" x14ac:dyDescent="0.25"/>
    <row r="237605" customFormat="1" x14ac:dyDescent="0.25"/>
    <row r="237606" customFormat="1" x14ac:dyDescent="0.25"/>
    <row r="237607" customFormat="1" x14ac:dyDescent="0.25"/>
    <row r="237608" customFormat="1" x14ac:dyDescent="0.25"/>
    <row r="237609" customFormat="1" x14ac:dyDescent="0.25"/>
    <row r="237610" customFormat="1" x14ac:dyDescent="0.25"/>
    <row r="237611" customFormat="1" x14ac:dyDescent="0.25"/>
    <row r="237612" customFormat="1" x14ac:dyDescent="0.25"/>
    <row r="237613" customFormat="1" x14ac:dyDescent="0.25"/>
    <row r="237614" customFormat="1" x14ac:dyDescent="0.25"/>
    <row r="237615" customFormat="1" x14ac:dyDescent="0.25"/>
    <row r="237616" customFormat="1" x14ac:dyDescent="0.25"/>
    <row r="237617" customFormat="1" x14ac:dyDescent="0.25"/>
    <row r="237618" customFormat="1" x14ac:dyDescent="0.25"/>
    <row r="237619" customFormat="1" x14ac:dyDescent="0.25"/>
    <row r="237620" customFormat="1" x14ac:dyDescent="0.25"/>
    <row r="237621" customFormat="1" x14ac:dyDescent="0.25"/>
    <row r="237622" customFormat="1" x14ac:dyDescent="0.25"/>
    <row r="237623" customFormat="1" x14ac:dyDescent="0.25"/>
    <row r="237624" customFormat="1" x14ac:dyDescent="0.25"/>
    <row r="237625" customFormat="1" x14ac:dyDescent="0.25"/>
    <row r="237626" customFormat="1" x14ac:dyDescent="0.25"/>
    <row r="237627" customFormat="1" x14ac:dyDescent="0.25"/>
    <row r="237628" customFormat="1" x14ac:dyDescent="0.25"/>
    <row r="237629" customFormat="1" x14ac:dyDescent="0.25"/>
    <row r="237630" customFormat="1" x14ac:dyDescent="0.25"/>
    <row r="237631" customFormat="1" x14ac:dyDescent="0.25"/>
    <row r="237632" customFormat="1" x14ac:dyDescent="0.25"/>
    <row r="237633" customFormat="1" x14ac:dyDescent="0.25"/>
    <row r="237634" customFormat="1" x14ac:dyDescent="0.25"/>
    <row r="237635" customFormat="1" x14ac:dyDescent="0.25"/>
    <row r="237636" customFormat="1" x14ac:dyDescent="0.25"/>
    <row r="237637" customFormat="1" x14ac:dyDescent="0.25"/>
    <row r="237638" customFormat="1" x14ac:dyDescent="0.25"/>
    <row r="237639" customFormat="1" x14ac:dyDescent="0.25"/>
    <row r="237640" customFormat="1" x14ac:dyDescent="0.25"/>
    <row r="237641" customFormat="1" x14ac:dyDescent="0.25"/>
    <row r="237642" customFormat="1" x14ac:dyDescent="0.25"/>
    <row r="237643" customFormat="1" x14ac:dyDescent="0.25"/>
    <row r="237644" customFormat="1" x14ac:dyDescent="0.25"/>
    <row r="237645" customFormat="1" x14ac:dyDescent="0.25"/>
    <row r="237646" customFormat="1" x14ac:dyDescent="0.25"/>
    <row r="237647" customFormat="1" x14ac:dyDescent="0.25"/>
    <row r="237648" customFormat="1" x14ac:dyDescent="0.25"/>
    <row r="237649" customFormat="1" x14ac:dyDescent="0.25"/>
    <row r="237650" customFormat="1" x14ac:dyDescent="0.25"/>
    <row r="237651" customFormat="1" x14ac:dyDescent="0.25"/>
    <row r="237652" customFormat="1" x14ac:dyDescent="0.25"/>
    <row r="237653" customFormat="1" x14ac:dyDescent="0.25"/>
    <row r="237654" customFormat="1" x14ac:dyDescent="0.25"/>
    <row r="237655" customFormat="1" x14ac:dyDescent="0.25"/>
    <row r="237656" customFormat="1" x14ac:dyDescent="0.25"/>
    <row r="237657" customFormat="1" x14ac:dyDescent="0.25"/>
    <row r="237658" customFormat="1" x14ac:dyDescent="0.25"/>
    <row r="237659" customFormat="1" x14ac:dyDescent="0.25"/>
    <row r="237660" customFormat="1" x14ac:dyDescent="0.25"/>
    <row r="237661" customFormat="1" x14ac:dyDescent="0.25"/>
    <row r="237662" customFormat="1" x14ac:dyDescent="0.25"/>
    <row r="237663" customFormat="1" x14ac:dyDescent="0.25"/>
    <row r="237664" customFormat="1" x14ac:dyDescent="0.25"/>
    <row r="237665" customFormat="1" x14ac:dyDescent="0.25"/>
    <row r="237666" customFormat="1" x14ac:dyDescent="0.25"/>
    <row r="237667" customFormat="1" x14ac:dyDescent="0.25"/>
    <row r="237668" customFormat="1" x14ac:dyDescent="0.25"/>
    <row r="237669" customFormat="1" x14ac:dyDescent="0.25"/>
    <row r="237670" customFormat="1" x14ac:dyDescent="0.25"/>
    <row r="237671" customFormat="1" x14ac:dyDescent="0.25"/>
    <row r="237672" customFormat="1" x14ac:dyDescent="0.25"/>
    <row r="237673" customFormat="1" x14ac:dyDescent="0.25"/>
    <row r="237674" customFormat="1" x14ac:dyDescent="0.25"/>
    <row r="237675" customFormat="1" x14ac:dyDescent="0.25"/>
    <row r="237676" customFormat="1" x14ac:dyDescent="0.25"/>
    <row r="237677" customFormat="1" x14ac:dyDescent="0.25"/>
    <row r="237678" customFormat="1" x14ac:dyDescent="0.25"/>
    <row r="237679" customFormat="1" x14ac:dyDescent="0.25"/>
    <row r="237680" customFormat="1" x14ac:dyDescent="0.25"/>
    <row r="237681" customFormat="1" x14ac:dyDescent="0.25"/>
    <row r="237682" customFormat="1" x14ac:dyDescent="0.25"/>
    <row r="237683" customFormat="1" x14ac:dyDescent="0.25"/>
    <row r="237684" customFormat="1" x14ac:dyDescent="0.25"/>
    <row r="237685" customFormat="1" x14ac:dyDescent="0.25"/>
    <row r="237686" customFormat="1" x14ac:dyDescent="0.25"/>
    <row r="237687" customFormat="1" x14ac:dyDescent="0.25"/>
    <row r="237688" customFormat="1" x14ac:dyDescent="0.25"/>
    <row r="237689" customFormat="1" x14ac:dyDescent="0.25"/>
    <row r="237690" customFormat="1" x14ac:dyDescent="0.25"/>
    <row r="237691" customFormat="1" x14ac:dyDescent="0.25"/>
    <row r="237692" customFormat="1" x14ac:dyDescent="0.25"/>
    <row r="237693" customFormat="1" x14ac:dyDescent="0.25"/>
    <row r="237694" customFormat="1" x14ac:dyDescent="0.25"/>
    <row r="237695" customFormat="1" x14ac:dyDescent="0.25"/>
    <row r="237696" customFormat="1" x14ac:dyDescent="0.25"/>
    <row r="237697" customFormat="1" x14ac:dyDescent="0.25"/>
    <row r="237698" customFormat="1" x14ac:dyDescent="0.25"/>
    <row r="237699" customFormat="1" x14ac:dyDescent="0.25"/>
    <row r="237700" customFormat="1" x14ac:dyDescent="0.25"/>
    <row r="237701" customFormat="1" x14ac:dyDescent="0.25"/>
    <row r="237702" customFormat="1" x14ac:dyDescent="0.25"/>
    <row r="237703" customFormat="1" x14ac:dyDescent="0.25"/>
    <row r="237704" customFormat="1" x14ac:dyDescent="0.25"/>
    <row r="237705" customFormat="1" x14ac:dyDescent="0.25"/>
    <row r="237706" customFormat="1" x14ac:dyDescent="0.25"/>
    <row r="237707" customFormat="1" x14ac:dyDescent="0.25"/>
    <row r="237708" customFormat="1" x14ac:dyDescent="0.25"/>
    <row r="237709" customFormat="1" x14ac:dyDescent="0.25"/>
    <row r="237710" customFormat="1" x14ac:dyDescent="0.25"/>
    <row r="237711" customFormat="1" x14ac:dyDescent="0.25"/>
    <row r="237712" customFormat="1" x14ac:dyDescent="0.25"/>
    <row r="237713" customFormat="1" x14ac:dyDescent="0.25"/>
    <row r="237714" customFormat="1" x14ac:dyDescent="0.25"/>
    <row r="237715" customFormat="1" x14ac:dyDescent="0.25"/>
    <row r="237716" customFormat="1" x14ac:dyDescent="0.25"/>
    <row r="237717" customFormat="1" x14ac:dyDescent="0.25"/>
    <row r="237718" customFormat="1" x14ac:dyDescent="0.25"/>
    <row r="237719" customFormat="1" x14ac:dyDescent="0.25"/>
    <row r="237720" customFormat="1" x14ac:dyDescent="0.25"/>
    <row r="237721" customFormat="1" x14ac:dyDescent="0.25"/>
    <row r="237722" customFormat="1" x14ac:dyDescent="0.25"/>
    <row r="237723" customFormat="1" x14ac:dyDescent="0.25"/>
    <row r="237724" customFormat="1" x14ac:dyDescent="0.25"/>
    <row r="237725" customFormat="1" x14ac:dyDescent="0.25"/>
    <row r="237726" customFormat="1" x14ac:dyDescent="0.25"/>
    <row r="237727" customFormat="1" x14ac:dyDescent="0.25"/>
    <row r="237728" customFormat="1" x14ac:dyDescent="0.25"/>
    <row r="237729" customFormat="1" x14ac:dyDescent="0.25"/>
    <row r="237730" customFormat="1" x14ac:dyDescent="0.25"/>
    <row r="237731" customFormat="1" x14ac:dyDescent="0.25"/>
    <row r="237732" customFormat="1" x14ac:dyDescent="0.25"/>
    <row r="237733" customFormat="1" x14ac:dyDescent="0.25"/>
    <row r="237734" customFormat="1" x14ac:dyDescent="0.25"/>
    <row r="237735" customFormat="1" x14ac:dyDescent="0.25"/>
    <row r="237736" customFormat="1" x14ac:dyDescent="0.25"/>
    <row r="237737" customFormat="1" x14ac:dyDescent="0.25"/>
    <row r="237738" customFormat="1" x14ac:dyDescent="0.25"/>
    <row r="237739" customFormat="1" x14ac:dyDescent="0.25"/>
    <row r="237740" customFormat="1" x14ac:dyDescent="0.25"/>
    <row r="237741" customFormat="1" x14ac:dyDescent="0.25"/>
    <row r="237742" customFormat="1" x14ac:dyDescent="0.25"/>
    <row r="237743" customFormat="1" x14ac:dyDescent="0.25"/>
    <row r="237744" customFormat="1" x14ac:dyDescent="0.25"/>
    <row r="237745" customFormat="1" x14ac:dyDescent="0.25"/>
    <row r="237746" customFormat="1" x14ac:dyDescent="0.25"/>
    <row r="237747" customFormat="1" x14ac:dyDescent="0.25"/>
    <row r="237748" customFormat="1" x14ac:dyDescent="0.25"/>
    <row r="237749" customFormat="1" x14ac:dyDescent="0.25"/>
    <row r="237750" customFormat="1" x14ac:dyDescent="0.25"/>
    <row r="237751" customFormat="1" x14ac:dyDescent="0.25"/>
    <row r="237752" customFormat="1" x14ac:dyDescent="0.25"/>
    <row r="237753" customFormat="1" x14ac:dyDescent="0.25"/>
    <row r="237754" customFormat="1" x14ac:dyDescent="0.25"/>
    <row r="237755" customFormat="1" x14ac:dyDescent="0.25"/>
    <row r="237756" customFormat="1" x14ac:dyDescent="0.25"/>
    <row r="237757" customFormat="1" x14ac:dyDescent="0.25"/>
    <row r="237758" customFormat="1" x14ac:dyDescent="0.25"/>
    <row r="237759" customFormat="1" x14ac:dyDescent="0.25"/>
    <row r="237760" customFormat="1" x14ac:dyDescent="0.25"/>
    <row r="237761" customFormat="1" x14ac:dyDescent="0.25"/>
    <row r="237762" customFormat="1" x14ac:dyDescent="0.25"/>
    <row r="237763" customFormat="1" x14ac:dyDescent="0.25"/>
    <row r="237764" customFormat="1" x14ac:dyDescent="0.25"/>
    <row r="237765" customFormat="1" x14ac:dyDescent="0.25"/>
    <row r="237766" customFormat="1" x14ac:dyDescent="0.25"/>
    <row r="237767" customFormat="1" x14ac:dyDescent="0.25"/>
    <row r="237768" customFormat="1" x14ac:dyDescent="0.25"/>
    <row r="237769" customFormat="1" x14ac:dyDescent="0.25"/>
    <row r="237770" customFormat="1" x14ac:dyDescent="0.25"/>
    <row r="237771" customFormat="1" x14ac:dyDescent="0.25"/>
    <row r="237772" customFormat="1" x14ac:dyDescent="0.25"/>
    <row r="237773" customFormat="1" x14ac:dyDescent="0.25"/>
    <row r="237774" customFormat="1" x14ac:dyDescent="0.25"/>
    <row r="237775" customFormat="1" x14ac:dyDescent="0.25"/>
    <row r="237776" customFormat="1" x14ac:dyDescent="0.25"/>
    <row r="237777" customFormat="1" x14ac:dyDescent="0.25"/>
    <row r="237778" customFormat="1" x14ac:dyDescent="0.25"/>
    <row r="237779" customFormat="1" x14ac:dyDescent="0.25"/>
    <row r="237780" customFormat="1" x14ac:dyDescent="0.25"/>
    <row r="237781" customFormat="1" x14ac:dyDescent="0.25"/>
    <row r="237782" customFormat="1" x14ac:dyDescent="0.25"/>
    <row r="237783" customFormat="1" x14ac:dyDescent="0.25"/>
    <row r="237784" customFormat="1" x14ac:dyDescent="0.25"/>
    <row r="237785" customFormat="1" x14ac:dyDescent="0.25"/>
    <row r="237786" customFormat="1" x14ac:dyDescent="0.25"/>
    <row r="237787" customFormat="1" x14ac:dyDescent="0.25"/>
    <row r="237788" customFormat="1" x14ac:dyDescent="0.25"/>
    <row r="237789" customFormat="1" x14ac:dyDescent="0.25"/>
    <row r="237790" customFormat="1" x14ac:dyDescent="0.25"/>
    <row r="237791" customFormat="1" x14ac:dyDescent="0.25"/>
    <row r="237792" customFormat="1" x14ac:dyDescent="0.25"/>
    <row r="237793" customFormat="1" x14ac:dyDescent="0.25"/>
    <row r="237794" customFormat="1" x14ac:dyDescent="0.25"/>
    <row r="237795" customFormat="1" x14ac:dyDescent="0.25"/>
    <row r="237796" customFormat="1" x14ac:dyDescent="0.25"/>
    <row r="237797" customFormat="1" x14ac:dyDescent="0.25"/>
    <row r="237798" customFormat="1" x14ac:dyDescent="0.25"/>
    <row r="237799" customFormat="1" x14ac:dyDescent="0.25"/>
    <row r="237800" customFormat="1" x14ac:dyDescent="0.25"/>
    <row r="237801" customFormat="1" x14ac:dyDescent="0.25"/>
    <row r="237802" customFormat="1" x14ac:dyDescent="0.25"/>
    <row r="237803" customFormat="1" x14ac:dyDescent="0.25"/>
    <row r="237804" customFormat="1" x14ac:dyDescent="0.25"/>
    <row r="237805" customFormat="1" x14ac:dyDescent="0.25"/>
    <row r="237806" customFormat="1" x14ac:dyDescent="0.25"/>
    <row r="237807" customFormat="1" x14ac:dyDescent="0.25"/>
    <row r="237808" customFormat="1" x14ac:dyDescent="0.25"/>
    <row r="237809" customFormat="1" x14ac:dyDescent="0.25"/>
    <row r="237810" customFormat="1" x14ac:dyDescent="0.25"/>
    <row r="237811" customFormat="1" x14ac:dyDescent="0.25"/>
    <row r="237812" customFormat="1" x14ac:dyDescent="0.25"/>
    <row r="237813" customFormat="1" x14ac:dyDescent="0.25"/>
    <row r="237814" customFormat="1" x14ac:dyDescent="0.25"/>
    <row r="237815" customFormat="1" x14ac:dyDescent="0.25"/>
    <row r="237816" customFormat="1" x14ac:dyDescent="0.25"/>
    <row r="237817" customFormat="1" x14ac:dyDescent="0.25"/>
    <row r="237818" customFormat="1" x14ac:dyDescent="0.25"/>
    <row r="237819" customFormat="1" x14ac:dyDescent="0.25"/>
    <row r="237820" customFormat="1" x14ac:dyDescent="0.25"/>
    <row r="237821" customFormat="1" x14ac:dyDescent="0.25"/>
    <row r="237822" customFormat="1" x14ac:dyDescent="0.25"/>
    <row r="237823" customFormat="1" x14ac:dyDescent="0.25"/>
    <row r="237824" customFormat="1" x14ac:dyDescent="0.25"/>
    <row r="237825" customFormat="1" x14ac:dyDescent="0.25"/>
    <row r="237826" customFormat="1" x14ac:dyDescent="0.25"/>
    <row r="237827" customFormat="1" x14ac:dyDescent="0.25"/>
    <row r="237828" customFormat="1" x14ac:dyDescent="0.25"/>
    <row r="237829" customFormat="1" x14ac:dyDescent="0.25"/>
    <row r="237830" customFormat="1" x14ac:dyDescent="0.25"/>
    <row r="237831" customFormat="1" x14ac:dyDescent="0.25"/>
    <row r="237832" customFormat="1" x14ac:dyDescent="0.25"/>
    <row r="237833" customFormat="1" x14ac:dyDescent="0.25"/>
    <row r="237834" customFormat="1" x14ac:dyDescent="0.25"/>
    <row r="237835" customFormat="1" x14ac:dyDescent="0.25"/>
    <row r="237836" customFormat="1" x14ac:dyDescent="0.25"/>
    <row r="237837" customFormat="1" x14ac:dyDescent="0.25"/>
    <row r="237838" customFormat="1" x14ac:dyDescent="0.25"/>
    <row r="237839" customFormat="1" x14ac:dyDescent="0.25"/>
    <row r="237840" customFormat="1" x14ac:dyDescent="0.25"/>
    <row r="237841" customFormat="1" x14ac:dyDescent="0.25"/>
    <row r="237842" customFormat="1" x14ac:dyDescent="0.25"/>
    <row r="237843" customFormat="1" x14ac:dyDescent="0.25"/>
    <row r="237844" customFormat="1" x14ac:dyDescent="0.25"/>
    <row r="237845" customFormat="1" x14ac:dyDescent="0.25"/>
    <row r="237846" customFormat="1" x14ac:dyDescent="0.25"/>
    <row r="237847" customFormat="1" x14ac:dyDescent="0.25"/>
    <row r="237848" customFormat="1" x14ac:dyDescent="0.25"/>
    <row r="237849" customFormat="1" x14ac:dyDescent="0.25"/>
    <row r="237850" customFormat="1" x14ac:dyDescent="0.25"/>
    <row r="237851" customFormat="1" x14ac:dyDescent="0.25"/>
    <row r="237852" customFormat="1" x14ac:dyDescent="0.25"/>
    <row r="237853" customFormat="1" x14ac:dyDescent="0.25"/>
    <row r="237854" customFormat="1" x14ac:dyDescent="0.25"/>
    <row r="237855" customFormat="1" x14ac:dyDescent="0.25"/>
    <row r="237856" customFormat="1" x14ac:dyDescent="0.25"/>
    <row r="237857" customFormat="1" x14ac:dyDescent="0.25"/>
    <row r="237858" customFormat="1" x14ac:dyDescent="0.25"/>
    <row r="237859" customFormat="1" x14ac:dyDescent="0.25"/>
    <row r="237860" customFormat="1" x14ac:dyDescent="0.25"/>
    <row r="237861" customFormat="1" x14ac:dyDescent="0.25"/>
    <row r="237862" customFormat="1" x14ac:dyDescent="0.25"/>
    <row r="237863" customFormat="1" x14ac:dyDescent="0.25"/>
    <row r="237864" customFormat="1" x14ac:dyDescent="0.25"/>
    <row r="237865" customFormat="1" x14ac:dyDescent="0.25"/>
    <row r="237866" customFormat="1" x14ac:dyDescent="0.25"/>
    <row r="237867" customFormat="1" x14ac:dyDescent="0.25"/>
    <row r="237868" customFormat="1" x14ac:dyDescent="0.25"/>
    <row r="237869" customFormat="1" x14ac:dyDescent="0.25"/>
    <row r="237870" customFormat="1" x14ac:dyDescent="0.25"/>
    <row r="237871" customFormat="1" x14ac:dyDescent="0.25"/>
    <row r="237872" customFormat="1" x14ac:dyDescent="0.25"/>
    <row r="237873" customFormat="1" x14ac:dyDescent="0.25"/>
    <row r="237874" customFormat="1" x14ac:dyDescent="0.25"/>
    <row r="237875" customFormat="1" x14ac:dyDescent="0.25"/>
    <row r="237876" customFormat="1" x14ac:dyDescent="0.25"/>
    <row r="237877" customFormat="1" x14ac:dyDescent="0.25"/>
    <row r="237878" customFormat="1" x14ac:dyDescent="0.25"/>
    <row r="237879" customFormat="1" x14ac:dyDescent="0.25"/>
    <row r="237880" customFormat="1" x14ac:dyDescent="0.25"/>
    <row r="237881" customFormat="1" x14ac:dyDescent="0.25"/>
    <row r="237882" customFormat="1" x14ac:dyDescent="0.25"/>
    <row r="237883" customFormat="1" x14ac:dyDescent="0.25"/>
    <row r="237884" customFormat="1" x14ac:dyDescent="0.25"/>
    <row r="237885" customFormat="1" x14ac:dyDescent="0.25"/>
    <row r="237886" customFormat="1" x14ac:dyDescent="0.25"/>
    <row r="237887" customFormat="1" x14ac:dyDescent="0.25"/>
    <row r="237888" customFormat="1" x14ac:dyDescent="0.25"/>
    <row r="237889" customFormat="1" x14ac:dyDescent="0.25"/>
    <row r="237890" customFormat="1" x14ac:dyDescent="0.25"/>
    <row r="237891" customFormat="1" x14ac:dyDescent="0.25"/>
    <row r="237892" customFormat="1" x14ac:dyDescent="0.25"/>
    <row r="237893" customFormat="1" x14ac:dyDescent="0.25"/>
    <row r="237894" customFormat="1" x14ac:dyDescent="0.25"/>
    <row r="237895" customFormat="1" x14ac:dyDescent="0.25"/>
    <row r="237896" customFormat="1" x14ac:dyDescent="0.25"/>
    <row r="237897" customFormat="1" x14ac:dyDescent="0.25"/>
    <row r="237898" customFormat="1" x14ac:dyDescent="0.25"/>
    <row r="237899" customFormat="1" x14ac:dyDescent="0.25"/>
    <row r="237900" customFormat="1" x14ac:dyDescent="0.25"/>
    <row r="237901" customFormat="1" x14ac:dyDescent="0.25"/>
    <row r="237902" customFormat="1" x14ac:dyDescent="0.25"/>
    <row r="237903" customFormat="1" x14ac:dyDescent="0.25"/>
    <row r="237904" customFormat="1" x14ac:dyDescent="0.25"/>
    <row r="237905" customFormat="1" x14ac:dyDescent="0.25"/>
    <row r="237906" customFormat="1" x14ac:dyDescent="0.25"/>
    <row r="237907" customFormat="1" x14ac:dyDescent="0.25"/>
    <row r="237908" customFormat="1" x14ac:dyDescent="0.25"/>
    <row r="237909" customFormat="1" x14ac:dyDescent="0.25"/>
    <row r="237910" customFormat="1" x14ac:dyDescent="0.25"/>
    <row r="237911" customFormat="1" x14ac:dyDescent="0.25"/>
    <row r="237912" customFormat="1" x14ac:dyDescent="0.25"/>
    <row r="237913" customFormat="1" x14ac:dyDescent="0.25"/>
    <row r="237914" customFormat="1" x14ac:dyDescent="0.25"/>
    <row r="237915" customFormat="1" x14ac:dyDescent="0.25"/>
    <row r="237916" customFormat="1" x14ac:dyDescent="0.25"/>
    <row r="237917" customFormat="1" x14ac:dyDescent="0.25"/>
    <row r="237918" customFormat="1" x14ac:dyDescent="0.25"/>
    <row r="237919" customFormat="1" x14ac:dyDescent="0.25"/>
    <row r="237920" customFormat="1" x14ac:dyDescent="0.25"/>
    <row r="237921" customFormat="1" x14ac:dyDescent="0.25"/>
    <row r="237922" customFormat="1" x14ac:dyDescent="0.25"/>
    <row r="237923" customFormat="1" x14ac:dyDescent="0.25"/>
    <row r="237924" customFormat="1" x14ac:dyDescent="0.25"/>
    <row r="237925" customFormat="1" x14ac:dyDescent="0.25"/>
    <row r="237926" customFormat="1" x14ac:dyDescent="0.25"/>
    <row r="237927" customFormat="1" x14ac:dyDescent="0.25"/>
    <row r="237928" customFormat="1" x14ac:dyDescent="0.25"/>
    <row r="237929" customFormat="1" x14ac:dyDescent="0.25"/>
    <row r="237930" customFormat="1" x14ac:dyDescent="0.25"/>
    <row r="237931" customFormat="1" x14ac:dyDescent="0.25"/>
    <row r="237932" customFormat="1" x14ac:dyDescent="0.25"/>
    <row r="237933" customFormat="1" x14ac:dyDescent="0.25"/>
    <row r="237934" customFormat="1" x14ac:dyDescent="0.25"/>
    <row r="237935" customFormat="1" x14ac:dyDescent="0.25"/>
    <row r="237936" customFormat="1" x14ac:dyDescent="0.25"/>
    <row r="237937" customFormat="1" x14ac:dyDescent="0.25"/>
    <row r="237938" customFormat="1" x14ac:dyDescent="0.25"/>
    <row r="237939" customFormat="1" x14ac:dyDescent="0.25"/>
    <row r="237940" customFormat="1" x14ac:dyDescent="0.25"/>
    <row r="237941" customFormat="1" x14ac:dyDescent="0.25"/>
    <row r="237942" customFormat="1" x14ac:dyDescent="0.25"/>
    <row r="237943" customFormat="1" x14ac:dyDescent="0.25"/>
    <row r="237944" customFormat="1" x14ac:dyDescent="0.25"/>
    <row r="237945" customFormat="1" x14ac:dyDescent="0.25"/>
    <row r="237946" customFormat="1" x14ac:dyDescent="0.25"/>
    <row r="237947" customFormat="1" x14ac:dyDescent="0.25"/>
    <row r="237948" customFormat="1" x14ac:dyDescent="0.25"/>
    <row r="237949" customFormat="1" x14ac:dyDescent="0.25"/>
    <row r="237950" customFormat="1" x14ac:dyDescent="0.25"/>
    <row r="237951" customFormat="1" x14ac:dyDescent="0.25"/>
    <row r="237952" customFormat="1" x14ac:dyDescent="0.25"/>
    <row r="237953" customFormat="1" x14ac:dyDescent="0.25"/>
    <row r="237954" customFormat="1" x14ac:dyDescent="0.25"/>
    <row r="237955" customFormat="1" x14ac:dyDescent="0.25"/>
    <row r="237956" customFormat="1" x14ac:dyDescent="0.25"/>
    <row r="237957" customFormat="1" x14ac:dyDescent="0.25"/>
    <row r="237958" customFormat="1" x14ac:dyDescent="0.25"/>
    <row r="237959" customFormat="1" x14ac:dyDescent="0.25"/>
    <row r="237960" customFormat="1" x14ac:dyDescent="0.25"/>
    <row r="237961" customFormat="1" x14ac:dyDescent="0.25"/>
    <row r="237962" customFormat="1" x14ac:dyDescent="0.25"/>
    <row r="237963" customFormat="1" x14ac:dyDescent="0.25"/>
    <row r="237964" customFormat="1" x14ac:dyDescent="0.25"/>
    <row r="237965" customFormat="1" x14ac:dyDescent="0.25"/>
    <row r="237966" customFormat="1" x14ac:dyDescent="0.25"/>
    <row r="237967" customFormat="1" x14ac:dyDescent="0.25"/>
    <row r="237968" customFormat="1" x14ac:dyDescent="0.25"/>
    <row r="237969" customFormat="1" x14ac:dyDescent="0.25"/>
    <row r="237970" customFormat="1" x14ac:dyDescent="0.25"/>
    <row r="237971" customFormat="1" x14ac:dyDescent="0.25"/>
    <row r="237972" customFormat="1" x14ac:dyDescent="0.25"/>
    <row r="237973" customFormat="1" x14ac:dyDescent="0.25"/>
    <row r="237974" customFormat="1" x14ac:dyDescent="0.25"/>
    <row r="237975" customFormat="1" x14ac:dyDescent="0.25"/>
    <row r="237976" customFormat="1" x14ac:dyDescent="0.25"/>
    <row r="237977" customFormat="1" x14ac:dyDescent="0.25"/>
    <row r="237978" customFormat="1" x14ac:dyDescent="0.25"/>
    <row r="237979" customFormat="1" x14ac:dyDescent="0.25"/>
    <row r="237980" customFormat="1" x14ac:dyDescent="0.25"/>
    <row r="237981" customFormat="1" x14ac:dyDescent="0.25"/>
    <row r="237982" customFormat="1" x14ac:dyDescent="0.25"/>
    <row r="237983" customFormat="1" x14ac:dyDescent="0.25"/>
    <row r="237984" customFormat="1" x14ac:dyDescent="0.25"/>
    <row r="237985" customFormat="1" x14ac:dyDescent="0.25"/>
    <row r="237986" customFormat="1" x14ac:dyDescent="0.25"/>
    <row r="237987" customFormat="1" x14ac:dyDescent="0.25"/>
    <row r="237988" customFormat="1" x14ac:dyDescent="0.25"/>
    <row r="237989" customFormat="1" x14ac:dyDescent="0.25"/>
    <row r="237990" customFormat="1" x14ac:dyDescent="0.25"/>
    <row r="237991" customFormat="1" x14ac:dyDescent="0.25"/>
    <row r="237992" customFormat="1" x14ac:dyDescent="0.25"/>
    <row r="237993" customFormat="1" x14ac:dyDescent="0.25"/>
    <row r="237994" customFormat="1" x14ac:dyDescent="0.25"/>
    <row r="237995" customFormat="1" x14ac:dyDescent="0.25"/>
    <row r="237996" customFormat="1" x14ac:dyDescent="0.25"/>
    <row r="237997" customFormat="1" x14ac:dyDescent="0.25"/>
    <row r="237998" customFormat="1" x14ac:dyDescent="0.25"/>
    <row r="237999" customFormat="1" x14ac:dyDescent="0.25"/>
    <row r="238000" customFormat="1" x14ac:dyDescent="0.25"/>
    <row r="238001" customFormat="1" x14ac:dyDescent="0.25"/>
    <row r="238002" customFormat="1" x14ac:dyDescent="0.25"/>
    <row r="238003" customFormat="1" x14ac:dyDescent="0.25"/>
    <row r="238004" customFormat="1" x14ac:dyDescent="0.25"/>
    <row r="238005" customFormat="1" x14ac:dyDescent="0.25"/>
    <row r="238006" customFormat="1" x14ac:dyDescent="0.25"/>
    <row r="238007" customFormat="1" x14ac:dyDescent="0.25"/>
    <row r="238008" customFormat="1" x14ac:dyDescent="0.25"/>
    <row r="238009" customFormat="1" x14ac:dyDescent="0.25"/>
    <row r="238010" customFormat="1" x14ac:dyDescent="0.25"/>
    <row r="238011" customFormat="1" x14ac:dyDescent="0.25"/>
    <row r="238012" customFormat="1" x14ac:dyDescent="0.25"/>
    <row r="238013" customFormat="1" x14ac:dyDescent="0.25"/>
    <row r="238014" customFormat="1" x14ac:dyDescent="0.25"/>
    <row r="238015" customFormat="1" x14ac:dyDescent="0.25"/>
    <row r="238016" customFormat="1" x14ac:dyDescent="0.25"/>
    <row r="238017" customFormat="1" x14ac:dyDescent="0.25"/>
    <row r="238018" customFormat="1" x14ac:dyDescent="0.25"/>
    <row r="238019" customFormat="1" x14ac:dyDescent="0.25"/>
    <row r="238020" customFormat="1" x14ac:dyDescent="0.25"/>
    <row r="238021" customFormat="1" x14ac:dyDescent="0.25"/>
    <row r="238022" customFormat="1" x14ac:dyDescent="0.25"/>
    <row r="238023" customFormat="1" x14ac:dyDescent="0.25"/>
    <row r="238024" customFormat="1" x14ac:dyDescent="0.25"/>
    <row r="238025" customFormat="1" x14ac:dyDescent="0.25"/>
    <row r="238026" customFormat="1" x14ac:dyDescent="0.25"/>
    <row r="238027" customFormat="1" x14ac:dyDescent="0.25"/>
    <row r="238028" customFormat="1" x14ac:dyDescent="0.25"/>
    <row r="238029" customFormat="1" x14ac:dyDescent="0.25"/>
    <row r="238030" customFormat="1" x14ac:dyDescent="0.25"/>
    <row r="238031" customFormat="1" x14ac:dyDescent="0.25"/>
    <row r="238032" customFormat="1" x14ac:dyDescent="0.25"/>
    <row r="238033" customFormat="1" x14ac:dyDescent="0.25"/>
    <row r="238034" customFormat="1" x14ac:dyDescent="0.25"/>
    <row r="238035" customFormat="1" x14ac:dyDescent="0.25"/>
    <row r="238036" customFormat="1" x14ac:dyDescent="0.25"/>
    <row r="238037" customFormat="1" x14ac:dyDescent="0.25"/>
    <row r="238038" customFormat="1" x14ac:dyDescent="0.25"/>
    <row r="238039" customFormat="1" x14ac:dyDescent="0.25"/>
    <row r="238040" customFormat="1" x14ac:dyDescent="0.25"/>
    <row r="238041" customFormat="1" x14ac:dyDescent="0.25"/>
    <row r="238042" customFormat="1" x14ac:dyDescent="0.25"/>
    <row r="238043" customFormat="1" x14ac:dyDescent="0.25"/>
    <row r="238044" customFormat="1" x14ac:dyDescent="0.25"/>
    <row r="238045" customFormat="1" x14ac:dyDescent="0.25"/>
    <row r="238046" customFormat="1" x14ac:dyDescent="0.25"/>
    <row r="238047" customFormat="1" x14ac:dyDescent="0.25"/>
    <row r="238048" customFormat="1" x14ac:dyDescent="0.25"/>
    <row r="238049" customFormat="1" x14ac:dyDescent="0.25"/>
    <row r="238050" customFormat="1" x14ac:dyDescent="0.25"/>
    <row r="238051" customFormat="1" x14ac:dyDescent="0.25"/>
    <row r="238052" customFormat="1" x14ac:dyDescent="0.25"/>
    <row r="238053" customFormat="1" x14ac:dyDescent="0.25"/>
    <row r="238054" customFormat="1" x14ac:dyDescent="0.25"/>
    <row r="238055" customFormat="1" x14ac:dyDescent="0.25"/>
    <row r="238056" customFormat="1" x14ac:dyDescent="0.25"/>
    <row r="238057" customFormat="1" x14ac:dyDescent="0.25"/>
    <row r="238058" customFormat="1" x14ac:dyDescent="0.25"/>
    <row r="238059" customFormat="1" x14ac:dyDescent="0.25"/>
    <row r="238060" customFormat="1" x14ac:dyDescent="0.25"/>
    <row r="238061" customFormat="1" x14ac:dyDescent="0.25"/>
    <row r="238062" customFormat="1" x14ac:dyDescent="0.25"/>
    <row r="238063" customFormat="1" x14ac:dyDescent="0.25"/>
    <row r="238064" customFormat="1" x14ac:dyDescent="0.25"/>
    <row r="238065" customFormat="1" x14ac:dyDescent="0.25"/>
    <row r="238066" customFormat="1" x14ac:dyDescent="0.25"/>
    <row r="238067" customFormat="1" x14ac:dyDescent="0.25"/>
    <row r="238068" customFormat="1" x14ac:dyDescent="0.25"/>
    <row r="238069" customFormat="1" x14ac:dyDescent="0.25"/>
    <row r="238070" customFormat="1" x14ac:dyDescent="0.25"/>
    <row r="238071" customFormat="1" x14ac:dyDescent="0.25"/>
    <row r="238072" customFormat="1" x14ac:dyDescent="0.25"/>
    <row r="238073" customFormat="1" x14ac:dyDescent="0.25"/>
    <row r="238074" customFormat="1" x14ac:dyDescent="0.25"/>
    <row r="238075" customFormat="1" x14ac:dyDescent="0.25"/>
    <row r="238076" customFormat="1" x14ac:dyDescent="0.25"/>
    <row r="238077" customFormat="1" x14ac:dyDescent="0.25"/>
    <row r="238078" customFormat="1" x14ac:dyDescent="0.25"/>
    <row r="238079" customFormat="1" x14ac:dyDescent="0.25"/>
    <row r="238080" customFormat="1" x14ac:dyDescent="0.25"/>
    <row r="238081" customFormat="1" x14ac:dyDescent="0.25"/>
    <row r="238082" customFormat="1" x14ac:dyDescent="0.25"/>
    <row r="238083" customFormat="1" x14ac:dyDescent="0.25"/>
    <row r="238084" customFormat="1" x14ac:dyDescent="0.25"/>
    <row r="238085" customFormat="1" x14ac:dyDescent="0.25"/>
    <row r="238086" customFormat="1" x14ac:dyDescent="0.25"/>
    <row r="238087" customFormat="1" x14ac:dyDescent="0.25"/>
    <row r="238088" customFormat="1" x14ac:dyDescent="0.25"/>
    <row r="238089" customFormat="1" x14ac:dyDescent="0.25"/>
    <row r="238090" customFormat="1" x14ac:dyDescent="0.25"/>
    <row r="238091" customFormat="1" x14ac:dyDescent="0.25"/>
    <row r="238092" customFormat="1" x14ac:dyDescent="0.25"/>
    <row r="238093" customFormat="1" x14ac:dyDescent="0.25"/>
    <row r="238094" customFormat="1" x14ac:dyDescent="0.25"/>
    <row r="238095" customFormat="1" x14ac:dyDescent="0.25"/>
    <row r="238096" customFormat="1" x14ac:dyDescent="0.25"/>
    <row r="238097" customFormat="1" x14ac:dyDescent="0.25"/>
    <row r="238098" customFormat="1" x14ac:dyDescent="0.25"/>
    <row r="238099" customFormat="1" x14ac:dyDescent="0.25"/>
    <row r="238100" customFormat="1" x14ac:dyDescent="0.25"/>
    <row r="238101" customFormat="1" x14ac:dyDescent="0.25"/>
    <row r="238102" customFormat="1" x14ac:dyDescent="0.25"/>
    <row r="238103" customFormat="1" x14ac:dyDescent="0.25"/>
    <row r="238104" customFormat="1" x14ac:dyDescent="0.25"/>
    <row r="238105" customFormat="1" x14ac:dyDescent="0.25"/>
    <row r="238106" customFormat="1" x14ac:dyDescent="0.25"/>
    <row r="238107" customFormat="1" x14ac:dyDescent="0.25"/>
    <row r="238108" customFormat="1" x14ac:dyDescent="0.25"/>
    <row r="238109" customFormat="1" x14ac:dyDescent="0.25"/>
    <row r="238110" customFormat="1" x14ac:dyDescent="0.25"/>
    <row r="238111" customFormat="1" x14ac:dyDescent="0.25"/>
    <row r="238112" customFormat="1" x14ac:dyDescent="0.25"/>
    <row r="238113" customFormat="1" x14ac:dyDescent="0.25"/>
    <row r="238114" customFormat="1" x14ac:dyDescent="0.25"/>
    <row r="238115" customFormat="1" x14ac:dyDescent="0.25"/>
    <row r="238116" customFormat="1" x14ac:dyDescent="0.25"/>
    <row r="238117" customFormat="1" x14ac:dyDescent="0.25"/>
    <row r="238118" customFormat="1" x14ac:dyDescent="0.25"/>
    <row r="238119" customFormat="1" x14ac:dyDescent="0.25"/>
    <row r="238120" customFormat="1" x14ac:dyDescent="0.25"/>
    <row r="238121" customFormat="1" x14ac:dyDescent="0.25"/>
    <row r="238122" customFormat="1" x14ac:dyDescent="0.25"/>
    <row r="238123" customFormat="1" x14ac:dyDescent="0.25"/>
    <row r="238124" customFormat="1" x14ac:dyDescent="0.25"/>
    <row r="238125" customFormat="1" x14ac:dyDescent="0.25"/>
    <row r="238126" customFormat="1" x14ac:dyDescent="0.25"/>
    <row r="238127" customFormat="1" x14ac:dyDescent="0.25"/>
    <row r="238128" customFormat="1" x14ac:dyDescent="0.25"/>
    <row r="238129" customFormat="1" x14ac:dyDescent="0.25"/>
    <row r="238130" customFormat="1" x14ac:dyDescent="0.25"/>
    <row r="238131" customFormat="1" x14ac:dyDescent="0.25"/>
    <row r="238132" customFormat="1" x14ac:dyDescent="0.25"/>
    <row r="238133" customFormat="1" x14ac:dyDescent="0.25"/>
    <row r="238134" customFormat="1" x14ac:dyDescent="0.25"/>
    <row r="238135" customFormat="1" x14ac:dyDescent="0.25"/>
    <row r="238136" customFormat="1" x14ac:dyDescent="0.25"/>
    <row r="238137" customFormat="1" x14ac:dyDescent="0.25"/>
    <row r="238138" customFormat="1" x14ac:dyDescent="0.25"/>
    <row r="238139" customFormat="1" x14ac:dyDescent="0.25"/>
    <row r="238140" customFormat="1" x14ac:dyDescent="0.25"/>
    <row r="238141" customFormat="1" x14ac:dyDescent="0.25"/>
    <row r="238142" customFormat="1" x14ac:dyDescent="0.25"/>
    <row r="238143" customFormat="1" x14ac:dyDescent="0.25"/>
    <row r="238144" customFormat="1" x14ac:dyDescent="0.25"/>
    <row r="238145" customFormat="1" x14ac:dyDescent="0.25"/>
    <row r="238146" customFormat="1" x14ac:dyDescent="0.25"/>
    <row r="238147" customFormat="1" x14ac:dyDescent="0.25"/>
    <row r="238148" customFormat="1" x14ac:dyDescent="0.25"/>
    <row r="238149" customFormat="1" x14ac:dyDescent="0.25"/>
    <row r="238150" customFormat="1" x14ac:dyDescent="0.25"/>
    <row r="238151" customFormat="1" x14ac:dyDescent="0.25"/>
    <row r="238152" customFormat="1" x14ac:dyDescent="0.25"/>
    <row r="238153" customFormat="1" x14ac:dyDescent="0.25"/>
    <row r="238154" customFormat="1" x14ac:dyDescent="0.25"/>
    <row r="238155" customFormat="1" x14ac:dyDescent="0.25"/>
    <row r="238156" customFormat="1" x14ac:dyDescent="0.25"/>
    <row r="238157" customFormat="1" x14ac:dyDescent="0.25"/>
    <row r="238158" customFormat="1" x14ac:dyDescent="0.25"/>
    <row r="238159" customFormat="1" x14ac:dyDescent="0.25"/>
    <row r="238160" customFormat="1" x14ac:dyDescent="0.25"/>
    <row r="238161" customFormat="1" x14ac:dyDescent="0.25"/>
    <row r="238162" customFormat="1" x14ac:dyDescent="0.25"/>
    <row r="238163" customFormat="1" x14ac:dyDescent="0.25"/>
    <row r="238164" customFormat="1" x14ac:dyDescent="0.25"/>
    <row r="238165" customFormat="1" x14ac:dyDescent="0.25"/>
    <row r="238166" customFormat="1" x14ac:dyDescent="0.25"/>
    <row r="238167" customFormat="1" x14ac:dyDescent="0.25"/>
    <row r="238168" customFormat="1" x14ac:dyDescent="0.25"/>
    <row r="238169" customFormat="1" x14ac:dyDescent="0.25"/>
    <row r="238170" customFormat="1" x14ac:dyDescent="0.25"/>
    <row r="238171" customFormat="1" x14ac:dyDescent="0.25"/>
    <row r="238172" customFormat="1" x14ac:dyDescent="0.25"/>
    <row r="238173" customFormat="1" x14ac:dyDescent="0.25"/>
    <row r="238174" customFormat="1" x14ac:dyDescent="0.25"/>
    <row r="238175" customFormat="1" x14ac:dyDescent="0.25"/>
    <row r="238176" customFormat="1" x14ac:dyDescent="0.25"/>
    <row r="238177" customFormat="1" x14ac:dyDescent="0.25"/>
    <row r="238178" customFormat="1" x14ac:dyDescent="0.25"/>
    <row r="238179" customFormat="1" x14ac:dyDescent="0.25"/>
    <row r="238180" customFormat="1" x14ac:dyDescent="0.25"/>
    <row r="238181" customFormat="1" x14ac:dyDescent="0.25"/>
    <row r="238182" customFormat="1" x14ac:dyDescent="0.25"/>
    <row r="238183" customFormat="1" x14ac:dyDescent="0.25"/>
    <row r="238184" customFormat="1" x14ac:dyDescent="0.25"/>
    <row r="238185" customFormat="1" x14ac:dyDescent="0.25"/>
    <row r="238186" customFormat="1" x14ac:dyDescent="0.25"/>
    <row r="238187" customFormat="1" x14ac:dyDescent="0.25"/>
    <row r="238188" customFormat="1" x14ac:dyDescent="0.25"/>
    <row r="238189" customFormat="1" x14ac:dyDescent="0.25"/>
    <row r="238190" customFormat="1" x14ac:dyDescent="0.25"/>
    <row r="238191" customFormat="1" x14ac:dyDescent="0.25"/>
    <row r="238192" customFormat="1" x14ac:dyDescent="0.25"/>
    <row r="238193" customFormat="1" x14ac:dyDescent="0.25"/>
    <row r="238194" customFormat="1" x14ac:dyDescent="0.25"/>
    <row r="238195" customFormat="1" x14ac:dyDescent="0.25"/>
    <row r="238196" customFormat="1" x14ac:dyDescent="0.25"/>
    <row r="238197" customFormat="1" x14ac:dyDescent="0.25"/>
    <row r="238198" customFormat="1" x14ac:dyDescent="0.25"/>
    <row r="238199" customFormat="1" x14ac:dyDescent="0.25"/>
    <row r="238200" customFormat="1" x14ac:dyDescent="0.25"/>
    <row r="238201" customFormat="1" x14ac:dyDescent="0.25"/>
    <row r="238202" customFormat="1" x14ac:dyDescent="0.25"/>
    <row r="238203" customFormat="1" x14ac:dyDescent="0.25"/>
    <row r="238204" customFormat="1" x14ac:dyDescent="0.25"/>
    <row r="238205" customFormat="1" x14ac:dyDescent="0.25"/>
    <row r="238206" customFormat="1" x14ac:dyDescent="0.25"/>
    <row r="238207" customFormat="1" x14ac:dyDescent="0.25"/>
    <row r="238208" customFormat="1" x14ac:dyDescent="0.25"/>
    <row r="238209" customFormat="1" x14ac:dyDescent="0.25"/>
    <row r="238210" customFormat="1" x14ac:dyDescent="0.25"/>
    <row r="238211" customFormat="1" x14ac:dyDescent="0.25"/>
    <row r="238212" customFormat="1" x14ac:dyDescent="0.25"/>
    <row r="238213" customFormat="1" x14ac:dyDescent="0.25"/>
    <row r="238214" customFormat="1" x14ac:dyDescent="0.25"/>
    <row r="238215" customFormat="1" x14ac:dyDescent="0.25"/>
    <row r="238216" customFormat="1" x14ac:dyDescent="0.25"/>
    <row r="238217" customFormat="1" x14ac:dyDescent="0.25"/>
    <row r="238218" customFormat="1" x14ac:dyDescent="0.25"/>
    <row r="238219" customFormat="1" x14ac:dyDescent="0.25"/>
    <row r="238220" customFormat="1" x14ac:dyDescent="0.25"/>
    <row r="238221" customFormat="1" x14ac:dyDescent="0.25"/>
    <row r="238222" customFormat="1" x14ac:dyDescent="0.25"/>
    <row r="238223" customFormat="1" x14ac:dyDescent="0.25"/>
    <row r="238224" customFormat="1" x14ac:dyDescent="0.25"/>
    <row r="238225" customFormat="1" x14ac:dyDescent="0.25"/>
    <row r="238226" customFormat="1" x14ac:dyDescent="0.25"/>
    <row r="238227" customFormat="1" x14ac:dyDescent="0.25"/>
    <row r="238228" customFormat="1" x14ac:dyDescent="0.25"/>
    <row r="238229" customFormat="1" x14ac:dyDescent="0.25"/>
    <row r="238230" customFormat="1" x14ac:dyDescent="0.25"/>
    <row r="238231" customFormat="1" x14ac:dyDescent="0.25"/>
    <row r="238232" customFormat="1" x14ac:dyDescent="0.25"/>
    <row r="238233" customFormat="1" x14ac:dyDescent="0.25"/>
    <row r="238234" customFormat="1" x14ac:dyDescent="0.25"/>
    <row r="238235" customFormat="1" x14ac:dyDescent="0.25"/>
    <row r="238236" customFormat="1" x14ac:dyDescent="0.25"/>
    <row r="238237" customFormat="1" x14ac:dyDescent="0.25"/>
    <row r="238238" customFormat="1" x14ac:dyDescent="0.25"/>
    <row r="238239" customFormat="1" x14ac:dyDescent="0.25"/>
    <row r="238240" customFormat="1" x14ac:dyDescent="0.25"/>
    <row r="238241" customFormat="1" x14ac:dyDescent="0.25"/>
    <row r="238242" customFormat="1" x14ac:dyDescent="0.25"/>
    <row r="238243" customFormat="1" x14ac:dyDescent="0.25"/>
    <row r="238244" customFormat="1" x14ac:dyDescent="0.25"/>
    <row r="238245" customFormat="1" x14ac:dyDescent="0.25"/>
    <row r="238246" customFormat="1" x14ac:dyDescent="0.25"/>
    <row r="238247" customFormat="1" x14ac:dyDescent="0.25"/>
    <row r="238248" customFormat="1" x14ac:dyDescent="0.25"/>
    <row r="238249" customFormat="1" x14ac:dyDescent="0.25"/>
    <row r="238250" customFormat="1" x14ac:dyDescent="0.25"/>
    <row r="238251" customFormat="1" x14ac:dyDescent="0.25"/>
    <row r="238252" customFormat="1" x14ac:dyDescent="0.25"/>
    <row r="238253" customFormat="1" x14ac:dyDescent="0.25"/>
    <row r="238254" customFormat="1" x14ac:dyDescent="0.25"/>
    <row r="238255" customFormat="1" x14ac:dyDescent="0.25"/>
    <row r="238256" customFormat="1" x14ac:dyDescent="0.25"/>
    <row r="238257" customFormat="1" x14ac:dyDescent="0.25"/>
    <row r="238258" customFormat="1" x14ac:dyDescent="0.25"/>
    <row r="238259" customFormat="1" x14ac:dyDescent="0.25"/>
    <row r="238260" customFormat="1" x14ac:dyDescent="0.25"/>
    <row r="238261" customFormat="1" x14ac:dyDescent="0.25"/>
    <row r="238262" customFormat="1" x14ac:dyDescent="0.25"/>
    <row r="238263" customFormat="1" x14ac:dyDescent="0.25"/>
    <row r="238264" customFormat="1" x14ac:dyDescent="0.25"/>
    <row r="238265" customFormat="1" x14ac:dyDescent="0.25"/>
    <row r="238266" customFormat="1" x14ac:dyDescent="0.25"/>
    <row r="238267" customFormat="1" x14ac:dyDescent="0.25"/>
    <row r="238268" customFormat="1" x14ac:dyDescent="0.25"/>
    <row r="238269" customFormat="1" x14ac:dyDescent="0.25"/>
    <row r="238270" customFormat="1" x14ac:dyDescent="0.25"/>
    <row r="238271" customFormat="1" x14ac:dyDescent="0.25"/>
    <row r="238272" customFormat="1" x14ac:dyDescent="0.25"/>
    <row r="238273" customFormat="1" x14ac:dyDescent="0.25"/>
    <row r="238274" customFormat="1" x14ac:dyDescent="0.25"/>
    <row r="238275" customFormat="1" x14ac:dyDescent="0.25"/>
    <row r="238276" customFormat="1" x14ac:dyDescent="0.25"/>
    <row r="238277" customFormat="1" x14ac:dyDescent="0.25"/>
    <row r="238278" customFormat="1" x14ac:dyDescent="0.25"/>
    <row r="238279" customFormat="1" x14ac:dyDescent="0.25"/>
    <row r="238280" customFormat="1" x14ac:dyDescent="0.25"/>
    <row r="238281" customFormat="1" x14ac:dyDescent="0.25"/>
    <row r="238282" customFormat="1" x14ac:dyDescent="0.25"/>
    <row r="238283" customFormat="1" x14ac:dyDescent="0.25"/>
    <row r="238284" customFormat="1" x14ac:dyDescent="0.25"/>
    <row r="238285" customFormat="1" x14ac:dyDescent="0.25"/>
    <row r="238286" customFormat="1" x14ac:dyDescent="0.25"/>
    <row r="238287" customFormat="1" x14ac:dyDescent="0.25"/>
    <row r="238288" customFormat="1" x14ac:dyDescent="0.25"/>
    <row r="238289" customFormat="1" x14ac:dyDescent="0.25"/>
    <row r="238290" customFormat="1" x14ac:dyDescent="0.25"/>
    <row r="238291" customFormat="1" x14ac:dyDescent="0.25"/>
    <row r="238292" customFormat="1" x14ac:dyDescent="0.25"/>
    <row r="238293" customFormat="1" x14ac:dyDescent="0.25"/>
    <row r="238294" customFormat="1" x14ac:dyDescent="0.25"/>
    <row r="238295" customFormat="1" x14ac:dyDescent="0.25"/>
    <row r="238296" customFormat="1" x14ac:dyDescent="0.25"/>
    <row r="238297" customFormat="1" x14ac:dyDescent="0.25"/>
    <row r="238298" customFormat="1" x14ac:dyDescent="0.25"/>
    <row r="238299" customFormat="1" x14ac:dyDescent="0.25"/>
    <row r="238300" customFormat="1" x14ac:dyDescent="0.25"/>
    <row r="238301" customFormat="1" x14ac:dyDescent="0.25"/>
    <row r="238302" customFormat="1" x14ac:dyDescent="0.25"/>
    <row r="238303" customFormat="1" x14ac:dyDescent="0.25"/>
    <row r="238304" customFormat="1" x14ac:dyDescent="0.25"/>
    <row r="238305" customFormat="1" x14ac:dyDescent="0.25"/>
    <row r="238306" customFormat="1" x14ac:dyDescent="0.25"/>
    <row r="238307" customFormat="1" x14ac:dyDescent="0.25"/>
    <row r="238308" customFormat="1" x14ac:dyDescent="0.25"/>
    <row r="238309" customFormat="1" x14ac:dyDescent="0.25"/>
    <row r="238310" customFormat="1" x14ac:dyDescent="0.25"/>
    <row r="238311" customFormat="1" x14ac:dyDescent="0.25"/>
    <row r="238312" customFormat="1" x14ac:dyDescent="0.25"/>
    <row r="238313" customFormat="1" x14ac:dyDescent="0.25"/>
    <row r="238314" customFormat="1" x14ac:dyDescent="0.25"/>
    <row r="238315" customFormat="1" x14ac:dyDescent="0.25"/>
    <row r="238316" customFormat="1" x14ac:dyDescent="0.25"/>
    <row r="238317" customFormat="1" x14ac:dyDescent="0.25"/>
    <row r="238318" customFormat="1" x14ac:dyDescent="0.25"/>
    <row r="238319" customFormat="1" x14ac:dyDescent="0.25"/>
    <row r="238320" customFormat="1" x14ac:dyDescent="0.25"/>
    <row r="238321" customFormat="1" x14ac:dyDescent="0.25"/>
    <row r="238322" customFormat="1" x14ac:dyDescent="0.25"/>
    <row r="238323" customFormat="1" x14ac:dyDescent="0.25"/>
    <row r="238324" customFormat="1" x14ac:dyDescent="0.25"/>
    <row r="238325" customFormat="1" x14ac:dyDescent="0.25"/>
    <row r="238326" customFormat="1" x14ac:dyDescent="0.25"/>
    <row r="238327" customFormat="1" x14ac:dyDescent="0.25"/>
    <row r="238328" customFormat="1" x14ac:dyDescent="0.25"/>
    <row r="238329" customFormat="1" x14ac:dyDescent="0.25"/>
    <row r="238330" customFormat="1" x14ac:dyDescent="0.25"/>
    <row r="238331" customFormat="1" x14ac:dyDescent="0.25"/>
    <row r="238332" customFormat="1" x14ac:dyDescent="0.25"/>
    <row r="238333" customFormat="1" x14ac:dyDescent="0.25"/>
    <row r="238334" customFormat="1" x14ac:dyDescent="0.25"/>
    <row r="238335" customFormat="1" x14ac:dyDescent="0.25"/>
    <row r="238336" customFormat="1" x14ac:dyDescent="0.25"/>
    <row r="238337" customFormat="1" x14ac:dyDescent="0.25"/>
    <row r="238338" customFormat="1" x14ac:dyDescent="0.25"/>
    <row r="238339" customFormat="1" x14ac:dyDescent="0.25"/>
    <row r="238340" customFormat="1" x14ac:dyDescent="0.25"/>
    <row r="238341" customFormat="1" x14ac:dyDescent="0.25"/>
    <row r="238342" customFormat="1" x14ac:dyDescent="0.25"/>
    <row r="238343" customFormat="1" x14ac:dyDescent="0.25"/>
    <row r="238344" customFormat="1" x14ac:dyDescent="0.25"/>
    <row r="238345" customFormat="1" x14ac:dyDescent="0.25"/>
    <row r="238346" customFormat="1" x14ac:dyDescent="0.25"/>
    <row r="238347" customFormat="1" x14ac:dyDescent="0.25"/>
    <row r="238348" customFormat="1" x14ac:dyDescent="0.25"/>
    <row r="238349" customFormat="1" x14ac:dyDescent="0.25"/>
    <row r="238350" customFormat="1" x14ac:dyDescent="0.25"/>
    <row r="238351" customFormat="1" x14ac:dyDescent="0.25"/>
    <row r="238352" customFormat="1" x14ac:dyDescent="0.25"/>
    <row r="238353" customFormat="1" x14ac:dyDescent="0.25"/>
    <row r="238354" customFormat="1" x14ac:dyDescent="0.25"/>
    <row r="238355" customFormat="1" x14ac:dyDescent="0.25"/>
    <row r="238356" customFormat="1" x14ac:dyDescent="0.25"/>
    <row r="238357" customFormat="1" x14ac:dyDescent="0.25"/>
    <row r="238358" customFormat="1" x14ac:dyDescent="0.25"/>
    <row r="238359" customFormat="1" x14ac:dyDescent="0.25"/>
    <row r="238360" customFormat="1" x14ac:dyDescent="0.25"/>
    <row r="238361" customFormat="1" x14ac:dyDescent="0.25"/>
    <row r="238362" customFormat="1" x14ac:dyDescent="0.25"/>
    <row r="238363" customFormat="1" x14ac:dyDescent="0.25"/>
    <row r="238364" customFormat="1" x14ac:dyDescent="0.25"/>
    <row r="238365" customFormat="1" x14ac:dyDescent="0.25"/>
    <row r="238366" customFormat="1" x14ac:dyDescent="0.25"/>
    <row r="238367" customFormat="1" x14ac:dyDescent="0.25"/>
    <row r="238368" customFormat="1" x14ac:dyDescent="0.25"/>
    <row r="238369" customFormat="1" x14ac:dyDescent="0.25"/>
    <row r="238370" customFormat="1" x14ac:dyDescent="0.25"/>
    <row r="238371" customFormat="1" x14ac:dyDescent="0.25"/>
    <row r="238372" customFormat="1" x14ac:dyDescent="0.25"/>
    <row r="238373" customFormat="1" x14ac:dyDescent="0.25"/>
    <row r="238374" customFormat="1" x14ac:dyDescent="0.25"/>
    <row r="238375" customFormat="1" x14ac:dyDescent="0.25"/>
    <row r="238376" customFormat="1" x14ac:dyDescent="0.25"/>
    <row r="238377" customFormat="1" x14ac:dyDescent="0.25"/>
    <row r="238378" customFormat="1" x14ac:dyDescent="0.25"/>
    <row r="238379" customFormat="1" x14ac:dyDescent="0.25"/>
    <row r="238380" customFormat="1" x14ac:dyDescent="0.25"/>
    <row r="238381" customFormat="1" x14ac:dyDescent="0.25"/>
    <row r="238382" customFormat="1" x14ac:dyDescent="0.25"/>
    <row r="238383" customFormat="1" x14ac:dyDescent="0.25"/>
    <row r="238384" customFormat="1" x14ac:dyDescent="0.25"/>
    <row r="238385" customFormat="1" x14ac:dyDescent="0.25"/>
    <row r="238386" customFormat="1" x14ac:dyDescent="0.25"/>
    <row r="238387" customFormat="1" x14ac:dyDescent="0.25"/>
    <row r="238388" customFormat="1" x14ac:dyDescent="0.25"/>
    <row r="238389" customFormat="1" x14ac:dyDescent="0.25"/>
    <row r="238390" customFormat="1" x14ac:dyDescent="0.25"/>
    <row r="238391" customFormat="1" x14ac:dyDescent="0.25"/>
    <row r="238392" customFormat="1" x14ac:dyDescent="0.25"/>
    <row r="238393" customFormat="1" x14ac:dyDescent="0.25"/>
    <row r="238394" customFormat="1" x14ac:dyDescent="0.25"/>
    <row r="238395" customFormat="1" x14ac:dyDescent="0.25"/>
    <row r="238396" customFormat="1" x14ac:dyDescent="0.25"/>
    <row r="238397" customFormat="1" x14ac:dyDescent="0.25"/>
    <row r="238398" customFormat="1" x14ac:dyDescent="0.25"/>
    <row r="238399" customFormat="1" x14ac:dyDescent="0.25"/>
    <row r="238400" customFormat="1" x14ac:dyDescent="0.25"/>
    <row r="238401" customFormat="1" x14ac:dyDescent="0.25"/>
    <row r="238402" customFormat="1" x14ac:dyDescent="0.25"/>
    <row r="238403" customFormat="1" x14ac:dyDescent="0.25"/>
    <row r="238404" customFormat="1" x14ac:dyDescent="0.25"/>
    <row r="238405" customFormat="1" x14ac:dyDescent="0.25"/>
    <row r="238406" customFormat="1" x14ac:dyDescent="0.25"/>
    <row r="238407" customFormat="1" x14ac:dyDescent="0.25"/>
    <row r="238408" customFormat="1" x14ac:dyDescent="0.25"/>
    <row r="238409" customFormat="1" x14ac:dyDescent="0.25"/>
    <row r="238410" customFormat="1" x14ac:dyDescent="0.25"/>
    <row r="238411" customFormat="1" x14ac:dyDescent="0.25"/>
    <row r="238412" customFormat="1" x14ac:dyDescent="0.25"/>
    <row r="238413" customFormat="1" x14ac:dyDescent="0.25"/>
    <row r="238414" customFormat="1" x14ac:dyDescent="0.25"/>
    <row r="238415" customFormat="1" x14ac:dyDescent="0.25"/>
    <row r="238416" customFormat="1" x14ac:dyDescent="0.25"/>
    <row r="238417" customFormat="1" x14ac:dyDescent="0.25"/>
    <row r="238418" customFormat="1" x14ac:dyDescent="0.25"/>
    <row r="238419" customFormat="1" x14ac:dyDescent="0.25"/>
    <row r="238420" customFormat="1" x14ac:dyDescent="0.25"/>
    <row r="238421" customFormat="1" x14ac:dyDescent="0.25"/>
    <row r="238422" customFormat="1" x14ac:dyDescent="0.25"/>
    <row r="238423" customFormat="1" x14ac:dyDescent="0.25"/>
    <row r="238424" customFormat="1" x14ac:dyDescent="0.25"/>
    <row r="238425" customFormat="1" x14ac:dyDescent="0.25"/>
    <row r="238426" customFormat="1" x14ac:dyDescent="0.25"/>
    <row r="238427" customFormat="1" x14ac:dyDescent="0.25"/>
    <row r="238428" customFormat="1" x14ac:dyDescent="0.25"/>
    <row r="238429" customFormat="1" x14ac:dyDescent="0.25"/>
    <row r="238430" customFormat="1" x14ac:dyDescent="0.25"/>
    <row r="238431" customFormat="1" x14ac:dyDescent="0.25"/>
    <row r="238432" customFormat="1" x14ac:dyDescent="0.25"/>
    <row r="238433" customFormat="1" x14ac:dyDescent="0.25"/>
    <row r="238434" customFormat="1" x14ac:dyDescent="0.25"/>
    <row r="238435" customFormat="1" x14ac:dyDescent="0.25"/>
    <row r="238436" customFormat="1" x14ac:dyDescent="0.25"/>
    <row r="238437" customFormat="1" x14ac:dyDescent="0.25"/>
    <row r="238438" customFormat="1" x14ac:dyDescent="0.25"/>
    <row r="238439" customFormat="1" x14ac:dyDescent="0.25"/>
    <row r="238440" customFormat="1" x14ac:dyDescent="0.25"/>
    <row r="238441" customFormat="1" x14ac:dyDescent="0.25"/>
    <row r="238442" customFormat="1" x14ac:dyDescent="0.25"/>
    <row r="238443" customFormat="1" x14ac:dyDescent="0.25"/>
    <row r="238444" customFormat="1" x14ac:dyDescent="0.25"/>
    <row r="238445" customFormat="1" x14ac:dyDescent="0.25"/>
    <row r="238446" customFormat="1" x14ac:dyDescent="0.25"/>
    <row r="238447" customFormat="1" x14ac:dyDescent="0.25"/>
    <row r="238448" customFormat="1" x14ac:dyDescent="0.25"/>
    <row r="238449" customFormat="1" x14ac:dyDescent="0.25"/>
    <row r="238450" customFormat="1" x14ac:dyDescent="0.25"/>
    <row r="238451" customFormat="1" x14ac:dyDescent="0.25"/>
    <row r="238452" customFormat="1" x14ac:dyDescent="0.25"/>
    <row r="238453" customFormat="1" x14ac:dyDescent="0.25"/>
    <row r="238454" customFormat="1" x14ac:dyDescent="0.25"/>
    <row r="238455" customFormat="1" x14ac:dyDescent="0.25"/>
    <row r="238456" customFormat="1" x14ac:dyDescent="0.25"/>
    <row r="238457" customFormat="1" x14ac:dyDescent="0.25"/>
    <row r="238458" customFormat="1" x14ac:dyDescent="0.25"/>
    <row r="238459" customFormat="1" x14ac:dyDescent="0.25"/>
    <row r="238460" customFormat="1" x14ac:dyDescent="0.25"/>
    <row r="238461" customFormat="1" x14ac:dyDescent="0.25"/>
    <row r="238462" customFormat="1" x14ac:dyDescent="0.25"/>
    <row r="238463" customFormat="1" x14ac:dyDescent="0.25"/>
    <row r="238464" customFormat="1" x14ac:dyDescent="0.25"/>
    <row r="238465" customFormat="1" x14ac:dyDescent="0.25"/>
    <row r="238466" customFormat="1" x14ac:dyDescent="0.25"/>
    <row r="238467" customFormat="1" x14ac:dyDescent="0.25"/>
    <row r="238468" customFormat="1" x14ac:dyDescent="0.25"/>
    <row r="238469" customFormat="1" x14ac:dyDescent="0.25"/>
    <row r="238470" customFormat="1" x14ac:dyDescent="0.25"/>
    <row r="238471" customFormat="1" x14ac:dyDescent="0.25"/>
    <row r="238472" customFormat="1" x14ac:dyDescent="0.25"/>
    <row r="238473" customFormat="1" x14ac:dyDescent="0.25"/>
    <row r="238474" customFormat="1" x14ac:dyDescent="0.25"/>
    <row r="238475" customFormat="1" x14ac:dyDescent="0.25"/>
    <row r="238476" customFormat="1" x14ac:dyDescent="0.25"/>
    <row r="238477" customFormat="1" x14ac:dyDescent="0.25"/>
    <row r="238478" customFormat="1" x14ac:dyDescent="0.25"/>
    <row r="238479" customFormat="1" x14ac:dyDescent="0.25"/>
    <row r="238480" customFormat="1" x14ac:dyDescent="0.25"/>
    <row r="238481" customFormat="1" x14ac:dyDescent="0.25"/>
    <row r="238482" customFormat="1" x14ac:dyDescent="0.25"/>
    <row r="238483" customFormat="1" x14ac:dyDescent="0.25"/>
    <row r="238484" customFormat="1" x14ac:dyDescent="0.25"/>
    <row r="238485" customFormat="1" x14ac:dyDescent="0.25"/>
    <row r="238486" customFormat="1" x14ac:dyDescent="0.25"/>
    <row r="238487" customFormat="1" x14ac:dyDescent="0.25"/>
    <row r="238488" customFormat="1" x14ac:dyDescent="0.25"/>
    <row r="238489" customFormat="1" x14ac:dyDescent="0.25"/>
    <row r="238490" customFormat="1" x14ac:dyDescent="0.25"/>
    <row r="238491" customFormat="1" x14ac:dyDescent="0.25"/>
    <row r="238492" customFormat="1" x14ac:dyDescent="0.25"/>
    <row r="238493" customFormat="1" x14ac:dyDescent="0.25"/>
    <row r="238494" customFormat="1" x14ac:dyDescent="0.25"/>
    <row r="238495" customFormat="1" x14ac:dyDescent="0.25"/>
    <row r="238496" customFormat="1" x14ac:dyDescent="0.25"/>
    <row r="238497" customFormat="1" x14ac:dyDescent="0.25"/>
    <row r="238498" customFormat="1" x14ac:dyDescent="0.25"/>
    <row r="238499" customFormat="1" x14ac:dyDescent="0.25"/>
    <row r="238500" customFormat="1" x14ac:dyDescent="0.25"/>
    <row r="238501" customFormat="1" x14ac:dyDescent="0.25"/>
    <row r="238502" customFormat="1" x14ac:dyDescent="0.25"/>
    <row r="238503" customFormat="1" x14ac:dyDescent="0.25"/>
    <row r="238504" customFormat="1" x14ac:dyDescent="0.25"/>
    <row r="238505" customFormat="1" x14ac:dyDescent="0.25"/>
    <row r="238506" customFormat="1" x14ac:dyDescent="0.25"/>
    <row r="238507" customFormat="1" x14ac:dyDescent="0.25"/>
    <row r="238508" customFormat="1" x14ac:dyDescent="0.25"/>
    <row r="238509" customFormat="1" x14ac:dyDescent="0.25"/>
    <row r="238510" customFormat="1" x14ac:dyDescent="0.25"/>
    <row r="238511" customFormat="1" x14ac:dyDescent="0.25"/>
    <row r="238512" customFormat="1" x14ac:dyDescent="0.25"/>
    <row r="238513" customFormat="1" x14ac:dyDescent="0.25"/>
    <row r="238514" customFormat="1" x14ac:dyDescent="0.25"/>
    <row r="238515" customFormat="1" x14ac:dyDescent="0.25"/>
    <row r="238516" customFormat="1" x14ac:dyDescent="0.25"/>
    <row r="238517" customFormat="1" x14ac:dyDescent="0.25"/>
    <row r="238518" customFormat="1" x14ac:dyDescent="0.25"/>
    <row r="238519" customFormat="1" x14ac:dyDescent="0.25"/>
    <row r="238520" customFormat="1" x14ac:dyDescent="0.25"/>
    <row r="238521" customFormat="1" x14ac:dyDescent="0.25"/>
    <row r="238522" customFormat="1" x14ac:dyDescent="0.25"/>
    <row r="238523" customFormat="1" x14ac:dyDescent="0.25"/>
    <row r="238524" customFormat="1" x14ac:dyDescent="0.25"/>
    <row r="238525" customFormat="1" x14ac:dyDescent="0.25"/>
    <row r="238526" customFormat="1" x14ac:dyDescent="0.25"/>
    <row r="238527" customFormat="1" x14ac:dyDescent="0.25"/>
    <row r="238528" customFormat="1" x14ac:dyDescent="0.25"/>
    <row r="238529" customFormat="1" x14ac:dyDescent="0.25"/>
    <row r="238530" customFormat="1" x14ac:dyDescent="0.25"/>
    <row r="238531" customFormat="1" x14ac:dyDescent="0.25"/>
    <row r="238532" customFormat="1" x14ac:dyDescent="0.25"/>
    <row r="238533" customFormat="1" x14ac:dyDescent="0.25"/>
    <row r="238534" customFormat="1" x14ac:dyDescent="0.25"/>
    <row r="238535" customFormat="1" x14ac:dyDescent="0.25"/>
    <row r="238536" customFormat="1" x14ac:dyDescent="0.25"/>
    <row r="238537" customFormat="1" x14ac:dyDescent="0.25"/>
    <row r="238538" customFormat="1" x14ac:dyDescent="0.25"/>
    <row r="238539" customFormat="1" x14ac:dyDescent="0.25"/>
    <row r="238540" customFormat="1" x14ac:dyDescent="0.25"/>
    <row r="238541" customFormat="1" x14ac:dyDescent="0.25"/>
    <row r="238542" customFormat="1" x14ac:dyDescent="0.25"/>
    <row r="238543" customFormat="1" x14ac:dyDescent="0.25"/>
    <row r="238544" customFormat="1" x14ac:dyDescent="0.25"/>
    <row r="238545" customFormat="1" x14ac:dyDescent="0.25"/>
    <row r="238546" customFormat="1" x14ac:dyDescent="0.25"/>
    <row r="238547" customFormat="1" x14ac:dyDescent="0.25"/>
    <row r="238548" customFormat="1" x14ac:dyDescent="0.25"/>
    <row r="238549" customFormat="1" x14ac:dyDescent="0.25"/>
    <row r="238550" customFormat="1" x14ac:dyDescent="0.25"/>
    <row r="238551" customFormat="1" x14ac:dyDescent="0.25"/>
    <row r="238552" customFormat="1" x14ac:dyDescent="0.25"/>
    <row r="238553" customFormat="1" x14ac:dyDescent="0.25"/>
    <row r="238554" customFormat="1" x14ac:dyDescent="0.25"/>
    <row r="238555" customFormat="1" x14ac:dyDescent="0.25"/>
    <row r="238556" customFormat="1" x14ac:dyDescent="0.25"/>
    <row r="238557" customFormat="1" x14ac:dyDescent="0.25"/>
    <row r="238558" customFormat="1" x14ac:dyDescent="0.25"/>
    <row r="238559" customFormat="1" x14ac:dyDescent="0.25"/>
    <row r="238560" customFormat="1" x14ac:dyDescent="0.25"/>
    <row r="238561" customFormat="1" x14ac:dyDescent="0.25"/>
    <row r="238562" customFormat="1" x14ac:dyDescent="0.25"/>
    <row r="238563" customFormat="1" x14ac:dyDescent="0.25"/>
    <row r="238564" customFormat="1" x14ac:dyDescent="0.25"/>
    <row r="238565" customFormat="1" x14ac:dyDescent="0.25"/>
    <row r="238566" customFormat="1" x14ac:dyDescent="0.25"/>
    <row r="238567" customFormat="1" x14ac:dyDescent="0.25"/>
    <row r="238568" customFormat="1" x14ac:dyDescent="0.25"/>
    <row r="238569" customFormat="1" x14ac:dyDescent="0.25"/>
    <row r="238570" customFormat="1" x14ac:dyDescent="0.25"/>
    <row r="238571" customFormat="1" x14ac:dyDescent="0.25"/>
    <row r="238572" customFormat="1" x14ac:dyDescent="0.25"/>
    <row r="238573" customFormat="1" x14ac:dyDescent="0.25"/>
    <row r="238574" customFormat="1" x14ac:dyDescent="0.25"/>
    <row r="238575" customFormat="1" x14ac:dyDescent="0.25"/>
    <row r="238576" customFormat="1" x14ac:dyDescent="0.25"/>
    <row r="238577" customFormat="1" x14ac:dyDescent="0.25"/>
    <row r="238578" customFormat="1" x14ac:dyDescent="0.25"/>
    <row r="238579" customFormat="1" x14ac:dyDescent="0.25"/>
    <row r="238580" customFormat="1" x14ac:dyDescent="0.25"/>
    <row r="238581" customFormat="1" x14ac:dyDescent="0.25"/>
    <row r="238582" customFormat="1" x14ac:dyDescent="0.25"/>
    <row r="238583" customFormat="1" x14ac:dyDescent="0.25"/>
    <row r="238584" customFormat="1" x14ac:dyDescent="0.25"/>
    <row r="238585" customFormat="1" x14ac:dyDescent="0.25"/>
    <row r="238586" customFormat="1" x14ac:dyDescent="0.25"/>
    <row r="238587" customFormat="1" x14ac:dyDescent="0.25"/>
    <row r="238588" customFormat="1" x14ac:dyDescent="0.25"/>
    <row r="238589" customFormat="1" x14ac:dyDescent="0.25"/>
    <row r="238590" customFormat="1" x14ac:dyDescent="0.25"/>
    <row r="238591" customFormat="1" x14ac:dyDescent="0.25"/>
    <row r="238592" customFormat="1" x14ac:dyDescent="0.25"/>
    <row r="238593" customFormat="1" x14ac:dyDescent="0.25"/>
    <row r="238594" customFormat="1" x14ac:dyDescent="0.25"/>
    <row r="238595" customFormat="1" x14ac:dyDescent="0.25"/>
    <row r="238596" customFormat="1" x14ac:dyDescent="0.25"/>
    <row r="238597" customFormat="1" x14ac:dyDescent="0.25"/>
    <row r="238598" customFormat="1" x14ac:dyDescent="0.25"/>
    <row r="238599" customFormat="1" x14ac:dyDescent="0.25"/>
    <row r="238600" customFormat="1" x14ac:dyDescent="0.25"/>
    <row r="238601" customFormat="1" x14ac:dyDescent="0.25"/>
    <row r="238602" customFormat="1" x14ac:dyDescent="0.25"/>
    <row r="238603" customFormat="1" x14ac:dyDescent="0.25"/>
    <row r="238604" customFormat="1" x14ac:dyDescent="0.25"/>
    <row r="238605" customFormat="1" x14ac:dyDescent="0.25"/>
    <row r="238606" customFormat="1" x14ac:dyDescent="0.25"/>
    <row r="238607" customFormat="1" x14ac:dyDescent="0.25"/>
    <row r="238608" customFormat="1" x14ac:dyDescent="0.25"/>
    <row r="238609" customFormat="1" x14ac:dyDescent="0.25"/>
    <row r="238610" customFormat="1" x14ac:dyDescent="0.25"/>
    <row r="238611" customFormat="1" x14ac:dyDescent="0.25"/>
    <row r="238612" customFormat="1" x14ac:dyDescent="0.25"/>
    <row r="238613" customFormat="1" x14ac:dyDescent="0.25"/>
    <row r="238614" customFormat="1" x14ac:dyDescent="0.25"/>
    <row r="238615" customFormat="1" x14ac:dyDescent="0.25"/>
    <row r="238616" customFormat="1" x14ac:dyDescent="0.25"/>
    <row r="238617" customFormat="1" x14ac:dyDescent="0.25"/>
    <row r="238618" customFormat="1" x14ac:dyDescent="0.25"/>
    <row r="238619" customFormat="1" x14ac:dyDescent="0.25"/>
    <row r="238620" customFormat="1" x14ac:dyDescent="0.25"/>
    <row r="238621" customFormat="1" x14ac:dyDescent="0.25"/>
    <row r="238622" customFormat="1" x14ac:dyDescent="0.25"/>
    <row r="238623" customFormat="1" x14ac:dyDescent="0.25"/>
    <row r="238624" customFormat="1" x14ac:dyDescent="0.25"/>
    <row r="238625" customFormat="1" x14ac:dyDescent="0.25"/>
    <row r="238626" customFormat="1" x14ac:dyDescent="0.25"/>
    <row r="238627" customFormat="1" x14ac:dyDescent="0.25"/>
    <row r="238628" customFormat="1" x14ac:dyDescent="0.25"/>
    <row r="238629" customFormat="1" x14ac:dyDescent="0.25"/>
    <row r="238630" customFormat="1" x14ac:dyDescent="0.25"/>
    <row r="238631" customFormat="1" x14ac:dyDescent="0.25"/>
    <row r="238632" customFormat="1" x14ac:dyDescent="0.25"/>
    <row r="238633" customFormat="1" x14ac:dyDescent="0.25"/>
    <row r="238634" customFormat="1" x14ac:dyDescent="0.25"/>
    <row r="238635" customFormat="1" x14ac:dyDescent="0.25"/>
    <row r="238636" customFormat="1" x14ac:dyDescent="0.25"/>
    <row r="238637" customFormat="1" x14ac:dyDescent="0.25"/>
    <row r="238638" customFormat="1" x14ac:dyDescent="0.25"/>
    <row r="238639" customFormat="1" x14ac:dyDescent="0.25"/>
    <row r="238640" customFormat="1" x14ac:dyDescent="0.25"/>
    <row r="238641" customFormat="1" x14ac:dyDescent="0.25"/>
    <row r="238642" customFormat="1" x14ac:dyDescent="0.25"/>
    <row r="238643" customFormat="1" x14ac:dyDescent="0.25"/>
    <row r="238644" customFormat="1" x14ac:dyDescent="0.25"/>
    <row r="238645" customFormat="1" x14ac:dyDescent="0.25"/>
    <row r="238646" customFormat="1" x14ac:dyDescent="0.25"/>
    <row r="238647" customFormat="1" x14ac:dyDescent="0.25"/>
    <row r="238648" customFormat="1" x14ac:dyDescent="0.25"/>
    <row r="238649" customFormat="1" x14ac:dyDescent="0.25"/>
    <row r="238650" customFormat="1" x14ac:dyDescent="0.25"/>
    <row r="238651" customFormat="1" x14ac:dyDescent="0.25"/>
    <row r="238652" customFormat="1" x14ac:dyDescent="0.25"/>
    <row r="238653" customFormat="1" x14ac:dyDescent="0.25"/>
    <row r="238654" customFormat="1" x14ac:dyDescent="0.25"/>
    <row r="238655" customFormat="1" x14ac:dyDescent="0.25"/>
    <row r="238656" customFormat="1" x14ac:dyDescent="0.25"/>
    <row r="238657" customFormat="1" x14ac:dyDescent="0.25"/>
    <row r="238658" customFormat="1" x14ac:dyDescent="0.25"/>
    <row r="238659" customFormat="1" x14ac:dyDescent="0.25"/>
    <row r="238660" customFormat="1" x14ac:dyDescent="0.25"/>
    <row r="238661" customFormat="1" x14ac:dyDescent="0.25"/>
    <row r="238662" customFormat="1" x14ac:dyDescent="0.25"/>
    <row r="238663" customFormat="1" x14ac:dyDescent="0.25"/>
    <row r="238664" customFormat="1" x14ac:dyDescent="0.25"/>
    <row r="238665" customFormat="1" x14ac:dyDescent="0.25"/>
    <row r="238666" customFormat="1" x14ac:dyDescent="0.25"/>
    <row r="238667" customFormat="1" x14ac:dyDescent="0.25"/>
    <row r="238668" customFormat="1" x14ac:dyDescent="0.25"/>
    <row r="238669" customFormat="1" x14ac:dyDescent="0.25"/>
    <row r="238670" customFormat="1" x14ac:dyDescent="0.25"/>
    <row r="238671" customFormat="1" x14ac:dyDescent="0.25"/>
    <row r="238672" customFormat="1" x14ac:dyDescent="0.25"/>
    <row r="238673" customFormat="1" x14ac:dyDescent="0.25"/>
    <row r="238674" customFormat="1" x14ac:dyDescent="0.25"/>
    <row r="238675" customFormat="1" x14ac:dyDescent="0.25"/>
    <row r="238676" customFormat="1" x14ac:dyDescent="0.25"/>
    <row r="238677" customFormat="1" x14ac:dyDescent="0.25"/>
    <row r="238678" customFormat="1" x14ac:dyDescent="0.25"/>
    <row r="238679" customFormat="1" x14ac:dyDescent="0.25"/>
    <row r="238680" customFormat="1" x14ac:dyDescent="0.25"/>
    <row r="238681" customFormat="1" x14ac:dyDescent="0.25"/>
    <row r="238682" customFormat="1" x14ac:dyDescent="0.25"/>
    <row r="238683" customFormat="1" x14ac:dyDescent="0.25"/>
    <row r="238684" customFormat="1" x14ac:dyDescent="0.25"/>
    <row r="238685" customFormat="1" x14ac:dyDescent="0.25"/>
    <row r="238686" customFormat="1" x14ac:dyDescent="0.25"/>
    <row r="238687" customFormat="1" x14ac:dyDescent="0.25"/>
    <row r="238688" customFormat="1" x14ac:dyDescent="0.25"/>
    <row r="238689" customFormat="1" x14ac:dyDescent="0.25"/>
    <row r="238690" customFormat="1" x14ac:dyDescent="0.25"/>
    <row r="238691" customFormat="1" x14ac:dyDescent="0.25"/>
    <row r="238692" customFormat="1" x14ac:dyDescent="0.25"/>
    <row r="238693" customFormat="1" x14ac:dyDescent="0.25"/>
    <row r="238694" customFormat="1" x14ac:dyDescent="0.25"/>
    <row r="238695" customFormat="1" x14ac:dyDescent="0.25"/>
    <row r="238696" customFormat="1" x14ac:dyDescent="0.25"/>
    <row r="238697" customFormat="1" x14ac:dyDescent="0.25"/>
    <row r="238698" customFormat="1" x14ac:dyDescent="0.25"/>
    <row r="238699" customFormat="1" x14ac:dyDescent="0.25"/>
    <row r="238700" customFormat="1" x14ac:dyDescent="0.25"/>
    <row r="238701" customFormat="1" x14ac:dyDescent="0.25"/>
    <row r="238702" customFormat="1" x14ac:dyDescent="0.25"/>
    <row r="238703" customFormat="1" x14ac:dyDescent="0.25"/>
    <row r="238704" customFormat="1" x14ac:dyDescent="0.25"/>
    <row r="238705" customFormat="1" x14ac:dyDescent="0.25"/>
    <row r="238706" customFormat="1" x14ac:dyDescent="0.25"/>
    <row r="238707" customFormat="1" x14ac:dyDescent="0.25"/>
    <row r="238708" customFormat="1" x14ac:dyDescent="0.25"/>
    <row r="238709" customFormat="1" x14ac:dyDescent="0.25"/>
    <row r="238710" customFormat="1" x14ac:dyDescent="0.25"/>
    <row r="238711" customFormat="1" x14ac:dyDescent="0.25"/>
    <row r="238712" customFormat="1" x14ac:dyDescent="0.25"/>
    <row r="238713" customFormat="1" x14ac:dyDescent="0.25"/>
    <row r="238714" customFormat="1" x14ac:dyDescent="0.25"/>
    <row r="238715" customFormat="1" x14ac:dyDescent="0.25"/>
    <row r="238716" customFormat="1" x14ac:dyDescent="0.25"/>
    <row r="238717" customFormat="1" x14ac:dyDescent="0.25"/>
    <row r="238718" customFormat="1" x14ac:dyDescent="0.25"/>
    <row r="238719" customFormat="1" x14ac:dyDescent="0.25"/>
    <row r="238720" customFormat="1" x14ac:dyDescent="0.25"/>
    <row r="238721" customFormat="1" x14ac:dyDescent="0.25"/>
    <row r="238722" customFormat="1" x14ac:dyDescent="0.25"/>
    <row r="238723" customFormat="1" x14ac:dyDescent="0.25"/>
    <row r="238724" customFormat="1" x14ac:dyDescent="0.25"/>
    <row r="238725" customFormat="1" x14ac:dyDescent="0.25"/>
    <row r="238726" customFormat="1" x14ac:dyDescent="0.25"/>
    <row r="238727" customFormat="1" x14ac:dyDescent="0.25"/>
    <row r="238728" customFormat="1" x14ac:dyDescent="0.25"/>
    <row r="238729" customFormat="1" x14ac:dyDescent="0.25"/>
    <row r="238730" customFormat="1" x14ac:dyDescent="0.25"/>
    <row r="238731" customFormat="1" x14ac:dyDescent="0.25"/>
    <row r="238732" customFormat="1" x14ac:dyDescent="0.25"/>
    <row r="238733" customFormat="1" x14ac:dyDescent="0.25"/>
    <row r="238734" customFormat="1" x14ac:dyDescent="0.25"/>
    <row r="238735" customFormat="1" x14ac:dyDescent="0.25"/>
    <row r="238736" customFormat="1" x14ac:dyDescent="0.25"/>
    <row r="238737" customFormat="1" x14ac:dyDescent="0.25"/>
    <row r="238738" customFormat="1" x14ac:dyDescent="0.25"/>
    <row r="238739" customFormat="1" x14ac:dyDescent="0.25"/>
    <row r="238740" customFormat="1" x14ac:dyDescent="0.25"/>
    <row r="238741" customFormat="1" x14ac:dyDescent="0.25"/>
    <row r="238742" customFormat="1" x14ac:dyDescent="0.25"/>
    <row r="238743" customFormat="1" x14ac:dyDescent="0.25"/>
    <row r="238744" customFormat="1" x14ac:dyDescent="0.25"/>
    <row r="238745" customFormat="1" x14ac:dyDescent="0.25"/>
    <row r="238746" customFormat="1" x14ac:dyDescent="0.25"/>
    <row r="238747" customFormat="1" x14ac:dyDescent="0.25"/>
    <row r="238748" customFormat="1" x14ac:dyDescent="0.25"/>
    <row r="238749" customFormat="1" x14ac:dyDescent="0.25"/>
    <row r="238750" customFormat="1" x14ac:dyDescent="0.25"/>
    <row r="238751" customFormat="1" x14ac:dyDescent="0.25"/>
    <row r="238752" customFormat="1" x14ac:dyDescent="0.25"/>
    <row r="238753" customFormat="1" x14ac:dyDescent="0.25"/>
    <row r="238754" customFormat="1" x14ac:dyDescent="0.25"/>
    <row r="238755" customFormat="1" x14ac:dyDescent="0.25"/>
    <row r="238756" customFormat="1" x14ac:dyDescent="0.25"/>
    <row r="238757" customFormat="1" x14ac:dyDescent="0.25"/>
    <row r="238758" customFormat="1" x14ac:dyDescent="0.25"/>
    <row r="238759" customFormat="1" x14ac:dyDescent="0.25"/>
    <row r="238760" customFormat="1" x14ac:dyDescent="0.25"/>
    <row r="238761" customFormat="1" x14ac:dyDescent="0.25"/>
    <row r="238762" customFormat="1" x14ac:dyDescent="0.25"/>
    <row r="238763" customFormat="1" x14ac:dyDescent="0.25"/>
    <row r="238764" customFormat="1" x14ac:dyDescent="0.25"/>
    <row r="238765" customFormat="1" x14ac:dyDescent="0.25"/>
    <row r="238766" customFormat="1" x14ac:dyDescent="0.25"/>
    <row r="238767" customFormat="1" x14ac:dyDescent="0.25"/>
    <row r="238768" customFormat="1" x14ac:dyDescent="0.25"/>
    <row r="238769" customFormat="1" x14ac:dyDescent="0.25"/>
    <row r="238770" customFormat="1" x14ac:dyDescent="0.25"/>
    <row r="238771" customFormat="1" x14ac:dyDescent="0.25"/>
    <row r="238772" customFormat="1" x14ac:dyDescent="0.25"/>
    <row r="238773" customFormat="1" x14ac:dyDescent="0.25"/>
    <row r="238774" customFormat="1" x14ac:dyDescent="0.25"/>
    <row r="238775" customFormat="1" x14ac:dyDescent="0.25"/>
    <row r="238776" customFormat="1" x14ac:dyDescent="0.25"/>
    <row r="238777" customFormat="1" x14ac:dyDescent="0.25"/>
    <row r="238778" customFormat="1" x14ac:dyDescent="0.25"/>
    <row r="238779" customFormat="1" x14ac:dyDescent="0.25"/>
    <row r="238780" customFormat="1" x14ac:dyDescent="0.25"/>
    <row r="238781" customFormat="1" x14ac:dyDescent="0.25"/>
    <row r="238782" customFormat="1" x14ac:dyDescent="0.25"/>
    <row r="238783" customFormat="1" x14ac:dyDescent="0.25"/>
    <row r="238784" customFormat="1" x14ac:dyDescent="0.25"/>
    <row r="238785" customFormat="1" x14ac:dyDescent="0.25"/>
    <row r="238786" customFormat="1" x14ac:dyDescent="0.25"/>
    <row r="238787" customFormat="1" x14ac:dyDescent="0.25"/>
    <row r="238788" customFormat="1" x14ac:dyDescent="0.25"/>
    <row r="238789" customFormat="1" x14ac:dyDescent="0.25"/>
    <row r="238790" customFormat="1" x14ac:dyDescent="0.25"/>
    <row r="238791" customFormat="1" x14ac:dyDescent="0.25"/>
    <row r="238792" customFormat="1" x14ac:dyDescent="0.25"/>
    <row r="238793" customFormat="1" x14ac:dyDescent="0.25"/>
    <row r="238794" customFormat="1" x14ac:dyDescent="0.25"/>
    <row r="238795" customFormat="1" x14ac:dyDescent="0.25"/>
    <row r="238796" customFormat="1" x14ac:dyDescent="0.25"/>
    <row r="238797" customFormat="1" x14ac:dyDescent="0.25"/>
    <row r="238798" customFormat="1" x14ac:dyDescent="0.25"/>
    <row r="238799" customFormat="1" x14ac:dyDescent="0.25"/>
    <row r="238800" customFormat="1" x14ac:dyDescent="0.25"/>
    <row r="238801" customFormat="1" x14ac:dyDescent="0.25"/>
    <row r="238802" customFormat="1" x14ac:dyDescent="0.25"/>
    <row r="238803" customFormat="1" x14ac:dyDescent="0.25"/>
    <row r="238804" customFormat="1" x14ac:dyDescent="0.25"/>
    <row r="238805" customFormat="1" x14ac:dyDescent="0.25"/>
    <row r="238806" customFormat="1" x14ac:dyDescent="0.25"/>
    <row r="238807" customFormat="1" x14ac:dyDescent="0.25"/>
    <row r="238808" customFormat="1" x14ac:dyDescent="0.25"/>
    <row r="238809" customFormat="1" x14ac:dyDescent="0.25"/>
    <row r="238810" customFormat="1" x14ac:dyDescent="0.25"/>
    <row r="238811" customFormat="1" x14ac:dyDescent="0.25"/>
    <row r="238812" customFormat="1" x14ac:dyDescent="0.25"/>
    <row r="238813" customFormat="1" x14ac:dyDescent="0.25"/>
    <row r="238814" customFormat="1" x14ac:dyDescent="0.25"/>
    <row r="238815" customFormat="1" x14ac:dyDescent="0.25"/>
    <row r="238816" customFormat="1" x14ac:dyDescent="0.25"/>
    <row r="238817" customFormat="1" x14ac:dyDescent="0.25"/>
    <row r="238818" customFormat="1" x14ac:dyDescent="0.25"/>
    <row r="238819" customFormat="1" x14ac:dyDescent="0.25"/>
    <row r="238820" customFormat="1" x14ac:dyDescent="0.25"/>
    <row r="238821" customFormat="1" x14ac:dyDescent="0.25"/>
    <row r="238822" customFormat="1" x14ac:dyDescent="0.25"/>
    <row r="238823" customFormat="1" x14ac:dyDescent="0.25"/>
    <row r="238824" customFormat="1" x14ac:dyDescent="0.25"/>
    <row r="238825" customFormat="1" x14ac:dyDescent="0.25"/>
    <row r="238826" customFormat="1" x14ac:dyDescent="0.25"/>
    <row r="238827" customFormat="1" x14ac:dyDescent="0.25"/>
    <row r="238828" customFormat="1" x14ac:dyDescent="0.25"/>
    <row r="238829" customFormat="1" x14ac:dyDescent="0.25"/>
    <row r="238830" customFormat="1" x14ac:dyDescent="0.25"/>
    <row r="238831" customFormat="1" x14ac:dyDescent="0.25"/>
    <row r="238832" customFormat="1" x14ac:dyDescent="0.25"/>
    <row r="238833" customFormat="1" x14ac:dyDescent="0.25"/>
    <row r="238834" customFormat="1" x14ac:dyDescent="0.25"/>
    <row r="238835" customFormat="1" x14ac:dyDescent="0.25"/>
    <row r="238836" customFormat="1" x14ac:dyDescent="0.25"/>
    <row r="238837" customFormat="1" x14ac:dyDescent="0.25"/>
    <row r="238838" customFormat="1" x14ac:dyDescent="0.25"/>
    <row r="238839" customFormat="1" x14ac:dyDescent="0.25"/>
    <row r="238840" customFormat="1" x14ac:dyDescent="0.25"/>
    <row r="238841" customFormat="1" x14ac:dyDescent="0.25"/>
    <row r="238842" customFormat="1" x14ac:dyDescent="0.25"/>
    <row r="238843" customFormat="1" x14ac:dyDescent="0.25"/>
    <row r="238844" customFormat="1" x14ac:dyDescent="0.25"/>
    <row r="238845" customFormat="1" x14ac:dyDescent="0.25"/>
    <row r="238846" customFormat="1" x14ac:dyDescent="0.25"/>
    <row r="238847" customFormat="1" x14ac:dyDescent="0.25"/>
    <row r="238848" customFormat="1" x14ac:dyDescent="0.25"/>
    <row r="238849" customFormat="1" x14ac:dyDescent="0.25"/>
    <row r="238850" customFormat="1" x14ac:dyDescent="0.25"/>
    <row r="238851" customFormat="1" x14ac:dyDescent="0.25"/>
    <row r="238852" customFormat="1" x14ac:dyDescent="0.25"/>
    <row r="238853" customFormat="1" x14ac:dyDescent="0.25"/>
    <row r="238854" customFormat="1" x14ac:dyDescent="0.25"/>
    <row r="238855" customFormat="1" x14ac:dyDescent="0.25"/>
    <row r="238856" customFormat="1" x14ac:dyDescent="0.25"/>
    <row r="238857" customFormat="1" x14ac:dyDescent="0.25"/>
    <row r="238858" customFormat="1" x14ac:dyDescent="0.25"/>
    <row r="238859" customFormat="1" x14ac:dyDescent="0.25"/>
    <row r="238860" customFormat="1" x14ac:dyDescent="0.25"/>
    <row r="238861" customFormat="1" x14ac:dyDescent="0.25"/>
    <row r="238862" customFormat="1" x14ac:dyDescent="0.25"/>
    <row r="238863" customFormat="1" x14ac:dyDescent="0.25"/>
    <row r="238864" customFormat="1" x14ac:dyDescent="0.25"/>
    <row r="238865" customFormat="1" x14ac:dyDescent="0.25"/>
    <row r="238866" customFormat="1" x14ac:dyDescent="0.25"/>
    <row r="238867" customFormat="1" x14ac:dyDescent="0.25"/>
    <row r="238868" customFormat="1" x14ac:dyDescent="0.25"/>
    <row r="238869" customFormat="1" x14ac:dyDescent="0.25"/>
    <row r="238870" customFormat="1" x14ac:dyDescent="0.25"/>
    <row r="238871" customFormat="1" x14ac:dyDescent="0.25"/>
    <row r="238872" customFormat="1" x14ac:dyDescent="0.25"/>
    <row r="238873" customFormat="1" x14ac:dyDescent="0.25"/>
    <row r="238874" customFormat="1" x14ac:dyDescent="0.25"/>
    <row r="238875" customFormat="1" x14ac:dyDescent="0.25"/>
    <row r="238876" customFormat="1" x14ac:dyDescent="0.25"/>
    <row r="238877" customFormat="1" x14ac:dyDescent="0.25"/>
    <row r="238878" customFormat="1" x14ac:dyDescent="0.25"/>
    <row r="238879" customFormat="1" x14ac:dyDescent="0.25"/>
    <row r="238880" customFormat="1" x14ac:dyDescent="0.25"/>
    <row r="238881" customFormat="1" x14ac:dyDescent="0.25"/>
    <row r="238882" customFormat="1" x14ac:dyDescent="0.25"/>
    <row r="238883" customFormat="1" x14ac:dyDescent="0.25"/>
    <row r="238884" customFormat="1" x14ac:dyDescent="0.25"/>
    <row r="238885" customFormat="1" x14ac:dyDescent="0.25"/>
    <row r="238886" customFormat="1" x14ac:dyDescent="0.25"/>
    <row r="238887" customFormat="1" x14ac:dyDescent="0.25"/>
    <row r="238888" customFormat="1" x14ac:dyDescent="0.25"/>
    <row r="238889" customFormat="1" x14ac:dyDescent="0.25"/>
    <row r="238890" customFormat="1" x14ac:dyDescent="0.25"/>
    <row r="238891" customFormat="1" x14ac:dyDescent="0.25"/>
    <row r="238892" customFormat="1" x14ac:dyDescent="0.25"/>
    <row r="238893" customFormat="1" x14ac:dyDescent="0.25"/>
    <row r="238894" customFormat="1" x14ac:dyDescent="0.25"/>
    <row r="238895" customFormat="1" x14ac:dyDescent="0.25"/>
    <row r="238896" customFormat="1" x14ac:dyDescent="0.25"/>
    <row r="238897" customFormat="1" x14ac:dyDescent="0.25"/>
    <row r="238898" customFormat="1" x14ac:dyDescent="0.25"/>
    <row r="238899" customFormat="1" x14ac:dyDescent="0.25"/>
    <row r="238900" customFormat="1" x14ac:dyDescent="0.25"/>
    <row r="238901" customFormat="1" x14ac:dyDescent="0.25"/>
    <row r="238902" customFormat="1" x14ac:dyDescent="0.25"/>
    <row r="238903" customFormat="1" x14ac:dyDescent="0.25"/>
    <row r="238904" customFormat="1" x14ac:dyDescent="0.25"/>
    <row r="238905" customFormat="1" x14ac:dyDescent="0.25"/>
    <row r="238906" customFormat="1" x14ac:dyDescent="0.25"/>
    <row r="238907" customFormat="1" x14ac:dyDescent="0.25"/>
    <row r="238908" customFormat="1" x14ac:dyDescent="0.25"/>
    <row r="238909" customFormat="1" x14ac:dyDescent="0.25"/>
    <row r="238910" customFormat="1" x14ac:dyDescent="0.25"/>
    <row r="238911" customFormat="1" x14ac:dyDescent="0.25"/>
    <row r="238912" customFormat="1" x14ac:dyDescent="0.25"/>
    <row r="238913" customFormat="1" x14ac:dyDescent="0.25"/>
    <row r="238914" customFormat="1" x14ac:dyDescent="0.25"/>
    <row r="238915" customFormat="1" x14ac:dyDescent="0.25"/>
    <row r="238916" customFormat="1" x14ac:dyDescent="0.25"/>
    <row r="238917" customFormat="1" x14ac:dyDescent="0.25"/>
    <row r="238918" customFormat="1" x14ac:dyDescent="0.25"/>
    <row r="238919" customFormat="1" x14ac:dyDescent="0.25"/>
    <row r="238920" customFormat="1" x14ac:dyDescent="0.25"/>
    <row r="238921" customFormat="1" x14ac:dyDescent="0.25"/>
    <row r="238922" customFormat="1" x14ac:dyDescent="0.25"/>
    <row r="238923" customFormat="1" x14ac:dyDescent="0.25"/>
    <row r="238924" customFormat="1" x14ac:dyDescent="0.25"/>
    <row r="238925" customFormat="1" x14ac:dyDescent="0.25"/>
    <row r="238926" customFormat="1" x14ac:dyDescent="0.25"/>
    <row r="238927" customFormat="1" x14ac:dyDescent="0.25"/>
    <row r="238928" customFormat="1" x14ac:dyDescent="0.25"/>
    <row r="238929" customFormat="1" x14ac:dyDescent="0.25"/>
    <row r="238930" customFormat="1" x14ac:dyDescent="0.25"/>
    <row r="238931" customFormat="1" x14ac:dyDescent="0.25"/>
    <row r="238932" customFormat="1" x14ac:dyDescent="0.25"/>
    <row r="238933" customFormat="1" x14ac:dyDescent="0.25"/>
    <row r="238934" customFormat="1" x14ac:dyDescent="0.25"/>
    <row r="238935" customFormat="1" x14ac:dyDescent="0.25"/>
    <row r="238936" customFormat="1" x14ac:dyDescent="0.25"/>
    <row r="238937" customFormat="1" x14ac:dyDescent="0.25"/>
    <row r="238938" customFormat="1" x14ac:dyDescent="0.25"/>
    <row r="238939" customFormat="1" x14ac:dyDescent="0.25"/>
    <row r="238940" customFormat="1" x14ac:dyDescent="0.25"/>
    <row r="238941" customFormat="1" x14ac:dyDescent="0.25"/>
    <row r="238942" customFormat="1" x14ac:dyDescent="0.25"/>
    <row r="238943" customFormat="1" x14ac:dyDescent="0.25"/>
    <row r="238944" customFormat="1" x14ac:dyDescent="0.25"/>
    <row r="238945" customFormat="1" x14ac:dyDescent="0.25"/>
    <row r="238946" customFormat="1" x14ac:dyDescent="0.25"/>
    <row r="238947" customFormat="1" x14ac:dyDescent="0.25"/>
    <row r="238948" customFormat="1" x14ac:dyDescent="0.25"/>
    <row r="238949" customFormat="1" x14ac:dyDescent="0.25"/>
    <row r="238950" customFormat="1" x14ac:dyDescent="0.25"/>
    <row r="238951" customFormat="1" x14ac:dyDescent="0.25"/>
    <row r="238952" customFormat="1" x14ac:dyDescent="0.25"/>
    <row r="238953" customFormat="1" x14ac:dyDescent="0.25"/>
    <row r="238954" customFormat="1" x14ac:dyDescent="0.25"/>
    <row r="238955" customFormat="1" x14ac:dyDescent="0.25"/>
    <row r="238956" customFormat="1" x14ac:dyDescent="0.25"/>
    <row r="238957" customFormat="1" x14ac:dyDescent="0.25"/>
    <row r="238958" customFormat="1" x14ac:dyDescent="0.25"/>
    <row r="238959" customFormat="1" x14ac:dyDescent="0.25"/>
    <row r="238960" customFormat="1" x14ac:dyDescent="0.25"/>
    <row r="238961" customFormat="1" x14ac:dyDescent="0.25"/>
    <row r="238962" customFormat="1" x14ac:dyDescent="0.25"/>
    <row r="238963" customFormat="1" x14ac:dyDescent="0.25"/>
    <row r="238964" customFormat="1" x14ac:dyDescent="0.25"/>
    <row r="238965" customFormat="1" x14ac:dyDescent="0.25"/>
    <row r="238966" customFormat="1" x14ac:dyDescent="0.25"/>
    <row r="238967" customFormat="1" x14ac:dyDescent="0.25"/>
    <row r="238968" customFormat="1" x14ac:dyDescent="0.25"/>
    <row r="238969" customFormat="1" x14ac:dyDescent="0.25"/>
    <row r="238970" customFormat="1" x14ac:dyDescent="0.25"/>
    <row r="238971" customFormat="1" x14ac:dyDescent="0.25"/>
    <row r="238972" customFormat="1" x14ac:dyDescent="0.25"/>
    <row r="238973" customFormat="1" x14ac:dyDescent="0.25"/>
    <row r="238974" customFormat="1" x14ac:dyDescent="0.25"/>
    <row r="238975" customFormat="1" x14ac:dyDescent="0.25"/>
    <row r="238976" customFormat="1" x14ac:dyDescent="0.25"/>
    <row r="238977" customFormat="1" x14ac:dyDescent="0.25"/>
    <row r="238978" customFormat="1" x14ac:dyDescent="0.25"/>
    <row r="238979" customFormat="1" x14ac:dyDescent="0.25"/>
    <row r="238980" customFormat="1" x14ac:dyDescent="0.25"/>
    <row r="238981" customFormat="1" x14ac:dyDescent="0.25"/>
    <row r="238982" customFormat="1" x14ac:dyDescent="0.25"/>
    <row r="238983" customFormat="1" x14ac:dyDescent="0.25"/>
    <row r="238984" customFormat="1" x14ac:dyDescent="0.25"/>
    <row r="238985" customFormat="1" x14ac:dyDescent="0.25"/>
    <row r="238986" customFormat="1" x14ac:dyDescent="0.25"/>
    <row r="238987" customFormat="1" x14ac:dyDescent="0.25"/>
    <row r="238988" customFormat="1" x14ac:dyDescent="0.25"/>
    <row r="238989" customFormat="1" x14ac:dyDescent="0.25"/>
    <row r="238990" customFormat="1" x14ac:dyDescent="0.25"/>
    <row r="238991" customFormat="1" x14ac:dyDescent="0.25"/>
    <row r="238992" customFormat="1" x14ac:dyDescent="0.25"/>
    <row r="238993" customFormat="1" x14ac:dyDescent="0.25"/>
    <row r="238994" customFormat="1" x14ac:dyDescent="0.25"/>
    <row r="238995" customFormat="1" x14ac:dyDescent="0.25"/>
    <row r="238996" customFormat="1" x14ac:dyDescent="0.25"/>
    <row r="238997" customFormat="1" x14ac:dyDescent="0.25"/>
    <row r="238998" customFormat="1" x14ac:dyDescent="0.25"/>
    <row r="238999" customFormat="1" x14ac:dyDescent="0.25"/>
    <row r="239000" customFormat="1" x14ac:dyDescent="0.25"/>
    <row r="239001" customFormat="1" x14ac:dyDescent="0.25"/>
    <row r="239002" customFormat="1" x14ac:dyDescent="0.25"/>
    <row r="239003" customFormat="1" x14ac:dyDescent="0.25"/>
    <row r="239004" customFormat="1" x14ac:dyDescent="0.25"/>
    <row r="239005" customFormat="1" x14ac:dyDescent="0.25"/>
    <row r="239006" customFormat="1" x14ac:dyDescent="0.25"/>
    <row r="239007" customFormat="1" x14ac:dyDescent="0.25"/>
    <row r="239008" customFormat="1" x14ac:dyDescent="0.25"/>
    <row r="239009" customFormat="1" x14ac:dyDescent="0.25"/>
    <row r="239010" customFormat="1" x14ac:dyDescent="0.25"/>
    <row r="239011" customFormat="1" x14ac:dyDescent="0.25"/>
    <row r="239012" customFormat="1" x14ac:dyDescent="0.25"/>
    <row r="239013" customFormat="1" x14ac:dyDescent="0.25"/>
    <row r="239014" customFormat="1" x14ac:dyDescent="0.25"/>
    <row r="239015" customFormat="1" x14ac:dyDescent="0.25"/>
    <row r="239016" customFormat="1" x14ac:dyDescent="0.25"/>
    <row r="239017" customFormat="1" x14ac:dyDescent="0.25"/>
    <row r="239018" customFormat="1" x14ac:dyDescent="0.25"/>
    <row r="239019" customFormat="1" x14ac:dyDescent="0.25"/>
    <row r="239020" customFormat="1" x14ac:dyDescent="0.25"/>
    <row r="239021" customFormat="1" x14ac:dyDescent="0.25"/>
    <row r="239022" customFormat="1" x14ac:dyDescent="0.25"/>
    <row r="239023" customFormat="1" x14ac:dyDescent="0.25"/>
    <row r="239024" customFormat="1" x14ac:dyDescent="0.25"/>
    <row r="239025" customFormat="1" x14ac:dyDescent="0.25"/>
    <row r="239026" customFormat="1" x14ac:dyDescent="0.25"/>
    <row r="239027" customFormat="1" x14ac:dyDescent="0.25"/>
    <row r="239028" customFormat="1" x14ac:dyDescent="0.25"/>
    <row r="239029" customFormat="1" x14ac:dyDescent="0.25"/>
    <row r="239030" customFormat="1" x14ac:dyDescent="0.25"/>
    <row r="239031" customFormat="1" x14ac:dyDescent="0.25"/>
    <row r="239032" customFormat="1" x14ac:dyDescent="0.25"/>
    <row r="239033" customFormat="1" x14ac:dyDescent="0.25"/>
    <row r="239034" customFormat="1" x14ac:dyDescent="0.25"/>
    <row r="239035" customFormat="1" x14ac:dyDescent="0.25"/>
    <row r="239036" customFormat="1" x14ac:dyDescent="0.25"/>
    <row r="239037" customFormat="1" x14ac:dyDescent="0.25"/>
    <row r="239038" customFormat="1" x14ac:dyDescent="0.25"/>
    <row r="239039" customFormat="1" x14ac:dyDescent="0.25"/>
    <row r="239040" customFormat="1" x14ac:dyDescent="0.25"/>
    <row r="239041" customFormat="1" x14ac:dyDescent="0.25"/>
    <row r="239042" customFormat="1" x14ac:dyDescent="0.25"/>
    <row r="239043" customFormat="1" x14ac:dyDescent="0.25"/>
    <row r="239044" customFormat="1" x14ac:dyDescent="0.25"/>
    <row r="239045" customFormat="1" x14ac:dyDescent="0.25"/>
    <row r="239046" customFormat="1" x14ac:dyDescent="0.25"/>
    <row r="239047" customFormat="1" x14ac:dyDescent="0.25"/>
    <row r="239048" customFormat="1" x14ac:dyDescent="0.25"/>
    <row r="239049" customFormat="1" x14ac:dyDescent="0.25"/>
    <row r="239050" customFormat="1" x14ac:dyDescent="0.25"/>
    <row r="239051" customFormat="1" x14ac:dyDescent="0.25"/>
    <row r="239052" customFormat="1" x14ac:dyDescent="0.25"/>
    <row r="239053" customFormat="1" x14ac:dyDescent="0.25"/>
    <row r="239054" customFormat="1" x14ac:dyDescent="0.25"/>
    <row r="239055" customFormat="1" x14ac:dyDescent="0.25"/>
    <row r="239056" customFormat="1" x14ac:dyDescent="0.25"/>
    <row r="239057" customFormat="1" x14ac:dyDescent="0.25"/>
    <row r="239058" customFormat="1" x14ac:dyDescent="0.25"/>
    <row r="239059" customFormat="1" x14ac:dyDescent="0.25"/>
    <row r="239060" customFormat="1" x14ac:dyDescent="0.25"/>
    <row r="239061" customFormat="1" x14ac:dyDescent="0.25"/>
    <row r="239062" customFormat="1" x14ac:dyDescent="0.25"/>
    <row r="239063" customFormat="1" x14ac:dyDescent="0.25"/>
    <row r="239064" customFormat="1" x14ac:dyDescent="0.25"/>
    <row r="239065" customFormat="1" x14ac:dyDescent="0.25"/>
    <row r="239066" customFormat="1" x14ac:dyDescent="0.25"/>
    <row r="239067" customFormat="1" x14ac:dyDescent="0.25"/>
    <row r="239068" customFormat="1" x14ac:dyDescent="0.25"/>
    <row r="239069" customFormat="1" x14ac:dyDescent="0.25"/>
    <row r="239070" customFormat="1" x14ac:dyDescent="0.25"/>
    <row r="239071" customFormat="1" x14ac:dyDescent="0.25"/>
    <row r="239072" customFormat="1" x14ac:dyDescent="0.25"/>
    <row r="239073" customFormat="1" x14ac:dyDescent="0.25"/>
    <row r="239074" customFormat="1" x14ac:dyDescent="0.25"/>
    <row r="239075" customFormat="1" x14ac:dyDescent="0.25"/>
    <row r="239076" customFormat="1" x14ac:dyDescent="0.25"/>
    <row r="239077" customFormat="1" x14ac:dyDescent="0.25"/>
    <row r="239078" customFormat="1" x14ac:dyDescent="0.25"/>
    <row r="239079" customFormat="1" x14ac:dyDescent="0.25"/>
    <row r="239080" customFormat="1" x14ac:dyDescent="0.25"/>
    <row r="239081" customFormat="1" x14ac:dyDescent="0.25"/>
    <row r="239082" customFormat="1" x14ac:dyDescent="0.25"/>
    <row r="239083" customFormat="1" x14ac:dyDescent="0.25"/>
    <row r="239084" customFormat="1" x14ac:dyDescent="0.25"/>
    <row r="239085" customFormat="1" x14ac:dyDescent="0.25"/>
    <row r="239086" customFormat="1" x14ac:dyDescent="0.25"/>
    <row r="239087" customFormat="1" x14ac:dyDescent="0.25"/>
    <row r="239088" customFormat="1" x14ac:dyDescent="0.25"/>
    <row r="239089" customFormat="1" x14ac:dyDescent="0.25"/>
    <row r="239090" customFormat="1" x14ac:dyDescent="0.25"/>
    <row r="239091" customFormat="1" x14ac:dyDescent="0.25"/>
    <row r="239092" customFormat="1" x14ac:dyDescent="0.25"/>
    <row r="239093" customFormat="1" x14ac:dyDescent="0.25"/>
    <row r="239094" customFormat="1" x14ac:dyDescent="0.25"/>
    <row r="239095" customFormat="1" x14ac:dyDescent="0.25"/>
    <row r="239096" customFormat="1" x14ac:dyDescent="0.25"/>
    <row r="239097" customFormat="1" x14ac:dyDescent="0.25"/>
    <row r="239098" customFormat="1" x14ac:dyDescent="0.25"/>
    <row r="239099" customFormat="1" x14ac:dyDescent="0.25"/>
    <row r="239100" customFormat="1" x14ac:dyDescent="0.25"/>
    <row r="239101" customFormat="1" x14ac:dyDescent="0.25"/>
    <row r="239102" customFormat="1" x14ac:dyDescent="0.25"/>
    <row r="239103" customFormat="1" x14ac:dyDescent="0.25"/>
    <row r="239104" customFormat="1" x14ac:dyDescent="0.25"/>
    <row r="239105" customFormat="1" x14ac:dyDescent="0.25"/>
    <row r="239106" customFormat="1" x14ac:dyDescent="0.25"/>
    <row r="239107" customFormat="1" x14ac:dyDescent="0.25"/>
    <row r="239108" customFormat="1" x14ac:dyDescent="0.25"/>
    <row r="239109" customFormat="1" x14ac:dyDescent="0.25"/>
    <row r="239110" customFormat="1" x14ac:dyDescent="0.25"/>
    <row r="239111" customFormat="1" x14ac:dyDescent="0.25"/>
    <row r="239112" customFormat="1" x14ac:dyDescent="0.25"/>
    <row r="239113" customFormat="1" x14ac:dyDescent="0.25"/>
    <row r="239114" customFormat="1" x14ac:dyDescent="0.25"/>
    <row r="239115" customFormat="1" x14ac:dyDescent="0.25"/>
    <row r="239116" customFormat="1" x14ac:dyDescent="0.25"/>
    <row r="239117" customFormat="1" x14ac:dyDescent="0.25"/>
    <row r="239118" customFormat="1" x14ac:dyDescent="0.25"/>
    <row r="239119" customFormat="1" x14ac:dyDescent="0.25"/>
    <row r="239120" customFormat="1" x14ac:dyDescent="0.25"/>
    <row r="239121" customFormat="1" x14ac:dyDescent="0.25"/>
    <row r="239122" customFormat="1" x14ac:dyDescent="0.25"/>
    <row r="239123" customFormat="1" x14ac:dyDescent="0.25"/>
    <row r="239124" customFormat="1" x14ac:dyDescent="0.25"/>
    <row r="239125" customFormat="1" x14ac:dyDescent="0.25"/>
    <row r="239126" customFormat="1" x14ac:dyDescent="0.25"/>
    <row r="239127" customFormat="1" x14ac:dyDescent="0.25"/>
    <row r="239128" customFormat="1" x14ac:dyDescent="0.25"/>
    <row r="239129" customFormat="1" x14ac:dyDescent="0.25"/>
    <row r="239130" customFormat="1" x14ac:dyDescent="0.25"/>
    <row r="239131" customFormat="1" x14ac:dyDescent="0.25"/>
    <row r="239132" customFormat="1" x14ac:dyDescent="0.25"/>
    <row r="239133" customFormat="1" x14ac:dyDescent="0.25"/>
    <row r="239134" customFormat="1" x14ac:dyDescent="0.25"/>
    <row r="239135" customFormat="1" x14ac:dyDescent="0.25"/>
    <row r="239136" customFormat="1" x14ac:dyDescent="0.25"/>
    <row r="239137" customFormat="1" x14ac:dyDescent="0.25"/>
    <row r="239138" customFormat="1" x14ac:dyDescent="0.25"/>
    <row r="239139" customFormat="1" x14ac:dyDescent="0.25"/>
    <row r="239140" customFormat="1" x14ac:dyDescent="0.25"/>
    <row r="239141" customFormat="1" x14ac:dyDescent="0.25"/>
    <row r="239142" customFormat="1" x14ac:dyDescent="0.25"/>
    <row r="239143" customFormat="1" x14ac:dyDescent="0.25"/>
    <row r="239144" customFormat="1" x14ac:dyDescent="0.25"/>
    <row r="239145" customFormat="1" x14ac:dyDescent="0.25"/>
    <row r="239146" customFormat="1" x14ac:dyDescent="0.25"/>
    <row r="239147" customFormat="1" x14ac:dyDescent="0.25"/>
    <row r="239148" customFormat="1" x14ac:dyDescent="0.25"/>
    <row r="239149" customFormat="1" x14ac:dyDescent="0.25"/>
    <row r="239150" customFormat="1" x14ac:dyDescent="0.25"/>
    <row r="239151" customFormat="1" x14ac:dyDescent="0.25"/>
    <row r="239152" customFormat="1" x14ac:dyDescent="0.25"/>
    <row r="239153" customFormat="1" x14ac:dyDescent="0.25"/>
    <row r="239154" customFormat="1" x14ac:dyDescent="0.25"/>
    <row r="239155" customFormat="1" x14ac:dyDescent="0.25"/>
    <row r="239156" customFormat="1" x14ac:dyDescent="0.25"/>
    <row r="239157" customFormat="1" x14ac:dyDescent="0.25"/>
    <row r="239158" customFormat="1" x14ac:dyDescent="0.25"/>
    <row r="239159" customFormat="1" x14ac:dyDescent="0.25"/>
    <row r="239160" customFormat="1" x14ac:dyDescent="0.25"/>
    <row r="239161" customFormat="1" x14ac:dyDescent="0.25"/>
    <row r="239162" customFormat="1" x14ac:dyDescent="0.25"/>
    <row r="239163" customFormat="1" x14ac:dyDescent="0.25"/>
    <row r="239164" customFormat="1" x14ac:dyDescent="0.25"/>
    <row r="239165" customFormat="1" x14ac:dyDescent="0.25"/>
    <row r="239166" customFormat="1" x14ac:dyDescent="0.25"/>
    <row r="239167" customFormat="1" x14ac:dyDescent="0.25"/>
    <row r="239168" customFormat="1" x14ac:dyDescent="0.25"/>
    <row r="239169" customFormat="1" x14ac:dyDescent="0.25"/>
    <row r="239170" customFormat="1" x14ac:dyDescent="0.25"/>
    <row r="239171" customFormat="1" x14ac:dyDescent="0.25"/>
    <row r="239172" customFormat="1" x14ac:dyDescent="0.25"/>
    <row r="239173" customFormat="1" x14ac:dyDescent="0.25"/>
    <row r="239174" customFormat="1" x14ac:dyDescent="0.25"/>
    <row r="239175" customFormat="1" x14ac:dyDescent="0.25"/>
    <row r="239176" customFormat="1" x14ac:dyDescent="0.25"/>
    <row r="239177" customFormat="1" x14ac:dyDescent="0.25"/>
    <row r="239178" customFormat="1" x14ac:dyDescent="0.25"/>
    <row r="239179" customFormat="1" x14ac:dyDescent="0.25"/>
    <row r="239180" customFormat="1" x14ac:dyDescent="0.25"/>
    <row r="239181" customFormat="1" x14ac:dyDescent="0.25"/>
    <row r="239182" customFormat="1" x14ac:dyDescent="0.25"/>
    <row r="239183" customFormat="1" x14ac:dyDescent="0.25"/>
    <row r="239184" customFormat="1" x14ac:dyDescent="0.25"/>
    <row r="239185" customFormat="1" x14ac:dyDescent="0.25"/>
    <row r="239186" customFormat="1" x14ac:dyDescent="0.25"/>
    <row r="239187" customFormat="1" x14ac:dyDescent="0.25"/>
    <row r="239188" customFormat="1" x14ac:dyDescent="0.25"/>
    <row r="239189" customFormat="1" x14ac:dyDescent="0.25"/>
    <row r="239190" customFormat="1" x14ac:dyDescent="0.25"/>
    <row r="239191" customFormat="1" x14ac:dyDescent="0.25"/>
    <row r="239192" customFormat="1" x14ac:dyDescent="0.25"/>
    <row r="239193" customFormat="1" x14ac:dyDescent="0.25"/>
    <row r="239194" customFormat="1" x14ac:dyDescent="0.25"/>
    <row r="239195" customFormat="1" x14ac:dyDescent="0.25"/>
    <row r="239196" customFormat="1" x14ac:dyDescent="0.25"/>
    <row r="239197" customFormat="1" x14ac:dyDescent="0.25"/>
    <row r="239198" customFormat="1" x14ac:dyDescent="0.25"/>
    <row r="239199" customFormat="1" x14ac:dyDescent="0.25"/>
    <row r="239200" customFormat="1" x14ac:dyDescent="0.25"/>
    <row r="239201" customFormat="1" x14ac:dyDescent="0.25"/>
    <row r="239202" customFormat="1" x14ac:dyDescent="0.25"/>
    <row r="239203" customFormat="1" x14ac:dyDescent="0.25"/>
    <row r="239204" customFormat="1" x14ac:dyDescent="0.25"/>
    <row r="239205" customFormat="1" x14ac:dyDescent="0.25"/>
    <row r="239206" customFormat="1" x14ac:dyDescent="0.25"/>
    <row r="239207" customFormat="1" x14ac:dyDescent="0.25"/>
    <row r="239208" customFormat="1" x14ac:dyDescent="0.25"/>
    <row r="239209" customFormat="1" x14ac:dyDescent="0.25"/>
    <row r="239210" customFormat="1" x14ac:dyDescent="0.25"/>
    <row r="239211" customFormat="1" x14ac:dyDescent="0.25"/>
    <row r="239212" customFormat="1" x14ac:dyDescent="0.25"/>
    <row r="239213" customFormat="1" x14ac:dyDescent="0.25"/>
    <row r="239214" customFormat="1" x14ac:dyDescent="0.25"/>
    <row r="239215" customFormat="1" x14ac:dyDescent="0.25"/>
    <row r="239216" customFormat="1" x14ac:dyDescent="0.25"/>
    <row r="239217" customFormat="1" x14ac:dyDescent="0.25"/>
    <row r="239218" customFormat="1" x14ac:dyDescent="0.25"/>
    <row r="239219" customFormat="1" x14ac:dyDescent="0.25"/>
    <row r="239220" customFormat="1" x14ac:dyDescent="0.25"/>
    <row r="239221" customFormat="1" x14ac:dyDescent="0.25"/>
    <row r="239222" customFormat="1" x14ac:dyDescent="0.25"/>
    <row r="239223" customFormat="1" x14ac:dyDescent="0.25"/>
    <row r="239224" customFormat="1" x14ac:dyDescent="0.25"/>
    <row r="239225" customFormat="1" x14ac:dyDescent="0.25"/>
    <row r="239226" customFormat="1" x14ac:dyDescent="0.25"/>
    <row r="239227" customFormat="1" x14ac:dyDescent="0.25"/>
    <row r="239228" customFormat="1" x14ac:dyDescent="0.25"/>
    <row r="239229" customFormat="1" x14ac:dyDescent="0.25"/>
    <row r="239230" customFormat="1" x14ac:dyDescent="0.25"/>
    <row r="239231" customFormat="1" x14ac:dyDescent="0.25"/>
    <row r="239232" customFormat="1" x14ac:dyDescent="0.25"/>
    <row r="239233" customFormat="1" x14ac:dyDescent="0.25"/>
    <row r="239234" customFormat="1" x14ac:dyDescent="0.25"/>
    <row r="239235" customFormat="1" x14ac:dyDescent="0.25"/>
    <row r="239236" customFormat="1" x14ac:dyDescent="0.25"/>
    <row r="239237" customFormat="1" x14ac:dyDescent="0.25"/>
    <row r="239238" customFormat="1" x14ac:dyDescent="0.25"/>
    <row r="239239" customFormat="1" x14ac:dyDescent="0.25"/>
    <row r="239240" customFormat="1" x14ac:dyDescent="0.25"/>
    <row r="239241" customFormat="1" x14ac:dyDescent="0.25"/>
    <row r="239242" customFormat="1" x14ac:dyDescent="0.25"/>
    <row r="239243" customFormat="1" x14ac:dyDescent="0.25"/>
    <row r="239244" customFormat="1" x14ac:dyDescent="0.25"/>
    <row r="239245" customFormat="1" x14ac:dyDescent="0.25"/>
    <row r="239246" customFormat="1" x14ac:dyDescent="0.25"/>
    <row r="239247" customFormat="1" x14ac:dyDescent="0.25"/>
    <row r="239248" customFormat="1" x14ac:dyDescent="0.25"/>
    <row r="239249" customFormat="1" x14ac:dyDescent="0.25"/>
    <row r="239250" customFormat="1" x14ac:dyDescent="0.25"/>
    <row r="239251" customFormat="1" x14ac:dyDescent="0.25"/>
    <row r="239252" customFormat="1" x14ac:dyDescent="0.25"/>
    <row r="239253" customFormat="1" x14ac:dyDescent="0.25"/>
    <row r="239254" customFormat="1" x14ac:dyDescent="0.25"/>
    <row r="239255" customFormat="1" x14ac:dyDescent="0.25"/>
    <row r="239256" customFormat="1" x14ac:dyDescent="0.25"/>
    <row r="239257" customFormat="1" x14ac:dyDescent="0.25"/>
    <row r="239258" customFormat="1" x14ac:dyDescent="0.25"/>
    <row r="239259" customFormat="1" x14ac:dyDescent="0.25"/>
    <row r="239260" customFormat="1" x14ac:dyDescent="0.25"/>
    <row r="239261" customFormat="1" x14ac:dyDescent="0.25"/>
    <row r="239262" customFormat="1" x14ac:dyDescent="0.25"/>
    <row r="239263" customFormat="1" x14ac:dyDescent="0.25"/>
    <row r="239264" customFormat="1" x14ac:dyDescent="0.25"/>
    <row r="239265" customFormat="1" x14ac:dyDescent="0.25"/>
    <row r="239266" customFormat="1" x14ac:dyDescent="0.25"/>
    <row r="239267" customFormat="1" x14ac:dyDescent="0.25"/>
    <row r="239268" customFormat="1" x14ac:dyDescent="0.25"/>
    <row r="239269" customFormat="1" x14ac:dyDescent="0.25"/>
    <row r="239270" customFormat="1" x14ac:dyDescent="0.25"/>
    <row r="239271" customFormat="1" x14ac:dyDescent="0.25"/>
    <row r="239272" customFormat="1" x14ac:dyDescent="0.25"/>
    <row r="239273" customFormat="1" x14ac:dyDescent="0.25"/>
    <row r="239274" customFormat="1" x14ac:dyDescent="0.25"/>
    <row r="239275" customFormat="1" x14ac:dyDescent="0.25"/>
    <row r="239276" customFormat="1" x14ac:dyDescent="0.25"/>
    <row r="239277" customFormat="1" x14ac:dyDescent="0.25"/>
    <row r="239278" customFormat="1" x14ac:dyDescent="0.25"/>
    <row r="239279" customFormat="1" x14ac:dyDescent="0.25"/>
    <row r="239280" customFormat="1" x14ac:dyDescent="0.25"/>
    <row r="239281" customFormat="1" x14ac:dyDescent="0.25"/>
    <row r="239282" customFormat="1" x14ac:dyDescent="0.25"/>
    <row r="239283" customFormat="1" x14ac:dyDescent="0.25"/>
    <row r="239284" customFormat="1" x14ac:dyDescent="0.25"/>
    <row r="239285" customFormat="1" x14ac:dyDescent="0.25"/>
    <row r="239286" customFormat="1" x14ac:dyDescent="0.25"/>
    <row r="239287" customFormat="1" x14ac:dyDescent="0.25"/>
    <row r="239288" customFormat="1" x14ac:dyDescent="0.25"/>
    <row r="239289" customFormat="1" x14ac:dyDescent="0.25"/>
    <row r="239290" customFormat="1" x14ac:dyDescent="0.25"/>
    <row r="239291" customFormat="1" x14ac:dyDescent="0.25"/>
    <row r="239292" customFormat="1" x14ac:dyDescent="0.25"/>
    <row r="239293" customFormat="1" x14ac:dyDescent="0.25"/>
    <row r="239294" customFormat="1" x14ac:dyDescent="0.25"/>
    <row r="239295" customFormat="1" x14ac:dyDescent="0.25"/>
    <row r="239296" customFormat="1" x14ac:dyDescent="0.25"/>
    <row r="239297" customFormat="1" x14ac:dyDescent="0.25"/>
    <row r="239298" customFormat="1" x14ac:dyDescent="0.25"/>
    <row r="239299" customFormat="1" x14ac:dyDescent="0.25"/>
    <row r="239300" customFormat="1" x14ac:dyDescent="0.25"/>
    <row r="239301" customFormat="1" x14ac:dyDescent="0.25"/>
    <row r="239302" customFormat="1" x14ac:dyDescent="0.25"/>
    <row r="239303" customFormat="1" x14ac:dyDescent="0.25"/>
    <row r="239304" customFormat="1" x14ac:dyDescent="0.25"/>
    <row r="239305" customFormat="1" x14ac:dyDescent="0.25"/>
    <row r="239306" customFormat="1" x14ac:dyDescent="0.25"/>
    <row r="239307" customFormat="1" x14ac:dyDescent="0.25"/>
    <row r="239308" customFormat="1" x14ac:dyDescent="0.25"/>
    <row r="239309" customFormat="1" x14ac:dyDescent="0.25"/>
    <row r="239310" customFormat="1" x14ac:dyDescent="0.25"/>
    <row r="239311" customFormat="1" x14ac:dyDescent="0.25"/>
    <row r="239312" customFormat="1" x14ac:dyDescent="0.25"/>
    <row r="239313" customFormat="1" x14ac:dyDescent="0.25"/>
    <row r="239314" customFormat="1" x14ac:dyDescent="0.25"/>
    <row r="239315" customFormat="1" x14ac:dyDescent="0.25"/>
    <row r="239316" customFormat="1" x14ac:dyDescent="0.25"/>
    <row r="239317" customFormat="1" x14ac:dyDescent="0.25"/>
    <row r="239318" customFormat="1" x14ac:dyDescent="0.25"/>
    <row r="239319" customFormat="1" x14ac:dyDescent="0.25"/>
    <row r="239320" customFormat="1" x14ac:dyDescent="0.25"/>
    <row r="239321" customFormat="1" x14ac:dyDescent="0.25"/>
    <row r="239322" customFormat="1" x14ac:dyDescent="0.25"/>
    <row r="239323" customFormat="1" x14ac:dyDescent="0.25"/>
    <row r="239324" customFormat="1" x14ac:dyDescent="0.25"/>
    <row r="239325" customFormat="1" x14ac:dyDescent="0.25"/>
    <row r="239326" customFormat="1" x14ac:dyDescent="0.25"/>
    <row r="239327" customFormat="1" x14ac:dyDescent="0.25"/>
    <row r="239328" customFormat="1" x14ac:dyDescent="0.25"/>
    <row r="239329" customFormat="1" x14ac:dyDescent="0.25"/>
    <row r="239330" customFormat="1" x14ac:dyDescent="0.25"/>
    <row r="239331" customFormat="1" x14ac:dyDescent="0.25"/>
    <row r="239332" customFormat="1" x14ac:dyDescent="0.25"/>
    <row r="239333" customFormat="1" x14ac:dyDescent="0.25"/>
    <row r="239334" customFormat="1" x14ac:dyDescent="0.25"/>
    <row r="239335" customFormat="1" x14ac:dyDescent="0.25"/>
    <row r="239336" customFormat="1" x14ac:dyDescent="0.25"/>
    <row r="239337" customFormat="1" x14ac:dyDescent="0.25"/>
    <row r="239338" customFormat="1" x14ac:dyDescent="0.25"/>
    <row r="239339" customFormat="1" x14ac:dyDescent="0.25"/>
    <row r="239340" customFormat="1" x14ac:dyDescent="0.25"/>
    <row r="239341" customFormat="1" x14ac:dyDescent="0.25"/>
    <row r="239342" customFormat="1" x14ac:dyDescent="0.25"/>
    <row r="239343" customFormat="1" x14ac:dyDescent="0.25"/>
    <row r="239344" customFormat="1" x14ac:dyDescent="0.25"/>
    <row r="239345" customFormat="1" x14ac:dyDescent="0.25"/>
    <row r="239346" customFormat="1" x14ac:dyDescent="0.25"/>
    <row r="239347" customFormat="1" x14ac:dyDescent="0.25"/>
    <row r="239348" customFormat="1" x14ac:dyDescent="0.25"/>
    <row r="239349" customFormat="1" x14ac:dyDescent="0.25"/>
    <row r="239350" customFormat="1" x14ac:dyDescent="0.25"/>
    <row r="239351" customFormat="1" x14ac:dyDescent="0.25"/>
    <row r="239352" customFormat="1" x14ac:dyDescent="0.25"/>
    <row r="239353" customFormat="1" x14ac:dyDescent="0.25"/>
    <row r="239354" customFormat="1" x14ac:dyDescent="0.25"/>
    <row r="239355" customFormat="1" x14ac:dyDescent="0.25"/>
    <row r="239356" customFormat="1" x14ac:dyDescent="0.25"/>
    <row r="239357" customFormat="1" x14ac:dyDescent="0.25"/>
    <row r="239358" customFormat="1" x14ac:dyDescent="0.25"/>
    <row r="239359" customFormat="1" x14ac:dyDescent="0.25"/>
    <row r="239360" customFormat="1" x14ac:dyDescent="0.25"/>
    <row r="239361" customFormat="1" x14ac:dyDescent="0.25"/>
    <row r="239362" customFormat="1" x14ac:dyDescent="0.25"/>
    <row r="239363" customFormat="1" x14ac:dyDescent="0.25"/>
    <row r="239364" customFormat="1" x14ac:dyDescent="0.25"/>
    <row r="239365" customFormat="1" x14ac:dyDescent="0.25"/>
    <row r="239366" customFormat="1" x14ac:dyDescent="0.25"/>
    <row r="239367" customFormat="1" x14ac:dyDescent="0.25"/>
    <row r="239368" customFormat="1" x14ac:dyDescent="0.25"/>
    <row r="239369" customFormat="1" x14ac:dyDescent="0.25"/>
    <row r="239370" customFormat="1" x14ac:dyDescent="0.25"/>
    <row r="239371" customFormat="1" x14ac:dyDescent="0.25"/>
    <row r="239372" customFormat="1" x14ac:dyDescent="0.25"/>
    <row r="239373" customFormat="1" x14ac:dyDescent="0.25"/>
    <row r="239374" customFormat="1" x14ac:dyDescent="0.25"/>
    <row r="239375" customFormat="1" x14ac:dyDescent="0.25"/>
    <row r="239376" customFormat="1" x14ac:dyDescent="0.25"/>
    <row r="239377" customFormat="1" x14ac:dyDescent="0.25"/>
    <row r="239378" customFormat="1" x14ac:dyDescent="0.25"/>
    <row r="239379" customFormat="1" x14ac:dyDescent="0.25"/>
    <row r="239380" customFormat="1" x14ac:dyDescent="0.25"/>
    <row r="239381" customFormat="1" x14ac:dyDescent="0.25"/>
    <row r="239382" customFormat="1" x14ac:dyDescent="0.25"/>
    <row r="239383" customFormat="1" x14ac:dyDescent="0.25"/>
    <row r="239384" customFormat="1" x14ac:dyDescent="0.25"/>
    <row r="239385" customFormat="1" x14ac:dyDescent="0.25"/>
    <row r="239386" customFormat="1" x14ac:dyDescent="0.25"/>
    <row r="239387" customFormat="1" x14ac:dyDescent="0.25"/>
    <row r="239388" customFormat="1" x14ac:dyDescent="0.25"/>
    <row r="239389" customFormat="1" x14ac:dyDescent="0.25"/>
    <row r="239390" customFormat="1" x14ac:dyDescent="0.25"/>
    <row r="239391" customFormat="1" x14ac:dyDescent="0.25"/>
    <row r="239392" customFormat="1" x14ac:dyDescent="0.25"/>
    <row r="239393" customFormat="1" x14ac:dyDescent="0.25"/>
    <row r="239394" customFormat="1" x14ac:dyDescent="0.25"/>
    <row r="239395" customFormat="1" x14ac:dyDescent="0.25"/>
    <row r="239396" customFormat="1" x14ac:dyDescent="0.25"/>
    <row r="239397" customFormat="1" x14ac:dyDescent="0.25"/>
    <row r="239398" customFormat="1" x14ac:dyDescent="0.25"/>
    <row r="239399" customFormat="1" x14ac:dyDescent="0.25"/>
    <row r="239400" customFormat="1" x14ac:dyDescent="0.25"/>
    <row r="239401" customFormat="1" x14ac:dyDescent="0.25"/>
    <row r="239402" customFormat="1" x14ac:dyDescent="0.25"/>
    <row r="239403" customFormat="1" x14ac:dyDescent="0.25"/>
    <row r="239404" customFormat="1" x14ac:dyDescent="0.25"/>
    <row r="239405" customFormat="1" x14ac:dyDescent="0.25"/>
    <row r="239406" customFormat="1" x14ac:dyDescent="0.25"/>
    <row r="239407" customFormat="1" x14ac:dyDescent="0.25"/>
    <row r="239408" customFormat="1" x14ac:dyDescent="0.25"/>
    <row r="239409" customFormat="1" x14ac:dyDescent="0.25"/>
    <row r="239410" customFormat="1" x14ac:dyDescent="0.25"/>
    <row r="239411" customFormat="1" x14ac:dyDescent="0.25"/>
    <row r="239412" customFormat="1" x14ac:dyDescent="0.25"/>
    <row r="239413" customFormat="1" x14ac:dyDescent="0.25"/>
    <row r="239414" customFormat="1" x14ac:dyDescent="0.25"/>
    <row r="239415" customFormat="1" x14ac:dyDescent="0.25"/>
    <row r="239416" customFormat="1" x14ac:dyDescent="0.25"/>
    <row r="239417" customFormat="1" x14ac:dyDescent="0.25"/>
    <row r="239418" customFormat="1" x14ac:dyDescent="0.25"/>
    <row r="239419" customFormat="1" x14ac:dyDescent="0.25"/>
    <row r="239420" customFormat="1" x14ac:dyDescent="0.25"/>
    <row r="239421" customFormat="1" x14ac:dyDescent="0.25"/>
    <row r="239422" customFormat="1" x14ac:dyDescent="0.25"/>
    <row r="239423" customFormat="1" x14ac:dyDescent="0.25"/>
    <row r="239424" customFormat="1" x14ac:dyDescent="0.25"/>
    <row r="239425" customFormat="1" x14ac:dyDescent="0.25"/>
    <row r="239426" customFormat="1" x14ac:dyDescent="0.25"/>
    <row r="239427" customFormat="1" x14ac:dyDescent="0.25"/>
    <row r="239428" customFormat="1" x14ac:dyDescent="0.25"/>
    <row r="239429" customFormat="1" x14ac:dyDescent="0.25"/>
    <row r="239430" customFormat="1" x14ac:dyDescent="0.25"/>
    <row r="239431" customFormat="1" x14ac:dyDescent="0.25"/>
    <row r="239432" customFormat="1" x14ac:dyDescent="0.25"/>
    <row r="239433" customFormat="1" x14ac:dyDescent="0.25"/>
    <row r="239434" customFormat="1" x14ac:dyDescent="0.25"/>
    <row r="239435" customFormat="1" x14ac:dyDescent="0.25"/>
    <row r="239436" customFormat="1" x14ac:dyDescent="0.25"/>
    <row r="239437" customFormat="1" x14ac:dyDescent="0.25"/>
    <row r="239438" customFormat="1" x14ac:dyDescent="0.25"/>
    <row r="239439" customFormat="1" x14ac:dyDescent="0.25"/>
    <row r="239440" customFormat="1" x14ac:dyDescent="0.25"/>
    <row r="239441" customFormat="1" x14ac:dyDescent="0.25"/>
    <row r="239442" customFormat="1" x14ac:dyDescent="0.25"/>
    <row r="239443" customFormat="1" x14ac:dyDescent="0.25"/>
    <row r="239444" customFormat="1" x14ac:dyDescent="0.25"/>
    <row r="239445" customFormat="1" x14ac:dyDescent="0.25"/>
    <row r="239446" customFormat="1" x14ac:dyDescent="0.25"/>
    <row r="239447" customFormat="1" x14ac:dyDescent="0.25"/>
    <row r="239448" customFormat="1" x14ac:dyDescent="0.25"/>
    <row r="239449" customFormat="1" x14ac:dyDescent="0.25"/>
    <row r="239450" customFormat="1" x14ac:dyDescent="0.25"/>
    <row r="239451" customFormat="1" x14ac:dyDescent="0.25"/>
    <row r="239452" customFormat="1" x14ac:dyDescent="0.25"/>
    <row r="239453" customFormat="1" x14ac:dyDescent="0.25"/>
    <row r="239454" customFormat="1" x14ac:dyDescent="0.25"/>
    <row r="239455" customFormat="1" x14ac:dyDescent="0.25"/>
    <row r="239456" customFormat="1" x14ac:dyDescent="0.25"/>
    <row r="239457" customFormat="1" x14ac:dyDescent="0.25"/>
    <row r="239458" customFormat="1" x14ac:dyDescent="0.25"/>
    <row r="239459" customFormat="1" x14ac:dyDescent="0.25"/>
    <row r="239460" customFormat="1" x14ac:dyDescent="0.25"/>
    <row r="239461" customFormat="1" x14ac:dyDescent="0.25"/>
    <row r="239462" customFormat="1" x14ac:dyDescent="0.25"/>
    <row r="239463" customFormat="1" x14ac:dyDescent="0.25"/>
    <row r="239464" customFormat="1" x14ac:dyDescent="0.25"/>
    <row r="239465" customFormat="1" x14ac:dyDescent="0.25"/>
    <row r="239466" customFormat="1" x14ac:dyDescent="0.25"/>
    <row r="239467" customFormat="1" x14ac:dyDescent="0.25"/>
    <row r="239468" customFormat="1" x14ac:dyDescent="0.25"/>
    <row r="239469" customFormat="1" x14ac:dyDescent="0.25"/>
    <row r="239470" customFormat="1" x14ac:dyDescent="0.25"/>
    <row r="239471" customFormat="1" x14ac:dyDescent="0.25"/>
    <row r="239472" customFormat="1" x14ac:dyDescent="0.25"/>
    <row r="239473" customFormat="1" x14ac:dyDescent="0.25"/>
    <row r="239474" customFormat="1" x14ac:dyDescent="0.25"/>
    <row r="239475" customFormat="1" x14ac:dyDescent="0.25"/>
    <row r="239476" customFormat="1" x14ac:dyDescent="0.25"/>
    <row r="239477" customFormat="1" x14ac:dyDescent="0.25"/>
    <row r="239478" customFormat="1" x14ac:dyDescent="0.25"/>
    <row r="239479" customFormat="1" x14ac:dyDescent="0.25"/>
    <row r="239480" customFormat="1" x14ac:dyDescent="0.25"/>
    <row r="239481" customFormat="1" x14ac:dyDescent="0.25"/>
    <row r="239482" customFormat="1" x14ac:dyDescent="0.25"/>
    <row r="239483" customFormat="1" x14ac:dyDescent="0.25"/>
    <row r="239484" customFormat="1" x14ac:dyDescent="0.25"/>
    <row r="239485" customFormat="1" x14ac:dyDescent="0.25"/>
    <row r="239486" customFormat="1" x14ac:dyDescent="0.25"/>
    <row r="239487" customFormat="1" x14ac:dyDescent="0.25"/>
    <row r="239488" customFormat="1" x14ac:dyDescent="0.25"/>
    <row r="239489" customFormat="1" x14ac:dyDescent="0.25"/>
    <row r="239490" customFormat="1" x14ac:dyDescent="0.25"/>
    <row r="239491" customFormat="1" x14ac:dyDescent="0.25"/>
    <row r="239492" customFormat="1" x14ac:dyDescent="0.25"/>
    <row r="239493" customFormat="1" x14ac:dyDescent="0.25"/>
    <row r="239494" customFormat="1" x14ac:dyDescent="0.25"/>
    <row r="239495" customFormat="1" x14ac:dyDescent="0.25"/>
    <row r="239496" customFormat="1" x14ac:dyDescent="0.25"/>
    <row r="239497" customFormat="1" x14ac:dyDescent="0.25"/>
    <row r="239498" customFormat="1" x14ac:dyDescent="0.25"/>
    <row r="239499" customFormat="1" x14ac:dyDescent="0.25"/>
    <row r="239500" customFormat="1" x14ac:dyDescent="0.25"/>
    <row r="239501" customFormat="1" x14ac:dyDescent="0.25"/>
    <row r="239502" customFormat="1" x14ac:dyDescent="0.25"/>
    <row r="239503" customFormat="1" x14ac:dyDescent="0.25"/>
    <row r="239504" customFormat="1" x14ac:dyDescent="0.25"/>
    <row r="239505" customFormat="1" x14ac:dyDescent="0.25"/>
    <row r="239506" customFormat="1" x14ac:dyDescent="0.25"/>
    <row r="239507" customFormat="1" x14ac:dyDescent="0.25"/>
    <row r="239508" customFormat="1" x14ac:dyDescent="0.25"/>
    <row r="239509" customFormat="1" x14ac:dyDescent="0.25"/>
    <row r="239510" customFormat="1" x14ac:dyDescent="0.25"/>
    <row r="239511" customFormat="1" x14ac:dyDescent="0.25"/>
    <row r="239512" customFormat="1" x14ac:dyDescent="0.25"/>
    <row r="239513" customFormat="1" x14ac:dyDescent="0.25"/>
    <row r="239514" customFormat="1" x14ac:dyDescent="0.25"/>
    <row r="239515" customFormat="1" x14ac:dyDescent="0.25"/>
    <row r="239516" customFormat="1" x14ac:dyDescent="0.25"/>
    <row r="239517" customFormat="1" x14ac:dyDescent="0.25"/>
    <row r="239518" customFormat="1" x14ac:dyDescent="0.25"/>
    <row r="239519" customFormat="1" x14ac:dyDescent="0.25"/>
    <row r="239520" customFormat="1" x14ac:dyDescent="0.25"/>
    <row r="239521" customFormat="1" x14ac:dyDescent="0.25"/>
    <row r="239522" customFormat="1" x14ac:dyDescent="0.25"/>
    <row r="239523" customFormat="1" x14ac:dyDescent="0.25"/>
    <row r="239524" customFormat="1" x14ac:dyDescent="0.25"/>
    <row r="239525" customFormat="1" x14ac:dyDescent="0.25"/>
    <row r="239526" customFormat="1" x14ac:dyDescent="0.25"/>
    <row r="239527" customFormat="1" x14ac:dyDescent="0.25"/>
    <row r="239528" customFormat="1" x14ac:dyDescent="0.25"/>
    <row r="239529" customFormat="1" x14ac:dyDescent="0.25"/>
    <row r="239530" customFormat="1" x14ac:dyDescent="0.25"/>
    <row r="239531" customFormat="1" x14ac:dyDescent="0.25"/>
    <row r="239532" customFormat="1" x14ac:dyDescent="0.25"/>
    <row r="239533" customFormat="1" x14ac:dyDescent="0.25"/>
    <row r="239534" customFormat="1" x14ac:dyDescent="0.25"/>
    <row r="239535" customFormat="1" x14ac:dyDescent="0.25"/>
    <row r="239536" customFormat="1" x14ac:dyDescent="0.25"/>
    <row r="239537" customFormat="1" x14ac:dyDescent="0.25"/>
    <row r="239538" customFormat="1" x14ac:dyDescent="0.25"/>
    <row r="239539" customFormat="1" x14ac:dyDescent="0.25"/>
    <row r="239540" customFormat="1" x14ac:dyDescent="0.25"/>
    <row r="239541" customFormat="1" x14ac:dyDescent="0.25"/>
    <row r="239542" customFormat="1" x14ac:dyDescent="0.25"/>
    <row r="239543" customFormat="1" x14ac:dyDescent="0.25"/>
    <row r="239544" customFormat="1" x14ac:dyDescent="0.25"/>
    <row r="239545" customFormat="1" x14ac:dyDescent="0.25"/>
    <row r="239546" customFormat="1" x14ac:dyDescent="0.25"/>
    <row r="239547" customFormat="1" x14ac:dyDescent="0.25"/>
    <row r="239548" customFormat="1" x14ac:dyDescent="0.25"/>
    <row r="239549" customFormat="1" x14ac:dyDescent="0.25"/>
    <row r="239550" customFormat="1" x14ac:dyDescent="0.25"/>
    <row r="239551" customFormat="1" x14ac:dyDescent="0.25"/>
    <row r="239552" customFormat="1" x14ac:dyDescent="0.25"/>
    <row r="239553" customFormat="1" x14ac:dyDescent="0.25"/>
    <row r="239554" customFormat="1" x14ac:dyDescent="0.25"/>
    <row r="239555" customFormat="1" x14ac:dyDescent="0.25"/>
    <row r="239556" customFormat="1" x14ac:dyDescent="0.25"/>
    <row r="239557" customFormat="1" x14ac:dyDescent="0.25"/>
    <row r="239558" customFormat="1" x14ac:dyDescent="0.25"/>
    <row r="239559" customFormat="1" x14ac:dyDescent="0.25"/>
    <row r="239560" customFormat="1" x14ac:dyDescent="0.25"/>
    <row r="239561" customFormat="1" x14ac:dyDescent="0.25"/>
    <row r="239562" customFormat="1" x14ac:dyDescent="0.25"/>
    <row r="239563" customFormat="1" x14ac:dyDescent="0.25"/>
    <row r="239564" customFormat="1" x14ac:dyDescent="0.25"/>
    <row r="239565" customFormat="1" x14ac:dyDescent="0.25"/>
    <row r="239566" customFormat="1" x14ac:dyDescent="0.25"/>
    <row r="239567" customFormat="1" x14ac:dyDescent="0.25"/>
    <row r="239568" customFormat="1" x14ac:dyDescent="0.25"/>
    <row r="239569" customFormat="1" x14ac:dyDescent="0.25"/>
    <row r="239570" customFormat="1" x14ac:dyDescent="0.25"/>
    <row r="239571" customFormat="1" x14ac:dyDescent="0.25"/>
    <row r="239572" customFormat="1" x14ac:dyDescent="0.25"/>
    <row r="239573" customFormat="1" x14ac:dyDescent="0.25"/>
    <row r="239574" customFormat="1" x14ac:dyDescent="0.25"/>
    <row r="239575" customFormat="1" x14ac:dyDescent="0.25"/>
    <row r="239576" customFormat="1" x14ac:dyDescent="0.25"/>
    <row r="239577" customFormat="1" x14ac:dyDescent="0.25"/>
    <row r="239578" customFormat="1" x14ac:dyDescent="0.25"/>
    <row r="239579" customFormat="1" x14ac:dyDescent="0.25"/>
    <row r="239580" customFormat="1" x14ac:dyDescent="0.25"/>
    <row r="239581" customFormat="1" x14ac:dyDescent="0.25"/>
    <row r="239582" customFormat="1" x14ac:dyDescent="0.25"/>
    <row r="239583" customFormat="1" x14ac:dyDescent="0.25"/>
    <row r="239584" customFormat="1" x14ac:dyDescent="0.25"/>
    <row r="239585" customFormat="1" x14ac:dyDescent="0.25"/>
    <row r="239586" customFormat="1" x14ac:dyDescent="0.25"/>
    <row r="239587" customFormat="1" x14ac:dyDescent="0.25"/>
    <row r="239588" customFormat="1" x14ac:dyDescent="0.25"/>
    <row r="239589" customFormat="1" x14ac:dyDescent="0.25"/>
    <row r="239590" customFormat="1" x14ac:dyDescent="0.25"/>
    <row r="239591" customFormat="1" x14ac:dyDescent="0.25"/>
    <row r="239592" customFormat="1" x14ac:dyDescent="0.25"/>
    <row r="239593" customFormat="1" x14ac:dyDescent="0.25"/>
    <row r="239594" customFormat="1" x14ac:dyDescent="0.25"/>
    <row r="239595" customFormat="1" x14ac:dyDescent="0.25"/>
    <row r="239596" customFormat="1" x14ac:dyDescent="0.25"/>
    <row r="239597" customFormat="1" x14ac:dyDescent="0.25"/>
    <row r="239598" customFormat="1" x14ac:dyDescent="0.25"/>
    <row r="239599" customFormat="1" x14ac:dyDescent="0.25"/>
    <row r="239600" customFormat="1" x14ac:dyDescent="0.25"/>
    <row r="239601" customFormat="1" x14ac:dyDescent="0.25"/>
    <row r="239602" customFormat="1" x14ac:dyDescent="0.25"/>
    <row r="239603" customFormat="1" x14ac:dyDescent="0.25"/>
    <row r="239604" customFormat="1" x14ac:dyDescent="0.25"/>
    <row r="239605" customFormat="1" x14ac:dyDescent="0.25"/>
    <row r="239606" customFormat="1" x14ac:dyDescent="0.25"/>
    <row r="239607" customFormat="1" x14ac:dyDescent="0.25"/>
    <row r="239608" customFormat="1" x14ac:dyDescent="0.25"/>
    <row r="239609" customFormat="1" x14ac:dyDescent="0.25"/>
    <row r="239610" customFormat="1" x14ac:dyDescent="0.25"/>
    <row r="239611" customFormat="1" x14ac:dyDescent="0.25"/>
    <row r="239612" customFormat="1" x14ac:dyDescent="0.25"/>
    <row r="239613" customFormat="1" x14ac:dyDescent="0.25"/>
    <row r="239614" customFormat="1" x14ac:dyDescent="0.25"/>
    <row r="239615" customFormat="1" x14ac:dyDescent="0.25"/>
    <row r="239616" customFormat="1" x14ac:dyDescent="0.25"/>
    <row r="239617" customFormat="1" x14ac:dyDescent="0.25"/>
    <row r="239618" customFormat="1" x14ac:dyDescent="0.25"/>
    <row r="239619" customFormat="1" x14ac:dyDescent="0.25"/>
    <row r="239620" customFormat="1" x14ac:dyDescent="0.25"/>
    <row r="239621" customFormat="1" x14ac:dyDescent="0.25"/>
    <row r="239622" customFormat="1" x14ac:dyDescent="0.25"/>
    <row r="239623" customFormat="1" x14ac:dyDescent="0.25"/>
    <row r="239624" customFormat="1" x14ac:dyDescent="0.25"/>
    <row r="239625" customFormat="1" x14ac:dyDescent="0.25"/>
    <row r="239626" customFormat="1" x14ac:dyDescent="0.25"/>
    <row r="239627" customFormat="1" x14ac:dyDescent="0.25"/>
    <row r="239628" customFormat="1" x14ac:dyDescent="0.25"/>
    <row r="239629" customFormat="1" x14ac:dyDescent="0.25"/>
    <row r="239630" customFormat="1" x14ac:dyDescent="0.25"/>
    <row r="239631" customFormat="1" x14ac:dyDescent="0.25"/>
    <row r="239632" customFormat="1" x14ac:dyDescent="0.25"/>
    <row r="239633" customFormat="1" x14ac:dyDescent="0.25"/>
    <row r="239634" customFormat="1" x14ac:dyDescent="0.25"/>
    <row r="239635" customFormat="1" x14ac:dyDescent="0.25"/>
    <row r="239636" customFormat="1" x14ac:dyDescent="0.25"/>
    <row r="239637" customFormat="1" x14ac:dyDescent="0.25"/>
    <row r="239638" customFormat="1" x14ac:dyDescent="0.25"/>
    <row r="239639" customFormat="1" x14ac:dyDescent="0.25"/>
    <row r="239640" customFormat="1" x14ac:dyDescent="0.25"/>
    <row r="239641" customFormat="1" x14ac:dyDescent="0.25"/>
    <row r="239642" customFormat="1" x14ac:dyDescent="0.25"/>
    <row r="239643" customFormat="1" x14ac:dyDescent="0.25"/>
    <row r="239644" customFormat="1" x14ac:dyDescent="0.25"/>
    <row r="239645" customFormat="1" x14ac:dyDescent="0.25"/>
    <row r="239646" customFormat="1" x14ac:dyDescent="0.25"/>
    <row r="239647" customFormat="1" x14ac:dyDescent="0.25"/>
    <row r="239648" customFormat="1" x14ac:dyDescent="0.25"/>
    <row r="239649" customFormat="1" x14ac:dyDescent="0.25"/>
    <row r="239650" customFormat="1" x14ac:dyDescent="0.25"/>
    <row r="239651" customFormat="1" x14ac:dyDescent="0.25"/>
    <row r="239652" customFormat="1" x14ac:dyDescent="0.25"/>
    <row r="239653" customFormat="1" x14ac:dyDescent="0.25"/>
    <row r="239654" customFormat="1" x14ac:dyDescent="0.25"/>
    <row r="239655" customFormat="1" x14ac:dyDescent="0.25"/>
    <row r="239656" customFormat="1" x14ac:dyDescent="0.25"/>
    <row r="239657" customFormat="1" x14ac:dyDescent="0.25"/>
    <row r="239658" customFormat="1" x14ac:dyDescent="0.25"/>
    <row r="239659" customFormat="1" x14ac:dyDescent="0.25"/>
    <row r="239660" customFormat="1" x14ac:dyDescent="0.25"/>
    <row r="239661" customFormat="1" x14ac:dyDescent="0.25"/>
    <row r="239662" customFormat="1" x14ac:dyDescent="0.25"/>
    <row r="239663" customFormat="1" x14ac:dyDescent="0.25"/>
    <row r="239664" customFormat="1" x14ac:dyDescent="0.25"/>
    <row r="239665" customFormat="1" x14ac:dyDescent="0.25"/>
    <row r="239666" customFormat="1" x14ac:dyDescent="0.25"/>
    <row r="239667" customFormat="1" x14ac:dyDescent="0.25"/>
    <row r="239668" customFormat="1" x14ac:dyDescent="0.25"/>
    <row r="239669" customFormat="1" x14ac:dyDescent="0.25"/>
    <row r="239670" customFormat="1" x14ac:dyDescent="0.25"/>
    <row r="239671" customFormat="1" x14ac:dyDescent="0.25"/>
    <row r="239672" customFormat="1" x14ac:dyDescent="0.25"/>
    <row r="239673" customFormat="1" x14ac:dyDescent="0.25"/>
    <row r="239674" customFormat="1" x14ac:dyDescent="0.25"/>
    <row r="239675" customFormat="1" x14ac:dyDescent="0.25"/>
    <row r="239676" customFormat="1" x14ac:dyDescent="0.25"/>
    <row r="239677" customFormat="1" x14ac:dyDescent="0.25"/>
    <row r="239678" customFormat="1" x14ac:dyDescent="0.25"/>
    <row r="239679" customFormat="1" x14ac:dyDescent="0.25"/>
    <row r="239680" customFormat="1" x14ac:dyDescent="0.25"/>
    <row r="239681" customFormat="1" x14ac:dyDescent="0.25"/>
    <row r="239682" customFormat="1" x14ac:dyDescent="0.25"/>
    <row r="239683" customFormat="1" x14ac:dyDescent="0.25"/>
    <row r="239684" customFormat="1" x14ac:dyDescent="0.25"/>
    <row r="239685" customFormat="1" x14ac:dyDescent="0.25"/>
    <row r="239686" customFormat="1" x14ac:dyDescent="0.25"/>
    <row r="239687" customFormat="1" x14ac:dyDescent="0.25"/>
    <row r="239688" customFormat="1" x14ac:dyDescent="0.25"/>
    <row r="239689" customFormat="1" x14ac:dyDescent="0.25"/>
    <row r="239690" customFormat="1" x14ac:dyDescent="0.25"/>
    <row r="239691" customFormat="1" x14ac:dyDescent="0.25"/>
    <row r="239692" customFormat="1" x14ac:dyDescent="0.25"/>
    <row r="239693" customFormat="1" x14ac:dyDescent="0.25"/>
    <row r="239694" customFormat="1" x14ac:dyDescent="0.25"/>
    <row r="239695" customFormat="1" x14ac:dyDescent="0.25"/>
    <row r="239696" customFormat="1" x14ac:dyDescent="0.25"/>
    <row r="239697" customFormat="1" x14ac:dyDescent="0.25"/>
    <row r="239698" customFormat="1" x14ac:dyDescent="0.25"/>
    <row r="239699" customFormat="1" x14ac:dyDescent="0.25"/>
    <row r="239700" customFormat="1" x14ac:dyDescent="0.25"/>
    <row r="239701" customFormat="1" x14ac:dyDescent="0.25"/>
    <row r="239702" customFormat="1" x14ac:dyDescent="0.25"/>
    <row r="239703" customFormat="1" x14ac:dyDescent="0.25"/>
    <row r="239704" customFormat="1" x14ac:dyDescent="0.25"/>
    <row r="239705" customFormat="1" x14ac:dyDescent="0.25"/>
    <row r="239706" customFormat="1" x14ac:dyDescent="0.25"/>
    <row r="239707" customFormat="1" x14ac:dyDescent="0.25"/>
    <row r="239708" customFormat="1" x14ac:dyDescent="0.25"/>
    <row r="239709" customFormat="1" x14ac:dyDescent="0.25"/>
    <row r="239710" customFormat="1" x14ac:dyDescent="0.25"/>
    <row r="239711" customFormat="1" x14ac:dyDescent="0.25"/>
    <row r="239712" customFormat="1" x14ac:dyDescent="0.25"/>
    <row r="239713" customFormat="1" x14ac:dyDescent="0.25"/>
    <row r="239714" customFormat="1" x14ac:dyDescent="0.25"/>
    <row r="239715" customFormat="1" x14ac:dyDescent="0.25"/>
    <row r="239716" customFormat="1" x14ac:dyDescent="0.25"/>
    <row r="239717" customFormat="1" x14ac:dyDescent="0.25"/>
    <row r="239718" customFormat="1" x14ac:dyDescent="0.25"/>
    <row r="239719" customFormat="1" x14ac:dyDescent="0.25"/>
    <row r="239720" customFormat="1" x14ac:dyDescent="0.25"/>
    <row r="239721" customFormat="1" x14ac:dyDescent="0.25"/>
    <row r="239722" customFormat="1" x14ac:dyDescent="0.25"/>
    <row r="239723" customFormat="1" x14ac:dyDescent="0.25"/>
    <row r="239724" customFormat="1" x14ac:dyDescent="0.25"/>
    <row r="239725" customFormat="1" x14ac:dyDescent="0.25"/>
    <row r="239726" customFormat="1" x14ac:dyDescent="0.25"/>
    <row r="239727" customFormat="1" x14ac:dyDescent="0.25"/>
    <row r="239728" customFormat="1" x14ac:dyDescent="0.25"/>
    <row r="239729" customFormat="1" x14ac:dyDescent="0.25"/>
    <row r="239730" customFormat="1" x14ac:dyDescent="0.25"/>
    <row r="239731" customFormat="1" x14ac:dyDescent="0.25"/>
    <row r="239732" customFormat="1" x14ac:dyDescent="0.25"/>
    <row r="239733" customFormat="1" x14ac:dyDescent="0.25"/>
    <row r="239734" customFormat="1" x14ac:dyDescent="0.25"/>
    <row r="239735" customFormat="1" x14ac:dyDescent="0.25"/>
    <row r="239736" customFormat="1" x14ac:dyDescent="0.25"/>
    <row r="239737" customFormat="1" x14ac:dyDescent="0.25"/>
    <row r="239738" customFormat="1" x14ac:dyDescent="0.25"/>
    <row r="239739" customFormat="1" x14ac:dyDescent="0.25"/>
    <row r="239740" customFormat="1" x14ac:dyDescent="0.25"/>
    <row r="239741" customFormat="1" x14ac:dyDescent="0.25"/>
    <row r="239742" customFormat="1" x14ac:dyDescent="0.25"/>
    <row r="239743" customFormat="1" x14ac:dyDescent="0.25"/>
    <row r="239744" customFormat="1" x14ac:dyDescent="0.25"/>
    <row r="239745" customFormat="1" x14ac:dyDescent="0.25"/>
    <row r="239746" customFormat="1" x14ac:dyDescent="0.25"/>
    <row r="239747" customFormat="1" x14ac:dyDescent="0.25"/>
    <row r="239748" customFormat="1" x14ac:dyDescent="0.25"/>
    <row r="239749" customFormat="1" x14ac:dyDescent="0.25"/>
    <row r="239750" customFormat="1" x14ac:dyDescent="0.25"/>
    <row r="239751" customFormat="1" x14ac:dyDescent="0.25"/>
    <row r="239752" customFormat="1" x14ac:dyDescent="0.25"/>
    <row r="239753" customFormat="1" x14ac:dyDescent="0.25"/>
    <row r="239754" customFormat="1" x14ac:dyDescent="0.25"/>
    <row r="239755" customFormat="1" x14ac:dyDescent="0.25"/>
    <row r="239756" customFormat="1" x14ac:dyDescent="0.25"/>
    <row r="239757" customFormat="1" x14ac:dyDescent="0.25"/>
    <row r="239758" customFormat="1" x14ac:dyDescent="0.25"/>
    <row r="239759" customFormat="1" x14ac:dyDescent="0.25"/>
    <row r="239760" customFormat="1" x14ac:dyDescent="0.25"/>
    <row r="239761" customFormat="1" x14ac:dyDescent="0.25"/>
    <row r="239762" customFormat="1" x14ac:dyDescent="0.25"/>
    <row r="239763" customFormat="1" x14ac:dyDescent="0.25"/>
    <row r="239764" customFormat="1" x14ac:dyDescent="0.25"/>
    <row r="239765" customFormat="1" x14ac:dyDescent="0.25"/>
    <row r="239766" customFormat="1" x14ac:dyDescent="0.25"/>
    <row r="239767" customFormat="1" x14ac:dyDescent="0.25"/>
    <row r="239768" customFormat="1" x14ac:dyDescent="0.25"/>
    <row r="239769" customFormat="1" x14ac:dyDescent="0.25"/>
    <row r="239770" customFormat="1" x14ac:dyDescent="0.25"/>
    <row r="239771" customFormat="1" x14ac:dyDescent="0.25"/>
    <row r="239772" customFormat="1" x14ac:dyDescent="0.25"/>
    <row r="239773" customFormat="1" x14ac:dyDescent="0.25"/>
    <row r="239774" customFormat="1" x14ac:dyDescent="0.25"/>
    <row r="239775" customFormat="1" x14ac:dyDescent="0.25"/>
    <row r="239776" customFormat="1" x14ac:dyDescent="0.25"/>
    <row r="239777" customFormat="1" x14ac:dyDescent="0.25"/>
    <row r="239778" customFormat="1" x14ac:dyDescent="0.25"/>
    <row r="239779" customFormat="1" x14ac:dyDescent="0.25"/>
    <row r="239780" customFormat="1" x14ac:dyDescent="0.25"/>
    <row r="239781" customFormat="1" x14ac:dyDescent="0.25"/>
    <row r="239782" customFormat="1" x14ac:dyDescent="0.25"/>
    <row r="239783" customFormat="1" x14ac:dyDescent="0.25"/>
    <row r="239784" customFormat="1" x14ac:dyDescent="0.25"/>
    <row r="239785" customFormat="1" x14ac:dyDescent="0.25"/>
    <row r="239786" customFormat="1" x14ac:dyDescent="0.25"/>
    <row r="239787" customFormat="1" x14ac:dyDescent="0.25"/>
    <row r="239788" customFormat="1" x14ac:dyDescent="0.25"/>
    <row r="239789" customFormat="1" x14ac:dyDescent="0.25"/>
    <row r="239790" customFormat="1" x14ac:dyDescent="0.25"/>
    <row r="239791" customFormat="1" x14ac:dyDescent="0.25"/>
    <row r="239792" customFormat="1" x14ac:dyDescent="0.25"/>
    <row r="239793" customFormat="1" x14ac:dyDescent="0.25"/>
    <row r="239794" customFormat="1" x14ac:dyDescent="0.25"/>
    <row r="239795" customFormat="1" x14ac:dyDescent="0.25"/>
    <row r="239796" customFormat="1" x14ac:dyDescent="0.25"/>
    <row r="239797" customFormat="1" x14ac:dyDescent="0.25"/>
    <row r="239798" customFormat="1" x14ac:dyDescent="0.25"/>
    <row r="239799" customFormat="1" x14ac:dyDescent="0.25"/>
    <row r="239800" customFormat="1" x14ac:dyDescent="0.25"/>
    <row r="239801" customFormat="1" x14ac:dyDescent="0.25"/>
    <row r="239802" customFormat="1" x14ac:dyDescent="0.25"/>
    <row r="239803" customFormat="1" x14ac:dyDescent="0.25"/>
    <row r="239804" customFormat="1" x14ac:dyDescent="0.25"/>
    <row r="239805" customFormat="1" x14ac:dyDescent="0.25"/>
    <row r="239806" customFormat="1" x14ac:dyDescent="0.25"/>
    <row r="239807" customFormat="1" x14ac:dyDescent="0.25"/>
    <row r="239808" customFormat="1" x14ac:dyDescent="0.25"/>
    <row r="239809" customFormat="1" x14ac:dyDescent="0.25"/>
    <row r="239810" customFormat="1" x14ac:dyDescent="0.25"/>
    <row r="239811" customFormat="1" x14ac:dyDescent="0.25"/>
    <row r="239812" customFormat="1" x14ac:dyDescent="0.25"/>
    <row r="239813" customFormat="1" x14ac:dyDescent="0.25"/>
    <row r="239814" customFormat="1" x14ac:dyDescent="0.25"/>
    <row r="239815" customFormat="1" x14ac:dyDescent="0.25"/>
    <row r="239816" customFormat="1" x14ac:dyDescent="0.25"/>
    <row r="239817" customFormat="1" x14ac:dyDescent="0.25"/>
    <row r="239818" customFormat="1" x14ac:dyDescent="0.25"/>
    <row r="239819" customFormat="1" x14ac:dyDescent="0.25"/>
    <row r="239820" customFormat="1" x14ac:dyDescent="0.25"/>
    <row r="239821" customFormat="1" x14ac:dyDescent="0.25"/>
    <row r="239822" customFormat="1" x14ac:dyDescent="0.25"/>
    <row r="239823" customFormat="1" x14ac:dyDescent="0.25"/>
    <row r="239824" customFormat="1" x14ac:dyDescent="0.25"/>
    <row r="239825" customFormat="1" x14ac:dyDescent="0.25"/>
    <row r="239826" customFormat="1" x14ac:dyDescent="0.25"/>
    <row r="239827" customFormat="1" x14ac:dyDescent="0.25"/>
    <row r="239828" customFormat="1" x14ac:dyDescent="0.25"/>
    <row r="239829" customFormat="1" x14ac:dyDescent="0.25"/>
    <row r="239830" customFormat="1" x14ac:dyDescent="0.25"/>
    <row r="239831" customFormat="1" x14ac:dyDescent="0.25"/>
    <row r="239832" customFormat="1" x14ac:dyDescent="0.25"/>
    <row r="239833" customFormat="1" x14ac:dyDescent="0.25"/>
    <row r="239834" customFormat="1" x14ac:dyDescent="0.25"/>
    <row r="239835" customFormat="1" x14ac:dyDescent="0.25"/>
    <row r="239836" customFormat="1" x14ac:dyDescent="0.25"/>
    <row r="239837" customFormat="1" x14ac:dyDescent="0.25"/>
    <row r="239838" customFormat="1" x14ac:dyDescent="0.25"/>
    <row r="239839" customFormat="1" x14ac:dyDescent="0.25"/>
    <row r="239840" customFormat="1" x14ac:dyDescent="0.25"/>
    <row r="239841" customFormat="1" x14ac:dyDescent="0.25"/>
    <row r="239842" customFormat="1" x14ac:dyDescent="0.25"/>
    <row r="239843" customFormat="1" x14ac:dyDescent="0.25"/>
    <row r="239844" customFormat="1" x14ac:dyDescent="0.25"/>
    <row r="239845" customFormat="1" x14ac:dyDescent="0.25"/>
    <row r="239846" customFormat="1" x14ac:dyDescent="0.25"/>
    <row r="239847" customFormat="1" x14ac:dyDescent="0.25"/>
    <row r="239848" customFormat="1" x14ac:dyDescent="0.25"/>
    <row r="239849" customFormat="1" x14ac:dyDescent="0.25"/>
    <row r="239850" customFormat="1" x14ac:dyDescent="0.25"/>
    <row r="239851" customFormat="1" x14ac:dyDescent="0.25"/>
    <row r="239852" customFormat="1" x14ac:dyDescent="0.25"/>
    <row r="239853" customFormat="1" x14ac:dyDescent="0.25"/>
    <row r="239854" customFormat="1" x14ac:dyDescent="0.25"/>
    <row r="239855" customFormat="1" x14ac:dyDescent="0.25"/>
    <row r="239856" customFormat="1" x14ac:dyDescent="0.25"/>
    <row r="239857" customFormat="1" x14ac:dyDescent="0.25"/>
    <row r="239858" customFormat="1" x14ac:dyDescent="0.25"/>
    <row r="239859" customFormat="1" x14ac:dyDescent="0.25"/>
    <row r="239860" customFormat="1" x14ac:dyDescent="0.25"/>
    <row r="239861" customFormat="1" x14ac:dyDescent="0.25"/>
    <row r="239862" customFormat="1" x14ac:dyDescent="0.25"/>
    <row r="239863" customFormat="1" x14ac:dyDescent="0.25"/>
    <row r="239864" customFormat="1" x14ac:dyDescent="0.25"/>
    <row r="239865" customFormat="1" x14ac:dyDescent="0.25"/>
    <row r="239866" customFormat="1" x14ac:dyDescent="0.25"/>
    <row r="239867" customFormat="1" x14ac:dyDescent="0.25"/>
    <row r="239868" customFormat="1" x14ac:dyDescent="0.25"/>
    <row r="239869" customFormat="1" x14ac:dyDescent="0.25"/>
    <row r="239870" customFormat="1" x14ac:dyDescent="0.25"/>
    <row r="239871" customFormat="1" x14ac:dyDescent="0.25"/>
    <row r="239872" customFormat="1" x14ac:dyDescent="0.25"/>
    <row r="239873" customFormat="1" x14ac:dyDescent="0.25"/>
    <row r="239874" customFormat="1" x14ac:dyDescent="0.25"/>
    <row r="239875" customFormat="1" x14ac:dyDescent="0.25"/>
    <row r="239876" customFormat="1" x14ac:dyDescent="0.25"/>
    <row r="239877" customFormat="1" x14ac:dyDescent="0.25"/>
    <row r="239878" customFormat="1" x14ac:dyDescent="0.25"/>
    <row r="239879" customFormat="1" x14ac:dyDescent="0.25"/>
    <row r="239880" customFormat="1" x14ac:dyDescent="0.25"/>
    <row r="239881" customFormat="1" x14ac:dyDescent="0.25"/>
    <row r="239882" customFormat="1" x14ac:dyDescent="0.25"/>
    <row r="239883" customFormat="1" x14ac:dyDescent="0.25"/>
    <row r="239884" customFormat="1" x14ac:dyDescent="0.25"/>
    <row r="239885" customFormat="1" x14ac:dyDescent="0.25"/>
    <row r="239886" customFormat="1" x14ac:dyDescent="0.25"/>
    <row r="239887" customFormat="1" x14ac:dyDescent="0.25"/>
    <row r="239888" customFormat="1" x14ac:dyDescent="0.25"/>
    <row r="239889" customFormat="1" x14ac:dyDescent="0.25"/>
    <row r="239890" customFormat="1" x14ac:dyDescent="0.25"/>
    <row r="239891" customFormat="1" x14ac:dyDescent="0.25"/>
    <row r="239892" customFormat="1" x14ac:dyDescent="0.25"/>
    <row r="239893" customFormat="1" x14ac:dyDescent="0.25"/>
    <row r="239894" customFormat="1" x14ac:dyDescent="0.25"/>
    <row r="239895" customFormat="1" x14ac:dyDescent="0.25"/>
    <row r="239896" customFormat="1" x14ac:dyDescent="0.25"/>
    <row r="239897" customFormat="1" x14ac:dyDescent="0.25"/>
    <row r="239898" customFormat="1" x14ac:dyDescent="0.25"/>
    <row r="239899" customFormat="1" x14ac:dyDescent="0.25"/>
    <row r="239900" customFormat="1" x14ac:dyDescent="0.25"/>
    <row r="239901" customFormat="1" x14ac:dyDescent="0.25"/>
    <row r="239902" customFormat="1" x14ac:dyDescent="0.25"/>
    <row r="239903" customFormat="1" x14ac:dyDescent="0.25"/>
    <row r="239904" customFormat="1" x14ac:dyDescent="0.25"/>
    <row r="239905" customFormat="1" x14ac:dyDescent="0.25"/>
    <row r="239906" customFormat="1" x14ac:dyDescent="0.25"/>
    <row r="239907" customFormat="1" x14ac:dyDescent="0.25"/>
    <row r="239908" customFormat="1" x14ac:dyDescent="0.25"/>
    <row r="239909" customFormat="1" x14ac:dyDescent="0.25"/>
    <row r="239910" customFormat="1" x14ac:dyDescent="0.25"/>
    <row r="239911" customFormat="1" x14ac:dyDescent="0.25"/>
    <row r="239912" customFormat="1" x14ac:dyDescent="0.25"/>
    <row r="239913" customFormat="1" x14ac:dyDescent="0.25"/>
    <row r="239914" customFormat="1" x14ac:dyDescent="0.25"/>
    <row r="239915" customFormat="1" x14ac:dyDescent="0.25"/>
    <row r="239916" customFormat="1" x14ac:dyDescent="0.25"/>
    <row r="239917" customFormat="1" x14ac:dyDescent="0.25"/>
    <row r="239918" customFormat="1" x14ac:dyDescent="0.25"/>
    <row r="239919" customFormat="1" x14ac:dyDescent="0.25"/>
    <row r="239920" customFormat="1" x14ac:dyDescent="0.25"/>
    <row r="239921" customFormat="1" x14ac:dyDescent="0.25"/>
    <row r="239922" customFormat="1" x14ac:dyDescent="0.25"/>
    <row r="239923" customFormat="1" x14ac:dyDescent="0.25"/>
    <row r="239924" customFormat="1" x14ac:dyDescent="0.25"/>
    <row r="239925" customFormat="1" x14ac:dyDescent="0.25"/>
    <row r="239926" customFormat="1" x14ac:dyDescent="0.25"/>
    <row r="239927" customFormat="1" x14ac:dyDescent="0.25"/>
    <row r="239928" customFormat="1" x14ac:dyDescent="0.25"/>
    <row r="239929" customFormat="1" x14ac:dyDescent="0.25"/>
    <row r="239930" customFormat="1" x14ac:dyDescent="0.25"/>
    <row r="239931" customFormat="1" x14ac:dyDescent="0.25"/>
    <row r="239932" customFormat="1" x14ac:dyDescent="0.25"/>
    <row r="239933" customFormat="1" x14ac:dyDescent="0.25"/>
    <row r="239934" customFormat="1" x14ac:dyDescent="0.25"/>
    <row r="239935" customFormat="1" x14ac:dyDescent="0.25"/>
    <row r="239936" customFormat="1" x14ac:dyDescent="0.25"/>
    <row r="239937" customFormat="1" x14ac:dyDescent="0.25"/>
    <row r="239938" customFormat="1" x14ac:dyDescent="0.25"/>
    <row r="239939" customFormat="1" x14ac:dyDescent="0.25"/>
    <row r="239940" customFormat="1" x14ac:dyDescent="0.25"/>
    <row r="239941" customFormat="1" x14ac:dyDescent="0.25"/>
    <row r="239942" customFormat="1" x14ac:dyDescent="0.25"/>
    <row r="239943" customFormat="1" x14ac:dyDescent="0.25"/>
    <row r="239944" customFormat="1" x14ac:dyDescent="0.25"/>
    <row r="239945" customFormat="1" x14ac:dyDescent="0.25"/>
    <row r="239946" customFormat="1" x14ac:dyDescent="0.25"/>
    <row r="239947" customFormat="1" x14ac:dyDescent="0.25"/>
    <row r="239948" customFormat="1" x14ac:dyDescent="0.25"/>
    <row r="239949" customFormat="1" x14ac:dyDescent="0.25"/>
    <row r="239950" customFormat="1" x14ac:dyDescent="0.25"/>
    <row r="239951" customFormat="1" x14ac:dyDescent="0.25"/>
    <row r="239952" customFormat="1" x14ac:dyDescent="0.25"/>
    <row r="239953" customFormat="1" x14ac:dyDescent="0.25"/>
    <row r="239954" customFormat="1" x14ac:dyDescent="0.25"/>
    <row r="239955" customFormat="1" x14ac:dyDescent="0.25"/>
    <row r="239956" customFormat="1" x14ac:dyDescent="0.25"/>
    <row r="239957" customFormat="1" x14ac:dyDescent="0.25"/>
    <row r="239958" customFormat="1" x14ac:dyDescent="0.25"/>
    <row r="239959" customFormat="1" x14ac:dyDescent="0.25"/>
    <row r="239960" customFormat="1" x14ac:dyDescent="0.25"/>
    <row r="239961" customFormat="1" x14ac:dyDescent="0.25"/>
    <row r="239962" customFormat="1" x14ac:dyDescent="0.25"/>
    <row r="239963" customFormat="1" x14ac:dyDescent="0.25"/>
    <row r="239964" customFormat="1" x14ac:dyDescent="0.25"/>
    <row r="239965" customFormat="1" x14ac:dyDescent="0.25"/>
    <row r="239966" customFormat="1" x14ac:dyDescent="0.25"/>
    <row r="239967" customFormat="1" x14ac:dyDescent="0.25"/>
    <row r="239968" customFormat="1" x14ac:dyDescent="0.25"/>
    <row r="239969" customFormat="1" x14ac:dyDescent="0.25"/>
    <row r="239970" customFormat="1" x14ac:dyDescent="0.25"/>
    <row r="239971" customFormat="1" x14ac:dyDescent="0.25"/>
    <row r="239972" customFormat="1" x14ac:dyDescent="0.25"/>
    <row r="239973" customFormat="1" x14ac:dyDescent="0.25"/>
    <row r="239974" customFormat="1" x14ac:dyDescent="0.25"/>
    <row r="239975" customFormat="1" x14ac:dyDescent="0.25"/>
    <row r="239976" customFormat="1" x14ac:dyDescent="0.25"/>
    <row r="239977" customFormat="1" x14ac:dyDescent="0.25"/>
    <row r="239978" customFormat="1" x14ac:dyDescent="0.25"/>
    <row r="239979" customFormat="1" x14ac:dyDescent="0.25"/>
    <row r="239980" customFormat="1" x14ac:dyDescent="0.25"/>
    <row r="239981" customFormat="1" x14ac:dyDescent="0.25"/>
    <row r="239982" customFormat="1" x14ac:dyDescent="0.25"/>
    <row r="239983" customFormat="1" x14ac:dyDescent="0.25"/>
    <row r="239984" customFormat="1" x14ac:dyDescent="0.25"/>
    <row r="239985" customFormat="1" x14ac:dyDescent="0.25"/>
    <row r="239986" customFormat="1" x14ac:dyDescent="0.25"/>
    <row r="239987" customFormat="1" x14ac:dyDescent="0.25"/>
    <row r="239988" customFormat="1" x14ac:dyDescent="0.25"/>
    <row r="239989" customFormat="1" x14ac:dyDescent="0.25"/>
    <row r="239990" customFormat="1" x14ac:dyDescent="0.25"/>
    <row r="239991" customFormat="1" x14ac:dyDescent="0.25"/>
    <row r="239992" customFormat="1" x14ac:dyDescent="0.25"/>
    <row r="239993" customFormat="1" x14ac:dyDescent="0.25"/>
    <row r="239994" customFormat="1" x14ac:dyDescent="0.25"/>
    <row r="239995" customFormat="1" x14ac:dyDescent="0.25"/>
    <row r="239996" customFormat="1" x14ac:dyDescent="0.25"/>
    <row r="239997" customFormat="1" x14ac:dyDescent="0.25"/>
    <row r="239998" customFormat="1" x14ac:dyDescent="0.25"/>
    <row r="239999" customFormat="1" x14ac:dyDescent="0.25"/>
    <row r="240000" customFormat="1" x14ac:dyDescent="0.25"/>
    <row r="240001" customFormat="1" x14ac:dyDescent="0.25"/>
    <row r="240002" customFormat="1" x14ac:dyDescent="0.25"/>
    <row r="240003" customFormat="1" x14ac:dyDescent="0.25"/>
    <row r="240004" customFormat="1" x14ac:dyDescent="0.25"/>
    <row r="240005" customFormat="1" x14ac:dyDescent="0.25"/>
    <row r="240006" customFormat="1" x14ac:dyDescent="0.25"/>
    <row r="240007" customFormat="1" x14ac:dyDescent="0.25"/>
    <row r="240008" customFormat="1" x14ac:dyDescent="0.25"/>
    <row r="240009" customFormat="1" x14ac:dyDescent="0.25"/>
    <row r="240010" customFormat="1" x14ac:dyDescent="0.25"/>
    <row r="240011" customFormat="1" x14ac:dyDescent="0.25"/>
    <row r="240012" customFormat="1" x14ac:dyDescent="0.25"/>
    <row r="240013" customFormat="1" x14ac:dyDescent="0.25"/>
    <row r="240014" customFormat="1" x14ac:dyDescent="0.25"/>
    <row r="240015" customFormat="1" x14ac:dyDescent="0.25"/>
    <row r="240016" customFormat="1" x14ac:dyDescent="0.25"/>
    <row r="240017" customFormat="1" x14ac:dyDescent="0.25"/>
    <row r="240018" customFormat="1" x14ac:dyDescent="0.25"/>
    <row r="240019" customFormat="1" x14ac:dyDescent="0.25"/>
    <row r="240020" customFormat="1" x14ac:dyDescent="0.25"/>
    <row r="240021" customFormat="1" x14ac:dyDescent="0.25"/>
    <row r="240022" customFormat="1" x14ac:dyDescent="0.25"/>
    <row r="240023" customFormat="1" x14ac:dyDescent="0.25"/>
    <row r="240024" customFormat="1" x14ac:dyDescent="0.25"/>
    <row r="240025" customFormat="1" x14ac:dyDescent="0.25"/>
    <row r="240026" customFormat="1" x14ac:dyDescent="0.25"/>
    <row r="240027" customFormat="1" x14ac:dyDescent="0.25"/>
    <row r="240028" customFormat="1" x14ac:dyDescent="0.25"/>
    <row r="240029" customFormat="1" x14ac:dyDescent="0.25"/>
    <row r="240030" customFormat="1" x14ac:dyDescent="0.25"/>
    <row r="240031" customFormat="1" x14ac:dyDescent="0.25"/>
    <row r="240032" customFormat="1" x14ac:dyDescent="0.25"/>
    <row r="240033" customFormat="1" x14ac:dyDescent="0.25"/>
    <row r="240034" customFormat="1" x14ac:dyDescent="0.25"/>
    <row r="240035" customFormat="1" x14ac:dyDescent="0.25"/>
    <row r="240036" customFormat="1" x14ac:dyDescent="0.25"/>
    <row r="240037" customFormat="1" x14ac:dyDescent="0.25"/>
    <row r="240038" customFormat="1" x14ac:dyDescent="0.25"/>
    <row r="240039" customFormat="1" x14ac:dyDescent="0.25"/>
    <row r="240040" customFormat="1" x14ac:dyDescent="0.25"/>
    <row r="240041" customFormat="1" x14ac:dyDescent="0.25"/>
    <row r="240042" customFormat="1" x14ac:dyDescent="0.25"/>
    <row r="240043" customFormat="1" x14ac:dyDescent="0.25"/>
    <row r="240044" customFormat="1" x14ac:dyDescent="0.25"/>
    <row r="240045" customFormat="1" x14ac:dyDescent="0.25"/>
    <row r="240046" customFormat="1" x14ac:dyDescent="0.25"/>
    <row r="240047" customFormat="1" x14ac:dyDescent="0.25"/>
    <row r="240048" customFormat="1" x14ac:dyDescent="0.25"/>
    <row r="240049" customFormat="1" x14ac:dyDescent="0.25"/>
    <row r="240050" customFormat="1" x14ac:dyDescent="0.25"/>
    <row r="240051" customFormat="1" x14ac:dyDescent="0.25"/>
    <row r="240052" customFormat="1" x14ac:dyDescent="0.25"/>
    <row r="240053" customFormat="1" x14ac:dyDescent="0.25"/>
    <row r="240054" customFormat="1" x14ac:dyDescent="0.25"/>
    <row r="240055" customFormat="1" x14ac:dyDescent="0.25"/>
    <row r="240056" customFormat="1" x14ac:dyDescent="0.25"/>
    <row r="240057" customFormat="1" x14ac:dyDescent="0.25"/>
    <row r="240058" customFormat="1" x14ac:dyDescent="0.25"/>
    <row r="240059" customFormat="1" x14ac:dyDescent="0.25"/>
    <row r="240060" customFormat="1" x14ac:dyDescent="0.25"/>
    <row r="240061" customFormat="1" x14ac:dyDescent="0.25"/>
    <row r="240062" customFormat="1" x14ac:dyDescent="0.25"/>
    <row r="240063" customFormat="1" x14ac:dyDescent="0.25"/>
    <row r="240064" customFormat="1" x14ac:dyDescent="0.25"/>
    <row r="240065" customFormat="1" x14ac:dyDescent="0.25"/>
    <row r="240066" customFormat="1" x14ac:dyDescent="0.25"/>
    <row r="240067" customFormat="1" x14ac:dyDescent="0.25"/>
    <row r="240068" customFormat="1" x14ac:dyDescent="0.25"/>
    <row r="240069" customFormat="1" x14ac:dyDescent="0.25"/>
    <row r="240070" customFormat="1" x14ac:dyDescent="0.25"/>
    <row r="240071" customFormat="1" x14ac:dyDescent="0.25"/>
    <row r="240072" customFormat="1" x14ac:dyDescent="0.25"/>
    <row r="240073" customFormat="1" x14ac:dyDescent="0.25"/>
    <row r="240074" customFormat="1" x14ac:dyDescent="0.25"/>
    <row r="240075" customFormat="1" x14ac:dyDescent="0.25"/>
    <row r="240076" customFormat="1" x14ac:dyDescent="0.25"/>
    <row r="240077" customFormat="1" x14ac:dyDescent="0.25"/>
    <row r="240078" customFormat="1" x14ac:dyDescent="0.25"/>
    <row r="240079" customFormat="1" x14ac:dyDescent="0.25"/>
    <row r="240080" customFormat="1" x14ac:dyDescent="0.25"/>
    <row r="240081" customFormat="1" x14ac:dyDescent="0.25"/>
    <row r="240082" customFormat="1" x14ac:dyDescent="0.25"/>
    <row r="240083" customFormat="1" x14ac:dyDescent="0.25"/>
    <row r="240084" customFormat="1" x14ac:dyDescent="0.25"/>
    <row r="240085" customFormat="1" x14ac:dyDescent="0.25"/>
    <row r="240086" customFormat="1" x14ac:dyDescent="0.25"/>
    <row r="240087" customFormat="1" x14ac:dyDescent="0.25"/>
    <row r="240088" customFormat="1" x14ac:dyDescent="0.25"/>
    <row r="240089" customFormat="1" x14ac:dyDescent="0.25"/>
    <row r="240090" customFormat="1" x14ac:dyDescent="0.25"/>
    <row r="240091" customFormat="1" x14ac:dyDescent="0.25"/>
    <row r="240092" customFormat="1" x14ac:dyDescent="0.25"/>
    <row r="240093" customFormat="1" x14ac:dyDescent="0.25"/>
    <row r="240094" customFormat="1" x14ac:dyDescent="0.25"/>
    <row r="240095" customFormat="1" x14ac:dyDescent="0.25"/>
    <row r="240096" customFormat="1" x14ac:dyDescent="0.25"/>
    <row r="240097" customFormat="1" x14ac:dyDescent="0.25"/>
    <row r="240098" customFormat="1" x14ac:dyDescent="0.25"/>
    <row r="240099" customFormat="1" x14ac:dyDescent="0.25"/>
    <row r="240100" customFormat="1" x14ac:dyDescent="0.25"/>
    <row r="240101" customFormat="1" x14ac:dyDescent="0.25"/>
    <row r="240102" customFormat="1" x14ac:dyDescent="0.25"/>
    <row r="240103" customFormat="1" x14ac:dyDescent="0.25"/>
    <row r="240104" customFormat="1" x14ac:dyDescent="0.25"/>
    <row r="240105" customFormat="1" x14ac:dyDescent="0.25"/>
    <row r="240106" customFormat="1" x14ac:dyDescent="0.25"/>
    <row r="240107" customFormat="1" x14ac:dyDescent="0.25"/>
    <row r="240108" customFormat="1" x14ac:dyDescent="0.25"/>
    <row r="240109" customFormat="1" x14ac:dyDescent="0.25"/>
    <row r="240110" customFormat="1" x14ac:dyDescent="0.25"/>
    <row r="240111" customFormat="1" x14ac:dyDescent="0.25"/>
    <row r="240112" customFormat="1" x14ac:dyDescent="0.25"/>
    <row r="240113" customFormat="1" x14ac:dyDescent="0.25"/>
    <row r="240114" customFormat="1" x14ac:dyDescent="0.25"/>
    <row r="240115" customFormat="1" x14ac:dyDescent="0.25"/>
    <row r="240116" customFormat="1" x14ac:dyDescent="0.25"/>
    <row r="240117" customFormat="1" x14ac:dyDescent="0.25"/>
    <row r="240118" customFormat="1" x14ac:dyDescent="0.25"/>
    <row r="240119" customFormat="1" x14ac:dyDescent="0.25"/>
    <row r="240120" customFormat="1" x14ac:dyDescent="0.25"/>
    <row r="240121" customFormat="1" x14ac:dyDescent="0.25"/>
    <row r="240122" customFormat="1" x14ac:dyDescent="0.25"/>
    <row r="240123" customFormat="1" x14ac:dyDescent="0.25"/>
    <row r="240124" customFormat="1" x14ac:dyDescent="0.25"/>
    <row r="240125" customFormat="1" x14ac:dyDescent="0.25"/>
    <row r="240126" customFormat="1" x14ac:dyDescent="0.25"/>
    <row r="240127" customFormat="1" x14ac:dyDescent="0.25"/>
    <row r="240128" customFormat="1" x14ac:dyDescent="0.25"/>
    <row r="240129" customFormat="1" x14ac:dyDescent="0.25"/>
    <row r="240130" customFormat="1" x14ac:dyDescent="0.25"/>
    <row r="240131" customFormat="1" x14ac:dyDescent="0.25"/>
    <row r="240132" customFormat="1" x14ac:dyDescent="0.25"/>
    <row r="240133" customFormat="1" x14ac:dyDescent="0.25"/>
    <row r="240134" customFormat="1" x14ac:dyDescent="0.25"/>
    <row r="240135" customFormat="1" x14ac:dyDescent="0.25"/>
    <row r="240136" customFormat="1" x14ac:dyDescent="0.25"/>
    <row r="240137" customFormat="1" x14ac:dyDescent="0.25"/>
    <row r="240138" customFormat="1" x14ac:dyDescent="0.25"/>
    <row r="240139" customFormat="1" x14ac:dyDescent="0.25"/>
    <row r="240140" customFormat="1" x14ac:dyDescent="0.25"/>
    <row r="240141" customFormat="1" x14ac:dyDescent="0.25"/>
    <row r="240142" customFormat="1" x14ac:dyDescent="0.25"/>
    <row r="240143" customFormat="1" x14ac:dyDescent="0.25"/>
    <row r="240144" customFormat="1" x14ac:dyDescent="0.25"/>
    <row r="240145" customFormat="1" x14ac:dyDescent="0.25"/>
    <row r="240146" customFormat="1" x14ac:dyDescent="0.25"/>
    <row r="240147" customFormat="1" x14ac:dyDescent="0.25"/>
    <row r="240148" customFormat="1" x14ac:dyDescent="0.25"/>
    <row r="240149" customFormat="1" x14ac:dyDescent="0.25"/>
    <row r="240150" customFormat="1" x14ac:dyDescent="0.25"/>
    <row r="240151" customFormat="1" x14ac:dyDescent="0.25"/>
    <row r="240152" customFormat="1" x14ac:dyDescent="0.25"/>
    <row r="240153" customFormat="1" x14ac:dyDescent="0.25"/>
    <row r="240154" customFormat="1" x14ac:dyDescent="0.25"/>
    <row r="240155" customFormat="1" x14ac:dyDescent="0.25"/>
    <row r="240156" customFormat="1" x14ac:dyDescent="0.25"/>
    <row r="240157" customFormat="1" x14ac:dyDescent="0.25"/>
    <row r="240158" customFormat="1" x14ac:dyDescent="0.25"/>
    <row r="240159" customFormat="1" x14ac:dyDescent="0.25"/>
    <row r="240160" customFormat="1" x14ac:dyDescent="0.25"/>
    <row r="240161" customFormat="1" x14ac:dyDescent="0.25"/>
    <row r="240162" customFormat="1" x14ac:dyDescent="0.25"/>
    <row r="240163" customFormat="1" x14ac:dyDescent="0.25"/>
    <row r="240164" customFormat="1" x14ac:dyDescent="0.25"/>
    <row r="240165" customFormat="1" x14ac:dyDescent="0.25"/>
    <row r="240166" customFormat="1" x14ac:dyDescent="0.25"/>
    <row r="240167" customFormat="1" x14ac:dyDescent="0.25"/>
    <row r="240168" customFormat="1" x14ac:dyDescent="0.25"/>
    <row r="240169" customFormat="1" x14ac:dyDescent="0.25"/>
    <row r="240170" customFormat="1" x14ac:dyDescent="0.25"/>
    <row r="240171" customFormat="1" x14ac:dyDescent="0.25"/>
    <row r="240172" customFormat="1" x14ac:dyDescent="0.25"/>
    <row r="240173" customFormat="1" x14ac:dyDescent="0.25"/>
    <row r="240174" customFormat="1" x14ac:dyDescent="0.25"/>
    <row r="240175" customFormat="1" x14ac:dyDescent="0.25"/>
    <row r="240176" customFormat="1" x14ac:dyDescent="0.25"/>
    <row r="240177" customFormat="1" x14ac:dyDescent="0.25"/>
    <row r="240178" customFormat="1" x14ac:dyDescent="0.25"/>
    <row r="240179" customFormat="1" x14ac:dyDescent="0.25"/>
    <row r="240180" customFormat="1" x14ac:dyDescent="0.25"/>
    <row r="240181" customFormat="1" x14ac:dyDescent="0.25"/>
    <row r="240182" customFormat="1" x14ac:dyDescent="0.25"/>
    <row r="240183" customFormat="1" x14ac:dyDescent="0.25"/>
    <row r="240184" customFormat="1" x14ac:dyDescent="0.25"/>
    <row r="240185" customFormat="1" x14ac:dyDescent="0.25"/>
    <row r="240186" customFormat="1" x14ac:dyDescent="0.25"/>
    <row r="240187" customFormat="1" x14ac:dyDescent="0.25"/>
    <row r="240188" customFormat="1" x14ac:dyDescent="0.25"/>
    <row r="240189" customFormat="1" x14ac:dyDescent="0.25"/>
    <row r="240190" customFormat="1" x14ac:dyDescent="0.25"/>
    <row r="240191" customFormat="1" x14ac:dyDescent="0.25"/>
    <row r="240192" customFormat="1" x14ac:dyDescent="0.25"/>
    <row r="240193" customFormat="1" x14ac:dyDescent="0.25"/>
    <row r="240194" customFormat="1" x14ac:dyDescent="0.25"/>
    <row r="240195" customFormat="1" x14ac:dyDescent="0.25"/>
    <row r="240196" customFormat="1" x14ac:dyDescent="0.25"/>
    <row r="240197" customFormat="1" x14ac:dyDescent="0.25"/>
    <row r="240198" customFormat="1" x14ac:dyDescent="0.25"/>
    <row r="240199" customFormat="1" x14ac:dyDescent="0.25"/>
    <row r="240200" customFormat="1" x14ac:dyDescent="0.25"/>
    <row r="240201" customFormat="1" x14ac:dyDescent="0.25"/>
    <row r="240202" customFormat="1" x14ac:dyDescent="0.25"/>
    <row r="240203" customFormat="1" x14ac:dyDescent="0.25"/>
    <row r="240204" customFormat="1" x14ac:dyDescent="0.25"/>
    <row r="240205" customFormat="1" x14ac:dyDescent="0.25"/>
    <row r="240206" customFormat="1" x14ac:dyDescent="0.25"/>
    <row r="240207" customFormat="1" x14ac:dyDescent="0.25"/>
    <row r="240208" customFormat="1" x14ac:dyDescent="0.25"/>
    <row r="240209" customFormat="1" x14ac:dyDescent="0.25"/>
    <row r="240210" customFormat="1" x14ac:dyDescent="0.25"/>
    <row r="240211" customFormat="1" x14ac:dyDescent="0.25"/>
    <row r="240212" customFormat="1" x14ac:dyDescent="0.25"/>
    <row r="240213" customFormat="1" x14ac:dyDescent="0.25"/>
    <row r="240214" customFormat="1" x14ac:dyDescent="0.25"/>
    <row r="240215" customFormat="1" x14ac:dyDescent="0.25"/>
    <row r="240216" customFormat="1" x14ac:dyDescent="0.25"/>
    <row r="240217" customFormat="1" x14ac:dyDescent="0.25"/>
    <row r="240218" customFormat="1" x14ac:dyDescent="0.25"/>
    <row r="240219" customFormat="1" x14ac:dyDescent="0.25"/>
    <row r="240220" customFormat="1" x14ac:dyDescent="0.25"/>
    <row r="240221" customFormat="1" x14ac:dyDescent="0.25"/>
    <row r="240222" customFormat="1" x14ac:dyDescent="0.25"/>
    <row r="240223" customFormat="1" x14ac:dyDescent="0.25"/>
    <row r="240224" customFormat="1" x14ac:dyDescent="0.25"/>
    <row r="240225" customFormat="1" x14ac:dyDescent="0.25"/>
    <row r="240226" customFormat="1" x14ac:dyDescent="0.25"/>
    <row r="240227" customFormat="1" x14ac:dyDescent="0.25"/>
    <row r="240228" customFormat="1" x14ac:dyDescent="0.25"/>
    <row r="240229" customFormat="1" x14ac:dyDescent="0.25"/>
    <row r="240230" customFormat="1" x14ac:dyDescent="0.25"/>
    <row r="240231" customFormat="1" x14ac:dyDescent="0.25"/>
    <row r="240232" customFormat="1" x14ac:dyDescent="0.25"/>
    <row r="240233" customFormat="1" x14ac:dyDescent="0.25"/>
    <row r="240234" customFormat="1" x14ac:dyDescent="0.25"/>
    <row r="240235" customFormat="1" x14ac:dyDescent="0.25"/>
    <row r="240236" customFormat="1" x14ac:dyDescent="0.25"/>
    <row r="240237" customFormat="1" x14ac:dyDescent="0.25"/>
    <row r="240238" customFormat="1" x14ac:dyDescent="0.25"/>
    <row r="240239" customFormat="1" x14ac:dyDescent="0.25"/>
    <row r="240240" customFormat="1" x14ac:dyDescent="0.25"/>
    <row r="240241" customFormat="1" x14ac:dyDescent="0.25"/>
    <row r="240242" customFormat="1" x14ac:dyDescent="0.25"/>
    <row r="240243" customFormat="1" x14ac:dyDescent="0.25"/>
    <row r="240244" customFormat="1" x14ac:dyDescent="0.25"/>
    <row r="240245" customFormat="1" x14ac:dyDescent="0.25"/>
    <row r="240246" customFormat="1" x14ac:dyDescent="0.25"/>
    <row r="240247" customFormat="1" x14ac:dyDescent="0.25"/>
    <row r="240248" customFormat="1" x14ac:dyDescent="0.25"/>
    <row r="240249" customFormat="1" x14ac:dyDescent="0.25"/>
    <row r="240250" customFormat="1" x14ac:dyDescent="0.25"/>
    <row r="240251" customFormat="1" x14ac:dyDescent="0.25"/>
    <row r="240252" customFormat="1" x14ac:dyDescent="0.25"/>
    <row r="240253" customFormat="1" x14ac:dyDescent="0.25"/>
    <row r="240254" customFormat="1" x14ac:dyDescent="0.25"/>
    <row r="240255" customFormat="1" x14ac:dyDescent="0.25"/>
    <row r="240256" customFormat="1" x14ac:dyDescent="0.25"/>
    <row r="240257" customFormat="1" x14ac:dyDescent="0.25"/>
    <row r="240258" customFormat="1" x14ac:dyDescent="0.25"/>
    <row r="240259" customFormat="1" x14ac:dyDescent="0.25"/>
    <row r="240260" customFormat="1" x14ac:dyDescent="0.25"/>
    <row r="240261" customFormat="1" x14ac:dyDescent="0.25"/>
    <row r="240262" customFormat="1" x14ac:dyDescent="0.25"/>
    <row r="240263" customFormat="1" x14ac:dyDescent="0.25"/>
    <row r="240264" customFormat="1" x14ac:dyDescent="0.25"/>
    <row r="240265" customFormat="1" x14ac:dyDescent="0.25"/>
    <row r="240266" customFormat="1" x14ac:dyDescent="0.25"/>
    <row r="240267" customFormat="1" x14ac:dyDescent="0.25"/>
    <row r="240268" customFormat="1" x14ac:dyDescent="0.25"/>
    <row r="240269" customFormat="1" x14ac:dyDescent="0.25"/>
    <row r="240270" customFormat="1" x14ac:dyDescent="0.25"/>
    <row r="240271" customFormat="1" x14ac:dyDescent="0.25"/>
    <row r="240272" customFormat="1" x14ac:dyDescent="0.25"/>
    <row r="240273" customFormat="1" x14ac:dyDescent="0.25"/>
    <row r="240274" customFormat="1" x14ac:dyDescent="0.25"/>
    <row r="240275" customFormat="1" x14ac:dyDescent="0.25"/>
    <row r="240276" customFormat="1" x14ac:dyDescent="0.25"/>
    <row r="240277" customFormat="1" x14ac:dyDescent="0.25"/>
    <row r="240278" customFormat="1" x14ac:dyDescent="0.25"/>
    <row r="240279" customFormat="1" x14ac:dyDescent="0.25"/>
    <row r="240280" customFormat="1" x14ac:dyDescent="0.25"/>
    <row r="240281" customFormat="1" x14ac:dyDescent="0.25"/>
    <row r="240282" customFormat="1" x14ac:dyDescent="0.25"/>
    <row r="240283" customFormat="1" x14ac:dyDescent="0.25"/>
    <row r="240284" customFormat="1" x14ac:dyDescent="0.25"/>
    <row r="240285" customFormat="1" x14ac:dyDescent="0.25"/>
    <row r="240286" customFormat="1" x14ac:dyDescent="0.25"/>
    <row r="240287" customFormat="1" x14ac:dyDescent="0.25"/>
    <row r="240288" customFormat="1" x14ac:dyDescent="0.25"/>
    <row r="240289" customFormat="1" x14ac:dyDescent="0.25"/>
    <row r="240290" customFormat="1" x14ac:dyDescent="0.25"/>
    <row r="240291" customFormat="1" x14ac:dyDescent="0.25"/>
    <row r="240292" customFormat="1" x14ac:dyDescent="0.25"/>
    <row r="240293" customFormat="1" x14ac:dyDescent="0.25"/>
    <row r="240294" customFormat="1" x14ac:dyDescent="0.25"/>
    <row r="240295" customFormat="1" x14ac:dyDescent="0.25"/>
    <row r="240296" customFormat="1" x14ac:dyDescent="0.25"/>
    <row r="240297" customFormat="1" x14ac:dyDescent="0.25"/>
    <row r="240298" customFormat="1" x14ac:dyDescent="0.25"/>
    <row r="240299" customFormat="1" x14ac:dyDescent="0.25"/>
    <row r="240300" customFormat="1" x14ac:dyDescent="0.25"/>
    <row r="240301" customFormat="1" x14ac:dyDescent="0.25"/>
    <row r="240302" customFormat="1" x14ac:dyDescent="0.25"/>
    <row r="240303" customFormat="1" x14ac:dyDescent="0.25"/>
    <row r="240304" customFormat="1" x14ac:dyDescent="0.25"/>
    <row r="240305" customFormat="1" x14ac:dyDescent="0.25"/>
    <row r="240306" customFormat="1" x14ac:dyDescent="0.25"/>
    <row r="240307" customFormat="1" x14ac:dyDescent="0.25"/>
    <row r="240308" customFormat="1" x14ac:dyDescent="0.25"/>
    <row r="240309" customFormat="1" x14ac:dyDescent="0.25"/>
    <row r="240310" customFormat="1" x14ac:dyDescent="0.25"/>
    <row r="240311" customFormat="1" x14ac:dyDescent="0.25"/>
    <row r="240312" customFormat="1" x14ac:dyDescent="0.25"/>
    <row r="240313" customFormat="1" x14ac:dyDescent="0.25"/>
    <row r="240314" customFormat="1" x14ac:dyDescent="0.25"/>
    <row r="240315" customFormat="1" x14ac:dyDescent="0.25"/>
    <row r="240316" customFormat="1" x14ac:dyDescent="0.25"/>
    <row r="240317" customFormat="1" x14ac:dyDescent="0.25"/>
    <row r="240318" customFormat="1" x14ac:dyDescent="0.25"/>
    <row r="240319" customFormat="1" x14ac:dyDescent="0.25"/>
    <row r="240320" customFormat="1" x14ac:dyDescent="0.25"/>
    <row r="240321" customFormat="1" x14ac:dyDescent="0.25"/>
    <row r="240322" customFormat="1" x14ac:dyDescent="0.25"/>
    <row r="240323" customFormat="1" x14ac:dyDescent="0.25"/>
    <row r="240324" customFormat="1" x14ac:dyDescent="0.25"/>
    <row r="240325" customFormat="1" x14ac:dyDescent="0.25"/>
    <row r="240326" customFormat="1" x14ac:dyDescent="0.25"/>
    <row r="240327" customFormat="1" x14ac:dyDescent="0.25"/>
    <row r="240328" customFormat="1" x14ac:dyDescent="0.25"/>
    <row r="240329" customFormat="1" x14ac:dyDescent="0.25"/>
    <row r="240330" customFormat="1" x14ac:dyDescent="0.25"/>
    <row r="240331" customFormat="1" x14ac:dyDescent="0.25"/>
    <row r="240332" customFormat="1" x14ac:dyDescent="0.25"/>
    <row r="240333" customFormat="1" x14ac:dyDescent="0.25"/>
    <row r="240334" customFormat="1" x14ac:dyDescent="0.25"/>
    <row r="240335" customFormat="1" x14ac:dyDescent="0.25"/>
    <row r="240336" customFormat="1" x14ac:dyDescent="0.25"/>
    <row r="240337" customFormat="1" x14ac:dyDescent="0.25"/>
    <row r="240338" customFormat="1" x14ac:dyDescent="0.25"/>
    <row r="240339" customFormat="1" x14ac:dyDescent="0.25"/>
    <row r="240340" customFormat="1" x14ac:dyDescent="0.25"/>
    <row r="240341" customFormat="1" x14ac:dyDescent="0.25"/>
    <row r="240342" customFormat="1" x14ac:dyDescent="0.25"/>
    <row r="240343" customFormat="1" x14ac:dyDescent="0.25"/>
    <row r="240344" customFormat="1" x14ac:dyDescent="0.25"/>
    <row r="240345" customFormat="1" x14ac:dyDescent="0.25"/>
    <row r="240346" customFormat="1" x14ac:dyDescent="0.25"/>
    <row r="240347" customFormat="1" x14ac:dyDescent="0.25"/>
    <row r="240348" customFormat="1" x14ac:dyDescent="0.25"/>
    <row r="240349" customFormat="1" x14ac:dyDescent="0.25"/>
    <row r="240350" customFormat="1" x14ac:dyDescent="0.25"/>
    <row r="240351" customFormat="1" x14ac:dyDescent="0.25"/>
    <row r="240352" customFormat="1" x14ac:dyDescent="0.25"/>
    <row r="240353" customFormat="1" x14ac:dyDescent="0.25"/>
    <row r="240354" customFormat="1" x14ac:dyDescent="0.25"/>
    <row r="240355" customFormat="1" x14ac:dyDescent="0.25"/>
    <row r="240356" customFormat="1" x14ac:dyDescent="0.25"/>
    <row r="240357" customFormat="1" x14ac:dyDescent="0.25"/>
    <row r="240358" customFormat="1" x14ac:dyDescent="0.25"/>
    <row r="240359" customFormat="1" x14ac:dyDescent="0.25"/>
    <row r="240360" customFormat="1" x14ac:dyDescent="0.25"/>
    <row r="240361" customFormat="1" x14ac:dyDescent="0.25"/>
    <row r="240362" customFormat="1" x14ac:dyDescent="0.25"/>
    <row r="240363" customFormat="1" x14ac:dyDescent="0.25"/>
    <row r="240364" customFormat="1" x14ac:dyDescent="0.25"/>
    <row r="240365" customFormat="1" x14ac:dyDescent="0.25"/>
    <row r="240366" customFormat="1" x14ac:dyDescent="0.25"/>
    <row r="240367" customFormat="1" x14ac:dyDescent="0.25"/>
    <row r="240368" customFormat="1" x14ac:dyDescent="0.25"/>
    <row r="240369" customFormat="1" x14ac:dyDescent="0.25"/>
    <row r="240370" customFormat="1" x14ac:dyDescent="0.25"/>
    <row r="240371" customFormat="1" x14ac:dyDescent="0.25"/>
    <row r="240372" customFormat="1" x14ac:dyDescent="0.25"/>
    <row r="240373" customFormat="1" x14ac:dyDescent="0.25"/>
    <row r="240374" customFormat="1" x14ac:dyDescent="0.25"/>
    <row r="240375" customFormat="1" x14ac:dyDescent="0.25"/>
    <row r="240376" customFormat="1" x14ac:dyDescent="0.25"/>
    <row r="240377" customFormat="1" x14ac:dyDescent="0.25"/>
    <row r="240378" customFormat="1" x14ac:dyDescent="0.25"/>
    <row r="240379" customFormat="1" x14ac:dyDescent="0.25"/>
    <row r="240380" customFormat="1" x14ac:dyDescent="0.25"/>
    <row r="240381" customFormat="1" x14ac:dyDescent="0.25"/>
    <row r="240382" customFormat="1" x14ac:dyDescent="0.25"/>
    <row r="240383" customFormat="1" x14ac:dyDescent="0.25"/>
    <row r="240384" customFormat="1" x14ac:dyDescent="0.25"/>
    <row r="240385" customFormat="1" x14ac:dyDescent="0.25"/>
    <row r="240386" customFormat="1" x14ac:dyDescent="0.25"/>
    <row r="240387" customFormat="1" x14ac:dyDescent="0.25"/>
    <row r="240388" customFormat="1" x14ac:dyDescent="0.25"/>
    <row r="240389" customFormat="1" x14ac:dyDescent="0.25"/>
    <row r="240390" customFormat="1" x14ac:dyDescent="0.25"/>
    <row r="240391" customFormat="1" x14ac:dyDescent="0.25"/>
    <row r="240392" customFormat="1" x14ac:dyDescent="0.25"/>
    <row r="240393" customFormat="1" x14ac:dyDescent="0.25"/>
    <row r="240394" customFormat="1" x14ac:dyDescent="0.25"/>
    <row r="240395" customFormat="1" x14ac:dyDescent="0.25"/>
    <row r="240396" customFormat="1" x14ac:dyDescent="0.25"/>
    <row r="240397" customFormat="1" x14ac:dyDescent="0.25"/>
    <row r="240398" customFormat="1" x14ac:dyDescent="0.25"/>
    <row r="240399" customFormat="1" x14ac:dyDescent="0.25"/>
    <row r="240400" customFormat="1" x14ac:dyDescent="0.25"/>
    <row r="240401" customFormat="1" x14ac:dyDescent="0.25"/>
    <row r="240402" customFormat="1" x14ac:dyDescent="0.25"/>
    <row r="240403" customFormat="1" x14ac:dyDescent="0.25"/>
    <row r="240404" customFormat="1" x14ac:dyDescent="0.25"/>
    <row r="240405" customFormat="1" x14ac:dyDescent="0.25"/>
    <row r="240406" customFormat="1" x14ac:dyDescent="0.25"/>
    <row r="240407" customFormat="1" x14ac:dyDescent="0.25"/>
    <row r="240408" customFormat="1" x14ac:dyDescent="0.25"/>
    <row r="240409" customFormat="1" x14ac:dyDescent="0.25"/>
    <row r="240410" customFormat="1" x14ac:dyDescent="0.25"/>
    <row r="240411" customFormat="1" x14ac:dyDescent="0.25"/>
    <row r="240412" customFormat="1" x14ac:dyDescent="0.25"/>
    <row r="240413" customFormat="1" x14ac:dyDescent="0.25"/>
    <row r="240414" customFormat="1" x14ac:dyDescent="0.25"/>
    <row r="240415" customFormat="1" x14ac:dyDescent="0.25"/>
    <row r="240416" customFormat="1" x14ac:dyDescent="0.25"/>
    <row r="240417" customFormat="1" x14ac:dyDescent="0.25"/>
    <row r="240418" customFormat="1" x14ac:dyDescent="0.25"/>
    <row r="240419" customFormat="1" x14ac:dyDescent="0.25"/>
    <row r="240420" customFormat="1" x14ac:dyDescent="0.25"/>
    <row r="240421" customFormat="1" x14ac:dyDescent="0.25"/>
    <row r="240422" customFormat="1" x14ac:dyDescent="0.25"/>
    <row r="240423" customFormat="1" x14ac:dyDescent="0.25"/>
    <row r="240424" customFormat="1" x14ac:dyDescent="0.25"/>
    <row r="240425" customFormat="1" x14ac:dyDescent="0.25"/>
    <row r="240426" customFormat="1" x14ac:dyDescent="0.25"/>
    <row r="240427" customFormat="1" x14ac:dyDescent="0.25"/>
    <row r="240428" customFormat="1" x14ac:dyDescent="0.25"/>
    <row r="240429" customFormat="1" x14ac:dyDescent="0.25"/>
    <row r="240430" customFormat="1" x14ac:dyDescent="0.25"/>
    <row r="240431" customFormat="1" x14ac:dyDescent="0.25"/>
    <row r="240432" customFormat="1" x14ac:dyDescent="0.25"/>
    <row r="240433" customFormat="1" x14ac:dyDescent="0.25"/>
    <row r="240434" customFormat="1" x14ac:dyDescent="0.25"/>
    <row r="240435" customFormat="1" x14ac:dyDescent="0.25"/>
    <row r="240436" customFormat="1" x14ac:dyDescent="0.25"/>
    <row r="240437" customFormat="1" x14ac:dyDescent="0.25"/>
    <row r="240438" customFormat="1" x14ac:dyDescent="0.25"/>
    <row r="240439" customFormat="1" x14ac:dyDescent="0.25"/>
    <row r="240440" customFormat="1" x14ac:dyDescent="0.25"/>
    <row r="240441" customFormat="1" x14ac:dyDescent="0.25"/>
    <row r="240442" customFormat="1" x14ac:dyDescent="0.25"/>
    <row r="240443" customFormat="1" x14ac:dyDescent="0.25"/>
    <row r="240444" customFormat="1" x14ac:dyDescent="0.25"/>
    <row r="240445" customFormat="1" x14ac:dyDescent="0.25"/>
    <row r="240446" customFormat="1" x14ac:dyDescent="0.25"/>
    <row r="240447" customFormat="1" x14ac:dyDescent="0.25"/>
    <row r="240448" customFormat="1" x14ac:dyDescent="0.25"/>
    <row r="240449" customFormat="1" x14ac:dyDescent="0.25"/>
    <row r="240450" customFormat="1" x14ac:dyDescent="0.25"/>
    <row r="240451" customFormat="1" x14ac:dyDescent="0.25"/>
    <row r="240452" customFormat="1" x14ac:dyDescent="0.25"/>
    <row r="240453" customFormat="1" x14ac:dyDescent="0.25"/>
    <row r="240454" customFormat="1" x14ac:dyDescent="0.25"/>
    <row r="240455" customFormat="1" x14ac:dyDescent="0.25"/>
    <row r="240456" customFormat="1" x14ac:dyDescent="0.25"/>
    <row r="240457" customFormat="1" x14ac:dyDescent="0.25"/>
    <row r="240458" customFormat="1" x14ac:dyDescent="0.25"/>
    <row r="240459" customFormat="1" x14ac:dyDescent="0.25"/>
    <row r="240460" customFormat="1" x14ac:dyDescent="0.25"/>
    <row r="240461" customFormat="1" x14ac:dyDescent="0.25"/>
    <row r="240462" customFormat="1" x14ac:dyDescent="0.25"/>
    <row r="240463" customFormat="1" x14ac:dyDescent="0.25"/>
    <row r="240464" customFormat="1" x14ac:dyDescent="0.25"/>
    <row r="240465" customFormat="1" x14ac:dyDescent="0.25"/>
    <row r="240466" customFormat="1" x14ac:dyDescent="0.25"/>
    <row r="240467" customFormat="1" x14ac:dyDescent="0.25"/>
    <row r="240468" customFormat="1" x14ac:dyDescent="0.25"/>
    <row r="240469" customFormat="1" x14ac:dyDescent="0.25"/>
    <row r="240470" customFormat="1" x14ac:dyDescent="0.25"/>
    <row r="240471" customFormat="1" x14ac:dyDescent="0.25"/>
    <row r="240472" customFormat="1" x14ac:dyDescent="0.25"/>
    <row r="240473" customFormat="1" x14ac:dyDescent="0.25"/>
    <row r="240474" customFormat="1" x14ac:dyDescent="0.25"/>
    <row r="240475" customFormat="1" x14ac:dyDescent="0.25"/>
    <row r="240476" customFormat="1" x14ac:dyDescent="0.25"/>
    <row r="240477" customFormat="1" x14ac:dyDescent="0.25"/>
    <row r="240478" customFormat="1" x14ac:dyDescent="0.25"/>
    <row r="240479" customFormat="1" x14ac:dyDescent="0.25"/>
    <row r="240480" customFormat="1" x14ac:dyDescent="0.25"/>
    <row r="240481" customFormat="1" x14ac:dyDescent="0.25"/>
    <row r="240482" customFormat="1" x14ac:dyDescent="0.25"/>
    <row r="240483" customFormat="1" x14ac:dyDescent="0.25"/>
    <row r="240484" customFormat="1" x14ac:dyDescent="0.25"/>
    <row r="240485" customFormat="1" x14ac:dyDescent="0.25"/>
    <row r="240486" customFormat="1" x14ac:dyDescent="0.25"/>
    <row r="240487" customFormat="1" x14ac:dyDescent="0.25"/>
    <row r="240488" customFormat="1" x14ac:dyDescent="0.25"/>
    <row r="240489" customFormat="1" x14ac:dyDescent="0.25"/>
    <row r="240490" customFormat="1" x14ac:dyDescent="0.25"/>
    <row r="240491" customFormat="1" x14ac:dyDescent="0.25"/>
    <row r="240492" customFormat="1" x14ac:dyDescent="0.25"/>
    <row r="240493" customFormat="1" x14ac:dyDescent="0.25"/>
    <row r="240494" customFormat="1" x14ac:dyDescent="0.25"/>
    <row r="240495" customFormat="1" x14ac:dyDescent="0.25"/>
    <row r="240496" customFormat="1" x14ac:dyDescent="0.25"/>
    <row r="240497" customFormat="1" x14ac:dyDescent="0.25"/>
    <row r="240498" customFormat="1" x14ac:dyDescent="0.25"/>
    <row r="240499" customFormat="1" x14ac:dyDescent="0.25"/>
    <row r="240500" customFormat="1" x14ac:dyDescent="0.25"/>
    <row r="240501" customFormat="1" x14ac:dyDescent="0.25"/>
    <row r="240502" customFormat="1" x14ac:dyDescent="0.25"/>
    <row r="240503" customFormat="1" x14ac:dyDescent="0.25"/>
    <row r="240504" customFormat="1" x14ac:dyDescent="0.25"/>
    <row r="240505" customFormat="1" x14ac:dyDescent="0.25"/>
    <row r="240506" customFormat="1" x14ac:dyDescent="0.25"/>
    <row r="240507" customFormat="1" x14ac:dyDescent="0.25"/>
    <row r="240508" customFormat="1" x14ac:dyDescent="0.25"/>
    <row r="240509" customFormat="1" x14ac:dyDescent="0.25"/>
    <row r="240510" customFormat="1" x14ac:dyDescent="0.25"/>
    <row r="240511" customFormat="1" x14ac:dyDescent="0.25"/>
    <row r="240512" customFormat="1" x14ac:dyDescent="0.25"/>
    <row r="240513" customFormat="1" x14ac:dyDescent="0.25"/>
    <row r="240514" customFormat="1" x14ac:dyDescent="0.25"/>
    <row r="240515" customFormat="1" x14ac:dyDescent="0.25"/>
    <row r="240516" customFormat="1" x14ac:dyDescent="0.25"/>
    <row r="240517" customFormat="1" x14ac:dyDescent="0.25"/>
    <row r="240518" customFormat="1" x14ac:dyDescent="0.25"/>
    <row r="240519" customFormat="1" x14ac:dyDescent="0.25"/>
    <row r="240520" customFormat="1" x14ac:dyDescent="0.25"/>
    <row r="240521" customFormat="1" x14ac:dyDescent="0.25"/>
    <row r="240522" customFormat="1" x14ac:dyDescent="0.25"/>
    <row r="240523" customFormat="1" x14ac:dyDescent="0.25"/>
    <row r="240524" customFormat="1" x14ac:dyDescent="0.25"/>
    <row r="240525" customFormat="1" x14ac:dyDescent="0.25"/>
    <row r="240526" customFormat="1" x14ac:dyDescent="0.25"/>
    <row r="240527" customFormat="1" x14ac:dyDescent="0.25"/>
    <row r="240528" customFormat="1" x14ac:dyDescent="0.25"/>
    <row r="240529" customFormat="1" x14ac:dyDescent="0.25"/>
    <row r="240530" customFormat="1" x14ac:dyDescent="0.25"/>
    <row r="240531" customFormat="1" x14ac:dyDescent="0.25"/>
    <row r="240532" customFormat="1" x14ac:dyDescent="0.25"/>
    <row r="240533" customFormat="1" x14ac:dyDescent="0.25"/>
    <row r="240534" customFormat="1" x14ac:dyDescent="0.25"/>
    <row r="240535" customFormat="1" x14ac:dyDescent="0.25"/>
    <row r="240536" customFormat="1" x14ac:dyDescent="0.25"/>
    <row r="240537" customFormat="1" x14ac:dyDescent="0.25"/>
    <row r="240538" customFormat="1" x14ac:dyDescent="0.25"/>
    <row r="240539" customFormat="1" x14ac:dyDescent="0.25"/>
    <row r="240540" customFormat="1" x14ac:dyDescent="0.25"/>
    <row r="240541" customFormat="1" x14ac:dyDescent="0.25"/>
    <row r="240542" customFormat="1" x14ac:dyDescent="0.25"/>
    <row r="240543" customFormat="1" x14ac:dyDescent="0.25"/>
    <row r="240544" customFormat="1" x14ac:dyDescent="0.25"/>
    <row r="240545" customFormat="1" x14ac:dyDescent="0.25"/>
    <row r="240546" customFormat="1" x14ac:dyDescent="0.25"/>
    <row r="240547" customFormat="1" x14ac:dyDescent="0.25"/>
    <row r="240548" customFormat="1" x14ac:dyDescent="0.25"/>
    <row r="240549" customFormat="1" x14ac:dyDescent="0.25"/>
    <row r="240550" customFormat="1" x14ac:dyDescent="0.25"/>
    <row r="240551" customFormat="1" x14ac:dyDescent="0.25"/>
    <row r="240552" customFormat="1" x14ac:dyDescent="0.25"/>
    <row r="240553" customFormat="1" x14ac:dyDescent="0.25"/>
    <row r="240554" customFormat="1" x14ac:dyDescent="0.25"/>
    <row r="240555" customFormat="1" x14ac:dyDescent="0.25"/>
    <row r="240556" customFormat="1" x14ac:dyDescent="0.25"/>
    <row r="240557" customFormat="1" x14ac:dyDescent="0.25"/>
    <row r="240558" customFormat="1" x14ac:dyDescent="0.25"/>
    <row r="240559" customFormat="1" x14ac:dyDescent="0.25"/>
    <row r="240560" customFormat="1" x14ac:dyDescent="0.25"/>
    <row r="240561" customFormat="1" x14ac:dyDescent="0.25"/>
    <row r="240562" customFormat="1" x14ac:dyDescent="0.25"/>
    <row r="240563" customFormat="1" x14ac:dyDescent="0.25"/>
    <row r="240564" customFormat="1" x14ac:dyDescent="0.25"/>
    <row r="240565" customFormat="1" x14ac:dyDescent="0.25"/>
    <row r="240566" customFormat="1" x14ac:dyDescent="0.25"/>
    <row r="240567" customFormat="1" x14ac:dyDescent="0.25"/>
    <row r="240568" customFormat="1" x14ac:dyDescent="0.25"/>
    <row r="240569" customFormat="1" x14ac:dyDescent="0.25"/>
    <row r="240570" customFormat="1" x14ac:dyDescent="0.25"/>
    <row r="240571" customFormat="1" x14ac:dyDescent="0.25"/>
    <row r="240572" customFormat="1" x14ac:dyDescent="0.25"/>
    <row r="240573" customFormat="1" x14ac:dyDescent="0.25"/>
    <row r="240574" customFormat="1" x14ac:dyDescent="0.25"/>
    <row r="240575" customFormat="1" x14ac:dyDescent="0.25"/>
    <row r="240576" customFormat="1" x14ac:dyDescent="0.25"/>
    <row r="240577" customFormat="1" x14ac:dyDescent="0.25"/>
    <row r="240578" customFormat="1" x14ac:dyDescent="0.25"/>
    <row r="240579" customFormat="1" x14ac:dyDescent="0.25"/>
    <row r="240580" customFormat="1" x14ac:dyDescent="0.25"/>
    <row r="240581" customFormat="1" x14ac:dyDescent="0.25"/>
    <row r="240582" customFormat="1" x14ac:dyDescent="0.25"/>
    <row r="240583" customFormat="1" x14ac:dyDescent="0.25"/>
    <row r="240584" customFormat="1" x14ac:dyDescent="0.25"/>
    <row r="240585" customFormat="1" x14ac:dyDescent="0.25"/>
    <row r="240586" customFormat="1" x14ac:dyDescent="0.25"/>
    <row r="240587" customFormat="1" x14ac:dyDescent="0.25"/>
    <row r="240588" customFormat="1" x14ac:dyDescent="0.25"/>
    <row r="240589" customFormat="1" x14ac:dyDescent="0.25"/>
    <row r="240590" customFormat="1" x14ac:dyDescent="0.25"/>
    <row r="240591" customFormat="1" x14ac:dyDescent="0.25"/>
    <row r="240592" customFormat="1" x14ac:dyDescent="0.25"/>
    <row r="240593" customFormat="1" x14ac:dyDescent="0.25"/>
    <row r="240594" customFormat="1" x14ac:dyDescent="0.25"/>
    <row r="240595" customFormat="1" x14ac:dyDescent="0.25"/>
    <row r="240596" customFormat="1" x14ac:dyDescent="0.25"/>
    <row r="240597" customFormat="1" x14ac:dyDescent="0.25"/>
    <row r="240598" customFormat="1" x14ac:dyDescent="0.25"/>
    <row r="240599" customFormat="1" x14ac:dyDescent="0.25"/>
    <row r="240600" customFormat="1" x14ac:dyDescent="0.25"/>
    <row r="240601" customFormat="1" x14ac:dyDescent="0.25"/>
    <row r="240602" customFormat="1" x14ac:dyDescent="0.25"/>
    <row r="240603" customFormat="1" x14ac:dyDescent="0.25"/>
    <row r="240604" customFormat="1" x14ac:dyDescent="0.25"/>
    <row r="240605" customFormat="1" x14ac:dyDescent="0.25"/>
    <row r="240606" customFormat="1" x14ac:dyDescent="0.25"/>
    <row r="240607" customFormat="1" x14ac:dyDescent="0.25"/>
    <row r="240608" customFormat="1" x14ac:dyDescent="0.25"/>
    <row r="240609" customFormat="1" x14ac:dyDescent="0.25"/>
    <row r="240610" customFormat="1" x14ac:dyDescent="0.25"/>
    <row r="240611" customFormat="1" x14ac:dyDescent="0.25"/>
    <row r="240612" customFormat="1" x14ac:dyDescent="0.25"/>
    <row r="240613" customFormat="1" x14ac:dyDescent="0.25"/>
    <row r="240614" customFormat="1" x14ac:dyDescent="0.25"/>
    <row r="240615" customFormat="1" x14ac:dyDescent="0.25"/>
    <row r="240616" customFormat="1" x14ac:dyDescent="0.25"/>
    <row r="240617" customFormat="1" x14ac:dyDescent="0.25"/>
    <row r="240618" customFormat="1" x14ac:dyDescent="0.25"/>
    <row r="240619" customFormat="1" x14ac:dyDescent="0.25"/>
    <row r="240620" customFormat="1" x14ac:dyDescent="0.25"/>
    <row r="240621" customFormat="1" x14ac:dyDescent="0.25"/>
    <row r="240622" customFormat="1" x14ac:dyDescent="0.25"/>
    <row r="240623" customFormat="1" x14ac:dyDescent="0.25"/>
    <row r="240624" customFormat="1" x14ac:dyDescent="0.25"/>
    <row r="240625" customFormat="1" x14ac:dyDescent="0.25"/>
    <row r="240626" customFormat="1" x14ac:dyDescent="0.25"/>
    <row r="240627" customFormat="1" x14ac:dyDescent="0.25"/>
    <row r="240628" customFormat="1" x14ac:dyDescent="0.25"/>
    <row r="240629" customFormat="1" x14ac:dyDescent="0.25"/>
    <row r="240630" customFormat="1" x14ac:dyDescent="0.25"/>
    <row r="240631" customFormat="1" x14ac:dyDescent="0.25"/>
    <row r="240632" customFormat="1" x14ac:dyDescent="0.25"/>
    <row r="240633" customFormat="1" x14ac:dyDescent="0.25"/>
    <row r="240634" customFormat="1" x14ac:dyDescent="0.25"/>
    <row r="240635" customFormat="1" x14ac:dyDescent="0.25"/>
    <row r="240636" customFormat="1" x14ac:dyDescent="0.25"/>
    <row r="240637" customFormat="1" x14ac:dyDescent="0.25"/>
    <row r="240638" customFormat="1" x14ac:dyDescent="0.25"/>
    <row r="240639" customFormat="1" x14ac:dyDescent="0.25"/>
    <row r="240640" customFormat="1" x14ac:dyDescent="0.25"/>
    <row r="240641" customFormat="1" x14ac:dyDescent="0.25"/>
    <row r="240642" customFormat="1" x14ac:dyDescent="0.25"/>
    <row r="240643" customFormat="1" x14ac:dyDescent="0.25"/>
    <row r="240644" customFormat="1" x14ac:dyDescent="0.25"/>
    <row r="240645" customFormat="1" x14ac:dyDescent="0.25"/>
    <row r="240646" customFormat="1" x14ac:dyDescent="0.25"/>
    <row r="240647" customFormat="1" x14ac:dyDescent="0.25"/>
    <row r="240648" customFormat="1" x14ac:dyDescent="0.25"/>
    <row r="240649" customFormat="1" x14ac:dyDescent="0.25"/>
    <row r="240650" customFormat="1" x14ac:dyDescent="0.25"/>
    <row r="240651" customFormat="1" x14ac:dyDescent="0.25"/>
    <row r="240652" customFormat="1" x14ac:dyDescent="0.25"/>
    <row r="240653" customFormat="1" x14ac:dyDescent="0.25"/>
    <row r="240654" customFormat="1" x14ac:dyDescent="0.25"/>
    <row r="240655" customFormat="1" x14ac:dyDescent="0.25"/>
    <row r="240656" customFormat="1" x14ac:dyDescent="0.25"/>
    <row r="240657" customFormat="1" x14ac:dyDescent="0.25"/>
    <row r="240658" customFormat="1" x14ac:dyDescent="0.25"/>
    <row r="240659" customFormat="1" x14ac:dyDescent="0.25"/>
    <row r="240660" customFormat="1" x14ac:dyDescent="0.25"/>
    <row r="240661" customFormat="1" x14ac:dyDescent="0.25"/>
    <row r="240662" customFormat="1" x14ac:dyDescent="0.25"/>
    <row r="240663" customFormat="1" x14ac:dyDescent="0.25"/>
    <row r="240664" customFormat="1" x14ac:dyDescent="0.25"/>
    <row r="240665" customFormat="1" x14ac:dyDescent="0.25"/>
    <row r="240666" customFormat="1" x14ac:dyDescent="0.25"/>
    <row r="240667" customFormat="1" x14ac:dyDescent="0.25"/>
    <row r="240668" customFormat="1" x14ac:dyDescent="0.25"/>
    <row r="240669" customFormat="1" x14ac:dyDescent="0.25"/>
    <row r="240670" customFormat="1" x14ac:dyDescent="0.25"/>
    <row r="240671" customFormat="1" x14ac:dyDescent="0.25"/>
    <row r="240672" customFormat="1" x14ac:dyDescent="0.25"/>
    <row r="240673" customFormat="1" x14ac:dyDescent="0.25"/>
    <row r="240674" customFormat="1" x14ac:dyDescent="0.25"/>
    <row r="240675" customFormat="1" x14ac:dyDescent="0.25"/>
    <row r="240676" customFormat="1" x14ac:dyDescent="0.25"/>
    <row r="240677" customFormat="1" x14ac:dyDescent="0.25"/>
    <row r="240678" customFormat="1" x14ac:dyDescent="0.25"/>
    <row r="240679" customFormat="1" x14ac:dyDescent="0.25"/>
    <row r="240680" customFormat="1" x14ac:dyDescent="0.25"/>
    <row r="240681" customFormat="1" x14ac:dyDescent="0.25"/>
    <row r="240682" customFormat="1" x14ac:dyDescent="0.25"/>
    <row r="240683" customFormat="1" x14ac:dyDescent="0.25"/>
    <row r="240684" customFormat="1" x14ac:dyDescent="0.25"/>
    <row r="240685" customFormat="1" x14ac:dyDescent="0.25"/>
    <row r="240686" customFormat="1" x14ac:dyDescent="0.25"/>
    <row r="240687" customFormat="1" x14ac:dyDescent="0.25"/>
    <row r="240688" customFormat="1" x14ac:dyDescent="0.25"/>
    <row r="240689" customFormat="1" x14ac:dyDescent="0.25"/>
    <row r="240690" customFormat="1" x14ac:dyDescent="0.25"/>
    <row r="240691" customFormat="1" x14ac:dyDescent="0.25"/>
    <row r="240692" customFormat="1" x14ac:dyDescent="0.25"/>
    <row r="240693" customFormat="1" x14ac:dyDescent="0.25"/>
    <row r="240694" customFormat="1" x14ac:dyDescent="0.25"/>
    <row r="240695" customFormat="1" x14ac:dyDescent="0.25"/>
    <row r="240696" customFormat="1" x14ac:dyDescent="0.25"/>
    <row r="240697" customFormat="1" x14ac:dyDescent="0.25"/>
    <row r="240698" customFormat="1" x14ac:dyDescent="0.25"/>
    <row r="240699" customFormat="1" x14ac:dyDescent="0.25"/>
    <row r="240700" customFormat="1" x14ac:dyDescent="0.25"/>
    <row r="240701" customFormat="1" x14ac:dyDescent="0.25"/>
    <row r="240702" customFormat="1" x14ac:dyDescent="0.25"/>
    <row r="240703" customFormat="1" x14ac:dyDescent="0.25"/>
    <row r="240704" customFormat="1" x14ac:dyDescent="0.25"/>
    <row r="240705" customFormat="1" x14ac:dyDescent="0.25"/>
    <row r="240706" customFormat="1" x14ac:dyDescent="0.25"/>
    <row r="240707" customFormat="1" x14ac:dyDescent="0.25"/>
    <row r="240708" customFormat="1" x14ac:dyDescent="0.25"/>
    <row r="240709" customFormat="1" x14ac:dyDescent="0.25"/>
    <row r="240710" customFormat="1" x14ac:dyDescent="0.25"/>
    <row r="240711" customFormat="1" x14ac:dyDescent="0.25"/>
    <row r="240712" customFormat="1" x14ac:dyDescent="0.25"/>
    <row r="240713" customFormat="1" x14ac:dyDescent="0.25"/>
    <row r="240714" customFormat="1" x14ac:dyDescent="0.25"/>
    <row r="240715" customFormat="1" x14ac:dyDescent="0.25"/>
    <row r="240716" customFormat="1" x14ac:dyDescent="0.25"/>
    <row r="240717" customFormat="1" x14ac:dyDescent="0.25"/>
    <row r="240718" customFormat="1" x14ac:dyDescent="0.25"/>
    <row r="240719" customFormat="1" x14ac:dyDescent="0.25"/>
    <row r="240720" customFormat="1" x14ac:dyDescent="0.25"/>
    <row r="240721" customFormat="1" x14ac:dyDescent="0.25"/>
    <row r="240722" customFormat="1" x14ac:dyDescent="0.25"/>
    <row r="240723" customFormat="1" x14ac:dyDescent="0.25"/>
    <row r="240724" customFormat="1" x14ac:dyDescent="0.25"/>
    <row r="240725" customFormat="1" x14ac:dyDescent="0.25"/>
    <row r="240726" customFormat="1" x14ac:dyDescent="0.25"/>
    <row r="240727" customFormat="1" x14ac:dyDescent="0.25"/>
    <row r="240728" customFormat="1" x14ac:dyDescent="0.25"/>
    <row r="240729" customFormat="1" x14ac:dyDescent="0.25"/>
    <row r="240730" customFormat="1" x14ac:dyDescent="0.25"/>
    <row r="240731" customFormat="1" x14ac:dyDescent="0.25"/>
    <row r="240732" customFormat="1" x14ac:dyDescent="0.25"/>
    <row r="240733" customFormat="1" x14ac:dyDescent="0.25"/>
    <row r="240734" customFormat="1" x14ac:dyDescent="0.25"/>
    <row r="240735" customFormat="1" x14ac:dyDescent="0.25"/>
    <row r="240736" customFormat="1" x14ac:dyDescent="0.25"/>
    <row r="240737" customFormat="1" x14ac:dyDescent="0.25"/>
    <row r="240738" customFormat="1" x14ac:dyDescent="0.25"/>
    <row r="240739" customFormat="1" x14ac:dyDescent="0.25"/>
    <row r="240740" customFormat="1" x14ac:dyDescent="0.25"/>
    <row r="240741" customFormat="1" x14ac:dyDescent="0.25"/>
    <row r="240742" customFormat="1" x14ac:dyDescent="0.25"/>
    <row r="240743" customFormat="1" x14ac:dyDescent="0.25"/>
    <row r="240744" customFormat="1" x14ac:dyDescent="0.25"/>
    <row r="240745" customFormat="1" x14ac:dyDescent="0.25"/>
    <row r="240746" customFormat="1" x14ac:dyDescent="0.25"/>
    <row r="240747" customFormat="1" x14ac:dyDescent="0.25"/>
    <row r="240748" customFormat="1" x14ac:dyDescent="0.25"/>
    <row r="240749" customFormat="1" x14ac:dyDescent="0.25"/>
    <row r="240750" customFormat="1" x14ac:dyDescent="0.25"/>
    <row r="240751" customFormat="1" x14ac:dyDescent="0.25"/>
    <row r="240752" customFormat="1" x14ac:dyDescent="0.25"/>
    <row r="240753" customFormat="1" x14ac:dyDescent="0.25"/>
    <row r="240754" customFormat="1" x14ac:dyDescent="0.25"/>
    <row r="240755" customFormat="1" x14ac:dyDescent="0.25"/>
    <row r="240756" customFormat="1" x14ac:dyDescent="0.25"/>
    <row r="240757" customFormat="1" x14ac:dyDescent="0.25"/>
    <row r="240758" customFormat="1" x14ac:dyDescent="0.25"/>
    <row r="240759" customFormat="1" x14ac:dyDescent="0.25"/>
    <row r="240760" customFormat="1" x14ac:dyDescent="0.25"/>
    <row r="240761" customFormat="1" x14ac:dyDescent="0.25"/>
    <row r="240762" customFormat="1" x14ac:dyDescent="0.25"/>
    <row r="240763" customFormat="1" x14ac:dyDescent="0.25"/>
    <row r="240764" customFormat="1" x14ac:dyDescent="0.25"/>
    <row r="240765" customFormat="1" x14ac:dyDescent="0.25"/>
    <row r="240766" customFormat="1" x14ac:dyDescent="0.25"/>
    <row r="240767" customFormat="1" x14ac:dyDescent="0.25"/>
    <row r="240768" customFormat="1" x14ac:dyDescent="0.25"/>
    <row r="240769" customFormat="1" x14ac:dyDescent="0.25"/>
    <row r="240770" customFormat="1" x14ac:dyDescent="0.25"/>
    <row r="240771" customFormat="1" x14ac:dyDescent="0.25"/>
    <row r="240772" customFormat="1" x14ac:dyDescent="0.25"/>
    <row r="240773" customFormat="1" x14ac:dyDescent="0.25"/>
    <row r="240774" customFormat="1" x14ac:dyDescent="0.25"/>
    <row r="240775" customFormat="1" x14ac:dyDescent="0.25"/>
    <row r="240776" customFormat="1" x14ac:dyDescent="0.25"/>
    <row r="240777" customFormat="1" x14ac:dyDescent="0.25"/>
    <row r="240778" customFormat="1" x14ac:dyDescent="0.25"/>
    <row r="240779" customFormat="1" x14ac:dyDescent="0.25"/>
    <row r="240780" customFormat="1" x14ac:dyDescent="0.25"/>
    <row r="240781" customFormat="1" x14ac:dyDescent="0.25"/>
    <row r="240782" customFormat="1" x14ac:dyDescent="0.25"/>
    <row r="240783" customFormat="1" x14ac:dyDescent="0.25"/>
    <row r="240784" customFormat="1" x14ac:dyDescent="0.25"/>
    <row r="240785" customFormat="1" x14ac:dyDescent="0.25"/>
    <row r="240786" customFormat="1" x14ac:dyDescent="0.25"/>
    <row r="240787" customFormat="1" x14ac:dyDescent="0.25"/>
    <row r="240788" customFormat="1" x14ac:dyDescent="0.25"/>
    <row r="240789" customFormat="1" x14ac:dyDescent="0.25"/>
    <row r="240790" customFormat="1" x14ac:dyDescent="0.25"/>
    <row r="240791" customFormat="1" x14ac:dyDescent="0.25"/>
    <row r="240792" customFormat="1" x14ac:dyDescent="0.25"/>
    <row r="240793" customFormat="1" x14ac:dyDescent="0.25"/>
    <row r="240794" customFormat="1" x14ac:dyDescent="0.25"/>
    <row r="240795" customFormat="1" x14ac:dyDescent="0.25"/>
    <row r="240796" customFormat="1" x14ac:dyDescent="0.25"/>
    <row r="240797" customFormat="1" x14ac:dyDescent="0.25"/>
    <row r="240798" customFormat="1" x14ac:dyDescent="0.25"/>
    <row r="240799" customFormat="1" x14ac:dyDescent="0.25"/>
    <row r="240800" customFormat="1" x14ac:dyDescent="0.25"/>
    <row r="240801" customFormat="1" x14ac:dyDescent="0.25"/>
    <row r="240802" customFormat="1" x14ac:dyDescent="0.25"/>
    <row r="240803" customFormat="1" x14ac:dyDescent="0.25"/>
    <row r="240804" customFormat="1" x14ac:dyDescent="0.25"/>
    <row r="240805" customFormat="1" x14ac:dyDescent="0.25"/>
    <row r="240806" customFormat="1" x14ac:dyDescent="0.25"/>
    <row r="240807" customFormat="1" x14ac:dyDescent="0.25"/>
    <row r="240808" customFormat="1" x14ac:dyDescent="0.25"/>
    <row r="240809" customFormat="1" x14ac:dyDescent="0.25"/>
    <row r="240810" customFormat="1" x14ac:dyDescent="0.25"/>
    <row r="240811" customFormat="1" x14ac:dyDescent="0.25"/>
    <row r="240812" customFormat="1" x14ac:dyDescent="0.25"/>
    <row r="240813" customFormat="1" x14ac:dyDescent="0.25"/>
    <row r="240814" customFormat="1" x14ac:dyDescent="0.25"/>
    <row r="240815" customFormat="1" x14ac:dyDescent="0.25"/>
    <row r="240816" customFormat="1" x14ac:dyDescent="0.25"/>
    <row r="240817" customFormat="1" x14ac:dyDescent="0.25"/>
    <row r="240818" customFormat="1" x14ac:dyDescent="0.25"/>
    <row r="240819" customFormat="1" x14ac:dyDescent="0.25"/>
    <row r="240820" customFormat="1" x14ac:dyDescent="0.25"/>
    <row r="240821" customFormat="1" x14ac:dyDescent="0.25"/>
    <row r="240822" customFormat="1" x14ac:dyDescent="0.25"/>
    <row r="240823" customFormat="1" x14ac:dyDescent="0.25"/>
    <row r="240824" customFormat="1" x14ac:dyDescent="0.25"/>
    <row r="240825" customFormat="1" x14ac:dyDescent="0.25"/>
    <row r="240826" customFormat="1" x14ac:dyDescent="0.25"/>
    <row r="240827" customFormat="1" x14ac:dyDescent="0.25"/>
    <row r="240828" customFormat="1" x14ac:dyDescent="0.25"/>
    <row r="240829" customFormat="1" x14ac:dyDescent="0.25"/>
    <row r="240830" customFormat="1" x14ac:dyDescent="0.25"/>
    <row r="240831" customFormat="1" x14ac:dyDescent="0.25"/>
    <row r="240832" customFormat="1" x14ac:dyDescent="0.25"/>
    <row r="240833" customFormat="1" x14ac:dyDescent="0.25"/>
    <row r="240834" customFormat="1" x14ac:dyDescent="0.25"/>
    <row r="240835" customFormat="1" x14ac:dyDescent="0.25"/>
    <row r="240836" customFormat="1" x14ac:dyDescent="0.25"/>
    <row r="240837" customFormat="1" x14ac:dyDescent="0.25"/>
    <row r="240838" customFormat="1" x14ac:dyDescent="0.25"/>
    <row r="240839" customFormat="1" x14ac:dyDescent="0.25"/>
    <row r="240840" customFormat="1" x14ac:dyDescent="0.25"/>
    <row r="240841" customFormat="1" x14ac:dyDescent="0.25"/>
    <row r="240842" customFormat="1" x14ac:dyDescent="0.25"/>
    <row r="240843" customFormat="1" x14ac:dyDescent="0.25"/>
    <row r="240844" customFormat="1" x14ac:dyDescent="0.25"/>
    <row r="240845" customFormat="1" x14ac:dyDescent="0.25"/>
    <row r="240846" customFormat="1" x14ac:dyDescent="0.25"/>
    <row r="240847" customFormat="1" x14ac:dyDescent="0.25"/>
    <row r="240848" customFormat="1" x14ac:dyDescent="0.25"/>
    <row r="240849" customFormat="1" x14ac:dyDescent="0.25"/>
    <row r="240850" customFormat="1" x14ac:dyDescent="0.25"/>
    <row r="240851" customFormat="1" x14ac:dyDescent="0.25"/>
    <row r="240852" customFormat="1" x14ac:dyDescent="0.25"/>
    <row r="240853" customFormat="1" x14ac:dyDescent="0.25"/>
    <row r="240854" customFormat="1" x14ac:dyDescent="0.25"/>
    <row r="240855" customFormat="1" x14ac:dyDescent="0.25"/>
    <row r="240856" customFormat="1" x14ac:dyDescent="0.25"/>
    <row r="240857" customFormat="1" x14ac:dyDescent="0.25"/>
    <row r="240858" customFormat="1" x14ac:dyDescent="0.25"/>
    <row r="240859" customFormat="1" x14ac:dyDescent="0.25"/>
    <row r="240860" customFormat="1" x14ac:dyDescent="0.25"/>
    <row r="240861" customFormat="1" x14ac:dyDescent="0.25"/>
    <row r="240862" customFormat="1" x14ac:dyDescent="0.25"/>
    <row r="240863" customFormat="1" x14ac:dyDescent="0.25"/>
    <row r="240864" customFormat="1" x14ac:dyDescent="0.25"/>
    <row r="240865" customFormat="1" x14ac:dyDescent="0.25"/>
    <row r="240866" customFormat="1" x14ac:dyDescent="0.25"/>
    <row r="240867" customFormat="1" x14ac:dyDescent="0.25"/>
    <row r="240868" customFormat="1" x14ac:dyDescent="0.25"/>
    <row r="240869" customFormat="1" x14ac:dyDescent="0.25"/>
    <row r="240870" customFormat="1" x14ac:dyDescent="0.25"/>
    <row r="240871" customFormat="1" x14ac:dyDescent="0.25"/>
    <row r="240872" customFormat="1" x14ac:dyDescent="0.25"/>
    <row r="240873" customFormat="1" x14ac:dyDescent="0.25"/>
    <row r="240874" customFormat="1" x14ac:dyDescent="0.25"/>
    <row r="240875" customFormat="1" x14ac:dyDescent="0.25"/>
    <row r="240876" customFormat="1" x14ac:dyDescent="0.25"/>
    <row r="240877" customFormat="1" x14ac:dyDescent="0.25"/>
    <row r="240878" customFormat="1" x14ac:dyDescent="0.25"/>
    <row r="240879" customFormat="1" x14ac:dyDescent="0.25"/>
    <row r="240880" customFormat="1" x14ac:dyDescent="0.25"/>
    <row r="240881" customFormat="1" x14ac:dyDescent="0.25"/>
    <row r="240882" customFormat="1" x14ac:dyDescent="0.25"/>
    <row r="240883" customFormat="1" x14ac:dyDescent="0.25"/>
    <row r="240884" customFormat="1" x14ac:dyDescent="0.25"/>
    <row r="240885" customFormat="1" x14ac:dyDescent="0.25"/>
    <row r="240886" customFormat="1" x14ac:dyDescent="0.25"/>
    <row r="240887" customFormat="1" x14ac:dyDescent="0.25"/>
    <row r="240888" customFormat="1" x14ac:dyDescent="0.25"/>
    <row r="240889" customFormat="1" x14ac:dyDescent="0.25"/>
    <row r="240890" customFormat="1" x14ac:dyDescent="0.25"/>
    <row r="240891" customFormat="1" x14ac:dyDescent="0.25"/>
    <row r="240892" customFormat="1" x14ac:dyDescent="0.25"/>
    <row r="240893" customFormat="1" x14ac:dyDescent="0.25"/>
    <row r="240894" customFormat="1" x14ac:dyDescent="0.25"/>
    <row r="240895" customFormat="1" x14ac:dyDescent="0.25"/>
    <row r="240896" customFormat="1" x14ac:dyDescent="0.25"/>
    <row r="240897" customFormat="1" x14ac:dyDescent="0.25"/>
    <row r="240898" customFormat="1" x14ac:dyDescent="0.25"/>
    <row r="240899" customFormat="1" x14ac:dyDescent="0.25"/>
    <row r="240900" customFormat="1" x14ac:dyDescent="0.25"/>
    <row r="240901" customFormat="1" x14ac:dyDescent="0.25"/>
    <row r="240902" customFormat="1" x14ac:dyDescent="0.25"/>
    <row r="240903" customFormat="1" x14ac:dyDescent="0.25"/>
    <row r="240904" customFormat="1" x14ac:dyDescent="0.25"/>
    <row r="240905" customFormat="1" x14ac:dyDescent="0.25"/>
    <row r="240906" customFormat="1" x14ac:dyDescent="0.25"/>
    <row r="240907" customFormat="1" x14ac:dyDescent="0.25"/>
    <row r="240908" customFormat="1" x14ac:dyDescent="0.25"/>
    <row r="240909" customFormat="1" x14ac:dyDescent="0.25"/>
    <row r="240910" customFormat="1" x14ac:dyDescent="0.25"/>
    <row r="240911" customFormat="1" x14ac:dyDescent="0.25"/>
    <row r="240912" customFormat="1" x14ac:dyDescent="0.25"/>
    <row r="240913" customFormat="1" x14ac:dyDescent="0.25"/>
    <row r="240914" customFormat="1" x14ac:dyDescent="0.25"/>
    <row r="240915" customFormat="1" x14ac:dyDescent="0.25"/>
    <row r="240916" customFormat="1" x14ac:dyDescent="0.25"/>
    <row r="240917" customFormat="1" x14ac:dyDescent="0.25"/>
    <row r="240918" customFormat="1" x14ac:dyDescent="0.25"/>
    <row r="240919" customFormat="1" x14ac:dyDescent="0.25"/>
    <row r="240920" customFormat="1" x14ac:dyDescent="0.25"/>
    <row r="240921" customFormat="1" x14ac:dyDescent="0.25"/>
    <row r="240922" customFormat="1" x14ac:dyDescent="0.25"/>
    <row r="240923" customFormat="1" x14ac:dyDescent="0.25"/>
    <row r="240924" customFormat="1" x14ac:dyDescent="0.25"/>
    <row r="240925" customFormat="1" x14ac:dyDescent="0.25"/>
    <row r="240926" customFormat="1" x14ac:dyDescent="0.25"/>
    <row r="240927" customFormat="1" x14ac:dyDescent="0.25"/>
    <row r="240928" customFormat="1" x14ac:dyDescent="0.25"/>
    <row r="240929" customFormat="1" x14ac:dyDescent="0.25"/>
    <row r="240930" customFormat="1" x14ac:dyDescent="0.25"/>
    <row r="240931" customFormat="1" x14ac:dyDescent="0.25"/>
    <row r="240932" customFormat="1" x14ac:dyDescent="0.25"/>
    <row r="240933" customFormat="1" x14ac:dyDescent="0.25"/>
    <row r="240934" customFormat="1" x14ac:dyDescent="0.25"/>
    <row r="240935" customFormat="1" x14ac:dyDescent="0.25"/>
    <row r="240936" customFormat="1" x14ac:dyDescent="0.25"/>
    <row r="240937" customFormat="1" x14ac:dyDescent="0.25"/>
    <row r="240938" customFormat="1" x14ac:dyDescent="0.25"/>
    <row r="240939" customFormat="1" x14ac:dyDescent="0.25"/>
    <row r="240940" customFormat="1" x14ac:dyDescent="0.25"/>
    <row r="240941" customFormat="1" x14ac:dyDescent="0.25"/>
    <row r="240942" customFormat="1" x14ac:dyDescent="0.25"/>
    <row r="240943" customFormat="1" x14ac:dyDescent="0.25"/>
    <row r="240944" customFormat="1" x14ac:dyDescent="0.25"/>
    <row r="240945" customFormat="1" x14ac:dyDescent="0.25"/>
    <row r="240946" customFormat="1" x14ac:dyDescent="0.25"/>
    <row r="240947" customFormat="1" x14ac:dyDescent="0.25"/>
    <row r="240948" customFormat="1" x14ac:dyDescent="0.25"/>
    <row r="240949" customFormat="1" x14ac:dyDescent="0.25"/>
    <row r="240950" customFormat="1" x14ac:dyDescent="0.25"/>
    <row r="240951" customFormat="1" x14ac:dyDescent="0.25"/>
    <row r="240952" customFormat="1" x14ac:dyDescent="0.25"/>
    <row r="240953" customFormat="1" x14ac:dyDescent="0.25"/>
    <row r="240954" customFormat="1" x14ac:dyDescent="0.25"/>
    <row r="240955" customFormat="1" x14ac:dyDescent="0.25"/>
    <row r="240956" customFormat="1" x14ac:dyDescent="0.25"/>
    <row r="240957" customFormat="1" x14ac:dyDescent="0.25"/>
    <row r="240958" customFormat="1" x14ac:dyDescent="0.25"/>
    <row r="240959" customFormat="1" x14ac:dyDescent="0.25"/>
    <row r="240960" customFormat="1" x14ac:dyDescent="0.25"/>
    <row r="240961" customFormat="1" x14ac:dyDescent="0.25"/>
    <row r="240962" customFormat="1" x14ac:dyDescent="0.25"/>
    <row r="240963" customFormat="1" x14ac:dyDescent="0.25"/>
    <row r="240964" customFormat="1" x14ac:dyDescent="0.25"/>
    <row r="240965" customFormat="1" x14ac:dyDescent="0.25"/>
    <row r="240966" customFormat="1" x14ac:dyDescent="0.25"/>
    <row r="240967" customFormat="1" x14ac:dyDescent="0.25"/>
    <row r="240968" customFormat="1" x14ac:dyDescent="0.25"/>
    <row r="240969" customFormat="1" x14ac:dyDescent="0.25"/>
    <row r="240970" customFormat="1" x14ac:dyDescent="0.25"/>
    <row r="240971" customFormat="1" x14ac:dyDescent="0.25"/>
    <row r="240972" customFormat="1" x14ac:dyDescent="0.25"/>
    <row r="240973" customFormat="1" x14ac:dyDescent="0.25"/>
    <row r="240974" customFormat="1" x14ac:dyDescent="0.25"/>
    <row r="240975" customFormat="1" x14ac:dyDescent="0.25"/>
    <row r="240976" customFormat="1" x14ac:dyDescent="0.25"/>
    <row r="240977" customFormat="1" x14ac:dyDescent="0.25"/>
    <row r="240978" customFormat="1" x14ac:dyDescent="0.25"/>
    <row r="240979" customFormat="1" x14ac:dyDescent="0.25"/>
    <row r="240980" customFormat="1" x14ac:dyDescent="0.25"/>
    <row r="240981" customFormat="1" x14ac:dyDescent="0.25"/>
    <row r="240982" customFormat="1" x14ac:dyDescent="0.25"/>
    <row r="240983" customFormat="1" x14ac:dyDescent="0.25"/>
    <row r="240984" customFormat="1" x14ac:dyDescent="0.25"/>
    <row r="240985" customFormat="1" x14ac:dyDescent="0.25"/>
    <row r="240986" customFormat="1" x14ac:dyDescent="0.25"/>
    <row r="240987" customFormat="1" x14ac:dyDescent="0.25"/>
    <row r="240988" customFormat="1" x14ac:dyDescent="0.25"/>
    <row r="240989" customFormat="1" x14ac:dyDescent="0.25"/>
    <row r="240990" customFormat="1" x14ac:dyDescent="0.25"/>
    <row r="240991" customFormat="1" x14ac:dyDescent="0.25"/>
    <row r="240992" customFormat="1" x14ac:dyDescent="0.25"/>
    <row r="240993" customFormat="1" x14ac:dyDescent="0.25"/>
    <row r="240994" customFormat="1" x14ac:dyDescent="0.25"/>
    <row r="240995" customFormat="1" x14ac:dyDescent="0.25"/>
    <row r="240996" customFormat="1" x14ac:dyDescent="0.25"/>
    <row r="240997" customFormat="1" x14ac:dyDescent="0.25"/>
    <row r="240998" customFormat="1" x14ac:dyDescent="0.25"/>
    <row r="240999" customFormat="1" x14ac:dyDescent="0.25"/>
    <row r="241000" customFormat="1" x14ac:dyDescent="0.25"/>
    <row r="241001" customFormat="1" x14ac:dyDescent="0.25"/>
    <row r="241002" customFormat="1" x14ac:dyDescent="0.25"/>
    <row r="241003" customFormat="1" x14ac:dyDescent="0.25"/>
    <row r="241004" customFormat="1" x14ac:dyDescent="0.25"/>
    <row r="241005" customFormat="1" x14ac:dyDescent="0.25"/>
    <row r="241006" customFormat="1" x14ac:dyDescent="0.25"/>
    <row r="241007" customFormat="1" x14ac:dyDescent="0.25"/>
    <row r="241008" customFormat="1" x14ac:dyDescent="0.25"/>
    <row r="241009" customFormat="1" x14ac:dyDescent="0.25"/>
    <row r="241010" customFormat="1" x14ac:dyDescent="0.25"/>
    <row r="241011" customFormat="1" x14ac:dyDescent="0.25"/>
    <row r="241012" customFormat="1" x14ac:dyDescent="0.25"/>
    <row r="241013" customFormat="1" x14ac:dyDescent="0.25"/>
    <row r="241014" customFormat="1" x14ac:dyDescent="0.25"/>
    <row r="241015" customFormat="1" x14ac:dyDescent="0.25"/>
    <row r="241016" customFormat="1" x14ac:dyDescent="0.25"/>
    <row r="241017" customFormat="1" x14ac:dyDescent="0.25"/>
    <row r="241018" customFormat="1" x14ac:dyDescent="0.25"/>
    <row r="241019" customFormat="1" x14ac:dyDescent="0.25"/>
    <row r="241020" customFormat="1" x14ac:dyDescent="0.25"/>
    <row r="241021" customFormat="1" x14ac:dyDescent="0.25"/>
    <row r="241022" customFormat="1" x14ac:dyDescent="0.25"/>
    <row r="241023" customFormat="1" x14ac:dyDescent="0.25"/>
    <row r="241024" customFormat="1" x14ac:dyDescent="0.25"/>
    <row r="241025" customFormat="1" x14ac:dyDescent="0.25"/>
    <row r="241026" customFormat="1" x14ac:dyDescent="0.25"/>
    <row r="241027" customFormat="1" x14ac:dyDescent="0.25"/>
    <row r="241028" customFormat="1" x14ac:dyDescent="0.25"/>
    <row r="241029" customFormat="1" x14ac:dyDescent="0.25"/>
    <row r="241030" customFormat="1" x14ac:dyDescent="0.25"/>
    <row r="241031" customFormat="1" x14ac:dyDescent="0.25"/>
    <row r="241032" customFormat="1" x14ac:dyDescent="0.25"/>
    <row r="241033" customFormat="1" x14ac:dyDescent="0.25"/>
    <row r="241034" customFormat="1" x14ac:dyDescent="0.25"/>
    <row r="241035" customFormat="1" x14ac:dyDescent="0.25"/>
    <row r="241036" customFormat="1" x14ac:dyDescent="0.25"/>
    <row r="241037" customFormat="1" x14ac:dyDescent="0.25"/>
    <row r="241038" customFormat="1" x14ac:dyDescent="0.25"/>
    <row r="241039" customFormat="1" x14ac:dyDescent="0.25"/>
    <row r="241040" customFormat="1" x14ac:dyDescent="0.25"/>
    <row r="241041" customFormat="1" x14ac:dyDescent="0.25"/>
    <row r="241042" customFormat="1" x14ac:dyDescent="0.25"/>
    <row r="241043" customFormat="1" x14ac:dyDescent="0.25"/>
    <row r="241044" customFormat="1" x14ac:dyDescent="0.25"/>
    <row r="241045" customFormat="1" x14ac:dyDescent="0.25"/>
    <row r="241046" customFormat="1" x14ac:dyDescent="0.25"/>
    <row r="241047" customFormat="1" x14ac:dyDescent="0.25"/>
    <row r="241048" customFormat="1" x14ac:dyDescent="0.25"/>
    <row r="241049" customFormat="1" x14ac:dyDescent="0.25"/>
    <row r="241050" customFormat="1" x14ac:dyDescent="0.25"/>
    <row r="241051" customFormat="1" x14ac:dyDescent="0.25"/>
    <row r="241052" customFormat="1" x14ac:dyDescent="0.25"/>
    <row r="241053" customFormat="1" x14ac:dyDescent="0.25"/>
    <row r="241054" customFormat="1" x14ac:dyDescent="0.25"/>
    <row r="241055" customFormat="1" x14ac:dyDescent="0.25"/>
    <row r="241056" customFormat="1" x14ac:dyDescent="0.25"/>
    <row r="241057" customFormat="1" x14ac:dyDescent="0.25"/>
    <row r="241058" customFormat="1" x14ac:dyDescent="0.25"/>
    <row r="241059" customFormat="1" x14ac:dyDescent="0.25"/>
    <row r="241060" customFormat="1" x14ac:dyDescent="0.25"/>
    <row r="241061" customFormat="1" x14ac:dyDescent="0.25"/>
    <row r="241062" customFormat="1" x14ac:dyDescent="0.25"/>
    <row r="241063" customFormat="1" x14ac:dyDescent="0.25"/>
    <row r="241064" customFormat="1" x14ac:dyDescent="0.25"/>
    <row r="241065" customFormat="1" x14ac:dyDescent="0.25"/>
    <row r="241066" customFormat="1" x14ac:dyDescent="0.25"/>
    <row r="241067" customFormat="1" x14ac:dyDescent="0.25"/>
    <row r="241068" customFormat="1" x14ac:dyDescent="0.25"/>
    <row r="241069" customFormat="1" x14ac:dyDescent="0.25"/>
    <row r="241070" customFormat="1" x14ac:dyDescent="0.25"/>
    <row r="241071" customFormat="1" x14ac:dyDescent="0.25"/>
    <row r="241072" customFormat="1" x14ac:dyDescent="0.25"/>
    <row r="241073" customFormat="1" x14ac:dyDescent="0.25"/>
    <row r="241074" customFormat="1" x14ac:dyDescent="0.25"/>
    <row r="241075" customFormat="1" x14ac:dyDescent="0.25"/>
    <row r="241076" customFormat="1" x14ac:dyDescent="0.25"/>
    <row r="241077" customFormat="1" x14ac:dyDescent="0.25"/>
    <row r="241078" customFormat="1" x14ac:dyDescent="0.25"/>
    <row r="241079" customFormat="1" x14ac:dyDescent="0.25"/>
    <row r="241080" customFormat="1" x14ac:dyDescent="0.25"/>
    <row r="241081" customFormat="1" x14ac:dyDescent="0.25"/>
    <row r="241082" customFormat="1" x14ac:dyDescent="0.25"/>
    <row r="241083" customFormat="1" x14ac:dyDescent="0.25"/>
    <row r="241084" customFormat="1" x14ac:dyDescent="0.25"/>
    <row r="241085" customFormat="1" x14ac:dyDescent="0.25"/>
    <row r="241086" customFormat="1" x14ac:dyDescent="0.25"/>
    <row r="241087" customFormat="1" x14ac:dyDescent="0.25"/>
    <row r="241088" customFormat="1" x14ac:dyDescent="0.25"/>
    <row r="241089" customFormat="1" x14ac:dyDescent="0.25"/>
    <row r="241090" customFormat="1" x14ac:dyDescent="0.25"/>
    <row r="241091" customFormat="1" x14ac:dyDescent="0.25"/>
    <row r="241092" customFormat="1" x14ac:dyDescent="0.25"/>
    <row r="241093" customFormat="1" x14ac:dyDescent="0.25"/>
    <row r="241094" customFormat="1" x14ac:dyDescent="0.25"/>
    <row r="241095" customFormat="1" x14ac:dyDescent="0.25"/>
    <row r="241096" customFormat="1" x14ac:dyDescent="0.25"/>
    <row r="241097" customFormat="1" x14ac:dyDescent="0.25"/>
    <row r="241098" customFormat="1" x14ac:dyDescent="0.25"/>
    <row r="241099" customFormat="1" x14ac:dyDescent="0.25"/>
    <row r="241100" customFormat="1" x14ac:dyDescent="0.25"/>
    <row r="241101" customFormat="1" x14ac:dyDescent="0.25"/>
    <row r="241102" customFormat="1" x14ac:dyDescent="0.25"/>
    <row r="241103" customFormat="1" x14ac:dyDescent="0.25"/>
    <row r="241104" customFormat="1" x14ac:dyDescent="0.25"/>
    <row r="241105" customFormat="1" x14ac:dyDescent="0.25"/>
    <row r="241106" customFormat="1" x14ac:dyDescent="0.25"/>
    <row r="241107" customFormat="1" x14ac:dyDescent="0.25"/>
    <row r="241108" customFormat="1" x14ac:dyDescent="0.25"/>
    <row r="241109" customFormat="1" x14ac:dyDescent="0.25"/>
    <row r="241110" customFormat="1" x14ac:dyDescent="0.25"/>
    <row r="241111" customFormat="1" x14ac:dyDescent="0.25"/>
    <row r="241112" customFormat="1" x14ac:dyDescent="0.25"/>
    <row r="241113" customFormat="1" x14ac:dyDescent="0.25"/>
    <row r="241114" customFormat="1" x14ac:dyDescent="0.25"/>
    <row r="241115" customFormat="1" x14ac:dyDescent="0.25"/>
    <row r="241116" customFormat="1" x14ac:dyDescent="0.25"/>
    <row r="241117" customFormat="1" x14ac:dyDescent="0.25"/>
    <row r="241118" customFormat="1" x14ac:dyDescent="0.25"/>
    <row r="241119" customFormat="1" x14ac:dyDescent="0.25"/>
    <row r="241120" customFormat="1" x14ac:dyDescent="0.25"/>
    <row r="241121" customFormat="1" x14ac:dyDescent="0.25"/>
    <row r="241122" customFormat="1" x14ac:dyDescent="0.25"/>
    <row r="241123" customFormat="1" x14ac:dyDescent="0.25"/>
    <row r="241124" customFormat="1" x14ac:dyDescent="0.25"/>
    <row r="241125" customFormat="1" x14ac:dyDescent="0.25"/>
    <row r="241126" customFormat="1" x14ac:dyDescent="0.25"/>
    <row r="241127" customFormat="1" x14ac:dyDescent="0.25"/>
    <row r="241128" customFormat="1" x14ac:dyDescent="0.25"/>
    <row r="241129" customFormat="1" x14ac:dyDescent="0.25"/>
    <row r="241130" customFormat="1" x14ac:dyDescent="0.25"/>
    <row r="241131" customFormat="1" x14ac:dyDescent="0.25"/>
    <row r="241132" customFormat="1" x14ac:dyDescent="0.25"/>
    <row r="241133" customFormat="1" x14ac:dyDescent="0.25"/>
    <row r="241134" customFormat="1" x14ac:dyDescent="0.25"/>
    <row r="241135" customFormat="1" x14ac:dyDescent="0.25"/>
    <row r="241136" customFormat="1" x14ac:dyDescent="0.25"/>
    <row r="241137" customFormat="1" x14ac:dyDescent="0.25"/>
    <row r="241138" customFormat="1" x14ac:dyDescent="0.25"/>
    <row r="241139" customFormat="1" x14ac:dyDescent="0.25"/>
    <row r="241140" customFormat="1" x14ac:dyDescent="0.25"/>
    <row r="241141" customFormat="1" x14ac:dyDescent="0.25"/>
    <row r="241142" customFormat="1" x14ac:dyDescent="0.25"/>
    <row r="241143" customFormat="1" x14ac:dyDescent="0.25"/>
    <row r="241144" customFormat="1" x14ac:dyDescent="0.25"/>
    <row r="241145" customFormat="1" x14ac:dyDescent="0.25"/>
    <row r="241146" customFormat="1" x14ac:dyDescent="0.25"/>
    <row r="241147" customFormat="1" x14ac:dyDescent="0.25"/>
    <row r="241148" customFormat="1" x14ac:dyDescent="0.25"/>
    <row r="241149" customFormat="1" x14ac:dyDescent="0.25"/>
    <row r="241150" customFormat="1" x14ac:dyDescent="0.25"/>
    <row r="241151" customFormat="1" x14ac:dyDescent="0.25"/>
    <row r="241152" customFormat="1" x14ac:dyDescent="0.25"/>
    <row r="241153" customFormat="1" x14ac:dyDescent="0.25"/>
    <row r="241154" customFormat="1" x14ac:dyDescent="0.25"/>
    <row r="241155" customFormat="1" x14ac:dyDescent="0.25"/>
    <row r="241156" customFormat="1" x14ac:dyDescent="0.25"/>
    <row r="241157" customFormat="1" x14ac:dyDescent="0.25"/>
    <row r="241158" customFormat="1" x14ac:dyDescent="0.25"/>
    <row r="241159" customFormat="1" x14ac:dyDescent="0.25"/>
    <row r="241160" customFormat="1" x14ac:dyDescent="0.25"/>
    <row r="241161" customFormat="1" x14ac:dyDescent="0.25"/>
    <row r="241162" customFormat="1" x14ac:dyDescent="0.25"/>
    <row r="241163" customFormat="1" x14ac:dyDescent="0.25"/>
    <row r="241164" customFormat="1" x14ac:dyDescent="0.25"/>
    <row r="241165" customFormat="1" x14ac:dyDescent="0.25"/>
    <row r="241166" customFormat="1" x14ac:dyDescent="0.25"/>
    <row r="241167" customFormat="1" x14ac:dyDescent="0.25"/>
    <row r="241168" customFormat="1" x14ac:dyDescent="0.25"/>
    <row r="241169" customFormat="1" x14ac:dyDescent="0.25"/>
    <row r="241170" customFormat="1" x14ac:dyDescent="0.25"/>
    <row r="241171" customFormat="1" x14ac:dyDescent="0.25"/>
    <row r="241172" customFormat="1" x14ac:dyDescent="0.25"/>
    <row r="241173" customFormat="1" x14ac:dyDescent="0.25"/>
    <row r="241174" customFormat="1" x14ac:dyDescent="0.25"/>
    <row r="241175" customFormat="1" x14ac:dyDescent="0.25"/>
    <row r="241176" customFormat="1" x14ac:dyDescent="0.25"/>
    <row r="241177" customFormat="1" x14ac:dyDescent="0.25"/>
    <row r="241178" customFormat="1" x14ac:dyDescent="0.25"/>
    <row r="241179" customFormat="1" x14ac:dyDescent="0.25"/>
    <row r="241180" customFormat="1" x14ac:dyDescent="0.25"/>
    <row r="241181" customFormat="1" x14ac:dyDescent="0.25"/>
    <row r="241182" customFormat="1" x14ac:dyDescent="0.25"/>
    <row r="241183" customFormat="1" x14ac:dyDescent="0.25"/>
    <row r="241184" customFormat="1" x14ac:dyDescent="0.25"/>
    <row r="241185" customFormat="1" x14ac:dyDescent="0.25"/>
    <row r="241186" customFormat="1" x14ac:dyDescent="0.25"/>
    <row r="241187" customFormat="1" x14ac:dyDescent="0.25"/>
    <row r="241188" customFormat="1" x14ac:dyDescent="0.25"/>
    <row r="241189" customFormat="1" x14ac:dyDescent="0.25"/>
    <row r="241190" customFormat="1" x14ac:dyDescent="0.25"/>
    <row r="241191" customFormat="1" x14ac:dyDescent="0.25"/>
    <row r="241192" customFormat="1" x14ac:dyDescent="0.25"/>
    <row r="241193" customFormat="1" x14ac:dyDescent="0.25"/>
    <row r="241194" customFormat="1" x14ac:dyDescent="0.25"/>
    <row r="241195" customFormat="1" x14ac:dyDescent="0.25"/>
    <row r="241196" customFormat="1" x14ac:dyDescent="0.25"/>
    <row r="241197" customFormat="1" x14ac:dyDescent="0.25"/>
    <row r="241198" customFormat="1" x14ac:dyDescent="0.25"/>
    <row r="241199" customFormat="1" x14ac:dyDescent="0.25"/>
    <row r="241200" customFormat="1" x14ac:dyDescent="0.25"/>
    <row r="241201" customFormat="1" x14ac:dyDescent="0.25"/>
    <row r="241202" customFormat="1" x14ac:dyDescent="0.25"/>
    <row r="241203" customFormat="1" x14ac:dyDescent="0.25"/>
    <row r="241204" customFormat="1" x14ac:dyDescent="0.25"/>
    <row r="241205" customFormat="1" x14ac:dyDescent="0.25"/>
    <row r="241206" customFormat="1" x14ac:dyDescent="0.25"/>
    <row r="241207" customFormat="1" x14ac:dyDescent="0.25"/>
    <row r="241208" customFormat="1" x14ac:dyDescent="0.25"/>
    <row r="241209" customFormat="1" x14ac:dyDescent="0.25"/>
    <row r="241210" customFormat="1" x14ac:dyDescent="0.25"/>
    <row r="241211" customFormat="1" x14ac:dyDescent="0.25"/>
    <row r="241212" customFormat="1" x14ac:dyDescent="0.25"/>
    <row r="241213" customFormat="1" x14ac:dyDescent="0.25"/>
    <row r="241214" customFormat="1" x14ac:dyDescent="0.25"/>
    <row r="241215" customFormat="1" x14ac:dyDescent="0.25"/>
    <row r="241216" customFormat="1" x14ac:dyDescent="0.25"/>
    <row r="241217" customFormat="1" x14ac:dyDescent="0.25"/>
    <row r="241218" customFormat="1" x14ac:dyDescent="0.25"/>
    <row r="241219" customFormat="1" x14ac:dyDescent="0.25"/>
    <row r="241220" customFormat="1" x14ac:dyDescent="0.25"/>
    <row r="241221" customFormat="1" x14ac:dyDescent="0.25"/>
    <row r="241222" customFormat="1" x14ac:dyDescent="0.25"/>
    <row r="241223" customFormat="1" x14ac:dyDescent="0.25"/>
    <row r="241224" customFormat="1" x14ac:dyDescent="0.25"/>
    <row r="241225" customFormat="1" x14ac:dyDescent="0.25"/>
    <row r="241226" customFormat="1" x14ac:dyDescent="0.25"/>
    <row r="241227" customFormat="1" x14ac:dyDescent="0.25"/>
    <row r="241228" customFormat="1" x14ac:dyDescent="0.25"/>
    <row r="241229" customFormat="1" x14ac:dyDescent="0.25"/>
    <row r="241230" customFormat="1" x14ac:dyDescent="0.25"/>
    <row r="241231" customFormat="1" x14ac:dyDescent="0.25"/>
    <row r="241232" customFormat="1" x14ac:dyDescent="0.25"/>
    <row r="241233" customFormat="1" x14ac:dyDescent="0.25"/>
    <row r="241234" customFormat="1" x14ac:dyDescent="0.25"/>
    <row r="241235" customFormat="1" x14ac:dyDescent="0.25"/>
    <row r="241236" customFormat="1" x14ac:dyDescent="0.25"/>
    <row r="241237" customFormat="1" x14ac:dyDescent="0.25"/>
    <row r="241238" customFormat="1" x14ac:dyDescent="0.25"/>
    <row r="241239" customFormat="1" x14ac:dyDescent="0.25"/>
    <row r="241240" customFormat="1" x14ac:dyDescent="0.25"/>
    <row r="241241" customFormat="1" x14ac:dyDescent="0.25"/>
    <row r="241242" customFormat="1" x14ac:dyDescent="0.25"/>
    <row r="241243" customFormat="1" x14ac:dyDescent="0.25"/>
    <row r="241244" customFormat="1" x14ac:dyDescent="0.25"/>
    <row r="241245" customFormat="1" x14ac:dyDescent="0.25"/>
    <row r="241246" customFormat="1" x14ac:dyDescent="0.25"/>
    <row r="241247" customFormat="1" x14ac:dyDescent="0.25"/>
    <row r="241248" customFormat="1" x14ac:dyDescent="0.25"/>
    <row r="241249" customFormat="1" x14ac:dyDescent="0.25"/>
    <row r="241250" customFormat="1" x14ac:dyDescent="0.25"/>
    <row r="241251" customFormat="1" x14ac:dyDescent="0.25"/>
    <row r="241252" customFormat="1" x14ac:dyDescent="0.25"/>
    <row r="241253" customFormat="1" x14ac:dyDescent="0.25"/>
    <row r="241254" customFormat="1" x14ac:dyDescent="0.25"/>
    <row r="241255" customFormat="1" x14ac:dyDescent="0.25"/>
    <row r="241256" customFormat="1" x14ac:dyDescent="0.25"/>
    <row r="241257" customFormat="1" x14ac:dyDescent="0.25"/>
    <row r="241258" customFormat="1" x14ac:dyDescent="0.25"/>
    <row r="241259" customFormat="1" x14ac:dyDescent="0.25"/>
    <row r="241260" customFormat="1" x14ac:dyDescent="0.25"/>
    <row r="241261" customFormat="1" x14ac:dyDescent="0.25"/>
    <row r="241262" customFormat="1" x14ac:dyDescent="0.25"/>
    <row r="241263" customFormat="1" x14ac:dyDescent="0.25"/>
    <row r="241264" customFormat="1" x14ac:dyDescent="0.25"/>
    <row r="241265" customFormat="1" x14ac:dyDescent="0.25"/>
    <row r="241266" customFormat="1" x14ac:dyDescent="0.25"/>
    <row r="241267" customFormat="1" x14ac:dyDescent="0.25"/>
    <row r="241268" customFormat="1" x14ac:dyDescent="0.25"/>
    <row r="241269" customFormat="1" x14ac:dyDescent="0.25"/>
    <row r="241270" customFormat="1" x14ac:dyDescent="0.25"/>
    <row r="241271" customFormat="1" x14ac:dyDescent="0.25"/>
    <row r="241272" customFormat="1" x14ac:dyDescent="0.25"/>
    <row r="241273" customFormat="1" x14ac:dyDescent="0.25"/>
    <row r="241274" customFormat="1" x14ac:dyDescent="0.25"/>
    <row r="241275" customFormat="1" x14ac:dyDescent="0.25"/>
    <row r="241276" customFormat="1" x14ac:dyDescent="0.25"/>
    <row r="241277" customFormat="1" x14ac:dyDescent="0.25"/>
    <row r="241278" customFormat="1" x14ac:dyDescent="0.25"/>
    <row r="241279" customFormat="1" x14ac:dyDescent="0.25"/>
    <row r="241280" customFormat="1" x14ac:dyDescent="0.25"/>
    <row r="241281" customFormat="1" x14ac:dyDescent="0.25"/>
    <row r="241282" customFormat="1" x14ac:dyDescent="0.25"/>
    <row r="241283" customFormat="1" x14ac:dyDescent="0.25"/>
    <row r="241284" customFormat="1" x14ac:dyDescent="0.25"/>
    <row r="241285" customFormat="1" x14ac:dyDescent="0.25"/>
    <row r="241286" customFormat="1" x14ac:dyDescent="0.25"/>
    <row r="241287" customFormat="1" x14ac:dyDescent="0.25"/>
    <row r="241288" customFormat="1" x14ac:dyDescent="0.25"/>
    <row r="241289" customFormat="1" x14ac:dyDescent="0.25"/>
    <row r="241290" customFormat="1" x14ac:dyDescent="0.25"/>
    <row r="241291" customFormat="1" x14ac:dyDescent="0.25"/>
    <row r="241292" customFormat="1" x14ac:dyDescent="0.25"/>
    <row r="241293" customFormat="1" x14ac:dyDescent="0.25"/>
    <row r="241294" customFormat="1" x14ac:dyDescent="0.25"/>
    <row r="241295" customFormat="1" x14ac:dyDescent="0.25"/>
    <row r="241296" customFormat="1" x14ac:dyDescent="0.25"/>
    <row r="241297" customFormat="1" x14ac:dyDescent="0.25"/>
    <row r="241298" customFormat="1" x14ac:dyDescent="0.25"/>
    <row r="241299" customFormat="1" x14ac:dyDescent="0.25"/>
    <row r="241300" customFormat="1" x14ac:dyDescent="0.25"/>
    <row r="241301" customFormat="1" x14ac:dyDescent="0.25"/>
    <row r="241302" customFormat="1" x14ac:dyDescent="0.25"/>
    <row r="241303" customFormat="1" x14ac:dyDescent="0.25"/>
    <row r="241304" customFormat="1" x14ac:dyDescent="0.25"/>
    <row r="241305" customFormat="1" x14ac:dyDescent="0.25"/>
    <row r="241306" customFormat="1" x14ac:dyDescent="0.25"/>
    <row r="241307" customFormat="1" x14ac:dyDescent="0.25"/>
    <row r="241308" customFormat="1" x14ac:dyDescent="0.25"/>
    <row r="241309" customFormat="1" x14ac:dyDescent="0.25"/>
    <row r="241310" customFormat="1" x14ac:dyDescent="0.25"/>
    <row r="241311" customFormat="1" x14ac:dyDescent="0.25"/>
    <row r="241312" customFormat="1" x14ac:dyDescent="0.25"/>
    <row r="241313" customFormat="1" x14ac:dyDescent="0.25"/>
    <row r="241314" customFormat="1" x14ac:dyDescent="0.25"/>
    <row r="241315" customFormat="1" x14ac:dyDescent="0.25"/>
    <row r="241316" customFormat="1" x14ac:dyDescent="0.25"/>
    <row r="241317" customFormat="1" x14ac:dyDescent="0.25"/>
    <row r="241318" customFormat="1" x14ac:dyDescent="0.25"/>
    <row r="241319" customFormat="1" x14ac:dyDescent="0.25"/>
    <row r="241320" customFormat="1" x14ac:dyDescent="0.25"/>
    <row r="241321" customFormat="1" x14ac:dyDescent="0.25"/>
    <row r="241322" customFormat="1" x14ac:dyDescent="0.25"/>
    <row r="241323" customFormat="1" x14ac:dyDescent="0.25"/>
    <row r="241324" customFormat="1" x14ac:dyDescent="0.25"/>
    <row r="241325" customFormat="1" x14ac:dyDescent="0.25"/>
    <row r="241326" customFormat="1" x14ac:dyDescent="0.25"/>
    <row r="241327" customFormat="1" x14ac:dyDescent="0.25"/>
    <row r="241328" customFormat="1" x14ac:dyDescent="0.25"/>
    <row r="241329" customFormat="1" x14ac:dyDescent="0.25"/>
    <row r="241330" customFormat="1" x14ac:dyDescent="0.25"/>
    <row r="241331" customFormat="1" x14ac:dyDescent="0.25"/>
    <row r="241332" customFormat="1" x14ac:dyDescent="0.25"/>
    <row r="241333" customFormat="1" x14ac:dyDescent="0.25"/>
    <row r="241334" customFormat="1" x14ac:dyDescent="0.25"/>
    <row r="241335" customFormat="1" x14ac:dyDescent="0.25"/>
    <row r="241336" customFormat="1" x14ac:dyDescent="0.25"/>
    <row r="241337" customFormat="1" x14ac:dyDescent="0.25"/>
    <row r="241338" customFormat="1" x14ac:dyDescent="0.25"/>
    <row r="241339" customFormat="1" x14ac:dyDescent="0.25"/>
    <row r="241340" customFormat="1" x14ac:dyDescent="0.25"/>
    <row r="241341" customFormat="1" x14ac:dyDescent="0.25"/>
    <row r="241342" customFormat="1" x14ac:dyDescent="0.25"/>
    <row r="241343" customFormat="1" x14ac:dyDescent="0.25"/>
    <row r="241344" customFormat="1" x14ac:dyDescent="0.25"/>
    <row r="241345" customFormat="1" x14ac:dyDescent="0.25"/>
    <row r="241346" customFormat="1" x14ac:dyDescent="0.25"/>
    <row r="241347" customFormat="1" x14ac:dyDescent="0.25"/>
    <row r="241348" customFormat="1" x14ac:dyDescent="0.25"/>
    <row r="241349" customFormat="1" x14ac:dyDescent="0.25"/>
    <row r="241350" customFormat="1" x14ac:dyDescent="0.25"/>
    <row r="241351" customFormat="1" x14ac:dyDescent="0.25"/>
    <row r="241352" customFormat="1" x14ac:dyDescent="0.25"/>
    <row r="241353" customFormat="1" x14ac:dyDescent="0.25"/>
    <row r="241354" customFormat="1" x14ac:dyDescent="0.25"/>
    <row r="241355" customFormat="1" x14ac:dyDescent="0.25"/>
    <row r="241356" customFormat="1" x14ac:dyDescent="0.25"/>
    <row r="241357" customFormat="1" x14ac:dyDescent="0.25"/>
    <row r="241358" customFormat="1" x14ac:dyDescent="0.25"/>
    <row r="241359" customFormat="1" x14ac:dyDescent="0.25"/>
    <row r="241360" customFormat="1" x14ac:dyDescent="0.25"/>
    <row r="241361" customFormat="1" x14ac:dyDescent="0.25"/>
    <row r="241362" customFormat="1" x14ac:dyDescent="0.25"/>
    <row r="241363" customFormat="1" x14ac:dyDescent="0.25"/>
    <row r="241364" customFormat="1" x14ac:dyDescent="0.25"/>
    <row r="241365" customFormat="1" x14ac:dyDescent="0.25"/>
    <row r="241366" customFormat="1" x14ac:dyDescent="0.25"/>
    <row r="241367" customFormat="1" x14ac:dyDescent="0.25"/>
    <row r="241368" customFormat="1" x14ac:dyDescent="0.25"/>
    <row r="241369" customFormat="1" x14ac:dyDescent="0.25"/>
    <row r="241370" customFormat="1" x14ac:dyDescent="0.25"/>
    <row r="241371" customFormat="1" x14ac:dyDescent="0.25"/>
    <row r="241372" customFormat="1" x14ac:dyDescent="0.25"/>
    <row r="241373" customFormat="1" x14ac:dyDescent="0.25"/>
    <row r="241374" customFormat="1" x14ac:dyDescent="0.25"/>
    <row r="241375" customFormat="1" x14ac:dyDescent="0.25"/>
    <row r="241376" customFormat="1" x14ac:dyDescent="0.25"/>
    <row r="241377" customFormat="1" x14ac:dyDescent="0.25"/>
    <row r="241378" customFormat="1" x14ac:dyDescent="0.25"/>
    <row r="241379" customFormat="1" x14ac:dyDescent="0.25"/>
    <row r="241380" customFormat="1" x14ac:dyDescent="0.25"/>
    <row r="241381" customFormat="1" x14ac:dyDescent="0.25"/>
    <row r="241382" customFormat="1" x14ac:dyDescent="0.25"/>
    <row r="241383" customFormat="1" x14ac:dyDescent="0.25"/>
    <row r="241384" customFormat="1" x14ac:dyDescent="0.25"/>
    <row r="241385" customFormat="1" x14ac:dyDescent="0.25"/>
    <row r="241386" customFormat="1" x14ac:dyDescent="0.25"/>
    <row r="241387" customFormat="1" x14ac:dyDescent="0.25"/>
    <row r="241388" customFormat="1" x14ac:dyDescent="0.25"/>
    <row r="241389" customFormat="1" x14ac:dyDescent="0.25"/>
    <row r="241390" customFormat="1" x14ac:dyDescent="0.25"/>
    <row r="241391" customFormat="1" x14ac:dyDescent="0.25"/>
    <row r="241392" customFormat="1" x14ac:dyDescent="0.25"/>
    <row r="241393" customFormat="1" x14ac:dyDescent="0.25"/>
    <row r="241394" customFormat="1" x14ac:dyDescent="0.25"/>
    <row r="241395" customFormat="1" x14ac:dyDescent="0.25"/>
    <row r="241396" customFormat="1" x14ac:dyDescent="0.25"/>
    <row r="241397" customFormat="1" x14ac:dyDescent="0.25"/>
    <row r="241398" customFormat="1" x14ac:dyDescent="0.25"/>
    <row r="241399" customFormat="1" x14ac:dyDescent="0.25"/>
    <row r="241400" customFormat="1" x14ac:dyDescent="0.25"/>
    <row r="241401" customFormat="1" x14ac:dyDescent="0.25"/>
    <row r="241402" customFormat="1" x14ac:dyDescent="0.25"/>
    <row r="241403" customFormat="1" x14ac:dyDescent="0.25"/>
    <row r="241404" customFormat="1" x14ac:dyDescent="0.25"/>
    <row r="241405" customFormat="1" x14ac:dyDescent="0.25"/>
    <row r="241406" customFormat="1" x14ac:dyDescent="0.25"/>
    <row r="241407" customFormat="1" x14ac:dyDescent="0.25"/>
    <row r="241408" customFormat="1" x14ac:dyDescent="0.25"/>
    <row r="241409" customFormat="1" x14ac:dyDescent="0.25"/>
    <row r="241410" customFormat="1" x14ac:dyDescent="0.25"/>
    <row r="241411" customFormat="1" x14ac:dyDescent="0.25"/>
    <row r="241412" customFormat="1" x14ac:dyDescent="0.25"/>
    <row r="241413" customFormat="1" x14ac:dyDescent="0.25"/>
    <row r="241414" customFormat="1" x14ac:dyDescent="0.25"/>
    <row r="241415" customFormat="1" x14ac:dyDescent="0.25"/>
    <row r="241416" customFormat="1" x14ac:dyDescent="0.25"/>
    <row r="241417" customFormat="1" x14ac:dyDescent="0.25"/>
    <row r="241418" customFormat="1" x14ac:dyDescent="0.25"/>
    <row r="241419" customFormat="1" x14ac:dyDescent="0.25"/>
    <row r="241420" customFormat="1" x14ac:dyDescent="0.25"/>
    <row r="241421" customFormat="1" x14ac:dyDescent="0.25"/>
    <row r="241422" customFormat="1" x14ac:dyDescent="0.25"/>
    <row r="241423" customFormat="1" x14ac:dyDescent="0.25"/>
    <row r="241424" customFormat="1" x14ac:dyDescent="0.25"/>
    <row r="241425" customFormat="1" x14ac:dyDescent="0.25"/>
    <row r="241426" customFormat="1" x14ac:dyDescent="0.25"/>
    <row r="241427" customFormat="1" x14ac:dyDescent="0.25"/>
    <row r="241428" customFormat="1" x14ac:dyDescent="0.25"/>
    <row r="241429" customFormat="1" x14ac:dyDescent="0.25"/>
    <row r="241430" customFormat="1" x14ac:dyDescent="0.25"/>
    <row r="241431" customFormat="1" x14ac:dyDescent="0.25"/>
    <row r="241432" customFormat="1" x14ac:dyDescent="0.25"/>
    <row r="241433" customFormat="1" x14ac:dyDescent="0.25"/>
    <row r="241434" customFormat="1" x14ac:dyDescent="0.25"/>
    <row r="241435" customFormat="1" x14ac:dyDescent="0.25"/>
    <row r="241436" customFormat="1" x14ac:dyDescent="0.25"/>
    <row r="241437" customFormat="1" x14ac:dyDescent="0.25"/>
    <row r="241438" customFormat="1" x14ac:dyDescent="0.25"/>
    <row r="241439" customFormat="1" x14ac:dyDescent="0.25"/>
    <row r="241440" customFormat="1" x14ac:dyDescent="0.25"/>
    <row r="241441" customFormat="1" x14ac:dyDescent="0.25"/>
    <row r="241442" customFormat="1" x14ac:dyDescent="0.25"/>
    <row r="241443" customFormat="1" x14ac:dyDescent="0.25"/>
    <row r="241444" customFormat="1" x14ac:dyDescent="0.25"/>
    <row r="241445" customFormat="1" x14ac:dyDescent="0.25"/>
    <row r="241446" customFormat="1" x14ac:dyDescent="0.25"/>
    <row r="241447" customFormat="1" x14ac:dyDescent="0.25"/>
    <row r="241448" customFormat="1" x14ac:dyDescent="0.25"/>
    <row r="241449" customFormat="1" x14ac:dyDescent="0.25"/>
    <row r="241450" customFormat="1" x14ac:dyDescent="0.25"/>
    <row r="241451" customFormat="1" x14ac:dyDescent="0.25"/>
    <row r="241452" customFormat="1" x14ac:dyDescent="0.25"/>
    <row r="241453" customFormat="1" x14ac:dyDescent="0.25"/>
    <row r="241454" customFormat="1" x14ac:dyDescent="0.25"/>
    <row r="241455" customFormat="1" x14ac:dyDescent="0.25"/>
    <row r="241456" customFormat="1" x14ac:dyDescent="0.25"/>
    <row r="241457" customFormat="1" x14ac:dyDescent="0.25"/>
    <row r="241458" customFormat="1" x14ac:dyDescent="0.25"/>
    <row r="241459" customFormat="1" x14ac:dyDescent="0.25"/>
    <row r="241460" customFormat="1" x14ac:dyDescent="0.25"/>
    <row r="241461" customFormat="1" x14ac:dyDescent="0.25"/>
    <row r="241462" customFormat="1" x14ac:dyDescent="0.25"/>
    <row r="241463" customFormat="1" x14ac:dyDescent="0.25"/>
    <row r="241464" customFormat="1" x14ac:dyDescent="0.25"/>
    <row r="241465" customFormat="1" x14ac:dyDescent="0.25"/>
    <row r="241466" customFormat="1" x14ac:dyDescent="0.25"/>
    <row r="241467" customFormat="1" x14ac:dyDescent="0.25"/>
    <row r="241468" customFormat="1" x14ac:dyDescent="0.25"/>
    <row r="241469" customFormat="1" x14ac:dyDescent="0.25"/>
    <row r="241470" customFormat="1" x14ac:dyDescent="0.25"/>
    <row r="241471" customFormat="1" x14ac:dyDescent="0.25"/>
    <row r="241472" customFormat="1" x14ac:dyDescent="0.25"/>
    <row r="241473" customFormat="1" x14ac:dyDescent="0.25"/>
    <row r="241474" customFormat="1" x14ac:dyDescent="0.25"/>
    <row r="241475" customFormat="1" x14ac:dyDescent="0.25"/>
    <row r="241476" customFormat="1" x14ac:dyDescent="0.25"/>
    <row r="241477" customFormat="1" x14ac:dyDescent="0.25"/>
    <row r="241478" customFormat="1" x14ac:dyDescent="0.25"/>
    <row r="241479" customFormat="1" x14ac:dyDescent="0.25"/>
    <row r="241480" customFormat="1" x14ac:dyDescent="0.25"/>
    <row r="241481" customFormat="1" x14ac:dyDescent="0.25"/>
    <row r="241482" customFormat="1" x14ac:dyDescent="0.25"/>
    <row r="241483" customFormat="1" x14ac:dyDescent="0.25"/>
    <row r="241484" customFormat="1" x14ac:dyDescent="0.25"/>
    <row r="241485" customFormat="1" x14ac:dyDescent="0.25"/>
    <row r="241486" customFormat="1" x14ac:dyDescent="0.25"/>
    <row r="241487" customFormat="1" x14ac:dyDescent="0.25"/>
    <row r="241488" customFormat="1" x14ac:dyDescent="0.25"/>
    <row r="241489" customFormat="1" x14ac:dyDescent="0.25"/>
    <row r="241490" customFormat="1" x14ac:dyDescent="0.25"/>
    <row r="241491" customFormat="1" x14ac:dyDescent="0.25"/>
    <row r="241492" customFormat="1" x14ac:dyDescent="0.25"/>
    <row r="241493" customFormat="1" x14ac:dyDescent="0.25"/>
    <row r="241494" customFormat="1" x14ac:dyDescent="0.25"/>
    <row r="241495" customFormat="1" x14ac:dyDescent="0.25"/>
    <row r="241496" customFormat="1" x14ac:dyDescent="0.25"/>
    <row r="241497" customFormat="1" x14ac:dyDescent="0.25"/>
    <row r="241498" customFormat="1" x14ac:dyDescent="0.25"/>
    <row r="241499" customFormat="1" x14ac:dyDescent="0.25"/>
    <row r="241500" customFormat="1" x14ac:dyDescent="0.25"/>
    <row r="241501" customFormat="1" x14ac:dyDescent="0.25"/>
    <row r="241502" customFormat="1" x14ac:dyDescent="0.25"/>
    <row r="241503" customFormat="1" x14ac:dyDescent="0.25"/>
    <row r="241504" customFormat="1" x14ac:dyDescent="0.25"/>
    <row r="241505" customFormat="1" x14ac:dyDescent="0.25"/>
    <row r="241506" customFormat="1" x14ac:dyDescent="0.25"/>
    <row r="241507" customFormat="1" x14ac:dyDescent="0.25"/>
    <row r="241508" customFormat="1" x14ac:dyDescent="0.25"/>
    <row r="241509" customFormat="1" x14ac:dyDescent="0.25"/>
    <row r="241510" customFormat="1" x14ac:dyDescent="0.25"/>
    <row r="241511" customFormat="1" x14ac:dyDescent="0.25"/>
    <row r="241512" customFormat="1" x14ac:dyDescent="0.25"/>
    <row r="241513" customFormat="1" x14ac:dyDescent="0.25"/>
    <row r="241514" customFormat="1" x14ac:dyDescent="0.25"/>
    <row r="241515" customFormat="1" x14ac:dyDescent="0.25"/>
    <row r="241516" customFormat="1" x14ac:dyDescent="0.25"/>
    <row r="241517" customFormat="1" x14ac:dyDescent="0.25"/>
    <row r="241518" customFormat="1" x14ac:dyDescent="0.25"/>
    <row r="241519" customFormat="1" x14ac:dyDescent="0.25"/>
    <row r="241520" customFormat="1" x14ac:dyDescent="0.25"/>
    <row r="241521" customFormat="1" x14ac:dyDescent="0.25"/>
    <row r="241522" customFormat="1" x14ac:dyDescent="0.25"/>
    <row r="241523" customFormat="1" x14ac:dyDescent="0.25"/>
    <row r="241524" customFormat="1" x14ac:dyDescent="0.25"/>
    <row r="241525" customFormat="1" x14ac:dyDescent="0.25"/>
    <row r="241526" customFormat="1" x14ac:dyDescent="0.25"/>
    <row r="241527" customFormat="1" x14ac:dyDescent="0.25"/>
    <row r="241528" customFormat="1" x14ac:dyDescent="0.25"/>
    <row r="241529" customFormat="1" x14ac:dyDescent="0.25"/>
    <row r="241530" customFormat="1" x14ac:dyDescent="0.25"/>
    <row r="241531" customFormat="1" x14ac:dyDescent="0.25"/>
    <row r="241532" customFormat="1" x14ac:dyDescent="0.25"/>
    <row r="241533" customFormat="1" x14ac:dyDescent="0.25"/>
    <row r="241534" customFormat="1" x14ac:dyDescent="0.25"/>
    <row r="241535" customFormat="1" x14ac:dyDescent="0.25"/>
    <row r="241536" customFormat="1" x14ac:dyDescent="0.25"/>
    <row r="241537" customFormat="1" x14ac:dyDescent="0.25"/>
    <row r="241538" customFormat="1" x14ac:dyDescent="0.25"/>
    <row r="241539" customFormat="1" x14ac:dyDescent="0.25"/>
    <row r="241540" customFormat="1" x14ac:dyDescent="0.25"/>
    <row r="241541" customFormat="1" x14ac:dyDescent="0.25"/>
    <row r="241542" customFormat="1" x14ac:dyDescent="0.25"/>
    <row r="241543" customFormat="1" x14ac:dyDescent="0.25"/>
    <row r="241544" customFormat="1" x14ac:dyDescent="0.25"/>
    <row r="241545" customFormat="1" x14ac:dyDescent="0.25"/>
    <row r="241546" customFormat="1" x14ac:dyDescent="0.25"/>
    <row r="241547" customFormat="1" x14ac:dyDescent="0.25"/>
    <row r="241548" customFormat="1" x14ac:dyDescent="0.25"/>
    <row r="241549" customFormat="1" x14ac:dyDescent="0.25"/>
    <row r="241550" customFormat="1" x14ac:dyDescent="0.25"/>
    <row r="241551" customFormat="1" x14ac:dyDescent="0.25"/>
    <row r="241552" customFormat="1" x14ac:dyDescent="0.25"/>
    <row r="241553" customFormat="1" x14ac:dyDescent="0.25"/>
    <row r="241554" customFormat="1" x14ac:dyDescent="0.25"/>
    <row r="241555" customFormat="1" x14ac:dyDescent="0.25"/>
    <row r="241556" customFormat="1" x14ac:dyDescent="0.25"/>
    <row r="241557" customFormat="1" x14ac:dyDescent="0.25"/>
    <row r="241558" customFormat="1" x14ac:dyDescent="0.25"/>
    <row r="241559" customFormat="1" x14ac:dyDescent="0.25"/>
    <row r="241560" customFormat="1" x14ac:dyDescent="0.25"/>
    <row r="241561" customFormat="1" x14ac:dyDescent="0.25"/>
    <row r="241562" customFormat="1" x14ac:dyDescent="0.25"/>
    <row r="241563" customFormat="1" x14ac:dyDescent="0.25"/>
    <row r="241564" customFormat="1" x14ac:dyDescent="0.25"/>
    <row r="241565" customFormat="1" x14ac:dyDescent="0.25"/>
    <row r="241566" customFormat="1" x14ac:dyDescent="0.25"/>
    <row r="241567" customFormat="1" x14ac:dyDescent="0.25"/>
    <row r="241568" customFormat="1" x14ac:dyDescent="0.25"/>
    <row r="241569" customFormat="1" x14ac:dyDescent="0.25"/>
    <row r="241570" customFormat="1" x14ac:dyDescent="0.25"/>
    <row r="241571" customFormat="1" x14ac:dyDescent="0.25"/>
    <row r="241572" customFormat="1" x14ac:dyDescent="0.25"/>
    <row r="241573" customFormat="1" x14ac:dyDescent="0.25"/>
    <row r="241574" customFormat="1" x14ac:dyDescent="0.25"/>
    <row r="241575" customFormat="1" x14ac:dyDescent="0.25"/>
    <row r="241576" customFormat="1" x14ac:dyDescent="0.25"/>
    <row r="241577" customFormat="1" x14ac:dyDescent="0.25"/>
    <row r="241578" customFormat="1" x14ac:dyDescent="0.25"/>
    <row r="241579" customFormat="1" x14ac:dyDescent="0.25"/>
    <row r="241580" customFormat="1" x14ac:dyDescent="0.25"/>
    <row r="241581" customFormat="1" x14ac:dyDescent="0.25"/>
    <row r="241582" customFormat="1" x14ac:dyDescent="0.25"/>
    <row r="241583" customFormat="1" x14ac:dyDescent="0.25"/>
    <row r="241584" customFormat="1" x14ac:dyDescent="0.25"/>
    <row r="241585" customFormat="1" x14ac:dyDescent="0.25"/>
    <row r="241586" customFormat="1" x14ac:dyDescent="0.25"/>
    <row r="241587" customFormat="1" x14ac:dyDescent="0.25"/>
    <row r="241588" customFormat="1" x14ac:dyDescent="0.25"/>
    <row r="241589" customFormat="1" x14ac:dyDescent="0.25"/>
    <row r="241590" customFormat="1" x14ac:dyDescent="0.25"/>
    <row r="241591" customFormat="1" x14ac:dyDescent="0.25"/>
    <row r="241592" customFormat="1" x14ac:dyDescent="0.25"/>
    <row r="241593" customFormat="1" x14ac:dyDescent="0.25"/>
    <row r="241594" customFormat="1" x14ac:dyDescent="0.25"/>
    <row r="241595" customFormat="1" x14ac:dyDescent="0.25"/>
    <row r="241596" customFormat="1" x14ac:dyDescent="0.25"/>
    <row r="241597" customFormat="1" x14ac:dyDescent="0.25"/>
    <row r="241598" customFormat="1" x14ac:dyDescent="0.25"/>
    <row r="241599" customFormat="1" x14ac:dyDescent="0.25"/>
    <row r="241600" customFormat="1" x14ac:dyDescent="0.25"/>
    <row r="241601" customFormat="1" x14ac:dyDescent="0.25"/>
    <row r="241602" customFormat="1" x14ac:dyDescent="0.25"/>
    <row r="241603" customFormat="1" x14ac:dyDescent="0.25"/>
    <row r="241604" customFormat="1" x14ac:dyDescent="0.25"/>
    <row r="241605" customFormat="1" x14ac:dyDescent="0.25"/>
    <row r="241606" customFormat="1" x14ac:dyDescent="0.25"/>
    <row r="241607" customFormat="1" x14ac:dyDescent="0.25"/>
    <row r="241608" customFormat="1" x14ac:dyDescent="0.25"/>
    <row r="241609" customFormat="1" x14ac:dyDescent="0.25"/>
    <row r="241610" customFormat="1" x14ac:dyDescent="0.25"/>
    <row r="241611" customFormat="1" x14ac:dyDescent="0.25"/>
    <row r="241612" customFormat="1" x14ac:dyDescent="0.25"/>
    <row r="241613" customFormat="1" x14ac:dyDescent="0.25"/>
    <row r="241614" customFormat="1" x14ac:dyDescent="0.25"/>
    <row r="241615" customFormat="1" x14ac:dyDescent="0.25"/>
    <row r="241616" customFormat="1" x14ac:dyDescent="0.25"/>
    <row r="241617" customFormat="1" x14ac:dyDescent="0.25"/>
    <row r="241618" customFormat="1" x14ac:dyDescent="0.25"/>
    <row r="241619" customFormat="1" x14ac:dyDescent="0.25"/>
    <row r="241620" customFormat="1" x14ac:dyDescent="0.25"/>
    <row r="241621" customFormat="1" x14ac:dyDescent="0.25"/>
    <row r="241622" customFormat="1" x14ac:dyDescent="0.25"/>
    <row r="241623" customFormat="1" x14ac:dyDescent="0.25"/>
    <row r="241624" customFormat="1" x14ac:dyDescent="0.25"/>
    <row r="241625" customFormat="1" x14ac:dyDescent="0.25"/>
    <row r="241626" customFormat="1" x14ac:dyDescent="0.25"/>
    <row r="241627" customFormat="1" x14ac:dyDescent="0.25"/>
    <row r="241628" customFormat="1" x14ac:dyDescent="0.25"/>
    <row r="241629" customFormat="1" x14ac:dyDescent="0.25"/>
    <row r="241630" customFormat="1" x14ac:dyDescent="0.25"/>
    <row r="241631" customFormat="1" x14ac:dyDescent="0.25"/>
    <row r="241632" customFormat="1" x14ac:dyDescent="0.25"/>
    <row r="241633" customFormat="1" x14ac:dyDescent="0.25"/>
    <row r="241634" customFormat="1" x14ac:dyDescent="0.25"/>
    <row r="241635" customFormat="1" x14ac:dyDescent="0.25"/>
    <row r="241636" customFormat="1" x14ac:dyDescent="0.25"/>
    <row r="241637" customFormat="1" x14ac:dyDescent="0.25"/>
    <row r="241638" customFormat="1" x14ac:dyDescent="0.25"/>
    <row r="241639" customFormat="1" x14ac:dyDescent="0.25"/>
    <row r="241640" customFormat="1" x14ac:dyDescent="0.25"/>
    <row r="241641" customFormat="1" x14ac:dyDescent="0.25"/>
    <row r="241642" customFormat="1" x14ac:dyDescent="0.25"/>
    <row r="241643" customFormat="1" x14ac:dyDescent="0.25"/>
    <row r="241644" customFormat="1" x14ac:dyDescent="0.25"/>
    <row r="241645" customFormat="1" x14ac:dyDescent="0.25"/>
    <row r="241646" customFormat="1" x14ac:dyDescent="0.25"/>
    <row r="241647" customFormat="1" x14ac:dyDescent="0.25"/>
    <row r="241648" customFormat="1" x14ac:dyDescent="0.25"/>
    <row r="241649" customFormat="1" x14ac:dyDescent="0.25"/>
    <row r="241650" customFormat="1" x14ac:dyDescent="0.25"/>
    <row r="241651" customFormat="1" x14ac:dyDescent="0.25"/>
    <row r="241652" customFormat="1" x14ac:dyDescent="0.25"/>
    <row r="241653" customFormat="1" x14ac:dyDescent="0.25"/>
    <row r="241654" customFormat="1" x14ac:dyDescent="0.25"/>
    <row r="241655" customFormat="1" x14ac:dyDescent="0.25"/>
    <row r="241656" customFormat="1" x14ac:dyDescent="0.25"/>
    <row r="241657" customFormat="1" x14ac:dyDescent="0.25"/>
    <row r="241658" customFormat="1" x14ac:dyDescent="0.25"/>
    <row r="241659" customFormat="1" x14ac:dyDescent="0.25"/>
    <row r="241660" customFormat="1" x14ac:dyDescent="0.25"/>
    <row r="241661" customFormat="1" x14ac:dyDescent="0.25"/>
    <row r="241662" customFormat="1" x14ac:dyDescent="0.25"/>
    <row r="241663" customFormat="1" x14ac:dyDescent="0.25"/>
    <row r="241664" customFormat="1" x14ac:dyDescent="0.25"/>
    <row r="241665" customFormat="1" x14ac:dyDescent="0.25"/>
    <row r="241666" customFormat="1" x14ac:dyDescent="0.25"/>
    <row r="241667" customFormat="1" x14ac:dyDescent="0.25"/>
    <row r="241668" customFormat="1" x14ac:dyDescent="0.25"/>
    <row r="241669" customFormat="1" x14ac:dyDescent="0.25"/>
    <row r="241670" customFormat="1" x14ac:dyDescent="0.25"/>
    <row r="241671" customFormat="1" x14ac:dyDescent="0.25"/>
    <row r="241672" customFormat="1" x14ac:dyDescent="0.25"/>
    <row r="241673" customFormat="1" x14ac:dyDescent="0.25"/>
    <row r="241674" customFormat="1" x14ac:dyDescent="0.25"/>
    <row r="241675" customFormat="1" x14ac:dyDescent="0.25"/>
    <row r="241676" customFormat="1" x14ac:dyDescent="0.25"/>
    <row r="241677" customFormat="1" x14ac:dyDescent="0.25"/>
    <row r="241678" customFormat="1" x14ac:dyDescent="0.25"/>
    <row r="241679" customFormat="1" x14ac:dyDescent="0.25"/>
    <row r="241680" customFormat="1" x14ac:dyDescent="0.25"/>
    <row r="241681" customFormat="1" x14ac:dyDescent="0.25"/>
    <row r="241682" customFormat="1" x14ac:dyDescent="0.25"/>
    <row r="241683" customFormat="1" x14ac:dyDescent="0.25"/>
    <row r="241684" customFormat="1" x14ac:dyDescent="0.25"/>
    <row r="241685" customFormat="1" x14ac:dyDescent="0.25"/>
    <row r="241686" customFormat="1" x14ac:dyDescent="0.25"/>
    <row r="241687" customFormat="1" x14ac:dyDescent="0.25"/>
    <row r="241688" customFormat="1" x14ac:dyDescent="0.25"/>
    <row r="241689" customFormat="1" x14ac:dyDescent="0.25"/>
    <row r="241690" customFormat="1" x14ac:dyDescent="0.25"/>
    <row r="241691" customFormat="1" x14ac:dyDescent="0.25"/>
    <row r="241692" customFormat="1" x14ac:dyDescent="0.25"/>
    <row r="241693" customFormat="1" x14ac:dyDescent="0.25"/>
    <row r="241694" customFormat="1" x14ac:dyDescent="0.25"/>
    <row r="241695" customFormat="1" x14ac:dyDescent="0.25"/>
    <row r="241696" customFormat="1" x14ac:dyDescent="0.25"/>
    <row r="241697" customFormat="1" x14ac:dyDescent="0.25"/>
    <row r="241698" customFormat="1" x14ac:dyDescent="0.25"/>
    <row r="241699" customFormat="1" x14ac:dyDescent="0.25"/>
    <row r="241700" customFormat="1" x14ac:dyDescent="0.25"/>
    <row r="241701" customFormat="1" x14ac:dyDescent="0.25"/>
    <row r="241702" customFormat="1" x14ac:dyDescent="0.25"/>
    <row r="241703" customFormat="1" x14ac:dyDescent="0.25"/>
    <row r="241704" customFormat="1" x14ac:dyDescent="0.25"/>
    <row r="241705" customFormat="1" x14ac:dyDescent="0.25"/>
    <row r="241706" customFormat="1" x14ac:dyDescent="0.25"/>
    <row r="241707" customFormat="1" x14ac:dyDescent="0.25"/>
    <row r="241708" customFormat="1" x14ac:dyDescent="0.25"/>
    <row r="241709" customFormat="1" x14ac:dyDescent="0.25"/>
    <row r="241710" customFormat="1" x14ac:dyDescent="0.25"/>
    <row r="241711" customFormat="1" x14ac:dyDescent="0.25"/>
    <row r="241712" customFormat="1" x14ac:dyDescent="0.25"/>
    <row r="241713" customFormat="1" x14ac:dyDescent="0.25"/>
    <row r="241714" customFormat="1" x14ac:dyDescent="0.25"/>
    <row r="241715" customFormat="1" x14ac:dyDescent="0.25"/>
    <row r="241716" customFormat="1" x14ac:dyDescent="0.25"/>
    <row r="241717" customFormat="1" x14ac:dyDescent="0.25"/>
    <row r="241718" customFormat="1" x14ac:dyDescent="0.25"/>
    <row r="241719" customFormat="1" x14ac:dyDescent="0.25"/>
    <row r="241720" customFormat="1" x14ac:dyDescent="0.25"/>
    <row r="241721" customFormat="1" x14ac:dyDescent="0.25"/>
    <row r="241722" customFormat="1" x14ac:dyDescent="0.25"/>
    <row r="241723" customFormat="1" x14ac:dyDescent="0.25"/>
    <row r="241724" customFormat="1" x14ac:dyDescent="0.25"/>
    <row r="241725" customFormat="1" x14ac:dyDescent="0.25"/>
    <row r="241726" customFormat="1" x14ac:dyDescent="0.25"/>
    <row r="241727" customFormat="1" x14ac:dyDescent="0.25"/>
    <row r="241728" customFormat="1" x14ac:dyDescent="0.25"/>
    <row r="241729" customFormat="1" x14ac:dyDescent="0.25"/>
    <row r="241730" customFormat="1" x14ac:dyDescent="0.25"/>
    <row r="241731" customFormat="1" x14ac:dyDescent="0.25"/>
    <row r="241732" customFormat="1" x14ac:dyDescent="0.25"/>
    <row r="241733" customFormat="1" x14ac:dyDescent="0.25"/>
    <row r="241734" customFormat="1" x14ac:dyDescent="0.25"/>
    <row r="241735" customFormat="1" x14ac:dyDescent="0.25"/>
    <row r="241736" customFormat="1" x14ac:dyDescent="0.25"/>
    <row r="241737" customFormat="1" x14ac:dyDescent="0.25"/>
    <row r="241738" customFormat="1" x14ac:dyDescent="0.25"/>
    <row r="241739" customFormat="1" x14ac:dyDescent="0.25"/>
    <row r="241740" customFormat="1" x14ac:dyDescent="0.25"/>
    <row r="241741" customFormat="1" x14ac:dyDescent="0.25"/>
    <row r="241742" customFormat="1" x14ac:dyDescent="0.25"/>
    <row r="241743" customFormat="1" x14ac:dyDescent="0.25"/>
    <row r="241744" customFormat="1" x14ac:dyDescent="0.25"/>
    <row r="241745" customFormat="1" x14ac:dyDescent="0.25"/>
    <row r="241746" customFormat="1" x14ac:dyDescent="0.25"/>
    <row r="241747" customFormat="1" x14ac:dyDescent="0.25"/>
    <row r="241748" customFormat="1" x14ac:dyDescent="0.25"/>
    <row r="241749" customFormat="1" x14ac:dyDescent="0.25"/>
    <row r="241750" customFormat="1" x14ac:dyDescent="0.25"/>
    <row r="241751" customFormat="1" x14ac:dyDescent="0.25"/>
    <row r="241752" customFormat="1" x14ac:dyDescent="0.25"/>
    <row r="241753" customFormat="1" x14ac:dyDescent="0.25"/>
    <row r="241754" customFormat="1" x14ac:dyDescent="0.25"/>
    <row r="241755" customFormat="1" x14ac:dyDescent="0.25"/>
    <row r="241756" customFormat="1" x14ac:dyDescent="0.25"/>
    <row r="241757" customFormat="1" x14ac:dyDescent="0.25"/>
    <row r="241758" customFormat="1" x14ac:dyDescent="0.25"/>
    <row r="241759" customFormat="1" x14ac:dyDescent="0.25"/>
    <row r="241760" customFormat="1" x14ac:dyDescent="0.25"/>
    <row r="241761" customFormat="1" x14ac:dyDescent="0.25"/>
    <row r="241762" customFormat="1" x14ac:dyDescent="0.25"/>
    <row r="241763" customFormat="1" x14ac:dyDescent="0.25"/>
    <row r="241764" customFormat="1" x14ac:dyDescent="0.25"/>
    <row r="241765" customFormat="1" x14ac:dyDescent="0.25"/>
    <row r="241766" customFormat="1" x14ac:dyDescent="0.25"/>
    <row r="241767" customFormat="1" x14ac:dyDescent="0.25"/>
    <row r="241768" customFormat="1" x14ac:dyDescent="0.25"/>
    <row r="241769" customFormat="1" x14ac:dyDescent="0.25"/>
    <row r="241770" customFormat="1" x14ac:dyDescent="0.25"/>
    <row r="241771" customFormat="1" x14ac:dyDescent="0.25"/>
    <row r="241772" customFormat="1" x14ac:dyDescent="0.25"/>
    <row r="241773" customFormat="1" x14ac:dyDescent="0.25"/>
    <row r="241774" customFormat="1" x14ac:dyDescent="0.25"/>
    <row r="241775" customFormat="1" x14ac:dyDescent="0.25"/>
    <row r="241776" customFormat="1" x14ac:dyDescent="0.25"/>
    <row r="241777" customFormat="1" x14ac:dyDescent="0.25"/>
    <row r="241778" customFormat="1" x14ac:dyDescent="0.25"/>
    <row r="241779" customFormat="1" x14ac:dyDescent="0.25"/>
    <row r="241780" customFormat="1" x14ac:dyDescent="0.25"/>
    <row r="241781" customFormat="1" x14ac:dyDescent="0.25"/>
    <row r="241782" customFormat="1" x14ac:dyDescent="0.25"/>
    <row r="241783" customFormat="1" x14ac:dyDescent="0.25"/>
    <row r="241784" customFormat="1" x14ac:dyDescent="0.25"/>
    <row r="241785" customFormat="1" x14ac:dyDescent="0.25"/>
    <row r="241786" customFormat="1" x14ac:dyDescent="0.25"/>
    <row r="241787" customFormat="1" x14ac:dyDescent="0.25"/>
    <row r="241788" customFormat="1" x14ac:dyDescent="0.25"/>
    <row r="241789" customFormat="1" x14ac:dyDescent="0.25"/>
    <row r="241790" customFormat="1" x14ac:dyDescent="0.25"/>
    <row r="241791" customFormat="1" x14ac:dyDescent="0.25"/>
    <row r="241792" customFormat="1" x14ac:dyDescent="0.25"/>
    <row r="241793" customFormat="1" x14ac:dyDescent="0.25"/>
    <row r="241794" customFormat="1" x14ac:dyDescent="0.25"/>
    <row r="241795" customFormat="1" x14ac:dyDescent="0.25"/>
    <row r="241796" customFormat="1" x14ac:dyDescent="0.25"/>
    <row r="241797" customFormat="1" x14ac:dyDescent="0.25"/>
    <row r="241798" customFormat="1" x14ac:dyDescent="0.25"/>
    <row r="241799" customFormat="1" x14ac:dyDescent="0.25"/>
    <row r="241800" customFormat="1" x14ac:dyDescent="0.25"/>
    <row r="241801" customFormat="1" x14ac:dyDescent="0.25"/>
    <row r="241802" customFormat="1" x14ac:dyDescent="0.25"/>
    <row r="241803" customFormat="1" x14ac:dyDescent="0.25"/>
    <row r="241804" customFormat="1" x14ac:dyDescent="0.25"/>
    <row r="241805" customFormat="1" x14ac:dyDescent="0.25"/>
    <row r="241806" customFormat="1" x14ac:dyDescent="0.25"/>
    <row r="241807" customFormat="1" x14ac:dyDescent="0.25"/>
    <row r="241808" customFormat="1" x14ac:dyDescent="0.25"/>
    <row r="241809" customFormat="1" x14ac:dyDescent="0.25"/>
    <row r="241810" customFormat="1" x14ac:dyDescent="0.25"/>
    <row r="241811" customFormat="1" x14ac:dyDescent="0.25"/>
    <row r="241812" customFormat="1" x14ac:dyDescent="0.25"/>
    <row r="241813" customFormat="1" x14ac:dyDescent="0.25"/>
    <row r="241814" customFormat="1" x14ac:dyDescent="0.25"/>
    <row r="241815" customFormat="1" x14ac:dyDescent="0.25"/>
    <row r="241816" customFormat="1" x14ac:dyDescent="0.25"/>
    <row r="241817" customFormat="1" x14ac:dyDescent="0.25"/>
    <row r="241818" customFormat="1" x14ac:dyDescent="0.25"/>
    <row r="241819" customFormat="1" x14ac:dyDescent="0.25"/>
    <row r="241820" customFormat="1" x14ac:dyDescent="0.25"/>
    <row r="241821" customFormat="1" x14ac:dyDescent="0.25"/>
    <row r="241822" customFormat="1" x14ac:dyDescent="0.25"/>
    <row r="241823" customFormat="1" x14ac:dyDescent="0.25"/>
    <row r="241824" customFormat="1" x14ac:dyDescent="0.25"/>
    <row r="241825" customFormat="1" x14ac:dyDescent="0.25"/>
    <row r="241826" customFormat="1" x14ac:dyDescent="0.25"/>
    <row r="241827" customFormat="1" x14ac:dyDescent="0.25"/>
    <row r="241828" customFormat="1" x14ac:dyDescent="0.25"/>
    <row r="241829" customFormat="1" x14ac:dyDescent="0.25"/>
    <row r="241830" customFormat="1" x14ac:dyDescent="0.25"/>
    <row r="241831" customFormat="1" x14ac:dyDescent="0.25"/>
    <row r="241832" customFormat="1" x14ac:dyDescent="0.25"/>
    <row r="241833" customFormat="1" x14ac:dyDescent="0.25"/>
    <row r="241834" customFormat="1" x14ac:dyDescent="0.25"/>
    <row r="241835" customFormat="1" x14ac:dyDescent="0.25"/>
    <row r="241836" customFormat="1" x14ac:dyDescent="0.25"/>
    <row r="241837" customFormat="1" x14ac:dyDescent="0.25"/>
    <row r="241838" customFormat="1" x14ac:dyDescent="0.25"/>
    <row r="241839" customFormat="1" x14ac:dyDescent="0.25"/>
    <row r="241840" customFormat="1" x14ac:dyDescent="0.25"/>
    <row r="241841" customFormat="1" x14ac:dyDescent="0.25"/>
    <row r="241842" customFormat="1" x14ac:dyDescent="0.25"/>
    <row r="241843" customFormat="1" x14ac:dyDescent="0.25"/>
    <row r="241844" customFormat="1" x14ac:dyDescent="0.25"/>
    <row r="241845" customFormat="1" x14ac:dyDescent="0.25"/>
    <row r="241846" customFormat="1" x14ac:dyDescent="0.25"/>
    <row r="241847" customFormat="1" x14ac:dyDescent="0.25"/>
    <row r="241848" customFormat="1" x14ac:dyDescent="0.25"/>
    <row r="241849" customFormat="1" x14ac:dyDescent="0.25"/>
    <row r="241850" customFormat="1" x14ac:dyDescent="0.25"/>
    <row r="241851" customFormat="1" x14ac:dyDescent="0.25"/>
    <row r="241852" customFormat="1" x14ac:dyDescent="0.25"/>
    <row r="241853" customFormat="1" x14ac:dyDescent="0.25"/>
    <row r="241854" customFormat="1" x14ac:dyDescent="0.25"/>
    <row r="241855" customFormat="1" x14ac:dyDescent="0.25"/>
    <row r="241856" customFormat="1" x14ac:dyDescent="0.25"/>
    <row r="241857" customFormat="1" x14ac:dyDescent="0.25"/>
    <row r="241858" customFormat="1" x14ac:dyDescent="0.25"/>
    <row r="241859" customFormat="1" x14ac:dyDescent="0.25"/>
    <row r="241860" customFormat="1" x14ac:dyDescent="0.25"/>
    <row r="241861" customFormat="1" x14ac:dyDescent="0.25"/>
    <row r="241862" customFormat="1" x14ac:dyDescent="0.25"/>
    <row r="241863" customFormat="1" x14ac:dyDescent="0.25"/>
    <row r="241864" customFormat="1" x14ac:dyDescent="0.25"/>
    <row r="241865" customFormat="1" x14ac:dyDescent="0.25"/>
    <row r="241866" customFormat="1" x14ac:dyDescent="0.25"/>
    <row r="241867" customFormat="1" x14ac:dyDescent="0.25"/>
    <row r="241868" customFormat="1" x14ac:dyDescent="0.25"/>
    <row r="241869" customFormat="1" x14ac:dyDescent="0.25"/>
    <row r="241870" customFormat="1" x14ac:dyDescent="0.25"/>
    <row r="241871" customFormat="1" x14ac:dyDescent="0.25"/>
    <row r="241872" customFormat="1" x14ac:dyDescent="0.25"/>
    <row r="241873" customFormat="1" x14ac:dyDescent="0.25"/>
    <row r="241874" customFormat="1" x14ac:dyDescent="0.25"/>
    <row r="241875" customFormat="1" x14ac:dyDescent="0.25"/>
    <row r="241876" customFormat="1" x14ac:dyDescent="0.25"/>
    <row r="241877" customFormat="1" x14ac:dyDescent="0.25"/>
    <row r="241878" customFormat="1" x14ac:dyDescent="0.25"/>
    <row r="241879" customFormat="1" x14ac:dyDescent="0.25"/>
    <row r="241880" customFormat="1" x14ac:dyDescent="0.25"/>
    <row r="241881" customFormat="1" x14ac:dyDescent="0.25"/>
    <row r="241882" customFormat="1" x14ac:dyDescent="0.25"/>
    <row r="241883" customFormat="1" x14ac:dyDescent="0.25"/>
    <row r="241884" customFormat="1" x14ac:dyDescent="0.25"/>
    <row r="241885" customFormat="1" x14ac:dyDescent="0.25"/>
    <row r="241886" customFormat="1" x14ac:dyDescent="0.25"/>
    <row r="241887" customFormat="1" x14ac:dyDescent="0.25"/>
    <row r="241888" customFormat="1" x14ac:dyDescent="0.25"/>
    <row r="241889" customFormat="1" x14ac:dyDescent="0.25"/>
    <row r="241890" customFormat="1" x14ac:dyDescent="0.25"/>
    <row r="241891" customFormat="1" x14ac:dyDescent="0.25"/>
    <row r="241892" customFormat="1" x14ac:dyDescent="0.25"/>
    <row r="241893" customFormat="1" x14ac:dyDescent="0.25"/>
    <row r="241894" customFormat="1" x14ac:dyDescent="0.25"/>
    <row r="241895" customFormat="1" x14ac:dyDescent="0.25"/>
    <row r="241896" customFormat="1" x14ac:dyDescent="0.25"/>
    <row r="241897" customFormat="1" x14ac:dyDescent="0.25"/>
    <row r="241898" customFormat="1" x14ac:dyDescent="0.25"/>
    <row r="241899" customFormat="1" x14ac:dyDescent="0.25"/>
    <row r="241900" customFormat="1" x14ac:dyDescent="0.25"/>
    <row r="241901" customFormat="1" x14ac:dyDescent="0.25"/>
    <row r="241902" customFormat="1" x14ac:dyDescent="0.25"/>
    <row r="241903" customFormat="1" x14ac:dyDescent="0.25"/>
    <row r="241904" customFormat="1" x14ac:dyDescent="0.25"/>
    <row r="241905" customFormat="1" x14ac:dyDescent="0.25"/>
    <row r="241906" customFormat="1" x14ac:dyDescent="0.25"/>
    <row r="241907" customFormat="1" x14ac:dyDescent="0.25"/>
    <row r="241908" customFormat="1" x14ac:dyDescent="0.25"/>
    <row r="241909" customFormat="1" x14ac:dyDescent="0.25"/>
    <row r="241910" customFormat="1" x14ac:dyDescent="0.25"/>
    <row r="241911" customFormat="1" x14ac:dyDescent="0.25"/>
    <row r="241912" customFormat="1" x14ac:dyDescent="0.25"/>
    <row r="241913" customFormat="1" x14ac:dyDescent="0.25"/>
    <row r="241914" customFormat="1" x14ac:dyDescent="0.25"/>
    <row r="241915" customFormat="1" x14ac:dyDescent="0.25"/>
    <row r="241916" customFormat="1" x14ac:dyDescent="0.25"/>
    <row r="241917" customFormat="1" x14ac:dyDescent="0.25"/>
    <row r="241918" customFormat="1" x14ac:dyDescent="0.25"/>
    <row r="241919" customFormat="1" x14ac:dyDescent="0.25"/>
    <row r="241920" customFormat="1" x14ac:dyDescent="0.25"/>
    <row r="241921" customFormat="1" x14ac:dyDescent="0.25"/>
    <row r="241922" customFormat="1" x14ac:dyDescent="0.25"/>
    <row r="241923" customFormat="1" x14ac:dyDescent="0.25"/>
    <row r="241924" customFormat="1" x14ac:dyDescent="0.25"/>
    <row r="241925" customFormat="1" x14ac:dyDescent="0.25"/>
    <row r="241926" customFormat="1" x14ac:dyDescent="0.25"/>
    <row r="241927" customFormat="1" x14ac:dyDescent="0.25"/>
    <row r="241928" customFormat="1" x14ac:dyDescent="0.25"/>
    <row r="241929" customFormat="1" x14ac:dyDescent="0.25"/>
    <row r="241930" customFormat="1" x14ac:dyDescent="0.25"/>
    <row r="241931" customFormat="1" x14ac:dyDescent="0.25"/>
    <row r="241932" customFormat="1" x14ac:dyDescent="0.25"/>
    <row r="241933" customFormat="1" x14ac:dyDescent="0.25"/>
    <row r="241934" customFormat="1" x14ac:dyDescent="0.25"/>
    <row r="241935" customFormat="1" x14ac:dyDescent="0.25"/>
    <row r="241936" customFormat="1" x14ac:dyDescent="0.25"/>
    <row r="241937" customFormat="1" x14ac:dyDescent="0.25"/>
    <row r="241938" customFormat="1" x14ac:dyDescent="0.25"/>
    <row r="241939" customFormat="1" x14ac:dyDescent="0.25"/>
    <row r="241940" customFormat="1" x14ac:dyDescent="0.25"/>
    <row r="241941" customFormat="1" x14ac:dyDescent="0.25"/>
    <row r="241942" customFormat="1" x14ac:dyDescent="0.25"/>
    <row r="241943" customFormat="1" x14ac:dyDescent="0.25"/>
    <row r="241944" customFormat="1" x14ac:dyDescent="0.25"/>
    <row r="241945" customFormat="1" x14ac:dyDescent="0.25"/>
    <row r="241946" customFormat="1" x14ac:dyDescent="0.25"/>
    <row r="241947" customFormat="1" x14ac:dyDescent="0.25"/>
    <row r="241948" customFormat="1" x14ac:dyDescent="0.25"/>
    <row r="241949" customFormat="1" x14ac:dyDescent="0.25"/>
    <row r="241950" customFormat="1" x14ac:dyDescent="0.25"/>
    <row r="241951" customFormat="1" x14ac:dyDescent="0.25"/>
    <row r="241952" customFormat="1" x14ac:dyDescent="0.25"/>
    <row r="241953" customFormat="1" x14ac:dyDescent="0.25"/>
    <row r="241954" customFormat="1" x14ac:dyDescent="0.25"/>
    <row r="241955" customFormat="1" x14ac:dyDescent="0.25"/>
    <row r="241956" customFormat="1" x14ac:dyDescent="0.25"/>
    <row r="241957" customFormat="1" x14ac:dyDescent="0.25"/>
    <row r="241958" customFormat="1" x14ac:dyDescent="0.25"/>
    <row r="241959" customFormat="1" x14ac:dyDescent="0.25"/>
    <row r="241960" customFormat="1" x14ac:dyDescent="0.25"/>
    <row r="241961" customFormat="1" x14ac:dyDescent="0.25"/>
    <row r="241962" customFormat="1" x14ac:dyDescent="0.25"/>
    <row r="241963" customFormat="1" x14ac:dyDescent="0.25"/>
    <row r="241964" customFormat="1" x14ac:dyDescent="0.25"/>
    <row r="241965" customFormat="1" x14ac:dyDescent="0.25"/>
    <row r="241966" customFormat="1" x14ac:dyDescent="0.25"/>
    <row r="241967" customFormat="1" x14ac:dyDescent="0.25"/>
    <row r="241968" customFormat="1" x14ac:dyDescent="0.25"/>
    <row r="241969" customFormat="1" x14ac:dyDescent="0.25"/>
    <row r="241970" customFormat="1" x14ac:dyDescent="0.25"/>
    <row r="241971" customFormat="1" x14ac:dyDescent="0.25"/>
    <row r="241972" customFormat="1" x14ac:dyDescent="0.25"/>
    <row r="241973" customFormat="1" x14ac:dyDescent="0.25"/>
    <row r="241974" customFormat="1" x14ac:dyDescent="0.25"/>
    <row r="241975" customFormat="1" x14ac:dyDescent="0.25"/>
    <row r="241976" customFormat="1" x14ac:dyDescent="0.25"/>
    <row r="241977" customFormat="1" x14ac:dyDescent="0.25"/>
    <row r="241978" customFormat="1" x14ac:dyDescent="0.25"/>
    <row r="241979" customFormat="1" x14ac:dyDescent="0.25"/>
    <row r="241980" customFormat="1" x14ac:dyDescent="0.25"/>
    <row r="241981" customFormat="1" x14ac:dyDescent="0.25"/>
    <row r="241982" customFormat="1" x14ac:dyDescent="0.25"/>
    <row r="241983" customFormat="1" x14ac:dyDescent="0.25"/>
    <row r="241984" customFormat="1" x14ac:dyDescent="0.25"/>
    <row r="241985" customFormat="1" x14ac:dyDescent="0.25"/>
    <row r="241986" customFormat="1" x14ac:dyDescent="0.25"/>
    <row r="241987" customFormat="1" x14ac:dyDescent="0.25"/>
    <row r="241988" customFormat="1" x14ac:dyDescent="0.25"/>
    <row r="241989" customFormat="1" x14ac:dyDescent="0.25"/>
    <row r="241990" customFormat="1" x14ac:dyDescent="0.25"/>
    <row r="241991" customFormat="1" x14ac:dyDescent="0.25"/>
    <row r="241992" customFormat="1" x14ac:dyDescent="0.25"/>
    <row r="241993" customFormat="1" x14ac:dyDescent="0.25"/>
    <row r="241994" customFormat="1" x14ac:dyDescent="0.25"/>
    <row r="241995" customFormat="1" x14ac:dyDescent="0.25"/>
    <row r="241996" customFormat="1" x14ac:dyDescent="0.25"/>
    <row r="241997" customFormat="1" x14ac:dyDescent="0.25"/>
    <row r="241998" customFormat="1" x14ac:dyDescent="0.25"/>
    <row r="241999" customFormat="1" x14ac:dyDescent="0.25"/>
    <row r="242000" customFormat="1" x14ac:dyDescent="0.25"/>
    <row r="242001" customFormat="1" x14ac:dyDescent="0.25"/>
    <row r="242002" customFormat="1" x14ac:dyDescent="0.25"/>
    <row r="242003" customFormat="1" x14ac:dyDescent="0.25"/>
    <row r="242004" customFormat="1" x14ac:dyDescent="0.25"/>
    <row r="242005" customFormat="1" x14ac:dyDescent="0.25"/>
    <row r="242006" customFormat="1" x14ac:dyDescent="0.25"/>
    <row r="242007" customFormat="1" x14ac:dyDescent="0.25"/>
    <row r="242008" customFormat="1" x14ac:dyDescent="0.25"/>
    <row r="242009" customFormat="1" x14ac:dyDescent="0.25"/>
    <row r="242010" customFormat="1" x14ac:dyDescent="0.25"/>
    <row r="242011" customFormat="1" x14ac:dyDescent="0.25"/>
    <row r="242012" customFormat="1" x14ac:dyDescent="0.25"/>
    <row r="242013" customFormat="1" x14ac:dyDescent="0.25"/>
    <row r="242014" customFormat="1" x14ac:dyDescent="0.25"/>
    <row r="242015" customFormat="1" x14ac:dyDescent="0.25"/>
    <row r="242016" customFormat="1" x14ac:dyDescent="0.25"/>
    <row r="242017" customFormat="1" x14ac:dyDescent="0.25"/>
    <row r="242018" customFormat="1" x14ac:dyDescent="0.25"/>
    <row r="242019" customFormat="1" x14ac:dyDescent="0.25"/>
    <row r="242020" customFormat="1" x14ac:dyDescent="0.25"/>
    <row r="242021" customFormat="1" x14ac:dyDescent="0.25"/>
    <row r="242022" customFormat="1" x14ac:dyDescent="0.25"/>
    <row r="242023" customFormat="1" x14ac:dyDescent="0.25"/>
    <row r="242024" customFormat="1" x14ac:dyDescent="0.25"/>
    <row r="242025" customFormat="1" x14ac:dyDescent="0.25"/>
    <row r="242026" customFormat="1" x14ac:dyDescent="0.25"/>
    <row r="242027" customFormat="1" x14ac:dyDescent="0.25"/>
    <row r="242028" customFormat="1" x14ac:dyDescent="0.25"/>
    <row r="242029" customFormat="1" x14ac:dyDescent="0.25"/>
    <row r="242030" customFormat="1" x14ac:dyDescent="0.25"/>
    <row r="242031" customFormat="1" x14ac:dyDescent="0.25"/>
    <row r="242032" customFormat="1" x14ac:dyDescent="0.25"/>
    <row r="242033" customFormat="1" x14ac:dyDescent="0.25"/>
    <row r="242034" customFormat="1" x14ac:dyDescent="0.25"/>
    <row r="242035" customFormat="1" x14ac:dyDescent="0.25"/>
    <row r="242036" customFormat="1" x14ac:dyDescent="0.25"/>
    <row r="242037" customFormat="1" x14ac:dyDescent="0.25"/>
    <row r="242038" customFormat="1" x14ac:dyDescent="0.25"/>
    <row r="242039" customFormat="1" x14ac:dyDescent="0.25"/>
    <row r="242040" customFormat="1" x14ac:dyDescent="0.25"/>
    <row r="242041" customFormat="1" x14ac:dyDescent="0.25"/>
    <row r="242042" customFormat="1" x14ac:dyDescent="0.25"/>
    <row r="242043" customFormat="1" x14ac:dyDescent="0.25"/>
    <row r="242044" customFormat="1" x14ac:dyDescent="0.25"/>
    <row r="242045" customFormat="1" x14ac:dyDescent="0.25"/>
    <row r="242046" customFormat="1" x14ac:dyDescent="0.25"/>
    <row r="242047" customFormat="1" x14ac:dyDescent="0.25"/>
    <row r="242048" customFormat="1" x14ac:dyDescent="0.25"/>
    <row r="242049" customFormat="1" x14ac:dyDescent="0.25"/>
    <row r="242050" customFormat="1" x14ac:dyDescent="0.25"/>
    <row r="242051" customFormat="1" x14ac:dyDescent="0.25"/>
    <row r="242052" customFormat="1" x14ac:dyDescent="0.25"/>
    <row r="242053" customFormat="1" x14ac:dyDescent="0.25"/>
    <row r="242054" customFormat="1" x14ac:dyDescent="0.25"/>
    <row r="242055" customFormat="1" x14ac:dyDescent="0.25"/>
    <row r="242056" customFormat="1" x14ac:dyDescent="0.25"/>
    <row r="242057" customFormat="1" x14ac:dyDescent="0.25"/>
    <row r="242058" customFormat="1" x14ac:dyDescent="0.25"/>
    <row r="242059" customFormat="1" x14ac:dyDescent="0.25"/>
    <row r="242060" customFormat="1" x14ac:dyDescent="0.25"/>
    <row r="242061" customFormat="1" x14ac:dyDescent="0.25"/>
    <row r="242062" customFormat="1" x14ac:dyDescent="0.25"/>
    <row r="242063" customFormat="1" x14ac:dyDescent="0.25"/>
    <row r="242064" customFormat="1" x14ac:dyDescent="0.25"/>
    <row r="242065" customFormat="1" x14ac:dyDescent="0.25"/>
    <row r="242066" customFormat="1" x14ac:dyDescent="0.25"/>
    <row r="242067" customFormat="1" x14ac:dyDescent="0.25"/>
    <row r="242068" customFormat="1" x14ac:dyDescent="0.25"/>
    <row r="242069" customFormat="1" x14ac:dyDescent="0.25"/>
    <row r="242070" customFormat="1" x14ac:dyDescent="0.25"/>
    <row r="242071" customFormat="1" x14ac:dyDescent="0.25"/>
    <row r="242072" customFormat="1" x14ac:dyDescent="0.25"/>
    <row r="242073" customFormat="1" x14ac:dyDescent="0.25"/>
    <row r="242074" customFormat="1" x14ac:dyDescent="0.25"/>
    <row r="242075" customFormat="1" x14ac:dyDescent="0.25"/>
    <row r="242076" customFormat="1" x14ac:dyDescent="0.25"/>
    <row r="242077" customFormat="1" x14ac:dyDescent="0.25"/>
    <row r="242078" customFormat="1" x14ac:dyDescent="0.25"/>
    <row r="242079" customFormat="1" x14ac:dyDescent="0.25"/>
    <row r="242080" customFormat="1" x14ac:dyDescent="0.25"/>
    <row r="242081" customFormat="1" x14ac:dyDescent="0.25"/>
    <row r="242082" customFormat="1" x14ac:dyDescent="0.25"/>
    <row r="242083" customFormat="1" x14ac:dyDescent="0.25"/>
    <row r="242084" customFormat="1" x14ac:dyDescent="0.25"/>
    <row r="242085" customFormat="1" x14ac:dyDescent="0.25"/>
    <row r="242086" customFormat="1" x14ac:dyDescent="0.25"/>
    <row r="242087" customFormat="1" x14ac:dyDescent="0.25"/>
    <row r="242088" customFormat="1" x14ac:dyDescent="0.25"/>
    <row r="242089" customFormat="1" x14ac:dyDescent="0.25"/>
    <row r="242090" customFormat="1" x14ac:dyDescent="0.25"/>
    <row r="242091" customFormat="1" x14ac:dyDescent="0.25"/>
    <row r="242092" customFormat="1" x14ac:dyDescent="0.25"/>
    <row r="242093" customFormat="1" x14ac:dyDescent="0.25"/>
    <row r="242094" customFormat="1" x14ac:dyDescent="0.25"/>
    <row r="242095" customFormat="1" x14ac:dyDescent="0.25"/>
    <row r="242096" customFormat="1" x14ac:dyDescent="0.25"/>
    <row r="242097" customFormat="1" x14ac:dyDescent="0.25"/>
    <row r="242098" customFormat="1" x14ac:dyDescent="0.25"/>
    <row r="242099" customFormat="1" x14ac:dyDescent="0.25"/>
    <row r="242100" customFormat="1" x14ac:dyDescent="0.25"/>
    <row r="242101" customFormat="1" x14ac:dyDescent="0.25"/>
    <row r="242102" customFormat="1" x14ac:dyDescent="0.25"/>
    <row r="242103" customFormat="1" x14ac:dyDescent="0.25"/>
    <row r="242104" customFormat="1" x14ac:dyDescent="0.25"/>
    <row r="242105" customFormat="1" x14ac:dyDescent="0.25"/>
    <row r="242106" customFormat="1" x14ac:dyDescent="0.25"/>
    <row r="242107" customFormat="1" x14ac:dyDescent="0.25"/>
    <row r="242108" customFormat="1" x14ac:dyDescent="0.25"/>
    <row r="242109" customFormat="1" x14ac:dyDescent="0.25"/>
    <row r="242110" customFormat="1" x14ac:dyDescent="0.25"/>
    <row r="242111" customFormat="1" x14ac:dyDescent="0.25"/>
    <row r="242112" customFormat="1" x14ac:dyDescent="0.25"/>
    <row r="242113" customFormat="1" x14ac:dyDescent="0.25"/>
    <row r="242114" customFormat="1" x14ac:dyDescent="0.25"/>
    <row r="242115" customFormat="1" x14ac:dyDescent="0.25"/>
    <row r="242116" customFormat="1" x14ac:dyDescent="0.25"/>
    <row r="242117" customFormat="1" x14ac:dyDescent="0.25"/>
    <row r="242118" customFormat="1" x14ac:dyDescent="0.25"/>
    <row r="242119" customFormat="1" x14ac:dyDescent="0.25"/>
    <row r="242120" customFormat="1" x14ac:dyDescent="0.25"/>
    <row r="242121" customFormat="1" x14ac:dyDescent="0.25"/>
    <row r="242122" customFormat="1" x14ac:dyDescent="0.25"/>
    <row r="242123" customFormat="1" x14ac:dyDescent="0.25"/>
    <row r="242124" customFormat="1" x14ac:dyDescent="0.25"/>
    <row r="242125" customFormat="1" x14ac:dyDescent="0.25"/>
    <row r="242126" customFormat="1" x14ac:dyDescent="0.25"/>
    <row r="242127" customFormat="1" x14ac:dyDescent="0.25"/>
    <row r="242128" customFormat="1" x14ac:dyDescent="0.25"/>
    <row r="242129" customFormat="1" x14ac:dyDescent="0.25"/>
    <row r="242130" customFormat="1" x14ac:dyDescent="0.25"/>
    <row r="242131" customFormat="1" x14ac:dyDescent="0.25"/>
    <row r="242132" customFormat="1" x14ac:dyDescent="0.25"/>
    <row r="242133" customFormat="1" x14ac:dyDescent="0.25"/>
    <row r="242134" customFormat="1" x14ac:dyDescent="0.25"/>
    <row r="242135" customFormat="1" x14ac:dyDescent="0.25"/>
    <row r="242136" customFormat="1" x14ac:dyDescent="0.25"/>
    <row r="242137" customFormat="1" x14ac:dyDescent="0.25"/>
    <row r="242138" customFormat="1" x14ac:dyDescent="0.25"/>
    <row r="242139" customFormat="1" x14ac:dyDescent="0.25"/>
    <row r="242140" customFormat="1" x14ac:dyDescent="0.25"/>
    <row r="242141" customFormat="1" x14ac:dyDescent="0.25"/>
    <row r="242142" customFormat="1" x14ac:dyDescent="0.25"/>
    <row r="242143" customFormat="1" x14ac:dyDescent="0.25"/>
    <row r="242144" customFormat="1" x14ac:dyDescent="0.25"/>
    <row r="242145" customFormat="1" x14ac:dyDescent="0.25"/>
    <row r="242146" customFormat="1" x14ac:dyDescent="0.25"/>
    <row r="242147" customFormat="1" x14ac:dyDescent="0.25"/>
    <row r="242148" customFormat="1" x14ac:dyDescent="0.25"/>
    <row r="242149" customFormat="1" x14ac:dyDescent="0.25"/>
    <row r="242150" customFormat="1" x14ac:dyDescent="0.25"/>
    <row r="242151" customFormat="1" x14ac:dyDescent="0.25"/>
    <row r="242152" customFormat="1" x14ac:dyDescent="0.25"/>
    <row r="242153" customFormat="1" x14ac:dyDescent="0.25"/>
    <row r="242154" customFormat="1" x14ac:dyDescent="0.25"/>
    <row r="242155" customFormat="1" x14ac:dyDescent="0.25"/>
    <row r="242156" customFormat="1" x14ac:dyDescent="0.25"/>
    <row r="242157" customFormat="1" x14ac:dyDescent="0.25"/>
    <row r="242158" customFormat="1" x14ac:dyDescent="0.25"/>
    <row r="242159" customFormat="1" x14ac:dyDescent="0.25"/>
    <row r="242160" customFormat="1" x14ac:dyDescent="0.25"/>
    <row r="242161" customFormat="1" x14ac:dyDescent="0.25"/>
    <row r="242162" customFormat="1" x14ac:dyDescent="0.25"/>
    <row r="242163" customFormat="1" x14ac:dyDescent="0.25"/>
    <row r="242164" customFormat="1" x14ac:dyDescent="0.25"/>
    <row r="242165" customFormat="1" x14ac:dyDescent="0.25"/>
    <row r="242166" customFormat="1" x14ac:dyDescent="0.25"/>
    <row r="242167" customFormat="1" x14ac:dyDescent="0.25"/>
    <row r="242168" customFormat="1" x14ac:dyDescent="0.25"/>
    <row r="242169" customFormat="1" x14ac:dyDescent="0.25"/>
    <row r="242170" customFormat="1" x14ac:dyDescent="0.25"/>
    <row r="242171" customFormat="1" x14ac:dyDescent="0.25"/>
    <row r="242172" customFormat="1" x14ac:dyDescent="0.25"/>
    <row r="242173" customFormat="1" x14ac:dyDescent="0.25"/>
    <row r="242174" customFormat="1" x14ac:dyDescent="0.25"/>
    <row r="242175" customFormat="1" x14ac:dyDescent="0.25"/>
    <row r="242176" customFormat="1" x14ac:dyDescent="0.25"/>
    <row r="242177" customFormat="1" x14ac:dyDescent="0.25"/>
    <row r="242178" customFormat="1" x14ac:dyDescent="0.25"/>
    <row r="242179" customFormat="1" x14ac:dyDescent="0.25"/>
    <row r="242180" customFormat="1" x14ac:dyDescent="0.25"/>
    <row r="242181" customFormat="1" x14ac:dyDescent="0.25"/>
    <row r="242182" customFormat="1" x14ac:dyDescent="0.25"/>
    <row r="242183" customFormat="1" x14ac:dyDescent="0.25"/>
    <row r="242184" customFormat="1" x14ac:dyDescent="0.25"/>
    <row r="242185" customFormat="1" x14ac:dyDescent="0.25"/>
    <row r="242186" customFormat="1" x14ac:dyDescent="0.25"/>
    <row r="242187" customFormat="1" x14ac:dyDescent="0.25"/>
    <row r="242188" customFormat="1" x14ac:dyDescent="0.25"/>
    <row r="242189" customFormat="1" x14ac:dyDescent="0.25"/>
    <row r="242190" customFormat="1" x14ac:dyDescent="0.25"/>
    <row r="242191" customFormat="1" x14ac:dyDescent="0.25"/>
    <row r="242192" customFormat="1" x14ac:dyDescent="0.25"/>
    <row r="242193" customFormat="1" x14ac:dyDescent="0.25"/>
    <row r="242194" customFormat="1" x14ac:dyDescent="0.25"/>
    <row r="242195" customFormat="1" x14ac:dyDescent="0.25"/>
    <row r="242196" customFormat="1" x14ac:dyDescent="0.25"/>
    <row r="242197" customFormat="1" x14ac:dyDescent="0.25"/>
    <row r="242198" customFormat="1" x14ac:dyDescent="0.25"/>
    <row r="242199" customFormat="1" x14ac:dyDescent="0.25"/>
    <row r="242200" customFormat="1" x14ac:dyDescent="0.25"/>
    <row r="242201" customFormat="1" x14ac:dyDescent="0.25"/>
    <row r="242202" customFormat="1" x14ac:dyDescent="0.25"/>
    <row r="242203" customFormat="1" x14ac:dyDescent="0.25"/>
    <row r="242204" customFormat="1" x14ac:dyDescent="0.25"/>
    <row r="242205" customFormat="1" x14ac:dyDescent="0.25"/>
    <row r="242206" customFormat="1" x14ac:dyDescent="0.25"/>
    <row r="242207" customFormat="1" x14ac:dyDescent="0.25"/>
    <row r="242208" customFormat="1" x14ac:dyDescent="0.25"/>
    <row r="242209" customFormat="1" x14ac:dyDescent="0.25"/>
    <row r="242210" customFormat="1" x14ac:dyDescent="0.25"/>
    <row r="242211" customFormat="1" x14ac:dyDescent="0.25"/>
    <row r="242212" customFormat="1" x14ac:dyDescent="0.25"/>
    <row r="242213" customFormat="1" x14ac:dyDescent="0.25"/>
    <row r="242214" customFormat="1" x14ac:dyDescent="0.25"/>
    <row r="242215" customFormat="1" x14ac:dyDescent="0.25"/>
    <row r="242216" customFormat="1" x14ac:dyDescent="0.25"/>
    <row r="242217" customFormat="1" x14ac:dyDescent="0.25"/>
    <row r="242218" customFormat="1" x14ac:dyDescent="0.25"/>
    <row r="242219" customFormat="1" x14ac:dyDescent="0.25"/>
    <row r="242220" customFormat="1" x14ac:dyDescent="0.25"/>
    <row r="242221" customFormat="1" x14ac:dyDescent="0.25"/>
    <row r="242222" customFormat="1" x14ac:dyDescent="0.25"/>
    <row r="242223" customFormat="1" x14ac:dyDescent="0.25"/>
    <row r="242224" customFormat="1" x14ac:dyDescent="0.25"/>
    <row r="242225" customFormat="1" x14ac:dyDescent="0.25"/>
    <row r="242226" customFormat="1" x14ac:dyDescent="0.25"/>
    <row r="242227" customFormat="1" x14ac:dyDescent="0.25"/>
    <row r="242228" customFormat="1" x14ac:dyDescent="0.25"/>
    <row r="242229" customFormat="1" x14ac:dyDescent="0.25"/>
    <row r="242230" customFormat="1" x14ac:dyDescent="0.25"/>
    <row r="242231" customFormat="1" x14ac:dyDescent="0.25"/>
    <row r="242232" customFormat="1" x14ac:dyDescent="0.25"/>
    <row r="242233" customFormat="1" x14ac:dyDescent="0.25"/>
    <row r="242234" customFormat="1" x14ac:dyDescent="0.25"/>
    <row r="242235" customFormat="1" x14ac:dyDescent="0.25"/>
    <row r="242236" customFormat="1" x14ac:dyDescent="0.25"/>
    <row r="242237" customFormat="1" x14ac:dyDescent="0.25"/>
    <row r="242238" customFormat="1" x14ac:dyDescent="0.25"/>
    <row r="242239" customFormat="1" x14ac:dyDescent="0.25"/>
    <row r="242240" customFormat="1" x14ac:dyDescent="0.25"/>
    <row r="242241" customFormat="1" x14ac:dyDescent="0.25"/>
    <row r="242242" customFormat="1" x14ac:dyDescent="0.25"/>
    <row r="242243" customFormat="1" x14ac:dyDescent="0.25"/>
    <row r="242244" customFormat="1" x14ac:dyDescent="0.25"/>
    <row r="242245" customFormat="1" x14ac:dyDescent="0.25"/>
    <row r="242246" customFormat="1" x14ac:dyDescent="0.25"/>
    <row r="242247" customFormat="1" x14ac:dyDescent="0.25"/>
    <row r="242248" customFormat="1" x14ac:dyDescent="0.25"/>
    <row r="242249" customFormat="1" x14ac:dyDescent="0.25"/>
    <row r="242250" customFormat="1" x14ac:dyDescent="0.25"/>
    <row r="242251" customFormat="1" x14ac:dyDescent="0.25"/>
    <row r="242252" customFormat="1" x14ac:dyDescent="0.25"/>
    <row r="242253" customFormat="1" x14ac:dyDescent="0.25"/>
    <row r="242254" customFormat="1" x14ac:dyDescent="0.25"/>
    <row r="242255" customFormat="1" x14ac:dyDescent="0.25"/>
    <row r="242256" customFormat="1" x14ac:dyDescent="0.25"/>
    <row r="242257" customFormat="1" x14ac:dyDescent="0.25"/>
    <row r="242258" customFormat="1" x14ac:dyDescent="0.25"/>
    <row r="242259" customFormat="1" x14ac:dyDescent="0.25"/>
    <row r="242260" customFormat="1" x14ac:dyDescent="0.25"/>
    <row r="242261" customFormat="1" x14ac:dyDescent="0.25"/>
    <row r="242262" customFormat="1" x14ac:dyDescent="0.25"/>
    <row r="242263" customFormat="1" x14ac:dyDescent="0.25"/>
    <row r="242264" customFormat="1" x14ac:dyDescent="0.25"/>
    <row r="242265" customFormat="1" x14ac:dyDescent="0.25"/>
    <row r="242266" customFormat="1" x14ac:dyDescent="0.25"/>
    <row r="242267" customFormat="1" x14ac:dyDescent="0.25"/>
    <row r="242268" customFormat="1" x14ac:dyDescent="0.25"/>
    <row r="242269" customFormat="1" x14ac:dyDescent="0.25"/>
    <row r="242270" customFormat="1" x14ac:dyDescent="0.25"/>
    <row r="242271" customFormat="1" x14ac:dyDescent="0.25"/>
    <row r="242272" customFormat="1" x14ac:dyDescent="0.25"/>
    <row r="242273" customFormat="1" x14ac:dyDescent="0.25"/>
    <row r="242274" customFormat="1" x14ac:dyDescent="0.25"/>
    <row r="242275" customFormat="1" x14ac:dyDescent="0.25"/>
    <row r="242276" customFormat="1" x14ac:dyDescent="0.25"/>
    <row r="242277" customFormat="1" x14ac:dyDescent="0.25"/>
    <row r="242278" customFormat="1" x14ac:dyDescent="0.25"/>
    <row r="242279" customFormat="1" x14ac:dyDescent="0.25"/>
    <row r="242280" customFormat="1" x14ac:dyDescent="0.25"/>
    <row r="242281" customFormat="1" x14ac:dyDescent="0.25"/>
    <row r="242282" customFormat="1" x14ac:dyDescent="0.25"/>
    <row r="242283" customFormat="1" x14ac:dyDescent="0.25"/>
    <row r="242284" customFormat="1" x14ac:dyDescent="0.25"/>
    <row r="242285" customFormat="1" x14ac:dyDescent="0.25"/>
    <row r="242286" customFormat="1" x14ac:dyDescent="0.25"/>
    <row r="242287" customFormat="1" x14ac:dyDescent="0.25"/>
    <row r="242288" customFormat="1" x14ac:dyDescent="0.25"/>
    <row r="242289" customFormat="1" x14ac:dyDescent="0.25"/>
    <row r="242290" customFormat="1" x14ac:dyDescent="0.25"/>
    <row r="242291" customFormat="1" x14ac:dyDescent="0.25"/>
    <row r="242292" customFormat="1" x14ac:dyDescent="0.25"/>
    <row r="242293" customFormat="1" x14ac:dyDescent="0.25"/>
    <row r="242294" customFormat="1" x14ac:dyDescent="0.25"/>
    <row r="242295" customFormat="1" x14ac:dyDescent="0.25"/>
    <row r="242296" customFormat="1" x14ac:dyDescent="0.25"/>
    <row r="242297" customFormat="1" x14ac:dyDescent="0.25"/>
    <row r="242298" customFormat="1" x14ac:dyDescent="0.25"/>
    <row r="242299" customFormat="1" x14ac:dyDescent="0.25"/>
    <row r="242300" customFormat="1" x14ac:dyDescent="0.25"/>
    <row r="242301" customFormat="1" x14ac:dyDescent="0.25"/>
    <row r="242302" customFormat="1" x14ac:dyDescent="0.25"/>
    <row r="242303" customFormat="1" x14ac:dyDescent="0.25"/>
    <row r="242304" customFormat="1" x14ac:dyDescent="0.25"/>
    <row r="242305" customFormat="1" x14ac:dyDescent="0.25"/>
    <row r="242306" customFormat="1" x14ac:dyDescent="0.25"/>
    <row r="242307" customFormat="1" x14ac:dyDescent="0.25"/>
    <row r="242308" customFormat="1" x14ac:dyDescent="0.25"/>
    <row r="242309" customFormat="1" x14ac:dyDescent="0.25"/>
    <row r="242310" customFormat="1" x14ac:dyDescent="0.25"/>
    <row r="242311" customFormat="1" x14ac:dyDescent="0.25"/>
    <row r="242312" customFormat="1" x14ac:dyDescent="0.25"/>
    <row r="242313" customFormat="1" x14ac:dyDescent="0.25"/>
    <row r="242314" customFormat="1" x14ac:dyDescent="0.25"/>
    <row r="242315" customFormat="1" x14ac:dyDescent="0.25"/>
    <row r="242316" customFormat="1" x14ac:dyDescent="0.25"/>
    <row r="242317" customFormat="1" x14ac:dyDescent="0.25"/>
    <row r="242318" customFormat="1" x14ac:dyDescent="0.25"/>
    <row r="242319" customFormat="1" x14ac:dyDescent="0.25"/>
    <row r="242320" customFormat="1" x14ac:dyDescent="0.25"/>
    <row r="242321" customFormat="1" x14ac:dyDescent="0.25"/>
    <row r="242322" customFormat="1" x14ac:dyDescent="0.25"/>
    <row r="242323" customFormat="1" x14ac:dyDescent="0.25"/>
    <row r="242324" customFormat="1" x14ac:dyDescent="0.25"/>
    <row r="242325" customFormat="1" x14ac:dyDescent="0.25"/>
    <row r="242326" customFormat="1" x14ac:dyDescent="0.25"/>
    <row r="242327" customFormat="1" x14ac:dyDescent="0.25"/>
    <row r="242328" customFormat="1" x14ac:dyDescent="0.25"/>
    <row r="242329" customFormat="1" x14ac:dyDescent="0.25"/>
    <row r="242330" customFormat="1" x14ac:dyDescent="0.25"/>
    <row r="242331" customFormat="1" x14ac:dyDescent="0.25"/>
    <row r="242332" customFormat="1" x14ac:dyDescent="0.25"/>
    <row r="242333" customFormat="1" x14ac:dyDescent="0.25"/>
    <row r="242334" customFormat="1" x14ac:dyDescent="0.25"/>
    <row r="242335" customFormat="1" x14ac:dyDescent="0.25"/>
    <row r="242336" customFormat="1" x14ac:dyDescent="0.25"/>
    <row r="242337" customFormat="1" x14ac:dyDescent="0.25"/>
    <row r="242338" customFormat="1" x14ac:dyDescent="0.25"/>
    <row r="242339" customFormat="1" x14ac:dyDescent="0.25"/>
    <row r="242340" customFormat="1" x14ac:dyDescent="0.25"/>
    <row r="242341" customFormat="1" x14ac:dyDescent="0.25"/>
    <row r="242342" customFormat="1" x14ac:dyDescent="0.25"/>
    <row r="242343" customFormat="1" x14ac:dyDescent="0.25"/>
    <row r="242344" customFormat="1" x14ac:dyDescent="0.25"/>
    <row r="242345" customFormat="1" x14ac:dyDescent="0.25"/>
    <row r="242346" customFormat="1" x14ac:dyDescent="0.25"/>
    <row r="242347" customFormat="1" x14ac:dyDescent="0.25"/>
    <row r="242348" customFormat="1" x14ac:dyDescent="0.25"/>
    <row r="242349" customFormat="1" x14ac:dyDescent="0.25"/>
    <row r="242350" customFormat="1" x14ac:dyDescent="0.25"/>
    <row r="242351" customFormat="1" x14ac:dyDescent="0.25"/>
    <row r="242352" customFormat="1" x14ac:dyDescent="0.25"/>
    <row r="242353" customFormat="1" x14ac:dyDescent="0.25"/>
    <row r="242354" customFormat="1" x14ac:dyDescent="0.25"/>
    <row r="242355" customFormat="1" x14ac:dyDescent="0.25"/>
    <row r="242356" customFormat="1" x14ac:dyDescent="0.25"/>
    <row r="242357" customFormat="1" x14ac:dyDescent="0.25"/>
    <row r="242358" customFormat="1" x14ac:dyDescent="0.25"/>
    <row r="242359" customFormat="1" x14ac:dyDescent="0.25"/>
    <row r="242360" customFormat="1" x14ac:dyDescent="0.25"/>
    <row r="242361" customFormat="1" x14ac:dyDescent="0.25"/>
    <row r="242362" customFormat="1" x14ac:dyDescent="0.25"/>
    <row r="242363" customFormat="1" x14ac:dyDescent="0.25"/>
    <row r="242364" customFormat="1" x14ac:dyDescent="0.25"/>
    <row r="242365" customFormat="1" x14ac:dyDescent="0.25"/>
    <row r="242366" customFormat="1" x14ac:dyDescent="0.25"/>
    <row r="242367" customFormat="1" x14ac:dyDescent="0.25"/>
    <row r="242368" customFormat="1" x14ac:dyDescent="0.25"/>
    <row r="242369" customFormat="1" x14ac:dyDescent="0.25"/>
    <row r="242370" customFormat="1" x14ac:dyDescent="0.25"/>
    <row r="242371" customFormat="1" x14ac:dyDescent="0.25"/>
    <row r="242372" customFormat="1" x14ac:dyDescent="0.25"/>
    <row r="242373" customFormat="1" x14ac:dyDescent="0.25"/>
    <row r="242374" customFormat="1" x14ac:dyDescent="0.25"/>
    <row r="242375" customFormat="1" x14ac:dyDescent="0.25"/>
    <row r="242376" customFormat="1" x14ac:dyDescent="0.25"/>
    <row r="242377" customFormat="1" x14ac:dyDescent="0.25"/>
    <row r="242378" customFormat="1" x14ac:dyDescent="0.25"/>
    <row r="242379" customFormat="1" x14ac:dyDescent="0.25"/>
    <row r="242380" customFormat="1" x14ac:dyDescent="0.25"/>
    <row r="242381" customFormat="1" x14ac:dyDescent="0.25"/>
    <row r="242382" customFormat="1" x14ac:dyDescent="0.25"/>
    <row r="242383" customFormat="1" x14ac:dyDescent="0.25"/>
    <row r="242384" customFormat="1" x14ac:dyDescent="0.25"/>
    <row r="242385" customFormat="1" x14ac:dyDescent="0.25"/>
    <row r="242386" customFormat="1" x14ac:dyDescent="0.25"/>
    <row r="242387" customFormat="1" x14ac:dyDescent="0.25"/>
    <row r="242388" customFormat="1" x14ac:dyDescent="0.25"/>
    <row r="242389" customFormat="1" x14ac:dyDescent="0.25"/>
    <row r="242390" customFormat="1" x14ac:dyDescent="0.25"/>
    <row r="242391" customFormat="1" x14ac:dyDescent="0.25"/>
    <row r="242392" customFormat="1" x14ac:dyDescent="0.25"/>
    <row r="242393" customFormat="1" x14ac:dyDescent="0.25"/>
    <row r="242394" customFormat="1" x14ac:dyDescent="0.25"/>
    <row r="242395" customFormat="1" x14ac:dyDescent="0.25"/>
    <row r="242396" customFormat="1" x14ac:dyDescent="0.25"/>
    <row r="242397" customFormat="1" x14ac:dyDescent="0.25"/>
    <row r="242398" customFormat="1" x14ac:dyDescent="0.25"/>
    <row r="242399" customFormat="1" x14ac:dyDescent="0.25"/>
    <row r="242400" customFormat="1" x14ac:dyDescent="0.25"/>
    <row r="242401" customFormat="1" x14ac:dyDescent="0.25"/>
    <row r="242402" customFormat="1" x14ac:dyDescent="0.25"/>
    <row r="242403" customFormat="1" x14ac:dyDescent="0.25"/>
    <row r="242404" customFormat="1" x14ac:dyDescent="0.25"/>
    <row r="242405" customFormat="1" x14ac:dyDescent="0.25"/>
    <row r="242406" customFormat="1" x14ac:dyDescent="0.25"/>
    <row r="242407" customFormat="1" x14ac:dyDescent="0.25"/>
    <row r="242408" customFormat="1" x14ac:dyDescent="0.25"/>
    <row r="242409" customFormat="1" x14ac:dyDescent="0.25"/>
    <row r="242410" customFormat="1" x14ac:dyDescent="0.25"/>
    <row r="242411" customFormat="1" x14ac:dyDescent="0.25"/>
    <row r="242412" customFormat="1" x14ac:dyDescent="0.25"/>
    <row r="242413" customFormat="1" x14ac:dyDescent="0.25"/>
    <row r="242414" customFormat="1" x14ac:dyDescent="0.25"/>
    <row r="242415" customFormat="1" x14ac:dyDescent="0.25"/>
    <row r="242416" customFormat="1" x14ac:dyDescent="0.25"/>
    <row r="242417" customFormat="1" x14ac:dyDescent="0.25"/>
    <row r="242418" customFormat="1" x14ac:dyDescent="0.25"/>
    <row r="242419" customFormat="1" x14ac:dyDescent="0.25"/>
    <row r="242420" customFormat="1" x14ac:dyDescent="0.25"/>
    <row r="242421" customFormat="1" x14ac:dyDescent="0.25"/>
    <row r="242422" customFormat="1" x14ac:dyDescent="0.25"/>
    <row r="242423" customFormat="1" x14ac:dyDescent="0.25"/>
    <row r="242424" customFormat="1" x14ac:dyDescent="0.25"/>
    <row r="242425" customFormat="1" x14ac:dyDescent="0.25"/>
    <row r="242426" customFormat="1" x14ac:dyDescent="0.25"/>
    <row r="242427" customFormat="1" x14ac:dyDescent="0.25"/>
    <row r="242428" customFormat="1" x14ac:dyDescent="0.25"/>
    <row r="242429" customFormat="1" x14ac:dyDescent="0.25"/>
    <row r="242430" customFormat="1" x14ac:dyDescent="0.25"/>
    <row r="242431" customFormat="1" x14ac:dyDescent="0.25"/>
    <row r="242432" customFormat="1" x14ac:dyDescent="0.25"/>
    <row r="242433" customFormat="1" x14ac:dyDescent="0.25"/>
    <row r="242434" customFormat="1" x14ac:dyDescent="0.25"/>
    <row r="242435" customFormat="1" x14ac:dyDescent="0.25"/>
    <row r="242436" customFormat="1" x14ac:dyDescent="0.25"/>
    <row r="242437" customFormat="1" x14ac:dyDescent="0.25"/>
    <row r="242438" customFormat="1" x14ac:dyDescent="0.25"/>
    <row r="242439" customFormat="1" x14ac:dyDescent="0.25"/>
    <row r="242440" customFormat="1" x14ac:dyDescent="0.25"/>
    <row r="242441" customFormat="1" x14ac:dyDescent="0.25"/>
    <row r="242442" customFormat="1" x14ac:dyDescent="0.25"/>
    <row r="242443" customFormat="1" x14ac:dyDescent="0.25"/>
    <row r="242444" customFormat="1" x14ac:dyDescent="0.25"/>
    <row r="242445" customFormat="1" x14ac:dyDescent="0.25"/>
    <row r="242446" customFormat="1" x14ac:dyDescent="0.25"/>
    <row r="242447" customFormat="1" x14ac:dyDescent="0.25"/>
    <row r="242448" customFormat="1" x14ac:dyDescent="0.25"/>
    <row r="242449" customFormat="1" x14ac:dyDescent="0.25"/>
    <row r="242450" customFormat="1" x14ac:dyDescent="0.25"/>
    <row r="242451" customFormat="1" x14ac:dyDescent="0.25"/>
    <row r="242452" customFormat="1" x14ac:dyDescent="0.25"/>
    <row r="242453" customFormat="1" x14ac:dyDescent="0.25"/>
    <row r="242454" customFormat="1" x14ac:dyDescent="0.25"/>
    <row r="242455" customFormat="1" x14ac:dyDescent="0.25"/>
    <row r="242456" customFormat="1" x14ac:dyDescent="0.25"/>
    <row r="242457" customFormat="1" x14ac:dyDescent="0.25"/>
    <row r="242458" customFormat="1" x14ac:dyDescent="0.25"/>
    <row r="242459" customFormat="1" x14ac:dyDescent="0.25"/>
    <row r="242460" customFormat="1" x14ac:dyDescent="0.25"/>
    <row r="242461" customFormat="1" x14ac:dyDescent="0.25"/>
    <row r="242462" customFormat="1" x14ac:dyDescent="0.25"/>
    <row r="242463" customFormat="1" x14ac:dyDescent="0.25"/>
    <row r="242464" customFormat="1" x14ac:dyDescent="0.25"/>
    <row r="242465" customFormat="1" x14ac:dyDescent="0.25"/>
    <row r="242466" customFormat="1" x14ac:dyDescent="0.25"/>
    <row r="242467" customFormat="1" x14ac:dyDescent="0.25"/>
    <row r="242468" customFormat="1" x14ac:dyDescent="0.25"/>
    <row r="242469" customFormat="1" x14ac:dyDescent="0.25"/>
    <row r="242470" customFormat="1" x14ac:dyDescent="0.25"/>
    <row r="242471" customFormat="1" x14ac:dyDescent="0.25"/>
    <row r="242472" customFormat="1" x14ac:dyDescent="0.25"/>
    <row r="242473" customFormat="1" x14ac:dyDescent="0.25"/>
    <row r="242474" customFormat="1" x14ac:dyDescent="0.25"/>
    <row r="242475" customFormat="1" x14ac:dyDescent="0.25"/>
    <row r="242476" customFormat="1" x14ac:dyDescent="0.25"/>
    <row r="242477" customFormat="1" x14ac:dyDescent="0.25"/>
    <row r="242478" customFormat="1" x14ac:dyDescent="0.25"/>
    <row r="242479" customFormat="1" x14ac:dyDescent="0.25"/>
    <row r="242480" customFormat="1" x14ac:dyDescent="0.25"/>
    <row r="242481" customFormat="1" x14ac:dyDescent="0.25"/>
    <row r="242482" customFormat="1" x14ac:dyDescent="0.25"/>
    <row r="242483" customFormat="1" x14ac:dyDescent="0.25"/>
    <row r="242484" customFormat="1" x14ac:dyDescent="0.25"/>
    <row r="242485" customFormat="1" x14ac:dyDescent="0.25"/>
    <row r="242486" customFormat="1" x14ac:dyDescent="0.25"/>
    <row r="242487" customFormat="1" x14ac:dyDescent="0.25"/>
    <row r="242488" customFormat="1" x14ac:dyDescent="0.25"/>
    <row r="242489" customFormat="1" x14ac:dyDescent="0.25"/>
    <row r="242490" customFormat="1" x14ac:dyDescent="0.25"/>
    <row r="242491" customFormat="1" x14ac:dyDescent="0.25"/>
    <row r="242492" customFormat="1" x14ac:dyDescent="0.25"/>
    <row r="242493" customFormat="1" x14ac:dyDescent="0.25"/>
    <row r="242494" customFormat="1" x14ac:dyDescent="0.25"/>
    <row r="242495" customFormat="1" x14ac:dyDescent="0.25"/>
    <row r="242496" customFormat="1" x14ac:dyDescent="0.25"/>
    <row r="242497" customFormat="1" x14ac:dyDescent="0.25"/>
    <row r="242498" customFormat="1" x14ac:dyDescent="0.25"/>
    <row r="242499" customFormat="1" x14ac:dyDescent="0.25"/>
    <row r="242500" customFormat="1" x14ac:dyDescent="0.25"/>
    <row r="242501" customFormat="1" x14ac:dyDescent="0.25"/>
    <row r="242502" customFormat="1" x14ac:dyDescent="0.25"/>
    <row r="242503" customFormat="1" x14ac:dyDescent="0.25"/>
    <row r="242504" customFormat="1" x14ac:dyDescent="0.25"/>
    <row r="242505" customFormat="1" x14ac:dyDescent="0.25"/>
    <row r="242506" customFormat="1" x14ac:dyDescent="0.25"/>
    <row r="242507" customFormat="1" x14ac:dyDescent="0.25"/>
    <row r="242508" customFormat="1" x14ac:dyDescent="0.25"/>
    <row r="242509" customFormat="1" x14ac:dyDescent="0.25"/>
    <row r="242510" customFormat="1" x14ac:dyDescent="0.25"/>
    <row r="242511" customFormat="1" x14ac:dyDescent="0.25"/>
    <row r="242512" customFormat="1" x14ac:dyDescent="0.25"/>
    <row r="242513" customFormat="1" x14ac:dyDescent="0.25"/>
    <row r="242514" customFormat="1" x14ac:dyDescent="0.25"/>
    <row r="242515" customFormat="1" x14ac:dyDescent="0.25"/>
    <row r="242516" customFormat="1" x14ac:dyDescent="0.25"/>
    <row r="242517" customFormat="1" x14ac:dyDescent="0.25"/>
    <row r="242518" customFormat="1" x14ac:dyDescent="0.25"/>
    <row r="242519" customFormat="1" x14ac:dyDescent="0.25"/>
    <row r="242520" customFormat="1" x14ac:dyDescent="0.25"/>
    <row r="242521" customFormat="1" x14ac:dyDescent="0.25"/>
    <row r="242522" customFormat="1" x14ac:dyDescent="0.25"/>
    <row r="242523" customFormat="1" x14ac:dyDescent="0.25"/>
    <row r="242524" customFormat="1" x14ac:dyDescent="0.25"/>
    <row r="242525" customFormat="1" x14ac:dyDescent="0.25"/>
    <row r="242526" customFormat="1" x14ac:dyDescent="0.25"/>
    <row r="242527" customFormat="1" x14ac:dyDescent="0.25"/>
    <row r="242528" customFormat="1" x14ac:dyDescent="0.25"/>
    <row r="242529" customFormat="1" x14ac:dyDescent="0.25"/>
    <row r="242530" customFormat="1" x14ac:dyDescent="0.25"/>
    <row r="242531" customFormat="1" x14ac:dyDescent="0.25"/>
    <row r="242532" customFormat="1" x14ac:dyDescent="0.25"/>
    <row r="242533" customFormat="1" x14ac:dyDescent="0.25"/>
    <row r="242534" customFormat="1" x14ac:dyDescent="0.25"/>
    <row r="242535" customFormat="1" x14ac:dyDescent="0.25"/>
    <row r="242536" customFormat="1" x14ac:dyDescent="0.25"/>
    <row r="242537" customFormat="1" x14ac:dyDescent="0.25"/>
    <row r="242538" customFormat="1" x14ac:dyDescent="0.25"/>
    <row r="242539" customFormat="1" x14ac:dyDescent="0.25"/>
    <row r="242540" customFormat="1" x14ac:dyDescent="0.25"/>
    <row r="242541" customFormat="1" x14ac:dyDescent="0.25"/>
    <row r="242542" customFormat="1" x14ac:dyDescent="0.25"/>
    <row r="242543" customFormat="1" x14ac:dyDescent="0.25"/>
    <row r="242544" customFormat="1" x14ac:dyDescent="0.25"/>
    <row r="242545" customFormat="1" x14ac:dyDescent="0.25"/>
    <row r="242546" customFormat="1" x14ac:dyDescent="0.25"/>
    <row r="242547" customFormat="1" x14ac:dyDescent="0.25"/>
    <row r="242548" customFormat="1" x14ac:dyDescent="0.25"/>
    <row r="242549" customFormat="1" x14ac:dyDescent="0.25"/>
    <row r="242550" customFormat="1" x14ac:dyDescent="0.25"/>
    <row r="242551" customFormat="1" x14ac:dyDescent="0.25"/>
    <row r="242552" customFormat="1" x14ac:dyDescent="0.25"/>
    <row r="242553" customFormat="1" x14ac:dyDescent="0.25"/>
    <row r="242554" customFormat="1" x14ac:dyDescent="0.25"/>
    <row r="242555" customFormat="1" x14ac:dyDescent="0.25"/>
    <row r="242556" customFormat="1" x14ac:dyDescent="0.25"/>
    <row r="242557" customFormat="1" x14ac:dyDescent="0.25"/>
    <row r="242558" customFormat="1" x14ac:dyDescent="0.25"/>
    <row r="242559" customFormat="1" x14ac:dyDescent="0.25"/>
    <row r="242560" customFormat="1" x14ac:dyDescent="0.25"/>
    <row r="242561" customFormat="1" x14ac:dyDescent="0.25"/>
    <row r="242562" customFormat="1" x14ac:dyDescent="0.25"/>
    <row r="242563" customFormat="1" x14ac:dyDescent="0.25"/>
    <row r="242564" customFormat="1" x14ac:dyDescent="0.25"/>
    <row r="242565" customFormat="1" x14ac:dyDescent="0.25"/>
    <row r="242566" customFormat="1" x14ac:dyDescent="0.25"/>
    <row r="242567" customFormat="1" x14ac:dyDescent="0.25"/>
    <row r="242568" customFormat="1" x14ac:dyDescent="0.25"/>
    <row r="242569" customFormat="1" x14ac:dyDescent="0.25"/>
    <row r="242570" customFormat="1" x14ac:dyDescent="0.25"/>
    <row r="242571" customFormat="1" x14ac:dyDescent="0.25"/>
    <row r="242572" customFormat="1" x14ac:dyDescent="0.25"/>
    <row r="242573" customFormat="1" x14ac:dyDescent="0.25"/>
    <row r="242574" customFormat="1" x14ac:dyDescent="0.25"/>
    <row r="242575" customFormat="1" x14ac:dyDescent="0.25"/>
    <row r="242576" customFormat="1" x14ac:dyDescent="0.25"/>
    <row r="242577" customFormat="1" x14ac:dyDescent="0.25"/>
    <row r="242578" customFormat="1" x14ac:dyDescent="0.25"/>
    <row r="242579" customFormat="1" x14ac:dyDescent="0.25"/>
    <row r="242580" customFormat="1" x14ac:dyDescent="0.25"/>
    <row r="242581" customFormat="1" x14ac:dyDescent="0.25"/>
    <row r="242582" customFormat="1" x14ac:dyDescent="0.25"/>
    <row r="242583" customFormat="1" x14ac:dyDescent="0.25"/>
    <row r="242584" customFormat="1" x14ac:dyDescent="0.25"/>
    <row r="242585" customFormat="1" x14ac:dyDescent="0.25"/>
    <row r="242586" customFormat="1" x14ac:dyDescent="0.25"/>
    <row r="242587" customFormat="1" x14ac:dyDescent="0.25"/>
    <row r="242588" customFormat="1" x14ac:dyDescent="0.25"/>
    <row r="242589" customFormat="1" x14ac:dyDescent="0.25"/>
    <row r="242590" customFormat="1" x14ac:dyDescent="0.25"/>
    <row r="242591" customFormat="1" x14ac:dyDescent="0.25"/>
    <row r="242592" customFormat="1" x14ac:dyDescent="0.25"/>
    <row r="242593" customFormat="1" x14ac:dyDescent="0.25"/>
    <row r="242594" customFormat="1" x14ac:dyDescent="0.25"/>
    <row r="242595" customFormat="1" x14ac:dyDescent="0.25"/>
    <row r="242596" customFormat="1" x14ac:dyDescent="0.25"/>
    <row r="242597" customFormat="1" x14ac:dyDescent="0.25"/>
    <row r="242598" customFormat="1" x14ac:dyDescent="0.25"/>
    <row r="242599" customFormat="1" x14ac:dyDescent="0.25"/>
    <row r="242600" customFormat="1" x14ac:dyDescent="0.25"/>
    <row r="242601" customFormat="1" x14ac:dyDescent="0.25"/>
    <row r="242602" customFormat="1" x14ac:dyDescent="0.25"/>
    <row r="242603" customFormat="1" x14ac:dyDescent="0.25"/>
    <row r="242604" customFormat="1" x14ac:dyDescent="0.25"/>
    <row r="242605" customFormat="1" x14ac:dyDescent="0.25"/>
    <row r="242606" customFormat="1" x14ac:dyDescent="0.25"/>
    <row r="242607" customFormat="1" x14ac:dyDescent="0.25"/>
    <row r="242608" customFormat="1" x14ac:dyDescent="0.25"/>
    <row r="242609" customFormat="1" x14ac:dyDescent="0.25"/>
    <row r="242610" customFormat="1" x14ac:dyDescent="0.25"/>
    <row r="242611" customFormat="1" x14ac:dyDescent="0.25"/>
    <row r="242612" customFormat="1" x14ac:dyDescent="0.25"/>
    <row r="242613" customFormat="1" x14ac:dyDescent="0.25"/>
    <row r="242614" customFormat="1" x14ac:dyDescent="0.25"/>
    <row r="242615" customFormat="1" x14ac:dyDescent="0.25"/>
    <row r="242616" customFormat="1" x14ac:dyDescent="0.25"/>
    <row r="242617" customFormat="1" x14ac:dyDescent="0.25"/>
    <row r="242618" customFormat="1" x14ac:dyDescent="0.25"/>
    <row r="242619" customFormat="1" x14ac:dyDescent="0.25"/>
    <row r="242620" customFormat="1" x14ac:dyDescent="0.25"/>
    <row r="242621" customFormat="1" x14ac:dyDescent="0.25"/>
    <row r="242622" customFormat="1" x14ac:dyDescent="0.25"/>
    <row r="242623" customFormat="1" x14ac:dyDescent="0.25"/>
    <row r="242624" customFormat="1" x14ac:dyDescent="0.25"/>
    <row r="242625" customFormat="1" x14ac:dyDescent="0.25"/>
    <row r="242626" customFormat="1" x14ac:dyDescent="0.25"/>
    <row r="242627" customFormat="1" x14ac:dyDescent="0.25"/>
    <row r="242628" customFormat="1" x14ac:dyDescent="0.25"/>
    <row r="242629" customFormat="1" x14ac:dyDescent="0.25"/>
    <row r="242630" customFormat="1" x14ac:dyDescent="0.25"/>
    <row r="242631" customFormat="1" x14ac:dyDescent="0.25"/>
    <row r="242632" customFormat="1" x14ac:dyDescent="0.25"/>
    <row r="242633" customFormat="1" x14ac:dyDescent="0.25"/>
    <row r="242634" customFormat="1" x14ac:dyDescent="0.25"/>
    <row r="242635" customFormat="1" x14ac:dyDescent="0.25"/>
    <row r="242636" customFormat="1" x14ac:dyDescent="0.25"/>
    <row r="242637" customFormat="1" x14ac:dyDescent="0.25"/>
    <row r="242638" customFormat="1" x14ac:dyDescent="0.25"/>
    <row r="242639" customFormat="1" x14ac:dyDescent="0.25"/>
    <row r="242640" customFormat="1" x14ac:dyDescent="0.25"/>
    <row r="242641" customFormat="1" x14ac:dyDescent="0.25"/>
    <row r="242642" customFormat="1" x14ac:dyDescent="0.25"/>
    <row r="242643" customFormat="1" x14ac:dyDescent="0.25"/>
    <row r="242644" customFormat="1" x14ac:dyDescent="0.25"/>
    <row r="242645" customFormat="1" x14ac:dyDescent="0.25"/>
    <row r="242646" customFormat="1" x14ac:dyDescent="0.25"/>
    <row r="242647" customFormat="1" x14ac:dyDescent="0.25"/>
    <row r="242648" customFormat="1" x14ac:dyDescent="0.25"/>
    <row r="242649" customFormat="1" x14ac:dyDescent="0.25"/>
    <row r="242650" customFormat="1" x14ac:dyDescent="0.25"/>
    <row r="242651" customFormat="1" x14ac:dyDescent="0.25"/>
    <row r="242652" customFormat="1" x14ac:dyDescent="0.25"/>
    <row r="242653" customFormat="1" x14ac:dyDescent="0.25"/>
    <row r="242654" customFormat="1" x14ac:dyDescent="0.25"/>
    <row r="242655" customFormat="1" x14ac:dyDescent="0.25"/>
    <row r="242656" customFormat="1" x14ac:dyDescent="0.25"/>
    <row r="242657" customFormat="1" x14ac:dyDescent="0.25"/>
    <row r="242658" customFormat="1" x14ac:dyDescent="0.25"/>
    <row r="242659" customFormat="1" x14ac:dyDescent="0.25"/>
    <row r="242660" customFormat="1" x14ac:dyDescent="0.25"/>
    <row r="242661" customFormat="1" x14ac:dyDescent="0.25"/>
    <row r="242662" customFormat="1" x14ac:dyDescent="0.25"/>
    <row r="242663" customFormat="1" x14ac:dyDescent="0.25"/>
    <row r="242664" customFormat="1" x14ac:dyDescent="0.25"/>
    <row r="242665" customFormat="1" x14ac:dyDescent="0.25"/>
    <row r="242666" customFormat="1" x14ac:dyDescent="0.25"/>
    <row r="242667" customFormat="1" x14ac:dyDescent="0.25"/>
    <row r="242668" customFormat="1" x14ac:dyDescent="0.25"/>
    <row r="242669" customFormat="1" x14ac:dyDescent="0.25"/>
    <row r="242670" customFormat="1" x14ac:dyDescent="0.25"/>
    <row r="242671" customFormat="1" x14ac:dyDescent="0.25"/>
    <row r="242672" customFormat="1" x14ac:dyDescent="0.25"/>
    <row r="242673" customFormat="1" x14ac:dyDescent="0.25"/>
    <row r="242674" customFormat="1" x14ac:dyDescent="0.25"/>
    <row r="242675" customFormat="1" x14ac:dyDescent="0.25"/>
    <row r="242676" customFormat="1" x14ac:dyDescent="0.25"/>
    <row r="242677" customFormat="1" x14ac:dyDescent="0.25"/>
    <row r="242678" customFormat="1" x14ac:dyDescent="0.25"/>
    <row r="242679" customFormat="1" x14ac:dyDescent="0.25"/>
    <row r="242680" customFormat="1" x14ac:dyDescent="0.25"/>
    <row r="242681" customFormat="1" x14ac:dyDescent="0.25"/>
    <row r="242682" customFormat="1" x14ac:dyDescent="0.25"/>
    <row r="242683" customFormat="1" x14ac:dyDescent="0.25"/>
    <row r="242684" customFormat="1" x14ac:dyDescent="0.25"/>
    <row r="242685" customFormat="1" x14ac:dyDescent="0.25"/>
    <row r="242686" customFormat="1" x14ac:dyDescent="0.25"/>
    <row r="242687" customFormat="1" x14ac:dyDescent="0.25"/>
    <row r="242688" customFormat="1" x14ac:dyDescent="0.25"/>
    <row r="242689" customFormat="1" x14ac:dyDescent="0.25"/>
    <row r="242690" customFormat="1" x14ac:dyDescent="0.25"/>
    <row r="242691" customFormat="1" x14ac:dyDescent="0.25"/>
    <row r="242692" customFormat="1" x14ac:dyDescent="0.25"/>
    <row r="242693" customFormat="1" x14ac:dyDescent="0.25"/>
    <row r="242694" customFormat="1" x14ac:dyDescent="0.25"/>
    <row r="242695" customFormat="1" x14ac:dyDescent="0.25"/>
    <row r="242696" customFormat="1" x14ac:dyDescent="0.25"/>
    <row r="242697" customFormat="1" x14ac:dyDescent="0.25"/>
    <row r="242698" customFormat="1" x14ac:dyDescent="0.25"/>
    <row r="242699" customFormat="1" x14ac:dyDescent="0.25"/>
    <row r="242700" customFormat="1" x14ac:dyDescent="0.25"/>
    <row r="242701" customFormat="1" x14ac:dyDescent="0.25"/>
    <row r="242702" customFormat="1" x14ac:dyDescent="0.25"/>
    <row r="242703" customFormat="1" x14ac:dyDescent="0.25"/>
    <row r="242704" customFormat="1" x14ac:dyDescent="0.25"/>
    <row r="242705" customFormat="1" x14ac:dyDescent="0.25"/>
    <row r="242706" customFormat="1" x14ac:dyDescent="0.25"/>
    <row r="242707" customFormat="1" x14ac:dyDescent="0.25"/>
    <row r="242708" customFormat="1" x14ac:dyDescent="0.25"/>
    <row r="242709" customFormat="1" x14ac:dyDescent="0.25"/>
    <row r="242710" customFormat="1" x14ac:dyDescent="0.25"/>
    <row r="242711" customFormat="1" x14ac:dyDescent="0.25"/>
    <row r="242712" customFormat="1" x14ac:dyDescent="0.25"/>
    <row r="242713" customFormat="1" x14ac:dyDescent="0.25"/>
    <row r="242714" customFormat="1" x14ac:dyDescent="0.25"/>
    <row r="242715" customFormat="1" x14ac:dyDescent="0.25"/>
    <row r="242716" customFormat="1" x14ac:dyDescent="0.25"/>
    <row r="242717" customFormat="1" x14ac:dyDescent="0.25"/>
    <row r="242718" customFormat="1" x14ac:dyDescent="0.25"/>
    <row r="242719" customFormat="1" x14ac:dyDescent="0.25"/>
    <row r="242720" customFormat="1" x14ac:dyDescent="0.25"/>
    <row r="242721" customFormat="1" x14ac:dyDescent="0.25"/>
    <row r="242722" customFormat="1" x14ac:dyDescent="0.25"/>
    <row r="242723" customFormat="1" x14ac:dyDescent="0.25"/>
    <row r="242724" customFormat="1" x14ac:dyDescent="0.25"/>
    <row r="242725" customFormat="1" x14ac:dyDescent="0.25"/>
    <row r="242726" customFormat="1" x14ac:dyDescent="0.25"/>
    <row r="242727" customFormat="1" x14ac:dyDescent="0.25"/>
    <row r="242728" customFormat="1" x14ac:dyDescent="0.25"/>
    <row r="242729" customFormat="1" x14ac:dyDescent="0.25"/>
    <row r="242730" customFormat="1" x14ac:dyDescent="0.25"/>
    <row r="242731" customFormat="1" x14ac:dyDescent="0.25"/>
    <row r="242732" customFormat="1" x14ac:dyDescent="0.25"/>
    <row r="242733" customFormat="1" x14ac:dyDescent="0.25"/>
    <row r="242734" customFormat="1" x14ac:dyDescent="0.25"/>
    <row r="242735" customFormat="1" x14ac:dyDescent="0.25"/>
    <row r="242736" customFormat="1" x14ac:dyDescent="0.25"/>
    <row r="242737" customFormat="1" x14ac:dyDescent="0.25"/>
    <row r="242738" customFormat="1" x14ac:dyDescent="0.25"/>
    <row r="242739" customFormat="1" x14ac:dyDescent="0.25"/>
    <row r="242740" customFormat="1" x14ac:dyDescent="0.25"/>
    <row r="242741" customFormat="1" x14ac:dyDescent="0.25"/>
    <row r="242742" customFormat="1" x14ac:dyDescent="0.25"/>
    <row r="242743" customFormat="1" x14ac:dyDescent="0.25"/>
    <row r="242744" customFormat="1" x14ac:dyDescent="0.25"/>
    <row r="242745" customFormat="1" x14ac:dyDescent="0.25"/>
    <row r="242746" customFormat="1" x14ac:dyDescent="0.25"/>
    <row r="242747" customFormat="1" x14ac:dyDescent="0.25"/>
    <row r="242748" customFormat="1" x14ac:dyDescent="0.25"/>
    <row r="242749" customFormat="1" x14ac:dyDescent="0.25"/>
    <row r="242750" customFormat="1" x14ac:dyDescent="0.25"/>
    <row r="242751" customFormat="1" x14ac:dyDescent="0.25"/>
    <row r="242752" customFormat="1" x14ac:dyDescent="0.25"/>
    <row r="242753" customFormat="1" x14ac:dyDescent="0.25"/>
    <row r="242754" customFormat="1" x14ac:dyDescent="0.25"/>
    <row r="242755" customFormat="1" x14ac:dyDescent="0.25"/>
    <row r="242756" customFormat="1" x14ac:dyDescent="0.25"/>
    <row r="242757" customFormat="1" x14ac:dyDescent="0.25"/>
    <row r="242758" customFormat="1" x14ac:dyDescent="0.25"/>
    <row r="242759" customFormat="1" x14ac:dyDescent="0.25"/>
    <row r="242760" customFormat="1" x14ac:dyDescent="0.25"/>
    <row r="242761" customFormat="1" x14ac:dyDescent="0.25"/>
    <row r="242762" customFormat="1" x14ac:dyDescent="0.25"/>
    <row r="242763" customFormat="1" x14ac:dyDescent="0.25"/>
    <row r="242764" customFormat="1" x14ac:dyDescent="0.25"/>
    <row r="242765" customFormat="1" x14ac:dyDescent="0.25"/>
    <row r="242766" customFormat="1" x14ac:dyDescent="0.25"/>
    <row r="242767" customFormat="1" x14ac:dyDescent="0.25"/>
    <row r="242768" customFormat="1" x14ac:dyDescent="0.25"/>
    <row r="242769" customFormat="1" x14ac:dyDescent="0.25"/>
    <row r="242770" customFormat="1" x14ac:dyDescent="0.25"/>
    <row r="242771" customFormat="1" x14ac:dyDescent="0.25"/>
    <row r="242772" customFormat="1" x14ac:dyDescent="0.25"/>
    <row r="242773" customFormat="1" x14ac:dyDescent="0.25"/>
    <row r="242774" customFormat="1" x14ac:dyDescent="0.25"/>
    <row r="242775" customFormat="1" x14ac:dyDescent="0.25"/>
    <row r="242776" customFormat="1" x14ac:dyDescent="0.25"/>
    <row r="242777" customFormat="1" x14ac:dyDescent="0.25"/>
    <row r="242778" customFormat="1" x14ac:dyDescent="0.25"/>
    <row r="242779" customFormat="1" x14ac:dyDescent="0.25"/>
    <row r="242780" customFormat="1" x14ac:dyDescent="0.25"/>
    <row r="242781" customFormat="1" x14ac:dyDescent="0.25"/>
    <row r="242782" customFormat="1" x14ac:dyDescent="0.25"/>
    <row r="242783" customFormat="1" x14ac:dyDescent="0.25"/>
    <row r="242784" customFormat="1" x14ac:dyDescent="0.25"/>
    <row r="242785" customFormat="1" x14ac:dyDescent="0.25"/>
    <row r="242786" customFormat="1" x14ac:dyDescent="0.25"/>
    <row r="242787" customFormat="1" x14ac:dyDescent="0.25"/>
    <row r="242788" customFormat="1" x14ac:dyDescent="0.25"/>
    <row r="242789" customFormat="1" x14ac:dyDescent="0.25"/>
    <row r="242790" customFormat="1" x14ac:dyDescent="0.25"/>
    <row r="242791" customFormat="1" x14ac:dyDescent="0.25"/>
    <row r="242792" customFormat="1" x14ac:dyDescent="0.25"/>
    <row r="242793" customFormat="1" x14ac:dyDescent="0.25"/>
    <row r="242794" customFormat="1" x14ac:dyDescent="0.25"/>
    <row r="242795" customFormat="1" x14ac:dyDescent="0.25"/>
    <row r="242796" customFormat="1" x14ac:dyDescent="0.25"/>
    <row r="242797" customFormat="1" x14ac:dyDescent="0.25"/>
    <row r="242798" customFormat="1" x14ac:dyDescent="0.25"/>
    <row r="242799" customFormat="1" x14ac:dyDescent="0.25"/>
    <row r="242800" customFormat="1" x14ac:dyDescent="0.25"/>
    <row r="242801" customFormat="1" x14ac:dyDescent="0.25"/>
    <row r="242802" customFormat="1" x14ac:dyDescent="0.25"/>
    <row r="242803" customFormat="1" x14ac:dyDescent="0.25"/>
    <row r="242804" customFormat="1" x14ac:dyDescent="0.25"/>
    <row r="242805" customFormat="1" x14ac:dyDescent="0.25"/>
    <row r="242806" customFormat="1" x14ac:dyDescent="0.25"/>
    <row r="242807" customFormat="1" x14ac:dyDescent="0.25"/>
    <row r="242808" customFormat="1" x14ac:dyDescent="0.25"/>
    <row r="242809" customFormat="1" x14ac:dyDescent="0.25"/>
    <row r="242810" customFormat="1" x14ac:dyDescent="0.25"/>
    <row r="242811" customFormat="1" x14ac:dyDescent="0.25"/>
    <row r="242812" customFormat="1" x14ac:dyDescent="0.25"/>
    <row r="242813" customFormat="1" x14ac:dyDescent="0.25"/>
    <row r="242814" customFormat="1" x14ac:dyDescent="0.25"/>
    <row r="242815" customFormat="1" x14ac:dyDescent="0.25"/>
    <row r="242816" customFormat="1" x14ac:dyDescent="0.25"/>
    <row r="242817" customFormat="1" x14ac:dyDescent="0.25"/>
    <row r="242818" customFormat="1" x14ac:dyDescent="0.25"/>
    <row r="242819" customFormat="1" x14ac:dyDescent="0.25"/>
    <row r="242820" customFormat="1" x14ac:dyDescent="0.25"/>
    <row r="242821" customFormat="1" x14ac:dyDescent="0.25"/>
    <row r="242822" customFormat="1" x14ac:dyDescent="0.25"/>
    <row r="242823" customFormat="1" x14ac:dyDescent="0.25"/>
    <row r="242824" customFormat="1" x14ac:dyDescent="0.25"/>
    <row r="242825" customFormat="1" x14ac:dyDescent="0.25"/>
    <row r="242826" customFormat="1" x14ac:dyDescent="0.25"/>
    <row r="242827" customFormat="1" x14ac:dyDescent="0.25"/>
    <row r="242828" customFormat="1" x14ac:dyDescent="0.25"/>
    <row r="242829" customFormat="1" x14ac:dyDescent="0.25"/>
    <row r="242830" customFormat="1" x14ac:dyDescent="0.25"/>
    <row r="242831" customFormat="1" x14ac:dyDescent="0.25"/>
    <row r="242832" customFormat="1" x14ac:dyDescent="0.25"/>
    <row r="242833" customFormat="1" x14ac:dyDescent="0.25"/>
    <row r="242834" customFormat="1" x14ac:dyDescent="0.25"/>
    <row r="242835" customFormat="1" x14ac:dyDescent="0.25"/>
    <row r="242836" customFormat="1" x14ac:dyDescent="0.25"/>
    <row r="242837" customFormat="1" x14ac:dyDescent="0.25"/>
    <row r="242838" customFormat="1" x14ac:dyDescent="0.25"/>
    <row r="242839" customFormat="1" x14ac:dyDescent="0.25"/>
    <row r="242840" customFormat="1" x14ac:dyDescent="0.25"/>
    <row r="242841" customFormat="1" x14ac:dyDescent="0.25"/>
    <row r="242842" customFormat="1" x14ac:dyDescent="0.25"/>
    <row r="242843" customFormat="1" x14ac:dyDescent="0.25"/>
    <row r="242844" customFormat="1" x14ac:dyDescent="0.25"/>
    <row r="242845" customFormat="1" x14ac:dyDescent="0.25"/>
    <row r="242846" customFormat="1" x14ac:dyDescent="0.25"/>
    <row r="242847" customFormat="1" x14ac:dyDescent="0.25"/>
    <row r="242848" customFormat="1" x14ac:dyDescent="0.25"/>
    <row r="242849" customFormat="1" x14ac:dyDescent="0.25"/>
    <row r="242850" customFormat="1" x14ac:dyDescent="0.25"/>
    <row r="242851" customFormat="1" x14ac:dyDescent="0.25"/>
    <row r="242852" customFormat="1" x14ac:dyDescent="0.25"/>
    <row r="242853" customFormat="1" x14ac:dyDescent="0.25"/>
    <row r="242854" customFormat="1" x14ac:dyDescent="0.25"/>
    <row r="242855" customFormat="1" x14ac:dyDescent="0.25"/>
    <row r="242856" customFormat="1" x14ac:dyDescent="0.25"/>
    <row r="242857" customFormat="1" x14ac:dyDescent="0.25"/>
    <row r="242858" customFormat="1" x14ac:dyDescent="0.25"/>
    <row r="242859" customFormat="1" x14ac:dyDescent="0.25"/>
    <row r="242860" customFormat="1" x14ac:dyDescent="0.25"/>
    <row r="242861" customFormat="1" x14ac:dyDescent="0.25"/>
    <row r="242862" customFormat="1" x14ac:dyDescent="0.25"/>
    <row r="242863" customFormat="1" x14ac:dyDescent="0.25"/>
    <row r="242864" customFormat="1" x14ac:dyDescent="0.25"/>
    <row r="242865" customFormat="1" x14ac:dyDescent="0.25"/>
    <row r="242866" customFormat="1" x14ac:dyDescent="0.25"/>
    <row r="242867" customFormat="1" x14ac:dyDescent="0.25"/>
    <row r="242868" customFormat="1" x14ac:dyDescent="0.25"/>
    <row r="242869" customFormat="1" x14ac:dyDescent="0.25"/>
    <row r="242870" customFormat="1" x14ac:dyDescent="0.25"/>
    <row r="242871" customFormat="1" x14ac:dyDescent="0.25"/>
    <row r="242872" customFormat="1" x14ac:dyDescent="0.25"/>
    <row r="242873" customFormat="1" x14ac:dyDescent="0.25"/>
    <row r="242874" customFormat="1" x14ac:dyDescent="0.25"/>
    <row r="242875" customFormat="1" x14ac:dyDescent="0.25"/>
    <row r="242876" customFormat="1" x14ac:dyDescent="0.25"/>
    <row r="242877" customFormat="1" x14ac:dyDescent="0.25"/>
    <row r="242878" customFormat="1" x14ac:dyDescent="0.25"/>
    <row r="242879" customFormat="1" x14ac:dyDescent="0.25"/>
    <row r="242880" customFormat="1" x14ac:dyDescent="0.25"/>
    <row r="242881" customFormat="1" x14ac:dyDescent="0.25"/>
    <row r="242882" customFormat="1" x14ac:dyDescent="0.25"/>
    <row r="242883" customFormat="1" x14ac:dyDescent="0.25"/>
    <row r="242884" customFormat="1" x14ac:dyDescent="0.25"/>
    <row r="242885" customFormat="1" x14ac:dyDescent="0.25"/>
    <row r="242886" customFormat="1" x14ac:dyDescent="0.25"/>
    <row r="242887" customFormat="1" x14ac:dyDescent="0.25"/>
    <row r="242888" customFormat="1" x14ac:dyDescent="0.25"/>
    <row r="242889" customFormat="1" x14ac:dyDescent="0.25"/>
    <row r="242890" customFormat="1" x14ac:dyDescent="0.25"/>
    <row r="242891" customFormat="1" x14ac:dyDescent="0.25"/>
    <row r="242892" customFormat="1" x14ac:dyDescent="0.25"/>
    <row r="242893" customFormat="1" x14ac:dyDescent="0.25"/>
    <row r="242894" customFormat="1" x14ac:dyDescent="0.25"/>
    <row r="242895" customFormat="1" x14ac:dyDescent="0.25"/>
    <row r="242896" customFormat="1" x14ac:dyDescent="0.25"/>
    <row r="242897" customFormat="1" x14ac:dyDescent="0.25"/>
    <row r="242898" customFormat="1" x14ac:dyDescent="0.25"/>
    <row r="242899" customFormat="1" x14ac:dyDescent="0.25"/>
    <row r="242900" customFormat="1" x14ac:dyDescent="0.25"/>
    <row r="242901" customFormat="1" x14ac:dyDescent="0.25"/>
    <row r="242902" customFormat="1" x14ac:dyDescent="0.25"/>
    <row r="242903" customFormat="1" x14ac:dyDescent="0.25"/>
    <row r="242904" customFormat="1" x14ac:dyDescent="0.25"/>
    <row r="242905" customFormat="1" x14ac:dyDescent="0.25"/>
    <row r="242906" customFormat="1" x14ac:dyDescent="0.25"/>
    <row r="242907" customFormat="1" x14ac:dyDescent="0.25"/>
    <row r="242908" customFormat="1" x14ac:dyDescent="0.25"/>
    <row r="242909" customFormat="1" x14ac:dyDescent="0.25"/>
    <row r="242910" customFormat="1" x14ac:dyDescent="0.25"/>
    <row r="242911" customFormat="1" x14ac:dyDescent="0.25"/>
    <row r="242912" customFormat="1" x14ac:dyDescent="0.25"/>
    <row r="242913" customFormat="1" x14ac:dyDescent="0.25"/>
    <row r="242914" customFormat="1" x14ac:dyDescent="0.25"/>
    <row r="242915" customFormat="1" x14ac:dyDescent="0.25"/>
    <row r="242916" customFormat="1" x14ac:dyDescent="0.25"/>
    <row r="242917" customFormat="1" x14ac:dyDescent="0.25"/>
    <row r="242918" customFormat="1" x14ac:dyDescent="0.25"/>
    <row r="242919" customFormat="1" x14ac:dyDescent="0.25"/>
    <row r="242920" customFormat="1" x14ac:dyDescent="0.25"/>
    <row r="242921" customFormat="1" x14ac:dyDescent="0.25"/>
    <row r="242922" customFormat="1" x14ac:dyDescent="0.25"/>
    <row r="242923" customFormat="1" x14ac:dyDescent="0.25"/>
    <row r="242924" customFormat="1" x14ac:dyDescent="0.25"/>
    <row r="242925" customFormat="1" x14ac:dyDescent="0.25"/>
    <row r="242926" customFormat="1" x14ac:dyDescent="0.25"/>
    <row r="242927" customFormat="1" x14ac:dyDescent="0.25"/>
    <row r="242928" customFormat="1" x14ac:dyDescent="0.25"/>
    <row r="242929" customFormat="1" x14ac:dyDescent="0.25"/>
    <row r="242930" customFormat="1" x14ac:dyDescent="0.25"/>
    <row r="242931" customFormat="1" x14ac:dyDescent="0.25"/>
    <row r="242932" customFormat="1" x14ac:dyDescent="0.25"/>
    <row r="242933" customFormat="1" x14ac:dyDescent="0.25"/>
    <row r="242934" customFormat="1" x14ac:dyDescent="0.25"/>
    <row r="242935" customFormat="1" x14ac:dyDescent="0.25"/>
    <row r="242936" customFormat="1" x14ac:dyDescent="0.25"/>
    <row r="242937" customFormat="1" x14ac:dyDescent="0.25"/>
    <row r="242938" customFormat="1" x14ac:dyDescent="0.25"/>
    <row r="242939" customFormat="1" x14ac:dyDescent="0.25"/>
    <row r="242940" customFormat="1" x14ac:dyDescent="0.25"/>
    <row r="242941" customFormat="1" x14ac:dyDescent="0.25"/>
    <row r="242942" customFormat="1" x14ac:dyDescent="0.25"/>
    <row r="242943" customFormat="1" x14ac:dyDescent="0.25"/>
    <row r="242944" customFormat="1" x14ac:dyDescent="0.25"/>
    <row r="242945" customFormat="1" x14ac:dyDescent="0.25"/>
    <row r="242946" customFormat="1" x14ac:dyDescent="0.25"/>
    <row r="242947" customFormat="1" x14ac:dyDescent="0.25"/>
    <row r="242948" customFormat="1" x14ac:dyDescent="0.25"/>
    <row r="242949" customFormat="1" x14ac:dyDescent="0.25"/>
    <row r="242950" customFormat="1" x14ac:dyDescent="0.25"/>
    <row r="242951" customFormat="1" x14ac:dyDescent="0.25"/>
    <row r="242952" customFormat="1" x14ac:dyDescent="0.25"/>
    <row r="242953" customFormat="1" x14ac:dyDescent="0.25"/>
    <row r="242954" customFormat="1" x14ac:dyDescent="0.25"/>
    <row r="242955" customFormat="1" x14ac:dyDescent="0.25"/>
    <row r="242956" customFormat="1" x14ac:dyDescent="0.25"/>
    <row r="242957" customFormat="1" x14ac:dyDescent="0.25"/>
    <row r="242958" customFormat="1" x14ac:dyDescent="0.25"/>
    <row r="242959" customFormat="1" x14ac:dyDescent="0.25"/>
    <row r="242960" customFormat="1" x14ac:dyDescent="0.25"/>
    <row r="242961" customFormat="1" x14ac:dyDescent="0.25"/>
    <row r="242962" customFormat="1" x14ac:dyDescent="0.25"/>
    <row r="242963" customFormat="1" x14ac:dyDescent="0.25"/>
    <row r="242964" customFormat="1" x14ac:dyDescent="0.25"/>
    <row r="242965" customFormat="1" x14ac:dyDescent="0.25"/>
    <row r="242966" customFormat="1" x14ac:dyDescent="0.25"/>
    <row r="242967" customFormat="1" x14ac:dyDescent="0.25"/>
    <row r="242968" customFormat="1" x14ac:dyDescent="0.25"/>
    <row r="242969" customFormat="1" x14ac:dyDescent="0.25"/>
    <row r="242970" customFormat="1" x14ac:dyDescent="0.25"/>
    <row r="242971" customFormat="1" x14ac:dyDescent="0.25"/>
    <row r="242972" customFormat="1" x14ac:dyDescent="0.25"/>
    <row r="242973" customFormat="1" x14ac:dyDescent="0.25"/>
    <row r="242974" customFormat="1" x14ac:dyDescent="0.25"/>
    <row r="242975" customFormat="1" x14ac:dyDescent="0.25"/>
    <row r="242976" customFormat="1" x14ac:dyDescent="0.25"/>
    <row r="242977" customFormat="1" x14ac:dyDescent="0.25"/>
    <row r="242978" customFormat="1" x14ac:dyDescent="0.25"/>
    <row r="242979" customFormat="1" x14ac:dyDescent="0.25"/>
    <row r="242980" customFormat="1" x14ac:dyDescent="0.25"/>
    <row r="242981" customFormat="1" x14ac:dyDescent="0.25"/>
    <row r="242982" customFormat="1" x14ac:dyDescent="0.25"/>
    <row r="242983" customFormat="1" x14ac:dyDescent="0.25"/>
    <row r="242984" customFormat="1" x14ac:dyDescent="0.25"/>
    <row r="242985" customFormat="1" x14ac:dyDescent="0.25"/>
    <row r="242986" customFormat="1" x14ac:dyDescent="0.25"/>
    <row r="242987" customFormat="1" x14ac:dyDescent="0.25"/>
    <row r="242988" customFormat="1" x14ac:dyDescent="0.25"/>
    <row r="242989" customFormat="1" x14ac:dyDescent="0.25"/>
    <row r="242990" customFormat="1" x14ac:dyDescent="0.25"/>
    <row r="242991" customFormat="1" x14ac:dyDescent="0.25"/>
    <row r="242992" customFormat="1" x14ac:dyDescent="0.25"/>
    <row r="242993" customFormat="1" x14ac:dyDescent="0.25"/>
    <row r="242994" customFormat="1" x14ac:dyDescent="0.25"/>
    <row r="242995" customFormat="1" x14ac:dyDescent="0.25"/>
    <row r="242996" customFormat="1" x14ac:dyDescent="0.25"/>
    <row r="242997" customFormat="1" x14ac:dyDescent="0.25"/>
    <row r="242998" customFormat="1" x14ac:dyDescent="0.25"/>
    <row r="242999" customFormat="1" x14ac:dyDescent="0.25"/>
    <row r="243000" customFormat="1" x14ac:dyDescent="0.25"/>
    <row r="243001" customFormat="1" x14ac:dyDescent="0.25"/>
    <row r="243002" customFormat="1" x14ac:dyDescent="0.25"/>
    <row r="243003" customFormat="1" x14ac:dyDescent="0.25"/>
    <row r="243004" customFormat="1" x14ac:dyDescent="0.25"/>
    <row r="243005" customFormat="1" x14ac:dyDescent="0.25"/>
    <row r="243006" customFormat="1" x14ac:dyDescent="0.25"/>
    <row r="243007" customFormat="1" x14ac:dyDescent="0.25"/>
    <row r="243008" customFormat="1" x14ac:dyDescent="0.25"/>
    <row r="243009" customFormat="1" x14ac:dyDescent="0.25"/>
    <row r="243010" customFormat="1" x14ac:dyDescent="0.25"/>
    <row r="243011" customFormat="1" x14ac:dyDescent="0.25"/>
    <row r="243012" customFormat="1" x14ac:dyDescent="0.25"/>
    <row r="243013" customFormat="1" x14ac:dyDescent="0.25"/>
    <row r="243014" customFormat="1" x14ac:dyDescent="0.25"/>
    <row r="243015" customFormat="1" x14ac:dyDescent="0.25"/>
    <row r="243016" customFormat="1" x14ac:dyDescent="0.25"/>
    <row r="243017" customFormat="1" x14ac:dyDescent="0.25"/>
    <row r="243018" customFormat="1" x14ac:dyDescent="0.25"/>
    <row r="243019" customFormat="1" x14ac:dyDescent="0.25"/>
    <row r="243020" customFormat="1" x14ac:dyDescent="0.25"/>
    <row r="243021" customFormat="1" x14ac:dyDescent="0.25"/>
    <row r="243022" customFormat="1" x14ac:dyDescent="0.25"/>
    <row r="243023" customFormat="1" x14ac:dyDescent="0.25"/>
    <row r="243024" customFormat="1" x14ac:dyDescent="0.25"/>
    <row r="243025" customFormat="1" x14ac:dyDescent="0.25"/>
    <row r="243026" customFormat="1" x14ac:dyDescent="0.25"/>
    <row r="243027" customFormat="1" x14ac:dyDescent="0.25"/>
    <row r="243028" customFormat="1" x14ac:dyDescent="0.25"/>
    <row r="243029" customFormat="1" x14ac:dyDescent="0.25"/>
    <row r="243030" customFormat="1" x14ac:dyDescent="0.25"/>
    <row r="243031" customFormat="1" x14ac:dyDescent="0.25"/>
    <row r="243032" customFormat="1" x14ac:dyDescent="0.25"/>
    <row r="243033" customFormat="1" x14ac:dyDescent="0.25"/>
    <row r="243034" customFormat="1" x14ac:dyDescent="0.25"/>
    <row r="243035" customFormat="1" x14ac:dyDescent="0.25"/>
    <row r="243036" customFormat="1" x14ac:dyDescent="0.25"/>
    <row r="243037" customFormat="1" x14ac:dyDescent="0.25"/>
    <row r="243038" customFormat="1" x14ac:dyDescent="0.25"/>
    <row r="243039" customFormat="1" x14ac:dyDescent="0.25"/>
    <row r="243040" customFormat="1" x14ac:dyDescent="0.25"/>
    <row r="243041" customFormat="1" x14ac:dyDescent="0.25"/>
    <row r="243042" customFormat="1" x14ac:dyDescent="0.25"/>
    <row r="243043" customFormat="1" x14ac:dyDescent="0.25"/>
    <row r="243044" customFormat="1" x14ac:dyDescent="0.25"/>
    <row r="243045" customFormat="1" x14ac:dyDescent="0.25"/>
    <row r="243046" customFormat="1" x14ac:dyDescent="0.25"/>
    <row r="243047" customFormat="1" x14ac:dyDescent="0.25"/>
    <row r="243048" customFormat="1" x14ac:dyDescent="0.25"/>
    <row r="243049" customFormat="1" x14ac:dyDescent="0.25"/>
    <row r="243050" customFormat="1" x14ac:dyDescent="0.25"/>
    <row r="243051" customFormat="1" x14ac:dyDescent="0.25"/>
    <row r="243052" customFormat="1" x14ac:dyDescent="0.25"/>
    <row r="243053" customFormat="1" x14ac:dyDescent="0.25"/>
    <row r="243054" customFormat="1" x14ac:dyDescent="0.25"/>
    <row r="243055" customFormat="1" x14ac:dyDescent="0.25"/>
    <row r="243056" customFormat="1" x14ac:dyDescent="0.25"/>
    <row r="243057" customFormat="1" x14ac:dyDescent="0.25"/>
    <row r="243058" customFormat="1" x14ac:dyDescent="0.25"/>
    <row r="243059" customFormat="1" x14ac:dyDescent="0.25"/>
    <row r="243060" customFormat="1" x14ac:dyDescent="0.25"/>
    <row r="243061" customFormat="1" x14ac:dyDescent="0.25"/>
    <row r="243062" customFormat="1" x14ac:dyDescent="0.25"/>
    <row r="243063" customFormat="1" x14ac:dyDescent="0.25"/>
    <row r="243064" customFormat="1" x14ac:dyDescent="0.25"/>
    <row r="243065" customFormat="1" x14ac:dyDescent="0.25"/>
    <row r="243066" customFormat="1" x14ac:dyDescent="0.25"/>
    <row r="243067" customFormat="1" x14ac:dyDescent="0.25"/>
    <row r="243068" customFormat="1" x14ac:dyDescent="0.25"/>
    <row r="243069" customFormat="1" x14ac:dyDescent="0.25"/>
    <row r="243070" customFormat="1" x14ac:dyDescent="0.25"/>
    <row r="243071" customFormat="1" x14ac:dyDescent="0.25"/>
    <row r="243072" customFormat="1" x14ac:dyDescent="0.25"/>
    <row r="243073" customFormat="1" x14ac:dyDescent="0.25"/>
    <row r="243074" customFormat="1" x14ac:dyDescent="0.25"/>
    <row r="243075" customFormat="1" x14ac:dyDescent="0.25"/>
    <row r="243076" customFormat="1" x14ac:dyDescent="0.25"/>
    <row r="243077" customFormat="1" x14ac:dyDescent="0.25"/>
    <row r="243078" customFormat="1" x14ac:dyDescent="0.25"/>
    <row r="243079" customFormat="1" x14ac:dyDescent="0.25"/>
    <row r="243080" customFormat="1" x14ac:dyDescent="0.25"/>
    <row r="243081" customFormat="1" x14ac:dyDescent="0.25"/>
    <row r="243082" customFormat="1" x14ac:dyDescent="0.25"/>
    <row r="243083" customFormat="1" x14ac:dyDescent="0.25"/>
    <row r="243084" customFormat="1" x14ac:dyDescent="0.25"/>
    <row r="243085" customFormat="1" x14ac:dyDescent="0.25"/>
    <row r="243086" customFormat="1" x14ac:dyDescent="0.25"/>
    <row r="243087" customFormat="1" x14ac:dyDescent="0.25"/>
    <row r="243088" customFormat="1" x14ac:dyDescent="0.25"/>
    <row r="243089" customFormat="1" x14ac:dyDescent="0.25"/>
    <row r="243090" customFormat="1" x14ac:dyDescent="0.25"/>
    <row r="243091" customFormat="1" x14ac:dyDescent="0.25"/>
    <row r="243092" customFormat="1" x14ac:dyDescent="0.25"/>
    <row r="243093" customFormat="1" x14ac:dyDescent="0.25"/>
    <row r="243094" customFormat="1" x14ac:dyDescent="0.25"/>
    <row r="243095" customFormat="1" x14ac:dyDescent="0.25"/>
    <row r="243096" customFormat="1" x14ac:dyDescent="0.25"/>
    <row r="243097" customFormat="1" x14ac:dyDescent="0.25"/>
    <row r="243098" customFormat="1" x14ac:dyDescent="0.25"/>
    <row r="243099" customFormat="1" x14ac:dyDescent="0.25"/>
    <row r="243100" customFormat="1" x14ac:dyDescent="0.25"/>
    <row r="243101" customFormat="1" x14ac:dyDescent="0.25"/>
    <row r="243102" customFormat="1" x14ac:dyDescent="0.25"/>
    <row r="243103" customFormat="1" x14ac:dyDescent="0.25"/>
    <row r="243104" customFormat="1" x14ac:dyDescent="0.25"/>
    <row r="243105" customFormat="1" x14ac:dyDescent="0.25"/>
    <row r="243106" customFormat="1" x14ac:dyDescent="0.25"/>
    <row r="243107" customFormat="1" x14ac:dyDescent="0.25"/>
    <row r="243108" customFormat="1" x14ac:dyDescent="0.25"/>
    <row r="243109" customFormat="1" x14ac:dyDescent="0.25"/>
    <row r="243110" customFormat="1" x14ac:dyDescent="0.25"/>
    <row r="243111" customFormat="1" x14ac:dyDescent="0.25"/>
    <row r="243112" customFormat="1" x14ac:dyDescent="0.25"/>
    <row r="243113" customFormat="1" x14ac:dyDescent="0.25"/>
    <row r="243114" customFormat="1" x14ac:dyDescent="0.25"/>
    <row r="243115" customFormat="1" x14ac:dyDescent="0.25"/>
    <row r="243116" customFormat="1" x14ac:dyDescent="0.25"/>
    <row r="243117" customFormat="1" x14ac:dyDescent="0.25"/>
    <row r="243118" customFormat="1" x14ac:dyDescent="0.25"/>
    <row r="243119" customFormat="1" x14ac:dyDescent="0.25"/>
    <row r="243120" customFormat="1" x14ac:dyDescent="0.25"/>
    <row r="243121" customFormat="1" x14ac:dyDescent="0.25"/>
    <row r="243122" customFormat="1" x14ac:dyDescent="0.25"/>
    <row r="243123" customFormat="1" x14ac:dyDescent="0.25"/>
    <row r="243124" customFormat="1" x14ac:dyDescent="0.25"/>
    <row r="243125" customFormat="1" x14ac:dyDescent="0.25"/>
    <row r="243126" customFormat="1" x14ac:dyDescent="0.25"/>
    <row r="243127" customFormat="1" x14ac:dyDescent="0.25"/>
    <row r="243128" customFormat="1" x14ac:dyDescent="0.25"/>
    <row r="243129" customFormat="1" x14ac:dyDescent="0.25"/>
    <row r="243130" customFormat="1" x14ac:dyDescent="0.25"/>
    <row r="243131" customFormat="1" x14ac:dyDescent="0.25"/>
    <row r="243132" customFormat="1" x14ac:dyDescent="0.25"/>
    <row r="243133" customFormat="1" x14ac:dyDescent="0.25"/>
    <row r="243134" customFormat="1" x14ac:dyDescent="0.25"/>
    <row r="243135" customFormat="1" x14ac:dyDescent="0.25"/>
    <row r="243136" customFormat="1" x14ac:dyDescent="0.25"/>
    <row r="243137" customFormat="1" x14ac:dyDescent="0.25"/>
    <row r="243138" customFormat="1" x14ac:dyDescent="0.25"/>
    <row r="243139" customFormat="1" x14ac:dyDescent="0.25"/>
    <row r="243140" customFormat="1" x14ac:dyDescent="0.25"/>
    <row r="243141" customFormat="1" x14ac:dyDescent="0.25"/>
    <row r="243142" customFormat="1" x14ac:dyDescent="0.25"/>
    <row r="243143" customFormat="1" x14ac:dyDescent="0.25"/>
    <row r="243144" customFormat="1" x14ac:dyDescent="0.25"/>
    <row r="243145" customFormat="1" x14ac:dyDescent="0.25"/>
    <row r="243146" customFormat="1" x14ac:dyDescent="0.25"/>
    <row r="243147" customFormat="1" x14ac:dyDescent="0.25"/>
    <row r="243148" customFormat="1" x14ac:dyDescent="0.25"/>
    <row r="243149" customFormat="1" x14ac:dyDescent="0.25"/>
    <row r="243150" customFormat="1" x14ac:dyDescent="0.25"/>
    <row r="243151" customFormat="1" x14ac:dyDescent="0.25"/>
    <row r="243152" customFormat="1" x14ac:dyDescent="0.25"/>
    <row r="243153" customFormat="1" x14ac:dyDescent="0.25"/>
    <row r="243154" customFormat="1" x14ac:dyDescent="0.25"/>
    <row r="243155" customFormat="1" x14ac:dyDescent="0.25"/>
    <row r="243156" customFormat="1" x14ac:dyDescent="0.25"/>
    <row r="243157" customFormat="1" x14ac:dyDescent="0.25"/>
    <row r="243158" customFormat="1" x14ac:dyDescent="0.25"/>
    <row r="243159" customFormat="1" x14ac:dyDescent="0.25"/>
    <row r="243160" customFormat="1" x14ac:dyDescent="0.25"/>
    <row r="243161" customFormat="1" x14ac:dyDescent="0.25"/>
    <row r="243162" customFormat="1" x14ac:dyDescent="0.25"/>
    <row r="243163" customFormat="1" x14ac:dyDescent="0.25"/>
    <row r="243164" customFormat="1" x14ac:dyDescent="0.25"/>
    <row r="243165" customFormat="1" x14ac:dyDescent="0.25"/>
    <row r="243166" customFormat="1" x14ac:dyDescent="0.25"/>
    <row r="243167" customFormat="1" x14ac:dyDescent="0.25"/>
    <row r="243168" customFormat="1" x14ac:dyDescent="0.25"/>
    <row r="243169" customFormat="1" x14ac:dyDescent="0.25"/>
    <row r="243170" customFormat="1" x14ac:dyDescent="0.25"/>
    <row r="243171" customFormat="1" x14ac:dyDescent="0.25"/>
    <row r="243172" customFormat="1" x14ac:dyDescent="0.25"/>
    <row r="243173" customFormat="1" x14ac:dyDescent="0.25"/>
    <row r="243174" customFormat="1" x14ac:dyDescent="0.25"/>
    <row r="243175" customFormat="1" x14ac:dyDescent="0.25"/>
    <row r="243176" customFormat="1" x14ac:dyDescent="0.25"/>
    <row r="243177" customFormat="1" x14ac:dyDescent="0.25"/>
    <row r="243178" customFormat="1" x14ac:dyDescent="0.25"/>
    <row r="243179" customFormat="1" x14ac:dyDescent="0.25"/>
    <row r="243180" customFormat="1" x14ac:dyDescent="0.25"/>
    <row r="243181" customFormat="1" x14ac:dyDescent="0.25"/>
    <row r="243182" customFormat="1" x14ac:dyDescent="0.25"/>
    <row r="243183" customFormat="1" x14ac:dyDescent="0.25"/>
    <row r="243184" customFormat="1" x14ac:dyDescent="0.25"/>
    <row r="243185" customFormat="1" x14ac:dyDescent="0.25"/>
    <row r="243186" customFormat="1" x14ac:dyDescent="0.25"/>
    <row r="243187" customFormat="1" x14ac:dyDescent="0.25"/>
    <row r="243188" customFormat="1" x14ac:dyDescent="0.25"/>
    <row r="243189" customFormat="1" x14ac:dyDescent="0.25"/>
    <row r="243190" customFormat="1" x14ac:dyDescent="0.25"/>
    <row r="243191" customFormat="1" x14ac:dyDescent="0.25"/>
    <row r="243192" customFormat="1" x14ac:dyDescent="0.25"/>
    <row r="243193" customFormat="1" x14ac:dyDescent="0.25"/>
    <row r="243194" customFormat="1" x14ac:dyDescent="0.25"/>
    <row r="243195" customFormat="1" x14ac:dyDescent="0.25"/>
    <row r="243196" customFormat="1" x14ac:dyDescent="0.25"/>
    <row r="243197" customFormat="1" x14ac:dyDescent="0.25"/>
    <row r="243198" customFormat="1" x14ac:dyDescent="0.25"/>
    <row r="243199" customFormat="1" x14ac:dyDescent="0.25"/>
    <row r="243200" customFormat="1" x14ac:dyDescent="0.25"/>
    <row r="243201" customFormat="1" x14ac:dyDescent="0.25"/>
    <row r="243202" customFormat="1" x14ac:dyDescent="0.25"/>
    <row r="243203" customFormat="1" x14ac:dyDescent="0.25"/>
    <row r="243204" customFormat="1" x14ac:dyDescent="0.25"/>
    <row r="243205" customFormat="1" x14ac:dyDescent="0.25"/>
    <row r="243206" customFormat="1" x14ac:dyDescent="0.25"/>
    <row r="243207" customFormat="1" x14ac:dyDescent="0.25"/>
    <row r="243208" customFormat="1" x14ac:dyDescent="0.25"/>
    <row r="243209" customFormat="1" x14ac:dyDescent="0.25"/>
    <row r="243210" customFormat="1" x14ac:dyDescent="0.25"/>
    <row r="243211" customFormat="1" x14ac:dyDescent="0.25"/>
    <row r="243212" customFormat="1" x14ac:dyDescent="0.25"/>
    <row r="243213" customFormat="1" x14ac:dyDescent="0.25"/>
    <row r="243214" customFormat="1" x14ac:dyDescent="0.25"/>
    <row r="243215" customFormat="1" x14ac:dyDescent="0.25"/>
    <row r="243216" customFormat="1" x14ac:dyDescent="0.25"/>
    <row r="243217" customFormat="1" x14ac:dyDescent="0.25"/>
    <row r="243218" customFormat="1" x14ac:dyDescent="0.25"/>
    <row r="243219" customFormat="1" x14ac:dyDescent="0.25"/>
    <row r="243220" customFormat="1" x14ac:dyDescent="0.25"/>
    <row r="243221" customFormat="1" x14ac:dyDescent="0.25"/>
    <row r="243222" customFormat="1" x14ac:dyDescent="0.25"/>
    <row r="243223" customFormat="1" x14ac:dyDescent="0.25"/>
    <row r="243224" customFormat="1" x14ac:dyDescent="0.25"/>
    <row r="243225" customFormat="1" x14ac:dyDescent="0.25"/>
    <row r="243226" customFormat="1" x14ac:dyDescent="0.25"/>
    <row r="243227" customFormat="1" x14ac:dyDescent="0.25"/>
    <row r="243228" customFormat="1" x14ac:dyDescent="0.25"/>
    <row r="243229" customFormat="1" x14ac:dyDescent="0.25"/>
    <row r="243230" customFormat="1" x14ac:dyDescent="0.25"/>
    <row r="243231" customFormat="1" x14ac:dyDescent="0.25"/>
    <row r="243232" customFormat="1" x14ac:dyDescent="0.25"/>
    <row r="243233" customFormat="1" x14ac:dyDescent="0.25"/>
    <row r="243234" customFormat="1" x14ac:dyDescent="0.25"/>
    <row r="243235" customFormat="1" x14ac:dyDescent="0.25"/>
    <row r="243236" customFormat="1" x14ac:dyDescent="0.25"/>
    <row r="243237" customFormat="1" x14ac:dyDescent="0.25"/>
    <row r="243238" customFormat="1" x14ac:dyDescent="0.25"/>
    <row r="243239" customFormat="1" x14ac:dyDescent="0.25"/>
    <row r="243240" customFormat="1" x14ac:dyDescent="0.25"/>
    <row r="243241" customFormat="1" x14ac:dyDescent="0.25"/>
    <row r="243242" customFormat="1" x14ac:dyDescent="0.25"/>
    <row r="243243" customFormat="1" x14ac:dyDescent="0.25"/>
    <row r="243244" customFormat="1" x14ac:dyDescent="0.25"/>
    <row r="243245" customFormat="1" x14ac:dyDescent="0.25"/>
    <row r="243246" customFormat="1" x14ac:dyDescent="0.25"/>
    <row r="243247" customFormat="1" x14ac:dyDescent="0.25"/>
    <row r="243248" customFormat="1" x14ac:dyDescent="0.25"/>
    <row r="243249" customFormat="1" x14ac:dyDescent="0.25"/>
    <row r="243250" customFormat="1" x14ac:dyDescent="0.25"/>
    <row r="243251" customFormat="1" x14ac:dyDescent="0.25"/>
    <row r="243252" customFormat="1" x14ac:dyDescent="0.25"/>
    <row r="243253" customFormat="1" x14ac:dyDescent="0.25"/>
    <row r="243254" customFormat="1" x14ac:dyDescent="0.25"/>
    <row r="243255" customFormat="1" x14ac:dyDescent="0.25"/>
    <row r="243256" customFormat="1" x14ac:dyDescent="0.25"/>
    <row r="243257" customFormat="1" x14ac:dyDescent="0.25"/>
    <row r="243258" customFormat="1" x14ac:dyDescent="0.25"/>
    <row r="243259" customFormat="1" x14ac:dyDescent="0.25"/>
    <row r="243260" customFormat="1" x14ac:dyDescent="0.25"/>
    <row r="243261" customFormat="1" x14ac:dyDescent="0.25"/>
    <row r="243262" customFormat="1" x14ac:dyDescent="0.25"/>
    <row r="243263" customFormat="1" x14ac:dyDescent="0.25"/>
    <row r="243264" customFormat="1" x14ac:dyDescent="0.25"/>
    <row r="243265" customFormat="1" x14ac:dyDescent="0.25"/>
    <row r="243266" customFormat="1" x14ac:dyDescent="0.25"/>
    <row r="243267" customFormat="1" x14ac:dyDescent="0.25"/>
    <row r="243268" customFormat="1" x14ac:dyDescent="0.25"/>
    <row r="243269" customFormat="1" x14ac:dyDescent="0.25"/>
    <row r="243270" customFormat="1" x14ac:dyDescent="0.25"/>
    <row r="243271" customFormat="1" x14ac:dyDescent="0.25"/>
    <row r="243272" customFormat="1" x14ac:dyDescent="0.25"/>
    <row r="243273" customFormat="1" x14ac:dyDescent="0.25"/>
    <row r="243274" customFormat="1" x14ac:dyDescent="0.25"/>
    <row r="243275" customFormat="1" x14ac:dyDescent="0.25"/>
    <row r="243276" customFormat="1" x14ac:dyDescent="0.25"/>
    <row r="243277" customFormat="1" x14ac:dyDescent="0.25"/>
    <row r="243278" customFormat="1" x14ac:dyDescent="0.25"/>
    <row r="243279" customFormat="1" x14ac:dyDescent="0.25"/>
    <row r="243280" customFormat="1" x14ac:dyDescent="0.25"/>
    <row r="243281" customFormat="1" x14ac:dyDescent="0.25"/>
    <row r="243282" customFormat="1" x14ac:dyDescent="0.25"/>
    <row r="243283" customFormat="1" x14ac:dyDescent="0.25"/>
    <row r="243284" customFormat="1" x14ac:dyDescent="0.25"/>
    <row r="243285" customFormat="1" x14ac:dyDescent="0.25"/>
    <row r="243286" customFormat="1" x14ac:dyDescent="0.25"/>
    <row r="243287" customFormat="1" x14ac:dyDescent="0.25"/>
    <row r="243288" customFormat="1" x14ac:dyDescent="0.25"/>
    <row r="243289" customFormat="1" x14ac:dyDescent="0.25"/>
    <row r="243290" customFormat="1" x14ac:dyDescent="0.25"/>
    <row r="243291" customFormat="1" x14ac:dyDescent="0.25"/>
    <row r="243292" customFormat="1" x14ac:dyDescent="0.25"/>
    <row r="243293" customFormat="1" x14ac:dyDescent="0.25"/>
    <row r="243294" customFormat="1" x14ac:dyDescent="0.25"/>
    <row r="243295" customFormat="1" x14ac:dyDescent="0.25"/>
    <row r="243296" customFormat="1" x14ac:dyDescent="0.25"/>
    <row r="243297" customFormat="1" x14ac:dyDescent="0.25"/>
    <row r="243298" customFormat="1" x14ac:dyDescent="0.25"/>
    <row r="243299" customFormat="1" x14ac:dyDescent="0.25"/>
    <row r="243300" customFormat="1" x14ac:dyDescent="0.25"/>
    <row r="243301" customFormat="1" x14ac:dyDescent="0.25"/>
    <row r="243302" customFormat="1" x14ac:dyDescent="0.25"/>
    <row r="243303" customFormat="1" x14ac:dyDescent="0.25"/>
    <row r="243304" customFormat="1" x14ac:dyDescent="0.25"/>
    <row r="243305" customFormat="1" x14ac:dyDescent="0.25"/>
    <row r="243306" customFormat="1" x14ac:dyDescent="0.25"/>
    <row r="243307" customFormat="1" x14ac:dyDescent="0.25"/>
    <row r="243308" customFormat="1" x14ac:dyDescent="0.25"/>
    <row r="243309" customFormat="1" x14ac:dyDescent="0.25"/>
    <row r="243310" customFormat="1" x14ac:dyDescent="0.25"/>
    <row r="243311" customFormat="1" x14ac:dyDescent="0.25"/>
    <row r="243312" customFormat="1" x14ac:dyDescent="0.25"/>
    <row r="243313" customFormat="1" x14ac:dyDescent="0.25"/>
    <row r="243314" customFormat="1" x14ac:dyDescent="0.25"/>
    <row r="243315" customFormat="1" x14ac:dyDescent="0.25"/>
    <row r="243316" customFormat="1" x14ac:dyDescent="0.25"/>
    <row r="243317" customFormat="1" x14ac:dyDescent="0.25"/>
    <row r="243318" customFormat="1" x14ac:dyDescent="0.25"/>
    <row r="243319" customFormat="1" x14ac:dyDescent="0.25"/>
    <row r="243320" customFormat="1" x14ac:dyDescent="0.25"/>
    <row r="243321" customFormat="1" x14ac:dyDescent="0.25"/>
    <row r="243322" customFormat="1" x14ac:dyDescent="0.25"/>
    <row r="243323" customFormat="1" x14ac:dyDescent="0.25"/>
    <row r="243324" customFormat="1" x14ac:dyDescent="0.25"/>
    <row r="243325" customFormat="1" x14ac:dyDescent="0.25"/>
    <row r="243326" customFormat="1" x14ac:dyDescent="0.25"/>
    <row r="243327" customFormat="1" x14ac:dyDescent="0.25"/>
    <row r="243328" customFormat="1" x14ac:dyDescent="0.25"/>
    <row r="243329" customFormat="1" x14ac:dyDescent="0.25"/>
    <row r="243330" customFormat="1" x14ac:dyDescent="0.25"/>
    <row r="243331" customFormat="1" x14ac:dyDescent="0.25"/>
    <row r="243332" customFormat="1" x14ac:dyDescent="0.25"/>
    <row r="243333" customFormat="1" x14ac:dyDescent="0.25"/>
    <row r="243334" customFormat="1" x14ac:dyDescent="0.25"/>
    <row r="243335" customFormat="1" x14ac:dyDescent="0.25"/>
    <row r="243336" customFormat="1" x14ac:dyDescent="0.25"/>
    <row r="243337" customFormat="1" x14ac:dyDescent="0.25"/>
    <row r="243338" customFormat="1" x14ac:dyDescent="0.25"/>
    <row r="243339" customFormat="1" x14ac:dyDescent="0.25"/>
    <row r="243340" customFormat="1" x14ac:dyDescent="0.25"/>
    <row r="243341" customFormat="1" x14ac:dyDescent="0.25"/>
    <row r="243342" customFormat="1" x14ac:dyDescent="0.25"/>
    <row r="243343" customFormat="1" x14ac:dyDescent="0.25"/>
    <row r="243344" customFormat="1" x14ac:dyDescent="0.25"/>
    <row r="243345" customFormat="1" x14ac:dyDescent="0.25"/>
    <row r="243346" customFormat="1" x14ac:dyDescent="0.25"/>
    <row r="243347" customFormat="1" x14ac:dyDescent="0.25"/>
    <row r="243348" customFormat="1" x14ac:dyDescent="0.25"/>
    <row r="243349" customFormat="1" x14ac:dyDescent="0.25"/>
    <row r="243350" customFormat="1" x14ac:dyDescent="0.25"/>
    <row r="243351" customFormat="1" x14ac:dyDescent="0.25"/>
    <row r="243352" customFormat="1" x14ac:dyDescent="0.25"/>
    <row r="243353" customFormat="1" x14ac:dyDescent="0.25"/>
    <row r="243354" customFormat="1" x14ac:dyDescent="0.25"/>
    <row r="243355" customFormat="1" x14ac:dyDescent="0.25"/>
    <row r="243356" customFormat="1" x14ac:dyDescent="0.25"/>
    <row r="243357" customFormat="1" x14ac:dyDescent="0.25"/>
    <row r="243358" customFormat="1" x14ac:dyDescent="0.25"/>
    <row r="243359" customFormat="1" x14ac:dyDescent="0.25"/>
    <row r="243360" customFormat="1" x14ac:dyDescent="0.25"/>
    <row r="243361" customFormat="1" x14ac:dyDescent="0.25"/>
    <row r="243362" customFormat="1" x14ac:dyDescent="0.25"/>
    <row r="243363" customFormat="1" x14ac:dyDescent="0.25"/>
    <row r="243364" customFormat="1" x14ac:dyDescent="0.25"/>
    <row r="243365" customFormat="1" x14ac:dyDescent="0.25"/>
    <row r="243366" customFormat="1" x14ac:dyDescent="0.25"/>
    <row r="243367" customFormat="1" x14ac:dyDescent="0.25"/>
    <row r="243368" customFormat="1" x14ac:dyDescent="0.25"/>
    <row r="243369" customFormat="1" x14ac:dyDescent="0.25"/>
    <row r="243370" customFormat="1" x14ac:dyDescent="0.25"/>
    <row r="243371" customFormat="1" x14ac:dyDescent="0.25"/>
    <row r="243372" customFormat="1" x14ac:dyDescent="0.25"/>
    <row r="243373" customFormat="1" x14ac:dyDescent="0.25"/>
    <row r="243374" customFormat="1" x14ac:dyDescent="0.25"/>
    <row r="243375" customFormat="1" x14ac:dyDescent="0.25"/>
    <row r="243376" customFormat="1" x14ac:dyDescent="0.25"/>
    <row r="243377" customFormat="1" x14ac:dyDescent="0.25"/>
    <row r="243378" customFormat="1" x14ac:dyDescent="0.25"/>
    <row r="243379" customFormat="1" x14ac:dyDescent="0.25"/>
    <row r="243380" customFormat="1" x14ac:dyDescent="0.25"/>
    <row r="243381" customFormat="1" x14ac:dyDescent="0.25"/>
    <row r="243382" customFormat="1" x14ac:dyDescent="0.25"/>
    <row r="243383" customFormat="1" x14ac:dyDescent="0.25"/>
    <row r="243384" customFormat="1" x14ac:dyDescent="0.25"/>
    <row r="243385" customFormat="1" x14ac:dyDescent="0.25"/>
    <row r="243386" customFormat="1" x14ac:dyDescent="0.25"/>
    <row r="243387" customFormat="1" x14ac:dyDescent="0.25"/>
    <row r="243388" customFormat="1" x14ac:dyDescent="0.25"/>
    <row r="243389" customFormat="1" x14ac:dyDescent="0.25"/>
    <row r="243390" customFormat="1" x14ac:dyDescent="0.25"/>
    <row r="243391" customFormat="1" x14ac:dyDescent="0.25"/>
    <row r="243392" customFormat="1" x14ac:dyDescent="0.25"/>
    <row r="243393" customFormat="1" x14ac:dyDescent="0.25"/>
    <row r="243394" customFormat="1" x14ac:dyDescent="0.25"/>
    <row r="243395" customFormat="1" x14ac:dyDescent="0.25"/>
    <row r="243396" customFormat="1" x14ac:dyDescent="0.25"/>
    <row r="243397" customFormat="1" x14ac:dyDescent="0.25"/>
    <row r="243398" customFormat="1" x14ac:dyDescent="0.25"/>
    <row r="243399" customFormat="1" x14ac:dyDescent="0.25"/>
    <row r="243400" customFormat="1" x14ac:dyDescent="0.25"/>
    <row r="243401" customFormat="1" x14ac:dyDescent="0.25"/>
    <row r="243402" customFormat="1" x14ac:dyDescent="0.25"/>
    <row r="243403" customFormat="1" x14ac:dyDescent="0.25"/>
    <row r="243404" customFormat="1" x14ac:dyDescent="0.25"/>
    <row r="243405" customFormat="1" x14ac:dyDescent="0.25"/>
    <row r="243406" customFormat="1" x14ac:dyDescent="0.25"/>
    <row r="243407" customFormat="1" x14ac:dyDescent="0.25"/>
    <row r="243408" customFormat="1" x14ac:dyDescent="0.25"/>
    <row r="243409" customFormat="1" x14ac:dyDescent="0.25"/>
    <row r="243410" customFormat="1" x14ac:dyDescent="0.25"/>
    <row r="243411" customFormat="1" x14ac:dyDescent="0.25"/>
    <row r="243412" customFormat="1" x14ac:dyDescent="0.25"/>
    <row r="243413" customFormat="1" x14ac:dyDescent="0.25"/>
    <row r="243414" customFormat="1" x14ac:dyDescent="0.25"/>
    <row r="243415" customFormat="1" x14ac:dyDescent="0.25"/>
    <row r="243416" customFormat="1" x14ac:dyDescent="0.25"/>
    <row r="243417" customFormat="1" x14ac:dyDescent="0.25"/>
    <row r="243418" customFormat="1" x14ac:dyDescent="0.25"/>
    <row r="243419" customFormat="1" x14ac:dyDescent="0.25"/>
    <row r="243420" customFormat="1" x14ac:dyDescent="0.25"/>
    <row r="243421" customFormat="1" x14ac:dyDescent="0.25"/>
    <row r="243422" customFormat="1" x14ac:dyDescent="0.25"/>
    <row r="243423" customFormat="1" x14ac:dyDescent="0.25"/>
    <row r="243424" customFormat="1" x14ac:dyDescent="0.25"/>
    <row r="243425" customFormat="1" x14ac:dyDescent="0.25"/>
    <row r="243426" customFormat="1" x14ac:dyDescent="0.25"/>
    <row r="243427" customFormat="1" x14ac:dyDescent="0.25"/>
    <row r="243428" customFormat="1" x14ac:dyDescent="0.25"/>
    <row r="243429" customFormat="1" x14ac:dyDescent="0.25"/>
    <row r="243430" customFormat="1" x14ac:dyDescent="0.25"/>
    <row r="243431" customFormat="1" x14ac:dyDescent="0.25"/>
    <row r="243432" customFormat="1" x14ac:dyDescent="0.25"/>
    <row r="243433" customFormat="1" x14ac:dyDescent="0.25"/>
    <row r="243434" customFormat="1" x14ac:dyDescent="0.25"/>
    <row r="243435" customFormat="1" x14ac:dyDescent="0.25"/>
    <row r="243436" customFormat="1" x14ac:dyDescent="0.25"/>
    <row r="243437" customFormat="1" x14ac:dyDescent="0.25"/>
    <row r="243438" customFormat="1" x14ac:dyDescent="0.25"/>
    <row r="243439" customFormat="1" x14ac:dyDescent="0.25"/>
    <row r="243440" customFormat="1" x14ac:dyDescent="0.25"/>
    <row r="243441" customFormat="1" x14ac:dyDescent="0.25"/>
    <row r="243442" customFormat="1" x14ac:dyDescent="0.25"/>
    <row r="243443" customFormat="1" x14ac:dyDescent="0.25"/>
    <row r="243444" customFormat="1" x14ac:dyDescent="0.25"/>
    <row r="243445" customFormat="1" x14ac:dyDescent="0.25"/>
    <row r="243446" customFormat="1" x14ac:dyDescent="0.25"/>
    <row r="243447" customFormat="1" x14ac:dyDescent="0.25"/>
    <row r="243448" customFormat="1" x14ac:dyDescent="0.25"/>
    <row r="243449" customFormat="1" x14ac:dyDescent="0.25"/>
    <row r="243450" customFormat="1" x14ac:dyDescent="0.25"/>
    <row r="243451" customFormat="1" x14ac:dyDescent="0.25"/>
    <row r="243452" customFormat="1" x14ac:dyDescent="0.25"/>
    <row r="243453" customFormat="1" x14ac:dyDescent="0.25"/>
    <row r="243454" customFormat="1" x14ac:dyDescent="0.25"/>
    <row r="243455" customFormat="1" x14ac:dyDescent="0.25"/>
    <row r="243456" customFormat="1" x14ac:dyDescent="0.25"/>
    <row r="243457" customFormat="1" x14ac:dyDescent="0.25"/>
    <row r="243458" customFormat="1" x14ac:dyDescent="0.25"/>
    <row r="243459" customFormat="1" x14ac:dyDescent="0.25"/>
    <row r="243460" customFormat="1" x14ac:dyDescent="0.25"/>
    <row r="243461" customFormat="1" x14ac:dyDescent="0.25"/>
    <row r="243462" customFormat="1" x14ac:dyDescent="0.25"/>
    <row r="243463" customFormat="1" x14ac:dyDescent="0.25"/>
    <row r="243464" customFormat="1" x14ac:dyDescent="0.25"/>
    <row r="243465" customFormat="1" x14ac:dyDescent="0.25"/>
    <row r="243466" customFormat="1" x14ac:dyDescent="0.25"/>
    <row r="243467" customFormat="1" x14ac:dyDescent="0.25"/>
    <row r="243468" customFormat="1" x14ac:dyDescent="0.25"/>
    <row r="243469" customFormat="1" x14ac:dyDescent="0.25"/>
    <row r="243470" customFormat="1" x14ac:dyDescent="0.25"/>
    <row r="243471" customFormat="1" x14ac:dyDescent="0.25"/>
    <row r="243472" customFormat="1" x14ac:dyDescent="0.25"/>
    <row r="243473" customFormat="1" x14ac:dyDescent="0.25"/>
    <row r="243474" customFormat="1" x14ac:dyDescent="0.25"/>
    <row r="243475" customFormat="1" x14ac:dyDescent="0.25"/>
    <row r="243476" customFormat="1" x14ac:dyDescent="0.25"/>
    <row r="243477" customFormat="1" x14ac:dyDescent="0.25"/>
    <row r="243478" customFormat="1" x14ac:dyDescent="0.25"/>
    <row r="243479" customFormat="1" x14ac:dyDescent="0.25"/>
    <row r="243480" customFormat="1" x14ac:dyDescent="0.25"/>
    <row r="243481" customFormat="1" x14ac:dyDescent="0.25"/>
    <row r="243482" customFormat="1" x14ac:dyDescent="0.25"/>
    <row r="243483" customFormat="1" x14ac:dyDescent="0.25"/>
    <row r="243484" customFormat="1" x14ac:dyDescent="0.25"/>
    <row r="243485" customFormat="1" x14ac:dyDescent="0.25"/>
    <row r="243486" customFormat="1" x14ac:dyDescent="0.25"/>
    <row r="243487" customFormat="1" x14ac:dyDescent="0.25"/>
    <row r="243488" customFormat="1" x14ac:dyDescent="0.25"/>
    <row r="243489" customFormat="1" x14ac:dyDescent="0.25"/>
    <row r="243490" customFormat="1" x14ac:dyDescent="0.25"/>
    <row r="243491" customFormat="1" x14ac:dyDescent="0.25"/>
    <row r="243492" customFormat="1" x14ac:dyDescent="0.25"/>
    <row r="243493" customFormat="1" x14ac:dyDescent="0.25"/>
    <row r="243494" customFormat="1" x14ac:dyDescent="0.25"/>
    <row r="243495" customFormat="1" x14ac:dyDescent="0.25"/>
    <row r="243496" customFormat="1" x14ac:dyDescent="0.25"/>
    <row r="243497" customFormat="1" x14ac:dyDescent="0.25"/>
    <row r="243498" customFormat="1" x14ac:dyDescent="0.25"/>
    <row r="243499" customFormat="1" x14ac:dyDescent="0.25"/>
    <row r="243500" customFormat="1" x14ac:dyDescent="0.25"/>
    <row r="243501" customFormat="1" x14ac:dyDescent="0.25"/>
    <row r="243502" customFormat="1" x14ac:dyDescent="0.25"/>
    <row r="243503" customFormat="1" x14ac:dyDescent="0.25"/>
    <row r="243504" customFormat="1" x14ac:dyDescent="0.25"/>
    <row r="243505" customFormat="1" x14ac:dyDescent="0.25"/>
    <row r="243506" customFormat="1" x14ac:dyDescent="0.25"/>
    <row r="243507" customFormat="1" x14ac:dyDescent="0.25"/>
    <row r="243508" customFormat="1" x14ac:dyDescent="0.25"/>
    <row r="243509" customFormat="1" x14ac:dyDescent="0.25"/>
    <row r="243510" customFormat="1" x14ac:dyDescent="0.25"/>
    <row r="243511" customFormat="1" x14ac:dyDescent="0.25"/>
    <row r="243512" customFormat="1" x14ac:dyDescent="0.25"/>
    <row r="243513" customFormat="1" x14ac:dyDescent="0.25"/>
    <row r="243514" customFormat="1" x14ac:dyDescent="0.25"/>
    <row r="243515" customFormat="1" x14ac:dyDescent="0.25"/>
    <row r="243516" customFormat="1" x14ac:dyDescent="0.25"/>
    <row r="243517" customFormat="1" x14ac:dyDescent="0.25"/>
    <row r="243518" customFormat="1" x14ac:dyDescent="0.25"/>
    <row r="243519" customFormat="1" x14ac:dyDescent="0.25"/>
    <row r="243520" customFormat="1" x14ac:dyDescent="0.25"/>
    <row r="243521" customFormat="1" x14ac:dyDescent="0.25"/>
    <row r="243522" customFormat="1" x14ac:dyDescent="0.25"/>
    <row r="243523" customFormat="1" x14ac:dyDescent="0.25"/>
    <row r="243524" customFormat="1" x14ac:dyDescent="0.25"/>
    <row r="243525" customFormat="1" x14ac:dyDescent="0.25"/>
    <row r="243526" customFormat="1" x14ac:dyDescent="0.25"/>
    <row r="243527" customFormat="1" x14ac:dyDescent="0.25"/>
    <row r="243528" customFormat="1" x14ac:dyDescent="0.25"/>
    <row r="243529" customFormat="1" x14ac:dyDescent="0.25"/>
    <row r="243530" customFormat="1" x14ac:dyDescent="0.25"/>
    <row r="243531" customFormat="1" x14ac:dyDescent="0.25"/>
    <row r="243532" customFormat="1" x14ac:dyDescent="0.25"/>
    <row r="243533" customFormat="1" x14ac:dyDescent="0.25"/>
    <row r="243534" customFormat="1" x14ac:dyDescent="0.25"/>
    <row r="243535" customFormat="1" x14ac:dyDescent="0.25"/>
    <row r="243536" customFormat="1" x14ac:dyDescent="0.25"/>
    <row r="243537" customFormat="1" x14ac:dyDescent="0.25"/>
    <row r="243538" customFormat="1" x14ac:dyDescent="0.25"/>
    <row r="243539" customFormat="1" x14ac:dyDescent="0.25"/>
    <row r="243540" customFormat="1" x14ac:dyDescent="0.25"/>
    <row r="243541" customFormat="1" x14ac:dyDescent="0.25"/>
    <row r="243542" customFormat="1" x14ac:dyDescent="0.25"/>
    <row r="243543" customFormat="1" x14ac:dyDescent="0.25"/>
    <row r="243544" customFormat="1" x14ac:dyDescent="0.25"/>
    <row r="243545" customFormat="1" x14ac:dyDescent="0.25"/>
    <row r="243546" customFormat="1" x14ac:dyDescent="0.25"/>
    <row r="243547" customFormat="1" x14ac:dyDescent="0.25"/>
    <row r="243548" customFormat="1" x14ac:dyDescent="0.25"/>
    <row r="243549" customFormat="1" x14ac:dyDescent="0.25"/>
    <row r="243550" customFormat="1" x14ac:dyDescent="0.25"/>
    <row r="243551" customFormat="1" x14ac:dyDescent="0.25"/>
    <row r="243552" customFormat="1" x14ac:dyDescent="0.25"/>
    <row r="243553" customFormat="1" x14ac:dyDescent="0.25"/>
    <row r="243554" customFormat="1" x14ac:dyDescent="0.25"/>
    <row r="243555" customFormat="1" x14ac:dyDescent="0.25"/>
    <row r="243556" customFormat="1" x14ac:dyDescent="0.25"/>
    <row r="243557" customFormat="1" x14ac:dyDescent="0.25"/>
    <row r="243558" customFormat="1" x14ac:dyDescent="0.25"/>
    <row r="243559" customFormat="1" x14ac:dyDescent="0.25"/>
    <row r="243560" customFormat="1" x14ac:dyDescent="0.25"/>
    <row r="243561" customFormat="1" x14ac:dyDescent="0.25"/>
    <row r="243562" customFormat="1" x14ac:dyDescent="0.25"/>
    <row r="243563" customFormat="1" x14ac:dyDescent="0.25"/>
    <row r="243564" customFormat="1" x14ac:dyDescent="0.25"/>
    <row r="243565" customFormat="1" x14ac:dyDescent="0.25"/>
    <row r="243566" customFormat="1" x14ac:dyDescent="0.25"/>
    <row r="243567" customFormat="1" x14ac:dyDescent="0.25"/>
    <row r="243568" customFormat="1" x14ac:dyDescent="0.25"/>
    <row r="243569" customFormat="1" x14ac:dyDescent="0.25"/>
    <row r="243570" customFormat="1" x14ac:dyDescent="0.25"/>
    <row r="243571" customFormat="1" x14ac:dyDescent="0.25"/>
    <row r="243572" customFormat="1" x14ac:dyDescent="0.25"/>
    <row r="243573" customFormat="1" x14ac:dyDescent="0.25"/>
    <row r="243574" customFormat="1" x14ac:dyDescent="0.25"/>
    <row r="243575" customFormat="1" x14ac:dyDescent="0.25"/>
    <row r="243576" customFormat="1" x14ac:dyDescent="0.25"/>
    <row r="243577" customFormat="1" x14ac:dyDescent="0.25"/>
    <row r="243578" customFormat="1" x14ac:dyDescent="0.25"/>
    <row r="243579" customFormat="1" x14ac:dyDescent="0.25"/>
    <row r="243580" customFormat="1" x14ac:dyDescent="0.25"/>
    <row r="243581" customFormat="1" x14ac:dyDescent="0.25"/>
    <row r="243582" customFormat="1" x14ac:dyDescent="0.25"/>
    <row r="243583" customFormat="1" x14ac:dyDescent="0.25"/>
    <row r="243584" customFormat="1" x14ac:dyDescent="0.25"/>
    <row r="243585" customFormat="1" x14ac:dyDescent="0.25"/>
    <row r="243586" customFormat="1" x14ac:dyDescent="0.25"/>
    <row r="243587" customFormat="1" x14ac:dyDescent="0.25"/>
    <row r="243588" customFormat="1" x14ac:dyDescent="0.25"/>
    <row r="243589" customFormat="1" x14ac:dyDescent="0.25"/>
    <row r="243590" customFormat="1" x14ac:dyDescent="0.25"/>
    <row r="243591" customFormat="1" x14ac:dyDescent="0.25"/>
    <row r="243592" customFormat="1" x14ac:dyDescent="0.25"/>
    <row r="243593" customFormat="1" x14ac:dyDescent="0.25"/>
    <row r="243594" customFormat="1" x14ac:dyDescent="0.25"/>
    <row r="243595" customFormat="1" x14ac:dyDescent="0.25"/>
    <row r="243596" customFormat="1" x14ac:dyDescent="0.25"/>
    <row r="243597" customFormat="1" x14ac:dyDescent="0.25"/>
    <row r="243598" customFormat="1" x14ac:dyDescent="0.25"/>
    <row r="243599" customFormat="1" x14ac:dyDescent="0.25"/>
    <row r="243600" customFormat="1" x14ac:dyDescent="0.25"/>
    <row r="243601" customFormat="1" x14ac:dyDescent="0.25"/>
    <row r="243602" customFormat="1" x14ac:dyDescent="0.25"/>
    <row r="243603" customFormat="1" x14ac:dyDescent="0.25"/>
    <row r="243604" customFormat="1" x14ac:dyDescent="0.25"/>
    <row r="243605" customFormat="1" x14ac:dyDescent="0.25"/>
    <row r="243606" customFormat="1" x14ac:dyDescent="0.25"/>
    <row r="243607" customFormat="1" x14ac:dyDescent="0.25"/>
    <row r="243608" customFormat="1" x14ac:dyDescent="0.25"/>
    <row r="243609" customFormat="1" x14ac:dyDescent="0.25"/>
    <row r="243610" customFormat="1" x14ac:dyDescent="0.25"/>
    <row r="243611" customFormat="1" x14ac:dyDescent="0.25"/>
    <row r="243612" customFormat="1" x14ac:dyDescent="0.25"/>
    <row r="243613" customFormat="1" x14ac:dyDescent="0.25"/>
    <row r="243614" customFormat="1" x14ac:dyDescent="0.25"/>
    <row r="243615" customFormat="1" x14ac:dyDescent="0.25"/>
    <row r="243616" customFormat="1" x14ac:dyDescent="0.25"/>
    <row r="243617" customFormat="1" x14ac:dyDescent="0.25"/>
    <row r="243618" customFormat="1" x14ac:dyDescent="0.25"/>
    <row r="243619" customFormat="1" x14ac:dyDescent="0.25"/>
    <row r="243620" customFormat="1" x14ac:dyDescent="0.25"/>
    <row r="243621" customFormat="1" x14ac:dyDescent="0.25"/>
    <row r="243622" customFormat="1" x14ac:dyDescent="0.25"/>
    <row r="243623" customFormat="1" x14ac:dyDescent="0.25"/>
    <row r="243624" customFormat="1" x14ac:dyDescent="0.25"/>
    <row r="243625" customFormat="1" x14ac:dyDescent="0.25"/>
    <row r="243626" customFormat="1" x14ac:dyDescent="0.25"/>
    <row r="243627" customFormat="1" x14ac:dyDescent="0.25"/>
    <row r="243628" customFormat="1" x14ac:dyDescent="0.25"/>
    <row r="243629" customFormat="1" x14ac:dyDescent="0.25"/>
    <row r="243630" customFormat="1" x14ac:dyDescent="0.25"/>
    <row r="243631" customFormat="1" x14ac:dyDescent="0.25"/>
    <row r="243632" customFormat="1" x14ac:dyDescent="0.25"/>
    <row r="243633" customFormat="1" x14ac:dyDescent="0.25"/>
    <row r="243634" customFormat="1" x14ac:dyDescent="0.25"/>
    <row r="243635" customFormat="1" x14ac:dyDescent="0.25"/>
    <row r="243636" customFormat="1" x14ac:dyDescent="0.25"/>
    <row r="243637" customFormat="1" x14ac:dyDescent="0.25"/>
    <row r="243638" customFormat="1" x14ac:dyDescent="0.25"/>
    <row r="243639" customFormat="1" x14ac:dyDescent="0.25"/>
    <row r="243640" customFormat="1" x14ac:dyDescent="0.25"/>
    <row r="243641" customFormat="1" x14ac:dyDescent="0.25"/>
    <row r="243642" customFormat="1" x14ac:dyDescent="0.25"/>
    <row r="243643" customFormat="1" x14ac:dyDescent="0.25"/>
    <row r="243644" customFormat="1" x14ac:dyDescent="0.25"/>
    <row r="243645" customFormat="1" x14ac:dyDescent="0.25"/>
    <row r="243646" customFormat="1" x14ac:dyDescent="0.25"/>
    <row r="243647" customFormat="1" x14ac:dyDescent="0.25"/>
    <row r="243648" customFormat="1" x14ac:dyDescent="0.25"/>
    <row r="243649" customFormat="1" x14ac:dyDescent="0.25"/>
    <row r="243650" customFormat="1" x14ac:dyDescent="0.25"/>
    <row r="243651" customFormat="1" x14ac:dyDescent="0.25"/>
    <row r="243652" customFormat="1" x14ac:dyDescent="0.25"/>
    <row r="243653" customFormat="1" x14ac:dyDescent="0.25"/>
    <row r="243654" customFormat="1" x14ac:dyDescent="0.25"/>
    <row r="243655" customFormat="1" x14ac:dyDescent="0.25"/>
    <row r="243656" customFormat="1" x14ac:dyDescent="0.25"/>
    <row r="243657" customFormat="1" x14ac:dyDescent="0.25"/>
    <row r="243658" customFormat="1" x14ac:dyDescent="0.25"/>
    <row r="243659" customFormat="1" x14ac:dyDescent="0.25"/>
    <row r="243660" customFormat="1" x14ac:dyDescent="0.25"/>
    <row r="243661" customFormat="1" x14ac:dyDescent="0.25"/>
    <row r="243662" customFormat="1" x14ac:dyDescent="0.25"/>
    <row r="243663" customFormat="1" x14ac:dyDescent="0.25"/>
    <row r="243664" customFormat="1" x14ac:dyDescent="0.25"/>
    <row r="243665" customFormat="1" x14ac:dyDescent="0.25"/>
    <row r="243666" customFormat="1" x14ac:dyDescent="0.25"/>
    <row r="243667" customFormat="1" x14ac:dyDescent="0.25"/>
    <row r="243668" customFormat="1" x14ac:dyDescent="0.25"/>
    <row r="243669" customFormat="1" x14ac:dyDescent="0.25"/>
    <row r="243670" customFormat="1" x14ac:dyDescent="0.25"/>
    <row r="243671" customFormat="1" x14ac:dyDescent="0.25"/>
    <row r="243672" customFormat="1" x14ac:dyDescent="0.25"/>
    <row r="243673" customFormat="1" x14ac:dyDescent="0.25"/>
    <row r="243674" customFormat="1" x14ac:dyDescent="0.25"/>
    <row r="243675" customFormat="1" x14ac:dyDescent="0.25"/>
    <row r="243676" customFormat="1" x14ac:dyDescent="0.25"/>
    <row r="243677" customFormat="1" x14ac:dyDescent="0.25"/>
    <row r="243678" customFormat="1" x14ac:dyDescent="0.25"/>
    <row r="243679" customFormat="1" x14ac:dyDescent="0.25"/>
    <row r="243680" customFormat="1" x14ac:dyDescent="0.25"/>
    <row r="243681" customFormat="1" x14ac:dyDescent="0.25"/>
    <row r="243682" customFormat="1" x14ac:dyDescent="0.25"/>
    <row r="243683" customFormat="1" x14ac:dyDescent="0.25"/>
    <row r="243684" customFormat="1" x14ac:dyDescent="0.25"/>
    <row r="243685" customFormat="1" x14ac:dyDescent="0.25"/>
    <row r="243686" customFormat="1" x14ac:dyDescent="0.25"/>
    <row r="243687" customFormat="1" x14ac:dyDescent="0.25"/>
    <row r="243688" customFormat="1" x14ac:dyDescent="0.25"/>
    <row r="243689" customFormat="1" x14ac:dyDescent="0.25"/>
    <row r="243690" customFormat="1" x14ac:dyDescent="0.25"/>
    <row r="243691" customFormat="1" x14ac:dyDescent="0.25"/>
    <row r="243692" customFormat="1" x14ac:dyDescent="0.25"/>
    <row r="243693" customFormat="1" x14ac:dyDescent="0.25"/>
    <row r="243694" customFormat="1" x14ac:dyDescent="0.25"/>
    <row r="243695" customFormat="1" x14ac:dyDescent="0.25"/>
    <row r="243696" customFormat="1" x14ac:dyDescent="0.25"/>
    <row r="243697" customFormat="1" x14ac:dyDescent="0.25"/>
    <row r="243698" customFormat="1" x14ac:dyDescent="0.25"/>
    <row r="243699" customFormat="1" x14ac:dyDescent="0.25"/>
    <row r="243700" customFormat="1" x14ac:dyDescent="0.25"/>
    <row r="243701" customFormat="1" x14ac:dyDescent="0.25"/>
    <row r="243702" customFormat="1" x14ac:dyDescent="0.25"/>
    <row r="243703" customFormat="1" x14ac:dyDescent="0.25"/>
    <row r="243704" customFormat="1" x14ac:dyDescent="0.25"/>
    <row r="243705" customFormat="1" x14ac:dyDescent="0.25"/>
    <row r="243706" customFormat="1" x14ac:dyDescent="0.25"/>
    <row r="243707" customFormat="1" x14ac:dyDescent="0.25"/>
    <row r="243708" customFormat="1" x14ac:dyDescent="0.25"/>
    <row r="243709" customFormat="1" x14ac:dyDescent="0.25"/>
    <row r="243710" customFormat="1" x14ac:dyDescent="0.25"/>
    <row r="243711" customFormat="1" x14ac:dyDescent="0.25"/>
    <row r="243712" customFormat="1" x14ac:dyDescent="0.25"/>
    <row r="243713" customFormat="1" x14ac:dyDescent="0.25"/>
    <row r="243714" customFormat="1" x14ac:dyDescent="0.25"/>
    <row r="243715" customFormat="1" x14ac:dyDescent="0.25"/>
    <row r="243716" customFormat="1" x14ac:dyDescent="0.25"/>
    <row r="243717" customFormat="1" x14ac:dyDescent="0.25"/>
    <row r="243718" customFormat="1" x14ac:dyDescent="0.25"/>
    <row r="243719" customFormat="1" x14ac:dyDescent="0.25"/>
    <row r="243720" customFormat="1" x14ac:dyDescent="0.25"/>
    <row r="243721" customFormat="1" x14ac:dyDescent="0.25"/>
    <row r="243722" customFormat="1" x14ac:dyDescent="0.25"/>
    <row r="243723" customFormat="1" x14ac:dyDescent="0.25"/>
    <row r="243724" customFormat="1" x14ac:dyDescent="0.25"/>
    <row r="243725" customFormat="1" x14ac:dyDescent="0.25"/>
    <row r="243726" customFormat="1" x14ac:dyDescent="0.25"/>
    <row r="243727" customFormat="1" x14ac:dyDescent="0.25"/>
    <row r="243728" customFormat="1" x14ac:dyDescent="0.25"/>
    <row r="243729" customFormat="1" x14ac:dyDescent="0.25"/>
    <row r="243730" customFormat="1" x14ac:dyDescent="0.25"/>
    <row r="243731" customFormat="1" x14ac:dyDescent="0.25"/>
    <row r="243732" customFormat="1" x14ac:dyDescent="0.25"/>
    <row r="243733" customFormat="1" x14ac:dyDescent="0.25"/>
    <row r="243734" customFormat="1" x14ac:dyDescent="0.25"/>
    <row r="243735" customFormat="1" x14ac:dyDescent="0.25"/>
    <row r="243736" customFormat="1" x14ac:dyDescent="0.25"/>
    <row r="243737" customFormat="1" x14ac:dyDescent="0.25"/>
    <row r="243738" customFormat="1" x14ac:dyDescent="0.25"/>
    <row r="243739" customFormat="1" x14ac:dyDescent="0.25"/>
    <row r="243740" customFormat="1" x14ac:dyDescent="0.25"/>
    <row r="243741" customFormat="1" x14ac:dyDescent="0.25"/>
    <row r="243742" customFormat="1" x14ac:dyDescent="0.25"/>
    <row r="243743" customFormat="1" x14ac:dyDescent="0.25"/>
    <row r="243744" customFormat="1" x14ac:dyDescent="0.25"/>
    <row r="243745" customFormat="1" x14ac:dyDescent="0.25"/>
    <row r="243746" customFormat="1" x14ac:dyDescent="0.25"/>
    <row r="243747" customFormat="1" x14ac:dyDescent="0.25"/>
    <row r="243748" customFormat="1" x14ac:dyDescent="0.25"/>
    <row r="243749" customFormat="1" x14ac:dyDescent="0.25"/>
    <row r="243750" customFormat="1" x14ac:dyDescent="0.25"/>
    <row r="243751" customFormat="1" x14ac:dyDescent="0.25"/>
    <row r="243752" customFormat="1" x14ac:dyDescent="0.25"/>
    <row r="243753" customFormat="1" x14ac:dyDescent="0.25"/>
    <row r="243754" customFormat="1" x14ac:dyDescent="0.25"/>
    <row r="243755" customFormat="1" x14ac:dyDescent="0.25"/>
    <row r="243756" customFormat="1" x14ac:dyDescent="0.25"/>
    <row r="243757" customFormat="1" x14ac:dyDescent="0.25"/>
    <row r="243758" customFormat="1" x14ac:dyDescent="0.25"/>
    <row r="243759" customFormat="1" x14ac:dyDescent="0.25"/>
    <row r="243760" customFormat="1" x14ac:dyDescent="0.25"/>
    <row r="243761" customFormat="1" x14ac:dyDescent="0.25"/>
    <row r="243762" customFormat="1" x14ac:dyDescent="0.25"/>
    <row r="243763" customFormat="1" x14ac:dyDescent="0.25"/>
    <row r="243764" customFormat="1" x14ac:dyDescent="0.25"/>
    <row r="243765" customFormat="1" x14ac:dyDescent="0.25"/>
    <row r="243766" customFormat="1" x14ac:dyDescent="0.25"/>
    <row r="243767" customFormat="1" x14ac:dyDescent="0.25"/>
    <row r="243768" customFormat="1" x14ac:dyDescent="0.25"/>
    <row r="243769" customFormat="1" x14ac:dyDescent="0.25"/>
    <row r="243770" customFormat="1" x14ac:dyDescent="0.25"/>
    <row r="243771" customFormat="1" x14ac:dyDescent="0.25"/>
    <row r="243772" customFormat="1" x14ac:dyDescent="0.25"/>
    <row r="243773" customFormat="1" x14ac:dyDescent="0.25"/>
    <row r="243774" customFormat="1" x14ac:dyDescent="0.25"/>
    <row r="243775" customFormat="1" x14ac:dyDescent="0.25"/>
    <row r="243776" customFormat="1" x14ac:dyDescent="0.25"/>
    <row r="243777" customFormat="1" x14ac:dyDescent="0.25"/>
    <row r="243778" customFormat="1" x14ac:dyDescent="0.25"/>
    <row r="243779" customFormat="1" x14ac:dyDescent="0.25"/>
    <row r="243780" customFormat="1" x14ac:dyDescent="0.25"/>
    <row r="243781" customFormat="1" x14ac:dyDescent="0.25"/>
    <row r="243782" customFormat="1" x14ac:dyDescent="0.25"/>
    <row r="243783" customFormat="1" x14ac:dyDescent="0.25"/>
    <row r="243784" customFormat="1" x14ac:dyDescent="0.25"/>
    <row r="243785" customFormat="1" x14ac:dyDescent="0.25"/>
    <row r="243786" customFormat="1" x14ac:dyDescent="0.25"/>
    <row r="243787" customFormat="1" x14ac:dyDescent="0.25"/>
    <row r="243788" customFormat="1" x14ac:dyDescent="0.25"/>
    <row r="243789" customFormat="1" x14ac:dyDescent="0.25"/>
    <row r="243790" customFormat="1" x14ac:dyDescent="0.25"/>
    <row r="243791" customFormat="1" x14ac:dyDescent="0.25"/>
    <row r="243792" customFormat="1" x14ac:dyDescent="0.25"/>
    <row r="243793" customFormat="1" x14ac:dyDescent="0.25"/>
    <row r="243794" customFormat="1" x14ac:dyDescent="0.25"/>
    <row r="243795" customFormat="1" x14ac:dyDescent="0.25"/>
    <row r="243796" customFormat="1" x14ac:dyDescent="0.25"/>
    <row r="243797" customFormat="1" x14ac:dyDescent="0.25"/>
    <row r="243798" customFormat="1" x14ac:dyDescent="0.25"/>
    <row r="243799" customFormat="1" x14ac:dyDescent="0.25"/>
    <row r="243800" customFormat="1" x14ac:dyDescent="0.25"/>
    <row r="243801" customFormat="1" x14ac:dyDescent="0.25"/>
    <row r="243802" customFormat="1" x14ac:dyDescent="0.25"/>
    <row r="243803" customFormat="1" x14ac:dyDescent="0.25"/>
    <row r="243804" customFormat="1" x14ac:dyDescent="0.25"/>
    <row r="243805" customFormat="1" x14ac:dyDescent="0.25"/>
    <row r="243806" customFormat="1" x14ac:dyDescent="0.25"/>
    <row r="243807" customFormat="1" x14ac:dyDescent="0.25"/>
    <row r="243808" customFormat="1" x14ac:dyDescent="0.25"/>
    <row r="243809" customFormat="1" x14ac:dyDescent="0.25"/>
    <row r="243810" customFormat="1" x14ac:dyDescent="0.25"/>
    <row r="243811" customFormat="1" x14ac:dyDescent="0.25"/>
    <row r="243812" customFormat="1" x14ac:dyDescent="0.25"/>
    <row r="243813" customFormat="1" x14ac:dyDescent="0.25"/>
    <row r="243814" customFormat="1" x14ac:dyDescent="0.25"/>
    <row r="243815" customFormat="1" x14ac:dyDescent="0.25"/>
    <row r="243816" customFormat="1" x14ac:dyDescent="0.25"/>
    <row r="243817" customFormat="1" x14ac:dyDescent="0.25"/>
    <row r="243818" customFormat="1" x14ac:dyDescent="0.25"/>
    <row r="243819" customFormat="1" x14ac:dyDescent="0.25"/>
    <row r="243820" customFormat="1" x14ac:dyDescent="0.25"/>
    <row r="243821" customFormat="1" x14ac:dyDescent="0.25"/>
    <row r="243822" customFormat="1" x14ac:dyDescent="0.25"/>
    <row r="243823" customFormat="1" x14ac:dyDescent="0.25"/>
    <row r="243824" customFormat="1" x14ac:dyDescent="0.25"/>
    <row r="243825" customFormat="1" x14ac:dyDescent="0.25"/>
    <row r="243826" customFormat="1" x14ac:dyDescent="0.25"/>
    <row r="243827" customFormat="1" x14ac:dyDescent="0.25"/>
    <row r="243828" customFormat="1" x14ac:dyDescent="0.25"/>
    <row r="243829" customFormat="1" x14ac:dyDescent="0.25"/>
    <row r="243830" customFormat="1" x14ac:dyDescent="0.25"/>
    <row r="243831" customFormat="1" x14ac:dyDescent="0.25"/>
    <row r="243832" customFormat="1" x14ac:dyDescent="0.25"/>
    <row r="243833" customFormat="1" x14ac:dyDescent="0.25"/>
    <row r="243834" customFormat="1" x14ac:dyDescent="0.25"/>
    <row r="243835" customFormat="1" x14ac:dyDescent="0.25"/>
    <row r="243836" customFormat="1" x14ac:dyDescent="0.25"/>
    <row r="243837" customFormat="1" x14ac:dyDescent="0.25"/>
    <row r="243838" customFormat="1" x14ac:dyDescent="0.25"/>
    <row r="243839" customFormat="1" x14ac:dyDescent="0.25"/>
    <row r="243840" customFormat="1" x14ac:dyDescent="0.25"/>
    <row r="243841" customFormat="1" x14ac:dyDescent="0.25"/>
    <row r="243842" customFormat="1" x14ac:dyDescent="0.25"/>
    <row r="243843" customFormat="1" x14ac:dyDescent="0.25"/>
    <row r="243844" customFormat="1" x14ac:dyDescent="0.25"/>
    <row r="243845" customFormat="1" x14ac:dyDescent="0.25"/>
    <row r="243846" customFormat="1" x14ac:dyDescent="0.25"/>
    <row r="243847" customFormat="1" x14ac:dyDescent="0.25"/>
    <row r="243848" customFormat="1" x14ac:dyDescent="0.25"/>
    <row r="243849" customFormat="1" x14ac:dyDescent="0.25"/>
    <row r="243850" customFormat="1" x14ac:dyDescent="0.25"/>
    <row r="243851" customFormat="1" x14ac:dyDescent="0.25"/>
    <row r="243852" customFormat="1" x14ac:dyDescent="0.25"/>
    <row r="243853" customFormat="1" x14ac:dyDescent="0.25"/>
    <row r="243854" customFormat="1" x14ac:dyDescent="0.25"/>
    <row r="243855" customFormat="1" x14ac:dyDescent="0.25"/>
    <row r="243856" customFormat="1" x14ac:dyDescent="0.25"/>
    <row r="243857" customFormat="1" x14ac:dyDescent="0.25"/>
    <row r="243858" customFormat="1" x14ac:dyDescent="0.25"/>
    <row r="243859" customFormat="1" x14ac:dyDescent="0.25"/>
    <row r="243860" customFormat="1" x14ac:dyDescent="0.25"/>
    <row r="243861" customFormat="1" x14ac:dyDescent="0.25"/>
    <row r="243862" customFormat="1" x14ac:dyDescent="0.25"/>
    <row r="243863" customFormat="1" x14ac:dyDescent="0.25"/>
    <row r="243864" customFormat="1" x14ac:dyDescent="0.25"/>
    <row r="243865" customFormat="1" x14ac:dyDescent="0.25"/>
    <row r="243866" customFormat="1" x14ac:dyDescent="0.25"/>
    <row r="243867" customFormat="1" x14ac:dyDescent="0.25"/>
    <row r="243868" customFormat="1" x14ac:dyDescent="0.25"/>
    <row r="243869" customFormat="1" x14ac:dyDescent="0.25"/>
    <row r="243870" customFormat="1" x14ac:dyDescent="0.25"/>
    <row r="243871" customFormat="1" x14ac:dyDescent="0.25"/>
    <row r="243872" customFormat="1" x14ac:dyDescent="0.25"/>
    <row r="243873" customFormat="1" x14ac:dyDescent="0.25"/>
    <row r="243874" customFormat="1" x14ac:dyDescent="0.25"/>
    <row r="243875" customFormat="1" x14ac:dyDescent="0.25"/>
    <row r="243876" customFormat="1" x14ac:dyDescent="0.25"/>
    <row r="243877" customFormat="1" x14ac:dyDescent="0.25"/>
    <row r="243878" customFormat="1" x14ac:dyDescent="0.25"/>
    <row r="243879" customFormat="1" x14ac:dyDescent="0.25"/>
    <row r="243880" customFormat="1" x14ac:dyDescent="0.25"/>
    <row r="243881" customFormat="1" x14ac:dyDescent="0.25"/>
    <row r="243882" customFormat="1" x14ac:dyDescent="0.25"/>
    <row r="243883" customFormat="1" x14ac:dyDescent="0.25"/>
    <row r="243884" customFormat="1" x14ac:dyDescent="0.25"/>
    <row r="243885" customFormat="1" x14ac:dyDescent="0.25"/>
    <row r="243886" customFormat="1" x14ac:dyDescent="0.25"/>
    <row r="243887" customFormat="1" x14ac:dyDescent="0.25"/>
    <row r="243888" customFormat="1" x14ac:dyDescent="0.25"/>
    <row r="243889" customFormat="1" x14ac:dyDescent="0.25"/>
    <row r="243890" customFormat="1" x14ac:dyDescent="0.25"/>
    <row r="243891" customFormat="1" x14ac:dyDescent="0.25"/>
    <row r="243892" customFormat="1" x14ac:dyDescent="0.25"/>
    <row r="243893" customFormat="1" x14ac:dyDescent="0.25"/>
    <row r="243894" customFormat="1" x14ac:dyDescent="0.25"/>
    <row r="243895" customFormat="1" x14ac:dyDescent="0.25"/>
    <row r="243896" customFormat="1" x14ac:dyDescent="0.25"/>
    <row r="243897" customFormat="1" x14ac:dyDescent="0.25"/>
    <row r="243898" customFormat="1" x14ac:dyDescent="0.25"/>
    <row r="243899" customFormat="1" x14ac:dyDescent="0.25"/>
    <row r="243900" customFormat="1" x14ac:dyDescent="0.25"/>
    <row r="243901" customFormat="1" x14ac:dyDescent="0.25"/>
    <row r="243902" customFormat="1" x14ac:dyDescent="0.25"/>
    <row r="243903" customFormat="1" x14ac:dyDescent="0.25"/>
    <row r="243904" customFormat="1" x14ac:dyDescent="0.25"/>
    <row r="243905" customFormat="1" x14ac:dyDescent="0.25"/>
    <row r="243906" customFormat="1" x14ac:dyDescent="0.25"/>
    <row r="243907" customFormat="1" x14ac:dyDescent="0.25"/>
    <row r="243908" customFormat="1" x14ac:dyDescent="0.25"/>
    <row r="243909" customFormat="1" x14ac:dyDescent="0.25"/>
    <row r="243910" customFormat="1" x14ac:dyDescent="0.25"/>
    <row r="243911" customFormat="1" x14ac:dyDescent="0.25"/>
    <row r="243912" customFormat="1" x14ac:dyDescent="0.25"/>
    <row r="243913" customFormat="1" x14ac:dyDescent="0.25"/>
    <row r="243914" customFormat="1" x14ac:dyDescent="0.25"/>
    <row r="243915" customFormat="1" x14ac:dyDescent="0.25"/>
    <row r="243916" customFormat="1" x14ac:dyDescent="0.25"/>
    <row r="243917" customFormat="1" x14ac:dyDescent="0.25"/>
    <row r="243918" customFormat="1" x14ac:dyDescent="0.25"/>
    <row r="243919" customFormat="1" x14ac:dyDescent="0.25"/>
    <row r="243920" customFormat="1" x14ac:dyDescent="0.25"/>
    <row r="243921" customFormat="1" x14ac:dyDescent="0.25"/>
    <row r="243922" customFormat="1" x14ac:dyDescent="0.25"/>
    <row r="243923" customFormat="1" x14ac:dyDescent="0.25"/>
    <row r="243924" customFormat="1" x14ac:dyDescent="0.25"/>
    <row r="243925" customFormat="1" x14ac:dyDescent="0.25"/>
    <row r="243926" customFormat="1" x14ac:dyDescent="0.25"/>
    <row r="243927" customFormat="1" x14ac:dyDescent="0.25"/>
    <row r="243928" customFormat="1" x14ac:dyDescent="0.25"/>
    <row r="243929" customFormat="1" x14ac:dyDescent="0.25"/>
    <row r="243930" customFormat="1" x14ac:dyDescent="0.25"/>
    <row r="243931" customFormat="1" x14ac:dyDescent="0.25"/>
    <row r="243932" customFormat="1" x14ac:dyDescent="0.25"/>
    <row r="243933" customFormat="1" x14ac:dyDescent="0.25"/>
    <row r="243934" customFormat="1" x14ac:dyDescent="0.25"/>
    <row r="243935" customFormat="1" x14ac:dyDescent="0.25"/>
    <row r="243936" customFormat="1" x14ac:dyDescent="0.25"/>
    <row r="243937" customFormat="1" x14ac:dyDescent="0.25"/>
    <row r="243938" customFormat="1" x14ac:dyDescent="0.25"/>
    <row r="243939" customFormat="1" x14ac:dyDescent="0.25"/>
    <row r="243940" customFormat="1" x14ac:dyDescent="0.25"/>
    <row r="243941" customFormat="1" x14ac:dyDescent="0.25"/>
    <row r="243942" customFormat="1" x14ac:dyDescent="0.25"/>
    <row r="243943" customFormat="1" x14ac:dyDescent="0.25"/>
    <row r="243944" customFormat="1" x14ac:dyDescent="0.25"/>
    <row r="243945" customFormat="1" x14ac:dyDescent="0.25"/>
    <row r="243946" customFormat="1" x14ac:dyDescent="0.25"/>
    <row r="243947" customFormat="1" x14ac:dyDescent="0.25"/>
    <row r="243948" customFormat="1" x14ac:dyDescent="0.25"/>
    <row r="243949" customFormat="1" x14ac:dyDescent="0.25"/>
    <row r="243950" customFormat="1" x14ac:dyDescent="0.25"/>
    <row r="243951" customFormat="1" x14ac:dyDescent="0.25"/>
    <row r="243952" customFormat="1" x14ac:dyDescent="0.25"/>
    <row r="243953" customFormat="1" x14ac:dyDescent="0.25"/>
    <row r="243954" customFormat="1" x14ac:dyDescent="0.25"/>
    <row r="243955" customFormat="1" x14ac:dyDescent="0.25"/>
    <row r="243956" customFormat="1" x14ac:dyDescent="0.25"/>
    <row r="243957" customFormat="1" x14ac:dyDescent="0.25"/>
    <row r="243958" customFormat="1" x14ac:dyDescent="0.25"/>
    <row r="243959" customFormat="1" x14ac:dyDescent="0.25"/>
    <row r="243960" customFormat="1" x14ac:dyDescent="0.25"/>
    <row r="243961" customFormat="1" x14ac:dyDescent="0.25"/>
    <row r="243962" customFormat="1" x14ac:dyDescent="0.25"/>
    <row r="243963" customFormat="1" x14ac:dyDescent="0.25"/>
    <row r="243964" customFormat="1" x14ac:dyDescent="0.25"/>
    <row r="243965" customFormat="1" x14ac:dyDescent="0.25"/>
    <row r="243966" customFormat="1" x14ac:dyDescent="0.25"/>
    <row r="243967" customFormat="1" x14ac:dyDescent="0.25"/>
    <row r="243968" customFormat="1" x14ac:dyDescent="0.25"/>
    <row r="243969" customFormat="1" x14ac:dyDescent="0.25"/>
    <row r="243970" customFormat="1" x14ac:dyDescent="0.25"/>
    <row r="243971" customFormat="1" x14ac:dyDescent="0.25"/>
    <row r="243972" customFormat="1" x14ac:dyDescent="0.25"/>
    <row r="243973" customFormat="1" x14ac:dyDescent="0.25"/>
    <row r="243974" customFormat="1" x14ac:dyDescent="0.25"/>
    <row r="243975" customFormat="1" x14ac:dyDescent="0.25"/>
    <row r="243976" customFormat="1" x14ac:dyDescent="0.25"/>
    <row r="243977" customFormat="1" x14ac:dyDescent="0.25"/>
    <row r="243978" customFormat="1" x14ac:dyDescent="0.25"/>
    <row r="243979" customFormat="1" x14ac:dyDescent="0.25"/>
    <row r="243980" customFormat="1" x14ac:dyDescent="0.25"/>
    <row r="243981" customFormat="1" x14ac:dyDescent="0.25"/>
    <row r="243982" customFormat="1" x14ac:dyDescent="0.25"/>
    <row r="243983" customFormat="1" x14ac:dyDescent="0.25"/>
    <row r="243984" customFormat="1" x14ac:dyDescent="0.25"/>
    <row r="243985" customFormat="1" x14ac:dyDescent="0.25"/>
    <row r="243986" customFormat="1" x14ac:dyDescent="0.25"/>
    <row r="243987" customFormat="1" x14ac:dyDescent="0.25"/>
    <row r="243988" customFormat="1" x14ac:dyDescent="0.25"/>
    <row r="243989" customFormat="1" x14ac:dyDescent="0.25"/>
    <row r="243990" customFormat="1" x14ac:dyDescent="0.25"/>
    <row r="243991" customFormat="1" x14ac:dyDescent="0.25"/>
    <row r="243992" customFormat="1" x14ac:dyDescent="0.25"/>
    <row r="243993" customFormat="1" x14ac:dyDescent="0.25"/>
    <row r="243994" customFormat="1" x14ac:dyDescent="0.25"/>
    <row r="243995" customFormat="1" x14ac:dyDescent="0.25"/>
    <row r="243996" customFormat="1" x14ac:dyDescent="0.25"/>
    <row r="243997" customFormat="1" x14ac:dyDescent="0.25"/>
    <row r="243998" customFormat="1" x14ac:dyDescent="0.25"/>
    <row r="243999" customFormat="1" x14ac:dyDescent="0.25"/>
    <row r="244000" customFormat="1" x14ac:dyDescent="0.25"/>
    <row r="244001" customFormat="1" x14ac:dyDescent="0.25"/>
    <row r="244002" customFormat="1" x14ac:dyDescent="0.25"/>
    <row r="244003" customFormat="1" x14ac:dyDescent="0.25"/>
    <row r="244004" customFormat="1" x14ac:dyDescent="0.25"/>
    <row r="244005" customFormat="1" x14ac:dyDescent="0.25"/>
    <row r="244006" customFormat="1" x14ac:dyDescent="0.25"/>
    <row r="244007" customFormat="1" x14ac:dyDescent="0.25"/>
    <row r="244008" customFormat="1" x14ac:dyDescent="0.25"/>
    <row r="244009" customFormat="1" x14ac:dyDescent="0.25"/>
    <row r="244010" customFormat="1" x14ac:dyDescent="0.25"/>
    <row r="244011" customFormat="1" x14ac:dyDescent="0.25"/>
    <row r="244012" customFormat="1" x14ac:dyDescent="0.25"/>
    <row r="244013" customFormat="1" x14ac:dyDescent="0.25"/>
    <row r="244014" customFormat="1" x14ac:dyDescent="0.25"/>
    <row r="244015" customFormat="1" x14ac:dyDescent="0.25"/>
    <row r="244016" customFormat="1" x14ac:dyDescent="0.25"/>
    <row r="244017" customFormat="1" x14ac:dyDescent="0.25"/>
    <row r="244018" customFormat="1" x14ac:dyDescent="0.25"/>
    <row r="244019" customFormat="1" x14ac:dyDescent="0.25"/>
    <row r="244020" customFormat="1" x14ac:dyDescent="0.25"/>
    <row r="244021" customFormat="1" x14ac:dyDescent="0.25"/>
    <row r="244022" customFormat="1" x14ac:dyDescent="0.25"/>
    <row r="244023" customFormat="1" x14ac:dyDescent="0.25"/>
    <row r="244024" customFormat="1" x14ac:dyDescent="0.25"/>
    <row r="244025" customFormat="1" x14ac:dyDescent="0.25"/>
    <row r="244026" customFormat="1" x14ac:dyDescent="0.25"/>
    <row r="244027" customFormat="1" x14ac:dyDescent="0.25"/>
    <row r="244028" customFormat="1" x14ac:dyDescent="0.25"/>
    <row r="244029" customFormat="1" x14ac:dyDescent="0.25"/>
    <row r="244030" customFormat="1" x14ac:dyDescent="0.25"/>
    <row r="244031" customFormat="1" x14ac:dyDescent="0.25"/>
    <row r="244032" customFormat="1" x14ac:dyDescent="0.25"/>
    <row r="244033" customFormat="1" x14ac:dyDescent="0.25"/>
    <row r="244034" customFormat="1" x14ac:dyDescent="0.25"/>
    <row r="244035" customFormat="1" x14ac:dyDescent="0.25"/>
    <row r="244036" customFormat="1" x14ac:dyDescent="0.25"/>
    <row r="244037" customFormat="1" x14ac:dyDescent="0.25"/>
    <row r="244038" customFormat="1" x14ac:dyDescent="0.25"/>
    <row r="244039" customFormat="1" x14ac:dyDescent="0.25"/>
    <row r="244040" customFormat="1" x14ac:dyDescent="0.25"/>
    <row r="244041" customFormat="1" x14ac:dyDescent="0.25"/>
    <row r="244042" customFormat="1" x14ac:dyDescent="0.25"/>
    <row r="244043" customFormat="1" x14ac:dyDescent="0.25"/>
    <row r="244044" customFormat="1" x14ac:dyDescent="0.25"/>
    <row r="244045" customFormat="1" x14ac:dyDescent="0.25"/>
    <row r="244046" customFormat="1" x14ac:dyDescent="0.25"/>
    <row r="244047" customFormat="1" x14ac:dyDescent="0.25"/>
    <row r="244048" customFormat="1" x14ac:dyDescent="0.25"/>
    <row r="244049" customFormat="1" x14ac:dyDescent="0.25"/>
    <row r="244050" customFormat="1" x14ac:dyDescent="0.25"/>
    <row r="244051" customFormat="1" x14ac:dyDescent="0.25"/>
    <row r="244052" customFormat="1" x14ac:dyDescent="0.25"/>
    <row r="244053" customFormat="1" x14ac:dyDescent="0.25"/>
    <row r="244054" customFormat="1" x14ac:dyDescent="0.25"/>
    <row r="244055" customFormat="1" x14ac:dyDescent="0.25"/>
    <row r="244056" customFormat="1" x14ac:dyDescent="0.25"/>
    <row r="244057" customFormat="1" x14ac:dyDescent="0.25"/>
    <row r="244058" customFormat="1" x14ac:dyDescent="0.25"/>
    <row r="244059" customFormat="1" x14ac:dyDescent="0.25"/>
    <row r="244060" customFormat="1" x14ac:dyDescent="0.25"/>
    <row r="244061" customFormat="1" x14ac:dyDescent="0.25"/>
    <row r="244062" customFormat="1" x14ac:dyDescent="0.25"/>
    <row r="244063" customFormat="1" x14ac:dyDescent="0.25"/>
    <row r="244064" customFormat="1" x14ac:dyDescent="0.25"/>
    <row r="244065" customFormat="1" x14ac:dyDescent="0.25"/>
    <row r="244066" customFormat="1" x14ac:dyDescent="0.25"/>
    <row r="244067" customFormat="1" x14ac:dyDescent="0.25"/>
    <row r="244068" customFormat="1" x14ac:dyDescent="0.25"/>
    <row r="244069" customFormat="1" x14ac:dyDescent="0.25"/>
    <row r="244070" customFormat="1" x14ac:dyDescent="0.25"/>
    <row r="244071" customFormat="1" x14ac:dyDescent="0.25"/>
    <row r="244072" customFormat="1" x14ac:dyDescent="0.25"/>
    <row r="244073" customFormat="1" x14ac:dyDescent="0.25"/>
    <row r="244074" customFormat="1" x14ac:dyDescent="0.25"/>
    <row r="244075" customFormat="1" x14ac:dyDescent="0.25"/>
    <row r="244076" customFormat="1" x14ac:dyDescent="0.25"/>
    <row r="244077" customFormat="1" x14ac:dyDescent="0.25"/>
    <row r="244078" customFormat="1" x14ac:dyDescent="0.25"/>
    <row r="244079" customFormat="1" x14ac:dyDescent="0.25"/>
    <row r="244080" customFormat="1" x14ac:dyDescent="0.25"/>
    <row r="244081" customFormat="1" x14ac:dyDescent="0.25"/>
    <row r="244082" customFormat="1" x14ac:dyDescent="0.25"/>
    <row r="244083" customFormat="1" x14ac:dyDescent="0.25"/>
    <row r="244084" customFormat="1" x14ac:dyDescent="0.25"/>
    <row r="244085" customFormat="1" x14ac:dyDescent="0.25"/>
    <row r="244086" customFormat="1" x14ac:dyDescent="0.25"/>
    <row r="244087" customFormat="1" x14ac:dyDescent="0.25"/>
    <row r="244088" customFormat="1" x14ac:dyDescent="0.25"/>
    <row r="244089" customFormat="1" x14ac:dyDescent="0.25"/>
    <row r="244090" customFormat="1" x14ac:dyDescent="0.25"/>
    <row r="244091" customFormat="1" x14ac:dyDescent="0.25"/>
    <row r="244092" customFormat="1" x14ac:dyDescent="0.25"/>
    <row r="244093" customFormat="1" x14ac:dyDescent="0.25"/>
    <row r="244094" customFormat="1" x14ac:dyDescent="0.25"/>
    <row r="244095" customFormat="1" x14ac:dyDescent="0.25"/>
    <row r="244096" customFormat="1" x14ac:dyDescent="0.25"/>
    <row r="244097" customFormat="1" x14ac:dyDescent="0.25"/>
    <row r="244098" customFormat="1" x14ac:dyDescent="0.25"/>
    <row r="244099" customFormat="1" x14ac:dyDescent="0.25"/>
    <row r="244100" customFormat="1" x14ac:dyDescent="0.25"/>
    <row r="244101" customFormat="1" x14ac:dyDescent="0.25"/>
    <row r="244102" customFormat="1" x14ac:dyDescent="0.25"/>
    <row r="244103" customFormat="1" x14ac:dyDescent="0.25"/>
    <row r="244104" customFormat="1" x14ac:dyDescent="0.25"/>
    <row r="244105" customFormat="1" x14ac:dyDescent="0.25"/>
    <row r="244106" customFormat="1" x14ac:dyDescent="0.25"/>
    <row r="244107" customFormat="1" x14ac:dyDescent="0.25"/>
    <row r="244108" customFormat="1" x14ac:dyDescent="0.25"/>
    <row r="244109" customFormat="1" x14ac:dyDescent="0.25"/>
    <row r="244110" customFormat="1" x14ac:dyDescent="0.25"/>
    <row r="244111" customFormat="1" x14ac:dyDescent="0.25"/>
    <row r="244112" customFormat="1" x14ac:dyDescent="0.25"/>
    <row r="244113" customFormat="1" x14ac:dyDescent="0.25"/>
    <row r="244114" customFormat="1" x14ac:dyDescent="0.25"/>
    <row r="244115" customFormat="1" x14ac:dyDescent="0.25"/>
    <row r="244116" customFormat="1" x14ac:dyDescent="0.25"/>
    <row r="244117" customFormat="1" x14ac:dyDescent="0.25"/>
    <row r="244118" customFormat="1" x14ac:dyDescent="0.25"/>
    <row r="244119" customFormat="1" x14ac:dyDescent="0.25"/>
    <row r="244120" customFormat="1" x14ac:dyDescent="0.25"/>
    <row r="244121" customFormat="1" x14ac:dyDescent="0.25"/>
    <row r="244122" customFormat="1" x14ac:dyDescent="0.25"/>
    <row r="244123" customFormat="1" x14ac:dyDescent="0.25"/>
    <row r="244124" customFormat="1" x14ac:dyDescent="0.25"/>
    <row r="244125" customFormat="1" x14ac:dyDescent="0.25"/>
    <row r="244126" customFormat="1" x14ac:dyDescent="0.25"/>
    <row r="244127" customFormat="1" x14ac:dyDescent="0.25"/>
    <row r="244128" customFormat="1" x14ac:dyDescent="0.25"/>
    <row r="244129" customFormat="1" x14ac:dyDescent="0.25"/>
    <row r="244130" customFormat="1" x14ac:dyDescent="0.25"/>
    <row r="244131" customFormat="1" x14ac:dyDescent="0.25"/>
    <row r="244132" customFormat="1" x14ac:dyDescent="0.25"/>
    <row r="244133" customFormat="1" x14ac:dyDescent="0.25"/>
    <row r="244134" customFormat="1" x14ac:dyDescent="0.25"/>
    <row r="244135" customFormat="1" x14ac:dyDescent="0.25"/>
    <row r="244136" customFormat="1" x14ac:dyDescent="0.25"/>
    <row r="244137" customFormat="1" x14ac:dyDescent="0.25"/>
    <row r="244138" customFormat="1" x14ac:dyDescent="0.25"/>
    <row r="244139" customFormat="1" x14ac:dyDescent="0.25"/>
    <row r="244140" customFormat="1" x14ac:dyDescent="0.25"/>
    <row r="244141" customFormat="1" x14ac:dyDescent="0.25"/>
    <row r="244142" customFormat="1" x14ac:dyDescent="0.25"/>
    <row r="244143" customFormat="1" x14ac:dyDescent="0.25"/>
    <row r="244144" customFormat="1" x14ac:dyDescent="0.25"/>
    <row r="244145" customFormat="1" x14ac:dyDescent="0.25"/>
    <row r="244146" customFormat="1" x14ac:dyDescent="0.25"/>
    <row r="244147" customFormat="1" x14ac:dyDescent="0.25"/>
    <row r="244148" customFormat="1" x14ac:dyDescent="0.25"/>
    <row r="244149" customFormat="1" x14ac:dyDescent="0.25"/>
    <row r="244150" customFormat="1" x14ac:dyDescent="0.25"/>
    <row r="244151" customFormat="1" x14ac:dyDescent="0.25"/>
    <row r="244152" customFormat="1" x14ac:dyDescent="0.25"/>
    <row r="244153" customFormat="1" x14ac:dyDescent="0.25"/>
    <row r="244154" customFormat="1" x14ac:dyDescent="0.25"/>
    <row r="244155" customFormat="1" x14ac:dyDescent="0.25"/>
    <row r="244156" customFormat="1" x14ac:dyDescent="0.25"/>
    <row r="244157" customFormat="1" x14ac:dyDescent="0.25"/>
    <row r="244158" customFormat="1" x14ac:dyDescent="0.25"/>
    <row r="244159" customFormat="1" x14ac:dyDescent="0.25"/>
    <row r="244160" customFormat="1" x14ac:dyDescent="0.25"/>
    <row r="244161" customFormat="1" x14ac:dyDescent="0.25"/>
    <row r="244162" customFormat="1" x14ac:dyDescent="0.25"/>
    <row r="244163" customFormat="1" x14ac:dyDescent="0.25"/>
    <row r="244164" customFormat="1" x14ac:dyDescent="0.25"/>
    <row r="244165" customFormat="1" x14ac:dyDescent="0.25"/>
    <row r="244166" customFormat="1" x14ac:dyDescent="0.25"/>
    <row r="244167" customFormat="1" x14ac:dyDescent="0.25"/>
    <row r="244168" customFormat="1" x14ac:dyDescent="0.25"/>
    <row r="244169" customFormat="1" x14ac:dyDescent="0.25"/>
    <row r="244170" customFormat="1" x14ac:dyDescent="0.25"/>
    <row r="244171" customFormat="1" x14ac:dyDescent="0.25"/>
    <row r="244172" customFormat="1" x14ac:dyDescent="0.25"/>
    <row r="244173" customFormat="1" x14ac:dyDescent="0.25"/>
    <row r="244174" customFormat="1" x14ac:dyDescent="0.25"/>
    <row r="244175" customFormat="1" x14ac:dyDescent="0.25"/>
    <row r="244176" customFormat="1" x14ac:dyDescent="0.25"/>
    <row r="244177" customFormat="1" x14ac:dyDescent="0.25"/>
    <row r="244178" customFormat="1" x14ac:dyDescent="0.25"/>
    <row r="244179" customFormat="1" x14ac:dyDescent="0.25"/>
    <row r="244180" customFormat="1" x14ac:dyDescent="0.25"/>
    <row r="244181" customFormat="1" x14ac:dyDescent="0.25"/>
    <row r="244182" customFormat="1" x14ac:dyDescent="0.25"/>
    <row r="244183" customFormat="1" x14ac:dyDescent="0.25"/>
    <row r="244184" customFormat="1" x14ac:dyDescent="0.25"/>
    <row r="244185" customFormat="1" x14ac:dyDescent="0.25"/>
    <row r="244186" customFormat="1" x14ac:dyDescent="0.25"/>
    <row r="244187" customFormat="1" x14ac:dyDescent="0.25"/>
    <row r="244188" customFormat="1" x14ac:dyDescent="0.25"/>
    <row r="244189" customFormat="1" x14ac:dyDescent="0.25"/>
    <row r="244190" customFormat="1" x14ac:dyDescent="0.25"/>
    <row r="244191" customFormat="1" x14ac:dyDescent="0.25"/>
    <row r="244192" customFormat="1" x14ac:dyDescent="0.25"/>
    <row r="244193" customFormat="1" x14ac:dyDescent="0.25"/>
    <row r="244194" customFormat="1" x14ac:dyDescent="0.25"/>
    <row r="244195" customFormat="1" x14ac:dyDescent="0.25"/>
    <row r="244196" customFormat="1" x14ac:dyDescent="0.25"/>
    <row r="244197" customFormat="1" x14ac:dyDescent="0.25"/>
    <row r="244198" customFormat="1" x14ac:dyDescent="0.25"/>
    <row r="244199" customFormat="1" x14ac:dyDescent="0.25"/>
    <row r="244200" customFormat="1" x14ac:dyDescent="0.25"/>
    <row r="244201" customFormat="1" x14ac:dyDescent="0.25"/>
    <row r="244202" customFormat="1" x14ac:dyDescent="0.25"/>
    <row r="244203" customFormat="1" x14ac:dyDescent="0.25"/>
    <row r="244204" customFormat="1" x14ac:dyDescent="0.25"/>
    <row r="244205" customFormat="1" x14ac:dyDescent="0.25"/>
    <row r="244206" customFormat="1" x14ac:dyDescent="0.25"/>
    <row r="244207" customFormat="1" x14ac:dyDescent="0.25"/>
    <row r="244208" customFormat="1" x14ac:dyDescent="0.25"/>
    <row r="244209" customFormat="1" x14ac:dyDescent="0.25"/>
    <row r="244210" customFormat="1" x14ac:dyDescent="0.25"/>
    <row r="244211" customFormat="1" x14ac:dyDescent="0.25"/>
    <row r="244212" customFormat="1" x14ac:dyDescent="0.25"/>
    <row r="244213" customFormat="1" x14ac:dyDescent="0.25"/>
    <row r="244214" customFormat="1" x14ac:dyDescent="0.25"/>
    <row r="244215" customFormat="1" x14ac:dyDescent="0.25"/>
    <row r="244216" customFormat="1" x14ac:dyDescent="0.25"/>
    <row r="244217" customFormat="1" x14ac:dyDescent="0.25"/>
    <row r="244218" customFormat="1" x14ac:dyDescent="0.25"/>
    <row r="244219" customFormat="1" x14ac:dyDescent="0.25"/>
    <row r="244220" customFormat="1" x14ac:dyDescent="0.25"/>
    <row r="244221" customFormat="1" x14ac:dyDescent="0.25"/>
    <row r="244222" customFormat="1" x14ac:dyDescent="0.25"/>
    <row r="244223" customFormat="1" x14ac:dyDescent="0.25"/>
    <row r="244224" customFormat="1" x14ac:dyDescent="0.25"/>
    <row r="244225" customFormat="1" x14ac:dyDescent="0.25"/>
    <row r="244226" customFormat="1" x14ac:dyDescent="0.25"/>
    <row r="244227" customFormat="1" x14ac:dyDescent="0.25"/>
    <row r="244228" customFormat="1" x14ac:dyDescent="0.25"/>
    <row r="244229" customFormat="1" x14ac:dyDescent="0.25"/>
    <row r="244230" customFormat="1" x14ac:dyDescent="0.25"/>
    <row r="244231" customFormat="1" x14ac:dyDescent="0.25"/>
    <row r="244232" customFormat="1" x14ac:dyDescent="0.25"/>
    <row r="244233" customFormat="1" x14ac:dyDescent="0.25"/>
    <row r="244234" customFormat="1" x14ac:dyDescent="0.25"/>
    <row r="244235" customFormat="1" x14ac:dyDescent="0.25"/>
    <row r="244236" customFormat="1" x14ac:dyDescent="0.25"/>
    <row r="244237" customFormat="1" x14ac:dyDescent="0.25"/>
    <row r="244238" customFormat="1" x14ac:dyDescent="0.25"/>
    <row r="244239" customFormat="1" x14ac:dyDescent="0.25"/>
    <row r="244240" customFormat="1" x14ac:dyDescent="0.25"/>
    <row r="244241" customFormat="1" x14ac:dyDescent="0.25"/>
    <row r="244242" customFormat="1" x14ac:dyDescent="0.25"/>
    <row r="244243" customFormat="1" x14ac:dyDescent="0.25"/>
    <row r="244244" customFormat="1" x14ac:dyDescent="0.25"/>
    <row r="244245" customFormat="1" x14ac:dyDescent="0.25"/>
    <row r="244246" customFormat="1" x14ac:dyDescent="0.25"/>
    <row r="244247" customFormat="1" x14ac:dyDescent="0.25"/>
    <row r="244248" customFormat="1" x14ac:dyDescent="0.25"/>
    <row r="244249" customFormat="1" x14ac:dyDescent="0.25"/>
    <row r="244250" customFormat="1" x14ac:dyDescent="0.25"/>
    <row r="244251" customFormat="1" x14ac:dyDescent="0.25"/>
    <row r="244252" customFormat="1" x14ac:dyDescent="0.25"/>
    <row r="244253" customFormat="1" x14ac:dyDescent="0.25"/>
    <row r="244254" customFormat="1" x14ac:dyDescent="0.25"/>
    <row r="244255" customFormat="1" x14ac:dyDescent="0.25"/>
    <row r="244256" customFormat="1" x14ac:dyDescent="0.25"/>
    <row r="244257" customFormat="1" x14ac:dyDescent="0.25"/>
    <row r="244258" customFormat="1" x14ac:dyDescent="0.25"/>
    <row r="244259" customFormat="1" x14ac:dyDescent="0.25"/>
    <row r="244260" customFormat="1" x14ac:dyDescent="0.25"/>
    <row r="244261" customFormat="1" x14ac:dyDescent="0.25"/>
    <row r="244262" customFormat="1" x14ac:dyDescent="0.25"/>
    <row r="244263" customFormat="1" x14ac:dyDescent="0.25"/>
    <row r="244264" customFormat="1" x14ac:dyDescent="0.25"/>
    <row r="244265" customFormat="1" x14ac:dyDescent="0.25"/>
    <row r="244266" customFormat="1" x14ac:dyDescent="0.25"/>
    <row r="244267" customFormat="1" x14ac:dyDescent="0.25"/>
    <row r="244268" customFormat="1" x14ac:dyDescent="0.25"/>
    <row r="244269" customFormat="1" x14ac:dyDescent="0.25"/>
    <row r="244270" customFormat="1" x14ac:dyDescent="0.25"/>
    <row r="244271" customFormat="1" x14ac:dyDescent="0.25"/>
    <row r="244272" customFormat="1" x14ac:dyDescent="0.25"/>
    <row r="244273" customFormat="1" x14ac:dyDescent="0.25"/>
    <row r="244274" customFormat="1" x14ac:dyDescent="0.25"/>
    <row r="244275" customFormat="1" x14ac:dyDescent="0.25"/>
    <row r="244276" customFormat="1" x14ac:dyDescent="0.25"/>
    <row r="244277" customFormat="1" x14ac:dyDescent="0.25"/>
    <row r="244278" customFormat="1" x14ac:dyDescent="0.25"/>
    <row r="244279" customFormat="1" x14ac:dyDescent="0.25"/>
    <row r="244280" customFormat="1" x14ac:dyDescent="0.25"/>
    <row r="244281" customFormat="1" x14ac:dyDescent="0.25"/>
    <row r="244282" customFormat="1" x14ac:dyDescent="0.25"/>
    <row r="244283" customFormat="1" x14ac:dyDescent="0.25"/>
    <row r="244284" customFormat="1" x14ac:dyDescent="0.25"/>
    <row r="244285" customFormat="1" x14ac:dyDescent="0.25"/>
    <row r="244286" customFormat="1" x14ac:dyDescent="0.25"/>
    <row r="244287" customFormat="1" x14ac:dyDescent="0.25"/>
    <row r="244288" customFormat="1" x14ac:dyDescent="0.25"/>
    <row r="244289" customFormat="1" x14ac:dyDescent="0.25"/>
    <row r="244290" customFormat="1" x14ac:dyDescent="0.25"/>
    <row r="244291" customFormat="1" x14ac:dyDescent="0.25"/>
    <row r="244292" customFormat="1" x14ac:dyDescent="0.25"/>
    <row r="244293" customFormat="1" x14ac:dyDescent="0.25"/>
    <row r="244294" customFormat="1" x14ac:dyDescent="0.25"/>
    <row r="244295" customFormat="1" x14ac:dyDescent="0.25"/>
    <row r="244296" customFormat="1" x14ac:dyDescent="0.25"/>
    <row r="244297" customFormat="1" x14ac:dyDescent="0.25"/>
    <row r="244298" customFormat="1" x14ac:dyDescent="0.25"/>
    <row r="244299" customFormat="1" x14ac:dyDescent="0.25"/>
    <row r="244300" customFormat="1" x14ac:dyDescent="0.25"/>
    <row r="244301" customFormat="1" x14ac:dyDescent="0.25"/>
    <row r="244302" customFormat="1" x14ac:dyDescent="0.25"/>
    <row r="244303" customFormat="1" x14ac:dyDescent="0.25"/>
    <row r="244304" customFormat="1" x14ac:dyDescent="0.25"/>
    <row r="244305" customFormat="1" x14ac:dyDescent="0.25"/>
    <row r="244306" customFormat="1" x14ac:dyDescent="0.25"/>
    <row r="244307" customFormat="1" x14ac:dyDescent="0.25"/>
    <row r="244308" customFormat="1" x14ac:dyDescent="0.25"/>
    <row r="244309" customFormat="1" x14ac:dyDescent="0.25"/>
    <row r="244310" customFormat="1" x14ac:dyDescent="0.25"/>
    <row r="244311" customFormat="1" x14ac:dyDescent="0.25"/>
    <row r="244312" customFormat="1" x14ac:dyDescent="0.25"/>
    <row r="244313" customFormat="1" x14ac:dyDescent="0.25"/>
    <row r="244314" customFormat="1" x14ac:dyDescent="0.25"/>
    <row r="244315" customFormat="1" x14ac:dyDescent="0.25"/>
    <row r="244316" customFormat="1" x14ac:dyDescent="0.25"/>
    <row r="244317" customFormat="1" x14ac:dyDescent="0.25"/>
    <row r="244318" customFormat="1" x14ac:dyDescent="0.25"/>
    <row r="244319" customFormat="1" x14ac:dyDescent="0.25"/>
    <row r="244320" customFormat="1" x14ac:dyDescent="0.25"/>
    <row r="244321" customFormat="1" x14ac:dyDescent="0.25"/>
    <row r="244322" customFormat="1" x14ac:dyDescent="0.25"/>
    <row r="244323" customFormat="1" x14ac:dyDescent="0.25"/>
    <row r="244324" customFormat="1" x14ac:dyDescent="0.25"/>
    <row r="244325" customFormat="1" x14ac:dyDescent="0.25"/>
    <row r="244326" customFormat="1" x14ac:dyDescent="0.25"/>
    <row r="244327" customFormat="1" x14ac:dyDescent="0.25"/>
    <row r="244328" customFormat="1" x14ac:dyDescent="0.25"/>
    <row r="244329" customFormat="1" x14ac:dyDescent="0.25"/>
    <row r="244330" customFormat="1" x14ac:dyDescent="0.25"/>
    <row r="244331" customFormat="1" x14ac:dyDescent="0.25"/>
    <row r="244332" customFormat="1" x14ac:dyDescent="0.25"/>
    <row r="244333" customFormat="1" x14ac:dyDescent="0.25"/>
    <row r="244334" customFormat="1" x14ac:dyDescent="0.25"/>
    <row r="244335" customFormat="1" x14ac:dyDescent="0.25"/>
    <row r="244336" customFormat="1" x14ac:dyDescent="0.25"/>
    <row r="244337" customFormat="1" x14ac:dyDescent="0.25"/>
    <row r="244338" customFormat="1" x14ac:dyDescent="0.25"/>
    <row r="244339" customFormat="1" x14ac:dyDescent="0.25"/>
    <row r="244340" customFormat="1" x14ac:dyDescent="0.25"/>
    <row r="244341" customFormat="1" x14ac:dyDescent="0.25"/>
    <row r="244342" customFormat="1" x14ac:dyDescent="0.25"/>
    <row r="244343" customFormat="1" x14ac:dyDescent="0.25"/>
    <row r="244344" customFormat="1" x14ac:dyDescent="0.25"/>
    <row r="244345" customFormat="1" x14ac:dyDescent="0.25"/>
    <row r="244346" customFormat="1" x14ac:dyDescent="0.25"/>
    <row r="244347" customFormat="1" x14ac:dyDescent="0.25"/>
    <row r="244348" customFormat="1" x14ac:dyDescent="0.25"/>
    <row r="244349" customFormat="1" x14ac:dyDescent="0.25"/>
    <row r="244350" customFormat="1" x14ac:dyDescent="0.25"/>
    <row r="244351" customFormat="1" x14ac:dyDescent="0.25"/>
    <row r="244352" customFormat="1" x14ac:dyDescent="0.25"/>
    <row r="244353" customFormat="1" x14ac:dyDescent="0.25"/>
    <row r="244354" customFormat="1" x14ac:dyDescent="0.25"/>
    <row r="244355" customFormat="1" x14ac:dyDescent="0.25"/>
    <row r="244356" customFormat="1" x14ac:dyDescent="0.25"/>
    <row r="244357" customFormat="1" x14ac:dyDescent="0.25"/>
    <row r="244358" customFormat="1" x14ac:dyDescent="0.25"/>
    <row r="244359" customFormat="1" x14ac:dyDescent="0.25"/>
    <row r="244360" customFormat="1" x14ac:dyDescent="0.25"/>
    <row r="244361" customFormat="1" x14ac:dyDescent="0.25"/>
    <row r="244362" customFormat="1" x14ac:dyDescent="0.25"/>
    <row r="244363" customFormat="1" x14ac:dyDescent="0.25"/>
    <row r="244364" customFormat="1" x14ac:dyDescent="0.25"/>
    <row r="244365" customFormat="1" x14ac:dyDescent="0.25"/>
    <row r="244366" customFormat="1" x14ac:dyDescent="0.25"/>
    <row r="244367" customFormat="1" x14ac:dyDescent="0.25"/>
    <row r="244368" customFormat="1" x14ac:dyDescent="0.25"/>
    <row r="244369" customFormat="1" x14ac:dyDescent="0.25"/>
    <row r="244370" customFormat="1" x14ac:dyDescent="0.25"/>
    <row r="244371" customFormat="1" x14ac:dyDescent="0.25"/>
    <row r="244372" customFormat="1" x14ac:dyDescent="0.25"/>
    <row r="244373" customFormat="1" x14ac:dyDescent="0.25"/>
    <row r="244374" customFormat="1" x14ac:dyDescent="0.25"/>
    <row r="244375" customFormat="1" x14ac:dyDescent="0.25"/>
    <row r="244376" customFormat="1" x14ac:dyDescent="0.25"/>
    <row r="244377" customFormat="1" x14ac:dyDescent="0.25"/>
    <row r="244378" customFormat="1" x14ac:dyDescent="0.25"/>
    <row r="244379" customFormat="1" x14ac:dyDescent="0.25"/>
    <row r="244380" customFormat="1" x14ac:dyDescent="0.25"/>
    <row r="244381" customFormat="1" x14ac:dyDescent="0.25"/>
    <row r="244382" customFormat="1" x14ac:dyDescent="0.25"/>
    <row r="244383" customFormat="1" x14ac:dyDescent="0.25"/>
    <row r="244384" customFormat="1" x14ac:dyDescent="0.25"/>
    <row r="244385" customFormat="1" x14ac:dyDescent="0.25"/>
    <row r="244386" customFormat="1" x14ac:dyDescent="0.25"/>
    <row r="244387" customFormat="1" x14ac:dyDescent="0.25"/>
    <row r="244388" customFormat="1" x14ac:dyDescent="0.25"/>
    <row r="244389" customFormat="1" x14ac:dyDescent="0.25"/>
    <row r="244390" customFormat="1" x14ac:dyDescent="0.25"/>
    <row r="244391" customFormat="1" x14ac:dyDescent="0.25"/>
    <row r="244392" customFormat="1" x14ac:dyDescent="0.25"/>
    <row r="244393" customFormat="1" x14ac:dyDescent="0.25"/>
    <row r="244394" customFormat="1" x14ac:dyDescent="0.25"/>
    <row r="244395" customFormat="1" x14ac:dyDescent="0.25"/>
    <row r="244396" customFormat="1" x14ac:dyDescent="0.25"/>
    <row r="244397" customFormat="1" x14ac:dyDescent="0.25"/>
    <row r="244398" customFormat="1" x14ac:dyDescent="0.25"/>
    <row r="244399" customFormat="1" x14ac:dyDescent="0.25"/>
    <row r="244400" customFormat="1" x14ac:dyDescent="0.25"/>
    <row r="244401" customFormat="1" x14ac:dyDescent="0.25"/>
    <row r="244402" customFormat="1" x14ac:dyDescent="0.25"/>
    <row r="244403" customFormat="1" x14ac:dyDescent="0.25"/>
    <row r="244404" customFormat="1" x14ac:dyDescent="0.25"/>
    <row r="244405" customFormat="1" x14ac:dyDescent="0.25"/>
    <row r="244406" customFormat="1" x14ac:dyDescent="0.25"/>
    <row r="244407" customFormat="1" x14ac:dyDescent="0.25"/>
    <row r="244408" customFormat="1" x14ac:dyDescent="0.25"/>
    <row r="244409" customFormat="1" x14ac:dyDescent="0.25"/>
    <row r="244410" customFormat="1" x14ac:dyDescent="0.25"/>
    <row r="244411" customFormat="1" x14ac:dyDescent="0.25"/>
    <row r="244412" customFormat="1" x14ac:dyDescent="0.25"/>
    <row r="244413" customFormat="1" x14ac:dyDescent="0.25"/>
    <row r="244414" customFormat="1" x14ac:dyDescent="0.25"/>
    <row r="244415" customFormat="1" x14ac:dyDescent="0.25"/>
    <row r="244416" customFormat="1" x14ac:dyDescent="0.25"/>
    <row r="244417" customFormat="1" x14ac:dyDescent="0.25"/>
    <row r="244418" customFormat="1" x14ac:dyDescent="0.25"/>
    <row r="244419" customFormat="1" x14ac:dyDescent="0.25"/>
    <row r="244420" customFormat="1" x14ac:dyDescent="0.25"/>
    <row r="244421" customFormat="1" x14ac:dyDescent="0.25"/>
    <row r="244422" customFormat="1" x14ac:dyDescent="0.25"/>
    <row r="244423" customFormat="1" x14ac:dyDescent="0.25"/>
    <row r="244424" customFormat="1" x14ac:dyDescent="0.25"/>
    <row r="244425" customFormat="1" x14ac:dyDescent="0.25"/>
    <row r="244426" customFormat="1" x14ac:dyDescent="0.25"/>
    <row r="244427" customFormat="1" x14ac:dyDescent="0.25"/>
    <row r="244428" customFormat="1" x14ac:dyDescent="0.25"/>
    <row r="244429" customFormat="1" x14ac:dyDescent="0.25"/>
    <row r="244430" customFormat="1" x14ac:dyDescent="0.25"/>
    <row r="244431" customFormat="1" x14ac:dyDescent="0.25"/>
    <row r="244432" customFormat="1" x14ac:dyDescent="0.25"/>
    <row r="244433" customFormat="1" x14ac:dyDescent="0.25"/>
    <row r="244434" customFormat="1" x14ac:dyDescent="0.25"/>
    <row r="244435" customFormat="1" x14ac:dyDescent="0.25"/>
    <row r="244436" customFormat="1" x14ac:dyDescent="0.25"/>
    <row r="244437" customFormat="1" x14ac:dyDescent="0.25"/>
    <row r="244438" customFormat="1" x14ac:dyDescent="0.25"/>
    <row r="244439" customFormat="1" x14ac:dyDescent="0.25"/>
    <row r="244440" customFormat="1" x14ac:dyDescent="0.25"/>
    <row r="244441" customFormat="1" x14ac:dyDescent="0.25"/>
    <row r="244442" customFormat="1" x14ac:dyDescent="0.25"/>
    <row r="244443" customFormat="1" x14ac:dyDescent="0.25"/>
    <row r="244444" customFormat="1" x14ac:dyDescent="0.25"/>
    <row r="244445" customFormat="1" x14ac:dyDescent="0.25"/>
    <row r="244446" customFormat="1" x14ac:dyDescent="0.25"/>
    <row r="244447" customFormat="1" x14ac:dyDescent="0.25"/>
    <row r="244448" customFormat="1" x14ac:dyDescent="0.25"/>
    <row r="244449" customFormat="1" x14ac:dyDescent="0.25"/>
    <row r="244450" customFormat="1" x14ac:dyDescent="0.25"/>
    <row r="244451" customFormat="1" x14ac:dyDescent="0.25"/>
    <row r="244452" customFormat="1" x14ac:dyDescent="0.25"/>
    <row r="244453" customFormat="1" x14ac:dyDescent="0.25"/>
    <row r="244454" customFormat="1" x14ac:dyDescent="0.25"/>
    <row r="244455" customFormat="1" x14ac:dyDescent="0.25"/>
    <row r="244456" customFormat="1" x14ac:dyDescent="0.25"/>
    <row r="244457" customFormat="1" x14ac:dyDescent="0.25"/>
    <row r="244458" customFormat="1" x14ac:dyDescent="0.25"/>
    <row r="244459" customFormat="1" x14ac:dyDescent="0.25"/>
    <row r="244460" customFormat="1" x14ac:dyDescent="0.25"/>
    <row r="244461" customFormat="1" x14ac:dyDescent="0.25"/>
    <row r="244462" customFormat="1" x14ac:dyDescent="0.25"/>
    <row r="244463" customFormat="1" x14ac:dyDescent="0.25"/>
    <row r="244464" customFormat="1" x14ac:dyDescent="0.25"/>
    <row r="244465" customFormat="1" x14ac:dyDescent="0.25"/>
    <row r="244466" customFormat="1" x14ac:dyDescent="0.25"/>
    <row r="244467" customFormat="1" x14ac:dyDescent="0.25"/>
    <row r="244468" customFormat="1" x14ac:dyDescent="0.25"/>
    <row r="244469" customFormat="1" x14ac:dyDescent="0.25"/>
    <row r="244470" customFormat="1" x14ac:dyDescent="0.25"/>
    <row r="244471" customFormat="1" x14ac:dyDescent="0.25"/>
    <row r="244472" customFormat="1" x14ac:dyDescent="0.25"/>
    <row r="244473" customFormat="1" x14ac:dyDescent="0.25"/>
    <row r="244474" customFormat="1" x14ac:dyDescent="0.25"/>
    <row r="244475" customFormat="1" x14ac:dyDescent="0.25"/>
    <row r="244476" customFormat="1" x14ac:dyDescent="0.25"/>
    <row r="244477" customFormat="1" x14ac:dyDescent="0.25"/>
    <row r="244478" customFormat="1" x14ac:dyDescent="0.25"/>
    <row r="244479" customFormat="1" x14ac:dyDescent="0.25"/>
    <row r="244480" customFormat="1" x14ac:dyDescent="0.25"/>
    <row r="244481" customFormat="1" x14ac:dyDescent="0.25"/>
    <row r="244482" customFormat="1" x14ac:dyDescent="0.25"/>
    <row r="244483" customFormat="1" x14ac:dyDescent="0.25"/>
    <row r="244484" customFormat="1" x14ac:dyDescent="0.25"/>
    <row r="244485" customFormat="1" x14ac:dyDescent="0.25"/>
    <row r="244486" customFormat="1" x14ac:dyDescent="0.25"/>
    <row r="244487" customFormat="1" x14ac:dyDescent="0.25"/>
    <row r="244488" customFormat="1" x14ac:dyDescent="0.25"/>
    <row r="244489" customFormat="1" x14ac:dyDescent="0.25"/>
    <row r="244490" customFormat="1" x14ac:dyDescent="0.25"/>
    <row r="244491" customFormat="1" x14ac:dyDescent="0.25"/>
    <row r="244492" customFormat="1" x14ac:dyDescent="0.25"/>
    <row r="244493" customFormat="1" x14ac:dyDescent="0.25"/>
    <row r="244494" customFormat="1" x14ac:dyDescent="0.25"/>
    <row r="244495" customFormat="1" x14ac:dyDescent="0.25"/>
    <row r="244496" customFormat="1" x14ac:dyDescent="0.25"/>
    <row r="244497" customFormat="1" x14ac:dyDescent="0.25"/>
    <row r="244498" customFormat="1" x14ac:dyDescent="0.25"/>
    <row r="244499" customFormat="1" x14ac:dyDescent="0.25"/>
    <row r="244500" customFormat="1" x14ac:dyDescent="0.25"/>
    <row r="244501" customFormat="1" x14ac:dyDescent="0.25"/>
    <row r="244502" customFormat="1" x14ac:dyDescent="0.25"/>
    <row r="244503" customFormat="1" x14ac:dyDescent="0.25"/>
    <row r="244504" customFormat="1" x14ac:dyDescent="0.25"/>
    <row r="244505" customFormat="1" x14ac:dyDescent="0.25"/>
    <row r="244506" customFormat="1" x14ac:dyDescent="0.25"/>
    <row r="244507" customFormat="1" x14ac:dyDescent="0.25"/>
    <row r="244508" customFormat="1" x14ac:dyDescent="0.25"/>
    <row r="244509" customFormat="1" x14ac:dyDescent="0.25"/>
    <row r="244510" customFormat="1" x14ac:dyDescent="0.25"/>
    <row r="244511" customFormat="1" x14ac:dyDescent="0.25"/>
    <row r="244512" customFormat="1" x14ac:dyDescent="0.25"/>
    <row r="244513" customFormat="1" x14ac:dyDescent="0.25"/>
    <row r="244514" customFormat="1" x14ac:dyDescent="0.25"/>
    <row r="244515" customFormat="1" x14ac:dyDescent="0.25"/>
    <row r="244516" customFormat="1" x14ac:dyDescent="0.25"/>
    <row r="244517" customFormat="1" x14ac:dyDescent="0.25"/>
    <row r="244518" customFormat="1" x14ac:dyDescent="0.25"/>
    <row r="244519" customFormat="1" x14ac:dyDescent="0.25"/>
    <row r="244520" customFormat="1" x14ac:dyDescent="0.25"/>
    <row r="244521" customFormat="1" x14ac:dyDescent="0.25"/>
    <row r="244522" customFormat="1" x14ac:dyDescent="0.25"/>
    <row r="244523" customFormat="1" x14ac:dyDescent="0.25"/>
    <row r="244524" customFormat="1" x14ac:dyDescent="0.25"/>
    <row r="244525" customFormat="1" x14ac:dyDescent="0.25"/>
    <row r="244526" customFormat="1" x14ac:dyDescent="0.25"/>
    <row r="244527" customFormat="1" x14ac:dyDescent="0.25"/>
    <row r="244528" customFormat="1" x14ac:dyDescent="0.25"/>
    <row r="244529" customFormat="1" x14ac:dyDescent="0.25"/>
    <row r="244530" customFormat="1" x14ac:dyDescent="0.25"/>
    <row r="244531" customFormat="1" x14ac:dyDescent="0.25"/>
    <row r="244532" customFormat="1" x14ac:dyDescent="0.25"/>
    <row r="244533" customFormat="1" x14ac:dyDescent="0.25"/>
    <row r="244534" customFormat="1" x14ac:dyDescent="0.25"/>
    <row r="244535" customFormat="1" x14ac:dyDescent="0.25"/>
    <row r="244536" customFormat="1" x14ac:dyDescent="0.25"/>
    <row r="244537" customFormat="1" x14ac:dyDescent="0.25"/>
    <row r="244538" customFormat="1" x14ac:dyDescent="0.25"/>
    <row r="244539" customFormat="1" x14ac:dyDescent="0.25"/>
    <row r="244540" customFormat="1" x14ac:dyDescent="0.25"/>
    <row r="244541" customFormat="1" x14ac:dyDescent="0.25"/>
    <row r="244542" customFormat="1" x14ac:dyDescent="0.25"/>
    <row r="244543" customFormat="1" x14ac:dyDescent="0.25"/>
    <row r="244544" customFormat="1" x14ac:dyDescent="0.25"/>
    <row r="244545" customFormat="1" x14ac:dyDescent="0.25"/>
    <row r="244546" customFormat="1" x14ac:dyDescent="0.25"/>
    <row r="244547" customFormat="1" x14ac:dyDescent="0.25"/>
    <row r="244548" customFormat="1" x14ac:dyDescent="0.25"/>
    <row r="244549" customFormat="1" x14ac:dyDescent="0.25"/>
    <row r="244550" customFormat="1" x14ac:dyDescent="0.25"/>
    <row r="244551" customFormat="1" x14ac:dyDescent="0.25"/>
    <row r="244552" customFormat="1" x14ac:dyDescent="0.25"/>
    <row r="244553" customFormat="1" x14ac:dyDescent="0.25"/>
    <row r="244554" customFormat="1" x14ac:dyDescent="0.25"/>
    <row r="244555" customFormat="1" x14ac:dyDescent="0.25"/>
    <row r="244556" customFormat="1" x14ac:dyDescent="0.25"/>
    <row r="244557" customFormat="1" x14ac:dyDescent="0.25"/>
    <row r="244558" customFormat="1" x14ac:dyDescent="0.25"/>
    <row r="244559" customFormat="1" x14ac:dyDescent="0.25"/>
    <row r="244560" customFormat="1" x14ac:dyDescent="0.25"/>
    <row r="244561" customFormat="1" x14ac:dyDescent="0.25"/>
    <row r="244562" customFormat="1" x14ac:dyDescent="0.25"/>
    <row r="244563" customFormat="1" x14ac:dyDescent="0.25"/>
    <row r="244564" customFormat="1" x14ac:dyDescent="0.25"/>
    <row r="244565" customFormat="1" x14ac:dyDescent="0.25"/>
    <row r="244566" customFormat="1" x14ac:dyDescent="0.25"/>
    <row r="244567" customFormat="1" x14ac:dyDescent="0.25"/>
    <row r="244568" customFormat="1" x14ac:dyDescent="0.25"/>
    <row r="244569" customFormat="1" x14ac:dyDescent="0.25"/>
    <row r="244570" customFormat="1" x14ac:dyDescent="0.25"/>
    <row r="244571" customFormat="1" x14ac:dyDescent="0.25"/>
    <row r="244572" customFormat="1" x14ac:dyDescent="0.25"/>
    <row r="244573" customFormat="1" x14ac:dyDescent="0.25"/>
    <row r="244574" customFormat="1" x14ac:dyDescent="0.25"/>
    <row r="244575" customFormat="1" x14ac:dyDescent="0.25"/>
    <row r="244576" customFormat="1" x14ac:dyDescent="0.25"/>
    <row r="244577" customFormat="1" x14ac:dyDescent="0.25"/>
    <row r="244578" customFormat="1" x14ac:dyDescent="0.25"/>
    <row r="244579" customFormat="1" x14ac:dyDescent="0.25"/>
    <row r="244580" customFormat="1" x14ac:dyDescent="0.25"/>
    <row r="244581" customFormat="1" x14ac:dyDescent="0.25"/>
    <row r="244582" customFormat="1" x14ac:dyDescent="0.25"/>
    <row r="244583" customFormat="1" x14ac:dyDescent="0.25"/>
    <row r="244584" customFormat="1" x14ac:dyDescent="0.25"/>
    <row r="244585" customFormat="1" x14ac:dyDescent="0.25"/>
    <row r="244586" customFormat="1" x14ac:dyDescent="0.25"/>
    <row r="244587" customFormat="1" x14ac:dyDescent="0.25"/>
    <row r="244588" customFormat="1" x14ac:dyDescent="0.25"/>
    <row r="244589" customFormat="1" x14ac:dyDescent="0.25"/>
    <row r="244590" customFormat="1" x14ac:dyDescent="0.25"/>
    <row r="244591" customFormat="1" x14ac:dyDescent="0.25"/>
    <row r="244592" customFormat="1" x14ac:dyDescent="0.25"/>
    <row r="244593" customFormat="1" x14ac:dyDescent="0.25"/>
    <row r="244594" customFormat="1" x14ac:dyDescent="0.25"/>
    <row r="244595" customFormat="1" x14ac:dyDescent="0.25"/>
    <row r="244596" customFormat="1" x14ac:dyDescent="0.25"/>
    <row r="244597" customFormat="1" x14ac:dyDescent="0.25"/>
    <row r="244598" customFormat="1" x14ac:dyDescent="0.25"/>
    <row r="244599" customFormat="1" x14ac:dyDescent="0.25"/>
    <row r="244600" customFormat="1" x14ac:dyDescent="0.25"/>
    <row r="244601" customFormat="1" x14ac:dyDescent="0.25"/>
    <row r="244602" customFormat="1" x14ac:dyDescent="0.25"/>
    <row r="244603" customFormat="1" x14ac:dyDescent="0.25"/>
    <row r="244604" customFormat="1" x14ac:dyDescent="0.25"/>
    <row r="244605" customFormat="1" x14ac:dyDescent="0.25"/>
    <row r="244606" customFormat="1" x14ac:dyDescent="0.25"/>
    <row r="244607" customFormat="1" x14ac:dyDescent="0.25"/>
    <row r="244608" customFormat="1" x14ac:dyDescent="0.25"/>
    <row r="244609" customFormat="1" x14ac:dyDescent="0.25"/>
    <row r="244610" customFormat="1" x14ac:dyDescent="0.25"/>
    <row r="244611" customFormat="1" x14ac:dyDescent="0.25"/>
    <row r="244612" customFormat="1" x14ac:dyDescent="0.25"/>
    <row r="244613" customFormat="1" x14ac:dyDescent="0.25"/>
    <row r="244614" customFormat="1" x14ac:dyDescent="0.25"/>
    <row r="244615" customFormat="1" x14ac:dyDescent="0.25"/>
    <row r="244616" customFormat="1" x14ac:dyDescent="0.25"/>
    <row r="244617" customFormat="1" x14ac:dyDescent="0.25"/>
    <row r="244618" customFormat="1" x14ac:dyDescent="0.25"/>
    <row r="244619" customFormat="1" x14ac:dyDescent="0.25"/>
    <row r="244620" customFormat="1" x14ac:dyDescent="0.25"/>
    <row r="244621" customFormat="1" x14ac:dyDescent="0.25"/>
    <row r="244622" customFormat="1" x14ac:dyDescent="0.25"/>
    <row r="244623" customFormat="1" x14ac:dyDescent="0.25"/>
    <row r="244624" customFormat="1" x14ac:dyDescent="0.25"/>
    <row r="244625" customFormat="1" x14ac:dyDescent="0.25"/>
    <row r="244626" customFormat="1" x14ac:dyDescent="0.25"/>
    <row r="244627" customFormat="1" x14ac:dyDescent="0.25"/>
    <row r="244628" customFormat="1" x14ac:dyDescent="0.25"/>
    <row r="244629" customFormat="1" x14ac:dyDescent="0.25"/>
    <row r="244630" customFormat="1" x14ac:dyDescent="0.25"/>
    <row r="244631" customFormat="1" x14ac:dyDescent="0.25"/>
    <row r="244632" customFormat="1" x14ac:dyDescent="0.25"/>
    <row r="244633" customFormat="1" x14ac:dyDescent="0.25"/>
    <row r="244634" customFormat="1" x14ac:dyDescent="0.25"/>
    <row r="244635" customFormat="1" x14ac:dyDescent="0.25"/>
    <row r="244636" customFormat="1" x14ac:dyDescent="0.25"/>
    <row r="244637" customFormat="1" x14ac:dyDescent="0.25"/>
    <row r="244638" customFormat="1" x14ac:dyDescent="0.25"/>
    <row r="244639" customFormat="1" x14ac:dyDescent="0.25"/>
    <row r="244640" customFormat="1" x14ac:dyDescent="0.25"/>
    <row r="244641" customFormat="1" x14ac:dyDescent="0.25"/>
    <row r="244642" customFormat="1" x14ac:dyDescent="0.25"/>
    <row r="244643" customFormat="1" x14ac:dyDescent="0.25"/>
    <row r="244644" customFormat="1" x14ac:dyDescent="0.25"/>
    <row r="244645" customFormat="1" x14ac:dyDescent="0.25"/>
    <row r="244646" customFormat="1" x14ac:dyDescent="0.25"/>
    <row r="244647" customFormat="1" x14ac:dyDescent="0.25"/>
    <row r="244648" customFormat="1" x14ac:dyDescent="0.25"/>
    <row r="244649" customFormat="1" x14ac:dyDescent="0.25"/>
    <row r="244650" customFormat="1" x14ac:dyDescent="0.25"/>
    <row r="244651" customFormat="1" x14ac:dyDescent="0.25"/>
    <row r="244652" customFormat="1" x14ac:dyDescent="0.25"/>
    <row r="244653" customFormat="1" x14ac:dyDescent="0.25"/>
    <row r="244654" customFormat="1" x14ac:dyDescent="0.25"/>
    <row r="244655" customFormat="1" x14ac:dyDescent="0.25"/>
    <row r="244656" customFormat="1" x14ac:dyDescent="0.25"/>
    <row r="244657" customFormat="1" x14ac:dyDescent="0.25"/>
    <row r="244658" customFormat="1" x14ac:dyDescent="0.25"/>
    <row r="244659" customFormat="1" x14ac:dyDescent="0.25"/>
    <row r="244660" customFormat="1" x14ac:dyDescent="0.25"/>
    <row r="244661" customFormat="1" x14ac:dyDescent="0.25"/>
    <row r="244662" customFormat="1" x14ac:dyDescent="0.25"/>
    <row r="244663" customFormat="1" x14ac:dyDescent="0.25"/>
    <row r="244664" customFormat="1" x14ac:dyDescent="0.25"/>
    <row r="244665" customFormat="1" x14ac:dyDescent="0.25"/>
    <row r="244666" customFormat="1" x14ac:dyDescent="0.25"/>
    <row r="244667" customFormat="1" x14ac:dyDescent="0.25"/>
    <row r="244668" customFormat="1" x14ac:dyDescent="0.25"/>
    <row r="244669" customFormat="1" x14ac:dyDescent="0.25"/>
    <row r="244670" customFormat="1" x14ac:dyDescent="0.25"/>
    <row r="244671" customFormat="1" x14ac:dyDescent="0.25"/>
    <row r="244672" customFormat="1" x14ac:dyDescent="0.25"/>
    <row r="244673" customFormat="1" x14ac:dyDescent="0.25"/>
    <row r="244674" customFormat="1" x14ac:dyDescent="0.25"/>
    <row r="244675" customFormat="1" x14ac:dyDescent="0.25"/>
    <row r="244676" customFormat="1" x14ac:dyDescent="0.25"/>
    <row r="244677" customFormat="1" x14ac:dyDescent="0.25"/>
    <row r="244678" customFormat="1" x14ac:dyDescent="0.25"/>
    <row r="244679" customFormat="1" x14ac:dyDescent="0.25"/>
    <row r="244680" customFormat="1" x14ac:dyDescent="0.25"/>
    <row r="244681" customFormat="1" x14ac:dyDescent="0.25"/>
    <row r="244682" customFormat="1" x14ac:dyDescent="0.25"/>
    <row r="244683" customFormat="1" x14ac:dyDescent="0.25"/>
    <row r="244684" customFormat="1" x14ac:dyDescent="0.25"/>
    <row r="244685" customFormat="1" x14ac:dyDescent="0.25"/>
    <row r="244686" customFormat="1" x14ac:dyDescent="0.25"/>
    <row r="244687" customFormat="1" x14ac:dyDescent="0.25"/>
    <row r="244688" customFormat="1" x14ac:dyDescent="0.25"/>
    <row r="244689" customFormat="1" x14ac:dyDescent="0.25"/>
    <row r="244690" customFormat="1" x14ac:dyDescent="0.25"/>
    <row r="244691" customFormat="1" x14ac:dyDescent="0.25"/>
    <row r="244692" customFormat="1" x14ac:dyDescent="0.25"/>
    <row r="244693" customFormat="1" x14ac:dyDescent="0.25"/>
    <row r="244694" customFormat="1" x14ac:dyDescent="0.25"/>
    <row r="244695" customFormat="1" x14ac:dyDescent="0.25"/>
    <row r="244696" customFormat="1" x14ac:dyDescent="0.25"/>
    <row r="244697" customFormat="1" x14ac:dyDescent="0.25"/>
    <row r="244698" customFormat="1" x14ac:dyDescent="0.25"/>
    <row r="244699" customFormat="1" x14ac:dyDescent="0.25"/>
    <row r="244700" customFormat="1" x14ac:dyDescent="0.25"/>
    <row r="244701" customFormat="1" x14ac:dyDescent="0.25"/>
    <row r="244702" customFormat="1" x14ac:dyDescent="0.25"/>
    <row r="244703" customFormat="1" x14ac:dyDescent="0.25"/>
    <row r="244704" customFormat="1" x14ac:dyDescent="0.25"/>
    <row r="244705" customFormat="1" x14ac:dyDescent="0.25"/>
    <row r="244706" customFormat="1" x14ac:dyDescent="0.25"/>
    <row r="244707" customFormat="1" x14ac:dyDescent="0.25"/>
    <row r="244708" customFormat="1" x14ac:dyDescent="0.25"/>
    <row r="244709" customFormat="1" x14ac:dyDescent="0.25"/>
    <row r="244710" customFormat="1" x14ac:dyDescent="0.25"/>
    <row r="244711" customFormat="1" x14ac:dyDescent="0.25"/>
    <row r="244712" customFormat="1" x14ac:dyDescent="0.25"/>
    <row r="244713" customFormat="1" x14ac:dyDescent="0.25"/>
    <row r="244714" customFormat="1" x14ac:dyDescent="0.25"/>
    <row r="244715" customFormat="1" x14ac:dyDescent="0.25"/>
    <row r="244716" customFormat="1" x14ac:dyDescent="0.25"/>
    <row r="244717" customFormat="1" x14ac:dyDescent="0.25"/>
    <row r="244718" customFormat="1" x14ac:dyDescent="0.25"/>
    <row r="244719" customFormat="1" x14ac:dyDescent="0.25"/>
    <row r="244720" customFormat="1" x14ac:dyDescent="0.25"/>
    <row r="244721" customFormat="1" x14ac:dyDescent="0.25"/>
    <row r="244722" customFormat="1" x14ac:dyDescent="0.25"/>
    <row r="244723" customFormat="1" x14ac:dyDescent="0.25"/>
    <row r="244724" customFormat="1" x14ac:dyDescent="0.25"/>
    <row r="244725" customFormat="1" x14ac:dyDescent="0.25"/>
    <row r="244726" customFormat="1" x14ac:dyDescent="0.25"/>
    <row r="244727" customFormat="1" x14ac:dyDescent="0.25"/>
    <row r="244728" customFormat="1" x14ac:dyDescent="0.25"/>
    <row r="244729" customFormat="1" x14ac:dyDescent="0.25"/>
    <row r="244730" customFormat="1" x14ac:dyDescent="0.25"/>
    <row r="244731" customFormat="1" x14ac:dyDescent="0.25"/>
    <row r="244732" customFormat="1" x14ac:dyDescent="0.25"/>
    <row r="244733" customFormat="1" x14ac:dyDescent="0.25"/>
    <row r="244734" customFormat="1" x14ac:dyDescent="0.25"/>
    <row r="244735" customFormat="1" x14ac:dyDescent="0.25"/>
    <row r="244736" customFormat="1" x14ac:dyDescent="0.25"/>
    <row r="244737" customFormat="1" x14ac:dyDescent="0.25"/>
    <row r="244738" customFormat="1" x14ac:dyDescent="0.25"/>
    <row r="244739" customFormat="1" x14ac:dyDescent="0.25"/>
    <row r="244740" customFormat="1" x14ac:dyDescent="0.25"/>
    <row r="244741" customFormat="1" x14ac:dyDescent="0.25"/>
    <row r="244742" customFormat="1" x14ac:dyDescent="0.25"/>
    <row r="244743" customFormat="1" x14ac:dyDescent="0.25"/>
    <row r="244744" customFormat="1" x14ac:dyDescent="0.25"/>
    <row r="244745" customFormat="1" x14ac:dyDescent="0.25"/>
    <row r="244746" customFormat="1" x14ac:dyDescent="0.25"/>
    <row r="244747" customFormat="1" x14ac:dyDescent="0.25"/>
    <row r="244748" customFormat="1" x14ac:dyDescent="0.25"/>
    <row r="244749" customFormat="1" x14ac:dyDescent="0.25"/>
    <row r="244750" customFormat="1" x14ac:dyDescent="0.25"/>
    <row r="244751" customFormat="1" x14ac:dyDescent="0.25"/>
    <row r="244752" customFormat="1" x14ac:dyDescent="0.25"/>
    <row r="244753" customFormat="1" x14ac:dyDescent="0.25"/>
    <row r="244754" customFormat="1" x14ac:dyDescent="0.25"/>
    <row r="244755" customFormat="1" x14ac:dyDescent="0.25"/>
    <row r="244756" customFormat="1" x14ac:dyDescent="0.25"/>
    <row r="244757" customFormat="1" x14ac:dyDescent="0.25"/>
    <row r="244758" customFormat="1" x14ac:dyDescent="0.25"/>
    <row r="244759" customFormat="1" x14ac:dyDescent="0.25"/>
    <row r="244760" customFormat="1" x14ac:dyDescent="0.25"/>
    <row r="244761" customFormat="1" x14ac:dyDescent="0.25"/>
    <row r="244762" customFormat="1" x14ac:dyDescent="0.25"/>
    <row r="244763" customFormat="1" x14ac:dyDescent="0.25"/>
    <row r="244764" customFormat="1" x14ac:dyDescent="0.25"/>
    <row r="244765" customFormat="1" x14ac:dyDescent="0.25"/>
    <row r="244766" customFormat="1" x14ac:dyDescent="0.25"/>
    <row r="244767" customFormat="1" x14ac:dyDescent="0.25"/>
    <row r="244768" customFormat="1" x14ac:dyDescent="0.25"/>
    <row r="244769" customFormat="1" x14ac:dyDescent="0.25"/>
    <row r="244770" customFormat="1" x14ac:dyDescent="0.25"/>
    <row r="244771" customFormat="1" x14ac:dyDescent="0.25"/>
    <row r="244772" customFormat="1" x14ac:dyDescent="0.25"/>
    <row r="244773" customFormat="1" x14ac:dyDescent="0.25"/>
    <row r="244774" customFormat="1" x14ac:dyDescent="0.25"/>
    <row r="244775" customFormat="1" x14ac:dyDescent="0.25"/>
    <row r="244776" customFormat="1" x14ac:dyDescent="0.25"/>
    <row r="244777" customFormat="1" x14ac:dyDescent="0.25"/>
    <row r="244778" customFormat="1" x14ac:dyDescent="0.25"/>
    <row r="244779" customFormat="1" x14ac:dyDescent="0.25"/>
    <row r="244780" customFormat="1" x14ac:dyDescent="0.25"/>
    <row r="244781" customFormat="1" x14ac:dyDescent="0.25"/>
    <row r="244782" customFormat="1" x14ac:dyDescent="0.25"/>
    <row r="244783" customFormat="1" x14ac:dyDescent="0.25"/>
    <row r="244784" customFormat="1" x14ac:dyDescent="0.25"/>
    <row r="244785" customFormat="1" x14ac:dyDescent="0.25"/>
    <row r="244786" customFormat="1" x14ac:dyDescent="0.25"/>
    <row r="244787" customFormat="1" x14ac:dyDescent="0.25"/>
    <row r="244788" customFormat="1" x14ac:dyDescent="0.25"/>
    <row r="244789" customFormat="1" x14ac:dyDescent="0.25"/>
    <row r="244790" customFormat="1" x14ac:dyDescent="0.25"/>
    <row r="244791" customFormat="1" x14ac:dyDescent="0.25"/>
    <row r="244792" customFormat="1" x14ac:dyDescent="0.25"/>
    <row r="244793" customFormat="1" x14ac:dyDescent="0.25"/>
    <row r="244794" customFormat="1" x14ac:dyDescent="0.25"/>
    <row r="244795" customFormat="1" x14ac:dyDescent="0.25"/>
    <row r="244796" customFormat="1" x14ac:dyDescent="0.25"/>
    <row r="244797" customFormat="1" x14ac:dyDescent="0.25"/>
    <row r="244798" customFormat="1" x14ac:dyDescent="0.25"/>
    <row r="244799" customFormat="1" x14ac:dyDescent="0.25"/>
    <row r="244800" customFormat="1" x14ac:dyDescent="0.25"/>
    <row r="244801" customFormat="1" x14ac:dyDescent="0.25"/>
    <row r="244802" customFormat="1" x14ac:dyDescent="0.25"/>
    <row r="244803" customFormat="1" x14ac:dyDescent="0.25"/>
    <row r="244804" customFormat="1" x14ac:dyDescent="0.25"/>
    <row r="244805" customFormat="1" x14ac:dyDescent="0.25"/>
    <row r="244806" customFormat="1" x14ac:dyDescent="0.25"/>
    <row r="244807" customFormat="1" x14ac:dyDescent="0.25"/>
    <row r="244808" customFormat="1" x14ac:dyDescent="0.25"/>
    <row r="244809" customFormat="1" x14ac:dyDescent="0.25"/>
    <row r="244810" customFormat="1" x14ac:dyDescent="0.25"/>
    <row r="244811" customFormat="1" x14ac:dyDescent="0.25"/>
    <row r="244812" customFormat="1" x14ac:dyDescent="0.25"/>
    <row r="244813" customFormat="1" x14ac:dyDescent="0.25"/>
    <row r="244814" customFormat="1" x14ac:dyDescent="0.25"/>
    <row r="244815" customFormat="1" x14ac:dyDescent="0.25"/>
    <row r="244816" customFormat="1" x14ac:dyDescent="0.25"/>
    <row r="244817" customFormat="1" x14ac:dyDescent="0.25"/>
    <row r="244818" customFormat="1" x14ac:dyDescent="0.25"/>
    <row r="244819" customFormat="1" x14ac:dyDescent="0.25"/>
    <row r="244820" customFormat="1" x14ac:dyDescent="0.25"/>
    <row r="244821" customFormat="1" x14ac:dyDescent="0.25"/>
    <row r="244822" customFormat="1" x14ac:dyDescent="0.25"/>
    <row r="244823" customFormat="1" x14ac:dyDescent="0.25"/>
    <row r="244824" customFormat="1" x14ac:dyDescent="0.25"/>
    <row r="244825" customFormat="1" x14ac:dyDescent="0.25"/>
    <row r="244826" customFormat="1" x14ac:dyDescent="0.25"/>
    <row r="244827" customFormat="1" x14ac:dyDescent="0.25"/>
    <row r="244828" customFormat="1" x14ac:dyDescent="0.25"/>
    <row r="244829" customFormat="1" x14ac:dyDescent="0.25"/>
    <row r="244830" customFormat="1" x14ac:dyDescent="0.25"/>
    <row r="244831" customFormat="1" x14ac:dyDescent="0.25"/>
    <row r="244832" customFormat="1" x14ac:dyDescent="0.25"/>
    <row r="244833" customFormat="1" x14ac:dyDescent="0.25"/>
    <row r="244834" customFormat="1" x14ac:dyDescent="0.25"/>
    <row r="244835" customFormat="1" x14ac:dyDescent="0.25"/>
    <row r="244836" customFormat="1" x14ac:dyDescent="0.25"/>
    <row r="244837" customFormat="1" x14ac:dyDescent="0.25"/>
    <row r="244838" customFormat="1" x14ac:dyDescent="0.25"/>
    <row r="244839" customFormat="1" x14ac:dyDescent="0.25"/>
    <row r="244840" customFormat="1" x14ac:dyDescent="0.25"/>
    <row r="244841" customFormat="1" x14ac:dyDescent="0.25"/>
    <row r="244842" customFormat="1" x14ac:dyDescent="0.25"/>
    <row r="244843" customFormat="1" x14ac:dyDescent="0.25"/>
    <row r="244844" customFormat="1" x14ac:dyDescent="0.25"/>
    <row r="244845" customFormat="1" x14ac:dyDescent="0.25"/>
    <row r="244846" customFormat="1" x14ac:dyDescent="0.25"/>
    <row r="244847" customFormat="1" x14ac:dyDescent="0.25"/>
    <row r="244848" customFormat="1" x14ac:dyDescent="0.25"/>
    <row r="244849" customFormat="1" x14ac:dyDescent="0.25"/>
    <row r="244850" customFormat="1" x14ac:dyDescent="0.25"/>
    <row r="244851" customFormat="1" x14ac:dyDescent="0.25"/>
    <row r="244852" customFormat="1" x14ac:dyDescent="0.25"/>
    <row r="244853" customFormat="1" x14ac:dyDescent="0.25"/>
    <row r="244854" customFormat="1" x14ac:dyDescent="0.25"/>
    <row r="244855" customFormat="1" x14ac:dyDescent="0.25"/>
    <row r="244856" customFormat="1" x14ac:dyDescent="0.25"/>
    <row r="244857" customFormat="1" x14ac:dyDescent="0.25"/>
    <row r="244858" customFormat="1" x14ac:dyDescent="0.25"/>
    <row r="244859" customFormat="1" x14ac:dyDescent="0.25"/>
    <row r="244860" customFormat="1" x14ac:dyDescent="0.25"/>
    <row r="244861" customFormat="1" x14ac:dyDescent="0.25"/>
    <row r="244862" customFormat="1" x14ac:dyDescent="0.25"/>
    <row r="244863" customFormat="1" x14ac:dyDescent="0.25"/>
    <row r="244864" customFormat="1" x14ac:dyDescent="0.25"/>
    <row r="244865" customFormat="1" x14ac:dyDescent="0.25"/>
    <row r="244866" customFormat="1" x14ac:dyDescent="0.25"/>
    <row r="244867" customFormat="1" x14ac:dyDescent="0.25"/>
    <row r="244868" customFormat="1" x14ac:dyDescent="0.25"/>
    <row r="244869" customFormat="1" x14ac:dyDescent="0.25"/>
    <row r="244870" customFormat="1" x14ac:dyDescent="0.25"/>
    <row r="244871" customFormat="1" x14ac:dyDescent="0.25"/>
    <row r="244872" customFormat="1" x14ac:dyDescent="0.25"/>
    <row r="244873" customFormat="1" x14ac:dyDescent="0.25"/>
    <row r="244874" customFormat="1" x14ac:dyDescent="0.25"/>
    <row r="244875" customFormat="1" x14ac:dyDescent="0.25"/>
    <row r="244876" customFormat="1" x14ac:dyDescent="0.25"/>
    <row r="244877" customFormat="1" x14ac:dyDescent="0.25"/>
    <row r="244878" customFormat="1" x14ac:dyDescent="0.25"/>
    <row r="244879" customFormat="1" x14ac:dyDescent="0.25"/>
    <row r="244880" customFormat="1" x14ac:dyDescent="0.25"/>
    <row r="244881" customFormat="1" x14ac:dyDescent="0.25"/>
    <row r="244882" customFormat="1" x14ac:dyDescent="0.25"/>
    <row r="244883" customFormat="1" x14ac:dyDescent="0.25"/>
    <row r="244884" customFormat="1" x14ac:dyDescent="0.25"/>
    <row r="244885" customFormat="1" x14ac:dyDescent="0.25"/>
    <row r="244886" customFormat="1" x14ac:dyDescent="0.25"/>
    <row r="244887" customFormat="1" x14ac:dyDescent="0.25"/>
    <row r="244888" customFormat="1" x14ac:dyDescent="0.25"/>
    <row r="244889" customFormat="1" x14ac:dyDescent="0.25"/>
    <row r="244890" customFormat="1" x14ac:dyDescent="0.25"/>
    <row r="244891" customFormat="1" x14ac:dyDescent="0.25"/>
    <row r="244892" customFormat="1" x14ac:dyDescent="0.25"/>
    <row r="244893" customFormat="1" x14ac:dyDescent="0.25"/>
    <row r="244894" customFormat="1" x14ac:dyDescent="0.25"/>
    <row r="244895" customFormat="1" x14ac:dyDescent="0.25"/>
    <row r="244896" customFormat="1" x14ac:dyDescent="0.25"/>
    <row r="244897" customFormat="1" x14ac:dyDescent="0.25"/>
    <row r="244898" customFormat="1" x14ac:dyDescent="0.25"/>
    <row r="244899" customFormat="1" x14ac:dyDescent="0.25"/>
    <row r="244900" customFormat="1" x14ac:dyDescent="0.25"/>
    <row r="244901" customFormat="1" x14ac:dyDescent="0.25"/>
    <row r="244902" customFormat="1" x14ac:dyDescent="0.25"/>
    <row r="244903" customFormat="1" x14ac:dyDescent="0.25"/>
    <row r="244904" customFormat="1" x14ac:dyDescent="0.25"/>
    <row r="244905" customFormat="1" x14ac:dyDescent="0.25"/>
    <row r="244906" customFormat="1" x14ac:dyDescent="0.25"/>
    <row r="244907" customFormat="1" x14ac:dyDescent="0.25"/>
    <row r="244908" customFormat="1" x14ac:dyDescent="0.25"/>
    <row r="244909" customFormat="1" x14ac:dyDescent="0.25"/>
    <row r="244910" customFormat="1" x14ac:dyDescent="0.25"/>
    <row r="244911" customFormat="1" x14ac:dyDescent="0.25"/>
    <row r="244912" customFormat="1" x14ac:dyDescent="0.25"/>
    <row r="244913" customFormat="1" x14ac:dyDescent="0.25"/>
    <row r="244914" customFormat="1" x14ac:dyDescent="0.25"/>
    <row r="244915" customFormat="1" x14ac:dyDescent="0.25"/>
    <row r="244916" customFormat="1" x14ac:dyDescent="0.25"/>
    <row r="244917" customFormat="1" x14ac:dyDescent="0.25"/>
    <row r="244918" customFormat="1" x14ac:dyDescent="0.25"/>
    <row r="244919" customFormat="1" x14ac:dyDescent="0.25"/>
    <row r="244920" customFormat="1" x14ac:dyDescent="0.25"/>
    <row r="244921" customFormat="1" x14ac:dyDescent="0.25"/>
    <row r="244922" customFormat="1" x14ac:dyDescent="0.25"/>
    <row r="244923" customFormat="1" x14ac:dyDescent="0.25"/>
    <row r="244924" customFormat="1" x14ac:dyDescent="0.25"/>
    <row r="244925" customFormat="1" x14ac:dyDescent="0.25"/>
    <row r="244926" customFormat="1" x14ac:dyDescent="0.25"/>
    <row r="244927" customFormat="1" x14ac:dyDescent="0.25"/>
    <row r="244928" customFormat="1" x14ac:dyDescent="0.25"/>
    <row r="244929" customFormat="1" x14ac:dyDescent="0.25"/>
    <row r="244930" customFormat="1" x14ac:dyDescent="0.25"/>
    <row r="244931" customFormat="1" x14ac:dyDescent="0.25"/>
    <row r="244932" customFormat="1" x14ac:dyDescent="0.25"/>
    <row r="244933" customFormat="1" x14ac:dyDescent="0.25"/>
    <row r="244934" customFormat="1" x14ac:dyDescent="0.25"/>
    <row r="244935" customFormat="1" x14ac:dyDescent="0.25"/>
    <row r="244936" customFormat="1" x14ac:dyDescent="0.25"/>
    <row r="244937" customFormat="1" x14ac:dyDescent="0.25"/>
    <row r="244938" customFormat="1" x14ac:dyDescent="0.25"/>
    <row r="244939" customFormat="1" x14ac:dyDescent="0.25"/>
    <row r="244940" customFormat="1" x14ac:dyDescent="0.25"/>
    <row r="244941" customFormat="1" x14ac:dyDescent="0.25"/>
    <row r="244942" customFormat="1" x14ac:dyDescent="0.25"/>
    <row r="244943" customFormat="1" x14ac:dyDescent="0.25"/>
    <row r="244944" customFormat="1" x14ac:dyDescent="0.25"/>
    <row r="244945" customFormat="1" x14ac:dyDescent="0.25"/>
    <row r="244946" customFormat="1" x14ac:dyDescent="0.25"/>
    <row r="244947" customFormat="1" x14ac:dyDescent="0.25"/>
    <row r="244948" customFormat="1" x14ac:dyDescent="0.25"/>
    <row r="244949" customFormat="1" x14ac:dyDescent="0.25"/>
    <row r="244950" customFormat="1" x14ac:dyDescent="0.25"/>
    <row r="244951" customFormat="1" x14ac:dyDescent="0.25"/>
    <row r="244952" customFormat="1" x14ac:dyDescent="0.25"/>
    <row r="244953" customFormat="1" x14ac:dyDescent="0.25"/>
    <row r="244954" customFormat="1" x14ac:dyDescent="0.25"/>
    <row r="244955" customFormat="1" x14ac:dyDescent="0.25"/>
    <row r="244956" customFormat="1" x14ac:dyDescent="0.25"/>
    <row r="244957" customFormat="1" x14ac:dyDescent="0.25"/>
    <row r="244958" customFormat="1" x14ac:dyDescent="0.25"/>
    <row r="244959" customFormat="1" x14ac:dyDescent="0.25"/>
    <row r="244960" customFormat="1" x14ac:dyDescent="0.25"/>
    <row r="244961" customFormat="1" x14ac:dyDescent="0.25"/>
    <row r="244962" customFormat="1" x14ac:dyDescent="0.25"/>
    <row r="244963" customFormat="1" x14ac:dyDescent="0.25"/>
    <row r="244964" customFormat="1" x14ac:dyDescent="0.25"/>
    <row r="244965" customFormat="1" x14ac:dyDescent="0.25"/>
    <row r="244966" customFormat="1" x14ac:dyDescent="0.25"/>
    <row r="244967" customFormat="1" x14ac:dyDescent="0.25"/>
    <row r="244968" customFormat="1" x14ac:dyDescent="0.25"/>
    <row r="244969" customFormat="1" x14ac:dyDescent="0.25"/>
    <row r="244970" customFormat="1" x14ac:dyDescent="0.25"/>
    <row r="244971" customFormat="1" x14ac:dyDescent="0.25"/>
    <row r="244972" customFormat="1" x14ac:dyDescent="0.25"/>
    <row r="244973" customFormat="1" x14ac:dyDescent="0.25"/>
    <row r="244974" customFormat="1" x14ac:dyDescent="0.25"/>
    <row r="244975" customFormat="1" x14ac:dyDescent="0.25"/>
    <row r="244976" customFormat="1" x14ac:dyDescent="0.25"/>
    <row r="244977" customFormat="1" x14ac:dyDescent="0.25"/>
    <row r="244978" customFormat="1" x14ac:dyDescent="0.25"/>
    <row r="244979" customFormat="1" x14ac:dyDescent="0.25"/>
    <row r="244980" customFormat="1" x14ac:dyDescent="0.25"/>
    <row r="244981" customFormat="1" x14ac:dyDescent="0.25"/>
    <row r="244982" customFormat="1" x14ac:dyDescent="0.25"/>
    <row r="244983" customFormat="1" x14ac:dyDescent="0.25"/>
    <row r="244984" customFormat="1" x14ac:dyDescent="0.25"/>
    <row r="244985" customFormat="1" x14ac:dyDescent="0.25"/>
    <row r="244986" customFormat="1" x14ac:dyDescent="0.25"/>
    <row r="244987" customFormat="1" x14ac:dyDescent="0.25"/>
    <row r="244988" customFormat="1" x14ac:dyDescent="0.25"/>
    <row r="244989" customFormat="1" x14ac:dyDescent="0.25"/>
    <row r="244990" customFormat="1" x14ac:dyDescent="0.25"/>
    <row r="244991" customFormat="1" x14ac:dyDescent="0.25"/>
    <row r="244992" customFormat="1" x14ac:dyDescent="0.25"/>
    <row r="244993" customFormat="1" x14ac:dyDescent="0.25"/>
    <row r="244994" customFormat="1" x14ac:dyDescent="0.25"/>
    <row r="244995" customFormat="1" x14ac:dyDescent="0.25"/>
    <row r="244996" customFormat="1" x14ac:dyDescent="0.25"/>
    <row r="244997" customFormat="1" x14ac:dyDescent="0.25"/>
    <row r="244998" customFormat="1" x14ac:dyDescent="0.25"/>
    <row r="244999" customFormat="1" x14ac:dyDescent="0.25"/>
    <row r="245000" customFormat="1" x14ac:dyDescent="0.25"/>
    <row r="245001" customFormat="1" x14ac:dyDescent="0.25"/>
    <row r="245002" customFormat="1" x14ac:dyDescent="0.25"/>
    <row r="245003" customFormat="1" x14ac:dyDescent="0.25"/>
    <row r="245004" customFormat="1" x14ac:dyDescent="0.25"/>
    <row r="245005" customFormat="1" x14ac:dyDescent="0.25"/>
    <row r="245006" customFormat="1" x14ac:dyDescent="0.25"/>
    <row r="245007" customFormat="1" x14ac:dyDescent="0.25"/>
    <row r="245008" customFormat="1" x14ac:dyDescent="0.25"/>
    <row r="245009" customFormat="1" x14ac:dyDescent="0.25"/>
    <row r="245010" customFormat="1" x14ac:dyDescent="0.25"/>
    <row r="245011" customFormat="1" x14ac:dyDescent="0.25"/>
    <row r="245012" customFormat="1" x14ac:dyDescent="0.25"/>
    <row r="245013" customFormat="1" x14ac:dyDescent="0.25"/>
    <row r="245014" customFormat="1" x14ac:dyDescent="0.25"/>
    <row r="245015" customFormat="1" x14ac:dyDescent="0.25"/>
    <row r="245016" customFormat="1" x14ac:dyDescent="0.25"/>
    <row r="245017" customFormat="1" x14ac:dyDescent="0.25"/>
    <row r="245018" customFormat="1" x14ac:dyDescent="0.25"/>
    <row r="245019" customFormat="1" x14ac:dyDescent="0.25"/>
    <row r="245020" customFormat="1" x14ac:dyDescent="0.25"/>
    <row r="245021" customFormat="1" x14ac:dyDescent="0.25"/>
    <row r="245022" customFormat="1" x14ac:dyDescent="0.25"/>
    <row r="245023" customFormat="1" x14ac:dyDescent="0.25"/>
    <row r="245024" customFormat="1" x14ac:dyDescent="0.25"/>
    <row r="245025" customFormat="1" x14ac:dyDescent="0.25"/>
    <row r="245026" customFormat="1" x14ac:dyDescent="0.25"/>
    <row r="245027" customFormat="1" x14ac:dyDescent="0.25"/>
    <row r="245028" customFormat="1" x14ac:dyDescent="0.25"/>
    <row r="245029" customFormat="1" x14ac:dyDescent="0.25"/>
    <row r="245030" customFormat="1" x14ac:dyDescent="0.25"/>
    <row r="245031" customFormat="1" x14ac:dyDescent="0.25"/>
    <row r="245032" customFormat="1" x14ac:dyDescent="0.25"/>
    <row r="245033" customFormat="1" x14ac:dyDescent="0.25"/>
    <row r="245034" customFormat="1" x14ac:dyDescent="0.25"/>
    <row r="245035" customFormat="1" x14ac:dyDescent="0.25"/>
    <row r="245036" customFormat="1" x14ac:dyDescent="0.25"/>
    <row r="245037" customFormat="1" x14ac:dyDescent="0.25"/>
    <row r="245038" customFormat="1" x14ac:dyDescent="0.25"/>
    <row r="245039" customFormat="1" x14ac:dyDescent="0.25"/>
    <row r="245040" customFormat="1" x14ac:dyDescent="0.25"/>
    <row r="245041" customFormat="1" x14ac:dyDescent="0.25"/>
    <row r="245042" customFormat="1" x14ac:dyDescent="0.25"/>
    <row r="245043" customFormat="1" x14ac:dyDescent="0.25"/>
    <row r="245044" customFormat="1" x14ac:dyDescent="0.25"/>
    <row r="245045" customFormat="1" x14ac:dyDescent="0.25"/>
    <row r="245046" customFormat="1" x14ac:dyDescent="0.25"/>
    <row r="245047" customFormat="1" x14ac:dyDescent="0.25"/>
    <row r="245048" customFormat="1" x14ac:dyDescent="0.25"/>
    <row r="245049" customFormat="1" x14ac:dyDescent="0.25"/>
    <row r="245050" customFormat="1" x14ac:dyDescent="0.25"/>
    <row r="245051" customFormat="1" x14ac:dyDescent="0.25"/>
    <row r="245052" customFormat="1" x14ac:dyDescent="0.25"/>
    <row r="245053" customFormat="1" x14ac:dyDescent="0.25"/>
    <row r="245054" customFormat="1" x14ac:dyDescent="0.25"/>
    <row r="245055" customFormat="1" x14ac:dyDescent="0.25"/>
    <row r="245056" customFormat="1" x14ac:dyDescent="0.25"/>
    <row r="245057" customFormat="1" x14ac:dyDescent="0.25"/>
    <row r="245058" customFormat="1" x14ac:dyDescent="0.25"/>
    <row r="245059" customFormat="1" x14ac:dyDescent="0.25"/>
    <row r="245060" customFormat="1" x14ac:dyDescent="0.25"/>
    <row r="245061" customFormat="1" x14ac:dyDescent="0.25"/>
    <row r="245062" customFormat="1" x14ac:dyDescent="0.25"/>
    <row r="245063" customFormat="1" x14ac:dyDescent="0.25"/>
    <row r="245064" customFormat="1" x14ac:dyDescent="0.25"/>
    <row r="245065" customFormat="1" x14ac:dyDescent="0.25"/>
    <row r="245066" customFormat="1" x14ac:dyDescent="0.25"/>
    <row r="245067" customFormat="1" x14ac:dyDescent="0.25"/>
    <row r="245068" customFormat="1" x14ac:dyDescent="0.25"/>
    <row r="245069" customFormat="1" x14ac:dyDescent="0.25"/>
    <row r="245070" customFormat="1" x14ac:dyDescent="0.25"/>
    <row r="245071" customFormat="1" x14ac:dyDescent="0.25"/>
    <row r="245072" customFormat="1" x14ac:dyDescent="0.25"/>
    <row r="245073" customFormat="1" x14ac:dyDescent="0.25"/>
    <row r="245074" customFormat="1" x14ac:dyDescent="0.25"/>
    <row r="245075" customFormat="1" x14ac:dyDescent="0.25"/>
    <row r="245076" customFormat="1" x14ac:dyDescent="0.25"/>
    <row r="245077" customFormat="1" x14ac:dyDescent="0.25"/>
    <row r="245078" customFormat="1" x14ac:dyDescent="0.25"/>
    <row r="245079" customFormat="1" x14ac:dyDescent="0.25"/>
    <row r="245080" customFormat="1" x14ac:dyDescent="0.25"/>
    <row r="245081" customFormat="1" x14ac:dyDescent="0.25"/>
    <row r="245082" customFormat="1" x14ac:dyDescent="0.25"/>
    <row r="245083" customFormat="1" x14ac:dyDescent="0.25"/>
    <row r="245084" customFormat="1" x14ac:dyDescent="0.25"/>
    <row r="245085" customFormat="1" x14ac:dyDescent="0.25"/>
    <row r="245086" customFormat="1" x14ac:dyDescent="0.25"/>
    <row r="245087" customFormat="1" x14ac:dyDescent="0.25"/>
    <row r="245088" customFormat="1" x14ac:dyDescent="0.25"/>
    <row r="245089" customFormat="1" x14ac:dyDescent="0.25"/>
    <row r="245090" customFormat="1" x14ac:dyDescent="0.25"/>
    <row r="245091" customFormat="1" x14ac:dyDescent="0.25"/>
    <row r="245092" customFormat="1" x14ac:dyDescent="0.25"/>
    <row r="245093" customFormat="1" x14ac:dyDescent="0.25"/>
    <row r="245094" customFormat="1" x14ac:dyDescent="0.25"/>
    <row r="245095" customFormat="1" x14ac:dyDescent="0.25"/>
    <row r="245096" customFormat="1" x14ac:dyDescent="0.25"/>
    <row r="245097" customFormat="1" x14ac:dyDescent="0.25"/>
    <row r="245098" customFormat="1" x14ac:dyDescent="0.25"/>
    <row r="245099" customFormat="1" x14ac:dyDescent="0.25"/>
    <row r="245100" customFormat="1" x14ac:dyDescent="0.25"/>
    <row r="245101" customFormat="1" x14ac:dyDescent="0.25"/>
    <row r="245102" customFormat="1" x14ac:dyDescent="0.25"/>
    <row r="245103" customFormat="1" x14ac:dyDescent="0.25"/>
    <row r="245104" customFormat="1" x14ac:dyDescent="0.25"/>
    <row r="245105" customFormat="1" x14ac:dyDescent="0.25"/>
    <row r="245106" customFormat="1" x14ac:dyDescent="0.25"/>
    <row r="245107" customFormat="1" x14ac:dyDescent="0.25"/>
    <row r="245108" customFormat="1" x14ac:dyDescent="0.25"/>
    <row r="245109" customFormat="1" x14ac:dyDescent="0.25"/>
    <row r="245110" customFormat="1" x14ac:dyDescent="0.25"/>
    <row r="245111" customFormat="1" x14ac:dyDescent="0.25"/>
    <row r="245112" customFormat="1" x14ac:dyDescent="0.25"/>
    <row r="245113" customFormat="1" x14ac:dyDescent="0.25"/>
    <row r="245114" customFormat="1" x14ac:dyDescent="0.25"/>
    <row r="245115" customFormat="1" x14ac:dyDescent="0.25"/>
    <row r="245116" customFormat="1" x14ac:dyDescent="0.25"/>
    <row r="245117" customFormat="1" x14ac:dyDescent="0.25"/>
    <row r="245118" customFormat="1" x14ac:dyDescent="0.25"/>
    <row r="245119" customFormat="1" x14ac:dyDescent="0.25"/>
    <row r="245120" customFormat="1" x14ac:dyDescent="0.25"/>
    <row r="245121" customFormat="1" x14ac:dyDescent="0.25"/>
    <row r="245122" customFormat="1" x14ac:dyDescent="0.25"/>
    <row r="245123" customFormat="1" x14ac:dyDescent="0.25"/>
    <row r="245124" customFormat="1" x14ac:dyDescent="0.25"/>
    <row r="245125" customFormat="1" x14ac:dyDescent="0.25"/>
    <row r="245126" customFormat="1" x14ac:dyDescent="0.25"/>
    <row r="245127" customFormat="1" x14ac:dyDescent="0.25"/>
    <row r="245128" customFormat="1" x14ac:dyDescent="0.25"/>
    <row r="245129" customFormat="1" x14ac:dyDescent="0.25"/>
    <row r="245130" customFormat="1" x14ac:dyDescent="0.25"/>
    <row r="245131" customFormat="1" x14ac:dyDescent="0.25"/>
    <row r="245132" customFormat="1" x14ac:dyDescent="0.25"/>
    <row r="245133" customFormat="1" x14ac:dyDescent="0.25"/>
    <row r="245134" customFormat="1" x14ac:dyDescent="0.25"/>
    <row r="245135" customFormat="1" x14ac:dyDescent="0.25"/>
    <row r="245136" customFormat="1" x14ac:dyDescent="0.25"/>
    <row r="245137" customFormat="1" x14ac:dyDescent="0.25"/>
    <row r="245138" customFormat="1" x14ac:dyDescent="0.25"/>
    <row r="245139" customFormat="1" x14ac:dyDescent="0.25"/>
    <row r="245140" customFormat="1" x14ac:dyDescent="0.25"/>
    <row r="245141" customFormat="1" x14ac:dyDescent="0.25"/>
    <row r="245142" customFormat="1" x14ac:dyDescent="0.25"/>
    <row r="245143" customFormat="1" x14ac:dyDescent="0.25"/>
    <row r="245144" customFormat="1" x14ac:dyDescent="0.25"/>
    <row r="245145" customFormat="1" x14ac:dyDescent="0.25"/>
    <row r="245146" customFormat="1" x14ac:dyDescent="0.25"/>
    <row r="245147" customFormat="1" x14ac:dyDescent="0.25"/>
    <row r="245148" customFormat="1" x14ac:dyDescent="0.25"/>
    <row r="245149" customFormat="1" x14ac:dyDescent="0.25"/>
    <row r="245150" customFormat="1" x14ac:dyDescent="0.25"/>
    <row r="245151" customFormat="1" x14ac:dyDescent="0.25"/>
    <row r="245152" customFormat="1" x14ac:dyDescent="0.25"/>
    <row r="245153" customFormat="1" x14ac:dyDescent="0.25"/>
    <row r="245154" customFormat="1" x14ac:dyDescent="0.25"/>
    <row r="245155" customFormat="1" x14ac:dyDescent="0.25"/>
    <row r="245156" customFormat="1" x14ac:dyDescent="0.25"/>
    <row r="245157" customFormat="1" x14ac:dyDescent="0.25"/>
    <row r="245158" customFormat="1" x14ac:dyDescent="0.25"/>
    <row r="245159" customFormat="1" x14ac:dyDescent="0.25"/>
    <row r="245160" customFormat="1" x14ac:dyDescent="0.25"/>
    <row r="245161" customFormat="1" x14ac:dyDescent="0.25"/>
    <row r="245162" customFormat="1" x14ac:dyDescent="0.25"/>
    <row r="245163" customFormat="1" x14ac:dyDescent="0.25"/>
    <row r="245164" customFormat="1" x14ac:dyDescent="0.25"/>
    <row r="245165" customFormat="1" x14ac:dyDescent="0.25"/>
    <row r="245166" customFormat="1" x14ac:dyDescent="0.25"/>
    <row r="245167" customFormat="1" x14ac:dyDescent="0.25"/>
    <row r="245168" customFormat="1" x14ac:dyDescent="0.25"/>
    <row r="245169" customFormat="1" x14ac:dyDescent="0.25"/>
    <row r="245170" customFormat="1" x14ac:dyDescent="0.25"/>
    <row r="245171" customFormat="1" x14ac:dyDescent="0.25"/>
    <row r="245172" customFormat="1" x14ac:dyDescent="0.25"/>
    <row r="245173" customFormat="1" x14ac:dyDescent="0.25"/>
    <row r="245174" customFormat="1" x14ac:dyDescent="0.25"/>
    <row r="245175" customFormat="1" x14ac:dyDescent="0.25"/>
    <row r="245176" customFormat="1" x14ac:dyDescent="0.25"/>
    <row r="245177" customFormat="1" x14ac:dyDescent="0.25"/>
    <row r="245178" customFormat="1" x14ac:dyDescent="0.25"/>
    <row r="245179" customFormat="1" x14ac:dyDescent="0.25"/>
    <row r="245180" customFormat="1" x14ac:dyDescent="0.25"/>
    <row r="245181" customFormat="1" x14ac:dyDescent="0.25"/>
    <row r="245182" customFormat="1" x14ac:dyDescent="0.25"/>
    <row r="245183" customFormat="1" x14ac:dyDescent="0.25"/>
    <row r="245184" customFormat="1" x14ac:dyDescent="0.25"/>
    <row r="245185" customFormat="1" x14ac:dyDescent="0.25"/>
    <row r="245186" customFormat="1" x14ac:dyDescent="0.25"/>
    <row r="245187" customFormat="1" x14ac:dyDescent="0.25"/>
    <row r="245188" customFormat="1" x14ac:dyDescent="0.25"/>
    <row r="245189" customFormat="1" x14ac:dyDescent="0.25"/>
    <row r="245190" customFormat="1" x14ac:dyDescent="0.25"/>
    <row r="245191" customFormat="1" x14ac:dyDescent="0.25"/>
    <row r="245192" customFormat="1" x14ac:dyDescent="0.25"/>
    <row r="245193" customFormat="1" x14ac:dyDescent="0.25"/>
    <row r="245194" customFormat="1" x14ac:dyDescent="0.25"/>
    <row r="245195" customFormat="1" x14ac:dyDescent="0.25"/>
    <row r="245196" customFormat="1" x14ac:dyDescent="0.25"/>
    <row r="245197" customFormat="1" x14ac:dyDescent="0.25"/>
    <row r="245198" customFormat="1" x14ac:dyDescent="0.25"/>
    <row r="245199" customFormat="1" x14ac:dyDescent="0.25"/>
    <row r="245200" customFormat="1" x14ac:dyDescent="0.25"/>
    <row r="245201" customFormat="1" x14ac:dyDescent="0.25"/>
    <row r="245202" customFormat="1" x14ac:dyDescent="0.25"/>
    <row r="245203" customFormat="1" x14ac:dyDescent="0.25"/>
    <row r="245204" customFormat="1" x14ac:dyDescent="0.25"/>
    <row r="245205" customFormat="1" x14ac:dyDescent="0.25"/>
    <row r="245206" customFormat="1" x14ac:dyDescent="0.25"/>
    <row r="245207" customFormat="1" x14ac:dyDescent="0.25"/>
    <row r="245208" customFormat="1" x14ac:dyDescent="0.25"/>
    <row r="245209" customFormat="1" x14ac:dyDescent="0.25"/>
    <row r="245210" customFormat="1" x14ac:dyDescent="0.25"/>
    <row r="245211" customFormat="1" x14ac:dyDescent="0.25"/>
    <row r="245212" customFormat="1" x14ac:dyDescent="0.25"/>
    <row r="245213" customFormat="1" x14ac:dyDescent="0.25"/>
    <row r="245214" customFormat="1" x14ac:dyDescent="0.25"/>
    <row r="245215" customFormat="1" x14ac:dyDescent="0.25"/>
    <row r="245216" customFormat="1" x14ac:dyDescent="0.25"/>
    <row r="245217" customFormat="1" x14ac:dyDescent="0.25"/>
    <row r="245218" customFormat="1" x14ac:dyDescent="0.25"/>
    <row r="245219" customFormat="1" x14ac:dyDescent="0.25"/>
    <row r="245220" customFormat="1" x14ac:dyDescent="0.25"/>
    <row r="245221" customFormat="1" x14ac:dyDescent="0.25"/>
    <row r="245222" customFormat="1" x14ac:dyDescent="0.25"/>
    <row r="245223" customFormat="1" x14ac:dyDescent="0.25"/>
    <row r="245224" customFormat="1" x14ac:dyDescent="0.25"/>
    <row r="245225" customFormat="1" x14ac:dyDescent="0.25"/>
    <row r="245226" customFormat="1" x14ac:dyDescent="0.25"/>
    <row r="245227" customFormat="1" x14ac:dyDescent="0.25"/>
    <row r="245228" customFormat="1" x14ac:dyDescent="0.25"/>
    <row r="245229" customFormat="1" x14ac:dyDescent="0.25"/>
    <row r="245230" customFormat="1" x14ac:dyDescent="0.25"/>
    <row r="245231" customFormat="1" x14ac:dyDescent="0.25"/>
    <row r="245232" customFormat="1" x14ac:dyDescent="0.25"/>
    <row r="245233" customFormat="1" x14ac:dyDescent="0.25"/>
    <row r="245234" customFormat="1" x14ac:dyDescent="0.25"/>
    <row r="245235" customFormat="1" x14ac:dyDescent="0.25"/>
    <row r="245236" customFormat="1" x14ac:dyDescent="0.25"/>
    <row r="245237" customFormat="1" x14ac:dyDescent="0.25"/>
    <row r="245238" customFormat="1" x14ac:dyDescent="0.25"/>
    <row r="245239" customFormat="1" x14ac:dyDescent="0.25"/>
    <row r="245240" customFormat="1" x14ac:dyDescent="0.25"/>
    <row r="245241" customFormat="1" x14ac:dyDescent="0.25"/>
    <row r="245242" customFormat="1" x14ac:dyDescent="0.25"/>
    <row r="245243" customFormat="1" x14ac:dyDescent="0.25"/>
    <row r="245244" customFormat="1" x14ac:dyDescent="0.25"/>
    <row r="245245" customFormat="1" x14ac:dyDescent="0.25"/>
    <row r="245246" customFormat="1" x14ac:dyDescent="0.25"/>
    <row r="245247" customFormat="1" x14ac:dyDescent="0.25"/>
    <row r="245248" customFormat="1" x14ac:dyDescent="0.25"/>
    <row r="245249" customFormat="1" x14ac:dyDescent="0.25"/>
    <row r="245250" customFormat="1" x14ac:dyDescent="0.25"/>
    <row r="245251" customFormat="1" x14ac:dyDescent="0.25"/>
    <row r="245252" customFormat="1" x14ac:dyDescent="0.25"/>
    <row r="245253" customFormat="1" x14ac:dyDescent="0.25"/>
    <row r="245254" customFormat="1" x14ac:dyDescent="0.25"/>
    <row r="245255" customFormat="1" x14ac:dyDescent="0.25"/>
    <row r="245256" customFormat="1" x14ac:dyDescent="0.25"/>
    <row r="245257" customFormat="1" x14ac:dyDescent="0.25"/>
    <row r="245258" customFormat="1" x14ac:dyDescent="0.25"/>
    <row r="245259" customFormat="1" x14ac:dyDescent="0.25"/>
    <row r="245260" customFormat="1" x14ac:dyDescent="0.25"/>
    <row r="245261" customFormat="1" x14ac:dyDescent="0.25"/>
    <row r="245262" customFormat="1" x14ac:dyDescent="0.25"/>
    <row r="245263" customFormat="1" x14ac:dyDescent="0.25"/>
    <row r="245264" customFormat="1" x14ac:dyDescent="0.25"/>
    <row r="245265" customFormat="1" x14ac:dyDescent="0.25"/>
    <row r="245266" customFormat="1" x14ac:dyDescent="0.25"/>
    <row r="245267" customFormat="1" x14ac:dyDescent="0.25"/>
    <row r="245268" customFormat="1" x14ac:dyDescent="0.25"/>
    <row r="245269" customFormat="1" x14ac:dyDescent="0.25"/>
    <row r="245270" customFormat="1" x14ac:dyDescent="0.25"/>
    <row r="245271" customFormat="1" x14ac:dyDescent="0.25"/>
    <row r="245272" customFormat="1" x14ac:dyDescent="0.25"/>
    <row r="245273" customFormat="1" x14ac:dyDescent="0.25"/>
    <row r="245274" customFormat="1" x14ac:dyDescent="0.25"/>
    <row r="245275" customFormat="1" x14ac:dyDescent="0.25"/>
    <row r="245276" customFormat="1" x14ac:dyDescent="0.25"/>
    <row r="245277" customFormat="1" x14ac:dyDescent="0.25"/>
    <row r="245278" customFormat="1" x14ac:dyDescent="0.25"/>
    <row r="245279" customFormat="1" x14ac:dyDescent="0.25"/>
    <row r="245280" customFormat="1" x14ac:dyDescent="0.25"/>
    <row r="245281" customFormat="1" x14ac:dyDescent="0.25"/>
    <row r="245282" customFormat="1" x14ac:dyDescent="0.25"/>
    <row r="245283" customFormat="1" x14ac:dyDescent="0.25"/>
    <row r="245284" customFormat="1" x14ac:dyDescent="0.25"/>
    <row r="245285" customFormat="1" x14ac:dyDescent="0.25"/>
    <row r="245286" customFormat="1" x14ac:dyDescent="0.25"/>
    <row r="245287" customFormat="1" x14ac:dyDescent="0.25"/>
    <row r="245288" customFormat="1" x14ac:dyDescent="0.25"/>
    <row r="245289" customFormat="1" x14ac:dyDescent="0.25"/>
    <row r="245290" customFormat="1" x14ac:dyDescent="0.25"/>
    <row r="245291" customFormat="1" x14ac:dyDescent="0.25"/>
    <row r="245292" customFormat="1" x14ac:dyDescent="0.25"/>
    <row r="245293" customFormat="1" x14ac:dyDescent="0.25"/>
    <row r="245294" customFormat="1" x14ac:dyDescent="0.25"/>
    <row r="245295" customFormat="1" x14ac:dyDescent="0.25"/>
    <row r="245296" customFormat="1" x14ac:dyDescent="0.25"/>
    <row r="245297" customFormat="1" x14ac:dyDescent="0.25"/>
    <row r="245298" customFormat="1" x14ac:dyDescent="0.25"/>
    <row r="245299" customFormat="1" x14ac:dyDescent="0.25"/>
    <row r="245300" customFormat="1" x14ac:dyDescent="0.25"/>
    <row r="245301" customFormat="1" x14ac:dyDescent="0.25"/>
    <row r="245302" customFormat="1" x14ac:dyDescent="0.25"/>
    <row r="245303" customFormat="1" x14ac:dyDescent="0.25"/>
    <row r="245304" customFormat="1" x14ac:dyDescent="0.25"/>
    <row r="245305" customFormat="1" x14ac:dyDescent="0.25"/>
    <row r="245306" customFormat="1" x14ac:dyDescent="0.25"/>
    <row r="245307" customFormat="1" x14ac:dyDescent="0.25"/>
    <row r="245308" customFormat="1" x14ac:dyDescent="0.25"/>
    <row r="245309" customFormat="1" x14ac:dyDescent="0.25"/>
    <row r="245310" customFormat="1" x14ac:dyDescent="0.25"/>
    <row r="245311" customFormat="1" x14ac:dyDescent="0.25"/>
    <row r="245312" customFormat="1" x14ac:dyDescent="0.25"/>
    <row r="245313" customFormat="1" x14ac:dyDescent="0.25"/>
    <row r="245314" customFormat="1" x14ac:dyDescent="0.25"/>
    <row r="245315" customFormat="1" x14ac:dyDescent="0.25"/>
    <row r="245316" customFormat="1" x14ac:dyDescent="0.25"/>
    <row r="245317" customFormat="1" x14ac:dyDescent="0.25"/>
    <row r="245318" customFormat="1" x14ac:dyDescent="0.25"/>
    <row r="245319" customFormat="1" x14ac:dyDescent="0.25"/>
    <row r="245320" customFormat="1" x14ac:dyDescent="0.25"/>
    <row r="245321" customFormat="1" x14ac:dyDescent="0.25"/>
    <row r="245322" customFormat="1" x14ac:dyDescent="0.25"/>
    <row r="245323" customFormat="1" x14ac:dyDescent="0.25"/>
    <row r="245324" customFormat="1" x14ac:dyDescent="0.25"/>
    <row r="245325" customFormat="1" x14ac:dyDescent="0.25"/>
    <row r="245326" customFormat="1" x14ac:dyDescent="0.25"/>
    <row r="245327" customFormat="1" x14ac:dyDescent="0.25"/>
    <row r="245328" customFormat="1" x14ac:dyDescent="0.25"/>
    <row r="245329" customFormat="1" x14ac:dyDescent="0.25"/>
    <row r="245330" customFormat="1" x14ac:dyDescent="0.25"/>
    <row r="245331" customFormat="1" x14ac:dyDescent="0.25"/>
    <row r="245332" customFormat="1" x14ac:dyDescent="0.25"/>
    <row r="245333" customFormat="1" x14ac:dyDescent="0.25"/>
    <row r="245334" customFormat="1" x14ac:dyDescent="0.25"/>
    <row r="245335" customFormat="1" x14ac:dyDescent="0.25"/>
    <row r="245336" customFormat="1" x14ac:dyDescent="0.25"/>
    <row r="245337" customFormat="1" x14ac:dyDescent="0.25"/>
    <row r="245338" customFormat="1" x14ac:dyDescent="0.25"/>
    <row r="245339" customFormat="1" x14ac:dyDescent="0.25"/>
    <row r="245340" customFormat="1" x14ac:dyDescent="0.25"/>
    <row r="245341" customFormat="1" x14ac:dyDescent="0.25"/>
    <row r="245342" customFormat="1" x14ac:dyDescent="0.25"/>
    <row r="245343" customFormat="1" x14ac:dyDescent="0.25"/>
    <row r="245344" customFormat="1" x14ac:dyDescent="0.25"/>
    <row r="245345" customFormat="1" x14ac:dyDescent="0.25"/>
    <row r="245346" customFormat="1" x14ac:dyDescent="0.25"/>
    <row r="245347" customFormat="1" x14ac:dyDescent="0.25"/>
    <row r="245348" customFormat="1" x14ac:dyDescent="0.25"/>
    <row r="245349" customFormat="1" x14ac:dyDescent="0.25"/>
    <row r="245350" customFormat="1" x14ac:dyDescent="0.25"/>
    <row r="245351" customFormat="1" x14ac:dyDescent="0.25"/>
    <row r="245352" customFormat="1" x14ac:dyDescent="0.25"/>
    <row r="245353" customFormat="1" x14ac:dyDescent="0.25"/>
    <row r="245354" customFormat="1" x14ac:dyDescent="0.25"/>
    <row r="245355" customFormat="1" x14ac:dyDescent="0.25"/>
    <row r="245356" customFormat="1" x14ac:dyDescent="0.25"/>
    <row r="245357" customFormat="1" x14ac:dyDescent="0.25"/>
    <row r="245358" customFormat="1" x14ac:dyDescent="0.25"/>
    <row r="245359" customFormat="1" x14ac:dyDescent="0.25"/>
    <row r="245360" customFormat="1" x14ac:dyDescent="0.25"/>
    <row r="245361" customFormat="1" x14ac:dyDescent="0.25"/>
    <row r="245362" customFormat="1" x14ac:dyDescent="0.25"/>
    <row r="245363" customFormat="1" x14ac:dyDescent="0.25"/>
    <row r="245364" customFormat="1" x14ac:dyDescent="0.25"/>
    <row r="245365" customFormat="1" x14ac:dyDescent="0.25"/>
    <row r="245366" customFormat="1" x14ac:dyDescent="0.25"/>
    <row r="245367" customFormat="1" x14ac:dyDescent="0.25"/>
    <row r="245368" customFormat="1" x14ac:dyDescent="0.25"/>
    <row r="245369" customFormat="1" x14ac:dyDescent="0.25"/>
    <row r="245370" customFormat="1" x14ac:dyDescent="0.25"/>
    <row r="245371" customFormat="1" x14ac:dyDescent="0.25"/>
    <row r="245372" customFormat="1" x14ac:dyDescent="0.25"/>
    <row r="245373" customFormat="1" x14ac:dyDescent="0.25"/>
    <row r="245374" customFormat="1" x14ac:dyDescent="0.25"/>
    <row r="245375" customFormat="1" x14ac:dyDescent="0.25"/>
    <row r="245376" customFormat="1" x14ac:dyDescent="0.25"/>
    <row r="245377" customFormat="1" x14ac:dyDescent="0.25"/>
    <row r="245378" customFormat="1" x14ac:dyDescent="0.25"/>
    <row r="245379" customFormat="1" x14ac:dyDescent="0.25"/>
    <row r="245380" customFormat="1" x14ac:dyDescent="0.25"/>
    <row r="245381" customFormat="1" x14ac:dyDescent="0.25"/>
    <row r="245382" customFormat="1" x14ac:dyDescent="0.25"/>
    <row r="245383" customFormat="1" x14ac:dyDescent="0.25"/>
    <row r="245384" customFormat="1" x14ac:dyDescent="0.25"/>
    <row r="245385" customFormat="1" x14ac:dyDescent="0.25"/>
    <row r="245386" customFormat="1" x14ac:dyDescent="0.25"/>
    <row r="245387" customFormat="1" x14ac:dyDescent="0.25"/>
    <row r="245388" customFormat="1" x14ac:dyDescent="0.25"/>
    <row r="245389" customFormat="1" x14ac:dyDescent="0.25"/>
    <row r="245390" customFormat="1" x14ac:dyDescent="0.25"/>
    <row r="245391" customFormat="1" x14ac:dyDescent="0.25"/>
    <row r="245392" customFormat="1" x14ac:dyDescent="0.25"/>
    <row r="245393" customFormat="1" x14ac:dyDescent="0.25"/>
    <row r="245394" customFormat="1" x14ac:dyDescent="0.25"/>
    <row r="245395" customFormat="1" x14ac:dyDescent="0.25"/>
    <row r="245396" customFormat="1" x14ac:dyDescent="0.25"/>
    <row r="245397" customFormat="1" x14ac:dyDescent="0.25"/>
    <row r="245398" customFormat="1" x14ac:dyDescent="0.25"/>
    <row r="245399" customFormat="1" x14ac:dyDescent="0.25"/>
    <row r="245400" customFormat="1" x14ac:dyDescent="0.25"/>
    <row r="245401" customFormat="1" x14ac:dyDescent="0.25"/>
    <row r="245402" customFormat="1" x14ac:dyDescent="0.25"/>
    <row r="245403" customFormat="1" x14ac:dyDescent="0.25"/>
    <row r="245404" customFormat="1" x14ac:dyDescent="0.25"/>
    <row r="245405" customFormat="1" x14ac:dyDescent="0.25"/>
    <row r="245406" customFormat="1" x14ac:dyDescent="0.25"/>
    <row r="245407" customFormat="1" x14ac:dyDescent="0.25"/>
    <row r="245408" customFormat="1" x14ac:dyDescent="0.25"/>
    <row r="245409" customFormat="1" x14ac:dyDescent="0.25"/>
    <row r="245410" customFormat="1" x14ac:dyDescent="0.25"/>
    <row r="245411" customFormat="1" x14ac:dyDescent="0.25"/>
    <row r="245412" customFormat="1" x14ac:dyDescent="0.25"/>
    <row r="245413" customFormat="1" x14ac:dyDescent="0.25"/>
    <row r="245414" customFormat="1" x14ac:dyDescent="0.25"/>
    <row r="245415" customFormat="1" x14ac:dyDescent="0.25"/>
    <row r="245416" customFormat="1" x14ac:dyDescent="0.25"/>
    <row r="245417" customFormat="1" x14ac:dyDescent="0.25"/>
    <row r="245418" customFormat="1" x14ac:dyDescent="0.25"/>
    <row r="245419" customFormat="1" x14ac:dyDescent="0.25"/>
    <row r="245420" customFormat="1" x14ac:dyDescent="0.25"/>
    <row r="245421" customFormat="1" x14ac:dyDescent="0.25"/>
    <row r="245422" customFormat="1" x14ac:dyDescent="0.25"/>
    <row r="245423" customFormat="1" x14ac:dyDescent="0.25"/>
    <row r="245424" customFormat="1" x14ac:dyDescent="0.25"/>
    <row r="245425" customFormat="1" x14ac:dyDescent="0.25"/>
    <row r="245426" customFormat="1" x14ac:dyDescent="0.25"/>
    <row r="245427" customFormat="1" x14ac:dyDescent="0.25"/>
    <row r="245428" customFormat="1" x14ac:dyDescent="0.25"/>
    <row r="245429" customFormat="1" x14ac:dyDescent="0.25"/>
    <row r="245430" customFormat="1" x14ac:dyDescent="0.25"/>
    <row r="245431" customFormat="1" x14ac:dyDescent="0.25"/>
    <row r="245432" customFormat="1" x14ac:dyDescent="0.25"/>
    <row r="245433" customFormat="1" x14ac:dyDescent="0.25"/>
    <row r="245434" customFormat="1" x14ac:dyDescent="0.25"/>
    <row r="245435" customFormat="1" x14ac:dyDescent="0.25"/>
    <row r="245436" customFormat="1" x14ac:dyDescent="0.25"/>
    <row r="245437" customFormat="1" x14ac:dyDescent="0.25"/>
    <row r="245438" customFormat="1" x14ac:dyDescent="0.25"/>
    <row r="245439" customFormat="1" x14ac:dyDescent="0.25"/>
    <row r="245440" customFormat="1" x14ac:dyDescent="0.25"/>
    <row r="245441" customFormat="1" x14ac:dyDescent="0.25"/>
    <row r="245442" customFormat="1" x14ac:dyDescent="0.25"/>
    <row r="245443" customFormat="1" x14ac:dyDescent="0.25"/>
    <row r="245444" customFormat="1" x14ac:dyDescent="0.25"/>
    <row r="245445" customFormat="1" x14ac:dyDescent="0.25"/>
    <row r="245446" customFormat="1" x14ac:dyDescent="0.25"/>
    <row r="245447" customFormat="1" x14ac:dyDescent="0.25"/>
    <row r="245448" customFormat="1" x14ac:dyDescent="0.25"/>
    <row r="245449" customFormat="1" x14ac:dyDescent="0.25"/>
    <row r="245450" customFormat="1" x14ac:dyDescent="0.25"/>
    <row r="245451" customFormat="1" x14ac:dyDescent="0.25"/>
    <row r="245452" customFormat="1" x14ac:dyDescent="0.25"/>
    <row r="245453" customFormat="1" x14ac:dyDescent="0.25"/>
    <row r="245454" customFormat="1" x14ac:dyDescent="0.25"/>
    <row r="245455" customFormat="1" x14ac:dyDescent="0.25"/>
    <row r="245456" customFormat="1" x14ac:dyDescent="0.25"/>
    <row r="245457" customFormat="1" x14ac:dyDescent="0.25"/>
    <row r="245458" customFormat="1" x14ac:dyDescent="0.25"/>
    <row r="245459" customFormat="1" x14ac:dyDescent="0.25"/>
    <row r="245460" customFormat="1" x14ac:dyDescent="0.25"/>
    <row r="245461" customFormat="1" x14ac:dyDescent="0.25"/>
    <row r="245462" customFormat="1" x14ac:dyDescent="0.25"/>
    <row r="245463" customFormat="1" x14ac:dyDescent="0.25"/>
    <row r="245464" customFormat="1" x14ac:dyDescent="0.25"/>
    <row r="245465" customFormat="1" x14ac:dyDescent="0.25"/>
    <row r="245466" customFormat="1" x14ac:dyDescent="0.25"/>
    <row r="245467" customFormat="1" x14ac:dyDescent="0.25"/>
    <row r="245468" customFormat="1" x14ac:dyDescent="0.25"/>
    <row r="245469" customFormat="1" x14ac:dyDescent="0.25"/>
    <row r="245470" customFormat="1" x14ac:dyDescent="0.25"/>
    <row r="245471" customFormat="1" x14ac:dyDescent="0.25"/>
    <row r="245472" customFormat="1" x14ac:dyDescent="0.25"/>
    <row r="245473" customFormat="1" x14ac:dyDescent="0.25"/>
    <row r="245474" customFormat="1" x14ac:dyDescent="0.25"/>
    <row r="245475" customFormat="1" x14ac:dyDescent="0.25"/>
    <row r="245476" customFormat="1" x14ac:dyDescent="0.25"/>
    <row r="245477" customFormat="1" x14ac:dyDescent="0.25"/>
    <row r="245478" customFormat="1" x14ac:dyDescent="0.25"/>
    <row r="245479" customFormat="1" x14ac:dyDescent="0.25"/>
    <row r="245480" customFormat="1" x14ac:dyDescent="0.25"/>
    <row r="245481" customFormat="1" x14ac:dyDescent="0.25"/>
    <row r="245482" customFormat="1" x14ac:dyDescent="0.25"/>
    <row r="245483" customFormat="1" x14ac:dyDescent="0.25"/>
    <row r="245484" customFormat="1" x14ac:dyDescent="0.25"/>
    <row r="245485" customFormat="1" x14ac:dyDescent="0.25"/>
    <row r="245486" customFormat="1" x14ac:dyDescent="0.25"/>
    <row r="245487" customFormat="1" x14ac:dyDescent="0.25"/>
    <row r="245488" customFormat="1" x14ac:dyDescent="0.25"/>
    <row r="245489" customFormat="1" x14ac:dyDescent="0.25"/>
    <row r="245490" customFormat="1" x14ac:dyDescent="0.25"/>
    <row r="245491" customFormat="1" x14ac:dyDescent="0.25"/>
    <row r="245492" customFormat="1" x14ac:dyDescent="0.25"/>
    <row r="245493" customFormat="1" x14ac:dyDescent="0.25"/>
    <row r="245494" customFormat="1" x14ac:dyDescent="0.25"/>
    <row r="245495" customFormat="1" x14ac:dyDescent="0.25"/>
    <row r="245496" customFormat="1" x14ac:dyDescent="0.25"/>
    <row r="245497" customFormat="1" x14ac:dyDescent="0.25"/>
    <row r="245498" customFormat="1" x14ac:dyDescent="0.25"/>
    <row r="245499" customFormat="1" x14ac:dyDescent="0.25"/>
    <row r="245500" customFormat="1" x14ac:dyDescent="0.25"/>
    <row r="245501" customFormat="1" x14ac:dyDescent="0.25"/>
    <row r="245502" customFormat="1" x14ac:dyDescent="0.25"/>
    <row r="245503" customFormat="1" x14ac:dyDescent="0.25"/>
    <row r="245504" customFormat="1" x14ac:dyDescent="0.25"/>
    <row r="245505" customFormat="1" x14ac:dyDescent="0.25"/>
    <row r="245506" customFormat="1" x14ac:dyDescent="0.25"/>
    <row r="245507" customFormat="1" x14ac:dyDescent="0.25"/>
    <row r="245508" customFormat="1" x14ac:dyDescent="0.25"/>
    <row r="245509" customFormat="1" x14ac:dyDescent="0.25"/>
    <row r="245510" customFormat="1" x14ac:dyDescent="0.25"/>
    <row r="245511" customFormat="1" x14ac:dyDescent="0.25"/>
    <row r="245512" customFormat="1" x14ac:dyDescent="0.25"/>
    <row r="245513" customFormat="1" x14ac:dyDescent="0.25"/>
    <row r="245514" customFormat="1" x14ac:dyDescent="0.25"/>
    <row r="245515" customFormat="1" x14ac:dyDescent="0.25"/>
    <row r="245516" customFormat="1" x14ac:dyDescent="0.25"/>
    <row r="245517" customFormat="1" x14ac:dyDescent="0.25"/>
    <row r="245518" customFormat="1" x14ac:dyDescent="0.25"/>
    <row r="245519" customFormat="1" x14ac:dyDescent="0.25"/>
    <row r="245520" customFormat="1" x14ac:dyDescent="0.25"/>
    <row r="245521" customFormat="1" x14ac:dyDescent="0.25"/>
    <row r="245522" customFormat="1" x14ac:dyDescent="0.25"/>
    <row r="245523" customFormat="1" x14ac:dyDescent="0.25"/>
    <row r="245524" customFormat="1" x14ac:dyDescent="0.25"/>
    <row r="245525" customFormat="1" x14ac:dyDescent="0.25"/>
    <row r="245526" customFormat="1" x14ac:dyDescent="0.25"/>
    <row r="245527" customFormat="1" x14ac:dyDescent="0.25"/>
    <row r="245528" customFormat="1" x14ac:dyDescent="0.25"/>
    <row r="245529" customFormat="1" x14ac:dyDescent="0.25"/>
    <row r="245530" customFormat="1" x14ac:dyDescent="0.25"/>
    <row r="245531" customFormat="1" x14ac:dyDescent="0.25"/>
    <row r="245532" customFormat="1" x14ac:dyDescent="0.25"/>
    <row r="245533" customFormat="1" x14ac:dyDescent="0.25"/>
    <row r="245534" customFormat="1" x14ac:dyDescent="0.25"/>
    <row r="245535" customFormat="1" x14ac:dyDescent="0.25"/>
    <row r="245536" customFormat="1" x14ac:dyDescent="0.25"/>
    <row r="245537" customFormat="1" x14ac:dyDescent="0.25"/>
    <row r="245538" customFormat="1" x14ac:dyDescent="0.25"/>
    <row r="245539" customFormat="1" x14ac:dyDescent="0.25"/>
    <row r="245540" customFormat="1" x14ac:dyDescent="0.25"/>
    <row r="245541" customFormat="1" x14ac:dyDescent="0.25"/>
    <row r="245542" customFormat="1" x14ac:dyDescent="0.25"/>
    <row r="245543" customFormat="1" x14ac:dyDescent="0.25"/>
    <row r="245544" customFormat="1" x14ac:dyDescent="0.25"/>
    <row r="245545" customFormat="1" x14ac:dyDescent="0.25"/>
    <row r="245546" customFormat="1" x14ac:dyDescent="0.25"/>
    <row r="245547" customFormat="1" x14ac:dyDescent="0.25"/>
    <row r="245548" customFormat="1" x14ac:dyDescent="0.25"/>
    <row r="245549" customFormat="1" x14ac:dyDescent="0.25"/>
    <row r="245550" customFormat="1" x14ac:dyDescent="0.25"/>
    <row r="245551" customFormat="1" x14ac:dyDescent="0.25"/>
    <row r="245552" customFormat="1" x14ac:dyDescent="0.25"/>
    <row r="245553" customFormat="1" x14ac:dyDescent="0.25"/>
    <row r="245554" customFormat="1" x14ac:dyDescent="0.25"/>
    <row r="245555" customFormat="1" x14ac:dyDescent="0.25"/>
    <row r="245556" customFormat="1" x14ac:dyDescent="0.25"/>
    <row r="245557" customFormat="1" x14ac:dyDescent="0.25"/>
    <row r="245558" customFormat="1" x14ac:dyDescent="0.25"/>
    <row r="245559" customFormat="1" x14ac:dyDescent="0.25"/>
    <row r="245560" customFormat="1" x14ac:dyDescent="0.25"/>
    <row r="245561" customFormat="1" x14ac:dyDescent="0.25"/>
    <row r="245562" customFormat="1" x14ac:dyDescent="0.25"/>
    <row r="245563" customFormat="1" x14ac:dyDescent="0.25"/>
    <row r="245564" customFormat="1" x14ac:dyDescent="0.25"/>
    <row r="245565" customFormat="1" x14ac:dyDescent="0.25"/>
    <row r="245566" customFormat="1" x14ac:dyDescent="0.25"/>
    <row r="245567" customFormat="1" x14ac:dyDescent="0.25"/>
    <row r="245568" customFormat="1" x14ac:dyDescent="0.25"/>
    <row r="245569" customFormat="1" x14ac:dyDescent="0.25"/>
    <row r="245570" customFormat="1" x14ac:dyDescent="0.25"/>
    <row r="245571" customFormat="1" x14ac:dyDescent="0.25"/>
    <row r="245572" customFormat="1" x14ac:dyDescent="0.25"/>
    <row r="245573" customFormat="1" x14ac:dyDescent="0.25"/>
    <row r="245574" customFormat="1" x14ac:dyDescent="0.25"/>
    <row r="245575" customFormat="1" x14ac:dyDescent="0.25"/>
    <row r="245576" customFormat="1" x14ac:dyDescent="0.25"/>
    <row r="245577" customFormat="1" x14ac:dyDescent="0.25"/>
    <row r="245578" customFormat="1" x14ac:dyDescent="0.25"/>
    <row r="245579" customFormat="1" x14ac:dyDescent="0.25"/>
    <row r="245580" customFormat="1" x14ac:dyDescent="0.25"/>
    <row r="245581" customFormat="1" x14ac:dyDescent="0.25"/>
    <row r="245582" customFormat="1" x14ac:dyDescent="0.25"/>
    <row r="245583" customFormat="1" x14ac:dyDescent="0.25"/>
    <row r="245584" customFormat="1" x14ac:dyDescent="0.25"/>
    <row r="245585" customFormat="1" x14ac:dyDescent="0.25"/>
    <row r="245586" customFormat="1" x14ac:dyDescent="0.25"/>
    <row r="245587" customFormat="1" x14ac:dyDescent="0.25"/>
    <row r="245588" customFormat="1" x14ac:dyDescent="0.25"/>
    <row r="245589" customFormat="1" x14ac:dyDescent="0.25"/>
    <row r="245590" customFormat="1" x14ac:dyDescent="0.25"/>
    <row r="245591" customFormat="1" x14ac:dyDescent="0.25"/>
    <row r="245592" customFormat="1" x14ac:dyDescent="0.25"/>
    <row r="245593" customFormat="1" x14ac:dyDescent="0.25"/>
    <row r="245594" customFormat="1" x14ac:dyDescent="0.25"/>
    <row r="245595" customFormat="1" x14ac:dyDescent="0.25"/>
    <row r="245596" customFormat="1" x14ac:dyDescent="0.25"/>
    <row r="245597" customFormat="1" x14ac:dyDescent="0.25"/>
    <row r="245598" customFormat="1" x14ac:dyDescent="0.25"/>
    <row r="245599" customFormat="1" x14ac:dyDescent="0.25"/>
    <row r="245600" customFormat="1" x14ac:dyDescent="0.25"/>
    <row r="245601" customFormat="1" x14ac:dyDescent="0.25"/>
    <row r="245602" customFormat="1" x14ac:dyDescent="0.25"/>
    <row r="245603" customFormat="1" x14ac:dyDescent="0.25"/>
    <row r="245604" customFormat="1" x14ac:dyDescent="0.25"/>
    <row r="245605" customFormat="1" x14ac:dyDescent="0.25"/>
    <row r="245606" customFormat="1" x14ac:dyDescent="0.25"/>
    <row r="245607" customFormat="1" x14ac:dyDescent="0.25"/>
    <row r="245608" customFormat="1" x14ac:dyDescent="0.25"/>
    <row r="245609" customFormat="1" x14ac:dyDescent="0.25"/>
    <row r="245610" customFormat="1" x14ac:dyDescent="0.25"/>
    <row r="245611" customFormat="1" x14ac:dyDescent="0.25"/>
    <row r="245612" customFormat="1" x14ac:dyDescent="0.25"/>
    <row r="245613" customFormat="1" x14ac:dyDescent="0.25"/>
    <row r="245614" customFormat="1" x14ac:dyDescent="0.25"/>
    <row r="245615" customFormat="1" x14ac:dyDescent="0.25"/>
    <row r="245616" customFormat="1" x14ac:dyDescent="0.25"/>
    <row r="245617" customFormat="1" x14ac:dyDescent="0.25"/>
    <row r="245618" customFormat="1" x14ac:dyDescent="0.25"/>
    <row r="245619" customFormat="1" x14ac:dyDescent="0.25"/>
    <row r="245620" customFormat="1" x14ac:dyDescent="0.25"/>
    <row r="245621" customFormat="1" x14ac:dyDescent="0.25"/>
    <row r="245622" customFormat="1" x14ac:dyDescent="0.25"/>
    <row r="245623" customFormat="1" x14ac:dyDescent="0.25"/>
    <row r="245624" customFormat="1" x14ac:dyDescent="0.25"/>
    <row r="245625" customFormat="1" x14ac:dyDescent="0.25"/>
    <row r="245626" customFormat="1" x14ac:dyDescent="0.25"/>
    <row r="245627" customFormat="1" x14ac:dyDescent="0.25"/>
    <row r="245628" customFormat="1" x14ac:dyDescent="0.25"/>
    <row r="245629" customFormat="1" x14ac:dyDescent="0.25"/>
    <row r="245630" customFormat="1" x14ac:dyDescent="0.25"/>
    <row r="245631" customFormat="1" x14ac:dyDescent="0.25"/>
    <row r="245632" customFormat="1" x14ac:dyDescent="0.25"/>
    <row r="245633" customFormat="1" x14ac:dyDescent="0.25"/>
    <row r="245634" customFormat="1" x14ac:dyDescent="0.25"/>
    <row r="245635" customFormat="1" x14ac:dyDescent="0.25"/>
    <row r="245636" customFormat="1" x14ac:dyDescent="0.25"/>
    <row r="245637" customFormat="1" x14ac:dyDescent="0.25"/>
    <row r="245638" customFormat="1" x14ac:dyDescent="0.25"/>
    <row r="245639" customFormat="1" x14ac:dyDescent="0.25"/>
    <row r="245640" customFormat="1" x14ac:dyDescent="0.25"/>
    <row r="245641" customFormat="1" x14ac:dyDescent="0.25"/>
    <row r="245642" customFormat="1" x14ac:dyDescent="0.25"/>
    <row r="245643" customFormat="1" x14ac:dyDescent="0.25"/>
    <row r="245644" customFormat="1" x14ac:dyDescent="0.25"/>
    <row r="245645" customFormat="1" x14ac:dyDescent="0.25"/>
    <row r="245646" customFormat="1" x14ac:dyDescent="0.25"/>
    <row r="245647" customFormat="1" x14ac:dyDescent="0.25"/>
    <row r="245648" customFormat="1" x14ac:dyDescent="0.25"/>
    <row r="245649" customFormat="1" x14ac:dyDescent="0.25"/>
    <row r="245650" customFormat="1" x14ac:dyDescent="0.25"/>
    <row r="245651" customFormat="1" x14ac:dyDescent="0.25"/>
    <row r="245652" customFormat="1" x14ac:dyDescent="0.25"/>
    <row r="245653" customFormat="1" x14ac:dyDescent="0.25"/>
    <row r="245654" customFormat="1" x14ac:dyDescent="0.25"/>
    <row r="245655" customFormat="1" x14ac:dyDescent="0.25"/>
    <row r="245656" customFormat="1" x14ac:dyDescent="0.25"/>
    <row r="245657" customFormat="1" x14ac:dyDescent="0.25"/>
    <row r="245658" customFormat="1" x14ac:dyDescent="0.25"/>
    <row r="245659" customFormat="1" x14ac:dyDescent="0.25"/>
    <row r="245660" customFormat="1" x14ac:dyDescent="0.25"/>
    <row r="245661" customFormat="1" x14ac:dyDescent="0.25"/>
    <row r="245662" customFormat="1" x14ac:dyDescent="0.25"/>
    <row r="245663" customFormat="1" x14ac:dyDescent="0.25"/>
    <row r="245664" customFormat="1" x14ac:dyDescent="0.25"/>
    <row r="245665" customFormat="1" x14ac:dyDescent="0.25"/>
    <row r="245666" customFormat="1" x14ac:dyDescent="0.25"/>
    <row r="245667" customFormat="1" x14ac:dyDescent="0.25"/>
    <row r="245668" customFormat="1" x14ac:dyDescent="0.25"/>
    <row r="245669" customFormat="1" x14ac:dyDescent="0.25"/>
    <row r="245670" customFormat="1" x14ac:dyDescent="0.25"/>
    <row r="245671" customFormat="1" x14ac:dyDescent="0.25"/>
    <row r="245672" customFormat="1" x14ac:dyDescent="0.25"/>
    <row r="245673" customFormat="1" x14ac:dyDescent="0.25"/>
    <row r="245674" customFormat="1" x14ac:dyDescent="0.25"/>
    <row r="245675" customFormat="1" x14ac:dyDescent="0.25"/>
    <row r="245676" customFormat="1" x14ac:dyDescent="0.25"/>
    <row r="245677" customFormat="1" x14ac:dyDescent="0.25"/>
    <row r="245678" customFormat="1" x14ac:dyDescent="0.25"/>
    <row r="245679" customFormat="1" x14ac:dyDescent="0.25"/>
    <row r="245680" customFormat="1" x14ac:dyDescent="0.25"/>
    <row r="245681" customFormat="1" x14ac:dyDescent="0.25"/>
    <row r="245682" customFormat="1" x14ac:dyDescent="0.25"/>
    <row r="245683" customFormat="1" x14ac:dyDescent="0.25"/>
    <row r="245684" customFormat="1" x14ac:dyDescent="0.25"/>
    <row r="245685" customFormat="1" x14ac:dyDescent="0.25"/>
    <row r="245686" customFormat="1" x14ac:dyDescent="0.25"/>
    <row r="245687" customFormat="1" x14ac:dyDescent="0.25"/>
    <row r="245688" customFormat="1" x14ac:dyDescent="0.25"/>
    <row r="245689" customFormat="1" x14ac:dyDescent="0.25"/>
    <row r="245690" customFormat="1" x14ac:dyDescent="0.25"/>
    <row r="245691" customFormat="1" x14ac:dyDescent="0.25"/>
    <row r="245692" customFormat="1" x14ac:dyDescent="0.25"/>
    <row r="245693" customFormat="1" x14ac:dyDescent="0.25"/>
    <row r="245694" customFormat="1" x14ac:dyDescent="0.25"/>
    <row r="245695" customFormat="1" x14ac:dyDescent="0.25"/>
    <row r="245696" customFormat="1" x14ac:dyDescent="0.25"/>
    <row r="245697" customFormat="1" x14ac:dyDescent="0.25"/>
    <row r="245698" customFormat="1" x14ac:dyDescent="0.25"/>
    <row r="245699" customFormat="1" x14ac:dyDescent="0.25"/>
    <row r="245700" customFormat="1" x14ac:dyDescent="0.25"/>
    <row r="245701" customFormat="1" x14ac:dyDescent="0.25"/>
    <row r="245702" customFormat="1" x14ac:dyDescent="0.25"/>
    <row r="245703" customFormat="1" x14ac:dyDescent="0.25"/>
    <row r="245704" customFormat="1" x14ac:dyDescent="0.25"/>
    <row r="245705" customFormat="1" x14ac:dyDescent="0.25"/>
    <row r="245706" customFormat="1" x14ac:dyDescent="0.25"/>
    <row r="245707" customFormat="1" x14ac:dyDescent="0.25"/>
    <row r="245708" customFormat="1" x14ac:dyDescent="0.25"/>
    <row r="245709" customFormat="1" x14ac:dyDescent="0.25"/>
    <row r="245710" customFormat="1" x14ac:dyDescent="0.25"/>
    <row r="245711" customFormat="1" x14ac:dyDescent="0.25"/>
    <row r="245712" customFormat="1" x14ac:dyDescent="0.25"/>
    <row r="245713" customFormat="1" x14ac:dyDescent="0.25"/>
    <row r="245714" customFormat="1" x14ac:dyDescent="0.25"/>
    <row r="245715" customFormat="1" x14ac:dyDescent="0.25"/>
    <row r="245716" customFormat="1" x14ac:dyDescent="0.25"/>
    <row r="245717" customFormat="1" x14ac:dyDescent="0.25"/>
    <row r="245718" customFormat="1" x14ac:dyDescent="0.25"/>
    <row r="245719" customFormat="1" x14ac:dyDescent="0.25"/>
    <row r="245720" customFormat="1" x14ac:dyDescent="0.25"/>
    <row r="245721" customFormat="1" x14ac:dyDescent="0.25"/>
    <row r="245722" customFormat="1" x14ac:dyDescent="0.25"/>
    <row r="245723" customFormat="1" x14ac:dyDescent="0.25"/>
    <row r="245724" customFormat="1" x14ac:dyDescent="0.25"/>
    <row r="245725" customFormat="1" x14ac:dyDescent="0.25"/>
    <row r="245726" customFormat="1" x14ac:dyDescent="0.25"/>
    <row r="245727" customFormat="1" x14ac:dyDescent="0.25"/>
    <row r="245728" customFormat="1" x14ac:dyDescent="0.25"/>
    <row r="245729" customFormat="1" x14ac:dyDescent="0.25"/>
    <row r="245730" customFormat="1" x14ac:dyDescent="0.25"/>
    <row r="245731" customFormat="1" x14ac:dyDescent="0.25"/>
    <row r="245732" customFormat="1" x14ac:dyDescent="0.25"/>
    <row r="245733" customFormat="1" x14ac:dyDescent="0.25"/>
    <row r="245734" customFormat="1" x14ac:dyDescent="0.25"/>
    <row r="245735" customFormat="1" x14ac:dyDescent="0.25"/>
    <row r="245736" customFormat="1" x14ac:dyDescent="0.25"/>
    <row r="245737" customFormat="1" x14ac:dyDescent="0.25"/>
    <row r="245738" customFormat="1" x14ac:dyDescent="0.25"/>
    <row r="245739" customFormat="1" x14ac:dyDescent="0.25"/>
    <row r="245740" customFormat="1" x14ac:dyDescent="0.25"/>
    <row r="245741" customFormat="1" x14ac:dyDescent="0.25"/>
    <row r="245742" customFormat="1" x14ac:dyDescent="0.25"/>
    <row r="245743" customFormat="1" x14ac:dyDescent="0.25"/>
    <row r="245744" customFormat="1" x14ac:dyDescent="0.25"/>
    <row r="245745" customFormat="1" x14ac:dyDescent="0.25"/>
    <row r="245746" customFormat="1" x14ac:dyDescent="0.25"/>
    <row r="245747" customFormat="1" x14ac:dyDescent="0.25"/>
    <row r="245748" customFormat="1" x14ac:dyDescent="0.25"/>
    <row r="245749" customFormat="1" x14ac:dyDescent="0.25"/>
    <row r="245750" customFormat="1" x14ac:dyDescent="0.25"/>
    <row r="245751" customFormat="1" x14ac:dyDescent="0.25"/>
    <row r="245752" customFormat="1" x14ac:dyDescent="0.25"/>
    <row r="245753" customFormat="1" x14ac:dyDescent="0.25"/>
    <row r="245754" customFormat="1" x14ac:dyDescent="0.25"/>
    <row r="245755" customFormat="1" x14ac:dyDescent="0.25"/>
    <row r="245756" customFormat="1" x14ac:dyDescent="0.25"/>
    <row r="245757" customFormat="1" x14ac:dyDescent="0.25"/>
    <row r="245758" customFormat="1" x14ac:dyDescent="0.25"/>
    <row r="245759" customFormat="1" x14ac:dyDescent="0.25"/>
    <row r="245760" customFormat="1" x14ac:dyDescent="0.25"/>
    <row r="245761" customFormat="1" x14ac:dyDescent="0.25"/>
    <row r="245762" customFormat="1" x14ac:dyDescent="0.25"/>
    <row r="245763" customFormat="1" x14ac:dyDescent="0.25"/>
    <row r="245764" customFormat="1" x14ac:dyDescent="0.25"/>
    <row r="245765" customFormat="1" x14ac:dyDescent="0.25"/>
    <row r="245766" customFormat="1" x14ac:dyDescent="0.25"/>
    <row r="245767" customFormat="1" x14ac:dyDescent="0.25"/>
    <row r="245768" customFormat="1" x14ac:dyDescent="0.25"/>
    <row r="245769" customFormat="1" x14ac:dyDescent="0.25"/>
    <row r="245770" customFormat="1" x14ac:dyDescent="0.25"/>
    <row r="245771" customFormat="1" x14ac:dyDescent="0.25"/>
    <row r="245772" customFormat="1" x14ac:dyDescent="0.25"/>
    <row r="245773" customFormat="1" x14ac:dyDescent="0.25"/>
    <row r="245774" customFormat="1" x14ac:dyDescent="0.25"/>
    <row r="245775" customFormat="1" x14ac:dyDescent="0.25"/>
    <row r="245776" customFormat="1" x14ac:dyDescent="0.25"/>
    <row r="245777" customFormat="1" x14ac:dyDescent="0.25"/>
    <row r="245778" customFormat="1" x14ac:dyDescent="0.25"/>
    <row r="245779" customFormat="1" x14ac:dyDescent="0.25"/>
    <row r="245780" customFormat="1" x14ac:dyDescent="0.25"/>
    <row r="245781" customFormat="1" x14ac:dyDescent="0.25"/>
    <row r="245782" customFormat="1" x14ac:dyDescent="0.25"/>
    <row r="245783" customFormat="1" x14ac:dyDescent="0.25"/>
    <row r="245784" customFormat="1" x14ac:dyDescent="0.25"/>
    <row r="245785" customFormat="1" x14ac:dyDescent="0.25"/>
    <row r="245786" customFormat="1" x14ac:dyDescent="0.25"/>
    <row r="245787" customFormat="1" x14ac:dyDescent="0.25"/>
    <row r="245788" customFormat="1" x14ac:dyDescent="0.25"/>
    <row r="245789" customFormat="1" x14ac:dyDescent="0.25"/>
    <row r="245790" customFormat="1" x14ac:dyDescent="0.25"/>
    <row r="245791" customFormat="1" x14ac:dyDescent="0.25"/>
    <row r="245792" customFormat="1" x14ac:dyDescent="0.25"/>
    <row r="245793" customFormat="1" x14ac:dyDescent="0.25"/>
    <row r="245794" customFormat="1" x14ac:dyDescent="0.25"/>
    <row r="245795" customFormat="1" x14ac:dyDescent="0.25"/>
    <row r="245796" customFormat="1" x14ac:dyDescent="0.25"/>
    <row r="245797" customFormat="1" x14ac:dyDescent="0.25"/>
    <row r="245798" customFormat="1" x14ac:dyDescent="0.25"/>
    <row r="245799" customFormat="1" x14ac:dyDescent="0.25"/>
    <row r="245800" customFormat="1" x14ac:dyDescent="0.25"/>
    <row r="245801" customFormat="1" x14ac:dyDescent="0.25"/>
    <row r="245802" customFormat="1" x14ac:dyDescent="0.25"/>
    <row r="245803" customFormat="1" x14ac:dyDescent="0.25"/>
    <row r="245804" customFormat="1" x14ac:dyDescent="0.25"/>
    <row r="245805" customFormat="1" x14ac:dyDescent="0.25"/>
    <row r="245806" customFormat="1" x14ac:dyDescent="0.25"/>
    <row r="245807" customFormat="1" x14ac:dyDescent="0.25"/>
    <row r="245808" customFormat="1" x14ac:dyDescent="0.25"/>
    <row r="245809" customFormat="1" x14ac:dyDescent="0.25"/>
    <row r="245810" customFormat="1" x14ac:dyDescent="0.25"/>
    <row r="245811" customFormat="1" x14ac:dyDescent="0.25"/>
    <row r="245812" customFormat="1" x14ac:dyDescent="0.25"/>
    <row r="245813" customFormat="1" x14ac:dyDescent="0.25"/>
    <row r="245814" customFormat="1" x14ac:dyDescent="0.25"/>
    <row r="245815" customFormat="1" x14ac:dyDescent="0.25"/>
    <row r="245816" customFormat="1" x14ac:dyDescent="0.25"/>
    <row r="245817" customFormat="1" x14ac:dyDescent="0.25"/>
    <row r="245818" customFormat="1" x14ac:dyDescent="0.25"/>
    <row r="245819" customFormat="1" x14ac:dyDescent="0.25"/>
    <row r="245820" customFormat="1" x14ac:dyDescent="0.25"/>
    <row r="245821" customFormat="1" x14ac:dyDescent="0.25"/>
    <row r="245822" customFormat="1" x14ac:dyDescent="0.25"/>
    <row r="245823" customFormat="1" x14ac:dyDescent="0.25"/>
    <row r="245824" customFormat="1" x14ac:dyDescent="0.25"/>
    <row r="245825" customFormat="1" x14ac:dyDescent="0.25"/>
    <row r="245826" customFormat="1" x14ac:dyDescent="0.25"/>
    <row r="245827" customFormat="1" x14ac:dyDescent="0.25"/>
    <row r="245828" customFormat="1" x14ac:dyDescent="0.25"/>
    <row r="245829" customFormat="1" x14ac:dyDescent="0.25"/>
    <row r="245830" customFormat="1" x14ac:dyDescent="0.25"/>
    <row r="245831" customFormat="1" x14ac:dyDescent="0.25"/>
    <row r="245832" customFormat="1" x14ac:dyDescent="0.25"/>
    <row r="245833" customFormat="1" x14ac:dyDescent="0.25"/>
    <row r="245834" customFormat="1" x14ac:dyDescent="0.25"/>
    <row r="245835" customFormat="1" x14ac:dyDescent="0.25"/>
    <row r="245836" customFormat="1" x14ac:dyDescent="0.25"/>
    <row r="245837" customFormat="1" x14ac:dyDescent="0.25"/>
    <row r="245838" customFormat="1" x14ac:dyDescent="0.25"/>
    <row r="245839" customFormat="1" x14ac:dyDescent="0.25"/>
    <row r="245840" customFormat="1" x14ac:dyDescent="0.25"/>
    <row r="245841" customFormat="1" x14ac:dyDescent="0.25"/>
    <row r="245842" customFormat="1" x14ac:dyDescent="0.25"/>
    <row r="245843" customFormat="1" x14ac:dyDescent="0.25"/>
    <row r="245844" customFormat="1" x14ac:dyDescent="0.25"/>
    <row r="245845" customFormat="1" x14ac:dyDescent="0.25"/>
    <row r="245846" customFormat="1" x14ac:dyDescent="0.25"/>
    <row r="245847" customFormat="1" x14ac:dyDescent="0.25"/>
    <row r="245848" customFormat="1" x14ac:dyDescent="0.25"/>
    <row r="245849" customFormat="1" x14ac:dyDescent="0.25"/>
    <row r="245850" customFormat="1" x14ac:dyDescent="0.25"/>
    <row r="245851" customFormat="1" x14ac:dyDescent="0.25"/>
    <row r="245852" customFormat="1" x14ac:dyDescent="0.25"/>
    <row r="245853" customFormat="1" x14ac:dyDescent="0.25"/>
    <row r="245854" customFormat="1" x14ac:dyDescent="0.25"/>
    <row r="245855" customFormat="1" x14ac:dyDescent="0.25"/>
    <row r="245856" customFormat="1" x14ac:dyDescent="0.25"/>
    <row r="245857" customFormat="1" x14ac:dyDescent="0.25"/>
    <row r="245858" customFormat="1" x14ac:dyDescent="0.25"/>
    <row r="245859" customFormat="1" x14ac:dyDescent="0.25"/>
    <row r="245860" customFormat="1" x14ac:dyDescent="0.25"/>
    <row r="245861" customFormat="1" x14ac:dyDescent="0.25"/>
    <row r="245862" customFormat="1" x14ac:dyDescent="0.25"/>
    <row r="245863" customFormat="1" x14ac:dyDescent="0.25"/>
    <row r="245864" customFormat="1" x14ac:dyDescent="0.25"/>
    <row r="245865" customFormat="1" x14ac:dyDescent="0.25"/>
    <row r="245866" customFormat="1" x14ac:dyDescent="0.25"/>
    <row r="245867" customFormat="1" x14ac:dyDescent="0.25"/>
    <row r="245868" customFormat="1" x14ac:dyDescent="0.25"/>
    <row r="245869" customFormat="1" x14ac:dyDescent="0.25"/>
    <row r="245870" customFormat="1" x14ac:dyDescent="0.25"/>
    <row r="245871" customFormat="1" x14ac:dyDescent="0.25"/>
    <row r="245872" customFormat="1" x14ac:dyDescent="0.25"/>
    <row r="245873" customFormat="1" x14ac:dyDescent="0.25"/>
    <row r="245874" customFormat="1" x14ac:dyDescent="0.25"/>
    <row r="245875" customFormat="1" x14ac:dyDescent="0.25"/>
    <row r="245876" customFormat="1" x14ac:dyDescent="0.25"/>
    <row r="245877" customFormat="1" x14ac:dyDescent="0.25"/>
    <row r="245878" customFormat="1" x14ac:dyDescent="0.25"/>
    <row r="245879" customFormat="1" x14ac:dyDescent="0.25"/>
    <row r="245880" customFormat="1" x14ac:dyDescent="0.25"/>
    <row r="245881" customFormat="1" x14ac:dyDescent="0.25"/>
    <row r="245882" customFormat="1" x14ac:dyDescent="0.25"/>
    <row r="245883" customFormat="1" x14ac:dyDescent="0.25"/>
    <row r="245884" customFormat="1" x14ac:dyDescent="0.25"/>
    <row r="245885" customFormat="1" x14ac:dyDescent="0.25"/>
    <row r="245886" customFormat="1" x14ac:dyDescent="0.25"/>
    <row r="245887" customFormat="1" x14ac:dyDescent="0.25"/>
    <row r="245888" customFormat="1" x14ac:dyDescent="0.25"/>
    <row r="245889" customFormat="1" x14ac:dyDescent="0.25"/>
    <row r="245890" customFormat="1" x14ac:dyDescent="0.25"/>
    <row r="245891" customFormat="1" x14ac:dyDescent="0.25"/>
    <row r="245892" customFormat="1" x14ac:dyDescent="0.25"/>
    <row r="245893" customFormat="1" x14ac:dyDescent="0.25"/>
    <row r="245894" customFormat="1" x14ac:dyDescent="0.25"/>
    <row r="245895" customFormat="1" x14ac:dyDescent="0.25"/>
    <row r="245896" customFormat="1" x14ac:dyDescent="0.25"/>
    <row r="245897" customFormat="1" x14ac:dyDescent="0.25"/>
    <row r="245898" customFormat="1" x14ac:dyDescent="0.25"/>
    <row r="245899" customFormat="1" x14ac:dyDescent="0.25"/>
    <row r="245900" customFormat="1" x14ac:dyDescent="0.25"/>
    <row r="245901" customFormat="1" x14ac:dyDescent="0.25"/>
    <row r="245902" customFormat="1" x14ac:dyDescent="0.25"/>
    <row r="245903" customFormat="1" x14ac:dyDescent="0.25"/>
    <row r="245904" customFormat="1" x14ac:dyDescent="0.25"/>
    <row r="245905" customFormat="1" x14ac:dyDescent="0.25"/>
    <row r="245906" customFormat="1" x14ac:dyDescent="0.25"/>
    <row r="245907" customFormat="1" x14ac:dyDescent="0.25"/>
    <row r="245908" customFormat="1" x14ac:dyDescent="0.25"/>
    <row r="245909" customFormat="1" x14ac:dyDescent="0.25"/>
    <row r="245910" customFormat="1" x14ac:dyDescent="0.25"/>
    <row r="245911" customFormat="1" x14ac:dyDescent="0.25"/>
    <row r="245912" customFormat="1" x14ac:dyDescent="0.25"/>
    <row r="245913" customFormat="1" x14ac:dyDescent="0.25"/>
    <row r="245914" customFormat="1" x14ac:dyDescent="0.25"/>
    <row r="245915" customFormat="1" x14ac:dyDescent="0.25"/>
    <row r="245916" customFormat="1" x14ac:dyDescent="0.25"/>
    <row r="245917" customFormat="1" x14ac:dyDescent="0.25"/>
    <row r="245918" customFormat="1" x14ac:dyDescent="0.25"/>
    <row r="245919" customFormat="1" x14ac:dyDescent="0.25"/>
    <row r="245920" customFormat="1" x14ac:dyDescent="0.25"/>
    <row r="245921" customFormat="1" x14ac:dyDescent="0.25"/>
    <row r="245922" customFormat="1" x14ac:dyDescent="0.25"/>
    <row r="245923" customFormat="1" x14ac:dyDescent="0.25"/>
    <row r="245924" customFormat="1" x14ac:dyDescent="0.25"/>
    <row r="245925" customFormat="1" x14ac:dyDescent="0.25"/>
    <row r="245926" customFormat="1" x14ac:dyDescent="0.25"/>
    <row r="245927" customFormat="1" x14ac:dyDescent="0.25"/>
    <row r="245928" customFormat="1" x14ac:dyDescent="0.25"/>
    <row r="245929" customFormat="1" x14ac:dyDescent="0.25"/>
    <row r="245930" customFormat="1" x14ac:dyDescent="0.25"/>
    <row r="245931" customFormat="1" x14ac:dyDescent="0.25"/>
    <row r="245932" customFormat="1" x14ac:dyDescent="0.25"/>
    <row r="245933" customFormat="1" x14ac:dyDescent="0.25"/>
    <row r="245934" customFormat="1" x14ac:dyDescent="0.25"/>
    <row r="245935" customFormat="1" x14ac:dyDescent="0.25"/>
    <row r="245936" customFormat="1" x14ac:dyDescent="0.25"/>
    <row r="245937" customFormat="1" x14ac:dyDescent="0.25"/>
    <row r="245938" customFormat="1" x14ac:dyDescent="0.25"/>
    <row r="245939" customFormat="1" x14ac:dyDescent="0.25"/>
    <row r="245940" customFormat="1" x14ac:dyDescent="0.25"/>
    <row r="245941" customFormat="1" x14ac:dyDescent="0.25"/>
    <row r="245942" customFormat="1" x14ac:dyDescent="0.25"/>
    <row r="245943" customFormat="1" x14ac:dyDescent="0.25"/>
    <row r="245944" customFormat="1" x14ac:dyDescent="0.25"/>
    <row r="245945" customFormat="1" x14ac:dyDescent="0.25"/>
    <row r="245946" customFormat="1" x14ac:dyDescent="0.25"/>
    <row r="245947" customFormat="1" x14ac:dyDescent="0.25"/>
    <row r="245948" customFormat="1" x14ac:dyDescent="0.25"/>
    <row r="245949" customFormat="1" x14ac:dyDescent="0.25"/>
    <row r="245950" customFormat="1" x14ac:dyDescent="0.25"/>
    <row r="245951" customFormat="1" x14ac:dyDescent="0.25"/>
    <row r="245952" customFormat="1" x14ac:dyDescent="0.25"/>
    <row r="245953" customFormat="1" x14ac:dyDescent="0.25"/>
    <row r="245954" customFormat="1" x14ac:dyDescent="0.25"/>
    <row r="245955" customFormat="1" x14ac:dyDescent="0.25"/>
    <row r="245956" customFormat="1" x14ac:dyDescent="0.25"/>
    <row r="245957" customFormat="1" x14ac:dyDescent="0.25"/>
    <row r="245958" customFormat="1" x14ac:dyDescent="0.25"/>
    <row r="245959" customFormat="1" x14ac:dyDescent="0.25"/>
    <row r="245960" customFormat="1" x14ac:dyDescent="0.25"/>
    <row r="245961" customFormat="1" x14ac:dyDescent="0.25"/>
    <row r="245962" customFormat="1" x14ac:dyDescent="0.25"/>
    <row r="245963" customFormat="1" x14ac:dyDescent="0.25"/>
    <row r="245964" customFormat="1" x14ac:dyDescent="0.25"/>
    <row r="245965" customFormat="1" x14ac:dyDescent="0.25"/>
    <row r="245966" customFormat="1" x14ac:dyDescent="0.25"/>
    <row r="245967" customFormat="1" x14ac:dyDescent="0.25"/>
    <row r="245968" customFormat="1" x14ac:dyDescent="0.25"/>
    <row r="245969" customFormat="1" x14ac:dyDescent="0.25"/>
    <row r="245970" customFormat="1" x14ac:dyDescent="0.25"/>
    <row r="245971" customFormat="1" x14ac:dyDescent="0.25"/>
    <row r="245972" customFormat="1" x14ac:dyDescent="0.25"/>
    <row r="245973" customFormat="1" x14ac:dyDescent="0.25"/>
    <row r="245974" customFormat="1" x14ac:dyDescent="0.25"/>
    <row r="245975" customFormat="1" x14ac:dyDescent="0.25"/>
    <row r="245976" customFormat="1" x14ac:dyDescent="0.25"/>
    <row r="245977" customFormat="1" x14ac:dyDescent="0.25"/>
    <row r="245978" customFormat="1" x14ac:dyDescent="0.25"/>
    <row r="245979" customFormat="1" x14ac:dyDescent="0.25"/>
    <row r="245980" customFormat="1" x14ac:dyDescent="0.25"/>
    <row r="245981" customFormat="1" x14ac:dyDescent="0.25"/>
    <row r="245982" customFormat="1" x14ac:dyDescent="0.25"/>
    <row r="245983" customFormat="1" x14ac:dyDescent="0.25"/>
    <row r="245984" customFormat="1" x14ac:dyDescent="0.25"/>
    <row r="245985" customFormat="1" x14ac:dyDescent="0.25"/>
    <row r="245986" customFormat="1" x14ac:dyDescent="0.25"/>
    <row r="245987" customFormat="1" x14ac:dyDescent="0.25"/>
    <row r="245988" customFormat="1" x14ac:dyDescent="0.25"/>
    <row r="245989" customFormat="1" x14ac:dyDescent="0.25"/>
    <row r="245990" customFormat="1" x14ac:dyDescent="0.25"/>
    <row r="245991" customFormat="1" x14ac:dyDescent="0.25"/>
    <row r="245992" customFormat="1" x14ac:dyDescent="0.25"/>
    <row r="245993" customFormat="1" x14ac:dyDescent="0.25"/>
    <row r="245994" customFormat="1" x14ac:dyDescent="0.25"/>
    <row r="245995" customFormat="1" x14ac:dyDescent="0.25"/>
    <row r="245996" customFormat="1" x14ac:dyDescent="0.25"/>
    <row r="245997" customFormat="1" x14ac:dyDescent="0.25"/>
    <row r="245998" customFormat="1" x14ac:dyDescent="0.25"/>
    <row r="245999" customFormat="1" x14ac:dyDescent="0.25"/>
    <row r="246000" customFormat="1" x14ac:dyDescent="0.25"/>
    <row r="246001" customFormat="1" x14ac:dyDescent="0.25"/>
    <row r="246002" customFormat="1" x14ac:dyDescent="0.25"/>
    <row r="246003" customFormat="1" x14ac:dyDescent="0.25"/>
    <row r="246004" customFormat="1" x14ac:dyDescent="0.25"/>
    <row r="246005" customFormat="1" x14ac:dyDescent="0.25"/>
    <row r="246006" customFormat="1" x14ac:dyDescent="0.25"/>
    <row r="246007" customFormat="1" x14ac:dyDescent="0.25"/>
    <row r="246008" customFormat="1" x14ac:dyDescent="0.25"/>
    <row r="246009" customFormat="1" x14ac:dyDescent="0.25"/>
    <row r="246010" customFormat="1" x14ac:dyDescent="0.25"/>
    <row r="246011" customFormat="1" x14ac:dyDescent="0.25"/>
    <row r="246012" customFormat="1" x14ac:dyDescent="0.25"/>
    <row r="246013" customFormat="1" x14ac:dyDescent="0.25"/>
    <row r="246014" customFormat="1" x14ac:dyDescent="0.25"/>
    <row r="246015" customFormat="1" x14ac:dyDescent="0.25"/>
    <row r="246016" customFormat="1" x14ac:dyDescent="0.25"/>
    <row r="246017" customFormat="1" x14ac:dyDescent="0.25"/>
    <row r="246018" customFormat="1" x14ac:dyDescent="0.25"/>
    <row r="246019" customFormat="1" x14ac:dyDescent="0.25"/>
    <row r="246020" customFormat="1" x14ac:dyDescent="0.25"/>
    <row r="246021" customFormat="1" x14ac:dyDescent="0.25"/>
    <row r="246022" customFormat="1" x14ac:dyDescent="0.25"/>
    <row r="246023" customFormat="1" x14ac:dyDescent="0.25"/>
    <row r="246024" customFormat="1" x14ac:dyDescent="0.25"/>
    <row r="246025" customFormat="1" x14ac:dyDescent="0.25"/>
    <row r="246026" customFormat="1" x14ac:dyDescent="0.25"/>
    <row r="246027" customFormat="1" x14ac:dyDescent="0.25"/>
    <row r="246028" customFormat="1" x14ac:dyDescent="0.25"/>
    <row r="246029" customFormat="1" x14ac:dyDescent="0.25"/>
    <row r="246030" customFormat="1" x14ac:dyDescent="0.25"/>
    <row r="246031" customFormat="1" x14ac:dyDescent="0.25"/>
    <row r="246032" customFormat="1" x14ac:dyDescent="0.25"/>
    <row r="246033" customFormat="1" x14ac:dyDescent="0.25"/>
    <row r="246034" customFormat="1" x14ac:dyDescent="0.25"/>
    <row r="246035" customFormat="1" x14ac:dyDescent="0.25"/>
    <row r="246036" customFormat="1" x14ac:dyDescent="0.25"/>
    <row r="246037" customFormat="1" x14ac:dyDescent="0.25"/>
    <row r="246038" customFormat="1" x14ac:dyDescent="0.25"/>
    <row r="246039" customFormat="1" x14ac:dyDescent="0.25"/>
    <row r="246040" customFormat="1" x14ac:dyDescent="0.25"/>
    <row r="246041" customFormat="1" x14ac:dyDescent="0.25"/>
    <row r="246042" customFormat="1" x14ac:dyDescent="0.25"/>
    <row r="246043" customFormat="1" x14ac:dyDescent="0.25"/>
    <row r="246044" customFormat="1" x14ac:dyDescent="0.25"/>
    <row r="246045" customFormat="1" x14ac:dyDescent="0.25"/>
    <row r="246046" customFormat="1" x14ac:dyDescent="0.25"/>
    <row r="246047" customFormat="1" x14ac:dyDescent="0.25"/>
    <row r="246048" customFormat="1" x14ac:dyDescent="0.25"/>
    <row r="246049" customFormat="1" x14ac:dyDescent="0.25"/>
    <row r="246050" customFormat="1" x14ac:dyDescent="0.25"/>
    <row r="246051" customFormat="1" x14ac:dyDescent="0.25"/>
    <row r="246052" customFormat="1" x14ac:dyDescent="0.25"/>
    <row r="246053" customFormat="1" x14ac:dyDescent="0.25"/>
    <row r="246054" customFormat="1" x14ac:dyDescent="0.25"/>
    <row r="246055" customFormat="1" x14ac:dyDescent="0.25"/>
    <row r="246056" customFormat="1" x14ac:dyDescent="0.25"/>
    <row r="246057" customFormat="1" x14ac:dyDescent="0.25"/>
    <row r="246058" customFormat="1" x14ac:dyDescent="0.25"/>
    <row r="246059" customFormat="1" x14ac:dyDescent="0.25"/>
    <row r="246060" customFormat="1" x14ac:dyDescent="0.25"/>
    <row r="246061" customFormat="1" x14ac:dyDescent="0.25"/>
    <row r="246062" customFormat="1" x14ac:dyDescent="0.25"/>
    <row r="246063" customFormat="1" x14ac:dyDescent="0.25"/>
    <row r="246064" customFormat="1" x14ac:dyDescent="0.25"/>
    <row r="246065" customFormat="1" x14ac:dyDescent="0.25"/>
    <row r="246066" customFormat="1" x14ac:dyDescent="0.25"/>
    <row r="246067" customFormat="1" x14ac:dyDescent="0.25"/>
    <row r="246068" customFormat="1" x14ac:dyDescent="0.25"/>
    <row r="246069" customFormat="1" x14ac:dyDescent="0.25"/>
    <row r="246070" customFormat="1" x14ac:dyDescent="0.25"/>
    <row r="246071" customFormat="1" x14ac:dyDescent="0.25"/>
    <row r="246072" customFormat="1" x14ac:dyDescent="0.25"/>
    <row r="246073" customFormat="1" x14ac:dyDescent="0.25"/>
    <row r="246074" customFormat="1" x14ac:dyDescent="0.25"/>
    <row r="246075" customFormat="1" x14ac:dyDescent="0.25"/>
    <row r="246076" customFormat="1" x14ac:dyDescent="0.25"/>
    <row r="246077" customFormat="1" x14ac:dyDescent="0.25"/>
    <row r="246078" customFormat="1" x14ac:dyDescent="0.25"/>
    <row r="246079" customFormat="1" x14ac:dyDescent="0.25"/>
    <row r="246080" customFormat="1" x14ac:dyDescent="0.25"/>
    <row r="246081" customFormat="1" x14ac:dyDescent="0.25"/>
    <row r="246082" customFormat="1" x14ac:dyDescent="0.25"/>
    <row r="246083" customFormat="1" x14ac:dyDescent="0.25"/>
    <row r="246084" customFormat="1" x14ac:dyDescent="0.25"/>
    <row r="246085" customFormat="1" x14ac:dyDescent="0.25"/>
    <row r="246086" customFormat="1" x14ac:dyDescent="0.25"/>
    <row r="246087" customFormat="1" x14ac:dyDescent="0.25"/>
    <row r="246088" customFormat="1" x14ac:dyDescent="0.25"/>
    <row r="246089" customFormat="1" x14ac:dyDescent="0.25"/>
    <row r="246090" customFormat="1" x14ac:dyDescent="0.25"/>
    <row r="246091" customFormat="1" x14ac:dyDescent="0.25"/>
    <row r="246092" customFormat="1" x14ac:dyDescent="0.25"/>
    <row r="246093" customFormat="1" x14ac:dyDescent="0.25"/>
    <row r="246094" customFormat="1" x14ac:dyDescent="0.25"/>
    <row r="246095" customFormat="1" x14ac:dyDescent="0.25"/>
    <row r="246096" customFormat="1" x14ac:dyDescent="0.25"/>
    <row r="246097" customFormat="1" x14ac:dyDescent="0.25"/>
    <row r="246098" customFormat="1" x14ac:dyDescent="0.25"/>
    <row r="246099" customFormat="1" x14ac:dyDescent="0.25"/>
    <row r="246100" customFormat="1" x14ac:dyDescent="0.25"/>
    <row r="246101" customFormat="1" x14ac:dyDescent="0.25"/>
    <row r="246102" customFormat="1" x14ac:dyDescent="0.25"/>
    <row r="246103" customFormat="1" x14ac:dyDescent="0.25"/>
    <row r="246104" customFormat="1" x14ac:dyDescent="0.25"/>
    <row r="246105" customFormat="1" x14ac:dyDescent="0.25"/>
    <row r="246106" customFormat="1" x14ac:dyDescent="0.25"/>
    <row r="246107" customFormat="1" x14ac:dyDescent="0.25"/>
    <row r="246108" customFormat="1" x14ac:dyDescent="0.25"/>
    <row r="246109" customFormat="1" x14ac:dyDescent="0.25"/>
    <row r="246110" customFormat="1" x14ac:dyDescent="0.25"/>
    <row r="246111" customFormat="1" x14ac:dyDescent="0.25"/>
    <row r="246112" customFormat="1" x14ac:dyDescent="0.25"/>
    <row r="246113" customFormat="1" x14ac:dyDescent="0.25"/>
    <row r="246114" customFormat="1" x14ac:dyDescent="0.25"/>
    <row r="246115" customFormat="1" x14ac:dyDescent="0.25"/>
    <row r="246116" customFormat="1" x14ac:dyDescent="0.25"/>
    <row r="246117" customFormat="1" x14ac:dyDescent="0.25"/>
    <row r="246118" customFormat="1" x14ac:dyDescent="0.25"/>
    <row r="246119" customFormat="1" x14ac:dyDescent="0.25"/>
    <row r="246120" customFormat="1" x14ac:dyDescent="0.25"/>
    <row r="246121" customFormat="1" x14ac:dyDescent="0.25"/>
    <row r="246122" customFormat="1" x14ac:dyDescent="0.25"/>
    <row r="246123" customFormat="1" x14ac:dyDescent="0.25"/>
    <row r="246124" customFormat="1" x14ac:dyDescent="0.25"/>
    <row r="246125" customFormat="1" x14ac:dyDescent="0.25"/>
    <row r="246126" customFormat="1" x14ac:dyDescent="0.25"/>
    <row r="246127" customFormat="1" x14ac:dyDescent="0.25"/>
    <row r="246128" customFormat="1" x14ac:dyDescent="0.25"/>
    <row r="246129" customFormat="1" x14ac:dyDescent="0.25"/>
    <row r="246130" customFormat="1" x14ac:dyDescent="0.25"/>
    <row r="246131" customFormat="1" x14ac:dyDescent="0.25"/>
    <row r="246132" customFormat="1" x14ac:dyDescent="0.25"/>
    <row r="246133" customFormat="1" x14ac:dyDescent="0.25"/>
    <row r="246134" customFormat="1" x14ac:dyDescent="0.25"/>
    <row r="246135" customFormat="1" x14ac:dyDescent="0.25"/>
    <row r="246136" customFormat="1" x14ac:dyDescent="0.25"/>
    <row r="246137" customFormat="1" x14ac:dyDescent="0.25"/>
    <row r="246138" customFormat="1" x14ac:dyDescent="0.25"/>
    <row r="246139" customFormat="1" x14ac:dyDescent="0.25"/>
    <row r="246140" customFormat="1" x14ac:dyDescent="0.25"/>
    <row r="246141" customFormat="1" x14ac:dyDescent="0.25"/>
    <row r="246142" customFormat="1" x14ac:dyDescent="0.25"/>
    <row r="246143" customFormat="1" x14ac:dyDescent="0.25"/>
    <row r="246144" customFormat="1" x14ac:dyDescent="0.25"/>
    <row r="246145" customFormat="1" x14ac:dyDescent="0.25"/>
    <row r="246146" customFormat="1" x14ac:dyDescent="0.25"/>
    <row r="246147" customFormat="1" x14ac:dyDescent="0.25"/>
    <row r="246148" customFormat="1" x14ac:dyDescent="0.25"/>
    <row r="246149" customFormat="1" x14ac:dyDescent="0.25"/>
    <row r="246150" customFormat="1" x14ac:dyDescent="0.25"/>
    <row r="246151" customFormat="1" x14ac:dyDescent="0.25"/>
    <row r="246152" customFormat="1" x14ac:dyDescent="0.25"/>
    <row r="246153" customFormat="1" x14ac:dyDescent="0.25"/>
    <row r="246154" customFormat="1" x14ac:dyDescent="0.25"/>
    <row r="246155" customFormat="1" x14ac:dyDescent="0.25"/>
    <row r="246156" customFormat="1" x14ac:dyDescent="0.25"/>
    <row r="246157" customFormat="1" x14ac:dyDescent="0.25"/>
    <row r="246158" customFormat="1" x14ac:dyDescent="0.25"/>
    <row r="246159" customFormat="1" x14ac:dyDescent="0.25"/>
    <row r="246160" customFormat="1" x14ac:dyDescent="0.25"/>
    <row r="246161" customFormat="1" x14ac:dyDescent="0.25"/>
    <row r="246162" customFormat="1" x14ac:dyDescent="0.25"/>
    <row r="246163" customFormat="1" x14ac:dyDescent="0.25"/>
    <row r="246164" customFormat="1" x14ac:dyDescent="0.25"/>
    <row r="246165" customFormat="1" x14ac:dyDescent="0.25"/>
    <row r="246166" customFormat="1" x14ac:dyDescent="0.25"/>
    <row r="246167" customFormat="1" x14ac:dyDescent="0.25"/>
    <row r="246168" customFormat="1" x14ac:dyDescent="0.25"/>
    <row r="246169" customFormat="1" x14ac:dyDescent="0.25"/>
    <row r="246170" customFormat="1" x14ac:dyDescent="0.25"/>
    <row r="246171" customFormat="1" x14ac:dyDescent="0.25"/>
    <row r="246172" customFormat="1" x14ac:dyDescent="0.25"/>
    <row r="246173" customFormat="1" x14ac:dyDescent="0.25"/>
    <row r="246174" customFormat="1" x14ac:dyDescent="0.25"/>
    <row r="246175" customFormat="1" x14ac:dyDescent="0.25"/>
    <row r="246176" customFormat="1" x14ac:dyDescent="0.25"/>
    <row r="246177" customFormat="1" x14ac:dyDescent="0.25"/>
    <row r="246178" customFormat="1" x14ac:dyDescent="0.25"/>
    <row r="246179" customFormat="1" x14ac:dyDescent="0.25"/>
    <row r="246180" customFormat="1" x14ac:dyDescent="0.25"/>
    <row r="246181" customFormat="1" x14ac:dyDescent="0.25"/>
    <row r="246182" customFormat="1" x14ac:dyDescent="0.25"/>
    <row r="246183" customFormat="1" x14ac:dyDescent="0.25"/>
    <row r="246184" customFormat="1" x14ac:dyDescent="0.25"/>
    <row r="246185" customFormat="1" x14ac:dyDescent="0.25"/>
    <row r="246186" customFormat="1" x14ac:dyDescent="0.25"/>
    <row r="246187" customFormat="1" x14ac:dyDescent="0.25"/>
    <row r="246188" customFormat="1" x14ac:dyDescent="0.25"/>
    <row r="246189" customFormat="1" x14ac:dyDescent="0.25"/>
    <row r="246190" customFormat="1" x14ac:dyDescent="0.25"/>
    <row r="246191" customFormat="1" x14ac:dyDescent="0.25"/>
    <row r="246192" customFormat="1" x14ac:dyDescent="0.25"/>
    <row r="246193" customFormat="1" x14ac:dyDescent="0.25"/>
    <row r="246194" customFormat="1" x14ac:dyDescent="0.25"/>
    <row r="246195" customFormat="1" x14ac:dyDescent="0.25"/>
    <row r="246196" customFormat="1" x14ac:dyDescent="0.25"/>
    <row r="246197" customFormat="1" x14ac:dyDescent="0.25"/>
    <row r="246198" customFormat="1" x14ac:dyDescent="0.25"/>
    <row r="246199" customFormat="1" x14ac:dyDescent="0.25"/>
    <row r="246200" customFormat="1" x14ac:dyDescent="0.25"/>
    <row r="246201" customFormat="1" x14ac:dyDescent="0.25"/>
    <row r="246202" customFormat="1" x14ac:dyDescent="0.25"/>
    <row r="246203" customFormat="1" x14ac:dyDescent="0.25"/>
    <row r="246204" customFormat="1" x14ac:dyDescent="0.25"/>
    <row r="246205" customFormat="1" x14ac:dyDescent="0.25"/>
    <row r="246206" customFormat="1" x14ac:dyDescent="0.25"/>
    <row r="246207" customFormat="1" x14ac:dyDescent="0.25"/>
    <row r="246208" customFormat="1" x14ac:dyDescent="0.25"/>
    <row r="246209" customFormat="1" x14ac:dyDescent="0.25"/>
    <row r="246210" customFormat="1" x14ac:dyDescent="0.25"/>
    <row r="246211" customFormat="1" x14ac:dyDescent="0.25"/>
    <row r="246212" customFormat="1" x14ac:dyDescent="0.25"/>
    <row r="246213" customFormat="1" x14ac:dyDescent="0.25"/>
    <row r="246214" customFormat="1" x14ac:dyDescent="0.25"/>
    <row r="246215" customFormat="1" x14ac:dyDescent="0.25"/>
    <row r="246216" customFormat="1" x14ac:dyDescent="0.25"/>
    <row r="246217" customFormat="1" x14ac:dyDescent="0.25"/>
    <row r="246218" customFormat="1" x14ac:dyDescent="0.25"/>
    <row r="246219" customFormat="1" x14ac:dyDescent="0.25"/>
    <row r="246220" customFormat="1" x14ac:dyDescent="0.25"/>
    <row r="246221" customFormat="1" x14ac:dyDescent="0.25"/>
    <row r="246222" customFormat="1" x14ac:dyDescent="0.25"/>
    <row r="246223" customFormat="1" x14ac:dyDescent="0.25"/>
    <row r="246224" customFormat="1" x14ac:dyDescent="0.25"/>
    <row r="246225" customFormat="1" x14ac:dyDescent="0.25"/>
    <row r="246226" customFormat="1" x14ac:dyDescent="0.25"/>
    <row r="246227" customFormat="1" x14ac:dyDescent="0.25"/>
    <row r="246228" customFormat="1" x14ac:dyDescent="0.25"/>
    <row r="246229" customFormat="1" x14ac:dyDescent="0.25"/>
    <row r="246230" customFormat="1" x14ac:dyDescent="0.25"/>
    <row r="246231" customFormat="1" x14ac:dyDescent="0.25"/>
    <row r="246232" customFormat="1" x14ac:dyDescent="0.25"/>
    <row r="246233" customFormat="1" x14ac:dyDescent="0.25"/>
    <row r="246234" customFormat="1" x14ac:dyDescent="0.25"/>
    <row r="246235" customFormat="1" x14ac:dyDescent="0.25"/>
    <row r="246236" customFormat="1" x14ac:dyDescent="0.25"/>
    <row r="246237" customFormat="1" x14ac:dyDescent="0.25"/>
    <row r="246238" customFormat="1" x14ac:dyDescent="0.25"/>
    <row r="246239" customFormat="1" x14ac:dyDescent="0.25"/>
    <row r="246240" customFormat="1" x14ac:dyDescent="0.25"/>
    <row r="246241" customFormat="1" x14ac:dyDescent="0.25"/>
    <row r="246242" customFormat="1" x14ac:dyDescent="0.25"/>
    <row r="246243" customFormat="1" x14ac:dyDescent="0.25"/>
    <row r="246244" customFormat="1" x14ac:dyDescent="0.25"/>
    <row r="246245" customFormat="1" x14ac:dyDescent="0.25"/>
    <row r="246246" customFormat="1" x14ac:dyDescent="0.25"/>
    <row r="246247" customFormat="1" x14ac:dyDescent="0.25"/>
    <row r="246248" customFormat="1" x14ac:dyDescent="0.25"/>
    <row r="246249" customFormat="1" x14ac:dyDescent="0.25"/>
    <row r="246250" customFormat="1" x14ac:dyDescent="0.25"/>
    <row r="246251" customFormat="1" x14ac:dyDescent="0.25"/>
    <row r="246252" customFormat="1" x14ac:dyDescent="0.25"/>
    <row r="246253" customFormat="1" x14ac:dyDescent="0.25"/>
    <row r="246254" customFormat="1" x14ac:dyDescent="0.25"/>
    <row r="246255" customFormat="1" x14ac:dyDescent="0.25"/>
    <row r="246256" customFormat="1" x14ac:dyDescent="0.25"/>
    <row r="246257" customFormat="1" x14ac:dyDescent="0.25"/>
    <row r="246258" customFormat="1" x14ac:dyDescent="0.25"/>
    <row r="246259" customFormat="1" x14ac:dyDescent="0.25"/>
    <row r="246260" customFormat="1" x14ac:dyDescent="0.25"/>
    <row r="246261" customFormat="1" x14ac:dyDescent="0.25"/>
    <row r="246262" customFormat="1" x14ac:dyDescent="0.25"/>
    <row r="246263" customFormat="1" x14ac:dyDescent="0.25"/>
    <row r="246264" customFormat="1" x14ac:dyDescent="0.25"/>
    <row r="246265" customFormat="1" x14ac:dyDescent="0.25"/>
    <row r="246266" customFormat="1" x14ac:dyDescent="0.25"/>
    <row r="246267" customFormat="1" x14ac:dyDescent="0.25"/>
    <row r="246268" customFormat="1" x14ac:dyDescent="0.25"/>
    <row r="246269" customFormat="1" x14ac:dyDescent="0.25"/>
    <row r="246270" customFormat="1" x14ac:dyDescent="0.25"/>
    <row r="246271" customFormat="1" x14ac:dyDescent="0.25"/>
    <row r="246272" customFormat="1" x14ac:dyDescent="0.25"/>
    <row r="246273" customFormat="1" x14ac:dyDescent="0.25"/>
    <row r="246274" customFormat="1" x14ac:dyDescent="0.25"/>
    <row r="246275" customFormat="1" x14ac:dyDescent="0.25"/>
    <row r="246276" customFormat="1" x14ac:dyDescent="0.25"/>
    <row r="246277" customFormat="1" x14ac:dyDescent="0.25"/>
    <row r="246278" customFormat="1" x14ac:dyDescent="0.25"/>
    <row r="246279" customFormat="1" x14ac:dyDescent="0.25"/>
    <row r="246280" customFormat="1" x14ac:dyDescent="0.25"/>
    <row r="246281" customFormat="1" x14ac:dyDescent="0.25"/>
    <row r="246282" customFormat="1" x14ac:dyDescent="0.25"/>
    <row r="246283" customFormat="1" x14ac:dyDescent="0.25"/>
    <row r="246284" customFormat="1" x14ac:dyDescent="0.25"/>
    <row r="246285" customFormat="1" x14ac:dyDescent="0.25"/>
    <row r="246286" customFormat="1" x14ac:dyDescent="0.25"/>
    <row r="246287" customFormat="1" x14ac:dyDescent="0.25"/>
    <row r="246288" customFormat="1" x14ac:dyDescent="0.25"/>
    <row r="246289" customFormat="1" x14ac:dyDescent="0.25"/>
    <row r="246290" customFormat="1" x14ac:dyDescent="0.25"/>
    <row r="246291" customFormat="1" x14ac:dyDescent="0.25"/>
    <row r="246292" customFormat="1" x14ac:dyDescent="0.25"/>
    <row r="246293" customFormat="1" x14ac:dyDescent="0.25"/>
    <row r="246294" customFormat="1" x14ac:dyDescent="0.25"/>
    <row r="246295" customFormat="1" x14ac:dyDescent="0.25"/>
    <row r="246296" customFormat="1" x14ac:dyDescent="0.25"/>
    <row r="246297" customFormat="1" x14ac:dyDescent="0.25"/>
    <row r="246298" customFormat="1" x14ac:dyDescent="0.25"/>
    <row r="246299" customFormat="1" x14ac:dyDescent="0.25"/>
    <row r="246300" customFormat="1" x14ac:dyDescent="0.25"/>
    <row r="246301" customFormat="1" x14ac:dyDescent="0.25"/>
    <row r="246302" customFormat="1" x14ac:dyDescent="0.25"/>
    <row r="246303" customFormat="1" x14ac:dyDescent="0.25"/>
    <row r="246304" customFormat="1" x14ac:dyDescent="0.25"/>
    <row r="246305" customFormat="1" x14ac:dyDescent="0.25"/>
    <row r="246306" customFormat="1" x14ac:dyDescent="0.25"/>
    <row r="246307" customFormat="1" x14ac:dyDescent="0.25"/>
    <row r="246308" customFormat="1" x14ac:dyDescent="0.25"/>
    <row r="246309" customFormat="1" x14ac:dyDescent="0.25"/>
    <row r="246310" customFormat="1" x14ac:dyDescent="0.25"/>
    <row r="246311" customFormat="1" x14ac:dyDescent="0.25"/>
    <row r="246312" customFormat="1" x14ac:dyDescent="0.25"/>
    <row r="246313" customFormat="1" x14ac:dyDescent="0.25"/>
    <row r="246314" customFormat="1" x14ac:dyDescent="0.25"/>
    <row r="246315" customFormat="1" x14ac:dyDescent="0.25"/>
    <row r="246316" customFormat="1" x14ac:dyDescent="0.25"/>
    <row r="246317" customFormat="1" x14ac:dyDescent="0.25"/>
    <row r="246318" customFormat="1" x14ac:dyDescent="0.25"/>
    <row r="246319" customFormat="1" x14ac:dyDescent="0.25"/>
    <row r="246320" customFormat="1" x14ac:dyDescent="0.25"/>
    <row r="246321" customFormat="1" x14ac:dyDescent="0.25"/>
    <row r="246322" customFormat="1" x14ac:dyDescent="0.25"/>
    <row r="246323" customFormat="1" x14ac:dyDescent="0.25"/>
    <row r="246324" customFormat="1" x14ac:dyDescent="0.25"/>
    <row r="246325" customFormat="1" x14ac:dyDescent="0.25"/>
    <row r="246326" customFormat="1" x14ac:dyDescent="0.25"/>
    <row r="246327" customFormat="1" x14ac:dyDescent="0.25"/>
    <row r="246328" customFormat="1" x14ac:dyDescent="0.25"/>
    <row r="246329" customFormat="1" x14ac:dyDescent="0.25"/>
    <row r="246330" customFormat="1" x14ac:dyDescent="0.25"/>
    <row r="246331" customFormat="1" x14ac:dyDescent="0.25"/>
    <row r="246332" customFormat="1" x14ac:dyDescent="0.25"/>
    <row r="246333" customFormat="1" x14ac:dyDescent="0.25"/>
    <row r="246334" customFormat="1" x14ac:dyDescent="0.25"/>
    <row r="246335" customFormat="1" x14ac:dyDescent="0.25"/>
    <row r="246336" customFormat="1" x14ac:dyDescent="0.25"/>
    <row r="246337" customFormat="1" x14ac:dyDescent="0.25"/>
    <row r="246338" customFormat="1" x14ac:dyDescent="0.25"/>
    <row r="246339" customFormat="1" x14ac:dyDescent="0.25"/>
    <row r="246340" customFormat="1" x14ac:dyDescent="0.25"/>
    <row r="246341" customFormat="1" x14ac:dyDescent="0.25"/>
    <row r="246342" customFormat="1" x14ac:dyDescent="0.25"/>
    <row r="246343" customFormat="1" x14ac:dyDescent="0.25"/>
    <row r="246344" customFormat="1" x14ac:dyDescent="0.25"/>
    <row r="246345" customFormat="1" x14ac:dyDescent="0.25"/>
    <row r="246346" customFormat="1" x14ac:dyDescent="0.25"/>
    <row r="246347" customFormat="1" x14ac:dyDescent="0.25"/>
    <row r="246348" customFormat="1" x14ac:dyDescent="0.25"/>
    <row r="246349" customFormat="1" x14ac:dyDescent="0.25"/>
    <row r="246350" customFormat="1" x14ac:dyDescent="0.25"/>
    <row r="246351" customFormat="1" x14ac:dyDescent="0.25"/>
    <row r="246352" customFormat="1" x14ac:dyDescent="0.25"/>
    <row r="246353" customFormat="1" x14ac:dyDescent="0.25"/>
    <row r="246354" customFormat="1" x14ac:dyDescent="0.25"/>
    <row r="246355" customFormat="1" x14ac:dyDescent="0.25"/>
    <row r="246356" customFormat="1" x14ac:dyDescent="0.25"/>
    <row r="246357" customFormat="1" x14ac:dyDescent="0.25"/>
    <row r="246358" customFormat="1" x14ac:dyDescent="0.25"/>
    <row r="246359" customFormat="1" x14ac:dyDescent="0.25"/>
    <row r="246360" customFormat="1" x14ac:dyDescent="0.25"/>
    <row r="246361" customFormat="1" x14ac:dyDescent="0.25"/>
    <row r="246362" customFormat="1" x14ac:dyDescent="0.25"/>
    <row r="246363" customFormat="1" x14ac:dyDescent="0.25"/>
    <row r="246364" customFormat="1" x14ac:dyDescent="0.25"/>
    <row r="246365" customFormat="1" x14ac:dyDescent="0.25"/>
    <row r="246366" customFormat="1" x14ac:dyDescent="0.25"/>
    <row r="246367" customFormat="1" x14ac:dyDescent="0.25"/>
    <row r="246368" customFormat="1" x14ac:dyDescent="0.25"/>
    <row r="246369" customFormat="1" x14ac:dyDescent="0.25"/>
    <row r="246370" customFormat="1" x14ac:dyDescent="0.25"/>
    <row r="246371" customFormat="1" x14ac:dyDescent="0.25"/>
    <row r="246372" customFormat="1" x14ac:dyDescent="0.25"/>
    <row r="246373" customFormat="1" x14ac:dyDescent="0.25"/>
    <row r="246374" customFormat="1" x14ac:dyDescent="0.25"/>
    <row r="246375" customFormat="1" x14ac:dyDescent="0.25"/>
    <row r="246376" customFormat="1" x14ac:dyDescent="0.25"/>
    <row r="246377" customFormat="1" x14ac:dyDescent="0.25"/>
    <row r="246378" customFormat="1" x14ac:dyDescent="0.25"/>
    <row r="246379" customFormat="1" x14ac:dyDescent="0.25"/>
    <row r="246380" customFormat="1" x14ac:dyDescent="0.25"/>
    <row r="246381" customFormat="1" x14ac:dyDescent="0.25"/>
    <row r="246382" customFormat="1" x14ac:dyDescent="0.25"/>
    <row r="246383" customFormat="1" x14ac:dyDescent="0.25"/>
    <row r="246384" customFormat="1" x14ac:dyDescent="0.25"/>
    <row r="246385" customFormat="1" x14ac:dyDescent="0.25"/>
    <row r="246386" customFormat="1" x14ac:dyDescent="0.25"/>
    <row r="246387" customFormat="1" x14ac:dyDescent="0.25"/>
    <row r="246388" customFormat="1" x14ac:dyDescent="0.25"/>
    <row r="246389" customFormat="1" x14ac:dyDescent="0.25"/>
    <row r="246390" customFormat="1" x14ac:dyDescent="0.25"/>
    <row r="246391" customFormat="1" x14ac:dyDescent="0.25"/>
    <row r="246392" customFormat="1" x14ac:dyDescent="0.25"/>
    <row r="246393" customFormat="1" x14ac:dyDescent="0.25"/>
    <row r="246394" customFormat="1" x14ac:dyDescent="0.25"/>
    <row r="246395" customFormat="1" x14ac:dyDescent="0.25"/>
    <row r="246396" customFormat="1" x14ac:dyDescent="0.25"/>
    <row r="246397" customFormat="1" x14ac:dyDescent="0.25"/>
    <row r="246398" customFormat="1" x14ac:dyDescent="0.25"/>
    <row r="246399" customFormat="1" x14ac:dyDescent="0.25"/>
    <row r="246400" customFormat="1" x14ac:dyDescent="0.25"/>
    <row r="246401" customFormat="1" x14ac:dyDescent="0.25"/>
    <row r="246402" customFormat="1" x14ac:dyDescent="0.25"/>
    <row r="246403" customFormat="1" x14ac:dyDescent="0.25"/>
    <row r="246404" customFormat="1" x14ac:dyDescent="0.25"/>
    <row r="246405" customFormat="1" x14ac:dyDescent="0.25"/>
    <row r="246406" customFormat="1" x14ac:dyDescent="0.25"/>
    <row r="246407" customFormat="1" x14ac:dyDescent="0.25"/>
    <row r="246408" customFormat="1" x14ac:dyDescent="0.25"/>
    <row r="246409" customFormat="1" x14ac:dyDescent="0.25"/>
    <row r="246410" customFormat="1" x14ac:dyDescent="0.25"/>
    <row r="246411" customFormat="1" x14ac:dyDescent="0.25"/>
    <row r="246412" customFormat="1" x14ac:dyDescent="0.25"/>
    <row r="246413" customFormat="1" x14ac:dyDescent="0.25"/>
    <row r="246414" customFormat="1" x14ac:dyDescent="0.25"/>
    <row r="246415" customFormat="1" x14ac:dyDescent="0.25"/>
    <row r="246416" customFormat="1" x14ac:dyDescent="0.25"/>
    <row r="246417" customFormat="1" x14ac:dyDescent="0.25"/>
    <row r="246418" customFormat="1" x14ac:dyDescent="0.25"/>
    <row r="246419" customFormat="1" x14ac:dyDescent="0.25"/>
    <row r="246420" customFormat="1" x14ac:dyDescent="0.25"/>
    <row r="246421" customFormat="1" x14ac:dyDescent="0.25"/>
    <row r="246422" customFormat="1" x14ac:dyDescent="0.25"/>
    <row r="246423" customFormat="1" x14ac:dyDescent="0.25"/>
    <row r="246424" customFormat="1" x14ac:dyDescent="0.25"/>
    <row r="246425" customFormat="1" x14ac:dyDescent="0.25"/>
    <row r="246426" customFormat="1" x14ac:dyDescent="0.25"/>
    <row r="246427" customFormat="1" x14ac:dyDescent="0.25"/>
    <row r="246428" customFormat="1" x14ac:dyDescent="0.25"/>
    <row r="246429" customFormat="1" x14ac:dyDescent="0.25"/>
    <row r="246430" customFormat="1" x14ac:dyDescent="0.25"/>
    <row r="246431" customFormat="1" x14ac:dyDescent="0.25"/>
    <row r="246432" customFormat="1" x14ac:dyDescent="0.25"/>
    <row r="246433" customFormat="1" x14ac:dyDescent="0.25"/>
    <row r="246434" customFormat="1" x14ac:dyDescent="0.25"/>
    <row r="246435" customFormat="1" x14ac:dyDescent="0.25"/>
    <row r="246436" customFormat="1" x14ac:dyDescent="0.25"/>
    <row r="246437" customFormat="1" x14ac:dyDescent="0.25"/>
    <row r="246438" customFormat="1" x14ac:dyDescent="0.25"/>
    <row r="246439" customFormat="1" x14ac:dyDescent="0.25"/>
    <row r="246440" customFormat="1" x14ac:dyDescent="0.25"/>
    <row r="246441" customFormat="1" x14ac:dyDescent="0.25"/>
    <row r="246442" customFormat="1" x14ac:dyDescent="0.25"/>
    <row r="246443" customFormat="1" x14ac:dyDescent="0.25"/>
    <row r="246444" customFormat="1" x14ac:dyDescent="0.25"/>
    <row r="246445" customFormat="1" x14ac:dyDescent="0.25"/>
    <row r="246446" customFormat="1" x14ac:dyDescent="0.25"/>
    <row r="246447" customFormat="1" x14ac:dyDescent="0.25"/>
    <row r="246448" customFormat="1" x14ac:dyDescent="0.25"/>
    <row r="246449" customFormat="1" x14ac:dyDescent="0.25"/>
    <row r="246450" customFormat="1" x14ac:dyDescent="0.25"/>
    <row r="246451" customFormat="1" x14ac:dyDescent="0.25"/>
    <row r="246452" customFormat="1" x14ac:dyDescent="0.25"/>
    <row r="246453" customFormat="1" x14ac:dyDescent="0.25"/>
    <row r="246454" customFormat="1" x14ac:dyDescent="0.25"/>
    <row r="246455" customFormat="1" x14ac:dyDescent="0.25"/>
    <row r="246456" customFormat="1" x14ac:dyDescent="0.25"/>
    <row r="246457" customFormat="1" x14ac:dyDescent="0.25"/>
    <row r="246458" customFormat="1" x14ac:dyDescent="0.25"/>
    <row r="246459" customFormat="1" x14ac:dyDescent="0.25"/>
    <row r="246460" customFormat="1" x14ac:dyDescent="0.25"/>
    <row r="246461" customFormat="1" x14ac:dyDescent="0.25"/>
    <row r="246462" customFormat="1" x14ac:dyDescent="0.25"/>
    <row r="246463" customFormat="1" x14ac:dyDescent="0.25"/>
    <row r="246464" customFormat="1" x14ac:dyDescent="0.25"/>
    <row r="246465" customFormat="1" x14ac:dyDescent="0.25"/>
    <row r="246466" customFormat="1" x14ac:dyDescent="0.25"/>
    <row r="246467" customFormat="1" x14ac:dyDescent="0.25"/>
    <row r="246468" customFormat="1" x14ac:dyDescent="0.25"/>
    <row r="246469" customFormat="1" x14ac:dyDescent="0.25"/>
    <row r="246470" customFormat="1" x14ac:dyDescent="0.25"/>
    <row r="246471" customFormat="1" x14ac:dyDescent="0.25"/>
    <row r="246472" customFormat="1" x14ac:dyDescent="0.25"/>
    <row r="246473" customFormat="1" x14ac:dyDescent="0.25"/>
    <row r="246474" customFormat="1" x14ac:dyDescent="0.25"/>
    <row r="246475" customFormat="1" x14ac:dyDescent="0.25"/>
    <row r="246476" customFormat="1" x14ac:dyDescent="0.25"/>
    <row r="246477" customFormat="1" x14ac:dyDescent="0.25"/>
    <row r="246478" customFormat="1" x14ac:dyDescent="0.25"/>
    <row r="246479" customFormat="1" x14ac:dyDescent="0.25"/>
    <row r="246480" customFormat="1" x14ac:dyDescent="0.25"/>
    <row r="246481" customFormat="1" x14ac:dyDescent="0.25"/>
    <row r="246482" customFormat="1" x14ac:dyDescent="0.25"/>
    <row r="246483" customFormat="1" x14ac:dyDescent="0.25"/>
    <row r="246484" customFormat="1" x14ac:dyDescent="0.25"/>
    <row r="246485" customFormat="1" x14ac:dyDescent="0.25"/>
    <row r="246486" customFormat="1" x14ac:dyDescent="0.25"/>
    <row r="246487" customFormat="1" x14ac:dyDescent="0.25"/>
    <row r="246488" customFormat="1" x14ac:dyDescent="0.25"/>
    <row r="246489" customFormat="1" x14ac:dyDescent="0.25"/>
    <row r="246490" customFormat="1" x14ac:dyDescent="0.25"/>
    <row r="246491" customFormat="1" x14ac:dyDescent="0.25"/>
    <row r="246492" customFormat="1" x14ac:dyDescent="0.25"/>
    <row r="246493" customFormat="1" x14ac:dyDescent="0.25"/>
    <row r="246494" customFormat="1" x14ac:dyDescent="0.25"/>
    <row r="246495" customFormat="1" x14ac:dyDescent="0.25"/>
    <row r="246496" customFormat="1" x14ac:dyDescent="0.25"/>
    <row r="246497" customFormat="1" x14ac:dyDescent="0.25"/>
    <row r="246498" customFormat="1" x14ac:dyDescent="0.25"/>
    <row r="246499" customFormat="1" x14ac:dyDescent="0.25"/>
    <row r="246500" customFormat="1" x14ac:dyDescent="0.25"/>
    <row r="246501" customFormat="1" x14ac:dyDescent="0.25"/>
    <row r="246502" customFormat="1" x14ac:dyDescent="0.25"/>
    <row r="246503" customFormat="1" x14ac:dyDescent="0.25"/>
    <row r="246504" customFormat="1" x14ac:dyDescent="0.25"/>
    <row r="246505" customFormat="1" x14ac:dyDescent="0.25"/>
    <row r="246506" customFormat="1" x14ac:dyDescent="0.25"/>
    <row r="246507" customFormat="1" x14ac:dyDescent="0.25"/>
    <row r="246508" customFormat="1" x14ac:dyDescent="0.25"/>
    <row r="246509" customFormat="1" x14ac:dyDescent="0.25"/>
    <row r="246510" customFormat="1" x14ac:dyDescent="0.25"/>
    <row r="246511" customFormat="1" x14ac:dyDescent="0.25"/>
    <row r="246512" customFormat="1" x14ac:dyDescent="0.25"/>
    <row r="246513" customFormat="1" x14ac:dyDescent="0.25"/>
    <row r="246514" customFormat="1" x14ac:dyDescent="0.25"/>
    <row r="246515" customFormat="1" x14ac:dyDescent="0.25"/>
    <row r="246516" customFormat="1" x14ac:dyDescent="0.25"/>
    <row r="246517" customFormat="1" x14ac:dyDescent="0.25"/>
    <row r="246518" customFormat="1" x14ac:dyDescent="0.25"/>
    <row r="246519" customFormat="1" x14ac:dyDescent="0.25"/>
    <row r="246520" customFormat="1" x14ac:dyDescent="0.25"/>
    <row r="246521" customFormat="1" x14ac:dyDescent="0.25"/>
    <row r="246522" customFormat="1" x14ac:dyDescent="0.25"/>
    <row r="246523" customFormat="1" x14ac:dyDescent="0.25"/>
    <row r="246524" customFormat="1" x14ac:dyDescent="0.25"/>
    <row r="246525" customFormat="1" x14ac:dyDescent="0.25"/>
    <row r="246526" customFormat="1" x14ac:dyDescent="0.25"/>
    <row r="246527" customFormat="1" x14ac:dyDescent="0.25"/>
    <row r="246528" customFormat="1" x14ac:dyDescent="0.25"/>
    <row r="246529" customFormat="1" x14ac:dyDescent="0.25"/>
    <row r="246530" customFormat="1" x14ac:dyDescent="0.25"/>
    <row r="246531" customFormat="1" x14ac:dyDescent="0.25"/>
    <row r="246532" customFormat="1" x14ac:dyDescent="0.25"/>
    <row r="246533" customFormat="1" x14ac:dyDescent="0.25"/>
    <row r="246534" customFormat="1" x14ac:dyDescent="0.25"/>
    <row r="246535" customFormat="1" x14ac:dyDescent="0.25"/>
    <row r="246536" customFormat="1" x14ac:dyDescent="0.25"/>
    <row r="246537" customFormat="1" x14ac:dyDescent="0.25"/>
    <row r="246538" customFormat="1" x14ac:dyDescent="0.25"/>
    <row r="246539" customFormat="1" x14ac:dyDescent="0.25"/>
    <row r="246540" customFormat="1" x14ac:dyDescent="0.25"/>
    <row r="246541" customFormat="1" x14ac:dyDescent="0.25"/>
    <row r="246542" customFormat="1" x14ac:dyDescent="0.25"/>
    <row r="246543" customFormat="1" x14ac:dyDescent="0.25"/>
    <row r="246544" customFormat="1" x14ac:dyDescent="0.25"/>
    <row r="246545" customFormat="1" x14ac:dyDescent="0.25"/>
    <row r="246546" customFormat="1" x14ac:dyDescent="0.25"/>
    <row r="246547" customFormat="1" x14ac:dyDescent="0.25"/>
    <row r="246548" customFormat="1" x14ac:dyDescent="0.25"/>
    <row r="246549" customFormat="1" x14ac:dyDescent="0.25"/>
    <row r="246550" customFormat="1" x14ac:dyDescent="0.25"/>
    <row r="246551" customFormat="1" x14ac:dyDescent="0.25"/>
    <row r="246552" customFormat="1" x14ac:dyDescent="0.25"/>
    <row r="246553" customFormat="1" x14ac:dyDescent="0.25"/>
    <row r="246554" customFormat="1" x14ac:dyDescent="0.25"/>
    <row r="246555" customFormat="1" x14ac:dyDescent="0.25"/>
    <row r="246556" customFormat="1" x14ac:dyDescent="0.25"/>
    <row r="246557" customFormat="1" x14ac:dyDescent="0.25"/>
    <row r="246558" customFormat="1" x14ac:dyDescent="0.25"/>
    <row r="246559" customFormat="1" x14ac:dyDescent="0.25"/>
    <row r="246560" customFormat="1" x14ac:dyDescent="0.25"/>
    <row r="246561" customFormat="1" x14ac:dyDescent="0.25"/>
    <row r="246562" customFormat="1" x14ac:dyDescent="0.25"/>
    <row r="246563" customFormat="1" x14ac:dyDescent="0.25"/>
    <row r="246564" customFormat="1" x14ac:dyDescent="0.25"/>
    <row r="246565" customFormat="1" x14ac:dyDescent="0.25"/>
    <row r="246566" customFormat="1" x14ac:dyDescent="0.25"/>
    <row r="246567" customFormat="1" x14ac:dyDescent="0.25"/>
    <row r="246568" customFormat="1" x14ac:dyDescent="0.25"/>
    <row r="246569" customFormat="1" x14ac:dyDescent="0.25"/>
    <row r="246570" customFormat="1" x14ac:dyDescent="0.25"/>
    <row r="246571" customFormat="1" x14ac:dyDescent="0.25"/>
    <row r="246572" customFormat="1" x14ac:dyDescent="0.25"/>
    <row r="246573" customFormat="1" x14ac:dyDescent="0.25"/>
    <row r="246574" customFormat="1" x14ac:dyDescent="0.25"/>
    <row r="246575" customFormat="1" x14ac:dyDescent="0.25"/>
    <row r="246576" customFormat="1" x14ac:dyDescent="0.25"/>
    <row r="246577" customFormat="1" x14ac:dyDescent="0.25"/>
    <row r="246578" customFormat="1" x14ac:dyDescent="0.25"/>
    <row r="246579" customFormat="1" x14ac:dyDescent="0.25"/>
    <row r="246580" customFormat="1" x14ac:dyDescent="0.25"/>
    <row r="246581" customFormat="1" x14ac:dyDescent="0.25"/>
    <row r="246582" customFormat="1" x14ac:dyDescent="0.25"/>
    <row r="246583" customFormat="1" x14ac:dyDescent="0.25"/>
    <row r="246584" customFormat="1" x14ac:dyDescent="0.25"/>
    <row r="246585" customFormat="1" x14ac:dyDescent="0.25"/>
    <row r="246586" customFormat="1" x14ac:dyDescent="0.25"/>
    <row r="246587" customFormat="1" x14ac:dyDescent="0.25"/>
    <row r="246588" customFormat="1" x14ac:dyDescent="0.25"/>
    <row r="246589" customFormat="1" x14ac:dyDescent="0.25"/>
    <row r="246590" customFormat="1" x14ac:dyDescent="0.25"/>
    <row r="246591" customFormat="1" x14ac:dyDescent="0.25"/>
    <row r="246592" customFormat="1" x14ac:dyDescent="0.25"/>
    <row r="246593" customFormat="1" x14ac:dyDescent="0.25"/>
    <row r="246594" customFormat="1" x14ac:dyDescent="0.25"/>
    <row r="246595" customFormat="1" x14ac:dyDescent="0.25"/>
    <row r="246596" customFormat="1" x14ac:dyDescent="0.25"/>
    <row r="246597" customFormat="1" x14ac:dyDescent="0.25"/>
    <row r="246598" customFormat="1" x14ac:dyDescent="0.25"/>
    <row r="246599" customFormat="1" x14ac:dyDescent="0.25"/>
    <row r="246600" customFormat="1" x14ac:dyDescent="0.25"/>
    <row r="246601" customFormat="1" x14ac:dyDescent="0.25"/>
    <row r="246602" customFormat="1" x14ac:dyDescent="0.25"/>
    <row r="246603" customFormat="1" x14ac:dyDescent="0.25"/>
    <row r="246604" customFormat="1" x14ac:dyDescent="0.25"/>
    <row r="246605" customFormat="1" x14ac:dyDescent="0.25"/>
    <row r="246606" customFormat="1" x14ac:dyDescent="0.25"/>
    <row r="246607" customFormat="1" x14ac:dyDescent="0.25"/>
    <row r="246608" customFormat="1" x14ac:dyDescent="0.25"/>
    <row r="246609" customFormat="1" x14ac:dyDescent="0.25"/>
    <row r="246610" customFormat="1" x14ac:dyDescent="0.25"/>
    <row r="246611" customFormat="1" x14ac:dyDescent="0.25"/>
    <row r="246612" customFormat="1" x14ac:dyDescent="0.25"/>
    <row r="246613" customFormat="1" x14ac:dyDescent="0.25"/>
    <row r="246614" customFormat="1" x14ac:dyDescent="0.25"/>
    <row r="246615" customFormat="1" x14ac:dyDescent="0.25"/>
    <row r="246616" customFormat="1" x14ac:dyDescent="0.25"/>
    <row r="246617" customFormat="1" x14ac:dyDescent="0.25"/>
    <row r="246618" customFormat="1" x14ac:dyDescent="0.25"/>
    <row r="246619" customFormat="1" x14ac:dyDescent="0.25"/>
    <row r="246620" customFormat="1" x14ac:dyDescent="0.25"/>
    <row r="246621" customFormat="1" x14ac:dyDescent="0.25"/>
    <row r="246622" customFormat="1" x14ac:dyDescent="0.25"/>
    <row r="246623" customFormat="1" x14ac:dyDescent="0.25"/>
    <row r="246624" customFormat="1" x14ac:dyDescent="0.25"/>
    <row r="246625" customFormat="1" x14ac:dyDescent="0.25"/>
    <row r="246626" customFormat="1" x14ac:dyDescent="0.25"/>
    <row r="246627" customFormat="1" x14ac:dyDescent="0.25"/>
    <row r="246628" customFormat="1" x14ac:dyDescent="0.25"/>
    <row r="246629" customFormat="1" x14ac:dyDescent="0.25"/>
    <row r="246630" customFormat="1" x14ac:dyDescent="0.25"/>
    <row r="246631" customFormat="1" x14ac:dyDescent="0.25"/>
    <row r="246632" customFormat="1" x14ac:dyDescent="0.25"/>
    <row r="246633" customFormat="1" x14ac:dyDescent="0.25"/>
    <row r="246634" customFormat="1" x14ac:dyDescent="0.25"/>
    <row r="246635" customFormat="1" x14ac:dyDescent="0.25"/>
    <row r="246636" customFormat="1" x14ac:dyDescent="0.25"/>
    <row r="246637" customFormat="1" x14ac:dyDescent="0.25"/>
    <row r="246638" customFormat="1" x14ac:dyDescent="0.25"/>
    <row r="246639" customFormat="1" x14ac:dyDescent="0.25"/>
    <row r="246640" customFormat="1" x14ac:dyDescent="0.25"/>
    <row r="246641" customFormat="1" x14ac:dyDescent="0.25"/>
    <row r="246642" customFormat="1" x14ac:dyDescent="0.25"/>
    <row r="246643" customFormat="1" x14ac:dyDescent="0.25"/>
    <row r="246644" customFormat="1" x14ac:dyDescent="0.25"/>
    <row r="246645" customFormat="1" x14ac:dyDescent="0.25"/>
    <row r="246646" customFormat="1" x14ac:dyDescent="0.25"/>
    <row r="246647" customFormat="1" x14ac:dyDescent="0.25"/>
    <row r="246648" customFormat="1" x14ac:dyDescent="0.25"/>
    <row r="246649" customFormat="1" x14ac:dyDescent="0.25"/>
    <row r="246650" customFormat="1" x14ac:dyDescent="0.25"/>
    <row r="246651" customFormat="1" x14ac:dyDescent="0.25"/>
    <row r="246652" customFormat="1" x14ac:dyDescent="0.25"/>
    <row r="246653" customFormat="1" x14ac:dyDescent="0.25"/>
    <row r="246654" customFormat="1" x14ac:dyDescent="0.25"/>
    <row r="246655" customFormat="1" x14ac:dyDescent="0.25"/>
    <row r="246656" customFormat="1" x14ac:dyDescent="0.25"/>
    <row r="246657" customFormat="1" x14ac:dyDescent="0.25"/>
    <row r="246658" customFormat="1" x14ac:dyDescent="0.25"/>
    <row r="246659" customFormat="1" x14ac:dyDescent="0.25"/>
    <row r="246660" customFormat="1" x14ac:dyDescent="0.25"/>
    <row r="246661" customFormat="1" x14ac:dyDescent="0.25"/>
    <row r="246662" customFormat="1" x14ac:dyDescent="0.25"/>
    <row r="246663" customFormat="1" x14ac:dyDescent="0.25"/>
    <row r="246664" customFormat="1" x14ac:dyDescent="0.25"/>
    <row r="246665" customFormat="1" x14ac:dyDescent="0.25"/>
    <row r="246666" customFormat="1" x14ac:dyDescent="0.25"/>
    <row r="246667" customFormat="1" x14ac:dyDescent="0.25"/>
    <row r="246668" customFormat="1" x14ac:dyDescent="0.25"/>
    <row r="246669" customFormat="1" x14ac:dyDescent="0.25"/>
    <row r="246670" customFormat="1" x14ac:dyDescent="0.25"/>
    <row r="246671" customFormat="1" x14ac:dyDescent="0.25"/>
    <row r="246672" customFormat="1" x14ac:dyDescent="0.25"/>
    <row r="246673" customFormat="1" x14ac:dyDescent="0.25"/>
    <row r="246674" customFormat="1" x14ac:dyDescent="0.25"/>
    <row r="246675" customFormat="1" x14ac:dyDescent="0.25"/>
    <row r="246676" customFormat="1" x14ac:dyDescent="0.25"/>
    <row r="246677" customFormat="1" x14ac:dyDescent="0.25"/>
    <row r="246678" customFormat="1" x14ac:dyDescent="0.25"/>
    <row r="246679" customFormat="1" x14ac:dyDescent="0.25"/>
    <row r="246680" customFormat="1" x14ac:dyDescent="0.25"/>
    <row r="246681" customFormat="1" x14ac:dyDescent="0.25"/>
    <row r="246682" customFormat="1" x14ac:dyDescent="0.25"/>
    <row r="246683" customFormat="1" x14ac:dyDescent="0.25"/>
    <row r="246684" customFormat="1" x14ac:dyDescent="0.25"/>
    <row r="246685" customFormat="1" x14ac:dyDescent="0.25"/>
    <row r="246686" customFormat="1" x14ac:dyDescent="0.25"/>
    <row r="246687" customFormat="1" x14ac:dyDescent="0.25"/>
    <row r="246688" customFormat="1" x14ac:dyDescent="0.25"/>
    <row r="246689" customFormat="1" x14ac:dyDescent="0.25"/>
    <row r="246690" customFormat="1" x14ac:dyDescent="0.25"/>
    <row r="246691" customFormat="1" x14ac:dyDescent="0.25"/>
    <row r="246692" customFormat="1" x14ac:dyDescent="0.25"/>
    <row r="246693" customFormat="1" x14ac:dyDescent="0.25"/>
    <row r="246694" customFormat="1" x14ac:dyDescent="0.25"/>
    <row r="246695" customFormat="1" x14ac:dyDescent="0.25"/>
    <row r="246696" customFormat="1" x14ac:dyDescent="0.25"/>
    <row r="246697" customFormat="1" x14ac:dyDescent="0.25"/>
    <row r="246698" customFormat="1" x14ac:dyDescent="0.25"/>
    <row r="246699" customFormat="1" x14ac:dyDescent="0.25"/>
    <row r="246700" customFormat="1" x14ac:dyDescent="0.25"/>
    <row r="246701" customFormat="1" x14ac:dyDescent="0.25"/>
    <row r="246702" customFormat="1" x14ac:dyDescent="0.25"/>
    <row r="246703" customFormat="1" x14ac:dyDescent="0.25"/>
    <row r="246704" customFormat="1" x14ac:dyDescent="0.25"/>
    <row r="246705" customFormat="1" x14ac:dyDescent="0.25"/>
    <row r="246706" customFormat="1" x14ac:dyDescent="0.25"/>
    <row r="246707" customFormat="1" x14ac:dyDescent="0.25"/>
    <row r="246708" customFormat="1" x14ac:dyDescent="0.25"/>
    <row r="246709" customFormat="1" x14ac:dyDescent="0.25"/>
    <row r="246710" customFormat="1" x14ac:dyDescent="0.25"/>
    <row r="246711" customFormat="1" x14ac:dyDescent="0.25"/>
    <row r="246712" customFormat="1" x14ac:dyDescent="0.25"/>
    <row r="246713" customFormat="1" x14ac:dyDescent="0.25"/>
    <row r="246714" customFormat="1" x14ac:dyDescent="0.25"/>
    <row r="246715" customFormat="1" x14ac:dyDescent="0.25"/>
    <row r="246716" customFormat="1" x14ac:dyDescent="0.25"/>
    <row r="246717" customFormat="1" x14ac:dyDescent="0.25"/>
    <row r="246718" customFormat="1" x14ac:dyDescent="0.25"/>
    <row r="246719" customFormat="1" x14ac:dyDescent="0.25"/>
    <row r="246720" customFormat="1" x14ac:dyDescent="0.25"/>
    <row r="246721" customFormat="1" x14ac:dyDescent="0.25"/>
    <row r="246722" customFormat="1" x14ac:dyDescent="0.25"/>
    <row r="246723" customFormat="1" x14ac:dyDescent="0.25"/>
    <row r="246724" customFormat="1" x14ac:dyDescent="0.25"/>
    <row r="246725" customFormat="1" x14ac:dyDescent="0.25"/>
    <row r="246726" customFormat="1" x14ac:dyDescent="0.25"/>
    <row r="246727" customFormat="1" x14ac:dyDescent="0.25"/>
    <row r="246728" customFormat="1" x14ac:dyDescent="0.25"/>
    <row r="246729" customFormat="1" x14ac:dyDescent="0.25"/>
    <row r="246730" customFormat="1" x14ac:dyDescent="0.25"/>
    <row r="246731" customFormat="1" x14ac:dyDescent="0.25"/>
    <row r="246732" customFormat="1" x14ac:dyDescent="0.25"/>
    <row r="246733" customFormat="1" x14ac:dyDescent="0.25"/>
    <row r="246734" customFormat="1" x14ac:dyDescent="0.25"/>
    <row r="246735" customFormat="1" x14ac:dyDescent="0.25"/>
    <row r="246736" customFormat="1" x14ac:dyDescent="0.25"/>
    <row r="246737" customFormat="1" x14ac:dyDescent="0.25"/>
    <row r="246738" customFormat="1" x14ac:dyDescent="0.25"/>
    <row r="246739" customFormat="1" x14ac:dyDescent="0.25"/>
    <row r="246740" customFormat="1" x14ac:dyDescent="0.25"/>
    <row r="246741" customFormat="1" x14ac:dyDescent="0.25"/>
    <row r="246742" customFormat="1" x14ac:dyDescent="0.25"/>
    <row r="246743" customFormat="1" x14ac:dyDescent="0.25"/>
    <row r="246744" customFormat="1" x14ac:dyDescent="0.25"/>
    <row r="246745" customFormat="1" x14ac:dyDescent="0.25"/>
    <row r="246746" customFormat="1" x14ac:dyDescent="0.25"/>
    <row r="246747" customFormat="1" x14ac:dyDescent="0.25"/>
    <row r="246748" customFormat="1" x14ac:dyDescent="0.25"/>
    <row r="246749" customFormat="1" x14ac:dyDescent="0.25"/>
    <row r="246750" customFormat="1" x14ac:dyDescent="0.25"/>
    <row r="246751" customFormat="1" x14ac:dyDescent="0.25"/>
    <row r="246752" customFormat="1" x14ac:dyDescent="0.25"/>
    <row r="246753" customFormat="1" x14ac:dyDescent="0.25"/>
    <row r="246754" customFormat="1" x14ac:dyDescent="0.25"/>
    <row r="246755" customFormat="1" x14ac:dyDescent="0.25"/>
    <row r="246756" customFormat="1" x14ac:dyDescent="0.25"/>
    <row r="246757" customFormat="1" x14ac:dyDescent="0.25"/>
    <row r="246758" customFormat="1" x14ac:dyDescent="0.25"/>
    <row r="246759" customFormat="1" x14ac:dyDescent="0.25"/>
    <row r="246760" customFormat="1" x14ac:dyDescent="0.25"/>
    <row r="246761" customFormat="1" x14ac:dyDescent="0.25"/>
    <row r="246762" customFormat="1" x14ac:dyDescent="0.25"/>
    <row r="246763" customFormat="1" x14ac:dyDescent="0.25"/>
    <row r="246764" customFormat="1" x14ac:dyDescent="0.25"/>
    <row r="246765" customFormat="1" x14ac:dyDescent="0.25"/>
    <row r="246766" customFormat="1" x14ac:dyDescent="0.25"/>
    <row r="246767" customFormat="1" x14ac:dyDescent="0.25"/>
    <row r="246768" customFormat="1" x14ac:dyDescent="0.25"/>
    <row r="246769" customFormat="1" x14ac:dyDescent="0.25"/>
    <row r="246770" customFormat="1" x14ac:dyDescent="0.25"/>
    <row r="246771" customFormat="1" x14ac:dyDescent="0.25"/>
    <row r="246772" customFormat="1" x14ac:dyDescent="0.25"/>
    <row r="246773" customFormat="1" x14ac:dyDescent="0.25"/>
    <row r="246774" customFormat="1" x14ac:dyDescent="0.25"/>
    <row r="246775" customFormat="1" x14ac:dyDescent="0.25"/>
    <row r="246776" customFormat="1" x14ac:dyDescent="0.25"/>
    <row r="246777" customFormat="1" x14ac:dyDescent="0.25"/>
    <row r="246778" customFormat="1" x14ac:dyDescent="0.25"/>
    <row r="246779" customFormat="1" x14ac:dyDescent="0.25"/>
    <row r="246780" customFormat="1" x14ac:dyDescent="0.25"/>
    <row r="246781" customFormat="1" x14ac:dyDescent="0.25"/>
    <row r="246782" customFormat="1" x14ac:dyDescent="0.25"/>
    <row r="246783" customFormat="1" x14ac:dyDescent="0.25"/>
    <row r="246784" customFormat="1" x14ac:dyDescent="0.25"/>
    <row r="246785" customFormat="1" x14ac:dyDescent="0.25"/>
    <row r="246786" customFormat="1" x14ac:dyDescent="0.25"/>
    <row r="246787" customFormat="1" x14ac:dyDescent="0.25"/>
    <row r="246788" customFormat="1" x14ac:dyDescent="0.25"/>
    <row r="246789" customFormat="1" x14ac:dyDescent="0.25"/>
    <row r="246790" customFormat="1" x14ac:dyDescent="0.25"/>
    <row r="246791" customFormat="1" x14ac:dyDescent="0.25"/>
    <row r="246792" customFormat="1" x14ac:dyDescent="0.25"/>
    <row r="246793" customFormat="1" x14ac:dyDescent="0.25"/>
    <row r="246794" customFormat="1" x14ac:dyDescent="0.25"/>
    <row r="246795" customFormat="1" x14ac:dyDescent="0.25"/>
    <row r="246796" customFormat="1" x14ac:dyDescent="0.25"/>
    <row r="246797" customFormat="1" x14ac:dyDescent="0.25"/>
    <row r="246798" customFormat="1" x14ac:dyDescent="0.25"/>
    <row r="246799" customFormat="1" x14ac:dyDescent="0.25"/>
    <row r="246800" customFormat="1" x14ac:dyDescent="0.25"/>
    <row r="246801" customFormat="1" x14ac:dyDescent="0.25"/>
    <row r="246802" customFormat="1" x14ac:dyDescent="0.25"/>
    <row r="246803" customFormat="1" x14ac:dyDescent="0.25"/>
    <row r="246804" customFormat="1" x14ac:dyDescent="0.25"/>
    <row r="246805" customFormat="1" x14ac:dyDescent="0.25"/>
    <row r="246806" customFormat="1" x14ac:dyDescent="0.25"/>
    <row r="246807" customFormat="1" x14ac:dyDescent="0.25"/>
    <row r="246808" customFormat="1" x14ac:dyDescent="0.25"/>
    <row r="246809" customFormat="1" x14ac:dyDescent="0.25"/>
    <row r="246810" customFormat="1" x14ac:dyDescent="0.25"/>
    <row r="246811" customFormat="1" x14ac:dyDescent="0.25"/>
    <row r="246812" customFormat="1" x14ac:dyDescent="0.25"/>
    <row r="246813" customFormat="1" x14ac:dyDescent="0.25"/>
    <row r="246814" customFormat="1" x14ac:dyDescent="0.25"/>
    <row r="246815" customFormat="1" x14ac:dyDescent="0.25"/>
    <row r="246816" customFormat="1" x14ac:dyDescent="0.25"/>
    <row r="246817" customFormat="1" x14ac:dyDescent="0.25"/>
    <row r="246818" customFormat="1" x14ac:dyDescent="0.25"/>
    <row r="246819" customFormat="1" x14ac:dyDescent="0.25"/>
    <row r="246820" customFormat="1" x14ac:dyDescent="0.25"/>
    <row r="246821" customFormat="1" x14ac:dyDescent="0.25"/>
    <row r="246822" customFormat="1" x14ac:dyDescent="0.25"/>
    <row r="246823" customFormat="1" x14ac:dyDescent="0.25"/>
    <row r="246824" customFormat="1" x14ac:dyDescent="0.25"/>
    <row r="246825" customFormat="1" x14ac:dyDescent="0.25"/>
    <row r="246826" customFormat="1" x14ac:dyDescent="0.25"/>
    <row r="246827" customFormat="1" x14ac:dyDescent="0.25"/>
    <row r="246828" customFormat="1" x14ac:dyDescent="0.25"/>
    <row r="246829" customFormat="1" x14ac:dyDescent="0.25"/>
    <row r="246830" customFormat="1" x14ac:dyDescent="0.25"/>
    <row r="246831" customFormat="1" x14ac:dyDescent="0.25"/>
    <row r="246832" customFormat="1" x14ac:dyDescent="0.25"/>
    <row r="246833" customFormat="1" x14ac:dyDescent="0.25"/>
    <row r="246834" customFormat="1" x14ac:dyDescent="0.25"/>
    <row r="246835" customFormat="1" x14ac:dyDescent="0.25"/>
    <row r="246836" customFormat="1" x14ac:dyDescent="0.25"/>
    <row r="246837" customFormat="1" x14ac:dyDescent="0.25"/>
    <row r="246838" customFormat="1" x14ac:dyDescent="0.25"/>
    <row r="246839" customFormat="1" x14ac:dyDescent="0.25"/>
    <row r="246840" customFormat="1" x14ac:dyDescent="0.25"/>
    <row r="246841" customFormat="1" x14ac:dyDescent="0.25"/>
    <row r="246842" customFormat="1" x14ac:dyDescent="0.25"/>
    <row r="246843" customFormat="1" x14ac:dyDescent="0.25"/>
    <row r="246844" customFormat="1" x14ac:dyDescent="0.25"/>
    <row r="246845" customFormat="1" x14ac:dyDescent="0.25"/>
    <row r="246846" customFormat="1" x14ac:dyDescent="0.25"/>
    <row r="246847" customFormat="1" x14ac:dyDescent="0.25"/>
    <row r="246848" customFormat="1" x14ac:dyDescent="0.25"/>
    <row r="246849" customFormat="1" x14ac:dyDescent="0.25"/>
    <row r="246850" customFormat="1" x14ac:dyDescent="0.25"/>
    <row r="246851" customFormat="1" x14ac:dyDescent="0.25"/>
    <row r="246852" customFormat="1" x14ac:dyDescent="0.25"/>
    <row r="246853" customFormat="1" x14ac:dyDescent="0.25"/>
    <row r="246854" customFormat="1" x14ac:dyDescent="0.25"/>
    <row r="246855" customFormat="1" x14ac:dyDescent="0.25"/>
    <row r="246856" customFormat="1" x14ac:dyDescent="0.25"/>
    <row r="246857" customFormat="1" x14ac:dyDescent="0.25"/>
    <row r="246858" customFormat="1" x14ac:dyDescent="0.25"/>
    <row r="246859" customFormat="1" x14ac:dyDescent="0.25"/>
    <row r="246860" customFormat="1" x14ac:dyDescent="0.25"/>
    <row r="246861" customFormat="1" x14ac:dyDescent="0.25"/>
    <row r="246862" customFormat="1" x14ac:dyDescent="0.25"/>
    <row r="246863" customFormat="1" x14ac:dyDescent="0.25"/>
    <row r="246864" customFormat="1" x14ac:dyDescent="0.25"/>
    <row r="246865" customFormat="1" x14ac:dyDescent="0.25"/>
    <row r="246866" customFormat="1" x14ac:dyDescent="0.25"/>
    <row r="246867" customFormat="1" x14ac:dyDescent="0.25"/>
    <row r="246868" customFormat="1" x14ac:dyDescent="0.25"/>
    <row r="246869" customFormat="1" x14ac:dyDescent="0.25"/>
    <row r="246870" customFormat="1" x14ac:dyDescent="0.25"/>
    <row r="246871" customFormat="1" x14ac:dyDescent="0.25"/>
    <row r="246872" customFormat="1" x14ac:dyDescent="0.25"/>
    <row r="246873" customFormat="1" x14ac:dyDescent="0.25"/>
    <row r="246874" customFormat="1" x14ac:dyDescent="0.25"/>
    <row r="246875" customFormat="1" x14ac:dyDescent="0.25"/>
    <row r="246876" customFormat="1" x14ac:dyDescent="0.25"/>
    <row r="246877" customFormat="1" x14ac:dyDescent="0.25"/>
    <row r="246878" customFormat="1" x14ac:dyDescent="0.25"/>
    <row r="246879" customFormat="1" x14ac:dyDescent="0.25"/>
    <row r="246880" customFormat="1" x14ac:dyDescent="0.25"/>
    <row r="246881" customFormat="1" x14ac:dyDescent="0.25"/>
    <row r="246882" customFormat="1" x14ac:dyDescent="0.25"/>
    <row r="246883" customFormat="1" x14ac:dyDescent="0.25"/>
    <row r="246884" customFormat="1" x14ac:dyDescent="0.25"/>
    <row r="246885" customFormat="1" x14ac:dyDescent="0.25"/>
    <row r="246886" customFormat="1" x14ac:dyDescent="0.25"/>
    <row r="246887" customFormat="1" x14ac:dyDescent="0.25"/>
    <row r="246888" customFormat="1" x14ac:dyDescent="0.25"/>
    <row r="246889" customFormat="1" x14ac:dyDescent="0.25"/>
    <row r="246890" customFormat="1" x14ac:dyDescent="0.25"/>
    <row r="246891" customFormat="1" x14ac:dyDescent="0.25"/>
    <row r="246892" customFormat="1" x14ac:dyDescent="0.25"/>
    <row r="246893" customFormat="1" x14ac:dyDescent="0.25"/>
    <row r="246894" customFormat="1" x14ac:dyDescent="0.25"/>
    <row r="246895" customFormat="1" x14ac:dyDescent="0.25"/>
    <row r="246896" customFormat="1" x14ac:dyDescent="0.25"/>
    <row r="246897" customFormat="1" x14ac:dyDescent="0.25"/>
    <row r="246898" customFormat="1" x14ac:dyDescent="0.25"/>
    <row r="246899" customFormat="1" x14ac:dyDescent="0.25"/>
    <row r="246900" customFormat="1" x14ac:dyDescent="0.25"/>
    <row r="246901" customFormat="1" x14ac:dyDescent="0.25"/>
    <row r="246902" customFormat="1" x14ac:dyDescent="0.25"/>
    <row r="246903" customFormat="1" x14ac:dyDescent="0.25"/>
    <row r="246904" customFormat="1" x14ac:dyDescent="0.25"/>
    <row r="246905" customFormat="1" x14ac:dyDescent="0.25"/>
    <row r="246906" customFormat="1" x14ac:dyDescent="0.25"/>
    <row r="246907" customFormat="1" x14ac:dyDescent="0.25"/>
    <row r="246908" customFormat="1" x14ac:dyDescent="0.25"/>
    <row r="246909" customFormat="1" x14ac:dyDescent="0.25"/>
    <row r="246910" customFormat="1" x14ac:dyDescent="0.25"/>
    <row r="246911" customFormat="1" x14ac:dyDescent="0.25"/>
    <row r="246912" customFormat="1" x14ac:dyDescent="0.25"/>
    <row r="246913" customFormat="1" x14ac:dyDescent="0.25"/>
    <row r="246914" customFormat="1" x14ac:dyDescent="0.25"/>
    <row r="246915" customFormat="1" x14ac:dyDescent="0.25"/>
    <row r="246916" customFormat="1" x14ac:dyDescent="0.25"/>
    <row r="246917" customFormat="1" x14ac:dyDescent="0.25"/>
    <row r="246918" customFormat="1" x14ac:dyDescent="0.25"/>
    <row r="246919" customFormat="1" x14ac:dyDescent="0.25"/>
    <row r="246920" customFormat="1" x14ac:dyDescent="0.25"/>
    <row r="246921" customFormat="1" x14ac:dyDescent="0.25"/>
    <row r="246922" customFormat="1" x14ac:dyDescent="0.25"/>
    <row r="246923" customFormat="1" x14ac:dyDescent="0.25"/>
    <row r="246924" customFormat="1" x14ac:dyDescent="0.25"/>
    <row r="246925" customFormat="1" x14ac:dyDescent="0.25"/>
    <row r="246926" customFormat="1" x14ac:dyDescent="0.25"/>
    <row r="246927" customFormat="1" x14ac:dyDescent="0.25"/>
    <row r="246928" customFormat="1" x14ac:dyDescent="0.25"/>
    <row r="246929" customFormat="1" x14ac:dyDescent="0.25"/>
    <row r="246930" customFormat="1" x14ac:dyDescent="0.25"/>
    <row r="246931" customFormat="1" x14ac:dyDescent="0.25"/>
    <row r="246932" customFormat="1" x14ac:dyDescent="0.25"/>
    <row r="246933" customFormat="1" x14ac:dyDescent="0.25"/>
    <row r="246934" customFormat="1" x14ac:dyDescent="0.25"/>
    <row r="246935" customFormat="1" x14ac:dyDescent="0.25"/>
    <row r="246936" customFormat="1" x14ac:dyDescent="0.25"/>
    <row r="246937" customFormat="1" x14ac:dyDescent="0.25"/>
    <row r="246938" customFormat="1" x14ac:dyDescent="0.25"/>
    <row r="246939" customFormat="1" x14ac:dyDescent="0.25"/>
    <row r="246940" customFormat="1" x14ac:dyDescent="0.25"/>
    <row r="246941" customFormat="1" x14ac:dyDescent="0.25"/>
    <row r="246942" customFormat="1" x14ac:dyDescent="0.25"/>
    <row r="246943" customFormat="1" x14ac:dyDescent="0.25"/>
    <row r="246944" customFormat="1" x14ac:dyDescent="0.25"/>
    <row r="246945" customFormat="1" x14ac:dyDescent="0.25"/>
    <row r="246946" customFormat="1" x14ac:dyDescent="0.25"/>
    <row r="246947" customFormat="1" x14ac:dyDescent="0.25"/>
    <row r="246948" customFormat="1" x14ac:dyDescent="0.25"/>
    <row r="246949" customFormat="1" x14ac:dyDescent="0.25"/>
    <row r="246950" customFormat="1" x14ac:dyDescent="0.25"/>
    <row r="246951" customFormat="1" x14ac:dyDescent="0.25"/>
    <row r="246952" customFormat="1" x14ac:dyDescent="0.25"/>
    <row r="246953" customFormat="1" x14ac:dyDescent="0.25"/>
    <row r="246954" customFormat="1" x14ac:dyDescent="0.25"/>
    <row r="246955" customFormat="1" x14ac:dyDescent="0.25"/>
    <row r="246956" customFormat="1" x14ac:dyDescent="0.25"/>
    <row r="246957" customFormat="1" x14ac:dyDescent="0.25"/>
    <row r="246958" customFormat="1" x14ac:dyDescent="0.25"/>
    <row r="246959" customFormat="1" x14ac:dyDescent="0.25"/>
    <row r="246960" customFormat="1" x14ac:dyDescent="0.25"/>
    <row r="246961" customFormat="1" x14ac:dyDescent="0.25"/>
    <row r="246962" customFormat="1" x14ac:dyDescent="0.25"/>
    <row r="246963" customFormat="1" x14ac:dyDescent="0.25"/>
    <row r="246964" customFormat="1" x14ac:dyDescent="0.25"/>
    <row r="246965" customFormat="1" x14ac:dyDescent="0.25"/>
    <row r="246966" customFormat="1" x14ac:dyDescent="0.25"/>
    <row r="246967" customFormat="1" x14ac:dyDescent="0.25"/>
    <row r="246968" customFormat="1" x14ac:dyDescent="0.25"/>
    <row r="246969" customFormat="1" x14ac:dyDescent="0.25"/>
    <row r="246970" customFormat="1" x14ac:dyDescent="0.25"/>
    <row r="246971" customFormat="1" x14ac:dyDescent="0.25"/>
    <row r="246972" customFormat="1" x14ac:dyDescent="0.25"/>
    <row r="246973" customFormat="1" x14ac:dyDescent="0.25"/>
    <row r="246974" customFormat="1" x14ac:dyDescent="0.25"/>
    <row r="246975" customFormat="1" x14ac:dyDescent="0.25"/>
    <row r="246976" customFormat="1" x14ac:dyDescent="0.25"/>
    <row r="246977" customFormat="1" x14ac:dyDescent="0.25"/>
    <row r="246978" customFormat="1" x14ac:dyDescent="0.25"/>
    <row r="246979" customFormat="1" x14ac:dyDescent="0.25"/>
    <row r="246980" customFormat="1" x14ac:dyDescent="0.25"/>
    <row r="246981" customFormat="1" x14ac:dyDescent="0.25"/>
    <row r="246982" customFormat="1" x14ac:dyDescent="0.25"/>
    <row r="246983" customFormat="1" x14ac:dyDescent="0.25"/>
    <row r="246984" customFormat="1" x14ac:dyDescent="0.25"/>
    <row r="246985" customFormat="1" x14ac:dyDescent="0.25"/>
    <row r="246986" customFormat="1" x14ac:dyDescent="0.25"/>
    <row r="246987" customFormat="1" x14ac:dyDescent="0.25"/>
    <row r="246988" customFormat="1" x14ac:dyDescent="0.25"/>
    <row r="246989" customFormat="1" x14ac:dyDescent="0.25"/>
    <row r="246990" customFormat="1" x14ac:dyDescent="0.25"/>
    <row r="246991" customFormat="1" x14ac:dyDescent="0.25"/>
    <row r="246992" customFormat="1" x14ac:dyDescent="0.25"/>
    <row r="246993" customFormat="1" x14ac:dyDescent="0.25"/>
    <row r="246994" customFormat="1" x14ac:dyDescent="0.25"/>
    <row r="246995" customFormat="1" x14ac:dyDescent="0.25"/>
    <row r="246996" customFormat="1" x14ac:dyDescent="0.25"/>
    <row r="246997" customFormat="1" x14ac:dyDescent="0.25"/>
    <row r="246998" customFormat="1" x14ac:dyDescent="0.25"/>
    <row r="246999" customFormat="1" x14ac:dyDescent="0.25"/>
    <row r="247000" customFormat="1" x14ac:dyDescent="0.25"/>
    <row r="247001" customFormat="1" x14ac:dyDescent="0.25"/>
    <row r="247002" customFormat="1" x14ac:dyDescent="0.25"/>
    <row r="247003" customFormat="1" x14ac:dyDescent="0.25"/>
    <row r="247004" customFormat="1" x14ac:dyDescent="0.25"/>
    <row r="247005" customFormat="1" x14ac:dyDescent="0.25"/>
    <row r="247006" customFormat="1" x14ac:dyDescent="0.25"/>
    <row r="247007" customFormat="1" x14ac:dyDescent="0.25"/>
    <row r="247008" customFormat="1" x14ac:dyDescent="0.25"/>
    <row r="247009" customFormat="1" x14ac:dyDescent="0.25"/>
    <row r="247010" customFormat="1" x14ac:dyDescent="0.25"/>
    <row r="247011" customFormat="1" x14ac:dyDescent="0.25"/>
    <row r="247012" customFormat="1" x14ac:dyDescent="0.25"/>
    <row r="247013" customFormat="1" x14ac:dyDescent="0.25"/>
    <row r="247014" customFormat="1" x14ac:dyDescent="0.25"/>
    <row r="247015" customFormat="1" x14ac:dyDescent="0.25"/>
    <row r="247016" customFormat="1" x14ac:dyDescent="0.25"/>
    <row r="247017" customFormat="1" x14ac:dyDescent="0.25"/>
    <row r="247018" customFormat="1" x14ac:dyDescent="0.25"/>
    <row r="247019" customFormat="1" x14ac:dyDescent="0.25"/>
    <row r="247020" customFormat="1" x14ac:dyDescent="0.25"/>
    <row r="247021" customFormat="1" x14ac:dyDescent="0.25"/>
    <row r="247022" customFormat="1" x14ac:dyDescent="0.25"/>
    <row r="247023" customFormat="1" x14ac:dyDescent="0.25"/>
    <row r="247024" customFormat="1" x14ac:dyDescent="0.25"/>
    <row r="247025" customFormat="1" x14ac:dyDescent="0.25"/>
    <row r="247026" customFormat="1" x14ac:dyDescent="0.25"/>
    <row r="247027" customFormat="1" x14ac:dyDescent="0.25"/>
    <row r="247028" customFormat="1" x14ac:dyDescent="0.25"/>
    <row r="247029" customFormat="1" x14ac:dyDescent="0.25"/>
    <row r="247030" customFormat="1" x14ac:dyDescent="0.25"/>
    <row r="247031" customFormat="1" x14ac:dyDescent="0.25"/>
    <row r="247032" customFormat="1" x14ac:dyDescent="0.25"/>
    <row r="247033" customFormat="1" x14ac:dyDescent="0.25"/>
    <row r="247034" customFormat="1" x14ac:dyDescent="0.25"/>
    <row r="247035" customFormat="1" x14ac:dyDescent="0.25"/>
    <row r="247036" customFormat="1" x14ac:dyDescent="0.25"/>
    <row r="247037" customFormat="1" x14ac:dyDescent="0.25"/>
    <row r="247038" customFormat="1" x14ac:dyDescent="0.25"/>
    <row r="247039" customFormat="1" x14ac:dyDescent="0.25"/>
    <row r="247040" customFormat="1" x14ac:dyDescent="0.25"/>
    <row r="247041" customFormat="1" x14ac:dyDescent="0.25"/>
    <row r="247042" customFormat="1" x14ac:dyDescent="0.25"/>
    <row r="247043" customFormat="1" x14ac:dyDescent="0.25"/>
    <row r="247044" customFormat="1" x14ac:dyDescent="0.25"/>
    <row r="247045" customFormat="1" x14ac:dyDescent="0.25"/>
    <row r="247046" customFormat="1" x14ac:dyDescent="0.25"/>
    <row r="247047" customFormat="1" x14ac:dyDescent="0.25"/>
    <row r="247048" customFormat="1" x14ac:dyDescent="0.25"/>
    <row r="247049" customFormat="1" x14ac:dyDescent="0.25"/>
    <row r="247050" customFormat="1" x14ac:dyDescent="0.25"/>
    <row r="247051" customFormat="1" x14ac:dyDescent="0.25"/>
    <row r="247052" customFormat="1" x14ac:dyDescent="0.25"/>
    <row r="247053" customFormat="1" x14ac:dyDescent="0.25"/>
    <row r="247054" customFormat="1" x14ac:dyDescent="0.25"/>
    <row r="247055" customFormat="1" x14ac:dyDescent="0.25"/>
    <row r="247056" customFormat="1" x14ac:dyDescent="0.25"/>
    <row r="247057" customFormat="1" x14ac:dyDescent="0.25"/>
    <row r="247058" customFormat="1" x14ac:dyDescent="0.25"/>
    <row r="247059" customFormat="1" x14ac:dyDescent="0.25"/>
    <row r="247060" customFormat="1" x14ac:dyDescent="0.25"/>
    <row r="247061" customFormat="1" x14ac:dyDescent="0.25"/>
    <row r="247062" customFormat="1" x14ac:dyDescent="0.25"/>
    <row r="247063" customFormat="1" x14ac:dyDescent="0.25"/>
    <row r="247064" customFormat="1" x14ac:dyDescent="0.25"/>
    <row r="247065" customFormat="1" x14ac:dyDescent="0.25"/>
    <row r="247066" customFormat="1" x14ac:dyDescent="0.25"/>
    <row r="247067" customFormat="1" x14ac:dyDescent="0.25"/>
    <row r="247068" customFormat="1" x14ac:dyDescent="0.25"/>
    <row r="247069" customFormat="1" x14ac:dyDescent="0.25"/>
    <row r="247070" customFormat="1" x14ac:dyDescent="0.25"/>
    <row r="247071" customFormat="1" x14ac:dyDescent="0.25"/>
    <row r="247072" customFormat="1" x14ac:dyDescent="0.25"/>
    <row r="247073" customFormat="1" x14ac:dyDescent="0.25"/>
    <row r="247074" customFormat="1" x14ac:dyDescent="0.25"/>
    <row r="247075" customFormat="1" x14ac:dyDescent="0.25"/>
    <row r="247076" customFormat="1" x14ac:dyDescent="0.25"/>
    <row r="247077" customFormat="1" x14ac:dyDescent="0.25"/>
    <row r="247078" customFormat="1" x14ac:dyDescent="0.25"/>
    <row r="247079" customFormat="1" x14ac:dyDescent="0.25"/>
    <row r="247080" customFormat="1" x14ac:dyDescent="0.25"/>
    <row r="247081" customFormat="1" x14ac:dyDescent="0.25"/>
    <row r="247082" customFormat="1" x14ac:dyDescent="0.25"/>
    <row r="247083" customFormat="1" x14ac:dyDescent="0.25"/>
    <row r="247084" customFormat="1" x14ac:dyDescent="0.25"/>
    <row r="247085" customFormat="1" x14ac:dyDescent="0.25"/>
    <row r="247086" customFormat="1" x14ac:dyDescent="0.25"/>
    <row r="247087" customFormat="1" x14ac:dyDescent="0.25"/>
    <row r="247088" customFormat="1" x14ac:dyDescent="0.25"/>
    <row r="247089" customFormat="1" x14ac:dyDescent="0.25"/>
    <row r="247090" customFormat="1" x14ac:dyDescent="0.25"/>
    <row r="247091" customFormat="1" x14ac:dyDescent="0.25"/>
    <row r="247092" customFormat="1" x14ac:dyDescent="0.25"/>
    <row r="247093" customFormat="1" x14ac:dyDescent="0.25"/>
    <row r="247094" customFormat="1" x14ac:dyDescent="0.25"/>
    <row r="247095" customFormat="1" x14ac:dyDescent="0.25"/>
    <row r="247096" customFormat="1" x14ac:dyDescent="0.25"/>
    <row r="247097" customFormat="1" x14ac:dyDescent="0.25"/>
    <row r="247098" customFormat="1" x14ac:dyDescent="0.25"/>
    <row r="247099" customFormat="1" x14ac:dyDescent="0.25"/>
    <row r="247100" customFormat="1" x14ac:dyDescent="0.25"/>
    <row r="247101" customFormat="1" x14ac:dyDescent="0.25"/>
    <row r="247102" customFormat="1" x14ac:dyDescent="0.25"/>
    <row r="247103" customFormat="1" x14ac:dyDescent="0.25"/>
    <row r="247104" customFormat="1" x14ac:dyDescent="0.25"/>
    <row r="247105" customFormat="1" x14ac:dyDescent="0.25"/>
    <row r="247106" customFormat="1" x14ac:dyDescent="0.25"/>
    <row r="247107" customFormat="1" x14ac:dyDescent="0.25"/>
    <row r="247108" customFormat="1" x14ac:dyDescent="0.25"/>
    <row r="247109" customFormat="1" x14ac:dyDescent="0.25"/>
    <row r="247110" customFormat="1" x14ac:dyDescent="0.25"/>
    <row r="247111" customFormat="1" x14ac:dyDescent="0.25"/>
    <row r="247112" customFormat="1" x14ac:dyDescent="0.25"/>
    <row r="247113" customFormat="1" x14ac:dyDescent="0.25"/>
    <row r="247114" customFormat="1" x14ac:dyDescent="0.25"/>
    <row r="247115" customFormat="1" x14ac:dyDescent="0.25"/>
    <row r="247116" customFormat="1" x14ac:dyDescent="0.25"/>
    <row r="247117" customFormat="1" x14ac:dyDescent="0.25"/>
    <row r="247118" customFormat="1" x14ac:dyDescent="0.25"/>
    <row r="247119" customFormat="1" x14ac:dyDescent="0.25"/>
    <row r="247120" customFormat="1" x14ac:dyDescent="0.25"/>
    <row r="247121" customFormat="1" x14ac:dyDescent="0.25"/>
    <row r="247122" customFormat="1" x14ac:dyDescent="0.25"/>
    <row r="247123" customFormat="1" x14ac:dyDescent="0.25"/>
    <row r="247124" customFormat="1" x14ac:dyDescent="0.25"/>
    <row r="247125" customFormat="1" x14ac:dyDescent="0.25"/>
    <row r="247126" customFormat="1" x14ac:dyDescent="0.25"/>
    <row r="247127" customFormat="1" x14ac:dyDescent="0.25"/>
    <row r="247128" customFormat="1" x14ac:dyDescent="0.25"/>
    <row r="247129" customFormat="1" x14ac:dyDescent="0.25"/>
    <row r="247130" customFormat="1" x14ac:dyDescent="0.25"/>
    <row r="247131" customFormat="1" x14ac:dyDescent="0.25"/>
    <row r="247132" customFormat="1" x14ac:dyDescent="0.25"/>
    <row r="247133" customFormat="1" x14ac:dyDescent="0.25"/>
    <row r="247134" customFormat="1" x14ac:dyDescent="0.25"/>
    <row r="247135" customFormat="1" x14ac:dyDescent="0.25"/>
    <row r="247136" customFormat="1" x14ac:dyDescent="0.25"/>
    <row r="247137" customFormat="1" x14ac:dyDescent="0.25"/>
    <row r="247138" customFormat="1" x14ac:dyDescent="0.25"/>
    <row r="247139" customFormat="1" x14ac:dyDescent="0.25"/>
    <row r="247140" customFormat="1" x14ac:dyDescent="0.25"/>
    <row r="247141" customFormat="1" x14ac:dyDescent="0.25"/>
    <row r="247142" customFormat="1" x14ac:dyDescent="0.25"/>
    <row r="247143" customFormat="1" x14ac:dyDescent="0.25"/>
    <row r="247144" customFormat="1" x14ac:dyDescent="0.25"/>
    <row r="247145" customFormat="1" x14ac:dyDescent="0.25"/>
    <row r="247146" customFormat="1" x14ac:dyDescent="0.25"/>
    <row r="247147" customFormat="1" x14ac:dyDescent="0.25"/>
    <row r="247148" customFormat="1" x14ac:dyDescent="0.25"/>
    <row r="247149" customFormat="1" x14ac:dyDescent="0.25"/>
    <row r="247150" customFormat="1" x14ac:dyDescent="0.25"/>
    <row r="247151" customFormat="1" x14ac:dyDescent="0.25"/>
    <row r="247152" customFormat="1" x14ac:dyDescent="0.25"/>
    <row r="247153" customFormat="1" x14ac:dyDescent="0.25"/>
    <row r="247154" customFormat="1" x14ac:dyDescent="0.25"/>
    <row r="247155" customFormat="1" x14ac:dyDescent="0.25"/>
    <row r="247156" customFormat="1" x14ac:dyDescent="0.25"/>
    <row r="247157" customFormat="1" x14ac:dyDescent="0.25"/>
    <row r="247158" customFormat="1" x14ac:dyDescent="0.25"/>
    <row r="247159" customFormat="1" x14ac:dyDescent="0.25"/>
    <row r="247160" customFormat="1" x14ac:dyDescent="0.25"/>
    <row r="247161" customFormat="1" x14ac:dyDescent="0.25"/>
    <row r="247162" customFormat="1" x14ac:dyDescent="0.25"/>
    <row r="247163" customFormat="1" x14ac:dyDescent="0.25"/>
    <row r="247164" customFormat="1" x14ac:dyDescent="0.25"/>
    <row r="247165" customFormat="1" x14ac:dyDescent="0.25"/>
    <row r="247166" customFormat="1" x14ac:dyDescent="0.25"/>
    <row r="247167" customFormat="1" x14ac:dyDescent="0.25"/>
    <row r="247168" customFormat="1" x14ac:dyDescent="0.25"/>
    <row r="247169" customFormat="1" x14ac:dyDescent="0.25"/>
    <row r="247170" customFormat="1" x14ac:dyDescent="0.25"/>
    <row r="247171" customFormat="1" x14ac:dyDescent="0.25"/>
    <row r="247172" customFormat="1" x14ac:dyDescent="0.25"/>
    <row r="247173" customFormat="1" x14ac:dyDescent="0.25"/>
    <row r="247174" customFormat="1" x14ac:dyDescent="0.25"/>
    <row r="247175" customFormat="1" x14ac:dyDescent="0.25"/>
    <row r="247176" customFormat="1" x14ac:dyDescent="0.25"/>
    <row r="247177" customFormat="1" x14ac:dyDescent="0.25"/>
    <row r="247178" customFormat="1" x14ac:dyDescent="0.25"/>
    <row r="247179" customFormat="1" x14ac:dyDescent="0.25"/>
    <row r="247180" customFormat="1" x14ac:dyDescent="0.25"/>
    <row r="247181" customFormat="1" x14ac:dyDescent="0.25"/>
    <row r="247182" customFormat="1" x14ac:dyDescent="0.25"/>
    <row r="247183" customFormat="1" x14ac:dyDescent="0.25"/>
    <row r="247184" customFormat="1" x14ac:dyDescent="0.25"/>
    <row r="247185" customFormat="1" x14ac:dyDescent="0.25"/>
    <row r="247186" customFormat="1" x14ac:dyDescent="0.25"/>
    <row r="247187" customFormat="1" x14ac:dyDescent="0.25"/>
    <row r="247188" customFormat="1" x14ac:dyDescent="0.25"/>
    <row r="247189" customFormat="1" x14ac:dyDescent="0.25"/>
    <row r="247190" customFormat="1" x14ac:dyDescent="0.25"/>
    <row r="247191" customFormat="1" x14ac:dyDescent="0.25"/>
    <row r="247192" customFormat="1" x14ac:dyDescent="0.25"/>
    <row r="247193" customFormat="1" x14ac:dyDescent="0.25"/>
    <row r="247194" customFormat="1" x14ac:dyDescent="0.25"/>
    <row r="247195" customFormat="1" x14ac:dyDescent="0.25"/>
    <row r="247196" customFormat="1" x14ac:dyDescent="0.25"/>
    <row r="247197" customFormat="1" x14ac:dyDescent="0.25"/>
    <row r="247198" customFormat="1" x14ac:dyDescent="0.25"/>
    <row r="247199" customFormat="1" x14ac:dyDescent="0.25"/>
    <row r="247200" customFormat="1" x14ac:dyDescent="0.25"/>
    <row r="247201" customFormat="1" x14ac:dyDescent="0.25"/>
    <row r="247202" customFormat="1" x14ac:dyDescent="0.25"/>
    <row r="247203" customFormat="1" x14ac:dyDescent="0.25"/>
    <row r="247204" customFormat="1" x14ac:dyDescent="0.25"/>
    <row r="247205" customFormat="1" x14ac:dyDescent="0.25"/>
    <row r="247206" customFormat="1" x14ac:dyDescent="0.25"/>
    <row r="247207" customFormat="1" x14ac:dyDescent="0.25"/>
    <row r="247208" customFormat="1" x14ac:dyDescent="0.25"/>
    <row r="247209" customFormat="1" x14ac:dyDescent="0.25"/>
    <row r="247210" customFormat="1" x14ac:dyDescent="0.25"/>
    <row r="247211" customFormat="1" x14ac:dyDescent="0.25"/>
    <row r="247212" customFormat="1" x14ac:dyDescent="0.25"/>
    <row r="247213" customFormat="1" x14ac:dyDescent="0.25"/>
    <row r="247214" customFormat="1" x14ac:dyDescent="0.25"/>
    <row r="247215" customFormat="1" x14ac:dyDescent="0.25"/>
    <row r="247216" customFormat="1" x14ac:dyDescent="0.25"/>
    <row r="247217" customFormat="1" x14ac:dyDescent="0.25"/>
    <row r="247218" customFormat="1" x14ac:dyDescent="0.25"/>
    <row r="247219" customFormat="1" x14ac:dyDescent="0.25"/>
    <row r="247220" customFormat="1" x14ac:dyDescent="0.25"/>
    <row r="247221" customFormat="1" x14ac:dyDescent="0.25"/>
    <row r="247222" customFormat="1" x14ac:dyDescent="0.25"/>
    <row r="247223" customFormat="1" x14ac:dyDescent="0.25"/>
    <row r="247224" customFormat="1" x14ac:dyDescent="0.25"/>
    <row r="247225" customFormat="1" x14ac:dyDescent="0.25"/>
    <row r="247226" customFormat="1" x14ac:dyDescent="0.25"/>
    <row r="247227" customFormat="1" x14ac:dyDescent="0.25"/>
    <row r="247228" customFormat="1" x14ac:dyDescent="0.25"/>
    <row r="247229" customFormat="1" x14ac:dyDescent="0.25"/>
    <row r="247230" customFormat="1" x14ac:dyDescent="0.25"/>
    <row r="247231" customFormat="1" x14ac:dyDescent="0.25"/>
    <row r="247232" customFormat="1" x14ac:dyDescent="0.25"/>
    <row r="247233" customFormat="1" x14ac:dyDescent="0.25"/>
    <row r="247234" customFormat="1" x14ac:dyDescent="0.25"/>
    <row r="247235" customFormat="1" x14ac:dyDescent="0.25"/>
    <row r="247236" customFormat="1" x14ac:dyDescent="0.25"/>
    <row r="247237" customFormat="1" x14ac:dyDescent="0.25"/>
    <row r="247238" customFormat="1" x14ac:dyDescent="0.25"/>
    <row r="247239" customFormat="1" x14ac:dyDescent="0.25"/>
    <row r="247240" customFormat="1" x14ac:dyDescent="0.25"/>
    <row r="247241" customFormat="1" x14ac:dyDescent="0.25"/>
    <row r="247242" customFormat="1" x14ac:dyDescent="0.25"/>
    <row r="247243" customFormat="1" x14ac:dyDescent="0.25"/>
    <row r="247244" customFormat="1" x14ac:dyDescent="0.25"/>
    <row r="247245" customFormat="1" x14ac:dyDescent="0.25"/>
    <row r="247246" customFormat="1" x14ac:dyDescent="0.25"/>
    <row r="247247" customFormat="1" x14ac:dyDescent="0.25"/>
    <row r="247248" customFormat="1" x14ac:dyDescent="0.25"/>
    <row r="247249" customFormat="1" x14ac:dyDescent="0.25"/>
    <row r="247250" customFormat="1" x14ac:dyDescent="0.25"/>
    <row r="247251" customFormat="1" x14ac:dyDescent="0.25"/>
    <row r="247252" customFormat="1" x14ac:dyDescent="0.25"/>
    <row r="247253" customFormat="1" x14ac:dyDescent="0.25"/>
    <row r="247254" customFormat="1" x14ac:dyDescent="0.25"/>
    <row r="247255" customFormat="1" x14ac:dyDescent="0.25"/>
    <row r="247256" customFormat="1" x14ac:dyDescent="0.25"/>
    <row r="247257" customFormat="1" x14ac:dyDescent="0.25"/>
    <row r="247258" customFormat="1" x14ac:dyDescent="0.25"/>
    <row r="247259" customFormat="1" x14ac:dyDescent="0.25"/>
    <row r="247260" customFormat="1" x14ac:dyDescent="0.25"/>
    <row r="247261" customFormat="1" x14ac:dyDescent="0.25"/>
    <row r="247262" customFormat="1" x14ac:dyDescent="0.25"/>
    <row r="247263" customFormat="1" x14ac:dyDescent="0.25"/>
    <row r="247264" customFormat="1" x14ac:dyDescent="0.25"/>
    <row r="247265" customFormat="1" x14ac:dyDescent="0.25"/>
    <row r="247266" customFormat="1" x14ac:dyDescent="0.25"/>
    <row r="247267" customFormat="1" x14ac:dyDescent="0.25"/>
    <row r="247268" customFormat="1" x14ac:dyDescent="0.25"/>
    <row r="247269" customFormat="1" x14ac:dyDescent="0.25"/>
    <row r="247270" customFormat="1" x14ac:dyDescent="0.25"/>
    <row r="247271" customFormat="1" x14ac:dyDescent="0.25"/>
    <row r="247272" customFormat="1" x14ac:dyDescent="0.25"/>
    <row r="247273" customFormat="1" x14ac:dyDescent="0.25"/>
    <row r="247274" customFormat="1" x14ac:dyDescent="0.25"/>
    <row r="247275" customFormat="1" x14ac:dyDescent="0.25"/>
    <row r="247276" customFormat="1" x14ac:dyDescent="0.25"/>
    <row r="247277" customFormat="1" x14ac:dyDescent="0.25"/>
    <row r="247278" customFormat="1" x14ac:dyDescent="0.25"/>
    <row r="247279" customFormat="1" x14ac:dyDescent="0.25"/>
    <row r="247280" customFormat="1" x14ac:dyDescent="0.25"/>
    <row r="247281" customFormat="1" x14ac:dyDescent="0.25"/>
    <row r="247282" customFormat="1" x14ac:dyDescent="0.25"/>
    <row r="247283" customFormat="1" x14ac:dyDescent="0.25"/>
    <row r="247284" customFormat="1" x14ac:dyDescent="0.25"/>
    <row r="247285" customFormat="1" x14ac:dyDescent="0.25"/>
    <row r="247286" customFormat="1" x14ac:dyDescent="0.25"/>
    <row r="247287" customFormat="1" x14ac:dyDescent="0.25"/>
    <row r="247288" customFormat="1" x14ac:dyDescent="0.25"/>
    <row r="247289" customFormat="1" x14ac:dyDescent="0.25"/>
    <row r="247290" customFormat="1" x14ac:dyDescent="0.25"/>
    <row r="247291" customFormat="1" x14ac:dyDescent="0.25"/>
    <row r="247292" customFormat="1" x14ac:dyDescent="0.25"/>
    <row r="247293" customFormat="1" x14ac:dyDescent="0.25"/>
    <row r="247294" customFormat="1" x14ac:dyDescent="0.25"/>
    <row r="247295" customFormat="1" x14ac:dyDescent="0.25"/>
    <row r="247296" customFormat="1" x14ac:dyDescent="0.25"/>
    <row r="247297" customFormat="1" x14ac:dyDescent="0.25"/>
    <row r="247298" customFormat="1" x14ac:dyDescent="0.25"/>
    <row r="247299" customFormat="1" x14ac:dyDescent="0.25"/>
    <row r="247300" customFormat="1" x14ac:dyDescent="0.25"/>
    <row r="247301" customFormat="1" x14ac:dyDescent="0.25"/>
    <row r="247302" customFormat="1" x14ac:dyDescent="0.25"/>
    <row r="247303" customFormat="1" x14ac:dyDescent="0.25"/>
    <row r="247304" customFormat="1" x14ac:dyDescent="0.25"/>
    <row r="247305" customFormat="1" x14ac:dyDescent="0.25"/>
    <row r="247306" customFormat="1" x14ac:dyDescent="0.25"/>
    <row r="247307" customFormat="1" x14ac:dyDescent="0.25"/>
    <row r="247308" customFormat="1" x14ac:dyDescent="0.25"/>
    <row r="247309" customFormat="1" x14ac:dyDescent="0.25"/>
    <row r="247310" customFormat="1" x14ac:dyDescent="0.25"/>
    <row r="247311" customFormat="1" x14ac:dyDescent="0.25"/>
    <row r="247312" customFormat="1" x14ac:dyDescent="0.25"/>
    <row r="247313" customFormat="1" x14ac:dyDescent="0.25"/>
    <row r="247314" customFormat="1" x14ac:dyDescent="0.25"/>
    <row r="247315" customFormat="1" x14ac:dyDescent="0.25"/>
    <row r="247316" customFormat="1" x14ac:dyDescent="0.25"/>
    <row r="247317" customFormat="1" x14ac:dyDescent="0.25"/>
    <row r="247318" customFormat="1" x14ac:dyDescent="0.25"/>
    <row r="247319" customFormat="1" x14ac:dyDescent="0.25"/>
    <row r="247320" customFormat="1" x14ac:dyDescent="0.25"/>
    <row r="247321" customFormat="1" x14ac:dyDescent="0.25"/>
    <row r="247322" customFormat="1" x14ac:dyDescent="0.25"/>
    <row r="247323" customFormat="1" x14ac:dyDescent="0.25"/>
    <row r="247324" customFormat="1" x14ac:dyDescent="0.25"/>
    <row r="247325" customFormat="1" x14ac:dyDescent="0.25"/>
    <row r="247326" customFormat="1" x14ac:dyDescent="0.25"/>
    <row r="247327" customFormat="1" x14ac:dyDescent="0.25"/>
    <row r="247328" customFormat="1" x14ac:dyDescent="0.25"/>
    <row r="247329" customFormat="1" x14ac:dyDescent="0.25"/>
    <row r="247330" customFormat="1" x14ac:dyDescent="0.25"/>
    <row r="247331" customFormat="1" x14ac:dyDescent="0.25"/>
    <row r="247332" customFormat="1" x14ac:dyDescent="0.25"/>
    <row r="247333" customFormat="1" x14ac:dyDescent="0.25"/>
    <row r="247334" customFormat="1" x14ac:dyDescent="0.25"/>
    <row r="247335" customFormat="1" x14ac:dyDescent="0.25"/>
    <row r="247336" customFormat="1" x14ac:dyDescent="0.25"/>
    <row r="247337" customFormat="1" x14ac:dyDescent="0.25"/>
    <row r="247338" customFormat="1" x14ac:dyDescent="0.25"/>
    <row r="247339" customFormat="1" x14ac:dyDescent="0.25"/>
    <row r="247340" customFormat="1" x14ac:dyDescent="0.25"/>
    <row r="247341" customFormat="1" x14ac:dyDescent="0.25"/>
    <row r="247342" customFormat="1" x14ac:dyDescent="0.25"/>
    <row r="247343" customFormat="1" x14ac:dyDescent="0.25"/>
    <row r="247344" customFormat="1" x14ac:dyDescent="0.25"/>
    <row r="247345" customFormat="1" x14ac:dyDescent="0.25"/>
    <row r="247346" customFormat="1" x14ac:dyDescent="0.25"/>
    <row r="247347" customFormat="1" x14ac:dyDescent="0.25"/>
    <row r="247348" customFormat="1" x14ac:dyDescent="0.25"/>
    <row r="247349" customFormat="1" x14ac:dyDescent="0.25"/>
    <row r="247350" customFormat="1" x14ac:dyDescent="0.25"/>
    <row r="247351" customFormat="1" x14ac:dyDescent="0.25"/>
    <row r="247352" customFormat="1" x14ac:dyDescent="0.25"/>
    <row r="247353" customFormat="1" x14ac:dyDescent="0.25"/>
    <row r="247354" customFormat="1" x14ac:dyDescent="0.25"/>
    <row r="247355" customFormat="1" x14ac:dyDescent="0.25"/>
    <row r="247356" customFormat="1" x14ac:dyDescent="0.25"/>
    <row r="247357" customFormat="1" x14ac:dyDescent="0.25"/>
    <row r="247358" customFormat="1" x14ac:dyDescent="0.25"/>
    <row r="247359" customFormat="1" x14ac:dyDescent="0.25"/>
    <row r="247360" customFormat="1" x14ac:dyDescent="0.25"/>
    <row r="247361" customFormat="1" x14ac:dyDescent="0.25"/>
    <row r="247362" customFormat="1" x14ac:dyDescent="0.25"/>
    <row r="247363" customFormat="1" x14ac:dyDescent="0.25"/>
    <row r="247364" customFormat="1" x14ac:dyDescent="0.25"/>
    <row r="247365" customFormat="1" x14ac:dyDescent="0.25"/>
    <row r="247366" customFormat="1" x14ac:dyDescent="0.25"/>
    <row r="247367" customFormat="1" x14ac:dyDescent="0.25"/>
    <row r="247368" customFormat="1" x14ac:dyDescent="0.25"/>
    <row r="247369" customFormat="1" x14ac:dyDescent="0.25"/>
    <row r="247370" customFormat="1" x14ac:dyDescent="0.25"/>
    <row r="247371" customFormat="1" x14ac:dyDescent="0.25"/>
    <row r="247372" customFormat="1" x14ac:dyDescent="0.25"/>
    <row r="247373" customFormat="1" x14ac:dyDescent="0.25"/>
    <row r="247374" customFormat="1" x14ac:dyDescent="0.25"/>
    <row r="247375" customFormat="1" x14ac:dyDescent="0.25"/>
    <row r="247376" customFormat="1" x14ac:dyDescent="0.25"/>
    <row r="247377" customFormat="1" x14ac:dyDescent="0.25"/>
    <row r="247378" customFormat="1" x14ac:dyDescent="0.25"/>
    <row r="247379" customFormat="1" x14ac:dyDescent="0.25"/>
    <row r="247380" customFormat="1" x14ac:dyDescent="0.25"/>
    <row r="247381" customFormat="1" x14ac:dyDescent="0.25"/>
    <row r="247382" customFormat="1" x14ac:dyDescent="0.25"/>
    <row r="247383" customFormat="1" x14ac:dyDescent="0.25"/>
    <row r="247384" customFormat="1" x14ac:dyDescent="0.25"/>
    <row r="247385" customFormat="1" x14ac:dyDescent="0.25"/>
    <row r="247386" customFormat="1" x14ac:dyDescent="0.25"/>
    <row r="247387" customFormat="1" x14ac:dyDescent="0.25"/>
    <row r="247388" customFormat="1" x14ac:dyDescent="0.25"/>
    <row r="247389" customFormat="1" x14ac:dyDescent="0.25"/>
    <row r="247390" customFormat="1" x14ac:dyDescent="0.25"/>
    <row r="247391" customFormat="1" x14ac:dyDescent="0.25"/>
    <row r="247392" customFormat="1" x14ac:dyDescent="0.25"/>
    <row r="247393" customFormat="1" x14ac:dyDescent="0.25"/>
    <row r="247394" customFormat="1" x14ac:dyDescent="0.25"/>
    <row r="247395" customFormat="1" x14ac:dyDescent="0.25"/>
    <row r="247396" customFormat="1" x14ac:dyDescent="0.25"/>
    <row r="247397" customFormat="1" x14ac:dyDescent="0.25"/>
    <row r="247398" customFormat="1" x14ac:dyDescent="0.25"/>
    <row r="247399" customFormat="1" x14ac:dyDescent="0.25"/>
    <row r="247400" customFormat="1" x14ac:dyDescent="0.25"/>
    <row r="247401" customFormat="1" x14ac:dyDescent="0.25"/>
    <row r="247402" customFormat="1" x14ac:dyDescent="0.25"/>
    <row r="247403" customFormat="1" x14ac:dyDescent="0.25"/>
    <row r="247404" customFormat="1" x14ac:dyDescent="0.25"/>
    <row r="247405" customFormat="1" x14ac:dyDescent="0.25"/>
    <row r="247406" customFormat="1" x14ac:dyDescent="0.25"/>
    <row r="247407" customFormat="1" x14ac:dyDescent="0.25"/>
    <row r="247408" customFormat="1" x14ac:dyDescent="0.25"/>
    <row r="247409" customFormat="1" x14ac:dyDescent="0.25"/>
    <row r="247410" customFormat="1" x14ac:dyDescent="0.25"/>
    <row r="247411" customFormat="1" x14ac:dyDescent="0.25"/>
    <row r="247412" customFormat="1" x14ac:dyDescent="0.25"/>
    <row r="247413" customFormat="1" x14ac:dyDescent="0.25"/>
    <row r="247414" customFormat="1" x14ac:dyDescent="0.25"/>
    <row r="247415" customFormat="1" x14ac:dyDescent="0.25"/>
    <row r="247416" customFormat="1" x14ac:dyDescent="0.25"/>
    <row r="247417" customFormat="1" x14ac:dyDescent="0.25"/>
    <row r="247418" customFormat="1" x14ac:dyDescent="0.25"/>
    <row r="247419" customFormat="1" x14ac:dyDescent="0.25"/>
    <row r="247420" customFormat="1" x14ac:dyDescent="0.25"/>
    <row r="247421" customFormat="1" x14ac:dyDescent="0.25"/>
    <row r="247422" customFormat="1" x14ac:dyDescent="0.25"/>
    <row r="247423" customFormat="1" x14ac:dyDescent="0.25"/>
    <row r="247424" customFormat="1" x14ac:dyDescent="0.25"/>
    <row r="247425" customFormat="1" x14ac:dyDescent="0.25"/>
    <row r="247426" customFormat="1" x14ac:dyDescent="0.25"/>
    <row r="247427" customFormat="1" x14ac:dyDescent="0.25"/>
    <row r="247428" customFormat="1" x14ac:dyDescent="0.25"/>
    <row r="247429" customFormat="1" x14ac:dyDescent="0.25"/>
    <row r="247430" customFormat="1" x14ac:dyDescent="0.25"/>
    <row r="247431" customFormat="1" x14ac:dyDescent="0.25"/>
    <row r="247432" customFormat="1" x14ac:dyDescent="0.25"/>
    <row r="247433" customFormat="1" x14ac:dyDescent="0.25"/>
    <row r="247434" customFormat="1" x14ac:dyDescent="0.25"/>
    <row r="247435" customFormat="1" x14ac:dyDescent="0.25"/>
    <row r="247436" customFormat="1" x14ac:dyDescent="0.25"/>
    <row r="247437" customFormat="1" x14ac:dyDescent="0.25"/>
    <row r="247438" customFormat="1" x14ac:dyDescent="0.25"/>
    <row r="247439" customFormat="1" x14ac:dyDescent="0.25"/>
    <row r="247440" customFormat="1" x14ac:dyDescent="0.25"/>
    <row r="247441" customFormat="1" x14ac:dyDescent="0.25"/>
    <row r="247442" customFormat="1" x14ac:dyDescent="0.25"/>
    <row r="247443" customFormat="1" x14ac:dyDescent="0.25"/>
    <row r="247444" customFormat="1" x14ac:dyDescent="0.25"/>
    <row r="247445" customFormat="1" x14ac:dyDescent="0.25"/>
    <row r="247446" customFormat="1" x14ac:dyDescent="0.25"/>
    <row r="247447" customFormat="1" x14ac:dyDescent="0.25"/>
    <row r="247448" customFormat="1" x14ac:dyDescent="0.25"/>
    <row r="247449" customFormat="1" x14ac:dyDescent="0.25"/>
    <row r="247450" customFormat="1" x14ac:dyDescent="0.25"/>
    <row r="247451" customFormat="1" x14ac:dyDescent="0.25"/>
    <row r="247452" customFormat="1" x14ac:dyDescent="0.25"/>
    <row r="247453" customFormat="1" x14ac:dyDescent="0.25"/>
    <row r="247454" customFormat="1" x14ac:dyDescent="0.25"/>
    <row r="247455" customFormat="1" x14ac:dyDescent="0.25"/>
    <row r="247456" customFormat="1" x14ac:dyDescent="0.25"/>
    <row r="247457" customFormat="1" x14ac:dyDescent="0.25"/>
    <row r="247458" customFormat="1" x14ac:dyDescent="0.25"/>
    <row r="247459" customFormat="1" x14ac:dyDescent="0.25"/>
    <row r="247460" customFormat="1" x14ac:dyDescent="0.25"/>
    <row r="247461" customFormat="1" x14ac:dyDescent="0.25"/>
    <row r="247462" customFormat="1" x14ac:dyDescent="0.25"/>
    <row r="247463" customFormat="1" x14ac:dyDescent="0.25"/>
    <row r="247464" customFormat="1" x14ac:dyDescent="0.25"/>
    <row r="247465" customFormat="1" x14ac:dyDescent="0.25"/>
    <row r="247466" customFormat="1" x14ac:dyDescent="0.25"/>
    <row r="247467" customFormat="1" x14ac:dyDescent="0.25"/>
    <row r="247468" customFormat="1" x14ac:dyDescent="0.25"/>
    <row r="247469" customFormat="1" x14ac:dyDescent="0.25"/>
    <row r="247470" customFormat="1" x14ac:dyDescent="0.25"/>
    <row r="247471" customFormat="1" x14ac:dyDescent="0.25"/>
    <row r="247472" customFormat="1" x14ac:dyDescent="0.25"/>
    <row r="247473" customFormat="1" x14ac:dyDescent="0.25"/>
    <row r="247474" customFormat="1" x14ac:dyDescent="0.25"/>
    <row r="247475" customFormat="1" x14ac:dyDescent="0.25"/>
    <row r="247476" customFormat="1" x14ac:dyDescent="0.25"/>
    <row r="247477" customFormat="1" x14ac:dyDescent="0.25"/>
    <row r="247478" customFormat="1" x14ac:dyDescent="0.25"/>
    <row r="247479" customFormat="1" x14ac:dyDescent="0.25"/>
    <row r="247480" customFormat="1" x14ac:dyDescent="0.25"/>
    <row r="247481" customFormat="1" x14ac:dyDescent="0.25"/>
    <row r="247482" customFormat="1" x14ac:dyDescent="0.25"/>
    <row r="247483" customFormat="1" x14ac:dyDescent="0.25"/>
    <row r="247484" customFormat="1" x14ac:dyDescent="0.25"/>
    <row r="247485" customFormat="1" x14ac:dyDescent="0.25"/>
    <row r="247486" customFormat="1" x14ac:dyDescent="0.25"/>
    <row r="247487" customFormat="1" x14ac:dyDescent="0.25"/>
    <row r="247488" customFormat="1" x14ac:dyDescent="0.25"/>
    <row r="247489" customFormat="1" x14ac:dyDescent="0.25"/>
    <row r="247490" customFormat="1" x14ac:dyDescent="0.25"/>
    <row r="247491" customFormat="1" x14ac:dyDescent="0.25"/>
    <row r="247492" customFormat="1" x14ac:dyDescent="0.25"/>
    <row r="247493" customFormat="1" x14ac:dyDescent="0.25"/>
    <row r="247494" customFormat="1" x14ac:dyDescent="0.25"/>
    <row r="247495" customFormat="1" x14ac:dyDescent="0.25"/>
    <row r="247496" customFormat="1" x14ac:dyDescent="0.25"/>
    <row r="247497" customFormat="1" x14ac:dyDescent="0.25"/>
    <row r="247498" customFormat="1" x14ac:dyDescent="0.25"/>
    <row r="247499" customFormat="1" x14ac:dyDescent="0.25"/>
    <row r="247500" customFormat="1" x14ac:dyDescent="0.25"/>
    <row r="247501" customFormat="1" x14ac:dyDescent="0.25"/>
    <row r="247502" customFormat="1" x14ac:dyDescent="0.25"/>
    <row r="247503" customFormat="1" x14ac:dyDescent="0.25"/>
    <row r="247504" customFormat="1" x14ac:dyDescent="0.25"/>
    <row r="247505" customFormat="1" x14ac:dyDescent="0.25"/>
    <row r="247506" customFormat="1" x14ac:dyDescent="0.25"/>
    <row r="247507" customFormat="1" x14ac:dyDescent="0.25"/>
    <row r="247508" customFormat="1" x14ac:dyDescent="0.25"/>
    <row r="247509" customFormat="1" x14ac:dyDescent="0.25"/>
    <row r="247510" customFormat="1" x14ac:dyDescent="0.25"/>
    <row r="247511" customFormat="1" x14ac:dyDescent="0.25"/>
    <row r="247512" customFormat="1" x14ac:dyDescent="0.25"/>
    <row r="247513" customFormat="1" x14ac:dyDescent="0.25"/>
    <row r="247514" customFormat="1" x14ac:dyDescent="0.25"/>
    <row r="247515" customFormat="1" x14ac:dyDescent="0.25"/>
    <row r="247516" customFormat="1" x14ac:dyDescent="0.25"/>
    <row r="247517" customFormat="1" x14ac:dyDescent="0.25"/>
    <row r="247518" customFormat="1" x14ac:dyDescent="0.25"/>
    <row r="247519" customFormat="1" x14ac:dyDescent="0.25"/>
    <row r="247520" customFormat="1" x14ac:dyDescent="0.25"/>
    <row r="247521" customFormat="1" x14ac:dyDescent="0.25"/>
    <row r="247522" customFormat="1" x14ac:dyDescent="0.25"/>
    <row r="247523" customFormat="1" x14ac:dyDescent="0.25"/>
    <row r="247524" customFormat="1" x14ac:dyDescent="0.25"/>
    <row r="247525" customFormat="1" x14ac:dyDescent="0.25"/>
    <row r="247526" customFormat="1" x14ac:dyDescent="0.25"/>
    <row r="247527" customFormat="1" x14ac:dyDescent="0.25"/>
    <row r="247528" customFormat="1" x14ac:dyDescent="0.25"/>
    <row r="247529" customFormat="1" x14ac:dyDescent="0.25"/>
    <row r="247530" customFormat="1" x14ac:dyDescent="0.25"/>
    <row r="247531" customFormat="1" x14ac:dyDescent="0.25"/>
    <row r="247532" customFormat="1" x14ac:dyDescent="0.25"/>
    <row r="247533" customFormat="1" x14ac:dyDescent="0.25"/>
    <row r="247534" customFormat="1" x14ac:dyDescent="0.25"/>
    <row r="247535" customFormat="1" x14ac:dyDescent="0.25"/>
    <row r="247536" customFormat="1" x14ac:dyDescent="0.25"/>
    <row r="247537" customFormat="1" x14ac:dyDescent="0.25"/>
    <row r="247538" customFormat="1" x14ac:dyDescent="0.25"/>
    <row r="247539" customFormat="1" x14ac:dyDescent="0.25"/>
    <row r="247540" customFormat="1" x14ac:dyDescent="0.25"/>
    <row r="247541" customFormat="1" x14ac:dyDescent="0.25"/>
    <row r="247542" customFormat="1" x14ac:dyDescent="0.25"/>
    <row r="247543" customFormat="1" x14ac:dyDescent="0.25"/>
    <row r="247544" customFormat="1" x14ac:dyDescent="0.25"/>
    <row r="247545" customFormat="1" x14ac:dyDescent="0.25"/>
    <row r="247546" customFormat="1" x14ac:dyDescent="0.25"/>
    <row r="247547" customFormat="1" x14ac:dyDescent="0.25"/>
    <row r="247548" customFormat="1" x14ac:dyDescent="0.25"/>
    <row r="247549" customFormat="1" x14ac:dyDescent="0.25"/>
    <row r="247550" customFormat="1" x14ac:dyDescent="0.25"/>
    <row r="247551" customFormat="1" x14ac:dyDescent="0.25"/>
    <row r="247552" customFormat="1" x14ac:dyDescent="0.25"/>
    <row r="247553" customFormat="1" x14ac:dyDescent="0.25"/>
    <row r="247554" customFormat="1" x14ac:dyDescent="0.25"/>
    <row r="247555" customFormat="1" x14ac:dyDescent="0.25"/>
    <row r="247556" customFormat="1" x14ac:dyDescent="0.25"/>
    <row r="247557" customFormat="1" x14ac:dyDescent="0.25"/>
    <row r="247558" customFormat="1" x14ac:dyDescent="0.25"/>
    <row r="247559" customFormat="1" x14ac:dyDescent="0.25"/>
    <row r="247560" customFormat="1" x14ac:dyDescent="0.25"/>
    <row r="247561" customFormat="1" x14ac:dyDescent="0.25"/>
    <row r="247562" customFormat="1" x14ac:dyDescent="0.25"/>
    <row r="247563" customFormat="1" x14ac:dyDescent="0.25"/>
    <row r="247564" customFormat="1" x14ac:dyDescent="0.25"/>
    <row r="247565" customFormat="1" x14ac:dyDescent="0.25"/>
    <row r="247566" customFormat="1" x14ac:dyDescent="0.25"/>
    <row r="247567" customFormat="1" x14ac:dyDescent="0.25"/>
    <row r="247568" customFormat="1" x14ac:dyDescent="0.25"/>
    <row r="247569" customFormat="1" x14ac:dyDescent="0.25"/>
    <row r="247570" customFormat="1" x14ac:dyDescent="0.25"/>
    <row r="247571" customFormat="1" x14ac:dyDescent="0.25"/>
    <row r="247572" customFormat="1" x14ac:dyDescent="0.25"/>
    <row r="247573" customFormat="1" x14ac:dyDescent="0.25"/>
    <row r="247574" customFormat="1" x14ac:dyDescent="0.25"/>
    <row r="247575" customFormat="1" x14ac:dyDescent="0.25"/>
    <row r="247576" customFormat="1" x14ac:dyDescent="0.25"/>
    <row r="247577" customFormat="1" x14ac:dyDescent="0.25"/>
    <row r="247578" customFormat="1" x14ac:dyDescent="0.25"/>
    <row r="247579" customFormat="1" x14ac:dyDescent="0.25"/>
    <row r="247580" customFormat="1" x14ac:dyDescent="0.25"/>
    <row r="247581" customFormat="1" x14ac:dyDescent="0.25"/>
    <row r="247582" customFormat="1" x14ac:dyDescent="0.25"/>
    <row r="247583" customFormat="1" x14ac:dyDescent="0.25"/>
    <row r="247584" customFormat="1" x14ac:dyDescent="0.25"/>
    <row r="247585" customFormat="1" x14ac:dyDescent="0.25"/>
    <row r="247586" customFormat="1" x14ac:dyDescent="0.25"/>
    <row r="247587" customFormat="1" x14ac:dyDescent="0.25"/>
    <row r="247588" customFormat="1" x14ac:dyDescent="0.25"/>
    <row r="247589" customFormat="1" x14ac:dyDescent="0.25"/>
    <row r="247590" customFormat="1" x14ac:dyDescent="0.25"/>
    <row r="247591" customFormat="1" x14ac:dyDescent="0.25"/>
    <row r="247592" customFormat="1" x14ac:dyDescent="0.25"/>
    <row r="247593" customFormat="1" x14ac:dyDescent="0.25"/>
    <row r="247594" customFormat="1" x14ac:dyDescent="0.25"/>
    <row r="247595" customFormat="1" x14ac:dyDescent="0.25"/>
    <row r="247596" customFormat="1" x14ac:dyDescent="0.25"/>
    <row r="247597" customFormat="1" x14ac:dyDescent="0.25"/>
    <row r="247598" customFormat="1" x14ac:dyDescent="0.25"/>
    <row r="247599" customFormat="1" x14ac:dyDescent="0.25"/>
    <row r="247600" customFormat="1" x14ac:dyDescent="0.25"/>
    <row r="247601" customFormat="1" x14ac:dyDescent="0.25"/>
    <row r="247602" customFormat="1" x14ac:dyDescent="0.25"/>
    <row r="247603" customFormat="1" x14ac:dyDescent="0.25"/>
    <row r="247604" customFormat="1" x14ac:dyDescent="0.25"/>
    <row r="247605" customFormat="1" x14ac:dyDescent="0.25"/>
    <row r="247606" customFormat="1" x14ac:dyDescent="0.25"/>
    <row r="247607" customFormat="1" x14ac:dyDescent="0.25"/>
    <row r="247608" customFormat="1" x14ac:dyDescent="0.25"/>
    <row r="247609" customFormat="1" x14ac:dyDescent="0.25"/>
    <row r="247610" customFormat="1" x14ac:dyDescent="0.25"/>
    <row r="247611" customFormat="1" x14ac:dyDescent="0.25"/>
    <row r="247612" customFormat="1" x14ac:dyDescent="0.25"/>
    <row r="247613" customFormat="1" x14ac:dyDescent="0.25"/>
    <row r="247614" customFormat="1" x14ac:dyDescent="0.25"/>
    <row r="247615" customFormat="1" x14ac:dyDescent="0.25"/>
    <row r="247616" customFormat="1" x14ac:dyDescent="0.25"/>
    <row r="247617" customFormat="1" x14ac:dyDescent="0.25"/>
    <row r="247618" customFormat="1" x14ac:dyDescent="0.25"/>
    <row r="247619" customFormat="1" x14ac:dyDescent="0.25"/>
    <row r="247620" customFormat="1" x14ac:dyDescent="0.25"/>
    <row r="247621" customFormat="1" x14ac:dyDescent="0.25"/>
    <row r="247622" customFormat="1" x14ac:dyDescent="0.25"/>
    <row r="247623" customFormat="1" x14ac:dyDescent="0.25"/>
    <row r="247624" customFormat="1" x14ac:dyDescent="0.25"/>
    <row r="247625" customFormat="1" x14ac:dyDescent="0.25"/>
    <row r="247626" customFormat="1" x14ac:dyDescent="0.25"/>
    <row r="247627" customFormat="1" x14ac:dyDescent="0.25"/>
    <row r="247628" customFormat="1" x14ac:dyDescent="0.25"/>
    <row r="247629" customFormat="1" x14ac:dyDescent="0.25"/>
    <row r="247630" customFormat="1" x14ac:dyDescent="0.25"/>
    <row r="247631" customFormat="1" x14ac:dyDescent="0.25"/>
    <row r="247632" customFormat="1" x14ac:dyDescent="0.25"/>
    <row r="247633" customFormat="1" x14ac:dyDescent="0.25"/>
    <row r="247634" customFormat="1" x14ac:dyDescent="0.25"/>
    <row r="247635" customFormat="1" x14ac:dyDescent="0.25"/>
    <row r="247636" customFormat="1" x14ac:dyDescent="0.25"/>
    <row r="247637" customFormat="1" x14ac:dyDescent="0.25"/>
    <row r="247638" customFormat="1" x14ac:dyDescent="0.25"/>
    <row r="247639" customFormat="1" x14ac:dyDescent="0.25"/>
    <row r="247640" customFormat="1" x14ac:dyDescent="0.25"/>
    <row r="247641" customFormat="1" x14ac:dyDescent="0.25"/>
    <row r="247642" customFormat="1" x14ac:dyDescent="0.25"/>
    <row r="247643" customFormat="1" x14ac:dyDescent="0.25"/>
    <row r="247644" customFormat="1" x14ac:dyDescent="0.25"/>
    <row r="247645" customFormat="1" x14ac:dyDescent="0.25"/>
    <row r="247646" customFormat="1" x14ac:dyDescent="0.25"/>
    <row r="247647" customFormat="1" x14ac:dyDescent="0.25"/>
    <row r="247648" customFormat="1" x14ac:dyDescent="0.25"/>
    <row r="247649" customFormat="1" x14ac:dyDescent="0.25"/>
    <row r="247650" customFormat="1" x14ac:dyDescent="0.25"/>
    <row r="247651" customFormat="1" x14ac:dyDescent="0.25"/>
    <row r="247652" customFormat="1" x14ac:dyDescent="0.25"/>
    <row r="247653" customFormat="1" x14ac:dyDescent="0.25"/>
    <row r="247654" customFormat="1" x14ac:dyDescent="0.25"/>
    <row r="247655" customFormat="1" x14ac:dyDescent="0.25"/>
    <row r="247656" customFormat="1" x14ac:dyDescent="0.25"/>
    <row r="247657" customFormat="1" x14ac:dyDescent="0.25"/>
    <row r="247658" customFormat="1" x14ac:dyDescent="0.25"/>
    <row r="247659" customFormat="1" x14ac:dyDescent="0.25"/>
    <row r="247660" customFormat="1" x14ac:dyDescent="0.25"/>
    <row r="247661" customFormat="1" x14ac:dyDescent="0.25"/>
    <row r="247662" customFormat="1" x14ac:dyDescent="0.25"/>
    <row r="247663" customFormat="1" x14ac:dyDescent="0.25"/>
    <row r="247664" customFormat="1" x14ac:dyDescent="0.25"/>
    <row r="247665" customFormat="1" x14ac:dyDescent="0.25"/>
    <row r="247666" customFormat="1" x14ac:dyDescent="0.25"/>
    <row r="247667" customFormat="1" x14ac:dyDescent="0.25"/>
    <row r="247668" customFormat="1" x14ac:dyDescent="0.25"/>
    <row r="247669" customFormat="1" x14ac:dyDescent="0.25"/>
    <row r="247670" customFormat="1" x14ac:dyDescent="0.25"/>
    <row r="247671" customFormat="1" x14ac:dyDescent="0.25"/>
    <row r="247672" customFormat="1" x14ac:dyDescent="0.25"/>
    <row r="247673" customFormat="1" x14ac:dyDescent="0.25"/>
    <row r="247674" customFormat="1" x14ac:dyDescent="0.25"/>
    <row r="247675" customFormat="1" x14ac:dyDescent="0.25"/>
    <row r="247676" customFormat="1" x14ac:dyDescent="0.25"/>
    <row r="247677" customFormat="1" x14ac:dyDescent="0.25"/>
    <row r="247678" customFormat="1" x14ac:dyDescent="0.25"/>
    <row r="247679" customFormat="1" x14ac:dyDescent="0.25"/>
    <row r="247680" customFormat="1" x14ac:dyDescent="0.25"/>
    <row r="247681" customFormat="1" x14ac:dyDescent="0.25"/>
    <row r="247682" customFormat="1" x14ac:dyDescent="0.25"/>
    <row r="247683" customFormat="1" x14ac:dyDescent="0.25"/>
    <row r="247684" customFormat="1" x14ac:dyDescent="0.25"/>
    <row r="247685" customFormat="1" x14ac:dyDescent="0.25"/>
    <row r="247686" customFormat="1" x14ac:dyDescent="0.25"/>
    <row r="247687" customFormat="1" x14ac:dyDescent="0.25"/>
    <row r="247688" customFormat="1" x14ac:dyDescent="0.25"/>
    <row r="247689" customFormat="1" x14ac:dyDescent="0.25"/>
    <row r="247690" customFormat="1" x14ac:dyDescent="0.25"/>
    <row r="247691" customFormat="1" x14ac:dyDescent="0.25"/>
    <row r="247692" customFormat="1" x14ac:dyDescent="0.25"/>
    <row r="247693" customFormat="1" x14ac:dyDescent="0.25"/>
    <row r="247694" customFormat="1" x14ac:dyDescent="0.25"/>
    <row r="247695" customFormat="1" x14ac:dyDescent="0.25"/>
    <row r="247696" customFormat="1" x14ac:dyDescent="0.25"/>
    <row r="247697" customFormat="1" x14ac:dyDescent="0.25"/>
    <row r="247698" customFormat="1" x14ac:dyDescent="0.25"/>
    <row r="247699" customFormat="1" x14ac:dyDescent="0.25"/>
    <row r="247700" customFormat="1" x14ac:dyDescent="0.25"/>
    <row r="247701" customFormat="1" x14ac:dyDescent="0.25"/>
    <row r="247702" customFormat="1" x14ac:dyDescent="0.25"/>
    <row r="247703" customFormat="1" x14ac:dyDescent="0.25"/>
    <row r="247704" customFormat="1" x14ac:dyDescent="0.25"/>
    <row r="247705" customFormat="1" x14ac:dyDescent="0.25"/>
    <row r="247706" customFormat="1" x14ac:dyDescent="0.25"/>
    <row r="247707" customFormat="1" x14ac:dyDescent="0.25"/>
    <row r="247708" customFormat="1" x14ac:dyDescent="0.25"/>
    <row r="247709" customFormat="1" x14ac:dyDescent="0.25"/>
    <row r="247710" customFormat="1" x14ac:dyDescent="0.25"/>
    <row r="247711" customFormat="1" x14ac:dyDescent="0.25"/>
    <row r="247712" customFormat="1" x14ac:dyDescent="0.25"/>
    <row r="247713" customFormat="1" x14ac:dyDescent="0.25"/>
    <row r="247714" customFormat="1" x14ac:dyDescent="0.25"/>
    <row r="247715" customFormat="1" x14ac:dyDescent="0.25"/>
    <row r="247716" customFormat="1" x14ac:dyDescent="0.25"/>
    <row r="247717" customFormat="1" x14ac:dyDescent="0.25"/>
    <row r="247718" customFormat="1" x14ac:dyDescent="0.25"/>
    <row r="247719" customFormat="1" x14ac:dyDescent="0.25"/>
    <row r="247720" customFormat="1" x14ac:dyDescent="0.25"/>
    <row r="247721" customFormat="1" x14ac:dyDescent="0.25"/>
    <row r="247722" customFormat="1" x14ac:dyDescent="0.25"/>
    <row r="247723" customFormat="1" x14ac:dyDescent="0.25"/>
    <row r="247724" customFormat="1" x14ac:dyDescent="0.25"/>
    <row r="247725" customFormat="1" x14ac:dyDescent="0.25"/>
    <row r="247726" customFormat="1" x14ac:dyDescent="0.25"/>
    <row r="247727" customFormat="1" x14ac:dyDescent="0.25"/>
    <row r="247728" customFormat="1" x14ac:dyDescent="0.25"/>
    <row r="247729" customFormat="1" x14ac:dyDescent="0.25"/>
    <row r="247730" customFormat="1" x14ac:dyDescent="0.25"/>
    <row r="247731" customFormat="1" x14ac:dyDescent="0.25"/>
    <row r="247732" customFormat="1" x14ac:dyDescent="0.25"/>
    <row r="247733" customFormat="1" x14ac:dyDescent="0.25"/>
    <row r="247734" customFormat="1" x14ac:dyDescent="0.25"/>
    <row r="247735" customFormat="1" x14ac:dyDescent="0.25"/>
    <row r="247736" customFormat="1" x14ac:dyDescent="0.25"/>
    <row r="247737" customFormat="1" x14ac:dyDescent="0.25"/>
    <row r="247738" customFormat="1" x14ac:dyDescent="0.25"/>
    <row r="247739" customFormat="1" x14ac:dyDescent="0.25"/>
    <row r="247740" customFormat="1" x14ac:dyDescent="0.25"/>
    <row r="247741" customFormat="1" x14ac:dyDescent="0.25"/>
    <row r="247742" customFormat="1" x14ac:dyDescent="0.25"/>
    <row r="247743" customFormat="1" x14ac:dyDescent="0.25"/>
    <row r="247744" customFormat="1" x14ac:dyDescent="0.25"/>
    <row r="247745" customFormat="1" x14ac:dyDescent="0.25"/>
    <row r="247746" customFormat="1" x14ac:dyDescent="0.25"/>
    <row r="247747" customFormat="1" x14ac:dyDescent="0.25"/>
    <row r="247748" customFormat="1" x14ac:dyDescent="0.25"/>
    <row r="247749" customFormat="1" x14ac:dyDescent="0.25"/>
    <row r="247750" customFormat="1" x14ac:dyDescent="0.25"/>
    <row r="247751" customFormat="1" x14ac:dyDescent="0.25"/>
    <row r="247752" customFormat="1" x14ac:dyDescent="0.25"/>
    <row r="247753" customFormat="1" x14ac:dyDescent="0.25"/>
    <row r="247754" customFormat="1" x14ac:dyDescent="0.25"/>
    <row r="247755" customFormat="1" x14ac:dyDescent="0.25"/>
    <row r="247756" customFormat="1" x14ac:dyDescent="0.25"/>
    <row r="247757" customFormat="1" x14ac:dyDescent="0.25"/>
    <row r="247758" customFormat="1" x14ac:dyDescent="0.25"/>
    <row r="247759" customFormat="1" x14ac:dyDescent="0.25"/>
    <row r="247760" customFormat="1" x14ac:dyDescent="0.25"/>
    <row r="247761" customFormat="1" x14ac:dyDescent="0.25"/>
    <row r="247762" customFormat="1" x14ac:dyDescent="0.25"/>
    <row r="247763" customFormat="1" x14ac:dyDescent="0.25"/>
    <row r="247764" customFormat="1" x14ac:dyDescent="0.25"/>
    <row r="247765" customFormat="1" x14ac:dyDescent="0.25"/>
    <row r="247766" customFormat="1" x14ac:dyDescent="0.25"/>
    <row r="247767" customFormat="1" x14ac:dyDescent="0.25"/>
    <row r="247768" customFormat="1" x14ac:dyDescent="0.25"/>
    <row r="247769" customFormat="1" x14ac:dyDescent="0.25"/>
    <row r="247770" customFormat="1" x14ac:dyDescent="0.25"/>
    <row r="247771" customFormat="1" x14ac:dyDescent="0.25"/>
    <row r="247772" customFormat="1" x14ac:dyDescent="0.25"/>
    <row r="247773" customFormat="1" x14ac:dyDescent="0.25"/>
    <row r="247774" customFormat="1" x14ac:dyDescent="0.25"/>
    <row r="247775" customFormat="1" x14ac:dyDescent="0.25"/>
    <row r="247776" customFormat="1" x14ac:dyDescent="0.25"/>
    <row r="247777" customFormat="1" x14ac:dyDescent="0.25"/>
    <row r="247778" customFormat="1" x14ac:dyDescent="0.25"/>
    <row r="247779" customFormat="1" x14ac:dyDescent="0.25"/>
    <row r="247780" customFormat="1" x14ac:dyDescent="0.25"/>
    <row r="247781" customFormat="1" x14ac:dyDescent="0.25"/>
    <row r="247782" customFormat="1" x14ac:dyDescent="0.25"/>
    <row r="247783" customFormat="1" x14ac:dyDescent="0.25"/>
    <row r="247784" customFormat="1" x14ac:dyDescent="0.25"/>
    <row r="247785" customFormat="1" x14ac:dyDescent="0.25"/>
    <row r="247786" customFormat="1" x14ac:dyDescent="0.25"/>
    <row r="247787" customFormat="1" x14ac:dyDescent="0.25"/>
    <row r="247788" customFormat="1" x14ac:dyDescent="0.25"/>
    <row r="247789" customFormat="1" x14ac:dyDescent="0.25"/>
    <row r="247790" customFormat="1" x14ac:dyDescent="0.25"/>
    <row r="247791" customFormat="1" x14ac:dyDescent="0.25"/>
    <row r="247792" customFormat="1" x14ac:dyDescent="0.25"/>
    <row r="247793" customFormat="1" x14ac:dyDescent="0.25"/>
    <row r="247794" customFormat="1" x14ac:dyDescent="0.25"/>
    <row r="247795" customFormat="1" x14ac:dyDescent="0.25"/>
    <row r="247796" customFormat="1" x14ac:dyDescent="0.25"/>
    <row r="247797" customFormat="1" x14ac:dyDescent="0.25"/>
    <row r="247798" customFormat="1" x14ac:dyDescent="0.25"/>
    <row r="247799" customFormat="1" x14ac:dyDescent="0.25"/>
    <row r="247800" customFormat="1" x14ac:dyDescent="0.25"/>
    <row r="247801" customFormat="1" x14ac:dyDescent="0.25"/>
    <row r="247802" customFormat="1" x14ac:dyDescent="0.25"/>
    <row r="247803" customFormat="1" x14ac:dyDescent="0.25"/>
    <row r="247804" customFormat="1" x14ac:dyDescent="0.25"/>
    <row r="247805" customFormat="1" x14ac:dyDescent="0.25"/>
    <row r="247806" customFormat="1" x14ac:dyDescent="0.25"/>
    <row r="247807" customFormat="1" x14ac:dyDescent="0.25"/>
    <row r="247808" customFormat="1" x14ac:dyDescent="0.25"/>
    <row r="247809" customFormat="1" x14ac:dyDescent="0.25"/>
    <row r="247810" customFormat="1" x14ac:dyDescent="0.25"/>
    <row r="247811" customFormat="1" x14ac:dyDescent="0.25"/>
    <row r="247812" customFormat="1" x14ac:dyDescent="0.25"/>
    <row r="247813" customFormat="1" x14ac:dyDescent="0.25"/>
    <row r="247814" customFormat="1" x14ac:dyDescent="0.25"/>
    <row r="247815" customFormat="1" x14ac:dyDescent="0.25"/>
    <row r="247816" customFormat="1" x14ac:dyDescent="0.25"/>
    <row r="247817" customFormat="1" x14ac:dyDescent="0.25"/>
    <row r="247818" customFormat="1" x14ac:dyDescent="0.25"/>
    <row r="247819" customFormat="1" x14ac:dyDescent="0.25"/>
    <row r="247820" customFormat="1" x14ac:dyDescent="0.25"/>
    <row r="247821" customFormat="1" x14ac:dyDescent="0.25"/>
    <row r="247822" customFormat="1" x14ac:dyDescent="0.25"/>
    <row r="247823" customFormat="1" x14ac:dyDescent="0.25"/>
    <row r="247824" customFormat="1" x14ac:dyDescent="0.25"/>
    <row r="247825" customFormat="1" x14ac:dyDescent="0.25"/>
    <row r="247826" customFormat="1" x14ac:dyDescent="0.25"/>
    <row r="247827" customFormat="1" x14ac:dyDescent="0.25"/>
    <row r="247828" customFormat="1" x14ac:dyDescent="0.25"/>
    <row r="247829" customFormat="1" x14ac:dyDescent="0.25"/>
    <row r="247830" customFormat="1" x14ac:dyDescent="0.25"/>
    <row r="247831" customFormat="1" x14ac:dyDescent="0.25"/>
    <row r="247832" customFormat="1" x14ac:dyDescent="0.25"/>
    <row r="247833" customFormat="1" x14ac:dyDescent="0.25"/>
    <row r="247834" customFormat="1" x14ac:dyDescent="0.25"/>
    <row r="247835" customFormat="1" x14ac:dyDescent="0.25"/>
    <row r="247836" customFormat="1" x14ac:dyDescent="0.25"/>
    <row r="247837" customFormat="1" x14ac:dyDescent="0.25"/>
    <row r="247838" customFormat="1" x14ac:dyDescent="0.25"/>
    <row r="247839" customFormat="1" x14ac:dyDescent="0.25"/>
    <row r="247840" customFormat="1" x14ac:dyDescent="0.25"/>
    <row r="247841" customFormat="1" x14ac:dyDescent="0.25"/>
    <row r="247842" customFormat="1" x14ac:dyDescent="0.25"/>
    <row r="247843" customFormat="1" x14ac:dyDescent="0.25"/>
    <row r="247844" customFormat="1" x14ac:dyDescent="0.25"/>
    <row r="247845" customFormat="1" x14ac:dyDescent="0.25"/>
    <row r="247846" customFormat="1" x14ac:dyDescent="0.25"/>
    <row r="247847" customFormat="1" x14ac:dyDescent="0.25"/>
    <row r="247848" customFormat="1" x14ac:dyDescent="0.25"/>
    <row r="247849" customFormat="1" x14ac:dyDescent="0.25"/>
    <row r="247850" customFormat="1" x14ac:dyDescent="0.25"/>
    <row r="247851" customFormat="1" x14ac:dyDescent="0.25"/>
    <row r="247852" customFormat="1" x14ac:dyDescent="0.25"/>
    <row r="247853" customFormat="1" x14ac:dyDescent="0.25"/>
    <row r="247854" customFormat="1" x14ac:dyDescent="0.25"/>
    <row r="247855" customFormat="1" x14ac:dyDescent="0.25"/>
    <row r="247856" customFormat="1" x14ac:dyDescent="0.25"/>
    <row r="247857" customFormat="1" x14ac:dyDescent="0.25"/>
    <row r="247858" customFormat="1" x14ac:dyDescent="0.25"/>
    <row r="247859" customFormat="1" x14ac:dyDescent="0.25"/>
    <row r="247860" customFormat="1" x14ac:dyDescent="0.25"/>
    <row r="247861" customFormat="1" x14ac:dyDescent="0.25"/>
    <row r="247862" customFormat="1" x14ac:dyDescent="0.25"/>
    <row r="247863" customFormat="1" x14ac:dyDescent="0.25"/>
    <row r="247864" customFormat="1" x14ac:dyDescent="0.25"/>
    <row r="247865" customFormat="1" x14ac:dyDescent="0.25"/>
    <row r="247866" customFormat="1" x14ac:dyDescent="0.25"/>
    <row r="247867" customFormat="1" x14ac:dyDescent="0.25"/>
    <row r="247868" customFormat="1" x14ac:dyDescent="0.25"/>
    <row r="247869" customFormat="1" x14ac:dyDescent="0.25"/>
    <row r="247870" customFormat="1" x14ac:dyDescent="0.25"/>
    <row r="247871" customFormat="1" x14ac:dyDescent="0.25"/>
    <row r="247872" customFormat="1" x14ac:dyDescent="0.25"/>
    <row r="247873" customFormat="1" x14ac:dyDescent="0.25"/>
    <row r="247874" customFormat="1" x14ac:dyDescent="0.25"/>
    <row r="247875" customFormat="1" x14ac:dyDescent="0.25"/>
    <row r="247876" customFormat="1" x14ac:dyDescent="0.25"/>
    <row r="247877" customFormat="1" x14ac:dyDescent="0.25"/>
    <row r="247878" customFormat="1" x14ac:dyDescent="0.25"/>
    <row r="247879" customFormat="1" x14ac:dyDescent="0.25"/>
    <row r="247880" customFormat="1" x14ac:dyDescent="0.25"/>
    <row r="247881" customFormat="1" x14ac:dyDescent="0.25"/>
    <row r="247882" customFormat="1" x14ac:dyDescent="0.25"/>
    <row r="247883" customFormat="1" x14ac:dyDescent="0.25"/>
    <row r="247884" customFormat="1" x14ac:dyDescent="0.25"/>
    <row r="247885" customFormat="1" x14ac:dyDescent="0.25"/>
    <row r="247886" customFormat="1" x14ac:dyDescent="0.25"/>
    <row r="247887" customFormat="1" x14ac:dyDescent="0.25"/>
    <row r="247888" customFormat="1" x14ac:dyDescent="0.25"/>
    <row r="247889" customFormat="1" x14ac:dyDescent="0.25"/>
    <row r="247890" customFormat="1" x14ac:dyDescent="0.25"/>
    <row r="247891" customFormat="1" x14ac:dyDescent="0.25"/>
    <row r="247892" customFormat="1" x14ac:dyDescent="0.25"/>
    <row r="247893" customFormat="1" x14ac:dyDescent="0.25"/>
    <row r="247894" customFormat="1" x14ac:dyDescent="0.25"/>
    <row r="247895" customFormat="1" x14ac:dyDescent="0.25"/>
    <row r="247896" customFormat="1" x14ac:dyDescent="0.25"/>
    <row r="247897" customFormat="1" x14ac:dyDescent="0.25"/>
    <row r="247898" customFormat="1" x14ac:dyDescent="0.25"/>
    <row r="247899" customFormat="1" x14ac:dyDescent="0.25"/>
    <row r="247900" customFormat="1" x14ac:dyDescent="0.25"/>
    <row r="247901" customFormat="1" x14ac:dyDescent="0.25"/>
    <row r="247902" customFormat="1" x14ac:dyDescent="0.25"/>
    <row r="247903" customFormat="1" x14ac:dyDescent="0.25"/>
    <row r="247904" customFormat="1" x14ac:dyDescent="0.25"/>
    <row r="247905" customFormat="1" x14ac:dyDescent="0.25"/>
    <row r="247906" customFormat="1" x14ac:dyDescent="0.25"/>
    <row r="247907" customFormat="1" x14ac:dyDescent="0.25"/>
    <row r="247908" customFormat="1" x14ac:dyDescent="0.25"/>
    <row r="247909" customFormat="1" x14ac:dyDescent="0.25"/>
    <row r="247910" customFormat="1" x14ac:dyDescent="0.25"/>
    <row r="247911" customFormat="1" x14ac:dyDescent="0.25"/>
    <row r="247912" customFormat="1" x14ac:dyDescent="0.25"/>
    <row r="247913" customFormat="1" x14ac:dyDescent="0.25"/>
    <row r="247914" customFormat="1" x14ac:dyDescent="0.25"/>
    <row r="247915" customFormat="1" x14ac:dyDescent="0.25"/>
    <row r="247916" customFormat="1" x14ac:dyDescent="0.25"/>
    <row r="247917" customFormat="1" x14ac:dyDescent="0.25"/>
    <row r="247918" customFormat="1" x14ac:dyDescent="0.25"/>
    <row r="247919" customFormat="1" x14ac:dyDescent="0.25"/>
    <row r="247920" customFormat="1" x14ac:dyDescent="0.25"/>
    <row r="247921" customFormat="1" x14ac:dyDescent="0.25"/>
    <row r="247922" customFormat="1" x14ac:dyDescent="0.25"/>
    <row r="247923" customFormat="1" x14ac:dyDescent="0.25"/>
    <row r="247924" customFormat="1" x14ac:dyDescent="0.25"/>
    <row r="247925" customFormat="1" x14ac:dyDescent="0.25"/>
    <row r="247926" customFormat="1" x14ac:dyDescent="0.25"/>
    <row r="247927" customFormat="1" x14ac:dyDescent="0.25"/>
    <row r="247928" customFormat="1" x14ac:dyDescent="0.25"/>
    <row r="247929" customFormat="1" x14ac:dyDescent="0.25"/>
    <row r="247930" customFormat="1" x14ac:dyDescent="0.25"/>
    <row r="247931" customFormat="1" x14ac:dyDescent="0.25"/>
    <row r="247932" customFormat="1" x14ac:dyDescent="0.25"/>
    <row r="247933" customFormat="1" x14ac:dyDescent="0.25"/>
    <row r="247934" customFormat="1" x14ac:dyDescent="0.25"/>
    <row r="247935" customFormat="1" x14ac:dyDescent="0.25"/>
    <row r="247936" customFormat="1" x14ac:dyDescent="0.25"/>
    <row r="247937" customFormat="1" x14ac:dyDescent="0.25"/>
    <row r="247938" customFormat="1" x14ac:dyDescent="0.25"/>
    <row r="247939" customFormat="1" x14ac:dyDescent="0.25"/>
    <row r="247940" customFormat="1" x14ac:dyDescent="0.25"/>
    <row r="247941" customFormat="1" x14ac:dyDescent="0.25"/>
    <row r="247942" customFormat="1" x14ac:dyDescent="0.25"/>
    <row r="247943" customFormat="1" x14ac:dyDescent="0.25"/>
    <row r="247944" customFormat="1" x14ac:dyDescent="0.25"/>
    <row r="247945" customFormat="1" x14ac:dyDescent="0.25"/>
    <row r="247946" customFormat="1" x14ac:dyDescent="0.25"/>
    <row r="247947" customFormat="1" x14ac:dyDescent="0.25"/>
    <row r="247948" customFormat="1" x14ac:dyDescent="0.25"/>
    <row r="247949" customFormat="1" x14ac:dyDescent="0.25"/>
    <row r="247950" customFormat="1" x14ac:dyDescent="0.25"/>
    <row r="247951" customFormat="1" x14ac:dyDescent="0.25"/>
    <row r="247952" customFormat="1" x14ac:dyDescent="0.25"/>
    <row r="247953" customFormat="1" x14ac:dyDescent="0.25"/>
    <row r="247954" customFormat="1" x14ac:dyDescent="0.25"/>
    <row r="247955" customFormat="1" x14ac:dyDescent="0.25"/>
    <row r="247956" customFormat="1" x14ac:dyDescent="0.25"/>
    <row r="247957" customFormat="1" x14ac:dyDescent="0.25"/>
    <row r="247958" customFormat="1" x14ac:dyDescent="0.25"/>
    <row r="247959" customFormat="1" x14ac:dyDescent="0.25"/>
    <row r="247960" customFormat="1" x14ac:dyDescent="0.25"/>
    <row r="247961" customFormat="1" x14ac:dyDescent="0.25"/>
    <row r="247962" customFormat="1" x14ac:dyDescent="0.25"/>
    <row r="247963" customFormat="1" x14ac:dyDescent="0.25"/>
    <row r="247964" customFormat="1" x14ac:dyDescent="0.25"/>
    <row r="247965" customFormat="1" x14ac:dyDescent="0.25"/>
    <row r="247966" customFormat="1" x14ac:dyDescent="0.25"/>
    <row r="247967" customFormat="1" x14ac:dyDescent="0.25"/>
    <row r="247968" customFormat="1" x14ac:dyDescent="0.25"/>
    <row r="247969" customFormat="1" x14ac:dyDescent="0.25"/>
    <row r="247970" customFormat="1" x14ac:dyDescent="0.25"/>
    <row r="247971" customFormat="1" x14ac:dyDescent="0.25"/>
    <row r="247972" customFormat="1" x14ac:dyDescent="0.25"/>
    <row r="247973" customFormat="1" x14ac:dyDescent="0.25"/>
    <row r="247974" customFormat="1" x14ac:dyDescent="0.25"/>
    <row r="247975" customFormat="1" x14ac:dyDescent="0.25"/>
    <row r="247976" customFormat="1" x14ac:dyDescent="0.25"/>
    <row r="247977" customFormat="1" x14ac:dyDescent="0.25"/>
    <row r="247978" customFormat="1" x14ac:dyDescent="0.25"/>
    <row r="247979" customFormat="1" x14ac:dyDescent="0.25"/>
    <row r="247980" customFormat="1" x14ac:dyDescent="0.25"/>
    <row r="247981" customFormat="1" x14ac:dyDescent="0.25"/>
    <row r="247982" customFormat="1" x14ac:dyDescent="0.25"/>
    <row r="247983" customFormat="1" x14ac:dyDescent="0.25"/>
    <row r="247984" customFormat="1" x14ac:dyDescent="0.25"/>
    <row r="247985" customFormat="1" x14ac:dyDescent="0.25"/>
    <row r="247986" customFormat="1" x14ac:dyDescent="0.25"/>
    <row r="247987" customFormat="1" x14ac:dyDescent="0.25"/>
    <row r="247988" customFormat="1" x14ac:dyDescent="0.25"/>
    <row r="247989" customFormat="1" x14ac:dyDescent="0.25"/>
    <row r="247990" customFormat="1" x14ac:dyDescent="0.25"/>
    <row r="247991" customFormat="1" x14ac:dyDescent="0.25"/>
    <row r="247992" customFormat="1" x14ac:dyDescent="0.25"/>
    <row r="247993" customFormat="1" x14ac:dyDescent="0.25"/>
    <row r="247994" customFormat="1" x14ac:dyDescent="0.25"/>
    <row r="247995" customFormat="1" x14ac:dyDescent="0.25"/>
    <row r="247996" customFormat="1" x14ac:dyDescent="0.25"/>
    <row r="247997" customFormat="1" x14ac:dyDescent="0.25"/>
    <row r="247998" customFormat="1" x14ac:dyDescent="0.25"/>
    <row r="247999" customFormat="1" x14ac:dyDescent="0.25"/>
    <row r="248000" customFormat="1" x14ac:dyDescent="0.25"/>
    <row r="248001" customFormat="1" x14ac:dyDescent="0.25"/>
    <row r="248002" customFormat="1" x14ac:dyDescent="0.25"/>
    <row r="248003" customFormat="1" x14ac:dyDescent="0.25"/>
    <row r="248004" customFormat="1" x14ac:dyDescent="0.25"/>
    <row r="248005" customFormat="1" x14ac:dyDescent="0.25"/>
    <row r="248006" customFormat="1" x14ac:dyDescent="0.25"/>
    <row r="248007" customFormat="1" x14ac:dyDescent="0.25"/>
    <row r="248008" customFormat="1" x14ac:dyDescent="0.25"/>
    <row r="248009" customFormat="1" x14ac:dyDescent="0.25"/>
    <row r="248010" customFormat="1" x14ac:dyDescent="0.25"/>
    <row r="248011" customFormat="1" x14ac:dyDescent="0.25"/>
    <row r="248012" customFormat="1" x14ac:dyDescent="0.25"/>
    <row r="248013" customFormat="1" x14ac:dyDescent="0.25"/>
    <row r="248014" customFormat="1" x14ac:dyDescent="0.25"/>
    <row r="248015" customFormat="1" x14ac:dyDescent="0.25"/>
    <row r="248016" customFormat="1" x14ac:dyDescent="0.25"/>
    <row r="248017" customFormat="1" x14ac:dyDescent="0.25"/>
    <row r="248018" customFormat="1" x14ac:dyDescent="0.25"/>
    <row r="248019" customFormat="1" x14ac:dyDescent="0.25"/>
    <row r="248020" customFormat="1" x14ac:dyDescent="0.25"/>
    <row r="248021" customFormat="1" x14ac:dyDescent="0.25"/>
    <row r="248022" customFormat="1" x14ac:dyDescent="0.25"/>
    <row r="248023" customFormat="1" x14ac:dyDescent="0.25"/>
    <row r="248024" customFormat="1" x14ac:dyDescent="0.25"/>
    <row r="248025" customFormat="1" x14ac:dyDescent="0.25"/>
    <row r="248026" customFormat="1" x14ac:dyDescent="0.25"/>
    <row r="248027" customFormat="1" x14ac:dyDescent="0.25"/>
    <row r="248028" customFormat="1" x14ac:dyDescent="0.25"/>
    <row r="248029" customFormat="1" x14ac:dyDescent="0.25"/>
    <row r="248030" customFormat="1" x14ac:dyDescent="0.25"/>
    <row r="248031" customFormat="1" x14ac:dyDescent="0.25"/>
    <row r="248032" customFormat="1" x14ac:dyDescent="0.25"/>
    <row r="248033" customFormat="1" x14ac:dyDescent="0.25"/>
    <row r="248034" customFormat="1" x14ac:dyDescent="0.25"/>
    <row r="248035" customFormat="1" x14ac:dyDescent="0.25"/>
    <row r="248036" customFormat="1" x14ac:dyDescent="0.25"/>
    <row r="248037" customFormat="1" x14ac:dyDescent="0.25"/>
    <row r="248038" customFormat="1" x14ac:dyDescent="0.25"/>
    <row r="248039" customFormat="1" x14ac:dyDescent="0.25"/>
    <row r="248040" customFormat="1" x14ac:dyDescent="0.25"/>
    <row r="248041" customFormat="1" x14ac:dyDescent="0.25"/>
    <row r="248042" customFormat="1" x14ac:dyDescent="0.25"/>
    <row r="248043" customFormat="1" x14ac:dyDescent="0.25"/>
    <row r="248044" customFormat="1" x14ac:dyDescent="0.25"/>
    <row r="248045" customFormat="1" x14ac:dyDescent="0.25"/>
    <row r="248046" customFormat="1" x14ac:dyDescent="0.25"/>
    <row r="248047" customFormat="1" x14ac:dyDescent="0.25"/>
    <row r="248048" customFormat="1" x14ac:dyDescent="0.25"/>
    <row r="248049" customFormat="1" x14ac:dyDescent="0.25"/>
    <row r="248050" customFormat="1" x14ac:dyDescent="0.25"/>
    <row r="248051" customFormat="1" x14ac:dyDescent="0.25"/>
    <row r="248052" customFormat="1" x14ac:dyDescent="0.25"/>
    <row r="248053" customFormat="1" x14ac:dyDescent="0.25"/>
    <row r="248054" customFormat="1" x14ac:dyDescent="0.25"/>
    <row r="248055" customFormat="1" x14ac:dyDescent="0.25"/>
    <row r="248056" customFormat="1" x14ac:dyDescent="0.25"/>
    <row r="248057" customFormat="1" x14ac:dyDescent="0.25"/>
    <row r="248058" customFormat="1" x14ac:dyDescent="0.25"/>
    <row r="248059" customFormat="1" x14ac:dyDescent="0.25"/>
    <row r="248060" customFormat="1" x14ac:dyDescent="0.25"/>
    <row r="248061" customFormat="1" x14ac:dyDescent="0.25"/>
    <row r="248062" customFormat="1" x14ac:dyDescent="0.25"/>
    <row r="248063" customFormat="1" x14ac:dyDescent="0.25"/>
    <row r="248064" customFormat="1" x14ac:dyDescent="0.25"/>
    <row r="248065" customFormat="1" x14ac:dyDescent="0.25"/>
    <row r="248066" customFormat="1" x14ac:dyDescent="0.25"/>
    <row r="248067" customFormat="1" x14ac:dyDescent="0.25"/>
    <row r="248068" customFormat="1" x14ac:dyDescent="0.25"/>
    <row r="248069" customFormat="1" x14ac:dyDescent="0.25"/>
    <row r="248070" customFormat="1" x14ac:dyDescent="0.25"/>
    <row r="248071" customFormat="1" x14ac:dyDescent="0.25"/>
    <row r="248072" customFormat="1" x14ac:dyDescent="0.25"/>
    <row r="248073" customFormat="1" x14ac:dyDescent="0.25"/>
    <row r="248074" customFormat="1" x14ac:dyDescent="0.25"/>
    <row r="248075" customFormat="1" x14ac:dyDescent="0.25"/>
    <row r="248076" customFormat="1" x14ac:dyDescent="0.25"/>
    <row r="248077" customFormat="1" x14ac:dyDescent="0.25"/>
    <row r="248078" customFormat="1" x14ac:dyDescent="0.25"/>
    <row r="248079" customFormat="1" x14ac:dyDescent="0.25"/>
    <row r="248080" customFormat="1" x14ac:dyDescent="0.25"/>
    <row r="248081" customFormat="1" x14ac:dyDescent="0.25"/>
    <row r="248082" customFormat="1" x14ac:dyDescent="0.25"/>
    <row r="248083" customFormat="1" x14ac:dyDescent="0.25"/>
    <row r="248084" customFormat="1" x14ac:dyDescent="0.25"/>
    <row r="248085" customFormat="1" x14ac:dyDescent="0.25"/>
    <row r="248086" customFormat="1" x14ac:dyDescent="0.25"/>
    <row r="248087" customFormat="1" x14ac:dyDescent="0.25"/>
    <row r="248088" customFormat="1" x14ac:dyDescent="0.25"/>
    <row r="248089" customFormat="1" x14ac:dyDescent="0.25"/>
    <row r="248090" customFormat="1" x14ac:dyDescent="0.25"/>
    <row r="248091" customFormat="1" x14ac:dyDescent="0.25"/>
    <row r="248092" customFormat="1" x14ac:dyDescent="0.25"/>
    <row r="248093" customFormat="1" x14ac:dyDescent="0.25"/>
    <row r="248094" customFormat="1" x14ac:dyDescent="0.25"/>
    <row r="248095" customFormat="1" x14ac:dyDescent="0.25"/>
    <row r="248096" customFormat="1" x14ac:dyDescent="0.25"/>
    <row r="248097" customFormat="1" x14ac:dyDescent="0.25"/>
    <row r="248098" customFormat="1" x14ac:dyDescent="0.25"/>
    <row r="248099" customFormat="1" x14ac:dyDescent="0.25"/>
    <row r="248100" customFormat="1" x14ac:dyDescent="0.25"/>
    <row r="248101" customFormat="1" x14ac:dyDescent="0.25"/>
    <row r="248102" customFormat="1" x14ac:dyDescent="0.25"/>
    <row r="248103" customFormat="1" x14ac:dyDescent="0.25"/>
    <row r="248104" customFormat="1" x14ac:dyDescent="0.25"/>
    <row r="248105" customFormat="1" x14ac:dyDescent="0.25"/>
    <row r="248106" customFormat="1" x14ac:dyDescent="0.25"/>
    <row r="248107" customFormat="1" x14ac:dyDescent="0.25"/>
    <row r="248108" customFormat="1" x14ac:dyDescent="0.25"/>
    <row r="248109" customFormat="1" x14ac:dyDescent="0.25"/>
    <row r="248110" customFormat="1" x14ac:dyDescent="0.25"/>
    <row r="248111" customFormat="1" x14ac:dyDescent="0.25"/>
    <row r="248112" customFormat="1" x14ac:dyDescent="0.25"/>
    <row r="248113" customFormat="1" x14ac:dyDescent="0.25"/>
    <row r="248114" customFormat="1" x14ac:dyDescent="0.25"/>
    <row r="248115" customFormat="1" x14ac:dyDescent="0.25"/>
    <row r="248116" customFormat="1" x14ac:dyDescent="0.25"/>
    <row r="248117" customFormat="1" x14ac:dyDescent="0.25"/>
    <row r="248118" customFormat="1" x14ac:dyDescent="0.25"/>
    <row r="248119" customFormat="1" x14ac:dyDescent="0.25"/>
    <row r="248120" customFormat="1" x14ac:dyDescent="0.25"/>
    <row r="248121" customFormat="1" x14ac:dyDescent="0.25"/>
    <row r="248122" customFormat="1" x14ac:dyDescent="0.25"/>
    <row r="248123" customFormat="1" x14ac:dyDescent="0.25"/>
    <row r="248124" customFormat="1" x14ac:dyDescent="0.25"/>
    <row r="248125" customFormat="1" x14ac:dyDescent="0.25"/>
    <row r="248126" customFormat="1" x14ac:dyDescent="0.25"/>
    <row r="248127" customFormat="1" x14ac:dyDescent="0.25"/>
    <row r="248128" customFormat="1" x14ac:dyDescent="0.25"/>
    <row r="248129" customFormat="1" x14ac:dyDescent="0.25"/>
    <row r="248130" customFormat="1" x14ac:dyDescent="0.25"/>
    <row r="248131" customFormat="1" x14ac:dyDescent="0.25"/>
    <row r="248132" customFormat="1" x14ac:dyDescent="0.25"/>
    <row r="248133" customFormat="1" x14ac:dyDescent="0.25"/>
    <row r="248134" customFormat="1" x14ac:dyDescent="0.25"/>
    <row r="248135" customFormat="1" x14ac:dyDescent="0.25"/>
    <row r="248136" customFormat="1" x14ac:dyDescent="0.25"/>
    <row r="248137" customFormat="1" x14ac:dyDescent="0.25"/>
    <row r="248138" customFormat="1" x14ac:dyDescent="0.25"/>
    <row r="248139" customFormat="1" x14ac:dyDescent="0.25"/>
    <row r="248140" customFormat="1" x14ac:dyDescent="0.25"/>
    <row r="248141" customFormat="1" x14ac:dyDescent="0.25"/>
    <row r="248142" customFormat="1" x14ac:dyDescent="0.25"/>
    <row r="248143" customFormat="1" x14ac:dyDescent="0.25"/>
    <row r="248144" customFormat="1" x14ac:dyDescent="0.25"/>
    <row r="248145" customFormat="1" x14ac:dyDescent="0.25"/>
    <row r="248146" customFormat="1" x14ac:dyDescent="0.25"/>
    <row r="248147" customFormat="1" x14ac:dyDescent="0.25"/>
    <row r="248148" customFormat="1" x14ac:dyDescent="0.25"/>
    <row r="248149" customFormat="1" x14ac:dyDescent="0.25"/>
    <row r="248150" customFormat="1" x14ac:dyDescent="0.25"/>
    <row r="248151" customFormat="1" x14ac:dyDescent="0.25"/>
    <row r="248152" customFormat="1" x14ac:dyDescent="0.25"/>
    <row r="248153" customFormat="1" x14ac:dyDescent="0.25"/>
    <row r="248154" customFormat="1" x14ac:dyDescent="0.25"/>
    <row r="248155" customFormat="1" x14ac:dyDescent="0.25"/>
    <row r="248156" customFormat="1" x14ac:dyDescent="0.25"/>
    <row r="248157" customFormat="1" x14ac:dyDescent="0.25"/>
    <row r="248158" customFormat="1" x14ac:dyDescent="0.25"/>
    <row r="248159" customFormat="1" x14ac:dyDescent="0.25"/>
    <row r="248160" customFormat="1" x14ac:dyDescent="0.25"/>
    <row r="248161" customFormat="1" x14ac:dyDescent="0.25"/>
    <row r="248162" customFormat="1" x14ac:dyDescent="0.25"/>
    <row r="248163" customFormat="1" x14ac:dyDescent="0.25"/>
    <row r="248164" customFormat="1" x14ac:dyDescent="0.25"/>
    <row r="248165" customFormat="1" x14ac:dyDescent="0.25"/>
    <row r="248166" customFormat="1" x14ac:dyDescent="0.25"/>
    <row r="248167" customFormat="1" x14ac:dyDescent="0.25"/>
    <row r="248168" customFormat="1" x14ac:dyDescent="0.25"/>
    <row r="248169" customFormat="1" x14ac:dyDescent="0.25"/>
    <row r="248170" customFormat="1" x14ac:dyDescent="0.25"/>
    <row r="248171" customFormat="1" x14ac:dyDescent="0.25"/>
    <row r="248172" customFormat="1" x14ac:dyDescent="0.25"/>
    <row r="248173" customFormat="1" x14ac:dyDescent="0.25"/>
    <row r="248174" customFormat="1" x14ac:dyDescent="0.25"/>
    <row r="248175" customFormat="1" x14ac:dyDescent="0.25"/>
    <row r="248176" customFormat="1" x14ac:dyDescent="0.25"/>
    <row r="248177" customFormat="1" x14ac:dyDescent="0.25"/>
    <row r="248178" customFormat="1" x14ac:dyDescent="0.25"/>
    <row r="248179" customFormat="1" x14ac:dyDescent="0.25"/>
    <row r="248180" customFormat="1" x14ac:dyDescent="0.25"/>
    <row r="248181" customFormat="1" x14ac:dyDescent="0.25"/>
    <row r="248182" customFormat="1" x14ac:dyDescent="0.25"/>
    <row r="248183" customFormat="1" x14ac:dyDescent="0.25"/>
    <row r="248184" customFormat="1" x14ac:dyDescent="0.25"/>
    <row r="248185" customFormat="1" x14ac:dyDescent="0.25"/>
    <row r="248186" customFormat="1" x14ac:dyDescent="0.25"/>
    <row r="248187" customFormat="1" x14ac:dyDescent="0.25"/>
    <row r="248188" customFormat="1" x14ac:dyDescent="0.25"/>
    <row r="248189" customFormat="1" x14ac:dyDescent="0.25"/>
    <row r="248190" customFormat="1" x14ac:dyDescent="0.25"/>
    <row r="248191" customFormat="1" x14ac:dyDescent="0.25"/>
    <row r="248192" customFormat="1" x14ac:dyDescent="0.25"/>
    <row r="248193" customFormat="1" x14ac:dyDescent="0.25"/>
    <row r="248194" customFormat="1" x14ac:dyDescent="0.25"/>
    <row r="248195" customFormat="1" x14ac:dyDescent="0.25"/>
    <row r="248196" customFormat="1" x14ac:dyDescent="0.25"/>
    <row r="248197" customFormat="1" x14ac:dyDescent="0.25"/>
    <row r="248198" customFormat="1" x14ac:dyDescent="0.25"/>
    <row r="248199" customFormat="1" x14ac:dyDescent="0.25"/>
    <row r="248200" customFormat="1" x14ac:dyDescent="0.25"/>
    <row r="248201" customFormat="1" x14ac:dyDescent="0.25"/>
    <row r="248202" customFormat="1" x14ac:dyDescent="0.25"/>
    <row r="248203" customFormat="1" x14ac:dyDescent="0.25"/>
    <row r="248204" customFormat="1" x14ac:dyDescent="0.25"/>
    <row r="248205" customFormat="1" x14ac:dyDescent="0.25"/>
    <row r="248206" customFormat="1" x14ac:dyDescent="0.25"/>
    <row r="248207" customFormat="1" x14ac:dyDescent="0.25"/>
    <row r="248208" customFormat="1" x14ac:dyDescent="0.25"/>
    <row r="248209" customFormat="1" x14ac:dyDescent="0.25"/>
    <row r="248210" customFormat="1" x14ac:dyDescent="0.25"/>
    <row r="248211" customFormat="1" x14ac:dyDescent="0.25"/>
    <row r="248212" customFormat="1" x14ac:dyDescent="0.25"/>
    <row r="248213" customFormat="1" x14ac:dyDescent="0.25"/>
    <row r="248214" customFormat="1" x14ac:dyDescent="0.25"/>
    <row r="248215" customFormat="1" x14ac:dyDescent="0.25"/>
    <row r="248216" customFormat="1" x14ac:dyDescent="0.25"/>
    <row r="248217" customFormat="1" x14ac:dyDescent="0.25"/>
    <row r="248218" customFormat="1" x14ac:dyDescent="0.25"/>
    <row r="248219" customFormat="1" x14ac:dyDescent="0.25"/>
    <row r="248220" customFormat="1" x14ac:dyDescent="0.25"/>
    <row r="248221" customFormat="1" x14ac:dyDescent="0.25"/>
    <row r="248222" customFormat="1" x14ac:dyDescent="0.25"/>
    <row r="248223" customFormat="1" x14ac:dyDescent="0.25"/>
    <row r="248224" customFormat="1" x14ac:dyDescent="0.25"/>
    <row r="248225" customFormat="1" x14ac:dyDescent="0.25"/>
    <row r="248226" customFormat="1" x14ac:dyDescent="0.25"/>
    <row r="248227" customFormat="1" x14ac:dyDescent="0.25"/>
    <row r="248228" customFormat="1" x14ac:dyDescent="0.25"/>
    <row r="248229" customFormat="1" x14ac:dyDescent="0.25"/>
    <row r="248230" customFormat="1" x14ac:dyDescent="0.25"/>
    <row r="248231" customFormat="1" x14ac:dyDescent="0.25"/>
    <row r="248232" customFormat="1" x14ac:dyDescent="0.25"/>
    <row r="248233" customFormat="1" x14ac:dyDescent="0.25"/>
    <row r="248234" customFormat="1" x14ac:dyDescent="0.25"/>
    <row r="248235" customFormat="1" x14ac:dyDescent="0.25"/>
    <row r="248236" customFormat="1" x14ac:dyDescent="0.25"/>
    <row r="248237" customFormat="1" x14ac:dyDescent="0.25"/>
    <row r="248238" customFormat="1" x14ac:dyDescent="0.25"/>
    <row r="248239" customFormat="1" x14ac:dyDescent="0.25"/>
    <row r="248240" customFormat="1" x14ac:dyDescent="0.25"/>
    <row r="248241" customFormat="1" x14ac:dyDescent="0.25"/>
    <row r="248242" customFormat="1" x14ac:dyDescent="0.25"/>
    <row r="248243" customFormat="1" x14ac:dyDescent="0.25"/>
    <row r="248244" customFormat="1" x14ac:dyDescent="0.25"/>
    <row r="248245" customFormat="1" x14ac:dyDescent="0.25"/>
    <row r="248246" customFormat="1" x14ac:dyDescent="0.25"/>
    <row r="248247" customFormat="1" x14ac:dyDescent="0.25"/>
    <row r="248248" customFormat="1" x14ac:dyDescent="0.25"/>
    <row r="248249" customFormat="1" x14ac:dyDescent="0.25"/>
    <row r="248250" customFormat="1" x14ac:dyDescent="0.25"/>
    <row r="248251" customFormat="1" x14ac:dyDescent="0.25"/>
    <row r="248252" customFormat="1" x14ac:dyDescent="0.25"/>
    <row r="248253" customFormat="1" x14ac:dyDescent="0.25"/>
    <row r="248254" customFormat="1" x14ac:dyDescent="0.25"/>
    <row r="248255" customFormat="1" x14ac:dyDescent="0.25"/>
    <row r="248256" customFormat="1" x14ac:dyDescent="0.25"/>
    <row r="248257" customFormat="1" x14ac:dyDescent="0.25"/>
    <row r="248258" customFormat="1" x14ac:dyDescent="0.25"/>
    <row r="248259" customFormat="1" x14ac:dyDescent="0.25"/>
    <row r="248260" customFormat="1" x14ac:dyDescent="0.25"/>
    <row r="248261" customFormat="1" x14ac:dyDescent="0.25"/>
    <row r="248262" customFormat="1" x14ac:dyDescent="0.25"/>
    <row r="248263" customFormat="1" x14ac:dyDescent="0.25"/>
    <row r="248264" customFormat="1" x14ac:dyDescent="0.25"/>
    <row r="248265" customFormat="1" x14ac:dyDescent="0.25"/>
    <row r="248266" customFormat="1" x14ac:dyDescent="0.25"/>
    <row r="248267" customFormat="1" x14ac:dyDescent="0.25"/>
    <row r="248268" customFormat="1" x14ac:dyDescent="0.25"/>
    <row r="248269" customFormat="1" x14ac:dyDescent="0.25"/>
    <row r="248270" customFormat="1" x14ac:dyDescent="0.25"/>
    <row r="248271" customFormat="1" x14ac:dyDescent="0.25"/>
    <row r="248272" customFormat="1" x14ac:dyDescent="0.25"/>
    <row r="248273" customFormat="1" x14ac:dyDescent="0.25"/>
    <row r="248274" customFormat="1" x14ac:dyDescent="0.25"/>
    <row r="248275" customFormat="1" x14ac:dyDescent="0.25"/>
    <row r="248276" customFormat="1" x14ac:dyDescent="0.25"/>
    <row r="248277" customFormat="1" x14ac:dyDescent="0.25"/>
    <row r="248278" customFormat="1" x14ac:dyDescent="0.25"/>
    <row r="248279" customFormat="1" x14ac:dyDescent="0.25"/>
    <row r="248280" customFormat="1" x14ac:dyDescent="0.25"/>
    <row r="248281" customFormat="1" x14ac:dyDescent="0.25"/>
    <row r="248282" customFormat="1" x14ac:dyDescent="0.25"/>
    <row r="248283" customFormat="1" x14ac:dyDescent="0.25"/>
    <row r="248284" customFormat="1" x14ac:dyDescent="0.25"/>
    <row r="248285" customFormat="1" x14ac:dyDescent="0.25"/>
    <row r="248286" customFormat="1" x14ac:dyDescent="0.25"/>
    <row r="248287" customFormat="1" x14ac:dyDescent="0.25"/>
    <row r="248288" customFormat="1" x14ac:dyDescent="0.25"/>
    <row r="248289" customFormat="1" x14ac:dyDescent="0.25"/>
    <row r="248290" customFormat="1" x14ac:dyDescent="0.25"/>
    <row r="248291" customFormat="1" x14ac:dyDescent="0.25"/>
    <row r="248292" customFormat="1" x14ac:dyDescent="0.25"/>
    <row r="248293" customFormat="1" x14ac:dyDescent="0.25"/>
    <row r="248294" customFormat="1" x14ac:dyDescent="0.25"/>
    <row r="248295" customFormat="1" x14ac:dyDescent="0.25"/>
    <row r="248296" customFormat="1" x14ac:dyDescent="0.25"/>
    <row r="248297" customFormat="1" x14ac:dyDescent="0.25"/>
    <row r="248298" customFormat="1" x14ac:dyDescent="0.25"/>
    <row r="248299" customFormat="1" x14ac:dyDescent="0.25"/>
    <row r="248300" customFormat="1" x14ac:dyDescent="0.25"/>
    <row r="248301" customFormat="1" x14ac:dyDescent="0.25"/>
    <row r="248302" customFormat="1" x14ac:dyDescent="0.25"/>
    <row r="248303" customFormat="1" x14ac:dyDescent="0.25"/>
    <row r="248304" customFormat="1" x14ac:dyDescent="0.25"/>
    <row r="248305" customFormat="1" x14ac:dyDescent="0.25"/>
    <row r="248306" customFormat="1" x14ac:dyDescent="0.25"/>
    <row r="248307" customFormat="1" x14ac:dyDescent="0.25"/>
    <row r="248308" customFormat="1" x14ac:dyDescent="0.25"/>
    <row r="248309" customFormat="1" x14ac:dyDescent="0.25"/>
    <row r="248310" customFormat="1" x14ac:dyDescent="0.25"/>
    <row r="248311" customFormat="1" x14ac:dyDescent="0.25"/>
    <row r="248312" customFormat="1" x14ac:dyDescent="0.25"/>
    <row r="248313" customFormat="1" x14ac:dyDescent="0.25"/>
    <row r="248314" customFormat="1" x14ac:dyDescent="0.25"/>
    <row r="248315" customFormat="1" x14ac:dyDescent="0.25"/>
    <row r="248316" customFormat="1" x14ac:dyDescent="0.25"/>
    <row r="248317" customFormat="1" x14ac:dyDescent="0.25"/>
    <row r="248318" customFormat="1" x14ac:dyDescent="0.25"/>
    <row r="248319" customFormat="1" x14ac:dyDescent="0.25"/>
    <row r="248320" customFormat="1" x14ac:dyDescent="0.25"/>
    <row r="248321" customFormat="1" x14ac:dyDescent="0.25"/>
    <row r="248322" customFormat="1" x14ac:dyDescent="0.25"/>
    <row r="248323" customFormat="1" x14ac:dyDescent="0.25"/>
    <row r="248324" customFormat="1" x14ac:dyDescent="0.25"/>
    <row r="248325" customFormat="1" x14ac:dyDescent="0.25"/>
    <row r="248326" customFormat="1" x14ac:dyDescent="0.25"/>
    <row r="248327" customFormat="1" x14ac:dyDescent="0.25"/>
    <row r="248328" customFormat="1" x14ac:dyDescent="0.25"/>
    <row r="248329" customFormat="1" x14ac:dyDescent="0.25"/>
    <row r="248330" customFormat="1" x14ac:dyDescent="0.25"/>
    <row r="248331" customFormat="1" x14ac:dyDescent="0.25"/>
    <row r="248332" customFormat="1" x14ac:dyDescent="0.25"/>
    <row r="248333" customFormat="1" x14ac:dyDescent="0.25"/>
    <row r="248334" customFormat="1" x14ac:dyDescent="0.25"/>
    <row r="248335" customFormat="1" x14ac:dyDescent="0.25"/>
    <row r="248336" customFormat="1" x14ac:dyDescent="0.25"/>
    <row r="248337" customFormat="1" x14ac:dyDescent="0.25"/>
    <row r="248338" customFormat="1" x14ac:dyDescent="0.25"/>
    <row r="248339" customFormat="1" x14ac:dyDescent="0.25"/>
    <row r="248340" customFormat="1" x14ac:dyDescent="0.25"/>
    <row r="248341" customFormat="1" x14ac:dyDescent="0.25"/>
    <row r="248342" customFormat="1" x14ac:dyDescent="0.25"/>
    <row r="248343" customFormat="1" x14ac:dyDescent="0.25"/>
    <row r="248344" customFormat="1" x14ac:dyDescent="0.25"/>
    <row r="248345" customFormat="1" x14ac:dyDescent="0.25"/>
    <row r="248346" customFormat="1" x14ac:dyDescent="0.25"/>
    <row r="248347" customFormat="1" x14ac:dyDescent="0.25"/>
    <row r="248348" customFormat="1" x14ac:dyDescent="0.25"/>
    <row r="248349" customFormat="1" x14ac:dyDescent="0.25"/>
    <row r="248350" customFormat="1" x14ac:dyDescent="0.25"/>
    <row r="248351" customFormat="1" x14ac:dyDescent="0.25"/>
    <row r="248352" customFormat="1" x14ac:dyDescent="0.25"/>
    <row r="248353" customFormat="1" x14ac:dyDescent="0.25"/>
    <row r="248354" customFormat="1" x14ac:dyDescent="0.25"/>
    <row r="248355" customFormat="1" x14ac:dyDescent="0.25"/>
    <row r="248356" customFormat="1" x14ac:dyDescent="0.25"/>
    <row r="248357" customFormat="1" x14ac:dyDescent="0.25"/>
    <row r="248358" customFormat="1" x14ac:dyDescent="0.25"/>
    <row r="248359" customFormat="1" x14ac:dyDescent="0.25"/>
    <row r="248360" customFormat="1" x14ac:dyDescent="0.25"/>
    <row r="248361" customFormat="1" x14ac:dyDescent="0.25"/>
    <row r="248362" customFormat="1" x14ac:dyDescent="0.25"/>
    <row r="248363" customFormat="1" x14ac:dyDescent="0.25"/>
    <row r="248364" customFormat="1" x14ac:dyDescent="0.25"/>
    <row r="248365" customFormat="1" x14ac:dyDescent="0.25"/>
    <row r="248366" customFormat="1" x14ac:dyDescent="0.25"/>
    <row r="248367" customFormat="1" x14ac:dyDescent="0.25"/>
    <row r="248368" customFormat="1" x14ac:dyDescent="0.25"/>
    <row r="248369" customFormat="1" x14ac:dyDescent="0.25"/>
    <row r="248370" customFormat="1" x14ac:dyDescent="0.25"/>
    <row r="248371" customFormat="1" x14ac:dyDescent="0.25"/>
    <row r="248372" customFormat="1" x14ac:dyDescent="0.25"/>
    <row r="248373" customFormat="1" x14ac:dyDescent="0.25"/>
    <row r="248374" customFormat="1" x14ac:dyDescent="0.25"/>
    <row r="248375" customFormat="1" x14ac:dyDescent="0.25"/>
    <row r="248376" customFormat="1" x14ac:dyDescent="0.25"/>
    <row r="248377" customFormat="1" x14ac:dyDescent="0.25"/>
    <row r="248378" customFormat="1" x14ac:dyDescent="0.25"/>
    <row r="248379" customFormat="1" x14ac:dyDescent="0.25"/>
    <row r="248380" customFormat="1" x14ac:dyDescent="0.25"/>
    <row r="248381" customFormat="1" x14ac:dyDescent="0.25"/>
    <row r="248382" customFormat="1" x14ac:dyDescent="0.25"/>
    <row r="248383" customFormat="1" x14ac:dyDescent="0.25"/>
    <row r="248384" customFormat="1" x14ac:dyDescent="0.25"/>
    <row r="248385" customFormat="1" x14ac:dyDescent="0.25"/>
    <row r="248386" customFormat="1" x14ac:dyDescent="0.25"/>
    <row r="248387" customFormat="1" x14ac:dyDescent="0.25"/>
    <row r="248388" customFormat="1" x14ac:dyDescent="0.25"/>
    <row r="248389" customFormat="1" x14ac:dyDescent="0.25"/>
    <row r="248390" customFormat="1" x14ac:dyDescent="0.25"/>
    <row r="248391" customFormat="1" x14ac:dyDescent="0.25"/>
    <row r="248392" customFormat="1" x14ac:dyDescent="0.25"/>
    <row r="248393" customFormat="1" x14ac:dyDescent="0.25"/>
    <row r="248394" customFormat="1" x14ac:dyDescent="0.25"/>
    <row r="248395" customFormat="1" x14ac:dyDescent="0.25"/>
    <row r="248396" customFormat="1" x14ac:dyDescent="0.25"/>
    <row r="248397" customFormat="1" x14ac:dyDescent="0.25"/>
    <row r="248398" customFormat="1" x14ac:dyDescent="0.25"/>
    <row r="248399" customFormat="1" x14ac:dyDescent="0.25"/>
    <row r="248400" customFormat="1" x14ac:dyDescent="0.25"/>
    <row r="248401" customFormat="1" x14ac:dyDescent="0.25"/>
    <row r="248402" customFormat="1" x14ac:dyDescent="0.25"/>
    <row r="248403" customFormat="1" x14ac:dyDescent="0.25"/>
    <row r="248404" customFormat="1" x14ac:dyDescent="0.25"/>
    <row r="248405" customFormat="1" x14ac:dyDescent="0.25"/>
    <row r="248406" customFormat="1" x14ac:dyDescent="0.25"/>
    <row r="248407" customFormat="1" x14ac:dyDescent="0.25"/>
    <row r="248408" customFormat="1" x14ac:dyDescent="0.25"/>
    <row r="248409" customFormat="1" x14ac:dyDescent="0.25"/>
    <row r="248410" customFormat="1" x14ac:dyDescent="0.25"/>
    <row r="248411" customFormat="1" x14ac:dyDescent="0.25"/>
    <row r="248412" customFormat="1" x14ac:dyDescent="0.25"/>
    <row r="248413" customFormat="1" x14ac:dyDescent="0.25"/>
    <row r="248414" customFormat="1" x14ac:dyDescent="0.25"/>
    <row r="248415" customFormat="1" x14ac:dyDescent="0.25"/>
    <row r="248416" customFormat="1" x14ac:dyDescent="0.25"/>
    <row r="248417" customFormat="1" x14ac:dyDescent="0.25"/>
    <row r="248418" customFormat="1" x14ac:dyDescent="0.25"/>
    <row r="248419" customFormat="1" x14ac:dyDescent="0.25"/>
    <row r="248420" customFormat="1" x14ac:dyDescent="0.25"/>
    <row r="248421" customFormat="1" x14ac:dyDescent="0.25"/>
    <row r="248422" customFormat="1" x14ac:dyDescent="0.25"/>
    <row r="248423" customFormat="1" x14ac:dyDescent="0.25"/>
    <row r="248424" customFormat="1" x14ac:dyDescent="0.25"/>
    <row r="248425" customFormat="1" x14ac:dyDescent="0.25"/>
    <row r="248426" customFormat="1" x14ac:dyDescent="0.25"/>
    <row r="248427" customFormat="1" x14ac:dyDescent="0.25"/>
    <row r="248428" customFormat="1" x14ac:dyDescent="0.25"/>
    <row r="248429" customFormat="1" x14ac:dyDescent="0.25"/>
    <row r="248430" customFormat="1" x14ac:dyDescent="0.25"/>
    <row r="248431" customFormat="1" x14ac:dyDescent="0.25"/>
    <row r="248432" customFormat="1" x14ac:dyDescent="0.25"/>
    <row r="248433" customFormat="1" x14ac:dyDescent="0.25"/>
    <row r="248434" customFormat="1" x14ac:dyDescent="0.25"/>
    <row r="248435" customFormat="1" x14ac:dyDescent="0.25"/>
    <row r="248436" customFormat="1" x14ac:dyDescent="0.25"/>
    <row r="248437" customFormat="1" x14ac:dyDescent="0.25"/>
    <row r="248438" customFormat="1" x14ac:dyDescent="0.25"/>
    <row r="248439" customFormat="1" x14ac:dyDescent="0.25"/>
    <row r="248440" customFormat="1" x14ac:dyDescent="0.25"/>
    <row r="248441" customFormat="1" x14ac:dyDescent="0.25"/>
    <row r="248442" customFormat="1" x14ac:dyDescent="0.25"/>
    <row r="248443" customFormat="1" x14ac:dyDescent="0.25"/>
    <row r="248444" customFormat="1" x14ac:dyDescent="0.25"/>
    <row r="248445" customFormat="1" x14ac:dyDescent="0.25"/>
    <row r="248446" customFormat="1" x14ac:dyDescent="0.25"/>
    <row r="248447" customFormat="1" x14ac:dyDescent="0.25"/>
    <row r="248448" customFormat="1" x14ac:dyDescent="0.25"/>
    <row r="248449" customFormat="1" x14ac:dyDescent="0.25"/>
    <row r="248450" customFormat="1" x14ac:dyDescent="0.25"/>
    <row r="248451" customFormat="1" x14ac:dyDescent="0.25"/>
    <row r="248452" customFormat="1" x14ac:dyDescent="0.25"/>
    <row r="248453" customFormat="1" x14ac:dyDescent="0.25"/>
    <row r="248454" customFormat="1" x14ac:dyDescent="0.25"/>
    <row r="248455" customFormat="1" x14ac:dyDescent="0.25"/>
    <row r="248456" customFormat="1" x14ac:dyDescent="0.25"/>
    <row r="248457" customFormat="1" x14ac:dyDescent="0.25"/>
    <row r="248458" customFormat="1" x14ac:dyDescent="0.25"/>
    <row r="248459" customFormat="1" x14ac:dyDescent="0.25"/>
    <row r="248460" customFormat="1" x14ac:dyDescent="0.25"/>
    <row r="248461" customFormat="1" x14ac:dyDescent="0.25"/>
    <row r="248462" customFormat="1" x14ac:dyDescent="0.25"/>
    <row r="248463" customFormat="1" x14ac:dyDescent="0.25"/>
    <row r="248464" customFormat="1" x14ac:dyDescent="0.25"/>
    <row r="248465" customFormat="1" x14ac:dyDescent="0.25"/>
    <row r="248466" customFormat="1" x14ac:dyDescent="0.25"/>
    <row r="248467" customFormat="1" x14ac:dyDescent="0.25"/>
    <row r="248468" customFormat="1" x14ac:dyDescent="0.25"/>
    <row r="248469" customFormat="1" x14ac:dyDescent="0.25"/>
    <row r="248470" customFormat="1" x14ac:dyDescent="0.25"/>
    <row r="248471" customFormat="1" x14ac:dyDescent="0.25"/>
    <row r="248472" customFormat="1" x14ac:dyDescent="0.25"/>
    <row r="248473" customFormat="1" x14ac:dyDescent="0.25"/>
    <row r="248474" customFormat="1" x14ac:dyDescent="0.25"/>
    <row r="248475" customFormat="1" x14ac:dyDescent="0.25"/>
    <row r="248476" customFormat="1" x14ac:dyDescent="0.25"/>
    <row r="248477" customFormat="1" x14ac:dyDescent="0.25"/>
    <row r="248478" customFormat="1" x14ac:dyDescent="0.25"/>
    <row r="248479" customFormat="1" x14ac:dyDescent="0.25"/>
    <row r="248480" customFormat="1" x14ac:dyDescent="0.25"/>
    <row r="248481" customFormat="1" x14ac:dyDescent="0.25"/>
    <row r="248482" customFormat="1" x14ac:dyDescent="0.25"/>
    <row r="248483" customFormat="1" x14ac:dyDescent="0.25"/>
    <row r="248484" customFormat="1" x14ac:dyDescent="0.25"/>
    <row r="248485" customFormat="1" x14ac:dyDescent="0.25"/>
    <row r="248486" customFormat="1" x14ac:dyDescent="0.25"/>
    <row r="248487" customFormat="1" x14ac:dyDescent="0.25"/>
    <row r="248488" customFormat="1" x14ac:dyDescent="0.25"/>
    <row r="248489" customFormat="1" x14ac:dyDescent="0.25"/>
    <row r="248490" customFormat="1" x14ac:dyDescent="0.25"/>
    <row r="248491" customFormat="1" x14ac:dyDescent="0.25"/>
    <row r="248492" customFormat="1" x14ac:dyDescent="0.25"/>
    <row r="248493" customFormat="1" x14ac:dyDescent="0.25"/>
    <row r="248494" customFormat="1" x14ac:dyDescent="0.25"/>
    <row r="248495" customFormat="1" x14ac:dyDescent="0.25"/>
    <row r="248496" customFormat="1" x14ac:dyDescent="0.25"/>
    <row r="248497" customFormat="1" x14ac:dyDescent="0.25"/>
    <row r="248498" customFormat="1" x14ac:dyDescent="0.25"/>
    <row r="248499" customFormat="1" x14ac:dyDescent="0.25"/>
    <row r="248500" customFormat="1" x14ac:dyDescent="0.25"/>
    <row r="248501" customFormat="1" x14ac:dyDescent="0.25"/>
    <row r="248502" customFormat="1" x14ac:dyDescent="0.25"/>
    <row r="248503" customFormat="1" x14ac:dyDescent="0.25"/>
    <row r="248504" customFormat="1" x14ac:dyDescent="0.25"/>
    <row r="248505" customFormat="1" x14ac:dyDescent="0.25"/>
    <row r="248506" customFormat="1" x14ac:dyDescent="0.25"/>
    <row r="248507" customFormat="1" x14ac:dyDescent="0.25"/>
    <row r="248508" customFormat="1" x14ac:dyDescent="0.25"/>
    <row r="248509" customFormat="1" x14ac:dyDescent="0.25"/>
    <row r="248510" customFormat="1" x14ac:dyDescent="0.25"/>
    <row r="248511" customFormat="1" x14ac:dyDescent="0.25"/>
    <row r="248512" customFormat="1" x14ac:dyDescent="0.25"/>
    <row r="248513" customFormat="1" x14ac:dyDescent="0.25"/>
    <row r="248514" customFormat="1" x14ac:dyDescent="0.25"/>
    <row r="248515" customFormat="1" x14ac:dyDescent="0.25"/>
    <row r="248516" customFormat="1" x14ac:dyDescent="0.25"/>
    <row r="248517" customFormat="1" x14ac:dyDescent="0.25"/>
    <row r="248518" customFormat="1" x14ac:dyDescent="0.25"/>
    <row r="248519" customFormat="1" x14ac:dyDescent="0.25"/>
    <row r="248520" customFormat="1" x14ac:dyDescent="0.25"/>
    <row r="248521" customFormat="1" x14ac:dyDescent="0.25"/>
    <row r="248522" customFormat="1" x14ac:dyDescent="0.25"/>
    <row r="248523" customFormat="1" x14ac:dyDescent="0.25"/>
    <row r="248524" customFormat="1" x14ac:dyDescent="0.25"/>
    <row r="248525" customFormat="1" x14ac:dyDescent="0.25"/>
    <row r="248526" customFormat="1" x14ac:dyDescent="0.25"/>
    <row r="248527" customFormat="1" x14ac:dyDescent="0.25"/>
    <row r="248528" customFormat="1" x14ac:dyDescent="0.25"/>
    <row r="248529" customFormat="1" x14ac:dyDescent="0.25"/>
    <row r="248530" customFormat="1" x14ac:dyDescent="0.25"/>
    <row r="248531" customFormat="1" x14ac:dyDescent="0.25"/>
    <row r="248532" customFormat="1" x14ac:dyDescent="0.25"/>
    <row r="248533" customFormat="1" x14ac:dyDescent="0.25"/>
    <row r="248534" customFormat="1" x14ac:dyDescent="0.25"/>
    <row r="248535" customFormat="1" x14ac:dyDescent="0.25"/>
    <row r="248536" customFormat="1" x14ac:dyDescent="0.25"/>
    <row r="248537" customFormat="1" x14ac:dyDescent="0.25"/>
    <row r="248538" customFormat="1" x14ac:dyDescent="0.25"/>
    <row r="248539" customFormat="1" x14ac:dyDescent="0.25"/>
    <row r="248540" customFormat="1" x14ac:dyDescent="0.25"/>
    <row r="248541" customFormat="1" x14ac:dyDescent="0.25"/>
    <row r="248542" customFormat="1" x14ac:dyDescent="0.25"/>
    <row r="248543" customFormat="1" x14ac:dyDescent="0.25"/>
    <row r="248544" customFormat="1" x14ac:dyDescent="0.25"/>
    <row r="248545" customFormat="1" x14ac:dyDescent="0.25"/>
    <row r="248546" customFormat="1" x14ac:dyDescent="0.25"/>
    <row r="248547" customFormat="1" x14ac:dyDescent="0.25"/>
    <row r="248548" customFormat="1" x14ac:dyDescent="0.25"/>
    <row r="248549" customFormat="1" x14ac:dyDescent="0.25"/>
    <row r="248550" customFormat="1" x14ac:dyDescent="0.25"/>
    <row r="248551" customFormat="1" x14ac:dyDescent="0.25"/>
    <row r="248552" customFormat="1" x14ac:dyDescent="0.25"/>
    <row r="248553" customFormat="1" x14ac:dyDescent="0.25"/>
    <row r="248554" customFormat="1" x14ac:dyDescent="0.25"/>
    <row r="248555" customFormat="1" x14ac:dyDescent="0.25"/>
    <row r="248556" customFormat="1" x14ac:dyDescent="0.25"/>
    <row r="248557" customFormat="1" x14ac:dyDescent="0.25"/>
    <row r="248558" customFormat="1" x14ac:dyDescent="0.25"/>
    <row r="248559" customFormat="1" x14ac:dyDescent="0.25"/>
    <row r="248560" customFormat="1" x14ac:dyDescent="0.25"/>
    <row r="248561" customFormat="1" x14ac:dyDescent="0.25"/>
    <row r="248562" customFormat="1" x14ac:dyDescent="0.25"/>
    <row r="248563" customFormat="1" x14ac:dyDescent="0.25"/>
    <row r="248564" customFormat="1" x14ac:dyDescent="0.25"/>
    <row r="248565" customFormat="1" x14ac:dyDescent="0.25"/>
    <row r="248566" customFormat="1" x14ac:dyDescent="0.25"/>
    <row r="248567" customFormat="1" x14ac:dyDescent="0.25"/>
    <row r="248568" customFormat="1" x14ac:dyDescent="0.25"/>
    <row r="248569" customFormat="1" x14ac:dyDescent="0.25"/>
    <row r="248570" customFormat="1" x14ac:dyDescent="0.25"/>
    <row r="248571" customFormat="1" x14ac:dyDescent="0.25"/>
    <row r="248572" customFormat="1" x14ac:dyDescent="0.25"/>
    <row r="248573" customFormat="1" x14ac:dyDescent="0.25"/>
    <row r="248574" customFormat="1" x14ac:dyDescent="0.25"/>
    <row r="248575" customFormat="1" x14ac:dyDescent="0.25"/>
    <row r="248576" customFormat="1" x14ac:dyDescent="0.25"/>
    <row r="248577" customFormat="1" x14ac:dyDescent="0.25"/>
    <row r="248578" customFormat="1" x14ac:dyDescent="0.25"/>
    <row r="248579" customFormat="1" x14ac:dyDescent="0.25"/>
    <row r="248580" customFormat="1" x14ac:dyDescent="0.25"/>
    <row r="248581" customFormat="1" x14ac:dyDescent="0.25"/>
    <row r="248582" customFormat="1" x14ac:dyDescent="0.25"/>
    <row r="248583" customFormat="1" x14ac:dyDescent="0.25"/>
    <row r="248584" customFormat="1" x14ac:dyDescent="0.25"/>
    <row r="248585" customFormat="1" x14ac:dyDescent="0.25"/>
    <row r="248586" customFormat="1" x14ac:dyDescent="0.25"/>
    <row r="248587" customFormat="1" x14ac:dyDescent="0.25"/>
    <row r="248588" customFormat="1" x14ac:dyDescent="0.25"/>
    <row r="248589" customFormat="1" x14ac:dyDescent="0.25"/>
    <row r="248590" customFormat="1" x14ac:dyDescent="0.25"/>
    <row r="248591" customFormat="1" x14ac:dyDescent="0.25"/>
    <row r="248592" customFormat="1" x14ac:dyDescent="0.25"/>
    <row r="248593" customFormat="1" x14ac:dyDescent="0.25"/>
    <row r="248594" customFormat="1" x14ac:dyDescent="0.25"/>
    <row r="248595" customFormat="1" x14ac:dyDescent="0.25"/>
    <row r="248596" customFormat="1" x14ac:dyDescent="0.25"/>
    <row r="248597" customFormat="1" x14ac:dyDescent="0.25"/>
    <row r="248598" customFormat="1" x14ac:dyDescent="0.25"/>
    <row r="248599" customFormat="1" x14ac:dyDescent="0.25"/>
    <row r="248600" customFormat="1" x14ac:dyDescent="0.25"/>
    <row r="248601" customFormat="1" x14ac:dyDescent="0.25"/>
    <row r="248602" customFormat="1" x14ac:dyDescent="0.25"/>
    <row r="248603" customFormat="1" x14ac:dyDescent="0.25"/>
    <row r="248604" customFormat="1" x14ac:dyDescent="0.25"/>
    <row r="248605" customFormat="1" x14ac:dyDescent="0.25"/>
    <row r="248606" customFormat="1" x14ac:dyDescent="0.25"/>
    <row r="248607" customFormat="1" x14ac:dyDescent="0.25"/>
    <row r="248608" customFormat="1" x14ac:dyDescent="0.25"/>
    <row r="248609" customFormat="1" x14ac:dyDescent="0.25"/>
    <row r="248610" customFormat="1" x14ac:dyDescent="0.25"/>
    <row r="248611" customFormat="1" x14ac:dyDescent="0.25"/>
    <row r="248612" customFormat="1" x14ac:dyDescent="0.25"/>
    <row r="248613" customFormat="1" x14ac:dyDescent="0.25"/>
    <row r="248614" customFormat="1" x14ac:dyDescent="0.25"/>
    <row r="248615" customFormat="1" x14ac:dyDescent="0.25"/>
    <row r="248616" customFormat="1" x14ac:dyDescent="0.25"/>
    <row r="248617" customFormat="1" x14ac:dyDescent="0.25"/>
    <row r="248618" customFormat="1" x14ac:dyDescent="0.25"/>
    <row r="248619" customFormat="1" x14ac:dyDescent="0.25"/>
    <row r="248620" customFormat="1" x14ac:dyDescent="0.25"/>
    <row r="248621" customFormat="1" x14ac:dyDescent="0.25"/>
    <row r="248622" customFormat="1" x14ac:dyDescent="0.25"/>
    <row r="248623" customFormat="1" x14ac:dyDescent="0.25"/>
    <row r="248624" customFormat="1" x14ac:dyDescent="0.25"/>
    <row r="248625" customFormat="1" x14ac:dyDescent="0.25"/>
    <row r="248626" customFormat="1" x14ac:dyDescent="0.25"/>
    <row r="248627" customFormat="1" x14ac:dyDescent="0.25"/>
    <row r="248628" customFormat="1" x14ac:dyDescent="0.25"/>
    <row r="248629" customFormat="1" x14ac:dyDescent="0.25"/>
    <row r="248630" customFormat="1" x14ac:dyDescent="0.25"/>
    <row r="248631" customFormat="1" x14ac:dyDescent="0.25"/>
    <row r="248632" customFormat="1" x14ac:dyDescent="0.25"/>
    <row r="248633" customFormat="1" x14ac:dyDescent="0.25"/>
    <row r="248634" customFormat="1" x14ac:dyDescent="0.25"/>
    <row r="248635" customFormat="1" x14ac:dyDescent="0.25"/>
    <row r="248636" customFormat="1" x14ac:dyDescent="0.25"/>
    <row r="248637" customFormat="1" x14ac:dyDescent="0.25"/>
    <row r="248638" customFormat="1" x14ac:dyDescent="0.25"/>
    <row r="248639" customFormat="1" x14ac:dyDescent="0.25"/>
    <row r="248640" customFormat="1" x14ac:dyDescent="0.25"/>
    <row r="248641" customFormat="1" x14ac:dyDescent="0.25"/>
    <row r="248642" customFormat="1" x14ac:dyDescent="0.25"/>
    <row r="248643" customFormat="1" x14ac:dyDescent="0.25"/>
    <row r="248644" customFormat="1" x14ac:dyDescent="0.25"/>
    <row r="248645" customFormat="1" x14ac:dyDescent="0.25"/>
    <row r="248646" customFormat="1" x14ac:dyDescent="0.25"/>
    <row r="248647" customFormat="1" x14ac:dyDescent="0.25"/>
    <row r="248648" customFormat="1" x14ac:dyDescent="0.25"/>
    <row r="248649" customFormat="1" x14ac:dyDescent="0.25"/>
    <row r="248650" customFormat="1" x14ac:dyDescent="0.25"/>
    <row r="248651" customFormat="1" x14ac:dyDescent="0.25"/>
    <row r="248652" customFormat="1" x14ac:dyDescent="0.25"/>
    <row r="248653" customFormat="1" x14ac:dyDescent="0.25"/>
    <row r="248654" customFormat="1" x14ac:dyDescent="0.25"/>
    <row r="248655" customFormat="1" x14ac:dyDescent="0.25"/>
    <row r="248656" customFormat="1" x14ac:dyDescent="0.25"/>
    <row r="248657" customFormat="1" x14ac:dyDescent="0.25"/>
    <row r="248658" customFormat="1" x14ac:dyDescent="0.25"/>
    <row r="248659" customFormat="1" x14ac:dyDescent="0.25"/>
    <row r="248660" customFormat="1" x14ac:dyDescent="0.25"/>
    <row r="248661" customFormat="1" x14ac:dyDescent="0.25"/>
    <row r="248662" customFormat="1" x14ac:dyDescent="0.25"/>
    <row r="248663" customFormat="1" x14ac:dyDescent="0.25"/>
    <row r="248664" customFormat="1" x14ac:dyDescent="0.25"/>
    <row r="248665" customFormat="1" x14ac:dyDescent="0.25"/>
    <row r="248666" customFormat="1" x14ac:dyDescent="0.25"/>
    <row r="248667" customFormat="1" x14ac:dyDescent="0.25"/>
    <row r="248668" customFormat="1" x14ac:dyDescent="0.25"/>
    <row r="248669" customFormat="1" x14ac:dyDescent="0.25"/>
    <row r="248670" customFormat="1" x14ac:dyDescent="0.25"/>
    <row r="248671" customFormat="1" x14ac:dyDescent="0.25"/>
    <row r="248672" customFormat="1" x14ac:dyDescent="0.25"/>
    <row r="248673" customFormat="1" x14ac:dyDescent="0.25"/>
    <row r="248674" customFormat="1" x14ac:dyDescent="0.25"/>
    <row r="248675" customFormat="1" x14ac:dyDescent="0.25"/>
    <row r="248676" customFormat="1" x14ac:dyDescent="0.25"/>
    <row r="248677" customFormat="1" x14ac:dyDescent="0.25"/>
    <row r="248678" customFormat="1" x14ac:dyDescent="0.25"/>
    <row r="248679" customFormat="1" x14ac:dyDescent="0.25"/>
    <row r="248680" customFormat="1" x14ac:dyDescent="0.25"/>
    <row r="248681" customFormat="1" x14ac:dyDescent="0.25"/>
    <row r="248682" customFormat="1" x14ac:dyDescent="0.25"/>
    <row r="248683" customFormat="1" x14ac:dyDescent="0.25"/>
    <row r="248684" customFormat="1" x14ac:dyDescent="0.25"/>
    <row r="248685" customFormat="1" x14ac:dyDescent="0.25"/>
    <row r="248686" customFormat="1" x14ac:dyDescent="0.25"/>
    <row r="248687" customFormat="1" x14ac:dyDescent="0.25"/>
    <row r="248688" customFormat="1" x14ac:dyDescent="0.25"/>
    <row r="248689" customFormat="1" x14ac:dyDescent="0.25"/>
    <row r="248690" customFormat="1" x14ac:dyDescent="0.25"/>
    <row r="248691" customFormat="1" x14ac:dyDescent="0.25"/>
    <row r="248692" customFormat="1" x14ac:dyDescent="0.25"/>
    <row r="248693" customFormat="1" x14ac:dyDescent="0.25"/>
    <row r="248694" customFormat="1" x14ac:dyDescent="0.25"/>
    <row r="248695" customFormat="1" x14ac:dyDescent="0.25"/>
    <row r="248696" customFormat="1" x14ac:dyDescent="0.25"/>
    <row r="248697" customFormat="1" x14ac:dyDescent="0.25"/>
    <row r="248698" customFormat="1" x14ac:dyDescent="0.25"/>
    <row r="248699" customFormat="1" x14ac:dyDescent="0.25"/>
    <row r="248700" customFormat="1" x14ac:dyDescent="0.25"/>
    <row r="248701" customFormat="1" x14ac:dyDescent="0.25"/>
    <row r="248702" customFormat="1" x14ac:dyDescent="0.25"/>
    <row r="248703" customFormat="1" x14ac:dyDescent="0.25"/>
    <row r="248704" customFormat="1" x14ac:dyDescent="0.25"/>
    <row r="248705" customFormat="1" x14ac:dyDescent="0.25"/>
    <row r="248706" customFormat="1" x14ac:dyDescent="0.25"/>
    <row r="248707" customFormat="1" x14ac:dyDescent="0.25"/>
    <row r="248708" customFormat="1" x14ac:dyDescent="0.25"/>
    <row r="248709" customFormat="1" x14ac:dyDescent="0.25"/>
    <row r="248710" customFormat="1" x14ac:dyDescent="0.25"/>
    <row r="248711" customFormat="1" x14ac:dyDescent="0.25"/>
    <row r="248712" customFormat="1" x14ac:dyDescent="0.25"/>
    <row r="248713" customFormat="1" x14ac:dyDescent="0.25"/>
    <row r="248714" customFormat="1" x14ac:dyDescent="0.25"/>
    <row r="248715" customFormat="1" x14ac:dyDescent="0.25"/>
    <row r="248716" customFormat="1" x14ac:dyDescent="0.25"/>
    <row r="248717" customFormat="1" x14ac:dyDescent="0.25"/>
    <row r="248718" customFormat="1" x14ac:dyDescent="0.25"/>
    <row r="248719" customFormat="1" x14ac:dyDescent="0.25"/>
    <row r="248720" customFormat="1" x14ac:dyDescent="0.25"/>
    <row r="248721" customFormat="1" x14ac:dyDescent="0.25"/>
    <row r="248722" customFormat="1" x14ac:dyDescent="0.25"/>
    <row r="248723" customFormat="1" x14ac:dyDescent="0.25"/>
    <row r="248724" customFormat="1" x14ac:dyDescent="0.25"/>
    <row r="248725" customFormat="1" x14ac:dyDescent="0.25"/>
    <row r="248726" customFormat="1" x14ac:dyDescent="0.25"/>
    <row r="248727" customFormat="1" x14ac:dyDescent="0.25"/>
    <row r="248728" customFormat="1" x14ac:dyDescent="0.25"/>
    <row r="248729" customFormat="1" x14ac:dyDescent="0.25"/>
    <row r="248730" customFormat="1" x14ac:dyDescent="0.25"/>
    <row r="248731" customFormat="1" x14ac:dyDescent="0.25"/>
    <row r="248732" customFormat="1" x14ac:dyDescent="0.25"/>
    <row r="248733" customFormat="1" x14ac:dyDescent="0.25"/>
    <row r="248734" customFormat="1" x14ac:dyDescent="0.25"/>
    <row r="248735" customFormat="1" x14ac:dyDescent="0.25"/>
    <row r="248736" customFormat="1" x14ac:dyDescent="0.25"/>
    <row r="248737" customFormat="1" x14ac:dyDescent="0.25"/>
    <row r="248738" customFormat="1" x14ac:dyDescent="0.25"/>
    <row r="248739" customFormat="1" x14ac:dyDescent="0.25"/>
    <row r="248740" customFormat="1" x14ac:dyDescent="0.25"/>
    <row r="248741" customFormat="1" x14ac:dyDescent="0.25"/>
    <row r="248742" customFormat="1" x14ac:dyDescent="0.25"/>
    <row r="248743" customFormat="1" x14ac:dyDescent="0.25"/>
    <row r="248744" customFormat="1" x14ac:dyDescent="0.25"/>
    <row r="248745" customFormat="1" x14ac:dyDescent="0.25"/>
    <row r="248746" customFormat="1" x14ac:dyDescent="0.25"/>
    <row r="248747" customFormat="1" x14ac:dyDescent="0.25"/>
    <row r="248748" customFormat="1" x14ac:dyDescent="0.25"/>
    <row r="248749" customFormat="1" x14ac:dyDescent="0.25"/>
    <row r="248750" customFormat="1" x14ac:dyDescent="0.25"/>
    <row r="248751" customFormat="1" x14ac:dyDescent="0.25"/>
    <row r="248752" customFormat="1" x14ac:dyDescent="0.25"/>
    <row r="248753" customFormat="1" x14ac:dyDescent="0.25"/>
    <row r="248754" customFormat="1" x14ac:dyDescent="0.25"/>
    <row r="248755" customFormat="1" x14ac:dyDescent="0.25"/>
    <row r="248756" customFormat="1" x14ac:dyDescent="0.25"/>
    <row r="248757" customFormat="1" x14ac:dyDescent="0.25"/>
    <row r="248758" customFormat="1" x14ac:dyDescent="0.25"/>
    <row r="248759" customFormat="1" x14ac:dyDescent="0.25"/>
    <row r="248760" customFormat="1" x14ac:dyDescent="0.25"/>
    <row r="248761" customFormat="1" x14ac:dyDescent="0.25"/>
    <row r="248762" customFormat="1" x14ac:dyDescent="0.25"/>
    <row r="248763" customFormat="1" x14ac:dyDescent="0.25"/>
    <row r="248764" customFormat="1" x14ac:dyDescent="0.25"/>
    <row r="248765" customFormat="1" x14ac:dyDescent="0.25"/>
    <row r="248766" customFormat="1" x14ac:dyDescent="0.25"/>
    <row r="248767" customFormat="1" x14ac:dyDescent="0.25"/>
    <row r="248768" customFormat="1" x14ac:dyDescent="0.25"/>
    <row r="248769" customFormat="1" x14ac:dyDescent="0.25"/>
    <row r="248770" customFormat="1" x14ac:dyDescent="0.25"/>
    <row r="248771" customFormat="1" x14ac:dyDescent="0.25"/>
    <row r="248772" customFormat="1" x14ac:dyDescent="0.25"/>
    <row r="248773" customFormat="1" x14ac:dyDescent="0.25"/>
    <row r="248774" customFormat="1" x14ac:dyDescent="0.25"/>
    <row r="248775" customFormat="1" x14ac:dyDescent="0.25"/>
    <row r="248776" customFormat="1" x14ac:dyDescent="0.25"/>
    <row r="248777" customFormat="1" x14ac:dyDescent="0.25"/>
    <row r="248778" customFormat="1" x14ac:dyDescent="0.25"/>
    <row r="248779" customFormat="1" x14ac:dyDescent="0.25"/>
    <row r="248780" customFormat="1" x14ac:dyDescent="0.25"/>
    <row r="248781" customFormat="1" x14ac:dyDescent="0.25"/>
    <row r="248782" customFormat="1" x14ac:dyDescent="0.25"/>
    <row r="248783" customFormat="1" x14ac:dyDescent="0.25"/>
    <row r="248784" customFormat="1" x14ac:dyDescent="0.25"/>
    <row r="248785" customFormat="1" x14ac:dyDescent="0.25"/>
    <row r="248786" customFormat="1" x14ac:dyDescent="0.25"/>
    <row r="248787" customFormat="1" x14ac:dyDescent="0.25"/>
    <row r="248788" customFormat="1" x14ac:dyDescent="0.25"/>
    <row r="248789" customFormat="1" x14ac:dyDescent="0.25"/>
    <row r="248790" customFormat="1" x14ac:dyDescent="0.25"/>
    <row r="248791" customFormat="1" x14ac:dyDescent="0.25"/>
    <row r="248792" customFormat="1" x14ac:dyDescent="0.25"/>
    <row r="248793" customFormat="1" x14ac:dyDescent="0.25"/>
    <row r="248794" customFormat="1" x14ac:dyDescent="0.25"/>
    <row r="248795" customFormat="1" x14ac:dyDescent="0.25"/>
    <row r="248796" customFormat="1" x14ac:dyDescent="0.25"/>
    <row r="248797" customFormat="1" x14ac:dyDescent="0.25"/>
    <row r="248798" customFormat="1" x14ac:dyDescent="0.25"/>
    <row r="248799" customFormat="1" x14ac:dyDescent="0.25"/>
    <row r="248800" customFormat="1" x14ac:dyDescent="0.25"/>
    <row r="248801" customFormat="1" x14ac:dyDescent="0.25"/>
    <row r="248802" customFormat="1" x14ac:dyDescent="0.25"/>
    <row r="248803" customFormat="1" x14ac:dyDescent="0.25"/>
    <row r="248804" customFormat="1" x14ac:dyDescent="0.25"/>
    <row r="248805" customFormat="1" x14ac:dyDescent="0.25"/>
    <row r="248806" customFormat="1" x14ac:dyDescent="0.25"/>
    <row r="248807" customFormat="1" x14ac:dyDescent="0.25"/>
    <row r="248808" customFormat="1" x14ac:dyDescent="0.25"/>
    <row r="248809" customFormat="1" x14ac:dyDescent="0.25"/>
    <row r="248810" customFormat="1" x14ac:dyDescent="0.25"/>
    <row r="248811" customFormat="1" x14ac:dyDescent="0.25"/>
    <row r="248812" customFormat="1" x14ac:dyDescent="0.25"/>
    <row r="248813" customFormat="1" x14ac:dyDescent="0.25"/>
    <row r="248814" customFormat="1" x14ac:dyDescent="0.25"/>
    <row r="248815" customFormat="1" x14ac:dyDescent="0.25"/>
    <row r="248816" customFormat="1" x14ac:dyDescent="0.25"/>
    <row r="248817" customFormat="1" x14ac:dyDescent="0.25"/>
    <row r="248818" customFormat="1" x14ac:dyDescent="0.25"/>
    <row r="248819" customFormat="1" x14ac:dyDescent="0.25"/>
    <row r="248820" customFormat="1" x14ac:dyDescent="0.25"/>
    <row r="248821" customFormat="1" x14ac:dyDescent="0.25"/>
    <row r="248822" customFormat="1" x14ac:dyDescent="0.25"/>
    <row r="248823" customFormat="1" x14ac:dyDescent="0.25"/>
    <row r="248824" customFormat="1" x14ac:dyDescent="0.25"/>
    <row r="248825" customFormat="1" x14ac:dyDescent="0.25"/>
    <row r="248826" customFormat="1" x14ac:dyDescent="0.25"/>
    <row r="248827" customFormat="1" x14ac:dyDescent="0.25"/>
    <row r="248828" customFormat="1" x14ac:dyDescent="0.25"/>
    <row r="248829" customFormat="1" x14ac:dyDescent="0.25"/>
    <row r="248830" customFormat="1" x14ac:dyDescent="0.25"/>
    <row r="248831" customFormat="1" x14ac:dyDescent="0.25"/>
    <row r="248832" customFormat="1" x14ac:dyDescent="0.25"/>
    <row r="248833" customFormat="1" x14ac:dyDescent="0.25"/>
    <row r="248834" customFormat="1" x14ac:dyDescent="0.25"/>
    <row r="248835" customFormat="1" x14ac:dyDescent="0.25"/>
    <row r="248836" customFormat="1" x14ac:dyDescent="0.25"/>
    <row r="248837" customFormat="1" x14ac:dyDescent="0.25"/>
    <row r="248838" customFormat="1" x14ac:dyDescent="0.25"/>
    <row r="248839" customFormat="1" x14ac:dyDescent="0.25"/>
    <row r="248840" customFormat="1" x14ac:dyDescent="0.25"/>
    <row r="248841" customFormat="1" x14ac:dyDescent="0.25"/>
    <row r="248842" customFormat="1" x14ac:dyDescent="0.25"/>
    <row r="248843" customFormat="1" x14ac:dyDescent="0.25"/>
    <row r="248844" customFormat="1" x14ac:dyDescent="0.25"/>
    <row r="248845" customFormat="1" x14ac:dyDescent="0.25"/>
    <row r="248846" customFormat="1" x14ac:dyDescent="0.25"/>
    <row r="248847" customFormat="1" x14ac:dyDescent="0.25"/>
    <row r="248848" customFormat="1" x14ac:dyDescent="0.25"/>
    <row r="248849" customFormat="1" x14ac:dyDescent="0.25"/>
    <row r="248850" customFormat="1" x14ac:dyDescent="0.25"/>
    <row r="248851" customFormat="1" x14ac:dyDescent="0.25"/>
    <row r="248852" customFormat="1" x14ac:dyDescent="0.25"/>
    <row r="248853" customFormat="1" x14ac:dyDescent="0.25"/>
    <row r="248854" customFormat="1" x14ac:dyDescent="0.25"/>
    <row r="248855" customFormat="1" x14ac:dyDescent="0.25"/>
    <row r="248856" customFormat="1" x14ac:dyDescent="0.25"/>
    <row r="248857" customFormat="1" x14ac:dyDescent="0.25"/>
    <row r="248858" customFormat="1" x14ac:dyDescent="0.25"/>
    <row r="248859" customFormat="1" x14ac:dyDescent="0.25"/>
    <row r="248860" customFormat="1" x14ac:dyDescent="0.25"/>
    <row r="248861" customFormat="1" x14ac:dyDescent="0.25"/>
    <row r="248862" customFormat="1" x14ac:dyDescent="0.25"/>
    <row r="248863" customFormat="1" x14ac:dyDescent="0.25"/>
    <row r="248864" customFormat="1" x14ac:dyDescent="0.25"/>
    <row r="248865" customFormat="1" x14ac:dyDescent="0.25"/>
    <row r="248866" customFormat="1" x14ac:dyDescent="0.25"/>
    <row r="248867" customFormat="1" x14ac:dyDescent="0.25"/>
    <row r="248868" customFormat="1" x14ac:dyDescent="0.25"/>
    <row r="248869" customFormat="1" x14ac:dyDescent="0.25"/>
    <row r="248870" customFormat="1" x14ac:dyDescent="0.25"/>
    <row r="248871" customFormat="1" x14ac:dyDescent="0.25"/>
    <row r="248872" customFormat="1" x14ac:dyDescent="0.25"/>
    <row r="248873" customFormat="1" x14ac:dyDescent="0.25"/>
    <row r="248874" customFormat="1" x14ac:dyDescent="0.25"/>
    <row r="248875" customFormat="1" x14ac:dyDescent="0.25"/>
    <row r="248876" customFormat="1" x14ac:dyDescent="0.25"/>
    <row r="248877" customFormat="1" x14ac:dyDescent="0.25"/>
    <row r="248878" customFormat="1" x14ac:dyDescent="0.25"/>
    <row r="248879" customFormat="1" x14ac:dyDescent="0.25"/>
    <row r="248880" customFormat="1" x14ac:dyDescent="0.25"/>
    <row r="248881" customFormat="1" x14ac:dyDescent="0.25"/>
    <row r="248882" customFormat="1" x14ac:dyDescent="0.25"/>
    <row r="248883" customFormat="1" x14ac:dyDescent="0.25"/>
    <row r="248884" customFormat="1" x14ac:dyDescent="0.25"/>
    <row r="248885" customFormat="1" x14ac:dyDescent="0.25"/>
    <row r="248886" customFormat="1" x14ac:dyDescent="0.25"/>
    <row r="248887" customFormat="1" x14ac:dyDescent="0.25"/>
    <row r="248888" customFormat="1" x14ac:dyDescent="0.25"/>
    <row r="248889" customFormat="1" x14ac:dyDescent="0.25"/>
    <row r="248890" customFormat="1" x14ac:dyDescent="0.25"/>
    <row r="248891" customFormat="1" x14ac:dyDescent="0.25"/>
    <row r="248892" customFormat="1" x14ac:dyDescent="0.25"/>
    <row r="248893" customFormat="1" x14ac:dyDescent="0.25"/>
    <row r="248894" customFormat="1" x14ac:dyDescent="0.25"/>
    <row r="248895" customFormat="1" x14ac:dyDescent="0.25"/>
    <row r="248896" customFormat="1" x14ac:dyDescent="0.25"/>
    <row r="248897" customFormat="1" x14ac:dyDescent="0.25"/>
    <row r="248898" customFormat="1" x14ac:dyDescent="0.25"/>
    <row r="248899" customFormat="1" x14ac:dyDescent="0.25"/>
    <row r="248900" customFormat="1" x14ac:dyDescent="0.25"/>
    <row r="248901" customFormat="1" x14ac:dyDescent="0.25"/>
    <row r="248902" customFormat="1" x14ac:dyDescent="0.25"/>
    <row r="248903" customFormat="1" x14ac:dyDescent="0.25"/>
    <row r="248904" customFormat="1" x14ac:dyDescent="0.25"/>
    <row r="248905" customFormat="1" x14ac:dyDescent="0.25"/>
    <row r="248906" customFormat="1" x14ac:dyDescent="0.25"/>
    <row r="248907" customFormat="1" x14ac:dyDescent="0.25"/>
    <row r="248908" customFormat="1" x14ac:dyDescent="0.25"/>
    <row r="248909" customFormat="1" x14ac:dyDescent="0.25"/>
    <row r="248910" customFormat="1" x14ac:dyDescent="0.25"/>
    <row r="248911" customFormat="1" x14ac:dyDescent="0.25"/>
    <row r="248912" customFormat="1" x14ac:dyDescent="0.25"/>
    <row r="248913" customFormat="1" x14ac:dyDescent="0.25"/>
    <row r="248914" customFormat="1" x14ac:dyDescent="0.25"/>
    <row r="248915" customFormat="1" x14ac:dyDescent="0.25"/>
    <row r="248916" customFormat="1" x14ac:dyDescent="0.25"/>
    <row r="248917" customFormat="1" x14ac:dyDescent="0.25"/>
    <row r="248918" customFormat="1" x14ac:dyDescent="0.25"/>
    <row r="248919" customFormat="1" x14ac:dyDescent="0.25"/>
    <row r="248920" customFormat="1" x14ac:dyDescent="0.25"/>
    <row r="248921" customFormat="1" x14ac:dyDescent="0.25"/>
    <row r="248922" customFormat="1" x14ac:dyDescent="0.25"/>
    <row r="248923" customFormat="1" x14ac:dyDescent="0.25"/>
    <row r="248924" customFormat="1" x14ac:dyDescent="0.25"/>
    <row r="248925" customFormat="1" x14ac:dyDescent="0.25"/>
    <row r="248926" customFormat="1" x14ac:dyDescent="0.25"/>
    <row r="248927" customFormat="1" x14ac:dyDescent="0.25"/>
    <row r="248928" customFormat="1" x14ac:dyDescent="0.25"/>
    <row r="248929" customFormat="1" x14ac:dyDescent="0.25"/>
    <row r="248930" customFormat="1" x14ac:dyDescent="0.25"/>
    <row r="248931" customFormat="1" x14ac:dyDescent="0.25"/>
    <row r="248932" customFormat="1" x14ac:dyDescent="0.25"/>
    <row r="248933" customFormat="1" x14ac:dyDescent="0.25"/>
    <row r="248934" customFormat="1" x14ac:dyDescent="0.25"/>
    <row r="248935" customFormat="1" x14ac:dyDescent="0.25"/>
    <row r="248936" customFormat="1" x14ac:dyDescent="0.25"/>
    <row r="248937" customFormat="1" x14ac:dyDescent="0.25"/>
    <row r="248938" customFormat="1" x14ac:dyDescent="0.25"/>
    <row r="248939" customFormat="1" x14ac:dyDescent="0.25"/>
    <row r="248940" customFormat="1" x14ac:dyDescent="0.25"/>
    <row r="248941" customFormat="1" x14ac:dyDescent="0.25"/>
    <row r="248942" customFormat="1" x14ac:dyDescent="0.25"/>
    <row r="248943" customFormat="1" x14ac:dyDescent="0.25"/>
    <row r="248944" customFormat="1" x14ac:dyDescent="0.25"/>
    <row r="248945" customFormat="1" x14ac:dyDescent="0.25"/>
    <row r="248946" customFormat="1" x14ac:dyDescent="0.25"/>
    <row r="248947" customFormat="1" x14ac:dyDescent="0.25"/>
    <row r="248948" customFormat="1" x14ac:dyDescent="0.25"/>
    <row r="248949" customFormat="1" x14ac:dyDescent="0.25"/>
    <row r="248950" customFormat="1" x14ac:dyDescent="0.25"/>
    <row r="248951" customFormat="1" x14ac:dyDescent="0.25"/>
    <row r="248952" customFormat="1" x14ac:dyDescent="0.25"/>
    <row r="248953" customFormat="1" x14ac:dyDescent="0.25"/>
    <row r="248954" customFormat="1" x14ac:dyDescent="0.25"/>
    <row r="248955" customFormat="1" x14ac:dyDescent="0.25"/>
    <row r="248956" customFormat="1" x14ac:dyDescent="0.25"/>
    <row r="248957" customFormat="1" x14ac:dyDescent="0.25"/>
    <row r="248958" customFormat="1" x14ac:dyDescent="0.25"/>
    <row r="248959" customFormat="1" x14ac:dyDescent="0.25"/>
    <row r="248960" customFormat="1" x14ac:dyDescent="0.25"/>
    <row r="248961" customFormat="1" x14ac:dyDescent="0.25"/>
    <row r="248962" customFormat="1" x14ac:dyDescent="0.25"/>
    <row r="248963" customFormat="1" x14ac:dyDescent="0.25"/>
    <row r="248964" customFormat="1" x14ac:dyDescent="0.25"/>
    <row r="248965" customFormat="1" x14ac:dyDescent="0.25"/>
    <row r="248966" customFormat="1" x14ac:dyDescent="0.25"/>
    <row r="248967" customFormat="1" x14ac:dyDescent="0.25"/>
    <row r="248968" customFormat="1" x14ac:dyDescent="0.25"/>
    <row r="248969" customFormat="1" x14ac:dyDescent="0.25"/>
    <row r="248970" customFormat="1" x14ac:dyDescent="0.25"/>
    <row r="248971" customFormat="1" x14ac:dyDescent="0.25"/>
    <row r="248972" customFormat="1" x14ac:dyDescent="0.25"/>
    <row r="248973" customFormat="1" x14ac:dyDescent="0.25"/>
    <row r="248974" customFormat="1" x14ac:dyDescent="0.25"/>
    <row r="248975" customFormat="1" x14ac:dyDescent="0.25"/>
    <row r="248976" customFormat="1" x14ac:dyDescent="0.25"/>
    <row r="248977" customFormat="1" x14ac:dyDescent="0.25"/>
    <row r="248978" customFormat="1" x14ac:dyDescent="0.25"/>
    <row r="248979" customFormat="1" x14ac:dyDescent="0.25"/>
    <row r="248980" customFormat="1" x14ac:dyDescent="0.25"/>
    <row r="248981" customFormat="1" x14ac:dyDescent="0.25"/>
    <row r="248982" customFormat="1" x14ac:dyDescent="0.25"/>
    <row r="248983" customFormat="1" x14ac:dyDescent="0.25"/>
    <row r="248984" customFormat="1" x14ac:dyDescent="0.25"/>
    <row r="248985" customFormat="1" x14ac:dyDescent="0.25"/>
    <row r="248986" customFormat="1" x14ac:dyDescent="0.25"/>
    <row r="248987" customFormat="1" x14ac:dyDescent="0.25"/>
    <row r="248988" customFormat="1" x14ac:dyDescent="0.25"/>
    <row r="248989" customFormat="1" x14ac:dyDescent="0.25"/>
    <row r="248990" customFormat="1" x14ac:dyDescent="0.25"/>
    <row r="248991" customFormat="1" x14ac:dyDescent="0.25"/>
    <row r="248992" customFormat="1" x14ac:dyDescent="0.25"/>
    <row r="248993" customFormat="1" x14ac:dyDescent="0.25"/>
    <row r="248994" customFormat="1" x14ac:dyDescent="0.25"/>
    <row r="248995" customFormat="1" x14ac:dyDescent="0.25"/>
    <row r="248996" customFormat="1" x14ac:dyDescent="0.25"/>
    <row r="248997" customFormat="1" x14ac:dyDescent="0.25"/>
    <row r="248998" customFormat="1" x14ac:dyDescent="0.25"/>
    <row r="248999" customFormat="1" x14ac:dyDescent="0.25"/>
    <row r="249000" customFormat="1" x14ac:dyDescent="0.25"/>
    <row r="249001" customFormat="1" x14ac:dyDescent="0.25"/>
    <row r="249002" customFormat="1" x14ac:dyDescent="0.25"/>
    <row r="249003" customFormat="1" x14ac:dyDescent="0.25"/>
    <row r="249004" customFormat="1" x14ac:dyDescent="0.25"/>
    <row r="249005" customFormat="1" x14ac:dyDescent="0.25"/>
    <row r="249006" customFormat="1" x14ac:dyDescent="0.25"/>
    <row r="249007" customFormat="1" x14ac:dyDescent="0.25"/>
    <row r="249008" customFormat="1" x14ac:dyDescent="0.25"/>
    <row r="249009" customFormat="1" x14ac:dyDescent="0.25"/>
    <row r="249010" customFormat="1" x14ac:dyDescent="0.25"/>
    <row r="249011" customFormat="1" x14ac:dyDescent="0.25"/>
    <row r="249012" customFormat="1" x14ac:dyDescent="0.25"/>
    <row r="249013" customFormat="1" x14ac:dyDescent="0.25"/>
    <row r="249014" customFormat="1" x14ac:dyDescent="0.25"/>
    <row r="249015" customFormat="1" x14ac:dyDescent="0.25"/>
    <row r="249016" customFormat="1" x14ac:dyDescent="0.25"/>
    <row r="249017" customFormat="1" x14ac:dyDescent="0.25"/>
    <row r="249018" customFormat="1" x14ac:dyDescent="0.25"/>
    <row r="249019" customFormat="1" x14ac:dyDescent="0.25"/>
    <row r="249020" customFormat="1" x14ac:dyDescent="0.25"/>
    <row r="249021" customFormat="1" x14ac:dyDescent="0.25"/>
    <row r="249022" customFormat="1" x14ac:dyDescent="0.25"/>
    <row r="249023" customFormat="1" x14ac:dyDescent="0.25"/>
    <row r="249024" customFormat="1" x14ac:dyDescent="0.25"/>
    <row r="249025" customFormat="1" x14ac:dyDescent="0.25"/>
    <row r="249026" customFormat="1" x14ac:dyDescent="0.25"/>
    <row r="249027" customFormat="1" x14ac:dyDescent="0.25"/>
    <row r="249028" customFormat="1" x14ac:dyDescent="0.25"/>
    <row r="249029" customFormat="1" x14ac:dyDescent="0.25"/>
    <row r="249030" customFormat="1" x14ac:dyDescent="0.25"/>
    <row r="249031" customFormat="1" x14ac:dyDescent="0.25"/>
    <row r="249032" customFormat="1" x14ac:dyDescent="0.25"/>
    <row r="249033" customFormat="1" x14ac:dyDescent="0.25"/>
    <row r="249034" customFormat="1" x14ac:dyDescent="0.25"/>
    <row r="249035" customFormat="1" x14ac:dyDescent="0.25"/>
    <row r="249036" customFormat="1" x14ac:dyDescent="0.25"/>
    <row r="249037" customFormat="1" x14ac:dyDescent="0.25"/>
    <row r="249038" customFormat="1" x14ac:dyDescent="0.25"/>
    <row r="249039" customFormat="1" x14ac:dyDescent="0.25"/>
    <row r="249040" customFormat="1" x14ac:dyDescent="0.25"/>
    <row r="249041" customFormat="1" x14ac:dyDescent="0.25"/>
    <row r="249042" customFormat="1" x14ac:dyDescent="0.25"/>
    <row r="249043" customFormat="1" x14ac:dyDescent="0.25"/>
    <row r="249044" customFormat="1" x14ac:dyDescent="0.25"/>
    <row r="249045" customFormat="1" x14ac:dyDescent="0.25"/>
    <row r="249046" customFormat="1" x14ac:dyDescent="0.25"/>
    <row r="249047" customFormat="1" x14ac:dyDescent="0.25"/>
    <row r="249048" customFormat="1" x14ac:dyDescent="0.25"/>
    <row r="249049" customFormat="1" x14ac:dyDescent="0.25"/>
    <row r="249050" customFormat="1" x14ac:dyDescent="0.25"/>
    <row r="249051" customFormat="1" x14ac:dyDescent="0.25"/>
    <row r="249052" customFormat="1" x14ac:dyDescent="0.25"/>
    <row r="249053" customFormat="1" x14ac:dyDescent="0.25"/>
    <row r="249054" customFormat="1" x14ac:dyDescent="0.25"/>
    <row r="249055" customFormat="1" x14ac:dyDescent="0.25"/>
    <row r="249056" customFormat="1" x14ac:dyDescent="0.25"/>
    <row r="249057" customFormat="1" x14ac:dyDescent="0.25"/>
    <row r="249058" customFormat="1" x14ac:dyDescent="0.25"/>
    <row r="249059" customFormat="1" x14ac:dyDescent="0.25"/>
    <row r="249060" customFormat="1" x14ac:dyDescent="0.25"/>
    <row r="249061" customFormat="1" x14ac:dyDescent="0.25"/>
    <row r="249062" customFormat="1" x14ac:dyDescent="0.25"/>
    <row r="249063" customFormat="1" x14ac:dyDescent="0.25"/>
    <row r="249064" customFormat="1" x14ac:dyDescent="0.25"/>
    <row r="249065" customFormat="1" x14ac:dyDescent="0.25"/>
    <row r="249066" customFormat="1" x14ac:dyDescent="0.25"/>
    <row r="249067" customFormat="1" x14ac:dyDescent="0.25"/>
    <row r="249068" customFormat="1" x14ac:dyDescent="0.25"/>
    <row r="249069" customFormat="1" x14ac:dyDescent="0.25"/>
    <row r="249070" customFormat="1" x14ac:dyDescent="0.25"/>
    <row r="249071" customFormat="1" x14ac:dyDescent="0.25"/>
    <row r="249072" customFormat="1" x14ac:dyDescent="0.25"/>
    <row r="249073" customFormat="1" x14ac:dyDescent="0.25"/>
    <row r="249074" customFormat="1" x14ac:dyDescent="0.25"/>
    <row r="249075" customFormat="1" x14ac:dyDescent="0.25"/>
    <row r="249076" customFormat="1" x14ac:dyDescent="0.25"/>
    <row r="249077" customFormat="1" x14ac:dyDescent="0.25"/>
    <row r="249078" customFormat="1" x14ac:dyDescent="0.25"/>
    <row r="249079" customFormat="1" x14ac:dyDescent="0.25"/>
    <row r="249080" customFormat="1" x14ac:dyDescent="0.25"/>
    <row r="249081" customFormat="1" x14ac:dyDescent="0.25"/>
    <row r="249082" customFormat="1" x14ac:dyDescent="0.25"/>
    <row r="249083" customFormat="1" x14ac:dyDescent="0.25"/>
    <row r="249084" customFormat="1" x14ac:dyDescent="0.25"/>
    <row r="249085" customFormat="1" x14ac:dyDescent="0.25"/>
    <row r="249086" customFormat="1" x14ac:dyDescent="0.25"/>
    <row r="249087" customFormat="1" x14ac:dyDescent="0.25"/>
    <row r="249088" customFormat="1" x14ac:dyDescent="0.25"/>
    <row r="249089" customFormat="1" x14ac:dyDescent="0.25"/>
    <row r="249090" customFormat="1" x14ac:dyDescent="0.25"/>
    <row r="249091" customFormat="1" x14ac:dyDescent="0.25"/>
    <row r="249092" customFormat="1" x14ac:dyDescent="0.25"/>
    <row r="249093" customFormat="1" x14ac:dyDescent="0.25"/>
    <row r="249094" customFormat="1" x14ac:dyDescent="0.25"/>
    <row r="249095" customFormat="1" x14ac:dyDescent="0.25"/>
    <row r="249096" customFormat="1" x14ac:dyDescent="0.25"/>
    <row r="249097" customFormat="1" x14ac:dyDescent="0.25"/>
    <row r="249098" customFormat="1" x14ac:dyDescent="0.25"/>
    <row r="249099" customFormat="1" x14ac:dyDescent="0.25"/>
    <row r="249100" customFormat="1" x14ac:dyDescent="0.25"/>
    <row r="249101" customFormat="1" x14ac:dyDescent="0.25"/>
    <row r="249102" customFormat="1" x14ac:dyDescent="0.25"/>
    <row r="249103" customFormat="1" x14ac:dyDescent="0.25"/>
    <row r="249104" customFormat="1" x14ac:dyDescent="0.25"/>
    <row r="249105" customFormat="1" x14ac:dyDescent="0.25"/>
    <row r="249106" customFormat="1" x14ac:dyDescent="0.25"/>
    <row r="249107" customFormat="1" x14ac:dyDescent="0.25"/>
    <row r="249108" customFormat="1" x14ac:dyDescent="0.25"/>
    <row r="249109" customFormat="1" x14ac:dyDescent="0.25"/>
    <row r="249110" customFormat="1" x14ac:dyDescent="0.25"/>
    <row r="249111" customFormat="1" x14ac:dyDescent="0.25"/>
    <row r="249112" customFormat="1" x14ac:dyDescent="0.25"/>
    <row r="249113" customFormat="1" x14ac:dyDescent="0.25"/>
    <row r="249114" customFormat="1" x14ac:dyDescent="0.25"/>
    <row r="249115" customFormat="1" x14ac:dyDescent="0.25"/>
    <row r="249116" customFormat="1" x14ac:dyDescent="0.25"/>
    <row r="249117" customFormat="1" x14ac:dyDescent="0.25"/>
    <row r="249118" customFormat="1" x14ac:dyDescent="0.25"/>
    <row r="249119" customFormat="1" x14ac:dyDescent="0.25"/>
    <row r="249120" customFormat="1" x14ac:dyDescent="0.25"/>
    <row r="249121" customFormat="1" x14ac:dyDescent="0.25"/>
    <row r="249122" customFormat="1" x14ac:dyDescent="0.25"/>
    <row r="249123" customFormat="1" x14ac:dyDescent="0.25"/>
    <row r="249124" customFormat="1" x14ac:dyDescent="0.25"/>
    <row r="249125" customFormat="1" x14ac:dyDescent="0.25"/>
    <row r="249126" customFormat="1" x14ac:dyDescent="0.25"/>
    <row r="249127" customFormat="1" x14ac:dyDescent="0.25"/>
    <row r="249128" customFormat="1" x14ac:dyDescent="0.25"/>
    <row r="249129" customFormat="1" x14ac:dyDescent="0.25"/>
    <row r="249130" customFormat="1" x14ac:dyDescent="0.25"/>
    <row r="249131" customFormat="1" x14ac:dyDescent="0.25"/>
    <row r="249132" customFormat="1" x14ac:dyDescent="0.25"/>
    <row r="249133" customFormat="1" x14ac:dyDescent="0.25"/>
    <row r="249134" customFormat="1" x14ac:dyDescent="0.25"/>
    <row r="249135" customFormat="1" x14ac:dyDescent="0.25"/>
    <row r="249136" customFormat="1" x14ac:dyDescent="0.25"/>
    <row r="249137" customFormat="1" x14ac:dyDescent="0.25"/>
    <row r="249138" customFormat="1" x14ac:dyDescent="0.25"/>
    <row r="249139" customFormat="1" x14ac:dyDescent="0.25"/>
    <row r="249140" customFormat="1" x14ac:dyDescent="0.25"/>
    <row r="249141" customFormat="1" x14ac:dyDescent="0.25"/>
    <row r="249142" customFormat="1" x14ac:dyDescent="0.25"/>
    <row r="249143" customFormat="1" x14ac:dyDescent="0.25"/>
    <row r="249144" customFormat="1" x14ac:dyDescent="0.25"/>
    <row r="249145" customFormat="1" x14ac:dyDescent="0.25"/>
    <row r="249146" customFormat="1" x14ac:dyDescent="0.25"/>
    <row r="249147" customFormat="1" x14ac:dyDescent="0.25"/>
    <row r="249148" customFormat="1" x14ac:dyDescent="0.25"/>
    <row r="249149" customFormat="1" x14ac:dyDescent="0.25"/>
    <row r="249150" customFormat="1" x14ac:dyDescent="0.25"/>
    <row r="249151" customFormat="1" x14ac:dyDescent="0.25"/>
    <row r="249152" customFormat="1" x14ac:dyDescent="0.25"/>
    <row r="249153" customFormat="1" x14ac:dyDescent="0.25"/>
    <row r="249154" customFormat="1" x14ac:dyDescent="0.25"/>
    <row r="249155" customFormat="1" x14ac:dyDescent="0.25"/>
    <row r="249156" customFormat="1" x14ac:dyDescent="0.25"/>
    <row r="249157" customFormat="1" x14ac:dyDescent="0.25"/>
    <row r="249158" customFormat="1" x14ac:dyDescent="0.25"/>
    <row r="249159" customFormat="1" x14ac:dyDescent="0.25"/>
    <row r="249160" customFormat="1" x14ac:dyDescent="0.25"/>
    <row r="249161" customFormat="1" x14ac:dyDescent="0.25"/>
    <row r="249162" customFormat="1" x14ac:dyDescent="0.25"/>
    <row r="249163" customFormat="1" x14ac:dyDescent="0.25"/>
    <row r="249164" customFormat="1" x14ac:dyDescent="0.25"/>
    <row r="249165" customFormat="1" x14ac:dyDescent="0.25"/>
    <row r="249166" customFormat="1" x14ac:dyDescent="0.25"/>
    <row r="249167" customFormat="1" x14ac:dyDescent="0.25"/>
    <row r="249168" customFormat="1" x14ac:dyDescent="0.25"/>
    <row r="249169" customFormat="1" x14ac:dyDescent="0.25"/>
    <row r="249170" customFormat="1" x14ac:dyDescent="0.25"/>
    <row r="249171" customFormat="1" x14ac:dyDescent="0.25"/>
    <row r="249172" customFormat="1" x14ac:dyDescent="0.25"/>
    <row r="249173" customFormat="1" x14ac:dyDescent="0.25"/>
    <row r="249174" customFormat="1" x14ac:dyDescent="0.25"/>
    <row r="249175" customFormat="1" x14ac:dyDescent="0.25"/>
    <row r="249176" customFormat="1" x14ac:dyDescent="0.25"/>
    <row r="249177" customFormat="1" x14ac:dyDescent="0.25"/>
    <row r="249178" customFormat="1" x14ac:dyDescent="0.25"/>
    <row r="249179" customFormat="1" x14ac:dyDescent="0.25"/>
    <row r="249180" customFormat="1" x14ac:dyDescent="0.25"/>
    <row r="249181" customFormat="1" x14ac:dyDescent="0.25"/>
    <row r="249182" customFormat="1" x14ac:dyDescent="0.25"/>
    <row r="249183" customFormat="1" x14ac:dyDescent="0.25"/>
    <row r="249184" customFormat="1" x14ac:dyDescent="0.25"/>
    <row r="249185" customFormat="1" x14ac:dyDescent="0.25"/>
    <row r="249186" customFormat="1" x14ac:dyDescent="0.25"/>
    <row r="249187" customFormat="1" x14ac:dyDescent="0.25"/>
    <row r="249188" customFormat="1" x14ac:dyDescent="0.25"/>
    <row r="249189" customFormat="1" x14ac:dyDescent="0.25"/>
    <row r="249190" customFormat="1" x14ac:dyDescent="0.25"/>
    <row r="249191" customFormat="1" x14ac:dyDescent="0.25"/>
    <row r="249192" customFormat="1" x14ac:dyDescent="0.25"/>
    <row r="249193" customFormat="1" x14ac:dyDescent="0.25"/>
    <row r="249194" customFormat="1" x14ac:dyDescent="0.25"/>
    <row r="249195" customFormat="1" x14ac:dyDescent="0.25"/>
    <row r="249196" customFormat="1" x14ac:dyDescent="0.25"/>
    <row r="249197" customFormat="1" x14ac:dyDescent="0.25"/>
    <row r="249198" customFormat="1" x14ac:dyDescent="0.25"/>
    <row r="249199" customFormat="1" x14ac:dyDescent="0.25"/>
    <row r="249200" customFormat="1" x14ac:dyDescent="0.25"/>
    <row r="249201" customFormat="1" x14ac:dyDescent="0.25"/>
    <row r="249202" customFormat="1" x14ac:dyDescent="0.25"/>
    <row r="249203" customFormat="1" x14ac:dyDescent="0.25"/>
    <row r="249204" customFormat="1" x14ac:dyDescent="0.25"/>
    <row r="249205" customFormat="1" x14ac:dyDescent="0.25"/>
    <row r="249206" customFormat="1" x14ac:dyDescent="0.25"/>
    <row r="249207" customFormat="1" x14ac:dyDescent="0.25"/>
    <row r="249208" customFormat="1" x14ac:dyDescent="0.25"/>
    <row r="249209" customFormat="1" x14ac:dyDescent="0.25"/>
    <row r="249210" customFormat="1" x14ac:dyDescent="0.25"/>
    <row r="249211" customFormat="1" x14ac:dyDescent="0.25"/>
    <row r="249212" customFormat="1" x14ac:dyDescent="0.25"/>
    <row r="249213" customFormat="1" x14ac:dyDescent="0.25"/>
    <row r="249214" customFormat="1" x14ac:dyDescent="0.25"/>
    <row r="249215" customFormat="1" x14ac:dyDescent="0.25"/>
    <row r="249216" customFormat="1" x14ac:dyDescent="0.25"/>
    <row r="249217" customFormat="1" x14ac:dyDescent="0.25"/>
    <row r="249218" customFormat="1" x14ac:dyDescent="0.25"/>
    <row r="249219" customFormat="1" x14ac:dyDescent="0.25"/>
    <row r="249220" customFormat="1" x14ac:dyDescent="0.25"/>
    <row r="249221" customFormat="1" x14ac:dyDescent="0.25"/>
    <row r="249222" customFormat="1" x14ac:dyDescent="0.25"/>
    <row r="249223" customFormat="1" x14ac:dyDescent="0.25"/>
    <row r="249224" customFormat="1" x14ac:dyDescent="0.25"/>
    <row r="249225" customFormat="1" x14ac:dyDescent="0.25"/>
    <row r="249226" customFormat="1" x14ac:dyDescent="0.25"/>
    <row r="249227" customFormat="1" x14ac:dyDescent="0.25"/>
    <row r="249228" customFormat="1" x14ac:dyDescent="0.25"/>
    <row r="249229" customFormat="1" x14ac:dyDescent="0.25"/>
    <row r="249230" customFormat="1" x14ac:dyDescent="0.25"/>
    <row r="249231" customFormat="1" x14ac:dyDescent="0.25"/>
    <row r="249232" customFormat="1" x14ac:dyDescent="0.25"/>
    <row r="249233" customFormat="1" x14ac:dyDescent="0.25"/>
    <row r="249234" customFormat="1" x14ac:dyDescent="0.25"/>
    <row r="249235" customFormat="1" x14ac:dyDescent="0.25"/>
    <row r="249236" customFormat="1" x14ac:dyDescent="0.25"/>
    <row r="249237" customFormat="1" x14ac:dyDescent="0.25"/>
    <row r="249238" customFormat="1" x14ac:dyDescent="0.25"/>
    <row r="249239" customFormat="1" x14ac:dyDescent="0.25"/>
    <row r="249240" customFormat="1" x14ac:dyDescent="0.25"/>
    <row r="249241" customFormat="1" x14ac:dyDescent="0.25"/>
    <row r="249242" customFormat="1" x14ac:dyDescent="0.25"/>
    <row r="249243" customFormat="1" x14ac:dyDescent="0.25"/>
    <row r="249244" customFormat="1" x14ac:dyDescent="0.25"/>
    <row r="249245" customFormat="1" x14ac:dyDescent="0.25"/>
    <row r="249246" customFormat="1" x14ac:dyDescent="0.25"/>
    <row r="249247" customFormat="1" x14ac:dyDescent="0.25"/>
    <row r="249248" customFormat="1" x14ac:dyDescent="0.25"/>
    <row r="249249" customFormat="1" x14ac:dyDescent="0.25"/>
    <row r="249250" customFormat="1" x14ac:dyDescent="0.25"/>
    <row r="249251" customFormat="1" x14ac:dyDescent="0.25"/>
    <row r="249252" customFormat="1" x14ac:dyDescent="0.25"/>
    <row r="249253" customFormat="1" x14ac:dyDescent="0.25"/>
    <row r="249254" customFormat="1" x14ac:dyDescent="0.25"/>
    <row r="249255" customFormat="1" x14ac:dyDescent="0.25"/>
    <row r="249256" customFormat="1" x14ac:dyDescent="0.25"/>
    <row r="249257" customFormat="1" x14ac:dyDescent="0.25"/>
    <row r="249258" customFormat="1" x14ac:dyDescent="0.25"/>
    <row r="249259" customFormat="1" x14ac:dyDescent="0.25"/>
    <row r="249260" customFormat="1" x14ac:dyDescent="0.25"/>
    <row r="249261" customFormat="1" x14ac:dyDescent="0.25"/>
    <row r="249262" customFormat="1" x14ac:dyDescent="0.25"/>
    <row r="249263" customFormat="1" x14ac:dyDescent="0.25"/>
    <row r="249264" customFormat="1" x14ac:dyDescent="0.25"/>
    <row r="249265" customFormat="1" x14ac:dyDescent="0.25"/>
    <row r="249266" customFormat="1" x14ac:dyDescent="0.25"/>
    <row r="249267" customFormat="1" x14ac:dyDescent="0.25"/>
    <row r="249268" customFormat="1" x14ac:dyDescent="0.25"/>
    <row r="249269" customFormat="1" x14ac:dyDescent="0.25"/>
    <row r="249270" customFormat="1" x14ac:dyDescent="0.25"/>
    <row r="249271" customFormat="1" x14ac:dyDescent="0.25"/>
    <row r="249272" customFormat="1" x14ac:dyDescent="0.25"/>
    <row r="249273" customFormat="1" x14ac:dyDescent="0.25"/>
    <row r="249274" customFormat="1" x14ac:dyDescent="0.25"/>
    <row r="249275" customFormat="1" x14ac:dyDescent="0.25"/>
    <row r="249276" customFormat="1" x14ac:dyDescent="0.25"/>
    <row r="249277" customFormat="1" x14ac:dyDescent="0.25"/>
    <row r="249278" customFormat="1" x14ac:dyDescent="0.25"/>
    <row r="249279" customFormat="1" x14ac:dyDescent="0.25"/>
    <row r="249280" customFormat="1" x14ac:dyDescent="0.25"/>
    <row r="249281" customFormat="1" x14ac:dyDescent="0.25"/>
    <row r="249282" customFormat="1" x14ac:dyDescent="0.25"/>
    <row r="249283" customFormat="1" x14ac:dyDescent="0.25"/>
    <row r="249284" customFormat="1" x14ac:dyDescent="0.25"/>
    <row r="249285" customFormat="1" x14ac:dyDescent="0.25"/>
    <row r="249286" customFormat="1" x14ac:dyDescent="0.25"/>
    <row r="249287" customFormat="1" x14ac:dyDescent="0.25"/>
    <row r="249288" customFormat="1" x14ac:dyDescent="0.25"/>
    <row r="249289" customFormat="1" x14ac:dyDescent="0.25"/>
    <row r="249290" customFormat="1" x14ac:dyDescent="0.25"/>
    <row r="249291" customFormat="1" x14ac:dyDescent="0.25"/>
    <row r="249292" customFormat="1" x14ac:dyDescent="0.25"/>
    <row r="249293" customFormat="1" x14ac:dyDescent="0.25"/>
    <row r="249294" customFormat="1" x14ac:dyDescent="0.25"/>
    <row r="249295" customFormat="1" x14ac:dyDescent="0.25"/>
    <row r="249296" customFormat="1" x14ac:dyDescent="0.25"/>
    <row r="249297" customFormat="1" x14ac:dyDescent="0.25"/>
    <row r="249298" customFormat="1" x14ac:dyDescent="0.25"/>
    <row r="249299" customFormat="1" x14ac:dyDescent="0.25"/>
    <row r="249300" customFormat="1" x14ac:dyDescent="0.25"/>
    <row r="249301" customFormat="1" x14ac:dyDescent="0.25"/>
    <row r="249302" customFormat="1" x14ac:dyDescent="0.25"/>
    <row r="249303" customFormat="1" x14ac:dyDescent="0.25"/>
    <row r="249304" customFormat="1" x14ac:dyDescent="0.25"/>
    <row r="249305" customFormat="1" x14ac:dyDescent="0.25"/>
    <row r="249306" customFormat="1" x14ac:dyDescent="0.25"/>
    <row r="249307" customFormat="1" x14ac:dyDescent="0.25"/>
    <row r="249308" customFormat="1" x14ac:dyDescent="0.25"/>
    <row r="249309" customFormat="1" x14ac:dyDescent="0.25"/>
    <row r="249310" customFormat="1" x14ac:dyDescent="0.25"/>
    <row r="249311" customFormat="1" x14ac:dyDescent="0.25"/>
    <row r="249312" customFormat="1" x14ac:dyDescent="0.25"/>
    <row r="249313" customFormat="1" x14ac:dyDescent="0.25"/>
    <row r="249314" customFormat="1" x14ac:dyDescent="0.25"/>
    <row r="249315" customFormat="1" x14ac:dyDescent="0.25"/>
    <row r="249316" customFormat="1" x14ac:dyDescent="0.25"/>
    <row r="249317" customFormat="1" x14ac:dyDescent="0.25"/>
    <row r="249318" customFormat="1" x14ac:dyDescent="0.25"/>
    <row r="249319" customFormat="1" x14ac:dyDescent="0.25"/>
    <row r="249320" customFormat="1" x14ac:dyDescent="0.25"/>
    <row r="249321" customFormat="1" x14ac:dyDescent="0.25"/>
    <row r="249322" customFormat="1" x14ac:dyDescent="0.25"/>
    <row r="249323" customFormat="1" x14ac:dyDescent="0.25"/>
    <row r="249324" customFormat="1" x14ac:dyDescent="0.25"/>
    <row r="249325" customFormat="1" x14ac:dyDescent="0.25"/>
    <row r="249326" customFormat="1" x14ac:dyDescent="0.25"/>
    <row r="249327" customFormat="1" x14ac:dyDescent="0.25"/>
    <row r="249328" customFormat="1" x14ac:dyDescent="0.25"/>
    <row r="249329" customFormat="1" x14ac:dyDescent="0.25"/>
    <row r="249330" customFormat="1" x14ac:dyDescent="0.25"/>
    <row r="249331" customFormat="1" x14ac:dyDescent="0.25"/>
    <row r="249332" customFormat="1" x14ac:dyDescent="0.25"/>
    <row r="249333" customFormat="1" x14ac:dyDescent="0.25"/>
    <row r="249334" customFormat="1" x14ac:dyDescent="0.25"/>
    <row r="249335" customFormat="1" x14ac:dyDescent="0.25"/>
    <row r="249336" customFormat="1" x14ac:dyDescent="0.25"/>
    <row r="249337" customFormat="1" x14ac:dyDescent="0.25"/>
    <row r="249338" customFormat="1" x14ac:dyDescent="0.25"/>
    <row r="249339" customFormat="1" x14ac:dyDescent="0.25"/>
    <row r="249340" customFormat="1" x14ac:dyDescent="0.25"/>
    <row r="249341" customFormat="1" x14ac:dyDescent="0.25"/>
    <row r="249342" customFormat="1" x14ac:dyDescent="0.25"/>
    <row r="249343" customFormat="1" x14ac:dyDescent="0.25"/>
    <row r="249344" customFormat="1" x14ac:dyDescent="0.25"/>
    <row r="249345" customFormat="1" x14ac:dyDescent="0.25"/>
    <row r="249346" customFormat="1" x14ac:dyDescent="0.25"/>
    <row r="249347" customFormat="1" x14ac:dyDescent="0.25"/>
    <row r="249348" customFormat="1" x14ac:dyDescent="0.25"/>
    <row r="249349" customFormat="1" x14ac:dyDescent="0.25"/>
    <row r="249350" customFormat="1" x14ac:dyDescent="0.25"/>
    <row r="249351" customFormat="1" x14ac:dyDescent="0.25"/>
    <row r="249352" customFormat="1" x14ac:dyDescent="0.25"/>
    <row r="249353" customFormat="1" x14ac:dyDescent="0.25"/>
    <row r="249354" customFormat="1" x14ac:dyDescent="0.25"/>
    <row r="249355" customFormat="1" x14ac:dyDescent="0.25"/>
    <row r="249356" customFormat="1" x14ac:dyDescent="0.25"/>
    <row r="249357" customFormat="1" x14ac:dyDescent="0.25"/>
    <row r="249358" customFormat="1" x14ac:dyDescent="0.25"/>
    <row r="249359" customFormat="1" x14ac:dyDescent="0.25"/>
    <row r="249360" customFormat="1" x14ac:dyDescent="0.25"/>
    <row r="249361" customFormat="1" x14ac:dyDescent="0.25"/>
    <row r="249362" customFormat="1" x14ac:dyDescent="0.25"/>
    <row r="249363" customFormat="1" x14ac:dyDescent="0.25"/>
    <row r="249364" customFormat="1" x14ac:dyDescent="0.25"/>
    <row r="249365" customFormat="1" x14ac:dyDescent="0.25"/>
    <row r="249366" customFormat="1" x14ac:dyDescent="0.25"/>
    <row r="249367" customFormat="1" x14ac:dyDescent="0.25"/>
    <row r="249368" customFormat="1" x14ac:dyDescent="0.25"/>
    <row r="249369" customFormat="1" x14ac:dyDescent="0.25"/>
    <row r="249370" customFormat="1" x14ac:dyDescent="0.25"/>
    <row r="249371" customFormat="1" x14ac:dyDescent="0.25"/>
    <row r="249372" customFormat="1" x14ac:dyDescent="0.25"/>
    <row r="249373" customFormat="1" x14ac:dyDescent="0.25"/>
    <row r="249374" customFormat="1" x14ac:dyDescent="0.25"/>
    <row r="249375" customFormat="1" x14ac:dyDescent="0.25"/>
    <row r="249376" customFormat="1" x14ac:dyDescent="0.25"/>
    <row r="249377" customFormat="1" x14ac:dyDescent="0.25"/>
    <row r="249378" customFormat="1" x14ac:dyDescent="0.25"/>
    <row r="249379" customFormat="1" x14ac:dyDescent="0.25"/>
    <row r="249380" customFormat="1" x14ac:dyDescent="0.25"/>
    <row r="249381" customFormat="1" x14ac:dyDescent="0.25"/>
    <row r="249382" customFormat="1" x14ac:dyDescent="0.25"/>
    <row r="249383" customFormat="1" x14ac:dyDescent="0.25"/>
    <row r="249384" customFormat="1" x14ac:dyDescent="0.25"/>
    <row r="249385" customFormat="1" x14ac:dyDescent="0.25"/>
    <row r="249386" customFormat="1" x14ac:dyDescent="0.25"/>
    <row r="249387" customFormat="1" x14ac:dyDescent="0.25"/>
    <row r="249388" customFormat="1" x14ac:dyDescent="0.25"/>
    <row r="249389" customFormat="1" x14ac:dyDescent="0.25"/>
    <row r="249390" customFormat="1" x14ac:dyDescent="0.25"/>
    <row r="249391" customFormat="1" x14ac:dyDescent="0.25"/>
    <row r="249392" customFormat="1" x14ac:dyDescent="0.25"/>
    <row r="249393" customFormat="1" x14ac:dyDescent="0.25"/>
    <row r="249394" customFormat="1" x14ac:dyDescent="0.25"/>
    <row r="249395" customFormat="1" x14ac:dyDescent="0.25"/>
    <row r="249396" customFormat="1" x14ac:dyDescent="0.25"/>
    <row r="249397" customFormat="1" x14ac:dyDescent="0.25"/>
    <row r="249398" customFormat="1" x14ac:dyDescent="0.25"/>
    <row r="249399" customFormat="1" x14ac:dyDescent="0.25"/>
    <row r="249400" customFormat="1" x14ac:dyDescent="0.25"/>
    <row r="249401" customFormat="1" x14ac:dyDescent="0.25"/>
    <row r="249402" customFormat="1" x14ac:dyDescent="0.25"/>
    <row r="249403" customFormat="1" x14ac:dyDescent="0.25"/>
    <row r="249404" customFormat="1" x14ac:dyDescent="0.25"/>
    <row r="249405" customFormat="1" x14ac:dyDescent="0.25"/>
    <row r="249406" customFormat="1" x14ac:dyDescent="0.25"/>
    <row r="249407" customFormat="1" x14ac:dyDescent="0.25"/>
    <row r="249408" customFormat="1" x14ac:dyDescent="0.25"/>
    <row r="249409" customFormat="1" x14ac:dyDescent="0.25"/>
    <row r="249410" customFormat="1" x14ac:dyDescent="0.25"/>
    <row r="249411" customFormat="1" x14ac:dyDescent="0.25"/>
    <row r="249412" customFormat="1" x14ac:dyDescent="0.25"/>
    <row r="249413" customFormat="1" x14ac:dyDescent="0.25"/>
    <row r="249414" customFormat="1" x14ac:dyDescent="0.25"/>
    <row r="249415" customFormat="1" x14ac:dyDescent="0.25"/>
    <row r="249416" customFormat="1" x14ac:dyDescent="0.25"/>
    <row r="249417" customFormat="1" x14ac:dyDescent="0.25"/>
    <row r="249418" customFormat="1" x14ac:dyDescent="0.25"/>
    <row r="249419" customFormat="1" x14ac:dyDescent="0.25"/>
    <row r="249420" customFormat="1" x14ac:dyDescent="0.25"/>
    <row r="249421" customFormat="1" x14ac:dyDescent="0.25"/>
    <row r="249422" customFormat="1" x14ac:dyDescent="0.25"/>
    <row r="249423" customFormat="1" x14ac:dyDescent="0.25"/>
    <row r="249424" customFormat="1" x14ac:dyDescent="0.25"/>
    <row r="249425" customFormat="1" x14ac:dyDescent="0.25"/>
    <row r="249426" customFormat="1" x14ac:dyDescent="0.25"/>
    <row r="249427" customFormat="1" x14ac:dyDescent="0.25"/>
    <row r="249428" customFormat="1" x14ac:dyDescent="0.25"/>
    <row r="249429" customFormat="1" x14ac:dyDescent="0.25"/>
    <row r="249430" customFormat="1" x14ac:dyDescent="0.25"/>
    <row r="249431" customFormat="1" x14ac:dyDescent="0.25"/>
    <row r="249432" customFormat="1" x14ac:dyDescent="0.25"/>
    <row r="249433" customFormat="1" x14ac:dyDescent="0.25"/>
    <row r="249434" customFormat="1" x14ac:dyDescent="0.25"/>
    <row r="249435" customFormat="1" x14ac:dyDescent="0.25"/>
    <row r="249436" customFormat="1" x14ac:dyDescent="0.25"/>
    <row r="249437" customFormat="1" x14ac:dyDescent="0.25"/>
    <row r="249438" customFormat="1" x14ac:dyDescent="0.25"/>
    <row r="249439" customFormat="1" x14ac:dyDescent="0.25"/>
    <row r="249440" customFormat="1" x14ac:dyDescent="0.25"/>
    <row r="249441" customFormat="1" x14ac:dyDescent="0.25"/>
    <row r="249442" customFormat="1" x14ac:dyDescent="0.25"/>
    <row r="249443" customFormat="1" x14ac:dyDescent="0.25"/>
    <row r="249444" customFormat="1" x14ac:dyDescent="0.25"/>
    <row r="249445" customFormat="1" x14ac:dyDescent="0.25"/>
    <row r="249446" customFormat="1" x14ac:dyDescent="0.25"/>
    <row r="249447" customFormat="1" x14ac:dyDescent="0.25"/>
    <row r="249448" customFormat="1" x14ac:dyDescent="0.25"/>
    <row r="249449" customFormat="1" x14ac:dyDescent="0.25"/>
    <row r="249450" customFormat="1" x14ac:dyDescent="0.25"/>
    <row r="249451" customFormat="1" x14ac:dyDescent="0.25"/>
    <row r="249452" customFormat="1" x14ac:dyDescent="0.25"/>
    <row r="249453" customFormat="1" x14ac:dyDescent="0.25"/>
    <row r="249454" customFormat="1" x14ac:dyDescent="0.25"/>
    <row r="249455" customFormat="1" x14ac:dyDescent="0.25"/>
    <row r="249456" customFormat="1" x14ac:dyDescent="0.25"/>
    <row r="249457" customFormat="1" x14ac:dyDescent="0.25"/>
    <row r="249458" customFormat="1" x14ac:dyDescent="0.25"/>
    <row r="249459" customFormat="1" x14ac:dyDescent="0.25"/>
    <row r="249460" customFormat="1" x14ac:dyDescent="0.25"/>
    <row r="249461" customFormat="1" x14ac:dyDescent="0.25"/>
    <row r="249462" customFormat="1" x14ac:dyDescent="0.25"/>
    <row r="249463" customFormat="1" x14ac:dyDescent="0.25"/>
    <row r="249464" customFormat="1" x14ac:dyDescent="0.25"/>
    <row r="249465" customFormat="1" x14ac:dyDescent="0.25"/>
    <row r="249466" customFormat="1" x14ac:dyDescent="0.25"/>
    <row r="249467" customFormat="1" x14ac:dyDescent="0.25"/>
    <row r="249468" customFormat="1" x14ac:dyDescent="0.25"/>
    <row r="249469" customFormat="1" x14ac:dyDescent="0.25"/>
    <row r="249470" customFormat="1" x14ac:dyDescent="0.25"/>
    <row r="249471" customFormat="1" x14ac:dyDescent="0.25"/>
    <row r="249472" customFormat="1" x14ac:dyDescent="0.25"/>
    <row r="249473" customFormat="1" x14ac:dyDescent="0.25"/>
    <row r="249474" customFormat="1" x14ac:dyDescent="0.25"/>
    <row r="249475" customFormat="1" x14ac:dyDescent="0.25"/>
    <row r="249476" customFormat="1" x14ac:dyDescent="0.25"/>
    <row r="249477" customFormat="1" x14ac:dyDescent="0.25"/>
    <row r="249478" customFormat="1" x14ac:dyDescent="0.25"/>
    <row r="249479" customFormat="1" x14ac:dyDescent="0.25"/>
    <row r="249480" customFormat="1" x14ac:dyDescent="0.25"/>
    <row r="249481" customFormat="1" x14ac:dyDescent="0.25"/>
    <row r="249482" customFormat="1" x14ac:dyDescent="0.25"/>
    <row r="249483" customFormat="1" x14ac:dyDescent="0.25"/>
    <row r="249484" customFormat="1" x14ac:dyDescent="0.25"/>
    <row r="249485" customFormat="1" x14ac:dyDescent="0.25"/>
    <row r="249486" customFormat="1" x14ac:dyDescent="0.25"/>
    <row r="249487" customFormat="1" x14ac:dyDescent="0.25"/>
    <row r="249488" customFormat="1" x14ac:dyDescent="0.25"/>
    <row r="249489" customFormat="1" x14ac:dyDescent="0.25"/>
    <row r="249490" customFormat="1" x14ac:dyDescent="0.25"/>
    <row r="249491" customFormat="1" x14ac:dyDescent="0.25"/>
    <row r="249492" customFormat="1" x14ac:dyDescent="0.25"/>
    <row r="249493" customFormat="1" x14ac:dyDescent="0.25"/>
    <row r="249494" customFormat="1" x14ac:dyDescent="0.25"/>
    <row r="249495" customFormat="1" x14ac:dyDescent="0.25"/>
    <row r="249496" customFormat="1" x14ac:dyDescent="0.25"/>
    <row r="249497" customFormat="1" x14ac:dyDescent="0.25"/>
    <row r="249498" customFormat="1" x14ac:dyDescent="0.25"/>
    <row r="249499" customFormat="1" x14ac:dyDescent="0.25"/>
    <row r="249500" customFormat="1" x14ac:dyDescent="0.25"/>
    <row r="249501" customFormat="1" x14ac:dyDescent="0.25"/>
    <row r="249502" customFormat="1" x14ac:dyDescent="0.25"/>
    <row r="249503" customFormat="1" x14ac:dyDescent="0.25"/>
    <row r="249504" customFormat="1" x14ac:dyDescent="0.25"/>
    <row r="249505" customFormat="1" x14ac:dyDescent="0.25"/>
    <row r="249506" customFormat="1" x14ac:dyDescent="0.25"/>
    <row r="249507" customFormat="1" x14ac:dyDescent="0.25"/>
    <row r="249508" customFormat="1" x14ac:dyDescent="0.25"/>
    <row r="249509" customFormat="1" x14ac:dyDescent="0.25"/>
    <row r="249510" customFormat="1" x14ac:dyDescent="0.25"/>
    <row r="249511" customFormat="1" x14ac:dyDescent="0.25"/>
    <row r="249512" customFormat="1" x14ac:dyDescent="0.25"/>
    <row r="249513" customFormat="1" x14ac:dyDescent="0.25"/>
    <row r="249514" customFormat="1" x14ac:dyDescent="0.25"/>
    <row r="249515" customFormat="1" x14ac:dyDescent="0.25"/>
    <row r="249516" customFormat="1" x14ac:dyDescent="0.25"/>
    <row r="249517" customFormat="1" x14ac:dyDescent="0.25"/>
    <row r="249518" customFormat="1" x14ac:dyDescent="0.25"/>
    <row r="249519" customFormat="1" x14ac:dyDescent="0.25"/>
    <row r="249520" customFormat="1" x14ac:dyDescent="0.25"/>
    <row r="249521" customFormat="1" x14ac:dyDescent="0.25"/>
    <row r="249522" customFormat="1" x14ac:dyDescent="0.25"/>
    <row r="249523" customFormat="1" x14ac:dyDescent="0.25"/>
    <row r="249524" customFormat="1" x14ac:dyDescent="0.25"/>
    <row r="249525" customFormat="1" x14ac:dyDescent="0.25"/>
    <row r="249526" customFormat="1" x14ac:dyDescent="0.25"/>
    <row r="249527" customFormat="1" x14ac:dyDescent="0.25"/>
    <row r="249528" customFormat="1" x14ac:dyDescent="0.25"/>
    <row r="249529" customFormat="1" x14ac:dyDescent="0.25"/>
    <row r="249530" customFormat="1" x14ac:dyDescent="0.25"/>
    <row r="249531" customFormat="1" x14ac:dyDescent="0.25"/>
    <row r="249532" customFormat="1" x14ac:dyDescent="0.25"/>
    <row r="249533" customFormat="1" x14ac:dyDescent="0.25"/>
    <row r="249534" customFormat="1" x14ac:dyDescent="0.25"/>
    <row r="249535" customFormat="1" x14ac:dyDescent="0.25"/>
    <row r="249536" customFormat="1" x14ac:dyDescent="0.25"/>
    <row r="249537" customFormat="1" x14ac:dyDescent="0.25"/>
    <row r="249538" customFormat="1" x14ac:dyDescent="0.25"/>
    <row r="249539" customFormat="1" x14ac:dyDescent="0.25"/>
    <row r="249540" customFormat="1" x14ac:dyDescent="0.25"/>
    <row r="249541" customFormat="1" x14ac:dyDescent="0.25"/>
    <row r="249542" customFormat="1" x14ac:dyDescent="0.25"/>
    <row r="249543" customFormat="1" x14ac:dyDescent="0.25"/>
    <row r="249544" customFormat="1" x14ac:dyDescent="0.25"/>
    <row r="249545" customFormat="1" x14ac:dyDescent="0.25"/>
    <row r="249546" customFormat="1" x14ac:dyDescent="0.25"/>
    <row r="249547" customFormat="1" x14ac:dyDescent="0.25"/>
    <row r="249548" customFormat="1" x14ac:dyDescent="0.25"/>
    <row r="249549" customFormat="1" x14ac:dyDescent="0.25"/>
    <row r="249550" customFormat="1" x14ac:dyDescent="0.25"/>
    <row r="249551" customFormat="1" x14ac:dyDescent="0.25"/>
    <row r="249552" customFormat="1" x14ac:dyDescent="0.25"/>
    <row r="249553" customFormat="1" x14ac:dyDescent="0.25"/>
    <row r="249554" customFormat="1" x14ac:dyDescent="0.25"/>
    <row r="249555" customFormat="1" x14ac:dyDescent="0.25"/>
    <row r="249556" customFormat="1" x14ac:dyDescent="0.25"/>
    <row r="249557" customFormat="1" x14ac:dyDescent="0.25"/>
    <row r="249558" customFormat="1" x14ac:dyDescent="0.25"/>
    <row r="249559" customFormat="1" x14ac:dyDescent="0.25"/>
    <row r="249560" customFormat="1" x14ac:dyDescent="0.25"/>
    <row r="249561" customFormat="1" x14ac:dyDescent="0.25"/>
    <row r="249562" customFormat="1" x14ac:dyDescent="0.25"/>
    <row r="249563" customFormat="1" x14ac:dyDescent="0.25"/>
    <row r="249564" customFormat="1" x14ac:dyDescent="0.25"/>
    <row r="249565" customFormat="1" x14ac:dyDescent="0.25"/>
    <row r="249566" customFormat="1" x14ac:dyDescent="0.25"/>
    <row r="249567" customFormat="1" x14ac:dyDescent="0.25"/>
    <row r="249568" customFormat="1" x14ac:dyDescent="0.25"/>
    <row r="249569" customFormat="1" x14ac:dyDescent="0.25"/>
    <row r="249570" customFormat="1" x14ac:dyDescent="0.25"/>
    <row r="249571" customFormat="1" x14ac:dyDescent="0.25"/>
    <row r="249572" customFormat="1" x14ac:dyDescent="0.25"/>
    <row r="249573" customFormat="1" x14ac:dyDescent="0.25"/>
    <row r="249574" customFormat="1" x14ac:dyDescent="0.25"/>
    <row r="249575" customFormat="1" x14ac:dyDescent="0.25"/>
    <row r="249576" customFormat="1" x14ac:dyDescent="0.25"/>
    <row r="249577" customFormat="1" x14ac:dyDescent="0.25"/>
    <row r="249578" customFormat="1" x14ac:dyDescent="0.25"/>
    <row r="249579" customFormat="1" x14ac:dyDescent="0.25"/>
    <row r="249580" customFormat="1" x14ac:dyDescent="0.25"/>
    <row r="249581" customFormat="1" x14ac:dyDescent="0.25"/>
    <row r="249582" customFormat="1" x14ac:dyDescent="0.25"/>
    <row r="249583" customFormat="1" x14ac:dyDescent="0.25"/>
    <row r="249584" customFormat="1" x14ac:dyDescent="0.25"/>
    <row r="249585" customFormat="1" x14ac:dyDescent="0.25"/>
    <row r="249586" customFormat="1" x14ac:dyDescent="0.25"/>
    <row r="249587" customFormat="1" x14ac:dyDescent="0.25"/>
    <row r="249588" customFormat="1" x14ac:dyDescent="0.25"/>
    <row r="249589" customFormat="1" x14ac:dyDescent="0.25"/>
    <row r="249590" customFormat="1" x14ac:dyDescent="0.25"/>
    <row r="249591" customFormat="1" x14ac:dyDescent="0.25"/>
    <row r="249592" customFormat="1" x14ac:dyDescent="0.25"/>
    <row r="249593" customFormat="1" x14ac:dyDescent="0.25"/>
    <row r="249594" customFormat="1" x14ac:dyDescent="0.25"/>
    <row r="249595" customFormat="1" x14ac:dyDescent="0.25"/>
    <row r="249596" customFormat="1" x14ac:dyDescent="0.25"/>
    <row r="249597" customFormat="1" x14ac:dyDescent="0.25"/>
    <row r="249598" customFormat="1" x14ac:dyDescent="0.25"/>
    <row r="249599" customFormat="1" x14ac:dyDescent="0.25"/>
    <row r="249600" customFormat="1" x14ac:dyDescent="0.25"/>
    <row r="249601" customFormat="1" x14ac:dyDescent="0.25"/>
    <row r="249602" customFormat="1" x14ac:dyDescent="0.25"/>
    <row r="249603" customFormat="1" x14ac:dyDescent="0.25"/>
    <row r="249604" customFormat="1" x14ac:dyDescent="0.25"/>
    <row r="249605" customFormat="1" x14ac:dyDescent="0.25"/>
    <row r="249606" customFormat="1" x14ac:dyDescent="0.25"/>
    <row r="249607" customFormat="1" x14ac:dyDescent="0.25"/>
    <row r="249608" customFormat="1" x14ac:dyDescent="0.25"/>
    <row r="249609" customFormat="1" x14ac:dyDescent="0.25"/>
    <row r="249610" customFormat="1" x14ac:dyDescent="0.25"/>
    <row r="249611" customFormat="1" x14ac:dyDescent="0.25"/>
    <row r="249612" customFormat="1" x14ac:dyDescent="0.25"/>
    <row r="249613" customFormat="1" x14ac:dyDescent="0.25"/>
    <row r="249614" customFormat="1" x14ac:dyDescent="0.25"/>
    <row r="249615" customFormat="1" x14ac:dyDescent="0.25"/>
    <row r="249616" customFormat="1" x14ac:dyDescent="0.25"/>
    <row r="249617" customFormat="1" x14ac:dyDescent="0.25"/>
    <row r="249618" customFormat="1" x14ac:dyDescent="0.25"/>
    <row r="249619" customFormat="1" x14ac:dyDescent="0.25"/>
    <row r="249620" customFormat="1" x14ac:dyDescent="0.25"/>
    <row r="249621" customFormat="1" x14ac:dyDescent="0.25"/>
    <row r="249622" customFormat="1" x14ac:dyDescent="0.25"/>
    <row r="249623" customFormat="1" x14ac:dyDescent="0.25"/>
    <row r="249624" customFormat="1" x14ac:dyDescent="0.25"/>
    <row r="249625" customFormat="1" x14ac:dyDescent="0.25"/>
    <row r="249626" customFormat="1" x14ac:dyDescent="0.25"/>
    <row r="249627" customFormat="1" x14ac:dyDescent="0.25"/>
    <row r="249628" customFormat="1" x14ac:dyDescent="0.25"/>
    <row r="249629" customFormat="1" x14ac:dyDescent="0.25"/>
    <row r="249630" customFormat="1" x14ac:dyDescent="0.25"/>
    <row r="249631" customFormat="1" x14ac:dyDescent="0.25"/>
    <row r="249632" customFormat="1" x14ac:dyDescent="0.25"/>
    <row r="249633" customFormat="1" x14ac:dyDescent="0.25"/>
    <row r="249634" customFormat="1" x14ac:dyDescent="0.25"/>
    <row r="249635" customFormat="1" x14ac:dyDescent="0.25"/>
    <row r="249636" customFormat="1" x14ac:dyDescent="0.25"/>
    <row r="249637" customFormat="1" x14ac:dyDescent="0.25"/>
    <row r="249638" customFormat="1" x14ac:dyDescent="0.25"/>
    <row r="249639" customFormat="1" x14ac:dyDescent="0.25"/>
    <row r="249640" customFormat="1" x14ac:dyDescent="0.25"/>
    <row r="249641" customFormat="1" x14ac:dyDescent="0.25"/>
    <row r="249642" customFormat="1" x14ac:dyDescent="0.25"/>
    <row r="249643" customFormat="1" x14ac:dyDescent="0.25"/>
    <row r="249644" customFormat="1" x14ac:dyDescent="0.25"/>
    <row r="249645" customFormat="1" x14ac:dyDescent="0.25"/>
    <row r="249646" customFormat="1" x14ac:dyDescent="0.25"/>
    <row r="249647" customFormat="1" x14ac:dyDescent="0.25"/>
    <row r="249648" customFormat="1" x14ac:dyDescent="0.25"/>
    <row r="249649" customFormat="1" x14ac:dyDescent="0.25"/>
    <row r="249650" customFormat="1" x14ac:dyDescent="0.25"/>
    <row r="249651" customFormat="1" x14ac:dyDescent="0.25"/>
    <row r="249652" customFormat="1" x14ac:dyDescent="0.25"/>
    <row r="249653" customFormat="1" x14ac:dyDescent="0.25"/>
    <row r="249654" customFormat="1" x14ac:dyDescent="0.25"/>
    <row r="249655" customFormat="1" x14ac:dyDescent="0.25"/>
    <row r="249656" customFormat="1" x14ac:dyDescent="0.25"/>
    <row r="249657" customFormat="1" x14ac:dyDescent="0.25"/>
    <row r="249658" customFormat="1" x14ac:dyDescent="0.25"/>
    <row r="249659" customFormat="1" x14ac:dyDescent="0.25"/>
    <row r="249660" customFormat="1" x14ac:dyDescent="0.25"/>
    <row r="249661" customFormat="1" x14ac:dyDescent="0.25"/>
    <row r="249662" customFormat="1" x14ac:dyDescent="0.25"/>
    <row r="249663" customFormat="1" x14ac:dyDescent="0.25"/>
    <row r="249664" customFormat="1" x14ac:dyDescent="0.25"/>
    <row r="249665" customFormat="1" x14ac:dyDescent="0.25"/>
    <row r="249666" customFormat="1" x14ac:dyDescent="0.25"/>
    <row r="249667" customFormat="1" x14ac:dyDescent="0.25"/>
    <row r="249668" customFormat="1" x14ac:dyDescent="0.25"/>
    <row r="249669" customFormat="1" x14ac:dyDescent="0.25"/>
    <row r="249670" customFormat="1" x14ac:dyDescent="0.25"/>
    <row r="249671" customFormat="1" x14ac:dyDescent="0.25"/>
    <row r="249672" customFormat="1" x14ac:dyDescent="0.25"/>
    <row r="249673" customFormat="1" x14ac:dyDescent="0.25"/>
    <row r="249674" customFormat="1" x14ac:dyDescent="0.25"/>
    <row r="249675" customFormat="1" x14ac:dyDescent="0.25"/>
    <row r="249676" customFormat="1" x14ac:dyDescent="0.25"/>
    <row r="249677" customFormat="1" x14ac:dyDescent="0.25"/>
    <row r="249678" customFormat="1" x14ac:dyDescent="0.25"/>
    <row r="249679" customFormat="1" x14ac:dyDescent="0.25"/>
    <row r="249680" customFormat="1" x14ac:dyDescent="0.25"/>
    <row r="249681" customFormat="1" x14ac:dyDescent="0.25"/>
    <row r="249682" customFormat="1" x14ac:dyDescent="0.25"/>
    <row r="249683" customFormat="1" x14ac:dyDescent="0.25"/>
    <row r="249684" customFormat="1" x14ac:dyDescent="0.25"/>
    <row r="249685" customFormat="1" x14ac:dyDescent="0.25"/>
    <row r="249686" customFormat="1" x14ac:dyDescent="0.25"/>
    <row r="249687" customFormat="1" x14ac:dyDescent="0.25"/>
    <row r="249688" customFormat="1" x14ac:dyDescent="0.25"/>
    <row r="249689" customFormat="1" x14ac:dyDescent="0.25"/>
    <row r="249690" customFormat="1" x14ac:dyDescent="0.25"/>
    <row r="249691" customFormat="1" x14ac:dyDescent="0.25"/>
    <row r="249692" customFormat="1" x14ac:dyDescent="0.25"/>
    <row r="249693" customFormat="1" x14ac:dyDescent="0.25"/>
    <row r="249694" customFormat="1" x14ac:dyDescent="0.25"/>
    <row r="249695" customFormat="1" x14ac:dyDescent="0.25"/>
    <row r="249696" customFormat="1" x14ac:dyDescent="0.25"/>
    <row r="249697" customFormat="1" x14ac:dyDescent="0.25"/>
    <row r="249698" customFormat="1" x14ac:dyDescent="0.25"/>
    <row r="249699" customFormat="1" x14ac:dyDescent="0.25"/>
    <row r="249700" customFormat="1" x14ac:dyDescent="0.25"/>
    <row r="249701" customFormat="1" x14ac:dyDescent="0.25"/>
    <row r="249702" customFormat="1" x14ac:dyDescent="0.25"/>
    <row r="249703" customFormat="1" x14ac:dyDescent="0.25"/>
    <row r="249704" customFormat="1" x14ac:dyDescent="0.25"/>
    <row r="249705" customFormat="1" x14ac:dyDescent="0.25"/>
    <row r="249706" customFormat="1" x14ac:dyDescent="0.25"/>
    <row r="249707" customFormat="1" x14ac:dyDescent="0.25"/>
    <row r="249708" customFormat="1" x14ac:dyDescent="0.25"/>
    <row r="249709" customFormat="1" x14ac:dyDescent="0.25"/>
    <row r="249710" customFormat="1" x14ac:dyDescent="0.25"/>
    <row r="249711" customFormat="1" x14ac:dyDescent="0.25"/>
    <row r="249712" customFormat="1" x14ac:dyDescent="0.25"/>
    <row r="249713" customFormat="1" x14ac:dyDescent="0.25"/>
    <row r="249714" customFormat="1" x14ac:dyDescent="0.25"/>
    <row r="249715" customFormat="1" x14ac:dyDescent="0.25"/>
    <row r="249716" customFormat="1" x14ac:dyDescent="0.25"/>
    <row r="249717" customFormat="1" x14ac:dyDescent="0.25"/>
    <row r="249718" customFormat="1" x14ac:dyDescent="0.25"/>
    <row r="249719" customFormat="1" x14ac:dyDescent="0.25"/>
    <row r="249720" customFormat="1" x14ac:dyDescent="0.25"/>
    <row r="249721" customFormat="1" x14ac:dyDescent="0.25"/>
    <row r="249722" customFormat="1" x14ac:dyDescent="0.25"/>
    <row r="249723" customFormat="1" x14ac:dyDescent="0.25"/>
    <row r="249724" customFormat="1" x14ac:dyDescent="0.25"/>
    <row r="249725" customFormat="1" x14ac:dyDescent="0.25"/>
    <row r="249726" customFormat="1" x14ac:dyDescent="0.25"/>
    <row r="249727" customFormat="1" x14ac:dyDescent="0.25"/>
    <row r="249728" customFormat="1" x14ac:dyDescent="0.25"/>
    <row r="249729" customFormat="1" x14ac:dyDescent="0.25"/>
    <row r="249730" customFormat="1" x14ac:dyDescent="0.25"/>
    <row r="249731" customFormat="1" x14ac:dyDescent="0.25"/>
    <row r="249732" customFormat="1" x14ac:dyDescent="0.25"/>
    <row r="249733" customFormat="1" x14ac:dyDescent="0.25"/>
    <row r="249734" customFormat="1" x14ac:dyDescent="0.25"/>
    <row r="249735" customFormat="1" x14ac:dyDescent="0.25"/>
    <row r="249736" customFormat="1" x14ac:dyDescent="0.25"/>
    <row r="249737" customFormat="1" x14ac:dyDescent="0.25"/>
    <row r="249738" customFormat="1" x14ac:dyDescent="0.25"/>
    <row r="249739" customFormat="1" x14ac:dyDescent="0.25"/>
    <row r="249740" customFormat="1" x14ac:dyDescent="0.25"/>
    <row r="249741" customFormat="1" x14ac:dyDescent="0.25"/>
    <row r="249742" customFormat="1" x14ac:dyDescent="0.25"/>
    <row r="249743" customFormat="1" x14ac:dyDescent="0.25"/>
    <row r="249744" customFormat="1" x14ac:dyDescent="0.25"/>
    <row r="249745" customFormat="1" x14ac:dyDescent="0.25"/>
    <row r="249746" customFormat="1" x14ac:dyDescent="0.25"/>
    <row r="249747" customFormat="1" x14ac:dyDescent="0.25"/>
    <row r="249748" customFormat="1" x14ac:dyDescent="0.25"/>
    <row r="249749" customFormat="1" x14ac:dyDescent="0.25"/>
    <row r="249750" customFormat="1" x14ac:dyDescent="0.25"/>
    <row r="249751" customFormat="1" x14ac:dyDescent="0.25"/>
    <row r="249752" customFormat="1" x14ac:dyDescent="0.25"/>
    <row r="249753" customFormat="1" x14ac:dyDescent="0.25"/>
    <row r="249754" customFormat="1" x14ac:dyDescent="0.25"/>
    <row r="249755" customFormat="1" x14ac:dyDescent="0.25"/>
    <row r="249756" customFormat="1" x14ac:dyDescent="0.25"/>
    <row r="249757" customFormat="1" x14ac:dyDescent="0.25"/>
    <row r="249758" customFormat="1" x14ac:dyDescent="0.25"/>
    <row r="249759" customFormat="1" x14ac:dyDescent="0.25"/>
    <row r="249760" customFormat="1" x14ac:dyDescent="0.25"/>
    <row r="249761" customFormat="1" x14ac:dyDescent="0.25"/>
    <row r="249762" customFormat="1" x14ac:dyDescent="0.25"/>
    <row r="249763" customFormat="1" x14ac:dyDescent="0.25"/>
    <row r="249764" customFormat="1" x14ac:dyDescent="0.25"/>
    <row r="249765" customFormat="1" x14ac:dyDescent="0.25"/>
    <row r="249766" customFormat="1" x14ac:dyDescent="0.25"/>
    <row r="249767" customFormat="1" x14ac:dyDescent="0.25"/>
    <row r="249768" customFormat="1" x14ac:dyDescent="0.25"/>
    <row r="249769" customFormat="1" x14ac:dyDescent="0.25"/>
    <row r="249770" customFormat="1" x14ac:dyDescent="0.25"/>
    <row r="249771" customFormat="1" x14ac:dyDescent="0.25"/>
    <row r="249772" customFormat="1" x14ac:dyDescent="0.25"/>
    <row r="249773" customFormat="1" x14ac:dyDescent="0.25"/>
    <row r="249774" customFormat="1" x14ac:dyDescent="0.25"/>
    <row r="249775" customFormat="1" x14ac:dyDescent="0.25"/>
    <row r="249776" customFormat="1" x14ac:dyDescent="0.25"/>
    <row r="249777" customFormat="1" x14ac:dyDescent="0.25"/>
    <row r="249778" customFormat="1" x14ac:dyDescent="0.25"/>
    <row r="249779" customFormat="1" x14ac:dyDescent="0.25"/>
    <row r="249780" customFormat="1" x14ac:dyDescent="0.25"/>
    <row r="249781" customFormat="1" x14ac:dyDescent="0.25"/>
    <row r="249782" customFormat="1" x14ac:dyDescent="0.25"/>
    <row r="249783" customFormat="1" x14ac:dyDescent="0.25"/>
    <row r="249784" customFormat="1" x14ac:dyDescent="0.25"/>
    <row r="249785" customFormat="1" x14ac:dyDescent="0.25"/>
    <row r="249786" customFormat="1" x14ac:dyDescent="0.25"/>
    <row r="249787" customFormat="1" x14ac:dyDescent="0.25"/>
    <row r="249788" customFormat="1" x14ac:dyDescent="0.25"/>
    <row r="249789" customFormat="1" x14ac:dyDescent="0.25"/>
    <row r="249790" customFormat="1" x14ac:dyDescent="0.25"/>
    <row r="249791" customFormat="1" x14ac:dyDescent="0.25"/>
    <row r="249792" customFormat="1" x14ac:dyDescent="0.25"/>
    <row r="249793" customFormat="1" x14ac:dyDescent="0.25"/>
    <row r="249794" customFormat="1" x14ac:dyDescent="0.25"/>
    <row r="249795" customFormat="1" x14ac:dyDescent="0.25"/>
    <row r="249796" customFormat="1" x14ac:dyDescent="0.25"/>
    <row r="249797" customFormat="1" x14ac:dyDescent="0.25"/>
    <row r="249798" customFormat="1" x14ac:dyDescent="0.25"/>
    <row r="249799" customFormat="1" x14ac:dyDescent="0.25"/>
    <row r="249800" customFormat="1" x14ac:dyDescent="0.25"/>
    <row r="249801" customFormat="1" x14ac:dyDescent="0.25"/>
    <row r="249802" customFormat="1" x14ac:dyDescent="0.25"/>
    <row r="249803" customFormat="1" x14ac:dyDescent="0.25"/>
    <row r="249804" customFormat="1" x14ac:dyDescent="0.25"/>
    <row r="249805" customFormat="1" x14ac:dyDescent="0.25"/>
    <row r="249806" customFormat="1" x14ac:dyDescent="0.25"/>
    <row r="249807" customFormat="1" x14ac:dyDescent="0.25"/>
    <row r="249808" customFormat="1" x14ac:dyDescent="0.25"/>
    <row r="249809" customFormat="1" x14ac:dyDescent="0.25"/>
    <row r="249810" customFormat="1" x14ac:dyDescent="0.25"/>
    <row r="249811" customFormat="1" x14ac:dyDescent="0.25"/>
    <row r="249812" customFormat="1" x14ac:dyDescent="0.25"/>
    <row r="249813" customFormat="1" x14ac:dyDescent="0.25"/>
    <row r="249814" customFormat="1" x14ac:dyDescent="0.25"/>
    <row r="249815" customFormat="1" x14ac:dyDescent="0.25"/>
    <row r="249816" customFormat="1" x14ac:dyDescent="0.25"/>
    <row r="249817" customFormat="1" x14ac:dyDescent="0.25"/>
    <row r="249818" customFormat="1" x14ac:dyDescent="0.25"/>
    <row r="249819" customFormat="1" x14ac:dyDescent="0.25"/>
    <row r="249820" customFormat="1" x14ac:dyDescent="0.25"/>
    <row r="249821" customFormat="1" x14ac:dyDescent="0.25"/>
    <row r="249822" customFormat="1" x14ac:dyDescent="0.25"/>
    <row r="249823" customFormat="1" x14ac:dyDescent="0.25"/>
    <row r="249824" customFormat="1" x14ac:dyDescent="0.25"/>
    <row r="249825" customFormat="1" x14ac:dyDescent="0.25"/>
    <row r="249826" customFormat="1" x14ac:dyDescent="0.25"/>
    <row r="249827" customFormat="1" x14ac:dyDescent="0.25"/>
    <row r="249828" customFormat="1" x14ac:dyDescent="0.25"/>
    <row r="249829" customFormat="1" x14ac:dyDescent="0.25"/>
    <row r="249830" customFormat="1" x14ac:dyDescent="0.25"/>
    <row r="249831" customFormat="1" x14ac:dyDescent="0.25"/>
    <row r="249832" customFormat="1" x14ac:dyDescent="0.25"/>
    <row r="249833" customFormat="1" x14ac:dyDescent="0.25"/>
    <row r="249834" customFormat="1" x14ac:dyDescent="0.25"/>
    <row r="249835" customFormat="1" x14ac:dyDescent="0.25"/>
    <row r="249836" customFormat="1" x14ac:dyDescent="0.25"/>
    <row r="249837" customFormat="1" x14ac:dyDescent="0.25"/>
    <row r="249838" customFormat="1" x14ac:dyDescent="0.25"/>
    <row r="249839" customFormat="1" x14ac:dyDescent="0.25"/>
    <row r="249840" customFormat="1" x14ac:dyDescent="0.25"/>
    <row r="249841" customFormat="1" x14ac:dyDescent="0.25"/>
    <row r="249842" customFormat="1" x14ac:dyDescent="0.25"/>
    <row r="249843" customFormat="1" x14ac:dyDescent="0.25"/>
    <row r="249844" customFormat="1" x14ac:dyDescent="0.25"/>
    <row r="249845" customFormat="1" x14ac:dyDescent="0.25"/>
    <row r="249846" customFormat="1" x14ac:dyDescent="0.25"/>
    <row r="249847" customFormat="1" x14ac:dyDescent="0.25"/>
    <row r="249848" customFormat="1" x14ac:dyDescent="0.25"/>
    <row r="249849" customFormat="1" x14ac:dyDescent="0.25"/>
    <row r="249850" customFormat="1" x14ac:dyDescent="0.25"/>
    <row r="249851" customFormat="1" x14ac:dyDescent="0.25"/>
    <row r="249852" customFormat="1" x14ac:dyDescent="0.25"/>
    <row r="249853" customFormat="1" x14ac:dyDescent="0.25"/>
    <row r="249854" customFormat="1" x14ac:dyDescent="0.25"/>
    <row r="249855" customFormat="1" x14ac:dyDescent="0.25"/>
    <row r="249856" customFormat="1" x14ac:dyDescent="0.25"/>
    <row r="249857" customFormat="1" x14ac:dyDescent="0.25"/>
    <row r="249858" customFormat="1" x14ac:dyDescent="0.25"/>
    <row r="249859" customFormat="1" x14ac:dyDescent="0.25"/>
    <row r="249860" customFormat="1" x14ac:dyDescent="0.25"/>
    <row r="249861" customFormat="1" x14ac:dyDescent="0.25"/>
    <row r="249862" customFormat="1" x14ac:dyDescent="0.25"/>
    <row r="249863" customFormat="1" x14ac:dyDescent="0.25"/>
    <row r="249864" customFormat="1" x14ac:dyDescent="0.25"/>
    <row r="249865" customFormat="1" x14ac:dyDescent="0.25"/>
    <row r="249866" customFormat="1" x14ac:dyDescent="0.25"/>
    <row r="249867" customFormat="1" x14ac:dyDescent="0.25"/>
    <row r="249868" customFormat="1" x14ac:dyDescent="0.25"/>
    <row r="249869" customFormat="1" x14ac:dyDescent="0.25"/>
    <row r="249870" customFormat="1" x14ac:dyDescent="0.25"/>
    <row r="249871" customFormat="1" x14ac:dyDescent="0.25"/>
    <row r="249872" customFormat="1" x14ac:dyDescent="0.25"/>
    <row r="249873" customFormat="1" x14ac:dyDescent="0.25"/>
    <row r="249874" customFormat="1" x14ac:dyDescent="0.25"/>
    <row r="249875" customFormat="1" x14ac:dyDescent="0.25"/>
    <row r="249876" customFormat="1" x14ac:dyDescent="0.25"/>
    <row r="249877" customFormat="1" x14ac:dyDescent="0.25"/>
    <row r="249878" customFormat="1" x14ac:dyDescent="0.25"/>
    <row r="249879" customFormat="1" x14ac:dyDescent="0.25"/>
    <row r="249880" customFormat="1" x14ac:dyDescent="0.25"/>
    <row r="249881" customFormat="1" x14ac:dyDescent="0.25"/>
    <row r="249882" customFormat="1" x14ac:dyDescent="0.25"/>
    <row r="249883" customFormat="1" x14ac:dyDescent="0.25"/>
    <row r="249884" customFormat="1" x14ac:dyDescent="0.25"/>
    <row r="249885" customFormat="1" x14ac:dyDescent="0.25"/>
    <row r="249886" customFormat="1" x14ac:dyDescent="0.25"/>
    <row r="249887" customFormat="1" x14ac:dyDescent="0.25"/>
    <row r="249888" customFormat="1" x14ac:dyDescent="0.25"/>
    <row r="249889" customFormat="1" x14ac:dyDescent="0.25"/>
    <row r="249890" customFormat="1" x14ac:dyDescent="0.25"/>
    <row r="249891" customFormat="1" x14ac:dyDescent="0.25"/>
    <row r="249892" customFormat="1" x14ac:dyDescent="0.25"/>
    <row r="249893" customFormat="1" x14ac:dyDescent="0.25"/>
    <row r="249894" customFormat="1" x14ac:dyDescent="0.25"/>
    <row r="249895" customFormat="1" x14ac:dyDescent="0.25"/>
    <row r="249896" customFormat="1" x14ac:dyDescent="0.25"/>
    <row r="249897" customFormat="1" x14ac:dyDescent="0.25"/>
    <row r="249898" customFormat="1" x14ac:dyDescent="0.25"/>
    <row r="249899" customFormat="1" x14ac:dyDescent="0.25"/>
    <row r="249900" customFormat="1" x14ac:dyDescent="0.25"/>
    <row r="249901" customFormat="1" x14ac:dyDescent="0.25"/>
    <row r="249902" customFormat="1" x14ac:dyDescent="0.25"/>
    <row r="249903" customFormat="1" x14ac:dyDescent="0.25"/>
    <row r="249904" customFormat="1" x14ac:dyDescent="0.25"/>
    <row r="249905" customFormat="1" x14ac:dyDescent="0.25"/>
    <row r="249906" customFormat="1" x14ac:dyDescent="0.25"/>
    <row r="249907" customFormat="1" x14ac:dyDescent="0.25"/>
    <row r="249908" customFormat="1" x14ac:dyDescent="0.25"/>
    <row r="249909" customFormat="1" x14ac:dyDescent="0.25"/>
    <row r="249910" customFormat="1" x14ac:dyDescent="0.25"/>
    <row r="249911" customFormat="1" x14ac:dyDescent="0.25"/>
    <row r="249912" customFormat="1" x14ac:dyDescent="0.25"/>
    <row r="249913" customFormat="1" x14ac:dyDescent="0.25"/>
    <row r="249914" customFormat="1" x14ac:dyDescent="0.25"/>
    <row r="249915" customFormat="1" x14ac:dyDescent="0.25"/>
    <row r="249916" customFormat="1" x14ac:dyDescent="0.25"/>
    <row r="249917" customFormat="1" x14ac:dyDescent="0.25"/>
    <row r="249918" customFormat="1" x14ac:dyDescent="0.25"/>
    <row r="249919" customFormat="1" x14ac:dyDescent="0.25"/>
    <row r="249920" customFormat="1" x14ac:dyDescent="0.25"/>
    <row r="249921" customFormat="1" x14ac:dyDescent="0.25"/>
    <row r="249922" customFormat="1" x14ac:dyDescent="0.25"/>
    <row r="249923" customFormat="1" x14ac:dyDescent="0.25"/>
    <row r="249924" customFormat="1" x14ac:dyDescent="0.25"/>
    <row r="249925" customFormat="1" x14ac:dyDescent="0.25"/>
    <row r="249926" customFormat="1" x14ac:dyDescent="0.25"/>
    <row r="249927" customFormat="1" x14ac:dyDescent="0.25"/>
    <row r="249928" customFormat="1" x14ac:dyDescent="0.25"/>
    <row r="249929" customFormat="1" x14ac:dyDescent="0.25"/>
    <row r="249930" customFormat="1" x14ac:dyDescent="0.25"/>
    <row r="249931" customFormat="1" x14ac:dyDescent="0.25"/>
    <row r="249932" customFormat="1" x14ac:dyDescent="0.25"/>
    <row r="249933" customFormat="1" x14ac:dyDescent="0.25"/>
    <row r="249934" customFormat="1" x14ac:dyDescent="0.25"/>
    <row r="249935" customFormat="1" x14ac:dyDescent="0.25"/>
    <row r="249936" customFormat="1" x14ac:dyDescent="0.25"/>
    <row r="249937" customFormat="1" x14ac:dyDescent="0.25"/>
    <row r="249938" customFormat="1" x14ac:dyDescent="0.25"/>
    <row r="249939" customFormat="1" x14ac:dyDescent="0.25"/>
    <row r="249940" customFormat="1" x14ac:dyDescent="0.25"/>
    <row r="249941" customFormat="1" x14ac:dyDescent="0.25"/>
    <row r="249942" customFormat="1" x14ac:dyDescent="0.25"/>
    <row r="249943" customFormat="1" x14ac:dyDescent="0.25"/>
    <row r="249944" customFormat="1" x14ac:dyDescent="0.25"/>
    <row r="249945" customFormat="1" x14ac:dyDescent="0.25"/>
    <row r="249946" customFormat="1" x14ac:dyDescent="0.25"/>
    <row r="249947" customFormat="1" x14ac:dyDescent="0.25"/>
    <row r="249948" customFormat="1" x14ac:dyDescent="0.25"/>
    <row r="249949" customFormat="1" x14ac:dyDescent="0.25"/>
    <row r="249950" customFormat="1" x14ac:dyDescent="0.25"/>
    <row r="249951" customFormat="1" x14ac:dyDescent="0.25"/>
    <row r="249952" customFormat="1" x14ac:dyDescent="0.25"/>
    <row r="249953" customFormat="1" x14ac:dyDescent="0.25"/>
    <row r="249954" customFormat="1" x14ac:dyDescent="0.25"/>
    <row r="249955" customFormat="1" x14ac:dyDescent="0.25"/>
    <row r="249956" customFormat="1" x14ac:dyDescent="0.25"/>
    <row r="249957" customFormat="1" x14ac:dyDescent="0.25"/>
    <row r="249958" customFormat="1" x14ac:dyDescent="0.25"/>
    <row r="249959" customFormat="1" x14ac:dyDescent="0.25"/>
    <row r="249960" customFormat="1" x14ac:dyDescent="0.25"/>
    <row r="249961" customFormat="1" x14ac:dyDescent="0.25"/>
    <row r="249962" customFormat="1" x14ac:dyDescent="0.25"/>
    <row r="249963" customFormat="1" x14ac:dyDescent="0.25"/>
    <row r="249964" customFormat="1" x14ac:dyDescent="0.25"/>
    <row r="249965" customFormat="1" x14ac:dyDescent="0.25"/>
    <row r="249966" customFormat="1" x14ac:dyDescent="0.25"/>
    <row r="249967" customFormat="1" x14ac:dyDescent="0.25"/>
    <row r="249968" customFormat="1" x14ac:dyDescent="0.25"/>
    <row r="249969" customFormat="1" x14ac:dyDescent="0.25"/>
    <row r="249970" customFormat="1" x14ac:dyDescent="0.25"/>
    <row r="249971" customFormat="1" x14ac:dyDescent="0.25"/>
    <row r="249972" customFormat="1" x14ac:dyDescent="0.25"/>
    <row r="249973" customFormat="1" x14ac:dyDescent="0.25"/>
    <row r="249974" customFormat="1" x14ac:dyDescent="0.25"/>
    <row r="249975" customFormat="1" x14ac:dyDescent="0.25"/>
    <row r="249976" customFormat="1" x14ac:dyDescent="0.25"/>
    <row r="249977" customFormat="1" x14ac:dyDescent="0.25"/>
    <row r="249978" customFormat="1" x14ac:dyDescent="0.25"/>
    <row r="249979" customFormat="1" x14ac:dyDescent="0.25"/>
    <row r="249980" customFormat="1" x14ac:dyDescent="0.25"/>
    <row r="249981" customFormat="1" x14ac:dyDescent="0.25"/>
    <row r="249982" customFormat="1" x14ac:dyDescent="0.25"/>
    <row r="249983" customFormat="1" x14ac:dyDescent="0.25"/>
    <row r="249984" customFormat="1" x14ac:dyDescent="0.25"/>
    <row r="249985" customFormat="1" x14ac:dyDescent="0.25"/>
    <row r="249986" customFormat="1" x14ac:dyDescent="0.25"/>
    <row r="249987" customFormat="1" x14ac:dyDescent="0.25"/>
    <row r="249988" customFormat="1" x14ac:dyDescent="0.25"/>
    <row r="249989" customFormat="1" x14ac:dyDescent="0.25"/>
    <row r="249990" customFormat="1" x14ac:dyDescent="0.25"/>
    <row r="249991" customFormat="1" x14ac:dyDescent="0.25"/>
    <row r="249992" customFormat="1" x14ac:dyDescent="0.25"/>
    <row r="249993" customFormat="1" x14ac:dyDescent="0.25"/>
    <row r="249994" customFormat="1" x14ac:dyDescent="0.25"/>
    <row r="249995" customFormat="1" x14ac:dyDescent="0.25"/>
    <row r="249996" customFormat="1" x14ac:dyDescent="0.25"/>
    <row r="249997" customFormat="1" x14ac:dyDescent="0.25"/>
    <row r="249998" customFormat="1" x14ac:dyDescent="0.25"/>
    <row r="249999" customFormat="1" x14ac:dyDescent="0.25"/>
    <row r="250000" customFormat="1" x14ac:dyDescent="0.25"/>
    <row r="250001" customFormat="1" x14ac:dyDescent="0.25"/>
    <row r="250002" customFormat="1" x14ac:dyDescent="0.25"/>
    <row r="250003" customFormat="1" x14ac:dyDescent="0.25"/>
    <row r="250004" customFormat="1" x14ac:dyDescent="0.25"/>
    <row r="250005" customFormat="1" x14ac:dyDescent="0.25"/>
    <row r="250006" customFormat="1" x14ac:dyDescent="0.25"/>
    <row r="250007" customFormat="1" x14ac:dyDescent="0.25"/>
    <row r="250008" customFormat="1" x14ac:dyDescent="0.25"/>
    <row r="250009" customFormat="1" x14ac:dyDescent="0.25"/>
    <row r="250010" customFormat="1" x14ac:dyDescent="0.25"/>
    <row r="250011" customFormat="1" x14ac:dyDescent="0.25"/>
    <row r="250012" customFormat="1" x14ac:dyDescent="0.25"/>
    <row r="250013" customFormat="1" x14ac:dyDescent="0.25"/>
    <row r="250014" customFormat="1" x14ac:dyDescent="0.25"/>
    <row r="250015" customFormat="1" x14ac:dyDescent="0.25"/>
    <row r="250016" customFormat="1" x14ac:dyDescent="0.25"/>
    <row r="250017" customFormat="1" x14ac:dyDescent="0.25"/>
    <row r="250018" customFormat="1" x14ac:dyDescent="0.25"/>
    <row r="250019" customFormat="1" x14ac:dyDescent="0.25"/>
    <row r="250020" customFormat="1" x14ac:dyDescent="0.25"/>
    <row r="250021" customFormat="1" x14ac:dyDescent="0.25"/>
    <row r="250022" customFormat="1" x14ac:dyDescent="0.25"/>
    <row r="250023" customFormat="1" x14ac:dyDescent="0.25"/>
    <row r="250024" customFormat="1" x14ac:dyDescent="0.25"/>
    <row r="250025" customFormat="1" x14ac:dyDescent="0.25"/>
    <row r="250026" customFormat="1" x14ac:dyDescent="0.25"/>
    <row r="250027" customFormat="1" x14ac:dyDescent="0.25"/>
    <row r="250028" customFormat="1" x14ac:dyDescent="0.25"/>
    <row r="250029" customFormat="1" x14ac:dyDescent="0.25"/>
    <row r="250030" customFormat="1" x14ac:dyDescent="0.25"/>
    <row r="250031" customFormat="1" x14ac:dyDescent="0.25"/>
    <row r="250032" customFormat="1" x14ac:dyDescent="0.25"/>
    <row r="250033" customFormat="1" x14ac:dyDescent="0.25"/>
    <row r="250034" customFormat="1" x14ac:dyDescent="0.25"/>
    <row r="250035" customFormat="1" x14ac:dyDescent="0.25"/>
    <row r="250036" customFormat="1" x14ac:dyDescent="0.25"/>
    <row r="250037" customFormat="1" x14ac:dyDescent="0.25"/>
    <row r="250038" customFormat="1" x14ac:dyDescent="0.25"/>
    <row r="250039" customFormat="1" x14ac:dyDescent="0.25"/>
    <row r="250040" customFormat="1" x14ac:dyDescent="0.25"/>
    <row r="250041" customFormat="1" x14ac:dyDescent="0.25"/>
    <row r="250042" customFormat="1" x14ac:dyDescent="0.25"/>
    <row r="250043" customFormat="1" x14ac:dyDescent="0.25"/>
    <row r="250044" customFormat="1" x14ac:dyDescent="0.25"/>
    <row r="250045" customFormat="1" x14ac:dyDescent="0.25"/>
    <row r="250046" customFormat="1" x14ac:dyDescent="0.25"/>
    <row r="250047" customFormat="1" x14ac:dyDescent="0.25"/>
    <row r="250048" customFormat="1" x14ac:dyDescent="0.25"/>
    <row r="250049" customFormat="1" x14ac:dyDescent="0.25"/>
    <row r="250050" customFormat="1" x14ac:dyDescent="0.25"/>
    <row r="250051" customFormat="1" x14ac:dyDescent="0.25"/>
    <row r="250052" customFormat="1" x14ac:dyDescent="0.25"/>
    <row r="250053" customFormat="1" x14ac:dyDescent="0.25"/>
    <row r="250054" customFormat="1" x14ac:dyDescent="0.25"/>
    <row r="250055" customFormat="1" x14ac:dyDescent="0.25"/>
    <row r="250056" customFormat="1" x14ac:dyDescent="0.25"/>
    <row r="250057" customFormat="1" x14ac:dyDescent="0.25"/>
    <row r="250058" customFormat="1" x14ac:dyDescent="0.25"/>
    <row r="250059" customFormat="1" x14ac:dyDescent="0.25"/>
    <row r="250060" customFormat="1" x14ac:dyDescent="0.25"/>
    <row r="250061" customFormat="1" x14ac:dyDescent="0.25"/>
    <row r="250062" customFormat="1" x14ac:dyDescent="0.25"/>
    <row r="250063" customFormat="1" x14ac:dyDescent="0.25"/>
    <row r="250064" customFormat="1" x14ac:dyDescent="0.25"/>
    <row r="250065" customFormat="1" x14ac:dyDescent="0.25"/>
    <row r="250066" customFormat="1" x14ac:dyDescent="0.25"/>
    <row r="250067" customFormat="1" x14ac:dyDescent="0.25"/>
    <row r="250068" customFormat="1" x14ac:dyDescent="0.25"/>
    <row r="250069" customFormat="1" x14ac:dyDescent="0.25"/>
    <row r="250070" customFormat="1" x14ac:dyDescent="0.25"/>
    <row r="250071" customFormat="1" x14ac:dyDescent="0.25"/>
    <row r="250072" customFormat="1" x14ac:dyDescent="0.25"/>
    <row r="250073" customFormat="1" x14ac:dyDescent="0.25"/>
    <row r="250074" customFormat="1" x14ac:dyDescent="0.25"/>
    <row r="250075" customFormat="1" x14ac:dyDescent="0.25"/>
    <row r="250076" customFormat="1" x14ac:dyDescent="0.25"/>
    <row r="250077" customFormat="1" x14ac:dyDescent="0.25"/>
    <row r="250078" customFormat="1" x14ac:dyDescent="0.25"/>
    <row r="250079" customFormat="1" x14ac:dyDescent="0.25"/>
    <row r="250080" customFormat="1" x14ac:dyDescent="0.25"/>
    <row r="250081" customFormat="1" x14ac:dyDescent="0.25"/>
    <row r="250082" customFormat="1" x14ac:dyDescent="0.25"/>
    <row r="250083" customFormat="1" x14ac:dyDescent="0.25"/>
    <row r="250084" customFormat="1" x14ac:dyDescent="0.25"/>
    <row r="250085" customFormat="1" x14ac:dyDescent="0.25"/>
    <row r="250086" customFormat="1" x14ac:dyDescent="0.25"/>
    <row r="250087" customFormat="1" x14ac:dyDescent="0.25"/>
    <row r="250088" customFormat="1" x14ac:dyDescent="0.25"/>
    <row r="250089" customFormat="1" x14ac:dyDescent="0.25"/>
    <row r="250090" customFormat="1" x14ac:dyDescent="0.25"/>
    <row r="250091" customFormat="1" x14ac:dyDescent="0.25"/>
    <row r="250092" customFormat="1" x14ac:dyDescent="0.25"/>
    <row r="250093" customFormat="1" x14ac:dyDescent="0.25"/>
    <row r="250094" customFormat="1" x14ac:dyDescent="0.25"/>
    <row r="250095" customFormat="1" x14ac:dyDescent="0.25"/>
    <row r="250096" customFormat="1" x14ac:dyDescent="0.25"/>
    <row r="250097" customFormat="1" x14ac:dyDescent="0.25"/>
    <row r="250098" customFormat="1" x14ac:dyDescent="0.25"/>
    <row r="250099" customFormat="1" x14ac:dyDescent="0.25"/>
    <row r="250100" customFormat="1" x14ac:dyDescent="0.25"/>
    <row r="250101" customFormat="1" x14ac:dyDescent="0.25"/>
    <row r="250102" customFormat="1" x14ac:dyDescent="0.25"/>
    <row r="250103" customFormat="1" x14ac:dyDescent="0.25"/>
    <row r="250104" customFormat="1" x14ac:dyDescent="0.25"/>
    <row r="250105" customFormat="1" x14ac:dyDescent="0.25"/>
    <row r="250106" customFormat="1" x14ac:dyDescent="0.25"/>
    <row r="250107" customFormat="1" x14ac:dyDescent="0.25"/>
    <row r="250108" customFormat="1" x14ac:dyDescent="0.25"/>
    <row r="250109" customFormat="1" x14ac:dyDescent="0.25"/>
    <row r="250110" customFormat="1" x14ac:dyDescent="0.25"/>
    <row r="250111" customFormat="1" x14ac:dyDescent="0.25"/>
    <row r="250112" customFormat="1" x14ac:dyDescent="0.25"/>
    <row r="250113" customFormat="1" x14ac:dyDescent="0.25"/>
    <row r="250114" customFormat="1" x14ac:dyDescent="0.25"/>
    <row r="250115" customFormat="1" x14ac:dyDescent="0.25"/>
    <row r="250116" customFormat="1" x14ac:dyDescent="0.25"/>
    <row r="250117" customFormat="1" x14ac:dyDescent="0.25"/>
    <row r="250118" customFormat="1" x14ac:dyDescent="0.25"/>
    <row r="250119" customFormat="1" x14ac:dyDescent="0.25"/>
    <row r="250120" customFormat="1" x14ac:dyDescent="0.25"/>
    <row r="250121" customFormat="1" x14ac:dyDescent="0.25"/>
    <row r="250122" customFormat="1" x14ac:dyDescent="0.25"/>
    <row r="250123" customFormat="1" x14ac:dyDescent="0.25"/>
    <row r="250124" customFormat="1" x14ac:dyDescent="0.25"/>
    <row r="250125" customFormat="1" x14ac:dyDescent="0.25"/>
    <row r="250126" customFormat="1" x14ac:dyDescent="0.25"/>
    <row r="250127" customFormat="1" x14ac:dyDescent="0.25"/>
    <row r="250128" customFormat="1" x14ac:dyDescent="0.25"/>
    <row r="250129" customFormat="1" x14ac:dyDescent="0.25"/>
    <row r="250130" customFormat="1" x14ac:dyDescent="0.25"/>
    <row r="250131" customFormat="1" x14ac:dyDescent="0.25"/>
    <row r="250132" customFormat="1" x14ac:dyDescent="0.25"/>
    <row r="250133" customFormat="1" x14ac:dyDescent="0.25"/>
    <row r="250134" customFormat="1" x14ac:dyDescent="0.25"/>
    <row r="250135" customFormat="1" x14ac:dyDescent="0.25"/>
    <row r="250136" customFormat="1" x14ac:dyDescent="0.25"/>
    <row r="250137" customFormat="1" x14ac:dyDescent="0.25"/>
    <row r="250138" customFormat="1" x14ac:dyDescent="0.25"/>
    <row r="250139" customFormat="1" x14ac:dyDescent="0.25"/>
    <row r="250140" customFormat="1" x14ac:dyDescent="0.25"/>
    <row r="250141" customFormat="1" x14ac:dyDescent="0.25"/>
    <row r="250142" customFormat="1" x14ac:dyDescent="0.25"/>
    <row r="250143" customFormat="1" x14ac:dyDescent="0.25"/>
    <row r="250144" customFormat="1" x14ac:dyDescent="0.25"/>
    <row r="250145" customFormat="1" x14ac:dyDescent="0.25"/>
    <row r="250146" customFormat="1" x14ac:dyDescent="0.25"/>
    <row r="250147" customFormat="1" x14ac:dyDescent="0.25"/>
    <row r="250148" customFormat="1" x14ac:dyDescent="0.25"/>
    <row r="250149" customFormat="1" x14ac:dyDescent="0.25"/>
    <row r="250150" customFormat="1" x14ac:dyDescent="0.25"/>
    <row r="250151" customFormat="1" x14ac:dyDescent="0.25"/>
    <row r="250152" customFormat="1" x14ac:dyDescent="0.25"/>
    <row r="250153" customFormat="1" x14ac:dyDescent="0.25"/>
    <row r="250154" customFormat="1" x14ac:dyDescent="0.25"/>
    <row r="250155" customFormat="1" x14ac:dyDescent="0.25"/>
    <row r="250156" customFormat="1" x14ac:dyDescent="0.25"/>
    <row r="250157" customFormat="1" x14ac:dyDescent="0.25"/>
    <row r="250158" customFormat="1" x14ac:dyDescent="0.25"/>
    <row r="250159" customFormat="1" x14ac:dyDescent="0.25"/>
    <row r="250160" customFormat="1" x14ac:dyDescent="0.25"/>
    <row r="250161" customFormat="1" x14ac:dyDescent="0.25"/>
    <row r="250162" customFormat="1" x14ac:dyDescent="0.25"/>
    <row r="250163" customFormat="1" x14ac:dyDescent="0.25"/>
    <row r="250164" customFormat="1" x14ac:dyDescent="0.25"/>
    <row r="250165" customFormat="1" x14ac:dyDescent="0.25"/>
    <row r="250166" customFormat="1" x14ac:dyDescent="0.25"/>
    <row r="250167" customFormat="1" x14ac:dyDescent="0.25"/>
    <row r="250168" customFormat="1" x14ac:dyDescent="0.25"/>
    <row r="250169" customFormat="1" x14ac:dyDescent="0.25"/>
    <row r="250170" customFormat="1" x14ac:dyDescent="0.25"/>
    <row r="250171" customFormat="1" x14ac:dyDescent="0.25"/>
    <row r="250172" customFormat="1" x14ac:dyDescent="0.25"/>
    <row r="250173" customFormat="1" x14ac:dyDescent="0.25"/>
    <row r="250174" customFormat="1" x14ac:dyDescent="0.25"/>
    <row r="250175" customFormat="1" x14ac:dyDescent="0.25"/>
    <row r="250176" customFormat="1" x14ac:dyDescent="0.25"/>
    <row r="250177" customFormat="1" x14ac:dyDescent="0.25"/>
    <row r="250178" customFormat="1" x14ac:dyDescent="0.25"/>
    <row r="250179" customFormat="1" x14ac:dyDescent="0.25"/>
    <row r="250180" customFormat="1" x14ac:dyDescent="0.25"/>
    <row r="250181" customFormat="1" x14ac:dyDescent="0.25"/>
    <row r="250182" customFormat="1" x14ac:dyDescent="0.25"/>
    <row r="250183" customFormat="1" x14ac:dyDescent="0.25"/>
    <row r="250184" customFormat="1" x14ac:dyDescent="0.25"/>
    <row r="250185" customFormat="1" x14ac:dyDescent="0.25"/>
    <row r="250186" customFormat="1" x14ac:dyDescent="0.25"/>
    <row r="250187" customFormat="1" x14ac:dyDescent="0.25"/>
    <row r="250188" customFormat="1" x14ac:dyDescent="0.25"/>
    <row r="250189" customFormat="1" x14ac:dyDescent="0.25"/>
    <row r="250190" customFormat="1" x14ac:dyDescent="0.25"/>
    <row r="250191" customFormat="1" x14ac:dyDescent="0.25"/>
    <row r="250192" customFormat="1" x14ac:dyDescent="0.25"/>
    <row r="250193" customFormat="1" x14ac:dyDescent="0.25"/>
    <row r="250194" customFormat="1" x14ac:dyDescent="0.25"/>
    <row r="250195" customFormat="1" x14ac:dyDescent="0.25"/>
    <row r="250196" customFormat="1" x14ac:dyDescent="0.25"/>
    <row r="250197" customFormat="1" x14ac:dyDescent="0.25"/>
    <row r="250198" customFormat="1" x14ac:dyDescent="0.25"/>
    <row r="250199" customFormat="1" x14ac:dyDescent="0.25"/>
    <row r="250200" customFormat="1" x14ac:dyDescent="0.25"/>
    <row r="250201" customFormat="1" x14ac:dyDescent="0.25"/>
    <row r="250202" customFormat="1" x14ac:dyDescent="0.25"/>
    <row r="250203" customFormat="1" x14ac:dyDescent="0.25"/>
    <row r="250204" customFormat="1" x14ac:dyDescent="0.25"/>
    <row r="250205" customFormat="1" x14ac:dyDescent="0.25"/>
    <row r="250206" customFormat="1" x14ac:dyDescent="0.25"/>
    <row r="250207" customFormat="1" x14ac:dyDescent="0.25"/>
    <row r="250208" customFormat="1" x14ac:dyDescent="0.25"/>
    <row r="250209" customFormat="1" x14ac:dyDescent="0.25"/>
    <row r="250210" customFormat="1" x14ac:dyDescent="0.25"/>
    <row r="250211" customFormat="1" x14ac:dyDescent="0.25"/>
    <row r="250212" customFormat="1" x14ac:dyDescent="0.25"/>
    <row r="250213" customFormat="1" x14ac:dyDescent="0.25"/>
    <row r="250214" customFormat="1" x14ac:dyDescent="0.25"/>
    <row r="250215" customFormat="1" x14ac:dyDescent="0.25"/>
    <row r="250216" customFormat="1" x14ac:dyDescent="0.25"/>
    <row r="250217" customFormat="1" x14ac:dyDescent="0.25"/>
    <row r="250218" customFormat="1" x14ac:dyDescent="0.25"/>
    <row r="250219" customFormat="1" x14ac:dyDescent="0.25"/>
    <row r="250220" customFormat="1" x14ac:dyDescent="0.25"/>
    <row r="250221" customFormat="1" x14ac:dyDescent="0.25"/>
    <row r="250222" customFormat="1" x14ac:dyDescent="0.25"/>
    <row r="250223" customFormat="1" x14ac:dyDescent="0.25"/>
    <row r="250224" customFormat="1" x14ac:dyDescent="0.25"/>
    <row r="250225" customFormat="1" x14ac:dyDescent="0.25"/>
    <row r="250226" customFormat="1" x14ac:dyDescent="0.25"/>
    <row r="250227" customFormat="1" x14ac:dyDescent="0.25"/>
    <row r="250228" customFormat="1" x14ac:dyDescent="0.25"/>
    <row r="250229" customFormat="1" x14ac:dyDescent="0.25"/>
    <row r="250230" customFormat="1" x14ac:dyDescent="0.25"/>
    <row r="250231" customFormat="1" x14ac:dyDescent="0.25"/>
    <row r="250232" customFormat="1" x14ac:dyDescent="0.25"/>
    <row r="250233" customFormat="1" x14ac:dyDescent="0.25"/>
    <row r="250234" customFormat="1" x14ac:dyDescent="0.25"/>
    <row r="250235" customFormat="1" x14ac:dyDescent="0.25"/>
    <row r="250236" customFormat="1" x14ac:dyDescent="0.25"/>
    <row r="250237" customFormat="1" x14ac:dyDescent="0.25"/>
    <row r="250238" customFormat="1" x14ac:dyDescent="0.25"/>
    <row r="250239" customFormat="1" x14ac:dyDescent="0.25"/>
    <row r="250240" customFormat="1" x14ac:dyDescent="0.25"/>
    <row r="250241" customFormat="1" x14ac:dyDescent="0.25"/>
    <row r="250242" customFormat="1" x14ac:dyDescent="0.25"/>
    <row r="250243" customFormat="1" x14ac:dyDescent="0.25"/>
    <row r="250244" customFormat="1" x14ac:dyDescent="0.25"/>
    <row r="250245" customFormat="1" x14ac:dyDescent="0.25"/>
    <row r="250246" customFormat="1" x14ac:dyDescent="0.25"/>
    <row r="250247" customFormat="1" x14ac:dyDescent="0.25"/>
    <row r="250248" customFormat="1" x14ac:dyDescent="0.25"/>
    <row r="250249" customFormat="1" x14ac:dyDescent="0.25"/>
    <row r="250250" customFormat="1" x14ac:dyDescent="0.25"/>
    <row r="250251" customFormat="1" x14ac:dyDescent="0.25"/>
    <row r="250252" customFormat="1" x14ac:dyDescent="0.25"/>
    <row r="250253" customFormat="1" x14ac:dyDescent="0.25"/>
    <row r="250254" customFormat="1" x14ac:dyDescent="0.25"/>
    <row r="250255" customFormat="1" x14ac:dyDescent="0.25"/>
    <row r="250256" customFormat="1" x14ac:dyDescent="0.25"/>
    <row r="250257" customFormat="1" x14ac:dyDescent="0.25"/>
    <row r="250258" customFormat="1" x14ac:dyDescent="0.25"/>
    <row r="250259" customFormat="1" x14ac:dyDescent="0.25"/>
    <row r="250260" customFormat="1" x14ac:dyDescent="0.25"/>
    <row r="250261" customFormat="1" x14ac:dyDescent="0.25"/>
    <row r="250262" customFormat="1" x14ac:dyDescent="0.25"/>
    <row r="250263" customFormat="1" x14ac:dyDescent="0.25"/>
    <row r="250264" customFormat="1" x14ac:dyDescent="0.25"/>
    <row r="250265" customFormat="1" x14ac:dyDescent="0.25"/>
    <row r="250266" customFormat="1" x14ac:dyDescent="0.25"/>
    <row r="250267" customFormat="1" x14ac:dyDescent="0.25"/>
    <row r="250268" customFormat="1" x14ac:dyDescent="0.25"/>
    <row r="250269" customFormat="1" x14ac:dyDescent="0.25"/>
    <row r="250270" customFormat="1" x14ac:dyDescent="0.25"/>
    <row r="250271" customFormat="1" x14ac:dyDescent="0.25"/>
    <row r="250272" customFormat="1" x14ac:dyDescent="0.25"/>
    <row r="250273" customFormat="1" x14ac:dyDescent="0.25"/>
    <row r="250274" customFormat="1" x14ac:dyDescent="0.25"/>
    <row r="250275" customFormat="1" x14ac:dyDescent="0.25"/>
    <row r="250276" customFormat="1" x14ac:dyDescent="0.25"/>
    <row r="250277" customFormat="1" x14ac:dyDescent="0.25"/>
    <row r="250278" customFormat="1" x14ac:dyDescent="0.25"/>
    <row r="250279" customFormat="1" x14ac:dyDescent="0.25"/>
    <row r="250280" customFormat="1" x14ac:dyDescent="0.25"/>
    <row r="250281" customFormat="1" x14ac:dyDescent="0.25"/>
    <row r="250282" customFormat="1" x14ac:dyDescent="0.25"/>
    <row r="250283" customFormat="1" x14ac:dyDescent="0.25"/>
    <row r="250284" customFormat="1" x14ac:dyDescent="0.25"/>
    <row r="250285" customFormat="1" x14ac:dyDescent="0.25"/>
    <row r="250286" customFormat="1" x14ac:dyDescent="0.25"/>
    <row r="250287" customFormat="1" x14ac:dyDescent="0.25"/>
    <row r="250288" customFormat="1" x14ac:dyDescent="0.25"/>
    <row r="250289" customFormat="1" x14ac:dyDescent="0.25"/>
    <row r="250290" customFormat="1" x14ac:dyDescent="0.25"/>
    <row r="250291" customFormat="1" x14ac:dyDescent="0.25"/>
    <row r="250292" customFormat="1" x14ac:dyDescent="0.25"/>
    <row r="250293" customFormat="1" x14ac:dyDescent="0.25"/>
    <row r="250294" customFormat="1" x14ac:dyDescent="0.25"/>
    <row r="250295" customFormat="1" x14ac:dyDescent="0.25"/>
    <row r="250296" customFormat="1" x14ac:dyDescent="0.25"/>
    <row r="250297" customFormat="1" x14ac:dyDescent="0.25"/>
    <row r="250298" customFormat="1" x14ac:dyDescent="0.25"/>
    <row r="250299" customFormat="1" x14ac:dyDescent="0.25"/>
    <row r="250300" customFormat="1" x14ac:dyDescent="0.25"/>
    <row r="250301" customFormat="1" x14ac:dyDescent="0.25"/>
    <row r="250302" customFormat="1" x14ac:dyDescent="0.25"/>
    <row r="250303" customFormat="1" x14ac:dyDescent="0.25"/>
    <row r="250304" customFormat="1" x14ac:dyDescent="0.25"/>
    <row r="250305" customFormat="1" x14ac:dyDescent="0.25"/>
    <row r="250306" customFormat="1" x14ac:dyDescent="0.25"/>
    <row r="250307" customFormat="1" x14ac:dyDescent="0.25"/>
    <row r="250308" customFormat="1" x14ac:dyDescent="0.25"/>
    <row r="250309" customFormat="1" x14ac:dyDescent="0.25"/>
    <row r="250310" customFormat="1" x14ac:dyDescent="0.25"/>
    <row r="250311" customFormat="1" x14ac:dyDescent="0.25"/>
    <row r="250312" customFormat="1" x14ac:dyDescent="0.25"/>
    <row r="250313" customFormat="1" x14ac:dyDescent="0.25"/>
    <row r="250314" customFormat="1" x14ac:dyDescent="0.25"/>
    <row r="250315" customFormat="1" x14ac:dyDescent="0.25"/>
    <row r="250316" customFormat="1" x14ac:dyDescent="0.25"/>
    <row r="250317" customFormat="1" x14ac:dyDescent="0.25"/>
    <row r="250318" customFormat="1" x14ac:dyDescent="0.25"/>
    <row r="250319" customFormat="1" x14ac:dyDescent="0.25"/>
    <row r="250320" customFormat="1" x14ac:dyDescent="0.25"/>
    <row r="250321" customFormat="1" x14ac:dyDescent="0.25"/>
    <row r="250322" customFormat="1" x14ac:dyDescent="0.25"/>
    <row r="250323" customFormat="1" x14ac:dyDescent="0.25"/>
    <row r="250324" customFormat="1" x14ac:dyDescent="0.25"/>
    <row r="250325" customFormat="1" x14ac:dyDescent="0.25"/>
    <row r="250326" customFormat="1" x14ac:dyDescent="0.25"/>
    <row r="250327" customFormat="1" x14ac:dyDescent="0.25"/>
    <row r="250328" customFormat="1" x14ac:dyDescent="0.25"/>
    <row r="250329" customFormat="1" x14ac:dyDescent="0.25"/>
    <row r="250330" customFormat="1" x14ac:dyDescent="0.25"/>
    <row r="250331" customFormat="1" x14ac:dyDescent="0.25"/>
    <row r="250332" customFormat="1" x14ac:dyDescent="0.25"/>
    <row r="250333" customFormat="1" x14ac:dyDescent="0.25"/>
    <row r="250334" customFormat="1" x14ac:dyDescent="0.25"/>
    <row r="250335" customFormat="1" x14ac:dyDescent="0.25"/>
    <row r="250336" customFormat="1" x14ac:dyDescent="0.25"/>
    <row r="250337" customFormat="1" x14ac:dyDescent="0.25"/>
    <row r="250338" customFormat="1" x14ac:dyDescent="0.25"/>
    <row r="250339" customFormat="1" x14ac:dyDescent="0.25"/>
    <row r="250340" customFormat="1" x14ac:dyDescent="0.25"/>
    <row r="250341" customFormat="1" x14ac:dyDescent="0.25"/>
    <row r="250342" customFormat="1" x14ac:dyDescent="0.25"/>
    <row r="250343" customFormat="1" x14ac:dyDescent="0.25"/>
    <row r="250344" customFormat="1" x14ac:dyDescent="0.25"/>
    <row r="250345" customFormat="1" x14ac:dyDescent="0.25"/>
    <row r="250346" customFormat="1" x14ac:dyDescent="0.25"/>
    <row r="250347" customFormat="1" x14ac:dyDescent="0.25"/>
    <row r="250348" customFormat="1" x14ac:dyDescent="0.25"/>
    <row r="250349" customFormat="1" x14ac:dyDescent="0.25"/>
    <row r="250350" customFormat="1" x14ac:dyDescent="0.25"/>
    <row r="250351" customFormat="1" x14ac:dyDescent="0.25"/>
    <row r="250352" customFormat="1" x14ac:dyDescent="0.25"/>
    <row r="250353" customFormat="1" x14ac:dyDescent="0.25"/>
    <row r="250354" customFormat="1" x14ac:dyDescent="0.25"/>
    <row r="250355" customFormat="1" x14ac:dyDescent="0.25"/>
    <row r="250356" customFormat="1" x14ac:dyDescent="0.25"/>
    <row r="250357" customFormat="1" x14ac:dyDescent="0.25"/>
    <row r="250358" customFormat="1" x14ac:dyDescent="0.25"/>
    <row r="250359" customFormat="1" x14ac:dyDescent="0.25"/>
    <row r="250360" customFormat="1" x14ac:dyDescent="0.25"/>
    <row r="250361" customFormat="1" x14ac:dyDescent="0.25"/>
    <row r="250362" customFormat="1" x14ac:dyDescent="0.25"/>
    <row r="250363" customFormat="1" x14ac:dyDescent="0.25"/>
    <row r="250364" customFormat="1" x14ac:dyDescent="0.25"/>
    <row r="250365" customFormat="1" x14ac:dyDescent="0.25"/>
    <row r="250366" customFormat="1" x14ac:dyDescent="0.25"/>
    <row r="250367" customFormat="1" x14ac:dyDescent="0.25"/>
    <row r="250368" customFormat="1" x14ac:dyDescent="0.25"/>
    <row r="250369" customFormat="1" x14ac:dyDescent="0.25"/>
    <row r="250370" customFormat="1" x14ac:dyDescent="0.25"/>
    <row r="250371" customFormat="1" x14ac:dyDescent="0.25"/>
    <row r="250372" customFormat="1" x14ac:dyDescent="0.25"/>
    <row r="250373" customFormat="1" x14ac:dyDescent="0.25"/>
    <row r="250374" customFormat="1" x14ac:dyDescent="0.25"/>
    <row r="250375" customFormat="1" x14ac:dyDescent="0.25"/>
    <row r="250376" customFormat="1" x14ac:dyDescent="0.25"/>
    <row r="250377" customFormat="1" x14ac:dyDescent="0.25"/>
    <row r="250378" customFormat="1" x14ac:dyDescent="0.25"/>
    <row r="250379" customFormat="1" x14ac:dyDescent="0.25"/>
    <row r="250380" customFormat="1" x14ac:dyDescent="0.25"/>
    <row r="250381" customFormat="1" x14ac:dyDescent="0.25"/>
    <row r="250382" customFormat="1" x14ac:dyDescent="0.25"/>
    <row r="250383" customFormat="1" x14ac:dyDescent="0.25"/>
    <row r="250384" customFormat="1" x14ac:dyDescent="0.25"/>
    <row r="250385" customFormat="1" x14ac:dyDescent="0.25"/>
    <row r="250386" customFormat="1" x14ac:dyDescent="0.25"/>
    <row r="250387" customFormat="1" x14ac:dyDescent="0.25"/>
    <row r="250388" customFormat="1" x14ac:dyDescent="0.25"/>
    <row r="250389" customFormat="1" x14ac:dyDescent="0.25"/>
    <row r="250390" customFormat="1" x14ac:dyDescent="0.25"/>
    <row r="250391" customFormat="1" x14ac:dyDescent="0.25"/>
    <row r="250392" customFormat="1" x14ac:dyDescent="0.25"/>
    <row r="250393" customFormat="1" x14ac:dyDescent="0.25"/>
    <row r="250394" customFormat="1" x14ac:dyDescent="0.25"/>
    <row r="250395" customFormat="1" x14ac:dyDescent="0.25"/>
    <row r="250396" customFormat="1" x14ac:dyDescent="0.25"/>
    <row r="250397" customFormat="1" x14ac:dyDescent="0.25"/>
    <row r="250398" customFormat="1" x14ac:dyDescent="0.25"/>
    <row r="250399" customFormat="1" x14ac:dyDescent="0.25"/>
    <row r="250400" customFormat="1" x14ac:dyDescent="0.25"/>
    <row r="250401" customFormat="1" x14ac:dyDescent="0.25"/>
    <row r="250402" customFormat="1" x14ac:dyDescent="0.25"/>
    <row r="250403" customFormat="1" x14ac:dyDescent="0.25"/>
    <row r="250404" customFormat="1" x14ac:dyDescent="0.25"/>
    <row r="250405" customFormat="1" x14ac:dyDescent="0.25"/>
    <row r="250406" customFormat="1" x14ac:dyDescent="0.25"/>
    <row r="250407" customFormat="1" x14ac:dyDescent="0.25"/>
    <row r="250408" customFormat="1" x14ac:dyDescent="0.25"/>
    <row r="250409" customFormat="1" x14ac:dyDescent="0.25"/>
    <row r="250410" customFormat="1" x14ac:dyDescent="0.25"/>
    <row r="250411" customFormat="1" x14ac:dyDescent="0.25"/>
    <row r="250412" customFormat="1" x14ac:dyDescent="0.25"/>
    <row r="250413" customFormat="1" x14ac:dyDescent="0.25"/>
    <row r="250414" customFormat="1" x14ac:dyDescent="0.25"/>
    <row r="250415" customFormat="1" x14ac:dyDescent="0.25"/>
    <row r="250416" customFormat="1" x14ac:dyDescent="0.25"/>
    <row r="250417" customFormat="1" x14ac:dyDescent="0.25"/>
    <row r="250418" customFormat="1" x14ac:dyDescent="0.25"/>
    <row r="250419" customFormat="1" x14ac:dyDescent="0.25"/>
    <row r="250420" customFormat="1" x14ac:dyDescent="0.25"/>
    <row r="250421" customFormat="1" x14ac:dyDescent="0.25"/>
    <row r="250422" customFormat="1" x14ac:dyDescent="0.25"/>
    <row r="250423" customFormat="1" x14ac:dyDescent="0.25"/>
    <row r="250424" customFormat="1" x14ac:dyDescent="0.25"/>
    <row r="250425" customFormat="1" x14ac:dyDescent="0.25"/>
    <row r="250426" customFormat="1" x14ac:dyDescent="0.25"/>
    <row r="250427" customFormat="1" x14ac:dyDescent="0.25"/>
    <row r="250428" customFormat="1" x14ac:dyDescent="0.25"/>
    <row r="250429" customFormat="1" x14ac:dyDescent="0.25"/>
    <row r="250430" customFormat="1" x14ac:dyDescent="0.25"/>
    <row r="250431" customFormat="1" x14ac:dyDescent="0.25"/>
    <row r="250432" customFormat="1" x14ac:dyDescent="0.25"/>
    <row r="250433" customFormat="1" x14ac:dyDescent="0.25"/>
    <row r="250434" customFormat="1" x14ac:dyDescent="0.25"/>
    <row r="250435" customFormat="1" x14ac:dyDescent="0.25"/>
    <row r="250436" customFormat="1" x14ac:dyDescent="0.25"/>
    <row r="250437" customFormat="1" x14ac:dyDescent="0.25"/>
    <row r="250438" customFormat="1" x14ac:dyDescent="0.25"/>
    <row r="250439" customFormat="1" x14ac:dyDescent="0.25"/>
    <row r="250440" customFormat="1" x14ac:dyDescent="0.25"/>
    <row r="250441" customFormat="1" x14ac:dyDescent="0.25"/>
    <row r="250442" customFormat="1" x14ac:dyDescent="0.25"/>
    <row r="250443" customFormat="1" x14ac:dyDescent="0.25"/>
    <row r="250444" customFormat="1" x14ac:dyDescent="0.25"/>
    <row r="250445" customFormat="1" x14ac:dyDescent="0.25"/>
    <row r="250446" customFormat="1" x14ac:dyDescent="0.25"/>
    <row r="250447" customFormat="1" x14ac:dyDescent="0.25"/>
    <row r="250448" customFormat="1" x14ac:dyDescent="0.25"/>
    <row r="250449" customFormat="1" x14ac:dyDescent="0.25"/>
    <row r="250450" customFormat="1" x14ac:dyDescent="0.25"/>
    <row r="250451" customFormat="1" x14ac:dyDescent="0.25"/>
    <row r="250452" customFormat="1" x14ac:dyDescent="0.25"/>
    <row r="250453" customFormat="1" x14ac:dyDescent="0.25"/>
    <row r="250454" customFormat="1" x14ac:dyDescent="0.25"/>
    <row r="250455" customFormat="1" x14ac:dyDescent="0.25"/>
    <row r="250456" customFormat="1" x14ac:dyDescent="0.25"/>
    <row r="250457" customFormat="1" x14ac:dyDescent="0.25"/>
    <row r="250458" customFormat="1" x14ac:dyDescent="0.25"/>
    <row r="250459" customFormat="1" x14ac:dyDescent="0.25"/>
    <row r="250460" customFormat="1" x14ac:dyDescent="0.25"/>
    <row r="250461" customFormat="1" x14ac:dyDescent="0.25"/>
    <row r="250462" customFormat="1" x14ac:dyDescent="0.25"/>
    <row r="250463" customFormat="1" x14ac:dyDescent="0.25"/>
    <row r="250464" customFormat="1" x14ac:dyDescent="0.25"/>
    <row r="250465" customFormat="1" x14ac:dyDescent="0.25"/>
    <row r="250466" customFormat="1" x14ac:dyDescent="0.25"/>
    <row r="250467" customFormat="1" x14ac:dyDescent="0.25"/>
    <row r="250468" customFormat="1" x14ac:dyDescent="0.25"/>
    <row r="250469" customFormat="1" x14ac:dyDescent="0.25"/>
    <row r="250470" customFormat="1" x14ac:dyDescent="0.25"/>
    <row r="250471" customFormat="1" x14ac:dyDescent="0.25"/>
    <row r="250472" customFormat="1" x14ac:dyDescent="0.25"/>
    <row r="250473" customFormat="1" x14ac:dyDescent="0.25"/>
    <row r="250474" customFormat="1" x14ac:dyDescent="0.25"/>
    <row r="250475" customFormat="1" x14ac:dyDescent="0.25"/>
    <row r="250476" customFormat="1" x14ac:dyDescent="0.25"/>
    <row r="250477" customFormat="1" x14ac:dyDescent="0.25"/>
    <row r="250478" customFormat="1" x14ac:dyDescent="0.25"/>
    <row r="250479" customFormat="1" x14ac:dyDescent="0.25"/>
    <row r="250480" customFormat="1" x14ac:dyDescent="0.25"/>
    <row r="250481" customFormat="1" x14ac:dyDescent="0.25"/>
    <row r="250482" customFormat="1" x14ac:dyDescent="0.25"/>
    <row r="250483" customFormat="1" x14ac:dyDescent="0.25"/>
    <row r="250484" customFormat="1" x14ac:dyDescent="0.25"/>
    <row r="250485" customFormat="1" x14ac:dyDescent="0.25"/>
    <row r="250486" customFormat="1" x14ac:dyDescent="0.25"/>
    <row r="250487" customFormat="1" x14ac:dyDescent="0.25"/>
    <row r="250488" customFormat="1" x14ac:dyDescent="0.25"/>
    <row r="250489" customFormat="1" x14ac:dyDescent="0.25"/>
    <row r="250490" customFormat="1" x14ac:dyDescent="0.25"/>
    <row r="250491" customFormat="1" x14ac:dyDescent="0.25"/>
    <row r="250492" customFormat="1" x14ac:dyDescent="0.25"/>
    <row r="250493" customFormat="1" x14ac:dyDescent="0.25"/>
    <row r="250494" customFormat="1" x14ac:dyDescent="0.25"/>
    <row r="250495" customFormat="1" x14ac:dyDescent="0.25"/>
    <row r="250496" customFormat="1" x14ac:dyDescent="0.25"/>
    <row r="250497" customFormat="1" x14ac:dyDescent="0.25"/>
    <row r="250498" customFormat="1" x14ac:dyDescent="0.25"/>
    <row r="250499" customFormat="1" x14ac:dyDescent="0.25"/>
    <row r="250500" customFormat="1" x14ac:dyDescent="0.25"/>
    <row r="250501" customFormat="1" x14ac:dyDescent="0.25"/>
    <row r="250502" customFormat="1" x14ac:dyDescent="0.25"/>
    <row r="250503" customFormat="1" x14ac:dyDescent="0.25"/>
    <row r="250504" customFormat="1" x14ac:dyDescent="0.25"/>
    <row r="250505" customFormat="1" x14ac:dyDescent="0.25"/>
    <row r="250506" customFormat="1" x14ac:dyDescent="0.25"/>
    <row r="250507" customFormat="1" x14ac:dyDescent="0.25"/>
    <row r="250508" customFormat="1" x14ac:dyDescent="0.25"/>
    <row r="250509" customFormat="1" x14ac:dyDescent="0.25"/>
    <row r="250510" customFormat="1" x14ac:dyDescent="0.25"/>
    <row r="250511" customFormat="1" x14ac:dyDescent="0.25"/>
    <row r="250512" customFormat="1" x14ac:dyDescent="0.25"/>
    <row r="250513" customFormat="1" x14ac:dyDescent="0.25"/>
    <row r="250514" customFormat="1" x14ac:dyDescent="0.25"/>
    <row r="250515" customFormat="1" x14ac:dyDescent="0.25"/>
    <row r="250516" customFormat="1" x14ac:dyDescent="0.25"/>
    <row r="250517" customFormat="1" x14ac:dyDescent="0.25"/>
    <row r="250518" customFormat="1" x14ac:dyDescent="0.25"/>
    <row r="250519" customFormat="1" x14ac:dyDescent="0.25"/>
    <row r="250520" customFormat="1" x14ac:dyDescent="0.25"/>
    <row r="250521" customFormat="1" x14ac:dyDescent="0.25"/>
    <row r="250522" customFormat="1" x14ac:dyDescent="0.25"/>
    <row r="250523" customFormat="1" x14ac:dyDescent="0.25"/>
    <row r="250524" customFormat="1" x14ac:dyDescent="0.25"/>
    <row r="250525" customFormat="1" x14ac:dyDescent="0.25"/>
    <row r="250526" customFormat="1" x14ac:dyDescent="0.25"/>
    <row r="250527" customFormat="1" x14ac:dyDescent="0.25"/>
    <row r="250528" customFormat="1" x14ac:dyDescent="0.25"/>
    <row r="250529" customFormat="1" x14ac:dyDescent="0.25"/>
    <row r="250530" customFormat="1" x14ac:dyDescent="0.25"/>
    <row r="250531" customFormat="1" x14ac:dyDescent="0.25"/>
    <row r="250532" customFormat="1" x14ac:dyDescent="0.25"/>
    <row r="250533" customFormat="1" x14ac:dyDescent="0.25"/>
    <row r="250534" customFormat="1" x14ac:dyDescent="0.25"/>
    <row r="250535" customFormat="1" x14ac:dyDescent="0.25"/>
    <row r="250536" customFormat="1" x14ac:dyDescent="0.25"/>
    <row r="250537" customFormat="1" x14ac:dyDescent="0.25"/>
    <row r="250538" customFormat="1" x14ac:dyDescent="0.25"/>
    <row r="250539" customFormat="1" x14ac:dyDescent="0.25"/>
    <row r="250540" customFormat="1" x14ac:dyDescent="0.25"/>
    <row r="250541" customFormat="1" x14ac:dyDescent="0.25"/>
    <row r="250542" customFormat="1" x14ac:dyDescent="0.25"/>
    <row r="250543" customFormat="1" x14ac:dyDescent="0.25"/>
    <row r="250544" customFormat="1" x14ac:dyDescent="0.25"/>
    <row r="250545" customFormat="1" x14ac:dyDescent="0.25"/>
    <row r="250546" customFormat="1" x14ac:dyDescent="0.25"/>
    <row r="250547" customFormat="1" x14ac:dyDescent="0.25"/>
    <row r="250548" customFormat="1" x14ac:dyDescent="0.25"/>
    <row r="250549" customFormat="1" x14ac:dyDescent="0.25"/>
    <row r="250550" customFormat="1" x14ac:dyDescent="0.25"/>
    <row r="250551" customFormat="1" x14ac:dyDescent="0.25"/>
    <row r="250552" customFormat="1" x14ac:dyDescent="0.25"/>
    <row r="250553" customFormat="1" x14ac:dyDescent="0.25"/>
    <row r="250554" customFormat="1" x14ac:dyDescent="0.25"/>
    <row r="250555" customFormat="1" x14ac:dyDescent="0.25"/>
    <row r="250556" customFormat="1" x14ac:dyDescent="0.25"/>
    <row r="250557" customFormat="1" x14ac:dyDescent="0.25"/>
    <row r="250558" customFormat="1" x14ac:dyDescent="0.25"/>
    <row r="250559" customFormat="1" x14ac:dyDescent="0.25"/>
    <row r="250560" customFormat="1" x14ac:dyDescent="0.25"/>
    <row r="250561" customFormat="1" x14ac:dyDescent="0.25"/>
    <row r="250562" customFormat="1" x14ac:dyDescent="0.25"/>
    <row r="250563" customFormat="1" x14ac:dyDescent="0.25"/>
    <row r="250564" customFormat="1" x14ac:dyDescent="0.25"/>
    <row r="250565" customFormat="1" x14ac:dyDescent="0.25"/>
    <row r="250566" customFormat="1" x14ac:dyDescent="0.25"/>
    <row r="250567" customFormat="1" x14ac:dyDescent="0.25"/>
    <row r="250568" customFormat="1" x14ac:dyDescent="0.25"/>
    <row r="250569" customFormat="1" x14ac:dyDescent="0.25"/>
    <row r="250570" customFormat="1" x14ac:dyDescent="0.25"/>
    <row r="250571" customFormat="1" x14ac:dyDescent="0.25"/>
    <row r="250572" customFormat="1" x14ac:dyDescent="0.25"/>
    <row r="250573" customFormat="1" x14ac:dyDescent="0.25"/>
    <row r="250574" customFormat="1" x14ac:dyDescent="0.25"/>
    <row r="250575" customFormat="1" x14ac:dyDescent="0.25"/>
    <row r="250576" customFormat="1" x14ac:dyDescent="0.25"/>
    <row r="250577" customFormat="1" x14ac:dyDescent="0.25"/>
    <row r="250578" customFormat="1" x14ac:dyDescent="0.25"/>
    <row r="250579" customFormat="1" x14ac:dyDescent="0.25"/>
    <row r="250580" customFormat="1" x14ac:dyDescent="0.25"/>
    <row r="250581" customFormat="1" x14ac:dyDescent="0.25"/>
    <row r="250582" customFormat="1" x14ac:dyDescent="0.25"/>
    <row r="250583" customFormat="1" x14ac:dyDescent="0.25"/>
    <row r="250584" customFormat="1" x14ac:dyDescent="0.25"/>
    <row r="250585" customFormat="1" x14ac:dyDescent="0.25"/>
    <row r="250586" customFormat="1" x14ac:dyDescent="0.25"/>
    <row r="250587" customFormat="1" x14ac:dyDescent="0.25"/>
    <row r="250588" customFormat="1" x14ac:dyDescent="0.25"/>
    <row r="250589" customFormat="1" x14ac:dyDescent="0.25"/>
    <row r="250590" customFormat="1" x14ac:dyDescent="0.25"/>
    <row r="250591" customFormat="1" x14ac:dyDescent="0.25"/>
    <row r="250592" customFormat="1" x14ac:dyDescent="0.25"/>
    <row r="250593" customFormat="1" x14ac:dyDescent="0.25"/>
    <row r="250594" customFormat="1" x14ac:dyDescent="0.25"/>
    <row r="250595" customFormat="1" x14ac:dyDescent="0.25"/>
    <row r="250596" customFormat="1" x14ac:dyDescent="0.25"/>
    <row r="250597" customFormat="1" x14ac:dyDescent="0.25"/>
    <row r="250598" customFormat="1" x14ac:dyDescent="0.25"/>
    <row r="250599" customFormat="1" x14ac:dyDescent="0.25"/>
    <row r="250600" customFormat="1" x14ac:dyDescent="0.25"/>
    <row r="250601" customFormat="1" x14ac:dyDescent="0.25"/>
    <row r="250602" customFormat="1" x14ac:dyDescent="0.25"/>
    <row r="250603" customFormat="1" x14ac:dyDescent="0.25"/>
    <row r="250604" customFormat="1" x14ac:dyDescent="0.25"/>
    <row r="250605" customFormat="1" x14ac:dyDescent="0.25"/>
    <row r="250606" customFormat="1" x14ac:dyDescent="0.25"/>
    <row r="250607" customFormat="1" x14ac:dyDescent="0.25"/>
    <row r="250608" customFormat="1" x14ac:dyDescent="0.25"/>
    <row r="250609" customFormat="1" x14ac:dyDescent="0.25"/>
    <row r="250610" customFormat="1" x14ac:dyDescent="0.25"/>
    <row r="250611" customFormat="1" x14ac:dyDescent="0.25"/>
    <row r="250612" customFormat="1" x14ac:dyDescent="0.25"/>
    <row r="250613" customFormat="1" x14ac:dyDescent="0.25"/>
    <row r="250614" customFormat="1" x14ac:dyDescent="0.25"/>
    <row r="250615" customFormat="1" x14ac:dyDescent="0.25"/>
    <row r="250616" customFormat="1" x14ac:dyDescent="0.25"/>
    <row r="250617" customFormat="1" x14ac:dyDescent="0.25"/>
    <row r="250618" customFormat="1" x14ac:dyDescent="0.25"/>
    <row r="250619" customFormat="1" x14ac:dyDescent="0.25"/>
    <row r="250620" customFormat="1" x14ac:dyDescent="0.25"/>
    <row r="250621" customFormat="1" x14ac:dyDescent="0.25"/>
    <row r="250622" customFormat="1" x14ac:dyDescent="0.25"/>
    <row r="250623" customFormat="1" x14ac:dyDescent="0.25"/>
    <row r="250624" customFormat="1" x14ac:dyDescent="0.25"/>
    <row r="250625" customFormat="1" x14ac:dyDescent="0.25"/>
    <row r="250626" customFormat="1" x14ac:dyDescent="0.25"/>
    <row r="250627" customFormat="1" x14ac:dyDescent="0.25"/>
    <row r="250628" customFormat="1" x14ac:dyDescent="0.25"/>
    <row r="250629" customFormat="1" x14ac:dyDescent="0.25"/>
    <row r="250630" customFormat="1" x14ac:dyDescent="0.25"/>
    <row r="250631" customFormat="1" x14ac:dyDescent="0.25"/>
    <row r="250632" customFormat="1" x14ac:dyDescent="0.25"/>
    <row r="250633" customFormat="1" x14ac:dyDescent="0.25"/>
    <row r="250634" customFormat="1" x14ac:dyDescent="0.25"/>
    <row r="250635" customFormat="1" x14ac:dyDescent="0.25"/>
    <row r="250636" customFormat="1" x14ac:dyDescent="0.25"/>
    <row r="250637" customFormat="1" x14ac:dyDescent="0.25"/>
    <row r="250638" customFormat="1" x14ac:dyDescent="0.25"/>
    <row r="250639" customFormat="1" x14ac:dyDescent="0.25"/>
    <row r="250640" customFormat="1" x14ac:dyDescent="0.25"/>
    <row r="250641" customFormat="1" x14ac:dyDescent="0.25"/>
    <row r="250642" customFormat="1" x14ac:dyDescent="0.25"/>
    <row r="250643" customFormat="1" x14ac:dyDescent="0.25"/>
    <row r="250644" customFormat="1" x14ac:dyDescent="0.25"/>
    <row r="250645" customFormat="1" x14ac:dyDescent="0.25"/>
    <row r="250646" customFormat="1" x14ac:dyDescent="0.25"/>
    <row r="250647" customFormat="1" x14ac:dyDescent="0.25"/>
    <row r="250648" customFormat="1" x14ac:dyDescent="0.25"/>
    <row r="250649" customFormat="1" x14ac:dyDescent="0.25"/>
    <row r="250650" customFormat="1" x14ac:dyDescent="0.25"/>
    <row r="250651" customFormat="1" x14ac:dyDescent="0.25"/>
    <row r="250652" customFormat="1" x14ac:dyDescent="0.25"/>
    <row r="250653" customFormat="1" x14ac:dyDescent="0.25"/>
    <row r="250654" customFormat="1" x14ac:dyDescent="0.25"/>
    <row r="250655" customFormat="1" x14ac:dyDescent="0.25"/>
    <row r="250656" customFormat="1" x14ac:dyDescent="0.25"/>
    <row r="250657" customFormat="1" x14ac:dyDescent="0.25"/>
    <row r="250658" customFormat="1" x14ac:dyDescent="0.25"/>
    <row r="250659" customFormat="1" x14ac:dyDescent="0.25"/>
    <row r="250660" customFormat="1" x14ac:dyDescent="0.25"/>
    <row r="250661" customFormat="1" x14ac:dyDescent="0.25"/>
    <row r="250662" customFormat="1" x14ac:dyDescent="0.25"/>
    <row r="250663" customFormat="1" x14ac:dyDescent="0.25"/>
    <row r="250664" customFormat="1" x14ac:dyDescent="0.25"/>
    <row r="250665" customFormat="1" x14ac:dyDescent="0.25"/>
    <row r="250666" customFormat="1" x14ac:dyDescent="0.25"/>
    <row r="250667" customFormat="1" x14ac:dyDescent="0.25"/>
    <row r="250668" customFormat="1" x14ac:dyDescent="0.25"/>
    <row r="250669" customFormat="1" x14ac:dyDescent="0.25"/>
    <row r="250670" customFormat="1" x14ac:dyDescent="0.25"/>
    <row r="250671" customFormat="1" x14ac:dyDescent="0.25"/>
    <row r="250672" customFormat="1" x14ac:dyDescent="0.25"/>
    <row r="250673" customFormat="1" x14ac:dyDescent="0.25"/>
    <row r="250674" customFormat="1" x14ac:dyDescent="0.25"/>
    <row r="250675" customFormat="1" x14ac:dyDescent="0.25"/>
    <row r="250676" customFormat="1" x14ac:dyDescent="0.25"/>
    <row r="250677" customFormat="1" x14ac:dyDescent="0.25"/>
    <row r="250678" customFormat="1" x14ac:dyDescent="0.25"/>
    <row r="250679" customFormat="1" x14ac:dyDescent="0.25"/>
    <row r="250680" customFormat="1" x14ac:dyDescent="0.25"/>
    <row r="250681" customFormat="1" x14ac:dyDescent="0.25"/>
    <row r="250682" customFormat="1" x14ac:dyDescent="0.25"/>
    <row r="250683" customFormat="1" x14ac:dyDescent="0.25"/>
    <row r="250684" customFormat="1" x14ac:dyDescent="0.25"/>
    <row r="250685" customFormat="1" x14ac:dyDescent="0.25"/>
    <row r="250686" customFormat="1" x14ac:dyDescent="0.25"/>
    <row r="250687" customFormat="1" x14ac:dyDescent="0.25"/>
    <row r="250688" customFormat="1" x14ac:dyDescent="0.25"/>
    <row r="250689" customFormat="1" x14ac:dyDescent="0.25"/>
    <row r="250690" customFormat="1" x14ac:dyDescent="0.25"/>
    <row r="250691" customFormat="1" x14ac:dyDescent="0.25"/>
    <row r="250692" customFormat="1" x14ac:dyDescent="0.25"/>
    <row r="250693" customFormat="1" x14ac:dyDescent="0.25"/>
    <row r="250694" customFormat="1" x14ac:dyDescent="0.25"/>
    <row r="250695" customFormat="1" x14ac:dyDescent="0.25"/>
    <row r="250696" customFormat="1" x14ac:dyDescent="0.25"/>
    <row r="250697" customFormat="1" x14ac:dyDescent="0.25"/>
    <row r="250698" customFormat="1" x14ac:dyDescent="0.25"/>
    <row r="250699" customFormat="1" x14ac:dyDescent="0.25"/>
    <row r="250700" customFormat="1" x14ac:dyDescent="0.25"/>
    <row r="250701" customFormat="1" x14ac:dyDescent="0.25"/>
    <row r="250702" customFormat="1" x14ac:dyDescent="0.25"/>
    <row r="250703" customFormat="1" x14ac:dyDescent="0.25"/>
    <row r="250704" customFormat="1" x14ac:dyDescent="0.25"/>
    <row r="250705" customFormat="1" x14ac:dyDescent="0.25"/>
    <row r="250706" customFormat="1" x14ac:dyDescent="0.25"/>
    <row r="250707" customFormat="1" x14ac:dyDescent="0.25"/>
    <row r="250708" customFormat="1" x14ac:dyDescent="0.25"/>
    <row r="250709" customFormat="1" x14ac:dyDescent="0.25"/>
    <row r="250710" customFormat="1" x14ac:dyDescent="0.25"/>
    <row r="250711" customFormat="1" x14ac:dyDescent="0.25"/>
    <row r="250712" customFormat="1" x14ac:dyDescent="0.25"/>
    <row r="250713" customFormat="1" x14ac:dyDescent="0.25"/>
    <row r="250714" customFormat="1" x14ac:dyDescent="0.25"/>
    <row r="250715" customFormat="1" x14ac:dyDescent="0.25"/>
    <row r="250716" customFormat="1" x14ac:dyDescent="0.25"/>
    <row r="250717" customFormat="1" x14ac:dyDescent="0.25"/>
    <row r="250718" customFormat="1" x14ac:dyDescent="0.25"/>
    <row r="250719" customFormat="1" x14ac:dyDescent="0.25"/>
    <row r="250720" customFormat="1" x14ac:dyDescent="0.25"/>
    <row r="250721" customFormat="1" x14ac:dyDescent="0.25"/>
    <row r="250722" customFormat="1" x14ac:dyDescent="0.25"/>
    <row r="250723" customFormat="1" x14ac:dyDescent="0.25"/>
    <row r="250724" customFormat="1" x14ac:dyDescent="0.25"/>
    <row r="250725" customFormat="1" x14ac:dyDescent="0.25"/>
    <row r="250726" customFormat="1" x14ac:dyDescent="0.25"/>
    <row r="250727" customFormat="1" x14ac:dyDescent="0.25"/>
    <row r="250728" customFormat="1" x14ac:dyDescent="0.25"/>
    <row r="250729" customFormat="1" x14ac:dyDescent="0.25"/>
    <row r="250730" customFormat="1" x14ac:dyDescent="0.25"/>
    <row r="250731" customFormat="1" x14ac:dyDescent="0.25"/>
    <row r="250732" customFormat="1" x14ac:dyDescent="0.25"/>
    <row r="250733" customFormat="1" x14ac:dyDescent="0.25"/>
    <row r="250734" customFormat="1" x14ac:dyDescent="0.25"/>
    <row r="250735" customFormat="1" x14ac:dyDescent="0.25"/>
    <row r="250736" customFormat="1" x14ac:dyDescent="0.25"/>
    <row r="250737" customFormat="1" x14ac:dyDescent="0.25"/>
    <row r="250738" customFormat="1" x14ac:dyDescent="0.25"/>
    <row r="250739" customFormat="1" x14ac:dyDescent="0.25"/>
    <row r="250740" customFormat="1" x14ac:dyDescent="0.25"/>
    <row r="250741" customFormat="1" x14ac:dyDescent="0.25"/>
    <row r="250742" customFormat="1" x14ac:dyDescent="0.25"/>
    <row r="250743" customFormat="1" x14ac:dyDescent="0.25"/>
    <row r="250744" customFormat="1" x14ac:dyDescent="0.25"/>
    <row r="250745" customFormat="1" x14ac:dyDescent="0.25"/>
    <row r="250746" customFormat="1" x14ac:dyDescent="0.25"/>
    <row r="250747" customFormat="1" x14ac:dyDescent="0.25"/>
    <row r="250748" customFormat="1" x14ac:dyDescent="0.25"/>
    <row r="250749" customFormat="1" x14ac:dyDescent="0.25"/>
    <row r="250750" customFormat="1" x14ac:dyDescent="0.25"/>
    <row r="250751" customFormat="1" x14ac:dyDescent="0.25"/>
    <row r="250752" customFormat="1" x14ac:dyDescent="0.25"/>
    <row r="250753" customFormat="1" x14ac:dyDescent="0.25"/>
    <row r="250754" customFormat="1" x14ac:dyDescent="0.25"/>
    <row r="250755" customFormat="1" x14ac:dyDescent="0.25"/>
    <row r="250756" customFormat="1" x14ac:dyDescent="0.25"/>
    <row r="250757" customFormat="1" x14ac:dyDescent="0.25"/>
    <row r="250758" customFormat="1" x14ac:dyDescent="0.25"/>
    <row r="250759" customFormat="1" x14ac:dyDescent="0.25"/>
    <row r="250760" customFormat="1" x14ac:dyDescent="0.25"/>
    <row r="250761" customFormat="1" x14ac:dyDescent="0.25"/>
    <row r="250762" customFormat="1" x14ac:dyDescent="0.25"/>
    <row r="250763" customFormat="1" x14ac:dyDescent="0.25"/>
    <row r="250764" customFormat="1" x14ac:dyDescent="0.25"/>
    <row r="250765" customFormat="1" x14ac:dyDescent="0.25"/>
    <row r="250766" customFormat="1" x14ac:dyDescent="0.25"/>
    <row r="250767" customFormat="1" x14ac:dyDescent="0.25"/>
    <row r="250768" customFormat="1" x14ac:dyDescent="0.25"/>
    <row r="250769" customFormat="1" x14ac:dyDescent="0.25"/>
    <row r="250770" customFormat="1" x14ac:dyDescent="0.25"/>
    <row r="250771" customFormat="1" x14ac:dyDescent="0.25"/>
    <row r="250772" customFormat="1" x14ac:dyDescent="0.25"/>
    <row r="250773" customFormat="1" x14ac:dyDescent="0.25"/>
    <row r="250774" customFormat="1" x14ac:dyDescent="0.25"/>
    <row r="250775" customFormat="1" x14ac:dyDescent="0.25"/>
    <row r="250776" customFormat="1" x14ac:dyDescent="0.25"/>
    <row r="250777" customFormat="1" x14ac:dyDescent="0.25"/>
    <row r="250778" customFormat="1" x14ac:dyDescent="0.25"/>
    <row r="250779" customFormat="1" x14ac:dyDescent="0.25"/>
    <row r="250780" customFormat="1" x14ac:dyDescent="0.25"/>
    <row r="250781" customFormat="1" x14ac:dyDescent="0.25"/>
    <row r="250782" customFormat="1" x14ac:dyDescent="0.25"/>
    <row r="250783" customFormat="1" x14ac:dyDescent="0.25"/>
    <row r="250784" customFormat="1" x14ac:dyDescent="0.25"/>
    <row r="250785" customFormat="1" x14ac:dyDescent="0.25"/>
    <row r="250786" customFormat="1" x14ac:dyDescent="0.25"/>
    <row r="250787" customFormat="1" x14ac:dyDescent="0.25"/>
    <row r="250788" customFormat="1" x14ac:dyDescent="0.25"/>
    <row r="250789" customFormat="1" x14ac:dyDescent="0.25"/>
    <row r="250790" customFormat="1" x14ac:dyDescent="0.25"/>
    <row r="250791" customFormat="1" x14ac:dyDescent="0.25"/>
    <row r="250792" customFormat="1" x14ac:dyDescent="0.25"/>
    <row r="250793" customFormat="1" x14ac:dyDescent="0.25"/>
    <row r="250794" customFormat="1" x14ac:dyDescent="0.25"/>
    <row r="250795" customFormat="1" x14ac:dyDescent="0.25"/>
    <row r="250796" customFormat="1" x14ac:dyDescent="0.25"/>
    <row r="250797" customFormat="1" x14ac:dyDescent="0.25"/>
    <row r="250798" customFormat="1" x14ac:dyDescent="0.25"/>
    <row r="250799" customFormat="1" x14ac:dyDescent="0.25"/>
    <row r="250800" customFormat="1" x14ac:dyDescent="0.25"/>
    <row r="250801" customFormat="1" x14ac:dyDescent="0.25"/>
    <row r="250802" customFormat="1" x14ac:dyDescent="0.25"/>
    <row r="250803" customFormat="1" x14ac:dyDescent="0.25"/>
    <row r="250804" customFormat="1" x14ac:dyDescent="0.25"/>
    <row r="250805" customFormat="1" x14ac:dyDescent="0.25"/>
    <row r="250806" customFormat="1" x14ac:dyDescent="0.25"/>
    <row r="250807" customFormat="1" x14ac:dyDescent="0.25"/>
    <row r="250808" customFormat="1" x14ac:dyDescent="0.25"/>
    <row r="250809" customFormat="1" x14ac:dyDescent="0.25"/>
    <row r="250810" customFormat="1" x14ac:dyDescent="0.25"/>
    <row r="250811" customFormat="1" x14ac:dyDescent="0.25"/>
    <row r="250812" customFormat="1" x14ac:dyDescent="0.25"/>
    <row r="250813" customFormat="1" x14ac:dyDescent="0.25"/>
    <row r="250814" customFormat="1" x14ac:dyDescent="0.25"/>
    <row r="250815" customFormat="1" x14ac:dyDescent="0.25"/>
    <row r="250816" customFormat="1" x14ac:dyDescent="0.25"/>
    <row r="250817" customFormat="1" x14ac:dyDescent="0.25"/>
    <row r="250818" customFormat="1" x14ac:dyDescent="0.25"/>
    <row r="250819" customFormat="1" x14ac:dyDescent="0.25"/>
    <row r="250820" customFormat="1" x14ac:dyDescent="0.25"/>
    <row r="250821" customFormat="1" x14ac:dyDescent="0.25"/>
    <row r="250822" customFormat="1" x14ac:dyDescent="0.25"/>
    <row r="250823" customFormat="1" x14ac:dyDescent="0.25"/>
    <row r="250824" customFormat="1" x14ac:dyDescent="0.25"/>
    <row r="250825" customFormat="1" x14ac:dyDescent="0.25"/>
    <row r="250826" customFormat="1" x14ac:dyDescent="0.25"/>
    <row r="250827" customFormat="1" x14ac:dyDescent="0.25"/>
    <row r="250828" customFormat="1" x14ac:dyDescent="0.25"/>
    <row r="250829" customFormat="1" x14ac:dyDescent="0.25"/>
    <row r="250830" customFormat="1" x14ac:dyDescent="0.25"/>
    <row r="250831" customFormat="1" x14ac:dyDescent="0.25"/>
    <row r="250832" customFormat="1" x14ac:dyDescent="0.25"/>
    <row r="250833" customFormat="1" x14ac:dyDescent="0.25"/>
    <row r="250834" customFormat="1" x14ac:dyDescent="0.25"/>
    <row r="250835" customFormat="1" x14ac:dyDescent="0.25"/>
    <row r="250836" customFormat="1" x14ac:dyDescent="0.25"/>
    <row r="250837" customFormat="1" x14ac:dyDescent="0.25"/>
    <row r="250838" customFormat="1" x14ac:dyDescent="0.25"/>
    <row r="250839" customFormat="1" x14ac:dyDescent="0.25"/>
    <row r="250840" customFormat="1" x14ac:dyDescent="0.25"/>
    <row r="250841" customFormat="1" x14ac:dyDescent="0.25"/>
    <row r="250842" customFormat="1" x14ac:dyDescent="0.25"/>
    <row r="250843" customFormat="1" x14ac:dyDescent="0.25"/>
    <row r="250844" customFormat="1" x14ac:dyDescent="0.25"/>
    <row r="250845" customFormat="1" x14ac:dyDescent="0.25"/>
    <row r="250846" customFormat="1" x14ac:dyDescent="0.25"/>
    <row r="250847" customFormat="1" x14ac:dyDescent="0.25"/>
    <row r="250848" customFormat="1" x14ac:dyDescent="0.25"/>
    <row r="250849" customFormat="1" x14ac:dyDescent="0.25"/>
    <row r="250850" customFormat="1" x14ac:dyDescent="0.25"/>
    <row r="250851" customFormat="1" x14ac:dyDescent="0.25"/>
    <row r="250852" customFormat="1" x14ac:dyDescent="0.25"/>
    <row r="250853" customFormat="1" x14ac:dyDescent="0.25"/>
    <row r="250854" customFormat="1" x14ac:dyDescent="0.25"/>
    <row r="250855" customFormat="1" x14ac:dyDescent="0.25"/>
    <row r="250856" customFormat="1" x14ac:dyDescent="0.25"/>
    <row r="250857" customFormat="1" x14ac:dyDescent="0.25"/>
    <row r="250858" customFormat="1" x14ac:dyDescent="0.25"/>
    <row r="250859" customFormat="1" x14ac:dyDescent="0.25"/>
    <row r="250860" customFormat="1" x14ac:dyDescent="0.25"/>
    <row r="250861" customFormat="1" x14ac:dyDescent="0.25"/>
    <row r="250862" customFormat="1" x14ac:dyDescent="0.25"/>
    <row r="250863" customFormat="1" x14ac:dyDescent="0.25"/>
    <row r="250864" customFormat="1" x14ac:dyDescent="0.25"/>
    <row r="250865" customFormat="1" x14ac:dyDescent="0.25"/>
    <row r="250866" customFormat="1" x14ac:dyDescent="0.25"/>
    <row r="250867" customFormat="1" x14ac:dyDescent="0.25"/>
    <row r="250868" customFormat="1" x14ac:dyDescent="0.25"/>
    <row r="250869" customFormat="1" x14ac:dyDescent="0.25"/>
    <row r="250870" customFormat="1" x14ac:dyDescent="0.25"/>
    <row r="250871" customFormat="1" x14ac:dyDescent="0.25"/>
    <row r="250872" customFormat="1" x14ac:dyDescent="0.25"/>
    <row r="250873" customFormat="1" x14ac:dyDescent="0.25"/>
    <row r="250874" customFormat="1" x14ac:dyDescent="0.25"/>
    <row r="250875" customFormat="1" x14ac:dyDescent="0.25"/>
    <row r="250876" customFormat="1" x14ac:dyDescent="0.25"/>
    <row r="250877" customFormat="1" x14ac:dyDescent="0.25"/>
    <row r="250878" customFormat="1" x14ac:dyDescent="0.25"/>
    <row r="250879" customFormat="1" x14ac:dyDescent="0.25"/>
    <row r="250880" customFormat="1" x14ac:dyDescent="0.25"/>
    <row r="250881" customFormat="1" x14ac:dyDescent="0.25"/>
    <row r="250882" customFormat="1" x14ac:dyDescent="0.25"/>
    <row r="250883" customFormat="1" x14ac:dyDescent="0.25"/>
    <row r="250884" customFormat="1" x14ac:dyDescent="0.25"/>
    <row r="250885" customFormat="1" x14ac:dyDescent="0.25"/>
    <row r="250886" customFormat="1" x14ac:dyDescent="0.25"/>
    <row r="250887" customFormat="1" x14ac:dyDescent="0.25"/>
    <row r="250888" customFormat="1" x14ac:dyDescent="0.25"/>
    <row r="250889" customFormat="1" x14ac:dyDescent="0.25"/>
    <row r="250890" customFormat="1" x14ac:dyDescent="0.25"/>
    <row r="250891" customFormat="1" x14ac:dyDescent="0.25"/>
    <row r="250892" customFormat="1" x14ac:dyDescent="0.25"/>
    <row r="250893" customFormat="1" x14ac:dyDescent="0.25"/>
    <row r="250894" customFormat="1" x14ac:dyDescent="0.25"/>
    <row r="250895" customFormat="1" x14ac:dyDescent="0.25"/>
    <row r="250896" customFormat="1" x14ac:dyDescent="0.25"/>
    <row r="250897" customFormat="1" x14ac:dyDescent="0.25"/>
    <row r="250898" customFormat="1" x14ac:dyDescent="0.25"/>
    <row r="250899" customFormat="1" x14ac:dyDescent="0.25"/>
    <row r="250900" customFormat="1" x14ac:dyDescent="0.25"/>
    <row r="250901" customFormat="1" x14ac:dyDescent="0.25"/>
    <row r="250902" customFormat="1" x14ac:dyDescent="0.25"/>
    <row r="250903" customFormat="1" x14ac:dyDescent="0.25"/>
    <row r="250904" customFormat="1" x14ac:dyDescent="0.25"/>
    <row r="250905" customFormat="1" x14ac:dyDescent="0.25"/>
    <row r="250906" customFormat="1" x14ac:dyDescent="0.25"/>
    <row r="250907" customFormat="1" x14ac:dyDescent="0.25"/>
    <row r="250908" customFormat="1" x14ac:dyDescent="0.25"/>
    <row r="250909" customFormat="1" x14ac:dyDescent="0.25"/>
    <row r="250910" customFormat="1" x14ac:dyDescent="0.25"/>
    <row r="250911" customFormat="1" x14ac:dyDescent="0.25"/>
    <row r="250912" customFormat="1" x14ac:dyDescent="0.25"/>
    <row r="250913" customFormat="1" x14ac:dyDescent="0.25"/>
    <row r="250914" customFormat="1" x14ac:dyDescent="0.25"/>
    <row r="250915" customFormat="1" x14ac:dyDescent="0.25"/>
    <row r="250916" customFormat="1" x14ac:dyDescent="0.25"/>
    <row r="250917" customFormat="1" x14ac:dyDescent="0.25"/>
    <row r="250918" customFormat="1" x14ac:dyDescent="0.25"/>
    <row r="250919" customFormat="1" x14ac:dyDescent="0.25"/>
    <row r="250920" customFormat="1" x14ac:dyDescent="0.25"/>
    <row r="250921" customFormat="1" x14ac:dyDescent="0.25"/>
    <row r="250922" customFormat="1" x14ac:dyDescent="0.25"/>
    <row r="250923" customFormat="1" x14ac:dyDescent="0.25"/>
    <row r="250924" customFormat="1" x14ac:dyDescent="0.25"/>
    <row r="250925" customFormat="1" x14ac:dyDescent="0.25"/>
    <row r="250926" customFormat="1" x14ac:dyDescent="0.25"/>
    <row r="250927" customFormat="1" x14ac:dyDescent="0.25"/>
    <row r="250928" customFormat="1" x14ac:dyDescent="0.25"/>
    <row r="250929" customFormat="1" x14ac:dyDescent="0.25"/>
    <row r="250930" customFormat="1" x14ac:dyDescent="0.25"/>
    <row r="250931" customFormat="1" x14ac:dyDescent="0.25"/>
    <row r="250932" customFormat="1" x14ac:dyDescent="0.25"/>
    <row r="250933" customFormat="1" x14ac:dyDescent="0.25"/>
    <row r="250934" customFormat="1" x14ac:dyDescent="0.25"/>
    <row r="250935" customFormat="1" x14ac:dyDescent="0.25"/>
    <row r="250936" customFormat="1" x14ac:dyDescent="0.25"/>
    <row r="250937" customFormat="1" x14ac:dyDescent="0.25"/>
    <row r="250938" customFormat="1" x14ac:dyDescent="0.25"/>
    <row r="250939" customFormat="1" x14ac:dyDescent="0.25"/>
    <row r="250940" customFormat="1" x14ac:dyDescent="0.25"/>
    <row r="250941" customFormat="1" x14ac:dyDescent="0.25"/>
    <row r="250942" customFormat="1" x14ac:dyDescent="0.25"/>
    <row r="250943" customFormat="1" x14ac:dyDescent="0.25"/>
    <row r="250944" customFormat="1" x14ac:dyDescent="0.25"/>
    <row r="250945" customFormat="1" x14ac:dyDescent="0.25"/>
    <row r="250946" customFormat="1" x14ac:dyDescent="0.25"/>
    <row r="250947" customFormat="1" x14ac:dyDescent="0.25"/>
    <row r="250948" customFormat="1" x14ac:dyDescent="0.25"/>
    <row r="250949" customFormat="1" x14ac:dyDescent="0.25"/>
    <row r="250950" customFormat="1" x14ac:dyDescent="0.25"/>
    <row r="250951" customFormat="1" x14ac:dyDescent="0.25"/>
    <row r="250952" customFormat="1" x14ac:dyDescent="0.25"/>
    <row r="250953" customFormat="1" x14ac:dyDescent="0.25"/>
    <row r="250954" customFormat="1" x14ac:dyDescent="0.25"/>
    <row r="250955" customFormat="1" x14ac:dyDescent="0.25"/>
    <row r="250956" customFormat="1" x14ac:dyDescent="0.25"/>
    <row r="250957" customFormat="1" x14ac:dyDescent="0.25"/>
    <row r="250958" customFormat="1" x14ac:dyDescent="0.25"/>
    <row r="250959" customFormat="1" x14ac:dyDescent="0.25"/>
    <row r="250960" customFormat="1" x14ac:dyDescent="0.25"/>
    <row r="250961" customFormat="1" x14ac:dyDescent="0.25"/>
    <row r="250962" customFormat="1" x14ac:dyDescent="0.25"/>
    <row r="250963" customFormat="1" x14ac:dyDescent="0.25"/>
    <row r="250964" customFormat="1" x14ac:dyDescent="0.25"/>
    <row r="250965" customFormat="1" x14ac:dyDescent="0.25"/>
    <row r="250966" customFormat="1" x14ac:dyDescent="0.25"/>
    <row r="250967" customFormat="1" x14ac:dyDescent="0.25"/>
    <row r="250968" customFormat="1" x14ac:dyDescent="0.25"/>
    <row r="250969" customFormat="1" x14ac:dyDescent="0.25"/>
    <row r="250970" customFormat="1" x14ac:dyDescent="0.25"/>
    <row r="250971" customFormat="1" x14ac:dyDescent="0.25"/>
    <row r="250972" customFormat="1" x14ac:dyDescent="0.25"/>
    <row r="250973" customFormat="1" x14ac:dyDescent="0.25"/>
    <row r="250974" customFormat="1" x14ac:dyDescent="0.25"/>
    <row r="250975" customFormat="1" x14ac:dyDescent="0.25"/>
    <row r="250976" customFormat="1" x14ac:dyDescent="0.25"/>
    <row r="250977" customFormat="1" x14ac:dyDescent="0.25"/>
    <row r="250978" customFormat="1" x14ac:dyDescent="0.25"/>
    <row r="250979" customFormat="1" x14ac:dyDescent="0.25"/>
    <row r="250980" customFormat="1" x14ac:dyDescent="0.25"/>
    <row r="250981" customFormat="1" x14ac:dyDescent="0.25"/>
    <row r="250982" customFormat="1" x14ac:dyDescent="0.25"/>
    <row r="250983" customFormat="1" x14ac:dyDescent="0.25"/>
    <row r="250984" customFormat="1" x14ac:dyDescent="0.25"/>
    <row r="250985" customFormat="1" x14ac:dyDescent="0.25"/>
    <row r="250986" customFormat="1" x14ac:dyDescent="0.25"/>
    <row r="250987" customFormat="1" x14ac:dyDescent="0.25"/>
    <row r="250988" customFormat="1" x14ac:dyDescent="0.25"/>
    <row r="250989" customFormat="1" x14ac:dyDescent="0.25"/>
    <row r="250990" customFormat="1" x14ac:dyDescent="0.25"/>
    <row r="250991" customFormat="1" x14ac:dyDescent="0.25"/>
    <row r="250992" customFormat="1" x14ac:dyDescent="0.25"/>
    <row r="250993" customFormat="1" x14ac:dyDescent="0.25"/>
    <row r="250994" customFormat="1" x14ac:dyDescent="0.25"/>
    <row r="250995" customFormat="1" x14ac:dyDescent="0.25"/>
    <row r="250996" customFormat="1" x14ac:dyDescent="0.25"/>
    <row r="250997" customFormat="1" x14ac:dyDescent="0.25"/>
    <row r="250998" customFormat="1" x14ac:dyDescent="0.25"/>
    <row r="250999" customFormat="1" x14ac:dyDescent="0.25"/>
    <row r="251000" customFormat="1" x14ac:dyDescent="0.25"/>
    <row r="251001" customFormat="1" x14ac:dyDescent="0.25"/>
    <row r="251002" customFormat="1" x14ac:dyDescent="0.25"/>
    <row r="251003" customFormat="1" x14ac:dyDescent="0.25"/>
    <row r="251004" customFormat="1" x14ac:dyDescent="0.25"/>
    <row r="251005" customFormat="1" x14ac:dyDescent="0.25"/>
    <row r="251006" customFormat="1" x14ac:dyDescent="0.25"/>
    <row r="251007" customFormat="1" x14ac:dyDescent="0.25"/>
    <row r="251008" customFormat="1" x14ac:dyDescent="0.25"/>
    <row r="251009" customFormat="1" x14ac:dyDescent="0.25"/>
    <row r="251010" customFormat="1" x14ac:dyDescent="0.25"/>
    <row r="251011" customFormat="1" x14ac:dyDescent="0.25"/>
    <row r="251012" customFormat="1" x14ac:dyDescent="0.25"/>
    <row r="251013" customFormat="1" x14ac:dyDescent="0.25"/>
    <row r="251014" customFormat="1" x14ac:dyDescent="0.25"/>
    <row r="251015" customFormat="1" x14ac:dyDescent="0.25"/>
    <row r="251016" customFormat="1" x14ac:dyDescent="0.25"/>
    <row r="251017" customFormat="1" x14ac:dyDescent="0.25"/>
    <row r="251018" customFormat="1" x14ac:dyDescent="0.25"/>
    <row r="251019" customFormat="1" x14ac:dyDescent="0.25"/>
    <row r="251020" customFormat="1" x14ac:dyDescent="0.25"/>
    <row r="251021" customFormat="1" x14ac:dyDescent="0.25"/>
    <row r="251022" customFormat="1" x14ac:dyDescent="0.25"/>
    <row r="251023" customFormat="1" x14ac:dyDescent="0.25"/>
    <row r="251024" customFormat="1" x14ac:dyDescent="0.25"/>
    <row r="251025" customFormat="1" x14ac:dyDescent="0.25"/>
    <row r="251026" customFormat="1" x14ac:dyDescent="0.25"/>
    <row r="251027" customFormat="1" x14ac:dyDescent="0.25"/>
    <row r="251028" customFormat="1" x14ac:dyDescent="0.25"/>
    <row r="251029" customFormat="1" x14ac:dyDescent="0.25"/>
    <row r="251030" customFormat="1" x14ac:dyDescent="0.25"/>
    <row r="251031" customFormat="1" x14ac:dyDescent="0.25"/>
    <row r="251032" customFormat="1" x14ac:dyDescent="0.25"/>
    <row r="251033" customFormat="1" x14ac:dyDescent="0.25"/>
    <row r="251034" customFormat="1" x14ac:dyDescent="0.25"/>
    <row r="251035" customFormat="1" x14ac:dyDescent="0.25"/>
    <row r="251036" customFormat="1" x14ac:dyDescent="0.25"/>
    <row r="251037" customFormat="1" x14ac:dyDescent="0.25"/>
    <row r="251038" customFormat="1" x14ac:dyDescent="0.25"/>
    <row r="251039" customFormat="1" x14ac:dyDescent="0.25"/>
    <row r="251040" customFormat="1" x14ac:dyDescent="0.25"/>
    <row r="251041" customFormat="1" x14ac:dyDescent="0.25"/>
    <row r="251042" customFormat="1" x14ac:dyDescent="0.25"/>
    <row r="251043" customFormat="1" x14ac:dyDescent="0.25"/>
    <row r="251044" customFormat="1" x14ac:dyDescent="0.25"/>
    <row r="251045" customFormat="1" x14ac:dyDescent="0.25"/>
    <row r="251046" customFormat="1" x14ac:dyDescent="0.25"/>
    <row r="251047" customFormat="1" x14ac:dyDescent="0.25"/>
    <row r="251048" customFormat="1" x14ac:dyDescent="0.25"/>
    <row r="251049" customFormat="1" x14ac:dyDescent="0.25"/>
    <row r="251050" customFormat="1" x14ac:dyDescent="0.25"/>
    <row r="251051" customFormat="1" x14ac:dyDescent="0.25"/>
    <row r="251052" customFormat="1" x14ac:dyDescent="0.25"/>
    <row r="251053" customFormat="1" x14ac:dyDescent="0.25"/>
    <row r="251054" customFormat="1" x14ac:dyDescent="0.25"/>
    <row r="251055" customFormat="1" x14ac:dyDescent="0.25"/>
    <row r="251056" customFormat="1" x14ac:dyDescent="0.25"/>
    <row r="251057" customFormat="1" x14ac:dyDescent="0.25"/>
    <row r="251058" customFormat="1" x14ac:dyDescent="0.25"/>
    <row r="251059" customFormat="1" x14ac:dyDescent="0.25"/>
    <row r="251060" customFormat="1" x14ac:dyDescent="0.25"/>
    <row r="251061" customFormat="1" x14ac:dyDescent="0.25"/>
    <row r="251062" customFormat="1" x14ac:dyDescent="0.25"/>
    <row r="251063" customFormat="1" x14ac:dyDescent="0.25"/>
    <row r="251064" customFormat="1" x14ac:dyDescent="0.25"/>
    <row r="251065" customFormat="1" x14ac:dyDescent="0.25"/>
    <row r="251066" customFormat="1" x14ac:dyDescent="0.25"/>
    <row r="251067" customFormat="1" x14ac:dyDescent="0.25"/>
    <row r="251068" customFormat="1" x14ac:dyDescent="0.25"/>
    <row r="251069" customFormat="1" x14ac:dyDescent="0.25"/>
    <row r="251070" customFormat="1" x14ac:dyDescent="0.25"/>
    <row r="251071" customFormat="1" x14ac:dyDescent="0.25"/>
    <row r="251072" customFormat="1" x14ac:dyDescent="0.25"/>
    <row r="251073" customFormat="1" x14ac:dyDescent="0.25"/>
    <row r="251074" customFormat="1" x14ac:dyDescent="0.25"/>
    <row r="251075" customFormat="1" x14ac:dyDescent="0.25"/>
    <row r="251076" customFormat="1" x14ac:dyDescent="0.25"/>
    <row r="251077" customFormat="1" x14ac:dyDescent="0.25"/>
    <row r="251078" customFormat="1" x14ac:dyDescent="0.25"/>
    <row r="251079" customFormat="1" x14ac:dyDescent="0.25"/>
    <row r="251080" customFormat="1" x14ac:dyDescent="0.25"/>
    <row r="251081" customFormat="1" x14ac:dyDescent="0.25"/>
    <row r="251082" customFormat="1" x14ac:dyDescent="0.25"/>
    <row r="251083" customFormat="1" x14ac:dyDescent="0.25"/>
    <row r="251084" customFormat="1" x14ac:dyDescent="0.25"/>
    <row r="251085" customFormat="1" x14ac:dyDescent="0.25"/>
    <row r="251086" customFormat="1" x14ac:dyDescent="0.25"/>
    <row r="251087" customFormat="1" x14ac:dyDescent="0.25"/>
    <row r="251088" customFormat="1" x14ac:dyDescent="0.25"/>
    <row r="251089" customFormat="1" x14ac:dyDescent="0.25"/>
    <row r="251090" customFormat="1" x14ac:dyDescent="0.25"/>
    <row r="251091" customFormat="1" x14ac:dyDescent="0.25"/>
    <row r="251092" customFormat="1" x14ac:dyDescent="0.25"/>
    <row r="251093" customFormat="1" x14ac:dyDescent="0.25"/>
    <row r="251094" customFormat="1" x14ac:dyDescent="0.25"/>
    <row r="251095" customFormat="1" x14ac:dyDescent="0.25"/>
    <row r="251096" customFormat="1" x14ac:dyDescent="0.25"/>
    <row r="251097" customFormat="1" x14ac:dyDescent="0.25"/>
    <row r="251098" customFormat="1" x14ac:dyDescent="0.25"/>
    <row r="251099" customFormat="1" x14ac:dyDescent="0.25"/>
    <row r="251100" customFormat="1" x14ac:dyDescent="0.25"/>
    <row r="251101" customFormat="1" x14ac:dyDescent="0.25"/>
    <row r="251102" customFormat="1" x14ac:dyDescent="0.25"/>
    <row r="251103" customFormat="1" x14ac:dyDescent="0.25"/>
    <row r="251104" customFormat="1" x14ac:dyDescent="0.25"/>
    <row r="251105" customFormat="1" x14ac:dyDescent="0.25"/>
    <row r="251106" customFormat="1" x14ac:dyDescent="0.25"/>
    <row r="251107" customFormat="1" x14ac:dyDescent="0.25"/>
    <row r="251108" customFormat="1" x14ac:dyDescent="0.25"/>
    <row r="251109" customFormat="1" x14ac:dyDescent="0.25"/>
    <row r="251110" customFormat="1" x14ac:dyDescent="0.25"/>
    <row r="251111" customFormat="1" x14ac:dyDescent="0.25"/>
    <row r="251112" customFormat="1" x14ac:dyDescent="0.25"/>
    <row r="251113" customFormat="1" x14ac:dyDescent="0.25"/>
    <row r="251114" customFormat="1" x14ac:dyDescent="0.25"/>
    <row r="251115" customFormat="1" x14ac:dyDescent="0.25"/>
    <row r="251116" customFormat="1" x14ac:dyDescent="0.25"/>
    <row r="251117" customFormat="1" x14ac:dyDescent="0.25"/>
    <row r="251118" customFormat="1" x14ac:dyDescent="0.25"/>
    <row r="251119" customFormat="1" x14ac:dyDescent="0.25"/>
    <row r="251120" customFormat="1" x14ac:dyDescent="0.25"/>
    <row r="251121" customFormat="1" x14ac:dyDescent="0.25"/>
    <row r="251122" customFormat="1" x14ac:dyDescent="0.25"/>
    <row r="251123" customFormat="1" x14ac:dyDescent="0.25"/>
    <row r="251124" customFormat="1" x14ac:dyDescent="0.25"/>
    <row r="251125" customFormat="1" x14ac:dyDescent="0.25"/>
    <row r="251126" customFormat="1" x14ac:dyDescent="0.25"/>
    <row r="251127" customFormat="1" x14ac:dyDescent="0.25"/>
    <row r="251128" customFormat="1" x14ac:dyDescent="0.25"/>
    <row r="251129" customFormat="1" x14ac:dyDescent="0.25"/>
    <row r="251130" customFormat="1" x14ac:dyDescent="0.25"/>
    <row r="251131" customFormat="1" x14ac:dyDescent="0.25"/>
    <row r="251132" customFormat="1" x14ac:dyDescent="0.25"/>
    <row r="251133" customFormat="1" x14ac:dyDescent="0.25"/>
    <row r="251134" customFormat="1" x14ac:dyDescent="0.25"/>
    <row r="251135" customFormat="1" x14ac:dyDescent="0.25"/>
    <row r="251136" customFormat="1" x14ac:dyDescent="0.25"/>
    <row r="251137" customFormat="1" x14ac:dyDescent="0.25"/>
    <row r="251138" customFormat="1" x14ac:dyDescent="0.25"/>
    <row r="251139" customFormat="1" x14ac:dyDescent="0.25"/>
    <row r="251140" customFormat="1" x14ac:dyDescent="0.25"/>
    <row r="251141" customFormat="1" x14ac:dyDescent="0.25"/>
    <row r="251142" customFormat="1" x14ac:dyDescent="0.25"/>
    <row r="251143" customFormat="1" x14ac:dyDescent="0.25"/>
    <row r="251144" customFormat="1" x14ac:dyDescent="0.25"/>
    <row r="251145" customFormat="1" x14ac:dyDescent="0.25"/>
    <row r="251146" customFormat="1" x14ac:dyDescent="0.25"/>
    <row r="251147" customFormat="1" x14ac:dyDescent="0.25"/>
    <row r="251148" customFormat="1" x14ac:dyDescent="0.25"/>
    <row r="251149" customFormat="1" x14ac:dyDescent="0.25"/>
    <row r="251150" customFormat="1" x14ac:dyDescent="0.25"/>
    <row r="251151" customFormat="1" x14ac:dyDescent="0.25"/>
    <row r="251152" customFormat="1" x14ac:dyDescent="0.25"/>
    <row r="251153" customFormat="1" x14ac:dyDescent="0.25"/>
    <row r="251154" customFormat="1" x14ac:dyDescent="0.25"/>
    <row r="251155" customFormat="1" x14ac:dyDescent="0.25"/>
    <row r="251156" customFormat="1" x14ac:dyDescent="0.25"/>
    <row r="251157" customFormat="1" x14ac:dyDescent="0.25"/>
    <row r="251158" customFormat="1" x14ac:dyDescent="0.25"/>
    <row r="251159" customFormat="1" x14ac:dyDescent="0.25"/>
    <row r="251160" customFormat="1" x14ac:dyDescent="0.25"/>
    <row r="251161" customFormat="1" x14ac:dyDescent="0.25"/>
    <row r="251162" customFormat="1" x14ac:dyDescent="0.25"/>
    <row r="251163" customFormat="1" x14ac:dyDescent="0.25"/>
    <row r="251164" customFormat="1" x14ac:dyDescent="0.25"/>
    <row r="251165" customFormat="1" x14ac:dyDescent="0.25"/>
    <row r="251166" customFormat="1" x14ac:dyDescent="0.25"/>
    <row r="251167" customFormat="1" x14ac:dyDescent="0.25"/>
    <row r="251168" customFormat="1" x14ac:dyDescent="0.25"/>
    <row r="251169" customFormat="1" x14ac:dyDescent="0.25"/>
    <row r="251170" customFormat="1" x14ac:dyDescent="0.25"/>
    <row r="251171" customFormat="1" x14ac:dyDescent="0.25"/>
    <row r="251172" customFormat="1" x14ac:dyDescent="0.25"/>
    <row r="251173" customFormat="1" x14ac:dyDescent="0.25"/>
    <row r="251174" customFormat="1" x14ac:dyDescent="0.25"/>
    <row r="251175" customFormat="1" x14ac:dyDescent="0.25"/>
    <row r="251176" customFormat="1" x14ac:dyDescent="0.25"/>
    <row r="251177" customFormat="1" x14ac:dyDescent="0.25"/>
    <row r="251178" customFormat="1" x14ac:dyDescent="0.25"/>
    <row r="251179" customFormat="1" x14ac:dyDescent="0.25"/>
    <row r="251180" customFormat="1" x14ac:dyDescent="0.25"/>
    <row r="251181" customFormat="1" x14ac:dyDescent="0.25"/>
    <row r="251182" customFormat="1" x14ac:dyDescent="0.25"/>
    <row r="251183" customFormat="1" x14ac:dyDescent="0.25"/>
    <row r="251184" customFormat="1" x14ac:dyDescent="0.25"/>
    <row r="251185" customFormat="1" x14ac:dyDescent="0.25"/>
    <row r="251186" customFormat="1" x14ac:dyDescent="0.25"/>
    <row r="251187" customFormat="1" x14ac:dyDescent="0.25"/>
    <row r="251188" customFormat="1" x14ac:dyDescent="0.25"/>
    <row r="251189" customFormat="1" x14ac:dyDescent="0.25"/>
    <row r="251190" customFormat="1" x14ac:dyDescent="0.25"/>
    <row r="251191" customFormat="1" x14ac:dyDescent="0.25"/>
    <row r="251192" customFormat="1" x14ac:dyDescent="0.25"/>
    <row r="251193" customFormat="1" x14ac:dyDescent="0.25"/>
    <row r="251194" customFormat="1" x14ac:dyDescent="0.25"/>
    <row r="251195" customFormat="1" x14ac:dyDescent="0.25"/>
    <row r="251196" customFormat="1" x14ac:dyDescent="0.25"/>
    <row r="251197" customFormat="1" x14ac:dyDescent="0.25"/>
    <row r="251198" customFormat="1" x14ac:dyDescent="0.25"/>
    <row r="251199" customFormat="1" x14ac:dyDescent="0.25"/>
    <row r="251200" customFormat="1" x14ac:dyDescent="0.25"/>
    <row r="251201" customFormat="1" x14ac:dyDescent="0.25"/>
    <row r="251202" customFormat="1" x14ac:dyDescent="0.25"/>
    <row r="251203" customFormat="1" x14ac:dyDescent="0.25"/>
    <row r="251204" customFormat="1" x14ac:dyDescent="0.25"/>
    <row r="251205" customFormat="1" x14ac:dyDescent="0.25"/>
    <row r="251206" customFormat="1" x14ac:dyDescent="0.25"/>
    <row r="251207" customFormat="1" x14ac:dyDescent="0.25"/>
    <row r="251208" customFormat="1" x14ac:dyDescent="0.25"/>
    <row r="251209" customFormat="1" x14ac:dyDescent="0.25"/>
    <row r="251210" customFormat="1" x14ac:dyDescent="0.25"/>
    <row r="251211" customFormat="1" x14ac:dyDescent="0.25"/>
    <row r="251212" customFormat="1" x14ac:dyDescent="0.25"/>
    <row r="251213" customFormat="1" x14ac:dyDescent="0.25"/>
    <row r="251214" customFormat="1" x14ac:dyDescent="0.25"/>
    <row r="251215" customFormat="1" x14ac:dyDescent="0.25"/>
    <row r="251216" customFormat="1" x14ac:dyDescent="0.25"/>
    <row r="251217" customFormat="1" x14ac:dyDescent="0.25"/>
    <row r="251218" customFormat="1" x14ac:dyDescent="0.25"/>
    <row r="251219" customFormat="1" x14ac:dyDescent="0.25"/>
    <row r="251220" customFormat="1" x14ac:dyDescent="0.25"/>
    <row r="251221" customFormat="1" x14ac:dyDescent="0.25"/>
    <row r="251222" customFormat="1" x14ac:dyDescent="0.25"/>
    <row r="251223" customFormat="1" x14ac:dyDescent="0.25"/>
    <row r="251224" customFormat="1" x14ac:dyDescent="0.25"/>
    <row r="251225" customFormat="1" x14ac:dyDescent="0.25"/>
    <row r="251226" customFormat="1" x14ac:dyDescent="0.25"/>
    <row r="251227" customFormat="1" x14ac:dyDescent="0.25"/>
    <row r="251228" customFormat="1" x14ac:dyDescent="0.25"/>
    <row r="251229" customFormat="1" x14ac:dyDescent="0.25"/>
    <row r="251230" customFormat="1" x14ac:dyDescent="0.25"/>
    <row r="251231" customFormat="1" x14ac:dyDescent="0.25"/>
    <row r="251232" customFormat="1" x14ac:dyDescent="0.25"/>
    <row r="251233" customFormat="1" x14ac:dyDescent="0.25"/>
    <row r="251234" customFormat="1" x14ac:dyDescent="0.25"/>
    <row r="251235" customFormat="1" x14ac:dyDescent="0.25"/>
    <row r="251236" customFormat="1" x14ac:dyDescent="0.25"/>
    <row r="251237" customFormat="1" x14ac:dyDescent="0.25"/>
    <row r="251238" customFormat="1" x14ac:dyDescent="0.25"/>
    <row r="251239" customFormat="1" x14ac:dyDescent="0.25"/>
    <row r="251240" customFormat="1" x14ac:dyDescent="0.25"/>
    <row r="251241" customFormat="1" x14ac:dyDescent="0.25"/>
    <row r="251242" customFormat="1" x14ac:dyDescent="0.25"/>
    <row r="251243" customFormat="1" x14ac:dyDescent="0.25"/>
    <row r="251244" customFormat="1" x14ac:dyDescent="0.25"/>
    <row r="251245" customFormat="1" x14ac:dyDescent="0.25"/>
    <row r="251246" customFormat="1" x14ac:dyDescent="0.25"/>
    <row r="251247" customFormat="1" x14ac:dyDescent="0.25"/>
    <row r="251248" customFormat="1" x14ac:dyDescent="0.25"/>
    <row r="251249" customFormat="1" x14ac:dyDescent="0.25"/>
    <row r="251250" customFormat="1" x14ac:dyDescent="0.25"/>
    <row r="251251" customFormat="1" x14ac:dyDescent="0.25"/>
    <row r="251252" customFormat="1" x14ac:dyDescent="0.25"/>
    <row r="251253" customFormat="1" x14ac:dyDescent="0.25"/>
    <row r="251254" customFormat="1" x14ac:dyDescent="0.25"/>
    <row r="251255" customFormat="1" x14ac:dyDescent="0.25"/>
    <row r="251256" customFormat="1" x14ac:dyDescent="0.25"/>
    <row r="251257" customFormat="1" x14ac:dyDescent="0.25"/>
    <row r="251258" customFormat="1" x14ac:dyDescent="0.25"/>
    <row r="251259" customFormat="1" x14ac:dyDescent="0.25"/>
    <row r="251260" customFormat="1" x14ac:dyDescent="0.25"/>
    <row r="251261" customFormat="1" x14ac:dyDescent="0.25"/>
    <row r="251262" customFormat="1" x14ac:dyDescent="0.25"/>
    <row r="251263" customFormat="1" x14ac:dyDescent="0.25"/>
    <row r="251264" customFormat="1" x14ac:dyDescent="0.25"/>
    <row r="251265" customFormat="1" x14ac:dyDescent="0.25"/>
    <row r="251266" customFormat="1" x14ac:dyDescent="0.25"/>
    <row r="251267" customFormat="1" x14ac:dyDescent="0.25"/>
    <row r="251268" customFormat="1" x14ac:dyDescent="0.25"/>
    <row r="251269" customFormat="1" x14ac:dyDescent="0.25"/>
    <row r="251270" customFormat="1" x14ac:dyDescent="0.25"/>
    <row r="251271" customFormat="1" x14ac:dyDescent="0.25"/>
    <row r="251272" customFormat="1" x14ac:dyDescent="0.25"/>
    <row r="251273" customFormat="1" x14ac:dyDescent="0.25"/>
    <row r="251274" customFormat="1" x14ac:dyDescent="0.25"/>
    <row r="251275" customFormat="1" x14ac:dyDescent="0.25"/>
    <row r="251276" customFormat="1" x14ac:dyDescent="0.25"/>
    <row r="251277" customFormat="1" x14ac:dyDescent="0.25"/>
    <row r="251278" customFormat="1" x14ac:dyDescent="0.25"/>
    <row r="251279" customFormat="1" x14ac:dyDescent="0.25"/>
    <row r="251280" customFormat="1" x14ac:dyDescent="0.25"/>
    <row r="251281" customFormat="1" x14ac:dyDescent="0.25"/>
    <row r="251282" customFormat="1" x14ac:dyDescent="0.25"/>
    <row r="251283" customFormat="1" x14ac:dyDescent="0.25"/>
    <row r="251284" customFormat="1" x14ac:dyDescent="0.25"/>
    <row r="251285" customFormat="1" x14ac:dyDescent="0.25"/>
    <row r="251286" customFormat="1" x14ac:dyDescent="0.25"/>
    <row r="251287" customFormat="1" x14ac:dyDescent="0.25"/>
    <row r="251288" customFormat="1" x14ac:dyDescent="0.25"/>
    <row r="251289" customFormat="1" x14ac:dyDescent="0.25"/>
    <row r="251290" customFormat="1" x14ac:dyDescent="0.25"/>
    <row r="251291" customFormat="1" x14ac:dyDescent="0.25"/>
    <row r="251292" customFormat="1" x14ac:dyDescent="0.25"/>
    <row r="251293" customFormat="1" x14ac:dyDescent="0.25"/>
    <row r="251294" customFormat="1" x14ac:dyDescent="0.25"/>
    <row r="251295" customFormat="1" x14ac:dyDescent="0.25"/>
    <row r="251296" customFormat="1" x14ac:dyDescent="0.25"/>
    <row r="251297" customFormat="1" x14ac:dyDescent="0.25"/>
    <row r="251298" customFormat="1" x14ac:dyDescent="0.25"/>
    <row r="251299" customFormat="1" x14ac:dyDescent="0.25"/>
    <row r="251300" customFormat="1" x14ac:dyDescent="0.25"/>
    <row r="251301" customFormat="1" x14ac:dyDescent="0.25"/>
    <row r="251302" customFormat="1" x14ac:dyDescent="0.25"/>
    <row r="251303" customFormat="1" x14ac:dyDescent="0.25"/>
    <row r="251304" customFormat="1" x14ac:dyDescent="0.25"/>
    <row r="251305" customFormat="1" x14ac:dyDescent="0.25"/>
    <row r="251306" customFormat="1" x14ac:dyDescent="0.25"/>
    <row r="251307" customFormat="1" x14ac:dyDescent="0.25"/>
    <row r="251308" customFormat="1" x14ac:dyDescent="0.25"/>
    <row r="251309" customFormat="1" x14ac:dyDescent="0.25"/>
    <row r="251310" customFormat="1" x14ac:dyDescent="0.25"/>
    <row r="251311" customFormat="1" x14ac:dyDescent="0.25"/>
    <row r="251312" customFormat="1" x14ac:dyDescent="0.25"/>
    <row r="251313" customFormat="1" x14ac:dyDescent="0.25"/>
    <row r="251314" customFormat="1" x14ac:dyDescent="0.25"/>
    <row r="251315" customFormat="1" x14ac:dyDescent="0.25"/>
    <row r="251316" customFormat="1" x14ac:dyDescent="0.25"/>
    <row r="251317" customFormat="1" x14ac:dyDescent="0.25"/>
    <row r="251318" customFormat="1" x14ac:dyDescent="0.25"/>
    <row r="251319" customFormat="1" x14ac:dyDescent="0.25"/>
    <row r="251320" customFormat="1" x14ac:dyDescent="0.25"/>
    <row r="251321" customFormat="1" x14ac:dyDescent="0.25"/>
    <row r="251322" customFormat="1" x14ac:dyDescent="0.25"/>
    <row r="251323" customFormat="1" x14ac:dyDescent="0.25"/>
    <row r="251324" customFormat="1" x14ac:dyDescent="0.25"/>
    <row r="251325" customFormat="1" x14ac:dyDescent="0.25"/>
    <row r="251326" customFormat="1" x14ac:dyDescent="0.25"/>
    <row r="251327" customFormat="1" x14ac:dyDescent="0.25"/>
    <row r="251328" customFormat="1" x14ac:dyDescent="0.25"/>
    <row r="251329" customFormat="1" x14ac:dyDescent="0.25"/>
    <row r="251330" customFormat="1" x14ac:dyDescent="0.25"/>
    <row r="251331" customFormat="1" x14ac:dyDescent="0.25"/>
    <row r="251332" customFormat="1" x14ac:dyDescent="0.25"/>
    <row r="251333" customFormat="1" x14ac:dyDescent="0.25"/>
    <row r="251334" customFormat="1" x14ac:dyDescent="0.25"/>
    <row r="251335" customFormat="1" x14ac:dyDescent="0.25"/>
    <row r="251336" customFormat="1" x14ac:dyDescent="0.25"/>
    <row r="251337" customFormat="1" x14ac:dyDescent="0.25"/>
    <row r="251338" customFormat="1" x14ac:dyDescent="0.25"/>
    <row r="251339" customFormat="1" x14ac:dyDescent="0.25"/>
    <row r="251340" customFormat="1" x14ac:dyDescent="0.25"/>
    <row r="251341" customFormat="1" x14ac:dyDescent="0.25"/>
    <row r="251342" customFormat="1" x14ac:dyDescent="0.25"/>
    <row r="251343" customFormat="1" x14ac:dyDescent="0.25"/>
    <row r="251344" customFormat="1" x14ac:dyDescent="0.25"/>
    <row r="251345" customFormat="1" x14ac:dyDescent="0.25"/>
    <row r="251346" customFormat="1" x14ac:dyDescent="0.25"/>
    <row r="251347" customFormat="1" x14ac:dyDescent="0.25"/>
    <row r="251348" customFormat="1" x14ac:dyDescent="0.25"/>
    <row r="251349" customFormat="1" x14ac:dyDescent="0.25"/>
    <row r="251350" customFormat="1" x14ac:dyDescent="0.25"/>
    <row r="251351" customFormat="1" x14ac:dyDescent="0.25"/>
    <row r="251352" customFormat="1" x14ac:dyDescent="0.25"/>
    <row r="251353" customFormat="1" x14ac:dyDescent="0.25"/>
    <row r="251354" customFormat="1" x14ac:dyDescent="0.25"/>
    <row r="251355" customFormat="1" x14ac:dyDescent="0.25"/>
    <row r="251356" customFormat="1" x14ac:dyDescent="0.25"/>
    <row r="251357" customFormat="1" x14ac:dyDescent="0.25"/>
    <row r="251358" customFormat="1" x14ac:dyDescent="0.25"/>
    <row r="251359" customFormat="1" x14ac:dyDescent="0.25"/>
    <row r="251360" customFormat="1" x14ac:dyDescent="0.25"/>
    <row r="251361" customFormat="1" x14ac:dyDescent="0.25"/>
    <row r="251362" customFormat="1" x14ac:dyDescent="0.25"/>
    <row r="251363" customFormat="1" x14ac:dyDescent="0.25"/>
    <row r="251364" customFormat="1" x14ac:dyDescent="0.25"/>
    <row r="251365" customFormat="1" x14ac:dyDescent="0.25"/>
    <row r="251366" customFormat="1" x14ac:dyDescent="0.25"/>
    <row r="251367" customFormat="1" x14ac:dyDescent="0.25"/>
    <row r="251368" customFormat="1" x14ac:dyDescent="0.25"/>
    <row r="251369" customFormat="1" x14ac:dyDescent="0.25"/>
    <row r="251370" customFormat="1" x14ac:dyDescent="0.25"/>
    <row r="251371" customFormat="1" x14ac:dyDescent="0.25"/>
    <row r="251372" customFormat="1" x14ac:dyDescent="0.25"/>
    <row r="251373" customFormat="1" x14ac:dyDescent="0.25"/>
    <row r="251374" customFormat="1" x14ac:dyDescent="0.25"/>
    <row r="251375" customFormat="1" x14ac:dyDescent="0.25"/>
    <row r="251376" customFormat="1" x14ac:dyDescent="0.25"/>
    <row r="251377" customFormat="1" x14ac:dyDescent="0.25"/>
    <row r="251378" customFormat="1" x14ac:dyDescent="0.25"/>
    <row r="251379" customFormat="1" x14ac:dyDescent="0.25"/>
    <row r="251380" customFormat="1" x14ac:dyDescent="0.25"/>
    <row r="251381" customFormat="1" x14ac:dyDescent="0.25"/>
    <row r="251382" customFormat="1" x14ac:dyDescent="0.25"/>
    <row r="251383" customFormat="1" x14ac:dyDescent="0.25"/>
    <row r="251384" customFormat="1" x14ac:dyDescent="0.25"/>
    <row r="251385" customFormat="1" x14ac:dyDescent="0.25"/>
    <row r="251386" customFormat="1" x14ac:dyDescent="0.25"/>
    <row r="251387" customFormat="1" x14ac:dyDescent="0.25"/>
    <row r="251388" customFormat="1" x14ac:dyDescent="0.25"/>
    <row r="251389" customFormat="1" x14ac:dyDescent="0.25"/>
    <row r="251390" customFormat="1" x14ac:dyDescent="0.25"/>
    <row r="251391" customFormat="1" x14ac:dyDescent="0.25"/>
    <row r="251392" customFormat="1" x14ac:dyDescent="0.25"/>
    <row r="251393" customFormat="1" x14ac:dyDescent="0.25"/>
    <row r="251394" customFormat="1" x14ac:dyDescent="0.25"/>
    <row r="251395" customFormat="1" x14ac:dyDescent="0.25"/>
    <row r="251396" customFormat="1" x14ac:dyDescent="0.25"/>
    <row r="251397" customFormat="1" x14ac:dyDescent="0.25"/>
    <row r="251398" customFormat="1" x14ac:dyDescent="0.25"/>
    <row r="251399" customFormat="1" x14ac:dyDescent="0.25"/>
    <row r="251400" customFormat="1" x14ac:dyDescent="0.25"/>
    <row r="251401" customFormat="1" x14ac:dyDescent="0.25"/>
    <row r="251402" customFormat="1" x14ac:dyDescent="0.25"/>
    <row r="251403" customFormat="1" x14ac:dyDescent="0.25"/>
    <row r="251404" customFormat="1" x14ac:dyDescent="0.25"/>
    <row r="251405" customFormat="1" x14ac:dyDescent="0.25"/>
    <row r="251406" customFormat="1" x14ac:dyDescent="0.25"/>
    <row r="251407" customFormat="1" x14ac:dyDescent="0.25"/>
    <row r="251408" customFormat="1" x14ac:dyDescent="0.25"/>
    <row r="251409" customFormat="1" x14ac:dyDescent="0.25"/>
    <row r="251410" customFormat="1" x14ac:dyDescent="0.25"/>
    <row r="251411" customFormat="1" x14ac:dyDescent="0.25"/>
    <row r="251412" customFormat="1" x14ac:dyDescent="0.25"/>
    <row r="251413" customFormat="1" x14ac:dyDescent="0.25"/>
    <row r="251414" customFormat="1" x14ac:dyDescent="0.25"/>
    <row r="251415" customFormat="1" x14ac:dyDescent="0.25"/>
    <row r="251416" customFormat="1" x14ac:dyDescent="0.25"/>
    <row r="251417" customFormat="1" x14ac:dyDescent="0.25"/>
    <row r="251418" customFormat="1" x14ac:dyDescent="0.25"/>
    <row r="251419" customFormat="1" x14ac:dyDescent="0.25"/>
    <row r="251420" customFormat="1" x14ac:dyDescent="0.25"/>
    <row r="251421" customFormat="1" x14ac:dyDescent="0.25"/>
    <row r="251422" customFormat="1" x14ac:dyDescent="0.25"/>
    <row r="251423" customFormat="1" x14ac:dyDescent="0.25"/>
    <row r="251424" customFormat="1" x14ac:dyDescent="0.25"/>
    <row r="251425" customFormat="1" x14ac:dyDescent="0.25"/>
    <row r="251426" customFormat="1" x14ac:dyDescent="0.25"/>
    <row r="251427" customFormat="1" x14ac:dyDescent="0.25"/>
    <row r="251428" customFormat="1" x14ac:dyDescent="0.25"/>
    <row r="251429" customFormat="1" x14ac:dyDescent="0.25"/>
    <row r="251430" customFormat="1" x14ac:dyDescent="0.25"/>
    <row r="251431" customFormat="1" x14ac:dyDescent="0.25"/>
    <row r="251432" customFormat="1" x14ac:dyDescent="0.25"/>
    <row r="251433" customFormat="1" x14ac:dyDescent="0.25"/>
    <row r="251434" customFormat="1" x14ac:dyDescent="0.25"/>
    <row r="251435" customFormat="1" x14ac:dyDescent="0.25"/>
    <row r="251436" customFormat="1" x14ac:dyDescent="0.25"/>
    <row r="251437" customFormat="1" x14ac:dyDescent="0.25"/>
    <row r="251438" customFormat="1" x14ac:dyDescent="0.25"/>
    <row r="251439" customFormat="1" x14ac:dyDescent="0.25"/>
    <row r="251440" customFormat="1" x14ac:dyDescent="0.25"/>
    <row r="251441" customFormat="1" x14ac:dyDescent="0.25"/>
    <row r="251442" customFormat="1" x14ac:dyDescent="0.25"/>
    <row r="251443" customFormat="1" x14ac:dyDescent="0.25"/>
    <row r="251444" customFormat="1" x14ac:dyDescent="0.25"/>
    <row r="251445" customFormat="1" x14ac:dyDescent="0.25"/>
    <row r="251446" customFormat="1" x14ac:dyDescent="0.25"/>
    <row r="251447" customFormat="1" x14ac:dyDescent="0.25"/>
    <row r="251448" customFormat="1" x14ac:dyDescent="0.25"/>
    <row r="251449" customFormat="1" x14ac:dyDescent="0.25"/>
    <row r="251450" customFormat="1" x14ac:dyDescent="0.25"/>
    <row r="251451" customFormat="1" x14ac:dyDescent="0.25"/>
    <row r="251452" customFormat="1" x14ac:dyDescent="0.25"/>
    <row r="251453" customFormat="1" x14ac:dyDescent="0.25"/>
    <row r="251454" customFormat="1" x14ac:dyDescent="0.25"/>
    <row r="251455" customFormat="1" x14ac:dyDescent="0.25"/>
    <row r="251456" customFormat="1" x14ac:dyDescent="0.25"/>
    <row r="251457" customFormat="1" x14ac:dyDescent="0.25"/>
    <row r="251458" customFormat="1" x14ac:dyDescent="0.25"/>
    <row r="251459" customFormat="1" x14ac:dyDescent="0.25"/>
    <row r="251460" customFormat="1" x14ac:dyDescent="0.25"/>
    <row r="251461" customFormat="1" x14ac:dyDescent="0.25"/>
    <row r="251462" customFormat="1" x14ac:dyDescent="0.25"/>
    <row r="251463" customFormat="1" x14ac:dyDescent="0.25"/>
    <row r="251464" customFormat="1" x14ac:dyDescent="0.25"/>
    <row r="251465" customFormat="1" x14ac:dyDescent="0.25"/>
    <row r="251466" customFormat="1" x14ac:dyDescent="0.25"/>
    <row r="251467" customFormat="1" x14ac:dyDescent="0.25"/>
    <row r="251468" customFormat="1" x14ac:dyDescent="0.25"/>
    <row r="251469" customFormat="1" x14ac:dyDescent="0.25"/>
    <row r="251470" customFormat="1" x14ac:dyDescent="0.25"/>
    <row r="251471" customFormat="1" x14ac:dyDescent="0.25"/>
    <row r="251472" customFormat="1" x14ac:dyDescent="0.25"/>
    <row r="251473" customFormat="1" x14ac:dyDescent="0.25"/>
    <row r="251474" customFormat="1" x14ac:dyDescent="0.25"/>
    <row r="251475" customFormat="1" x14ac:dyDescent="0.25"/>
    <row r="251476" customFormat="1" x14ac:dyDescent="0.25"/>
    <row r="251477" customFormat="1" x14ac:dyDescent="0.25"/>
    <row r="251478" customFormat="1" x14ac:dyDescent="0.25"/>
    <row r="251479" customFormat="1" x14ac:dyDescent="0.25"/>
    <row r="251480" customFormat="1" x14ac:dyDescent="0.25"/>
    <row r="251481" customFormat="1" x14ac:dyDescent="0.25"/>
    <row r="251482" customFormat="1" x14ac:dyDescent="0.25"/>
    <row r="251483" customFormat="1" x14ac:dyDescent="0.25"/>
    <row r="251484" customFormat="1" x14ac:dyDescent="0.25"/>
    <row r="251485" customFormat="1" x14ac:dyDescent="0.25"/>
    <row r="251486" customFormat="1" x14ac:dyDescent="0.25"/>
    <row r="251487" customFormat="1" x14ac:dyDescent="0.25"/>
    <row r="251488" customFormat="1" x14ac:dyDescent="0.25"/>
    <row r="251489" customFormat="1" x14ac:dyDescent="0.25"/>
    <row r="251490" customFormat="1" x14ac:dyDescent="0.25"/>
    <row r="251491" customFormat="1" x14ac:dyDescent="0.25"/>
    <row r="251492" customFormat="1" x14ac:dyDescent="0.25"/>
    <row r="251493" customFormat="1" x14ac:dyDescent="0.25"/>
    <row r="251494" customFormat="1" x14ac:dyDescent="0.25"/>
    <row r="251495" customFormat="1" x14ac:dyDescent="0.25"/>
    <row r="251496" customFormat="1" x14ac:dyDescent="0.25"/>
    <row r="251497" customFormat="1" x14ac:dyDescent="0.25"/>
    <row r="251498" customFormat="1" x14ac:dyDescent="0.25"/>
    <row r="251499" customFormat="1" x14ac:dyDescent="0.25"/>
    <row r="251500" customFormat="1" x14ac:dyDescent="0.25"/>
    <row r="251501" customFormat="1" x14ac:dyDescent="0.25"/>
    <row r="251502" customFormat="1" x14ac:dyDescent="0.25"/>
    <row r="251503" customFormat="1" x14ac:dyDescent="0.25"/>
    <row r="251504" customFormat="1" x14ac:dyDescent="0.25"/>
    <row r="251505" customFormat="1" x14ac:dyDescent="0.25"/>
    <row r="251506" customFormat="1" x14ac:dyDescent="0.25"/>
    <row r="251507" customFormat="1" x14ac:dyDescent="0.25"/>
    <row r="251508" customFormat="1" x14ac:dyDescent="0.25"/>
    <row r="251509" customFormat="1" x14ac:dyDescent="0.25"/>
    <row r="251510" customFormat="1" x14ac:dyDescent="0.25"/>
    <row r="251511" customFormat="1" x14ac:dyDescent="0.25"/>
    <row r="251512" customFormat="1" x14ac:dyDescent="0.25"/>
    <row r="251513" customFormat="1" x14ac:dyDescent="0.25"/>
    <row r="251514" customFormat="1" x14ac:dyDescent="0.25"/>
    <row r="251515" customFormat="1" x14ac:dyDescent="0.25"/>
    <row r="251516" customFormat="1" x14ac:dyDescent="0.25"/>
    <row r="251517" customFormat="1" x14ac:dyDescent="0.25"/>
    <row r="251518" customFormat="1" x14ac:dyDescent="0.25"/>
    <row r="251519" customFormat="1" x14ac:dyDescent="0.25"/>
    <row r="251520" customFormat="1" x14ac:dyDescent="0.25"/>
    <row r="251521" customFormat="1" x14ac:dyDescent="0.25"/>
    <row r="251522" customFormat="1" x14ac:dyDescent="0.25"/>
    <row r="251523" customFormat="1" x14ac:dyDescent="0.25"/>
    <row r="251524" customFormat="1" x14ac:dyDescent="0.25"/>
    <row r="251525" customFormat="1" x14ac:dyDescent="0.25"/>
    <row r="251526" customFormat="1" x14ac:dyDescent="0.25"/>
    <row r="251527" customFormat="1" x14ac:dyDescent="0.25"/>
    <row r="251528" customFormat="1" x14ac:dyDescent="0.25"/>
    <row r="251529" customFormat="1" x14ac:dyDescent="0.25"/>
    <row r="251530" customFormat="1" x14ac:dyDescent="0.25"/>
    <row r="251531" customFormat="1" x14ac:dyDescent="0.25"/>
    <row r="251532" customFormat="1" x14ac:dyDescent="0.25"/>
    <row r="251533" customFormat="1" x14ac:dyDescent="0.25"/>
    <row r="251534" customFormat="1" x14ac:dyDescent="0.25"/>
    <row r="251535" customFormat="1" x14ac:dyDescent="0.25"/>
    <row r="251536" customFormat="1" x14ac:dyDescent="0.25"/>
    <row r="251537" customFormat="1" x14ac:dyDescent="0.25"/>
    <row r="251538" customFormat="1" x14ac:dyDescent="0.25"/>
    <row r="251539" customFormat="1" x14ac:dyDescent="0.25"/>
    <row r="251540" customFormat="1" x14ac:dyDescent="0.25"/>
    <row r="251541" customFormat="1" x14ac:dyDescent="0.25"/>
    <row r="251542" customFormat="1" x14ac:dyDescent="0.25"/>
    <row r="251543" customFormat="1" x14ac:dyDescent="0.25"/>
    <row r="251544" customFormat="1" x14ac:dyDescent="0.25"/>
    <row r="251545" customFormat="1" x14ac:dyDescent="0.25"/>
    <row r="251546" customFormat="1" x14ac:dyDescent="0.25"/>
    <row r="251547" customFormat="1" x14ac:dyDescent="0.25"/>
    <row r="251548" customFormat="1" x14ac:dyDescent="0.25"/>
    <row r="251549" customFormat="1" x14ac:dyDescent="0.25"/>
    <row r="251550" customFormat="1" x14ac:dyDescent="0.25"/>
    <row r="251551" customFormat="1" x14ac:dyDescent="0.25"/>
    <row r="251552" customFormat="1" x14ac:dyDescent="0.25"/>
    <row r="251553" customFormat="1" x14ac:dyDescent="0.25"/>
    <row r="251554" customFormat="1" x14ac:dyDescent="0.25"/>
    <row r="251555" customFormat="1" x14ac:dyDescent="0.25"/>
    <row r="251556" customFormat="1" x14ac:dyDescent="0.25"/>
    <row r="251557" customFormat="1" x14ac:dyDescent="0.25"/>
    <row r="251558" customFormat="1" x14ac:dyDescent="0.25"/>
    <row r="251559" customFormat="1" x14ac:dyDescent="0.25"/>
    <row r="251560" customFormat="1" x14ac:dyDescent="0.25"/>
    <row r="251561" customFormat="1" x14ac:dyDescent="0.25"/>
    <row r="251562" customFormat="1" x14ac:dyDescent="0.25"/>
    <row r="251563" customFormat="1" x14ac:dyDescent="0.25"/>
    <row r="251564" customFormat="1" x14ac:dyDescent="0.25"/>
    <row r="251565" customFormat="1" x14ac:dyDescent="0.25"/>
    <row r="251566" customFormat="1" x14ac:dyDescent="0.25"/>
    <row r="251567" customFormat="1" x14ac:dyDescent="0.25"/>
    <row r="251568" customFormat="1" x14ac:dyDescent="0.25"/>
    <row r="251569" customFormat="1" x14ac:dyDescent="0.25"/>
    <row r="251570" customFormat="1" x14ac:dyDescent="0.25"/>
    <row r="251571" customFormat="1" x14ac:dyDescent="0.25"/>
    <row r="251572" customFormat="1" x14ac:dyDescent="0.25"/>
    <row r="251573" customFormat="1" x14ac:dyDescent="0.25"/>
    <row r="251574" customFormat="1" x14ac:dyDescent="0.25"/>
    <row r="251575" customFormat="1" x14ac:dyDescent="0.25"/>
    <row r="251576" customFormat="1" x14ac:dyDescent="0.25"/>
    <row r="251577" customFormat="1" x14ac:dyDescent="0.25"/>
    <row r="251578" customFormat="1" x14ac:dyDescent="0.25"/>
    <row r="251579" customFormat="1" x14ac:dyDescent="0.25"/>
    <row r="251580" customFormat="1" x14ac:dyDescent="0.25"/>
    <row r="251581" customFormat="1" x14ac:dyDescent="0.25"/>
    <row r="251582" customFormat="1" x14ac:dyDescent="0.25"/>
    <row r="251583" customFormat="1" x14ac:dyDescent="0.25"/>
    <row r="251584" customFormat="1" x14ac:dyDescent="0.25"/>
    <row r="251585" customFormat="1" x14ac:dyDescent="0.25"/>
    <row r="251586" customFormat="1" x14ac:dyDescent="0.25"/>
    <row r="251587" customFormat="1" x14ac:dyDescent="0.25"/>
    <row r="251588" customFormat="1" x14ac:dyDescent="0.25"/>
    <row r="251589" customFormat="1" x14ac:dyDescent="0.25"/>
    <row r="251590" customFormat="1" x14ac:dyDescent="0.25"/>
    <row r="251591" customFormat="1" x14ac:dyDescent="0.25"/>
    <row r="251592" customFormat="1" x14ac:dyDescent="0.25"/>
    <row r="251593" customFormat="1" x14ac:dyDescent="0.25"/>
    <row r="251594" customFormat="1" x14ac:dyDescent="0.25"/>
    <row r="251595" customFormat="1" x14ac:dyDescent="0.25"/>
    <row r="251596" customFormat="1" x14ac:dyDescent="0.25"/>
    <row r="251597" customFormat="1" x14ac:dyDescent="0.25"/>
    <row r="251598" customFormat="1" x14ac:dyDescent="0.25"/>
    <row r="251599" customFormat="1" x14ac:dyDescent="0.25"/>
    <row r="251600" customFormat="1" x14ac:dyDescent="0.25"/>
    <row r="251601" customFormat="1" x14ac:dyDescent="0.25"/>
    <row r="251602" customFormat="1" x14ac:dyDescent="0.25"/>
    <row r="251603" customFormat="1" x14ac:dyDescent="0.25"/>
    <row r="251604" customFormat="1" x14ac:dyDescent="0.25"/>
    <row r="251605" customFormat="1" x14ac:dyDescent="0.25"/>
    <row r="251606" customFormat="1" x14ac:dyDescent="0.25"/>
    <row r="251607" customFormat="1" x14ac:dyDescent="0.25"/>
    <row r="251608" customFormat="1" x14ac:dyDescent="0.25"/>
    <row r="251609" customFormat="1" x14ac:dyDescent="0.25"/>
    <row r="251610" customFormat="1" x14ac:dyDescent="0.25"/>
    <row r="251611" customFormat="1" x14ac:dyDescent="0.25"/>
    <row r="251612" customFormat="1" x14ac:dyDescent="0.25"/>
    <row r="251613" customFormat="1" x14ac:dyDescent="0.25"/>
    <row r="251614" customFormat="1" x14ac:dyDescent="0.25"/>
    <row r="251615" customFormat="1" x14ac:dyDescent="0.25"/>
    <row r="251616" customFormat="1" x14ac:dyDescent="0.25"/>
    <row r="251617" customFormat="1" x14ac:dyDescent="0.25"/>
    <row r="251618" customFormat="1" x14ac:dyDescent="0.25"/>
    <row r="251619" customFormat="1" x14ac:dyDescent="0.25"/>
    <row r="251620" customFormat="1" x14ac:dyDescent="0.25"/>
    <row r="251621" customFormat="1" x14ac:dyDescent="0.25"/>
    <row r="251622" customFormat="1" x14ac:dyDescent="0.25"/>
    <row r="251623" customFormat="1" x14ac:dyDescent="0.25"/>
    <row r="251624" customFormat="1" x14ac:dyDescent="0.25"/>
    <row r="251625" customFormat="1" x14ac:dyDescent="0.25"/>
    <row r="251626" customFormat="1" x14ac:dyDescent="0.25"/>
    <row r="251627" customFormat="1" x14ac:dyDescent="0.25"/>
    <row r="251628" customFormat="1" x14ac:dyDescent="0.25"/>
    <row r="251629" customFormat="1" x14ac:dyDescent="0.25"/>
    <row r="251630" customFormat="1" x14ac:dyDescent="0.25"/>
    <row r="251631" customFormat="1" x14ac:dyDescent="0.25"/>
    <row r="251632" customFormat="1" x14ac:dyDescent="0.25"/>
    <row r="251633" customFormat="1" x14ac:dyDescent="0.25"/>
    <row r="251634" customFormat="1" x14ac:dyDescent="0.25"/>
    <row r="251635" customFormat="1" x14ac:dyDescent="0.25"/>
    <row r="251636" customFormat="1" x14ac:dyDescent="0.25"/>
    <row r="251637" customFormat="1" x14ac:dyDescent="0.25"/>
    <row r="251638" customFormat="1" x14ac:dyDescent="0.25"/>
    <row r="251639" customFormat="1" x14ac:dyDescent="0.25"/>
    <row r="251640" customFormat="1" x14ac:dyDescent="0.25"/>
    <row r="251641" customFormat="1" x14ac:dyDescent="0.25"/>
    <row r="251642" customFormat="1" x14ac:dyDescent="0.25"/>
    <row r="251643" customFormat="1" x14ac:dyDescent="0.25"/>
    <row r="251644" customFormat="1" x14ac:dyDescent="0.25"/>
    <row r="251645" customFormat="1" x14ac:dyDescent="0.25"/>
    <row r="251646" customFormat="1" x14ac:dyDescent="0.25"/>
    <row r="251647" customFormat="1" x14ac:dyDescent="0.25"/>
    <row r="251648" customFormat="1" x14ac:dyDescent="0.25"/>
    <row r="251649" customFormat="1" x14ac:dyDescent="0.25"/>
    <row r="251650" customFormat="1" x14ac:dyDescent="0.25"/>
    <row r="251651" customFormat="1" x14ac:dyDescent="0.25"/>
    <row r="251652" customFormat="1" x14ac:dyDescent="0.25"/>
    <row r="251653" customFormat="1" x14ac:dyDescent="0.25"/>
    <row r="251654" customFormat="1" x14ac:dyDescent="0.25"/>
    <row r="251655" customFormat="1" x14ac:dyDescent="0.25"/>
    <row r="251656" customFormat="1" x14ac:dyDescent="0.25"/>
    <row r="251657" customFormat="1" x14ac:dyDescent="0.25"/>
    <row r="251658" customFormat="1" x14ac:dyDescent="0.25"/>
    <row r="251659" customFormat="1" x14ac:dyDescent="0.25"/>
    <row r="251660" customFormat="1" x14ac:dyDescent="0.25"/>
    <row r="251661" customFormat="1" x14ac:dyDescent="0.25"/>
    <row r="251662" customFormat="1" x14ac:dyDescent="0.25"/>
    <row r="251663" customFormat="1" x14ac:dyDescent="0.25"/>
    <row r="251664" customFormat="1" x14ac:dyDescent="0.25"/>
    <row r="251665" customFormat="1" x14ac:dyDescent="0.25"/>
    <row r="251666" customFormat="1" x14ac:dyDescent="0.25"/>
    <row r="251667" customFormat="1" x14ac:dyDescent="0.25"/>
    <row r="251668" customFormat="1" x14ac:dyDescent="0.25"/>
    <row r="251669" customFormat="1" x14ac:dyDescent="0.25"/>
    <row r="251670" customFormat="1" x14ac:dyDescent="0.25"/>
    <row r="251671" customFormat="1" x14ac:dyDescent="0.25"/>
    <row r="251672" customFormat="1" x14ac:dyDescent="0.25"/>
    <row r="251673" customFormat="1" x14ac:dyDescent="0.25"/>
    <row r="251674" customFormat="1" x14ac:dyDescent="0.25"/>
    <row r="251675" customFormat="1" x14ac:dyDescent="0.25"/>
    <row r="251676" customFormat="1" x14ac:dyDescent="0.25"/>
    <row r="251677" customFormat="1" x14ac:dyDescent="0.25"/>
    <row r="251678" customFormat="1" x14ac:dyDescent="0.25"/>
    <row r="251679" customFormat="1" x14ac:dyDescent="0.25"/>
    <row r="251680" customFormat="1" x14ac:dyDescent="0.25"/>
    <row r="251681" customFormat="1" x14ac:dyDescent="0.25"/>
    <row r="251682" customFormat="1" x14ac:dyDescent="0.25"/>
    <row r="251683" customFormat="1" x14ac:dyDescent="0.25"/>
    <row r="251684" customFormat="1" x14ac:dyDescent="0.25"/>
    <row r="251685" customFormat="1" x14ac:dyDescent="0.25"/>
    <row r="251686" customFormat="1" x14ac:dyDescent="0.25"/>
    <row r="251687" customFormat="1" x14ac:dyDescent="0.25"/>
    <row r="251688" customFormat="1" x14ac:dyDescent="0.25"/>
    <row r="251689" customFormat="1" x14ac:dyDescent="0.25"/>
    <row r="251690" customFormat="1" x14ac:dyDescent="0.25"/>
    <row r="251691" customFormat="1" x14ac:dyDescent="0.25"/>
    <row r="251692" customFormat="1" x14ac:dyDescent="0.25"/>
    <row r="251693" customFormat="1" x14ac:dyDescent="0.25"/>
    <row r="251694" customFormat="1" x14ac:dyDescent="0.25"/>
    <row r="251695" customFormat="1" x14ac:dyDescent="0.25"/>
    <row r="251696" customFormat="1" x14ac:dyDescent="0.25"/>
    <row r="251697" customFormat="1" x14ac:dyDescent="0.25"/>
    <row r="251698" customFormat="1" x14ac:dyDescent="0.25"/>
    <row r="251699" customFormat="1" x14ac:dyDescent="0.25"/>
    <row r="251700" customFormat="1" x14ac:dyDescent="0.25"/>
    <row r="251701" customFormat="1" x14ac:dyDescent="0.25"/>
    <row r="251702" customFormat="1" x14ac:dyDescent="0.25"/>
    <row r="251703" customFormat="1" x14ac:dyDescent="0.25"/>
    <row r="251704" customFormat="1" x14ac:dyDescent="0.25"/>
    <row r="251705" customFormat="1" x14ac:dyDescent="0.25"/>
    <row r="251706" customFormat="1" x14ac:dyDescent="0.25"/>
    <row r="251707" customFormat="1" x14ac:dyDescent="0.25"/>
    <row r="251708" customFormat="1" x14ac:dyDescent="0.25"/>
    <row r="251709" customFormat="1" x14ac:dyDescent="0.25"/>
    <row r="251710" customFormat="1" x14ac:dyDescent="0.25"/>
    <row r="251711" customFormat="1" x14ac:dyDescent="0.25"/>
    <row r="251712" customFormat="1" x14ac:dyDescent="0.25"/>
    <row r="251713" customFormat="1" x14ac:dyDescent="0.25"/>
    <row r="251714" customFormat="1" x14ac:dyDescent="0.25"/>
    <row r="251715" customFormat="1" x14ac:dyDescent="0.25"/>
    <row r="251716" customFormat="1" x14ac:dyDescent="0.25"/>
    <row r="251717" customFormat="1" x14ac:dyDescent="0.25"/>
    <row r="251718" customFormat="1" x14ac:dyDescent="0.25"/>
    <row r="251719" customFormat="1" x14ac:dyDescent="0.25"/>
    <row r="251720" customFormat="1" x14ac:dyDescent="0.25"/>
    <row r="251721" customFormat="1" x14ac:dyDescent="0.25"/>
    <row r="251722" customFormat="1" x14ac:dyDescent="0.25"/>
    <row r="251723" customFormat="1" x14ac:dyDescent="0.25"/>
    <row r="251724" customFormat="1" x14ac:dyDescent="0.25"/>
    <row r="251725" customFormat="1" x14ac:dyDescent="0.25"/>
    <row r="251726" customFormat="1" x14ac:dyDescent="0.25"/>
    <row r="251727" customFormat="1" x14ac:dyDescent="0.25"/>
    <row r="251728" customFormat="1" x14ac:dyDescent="0.25"/>
    <row r="251729" customFormat="1" x14ac:dyDescent="0.25"/>
    <row r="251730" customFormat="1" x14ac:dyDescent="0.25"/>
    <row r="251731" customFormat="1" x14ac:dyDescent="0.25"/>
    <row r="251732" customFormat="1" x14ac:dyDescent="0.25"/>
    <row r="251733" customFormat="1" x14ac:dyDescent="0.25"/>
    <row r="251734" customFormat="1" x14ac:dyDescent="0.25"/>
    <row r="251735" customFormat="1" x14ac:dyDescent="0.25"/>
    <row r="251736" customFormat="1" x14ac:dyDescent="0.25"/>
    <row r="251737" customFormat="1" x14ac:dyDescent="0.25"/>
    <row r="251738" customFormat="1" x14ac:dyDescent="0.25"/>
    <row r="251739" customFormat="1" x14ac:dyDescent="0.25"/>
    <row r="251740" customFormat="1" x14ac:dyDescent="0.25"/>
    <row r="251741" customFormat="1" x14ac:dyDescent="0.25"/>
    <row r="251742" customFormat="1" x14ac:dyDescent="0.25"/>
    <row r="251743" customFormat="1" x14ac:dyDescent="0.25"/>
    <row r="251744" customFormat="1" x14ac:dyDescent="0.25"/>
    <row r="251745" customFormat="1" x14ac:dyDescent="0.25"/>
    <row r="251746" customFormat="1" x14ac:dyDescent="0.25"/>
    <row r="251747" customFormat="1" x14ac:dyDescent="0.25"/>
    <row r="251748" customFormat="1" x14ac:dyDescent="0.25"/>
    <row r="251749" customFormat="1" x14ac:dyDescent="0.25"/>
    <row r="251750" customFormat="1" x14ac:dyDescent="0.25"/>
    <row r="251751" customFormat="1" x14ac:dyDescent="0.25"/>
    <row r="251752" customFormat="1" x14ac:dyDescent="0.25"/>
    <row r="251753" customFormat="1" x14ac:dyDescent="0.25"/>
    <row r="251754" customFormat="1" x14ac:dyDescent="0.25"/>
    <row r="251755" customFormat="1" x14ac:dyDescent="0.25"/>
    <row r="251756" customFormat="1" x14ac:dyDescent="0.25"/>
    <row r="251757" customFormat="1" x14ac:dyDescent="0.25"/>
    <row r="251758" customFormat="1" x14ac:dyDescent="0.25"/>
    <row r="251759" customFormat="1" x14ac:dyDescent="0.25"/>
    <row r="251760" customFormat="1" x14ac:dyDescent="0.25"/>
    <row r="251761" customFormat="1" x14ac:dyDescent="0.25"/>
    <row r="251762" customFormat="1" x14ac:dyDescent="0.25"/>
    <row r="251763" customFormat="1" x14ac:dyDescent="0.25"/>
    <row r="251764" customFormat="1" x14ac:dyDescent="0.25"/>
    <row r="251765" customFormat="1" x14ac:dyDescent="0.25"/>
    <row r="251766" customFormat="1" x14ac:dyDescent="0.25"/>
    <row r="251767" customFormat="1" x14ac:dyDescent="0.25"/>
    <row r="251768" customFormat="1" x14ac:dyDescent="0.25"/>
    <row r="251769" customFormat="1" x14ac:dyDescent="0.25"/>
    <row r="251770" customFormat="1" x14ac:dyDescent="0.25"/>
    <row r="251771" customFormat="1" x14ac:dyDescent="0.25"/>
    <row r="251772" customFormat="1" x14ac:dyDescent="0.25"/>
    <row r="251773" customFormat="1" x14ac:dyDescent="0.25"/>
    <row r="251774" customFormat="1" x14ac:dyDescent="0.25"/>
    <row r="251775" customFormat="1" x14ac:dyDescent="0.25"/>
    <row r="251776" customFormat="1" x14ac:dyDescent="0.25"/>
    <row r="251777" customFormat="1" x14ac:dyDescent="0.25"/>
    <row r="251778" customFormat="1" x14ac:dyDescent="0.25"/>
    <row r="251779" customFormat="1" x14ac:dyDescent="0.25"/>
    <row r="251780" customFormat="1" x14ac:dyDescent="0.25"/>
    <row r="251781" customFormat="1" x14ac:dyDescent="0.25"/>
    <row r="251782" customFormat="1" x14ac:dyDescent="0.25"/>
    <row r="251783" customFormat="1" x14ac:dyDescent="0.25"/>
    <row r="251784" customFormat="1" x14ac:dyDescent="0.25"/>
    <row r="251785" customFormat="1" x14ac:dyDescent="0.25"/>
    <row r="251786" customFormat="1" x14ac:dyDescent="0.25"/>
    <row r="251787" customFormat="1" x14ac:dyDescent="0.25"/>
    <row r="251788" customFormat="1" x14ac:dyDescent="0.25"/>
    <row r="251789" customFormat="1" x14ac:dyDescent="0.25"/>
    <row r="251790" customFormat="1" x14ac:dyDescent="0.25"/>
    <row r="251791" customFormat="1" x14ac:dyDescent="0.25"/>
    <row r="251792" customFormat="1" x14ac:dyDescent="0.25"/>
    <row r="251793" customFormat="1" x14ac:dyDescent="0.25"/>
    <row r="251794" customFormat="1" x14ac:dyDescent="0.25"/>
    <row r="251795" customFormat="1" x14ac:dyDescent="0.25"/>
    <row r="251796" customFormat="1" x14ac:dyDescent="0.25"/>
    <row r="251797" customFormat="1" x14ac:dyDescent="0.25"/>
    <row r="251798" customFormat="1" x14ac:dyDescent="0.25"/>
    <row r="251799" customFormat="1" x14ac:dyDescent="0.25"/>
    <row r="251800" customFormat="1" x14ac:dyDescent="0.25"/>
    <row r="251801" customFormat="1" x14ac:dyDescent="0.25"/>
    <row r="251802" customFormat="1" x14ac:dyDescent="0.25"/>
    <row r="251803" customFormat="1" x14ac:dyDescent="0.25"/>
    <row r="251804" customFormat="1" x14ac:dyDescent="0.25"/>
    <row r="251805" customFormat="1" x14ac:dyDescent="0.25"/>
    <row r="251806" customFormat="1" x14ac:dyDescent="0.25"/>
    <row r="251807" customFormat="1" x14ac:dyDescent="0.25"/>
    <row r="251808" customFormat="1" x14ac:dyDescent="0.25"/>
    <row r="251809" customFormat="1" x14ac:dyDescent="0.25"/>
    <row r="251810" customFormat="1" x14ac:dyDescent="0.25"/>
    <row r="251811" customFormat="1" x14ac:dyDescent="0.25"/>
    <row r="251812" customFormat="1" x14ac:dyDescent="0.25"/>
    <row r="251813" customFormat="1" x14ac:dyDescent="0.25"/>
    <row r="251814" customFormat="1" x14ac:dyDescent="0.25"/>
    <row r="251815" customFormat="1" x14ac:dyDescent="0.25"/>
    <row r="251816" customFormat="1" x14ac:dyDescent="0.25"/>
    <row r="251817" customFormat="1" x14ac:dyDescent="0.25"/>
    <row r="251818" customFormat="1" x14ac:dyDescent="0.25"/>
    <row r="251819" customFormat="1" x14ac:dyDescent="0.25"/>
    <row r="251820" customFormat="1" x14ac:dyDescent="0.25"/>
    <row r="251821" customFormat="1" x14ac:dyDescent="0.25"/>
    <row r="251822" customFormat="1" x14ac:dyDescent="0.25"/>
    <row r="251823" customFormat="1" x14ac:dyDescent="0.25"/>
    <row r="251824" customFormat="1" x14ac:dyDescent="0.25"/>
    <row r="251825" customFormat="1" x14ac:dyDescent="0.25"/>
    <row r="251826" customFormat="1" x14ac:dyDescent="0.25"/>
    <row r="251827" customFormat="1" x14ac:dyDescent="0.25"/>
    <row r="251828" customFormat="1" x14ac:dyDescent="0.25"/>
    <row r="251829" customFormat="1" x14ac:dyDescent="0.25"/>
    <row r="251830" customFormat="1" x14ac:dyDescent="0.25"/>
    <row r="251831" customFormat="1" x14ac:dyDescent="0.25"/>
    <row r="251832" customFormat="1" x14ac:dyDescent="0.25"/>
    <row r="251833" customFormat="1" x14ac:dyDescent="0.25"/>
    <row r="251834" customFormat="1" x14ac:dyDescent="0.25"/>
    <row r="251835" customFormat="1" x14ac:dyDescent="0.25"/>
    <row r="251836" customFormat="1" x14ac:dyDescent="0.25"/>
    <row r="251837" customFormat="1" x14ac:dyDescent="0.25"/>
    <row r="251838" customFormat="1" x14ac:dyDescent="0.25"/>
    <row r="251839" customFormat="1" x14ac:dyDescent="0.25"/>
    <row r="251840" customFormat="1" x14ac:dyDescent="0.25"/>
    <row r="251841" customFormat="1" x14ac:dyDescent="0.25"/>
    <row r="251842" customFormat="1" x14ac:dyDescent="0.25"/>
    <row r="251843" customFormat="1" x14ac:dyDescent="0.25"/>
    <row r="251844" customFormat="1" x14ac:dyDescent="0.25"/>
    <row r="251845" customFormat="1" x14ac:dyDescent="0.25"/>
    <row r="251846" customFormat="1" x14ac:dyDescent="0.25"/>
    <row r="251847" customFormat="1" x14ac:dyDescent="0.25"/>
    <row r="251848" customFormat="1" x14ac:dyDescent="0.25"/>
    <row r="251849" customFormat="1" x14ac:dyDescent="0.25"/>
    <row r="251850" customFormat="1" x14ac:dyDescent="0.25"/>
    <row r="251851" customFormat="1" x14ac:dyDescent="0.25"/>
    <row r="251852" customFormat="1" x14ac:dyDescent="0.25"/>
    <row r="251853" customFormat="1" x14ac:dyDescent="0.25"/>
    <row r="251854" customFormat="1" x14ac:dyDescent="0.25"/>
    <row r="251855" customFormat="1" x14ac:dyDescent="0.25"/>
    <row r="251856" customFormat="1" x14ac:dyDescent="0.25"/>
    <row r="251857" customFormat="1" x14ac:dyDescent="0.25"/>
    <row r="251858" customFormat="1" x14ac:dyDescent="0.25"/>
    <row r="251859" customFormat="1" x14ac:dyDescent="0.25"/>
    <row r="251860" customFormat="1" x14ac:dyDescent="0.25"/>
    <row r="251861" customFormat="1" x14ac:dyDescent="0.25"/>
    <row r="251862" customFormat="1" x14ac:dyDescent="0.25"/>
    <row r="251863" customFormat="1" x14ac:dyDescent="0.25"/>
    <row r="251864" customFormat="1" x14ac:dyDescent="0.25"/>
    <row r="251865" customFormat="1" x14ac:dyDescent="0.25"/>
    <row r="251866" customFormat="1" x14ac:dyDescent="0.25"/>
    <row r="251867" customFormat="1" x14ac:dyDescent="0.25"/>
    <row r="251868" customFormat="1" x14ac:dyDescent="0.25"/>
    <row r="251869" customFormat="1" x14ac:dyDescent="0.25"/>
    <row r="251870" customFormat="1" x14ac:dyDescent="0.25"/>
    <row r="251871" customFormat="1" x14ac:dyDescent="0.25"/>
    <row r="251872" customFormat="1" x14ac:dyDescent="0.25"/>
    <row r="251873" customFormat="1" x14ac:dyDescent="0.25"/>
    <row r="251874" customFormat="1" x14ac:dyDescent="0.25"/>
    <row r="251875" customFormat="1" x14ac:dyDescent="0.25"/>
    <row r="251876" customFormat="1" x14ac:dyDescent="0.25"/>
    <row r="251877" customFormat="1" x14ac:dyDescent="0.25"/>
    <row r="251878" customFormat="1" x14ac:dyDescent="0.25"/>
    <row r="251879" customFormat="1" x14ac:dyDescent="0.25"/>
    <row r="251880" customFormat="1" x14ac:dyDescent="0.25"/>
    <row r="251881" customFormat="1" x14ac:dyDescent="0.25"/>
    <row r="251882" customFormat="1" x14ac:dyDescent="0.25"/>
    <row r="251883" customFormat="1" x14ac:dyDescent="0.25"/>
    <row r="251884" customFormat="1" x14ac:dyDescent="0.25"/>
    <row r="251885" customFormat="1" x14ac:dyDescent="0.25"/>
    <row r="251886" customFormat="1" x14ac:dyDescent="0.25"/>
    <row r="251887" customFormat="1" x14ac:dyDescent="0.25"/>
    <row r="251888" customFormat="1" x14ac:dyDescent="0.25"/>
    <row r="251889" customFormat="1" x14ac:dyDescent="0.25"/>
    <row r="251890" customFormat="1" x14ac:dyDescent="0.25"/>
    <row r="251891" customFormat="1" x14ac:dyDescent="0.25"/>
    <row r="251892" customFormat="1" x14ac:dyDescent="0.25"/>
    <row r="251893" customFormat="1" x14ac:dyDescent="0.25"/>
    <row r="251894" customFormat="1" x14ac:dyDescent="0.25"/>
    <row r="251895" customFormat="1" x14ac:dyDescent="0.25"/>
    <row r="251896" customFormat="1" x14ac:dyDescent="0.25"/>
    <row r="251897" customFormat="1" x14ac:dyDescent="0.25"/>
    <row r="251898" customFormat="1" x14ac:dyDescent="0.25"/>
    <row r="251899" customFormat="1" x14ac:dyDescent="0.25"/>
    <row r="251900" customFormat="1" x14ac:dyDescent="0.25"/>
    <row r="251901" customFormat="1" x14ac:dyDescent="0.25"/>
    <row r="251902" customFormat="1" x14ac:dyDescent="0.25"/>
    <row r="251903" customFormat="1" x14ac:dyDescent="0.25"/>
    <row r="251904" customFormat="1" x14ac:dyDescent="0.25"/>
    <row r="251905" customFormat="1" x14ac:dyDescent="0.25"/>
    <row r="251906" customFormat="1" x14ac:dyDescent="0.25"/>
    <row r="251907" customFormat="1" x14ac:dyDescent="0.25"/>
    <row r="251908" customFormat="1" x14ac:dyDescent="0.25"/>
    <row r="251909" customFormat="1" x14ac:dyDescent="0.25"/>
    <row r="251910" customFormat="1" x14ac:dyDescent="0.25"/>
    <row r="251911" customFormat="1" x14ac:dyDescent="0.25"/>
    <row r="251912" customFormat="1" x14ac:dyDescent="0.25"/>
    <row r="251913" customFormat="1" x14ac:dyDescent="0.25"/>
    <row r="251914" customFormat="1" x14ac:dyDescent="0.25"/>
    <row r="251915" customFormat="1" x14ac:dyDescent="0.25"/>
    <row r="251916" customFormat="1" x14ac:dyDescent="0.25"/>
    <row r="251917" customFormat="1" x14ac:dyDescent="0.25"/>
    <row r="251918" customFormat="1" x14ac:dyDescent="0.25"/>
    <row r="251919" customFormat="1" x14ac:dyDescent="0.25"/>
    <row r="251920" customFormat="1" x14ac:dyDescent="0.25"/>
    <row r="251921" customFormat="1" x14ac:dyDescent="0.25"/>
    <row r="251922" customFormat="1" x14ac:dyDescent="0.25"/>
    <row r="251923" customFormat="1" x14ac:dyDescent="0.25"/>
    <row r="251924" customFormat="1" x14ac:dyDescent="0.25"/>
    <row r="251925" customFormat="1" x14ac:dyDescent="0.25"/>
    <row r="251926" customFormat="1" x14ac:dyDescent="0.25"/>
    <row r="251927" customFormat="1" x14ac:dyDescent="0.25"/>
    <row r="251928" customFormat="1" x14ac:dyDescent="0.25"/>
    <row r="251929" customFormat="1" x14ac:dyDescent="0.25"/>
    <row r="251930" customFormat="1" x14ac:dyDescent="0.25"/>
    <row r="251931" customFormat="1" x14ac:dyDescent="0.25"/>
    <row r="251932" customFormat="1" x14ac:dyDescent="0.25"/>
    <row r="251933" customFormat="1" x14ac:dyDescent="0.25"/>
    <row r="251934" customFormat="1" x14ac:dyDescent="0.25"/>
    <row r="251935" customFormat="1" x14ac:dyDescent="0.25"/>
    <row r="251936" customFormat="1" x14ac:dyDescent="0.25"/>
    <row r="251937" customFormat="1" x14ac:dyDescent="0.25"/>
    <row r="251938" customFormat="1" x14ac:dyDescent="0.25"/>
    <row r="251939" customFormat="1" x14ac:dyDescent="0.25"/>
    <row r="251940" customFormat="1" x14ac:dyDescent="0.25"/>
    <row r="251941" customFormat="1" x14ac:dyDescent="0.25"/>
    <row r="251942" customFormat="1" x14ac:dyDescent="0.25"/>
    <row r="251943" customFormat="1" x14ac:dyDescent="0.25"/>
    <row r="251944" customFormat="1" x14ac:dyDescent="0.25"/>
    <row r="251945" customFormat="1" x14ac:dyDescent="0.25"/>
    <row r="251946" customFormat="1" x14ac:dyDescent="0.25"/>
    <row r="251947" customFormat="1" x14ac:dyDescent="0.25"/>
    <row r="251948" customFormat="1" x14ac:dyDescent="0.25"/>
    <row r="251949" customFormat="1" x14ac:dyDescent="0.25"/>
    <row r="251950" customFormat="1" x14ac:dyDescent="0.25"/>
    <row r="251951" customFormat="1" x14ac:dyDescent="0.25"/>
    <row r="251952" customFormat="1" x14ac:dyDescent="0.25"/>
    <row r="251953" customFormat="1" x14ac:dyDescent="0.25"/>
    <row r="251954" customFormat="1" x14ac:dyDescent="0.25"/>
    <row r="251955" customFormat="1" x14ac:dyDescent="0.25"/>
    <row r="251956" customFormat="1" x14ac:dyDescent="0.25"/>
    <row r="251957" customFormat="1" x14ac:dyDescent="0.25"/>
    <row r="251958" customFormat="1" x14ac:dyDescent="0.25"/>
    <row r="251959" customFormat="1" x14ac:dyDescent="0.25"/>
    <row r="251960" customFormat="1" x14ac:dyDescent="0.25"/>
    <row r="251961" customFormat="1" x14ac:dyDescent="0.25"/>
    <row r="251962" customFormat="1" x14ac:dyDescent="0.25"/>
    <row r="251963" customFormat="1" x14ac:dyDescent="0.25"/>
    <row r="251964" customFormat="1" x14ac:dyDescent="0.25"/>
    <row r="251965" customFormat="1" x14ac:dyDescent="0.25"/>
    <row r="251966" customFormat="1" x14ac:dyDescent="0.25"/>
    <row r="251967" customFormat="1" x14ac:dyDescent="0.25"/>
    <row r="251968" customFormat="1" x14ac:dyDescent="0.25"/>
    <row r="251969" customFormat="1" x14ac:dyDescent="0.25"/>
    <row r="251970" customFormat="1" x14ac:dyDescent="0.25"/>
    <row r="251971" customFormat="1" x14ac:dyDescent="0.25"/>
    <row r="251972" customFormat="1" x14ac:dyDescent="0.25"/>
    <row r="251973" customFormat="1" x14ac:dyDescent="0.25"/>
    <row r="251974" customFormat="1" x14ac:dyDescent="0.25"/>
    <row r="251975" customFormat="1" x14ac:dyDescent="0.25"/>
    <row r="251976" customFormat="1" x14ac:dyDescent="0.25"/>
    <row r="251977" customFormat="1" x14ac:dyDescent="0.25"/>
    <row r="251978" customFormat="1" x14ac:dyDescent="0.25"/>
    <row r="251979" customFormat="1" x14ac:dyDescent="0.25"/>
    <row r="251980" customFormat="1" x14ac:dyDescent="0.25"/>
    <row r="251981" customFormat="1" x14ac:dyDescent="0.25"/>
    <row r="251982" customFormat="1" x14ac:dyDescent="0.25"/>
    <row r="251983" customFormat="1" x14ac:dyDescent="0.25"/>
    <row r="251984" customFormat="1" x14ac:dyDescent="0.25"/>
    <row r="251985" customFormat="1" x14ac:dyDescent="0.25"/>
    <row r="251986" customFormat="1" x14ac:dyDescent="0.25"/>
    <row r="251987" customFormat="1" x14ac:dyDescent="0.25"/>
    <row r="251988" customFormat="1" x14ac:dyDescent="0.25"/>
    <row r="251989" customFormat="1" x14ac:dyDescent="0.25"/>
    <row r="251990" customFormat="1" x14ac:dyDescent="0.25"/>
    <row r="251991" customFormat="1" x14ac:dyDescent="0.25"/>
    <row r="251992" customFormat="1" x14ac:dyDescent="0.25"/>
    <row r="251993" customFormat="1" x14ac:dyDescent="0.25"/>
    <row r="251994" customFormat="1" x14ac:dyDescent="0.25"/>
    <row r="251995" customFormat="1" x14ac:dyDescent="0.25"/>
    <row r="251996" customFormat="1" x14ac:dyDescent="0.25"/>
    <row r="251997" customFormat="1" x14ac:dyDescent="0.25"/>
    <row r="251998" customFormat="1" x14ac:dyDescent="0.25"/>
    <row r="251999" customFormat="1" x14ac:dyDescent="0.25"/>
    <row r="252000" customFormat="1" x14ac:dyDescent="0.25"/>
    <row r="252001" customFormat="1" x14ac:dyDescent="0.25"/>
    <row r="252002" customFormat="1" x14ac:dyDescent="0.25"/>
    <row r="252003" customFormat="1" x14ac:dyDescent="0.25"/>
    <row r="252004" customFormat="1" x14ac:dyDescent="0.25"/>
    <row r="252005" customFormat="1" x14ac:dyDescent="0.25"/>
    <row r="252006" customFormat="1" x14ac:dyDescent="0.25"/>
    <row r="252007" customFormat="1" x14ac:dyDescent="0.25"/>
    <row r="252008" customFormat="1" x14ac:dyDescent="0.25"/>
    <row r="252009" customFormat="1" x14ac:dyDescent="0.25"/>
    <row r="252010" customFormat="1" x14ac:dyDescent="0.25"/>
    <row r="252011" customFormat="1" x14ac:dyDescent="0.25"/>
    <row r="252012" customFormat="1" x14ac:dyDescent="0.25"/>
    <row r="252013" customFormat="1" x14ac:dyDescent="0.25"/>
    <row r="252014" customFormat="1" x14ac:dyDescent="0.25"/>
    <row r="252015" customFormat="1" x14ac:dyDescent="0.25"/>
    <row r="252016" customFormat="1" x14ac:dyDescent="0.25"/>
    <row r="252017" customFormat="1" x14ac:dyDescent="0.25"/>
    <row r="252018" customFormat="1" x14ac:dyDescent="0.25"/>
    <row r="252019" customFormat="1" x14ac:dyDescent="0.25"/>
    <row r="252020" customFormat="1" x14ac:dyDescent="0.25"/>
    <row r="252021" customFormat="1" x14ac:dyDescent="0.25"/>
    <row r="252022" customFormat="1" x14ac:dyDescent="0.25"/>
    <row r="252023" customFormat="1" x14ac:dyDescent="0.25"/>
    <row r="252024" customFormat="1" x14ac:dyDescent="0.25"/>
    <row r="252025" customFormat="1" x14ac:dyDescent="0.25"/>
    <row r="252026" customFormat="1" x14ac:dyDescent="0.25"/>
    <row r="252027" customFormat="1" x14ac:dyDescent="0.25"/>
    <row r="252028" customFormat="1" x14ac:dyDescent="0.25"/>
    <row r="252029" customFormat="1" x14ac:dyDescent="0.25"/>
    <row r="252030" customFormat="1" x14ac:dyDescent="0.25"/>
    <row r="252031" customFormat="1" x14ac:dyDescent="0.25"/>
    <row r="252032" customFormat="1" x14ac:dyDescent="0.25"/>
    <row r="252033" customFormat="1" x14ac:dyDescent="0.25"/>
    <row r="252034" customFormat="1" x14ac:dyDescent="0.25"/>
    <row r="252035" customFormat="1" x14ac:dyDescent="0.25"/>
    <row r="252036" customFormat="1" x14ac:dyDescent="0.25"/>
    <row r="252037" customFormat="1" x14ac:dyDescent="0.25"/>
    <row r="252038" customFormat="1" x14ac:dyDescent="0.25"/>
    <row r="252039" customFormat="1" x14ac:dyDescent="0.25"/>
    <row r="252040" customFormat="1" x14ac:dyDescent="0.25"/>
    <row r="252041" customFormat="1" x14ac:dyDescent="0.25"/>
    <row r="252042" customFormat="1" x14ac:dyDescent="0.25"/>
    <row r="252043" customFormat="1" x14ac:dyDescent="0.25"/>
    <row r="252044" customFormat="1" x14ac:dyDescent="0.25"/>
    <row r="252045" customFormat="1" x14ac:dyDescent="0.25"/>
    <row r="252046" customFormat="1" x14ac:dyDescent="0.25"/>
    <row r="252047" customFormat="1" x14ac:dyDescent="0.25"/>
    <row r="252048" customFormat="1" x14ac:dyDescent="0.25"/>
    <row r="252049" customFormat="1" x14ac:dyDescent="0.25"/>
    <row r="252050" customFormat="1" x14ac:dyDescent="0.25"/>
    <row r="252051" customFormat="1" x14ac:dyDescent="0.25"/>
    <row r="252052" customFormat="1" x14ac:dyDescent="0.25"/>
    <row r="252053" customFormat="1" x14ac:dyDescent="0.25"/>
    <row r="252054" customFormat="1" x14ac:dyDescent="0.25"/>
    <row r="252055" customFormat="1" x14ac:dyDescent="0.25"/>
    <row r="252056" customFormat="1" x14ac:dyDescent="0.25"/>
    <row r="252057" customFormat="1" x14ac:dyDescent="0.25"/>
    <row r="252058" customFormat="1" x14ac:dyDescent="0.25"/>
    <row r="252059" customFormat="1" x14ac:dyDescent="0.25"/>
    <row r="252060" customFormat="1" x14ac:dyDescent="0.25"/>
    <row r="252061" customFormat="1" x14ac:dyDescent="0.25"/>
    <row r="252062" customFormat="1" x14ac:dyDescent="0.25"/>
    <row r="252063" customFormat="1" x14ac:dyDescent="0.25"/>
    <row r="252064" customFormat="1" x14ac:dyDescent="0.25"/>
    <row r="252065" customFormat="1" x14ac:dyDescent="0.25"/>
    <row r="252066" customFormat="1" x14ac:dyDescent="0.25"/>
    <row r="252067" customFormat="1" x14ac:dyDescent="0.25"/>
    <row r="252068" customFormat="1" x14ac:dyDescent="0.25"/>
    <row r="252069" customFormat="1" x14ac:dyDescent="0.25"/>
    <row r="252070" customFormat="1" x14ac:dyDescent="0.25"/>
    <row r="252071" customFormat="1" x14ac:dyDescent="0.25"/>
    <row r="252072" customFormat="1" x14ac:dyDescent="0.25"/>
    <row r="252073" customFormat="1" x14ac:dyDescent="0.25"/>
    <row r="252074" customFormat="1" x14ac:dyDescent="0.25"/>
    <row r="252075" customFormat="1" x14ac:dyDescent="0.25"/>
    <row r="252076" customFormat="1" x14ac:dyDescent="0.25"/>
    <row r="252077" customFormat="1" x14ac:dyDescent="0.25"/>
    <row r="252078" customFormat="1" x14ac:dyDescent="0.25"/>
    <row r="252079" customFormat="1" x14ac:dyDescent="0.25"/>
    <row r="252080" customFormat="1" x14ac:dyDescent="0.25"/>
    <row r="252081" customFormat="1" x14ac:dyDescent="0.25"/>
    <row r="252082" customFormat="1" x14ac:dyDescent="0.25"/>
    <row r="252083" customFormat="1" x14ac:dyDescent="0.25"/>
    <row r="252084" customFormat="1" x14ac:dyDescent="0.25"/>
    <row r="252085" customFormat="1" x14ac:dyDescent="0.25"/>
    <row r="252086" customFormat="1" x14ac:dyDescent="0.25"/>
    <row r="252087" customFormat="1" x14ac:dyDescent="0.25"/>
    <row r="252088" customFormat="1" x14ac:dyDescent="0.25"/>
    <row r="252089" customFormat="1" x14ac:dyDescent="0.25"/>
    <row r="252090" customFormat="1" x14ac:dyDescent="0.25"/>
    <row r="252091" customFormat="1" x14ac:dyDescent="0.25"/>
    <row r="252092" customFormat="1" x14ac:dyDescent="0.25"/>
    <row r="252093" customFormat="1" x14ac:dyDescent="0.25"/>
    <row r="252094" customFormat="1" x14ac:dyDescent="0.25"/>
    <row r="252095" customFormat="1" x14ac:dyDescent="0.25"/>
    <row r="252096" customFormat="1" x14ac:dyDescent="0.25"/>
    <row r="252097" customFormat="1" x14ac:dyDescent="0.25"/>
    <row r="252098" customFormat="1" x14ac:dyDescent="0.25"/>
    <row r="252099" customFormat="1" x14ac:dyDescent="0.25"/>
    <row r="252100" customFormat="1" x14ac:dyDescent="0.25"/>
    <row r="252101" customFormat="1" x14ac:dyDescent="0.25"/>
    <row r="252102" customFormat="1" x14ac:dyDescent="0.25"/>
    <row r="252103" customFormat="1" x14ac:dyDescent="0.25"/>
    <row r="252104" customFormat="1" x14ac:dyDescent="0.25"/>
    <row r="252105" customFormat="1" x14ac:dyDescent="0.25"/>
    <row r="252106" customFormat="1" x14ac:dyDescent="0.25"/>
    <row r="252107" customFormat="1" x14ac:dyDescent="0.25"/>
    <row r="252108" customFormat="1" x14ac:dyDescent="0.25"/>
    <row r="252109" customFormat="1" x14ac:dyDescent="0.25"/>
    <row r="252110" customFormat="1" x14ac:dyDescent="0.25"/>
    <row r="252111" customFormat="1" x14ac:dyDescent="0.25"/>
    <row r="252112" customFormat="1" x14ac:dyDescent="0.25"/>
    <row r="252113" customFormat="1" x14ac:dyDescent="0.25"/>
    <row r="252114" customFormat="1" x14ac:dyDescent="0.25"/>
    <row r="252115" customFormat="1" x14ac:dyDescent="0.25"/>
    <row r="252116" customFormat="1" x14ac:dyDescent="0.25"/>
    <row r="252117" customFormat="1" x14ac:dyDescent="0.25"/>
    <row r="252118" customFormat="1" x14ac:dyDescent="0.25"/>
    <row r="252119" customFormat="1" x14ac:dyDescent="0.25"/>
    <row r="252120" customFormat="1" x14ac:dyDescent="0.25"/>
    <row r="252121" customFormat="1" x14ac:dyDescent="0.25"/>
    <row r="252122" customFormat="1" x14ac:dyDescent="0.25"/>
    <row r="252123" customFormat="1" x14ac:dyDescent="0.25"/>
    <row r="252124" customFormat="1" x14ac:dyDescent="0.25"/>
    <row r="252125" customFormat="1" x14ac:dyDescent="0.25"/>
    <row r="252126" customFormat="1" x14ac:dyDescent="0.25"/>
    <row r="252127" customFormat="1" x14ac:dyDescent="0.25"/>
    <row r="252128" customFormat="1" x14ac:dyDescent="0.25"/>
    <row r="252129" customFormat="1" x14ac:dyDescent="0.25"/>
    <row r="252130" customFormat="1" x14ac:dyDescent="0.25"/>
    <row r="252131" customFormat="1" x14ac:dyDescent="0.25"/>
    <row r="252132" customFormat="1" x14ac:dyDescent="0.25"/>
    <row r="252133" customFormat="1" x14ac:dyDescent="0.25"/>
    <row r="252134" customFormat="1" x14ac:dyDescent="0.25"/>
    <row r="252135" customFormat="1" x14ac:dyDescent="0.25"/>
    <row r="252136" customFormat="1" x14ac:dyDescent="0.25"/>
    <row r="252137" customFormat="1" x14ac:dyDescent="0.25"/>
    <row r="252138" customFormat="1" x14ac:dyDescent="0.25"/>
    <row r="252139" customFormat="1" x14ac:dyDescent="0.25"/>
    <row r="252140" customFormat="1" x14ac:dyDescent="0.25"/>
    <row r="252141" customFormat="1" x14ac:dyDescent="0.25"/>
    <row r="252142" customFormat="1" x14ac:dyDescent="0.25"/>
    <row r="252143" customFormat="1" x14ac:dyDescent="0.25"/>
    <row r="252144" customFormat="1" x14ac:dyDescent="0.25"/>
    <row r="252145" customFormat="1" x14ac:dyDescent="0.25"/>
    <row r="252146" customFormat="1" x14ac:dyDescent="0.25"/>
    <row r="252147" customFormat="1" x14ac:dyDescent="0.25"/>
    <row r="252148" customFormat="1" x14ac:dyDescent="0.25"/>
    <row r="252149" customFormat="1" x14ac:dyDescent="0.25"/>
    <row r="252150" customFormat="1" x14ac:dyDescent="0.25"/>
    <row r="252151" customFormat="1" x14ac:dyDescent="0.25"/>
    <row r="252152" customFormat="1" x14ac:dyDescent="0.25"/>
    <row r="252153" customFormat="1" x14ac:dyDescent="0.25"/>
    <row r="252154" customFormat="1" x14ac:dyDescent="0.25"/>
    <row r="252155" customFormat="1" x14ac:dyDescent="0.25"/>
    <row r="252156" customFormat="1" x14ac:dyDescent="0.25"/>
    <row r="252157" customFormat="1" x14ac:dyDescent="0.25"/>
    <row r="252158" customFormat="1" x14ac:dyDescent="0.25"/>
    <row r="252159" customFormat="1" x14ac:dyDescent="0.25"/>
    <row r="252160" customFormat="1" x14ac:dyDescent="0.25"/>
    <row r="252161" customFormat="1" x14ac:dyDescent="0.25"/>
    <row r="252162" customFormat="1" x14ac:dyDescent="0.25"/>
    <row r="252163" customFormat="1" x14ac:dyDescent="0.25"/>
    <row r="252164" customFormat="1" x14ac:dyDescent="0.25"/>
    <row r="252165" customFormat="1" x14ac:dyDescent="0.25"/>
    <row r="252166" customFormat="1" x14ac:dyDescent="0.25"/>
    <row r="252167" customFormat="1" x14ac:dyDescent="0.25"/>
    <row r="252168" customFormat="1" x14ac:dyDescent="0.25"/>
    <row r="252169" customFormat="1" x14ac:dyDescent="0.25"/>
    <row r="252170" customFormat="1" x14ac:dyDescent="0.25"/>
    <row r="252171" customFormat="1" x14ac:dyDescent="0.25"/>
    <row r="252172" customFormat="1" x14ac:dyDescent="0.25"/>
    <row r="252173" customFormat="1" x14ac:dyDescent="0.25"/>
    <row r="252174" customFormat="1" x14ac:dyDescent="0.25"/>
    <row r="252175" customFormat="1" x14ac:dyDescent="0.25"/>
    <row r="252176" customFormat="1" x14ac:dyDescent="0.25"/>
    <row r="252177" customFormat="1" x14ac:dyDescent="0.25"/>
    <row r="252178" customFormat="1" x14ac:dyDescent="0.25"/>
    <row r="252179" customFormat="1" x14ac:dyDescent="0.25"/>
    <row r="252180" customFormat="1" x14ac:dyDescent="0.25"/>
    <row r="252181" customFormat="1" x14ac:dyDescent="0.25"/>
    <row r="252182" customFormat="1" x14ac:dyDescent="0.25"/>
    <row r="252183" customFormat="1" x14ac:dyDescent="0.25"/>
    <row r="252184" customFormat="1" x14ac:dyDescent="0.25"/>
    <row r="252185" customFormat="1" x14ac:dyDescent="0.25"/>
    <row r="252186" customFormat="1" x14ac:dyDescent="0.25"/>
    <row r="252187" customFormat="1" x14ac:dyDescent="0.25"/>
    <row r="252188" customFormat="1" x14ac:dyDescent="0.25"/>
    <row r="252189" customFormat="1" x14ac:dyDescent="0.25"/>
    <row r="252190" customFormat="1" x14ac:dyDescent="0.25"/>
    <row r="252191" customFormat="1" x14ac:dyDescent="0.25"/>
    <row r="252192" customFormat="1" x14ac:dyDescent="0.25"/>
    <row r="252193" customFormat="1" x14ac:dyDescent="0.25"/>
    <row r="252194" customFormat="1" x14ac:dyDescent="0.25"/>
    <row r="252195" customFormat="1" x14ac:dyDescent="0.25"/>
    <row r="252196" customFormat="1" x14ac:dyDescent="0.25"/>
    <row r="252197" customFormat="1" x14ac:dyDescent="0.25"/>
    <row r="252198" customFormat="1" x14ac:dyDescent="0.25"/>
    <row r="252199" customFormat="1" x14ac:dyDescent="0.25"/>
    <row r="252200" customFormat="1" x14ac:dyDescent="0.25"/>
    <row r="252201" customFormat="1" x14ac:dyDescent="0.25"/>
    <row r="252202" customFormat="1" x14ac:dyDescent="0.25"/>
    <row r="252203" customFormat="1" x14ac:dyDescent="0.25"/>
    <row r="252204" customFormat="1" x14ac:dyDescent="0.25"/>
    <row r="252205" customFormat="1" x14ac:dyDescent="0.25"/>
    <row r="252206" customFormat="1" x14ac:dyDescent="0.25"/>
    <row r="252207" customFormat="1" x14ac:dyDescent="0.25"/>
    <row r="252208" customFormat="1" x14ac:dyDescent="0.25"/>
    <row r="252209" customFormat="1" x14ac:dyDescent="0.25"/>
    <row r="252210" customFormat="1" x14ac:dyDescent="0.25"/>
    <row r="252211" customFormat="1" x14ac:dyDescent="0.25"/>
    <row r="252212" customFormat="1" x14ac:dyDescent="0.25"/>
    <row r="252213" customFormat="1" x14ac:dyDescent="0.25"/>
    <row r="252214" customFormat="1" x14ac:dyDescent="0.25"/>
    <row r="252215" customFormat="1" x14ac:dyDescent="0.25"/>
    <row r="252216" customFormat="1" x14ac:dyDescent="0.25"/>
    <row r="252217" customFormat="1" x14ac:dyDescent="0.25"/>
    <row r="252218" customFormat="1" x14ac:dyDescent="0.25"/>
    <row r="252219" customFormat="1" x14ac:dyDescent="0.25"/>
    <row r="252220" customFormat="1" x14ac:dyDescent="0.25"/>
    <row r="252221" customFormat="1" x14ac:dyDescent="0.25"/>
    <row r="252222" customFormat="1" x14ac:dyDescent="0.25"/>
    <row r="252223" customFormat="1" x14ac:dyDescent="0.25"/>
    <row r="252224" customFormat="1" x14ac:dyDescent="0.25"/>
    <row r="252225" customFormat="1" x14ac:dyDescent="0.25"/>
    <row r="252226" customFormat="1" x14ac:dyDescent="0.25"/>
    <row r="252227" customFormat="1" x14ac:dyDescent="0.25"/>
    <row r="252228" customFormat="1" x14ac:dyDescent="0.25"/>
    <row r="252229" customFormat="1" x14ac:dyDescent="0.25"/>
    <row r="252230" customFormat="1" x14ac:dyDescent="0.25"/>
    <row r="252231" customFormat="1" x14ac:dyDescent="0.25"/>
    <row r="252232" customFormat="1" x14ac:dyDescent="0.25"/>
    <row r="252233" customFormat="1" x14ac:dyDescent="0.25"/>
    <row r="252234" customFormat="1" x14ac:dyDescent="0.25"/>
    <row r="252235" customFormat="1" x14ac:dyDescent="0.25"/>
    <row r="252236" customFormat="1" x14ac:dyDescent="0.25"/>
    <row r="252237" customFormat="1" x14ac:dyDescent="0.25"/>
    <row r="252238" customFormat="1" x14ac:dyDescent="0.25"/>
    <row r="252239" customFormat="1" x14ac:dyDescent="0.25"/>
    <row r="252240" customFormat="1" x14ac:dyDescent="0.25"/>
    <row r="252241" customFormat="1" x14ac:dyDescent="0.25"/>
    <row r="252242" customFormat="1" x14ac:dyDescent="0.25"/>
    <row r="252243" customFormat="1" x14ac:dyDescent="0.25"/>
    <row r="252244" customFormat="1" x14ac:dyDescent="0.25"/>
    <row r="252245" customFormat="1" x14ac:dyDescent="0.25"/>
    <row r="252246" customFormat="1" x14ac:dyDescent="0.25"/>
    <row r="252247" customFormat="1" x14ac:dyDescent="0.25"/>
    <row r="252248" customFormat="1" x14ac:dyDescent="0.25"/>
    <row r="252249" customFormat="1" x14ac:dyDescent="0.25"/>
    <row r="252250" customFormat="1" x14ac:dyDescent="0.25"/>
    <row r="252251" customFormat="1" x14ac:dyDescent="0.25"/>
    <row r="252252" customFormat="1" x14ac:dyDescent="0.25"/>
    <row r="252253" customFormat="1" x14ac:dyDescent="0.25"/>
    <row r="252254" customFormat="1" x14ac:dyDescent="0.25"/>
    <row r="252255" customFormat="1" x14ac:dyDescent="0.25"/>
    <row r="252256" customFormat="1" x14ac:dyDescent="0.25"/>
    <row r="252257" customFormat="1" x14ac:dyDescent="0.25"/>
    <row r="252258" customFormat="1" x14ac:dyDescent="0.25"/>
    <row r="252259" customFormat="1" x14ac:dyDescent="0.25"/>
    <row r="252260" customFormat="1" x14ac:dyDescent="0.25"/>
    <row r="252261" customFormat="1" x14ac:dyDescent="0.25"/>
    <row r="252262" customFormat="1" x14ac:dyDescent="0.25"/>
    <row r="252263" customFormat="1" x14ac:dyDescent="0.25"/>
    <row r="252264" customFormat="1" x14ac:dyDescent="0.25"/>
    <row r="252265" customFormat="1" x14ac:dyDescent="0.25"/>
    <row r="252266" customFormat="1" x14ac:dyDescent="0.25"/>
    <row r="252267" customFormat="1" x14ac:dyDescent="0.25"/>
    <row r="252268" customFormat="1" x14ac:dyDescent="0.25"/>
    <row r="252269" customFormat="1" x14ac:dyDescent="0.25"/>
    <row r="252270" customFormat="1" x14ac:dyDescent="0.25"/>
    <row r="252271" customFormat="1" x14ac:dyDescent="0.25"/>
    <row r="252272" customFormat="1" x14ac:dyDescent="0.25"/>
    <row r="252273" customFormat="1" x14ac:dyDescent="0.25"/>
    <row r="252274" customFormat="1" x14ac:dyDescent="0.25"/>
    <row r="252275" customFormat="1" x14ac:dyDescent="0.25"/>
    <row r="252276" customFormat="1" x14ac:dyDescent="0.25"/>
    <row r="252277" customFormat="1" x14ac:dyDescent="0.25"/>
    <row r="252278" customFormat="1" x14ac:dyDescent="0.25"/>
    <row r="252279" customFormat="1" x14ac:dyDescent="0.25"/>
    <row r="252280" customFormat="1" x14ac:dyDescent="0.25"/>
    <row r="252281" customFormat="1" x14ac:dyDescent="0.25"/>
    <row r="252282" customFormat="1" x14ac:dyDescent="0.25"/>
    <row r="252283" customFormat="1" x14ac:dyDescent="0.25"/>
    <row r="252284" customFormat="1" x14ac:dyDescent="0.25"/>
    <row r="252285" customFormat="1" x14ac:dyDescent="0.25"/>
    <row r="252286" customFormat="1" x14ac:dyDescent="0.25"/>
    <row r="252287" customFormat="1" x14ac:dyDescent="0.25"/>
    <row r="252288" customFormat="1" x14ac:dyDescent="0.25"/>
    <row r="252289" customFormat="1" x14ac:dyDescent="0.25"/>
    <row r="252290" customFormat="1" x14ac:dyDescent="0.25"/>
    <row r="252291" customFormat="1" x14ac:dyDescent="0.25"/>
    <row r="252292" customFormat="1" x14ac:dyDescent="0.25"/>
    <row r="252293" customFormat="1" x14ac:dyDescent="0.25"/>
    <row r="252294" customFormat="1" x14ac:dyDescent="0.25"/>
    <row r="252295" customFormat="1" x14ac:dyDescent="0.25"/>
    <row r="252296" customFormat="1" x14ac:dyDescent="0.25"/>
    <row r="252297" customFormat="1" x14ac:dyDescent="0.25"/>
    <row r="252298" customFormat="1" x14ac:dyDescent="0.25"/>
    <row r="252299" customFormat="1" x14ac:dyDescent="0.25"/>
    <row r="252300" customFormat="1" x14ac:dyDescent="0.25"/>
    <row r="252301" customFormat="1" x14ac:dyDescent="0.25"/>
    <row r="252302" customFormat="1" x14ac:dyDescent="0.25"/>
    <row r="252303" customFormat="1" x14ac:dyDescent="0.25"/>
    <row r="252304" customFormat="1" x14ac:dyDescent="0.25"/>
    <row r="252305" customFormat="1" x14ac:dyDescent="0.25"/>
    <row r="252306" customFormat="1" x14ac:dyDescent="0.25"/>
    <row r="252307" customFormat="1" x14ac:dyDescent="0.25"/>
    <row r="252308" customFormat="1" x14ac:dyDescent="0.25"/>
    <row r="252309" customFormat="1" x14ac:dyDescent="0.25"/>
    <row r="252310" customFormat="1" x14ac:dyDescent="0.25"/>
    <row r="252311" customFormat="1" x14ac:dyDescent="0.25"/>
    <row r="252312" customFormat="1" x14ac:dyDescent="0.25"/>
    <row r="252313" customFormat="1" x14ac:dyDescent="0.25"/>
    <row r="252314" customFormat="1" x14ac:dyDescent="0.25"/>
    <row r="252315" customFormat="1" x14ac:dyDescent="0.25"/>
    <row r="252316" customFormat="1" x14ac:dyDescent="0.25"/>
    <row r="252317" customFormat="1" x14ac:dyDescent="0.25"/>
    <row r="252318" customFormat="1" x14ac:dyDescent="0.25"/>
    <row r="252319" customFormat="1" x14ac:dyDescent="0.25"/>
    <row r="252320" customFormat="1" x14ac:dyDescent="0.25"/>
    <row r="252321" customFormat="1" x14ac:dyDescent="0.25"/>
    <row r="252322" customFormat="1" x14ac:dyDescent="0.25"/>
    <row r="252323" customFormat="1" x14ac:dyDescent="0.25"/>
    <row r="252324" customFormat="1" x14ac:dyDescent="0.25"/>
    <row r="252325" customFormat="1" x14ac:dyDescent="0.25"/>
    <row r="252326" customFormat="1" x14ac:dyDescent="0.25"/>
    <row r="252327" customFormat="1" x14ac:dyDescent="0.25"/>
    <row r="252328" customFormat="1" x14ac:dyDescent="0.25"/>
    <row r="252329" customFormat="1" x14ac:dyDescent="0.25"/>
    <row r="252330" customFormat="1" x14ac:dyDescent="0.25"/>
    <row r="252331" customFormat="1" x14ac:dyDescent="0.25"/>
    <row r="252332" customFormat="1" x14ac:dyDescent="0.25"/>
    <row r="252333" customFormat="1" x14ac:dyDescent="0.25"/>
    <row r="252334" customFormat="1" x14ac:dyDescent="0.25"/>
    <row r="252335" customFormat="1" x14ac:dyDescent="0.25"/>
    <row r="252336" customFormat="1" x14ac:dyDescent="0.25"/>
    <row r="252337" customFormat="1" x14ac:dyDescent="0.25"/>
    <row r="252338" customFormat="1" x14ac:dyDescent="0.25"/>
    <row r="252339" customFormat="1" x14ac:dyDescent="0.25"/>
    <row r="252340" customFormat="1" x14ac:dyDescent="0.25"/>
    <row r="252341" customFormat="1" x14ac:dyDescent="0.25"/>
    <row r="252342" customFormat="1" x14ac:dyDescent="0.25"/>
    <row r="252343" customFormat="1" x14ac:dyDescent="0.25"/>
    <row r="252344" customFormat="1" x14ac:dyDescent="0.25"/>
    <row r="252345" customFormat="1" x14ac:dyDescent="0.25"/>
    <row r="252346" customFormat="1" x14ac:dyDescent="0.25"/>
    <row r="252347" customFormat="1" x14ac:dyDescent="0.25"/>
    <row r="252348" customFormat="1" x14ac:dyDescent="0.25"/>
    <row r="252349" customFormat="1" x14ac:dyDescent="0.25"/>
    <row r="252350" customFormat="1" x14ac:dyDescent="0.25"/>
    <row r="252351" customFormat="1" x14ac:dyDescent="0.25"/>
    <row r="252352" customFormat="1" x14ac:dyDescent="0.25"/>
    <row r="252353" customFormat="1" x14ac:dyDescent="0.25"/>
    <row r="252354" customFormat="1" x14ac:dyDescent="0.25"/>
    <row r="252355" customFormat="1" x14ac:dyDescent="0.25"/>
    <row r="252356" customFormat="1" x14ac:dyDescent="0.25"/>
    <row r="252357" customFormat="1" x14ac:dyDescent="0.25"/>
    <row r="252358" customFormat="1" x14ac:dyDescent="0.25"/>
    <row r="252359" customFormat="1" x14ac:dyDescent="0.25"/>
    <row r="252360" customFormat="1" x14ac:dyDescent="0.25"/>
    <row r="252361" customFormat="1" x14ac:dyDescent="0.25"/>
    <row r="252362" customFormat="1" x14ac:dyDescent="0.25"/>
    <row r="252363" customFormat="1" x14ac:dyDescent="0.25"/>
    <row r="252364" customFormat="1" x14ac:dyDescent="0.25"/>
    <row r="252365" customFormat="1" x14ac:dyDescent="0.25"/>
    <row r="252366" customFormat="1" x14ac:dyDescent="0.25"/>
    <row r="252367" customFormat="1" x14ac:dyDescent="0.25"/>
    <row r="252368" customFormat="1" x14ac:dyDescent="0.25"/>
    <row r="252369" customFormat="1" x14ac:dyDescent="0.25"/>
    <row r="252370" customFormat="1" x14ac:dyDescent="0.25"/>
    <row r="252371" customFormat="1" x14ac:dyDescent="0.25"/>
    <row r="252372" customFormat="1" x14ac:dyDescent="0.25"/>
    <row r="252373" customFormat="1" x14ac:dyDescent="0.25"/>
    <row r="252374" customFormat="1" x14ac:dyDescent="0.25"/>
    <row r="252375" customFormat="1" x14ac:dyDescent="0.25"/>
    <row r="252376" customFormat="1" x14ac:dyDescent="0.25"/>
    <row r="252377" customFormat="1" x14ac:dyDescent="0.25"/>
    <row r="252378" customFormat="1" x14ac:dyDescent="0.25"/>
    <row r="252379" customFormat="1" x14ac:dyDescent="0.25"/>
    <row r="252380" customFormat="1" x14ac:dyDescent="0.25"/>
    <row r="252381" customFormat="1" x14ac:dyDescent="0.25"/>
    <row r="252382" customFormat="1" x14ac:dyDescent="0.25"/>
    <row r="252383" customFormat="1" x14ac:dyDescent="0.25"/>
    <row r="252384" customFormat="1" x14ac:dyDescent="0.25"/>
    <row r="252385" customFormat="1" x14ac:dyDescent="0.25"/>
    <row r="252386" customFormat="1" x14ac:dyDescent="0.25"/>
    <row r="252387" customFormat="1" x14ac:dyDescent="0.25"/>
    <row r="252388" customFormat="1" x14ac:dyDescent="0.25"/>
    <row r="252389" customFormat="1" x14ac:dyDescent="0.25"/>
    <row r="252390" customFormat="1" x14ac:dyDescent="0.25"/>
    <row r="252391" customFormat="1" x14ac:dyDescent="0.25"/>
    <row r="252392" customFormat="1" x14ac:dyDescent="0.25"/>
    <row r="252393" customFormat="1" x14ac:dyDescent="0.25"/>
    <row r="252394" customFormat="1" x14ac:dyDescent="0.25"/>
    <row r="252395" customFormat="1" x14ac:dyDescent="0.25"/>
    <row r="252396" customFormat="1" x14ac:dyDescent="0.25"/>
    <row r="252397" customFormat="1" x14ac:dyDescent="0.25"/>
    <row r="252398" customFormat="1" x14ac:dyDescent="0.25"/>
    <row r="252399" customFormat="1" x14ac:dyDescent="0.25"/>
    <row r="252400" customFormat="1" x14ac:dyDescent="0.25"/>
    <row r="252401" customFormat="1" x14ac:dyDescent="0.25"/>
    <row r="252402" customFormat="1" x14ac:dyDescent="0.25"/>
    <row r="252403" customFormat="1" x14ac:dyDescent="0.25"/>
    <row r="252404" customFormat="1" x14ac:dyDescent="0.25"/>
    <row r="252405" customFormat="1" x14ac:dyDescent="0.25"/>
    <row r="252406" customFormat="1" x14ac:dyDescent="0.25"/>
    <row r="252407" customFormat="1" x14ac:dyDescent="0.25"/>
    <row r="252408" customFormat="1" x14ac:dyDescent="0.25"/>
    <row r="252409" customFormat="1" x14ac:dyDescent="0.25"/>
    <row r="252410" customFormat="1" x14ac:dyDescent="0.25"/>
    <row r="252411" customFormat="1" x14ac:dyDescent="0.25"/>
    <row r="252412" customFormat="1" x14ac:dyDescent="0.25"/>
    <row r="252413" customFormat="1" x14ac:dyDescent="0.25"/>
    <row r="252414" customFormat="1" x14ac:dyDescent="0.25"/>
    <row r="252415" customFormat="1" x14ac:dyDescent="0.25"/>
    <row r="252416" customFormat="1" x14ac:dyDescent="0.25"/>
    <row r="252417" customFormat="1" x14ac:dyDescent="0.25"/>
    <row r="252418" customFormat="1" x14ac:dyDescent="0.25"/>
    <row r="252419" customFormat="1" x14ac:dyDescent="0.25"/>
    <row r="252420" customFormat="1" x14ac:dyDescent="0.25"/>
    <row r="252421" customFormat="1" x14ac:dyDescent="0.25"/>
    <row r="252422" customFormat="1" x14ac:dyDescent="0.25"/>
    <row r="252423" customFormat="1" x14ac:dyDescent="0.25"/>
    <row r="252424" customFormat="1" x14ac:dyDescent="0.25"/>
    <row r="252425" customFormat="1" x14ac:dyDescent="0.25"/>
    <row r="252426" customFormat="1" x14ac:dyDescent="0.25"/>
    <row r="252427" customFormat="1" x14ac:dyDescent="0.25"/>
    <row r="252428" customFormat="1" x14ac:dyDescent="0.25"/>
    <row r="252429" customFormat="1" x14ac:dyDescent="0.25"/>
    <row r="252430" customFormat="1" x14ac:dyDescent="0.25"/>
    <row r="252431" customFormat="1" x14ac:dyDescent="0.25"/>
    <row r="252432" customFormat="1" x14ac:dyDescent="0.25"/>
    <row r="252433" customFormat="1" x14ac:dyDescent="0.25"/>
    <row r="252434" customFormat="1" x14ac:dyDescent="0.25"/>
    <row r="252435" customFormat="1" x14ac:dyDescent="0.25"/>
    <row r="252436" customFormat="1" x14ac:dyDescent="0.25"/>
    <row r="252437" customFormat="1" x14ac:dyDescent="0.25"/>
    <row r="252438" customFormat="1" x14ac:dyDescent="0.25"/>
    <row r="252439" customFormat="1" x14ac:dyDescent="0.25"/>
    <row r="252440" customFormat="1" x14ac:dyDescent="0.25"/>
    <row r="252441" customFormat="1" x14ac:dyDescent="0.25"/>
    <row r="252442" customFormat="1" x14ac:dyDescent="0.25"/>
    <row r="252443" customFormat="1" x14ac:dyDescent="0.25"/>
    <row r="252444" customFormat="1" x14ac:dyDescent="0.25"/>
    <row r="252445" customFormat="1" x14ac:dyDescent="0.25"/>
    <row r="252446" customFormat="1" x14ac:dyDescent="0.25"/>
    <row r="252447" customFormat="1" x14ac:dyDescent="0.25"/>
    <row r="252448" customFormat="1" x14ac:dyDescent="0.25"/>
    <row r="252449" customFormat="1" x14ac:dyDescent="0.25"/>
    <row r="252450" customFormat="1" x14ac:dyDescent="0.25"/>
    <row r="252451" customFormat="1" x14ac:dyDescent="0.25"/>
    <row r="252452" customFormat="1" x14ac:dyDescent="0.25"/>
    <row r="252453" customFormat="1" x14ac:dyDescent="0.25"/>
    <row r="252454" customFormat="1" x14ac:dyDescent="0.25"/>
    <row r="252455" customFormat="1" x14ac:dyDescent="0.25"/>
    <row r="252456" customFormat="1" x14ac:dyDescent="0.25"/>
    <row r="252457" customFormat="1" x14ac:dyDescent="0.25"/>
    <row r="252458" customFormat="1" x14ac:dyDescent="0.25"/>
    <row r="252459" customFormat="1" x14ac:dyDescent="0.25"/>
    <row r="252460" customFormat="1" x14ac:dyDescent="0.25"/>
    <row r="252461" customFormat="1" x14ac:dyDescent="0.25"/>
    <row r="252462" customFormat="1" x14ac:dyDescent="0.25"/>
    <row r="252463" customFormat="1" x14ac:dyDescent="0.25"/>
    <row r="252464" customFormat="1" x14ac:dyDescent="0.25"/>
    <row r="252465" customFormat="1" x14ac:dyDescent="0.25"/>
    <row r="252466" customFormat="1" x14ac:dyDescent="0.25"/>
    <row r="252467" customFormat="1" x14ac:dyDescent="0.25"/>
    <row r="252468" customFormat="1" x14ac:dyDescent="0.25"/>
    <row r="252469" customFormat="1" x14ac:dyDescent="0.25"/>
    <row r="252470" customFormat="1" x14ac:dyDescent="0.25"/>
    <row r="252471" customFormat="1" x14ac:dyDescent="0.25"/>
    <row r="252472" customFormat="1" x14ac:dyDescent="0.25"/>
    <row r="252473" customFormat="1" x14ac:dyDescent="0.25"/>
    <row r="252474" customFormat="1" x14ac:dyDescent="0.25"/>
    <row r="252475" customFormat="1" x14ac:dyDescent="0.25"/>
    <row r="252476" customFormat="1" x14ac:dyDescent="0.25"/>
    <row r="252477" customFormat="1" x14ac:dyDescent="0.25"/>
    <row r="252478" customFormat="1" x14ac:dyDescent="0.25"/>
    <row r="252479" customFormat="1" x14ac:dyDescent="0.25"/>
    <row r="252480" customFormat="1" x14ac:dyDescent="0.25"/>
    <row r="252481" customFormat="1" x14ac:dyDescent="0.25"/>
    <row r="252482" customFormat="1" x14ac:dyDescent="0.25"/>
    <row r="252483" customFormat="1" x14ac:dyDescent="0.25"/>
    <row r="252484" customFormat="1" x14ac:dyDescent="0.25"/>
    <row r="252485" customFormat="1" x14ac:dyDescent="0.25"/>
    <row r="252486" customFormat="1" x14ac:dyDescent="0.25"/>
    <row r="252487" customFormat="1" x14ac:dyDescent="0.25"/>
    <row r="252488" customFormat="1" x14ac:dyDescent="0.25"/>
    <row r="252489" customFormat="1" x14ac:dyDescent="0.25"/>
    <row r="252490" customFormat="1" x14ac:dyDescent="0.25"/>
    <row r="252491" customFormat="1" x14ac:dyDescent="0.25"/>
    <row r="252492" customFormat="1" x14ac:dyDescent="0.25"/>
    <row r="252493" customFormat="1" x14ac:dyDescent="0.25"/>
    <row r="252494" customFormat="1" x14ac:dyDescent="0.25"/>
    <row r="252495" customFormat="1" x14ac:dyDescent="0.25"/>
    <row r="252496" customFormat="1" x14ac:dyDescent="0.25"/>
    <row r="252497" customFormat="1" x14ac:dyDescent="0.25"/>
    <row r="252498" customFormat="1" x14ac:dyDescent="0.25"/>
    <row r="252499" customFormat="1" x14ac:dyDescent="0.25"/>
    <row r="252500" customFormat="1" x14ac:dyDescent="0.25"/>
    <row r="252501" customFormat="1" x14ac:dyDescent="0.25"/>
    <row r="252502" customFormat="1" x14ac:dyDescent="0.25"/>
    <row r="252503" customFormat="1" x14ac:dyDescent="0.25"/>
    <row r="252504" customFormat="1" x14ac:dyDescent="0.25"/>
    <row r="252505" customFormat="1" x14ac:dyDescent="0.25"/>
    <row r="252506" customFormat="1" x14ac:dyDescent="0.25"/>
    <row r="252507" customFormat="1" x14ac:dyDescent="0.25"/>
    <row r="252508" customFormat="1" x14ac:dyDescent="0.25"/>
    <row r="252509" customFormat="1" x14ac:dyDescent="0.25"/>
    <row r="252510" customFormat="1" x14ac:dyDescent="0.25"/>
    <row r="252511" customFormat="1" x14ac:dyDescent="0.25"/>
    <row r="252512" customFormat="1" x14ac:dyDescent="0.25"/>
    <row r="252513" customFormat="1" x14ac:dyDescent="0.25"/>
    <row r="252514" customFormat="1" x14ac:dyDescent="0.25"/>
    <row r="252515" customFormat="1" x14ac:dyDescent="0.25"/>
    <row r="252516" customFormat="1" x14ac:dyDescent="0.25"/>
    <row r="252517" customFormat="1" x14ac:dyDescent="0.25"/>
    <row r="252518" customFormat="1" x14ac:dyDescent="0.25"/>
    <row r="252519" customFormat="1" x14ac:dyDescent="0.25"/>
    <row r="252520" customFormat="1" x14ac:dyDescent="0.25"/>
    <row r="252521" customFormat="1" x14ac:dyDescent="0.25"/>
    <row r="252522" customFormat="1" x14ac:dyDescent="0.25"/>
    <row r="252523" customFormat="1" x14ac:dyDescent="0.25"/>
    <row r="252524" customFormat="1" x14ac:dyDescent="0.25"/>
    <row r="252525" customFormat="1" x14ac:dyDescent="0.25"/>
    <row r="252526" customFormat="1" x14ac:dyDescent="0.25"/>
    <row r="252527" customFormat="1" x14ac:dyDescent="0.25"/>
    <row r="252528" customFormat="1" x14ac:dyDescent="0.25"/>
    <row r="252529" customFormat="1" x14ac:dyDescent="0.25"/>
    <row r="252530" customFormat="1" x14ac:dyDescent="0.25"/>
    <row r="252531" customFormat="1" x14ac:dyDescent="0.25"/>
    <row r="252532" customFormat="1" x14ac:dyDescent="0.25"/>
    <row r="252533" customFormat="1" x14ac:dyDescent="0.25"/>
    <row r="252534" customFormat="1" x14ac:dyDescent="0.25"/>
    <row r="252535" customFormat="1" x14ac:dyDescent="0.25"/>
    <row r="252536" customFormat="1" x14ac:dyDescent="0.25"/>
    <row r="252537" customFormat="1" x14ac:dyDescent="0.25"/>
    <row r="252538" customFormat="1" x14ac:dyDescent="0.25"/>
    <row r="252539" customFormat="1" x14ac:dyDescent="0.25"/>
    <row r="252540" customFormat="1" x14ac:dyDescent="0.25"/>
    <row r="252541" customFormat="1" x14ac:dyDescent="0.25"/>
    <row r="252542" customFormat="1" x14ac:dyDescent="0.25"/>
    <row r="252543" customFormat="1" x14ac:dyDescent="0.25"/>
    <row r="252544" customFormat="1" x14ac:dyDescent="0.25"/>
    <row r="252545" customFormat="1" x14ac:dyDescent="0.25"/>
    <row r="252546" customFormat="1" x14ac:dyDescent="0.25"/>
    <row r="252547" customFormat="1" x14ac:dyDescent="0.25"/>
    <row r="252548" customFormat="1" x14ac:dyDescent="0.25"/>
    <row r="252549" customFormat="1" x14ac:dyDescent="0.25"/>
    <row r="252550" customFormat="1" x14ac:dyDescent="0.25"/>
    <row r="252551" customFormat="1" x14ac:dyDescent="0.25"/>
    <row r="252552" customFormat="1" x14ac:dyDescent="0.25"/>
    <row r="252553" customFormat="1" x14ac:dyDescent="0.25"/>
    <row r="252554" customFormat="1" x14ac:dyDescent="0.25"/>
    <row r="252555" customFormat="1" x14ac:dyDescent="0.25"/>
    <row r="252556" customFormat="1" x14ac:dyDescent="0.25"/>
    <row r="252557" customFormat="1" x14ac:dyDescent="0.25"/>
    <row r="252558" customFormat="1" x14ac:dyDescent="0.25"/>
    <row r="252559" customFormat="1" x14ac:dyDescent="0.25"/>
    <row r="252560" customFormat="1" x14ac:dyDescent="0.25"/>
    <row r="252561" customFormat="1" x14ac:dyDescent="0.25"/>
    <row r="252562" customFormat="1" x14ac:dyDescent="0.25"/>
    <row r="252563" customFormat="1" x14ac:dyDescent="0.25"/>
    <row r="252564" customFormat="1" x14ac:dyDescent="0.25"/>
    <row r="252565" customFormat="1" x14ac:dyDescent="0.25"/>
    <row r="252566" customFormat="1" x14ac:dyDescent="0.25"/>
    <row r="252567" customFormat="1" x14ac:dyDescent="0.25"/>
    <row r="252568" customFormat="1" x14ac:dyDescent="0.25"/>
    <row r="252569" customFormat="1" x14ac:dyDescent="0.25"/>
    <row r="252570" customFormat="1" x14ac:dyDescent="0.25"/>
    <row r="252571" customFormat="1" x14ac:dyDescent="0.25"/>
    <row r="252572" customFormat="1" x14ac:dyDescent="0.25"/>
    <row r="252573" customFormat="1" x14ac:dyDescent="0.25"/>
    <row r="252574" customFormat="1" x14ac:dyDescent="0.25"/>
    <row r="252575" customFormat="1" x14ac:dyDescent="0.25"/>
    <row r="252576" customFormat="1" x14ac:dyDescent="0.25"/>
    <row r="252577" customFormat="1" x14ac:dyDescent="0.25"/>
    <row r="252578" customFormat="1" x14ac:dyDescent="0.25"/>
    <row r="252579" customFormat="1" x14ac:dyDescent="0.25"/>
    <row r="252580" customFormat="1" x14ac:dyDescent="0.25"/>
    <row r="252581" customFormat="1" x14ac:dyDescent="0.25"/>
    <row r="252582" customFormat="1" x14ac:dyDescent="0.25"/>
    <row r="252583" customFormat="1" x14ac:dyDescent="0.25"/>
    <row r="252584" customFormat="1" x14ac:dyDescent="0.25"/>
    <row r="252585" customFormat="1" x14ac:dyDescent="0.25"/>
    <row r="252586" customFormat="1" x14ac:dyDescent="0.25"/>
    <row r="252587" customFormat="1" x14ac:dyDescent="0.25"/>
    <row r="252588" customFormat="1" x14ac:dyDescent="0.25"/>
    <row r="252589" customFormat="1" x14ac:dyDescent="0.25"/>
    <row r="252590" customFormat="1" x14ac:dyDescent="0.25"/>
    <row r="252591" customFormat="1" x14ac:dyDescent="0.25"/>
    <row r="252592" customFormat="1" x14ac:dyDescent="0.25"/>
    <row r="252593" customFormat="1" x14ac:dyDescent="0.25"/>
    <row r="252594" customFormat="1" x14ac:dyDescent="0.25"/>
    <row r="252595" customFormat="1" x14ac:dyDescent="0.25"/>
    <row r="252596" customFormat="1" x14ac:dyDescent="0.25"/>
    <row r="252597" customFormat="1" x14ac:dyDescent="0.25"/>
    <row r="252598" customFormat="1" x14ac:dyDescent="0.25"/>
    <row r="252599" customFormat="1" x14ac:dyDescent="0.25"/>
    <row r="252600" customFormat="1" x14ac:dyDescent="0.25"/>
    <row r="252601" customFormat="1" x14ac:dyDescent="0.25"/>
    <row r="252602" customFormat="1" x14ac:dyDescent="0.25"/>
    <row r="252603" customFormat="1" x14ac:dyDescent="0.25"/>
    <row r="252604" customFormat="1" x14ac:dyDescent="0.25"/>
    <row r="252605" customFormat="1" x14ac:dyDescent="0.25"/>
    <row r="252606" customFormat="1" x14ac:dyDescent="0.25"/>
    <row r="252607" customFormat="1" x14ac:dyDescent="0.25"/>
    <row r="252608" customFormat="1" x14ac:dyDescent="0.25"/>
    <row r="252609" customFormat="1" x14ac:dyDescent="0.25"/>
    <row r="252610" customFormat="1" x14ac:dyDescent="0.25"/>
    <row r="252611" customFormat="1" x14ac:dyDescent="0.25"/>
    <row r="252612" customFormat="1" x14ac:dyDescent="0.25"/>
    <row r="252613" customFormat="1" x14ac:dyDescent="0.25"/>
    <row r="252614" customFormat="1" x14ac:dyDescent="0.25"/>
    <row r="252615" customFormat="1" x14ac:dyDescent="0.25"/>
    <row r="252616" customFormat="1" x14ac:dyDescent="0.25"/>
    <row r="252617" customFormat="1" x14ac:dyDescent="0.25"/>
    <row r="252618" customFormat="1" x14ac:dyDescent="0.25"/>
    <row r="252619" customFormat="1" x14ac:dyDescent="0.25"/>
    <row r="252620" customFormat="1" x14ac:dyDescent="0.25"/>
    <row r="252621" customFormat="1" x14ac:dyDescent="0.25"/>
    <row r="252622" customFormat="1" x14ac:dyDescent="0.25"/>
    <row r="252623" customFormat="1" x14ac:dyDescent="0.25"/>
    <row r="252624" customFormat="1" x14ac:dyDescent="0.25"/>
    <row r="252625" customFormat="1" x14ac:dyDescent="0.25"/>
    <row r="252626" customFormat="1" x14ac:dyDescent="0.25"/>
    <row r="252627" customFormat="1" x14ac:dyDescent="0.25"/>
    <row r="252628" customFormat="1" x14ac:dyDescent="0.25"/>
    <row r="252629" customFormat="1" x14ac:dyDescent="0.25"/>
    <row r="252630" customFormat="1" x14ac:dyDescent="0.25"/>
    <row r="252631" customFormat="1" x14ac:dyDescent="0.25"/>
    <row r="252632" customFormat="1" x14ac:dyDescent="0.25"/>
    <row r="252633" customFormat="1" x14ac:dyDescent="0.25"/>
    <row r="252634" customFormat="1" x14ac:dyDescent="0.25"/>
    <row r="252635" customFormat="1" x14ac:dyDescent="0.25"/>
    <row r="252636" customFormat="1" x14ac:dyDescent="0.25"/>
    <row r="252637" customFormat="1" x14ac:dyDescent="0.25"/>
    <row r="252638" customFormat="1" x14ac:dyDescent="0.25"/>
    <row r="252639" customFormat="1" x14ac:dyDescent="0.25"/>
    <row r="252640" customFormat="1" x14ac:dyDescent="0.25"/>
    <row r="252641" customFormat="1" x14ac:dyDescent="0.25"/>
    <row r="252642" customFormat="1" x14ac:dyDescent="0.25"/>
    <row r="252643" customFormat="1" x14ac:dyDescent="0.25"/>
    <row r="252644" customFormat="1" x14ac:dyDescent="0.25"/>
    <row r="252645" customFormat="1" x14ac:dyDescent="0.25"/>
    <row r="252646" customFormat="1" x14ac:dyDescent="0.25"/>
    <row r="252647" customFormat="1" x14ac:dyDescent="0.25"/>
    <row r="252648" customFormat="1" x14ac:dyDescent="0.25"/>
    <row r="252649" customFormat="1" x14ac:dyDescent="0.25"/>
    <row r="252650" customFormat="1" x14ac:dyDescent="0.25"/>
    <row r="252651" customFormat="1" x14ac:dyDescent="0.25"/>
    <row r="252652" customFormat="1" x14ac:dyDescent="0.25"/>
    <row r="252653" customFormat="1" x14ac:dyDescent="0.25"/>
    <row r="252654" customFormat="1" x14ac:dyDescent="0.25"/>
    <row r="252655" customFormat="1" x14ac:dyDescent="0.25"/>
    <row r="252656" customFormat="1" x14ac:dyDescent="0.25"/>
    <row r="252657" customFormat="1" x14ac:dyDescent="0.25"/>
    <row r="252658" customFormat="1" x14ac:dyDescent="0.25"/>
    <row r="252659" customFormat="1" x14ac:dyDescent="0.25"/>
    <row r="252660" customFormat="1" x14ac:dyDescent="0.25"/>
    <row r="252661" customFormat="1" x14ac:dyDescent="0.25"/>
    <row r="252662" customFormat="1" x14ac:dyDescent="0.25"/>
    <row r="252663" customFormat="1" x14ac:dyDescent="0.25"/>
    <row r="252664" customFormat="1" x14ac:dyDescent="0.25"/>
    <row r="252665" customFormat="1" x14ac:dyDescent="0.25"/>
    <row r="252666" customFormat="1" x14ac:dyDescent="0.25"/>
    <row r="252667" customFormat="1" x14ac:dyDescent="0.25"/>
    <row r="252668" customFormat="1" x14ac:dyDescent="0.25"/>
    <row r="252669" customFormat="1" x14ac:dyDescent="0.25"/>
    <row r="252670" customFormat="1" x14ac:dyDescent="0.25"/>
    <row r="252671" customFormat="1" x14ac:dyDescent="0.25"/>
    <row r="252672" customFormat="1" x14ac:dyDescent="0.25"/>
    <row r="252673" customFormat="1" x14ac:dyDescent="0.25"/>
    <row r="252674" customFormat="1" x14ac:dyDescent="0.25"/>
    <row r="252675" customFormat="1" x14ac:dyDescent="0.25"/>
    <row r="252676" customFormat="1" x14ac:dyDescent="0.25"/>
    <row r="252677" customFormat="1" x14ac:dyDescent="0.25"/>
    <row r="252678" customFormat="1" x14ac:dyDescent="0.25"/>
    <row r="252679" customFormat="1" x14ac:dyDescent="0.25"/>
    <row r="252680" customFormat="1" x14ac:dyDescent="0.25"/>
    <row r="252681" customFormat="1" x14ac:dyDescent="0.25"/>
    <row r="252682" customFormat="1" x14ac:dyDescent="0.25"/>
    <row r="252683" customFormat="1" x14ac:dyDescent="0.25"/>
    <row r="252684" customFormat="1" x14ac:dyDescent="0.25"/>
    <row r="252685" customFormat="1" x14ac:dyDescent="0.25"/>
    <row r="252686" customFormat="1" x14ac:dyDescent="0.25"/>
    <row r="252687" customFormat="1" x14ac:dyDescent="0.25"/>
    <row r="252688" customFormat="1" x14ac:dyDescent="0.25"/>
    <row r="252689" customFormat="1" x14ac:dyDescent="0.25"/>
    <row r="252690" customFormat="1" x14ac:dyDescent="0.25"/>
    <row r="252691" customFormat="1" x14ac:dyDescent="0.25"/>
    <row r="252692" customFormat="1" x14ac:dyDescent="0.25"/>
    <row r="252693" customFormat="1" x14ac:dyDescent="0.25"/>
    <row r="252694" customFormat="1" x14ac:dyDescent="0.25"/>
    <row r="252695" customFormat="1" x14ac:dyDescent="0.25"/>
    <row r="252696" customFormat="1" x14ac:dyDescent="0.25"/>
    <row r="252697" customFormat="1" x14ac:dyDescent="0.25"/>
    <row r="252698" customFormat="1" x14ac:dyDescent="0.25"/>
    <row r="252699" customFormat="1" x14ac:dyDescent="0.25"/>
    <row r="252700" customFormat="1" x14ac:dyDescent="0.25"/>
    <row r="252701" customFormat="1" x14ac:dyDescent="0.25"/>
    <row r="252702" customFormat="1" x14ac:dyDescent="0.25"/>
    <row r="252703" customFormat="1" x14ac:dyDescent="0.25"/>
    <row r="252704" customFormat="1" x14ac:dyDescent="0.25"/>
    <row r="252705" customFormat="1" x14ac:dyDescent="0.25"/>
    <row r="252706" customFormat="1" x14ac:dyDescent="0.25"/>
    <row r="252707" customFormat="1" x14ac:dyDescent="0.25"/>
    <row r="252708" customFormat="1" x14ac:dyDescent="0.25"/>
    <row r="252709" customFormat="1" x14ac:dyDescent="0.25"/>
    <row r="252710" customFormat="1" x14ac:dyDescent="0.25"/>
    <row r="252711" customFormat="1" x14ac:dyDescent="0.25"/>
    <row r="252712" customFormat="1" x14ac:dyDescent="0.25"/>
    <row r="252713" customFormat="1" x14ac:dyDescent="0.25"/>
    <row r="252714" customFormat="1" x14ac:dyDescent="0.25"/>
    <row r="252715" customFormat="1" x14ac:dyDescent="0.25"/>
    <row r="252716" customFormat="1" x14ac:dyDescent="0.25"/>
    <row r="252717" customFormat="1" x14ac:dyDescent="0.25"/>
    <row r="252718" customFormat="1" x14ac:dyDescent="0.25"/>
    <row r="252719" customFormat="1" x14ac:dyDescent="0.25"/>
    <row r="252720" customFormat="1" x14ac:dyDescent="0.25"/>
    <row r="252721" customFormat="1" x14ac:dyDescent="0.25"/>
    <row r="252722" customFormat="1" x14ac:dyDescent="0.25"/>
    <row r="252723" customFormat="1" x14ac:dyDescent="0.25"/>
    <row r="252724" customFormat="1" x14ac:dyDescent="0.25"/>
    <row r="252725" customFormat="1" x14ac:dyDescent="0.25"/>
    <row r="252726" customFormat="1" x14ac:dyDescent="0.25"/>
    <row r="252727" customFormat="1" x14ac:dyDescent="0.25"/>
    <row r="252728" customFormat="1" x14ac:dyDescent="0.25"/>
    <row r="252729" customFormat="1" x14ac:dyDescent="0.25"/>
    <row r="252730" customFormat="1" x14ac:dyDescent="0.25"/>
    <row r="252731" customFormat="1" x14ac:dyDescent="0.25"/>
    <row r="252732" customFormat="1" x14ac:dyDescent="0.25"/>
    <row r="252733" customFormat="1" x14ac:dyDescent="0.25"/>
    <row r="252734" customFormat="1" x14ac:dyDescent="0.25"/>
    <row r="252735" customFormat="1" x14ac:dyDescent="0.25"/>
    <row r="252736" customFormat="1" x14ac:dyDescent="0.25"/>
    <row r="252737" customFormat="1" x14ac:dyDescent="0.25"/>
    <row r="252738" customFormat="1" x14ac:dyDescent="0.25"/>
    <row r="252739" customFormat="1" x14ac:dyDescent="0.25"/>
    <row r="252740" customFormat="1" x14ac:dyDescent="0.25"/>
    <row r="252741" customFormat="1" x14ac:dyDescent="0.25"/>
    <row r="252742" customFormat="1" x14ac:dyDescent="0.25"/>
    <row r="252743" customFormat="1" x14ac:dyDescent="0.25"/>
    <row r="252744" customFormat="1" x14ac:dyDescent="0.25"/>
    <row r="252745" customFormat="1" x14ac:dyDescent="0.25"/>
    <row r="252746" customFormat="1" x14ac:dyDescent="0.25"/>
    <row r="252747" customFormat="1" x14ac:dyDescent="0.25"/>
    <row r="252748" customFormat="1" x14ac:dyDescent="0.25"/>
    <row r="252749" customFormat="1" x14ac:dyDescent="0.25"/>
    <row r="252750" customFormat="1" x14ac:dyDescent="0.25"/>
    <row r="252751" customFormat="1" x14ac:dyDescent="0.25"/>
    <row r="252752" customFormat="1" x14ac:dyDescent="0.25"/>
    <row r="252753" customFormat="1" x14ac:dyDescent="0.25"/>
    <row r="252754" customFormat="1" x14ac:dyDescent="0.25"/>
    <row r="252755" customFormat="1" x14ac:dyDescent="0.25"/>
    <row r="252756" customFormat="1" x14ac:dyDescent="0.25"/>
    <row r="252757" customFormat="1" x14ac:dyDescent="0.25"/>
    <row r="252758" customFormat="1" x14ac:dyDescent="0.25"/>
    <row r="252759" customFormat="1" x14ac:dyDescent="0.25"/>
    <row r="252760" customFormat="1" x14ac:dyDescent="0.25"/>
    <row r="252761" customFormat="1" x14ac:dyDescent="0.25"/>
    <row r="252762" customFormat="1" x14ac:dyDescent="0.25"/>
    <row r="252763" customFormat="1" x14ac:dyDescent="0.25"/>
    <row r="252764" customFormat="1" x14ac:dyDescent="0.25"/>
    <row r="252765" customFormat="1" x14ac:dyDescent="0.25"/>
    <row r="252766" customFormat="1" x14ac:dyDescent="0.25"/>
    <row r="252767" customFormat="1" x14ac:dyDescent="0.25"/>
    <row r="252768" customFormat="1" x14ac:dyDescent="0.25"/>
    <row r="252769" customFormat="1" x14ac:dyDescent="0.25"/>
    <row r="252770" customFormat="1" x14ac:dyDescent="0.25"/>
    <row r="252771" customFormat="1" x14ac:dyDescent="0.25"/>
    <row r="252772" customFormat="1" x14ac:dyDescent="0.25"/>
    <row r="252773" customFormat="1" x14ac:dyDescent="0.25"/>
    <row r="252774" customFormat="1" x14ac:dyDescent="0.25"/>
    <row r="252775" customFormat="1" x14ac:dyDescent="0.25"/>
    <row r="252776" customFormat="1" x14ac:dyDescent="0.25"/>
    <row r="252777" customFormat="1" x14ac:dyDescent="0.25"/>
    <row r="252778" customFormat="1" x14ac:dyDescent="0.25"/>
    <row r="252779" customFormat="1" x14ac:dyDescent="0.25"/>
    <row r="252780" customFormat="1" x14ac:dyDescent="0.25"/>
    <row r="252781" customFormat="1" x14ac:dyDescent="0.25"/>
    <row r="252782" customFormat="1" x14ac:dyDescent="0.25"/>
    <row r="252783" customFormat="1" x14ac:dyDescent="0.25"/>
    <row r="252784" customFormat="1" x14ac:dyDescent="0.25"/>
    <row r="252785" customFormat="1" x14ac:dyDescent="0.25"/>
    <row r="252786" customFormat="1" x14ac:dyDescent="0.25"/>
    <row r="252787" customFormat="1" x14ac:dyDescent="0.25"/>
    <row r="252788" customFormat="1" x14ac:dyDescent="0.25"/>
    <row r="252789" customFormat="1" x14ac:dyDescent="0.25"/>
    <row r="252790" customFormat="1" x14ac:dyDescent="0.25"/>
    <row r="252791" customFormat="1" x14ac:dyDescent="0.25"/>
    <row r="252792" customFormat="1" x14ac:dyDescent="0.25"/>
    <row r="252793" customFormat="1" x14ac:dyDescent="0.25"/>
    <row r="252794" customFormat="1" x14ac:dyDescent="0.25"/>
    <row r="252795" customFormat="1" x14ac:dyDescent="0.25"/>
    <row r="252796" customFormat="1" x14ac:dyDescent="0.25"/>
    <row r="252797" customFormat="1" x14ac:dyDescent="0.25"/>
    <row r="252798" customFormat="1" x14ac:dyDescent="0.25"/>
    <row r="252799" customFormat="1" x14ac:dyDescent="0.25"/>
    <row r="252800" customFormat="1" x14ac:dyDescent="0.25"/>
    <row r="252801" customFormat="1" x14ac:dyDescent="0.25"/>
    <row r="252802" customFormat="1" x14ac:dyDescent="0.25"/>
    <row r="252803" customFormat="1" x14ac:dyDescent="0.25"/>
    <row r="252804" customFormat="1" x14ac:dyDescent="0.25"/>
    <row r="252805" customFormat="1" x14ac:dyDescent="0.25"/>
    <row r="252806" customFormat="1" x14ac:dyDescent="0.25"/>
    <row r="252807" customFormat="1" x14ac:dyDescent="0.25"/>
    <row r="252808" customFormat="1" x14ac:dyDescent="0.25"/>
    <row r="252809" customFormat="1" x14ac:dyDescent="0.25"/>
    <row r="252810" customFormat="1" x14ac:dyDescent="0.25"/>
    <row r="252811" customFormat="1" x14ac:dyDescent="0.25"/>
    <row r="252812" customFormat="1" x14ac:dyDescent="0.25"/>
    <row r="252813" customFormat="1" x14ac:dyDescent="0.25"/>
    <row r="252814" customFormat="1" x14ac:dyDescent="0.25"/>
    <row r="252815" customFormat="1" x14ac:dyDescent="0.25"/>
    <row r="252816" customFormat="1" x14ac:dyDescent="0.25"/>
    <row r="252817" customFormat="1" x14ac:dyDescent="0.25"/>
    <row r="252818" customFormat="1" x14ac:dyDescent="0.25"/>
    <row r="252819" customFormat="1" x14ac:dyDescent="0.25"/>
    <row r="252820" customFormat="1" x14ac:dyDescent="0.25"/>
    <row r="252821" customFormat="1" x14ac:dyDescent="0.25"/>
    <row r="252822" customFormat="1" x14ac:dyDescent="0.25"/>
    <row r="252823" customFormat="1" x14ac:dyDescent="0.25"/>
    <row r="252824" customFormat="1" x14ac:dyDescent="0.25"/>
    <row r="252825" customFormat="1" x14ac:dyDescent="0.25"/>
    <row r="252826" customFormat="1" x14ac:dyDescent="0.25"/>
    <row r="252827" customFormat="1" x14ac:dyDescent="0.25"/>
    <row r="252828" customFormat="1" x14ac:dyDescent="0.25"/>
    <row r="252829" customFormat="1" x14ac:dyDescent="0.25"/>
    <row r="252830" customFormat="1" x14ac:dyDescent="0.25"/>
    <row r="252831" customFormat="1" x14ac:dyDescent="0.25"/>
    <row r="252832" customFormat="1" x14ac:dyDescent="0.25"/>
    <row r="252833" customFormat="1" x14ac:dyDescent="0.25"/>
    <row r="252834" customFormat="1" x14ac:dyDescent="0.25"/>
    <row r="252835" customFormat="1" x14ac:dyDescent="0.25"/>
    <row r="252836" customFormat="1" x14ac:dyDescent="0.25"/>
    <row r="252837" customFormat="1" x14ac:dyDescent="0.25"/>
    <row r="252838" customFormat="1" x14ac:dyDescent="0.25"/>
    <row r="252839" customFormat="1" x14ac:dyDescent="0.25"/>
    <row r="252840" customFormat="1" x14ac:dyDescent="0.25"/>
    <row r="252841" customFormat="1" x14ac:dyDescent="0.25"/>
    <row r="252842" customFormat="1" x14ac:dyDescent="0.25"/>
    <row r="252843" customFormat="1" x14ac:dyDescent="0.25"/>
    <row r="252844" customFormat="1" x14ac:dyDescent="0.25"/>
    <row r="252845" customFormat="1" x14ac:dyDescent="0.25"/>
    <row r="252846" customFormat="1" x14ac:dyDescent="0.25"/>
    <row r="252847" customFormat="1" x14ac:dyDescent="0.25"/>
    <row r="252848" customFormat="1" x14ac:dyDescent="0.25"/>
    <row r="252849" customFormat="1" x14ac:dyDescent="0.25"/>
    <row r="252850" customFormat="1" x14ac:dyDescent="0.25"/>
    <row r="252851" customFormat="1" x14ac:dyDescent="0.25"/>
    <row r="252852" customFormat="1" x14ac:dyDescent="0.25"/>
    <row r="252853" customFormat="1" x14ac:dyDescent="0.25"/>
    <row r="252854" customFormat="1" x14ac:dyDescent="0.25"/>
    <row r="252855" customFormat="1" x14ac:dyDescent="0.25"/>
    <row r="252856" customFormat="1" x14ac:dyDescent="0.25"/>
    <row r="252857" customFormat="1" x14ac:dyDescent="0.25"/>
    <row r="252858" customFormat="1" x14ac:dyDescent="0.25"/>
    <row r="252859" customFormat="1" x14ac:dyDescent="0.25"/>
    <row r="252860" customFormat="1" x14ac:dyDescent="0.25"/>
    <row r="252861" customFormat="1" x14ac:dyDescent="0.25"/>
    <row r="252862" customFormat="1" x14ac:dyDescent="0.25"/>
    <row r="252863" customFormat="1" x14ac:dyDescent="0.25"/>
    <row r="252864" customFormat="1" x14ac:dyDescent="0.25"/>
    <row r="252865" customFormat="1" x14ac:dyDescent="0.25"/>
    <row r="252866" customFormat="1" x14ac:dyDescent="0.25"/>
    <row r="252867" customFormat="1" x14ac:dyDescent="0.25"/>
    <row r="252868" customFormat="1" x14ac:dyDescent="0.25"/>
    <row r="252869" customFormat="1" x14ac:dyDescent="0.25"/>
    <row r="252870" customFormat="1" x14ac:dyDescent="0.25"/>
    <row r="252871" customFormat="1" x14ac:dyDescent="0.25"/>
    <row r="252872" customFormat="1" x14ac:dyDescent="0.25"/>
    <row r="252873" customFormat="1" x14ac:dyDescent="0.25"/>
    <row r="252874" customFormat="1" x14ac:dyDescent="0.25"/>
    <row r="252875" customFormat="1" x14ac:dyDescent="0.25"/>
    <row r="252876" customFormat="1" x14ac:dyDescent="0.25"/>
    <row r="252877" customFormat="1" x14ac:dyDescent="0.25"/>
    <row r="252878" customFormat="1" x14ac:dyDescent="0.25"/>
    <row r="252879" customFormat="1" x14ac:dyDescent="0.25"/>
    <row r="252880" customFormat="1" x14ac:dyDescent="0.25"/>
    <row r="252881" customFormat="1" x14ac:dyDescent="0.25"/>
    <row r="252882" customFormat="1" x14ac:dyDescent="0.25"/>
    <row r="252883" customFormat="1" x14ac:dyDescent="0.25"/>
    <row r="252884" customFormat="1" x14ac:dyDescent="0.25"/>
    <row r="252885" customFormat="1" x14ac:dyDescent="0.25"/>
    <row r="252886" customFormat="1" x14ac:dyDescent="0.25"/>
    <row r="252887" customFormat="1" x14ac:dyDescent="0.25"/>
    <row r="252888" customFormat="1" x14ac:dyDescent="0.25"/>
    <row r="252889" customFormat="1" x14ac:dyDescent="0.25"/>
    <row r="252890" customFormat="1" x14ac:dyDescent="0.25"/>
    <row r="252891" customFormat="1" x14ac:dyDescent="0.25"/>
    <row r="252892" customFormat="1" x14ac:dyDescent="0.25"/>
    <row r="252893" customFormat="1" x14ac:dyDescent="0.25"/>
    <row r="252894" customFormat="1" x14ac:dyDescent="0.25"/>
    <row r="252895" customFormat="1" x14ac:dyDescent="0.25"/>
    <row r="252896" customFormat="1" x14ac:dyDescent="0.25"/>
    <row r="252897" customFormat="1" x14ac:dyDescent="0.25"/>
    <row r="252898" customFormat="1" x14ac:dyDescent="0.25"/>
    <row r="252899" customFormat="1" x14ac:dyDescent="0.25"/>
    <row r="252900" customFormat="1" x14ac:dyDescent="0.25"/>
    <row r="252901" customFormat="1" x14ac:dyDescent="0.25"/>
    <row r="252902" customFormat="1" x14ac:dyDescent="0.25"/>
    <row r="252903" customFormat="1" x14ac:dyDescent="0.25"/>
    <row r="252904" customFormat="1" x14ac:dyDescent="0.25"/>
    <row r="252905" customFormat="1" x14ac:dyDescent="0.25"/>
    <row r="252906" customFormat="1" x14ac:dyDescent="0.25"/>
    <row r="252907" customFormat="1" x14ac:dyDescent="0.25"/>
    <row r="252908" customFormat="1" x14ac:dyDescent="0.25"/>
    <row r="252909" customFormat="1" x14ac:dyDescent="0.25"/>
    <row r="252910" customFormat="1" x14ac:dyDescent="0.25"/>
    <row r="252911" customFormat="1" x14ac:dyDescent="0.25"/>
    <row r="252912" customFormat="1" x14ac:dyDescent="0.25"/>
    <row r="252913" customFormat="1" x14ac:dyDescent="0.25"/>
    <row r="252914" customFormat="1" x14ac:dyDescent="0.25"/>
    <row r="252915" customFormat="1" x14ac:dyDescent="0.25"/>
    <row r="252916" customFormat="1" x14ac:dyDescent="0.25"/>
    <row r="252917" customFormat="1" x14ac:dyDescent="0.25"/>
    <row r="252918" customFormat="1" x14ac:dyDescent="0.25"/>
    <row r="252919" customFormat="1" x14ac:dyDescent="0.25"/>
    <row r="252920" customFormat="1" x14ac:dyDescent="0.25"/>
    <row r="252921" customFormat="1" x14ac:dyDescent="0.25"/>
    <row r="252922" customFormat="1" x14ac:dyDescent="0.25"/>
    <row r="252923" customFormat="1" x14ac:dyDescent="0.25"/>
    <row r="252924" customFormat="1" x14ac:dyDescent="0.25"/>
    <row r="252925" customFormat="1" x14ac:dyDescent="0.25"/>
    <row r="252926" customFormat="1" x14ac:dyDescent="0.25"/>
    <row r="252927" customFormat="1" x14ac:dyDescent="0.25"/>
    <row r="252928" customFormat="1" x14ac:dyDescent="0.25"/>
    <row r="252929" customFormat="1" x14ac:dyDescent="0.25"/>
    <row r="252930" customFormat="1" x14ac:dyDescent="0.25"/>
    <row r="252931" customFormat="1" x14ac:dyDescent="0.25"/>
    <row r="252932" customFormat="1" x14ac:dyDescent="0.25"/>
    <row r="252933" customFormat="1" x14ac:dyDescent="0.25"/>
    <row r="252934" customFormat="1" x14ac:dyDescent="0.25"/>
    <row r="252935" customFormat="1" x14ac:dyDescent="0.25"/>
    <row r="252936" customFormat="1" x14ac:dyDescent="0.25"/>
    <row r="252937" customFormat="1" x14ac:dyDescent="0.25"/>
    <row r="252938" customFormat="1" x14ac:dyDescent="0.25"/>
    <row r="252939" customFormat="1" x14ac:dyDescent="0.25"/>
    <row r="252940" customFormat="1" x14ac:dyDescent="0.25"/>
    <row r="252941" customFormat="1" x14ac:dyDescent="0.25"/>
    <row r="252942" customFormat="1" x14ac:dyDescent="0.25"/>
    <row r="252943" customFormat="1" x14ac:dyDescent="0.25"/>
    <row r="252944" customFormat="1" x14ac:dyDescent="0.25"/>
    <row r="252945" customFormat="1" x14ac:dyDescent="0.25"/>
    <row r="252946" customFormat="1" x14ac:dyDescent="0.25"/>
    <row r="252947" customFormat="1" x14ac:dyDescent="0.25"/>
    <row r="252948" customFormat="1" x14ac:dyDescent="0.25"/>
    <row r="252949" customFormat="1" x14ac:dyDescent="0.25"/>
    <row r="252950" customFormat="1" x14ac:dyDescent="0.25"/>
    <row r="252951" customFormat="1" x14ac:dyDescent="0.25"/>
    <row r="252952" customFormat="1" x14ac:dyDescent="0.25"/>
    <row r="252953" customFormat="1" x14ac:dyDescent="0.25"/>
    <row r="252954" customFormat="1" x14ac:dyDescent="0.25"/>
    <row r="252955" customFormat="1" x14ac:dyDescent="0.25"/>
    <row r="252956" customFormat="1" x14ac:dyDescent="0.25"/>
    <row r="252957" customFormat="1" x14ac:dyDescent="0.25"/>
    <row r="252958" customFormat="1" x14ac:dyDescent="0.25"/>
    <row r="252959" customFormat="1" x14ac:dyDescent="0.25"/>
    <row r="252960" customFormat="1" x14ac:dyDescent="0.25"/>
    <row r="252961" customFormat="1" x14ac:dyDescent="0.25"/>
    <row r="252962" customFormat="1" x14ac:dyDescent="0.25"/>
    <row r="252963" customFormat="1" x14ac:dyDescent="0.25"/>
    <row r="252964" customFormat="1" x14ac:dyDescent="0.25"/>
    <row r="252965" customFormat="1" x14ac:dyDescent="0.25"/>
    <row r="252966" customFormat="1" x14ac:dyDescent="0.25"/>
    <row r="252967" customFormat="1" x14ac:dyDescent="0.25"/>
    <row r="252968" customFormat="1" x14ac:dyDescent="0.25"/>
    <row r="252969" customFormat="1" x14ac:dyDescent="0.25"/>
    <row r="252970" customFormat="1" x14ac:dyDescent="0.25"/>
    <row r="252971" customFormat="1" x14ac:dyDescent="0.25"/>
    <row r="252972" customFormat="1" x14ac:dyDescent="0.25"/>
    <row r="252973" customFormat="1" x14ac:dyDescent="0.25"/>
    <row r="252974" customFormat="1" x14ac:dyDescent="0.25"/>
    <row r="252975" customFormat="1" x14ac:dyDescent="0.25"/>
    <row r="252976" customFormat="1" x14ac:dyDescent="0.25"/>
    <row r="252977" customFormat="1" x14ac:dyDescent="0.25"/>
    <row r="252978" customFormat="1" x14ac:dyDescent="0.25"/>
    <row r="252979" customFormat="1" x14ac:dyDescent="0.25"/>
    <row r="252980" customFormat="1" x14ac:dyDescent="0.25"/>
    <row r="252981" customFormat="1" x14ac:dyDescent="0.25"/>
    <row r="252982" customFormat="1" x14ac:dyDescent="0.25"/>
    <row r="252983" customFormat="1" x14ac:dyDescent="0.25"/>
    <row r="252984" customFormat="1" x14ac:dyDescent="0.25"/>
    <row r="252985" customFormat="1" x14ac:dyDescent="0.25"/>
    <row r="252986" customFormat="1" x14ac:dyDescent="0.25"/>
    <row r="252987" customFormat="1" x14ac:dyDescent="0.25"/>
    <row r="252988" customFormat="1" x14ac:dyDescent="0.25"/>
    <row r="252989" customFormat="1" x14ac:dyDescent="0.25"/>
    <row r="252990" customFormat="1" x14ac:dyDescent="0.25"/>
    <row r="252991" customFormat="1" x14ac:dyDescent="0.25"/>
    <row r="252992" customFormat="1" x14ac:dyDescent="0.25"/>
    <row r="252993" customFormat="1" x14ac:dyDescent="0.25"/>
    <row r="252994" customFormat="1" x14ac:dyDescent="0.25"/>
    <row r="252995" customFormat="1" x14ac:dyDescent="0.25"/>
    <row r="252996" customFormat="1" x14ac:dyDescent="0.25"/>
    <row r="252997" customFormat="1" x14ac:dyDescent="0.25"/>
    <row r="252998" customFormat="1" x14ac:dyDescent="0.25"/>
    <row r="252999" customFormat="1" x14ac:dyDescent="0.25"/>
    <row r="253000" customFormat="1" x14ac:dyDescent="0.25"/>
    <row r="253001" customFormat="1" x14ac:dyDescent="0.25"/>
    <row r="253002" customFormat="1" x14ac:dyDescent="0.25"/>
    <row r="253003" customFormat="1" x14ac:dyDescent="0.25"/>
    <row r="253004" customFormat="1" x14ac:dyDescent="0.25"/>
    <row r="253005" customFormat="1" x14ac:dyDescent="0.25"/>
    <row r="253006" customFormat="1" x14ac:dyDescent="0.25"/>
    <row r="253007" customFormat="1" x14ac:dyDescent="0.25"/>
    <row r="253008" customFormat="1" x14ac:dyDescent="0.25"/>
    <row r="253009" customFormat="1" x14ac:dyDescent="0.25"/>
    <row r="253010" customFormat="1" x14ac:dyDescent="0.25"/>
    <row r="253011" customFormat="1" x14ac:dyDescent="0.25"/>
    <row r="253012" customFormat="1" x14ac:dyDescent="0.25"/>
    <row r="253013" customFormat="1" x14ac:dyDescent="0.25"/>
    <row r="253014" customFormat="1" x14ac:dyDescent="0.25"/>
    <row r="253015" customFormat="1" x14ac:dyDescent="0.25"/>
    <row r="253016" customFormat="1" x14ac:dyDescent="0.25"/>
    <row r="253017" customFormat="1" x14ac:dyDescent="0.25"/>
    <row r="253018" customFormat="1" x14ac:dyDescent="0.25"/>
    <row r="253019" customFormat="1" x14ac:dyDescent="0.25"/>
    <row r="253020" customFormat="1" x14ac:dyDescent="0.25"/>
    <row r="253021" customFormat="1" x14ac:dyDescent="0.25"/>
    <row r="253022" customFormat="1" x14ac:dyDescent="0.25"/>
    <row r="253023" customFormat="1" x14ac:dyDescent="0.25"/>
    <row r="253024" customFormat="1" x14ac:dyDescent="0.25"/>
    <row r="253025" customFormat="1" x14ac:dyDescent="0.25"/>
    <row r="253026" customFormat="1" x14ac:dyDescent="0.25"/>
    <row r="253027" customFormat="1" x14ac:dyDescent="0.25"/>
    <row r="253028" customFormat="1" x14ac:dyDescent="0.25"/>
    <row r="253029" customFormat="1" x14ac:dyDescent="0.25"/>
    <row r="253030" customFormat="1" x14ac:dyDescent="0.25"/>
    <row r="253031" customFormat="1" x14ac:dyDescent="0.25"/>
    <row r="253032" customFormat="1" x14ac:dyDescent="0.25"/>
    <row r="253033" customFormat="1" x14ac:dyDescent="0.25"/>
    <row r="253034" customFormat="1" x14ac:dyDescent="0.25"/>
    <row r="253035" customFormat="1" x14ac:dyDescent="0.25"/>
    <row r="253036" customFormat="1" x14ac:dyDescent="0.25"/>
    <row r="253037" customFormat="1" x14ac:dyDescent="0.25"/>
    <row r="253038" customFormat="1" x14ac:dyDescent="0.25"/>
    <row r="253039" customFormat="1" x14ac:dyDescent="0.25"/>
    <row r="253040" customFormat="1" x14ac:dyDescent="0.25"/>
    <row r="253041" customFormat="1" x14ac:dyDescent="0.25"/>
    <row r="253042" customFormat="1" x14ac:dyDescent="0.25"/>
    <row r="253043" customFormat="1" x14ac:dyDescent="0.25"/>
    <row r="253044" customFormat="1" x14ac:dyDescent="0.25"/>
    <row r="253045" customFormat="1" x14ac:dyDescent="0.25"/>
    <row r="253046" customFormat="1" x14ac:dyDescent="0.25"/>
    <row r="253047" customFormat="1" x14ac:dyDescent="0.25"/>
    <row r="253048" customFormat="1" x14ac:dyDescent="0.25"/>
    <row r="253049" customFormat="1" x14ac:dyDescent="0.25"/>
    <row r="253050" customFormat="1" x14ac:dyDescent="0.25"/>
    <row r="253051" customFormat="1" x14ac:dyDescent="0.25"/>
    <row r="253052" customFormat="1" x14ac:dyDescent="0.25"/>
    <row r="253053" customFormat="1" x14ac:dyDescent="0.25"/>
    <row r="253054" customFormat="1" x14ac:dyDescent="0.25"/>
    <row r="253055" customFormat="1" x14ac:dyDescent="0.25"/>
    <row r="253056" customFormat="1" x14ac:dyDescent="0.25"/>
    <row r="253057" customFormat="1" x14ac:dyDescent="0.25"/>
    <row r="253058" customFormat="1" x14ac:dyDescent="0.25"/>
    <row r="253059" customFormat="1" x14ac:dyDescent="0.25"/>
    <row r="253060" customFormat="1" x14ac:dyDescent="0.25"/>
    <row r="253061" customFormat="1" x14ac:dyDescent="0.25"/>
    <row r="253062" customFormat="1" x14ac:dyDescent="0.25"/>
    <row r="253063" customFormat="1" x14ac:dyDescent="0.25"/>
    <row r="253064" customFormat="1" x14ac:dyDescent="0.25"/>
    <row r="253065" customFormat="1" x14ac:dyDescent="0.25"/>
    <row r="253066" customFormat="1" x14ac:dyDescent="0.25"/>
    <row r="253067" customFormat="1" x14ac:dyDescent="0.25"/>
    <row r="253068" customFormat="1" x14ac:dyDescent="0.25"/>
    <row r="253069" customFormat="1" x14ac:dyDescent="0.25"/>
    <row r="253070" customFormat="1" x14ac:dyDescent="0.25"/>
    <row r="253071" customFormat="1" x14ac:dyDescent="0.25"/>
    <row r="253072" customFormat="1" x14ac:dyDescent="0.25"/>
    <row r="253073" customFormat="1" x14ac:dyDescent="0.25"/>
    <row r="253074" customFormat="1" x14ac:dyDescent="0.25"/>
    <row r="253075" customFormat="1" x14ac:dyDescent="0.25"/>
    <row r="253076" customFormat="1" x14ac:dyDescent="0.25"/>
    <row r="253077" customFormat="1" x14ac:dyDescent="0.25"/>
    <row r="253078" customFormat="1" x14ac:dyDescent="0.25"/>
    <row r="253079" customFormat="1" x14ac:dyDescent="0.25"/>
    <row r="253080" customFormat="1" x14ac:dyDescent="0.25"/>
    <row r="253081" customFormat="1" x14ac:dyDescent="0.25"/>
    <row r="253082" customFormat="1" x14ac:dyDescent="0.25"/>
    <row r="253083" customFormat="1" x14ac:dyDescent="0.25"/>
    <row r="253084" customFormat="1" x14ac:dyDescent="0.25"/>
    <row r="253085" customFormat="1" x14ac:dyDescent="0.25"/>
    <row r="253086" customFormat="1" x14ac:dyDescent="0.25"/>
    <row r="253087" customFormat="1" x14ac:dyDescent="0.25"/>
    <row r="253088" customFormat="1" x14ac:dyDescent="0.25"/>
    <row r="253089" customFormat="1" x14ac:dyDescent="0.25"/>
    <row r="253090" customFormat="1" x14ac:dyDescent="0.25"/>
    <row r="253091" customFormat="1" x14ac:dyDescent="0.25"/>
    <row r="253092" customFormat="1" x14ac:dyDescent="0.25"/>
    <row r="253093" customFormat="1" x14ac:dyDescent="0.25"/>
    <row r="253094" customFormat="1" x14ac:dyDescent="0.25"/>
    <row r="253095" customFormat="1" x14ac:dyDescent="0.25"/>
    <row r="253096" customFormat="1" x14ac:dyDescent="0.25"/>
    <row r="253097" customFormat="1" x14ac:dyDescent="0.25"/>
    <row r="253098" customFormat="1" x14ac:dyDescent="0.25"/>
    <row r="253099" customFormat="1" x14ac:dyDescent="0.25"/>
    <row r="253100" customFormat="1" x14ac:dyDescent="0.25"/>
    <row r="253101" customFormat="1" x14ac:dyDescent="0.25"/>
    <row r="253102" customFormat="1" x14ac:dyDescent="0.25"/>
    <row r="253103" customFormat="1" x14ac:dyDescent="0.25"/>
    <row r="253104" customFormat="1" x14ac:dyDescent="0.25"/>
    <row r="253105" customFormat="1" x14ac:dyDescent="0.25"/>
    <row r="253106" customFormat="1" x14ac:dyDescent="0.25"/>
    <row r="253107" customFormat="1" x14ac:dyDescent="0.25"/>
    <row r="253108" customFormat="1" x14ac:dyDescent="0.25"/>
    <row r="253109" customFormat="1" x14ac:dyDescent="0.25"/>
    <row r="253110" customFormat="1" x14ac:dyDescent="0.25"/>
    <row r="253111" customFormat="1" x14ac:dyDescent="0.25"/>
    <row r="253112" customFormat="1" x14ac:dyDescent="0.25"/>
    <row r="253113" customFormat="1" x14ac:dyDescent="0.25"/>
    <row r="253114" customFormat="1" x14ac:dyDescent="0.25"/>
    <row r="253115" customFormat="1" x14ac:dyDescent="0.25"/>
    <row r="253116" customFormat="1" x14ac:dyDescent="0.25"/>
    <row r="253117" customFormat="1" x14ac:dyDescent="0.25"/>
    <row r="253118" customFormat="1" x14ac:dyDescent="0.25"/>
    <row r="253119" customFormat="1" x14ac:dyDescent="0.25"/>
    <row r="253120" customFormat="1" x14ac:dyDescent="0.25"/>
    <row r="253121" customFormat="1" x14ac:dyDescent="0.25"/>
    <row r="253122" customFormat="1" x14ac:dyDescent="0.25"/>
    <row r="253123" customFormat="1" x14ac:dyDescent="0.25"/>
    <row r="253124" customFormat="1" x14ac:dyDescent="0.25"/>
    <row r="253125" customFormat="1" x14ac:dyDescent="0.25"/>
    <row r="253126" customFormat="1" x14ac:dyDescent="0.25"/>
    <row r="253127" customFormat="1" x14ac:dyDescent="0.25"/>
    <row r="253128" customFormat="1" x14ac:dyDescent="0.25"/>
    <row r="253129" customFormat="1" x14ac:dyDescent="0.25"/>
    <row r="253130" customFormat="1" x14ac:dyDescent="0.25"/>
    <row r="253131" customFormat="1" x14ac:dyDescent="0.25"/>
    <row r="253132" customFormat="1" x14ac:dyDescent="0.25"/>
    <row r="253133" customFormat="1" x14ac:dyDescent="0.25"/>
    <row r="253134" customFormat="1" x14ac:dyDescent="0.25"/>
    <row r="253135" customFormat="1" x14ac:dyDescent="0.25"/>
    <row r="253136" customFormat="1" x14ac:dyDescent="0.25"/>
    <row r="253137" customFormat="1" x14ac:dyDescent="0.25"/>
    <row r="253138" customFormat="1" x14ac:dyDescent="0.25"/>
    <row r="253139" customFormat="1" x14ac:dyDescent="0.25"/>
    <row r="253140" customFormat="1" x14ac:dyDescent="0.25"/>
    <row r="253141" customFormat="1" x14ac:dyDescent="0.25"/>
    <row r="253142" customFormat="1" x14ac:dyDescent="0.25"/>
    <row r="253143" customFormat="1" x14ac:dyDescent="0.25"/>
    <row r="253144" customFormat="1" x14ac:dyDescent="0.25"/>
    <row r="253145" customFormat="1" x14ac:dyDescent="0.25"/>
    <row r="253146" customFormat="1" x14ac:dyDescent="0.25"/>
    <row r="253147" customFormat="1" x14ac:dyDescent="0.25"/>
    <row r="253148" customFormat="1" x14ac:dyDescent="0.25"/>
    <row r="253149" customFormat="1" x14ac:dyDescent="0.25"/>
    <row r="253150" customFormat="1" x14ac:dyDescent="0.25"/>
    <row r="253151" customFormat="1" x14ac:dyDescent="0.25"/>
    <row r="253152" customFormat="1" x14ac:dyDescent="0.25"/>
    <row r="253153" customFormat="1" x14ac:dyDescent="0.25"/>
    <row r="253154" customFormat="1" x14ac:dyDescent="0.25"/>
    <row r="253155" customFormat="1" x14ac:dyDescent="0.25"/>
    <row r="253156" customFormat="1" x14ac:dyDescent="0.25"/>
    <row r="253157" customFormat="1" x14ac:dyDescent="0.25"/>
    <row r="253158" customFormat="1" x14ac:dyDescent="0.25"/>
    <row r="253159" customFormat="1" x14ac:dyDescent="0.25"/>
    <row r="253160" customFormat="1" x14ac:dyDescent="0.25"/>
    <row r="253161" customFormat="1" x14ac:dyDescent="0.25"/>
    <row r="253162" customFormat="1" x14ac:dyDescent="0.25"/>
    <row r="253163" customFormat="1" x14ac:dyDescent="0.25"/>
    <row r="253164" customFormat="1" x14ac:dyDescent="0.25"/>
    <row r="253165" customFormat="1" x14ac:dyDescent="0.25"/>
    <row r="253166" customFormat="1" x14ac:dyDescent="0.25"/>
    <row r="253167" customFormat="1" x14ac:dyDescent="0.25"/>
    <row r="253168" customFormat="1" x14ac:dyDescent="0.25"/>
    <row r="253169" customFormat="1" x14ac:dyDescent="0.25"/>
    <row r="253170" customFormat="1" x14ac:dyDescent="0.25"/>
    <row r="253171" customFormat="1" x14ac:dyDescent="0.25"/>
    <row r="253172" customFormat="1" x14ac:dyDescent="0.25"/>
    <row r="253173" customFormat="1" x14ac:dyDescent="0.25"/>
    <row r="253174" customFormat="1" x14ac:dyDescent="0.25"/>
    <row r="253175" customFormat="1" x14ac:dyDescent="0.25"/>
    <row r="253176" customFormat="1" x14ac:dyDescent="0.25"/>
    <row r="253177" customFormat="1" x14ac:dyDescent="0.25"/>
    <row r="253178" customFormat="1" x14ac:dyDescent="0.25"/>
    <row r="253179" customFormat="1" x14ac:dyDescent="0.25"/>
    <row r="253180" customFormat="1" x14ac:dyDescent="0.25"/>
    <row r="253181" customFormat="1" x14ac:dyDescent="0.25"/>
    <row r="253182" customFormat="1" x14ac:dyDescent="0.25"/>
    <row r="253183" customFormat="1" x14ac:dyDescent="0.25"/>
    <row r="253184" customFormat="1" x14ac:dyDescent="0.25"/>
    <row r="253185" customFormat="1" x14ac:dyDescent="0.25"/>
    <row r="253186" customFormat="1" x14ac:dyDescent="0.25"/>
    <row r="253187" customFormat="1" x14ac:dyDescent="0.25"/>
    <row r="253188" customFormat="1" x14ac:dyDescent="0.25"/>
    <row r="253189" customFormat="1" x14ac:dyDescent="0.25"/>
    <row r="253190" customFormat="1" x14ac:dyDescent="0.25"/>
    <row r="253191" customFormat="1" x14ac:dyDescent="0.25"/>
    <row r="253192" customFormat="1" x14ac:dyDescent="0.25"/>
    <row r="253193" customFormat="1" x14ac:dyDescent="0.25"/>
    <row r="253194" customFormat="1" x14ac:dyDescent="0.25"/>
    <row r="253195" customFormat="1" x14ac:dyDescent="0.25"/>
    <row r="253196" customFormat="1" x14ac:dyDescent="0.25"/>
    <row r="253197" customFormat="1" x14ac:dyDescent="0.25"/>
    <row r="253198" customFormat="1" x14ac:dyDescent="0.25"/>
    <row r="253199" customFormat="1" x14ac:dyDescent="0.25"/>
    <row r="253200" customFormat="1" x14ac:dyDescent="0.25"/>
    <row r="253201" customFormat="1" x14ac:dyDescent="0.25"/>
    <row r="253202" customFormat="1" x14ac:dyDescent="0.25"/>
    <row r="253203" customFormat="1" x14ac:dyDescent="0.25"/>
    <row r="253204" customFormat="1" x14ac:dyDescent="0.25"/>
    <row r="253205" customFormat="1" x14ac:dyDescent="0.25"/>
    <row r="253206" customFormat="1" x14ac:dyDescent="0.25"/>
    <row r="253207" customFormat="1" x14ac:dyDescent="0.25"/>
    <row r="253208" customFormat="1" x14ac:dyDescent="0.25"/>
    <row r="253209" customFormat="1" x14ac:dyDescent="0.25"/>
    <row r="253210" customFormat="1" x14ac:dyDescent="0.25"/>
    <row r="253211" customFormat="1" x14ac:dyDescent="0.25"/>
    <row r="253212" customFormat="1" x14ac:dyDescent="0.25"/>
    <row r="253213" customFormat="1" x14ac:dyDescent="0.25"/>
    <row r="253214" customFormat="1" x14ac:dyDescent="0.25"/>
    <row r="253215" customFormat="1" x14ac:dyDescent="0.25"/>
    <row r="253216" customFormat="1" x14ac:dyDescent="0.25"/>
    <row r="253217" customFormat="1" x14ac:dyDescent="0.25"/>
    <row r="253218" customFormat="1" x14ac:dyDescent="0.25"/>
    <row r="253219" customFormat="1" x14ac:dyDescent="0.25"/>
    <row r="253220" customFormat="1" x14ac:dyDescent="0.25"/>
    <row r="253221" customFormat="1" x14ac:dyDescent="0.25"/>
    <row r="253222" customFormat="1" x14ac:dyDescent="0.25"/>
    <row r="253223" customFormat="1" x14ac:dyDescent="0.25"/>
    <row r="253224" customFormat="1" x14ac:dyDescent="0.25"/>
    <row r="253225" customFormat="1" x14ac:dyDescent="0.25"/>
    <row r="253226" customFormat="1" x14ac:dyDescent="0.25"/>
    <row r="253227" customFormat="1" x14ac:dyDescent="0.25"/>
    <row r="253228" customFormat="1" x14ac:dyDescent="0.25"/>
    <row r="253229" customFormat="1" x14ac:dyDescent="0.25"/>
    <row r="253230" customFormat="1" x14ac:dyDescent="0.25"/>
    <row r="253231" customFormat="1" x14ac:dyDescent="0.25"/>
    <row r="253232" customFormat="1" x14ac:dyDescent="0.25"/>
    <row r="253233" customFormat="1" x14ac:dyDescent="0.25"/>
    <row r="253234" customFormat="1" x14ac:dyDescent="0.25"/>
    <row r="253235" customFormat="1" x14ac:dyDescent="0.25"/>
    <row r="253236" customFormat="1" x14ac:dyDescent="0.25"/>
    <row r="253237" customFormat="1" x14ac:dyDescent="0.25"/>
    <row r="253238" customFormat="1" x14ac:dyDescent="0.25"/>
    <row r="253239" customFormat="1" x14ac:dyDescent="0.25"/>
    <row r="253240" customFormat="1" x14ac:dyDescent="0.25"/>
    <row r="253241" customFormat="1" x14ac:dyDescent="0.25"/>
    <row r="253242" customFormat="1" x14ac:dyDescent="0.25"/>
    <row r="253243" customFormat="1" x14ac:dyDescent="0.25"/>
    <row r="253244" customFormat="1" x14ac:dyDescent="0.25"/>
    <row r="253245" customFormat="1" x14ac:dyDescent="0.25"/>
    <row r="253246" customFormat="1" x14ac:dyDescent="0.25"/>
    <row r="253247" customFormat="1" x14ac:dyDescent="0.25"/>
    <row r="253248" customFormat="1" x14ac:dyDescent="0.25"/>
    <row r="253249" customFormat="1" x14ac:dyDescent="0.25"/>
    <row r="253250" customFormat="1" x14ac:dyDescent="0.25"/>
    <row r="253251" customFormat="1" x14ac:dyDescent="0.25"/>
    <row r="253252" customFormat="1" x14ac:dyDescent="0.25"/>
    <row r="253253" customFormat="1" x14ac:dyDescent="0.25"/>
    <row r="253254" customFormat="1" x14ac:dyDescent="0.25"/>
    <row r="253255" customFormat="1" x14ac:dyDescent="0.25"/>
    <row r="253256" customFormat="1" x14ac:dyDescent="0.25"/>
    <row r="253257" customFormat="1" x14ac:dyDescent="0.25"/>
    <row r="253258" customFormat="1" x14ac:dyDescent="0.25"/>
    <row r="253259" customFormat="1" x14ac:dyDescent="0.25"/>
    <row r="253260" customFormat="1" x14ac:dyDescent="0.25"/>
    <row r="253261" customFormat="1" x14ac:dyDescent="0.25"/>
    <row r="253262" customFormat="1" x14ac:dyDescent="0.25"/>
    <row r="253263" customFormat="1" x14ac:dyDescent="0.25"/>
    <row r="253264" customFormat="1" x14ac:dyDescent="0.25"/>
    <row r="253265" customFormat="1" x14ac:dyDescent="0.25"/>
    <row r="253266" customFormat="1" x14ac:dyDescent="0.25"/>
    <row r="253267" customFormat="1" x14ac:dyDescent="0.25"/>
    <row r="253268" customFormat="1" x14ac:dyDescent="0.25"/>
    <row r="253269" customFormat="1" x14ac:dyDescent="0.25"/>
    <row r="253270" customFormat="1" x14ac:dyDescent="0.25"/>
    <row r="253271" customFormat="1" x14ac:dyDescent="0.25"/>
    <row r="253272" customFormat="1" x14ac:dyDescent="0.25"/>
    <row r="253273" customFormat="1" x14ac:dyDescent="0.25"/>
    <row r="253274" customFormat="1" x14ac:dyDescent="0.25"/>
    <row r="253275" customFormat="1" x14ac:dyDescent="0.25"/>
    <row r="253276" customFormat="1" x14ac:dyDescent="0.25"/>
    <row r="253277" customFormat="1" x14ac:dyDescent="0.25"/>
    <row r="253278" customFormat="1" x14ac:dyDescent="0.25"/>
    <row r="253279" customFormat="1" x14ac:dyDescent="0.25"/>
    <row r="253280" customFormat="1" x14ac:dyDescent="0.25"/>
    <row r="253281" customFormat="1" x14ac:dyDescent="0.25"/>
    <row r="253282" customFormat="1" x14ac:dyDescent="0.25"/>
    <row r="253283" customFormat="1" x14ac:dyDescent="0.25"/>
    <row r="253284" customFormat="1" x14ac:dyDescent="0.25"/>
    <row r="253285" customFormat="1" x14ac:dyDescent="0.25"/>
    <row r="253286" customFormat="1" x14ac:dyDescent="0.25"/>
    <row r="253287" customFormat="1" x14ac:dyDescent="0.25"/>
    <row r="253288" customFormat="1" x14ac:dyDescent="0.25"/>
    <row r="253289" customFormat="1" x14ac:dyDescent="0.25"/>
    <row r="253290" customFormat="1" x14ac:dyDescent="0.25"/>
    <row r="253291" customFormat="1" x14ac:dyDescent="0.25"/>
    <row r="253292" customFormat="1" x14ac:dyDescent="0.25"/>
    <row r="253293" customFormat="1" x14ac:dyDescent="0.25"/>
    <row r="253294" customFormat="1" x14ac:dyDescent="0.25"/>
    <row r="253295" customFormat="1" x14ac:dyDescent="0.25"/>
    <row r="253296" customFormat="1" x14ac:dyDescent="0.25"/>
    <row r="253297" customFormat="1" x14ac:dyDescent="0.25"/>
    <row r="253298" customFormat="1" x14ac:dyDescent="0.25"/>
    <row r="253299" customFormat="1" x14ac:dyDescent="0.25"/>
    <row r="253300" customFormat="1" x14ac:dyDescent="0.25"/>
    <row r="253301" customFormat="1" x14ac:dyDescent="0.25"/>
    <row r="253302" customFormat="1" x14ac:dyDescent="0.25"/>
    <row r="253303" customFormat="1" x14ac:dyDescent="0.25"/>
    <row r="253304" customFormat="1" x14ac:dyDescent="0.25"/>
    <row r="253305" customFormat="1" x14ac:dyDescent="0.25"/>
    <row r="253306" customFormat="1" x14ac:dyDescent="0.25"/>
    <row r="253307" customFormat="1" x14ac:dyDescent="0.25"/>
    <row r="253308" customFormat="1" x14ac:dyDescent="0.25"/>
    <row r="253309" customFormat="1" x14ac:dyDescent="0.25"/>
    <row r="253310" customFormat="1" x14ac:dyDescent="0.25"/>
    <row r="253311" customFormat="1" x14ac:dyDescent="0.25"/>
    <row r="253312" customFormat="1" x14ac:dyDescent="0.25"/>
    <row r="253313" customFormat="1" x14ac:dyDescent="0.25"/>
    <row r="253314" customFormat="1" x14ac:dyDescent="0.25"/>
    <row r="253315" customFormat="1" x14ac:dyDescent="0.25"/>
    <row r="253316" customFormat="1" x14ac:dyDescent="0.25"/>
    <row r="253317" customFormat="1" x14ac:dyDescent="0.25"/>
    <row r="253318" customFormat="1" x14ac:dyDescent="0.25"/>
    <row r="253319" customFormat="1" x14ac:dyDescent="0.25"/>
    <row r="253320" customFormat="1" x14ac:dyDescent="0.25"/>
    <row r="253321" customFormat="1" x14ac:dyDescent="0.25"/>
    <row r="253322" customFormat="1" x14ac:dyDescent="0.25"/>
    <row r="253323" customFormat="1" x14ac:dyDescent="0.25"/>
    <row r="253324" customFormat="1" x14ac:dyDescent="0.25"/>
    <row r="253325" customFormat="1" x14ac:dyDescent="0.25"/>
    <row r="253326" customFormat="1" x14ac:dyDescent="0.25"/>
    <row r="253327" customFormat="1" x14ac:dyDescent="0.25"/>
    <row r="253328" customFormat="1" x14ac:dyDescent="0.25"/>
    <row r="253329" customFormat="1" x14ac:dyDescent="0.25"/>
    <row r="253330" customFormat="1" x14ac:dyDescent="0.25"/>
    <row r="253331" customFormat="1" x14ac:dyDescent="0.25"/>
    <row r="253332" customFormat="1" x14ac:dyDescent="0.25"/>
    <row r="253333" customFormat="1" x14ac:dyDescent="0.25"/>
    <row r="253334" customFormat="1" x14ac:dyDescent="0.25"/>
    <row r="253335" customFormat="1" x14ac:dyDescent="0.25"/>
    <row r="253336" customFormat="1" x14ac:dyDescent="0.25"/>
    <row r="253337" customFormat="1" x14ac:dyDescent="0.25"/>
    <row r="253338" customFormat="1" x14ac:dyDescent="0.25"/>
    <row r="253339" customFormat="1" x14ac:dyDescent="0.25"/>
    <row r="253340" customFormat="1" x14ac:dyDescent="0.25"/>
    <row r="253341" customFormat="1" x14ac:dyDescent="0.25"/>
    <row r="253342" customFormat="1" x14ac:dyDescent="0.25"/>
    <row r="253343" customFormat="1" x14ac:dyDescent="0.25"/>
    <row r="253344" customFormat="1" x14ac:dyDescent="0.25"/>
    <row r="253345" customFormat="1" x14ac:dyDescent="0.25"/>
    <row r="253346" customFormat="1" x14ac:dyDescent="0.25"/>
    <row r="253347" customFormat="1" x14ac:dyDescent="0.25"/>
    <row r="253348" customFormat="1" x14ac:dyDescent="0.25"/>
    <row r="253349" customFormat="1" x14ac:dyDescent="0.25"/>
    <row r="253350" customFormat="1" x14ac:dyDescent="0.25"/>
    <row r="253351" customFormat="1" x14ac:dyDescent="0.25"/>
    <row r="253352" customFormat="1" x14ac:dyDescent="0.25"/>
    <row r="253353" customFormat="1" x14ac:dyDescent="0.25"/>
    <row r="253354" customFormat="1" x14ac:dyDescent="0.25"/>
    <row r="253355" customFormat="1" x14ac:dyDescent="0.25"/>
    <row r="253356" customFormat="1" x14ac:dyDescent="0.25"/>
    <row r="253357" customFormat="1" x14ac:dyDescent="0.25"/>
    <row r="253358" customFormat="1" x14ac:dyDescent="0.25"/>
    <row r="253359" customFormat="1" x14ac:dyDescent="0.25"/>
    <row r="253360" customFormat="1" x14ac:dyDescent="0.25"/>
    <row r="253361" customFormat="1" x14ac:dyDescent="0.25"/>
    <row r="253362" customFormat="1" x14ac:dyDescent="0.25"/>
    <row r="253363" customFormat="1" x14ac:dyDescent="0.25"/>
    <row r="253364" customFormat="1" x14ac:dyDescent="0.25"/>
    <row r="253365" customFormat="1" x14ac:dyDescent="0.25"/>
    <row r="253366" customFormat="1" x14ac:dyDescent="0.25"/>
    <row r="253367" customFormat="1" x14ac:dyDescent="0.25"/>
    <row r="253368" customFormat="1" x14ac:dyDescent="0.25"/>
    <row r="253369" customFormat="1" x14ac:dyDescent="0.25"/>
    <row r="253370" customFormat="1" x14ac:dyDescent="0.25"/>
    <row r="253371" customFormat="1" x14ac:dyDescent="0.25"/>
    <row r="253372" customFormat="1" x14ac:dyDescent="0.25"/>
    <row r="253373" customFormat="1" x14ac:dyDescent="0.25"/>
    <row r="253374" customFormat="1" x14ac:dyDescent="0.25"/>
    <row r="253375" customFormat="1" x14ac:dyDescent="0.25"/>
    <row r="253376" customFormat="1" x14ac:dyDescent="0.25"/>
    <row r="253377" customFormat="1" x14ac:dyDescent="0.25"/>
    <row r="253378" customFormat="1" x14ac:dyDescent="0.25"/>
    <row r="253379" customFormat="1" x14ac:dyDescent="0.25"/>
    <row r="253380" customFormat="1" x14ac:dyDescent="0.25"/>
    <row r="253381" customFormat="1" x14ac:dyDescent="0.25"/>
    <row r="253382" customFormat="1" x14ac:dyDescent="0.25"/>
    <row r="253383" customFormat="1" x14ac:dyDescent="0.25"/>
    <row r="253384" customFormat="1" x14ac:dyDescent="0.25"/>
    <row r="253385" customFormat="1" x14ac:dyDescent="0.25"/>
    <row r="253386" customFormat="1" x14ac:dyDescent="0.25"/>
    <row r="253387" customFormat="1" x14ac:dyDescent="0.25"/>
    <row r="253388" customFormat="1" x14ac:dyDescent="0.25"/>
    <row r="253389" customFormat="1" x14ac:dyDescent="0.25"/>
    <row r="253390" customFormat="1" x14ac:dyDescent="0.25"/>
    <row r="253391" customFormat="1" x14ac:dyDescent="0.25"/>
    <row r="253392" customFormat="1" x14ac:dyDescent="0.25"/>
    <row r="253393" customFormat="1" x14ac:dyDescent="0.25"/>
    <row r="253394" customFormat="1" x14ac:dyDescent="0.25"/>
    <row r="253395" customFormat="1" x14ac:dyDescent="0.25"/>
    <row r="253396" customFormat="1" x14ac:dyDescent="0.25"/>
    <row r="253397" customFormat="1" x14ac:dyDescent="0.25"/>
    <row r="253398" customFormat="1" x14ac:dyDescent="0.25"/>
    <row r="253399" customFormat="1" x14ac:dyDescent="0.25"/>
    <row r="253400" customFormat="1" x14ac:dyDescent="0.25"/>
    <row r="253401" customFormat="1" x14ac:dyDescent="0.25"/>
    <row r="253402" customFormat="1" x14ac:dyDescent="0.25"/>
    <row r="253403" customFormat="1" x14ac:dyDescent="0.25"/>
    <row r="253404" customFormat="1" x14ac:dyDescent="0.25"/>
    <row r="253405" customFormat="1" x14ac:dyDescent="0.25"/>
    <row r="253406" customFormat="1" x14ac:dyDescent="0.25"/>
    <row r="253407" customFormat="1" x14ac:dyDescent="0.25"/>
    <row r="253408" customFormat="1" x14ac:dyDescent="0.25"/>
    <row r="253409" customFormat="1" x14ac:dyDescent="0.25"/>
    <row r="253410" customFormat="1" x14ac:dyDescent="0.25"/>
    <row r="253411" customFormat="1" x14ac:dyDescent="0.25"/>
    <row r="253412" customFormat="1" x14ac:dyDescent="0.25"/>
    <row r="253413" customFormat="1" x14ac:dyDescent="0.25"/>
    <row r="253414" customFormat="1" x14ac:dyDescent="0.25"/>
    <row r="253415" customFormat="1" x14ac:dyDescent="0.25"/>
    <row r="253416" customFormat="1" x14ac:dyDescent="0.25"/>
    <row r="253417" customFormat="1" x14ac:dyDescent="0.25"/>
    <row r="253418" customFormat="1" x14ac:dyDescent="0.25"/>
    <row r="253419" customFormat="1" x14ac:dyDescent="0.25"/>
    <row r="253420" customFormat="1" x14ac:dyDescent="0.25"/>
    <row r="253421" customFormat="1" x14ac:dyDescent="0.25"/>
    <row r="253422" customFormat="1" x14ac:dyDescent="0.25"/>
    <row r="253423" customFormat="1" x14ac:dyDescent="0.25"/>
    <row r="253424" customFormat="1" x14ac:dyDescent="0.25"/>
    <row r="253425" customFormat="1" x14ac:dyDescent="0.25"/>
    <row r="253426" customFormat="1" x14ac:dyDescent="0.25"/>
    <row r="253427" customFormat="1" x14ac:dyDescent="0.25"/>
    <row r="253428" customFormat="1" x14ac:dyDescent="0.25"/>
    <row r="253429" customFormat="1" x14ac:dyDescent="0.25"/>
    <row r="253430" customFormat="1" x14ac:dyDescent="0.25"/>
    <row r="253431" customFormat="1" x14ac:dyDescent="0.25"/>
    <row r="253432" customFormat="1" x14ac:dyDescent="0.25"/>
    <row r="253433" customFormat="1" x14ac:dyDescent="0.25"/>
    <row r="253434" customFormat="1" x14ac:dyDescent="0.25"/>
    <row r="253435" customFormat="1" x14ac:dyDescent="0.25"/>
    <row r="253436" customFormat="1" x14ac:dyDescent="0.25"/>
    <row r="253437" customFormat="1" x14ac:dyDescent="0.25"/>
    <row r="253438" customFormat="1" x14ac:dyDescent="0.25"/>
    <row r="253439" customFormat="1" x14ac:dyDescent="0.25"/>
    <row r="253440" customFormat="1" x14ac:dyDescent="0.25"/>
    <row r="253441" customFormat="1" x14ac:dyDescent="0.25"/>
    <row r="253442" customFormat="1" x14ac:dyDescent="0.25"/>
    <row r="253443" customFormat="1" x14ac:dyDescent="0.25"/>
    <row r="253444" customFormat="1" x14ac:dyDescent="0.25"/>
    <row r="253445" customFormat="1" x14ac:dyDescent="0.25"/>
    <row r="253446" customFormat="1" x14ac:dyDescent="0.25"/>
    <row r="253447" customFormat="1" x14ac:dyDescent="0.25"/>
    <row r="253448" customFormat="1" x14ac:dyDescent="0.25"/>
    <row r="253449" customFormat="1" x14ac:dyDescent="0.25"/>
    <row r="253450" customFormat="1" x14ac:dyDescent="0.25"/>
    <row r="253451" customFormat="1" x14ac:dyDescent="0.25"/>
    <row r="253452" customFormat="1" x14ac:dyDescent="0.25"/>
    <row r="253453" customFormat="1" x14ac:dyDescent="0.25"/>
    <row r="253454" customFormat="1" x14ac:dyDescent="0.25"/>
    <row r="253455" customFormat="1" x14ac:dyDescent="0.25"/>
    <row r="253456" customFormat="1" x14ac:dyDescent="0.25"/>
    <row r="253457" customFormat="1" x14ac:dyDescent="0.25"/>
    <row r="253458" customFormat="1" x14ac:dyDescent="0.25"/>
    <row r="253459" customFormat="1" x14ac:dyDescent="0.25"/>
    <row r="253460" customFormat="1" x14ac:dyDescent="0.25"/>
    <row r="253461" customFormat="1" x14ac:dyDescent="0.25"/>
    <row r="253462" customFormat="1" x14ac:dyDescent="0.25"/>
    <row r="253463" customFormat="1" x14ac:dyDescent="0.25"/>
    <row r="253464" customFormat="1" x14ac:dyDescent="0.25"/>
    <row r="253465" customFormat="1" x14ac:dyDescent="0.25"/>
    <row r="253466" customFormat="1" x14ac:dyDescent="0.25"/>
    <row r="253467" customFormat="1" x14ac:dyDescent="0.25"/>
    <row r="253468" customFormat="1" x14ac:dyDescent="0.25"/>
    <row r="253469" customFormat="1" x14ac:dyDescent="0.25"/>
    <row r="253470" customFormat="1" x14ac:dyDescent="0.25"/>
    <row r="253471" customFormat="1" x14ac:dyDescent="0.25"/>
    <row r="253472" customFormat="1" x14ac:dyDescent="0.25"/>
    <row r="253473" customFormat="1" x14ac:dyDescent="0.25"/>
    <row r="253474" customFormat="1" x14ac:dyDescent="0.25"/>
    <row r="253475" customFormat="1" x14ac:dyDescent="0.25"/>
    <row r="253476" customFormat="1" x14ac:dyDescent="0.25"/>
    <row r="253477" customFormat="1" x14ac:dyDescent="0.25"/>
    <row r="253478" customFormat="1" x14ac:dyDescent="0.25"/>
    <row r="253479" customFormat="1" x14ac:dyDescent="0.25"/>
    <row r="253480" customFormat="1" x14ac:dyDescent="0.25"/>
    <row r="253481" customFormat="1" x14ac:dyDescent="0.25"/>
    <row r="253482" customFormat="1" x14ac:dyDescent="0.25"/>
    <row r="253483" customFormat="1" x14ac:dyDescent="0.25"/>
    <row r="253484" customFormat="1" x14ac:dyDescent="0.25"/>
    <row r="253485" customFormat="1" x14ac:dyDescent="0.25"/>
    <row r="253486" customFormat="1" x14ac:dyDescent="0.25"/>
    <row r="253487" customFormat="1" x14ac:dyDescent="0.25"/>
    <row r="253488" customFormat="1" x14ac:dyDescent="0.25"/>
    <row r="253489" customFormat="1" x14ac:dyDescent="0.25"/>
    <row r="253490" customFormat="1" x14ac:dyDescent="0.25"/>
    <row r="253491" customFormat="1" x14ac:dyDescent="0.25"/>
    <row r="253492" customFormat="1" x14ac:dyDescent="0.25"/>
    <row r="253493" customFormat="1" x14ac:dyDescent="0.25"/>
    <row r="253494" customFormat="1" x14ac:dyDescent="0.25"/>
    <row r="253495" customFormat="1" x14ac:dyDescent="0.25"/>
    <row r="253496" customFormat="1" x14ac:dyDescent="0.25"/>
    <row r="253497" customFormat="1" x14ac:dyDescent="0.25"/>
    <row r="253498" customFormat="1" x14ac:dyDescent="0.25"/>
    <row r="253499" customFormat="1" x14ac:dyDescent="0.25"/>
    <row r="253500" customFormat="1" x14ac:dyDescent="0.25"/>
    <row r="253501" customFormat="1" x14ac:dyDescent="0.25"/>
    <row r="253502" customFormat="1" x14ac:dyDescent="0.25"/>
    <row r="253503" customFormat="1" x14ac:dyDescent="0.25"/>
    <row r="253504" customFormat="1" x14ac:dyDescent="0.25"/>
    <row r="253505" customFormat="1" x14ac:dyDescent="0.25"/>
    <row r="253506" customFormat="1" x14ac:dyDescent="0.25"/>
    <row r="253507" customFormat="1" x14ac:dyDescent="0.25"/>
    <row r="253508" customFormat="1" x14ac:dyDescent="0.25"/>
    <row r="253509" customFormat="1" x14ac:dyDescent="0.25"/>
    <row r="253510" customFormat="1" x14ac:dyDescent="0.25"/>
    <row r="253511" customFormat="1" x14ac:dyDescent="0.25"/>
    <row r="253512" customFormat="1" x14ac:dyDescent="0.25"/>
    <row r="253513" customFormat="1" x14ac:dyDescent="0.25"/>
    <row r="253514" customFormat="1" x14ac:dyDescent="0.25"/>
    <row r="253515" customFormat="1" x14ac:dyDescent="0.25"/>
    <row r="253516" customFormat="1" x14ac:dyDescent="0.25"/>
    <row r="253517" customFormat="1" x14ac:dyDescent="0.25"/>
    <row r="253518" customFormat="1" x14ac:dyDescent="0.25"/>
    <row r="253519" customFormat="1" x14ac:dyDescent="0.25"/>
    <row r="253520" customFormat="1" x14ac:dyDescent="0.25"/>
    <row r="253521" customFormat="1" x14ac:dyDescent="0.25"/>
    <row r="253522" customFormat="1" x14ac:dyDescent="0.25"/>
    <row r="253523" customFormat="1" x14ac:dyDescent="0.25"/>
    <row r="253524" customFormat="1" x14ac:dyDescent="0.25"/>
    <row r="253525" customFormat="1" x14ac:dyDescent="0.25"/>
    <row r="253526" customFormat="1" x14ac:dyDescent="0.25"/>
    <row r="253527" customFormat="1" x14ac:dyDescent="0.25"/>
    <row r="253528" customFormat="1" x14ac:dyDescent="0.25"/>
    <row r="253529" customFormat="1" x14ac:dyDescent="0.25"/>
    <row r="253530" customFormat="1" x14ac:dyDescent="0.25"/>
    <row r="253531" customFormat="1" x14ac:dyDescent="0.25"/>
    <row r="253532" customFormat="1" x14ac:dyDescent="0.25"/>
    <row r="253533" customFormat="1" x14ac:dyDescent="0.25"/>
    <row r="253534" customFormat="1" x14ac:dyDescent="0.25"/>
    <row r="253535" customFormat="1" x14ac:dyDescent="0.25"/>
    <row r="253536" customFormat="1" x14ac:dyDescent="0.25"/>
    <row r="253537" customFormat="1" x14ac:dyDescent="0.25"/>
    <row r="253538" customFormat="1" x14ac:dyDescent="0.25"/>
    <row r="253539" customFormat="1" x14ac:dyDescent="0.25"/>
    <row r="253540" customFormat="1" x14ac:dyDescent="0.25"/>
    <row r="253541" customFormat="1" x14ac:dyDescent="0.25"/>
    <row r="253542" customFormat="1" x14ac:dyDescent="0.25"/>
    <row r="253543" customFormat="1" x14ac:dyDescent="0.25"/>
    <row r="253544" customFormat="1" x14ac:dyDescent="0.25"/>
    <row r="253545" customFormat="1" x14ac:dyDescent="0.25"/>
    <row r="253546" customFormat="1" x14ac:dyDescent="0.25"/>
    <row r="253547" customFormat="1" x14ac:dyDescent="0.25"/>
    <row r="253548" customFormat="1" x14ac:dyDescent="0.25"/>
    <row r="253549" customFormat="1" x14ac:dyDescent="0.25"/>
    <row r="253550" customFormat="1" x14ac:dyDescent="0.25"/>
    <row r="253551" customFormat="1" x14ac:dyDescent="0.25"/>
    <row r="253552" customFormat="1" x14ac:dyDescent="0.25"/>
    <row r="253553" customFormat="1" x14ac:dyDescent="0.25"/>
    <row r="253554" customFormat="1" x14ac:dyDescent="0.25"/>
    <row r="253555" customFormat="1" x14ac:dyDescent="0.25"/>
    <row r="253556" customFormat="1" x14ac:dyDescent="0.25"/>
    <row r="253557" customFormat="1" x14ac:dyDescent="0.25"/>
    <row r="253558" customFormat="1" x14ac:dyDescent="0.25"/>
    <row r="253559" customFormat="1" x14ac:dyDescent="0.25"/>
    <row r="253560" customFormat="1" x14ac:dyDescent="0.25"/>
    <row r="253561" customFormat="1" x14ac:dyDescent="0.25"/>
    <row r="253562" customFormat="1" x14ac:dyDescent="0.25"/>
    <row r="253563" customFormat="1" x14ac:dyDescent="0.25"/>
    <row r="253564" customFormat="1" x14ac:dyDescent="0.25"/>
    <row r="253565" customFormat="1" x14ac:dyDescent="0.25"/>
    <row r="253566" customFormat="1" x14ac:dyDescent="0.25"/>
    <row r="253567" customFormat="1" x14ac:dyDescent="0.25"/>
    <row r="253568" customFormat="1" x14ac:dyDescent="0.25"/>
    <row r="253569" customFormat="1" x14ac:dyDescent="0.25"/>
    <row r="253570" customFormat="1" x14ac:dyDescent="0.25"/>
    <row r="253571" customFormat="1" x14ac:dyDescent="0.25"/>
    <row r="253572" customFormat="1" x14ac:dyDescent="0.25"/>
    <row r="253573" customFormat="1" x14ac:dyDescent="0.25"/>
    <row r="253574" customFormat="1" x14ac:dyDescent="0.25"/>
    <row r="253575" customFormat="1" x14ac:dyDescent="0.25"/>
    <row r="253576" customFormat="1" x14ac:dyDescent="0.25"/>
    <row r="253577" customFormat="1" x14ac:dyDescent="0.25"/>
    <row r="253578" customFormat="1" x14ac:dyDescent="0.25"/>
    <row r="253579" customFormat="1" x14ac:dyDescent="0.25"/>
    <row r="253580" customFormat="1" x14ac:dyDescent="0.25"/>
    <row r="253581" customFormat="1" x14ac:dyDescent="0.25"/>
    <row r="253582" customFormat="1" x14ac:dyDescent="0.25"/>
    <row r="253583" customFormat="1" x14ac:dyDescent="0.25"/>
    <row r="253584" customFormat="1" x14ac:dyDescent="0.25"/>
    <row r="253585" customFormat="1" x14ac:dyDescent="0.25"/>
    <row r="253586" customFormat="1" x14ac:dyDescent="0.25"/>
    <row r="253587" customFormat="1" x14ac:dyDescent="0.25"/>
    <row r="253588" customFormat="1" x14ac:dyDescent="0.25"/>
    <row r="253589" customFormat="1" x14ac:dyDescent="0.25"/>
    <row r="253590" customFormat="1" x14ac:dyDescent="0.25"/>
    <row r="253591" customFormat="1" x14ac:dyDescent="0.25"/>
    <row r="253592" customFormat="1" x14ac:dyDescent="0.25"/>
    <row r="253593" customFormat="1" x14ac:dyDescent="0.25"/>
    <row r="253594" customFormat="1" x14ac:dyDescent="0.25"/>
    <row r="253595" customFormat="1" x14ac:dyDescent="0.25"/>
    <row r="253596" customFormat="1" x14ac:dyDescent="0.25"/>
    <row r="253597" customFormat="1" x14ac:dyDescent="0.25"/>
    <row r="253598" customFormat="1" x14ac:dyDescent="0.25"/>
    <row r="253599" customFormat="1" x14ac:dyDescent="0.25"/>
    <row r="253600" customFormat="1" x14ac:dyDescent="0.25"/>
    <row r="253601" customFormat="1" x14ac:dyDescent="0.25"/>
    <row r="253602" customFormat="1" x14ac:dyDescent="0.25"/>
    <row r="253603" customFormat="1" x14ac:dyDescent="0.25"/>
    <row r="253604" customFormat="1" x14ac:dyDescent="0.25"/>
    <row r="253605" customFormat="1" x14ac:dyDescent="0.25"/>
    <row r="253606" customFormat="1" x14ac:dyDescent="0.25"/>
    <row r="253607" customFormat="1" x14ac:dyDescent="0.25"/>
    <row r="253608" customFormat="1" x14ac:dyDescent="0.25"/>
    <row r="253609" customFormat="1" x14ac:dyDescent="0.25"/>
    <row r="253610" customFormat="1" x14ac:dyDescent="0.25"/>
    <row r="253611" customFormat="1" x14ac:dyDescent="0.25"/>
    <row r="253612" customFormat="1" x14ac:dyDescent="0.25"/>
    <row r="253613" customFormat="1" x14ac:dyDescent="0.25"/>
    <row r="253614" customFormat="1" x14ac:dyDescent="0.25"/>
    <row r="253615" customFormat="1" x14ac:dyDescent="0.25"/>
    <row r="253616" customFormat="1" x14ac:dyDescent="0.25"/>
    <row r="253617" customFormat="1" x14ac:dyDescent="0.25"/>
    <row r="253618" customFormat="1" x14ac:dyDescent="0.25"/>
    <row r="253619" customFormat="1" x14ac:dyDescent="0.25"/>
    <row r="253620" customFormat="1" x14ac:dyDescent="0.25"/>
    <row r="253621" customFormat="1" x14ac:dyDescent="0.25"/>
    <row r="253622" customFormat="1" x14ac:dyDescent="0.25"/>
    <row r="253623" customFormat="1" x14ac:dyDescent="0.25"/>
    <row r="253624" customFormat="1" x14ac:dyDescent="0.25"/>
    <row r="253625" customFormat="1" x14ac:dyDescent="0.25"/>
    <row r="253626" customFormat="1" x14ac:dyDescent="0.25"/>
    <row r="253627" customFormat="1" x14ac:dyDescent="0.25"/>
    <row r="253628" customFormat="1" x14ac:dyDescent="0.25"/>
    <row r="253629" customFormat="1" x14ac:dyDescent="0.25"/>
    <row r="253630" customFormat="1" x14ac:dyDescent="0.25"/>
    <row r="253631" customFormat="1" x14ac:dyDescent="0.25"/>
    <row r="253632" customFormat="1" x14ac:dyDescent="0.25"/>
    <row r="253633" customFormat="1" x14ac:dyDescent="0.25"/>
    <row r="253634" customFormat="1" x14ac:dyDescent="0.25"/>
    <row r="253635" customFormat="1" x14ac:dyDescent="0.25"/>
    <row r="253636" customFormat="1" x14ac:dyDescent="0.25"/>
    <row r="253637" customFormat="1" x14ac:dyDescent="0.25"/>
    <row r="253638" customFormat="1" x14ac:dyDescent="0.25"/>
    <row r="253639" customFormat="1" x14ac:dyDescent="0.25"/>
    <row r="253640" customFormat="1" x14ac:dyDescent="0.25"/>
    <row r="253641" customFormat="1" x14ac:dyDescent="0.25"/>
    <row r="253642" customFormat="1" x14ac:dyDescent="0.25"/>
    <row r="253643" customFormat="1" x14ac:dyDescent="0.25"/>
    <row r="253644" customFormat="1" x14ac:dyDescent="0.25"/>
    <row r="253645" customFormat="1" x14ac:dyDescent="0.25"/>
    <row r="253646" customFormat="1" x14ac:dyDescent="0.25"/>
    <row r="253647" customFormat="1" x14ac:dyDescent="0.25"/>
    <row r="253648" customFormat="1" x14ac:dyDescent="0.25"/>
    <row r="253649" customFormat="1" x14ac:dyDescent="0.25"/>
    <row r="253650" customFormat="1" x14ac:dyDescent="0.25"/>
    <row r="253651" customFormat="1" x14ac:dyDescent="0.25"/>
    <row r="253652" customFormat="1" x14ac:dyDescent="0.25"/>
    <row r="253653" customFormat="1" x14ac:dyDescent="0.25"/>
    <row r="253654" customFormat="1" x14ac:dyDescent="0.25"/>
    <row r="253655" customFormat="1" x14ac:dyDescent="0.25"/>
    <row r="253656" customFormat="1" x14ac:dyDescent="0.25"/>
    <row r="253657" customFormat="1" x14ac:dyDescent="0.25"/>
    <row r="253658" customFormat="1" x14ac:dyDescent="0.25"/>
    <row r="253659" customFormat="1" x14ac:dyDescent="0.25"/>
    <row r="253660" customFormat="1" x14ac:dyDescent="0.25"/>
    <row r="253661" customFormat="1" x14ac:dyDescent="0.25"/>
    <row r="253662" customFormat="1" x14ac:dyDescent="0.25"/>
    <row r="253663" customFormat="1" x14ac:dyDescent="0.25"/>
    <row r="253664" customFormat="1" x14ac:dyDescent="0.25"/>
    <row r="253665" customFormat="1" x14ac:dyDescent="0.25"/>
    <row r="253666" customFormat="1" x14ac:dyDescent="0.25"/>
    <row r="253667" customFormat="1" x14ac:dyDescent="0.25"/>
    <row r="253668" customFormat="1" x14ac:dyDescent="0.25"/>
    <row r="253669" customFormat="1" x14ac:dyDescent="0.25"/>
    <row r="253670" customFormat="1" x14ac:dyDescent="0.25"/>
    <row r="253671" customFormat="1" x14ac:dyDescent="0.25"/>
    <row r="253672" customFormat="1" x14ac:dyDescent="0.25"/>
    <row r="253673" customFormat="1" x14ac:dyDescent="0.25"/>
    <row r="253674" customFormat="1" x14ac:dyDescent="0.25"/>
    <row r="253675" customFormat="1" x14ac:dyDescent="0.25"/>
    <row r="253676" customFormat="1" x14ac:dyDescent="0.25"/>
    <row r="253677" customFormat="1" x14ac:dyDescent="0.25"/>
    <row r="253678" customFormat="1" x14ac:dyDescent="0.25"/>
    <row r="253679" customFormat="1" x14ac:dyDescent="0.25"/>
    <row r="253680" customFormat="1" x14ac:dyDescent="0.25"/>
    <row r="253681" customFormat="1" x14ac:dyDescent="0.25"/>
    <row r="253682" customFormat="1" x14ac:dyDescent="0.25"/>
    <row r="253683" customFormat="1" x14ac:dyDescent="0.25"/>
    <row r="253684" customFormat="1" x14ac:dyDescent="0.25"/>
    <row r="253685" customFormat="1" x14ac:dyDescent="0.25"/>
    <row r="253686" customFormat="1" x14ac:dyDescent="0.25"/>
    <row r="253687" customFormat="1" x14ac:dyDescent="0.25"/>
    <row r="253688" customFormat="1" x14ac:dyDescent="0.25"/>
    <row r="253689" customFormat="1" x14ac:dyDescent="0.25"/>
    <row r="253690" customFormat="1" x14ac:dyDescent="0.25"/>
    <row r="253691" customFormat="1" x14ac:dyDescent="0.25"/>
    <row r="253692" customFormat="1" x14ac:dyDescent="0.25"/>
    <row r="253693" customFormat="1" x14ac:dyDescent="0.25"/>
    <row r="253694" customFormat="1" x14ac:dyDescent="0.25"/>
    <row r="253695" customFormat="1" x14ac:dyDescent="0.25"/>
    <row r="253696" customFormat="1" x14ac:dyDescent="0.25"/>
    <row r="253697" customFormat="1" x14ac:dyDescent="0.25"/>
    <row r="253698" customFormat="1" x14ac:dyDescent="0.25"/>
    <row r="253699" customFormat="1" x14ac:dyDescent="0.25"/>
    <row r="253700" customFormat="1" x14ac:dyDescent="0.25"/>
    <row r="253701" customFormat="1" x14ac:dyDescent="0.25"/>
    <row r="253702" customFormat="1" x14ac:dyDescent="0.25"/>
    <row r="253703" customFormat="1" x14ac:dyDescent="0.25"/>
    <row r="253704" customFormat="1" x14ac:dyDescent="0.25"/>
    <row r="253705" customFormat="1" x14ac:dyDescent="0.25"/>
    <row r="253706" customFormat="1" x14ac:dyDescent="0.25"/>
    <row r="253707" customFormat="1" x14ac:dyDescent="0.25"/>
    <row r="253708" customFormat="1" x14ac:dyDescent="0.25"/>
    <row r="253709" customFormat="1" x14ac:dyDescent="0.25"/>
    <row r="253710" customFormat="1" x14ac:dyDescent="0.25"/>
    <row r="253711" customFormat="1" x14ac:dyDescent="0.25"/>
    <row r="253712" customFormat="1" x14ac:dyDescent="0.25"/>
    <row r="253713" customFormat="1" x14ac:dyDescent="0.25"/>
    <row r="253714" customFormat="1" x14ac:dyDescent="0.25"/>
    <row r="253715" customFormat="1" x14ac:dyDescent="0.25"/>
    <row r="253716" customFormat="1" x14ac:dyDescent="0.25"/>
    <row r="253717" customFormat="1" x14ac:dyDescent="0.25"/>
    <row r="253718" customFormat="1" x14ac:dyDescent="0.25"/>
    <row r="253719" customFormat="1" x14ac:dyDescent="0.25"/>
    <row r="253720" customFormat="1" x14ac:dyDescent="0.25"/>
    <row r="253721" customFormat="1" x14ac:dyDescent="0.25"/>
    <row r="253722" customFormat="1" x14ac:dyDescent="0.25"/>
    <row r="253723" customFormat="1" x14ac:dyDescent="0.25"/>
    <row r="253724" customFormat="1" x14ac:dyDescent="0.25"/>
    <row r="253725" customFormat="1" x14ac:dyDescent="0.25"/>
    <row r="253726" customFormat="1" x14ac:dyDescent="0.25"/>
    <row r="253727" customFormat="1" x14ac:dyDescent="0.25"/>
    <row r="253728" customFormat="1" x14ac:dyDescent="0.25"/>
    <row r="253729" customFormat="1" x14ac:dyDescent="0.25"/>
    <row r="253730" customFormat="1" x14ac:dyDescent="0.25"/>
    <row r="253731" customFormat="1" x14ac:dyDescent="0.25"/>
    <row r="253732" customFormat="1" x14ac:dyDescent="0.25"/>
    <row r="253733" customFormat="1" x14ac:dyDescent="0.25"/>
    <row r="253734" customFormat="1" x14ac:dyDescent="0.25"/>
    <row r="253735" customFormat="1" x14ac:dyDescent="0.25"/>
    <row r="253736" customFormat="1" x14ac:dyDescent="0.25"/>
    <row r="253737" customFormat="1" x14ac:dyDescent="0.25"/>
    <row r="253738" customFormat="1" x14ac:dyDescent="0.25"/>
    <row r="253739" customFormat="1" x14ac:dyDescent="0.25"/>
    <row r="253740" customFormat="1" x14ac:dyDescent="0.25"/>
    <row r="253741" customFormat="1" x14ac:dyDescent="0.25"/>
    <row r="253742" customFormat="1" x14ac:dyDescent="0.25"/>
    <row r="253743" customFormat="1" x14ac:dyDescent="0.25"/>
    <row r="253744" customFormat="1" x14ac:dyDescent="0.25"/>
    <row r="253745" customFormat="1" x14ac:dyDescent="0.25"/>
    <row r="253746" customFormat="1" x14ac:dyDescent="0.25"/>
    <row r="253747" customFormat="1" x14ac:dyDescent="0.25"/>
    <row r="253748" customFormat="1" x14ac:dyDescent="0.25"/>
    <row r="253749" customFormat="1" x14ac:dyDescent="0.25"/>
    <row r="253750" customFormat="1" x14ac:dyDescent="0.25"/>
    <row r="253751" customFormat="1" x14ac:dyDescent="0.25"/>
    <row r="253752" customFormat="1" x14ac:dyDescent="0.25"/>
    <row r="253753" customFormat="1" x14ac:dyDescent="0.25"/>
    <row r="253754" customFormat="1" x14ac:dyDescent="0.25"/>
    <row r="253755" customFormat="1" x14ac:dyDescent="0.25"/>
    <row r="253756" customFormat="1" x14ac:dyDescent="0.25"/>
    <row r="253757" customFormat="1" x14ac:dyDescent="0.25"/>
    <row r="253758" customFormat="1" x14ac:dyDescent="0.25"/>
    <row r="253759" customFormat="1" x14ac:dyDescent="0.25"/>
    <row r="253760" customFormat="1" x14ac:dyDescent="0.25"/>
    <row r="253761" customFormat="1" x14ac:dyDescent="0.25"/>
    <row r="253762" customFormat="1" x14ac:dyDescent="0.25"/>
    <row r="253763" customFormat="1" x14ac:dyDescent="0.25"/>
    <row r="253764" customFormat="1" x14ac:dyDescent="0.25"/>
    <row r="253765" customFormat="1" x14ac:dyDescent="0.25"/>
    <row r="253766" customFormat="1" x14ac:dyDescent="0.25"/>
    <row r="253767" customFormat="1" x14ac:dyDescent="0.25"/>
    <row r="253768" customFormat="1" x14ac:dyDescent="0.25"/>
    <row r="253769" customFormat="1" x14ac:dyDescent="0.25"/>
    <row r="253770" customFormat="1" x14ac:dyDescent="0.25"/>
    <row r="253771" customFormat="1" x14ac:dyDescent="0.25"/>
    <row r="253772" customFormat="1" x14ac:dyDescent="0.25"/>
    <row r="253773" customFormat="1" x14ac:dyDescent="0.25"/>
    <row r="253774" customFormat="1" x14ac:dyDescent="0.25"/>
    <row r="253775" customFormat="1" x14ac:dyDescent="0.25"/>
    <row r="253776" customFormat="1" x14ac:dyDescent="0.25"/>
    <row r="253777" customFormat="1" x14ac:dyDescent="0.25"/>
    <row r="253778" customFormat="1" x14ac:dyDescent="0.25"/>
    <row r="253779" customFormat="1" x14ac:dyDescent="0.25"/>
    <row r="253780" customFormat="1" x14ac:dyDescent="0.25"/>
    <row r="253781" customFormat="1" x14ac:dyDescent="0.25"/>
    <row r="253782" customFormat="1" x14ac:dyDescent="0.25"/>
    <row r="253783" customFormat="1" x14ac:dyDescent="0.25"/>
    <row r="253784" customFormat="1" x14ac:dyDescent="0.25"/>
    <row r="253785" customFormat="1" x14ac:dyDescent="0.25"/>
    <row r="253786" customFormat="1" x14ac:dyDescent="0.25"/>
    <row r="253787" customFormat="1" x14ac:dyDescent="0.25"/>
    <row r="253788" customFormat="1" x14ac:dyDescent="0.25"/>
    <row r="253789" customFormat="1" x14ac:dyDescent="0.25"/>
    <row r="253790" customFormat="1" x14ac:dyDescent="0.25"/>
    <row r="253791" customFormat="1" x14ac:dyDescent="0.25"/>
    <row r="253792" customFormat="1" x14ac:dyDescent="0.25"/>
    <row r="253793" customFormat="1" x14ac:dyDescent="0.25"/>
    <row r="253794" customFormat="1" x14ac:dyDescent="0.25"/>
    <row r="253795" customFormat="1" x14ac:dyDescent="0.25"/>
    <row r="253796" customFormat="1" x14ac:dyDescent="0.25"/>
    <row r="253797" customFormat="1" x14ac:dyDescent="0.25"/>
    <row r="253798" customFormat="1" x14ac:dyDescent="0.25"/>
    <row r="253799" customFormat="1" x14ac:dyDescent="0.25"/>
    <row r="253800" customFormat="1" x14ac:dyDescent="0.25"/>
    <row r="253801" customFormat="1" x14ac:dyDescent="0.25"/>
    <row r="253802" customFormat="1" x14ac:dyDescent="0.25"/>
    <row r="253803" customFormat="1" x14ac:dyDescent="0.25"/>
    <row r="253804" customFormat="1" x14ac:dyDescent="0.25"/>
    <row r="253805" customFormat="1" x14ac:dyDescent="0.25"/>
    <row r="253806" customFormat="1" x14ac:dyDescent="0.25"/>
    <row r="253807" customFormat="1" x14ac:dyDescent="0.25"/>
    <row r="253808" customFormat="1" x14ac:dyDescent="0.25"/>
    <row r="253809" customFormat="1" x14ac:dyDescent="0.25"/>
    <row r="253810" customFormat="1" x14ac:dyDescent="0.25"/>
    <row r="253811" customFormat="1" x14ac:dyDescent="0.25"/>
    <row r="253812" customFormat="1" x14ac:dyDescent="0.25"/>
    <row r="253813" customFormat="1" x14ac:dyDescent="0.25"/>
    <row r="253814" customFormat="1" x14ac:dyDescent="0.25"/>
    <row r="253815" customFormat="1" x14ac:dyDescent="0.25"/>
    <row r="253816" customFormat="1" x14ac:dyDescent="0.25"/>
    <row r="253817" customFormat="1" x14ac:dyDescent="0.25"/>
    <row r="253818" customFormat="1" x14ac:dyDescent="0.25"/>
    <row r="253819" customFormat="1" x14ac:dyDescent="0.25"/>
    <row r="253820" customFormat="1" x14ac:dyDescent="0.25"/>
    <row r="253821" customFormat="1" x14ac:dyDescent="0.25"/>
    <row r="253822" customFormat="1" x14ac:dyDescent="0.25"/>
    <row r="253823" customFormat="1" x14ac:dyDescent="0.25"/>
    <row r="253824" customFormat="1" x14ac:dyDescent="0.25"/>
    <row r="253825" customFormat="1" x14ac:dyDescent="0.25"/>
    <row r="253826" customFormat="1" x14ac:dyDescent="0.25"/>
    <row r="253827" customFormat="1" x14ac:dyDescent="0.25"/>
    <row r="253828" customFormat="1" x14ac:dyDescent="0.25"/>
    <row r="253829" customFormat="1" x14ac:dyDescent="0.25"/>
    <row r="253830" customFormat="1" x14ac:dyDescent="0.25"/>
    <row r="253831" customFormat="1" x14ac:dyDescent="0.25"/>
    <row r="253832" customFormat="1" x14ac:dyDescent="0.25"/>
    <row r="253833" customFormat="1" x14ac:dyDescent="0.25"/>
    <row r="253834" customFormat="1" x14ac:dyDescent="0.25"/>
    <row r="253835" customFormat="1" x14ac:dyDescent="0.25"/>
    <row r="253836" customFormat="1" x14ac:dyDescent="0.25"/>
    <row r="253837" customFormat="1" x14ac:dyDescent="0.25"/>
    <row r="253838" customFormat="1" x14ac:dyDescent="0.25"/>
    <row r="253839" customFormat="1" x14ac:dyDescent="0.25"/>
    <row r="253840" customFormat="1" x14ac:dyDescent="0.25"/>
    <row r="253841" customFormat="1" x14ac:dyDescent="0.25"/>
    <row r="253842" customFormat="1" x14ac:dyDescent="0.25"/>
    <row r="253843" customFormat="1" x14ac:dyDescent="0.25"/>
    <row r="253844" customFormat="1" x14ac:dyDescent="0.25"/>
    <row r="253845" customFormat="1" x14ac:dyDescent="0.25"/>
    <row r="253846" customFormat="1" x14ac:dyDescent="0.25"/>
    <row r="253847" customFormat="1" x14ac:dyDescent="0.25"/>
    <row r="253848" customFormat="1" x14ac:dyDescent="0.25"/>
    <row r="253849" customFormat="1" x14ac:dyDescent="0.25"/>
    <row r="253850" customFormat="1" x14ac:dyDescent="0.25"/>
    <row r="253851" customFormat="1" x14ac:dyDescent="0.25"/>
    <row r="253852" customFormat="1" x14ac:dyDescent="0.25"/>
    <row r="253853" customFormat="1" x14ac:dyDescent="0.25"/>
    <row r="253854" customFormat="1" x14ac:dyDescent="0.25"/>
    <row r="253855" customFormat="1" x14ac:dyDescent="0.25"/>
    <row r="253856" customFormat="1" x14ac:dyDescent="0.25"/>
    <row r="253857" customFormat="1" x14ac:dyDescent="0.25"/>
    <row r="253858" customFormat="1" x14ac:dyDescent="0.25"/>
    <row r="253859" customFormat="1" x14ac:dyDescent="0.25"/>
    <row r="253860" customFormat="1" x14ac:dyDescent="0.25"/>
    <row r="253861" customFormat="1" x14ac:dyDescent="0.25"/>
    <row r="253862" customFormat="1" x14ac:dyDescent="0.25"/>
    <row r="253863" customFormat="1" x14ac:dyDescent="0.25"/>
    <row r="253864" customFormat="1" x14ac:dyDescent="0.25"/>
    <row r="253865" customFormat="1" x14ac:dyDescent="0.25"/>
    <row r="253866" customFormat="1" x14ac:dyDescent="0.25"/>
    <row r="253867" customFormat="1" x14ac:dyDescent="0.25"/>
    <row r="253868" customFormat="1" x14ac:dyDescent="0.25"/>
    <row r="253869" customFormat="1" x14ac:dyDescent="0.25"/>
    <row r="253870" customFormat="1" x14ac:dyDescent="0.25"/>
    <row r="253871" customFormat="1" x14ac:dyDescent="0.25"/>
    <row r="253872" customFormat="1" x14ac:dyDescent="0.25"/>
    <row r="253873" customFormat="1" x14ac:dyDescent="0.25"/>
    <row r="253874" customFormat="1" x14ac:dyDescent="0.25"/>
    <row r="253875" customFormat="1" x14ac:dyDescent="0.25"/>
    <row r="253876" customFormat="1" x14ac:dyDescent="0.25"/>
    <row r="253877" customFormat="1" x14ac:dyDescent="0.25"/>
    <row r="253878" customFormat="1" x14ac:dyDescent="0.25"/>
    <row r="253879" customFormat="1" x14ac:dyDescent="0.25"/>
    <row r="253880" customFormat="1" x14ac:dyDescent="0.25"/>
    <row r="253881" customFormat="1" x14ac:dyDescent="0.25"/>
    <row r="253882" customFormat="1" x14ac:dyDescent="0.25"/>
    <row r="253883" customFormat="1" x14ac:dyDescent="0.25"/>
    <row r="253884" customFormat="1" x14ac:dyDescent="0.25"/>
    <row r="253885" customFormat="1" x14ac:dyDescent="0.25"/>
    <row r="253886" customFormat="1" x14ac:dyDescent="0.25"/>
    <row r="253887" customFormat="1" x14ac:dyDescent="0.25"/>
    <row r="253888" customFormat="1" x14ac:dyDescent="0.25"/>
    <row r="253889" customFormat="1" x14ac:dyDescent="0.25"/>
    <row r="253890" customFormat="1" x14ac:dyDescent="0.25"/>
    <row r="253891" customFormat="1" x14ac:dyDescent="0.25"/>
    <row r="253892" customFormat="1" x14ac:dyDescent="0.25"/>
    <row r="253893" customFormat="1" x14ac:dyDescent="0.25"/>
    <row r="253894" customFormat="1" x14ac:dyDescent="0.25"/>
    <row r="253895" customFormat="1" x14ac:dyDescent="0.25"/>
    <row r="253896" customFormat="1" x14ac:dyDescent="0.25"/>
    <row r="253897" customFormat="1" x14ac:dyDescent="0.25"/>
    <row r="253898" customFormat="1" x14ac:dyDescent="0.25"/>
    <row r="253899" customFormat="1" x14ac:dyDescent="0.25"/>
    <row r="253900" customFormat="1" x14ac:dyDescent="0.25"/>
    <row r="253901" customFormat="1" x14ac:dyDescent="0.25"/>
    <row r="253902" customFormat="1" x14ac:dyDescent="0.25"/>
    <row r="253903" customFormat="1" x14ac:dyDescent="0.25"/>
    <row r="253904" customFormat="1" x14ac:dyDescent="0.25"/>
    <row r="253905" customFormat="1" x14ac:dyDescent="0.25"/>
    <row r="253906" customFormat="1" x14ac:dyDescent="0.25"/>
    <row r="253907" customFormat="1" x14ac:dyDescent="0.25"/>
    <row r="253908" customFormat="1" x14ac:dyDescent="0.25"/>
    <row r="253909" customFormat="1" x14ac:dyDescent="0.25"/>
    <row r="253910" customFormat="1" x14ac:dyDescent="0.25"/>
    <row r="253911" customFormat="1" x14ac:dyDescent="0.25"/>
    <row r="253912" customFormat="1" x14ac:dyDescent="0.25"/>
    <row r="253913" customFormat="1" x14ac:dyDescent="0.25"/>
    <row r="253914" customFormat="1" x14ac:dyDescent="0.25"/>
    <row r="253915" customFormat="1" x14ac:dyDescent="0.25"/>
    <row r="253916" customFormat="1" x14ac:dyDescent="0.25"/>
    <row r="253917" customFormat="1" x14ac:dyDescent="0.25"/>
    <row r="253918" customFormat="1" x14ac:dyDescent="0.25"/>
    <row r="253919" customFormat="1" x14ac:dyDescent="0.25"/>
    <row r="253920" customFormat="1" x14ac:dyDescent="0.25"/>
    <row r="253921" customFormat="1" x14ac:dyDescent="0.25"/>
    <row r="253922" customFormat="1" x14ac:dyDescent="0.25"/>
    <row r="253923" customFormat="1" x14ac:dyDescent="0.25"/>
    <row r="253924" customFormat="1" x14ac:dyDescent="0.25"/>
    <row r="253925" customFormat="1" x14ac:dyDescent="0.25"/>
    <row r="253926" customFormat="1" x14ac:dyDescent="0.25"/>
    <row r="253927" customFormat="1" x14ac:dyDescent="0.25"/>
    <row r="253928" customFormat="1" x14ac:dyDescent="0.25"/>
    <row r="253929" customFormat="1" x14ac:dyDescent="0.25"/>
    <row r="253930" customFormat="1" x14ac:dyDescent="0.25"/>
    <row r="253931" customFormat="1" x14ac:dyDescent="0.25"/>
    <row r="253932" customFormat="1" x14ac:dyDescent="0.25"/>
    <row r="253933" customFormat="1" x14ac:dyDescent="0.25"/>
    <row r="253934" customFormat="1" x14ac:dyDescent="0.25"/>
    <row r="253935" customFormat="1" x14ac:dyDescent="0.25"/>
    <row r="253936" customFormat="1" x14ac:dyDescent="0.25"/>
    <row r="253937" customFormat="1" x14ac:dyDescent="0.25"/>
    <row r="253938" customFormat="1" x14ac:dyDescent="0.25"/>
    <row r="253939" customFormat="1" x14ac:dyDescent="0.25"/>
    <row r="253940" customFormat="1" x14ac:dyDescent="0.25"/>
    <row r="253941" customFormat="1" x14ac:dyDescent="0.25"/>
    <row r="253942" customFormat="1" x14ac:dyDescent="0.25"/>
    <row r="253943" customFormat="1" x14ac:dyDescent="0.25"/>
    <row r="253944" customFormat="1" x14ac:dyDescent="0.25"/>
    <row r="253945" customFormat="1" x14ac:dyDescent="0.25"/>
    <row r="253946" customFormat="1" x14ac:dyDescent="0.25"/>
    <row r="253947" customFormat="1" x14ac:dyDescent="0.25"/>
    <row r="253948" customFormat="1" x14ac:dyDescent="0.25"/>
    <row r="253949" customFormat="1" x14ac:dyDescent="0.25"/>
    <row r="253950" customFormat="1" x14ac:dyDescent="0.25"/>
    <row r="253951" customFormat="1" x14ac:dyDescent="0.25"/>
    <row r="253952" customFormat="1" x14ac:dyDescent="0.25"/>
    <row r="253953" customFormat="1" x14ac:dyDescent="0.25"/>
    <row r="253954" customFormat="1" x14ac:dyDescent="0.25"/>
    <row r="253955" customFormat="1" x14ac:dyDescent="0.25"/>
    <row r="253956" customFormat="1" x14ac:dyDescent="0.25"/>
    <row r="253957" customFormat="1" x14ac:dyDescent="0.25"/>
    <row r="253958" customFormat="1" x14ac:dyDescent="0.25"/>
    <row r="253959" customFormat="1" x14ac:dyDescent="0.25"/>
    <row r="253960" customFormat="1" x14ac:dyDescent="0.25"/>
    <row r="253961" customFormat="1" x14ac:dyDescent="0.25"/>
    <row r="253962" customFormat="1" x14ac:dyDescent="0.25"/>
    <row r="253963" customFormat="1" x14ac:dyDescent="0.25"/>
    <row r="253964" customFormat="1" x14ac:dyDescent="0.25"/>
    <row r="253965" customFormat="1" x14ac:dyDescent="0.25"/>
    <row r="253966" customFormat="1" x14ac:dyDescent="0.25"/>
    <row r="253967" customFormat="1" x14ac:dyDescent="0.25"/>
    <row r="253968" customFormat="1" x14ac:dyDescent="0.25"/>
    <row r="253969" customFormat="1" x14ac:dyDescent="0.25"/>
    <row r="253970" customFormat="1" x14ac:dyDescent="0.25"/>
    <row r="253971" customFormat="1" x14ac:dyDescent="0.25"/>
    <row r="253972" customFormat="1" x14ac:dyDescent="0.25"/>
    <row r="253973" customFormat="1" x14ac:dyDescent="0.25"/>
    <row r="253974" customFormat="1" x14ac:dyDescent="0.25"/>
    <row r="253975" customFormat="1" x14ac:dyDescent="0.25"/>
    <row r="253976" customFormat="1" x14ac:dyDescent="0.25"/>
    <row r="253977" customFormat="1" x14ac:dyDescent="0.25"/>
    <row r="253978" customFormat="1" x14ac:dyDescent="0.25"/>
    <row r="253979" customFormat="1" x14ac:dyDescent="0.25"/>
    <row r="253980" customFormat="1" x14ac:dyDescent="0.25"/>
    <row r="253981" customFormat="1" x14ac:dyDescent="0.25"/>
    <row r="253982" customFormat="1" x14ac:dyDescent="0.25"/>
    <row r="253983" customFormat="1" x14ac:dyDescent="0.25"/>
    <row r="253984" customFormat="1" x14ac:dyDescent="0.25"/>
    <row r="253985" customFormat="1" x14ac:dyDescent="0.25"/>
    <row r="253986" customFormat="1" x14ac:dyDescent="0.25"/>
    <row r="253987" customFormat="1" x14ac:dyDescent="0.25"/>
    <row r="253988" customFormat="1" x14ac:dyDescent="0.25"/>
    <row r="253989" customFormat="1" x14ac:dyDescent="0.25"/>
    <row r="253990" customFormat="1" x14ac:dyDescent="0.25"/>
    <row r="253991" customFormat="1" x14ac:dyDescent="0.25"/>
    <row r="253992" customFormat="1" x14ac:dyDescent="0.25"/>
    <row r="253993" customFormat="1" x14ac:dyDescent="0.25"/>
    <row r="253994" customFormat="1" x14ac:dyDescent="0.25"/>
    <row r="253995" customFormat="1" x14ac:dyDescent="0.25"/>
    <row r="253996" customFormat="1" x14ac:dyDescent="0.25"/>
    <row r="253997" customFormat="1" x14ac:dyDescent="0.25"/>
    <row r="253998" customFormat="1" x14ac:dyDescent="0.25"/>
    <row r="253999" customFormat="1" x14ac:dyDescent="0.25"/>
    <row r="254000" customFormat="1" x14ac:dyDescent="0.25"/>
    <row r="254001" customFormat="1" x14ac:dyDescent="0.25"/>
    <row r="254002" customFormat="1" x14ac:dyDescent="0.25"/>
    <row r="254003" customFormat="1" x14ac:dyDescent="0.25"/>
    <row r="254004" customFormat="1" x14ac:dyDescent="0.25"/>
    <row r="254005" customFormat="1" x14ac:dyDescent="0.25"/>
    <row r="254006" customFormat="1" x14ac:dyDescent="0.25"/>
    <row r="254007" customFormat="1" x14ac:dyDescent="0.25"/>
    <row r="254008" customFormat="1" x14ac:dyDescent="0.25"/>
    <row r="254009" customFormat="1" x14ac:dyDescent="0.25"/>
    <row r="254010" customFormat="1" x14ac:dyDescent="0.25"/>
    <row r="254011" customFormat="1" x14ac:dyDescent="0.25"/>
    <row r="254012" customFormat="1" x14ac:dyDescent="0.25"/>
    <row r="254013" customFormat="1" x14ac:dyDescent="0.25"/>
    <row r="254014" customFormat="1" x14ac:dyDescent="0.25"/>
    <row r="254015" customFormat="1" x14ac:dyDescent="0.25"/>
    <row r="254016" customFormat="1" x14ac:dyDescent="0.25"/>
    <row r="254017" customFormat="1" x14ac:dyDescent="0.25"/>
    <row r="254018" customFormat="1" x14ac:dyDescent="0.25"/>
    <row r="254019" customFormat="1" x14ac:dyDescent="0.25"/>
    <row r="254020" customFormat="1" x14ac:dyDescent="0.25"/>
    <row r="254021" customFormat="1" x14ac:dyDescent="0.25"/>
    <row r="254022" customFormat="1" x14ac:dyDescent="0.25"/>
    <row r="254023" customFormat="1" x14ac:dyDescent="0.25"/>
    <row r="254024" customFormat="1" x14ac:dyDescent="0.25"/>
    <row r="254025" customFormat="1" x14ac:dyDescent="0.25"/>
    <row r="254026" customFormat="1" x14ac:dyDescent="0.25"/>
    <row r="254027" customFormat="1" x14ac:dyDescent="0.25"/>
    <row r="254028" customFormat="1" x14ac:dyDescent="0.25"/>
    <row r="254029" customFormat="1" x14ac:dyDescent="0.25"/>
    <row r="254030" customFormat="1" x14ac:dyDescent="0.25"/>
    <row r="254031" customFormat="1" x14ac:dyDescent="0.25"/>
    <row r="254032" customFormat="1" x14ac:dyDescent="0.25"/>
    <row r="254033" customFormat="1" x14ac:dyDescent="0.25"/>
    <row r="254034" customFormat="1" x14ac:dyDescent="0.25"/>
    <row r="254035" customFormat="1" x14ac:dyDescent="0.25"/>
    <row r="254036" customFormat="1" x14ac:dyDescent="0.25"/>
    <row r="254037" customFormat="1" x14ac:dyDescent="0.25"/>
    <row r="254038" customFormat="1" x14ac:dyDescent="0.25"/>
    <row r="254039" customFormat="1" x14ac:dyDescent="0.25"/>
    <row r="254040" customFormat="1" x14ac:dyDescent="0.25"/>
    <row r="254041" customFormat="1" x14ac:dyDescent="0.25"/>
    <row r="254042" customFormat="1" x14ac:dyDescent="0.25"/>
    <row r="254043" customFormat="1" x14ac:dyDescent="0.25"/>
    <row r="254044" customFormat="1" x14ac:dyDescent="0.25"/>
    <row r="254045" customFormat="1" x14ac:dyDescent="0.25"/>
    <row r="254046" customFormat="1" x14ac:dyDescent="0.25"/>
    <row r="254047" customFormat="1" x14ac:dyDescent="0.25"/>
    <row r="254048" customFormat="1" x14ac:dyDescent="0.25"/>
    <row r="254049" customFormat="1" x14ac:dyDescent="0.25"/>
    <row r="254050" customFormat="1" x14ac:dyDescent="0.25"/>
    <row r="254051" customFormat="1" x14ac:dyDescent="0.25"/>
    <row r="254052" customFormat="1" x14ac:dyDescent="0.25"/>
    <row r="254053" customFormat="1" x14ac:dyDescent="0.25"/>
    <row r="254054" customFormat="1" x14ac:dyDescent="0.25"/>
    <row r="254055" customFormat="1" x14ac:dyDescent="0.25"/>
    <row r="254056" customFormat="1" x14ac:dyDescent="0.25"/>
    <row r="254057" customFormat="1" x14ac:dyDescent="0.25"/>
    <row r="254058" customFormat="1" x14ac:dyDescent="0.25"/>
    <row r="254059" customFormat="1" x14ac:dyDescent="0.25"/>
    <row r="254060" customFormat="1" x14ac:dyDescent="0.25"/>
    <row r="254061" customFormat="1" x14ac:dyDescent="0.25"/>
    <row r="254062" customFormat="1" x14ac:dyDescent="0.25"/>
    <row r="254063" customFormat="1" x14ac:dyDescent="0.25"/>
    <row r="254064" customFormat="1" x14ac:dyDescent="0.25"/>
    <row r="254065" customFormat="1" x14ac:dyDescent="0.25"/>
    <row r="254066" customFormat="1" x14ac:dyDescent="0.25"/>
    <row r="254067" customFormat="1" x14ac:dyDescent="0.25"/>
    <row r="254068" customFormat="1" x14ac:dyDescent="0.25"/>
    <row r="254069" customFormat="1" x14ac:dyDescent="0.25"/>
    <row r="254070" customFormat="1" x14ac:dyDescent="0.25"/>
    <row r="254071" customFormat="1" x14ac:dyDescent="0.25"/>
    <row r="254072" customFormat="1" x14ac:dyDescent="0.25"/>
    <row r="254073" customFormat="1" x14ac:dyDescent="0.25"/>
    <row r="254074" customFormat="1" x14ac:dyDescent="0.25"/>
    <row r="254075" customFormat="1" x14ac:dyDescent="0.25"/>
    <row r="254076" customFormat="1" x14ac:dyDescent="0.25"/>
    <row r="254077" customFormat="1" x14ac:dyDescent="0.25"/>
    <row r="254078" customFormat="1" x14ac:dyDescent="0.25"/>
    <row r="254079" customFormat="1" x14ac:dyDescent="0.25"/>
    <row r="254080" customFormat="1" x14ac:dyDescent="0.25"/>
    <row r="254081" customFormat="1" x14ac:dyDescent="0.25"/>
    <row r="254082" customFormat="1" x14ac:dyDescent="0.25"/>
    <row r="254083" customFormat="1" x14ac:dyDescent="0.25"/>
    <row r="254084" customFormat="1" x14ac:dyDescent="0.25"/>
    <row r="254085" customFormat="1" x14ac:dyDescent="0.25"/>
    <row r="254086" customFormat="1" x14ac:dyDescent="0.25"/>
    <row r="254087" customFormat="1" x14ac:dyDescent="0.25"/>
    <row r="254088" customFormat="1" x14ac:dyDescent="0.25"/>
    <row r="254089" customFormat="1" x14ac:dyDescent="0.25"/>
    <row r="254090" customFormat="1" x14ac:dyDescent="0.25"/>
    <row r="254091" customFormat="1" x14ac:dyDescent="0.25"/>
    <row r="254092" customFormat="1" x14ac:dyDescent="0.25"/>
    <row r="254093" customFormat="1" x14ac:dyDescent="0.25"/>
    <row r="254094" customFormat="1" x14ac:dyDescent="0.25"/>
    <row r="254095" customFormat="1" x14ac:dyDescent="0.25"/>
    <row r="254096" customFormat="1" x14ac:dyDescent="0.25"/>
    <row r="254097" customFormat="1" x14ac:dyDescent="0.25"/>
    <row r="254098" customFormat="1" x14ac:dyDescent="0.25"/>
    <row r="254099" customFormat="1" x14ac:dyDescent="0.25"/>
    <row r="254100" customFormat="1" x14ac:dyDescent="0.25"/>
    <row r="254101" customFormat="1" x14ac:dyDescent="0.25"/>
    <row r="254102" customFormat="1" x14ac:dyDescent="0.25"/>
    <row r="254103" customFormat="1" x14ac:dyDescent="0.25"/>
    <row r="254104" customFormat="1" x14ac:dyDescent="0.25"/>
    <row r="254105" customFormat="1" x14ac:dyDescent="0.25"/>
    <row r="254106" customFormat="1" x14ac:dyDescent="0.25"/>
    <row r="254107" customFormat="1" x14ac:dyDescent="0.25"/>
    <row r="254108" customFormat="1" x14ac:dyDescent="0.25"/>
    <row r="254109" customFormat="1" x14ac:dyDescent="0.25"/>
    <row r="254110" customFormat="1" x14ac:dyDescent="0.25"/>
    <row r="254111" customFormat="1" x14ac:dyDescent="0.25"/>
    <row r="254112" customFormat="1" x14ac:dyDescent="0.25"/>
    <row r="254113" customFormat="1" x14ac:dyDescent="0.25"/>
    <row r="254114" customFormat="1" x14ac:dyDescent="0.25"/>
    <row r="254115" customFormat="1" x14ac:dyDescent="0.25"/>
    <row r="254116" customFormat="1" x14ac:dyDescent="0.25"/>
    <row r="254117" customFormat="1" x14ac:dyDescent="0.25"/>
    <row r="254118" customFormat="1" x14ac:dyDescent="0.25"/>
    <row r="254119" customFormat="1" x14ac:dyDescent="0.25"/>
    <row r="254120" customFormat="1" x14ac:dyDescent="0.25"/>
    <row r="254121" customFormat="1" x14ac:dyDescent="0.25"/>
    <row r="254122" customFormat="1" x14ac:dyDescent="0.25"/>
    <row r="254123" customFormat="1" x14ac:dyDescent="0.25"/>
    <row r="254124" customFormat="1" x14ac:dyDescent="0.25"/>
    <row r="254125" customFormat="1" x14ac:dyDescent="0.25"/>
    <row r="254126" customFormat="1" x14ac:dyDescent="0.25"/>
    <row r="254127" customFormat="1" x14ac:dyDescent="0.25"/>
    <row r="254128" customFormat="1" x14ac:dyDescent="0.25"/>
    <row r="254129" customFormat="1" x14ac:dyDescent="0.25"/>
    <row r="254130" customFormat="1" x14ac:dyDescent="0.25"/>
    <row r="254131" customFormat="1" x14ac:dyDescent="0.25"/>
    <row r="254132" customFormat="1" x14ac:dyDescent="0.25"/>
    <row r="254133" customFormat="1" x14ac:dyDescent="0.25"/>
    <row r="254134" customFormat="1" x14ac:dyDescent="0.25"/>
    <row r="254135" customFormat="1" x14ac:dyDescent="0.25"/>
    <row r="254136" customFormat="1" x14ac:dyDescent="0.25"/>
    <row r="254137" customFormat="1" x14ac:dyDescent="0.25"/>
    <row r="254138" customFormat="1" x14ac:dyDescent="0.25"/>
    <row r="254139" customFormat="1" x14ac:dyDescent="0.25"/>
    <row r="254140" customFormat="1" x14ac:dyDescent="0.25"/>
    <row r="254141" customFormat="1" x14ac:dyDescent="0.25"/>
    <row r="254142" customFormat="1" x14ac:dyDescent="0.25"/>
    <row r="254143" customFormat="1" x14ac:dyDescent="0.25"/>
    <row r="254144" customFormat="1" x14ac:dyDescent="0.25"/>
    <row r="254145" customFormat="1" x14ac:dyDescent="0.25"/>
    <row r="254146" customFormat="1" x14ac:dyDescent="0.25"/>
    <row r="254147" customFormat="1" x14ac:dyDescent="0.25"/>
    <row r="254148" customFormat="1" x14ac:dyDescent="0.25"/>
    <row r="254149" customFormat="1" x14ac:dyDescent="0.25"/>
    <row r="254150" customFormat="1" x14ac:dyDescent="0.25"/>
    <row r="254151" customFormat="1" x14ac:dyDescent="0.25"/>
    <row r="254152" customFormat="1" x14ac:dyDescent="0.25"/>
    <row r="254153" customFormat="1" x14ac:dyDescent="0.25"/>
    <row r="254154" customFormat="1" x14ac:dyDescent="0.25"/>
    <row r="254155" customFormat="1" x14ac:dyDescent="0.25"/>
    <row r="254156" customFormat="1" x14ac:dyDescent="0.25"/>
    <row r="254157" customFormat="1" x14ac:dyDescent="0.25"/>
    <row r="254158" customFormat="1" x14ac:dyDescent="0.25"/>
    <row r="254159" customFormat="1" x14ac:dyDescent="0.25"/>
    <row r="254160" customFormat="1" x14ac:dyDescent="0.25"/>
    <row r="254161" customFormat="1" x14ac:dyDescent="0.25"/>
    <row r="254162" customFormat="1" x14ac:dyDescent="0.25"/>
    <row r="254163" customFormat="1" x14ac:dyDescent="0.25"/>
    <row r="254164" customFormat="1" x14ac:dyDescent="0.25"/>
    <row r="254165" customFormat="1" x14ac:dyDescent="0.25"/>
    <row r="254166" customFormat="1" x14ac:dyDescent="0.25"/>
    <row r="254167" customFormat="1" x14ac:dyDescent="0.25"/>
    <row r="254168" customFormat="1" x14ac:dyDescent="0.25"/>
    <row r="254169" customFormat="1" x14ac:dyDescent="0.25"/>
    <row r="254170" customFormat="1" x14ac:dyDescent="0.25"/>
    <row r="254171" customFormat="1" x14ac:dyDescent="0.25"/>
    <row r="254172" customFormat="1" x14ac:dyDescent="0.25"/>
    <row r="254173" customFormat="1" x14ac:dyDescent="0.25"/>
    <row r="254174" customFormat="1" x14ac:dyDescent="0.25"/>
    <row r="254175" customFormat="1" x14ac:dyDescent="0.25"/>
    <row r="254176" customFormat="1" x14ac:dyDescent="0.25"/>
    <row r="254177" customFormat="1" x14ac:dyDescent="0.25"/>
    <row r="254178" customFormat="1" x14ac:dyDescent="0.25"/>
    <row r="254179" customFormat="1" x14ac:dyDescent="0.25"/>
    <row r="254180" customFormat="1" x14ac:dyDescent="0.25"/>
    <row r="254181" customFormat="1" x14ac:dyDescent="0.25"/>
    <row r="254182" customFormat="1" x14ac:dyDescent="0.25"/>
    <row r="254183" customFormat="1" x14ac:dyDescent="0.25"/>
    <row r="254184" customFormat="1" x14ac:dyDescent="0.25"/>
    <row r="254185" customFormat="1" x14ac:dyDescent="0.25"/>
    <row r="254186" customFormat="1" x14ac:dyDescent="0.25"/>
    <row r="254187" customFormat="1" x14ac:dyDescent="0.25"/>
    <row r="254188" customFormat="1" x14ac:dyDescent="0.25"/>
    <row r="254189" customFormat="1" x14ac:dyDescent="0.25"/>
    <row r="254190" customFormat="1" x14ac:dyDescent="0.25"/>
    <row r="254191" customFormat="1" x14ac:dyDescent="0.25"/>
    <row r="254192" customFormat="1" x14ac:dyDescent="0.25"/>
    <row r="254193" customFormat="1" x14ac:dyDescent="0.25"/>
    <row r="254194" customFormat="1" x14ac:dyDescent="0.25"/>
    <row r="254195" customFormat="1" x14ac:dyDescent="0.25"/>
    <row r="254196" customFormat="1" x14ac:dyDescent="0.25"/>
    <row r="254197" customFormat="1" x14ac:dyDescent="0.25"/>
    <row r="254198" customFormat="1" x14ac:dyDescent="0.25"/>
    <row r="254199" customFormat="1" x14ac:dyDescent="0.25"/>
    <row r="254200" customFormat="1" x14ac:dyDescent="0.25"/>
    <row r="254201" customFormat="1" x14ac:dyDescent="0.25"/>
    <row r="254202" customFormat="1" x14ac:dyDescent="0.25"/>
    <row r="254203" customFormat="1" x14ac:dyDescent="0.25"/>
    <row r="254204" customFormat="1" x14ac:dyDescent="0.25"/>
    <row r="254205" customFormat="1" x14ac:dyDescent="0.25"/>
    <row r="254206" customFormat="1" x14ac:dyDescent="0.25"/>
    <row r="254207" customFormat="1" x14ac:dyDescent="0.25"/>
    <row r="254208" customFormat="1" x14ac:dyDescent="0.25"/>
    <row r="254209" customFormat="1" x14ac:dyDescent="0.25"/>
    <row r="254210" customFormat="1" x14ac:dyDescent="0.25"/>
    <row r="254211" customFormat="1" x14ac:dyDescent="0.25"/>
    <row r="254212" customFormat="1" x14ac:dyDescent="0.25"/>
    <row r="254213" customFormat="1" x14ac:dyDescent="0.25"/>
    <row r="254214" customFormat="1" x14ac:dyDescent="0.25"/>
    <row r="254215" customFormat="1" x14ac:dyDescent="0.25"/>
    <row r="254216" customFormat="1" x14ac:dyDescent="0.25"/>
    <row r="254217" customFormat="1" x14ac:dyDescent="0.25"/>
    <row r="254218" customFormat="1" x14ac:dyDescent="0.25"/>
    <row r="254219" customFormat="1" x14ac:dyDescent="0.25"/>
    <row r="254220" customFormat="1" x14ac:dyDescent="0.25"/>
    <row r="254221" customFormat="1" x14ac:dyDescent="0.25"/>
    <row r="254222" customFormat="1" x14ac:dyDescent="0.25"/>
    <row r="254223" customFormat="1" x14ac:dyDescent="0.25"/>
    <row r="254224" customFormat="1" x14ac:dyDescent="0.25"/>
    <row r="254225" customFormat="1" x14ac:dyDescent="0.25"/>
    <row r="254226" customFormat="1" x14ac:dyDescent="0.25"/>
    <row r="254227" customFormat="1" x14ac:dyDescent="0.25"/>
    <row r="254228" customFormat="1" x14ac:dyDescent="0.25"/>
    <row r="254229" customFormat="1" x14ac:dyDescent="0.25"/>
    <row r="254230" customFormat="1" x14ac:dyDescent="0.25"/>
    <row r="254231" customFormat="1" x14ac:dyDescent="0.25"/>
    <row r="254232" customFormat="1" x14ac:dyDescent="0.25"/>
    <row r="254233" customFormat="1" x14ac:dyDescent="0.25"/>
    <row r="254234" customFormat="1" x14ac:dyDescent="0.25"/>
    <row r="254235" customFormat="1" x14ac:dyDescent="0.25"/>
    <row r="254236" customFormat="1" x14ac:dyDescent="0.25"/>
    <row r="254237" customFormat="1" x14ac:dyDescent="0.25"/>
    <row r="254238" customFormat="1" x14ac:dyDescent="0.25"/>
    <row r="254239" customFormat="1" x14ac:dyDescent="0.25"/>
    <row r="254240" customFormat="1" x14ac:dyDescent="0.25"/>
    <row r="254241" customFormat="1" x14ac:dyDescent="0.25"/>
    <row r="254242" customFormat="1" x14ac:dyDescent="0.25"/>
    <row r="254243" customFormat="1" x14ac:dyDescent="0.25"/>
    <row r="254244" customFormat="1" x14ac:dyDescent="0.25"/>
    <row r="254245" customFormat="1" x14ac:dyDescent="0.25"/>
    <row r="254246" customFormat="1" x14ac:dyDescent="0.25"/>
    <row r="254247" customFormat="1" x14ac:dyDescent="0.25"/>
    <row r="254248" customFormat="1" x14ac:dyDescent="0.25"/>
    <row r="254249" customFormat="1" x14ac:dyDescent="0.25"/>
    <row r="254250" customFormat="1" x14ac:dyDescent="0.25"/>
    <row r="254251" customFormat="1" x14ac:dyDescent="0.25"/>
    <row r="254252" customFormat="1" x14ac:dyDescent="0.25"/>
    <row r="254253" customFormat="1" x14ac:dyDescent="0.25"/>
    <row r="254254" customFormat="1" x14ac:dyDescent="0.25"/>
    <row r="254255" customFormat="1" x14ac:dyDescent="0.25"/>
    <row r="254256" customFormat="1" x14ac:dyDescent="0.25"/>
    <row r="254257" customFormat="1" x14ac:dyDescent="0.25"/>
    <row r="254258" customFormat="1" x14ac:dyDescent="0.25"/>
    <row r="254259" customFormat="1" x14ac:dyDescent="0.25"/>
    <row r="254260" customFormat="1" x14ac:dyDescent="0.25"/>
    <row r="254261" customFormat="1" x14ac:dyDescent="0.25"/>
    <row r="254262" customFormat="1" x14ac:dyDescent="0.25"/>
    <row r="254263" customFormat="1" x14ac:dyDescent="0.25"/>
    <row r="254264" customFormat="1" x14ac:dyDescent="0.25"/>
    <row r="254265" customFormat="1" x14ac:dyDescent="0.25"/>
    <row r="254266" customFormat="1" x14ac:dyDescent="0.25"/>
    <row r="254267" customFormat="1" x14ac:dyDescent="0.25"/>
    <row r="254268" customFormat="1" x14ac:dyDescent="0.25"/>
    <row r="254269" customFormat="1" x14ac:dyDescent="0.25"/>
    <row r="254270" customFormat="1" x14ac:dyDescent="0.25"/>
    <row r="254271" customFormat="1" x14ac:dyDescent="0.25"/>
    <row r="254272" customFormat="1" x14ac:dyDescent="0.25"/>
    <row r="254273" customFormat="1" x14ac:dyDescent="0.25"/>
    <row r="254274" customFormat="1" x14ac:dyDescent="0.25"/>
    <row r="254275" customFormat="1" x14ac:dyDescent="0.25"/>
    <row r="254276" customFormat="1" x14ac:dyDescent="0.25"/>
    <row r="254277" customFormat="1" x14ac:dyDescent="0.25"/>
    <row r="254278" customFormat="1" x14ac:dyDescent="0.25"/>
    <row r="254279" customFormat="1" x14ac:dyDescent="0.25"/>
    <row r="254280" customFormat="1" x14ac:dyDescent="0.25"/>
    <row r="254281" customFormat="1" x14ac:dyDescent="0.25"/>
    <row r="254282" customFormat="1" x14ac:dyDescent="0.25"/>
    <row r="254283" customFormat="1" x14ac:dyDescent="0.25"/>
    <row r="254284" customFormat="1" x14ac:dyDescent="0.25"/>
    <row r="254285" customFormat="1" x14ac:dyDescent="0.25"/>
    <row r="254286" customFormat="1" x14ac:dyDescent="0.25"/>
    <row r="254287" customFormat="1" x14ac:dyDescent="0.25"/>
    <row r="254288" customFormat="1" x14ac:dyDescent="0.25"/>
    <row r="254289" customFormat="1" x14ac:dyDescent="0.25"/>
    <row r="254290" customFormat="1" x14ac:dyDescent="0.25"/>
    <row r="254291" customFormat="1" x14ac:dyDescent="0.25"/>
    <row r="254292" customFormat="1" x14ac:dyDescent="0.25"/>
    <row r="254293" customFormat="1" x14ac:dyDescent="0.25"/>
    <row r="254294" customFormat="1" x14ac:dyDescent="0.25"/>
    <row r="254295" customFormat="1" x14ac:dyDescent="0.25"/>
    <row r="254296" customFormat="1" x14ac:dyDescent="0.25"/>
    <row r="254297" customFormat="1" x14ac:dyDescent="0.25"/>
    <row r="254298" customFormat="1" x14ac:dyDescent="0.25"/>
    <row r="254299" customFormat="1" x14ac:dyDescent="0.25"/>
    <row r="254300" customFormat="1" x14ac:dyDescent="0.25"/>
    <row r="254301" customFormat="1" x14ac:dyDescent="0.25"/>
    <row r="254302" customFormat="1" x14ac:dyDescent="0.25"/>
    <row r="254303" customFormat="1" x14ac:dyDescent="0.25"/>
    <row r="254304" customFormat="1" x14ac:dyDescent="0.25"/>
    <row r="254305" customFormat="1" x14ac:dyDescent="0.25"/>
    <row r="254306" customFormat="1" x14ac:dyDescent="0.25"/>
    <row r="254307" customFormat="1" x14ac:dyDescent="0.25"/>
    <row r="254308" customFormat="1" x14ac:dyDescent="0.25"/>
    <row r="254309" customFormat="1" x14ac:dyDescent="0.25"/>
    <row r="254310" customFormat="1" x14ac:dyDescent="0.25"/>
    <row r="254311" customFormat="1" x14ac:dyDescent="0.25"/>
    <row r="254312" customFormat="1" x14ac:dyDescent="0.25"/>
    <row r="254313" customFormat="1" x14ac:dyDescent="0.25"/>
    <row r="254314" customFormat="1" x14ac:dyDescent="0.25"/>
    <row r="254315" customFormat="1" x14ac:dyDescent="0.25"/>
    <row r="254316" customFormat="1" x14ac:dyDescent="0.25"/>
    <row r="254317" customFormat="1" x14ac:dyDescent="0.25"/>
    <row r="254318" customFormat="1" x14ac:dyDescent="0.25"/>
    <row r="254319" customFormat="1" x14ac:dyDescent="0.25"/>
    <row r="254320" customFormat="1" x14ac:dyDescent="0.25"/>
    <row r="254321" customFormat="1" x14ac:dyDescent="0.25"/>
    <row r="254322" customFormat="1" x14ac:dyDescent="0.25"/>
    <row r="254323" customFormat="1" x14ac:dyDescent="0.25"/>
    <row r="254324" customFormat="1" x14ac:dyDescent="0.25"/>
    <row r="254325" customFormat="1" x14ac:dyDescent="0.25"/>
    <row r="254326" customFormat="1" x14ac:dyDescent="0.25"/>
    <row r="254327" customFormat="1" x14ac:dyDescent="0.25"/>
    <row r="254328" customFormat="1" x14ac:dyDescent="0.25"/>
    <row r="254329" customFormat="1" x14ac:dyDescent="0.25"/>
    <row r="254330" customFormat="1" x14ac:dyDescent="0.25"/>
    <row r="254331" customFormat="1" x14ac:dyDescent="0.25"/>
    <row r="254332" customFormat="1" x14ac:dyDescent="0.25"/>
    <row r="254333" customFormat="1" x14ac:dyDescent="0.25"/>
    <row r="254334" customFormat="1" x14ac:dyDescent="0.25"/>
    <row r="254335" customFormat="1" x14ac:dyDescent="0.25"/>
    <row r="254336" customFormat="1" x14ac:dyDescent="0.25"/>
    <row r="254337" customFormat="1" x14ac:dyDescent="0.25"/>
    <row r="254338" customFormat="1" x14ac:dyDescent="0.25"/>
    <row r="254339" customFormat="1" x14ac:dyDescent="0.25"/>
    <row r="254340" customFormat="1" x14ac:dyDescent="0.25"/>
    <row r="254341" customFormat="1" x14ac:dyDescent="0.25"/>
    <row r="254342" customFormat="1" x14ac:dyDescent="0.25"/>
    <row r="254343" customFormat="1" x14ac:dyDescent="0.25"/>
    <row r="254344" customFormat="1" x14ac:dyDescent="0.25"/>
    <row r="254345" customFormat="1" x14ac:dyDescent="0.25"/>
    <row r="254346" customFormat="1" x14ac:dyDescent="0.25"/>
    <row r="254347" customFormat="1" x14ac:dyDescent="0.25"/>
    <row r="254348" customFormat="1" x14ac:dyDescent="0.25"/>
    <row r="254349" customFormat="1" x14ac:dyDescent="0.25"/>
    <row r="254350" customFormat="1" x14ac:dyDescent="0.25"/>
    <row r="254351" customFormat="1" x14ac:dyDescent="0.25"/>
    <row r="254352" customFormat="1" x14ac:dyDescent="0.25"/>
    <row r="254353" customFormat="1" x14ac:dyDescent="0.25"/>
    <row r="254354" customFormat="1" x14ac:dyDescent="0.25"/>
    <row r="254355" customFormat="1" x14ac:dyDescent="0.25"/>
    <row r="254356" customFormat="1" x14ac:dyDescent="0.25"/>
    <row r="254357" customFormat="1" x14ac:dyDescent="0.25"/>
    <row r="254358" customFormat="1" x14ac:dyDescent="0.25"/>
    <row r="254359" customFormat="1" x14ac:dyDescent="0.25"/>
    <row r="254360" customFormat="1" x14ac:dyDescent="0.25"/>
    <row r="254361" customFormat="1" x14ac:dyDescent="0.25"/>
    <row r="254362" customFormat="1" x14ac:dyDescent="0.25"/>
    <row r="254363" customFormat="1" x14ac:dyDescent="0.25"/>
    <row r="254364" customFormat="1" x14ac:dyDescent="0.25"/>
    <row r="254365" customFormat="1" x14ac:dyDescent="0.25"/>
    <row r="254366" customFormat="1" x14ac:dyDescent="0.25"/>
    <row r="254367" customFormat="1" x14ac:dyDescent="0.25"/>
    <row r="254368" customFormat="1" x14ac:dyDescent="0.25"/>
    <row r="254369" customFormat="1" x14ac:dyDescent="0.25"/>
    <row r="254370" customFormat="1" x14ac:dyDescent="0.25"/>
    <row r="254371" customFormat="1" x14ac:dyDescent="0.25"/>
    <row r="254372" customFormat="1" x14ac:dyDescent="0.25"/>
    <row r="254373" customFormat="1" x14ac:dyDescent="0.25"/>
    <row r="254374" customFormat="1" x14ac:dyDescent="0.25"/>
    <row r="254375" customFormat="1" x14ac:dyDescent="0.25"/>
    <row r="254376" customFormat="1" x14ac:dyDescent="0.25"/>
    <row r="254377" customFormat="1" x14ac:dyDescent="0.25"/>
    <row r="254378" customFormat="1" x14ac:dyDescent="0.25"/>
    <row r="254379" customFormat="1" x14ac:dyDescent="0.25"/>
    <row r="254380" customFormat="1" x14ac:dyDescent="0.25"/>
    <row r="254381" customFormat="1" x14ac:dyDescent="0.25"/>
    <row r="254382" customFormat="1" x14ac:dyDescent="0.25"/>
    <row r="254383" customFormat="1" x14ac:dyDescent="0.25"/>
    <row r="254384" customFormat="1" x14ac:dyDescent="0.25"/>
    <row r="254385" customFormat="1" x14ac:dyDescent="0.25"/>
    <row r="254386" customFormat="1" x14ac:dyDescent="0.25"/>
    <row r="254387" customFormat="1" x14ac:dyDescent="0.25"/>
    <row r="254388" customFormat="1" x14ac:dyDescent="0.25"/>
    <row r="254389" customFormat="1" x14ac:dyDescent="0.25"/>
    <row r="254390" customFormat="1" x14ac:dyDescent="0.25"/>
    <row r="254391" customFormat="1" x14ac:dyDescent="0.25"/>
    <row r="254392" customFormat="1" x14ac:dyDescent="0.25"/>
    <row r="254393" customFormat="1" x14ac:dyDescent="0.25"/>
    <row r="254394" customFormat="1" x14ac:dyDescent="0.25"/>
    <row r="254395" customFormat="1" x14ac:dyDescent="0.25"/>
    <row r="254396" customFormat="1" x14ac:dyDescent="0.25"/>
    <row r="254397" customFormat="1" x14ac:dyDescent="0.25"/>
    <row r="254398" customFormat="1" x14ac:dyDescent="0.25"/>
    <row r="254399" customFormat="1" x14ac:dyDescent="0.25"/>
    <row r="254400" customFormat="1" x14ac:dyDescent="0.25"/>
    <row r="254401" customFormat="1" x14ac:dyDescent="0.25"/>
    <row r="254402" customFormat="1" x14ac:dyDescent="0.25"/>
    <row r="254403" customFormat="1" x14ac:dyDescent="0.25"/>
    <row r="254404" customFormat="1" x14ac:dyDescent="0.25"/>
    <row r="254405" customFormat="1" x14ac:dyDescent="0.25"/>
    <row r="254406" customFormat="1" x14ac:dyDescent="0.25"/>
    <row r="254407" customFormat="1" x14ac:dyDescent="0.25"/>
    <row r="254408" customFormat="1" x14ac:dyDescent="0.25"/>
    <row r="254409" customFormat="1" x14ac:dyDescent="0.25"/>
    <row r="254410" customFormat="1" x14ac:dyDescent="0.25"/>
    <row r="254411" customFormat="1" x14ac:dyDescent="0.25"/>
    <row r="254412" customFormat="1" x14ac:dyDescent="0.25"/>
    <row r="254413" customFormat="1" x14ac:dyDescent="0.25"/>
    <row r="254414" customFormat="1" x14ac:dyDescent="0.25"/>
    <row r="254415" customFormat="1" x14ac:dyDescent="0.25"/>
    <row r="254416" customFormat="1" x14ac:dyDescent="0.25"/>
    <row r="254417" customFormat="1" x14ac:dyDescent="0.25"/>
    <row r="254418" customFormat="1" x14ac:dyDescent="0.25"/>
    <row r="254419" customFormat="1" x14ac:dyDescent="0.25"/>
    <row r="254420" customFormat="1" x14ac:dyDescent="0.25"/>
    <row r="254421" customFormat="1" x14ac:dyDescent="0.25"/>
    <row r="254422" customFormat="1" x14ac:dyDescent="0.25"/>
    <row r="254423" customFormat="1" x14ac:dyDescent="0.25"/>
    <row r="254424" customFormat="1" x14ac:dyDescent="0.25"/>
    <row r="254425" customFormat="1" x14ac:dyDescent="0.25"/>
    <row r="254426" customFormat="1" x14ac:dyDescent="0.25"/>
    <row r="254427" customFormat="1" x14ac:dyDescent="0.25"/>
    <row r="254428" customFormat="1" x14ac:dyDescent="0.25"/>
    <row r="254429" customFormat="1" x14ac:dyDescent="0.25"/>
    <row r="254430" customFormat="1" x14ac:dyDescent="0.25"/>
    <row r="254431" customFormat="1" x14ac:dyDescent="0.25"/>
    <row r="254432" customFormat="1" x14ac:dyDescent="0.25"/>
    <row r="254433" customFormat="1" x14ac:dyDescent="0.25"/>
    <row r="254434" customFormat="1" x14ac:dyDescent="0.25"/>
    <row r="254435" customFormat="1" x14ac:dyDescent="0.25"/>
    <row r="254436" customFormat="1" x14ac:dyDescent="0.25"/>
    <row r="254437" customFormat="1" x14ac:dyDescent="0.25"/>
    <row r="254438" customFormat="1" x14ac:dyDescent="0.25"/>
    <row r="254439" customFormat="1" x14ac:dyDescent="0.25"/>
    <row r="254440" customFormat="1" x14ac:dyDescent="0.25"/>
    <row r="254441" customFormat="1" x14ac:dyDescent="0.25"/>
    <row r="254442" customFormat="1" x14ac:dyDescent="0.25"/>
    <row r="254443" customFormat="1" x14ac:dyDescent="0.25"/>
    <row r="254444" customFormat="1" x14ac:dyDescent="0.25"/>
    <row r="254445" customFormat="1" x14ac:dyDescent="0.25"/>
    <row r="254446" customFormat="1" x14ac:dyDescent="0.25"/>
    <row r="254447" customFormat="1" x14ac:dyDescent="0.25"/>
    <row r="254448" customFormat="1" x14ac:dyDescent="0.25"/>
    <row r="254449" customFormat="1" x14ac:dyDescent="0.25"/>
    <row r="254450" customFormat="1" x14ac:dyDescent="0.25"/>
    <row r="254451" customFormat="1" x14ac:dyDescent="0.25"/>
    <row r="254452" customFormat="1" x14ac:dyDescent="0.25"/>
    <row r="254453" customFormat="1" x14ac:dyDescent="0.25"/>
    <row r="254454" customFormat="1" x14ac:dyDescent="0.25"/>
    <row r="254455" customFormat="1" x14ac:dyDescent="0.25"/>
    <row r="254456" customFormat="1" x14ac:dyDescent="0.25"/>
    <row r="254457" customFormat="1" x14ac:dyDescent="0.25"/>
    <row r="254458" customFormat="1" x14ac:dyDescent="0.25"/>
    <row r="254459" customFormat="1" x14ac:dyDescent="0.25"/>
    <row r="254460" customFormat="1" x14ac:dyDescent="0.25"/>
    <row r="254461" customFormat="1" x14ac:dyDescent="0.25"/>
    <row r="254462" customFormat="1" x14ac:dyDescent="0.25"/>
    <row r="254463" customFormat="1" x14ac:dyDescent="0.25"/>
    <row r="254464" customFormat="1" x14ac:dyDescent="0.25"/>
    <row r="254465" customFormat="1" x14ac:dyDescent="0.25"/>
    <row r="254466" customFormat="1" x14ac:dyDescent="0.25"/>
    <row r="254467" customFormat="1" x14ac:dyDescent="0.25"/>
    <row r="254468" customFormat="1" x14ac:dyDescent="0.25"/>
    <row r="254469" customFormat="1" x14ac:dyDescent="0.25"/>
    <row r="254470" customFormat="1" x14ac:dyDescent="0.25"/>
    <row r="254471" customFormat="1" x14ac:dyDescent="0.25"/>
    <row r="254472" customFormat="1" x14ac:dyDescent="0.25"/>
    <row r="254473" customFormat="1" x14ac:dyDescent="0.25"/>
    <row r="254474" customFormat="1" x14ac:dyDescent="0.25"/>
    <row r="254475" customFormat="1" x14ac:dyDescent="0.25"/>
    <row r="254476" customFormat="1" x14ac:dyDescent="0.25"/>
    <row r="254477" customFormat="1" x14ac:dyDescent="0.25"/>
    <row r="254478" customFormat="1" x14ac:dyDescent="0.25"/>
    <row r="254479" customFormat="1" x14ac:dyDescent="0.25"/>
    <row r="254480" customFormat="1" x14ac:dyDescent="0.25"/>
    <row r="254481" customFormat="1" x14ac:dyDescent="0.25"/>
    <row r="254482" customFormat="1" x14ac:dyDescent="0.25"/>
    <row r="254483" customFormat="1" x14ac:dyDescent="0.25"/>
    <row r="254484" customFormat="1" x14ac:dyDescent="0.25"/>
    <row r="254485" customFormat="1" x14ac:dyDescent="0.25"/>
    <row r="254486" customFormat="1" x14ac:dyDescent="0.25"/>
    <row r="254487" customFormat="1" x14ac:dyDescent="0.25"/>
    <row r="254488" customFormat="1" x14ac:dyDescent="0.25"/>
    <row r="254489" customFormat="1" x14ac:dyDescent="0.25"/>
    <row r="254490" customFormat="1" x14ac:dyDescent="0.25"/>
    <row r="254491" customFormat="1" x14ac:dyDescent="0.25"/>
    <row r="254492" customFormat="1" x14ac:dyDescent="0.25"/>
    <row r="254493" customFormat="1" x14ac:dyDescent="0.25"/>
    <row r="254494" customFormat="1" x14ac:dyDescent="0.25"/>
    <row r="254495" customFormat="1" x14ac:dyDescent="0.25"/>
    <row r="254496" customFormat="1" x14ac:dyDescent="0.25"/>
    <row r="254497" customFormat="1" x14ac:dyDescent="0.25"/>
    <row r="254498" customFormat="1" x14ac:dyDescent="0.25"/>
    <row r="254499" customFormat="1" x14ac:dyDescent="0.25"/>
    <row r="254500" customFormat="1" x14ac:dyDescent="0.25"/>
    <row r="254501" customFormat="1" x14ac:dyDescent="0.25"/>
    <row r="254502" customFormat="1" x14ac:dyDescent="0.25"/>
    <row r="254503" customFormat="1" x14ac:dyDescent="0.25"/>
    <row r="254504" customFormat="1" x14ac:dyDescent="0.25"/>
    <row r="254505" customFormat="1" x14ac:dyDescent="0.25"/>
    <row r="254506" customFormat="1" x14ac:dyDescent="0.25"/>
    <row r="254507" customFormat="1" x14ac:dyDescent="0.25"/>
    <row r="254508" customFormat="1" x14ac:dyDescent="0.25"/>
    <row r="254509" customFormat="1" x14ac:dyDescent="0.25"/>
    <row r="254510" customFormat="1" x14ac:dyDescent="0.25"/>
    <row r="254511" customFormat="1" x14ac:dyDescent="0.25"/>
    <row r="254512" customFormat="1" x14ac:dyDescent="0.25"/>
    <row r="254513" customFormat="1" x14ac:dyDescent="0.25"/>
    <row r="254514" customFormat="1" x14ac:dyDescent="0.25"/>
    <row r="254515" customFormat="1" x14ac:dyDescent="0.25"/>
    <row r="254516" customFormat="1" x14ac:dyDescent="0.25"/>
    <row r="254517" customFormat="1" x14ac:dyDescent="0.25"/>
    <row r="254518" customFormat="1" x14ac:dyDescent="0.25"/>
    <row r="254519" customFormat="1" x14ac:dyDescent="0.25"/>
    <row r="254520" customFormat="1" x14ac:dyDescent="0.25"/>
    <row r="254521" customFormat="1" x14ac:dyDescent="0.25"/>
    <row r="254522" customFormat="1" x14ac:dyDescent="0.25"/>
    <row r="254523" customFormat="1" x14ac:dyDescent="0.25"/>
    <row r="254524" customFormat="1" x14ac:dyDescent="0.25"/>
    <row r="254525" customFormat="1" x14ac:dyDescent="0.25"/>
    <row r="254526" customFormat="1" x14ac:dyDescent="0.25"/>
    <row r="254527" customFormat="1" x14ac:dyDescent="0.25"/>
    <row r="254528" customFormat="1" x14ac:dyDescent="0.25"/>
    <row r="254529" customFormat="1" x14ac:dyDescent="0.25"/>
    <row r="254530" customFormat="1" x14ac:dyDescent="0.25"/>
    <row r="254531" customFormat="1" x14ac:dyDescent="0.25"/>
    <row r="254532" customFormat="1" x14ac:dyDescent="0.25"/>
    <row r="254533" customFormat="1" x14ac:dyDescent="0.25"/>
    <row r="254534" customFormat="1" x14ac:dyDescent="0.25"/>
    <row r="254535" customFormat="1" x14ac:dyDescent="0.25"/>
    <row r="254536" customFormat="1" x14ac:dyDescent="0.25"/>
    <row r="254537" customFormat="1" x14ac:dyDescent="0.25"/>
    <row r="254538" customFormat="1" x14ac:dyDescent="0.25"/>
    <row r="254539" customFormat="1" x14ac:dyDescent="0.25"/>
    <row r="254540" customFormat="1" x14ac:dyDescent="0.25"/>
    <row r="254541" customFormat="1" x14ac:dyDescent="0.25"/>
    <row r="254542" customFormat="1" x14ac:dyDescent="0.25"/>
    <row r="254543" customFormat="1" x14ac:dyDescent="0.25"/>
    <row r="254544" customFormat="1" x14ac:dyDescent="0.25"/>
    <row r="254545" customFormat="1" x14ac:dyDescent="0.25"/>
    <row r="254546" customFormat="1" x14ac:dyDescent="0.25"/>
    <row r="254547" customFormat="1" x14ac:dyDescent="0.25"/>
    <row r="254548" customFormat="1" x14ac:dyDescent="0.25"/>
    <row r="254549" customFormat="1" x14ac:dyDescent="0.25"/>
    <row r="254550" customFormat="1" x14ac:dyDescent="0.25"/>
    <row r="254551" customFormat="1" x14ac:dyDescent="0.25"/>
    <row r="254552" customFormat="1" x14ac:dyDescent="0.25"/>
    <row r="254553" customFormat="1" x14ac:dyDescent="0.25"/>
    <row r="254554" customFormat="1" x14ac:dyDescent="0.25"/>
    <row r="254555" customFormat="1" x14ac:dyDescent="0.25"/>
    <row r="254556" customFormat="1" x14ac:dyDescent="0.25"/>
    <row r="254557" customFormat="1" x14ac:dyDescent="0.25"/>
    <row r="254558" customFormat="1" x14ac:dyDescent="0.25"/>
    <row r="254559" customFormat="1" x14ac:dyDescent="0.25"/>
    <row r="254560" customFormat="1" x14ac:dyDescent="0.25"/>
    <row r="254561" customFormat="1" x14ac:dyDescent="0.25"/>
    <row r="254562" customFormat="1" x14ac:dyDescent="0.25"/>
    <row r="254563" customFormat="1" x14ac:dyDescent="0.25"/>
    <row r="254564" customFormat="1" x14ac:dyDescent="0.25"/>
    <row r="254565" customFormat="1" x14ac:dyDescent="0.25"/>
    <row r="254566" customFormat="1" x14ac:dyDescent="0.25"/>
    <row r="254567" customFormat="1" x14ac:dyDescent="0.25"/>
    <row r="254568" customFormat="1" x14ac:dyDescent="0.25"/>
    <row r="254569" customFormat="1" x14ac:dyDescent="0.25"/>
    <row r="254570" customFormat="1" x14ac:dyDescent="0.25"/>
    <row r="254571" customFormat="1" x14ac:dyDescent="0.25"/>
    <row r="254572" customFormat="1" x14ac:dyDescent="0.25"/>
    <row r="254573" customFormat="1" x14ac:dyDescent="0.25"/>
    <row r="254574" customFormat="1" x14ac:dyDescent="0.25"/>
    <row r="254575" customFormat="1" x14ac:dyDescent="0.25"/>
    <row r="254576" customFormat="1" x14ac:dyDescent="0.25"/>
    <row r="254577" customFormat="1" x14ac:dyDescent="0.25"/>
    <row r="254578" customFormat="1" x14ac:dyDescent="0.25"/>
    <row r="254579" customFormat="1" x14ac:dyDescent="0.25"/>
    <row r="254580" customFormat="1" x14ac:dyDescent="0.25"/>
    <row r="254581" customFormat="1" x14ac:dyDescent="0.25"/>
    <row r="254582" customFormat="1" x14ac:dyDescent="0.25"/>
    <row r="254583" customFormat="1" x14ac:dyDescent="0.25"/>
    <row r="254584" customFormat="1" x14ac:dyDescent="0.25"/>
    <row r="254585" customFormat="1" x14ac:dyDescent="0.25"/>
    <row r="254586" customFormat="1" x14ac:dyDescent="0.25"/>
    <row r="254587" customFormat="1" x14ac:dyDescent="0.25"/>
    <row r="254588" customFormat="1" x14ac:dyDescent="0.25"/>
    <row r="254589" customFormat="1" x14ac:dyDescent="0.25"/>
    <row r="254590" customFormat="1" x14ac:dyDescent="0.25"/>
    <row r="254591" customFormat="1" x14ac:dyDescent="0.25"/>
    <row r="254592" customFormat="1" x14ac:dyDescent="0.25"/>
    <row r="254593" customFormat="1" x14ac:dyDescent="0.25"/>
    <row r="254594" customFormat="1" x14ac:dyDescent="0.25"/>
    <row r="254595" customFormat="1" x14ac:dyDescent="0.25"/>
    <row r="254596" customFormat="1" x14ac:dyDescent="0.25"/>
    <row r="254597" customFormat="1" x14ac:dyDescent="0.25"/>
    <row r="254598" customFormat="1" x14ac:dyDescent="0.25"/>
    <row r="254599" customFormat="1" x14ac:dyDescent="0.25"/>
    <row r="254600" customFormat="1" x14ac:dyDescent="0.25"/>
    <row r="254601" customFormat="1" x14ac:dyDescent="0.25"/>
    <row r="254602" customFormat="1" x14ac:dyDescent="0.25"/>
    <row r="254603" customFormat="1" x14ac:dyDescent="0.25"/>
    <row r="254604" customFormat="1" x14ac:dyDescent="0.25"/>
    <row r="254605" customFormat="1" x14ac:dyDescent="0.25"/>
    <row r="254606" customFormat="1" x14ac:dyDescent="0.25"/>
    <row r="254607" customFormat="1" x14ac:dyDescent="0.25"/>
    <row r="254608" customFormat="1" x14ac:dyDescent="0.25"/>
    <row r="254609" customFormat="1" x14ac:dyDescent="0.25"/>
    <row r="254610" customFormat="1" x14ac:dyDescent="0.25"/>
    <row r="254611" customFormat="1" x14ac:dyDescent="0.25"/>
    <row r="254612" customFormat="1" x14ac:dyDescent="0.25"/>
    <row r="254613" customFormat="1" x14ac:dyDescent="0.25"/>
    <row r="254614" customFormat="1" x14ac:dyDescent="0.25"/>
    <row r="254615" customFormat="1" x14ac:dyDescent="0.25"/>
    <row r="254616" customFormat="1" x14ac:dyDescent="0.25"/>
    <row r="254617" customFormat="1" x14ac:dyDescent="0.25"/>
    <row r="254618" customFormat="1" x14ac:dyDescent="0.25"/>
    <row r="254619" customFormat="1" x14ac:dyDescent="0.25"/>
    <row r="254620" customFormat="1" x14ac:dyDescent="0.25"/>
    <row r="254621" customFormat="1" x14ac:dyDescent="0.25"/>
    <row r="254622" customFormat="1" x14ac:dyDescent="0.25"/>
    <row r="254623" customFormat="1" x14ac:dyDescent="0.25"/>
    <row r="254624" customFormat="1" x14ac:dyDescent="0.25"/>
    <row r="254625" customFormat="1" x14ac:dyDescent="0.25"/>
    <row r="254626" customFormat="1" x14ac:dyDescent="0.25"/>
    <row r="254627" customFormat="1" x14ac:dyDescent="0.25"/>
    <row r="254628" customFormat="1" x14ac:dyDescent="0.25"/>
    <row r="254629" customFormat="1" x14ac:dyDescent="0.25"/>
    <row r="254630" customFormat="1" x14ac:dyDescent="0.25"/>
    <row r="254631" customFormat="1" x14ac:dyDescent="0.25"/>
    <row r="254632" customFormat="1" x14ac:dyDescent="0.25"/>
    <row r="254633" customFormat="1" x14ac:dyDescent="0.25"/>
    <row r="254634" customFormat="1" x14ac:dyDescent="0.25"/>
    <row r="254635" customFormat="1" x14ac:dyDescent="0.25"/>
    <row r="254636" customFormat="1" x14ac:dyDescent="0.25"/>
    <row r="254637" customFormat="1" x14ac:dyDescent="0.25"/>
    <row r="254638" customFormat="1" x14ac:dyDescent="0.25"/>
    <row r="254639" customFormat="1" x14ac:dyDescent="0.25"/>
    <row r="254640" customFormat="1" x14ac:dyDescent="0.25"/>
    <row r="254641" customFormat="1" x14ac:dyDescent="0.25"/>
    <row r="254642" customFormat="1" x14ac:dyDescent="0.25"/>
    <row r="254643" customFormat="1" x14ac:dyDescent="0.25"/>
    <row r="254644" customFormat="1" x14ac:dyDescent="0.25"/>
    <row r="254645" customFormat="1" x14ac:dyDescent="0.25"/>
    <row r="254646" customFormat="1" x14ac:dyDescent="0.25"/>
    <row r="254647" customFormat="1" x14ac:dyDescent="0.25"/>
    <row r="254648" customFormat="1" x14ac:dyDescent="0.25"/>
    <row r="254649" customFormat="1" x14ac:dyDescent="0.25"/>
    <row r="254650" customFormat="1" x14ac:dyDescent="0.25"/>
    <row r="254651" customFormat="1" x14ac:dyDescent="0.25"/>
    <row r="254652" customFormat="1" x14ac:dyDescent="0.25"/>
    <row r="254653" customFormat="1" x14ac:dyDescent="0.25"/>
    <row r="254654" customFormat="1" x14ac:dyDescent="0.25"/>
    <row r="254655" customFormat="1" x14ac:dyDescent="0.25"/>
    <row r="254656" customFormat="1" x14ac:dyDescent="0.25"/>
    <row r="254657" customFormat="1" x14ac:dyDescent="0.25"/>
    <row r="254658" customFormat="1" x14ac:dyDescent="0.25"/>
    <row r="254659" customFormat="1" x14ac:dyDescent="0.25"/>
    <row r="254660" customFormat="1" x14ac:dyDescent="0.25"/>
    <row r="254661" customFormat="1" x14ac:dyDescent="0.25"/>
    <row r="254662" customFormat="1" x14ac:dyDescent="0.25"/>
    <row r="254663" customFormat="1" x14ac:dyDescent="0.25"/>
    <row r="254664" customFormat="1" x14ac:dyDescent="0.25"/>
    <row r="254665" customFormat="1" x14ac:dyDescent="0.25"/>
    <row r="254666" customFormat="1" x14ac:dyDescent="0.25"/>
    <row r="254667" customFormat="1" x14ac:dyDescent="0.25"/>
    <row r="254668" customFormat="1" x14ac:dyDescent="0.25"/>
    <row r="254669" customFormat="1" x14ac:dyDescent="0.25"/>
    <row r="254670" customFormat="1" x14ac:dyDescent="0.25"/>
    <row r="254671" customFormat="1" x14ac:dyDescent="0.25"/>
    <row r="254672" customFormat="1" x14ac:dyDescent="0.25"/>
    <row r="254673" customFormat="1" x14ac:dyDescent="0.25"/>
    <row r="254674" customFormat="1" x14ac:dyDescent="0.25"/>
    <row r="254675" customFormat="1" x14ac:dyDescent="0.25"/>
    <row r="254676" customFormat="1" x14ac:dyDescent="0.25"/>
    <row r="254677" customFormat="1" x14ac:dyDescent="0.25"/>
    <row r="254678" customFormat="1" x14ac:dyDescent="0.25"/>
    <row r="254679" customFormat="1" x14ac:dyDescent="0.25"/>
    <row r="254680" customFormat="1" x14ac:dyDescent="0.25"/>
    <row r="254681" customFormat="1" x14ac:dyDescent="0.25"/>
    <row r="254682" customFormat="1" x14ac:dyDescent="0.25"/>
    <row r="254683" customFormat="1" x14ac:dyDescent="0.25"/>
    <row r="254684" customFormat="1" x14ac:dyDescent="0.25"/>
    <row r="254685" customFormat="1" x14ac:dyDescent="0.25"/>
    <row r="254686" customFormat="1" x14ac:dyDescent="0.25"/>
    <row r="254687" customFormat="1" x14ac:dyDescent="0.25"/>
    <row r="254688" customFormat="1" x14ac:dyDescent="0.25"/>
    <row r="254689" customFormat="1" x14ac:dyDescent="0.25"/>
    <row r="254690" customFormat="1" x14ac:dyDescent="0.25"/>
    <row r="254691" customFormat="1" x14ac:dyDescent="0.25"/>
    <row r="254692" customFormat="1" x14ac:dyDescent="0.25"/>
    <row r="254693" customFormat="1" x14ac:dyDescent="0.25"/>
    <row r="254694" customFormat="1" x14ac:dyDescent="0.25"/>
    <row r="254695" customFormat="1" x14ac:dyDescent="0.25"/>
    <row r="254696" customFormat="1" x14ac:dyDescent="0.25"/>
    <row r="254697" customFormat="1" x14ac:dyDescent="0.25"/>
    <row r="254698" customFormat="1" x14ac:dyDescent="0.25"/>
    <row r="254699" customFormat="1" x14ac:dyDescent="0.25"/>
    <row r="254700" customFormat="1" x14ac:dyDescent="0.25"/>
    <row r="254701" customFormat="1" x14ac:dyDescent="0.25"/>
    <row r="254702" customFormat="1" x14ac:dyDescent="0.25"/>
    <row r="254703" customFormat="1" x14ac:dyDescent="0.25"/>
    <row r="254704" customFormat="1" x14ac:dyDescent="0.25"/>
    <row r="254705" customFormat="1" x14ac:dyDescent="0.25"/>
    <row r="254706" customFormat="1" x14ac:dyDescent="0.25"/>
    <row r="254707" customFormat="1" x14ac:dyDescent="0.25"/>
    <row r="254708" customFormat="1" x14ac:dyDescent="0.25"/>
    <row r="254709" customFormat="1" x14ac:dyDescent="0.25"/>
    <row r="254710" customFormat="1" x14ac:dyDescent="0.25"/>
    <row r="254711" customFormat="1" x14ac:dyDescent="0.25"/>
    <row r="254712" customFormat="1" x14ac:dyDescent="0.25"/>
    <row r="254713" customFormat="1" x14ac:dyDescent="0.25"/>
    <row r="254714" customFormat="1" x14ac:dyDescent="0.25"/>
    <row r="254715" customFormat="1" x14ac:dyDescent="0.25"/>
    <row r="254716" customFormat="1" x14ac:dyDescent="0.25"/>
    <row r="254717" customFormat="1" x14ac:dyDescent="0.25"/>
    <row r="254718" customFormat="1" x14ac:dyDescent="0.25"/>
    <row r="254719" customFormat="1" x14ac:dyDescent="0.25"/>
    <row r="254720" customFormat="1" x14ac:dyDescent="0.25"/>
    <row r="254721" customFormat="1" x14ac:dyDescent="0.25"/>
    <row r="254722" customFormat="1" x14ac:dyDescent="0.25"/>
    <row r="254723" customFormat="1" x14ac:dyDescent="0.25"/>
    <row r="254724" customFormat="1" x14ac:dyDescent="0.25"/>
    <row r="254725" customFormat="1" x14ac:dyDescent="0.25"/>
    <row r="254726" customFormat="1" x14ac:dyDescent="0.25"/>
    <row r="254727" customFormat="1" x14ac:dyDescent="0.25"/>
    <row r="254728" customFormat="1" x14ac:dyDescent="0.25"/>
    <row r="254729" customFormat="1" x14ac:dyDescent="0.25"/>
    <row r="254730" customFormat="1" x14ac:dyDescent="0.25"/>
    <row r="254731" customFormat="1" x14ac:dyDescent="0.25"/>
    <row r="254732" customFormat="1" x14ac:dyDescent="0.25"/>
    <row r="254733" customFormat="1" x14ac:dyDescent="0.25"/>
    <row r="254734" customFormat="1" x14ac:dyDescent="0.25"/>
    <row r="254735" customFormat="1" x14ac:dyDescent="0.25"/>
    <row r="254736" customFormat="1" x14ac:dyDescent="0.25"/>
    <row r="254737" customFormat="1" x14ac:dyDescent="0.25"/>
    <row r="254738" customFormat="1" x14ac:dyDescent="0.25"/>
    <row r="254739" customFormat="1" x14ac:dyDescent="0.25"/>
    <row r="254740" customFormat="1" x14ac:dyDescent="0.25"/>
    <row r="254741" customFormat="1" x14ac:dyDescent="0.25"/>
    <row r="254742" customFormat="1" x14ac:dyDescent="0.25"/>
    <row r="254743" customFormat="1" x14ac:dyDescent="0.25"/>
    <row r="254744" customFormat="1" x14ac:dyDescent="0.25"/>
    <row r="254745" customFormat="1" x14ac:dyDescent="0.25"/>
    <row r="254746" customFormat="1" x14ac:dyDescent="0.25"/>
    <row r="254747" customFormat="1" x14ac:dyDescent="0.25"/>
    <row r="254748" customFormat="1" x14ac:dyDescent="0.25"/>
    <row r="254749" customFormat="1" x14ac:dyDescent="0.25"/>
    <row r="254750" customFormat="1" x14ac:dyDescent="0.25"/>
    <row r="254751" customFormat="1" x14ac:dyDescent="0.25"/>
    <row r="254752" customFormat="1" x14ac:dyDescent="0.25"/>
    <row r="254753" customFormat="1" x14ac:dyDescent="0.25"/>
    <row r="254754" customFormat="1" x14ac:dyDescent="0.25"/>
    <row r="254755" customFormat="1" x14ac:dyDescent="0.25"/>
    <row r="254756" customFormat="1" x14ac:dyDescent="0.25"/>
    <row r="254757" customFormat="1" x14ac:dyDescent="0.25"/>
    <row r="254758" customFormat="1" x14ac:dyDescent="0.25"/>
    <row r="254759" customFormat="1" x14ac:dyDescent="0.25"/>
    <row r="254760" customFormat="1" x14ac:dyDescent="0.25"/>
    <row r="254761" customFormat="1" x14ac:dyDescent="0.25"/>
    <row r="254762" customFormat="1" x14ac:dyDescent="0.25"/>
    <row r="254763" customFormat="1" x14ac:dyDescent="0.25"/>
    <row r="254764" customFormat="1" x14ac:dyDescent="0.25"/>
    <row r="254765" customFormat="1" x14ac:dyDescent="0.25"/>
    <row r="254766" customFormat="1" x14ac:dyDescent="0.25"/>
    <row r="254767" customFormat="1" x14ac:dyDescent="0.25"/>
    <row r="254768" customFormat="1" x14ac:dyDescent="0.25"/>
    <row r="254769" customFormat="1" x14ac:dyDescent="0.25"/>
    <row r="254770" customFormat="1" x14ac:dyDescent="0.25"/>
    <row r="254771" customFormat="1" x14ac:dyDescent="0.25"/>
    <row r="254772" customFormat="1" x14ac:dyDescent="0.25"/>
    <row r="254773" customFormat="1" x14ac:dyDescent="0.25"/>
    <row r="254774" customFormat="1" x14ac:dyDescent="0.25"/>
    <row r="254775" customFormat="1" x14ac:dyDescent="0.25"/>
    <row r="254776" customFormat="1" x14ac:dyDescent="0.25"/>
    <row r="254777" customFormat="1" x14ac:dyDescent="0.25"/>
    <row r="254778" customFormat="1" x14ac:dyDescent="0.25"/>
    <row r="254779" customFormat="1" x14ac:dyDescent="0.25"/>
    <row r="254780" customFormat="1" x14ac:dyDescent="0.25"/>
    <row r="254781" customFormat="1" x14ac:dyDescent="0.25"/>
    <row r="254782" customFormat="1" x14ac:dyDescent="0.25"/>
    <row r="254783" customFormat="1" x14ac:dyDescent="0.25"/>
    <row r="254784" customFormat="1" x14ac:dyDescent="0.25"/>
    <row r="254785" customFormat="1" x14ac:dyDescent="0.25"/>
    <row r="254786" customFormat="1" x14ac:dyDescent="0.25"/>
    <row r="254787" customFormat="1" x14ac:dyDescent="0.25"/>
    <row r="254788" customFormat="1" x14ac:dyDescent="0.25"/>
    <row r="254789" customFormat="1" x14ac:dyDescent="0.25"/>
    <row r="254790" customFormat="1" x14ac:dyDescent="0.25"/>
    <row r="254791" customFormat="1" x14ac:dyDescent="0.25"/>
    <row r="254792" customFormat="1" x14ac:dyDescent="0.25"/>
    <row r="254793" customFormat="1" x14ac:dyDescent="0.25"/>
    <row r="254794" customFormat="1" x14ac:dyDescent="0.25"/>
    <row r="254795" customFormat="1" x14ac:dyDescent="0.25"/>
    <row r="254796" customFormat="1" x14ac:dyDescent="0.25"/>
    <row r="254797" customFormat="1" x14ac:dyDescent="0.25"/>
    <row r="254798" customFormat="1" x14ac:dyDescent="0.25"/>
    <row r="254799" customFormat="1" x14ac:dyDescent="0.25"/>
    <row r="254800" customFormat="1" x14ac:dyDescent="0.25"/>
    <row r="254801" customFormat="1" x14ac:dyDescent="0.25"/>
    <row r="254802" customFormat="1" x14ac:dyDescent="0.25"/>
    <row r="254803" customFormat="1" x14ac:dyDescent="0.25"/>
    <row r="254804" customFormat="1" x14ac:dyDescent="0.25"/>
    <row r="254805" customFormat="1" x14ac:dyDescent="0.25"/>
    <row r="254806" customFormat="1" x14ac:dyDescent="0.25"/>
    <row r="254807" customFormat="1" x14ac:dyDescent="0.25"/>
    <row r="254808" customFormat="1" x14ac:dyDescent="0.25"/>
    <row r="254809" customFormat="1" x14ac:dyDescent="0.25"/>
    <row r="254810" customFormat="1" x14ac:dyDescent="0.25"/>
    <row r="254811" customFormat="1" x14ac:dyDescent="0.25"/>
    <row r="254812" customFormat="1" x14ac:dyDescent="0.25"/>
    <row r="254813" customFormat="1" x14ac:dyDescent="0.25"/>
    <row r="254814" customFormat="1" x14ac:dyDescent="0.25"/>
    <row r="254815" customFormat="1" x14ac:dyDescent="0.25"/>
    <row r="254816" customFormat="1" x14ac:dyDescent="0.25"/>
    <row r="254817" customFormat="1" x14ac:dyDescent="0.25"/>
    <row r="254818" customFormat="1" x14ac:dyDescent="0.25"/>
    <row r="254819" customFormat="1" x14ac:dyDescent="0.25"/>
    <row r="254820" customFormat="1" x14ac:dyDescent="0.25"/>
    <row r="254821" customFormat="1" x14ac:dyDescent="0.25"/>
    <row r="254822" customFormat="1" x14ac:dyDescent="0.25"/>
    <row r="254823" customFormat="1" x14ac:dyDescent="0.25"/>
    <row r="254824" customFormat="1" x14ac:dyDescent="0.25"/>
    <row r="254825" customFormat="1" x14ac:dyDescent="0.25"/>
    <row r="254826" customFormat="1" x14ac:dyDescent="0.25"/>
    <row r="254827" customFormat="1" x14ac:dyDescent="0.25"/>
    <row r="254828" customFormat="1" x14ac:dyDescent="0.25"/>
    <row r="254829" customFormat="1" x14ac:dyDescent="0.25"/>
    <row r="254830" customFormat="1" x14ac:dyDescent="0.25"/>
    <row r="254831" customFormat="1" x14ac:dyDescent="0.25"/>
    <row r="254832" customFormat="1" x14ac:dyDescent="0.25"/>
    <row r="254833" customFormat="1" x14ac:dyDescent="0.25"/>
    <row r="254834" customFormat="1" x14ac:dyDescent="0.25"/>
    <row r="254835" customFormat="1" x14ac:dyDescent="0.25"/>
    <row r="254836" customFormat="1" x14ac:dyDescent="0.25"/>
    <row r="254837" customFormat="1" x14ac:dyDescent="0.25"/>
    <row r="254838" customFormat="1" x14ac:dyDescent="0.25"/>
    <row r="254839" customFormat="1" x14ac:dyDescent="0.25"/>
    <row r="254840" customFormat="1" x14ac:dyDescent="0.25"/>
    <row r="254841" customFormat="1" x14ac:dyDescent="0.25"/>
    <row r="254842" customFormat="1" x14ac:dyDescent="0.25"/>
    <row r="254843" customFormat="1" x14ac:dyDescent="0.25"/>
    <row r="254844" customFormat="1" x14ac:dyDescent="0.25"/>
    <row r="254845" customFormat="1" x14ac:dyDescent="0.25"/>
    <row r="254846" customFormat="1" x14ac:dyDescent="0.25"/>
    <row r="254847" customFormat="1" x14ac:dyDescent="0.25"/>
    <row r="254848" customFormat="1" x14ac:dyDescent="0.25"/>
    <row r="254849" customFormat="1" x14ac:dyDescent="0.25"/>
    <row r="254850" customFormat="1" x14ac:dyDescent="0.25"/>
    <row r="254851" customFormat="1" x14ac:dyDescent="0.25"/>
    <row r="254852" customFormat="1" x14ac:dyDescent="0.25"/>
    <row r="254853" customFormat="1" x14ac:dyDescent="0.25"/>
    <row r="254854" customFormat="1" x14ac:dyDescent="0.25"/>
    <row r="254855" customFormat="1" x14ac:dyDescent="0.25"/>
    <row r="254856" customFormat="1" x14ac:dyDescent="0.25"/>
    <row r="254857" customFormat="1" x14ac:dyDescent="0.25"/>
    <row r="254858" customFormat="1" x14ac:dyDescent="0.25"/>
    <row r="254859" customFormat="1" x14ac:dyDescent="0.25"/>
    <row r="254860" customFormat="1" x14ac:dyDescent="0.25"/>
    <row r="254861" customFormat="1" x14ac:dyDescent="0.25"/>
    <row r="254862" customFormat="1" x14ac:dyDescent="0.25"/>
    <row r="254863" customFormat="1" x14ac:dyDescent="0.25"/>
    <row r="254864" customFormat="1" x14ac:dyDescent="0.25"/>
    <row r="254865" customFormat="1" x14ac:dyDescent="0.25"/>
    <row r="254866" customFormat="1" x14ac:dyDescent="0.25"/>
    <row r="254867" customFormat="1" x14ac:dyDescent="0.25"/>
    <row r="254868" customFormat="1" x14ac:dyDescent="0.25"/>
    <row r="254869" customFormat="1" x14ac:dyDescent="0.25"/>
    <row r="254870" customFormat="1" x14ac:dyDescent="0.25"/>
    <row r="254871" customFormat="1" x14ac:dyDescent="0.25"/>
    <row r="254872" customFormat="1" x14ac:dyDescent="0.25"/>
    <row r="254873" customFormat="1" x14ac:dyDescent="0.25"/>
    <row r="254874" customFormat="1" x14ac:dyDescent="0.25"/>
    <row r="254875" customFormat="1" x14ac:dyDescent="0.25"/>
    <row r="254876" customFormat="1" x14ac:dyDescent="0.25"/>
    <row r="254877" customFormat="1" x14ac:dyDescent="0.25"/>
    <row r="254878" customFormat="1" x14ac:dyDescent="0.25"/>
    <row r="254879" customFormat="1" x14ac:dyDescent="0.25"/>
    <row r="254880" customFormat="1" x14ac:dyDescent="0.25"/>
    <row r="254881" customFormat="1" x14ac:dyDescent="0.25"/>
    <row r="254882" customFormat="1" x14ac:dyDescent="0.25"/>
    <row r="254883" customFormat="1" x14ac:dyDescent="0.25"/>
    <row r="254884" customFormat="1" x14ac:dyDescent="0.25"/>
    <row r="254885" customFormat="1" x14ac:dyDescent="0.25"/>
    <row r="254886" customFormat="1" x14ac:dyDescent="0.25"/>
    <row r="254887" customFormat="1" x14ac:dyDescent="0.25"/>
    <row r="254888" customFormat="1" x14ac:dyDescent="0.25"/>
    <row r="254889" customFormat="1" x14ac:dyDescent="0.25"/>
    <row r="254890" customFormat="1" x14ac:dyDescent="0.25"/>
    <row r="254891" customFormat="1" x14ac:dyDescent="0.25"/>
    <row r="254892" customFormat="1" x14ac:dyDescent="0.25"/>
    <row r="254893" customFormat="1" x14ac:dyDescent="0.25"/>
    <row r="254894" customFormat="1" x14ac:dyDescent="0.25"/>
    <row r="254895" customFormat="1" x14ac:dyDescent="0.25"/>
    <row r="254896" customFormat="1" x14ac:dyDescent="0.25"/>
    <row r="254897" customFormat="1" x14ac:dyDescent="0.25"/>
    <row r="254898" customFormat="1" x14ac:dyDescent="0.25"/>
    <row r="254899" customFormat="1" x14ac:dyDescent="0.25"/>
    <row r="254900" customFormat="1" x14ac:dyDescent="0.25"/>
    <row r="254901" customFormat="1" x14ac:dyDescent="0.25"/>
    <row r="254902" customFormat="1" x14ac:dyDescent="0.25"/>
    <row r="254903" customFormat="1" x14ac:dyDescent="0.25"/>
    <row r="254904" customFormat="1" x14ac:dyDescent="0.25"/>
    <row r="254905" customFormat="1" x14ac:dyDescent="0.25"/>
    <row r="254906" customFormat="1" x14ac:dyDescent="0.25"/>
    <row r="254907" customFormat="1" x14ac:dyDescent="0.25"/>
    <row r="254908" customFormat="1" x14ac:dyDescent="0.25"/>
    <row r="254909" customFormat="1" x14ac:dyDescent="0.25"/>
    <row r="254910" customFormat="1" x14ac:dyDescent="0.25"/>
    <row r="254911" customFormat="1" x14ac:dyDescent="0.25"/>
    <row r="254912" customFormat="1" x14ac:dyDescent="0.25"/>
    <row r="254913" customFormat="1" x14ac:dyDescent="0.25"/>
    <row r="254914" customFormat="1" x14ac:dyDescent="0.25"/>
    <row r="254915" customFormat="1" x14ac:dyDescent="0.25"/>
    <row r="254916" customFormat="1" x14ac:dyDescent="0.25"/>
    <row r="254917" customFormat="1" x14ac:dyDescent="0.25"/>
    <row r="254918" customFormat="1" x14ac:dyDescent="0.25"/>
    <row r="254919" customFormat="1" x14ac:dyDescent="0.25"/>
    <row r="254920" customFormat="1" x14ac:dyDescent="0.25"/>
    <row r="254921" customFormat="1" x14ac:dyDescent="0.25"/>
    <row r="254922" customFormat="1" x14ac:dyDescent="0.25"/>
    <row r="254923" customFormat="1" x14ac:dyDescent="0.25"/>
    <row r="254924" customFormat="1" x14ac:dyDescent="0.25"/>
    <row r="254925" customFormat="1" x14ac:dyDescent="0.25"/>
    <row r="254926" customFormat="1" x14ac:dyDescent="0.25"/>
    <row r="254927" customFormat="1" x14ac:dyDescent="0.25"/>
    <row r="254928" customFormat="1" x14ac:dyDescent="0.25"/>
    <row r="254929" customFormat="1" x14ac:dyDescent="0.25"/>
    <row r="254930" customFormat="1" x14ac:dyDescent="0.25"/>
    <row r="254931" customFormat="1" x14ac:dyDescent="0.25"/>
    <row r="254932" customFormat="1" x14ac:dyDescent="0.25"/>
    <row r="254933" customFormat="1" x14ac:dyDescent="0.25"/>
    <row r="254934" customFormat="1" x14ac:dyDescent="0.25"/>
    <row r="254935" customFormat="1" x14ac:dyDescent="0.25"/>
    <row r="254936" customFormat="1" x14ac:dyDescent="0.25"/>
    <row r="254937" customFormat="1" x14ac:dyDescent="0.25"/>
    <row r="254938" customFormat="1" x14ac:dyDescent="0.25"/>
    <row r="254939" customFormat="1" x14ac:dyDescent="0.25"/>
    <row r="254940" customFormat="1" x14ac:dyDescent="0.25"/>
    <row r="254941" customFormat="1" x14ac:dyDescent="0.25"/>
    <row r="254942" customFormat="1" x14ac:dyDescent="0.25"/>
    <row r="254943" customFormat="1" x14ac:dyDescent="0.25"/>
    <row r="254944" customFormat="1" x14ac:dyDescent="0.25"/>
    <row r="254945" customFormat="1" x14ac:dyDescent="0.25"/>
    <row r="254946" customFormat="1" x14ac:dyDescent="0.25"/>
    <row r="254947" customFormat="1" x14ac:dyDescent="0.25"/>
    <row r="254948" customFormat="1" x14ac:dyDescent="0.25"/>
    <row r="254949" customFormat="1" x14ac:dyDescent="0.25"/>
    <row r="254950" customFormat="1" x14ac:dyDescent="0.25"/>
    <row r="254951" customFormat="1" x14ac:dyDescent="0.25"/>
    <row r="254952" customFormat="1" x14ac:dyDescent="0.25"/>
    <row r="254953" customFormat="1" x14ac:dyDescent="0.25"/>
    <row r="254954" customFormat="1" x14ac:dyDescent="0.25"/>
    <row r="254955" customFormat="1" x14ac:dyDescent="0.25"/>
    <row r="254956" customFormat="1" x14ac:dyDescent="0.25"/>
    <row r="254957" customFormat="1" x14ac:dyDescent="0.25"/>
    <row r="254958" customFormat="1" x14ac:dyDescent="0.25"/>
    <row r="254959" customFormat="1" x14ac:dyDescent="0.25"/>
    <row r="254960" customFormat="1" x14ac:dyDescent="0.25"/>
    <row r="254961" customFormat="1" x14ac:dyDescent="0.25"/>
    <row r="254962" customFormat="1" x14ac:dyDescent="0.25"/>
    <row r="254963" customFormat="1" x14ac:dyDescent="0.25"/>
    <row r="254964" customFormat="1" x14ac:dyDescent="0.25"/>
    <row r="254965" customFormat="1" x14ac:dyDescent="0.25"/>
    <row r="254966" customFormat="1" x14ac:dyDescent="0.25"/>
    <row r="254967" customFormat="1" x14ac:dyDescent="0.25"/>
    <row r="254968" customFormat="1" x14ac:dyDescent="0.25"/>
    <row r="254969" customFormat="1" x14ac:dyDescent="0.25"/>
    <row r="254970" customFormat="1" x14ac:dyDescent="0.25"/>
    <row r="254971" customFormat="1" x14ac:dyDescent="0.25"/>
    <row r="254972" customFormat="1" x14ac:dyDescent="0.25"/>
    <row r="254973" customFormat="1" x14ac:dyDescent="0.25"/>
    <row r="254974" customFormat="1" x14ac:dyDescent="0.25"/>
    <row r="254975" customFormat="1" x14ac:dyDescent="0.25"/>
    <row r="254976" customFormat="1" x14ac:dyDescent="0.25"/>
    <row r="254977" customFormat="1" x14ac:dyDescent="0.25"/>
    <row r="254978" customFormat="1" x14ac:dyDescent="0.25"/>
    <row r="254979" customFormat="1" x14ac:dyDescent="0.25"/>
    <row r="254980" customFormat="1" x14ac:dyDescent="0.25"/>
    <row r="254981" customFormat="1" x14ac:dyDescent="0.25"/>
    <row r="254982" customFormat="1" x14ac:dyDescent="0.25"/>
    <row r="254983" customFormat="1" x14ac:dyDescent="0.25"/>
    <row r="254984" customFormat="1" x14ac:dyDescent="0.25"/>
    <row r="254985" customFormat="1" x14ac:dyDescent="0.25"/>
    <row r="254986" customFormat="1" x14ac:dyDescent="0.25"/>
    <row r="254987" customFormat="1" x14ac:dyDescent="0.25"/>
    <row r="254988" customFormat="1" x14ac:dyDescent="0.25"/>
    <row r="254989" customFormat="1" x14ac:dyDescent="0.25"/>
    <row r="254990" customFormat="1" x14ac:dyDescent="0.25"/>
    <row r="254991" customFormat="1" x14ac:dyDescent="0.25"/>
    <row r="254992" customFormat="1" x14ac:dyDescent="0.25"/>
    <row r="254993" customFormat="1" x14ac:dyDescent="0.25"/>
    <row r="254994" customFormat="1" x14ac:dyDescent="0.25"/>
    <row r="254995" customFormat="1" x14ac:dyDescent="0.25"/>
    <row r="254996" customFormat="1" x14ac:dyDescent="0.25"/>
    <row r="254997" customFormat="1" x14ac:dyDescent="0.25"/>
    <row r="254998" customFormat="1" x14ac:dyDescent="0.25"/>
    <row r="254999" customFormat="1" x14ac:dyDescent="0.25"/>
    <row r="255000" customFormat="1" x14ac:dyDescent="0.25"/>
    <row r="255001" customFormat="1" x14ac:dyDescent="0.25"/>
    <row r="255002" customFormat="1" x14ac:dyDescent="0.25"/>
    <row r="255003" customFormat="1" x14ac:dyDescent="0.25"/>
    <row r="255004" customFormat="1" x14ac:dyDescent="0.25"/>
    <row r="255005" customFormat="1" x14ac:dyDescent="0.25"/>
    <row r="255006" customFormat="1" x14ac:dyDescent="0.25"/>
    <row r="255007" customFormat="1" x14ac:dyDescent="0.25"/>
    <row r="255008" customFormat="1" x14ac:dyDescent="0.25"/>
    <row r="255009" customFormat="1" x14ac:dyDescent="0.25"/>
    <row r="255010" customFormat="1" x14ac:dyDescent="0.25"/>
    <row r="255011" customFormat="1" x14ac:dyDescent="0.25"/>
    <row r="255012" customFormat="1" x14ac:dyDescent="0.25"/>
    <row r="255013" customFormat="1" x14ac:dyDescent="0.25"/>
    <row r="255014" customFormat="1" x14ac:dyDescent="0.25"/>
    <row r="255015" customFormat="1" x14ac:dyDescent="0.25"/>
    <row r="255016" customFormat="1" x14ac:dyDescent="0.25"/>
    <row r="255017" customFormat="1" x14ac:dyDescent="0.25"/>
    <row r="255018" customFormat="1" x14ac:dyDescent="0.25"/>
    <row r="255019" customFormat="1" x14ac:dyDescent="0.25"/>
    <row r="255020" customFormat="1" x14ac:dyDescent="0.25"/>
    <row r="255021" customFormat="1" x14ac:dyDescent="0.25"/>
    <row r="255022" customFormat="1" x14ac:dyDescent="0.25"/>
    <row r="255023" customFormat="1" x14ac:dyDescent="0.25"/>
    <row r="255024" customFormat="1" x14ac:dyDescent="0.25"/>
    <row r="255025" customFormat="1" x14ac:dyDescent="0.25"/>
    <row r="255026" customFormat="1" x14ac:dyDescent="0.25"/>
    <row r="255027" customFormat="1" x14ac:dyDescent="0.25"/>
    <row r="255028" customFormat="1" x14ac:dyDescent="0.25"/>
    <row r="255029" customFormat="1" x14ac:dyDescent="0.25"/>
    <row r="255030" customFormat="1" x14ac:dyDescent="0.25"/>
    <row r="255031" customFormat="1" x14ac:dyDescent="0.25"/>
    <row r="255032" customFormat="1" x14ac:dyDescent="0.25"/>
    <row r="255033" customFormat="1" x14ac:dyDescent="0.25"/>
    <row r="255034" customFormat="1" x14ac:dyDescent="0.25"/>
    <row r="255035" customFormat="1" x14ac:dyDescent="0.25"/>
    <row r="255036" customFormat="1" x14ac:dyDescent="0.25"/>
    <row r="255037" customFormat="1" x14ac:dyDescent="0.25"/>
    <row r="255038" customFormat="1" x14ac:dyDescent="0.25"/>
    <row r="255039" customFormat="1" x14ac:dyDescent="0.25"/>
    <row r="255040" customFormat="1" x14ac:dyDescent="0.25"/>
    <row r="255041" customFormat="1" x14ac:dyDescent="0.25"/>
    <row r="255042" customFormat="1" x14ac:dyDescent="0.25"/>
    <row r="255043" customFormat="1" x14ac:dyDescent="0.25"/>
    <row r="255044" customFormat="1" x14ac:dyDescent="0.25"/>
    <row r="255045" customFormat="1" x14ac:dyDescent="0.25"/>
    <row r="255046" customFormat="1" x14ac:dyDescent="0.25"/>
    <row r="255047" customFormat="1" x14ac:dyDescent="0.25"/>
    <row r="255048" customFormat="1" x14ac:dyDescent="0.25"/>
    <row r="255049" customFormat="1" x14ac:dyDescent="0.25"/>
    <row r="255050" customFormat="1" x14ac:dyDescent="0.25"/>
    <row r="255051" customFormat="1" x14ac:dyDescent="0.25"/>
    <row r="255052" customFormat="1" x14ac:dyDescent="0.25"/>
    <row r="255053" customFormat="1" x14ac:dyDescent="0.25"/>
    <row r="255054" customFormat="1" x14ac:dyDescent="0.25"/>
    <row r="255055" customFormat="1" x14ac:dyDescent="0.25"/>
    <row r="255056" customFormat="1" x14ac:dyDescent="0.25"/>
    <row r="255057" customFormat="1" x14ac:dyDescent="0.25"/>
    <row r="255058" customFormat="1" x14ac:dyDescent="0.25"/>
    <row r="255059" customFormat="1" x14ac:dyDescent="0.25"/>
    <row r="255060" customFormat="1" x14ac:dyDescent="0.25"/>
    <row r="255061" customFormat="1" x14ac:dyDescent="0.25"/>
    <row r="255062" customFormat="1" x14ac:dyDescent="0.25"/>
    <row r="255063" customFormat="1" x14ac:dyDescent="0.25"/>
    <row r="255064" customFormat="1" x14ac:dyDescent="0.25"/>
    <row r="255065" customFormat="1" x14ac:dyDescent="0.25"/>
    <row r="255066" customFormat="1" x14ac:dyDescent="0.25"/>
    <row r="255067" customFormat="1" x14ac:dyDescent="0.25"/>
    <row r="255068" customFormat="1" x14ac:dyDescent="0.25"/>
    <row r="255069" customFormat="1" x14ac:dyDescent="0.25"/>
    <row r="255070" customFormat="1" x14ac:dyDescent="0.25"/>
    <row r="255071" customFormat="1" x14ac:dyDescent="0.25"/>
    <row r="255072" customFormat="1" x14ac:dyDescent="0.25"/>
    <row r="255073" customFormat="1" x14ac:dyDescent="0.25"/>
    <row r="255074" customFormat="1" x14ac:dyDescent="0.25"/>
    <row r="255075" customFormat="1" x14ac:dyDescent="0.25"/>
    <row r="255076" customFormat="1" x14ac:dyDescent="0.25"/>
    <row r="255077" customFormat="1" x14ac:dyDescent="0.25"/>
    <row r="255078" customFormat="1" x14ac:dyDescent="0.25"/>
    <row r="255079" customFormat="1" x14ac:dyDescent="0.25"/>
    <row r="255080" customFormat="1" x14ac:dyDescent="0.25"/>
    <row r="255081" customFormat="1" x14ac:dyDescent="0.25"/>
    <row r="255082" customFormat="1" x14ac:dyDescent="0.25"/>
    <row r="255083" customFormat="1" x14ac:dyDescent="0.25"/>
    <row r="255084" customFormat="1" x14ac:dyDescent="0.25"/>
    <row r="255085" customFormat="1" x14ac:dyDescent="0.25"/>
    <row r="255086" customFormat="1" x14ac:dyDescent="0.25"/>
    <row r="255087" customFormat="1" x14ac:dyDescent="0.25"/>
    <row r="255088" customFormat="1" x14ac:dyDescent="0.25"/>
    <row r="255089" customFormat="1" x14ac:dyDescent="0.25"/>
    <row r="255090" customFormat="1" x14ac:dyDescent="0.25"/>
    <row r="255091" customFormat="1" x14ac:dyDescent="0.25"/>
    <row r="255092" customFormat="1" x14ac:dyDescent="0.25"/>
    <row r="255093" customFormat="1" x14ac:dyDescent="0.25"/>
    <row r="255094" customFormat="1" x14ac:dyDescent="0.25"/>
    <row r="255095" customFormat="1" x14ac:dyDescent="0.25"/>
    <row r="255096" customFormat="1" x14ac:dyDescent="0.25"/>
    <row r="255097" customFormat="1" x14ac:dyDescent="0.25"/>
    <row r="255098" customFormat="1" x14ac:dyDescent="0.25"/>
    <row r="255099" customFormat="1" x14ac:dyDescent="0.25"/>
    <row r="255100" customFormat="1" x14ac:dyDescent="0.25"/>
    <row r="255101" customFormat="1" x14ac:dyDescent="0.25"/>
    <row r="255102" customFormat="1" x14ac:dyDescent="0.25"/>
    <row r="255103" customFormat="1" x14ac:dyDescent="0.25"/>
    <row r="255104" customFormat="1" x14ac:dyDescent="0.25"/>
    <row r="255105" customFormat="1" x14ac:dyDescent="0.25"/>
    <row r="255106" customFormat="1" x14ac:dyDescent="0.25"/>
    <row r="255107" customFormat="1" x14ac:dyDescent="0.25"/>
    <row r="255108" customFormat="1" x14ac:dyDescent="0.25"/>
    <row r="255109" customFormat="1" x14ac:dyDescent="0.25"/>
    <row r="255110" customFormat="1" x14ac:dyDescent="0.25"/>
    <row r="255111" customFormat="1" x14ac:dyDescent="0.25"/>
    <row r="255112" customFormat="1" x14ac:dyDescent="0.25"/>
    <row r="255113" customFormat="1" x14ac:dyDescent="0.25"/>
    <row r="255114" customFormat="1" x14ac:dyDescent="0.25"/>
    <row r="255115" customFormat="1" x14ac:dyDescent="0.25"/>
    <row r="255116" customFormat="1" x14ac:dyDescent="0.25"/>
    <row r="255117" customFormat="1" x14ac:dyDescent="0.25"/>
    <row r="255118" customFormat="1" x14ac:dyDescent="0.25"/>
    <row r="255119" customFormat="1" x14ac:dyDescent="0.25"/>
    <row r="255120" customFormat="1" x14ac:dyDescent="0.25"/>
    <row r="255121" customFormat="1" x14ac:dyDescent="0.25"/>
    <row r="255122" customFormat="1" x14ac:dyDescent="0.25"/>
    <row r="255123" customFormat="1" x14ac:dyDescent="0.25"/>
    <row r="255124" customFormat="1" x14ac:dyDescent="0.25"/>
    <row r="255125" customFormat="1" x14ac:dyDescent="0.25"/>
    <row r="255126" customFormat="1" x14ac:dyDescent="0.25"/>
    <row r="255127" customFormat="1" x14ac:dyDescent="0.25"/>
    <row r="255128" customFormat="1" x14ac:dyDescent="0.25"/>
    <row r="255129" customFormat="1" x14ac:dyDescent="0.25"/>
    <row r="255130" customFormat="1" x14ac:dyDescent="0.25"/>
    <row r="255131" customFormat="1" x14ac:dyDescent="0.25"/>
    <row r="255132" customFormat="1" x14ac:dyDescent="0.25"/>
    <row r="255133" customFormat="1" x14ac:dyDescent="0.25"/>
    <row r="255134" customFormat="1" x14ac:dyDescent="0.25"/>
    <row r="255135" customFormat="1" x14ac:dyDescent="0.25"/>
    <row r="255136" customFormat="1" x14ac:dyDescent="0.25"/>
    <row r="255137" customFormat="1" x14ac:dyDescent="0.25"/>
    <row r="255138" customFormat="1" x14ac:dyDescent="0.25"/>
    <row r="255139" customFormat="1" x14ac:dyDescent="0.25"/>
    <row r="255140" customFormat="1" x14ac:dyDescent="0.25"/>
    <row r="255141" customFormat="1" x14ac:dyDescent="0.25"/>
    <row r="255142" customFormat="1" x14ac:dyDescent="0.25"/>
    <row r="255143" customFormat="1" x14ac:dyDescent="0.25"/>
    <row r="255144" customFormat="1" x14ac:dyDescent="0.25"/>
    <row r="255145" customFormat="1" x14ac:dyDescent="0.25"/>
    <row r="255146" customFormat="1" x14ac:dyDescent="0.25"/>
    <row r="255147" customFormat="1" x14ac:dyDescent="0.25"/>
    <row r="255148" customFormat="1" x14ac:dyDescent="0.25"/>
    <row r="255149" customFormat="1" x14ac:dyDescent="0.25"/>
    <row r="255150" customFormat="1" x14ac:dyDescent="0.25"/>
    <row r="255151" customFormat="1" x14ac:dyDescent="0.25"/>
    <row r="255152" customFormat="1" x14ac:dyDescent="0.25"/>
    <row r="255153" customFormat="1" x14ac:dyDescent="0.25"/>
    <row r="255154" customFormat="1" x14ac:dyDescent="0.25"/>
    <row r="255155" customFormat="1" x14ac:dyDescent="0.25"/>
    <row r="255156" customFormat="1" x14ac:dyDescent="0.25"/>
    <row r="255157" customFormat="1" x14ac:dyDescent="0.25"/>
    <row r="255158" customFormat="1" x14ac:dyDescent="0.25"/>
    <row r="255159" customFormat="1" x14ac:dyDescent="0.25"/>
    <row r="255160" customFormat="1" x14ac:dyDescent="0.25"/>
    <row r="255161" customFormat="1" x14ac:dyDescent="0.25"/>
    <row r="255162" customFormat="1" x14ac:dyDescent="0.25"/>
    <row r="255163" customFormat="1" x14ac:dyDescent="0.25"/>
    <row r="255164" customFormat="1" x14ac:dyDescent="0.25"/>
    <row r="255165" customFormat="1" x14ac:dyDescent="0.25"/>
    <row r="255166" customFormat="1" x14ac:dyDescent="0.25"/>
    <row r="255167" customFormat="1" x14ac:dyDescent="0.25"/>
    <row r="255168" customFormat="1" x14ac:dyDescent="0.25"/>
    <row r="255169" customFormat="1" x14ac:dyDescent="0.25"/>
    <row r="255170" customFormat="1" x14ac:dyDescent="0.25"/>
    <row r="255171" customFormat="1" x14ac:dyDescent="0.25"/>
    <row r="255172" customFormat="1" x14ac:dyDescent="0.25"/>
    <row r="255173" customFormat="1" x14ac:dyDescent="0.25"/>
    <row r="255174" customFormat="1" x14ac:dyDescent="0.25"/>
    <row r="255175" customFormat="1" x14ac:dyDescent="0.25"/>
    <row r="255176" customFormat="1" x14ac:dyDescent="0.25"/>
    <row r="255177" customFormat="1" x14ac:dyDescent="0.25"/>
    <row r="255178" customFormat="1" x14ac:dyDescent="0.25"/>
    <row r="255179" customFormat="1" x14ac:dyDescent="0.25"/>
    <row r="255180" customFormat="1" x14ac:dyDescent="0.25"/>
    <row r="255181" customFormat="1" x14ac:dyDescent="0.25"/>
    <row r="255182" customFormat="1" x14ac:dyDescent="0.25"/>
    <row r="255183" customFormat="1" x14ac:dyDescent="0.25"/>
    <row r="255184" customFormat="1" x14ac:dyDescent="0.25"/>
    <row r="255185" customFormat="1" x14ac:dyDescent="0.25"/>
    <row r="255186" customFormat="1" x14ac:dyDescent="0.25"/>
    <row r="255187" customFormat="1" x14ac:dyDescent="0.25"/>
    <row r="255188" customFormat="1" x14ac:dyDescent="0.25"/>
    <row r="255189" customFormat="1" x14ac:dyDescent="0.25"/>
    <row r="255190" customFormat="1" x14ac:dyDescent="0.25"/>
    <row r="255191" customFormat="1" x14ac:dyDescent="0.25"/>
    <row r="255192" customFormat="1" x14ac:dyDescent="0.25"/>
    <row r="255193" customFormat="1" x14ac:dyDescent="0.25"/>
    <row r="255194" customFormat="1" x14ac:dyDescent="0.25"/>
    <row r="255195" customFormat="1" x14ac:dyDescent="0.25"/>
    <row r="255196" customFormat="1" x14ac:dyDescent="0.25"/>
    <row r="255197" customFormat="1" x14ac:dyDescent="0.25"/>
    <row r="255198" customFormat="1" x14ac:dyDescent="0.25"/>
    <row r="255199" customFormat="1" x14ac:dyDescent="0.25"/>
    <row r="255200" customFormat="1" x14ac:dyDescent="0.25"/>
    <row r="255201" customFormat="1" x14ac:dyDescent="0.25"/>
    <row r="255202" customFormat="1" x14ac:dyDescent="0.25"/>
    <row r="255203" customFormat="1" x14ac:dyDescent="0.25"/>
    <row r="255204" customFormat="1" x14ac:dyDescent="0.25"/>
    <row r="255205" customFormat="1" x14ac:dyDescent="0.25"/>
    <row r="255206" customFormat="1" x14ac:dyDescent="0.25"/>
    <row r="255207" customFormat="1" x14ac:dyDescent="0.25"/>
    <row r="255208" customFormat="1" x14ac:dyDescent="0.25"/>
    <row r="255209" customFormat="1" x14ac:dyDescent="0.25"/>
    <row r="255210" customFormat="1" x14ac:dyDescent="0.25"/>
    <row r="255211" customFormat="1" x14ac:dyDescent="0.25"/>
    <row r="255212" customFormat="1" x14ac:dyDescent="0.25"/>
    <row r="255213" customFormat="1" x14ac:dyDescent="0.25"/>
    <row r="255214" customFormat="1" x14ac:dyDescent="0.25"/>
    <row r="255215" customFormat="1" x14ac:dyDescent="0.25"/>
    <row r="255216" customFormat="1" x14ac:dyDescent="0.25"/>
    <row r="255217" customFormat="1" x14ac:dyDescent="0.25"/>
    <row r="255218" customFormat="1" x14ac:dyDescent="0.25"/>
    <row r="255219" customFormat="1" x14ac:dyDescent="0.25"/>
    <row r="255220" customFormat="1" x14ac:dyDescent="0.25"/>
    <row r="255221" customFormat="1" x14ac:dyDescent="0.25"/>
    <row r="255222" customFormat="1" x14ac:dyDescent="0.25"/>
    <row r="255223" customFormat="1" x14ac:dyDescent="0.25"/>
    <row r="255224" customFormat="1" x14ac:dyDescent="0.25"/>
    <row r="255225" customFormat="1" x14ac:dyDescent="0.25"/>
    <row r="255226" customFormat="1" x14ac:dyDescent="0.25"/>
    <row r="255227" customFormat="1" x14ac:dyDescent="0.25"/>
    <row r="255228" customFormat="1" x14ac:dyDescent="0.25"/>
    <row r="255229" customFormat="1" x14ac:dyDescent="0.25"/>
    <row r="255230" customFormat="1" x14ac:dyDescent="0.25"/>
    <row r="255231" customFormat="1" x14ac:dyDescent="0.25"/>
    <row r="255232" customFormat="1" x14ac:dyDescent="0.25"/>
    <row r="255233" customFormat="1" x14ac:dyDescent="0.25"/>
    <row r="255234" customFormat="1" x14ac:dyDescent="0.25"/>
    <row r="255235" customFormat="1" x14ac:dyDescent="0.25"/>
    <row r="255236" customFormat="1" x14ac:dyDescent="0.25"/>
    <row r="255237" customFormat="1" x14ac:dyDescent="0.25"/>
    <row r="255238" customFormat="1" x14ac:dyDescent="0.25"/>
    <row r="255239" customFormat="1" x14ac:dyDescent="0.25"/>
    <row r="255240" customFormat="1" x14ac:dyDescent="0.25"/>
    <row r="255241" customFormat="1" x14ac:dyDescent="0.25"/>
    <row r="255242" customFormat="1" x14ac:dyDescent="0.25"/>
    <row r="255243" customFormat="1" x14ac:dyDescent="0.25"/>
    <row r="255244" customFormat="1" x14ac:dyDescent="0.25"/>
    <row r="255245" customFormat="1" x14ac:dyDescent="0.25"/>
    <row r="255246" customFormat="1" x14ac:dyDescent="0.25"/>
    <row r="255247" customFormat="1" x14ac:dyDescent="0.25"/>
    <row r="255248" customFormat="1" x14ac:dyDescent="0.25"/>
    <row r="255249" customFormat="1" x14ac:dyDescent="0.25"/>
    <row r="255250" customFormat="1" x14ac:dyDescent="0.25"/>
    <row r="255251" customFormat="1" x14ac:dyDescent="0.25"/>
    <row r="255252" customFormat="1" x14ac:dyDescent="0.25"/>
    <row r="255253" customFormat="1" x14ac:dyDescent="0.25"/>
    <row r="255254" customFormat="1" x14ac:dyDescent="0.25"/>
    <row r="255255" customFormat="1" x14ac:dyDescent="0.25"/>
    <row r="255256" customFormat="1" x14ac:dyDescent="0.25"/>
    <row r="255257" customFormat="1" x14ac:dyDescent="0.25"/>
    <row r="255258" customFormat="1" x14ac:dyDescent="0.25"/>
    <row r="255259" customFormat="1" x14ac:dyDescent="0.25"/>
    <row r="255260" customFormat="1" x14ac:dyDescent="0.25"/>
    <row r="255261" customFormat="1" x14ac:dyDescent="0.25"/>
    <row r="255262" customFormat="1" x14ac:dyDescent="0.25"/>
    <row r="255263" customFormat="1" x14ac:dyDescent="0.25"/>
    <row r="255264" customFormat="1" x14ac:dyDescent="0.25"/>
    <row r="255265" customFormat="1" x14ac:dyDescent="0.25"/>
    <row r="255266" customFormat="1" x14ac:dyDescent="0.25"/>
    <row r="255267" customFormat="1" x14ac:dyDescent="0.25"/>
    <row r="255268" customFormat="1" x14ac:dyDescent="0.25"/>
    <row r="255269" customFormat="1" x14ac:dyDescent="0.25"/>
    <row r="255270" customFormat="1" x14ac:dyDescent="0.25"/>
    <row r="255271" customFormat="1" x14ac:dyDescent="0.25"/>
    <row r="255272" customFormat="1" x14ac:dyDescent="0.25"/>
    <row r="255273" customFormat="1" x14ac:dyDescent="0.25"/>
    <row r="255274" customFormat="1" x14ac:dyDescent="0.25"/>
    <row r="255275" customFormat="1" x14ac:dyDescent="0.25"/>
    <row r="255276" customFormat="1" x14ac:dyDescent="0.25"/>
    <row r="255277" customFormat="1" x14ac:dyDescent="0.25"/>
    <row r="255278" customFormat="1" x14ac:dyDescent="0.25"/>
    <row r="255279" customFormat="1" x14ac:dyDescent="0.25"/>
    <row r="255280" customFormat="1" x14ac:dyDescent="0.25"/>
    <row r="255281" customFormat="1" x14ac:dyDescent="0.25"/>
    <row r="255282" customFormat="1" x14ac:dyDescent="0.25"/>
    <row r="255283" customFormat="1" x14ac:dyDescent="0.25"/>
    <row r="255284" customFormat="1" x14ac:dyDescent="0.25"/>
    <row r="255285" customFormat="1" x14ac:dyDescent="0.25"/>
    <row r="255286" customFormat="1" x14ac:dyDescent="0.25"/>
    <row r="255287" customFormat="1" x14ac:dyDescent="0.25"/>
    <row r="255288" customFormat="1" x14ac:dyDescent="0.25"/>
    <row r="255289" customFormat="1" x14ac:dyDescent="0.25"/>
    <row r="255290" customFormat="1" x14ac:dyDescent="0.25"/>
    <row r="255291" customFormat="1" x14ac:dyDescent="0.25"/>
    <row r="255292" customFormat="1" x14ac:dyDescent="0.25"/>
    <row r="255293" customFormat="1" x14ac:dyDescent="0.25"/>
    <row r="255294" customFormat="1" x14ac:dyDescent="0.25"/>
    <row r="255295" customFormat="1" x14ac:dyDescent="0.25"/>
    <row r="255296" customFormat="1" x14ac:dyDescent="0.25"/>
    <row r="255297" customFormat="1" x14ac:dyDescent="0.25"/>
    <row r="255298" customFormat="1" x14ac:dyDescent="0.25"/>
    <row r="255299" customFormat="1" x14ac:dyDescent="0.25"/>
    <row r="255300" customFormat="1" x14ac:dyDescent="0.25"/>
    <row r="255301" customFormat="1" x14ac:dyDescent="0.25"/>
    <row r="255302" customFormat="1" x14ac:dyDescent="0.25"/>
    <row r="255303" customFormat="1" x14ac:dyDescent="0.25"/>
    <row r="255304" customFormat="1" x14ac:dyDescent="0.25"/>
    <row r="255305" customFormat="1" x14ac:dyDescent="0.25"/>
    <row r="255306" customFormat="1" x14ac:dyDescent="0.25"/>
    <row r="255307" customFormat="1" x14ac:dyDescent="0.25"/>
    <row r="255308" customFormat="1" x14ac:dyDescent="0.25"/>
    <row r="255309" customFormat="1" x14ac:dyDescent="0.25"/>
    <row r="255310" customFormat="1" x14ac:dyDescent="0.25"/>
    <row r="255311" customFormat="1" x14ac:dyDescent="0.25"/>
    <row r="255312" customFormat="1" x14ac:dyDescent="0.25"/>
    <row r="255313" customFormat="1" x14ac:dyDescent="0.25"/>
    <row r="255314" customFormat="1" x14ac:dyDescent="0.25"/>
    <row r="255315" customFormat="1" x14ac:dyDescent="0.25"/>
    <row r="255316" customFormat="1" x14ac:dyDescent="0.25"/>
    <row r="255317" customFormat="1" x14ac:dyDescent="0.25"/>
    <row r="255318" customFormat="1" x14ac:dyDescent="0.25"/>
    <row r="255319" customFormat="1" x14ac:dyDescent="0.25"/>
    <row r="255320" customFormat="1" x14ac:dyDescent="0.25"/>
    <row r="255321" customFormat="1" x14ac:dyDescent="0.25"/>
    <row r="255322" customFormat="1" x14ac:dyDescent="0.25"/>
    <row r="255323" customFormat="1" x14ac:dyDescent="0.25"/>
    <row r="255324" customFormat="1" x14ac:dyDescent="0.25"/>
    <row r="255325" customFormat="1" x14ac:dyDescent="0.25"/>
    <row r="255326" customFormat="1" x14ac:dyDescent="0.25"/>
    <row r="255327" customFormat="1" x14ac:dyDescent="0.25"/>
    <row r="255328" customFormat="1" x14ac:dyDescent="0.25"/>
    <row r="255329" customFormat="1" x14ac:dyDescent="0.25"/>
    <row r="255330" customFormat="1" x14ac:dyDescent="0.25"/>
    <row r="255331" customFormat="1" x14ac:dyDescent="0.25"/>
    <row r="255332" customFormat="1" x14ac:dyDescent="0.25"/>
    <row r="255333" customFormat="1" x14ac:dyDescent="0.25"/>
    <row r="255334" customFormat="1" x14ac:dyDescent="0.25"/>
    <row r="255335" customFormat="1" x14ac:dyDescent="0.25"/>
    <row r="255336" customFormat="1" x14ac:dyDescent="0.25"/>
    <row r="255337" customFormat="1" x14ac:dyDescent="0.25"/>
    <row r="255338" customFormat="1" x14ac:dyDescent="0.25"/>
    <row r="255339" customFormat="1" x14ac:dyDescent="0.25"/>
    <row r="255340" customFormat="1" x14ac:dyDescent="0.25"/>
    <row r="255341" customFormat="1" x14ac:dyDescent="0.25"/>
    <row r="255342" customFormat="1" x14ac:dyDescent="0.25"/>
    <row r="255343" customFormat="1" x14ac:dyDescent="0.25"/>
    <row r="255344" customFormat="1" x14ac:dyDescent="0.25"/>
    <row r="255345" customFormat="1" x14ac:dyDescent="0.25"/>
    <row r="255346" customFormat="1" x14ac:dyDescent="0.25"/>
    <row r="255347" customFormat="1" x14ac:dyDescent="0.25"/>
    <row r="255348" customFormat="1" x14ac:dyDescent="0.25"/>
    <row r="255349" customFormat="1" x14ac:dyDescent="0.25"/>
    <row r="255350" customFormat="1" x14ac:dyDescent="0.25"/>
    <row r="255351" customFormat="1" x14ac:dyDescent="0.25"/>
    <row r="255352" customFormat="1" x14ac:dyDescent="0.25"/>
    <row r="255353" customFormat="1" x14ac:dyDescent="0.25"/>
    <row r="255354" customFormat="1" x14ac:dyDescent="0.25"/>
    <row r="255355" customFormat="1" x14ac:dyDescent="0.25"/>
    <row r="255356" customFormat="1" x14ac:dyDescent="0.25"/>
    <row r="255357" customFormat="1" x14ac:dyDescent="0.25"/>
    <row r="255358" customFormat="1" x14ac:dyDescent="0.25"/>
    <row r="255359" customFormat="1" x14ac:dyDescent="0.25"/>
    <row r="255360" customFormat="1" x14ac:dyDescent="0.25"/>
    <row r="255361" customFormat="1" x14ac:dyDescent="0.25"/>
    <row r="255362" customFormat="1" x14ac:dyDescent="0.25"/>
    <row r="255363" customFormat="1" x14ac:dyDescent="0.25"/>
    <row r="255364" customFormat="1" x14ac:dyDescent="0.25"/>
    <row r="255365" customFormat="1" x14ac:dyDescent="0.25"/>
    <row r="255366" customFormat="1" x14ac:dyDescent="0.25"/>
    <row r="255367" customFormat="1" x14ac:dyDescent="0.25"/>
    <row r="255368" customFormat="1" x14ac:dyDescent="0.25"/>
    <row r="255369" customFormat="1" x14ac:dyDescent="0.25"/>
    <row r="255370" customFormat="1" x14ac:dyDescent="0.25"/>
    <row r="255371" customFormat="1" x14ac:dyDescent="0.25"/>
    <row r="255372" customFormat="1" x14ac:dyDescent="0.25"/>
    <row r="255373" customFormat="1" x14ac:dyDescent="0.25"/>
    <row r="255374" customFormat="1" x14ac:dyDescent="0.25"/>
    <row r="255375" customFormat="1" x14ac:dyDescent="0.25"/>
    <row r="255376" customFormat="1" x14ac:dyDescent="0.25"/>
    <row r="255377" customFormat="1" x14ac:dyDescent="0.25"/>
    <row r="255378" customFormat="1" x14ac:dyDescent="0.25"/>
    <row r="255379" customFormat="1" x14ac:dyDescent="0.25"/>
    <row r="255380" customFormat="1" x14ac:dyDescent="0.25"/>
    <row r="255381" customFormat="1" x14ac:dyDescent="0.25"/>
    <row r="255382" customFormat="1" x14ac:dyDescent="0.25"/>
    <row r="255383" customFormat="1" x14ac:dyDescent="0.25"/>
    <row r="255384" customFormat="1" x14ac:dyDescent="0.25"/>
    <row r="255385" customFormat="1" x14ac:dyDescent="0.25"/>
    <row r="255386" customFormat="1" x14ac:dyDescent="0.25"/>
    <row r="255387" customFormat="1" x14ac:dyDescent="0.25"/>
    <row r="255388" customFormat="1" x14ac:dyDescent="0.25"/>
    <row r="255389" customFormat="1" x14ac:dyDescent="0.25"/>
    <row r="255390" customFormat="1" x14ac:dyDescent="0.25"/>
    <row r="255391" customFormat="1" x14ac:dyDescent="0.25"/>
    <row r="255392" customFormat="1" x14ac:dyDescent="0.25"/>
    <row r="255393" customFormat="1" x14ac:dyDescent="0.25"/>
    <row r="255394" customFormat="1" x14ac:dyDescent="0.25"/>
    <row r="255395" customFormat="1" x14ac:dyDescent="0.25"/>
    <row r="255396" customFormat="1" x14ac:dyDescent="0.25"/>
    <row r="255397" customFormat="1" x14ac:dyDescent="0.25"/>
    <row r="255398" customFormat="1" x14ac:dyDescent="0.25"/>
    <row r="255399" customFormat="1" x14ac:dyDescent="0.25"/>
    <row r="255400" customFormat="1" x14ac:dyDescent="0.25"/>
    <row r="255401" customFormat="1" x14ac:dyDescent="0.25"/>
    <row r="255402" customFormat="1" x14ac:dyDescent="0.25"/>
    <row r="255403" customFormat="1" x14ac:dyDescent="0.25"/>
    <row r="255404" customFormat="1" x14ac:dyDescent="0.25"/>
    <row r="255405" customFormat="1" x14ac:dyDescent="0.25"/>
    <row r="255406" customFormat="1" x14ac:dyDescent="0.25"/>
    <row r="255407" customFormat="1" x14ac:dyDescent="0.25"/>
    <row r="255408" customFormat="1" x14ac:dyDescent="0.25"/>
    <row r="255409" customFormat="1" x14ac:dyDescent="0.25"/>
    <row r="255410" customFormat="1" x14ac:dyDescent="0.25"/>
    <row r="255411" customFormat="1" x14ac:dyDescent="0.25"/>
    <row r="255412" customFormat="1" x14ac:dyDescent="0.25"/>
    <row r="255413" customFormat="1" x14ac:dyDescent="0.25"/>
    <row r="255414" customFormat="1" x14ac:dyDescent="0.25"/>
    <row r="255415" customFormat="1" x14ac:dyDescent="0.25"/>
    <row r="255416" customFormat="1" x14ac:dyDescent="0.25"/>
    <row r="255417" customFormat="1" x14ac:dyDescent="0.25"/>
    <row r="255418" customFormat="1" x14ac:dyDescent="0.25"/>
    <row r="255419" customFormat="1" x14ac:dyDescent="0.25"/>
    <row r="255420" customFormat="1" x14ac:dyDescent="0.25"/>
    <row r="255421" customFormat="1" x14ac:dyDescent="0.25"/>
    <row r="255422" customFormat="1" x14ac:dyDescent="0.25"/>
    <row r="255423" customFormat="1" x14ac:dyDescent="0.25"/>
    <row r="255424" customFormat="1" x14ac:dyDescent="0.25"/>
    <row r="255425" customFormat="1" x14ac:dyDescent="0.25"/>
    <row r="255426" customFormat="1" x14ac:dyDescent="0.25"/>
    <row r="255427" customFormat="1" x14ac:dyDescent="0.25"/>
    <row r="255428" customFormat="1" x14ac:dyDescent="0.25"/>
    <row r="255429" customFormat="1" x14ac:dyDescent="0.25"/>
    <row r="255430" customFormat="1" x14ac:dyDescent="0.25"/>
    <row r="255431" customFormat="1" x14ac:dyDescent="0.25"/>
    <row r="255432" customFormat="1" x14ac:dyDescent="0.25"/>
    <row r="255433" customFormat="1" x14ac:dyDescent="0.25"/>
    <row r="255434" customFormat="1" x14ac:dyDescent="0.25"/>
    <row r="255435" customFormat="1" x14ac:dyDescent="0.25"/>
    <row r="255436" customFormat="1" x14ac:dyDescent="0.25"/>
    <row r="255437" customFormat="1" x14ac:dyDescent="0.25"/>
    <row r="255438" customFormat="1" x14ac:dyDescent="0.25"/>
    <row r="255439" customFormat="1" x14ac:dyDescent="0.25"/>
    <row r="255440" customFormat="1" x14ac:dyDescent="0.25"/>
    <row r="255441" customFormat="1" x14ac:dyDescent="0.25"/>
    <row r="255442" customFormat="1" x14ac:dyDescent="0.25"/>
    <row r="255443" customFormat="1" x14ac:dyDescent="0.25"/>
    <row r="255444" customFormat="1" x14ac:dyDescent="0.25"/>
    <row r="255445" customFormat="1" x14ac:dyDescent="0.25"/>
    <row r="255446" customFormat="1" x14ac:dyDescent="0.25"/>
    <row r="255447" customFormat="1" x14ac:dyDescent="0.25"/>
    <row r="255448" customFormat="1" x14ac:dyDescent="0.25"/>
    <row r="255449" customFormat="1" x14ac:dyDescent="0.25"/>
    <row r="255450" customFormat="1" x14ac:dyDescent="0.25"/>
    <row r="255451" customFormat="1" x14ac:dyDescent="0.25"/>
    <row r="255452" customFormat="1" x14ac:dyDescent="0.25"/>
    <row r="255453" customFormat="1" x14ac:dyDescent="0.25"/>
    <row r="255454" customFormat="1" x14ac:dyDescent="0.25"/>
    <row r="255455" customFormat="1" x14ac:dyDescent="0.25"/>
    <row r="255456" customFormat="1" x14ac:dyDescent="0.25"/>
    <row r="255457" customFormat="1" x14ac:dyDescent="0.25"/>
    <row r="255458" customFormat="1" x14ac:dyDescent="0.25"/>
    <row r="255459" customFormat="1" x14ac:dyDescent="0.25"/>
    <row r="255460" customFormat="1" x14ac:dyDescent="0.25"/>
    <row r="255461" customFormat="1" x14ac:dyDescent="0.25"/>
    <row r="255462" customFormat="1" x14ac:dyDescent="0.25"/>
    <row r="255463" customFormat="1" x14ac:dyDescent="0.25"/>
    <row r="255464" customFormat="1" x14ac:dyDescent="0.25"/>
    <row r="255465" customFormat="1" x14ac:dyDescent="0.25"/>
    <row r="255466" customFormat="1" x14ac:dyDescent="0.25"/>
    <row r="255467" customFormat="1" x14ac:dyDescent="0.25"/>
    <row r="255468" customFormat="1" x14ac:dyDescent="0.25"/>
    <row r="255469" customFormat="1" x14ac:dyDescent="0.25"/>
    <row r="255470" customFormat="1" x14ac:dyDescent="0.25"/>
    <row r="255471" customFormat="1" x14ac:dyDescent="0.25"/>
    <row r="255472" customFormat="1" x14ac:dyDescent="0.25"/>
    <row r="255473" customFormat="1" x14ac:dyDescent="0.25"/>
    <row r="255474" customFormat="1" x14ac:dyDescent="0.25"/>
    <row r="255475" customFormat="1" x14ac:dyDescent="0.25"/>
    <row r="255476" customFormat="1" x14ac:dyDescent="0.25"/>
    <row r="255477" customFormat="1" x14ac:dyDescent="0.25"/>
    <row r="255478" customFormat="1" x14ac:dyDescent="0.25"/>
    <row r="255479" customFormat="1" x14ac:dyDescent="0.25"/>
    <row r="255480" customFormat="1" x14ac:dyDescent="0.25"/>
    <row r="255481" customFormat="1" x14ac:dyDescent="0.25"/>
    <row r="255482" customFormat="1" x14ac:dyDescent="0.25"/>
    <row r="255483" customFormat="1" x14ac:dyDescent="0.25"/>
    <row r="255484" customFormat="1" x14ac:dyDescent="0.25"/>
    <row r="255485" customFormat="1" x14ac:dyDescent="0.25"/>
    <row r="255486" customFormat="1" x14ac:dyDescent="0.25"/>
    <row r="255487" customFormat="1" x14ac:dyDescent="0.25"/>
    <row r="255488" customFormat="1" x14ac:dyDescent="0.25"/>
    <row r="255489" customFormat="1" x14ac:dyDescent="0.25"/>
    <row r="255490" customFormat="1" x14ac:dyDescent="0.25"/>
    <row r="255491" customFormat="1" x14ac:dyDescent="0.25"/>
    <row r="255492" customFormat="1" x14ac:dyDescent="0.25"/>
    <row r="255493" customFormat="1" x14ac:dyDescent="0.25"/>
    <row r="255494" customFormat="1" x14ac:dyDescent="0.25"/>
    <row r="255495" customFormat="1" x14ac:dyDescent="0.25"/>
    <row r="255496" customFormat="1" x14ac:dyDescent="0.25"/>
    <row r="255497" customFormat="1" x14ac:dyDescent="0.25"/>
    <row r="255498" customFormat="1" x14ac:dyDescent="0.25"/>
    <row r="255499" customFormat="1" x14ac:dyDescent="0.25"/>
    <row r="255500" customFormat="1" x14ac:dyDescent="0.25"/>
    <row r="255501" customFormat="1" x14ac:dyDescent="0.25"/>
    <row r="255502" customFormat="1" x14ac:dyDescent="0.25"/>
    <row r="255503" customFormat="1" x14ac:dyDescent="0.25"/>
    <row r="255504" customFormat="1" x14ac:dyDescent="0.25"/>
    <row r="255505" customFormat="1" x14ac:dyDescent="0.25"/>
    <row r="255506" customFormat="1" x14ac:dyDescent="0.25"/>
    <row r="255507" customFormat="1" x14ac:dyDescent="0.25"/>
    <row r="255508" customFormat="1" x14ac:dyDescent="0.25"/>
    <row r="255509" customFormat="1" x14ac:dyDescent="0.25"/>
    <row r="255510" customFormat="1" x14ac:dyDescent="0.25"/>
    <row r="255511" customFormat="1" x14ac:dyDescent="0.25"/>
    <row r="255512" customFormat="1" x14ac:dyDescent="0.25"/>
    <row r="255513" customFormat="1" x14ac:dyDescent="0.25"/>
    <row r="255514" customFormat="1" x14ac:dyDescent="0.25"/>
    <row r="255515" customFormat="1" x14ac:dyDescent="0.25"/>
    <row r="255516" customFormat="1" x14ac:dyDescent="0.25"/>
    <row r="255517" customFormat="1" x14ac:dyDescent="0.25"/>
    <row r="255518" customFormat="1" x14ac:dyDescent="0.25"/>
    <row r="255519" customFormat="1" x14ac:dyDescent="0.25"/>
    <row r="255520" customFormat="1" x14ac:dyDescent="0.25"/>
    <row r="255521" customFormat="1" x14ac:dyDescent="0.25"/>
    <row r="255522" customFormat="1" x14ac:dyDescent="0.25"/>
    <row r="255523" customFormat="1" x14ac:dyDescent="0.25"/>
    <row r="255524" customFormat="1" x14ac:dyDescent="0.25"/>
    <row r="255525" customFormat="1" x14ac:dyDescent="0.25"/>
    <row r="255526" customFormat="1" x14ac:dyDescent="0.25"/>
    <row r="255527" customFormat="1" x14ac:dyDescent="0.25"/>
    <row r="255528" customFormat="1" x14ac:dyDescent="0.25"/>
    <row r="255529" customFormat="1" x14ac:dyDescent="0.25"/>
    <row r="255530" customFormat="1" x14ac:dyDescent="0.25"/>
    <row r="255531" customFormat="1" x14ac:dyDescent="0.25"/>
    <row r="255532" customFormat="1" x14ac:dyDescent="0.25"/>
    <row r="255533" customFormat="1" x14ac:dyDescent="0.25"/>
    <row r="255534" customFormat="1" x14ac:dyDescent="0.25"/>
    <row r="255535" customFormat="1" x14ac:dyDescent="0.25"/>
    <row r="255536" customFormat="1" x14ac:dyDescent="0.25"/>
    <row r="255537" customFormat="1" x14ac:dyDescent="0.25"/>
    <row r="255538" customFormat="1" x14ac:dyDescent="0.25"/>
    <row r="255539" customFormat="1" x14ac:dyDescent="0.25"/>
    <row r="255540" customFormat="1" x14ac:dyDescent="0.25"/>
    <row r="255541" customFormat="1" x14ac:dyDescent="0.25"/>
    <row r="255542" customFormat="1" x14ac:dyDescent="0.25"/>
    <row r="255543" customFormat="1" x14ac:dyDescent="0.25"/>
    <row r="255544" customFormat="1" x14ac:dyDescent="0.25"/>
    <row r="255545" customFormat="1" x14ac:dyDescent="0.25"/>
    <row r="255546" customFormat="1" x14ac:dyDescent="0.25"/>
    <row r="255547" customFormat="1" x14ac:dyDescent="0.25"/>
    <row r="255548" customFormat="1" x14ac:dyDescent="0.25"/>
    <row r="255549" customFormat="1" x14ac:dyDescent="0.25"/>
    <row r="255550" customFormat="1" x14ac:dyDescent="0.25"/>
    <row r="255551" customFormat="1" x14ac:dyDescent="0.25"/>
    <row r="255552" customFormat="1" x14ac:dyDescent="0.25"/>
    <row r="255553" customFormat="1" x14ac:dyDescent="0.25"/>
    <row r="255554" customFormat="1" x14ac:dyDescent="0.25"/>
    <row r="255555" customFormat="1" x14ac:dyDescent="0.25"/>
    <row r="255556" customFormat="1" x14ac:dyDescent="0.25"/>
    <row r="255557" customFormat="1" x14ac:dyDescent="0.25"/>
    <row r="255558" customFormat="1" x14ac:dyDescent="0.25"/>
    <row r="255559" customFormat="1" x14ac:dyDescent="0.25"/>
    <row r="255560" customFormat="1" x14ac:dyDescent="0.25"/>
    <row r="255561" customFormat="1" x14ac:dyDescent="0.25"/>
    <row r="255562" customFormat="1" x14ac:dyDescent="0.25"/>
    <row r="255563" customFormat="1" x14ac:dyDescent="0.25"/>
    <row r="255564" customFormat="1" x14ac:dyDescent="0.25"/>
    <row r="255565" customFormat="1" x14ac:dyDescent="0.25"/>
    <row r="255566" customFormat="1" x14ac:dyDescent="0.25"/>
    <row r="255567" customFormat="1" x14ac:dyDescent="0.25"/>
    <row r="255568" customFormat="1" x14ac:dyDescent="0.25"/>
    <row r="255569" customFormat="1" x14ac:dyDescent="0.25"/>
    <row r="255570" customFormat="1" x14ac:dyDescent="0.25"/>
    <row r="255571" customFormat="1" x14ac:dyDescent="0.25"/>
    <row r="255572" customFormat="1" x14ac:dyDescent="0.25"/>
    <row r="255573" customFormat="1" x14ac:dyDescent="0.25"/>
    <row r="255574" customFormat="1" x14ac:dyDescent="0.25"/>
    <row r="255575" customFormat="1" x14ac:dyDescent="0.25"/>
    <row r="255576" customFormat="1" x14ac:dyDescent="0.25"/>
    <row r="255577" customFormat="1" x14ac:dyDescent="0.25"/>
    <row r="255578" customFormat="1" x14ac:dyDescent="0.25"/>
    <row r="255579" customFormat="1" x14ac:dyDescent="0.25"/>
    <row r="255580" customFormat="1" x14ac:dyDescent="0.25"/>
    <row r="255581" customFormat="1" x14ac:dyDescent="0.25"/>
    <row r="255582" customFormat="1" x14ac:dyDescent="0.25"/>
    <row r="255583" customFormat="1" x14ac:dyDescent="0.25"/>
    <row r="255584" customFormat="1" x14ac:dyDescent="0.25"/>
    <row r="255585" customFormat="1" x14ac:dyDescent="0.25"/>
    <row r="255586" customFormat="1" x14ac:dyDescent="0.25"/>
    <row r="255587" customFormat="1" x14ac:dyDescent="0.25"/>
    <row r="255588" customFormat="1" x14ac:dyDescent="0.25"/>
    <row r="255589" customFormat="1" x14ac:dyDescent="0.25"/>
    <row r="255590" customFormat="1" x14ac:dyDescent="0.25"/>
    <row r="255591" customFormat="1" x14ac:dyDescent="0.25"/>
    <row r="255592" customFormat="1" x14ac:dyDescent="0.25"/>
    <row r="255593" customFormat="1" x14ac:dyDescent="0.25"/>
    <row r="255594" customFormat="1" x14ac:dyDescent="0.25"/>
    <row r="255595" customFormat="1" x14ac:dyDescent="0.25"/>
    <row r="255596" customFormat="1" x14ac:dyDescent="0.25"/>
    <row r="255597" customFormat="1" x14ac:dyDescent="0.25"/>
    <row r="255598" customFormat="1" x14ac:dyDescent="0.25"/>
    <row r="255599" customFormat="1" x14ac:dyDescent="0.25"/>
    <row r="255600" customFormat="1" x14ac:dyDescent="0.25"/>
    <row r="255601" customFormat="1" x14ac:dyDescent="0.25"/>
    <row r="255602" customFormat="1" x14ac:dyDescent="0.25"/>
    <row r="255603" customFormat="1" x14ac:dyDescent="0.25"/>
    <row r="255604" customFormat="1" x14ac:dyDescent="0.25"/>
    <row r="255605" customFormat="1" x14ac:dyDescent="0.25"/>
    <row r="255606" customFormat="1" x14ac:dyDescent="0.25"/>
    <row r="255607" customFormat="1" x14ac:dyDescent="0.25"/>
    <row r="255608" customFormat="1" x14ac:dyDescent="0.25"/>
    <row r="255609" customFormat="1" x14ac:dyDescent="0.25"/>
    <row r="255610" customFormat="1" x14ac:dyDescent="0.25"/>
    <row r="255611" customFormat="1" x14ac:dyDescent="0.25"/>
    <row r="255612" customFormat="1" x14ac:dyDescent="0.25"/>
    <row r="255613" customFormat="1" x14ac:dyDescent="0.25"/>
    <row r="255614" customFormat="1" x14ac:dyDescent="0.25"/>
    <row r="255615" customFormat="1" x14ac:dyDescent="0.25"/>
    <row r="255616" customFormat="1" x14ac:dyDescent="0.25"/>
    <row r="255617" customFormat="1" x14ac:dyDescent="0.25"/>
    <row r="255618" customFormat="1" x14ac:dyDescent="0.25"/>
    <row r="255619" customFormat="1" x14ac:dyDescent="0.25"/>
    <row r="255620" customFormat="1" x14ac:dyDescent="0.25"/>
    <row r="255621" customFormat="1" x14ac:dyDescent="0.25"/>
    <row r="255622" customFormat="1" x14ac:dyDescent="0.25"/>
    <row r="255623" customFormat="1" x14ac:dyDescent="0.25"/>
    <row r="255624" customFormat="1" x14ac:dyDescent="0.25"/>
    <row r="255625" customFormat="1" x14ac:dyDescent="0.25"/>
    <row r="255626" customFormat="1" x14ac:dyDescent="0.25"/>
    <row r="255627" customFormat="1" x14ac:dyDescent="0.25"/>
    <row r="255628" customFormat="1" x14ac:dyDescent="0.25"/>
    <row r="255629" customFormat="1" x14ac:dyDescent="0.25"/>
    <row r="255630" customFormat="1" x14ac:dyDescent="0.25"/>
    <row r="255631" customFormat="1" x14ac:dyDescent="0.25"/>
    <row r="255632" customFormat="1" x14ac:dyDescent="0.25"/>
    <row r="255633" customFormat="1" x14ac:dyDescent="0.25"/>
    <row r="255634" customFormat="1" x14ac:dyDescent="0.25"/>
    <row r="255635" customFormat="1" x14ac:dyDescent="0.25"/>
    <row r="255636" customFormat="1" x14ac:dyDescent="0.25"/>
    <row r="255637" customFormat="1" x14ac:dyDescent="0.25"/>
    <row r="255638" customFormat="1" x14ac:dyDescent="0.25"/>
    <row r="255639" customFormat="1" x14ac:dyDescent="0.25"/>
    <row r="255640" customFormat="1" x14ac:dyDescent="0.25"/>
    <row r="255641" customFormat="1" x14ac:dyDescent="0.25"/>
    <row r="255642" customFormat="1" x14ac:dyDescent="0.25"/>
    <row r="255643" customFormat="1" x14ac:dyDescent="0.25"/>
    <row r="255644" customFormat="1" x14ac:dyDescent="0.25"/>
    <row r="255645" customFormat="1" x14ac:dyDescent="0.25"/>
    <row r="255646" customFormat="1" x14ac:dyDescent="0.25"/>
    <row r="255647" customFormat="1" x14ac:dyDescent="0.25"/>
    <row r="255648" customFormat="1" x14ac:dyDescent="0.25"/>
    <row r="255649" customFormat="1" x14ac:dyDescent="0.25"/>
    <row r="255650" customFormat="1" x14ac:dyDescent="0.25"/>
    <row r="255651" customFormat="1" x14ac:dyDescent="0.25"/>
    <row r="255652" customFormat="1" x14ac:dyDescent="0.25"/>
    <row r="255653" customFormat="1" x14ac:dyDescent="0.25"/>
    <row r="255654" customFormat="1" x14ac:dyDescent="0.25"/>
    <row r="255655" customFormat="1" x14ac:dyDescent="0.25"/>
    <row r="255656" customFormat="1" x14ac:dyDescent="0.25"/>
    <row r="255657" customFormat="1" x14ac:dyDescent="0.25"/>
    <row r="255658" customFormat="1" x14ac:dyDescent="0.25"/>
    <row r="255659" customFormat="1" x14ac:dyDescent="0.25"/>
    <row r="255660" customFormat="1" x14ac:dyDescent="0.25"/>
    <row r="255661" customFormat="1" x14ac:dyDescent="0.25"/>
    <row r="255662" customFormat="1" x14ac:dyDescent="0.25"/>
    <row r="255663" customFormat="1" x14ac:dyDescent="0.25"/>
    <row r="255664" customFormat="1" x14ac:dyDescent="0.25"/>
    <row r="255665" customFormat="1" x14ac:dyDescent="0.25"/>
    <row r="255666" customFormat="1" x14ac:dyDescent="0.25"/>
    <row r="255667" customFormat="1" x14ac:dyDescent="0.25"/>
    <row r="255668" customFormat="1" x14ac:dyDescent="0.25"/>
    <row r="255669" customFormat="1" x14ac:dyDescent="0.25"/>
    <row r="255670" customFormat="1" x14ac:dyDescent="0.25"/>
    <row r="255671" customFormat="1" x14ac:dyDescent="0.25"/>
    <row r="255672" customFormat="1" x14ac:dyDescent="0.25"/>
    <row r="255673" customFormat="1" x14ac:dyDescent="0.25"/>
    <row r="255674" customFormat="1" x14ac:dyDescent="0.25"/>
    <row r="255675" customFormat="1" x14ac:dyDescent="0.25"/>
    <row r="255676" customFormat="1" x14ac:dyDescent="0.25"/>
    <row r="255677" customFormat="1" x14ac:dyDescent="0.25"/>
    <row r="255678" customFormat="1" x14ac:dyDescent="0.25"/>
    <row r="255679" customFormat="1" x14ac:dyDescent="0.25"/>
    <row r="255680" customFormat="1" x14ac:dyDescent="0.25"/>
    <row r="255681" customFormat="1" x14ac:dyDescent="0.25"/>
    <row r="255682" customFormat="1" x14ac:dyDescent="0.25"/>
    <row r="255683" customFormat="1" x14ac:dyDescent="0.25"/>
    <row r="255684" customFormat="1" x14ac:dyDescent="0.25"/>
    <row r="255685" customFormat="1" x14ac:dyDescent="0.25"/>
    <row r="255686" customFormat="1" x14ac:dyDescent="0.25"/>
    <row r="255687" customFormat="1" x14ac:dyDescent="0.25"/>
    <row r="255688" customFormat="1" x14ac:dyDescent="0.25"/>
    <row r="255689" customFormat="1" x14ac:dyDescent="0.25"/>
    <row r="255690" customFormat="1" x14ac:dyDescent="0.25"/>
    <row r="255691" customFormat="1" x14ac:dyDescent="0.25"/>
    <row r="255692" customFormat="1" x14ac:dyDescent="0.25"/>
    <row r="255693" customFormat="1" x14ac:dyDescent="0.25"/>
    <row r="255694" customFormat="1" x14ac:dyDescent="0.25"/>
    <row r="255695" customFormat="1" x14ac:dyDescent="0.25"/>
    <row r="255696" customFormat="1" x14ac:dyDescent="0.25"/>
    <row r="255697" customFormat="1" x14ac:dyDescent="0.25"/>
    <row r="255698" customFormat="1" x14ac:dyDescent="0.25"/>
    <row r="255699" customFormat="1" x14ac:dyDescent="0.25"/>
    <row r="255700" customFormat="1" x14ac:dyDescent="0.25"/>
    <row r="255701" customFormat="1" x14ac:dyDescent="0.25"/>
    <row r="255702" customFormat="1" x14ac:dyDescent="0.25"/>
    <row r="255703" customFormat="1" x14ac:dyDescent="0.25"/>
    <row r="255704" customFormat="1" x14ac:dyDescent="0.25"/>
    <row r="255705" customFormat="1" x14ac:dyDescent="0.25"/>
    <row r="255706" customFormat="1" x14ac:dyDescent="0.25"/>
    <row r="255707" customFormat="1" x14ac:dyDescent="0.25"/>
    <row r="255708" customFormat="1" x14ac:dyDescent="0.25"/>
    <row r="255709" customFormat="1" x14ac:dyDescent="0.25"/>
    <row r="255710" customFormat="1" x14ac:dyDescent="0.25"/>
    <row r="255711" customFormat="1" x14ac:dyDescent="0.25"/>
    <row r="255712" customFormat="1" x14ac:dyDescent="0.25"/>
    <row r="255713" customFormat="1" x14ac:dyDescent="0.25"/>
    <row r="255714" customFormat="1" x14ac:dyDescent="0.25"/>
    <row r="255715" customFormat="1" x14ac:dyDescent="0.25"/>
    <row r="255716" customFormat="1" x14ac:dyDescent="0.25"/>
    <row r="255717" customFormat="1" x14ac:dyDescent="0.25"/>
    <row r="255718" customFormat="1" x14ac:dyDescent="0.25"/>
    <row r="255719" customFormat="1" x14ac:dyDescent="0.25"/>
    <row r="255720" customFormat="1" x14ac:dyDescent="0.25"/>
    <row r="255721" customFormat="1" x14ac:dyDescent="0.25"/>
    <row r="255722" customFormat="1" x14ac:dyDescent="0.25"/>
    <row r="255723" customFormat="1" x14ac:dyDescent="0.25"/>
    <row r="255724" customFormat="1" x14ac:dyDescent="0.25"/>
    <row r="255725" customFormat="1" x14ac:dyDescent="0.25"/>
    <row r="255726" customFormat="1" x14ac:dyDescent="0.25"/>
    <row r="255727" customFormat="1" x14ac:dyDescent="0.25"/>
    <row r="255728" customFormat="1" x14ac:dyDescent="0.25"/>
    <row r="255729" customFormat="1" x14ac:dyDescent="0.25"/>
    <row r="255730" customFormat="1" x14ac:dyDescent="0.25"/>
    <row r="255731" customFormat="1" x14ac:dyDescent="0.25"/>
    <row r="255732" customFormat="1" x14ac:dyDescent="0.25"/>
    <row r="255733" customFormat="1" x14ac:dyDescent="0.25"/>
    <row r="255734" customFormat="1" x14ac:dyDescent="0.25"/>
    <row r="255735" customFormat="1" x14ac:dyDescent="0.25"/>
    <row r="255736" customFormat="1" x14ac:dyDescent="0.25"/>
    <row r="255737" customFormat="1" x14ac:dyDescent="0.25"/>
    <row r="255738" customFormat="1" x14ac:dyDescent="0.25"/>
    <row r="255739" customFormat="1" x14ac:dyDescent="0.25"/>
    <row r="255740" customFormat="1" x14ac:dyDescent="0.25"/>
    <row r="255741" customFormat="1" x14ac:dyDescent="0.25"/>
    <row r="255742" customFormat="1" x14ac:dyDescent="0.25"/>
    <row r="255743" customFormat="1" x14ac:dyDescent="0.25"/>
    <row r="255744" customFormat="1" x14ac:dyDescent="0.25"/>
    <row r="255745" customFormat="1" x14ac:dyDescent="0.25"/>
    <row r="255746" customFormat="1" x14ac:dyDescent="0.25"/>
    <row r="255747" customFormat="1" x14ac:dyDescent="0.25"/>
    <row r="255748" customFormat="1" x14ac:dyDescent="0.25"/>
    <row r="255749" customFormat="1" x14ac:dyDescent="0.25"/>
    <row r="255750" customFormat="1" x14ac:dyDescent="0.25"/>
    <row r="255751" customFormat="1" x14ac:dyDescent="0.25"/>
    <row r="255752" customFormat="1" x14ac:dyDescent="0.25"/>
    <row r="255753" customFormat="1" x14ac:dyDescent="0.25"/>
    <row r="255754" customFormat="1" x14ac:dyDescent="0.25"/>
    <row r="255755" customFormat="1" x14ac:dyDescent="0.25"/>
    <row r="255756" customFormat="1" x14ac:dyDescent="0.25"/>
    <row r="255757" customFormat="1" x14ac:dyDescent="0.25"/>
    <row r="255758" customFormat="1" x14ac:dyDescent="0.25"/>
    <row r="255759" customFormat="1" x14ac:dyDescent="0.25"/>
    <row r="255760" customFormat="1" x14ac:dyDescent="0.25"/>
    <row r="255761" customFormat="1" x14ac:dyDescent="0.25"/>
    <row r="255762" customFormat="1" x14ac:dyDescent="0.25"/>
    <row r="255763" customFormat="1" x14ac:dyDescent="0.25"/>
    <row r="255764" customFormat="1" x14ac:dyDescent="0.25"/>
    <row r="255765" customFormat="1" x14ac:dyDescent="0.25"/>
    <row r="255766" customFormat="1" x14ac:dyDescent="0.25"/>
    <row r="255767" customFormat="1" x14ac:dyDescent="0.25"/>
    <row r="255768" customFormat="1" x14ac:dyDescent="0.25"/>
    <row r="255769" customFormat="1" x14ac:dyDescent="0.25"/>
    <row r="255770" customFormat="1" x14ac:dyDescent="0.25"/>
    <row r="255771" customFormat="1" x14ac:dyDescent="0.25"/>
    <row r="255772" customFormat="1" x14ac:dyDescent="0.25"/>
    <row r="255773" customFormat="1" x14ac:dyDescent="0.25"/>
    <row r="255774" customFormat="1" x14ac:dyDescent="0.25"/>
    <row r="255775" customFormat="1" x14ac:dyDescent="0.25"/>
    <row r="255776" customFormat="1" x14ac:dyDescent="0.25"/>
    <row r="255777" customFormat="1" x14ac:dyDescent="0.25"/>
    <row r="255778" customFormat="1" x14ac:dyDescent="0.25"/>
    <row r="255779" customFormat="1" x14ac:dyDescent="0.25"/>
    <row r="255780" customFormat="1" x14ac:dyDescent="0.25"/>
    <row r="255781" customFormat="1" x14ac:dyDescent="0.25"/>
    <row r="255782" customFormat="1" x14ac:dyDescent="0.25"/>
    <row r="255783" customFormat="1" x14ac:dyDescent="0.25"/>
    <row r="255784" customFormat="1" x14ac:dyDescent="0.25"/>
    <row r="255785" customFormat="1" x14ac:dyDescent="0.25"/>
    <row r="255786" customFormat="1" x14ac:dyDescent="0.25"/>
    <row r="255787" customFormat="1" x14ac:dyDescent="0.25"/>
    <row r="255788" customFormat="1" x14ac:dyDescent="0.25"/>
    <row r="255789" customFormat="1" x14ac:dyDescent="0.25"/>
    <row r="255790" customFormat="1" x14ac:dyDescent="0.25"/>
    <row r="255791" customFormat="1" x14ac:dyDescent="0.25"/>
    <row r="255792" customFormat="1" x14ac:dyDescent="0.25"/>
    <row r="255793" customFormat="1" x14ac:dyDescent="0.25"/>
    <row r="255794" customFormat="1" x14ac:dyDescent="0.25"/>
    <row r="255795" customFormat="1" x14ac:dyDescent="0.25"/>
    <row r="255796" customFormat="1" x14ac:dyDescent="0.25"/>
    <row r="255797" customFormat="1" x14ac:dyDescent="0.25"/>
    <row r="255798" customFormat="1" x14ac:dyDescent="0.25"/>
    <row r="255799" customFormat="1" x14ac:dyDescent="0.25"/>
    <row r="255800" customFormat="1" x14ac:dyDescent="0.25"/>
    <row r="255801" customFormat="1" x14ac:dyDescent="0.25"/>
    <row r="255802" customFormat="1" x14ac:dyDescent="0.25"/>
    <row r="255803" customFormat="1" x14ac:dyDescent="0.25"/>
    <row r="255804" customFormat="1" x14ac:dyDescent="0.25"/>
    <row r="255805" customFormat="1" x14ac:dyDescent="0.25"/>
    <row r="255806" customFormat="1" x14ac:dyDescent="0.25"/>
    <row r="255807" customFormat="1" x14ac:dyDescent="0.25"/>
    <row r="255808" customFormat="1" x14ac:dyDescent="0.25"/>
    <row r="255809" customFormat="1" x14ac:dyDescent="0.25"/>
    <row r="255810" customFormat="1" x14ac:dyDescent="0.25"/>
    <row r="255811" customFormat="1" x14ac:dyDescent="0.25"/>
    <row r="255812" customFormat="1" x14ac:dyDescent="0.25"/>
    <row r="255813" customFormat="1" x14ac:dyDescent="0.25"/>
    <row r="255814" customFormat="1" x14ac:dyDescent="0.25"/>
    <row r="255815" customFormat="1" x14ac:dyDescent="0.25"/>
    <row r="255816" customFormat="1" x14ac:dyDescent="0.25"/>
    <row r="255817" customFormat="1" x14ac:dyDescent="0.25"/>
    <row r="255818" customFormat="1" x14ac:dyDescent="0.25"/>
    <row r="255819" customFormat="1" x14ac:dyDescent="0.25"/>
    <row r="255820" customFormat="1" x14ac:dyDescent="0.25"/>
    <row r="255821" customFormat="1" x14ac:dyDescent="0.25"/>
    <row r="255822" customFormat="1" x14ac:dyDescent="0.25"/>
    <row r="255823" customFormat="1" x14ac:dyDescent="0.25"/>
    <row r="255824" customFormat="1" x14ac:dyDescent="0.25"/>
    <row r="255825" customFormat="1" x14ac:dyDescent="0.25"/>
    <row r="255826" customFormat="1" x14ac:dyDescent="0.25"/>
    <row r="255827" customFormat="1" x14ac:dyDescent="0.25"/>
    <row r="255828" customFormat="1" x14ac:dyDescent="0.25"/>
    <row r="255829" customFormat="1" x14ac:dyDescent="0.25"/>
    <row r="255830" customFormat="1" x14ac:dyDescent="0.25"/>
    <row r="255831" customFormat="1" x14ac:dyDescent="0.25"/>
    <row r="255832" customFormat="1" x14ac:dyDescent="0.25"/>
    <row r="255833" customFormat="1" x14ac:dyDescent="0.25"/>
    <row r="255834" customFormat="1" x14ac:dyDescent="0.25"/>
    <row r="255835" customFormat="1" x14ac:dyDescent="0.25"/>
    <row r="255836" customFormat="1" x14ac:dyDescent="0.25"/>
    <row r="255837" customFormat="1" x14ac:dyDescent="0.25"/>
    <row r="255838" customFormat="1" x14ac:dyDescent="0.25"/>
    <row r="255839" customFormat="1" x14ac:dyDescent="0.25"/>
    <row r="255840" customFormat="1" x14ac:dyDescent="0.25"/>
    <row r="255841" customFormat="1" x14ac:dyDescent="0.25"/>
    <row r="255842" customFormat="1" x14ac:dyDescent="0.25"/>
    <row r="255843" customFormat="1" x14ac:dyDescent="0.25"/>
    <row r="255844" customFormat="1" x14ac:dyDescent="0.25"/>
    <row r="255845" customFormat="1" x14ac:dyDescent="0.25"/>
    <row r="255846" customFormat="1" x14ac:dyDescent="0.25"/>
    <row r="255847" customFormat="1" x14ac:dyDescent="0.25"/>
    <row r="255848" customFormat="1" x14ac:dyDescent="0.25"/>
    <row r="255849" customFormat="1" x14ac:dyDescent="0.25"/>
    <row r="255850" customFormat="1" x14ac:dyDescent="0.25"/>
    <row r="255851" customFormat="1" x14ac:dyDescent="0.25"/>
    <row r="255852" customFormat="1" x14ac:dyDescent="0.25"/>
    <row r="255853" customFormat="1" x14ac:dyDescent="0.25"/>
    <row r="255854" customFormat="1" x14ac:dyDescent="0.25"/>
    <row r="255855" customFormat="1" x14ac:dyDescent="0.25"/>
    <row r="255856" customFormat="1" x14ac:dyDescent="0.25"/>
    <row r="255857" customFormat="1" x14ac:dyDescent="0.25"/>
    <row r="255858" customFormat="1" x14ac:dyDescent="0.25"/>
    <row r="255859" customFormat="1" x14ac:dyDescent="0.25"/>
    <row r="255860" customFormat="1" x14ac:dyDescent="0.25"/>
    <row r="255861" customFormat="1" x14ac:dyDescent="0.25"/>
    <row r="255862" customFormat="1" x14ac:dyDescent="0.25"/>
    <row r="255863" customFormat="1" x14ac:dyDescent="0.25"/>
    <row r="255864" customFormat="1" x14ac:dyDescent="0.25"/>
    <row r="255865" customFormat="1" x14ac:dyDescent="0.25"/>
    <row r="255866" customFormat="1" x14ac:dyDescent="0.25"/>
    <row r="255867" customFormat="1" x14ac:dyDescent="0.25"/>
    <row r="255868" customFormat="1" x14ac:dyDescent="0.25"/>
    <row r="255869" customFormat="1" x14ac:dyDescent="0.25"/>
    <row r="255870" customFormat="1" x14ac:dyDescent="0.25"/>
    <row r="255871" customFormat="1" x14ac:dyDescent="0.25"/>
    <row r="255872" customFormat="1" x14ac:dyDescent="0.25"/>
    <row r="255873" customFormat="1" x14ac:dyDescent="0.25"/>
    <row r="255874" customFormat="1" x14ac:dyDescent="0.25"/>
    <row r="255875" customFormat="1" x14ac:dyDescent="0.25"/>
    <row r="255876" customFormat="1" x14ac:dyDescent="0.25"/>
    <row r="255877" customFormat="1" x14ac:dyDescent="0.25"/>
    <row r="255878" customFormat="1" x14ac:dyDescent="0.25"/>
    <row r="255879" customFormat="1" x14ac:dyDescent="0.25"/>
    <row r="255880" customFormat="1" x14ac:dyDescent="0.25"/>
    <row r="255881" customFormat="1" x14ac:dyDescent="0.25"/>
    <row r="255882" customFormat="1" x14ac:dyDescent="0.25"/>
    <row r="255883" customFormat="1" x14ac:dyDescent="0.25"/>
    <row r="255884" customFormat="1" x14ac:dyDescent="0.25"/>
    <row r="255885" customFormat="1" x14ac:dyDescent="0.25"/>
    <row r="255886" customFormat="1" x14ac:dyDescent="0.25"/>
    <row r="255887" customFormat="1" x14ac:dyDescent="0.25"/>
    <row r="255888" customFormat="1" x14ac:dyDescent="0.25"/>
    <row r="255889" customFormat="1" x14ac:dyDescent="0.25"/>
    <row r="255890" customFormat="1" x14ac:dyDescent="0.25"/>
    <row r="255891" customFormat="1" x14ac:dyDescent="0.25"/>
    <row r="255892" customFormat="1" x14ac:dyDescent="0.25"/>
    <row r="255893" customFormat="1" x14ac:dyDescent="0.25"/>
    <row r="255894" customFormat="1" x14ac:dyDescent="0.25"/>
    <row r="255895" customFormat="1" x14ac:dyDescent="0.25"/>
    <row r="255896" customFormat="1" x14ac:dyDescent="0.25"/>
    <row r="255897" customFormat="1" x14ac:dyDescent="0.25"/>
    <row r="255898" customFormat="1" x14ac:dyDescent="0.25"/>
    <row r="255899" customFormat="1" x14ac:dyDescent="0.25"/>
    <row r="255900" customFormat="1" x14ac:dyDescent="0.25"/>
    <row r="255901" customFormat="1" x14ac:dyDescent="0.25"/>
    <row r="255902" customFormat="1" x14ac:dyDescent="0.25"/>
    <row r="255903" customFormat="1" x14ac:dyDescent="0.25"/>
    <row r="255904" customFormat="1" x14ac:dyDescent="0.25"/>
    <row r="255905" customFormat="1" x14ac:dyDescent="0.25"/>
    <row r="255906" customFormat="1" x14ac:dyDescent="0.25"/>
    <row r="255907" customFormat="1" x14ac:dyDescent="0.25"/>
    <row r="255908" customFormat="1" x14ac:dyDescent="0.25"/>
    <row r="255909" customFormat="1" x14ac:dyDescent="0.25"/>
    <row r="255910" customFormat="1" x14ac:dyDescent="0.25"/>
    <row r="255911" customFormat="1" x14ac:dyDescent="0.25"/>
    <row r="255912" customFormat="1" x14ac:dyDescent="0.25"/>
    <row r="255913" customFormat="1" x14ac:dyDescent="0.25"/>
    <row r="255914" customFormat="1" x14ac:dyDescent="0.25"/>
    <row r="255915" customFormat="1" x14ac:dyDescent="0.25"/>
    <row r="255916" customFormat="1" x14ac:dyDescent="0.25"/>
    <row r="255917" customFormat="1" x14ac:dyDescent="0.25"/>
    <row r="255918" customFormat="1" x14ac:dyDescent="0.25"/>
    <row r="255919" customFormat="1" x14ac:dyDescent="0.25"/>
    <row r="255920" customFormat="1" x14ac:dyDescent="0.25"/>
    <row r="255921" customFormat="1" x14ac:dyDescent="0.25"/>
    <row r="255922" customFormat="1" x14ac:dyDescent="0.25"/>
    <row r="255923" customFormat="1" x14ac:dyDescent="0.25"/>
    <row r="255924" customFormat="1" x14ac:dyDescent="0.25"/>
    <row r="255925" customFormat="1" x14ac:dyDescent="0.25"/>
    <row r="255926" customFormat="1" x14ac:dyDescent="0.25"/>
    <row r="255927" customFormat="1" x14ac:dyDescent="0.25"/>
    <row r="255928" customFormat="1" x14ac:dyDescent="0.25"/>
    <row r="255929" customFormat="1" x14ac:dyDescent="0.25"/>
    <row r="255930" customFormat="1" x14ac:dyDescent="0.25"/>
    <row r="255931" customFormat="1" x14ac:dyDescent="0.25"/>
    <row r="255932" customFormat="1" x14ac:dyDescent="0.25"/>
    <row r="255933" customFormat="1" x14ac:dyDescent="0.25"/>
    <row r="255934" customFormat="1" x14ac:dyDescent="0.25"/>
    <row r="255935" customFormat="1" x14ac:dyDescent="0.25"/>
    <row r="255936" customFormat="1" x14ac:dyDescent="0.25"/>
    <row r="255937" customFormat="1" x14ac:dyDescent="0.25"/>
    <row r="255938" customFormat="1" x14ac:dyDescent="0.25"/>
    <row r="255939" customFormat="1" x14ac:dyDescent="0.25"/>
    <row r="255940" customFormat="1" x14ac:dyDescent="0.25"/>
    <row r="255941" customFormat="1" x14ac:dyDescent="0.25"/>
    <row r="255942" customFormat="1" x14ac:dyDescent="0.25"/>
    <row r="255943" customFormat="1" x14ac:dyDescent="0.25"/>
    <row r="255944" customFormat="1" x14ac:dyDescent="0.25"/>
    <row r="255945" customFormat="1" x14ac:dyDescent="0.25"/>
    <row r="255946" customFormat="1" x14ac:dyDescent="0.25"/>
    <row r="255947" customFormat="1" x14ac:dyDescent="0.25"/>
    <row r="255948" customFormat="1" x14ac:dyDescent="0.25"/>
    <row r="255949" customFormat="1" x14ac:dyDescent="0.25"/>
    <row r="255950" customFormat="1" x14ac:dyDescent="0.25"/>
    <row r="255951" customFormat="1" x14ac:dyDescent="0.25"/>
    <row r="255952" customFormat="1" x14ac:dyDescent="0.25"/>
    <row r="255953" customFormat="1" x14ac:dyDescent="0.25"/>
    <row r="255954" customFormat="1" x14ac:dyDescent="0.25"/>
    <row r="255955" customFormat="1" x14ac:dyDescent="0.25"/>
    <row r="255956" customFormat="1" x14ac:dyDescent="0.25"/>
    <row r="255957" customFormat="1" x14ac:dyDescent="0.25"/>
    <row r="255958" customFormat="1" x14ac:dyDescent="0.25"/>
    <row r="255959" customFormat="1" x14ac:dyDescent="0.25"/>
    <row r="255960" customFormat="1" x14ac:dyDescent="0.25"/>
    <row r="255961" customFormat="1" x14ac:dyDescent="0.25"/>
    <row r="255962" customFormat="1" x14ac:dyDescent="0.25"/>
    <row r="255963" customFormat="1" x14ac:dyDescent="0.25"/>
    <row r="255964" customFormat="1" x14ac:dyDescent="0.25"/>
    <row r="255965" customFormat="1" x14ac:dyDescent="0.25"/>
    <row r="255966" customFormat="1" x14ac:dyDescent="0.25"/>
    <row r="255967" customFormat="1" x14ac:dyDescent="0.25"/>
    <row r="255968" customFormat="1" x14ac:dyDescent="0.25"/>
    <row r="255969" customFormat="1" x14ac:dyDescent="0.25"/>
    <row r="255970" customFormat="1" x14ac:dyDescent="0.25"/>
    <row r="255971" customFormat="1" x14ac:dyDescent="0.25"/>
    <row r="255972" customFormat="1" x14ac:dyDescent="0.25"/>
    <row r="255973" customFormat="1" x14ac:dyDescent="0.25"/>
    <row r="255974" customFormat="1" x14ac:dyDescent="0.25"/>
    <row r="255975" customFormat="1" x14ac:dyDescent="0.25"/>
    <row r="255976" customFormat="1" x14ac:dyDescent="0.25"/>
    <row r="255977" customFormat="1" x14ac:dyDescent="0.25"/>
    <row r="255978" customFormat="1" x14ac:dyDescent="0.25"/>
    <row r="255979" customFormat="1" x14ac:dyDescent="0.25"/>
    <row r="255980" customFormat="1" x14ac:dyDescent="0.25"/>
    <row r="255981" customFormat="1" x14ac:dyDescent="0.25"/>
    <row r="255982" customFormat="1" x14ac:dyDescent="0.25"/>
    <row r="255983" customFormat="1" x14ac:dyDescent="0.25"/>
    <row r="255984" customFormat="1" x14ac:dyDescent="0.25"/>
    <row r="255985" customFormat="1" x14ac:dyDescent="0.25"/>
    <row r="255986" customFormat="1" x14ac:dyDescent="0.25"/>
    <row r="255987" customFormat="1" x14ac:dyDescent="0.25"/>
    <row r="255988" customFormat="1" x14ac:dyDescent="0.25"/>
    <row r="255989" customFormat="1" x14ac:dyDescent="0.25"/>
    <row r="255990" customFormat="1" x14ac:dyDescent="0.25"/>
    <row r="255991" customFormat="1" x14ac:dyDescent="0.25"/>
    <row r="255992" customFormat="1" x14ac:dyDescent="0.25"/>
    <row r="255993" customFormat="1" x14ac:dyDescent="0.25"/>
    <row r="255994" customFormat="1" x14ac:dyDescent="0.25"/>
    <row r="255995" customFormat="1" x14ac:dyDescent="0.25"/>
    <row r="255996" customFormat="1" x14ac:dyDescent="0.25"/>
    <row r="255997" customFormat="1" x14ac:dyDescent="0.25"/>
    <row r="255998" customFormat="1" x14ac:dyDescent="0.25"/>
    <row r="255999" customFormat="1" x14ac:dyDescent="0.25"/>
    <row r="256000" customFormat="1" x14ac:dyDescent="0.25"/>
    <row r="256001" customFormat="1" x14ac:dyDescent="0.25"/>
    <row r="256002" customFormat="1" x14ac:dyDescent="0.25"/>
    <row r="256003" customFormat="1" x14ac:dyDescent="0.25"/>
    <row r="256004" customFormat="1" x14ac:dyDescent="0.25"/>
    <row r="256005" customFormat="1" x14ac:dyDescent="0.25"/>
    <row r="256006" customFormat="1" x14ac:dyDescent="0.25"/>
    <row r="256007" customFormat="1" x14ac:dyDescent="0.25"/>
    <row r="256008" customFormat="1" x14ac:dyDescent="0.25"/>
    <row r="256009" customFormat="1" x14ac:dyDescent="0.25"/>
    <row r="256010" customFormat="1" x14ac:dyDescent="0.25"/>
    <row r="256011" customFormat="1" x14ac:dyDescent="0.25"/>
    <row r="256012" customFormat="1" x14ac:dyDescent="0.25"/>
    <row r="256013" customFormat="1" x14ac:dyDescent="0.25"/>
    <row r="256014" customFormat="1" x14ac:dyDescent="0.25"/>
    <row r="256015" customFormat="1" x14ac:dyDescent="0.25"/>
    <row r="256016" customFormat="1" x14ac:dyDescent="0.25"/>
    <row r="256017" customFormat="1" x14ac:dyDescent="0.25"/>
    <row r="256018" customFormat="1" x14ac:dyDescent="0.25"/>
    <row r="256019" customFormat="1" x14ac:dyDescent="0.25"/>
    <row r="256020" customFormat="1" x14ac:dyDescent="0.25"/>
    <row r="256021" customFormat="1" x14ac:dyDescent="0.25"/>
    <row r="256022" customFormat="1" x14ac:dyDescent="0.25"/>
    <row r="256023" customFormat="1" x14ac:dyDescent="0.25"/>
    <row r="256024" customFormat="1" x14ac:dyDescent="0.25"/>
    <row r="256025" customFormat="1" x14ac:dyDescent="0.25"/>
    <row r="256026" customFormat="1" x14ac:dyDescent="0.25"/>
    <row r="256027" customFormat="1" x14ac:dyDescent="0.25"/>
    <row r="256028" customFormat="1" x14ac:dyDescent="0.25"/>
    <row r="256029" customFormat="1" x14ac:dyDescent="0.25"/>
    <row r="256030" customFormat="1" x14ac:dyDescent="0.25"/>
    <row r="256031" customFormat="1" x14ac:dyDescent="0.25"/>
    <row r="256032" customFormat="1" x14ac:dyDescent="0.25"/>
    <row r="256033" customFormat="1" x14ac:dyDescent="0.25"/>
    <row r="256034" customFormat="1" x14ac:dyDescent="0.25"/>
    <row r="256035" customFormat="1" x14ac:dyDescent="0.25"/>
    <row r="256036" customFormat="1" x14ac:dyDescent="0.25"/>
    <row r="256037" customFormat="1" x14ac:dyDescent="0.25"/>
    <row r="256038" customFormat="1" x14ac:dyDescent="0.25"/>
    <row r="256039" customFormat="1" x14ac:dyDescent="0.25"/>
    <row r="256040" customFormat="1" x14ac:dyDescent="0.25"/>
    <row r="256041" customFormat="1" x14ac:dyDescent="0.25"/>
    <row r="256042" customFormat="1" x14ac:dyDescent="0.25"/>
    <row r="256043" customFormat="1" x14ac:dyDescent="0.25"/>
    <row r="256044" customFormat="1" x14ac:dyDescent="0.25"/>
    <row r="256045" customFormat="1" x14ac:dyDescent="0.25"/>
    <row r="256046" customFormat="1" x14ac:dyDescent="0.25"/>
    <row r="256047" customFormat="1" x14ac:dyDescent="0.25"/>
    <row r="256048" customFormat="1" x14ac:dyDescent="0.25"/>
    <row r="256049" customFormat="1" x14ac:dyDescent="0.25"/>
    <row r="256050" customFormat="1" x14ac:dyDescent="0.25"/>
    <row r="256051" customFormat="1" x14ac:dyDescent="0.25"/>
    <row r="256052" customFormat="1" x14ac:dyDescent="0.25"/>
    <row r="256053" customFormat="1" x14ac:dyDescent="0.25"/>
    <row r="256054" customFormat="1" x14ac:dyDescent="0.25"/>
    <row r="256055" customFormat="1" x14ac:dyDescent="0.25"/>
    <row r="256056" customFormat="1" x14ac:dyDescent="0.25"/>
    <row r="256057" customFormat="1" x14ac:dyDescent="0.25"/>
    <row r="256058" customFormat="1" x14ac:dyDescent="0.25"/>
    <row r="256059" customFormat="1" x14ac:dyDescent="0.25"/>
    <row r="256060" customFormat="1" x14ac:dyDescent="0.25"/>
    <row r="256061" customFormat="1" x14ac:dyDescent="0.25"/>
    <row r="256062" customFormat="1" x14ac:dyDescent="0.25"/>
    <row r="256063" customFormat="1" x14ac:dyDescent="0.25"/>
    <row r="256064" customFormat="1" x14ac:dyDescent="0.25"/>
    <row r="256065" customFormat="1" x14ac:dyDescent="0.25"/>
    <row r="256066" customFormat="1" x14ac:dyDescent="0.25"/>
    <row r="256067" customFormat="1" x14ac:dyDescent="0.25"/>
    <row r="256068" customFormat="1" x14ac:dyDescent="0.25"/>
    <row r="256069" customFormat="1" x14ac:dyDescent="0.25"/>
    <row r="256070" customFormat="1" x14ac:dyDescent="0.25"/>
    <row r="256071" customFormat="1" x14ac:dyDescent="0.25"/>
    <row r="256072" customFormat="1" x14ac:dyDescent="0.25"/>
    <row r="256073" customFormat="1" x14ac:dyDescent="0.25"/>
    <row r="256074" customFormat="1" x14ac:dyDescent="0.25"/>
    <row r="256075" customFormat="1" x14ac:dyDescent="0.25"/>
    <row r="256076" customFormat="1" x14ac:dyDescent="0.25"/>
    <row r="256077" customFormat="1" x14ac:dyDescent="0.25"/>
    <row r="256078" customFormat="1" x14ac:dyDescent="0.25"/>
    <row r="256079" customFormat="1" x14ac:dyDescent="0.25"/>
    <row r="256080" customFormat="1" x14ac:dyDescent="0.25"/>
    <row r="256081" customFormat="1" x14ac:dyDescent="0.25"/>
    <row r="256082" customFormat="1" x14ac:dyDescent="0.25"/>
    <row r="256083" customFormat="1" x14ac:dyDescent="0.25"/>
    <row r="256084" customFormat="1" x14ac:dyDescent="0.25"/>
    <row r="256085" customFormat="1" x14ac:dyDescent="0.25"/>
    <row r="256086" customFormat="1" x14ac:dyDescent="0.25"/>
    <row r="256087" customFormat="1" x14ac:dyDescent="0.25"/>
    <row r="256088" customFormat="1" x14ac:dyDescent="0.25"/>
    <row r="256089" customFormat="1" x14ac:dyDescent="0.25"/>
    <row r="256090" customFormat="1" x14ac:dyDescent="0.25"/>
    <row r="256091" customFormat="1" x14ac:dyDescent="0.25"/>
    <row r="256092" customFormat="1" x14ac:dyDescent="0.25"/>
    <row r="256093" customFormat="1" x14ac:dyDescent="0.25"/>
    <row r="256094" customFormat="1" x14ac:dyDescent="0.25"/>
    <row r="256095" customFormat="1" x14ac:dyDescent="0.25"/>
    <row r="256096" customFormat="1" x14ac:dyDescent="0.25"/>
    <row r="256097" customFormat="1" x14ac:dyDescent="0.25"/>
    <row r="256098" customFormat="1" x14ac:dyDescent="0.25"/>
    <row r="256099" customFormat="1" x14ac:dyDescent="0.25"/>
    <row r="256100" customFormat="1" x14ac:dyDescent="0.25"/>
    <row r="256101" customFormat="1" x14ac:dyDescent="0.25"/>
    <row r="256102" customFormat="1" x14ac:dyDescent="0.25"/>
    <row r="256103" customFormat="1" x14ac:dyDescent="0.25"/>
    <row r="256104" customFormat="1" x14ac:dyDescent="0.25"/>
    <row r="256105" customFormat="1" x14ac:dyDescent="0.25"/>
    <row r="256106" customFormat="1" x14ac:dyDescent="0.25"/>
    <row r="256107" customFormat="1" x14ac:dyDescent="0.25"/>
    <row r="256108" customFormat="1" x14ac:dyDescent="0.25"/>
    <row r="256109" customFormat="1" x14ac:dyDescent="0.25"/>
    <row r="256110" customFormat="1" x14ac:dyDescent="0.25"/>
    <row r="256111" customFormat="1" x14ac:dyDescent="0.25"/>
    <row r="256112" customFormat="1" x14ac:dyDescent="0.25"/>
    <row r="256113" customFormat="1" x14ac:dyDescent="0.25"/>
    <row r="256114" customFormat="1" x14ac:dyDescent="0.25"/>
    <row r="256115" customFormat="1" x14ac:dyDescent="0.25"/>
    <row r="256116" customFormat="1" x14ac:dyDescent="0.25"/>
    <row r="256117" customFormat="1" x14ac:dyDescent="0.25"/>
    <row r="256118" customFormat="1" x14ac:dyDescent="0.25"/>
    <row r="256119" customFormat="1" x14ac:dyDescent="0.25"/>
    <row r="256120" customFormat="1" x14ac:dyDescent="0.25"/>
    <row r="256121" customFormat="1" x14ac:dyDescent="0.25"/>
    <row r="256122" customFormat="1" x14ac:dyDescent="0.25"/>
    <row r="256123" customFormat="1" x14ac:dyDescent="0.25"/>
    <row r="256124" customFormat="1" x14ac:dyDescent="0.25"/>
    <row r="256125" customFormat="1" x14ac:dyDescent="0.25"/>
    <row r="256126" customFormat="1" x14ac:dyDescent="0.25"/>
    <row r="256127" customFormat="1" x14ac:dyDescent="0.25"/>
    <row r="256128" customFormat="1" x14ac:dyDescent="0.25"/>
    <row r="256129" customFormat="1" x14ac:dyDescent="0.25"/>
    <row r="256130" customFormat="1" x14ac:dyDescent="0.25"/>
    <row r="256131" customFormat="1" x14ac:dyDescent="0.25"/>
    <row r="256132" customFormat="1" x14ac:dyDescent="0.25"/>
    <row r="256133" customFormat="1" x14ac:dyDescent="0.25"/>
    <row r="256134" customFormat="1" x14ac:dyDescent="0.25"/>
    <row r="256135" customFormat="1" x14ac:dyDescent="0.25"/>
    <row r="256136" customFormat="1" x14ac:dyDescent="0.25"/>
    <row r="256137" customFormat="1" x14ac:dyDescent="0.25"/>
    <row r="256138" customFormat="1" x14ac:dyDescent="0.25"/>
    <row r="256139" customFormat="1" x14ac:dyDescent="0.25"/>
    <row r="256140" customFormat="1" x14ac:dyDescent="0.25"/>
    <row r="256141" customFormat="1" x14ac:dyDescent="0.25"/>
    <row r="256142" customFormat="1" x14ac:dyDescent="0.25"/>
    <row r="256143" customFormat="1" x14ac:dyDescent="0.25"/>
    <row r="256144" customFormat="1" x14ac:dyDescent="0.25"/>
    <row r="256145" customFormat="1" x14ac:dyDescent="0.25"/>
    <row r="256146" customFormat="1" x14ac:dyDescent="0.25"/>
    <row r="256147" customFormat="1" x14ac:dyDescent="0.25"/>
    <row r="256148" customFormat="1" x14ac:dyDescent="0.25"/>
    <row r="256149" customFormat="1" x14ac:dyDescent="0.25"/>
    <row r="256150" customFormat="1" x14ac:dyDescent="0.25"/>
    <row r="256151" customFormat="1" x14ac:dyDescent="0.25"/>
    <row r="256152" customFormat="1" x14ac:dyDescent="0.25"/>
    <row r="256153" customFormat="1" x14ac:dyDescent="0.25"/>
    <row r="256154" customFormat="1" x14ac:dyDescent="0.25"/>
    <row r="256155" customFormat="1" x14ac:dyDescent="0.25"/>
    <row r="256156" customFormat="1" x14ac:dyDescent="0.25"/>
    <row r="256157" customFormat="1" x14ac:dyDescent="0.25"/>
    <row r="256158" customFormat="1" x14ac:dyDescent="0.25"/>
    <row r="256159" customFormat="1" x14ac:dyDescent="0.25"/>
    <row r="256160" customFormat="1" x14ac:dyDescent="0.25"/>
    <row r="256161" customFormat="1" x14ac:dyDescent="0.25"/>
    <row r="256162" customFormat="1" x14ac:dyDescent="0.25"/>
    <row r="256163" customFormat="1" x14ac:dyDescent="0.25"/>
    <row r="256164" customFormat="1" x14ac:dyDescent="0.25"/>
    <row r="256165" customFormat="1" x14ac:dyDescent="0.25"/>
    <row r="256166" customFormat="1" x14ac:dyDescent="0.25"/>
    <row r="256167" customFormat="1" x14ac:dyDescent="0.25"/>
    <row r="256168" customFormat="1" x14ac:dyDescent="0.25"/>
    <row r="256169" customFormat="1" x14ac:dyDescent="0.25"/>
    <row r="256170" customFormat="1" x14ac:dyDescent="0.25"/>
    <row r="256171" customFormat="1" x14ac:dyDescent="0.25"/>
    <row r="256172" customFormat="1" x14ac:dyDescent="0.25"/>
    <row r="256173" customFormat="1" x14ac:dyDescent="0.25"/>
    <row r="256174" customFormat="1" x14ac:dyDescent="0.25"/>
    <row r="256175" customFormat="1" x14ac:dyDescent="0.25"/>
    <row r="256176" customFormat="1" x14ac:dyDescent="0.25"/>
    <row r="256177" customFormat="1" x14ac:dyDescent="0.25"/>
    <row r="256178" customFormat="1" x14ac:dyDescent="0.25"/>
    <row r="256179" customFormat="1" x14ac:dyDescent="0.25"/>
    <row r="256180" customFormat="1" x14ac:dyDescent="0.25"/>
    <row r="256181" customFormat="1" x14ac:dyDescent="0.25"/>
    <row r="256182" customFormat="1" x14ac:dyDescent="0.25"/>
    <row r="256183" customFormat="1" x14ac:dyDescent="0.25"/>
    <row r="256184" customFormat="1" x14ac:dyDescent="0.25"/>
    <row r="256185" customFormat="1" x14ac:dyDescent="0.25"/>
    <row r="256186" customFormat="1" x14ac:dyDescent="0.25"/>
    <row r="256187" customFormat="1" x14ac:dyDescent="0.25"/>
    <row r="256188" customFormat="1" x14ac:dyDescent="0.25"/>
    <row r="256189" customFormat="1" x14ac:dyDescent="0.25"/>
    <row r="256190" customFormat="1" x14ac:dyDescent="0.25"/>
    <row r="256191" customFormat="1" x14ac:dyDescent="0.25"/>
    <row r="256192" customFormat="1" x14ac:dyDescent="0.25"/>
    <row r="256193" customFormat="1" x14ac:dyDescent="0.25"/>
    <row r="256194" customFormat="1" x14ac:dyDescent="0.25"/>
    <row r="256195" customFormat="1" x14ac:dyDescent="0.25"/>
    <row r="256196" customFormat="1" x14ac:dyDescent="0.25"/>
    <row r="256197" customFormat="1" x14ac:dyDescent="0.25"/>
    <row r="256198" customFormat="1" x14ac:dyDescent="0.25"/>
    <row r="256199" customFormat="1" x14ac:dyDescent="0.25"/>
    <row r="256200" customFormat="1" x14ac:dyDescent="0.25"/>
    <row r="256201" customFormat="1" x14ac:dyDescent="0.25"/>
    <row r="256202" customFormat="1" x14ac:dyDescent="0.25"/>
    <row r="256203" customFormat="1" x14ac:dyDescent="0.25"/>
    <row r="256204" customFormat="1" x14ac:dyDescent="0.25"/>
    <row r="256205" customFormat="1" x14ac:dyDescent="0.25"/>
    <row r="256206" customFormat="1" x14ac:dyDescent="0.25"/>
    <row r="256207" customFormat="1" x14ac:dyDescent="0.25"/>
    <row r="256208" customFormat="1" x14ac:dyDescent="0.25"/>
    <row r="256209" customFormat="1" x14ac:dyDescent="0.25"/>
    <row r="256210" customFormat="1" x14ac:dyDescent="0.25"/>
    <row r="256211" customFormat="1" x14ac:dyDescent="0.25"/>
    <row r="256212" customFormat="1" x14ac:dyDescent="0.25"/>
    <row r="256213" customFormat="1" x14ac:dyDescent="0.25"/>
    <row r="256214" customFormat="1" x14ac:dyDescent="0.25"/>
    <row r="256215" customFormat="1" x14ac:dyDescent="0.25"/>
    <row r="256216" customFormat="1" x14ac:dyDescent="0.25"/>
    <row r="256217" customFormat="1" x14ac:dyDescent="0.25"/>
    <row r="256218" customFormat="1" x14ac:dyDescent="0.25"/>
    <row r="256219" customFormat="1" x14ac:dyDescent="0.25"/>
    <row r="256220" customFormat="1" x14ac:dyDescent="0.25"/>
    <row r="256221" customFormat="1" x14ac:dyDescent="0.25"/>
    <row r="256222" customFormat="1" x14ac:dyDescent="0.25"/>
    <row r="256223" customFormat="1" x14ac:dyDescent="0.25"/>
    <row r="256224" customFormat="1" x14ac:dyDescent="0.25"/>
    <row r="256225" customFormat="1" x14ac:dyDescent="0.25"/>
    <row r="256226" customFormat="1" x14ac:dyDescent="0.25"/>
    <row r="256227" customFormat="1" x14ac:dyDescent="0.25"/>
    <row r="256228" customFormat="1" x14ac:dyDescent="0.25"/>
    <row r="256229" customFormat="1" x14ac:dyDescent="0.25"/>
    <row r="256230" customFormat="1" x14ac:dyDescent="0.25"/>
    <row r="256231" customFormat="1" x14ac:dyDescent="0.25"/>
    <row r="256232" customFormat="1" x14ac:dyDescent="0.25"/>
    <row r="256233" customFormat="1" x14ac:dyDescent="0.25"/>
    <row r="256234" customFormat="1" x14ac:dyDescent="0.25"/>
    <row r="256235" customFormat="1" x14ac:dyDescent="0.25"/>
    <row r="256236" customFormat="1" x14ac:dyDescent="0.25"/>
    <row r="256237" customFormat="1" x14ac:dyDescent="0.25"/>
    <row r="256238" customFormat="1" x14ac:dyDescent="0.25"/>
    <row r="256239" customFormat="1" x14ac:dyDescent="0.25"/>
    <row r="256240" customFormat="1" x14ac:dyDescent="0.25"/>
    <row r="256241" customFormat="1" x14ac:dyDescent="0.25"/>
    <row r="256242" customFormat="1" x14ac:dyDescent="0.25"/>
    <row r="256243" customFormat="1" x14ac:dyDescent="0.25"/>
    <row r="256244" customFormat="1" x14ac:dyDescent="0.25"/>
    <row r="256245" customFormat="1" x14ac:dyDescent="0.25"/>
    <row r="256246" customFormat="1" x14ac:dyDescent="0.25"/>
    <row r="256247" customFormat="1" x14ac:dyDescent="0.25"/>
    <row r="256248" customFormat="1" x14ac:dyDescent="0.25"/>
    <row r="256249" customFormat="1" x14ac:dyDescent="0.25"/>
    <row r="256250" customFormat="1" x14ac:dyDescent="0.25"/>
    <row r="256251" customFormat="1" x14ac:dyDescent="0.25"/>
    <row r="256252" customFormat="1" x14ac:dyDescent="0.25"/>
    <row r="256253" customFormat="1" x14ac:dyDescent="0.25"/>
    <row r="256254" customFormat="1" x14ac:dyDescent="0.25"/>
    <row r="256255" customFormat="1" x14ac:dyDescent="0.25"/>
    <row r="256256" customFormat="1" x14ac:dyDescent="0.25"/>
    <row r="256257" customFormat="1" x14ac:dyDescent="0.25"/>
    <row r="256258" customFormat="1" x14ac:dyDescent="0.25"/>
    <row r="256259" customFormat="1" x14ac:dyDescent="0.25"/>
    <row r="256260" customFormat="1" x14ac:dyDescent="0.25"/>
    <row r="256261" customFormat="1" x14ac:dyDescent="0.25"/>
    <row r="256262" customFormat="1" x14ac:dyDescent="0.25"/>
    <row r="256263" customFormat="1" x14ac:dyDescent="0.25"/>
    <row r="256264" customFormat="1" x14ac:dyDescent="0.25"/>
    <row r="256265" customFormat="1" x14ac:dyDescent="0.25"/>
    <row r="256266" customFormat="1" x14ac:dyDescent="0.25"/>
    <row r="256267" customFormat="1" x14ac:dyDescent="0.25"/>
    <row r="256268" customFormat="1" x14ac:dyDescent="0.25"/>
    <row r="256269" customFormat="1" x14ac:dyDescent="0.25"/>
    <row r="256270" customFormat="1" x14ac:dyDescent="0.25"/>
    <row r="256271" customFormat="1" x14ac:dyDescent="0.25"/>
    <row r="256272" customFormat="1" x14ac:dyDescent="0.25"/>
    <row r="256273" customFormat="1" x14ac:dyDescent="0.25"/>
    <row r="256274" customFormat="1" x14ac:dyDescent="0.25"/>
    <row r="256275" customFormat="1" x14ac:dyDescent="0.25"/>
    <row r="256276" customFormat="1" x14ac:dyDescent="0.25"/>
    <row r="256277" customFormat="1" x14ac:dyDescent="0.25"/>
    <row r="256278" customFormat="1" x14ac:dyDescent="0.25"/>
    <row r="256279" customFormat="1" x14ac:dyDescent="0.25"/>
    <row r="256280" customFormat="1" x14ac:dyDescent="0.25"/>
    <row r="256281" customFormat="1" x14ac:dyDescent="0.25"/>
    <row r="256282" customFormat="1" x14ac:dyDescent="0.25"/>
    <row r="256283" customFormat="1" x14ac:dyDescent="0.25"/>
    <row r="256284" customFormat="1" x14ac:dyDescent="0.25"/>
    <row r="256285" customFormat="1" x14ac:dyDescent="0.25"/>
    <row r="256286" customFormat="1" x14ac:dyDescent="0.25"/>
    <row r="256287" customFormat="1" x14ac:dyDescent="0.25"/>
    <row r="256288" customFormat="1" x14ac:dyDescent="0.25"/>
    <row r="256289" customFormat="1" x14ac:dyDescent="0.25"/>
    <row r="256290" customFormat="1" x14ac:dyDescent="0.25"/>
    <row r="256291" customFormat="1" x14ac:dyDescent="0.25"/>
    <row r="256292" customFormat="1" x14ac:dyDescent="0.25"/>
    <row r="256293" customFormat="1" x14ac:dyDescent="0.25"/>
    <row r="256294" customFormat="1" x14ac:dyDescent="0.25"/>
    <row r="256295" customFormat="1" x14ac:dyDescent="0.25"/>
    <row r="256296" customFormat="1" x14ac:dyDescent="0.25"/>
    <row r="256297" customFormat="1" x14ac:dyDescent="0.25"/>
    <row r="256298" customFormat="1" x14ac:dyDescent="0.25"/>
    <row r="256299" customFormat="1" x14ac:dyDescent="0.25"/>
    <row r="256300" customFormat="1" x14ac:dyDescent="0.25"/>
    <row r="256301" customFormat="1" x14ac:dyDescent="0.25"/>
    <row r="256302" customFormat="1" x14ac:dyDescent="0.25"/>
    <row r="256303" customFormat="1" x14ac:dyDescent="0.25"/>
    <row r="256304" customFormat="1" x14ac:dyDescent="0.25"/>
    <row r="256305" customFormat="1" x14ac:dyDescent="0.25"/>
    <row r="256306" customFormat="1" x14ac:dyDescent="0.25"/>
    <row r="256307" customFormat="1" x14ac:dyDescent="0.25"/>
    <row r="256308" customFormat="1" x14ac:dyDescent="0.25"/>
    <row r="256309" customFormat="1" x14ac:dyDescent="0.25"/>
    <row r="256310" customFormat="1" x14ac:dyDescent="0.25"/>
    <row r="256311" customFormat="1" x14ac:dyDescent="0.25"/>
    <row r="256312" customFormat="1" x14ac:dyDescent="0.25"/>
    <row r="256313" customFormat="1" x14ac:dyDescent="0.25"/>
    <row r="256314" customFormat="1" x14ac:dyDescent="0.25"/>
    <row r="256315" customFormat="1" x14ac:dyDescent="0.25"/>
    <row r="256316" customFormat="1" x14ac:dyDescent="0.25"/>
    <row r="256317" customFormat="1" x14ac:dyDescent="0.25"/>
    <row r="256318" customFormat="1" x14ac:dyDescent="0.25"/>
    <row r="256319" customFormat="1" x14ac:dyDescent="0.25"/>
    <row r="256320" customFormat="1" x14ac:dyDescent="0.25"/>
    <row r="256321" customFormat="1" x14ac:dyDescent="0.25"/>
    <row r="256322" customFormat="1" x14ac:dyDescent="0.25"/>
    <row r="256323" customFormat="1" x14ac:dyDescent="0.25"/>
    <row r="256324" customFormat="1" x14ac:dyDescent="0.25"/>
    <row r="256325" customFormat="1" x14ac:dyDescent="0.25"/>
    <row r="256326" customFormat="1" x14ac:dyDescent="0.25"/>
    <row r="256327" customFormat="1" x14ac:dyDescent="0.25"/>
    <row r="256328" customFormat="1" x14ac:dyDescent="0.25"/>
    <row r="256329" customFormat="1" x14ac:dyDescent="0.25"/>
    <row r="256330" customFormat="1" x14ac:dyDescent="0.25"/>
    <row r="256331" customFormat="1" x14ac:dyDescent="0.25"/>
    <row r="256332" customFormat="1" x14ac:dyDescent="0.25"/>
    <row r="256333" customFormat="1" x14ac:dyDescent="0.25"/>
    <row r="256334" customFormat="1" x14ac:dyDescent="0.25"/>
    <row r="256335" customFormat="1" x14ac:dyDescent="0.25"/>
    <row r="256336" customFormat="1" x14ac:dyDescent="0.25"/>
    <row r="256337" customFormat="1" x14ac:dyDescent="0.25"/>
    <row r="256338" customFormat="1" x14ac:dyDescent="0.25"/>
    <row r="256339" customFormat="1" x14ac:dyDescent="0.25"/>
    <row r="256340" customFormat="1" x14ac:dyDescent="0.25"/>
    <row r="256341" customFormat="1" x14ac:dyDescent="0.25"/>
    <row r="256342" customFormat="1" x14ac:dyDescent="0.25"/>
    <row r="256343" customFormat="1" x14ac:dyDescent="0.25"/>
    <row r="256344" customFormat="1" x14ac:dyDescent="0.25"/>
    <row r="256345" customFormat="1" x14ac:dyDescent="0.25"/>
    <row r="256346" customFormat="1" x14ac:dyDescent="0.25"/>
    <row r="256347" customFormat="1" x14ac:dyDescent="0.25"/>
    <row r="256348" customFormat="1" x14ac:dyDescent="0.25"/>
    <row r="256349" customFormat="1" x14ac:dyDescent="0.25"/>
    <row r="256350" customFormat="1" x14ac:dyDescent="0.25"/>
    <row r="256351" customFormat="1" x14ac:dyDescent="0.25"/>
    <row r="256352" customFormat="1" x14ac:dyDescent="0.25"/>
    <row r="256353" customFormat="1" x14ac:dyDescent="0.25"/>
    <row r="256354" customFormat="1" x14ac:dyDescent="0.25"/>
    <row r="256355" customFormat="1" x14ac:dyDescent="0.25"/>
    <row r="256356" customFormat="1" x14ac:dyDescent="0.25"/>
    <row r="256357" customFormat="1" x14ac:dyDescent="0.25"/>
    <row r="256358" customFormat="1" x14ac:dyDescent="0.25"/>
    <row r="256359" customFormat="1" x14ac:dyDescent="0.25"/>
    <row r="256360" customFormat="1" x14ac:dyDescent="0.25"/>
    <row r="256361" customFormat="1" x14ac:dyDescent="0.25"/>
    <row r="256362" customFormat="1" x14ac:dyDescent="0.25"/>
    <row r="256363" customFormat="1" x14ac:dyDescent="0.25"/>
    <row r="256364" customFormat="1" x14ac:dyDescent="0.25"/>
    <row r="256365" customFormat="1" x14ac:dyDescent="0.25"/>
    <row r="256366" customFormat="1" x14ac:dyDescent="0.25"/>
    <row r="256367" customFormat="1" x14ac:dyDescent="0.25"/>
    <row r="256368" customFormat="1" x14ac:dyDescent="0.25"/>
    <row r="256369" customFormat="1" x14ac:dyDescent="0.25"/>
    <row r="256370" customFormat="1" x14ac:dyDescent="0.25"/>
    <row r="256371" customFormat="1" x14ac:dyDescent="0.25"/>
    <row r="256372" customFormat="1" x14ac:dyDescent="0.25"/>
    <row r="256373" customFormat="1" x14ac:dyDescent="0.25"/>
    <row r="256374" customFormat="1" x14ac:dyDescent="0.25"/>
    <row r="256375" customFormat="1" x14ac:dyDescent="0.25"/>
    <row r="256376" customFormat="1" x14ac:dyDescent="0.25"/>
    <row r="256377" customFormat="1" x14ac:dyDescent="0.25"/>
    <row r="256378" customFormat="1" x14ac:dyDescent="0.25"/>
    <row r="256379" customFormat="1" x14ac:dyDescent="0.25"/>
    <row r="256380" customFormat="1" x14ac:dyDescent="0.25"/>
    <row r="256381" customFormat="1" x14ac:dyDescent="0.25"/>
    <row r="256382" customFormat="1" x14ac:dyDescent="0.25"/>
    <row r="256383" customFormat="1" x14ac:dyDescent="0.25"/>
    <row r="256384" customFormat="1" x14ac:dyDescent="0.25"/>
    <row r="256385" customFormat="1" x14ac:dyDescent="0.25"/>
    <row r="256386" customFormat="1" x14ac:dyDescent="0.25"/>
    <row r="256387" customFormat="1" x14ac:dyDescent="0.25"/>
    <row r="256388" customFormat="1" x14ac:dyDescent="0.25"/>
    <row r="256389" customFormat="1" x14ac:dyDescent="0.25"/>
    <row r="256390" customFormat="1" x14ac:dyDescent="0.25"/>
    <row r="256391" customFormat="1" x14ac:dyDescent="0.25"/>
    <row r="256392" customFormat="1" x14ac:dyDescent="0.25"/>
    <row r="256393" customFormat="1" x14ac:dyDescent="0.25"/>
    <row r="256394" customFormat="1" x14ac:dyDescent="0.25"/>
    <row r="256395" customFormat="1" x14ac:dyDescent="0.25"/>
    <row r="256396" customFormat="1" x14ac:dyDescent="0.25"/>
    <row r="256397" customFormat="1" x14ac:dyDescent="0.25"/>
    <row r="256398" customFormat="1" x14ac:dyDescent="0.25"/>
    <row r="256399" customFormat="1" x14ac:dyDescent="0.25"/>
    <row r="256400" customFormat="1" x14ac:dyDescent="0.25"/>
    <row r="256401" customFormat="1" x14ac:dyDescent="0.25"/>
    <row r="256402" customFormat="1" x14ac:dyDescent="0.25"/>
    <row r="256403" customFormat="1" x14ac:dyDescent="0.25"/>
    <row r="256404" customFormat="1" x14ac:dyDescent="0.25"/>
    <row r="256405" customFormat="1" x14ac:dyDescent="0.25"/>
    <row r="256406" customFormat="1" x14ac:dyDescent="0.25"/>
    <row r="256407" customFormat="1" x14ac:dyDescent="0.25"/>
    <row r="256408" customFormat="1" x14ac:dyDescent="0.25"/>
    <row r="256409" customFormat="1" x14ac:dyDescent="0.25"/>
    <row r="256410" customFormat="1" x14ac:dyDescent="0.25"/>
    <row r="256411" customFormat="1" x14ac:dyDescent="0.25"/>
    <row r="256412" customFormat="1" x14ac:dyDescent="0.25"/>
    <row r="256413" customFormat="1" x14ac:dyDescent="0.25"/>
    <row r="256414" customFormat="1" x14ac:dyDescent="0.25"/>
    <row r="256415" customFormat="1" x14ac:dyDescent="0.25"/>
    <row r="256416" customFormat="1" x14ac:dyDescent="0.25"/>
    <row r="256417" customFormat="1" x14ac:dyDescent="0.25"/>
    <row r="256418" customFormat="1" x14ac:dyDescent="0.25"/>
    <row r="256419" customFormat="1" x14ac:dyDescent="0.25"/>
    <row r="256420" customFormat="1" x14ac:dyDescent="0.25"/>
    <row r="256421" customFormat="1" x14ac:dyDescent="0.25"/>
    <row r="256422" customFormat="1" x14ac:dyDescent="0.25"/>
    <row r="256423" customFormat="1" x14ac:dyDescent="0.25"/>
    <row r="256424" customFormat="1" x14ac:dyDescent="0.25"/>
    <row r="256425" customFormat="1" x14ac:dyDescent="0.25"/>
    <row r="256426" customFormat="1" x14ac:dyDescent="0.25"/>
    <row r="256427" customFormat="1" x14ac:dyDescent="0.25"/>
    <row r="256428" customFormat="1" x14ac:dyDescent="0.25"/>
    <row r="256429" customFormat="1" x14ac:dyDescent="0.25"/>
    <row r="256430" customFormat="1" x14ac:dyDescent="0.25"/>
    <row r="256431" customFormat="1" x14ac:dyDescent="0.25"/>
    <row r="256432" customFormat="1" x14ac:dyDescent="0.25"/>
    <row r="256433" customFormat="1" x14ac:dyDescent="0.25"/>
    <row r="256434" customFormat="1" x14ac:dyDescent="0.25"/>
    <row r="256435" customFormat="1" x14ac:dyDescent="0.25"/>
    <row r="256436" customFormat="1" x14ac:dyDescent="0.25"/>
    <row r="256437" customFormat="1" x14ac:dyDescent="0.25"/>
    <row r="256438" customFormat="1" x14ac:dyDescent="0.25"/>
    <row r="256439" customFormat="1" x14ac:dyDescent="0.25"/>
    <row r="256440" customFormat="1" x14ac:dyDescent="0.25"/>
    <row r="256441" customFormat="1" x14ac:dyDescent="0.25"/>
    <row r="256442" customFormat="1" x14ac:dyDescent="0.25"/>
    <row r="256443" customFormat="1" x14ac:dyDescent="0.25"/>
    <row r="256444" customFormat="1" x14ac:dyDescent="0.25"/>
    <row r="256445" customFormat="1" x14ac:dyDescent="0.25"/>
    <row r="256446" customFormat="1" x14ac:dyDescent="0.25"/>
    <row r="256447" customFormat="1" x14ac:dyDescent="0.25"/>
    <row r="256448" customFormat="1" x14ac:dyDescent="0.25"/>
    <row r="256449" customFormat="1" x14ac:dyDescent="0.25"/>
    <row r="256450" customFormat="1" x14ac:dyDescent="0.25"/>
    <row r="256451" customFormat="1" x14ac:dyDescent="0.25"/>
    <row r="256452" customFormat="1" x14ac:dyDescent="0.25"/>
    <row r="256453" customFormat="1" x14ac:dyDescent="0.25"/>
    <row r="256454" customFormat="1" x14ac:dyDescent="0.25"/>
    <row r="256455" customFormat="1" x14ac:dyDescent="0.25"/>
    <row r="256456" customFormat="1" x14ac:dyDescent="0.25"/>
    <row r="256457" customFormat="1" x14ac:dyDescent="0.25"/>
    <row r="256458" customFormat="1" x14ac:dyDescent="0.25"/>
    <row r="256459" customFormat="1" x14ac:dyDescent="0.25"/>
    <row r="256460" customFormat="1" x14ac:dyDescent="0.25"/>
    <row r="256461" customFormat="1" x14ac:dyDescent="0.25"/>
    <row r="256462" customFormat="1" x14ac:dyDescent="0.25"/>
    <row r="256463" customFormat="1" x14ac:dyDescent="0.25"/>
    <row r="256464" customFormat="1" x14ac:dyDescent="0.25"/>
    <row r="256465" customFormat="1" x14ac:dyDescent="0.25"/>
    <row r="256466" customFormat="1" x14ac:dyDescent="0.25"/>
    <row r="256467" customFormat="1" x14ac:dyDescent="0.25"/>
    <row r="256468" customFormat="1" x14ac:dyDescent="0.25"/>
    <row r="256469" customFormat="1" x14ac:dyDescent="0.25"/>
    <row r="256470" customFormat="1" x14ac:dyDescent="0.25"/>
    <row r="256471" customFormat="1" x14ac:dyDescent="0.25"/>
    <row r="256472" customFormat="1" x14ac:dyDescent="0.25"/>
    <row r="256473" customFormat="1" x14ac:dyDescent="0.25"/>
    <row r="256474" customFormat="1" x14ac:dyDescent="0.25"/>
    <row r="256475" customFormat="1" x14ac:dyDescent="0.25"/>
    <row r="256476" customFormat="1" x14ac:dyDescent="0.25"/>
    <row r="256477" customFormat="1" x14ac:dyDescent="0.25"/>
    <row r="256478" customFormat="1" x14ac:dyDescent="0.25"/>
    <row r="256479" customFormat="1" x14ac:dyDescent="0.25"/>
    <row r="256480" customFormat="1" x14ac:dyDescent="0.25"/>
    <row r="256481" customFormat="1" x14ac:dyDescent="0.25"/>
    <row r="256482" customFormat="1" x14ac:dyDescent="0.25"/>
    <row r="256483" customFormat="1" x14ac:dyDescent="0.25"/>
    <row r="256484" customFormat="1" x14ac:dyDescent="0.25"/>
    <row r="256485" customFormat="1" x14ac:dyDescent="0.25"/>
    <row r="256486" customFormat="1" x14ac:dyDescent="0.25"/>
    <row r="256487" customFormat="1" x14ac:dyDescent="0.25"/>
    <row r="256488" customFormat="1" x14ac:dyDescent="0.25"/>
    <row r="256489" customFormat="1" x14ac:dyDescent="0.25"/>
    <row r="256490" customFormat="1" x14ac:dyDescent="0.25"/>
    <row r="256491" customFormat="1" x14ac:dyDescent="0.25"/>
    <row r="256492" customFormat="1" x14ac:dyDescent="0.25"/>
    <row r="256493" customFormat="1" x14ac:dyDescent="0.25"/>
    <row r="256494" customFormat="1" x14ac:dyDescent="0.25"/>
    <row r="256495" customFormat="1" x14ac:dyDescent="0.25"/>
    <row r="256496" customFormat="1" x14ac:dyDescent="0.25"/>
    <row r="256497" customFormat="1" x14ac:dyDescent="0.25"/>
    <row r="256498" customFormat="1" x14ac:dyDescent="0.25"/>
    <row r="256499" customFormat="1" x14ac:dyDescent="0.25"/>
    <row r="256500" customFormat="1" x14ac:dyDescent="0.25"/>
    <row r="256501" customFormat="1" x14ac:dyDescent="0.25"/>
    <row r="256502" customFormat="1" x14ac:dyDescent="0.25"/>
    <row r="256503" customFormat="1" x14ac:dyDescent="0.25"/>
    <row r="256504" customFormat="1" x14ac:dyDescent="0.25"/>
    <row r="256505" customFormat="1" x14ac:dyDescent="0.25"/>
    <row r="256506" customFormat="1" x14ac:dyDescent="0.25"/>
    <row r="256507" customFormat="1" x14ac:dyDescent="0.25"/>
    <row r="256508" customFormat="1" x14ac:dyDescent="0.25"/>
    <row r="256509" customFormat="1" x14ac:dyDescent="0.25"/>
    <row r="256510" customFormat="1" x14ac:dyDescent="0.25"/>
    <row r="256511" customFormat="1" x14ac:dyDescent="0.25"/>
    <row r="256512" customFormat="1" x14ac:dyDescent="0.25"/>
    <row r="256513" customFormat="1" x14ac:dyDescent="0.25"/>
    <row r="256514" customFormat="1" x14ac:dyDescent="0.25"/>
    <row r="256515" customFormat="1" x14ac:dyDescent="0.25"/>
    <row r="256516" customFormat="1" x14ac:dyDescent="0.25"/>
    <row r="256517" customFormat="1" x14ac:dyDescent="0.25"/>
    <row r="256518" customFormat="1" x14ac:dyDescent="0.25"/>
    <row r="256519" customFormat="1" x14ac:dyDescent="0.25"/>
    <row r="256520" customFormat="1" x14ac:dyDescent="0.25"/>
    <row r="256521" customFormat="1" x14ac:dyDescent="0.25"/>
    <row r="256522" customFormat="1" x14ac:dyDescent="0.25"/>
    <row r="256523" customFormat="1" x14ac:dyDescent="0.25"/>
    <row r="256524" customFormat="1" x14ac:dyDescent="0.25"/>
    <row r="256525" customFormat="1" x14ac:dyDescent="0.25"/>
    <row r="256526" customFormat="1" x14ac:dyDescent="0.25"/>
    <row r="256527" customFormat="1" x14ac:dyDescent="0.25"/>
    <row r="256528" customFormat="1" x14ac:dyDescent="0.25"/>
    <row r="256529" customFormat="1" x14ac:dyDescent="0.25"/>
    <row r="256530" customFormat="1" x14ac:dyDescent="0.25"/>
    <row r="256531" customFormat="1" x14ac:dyDescent="0.25"/>
    <row r="256532" customFormat="1" x14ac:dyDescent="0.25"/>
    <row r="256533" customFormat="1" x14ac:dyDescent="0.25"/>
    <row r="256534" customFormat="1" x14ac:dyDescent="0.25"/>
    <row r="256535" customFormat="1" x14ac:dyDescent="0.25"/>
    <row r="256536" customFormat="1" x14ac:dyDescent="0.25"/>
    <row r="256537" customFormat="1" x14ac:dyDescent="0.25"/>
    <row r="256538" customFormat="1" x14ac:dyDescent="0.25"/>
    <row r="256539" customFormat="1" x14ac:dyDescent="0.25"/>
    <row r="256540" customFormat="1" x14ac:dyDescent="0.25"/>
    <row r="256541" customFormat="1" x14ac:dyDescent="0.25"/>
    <row r="256542" customFormat="1" x14ac:dyDescent="0.25"/>
    <row r="256543" customFormat="1" x14ac:dyDescent="0.25"/>
    <row r="256544" customFormat="1" x14ac:dyDescent="0.25"/>
    <row r="256545" customFormat="1" x14ac:dyDescent="0.25"/>
    <row r="256546" customFormat="1" x14ac:dyDescent="0.25"/>
    <row r="256547" customFormat="1" x14ac:dyDescent="0.25"/>
    <row r="256548" customFormat="1" x14ac:dyDescent="0.25"/>
    <row r="256549" customFormat="1" x14ac:dyDescent="0.25"/>
    <row r="256550" customFormat="1" x14ac:dyDescent="0.25"/>
    <row r="256551" customFormat="1" x14ac:dyDescent="0.25"/>
    <row r="256552" customFormat="1" x14ac:dyDescent="0.25"/>
    <row r="256553" customFormat="1" x14ac:dyDescent="0.25"/>
    <row r="256554" customFormat="1" x14ac:dyDescent="0.25"/>
    <row r="256555" customFormat="1" x14ac:dyDescent="0.25"/>
    <row r="256556" customFormat="1" x14ac:dyDescent="0.25"/>
    <row r="256557" customFormat="1" x14ac:dyDescent="0.25"/>
    <row r="256558" customFormat="1" x14ac:dyDescent="0.25"/>
    <row r="256559" customFormat="1" x14ac:dyDescent="0.25"/>
    <row r="256560" customFormat="1" x14ac:dyDescent="0.25"/>
    <row r="256561" customFormat="1" x14ac:dyDescent="0.25"/>
    <row r="256562" customFormat="1" x14ac:dyDescent="0.25"/>
    <row r="256563" customFormat="1" x14ac:dyDescent="0.25"/>
    <row r="256564" customFormat="1" x14ac:dyDescent="0.25"/>
    <row r="256565" customFormat="1" x14ac:dyDescent="0.25"/>
    <row r="256566" customFormat="1" x14ac:dyDescent="0.25"/>
    <row r="256567" customFormat="1" x14ac:dyDescent="0.25"/>
    <row r="256568" customFormat="1" x14ac:dyDescent="0.25"/>
    <row r="256569" customFormat="1" x14ac:dyDescent="0.25"/>
    <row r="256570" customFormat="1" x14ac:dyDescent="0.25"/>
    <row r="256571" customFormat="1" x14ac:dyDescent="0.25"/>
    <row r="256572" customFormat="1" x14ac:dyDescent="0.25"/>
    <row r="256573" customFormat="1" x14ac:dyDescent="0.25"/>
    <row r="256574" customFormat="1" x14ac:dyDescent="0.25"/>
    <row r="256575" customFormat="1" x14ac:dyDescent="0.25"/>
    <row r="256576" customFormat="1" x14ac:dyDescent="0.25"/>
    <row r="256577" customFormat="1" x14ac:dyDescent="0.25"/>
    <row r="256578" customFormat="1" x14ac:dyDescent="0.25"/>
    <row r="256579" customFormat="1" x14ac:dyDescent="0.25"/>
    <row r="256580" customFormat="1" x14ac:dyDescent="0.25"/>
    <row r="256581" customFormat="1" x14ac:dyDescent="0.25"/>
    <row r="256582" customFormat="1" x14ac:dyDescent="0.25"/>
    <row r="256583" customFormat="1" x14ac:dyDescent="0.25"/>
    <row r="256584" customFormat="1" x14ac:dyDescent="0.25"/>
    <row r="256585" customFormat="1" x14ac:dyDescent="0.25"/>
    <row r="256586" customFormat="1" x14ac:dyDescent="0.25"/>
    <row r="256587" customFormat="1" x14ac:dyDescent="0.25"/>
    <row r="256588" customFormat="1" x14ac:dyDescent="0.25"/>
    <row r="256589" customFormat="1" x14ac:dyDescent="0.25"/>
    <row r="256590" customFormat="1" x14ac:dyDescent="0.25"/>
    <row r="256591" customFormat="1" x14ac:dyDescent="0.25"/>
    <row r="256592" customFormat="1" x14ac:dyDescent="0.25"/>
    <row r="256593" customFormat="1" x14ac:dyDescent="0.25"/>
    <row r="256594" customFormat="1" x14ac:dyDescent="0.25"/>
    <row r="256595" customFormat="1" x14ac:dyDescent="0.25"/>
    <row r="256596" customFormat="1" x14ac:dyDescent="0.25"/>
    <row r="256597" customFormat="1" x14ac:dyDescent="0.25"/>
    <row r="256598" customFormat="1" x14ac:dyDescent="0.25"/>
    <row r="256599" customFormat="1" x14ac:dyDescent="0.25"/>
    <row r="256600" customFormat="1" x14ac:dyDescent="0.25"/>
    <row r="256601" customFormat="1" x14ac:dyDescent="0.25"/>
    <row r="256602" customFormat="1" x14ac:dyDescent="0.25"/>
    <row r="256603" customFormat="1" x14ac:dyDescent="0.25"/>
    <row r="256604" customFormat="1" x14ac:dyDescent="0.25"/>
    <row r="256605" customFormat="1" x14ac:dyDescent="0.25"/>
    <row r="256606" customFormat="1" x14ac:dyDescent="0.25"/>
    <row r="256607" customFormat="1" x14ac:dyDescent="0.25"/>
    <row r="256608" customFormat="1" x14ac:dyDescent="0.25"/>
    <row r="256609" customFormat="1" x14ac:dyDescent="0.25"/>
    <row r="256610" customFormat="1" x14ac:dyDescent="0.25"/>
    <row r="256611" customFormat="1" x14ac:dyDescent="0.25"/>
    <row r="256612" customFormat="1" x14ac:dyDescent="0.25"/>
    <row r="256613" customFormat="1" x14ac:dyDescent="0.25"/>
    <row r="256614" customFormat="1" x14ac:dyDescent="0.25"/>
    <row r="256615" customFormat="1" x14ac:dyDescent="0.25"/>
    <row r="256616" customFormat="1" x14ac:dyDescent="0.25"/>
    <row r="256617" customFormat="1" x14ac:dyDescent="0.25"/>
    <row r="256618" customFormat="1" x14ac:dyDescent="0.25"/>
    <row r="256619" customFormat="1" x14ac:dyDescent="0.25"/>
    <row r="256620" customFormat="1" x14ac:dyDescent="0.25"/>
    <row r="256621" customFormat="1" x14ac:dyDescent="0.25"/>
    <row r="256622" customFormat="1" x14ac:dyDescent="0.25"/>
    <row r="256623" customFormat="1" x14ac:dyDescent="0.25"/>
    <row r="256624" customFormat="1" x14ac:dyDescent="0.25"/>
    <row r="256625" customFormat="1" x14ac:dyDescent="0.25"/>
    <row r="256626" customFormat="1" x14ac:dyDescent="0.25"/>
    <row r="256627" customFormat="1" x14ac:dyDescent="0.25"/>
    <row r="256628" customFormat="1" x14ac:dyDescent="0.25"/>
    <row r="256629" customFormat="1" x14ac:dyDescent="0.25"/>
    <row r="256630" customFormat="1" x14ac:dyDescent="0.25"/>
    <row r="256631" customFormat="1" x14ac:dyDescent="0.25"/>
    <row r="256632" customFormat="1" x14ac:dyDescent="0.25"/>
    <row r="256633" customFormat="1" x14ac:dyDescent="0.25"/>
    <row r="256634" customFormat="1" x14ac:dyDescent="0.25"/>
    <row r="256635" customFormat="1" x14ac:dyDescent="0.25"/>
    <row r="256636" customFormat="1" x14ac:dyDescent="0.25"/>
    <row r="256637" customFormat="1" x14ac:dyDescent="0.25"/>
    <row r="256638" customFormat="1" x14ac:dyDescent="0.25"/>
    <row r="256639" customFormat="1" x14ac:dyDescent="0.25"/>
    <row r="256640" customFormat="1" x14ac:dyDescent="0.25"/>
    <row r="256641" customFormat="1" x14ac:dyDescent="0.25"/>
    <row r="256642" customFormat="1" x14ac:dyDescent="0.25"/>
    <row r="256643" customFormat="1" x14ac:dyDescent="0.25"/>
    <row r="256644" customFormat="1" x14ac:dyDescent="0.25"/>
    <row r="256645" customFormat="1" x14ac:dyDescent="0.25"/>
    <row r="256646" customFormat="1" x14ac:dyDescent="0.25"/>
    <row r="256647" customFormat="1" x14ac:dyDescent="0.25"/>
    <row r="256648" customFormat="1" x14ac:dyDescent="0.25"/>
    <row r="256649" customFormat="1" x14ac:dyDescent="0.25"/>
    <row r="256650" customFormat="1" x14ac:dyDescent="0.25"/>
    <row r="256651" customFormat="1" x14ac:dyDescent="0.25"/>
    <row r="256652" customFormat="1" x14ac:dyDescent="0.25"/>
    <row r="256653" customFormat="1" x14ac:dyDescent="0.25"/>
    <row r="256654" customFormat="1" x14ac:dyDescent="0.25"/>
    <row r="256655" customFormat="1" x14ac:dyDescent="0.25"/>
    <row r="256656" customFormat="1" x14ac:dyDescent="0.25"/>
    <row r="256657" customFormat="1" x14ac:dyDescent="0.25"/>
    <row r="256658" customFormat="1" x14ac:dyDescent="0.25"/>
    <row r="256659" customFormat="1" x14ac:dyDescent="0.25"/>
    <row r="256660" customFormat="1" x14ac:dyDescent="0.25"/>
    <row r="256661" customFormat="1" x14ac:dyDescent="0.25"/>
    <row r="256662" customFormat="1" x14ac:dyDescent="0.25"/>
    <row r="256663" customFormat="1" x14ac:dyDescent="0.25"/>
    <row r="256664" customFormat="1" x14ac:dyDescent="0.25"/>
    <row r="256665" customFormat="1" x14ac:dyDescent="0.25"/>
    <row r="256666" customFormat="1" x14ac:dyDescent="0.25"/>
    <row r="256667" customFormat="1" x14ac:dyDescent="0.25"/>
    <row r="256668" customFormat="1" x14ac:dyDescent="0.25"/>
    <row r="256669" customFormat="1" x14ac:dyDescent="0.25"/>
    <row r="256670" customFormat="1" x14ac:dyDescent="0.25"/>
    <row r="256671" customFormat="1" x14ac:dyDescent="0.25"/>
    <row r="256672" customFormat="1" x14ac:dyDescent="0.25"/>
    <row r="256673" customFormat="1" x14ac:dyDescent="0.25"/>
    <row r="256674" customFormat="1" x14ac:dyDescent="0.25"/>
    <row r="256675" customFormat="1" x14ac:dyDescent="0.25"/>
    <row r="256676" customFormat="1" x14ac:dyDescent="0.25"/>
    <row r="256677" customFormat="1" x14ac:dyDescent="0.25"/>
    <row r="256678" customFormat="1" x14ac:dyDescent="0.25"/>
    <row r="256679" customFormat="1" x14ac:dyDescent="0.25"/>
    <row r="256680" customFormat="1" x14ac:dyDescent="0.25"/>
    <row r="256681" customFormat="1" x14ac:dyDescent="0.25"/>
    <row r="256682" customFormat="1" x14ac:dyDescent="0.25"/>
    <row r="256683" customFormat="1" x14ac:dyDescent="0.25"/>
    <row r="256684" customFormat="1" x14ac:dyDescent="0.25"/>
    <row r="256685" customFormat="1" x14ac:dyDescent="0.25"/>
    <row r="256686" customFormat="1" x14ac:dyDescent="0.25"/>
    <row r="256687" customFormat="1" x14ac:dyDescent="0.25"/>
    <row r="256688" customFormat="1" x14ac:dyDescent="0.25"/>
    <row r="256689" customFormat="1" x14ac:dyDescent="0.25"/>
    <row r="256690" customFormat="1" x14ac:dyDescent="0.25"/>
    <row r="256691" customFormat="1" x14ac:dyDescent="0.25"/>
    <row r="256692" customFormat="1" x14ac:dyDescent="0.25"/>
    <row r="256693" customFormat="1" x14ac:dyDescent="0.25"/>
    <row r="256694" customFormat="1" x14ac:dyDescent="0.25"/>
    <row r="256695" customFormat="1" x14ac:dyDescent="0.25"/>
    <row r="256696" customFormat="1" x14ac:dyDescent="0.25"/>
    <row r="256697" customFormat="1" x14ac:dyDescent="0.25"/>
    <row r="256698" customFormat="1" x14ac:dyDescent="0.25"/>
    <row r="256699" customFormat="1" x14ac:dyDescent="0.25"/>
    <row r="256700" customFormat="1" x14ac:dyDescent="0.25"/>
    <row r="256701" customFormat="1" x14ac:dyDescent="0.25"/>
    <row r="256702" customFormat="1" x14ac:dyDescent="0.25"/>
    <row r="256703" customFormat="1" x14ac:dyDescent="0.25"/>
    <row r="256704" customFormat="1" x14ac:dyDescent="0.25"/>
    <row r="256705" customFormat="1" x14ac:dyDescent="0.25"/>
    <row r="256706" customFormat="1" x14ac:dyDescent="0.25"/>
    <row r="256707" customFormat="1" x14ac:dyDescent="0.25"/>
    <row r="256708" customFormat="1" x14ac:dyDescent="0.25"/>
    <row r="256709" customFormat="1" x14ac:dyDescent="0.25"/>
    <row r="256710" customFormat="1" x14ac:dyDescent="0.25"/>
    <row r="256711" customFormat="1" x14ac:dyDescent="0.25"/>
    <row r="256712" customFormat="1" x14ac:dyDescent="0.25"/>
    <row r="256713" customFormat="1" x14ac:dyDescent="0.25"/>
    <row r="256714" customFormat="1" x14ac:dyDescent="0.25"/>
    <row r="256715" customFormat="1" x14ac:dyDescent="0.25"/>
    <row r="256716" customFormat="1" x14ac:dyDescent="0.25"/>
    <row r="256717" customFormat="1" x14ac:dyDescent="0.25"/>
    <row r="256718" customFormat="1" x14ac:dyDescent="0.25"/>
    <row r="256719" customFormat="1" x14ac:dyDescent="0.25"/>
    <row r="256720" customFormat="1" x14ac:dyDescent="0.25"/>
    <row r="256721" customFormat="1" x14ac:dyDescent="0.25"/>
    <row r="256722" customFormat="1" x14ac:dyDescent="0.25"/>
    <row r="256723" customFormat="1" x14ac:dyDescent="0.25"/>
    <row r="256724" customFormat="1" x14ac:dyDescent="0.25"/>
    <row r="256725" customFormat="1" x14ac:dyDescent="0.25"/>
    <row r="256726" customFormat="1" x14ac:dyDescent="0.25"/>
    <row r="256727" customFormat="1" x14ac:dyDescent="0.25"/>
    <row r="256728" customFormat="1" x14ac:dyDescent="0.25"/>
    <row r="256729" customFormat="1" x14ac:dyDescent="0.25"/>
    <row r="256730" customFormat="1" x14ac:dyDescent="0.25"/>
    <row r="256731" customFormat="1" x14ac:dyDescent="0.25"/>
    <row r="256732" customFormat="1" x14ac:dyDescent="0.25"/>
    <row r="256733" customFormat="1" x14ac:dyDescent="0.25"/>
    <row r="256734" customFormat="1" x14ac:dyDescent="0.25"/>
    <row r="256735" customFormat="1" x14ac:dyDescent="0.25"/>
    <row r="256736" customFormat="1" x14ac:dyDescent="0.25"/>
    <row r="256737" customFormat="1" x14ac:dyDescent="0.25"/>
    <row r="256738" customFormat="1" x14ac:dyDescent="0.25"/>
    <row r="256739" customFormat="1" x14ac:dyDescent="0.25"/>
    <row r="256740" customFormat="1" x14ac:dyDescent="0.25"/>
    <row r="256741" customFormat="1" x14ac:dyDescent="0.25"/>
    <row r="256742" customFormat="1" x14ac:dyDescent="0.25"/>
    <row r="256743" customFormat="1" x14ac:dyDescent="0.25"/>
    <row r="256744" customFormat="1" x14ac:dyDescent="0.25"/>
    <row r="256745" customFormat="1" x14ac:dyDescent="0.25"/>
    <row r="256746" customFormat="1" x14ac:dyDescent="0.25"/>
    <row r="256747" customFormat="1" x14ac:dyDescent="0.25"/>
    <row r="256748" customFormat="1" x14ac:dyDescent="0.25"/>
    <row r="256749" customFormat="1" x14ac:dyDescent="0.25"/>
    <row r="256750" customFormat="1" x14ac:dyDescent="0.25"/>
    <row r="256751" customFormat="1" x14ac:dyDescent="0.25"/>
    <row r="256752" customFormat="1" x14ac:dyDescent="0.25"/>
    <row r="256753" customFormat="1" x14ac:dyDescent="0.25"/>
    <row r="256754" customFormat="1" x14ac:dyDescent="0.25"/>
    <row r="256755" customFormat="1" x14ac:dyDescent="0.25"/>
    <row r="256756" customFormat="1" x14ac:dyDescent="0.25"/>
    <row r="256757" customFormat="1" x14ac:dyDescent="0.25"/>
    <row r="256758" customFormat="1" x14ac:dyDescent="0.25"/>
    <row r="256759" customFormat="1" x14ac:dyDescent="0.25"/>
    <row r="256760" customFormat="1" x14ac:dyDescent="0.25"/>
    <row r="256761" customFormat="1" x14ac:dyDescent="0.25"/>
    <row r="256762" customFormat="1" x14ac:dyDescent="0.25"/>
    <row r="256763" customFormat="1" x14ac:dyDescent="0.25"/>
    <row r="256764" customFormat="1" x14ac:dyDescent="0.25"/>
    <row r="256765" customFormat="1" x14ac:dyDescent="0.25"/>
    <row r="256766" customFormat="1" x14ac:dyDescent="0.25"/>
    <row r="256767" customFormat="1" x14ac:dyDescent="0.25"/>
    <row r="256768" customFormat="1" x14ac:dyDescent="0.25"/>
    <row r="256769" customFormat="1" x14ac:dyDescent="0.25"/>
    <row r="256770" customFormat="1" x14ac:dyDescent="0.25"/>
    <row r="256771" customFormat="1" x14ac:dyDescent="0.25"/>
    <row r="256772" customFormat="1" x14ac:dyDescent="0.25"/>
    <row r="256773" customFormat="1" x14ac:dyDescent="0.25"/>
    <row r="256774" customFormat="1" x14ac:dyDescent="0.25"/>
    <row r="256775" customFormat="1" x14ac:dyDescent="0.25"/>
    <row r="256776" customFormat="1" x14ac:dyDescent="0.25"/>
    <row r="256777" customFormat="1" x14ac:dyDescent="0.25"/>
    <row r="256778" customFormat="1" x14ac:dyDescent="0.25"/>
    <row r="256779" customFormat="1" x14ac:dyDescent="0.25"/>
    <row r="256780" customFormat="1" x14ac:dyDescent="0.25"/>
    <row r="256781" customFormat="1" x14ac:dyDescent="0.25"/>
    <row r="256782" customFormat="1" x14ac:dyDescent="0.25"/>
    <row r="256783" customFormat="1" x14ac:dyDescent="0.25"/>
    <row r="256784" customFormat="1" x14ac:dyDescent="0.25"/>
    <row r="256785" customFormat="1" x14ac:dyDescent="0.25"/>
    <row r="256786" customFormat="1" x14ac:dyDescent="0.25"/>
    <row r="256787" customFormat="1" x14ac:dyDescent="0.25"/>
    <row r="256788" customFormat="1" x14ac:dyDescent="0.25"/>
    <row r="256789" customFormat="1" x14ac:dyDescent="0.25"/>
    <row r="256790" customFormat="1" x14ac:dyDescent="0.25"/>
    <row r="256791" customFormat="1" x14ac:dyDescent="0.25"/>
    <row r="256792" customFormat="1" x14ac:dyDescent="0.25"/>
    <row r="256793" customFormat="1" x14ac:dyDescent="0.25"/>
    <row r="256794" customFormat="1" x14ac:dyDescent="0.25"/>
    <row r="256795" customFormat="1" x14ac:dyDescent="0.25"/>
    <row r="256796" customFormat="1" x14ac:dyDescent="0.25"/>
    <row r="256797" customFormat="1" x14ac:dyDescent="0.25"/>
    <row r="256798" customFormat="1" x14ac:dyDescent="0.25"/>
    <row r="256799" customFormat="1" x14ac:dyDescent="0.25"/>
    <row r="256800" customFormat="1" x14ac:dyDescent="0.25"/>
    <row r="256801" customFormat="1" x14ac:dyDescent="0.25"/>
    <row r="256802" customFormat="1" x14ac:dyDescent="0.25"/>
    <row r="256803" customFormat="1" x14ac:dyDescent="0.25"/>
    <row r="256804" customFormat="1" x14ac:dyDescent="0.25"/>
    <row r="256805" customFormat="1" x14ac:dyDescent="0.25"/>
    <row r="256806" customFormat="1" x14ac:dyDescent="0.25"/>
    <row r="256807" customFormat="1" x14ac:dyDescent="0.25"/>
    <row r="256808" customFormat="1" x14ac:dyDescent="0.25"/>
    <row r="256809" customFormat="1" x14ac:dyDescent="0.25"/>
    <row r="256810" customFormat="1" x14ac:dyDescent="0.25"/>
    <row r="256811" customFormat="1" x14ac:dyDescent="0.25"/>
    <row r="256812" customFormat="1" x14ac:dyDescent="0.25"/>
    <row r="256813" customFormat="1" x14ac:dyDescent="0.25"/>
    <row r="256814" customFormat="1" x14ac:dyDescent="0.25"/>
    <row r="256815" customFormat="1" x14ac:dyDescent="0.25"/>
    <row r="256816" customFormat="1" x14ac:dyDescent="0.25"/>
    <row r="256817" customFormat="1" x14ac:dyDescent="0.25"/>
    <row r="256818" customFormat="1" x14ac:dyDescent="0.25"/>
    <row r="256819" customFormat="1" x14ac:dyDescent="0.25"/>
    <row r="256820" customFormat="1" x14ac:dyDescent="0.25"/>
    <row r="256821" customFormat="1" x14ac:dyDescent="0.25"/>
    <row r="256822" customFormat="1" x14ac:dyDescent="0.25"/>
    <row r="256823" customFormat="1" x14ac:dyDescent="0.25"/>
    <row r="256824" customFormat="1" x14ac:dyDescent="0.25"/>
    <row r="256825" customFormat="1" x14ac:dyDescent="0.25"/>
    <row r="256826" customFormat="1" x14ac:dyDescent="0.25"/>
    <row r="256827" customFormat="1" x14ac:dyDescent="0.25"/>
    <row r="256828" customFormat="1" x14ac:dyDescent="0.25"/>
    <row r="256829" customFormat="1" x14ac:dyDescent="0.25"/>
    <row r="256830" customFormat="1" x14ac:dyDescent="0.25"/>
    <row r="256831" customFormat="1" x14ac:dyDescent="0.25"/>
    <row r="256832" customFormat="1" x14ac:dyDescent="0.25"/>
    <row r="256833" customFormat="1" x14ac:dyDescent="0.25"/>
    <row r="256834" customFormat="1" x14ac:dyDescent="0.25"/>
    <row r="256835" customFormat="1" x14ac:dyDescent="0.25"/>
    <row r="256836" customFormat="1" x14ac:dyDescent="0.25"/>
    <row r="256837" customFormat="1" x14ac:dyDescent="0.25"/>
    <row r="256838" customFormat="1" x14ac:dyDescent="0.25"/>
    <row r="256839" customFormat="1" x14ac:dyDescent="0.25"/>
    <row r="256840" customFormat="1" x14ac:dyDescent="0.25"/>
    <row r="256841" customFormat="1" x14ac:dyDescent="0.25"/>
    <row r="256842" customFormat="1" x14ac:dyDescent="0.25"/>
    <row r="256843" customFormat="1" x14ac:dyDescent="0.25"/>
    <row r="256844" customFormat="1" x14ac:dyDescent="0.25"/>
    <row r="256845" customFormat="1" x14ac:dyDescent="0.25"/>
    <row r="256846" customFormat="1" x14ac:dyDescent="0.25"/>
    <row r="256847" customFormat="1" x14ac:dyDescent="0.25"/>
    <row r="256848" customFormat="1" x14ac:dyDescent="0.25"/>
    <row r="256849" customFormat="1" x14ac:dyDescent="0.25"/>
    <row r="256850" customFormat="1" x14ac:dyDescent="0.25"/>
    <row r="256851" customFormat="1" x14ac:dyDescent="0.25"/>
    <row r="256852" customFormat="1" x14ac:dyDescent="0.25"/>
    <row r="256853" customFormat="1" x14ac:dyDescent="0.25"/>
    <row r="256854" customFormat="1" x14ac:dyDescent="0.25"/>
    <row r="256855" customFormat="1" x14ac:dyDescent="0.25"/>
    <row r="256856" customFormat="1" x14ac:dyDescent="0.25"/>
    <row r="256857" customFormat="1" x14ac:dyDescent="0.25"/>
    <row r="256858" customFormat="1" x14ac:dyDescent="0.25"/>
    <row r="256859" customFormat="1" x14ac:dyDescent="0.25"/>
    <row r="256860" customFormat="1" x14ac:dyDescent="0.25"/>
    <row r="256861" customFormat="1" x14ac:dyDescent="0.25"/>
    <row r="256862" customFormat="1" x14ac:dyDescent="0.25"/>
    <row r="256863" customFormat="1" x14ac:dyDescent="0.25"/>
    <row r="256864" customFormat="1" x14ac:dyDescent="0.25"/>
    <row r="256865" customFormat="1" x14ac:dyDescent="0.25"/>
    <row r="256866" customFormat="1" x14ac:dyDescent="0.25"/>
    <row r="256867" customFormat="1" x14ac:dyDescent="0.25"/>
    <row r="256868" customFormat="1" x14ac:dyDescent="0.25"/>
    <row r="256869" customFormat="1" x14ac:dyDescent="0.25"/>
    <row r="256870" customFormat="1" x14ac:dyDescent="0.25"/>
    <row r="256871" customFormat="1" x14ac:dyDescent="0.25"/>
    <row r="256872" customFormat="1" x14ac:dyDescent="0.25"/>
    <row r="256873" customFormat="1" x14ac:dyDescent="0.25"/>
    <row r="256874" customFormat="1" x14ac:dyDescent="0.25"/>
    <row r="256875" customFormat="1" x14ac:dyDescent="0.25"/>
    <row r="256876" customFormat="1" x14ac:dyDescent="0.25"/>
    <row r="256877" customFormat="1" x14ac:dyDescent="0.25"/>
    <row r="256878" customFormat="1" x14ac:dyDescent="0.25"/>
    <row r="256879" customFormat="1" x14ac:dyDescent="0.25"/>
    <row r="256880" customFormat="1" x14ac:dyDescent="0.25"/>
    <row r="256881" customFormat="1" x14ac:dyDescent="0.25"/>
    <row r="256882" customFormat="1" x14ac:dyDescent="0.25"/>
    <row r="256883" customFormat="1" x14ac:dyDescent="0.25"/>
    <row r="256884" customFormat="1" x14ac:dyDescent="0.25"/>
    <row r="256885" customFormat="1" x14ac:dyDescent="0.25"/>
    <row r="256886" customFormat="1" x14ac:dyDescent="0.25"/>
    <row r="256887" customFormat="1" x14ac:dyDescent="0.25"/>
    <row r="256888" customFormat="1" x14ac:dyDescent="0.25"/>
    <row r="256889" customFormat="1" x14ac:dyDescent="0.25"/>
    <row r="256890" customFormat="1" x14ac:dyDescent="0.25"/>
    <row r="256891" customFormat="1" x14ac:dyDescent="0.25"/>
    <row r="256892" customFormat="1" x14ac:dyDescent="0.25"/>
    <row r="256893" customFormat="1" x14ac:dyDescent="0.25"/>
    <row r="256894" customFormat="1" x14ac:dyDescent="0.25"/>
    <row r="256895" customFormat="1" x14ac:dyDescent="0.25"/>
    <row r="256896" customFormat="1" x14ac:dyDescent="0.25"/>
    <row r="256897" customFormat="1" x14ac:dyDescent="0.25"/>
    <row r="256898" customFormat="1" x14ac:dyDescent="0.25"/>
    <row r="256899" customFormat="1" x14ac:dyDescent="0.25"/>
    <row r="256900" customFormat="1" x14ac:dyDescent="0.25"/>
    <row r="256901" customFormat="1" x14ac:dyDescent="0.25"/>
    <row r="256902" customFormat="1" x14ac:dyDescent="0.25"/>
    <row r="256903" customFormat="1" x14ac:dyDescent="0.25"/>
    <row r="256904" customFormat="1" x14ac:dyDescent="0.25"/>
    <row r="256905" customFormat="1" x14ac:dyDescent="0.25"/>
    <row r="256906" customFormat="1" x14ac:dyDescent="0.25"/>
    <row r="256907" customFormat="1" x14ac:dyDescent="0.25"/>
    <row r="256908" customFormat="1" x14ac:dyDescent="0.25"/>
    <row r="256909" customFormat="1" x14ac:dyDescent="0.25"/>
    <row r="256910" customFormat="1" x14ac:dyDescent="0.25"/>
    <row r="256911" customFormat="1" x14ac:dyDescent="0.25"/>
    <row r="256912" customFormat="1" x14ac:dyDescent="0.25"/>
    <row r="256913" customFormat="1" x14ac:dyDescent="0.25"/>
    <row r="256914" customFormat="1" x14ac:dyDescent="0.25"/>
    <row r="256915" customFormat="1" x14ac:dyDescent="0.25"/>
    <row r="256916" customFormat="1" x14ac:dyDescent="0.25"/>
    <row r="256917" customFormat="1" x14ac:dyDescent="0.25"/>
    <row r="256918" customFormat="1" x14ac:dyDescent="0.25"/>
    <row r="256919" customFormat="1" x14ac:dyDescent="0.25"/>
    <row r="256920" customFormat="1" x14ac:dyDescent="0.25"/>
    <row r="256921" customFormat="1" x14ac:dyDescent="0.25"/>
    <row r="256922" customFormat="1" x14ac:dyDescent="0.25"/>
    <row r="256923" customFormat="1" x14ac:dyDescent="0.25"/>
    <row r="256924" customFormat="1" x14ac:dyDescent="0.25"/>
    <row r="256925" customFormat="1" x14ac:dyDescent="0.25"/>
    <row r="256926" customFormat="1" x14ac:dyDescent="0.25"/>
    <row r="256927" customFormat="1" x14ac:dyDescent="0.25"/>
    <row r="256928" customFormat="1" x14ac:dyDescent="0.25"/>
    <row r="256929" customFormat="1" x14ac:dyDescent="0.25"/>
    <row r="256930" customFormat="1" x14ac:dyDescent="0.25"/>
    <row r="256931" customFormat="1" x14ac:dyDescent="0.25"/>
    <row r="256932" customFormat="1" x14ac:dyDescent="0.25"/>
    <row r="256933" customFormat="1" x14ac:dyDescent="0.25"/>
    <row r="256934" customFormat="1" x14ac:dyDescent="0.25"/>
    <row r="256935" customFormat="1" x14ac:dyDescent="0.25"/>
    <row r="256936" customFormat="1" x14ac:dyDescent="0.25"/>
    <row r="256937" customFormat="1" x14ac:dyDescent="0.25"/>
    <row r="256938" customFormat="1" x14ac:dyDescent="0.25"/>
    <row r="256939" customFormat="1" x14ac:dyDescent="0.25"/>
    <row r="256940" customFormat="1" x14ac:dyDescent="0.25"/>
    <row r="256941" customFormat="1" x14ac:dyDescent="0.25"/>
    <row r="256942" customFormat="1" x14ac:dyDescent="0.25"/>
    <row r="256943" customFormat="1" x14ac:dyDescent="0.25"/>
    <row r="256944" customFormat="1" x14ac:dyDescent="0.25"/>
    <row r="256945" customFormat="1" x14ac:dyDescent="0.25"/>
    <row r="256946" customFormat="1" x14ac:dyDescent="0.25"/>
    <row r="256947" customFormat="1" x14ac:dyDescent="0.25"/>
    <row r="256948" customFormat="1" x14ac:dyDescent="0.25"/>
    <row r="256949" customFormat="1" x14ac:dyDescent="0.25"/>
    <row r="256950" customFormat="1" x14ac:dyDescent="0.25"/>
    <row r="256951" customFormat="1" x14ac:dyDescent="0.25"/>
    <row r="256952" customFormat="1" x14ac:dyDescent="0.25"/>
    <row r="256953" customFormat="1" x14ac:dyDescent="0.25"/>
    <row r="256954" customFormat="1" x14ac:dyDescent="0.25"/>
    <row r="256955" customFormat="1" x14ac:dyDescent="0.25"/>
    <row r="256956" customFormat="1" x14ac:dyDescent="0.25"/>
    <row r="256957" customFormat="1" x14ac:dyDescent="0.25"/>
    <row r="256958" customFormat="1" x14ac:dyDescent="0.25"/>
    <row r="256959" customFormat="1" x14ac:dyDescent="0.25"/>
    <row r="256960" customFormat="1" x14ac:dyDescent="0.25"/>
    <row r="256961" customFormat="1" x14ac:dyDescent="0.25"/>
    <row r="256962" customFormat="1" x14ac:dyDescent="0.25"/>
    <row r="256963" customFormat="1" x14ac:dyDescent="0.25"/>
    <row r="256964" customFormat="1" x14ac:dyDescent="0.25"/>
    <row r="256965" customFormat="1" x14ac:dyDescent="0.25"/>
    <row r="256966" customFormat="1" x14ac:dyDescent="0.25"/>
    <row r="256967" customFormat="1" x14ac:dyDescent="0.25"/>
    <row r="256968" customFormat="1" x14ac:dyDescent="0.25"/>
    <row r="256969" customFormat="1" x14ac:dyDescent="0.25"/>
    <row r="256970" customFormat="1" x14ac:dyDescent="0.25"/>
    <row r="256971" customFormat="1" x14ac:dyDescent="0.25"/>
    <row r="256972" customFormat="1" x14ac:dyDescent="0.25"/>
    <row r="256973" customFormat="1" x14ac:dyDescent="0.25"/>
    <row r="256974" customFormat="1" x14ac:dyDescent="0.25"/>
    <row r="256975" customFormat="1" x14ac:dyDescent="0.25"/>
    <row r="256976" customFormat="1" x14ac:dyDescent="0.25"/>
    <row r="256977" customFormat="1" x14ac:dyDescent="0.25"/>
    <row r="256978" customFormat="1" x14ac:dyDescent="0.25"/>
    <row r="256979" customFormat="1" x14ac:dyDescent="0.25"/>
    <row r="256980" customFormat="1" x14ac:dyDescent="0.25"/>
    <row r="256981" customFormat="1" x14ac:dyDescent="0.25"/>
    <row r="256982" customFormat="1" x14ac:dyDescent="0.25"/>
    <row r="256983" customFormat="1" x14ac:dyDescent="0.25"/>
    <row r="256984" customFormat="1" x14ac:dyDescent="0.25"/>
    <row r="256985" customFormat="1" x14ac:dyDescent="0.25"/>
    <row r="256986" customFormat="1" x14ac:dyDescent="0.25"/>
    <row r="256987" customFormat="1" x14ac:dyDescent="0.25"/>
    <row r="256988" customFormat="1" x14ac:dyDescent="0.25"/>
    <row r="256989" customFormat="1" x14ac:dyDescent="0.25"/>
    <row r="256990" customFormat="1" x14ac:dyDescent="0.25"/>
    <row r="256991" customFormat="1" x14ac:dyDescent="0.25"/>
    <row r="256992" customFormat="1" x14ac:dyDescent="0.25"/>
    <row r="256993" customFormat="1" x14ac:dyDescent="0.25"/>
    <row r="256994" customFormat="1" x14ac:dyDescent="0.25"/>
    <row r="256995" customFormat="1" x14ac:dyDescent="0.25"/>
    <row r="256996" customFormat="1" x14ac:dyDescent="0.25"/>
    <row r="256997" customFormat="1" x14ac:dyDescent="0.25"/>
    <row r="256998" customFormat="1" x14ac:dyDescent="0.25"/>
    <row r="256999" customFormat="1" x14ac:dyDescent="0.25"/>
    <row r="257000" customFormat="1" x14ac:dyDescent="0.25"/>
    <row r="257001" customFormat="1" x14ac:dyDescent="0.25"/>
    <row r="257002" customFormat="1" x14ac:dyDescent="0.25"/>
    <row r="257003" customFormat="1" x14ac:dyDescent="0.25"/>
    <row r="257004" customFormat="1" x14ac:dyDescent="0.25"/>
    <row r="257005" customFormat="1" x14ac:dyDescent="0.25"/>
    <row r="257006" customFormat="1" x14ac:dyDescent="0.25"/>
    <row r="257007" customFormat="1" x14ac:dyDescent="0.25"/>
    <row r="257008" customFormat="1" x14ac:dyDescent="0.25"/>
    <row r="257009" customFormat="1" x14ac:dyDescent="0.25"/>
    <row r="257010" customFormat="1" x14ac:dyDescent="0.25"/>
    <row r="257011" customFormat="1" x14ac:dyDescent="0.25"/>
    <row r="257012" customFormat="1" x14ac:dyDescent="0.25"/>
    <row r="257013" customFormat="1" x14ac:dyDescent="0.25"/>
    <row r="257014" customFormat="1" x14ac:dyDescent="0.25"/>
    <row r="257015" customFormat="1" x14ac:dyDescent="0.25"/>
    <row r="257016" customFormat="1" x14ac:dyDescent="0.25"/>
    <row r="257017" customFormat="1" x14ac:dyDescent="0.25"/>
    <row r="257018" customFormat="1" x14ac:dyDescent="0.25"/>
    <row r="257019" customFormat="1" x14ac:dyDescent="0.25"/>
    <row r="257020" customFormat="1" x14ac:dyDescent="0.25"/>
    <row r="257021" customFormat="1" x14ac:dyDescent="0.25"/>
    <row r="257022" customFormat="1" x14ac:dyDescent="0.25"/>
    <row r="257023" customFormat="1" x14ac:dyDescent="0.25"/>
    <row r="257024" customFormat="1" x14ac:dyDescent="0.25"/>
    <row r="257025" customFormat="1" x14ac:dyDescent="0.25"/>
    <row r="257026" customFormat="1" x14ac:dyDescent="0.25"/>
    <row r="257027" customFormat="1" x14ac:dyDescent="0.25"/>
    <row r="257028" customFormat="1" x14ac:dyDescent="0.25"/>
    <row r="257029" customFormat="1" x14ac:dyDescent="0.25"/>
    <row r="257030" customFormat="1" x14ac:dyDescent="0.25"/>
    <row r="257031" customFormat="1" x14ac:dyDescent="0.25"/>
    <row r="257032" customFormat="1" x14ac:dyDescent="0.25"/>
    <row r="257033" customFormat="1" x14ac:dyDescent="0.25"/>
    <row r="257034" customFormat="1" x14ac:dyDescent="0.25"/>
    <row r="257035" customFormat="1" x14ac:dyDescent="0.25"/>
    <row r="257036" customFormat="1" x14ac:dyDescent="0.25"/>
    <row r="257037" customFormat="1" x14ac:dyDescent="0.25"/>
    <row r="257038" customFormat="1" x14ac:dyDescent="0.25"/>
    <row r="257039" customFormat="1" x14ac:dyDescent="0.25"/>
    <row r="257040" customFormat="1" x14ac:dyDescent="0.25"/>
    <row r="257041" customFormat="1" x14ac:dyDescent="0.25"/>
    <row r="257042" customFormat="1" x14ac:dyDescent="0.25"/>
    <row r="257043" customFormat="1" x14ac:dyDescent="0.25"/>
    <row r="257044" customFormat="1" x14ac:dyDescent="0.25"/>
    <row r="257045" customFormat="1" x14ac:dyDescent="0.25"/>
    <row r="257046" customFormat="1" x14ac:dyDescent="0.25"/>
    <row r="257047" customFormat="1" x14ac:dyDescent="0.25"/>
    <row r="257048" customFormat="1" x14ac:dyDescent="0.25"/>
    <row r="257049" customFormat="1" x14ac:dyDescent="0.25"/>
    <row r="257050" customFormat="1" x14ac:dyDescent="0.25"/>
    <row r="257051" customFormat="1" x14ac:dyDescent="0.25"/>
    <row r="257052" customFormat="1" x14ac:dyDescent="0.25"/>
    <row r="257053" customFormat="1" x14ac:dyDescent="0.25"/>
    <row r="257054" customFormat="1" x14ac:dyDescent="0.25"/>
    <row r="257055" customFormat="1" x14ac:dyDescent="0.25"/>
    <row r="257056" customFormat="1" x14ac:dyDescent="0.25"/>
    <row r="257057" customFormat="1" x14ac:dyDescent="0.25"/>
    <row r="257058" customFormat="1" x14ac:dyDescent="0.25"/>
    <row r="257059" customFormat="1" x14ac:dyDescent="0.25"/>
    <row r="257060" customFormat="1" x14ac:dyDescent="0.25"/>
    <row r="257061" customFormat="1" x14ac:dyDescent="0.25"/>
    <row r="257062" customFormat="1" x14ac:dyDescent="0.25"/>
    <row r="257063" customFormat="1" x14ac:dyDescent="0.25"/>
    <row r="257064" customFormat="1" x14ac:dyDescent="0.25"/>
    <row r="257065" customFormat="1" x14ac:dyDescent="0.25"/>
    <row r="257066" customFormat="1" x14ac:dyDescent="0.25"/>
    <row r="257067" customFormat="1" x14ac:dyDescent="0.25"/>
    <row r="257068" customFormat="1" x14ac:dyDescent="0.25"/>
    <row r="257069" customFormat="1" x14ac:dyDescent="0.25"/>
    <row r="257070" customFormat="1" x14ac:dyDescent="0.25"/>
    <row r="257071" customFormat="1" x14ac:dyDescent="0.25"/>
    <row r="257072" customFormat="1" x14ac:dyDescent="0.25"/>
    <row r="257073" customFormat="1" x14ac:dyDescent="0.25"/>
    <row r="257074" customFormat="1" x14ac:dyDescent="0.25"/>
    <row r="257075" customFormat="1" x14ac:dyDescent="0.25"/>
    <row r="257076" customFormat="1" x14ac:dyDescent="0.25"/>
    <row r="257077" customFormat="1" x14ac:dyDescent="0.25"/>
    <row r="257078" customFormat="1" x14ac:dyDescent="0.25"/>
    <row r="257079" customFormat="1" x14ac:dyDescent="0.25"/>
    <row r="257080" customFormat="1" x14ac:dyDescent="0.25"/>
    <row r="257081" customFormat="1" x14ac:dyDescent="0.25"/>
    <row r="257082" customFormat="1" x14ac:dyDescent="0.25"/>
    <row r="257083" customFormat="1" x14ac:dyDescent="0.25"/>
    <row r="257084" customFormat="1" x14ac:dyDescent="0.25"/>
    <row r="257085" customFormat="1" x14ac:dyDescent="0.25"/>
    <row r="257086" customFormat="1" x14ac:dyDescent="0.25"/>
    <row r="257087" customFormat="1" x14ac:dyDescent="0.25"/>
    <row r="257088" customFormat="1" x14ac:dyDescent="0.25"/>
    <row r="257089" customFormat="1" x14ac:dyDescent="0.25"/>
    <row r="257090" customFormat="1" x14ac:dyDescent="0.25"/>
    <row r="257091" customFormat="1" x14ac:dyDescent="0.25"/>
    <row r="257092" customFormat="1" x14ac:dyDescent="0.25"/>
    <row r="257093" customFormat="1" x14ac:dyDescent="0.25"/>
    <row r="257094" customFormat="1" x14ac:dyDescent="0.25"/>
    <row r="257095" customFormat="1" x14ac:dyDescent="0.25"/>
    <row r="257096" customFormat="1" x14ac:dyDescent="0.25"/>
    <row r="257097" customFormat="1" x14ac:dyDescent="0.25"/>
    <row r="257098" customFormat="1" x14ac:dyDescent="0.25"/>
    <row r="257099" customFormat="1" x14ac:dyDescent="0.25"/>
    <row r="257100" customFormat="1" x14ac:dyDescent="0.25"/>
    <row r="257101" customFormat="1" x14ac:dyDescent="0.25"/>
    <row r="257102" customFormat="1" x14ac:dyDescent="0.25"/>
    <row r="257103" customFormat="1" x14ac:dyDescent="0.25"/>
    <row r="257104" customFormat="1" x14ac:dyDescent="0.25"/>
    <row r="257105" customFormat="1" x14ac:dyDescent="0.25"/>
    <row r="257106" customFormat="1" x14ac:dyDescent="0.25"/>
    <row r="257107" customFormat="1" x14ac:dyDescent="0.25"/>
    <row r="257108" customFormat="1" x14ac:dyDescent="0.25"/>
    <row r="257109" customFormat="1" x14ac:dyDescent="0.25"/>
    <row r="257110" customFormat="1" x14ac:dyDescent="0.25"/>
    <row r="257111" customFormat="1" x14ac:dyDescent="0.25"/>
    <row r="257112" customFormat="1" x14ac:dyDescent="0.25"/>
    <row r="257113" customFormat="1" x14ac:dyDescent="0.25"/>
    <row r="257114" customFormat="1" x14ac:dyDescent="0.25"/>
    <row r="257115" customFormat="1" x14ac:dyDescent="0.25"/>
    <row r="257116" customFormat="1" x14ac:dyDescent="0.25"/>
    <row r="257117" customFormat="1" x14ac:dyDescent="0.25"/>
    <row r="257118" customFormat="1" x14ac:dyDescent="0.25"/>
    <row r="257119" customFormat="1" x14ac:dyDescent="0.25"/>
    <row r="257120" customFormat="1" x14ac:dyDescent="0.25"/>
    <row r="257121" customFormat="1" x14ac:dyDescent="0.25"/>
    <row r="257122" customFormat="1" x14ac:dyDescent="0.25"/>
    <row r="257123" customFormat="1" x14ac:dyDescent="0.25"/>
    <row r="257124" customFormat="1" x14ac:dyDescent="0.25"/>
    <row r="257125" customFormat="1" x14ac:dyDescent="0.25"/>
    <row r="257126" customFormat="1" x14ac:dyDescent="0.25"/>
    <row r="257127" customFormat="1" x14ac:dyDescent="0.25"/>
    <row r="257128" customFormat="1" x14ac:dyDescent="0.25"/>
    <row r="257129" customFormat="1" x14ac:dyDescent="0.25"/>
    <row r="257130" customFormat="1" x14ac:dyDescent="0.25"/>
    <row r="257131" customFormat="1" x14ac:dyDescent="0.25"/>
    <row r="257132" customFormat="1" x14ac:dyDescent="0.25"/>
    <row r="257133" customFormat="1" x14ac:dyDescent="0.25"/>
    <row r="257134" customFormat="1" x14ac:dyDescent="0.25"/>
    <row r="257135" customFormat="1" x14ac:dyDescent="0.25"/>
    <row r="257136" customFormat="1" x14ac:dyDescent="0.25"/>
    <row r="257137" customFormat="1" x14ac:dyDescent="0.25"/>
    <row r="257138" customFormat="1" x14ac:dyDescent="0.25"/>
    <row r="257139" customFormat="1" x14ac:dyDescent="0.25"/>
    <row r="257140" customFormat="1" x14ac:dyDescent="0.25"/>
    <row r="257141" customFormat="1" x14ac:dyDescent="0.25"/>
    <row r="257142" customFormat="1" x14ac:dyDescent="0.25"/>
    <row r="257143" customFormat="1" x14ac:dyDescent="0.25"/>
    <row r="257144" customFormat="1" x14ac:dyDescent="0.25"/>
    <row r="257145" customFormat="1" x14ac:dyDescent="0.25"/>
    <row r="257146" customFormat="1" x14ac:dyDescent="0.25"/>
    <row r="257147" customFormat="1" x14ac:dyDescent="0.25"/>
    <row r="257148" customFormat="1" x14ac:dyDescent="0.25"/>
    <row r="257149" customFormat="1" x14ac:dyDescent="0.25"/>
    <row r="257150" customFormat="1" x14ac:dyDescent="0.25"/>
    <row r="257151" customFormat="1" x14ac:dyDescent="0.25"/>
    <row r="257152" customFormat="1" x14ac:dyDescent="0.25"/>
    <row r="257153" customFormat="1" x14ac:dyDescent="0.25"/>
    <row r="257154" customFormat="1" x14ac:dyDescent="0.25"/>
    <row r="257155" customFormat="1" x14ac:dyDescent="0.25"/>
    <row r="257156" customFormat="1" x14ac:dyDescent="0.25"/>
    <row r="257157" customFormat="1" x14ac:dyDescent="0.25"/>
    <row r="257158" customFormat="1" x14ac:dyDescent="0.25"/>
    <row r="257159" customFormat="1" x14ac:dyDescent="0.25"/>
    <row r="257160" customFormat="1" x14ac:dyDescent="0.25"/>
    <row r="257161" customFormat="1" x14ac:dyDescent="0.25"/>
    <row r="257162" customFormat="1" x14ac:dyDescent="0.25"/>
    <row r="257163" customFormat="1" x14ac:dyDescent="0.25"/>
    <row r="257164" customFormat="1" x14ac:dyDescent="0.25"/>
    <row r="257165" customFormat="1" x14ac:dyDescent="0.25"/>
    <row r="257166" customFormat="1" x14ac:dyDescent="0.25"/>
    <row r="257167" customFormat="1" x14ac:dyDescent="0.25"/>
    <row r="257168" customFormat="1" x14ac:dyDescent="0.25"/>
    <row r="257169" customFormat="1" x14ac:dyDescent="0.25"/>
    <row r="257170" customFormat="1" x14ac:dyDescent="0.25"/>
    <row r="257171" customFormat="1" x14ac:dyDescent="0.25"/>
    <row r="257172" customFormat="1" x14ac:dyDescent="0.25"/>
    <row r="257173" customFormat="1" x14ac:dyDescent="0.25"/>
    <row r="257174" customFormat="1" x14ac:dyDescent="0.25"/>
    <row r="257175" customFormat="1" x14ac:dyDescent="0.25"/>
    <row r="257176" customFormat="1" x14ac:dyDescent="0.25"/>
    <row r="257177" customFormat="1" x14ac:dyDescent="0.25"/>
    <row r="257178" customFormat="1" x14ac:dyDescent="0.25"/>
    <row r="257179" customFormat="1" x14ac:dyDescent="0.25"/>
    <row r="257180" customFormat="1" x14ac:dyDescent="0.25"/>
    <row r="257181" customFormat="1" x14ac:dyDescent="0.25"/>
    <row r="257182" customFormat="1" x14ac:dyDescent="0.25"/>
    <row r="257183" customFormat="1" x14ac:dyDescent="0.25"/>
    <row r="257184" customFormat="1" x14ac:dyDescent="0.25"/>
    <row r="257185" customFormat="1" x14ac:dyDescent="0.25"/>
    <row r="257186" customFormat="1" x14ac:dyDescent="0.25"/>
    <row r="257187" customFormat="1" x14ac:dyDescent="0.25"/>
    <row r="257188" customFormat="1" x14ac:dyDescent="0.25"/>
    <row r="257189" customFormat="1" x14ac:dyDescent="0.25"/>
    <row r="257190" customFormat="1" x14ac:dyDescent="0.25"/>
    <row r="257191" customFormat="1" x14ac:dyDescent="0.25"/>
    <row r="257192" customFormat="1" x14ac:dyDescent="0.25"/>
    <row r="257193" customFormat="1" x14ac:dyDescent="0.25"/>
    <row r="257194" customFormat="1" x14ac:dyDescent="0.25"/>
    <row r="257195" customFormat="1" x14ac:dyDescent="0.25"/>
    <row r="257196" customFormat="1" x14ac:dyDescent="0.25"/>
    <row r="257197" customFormat="1" x14ac:dyDescent="0.25"/>
    <row r="257198" customFormat="1" x14ac:dyDescent="0.25"/>
    <row r="257199" customFormat="1" x14ac:dyDescent="0.25"/>
    <row r="257200" customFormat="1" x14ac:dyDescent="0.25"/>
    <row r="257201" customFormat="1" x14ac:dyDescent="0.25"/>
    <row r="257202" customFormat="1" x14ac:dyDescent="0.25"/>
    <row r="257203" customFormat="1" x14ac:dyDescent="0.25"/>
    <row r="257204" customFormat="1" x14ac:dyDescent="0.25"/>
    <row r="257205" customFormat="1" x14ac:dyDescent="0.25"/>
    <row r="257206" customFormat="1" x14ac:dyDescent="0.25"/>
    <row r="257207" customFormat="1" x14ac:dyDescent="0.25"/>
    <row r="257208" customFormat="1" x14ac:dyDescent="0.25"/>
    <row r="257209" customFormat="1" x14ac:dyDescent="0.25"/>
    <row r="257210" customFormat="1" x14ac:dyDescent="0.25"/>
    <row r="257211" customFormat="1" x14ac:dyDescent="0.25"/>
    <row r="257212" customFormat="1" x14ac:dyDescent="0.25"/>
    <row r="257213" customFormat="1" x14ac:dyDescent="0.25"/>
    <row r="257214" customFormat="1" x14ac:dyDescent="0.25"/>
    <row r="257215" customFormat="1" x14ac:dyDescent="0.25"/>
    <row r="257216" customFormat="1" x14ac:dyDescent="0.25"/>
    <row r="257217" customFormat="1" x14ac:dyDescent="0.25"/>
    <row r="257218" customFormat="1" x14ac:dyDescent="0.25"/>
    <row r="257219" customFormat="1" x14ac:dyDescent="0.25"/>
    <row r="257220" customFormat="1" x14ac:dyDescent="0.25"/>
    <row r="257221" customFormat="1" x14ac:dyDescent="0.25"/>
    <row r="257222" customFormat="1" x14ac:dyDescent="0.25"/>
    <row r="257223" customFormat="1" x14ac:dyDescent="0.25"/>
    <row r="257224" customFormat="1" x14ac:dyDescent="0.25"/>
    <row r="257225" customFormat="1" x14ac:dyDescent="0.25"/>
    <row r="257226" customFormat="1" x14ac:dyDescent="0.25"/>
    <row r="257227" customFormat="1" x14ac:dyDescent="0.25"/>
    <row r="257228" customFormat="1" x14ac:dyDescent="0.25"/>
    <row r="257229" customFormat="1" x14ac:dyDescent="0.25"/>
    <row r="257230" customFormat="1" x14ac:dyDescent="0.25"/>
    <row r="257231" customFormat="1" x14ac:dyDescent="0.25"/>
    <row r="257232" customFormat="1" x14ac:dyDescent="0.25"/>
    <row r="257233" customFormat="1" x14ac:dyDescent="0.25"/>
    <row r="257234" customFormat="1" x14ac:dyDescent="0.25"/>
    <row r="257235" customFormat="1" x14ac:dyDescent="0.25"/>
    <row r="257236" customFormat="1" x14ac:dyDescent="0.25"/>
    <row r="257237" customFormat="1" x14ac:dyDescent="0.25"/>
    <row r="257238" customFormat="1" x14ac:dyDescent="0.25"/>
    <row r="257239" customFormat="1" x14ac:dyDescent="0.25"/>
    <row r="257240" customFormat="1" x14ac:dyDescent="0.25"/>
    <row r="257241" customFormat="1" x14ac:dyDescent="0.25"/>
    <row r="257242" customFormat="1" x14ac:dyDescent="0.25"/>
    <row r="257243" customFormat="1" x14ac:dyDescent="0.25"/>
    <row r="257244" customFormat="1" x14ac:dyDescent="0.25"/>
    <row r="257245" customFormat="1" x14ac:dyDescent="0.25"/>
    <row r="257246" customFormat="1" x14ac:dyDescent="0.25"/>
    <row r="257247" customFormat="1" x14ac:dyDescent="0.25"/>
    <row r="257248" customFormat="1" x14ac:dyDescent="0.25"/>
    <row r="257249" customFormat="1" x14ac:dyDescent="0.25"/>
    <row r="257250" customFormat="1" x14ac:dyDescent="0.25"/>
    <row r="257251" customFormat="1" x14ac:dyDescent="0.25"/>
    <row r="257252" customFormat="1" x14ac:dyDescent="0.25"/>
    <row r="257253" customFormat="1" x14ac:dyDescent="0.25"/>
    <row r="257254" customFormat="1" x14ac:dyDescent="0.25"/>
    <row r="257255" customFormat="1" x14ac:dyDescent="0.25"/>
    <row r="257256" customFormat="1" x14ac:dyDescent="0.25"/>
    <row r="257257" customFormat="1" x14ac:dyDescent="0.25"/>
    <row r="257258" customFormat="1" x14ac:dyDescent="0.25"/>
    <row r="257259" customFormat="1" x14ac:dyDescent="0.25"/>
    <row r="257260" customFormat="1" x14ac:dyDescent="0.25"/>
    <row r="257261" customFormat="1" x14ac:dyDescent="0.25"/>
    <row r="257262" customFormat="1" x14ac:dyDescent="0.25"/>
    <row r="257263" customFormat="1" x14ac:dyDescent="0.25"/>
    <row r="257264" customFormat="1" x14ac:dyDescent="0.25"/>
    <row r="257265" customFormat="1" x14ac:dyDescent="0.25"/>
    <row r="257266" customFormat="1" x14ac:dyDescent="0.25"/>
    <row r="257267" customFormat="1" x14ac:dyDescent="0.25"/>
    <row r="257268" customFormat="1" x14ac:dyDescent="0.25"/>
    <row r="257269" customFormat="1" x14ac:dyDescent="0.25"/>
    <row r="257270" customFormat="1" x14ac:dyDescent="0.25"/>
    <row r="257271" customFormat="1" x14ac:dyDescent="0.25"/>
    <row r="257272" customFormat="1" x14ac:dyDescent="0.25"/>
    <row r="257273" customFormat="1" x14ac:dyDescent="0.25"/>
    <row r="257274" customFormat="1" x14ac:dyDescent="0.25"/>
    <row r="257275" customFormat="1" x14ac:dyDescent="0.25"/>
    <row r="257276" customFormat="1" x14ac:dyDescent="0.25"/>
    <row r="257277" customFormat="1" x14ac:dyDescent="0.25"/>
    <row r="257278" customFormat="1" x14ac:dyDescent="0.25"/>
    <row r="257279" customFormat="1" x14ac:dyDescent="0.25"/>
    <row r="257280" customFormat="1" x14ac:dyDescent="0.25"/>
    <row r="257281" customFormat="1" x14ac:dyDescent="0.25"/>
    <row r="257282" customFormat="1" x14ac:dyDescent="0.25"/>
    <row r="257283" customFormat="1" x14ac:dyDescent="0.25"/>
    <row r="257284" customFormat="1" x14ac:dyDescent="0.25"/>
    <row r="257285" customFormat="1" x14ac:dyDescent="0.25"/>
    <row r="257286" customFormat="1" x14ac:dyDescent="0.25"/>
    <row r="257287" customFormat="1" x14ac:dyDescent="0.25"/>
    <row r="257288" customFormat="1" x14ac:dyDescent="0.25"/>
    <row r="257289" customFormat="1" x14ac:dyDescent="0.25"/>
    <row r="257290" customFormat="1" x14ac:dyDescent="0.25"/>
    <row r="257291" customFormat="1" x14ac:dyDescent="0.25"/>
    <row r="257292" customFormat="1" x14ac:dyDescent="0.25"/>
    <row r="257293" customFormat="1" x14ac:dyDescent="0.25"/>
    <row r="257294" customFormat="1" x14ac:dyDescent="0.25"/>
    <row r="257295" customFormat="1" x14ac:dyDescent="0.25"/>
    <row r="257296" customFormat="1" x14ac:dyDescent="0.25"/>
    <row r="257297" customFormat="1" x14ac:dyDescent="0.25"/>
    <row r="257298" customFormat="1" x14ac:dyDescent="0.25"/>
    <row r="257299" customFormat="1" x14ac:dyDescent="0.25"/>
    <row r="257300" customFormat="1" x14ac:dyDescent="0.25"/>
    <row r="257301" customFormat="1" x14ac:dyDescent="0.25"/>
    <row r="257302" customFormat="1" x14ac:dyDescent="0.25"/>
    <row r="257303" customFormat="1" x14ac:dyDescent="0.25"/>
    <row r="257304" customFormat="1" x14ac:dyDescent="0.25"/>
    <row r="257305" customFormat="1" x14ac:dyDescent="0.25"/>
    <row r="257306" customFormat="1" x14ac:dyDescent="0.25"/>
    <row r="257307" customFormat="1" x14ac:dyDescent="0.25"/>
    <row r="257308" customFormat="1" x14ac:dyDescent="0.25"/>
    <row r="257309" customFormat="1" x14ac:dyDescent="0.25"/>
    <row r="257310" customFormat="1" x14ac:dyDescent="0.25"/>
    <row r="257311" customFormat="1" x14ac:dyDescent="0.25"/>
    <row r="257312" customFormat="1" x14ac:dyDescent="0.25"/>
    <row r="257313" customFormat="1" x14ac:dyDescent="0.25"/>
    <row r="257314" customFormat="1" x14ac:dyDescent="0.25"/>
    <row r="257315" customFormat="1" x14ac:dyDescent="0.25"/>
    <row r="257316" customFormat="1" x14ac:dyDescent="0.25"/>
    <row r="257317" customFormat="1" x14ac:dyDescent="0.25"/>
    <row r="257318" customFormat="1" x14ac:dyDescent="0.25"/>
    <row r="257319" customFormat="1" x14ac:dyDescent="0.25"/>
    <row r="257320" customFormat="1" x14ac:dyDescent="0.25"/>
    <row r="257321" customFormat="1" x14ac:dyDescent="0.25"/>
    <row r="257322" customFormat="1" x14ac:dyDescent="0.25"/>
    <row r="257323" customFormat="1" x14ac:dyDescent="0.25"/>
    <row r="257324" customFormat="1" x14ac:dyDescent="0.25"/>
    <row r="257325" customFormat="1" x14ac:dyDescent="0.25"/>
    <row r="257326" customFormat="1" x14ac:dyDescent="0.25"/>
    <row r="257327" customFormat="1" x14ac:dyDescent="0.25"/>
    <row r="257328" customFormat="1" x14ac:dyDescent="0.25"/>
    <row r="257329" customFormat="1" x14ac:dyDescent="0.25"/>
    <row r="257330" customFormat="1" x14ac:dyDescent="0.25"/>
    <row r="257331" customFormat="1" x14ac:dyDescent="0.25"/>
    <row r="257332" customFormat="1" x14ac:dyDescent="0.25"/>
    <row r="257333" customFormat="1" x14ac:dyDescent="0.25"/>
    <row r="257334" customFormat="1" x14ac:dyDescent="0.25"/>
    <row r="257335" customFormat="1" x14ac:dyDescent="0.25"/>
    <row r="257336" customFormat="1" x14ac:dyDescent="0.25"/>
    <row r="257337" customFormat="1" x14ac:dyDescent="0.25"/>
    <row r="257338" customFormat="1" x14ac:dyDescent="0.25"/>
    <row r="257339" customFormat="1" x14ac:dyDescent="0.25"/>
    <row r="257340" customFormat="1" x14ac:dyDescent="0.25"/>
    <row r="257341" customFormat="1" x14ac:dyDescent="0.25"/>
    <row r="257342" customFormat="1" x14ac:dyDescent="0.25"/>
    <row r="257343" customFormat="1" x14ac:dyDescent="0.25"/>
    <row r="257344" customFormat="1" x14ac:dyDescent="0.25"/>
    <row r="257345" customFormat="1" x14ac:dyDescent="0.25"/>
    <row r="257346" customFormat="1" x14ac:dyDescent="0.25"/>
    <row r="257347" customFormat="1" x14ac:dyDescent="0.25"/>
    <row r="257348" customFormat="1" x14ac:dyDescent="0.25"/>
    <row r="257349" customFormat="1" x14ac:dyDescent="0.25"/>
    <row r="257350" customFormat="1" x14ac:dyDescent="0.25"/>
    <row r="257351" customFormat="1" x14ac:dyDescent="0.25"/>
    <row r="257352" customFormat="1" x14ac:dyDescent="0.25"/>
    <row r="257353" customFormat="1" x14ac:dyDescent="0.25"/>
    <row r="257354" customFormat="1" x14ac:dyDescent="0.25"/>
    <row r="257355" customFormat="1" x14ac:dyDescent="0.25"/>
    <row r="257356" customFormat="1" x14ac:dyDescent="0.25"/>
    <row r="257357" customFormat="1" x14ac:dyDescent="0.25"/>
    <row r="257358" customFormat="1" x14ac:dyDescent="0.25"/>
    <row r="257359" customFormat="1" x14ac:dyDescent="0.25"/>
    <row r="257360" customFormat="1" x14ac:dyDescent="0.25"/>
    <row r="257361" customFormat="1" x14ac:dyDescent="0.25"/>
    <row r="257362" customFormat="1" x14ac:dyDescent="0.25"/>
    <row r="257363" customFormat="1" x14ac:dyDescent="0.25"/>
    <row r="257364" customFormat="1" x14ac:dyDescent="0.25"/>
    <row r="257365" customFormat="1" x14ac:dyDescent="0.25"/>
    <row r="257366" customFormat="1" x14ac:dyDescent="0.25"/>
    <row r="257367" customFormat="1" x14ac:dyDescent="0.25"/>
    <row r="257368" customFormat="1" x14ac:dyDescent="0.25"/>
    <row r="257369" customFormat="1" x14ac:dyDescent="0.25"/>
    <row r="257370" customFormat="1" x14ac:dyDescent="0.25"/>
    <row r="257371" customFormat="1" x14ac:dyDescent="0.25"/>
    <row r="257372" customFormat="1" x14ac:dyDescent="0.25"/>
    <row r="257373" customFormat="1" x14ac:dyDescent="0.25"/>
    <row r="257374" customFormat="1" x14ac:dyDescent="0.25"/>
    <row r="257375" customFormat="1" x14ac:dyDescent="0.25"/>
    <row r="257376" customFormat="1" x14ac:dyDescent="0.25"/>
    <row r="257377" customFormat="1" x14ac:dyDescent="0.25"/>
    <row r="257378" customFormat="1" x14ac:dyDescent="0.25"/>
    <row r="257379" customFormat="1" x14ac:dyDescent="0.25"/>
    <row r="257380" customFormat="1" x14ac:dyDescent="0.25"/>
    <row r="257381" customFormat="1" x14ac:dyDescent="0.25"/>
    <row r="257382" customFormat="1" x14ac:dyDescent="0.25"/>
    <row r="257383" customFormat="1" x14ac:dyDescent="0.25"/>
    <row r="257384" customFormat="1" x14ac:dyDescent="0.25"/>
    <row r="257385" customFormat="1" x14ac:dyDescent="0.25"/>
    <row r="257386" customFormat="1" x14ac:dyDescent="0.25"/>
    <row r="257387" customFormat="1" x14ac:dyDescent="0.25"/>
    <row r="257388" customFormat="1" x14ac:dyDescent="0.25"/>
    <row r="257389" customFormat="1" x14ac:dyDescent="0.25"/>
    <row r="257390" customFormat="1" x14ac:dyDescent="0.25"/>
    <row r="257391" customFormat="1" x14ac:dyDescent="0.25"/>
    <row r="257392" customFormat="1" x14ac:dyDescent="0.25"/>
    <row r="257393" customFormat="1" x14ac:dyDescent="0.25"/>
    <row r="257394" customFormat="1" x14ac:dyDescent="0.25"/>
    <row r="257395" customFormat="1" x14ac:dyDescent="0.25"/>
    <row r="257396" customFormat="1" x14ac:dyDescent="0.25"/>
    <row r="257397" customFormat="1" x14ac:dyDescent="0.25"/>
    <row r="257398" customFormat="1" x14ac:dyDescent="0.25"/>
    <row r="257399" customFormat="1" x14ac:dyDescent="0.25"/>
    <row r="257400" customFormat="1" x14ac:dyDescent="0.25"/>
    <row r="257401" customFormat="1" x14ac:dyDescent="0.25"/>
    <row r="257402" customFormat="1" x14ac:dyDescent="0.25"/>
    <row r="257403" customFormat="1" x14ac:dyDescent="0.25"/>
    <row r="257404" customFormat="1" x14ac:dyDescent="0.25"/>
    <row r="257405" customFormat="1" x14ac:dyDescent="0.25"/>
    <row r="257406" customFormat="1" x14ac:dyDescent="0.25"/>
    <row r="257407" customFormat="1" x14ac:dyDescent="0.25"/>
    <row r="257408" customFormat="1" x14ac:dyDescent="0.25"/>
    <row r="257409" customFormat="1" x14ac:dyDescent="0.25"/>
    <row r="257410" customFormat="1" x14ac:dyDescent="0.25"/>
    <row r="257411" customFormat="1" x14ac:dyDescent="0.25"/>
    <row r="257412" customFormat="1" x14ac:dyDescent="0.25"/>
    <row r="257413" customFormat="1" x14ac:dyDescent="0.25"/>
    <row r="257414" customFormat="1" x14ac:dyDescent="0.25"/>
    <row r="257415" customFormat="1" x14ac:dyDescent="0.25"/>
    <row r="257416" customFormat="1" x14ac:dyDescent="0.25"/>
    <row r="257417" customFormat="1" x14ac:dyDescent="0.25"/>
    <row r="257418" customFormat="1" x14ac:dyDescent="0.25"/>
    <row r="257419" customFormat="1" x14ac:dyDescent="0.25"/>
    <row r="257420" customFormat="1" x14ac:dyDescent="0.25"/>
    <row r="257421" customFormat="1" x14ac:dyDescent="0.25"/>
    <row r="257422" customFormat="1" x14ac:dyDescent="0.25"/>
    <row r="257423" customFormat="1" x14ac:dyDescent="0.25"/>
    <row r="257424" customFormat="1" x14ac:dyDescent="0.25"/>
    <row r="257425" customFormat="1" x14ac:dyDescent="0.25"/>
    <row r="257426" customFormat="1" x14ac:dyDescent="0.25"/>
    <row r="257427" customFormat="1" x14ac:dyDescent="0.25"/>
    <row r="257428" customFormat="1" x14ac:dyDescent="0.25"/>
    <row r="257429" customFormat="1" x14ac:dyDescent="0.25"/>
    <row r="257430" customFormat="1" x14ac:dyDescent="0.25"/>
    <row r="257431" customFormat="1" x14ac:dyDescent="0.25"/>
    <row r="257432" customFormat="1" x14ac:dyDescent="0.25"/>
    <row r="257433" customFormat="1" x14ac:dyDescent="0.25"/>
    <row r="257434" customFormat="1" x14ac:dyDescent="0.25"/>
    <row r="257435" customFormat="1" x14ac:dyDescent="0.25"/>
    <row r="257436" customFormat="1" x14ac:dyDescent="0.25"/>
    <row r="257437" customFormat="1" x14ac:dyDescent="0.25"/>
    <row r="257438" customFormat="1" x14ac:dyDescent="0.25"/>
    <row r="257439" customFormat="1" x14ac:dyDescent="0.25"/>
    <row r="257440" customFormat="1" x14ac:dyDescent="0.25"/>
    <row r="257441" customFormat="1" x14ac:dyDescent="0.25"/>
    <row r="257442" customFormat="1" x14ac:dyDescent="0.25"/>
    <row r="257443" customFormat="1" x14ac:dyDescent="0.25"/>
    <row r="257444" customFormat="1" x14ac:dyDescent="0.25"/>
    <row r="257445" customFormat="1" x14ac:dyDescent="0.25"/>
    <row r="257446" customFormat="1" x14ac:dyDescent="0.25"/>
    <row r="257447" customFormat="1" x14ac:dyDescent="0.25"/>
    <row r="257448" customFormat="1" x14ac:dyDescent="0.25"/>
    <row r="257449" customFormat="1" x14ac:dyDescent="0.25"/>
    <row r="257450" customFormat="1" x14ac:dyDescent="0.25"/>
    <row r="257451" customFormat="1" x14ac:dyDescent="0.25"/>
    <row r="257452" customFormat="1" x14ac:dyDescent="0.25"/>
    <row r="257453" customFormat="1" x14ac:dyDescent="0.25"/>
    <row r="257454" customFormat="1" x14ac:dyDescent="0.25"/>
    <row r="257455" customFormat="1" x14ac:dyDescent="0.25"/>
    <row r="257456" customFormat="1" x14ac:dyDescent="0.25"/>
    <row r="257457" customFormat="1" x14ac:dyDescent="0.25"/>
    <row r="257458" customFormat="1" x14ac:dyDescent="0.25"/>
    <row r="257459" customFormat="1" x14ac:dyDescent="0.25"/>
    <row r="257460" customFormat="1" x14ac:dyDescent="0.25"/>
    <row r="257461" customFormat="1" x14ac:dyDescent="0.25"/>
    <row r="257462" customFormat="1" x14ac:dyDescent="0.25"/>
    <row r="257463" customFormat="1" x14ac:dyDescent="0.25"/>
    <row r="257464" customFormat="1" x14ac:dyDescent="0.25"/>
    <row r="257465" customFormat="1" x14ac:dyDescent="0.25"/>
    <row r="257466" customFormat="1" x14ac:dyDescent="0.25"/>
    <row r="257467" customFormat="1" x14ac:dyDescent="0.25"/>
    <row r="257468" customFormat="1" x14ac:dyDescent="0.25"/>
    <row r="257469" customFormat="1" x14ac:dyDescent="0.25"/>
    <row r="257470" customFormat="1" x14ac:dyDescent="0.25"/>
    <row r="257471" customFormat="1" x14ac:dyDescent="0.25"/>
    <row r="257472" customFormat="1" x14ac:dyDescent="0.25"/>
    <row r="257473" customFormat="1" x14ac:dyDescent="0.25"/>
    <row r="257474" customFormat="1" x14ac:dyDescent="0.25"/>
    <row r="257475" customFormat="1" x14ac:dyDescent="0.25"/>
    <row r="257476" customFormat="1" x14ac:dyDescent="0.25"/>
    <row r="257477" customFormat="1" x14ac:dyDescent="0.25"/>
    <row r="257478" customFormat="1" x14ac:dyDescent="0.25"/>
    <row r="257479" customFormat="1" x14ac:dyDescent="0.25"/>
    <row r="257480" customFormat="1" x14ac:dyDescent="0.25"/>
    <row r="257481" customFormat="1" x14ac:dyDescent="0.25"/>
    <row r="257482" customFormat="1" x14ac:dyDescent="0.25"/>
    <row r="257483" customFormat="1" x14ac:dyDescent="0.25"/>
    <row r="257484" customFormat="1" x14ac:dyDescent="0.25"/>
    <row r="257485" customFormat="1" x14ac:dyDescent="0.25"/>
    <row r="257486" customFormat="1" x14ac:dyDescent="0.25"/>
    <row r="257487" customFormat="1" x14ac:dyDescent="0.25"/>
    <row r="257488" customFormat="1" x14ac:dyDescent="0.25"/>
    <row r="257489" customFormat="1" x14ac:dyDescent="0.25"/>
    <row r="257490" customFormat="1" x14ac:dyDescent="0.25"/>
    <row r="257491" customFormat="1" x14ac:dyDescent="0.25"/>
    <row r="257492" customFormat="1" x14ac:dyDescent="0.25"/>
    <row r="257493" customFormat="1" x14ac:dyDescent="0.25"/>
    <row r="257494" customFormat="1" x14ac:dyDescent="0.25"/>
    <row r="257495" customFormat="1" x14ac:dyDescent="0.25"/>
    <row r="257496" customFormat="1" x14ac:dyDescent="0.25"/>
    <row r="257497" customFormat="1" x14ac:dyDescent="0.25"/>
    <row r="257498" customFormat="1" x14ac:dyDescent="0.25"/>
    <row r="257499" customFormat="1" x14ac:dyDescent="0.25"/>
    <row r="257500" customFormat="1" x14ac:dyDescent="0.25"/>
    <row r="257501" customFormat="1" x14ac:dyDescent="0.25"/>
    <row r="257502" customFormat="1" x14ac:dyDescent="0.25"/>
    <row r="257503" customFormat="1" x14ac:dyDescent="0.25"/>
    <row r="257504" customFormat="1" x14ac:dyDescent="0.25"/>
    <row r="257505" customFormat="1" x14ac:dyDescent="0.25"/>
    <row r="257506" customFormat="1" x14ac:dyDescent="0.25"/>
    <row r="257507" customFormat="1" x14ac:dyDescent="0.25"/>
    <row r="257508" customFormat="1" x14ac:dyDescent="0.25"/>
    <row r="257509" customFormat="1" x14ac:dyDescent="0.25"/>
    <row r="257510" customFormat="1" x14ac:dyDescent="0.25"/>
    <row r="257511" customFormat="1" x14ac:dyDescent="0.25"/>
    <row r="257512" customFormat="1" x14ac:dyDescent="0.25"/>
    <row r="257513" customFormat="1" x14ac:dyDescent="0.25"/>
    <row r="257514" customFormat="1" x14ac:dyDescent="0.25"/>
    <row r="257515" customFormat="1" x14ac:dyDescent="0.25"/>
    <row r="257516" customFormat="1" x14ac:dyDescent="0.25"/>
    <row r="257517" customFormat="1" x14ac:dyDescent="0.25"/>
    <row r="257518" customFormat="1" x14ac:dyDescent="0.25"/>
    <row r="257519" customFormat="1" x14ac:dyDescent="0.25"/>
    <row r="257520" customFormat="1" x14ac:dyDescent="0.25"/>
    <row r="257521" customFormat="1" x14ac:dyDescent="0.25"/>
    <row r="257522" customFormat="1" x14ac:dyDescent="0.25"/>
    <row r="257523" customFormat="1" x14ac:dyDescent="0.25"/>
    <row r="257524" customFormat="1" x14ac:dyDescent="0.25"/>
    <row r="257525" customFormat="1" x14ac:dyDescent="0.25"/>
    <row r="257526" customFormat="1" x14ac:dyDescent="0.25"/>
    <row r="257527" customFormat="1" x14ac:dyDescent="0.25"/>
    <row r="257528" customFormat="1" x14ac:dyDescent="0.25"/>
    <row r="257529" customFormat="1" x14ac:dyDescent="0.25"/>
    <row r="257530" customFormat="1" x14ac:dyDescent="0.25"/>
    <row r="257531" customFormat="1" x14ac:dyDescent="0.25"/>
    <row r="257532" customFormat="1" x14ac:dyDescent="0.25"/>
    <row r="257533" customFormat="1" x14ac:dyDescent="0.25"/>
    <row r="257534" customFormat="1" x14ac:dyDescent="0.25"/>
    <row r="257535" customFormat="1" x14ac:dyDescent="0.25"/>
    <row r="257536" customFormat="1" x14ac:dyDescent="0.25"/>
    <row r="257537" customFormat="1" x14ac:dyDescent="0.25"/>
    <row r="257538" customFormat="1" x14ac:dyDescent="0.25"/>
    <row r="257539" customFormat="1" x14ac:dyDescent="0.25"/>
    <row r="257540" customFormat="1" x14ac:dyDescent="0.25"/>
    <row r="257541" customFormat="1" x14ac:dyDescent="0.25"/>
    <row r="257542" customFormat="1" x14ac:dyDescent="0.25"/>
    <row r="257543" customFormat="1" x14ac:dyDescent="0.25"/>
    <row r="257544" customFormat="1" x14ac:dyDescent="0.25"/>
    <row r="257545" customFormat="1" x14ac:dyDescent="0.25"/>
    <row r="257546" customFormat="1" x14ac:dyDescent="0.25"/>
    <row r="257547" customFormat="1" x14ac:dyDescent="0.25"/>
    <row r="257548" customFormat="1" x14ac:dyDescent="0.25"/>
    <row r="257549" customFormat="1" x14ac:dyDescent="0.25"/>
    <row r="257550" customFormat="1" x14ac:dyDescent="0.25"/>
    <row r="257551" customFormat="1" x14ac:dyDescent="0.25"/>
    <row r="257552" customFormat="1" x14ac:dyDescent="0.25"/>
    <row r="257553" customFormat="1" x14ac:dyDescent="0.25"/>
    <row r="257554" customFormat="1" x14ac:dyDescent="0.25"/>
    <row r="257555" customFormat="1" x14ac:dyDescent="0.25"/>
    <row r="257556" customFormat="1" x14ac:dyDescent="0.25"/>
    <row r="257557" customFormat="1" x14ac:dyDescent="0.25"/>
    <row r="257558" customFormat="1" x14ac:dyDescent="0.25"/>
    <row r="257559" customFormat="1" x14ac:dyDescent="0.25"/>
    <row r="257560" customFormat="1" x14ac:dyDescent="0.25"/>
    <row r="257561" customFormat="1" x14ac:dyDescent="0.25"/>
    <row r="257562" customFormat="1" x14ac:dyDescent="0.25"/>
    <row r="257563" customFormat="1" x14ac:dyDescent="0.25"/>
    <row r="257564" customFormat="1" x14ac:dyDescent="0.25"/>
    <row r="257565" customFormat="1" x14ac:dyDescent="0.25"/>
    <row r="257566" customFormat="1" x14ac:dyDescent="0.25"/>
    <row r="257567" customFormat="1" x14ac:dyDescent="0.25"/>
    <row r="257568" customFormat="1" x14ac:dyDescent="0.25"/>
    <row r="257569" customFormat="1" x14ac:dyDescent="0.25"/>
    <row r="257570" customFormat="1" x14ac:dyDescent="0.25"/>
    <row r="257571" customFormat="1" x14ac:dyDescent="0.25"/>
    <row r="257572" customFormat="1" x14ac:dyDescent="0.25"/>
    <row r="257573" customFormat="1" x14ac:dyDescent="0.25"/>
    <row r="257574" customFormat="1" x14ac:dyDescent="0.25"/>
    <row r="257575" customFormat="1" x14ac:dyDescent="0.25"/>
    <row r="257576" customFormat="1" x14ac:dyDescent="0.25"/>
    <row r="257577" customFormat="1" x14ac:dyDescent="0.25"/>
    <row r="257578" customFormat="1" x14ac:dyDescent="0.25"/>
    <row r="257579" customFormat="1" x14ac:dyDescent="0.25"/>
    <row r="257580" customFormat="1" x14ac:dyDescent="0.25"/>
    <row r="257581" customFormat="1" x14ac:dyDescent="0.25"/>
    <row r="257582" customFormat="1" x14ac:dyDescent="0.25"/>
    <row r="257583" customFormat="1" x14ac:dyDescent="0.25"/>
    <row r="257584" customFormat="1" x14ac:dyDescent="0.25"/>
    <row r="257585" customFormat="1" x14ac:dyDescent="0.25"/>
    <row r="257586" customFormat="1" x14ac:dyDescent="0.25"/>
    <row r="257587" customFormat="1" x14ac:dyDescent="0.25"/>
    <row r="257588" customFormat="1" x14ac:dyDescent="0.25"/>
    <row r="257589" customFormat="1" x14ac:dyDescent="0.25"/>
    <row r="257590" customFormat="1" x14ac:dyDescent="0.25"/>
    <row r="257591" customFormat="1" x14ac:dyDescent="0.25"/>
    <row r="257592" customFormat="1" x14ac:dyDescent="0.25"/>
    <row r="257593" customFormat="1" x14ac:dyDescent="0.25"/>
    <row r="257594" customFormat="1" x14ac:dyDescent="0.25"/>
    <row r="257595" customFormat="1" x14ac:dyDescent="0.25"/>
    <row r="257596" customFormat="1" x14ac:dyDescent="0.25"/>
    <row r="257597" customFormat="1" x14ac:dyDescent="0.25"/>
    <row r="257598" customFormat="1" x14ac:dyDescent="0.25"/>
    <row r="257599" customFormat="1" x14ac:dyDescent="0.25"/>
    <row r="257600" customFormat="1" x14ac:dyDescent="0.25"/>
    <row r="257601" customFormat="1" x14ac:dyDescent="0.25"/>
    <row r="257602" customFormat="1" x14ac:dyDescent="0.25"/>
    <row r="257603" customFormat="1" x14ac:dyDescent="0.25"/>
    <row r="257604" customFormat="1" x14ac:dyDescent="0.25"/>
    <row r="257605" customFormat="1" x14ac:dyDescent="0.25"/>
    <row r="257606" customFormat="1" x14ac:dyDescent="0.25"/>
    <row r="257607" customFormat="1" x14ac:dyDescent="0.25"/>
    <row r="257608" customFormat="1" x14ac:dyDescent="0.25"/>
    <row r="257609" customFormat="1" x14ac:dyDescent="0.25"/>
    <row r="257610" customFormat="1" x14ac:dyDescent="0.25"/>
    <row r="257611" customFormat="1" x14ac:dyDescent="0.25"/>
    <row r="257612" customFormat="1" x14ac:dyDescent="0.25"/>
    <row r="257613" customFormat="1" x14ac:dyDescent="0.25"/>
    <row r="257614" customFormat="1" x14ac:dyDescent="0.25"/>
    <row r="257615" customFormat="1" x14ac:dyDescent="0.25"/>
    <row r="257616" customFormat="1" x14ac:dyDescent="0.25"/>
    <row r="257617" customFormat="1" x14ac:dyDescent="0.25"/>
    <row r="257618" customFormat="1" x14ac:dyDescent="0.25"/>
    <row r="257619" customFormat="1" x14ac:dyDescent="0.25"/>
    <row r="257620" customFormat="1" x14ac:dyDescent="0.25"/>
    <row r="257621" customFormat="1" x14ac:dyDescent="0.25"/>
    <row r="257622" customFormat="1" x14ac:dyDescent="0.25"/>
    <row r="257623" customFormat="1" x14ac:dyDescent="0.25"/>
    <row r="257624" customFormat="1" x14ac:dyDescent="0.25"/>
    <row r="257625" customFormat="1" x14ac:dyDescent="0.25"/>
    <row r="257626" customFormat="1" x14ac:dyDescent="0.25"/>
    <row r="257627" customFormat="1" x14ac:dyDescent="0.25"/>
    <row r="257628" customFormat="1" x14ac:dyDescent="0.25"/>
    <row r="257629" customFormat="1" x14ac:dyDescent="0.25"/>
    <row r="257630" customFormat="1" x14ac:dyDescent="0.25"/>
    <row r="257631" customFormat="1" x14ac:dyDescent="0.25"/>
    <row r="257632" customFormat="1" x14ac:dyDescent="0.25"/>
    <row r="257633" customFormat="1" x14ac:dyDescent="0.25"/>
    <row r="257634" customFormat="1" x14ac:dyDescent="0.25"/>
    <row r="257635" customFormat="1" x14ac:dyDescent="0.25"/>
    <row r="257636" customFormat="1" x14ac:dyDescent="0.25"/>
    <row r="257637" customFormat="1" x14ac:dyDescent="0.25"/>
    <row r="257638" customFormat="1" x14ac:dyDescent="0.25"/>
    <row r="257639" customFormat="1" x14ac:dyDescent="0.25"/>
    <row r="257640" customFormat="1" x14ac:dyDescent="0.25"/>
    <row r="257641" customFormat="1" x14ac:dyDescent="0.25"/>
    <row r="257642" customFormat="1" x14ac:dyDescent="0.25"/>
    <row r="257643" customFormat="1" x14ac:dyDescent="0.25"/>
    <row r="257644" customFormat="1" x14ac:dyDescent="0.25"/>
    <row r="257645" customFormat="1" x14ac:dyDescent="0.25"/>
    <row r="257646" customFormat="1" x14ac:dyDescent="0.25"/>
    <row r="257647" customFormat="1" x14ac:dyDescent="0.25"/>
    <row r="257648" customFormat="1" x14ac:dyDescent="0.25"/>
    <row r="257649" customFormat="1" x14ac:dyDescent="0.25"/>
    <row r="257650" customFormat="1" x14ac:dyDescent="0.25"/>
    <row r="257651" customFormat="1" x14ac:dyDescent="0.25"/>
    <row r="257652" customFormat="1" x14ac:dyDescent="0.25"/>
    <row r="257653" customFormat="1" x14ac:dyDescent="0.25"/>
    <row r="257654" customFormat="1" x14ac:dyDescent="0.25"/>
    <row r="257655" customFormat="1" x14ac:dyDescent="0.25"/>
    <row r="257656" customFormat="1" x14ac:dyDescent="0.25"/>
    <row r="257657" customFormat="1" x14ac:dyDescent="0.25"/>
    <row r="257658" customFormat="1" x14ac:dyDescent="0.25"/>
    <row r="257659" customFormat="1" x14ac:dyDescent="0.25"/>
    <row r="257660" customFormat="1" x14ac:dyDescent="0.25"/>
    <row r="257661" customFormat="1" x14ac:dyDescent="0.25"/>
    <row r="257662" customFormat="1" x14ac:dyDescent="0.25"/>
    <row r="257663" customFormat="1" x14ac:dyDescent="0.25"/>
    <row r="257664" customFormat="1" x14ac:dyDescent="0.25"/>
    <row r="257665" customFormat="1" x14ac:dyDescent="0.25"/>
    <row r="257666" customFormat="1" x14ac:dyDescent="0.25"/>
    <row r="257667" customFormat="1" x14ac:dyDescent="0.25"/>
    <row r="257668" customFormat="1" x14ac:dyDescent="0.25"/>
    <row r="257669" customFormat="1" x14ac:dyDescent="0.25"/>
    <row r="257670" customFormat="1" x14ac:dyDescent="0.25"/>
    <row r="257671" customFormat="1" x14ac:dyDescent="0.25"/>
    <row r="257672" customFormat="1" x14ac:dyDescent="0.25"/>
    <row r="257673" customFormat="1" x14ac:dyDescent="0.25"/>
    <row r="257674" customFormat="1" x14ac:dyDescent="0.25"/>
    <row r="257675" customFormat="1" x14ac:dyDescent="0.25"/>
    <row r="257676" customFormat="1" x14ac:dyDescent="0.25"/>
    <row r="257677" customFormat="1" x14ac:dyDescent="0.25"/>
    <row r="257678" customFormat="1" x14ac:dyDescent="0.25"/>
    <row r="257679" customFormat="1" x14ac:dyDescent="0.25"/>
    <row r="257680" customFormat="1" x14ac:dyDescent="0.25"/>
    <row r="257681" customFormat="1" x14ac:dyDescent="0.25"/>
    <row r="257682" customFormat="1" x14ac:dyDescent="0.25"/>
    <row r="257683" customFormat="1" x14ac:dyDescent="0.25"/>
    <row r="257684" customFormat="1" x14ac:dyDescent="0.25"/>
    <row r="257685" customFormat="1" x14ac:dyDescent="0.25"/>
    <row r="257686" customFormat="1" x14ac:dyDescent="0.25"/>
    <row r="257687" customFormat="1" x14ac:dyDescent="0.25"/>
    <row r="257688" customFormat="1" x14ac:dyDescent="0.25"/>
    <row r="257689" customFormat="1" x14ac:dyDescent="0.25"/>
    <row r="257690" customFormat="1" x14ac:dyDescent="0.25"/>
    <row r="257691" customFormat="1" x14ac:dyDescent="0.25"/>
    <row r="257692" customFormat="1" x14ac:dyDescent="0.25"/>
    <row r="257693" customFormat="1" x14ac:dyDescent="0.25"/>
    <row r="257694" customFormat="1" x14ac:dyDescent="0.25"/>
    <row r="257695" customFormat="1" x14ac:dyDescent="0.25"/>
    <row r="257696" customFormat="1" x14ac:dyDescent="0.25"/>
    <row r="257697" customFormat="1" x14ac:dyDescent="0.25"/>
    <row r="257698" customFormat="1" x14ac:dyDescent="0.25"/>
    <row r="257699" customFormat="1" x14ac:dyDescent="0.25"/>
    <row r="257700" customFormat="1" x14ac:dyDescent="0.25"/>
    <row r="257701" customFormat="1" x14ac:dyDescent="0.25"/>
    <row r="257702" customFormat="1" x14ac:dyDescent="0.25"/>
    <row r="257703" customFormat="1" x14ac:dyDescent="0.25"/>
    <row r="257704" customFormat="1" x14ac:dyDescent="0.25"/>
    <row r="257705" customFormat="1" x14ac:dyDescent="0.25"/>
    <row r="257706" customFormat="1" x14ac:dyDescent="0.25"/>
    <row r="257707" customFormat="1" x14ac:dyDescent="0.25"/>
    <row r="257708" customFormat="1" x14ac:dyDescent="0.25"/>
    <row r="257709" customFormat="1" x14ac:dyDescent="0.25"/>
    <row r="257710" customFormat="1" x14ac:dyDescent="0.25"/>
    <row r="257711" customFormat="1" x14ac:dyDescent="0.25"/>
    <row r="257712" customFormat="1" x14ac:dyDescent="0.25"/>
    <row r="257713" customFormat="1" x14ac:dyDescent="0.25"/>
    <row r="257714" customFormat="1" x14ac:dyDescent="0.25"/>
    <row r="257715" customFormat="1" x14ac:dyDescent="0.25"/>
    <row r="257716" customFormat="1" x14ac:dyDescent="0.25"/>
    <row r="257717" customFormat="1" x14ac:dyDescent="0.25"/>
    <row r="257718" customFormat="1" x14ac:dyDescent="0.25"/>
    <row r="257719" customFormat="1" x14ac:dyDescent="0.25"/>
    <row r="257720" customFormat="1" x14ac:dyDescent="0.25"/>
    <row r="257721" customFormat="1" x14ac:dyDescent="0.25"/>
    <row r="257722" customFormat="1" x14ac:dyDescent="0.25"/>
    <row r="257723" customFormat="1" x14ac:dyDescent="0.25"/>
    <row r="257724" customFormat="1" x14ac:dyDescent="0.25"/>
    <row r="257725" customFormat="1" x14ac:dyDescent="0.25"/>
    <row r="257726" customFormat="1" x14ac:dyDescent="0.25"/>
    <row r="257727" customFormat="1" x14ac:dyDescent="0.25"/>
    <row r="257728" customFormat="1" x14ac:dyDescent="0.25"/>
    <row r="257729" customFormat="1" x14ac:dyDescent="0.25"/>
    <row r="257730" customFormat="1" x14ac:dyDescent="0.25"/>
    <row r="257731" customFormat="1" x14ac:dyDescent="0.25"/>
    <row r="257732" customFormat="1" x14ac:dyDescent="0.25"/>
    <row r="257733" customFormat="1" x14ac:dyDescent="0.25"/>
    <row r="257734" customFormat="1" x14ac:dyDescent="0.25"/>
    <row r="257735" customFormat="1" x14ac:dyDescent="0.25"/>
    <row r="257736" customFormat="1" x14ac:dyDescent="0.25"/>
    <row r="257737" customFormat="1" x14ac:dyDescent="0.25"/>
    <row r="257738" customFormat="1" x14ac:dyDescent="0.25"/>
    <row r="257739" customFormat="1" x14ac:dyDescent="0.25"/>
    <row r="257740" customFormat="1" x14ac:dyDescent="0.25"/>
    <row r="257741" customFormat="1" x14ac:dyDescent="0.25"/>
    <row r="257742" customFormat="1" x14ac:dyDescent="0.25"/>
    <row r="257743" customFormat="1" x14ac:dyDescent="0.25"/>
    <row r="257744" customFormat="1" x14ac:dyDescent="0.25"/>
    <row r="257745" customFormat="1" x14ac:dyDescent="0.25"/>
    <row r="257746" customFormat="1" x14ac:dyDescent="0.25"/>
    <row r="257747" customFormat="1" x14ac:dyDescent="0.25"/>
    <row r="257748" customFormat="1" x14ac:dyDescent="0.25"/>
    <row r="257749" customFormat="1" x14ac:dyDescent="0.25"/>
    <row r="257750" customFormat="1" x14ac:dyDescent="0.25"/>
    <row r="257751" customFormat="1" x14ac:dyDescent="0.25"/>
    <row r="257752" customFormat="1" x14ac:dyDescent="0.25"/>
    <row r="257753" customFormat="1" x14ac:dyDescent="0.25"/>
    <row r="257754" customFormat="1" x14ac:dyDescent="0.25"/>
    <row r="257755" customFormat="1" x14ac:dyDescent="0.25"/>
    <row r="257756" customFormat="1" x14ac:dyDescent="0.25"/>
    <row r="257757" customFormat="1" x14ac:dyDescent="0.25"/>
    <row r="257758" customFormat="1" x14ac:dyDescent="0.25"/>
    <row r="257759" customFormat="1" x14ac:dyDescent="0.25"/>
    <row r="257760" customFormat="1" x14ac:dyDescent="0.25"/>
    <row r="257761" customFormat="1" x14ac:dyDescent="0.25"/>
    <row r="257762" customFormat="1" x14ac:dyDescent="0.25"/>
    <row r="257763" customFormat="1" x14ac:dyDescent="0.25"/>
    <row r="257764" customFormat="1" x14ac:dyDescent="0.25"/>
    <row r="257765" customFormat="1" x14ac:dyDescent="0.25"/>
    <row r="257766" customFormat="1" x14ac:dyDescent="0.25"/>
    <row r="257767" customFormat="1" x14ac:dyDescent="0.25"/>
    <row r="257768" customFormat="1" x14ac:dyDescent="0.25"/>
    <row r="257769" customFormat="1" x14ac:dyDescent="0.25"/>
    <row r="257770" customFormat="1" x14ac:dyDescent="0.25"/>
    <row r="257771" customFormat="1" x14ac:dyDescent="0.25"/>
    <row r="257772" customFormat="1" x14ac:dyDescent="0.25"/>
    <row r="257773" customFormat="1" x14ac:dyDescent="0.25"/>
    <row r="257774" customFormat="1" x14ac:dyDescent="0.25"/>
    <row r="257775" customFormat="1" x14ac:dyDescent="0.25"/>
    <row r="257776" customFormat="1" x14ac:dyDescent="0.25"/>
    <row r="257777" customFormat="1" x14ac:dyDescent="0.25"/>
    <row r="257778" customFormat="1" x14ac:dyDescent="0.25"/>
    <row r="257779" customFormat="1" x14ac:dyDescent="0.25"/>
    <row r="257780" customFormat="1" x14ac:dyDescent="0.25"/>
    <row r="257781" customFormat="1" x14ac:dyDescent="0.25"/>
    <row r="257782" customFormat="1" x14ac:dyDescent="0.25"/>
    <row r="257783" customFormat="1" x14ac:dyDescent="0.25"/>
    <row r="257784" customFormat="1" x14ac:dyDescent="0.25"/>
    <row r="257785" customFormat="1" x14ac:dyDescent="0.25"/>
    <row r="257786" customFormat="1" x14ac:dyDescent="0.25"/>
    <row r="257787" customFormat="1" x14ac:dyDescent="0.25"/>
    <row r="257788" customFormat="1" x14ac:dyDescent="0.25"/>
    <row r="257789" customFormat="1" x14ac:dyDescent="0.25"/>
    <row r="257790" customFormat="1" x14ac:dyDescent="0.25"/>
    <row r="257791" customFormat="1" x14ac:dyDescent="0.25"/>
    <row r="257792" customFormat="1" x14ac:dyDescent="0.25"/>
    <row r="257793" customFormat="1" x14ac:dyDescent="0.25"/>
    <row r="257794" customFormat="1" x14ac:dyDescent="0.25"/>
    <row r="257795" customFormat="1" x14ac:dyDescent="0.25"/>
    <row r="257796" customFormat="1" x14ac:dyDescent="0.25"/>
    <row r="257797" customFormat="1" x14ac:dyDescent="0.25"/>
    <row r="257798" customFormat="1" x14ac:dyDescent="0.25"/>
    <row r="257799" customFormat="1" x14ac:dyDescent="0.25"/>
    <row r="257800" customFormat="1" x14ac:dyDescent="0.25"/>
    <row r="257801" customFormat="1" x14ac:dyDescent="0.25"/>
    <row r="257802" customFormat="1" x14ac:dyDescent="0.25"/>
    <row r="257803" customFormat="1" x14ac:dyDescent="0.25"/>
    <row r="257804" customFormat="1" x14ac:dyDescent="0.25"/>
    <row r="257805" customFormat="1" x14ac:dyDescent="0.25"/>
    <row r="257806" customFormat="1" x14ac:dyDescent="0.25"/>
    <row r="257807" customFormat="1" x14ac:dyDescent="0.25"/>
    <row r="257808" customFormat="1" x14ac:dyDescent="0.25"/>
    <row r="257809" customFormat="1" x14ac:dyDescent="0.25"/>
    <row r="257810" customFormat="1" x14ac:dyDescent="0.25"/>
    <row r="257811" customFormat="1" x14ac:dyDescent="0.25"/>
    <row r="257812" customFormat="1" x14ac:dyDescent="0.25"/>
    <row r="257813" customFormat="1" x14ac:dyDescent="0.25"/>
    <row r="257814" customFormat="1" x14ac:dyDescent="0.25"/>
    <row r="257815" customFormat="1" x14ac:dyDescent="0.25"/>
    <row r="257816" customFormat="1" x14ac:dyDescent="0.25"/>
    <row r="257817" customFormat="1" x14ac:dyDescent="0.25"/>
    <row r="257818" customFormat="1" x14ac:dyDescent="0.25"/>
    <row r="257819" customFormat="1" x14ac:dyDescent="0.25"/>
    <row r="257820" customFormat="1" x14ac:dyDescent="0.25"/>
    <row r="257821" customFormat="1" x14ac:dyDescent="0.25"/>
    <row r="257822" customFormat="1" x14ac:dyDescent="0.25"/>
    <row r="257823" customFormat="1" x14ac:dyDescent="0.25"/>
    <row r="257824" customFormat="1" x14ac:dyDescent="0.25"/>
    <row r="257825" customFormat="1" x14ac:dyDescent="0.25"/>
    <row r="257826" customFormat="1" x14ac:dyDescent="0.25"/>
    <row r="257827" customFormat="1" x14ac:dyDescent="0.25"/>
    <row r="257828" customFormat="1" x14ac:dyDescent="0.25"/>
    <row r="257829" customFormat="1" x14ac:dyDescent="0.25"/>
    <row r="257830" customFormat="1" x14ac:dyDescent="0.25"/>
    <row r="257831" customFormat="1" x14ac:dyDescent="0.25"/>
    <row r="257832" customFormat="1" x14ac:dyDescent="0.25"/>
    <row r="257833" customFormat="1" x14ac:dyDescent="0.25"/>
    <row r="257834" customFormat="1" x14ac:dyDescent="0.25"/>
    <row r="257835" customFormat="1" x14ac:dyDescent="0.25"/>
    <row r="257836" customFormat="1" x14ac:dyDescent="0.25"/>
    <row r="257837" customFormat="1" x14ac:dyDescent="0.25"/>
    <row r="257838" customFormat="1" x14ac:dyDescent="0.25"/>
    <row r="257839" customFormat="1" x14ac:dyDescent="0.25"/>
    <row r="257840" customFormat="1" x14ac:dyDescent="0.25"/>
    <row r="257841" customFormat="1" x14ac:dyDescent="0.25"/>
    <row r="257842" customFormat="1" x14ac:dyDescent="0.25"/>
    <row r="257843" customFormat="1" x14ac:dyDescent="0.25"/>
    <row r="257844" customFormat="1" x14ac:dyDescent="0.25"/>
    <row r="257845" customFormat="1" x14ac:dyDescent="0.25"/>
    <row r="257846" customFormat="1" x14ac:dyDescent="0.25"/>
    <row r="257847" customFormat="1" x14ac:dyDescent="0.25"/>
    <row r="257848" customFormat="1" x14ac:dyDescent="0.25"/>
    <row r="257849" customFormat="1" x14ac:dyDescent="0.25"/>
    <row r="257850" customFormat="1" x14ac:dyDescent="0.25"/>
    <row r="257851" customFormat="1" x14ac:dyDescent="0.25"/>
    <row r="257852" customFormat="1" x14ac:dyDescent="0.25"/>
    <row r="257853" customFormat="1" x14ac:dyDescent="0.25"/>
    <row r="257854" customFormat="1" x14ac:dyDescent="0.25"/>
    <row r="257855" customFormat="1" x14ac:dyDescent="0.25"/>
    <row r="257856" customFormat="1" x14ac:dyDescent="0.25"/>
    <row r="257857" customFormat="1" x14ac:dyDescent="0.25"/>
    <row r="257858" customFormat="1" x14ac:dyDescent="0.25"/>
    <row r="257859" customFormat="1" x14ac:dyDescent="0.25"/>
    <row r="257860" customFormat="1" x14ac:dyDescent="0.25"/>
    <row r="257861" customFormat="1" x14ac:dyDescent="0.25"/>
    <row r="257862" customFormat="1" x14ac:dyDescent="0.25"/>
    <row r="257863" customFormat="1" x14ac:dyDescent="0.25"/>
    <row r="257864" customFormat="1" x14ac:dyDescent="0.25"/>
    <row r="257865" customFormat="1" x14ac:dyDescent="0.25"/>
    <row r="257866" customFormat="1" x14ac:dyDescent="0.25"/>
    <row r="257867" customFormat="1" x14ac:dyDescent="0.25"/>
    <row r="257868" customFormat="1" x14ac:dyDescent="0.25"/>
    <row r="257869" customFormat="1" x14ac:dyDescent="0.25"/>
    <row r="257870" customFormat="1" x14ac:dyDescent="0.25"/>
    <row r="257871" customFormat="1" x14ac:dyDescent="0.25"/>
    <row r="257872" customFormat="1" x14ac:dyDescent="0.25"/>
    <row r="257873" customFormat="1" x14ac:dyDescent="0.25"/>
    <row r="257874" customFormat="1" x14ac:dyDescent="0.25"/>
    <row r="257875" customFormat="1" x14ac:dyDescent="0.25"/>
    <row r="257876" customFormat="1" x14ac:dyDescent="0.25"/>
    <row r="257877" customFormat="1" x14ac:dyDescent="0.25"/>
    <row r="257878" customFormat="1" x14ac:dyDescent="0.25"/>
    <row r="257879" customFormat="1" x14ac:dyDescent="0.25"/>
    <row r="257880" customFormat="1" x14ac:dyDescent="0.25"/>
    <row r="257881" customFormat="1" x14ac:dyDescent="0.25"/>
    <row r="257882" customFormat="1" x14ac:dyDescent="0.25"/>
    <row r="257883" customFormat="1" x14ac:dyDescent="0.25"/>
    <row r="257884" customFormat="1" x14ac:dyDescent="0.25"/>
    <row r="257885" customFormat="1" x14ac:dyDescent="0.25"/>
    <row r="257886" customFormat="1" x14ac:dyDescent="0.25"/>
    <row r="257887" customFormat="1" x14ac:dyDescent="0.25"/>
    <row r="257888" customFormat="1" x14ac:dyDescent="0.25"/>
    <row r="257889" customFormat="1" x14ac:dyDescent="0.25"/>
    <row r="257890" customFormat="1" x14ac:dyDescent="0.25"/>
    <row r="257891" customFormat="1" x14ac:dyDescent="0.25"/>
    <row r="257892" customFormat="1" x14ac:dyDescent="0.25"/>
    <row r="257893" customFormat="1" x14ac:dyDescent="0.25"/>
    <row r="257894" customFormat="1" x14ac:dyDescent="0.25"/>
    <row r="257895" customFormat="1" x14ac:dyDescent="0.25"/>
    <row r="257896" customFormat="1" x14ac:dyDescent="0.25"/>
    <row r="257897" customFormat="1" x14ac:dyDescent="0.25"/>
    <row r="257898" customFormat="1" x14ac:dyDescent="0.25"/>
    <row r="257899" customFormat="1" x14ac:dyDescent="0.25"/>
    <row r="257900" customFormat="1" x14ac:dyDescent="0.25"/>
    <row r="257901" customFormat="1" x14ac:dyDescent="0.25"/>
    <row r="257902" customFormat="1" x14ac:dyDescent="0.25"/>
    <row r="257903" customFormat="1" x14ac:dyDescent="0.25"/>
    <row r="257904" customFormat="1" x14ac:dyDescent="0.25"/>
    <row r="257905" customFormat="1" x14ac:dyDescent="0.25"/>
    <row r="257906" customFormat="1" x14ac:dyDescent="0.25"/>
    <row r="257907" customFormat="1" x14ac:dyDescent="0.25"/>
    <row r="257908" customFormat="1" x14ac:dyDescent="0.25"/>
    <row r="257909" customFormat="1" x14ac:dyDescent="0.25"/>
    <row r="257910" customFormat="1" x14ac:dyDescent="0.25"/>
    <row r="257911" customFormat="1" x14ac:dyDescent="0.25"/>
    <row r="257912" customFormat="1" x14ac:dyDescent="0.25"/>
    <row r="257913" customFormat="1" x14ac:dyDescent="0.25"/>
    <row r="257914" customFormat="1" x14ac:dyDescent="0.25"/>
    <row r="257915" customFormat="1" x14ac:dyDescent="0.25"/>
    <row r="257916" customFormat="1" x14ac:dyDescent="0.25"/>
    <row r="257917" customFormat="1" x14ac:dyDescent="0.25"/>
    <row r="257918" customFormat="1" x14ac:dyDescent="0.25"/>
    <row r="257919" customFormat="1" x14ac:dyDescent="0.25"/>
    <row r="257920" customFormat="1" x14ac:dyDescent="0.25"/>
    <row r="257921" customFormat="1" x14ac:dyDescent="0.25"/>
    <row r="257922" customFormat="1" x14ac:dyDescent="0.25"/>
    <row r="257923" customFormat="1" x14ac:dyDescent="0.25"/>
    <row r="257924" customFormat="1" x14ac:dyDescent="0.25"/>
    <row r="257925" customFormat="1" x14ac:dyDescent="0.25"/>
    <row r="257926" customFormat="1" x14ac:dyDescent="0.25"/>
    <row r="257927" customFormat="1" x14ac:dyDescent="0.25"/>
    <row r="257928" customFormat="1" x14ac:dyDescent="0.25"/>
    <row r="257929" customFormat="1" x14ac:dyDescent="0.25"/>
    <row r="257930" customFormat="1" x14ac:dyDescent="0.25"/>
    <row r="257931" customFormat="1" x14ac:dyDescent="0.25"/>
    <row r="257932" customFormat="1" x14ac:dyDescent="0.25"/>
    <row r="257933" customFormat="1" x14ac:dyDescent="0.25"/>
    <row r="257934" customFormat="1" x14ac:dyDescent="0.25"/>
    <row r="257935" customFormat="1" x14ac:dyDescent="0.25"/>
    <row r="257936" customFormat="1" x14ac:dyDescent="0.25"/>
    <row r="257937" customFormat="1" x14ac:dyDescent="0.25"/>
    <row r="257938" customFormat="1" x14ac:dyDescent="0.25"/>
    <row r="257939" customFormat="1" x14ac:dyDescent="0.25"/>
    <row r="257940" customFormat="1" x14ac:dyDescent="0.25"/>
    <row r="257941" customFormat="1" x14ac:dyDescent="0.25"/>
    <row r="257942" customFormat="1" x14ac:dyDescent="0.25"/>
    <row r="257943" customFormat="1" x14ac:dyDescent="0.25"/>
    <row r="257944" customFormat="1" x14ac:dyDescent="0.25"/>
    <row r="257945" customFormat="1" x14ac:dyDescent="0.25"/>
    <row r="257946" customFormat="1" x14ac:dyDescent="0.25"/>
    <row r="257947" customFormat="1" x14ac:dyDescent="0.25"/>
    <row r="257948" customFormat="1" x14ac:dyDescent="0.25"/>
    <row r="257949" customFormat="1" x14ac:dyDescent="0.25"/>
    <row r="257950" customFormat="1" x14ac:dyDescent="0.25"/>
    <row r="257951" customFormat="1" x14ac:dyDescent="0.25"/>
    <row r="257952" customFormat="1" x14ac:dyDescent="0.25"/>
    <row r="257953" customFormat="1" x14ac:dyDescent="0.25"/>
    <row r="257954" customFormat="1" x14ac:dyDescent="0.25"/>
    <row r="257955" customFormat="1" x14ac:dyDescent="0.25"/>
    <row r="257956" customFormat="1" x14ac:dyDescent="0.25"/>
    <row r="257957" customFormat="1" x14ac:dyDescent="0.25"/>
    <row r="257958" customFormat="1" x14ac:dyDescent="0.25"/>
    <row r="257959" customFormat="1" x14ac:dyDescent="0.25"/>
    <row r="257960" customFormat="1" x14ac:dyDescent="0.25"/>
    <row r="257961" customFormat="1" x14ac:dyDescent="0.25"/>
    <row r="257962" customFormat="1" x14ac:dyDescent="0.25"/>
    <row r="257963" customFormat="1" x14ac:dyDescent="0.25"/>
    <row r="257964" customFormat="1" x14ac:dyDescent="0.25"/>
    <row r="257965" customFormat="1" x14ac:dyDescent="0.25"/>
    <row r="257966" customFormat="1" x14ac:dyDescent="0.25"/>
    <row r="257967" customFormat="1" x14ac:dyDescent="0.25"/>
    <row r="257968" customFormat="1" x14ac:dyDescent="0.25"/>
    <row r="257969" customFormat="1" x14ac:dyDescent="0.25"/>
    <row r="257970" customFormat="1" x14ac:dyDescent="0.25"/>
    <row r="257971" customFormat="1" x14ac:dyDescent="0.25"/>
    <row r="257972" customFormat="1" x14ac:dyDescent="0.25"/>
    <row r="257973" customFormat="1" x14ac:dyDescent="0.25"/>
    <row r="257974" customFormat="1" x14ac:dyDescent="0.25"/>
    <row r="257975" customFormat="1" x14ac:dyDescent="0.25"/>
    <row r="257976" customFormat="1" x14ac:dyDescent="0.25"/>
    <row r="257977" customFormat="1" x14ac:dyDescent="0.25"/>
    <row r="257978" customFormat="1" x14ac:dyDescent="0.25"/>
    <row r="257979" customFormat="1" x14ac:dyDescent="0.25"/>
    <row r="257980" customFormat="1" x14ac:dyDescent="0.25"/>
    <row r="257981" customFormat="1" x14ac:dyDescent="0.25"/>
    <row r="257982" customFormat="1" x14ac:dyDescent="0.25"/>
    <row r="257983" customFormat="1" x14ac:dyDescent="0.25"/>
    <row r="257984" customFormat="1" x14ac:dyDescent="0.25"/>
    <row r="257985" customFormat="1" x14ac:dyDescent="0.25"/>
    <row r="257986" customFormat="1" x14ac:dyDescent="0.25"/>
    <row r="257987" customFormat="1" x14ac:dyDescent="0.25"/>
    <row r="257988" customFormat="1" x14ac:dyDescent="0.25"/>
    <row r="257989" customFormat="1" x14ac:dyDescent="0.25"/>
    <row r="257990" customFormat="1" x14ac:dyDescent="0.25"/>
    <row r="257991" customFormat="1" x14ac:dyDescent="0.25"/>
    <row r="257992" customFormat="1" x14ac:dyDescent="0.25"/>
    <row r="257993" customFormat="1" x14ac:dyDescent="0.25"/>
    <row r="257994" customFormat="1" x14ac:dyDescent="0.25"/>
    <row r="257995" customFormat="1" x14ac:dyDescent="0.25"/>
    <row r="257996" customFormat="1" x14ac:dyDescent="0.25"/>
    <row r="257997" customFormat="1" x14ac:dyDescent="0.25"/>
    <row r="257998" customFormat="1" x14ac:dyDescent="0.25"/>
    <row r="257999" customFormat="1" x14ac:dyDescent="0.25"/>
    <row r="258000" customFormat="1" x14ac:dyDescent="0.25"/>
    <row r="258001" customFormat="1" x14ac:dyDescent="0.25"/>
    <row r="258002" customFormat="1" x14ac:dyDescent="0.25"/>
    <row r="258003" customFormat="1" x14ac:dyDescent="0.25"/>
    <row r="258004" customFormat="1" x14ac:dyDescent="0.25"/>
    <row r="258005" customFormat="1" x14ac:dyDescent="0.25"/>
    <row r="258006" customFormat="1" x14ac:dyDescent="0.25"/>
    <row r="258007" customFormat="1" x14ac:dyDescent="0.25"/>
    <row r="258008" customFormat="1" x14ac:dyDescent="0.25"/>
    <row r="258009" customFormat="1" x14ac:dyDescent="0.25"/>
    <row r="258010" customFormat="1" x14ac:dyDescent="0.25"/>
    <row r="258011" customFormat="1" x14ac:dyDescent="0.25"/>
    <row r="258012" customFormat="1" x14ac:dyDescent="0.25"/>
    <row r="258013" customFormat="1" x14ac:dyDescent="0.25"/>
    <row r="258014" customFormat="1" x14ac:dyDescent="0.25"/>
    <row r="258015" customFormat="1" x14ac:dyDescent="0.25"/>
    <row r="258016" customFormat="1" x14ac:dyDescent="0.25"/>
    <row r="258017" customFormat="1" x14ac:dyDescent="0.25"/>
    <row r="258018" customFormat="1" x14ac:dyDescent="0.25"/>
    <row r="258019" customFormat="1" x14ac:dyDescent="0.25"/>
    <row r="258020" customFormat="1" x14ac:dyDescent="0.25"/>
    <row r="258021" customFormat="1" x14ac:dyDescent="0.25"/>
    <row r="258022" customFormat="1" x14ac:dyDescent="0.25"/>
    <row r="258023" customFormat="1" x14ac:dyDescent="0.25"/>
    <row r="258024" customFormat="1" x14ac:dyDescent="0.25"/>
    <row r="258025" customFormat="1" x14ac:dyDescent="0.25"/>
    <row r="258026" customFormat="1" x14ac:dyDescent="0.25"/>
    <row r="258027" customFormat="1" x14ac:dyDescent="0.25"/>
    <row r="258028" customFormat="1" x14ac:dyDescent="0.25"/>
    <row r="258029" customFormat="1" x14ac:dyDescent="0.25"/>
    <row r="258030" customFormat="1" x14ac:dyDescent="0.25"/>
    <row r="258031" customFormat="1" x14ac:dyDescent="0.25"/>
    <row r="258032" customFormat="1" x14ac:dyDescent="0.25"/>
    <row r="258033" customFormat="1" x14ac:dyDescent="0.25"/>
    <row r="258034" customFormat="1" x14ac:dyDescent="0.25"/>
    <row r="258035" customFormat="1" x14ac:dyDescent="0.25"/>
    <row r="258036" customFormat="1" x14ac:dyDescent="0.25"/>
    <row r="258037" customFormat="1" x14ac:dyDescent="0.25"/>
    <row r="258038" customFormat="1" x14ac:dyDescent="0.25"/>
    <row r="258039" customFormat="1" x14ac:dyDescent="0.25"/>
    <row r="258040" customFormat="1" x14ac:dyDescent="0.25"/>
    <row r="258041" customFormat="1" x14ac:dyDescent="0.25"/>
    <row r="258042" customFormat="1" x14ac:dyDescent="0.25"/>
    <row r="258043" customFormat="1" x14ac:dyDescent="0.25"/>
    <row r="258044" customFormat="1" x14ac:dyDescent="0.25"/>
    <row r="258045" customFormat="1" x14ac:dyDescent="0.25"/>
    <row r="258046" customFormat="1" x14ac:dyDescent="0.25"/>
    <row r="258047" customFormat="1" x14ac:dyDescent="0.25"/>
    <row r="258048" customFormat="1" x14ac:dyDescent="0.25"/>
    <row r="258049" customFormat="1" x14ac:dyDescent="0.25"/>
    <row r="258050" customFormat="1" x14ac:dyDescent="0.25"/>
    <row r="258051" customFormat="1" x14ac:dyDescent="0.25"/>
    <row r="258052" customFormat="1" x14ac:dyDescent="0.25"/>
    <row r="258053" customFormat="1" x14ac:dyDescent="0.25"/>
    <row r="258054" customFormat="1" x14ac:dyDescent="0.25"/>
    <row r="258055" customFormat="1" x14ac:dyDescent="0.25"/>
    <row r="258056" customFormat="1" x14ac:dyDescent="0.25"/>
    <row r="258057" customFormat="1" x14ac:dyDescent="0.25"/>
    <row r="258058" customFormat="1" x14ac:dyDescent="0.25"/>
    <row r="258059" customFormat="1" x14ac:dyDescent="0.25"/>
    <row r="258060" customFormat="1" x14ac:dyDescent="0.25"/>
    <row r="258061" customFormat="1" x14ac:dyDescent="0.25"/>
    <row r="258062" customFormat="1" x14ac:dyDescent="0.25"/>
    <row r="258063" customFormat="1" x14ac:dyDescent="0.25"/>
    <row r="258064" customFormat="1" x14ac:dyDescent="0.25"/>
    <row r="258065" customFormat="1" x14ac:dyDescent="0.25"/>
    <row r="258066" customFormat="1" x14ac:dyDescent="0.25"/>
    <row r="258067" customFormat="1" x14ac:dyDescent="0.25"/>
    <row r="258068" customFormat="1" x14ac:dyDescent="0.25"/>
    <row r="258069" customFormat="1" x14ac:dyDescent="0.25"/>
    <row r="258070" customFormat="1" x14ac:dyDescent="0.25"/>
    <row r="258071" customFormat="1" x14ac:dyDescent="0.25"/>
    <row r="258072" customFormat="1" x14ac:dyDescent="0.25"/>
    <row r="258073" customFormat="1" x14ac:dyDescent="0.25"/>
    <row r="258074" customFormat="1" x14ac:dyDescent="0.25"/>
    <row r="258075" customFormat="1" x14ac:dyDescent="0.25"/>
    <row r="258076" customFormat="1" x14ac:dyDescent="0.25"/>
    <row r="258077" customFormat="1" x14ac:dyDescent="0.25"/>
    <row r="258078" customFormat="1" x14ac:dyDescent="0.25"/>
    <row r="258079" customFormat="1" x14ac:dyDescent="0.25"/>
    <row r="258080" customFormat="1" x14ac:dyDescent="0.25"/>
    <row r="258081" customFormat="1" x14ac:dyDescent="0.25"/>
    <row r="258082" customFormat="1" x14ac:dyDescent="0.25"/>
    <row r="258083" customFormat="1" x14ac:dyDescent="0.25"/>
    <row r="258084" customFormat="1" x14ac:dyDescent="0.25"/>
    <row r="258085" customFormat="1" x14ac:dyDescent="0.25"/>
    <row r="258086" customFormat="1" x14ac:dyDescent="0.25"/>
    <row r="258087" customFormat="1" x14ac:dyDescent="0.25"/>
    <row r="258088" customFormat="1" x14ac:dyDescent="0.25"/>
    <row r="258089" customFormat="1" x14ac:dyDescent="0.25"/>
    <row r="258090" customFormat="1" x14ac:dyDescent="0.25"/>
    <row r="258091" customFormat="1" x14ac:dyDescent="0.25"/>
    <row r="258092" customFormat="1" x14ac:dyDescent="0.25"/>
    <row r="258093" customFormat="1" x14ac:dyDescent="0.25"/>
    <row r="258094" customFormat="1" x14ac:dyDescent="0.25"/>
    <row r="258095" customFormat="1" x14ac:dyDescent="0.25"/>
    <row r="258096" customFormat="1" x14ac:dyDescent="0.25"/>
    <row r="258097" customFormat="1" x14ac:dyDescent="0.25"/>
    <row r="258098" customFormat="1" x14ac:dyDescent="0.25"/>
    <row r="258099" customFormat="1" x14ac:dyDescent="0.25"/>
    <row r="258100" customFormat="1" x14ac:dyDescent="0.25"/>
    <row r="258101" customFormat="1" x14ac:dyDescent="0.25"/>
    <row r="258102" customFormat="1" x14ac:dyDescent="0.25"/>
    <row r="258103" customFormat="1" x14ac:dyDescent="0.25"/>
    <row r="258104" customFormat="1" x14ac:dyDescent="0.25"/>
    <row r="258105" customFormat="1" x14ac:dyDescent="0.25"/>
    <row r="258106" customFormat="1" x14ac:dyDescent="0.25"/>
    <row r="258107" customFormat="1" x14ac:dyDescent="0.25"/>
    <row r="258108" customFormat="1" x14ac:dyDescent="0.25"/>
    <row r="258109" customFormat="1" x14ac:dyDescent="0.25"/>
    <row r="258110" customFormat="1" x14ac:dyDescent="0.25"/>
    <row r="258111" customFormat="1" x14ac:dyDescent="0.25"/>
    <row r="258112" customFormat="1" x14ac:dyDescent="0.25"/>
    <row r="258113" customFormat="1" x14ac:dyDescent="0.25"/>
    <row r="258114" customFormat="1" x14ac:dyDescent="0.25"/>
    <row r="258115" customFormat="1" x14ac:dyDescent="0.25"/>
    <row r="258116" customFormat="1" x14ac:dyDescent="0.25"/>
    <row r="258117" customFormat="1" x14ac:dyDescent="0.25"/>
    <row r="258118" customFormat="1" x14ac:dyDescent="0.25"/>
    <row r="258119" customFormat="1" x14ac:dyDescent="0.25"/>
    <row r="258120" customFormat="1" x14ac:dyDescent="0.25"/>
    <row r="258121" customFormat="1" x14ac:dyDescent="0.25"/>
    <row r="258122" customFormat="1" x14ac:dyDescent="0.25"/>
    <row r="258123" customFormat="1" x14ac:dyDescent="0.25"/>
    <row r="258124" customFormat="1" x14ac:dyDescent="0.25"/>
    <row r="258125" customFormat="1" x14ac:dyDescent="0.25"/>
    <row r="258126" customFormat="1" x14ac:dyDescent="0.25"/>
    <row r="258127" customFormat="1" x14ac:dyDescent="0.25"/>
    <row r="258128" customFormat="1" x14ac:dyDescent="0.25"/>
    <row r="258129" customFormat="1" x14ac:dyDescent="0.25"/>
    <row r="258130" customFormat="1" x14ac:dyDescent="0.25"/>
    <row r="258131" customFormat="1" x14ac:dyDescent="0.25"/>
    <row r="258132" customFormat="1" x14ac:dyDescent="0.25"/>
    <row r="258133" customFormat="1" x14ac:dyDescent="0.25"/>
    <row r="258134" customFormat="1" x14ac:dyDescent="0.25"/>
    <row r="258135" customFormat="1" x14ac:dyDescent="0.25"/>
    <row r="258136" customFormat="1" x14ac:dyDescent="0.25"/>
    <row r="258137" customFormat="1" x14ac:dyDescent="0.25"/>
    <row r="258138" customFormat="1" x14ac:dyDescent="0.25"/>
    <row r="258139" customFormat="1" x14ac:dyDescent="0.25"/>
    <row r="258140" customFormat="1" x14ac:dyDescent="0.25"/>
    <row r="258141" customFormat="1" x14ac:dyDescent="0.25"/>
    <row r="258142" customFormat="1" x14ac:dyDescent="0.25"/>
    <row r="258143" customFormat="1" x14ac:dyDescent="0.25"/>
    <row r="258144" customFormat="1" x14ac:dyDescent="0.25"/>
    <row r="258145" customFormat="1" x14ac:dyDescent="0.25"/>
    <row r="258146" customFormat="1" x14ac:dyDescent="0.25"/>
    <row r="258147" customFormat="1" x14ac:dyDescent="0.25"/>
    <row r="258148" customFormat="1" x14ac:dyDescent="0.25"/>
    <row r="258149" customFormat="1" x14ac:dyDescent="0.25"/>
    <row r="258150" customFormat="1" x14ac:dyDescent="0.25"/>
    <row r="258151" customFormat="1" x14ac:dyDescent="0.25"/>
    <row r="258152" customFormat="1" x14ac:dyDescent="0.25"/>
    <row r="258153" customFormat="1" x14ac:dyDescent="0.25"/>
    <row r="258154" customFormat="1" x14ac:dyDescent="0.25"/>
    <row r="258155" customFormat="1" x14ac:dyDescent="0.25"/>
    <row r="258156" customFormat="1" x14ac:dyDescent="0.25"/>
    <row r="258157" customFormat="1" x14ac:dyDescent="0.25"/>
    <row r="258158" customFormat="1" x14ac:dyDescent="0.25"/>
    <row r="258159" customFormat="1" x14ac:dyDescent="0.25"/>
    <row r="258160" customFormat="1" x14ac:dyDescent="0.25"/>
    <row r="258161" customFormat="1" x14ac:dyDescent="0.25"/>
    <row r="258162" customFormat="1" x14ac:dyDescent="0.25"/>
    <row r="258163" customFormat="1" x14ac:dyDescent="0.25"/>
    <row r="258164" customFormat="1" x14ac:dyDescent="0.25"/>
    <row r="258165" customFormat="1" x14ac:dyDescent="0.25"/>
    <row r="258166" customFormat="1" x14ac:dyDescent="0.25"/>
    <row r="258167" customFormat="1" x14ac:dyDescent="0.25"/>
    <row r="258168" customFormat="1" x14ac:dyDescent="0.25"/>
    <row r="258169" customFormat="1" x14ac:dyDescent="0.25"/>
    <row r="258170" customFormat="1" x14ac:dyDescent="0.25"/>
    <row r="258171" customFormat="1" x14ac:dyDescent="0.25"/>
    <row r="258172" customFormat="1" x14ac:dyDescent="0.25"/>
    <row r="258173" customFormat="1" x14ac:dyDescent="0.25"/>
    <row r="258174" customFormat="1" x14ac:dyDescent="0.25"/>
    <row r="258175" customFormat="1" x14ac:dyDescent="0.25"/>
    <row r="258176" customFormat="1" x14ac:dyDescent="0.25"/>
    <row r="258177" customFormat="1" x14ac:dyDescent="0.25"/>
    <row r="258178" customFormat="1" x14ac:dyDescent="0.25"/>
    <row r="258179" customFormat="1" x14ac:dyDescent="0.25"/>
    <row r="258180" customFormat="1" x14ac:dyDescent="0.25"/>
    <row r="258181" customFormat="1" x14ac:dyDescent="0.25"/>
    <row r="258182" customFormat="1" x14ac:dyDescent="0.25"/>
    <row r="258183" customFormat="1" x14ac:dyDescent="0.25"/>
    <row r="258184" customFormat="1" x14ac:dyDescent="0.25"/>
    <row r="258185" customFormat="1" x14ac:dyDescent="0.25"/>
    <row r="258186" customFormat="1" x14ac:dyDescent="0.25"/>
    <row r="258187" customFormat="1" x14ac:dyDescent="0.25"/>
    <row r="258188" customFormat="1" x14ac:dyDescent="0.25"/>
    <row r="258189" customFormat="1" x14ac:dyDescent="0.25"/>
    <row r="258190" customFormat="1" x14ac:dyDescent="0.25"/>
    <row r="258191" customFormat="1" x14ac:dyDescent="0.25"/>
    <row r="258192" customFormat="1" x14ac:dyDescent="0.25"/>
    <row r="258193" customFormat="1" x14ac:dyDescent="0.25"/>
    <row r="258194" customFormat="1" x14ac:dyDescent="0.25"/>
    <row r="258195" customFormat="1" x14ac:dyDescent="0.25"/>
    <row r="258196" customFormat="1" x14ac:dyDescent="0.25"/>
    <row r="258197" customFormat="1" x14ac:dyDescent="0.25"/>
    <row r="258198" customFormat="1" x14ac:dyDescent="0.25"/>
    <row r="258199" customFormat="1" x14ac:dyDescent="0.25"/>
    <row r="258200" customFormat="1" x14ac:dyDescent="0.25"/>
    <row r="258201" customFormat="1" x14ac:dyDescent="0.25"/>
    <row r="258202" customFormat="1" x14ac:dyDescent="0.25"/>
    <row r="258203" customFormat="1" x14ac:dyDescent="0.25"/>
    <row r="258204" customFormat="1" x14ac:dyDescent="0.25"/>
    <row r="258205" customFormat="1" x14ac:dyDescent="0.25"/>
    <row r="258206" customFormat="1" x14ac:dyDescent="0.25"/>
    <row r="258207" customFormat="1" x14ac:dyDescent="0.25"/>
    <row r="258208" customFormat="1" x14ac:dyDescent="0.25"/>
    <row r="258209" customFormat="1" x14ac:dyDescent="0.25"/>
    <row r="258210" customFormat="1" x14ac:dyDescent="0.25"/>
    <row r="258211" customFormat="1" x14ac:dyDescent="0.25"/>
    <row r="258212" customFormat="1" x14ac:dyDescent="0.25"/>
    <row r="258213" customFormat="1" x14ac:dyDescent="0.25"/>
    <row r="258214" customFormat="1" x14ac:dyDescent="0.25"/>
    <row r="258215" customFormat="1" x14ac:dyDescent="0.25"/>
    <row r="258216" customFormat="1" x14ac:dyDescent="0.25"/>
    <row r="258217" customFormat="1" x14ac:dyDescent="0.25"/>
    <row r="258218" customFormat="1" x14ac:dyDescent="0.25"/>
    <row r="258219" customFormat="1" x14ac:dyDescent="0.25"/>
    <row r="258220" customFormat="1" x14ac:dyDescent="0.25"/>
    <row r="258221" customFormat="1" x14ac:dyDescent="0.25"/>
    <row r="258222" customFormat="1" x14ac:dyDescent="0.25"/>
    <row r="258223" customFormat="1" x14ac:dyDescent="0.25"/>
    <row r="258224" customFormat="1" x14ac:dyDescent="0.25"/>
    <row r="258225" customFormat="1" x14ac:dyDescent="0.25"/>
    <row r="258226" customFormat="1" x14ac:dyDescent="0.25"/>
    <row r="258227" customFormat="1" x14ac:dyDescent="0.25"/>
    <row r="258228" customFormat="1" x14ac:dyDescent="0.25"/>
    <row r="258229" customFormat="1" x14ac:dyDescent="0.25"/>
    <row r="258230" customFormat="1" x14ac:dyDescent="0.25"/>
    <row r="258231" customFormat="1" x14ac:dyDescent="0.25"/>
    <row r="258232" customFormat="1" x14ac:dyDescent="0.25"/>
    <row r="258233" customFormat="1" x14ac:dyDescent="0.25"/>
    <row r="258234" customFormat="1" x14ac:dyDescent="0.25"/>
    <row r="258235" customFormat="1" x14ac:dyDescent="0.25"/>
    <row r="258236" customFormat="1" x14ac:dyDescent="0.25"/>
    <row r="258237" customFormat="1" x14ac:dyDescent="0.25"/>
    <row r="258238" customFormat="1" x14ac:dyDescent="0.25"/>
    <row r="258239" customFormat="1" x14ac:dyDescent="0.25"/>
    <row r="258240" customFormat="1" x14ac:dyDescent="0.25"/>
    <row r="258241" customFormat="1" x14ac:dyDescent="0.25"/>
    <row r="258242" customFormat="1" x14ac:dyDescent="0.25"/>
    <row r="258243" customFormat="1" x14ac:dyDescent="0.25"/>
    <row r="258244" customFormat="1" x14ac:dyDescent="0.25"/>
    <row r="258245" customFormat="1" x14ac:dyDescent="0.25"/>
    <row r="258246" customFormat="1" x14ac:dyDescent="0.25"/>
    <row r="258247" customFormat="1" x14ac:dyDescent="0.25"/>
    <row r="258248" customFormat="1" x14ac:dyDescent="0.25"/>
    <row r="258249" customFormat="1" x14ac:dyDescent="0.25"/>
    <row r="258250" customFormat="1" x14ac:dyDescent="0.25"/>
    <row r="258251" customFormat="1" x14ac:dyDescent="0.25"/>
    <row r="258252" customFormat="1" x14ac:dyDescent="0.25"/>
    <row r="258253" customFormat="1" x14ac:dyDescent="0.25"/>
    <row r="258254" customFormat="1" x14ac:dyDescent="0.25"/>
    <row r="258255" customFormat="1" x14ac:dyDescent="0.25"/>
    <row r="258256" customFormat="1" x14ac:dyDescent="0.25"/>
    <row r="258257" customFormat="1" x14ac:dyDescent="0.25"/>
    <row r="258258" customFormat="1" x14ac:dyDescent="0.25"/>
    <row r="258259" customFormat="1" x14ac:dyDescent="0.25"/>
    <row r="258260" customFormat="1" x14ac:dyDescent="0.25"/>
    <row r="258261" customFormat="1" x14ac:dyDescent="0.25"/>
    <row r="258262" customFormat="1" x14ac:dyDescent="0.25"/>
    <row r="258263" customFormat="1" x14ac:dyDescent="0.25"/>
    <row r="258264" customFormat="1" x14ac:dyDescent="0.25"/>
    <row r="258265" customFormat="1" x14ac:dyDescent="0.25"/>
    <row r="258266" customFormat="1" x14ac:dyDescent="0.25"/>
    <row r="258267" customFormat="1" x14ac:dyDescent="0.25"/>
    <row r="258268" customFormat="1" x14ac:dyDescent="0.25"/>
    <row r="258269" customFormat="1" x14ac:dyDescent="0.25"/>
    <row r="258270" customFormat="1" x14ac:dyDescent="0.25"/>
    <row r="258271" customFormat="1" x14ac:dyDescent="0.25"/>
    <row r="258272" customFormat="1" x14ac:dyDescent="0.25"/>
    <row r="258273" customFormat="1" x14ac:dyDescent="0.25"/>
    <row r="258274" customFormat="1" x14ac:dyDescent="0.25"/>
    <row r="258275" customFormat="1" x14ac:dyDescent="0.25"/>
    <row r="258276" customFormat="1" x14ac:dyDescent="0.25"/>
    <row r="258277" customFormat="1" x14ac:dyDescent="0.25"/>
    <row r="258278" customFormat="1" x14ac:dyDescent="0.25"/>
    <row r="258279" customFormat="1" x14ac:dyDescent="0.25"/>
    <row r="258280" customFormat="1" x14ac:dyDescent="0.25"/>
    <row r="258281" customFormat="1" x14ac:dyDescent="0.25"/>
    <row r="258282" customFormat="1" x14ac:dyDescent="0.25"/>
    <row r="258283" customFormat="1" x14ac:dyDescent="0.25"/>
    <row r="258284" customFormat="1" x14ac:dyDescent="0.25"/>
    <row r="258285" customFormat="1" x14ac:dyDescent="0.25"/>
    <row r="258286" customFormat="1" x14ac:dyDescent="0.25"/>
    <row r="258287" customFormat="1" x14ac:dyDescent="0.25"/>
    <row r="258288" customFormat="1" x14ac:dyDescent="0.25"/>
    <row r="258289" customFormat="1" x14ac:dyDescent="0.25"/>
    <row r="258290" customFormat="1" x14ac:dyDescent="0.25"/>
    <row r="258291" customFormat="1" x14ac:dyDescent="0.25"/>
    <row r="258292" customFormat="1" x14ac:dyDescent="0.25"/>
    <row r="258293" customFormat="1" x14ac:dyDescent="0.25"/>
    <row r="258294" customFormat="1" x14ac:dyDescent="0.25"/>
    <row r="258295" customFormat="1" x14ac:dyDescent="0.25"/>
    <row r="258296" customFormat="1" x14ac:dyDescent="0.25"/>
    <row r="258297" customFormat="1" x14ac:dyDescent="0.25"/>
    <row r="258298" customFormat="1" x14ac:dyDescent="0.25"/>
    <row r="258299" customFormat="1" x14ac:dyDescent="0.25"/>
    <row r="258300" customFormat="1" x14ac:dyDescent="0.25"/>
    <row r="258301" customFormat="1" x14ac:dyDescent="0.25"/>
    <row r="258302" customFormat="1" x14ac:dyDescent="0.25"/>
    <row r="258303" customFormat="1" x14ac:dyDescent="0.25"/>
    <row r="258304" customFormat="1" x14ac:dyDescent="0.25"/>
    <row r="258305" customFormat="1" x14ac:dyDescent="0.25"/>
    <row r="258306" customFormat="1" x14ac:dyDescent="0.25"/>
    <row r="258307" customFormat="1" x14ac:dyDescent="0.25"/>
    <row r="258308" customFormat="1" x14ac:dyDescent="0.25"/>
    <row r="258309" customFormat="1" x14ac:dyDescent="0.25"/>
    <row r="258310" customFormat="1" x14ac:dyDescent="0.25"/>
    <row r="258311" customFormat="1" x14ac:dyDescent="0.25"/>
    <row r="258312" customFormat="1" x14ac:dyDescent="0.25"/>
    <row r="258313" customFormat="1" x14ac:dyDescent="0.25"/>
    <row r="258314" customFormat="1" x14ac:dyDescent="0.25"/>
    <row r="258315" customFormat="1" x14ac:dyDescent="0.25"/>
    <row r="258316" customFormat="1" x14ac:dyDescent="0.25"/>
    <row r="258317" customFormat="1" x14ac:dyDescent="0.25"/>
    <row r="258318" customFormat="1" x14ac:dyDescent="0.25"/>
    <row r="258319" customFormat="1" x14ac:dyDescent="0.25"/>
    <row r="258320" customFormat="1" x14ac:dyDescent="0.25"/>
    <row r="258321" customFormat="1" x14ac:dyDescent="0.25"/>
    <row r="258322" customFormat="1" x14ac:dyDescent="0.25"/>
    <row r="258323" customFormat="1" x14ac:dyDescent="0.25"/>
    <row r="258324" customFormat="1" x14ac:dyDescent="0.25"/>
    <row r="258325" customFormat="1" x14ac:dyDescent="0.25"/>
    <row r="258326" customFormat="1" x14ac:dyDescent="0.25"/>
    <row r="258327" customFormat="1" x14ac:dyDescent="0.25"/>
    <row r="258328" customFormat="1" x14ac:dyDescent="0.25"/>
    <row r="258329" customFormat="1" x14ac:dyDescent="0.25"/>
    <row r="258330" customFormat="1" x14ac:dyDescent="0.25"/>
    <row r="258331" customFormat="1" x14ac:dyDescent="0.25"/>
    <row r="258332" customFormat="1" x14ac:dyDescent="0.25"/>
    <row r="258333" customFormat="1" x14ac:dyDescent="0.25"/>
    <row r="258334" customFormat="1" x14ac:dyDescent="0.25"/>
    <row r="258335" customFormat="1" x14ac:dyDescent="0.25"/>
    <row r="258336" customFormat="1" x14ac:dyDescent="0.25"/>
    <row r="258337" customFormat="1" x14ac:dyDescent="0.25"/>
    <row r="258338" customFormat="1" x14ac:dyDescent="0.25"/>
    <row r="258339" customFormat="1" x14ac:dyDescent="0.25"/>
    <row r="258340" customFormat="1" x14ac:dyDescent="0.25"/>
    <row r="258341" customFormat="1" x14ac:dyDescent="0.25"/>
    <row r="258342" customFormat="1" x14ac:dyDescent="0.25"/>
    <row r="258343" customFormat="1" x14ac:dyDescent="0.25"/>
    <row r="258344" customFormat="1" x14ac:dyDescent="0.25"/>
    <row r="258345" customFormat="1" x14ac:dyDescent="0.25"/>
    <row r="258346" customFormat="1" x14ac:dyDescent="0.25"/>
    <row r="258347" customFormat="1" x14ac:dyDescent="0.25"/>
    <row r="258348" customFormat="1" x14ac:dyDescent="0.25"/>
    <row r="258349" customFormat="1" x14ac:dyDescent="0.25"/>
    <row r="258350" customFormat="1" x14ac:dyDescent="0.25"/>
    <row r="258351" customFormat="1" x14ac:dyDescent="0.25"/>
    <row r="258352" customFormat="1" x14ac:dyDescent="0.25"/>
    <row r="258353" customFormat="1" x14ac:dyDescent="0.25"/>
    <row r="258354" customFormat="1" x14ac:dyDescent="0.25"/>
    <row r="258355" customFormat="1" x14ac:dyDescent="0.25"/>
    <row r="258356" customFormat="1" x14ac:dyDescent="0.25"/>
    <row r="258357" customFormat="1" x14ac:dyDescent="0.25"/>
    <row r="258358" customFormat="1" x14ac:dyDescent="0.25"/>
    <row r="258359" customFormat="1" x14ac:dyDescent="0.25"/>
    <row r="258360" customFormat="1" x14ac:dyDescent="0.25"/>
    <row r="258361" customFormat="1" x14ac:dyDescent="0.25"/>
    <row r="258362" customFormat="1" x14ac:dyDescent="0.25"/>
    <row r="258363" customFormat="1" x14ac:dyDescent="0.25"/>
    <row r="258364" customFormat="1" x14ac:dyDescent="0.25"/>
    <row r="258365" customFormat="1" x14ac:dyDescent="0.25"/>
    <row r="258366" customFormat="1" x14ac:dyDescent="0.25"/>
    <row r="258367" customFormat="1" x14ac:dyDescent="0.25"/>
    <row r="258368" customFormat="1" x14ac:dyDescent="0.25"/>
    <row r="258369" customFormat="1" x14ac:dyDescent="0.25"/>
    <row r="258370" customFormat="1" x14ac:dyDescent="0.25"/>
    <row r="258371" customFormat="1" x14ac:dyDescent="0.25"/>
    <row r="258372" customFormat="1" x14ac:dyDescent="0.25"/>
    <row r="258373" customFormat="1" x14ac:dyDescent="0.25"/>
    <row r="258374" customFormat="1" x14ac:dyDescent="0.25"/>
    <row r="258375" customFormat="1" x14ac:dyDescent="0.25"/>
    <row r="258376" customFormat="1" x14ac:dyDescent="0.25"/>
    <row r="258377" customFormat="1" x14ac:dyDescent="0.25"/>
    <row r="258378" customFormat="1" x14ac:dyDescent="0.25"/>
    <row r="258379" customFormat="1" x14ac:dyDescent="0.25"/>
    <row r="258380" customFormat="1" x14ac:dyDescent="0.25"/>
    <row r="258381" customFormat="1" x14ac:dyDescent="0.25"/>
    <row r="258382" customFormat="1" x14ac:dyDescent="0.25"/>
    <row r="258383" customFormat="1" x14ac:dyDescent="0.25"/>
    <row r="258384" customFormat="1" x14ac:dyDescent="0.25"/>
    <row r="258385" customFormat="1" x14ac:dyDescent="0.25"/>
    <row r="258386" customFormat="1" x14ac:dyDescent="0.25"/>
    <row r="258387" customFormat="1" x14ac:dyDescent="0.25"/>
    <row r="258388" customFormat="1" x14ac:dyDescent="0.25"/>
    <row r="258389" customFormat="1" x14ac:dyDescent="0.25"/>
    <row r="258390" customFormat="1" x14ac:dyDescent="0.25"/>
    <row r="258391" customFormat="1" x14ac:dyDescent="0.25"/>
    <row r="258392" customFormat="1" x14ac:dyDescent="0.25"/>
    <row r="258393" customFormat="1" x14ac:dyDescent="0.25"/>
    <row r="258394" customFormat="1" x14ac:dyDescent="0.25"/>
    <row r="258395" customFormat="1" x14ac:dyDescent="0.25"/>
    <row r="258396" customFormat="1" x14ac:dyDescent="0.25"/>
    <row r="258397" customFormat="1" x14ac:dyDescent="0.25"/>
    <row r="258398" customFormat="1" x14ac:dyDescent="0.25"/>
    <row r="258399" customFormat="1" x14ac:dyDescent="0.25"/>
    <row r="258400" customFormat="1" x14ac:dyDescent="0.25"/>
    <row r="258401" customFormat="1" x14ac:dyDescent="0.25"/>
    <row r="258402" customFormat="1" x14ac:dyDescent="0.25"/>
    <row r="258403" customFormat="1" x14ac:dyDescent="0.25"/>
    <row r="258404" customFormat="1" x14ac:dyDescent="0.25"/>
    <row r="258405" customFormat="1" x14ac:dyDescent="0.25"/>
    <row r="258406" customFormat="1" x14ac:dyDescent="0.25"/>
    <row r="258407" customFormat="1" x14ac:dyDescent="0.25"/>
    <row r="258408" customFormat="1" x14ac:dyDescent="0.25"/>
    <row r="258409" customFormat="1" x14ac:dyDescent="0.25"/>
    <row r="258410" customFormat="1" x14ac:dyDescent="0.25"/>
    <row r="258411" customFormat="1" x14ac:dyDescent="0.25"/>
    <row r="258412" customFormat="1" x14ac:dyDescent="0.25"/>
    <row r="258413" customFormat="1" x14ac:dyDescent="0.25"/>
    <row r="258414" customFormat="1" x14ac:dyDescent="0.25"/>
    <row r="258415" customFormat="1" x14ac:dyDescent="0.25"/>
    <row r="258416" customFormat="1" x14ac:dyDescent="0.25"/>
    <row r="258417" customFormat="1" x14ac:dyDescent="0.25"/>
    <row r="258418" customFormat="1" x14ac:dyDescent="0.25"/>
    <row r="258419" customFormat="1" x14ac:dyDescent="0.25"/>
    <row r="258420" customFormat="1" x14ac:dyDescent="0.25"/>
    <row r="258421" customFormat="1" x14ac:dyDescent="0.25"/>
    <row r="258422" customFormat="1" x14ac:dyDescent="0.25"/>
    <row r="258423" customFormat="1" x14ac:dyDescent="0.25"/>
    <row r="258424" customFormat="1" x14ac:dyDescent="0.25"/>
    <row r="258425" customFormat="1" x14ac:dyDescent="0.25"/>
    <row r="258426" customFormat="1" x14ac:dyDescent="0.25"/>
    <row r="258427" customFormat="1" x14ac:dyDescent="0.25"/>
    <row r="258428" customFormat="1" x14ac:dyDescent="0.25"/>
    <row r="258429" customFormat="1" x14ac:dyDescent="0.25"/>
    <row r="258430" customFormat="1" x14ac:dyDescent="0.25"/>
    <row r="258431" customFormat="1" x14ac:dyDescent="0.25"/>
    <row r="258432" customFormat="1" x14ac:dyDescent="0.25"/>
    <row r="258433" customFormat="1" x14ac:dyDescent="0.25"/>
    <row r="258434" customFormat="1" x14ac:dyDescent="0.25"/>
    <row r="258435" customFormat="1" x14ac:dyDescent="0.25"/>
    <row r="258436" customFormat="1" x14ac:dyDescent="0.25"/>
    <row r="258437" customFormat="1" x14ac:dyDescent="0.25"/>
    <row r="258438" customFormat="1" x14ac:dyDescent="0.25"/>
    <row r="258439" customFormat="1" x14ac:dyDescent="0.25"/>
    <row r="258440" customFormat="1" x14ac:dyDescent="0.25"/>
    <row r="258441" customFormat="1" x14ac:dyDescent="0.25"/>
    <row r="258442" customFormat="1" x14ac:dyDescent="0.25"/>
    <row r="258443" customFormat="1" x14ac:dyDescent="0.25"/>
    <row r="258444" customFormat="1" x14ac:dyDescent="0.25"/>
    <row r="258445" customFormat="1" x14ac:dyDescent="0.25"/>
    <row r="258446" customFormat="1" x14ac:dyDescent="0.25"/>
    <row r="258447" customFormat="1" x14ac:dyDescent="0.25"/>
    <row r="258448" customFormat="1" x14ac:dyDescent="0.25"/>
    <row r="258449" customFormat="1" x14ac:dyDescent="0.25"/>
    <row r="258450" customFormat="1" x14ac:dyDescent="0.25"/>
    <row r="258451" customFormat="1" x14ac:dyDescent="0.25"/>
    <row r="258452" customFormat="1" x14ac:dyDescent="0.25"/>
    <row r="258453" customFormat="1" x14ac:dyDescent="0.25"/>
    <row r="258454" customFormat="1" x14ac:dyDescent="0.25"/>
    <row r="258455" customFormat="1" x14ac:dyDescent="0.25"/>
    <row r="258456" customFormat="1" x14ac:dyDescent="0.25"/>
    <row r="258457" customFormat="1" x14ac:dyDescent="0.25"/>
    <row r="258458" customFormat="1" x14ac:dyDescent="0.25"/>
    <row r="258459" customFormat="1" x14ac:dyDescent="0.25"/>
    <row r="258460" customFormat="1" x14ac:dyDescent="0.25"/>
    <row r="258461" customFormat="1" x14ac:dyDescent="0.25"/>
    <row r="258462" customFormat="1" x14ac:dyDescent="0.25"/>
    <row r="258463" customFormat="1" x14ac:dyDescent="0.25"/>
    <row r="258464" customFormat="1" x14ac:dyDescent="0.25"/>
    <row r="258465" customFormat="1" x14ac:dyDescent="0.25"/>
    <row r="258466" customFormat="1" x14ac:dyDescent="0.25"/>
    <row r="258467" customFormat="1" x14ac:dyDescent="0.25"/>
    <row r="258468" customFormat="1" x14ac:dyDescent="0.25"/>
    <row r="258469" customFormat="1" x14ac:dyDescent="0.25"/>
    <row r="258470" customFormat="1" x14ac:dyDescent="0.25"/>
    <row r="258471" customFormat="1" x14ac:dyDescent="0.25"/>
    <row r="258472" customFormat="1" x14ac:dyDescent="0.25"/>
    <row r="258473" customFormat="1" x14ac:dyDescent="0.25"/>
    <row r="258474" customFormat="1" x14ac:dyDescent="0.25"/>
    <row r="258475" customFormat="1" x14ac:dyDescent="0.25"/>
    <row r="258476" customFormat="1" x14ac:dyDescent="0.25"/>
    <row r="258477" customFormat="1" x14ac:dyDescent="0.25"/>
    <row r="258478" customFormat="1" x14ac:dyDescent="0.25"/>
    <row r="258479" customFormat="1" x14ac:dyDescent="0.25"/>
    <row r="258480" customFormat="1" x14ac:dyDescent="0.25"/>
    <row r="258481" customFormat="1" x14ac:dyDescent="0.25"/>
    <row r="258482" customFormat="1" x14ac:dyDescent="0.25"/>
    <row r="258483" customFormat="1" x14ac:dyDescent="0.25"/>
    <row r="258484" customFormat="1" x14ac:dyDescent="0.25"/>
    <row r="258485" customFormat="1" x14ac:dyDescent="0.25"/>
    <row r="258486" customFormat="1" x14ac:dyDescent="0.25"/>
    <row r="258487" customFormat="1" x14ac:dyDescent="0.25"/>
    <row r="258488" customFormat="1" x14ac:dyDescent="0.25"/>
    <row r="258489" customFormat="1" x14ac:dyDescent="0.25"/>
    <row r="258490" customFormat="1" x14ac:dyDescent="0.25"/>
    <row r="258491" customFormat="1" x14ac:dyDescent="0.25"/>
    <row r="258492" customFormat="1" x14ac:dyDescent="0.25"/>
    <row r="258493" customFormat="1" x14ac:dyDescent="0.25"/>
    <row r="258494" customFormat="1" x14ac:dyDescent="0.25"/>
    <row r="258495" customFormat="1" x14ac:dyDescent="0.25"/>
    <row r="258496" customFormat="1" x14ac:dyDescent="0.25"/>
    <row r="258497" customFormat="1" x14ac:dyDescent="0.25"/>
    <row r="258498" customFormat="1" x14ac:dyDescent="0.25"/>
    <row r="258499" customFormat="1" x14ac:dyDescent="0.25"/>
    <row r="258500" customFormat="1" x14ac:dyDescent="0.25"/>
    <row r="258501" customFormat="1" x14ac:dyDescent="0.25"/>
    <row r="258502" customFormat="1" x14ac:dyDescent="0.25"/>
    <row r="258503" customFormat="1" x14ac:dyDescent="0.25"/>
    <row r="258504" customFormat="1" x14ac:dyDescent="0.25"/>
    <row r="258505" customFormat="1" x14ac:dyDescent="0.25"/>
    <row r="258506" customFormat="1" x14ac:dyDescent="0.25"/>
    <row r="258507" customFormat="1" x14ac:dyDescent="0.25"/>
    <row r="258508" customFormat="1" x14ac:dyDescent="0.25"/>
    <row r="258509" customFormat="1" x14ac:dyDescent="0.25"/>
    <row r="258510" customFormat="1" x14ac:dyDescent="0.25"/>
    <row r="258511" customFormat="1" x14ac:dyDescent="0.25"/>
    <row r="258512" customFormat="1" x14ac:dyDescent="0.25"/>
    <row r="258513" customFormat="1" x14ac:dyDescent="0.25"/>
    <row r="258514" customFormat="1" x14ac:dyDescent="0.25"/>
    <row r="258515" customFormat="1" x14ac:dyDescent="0.25"/>
    <row r="258516" customFormat="1" x14ac:dyDescent="0.25"/>
    <row r="258517" customFormat="1" x14ac:dyDescent="0.25"/>
    <row r="258518" customFormat="1" x14ac:dyDescent="0.25"/>
    <row r="258519" customFormat="1" x14ac:dyDescent="0.25"/>
    <row r="258520" customFormat="1" x14ac:dyDescent="0.25"/>
    <row r="258521" customFormat="1" x14ac:dyDescent="0.25"/>
    <row r="258522" customFormat="1" x14ac:dyDescent="0.25"/>
    <row r="258523" customFormat="1" x14ac:dyDescent="0.25"/>
    <row r="258524" customFormat="1" x14ac:dyDescent="0.25"/>
    <row r="258525" customFormat="1" x14ac:dyDescent="0.25"/>
    <row r="258526" customFormat="1" x14ac:dyDescent="0.25"/>
    <row r="258527" customFormat="1" x14ac:dyDescent="0.25"/>
    <row r="258528" customFormat="1" x14ac:dyDescent="0.25"/>
    <row r="258529" customFormat="1" x14ac:dyDescent="0.25"/>
    <row r="258530" customFormat="1" x14ac:dyDescent="0.25"/>
    <row r="258531" customFormat="1" x14ac:dyDescent="0.25"/>
    <row r="258532" customFormat="1" x14ac:dyDescent="0.25"/>
    <row r="258533" customFormat="1" x14ac:dyDescent="0.25"/>
    <row r="258534" customFormat="1" x14ac:dyDescent="0.25"/>
    <row r="258535" customFormat="1" x14ac:dyDescent="0.25"/>
    <row r="258536" customFormat="1" x14ac:dyDescent="0.25"/>
    <row r="258537" customFormat="1" x14ac:dyDescent="0.25"/>
    <row r="258538" customFormat="1" x14ac:dyDescent="0.25"/>
    <row r="258539" customFormat="1" x14ac:dyDescent="0.25"/>
    <row r="258540" customFormat="1" x14ac:dyDescent="0.25"/>
    <row r="258541" customFormat="1" x14ac:dyDescent="0.25"/>
    <row r="258542" customFormat="1" x14ac:dyDescent="0.25"/>
    <row r="258543" customFormat="1" x14ac:dyDescent="0.25"/>
    <row r="258544" customFormat="1" x14ac:dyDescent="0.25"/>
    <row r="258545" customFormat="1" x14ac:dyDescent="0.25"/>
    <row r="258546" customFormat="1" x14ac:dyDescent="0.25"/>
    <row r="258547" customFormat="1" x14ac:dyDescent="0.25"/>
    <row r="258548" customFormat="1" x14ac:dyDescent="0.25"/>
    <row r="258549" customFormat="1" x14ac:dyDescent="0.25"/>
    <row r="258550" customFormat="1" x14ac:dyDescent="0.25"/>
    <row r="258551" customFormat="1" x14ac:dyDescent="0.25"/>
    <row r="258552" customFormat="1" x14ac:dyDescent="0.25"/>
    <row r="258553" customFormat="1" x14ac:dyDescent="0.25"/>
    <row r="258554" customFormat="1" x14ac:dyDescent="0.25"/>
    <row r="258555" customFormat="1" x14ac:dyDescent="0.25"/>
    <row r="258556" customFormat="1" x14ac:dyDescent="0.25"/>
    <row r="258557" customFormat="1" x14ac:dyDescent="0.25"/>
    <row r="258558" customFormat="1" x14ac:dyDescent="0.25"/>
    <row r="258559" customFormat="1" x14ac:dyDescent="0.25"/>
    <row r="258560" customFormat="1" x14ac:dyDescent="0.25"/>
    <row r="258561" customFormat="1" x14ac:dyDescent="0.25"/>
    <row r="258562" customFormat="1" x14ac:dyDescent="0.25"/>
    <row r="258563" customFormat="1" x14ac:dyDescent="0.25"/>
    <row r="258564" customFormat="1" x14ac:dyDescent="0.25"/>
    <row r="258565" customFormat="1" x14ac:dyDescent="0.25"/>
    <row r="258566" customFormat="1" x14ac:dyDescent="0.25"/>
    <row r="258567" customFormat="1" x14ac:dyDescent="0.25"/>
    <row r="258568" customFormat="1" x14ac:dyDescent="0.25"/>
    <row r="258569" customFormat="1" x14ac:dyDescent="0.25"/>
    <row r="258570" customFormat="1" x14ac:dyDescent="0.25"/>
    <row r="258571" customFormat="1" x14ac:dyDescent="0.25"/>
    <row r="258572" customFormat="1" x14ac:dyDescent="0.25"/>
    <row r="258573" customFormat="1" x14ac:dyDescent="0.25"/>
    <row r="258574" customFormat="1" x14ac:dyDescent="0.25"/>
    <row r="258575" customFormat="1" x14ac:dyDescent="0.25"/>
    <row r="258576" customFormat="1" x14ac:dyDescent="0.25"/>
    <row r="258577" customFormat="1" x14ac:dyDescent="0.25"/>
    <row r="258578" customFormat="1" x14ac:dyDescent="0.25"/>
    <row r="258579" customFormat="1" x14ac:dyDescent="0.25"/>
    <row r="258580" customFormat="1" x14ac:dyDescent="0.25"/>
    <row r="258581" customFormat="1" x14ac:dyDescent="0.25"/>
    <row r="258582" customFormat="1" x14ac:dyDescent="0.25"/>
    <row r="258583" customFormat="1" x14ac:dyDescent="0.25"/>
    <row r="258584" customFormat="1" x14ac:dyDescent="0.25"/>
    <row r="258585" customFormat="1" x14ac:dyDescent="0.25"/>
    <row r="258586" customFormat="1" x14ac:dyDescent="0.25"/>
    <row r="258587" customFormat="1" x14ac:dyDescent="0.25"/>
    <row r="258588" customFormat="1" x14ac:dyDescent="0.25"/>
    <row r="258589" customFormat="1" x14ac:dyDescent="0.25"/>
    <row r="258590" customFormat="1" x14ac:dyDescent="0.25"/>
    <row r="258591" customFormat="1" x14ac:dyDescent="0.25"/>
    <row r="258592" customFormat="1" x14ac:dyDescent="0.25"/>
    <row r="258593" customFormat="1" x14ac:dyDescent="0.25"/>
    <row r="258594" customFormat="1" x14ac:dyDescent="0.25"/>
    <row r="258595" customFormat="1" x14ac:dyDescent="0.25"/>
    <row r="258596" customFormat="1" x14ac:dyDescent="0.25"/>
    <row r="258597" customFormat="1" x14ac:dyDescent="0.25"/>
    <row r="258598" customFormat="1" x14ac:dyDescent="0.25"/>
    <row r="258599" customFormat="1" x14ac:dyDescent="0.25"/>
    <row r="258600" customFormat="1" x14ac:dyDescent="0.25"/>
    <row r="258601" customFormat="1" x14ac:dyDescent="0.25"/>
    <row r="258602" customFormat="1" x14ac:dyDescent="0.25"/>
    <row r="258603" customFormat="1" x14ac:dyDescent="0.25"/>
    <row r="258604" customFormat="1" x14ac:dyDescent="0.25"/>
    <row r="258605" customFormat="1" x14ac:dyDescent="0.25"/>
    <row r="258606" customFormat="1" x14ac:dyDescent="0.25"/>
    <row r="258607" customFormat="1" x14ac:dyDescent="0.25"/>
    <row r="258608" customFormat="1" x14ac:dyDescent="0.25"/>
    <row r="258609" customFormat="1" x14ac:dyDescent="0.25"/>
    <row r="258610" customFormat="1" x14ac:dyDescent="0.25"/>
    <row r="258611" customFormat="1" x14ac:dyDescent="0.25"/>
    <row r="258612" customFormat="1" x14ac:dyDescent="0.25"/>
    <row r="258613" customFormat="1" x14ac:dyDescent="0.25"/>
    <row r="258614" customFormat="1" x14ac:dyDescent="0.25"/>
    <row r="258615" customFormat="1" x14ac:dyDescent="0.25"/>
    <row r="258616" customFormat="1" x14ac:dyDescent="0.25"/>
    <row r="258617" customFormat="1" x14ac:dyDescent="0.25"/>
    <row r="258618" customFormat="1" x14ac:dyDescent="0.25"/>
    <row r="258619" customFormat="1" x14ac:dyDescent="0.25"/>
    <row r="258620" customFormat="1" x14ac:dyDescent="0.25"/>
    <row r="258621" customFormat="1" x14ac:dyDescent="0.25"/>
    <row r="258622" customFormat="1" x14ac:dyDescent="0.25"/>
    <row r="258623" customFormat="1" x14ac:dyDescent="0.25"/>
    <row r="258624" customFormat="1" x14ac:dyDescent="0.25"/>
    <row r="258625" customFormat="1" x14ac:dyDescent="0.25"/>
    <row r="258626" customFormat="1" x14ac:dyDescent="0.25"/>
    <row r="258627" customFormat="1" x14ac:dyDescent="0.25"/>
    <row r="258628" customFormat="1" x14ac:dyDescent="0.25"/>
    <row r="258629" customFormat="1" x14ac:dyDescent="0.25"/>
    <row r="258630" customFormat="1" x14ac:dyDescent="0.25"/>
    <row r="258631" customFormat="1" x14ac:dyDescent="0.25"/>
    <row r="258632" customFormat="1" x14ac:dyDescent="0.25"/>
    <row r="258633" customFormat="1" x14ac:dyDescent="0.25"/>
    <row r="258634" customFormat="1" x14ac:dyDescent="0.25"/>
    <row r="258635" customFormat="1" x14ac:dyDescent="0.25"/>
    <row r="258636" customFormat="1" x14ac:dyDescent="0.25"/>
    <row r="258637" customFormat="1" x14ac:dyDescent="0.25"/>
    <row r="258638" customFormat="1" x14ac:dyDescent="0.25"/>
    <row r="258639" customFormat="1" x14ac:dyDescent="0.25"/>
    <row r="258640" customFormat="1" x14ac:dyDescent="0.25"/>
    <row r="258641" customFormat="1" x14ac:dyDescent="0.25"/>
    <row r="258642" customFormat="1" x14ac:dyDescent="0.25"/>
    <row r="258643" customFormat="1" x14ac:dyDescent="0.25"/>
    <row r="258644" customFormat="1" x14ac:dyDescent="0.25"/>
    <row r="258645" customFormat="1" x14ac:dyDescent="0.25"/>
    <row r="258646" customFormat="1" x14ac:dyDescent="0.25"/>
    <row r="258647" customFormat="1" x14ac:dyDescent="0.25"/>
    <row r="258648" customFormat="1" x14ac:dyDescent="0.25"/>
    <row r="258649" customFormat="1" x14ac:dyDescent="0.25"/>
    <row r="258650" customFormat="1" x14ac:dyDescent="0.25"/>
    <row r="258651" customFormat="1" x14ac:dyDescent="0.25"/>
    <row r="258652" customFormat="1" x14ac:dyDescent="0.25"/>
    <row r="258653" customFormat="1" x14ac:dyDescent="0.25"/>
    <row r="258654" customFormat="1" x14ac:dyDescent="0.25"/>
    <row r="258655" customFormat="1" x14ac:dyDescent="0.25"/>
    <row r="258656" customFormat="1" x14ac:dyDescent="0.25"/>
    <row r="258657" customFormat="1" x14ac:dyDescent="0.25"/>
    <row r="258658" customFormat="1" x14ac:dyDescent="0.25"/>
    <row r="258659" customFormat="1" x14ac:dyDescent="0.25"/>
    <row r="258660" customFormat="1" x14ac:dyDescent="0.25"/>
    <row r="258661" customFormat="1" x14ac:dyDescent="0.25"/>
    <row r="258662" customFormat="1" x14ac:dyDescent="0.25"/>
    <row r="258663" customFormat="1" x14ac:dyDescent="0.25"/>
    <row r="258664" customFormat="1" x14ac:dyDescent="0.25"/>
    <row r="258665" customFormat="1" x14ac:dyDescent="0.25"/>
    <row r="258666" customFormat="1" x14ac:dyDescent="0.25"/>
    <row r="258667" customFormat="1" x14ac:dyDescent="0.25"/>
    <row r="258668" customFormat="1" x14ac:dyDescent="0.25"/>
    <row r="258669" customFormat="1" x14ac:dyDescent="0.25"/>
    <row r="258670" customFormat="1" x14ac:dyDescent="0.25"/>
    <row r="258671" customFormat="1" x14ac:dyDescent="0.25"/>
    <row r="258672" customFormat="1" x14ac:dyDescent="0.25"/>
    <row r="258673" customFormat="1" x14ac:dyDescent="0.25"/>
    <row r="258674" customFormat="1" x14ac:dyDescent="0.25"/>
    <row r="258675" customFormat="1" x14ac:dyDescent="0.25"/>
    <row r="258676" customFormat="1" x14ac:dyDescent="0.25"/>
    <row r="258677" customFormat="1" x14ac:dyDescent="0.25"/>
    <row r="258678" customFormat="1" x14ac:dyDescent="0.25"/>
    <row r="258679" customFormat="1" x14ac:dyDescent="0.25"/>
    <row r="258680" customFormat="1" x14ac:dyDescent="0.25"/>
    <row r="258681" customFormat="1" x14ac:dyDescent="0.25"/>
    <row r="258682" customFormat="1" x14ac:dyDescent="0.25"/>
    <row r="258683" customFormat="1" x14ac:dyDescent="0.25"/>
    <row r="258684" customFormat="1" x14ac:dyDescent="0.25"/>
    <row r="258685" customFormat="1" x14ac:dyDescent="0.25"/>
    <row r="258686" customFormat="1" x14ac:dyDescent="0.25"/>
    <row r="258687" customFormat="1" x14ac:dyDescent="0.25"/>
    <row r="258688" customFormat="1" x14ac:dyDescent="0.25"/>
    <row r="258689" customFormat="1" x14ac:dyDescent="0.25"/>
    <row r="258690" customFormat="1" x14ac:dyDescent="0.25"/>
    <row r="258691" customFormat="1" x14ac:dyDescent="0.25"/>
    <row r="258692" customFormat="1" x14ac:dyDescent="0.25"/>
    <row r="258693" customFormat="1" x14ac:dyDescent="0.25"/>
    <row r="258694" customFormat="1" x14ac:dyDescent="0.25"/>
    <row r="258695" customFormat="1" x14ac:dyDescent="0.25"/>
    <row r="258696" customFormat="1" x14ac:dyDescent="0.25"/>
    <row r="258697" customFormat="1" x14ac:dyDescent="0.25"/>
    <row r="258698" customFormat="1" x14ac:dyDescent="0.25"/>
    <row r="258699" customFormat="1" x14ac:dyDescent="0.25"/>
    <row r="258700" customFormat="1" x14ac:dyDescent="0.25"/>
    <row r="258701" customFormat="1" x14ac:dyDescent="0.25"/>
    <row r="258702" customFormat="1" x14ac:dyDescent="0.25"/>
    <row r="258703" customFormat="1" x14ac:dyDescent="0.25"/>
    <row r="258704" customFormat="1" x14ac:dyDescent="0.25"/>
    <row r="258705" customFormat="1" x14ac:dyDescent="0.25"/>
    <row r="258706" customFormat="1" x14ac:dyDescent="0.25"/>
    <row r="258707" customFormat="1" x14ac:dyDescent="0.25"/>
    <row r="258708" customFormat="1" x14ac:dyDescent="0.25"/>
    <row r="258709" customFormat="1" x14ac:dyDescent="0.25"/>
    <row r="258710" customFormat="1" x14ac:dyDescent="0.25"/>
    <row r="258711" customFormat="1" x14ac:dyDescent="0.25"/>
    <row r="258712" customFormat="1" x14ac:dyDescent="0.25"/>
    <row r="258713" customFormat="1" x14ac:dyDescent="0.25"/>
    <row r="258714" customFormat="1" x14ac:dyDescent="0.25"/>
    <row r="258715" customFormat="1" x14ac:dyDescent="0.25"/>
    <row r="258716" customFormat="1" x14ac:dyDescent="0.25"/>
    <row r="258717" customFormat="1" x14ac:dyDescent="0.25"/>
    <row r="258718" customFormat="1" x14ac:dyDescent="0.25"/>
    <row r="258719" customFormat="1" x14ac:dyDescent="0.25"/>
    <row r="258720" customFormat="1" x14ac:dyDescent="0.25"/>
    <row r="258721" customFormat="1" x14ac:dyDescent="0.25"/>
    <row r="258722" customFormat="1" x14ac:dyDescent="0.25"/>
    <row r="258723" customFormat="1" x14ac:dyDescent="0.25"/>
    <row r="258724" customFormat="1" x14ac:dyDescent="0.25"/>
    <row r="258725" customFormat="1" x14ac:dyDescent="0.25"/>
    <row r="258726" customFormat="1" x14ac:dyDescent="0.25"/>
    <row r="258727" customFormat="1" x14ac:dyDescent="0.25"/>
    <row r="258728" customFormat="1" x14ac:dyDescent="0.25"/>
    <row r="258729" customFormat="1" x14ac:dyDescent="0.25"/>
    <row r="258730" customFormat="1" x14ac:dyDescent="0.25"/>
    <row r="258731" customFormat="1" x14ac:dyDescent="0.25"/>
    <row r="258732" customFormat="1" x14ac:dyDescent="0.25"/>
    <row r="258733" customFormat="1" x14ac:dyDescent="0.25"/>
    <row r="258734" customFormat="1" x14ac:dyDescent="0.25"/>
    <row r="258735" customFormat="1" x14ac:dyDescent="0.25"/>
    <row r="258736" customFormat="1" x14ac:dyDescent="0.25"/>
    <row r="258737" customFormat="1" x14ac:dyDescent="0.25"/>
    <row r="258738" customFormat="1" x14ac:dyDescent="0.25"/>
    <row r="258739" customFormat="1" x14ac:dyDescent="0.25"/>
    <row r="258740" customFormat="1" x14ac:dyDescent="0.25"/>
    <row r="258741" customFormat="1" x14ac:dyDescent="0.25"/>
    <row r="258742" customFormat="1" x14ac:dyDescent="0.25"/>
    <row r="258743" customFormat="1" x14ac:dyDescent="0.25"/>
    <row r="258744" customFormat="1" x14ac:dyDescent="0.25"/>
    <row r="258745" customFormat="1" x14ac:dyDescent="0.25"/>
    <row r="258746" customFormat="1" x14ac:dyDescent="0.25"/>
    <row r="258747" customFormat="1" x14ac:dyDescent="0.25"/>
    <row r="258748" customFormat="1" x14ac:dyDescent="0.25"/>
    <row r="258749" customFormat="1" x14ac:dyDescent="0.25"/>
    <row r="258750" customFormat="1" x14ac:dyDescent="0.25"/>
    <row r="258751" customFormat="1" x14ac:dyDescent="0.25"/>
    <row r="258752" customFormat="1" x14ac:dyDescent="0.25"/>
    <row r="258753" customFormat="1" x14ac:dyDescent="0.25"/>
    <row r="258754" customFormat="1" x14ac:dyDescent="0.25"/>
    <row r="258755" customFormat="1" x14ac:dyDescent="0.25"/>
    <row r="258756" customFormat="1" x14ac:dyDescent="0.25"/>
    <row r="258757" customFormat="1" x14ac:dyDescent="0.25"/>
    <row r="258758" customFormat="1" x14ac:dyDescent="0.25"/>
    <row r="258759" customFormat="1" x14ac:dyDescent="0.25"/>
    <row r="258760" customFormat="1" x14ac:dyDescent="0.25"/>
    <row r="258761" customFormat="1" x14ac:dyDescent="0.25"/>
    <row r="258762" customFormat="1" x14ac:dyDescent="0.25"/>
    <row r="258763" customFormat="1" x14ac:dyDescent="0.25"/>
    <row r="258764" customFormat="1" x14ac:dyDescent="0.25"/>
    <row r="258765" customFormat="1" x14ac:dyDescent="0.25"/>
    <row r="258766" customFormat="1" x14ac:dyDescent="0.25"/>
    <row r="258767" customFormat="1" x14ac:dyDescent="0.25"/>
    <row r="258768" customFormat="1" x14ac:dyDescent="0.25"/>
    <row r="258769" customFormat="1" x14ac:dyDescent="0.25"/>
    <row r="258770" customFormat="1" x14ac:dyDescent="0.25"/>
    <row r="258771" customFormat="1" x14ac:dyDescent="0.25"/>
    <row r="258772" customFormat="1" x14ac:dyDescent="0.25"/>
    <row r="258773" customFormat="1" x14ac:dyDescent="0.25"/>
    <row r="258774" customFormat="1" x14ac:dyDescent="0.25"/>
    <row r="258775" customFormat="1" x14ac:dyDescent="0.25"/>
    <row r="258776" customFormat="1" x14ac:dyDescent="0.25"/>
    <row r="258777" customFormat="1" x14ac:dyDescent="0.25"/>
    <row r="258778" customFormat="1" x14ac:dyDescent="0.25"/>
    <row r="258779" customFormat="1" x14ac:dyDescent="0.25"/>
    <row r="258780" customFormat="1" x14ac:dyDescent="0.25"/>
    <row r="258781" customFormat="1" x14ac:dyDescent="0.25"/>
    <row r="258782" customFormat="1" x14ac:dyDescent="0.25"/>
    <row r="258783" customFormat="1" x14ac:dyDescent="0.25"/>
    <row r="258784" customFormat="1" x14ac:dyDescent="0.25"/>
    <row r="258785" customFormat="1" x14ac:dyDescent="0.25"/>
    <row r="258786" customFormat="1" x14ac:dyDescent="0.25"/>
    <row r="258787" customFormat="1" x14ac:dyDescent="0.25"/>
    <row r="258788" customFormat="1" x14ac:dyDescent="0.25"/>
    <row r="258789" customFormat="1" x14ac:dyDescent="0.25"/>
    <row r="258790" customFormat="1" x14ac:dyDescent="0.25"/>
    <row r="258791" customFormat="1" x14ac:dyDescent="0.25"/>
    <row r="258792" customFormat="1" x14ac:dyDescent="0.25"/>
    <row r="258793" customFormat="1" x14ac:dyDescent="0.25"/>
    <row r="258794" customFormat="1" x14ac:dyDescent="0.25"/>
    <row r="258795" customFormat="1" x14ac:dyDescent="0.25"/>
    <row r="258796" customFormat="1" x14ac:dyDescent="0.25"/>
    <row r="258797" customFormat="1" x14ac:dyDescent="0.25"/>
    <row r="258798" customFormat="1" x14ac:dyDescent="0.25"/>
    <row r="258799" customFormat="1" x14ac:dyDescent="0.25"/>
    <row r="258800" customFormat="1" x14ac:dyDescent="0.25"/>
    <row r="258801" customFormat="1" x14ac:dyDescent="0.25"/>
    <row r="258802" customFormat="1" x14ac:dyDescent="0.25"/>
    <row r="258803" customFormat="1" x14ac:dyDescent="0.25"/>
    <row r="258804" customFormat="1" x14ac:dyDescent="0.25"/>
    <row r="258805" customFormat="1" x14ac:dyDescent="0.25"/>
    <row r="258806" customFormat="1" x14ac:dyDescent="0.25"/>
    <row r="258807" customFormat="1" x14ac:dyDescent="0.25"/>
    <row r="258808" customFormat="1" x14ac:dyDescent="0.25"/>
    <row r="258809" customFormat="1" x14ac:dyDescent="0.25"/>
    <row r="258810" customFormat="1" x14ac:dyDescent="0.25"/>
    <row r="258811" customFormat="1" x14ac:dyDescent="0.25"/>
    <row r="258812" customFormat="1" x14ac:dyDescent="0.25"/>
    <row r="258813" customFormat="1" x14ac:dyDescent="0.25"/>
    <row r="258814" customFormat="1" x14ac:dyDescent="0.25"/>
    <row r="258815" customFormat="1" x14ac:dyDescent="0.25"/>
    <row r="258816" customFormat="1" x14ac:dyDescent="0.25"/>
    <row r="258817" customFormat="1" x14ac:dyDescent="0.25"/>
    <row r="258818" customFormat="1" x14ac:dyDescent="0.25"/>
    <row r="258819" customFormat="1" x14ac:dyDescent="0.25"/>
    <row r="258820" customFormat="1" x14ac:dyDescent="0.25"/>
    <row r="258821" customFormat="1" x14ac:dyDescent="0.25"/>
    <row r="258822" customFormat="1" x14ac:dyDescent="0.25"/>
    <row r="258823" customFormat="1" x14ac:dyDescent="0.25"/>
    <row r="258824" customFormat="1" x14ac:dyDescent="0.25"/>
    <row r="258825" customFormat="1" x14ac:dyDescent="0.25"/>
    <row r="258826" customFormat="1" x14ac:dyDescent="0.25"/>
    <row r="258827" customFormat="1" x14ac:dyDescent="0.25"/>
    <row r="258828" customFormat="1" x14ac:dyDescent="0.25"/>
    <row r="258829" customFormat="1" x14ac:dyDescent="0.25"/>
    <row r="258830" customFormat="1" x14ac:dyDescent="0.25"/>
    <row r="258831" customFormat="1" x14ac:dyDescent="0.25"/>
    <row r="258832" customFormat="1" x14ac:dyDescent="0.25"/>
    <row r="258833" customFormat="1" x14ac:dyDescent="0.25"/>
    <row r="258834" customFormat="1" x14ac:dyDescent="0.25"/>
    <row r="258835" customFormat="1" x14ac:dyDescent="0.25"/>
    <row r="258836" customFormat="1" x14ac:dyDescent="0.25"/>
    <row r="258837" customFormat="1" x14ac:dyDescent="0.25"/>
    <row r="258838" customFormat="1" x14ac:dyDescent="0.25"/>
    <row r="258839" customFormat="1" x14ac:dyDescent="0.25"/>
    <row r="258840" customFormat="1" x14ac:dyDescent="0.25"/>
    <row r="258841" customFormat="1" x14ac:dyDescent="0.25"/>
    <row r="258842" customFormat="1" x14ac:dyDescent="0.25"/>
    <row r="258843" customFormat="1" x14ac:dyDescent="0.25"/>
    <row r="258844" customFormat="1" x14ac:dyDescent="0.25"/>
    <row r="258845" customFormat="1" x14ac:dyDescent="0.25"/>
    <row r="258846" customFormat="1" x14ac:dyDescent="0.25"/>
    <row r="258847" customFormat="1" x14ac:dyDescent="0.25"/>
    <row r="258848" customFormat="1" x14ac:dyDescent="0.25"/>
    <row r="258849" customFormat="1" x14ac:dyDescent="0.25"/>
    <row r="258850" customFormat="1" x14ac:dyDescent="0.25"/>
    <row r="258851" customFormat="1" x14ac:dyDescent="0.25"/>
    <row r="258852" customFormat="1" x14ac:dyDescent="0.25"/>
    <row r="258853" customFormat="1" x14ac:dyDescent="0.25"/>
    <row r="258854" customFormat="1" x14ac:dyDescent="0.25"/>
    <row r="258855" customFormat="1" x14ac:dyDescent="0.25"/>
    <row r="258856" customFormat="1" x14ac:dyDescent="0.25"/>
    <row r="258857" customFormat="1" x14ac:dyDescent="0.25"/>
    <row r="258858" customFormat="1" x14ac:dyDescent="0.25"/>
    <row r="258859" customFormat="1" x14ac:dyDescent="0.25"/>
    <row r="258860" customFormat="1" x14ac:dyDescent="0.25"/>
    <row r="258861" customFormat="1" x14ac:dyDescent="0.25"/>
    <row r="258862" customFormat="1" x14ac:dyDescent="0.25"/>
    <row r="258863" customFormat="1" x14ac:dyDescent="0.25"/>
    <row r="258864" customFormat="1" x14ac:dyDescent="0.25"/>
    <row r="258865" customFormat="1" x14ac:dyDescent="0.25"/>
    <row r="258866" customFormat="1" x14ac:dyDescent="0.25"/>
    <row r="258867" customFormat="1" x14ac:dyDescent="0.25"/>
    <row r="258868" customFormat="1" x14ac:dyDescent="0.25"/>
    <row r="258869" customFormat="1" x14ac:dyDescent="0.25"/>
    <row r="258870" customFormat="1" x14ac:dyDescent="0.25"/>
    <row r="258871" customFormat="1" x14ac:dyDescent="0.25"/>
    <row r="258872" customFormat="1" x14ac:dyDescent="0.25"/>
    <row r="258873" customFormat="1" x14ac:dyDescent="0.25"/>
    <row r="258874" customFormat="1" x14ac:dyDescent="0.25"/>
    <row r="258875" customFormat="1" x14ac:dyDescent="0.25"/>
    <row r="258876" customFormat="1" x14ac:dyDescent="0.25"/>
    <row r="258877" customFormat="1" x14ac:dyDescent="0.25"/>
    <row r="258878" customFormat="1" x14ac:dyDescent="0.25"/>
    <row r="258879" customFormat="1" x14ac:dyDescent="0.25"/>
    <row r="258880" customFormat="1" x14ac:dyDescent="0.25"/>
    <row r="258881" customFormat="1" x14ac:dyDescent="0.25"/>
    <row r="258882" customFormat="1" x14ac:dyDescent="0.25"/>
    <row r="258883" customFormat="1" x14ac:dyDescent="0.25"/>
    <row r="258884" customFormat="1" x14ac:dyDescent="0.25"/>
    <row r="258885" customFormat="1" x14ac:dyDescent="0.25"/>
    <row r="258886" customFormat="1" x14ac:dyDescent="0.25"/>
    <row r="258887" customFormat="1" x14ac:dyDescent="0.25"/>
    <row r="258888" customFormat="1" x14ac:dyDescent="0.25"/>
    <row r="258889" customFormat="1" x14ac:dyDescent="0.25"/>
    <row r="258890" customFormat="1" x14ac:dyDescent="0.25"/>
    <row r="258891" customFormat="1" x14ac:dyDescent="0.25"/>
    <row r="258892" customFormat="1" x14ac:dyDescent="0.25"/>
    <row r="258893" customFormat="1" x14ac:dyDescent="0.25"/>
    <row r="258894" customFormat="1" x14ac:dyDescent="0.25"/>
    <row r="258895" customFormat="1" x14ac:dyDescent="0.25"/>
    <row r="258896" customFormat="1" x14ac:dyDescent="0.25"/>
    <row r="258897" customFormat="1" x14ac:dyDescent="0.25"/>
    <row r="258898" customFormat="1" x14ac:dyDescent="0.25"/>
    <row r="258899" customFormat="1" x14ac:dyDescent="0.25"/>
    <row r="258900" customFormat="1" x14ac:dyDescent="0.25"/>
    <row r="258901" customFormat="1" x14ac:dyDescent="0.25"/>
    <row r="258902" customFormat="1" x14ac:dyDescent="0.25"/>
    <row r="258903" customFormat="1" x14ac:dyDescent="0.25"/>
    <row r="258904" customFormat="1" x14ac:dyDescent="0.25"/>
    <row r="258905" customFormat="1" x14ac:dyDescent="0.25"/>
    <row r="258906" customFormat="1" x14ac:dyDescent="0.25"/>
    <row r="258907" customFormat="1" x14ac:dyDescent="0.25"/>
    <row r="258908" customFormat="1" x14ac:dyDescent="0.25"/>
    <row r="258909" customFormat="1" x14ac:dyDescent="0.25"/>
    <row r="258910" customFormat="1" x14ac:dyDescent="0.25"/>
    <row r="258911" customFormat="1" x14ac:dyDescent="0.25"/>
    <row r="258912" customFormat="1" x14ac:dyDescent="0.25"/>
    <row r="258913" customFormat="1" x14ac:dyDescent="0.25"/>
    <row r="258914" customFormat="1" x14ac:dyDescent="0.25"/>
    <row r="258915" customFormat="1" x14ac:dyDescent="0.25"/>
    <row r="258916" customFormat="1" x14ac:dyDescent="0.25"/>
    <row r="258917" customFormat="1" x14ac:dyDescent="0.25"/>
    <row r="258918" customFormat="1" x14ac:dyDescent="0.25"/>
    <row r="258919" customFormat="1" x14ac:dyDescent="0.25"/>
    <row r="258920" customFormat="1" x14ac:dyDescent="0.25"/>
    <row r="258921" customFormat="1" x14ac:dyDescent="0.25"/>
    <row r="258922" customFormat="1" x14ac:dyDescent="0.25"/>
    <row r="258923" customFormat="1" x14ac:dyDescent="0.25"/>
    <row r="258924" customFormat="1" x14ac:dyDescent="0.25"/>
    <row r="258925" customFormat="1" x14ac:dyDescent="0.25"/>
    <row r="258926" customFormat="1" x14ac:dyDescent="0.25"/>
    <row r="258927" customFormat="1" x14ac:dyDescent="0.25"/>
    <row r="258928" customFormat="1" x14ac:dyDescent="0.25"/>
    <row r="258929" customFormat="1" x14ac:dyDescent="0.25"/>
    <row r="258930" customFormat="1" x14ac:dyDescent="0.25"/>
    <row r="258931" customFormat="1" x14ac:dyDescent="0.25"/>
    <row r="258932" customFormat="1" x14ac:dyDescent="0.25"/>
    <row r="258933" customFormat="1" x14ac:dyDescent="0.25"/>
    <row r="258934" customFormat="1" x14ac:dyDescent="0.25"/>
    <row r="258935" customFormat="1" x14ac:dyDescent="0.25"/>
    <row r="258936" customFormat="1" x14ac:dyDescent="0.25"/>
    <row r="258937" customFormat="1" x14ac:dyDescent="0.25"/>
    <row r="258938" customFormat="1" x14ac:dyDescent="0.25"/>
    <row r="258939" customFormat="1" x14ac:dyDescent="0.25"/>
    <row r="258940" customFormat="1" x14ac:dyDescent="0.25"/>
    <row r="258941" customFormat="1" x14ac:dyDescent="0.25"/>
    <row r="258942" customFormat="1" x14ac:dyDescent="0.25"/>
    <row r="258943" customFormat="1" x14ac:dyDescent="0.25"/>
    <row r="258944" customFormat="1" x14ac:dyDescent="0.25"/>
    <row r="258945" customFormat="1" x14ac:dyDescent="0.25"/>
    <row r="258946" customFormat="1" x14ac:dyDescent="0.25"/>
    <row r="258947" customFormat="1" x14ac:dyDescent="0.25"/>
    <row r="258948" customFormat="1" x14ac:dyDescent="0.25"/>
    <row r="258949" customFormat="1" x14ac:dyDescent="0.25"/>
    <row r="258950" customFormat="1" x14ac:dyDescent="0.25"/>
    <row r="258951" customFormat="1" x14ac:dyDescent="0.25"/>
    <row r="258952" customFormat="1" x14ac:dyDescent="0.25"/>
    <row r="258953" customFormat="1" x14ac:dyDescent="0.25"/>
    <row r="258954" customFormat="1" x14ac:dyDescent="0.25"/>
    <row r="258955" customFormat="1" x14ac:dyDescent="0.25"/>
    <row r="258956" customFormat="1" x14ac:dyDescent="0.25"/>
    <row r="258957" customFormat="1" x14ac:dyDescent="0.25"/>
    <row r="258958" customFormat="1" x14ac:dyDescent="0.25"/>
    <row r="258959" customFormat="1" x14ac:dyDescent="0.25"/>
    <row r="258960" customFormat="1" x14ac:dyDescent="0.25"/>
    <row r="258961" customFormat="1" x14ac:dyDescent="0.25"/>
    <row r="258962" customFormat="1" x14ac:dyDescent="0.25"/>
    <row r="258963" customFormat="1" x14ac:dyDescent="0.25"/>
    <row r="258964" customFormat="1" x14ac:dyDescent="0.25"/>
    <row r="258965" customFormat="1" x14ac:dyDescent="0.25"/>
    <row r="258966" customFormat="1" x14ac:dyDescent="0.25"/>
    <row r="258967" customFormat="1" x14ac:dyDescent="0.25"/>
    <row r="258968" customFormat="1" x14ac:dyDescent="0.25"/>
    <row r="258969" customFormat="1" x14ac:dyDescent="0.25"/>
    <row r="258970" customFormat="1" x14ac:dyDescent="0.25"/>
    <row r="258971" customFormat="1" x14ac:dyDescent="0.25"/>
    <row r="258972" customFormat="1" x14ac:dyDescent="0.25"/>
    <row r="258973" customFormat="1" x14ac:dyDescent="0.25"/>
    <row r="258974" customFormat="1" x14ac:dyDescent="0.25"/>
    <row r="258975" customFormat="1" x14ac:dyDescent="0.25"/>
    <row r="258976" customFormat="1" x14ac:dyDescent="0.25"/>
    <row r="258977" customFormat="1" x14ac:dyDescent="0.25"/>
    <row r="258978" customFormat="1" x14ac:dyDescent="0.25"/>
    <row r="258979" customFormat="1" x14ac:dyDescent="0.25"/>
    <row r="258980" customFormat="1" x14ac:dyDescent="0.25"/>
    <row r="258981" customFormat="1" x14ac:dyDescent="0.25"/>
    <row r="258982" customFormat="1" x14ac:dyDescent="0.25"/>
    <row r="258983" customFormat="1" x14ac:dyDescent="0.25"/>
    <row r="258984" customFormat="1" x14ac:dyDescent="0.25"/>
    <row r="258985" customFormat="1" x14ac:dyDescent="0.25"/>
    <row r="258986" customFormat="1" x14ac:dyDescent="0.25"/>
    <row r="258987" customFormat="1" x14ac:dyDescent="0.25"/>
    <row r="258988" customFormat="1" x14ac:dyDescent="0.25"/>
    <row r="258989" customFormat="1" x14ac:dyDescent="0.25"/>
    <row r="258990" customFormat="1" x14ac:dyDescent="0.25"/>
    <row r="258991" customFormat="1" x14ac:dyDescent="0.25"/>
    <row r="258992" customFormat="1" x14ac:dyDescent="0.25"/>
    <row r="258993" customFormat="1" x14ac:dyDescent="0.25"/>
    <row r="258994" customFormat="1" x14ac:dyDescent="0.25"/>
    <row r="258995" customFormat="1" x14ac:dyDescent="0.25"/>
    <row r="258996" customFormat="1" x14ac:dyDescent="0.25"/>
    <row r="258997" customFormat="1" x14ac:dyDescent="0.25"/>
    <row r="258998" customFormat="1" x14ac:dyDescent="0.25"/>
    <row r="258999" customFormat="1" x14ac:dyDescent="0.25"/>
    <row r="259000" customFormat="1" x14ac:dyDescent="0.25"/>
    <row r="259001" customFormat="1" x14ac:dyDescent="0.25"/>
    <row r="259002" customFormat="1" x14ac:dyDescent="0.25"/>
    <row r="259003" customFormat="1" x14ac:dyDescent="0.25"/>
    <row r="259004" customFormat="1" x14ac:dyDescent="0.25"/>
    <row r="259005" customFormat="1" x14ac:dyDescent="0.25"/>
    <row r="259006" customFormat="1" x14ac:dyDescent="0.25"/>
    <row r="259007" customFormat="1" x14ac:dyDescent="0.25"/>
    <row r="259008" customFormat="1" x14ac:dyDescent="0.25"/>
    <row r="259009" customFormat="1" x14ac:dyDescent="0.25"/>
    <row r="259010" customFormat="1" x14ac:dyDescent="0.25"/>
    <row r="259011" customFormat="1" x14ac:dyDescent="0.25"/>
    <row r="259012" customFormat="1" x14ac:dyDescent="0.25"/>
    <row r="259013" customFormat="1" x14ac:dyDescent="0.25"/>
    <row r="259014" customFormat="1" x14ac:dyDescent="0.25"/>
    <row r="259015" customFormat="1" x14ac:dyDescent="0.25"/>
    <row r="259016" customFormat="1" x14ac:dyDescent="0.25"/>
    <row r="259017" customFormat="1" x14ac:dyDescent="0.25"/>
    <row r="259018" customFormat="1" x14ac:dyDescent="0.25"/>
    <row r="259019" customFormat="1" x14ac:dyDescent="0.25"/>
    <row r="259020" customFormat="1" x14ac:dyDescent="0.25"/>
    <row r="259021" customFormat="1" x14ac:dyDescent="0.25"/>
    <row r="259022" customFormat="1" x14ac:dyDescent="0.25"/>
    <row r="259023" customFormat="1" x14ac:dyDescent="0.25"/>
    <row r="259024" customFormat="1" x14ac:dyDescent="0.25"/>
    <row r="259025" customFormat="1" x14ac:dyDescent="0.25"/>
    <row r="259026" customFormat="1" x14ac:dyDescent="0.25"/>
    <row r="259027" customFormat="1" x14ac:dyDescent="0.25"/>
    <row r="259028" customFormat="1" x14ac:dyDescent="0.25"/>
    <row r="259029" customFormat="1" x14ac:dyDescent="0.25"/>
    <row r="259030" customFormat="1" x14ac:dyDescent="0.25"/>
    <row r="259031" customFormat="1" x14ac:dyDescent="0.25"/>
    <row r="259032" customFormat="1" x14ac:dyDescent="0.25"/>
    <row r="259033" customFormat="1" x14ac:dyDescent="0.25"/>
    <row r="259034" customFormat="1" x14ac:dyDescent="0.25"/>
    <row r="259035" customFormat="1" x14ac:dyDescent="0.25"/>
    <row r="259036" customFormat="1" x14ac:dyDescent="0.25"/>
    <row r="259037" customFormat="1" x14ac:dyDescent="0.25"/>
    <row r="259038" customFormat="1" x14ac:dyDescent="0.25"/>
    <row r="259039" customFormat="1" x14ac:dyDescent="0.25"/>
    <row r="259040" customFormat="1" x14ac:dyDescent="0.25"/>
    <row r="259041" customFormat="1" x14ac:dyDescent="0.25"/>
    <row r="259042" customFormat="1" x14ac:dyDescent="0.25"/>
    <row r="259043" customFormat="1" x14ac:dyDescent="0.25"/>
    <row r="259044" customFormat="1" x14ac:dyDescent="0.25"/>
    <row r="259045" customFormat="1" x14ac:dyDescent="0.25"/>
    <row r="259046" customFormat="1" x14ac:dyDescent="0.25"/>
    <row r="259047" customFormat="1" x14ac:dyDescent="0.25"/>
    <row r="259048" customFormat="1" x14ac:dyDescent="0.25"/>
    <row r="259049" customFormat="1" x14ac:dyDescent="0.25"/>
    <row r="259050" customFormat="1" x14ac:dyDescent="0.25"/>
    <row r="259051" customFormat="1" x14ac:dyDescent="0.25"/>
    <row r="259052" customFormat="1" x14ac:dyDescent="0.25"/>
    <row r="259053" customFormat="1" x14ac:dyDescent="0.25"/>
    <row r="259054" customFormat="1" x14ac:dyDescent="0.25"/>
    <row r="259055" customFormat="1" x14ac:dyDescent="0.25"/>
    <row r="259056" customFormat="1" x14ac:dyDescent="0.25"/>
    <row r="259057" customFormat="1" x14ac:dyDescent="0.25"/>
    <row r="259058" customFormat="1" x14ac:dyDescent="0.25"/>
    <row r="259059" customFormat="1" x14ac:dyDescent="0.25"/>
    <row r="259060" customFormat="1" x14ac:dyDescent="0.25"/>
    <row r="259061" customFormat="1" x14ac:dyDescent="0.25"/>
    <row r="259062" customFormat="1" x14ac:dyDescent="0.25"/>
    <row r="259063" customFormat="1" x14ac:dyDescent="0.25"/>
    <row r="259064" customFormat="1" x14ac:dyDescent="0.25"/>
    <row r="259065" customFormat="1" x14ac:dyDescent="0.25"/>
    <row r="259066" customFormat="1" x14ac:dyDescent="0.25"/>
    <row r="259067" customFormat="1" x14ac:dyDescent="0.25"/>
    <row r="259068" customFormat="1" x14ac:dyDescent="0.25"/>
    <row r="259069" customFormat="1" x14ac:dyDescent="0.25"/>
    <row r="259070" customFormat="1" x14ac:dyDescent="0.25"/>
    <row r="259071" customFormat="1" x14ac:dyDescent="0.25"/>
    <row r="259072" customFormat="1" x14ac:dyDescent="0.25"/>
    <row r="259073" customFormat="1" x14ac:dyDescent="0.25"/>
    <row r="259074" customFormat="1" x14ac:dyDescent="0.25"/>
    <row r="259075" customFormat="1" x14ac:dyDescent="0.25"/>
    <row r="259076" customFormat="1" x14ac:dyDescent="0.25"/>
    <row r="259077" customFormat="1" x14ac:dyDescent="0.25"/>
    <row r="259078" customFormat="1" x14ac:dyDescent="0.25"/>
    <row r="259079" customFormat="1" x14ac:dyDescent="0.25"/>
    <row r="259080" customFormat="1" x14ac:dyDescent="0.25"/>
    <row r="259081" customFormat="1" x14ac:dyDescent="0.25"/>
    <row r="259082" customFormat="1" x14ac:dyDescent="0.25"/>
    <row r="259083" customFormat="1" x14ac:dyDescent="0.25"/>
    <row r="259084" customFormat="1" x14ac:dyDescent="0.25"/>
    <row r="259085" customFormat="1" x14ac:dyDescent="0.25"/>
    <row r="259086" customFormat="1" x14ac:dyDescent="0.25"/>
    <row r="259087" customFormat="1" x14ac:dyDescent="0.25"/>
    <row r="259088" customFormat="1" x14ac:dyDescent="0.25"/>
    <row r="259089" customFormat="1" x14ac:dyDescent="0.25"/>
    <row r="259090" customFormat="1" x14ac:dyDescent="0.25"/>
    <row r="259091" customFormat="1" x14ac:dyDescent="0.25"/>
    <row r="259092" customFormat="1" x14ac:dyDescent="0.25"/>
    <row r="259093" customFormat="1" x14ac:dyDescent="0.25"/>
    <row r="259094" customFormat="1" x14ac:dyDescent="0.25"/>
    <row r="259095" customFormat="1" x14ac:dyDescent="0.25"/>
    <row r="259096" customFormat="1" x14ac:dyDescent="0.25"/>
    <row r="259097" customFormat="1" x14ac:dyDescent="0.25"/>
    <row r="259098" customFormat="1" x14ac:dyDescent="0.25"/>
    <row r="259099" customFormat="1" x14ac:dyDescent="0.25"/>
    <row r="259100" customFormat="1" x14ac:dyDescent="0.25"/>
    <row r="259101" customFormat="1" x14ac:dyDescent="0.25"/>
    <row r="259102" customFormat="1" x14ac:dyDescent="0.25"/>
    <row r="259103" customFormat="1" x14ac:dyDescent="0.25"/>
    <row r="259104" customFormat="1" x14ac:dyDescent="0.25"/>
    <row r="259105" customFormat="1" x14ac:dyDescent="0.25"/>
    <row r="259106" customFormat="1" x14ac:dyDescent="0.25"/>
    <row r="259107" customFormat="1" x14ac:dyDescent="0.25"/>
    <row r="259108" customFormat="1" x14ac:dyDescent="0.25"/>
    <row r="259109" customFormat="1" x14ac:dyDescent="0.25"/>
    <row r="259110" customFormat="1" x14ac:dyDescent="0.25"/>
    <row r="259111" customFormat="1" x14ac:dyDescent="0.25"/>
    <row r="259112" customFormat="1" x14ac:dyDescent="0.25"/>
    <row r="259113" customFormat="1" x14ac:dyDescent="0.25"/>
    <row r="259114" customFormat="1" x14ac:dyDescent="0.25"/>
    <row r="259115" customFormat="1" x14ac:dyDescent="0.25"/>
    <row r="259116" customFormat="1" x14ac:dyDescent="0.25"/>
    <row r="259117" customFormat="1" x14ac:dyDescent="0.25"/>
    <row r="259118" customFormat="1" x14ac:dyDescent="0.25"/>
    <row r="259119" customFormat="1" x14ac:dyDescent="0.25"/>
    <row r="259120" customFormat="1" x14ac:dyDescent="0.25"/>
    <row r="259121" customFormat="1" x14ac:dyDescent="0.25"/>
    <row r="259122" customFormat="1" x14ac:dyDescent="0.25"/>
    <row r="259123" customFormat="1" x14ac:dyDescent="0.25"/>
    <row r="259124" customFormat="1" x14ac:dyDescent="0.25"/>
    <row r="259125" customFormat="1" x14ac:dyDescent="0.25"/>
    <row r="259126" customFormat="1" x14ac:dyDescent="0.25"/>
    <row r="259127" customFormat="1" x14ac:dyDescent="0.25"/>
    <row r="259128" customFormat="1" x14ac:dyDescent="0.25"/>
    <row r="259129" customFormat="1" x14ac:dyDescent="0.25"/>
    <row r="259130" customFormat="1" x14ac:dyDescent="0.25"/>
    <row r="259131" customFormat="1" x14ac:dyDescent="0.25"/>
    <row r="259132" customFormat="1" x14ac:dyDescent="0.25"/>
    <row r="259133" customFormat="1" x14ac:dyDescent="0.25"/>
    <row r="259134" customFormat="1" x14ac:dyDescent="0.25"/>
    <row r="259135" customFormat="1" x14ac:dyDescent="0.25"/>
    <row r="259136" customFormat="1" x14ac:dyDescent="0.25"/>
    <row r="259137" customFormat="1" x14ac:dyDescent="0.25"/>
    <row r="259138" customFormat="1" x14ac:dyDescent="0.25"/>
    <row r="259139" customFormat="1" x14ac:dyDescent="0.25"/>
    <row r="259140" customFormat="1" x14ac:dyDescent="0.25"/>
    <row r="259141" customFormat="1" x14ac:dyDescent="0.25"/>
    <row r="259142" customFormat="1" x14ac:dyDescent="0.25"/>
    <row r="259143" customFormat="1" x14ac:dyDescent="0.25"/>
    <row r="259144" customFormat="1" x14ac:dyDescent="0.25"/>
    <row r="259145" customFormat="1" x14ac:dyDescent="0.25"/>
    <row r="259146" customFormat="1" x14ac:dyDescent="0.25"/>
    <row r="259147" customFormat="1" x14ac:dyDescent="0.25"/>
    <row r="259148" customFormat="1" x14ac:dyDescent="0.25"/>
    <row r="259149" customFormat="1" x14ac:dyDescent="0.25"/>
    <row r="259150" customFormat="1" x14ac:dyDescent="0.25"/>
    <row r="259151" customFormat="1" x14ac:dyDescent="0.25"/>
    <row r="259152" customFormat="1" x14ac:dyDescent="0.25"/>
    <row r="259153" customFormat="1" x14ac:dyDescent="0.25"/>
    <row r="259154" customFormat="1" x14ac:dyDescent="0.25"/>
    <row r="259155" customFormat="1" x14ac:dyDescent="0.25"/>
    <row r="259156" customFormat="1" x14ac:dyDescent="0.25"/>
    <row r="259157" customFormat="1" x14ac:dyDescent="0.25"/>
    <row r="259158" customFormat="1" x14ac:dyDescent="0.25"/>
    <row r="259159" customFormat="1" x14ac:dyDescent="0.25"/>
    <row r="259160" customFormat="1" x14ac:dyDescent="0.25"/>
    <row r="259161" customFormat="1" x14ac:dyDescent="0.25"/>
    <row r="259162" customFormat="1" x14ac:dyDescent="0.25"/>
    <row r="259163" customFormat="1" x14ac:dyDescent="0.25"/>
    <row r="259164" customFormat="1" x14ac:dyDescent="0.25"/>
    <row r="259165" customFormat="1" x14ac:dyDescent="0.25"/>
    <row r="259166" customFormat="1" x14ac:dyDescent="0.25"/>
    <row r="259167" customFormat="1" x14ac:dyDescent="0.25"/>
    <row r="259168" customFormat="1" x14ac:dyDescent="0.25"/>
    <row r="259169" customFormat="1" x14ac:dyDescent="0.25"/>
    <row r="259170" customFormat="1" x14ac:dyDescent="0.25"/>
    <row r="259171" customFormat="1" x14ac:dyDescent="0.25"/>
    <row r="259172" customFormat="1" x14ac:dyDescent="0.25"/>
    <row r="259173" customFormat="1" x14ac:dyDescent="0.25"/>
    <row r="259174" customFormat="1" x14ac:dyDescent="0.25"/>
    <row r="259175" customFormat="1" x14ac:dyDescent="0.25"/>
    <row r="259176" customFormat="1" x14ac:dyDescent="0.25"/>
    <row r="259177" customFormat="1" x14ac:dyDescent="0.25"/>
    <row r="259178" customFormat="1" x14ac:dyDescent="0.25"/>
    <row r="259179" customFormat="1" x14ac:dyDescent="0.25"/>
    <row r="259180" customFormat="1" x14ac:dyDescent="0.25"/>
    <row r="259181" customFormat="1" x14ac:dyDescent="0.25"/>
    <row r="259182" customFormat="1" x14ac:dyDescent="0.25"/>
    <row r="259183" customFormat="1" x14ac:dyDescent="0.25"/>
    <row r="259184" customFormat="1" x14ac:dyDescent="0.25"/>
    <row r="259185" customFormat="1" x14ac:dyDescent="0.25"/>
    <row r="259186" customFormat="1" x14ac:dyDescent="0.25"/>
    <row r="259187" customFormat="1" x14ac:dyDescent="0.25"/>
    <row r="259188" customFormat="1" x14ac:dyDescent="0.25"/>
    <row r="259189" customFormat="1" x14ac:dyDescent="0.25"/>
    <row r="259190" customFormat="1" x14ac:dyDescent="0.25"/>
    <row r="259191" customFormat="1" x14ac:dyDescent="0.25"/>
    <row r="259192" customFormat="1" x14ac:dyDescent="0.25"/>
    <row r="259193" customFormat="1" x14ac:dyDescent="0.25"/>
    <row r="259194" customFormat="1" x14ac:dyDescent="0.25"/>
    <row r="259195" customFormat="1" x14ac:dyDescent="0.25"/>
    <row r="259196" customFormat="1" x14ac:dyDescent="0.25"/>
    <row r="259197" customFormat="1" x14ac:dyDescent="0.25"/>
    <row r="259198" customFormat="1" x14ac:dyDescent="0.25"/>
    <row r="259199" customFormat="1" x14ac:dyDescent="0.25"/>
    <row r="259200" customFormat="1" x14ac:dyDescent="0.25"/>
    <row r="259201" customFormat="1" x14ac:dyDescent="0.25"/>
    <row r="259202" customFormat="1" x14ac:dyDescent="0.25"/>
    <row r="259203" customFormat="1" x14ac:dyDescent="0.25"/>
    <row r="259204" customFormat="1" x14ac:dyDescent="0.25"/>
    <row r="259205" customFormat="1" x14ac:dyDescent="0.25"/>
    <row r="259206" customFormat="1" x14ac:dyDescent="0.25"/>
    <row r="259207" customFormat="1" x14ac:dyDescent="0.25"/>
    <row r="259208" customFormat="1" x14ac:dyDescent="0.25"/>
    <row r="259209" customFormat="1" x14ac:dyDescent="0.25"/>
    <row r="259210" customFormat="1" x14ac:dyDescent="0.25"/>
    <row r="259211" customFormat="1" x14ac:dyDescent="0.25"/>
    <row r="259212" customFormat="1" x14ac:dyDescent="0.25"/>
    <row r="259213" customFormat="1" x14ac:dyDescent="0.25"/>
    <row r="259214" customFormat="1" x14ac:dyDescent="0.25"/>
    <row r="259215" customFormat="1" x14ac:dyDescent="0.25"/>
    <row r="259216" customFormat="1" x14ac:dyDescent="0.25"/>
    <row r="259217" customFormat="1" x14ac:dyDescent="0.25"/>
    <row r="259218" customFormat="1" x14ac:dyDescent="0.25"/>
    <row r="259219" customFormat="1" x14ac:dyDescent="0.25"/>
    <row r="259220" customFormat="1" x14ac:dyDescent="0.25"/>
    <row r="259221" customFormat="1" x14ac:dyDescent="0.25"/>
    <row r="259222" customFormat="1" x14ac:dyDescent="0.25"/>
    <row r="259223" customFormat="1" x14ac:dyDescent="0.25"/>
    <row r="259224" customFormat="1" x14ac:dyDescent="0.25"/>
    <row r="259225" customFormat="1" x14ac:dyDescent="0.25"/>
    <row r="259226" customFormat="1" x14ac:dyDescent="0.25"/>
    <row r="259227" customFormat="1" x14ac:dyDescent="0.25"/>
    <row r="259228" customFormat="1" x14ac:dyDescent="0.25"/>
    <row r="259229" customFormat="1" x14ac:dyDescent="0.25"/>
    <row r="259230" customFormat="1" x14ac:dyDescent="0.25"/>
    <row r="259231" customFormat="1" x14ac:dyDescent="0.25"/>
    <row r="259232" customFormat="1" x14ac:dyDescent="0.25"/>
    <row r="259233" customFormat="1" x14ac:dyDescent="0.25"/>
    <row r="259234" customFormat="1" x14ac:dyDescent="0.25"/>
    <row r="259235" customFormat="1" x14ac:dyDescent="0.25"/>
    <row r="259236" customFormat="1" x14ac:dyDescent="0.25"/>
    <row r="259237" customFormat="1" x14ac:dyDescent="0.25"/>
    <row r="259238" customFormat="1" x14ac:dyDescent="0.25"/>
    <row r="259239" customFormat="1" x14ac:dyDescent="0.25"/>
    <row r="259240" customFormat="1" x14ac:dyDescent="0.25"/>
    <row r="259241" customFormat="1" x14ac:dyDescent="0.25"/>
    <row r="259242" customFormat="1" x14ac:dyDescent="0.25"/>
    <row r="259243" customFormat="1" x14ac:dyDescent="0.25"/>
    <row r="259244" customFormat="1" x14ac:dyDescent="0.25"/>
    <row r="259245" customFormat="1" x14ac:dyDescent="0.25"/>
    <row r="259246" customFormat="1" x14ac:dyDescent="0.25"/>
    <row r="259247" customFormat="1" x14ac:dyDescent="0.25"/>
    <row r="259248" customFormat="1" x14ac:dyDescent="0.25"/>
    <row r="259249" customFormat="1" x14ac:dyDescent="0.25"/>
    <row r="259250" customFormat="1" x14ac:dyDescent="0.25"/>
    <row r="259251" customFormat="1" x14ac:dyDescent="0.25"/>
    <row r="259252" customFormat="1" x14ac:dyDescent="0.25"/>
    <row r="259253" customFormat="1" x14ac:dyDescent="0.25"/>
    <row r="259254" customFormat="1" x14ac:dyDescent="0.25"/>
    <row r="259255" customFormat="1" x14ac:dyDescent="0.25"/>
    <row r="259256" customFormat="1" x14ac:dyDescent="0.25"/>
    <row r="259257" customFormat="1" x14ac:dyDescent="0.25"/>
    <row r="259258" customFormat="1" x14ac:dyDescent="0.25"/>
    <row r="259259" customFormat="1" x14ac:dyDescent="0.25"/>
    <row r="259260" customFormat="1" x14ac:dyDescent="0.25"/>
    <row r="259261" customFormat="1" x14ac:dyDescent="0.25"/>
    <row r="259262" customFormat="1" x14ac:dyDescent="0.25"/>
    <row r="259263" customFormat="1" x14ac:dyDescent="0.25"/>
    <row r="259264" customFormat="1" x14ac:dyDescent="0.25"/>
    <row r="259265" customFormat="1" x14ac:dyDescent="0.25"/>
    <row r="259266" customFormat="1" x14ac:dyDescent="0.25"/>
    <row r="259267" customFormat="1" x14ac:dyDescent="0.25"/>
    <row r="259268" customFormat="1" x14ac:dyDescent="0.25"/>
    <row r="259269" customFormat="1" x14ac:dyDescent="0.25"/>
    <row r="259270" customFormat="1" x14ac:dyDescent="0.25"/>
    <row r="259271" customFormat="1" x14ac:dyDescent="0.25"/>
    <row r="259272" customFormat="1" x14ac:dyDescent="0.25"/>
    <row r="259273" customFormat="1" x14ac:dyDescent="0.25"/>
    <row r="259274" customFormat="1" x14ac:dyDescent="0.25"/>
    <row r="259275" customFormat="1" x14ac:dyDescent="0.25"/>
    <row r="259276" customFormat="1" x14ac:dyDescent="0.25"/>
    <row r="259277" customFormat="1" x14ac:dyDescent="0.25"/>
    <row r="259278" customFormat="1" x14ac:dyDescent="0.25"/>
    <row r="259279" customFormat="1" x14ac:dyDescent="0.25"/>
    <row r="259280" customFormat="1" x14ac:dyDescent="0.25"/>
    <row r="259281" customFormat="1" x14ac:dyDescent="0.25"/>
    <row r="259282" customFormat="1" x14ac:dyDescent="0.25"/>
    <row r="259283" customFormat="1" x14ac:dyDescent="0.25"/>
    <row r="259284" customFormat="1" x14ac:dyDescent="0.25"/>
    <row r="259285" customFormat="1" x14ac:dyDescent="0.25"/>
    <row r="259286" customFormat="1" x14ac:dyDescent="0.25"/>
    <row r="259287" customFormat="1" x14ac:dyDescent="0.25"/>
    <row r="259288" customFormat="1" x14ac:dyDescent="0.25"/>
    <row r="259289" customFormat="1" x14ac:dyDescent="0.25"/>
    <row r="259290" customFormat="1" x14ac:dyDescent="0.25"/>
    <row r="259291" customFormat="1" x14ac:dyDescent="0.25"/>
    <row r="259292" customFormat="1" x14ac:dyDescent="0.25"/>
    <row r="259293" customFormat="1" x14ac:dyDescent="0.25"/>
    <row r="259294" customFormat="1" x14ac:dyDescent="0.25"/>
    <row r="259295" customFormat="1" x14ac:dyDescent="0.25"/>
    <row r="259296" customFormat="1" x14ac:dyDescent="0.25"/>
    <row r="259297" customFormat="1" x14ac:dyDescent="0.25"/>
    <row r="259298" customFormat="1" x14ac:dyDescent="0.25"/>
    <row r="259299" customFormat="1" x14ac:dyDescent="0.25"/>
    <row r="259300" customFormat="1" x14ac:dyDescent="0.25"/>
    <row r="259301" customFormat="1" x14ac:dyDescent="0.25"/>
    <row r="259302" customFormat="1" x14ac:dyDescent="0.25"/>
    <row r="259303" customFormat="1" x14ac:dyDescent="0.25"/>
    <row r="259304" customFormat="1" x14ac:dyDescent="0.25"/>
    <row r="259305" customFormat="1" x14ac:dyDescent="0.25"/>
    <row r="259306" customFormat="1" x14ac:dyDescent="0.25"/>
    <row r="259307" customFormat="1" x14ac:dyDescent="0.25"/>
    <row r="259308" customFormat="1" x14ac:dyDescent="0.25"/>
    <row r="259309" customFormat="1" x14ac:dyDescent="0.25"/>
    <row r="259310" customFormat="1" x14ac:dyDescent="0.25"/>
    <row r="259311" customFormat="1" x14ac:dyDescent="0.25"/>
    <row r="259312" customFormat="1" x14ac:dyDescent="0.25"/>
    <row r="259313" customFormat="1" x14ac:dyDescent="0.25"/>
    <row r="259314" customFormat="1" x14ac:dyDescent="0.25"/>
    <row r="259315" customFormat="1" x14ac:dyDescent="0.25"/>
    <row r="259316" customFormat="1" x14ac:dyDescent="0.25"/>
    <row r="259317" customFormat="1" x14ac:dyDescent="0.25"/>
    <row r="259318" customFormat="1" x14ac:dyDescent="0.25"/>
    <row r="259319" customFormat="1" x14ac:dyDescent="0.25"/>
    <row r="259320" customFormat="1" x14ac:dyDescent="0.25"/>
    <row r="259321" customFormat="1" x14ac:dyDescent="0.25"/>
    <row r="259322" customFormat="1" x14ac:dyDescent="0.25"/>
    <row r="259323" customFormat="1" x14ac:dyDescent="0.25"/>
    <row r="259324" customFormat="1" x14ac:dyDescent="0.25"/>
    <row r="259325" customFormat="1" x14ac:dyDescent="0.25"/>
    <row r="259326" customFormat="1" x14ac:dyDescent="0.25"/>
    <row r="259327" customFormat="1" x14ac:dyDescent="0.25"/>
    <row r="259328" customFormat="1" x14ac:dyDescent="0.25"/>
    <row r="259329" customFormat="1" x14ac:dyDescent="0.25"/>
    <row r="259330" customFormat="1" x14ac:dyDescent="0.25"/>
    <row r="259331" customFormat="1" x14ac:dyDescent="0.25"/>
    <row r="259332" customFormat="1" x14ac:dyDescent="0.25"/>
    <row r="259333" customFormat="1" x14ac:dyDescent="0.25"/>
    <row r="259334" customFormat="1" x14ac:dyDescent="0.25"/>
    <row r="259335" customFormat="1" x14ac:dyDescent="0.25"/>
    <row r="259336" customFormat="1" x14ac:dyDescent="0.25"/>
    <row r="259337" customFormat="1" x14ac:dyDescent="0.25"/>
    <row r="259338" customFormat="1" x14ac:dyDescent="0.25"/>
    <row r="259339" customFormat="1" x14ac:dyDescent="0.25"/>
    <row r="259340" customFormat="1" x14ac:dyDescent="0.25"/>
    <row r="259341" customFormat="1" x14ac:dyDescent="0.25"/>
    <row r="259342" customFormat="1" x14ac:dyDescent="0.25"/>
    <row r="259343" customFormat="1" x14ac:dyDescent="0.25"/>
    <row r="259344" customFormat="1" x14ac:dyDescent="0.25"/>
    <row r="259345" customFormat="1" x14ac:dyDescent="0.25"/>
    <row r="259346" customFormat="1" x14ac:dyDescent="0.25"/>
    <row r="259347" customFormat="1" x14ac:dyDescent="0.25"/>
    <row r="259348" customFormat="1" x14ac:dyDescent="0.25"/>
    <row r="259349" customFormat="1" x14ac:dyDescent="0.25"/>
    <row r="259350" customFormat="1" x14ac:dyDescent="0.25"/>
    <row r="259351" customFormat="1" x14ac:dyDescent="0.25"/>
    <row r="259352" customFormat="1" x14ac:dyDescent="0.25"/>
    <row r="259353" customFormat="1" x14ac:dyDescent="0.25"/>
    <row r="259354" customFormat="1" x14ac:dyDescent="0.25"/>
    <row r="259355" customFormat="1" x14ac:dyDescent="0.25"/>
    <row r="259356" customFormat="1" x14ac:dyDescent="0.25"/>
    <row r="259357" customFormat="1" x14ac:dyDescent="0.25"/>
    <row r="259358" customFormat="1" x14ac:dyDescent="0.25"/>
    <row r="259359" customFormat="1" x14ac:dyDescent="0.25"/>
    <row r="259360" customFormat="1" x14ac:dyDescent="0.25"/>
    <row r="259361" customFormat="1" x14ac:dyDescent="0.25"/>
    <row r="259362" customFormat="1" x14ac:dyDescent="0.25"/>
    <row r="259363" customFormat="1" x14ac:dyDescent="0.25"/>
    <row r="259364" customFormat="1" x14ac:dyDescent="0.25"/>
    <row r="259365" customFormat="1" x14ac:dyDescent="0.25"/>
    <row r="259366" customFormat="1" x14ac:dyDescent="0.25"/>
    <row r="259367" customFormat="1" x14ac:dyDescent="0.25"/>
    <row r="259368" customFormat="1" x14ac:dyDescent="0.25"/>
    <row r="259369" customFormat="1" x14ac:dyDescent="0.25"/>
    <row r="259370" customFormat="1" x14ac:dyDescent="0.25"/>
    <row r="259371" customFormat="1" x14ac:dyDescent="0.25"/>
    <row r="259372" customFormat="1" x14ac:dyDescent="0.25"/>
    <row r="259373" customFormat="1" x14ac:dyDescent="0.25"/>
    <row r="259374" customFormat="1" x14ac:dyDescent="0.25"/>
    <row r="259375" customFormat="1" x14ac:dyDescent="0.25"/>
    <row r="259376" customFormat="1" x14ac:dyDescent="0.25"/>
    <row r="259377" customFormat="1" x14ac:dyDescent="0.25"/>
    <row r="259378" customFormat="1" x14ac:dyDescent="0.25"/>
    <row r="259379" customFormat="1" x14ac:dyDescent="0.25"/>
    <row r="259380" customFormat="1" x14ac:dyDescent="0.25"/>
    <row r="259381" customFormat="1" x14ac:dyDescent="0.25"/>
    <row r="259382" customFormat="1" x14ac:dyDescent="0.25"/>
    <row r="259383" customFormat="1" x14ac:dyDescent="0.25"/>
    <row r="259384" customFormat="1" x14ac:dyDescent="0.25"/>
    <row r="259385" customFormat="1" x14ac:dyDescent="0.25"/>
    <row r="259386" customFormat="1" x14ac:dyDescent="0.25"/>
    <row r="259387" customFormat="1" x14ac:dyDescent="0.25"/>
    <row r="259388" customFormat="1" x14ac:dyDescent="0.25"/>
    <row r="259389" customFormat="1" x14ac:dyDescent="0.25"/>
    <row r="259390" customFormat="1" x14ac:dyDescent="0.25"/>
    <row r="259391" customFormat="1" x14ac:dyDescent="0.25"/>
    <row r="259392" customFormat="1" x14ac:dyDescent="0.25"/>
    <row r="259393" customFormat="1" x14ac:dyDescent="0.25"/>
    <row r="259394" customFormat="1" x14ac:dyDescent="0.25"/>
    <row r="259395" customFormat="1" x14ac:dyDescent="0.25"/>
    <row r="259396" customFormat="1" x14ac:dyDescent="0.25"/>
    <row r="259397" customFormat="1" x14ac:dyDescent="0.25"/>
    <row r="259398" customFormat="1" x14ac:dyDescent="0.25"/>
    <row r="259399" customFormat="1" x14ac:dyDescent="0.25"/>
    <row r="259400" customFormat="1" x14ac:dyDescent="0.25"/>
    <row r="259401" customFormat="1" x14ac:dyDescent="0.25"/>
    <row r="259402" customFormat="1" x14ac:dyDescent="0.25"/>
    <row r="259403" customFormat="1" x14ac:dyDescent="0.25"/>
    <row r="259404" customFormat="1" x14ac:dyDescent="0.25"/>
    <row r="259405" customFormat="1" x14ac:dyDescent="0.25"/>
    <row r="259406" customFormat="1" x14ac:dyDescent="0.25"/>
    <row r="259407" customFormat="1" x14ac:dyDescent="0.25"/>
    <row r="259408" customFormat="1" x14ac:dyDescent="0.25"/>
    <row r="259409" customFormat="1" x14ac:dyDescent="0.25"/>
    <row r="259410" customFormat="1" x14ac:dyDescent="0.25"/>
    <row r="259411" customFormat="1" x14ac:dyDescent="0.25"/>
    <row r="259412" customFormat="1" x14ac:dyDescent="0.25"/>
    <row r="259413" customFormat="1" x14ac:dyDescent="0.25"/>
    <row r="259414" customFormat="1" x14ac:dyDescent="0.25"/>
    <row r="259415" customFormat="1" x14ac:dyDescent="0.25"/>
    <row r="259416" customFormat="1" x14ac:dyDescent="0.25"/>
    <row r="259417" customFormat="1" x14ac:dyDescent="0.25"/>
    <row r="259418" customFormat="1" x14ac:dyDescent="0.25"/>
    <row r="259419" customFormat="1" x14ac:dyDescent="0.25"/>
    <row r="259420" customFormat="1" x14ac:dyDescent="0.25"/>
    <row r="259421" customFormat="1" x14ac:dyDescent="0.25"/>
    <row r="259422" customFormat="1" x14ac:dyDescent="0.25"/>
    <row r="259423" customFormat="1" x14ac:dyDescent="0.25"/>
    <row r="259424" customFormat="1" x14ac:dyDescent="0.25"/>
    <row r="259425" customFormat="1" x14ac:dyDescent="0.25"/>
    <row r="259426" customFormat="1" x14ac:dyDescent="0.25"/>
    <row r="259427" customFormat="1" x14ac:dyDescent="0.25"/>
    <row r="259428" customFormat="1" x14ac:dyDescent="0.25"/>
    <row r="259429" customFormat="1" x14ac:dyDescent="0.25"/>
    <row r="259430" customFormat="1" x14ac:dyDescent="0.25"/>
    <row r="259431" customFormat="1" x14ac:dyDescent="0.25"/>
    <row r="259432" customFormat="1" x14ac:dyDescent="0.25"/>
    <row r="259433" customFormat="1" x14ac:dyDescent="0.25"/>
    <row r="259434" customFormat="1" x14ac:dyDescent="0.25"/>
    <row r="259435" customFormat="1" x14ac:dyDescent="0.25"/>
    <row r="259436" customFormat="1" x14ac:dyDescent="0.25"/>
    <row r="259437" customFormat="1" x14ac:dyDescent="0.25"/>
    <row r="259438" customFormat="1" x14ac:dyDescent="0.25"/>
    <row r="259439" customFormat="1" x14ac:dyDescent="0.25"/>
    <row r="259440" customFormat="1" x14ac:dyDescent="0.25"/>
    <row r="259441" customFormat="1" x14ac:dyDescent="0.25"/>
    <row r="259442" customFormat="1" x14ac:dyDescent="0.25"/>
    <row r="259443" customFormat="1" x14ac:dyDescent="0.25"/>
    <row r="259444" customFormat="1" x14ac:dyDescent="0.25"/>
    <row r="259445" customFormat="1" x14ac:dyDescent="0.25"/>
    <row r="259446" customFormat="1" x14ac:dyDescent="0.25"/>
    <row r="259447" customFormat="1" x14ac:dyDescent="0.25"/>
    <row r="259448" customFormat="1" x14ac:dyDescent="0.25"/>
    <row r="259449" customFormat="1" x14ac:dyDescent="0.25"/>
    <row r="259450" customFormat="1" x14ac:dyDescent="0.25"/>
    <row r="259451" customFormat="1" x14ac:dyDescent="0.25"/>
    <row r="259452" customFormat="1" x14ac:dyDescent="0.25"/>
    <row r="259453" customFormat="1" x14ac:dyDescent="0.25"/>
    <row r="259454" customFormat="1" x14ac:dyDescent="0.25"/>
    <row r="259455" customFormat="1" x14ac:dyDescent="0.25"/>
    <row r="259456" customFormat="1" x14ac:dyDescent="0.25"/>
    <row r="259457" customFormat="1" x14ac:dyDescent="0.25"/>
    <row r="259458" customFormat="1" x14ac:dyDescent="0.25"/>
    <row r="259459" customFormat="1" x14ac:dyDescent="0.25"/>
    <row r="259460" customFormat="1" x14ac:dyDescent="0.25"/>
    <row r="259461" customFormat="1" x14ac:dyDescent="0.25"/>
    <row r="259462" customFormat="1" x14ac:dyDescent="0.25"/>
    <row r="259463" customFormat="1" x14ac:dyDescent="0.25"/>
    <row r="259464" customFormat="1" x14ac:dyDescent="0.25"/>
    <row r="259465" customFormat="1" x14ac:dyDescent="0.25"/>
    <row r="259466" customFormat="1" x14ac:dyDescent="0.25"/>
    <row r="259467" customFormat="1" x14ac:dyDescent="0.25"/>
    <row r="259468" customFormat="1" x14ac:dyDescent="0.25"/>
    <row r="259469" customFormat="1" x14ac:dyDescent="0.25"/>
    <row r="259470" customFormat="1" x14ac:dyDescent="0.25"/>
    <row r="259471" customFormat="1" x14ac:dyDescent="0.25"/>
    <row r="259472" customFormat="1" x14ac:dyDescent="0.25"/>
    <row r="259473" customFormat="1" x14ac:dyDescent="0.25"/>
    <row r="259474" customFormat="1" x14ac:dyDescent="0.25"/>
    <row r="259475" customFormat="1" x14ac:dyDescent="0.25"/>
    <row r="259476" customFormat="1" x14ac:dyDescent="0.25"/>
    <row r="259477" customFormat="1" x14ac:dyDescent="0.25"/>
    <row r="259478" customFormat="1" x14ac:dyDescent="0.25"/>
    <row r="259479" customFormat="1" x14ac:dyDescent="0.25"/>
    <row r="259480" customFormat="1" x14ac:dyDescent="0.25"/>
    <row r="259481" customFormat="1" x14ac:dyDescent="0.25"/>
    <row r="259482" customFormat="1" x14ac:dyDescent="0.25"/>
    <row r="259483" customFormat="1" x14ac:dyDescent="0.25"/>
    <row r="259484" customFormat="1" x14ac:dyDescent="0.25"/>
    <row r="259485" customFormat="1" x14ac:dyDescent="0.25"/>
    <row r="259486" customFormat="1" x14ac:dyDescent="0.25"/>
    <row r="259487" customFormat="1" x14ac:dyDescent="0.25"/>
    <row r="259488" customFormat="1" x14ac:dyDescent="0.25"/>
    <row r="259489" customFormat="1" x14ac:dyDescent="0.25"/>
    <row r="259490" customFormat="1" x14ac:dyDescent="0.25"/>
    <row r="259491" customFormat="1" x14ac:dyDescent="0.25"/>
    <row r="259492" customFormat="1" x14ac:dyDescent="0.25"/>
    <row r="259493" customFormat="1" x14ac:dyDescent="0.25"/>
    <row r="259494" customFormat="1" x14ac:dyDescent="0.25"/>
    <row r="259495" customFormat="1" x14ac:dyDescent="0.25"/>
    <row r="259496" customFormat="1" x14ac:dyDescent="0.25"/>
    <row r="259497" customFormat="1" x14ac:dyDescent="0.25"/>
    <row r="259498" customFormat="1" x14ac:dyDescent="0.25"/>
    <row r="259499" customFormat="1" x14ac:dyDescent="0.25"/>
    <row r="259500" customFormat="1" x14ac:dyDescent="0.25"/>
    <row r="259501" customFormat="1" x14ac:dyDescent="0.25"/>
    <row r="259502" customFormat="1" x14ac:dyDescent="0.25"/>
    <row r="259503" customFormat="1" x14ac:dyDescent="0.25"/>
    <row r="259504" customFormat="1" x14ac:dyDescent="0.25"/>
    <row r="259505" customFormat="1" x14ac:dyDescent="0.25"/>
    <row r="259506" customFormat="1" x14ac:dyDescent="0.25"/>
    <row r="259507" customFormat="1" x14ac:dyDescent="0.25"/>
    <row r="259508" customFormat="1" x14ac:dyDescent="0.25"/>
    <row r="259509" customFormat="1" x14ac:dyDescent="0.25"/>
    <row r="259510" customFormat="1" x14ac:dyDescent="0.25"/>
    <row r="259511" customFormat="1" x14ac:dyDescent="0.25"/>
    <row r="259512" customFormat="1" x14ac:dyDescent="0.25"/>
    <row r="259513" customFormat="1" x14ac:dyDescent="0.25"/>
    <row r="259514" customFormat="1" x14ac:dyDescent="0.25"/>
    <row r="259515" customFormat="1" x14ac:dyDescent="0.25"/>
    <row r="259516" customFormat="1" x14ac:dyDescent="0.25"/>
    <row r="259517" customFormat="1" x14ac:dyDescent="0.25"/>
    <row r="259518" customFormat="1" x14ac:dyDescent="0.25"/>
    <row r="259519" customFormat="1" x14ac:dyDescent="0.25"/>
    <row r="259520" customFormat="1" x14ac:dyDescent="0.25"/>
    <row r="259521" customFormat="1" x14ac:dyDescent="0.25"/>
    <row r="259522" customFormat="1" x14ac:dyDescent="0.25"/>
    <row r="259523" customFormat="1" x14ac:dyDescent="0.25"/>
    <row r="259524" customFormat="1" x14ac:dyDescent="0.25"/>
    <row r="259525" customFormat="1" x14ac:dyDescent="0.25"/>
    <row r="259526" customFormat="1" x14ac:dyDescent="0.25"/>
    <row r="259527" customFormat="1" x14ac:dyDescent="0.25"/>
    <row r="259528" customFormat="1" x14ac:dyDescent="0.25"/>
    <row r="259529" customFormat="1" x14ac:dyDescent="0.25"/>
    <row r="259530" customFormat="1" x14ac:dyDescent="0.25"/>
    <row r="259531" customFormat="1" x14ac:dyDescent="0.25"/>
    <row r="259532" customFormat="1" x14ac:dyDescent="0.25"/>
    <row r="259533" customFormat="1" x14ac:dyDescent="0.25"/>
    <row r="259534" customFormat="1" x14ac:dyDescent="0.25"/>
    <row r="259535" customFormat="1" x14ac:dyDescent="0.25"/>
    <row r="259536" customFormat="1" x14ac:dyDescent="0.25"/>
    <row r="259537" customFormat="1" x14ac:dyDescent="0.25"/>
    <row r="259538" customFormat="1" x14ac:dyDescent="0.25"/>
    <row r="259539" customFormat="1" x14ac:dyDescent="0.25"/>
    <row r="259540" customFormat="1" x14ac:dyDescent="0.25"/>
    <row r="259541" customFormat="1" x14ac:dyDescent="0.25"/>
    <row r="259542" customFormat="1" x14ac:dyDescent="0.25"/>
    <row r="259543" customFormat="1" x14ac:dyDescent="0.25"/>
    <row r="259544" customFormat="1" x14ac:dyDescent="0.25"/>
    <row r="259545" customFormat="1" x14ac:dyDescent="0.25"/>
    <row r="259546" customFormat="1" x14ac:dyDescent="0.25"/>
    <row r="259547" customFormat="1" x14ac:dyDescent="0.25"/>
    <row r="259548" customFormat="1" x14ac:dyDescent="0.25"/>
    <row r="259549" customFormat="1" x14ac:dyDescent="0.25"/>
    <row r="259550" customFormat="1" x14ac:dyDescent="0.25"/>
    <row r="259551" customFormat="1" x14ac:dyDescent="0.25"/>
    <row r="259552" customFormat="1" x14ac:dyDescent="0.25"/>
    <row r="259553" customFormat="1" x14ac:dyDescent="0.25"/>
    <row r="259554" customFormat="1" x14ac:dyDescent="0.25"/>
    <row r="259555" customFormat="1" x14ac:dyDescent="0.25"/>
    <row r="259556" customFormat="1" x14ac:dyDescent="0.25"/>
    <row r="259557" customFormat="1" x14ac:dyDescent="0.25"/>
    <row r="259558" customFormat="1" x14ac:dyDescent="0.25"/>
    <row r="259559" customFormat="1" x14ac:dyDescent="0.25"/>
    <row r="259560" customFormat="1" x14ac:dyDescent="0.25"/>
    <row r="259561" customFormat="1" x14ac:dyDescent="0.25"/>
    <row r="259562" customFormat="1" x14ac:dyDescent="0.25"/>
    <row r="259563" customFormat="1" x14ac:dyDescent="0.25"/>
    <row r="259564" customFormat="1" x14ac:dyDescent="0.25"/>
    <row r="259565" customFormat="1" x14ac:dyDescent="0.25"/>
    <row r="259566" customFormat="1" x14ac:dyDescent="0.25"/>
    <row r="259567" customFormat="1" x14ac:dyDescent="0.25"/>
    <row r="259568" customFormat="1" x14ac:dyDescent="0.25"/>
    <row r="259569" customFormat="1" x14ac:dyDescent="0.25"/>
    <row r="259570" customFormat="1" x14ac:dyDescent="0.25"/>
    <row r="259571" customFormat="1" x14ac:dyDescent="0.25"/>
    <row r="259572" customFormat="1" x14ac:dyDescent="0.25"/>
    <row r="259573" customFormat="1" x14ac:dyDescent="0.25"/>
    <row r="259574" customFormat="1" x14ac:dyDescent="0.25"/>
    <row r="259575" customFormat="1" x14ac:dyDescent="0.25"/>
    <row r="259576" customFormat="1" x14ac:dyDescent="0.25"/>
    <row r="259577" customFormat="1" x14ac:dyDescent="0.25"/>
    <row r="259578" customFormat="1" x14ac:dyDescent="0.25"/>
    <row r="259579" customFormat="1" x14ac:dyDescent="0.25"/>
    <row r="259580" customFormat="1" x14ac:dyDescent="0.25"/>
    <row r="259581" customFormat="1" x14ac:dyDescent="0.25"/>
    <row r="259582" customFormat="1" x14ac:dyDescent="0.25"/>
    <row r="259583" customFormat="1" x14ac:dyDescent="0.25"/>
    <row r="259584" customFormat="1" x14ac:dyDescent="0.25"/>
    <row r="259585" customFormat="1" x14ac:dyDescent="0.25"/>
    <row r="259586" customFormat="1" x14ac:dyDescent="0.25"/>
    <row r="259587" customFormat="1" x14ac:dyDescent="0.25"/>
    <row r="259588" customFormat="1" x14ac:dyDescent="0.25"/>
    <row r="259589" customFormat="1" x14ac:dyDescent="0.25"/>
    <row r="259590" customFormat="1" x14ac:dyDescent="0.25"/>
    <row r="259591" customFormat="1" x14ac:dyDescent="0.25"/>
    <row r="259592" customFormat="1" x14ac:dyDescent="0.25"/>
    <row r="259593" customFormat="1" x14ac:dyDescent="0.25"/>
    <row r="259594" customFormat="1" x14ac:dyDescent="0.25"/>
    <row r="259595" customFormat="1" x14ac:dyDescent="0.25"/>
    <row r="259596" customFormat="1" x14ac:dyDescent="0.25"/>
    <row r="259597" customFormat="1" x14ac:dyDescent="0.25"/>
    <row r="259598" customFormat="1" x14ac:dyDescent="0.25"/>
    <row r="259599" customFormat="1" x14ac:dyDescent="0.25"/>
    <row r="259600" customFormat="1" x14ac:dyDescent="0.25"/>
    <row r="259601" customFormat="1" x14ac:dyDescent="0.25"/>
    <row r="259602" customFormat="1" x14ac:dyDescent="0.25"/>
    <row r="259603" customFormat="1" x14ac:dyDescent="0.25"/>
    <row r="259604" customFormat="1" x14ac:dyDescent="0.25"/>
    <row r="259605" customFormat="1" x14ac:dyDescent="0.25"/>
    <row r="259606" customFormat="1" x14ac:dyDescent="0.25"/>
    <row r="259607" customFormat="1" x14ac:dyDescent="0.25"/>
    <row r="259608" customFormat="1" x14ac:dyDescent="0.25"/>
    <row r="259609" customFormat="1" x14ac:dyDescent="0.25"/>
    <row r="259610" customFormat="1" x14ac:dyDescent="0.25"/>
    <row r="259611" customFormat="1" x14ac:dyDescent="0.25"/>
    <row r="259612" customFormat="1" x14ac:dyDescent="0.25"/>
    <row r="259613" customFormat="1" x14ac:dyDescent="0.25"/>
    <row r="259614" customFormat="1" x14ac:dyDescent="0.25"/>
    <row r="259615" customFormat="1" x14ac:dyDescent="0.25"/>
    <row r="259616" customFormat="1" x14ac:dyDescent="0.25"/>
    <row r="259617" customFormat="1" x14ac:dyDescent="0.25"/>
    <row r="259618" customFormat="1" x14ac:dyDescent="0.25"/>
    <row r="259619" customFormat="1" x14ac:dyDescent="0.25"/>
    <row r="259620" customFormat="1" x14ac:dyDescent="0.25"/>
    <row r="259621" customFormat="1" x14ac:dyDescent="0.25"/>
    <row r="259622" customFormat="1" x14ac:dyDescent="0.25"/>
    <row r="259623" customFormat="1" x14ac:dyDescent="0.25"/>
    <row r="259624" customFormat="1" x14ac:dyDescent="0.25"/>
    <row r="259625" customFormat="1" x14ac:dyDescent="0.25"/>
    <row r="259626" customFormat="1" x14ac:dyDescent="0.25"/>
    <row r="259627" customFormat="1" x14ac:dyDescent="0.25"/>
    <row r="259628" customFormat="1" x14ac:dyDescent="0.25"/>
    <row r="259629" customFormat="1" x14ac:dyDescent="0.25"/>
    <row r="259630" customFormat="1" x14ac:dyDescent="0.25"/>
    <row r="259631" customFormat="1" x14ac:dyDescent="0.25"/>
    <row r="259632" customFormat="1" x14ac:dyDescent="0.25"/>
    <row r="259633" customFormat="1" x14ac:dyDescent="0.25"/>
    <row r="259634" customFormat="1" x14ac:dyDescent="0.25"/>
    <row r="259635" customFormat="1" x14ac:dyDescent="0.25"/>
    <row r="259636" customFormat="1" x14ac:dyDescent="0.25"/>
    <row r="259637" customFormat="1" x14ac:dyDescent="0.25"/>
    <row r="259638" customFormat="1" x14ac:dyDescent="0.25"/>
    <row r="259639" customFormat="1" x14ac:dyDescent="0.25"/>
    <row r="259640" customFormat="1" x14ac:dyDescent="0.25"/>
    <row r="259641" customFormat="1" x14ac:dyDescent="0.25"/>
    <row r="259642" customFormat="1" x14ac:dyDescent="0.25"/>
    <row r="259643" customFormat="1" x14ac:dyDescent="0.25"/>
    <row r="259644" customFormat="1" x14ac:dyDescent="0.25"/>
    <row r="259645" customFormat="1" x14ac:dyDescent="0.25"/>
    <row r="259646" customFormat="1" x14ac:dyDescent="0.25"/>
    <row r="259647" customFormat="1" x14ac:dyDescent="0.25"/>
    <row r="259648" customFormat="1" x14ac:dyDescent="0.25"/>
    <row r="259649" customFormat="1" x14ac:dyDescent="0.25"/>
    <row r="259650" customFormat="1" x14ac:dyDescent="0.25"/>
    <row r="259651" customFormat="1" x14ac:dyDescent="0.25"/>
    <row r="259652" customFormat="1" x14ac:dyDescent="0.25"/>
    <row r="259653" customFormat="1" x14ac:dyDescent="0.25"/>
    <row r="259654" customFormat="1" x14ac:dyDescent="0.25"/>
    <row r="259655" customFormat="1" x14ac:dyDescent="0.25"/>
    <row r="259656" customFormat="1" x14ac:dyDescent="0.25"/>
    <row r="259657" customFormat="1" x14ac:dyDescent="0.25"/>
    <row r="259658" customFormat="1" x14ac:dyDescent="0.25"/>
    <row r="259659" customFormat="1" x14ac:dyDescent="0.25"/>
    <row r="259660" customFormat="1" x14ac:dyDescent="0.25"/>
    <row r="259661" customFormat="1" x14ac:dyDescent="0.25"/>
    <row r="259662" customFormat="1" x14ac:dyDescent="0.25"/>
    <row r="259663" customFormat="1" x14ac:dyDescent="0.25"/>
    <row r="259664" customFormat="1" x14ac:dyDescent="0.25"/>
    <row r="259665" customFormat="1" x14ac:dyDescent="0.25"/>
    <row r="259666" customFormat="1" x14ac:dyDescent="0.25"/>
    <row r="259667" customFormat="1" x14ac:dyDescent="0.25"/>
    <row r="259668" customFormat="1" x14ac:dyDescent="0.25"/>
    <row r="259669" customFormat="1" x14ac:dyDescent="0.25"/>
    <row r="259670" customFormat="1" x14ac:dyDescent="0.25"/>
    <row r="259671" customFormat="1" x14ac:dyDescent="0.25"/>
    <row r="259672" customFormat="1" x14ac:dyDescent="0.25"/>
    <row r="259673" customFormat="1" x14ac:dyDescent="0.25"/>
    <row r="259674" customFormat="1" x14ac:dyDescent="0.25"/>
    <row r="259675" customFormat="1" x14ac:dyDescent="0.25"/>
    <row r="259676" customFormat="1" x14ac:dyDescent="0.25"/>
    <row r="259677" customFormat="1" x14ac:dyDescent="0.25"/>
    <row r="259678" customFormat="1" x14ac:dyDescent="0.25"/>
    <row r="259679" customFormat="1" x14ac:dyDescent="0.25"/>
    <row r="259680" customFormat="1" x14ac:dyDescent="0.25"/>
    <row r="259681" customFormat="1" x14ac:dyDescent="0.25"/>
    <row r="259682" customFormat="1" x14ac:dyDescent="0.25"/>
    <row r="259683" customFormat="1" x14ac:dyDescent="0.25"/>
    <row r="259684" customFormat="1" x14ac:dyDescent="0.25"/>
    <row r="259685" customFormat="1" x14ac:dyDescent="0.25"/>
    <row r="259686" customFormat="1" x14ac:dyDescent="0.25"/>
    <row r="259687" customFormat="1" x14ac:dyDescent="0.25"/>
    <row r="259688" customFormat="1" x14ac:dyDescent="0.25"/>
    <row r="259689" customFormat="1" x14ac:dyDescent="0.25"/>
    <row r="259690" customFormat="1" x14ac:dyDescent="0.25"/>
    <row r="259691" customFormat="1" x14ac:dyDescent="0.25"/>
    <row r="259692" customFormat="1" x14ac:dyDescent="0.25"/>
    <row r="259693" customFormat="1" x14ac:dyDescent="0.25"/>
    <row r="259694" customFormat="1" x14ac:dyDescent="0.25"/>
    <row r="259695" customFormat="1" x14ac:dyDescent="0.25"/>
    <row r="259696" customFormat="1" x14ac:dyDescent="0.25"/>
    <row r="259697" customFormat="1" x14ac:dyDescent="0.25"/>
    <row r="259698" customFormat="1" x14ac:dyDescent="0.25"/>
    <row r="259699" customFormat="1" x14ac:dyDescent="0.25"/>
    <row r="259700" customFormat="1" x14ac:dyDescent="0.25"/>
    <row r="259701" customFormat="1" x14ac:dyDescent="0.25"/>
    <row r="259702" customFormat="1" x14ac:dyDescent="0.25"/>
    <row r="259703" customFormat="1" x14ac:dyDescent="0.25"/>
    <row r="259704" customFormat="1" x14ac:dyDescent="0.25"/>
    <row r="259705" customFormat="1" x14ac:dyDescent="0.25"/>
    <row r="259706" customFormat="1" x14ac:dyDescent="0.25"/>
    <row r="259707" customFormat="1" x14ac:dyDescent="0.25"/>
    <row r="259708" customFormat="1" x14ac:dyDescent="0.25"/>
    <row r="259709" customFormat="1" x14ac:dyDescent="0.25"/>
    <row r="259710" customFormat="1" x14ac:dyDescent="0.25"/>
    <row r="259711" customFormat="1" x14ac:dyDescent="0.25"/>
    <row r="259712" customFormat="1" x14ac:dyDescent="0.25"/>
    <row r="259713" customFormat="1" x14ac:dyDescent="0.25"/>
    <row r="259714" customFormat="1" x14ac:dyDescent="0.25"/>
    <row r="259715" customFormat="1" x14ac:dyDescent="0.25"/>
    <row r="259716" customFormat="1" x14ac:dyDescent="0.25"/>
    <row r="259717" customFormat="1" x14ac:dyDescent="0.25"/>
    <row r="259718" customFormat="1" x14ac:dyDescent="0.25"/>
    <row r="259719" customFormat="1" x14ac:dyDescent="0.25"/>
    <row r="259720" customFormat="1" x14ac:dyDescent="0.25"/>
    <row r="259721" customFormat="1" x14ac:dyDescent="0.25"/>
    <row r="259722" customFormat="1" x14ac:dyDescent="0.25"/>
    <row r="259723" customFormat="1" x14ac:dyDescent="0.25"/>
    <row r="259724" customFormat="1" x14ac:dyDescent="0.25"/>
    <row r="259725" customFormat="1" x14ac:dyDescent="0.25"/>
    <row r="259726" customFormat="1" x14ac:dyDescent="0.25"/>
    <row r="259727" customFormat="1" x14ac:dyDescent="0.25"/>
    <row r="259728" customFormat="1" x14ac:dyDescent="0.25"/>
    <row r="259729" customFormat="1" x14ac:dyDescent="0.25"/>
    <row r="259730" customFormat="1" x14ac:dyDescent="0.25"/>
    <row r="259731" customFormat="1" x14ac:dyDescent="0.25"/>
    <row r="259732" customFormat="1" x14ac:dyDescent="0.25"/>
    <row r="259733" customFormat="1" x14ac:dyDescent="0.25"/>
    <row r="259734" customFormat="1" x14ac:dyDescent="0.25"/>
    <row r="259735" customFormat="1" x14ac:dyDescent="0.25"/>
    <row r="259736" customFormat="1" x14ac:dyDescent="0.25"/>
    <row r="259737" customFormat="1" x14ac:dyDescent="0.25"/>
    <row r="259738" customFormat="1" x14ac:dyDescent="0.25"/>
    <row r="259739" customFormat="1" x14ac:dyDescent="0.25"/>
    <row r="259740" customFormat="1" x14ac:dyDescent="0.25"/>
    <row r="259741" customFormat="1" x14ac:dyDescent="0.25"/>
    <row r="259742" customFormat="1" x14ac:dyDescent="0.25"/>
    <row r="259743" customFormat="1" x14ac:dyDescent="0.25"/>
    <row r="259744" customFormat="1" x14ac:dyDescent="0.25"/>
    <row r="259745" customFormat="1" x14ac:dyDescent="0.25"/>
    <row r="259746" customFormat="1" x14ac:dyDescent="0.25"/>
    <row r="259747" customFormat="1" x14ac:dyDescent="0.25"/>
    <row r="259748" customFormat="1" x14ac:dyDescent="0.25"/>
    <row r="259749" customFormat="1" x14ac:dyDescent="0.25"/>
    <row r="259750" customFormat="1" x14ac:dyDescent="0.25"/>
    <row r="259751" customFormat="1" x14ac:dyDescent="0.25"/>
    <row r="259752" customFormat="1" x14ac:dyDescent="0.25"/>
    <row r="259753" customFormat="1" x14ac:dyDescent="0.25"/>
    <row r="259754" customFormat="1" x14ac:dyDescent="0.25"/>
    <row r="259755" customFormat="1" x14ac:dyDescent="0.25"/>
    <row r="259756" customFormat="1" x14ac:dyDescent="0.25"/>
    <row r="259757" customFormat="1" x14ac:dyDescent="0.25"/>
    <row r="259758" customFormat="1" x14ac:dyDescent="0.25"/>
    <row r="259759" customFormat="1" x14ac:dyDescent="0.25"/>
    <row r="259760" customFormat="1" x14ac:dyDescent="0.25"/>
    <row r="259761" customFormat="1" x14ac:dyDescent="0.25"/>
    <row r="259762" customFormat="1" x14ac:dyDescent="0.25"/>
    <row r="259763" customFormat="1" x14ac:dyDescent="0.25"/>
    <row r="259764" customFormat="1" x14ac:dyDescent="0.25"/>
    <row r="259765" customFormat="1" x14ac:dyDescent="0.25"/>
    <row r="259766" customFormat="1" x14ac:dyDescent="0.25"/>
    <row r="259767" customFormat="1" x14ac:dyDescent="0.25"/>
    <row r="259768" customFormat="1" x14ac:dyDescent="0.25"/>
    <row r="259769" customFormat="1" x14ac:dyDescent="0.25"/>
    <row r="259770" customFormat="1" x14ac:dyDescent="0.25"/>
    <row r="259771" customFormat="1" x14ac:dyDescent="0.25"/>
    <row r="259772" customFormat="1" x14ac:dyDescent="0.25"/>
    <row r="259773" customFormat="1" x14ac:dyDescent="0.25"/>
    <row r="259774" customFormat="1" x14ac:dyDescent="0.25"/>
    <row r="259775" customFormat="1" x14ac:dyDescent="0.25"/>
    <row r="259776" customFormat="1" x14ac:dyDescent="0.25"/>
    <row r="259777" customFormat="1" x14ac:dyDescent="0.25"/>
    <row r="259778" customFormat="1" x14ac:dyDescent="0.25"/>
    <row r="259779" customFormat="1" x14ac:dyDescent="0.25"/>
    <row r="259780" customFormat="1" x14ac:dyDescent="0.25"/>
    <row r="259781" customFormat="1" x14ac:dyDescent="0.25"/>
    <row r="259782" customFormat="1" x14ac:dyDescent="0.25"/>
    <row r="259783" customFormat="1" x14ac:dyDescent="0.25"/>
    <row r="259784" customFormat="1" x14ac:dyDescent="0.25"/>
    <row r="259785" customFormat="1" x14ac:dyDescent="0.25"/>
    <row r="259786" customFormat="1" x14ac:dyDescent="0.25"/>
    <row r="259787" customFormat="1" x14ac:dyDescent="0.25"/>
    <row r="259788" customFormat="1" x14ac:dyDescent="0.25"/>
    <row r="259789" customFormat="1" x14ac:dyDescent="0.25"/>
    <row r="259790" customFormat="1" x14ac:dyDescent="0.25"/>
    <row r="259791" customFormat="1" x14ac:dyDescent="0.25"/>
    <row r="259792" customFormat="1" x14ac:dyDescent="0.25"/>
    <row r="259793" customFormat="1" x14ac:dyDescent="0.25"/>
    <row r="259794" customFormat="1" x14ac:dyDescent="0.25"/>
    <row r="259795" customFormat="1" x14ac:dyDescent="0.25"/>
    <row r="259796" customFormat="1" x14ac:dyDescent="0.25"/>
    <row r="259797" customFormat="1" x14ac:dyDescent="0.25"/>
    <row r="259798" customFormat="1" x14ac:dyDescent="0.25"/>
    <row r="259799" customFormat="1" x14ac:dyDescent="0.25"/>
    <row r="259800" customFormat="1" x14ac:dyDescent="0.25"/>
    <row r="259801" customFormat="1" x14ac:dyDescent="0.25"/>
    <row r="259802" customFormat="1" x14ac:dyDescent="0.25"/>
    <row r="259803" customFormat="1" x14ac:dyDescent="0.25"/>
    <row r="259804" customFormat="1" x14ac:dyDescent="0.25"/>
    <row r="259805" customFormat="1" x14ac:dyDescent="0.25"/>
    <row r="259806" customFormat="1" x14ac:dyDescent="0.25"/>
    <row r="259807" customFormat="1" x14ac:dyDescent="0.25"/>
    <row r="259808" customFormat="1" x14ac:dyDescent="0.25"/>
    <row r="259809" customFormat="1" x14ac:dyDescent="0.25"/>
    <row r="259810" customFormat="1" x14ac:dyDescent="0.25"/>
    <row r="259811" customFormat="1" x14ac:dyDescent="0.25"/>
    <row r="259812" customFormat="1" x14ac:dyDescent="0.25"/>
    <row r="259813" customFormat="1" x14ac:dyDescent="0.25"/>
    <row r="259814" customFormat="1" x14ac:dyDescent="0.25"/>
    <row r="259815" customFormat="1" x14ac:dyDescent="0.25"/>
    <row r="259816" customFormat="1" x14ac:dyDescent="0.25"/>
    <row r="259817" customFormat="1" x14ac:dyDescent="0.25"/>
    <row r="259818" customFormat="1" x14ac:dyDescent="0.25"/>
    <row r="259819" customFormat="1" x14ac:dyDescent="0.25"/>
    <row r="259820" customFormat="1" x14ac:dyDescent="0.25"/>
    <row r="259821" customFormat="1" x14ac:dyDescent="0.25"/>
    <row r="259822" customFormat="1" x14ac:dyDescent="0.25"/>
    <row r="259823" customFormat="1" x14ac:dyDescent="0.25"/>
    <row r="259824" customFormat="1" x14ac:dyDescent="0.25"/>
    <row r="259825" customFormat="1" x14ac:dyDescent="0.25"/>
    <row r="259826" customFormat="1" x14ac:dyDescent="0.25"/>
    <row r="259827" customFormat="1" x14ac:dyDescent="0.25"/>
    <row r="259828" customFormat="1" x14ac:dyDescent="0.25"/>
    <row r="259829" customFormat="1" x14ac:dyDescent="0.25"/>
    <row r="259830" customFormat="1" x14ac:dyDescent="0.25"/>
    <row r="259831" customFormat="1" x14ac:dyDescent="0.25"/>
    <row r="259832" customFormat="1" x14ac:dyDescent="0.25"/>
    <row r="259833" customFormat="1" x14ac:dyDescent="0.25"/>
    <row r="259834" customFormat="1" x14ac:dyDescent="0.25"/>
    <row r="259835" customFormat="1" x14ac:dyDescent="0.25"/>
    <row r="259836" customFormat="1" x14ac:dyDescent="0.25"/>
    <row r="259837" customFormat="1" x14ac:dyDescent="0.25"/>
    <row r="259838" customFormat="1" x14ac:dyDescent="0.25"/>
    <row r="259839" customFormat="1" x14ac:dyDescent="0.25"/>
    <row r="259840" customFormat="1" x14ac:dyDescent="0.25"/>
    <row r="259841" customFormat="1" x14ac:dyDescent="0.25"/>
    <row r="259842" customFormat="1" x14ac:dyDescent="0.25"/>
    <row r="259843" customFormat="1" x14ac:dyDescent="0.25"/>
    <row r="259844" customFormat="1" x14ac:dyDescent="0.25"/>
    <row r="259845" customFormat="1" x14ac:dyDescent="0.25"/>
    <row r="259846" customFormat="1" x14ac:dyDescent="0.25"/>
    <row r="259847" customFormat="1" x14ac:dyDescent="0.25"/>
    <row r="259848" customFormat="1" x14ac:dyDescent="0.25"/>
    <row r="259849" customFormat="1" x14ac:dyDescent="0.25"/>
    <row r="259850" customFormat="1" x14ac:dyDescent="0.25"/>
    <row r="259851" customFormat="1" x14ac:dyDescent="0.25"/>
    <row r="259852" customFormat="1" x14ac:dyDescent="0.25"/>
    <row r="259853" customFormat="1" x14ac:dyDescent="0.25"/>
    <row r="259854" customFormat="1" x14ac:dyDescent="0.25"/>
    <row r="259855" customFormat="1" x14ac:dyDescent="0.25"/>
    <row r="259856" customFormat="1" x14ac:dyDescent="0.25"/>
    <row r="259857" customFormat="1" x14ac:dyDescent="0.25"/>
    <row r="259858" customFormat="1" x14ac:dyDescent="0.25"/>
    <row r="259859" customFormat="1" x14ac:dyDescent="0.25"/>
    <row r="259860" customFormat="1" x14ac:dyDescent="0.25"/>
    <row r="259861" customFormat="1" x14ac:dyDescent="0.25"/>
    <row r="259862" customFormat="1" x14ac:dyDescent="0.25"/>
    <row r="259863" customFormat="1" x14ac:dyDescent="0.25"/>
    <row r="259864" customFormat="1" x14ac:dyDescent="0.25"/>
    <row r="259865" customFormat="1" x14ac:dyDescent="0.25"/>
    <row r="259866" customFormat="1" x14ac:dyDescent="0.25"/>
    <row r="259867" customFormat="1" x14ac:dyDescent="0.25"/>
    <row r="259868" customFormat="1" x14ac:dyDescent="0.25"/>
    <row r="259869" customFormat="1" x14ac:dyDescent="0.25"/>
    <row r="259870" customFormat="1" x14ac:dyDescent="0.25"/>
    <row r="259871" customFormat="1" x14ac:dyDescent="0.25"/>
    <row r="259872" customFormat="1" x14ac:dyDescent="0.25"/>
    <row r="259873" customFormat="1" x14ac:dyDescent="0.25"/>
    <row r="259874" customFormat="1" x14ac:dyDescent="0.25"/>
    <row r="259875" customFormat="1" x14ac:dyDescent="0.25"/>
    <row r="259876" customFormat="1" x14ac:dyDescent="0.25"/>
    <row r="259877" customFormat="1" x14ac:dyDescent="0.25"/>
    <row r="259878" customFormat="1" x14ac:dyDescent="0.25"/>
    <row r="259879" customFormat="1" x14ac:dyDescent="0.25"/>
    <row r="259880" customFormat="1" x14ac:dyDescent="0.25"/>
    <row r="259881" customFormat="1" x14ac:dyDescent="0.25"/>
    <row r="259882" customFormat="1" x14ac:dyDescent="0.25"/>
    <row r="259883" customFormat="1" x14ac:dyDescent="0.25"/>
    <row r="259884" customFormat="1" x14ac:dyDescent="0.25"/>
    <row r="259885" customFormat="1" x14ac:dyDescent="0.25"/>
    <row r="259886" customFormat="1" x14ac:dyDescent="0.25"/>
    <row r="259887" customFormat="1" x14ac:dyDescent="0.25"/>
    <row r="259888" customFormat="1" x14ac:dyDescent="0.25"/>
    <row r="259889" customFormat="1" x14ac:dyDescent="0.25"/>
    <row r="259890" customFormat="1" x14ac:dyDescent="0.25"/>
    <row r="259891" customFormat="1" x14ac:dyDescent="0.25"/>
    <row r="259892" customFormat="1" x14ac:dyDescent="0.25"/>
    <row r="259893" customFormat="1" x14ac:dyDescent="0.25"/>
    <row r="259894" customFormat="1" x14ac:dyDescent="0.25"/>
    <row r="259895" customFormat="1" x14ac:dyDescent="0.25"/>
    <row r="259896" customFormat="1" x14ac:dyDescent="0.25"/>
    <row r="259897" customFormat="1" x14ac:dyDescent="0.25"/>
    <row r="259898" customFormat="1" x14ac:dyDescent="0.25"/>
    <row r="259899" customFormat="1" x14ac:dyDescent="0.25"/>
    <row r="259900" customFormat="1" x14ac:dyDescent="0.25"/>
    <row r="259901" customFormat="1" x14ac:dyDescent="0.25"/>
    <row r="259902" customFormat="1" x14ac:dyDescent="0.25"/>
    <row r="259903" customFormat="1" x14ac:dyDescent="0.25"/>
    <row r="259904" customFormat="1" x14ac:dyDescent="0.25"/>
    <row r="259905" customFormat="1" x14ac:dyDescent="0.25"/>
    <row r="259906" customFormat="1" x14ac:dyDescent="0.25"/>
    <row r="259907" customFormat="1" x14ac:dyDescent="0.25"/>
    <row r="259908" customFormat="1" x14ac:dyDescent="0.25"/>
    <row r="259909" customFormat="1" x14ac:dyDescent="0.25"/>
    <row r="259910" customFormat="1" x14ac:dyDescent="0.25"/>
    <row r="259911" customFormat="1" x14ac:dyDescent="0.25"/>
    <row r="259912" customFormat="1" x14ac:dyDescent="0.25"/>
    <row r="259913" customFormat="1" x14ac:dyDescent="0.25"/>
    <row r="259914" customFormat="1" x14ac:dyDescent="0.25"/>
    <row r="259915" customFormat="1" x14ac:dyDescent="0.25"/>
    <row r="259916" customFormat="1" x14ac:dyDescent="0.25"/>
    <row r="259917" customFormat="1" x14ac:dyDescent="0.25"/>
    <row r="259918" customFormat="1" x14ac:dyDescent="0.25"/>
    <row r="259919" customFormat="1" x14ac:dyDescent="0.25"/>
    <row r="259920" customFormat="1" x14ac:dyDescent="0.25"/>
    <row r="259921" customFormat="1" x14ac:dyDescent="0.25"/>
    <row r="259922" customFormat="1" x14ac:dyDescent="0.25"/>
    <row r="259923" customFormat="1" x14ac:dyDescent="0.25"/>
    <row r="259924" customFormat="1" x14ac:dyDescent="0.25"/>
    <row r="259925" customFormat="1" x14ac:dyDescent="0.25"/>
    <row r="259926" customFormat="1" x14ac:dyDescent="0.25"/>
    <row r="259927" customFormat="1" x14ac:dyDescent="0.25"/>
    <row r="259928" customFormat="1" x14ac:dyDescent="0.25"/>
    <row r="259929" customFormat="1" x14ac:dyDescent="0.25"/>
    <row r="259930" customFormat="1" x14ac:dyDescent="0.25"/>
    <row r="259931" customFormat="1" x14ac:dyDescent="0.25"/>
    <row r="259932" customFormat="1" x14ac:dyDescent="0.25"/>
    <row r="259933" customFormat="1" x14ac:dyDescent="0.25"/>
    <row r="259934" customFormat="1" x14ac:dyDescent="0.25"/>
    <row r="259935" customFormat="1" x14ac:dyDescent="0.25"/>
    <row r="259936" customFormat="1" x14ac:dyDescent="0.25"/>
    <row r="259937" customFormat="1" x14ac:dyDescent="0.25"/>
    <row r="259938" customFormat="1" x14ac:dyDescent="0.25"/>
    <row r="259939" customFormat="1" x14ac:dyDescent="0.25"/>
    <row r="259940" customFormat="1" x14ac:dyDescent="0.25"/>
    <row r="259941" customFormat="1" x14ac:dyDescent="0.25"/>
    <row r="259942" customFormat="1" x14ac:dyDescent="0.25"/>
    <row r="259943" customFormat="1" x14ac:dyDescent="0.25"/>
    <row r="259944" customFormat="1" x14ac:dyDescent="0.25"/>
    <row r="259945" customFormat="1" x14ac:dyDescent="0.25"/>
    <row r="259946" customFormat="1" x14ac:dyDescent="0.25"/>
    <row r="259947" customFormat="1" x14ac:dyDescent="0.25"/>
    <row r="259948" customFormat="1" x14ac:dyDescent="0.25"/>
    <row r="259949" customFormat="1" x14ac:dyDescent="0.25"/>
    <row r="259950" customFormat="1" x14ac:dyDescent="0.25"/>
    <row r="259951" customFormat="1" x14ac:dyDescent="0.25"/>
    <row r="259952" customFormat="1" x14ac:dyDescent="0.25"/>
    <row r="259953" customFormat="1" x14ac:dyDescent="0.25"/>
    <row r="259954" customFormat="1" x14ac:dyDescent="0.25"/>
    <row r="259955" customFormat="1" x14ac:dyDescent="0.25"/>
    <row r="259956" customFormat="1" x14ac:dyDescent="0.25"/>
    <row r="259957" customFormat="1" x14ac:dyDescent="0.25"/>
    <row r="259958" customFormat="1" x14ac:dyDescent="0.25"/>
    <row r="259959" customFormat="1" x14ac:dyDescent="0.25"/>
    <row r="259960" customFormat="1" x14ac:dyDescent="0.25"/>
    <row r="259961" customFormat="1" x14ac:dyDescent="0.25"/>
    <row r="259962" customFormat="1" x14ac:dyDescent="0.25"/>
    <row r="259963" customFormat="1" x14ac:dyDescent="0.25"/>
    <row r="259964" customFormat="1" x14ac:dyDescent="0.25"/>
    <row r="259965" customFormat="1" x14ac:dyDescent="0.25"/>
    <row r="259966" customFormat="1" x14ac:dyDescent="0.25"/>
    <row r="259967" customFormat="1" x14ac:dyDescent="0.25"/>
    <row r="259968" customFormat="1" x14ac:dyDescent="0.25"/>
    <row r="259969" customFormat="1" x14ac:dyDescent="0.25"/>
    <row r="259970" customFormat="1" x14ac:dyDescent="0.25"/>
    <row r="259971" customFormat="1" x14ac:dyDescent="0.25"/>
    <row r="259972" customFormat="1" x14ac:dyDescent="0.25"/>
    <row r="259973" customFormat="1" x14ac:dyDescent="0.25"/>
    <row r="259974" customFormat="1" x14ac:dyDescent="0.25"/>
    <row r="259975" customFormat="1" x14ac:dyDescent="0.25"/>
    <row r="259976" customFormat="1" x14ac:dyDescent="0.25"/>
    <row r="259977" customFormat="1" x14ac:dyDescent="0.25"/>
    <row r="259978" customFormat="1" x14ac:dyDescent="0.25"/>
    <row r="259979" customFormat="1" x14ac:dyDescent="0.25"/>
    <row r="259980" customFormat="1" x14ac:dyDescent="0.25"/>
    <row r="259981" customFormat="1" x14ac:dyDescent="0.25"/>
    <row r="259982" customFormat="1" x14ac:dyDescent="0.25"/>
    <row r="259983" customFormat="1" x14ac:dyDescent="0.25"/>
    <row r="259984" customFormat="1" x14ac:dyDescent="0.25"/>
    <row r="259985" customFormat="1" x14ac:dyDescent="0.25"/>
    <row r="259986" customFormat="1" x14ac:dyDescent="0.25"/>
    <row r="259987" customFormat="1" x14ac:dyDescent="0.25"/>
    <row r="259988" customFormat="1" x14ac:dyDescent="0.25"/>
    <row r="259989" customFormat="1" x14ac:dyDescent="0.25"/>
    <row r="259990" customFormat="1" x14ac:dyDescent="0.25"/>
    <row r="259991" customFormat="1" x14ac:dyDescent="0.25"/>
    <row r="259992" customFormat="1" x14ac:dyDescent="0.25"/>
    <row r="259993" customFormat="1" x14ac:dyDescent="0.25"/>
    <row r="259994" customFormat="1" x14ac:dyDescent="0.25"/>
    <row r="259995" customFormat="1" x14ac:dyDescent="0.25"/>
    <row r="259996" customFormat="1" x14ac:dyDescent="0.25"/>
    <row r="259997" customFormat="1" x14ac:dyDescent="0.25"/>
    <row r="259998" customFormat="1" x14ac:dyDescent="0.25"/>
    <row r="259999" customFormat="1" x14ac:dyDescent="0.25"/>
    <row r="260000" customFormat="1" x14ac:dyDescent="0.25"/>
    <row r="260001" customFormat="1" x14ac:dyDescent="0.25"/>
    <row r="260002" customFormat="1" x14ac:dyDescent="0.25"/>
    <row r="260003" customFormat="1" x14ac:dyDescent="0.25"/>
    <row r="260004" customFormat="1" x14ac:dyDescent="0.25"/>
    <row r="260005" customFormat="1" x14ac:dyDescent="0.25"/>
    <row r="260006" customFormat="1" x14ac:dyDescent="0.25"/>
    <row r="260007" customFormat="1" x14ac:dyDescent="0.25"/>
    <row r="260008" customFormat="1" x14ac:dyDescent="0.25"/>
    <row r="260009" customFormat="1" x14ac:dyDescent="0.25"/>
    <row r="260010" customFormat="1" x14ac:dyDescent="0.25"/>
    <row r="260011" customFormat="1" x14ac:dyDescent="0.25"/>
    <row r="260012" customFormat="1" x14ac:dyDescent="0.25"/>
    <row r="260013" customFormat="1" x14ac:dyDescent="0.25"/>
    <row r="260014" customFormat="1" x14ac:dyDescent="0.25"/>
    <row r="260015" customFormat="1" x14ac:dyDescent="0.25"/>
    <row r="260016" customFormat="1" x14ac:dyDescent="0.25"/>
    <row r="260017" customFormat="1" x14ac:dyDescent="0.25"/>
    <row r="260018" customFormat="1" x14ac:dyDescent="0.25"/>
    <row r="260019" customFormat="1" x14ac:dyDescent="0.25"/>
    <row r="260020" customFormat="1" x14ac:dyDescent="0.25"/>
    <row r="260021" customFormat="1" x14ac:dyDescent="0.25"/>
    <row r="260022" customFormat="1" x14ac:dyDescent="0.25"/>
    <row r="260023" customFormat="1" x14ac:dyDescent="0.25"/>
    <row r="260024" customFormat="1" x14ac:dyDescent="0.25"/>
    <row r="260025" customFormat="1" x14ac:dyDescent="0.25"/>
    <row r="260026" customFormat="1" x14ac:dyDescent="0.25"/>
    <row r="260027" customFormat="1" x14ac:dyDescent="0.25"/>
    <row r="260028" customFormat="1" x14ac:dyDescent="0.25"/>
    <row r="260029" customFormat="1" x14ac:dyDescent="0.25"/>
    <row r="260030" customFormat="1" x14ac:dyDescent="0.25"/>
    <row r="260031" customFormat="1" x14ac:dyDescent="0.25"/>
    <row r="260032" customFormat="1" x14ac:dyDescent="0.25"/>
    <row r="260033" customFormat="1" x14ac:dyDescent="0.25"/>
    <row r="260034" customFormat="1" x14ac:dyDescent="0.25"/>
    <row r="260035" customFormat="1" x14ac:dyDescent="0.25"/>
    <row r="260036" customFormat="1" x14ac:dyDescent="0.25"/>
    <row r="260037" customFormat="1" x14ac:dyDescent="0.25"/>
    <row r="260038" customFormat="1" x14ac:dyDescent="0.25"/>
    <row r="260039" customFormat="1" x14ac:dyDescent="0.25"/>
    <row r="260040" customFormat="1" x14ac:dyDescent="0.25"/>
    <row r="260041" customFormat="1" x14ac:dyDescent="0.25"/>
    <row r="260042" customFormat="1" x14ac:dyDescent="0.25"/>
    <row r="260043" customFormat="1" x14ac:dyDescent="0.25"/>
    <row r="260044" customFormat="1" x14ac:dyDescent="0.25"/>
    <row r="260045" customFormat="1" x14ac:dyDescent="0.25"/>
    <row r="260046" customFormat="1" x14ac:dyDescent="0.25"/>
    <row r="260047" customFormat="1" x14ac:dyDescent="0.25"/>
    <row r="260048" customFormat="1" x14ac:dyDescent="0.25"/>
    <row r="260049" customFormat="1" x14ac:dyDescent="0.25"/>
    <row r="260050" customFormat="1" x14ac:dyDescent="0.25"/>
    <row r="260051" customFormat="1" x14ac:dyDescent="0.25"/>
    <row r="260052" customFormat="1" x14ac:dyDescent="0.25"/>
    <row r="260053" customFormat="1" x14ac:dyDescent="0.25"/>
    <row r="260054" customFormat="1" x14ac:dyDescent="0.25"/>
    <row r="260055" customFormat="1" x14ac:dyDescent="0.25"/>
    <row r="260056" customFormat="1" x14ac:dyDescent="0.25"/>
    <row r="260057" customFormat="1" x14ac:dyDescent="0.25"/>
    <row r="260058" customFormat="1" x14ac:dyDescent="0.25"/>
    <row r="260059" customFormat="1" x14ac:dyDescent="0.25"/>
    <row r="260060" customFormat="1" x14ac:dyDescent="0.25"/>
    <row r="260061" customFormat="1" x14ac:dyDescent="0.25"/>
    <row r="260062" customFormat="1" x14ac:dyDescent="0.25"/>
    <row r="260063" customFormat="1" x14ac:dyDescent="0.25"/>
    <row r="260064" customFormat="1" x14ac:dyDescent="0.25"/>
    <row r="260065" customFormat="1" x14ac:dyDescent="0.25"/>
    <row r="260066" customFormat="1" x14ac:dyDescent="0.25"/>
    <row r="260067" customFormat="1" x14ac:dyDescent="0.25"/>
    <row r="260068" customFormat="1" x14ac:dyDescent="0.25"/>
    <row r="260069" customFormat="1" x14ac:dyDescent="0.25"/>
    <row r="260070" customFormat="1" x14ac:dyDescent="0.25"/>
    <row r="260071" customFormat="1" x14ac:dyDescent="0.25"/>
    <row r="260072" customFormat="1" x14ac:dyDescent="0.25"/>
    <row r="260073" customFormat="1" x14ac:dyDescent="0.25"/>
    <row r="260074" customFormat="1" x14ac:dyDescent="0.25"/>
    <row r="260075" customFormat="1" x14ac:dyDescent="0.25"/>
    <row r="260076" customFormat="1" x14ac:dyDescent="0.25"/>
    <row r="260077" customFormat="1" x14ac:dyDescent="0.25"/>
    <row r="260078" customFormat="1" x14ac:dyDescent="0.25"/>
    <row r="260079" customFormat="1" x14ac:dyDescent="0.25"/>
    <row r="260080" customFormat="1" x14ac:dyDescent="0.25"/>
    <row r="260081" customFormat="1" x14ac:dyDescent="0.25"/>
    <row r="260082" customFormat="1" x14ac:dyDescent="0.25"/>
    <row r="260083" customFormat="1" x14ac:dyDescent="0.25"/>
    <row r="260084" customFormat="1" x14ac:dyDescent="0.25"/>
    <row r="260085" customFormat="1" x14ac:dyDescent="0.25"/>
    <row r="260086" customFormat="1" x14ac:dyDescent="0.25"/>
    <row r="260087" customFormat="1" x14ac:dyDescent="0.25"/>
    <row r="260088" customFormat="1" x14ac:dyDescent="0.25"/>
    <row r="260089" customFormat="1" x14ac:dyDescent="0.25"/>
    <row r="260090" customFormat="1" x14ac:dyDescent="0.25"/>
    <row r="260091" customFormat="1" x14ac:dyDescent="0.25"/>
    <row r="260092" customFormat="1" x14ac:dyDescent="0.25"/>
    <row r="260093" customFormat="1" x14ac:dyDescent="0.25"/>
    <row r="260094" customFormat="1" x14ac:dyDescent="0.25"/>
    <row r="260095" customFormat="1" x14ac:dyDescent="0.25"/>
    <row r="260096" customFormat="1" x14ac:dyDescent="0.25"/>
    <row r="260097" customFormat="1" x14ac:dyDescent="0.25"/>
    <row r="260098" customFormat="1" x14ac:dyDescent="0.25"/>
    <row r="260099" customFormat="1" x14ac:dyDescent="0.25"/>
    <row r="260100" customFormat="1" x14ac:dyDescent="0.25"/>
    <row r="260101" customFormat="1" x14ac:dyDescent="0.25"/>
    <row r="260102" customFormat="1" x14ac:dyDescent="0.25"/>
    <row r="260103" customFormat="1" x14ac:dyDescent="0.25"/>
    <row r="260104" customFormat="1" x14ac:dyDescent="0.25"/>
    <row r="260105" customFormat="1" x14ac:dyDescent="0.25"/>
    <row r="260106" customFormat="1" x14ac:dyDescent="0.25"/>
    <row r="260107" customFormat="1" x14ac:dyDescent="0.25"/>
    <row r="260108" customFormat="1" x14ac:dyDescent="0.25"/>
    <row r="260109" customFormat="1" x14ac:dyDescent="0.25"/>
    <row r="260110" customFormat="1" x14ac:dyDescent="0.25"/>
    <row r="260111" customFormat="1" x14ac:dyDescent="0.25"/>
    <row r="260112" customFormat="1" x14ac:dyDescent="0.25"/>
    <row r="260113" customFormat="1" x14ac:dyDescent="0.25"/>
    <row r="260114" customFormat="1" x14ac:dyDescent="0.25"/>
    <row r="260115" customFormat="1" x14ac:dyDescent="0.25"/>
    <row r="260116" customFormat="1" x14ac:dyDescent="0.25"/>
    <row r="260117" customFormat="1" x14ac:dyDescent="0.25"/>
    <row r="260118" customFormat="1" x14ac:dyDescent="0.25"/>
    <row r="260119" customFormat="1" x14ac:dyDescent="0.25"/>
    <row r="260120" customFormat="1" x14ac:dyDescent="0.25"/>
    <row r="260121" customFormat="1" x14ac:dyDescent="0.25"/>
    <row r="260122" customFormat="1" x14ac:dyDescent="0.25"/>
    <row r="260123" customFormat="1" x14ac:dyDescent="0.25"/>
    <row r="260124" customFormat="1" x14ac:dyDescent="0.25"/>
    <row r="260125" customFormat="1" x14ac:dyDescent="0.25"/>
    <row r="260126" customFormat="1" x14ac:dyDescent="0.25"/>
    <row r="260127" customFormat="1" x14ac:dyDescent="0.25"/>
    <row r="260128" customFormat="1" x14ac:dyDescent="0.25"/>
    <row r="260129" customFormat="1" x14ac:dyDescent="0.25"/>
    <row r="260130" customFormat="1" x14ac:dyDescent="0.25"/>
    <row r="260131" customFormat="1" x14ac:dyDescent="0.25"/>
    <row r="260132" customFormat="1" x14ac:dyDescent="0.25"/>
    <row r="260133" customFormat="1" x14ac:dyDescent="0.25"/>
    <row r="260134" customFormat="1" x14ac:dyDescent="0.25"/>
    <row r="260135" customFormat="1" x14ac:dyDescent="0.25"/>
    <row r="260136" customFormat="1" x14ac:dyDescent="0.25"/>
    <row r="260137" customFormat="1" x14ac:dyDescent="0.25"/>
    <row r="260138" customFormat="1" x14ac:dyDescent="0.25"/>
    <row r="260139" customFormat="1" x14ac:dyDescent="0.25"/>
    <row r="260140" customFormat="1" x14ac:dyDescent="0.25"/>
    <row r="260141" customFormat="1" x14ac:dyDescent="0.25"/>
    <row r="260142" customFormat="1" x14ac:dyDescent="0.25"/>
    <row r="260143" customFormat="1" x14ac:dyDescent="0.25"/>
    <row r="260144" customFormat="1" x14ac:dyDescent="0.25"/>
    <row r="260145" customFormat="1" x14ac:dyDescent="0.25"/>
    <row r="260146" customFormat="1" x14ac:dyDescent="0.25"/>
    <row r="260147" customFormat="1" x14ac:dyDescent="0.25"/>
    <row r="260148" customFormat="1" x14ac:dyDescent="0.25"/>
    <row r="260149" customFormat="1" x14ac:dyDescent="0.25"/>
    <row r="260150" customFormat="1" x14ac:dyDescent="0.25"/>
    <row r="260151" customFormat="1" x14ac:dyDescent="0.25"/>
    <row r="260152" customFormat="1" x14ac:dyDescent="0.25"/>
    <row r="260153" customFormat="1" x14ac:dyDescent="0.25"/>
    <row r="260154" customFormat="1" x14ac:dyDescent="0.25"/>
    <row r="260155" customFormat="1" x14ac:dyDescent="0.25"/>
    <row r="260156" customFormat="1" x14ac:dyDescent="0.25"/>
    <row r="260157" customFormat="1" x14ac:dyDescent="0.25"/>
    <row r="260158" customFormat="1" x14ac:dyDescent="0.25"/>
    <row r="260159" customFormat="1" x14ac:dyDescent="0.25"/>
    <row r="260160" customFormat="1" x14ac:dyDescent="0.25"/>
    <row r="260161" customFormat="1" x14ac:dyDescent="0.25"/>
    <row r="260162" customFormat="1" x14ac:dyDescent="0.25"/>
    <row r="260163" customFormat="1" x14ac:dyDescent="0.25"/>
    <row r="260164" customFormat="1" x14ac:dyDescent="0.25"/>
    <row r="260165" customFormat="1" x14ac:dyDescent="0.25"/>
    <row r="260166" customFormat="1" x14ac:dyDescent="0.25"/>
    <row r="260167" customFormat="1" x14ac:dyDescent="0.25"/>
    <row r="260168" customFormat="1" x14ac:dyDescent="0.25"/>
    <row r="260169" customFormat="1" x14ac:dyDescent="0.25"/>
    <row r="260170" customFormat="1" x14ac:dyDescent="0.25"/>
    <row r="260171" customFormat="1" x14ac:dyDescent="0.25"/>
    <row r="260172" customFormat="1" x14ac:dyDescent="0.25"/>
    <row r="260173" customFormat="1" x14ac:dyDescent="0.25"/>
    <row r="260174" customFormat="1" x14ac:dyDescent="0.25"/>
    <row r="260175" customFormat="1" x14ac:dyDescent="0.25"/>
    <row r="260176" customFormat="1" x14ac:dyDescent="0.25"/>
    <row r="260177" customFormat="1" x14ac:dyDescent="0.25"/>
    <row r="260178" customFormat="1" x14ac:dyDescent="0.25"/>
    <row r="260179" customFormat="1" x14ac:dyDescent="0.25"/>
    <row r="260180" customFormat="1" x14ac:dyDescent="0.25"/>
    <row r="260181" customFormat="1" x14ac:dyDescent="0.25"/>
    <row r="260182" customFormat="1" x14ac:dyDescent="0.25"/>
    <row r="260183" customFormat="1" x14ac:dyDescent="0.25"/>
    <row r="260184" customFormat="1" x14ac:dyDescent="0.25"/>
    <row r="260185" customFormat="1" x14ac:dyDescent="0.25"/>
    <row r="260186" customFormat="1" x14ac:dyDescent="0.25"/>
    <row r="260187" customFormat="1" x14ac:dyDescent="0.25"/>
    <row r="260188" customFormat="1" x14ac:dyDescent="0.25"/>
    <row r="260189" customFormat="1" x14ac:dyDescent="0.25"/>
    <row r="260190" customFormat="1" x14ac:dyDescent="0.25"/>
    <row r="260191" customFormat="1" x14ac:dyDescent="0.25"/>
    <row r="260192" customFormat="1" x14ac:dyDescent="0.25"/>
    <row r="260193" customFormat="1" x14ac:dyDescent="0.25"/>
    <row r="260194" customFormat="1" x14ac:dyDescent="0.25"/>
    <row r="260195" customFormat="1" x14ac:dyDescent="0.25"/>
    <row r="260196" customFormat="1" x14ac:dyDescent="0.25"/>
    <row r="260197" customFormat="1" x14ac:dyDescent="0.25"/>
    <row r="260198" customFormat="1" x14ac:dyDescent="0.25"/>
    <row r="260199" customFormat="1" x14ac:dyDescent="0.25"/>
    <row r="260200" customFormat="1" x14ac:dyDescent="0.25"/>
    <row r="260201" customFormat="1" x14ac:dyDescent="0.25"/>
    <row r="260202" customFormat="1" x14ac:dyDescent="0.25"/>
    <row r="260203" customFormat="1" x14ac:dyDescent="0.25"/>
    <row r="260204" customFormat="1" x14ac:dyDescent="0.25"/>
    <row r="260205" customFormat="1" x14ac:dyDescent="0.25"/>
    <row r="260206" customFormat="1" x14ac:dyDescent="0.25"/>
    <row r="260207" customFormat="1" x14ac:dyDescent="0.25"/>
    <row r="260208" customFormat="1" x14ac:dyDescent="0.25"/>
    <row r="260209" customFormat="1" x14ac:dyDescent="0.25"/>
    <row r="260210" customFormat="1" x14ac:dyDescent="0.25"/>
    <row r="260211" customFormat="1" x14ac:dyDescent="0.25"/>
    <row r="260212" customFormat="1" x14ac:dyDescent="0.25"/>
    <row r="260213" customFormat="1" x14ac:dyDescent="0.25"/>
    <row r="260214" customFormat="1" x14ac:dyDescent="0.25"/>
    <row r="260215" customFormat="1" x14ac:dyDescent="0.25"/>
    <row r="260216" customFormat="1" x14ac:dyDescent="0.25"/>
    <row r="260217" customFormat="1" x14ac:dyDescent="0.25"/>
    <row r="260218" customFormat="1" x14ac:dyDescent="0.25"/>
    <row r="260219" customFormat="1" x14ac:dyDescent="0.25"/>
    <row r="260220" customFormat="1" x14ac:dyDescent="0.25"/>
    <row r="260221" customFormat="1" x14ac:dyDescent="0.25"/>
    <row r="260222" customFormat="1" x14ac:dyDescent="0.25"/>
    <row r="260223" customFormat="1" x14ac:dyDescent="0.25"/>
    <row r="260224" customFormat="1" x14ac:dyDescent="0.25"/>
    <row r="260225" customFormat="1" x14ac:dyDescent="0.25"/>
    <row r="260226" customFormat="1" x14ac:dyDescent="0.25"/>
    <row r="260227" customFormat="1" x14ac:dyDescent="0.25"/>
    <row r="260228" customFormat="1" x14ac:dyDescent="0.25"/>
    <row r="260229" customFormat="1" x14ac:dyDescent="0.25"/>
    <row r="260230" customFormat="1" x14ac:dyDescent="0.25"/>
    <row r="260231" customFormat="1" x14ac:dyDescent="0.25"/>
    <row r="260232" customFormat="1" x14ac:dyDescent="0.25"/>
    <row r="260233" customFormat="1" x14ac:dyDescent="0.25"/>
    <row r="260234" customFormat="1" x14ac:dyDescent="0.25"/>
    <row r="260235" customFormat="1" x14ac:dyDescent="0.25"/>
    <row r="260236" customFormat="1" x14ac:dyDescent="0.25"/>
    <row r="260237" customFormat="1" x14ac:dyDescent="0.25"/>
    <row r="260238" customFormat="1" x14ac:dyDescent="0.25"/>
    <row r="260239" customFormat="1" x14ac:dyDescent="0.25"/>
    <row r="260240" customFormat="1" x14ac:dyDescent="0.25"/>
    <row r="260241" customFormat="1" x14ac:dyDescent="0.25"/>
    <row r="260242" customFormat="1" x14ac:dyDescent="0.25"/>
    <row r="260243" customFormat="1" x14ac:dyDescent="0.25"/>
    <row r="260244" customFormat="1" x14ac:dyDescent="0.25"/>
    <row r="260245" customFormat="1" x14ac:dyDescent="0.25"/>
    <row r="260246" customFormat="1" x14ac:dyDescent="0.25"/>
    <row r="260247" customFormat="1" x14ac:dyDescent="0.25"/>
    <row r="260248" customFormat="1" x14ac:dyDescent="0.25"/>
    <row r="260249" customFormat="1" x14ac:dyDescent="0.25"/>
    <row r="260250" customFormat="1" x14ac:dyDescent="0.25"/>
    <row r="260251" customFormat="1" x14ac:dyDescent="0.25"/>
    <row r="260252" customFormat="1" x14ac:dyDescent="0.25"/>
    <row r="260253" customFormat="1" x14ac:dyDescent="0.25"/>
    <row r="260254" customFormat="1" x14ac:dyDescent="0.25"/>
    <row r="260255" customFormat="1" x14ac:dyDescent="0.25"/>
    <row r="260256" customFormat="1" x14ac:dyDescent="0.25"/>
    <row r="260257" customFormat="1" x14ac:dyDescent="0.25"/>
    <row r="260258" customFormat="1" x14ac:dyDescent="0.25"/>
    <row r="260259" customFormat="1" x14ac:dyDescent="0.25"/>
    <row r="260260" customFormat="1" x14ac:dyDescent="0.25"/>
    <row r="260261" customFormat="1" x14ac:dyDescent="0.25"/>
    <row r="260262" customFormat="1" x14ac:dyDescent="0.25"/>
    <row r="260263" customFormat="1" x14ac:dyDescent="0.25"/>
    <row r="260264" customFormat="1" x14ac:dyDescent="0.25"/>
    <row r="260265" customFormat="1" x14ac:dyDescent="0.25"/>
    <row r="260266" customFormat="1" x14ac:dyDescent="0.25"/>
    <row r="260267" customFormat="1" x14ac:dyDescent="0.25"/>
    <row r="260268" customFormat="1" x14ac:dyDescent="0.25"/>
    <row r="260269" customFormat="1" x14ac:dyDescent="0.25"/>
    <row r="260270" customFormat="1" x14ac:dyDescent="0.25"/>
    <row r="260271" customFormat="1" x14ac:dyDescent="0.25"/>
    <row r="260272" customFormat="1" x14ac:dyDescent="0.25"/>
    <row r="260273" customFormat="1" x14ac:dyDescent="0.25"/>
    <row r="260274" customFormat="1" x14ac:dyDescent="0.25"/>
    <row r="260275" customFormat="1" x14ac:dyDescent="0.25"/>
    <row r="260276" customFormat="1" x14ac:dyDescent="0.25"/>
    <row r="260277" customFormat="1" x14ac:dyDescent="0.25"/>
    <row r="260278" customFormat="1" x14ac:dyDescent="0.25"/>
    <row r="260279" customFormat="1" x14ac:dyDescent="0.25"/>
    <row r="260280" customFormat="1" x14ac:dyDescent="0.25"/>
    <row r="260281" customFormat="1" x14ac:dyDescent="0.25"/>
    <row r="260282" customFormat="1" x14ac:dyDescent="0.25"/>
    <row r="260283" customFormat="1" x14ac:dyDescent="0.25"/>
    <row r="260284" customFormat="1" x14ac:dyDescent="0.25"/>
    <row r="260285" customFormat="1" x14ac:dyDescent="0.25"/>
    <row r="260286" customFormat="1" x14ac:dyDescent="0.25"/>
    <row r="260287" customFormat="1" x14ac:dyDescent="0.25"/>
    <row r="260288" customFormat="1" x14ac:dyDescent="0.25"/>
    <row r="260289" customFormat="1" x14ac:dyDescent="0.25"/>
    <row r="260290" customFormat="1" x14ac:dyDescent="0.25"/>
    <row r="260291" customFormat="1" x14ac:dyDescent="0.25"/>
    <row r="260292" customFormat="1" x14ac:dyDescent="0.25"/>
    <row r="260293" customFormat="1" x14ac:dyDescent="0.25"/>
    <row r="260294" customFormat="1" x14ac:dyDescent="0.25"/>
    <row r="260295" customFormat="1" x14ac:dyDescent="0.25"/>
    <row r="260296" customFormat="1" x14ac:dyDescent="0.25"/>
    <row r="260297" customFormat="1" x14ac:dyDescent="0.25"/>
    <row r="260298" customFormat="1" x14ac:dyDescent="0.25"/>
    <row r="260299" customFormat="1" x14ac:dyDescent="0.25"/>
    <row r="260300" customFormat="1" x14ac:dyDescent="0.25"/>
    <row r="260301" customFormat="1" x14ac:dyDescent="0.25"/>
    <row r="260302" customFormat="1" x14ac:dyDescent="0.25"/>
    <row r="260303" customFormat="1" x14ac:dyDescent="0.25"/>
    <row r="260304" customFormat="1" x14ac:dyDescent="0.25"/>
    <row r="260305" customFormat="1" x14ac:dyDescent="0.25"/>
    <row r="260306" customFormat="1" x14ac:dyDescent="0.25"/>
    <row r="260307" customFormat="1" x14ac:dyDescent="0.25"/>
    <row r="260308" customFormat="1" x14ac:dyDescent="0.25"/>
    <row r="260309" customFormat="1" x14ac:dyDescent="0.25"/>
    <row r="260310" customFormat="1" x14ac:dyDescent="0.25"/>
    <row r="260311" customFormat="1" x14ac:dyDescent="0.25"/>
    <row r="260312" customFormat="1" x14ac:dyDescent="0.25"/>
    <row r="260313" customFormat="1" x14ac:dyDescent="0.25"/>
    <row r="260314" customFormat="1" x14ac:dyDescent="0.25"/>
    <row r="260315" customFormat="1" x14ac:dyDescent="0.25"/>
    <row r="260316" customFormat="1" x14ac:dyDescent="0.25"/>
    <row r="260317" customFormat="1" x14ac:dyDescent="0.25"/>
    <row r="260318" customFormat="1" x14ac:dyDescent="0.25"/>
    <row r="260319" customFormat="1" x14ac:dyDescent="0.25"/>
    <row r="260320" customFormat="1" x14ac:dyDescent="0.25"/>
    <row r="260321" customFormat="1" x14ac:dyDescent="0.25"/>
    <row r="260322" customFormat="1" x14ac:dyDescent="0.25"/>
    <row r="260323" customFormat="1" x14ac:dyDescent="0.25"/>
    <row r="260324" customFormat="1" x14ac:dyDescent="0.25"/>
    <row r="260325" customFormat="1" x14ac:dyDescent="0.25"/>
    <row r="260326" customFormat="1" x14ac:dyDescent="0.25"/>
    <row r="260327" customFormat="1" x14ac:dyDescent="0.25"/>
    <row r="260328" customFormat="1" x14ac:dyDescent="0.25"/>
    <row r="260329" customFormat="1" x14ac:dyDescent="0.25"/>
    <row r="260330" customFormat="1" x14ac:dyDescent="0.25"/>
    <row r="260331" customFormat="1" x14ac:dyDescent="0.25"/>
    <row r="260332" customFormat="1" x14ac:dyDescent="0.25"/>
    <row r="260333" customFormat="1" x14ac:dyDescent="0.25"/>
    <row r="260334" customFormat="1" x14ac:dyDescent="0.25"/>
    <row r="260335" customFormat="1" x14ac:dyDescent="0.25"/>
    <row r="260336" customFormat="1" x14ac:dyDescent="0.25"/>
    <row r="260337" customFormat="1" x14ac:dyDescent="0.25"/>
    <row r="260338" customFormat="1" x14ac:dyDescent="0.25"/>
    <row r="260339" customFormat="1" x14ac:dyDescent="0.25"/>
    <row r="260340" customFormat="1" x14ac:dyDescent="0.25"/>
    <row r="260341" customFormat="1" x14ac:dyDescent="0.25"/>
    <row r="260342" customFormat="1" x14ac:dyDescent="0.25"/>
    <row r="260343" customFormat="1" x14ac:dyDescent="0.25"/>
    <row r="260344" customFormat="1" x14ac:dyDescent="0.25"/>
    <row r="260345" customFormat="1" x14ac:dyDescent="0.25"/>
    <row r="260346" customFormat="1" x14ac:dyDescent="0.25"/>
    <row r="260347" customFormat="1" x14ac:dyDescent="0.25"/>
    <row r="260348" customFormat="1" x14ac:dyDescent="0.25"/>
    <row r="260349" customFormat="1" x14ac:dyDescent="0.25"/>
    <row r="260350" customFormat="1" x14ac:dyDescent="0.25"/>
    <row r="260351" customFormat="1" x14ac:dyDescent="0.25"/>
    <row r="260352" customFormat="1" x14ac:dyDescent="0.25"/>
    <row r="260353" customFormat="1" x14ac:dyDescent="0.25"/>
    <row r="260354" customFormat="1" x14ac:dyDescent="0.25"/>
    <row r="260355" customFormat="1" x14ac:dyDescent="0.25"/>
    <row r="260356" customFormat="1" x14ac:dyDescent="0.25"/>
    <row r="260357" customFormat="1" x14ac:dyDescent="0.25"/>
    <row r="260358" customFormat="1" x14ac:dyDescent="0.25"/>
    <row r="260359" customFormat="1" x14ac:dyDescent="0.25"/>
    <row r="260360" customFormat="1" x14ac:dyDescent="0.25"/>
    <row r="260361" customFormat="1" x14ac:dyDescent="0.25"/>
    <row r="260362" customFormat="1" x14ac:dyDescent="0.25"/>
    <row r="260363" customFormat="1" x14ac:dyDescent="0.25"/>
    <row r="260364" customFormat="1" x14ac:dyDescent="0.25"/>
    <row r="260365" customFormat="1" x14ac:dyDescent="0.25"/>
    <row r="260366" customFormat="1" x14ac:dyDescent="0.25"/>
    <row r="260367" customFormat="1" x14ac:dyDescent="0.25"/>
    <row r="260368" customFormat="1" x14ac:dyDescent="0.25"/>
    <row r="260369" customFormat="1" x14ac:dyDescent="0.25"/>
    <row r="260370" customFormat="1" x14ac:dyDescent="0.25"/>
    <row r="260371" customFormat="1" x14ac:dyDescent="0.25"/>
    <row r="260372" customFormat="1" x14ac:dyDescent="0.25"/>
    <row r="260373" customFormat="1" x14ac:dyDescent="0.25"/>
    <row r="260374" customFormat="1" x14ac:dyDescent="0.25"/>
    <row r="260375" customFormat="1" x14ac:dyDescent="0.25"/>
    <row r="260376" customFormat="1" x14ac:dyDescent="0.25"/>
    <row r="260377" customFormat="1" x14ac:dyDescent="0.25"/>
    <row r="260378" customFormat="1" x14ac:dyDescent="0.25"/>
    <row r="260379" customFormat="1" x14ac:dyDescent="0.25"/>
    <row r="260380" customFormat="1" x14ac:dyDescent="0.25"/>
    <row r="260381" customFormat="1" x14ac:dyDescent="0.25"/>
    <row r="260382" customFormat="1" x14ac:dyDescent="0.25"/>
    <row r="260383" customFormat="1" x14ac:dyDescent="0.25"/>
    <row r="260384" customFormat="1" x14ac:dyDescent="0.25"/>
    <row r="260385" customFormat="1" x14ac:dyDescent="0.25"/>
    <row r="260386" customFormat="1" x14ac:dyDescent="0.25"/>
    <row r="260387" customFormat="1" x14ac:dyDescent="0.25"/>
    <row r="260388" customFormat="1" x14ac:dyDescent="0.25"/>
    <row r="260389" customFormat="1" x14ac:dyDescent="0.25"/>
    <row r="260390" customFormat="1" x14ac:dyDescent="0.25"/>
    <row r="260391" customFormat="1" x14ac:dyDescent="0.25"/>
    <row r="260392" customFormat="1" x14ac:dyDescent="0.25"/>
    <row r="260393" customFormat="1" x14ac:dyDescent="0.25"/>
    <row r="260394" customFormat="1" x14ac:dyDescent="0.25"/>
    <row r="260395" customFormat="1" x14ac:dyDescent="0.25"/>
    <row r="260396" customFormat="1" x14ac:dyDescent="0.25"/>
    <row r="260397" customFormat="1" x14ac:dyDescent="0.25"/>
    <row r="260398" customFormat="1" x14ac:dyDescent="0.25"/>
    <row r="260399" customFormat="1" x14ac:dyDescent="0.25"/>
    <row r="260400" customFormat="1" x14ac:dyDescent="0.25"/>
    <row r="260401" customFormat="1" x14ac:dyDescent="0.25"/>
    <row r="260402" customFormat="1" x14ac:dyDescent="0.25"/>
    <row r="260403" customFormat="1" x14ac:dyDescent="0.25"/>
    <row r="260404" customFormat="1" x14ac:dyDescent="0.25"/>
    <row r="260405" customFormat="1" x14ac:dyDescent="0.25"/>
    <row r="260406" customFormat="1" x14ac:dyDescent="0.25"/>
    <row r="260407" customFormat="1" x14ac:dyDescent="0.25"/>
    <row r="260408" customFormat="1" x14ac:dyDescent="0.25"/>
    <row r="260409" customFormat="1" x14ac:dyDescent="0.25"/>
    <row r="260410" customFormat="1" x14ac:dyDescent="0.25"/>
    <row r="260411" customFormat="1" x14ac:dyDescent="0.25"/>
    <row r="260412" customFormat="1" x14ac:dyDescent="0.25"/>
    <row r="260413" customFormat="1" x14ac:dyDescent="0.25"/>
    <row r="260414" customFormat="1" x14ac:dyDescent="0.25"/>
    <row r="260415" customFormat="1" x14ac:dyDescent="0.25"/>
    <row r="260416" customFormat="1" x14ac:dyDescent="0.25"/>
    <row r="260417" customFormat="1" x14ac:dyDescent="0.25"/>
    <row r="260418" customFormat="1" x14ac:dyDescent="0.25"/>
    <row r="260419" customFormat="1" x14ac:dyDescent="0.25"/>
    <row r="260420" customFormat="1" x14ac:dyDescent="0.25"/>
    <row r="260421" customFormat="1" x14ac:dyDescent="0.25"/>
    <row r="260422" customFormat="1" x14ac:dyDescent="0.25"/>
    <row r="260423" customFormat="1" x14ac:dyDescent="0.25"/>
    <row r="260424" customFormat="1" x14ac:dyDescent="0.25"/>
    <row r="260425" customFormat="1" x14ac:dyDescent="0.25"/>
    <row r="260426" customFormat="1" x14ac:dyDescent="0.25"/>
    <row r="260427" customFormat="1" x14ac:dyDescent="0.25"/>
    <row r="260428" customFormat="1" x14ac:dyDescent="0.25"/>
    <row r="260429" customFormat="1" x14ac:dyDescent="0.25"/>
    <row r="260430" customFormat="1" x14ac:dyDescent="0.25"/>
    <row r="260431" customFormat="1" x14ac:dyDescent="0.25"/>
    <row r="260432" customFormat="1" x14ac:dyDescent="0.25"/>
    <row r="260433" customFormat="1" x14ac:dyDescent="0.25"/>
    <row r="260434" customFormat="1" x14ac:dyDescent="0.25"/>
    <row r="260435" customFormat="1" x14ac:dyDescent="0.25"/>
    <row r="260436" customFormat="1" x14ac:dyDescent="0.25"/>
    <row r="260437" customFormat="1" x14ac:dyDescent="0.25"/>
    <row r="260438" customFormat="1" x14ac:dyDescent="0.25"/>
    <row r="260439" customFormat="1" x14ac:dyDescent="0.25"/>
    <row r="260440" customFormat="1" x14ac:dyDescent="0.25"/>
    <row r="260441" customFormat="1" x14ac:dyDescent="0.25"/>
    <row r="260442" customFormat="1" x14ac:dyDescent="0.25"/>
    <row r="260443" customFormat="1" x14ac:dyDescent="0.25"/>
    <row r="260444" customFormat="1" x14ac:dyDescent="0.25"/>
    <row r="260445" customFormat="1" x14ac:dyDescent="0.25"/>
    <row r="260446" customFormat="1" x14ac:dyDescent="0.25"/>
    <row r="260447" customFormat="1" x14ac:dyDescent="0.25"/>
    <row r="260448" customFormat="1" x14ac:dyDescent="0.25"/>
    <row r="260449" customFormat="1" x14ac:dyDescent="0.25"/>
    <row r="260450" customFormat="1" x14ac:dyDescent="0.25"/>
    <row r="260451" customFormat="1" x14ac:dyDescent="0.25"/>
    <row r="260452" customFormat="1" x14ac:dyDescent="0.25"/>
    <row r="260453" customFormat="1" x14ac:dyDescent="0.25"/>
    <row r="260454" customFormat="1" x14ac:dyDescent="0.25"/>
    <row r="260455" customFormat="1" x14ac:dyDescent="0.25"/>
    <row r="260456" customFormat="1" x14ac:dyDescent="0.25"/>
    <row r="260457" customFormat="1" x14ac:dyDescent="0.25"/>
    <row r="260458" customFormat="1" x14ac:dyDescent="0.25"/>
    <row r="260459" customFormat="1" x14ac:dyDescent="0.25"/>
    <row r="260460" customFormat="1" x14ac:dyDescent="0.25"/>
    <row r="260461" customFormat="1" x14ac:dyDescent="0.25"/>
    <row r="260462" customFormat="1" x14ac:dyDescent="0.25"/>
    <row r="260463" customFormat="1" x14ac:dyDescent="0.25"/>
    <row r="260464" customFormat="1" x14ac:dyDescent="0.25"/>
    <row r="260465" customFormat="1" x14ac:dyDescent="0.25"/>
    <row r="260466" customFormat="1" x14ac:dyDescent="0.25"/>
    <row r="260467" customFormat="1" x14ac:dyDescent="0.25"/>
    <row r="260468" customFormat="1" x14ac:dyDescent="0.25"/>
    <row r="260469" customFormat="1" x14ac:dyDescent="0.25"/>
    <row r="260470" customFormat="1" x14ac:dyDescent="0.25"/>
    <row r="260471" customFormat="1" x14ac:dyDescent="0.25"/>
    <row r="260472" customFormat="1" x14ac:dyDescent="0.25"/>
    <row r="260473" customFormat="1" x14ac:dyDescent="0.25"/>
    <row r="260474" customFormat="1" x14ac:dyDescent="0.25"/>
    <row r="260475" customFormat="1" x14ac:dyDescent="0.25"/>
    <row r="260476" customFormat="1" x14ac:dyDescent="0.25"/>
    <row r="260477" customFormat="1" x14ac:dyDescent="0.25"/>
    <row r="260478" customFormat="1" x14ac:dyDescent="0.25"/>
    <row r="260479" customFormat="1" x14ac:dyDescent="0.25"/>
    <row r="260480" customFormat="1" x14ac:dyDescent="0.25"/>
    <row r="260481" customFormat="1" x14ac:dyDescent="0.25"/>
    <row r="260482" customFormat="1" x14ac:dyDescent="0.25"/>
    <row r="260483" customFormat="1" x14ac:dyDescent="0.25"/>
    <row r="260484" customFormat="1" x14ac:dyDescent="0.25"/>
    <row r="260485" customFormat="1" x14ac:dyDescent="0.25"/>
    <row r="260486" customFormat="1" x14ac:dyDescent="0.25"/>
    <row r="260487" customFormat="1" x14ac:dyDescent="0.25"/>
    <row r="260488" customFormat="1" x14ac:dyDescent="0.25"/>
    <row r="260489" customFormat="1" x14ac:dyDescent="0.25"/>
    <row r="260490" customFormat="1" x14ac:dyDescent="0.25"/>
    <row r="260491" customFormat="1" x14ac:dyDescent="0.25"/>
    <row r="260492" customFormat="1" x14ac:dyDescent="0.25"/>
    <row r="260493" customFormat="1" x14ac:dyDescent="0.25"/>
    <row r="260494" customFormat="1" x14ac:dyDescent="0.25"/>
    <row r="260495" customFormat="1" x14ac:dyDescent="0.25"/>
    <row r="260496" customFormat="1" x14ac:dyDescent="0.25"/>
    <row r="260497" customFormat="1" x14ac:dyDescent="0.25"/>
    <row r="260498" customFormat="1" x14ac:dyDescent="0.25"/>
    <row r="260499" customFormat="1" x14ac:dyDescent="0.25"/>
    <row r="260500" customFormat="1" x14ac:dyDescent="0.25"/>
    <row r="260501" customFormat="1" x14ac:dyDescent="0.25"/>
    <row r="260502" customFormat="1" x14ac:dyDescent="0.25"/>
    <row r="260503" customFormat="1" x14ac:dyDescent="0.25"/>
    <row r="260504" customFormat="1" x14ac:dyDescent="0.25"/>
    <row r="260505" customFormat="1" x14ac:dyDescent="0.25"/>
    <row r="260506" customFormat="1" x14ac:dyDescent="0.25"/>
    <row r="260507" customFormat="1" x14ac:dyDescent="0.25"/>
    <row r="260508" customFormat="1" x14ac:dyDescent="0.25"/>
    <row r="260509" customFormat="1" x14ac:dyDescent="0.25"/>
    <row r="260510" customFormat="1" x14ac:dyDescent="0.25"/>
    <row r="260511" customFormat="1" x14ac:dyDescent="0.25"/>
    <row r="260512" customFormat="1" x14ac:dyDescent="0.25"/>
    <row r="260513" customFormat="1" x14ac:dyDescent="0.25"/>
    <row r="260514" customFormat="1" x14ac:dyDescent="0.25"/>
    <row r="260515" customFormat="1" x14ac:dyDescent="0.25"/>
    <row r="260516" customFormat="1" x14ac:dyDescent="0.25"/>
    <row r="260517" customFormat="1" x14ac:dyDescent="0.25"/>
    <row r="260518" customFormat="1" x14ac:dyDescent="0.25"/>
    <row r="260519" customFormat="1" x14ac:dyDescent="0.25"/>
    <row r="260520" customFormat="1" x14ac:dyDescent="0.25"/>
    <row r="260521" customFormat="1" x14ac:dyDescent="0.25"/>
    <row r="260522" customFormat="1" x14ac:dyDescent="0.25"/>
    <row r="260523" customFormat="1" x14ac:dyDescent="0.25"/>
    <row r="260524" customFormat="1" x14ac:dyDescent="0.25"/>
    <row r="260525" customFormat="1" x14ac:dyDescent="0.25"/>
    <row r="260526" customFormat="1" x14ac:dyDescent="0.25"/>
    <row r="260527" customFormat="1" x14ac:dyDescent="0.25"/>
    <row r="260528" customFormat="1" x14ac:dyDescent="0.25"/>
    <row r="260529" customFormat="1" x14ac:dyDescent="0.25"/>
    <row r="260530" customFormat="1" x14ac:dyDescent="0.25"/>
    <row r="260531" customFormat="1" x14ac:dyDescent="0.25"/>
    <row r="260532" customFormat="1" x14ac:dyDescent="0.25"/>
    <row r="260533" customFormat="1" x14ac:dyDescent="0.25"/>
    <row r="260534" customFormat="1" x14ac:dyDescent="0.25"/>
    <row r="260535" customFormat="1" x14ac:dyDescent="0.25"/>
    <row r="260536" customFormat="1" x14ac:dyDescent="0.25"/>
    <row r="260537" customFormat="1" x14ac:dyDescent="0.25"/>
    <row r="260538" customFormat="1" x14ac:dyDescent="0.25"/>
    <row r="260539" customFormat="1" x14ac:dyDescent="0.25"/>
    <row r="260540" customFormat="1" x14ac:dyDescent="0.25"/>
    <row r="260541" customFormat="1" x14ac:dyDescent="0.25"/>
    <row r="260542" customFormat="1" x14ac:dyDescent="0.25"/>
    <row r="260543" customFormat="1" x14ac:dyDescent="0.25"/>
    <row r="260544" customFormat="1" x14ac:dyDescent="0.25"/>
    <row r="260545" customFormat="1" x14ac:dyDescent="0.25"/>
    <row r="260546" customFormat="1" x14ac:dyDescent="0.25"/>
    <row r="260547" customFormat="1" x14ac:dyDescent="0.25"/>
    <row r="260548" customFormat="1" x14ac:dyDescent="0.25"/>
    <row r="260549" customFormat="1" x14ac:dyDescent="0.25"/>
    <row r="260550" customFormat="1" x14ac:dyDescent="0.25"/>
    <row r="260551" customFormat="1" x14ac:dyDescent="0.25"/>
    <row r="260552" customFormat="1" x14ac:dyDescent="0.25"/>
    <row r="260553" customFormat="1" x14ac:dyDescent="0.25"/>
    <row r="260554" customFormat="1" x14ac:dyDescent="0.25"/>
    <row r="260555" customFormat="1" x14ac:dyDescent="0.25"/>
    <row r="260556" customFormat="1" x14ac:dyDescent="0.25"/>
    <row r="260557" customFormat="1" x14ac:dyDescent="0.25"/>
    <row r="260558" customFormat="1" x14ac:dyDescent="0.25"/>
    <row r="260559" customFormat="1" x14ac:dyDescent="0.25"/>
    <row r="260560" customFormat="1" x14ac:dyDescent="0.25"/>
    <row r="260561" customFormat="1" x14ac:dyDescent="0.25"/>
    <row r="260562" customFormat="1" x14ac:dyDescent="0.25"/>
    <row r="260563" customFormat="1" x14ac:dyDescent="0.25"/>
    <row r="260564" customFormat="1" x14ac:dyDescent="0.25"/>
    <row r="260565" customFormat="1" x14ac:dyDescent="0.25"/>
    <row r="260566" customFormat="1" x14ac:dyDescent="0.25"/>
    <row r="260567" customFormat="1" x14ac:dyDescent="0.25"/>
    <row r="260568" customFormat="1" x14ac:dyDescent="0.25"/>
    <row r="260569" customFormat="1" x14ac:dyDescent="0.25"/>
    <row r="260570" customFormat="1" x14ac:dyDescent="0.25"/>
    <row r="260571" customFormat="1" x14ac:dyDescent="0.25"/>
    <row r="260572" customFormat="1" x14ac:dyDescent="0.25"/>
    <row r="260573" customFormat="1" x14ac:dyDescent="0.25"/>
    <row r="260574" customFormat="1" x14ac:dyDescent="0.25"/>
    <row r="260575" customFormat="1" x14ac:dyDescent="0.25"/>
    <row r="260576" customFormat="1" x14ac:dyDescent="0.25"/>
    <row r="260577" customFormat="1" x14ac:dyDescent="0.25"/>
    <row r="260578" customFormat="1" x14ac:dyDescent="0.25"/>
    <row r="260579" customFormat="1" x14ac:dyDescent="0.25"/>
    <row r="260580" customFormat="1" x14ac:dyDescent="0.25"/>
    <row r="260581" customFormat="1" x14ac:dyDescent="0.25"/>
    <row r="260582" customFormat="1" x14ac:dyDescent="0.25"/>
    <row r="260583" customFormat="1" x14ac:dyDescent="0.25"/>
    <row r="260584" customFormat="1" x14ac:dyDescent="0.25"/>
    <row r="260585" customFormat="1" x14ac:dyDescent="0.25"/>
    <row r="260586" customFormat="1" x14ac:dyDescent="0.25"/>
    <row r="260587" customFormat="1" x14ac:dyDescent="0.25"/>
    <row r="260588" customFormat="1" x14ac:dyDescent="0.25"/>
    <row r="260589" customFormat="1" x14ac:dyDescent="0.25"/>
    <row r="260590" customFormat="1" x14ac:dyDescent="0.25"/>
    <row r="260591" customFormat="1" x14ac:dyDescent="0.25"/>
    <row r="260592" customFormat="1" x14ac:dyDescent="0.25"/>
    <row r="260593" customFormat="1" x14ac:dyDescent="0.25"/>
    <row r="260594" customFormat="1" x14ac:dyDescent="0.25"/>
    <row r="260595" customFormat="1" x14ac:dyDescent="0.25"/>
    <row r="260596" customFormat="1" x14ac:dyDescent="0.25"/>
    <row r="260597" customFormat="1" x14ac:dyDescent="0.25"/>
    <row r="260598" customFormat="1" x14ac:dyDescent="0.25"/>
    <row r="260599" customFormat="1" x14ac:dyDescent="0.25"/>
    <row r="260600" customFormat="1" x14ac:dyDescent="0.25"/>
    <row r="260601" customFormat="1" x14ac:dyDescent="0.25"/>
    <row r="260602" customFormat="1" x14ac:dyDescent="0.25"/>
    <row r="260603" customFormat="1" x14ac:dyDescent="0.25"/>
    <row r="260604" customFormat="1" x14ac:dyDescent="0.25"/>
    <row r="260605" customFormat="1" x14ac:dyDescent="0.25"/>
    <row r="260606" customFormat="1" x14ac:dyDescent="0.25"/>
    <row r="260607" customFormat="1" x14ac:dyDescent="0.25"/>
    <row r="260608" customFormat="1" x14ac:dyDescent="0.25"/>
    <row r="260609" customFormat="1" x14ac:dyDescent="0.25"/>
    <row r="260610" customFormat="1" x14ac:dyDescent="0.25"/>
    <row r="260611" customFormat="1" x14ac:dyDescent="0.25"/>
    <row r="260612" customFormat="1" x14ac:dyDescent="0.25"/>
    <row r="260613" customFormat="1" x14ac:dyDescent="0.25"/>
    <row r="260614" customFormat="1" x14ac:dyDescent="0.25"/>
    <row r="260615" customFormat="1" x14ac:dyDescent="0.25"/>
    <row r="260616" customFormat="1" x14ac:dyDescent="0.25"/>
    <row r="260617" customFormat="1" x14ac:dyDescent="0.25"/>
    <row r="260618" customFormat="1" x14ac:dyDescent="0.25"/>
    <row r="260619" customFormat="1" x14ac:dyDescent="0.25"/>
    <row r="260620" customFormat="1" x14ac:dyDescent="0.25"/>
    <row r="260621" customFormat="1" x14ac:dyDescent="0.25"/>
    <row r="260622" customFormat="1" x14ac:dyDescent="0.25"/>
    <row r="260623" customFormat="1" x14ac:dyDescent="0.25"/>
    <row r="260624" customFormat="1" x14ac:dyDescent="0.25"/>
    <row r="260625" customFormat="1" x14ac:dyDescent="0.25"/>
    <row r="260626" customFormat="1" x14ac:dyDescent="0.25"/>
    <row r="260627" customFormat="1" x14ac:dyDescent="0.25"/>
    <row r="260628" customFormat="1" x14ac:dyDescent="0.25"/>
    <row r="260629" customFormat="1" x14ac:dyDescent="0.25"/>
    <row r="260630" customFormat="1" x14ac:dyDescent="0.25"/>
    <row r="260631" customFormat="1" x14ac:dyDescent="0.25"/>
    <row r="260632" customFormat="1" x14ac:dyDescent="0.25"/>
    <row r="260633" customFormat="1" x14ac:dyDescent="0.25"/>
    <row r="260634" customFormat="1" x14ac:dyDescent="0.25"/>
    <row r="260635" customFormat="1" x14ac:dyDescent="0.25"/>
    <row r="260636" customFormat="1" x14ac:dyDescent="0.25"/>
    <row r="260637" customFormat="1" x14ac:dyDescent="0.25"/>
    <row r="260638" customFormat="1" x14ac:dyDescent="0.25"/>
    <row r="260639" customFormat="1" x14ac:dyDescent="0.25"/>
    <row r="260640" customFormat="1" x14ac:dyDescent="0.25"/>
    <row r="260641" customFormat="1" x14ac:dyDescent="0.25"/>
    <row r="260642" customFormat="1" x14ac:dyDescent="0.25"/>
    <row r="260643" customFormat="1" x14ac:dyDescent="0.25"/>
    <row r="260644" customFormat="1" x14ac:dyDescent="0.25"/>
    <row r="260645" customFormat="1" x14ac:dyDescent="0.25"/>
    <row r="260646" customFormat="1" x14ac:dyDescent="0.25"/>
    <row r="260647" customFormat="1" x14ac:dyDescent="0.25"/>
    <row r="260648" customFormat="1" x14ac:dyDescent="0.25"/>
    <row r="260649" customFormat="1" x14ac:dyDescent="0.25"/>
    <row r="260650" customFormat="1" x14ac:dyDescent="0.25"/>
    <row r="260651" customFormat="1" x14ac:dyDescent="0.25"/>
    <row r="260652" customFormat="1" x14ac:dyDescent="0.25"/>
    <row r="260653" customFormat="1" x14ac:dyDescent="0.25"/>
    <row r="260654" customFormat="1" x14ac:dyDescent="0.25"/>
    <row r="260655" customFormat="1" x14ac:dyDescent="0.25"/>
    <row r="260656" customFormat="1" x14ac:dyDescent="0.25"/>
    <row r="260657" customFormat="1" x14ac:dyDescent="0.25"/>
    <row r="260658" customFormat="1" x14ac:dyDescent="0.25"/>
    <row r="260659" customFormat="1" x14ac:dyDescent="0.25"/>
    <row r="260660" customFormat="1" x14ac:dyDescent="0.25"/>
    <row r="260661" customFormat="1" x14ac:dyDescent="0.25"/>
    <row r="260662" customFormat="1" x14ac:dyDescent="0.25"/>
    <row r="260663" customFormat="1" x14ac:dyDescent="0.25"/>
    <row r="260664" customFormat="1" x14ac:dyDescent="0.25"/>
    <row r="260665" customFormat="1" x14ac:dyDescent="0.25"/>
    <row r="260666" customFormat="1" x14ac:dyDescent="0.25"/>
    <row r="260667" customFormat="1" x14ac:dyDescent="0.25"/>
    <row r="260668" customFormat="1" x14ac:dyDescent="0.25"/>
    <row r="260669" customFormat="1" x14ac:dyDescent="0.25"/>
    <row r="260670" customFormat="1" x14ac:dyDescent="0.25"/>
    <row r="260671" customFormat="1" x14ac:dyDescent="0.25"/>
    <row r="260672" customFormat="1" x14ac:dyDescent="0.25"/>
    <row r="260673" customFormat="1" x14ac:dyDescent="0.25"/>
    <row r="260674" customFormat="1" x14ac:dyDescent="0.25"/>
    <row r="260675" customFormat="1" x14ac:dyDescent="0.25"/>
    <row r="260676" customFormat="1" x14ac:dyDescent="0.25"/>
    <row r="260677" customFormat="1" x14ac:dyDescent="0.25"/>
    <row r="260678" customFormat="1" x14ac:dyDescent="0.25"/>
    <row r="260679" customFormat="1" x14ac:dyDescent="0.25"/>
    <row r="260680" customFormat="1" x14ac:dyDescent="0.25"/>
    <row r="260681" customFormat="1" x14ac:dyDescent="0.25"/>
    <row r="260682" customFormat="1" x14ac:dyDescent="0.25"/>
    <row r="260683" customFormat="1" x14ac:dyDescent="0.25"/>
    <row r="260684" customFormat="1" x14ac:dyDescent="0.25"/>
    <row r="260685" customFormat="1" x14ac:dyDescent="0.25"/>
    <row r="260686" customFormat="1" x14ac:dyDescent="0.25"/>
    <row r="260687" customFormat="1" x14ac:dyDescent="0.25"/>
    <row r="260688" customFormat="1" x14ac:dyDescent="0.25"/>
    <row r="260689" customFormat="1" x14ac:dyDescent="0.25"/>
    <row r="260690" customFormat="1" x14ac:dyDescent="0.25"/>
    <row r="260691" customFormat="1" x14ac:dyDescent="0.25"/>
    <row r="260692" customFormat="1" x14ac:dyDescent="0.25"/>
    <row r="260693" customFormat="1" x14ac:dyDescent="0.25"/>
    <row r="260694" customFormat="1" x14ac:dyDescent="0.25"/>
    <row r="260695" customFormat="1" x14ac:dyDescent="0.25"/>
    <row r="260696" customFormat="1" x14ac:dyDescent="0.25"/>
    <row r="260697" customFormat="1" x14ac:dyDescent="0.25"/>
    <row r="260698" customFormat="1" x14ac:dyDescent="0.25"/>
    <row r="260699" customFormat="1" x14ac:dyDescent="0.25"/>
    <row r="260700" customFormat="1" x14ac:dyDescent="0.25"/>
    <row r="260701" customFormat="1" x14ac:dyDescent="0.25"/>
    <row r="260702" customFormat="1" x14ac:dyDescent="0.25"/>
    <row r="260703" customFormat="1" x14ac:dyDescent="0.25"/>
    <row r="260704" customFormat="1" x14ac:dyDescent="0.25"/>
    <row r="260705" customFormat="1" x14ac:dyDescent="0.25"/>
    <row r="260706" customFormat="1" x14ac:dyDescent="0.25"/>
    <row r="260707" customFormat="1" x14ac:dyDescent="0.25"/>
    <row r="260708" customFormat="1" x14ac:dyDescent="0.25"/>
    <row r="260709" customFormat="1" x14ac:dyDescent="0.25"/>
    <row r="260710" customFormat="1" x14ac:dyDescent="0.25"/>
    <row r="260711" customFormat="1" x14ac:dyDescent="0.25"/>
    <row r="260712" customFormat="1" x14ac:dyDescent="0.25"/>
    <row r="260713" customFormat="1" x14ac:dyDescent="0.25"/>
    <row r="260714" customFormat="1" x14ac:dyDescent="0.25"/>
    <row r="260715" customFormat="1" x14ac:dyDescent="0.25"/>
    <row r="260716" customFormat="1" x14ac:dyDescent="0.25"/>
    <row r="260717" customFormat="1" x14ac:dyDescent="0.25"/>
    <row r="260718" customFormat="1" x14ac:dyDescent="0.25"/>
    <row r="260719" customFormat="1" x14ac:dyDescent="0.25"/>
    <row r="260720" customFormat="1" x14ac:dyDescent="0.25"/>
    <row r="260721" customFormat="1" x14ac:dyDescent="0.25"/>
    <row r="260722" customFormat="1" x14ac:dyDescent="0.25"/>
    <row r="260723" customFormat="1" x14ac:dyDescent="0.25"/>
    <row r="260724" customFormat="1" x14ac:dyDescent="0.25"/>
    <row r="260725" customFormat="1" x14ac:dyDescent="0.25"/>
    <row r="260726" customFormat="1" x14ac:dyDescent="0.25"/>
    <row r="260727" customFormat="1" x14ac:dyDescent="0.25"/>
    <row r="260728" customFormat="1" x14ac:dyDescent="0.25"/>
    <row r="260729" customFormat="1" x14ac:dyDescent="0.25"/>
    <row r="260730" customFormat="1" x14ac:dyDescent="0.25"/>
    <row r="260731" customFormat="1" x14ac:dyDescent="0.25"/>
    <row r="260732" customFormat="1" x14ac:dyDescent="0.25"/>
    <row r="260733" customFormat="1" x14ac:dyDescent="0.25"/>
    <row r="260734" customFormat="1" x14ac:dyDescent="0.25"/>
    <row r="260735" customFormat="1" x14ac:dyDescent="0.25"/>
    <row r="260736" customFormat="1" x14ac:dyDescent="0.25"/>
    <row r="260737" customFormat="1" x14ac:dyDescent="0.25"/>
    <row r="260738" customFormat="1" x14ac:dyDescent="0.25"/>
    <row r="260739" customFormat="1" x14ac:dyDescent="0.25"/>
    <row r="260740" customFormat="1" x14ac:dyDescent="0.25"/>
    <row r="260741" customFormat="1" x14ac:dyDescent="0.25"/>
    <row r="260742" customFormat="1" x14ac:dyDescent="0.25"/>
    <row r="260743" customFormat="1" x14ac:dyDescent="0.25"/>
    <row r="260744" customFormat="1" x14ac:dyDescent="0.25"/>
    <row r="260745" customFormat="1" x14ac:dyDescent="0.25"/>
    <row r="260746" customFormat="1" x14ac:dyDescent="0.25"/>
    <row r="260747" customFormat="1" x14ac:dyDescent="0.25"/>
    <row r="260748" customFormat="1" x14ac:dyDescent="0.25"/>
    <row r="260749" customFormat="1" x14ac:dyDescent="0.25"/>
    <row r="260750" customFormat="1" x14ac:dyDescent="0.25"/>
    <row r="260751" customFormat="1" x14ac:dyDescent="0.25"/>
    <row r="260752" customFormat="1" x14ac:dyDescent="0.25"/>
    <row r="260753" customFormat="1" x14ac:dyDescent="0.25"/>
    <row r="260754" customFormat="1" x14ac:dyDescent="0.25"/>
    <row r="260755" customFormat="1" x14ac:dyDescent="0.25"/>
    <row r="260756" customFormat="1" x14ac:dyDescent="0.25"/>
    <row r="260757" customFormat="1" x14ac:dyDescent="0.25"/>
    <row r="260758" customFormat="1" x14ac:dyDescent="0.25"/>
    <row r="260759" customFormat="1" x14ac:dyDescent="0.25"/>
    <row r="260760" customFormat="1" x14ac:dyDescent="0.25"/>
    <row r="260761" customFormat="1" x14ac:dyDescent="0.25"/>
    <row r="260762" customFormat="1" x14ac:dyDescent="0.25"/>
    <row r="260763" customFormat="1" x14ac:dyDescent="0.25"/>
    <row r="260764" customFormat="1" x14ac:dyDescent="0.25"/>
    <row r="260765" customFormat="1" x14ac:dyDescent="0.25"/>
    <row r="260766" customFormat="1" x14ac:dyDescent="0.25"/>
    <row r="260767" customFormat="1" x14ac:dyDescent="0.25"/>
    <row r="260768" customFormat="1" x14ac:dyDescent="0.25"/>
    <row r="260769" customFormat="1" x14ac:dyDescent="0.25"/>
    <row r="260770" customFormat="1" x14ac:dyDescent="0.25"/>
    <row r="260771" customFormat="1" x14ac:dyDescent="0.25"/>
    <row r="260772" customFormat="1" x14ac:dyDescent="0.25"/>
    <row r="260773" customFormat="1" x14ac:dyDescent="0.25"/>
    <row r="260774" customFormat="1" x14ac:dyDescent="0.25"/>
    <row r="260775" customFormat="1" x14ac:dyDescent="0.25"/>
    <row r="260776" customFormat="1" x14ac:dyDescent="0.25"/>
    <row r="260777" customFormat="1" x14ac:dyDescent="0.25"/>
    <row r="260778" customFormat="1" x14ac:dyDescent="0.25"/>
    <row r="260779" customFormat="1" x14ac:dyDescent="0.25"/>
    <row r="260780" customFormat="1" x14ac:dyDescent="0.25"/>
    <row r="260781" customFormat="1" x14ac:dyDescent="0.25"/>
    <row r="260782" customFormat="1" x14ac:dyDescent="0.25"/>
    <row r="260783" customFormat="1" x14ac:dyDescent="0.25"/>
    <row r="260784" customFormat="1" x14ac:dyDescent="0.25"/>
    <row r="260785" customFormat="1" x14ac:dyDescent="0.25"/>
    <row r="260786" customFormat="1" x14ac:dyDescent="0.25"/>
    <row r="260787" customFormat="1" x14ac:dyDescent="0.25"/>
    <row r="260788" customFormat="1" x14ac:dyDescent="0.25"/>
    <row r="260789" customFormat="1" x14ac:dyDescent="0.25"/>
    <row r="260790" customFormat="1" x14ac:dyDescent="0.25"/>
    <row r="260791" customFormat="1" x14ac:dyDescent="0.25"/>
    <row r="260792" customFormat="1" x14ac:dyDescent="0.25"/>
    <row r="260793" customFormat="1" x14ac:dyDescent="0.25"/>
    <row r="260794" customFormat="1" x14ac:dyDescent="0.25"/>
    <row r="260795" customFormat="1" x14ac:dyDescent="0.25"/>
    <row r="260796" customFormat="1" x14ac:dyDescent="0.25"/>
    <row r="260797" customFormat="1" x14ac:dyDescent="0.25"/>
    <row r="260798" customFormat="1" x14ac:dyDescent="0.25"/>
    <row r="260799" customFormat="1" x14ac:dyDescent="0.25"/>
    <row r="260800" customFormat="1" x14ac:dyDescent="0.25"/>
    <row r="260801" customFormat="1" x14ac:dyDescent="0.25"/>
    <row r="260802" customFormat="1" x14ac:dyDescent="0.25"/>
    <row r="260803" customFormat="1" x14ac:dyDescent="0.25"/>
    <row r="260804" customFormat="1" x14ac:dyDescent="0.25"/>
    <row r="260805" customFormat="1" x14ac:dyDescent="0.25"/>
    <row r="260806" customFormat="1" x14ac:dyDescent="0.25"/>
    <row r="260807" customFormat="1" x14ac:dyDescent="0.25"/>
    <row r="260808" customFormat="1" x14ac:dyDescent="0.25"/>
    <row r="260809" customFormat="1" x14ac:dyDescent="0.25"/>
    <row r="260810" customFormat="1" x14ac:dyDescent="0.25"/>
    <row r="260811" customFormat="1" x14ac:dyDescent="0.25"/>
    <row r="260812" customFormat="1" x14ac:dyDescent="0.25"/>
    <row r="260813" customFormat="1" x14ac:dyDescent="0.25"/>
    <row r="260814" customFormat="1" x14ac:dyDescent="0.25"/>
    <row r="260815" customFormat="1" x14ac:dyDescent="0.25"/>
    <row r="260816" customFormat="1" x14ac:dyDescent="0.25"/>
    <row r="260817" customFormat="1" x14ac:dyDescent="0.25"/>
    <row r="260818" customFormat="1" x14ac:dyDescent="0.25"/>
    <row r="260819" customFormat="1" x14ac:dyDescent="0.25"/>
    <row r="260820" customFormat="1" x14ac:dyDescent="0.25"/>
    <row r="260821" customFormat="1" x14ac:dyDescent="0.25"/>
    <row r="260822" customFormat="1" x14ac:dyDescent="0.25"/>
    <row r="260823" customFormat="1" x14ac:dyDescent="0.25"/>
    <row r="260824" customFormat="1" x14ac:dyDescent="0.25"/>
    <row r="260825" customFormat="1" x14ac:dyDescent="0.25"/>
    <row r="260826" customFormat="1" x14ac:dyDescent="0.25"/>
    <row r="260827" customFormat="1" x14ac:dyDescent="0.25"/>
    <row r="260828" customFormat="1" x14ac:dyDescent="0.25"/>
    <row r="260829" customFormat="1" x14ac:dyDescent="0.25"/>
    <row r="260830" customFormat="1" x14ac:dyDescent="0.25"/>
    <row r="260831" customFormat="1" x14ac:dyDescent="0.25"/>
    <row r="260832" customFormat="1" x14ac:dyDescent="0.25"/>
    <row r="260833" customFormat="1" x14ac:dyDescent="0.25"/>
    <row r="260834" customFormat="1" x14ac:dyDescent="0.25"/>
    <row r="260835" customFormat="1" x14ac:dyDescent="0.25"/>
    <row r="260836" customFormat="1" x14ac:dyDescent="0.25"/>
    <row r="260837" customFormat="1" x14ac:dyDescent="0.25"/>
    <row r="260838" customFormat="1" x14ac:dyDescent="0.25"/>
    <row r="260839" customFormat="1" x14ac:dyDescent="0.25"/>
    <row r="260840" customFormat="1" x14ac:dyDescent="0.25"/>
    <row r="260841" customFormat="1" x14ac:dyDescent="0.25"/>
    <row r="260842" customFormat="1" x14ac:dyDescent="0.25"/>
    <row r="260843" customFormat="1" x14ac:dyDescent="0.25"/>
    <row r="260844" customFormat="1" x14ac:dyDescent="0.25"/>
    <row r="260845" customFormat="1" x14ac:dyDescent="0.25"/>
    <row r="260846" customFormat="1" x14ac:dyDescent="0.25"/>
    <row r="260847" customFormat="1" x14ac:dyDescent="0.25"/>
    <row r="260848" customFormat="1" x14ac:dyDescent="0.25"/>
    <row r="260849" customFormat="1" x14ac:dyDescent="0.25"/>
    <row r="260850" customFormat="1" x14ac:dyDescent="0.25"/>
    <row r="260851" customFormat="1" x14ac:dyDescent="0.25"/>
    <row r="260852" customFormat="1" x14ac:dyDescent="0.25"/>
    <row r="260853" customFormat="1" x14ac:dyDescent="0.25"/>
    <row r="260854" customFormat="1" x14ac:dyDescent="0.25"/>
    <row r="260855" customFormat="1" x14ac:dyDescent="0.25"/>
    <row r="260856" customFormat="1" x14ac:dyDescent="0.25"/>
    <row r="260857" customFormat="1" x14ac:dyDescent="0.25"/>
    <row r="260858" customFormat="1" x14ac:dyDescent="0.25"/>
    <row r="260859" customFormat="1" x14ac:dyDescent="0.25"/>
    <row r="260860" customFormat="1" x14ac:dyDescent="0.25"/>
    <row r="260861" customFormat="1" x14ac:dyDescent="0.25"/>
    <row r="260862" customFormat="1" x14ac:dyDescent="0.25"/>
    <row r="260863" customFormat="1" x14ac:dyDescent="0.25"/>
    <row r="260864" customFormat="1" x14ac:dyDescent="0.25"/>
    <row r="260865" customFormat="1" x14ac:dyDescent="0.25"/>
    <row r="260866" customFormat="1" x14ac:dyDescent="0.25"/>
    <row r="260867" customFormat="1" x14ac:dyDescent="0.25"/>
    <row r="260868" customFormat="1" x14ac:dyDescent="0.25"/>
    <row r="260869" customFormat="1" x14ac:dyDescent="0.25"/>
    <row r="260870" customFormat="1" x14ac:dyDescent="0.25"/>
    <row r="260871" customFormat="1" x14ac:dyDescent="0.25"/>
    <row r="260872" customFormat="1" x14ac:dyDescent="0.25"/>
    <row r="260873" customFormat="1" x14ac:dyDescent="0.25"/>
    <row r="260874" customFormat="1" x14ac:dyDescent="0.25"/>
    <row r="260875" customFormat="1" x14ac:dyDescent="0.25"/>
    <row r="260876" customFormat="1" x14ac:dyDescent="0.25"/>
    <row r="260877" customFormat="1" x14ac:dyDescent="0.25"/>
    <row r="260878" customFormat="1" x14ac:dyDescent="0.25"/>
    <row r="260879" customFormat="1" x14ac:dyDescent="0.25"/>
    <row r="260880" customFormat="1" x14ac:dyDescent="0.25"/>
    <row r="260881" customFormat="1" x14ac:dyDescent="0.25"/>
    <row r="260882" customFormat="1" x14ac:dyDescent="0.25"/>
    <row r="260883" customFormat="1" x14ac:dyDescent="0.25"/>
    <row r="260884" customFormat="1" x14ac:dyDescent="0.25"/>
    <row r="260885" customFormat="1" x14ac:dyDescent="0.25"/>
    <row r="260886" customFormat="1" x14ac:dyDescent="0.25"/>
    <row r="260887" customFormat="1" x14ac:dyDescent="0.25"/>
    <row r="260888" customFormat="1" x14ac:dyDescent="0.25"/>
    <row r="260889" customFormat="1" x14ac:dyDescent="0.25"/>
    <row r="260890" customFormat="1" x14ac:dyDescent="0.25"/>
    <row r="260891" customFormat="1" x14ac:dyDescent="0.25"/>
    <row r="260892" customFormat="1" x14ac:dyDescent="0.25"/>
    <row r="260893" customFormat="1" x14ac:dyDescent="0.25"/>
    <row r="260894" customFormat="1" x14ac:dyDescent="0.25"/>
    <row r="260895" customFormat="1" x14ac:dyDescent="0.25"/>
    <row r="260896" customFormat="1" x14ac:dyDescent="0.25"/>
    <row r="260897" customFormat="1" x14ac:dyDescent="0.25"/>
    <row r="260898" customFormat="1" x14ac:dyDescent="0.25"/>
    <row r="260899" customFormat="1" x14ac:dyDescent="0.25"/>
    <row r="260900" customFormat="1" x14ac:dyDescent="0.25"/>
    <row r="260901" customFormat="1" x14ac:dyDescent="0.25"/>
    <row r="260902" customFormat="1" x14ac:dyDescent="0.25"/>
    <row r="260903" customFormat="1" x14ac:dyDescent="0.25"/>
    <row r="260904" customFormat="1" x14ac:dyDescent="0.25"/>
    <row r="260905" customFormat="1" x14ac:dyDescent="0.25"/>
    <row r="260906" customFormat="1" x14ac:dyDescent="0.25"/>
    <row r="260907" customFormat="1" x14ac:dyDescent="0.25"/>
    <row r="260908" customFormat="1" x14ac:dyDescent="0.25"/>
    <row r="260909" customFormat="1" x14ac:dyDescent="0.25"/>
    <row r="260910" customFormat="1" x14ac:dyDescent="0.25"/>
    <row r="260911" customFormat="1" x14ac:dyDescent="0.25"/>
    <row r="260912" customFormat="1" x14ac:dyDescent="0.25"/>
    <row r="260913" customFormat="1" x14ac:dyDescent="0.25"/>
    <row r="260914" customFormat="1" x14ac:dyDescent="0.25"/>
    <row r="260915" customFormat="1" x14ac:dyDescent="0.25"/>
    <row r="260916" customFormat="1" x14ac:dyDescent="0.25"/>
    <row r="260917" customFormat="1" x14ac:dyDescent="0.25"/>
    <row r="260918" customFormat="1" x14ac:dyDescent="0.25"/>
    <row r="260919" customFormat="1" x14ac:dyDescent="0.25"/>
    <row r="260920" customFormat="1" x14ac:dyDescent="0.25"/>
    <row r="260921" customFormat="1" x14ac:dyDescent="0.25"/>
    <row r="260922" customFormat="1" x14ac:dyDescent="0.25"/>
    <row r="260923" customFormat="1" x14ac:dyDescent="0.25"/>
    <row r="260924" customFormat="1" x14ac:dyDescent="0.25"/>
    <row r="260925" customFormat="1" x14ac:dyDescent="0.25"/>
    <row r="260926" customFormat="1" x14ac:dyDescent="0.25"/>
    <row r="260927" customFormat="1" x14ac:dyDescent="0.25"/>
    <row r="260928" customFormat="1" x14ac:dyDescent="0.25"/>
    <row r="260929" customFormat="1" x14ac:dyDescent="0.25"/>
    <row r="260930" customFormat="1" x14ac:dyDescent="0.25"/>
    <row r="260931" customFormat="1" x14ac:dyDescent="0.25"/>
    <row r="260932" customFormat="1" x14ac:dyDescent="0.25"/>
    <row r="260933" customFormat="1" x14ac:dyDescent="0.25"/>
    <row r="260934" customFormat="1" x14ac:dyDescent="0.25"/>
    <row r="260935" customFormat="1" x14ac:dyDescent="0.25"/>
    <row r="260936" customFormat="1" x14ac:dyDescent="0.25"/>
    <row r="260937" customFormat="1" x14ac:dyDescent="0.25"/>
    <row r="260938" customFormat="1" x14ac:dyDescent="0.25"/>
    <row r="260939" customFormat="1" x14ac:dyDescent="0.25"/>
    <row r="260940" customFormat="1" x14ac:dyDescent="0.25"/>
    <row r="260941" customFormat="1" x14ac:dyDescent="0.25"/>
    <row r="260942" customFormat="1" x14ac:dyDescent="0.25"/>
    <row r="260943" customFormat="1" x14ac:dyDescent="0.25"/>
    <row r="260944" customFormat="1" x14ac:dyDescent="0.25"/>
    <row r="260945" customFormat="1" x14ac:dyDescent="0.25"/>
    <row r="260946" customFormat="1" x14ac:dyDescent="0.25"/>
    <row r="260947" customFormat="1" x14ac:dyDescent="0.25"/>
    <row r="260948" customFormat="1" x14ac:dyDescent="0.25"/>
    <row r="260949" customFormat="1" x14ac:dyDescent="0.25"/>
    <row r="260950" customFormat="1" x14ac:dyDescent="0.25"/>
    <row r="260951" customFormat="1" x14ac:dyDescent="0.25"/>
    <row r="260952" customFormat="1" x14ac:dyDescent="0.25"/>
    <row r="260953" customFormat="1" x14ac:dyDescent="0.25"/>
    <row r="260954" customFormat="1" x14ac:dyDescent="0.25"/>
    <row r="260955" customFormat="1" x14ac:dyDescent="0.25"/>
    <row r="260956" customFormat="1" x14ac:dyDescent="0.25"/>
    <row r="260957" customFormat="1" x14ac:dyDescent="0.25"/>
    <row r="260958" customFormat="1" x14ac:dyDescent="0.25"/>
    <row r="260959" customFormat="1" x14ac:dyDescent="0.25"/>
    <row r="260960" customFormat="1" x14ac:dyDescent="0.25"/>
    <row r="260961" customFormat="1" x14ac:dyDescent="0.25"/>
    <row r="260962" customFormat="1" x14ac:dyDescent="0.25"/>
    <row r="260963" customFormat="1" x14ac:dyDescent="0.25"/>
    <row r="260964" customFormat="1" x14ac:dyDescent="0.25"/>
    <row r="260965" customFormat="1" x14ac:dyDescent="0.25"/>
    <row r="260966" customFormat="1" x14ac:dyDescent="0.25"/>
    <row r="260967" customFormat="1" x14ac:dyDescent="0.25"/>
    <row r="260968" customFormat="1" x14ac:dyDescent="0.25"/>
    <row r="260969" customFormat="1" x14ac:dyDescent="0.25"/>
    <row r="260970" customFormat="1" x14ac:dyDescent="0.25"/>
    <row r="260971" customFormat="1" x14ac:dyDescent="0.25"/>
    <row r="260972" customFormat="1" x14ac:dyDescent="0.25"/>
    <row r="260973" customFormat="1" x14ac:dyDescent="0.25"/>
    <row r="260974" customFormat="1" x14ac:dyDescent="0.25"/>
    <row r="260975" customFormat="1" x14ac:dyDescent="0.25"/>
    <row r="260976" customFormat="1" x14ac:dyDescent="0.25"/>
    <row r="260977" customFormat="1" x14ac:dyDescent="0.25"/>
    <row r="260978" customFormat="1" x14ac:dyDescent="0.25"/>
    <row r="260979" customFormat="1" x14ac:dyDescent="0.25"/>
    <row r="260980" customFormat="1" x14ac:dyDescent="0.25"/>
    <row r="260981" customFormat="1" x14ac:dyDescent="0.25"/>
    <row r="260982" customFormat="1" x14ac:dyDescent="0.25"/>
    <row r="260983" customFormat="1" x14ac:dyDescent="0.25"/>
    <row r="260984" customFormat="1" x14ac:dyDescent="0.25"/>
    <row r="260985" customFormat="1" x14ac:dyDescent="0.25"/>
    <row r="260986" customFormat="1" x14ac:dyDescent="0.25"/>
    <row r="260987" customFormat="1" x14ac:dyDescent="0.25"/>
    <row r="260988" customFormat="1" x14ac:dyDescent="0.25"/>
    <row r="260989" customFormat="1" x14ac:dyDescent="0.25"/>
    <row r="260990" customFormat="1" x14ac:dyDescent="0.25"/>
    <row r="260991" customFormat="1" x14ac:dyDescent="0.25"/>
    <row r="260992" customFormat="1" x14ac:dyDescent="0.25"/>
    <row r="260993" customFormat="1" x14ac:dyDescent="0.25"/>
    <row r="260994" customFormat="1" x14ac:dyDescent="0.25"/>
    <row r="260995" customFormat="1" x14ac:dyDescent="0.25"/>
    <row r="260996" customFormat="1" x14ac:dyDescent="0.25"/>
    <row r="260997" customFormat="1" x14ac:dyDescent="0.25"/>
    <row r="260998" customFormat="1" x14ac:dyDescent="0.25"/>
    <row r="260999" customFormat="1" x14ac:dyDescent="0.25"/>
    <row r="261000" customFormat="1" x14ac:dyDescent="0.25"/>
    <row r="261001" customFormat="1" x14ac:dyDescent="0.25"/>
    <row r="261002" customFormat="1" x14ac:dyDescent="0.25"/>
    <row r="261003" customFormat="1" x14ac:dyDescent="0.25"/>
    <row r="261004" customFormat="1" x14ac:dyDescent="0.25"/>
    <row r="261005" customFormat="1" x14ac:dyDescent="0.25"/>
    <row r="261006" customFormat="1" x14ac:dyDescent="0.25"/>
    <row r="261007" customFormat="1" x14ac:dyDescent="0.25"/>
    <row r="261008" customFormat="1" x14ac:dyDescent="0.25"/>
    <row r="261009" customFormat="1" x14ac:dyDescent="0.25"/>
    <row r="261010" customFormat="1" x14ac:dyDescent="0.25"/>
    <row r="261011" customFormat="1" x14ac:dyDescent="0.25"/>
    <row r="261012" customFormat="1" x14ac:dyDescent="0.25"/>
    <row r="261013" customFormat="1" x14ac:dyDescent="0.25"/>
    <row r="261014" customFormat="1" x14ac:dyDescent="0.25"/>
    <row r="261015" customFormat="1" x14ac:dyDescent="0.25"/>
    <row r="261016" customFormat="1" x14ac:dyDescent="0.25"/>
    <row r="261017" customFormat="1" x14ac:dyDescent="0.25"/>
    <row r="261018" customFormat="1" x14ac:dyDescent="0.25"/>
    <row r="261019" customFormat="1" x14ac:dyDescent="0.25"/>
    <row r="261020" customFormat="1" x14ac:dyDescent="0.25"/>
    <row r="261021" customFormat="1" x14ac:dyDescent="0.25"/>
    <row r="261022" customFormat="1" x14ac:dyDescent="0.25"/>
    <row r="261023" customFormat="1" x14ac:dyDescent="0.25"/>
    <row r="261024" customFormat="1" x14ac:dyDescent="0.25"/>
    <row r="261025" customFormat="1" x14ac:dyDescent="0.25"/>
    <row r="261026" customFormat="1" x14ac:dyDescent="0.25"/>
    <row r="261027" customFormat="1" x14ac:dyDescent="0.25"/>
    <row r="261028" customFormat="1" x14ac:dyDescent="0.25"/>
    <row r="261029" customFormat="1" x14ac:dyDescent="0.25"/>
    <row r="261030" customFormat="1" x14ac:dyDescent="0.25"/>
    <row r="261031" customFormat="1" x14ac:dyDescent="0.25"/>
    <row r="261032" customFormat="1" x14ac:dyDescent="0.25"/>
    <row r="261033" customFormat="1" x14ac:dyDescent="0.25"/>
    <row r="261034" customFormat="1" x14ac:dyDescent="0.25"/>
    <row r="261035" customFormat="1" x14ac:dyDescent="0.25"/>
    <row r="261036" customFormat="1" x14ac:dyDescent="0.25"/>
    <row r="261037" customFormat="1" x14ac:dyDescent="0.25"/>
    <row r="261038" customFormat="1" x14ac:dyDescent="0.25"/>
    <row r="261039" customFormat="1" x14ac:dyDescent="0.25"/>
    <row r="261040" customFormat="1" x14ac:dyDescent="0.25"/>
    <row r="261041" customFormat="1" x14ac:dyDescent="0.25"/>
    <row r="261042" customFormat="1" x14ac:dyDescent="0.25"/>
    <row r="261043" customFormat="1" x14ac:dyDescent="0.25"/>
    <row r="261044" customFormat="1" x14ac:dyDescent="0.25"/>
    <row r="261045" customFormat="1" x14ac:dyDescent="0.25"/>
    <row r="261046" customFormat="1" x14ac:dyDescent="0.25"/>
    <row r="261047" customFormat="1" x14ac:dyDescent="0.25"/>
    <row r="261048" customFormat="1" x14ac:dyDescent="0.25"/>
    <row r="261049" customFormat="1" x14ac:dyDescent="0.25"/>
    <row r="261050" customFormat="1" x14ac:dyDescent="0.25"/>
    <row r="261051" customFormat="1" x14ac:dyDescent="0.25"/>
    <row r="261052" customFormat="1" x14ac:dyDescent="0.25"/>
    <row r="261053" customFormat="1" x14ac:dyDescent="0.25"/>
    <row r="261054" customFormat="1" x14ac:dyDescent="0.25"/>
    <row r="261055" customFormat="1" x14ac:dyDescent="0.25"/>
    <row r="261056" customFormat="1" x14ac:dyDescent="0.25"/>
    <row r="261057" customFormat="1" x14ac:dyDescent="0.25"/>
    <row r="261058" customFormat="1" x14ac:dyDescent="0.25"/>
    <row r="261059" customFormat="1" x14ac:dyDescent="0.25"/>
    <row r="261060" customFormat="1" x14ac:dyDescent="0.25"/>
    <row r="261061" customFormat="1" x14ac:dyDescent="0.25"/>
    <row r="261062" customFormat="1" x14ac:dyDescent="0.25"/>
    <row r="261063" customFormat="1" x14ac:dyDescent="0.25"/>
    <row r="261064" customFormat="1" x14ac:dyDescent="0.25"/>
    <row r="261065" customFormat="1" x14ac:dyDescent="0.25"/>
    <row r="261066" customFormat="1" x14ac:dyDescent="0.25"/>
    <row r="261067" customFormat="1" x14ac:dyDescent="0.25"/>
    <row r="261068" customFormat="1" x14ac:dyDescent="0.25"/>
    <row r="261069" customFormat="1" x14ac:dyDescent="0.25"/>
    <row r="261070" customFormat="1" x14ac:dyDescent="0.25"/>
    <row r="261071" customFormat="1" x14ac:dyDescent="0.25"/>
    <row r="261072" customFormat="1" x14ac:dyDescent="0.25"/>
    <row r="261073" customFormat="1" x14ac:dyDescent="0.25"/>
    <row r="261074" customFormat="1" x14ac:dyDescent="0.25"/>
    <row r="261075" customFormat="1" x14ac:dyDescent="0.25"/>
    <row r="261076" customFormat="1" x14ac:dyDescent="0.25"/>
    <row r="261077" customFormat="1" x14ac:dyDescent="0.25"/>
    <row r="261078" customFormat="1" x14ac:dyDescent="0.25"/>
    <row r="261079" customFormat="1" x14ac:dyDescent="0.25"/>
    <row r="261080" customFormat="1" x14ac:dyDescent="0.25"/>
    <row r="261081" customFormat="1" x14ac:dyDescent="0.25"/>
    <row r="261082" customFormat="1" x14ac:dyDescent="0.25"/>
    <row r="261083" customFormat="1" x14ac:dyDescent="0.25"/>
    <row r="261084" customFormat="1" x14ac:dyDescent="0.25"/>
    <row r="261085" customFormat="1" x14ac:dyDescent="0.25"/>
    <row r="261086" customFormat="1" x14ac:dyDescent="0.25"/>
    <row r="261087" customFormat="1" x14ac:dyDescent="0.25"/>
    <row r="261088" customFormat="1" x14ac:dyDescent="0.25"/>
    <row r="261089" customFormat="1" x14ac:dyDescent="0.25"/>
    <row r="261090" customFormat="1" x14ac:dyDescent="0.25"/>
    <row r="261091" customFormat="1" x14ac:dyDescent="0.25"/>
    <row r="261092" customFormat="1" x14ac:dyDescent="0.25"/>
    <row r="261093" customFormat="1" x14ac:dyDescent="0.25"/>
    <row r="261094" customFormat="1" x14ac:dyDescent="0.25"/>
    <row r="261095" customFormat="1" x14ac:dyDescent="0.25"/>
    <row r="261096" customFormat="1" x14ac:dyDescent="0.25"/>
    <row r="261097" customFormat="1" x14ac:dyDescent="0.25"/>
    <row r="261098" customFormat="1" x14ac:dyDescent="0.25"/>
    <row r="261099" customFormat="1" x14ac:dyDescent="0.25"/>
    <row r="261100" customFormat="1" x14ac:dyDescent="0.25"/>
    <row r="261101" customFormat="1" x14ac:dyDescent="0.25"/>
    <row r="261102" customFormat="1" x14ac:dyDescent="0.25"/>
    <row r="261103" customFormat="1" x14ac:dyDescent="0.25"/>
    <row r="261104" customFormat="1" x14ac:dyDescent="0.25"/>
    <row r="261105" customFormat="1" x14ac:dyDescent="0.25"/>
    <row r="261106" customFormat="1" x14ac:dyDescent="0.25"/>
    <row r="261107" customFormat="1" x14ac:dyDescent="0.25"/>
    <row r="261108" customFormat="1" x14ac:dyDescent="0.25"/>
    <row r="261109" customFormat="1" x14ac:dyDescent="0.25"/>
    <row r="261110" customFormat="1" x14ac:dyDescent="0.25"/>
    <row r="261111" customFormat="1" x14ac:dyDescent="0.25"/>
    <row r="261112" customFormat="1" x14ac:dyDescent="0.25"/>
    <row r="261113" customFormat="1" x14ac:dyDescent="0.25"/>
    <row r="261114" customFormat="1" x14ac:dyDescent="0.25"/>
    <row r="261115" customFormat="1" x14ac:dyDescent="0.25"/>
    <row r="261116" customFormat="1" x14ac:dyDescent="0.25"/>
    <row r="261117" customFormat="1" x14ac:dyDescent="0.25"/>
    <row r="261118" customFormat="1" x14ac:dyDescent="0.25"/>
    <row r="261119" customFormat="1" x14ac:dyDescent="0.25"/>
    <row r="261120" customFormat="1" x14ac:dyDescent="0.25"/>
    <row r="261121" customFormat="1" x14ac:dyDescent="0.25"/>
    <row r="261122" customFormat="1" x14ac:dyDescent="0.25"/>
    <row r="261123" customFormat="1" x14ac:dyDescent="0.25"/>
    <row r="261124" customFormat="1" x14ac:dyDescent="0.25"/>
    <row r="261125" customFormat="1" x14ac:dyDescent="0.25"/>
    <row r="261126" customFormat="1" x14ac:dyDescent="0.25"/>
    <row r="261127" customFormat="1" x14ac:dyDescent="0.25"/>
    <row r="261128" customFormat="1" x14ac:dyDescent="0.25"/>
    <row r="261129" customFormat="1" x14ac:dyDescent="0.25"/>
    <row r="261130" customFormat="1" x14ac:dyDescent="0.25"/>
    <row r="261131" customFormat="1" x14ac:dyDescent="0.25"/>
    <row r="261132" customFormat="1" x14ac:dyDescent="0.25"/>
    <row r="261133" customFormat="1" x14ac:dyDescent="0.25"/>
    <row r="261134" customFormat="1" x14ac:dyDescent="0.25"/>
    <row r="261135" customFormat="1" x14ac:dyDescent="0.25"/>
    <row r="261136" customFormat="1" x14ac:dyDescent="0.25"/>
    <row r="261137" customFormat="1" x14ac:dyDescent="0.25"/>
    <row r="261138" customFormat="1" x14ac:dyDescent="0.25"/>
    <row r="261139" customFormat="1" x14ac:dyDescent="0.25"/>
    <row r="261140" customFormat="1" x14ac:dyDescent="0.25"/>
    <row r="261141" customFormat="1" x14ac:dyDescent="0.25"/>
    <row r="261142" customFormat="1" x14ac:dyDescent="0.25"/>
    <row r="261143" customFormat="1" x14ac:dyDescent="0.25"/>
    <row r="261144" customFormat="1" x14ac:dyDescent="0.25"/>
    <row r="261145" customFormat="1" x14ac:dyDescent="0.25"/>
    <row r="261146" customFormat="1" x14ac:dyDescent="0.25"/>
    <row r="261147" customFormat="1" x14ac:dyDescent="0.25"/>
    <row r="261148" customFormat="1" x14ac:dyDescent="0.25"/>
    <row r="261149" customFormat="1" x14ac:dyDescent="0.25"/>
    <row r="261150" customFormat="1" x14ac:dyDescent="0.25"/>
    <row r="261151" customFormat="1" x14ac:dyDescent="0.25"/>
    <row r="261152" customFormat="1" x14ac:dyDescent="0.25"/>
    <row r="261153" customFormat="1" x14ac:dyDescent="0.25"/>
    <row r="261154" customFormat="1" x14ac:dyDescent="0.25"/>
    <row r="261155" customFormat="1" x14ac:dyDescent="0.25"/>
    <row r="261156" customFormat="1" x14ac:dyDescent="0.25"/>
    <row r="261157" customFormat="1" x14ac:dyDescent="0.25"/>
    <row r="261158" customFormat="1" x14ac:dyDescent="0.25"/>
    <row r="261159" customFormat="1" x14ac:dyDescent="0.25"/>
    <row r="261160" customFormat="1" x14ac:dyDescent="0.25"/>
    <row r="261161" customFormat="1" x14ac:dyDescent="0.25"/>
    <row r="261162" customFormat="1" x14ac:dyDescent="0.25"/>
    <row r="261163" customFormat="1" x14ac:dyDescent="0.25"/>
    <row r="261164" customFormat="1" x14ac:dyDescent="0.25"/>
    <row r="261165" customFormat="1" x14ac:dyDescent="0.25"/>
    <row r="261166" customFormat="1" x14ac:dyDescent="0.25"/>
    <row r="261167" customFormat="1" x14ac:dyDescent="0.25"/>
    <row r="261168" customFormat="1" x14ac:dyDescent="0.25"/>
    <row r="261169" customFormat="1" x14ac:dyDescent="0.25"/>
    <row r="261170" customFormat="1" x14ac:dyDescent="0.25"/>
    <row r="261171" customFormat="1" x14ac:dyDescent="0.25"/>
    <row r="261172" customFormat="1" x14ac:dyDescent="0.25"/>
    <row r="261173" customFormat="1" x14ac:dyDescent="0.25"/>
    <row r="261174" customFormat="1" x14ac:dyDescent="0.25"/>
    <row r="261175" customFormat="1" x14ac:dyDescent="0.25"/>
    <row r="261176" customFormat="1" x14ac:dyDescent="0.25"/>
    <row r="261177" customFormat="1" x14ac:dyDescent="0.25"/>
    <row r="261178" customFormat="1" x14ac:dyDescent="0.25"/>
    <row r="261179" customFormat="1" x14ac:dyDescent="0.25"/>
    <row r="261180" customFormat="1" x14ac:dyDescent="0.25"/>
    <row r="261181" customFormat="1" x14ac:dyDescent="0.25"/>
    <row r="261182" customFormat="1" x14ac:dyDescent="0.25"/>
    <row r="261183" customFormat="1" x14ac:dyDescent="0.25"/>
    <row r="261184" customFormat="1" x14ac:dyDescent="0.25"/>
    <row r="261185" customFormat="1" x14ac:dyDescent="0.25"/>
    <row r="261186" customFormat="1" x14ac:dyDescent="0.25"/>
    <row r="261187" customFormat="1" x14ac:dyDescent="0.25"/>
    <row r="261188" customFormat="1" x14ac:dyDescent="0.25"/>
    <row r="261189" customFormat="1" x14ac:dyDescent="0.25"/>
    <row r="261190" customFormat="1" x14ac:dyDescent="0.25"/>
    <row r="261191" customFormat="1" x14ac:dyDescent="0.25"/>
    <row r="261192" customFormat="1" x14ac:dyDescent="0.25"/>
    <row r="261193" customFormat="1" x14ac:dyDescent="0.25"/>
    <row r="261194" customFormat="1" x14ac:dyDescent="0.25"/>
    <row r="261195" customFormat="1" x14ac:dyDescent="0.25"/>
    <row r="261196" customFormat="1" x14ac:dyDescent="0.25"/>
    <row r="261197" customFormat="1" x14ac:dyDescent="0.25"/>
    <row r="261198" customFormat="1" x14ac:dyDescent="0.25"/>
    <row r="261199" customFormat="1" x14ac:dyDescent="0.25"/>
    <row r="261200" customFormat="1" x14ac:dyDescent="0.25"/>
    <row r="261201" customFormat="1" x14ac:dyDescent="0.25"/>
    <row r="261202" customFormat="1" x14ac:dyDescent="0.25"/>
    <row r="261203" customFormat="1" x14ac:dyDescent="0.25"/>
    <row r="261204" customFormat="1" x14ac:dyDescent="0.25"/>
    <row r="261205" customFormat="1" x14ac:dyDescent="0.25"/>
    <row r="261206" customFormat="1" x14ac:dyDescent="0.25"/>
    <row r="261207" customFormat="1" x14ac:dyDescent="0.25"/>
    <row r="261208" customFormat="1" x14ac:dyDescent="0.25"/>
    <row r="261209" customFormat="1" x14ac:dyDescent="0.25"/>
    <row r="261210" customFormat="1" x14ac:dyDescent="0.25"/>
    <row r="261211" customFormat="1" x14ac:dyDescent="0.25"/>
    <row r="261212" customFormat="1" x14ac:dyDescent="0.25"/>
    <row r="261213" customFormat="1" x14ac:dyDescent="0.25"/>
    <row r="261214" customFormat="1" x14ac:dyDescent="0.25"/>
    <row r="261215" customFormat="1" x14ac:dyDescent="0.25"/>
    <row r="261216" customFormat="1" x14ac:dyDescent="0.25"/>
    <row r="261217" customFormat="1" x14ac:dyDescent="0.25"/>
    <row r="261218" customFormat="1" x14ac:dyDescent="0.25"/>
    <row r="261219" customFormat="1" x14ac:dyDescent="0.25"/>
    <row r="261220" customFormat="1" x14ac:dyDescent="0.25"/>
    <row r="261221" customFormat="1" x14ac:dyDescent="0.25"/>
    <row r="261222" customFormat="1" x14ac:dyDescent="0.25"/>
    <row r="261223" customFormat="1" x14ac:dyDescent="0.25"/>
    <row r="261224" customFormat="1" x14ac:dyDescent="0.25"/>
    <row r="261225" customFormat="1" x14ac:dyDescent="0.25"/>
    <row r="261226" customFormat="1" x14ac:dyDescent="0.25"/>
    <row r="261227" customFormat="1" x14ac:dyDescent="0.25"/>
    <row r="261228" customFormat="1" x14ac:dyDescent="0.25"/>
    <row r="261229" customFormat="1" x14ac:dyDescent="0.25"/>
    <row r="261230" customFormat="1" x14ac:dyDescent="0.25"/>
    <row r="261231" customFormat="1" x14ac:dyDescent="0.25"/>
    <row r="261232" customFormat="1" x14ac:dyDescent="0.25"/>
    <row r="261233" customFormat="1" x14ac:dyDescent="0.25"/>
    <row r="261234" customFormat="1" x14ac:dyDescent="0.25"/>
    <row r="261235" customFormat="1" x14ac:dyDescent="0.25"/>
    <row r="261236" customFormat="1" x14ac:dyDescent="0.25"/>
    <row r="261237" customFormat="1" x14ac:dyDescent="0.25"/>
    <row r="261238" customFormat="1" x14ac:dyDescent="0.25"/>
    <row r="261239" customFormat="1" x14ac:dyDescent="0.25"/>
    <row r="261240" customFormat="1" x14ac:dyDescent="0.25"/>
    <row r="261241" customFormat="1" x14ac:dyDescent="0.25"/>
    <row r="261242" customFormat="1" x14ac:dyDescent="0.25"/>
    <row r="261243" customFormat="1" x14ac:dyDescent="0.25"/>
    <row r="261244" customFormat="1" x14ac:dyDescent="0.25"/>
    <row r="261245" customFormat="1" x14ac:dyDescent="0.25"/>
    <row r="261246" customFormat="1" x14ac:dyDescent="0.25"/>
    <row r="261247" customFormat="1" x14ac:dyDescent="0.25"/>
    <row r="261248" customFormat="1" x14ac:dyDescent="0.25"/>
    <row r="261249" customFormat="1" x14ac:dyDescent="0.25"/>
    <row r="261250" customFormat="1" x14ac:dyDescent="0.25"/>
    <row r="261251" customFormat="1" x14ac:dyDescent="0.25"/>
    <row r="261252" customFormat="1" x14ac:dyDescent="0.25"/>
    <row r="261253" customFormat="1" x14ac:dyDescent="0.25"/>
    <row r="261254" customFormat="1" x14ac:dyDescent="0.25"/>
    <row r="261255" customFormat="1" x14ac:dyDescent="0.25"/>
    <row r="261256" customFormat="1" x14ac:dyDescent="0.25"/>
    <row r="261257" customFormat="1" x14ac:dyDescent="0.25"/>
    <row r="261258" customFormat="1" x14ac:dyDescent="0.25"/>
    <row r="261259" customFormat="1" x14ac:dyDescent="0.25"/>
    <row r="261260" customFormat="1" x14ac:dyDescent="0.25"/>
    <row r="261261" customFormat="1" x14ac:dyDescent="0.25"/>
    <row r="261262" customFormat="1" x14ac:dyDescent="0.25"/>
    <row r="261263" customFormat="1" x14ac:dyDescent="0.25"/>
    <row r="261264" customFormat="1" x14ac:dyDescent="0.25"/>
    <row r="261265" customFormat="1" x14ac:dyDescent="0.25"/>
    <row r="261266" customFormat="1" x14ac:dyDescent="0.25"/>
    <row r="261267" customFormat="1" x14ac:dyDescent="0.25"/>
    <row r="261268" customFormat="1" x14ac:dyDescent="0.25"/>
    <row r="261269" customFormat="1" x14ac:dyDescent="0.25"/>
    <row r="261270" customFormat="1" x14ac:dyDescent="0.25"/>
    <row r="261271" customFormat="1" x14ac:dyDescent="0.25"/>
    <row r="261272" customFormat="1" x14ac:dyDescent="0.25"/>
    <row r="261273" customFormat="1" x14ac:dyDescent="0.25"/>
    <row r="261274" customFormat="1" x14ac:dyDescent="0.25"/>
    <row r="261275" customFormat="1" x14ac:dyDescent="0.25"/>
    <row r="261276" customFormat="1" x14ac:dyDescent="0.25"/>
    <row r="261277" customFormat="1" x14ac:dyDescent="0.25"/>
    <row r="261278" customFormat="1" x14ac:dyDescent="0.25"/>
    <row r="261279" customFormat="1" x14ac:dyDescent="0.25"/>
    <row r="261280" customFormat="1" x14ac:dyDescent="0.25"/>
    <row r="261281" customFormat="1" x14ac:dyDescent="0.25"/>
    <row r="261282" customFormat="1" x14ac:dyDescent="0.25"/>
    <row r="261283" customFormat="1" x14ac:dyDescent="0.25"/>
    <row r="261284" customFormat="1" x14ac:dyDescent="0.25"/>
    <row r="261285" customFormat="1" x14ac:dyDescent="0.25"/>
    <row r="261286" customFormat="1" x14ac:dyDescent="0.25"/>
    <row r="261287" customFormat="1" x14ac:dyDescent="0.25"/>
    <row r="261288" customFormat="1" x14ac:dyDescent="0.25"/>
    <row r="261289" customFormat="1" x14ac:dyDescent="0.25"/>
    <row r="261290" customFormat="1" x14ac:dyDescent="0.25"/>
    <row r="261291" customFormat="1" x14ac:dyDescent="0.25"/>
    <row r="261292" customFormat="1" x14ac:dyDescent="0.25"/>
    <row r="261293" customFormat="1" x14ac:dyDescent="0.25"/>
    <row r="261294" customFormat="1" x14ac:dyDescent="0.25"/>
    <row r="261295" customFormat="1" x14ac:dyDescent="0.25"/>
    <row r="261296" customFormat="1" x14ac:dyDescent="0.25"/>
    <row r="261297" customFormat="1" x14ac:dyDescent="0.25"/>
    <row r="261298" customFormat="1" x14ac:dyDescent="0.25"/>
    <row r="261299" customFormat="1" x14ac:dyDescent="0.25"/>
    <row r="261300" customFormat="1" x14ac:dyDescent="0.25"/>
    <row r="261301" customFormat="1" x14ac:dyDescent="0.25"/>
    <row r="261302" customFormat="1" x14ac:dyDescent="0.25"/>
    <row r="261303" customFormat="1" x14ac:dyDescent="0.25"/>
    <row r="261304" customFormat="1" x14ac:dyDescent="0.25"/>
    <row r="261305" customFormat="1" x14ac:dyDescent="0.25"/>
    <row r="261306" customFormat="1" x14ac:dyDescent="0.25"/>
    <row r="261307" customFormat="1" x14ac:dyDescent="0.25"/>
    <row r="261308" customFormat="1" x14ac:dyDescent="0.25"/>
    <row r="261309" customFormat="1" x14ac:dyDescent="0.25"/>
    <row r="261310" customFormat="1" x14ac:dyDescent="0.25"/>
    <row r="261311" customFormat="1" x14ac:dyDescent="0.25"/>
    <row r="261312" customFormat="1" x14ac:dyDescent="0.25"/>
    <row r="261313" customFormat="1" x14ac:dyDescent="0.25"/>
    <row r="261314" customFormat="1" x14ac:dyDescent="0.25"/>
    <row r="261315" customFormat="1" x14ac:dyDescent="0.25"/>
    <row r="261316" customFormat="1" x14ac:dyDescent="0.25"/>
    <row r="261317" customFormat="1" x14ac:dyDescent="0.25"/>
    <row r="261318" customFormat="1" x14ac:dyDescent="0.25"/>
    <row r="261319" customFormat="1" x14ac:dyDescent="0.25"/>
    <row r="261320" customFormat="1" x14ac:dyDescent="0.25"/>
    <row r="261321" customFormat="1" x14ac:dyDescent="0.25"/>
    <row r="261322" customFormat="1" x14ac:dyDescent="0.25"/>
    <row r="261323" customFormat="1" x14ac:dyDescent="0.25"/>
    <row r="261324" customFormat="1" x14ac:dyDescent="0.25"/>
    <row r="261325" customFormat="1" x14ac:dyDescent="0.25"/>
    <row r="261326" customFormat="1" x14ac:dyDescent="0.25"/>
    <row r="261327" customFormat="1" x14ac:dyDescent="0.25"/>
    <row r="261328" customFormat="1" x14ac:dyDescent="0.25"/>
    <row r="261329" customFormat="1" x14ac:dyDescent="0.25"/>
    <row r="261330" customFormat="1" x14ac:dyDescent="0.25"/>
    <row r="261331" customFormat="1" x14ac:dyDescent="0.25"/>
    <row r="261332" customFormat="1" x14ac:dyDescent="0.25"/>
    <row r="261333" customFormat="1" x14ac:dyDescent="0.25"/>
    <row r="261334" customFormat="1" x14ac:dyDescent="0.25"/>
    <row r="261335" customFormat="1" x14ac:dyDescent="0.25"/>
    <row r="261336" customFormat="1" x14ac:dyDescent="0.25"/>
    <row r="261337" customFormat="1" x14ac:dyDescent="0.25"/>
    <row r="261338" customFormat="1" x14ac:dyDescent="0.25"/>
    <row r="261339" customFormat="1" x14ac:dyDescent="0.25"/>
    <row r="261340" customFormat="1" x14ac:dyDescent="0.25"/>
    <row r="261341" customFormat="1" x14ac:dyDescent="0.25"/>
    <row r="261342" customFormat="1" x14ac:dyDescent="0.25"/>
    <row r="261343" customFormat="1" x14ac:dyDescent="0.25"/>
    <row r="261344" customFormat="1" x14ac:dyDescent="0.25"/>
    <row r="261345" customFormat="1" x14ac:dyDescent="0.25"/>
    <row r="261346" customFormat="1" x14ac:dyDescent="0.25"/>
    <row r="261347" customFormat="1" x14ac:dyDescent="0.25"/>
    <row r="261348" customFormat="1" x14ac:dyDescent="0.25"/>
    <row r="261349" customFormat="1" x14ac:dyDescent="0.25"/>
    <row r="261350" customFormat="1" x14ac:dyDescent="0.25"/>
    <row r="261351" customFormat="1" x14ac:dyDescent="0.25"/>
    <row r="261352" customFormat="1" x14ac:dyDescent="0.25"/>
    <row r="261353" customFormat="1" x14ac:dyDescent="0.25"/>
    <row r="261354" customFormat="1" x14ac:dyDescent="0.25"/>
    <row r="261355" customFormat="1" x14ac:dyDescent="0.25"/>
    <row r="261356" customFormat="1" x14ac:dyDescent="0.25"/>
    <row r="261357" customFormat="1" x14ac:dyDescent="0.25"/>
    <row r="261358" customFormat="1" x14ac:dyDescent="0.25"/>
    <row r="261359" customFormat="1" x14ac:dyDescent="0.25"/>
    <row r="261360" customFormat="1" x14ac:dyDescent="0.25"/>
    <row r="261361" customFormat="1" x14ac:dyDescent="0.25"/>
    <row r="261362" customFormat="1" x14ac:dyDescent="0.25"/>
    <row r="261363" customFormat="1" x14ac:dyDescent="0.25"/>
    <row r="261364" customFormat="1" x14ac:dyDescent="0.25"/>
    <row r="261365" customFormat="1" x14ac:dyDescent="0.25"/>
    <row r="261366" customFormat="1" x14ac:dyDescent="0.25"/>
    <row r="261367" customFormat="1" x14ac:dyDescent="0.25"/>
    <row r="261368" customFormat="1" x14ac:dyDescent="0.25"/>
    <row r="261369" customFormat="1" x14ac:dyDescent="0.25"/>
    <row r="261370" customFormat="1" x14ac:dyDescent="0.25"/>
    <row r="261371" customFormat="1" x14ac:dyDescent="0.25"/>
    <row r="261372" customFormat="1" x14ac:dyDescent="0.25"/>
    <row r="261373" customFormat="1" x14ac:dyDescent="0.25"/>
    <row r="261374" customFormat="1" x14ac:dyDescent="0.25"/>
    <row r="261375" customFormat="1" x14ac:dyDescent="0.25"/>
    <row r="261376" customFormat="1" x14ac:dyDescent="0.25"/>
    <row r="261377" customFormat="1" x14ac:dyDescent="0.25"/>
    <row r="261378" customFormat="1" x14ac:dyDescent="0.25"/>
    <row r="261379" customFormat="1" x14ac:dyDescent="0.25"/>
    <row r="261380" customFormat="1" x14ac:dyDescent="0.25"/>
    <row r="261381" customFormat="1" x14ac:dyDescent="0.25"/>
    <row r="261382" customFormat="1" x14ac:dyDescent="0.25"/>
    <row r="261383" customFormat="1" x14ac:dyDescent="0.25"/>
    <row r="261384" customFormat="1" x14ac:dyDescent="0.25"/>
    <row r="261385" customFormat="1" x14ac:dyDescent="0.25"/>
    <row r="261386" customFormat="1" x14ac:dyDescent="0.25"/>
    <row r="261387" customFormat="1" x14ac:dyDescent="0.25"/>
    <row r="261388" customFormat="1" x14ac:dyDescent="0.25"/>
    <row r="261389" customFormat="1" x14ac:dyDescent="0.25"/>
    <row r="261390" customFormat="1" x14ac:dyDescent="0.25"/>
    <row r="261391" customFormat="1" x14ac:dyDescent="0.25"/>
    <row r="261392" customFormat="1" x14ac:dyDescent="0.25"/>
    <row r="261393" customFormat="1" x14ac:dyDescent="0.25"/>
    <row r="261394" customFormat="1" x14ac:dyDescent="0.25"/>
    <row r="261395" customFormat="1" x14ac:dyDescent="0.25"/>
    <row r="261396" customFormat="1" x14ac:dyDescent="0.25"/>
    <row r="261397" customFormat="1" x14ac:dyDescent="0.25"/>
    <row r="261398" customFormat="1" x14ac:dyDescent="0.25"/>
    <row r="261399" customFormat="1" x14ac:dyDescent="0.25"/>
    <row r="261400" customFormat="1" x14ac:dyDescent="0.25"/>
    <row r="261401" customFormat="1" x14ac:dyDescent="0.25"/>
    <row r="261402" customFormat="1" x14ac:dyDescent="0.25"/>
    <row r="261403" customFormat="1" x14ac:dyDescent="0.25"/>
    <row r="261404" customFormat="1" x14ac:dyDescent="0.25"/>
    <row r="261405" customFormat="1" x14ac:dyDescent="0.25"/>
    <row r="261406" customFormat="1" x14ac:dyDescent="0.25"/>
    <row r="261407" customFormat="1" x14ac:dyDescent="0.25"/>
    <row r="261408" customFormat="1" x14ac:dyDescent="0.25"/>
    <row r="261409" customFormat="1" x14ac:dyDescent="0.25"/>
    <row r="261410" customFormat="1" x14ac:dyDescent="0.25"/>
    <row r="261411" customFormat="1" x14ac:dyDescent="0.25"/>
    <row r="261412" customFormat="1" x14ac:dyDescent="0.25"/>
    <row r="261413" customFormat="1" x14ac:dyDescent="0.25"/>
    <row r="261414" customFormat="1" x14ac:dyDescent="0.25"/>
    <row r="261415" customFormat="1" x14ac:dyDescent="0.25"/>
    <row r="261416" customFormat="1" x14ac:dyDescent="0.25"/>
    <row r="261417" customFormat="1" x14ac:dyDescent="0.25"/>
    <row r="261418" customFormat="1" x14ac:dyDescent="0.25"/>
    <row r="261419" customFormat="1" x14ac:dyDescent="0.25"/>
    <row r="261420" customFormat="1" x14ac:dyDescent="0.25"/>
    <row r="261421" customFormat="1" x14ac:dyDescent="0.25"/>
    <row r="261422" customFormat="1" x14ac:dyDescent="0.25"/>
    <row r="261423" customFormat="1" x14ac:dyDescent="0.25"/>
    <row r="261424" customFormat="1" x14ac:dyDescent="0.25"/>
    <row r="261425" customFormat="1" x14ac:dyDescent="0.25"/>
    <row r="261426" customFormat="1" x14ac:dyDescent="0.25"/>
    <row r="261427" customFormat="1" x14ac:dyDescent="0.25"/>
    <row r="261428" customFormat="1" x14ac:dyDescent="0.25"/>
    <row r="261429" customFormat="1" x14ac:dyDescent="0.25"/>
    <row r="261430" customFormat="1" x14ac:dyDescent="0.25"/>
    <row r="261431" customFormat="1" x14ac:dyDescent="0.25"/>
    <row r="261432" customFormat="1" x14ac:dyDescent="0.25"/>
    <row r="261433" customFormat="1" x14ac:dyDescent="0.25"/>
    <row r="261434" customFormat="1" x14ac:dyDescent="0.25"/>
    <row r="261435" customFormat="1" x14ac:dyDescent="0.25"/>
    <row r="261436" customFormat="1" x14ac:dyDescent="0.25"/>
    <row r="261437" customFormat="1" x14ac:dyDescent="0.25"/>
    <row r="261438" customFormat="1" x14ac:dyDescent="0.25"/>
    <row r="261439" customFormat="1" x14ac:dyDescent="0.25"/>
    <row r="261440" customFormat="1" x14ac:dyDescent="0.25"/>
    <row r="261441" customFormat="1" x14ac:dyDescent="0.25"/>
    <row r="261442" customFormat="1" x14ac:dyDescent="0.25"/>
    <row r="261443" customFormat="1" x14ac:dyDescent="0.25"/>
    <row r="261444" customFormat="1" x14ac:dyDescent="0.25"/>
    <row r="261445" customFormat="1" x14ac:dyDescent="0.25"/>
    <row r="261446" customFormat="1" x14ac:dyDescent="0.25"/>
    <row r="261447" customFormat="1" x14ac:dyDescent="0.25"/>
    <row r="261448" customFormat="1" x14ac:dyDescent="0.25"/>
    <row r="261449" customFormat="1" x14ac:dyDescent="0.25"/>
    <row r="261450" customFormat="1" x14ac:dyDescent="0.25"/>
    <row r="261451" customFormat="1" x14ac:dyDescent="0.25"/>
    <row r="261452" customFormat="1" x14ac:dyDescent="0.25"/>
    <row r="261453" customFormat="1" x14ac:dyDescent="0.25"/>
    <row r="261454" customFormat="1" x14ac:dyDescent="0.25"/>
    <row r="261455" customFormat="1" x14ac:dyDescent="0.25"/>
    <row r="261456" customFormat="1" x14ac:dyDescent="0.25"/>
    <row r="261457" customFormat="1" x14ac:dyDescent="0.25"/>
    <row r="261458" customFormat="1" x14ac:dyDescent="0.25"/>
    <row r="261459" customFormat="1" x14ac:dyDescent="0.25"/>
    <row r="261460" customFormat="1" x14ac:dyDescent="0.25"/>
    <row r="261461" customFormat="1" x14ac:dyDescent="0.25"/>
    <row r="261462" customFormat="1" x14ac:dyDescent="0.25"/>
    <row r="261463" customFormat="1" x14ac:dyDescent="0.25"/>
    <row r="261464" customFormat="1" x14ac:dyDescent="0.25"/>
    <row r="261465" customFormat="1" x14ac:dyDescent="0.25"/>
    <row r="261466" customFormat="1" x14ac:dyDescent="0.25"/>
    <row r="261467" customFormat="1" x14ac:dyDescent="0.25"/>
    <row r="261468" customFormat="1" x14ac:dyDescent="0.25"/>
    <row r="261469" customFormat="1" x14ac:dyDescent="0.25"/>
    <row r="261470" customFormat="1" x14ac:dyDescent="0.25"/>
    <row r="261471" customFormat="1" x14ac:dyDescent="0.25"/>
    <row r="261472" customFormat="1" x14ac:dyDescent="0.25"/>
    <row r="261473" customFormat="1" x14ac:dyDescent="0.25"/>
    <row r="261474" customFormat="1" x14ac:dyDescent="0.25"/>
    <row r="261475" customFormat="1" x14ac:dyDescent="0.25"/>
    <row r="261476" customFormat="1" x14ac:dyDescent="0.25"/>
    <row r="261477" customFormat="1" x14ac:dyDescent="0.25"/>
    <row r="261478" customFormat="1" x14ac:dyDescent="0.25"/>
    <row r="261479" customFormat="1" x14ac:dyDescent="0.25"/>
    <row r="261480" customFormat="1" x14ac:dyDescent="0.25"/>
    <row r="261481" customFormat="1" x14ac:dyDescent="0.25"/>
    <row r="261482" customFormat="1" x14ac:dyDescent="0.25"/>
    <row r="261483" customFormat="1" x14ac:dyDescent="0.25"/>
    <row r="261484" customFormat="1" x14ac:dyDescent="0.25"/>
    <row r="261485" customFormat="1" x14ac:dyDescent="0.25"/>
    <row r="261486" customFormat="1" x14ac:dyDescent="0.25"/>
    <row r="261487" customFormat="1" x14ac:dyDescent="0.25"/>
    <row r="261488" customFormat="1" x14ac:dyDescent="0.25"/>
    <row r="261489" customFormat="1" x14ac:dyDescent="0.25"/>
    <row r="261490" customFormat="1" x14ac:dyDescent="0.25"/>
    <row r="261491" customFormat="1" x14ac:dyDescent="0.25"/>
    <row r="261492" customFormat="1" x14ac:dyDescent="0.25"/>
    <row r="261493" customFormat="1" x14ac:dyDescent="0.25"/>
    <row r="261494" customFormat="1" x14ac:dyDescent="0.25"/>
    <row r="261495" customFormat="1" x14ac:dyDescent="0.25"/>
    <row r="261496" customFormat="1" x14ac:dyDescent="0.25"/>
    <row r="261497" customFormat="1" x14ac:dyDescent="0.25"/>
    <row r="261498" customFormat="1" x14ac:dyDescent="0.25"/>
    <row r="261499" customFormat="1" x14ac:dyDescent="0.25"/>
    <row r="261500" customFormat="1" x14ac:dyDescent="0.25"/>
    <row r="261501" customFormat="1" x14ac:dyDescent="0.25"/>
    <row r="261502" customFormat="1" x14ac:dyDescent="0.25"/>
    <row r="261503" customFormat="1" x14ac:dyDescent="0.25"/>
    <row r="261504" customFormat="1" x14ac:dyDescent="0.25"/>
    <row r="261505" customFormat="1" x14ac:dyDescent="0.25"/>
    <row r="261506" customFormat="1" x14ac:dyDescent="0.25"/>
    <row r="261507" customFormat="1" x14ac:dyDescent="0.25"/>
    <row r="261508" customFormat="1" x14ac:dyDescent="0.25"/>
    <row r="261509" customFormat="1" x14ac:dyDescent="0.25"/>
    <row r="261510" customFormat="1" x14ac:dyDescent="0.25"/>
    <row r="261511" customFormat="1" x14ac:dyDescent="0.25"/>
    <row r="261512" customFormat="1" x14ac:dyDescent="0.25"/>
    <row r="261513" customFormat="1" x14ac:dyDescent="0.25"/>
    <row r="261514" customFormat="1" x14ac:dyDescent="0.25"/>
    <row r="261515" customFormat="1" x14ac:dyDescent="0.25"/>
    <row r="261516" customFormat="1" x14ac:dyDescent="0.25"/>
    <row r="261517" customFormat="1" x14ac:dyDescent="0.25"/>
    <row r="261518" customFormat="1" x14ac:dyDescent="0.25"/>
    <row r="261519" customFormat="1" x14ac:dyDescent="0.25"/>
    <row r="261520" customFormat="1" x14ac:dyDescent="0.25"/>
    <row r="261521" customFormat="1" x14ac:dyDescent="0.25"/>
    <row r="261522" customFormat="1" x14ac:dyDescent="0.25"/>
    <row r="261523" customFormat="1" x14ac:dyDescent="0.25"/>
    <row r="261524" customFormat="1" x14ac:dyDescent="0.25"/>
    <row r="261525" customFormat="1" x14ac:dyDescent="0.25"/>
    <row r="261526" customFormat="1" x14ac:dyDescent="0.25"/>
    <row r="261527" customFormat="1" x14ac:dyDescent="0.25"/>
    <row r="261528" customFormat="1" x14ac:dyDescent="0.25"/>
    <row r="261529" customFormat="1" x14ac:dyDescent="0.25"/>
    <row r="261530" customFormat="1" x14ac:dyDescent="0.25"/>
    <row r="261531" customFormat="1" x14ac:dyDescent="0.25"/>
    <row r="261532" customFormat="1" x14ac:dyDescent="0.25"/>
    <row r="261533" customFormat="1" x14ac:dyDescent="0.25"/>
    <row r="261534" customFormat="1" x14ac:dyDescent="0.25"/>
    <row r="261535" customFormat="1" x14ac:dyDescent="0.25"/>
    <row r="261536" customFormat="1" x14ac:dyDescent="0.25"/>
    <row r="261537" customFormat="1" x14ac:dyDescent="0.25"/>
    <row r="261538" customFormat="1" x14ac:dyDescent="0.25"/>
    <row r="261539" customFormat="1" x14ac:dyDescent="0.25"/>
    <row r="261540" customFormat="1" x14ac:dyDescent="0.25"/>
    <row r="261541" customFormat="1" x14ac:dyDescent="0.25"/>
    <row r="261542" customFormat="1" x14ac:dyDescent="0.25"/>
    <row r="261543" customFormat="1" x14ac:dyDescent="0.25"/>
    <row r="261544" customFormat="1" x14ac:dyDescent="0.25"/>
    <row r="261545" customFormat="1" x14ac:dyDescent="0.25"/>
    <row r="261546" customFormat="1" x14ac:dyDescent="0.25"/>
    <row r="261547" customFormat="1" x14ac:dyDescent="0.25"/>
    <row r="261548" customFormat="1" x14ac:dyDescent="0.25"/>
    <row r="261549" customFormat="1" x14ac:dyDescent="0.25"/>
    <row r="261550" customFormat="1" x14ac:dyDescent="0.25"/>
    <row r="261551" customFormat="1" x14ac:dyDescent="0.25"/>
    <row r="261552" customFormat="1" x14ac:dyDescent="0.25"/>
    <row r="261553" customFormat="1" x14ac:dyDescent="0.25"/>
    <row r="261554" customFormat="1" x14ac:dyDescent="0.25"/>
    <row r="261555" customFormat="1" x14ac:dyDescent="0.25"/>
    <row r="261556" customFormat="1" x14ac:dyDescent="0.25"/>
    <row r="261557" customFormat="1" x14ac:dyDescent="0.25"/>
    <row r="261558" customFormat="1" x14ac:dyDescent="0.25"/>
    <row r="261559" customFormat="1" x14ac:dyDescent="0.25"/>
    <row r="261560" customFormat="1" x14ac:dyDescent="0.25"/>
    <row r="261561" customFormat="1" x14ac:dyDescent="0.25"/>
    <row r="261562" customFormat="1" x14ac:dyDescent="0.25"/>
    <row r="261563" customFormat="1" x14ac:dyDescent="0.25"/>
    <row r="261564" customFormat="1" x14ac:dyDescent="0.25"/>
    <row r="261565" customFormat="1" x14ac:dyDescent="0.25"/>
    <row r="261566" customFormat="1" x14ac:dyDescent="0.25"/>
    <row r="261567" customFormat="1" x14ac:dyDescent="0.25"/>
    <row r="261568" customFormat="1" x14ac:dyDescent="0.25"/>
    <row r="261569" customFormat="1" x14ac:dyDescent="0.25"/>
    <row r="261570" customFormat="1" x14ac:dyDescent="0.25"/>
    <row r="261571" customFormat="1" x14ac:dyDescent="0.25"/>
    <row r="261572" customFormat="1" x14ac:dyDescent="0.25"/>
    <row r="261573" customFormat="1" x14ac:dyDescent="0.25"/>
    <row r="261574" customFormat="1" x14ac:dyDescent="0.25"/>
    <row r="261575" customFormat="1" x14ac:dyDescent="0.25"/>
    <row r="261576" customFormat="1" x14ac:dyDescent="0.25"/>
    <row r="261577" customFormat="1" x14ac:dyDescent="0.25"/>
    <row r="261578" customFormat="1" x14ac:dyDescent="0.25"/>
    <row r="261579" customFormat="1" x14ac:dyDescent="0.25"/>
    <row r="261580" customFormat="1" x14ac:dyDescent="0.25"/>
    <row r="261581" customFormat="1" x14ac:dyDescent="0.25"/>
    <row r="261582" customFormat="1" x14ac:dyDescent="0.25"/>
    <row r="261583" customFormat="1" x14ac:dyDescent="0.25"/>
    <row r="261584" customFormat="1" x14ac:dyDescent="0.25"/>
    <row r="261585" customFormat="1" x14ac:dyDescent="0.25"/>
    <row r="261586" customFormat="1" x14ac:dyDescent="0.25"/>
    <row r="261587" customFormat="1" x14ac:dyDescent="0.25"/>
    <row r="261588" customFormat="1" x14ac:dyDescent="0.25"/>
    <row r="261589" customFormat="1" x14ac:dyDescent="0.25"/>
    <row r="261590" customFormat="1" x14ac:dyDescent="0.25"/>
    <row r="261591" customFormat="1" x14ac:dyDescent="0.25"/>
    <row r="261592" customFormat="1" x14ac:dyDescent="0.25"/>
    <row r="261593" customFormat="1" x14ac:dyDescent="0.25"/>
    <row r="261594" customFormat="1" x14ac:dyDescent="0.25"/>
    <row r="261595" customFormat="1" x14ac:dyDescent="0.25"/>
    <row r="261596" customFormat="1" x14ac:dyDescent="0.25"/>
    <row r="261597" customFormat="1" x14ac:dyDescent="0.25"/>
    <row r="261598" customFormat="1" x14ac:dyDescent="0.25"/>
    <row r="261599" customFormat="1" x14ac:dyDescent="0.25"/>
    <row r="261600" customFormat="1" x14ac:dyDescent="0.25"/>
    <row r="261601" customFormat="1" x14ac:dyDescent="0.25"/>
    <row r="261602" customFormat="1" x14ac:dyDescent="0.25"/>
    <row r="261603" customFormat="1" x14ac:dyDescent="0.25"/>
    <row r="261604" customFormat="1" x14ac:dyDescent="0.25"/>
    <row r="261605" customFormat="1" x14ac:dyDescent="0.25"/>
    <row r="261606" customFormat="1" x14ac:dyDescent="0.25"/>
    <row r="261607" customFormat="1" x14ac:dyDescent="0.25"/>
    <row r="261608" customFormat="1" x14ac:dyDescent="0.25"/>
    <row r="261609" customFormat="1" x14ac:dyDescent="0.25"/>
    <row r="261610" customFormat="1" x14ac:dyDescent="0.25"/>
    <row r="261611" customFormat="1" x14ac:dyDescent="0.25"/>
    <row r="261612" customFormat="1" x14ac:dyDescent="0.25"/>
    <row r="261613" customFormat="1" x14ac:dyDescent="0.25"/>
    <row r="261614" customFormat="1" x14ac:dyDescent="0.25"/>
    <row r="261615" customFormat="1" x14ac:dyDescent="0.25"/>
    <row r="261616" customFormat="1" x14ac:dyDescent="0.25"/>
    <row r="261617" customFormat="1" x14ac:dyDescent="0.25"/>
    <row r="261618" customFormat="1" x14ac:dyDescent="0.25"/>
    <row r="261619" customFormat="1" x14ac:dyDescent="0.25"/>
    <row r="261620" customFormat="1" x14ac:dyDescent="0.25"/>
    <row r="261621" customFormat="1" x14ac:dyDescent="0.25"/>
    <row r="261622" customFormat="1" x14ac:dyDescent="0.25"/>
    <row r="261623" customFormat="1" x14ac:dyDescent="0.25"/>
    <row r="261624" customFormat="1" x14ac:dyDescent="0.25"/>
    <row r="261625" customFormat="1" x14ac:dyDescent="0.25"/>
    <row r="261626" customFormat="1" x14ac:dyDescent="0.25"/>
    <row r="261627" customFormat="1" x14ac:dyDescent="0.25"/>
    <row r="261628" customFormat="1" x14ac:dyDescent="0.25"/>
    <row r="261629" customFormat="1" x14ac:dyDescent="0.25"/>
    <row r="261630" customFormat="1" x14ac:dyDescent="0.25"/>
    <row r="261631" customFormat="1" x14ac:dyDescent="0.25"/>
    <row r="261632" customFormat="1" x14ac:dyDescent="0.25"/>
    <row r="261633" customFormat="1" x14ac:dyDescent="0.25"/>
    <row r="261634" customFormat="1" x14ac:dyDescent="0.25"/>
    <row r="261635" customFormat="1" x14ac:dyDescent="0.25"/>
    <row r="261636" customFormat="1" x14ac:dyDescent="0.25"/>
    <row r="261637" customFormat="1" x14ac:dyDescent="0.25"/>
    <row r="261638" customFormat="1" x14ac:dyDescent="0.25"/>
    <row r="261639" customFormat="1" x14ac:dyDescent="0.25"/>
    <row r="261640" customFormat="1" x14ac:dyDescent="0.25"/>
    <row r="261641" customFormat="1" x14ac:dyDescent="0.25"/>
    <row r="261642" customFormat="1" x14ac:dyDescent="0.25"/>
    <row r="261643" customFormat="1" x14ac:dyDescent="0.25"/>
    <row r="261644" customFormat="1" x14ac:dyDescent="0.25"/>
    <row r="261645" customFormat="1" x14ac:dyDescent="0.25"/>
    <row r="261646" customFormat="1" x14ac:dyDescent="0.25"/>
    <row r="261647" customFormat="1" x14ac:dyDescent="0.25"/>
    <row r="261648" customFormat="1" x14ac:dyDescent="0.25"/>
    <row r="261649" customFormat="1" x14ac:dyDescent="0.25"/>
    <row r="261650" customFormat="1" x14ac:dyDescent="0.25"/>
    <row r="261651" customFormat="1" x14ac:dyDescent="0.25"/>
    <row r="261652" customFormat="1" x14ac:dyDescent="0.25"/>
    <row r="261653" customFormat="1" x14ac:dyDescent="0.25"/>
    <row r="261654" customFormat="1" x14ac:dyDescent="0.25"/>
    <row r="261655" customFormat="1" x14ac:dyDescent="0.25"/>
    <row r="261656" customFormat="1" x14ac:dyDescent="0.25"/>
    <row r="261657" customFormat="1" x14ac:dyDescent="0.25"/>
    <row r="261658" customFormat="1" x14ac:dyDescent="0.25"/>
    <row r="261659" customFormat="1" x14ac:dyDescent="0.25"/>
    <row r="261660" customFormat="1" x14ac:dyDescent="0.25"/>
    <row r="261661" customFormat="1" x14ac:dyDescent="0.25"/>
    <row r="261662" customFormat="1" x14ac:dyDescent="0.25"/>
    <row r="261663" customFormat="1" x14ac:dyDescent="0.25"/>
    <row r="261664" customFormat="1" x14ac:dyDescent="0.25"/>
    <row r="261665" customFormat="1" x14ac:dyDescent="0.25"/>
    <row r="261666" customFormat="1" x14ac:dyDescent="0.25"/>
    <row r="261667" customFormat="1" x14ac:dyDescent="0.25"/>
    <row r="261668" customFormat="1" x14ac:dyDescent="0.25"/>
    <row r="261669" customFormat="1" x14ac:dyDescent="0.25"/>
    <row r="261670" customFormat="1" x14ac:dyDescent="0.25"/>
    <row r="261671" customFormat="1" x14ac:dyDescent="0.25"/>
    <row r="261672" customFormat="1" x14ac:dyDescent="0.25"/>
    <row r="261673" customFormat="1" x14ac:dyDescent="0.25"/>
    <row r="261674" customFormat="1" x14ac:dyDescent="0.25"/>
    <row r="261675" customFormat="1" x14ac:dyDescent="0.25"/>
    <row r="261676" customFormat="1" x14ac:dyDescent="0.25"/>
    <row r="261677" customFormat="1" x14ac:dyDescent="0.25"/>
    <row r="261678" customFormat="1" x14ac:dyDescent="0.25"/>
    <row r="261679" customFormat="1" x14ac:dyDescent="0.25"/>
    <row r="261680" customFormat="1" x14ac:dyDescent="0.25"/>
    <row r="261681" customFormat="1" x14ac:dyDescent="0.25"/>
    <row r="261682" customFormat="1" x14ac:dyDescent="0.25"/>
    <row r="261683" customFormat="1" x14ac:dyDescent="0.25"/>
    <row r="261684" customFormat="1" x14ac:dyDescent="0.25"/>
    <row r="261685" customFormat="1" x14ac:dyDescent="0.25"/>
    <row r="261686" customFormat="1" x14ac:dyDescent="0.25"/>
    <row r="261687" customFormat="1" x14ac:dyDescent="0.25"/>
    <row r="261688" customFormat="1" x14ac:dyDescent="0.25"/>
    <row r="261689" customFormat="1" x14ac:dyDescent="0.25"/>
    <row r="261690" customFormat="1" x14ac:dyDescent="0.25"/>
    <row r="261691" customFormat="1" x14ac:dyDescent="0.25"/>
    <row r="261692" customFormat="1" x14ac:dyDescent="0.25"/>
    <row r="261693" customFormat="1" x14ac:dyDescent="0.25"/>
    <row r="261694" customFormat="1" x14ac:dyDescent="0.25"/>
    <row r="261695" customFormat="1" x14ac:dyDescent="0.25"/>
    <row r="261696" customFormat="1" x14ac:dyDescent="0.25"/>
    <row r="261697" customFormat="1" x14ac:dyDescent="0.25"/>
    <row r="261698" customFormat="1" x14ac:dyDescent="0.25"/>
    <row r="261699" customFormat="1" x14ac:dyDescent="0.25"/>
    <row r="261700" customFormat="1" x14ac:dyDescent="0.25"/>
    <row r="261701" customFormat="1" x14ac:dyDescent="0.25"/>
    <row r="261702" customFormat="1" x14ac:dyDescent="0.25"/>
    <row r="261703" customFormat="1" x14ac:dyDescent="0.25"/>
    <row r="261704" customFormat="1" x14ac:dyDescent="0.25"/>
    <row r="261705" customFormat="1" x14ac:dyDescent="0.25"/>
    <row r="261706" customFormat="1" x14ac:dyDescent="0.25"/>
    <row r="261707" customFormat="1" x14ac:dyDescent="0.25"/>
    <row r="261708" customFormat="1" x14ac:dyDescent="0.25"/>
    <row r="261709" customFormat="1" x14ac:dyDescent="0.25"/>
    <row r="261710" customFormat="1" x14ac:dyDescent="0.25"/>
    <row r="261711" customFormat="1" x14ac:dyDescent="0.25"/>
    <row r="261712" customFormat="1" x14ac:dyDescent="0.25"/>
    <row r="261713" customFormat="1" x14ac:dyDescent="0.25"/>
    <row r="261714" customFormat="1" x14ac:dyDescent="0.25"/>
    <row r="261715" customFormat="1" x14ac:dyDescent="0.25"/>
    <row r="261716" customFormat="1" x14ac:dyDescent="0.25"/>
    <row r="261717" customFormat="1" x14ac:dyDescent="0.25"/>
    <row r="261718" customFormat="1" x14ac:dyDescent="0.25"/>
    <row r="261719" customFormat="1" x14ac:dyDescent="0.25"/>
    <row r="261720" customFormat="1" x14ac:dyDescent="0.25"/>
    <row r="261721" customFormat="1" x14ac:dyDescent="0.25"/>
    <row r="261722" customFormat="1" x14ac:dyDescent="0.25"/>
    <row r="261723" customFormat="1" x14ac:dyDescent="0.25"/>
    <row r="261724" customFormat="1" x14ac:dyDescent="0.25"/>
    <row r="261725" customFormat="1" x14ac:dyDescent="0.25"/>
    <row r="261726" customFormat="1" x14ac:dyDescent="0.25"/>
    <row r="261727" customFormat="1" x14ac:dyDescent="0.25"/>
    <row r="261728" customFormat="1" x14ac:dyDescent="0.25"/>
    <row r="261729" customFormat="1" x14ac:dyDescent="0.25"/>
    <row r="261730" customFormat="1" x14ac:dyDescent="0.25"/>
    <row r="261731" customFormat="1" x14ac:dyDescent="0.25"/>
    <row r="261732" customFormat="1" x14ac:dyDescent="0.25"/>
    <row r="261733" customFormat="1" x14ac:dyDescent="0.25"/>
    <row r="261734" customFormat="1" x14ac:dyDescent="0.25"/>
    <row r="261735" customFormat="1" x14ac:dyDescent="0.25"/>
    <row r="261736" customFormat="1" x14ac:dyDescent="0.25"/>
    <row r="261737" customFormat="1" x14ac:dyDescent="0.25"/>
    <row r="261738" customFormat="1" x14ac:dyDescent="0.25"/>
    <row r="261739" customFormat="1" x14ac:dyDescent="0.25"/>
    <row r="261740" customFormat="1" x14ac:dyDescent="0.25"/>
    <row r="261741" customFormat="1" x14ac:dyDescent="0.25"/>
    <row r="261742" customFormat="1" x14ac:dyDescent="0.25"/>
    <row r="261743" customFormat="1" x14ac:dyDescent="0.25"/>
    <row r="261744" customFormat="1" x14ac:dyDescent="0.25"/>
    <row r="261745" customFormat="1" x14ac:dyDescent="0.25"/>
    <row r="261746" customFormat="1" x14ac:dyDescent="0.25"/>
    <row r="261747" customFormat="1" x14ac:dyDescent="0.25"/>
    <row r="261748" customFormat="1" x14ac:dyDescent="0.25"/>
    <row r="261749" customFormat="1" x14ac:dyDescent="0.25"/>
    <row r="261750" customFormat="1" x14ac:dyDescent="0.25"/>
    <row r="261751" customFormat="1" x14ac:dyDescent="0.25"/>
    <row r="261752" customFormat="1" x14ac:dyDescent="0.25"/>
    <row r="261753" customFormat="1" x14ac:dyDescent="0.25"/>
    <row r="261754" customFormat="1" x14ac:dyDescent="0.25"/>
    <row r="261755" customFormat="1" x14ac:dyDescent="0.25"/>
    <row r="261756" customFormat="1" x14ac:dyDescent="0.25"/>
    <row r="261757" customFormat="1" x14ac:dyDescent="0.25"/>
    <row r="261758" customFormat="1" x14ac:dyDescent="0.25"/>
    <row r="261759" customFormat="1" x14ac:dyDescent="0.25"/>
    <row r="261760" customFormat="1" x14ac:dyDescent="0.25"/>
    <row r="261761" customFormat="1" x14ac:dyDescent="0.25"/>
    <row r="261762" customFormat="1" x14ac:dyDescent="0.25"/>
    <row r="261763" customFormat="1" x14ac:dyDescent="0.25"/>
    <row r="261764" customFormat="1" x14ac:dyDescent="0.25"/>
    <row r="261765" customFormat="1" x14ac:dyDescent="0.25"/>
    <row r="261766" customFormat="1" x14ac:dyDescent="0.25"/>
    <row r="261767" customFormat="1" x14ac:dyDescent="0.25"/>
    <row r="261768" customFormat="1" x14ac:dyDescent="0.25"/>
    <row r="261769" customFormat="1" x14ac:dyDescent="0.25"/>
    <row r="261770" customFormat="1" x14ac:dyDescent="0.25"/>
    <row r="261771" customFormat="1" x14ac:dyDescent="0.25"/>
    <row r="261772" customFormat="1" x14ac:dyDescent="0.25"/>
    <row r="261773" customFormat="1" x14ac:dyDescent="0.25"/>
    <row r="261774" customFormat="1" x14ac:dyDescent="0.25"/>
    <row r="261775" customFormat="1" x14ac:dyDescent="0.25"/>
    <row r="261776" customFormat="1" x14ac:dyDescent="0.25"/>
    <row r="261777" customFormat="1" x14ac:dyDescent="0.25"/>
    <row r="261778" customFormat="1" x14ac:dyDescent="0.25"/>
    <row r="261779" customFormat="1" x14ac:dyDescent="0.25"/>
    <row r="261780" customFormat="1" x14ac:dyDescent="0.25"/>
    <row r="261781" customFormat="1" x14ac:dyDescent="0.25"/>
    <row r="261782" customFormat="1" x14ac:dyDescent="0.25"/>
    <row r="261783" customFormat="1" x14ac:dyDescent="0.25"/>
    <row r="261784" customFormat="1" x14ac:dyDescent="0.25"/>
    <row r="261785" customFormat="1" x14ac:dyDescent="0.25"/>
    <row r="261786" customFormat="1" x14ac:dyDescent="0.25"/>
    <row r="261787" customFormat="1" x14ac:dyDescent="0.25"/>
    <row r="261788" customFormat="1" x14ac:dyDescent="0.25"/>
    <row r="261789" customFormat="1" x14ac:dyDescent="0.25"/>
    <row r="261790" customFormat="1" x14ac:dyDescent="0.25"/>
    <row r="261791" customFormat="1" x14ac:dyDescent="0.25"/>
    <row r="261792" customFormat="1" x14ac:dyDescent="0.25"/>
    <row r="261793" customFormat="1" x14ac:dyDescent="0.25"/>
    <row r="261794" customFormat="1" x14ac:dyDescent="0.25"/>
    <row r="261795" customFormat="1" x14ac:dyDescent="0.25"/>
    <row r="261796" customFormat="1" x14ac:dyDescent="0.25"/>
    <row r="261797" customFormat="1" x14ac:dyDescent="0.25"/>
    <row r="261798" customFormat="1" x14ac:dyDescent="0.25"/>
    <row r="261799" customFormat="1" x14ac:dyDescent="0.25"/>
    <row r="261800" customFormat="1" x14ac:dyDescent="0.25"/>
    <row r="261801" customFormat="1" x14ac:dyDescent="0.25"/>
    <row r="261802" customFormat="1" x14ac:dyDescent="0.25"/>
    <row r="261803" customFormat="1" x14ac:dyDescent="0.25"/>
    <row r="261804" customFormat="1" x14ac:dyDescent="0.25"/>
    <row r="261805" customFormat="1" x14ac:dyDescent="0.25"/>
    <row r="261806" customFormat="1" x14ac:dyDescent="0.25"/>
    <row r="261807" customFormat="1" x14ac:dyDescent="0.25"/>
    <row r="261808" customFormat="1" x14ac:dyDescent="0.25"/>
    <row r="261809" customFormat="1" x14ac:dyDescent="0.25"/>
    <row r="261810" customFormat="1" x14ac:dyDescent="0.25"/>
    <row r="261811" customFormat="1" x14ac:dyDescent="0.25"/>
    <row r="261812" customFormat="1" x14ac:dyDescent="0.25"/>
    <row r="261813" customFormat="1" x14ac:dyDescent="0.25"/>
    <row r="261814" customFormat="1" x14ac:dyDescent="0.25"/>
    <row r="261815" customFormat="1" x14ac:dyDescent="0.25"/>
    <row r="261816" customFormat="1" x14ac:dyDescent="0.25"/>
    <row r="261817" customFormat="1" x14ac:dyDescent="0.25"/>
    <row r="261818" customFormat="1" x14ac:dyDescent="0.25"/>
    <row r="261819" customFormat="1" x14ac:dyDescent="0.25"/>
    <row r="261820" customFormat="1" x14ac:dyDescent="0.25"/>
    <row r="261821" customFormat="1" x14ac:dyDescent="0.25"/>
    <row r="261822" customFormat="1" x14ac:dyDescent="0.25"/>
    <row r="261823" customFormat="1" x14ac:dyDescent="0.25"/>
    <row r="261824" customFormat="1" x14ac:dyDescent="0.25"/>
    <row r="261825" customFormat="1" x14ac:dyDescent="0.25"/>
    <row r="261826" customFormat="1" x14ac:dyDescent="0.25"/>
    <row r="261827" customFormat="1" x14ac:dyDescent="0.25"/>
    <row r="261828" customFormat="1" x14ac:dyDescent="0.25"/>
    <row r="261829" customFormat="1" x14ac:dyDescent="0.25"/>
    <row r="261830" customFormat="1" x14ac:dyDescent="0.25"/>
    <row r="261831" customFormat="1" x14ac:dyDescent="0.25"/>
    <row r="261832" customFormat="1" x14ac:dyDescent="0.25"/>
    <row r="261833" customFormat="1" x14ac:dyDescent="0.25"/>
    <row r="261834" customFormat="1" x14ac:dyDescent="0.25"/>
    <row r="261835" customFormat="1" x14ac:dyDescent="0.25"/>
    <row r="261836" customFormat="1" x14ac:dyDescent="0.25"/>
    <row r="261837" customFormat="1" x14ac:dyDescent="0.25"/>
    <row r="261838" customFormat="1" x14ac:dyDescent="0.25"/>
    <row r="261839" customFormat="1" x14ac:dyDescent="0.25"/>
    <row r="261840" customFormat="1" x14ac:dyDescent="0.25"/>
    <row r="261841" customFormat="1" x14ac:dyDescent="0.25"/>
    <row r="261842" customFormat="1" x14ac:dyDescent="0.25"/>
    <row r="261843" customFormat="1" x14ac:dyDescent="0.25"/>
    <row r="261844" customFormat="1" x14ac:dyDescent="0.25"/>
    <row r="261845" customFormat="1" x14ac:dyDescent="0.25"/>
    <row r="261846" customFormat="1" x14ac:dyDescent="0.25"/>
    <row r="261847" customFormat="1" x14ac:dyDescent="0.25"/>
    <row r="261848" customFormat="1" x14ac:dyDescent="0.25"/>
    <row r="261849" customFormat="1" x14ac:dyDescent="0.25"/>
    <row r="261850" customFormat="1" x14ac:dyDescent="0.25"/>
    <row r="261851" customFormat="1" x14ac:dyDescent="0.25"/>
    <row r="261852" customFormat="1" x14ac:dyDescent="0.25"/>
    <row r="261853" customFormat="1" x14ac:dyDescent="0.25"/>
    <row r="261854" customFormat="1" x14ac:dyDescent="0.25"/>
    <row r="261855" customFormat="1" x14ac:dyDescent="0.25"/>
    <row r="261856" customFormat="1" x14ac:dyDescent="0.25"/>
    <row r="261857" customFormat="1" x14ac:dyDescent="0.25"/>
    <row r="261858" customFormat="1" x14ac:dyDescent="0.25"/>
    <row r="261859" customFormat="1" x14ac:dyDescent="0.25"/>
    <row r="261860" customFormat="1" x14ac:dyDescent="0.25"/>
    <row r="261861" customFormat="1" x14ac:dyDescent="0.25"/>
    <row r="261862" customFormat="1" x14ac:dyDescent="0.25"/>
    <row r="261863" customFormat="1" x14ac:dyDescent="0.25"/>
    <row r="261864" customFormat="1" x14ac:dyDescent="0.25"/>
    <row r="261865" customFormat="1" x14ac:dyDescent="0.25"/>
    <row r="261866" customFormat="1" x14ac:dyDescent="0.25"/>
    <row r="261867" customFormat="1" x14ac:dyDescent="0.25"/>
    <row r="261868" customFormat="1" x14ac:dyDescent="0.25"/>
    <row r="261869" customFormat="1" x14ac:dyDescent="0.25"/>
    <row r="261870" customFormat="1" x14ac:dyDescent="0.25"/>
    <row r="261871" customFormat="1" x14ac:dyDescent="0.25"/>
    <row r="261872" customFormat="1" x14ac:dyDescent="0.25"/>
    <row r="261873" customFormat="1" x14ac:dyDescent="0.25"/>
    <row r="261874" customFormat="1" x14ac:dyDescent="0.25"/>
    <row r="261875" customFormat="1" x14ac:dyDescent="0.25"/>
    <row r="261876" customFormat="1" x14ac:dyDescent="0.25"/>
    <row r="261877" customFormat="1" x14ac:dyDescent="0.25"/>
    <row r="261878" customFormat="1" x14ac:dyDescent="0.25"/>
    <row r="261879" customFormat="1" x14ac:dyDescent="0.25"/>
    <row r="261880" customFormat="1" x14ac:dyDescent="0.25"/>
    <row r="261881" customFormat="1" x14ac:dyDescent="0.25"/>
    <row r="261882" customFormat="1" x14ac:dyDescent="0.25"/>
    <row r="261883" customFormat="1" x14ac:dyDescent="0.25"/>
    <row r="261884" customFormat="1" x14ac:dyDescent="0.25"/>
    <row r="261885" customFormat="1" x14ac:dyDescent="0.25"/>
    <row r="261886" customFormat="1" x14ac:dyDescent="0.25"/>
    <row r="261887" customFormat="1" x14ac:dyDescent="0.25"/>
    <row r="261888" customFormat="1" x14ac:dyDescent="0.25"/>
    <row r="261889" customFormat="1" x14ac:dyDescent="0.25"/>
    <row r="261890" customFormat="1" x14ac:dyDescent="0.25"/>
    <row r="261891" customFormat="1" x14ac:dyDescent="0.25"/>
    <row r="261892" customFormat="1" x14ac:dyDescent="0.25"/>
    <row r="261893" customFormat="1" x14ac:dyDescent="0.25"/>
    <row r="261894" customFormat="1" x14ac:dyDescent="0.25"/>
    <row r="261895" customFormat="1" x14ac:dyDescent="0.25"/>
    <row r="261896" customFormat="1" x14ac:dyDescent="0.25"/>
    <row r="261897" customFormat="1" x14ac:dyDescent="0.25"/>
    <row r="261898" customFormat="1" x14ac:dyDescent="0.25"/>
    <row r="261899" customFormat="1" x14ac:dyDescent="0.25"/>
    <row r="261900" customFormat="1" x14ac:dyDescent="0.25"/>
    <row r="261901" customFormat="1" x14ac:dyDescent="0.25"/>
    <row r="261902" customFormat="1" x14ac:dyDescent="0.25"/>
    <row r="261903" customFormat="1" x14ac:dyDescent="0.25"/>
    <row r="261904" customFormat="1" x14ac:dyDescent="0.25"/>
    <row r="261905" customFormat="1" x14ac:dyDescent="0.25"/>
    <row r="261906" customFormat="1" x14ac:dyDescent="0.25"/>
    <row r="261907" customFormat="1" x14ac:dyDescent="0.25"/>
    <row r="261908" customFormat="1" x14ac:dyDescent="0.25"/>
    <row r="261909" customFormat="1" x14ac:dyDescent="0.25"/>
    <row r="261910" customFormat="1" x14ac:dyDescent="0.25"/>
    <row r="261911" customFormat="1" x14ac:dyDescent="0.25"/>
    <row r="261912" customFormat="1" x14ac:dyDescent="0.25"/>
    <row r="261913" customFormat="1" x14ac:dyDescent="0.25"/>
    <row r="261914" customFormat="1" x14ac:dyDescent="0.25"/>
    <row r="261915" customFormat="1" x14ac:dyDescent="0.25"/>
    <row r="261916" customFormat="1" x14ac:dyDescent="0.25"/>
    <row r="261917" customFormat="1" x14ac:dyDescent="0.25"/>
    <row r="261918" customFormat="1" x14ac:dyDescent="0.25"/>
    <row r="261919" customFormat="1" x14ac:dyDescent="0.25"/>
    <row r="261920" customFormat="1" x14ac:dyDescent="0.25"/>
    <row r="261921" customFormat="1" x14ac:dyDescent="0.25"/>
    <row r="261922" customFormat="1" x14ac:dyDescent="0.25"/>
    <row r="261923" customFormat="1" x14ac:dyDescent="0.25"/>
    <row r="261924" customFormat="1" x14ac:dyDescent="0.25"/>
    <row r="261925" customFormat="1" x14ac:dyDescent="0.25"/>
    <row r="261926" customFormat="1" x14ac:dyDescent="0.25"/>
    <row r="261927" customFormat="1" x14ac:dyDescent="0.25"/>
    <row r="261928" customFormat="1" x14ac:dyDescent="0.25"/>
    <row r="261929" customFormat="1" x14ac:dyDescent="0.25"/>
    <row r="261930" customFormat="1" x14ac:dyDescent="0.25"/>
    <row r="261931" customFormat="1" x14ac:dyDescent="0.25"/>
    <row r="261932" customFormat="1" x14ac:dyDescent="0.25"/>
    <row r="261933" customFormat="1" x14ac:dyDescent="0.25"/>
    <row r="261934" customFormat="1" x14ac:dyDescent="0.25"/>
    <row r="261935" customFormat="1" x14ac:dyDescent="0.25"/>
    <row r="261936" customFormat="1" x14ac:dyDescent="0.25"/>
    <row r="261937" customFormat="1" x14ac:dyDescent="0.25"/>
    <row r="261938" customFormat="1" x14ac:dyDescent="0.25"/>
    <row r="261939" customFormat="1" x14ac:dyDescent="0.25"/>
    <row r="261940" customFormat="1" x14ac:dyDescent="0.25"/>
    <row r="261941" customFormat="1" x14ac:dyDescent="0.25"/>
    <row r="261942" customFormat="1" x14ac:dyDescent="0.25"/>
    <row r="261943" customFormat="1" x14ac:dyDescent="0.25"/>
    <row r="261944" customFormat="1" x14ac:dyDescent="0.25"/>
    <row r="261945" customFormat="1" x14ac:dyDescent="0.25"/>
    <row r="261946" customFormat="1" x14ac:dyDescent="0.25"/>
    <row r="261947" customFormat="1" x14ac:dyDescent="0.25"/>
    <row r="261948" customFormat="1" x14ac:dyDescent="0.25"/>
    <row r="261949" customFormat="1" x14ac:dyDescent="0.25"/>
    <row r="261950" customFormat="1" x14ac:dyDescent="0.25"/>
    <row r="261951" customFormat="1" x14ac:dyDescent="0.25"/>
    <row r="261952" customFormat="1" x14ac:dyDescent="0.25"/>
    <row r="261953" customFormat="1" x14ac:dyDescent="0.25"/>
    <row r="261954" customFormat="1" x14ac:dyDescent="0.25"/>
    <row r="261955" customFormat="1" x14ac:dyDescent="0.25"/>
    <row r="261956" customFormat="1" x14ac:dyDescent="0.25"/>
    <row r="261957" customFormat="1" x14ac:dyDescent="0.25"/>
    <row r="261958" customFormat="1" x14ac:dyDescent="0.25"/>
    <row r="261959" customFormat="1" x14ac:dyDescent="0.25"/>
    <row r="261960" customFormat="1" x14ac:dyDescent="0.25"/>
    <row r="261961" customFormat="1" x14ac:dyDescent="0.25"/>
    <row r="261962" customFormat="1" x14ac:dyDescent="0.25"/>
    <row r="261963" customFormat="1" x14ac:dyDescent="0.25"/>
    <row r="261964" customFormat="1" x14ac:dyDescent="0.25"/>
    <row r="261965" customFormat="1" x14ac:dyDescent="0.25"/>
    <row r="261966" customFormat="1" x14ac:dyDescent="0.25"/>
    <row r="261967" customFormat="1" x14ac:dyDescent="0.25"/>
    <row r="261968" customFormat="1" x14ac:dyDescent="0.25"/>
    <row r="261969" customFormat="1" x14ac:dyDescent="0.25"/>
    <row r="261970" customFormat="1" x14ac:dyDescent="0.25"/>
    <row r="261971" customFormat="1" x14ac:dyDescent="0.25"/>
    <row r="261972" customFormat="1" x14ac:dyDescent="0.25"/>
    <row r="261973" customFormat="1" x14ac:dyDescent="0.25"/>
    <row r="261974" customFormat="1" x14ac:dyDescent="0.25"/>
    <row r="261975" customFormat="1" x14ac:dyDescent="0.25"/>
    <row r="261976" customFormat="1" x14ac:dyDescent="0.25"/>
    <row r="261977" customFormat="1" x14ac:dyDescent="0.25"/>
    <row r="261978" customFormat="1" x14ac:dyDescent="0.25"/>
    <row r="261979" customFormat="1" x14ac:dyDescent="0.25"/>
    <row r="261980" customFormat="1" x14ac:dyDescent="0.25"/>
    <row r="261981" customFormat="1" x14ac:dyDescent="0.25"/>
    <row r="261982" customFormat="1" x14ac:dyDescent="0.25"/>
    <row r="261983" customFormat="1" x14ac:dyDescent="0.25"/>
    <row r="261984" customFormat="1" x14ac:dyDescent="0.25"/>
    <row r="261985" customFormat="1" x14ac:dyDescent="0.25"/>
    <row r="261986" customFormat="1" x14ac:dyDescent="0.25"/>
    <row r="261987" customFormat="1" x14ac:dyDescent="0.25"/>
    <row r="261988" customFormat="1" x14ac:dyDescent="0.25"/>
    <row r="261989" customFormat="1" x14ac:dyDescent="0.25"/>
    <row r="261990" customFormat="1" x14ac:dyDescent="0.25"/>
    <row r="261991" customFormat="1" x14ac:dyDescent="0.25"/>
    <row r="261992" customFormat="1" x14ac:dyDescent="0.25"/>
    <row r="261993" customFormat="1" x14ac:dyDescent="0.25"/>
    <row r="261994" customFormat="1" x14ac:dyDescent="0.25"/>
    <row r="261995" customFormat="1" x14ac:dyDescent="0.25"/>
    <row r="261996" customFormat="1" x14ac:dyDescent="0.25"/>
    <row r="261997" customFormat="1" x14ac:dyDescent="0.25"/>
    <row r="261998" customFormat="1" x14ac:dyDescent="0.25"/>
    <row r="261999" customFormat="1" x14ac:dyDescent="0.25"/>
    <row r="262000" customFormat="1" x14ac:dyDescent="0.25"/>
    <row r="262001" customFormat="1" x14ac:dyDescent="0.25"/>
    <row r="262002" customFormat="1" x14ac:dyDescent="0.25"/>
    <row r="262003" customFormat="1" x14ac:dyDescent="0.25"/>
    <row r="262004" customFormat="1" x14ac:dyDescent="0.25"/>
    <row r="262005" customFormat="1" x14ac:dyDescent="0.25"/>
    <row r="262006" customFormat="1" x14ac:dyDescent="0.25"/>
    <row r="262007" customFormat="1" x14ac:dyDescent="0.25"/>
    <row r="262008" customFormat="1" x14ac:dyDescent="0.25"/>
    <row r="262009" customFormat="1" x14ac:dyDescent="0.25"/>
    <row r="262010" customFormat="1" x14ac:dyDescent="0.25"/>
    <row r="262011" customFormat="1" x14ac:dyDescent="0.25"/>
    <row r="262012" customFormat="1" x14ac:dyDescent="0.25"/>
    <row r="262013" customFormat="1" x14ac:dyDescent="0.25"/>
    <row r="262014" customFormat="1" x14ac:dyDescent="0.25"/>
    <row r="262015" customFormat="1" x14ac:dyDescent="0.25"/>
    <row r="262016" customFormat="1" x14ac:dyDescent="0.25"/>
    <row r="262017" customFormat="1" x14ac:dyDescent="0.25"/>
    <row r="262018" customFormat="1" x14ac:dyDescent="0.25"/>
    <row r="262019" customFormat="1" x14ac:dyDescent="0.25"/>
    <row r="262020" customFormat="1" x14ac:dyDescent="0.25"/>
    <row r="262021" customFormat="1" x14ac:dyDescent="0.25"/>
    <row r="262022" customFormat="1" x14ac:dyDescent="0.25"/>
    <row r="262023" customFormat="1" x14ac:dyDescent="0.25"/>
    <row r="262024" customFormat="1" x14ac:dyDescent="0.25"/>
    <row r="262025" customFormat="1" x14ac:dyDescent="0.25"/>
    <row r="262026" customFormat="1" x14ac:dyDescent="0.25"/>
    <row r="262027" customFormat="1" x14ac:dyDescent="0.25"/>
    <row r="262028" customFormat="1" x14ac:dyDescent="0.25"/>
    <row r="262029" customFormat="1" x14ac:dyDescent="0.25"/>
    <row r="262030" customFormat="1" x14ac:dyDescent="0.25"/>
    <row r="262031" customFormat="1" x14ac:dyDescent="0.25"/>
    <row r="262032" customFormat="1" x14ac:dyDescent="0.25"/>
    <row r="262033" customFormat="1" x14ac:dyDescent="0.25"/>
    <row r="262034" customFormat="1" x14ac:dyDescent="0.25"/>
    <row r="262035" customFormat="1" x14ac:dyDescent="0.25"/>
    <row r="262036" customFormat="1" x14ac:dyDescent="0.25"/>
    <row r="262037" customFormat="1" x14ac:dyDescent="0.25"/>
    <row r="262038" customFormat="1" x14ac:dyDescent="0.25"/>
    <row r="262039" customFormat="1" x14ac:dyDescent="0.25"/>
    <row r="262040" customFormat="1" x14ac:dyDescent="0.25"/>
    <row r="262041" customFormat="1" x14ac:dyDescent="0.25"/>
    <row r="262042" customFormat="1" x14ac:dyDescent="0.25"/>
    <row r="262043" customFormat="1" x14ac:dyDescent="0.25"/>
    <row r="262044" customFormat="1" x14ac:dyDescent="0.25"/>
    <row r="262045" customFormat="1" x14ac:dyDescent="0.25"/>
    <row r="262046" customFormat="1" x14ac:dyDescent="0.25"/>
    <row r="262047" customFormat="1" x14ac:dyDescent="0.25"/>
    <row r="262048" customFormat="1" x14ac:dyDescent="0.25"/>
    <row r="262049" customFormat="1" x14ac:dyDescent="0.25"/>
    <row r="262050" customFormat="1" x14ac:dyDescent="0.25"/>
    <row r="262051" customFormat="1" x14ac:dyDescent="0.25"/>
    <row r="262052" customFormat="1" x14ac:dyDescent="0.25"/>
    <row r="262053" customFormat="1" x14ac:dyDescent="0.25"/>
    <row r="262054" customFormat="1" x14ac:dyDescent="0.25"/>
    <row r="262055" customFormat="1" x14ac:dyDescent="0.25"/>
    <row r="262056" customFormat="1" x14ac:dyDescent="0.25"/>
    <row r="262057" customFormat="1" x14ac:dyDescent="0.25"/>
    <row r="262058" customFormat="1" x14ac:dyDescent="0.25"/>
    <row r="262059" customFormat="1" x14ac:dyDescent="0.25"/>
    <row r="262060" customFormat="1" x14ac:dyDescent="0.25"/>
    <row r="262061" customFormat="1" x14ac:dyDescent="0.25"/>
    <row r="262062" customFormat="1" x14ac:dyDescent="0.25"/>
    <row r="262063" customFormat="1" x14ac:dyDescent="0.25"/>
    <row r="262064" customFormat="1" x14ac:dyDescent="0.25"/>
    <row r="262065" customFormat="1" x14ac:dyDescent="0.25"/>
    <row r="262066" customFormat="1" x14ac:dyDescent="0.25"/>
    <row r="262067" customFormat="1" x14ac:dyDescent="0.25"/>
    <row r="262068" customFormat="1" x14ac:dyDescent="0.25"/>
    <row r="262069" customFormat="1" x14ac:dyDescent="0.25"/>
    <row r="262070" customFormat="1" x14ac:dyDescent="0.25"/>
    <row r="262071" customFormat="1" x14ac:dyDescent="0.25"/>
    <row r="262072" customFormat="1" x14ac:dyDescent="0.25"/>
    <row r="262073" customFormat="1" x14ac:dyDescent="0.25"/>
    <row r="262074" customFormat="1" x14ac:dyDescent="0.25"/>
    <row r="262075" customFormat="1" x14ac:dyDescent="0.25"/>
    <row r="262076" customFormat="1" x14ac:dyDescent="0.25"/>
    <row r="262077" customFormat="1" x14ac:dyDescent="0.25"/>
    <row r="262078" customFormat="1" x14ac:dyDescent="0.25"/>
    <row r="262079" customFormat="1" x14ac:dyDescent="0.25"/>
    <row r="262080" customFormat="1" x14ac:dyDescent="0.25"/>
    <row r="262081" customFormat="1" x14ac:dyDescent="0.25"/>
    <row r="262082" customFormat="1" x14ac:dyDescent="0.25"/>
    <row r="262083" customFormat="1" x14ac:dyDescent="0.25"/>
    <row r="262084" customFormat="1" x14ac:dyDescent="0.25"/>
    <row r="262085" customFormat="1" x14ac:dyDescent="0.25"/>
    <row r="262086" customFormat="1" x14ac:dyDescent="0.25"/>
    <row r="262087" customFormat="1" x14ac:dyDescent="0.25"/>
    <row r="262088" customFormat="1" x14ac:dyDescent="0.25"/>
    <row r="262089" customFormat="1" x14ac:dyDescent="0.25"/>
    <row r="262090" customFormat="1" x14ac:dyDescent="0.25"/>
    <row r="262091" customFormat="1" x14ac:dyDescent="0.25"/>
    <row r="262092" customFormat="1" x14ac:dyDescent="0.25"/>
    <row r="262093" customFormat="1" x14ac:dyDescent="0.25"/>
    <row r="262094" customFormat="1" x14ac:dyDescent="0.25"/>
    <row r="262095" customFormat="1" x14ac:dyDescent="0.25"/>
    <row r="262096" customFormat="1" x14ac:dyDescent="0.25"/>
    <row r="262097" customFormat="1" x14ac:dyDescent="0.25"/>
    <row r="262098" customFormat="1" x14ac:dyDescent="0.25"/>
    <row r="262099" customFormat="1" x14ac:dyDescent="0.25"/>
    <row r="262100" customFormat="1" x14ac:dyDescent="0.25"/>
    <row r="262101" customFormat="1" x14ac:dyDescent="0.25"/>
    <row r="262102" customFormat="1" x14ac:dyDescent="0.25"/>
    <row r="262103" customFormat="1" x14ac:dyDescent="0.25"/>
    <row r="262104" customFormat="1" x14ac:dyDescent="0.25"/>
    <row r="262105" customFormat="1" x14ac:dyDescent="0.25"/>
    <row r="262106" customFormat="1" x14ac:dyDescent="0.25"/>
    <row r="262107" customFormat="1" x14ac:dyDescent="0.25"/>
    <row r="262108" customFormat="1" x14ac:dyDescent="0.25"/>
    <row r="262109" customFormat="1" x14ac:dyDescent="0.25"/>
    <row r="262110" customFormat="1" x14ac:dyDescent="0.25"/>
    <row r="262111" customFormat="1" x14ac:dyDescent="0.25"/>
    <row r="262112" customFormat="1" x14ac:dyDescent="0.25"/>
    <row r="262113" customFormat="1" x14ac:dyDescent="0.25"/>
    <row r="262114" customFormat="1" x14ac:dyDescent="0.25"/>
    <row r="262115" customFormat="1" x14ac:dyDescent="0.25"/>
    <row r="262116" customFormat="1" x14ac:dyDescent="0.25"/>
    <row r="262117" customFormat="1" x14ac:dyDescent="0.25"/>
    <row r="262118" customFormat="1" x14ac:dyDescent="0.25"/>
    <row r="262119" customFormat="1" x14ac:dyDescent="0.25"/>
    <row r="262120" customFormat="1" x14ac:dyDescent="0.25"/>
    <row r="262121" customFormat="1" x14ac:dyDescent="0.25"/>
    <row r="262122" customFormat="1" x14ac:dyDescent="0.25"/>
    <row r="262123" customFormat="1" x14ac:dyDescent="0.25"/>
    <row r="262124" customFormat="1" x14ac:dyDescent="0.25"/>
    <row r="262125" customFormat="1" x14ac:dyDescent="0.25"/>
    <row r="262126" customFormat="1" x14ac:dyDescent="0.25"/>
    <row r="262127" customFormat="1" x14ac:dyDescent="0.25"/>
    <row r="262128" customFormat="1" x14ac:dyDescent="0.25"/>
    <row r="262129" customFormat="1" x14ac:dyDescent="0.25"/>
    <row r="262130" customFormat="1" x14ac:dyDescent="0.25"/>
    <row r="262131" customFormat="1" x14ac:dyDescent="0.25"/>
    <row r="262132" customFormat="1" x14ac:dyDescent="0.25"/>
    <row r="262133" customFormat="1" x14ac:dyDescent="0.25"/>
    <row r="262134" customFormat="1" x14ac:dyDescent="0.25"/>
    <row r="262135" customFormat="1" x14ac:dyDescent="0.25"/>
    <row r="262136" customFormat="1" x14ac:dyDescent="0.25"/>
    <row r="262137" customFormat="1" x14ac:dyDescent="0.25"/>
    <row r="262138" customFormat="1" x14ac:dyDescent="0.25"/>
    <row r="262139" customFormat="1" x14ac:dyDescent="0.25"/>
    <row r="262140" customFormat="1" x14ac:dyDescent="0.25"/>
    <row r="262141" customFormat="1" x14ac:dyDescent="0.25"/>
    <row r="262142" customFormat="1" x14ac:dyDescent="0.25"/>
    <row r="262143" customFormat="1" x14ac:dyDescent="0.25"/>
    <row r="262144" customFormat="1" x14ac:dyDescent="0.25"/>
    <row r="262145" customFormat="1" x14ac:dyDescent="0.25"/>
    <row r="262146" customFormat="1" x14ac:dyDescent="0.25"/>
    <row r="262147" customFormat="1" x14ac:dyDescent="0.25"/>
    <row r="262148" customFormat="1" x14ac:dyDescent="0.25"/>
    <row r="262149" customFormat="1" x14ac:dyDescent="0.25"/>
    <row r="262150" customFormat="1" x14ac:dyDescent="0.25"/>
    <row r="262151" customFormat="1" x14ac:dyDescent="0.25"/>
    <row r="262152" customFormat="1" x14ac:dyDescent="0.25"/>
    <row r="262153" customFormat="1" x14ac:dyDescent="0.25"/>
    <row r="262154" customFormat="1" x14ac:dyDescent="0.25"/>
    <row r="262155" customFormat="1" x14ac:dyDescent="0.25"/>
    <row r="262156" customFormat="1" x14ac:dyDescent="0.25"/>
    <row r="262157" customFormat="1" x14ac:dyDescent="0.25"/>
    <row r="262158" customFormat="1" x14ac:dyDescent="0.25"/>
    <row r="262159" customFormat="1" x14ac:dyDescent="0.25"/>
    <row r="262160" customFormat="1" x14ac:dyDescent="0.25"/>
    <row r="262161" customFormat="1" x14ac:dyDescent="0.25"/>
    <row r="262162" customFormat="1" x14ac:dyDescent="0.25"/>
    <row r="262163" customFormat="1" x14ac:dyDescent="0.25"/>
    <row r="262164" customFormat="1" x14ac:dyDescent="0.25"/>
    <row r="262165" customFormat="1" x14ac:dyDescent="0.25"/>
    <row r="262166" customFormat="1" x14ac:dyDescent="0.25"/>
    <row r="262167" customFormat="1" x14ac:dyDescent="0.25"/>
    <row r="262168" customFormat="1" x14ac:dyDescent="0.25"/>
    <row r="262169" customFormat="1" x14ac:dyDescent="0.25"/>
    <row r="262170" customFormat="1" x14ac:dyDescent="0.25"/>
    <row r="262171" customFormat="1" x14ac:dyDescent="0.25"/>
    <row r="262172" customFormat="1" x14ac:dyDescent="0.25"/>
    <row r="262173" customFormat="1" x14ac:dyDescent="0.25"/>
    <row r="262174" customFormat="1" x14ac:dyDescent="0.25"/>
    <row r="262175" customFormat="1" x14ac:dyDescent="0.25"/>
    <row r="262176" customFormat="1" x14ac:dyDescent="0.25"/>
    <row r="262177" customFormat="1" x14ac:dyDescent="0.25"/>
    <row r="262178" customFormat="1" x14ac:dyDescent="0.25"/>
    <row r="262179" customFormat="1" x14ac:dyDescent="0.25"/>
    <row r="262180" customFormat="1" x14ac:dyDescent="0.25"/>
    <row r="262181" customFormat="1" x14ac:dyDescent="0.25"/>
    <row r="262182" customFormat="1" x14ac:dyDescent="0.25"/>
    <row r="262183" customFormat="1" x14ac:dyDescent="0.25"/>
    <row r="262184" customFormat="1" x14ac:dyDescent="0.25"/>
    <row r="262185" customFormat="1" x14ac:dyDescent="0.25"/>
    <row r="262186" customFormat="1" x14ac:dyDescent="0.25"/>
    <row r="262187" customFormat="1" x14ac:dyDescent="0.25"/>
    <row r="262188" customFormat="1" x14ac:dyDescent="0.25"/>
    <row r="262189" customFormat="1" x14ac:dyDescent="0.25"/>
    <row r="262190" customFormat="1" x14ac:dyDescent="0.25"/>
    <row r="262191" customFormat="1" x14ac:dyDescent="0.25"/>
    <row r="262192" customFormat="1" x14ac:dyDescent="0.25"/>
    <row r="262193" customFormat="1" x14ac:dyDescent="0.25"/>
    <row r="262194" customFormat="1" x14ac:dyDescent="0.25"/>
    <row r="262195" customFormat="1" x14ac:dyDescent="0.25"/>
    <row r="262196" customFormat="1" x14ac:dyDescent="0.25"/>
    <row r="262197" customFormat="1" x14ac:dyDescent="0.25"/>
    <row r="262198" customFormat="1" x14ac:dyDescent="0.25"/>
    <row r="262199" customFormat="1" x14ac:dyDescent="0.25"/>
    <row r="262200" customFormat="1" x14ac:dyDescent="0.25"/>
    <row r="262201" customFormat="1" x14ac:dyDescent="0.25"/>
    <row r="262202" customFormat="1" x14ac:dyDescent="0.25"/>
    <row r="262203" customFormat="1" x14ac:dyDescent="0.25"/>
    <row r="262204" customFormat="1" x14ac:dyDescent="0.25"/>
    <row r="262205" customFormat="1" x14ac:dyDescent="0.25"/>
    <row r="262206" customFormat="1" x14ac:dyDescent="0.25"/>
    <row r="262207" customFormat="1" x14ac:dyDescent="0.25"/>
    <row r="262208" customFormat="1" x14ac:dyDescent="0.25"/>
    <row r="262209" customFormat="1" x14ac:dyDescent="0.25"/>
    <row r="262210" customFormat="1" x14ac:dyDescent="0.25"/>
    <row r="262211" customFormat="1" x14ac:dyDescent="0.25"/>
    <row r="262212" customFormat="1" x14ac:dyDescent="0.25"/>
    <row r="262213" customFormat="1" x14ac:dyDescent="0.25"/>
    <row r="262214" customFormat="1" x14ac:dyDescent="0.25"/>
    <row r="262215" customFormat="1" x14ac:dyDescent="0.25"/>
    <row r="262216" customFormat="1" x14ac:dyDescent="0.25"/>
    <row r="262217" customFormat="1" x14ac:dyDescent="0.25"/>
    <row r="262218" customFormat="1" x14ac:dyDescent="0.25"/>
    <row r="262219" customFormat="1" x14ac:dyDescent="0.25"/>
    <row r="262220" customFormat="1" x14ac:dyDescent="0.25"/>
    <row r="262221" customFormat="1" x14ac:dyDescent="0.25"/>
    <row r="262222" customFormat="1" x14ac:dyDescent="0.25"/>
    <row r="262223" customFormat="1" x14ac:dyDescent="0.25"/>
    <row r="262224" customFormat="1" x14ac:dyDescent="0.25"/>
    <row r="262225" customFormat="1" x14ac:dyDescent="0.25"/>
    <row r="262226" customFormat="1" x14ac:dyDescent="0.25"/>
    <row r="262227" customFormat="1" x14ac:dyDescent="0.25"/>
    <row r="262228" customFormat="1" x14ac:dyDescent="0.25"/>
    <row r="262229" customFormat="1" x14ac:dyDescent="0.25"/>
    <row r="262230" customFormat="1" x14ac:dyDescent="0.25"/>
    <row r="262231" customFormat="1" x14ac:dyDescent="0.25"/>
    <row r="262232" customFormat="1" x14ac:dyDescent="0.25"/>
    <row r="262233" customFormat="1" x14ac:dyDescent="0.25"/>
    <row r="262234" customFormat="1" x14ac:dyDescent="0.25"/>
    <row r="262235" customFormat="1" x14ac:dyDescent="0.25"/>
    <row r="262236" customFormat="1" x14ac:dyDescent="0.25"/>
    <row r="262237" customFormat="1" x14ac:dyDescent="0.25"/>
    <row r="262238" customFormat="1" x14ac:dyDescent="0.25"/>
    <row r="262239" customFormat="1" x14ac:dyDescent="0.25"/>
    <row r="262240" customFormat="1" x14ac:dyDescent="0.25"/>
    <row r="262241" customFormat="1" x14ac:dyDescent="0.25"/>
    <row r="262242" customFormat="1" x14ac:dyDescent="0.25"/>
    <row r="262243" customFormat="1" x14ac:dyDescent="0.25"/>
    <row r="262244" customFormat="1" x14ac:dyDescent="0.25"/>
    <row r="262245" customFormat="1" x14ac:dyDescent="0.25"/>
    <row r="262246" customFormat="1" x14ac:dyDescent="0.25"/>
    <row r="262247" customFormat="1" x14ac:dyDescent="0.25"/>
    <row r="262248" customFormat="1" x14ac:dyDescent="0.25"/>
    <row r="262249" customFormat="1" x14ac:dyDescent="0.25"/>
    <row r="262250" customFormat="1" x14ac:dyDescent="0.25"/>
    <row r="262251" customFormat="1" x14ac:dyDescent="0.25"/>
    <row r="262252" customFormat="1" x14ac:dyDescent="0.25"/>
    <row r="262253" customFormat="1" x14ac:dyDescent="0.25"/>
    <row r="262254" customFormat="1" x14ac:dyDescent="0.25"/>
    <row r="262255" customFormat="1" x14ac:dyDescent="0.25"/>
    <row r="262256" customFormat="1" x14ac:dyDescent="0.25"/>
    <row r="262257" customFormat="1" x14ac:dyDescent="0.25"/>
    <row r="262258" customFormat="1" x14ac:dyDescent="0.25"/>
    <row r="262259" customFormat="1" x14ac:dyDescent="0.25"/>
    <row r="262260" customFormat="1" x14ac:dyDescent="0.25"/>
    <row r="262261" customFormat="1" x14ac:dyDescent="0.25"/>
    <row r="262262" customFormat="1" x14ac:dyDescent="0.25"/>
    <row r="262263" customFormat="1" x14ac:dyDescent="0.25"/>
    <row r="262264" customFormat="1" x14ac:dyDescent="0.25"/>
    <row r="262265" customFormat="1" x14ac:dyDescent="0.25"/>
    <row r="262266" customFormat="1" x14ac:dyDescent="0.25"/>
    <row r="262267" customFormat="1" x14ac:dyDescent="0.25"/>
    <row r="262268" customFormat="1" x14ac:dyDescent="0.25"/>
    <row r="262269" customFormat="1" x14ac:dyDescent="0.25"/>
    <row r="262270" customFormat="1" x14ac:dyDescent="0.25"/>
    <row r="262271" customFormat="1" x14ac:dyDescent="0.25"/>
    <row r="262272" customFormat="1" x14ac:dyDescent="0.25"/>
    <row r="262273" customFormat="1" x14ac:dyDescent="0.25"/>
    <row r="262274" customFormat="1" x14ac:dyDescent="0.25"/>
    <row r="262275" customFormat="1" x14ac:dyDescent="0.25"/>
    <row r="262276" customFormat="1" x14ac:dyDescent="0.25"/>
    <row r="262277" customFormat="1" x14ac:dyDescent="0.25"/>
    <row r="262278" customFormat="1" x14ac:dyDescent="0.25"/>
    <row r="262279" customFormat="1" x14ac:dyDescent="0.25"/>
    <row r="262280" customFormat="1" x14ac:dyDescent="0.25"/>
    <row r="262281" customFormat="1" x14ac:dyDescent="0.25"/>
    <row r="262282" customFormat="1" x14ac:dyDescent="0.25"/>
    <row r="262283" customFormat="1" x14ac:dyDescent="0.25"/>
    <row r="262284" customFormat="1" x14ac:dyDescent="0.25"/>
    <row r="262285" customFormat="1" x14ac:dyDescent="0.25"/>
    <row r="262286" customFormat="1" x14ac:dyDescent="0.25"/>
    <row r="262287" customFormat="1" x14ac:dyDescent="0.25"/>
    <row r="262288" customFormat="1" x14ac:dyDescent="0.25"/>
    <row r="262289" customFormat="1" x14ac:dyDescent="0.25"/>
    <row r="262290" customFormat="1" x14ac:dyDescent="0.25"/>
    <row r="262291" customFormat="1" x14ac:dyDescent="0.25"/>
    <row r="262292" customFormat="1" x14ac:dyDescent="0.25"/>
    <row r="262293" customFormat="1" x14ac:dyDescent="0.25"/>
    <row r="262294" customFormat="1" x14ac:dyDescent="0.25"/>
    <row r="262295" customFormat="1" x14ac:dyDescent="0.25"/>
    <row r="262296" customFormat="1" x14ac:dyDescent="0.25"/>
    <row r="262297" customFormat="1" x14ac:dyDescent="0.25"/>
    <row r="262298" customFormat="1" x14ac:dyDescent="0.25"/>
    <row r="262299" customFormat="1" x14ac:dyDescent="0.25"/>
    <row r="262300" customFormat="1" x14ac:dyDescent="0.25"/>
    <row r="262301" customFormat="1" x14ac:dyDescent="0.25"/>
    <row r="262302" customFormat="1" x14ac:dyDescent="0.25"/>
    <row r="262303" customFormat="1" x14ac:dyDescent="0.25"/>
    <row r="262304" customFormat="1" x14ac:dyDescent="0.25"/>
    <row r="262305" customFormat="1" x14ac:dyDescent="0.25"/>
    <row r="262306" customFormat="1" x14ac:dyDescent="0.25"/>
    <row r="262307" customFormat="1" x14ac:dyDescent="0.25"/>
    <row r="262308" customFormat="1" x14ac:dyDescent="0.25"/>
    <row r="262309" customFormat="1" x14ac:dyDescent="0.25"/>
    <row r="262310" customFormat="1" x14ac:dyDescent="0.25"/>
    <row r="262311" customFormat="1" x14ac:dyDescent="0.25"/>
    <row r="262312" customFormat="1" x14ac:dyDescent="0.25"/>
    <row r="262313" customFormat="1" x14ac:dyDescent="0.25"/>
    <row r="262314" customFormat="1" x14ac:dyDescent="0.25"/>
    <row r="262315" customFormat="1" x14ac:dyDescent="0.25"/>
    <row r="262316" customFormat="1" x14ac:dyDescent="0.25"/>
    <row r="262317" customFormat="1" x14ac:dyDescent="0.25"/>
    <row r="262318" customFormat="1" x14ac:dyDescent="0.25"/>
    <row r="262319" customFormat="1" x14ac:dyDescent="0.25"/>
    <row r="262320" customFormat="1" x14ac:dyDescent="0.25"/>
    <row r="262321" customFormat="1" x14ac:dyDescent="0.25"/>
    <row r="262322" customFormat="1" x14ac:dyDescent="0.25"/>
    <row r="262323" customFormat="1" x14ac:dyDescent="0.25"/>
    <row r="262324" customFormat="1" x14ac:dyDescent="0.25"/>
    <row r="262325" customFormat="1" x14ac:dyDescent="0.25"/>
    <row r="262326" customFormat="1" x14ac:dyDescent="0.25"/>
    <row r="262327" customFormat="1" x14ac:dyDescent="0.25"/>
    <row r="262328" customFormat="1" x14ac:dyDescent="0.25"/>
    <row r="262329" customFormat="1" x14ac:dyDescent="0.25"/>
    <row r="262330" customFormat="1" x14ac:dyDescent="0.25"/>
    <row r="262331" customFormat="1" x14ac:dyDescent="0.25"/>
    <row r="262332" customFormat="1" x14ac:dyDescent="0.25"/>
    <row r="262333" customFormat="1" x14ac:dyDescent="0.25"/>
    <row r="262334" customFormat="1" x14ac:dyDescent="0.25"/>
    <row r="262335" customFormat="1" x14ac:dyDescent="0.25"/>
    <row r="262336" customFormat="1" x14ac:dyDescent="0.25"/>
    <row r="262337" customFormat="1" x14ac:dyDescent="0.25"/>
    <row r="262338" customFormat="1" x14ac:dyDescent="0.25"/>
    <row r="262339" customFormat="1" x14ac:dyDescent="0.25"/>
    <row r="262340" customFormat="1" x14ac:dyDescent="0.25"/>
    <row r="262341" customFormat="1" x14ac:dyDescent="0.25"/>
    <row r="262342" customFormat="1" x14ac:dyDescent="0.25"/>
    <row r="262343" customFormat="1" x14ac:dyDescent="0.25"/>
    <row r="262344" customFormat="1" x14ac:dyDescent="0.25"/>
    <row r="262345" customFormat="1" x14ac:dyDescent="0.25"/>
    <row r="262346" customFormat="1" x14ac:dyDescent="0.25"/>
    <row r="262347" customFormat="1" x14ac:dyDescent="0.25"/>
    <row r="262348" customFormat="1" x14ac:dyDescent="0.25"/>
    <row r="262349" customFormat="1" x14ac:dyDescent="0.25"/>
    <row r="262350" customFormat="1" x14ac:dyDescent="0.25"/>
    <row r="262351" customFormat="1" x14ac:dyDescent="0.25"/>
    <row r="262352" customFormat="1" x14ac:dyDescent="0.25"/>
    <row r="262353" customFormat="1" x14ac:dyDescent="0.25"/>
    <row r="262354" customFormat="1" x14ac:dyDescent="0.25"/>
    <row r="262355" customFormat="1" x14ac:dyDescent="0.25"/>
    <row r="262356" customFormat="1" x14ac:dyDescent="0.25"/>
    <row r="262357" customFormat="1" x14ac:dyDescent="0.25"/>
    <row r="262358" customFormat="1" x14ac:dyDescent="0.25"/>
    <row r="262359" customFormat="1" x14ac:dyDescent="0.25"/>
    <row r="262360" customFormat="1" x14ac:dyDescent="0.25"/>
    <row r="262361" customFormat="1" x14ac:dyDescent="0.25"/>
    <row r="262362" customFormat="1" x14ac:dyDescent="0.25"/>
    <row r="262363" customFormat="1" x14ac:dyDescent="0.25"/>
    <row r="262364" customFormat="1" x14ac:dyDescent="0.25"/>
    <row r="262365" customFormat="1" x14ac:dyDescent="0.25"/>
    <row r="262366" customFormat="1" x14ac:dyDescent="0.25"/>
    <row r="262367" customFormat="1" x14ac:dyDescent="0.25"/>
    <row r="262368" customFormat="1" x14ac:dyDescent="0.25"/>
    <row r="262369" customFormat="1" x14ac:dyDescent="0.25"/>
    <row r="262370" customFormat="1" x14ac:dyDescent="0.25"/>
    <row r="262371" customFormat="1" x14ac:dyDescent="0.25"/>
    <row r="262372" customFormat="1" x14ac:dyDescent="0.25"/>
    <row r="262373" customFormat="1" x14ac:dyDescent="0.25"/>
    <row r="262374" customFormat="1" x14ac:dyDescent="0.25"/>
    <row r="262375" customFormat="1" x14ac:dyDescent="0.25"/>
    <row r="262376" customFormat="1" x14ac:dyDescent="0.25"/>
    <row r="262377" customFormat="1" x14ac:dyDescent="0.25"/>
    <row r="262378" customFormat="1" x14ac:dyDescent="0.25"/>
    <row r="262379" customFormat="1" x14ac:dyDescent="0.25"/>
    <row r="262380" customFormat="1" x14ac:dyDescent="0.25"/>
    <row r="262381" customFormat="1" x14ac:dyDescent="0.25"/>
    <row r="262382" customFormat="1" x14ac:dyDescent="0.25"/>
    <row r="262383" customFormat="1" x14ac:dyDescent="0.25"/>
    <row r="262384" customFormat="1" x14ac:dyDescent="0.25"/>
    <row r="262385" customFormat="1" x14ac:dyDescent="0.25"/>
    <row r="262386" customFormat="1" x14ac:dyDescent="0.25"/>
    <row r="262387" customFormat="1" x14ac:dyDescent="0.25"/>
    <row r="262388" customFormat="1" x14ac:dyDescent="0.25"/>
    <row r="262389" customFormat="1" x14ac:dyDescent="0.25"/>
    <row r="262390" customFormat="1" x14ac:dyDescent="0.25"/>
    <row r="262391" customFormat="1" x14ac:dyDescent="0.25"/>
    <row r="262392" customFormat="1" x14ac:dyDescent="0.25"/>
    <row r="262393" customFormat="1" x14ac:dyDescent="0.25"/>
    <row r="262394" customFormat="1" x14ac:dyDescent="0.25"/>
    <row r="262395" customFormat="1" x14ac:dyDescent="0.25"/>
    <row r="262396" customFormat="1" x14ac:dyDescent="0.25"/>
    <row r="262397" customFormat="1" x14ac:dyDescent="0.25"/>
    <row r="262398" customFormat="1" x14ac:dyDescent="0.25"/>
    <row r="262399" customFormat="1" x14ac:dyDescent="0.25"/>
    <row r="262400" customFormat="1" x14ac:dyDescent="0.25"/>
    <row r="262401" customFormat="1" x14ac:dyDescent="0.25"/>
    <row r="262402" customFormat="1" x14ac:dyDescent="0.25"/>
    <row r="262403" customFormat="1" x14ac:dyDescent="0.25"/>
    <row r="262404" customFormat="1" x14ac:dyDescent="0.25"/>
    <row r="262405" customFormat="1" x14ac:dyDescent="0.25"/>
    <row r="262406" customFormat="1" x14ac:dyDescent="0.25"/>
    <row r="262407" customFormat="1" x14ac:dyDescent="0.25"/>
    <row r="262408" customFormat="1" x14ac:dyDescent="0.25"/>
    <row r="262409" customFormat="1" x14ac:dyDescent="0.25"/>
    <row r="262410" customFormat="1" x14ac:dyDescent="0.25"/>
    <row r="262411" customFormat="1" x14ac:dyDescent="0.25"/>
    <row r="262412" customFormat="1" x14ac:dyDescent="0.25"/>
    <row r="262413" customFormat="1" x14ac:dyDescent="0.25"/>
    <row r="262414" customFormat="1" x14ac:dyDescent="0.25"/>
    <row r="262415" customFormat="1" x14ac:dyDescent="0.25"/>
    <row r="262416" customFormat="1" x14ac:dyDescent="0.25"/>
    <row r="262417" customFormat="1" x14ac:dyDescent="0.25"/>
    <row r="262418" customFormat="1" x14ac:dyDescent="0.25"/>
    <row r="262419" customFormat="1" x14ac:dyDescent="0.25"/>
    <row r="262420" customFormat="1" x14ac:dyDescent="0.25"/>
    <row r="262421" customFormat="1" x14ac:dyDescent="0.25"/>
    <row r="262422" customFormat="1" x14ac:dyDescent="0.25"/>
    <row r="262423" customFormat="1" x14ac:dyDescent="0.25"/>
    <row r="262424" customFormat="1" x14ac:dyDescent="0.25"/>
    <row r="262425" customFormat="1" x14ac:dyDescent="0.25"/>
    <row r="262426" customFormat="1" x14ac:dyDescent="0.25"/>
    <row r="262427" customFormat="1" x14ac:dyDescent="0.25"/>
    <row r="262428" customFormat="1" x14ac:dyDescent="0.25"/>
    <row r="262429" customFormat="1" x14ac:dyDescent="0.25"/>
    <row r="262430" customFormat="1" x14ac:dyDescent="0.25"/>
    <row r="262431" customFormat="1" x14ac:dyDescent="0.25"/>
    <row r="262432" customFormat="1" x14ac:dyDescent="0.25"/>
    <row r="262433" customFormat="1" x14ac:dyDescent="0.25"/>
    <row r="262434" customFormat="1" x14ac:dyDescent="0.25"/>
    <row r="262435" customFormat="1" x14ac:dyDescent="0.25"/>
    <row r="262436" customFormat="1" x14ac:dyDescent="0.25"/>
    <row r="262437" customFormat="1" x14ac:dyDescent="0.25"/>
    <row r="262438" customFormat="1" x14ac:dyDescent="0.25"/>
    <row r="262439" customFormat="1" x14ac:dyDescent="0.25"/>
    <row r="262440" customFormat="1" x14ac:dyDescent="0.25"/>
    <row r="262441" customFormat="1" x14ac:dyDescent="0.25"/>
    <row r="262442" customFormat="1" x14ac:dyDescent="0.25"/>
    <row r="262443" customFormat="1" x14ac:dyDescent="0.25"/>
    <row r="262444" customFormat="1" x14ac:dyDescent="0.25"/>
    <row r="262445" customFormat="1" x14ac:dyDescent="0.25"/>
    <row r="262446" customFormat="1" x14ac:dyDescent="0.25"/>
    <row r="262447" customFormat="1" x14ac:dyDescent="0.25"/>
    <row r="262448" customFormat="1" x14ac:dyDescent="0.25"/>
    <row r="262449" customFormat="1" x14ac:dyDescent="0.25"/>
    <row r="262450" customFormat="1" x14ac:dyDescent="0.25"/>
    <row r="262451" customFormat="1" x14ac:dyDescent="0.25"/>
    <row r="262452" customFormat="1" x14ac:dyDescent="0.25"/>
    <row r="262453" customFormat="1" x14ac:dyDescent="0.25"/>
    <row r="262454" customFormat="1" x14ac:dyDescent="0.25"/>
    <row r="262455" customFormat="1" x14ac:dyDescent="0.25"/>
    <row r="262456" customFormat="1" x14ac:dyDescent="0.25"/>
    <row r="262457" customFormat="1" x14ac:dyDescent="0.25"/>
    <row r="262458" customFormat="1" x14ac:dyDescent="0.25"/>
    <row r="262459" customFormat="1" x14ac:dyDescent="0.25"/>
    <row r="262460" customFormat="1" x14ac:dyDescent="0.25"/>
    <row r="262461" customFormat="1" x14ac:dyDescent="0.25"/>
    <row r="262462" customFormat="1" x14ac:dyDescent="0.25"/>
    <row r="262463" customFormat="1" x14ac:dyDescent="0.25"/>
    <row r="262464" customFormat="1" x14ac:dyDescent="0.25"/>
    <row r="262465" customFormat="1" x14ac:dyDescent="0.25"/>
    <row r="262466" customFormat="1" x14ac:dyDescent="0.25"/>
    <row r="262467" customFormat="1" x14ac:dyDescent="0.25"/>
    <row r="262468" customFormat="1" x14ac:dyDescent="0.25"/>
    <row r="262469" customFormat="1" x14ac:dyDescent="0.25"/>
    <row r="262470" customFormat="1" x14ac:dyDescent="0.25"/>
    <row r="262471" customFormat="1" x14ac:dyDescent="0.25"/>
    <row r="262472" customFormat="1" x14ac:dyDescent="0.25"/>
    <row r="262473" customFormat="1" x14ac:dyDescent="0.25"/>
    <row r="262474" customFormat="1" x14ac:dyDescent="0.25"/>
    <row r="262475" customFormat="1" x14ac:dyDescent="0.25"/>
    <row r="262476" customFormat="1" x14ac:dyDescent="0.25"/>
    <row r="262477" customFormat="1" x14ac:dyDescent="0.25"/>
    <row r="262478" customFormat="1" x14ac:dyDescent="0.25"/>
    <row r="262479" customFormat="1" x14ac:dyDescent="0.25"/>
    <row r="262480" customFormat="1" x14ac:dyDescent="0.25"/>
    <row r="262481" customFormat="1" x14ac:dyDescent="0.25"/>
    <row r="262482" customFormat="1" x14ac:dyDescent="0.25"/>
    <row r="262483" customFormat="1" x14ac:dyDescent="0.25"/>
    <row r="262484" customFormat="1" x14ac:dyDescent="0.25"/>
    <row r="262485" customFormat="1" x14ac:dyDescent="0.25"/>
    <row r="262486" customFormat="1" x14ac:dyDescent="0.25"/>
    <row r="262487" customFormat="1" x14ac:dyDescent="0.25"/>
    <row r="262488" customFormat="1" x14ac:dyDescent="0.25"/>
    <row r="262489" customFormat="1" x14ac:dyDescent="0.25"/>
    <row r="262490" customFormat="1" x14ac:dyDescent="0.25"/>
    <row r="262491" customFormat="1" x14ac:dyDescent="0.25"/>
    <row r="262492" customFormat="1" x14ac:dyDescent="0.25"/>
    <row r="262493" customFormat="1" x14ac:dyDescent="0.25"/>
    <row r="262494" customFormat="1" x14ac:dyDescent="0.25"/>
    <row r="262495" customFormat="1" x14ac:dyDescent="0.25"/>
    <row r="262496" customFormat="1" x14ac:dyDescent="0.25"/>
    <row r="262497" customFormat="1" x14ac:dyDescent="0.25"/>
    <row r="262498" customFormat="1" x14ac:dyDescent="0.25"/>
    <row r="262499" customFormat="1" x14ac:dyDescent="0.25"/>
    <row r="262500" customFormat="1" x14ac:dyDescent="0.25"/>
    <row r="262501" customFormat="1" x14ac:dyDescent="0.25"/>
    <row r="262502" customFormat="1" x14ac:dyDescent="0.25"/>
    <row r="262503" customFormat="1" x14ac:dyDescent="0.25"/>
    <row r="262504" customFormat="1" x14ac:dyDescent="0.25"/>
    <row r="262505" customFormat="1" x14ac:dyDescent="0.25"/>
    <row r="262506" customFormat="1" x14ac:dyDescent="0.25"/>
    <row r="262507" customFormat="1" x14ac:dyDescent="0.25"/>
    <row r="262508" customFormat="1" x14ac:dyDescent="0.25"/>
    <row r="262509" customFormat="1" x14ac:dyDescent="0.25"/>
    <row r="262510" customFormat="1" x14ac:dyDescent="0.25"/>
    <row r="262511" customFormat="1" x14ac:dyDescent="0.25"/>
    <row r="262512" customFormat="1" x14ac:dyDescent="0.25"/>
    <row r="262513" customFormat="1" x14ac:dyDescent="0.25"/>
    <row r="262514" customFormat="1" x14ac:dyDescent="0.25"/>
    <row r="262515" customFormat="1" x14ac:dyDescent="0.25"/>
    <row r="262516" customFormat="1" x14ac:dyDescent="0.25"/>
    <row r="262517" customFormat="1" x14ac:dyDescent="0.25"/>
    <row r="262518" customFormat="1" x14ac:dyDescent="0.25"/>
    <row r="262519" customFormat="1" x14ac:dyDescent="0.25"/>
    <row r="262520" customFormat="1" x14ac:dyDescent="0.25"/>
    <row r="262521" customFormat="1" x14ac:dyDescent="0.25"/>
    <row r="262522" customFormat="1" x14ac:dyDescent="0.25"/>
    <row r="262523" customFormat="1" x14ac:dyDescent="0.25"/>
    <row r="262524" customFormat="1" x14ac:dyDescent="0.25"/>
    <row r="262525" customFormat="1" x14ac:dyDescent="0.25"/>
    <row r="262526" customFormat="1" x14ac:dyDescent="0.25"/>
    <row r="262527" customFormat="1" x14ac:dyDescent="0.25"/>
    <row r="262528" customFormat="1" x14ac:dyDescent="0.25"/>
    <row r="262529" customFormat="1" x14ac:dyDescent="0.25"/>
    <row r="262530" customFormat="1" x14ac:dyDescent="0.25"/>
    <row r="262531" customFormat="1" x14ac:dyDescent="0.25"/>
    <row r="262532" customFormat="1" x14ac:dyDescent="0.25"/>
    <row r="262533" customFormat="1" x14ac:dyDescent="0.25"/>
    <row r="262534" customFormat="1" x14ac:dyDescent="0.25"/>
    <row r="262535" customFormat="1" x14ac:dyDescent="0.25"/>
    <row r="262536" customFormat="1" x14ac:dyDescent="0.25"/>
    <row r="262537" customFormat="1" x14ac:dyDescent="0.25"/>
    <row r="262538" customFormat="1" x14ac:dyDescent="0.25"/>
    <row r="262539" customFormat="1" x14ac:dyDescent="0.25"/>
    <row r="262540" customFormat="1" x14ac:dyDescent="0.25"/>
    <row r="262541" customFormat="1" x14ac:dyDescent="0.25"/>
    <row r="262542" customFormat="1" x14ac:dyDescent="0.25"/>
    <row r="262543" customFormat="1" x14ac:dyDescent="0.25"/>
    <row r="262544" customFormat="1" x14ac:dyDescent="0.25"/>
    <row r="262545" customFormat="1" x14ac:dyDescent="0.25"/>
    <row r="262546" customFormat="1" x14ac:dyDescent="0.25"/>
    <row r="262547" customFormat="1" x14ac:dyDescent="0.25"/>
    <row r="262548" customFormat="1" x14ac:dyDescent="0.25"/>
    <row r="262549" customFormat="1" x14ac:dyDescent="0.25"/>
    <row r="262550" customFormat="1" x14ac:dyDescent="0.25"/>
    <row r="262551" customFormat="1" x14ac:dyDescent="0.25"/>
    <row r="262552" customFormat="1" x14ac:dyDescent="0.25"/>
    <row r="262553" customFormat="1" x14ac:dyDescent="0.25"/>
    <row r="262554" customFormat="1" x14ac:dyDescent="0.25"/>
    <row r="262555" customFormat="1" x14ac:dyDescent="0.25"/>
    <row r="262556" customFormat="1" x14ac:dyDescent="0.25"/>
    <row r="262557" customFormat="1" x14ac:dyDescent="0.25"/>
    <row r="262558" customFormat="1" x14ac:dyDescent="0.25"/>
    <row r="262559" customFormat="1" x14ac:dyDescent="0.25"/>
    <row r="262560" customFormat="1" x14ac:dyDescent="0.25"/>
    <row r="262561" customFormat="1" x14ac:dyDescent="0.25"/>
    <row r="262562" customFormat="1" x14ac:dyDescent="0.25"/>
    <row r="262563" customFormat="1" x14ac:dyDescent="0.25"/>
    <row r="262564" customFormat="1" x14ac:dyDescent="0.25"/>
    <row r="262565" customFormat="1" x14ac:dyDescent="0.25"/>
    <row r="262566" customFormat="1" x14ac:dyDescent="0.25"/>
    <row r="262567" customFormat="1" x14ac:dyDescent="0.25"/>
    <row r="262568" customFormat="1" x14ac:dyDescent="0.25"/>
    <row r="262569" customFormat="1" x14ac:dyDescent="0.25"/>
    <row r="262570" customFormat="1" x14ac:dyDescent="0.25"/>
    <row r="262571" customFormat="1" x14ac:dyDescent="0.25"/>
    <row r="262572" customFormat="1" x14ac:dyDescent="0.25"/>
    <row r="262573" customFormat="1" x14ac:dyDescent="0.25"/>
    <row r="262574" customFormat="1" x14ac:dyDescent="0.25"/>
    <row r="262575" customFormat="1" x14ac:dyDescent="0.25"/>
    <row r="262576" customFormat="1" x14ac:dyDescent="0.25"/>
    <row r="262577" customFormat="1" x14ac:dyDescent="0.25"/>
    <row r="262578" customFormat="1" x14ac:dyDescent="0.25"/>
    <row r="262579" customFormat="1" x14ac:dyDescent="0.25"/>
    <row r="262580" customFormat="1" x14ac:dyDescent="0.25"/>
    <row r="262581" customFormat="1" x14ac:dyDescent="0.25"/>
    <row r="262582" customFormat="1" x14ac:dyDescent="0.25"/>
    <row r="262583" customFormat="1" x14ac:dyDescent="0.25"/>
    <row r="262584" customFormat="1" x14ac:dyDescent="0.25"/>
    <row r="262585" customFormat="1" x14ac:dyDescent="0.25"/>
    <row r="262586" customFormat="1" x14ac:dyDescent="0.25"/>
    <row r="262587" customFormat="1" x14ac:dyDescent="0.25"/>
    <row r="262588" customFormat="1" x14ac:dyDescent="0.25"/>
    <row r="262589" customFormat="1" x14ac:dyDescent="0.25"/>
    <row r="262590" customFormat="1" x14ac:dyDescent="0.25"/>
    <row r="262591" customFormat="1" x14ac:dyDescent="0.25"/>
    <row r="262592" customFormat="1" x14ac:dyDescent="0.25"/>
    <row r="262593" customFormat="1" x14ac:dyDescent="0.25"/>
    <row r="262594" customFormat="1" x14ac:dyDescent="0.25"/>
    <row r="262595" customFormat="1" x14ac:dyDescent="0.25"/>
    <row r="262596" customFormat="1" x14ac:dyDescent="0.25"/>
    <row r="262597" customFormat="1" x14ac:dyDescent="0.25"/>
    <row r="262598" customFormat="1" x14ac:dyDescent="0.25"/>
    <row r="262599" customFormat="1" x14ac:dyDescent="0.25"/>
    <row r="262600" customFormat="1" x14ac:dyDescent="0.25"/>
    <row r="262601" customFormat="1" x14ac:dyDescent="0.25"/>
    <row r="262602" customFormat="1" x14ac:dyDescent="0.25"/>
    <row r="262603" customFormat="1" x14ac:dyDescent="0.25"/>
    <row r="262604" customFormat="1" x14ac:dyDescent="0.25"/>
    <row r="262605" customFormat="1" x14ac:dyDescent="0.25"/>
    <row r="262606" customFormat="1" x14ac:dyDescent="0.25"/>
    <row r="262607" customFormat="1" x14ac:dyDescent="0.25"/>
    <row r="262608" customFormat="1" x14ac:dyDescent="0.25"/>
    <row r="262609" customFormat="1" x14ac:dyDescent="0.25"/>
    <row r="262610" customFormat="1" x14ac:dyDescent="0.25"/>
    <row r="262611" customFormat="1" x14ac:dyDescent="0.25"/>
    <row r="262612" customFormat="1" x14ac:dyDescent="0.25"/>
    <row r="262613" customFormat="1" x14ac:dyDescent="0.25"/>
    <row r="262614" customFormat="1" x14ac:dyDescent="0.25"/>
    <row r="262615" customFormat="1" x14ac:dyDescent="0.25"/>
    <row r="262616" customFormat="1" x14ac:dyDescent="0.25"/>
    <row r="262617" customFormat="1" x14ac:dyDescent="0.25"/>
    <row r="262618" customFormat="1" x14ac:dyDescent="0.25"/>
    <row r="262619" customFormat="1" x14ac:dyDescent="0.25"/>
    <row r="262620" customFormat="1" x14ac:dyDescent="0.25"/>
    <row r="262621" customFormat="1" x14ac:dyDescent="0.25"/>
    <row r="262622" customFormat="1" x14ac:dyDescent="0.25"/>
    <row r="262623" customFormat="1" x14ac:dyDescent="0.25"/>
    <row r="262624" customFormat="1" x14ac:dyDescent="0.25"/>
    <row r="262625" customFormat="1" x14ac:dyDescent="0.25"/>
    <row r="262626" customFormat="1" x14ac:dyDescent="0.25"/>
    <row r="262627" customFormat="1" x14ac:dyDescent="0.25"/>
    <row r="262628" customFormat="1" x14ac:dyDescent="0.25"/>
    <row r="262629" customFormat="1" x14ac:dyDescent="0.25"/>
    <row r="262630" customFormat="1" x14ac:dyDescent="0.25"/>
    <row r="262631" customFormat="1" x14ac:dyDescent="0.25"/>
    <row r="262632" customFormat="1" x14ac:dyDescent="0.25"/>
    <row r="262633" customFormat="1" x14ac:dyDescent="0.25"/>
    <row r="262634" customFormat="1" x14ac:dyDescent="0.25"/>
    <row r="262635" customFormat="1" x14ac:dyDescent="0.25"/>
    <row r="262636" customFormat="1" x14ac:dyDescent="0.25"/>
    <row r="262637" customFormat="1" x14ac:dyDescent="0.25"/>
    <row r="262638" customFormat="1" x14ac:dyDescent="0.25"/>
    <row r="262639" customFormat="1" x14ac:dyDescent="0.25"/>
    <row r="262640" customFormat="1" x14ac:dyDescent="0.25"/>
    <row r="262641" customFormat="1" x14ac:dyDescent="0.25"/>
    <row r="262642" customFormat="1" x14ac:dyDescent="0.25"/>
    <row r="262643" customFormat="1" x14ac:dyDescent="0.25"/>
    <row r="262644" customFormat="1" x14ac:dyDescent="0.25"/>
    <row r="262645" customFormat="1" x14ac:dyDescent="0.25"/>
    <row r="262646" customFormat="1" x14ac:dyDescent="0.25"/>
    <row r="262647" customFormat="1" x14ac:dyDescent="0.25"/>
    <row r="262648" customFormat="1" x14ac:dyDescent="0.25"/>
    <row r="262649" customFormat="1" x14ac:dyDescent="0.25"/>
    <row r="262650" customFormat="1" x14ac:dyDescent="0.25"/>
    <row r="262651" customFormat="1" x14ac:dyDescent="0.25"/>
    <row r="262652" customFormat="1" x14ac:dyDescent="0.25"/>
    <row r="262653" customFormat="1" x14ac:dyDescent="0.25"/>
    <row r="262654" customFormat="1" x14ac:dyDescent="0.25"/>
    <row r="262655" customFormat="1" x14ac:dyDescent="0.25"/>
    <row r="262656" customFormat="1" x14ac:dyDescent="0.25"/>
    <row r="262657" customFormat="1" x14ac:dyDescent="0.25"/>
    <row r="262658" customFormat="1" x14ac:dyDescent="0.25"/>
    <row r="262659" customFormat="1" x14ac:dyDescent="0.25"/>
    <row r="262660" customFormat="1" x14ac:dyDescent="0.25"/>
    <row r="262661" customFormat="1" x14ac:dyDescent="0.25"/>
    <row r="262662" customFormat="1" x14ac:dyDescent="0.25"/>
    <row r="262663" customFormat="1" x14ac:dyDescent="0.25"/>
    <row r="262664" customFormat="1" x14ac:dyDescent="0.25"/>
    <row r="262665" customFormat="1" x14ac:dyDescent="0.25"/>
    <row r="262666" customFormat="1" x14ac:dyDescent="0.25"/>
    <row r="262667" customFormat="1" x14ac:dyDescent="0.25"/>
    <row r="262668" customFormat="1" x14ac:dyDescent="0.25"/>
    <row r="262669" customFormat="1" x14ac:dyDescent="0.25"/>
    <row r="262670" customFormat="1" x14ac:dyDescent="0.25"/>
    <row r="262671" customFormat="1" x14ac:dyDescent="0.25"/>
    <row r="262672" customFormat="1" x14ac:dyDescent="0.25"/>
    <row r="262673" customFormat="1" x14ac:dyDescent="0.25"/>
    <row r="262674" customFormat="1" x14ac:dyDescent="0.25"/>
    <row r="262675" customFormat="1" x14ac:dyDescent="0.25"/>
    <row r="262676" customFormat="1" x14ac:dyDescent="0.25"/>
    <row r="262677" customFormat="1" x14ac:dyDescent="0.25"/>
    <row r="262678" customFormat="1" x14ac:dyDescent="0.25"/>
    <row r="262679" customFormat="1" x14ac:dyDescent="0.25"/>
    <row r="262680" customFormat="1" x14ac:dyDescent="0.25"/>
    <row r="262681" customFormat="1" x14ac:dyDescent="0.25"/>
    <row r="262682" customFormat="1" x14ac:dyDescent="0.25"/>
    <row r="262683" customFormat="1" x14ac:dyDescent="0.25"/>
    <row r="262684" customFormat="1" x14ac:dyDescent="0.25"/>
    <row r="262685" customFormat="1" x14ac:dyDescent="0.25"/>
    <row r="262686" customFormat="1" x14ac:dyDescent="0.25"/>
    <row r="262687" customFormat="1" x14ac:dyDescent="0.25"/>
    <row r="262688" customFormat="1" x14ac:dyDescent="0.25"/>
    <row r="262689" customFormat="1" x14ac:dyDescent="0.25"/>
    <row r="262690" customFormat="1" x14ac:dyDescent="0.25"/>
    <row r="262691" customFormat="1" x14ac:dyDescent="0.25"/>
    <row r="262692" customFormat="1" x14ac:dyDescent="0.25"/>
    <row r="262693" customFormat="1" x14ac:dyDescent="0.25"/>
    <row r="262694" customFormat="1" x14ac:dyDescent="0.25"/>
    <row r="262695" customFormat="1" x14ac:dyDescent="0.25"/>
    <row r="262696" customFormat="1" x14ac:dyDescent="0.25"/>
    <row r="262697" customFormat="1" x14ac:dyDescent="0.25"/>
    <row r="262698" customFormat="1" x14ac:dyDescent="0.25"/>
    <row r="262699" customFormat="1" x14ac:dyDescent="0.25"/>
    <row r="262700" customFormat="1" x14ac:dyDescent="0.25"/>
    <row r="262701" customFormat="1" x14ac:dyDescent="0.25"/>
    <row r="262702" customFormat="1" x14ac:dyDescent="0.25"/>
    <row r="262703" customFormat="1" x14ac:dyDescent="0.25"/>
    <row r="262704" customFormat="1" x14ac:dyDescent="0.25"/>
    <row r="262705" customFormat="1" x14ac:dyDescent="0.25"/>
    <row r="262706" customFormat="1" x14ac:dyDescent="0.25"/>
    <row r="262707" customFormat="1" x14ac:dyDescent="0.25"/>
    <row r="262708" customFormat="1" x14ac:dyDescent="0.25"/>
    <row r="262709" customFormat="1" x14ac:dyDescent="0.25"/>
    <row r="262710" customFormat="1" x14ac:dyDescent="0.25"/>
    <row r="262711" customFormat="1" x14ac:dyDescent="0.25"/>
    <row r="262712" customFormat="1" x14ac:dyDescent="0.25"/>
    <row r="262713" customFormat="1" x14ac:dyDescent="0.25"/>
    <row r="262714" customFormat="1" x14ac:dyDescent="0.25"/>
    <row r="262715" customFormat="1" x14ac:dyDescent="0.25"/>
    <row r="262716" customFormat="1" x14ac:dyDescent="0.25"/>
    <row r="262717" customFormat="1" x14ac:dyDescent="0.25"/>
    <row r="262718" customFormat="1" x14ac:dyDescent="0.25"/>
    <row r="262719" customFormat="1" x14ac:dyDescent="0.25"/>
    <row r="262720" customFormat="1" x14ac:dyDescent="0.25"/>
    <row r="262721" customFormat="1" x14ac:dyDescent="0.25"/>
    <row r="262722" customFormat="1" x14ac:dyDescent="0.25"/>
    <row r="262723" customFormat="1" x14ac:dyDescent="0.25"/>
    <row r="262724" customFormat="1" x14ac:dyDescent="0.25"/>
    <row r="262725" customFormat="1" x14ac:dyDescent="0.25"/>
    <row r="262726" customFormat="1" x14ac:dyDescent="0.25"/>
    <row r="262727" customFormat="1" x14ac:dyDescent="0.25"/>
    <row r="262728" customFormat="1" x14ac:dyDescent="0.25"/>
    <row r="262729" customFormat="1" x14ac:dyDescent="0.25"/>
    <row r="262730" customFormat="1" x14ac:dyDescent="0.25"/>
    <row r="262731" customFormat="1" x14ac:dyDescent="0.25"/>
    <row r="262732" customFormat="1" x14ac:dyDescent="0.25"/>
    <row r="262733" customFormat="1" x14ac:dyDescent="0.25"/>
    <row r="262734" customFormat="1" x14ac:dyDescent="0.25"/>
    <row r="262735" customFormat="1" x14ac:dyDescent="0.25"/>
    <row r="262736" customFormat="1" x14ac:dyDescent="0.25"/>
    <row r="262737" customFormat="1" x14ac:dyDescent="0.25"/>
    <row r="262738" customFormat="1" x14ac:dyDescent="0.25"/>
    <row r="262739" customFormat="1" x14ac:dyDescent="0.25"/>
    <row r="262740" customFormat="1" x14ac:dyDescent="0.25"/>
    <row r="262741" customFormat="1" x14ac:dyDescent="0.25"/>
    <row r="262742" customFormat="1" x14ac:dyDescent="0.25"/>
    <row r="262743" customFormat="1" x14ac:dyDescent="0.25"/>
    <row r="262744" customFormat="1" x14ac:dyDescent="0.25"/>
    <row r="262745" customFormat="1" x14ac:dyDescent="0.25"/>
    <row r="262746" customFormat="1" x14ac:dyDescent="0.25"/>
    <row r="262747" customFormat="1" x14ac:dyDescent="0.25"/>
    <row r="262748" customFormat="1" x14ac:dyDescent="0.25"/>
    <row r="262749" customFormat="1" x14ac:dyDescent="0.25"/>
    <row r="262750" customFormat="1" x14ac:dyDescent="0.25"/>
    <row r="262751" customFormat="1" x14ac:dyDescent="0.25"/>
    <row r="262752" customFormat="1" x14ac:dyDescent="0.25"/>
    <row r="262753" customFormat="1" x14ac:dyDescent="0.25"/>
    <row r="262754" customFormat="1" x14ac:dyDescent="0.25"/>
    <row r="262755" customFormat="1" x14ac:dyDescent="0.25"/>
    <row r="262756" customFormat="1" x14ac:dyDescent="0.25"/>
    <row r="262757" customFormat="1" x14ac:dyDescent="0.25"/>
    <row r="262758" customFormat="1" x14ac:dyDescent="0.25"/>
    <row r="262759" customFormat="1" x14ac:dyDescent="0.25"/>
    <row r="262760" customFormat="1" x14ac:dyDescent="0.25"/>
    <row r="262761" customFormat="1" x14ac:dyDescent="0.25"/>
    <row r="262762" customFormat="1" x14ac:dyDescent="0.25"/>
    <row r="262763" customFormat="1" x14ac:dyDescent="0.25"/>
    <row r="262764" customFormat="1" x14ac:dyDescent="0.25"/>
    <row r="262765" customFormat="1" x14ac:dyDescent="0.25"/>
    <row r="262766" customFormat="1" x14ac:dyDescent="0.25"/>
    <row r="262767" customFormat="1" x14ac:dyDescent="0.25"/>
    <row r="262768" customFormat="1" x14ac:dyDescent="0.25"/>
    <row r="262769" customFormat="1" x14ac:dyDescent="0.25"/>
    <row r="262770" customFormat="1" x14ac:dyDescent="0.25"/>
    <row r="262771" customFormat="1" x14ac:dyDescent="0.25"/>
    <row r="262772" customFormat="1" x14ac:dyDescent="0.25"/>
    <row r="262773" customFormat="1" x14ac:dyDescent="0.25"/>
    <row r="262774" customFormat="1" x14ac:dyDescent="0.25"/>
    <row r="262775" customFormat="1" x14ac:dyDescent="0.25"/>
    <row r="262776" customFormat="1" x14ac:dyDescent="0.25"/>
    <row r="262777" customFormat="1" x14ac:dyDescent="0.25"/>
    <row r="262778" customFormat="1" x14ac:dyDescent="0.25"/>
    <row r="262779" customFormat="1" x14ac:dyDescent="0.25"/>
    <row r="262780" customFormat="1" x14ac:dyDescent="0.25"/>
    <row r="262781" customFormat="1" x14ac:dyDescent="0.25"/>
    <row r="262782" customFormat="1" x14ac:dyDescent="0.25"/>
    <row r="262783" customFormat="1" x14ac:dyDescent="0.25"/>
    <row r="262784" customFormat="1" x14ac:dyDescent="0.25"/>
    <row r="262785" customFormat="1" x14ac:dyDescent="0.25"/>
    <row r="262786" customFormat="1" x14ac:dyDescent="0.25"/>
    <row r="262787" customFormat="1" x14ac:dyDescent="0.25"/>
    <row r="262788" customFormat="1" x14ac:dyDescent="0.25"/>
    <row r="262789" customFormat="1" x14ac:dyDescent="0.25"/>
    <row r="262790" customFormat="1" x14ac:dyDescent="0.25"/>
    <row r="262791" customFormat="1" x14ac:dyDescent="0.25"/>
    <row r="262792" customFormat="1" x14ac:dyDescent="0.25"/>
    <row r="262793" customFormat="1" x14ac:dyDescent="0.25"/>
    <row r="262794" customFormat="1" x14ac:dyDescent="0.25"/>
    <row r="262795" customFormat="1" x14ac:dyDescent="0.25"/>
    <row r="262796" customFormat="1" x14ac:dyDescent="0.25"/>
    <row r="262797" customFormat="1" x14ac:dyDescent="0.25"/>
    <row r="262798" customFormat="1" x14ac:dyDescent="0.25"/>
    <row r="262799" customFormat="1" x14ac:dyDescent="0.25"/>
    <row r="262800" customFormat="1" x14ac:dyDescent="0.25"/>
    <row r="262801" customFormat="1" x14ac:dyDescent="0.25"/>
    <row r="262802" customFormat="1" x14ac:dyDescent="0.25"/>
    <row r="262803" customFormat="1" x14ac:dyDescent="0.25"/>
    <row r="262804" customFormat="1" x14ac:dyDescent="0.25"/>
    <row r="262805" customFormat="1" x14ac:dyDescent="0.25"/>
    <row r="262806" customFormat="1" x14ac:dyDescent="0.25"/>
    <row r="262807" customFormat="1" x14ac:dyDescent="0.25"/>
    <row r="262808" customFormat="1" x14ac:dyDescent="0.25"/>
    <row r="262809" customFormat="1" x14ac:dyDescent="0.25"/>
    <row r="262810" customFormat="1" x14ac:dyDescent="0.25"/>
    <row r="262811" customFormat="1" x14ac:dyDescent="0.25"/>
    <row r="262812" customFormat="1" x14ac:dyDescent="0.25"/>
    <row r="262813" customFormat="1" x14ac:dyDescent="0.25"/>
    <row r="262814" customFormat="1" x14ac:dyDescent="0.25"/>
    <row r="262815" customFormat="1" x14ac:dyDescent="0.25"/>
    <row r="262816" customFormat="1" x14ac:dyDescent="0.25"/>
    <row r="262817" customFormat="1" x14ac:dyDescent="0.25"/>
    <row r="262818" customFormat="1" x14ac:dyDescent="0.25"/>
    <row r="262819" customFormat="1" x14ac:dyDescent="0.25"/>
    <row r="262820" customFormat="1" x14ac:dyDescent="0.25"/>
    <row r="262821" customFormat="1" x14ac:dyDescent="0.25"/>
    <row r="262822" customFormat="1" x14ac:dyDescent="0.25"/>
    <row r="262823" customFormat="1" x14ac:dyDescent="0.25"/>
    <row r="262824" customFormat="1" x14ac:dyDescent="0.25"/>
    <row r="262825" customFormat="1" x14ac:dyDescent="0.25"/>
    <row r="262826" customFormat="1" x14ac:dyDescent="0.25"/>
    <row r="262827" customFormat="1" x14ac:dyDescent="0.25"/>
    <row r="262828" customFormat="1" x14ac:dyDescent="0.25"/>
    <row r="262829" customFormat="1" x14ac:dyDescent="0.25"/>
    <row r="262830" customFormat="1" x14ac:dyDescent="0.25"/>
    <row r="262831" customFormat="1" x14ac:dyDescent="0.25"/>
    <row r="262832" customFormat="1" x14ac:dyDescent="0.25"/>
    <row r="262833" customFormat="1" x14ac:dyDescent="0.25"/>
    <row r="262834" customFormat="1" x14ac:dyDescent="0.25"/>
    <row r="262835" customFormat="1" x14ac:dyDescent="0.25"/>
    <row r="262836" customFormat="1" x14ac:dyDescent="0.25"/>
    <row r="262837" customFormat="1" x14ac:dyDescent="0.25"/>
    <row r="262838" customFormat="1" x14ac:dyDescent="0.25"/>
    <row r="262839" customFormat="1" x14ac:dyDescent="0.25"/>
    <row r="262840" customFormat="1" x14ac:dyDescent="0.25"/>
    <row r="262841" customFormat="1" x14ac:dyDescent="0.25"/>
    <row r="262842" customFormat="1" x14ac:dyDescent="0.25"/>
    <row r="262843" customFormat="1" x14ac:dyDescent="0.25"/>
    <row r="262844" customFormat="1" x14ac:dyDescent="0.25"/>
    <row r="262845" customFormat="1" x14ac:dyDescent="0.25"/>
    <row r="262846" customFormat="1" x14ac:dyDescent="0.25"/>
    <row r="262847" customFormat="1" x14ac:dyDescent="0.25"/>
    <row r="262848" customFormat="1" x14ac:dyDescent="0.25"/>
    <row r="262849" customFormat="1" x14ac:dyDescent="0.25"/>
    <row r="262850" customFormat="1" x14ac:dyDescent="0.25"/>
    <row r="262851" customFormat="1" x14ac:dyDescent="0.25"/>
    <row r="262852" customFormat="1" x14ac:dyDescent="0.25"/>
    <row r="262853" customFormat="1" x14ac:dyDescent="0.25"/>
    <row r="262854" customFormat="1" x14ac:dyDescent="0.25"/>
    <row r="262855" customFormat="1" x14ac:dyDescent="0.25"/>
    <row r="262856" customFormat="1" x14ac:dyDescent="0.25"/>
    <row r="262857" customFormat="1" x14ac:dyDescent="0.25"/>
    <row r="262858" customFormat="1" x14ac:dyDescent="0.25"/>
    <row r="262859" customFormat="1" x14ac:dyDescent="0.25"/>
    <row r="262860" customFormat="1" x14ac:dyDescent="0.25"/>
    <row r="262861" customFormat="1" x14ac:dyDescent="0.25"/>
    <row r="262862" customFormat="1" x14ac:dyDescent="0.25"/>
    <row r="262863" customFormat="1" x14ac:dyDescent="0.25"/>
    <row r="262864" customFormat="1" x14ac:dyDescent="0.25"/>
    <row r="262865" customFormat="1" x14ac:dyDescent="0.25"/>
    <row r="262866" customFormat="1" x14ac:dyDescent="0.25"/>
    <row r="262867" customFormat="1" x14ac:dyDescent="0.25"/>
    <row r="262868" customFormat="1" x14ac:dyDescent="0.25"/>
    <row r="262869" customFormat="1" x14ac:dyDescent="0.25"/>
    <row r="262870" customFormat="1" x14ac:dyDescent="0.25"/>
    <row r="262871" customFormat="1" x14ac:dyDescent="0.25"/>
    <row r="262872" customFormat="1" x14ac:dyDescent="0.25"/>
    <row r="262873" customFormat="1" x14ac:dyDescent="0.25"/>
    <row r="262874" customFormat="1" x14ac:dyDescent="0.25"/>
    <row r="262875" customFormat="1" x14ac:dyDescent="0.25"/>
    <row r="262876" customFormat="1" x14ac:dyDescent="0.25"/>
    <row r="262877" customFormat="1" x14ac:dyDescent="0.25"/>
    <row r="262878" customFormat="1" x14ac:dyDescent="0.25"/>
    <row r="262879" customFormat="1" x14ac:dyDescent="0.25"/>
    <row r="262880" customFormat="1" x14ac:dyDescent="0.25"/>
    <row r="262881" customFormat="1" x14ac:dyDescent="0.25"/>
    <row r="262882" customFormat="1" x14ac:dyDescent="0.25"/>
    <row r="262883" customFormat="1" x14ac:dyDescent="0.25"/>
    <row r="262884" customFormat="1" x14ac:dyDescent="0.25"/>
    <row r="262885" customFormat="1" x14ac:dyDescent="0.25"/>
    <row r="262886" customFormat="1" x14ac:dyDescent="0.25"/>
    <row r="262887" customFormat="1" x14ac:dyDescent="0.25"/>
    <row r="262888" customFormat="1" x14ac:dyDescent="0.25"/>
    <row r="262889" customFormat="1" x14ac:dyDescent="0.25"/>
    <row r="262890" customFormat="1" x14ac:dyDescent="0.25"/>
    <row r="262891" customFormat="1" x14ac:dyDescent="0.25"/>
    <row r="262892" customFormat="1" x14ac:dyDescent="0.25"/>
    <row r="262893" customFormat="1" x14ac:dyDescent="0.25"/>
    <row r="262894" customFormat="1" x14ac:dyDescent="0.25"/>
    <row r="262895" customFormat="1" x14ac:dyDescent="0.25"/>
    <row r="262896" customFormat="1" x14ac:dyDescent="0.25"/>
    <row r="262897" customFormat="1" x14ac:dyDescent="0.25"/>
    <row r="262898" customFormat="1" x14ac:dyDescent="0.25"/>
    <row r="262899" customFormat="1" x14ac:dyDescent="0.25"/>
    <row r="262900" customFormat="1" x14ac:dyDescent="0.25"/>
    <row r="262901" customFormat="1" x14ac:dyDescent="0.25"/>
    <row r="262902" customFormat="1" x14ac:dyDescent="0.25"/>
    <row r="262903" customFormat="1" x14ac:dyDescent="0.25"/>
    <row r="262904" customFormat="1" x14ac:dyDescent="0.25"/>
    <row r="262905" customFormat="1" x14ac:dyDescent="0.25"/>
    <row r="262906" customFormat="1" x14ac:dyDescent="0.25"/>
    <row r="262907" customFormat="1" x14ac:dyDescent="0.25"/>
    <row r="262908" customFormat="1" x14ac:dyDescent="0.25"/>
    <row r="262909" customFormat="1" x14ac:dyDescent="0.25"/>
    <row r="262910" customFormat="1" x14ac:dyDescent="0.25"/>
    <row r="262911" customFormat="1" x14ac:dyDescent="0.25"/>
    <row r="262912" customFormat="1" x14ac:dyDescent="0.25"/>
    <row r="262913" customFormat="1" x14ac:dyDescent="0.25"/>
    <row r="262914" customFormat="1" x14ac:dyDescent="0.25"/>
    <row r="262915" customFormat="1" x14ac:dyDescent="0.25"/>
    <row r="262916" customFormat="1" x14ac:dyDescent="0.25"/>
    <row r="262917" customFormat="1" x14ac:dyDescent="0.25"/>
    <row r="262918" customFormat="1" x14ac:dyDescent="0.25"/>
    <row r="262919" customFormat="1" x14ac:dyDescent="0.25"/>
    <row r="262920" customFormat="1" x14ac:dyDescent="0.25"/>
    <row r="262921" customFormat="1" x14ac:dyDescent="0.25"/>
    <row r="262922" customFormat="1" x14ac:dyDescent="0.25"/>
    <row r="262923" customFormat="1" x14ac:dyDescent="0.25"/>
    <row r="262924" customFormat="1" x14ac:dyDescent="0.25"/>
    <row r="262925" customFormat="1" x14ac:dyDescent="0.25"/>
    <row r="262926" customFormat="1" x14ac:dyDescent="0.25"/>
    <row r="262927" customFormat="1" x14ac:dyDescent="0.25"/>
    <row r="262928" customFormat="1" x14ac:dyDescent="0.25"/>
    <row r="262929" customFormat="1" x14ac:dyDescent="0.25"/>
    <row r="262930" customFormat="1" x14ac:dyDescent="0.25"/>
    <row r="262931" customFormat="1" x14ac:dyDescent="0.25"/>
    <row r="262932" customFormat="1" x14ac:dyDescent="0.25"/>
    <row r="262933" customFormat="1" x14ac:dyDescent="0.25"/>
    <row r="262934" customFormat="1" x14ac:dyDescent="0.25"/>
    <row r="262935" customFormat="1" x14ac:dyDescent="0.25"/>
    <row r="262936" customFormat="1" x14ac:dyDescent="0.25"/>
    <row r="262937" customFormat="1" x14ac:dyDescent="0.25"/>
    <row r="262938" customFormat="1" x14ac:dyDescent="0.25"/>
    <row r="262939" customFormat="1" x14ac:dyDescent="0.25"/>
    <row r="262940" customFormat="1" x14ac:dyDescent="0.25"/>
    <row r="262941" customFormat="1" x14ac:dyDescent="0.25"/>
    <row r="262942" customFormat="1" x14ac:dyDescent="0.25"/>
    <row r="262943" customFormat="1" x14ac:dyDescent="0.25"/>
    <row r="262944" customFormat="1" x14ac:dyDescent="0.25"/>
    <row r="262945" customFormat="1" x14ac:dyDescent="0.25"/>
    <row r="262946" customFormat="1" x14ac:dyDescent="0.25"/>
    <row r="262947" customFormat="1" x14ac:dyDescent="0.25"/>
    <row r="262948" customFormat="1" x14ac:dyDescent="0.25"/>
    <row r="262949" customFormat="1" x14ac:dyDescent="0.25"/>
    <row r="262950" customFormat="1" x14ac:dyDescent="0.25"/>
    <row r="262951" customFormat="1" x14ac:dyDescent="0.25"/>
    <row r="262952" customFormat="1" x14ac:dyDescent="0.25"/>
    <row r="262953" customFormat="1" x14ac:dyDescent="0.25"/>
    <row r="262954" customFormat="1" x14ac:dyDescent="0.25"/>
    <row r="262955" customFormat="1" x14ac:dyDescent="0.25"/>
    <row r="262956" customFormat="1" x14ac:dyDescent="0.25"/>
    <row r="262957" customFormat="1" x14ac:dyDescent="0.25"/>
    <row r="262958" customFormat="1" x14ac:dyDescent="0.25"/>
    <row r="262959" customFormat="1" x14ac:dyDescent="0.25"/>
    <row r="262960" customFormat="1" x14ac:dyDescent="0.25"/>
    <row r="262961" customFormat="1" x14ac:dyDescent="0.25"/>
    <row r="262962" customFormat="1" x14ac:dyDescent="0.25"/>
    <row r="262963" customFormat="1" x14ac:dyDescent="0.25"/>
    <row r="262964" customFormat="1" x14ac:dyDescent="0.25"/>
    <row r="262965" customFormat="1" x14ac:dyDescent="0.25"/>
    <row r="262966" customFormat="1" x14ac:dyDescent="0.25"/>
    <row r="262967" customFormat="1" x14ac:dyDescent="0.25"/>
    <row r="262968" customFormat="1" x14ac:dyDescent="0.25"/>
    <row r="262969" customFormat="1" x14ac:dyDescent="0.25"/>
    <row r="262970" customFormat="1" x14ac:dyDescent="0.25"/>
    <row r="262971" customFormat="1" x14ac:dyDescent="0.25"/>
    <row r="262972" customFormat="1" x14ac:dyDescent="0.25"/>
    <row r="262973" customFormat="1" x14ac:dyDescent="0.25"/>
    <row r="262974" customFormat="1" x14ac:dyDescent="0.25"/>
    <row r="262975" customFormat="1" x14ac:dyDescent="0.25"/>
    <row r="262976" customFormat="1" x14ac:dyDescent="0.25"/>
    <row r="262977" customFormat="1" x14ac:dyDescent="0.25"/>
    <row r="262978" customFormat="1" x14ac:dyDescent="0.25"/>
    <row r="262979" customFormat="1" x14ac:dyDescent="0.25"/>
    <row r="262980" customFormat="1" x14ac:dyDescent="0.25"/>
    <row r="262981" customFormat="1" x14ac:dyDescent="0.25"/>
    <row r="262982" customFormat="1" x14ac:dyDescent="0.25"/>
    <row r="262983" customFormat="1" x14ac:dyDescent="0.25"/>
    <row r="262984" customFormat="1" x14ac:dyDescent="0.25"/>
    <row r="262985" customFormat="1" x14ac:dyDescent="0.25"/>
    <row r="262986" customFormat="1" x14ac:dyDescent="0.25"/>
    <row r="262987" customFormat="1" x14ac:dyDescent="0.25"/>
    <row r="262988" customFormat="1" x14ac:dyDescent="0.25"/>
    <row r="262989" customFormat="1" x14ac:dyDescent="0.25"/>
    <row r="262990" customFormat="1" x14ac:dyDescent="0.25"/>
    <row r="262991" customFormat="1" x14ac:dyDescent="0.25"/>
    <row r="262992" customFormat="1" x14ac:dyDescent="0.25"/>
    <row r="262993" customFormat="1" x14ac:dyDescent="0.25"/>
    <row r="262994" customFormat="1" x14ac:dyDescent="0.25"/>
    <row r="262995" customFormat="1" x14ac:dyDescent="0.25"/>
    <row r="262996" customFormat="1" x14ac:dyDescent="0.25"/>
    <row r="262997" customFormat="1" x14ac:dyDescent="0.25"/>
    <row r="262998" customFormat="1" x14ac:dyDescent="0.25"/>
    <row r="262999" customFormat="1" x14ac:dyDescent="0.25"/>
    <row r="263000" customFormat="1" x14ac:dyDescent="0.25"/>
    <row r="263001" customFormat="1" x14ac:dyDescent="0.25"/>
    <row r="263002" customFormat="1" x14ac:dyDescent="0.25"/>
    <row r="263003" customFormat="1" x14ac:dyDescent="0.25"/>
    <row r="263004" customFormat="1" x14ac:dyDescent="0.25"/>
    <row r="263005" customFormat="1" x14ac:dyDescent="0.25"/>
    <row r="263006" customFormat="1" x14ac:dyDescent="0.25"/>
    <row r="263007" customFormat="1" x14ac:dyDescent="0.25"/>
    <row r="263008" customFormat="1" x14ac:dyDescent="0.25"/>
    <row r="263009" customFormat="1" x14ac:dyDescent="0.25"/>
    <row r="263010" customFormat="1" x14ac:dyDescent="0.25"/>
    <row r="263011" customFormat="1" x14ac:dyDescent="0.25"/>
    <row r="263012" customFormat="1" x14ac:dyDescent="0.25"/>
    <row r="263013" customFormat="1" x14ac:dyDescent="0.25"/>
    <row r="263014" customFormat="1" x14ac:dyDescent="0.25"/>
    <row r="263015" customFormat="1" x14ac:dyDescent="0.25"/>
    <row r="263016" customFormat="1" x14ac:dyDescent="0.25"/>
    <row r="263017" customFormat="1" x14ac:dyDescent="0.25"/>
    <row r="263018" customFormat="1" x14ac:dyDescent="0.25"/>
    <row r="263019" customFormat="1" x14ac:dyDescent="0.25"/>
    <row r="263020" customFormat="1" x14ac:dyDescent="0.25"/>
    <row r="263021" customFormat="1" x14ac:dyDescent="0.25"/>
    <row r="263022" customFormat="1" x14ac:dyDescent="0.25"/>
    <row r="263023" customFormat="1" x14ac:dyDescent="0.25"/>
    <row r="263024" customFormat="1" x14ac:dyDescent="0.25"/>
    <row r="263025" customFormat="1" x14ac:dyDescent="0.25"/>
    <row r="263026" customFormat="1" x14ac:dyDescent="0.25"/>
    <row r="263027" customFormat="1" x14ac:dyDescent="0.25"/>
    <row r="263028" customFormat="1" x14ac:dyDescent="0.25"/>
    <row r="263029" customFormat="1" x14ac:dyDescent="0.25"/>
    <row r="263030" customFormat="1" x14ac:dyDescent="0.25"/>
    <row r="263031" customFormat="1" x14ac:dyDescent="0.25"/>
    <row r="263032" customFormat="1" x14ac:dyDescent="0.25"/>
    <row r="263033" customFormat="1" x14ac:dyDescent="0.25"/>
    <row r="263034" customFormat="1" x14ac:dyDescent="0.25"/>
    <row r="263035" customFormat="1" x14ac:dyDescent="0.25"/>
    <row r="263036" customFormat="1" x14ac:dyDescent="0.25"/>
    <row r="263037" customFormat="1" x14ac:dyDescent="0.25"/>
    <row r="263038" customFormat="1" x14ac:dyDescent="0.25"/>
    <row r="263039" customFormat="1" x14ac:dyDescent="0.25"/>
    <row r="263040" customFormat="1" x14ac:dyDescent="0.25"/>
    <row r="263041" customFormat="1" x14ac:dyDescent="0.25"/>
    <row r="263042" customFormat="1" x14ac:dyDescent="0.25"/>
    <row r="263043" customFormat="1" x14ac:dyDescent="0.25"/>
    <row r="263044" customFormat="1" x14ac:dyDescent="0.25"/>
    <row r="263045" customFormat="1" x14ac:dyDescent="0.25"/>
    <row r="263046" customFormat="1" x14ac:dyDescent="0.25"/>
    <row r="263047" customFormat="1" x14ac:dyDescent="0.25"/>
    <row r="263048" customFormat="1" x14ac:dyDescent="0.25"/>
    <row r="263049" customFormat="1" x14ac:dyDescent="0.25"/>
    <row r="263050" customFormat="1" x14ac:dyDescent="0.25"/>
    <row r="263051" customFormat="1" x14ac:dyDescent="0.25"/>
    <row r="263052" customFormat="1" x14ac:dyDescent="0.25"/>
    <row r="263053" customFormat="1" x14ac:dyDescent="0.25"/>
    <row r="263054" customFormat="1" x14ac:dyDescent="0.25"/>
    <row r="263055" customFormat="1" x14ac:dyDescent="0.25"/>
    <row r="263056" customFormat="1" x14ac:dyDescent="0.25"/>
    <row r="263057" customFormat="1" x14ac:dyDescent="0.25"/>
    <row r="263058" customFormat="1" x14ac:dyDescent="0.25"/>
    <row r="263059" customFormat="1" x14ac:dyDescent="0.25"/>
    <row r="263060" customFormat="1" x14ac:dyDescent="0.25"/>
    <row r="263061" customFormat="1" x14ac:dyDescent="0.25"/>
    <row r="263062" customFormat="1" x14ac:dyDescent="0.25"/>
    <row r="263063" customFormat="1" x14ac:dyDescent="0.25"/>
    <row r="263064" customFormat="1" x14ac:dyDescent="0.25"/>
    <row r="263065" customFormat="1" x14ac:dyDescent="0.25"/>
    <row r="263066" customFormat="1" x14ac:dyDescent="0.25"/>
    <row r="263067" customFormat="1" x14ac:dyDescent="0.25"/>
    <row r="263068" customFormat="1" x14ac:dyDescent="0.25"/>
    <row r="263069" customFormat="1" x14ac:dyDescent="0.25"/>
    <row r="263070" customFormat="1" x14ac:dyDescent="0.25"/>
    <row r="263071" customFormat="1" x14ac:dyDescent="0.25"/>
    <row r="263072" customFormat="1" x14ac:dyDescent="0.25"/>
    <row r="263073" customFormat="1" x14ac:dyDescent="0.25"/>
    <row r="263074" customFormat="1" x14ac:dyDescent="0.25"/>
    <row r="263075" customFormat="1" x14ac:dyDescent="0.25"/>
    <row r="263076" customFormat="1" x14ac:dyDescent="0.25"/>
    <row r="263077" customFormat="1" x14ac:dyDescent="0.25"/>
    <row r="263078" customFormat="1" x14ac:dyDescent="0.25"/>
    <row r="263079" customFormat="1" x14ac:dyDescent="0.25"/>
    <row r="263080" customFormat="1" x14ac:dyDescent="0.25"/>
    <row r="263081" customFormat="1" x14ac:dyDescent="0.25"/>
    <row r="263082" customFormat="1" x14ac:dyDescent="0.25"/>
    <row r="263083" customFormat="1" x14ac:dyDescent="0.25"/>
    <row r="263084" customFormat="1" x14ac:dyDescent="0.25"/>
    <row r="263085" customFormat="1" x14ac:dyDescent="0.25"/>
    <row r="263086" customFormat="1" x14ac:dyDescent="0.25"/>
    <row r="263087" customFormat="1" x14ac:dyDescent="0.25"/>
    <row r="263088" customFormat="1" x14ac:dyDescent="0.25"/>
    <row r="263089" customFormat="1" x14ac:dyDescent="0.25"/>
    <row r="263090" customFormat="1" x14ac:dyDescent="0.25"/>
    <row r="263091" customFormat="1" x14ac:dyDescent="0.25"/>
    <row r="263092" customFormat="1" x14ac:dyDescent="0.25"/>
    <row r="263093" customFormat="1" x14ac:dyDescent="0.25"/>
    <row r="263094" customFormat="1" x14ac:dyDescent="0.25"/>
    <row r="263095" customFormat="1" x14ac:dyDescent="0.25"/>
    <row r="263096" customFormat="1" x14ac:dyDescent="0.25"/>
    <row r="263097" customFormat="1" x14ac:dyDescent="0.25"/>
    <row r="263098" customFormat="1" x14ac:dyDescent="0.25"/>
    <row r="263099" customFormat="1" x14ac:dyDescent="0.25"/>
    <row r="263100" customFormat="1" x14ac:dyDescent="0.25"/>
    <row r="263101" customFormat="1" x14ac:dyDescent="0.25"/>
    <row r="263102" customFormat="1" x14ac:dyDescent="0.25"/>
    <row r="263103" customFormat="1" x14ac:dyDescent="0.25"/>
    <row r="263104" customFormat="1" x14ac:dyDescent="0.25"/>
    <row r="263105" customFormat="1" x14ac:dyDescent="0.25"/>
    <row r="263106" customFormat="1" x14ac:dyDescent="0.25"/>
    <row r="263107" customFormat="1" x14ac:dyDescent="0.25"/>
    <row r="263108" customFormat="1" x14ac:dyDescent="0.25"/>
    <row r="263109" customFormat="1" x14ac:dyDescent="0.25"/>
    <row r="263110" customFormat="1" x14ac:dyDescent="0.25"/>
    <row r="263111" customFormat="1" x14ac:dyDescent="0.25"/>
    <row r="263112" customFormat="1" x14ac:dyDescent="0.25"/>
    <row r="263113" customFormat="1" x14ac:dyDescent="0.25"/>
    <row r="263114" customFormat="1" x14ac:dyDescent="0.25"/>
    <row r="263115" customFormat="1" x14ac:dyDescent="0.25"/>
    <row r="263116" customFormat="1" x14ac:dyDescent="0.25"/>
    <row r="263117" customFormat="1" x14ac:dyDescent="0.25"/>
    <row r="263118" customFormat="1" x14ac:dyDescent="0.25"/>
    <row r="263119" customFormat="1" x14ac:dyDescent="0.25"/>
    <row r="263120" customFormat="1" x14ac:dyDescent="0.25"/>
    <row r="263121" customFormat="1" x14ac:dyDescent="0.25"/>
    <row r="263122" customFormat="1" x14ac:dyDescent="0.25"/>
    <row r="263123" customFormat="1" x14ac:dyDescent="0.25"/>
    <row r="263124" customFormat="1" x14ac:dyDescent="0.25"/>
    <row r="263125" customFormat="1" x14ac:dyDescent="0.25"/>
    <row r="263126" customFormat="1" x14ac:dyDescent="0.25"/>
    <row r="263127" customFormat="1" x14ac:dyDescent="0.25"/>
    <row r="263128" customFormat="1" x14ac:dyDescent="0.25"/>
    <row r="263129" customFormat="1" x14ac:dyDescent="0.25"/>
    <row r="263130" customFormat="1" x14ac:dyDescent="0.25"/>
    <row r="263131" customFormat="1" x14ac:dyDescent="0.25"/>
    <row r="263132" customFormat="1" x14ac:dyDescent="0.25"/>
    <row r="263133" customFormat="1" x14ac:dyDescent="0.25"/>
    <row r="263134" customFormat="1" x14ac:dyDescent="0.25"/>
    <row r="263135" customFormat="1" x14ac:dyDescent="0.25"/>
    <row r="263136" customFormat="1" x14ac:dyDescent="0.25"/>
    <row r="263137" customFormat="1" x14ac:dyDescent="0.25"/>
    <row r="263138" customFormat="1" x14ac:dyDescent="0.25"/>
    <row r="263139" customFormat="1" x14ac:dyDescent="0.25"/>
    <row r="263140" customFormat="1" x14ac:dyDescent="0.25"/>
    <row r="263141" customFormat="1" x14ac:dyDescent="0.25"/>
    <row r="263142" customFormat="1" x14ac:dyDescent="0.25"/>
    <row r="263143" customFormat="1" x14ac:dyDescent="0.25"/>
    <row r="263144" customFormat="1" x14ac:dyDescent="0.25"/>
    <row r="263145" customFormat="1" x14ac:dyDescent="0.25"/>
    <row r="263146" customFormat="1" x14ac:dyDescent="0.25"/>
    <row r="263147" customFormat="1" x14ac:dyDescent="0.25"/>
    <row r="263148" customFormat="1" x14ac:dyDescent="0.25"/>
    <row r="263149" customFormat="1" x14ac:dyDescent="0.25"/>
    <row r="263150" customFormat="1" x14ac:dyDescent="0.25"/>
    <row r="263151" customFormat="1" x14ac:dyDescent="0.25"/>
    <row r="263152" customFormat="1" x14ac:dyDescent="0.25"/>
    <row r="263153" customFormat="1" x14ac:dyDescent="0.25"/>
    <row r="263154" customFormat="1" x14ac:dyDescent="0.25"/>
    <row r="263155" customFormat="1" x14ac:dyDescent="0.25"/>
    <row r="263156" customFormat="1" x14ac:dyDescent="0.25"/>
    <row r="263157" customFormat="1" x14ac:dyDescent="0.25"/>
    <row r="263158" customFormat="1" x14ac:dyDescent="0.25"/>
    <row r="263159" customFormat="1" x14ac:dyDescent="0.25"/>
    <row r="263160" customFormat="1" x14ac:dyDescent="0.25"/>
    <row r="263161" customFormat="1" x14ac:dyDescent="0.25"/>
    <row r="263162" customFormat="1" x14ac:dyDescent="0.25"/>
    <row r="263163" customFormat="1" x14ac:dyDescent="0.25"/>
    <row r="263164" customFormat="1" x14ac:dyDescent="0.25"/>
    <row r="263165" customFormat="1" x14ac:dyDescent="0.25"/>
    <row r="263166" customFormat="1" x14ac:dyDescent="0.25"/>
    <row r="263167" customFormat="1" x14ac:dyDescent="0.25"/>
    <row r="263168" customFormat="1" x14ac:dyDescent="0.25"/>
    <row r="263169" customFormat="1" x14ac:dyDescent="0.25"/>
    <row r="263170" customFormat="1" x14ac:dyDescent="0.25"/>
    <row r="263171" customFormat="1" x14ac:dyDescent="0.25"/>
    <row r="263172" customFormat="1" x14ac:dyDescent="0.25"/>
    <row r="263173" customFormat="1" x14ac:dyDescent="0.25"/>
    <row r="263174" customFormat="1" x14ac:dyDescent="0.25"/>
    <row r="263175" customFormat="1" x14ac:dyDescent="0.25"/>
    <row r="263176" customFormat="1" x14ac:dyDescent="0.25"/>
    <row r="263177" customFormat="1" x14ac:dyDescent="0.25"/>
    <row r="263178" customFormat="1" x14ac:dyDescent="0.25"/>
    <row r="263179" customFormat="1" x14ac:dyDescent="0.25"/>
    <row r="263180" customFormat="1" x14ac:dyDescent="0.25"/>
    <row r="263181" customFormat="1" x14ac:dyDescent="0.25"/>
    <row r="263182" customFormat="1" x14ac:dyDescent="0.25"/>
    <row r="263183" customFormat="1" x14ac:dyDescent="0.25"/>
    <row r="263184" customFormat="1" x14ac:dyDescent="0.25"/>
    <row r="263185" customFormat="1" x14ac:dyDescent="0.25"/>
    <row r="263186" customFormat="1" x14ac:dyDescent="0.25"/>
    <row r="263187" customFormat="1" x14ac:dyDescent="0.25"/>
    <row r="263188" customFormat="1" x14ac:dyDescent="0.25"/>
    <row r="263189" customFormat="1" x14ac:dyDescent="0.25"/>
    <row r="263190" customFormat="1" x14ac:dyDescent="0.25"/>
    <row r="263191" customFormat="1" x14ac:dyDescent="0.25"/>
    <row r="263192" customFormat="1" x14ac:dyDescent="0.25"/>
    <row r="263193" customFormat="1" x14ac:dyDescent="0.25"/>
    <row r="263194" customFormat="1" x14ac:dyDescent="0.25"/>
    <row r="263195" customFormat="1" x14ac:dyDescent="0.25"/>
    <row r="263196" customFormat="1" x14ac:dyDescent="0.25"/>
    <row r="263197" customFormat="1" x14ac:dyDescent="0.25"/>
    <row r="263198" customFormat="1" x14ac:dyDescent="0.25"/>
    <row r="263199" customFormat="1" x14ac:dyDescent="0.25"/>
    <row r="263200" customFormat="1" x14ac:dyDescent="0.25"/>
    <row r="263201" customFormat="1" x14ac:dyDescent="0.25"/>
    <row r="263202" customFormat="1" x14ac:dyDescent="0.25"/>
    <row r="263203" customFormat="1" x14ac:dyDescent="0.25"/>
    <row r="263204" customFormat="1" x14ac:dyDescent="0.25"/>
    <row r="263205" customFormat="1" x14ac:dyDescent="0.25"/>
    <row r="263206" customFormat="1" x14ac:dyDescent="0.25"/>
    <row r="263207" customFormat="1" x14ac:dyDescent="0.25"/>
    <row r="263208" customFormat="1" x14ac:dyDescent="0.25"/>
    <row r="263209" customFormat="1" x14ac:dyDescent="0.25"/>
    <row r="263210" customFormat="1" x14ac:dyDescent="0.25"/>
    <row r="263211" customFormat="1" x14ac:dyDescent="0.25"/>
    <row r="263212" customFormat="1" x14ac:dyDescent="0.25"/>
    <row r="263213" customFormat="1" x14ac:dyDescent="0.25"/>
    <row r="263214" customFormat="1" x14ac:dyDescent="0.25"/>
    <row r="263215" customFormat="1" x14ac:dyDescent="0.25"/>
    <row r="263216" customFormat="1" x14ac:dyDescent="0.25"/>
    <row r="263217" customFormat="1" x14ac:dyDescent="0.25"/>
    <row r="263218" customFormat="1" x14ac:dyDescent="0.25"/>
    <row r="263219" customFormat="1" x14ac:dyDescent="0.25"/>
    <row r="263220" customFormat="1" x14ac:dyDescent="0.25"/>
    <row r="263221" customFormat="1" x14ac:dyDescent="0.25"/>
    <row r="263222" customFormat="1" x14ac:dyDescent="0.25"/>
    <row r="263223" customFormat="1" x14ac:dyDescent="0.25"/>
    <row r="263224" customFormat="1" x14ac:dyDescent="0.25"/>
    <row r="263225" customFormat="1" x14ac:dyDescent="0.25"/>
    <row r="263226" customFormat="1" x14ac:dyDescent="0.25"/>
    <row r="263227" customFormat="1" x14ac:dyDescent="0.25"/>
    <row r="263228" customFormat="1" x14ac:dyDescent="0.25"/>
    <row r="263229" customFormat="1" x14ac:dyDescent="0.25"/>
    <row r="263230" customFormat="1" x14ac:dyDescent="0.25"/>
    <row r="263231" customFormat="1" x14ac:dyDescent="0.25"/>
    <row r="263232" customFormat="1" x14ac:dyDescent="0.25"/>
    <row r="263233" customFormat="1" x14ac:dyDescent="0.25"/>
    <row r="263234" customFormat="1" x14ac:dyDescent="0.25"/>
    <row r="263235" customFormat="1" x14ac:dyDescent="0.25"/>
    <row r="263236" customFormat="1" x14ac:dyDescent="0.25"/>
    <row r="263237" customFormat="1" x14ac:dyDescent="0.25"/>
    <row r="263238" customFormat="1" x14ac:dyDescent="0.25"/>
    <row r="263239" customFormat="1" x14ac:dyDescent="0.25"/>
    <row r="263240" customFormat="1" x14ac:dyDescent="0.25"/>
    <row r="263241" customFormat="1" x14ac:dyDescent="0.25"/>
    <row r="263242" customFormat="1" x14ac:dyDescent="0.25"/>
    <row r="263243" customFormat="1" x14ac:dyDescent="0.25"/>
    <row r="263244" customFormat="1" x14ac:dyDescent="0.25"/>
    <row r="263245" customFormat="1" x14ac:dyDescent="0.25"/>
    <row r="263246" customFormat="1" x14ac:dyDescent="0.25"/>
    <row r="263247" customFormat="1" x14ac:dyDescent="0.25"/>
    <row r="263248" customFormat="1" x14ac:dyDescent="0.25"/>
    <row r="263249" customFormat="1" x14ac:dyDescent="0.25"/>
    <row r="263250" customFormat="1" x14ac:dyDescent="0.25"/>
    <row r="263251" customFormat="1" x14ac:dyDescent="0.25"/>
    <row r="263252" customFormat="1" x14ac:dyDescent="0.25"/>
    <row r="263253" customFormat="1" x14ac:dyDescent="0.25"/>
    <row r="263254" customFormat="1" x14ac:dyDescent="0.25"/>
    <row r="263255" customFormat="1" x14ac:dyDescent="0.25"/>
    <row r="263256" customFormat="1" x14ac:dyDescent="0.25"/>
    <row r="263257" customFormat="1" x14ac:dyDescent="0.25"/>
    <row r="263258" customFormat="1" x14ac:dyDescent="0.25"/>
    <row r="263259" customFormat="1" x14ac:dyDescent="0.25"/>
    <row r="263260" customFormat="1" x14ac:dyDescent="0.25"/>
    <row r="263261" customFormat="1" x14ac:dyDescent="0.25"/>
    <row r="263262" customFormat="1" x14ac:dyDescent="0.25"/>
    <row r="263263" customFormat="1" x14ac:dyDescent="0.25"/>
    <row r="263264" customFormat="1" x14ac:dyDescent="0.25"/>
    <row r="263265" customFormat="1" x14ac:dyDescent="0.25"/>
    <row r="263266" customFormat="1" x14ac:dyDescent="0.25"/>
    <row r="263267" customFormat="1" x14ac:dyDescent="0.25"/>
    <row r="263268" customFormat="1" x14ac:dyDescent="0.25"/>
    <row r="263269" customFormat="1" x14ac:dyDescent="0.25"/>
    <row r="263270" customFormat="1" x14ac:dyDescent="0.25"/>
    <row r="263271" customFormat="1" x14ac:dyDescent="0.25"/>
    <row r="263272" customFormat="1" x14ac:dyDescent="0.25"/>
    <row r="263273" customFormat="1" x14ac:dyDescent="0.25"/>
    <row r="263274" customFormat="1" x14ac:dyDescent="0.25"/>
    <row r="263275" customFormat="1" x14ac:dyDescent="0.25"/>
    <row r="263276" customFormat="1" x14ac:dyDescent="0.25"/>
    <row r="263277" customFormat="1" x14ac:dyDescent="0.25"/>
    <row r="263278" customFormat="1" x14ac:dyDescent="0.25"/>
    <row r="263279" customFormat="1" x14ac:dyDescent="0.25"/>
    <row r="263280" customFormat="1" x14ac:dyDescent="0.25"/>
    <row r="263281" customFormat="1" x14ac:dyDescent="0.25"/>
    <row r="263282" customFormat="1" x14ac:dyDescent="0.25"/>
    <row r="263283" customFormat="1" x14ac:dyDescent="0.25"/>
    <row r="263284" customFormat="1" x14ac:dyDescent="0.25"/>
    <row r="263285" customFormat="1" x14ac:dyDescent="0.25"/>
    <row r="263286" customFormat="1" x14ac:dyDescent="0.25"/>
    <row r="263287" customFormat="1" x14ac:dyDescent="0.25"/>
    <row r="263288" customFormat="1" x14ac:dyDescent="0.25"/>
    <row r="263289" customFormat="1" x14ac:dyDescent="0.25"/>
    <row r="263290" customFormat="1" x14ac:dyDescent="0.25"/>
    <row r="263291" customFormat="1" x14ac:dyDescent="0.25"/>
    <row r="263292" customFormat="1" x14ac:dyDescent="0.25"/>
    <row r="263293" customFormat="1" x14ac:dyDescent="0.25"/>
    <row r="263294" customFormat="1" x14ac:dyDescent="0.25"/>
    <row r="263295" customFormat="1" x14ac:dyDescent="0.25"/>
    <row r="263296" customFormat="1" x14ac:dyDescent="0.25"/>
    <row r="263297" customFormat="1" x14ac:dyDescent="0.25"/>
    <row r="263298" customFormat="1" x14ac:dyDescent="0.25"/>
    <row r="263299" customFormat="1" x14ac:dyDescent="0.25"/>
    <row r="263300" customFormat="1" x14ac:dyDescent="0.25"/>
    <row r="263301" customFormat="1" x14ac:dyDescent="0.25"/>
    <row r="263302" customFormat="1" x14ac:dyDescent="0.25"/>
    <row r="263303" customFormat="1" x14ac:dyDescent="0.25"/>
    <row r="263304" customFormat="1" x14ac:dyDescent="0.25"/>
    <row r="263305" customFormat="1" x14ac:dyDescent="0.25"/>
    <row r="263306" customFormat="1" x14ac:dyDescent="0.25"/>
    <row r="263307" customFormat="1" x14ac:dyDescent="0.25"/>
    <row r="263308" customFormat="1" x14ac:dyDescent="0.25"/>
    <row r="263309" customFormat="1" x14ac:dyDescent="0.25"/>
    <row r="263310" customFormat="1" x14ac:dyDescent="0.25"/>
    <row r="263311" customFormat="1" x14ac:dyDescent="0.25"/>
    <row r="263312" customFormat="1" x14ac:dyDescent="0.25"/>
    <row r="263313" customFormat="1" x14ac:dyDescent="0.25"/>
    <row r="263314" customFormat="1" x14ac:dyDescent="0.25"/>
    <row r="263315" customFormat="1" x14ac:dyDescent="0.25"/>
    <row r="263316" customFormat="1" x14ac:dyDescent="0.25"/>
    <row r="263317" customFormat="1" x14ac:dyDescent="0.25"/>
    <row r="263318" customFormat="1" x14ac:dyDescent="0.25"/>
    <row r="263319" customFormat="1" x14ac:dyDescent="0.25"/>
    <row r="263320" customFormat="1" x14ac:dyDescent="0.25"/>
    <row r="263321" customFormat="1" x14ac:dyDescent="0.25"/>
    <row r="263322" customFormat="1" x14ac:dyDescent="0.25"/>
    <row r="263323" customFormat="1" x14ac:dyDescent="0.25"/>
    <row r="263324" customFormat="1" x14ac:dyDescent="0.25"/>
    <row r="263325" customFormat="1" x14ac:dyDescent="0.25"/>
    <row r="263326" customFormat="1" x14ac:dyDescent="0.25"/>
    <row r="263327" customFormat="1" x14ac:dyDescent="0.25"/>
    <row r="263328" customFormat="1" x14ac:dyDescent="0.25"/>
    <row r="263329" customFormat="1" x14ac:dyDescent="0.25"/>
    <row r="263330" customFormat="1" x14ac:dyDescent="0.25"/>
    <row r="263331" customFormat="1" x14ac:dyDescent="0.25"/>
    <row r="263332" customFormat="1" x14ac:dyDescent="0.25"/>
    <row r="263333" customFormat="1" x14ac:dyDescent="0.25"/>
    <row r="263334" customFormat="1" x14ac:dyDescent="0.25"/>
    <row r="263335" customFormat="1" x14ac:dyDescent="0.25"/>
    <row r="263336" customFormat="1" x14ac:dyDescent="0.25"/>
    <row r="263337" customFormat="1" x14ac:dyDescent="0.25"/>
    <row r="263338" customFormat="1" x14ac:dyDescent="0.25"/>
    <row r="263339" customFormat="1" x14ac:dyDescent="0.25"/>
    <row r="263340" customFormat="1" x14ac:dyDescent="0.25"/>
    <row r="263341" customFormat="1" x14ac:dyDescent="0.25"/>
    <row r="263342" customFormat="1" x14ac:dyDescent="0.25"/>
    <row r="263343" customFormat="1" x14ac:dyDescent="0.25"/>
    <row r="263344" customFormat="1" x14ac:dyDescent="0.25"/>
    <row r="263345" customFormat="1" x14ac:dyDescent="0.25"/>
    <row r="263346" customFormat="1" x14ac:dyDescent="0.25"/>
    <row r="263347" customFormat="1" x14ac:dyDescent="0.25"/>
    <row r="263348" customFormat="1" x14ac:dyDescent="0.25"/>
    <row r="263349" customFormat="1" x14ac:dyDescent="0.25"/>
    <row r="263350" customFormat="1" x14ac:dyDescent="0.25"/>
    <row r="263351" customFormat="1" x14ac:dyDescent="0.25"/>
    <row r="263352" customFormat="1" x14ac:dyDescent="0.25"/>
    <row r="263353" customFormat="1" x14ac:dyDescent="0.25"/>
    <row r="263354" customFormat="1" x14ac:dyDescent="0.25"/>
    <row r="263355" customFormat="1" x14ac:dyDescent="0.25"/>
    <row r="263356" customFormat="1" x14ac:dyDescent="0.25"/>
    <row r="263357" customFormat="1" x14ac:dyDescent="0.25"/>
    <row r="263358" customFormat="1" x14ac:dyDescent="0.25"/>
    <row r="263359" customFormat="1" x14ac:dyDescent="0.25"/>
    <row r="263360" customFormat="1" x14ac:dyDescent="0.25"/>
    <row r="263361" customFormat="1" x14ac:dyDescent="0.25"/>
    <row r="263362" customFormat="1" x14ac:dyDescent="0.25"/>
    <row r="263363" customFormat="1" x14ac:dyDescent="0.25"/>
    <row r="263364" customFormat="1" x14ac:dyDescent="0.25"/>
    <row r="263365" customFormat="1" x14ac:dyDescent="0.25"/>
    <row r="263366" customFormat="1" x14ac:dyDescent="0.25"/>
    <row r="263367" customFormat="1" x14ac:dyDescent="0.25"/>
    <row r="263368" customFormat="1" x14ac:dyDescent="0.25"/>
    <row r="263369" customFormat="1" x14ac:dyDescent="0.25"/>
    <row r="263370" customFormat="1" x14ac:dyDescent="0.25"/>
    <row r="263371" customFormat="1" x14ac:dyDescent="0.25"/>
    <row r="263372" customFormat="1" x14ac:dyDescent="0.25"/>
    <row r="263373" customFormat="1" x14ac:dyDescent="0.25"/>
    <row r="263374" customFormat="1" x14ac:dyDescent="0.25"/>
    <row r="263375" customFormat="1" x14ac:dyDescent="0.25"/>
    <row r="263376" customFormat="1" x14ac:dyDescent="0.25"/>
    <row r="263377" customFormat="1" x14ac:dyDescent="0.25"/>
    <row r="263378" customFormat="1" x14ac:dyDescent="0.25"/>
    <row r="263379" customFormat="1" x14ac:dyDescent="0.25"/>
    <row r="263380" customFormat="1" x14ac:dyDescent="0.25"/>
    <row r="263381" customFormat="1" x14ac:dyDescent="0.25"/>
    <row r="263382" customFormat="1" x14ac:dyDescent="0.25"/>
    <row r="263383" customFormat="1" x14ac:dyDescent="0.25"/>
    <row r="263384" customFormat="1" x14ac:dyDescent="0.25"/>
    <row r="263385" customFormat="1" x14ac:dyDescent="0.25"/>
    <row r="263386" customFormat="1" x14ac:dyDescent="0.25"/>
    <row r="263387" customFormat="1" x14ac:dyDescent="0.25"/>
    <row r="263388" customFormat="1" x14ac:dyDescent="0.25"/>
    <row r="263389" customFormat="1" x14ac:dyDescent="0.25"/>
    <row r="263390" customFormat="1" x14ac:dyDescent="0.25"/>
    <row r="263391" customFormat="1" x14ac:dyDescent="0.25"/>
    <row r="263392" customFormat="1" x14ac:dyDescent="0.25"/>
    <row r="263393" customFormat="1" x14ac:dyDescent="0.25"/>
    <row r="263394" customFormat="1" x14ac:dyDescent="0.25"/>
    <row r="263395" customFormat="1" x14ac:dyDescent="0.25"/>
    <row r="263396" customFormat="1" x14ac:dyDescent="0.25"/>
    <row r="263397" customFormat="1" x14ac:dyDescent="0.25"/>
    <row r="263398" customFormat="1" x14ac:dyDescent="0.25"/>
    <row r="263399" customFormat="1" x14ac:dyDescent="0.25"/>
    <row r="263400" customFormat="1" x14ac:dyDescent="0.25"/>
    <row r="263401" customFormat="1" x14ac:dyDescent="0.25"/>
    <row r="263402" customFormat="1" x14ac:dyDescent="0.25"/>
    <row r="263403" customFormat="1" x14ac:dyDescent="0.25"/>
    <row r="263404" customFormat="1" x14ac:dyDescent="0.25"/>
    <row r="263405" customFormat="1" x14ac:dyDescent="0.25"/>
    <row r="263406" customFormat="1" x14ac:dyDescent="0.25"/>
    <row r="263407" customFormat="1" x14ac:dyDescent="0.25"/>
    <row r="263408" customFormat="1" x14ac:dyDescent="0.25"/>
    <row r="263409" customFormat="1" x14ac:dyDescent="0.25"/>
    <row r="263410" customFormat="1" x14ac:dyDescent="0.25"/>
    <row r="263411" customFormat="1" x14ac:dyDescent="0.25"/>
    <row r="263412" customFormat="1" x14ac:dyDescent="0.25"/>
    <row r="263413" customFormat="1" x14ac:dyDescent="0.25"/>
    <row r="263414" customFormat="1" x14ac:dyDescent="0.25"/>
    <row r="263415" customFormat="1" x14ac:dyDescent="0.25"/>
    <row r="263416" customFormat="1" x14ac:dyDescent="0.25"/>
    <row r="263417" customFormat="1" x14ac:dyDescent="0.25"/>
    <row r="263418" customFormat="1" x14ac:dyDescent="0.25"/>
    <row r="263419" customFormat="1" x14ac:dyDescent="0.25"/>
    <row r="263420" customFormat="1" x14ac:dyDescent="0.25"/>
    <row r="263421" customFormat="1" x14ac:dyDescent="0.25"/>
    <row r="263422" customFormat="1" x14ac:dyDescent="0.25"/>
    <row r="263423" customFormat="1" x14ac:dyDescent="0.25"/>
    <row r="263424" customFormat="1" x14ac:dyDescent="0.25"/>
    <row r="263425" customFormat="1" x14ac:dyDescent="0.25"/>
    <row r="263426" customFormat="1" x14ac:dyDescent="0.25"/>
    <row r="263427" customFormat="1" x14ac:dyDescent="0.25"/>
    <row r="263428" customFormat="1" x14ac:dyDescent="0.25"/>
    <row r="263429" customFormat="1" x14ac:dyDescent="0.25"/>
    <row r="263430" customFormat="1" x14ac:dyDescent="0.25"/>
    <row r="263431" customFormat="1" x14ac:dyDescent="0.25"/>
    <row r="263432" customFormat="1" x14ac:dyDescent="0.25"/>
    <row r="263433" customFormat="1" x14ac:dyDescent="0.25"/>
    <row r="263434" customFormat="1" x14ac:dyDescent="0.25"/>
    <row r="263435" customFormat="1" x14ac:dyDescent="0.25"/>
    <row r="263436" customFormat="1" x14ac:dyDescent="0.25"/>
    <row r="263437" customFormat="1" x14ac:dyDescent="0.25"/>
    <row r="263438" customFormat="1" x14ac:dyDescent="0.25"/>
    <row r="263439" customFormat="1" x14ac:dyDescent="0.25"/>
    <row r="263440" customFormat="1" x14ac:dyDescent="0.25"/>
    <row r="263441" customFormat="1" x14ac:dyDescent="0.25"/>
    <row r="263442" customFormat="1" x14ac:dyDescent="0.25"/>
    <row r="263443" customFormat="1" x14ac:dyDescent="0.25"/>
    <row r="263444" customFormat="1" x14ac:dyDescent="0.25"/>
    <row r="263445" customFormat="1" x14ac:dyDescent="0.25"/>
    <row r="263446" customFormat="1" x14ac:dyDescent="0.25"/>
    <row r="263447" customFormat="1" x14ac:dyDescent="0.25"/>
    <row r="263448" customFormat="1" x14ac:dyDescent="0.25"/>
    <row r="263449" customFormat="1" x14ac:dyDescent="0.25"/>
    <row r="263450" customFormat="1" x14ac:dyDescent="0.25"/>
    <row r="263451" customFormat="1" x14ac:dyDescent="0.25"/>
    <row r="263452" customFormat="1" x14ac:dyDescent="0.25"/>
    <row r="263453" customFormat="1" x14ac:dyDescent="0.25"/>
    <row r="263454" customFormat="1" x14ac:dyDescent="0.25"/>
    <row r="263455" customFormat="1" x14ac:dyDescent="0.25"/>
    <row r="263456" customFormat="1" x14ac:dyDescent="0.25"/>
    <row r="263457" customFormat="1" x14ac:dyDescent="0.25"/>
    <row r="263458" customFormat="1" x14ac:dyDescent="0.25"/>
    <row r="263459" customFormat="1" x14ac:dyDescent="0.25"/>
    <row r="263460" customFormat="1" x14ac:dyDescent="0.25"/>
    <row r="263461" customFormat="1" x14ac:dyDescent="0.25"/>
    <row r="263462" customFormat="1" x14ac:dyDescent="0.25"/>
    <row r="263463" customFormat="1" x14ac:dyDescent="0.25"/>
    <row r="263464" customFormat="1" x14ac:dyDescent="0.25"/>
    <row r="263465" customFormat="1" x14ac:dyDescent="0.25"/>
    <row r="263466" customFormat="1" x14ac:dyDescent="0.25"/>
    <row r="263467" customFormat="1" x14ac:dyDescent="0.25"/>
    <row r="263468" customFormat="1" x14ac:dyDescent="0.25"/>
    <row r="263469" customFormat="1" x14ac:dyDescent="0.25"/>
    <row r="263470" customFormat="1" x14ac:dyDescent="0.25"/>
    <row r="263471" customFormat="1" x14ac:dyDescent="0.25"/>
    <row r="263472" customFormat="1" x14ac:dyDescent="0.25"/>
    <row r="263473" customFormat="1" x14ac:dyDescent="0.25"/>
    <row r="263474" customFormat="1" x14ac:dyDescent="0.25"/>
    <row r="263475" customFormat="1" x14ac:dyDescent="0.25"/>
    <row r="263476" customFormat="1" x14ac:dyDescent="0.25"/>
    <row r="263477" customFormat="1" x14ac:dyDescent="0.25"/>
    <row r="263478" customFormat="1" x14ac:dyDescent="0.25"/>
    <row r="263479" customFormat="1" x14ac:dyDescent="0.25"/>
    <row r="263480" customFormat="1" x14ac:dyDescent="0.25"/>
    <row r="263481" customFormat="1" x14ac:dyDescent="0.25"/>
    <row r="263482" customFormat="1" x14ac:dyDescent="0.25"/>
    <row r="263483" customFormat="1" x14ac:dyDescent="0.25"/>
    <row r="263484" customFormat="1" x14ac:dyDescent="0.25"/>
    <row r="263485" customFormat="1" x14ac:dyDescent="0.25"/>
    <row r="263486" customFormat="1" x14ac:dyDescent="0.25"/>
    <row r="263487" customFormat="1" x14ac:dyDescent="0.25"/>
    <row r="263488" customFormat="1" x14ac:dyDescent="0.25"/>
    <row r="263489" customFormat="1" x14ac:dyDescent="0.25"/>
    <row r="263490" customFormat="1" x14ac:dyDescent="0.25"/>
    <row r="263491" customFormat="1" x14ac:dyDescent="0.25"/>
    <row r="263492" customFormat="1" x14ac:dyDescent="0.25"/>
    <row r="263493" customFormat="1" x14ac:dyDescent="0.25"/>
    <row r="263494" customFormat="1" x14ac:dyDescent="0.25"/>
    <row r="263495" customFormat="1" x14ac:dyDescent="0.25"/>
    <row r="263496" customFormat="1" x14ac:dyDescent="0.25"/>
    <row r="263497" customFormat="1" x14ac:dyDescent="0.25"/>
    <row r="263498" customFormat="1" x14ac:dyDescent="0.25"/>
    <row r="263499" customFormat="1" x14ac:dyDescent="0.25"/>
    <row r="263500" customFormat="1" x14ac:dyDescent="0.25"/>
    <row r="263501" customFormat="1" x14ac:dyDescent="0.25"/>
    <row r="263502" customFormat="1" x14ac:dyDescent="0.25"/>
    <row r="263503" customFormat="1" x14ac:dyDescent="0.25"/>
    <row r="263504" customFormat="1" x14ac:dyDescent="0.25"/>
    <row r="263505" customFormat="1" x14ac:dyDescent="0.25"/>
    <row r="263506" customFormat="1" x14ac:dyDescent="0.25"/>
    <row r="263507" customFormat="1" x14ac:dyDescent="0.25"/>
    <row r="263508" customFormat="1" x14ac:dyDescent="0.25"/>
    <row r="263509" customFormat="1" x14ac:dyDescent="0.25"/>
    <row r="263510" customFormat="1" x14ac:dyDescent="0.25"/>
    <row r="263511" customFormat="1" x14ac:dyDescent="0.25"/>
    <row r="263512" customFormat="1" x14ac:dyDescent="0.25"/>
    <row r="263513" customFormat="1" x14ac:dyDescent="0.25"/>
    <row r="263514" customFormat="1" x14ac:dyDescent="0.25"/>
    <row r="263515" customFormat="1" x14ac:dyDescent="0.25"/>
    <row r="263516" customFormat="1" x14ac:dyDescent="0.25"/>
    <row r="263517" customFormat="1" x14ac:dyDescent="0.25"/>
    <row r="263518" customFormat="1" x14ac:dyDescent="0.25"/>
    <row r="263519" customFormat="1" x14ac:dyDescent="0.25"/>
    <row r="263520" customFormat="1" x14ac:dyDescent="0.25"/>
    <row r="263521" customFormat="1" x14ac:dyDescent="0.25"/>
    <row r="263522" customFormat="1" x14ac:dyDescent="0.25"/>
    <row r="263523" customFormat="1" x14ac:dyDescent="0.25"/>
    <row r="263524" customFormat="1" x14ac:dyDescent="0.25"/>
    <row r="263525" customFormat="1" x14ac:dyDescent="0.25"/>
    <row r="263526" customFormat="1" x14ac:dyDescent="0.25"/>
    <row r="263527" customFormat="1" x14ac:dyDescent="0.25"/>
    <row r="263528" customFormat="1" x14ac:dyDescent="0.25"/>
    <row r="263529" customFormat="1" x14ac:dyDescent="0.25"/>
    <row r="263530" customFormat="1" x14ac:dyDescent="0.25"/>
    <row r="263531" customFormat="1" x14ac:dyDescent="0.25"/>
    <row r="263532" customFormat="1" x14ac:dyDescent="0.25"/>
    <row r="263533" customFormat="1" x14ac:dyDescent="0.25"/>
    <row r="263534" customFormat="1" x14ac:dyDescent="0.25"/>
    <row r="263535" customFormat="1" x14ac:dyDescent="0.25"/>
    <row r="263536" customFormat="1" x14ac:dyDescent="0.25"/>
    <row r="263537" customFormat="1" x14ac:dyDescent="0.25"/>
    <row r="263538" customFormat="1" x14ac:dyDescent="0.25"/>
    <row r="263539" customFormat="1" x14ac:dyDescent="0.25"/>
    <row r="263540" customFormat="1" x14ac:dyDescent="0.25"/>
    <row r="263541" customFormat="1" x14ac:dyDescent="0.25"/>
    <row r="263542" customFormat="1" x14ac:dyDescent="0.25"/>
    <row r="263543" customFormat="1" x14ac:dyDescent="0.25"/>
    <row r="263544" customFormat="1" x14ac:dyDescent="0.25"/>
    <row r="263545" customFormat="1" x14ac:dyDescent="0.25"/>
    <row r="263546" customFormat="1" x14ac:dyDescent="0.25"/>
    <row r="263547" customFormat="1" x14ac:dyDescent="0.25"/>
    <row r="263548" customFormat="1" x14ac:dyDescent="0.25"/>
    <row r="263549" customFormat="1" x14ac:dyDescent="0.25"/>
    <row r="263550" customFormat="1" x14ac:dyDescent="0.25"/>
    <row r="263551" customFormat="1" x14ac:dyDescent="0.25"/>
    <row r="263552" customFormat="1" x14ac:dyDescent="0.25"/>
    <row r="263553" customFormat="1" x14ac:dyDescent="0.25"/>
    <row r="263554" customFormat="1" x14ac:dyDescent="0.25"/>
    <row r="263555" customFormat="1" x14ac:dyDescent="0.25"/>
    <row r="263556" customFormat="1" x14ac:dyDescent="0.25"/>
    <row r="263557" customFormat="1" x14ac:dyDescent="0.25"/>
    <row r="263558" customFormat="1" x14ac:dyDescent="0.25"/>
    <row r="263559" customFormat="1" x14ac:dyDescent="0.25"/>
    <row r="263560" customFormat="1" x14ac:dyDescent="0.25"/>
    <row r="263561" customFormat="1" x14ac:dyDescent="0.25"/>
    <row r="263562" customFormat="1" x14ac:dyDescent="0.25"/>
    <row r="263563" customFormat="1" x14ac:dyDescent="0.25"/>
    <row r="263564" customFormat="1" x14ac:dyDescent="0.25"/>
    <row r="263565" customFormat="1" x14ac:dyDescent="0.25"/>
    <row r="263566" customFormat="1" x14ac:dyDescent="0.25"/>
    <row r="263567" customFormat="1" x14ac:dyDescent="0.25"/>
    <row r="263568" customFormat="1" x14ac:dyDescent="0.25"/>
    <row r="263569" customFormat="1" x14ac:dyDescent="0.25"/>
    <row r="263570" customFormat="1" x14ac:dyDescent="0.25"/>
    <row r="263571" customFormat="1" x14ac:dyDescent="0.25"/>
    <row r="263572" customFormat="1" x14ac:dyDescent="0.25"/>
    <row r="263573" customFormat="1" x14ac:dyDescent="0.25"/>
    <row r="263574" customFormat="1" x14ac:dyDescent="0.25"/>
    <row r="263575" customFormat="1" x14ac:dyDescent="0.25"/>
    <row r="263576" customFormat="1" x14ac:dyDescent="0.25"/>
    <row r="263577" customFormat="1" x14ac:dyDescent="0.25"/>
    <row r="263578" customFormat="1" x14ac:dyDescent="0.25"/>
    <row r="263579" customFormat="1" x14ac:dyDescent="0.25"/>
    <row r="263580" customFormat="1" x14ac:dyDescent="0.25"/>
    <row r="263581" customFormat="1" x14ac:dyDescent="0.25"/>
    <row r="263582" customFormat="1" x14ac:dyDescent="0.25"/>
    <row r="263583" customFormat="1" x14ac:dyDescent="0.25"/>
    <row r="263584" customFormat="1" x14ac:dyDescent="0.25"/>
    <row r="263585" customFormat="1" x14ac:dyDescent="0.25"/>
    <row r="263586" customFormat="1" x14ac:dyDescent="0.25"/>
    <row r="263587" customFormat="1" x14ac:dyDescent="0.25"/>
    <row r="263588" customFormat="1" x14ac:dyDescent="0.25"/>
    <row r="263589" customFormat="1" x14ac:dyDescent="0.25"/>
    <row r="263590" customFormat="1" x14ac:dyDescent="0.25"/>
    <row r="263591" customFormat="1" x14ac:dyDescent="0.25"/>
    <row r="263592" customFormat="1" x14ac:dyDescent="0.25"/>
    <row r="263593" customFormat="1" x14ac:dyDescent="0.25"/>
    <row r="263594" customFormat="1" x14ac:dyDescent="0.25"/>
    <row r="263595" customFormat="1" x14ac:dyDescent="0.25"/>
    <row r="263596" customFormat="1" x14ac:dyDescent="0.25"/>
    <row r="263597" customFormat="1" x14ac:dyDescent="0.25"/>
    <row r="263598" customFormat="1" x14ac:dyDescent="0.25"/>
    <row r="263599" customFormat="1" x14ac:dyDescent="0.25"/>
    <row r="263600" customFormat="1" x14ac:dyDescent="0.25"/>
    <row r="263601" customFormat="1" x14ac:dyDescent="0.25"/>
    <row r="263602" customFormat="1" x14ac:dyDescent="0.25"/>
    <row r="263603" customFormat="1" x14ac:dyDescent="0.25"/>
    <row r="263604" customFormat="1" x14ac:dyDescent="0.25"/>
    <row r="263605" customFormat="1" x14ac:dyDescent="0.25"/>
    <row r="263606" customFormat="1" x14ac:dyDescent="0.25"/>
    <row r="263607" customFormat="1" x14ac:dyDescent="0.25"/>
    <row r="263608" customFormat="1" x14ac:dyDescent="0.25"/>
    <row r="263609" customFormat="1" x14ac:dyDescent="0.25"/>
    <row r="263610" customFormat="1" x14ac:dyDescent="0.25"/>
    <row r="263611" customFormat="1" x14ac:dyDescent="0.25"/>
    <row r="263612" customFormat="1" x14ac:dyDescent="0.25"/>
    <row r="263613" customFormat="1" x14ac:dyDescent="0.25"/>
    <row r="263614" customFormat="1" x14ac:dyDescent="0.25"/>
    <row r="263615" customFormat="1" x14ac:dyDescent="0.25"/>
    <row r="263616" customFormat="1" x14ac:dyDescent="0.25"/>
    <row r="263617" customFormat="1" x14ac:dyDescent="0.25"/>
    <row r="263618" customFormat="1" x14ac:dyDescent="0.25"/>
    <row r="263619" customFormat="1" x14ac:dyDescent="0.25"/>
    <row r="263620" customFormat="1" x14ac:dyDescent="0.25"/>
    <row r="263621" customFormat="1" x14ac:dyDescent="0.25"/>
    <row r="263622" customFormat="1" x14ac:dyDescent="0.25"/>
    <row r="263623" customFormat="1" x14ac:dyDescent="0.25"/>
    <row r="263624" customFormat="1" x14ac:dyDescent="0.25"/>
    <row r="263625" customFormat="1" x14ac:dyDescent="0.25"/>
    <row r="263626" customFormat="1" x14ac:dyDescent="0.25"/>
    <row r="263627" customFormat="1" x14ac:dyDescent="0.25"/>
    <row r="263628" customFormat="1" x14ac:dyDescent="0.25"/>
    <row r="263629" customFormat="1" x14ac:dyDescent="0.25"/>
    <row r="263630" customFormat="1" x14ac:dyDescent="0.25"/>
    <row r="263631" customFormat="1" x14ac:dyDescent="0.25"/>
    <row r="263632" customFormat="1" x14ac:dyDescent="0.25"/>
    <row r="263633" customFormat="1" x14ac:dyDescent="0.25"/>
    <row r="263634" customFormat="1" x14ac:dyDescent="0.25"/>
    <row r="263635" customFormat="1" x14ac:dyDescent="0.25"/>
    <row r="263636" customFormat="1" x14ac:dyDescent="0.25"/>
    <row r="263637" customFormat="1" x14ac:dyDescent="0.25"/>
    <row r="263638" customFormat="1" x14ac:dyDescent="0.25"/>
    <row r="263639" customFormat="1" x14ac:dyDescent="0.25"/>
    <row r="263640" customFormat="1" x14ac:dyDescent="0.25"/>
    <row r="263641" customFormat="1" x14ac:dyDescent="0.25"/>
    <row r="263642" customFormat="1" x14ac:dyDescent="0.25"/>
    <row r="263643" customFormat="1" x14ac:dyDescent="0.25"/>
    <row r="263644" customFormat="1" x14ac:dyDescent="0.25"/>
    <row r="263645" customFormat="1" x14ac:dyDescent="0.25"/>
    <row r="263646" customFormat="1" x14ac:dyDescent="0.25"/>
    <row r="263647" customFormat="1" x14ac:dyDescent="0.25"/>
    <row r="263648" customFormat="1" x14ac:dyDescent="0.25"/>
    <row r="263649" customFormat="1" x14ac:dyDescent="0.25"/>
    <row r="263650" customFormat="1" x14ac:dyDescent="0.25"/>
    <row r="263651" customFormat="1" x14ac:dyDescent="0.25"/>
    <row r="263652" customFormat="1" x14ac:dyDescent="0.25"/>
    <row r="263653" customFormat="1" x14ac:dyDescent="0.25"/>
    <row r="263654" customFormat="1" x14ac:dyDescent="0.25"/>
    <row r="263655" customFormat="1" x14ac:dyDescent="0.25"/>
    <row r="263656" customFormat="1" x14ac:dyDescent="0.25"/>
    <row r="263657" customFormat="1" x14ac:dyDescent="0.25"/>
    <row r="263658" customFormat="1" x14ac:dyDescent="0.25"/>
    <row r="263659" customFormat="1" x14ac:dyDescent="0.25"/>
    <row r="263660" customFormat="1" x14ac:dyDescent="0.25"/>
    <row r="263661" customFormat="1" x14ac:dyDescent="0.25"/>
    <row r="263662" customFormat="1" x14ac:dyDescent="0.25"/>
    <row r="263663" customFormat="1" x14ac:dyDescent="0.25"/>
    <row r="263664" customFormat="1" x14ac:dyDescent="0.25"/>
    <row r="263665" customFormat="1" x14ac:dyDescent="0.25"/>
    <row r="263666" customFormat="1" x14ac:dyDescent="0.25"/>
    <row r="263667" customFormat="1" x14ac:dyDescent="0.25"/>
    <row r="263668" customFormat="1" x14ac:dyDescent="0.25"/>
    <row r="263669" customFormat="1" x14ac:dyDescent="0.25"/>
    <row r="263670" customFormat="1" x14ac:dyDescent="0.25"/>
    <row r="263671" customFormat="1" x14ac:dyDescent="0.25"/>
    <row r="263672" customFormat="1" x14ac:dyDescent="0.25"/>
    <row r="263673" customFormat="1" x14ac:dyDescent="0.25"/>
    <row r="263674" customFormat="1" x14ac:dyDescent="0.25"/>
    <row r="263675" customFormat="1" x14ac:dyDescent="0.25"/>
    <row r="263676" customFormat="1" x14ac:dyDescent="0.25"/>
    <row r="263677" customFormat="1" x14ac:dyDescent="0.25"/>
    <row r="263678" customFormat="1" x14ac:dyDescent="0.25"/>
    <row r="263679" customFormat="1" x14ac:dyDescent="0.25"/>
    <row r="263680" customFormat="1" x14ac:dyDescent="0.25"/>
    <row r="263681" customFormat="1" x14ac:dyDescent="0.25"/>
    <row r="263682" customFormat="1" x14ac:dyDescent="0.25"/>
    <row r="263683" customFormat="1" x14ac:dyDescent="0.25"/>
    <row r="263684" customFormat="1" x14ac:dyDescent="0.25"/>
    <row r="263685" customFormat="1" x14ac:dyDescent="0.25"/>
    <row r="263686" customFormat="1" x14ac:dyDescent="0.25"/>
    <row r="263687" customFormat="1" x14ac:dyDescent="0.25"/>
    <row r="263688" customFormat="1" x14ac:dyDescent="0.25"/>
    <row r="263689" customFormat="1" x14ac:dyDescent="0.25"/>
    <row r="263690" customFormat="1" x14ac:dyDescent="0.25"/>
    <row r="263691" customFormat="1" x14ac:dyDescent="0.25"/>
    <row r="263692" customFormat="1" x14ac:dyDescent="0.25"/>
    <row r="263693" customFormat="1" x14ac:dyDescent="0.25"/>
    <row r="263694" customFormat="1" x14ac:dyDescent="0.25"/>
    <row r="263695" customFormat="1" x14ac:dyDescent="0.25"/>
    <row r="263696" customFormat="1" x14ac:dyDescent="0.25"/>
    <row r="263697" customFormat="1" x14ac:dyDescent="0.25"/>
    <row r="263698" customFormat="1" x14ac:dyDescent="0.25"/>
    <row r="263699" customFormat="1" x14ac:dyDescent="0.25"/>
    <row r="263700" customFormat="1" x14ac:dyDescent="0.25"/>
    <row r="263701" customFormat="1" x14ac:dyDescent="0.25"/>
    <row r="263702" customFormat="1" x14ac:dyDescent="0.25"/>
    <row r="263703" customFormat="1" x14ac:dyDescent="0.25"/>
    <row r="263704" customFormat="1" x14ac:dyDescent="0.25"/>
    <row r="263705" customFormat="1" x14ac:dyDescent="0.25"/>
    <row r="263706" customFormat="1" x14ac:dyDescent="0.25"/>
    <row r="263707" customFormat="1" x14ac:dyDescent="0.25"/>
    <row r="263708" customFormat="1" x14ac:dyDescent="0.25"/>
    <row r="263709" customFormat="1" x14ac:dyDescent="0.25"/>
    <row r="263710" customFormat="1" x14ac:dyDescent="0.25"/>
    <row r="263711" customFormat="1" x14ac:dyDescent="0.25"/>
    <row r="263712" customFormat="1" x14ac:dyDescent="0.25"/>
    <row r="263713" customFormat="1" x14ac:dyDescent="0.25"/>
    <row r="263714" customFormat="1" x14ac:dyDescent="0.25"/>
    <row r="263715" customFormat="1" x14ac:dyDescent="0.25"/>
    <row r="263716" customFormat="1" x14ac:dyDescent="0.25"/>
    <row r="263717" customFormat="1" x14ac:dyDescent="0.25"/>
    <row r="263718" customFormat="1" x14ac:dyDescent="0.25"/>
    <row r="263719" customFormat="1" x14ac:dyDescent="0.25"/>
    <row r="263720" customFormat="1" x14ac:dyDescent="0.25"/>
    <row r="263721" customFormat="1" x14ac:dyDescent="0.25"/>
    <row r="263722" customFormat="1" x14ac:dyDescent="0.25"/>
    <row r="263723" customFormat="1" x14ac:dyDescent="0.25"/>
    <row r="263724" customFormat="1" x14ac:dyDescent="0.25"/>
    <row r="263725" customFormat="1" x14ac:dyDescent="0.25"/>
    <row r="263726" customFormat="1" x14ac:dyDescent="0.25"/>
    <row r="263727" customFormat="1" x14ac:dyDescent="0.25"/>
    <row r="263728" customFormat="1" x14ac:dyDescent="0.25"/>
    <row r="263729" customFormat="1" x14ac:dyDescent="0.25"/>
    <row r="263730" customFormat="1" x14ac:dyDescent="0.25"/>
    <row r="263731" customFormat="1" x14ac:dyDescent="0.25"/>
    <row r="263732" customFormat="1" x14ac:dyDescent="0.25"/>
    <row r="263733" customFormat="1" x14ac:dyDescent="0.25"/>
    <row r="263734" customFormat="1" x14ac:dyDescent="0.25"/>
    <row r="263735" customFormat="1" x14ac:dyDescent="0.25"/>
    <row r="263736" customFormat="1" x14ac:dyDescent="0.25"/>
    <row r="263737" customFormat="1" x14ac:dyDescent="0.25"/>
    <row r="263738" customFormat="1" x14ac:dyDescent="0.25"/>
    <row r="263739" customFormat="1" x14ac:dyDescent="0.25"/>
    <row r="263740" customFormat="1" x14ac:dyDescent="0.25"/>
    <row r="263741" customFormat="1" x14ac:dyDescent="0.25"/>
    <row r="263742" customFormat="1" x14ac:dyDescent="0.25"/>
    <row r="263743" customFormat="1" x14ac:dyDescent="0.25"/>
    <row r="263744" customFormat="1" x14ac:dyDescent="0.25"/>
    <row r="263745" customFormat="1" x14ac:dyDescent="0.25"/>
    <row r="263746" customFormat="1" x14ac:dyDescent="0.25"/>
    <row r="263747" customFormat="1" x14ac:dyDescent="0.25"/>
    <row r="263748" customFormat="1" x14ac:dyDescent="0.25"/>
    <row r="263749" customFormat="1" x14ac:dyDescent="0.25"/>
    <row r="263750" customFormat="1" x14ac:dyDescent="0.25"/>
    <row r="263751" customFormat="1" x14ac:dyDescent="0.25"/>
    <row r="263752" customFormat="1" x14ac:dyDescent="0.25"/>
    <row r="263753" customFormat="1" x14ac:dyDescent="0.25"/>
    <row r="263754" customFormat="1" x14ac:dyDescent="0.25"/>
    <row r="263755" customFormat="1" x14ac:dyDescent="0.25"/>
    <row r="263756" customFormat="1" x14ac:dyDescent="0.25"/>
    <row r="263757" customFormat="1" x14ac:dyDescent="0.25"/>
    <row r="263758" customFormat="1" x14ac:dyDescent="0.25"/>
    <row r="263759" customFormat="1" x14ac:dyDescent="0.25"/>
    <row r="263760" customFormat="1" x14ac:dyDescent="0.25"/>
    <row r="263761" customFormat="1" x14ac:dyDescent="0.25"/>
    <row r="263762" customFormat="1" x14ac:dyDescent="0.25"/>
    <row r="263763" customFormat="1" x14ac:dyDescent="0.25"/>
    <row r="263764" customFormat="1" x14ac:dyDescent="0.25"/>
    <row r="263765" customFormat="1" x14ac:dyDescent="0.25"/>
    <row r="263766" customFormat="1" x14ac:dyDescent="0.25"/>
    <row r="263767" customFormat="1" x14ac:dyDescent="0.25"/>
    <row r="263768" customFormat="1" x14ac:dyDescent="0.25"/>
    <row r="263769" customFormat="1" x14ac:dyDescent="0.25"/>
    <row r="263770" customFormat="1" x14ac:dyDescent="0.25"/>
    <row r="263771" customFormat="1" x14ac:dyDescent="0.25"/>
    <row r="263772" customFormat="1" x14ac:dyDescent="0.25"/>
    <row r="263773" customFormat="1" x14ac:dyDescent="0.25"/>
    <row r="263774" customFormat="1" x14ac:dyDescent="0.25"/>
    <row r="263775" customFormat="1" x14ac:dyDescent="0.25"/>
    <row r="263776" customFormat="1" x14ac:dyDescent="0.25"/>
    <row r="263777" customFormat="1" x14ac:dyDescent="0.25"/>
    <row r="263778" customFormat="1" x14ac:dyDescent="0.25"/>
    <row r="263779" customFormat="1" x14ac:dyDescent="0.25"/>
    <row r="263780" customFormat="1" x14ac:dyDescent="0.25"/>
    <row r="263781" customFormat="1" x14ac:dyDescent="0.25"/>
    <row r="263782" customFormat="1" x14ac:dyDescent="0.25"/>
    <row r="263783" customFormat="1" x14ac:dyDescent="0.25"/>
    <row r="263784" customFormat="1" x14ac:dyDescent="0.25"/>
    <row r="263785" customFormat="1" x14ac:dyDescent="0.25"/>
    <row r="263786" customFormat="1" x14ac:dyDescent="0.25"/>
    <row r="263787" customFormat="1" x14ac:dyDescent="0.25"/>
    <row r="263788" customFormat="1" x14ac:dyDescent="0.25"/>
    <row r="263789" customFormat="1" x14ac:dyDescent="0.25"/>
    <row r="263790" customFormat="1" x14ac:dyDescent="0.25"/>
    <row r="263791" customFormat="1" x14ac:dyDescent="0.25"/>
    <row r="263792" customFormat="1" x14ac:dyDescent="0.25"/>
    <row r="263793" customFormat="1" x14ac:dyDescent="0.25"/>
    <row r="263794" customFormat="1" x14ac:dyDescent="0.25"/>
    <row r="263795" customFormat="1" x14ac:dyDescent="0.25"/>
    <row r="263796" customFormat="1" x14ac:dyDescent="0.25"/>
    <row r="263797" customFormat="1" x14ac:dyDescent="0.25"/>
    <row r="263798" customFormat="1" x14ac:dyDescent="0.25"/>
    <row r="263799" customFormat="1" x14ac:dyDescent="0.25"/>
    <row r="263800" customFormat="1" x14ac:dyDescent="0.25"/>
    <row r="263801" customFormat="1" x14ac:dyDescent="0.25"/>
    <row r="263802" customFormat="1" x14ac:dyDescent="0.25"/>
    <row r="263803" customFormat="1" x14ac:dyDescent="0.25"/>
    <row r="263804" customFormat="1" x14ac:dyDescent="0.25"/>
    <row r="263805" customFormat="1" x14ac:dyDescent="0.25"/>
    <row r="263806" customFormat="1" x14ac:dyDescent="0.25"/>
    <row r="263807" customFormat="1" x14ac:dyDescent="0.25"/>
    <row r="263808" customFormat="1" x14ac:dyDescent="0.25"/>
    <row r="263809" customFormat="1" x14ac:dyDescent="0.25"/>
    <row r="263810" customFormat="1" x14ac:dyDescent="0.25"/>
    <row r="263811" customFormat="1" x14ac:dyDescent="0.25"/>
    <row r="263812" customFormat="1" x14ac:dyDescent="0.25"/>
    <row r="263813" customFormat="1" x14ac:dyDescent="0.25"/>
    <row r="263814" customFormat="1" x14ac:dyDescent="0.25"/>
    <row r="263815" customFormat="1" x14ac:dyDescent="0.25"/>
    <row r="263816" customFormat="1" x14ac:dyDescent="0.25"/>
    <row r="263817" customFormat="1" x14ac:dyDescent="0.25"/>
    <row r="263818" customFormat="1" x14ac:dyDescent="0.25"/>
    <row r="263819" customFormat="1" x14ac:dyDescent="0.25"/>
    <row r="263820" customFormat="1" x14ac:dyDescent="0.25"/>
    <row r="263821" customFormat="1" x14ac:dyDescent="0.25"/>
    <row r="263822" customFormat="1" x14ac:dyDescent="0.25"/>
    <row r="263823" customFormat="1" x14ac:dyDescent="0.25"/>
    <row r="263824" customFormat="1" x14ac:dyDescent="0.25"/>
    <row r="263825" customFormat="1" x14ac:dyDescent="0.25"/>
    <row r="263826" customFormat="1" x14ac:dyDescent="0.25"/>
    <row r="263827" customFormat="1" x14ac:dyDescent="0.25"/>
    <row r="263828" customFormat="1" x14ac:dyDescent="0.25"/>
    <row r="263829" customFormat="1" x14ac:dyDescent="0.25"/>
    <row r="263830" customFormat="1" x14ac:dyDescent="0.25"/>
    <row r="263831" customFormat="1" x14ac:dyDescent="0.25"/>
    <row r="263832" customFormat="1" x14ac:dyDescent="0.25"/>
    <row r="263833" customFormat="1" x14ac:dyDescent="0.25"/>
    <row r="263834" customFormat="1" x14ac:dyDescent="0.25"/>
    <row r="263835" customFormat="1" x14ac:dyDescent="0.25"/>
    <row r="263836" customFormat="1" x14ac:dyDescent="0.25"/>
    <row r="263837" customFormat="1" x14ac:dyDescent="0.25"/>
    <row r="263838" customFormat="1" x14ac:dyDescent="0.25"/>
    <row r="263839" customFormat="1" x14ac:dyDescent="0.25"/>
    <row r="263840" customFormat="1" x14ac:dyDescent="0.25"/>
    <row r="263841" customFormat="1" x14ac:dyDescent="0.25"/>
    <row r="263842" customFormat="1" x14ac:dyDescent="0.25"/>
    <row r="263843" customFormat="1" x14ac:dyDescent="0.25"/>
    <row r="263844" customFormat="1" x14ac:dyDescent="0.25"/>
    <row r="263845" customFormat="1" x14ac:dyDescent="0.25"/>
    <row r="263846" customFormat="1" x14ac:dyDescent="0.25"/>
    <row r="263847" customFormat="1" x14ac:dyDescent="0.25"/>
    <row r="263848" customFormat="1" x14ac:dyDescent="0.25"/>
    <row r="263849" customFormat="1" x14ac:dyDescent="0.25"/>
    <row r="263850" customFormat="1" x14ac:dyDescent="0.25"/>
    <row r="263851" customFormat="1" x14ac:dyDescent="0.25"/>
    <row r="263852" customFormat="1" x14ac:dyDescent="0.25"/>
    <row r="263853" customFormat="1" x14ac:dyDescent="0.25"/>
    <row r="263854" customFormat="1" x14ac:dyDescent="0.25"/>
    <row r="263855" customFormat="1" x14ac:dyDescent="0.25"/>
    <row r="263856" customFormat="1" x14ac:dyDescent="0.25"/>
    <row r="263857" customFormat="1" x14ac:dyDescent="0.25"/>
    <row r="263858" customFormat="1" x14ac:dyDescent="0.25"/>
    <row r="263859" customFormat="1" x14ac:dyDescent="0.25"/>
    <row r="263860" customFormat="1" x14ac:dyDescent="0.25"/>
    <row r="263861" customFormat="1" x14ac:dyDescent="0.25"/>
    <row r="263862" customFormat="1" x14ac:dyDescent="0.25"/>
    <row r="263863" customFormat="1" x14ac:dyDescent="0.25"/>
    <row r="263864" customFormat="1" x14ac:dyDescent="0.25"/>
    <row r="263865" customFormat="1" x14ac:dyDescent="0.25"/>
    <row r="263866" customFormat="1" x14ac:dyDescent="0.25"/>
    <row r="263867" customFormat="1" x14ac:dyDescent="0.25"/>
    <row r="263868" customFormat="1" x14ac:dyDescent="0.25"/>
    <row r="263869" customFormat="1" x14ac:dyDescent="0.25"/>
    <row r="263870" customFormat="1" x14ac:dyDescent="0.25"/>
    <row r="263871" customFormat="1" x14ac:dyDescent="0.25"/>
    <row r="263872" customFormat="1" x14ac:dyDescent="0.25"/>
    <row r="263873" customFormat="1" x14ac:dyDescent="0.25"/>
    <row r="263874" customFormat="1" x14ac:dyDescent="0.25"/>
    <row r="263875" customFormat="1" x14ac:dyDescent="0.25"/>
    <row r="263876" customFormat="1" x14ac:dyDescent="0.25"/>
    <row r="263877" customFormat="1" x14ac:dyDescent="0.25"/>
    <row r="263878" customFormat="1" x14ac:dyDescent="0.25"/>
    <row r="263879" customFormat="1" x14ac:dyDescent="0.25"/>
    <row r="263880" customFormat="1" x14ac:dyDescent="0.25"/>
    <row r="263881" customFormat="1" x14ac:dyDescent="0.25"/>
    <row r="263882" customFormat="1" x14ac:dyDescent="0.25"/>
    <row r="263883" customFormat="1" x14ac:dyDescent="0.25"/>
    <row r="263884" customFormat="1" x14ac:dyDescent="0.25"/>
    <row r="263885" customFormat="1" x14ac:dyDescent="0.25"/>
    <row r="263886" customFormat="1" x14ac:dyDescent="0.25"/>
    <row r="263887" customFormat="1" x14ac:dyDescent="0.25"/>
    <row r="263888" customFormat="1" x14ac:dyDescent="0.25"/>
    <row r="263889" customFormat="1" x14ac:dyDescent="0.25"/>
    <row r="263890" customFormat="1" x14ac:dyDescent="0.25"/>
    <row r="263891" customFormat="1" x14ac:dyDescent="0.25"/>
    <row r="263892" customFormat="1" x14ac:dyDescent="0.25"/>
    <row r="263893" customFormat="1" x14ac:dyDescent="0.25"/>
    <row r="263894" customFormat="1" x14ac:dyDescent="0.25"/>
    <row r="263895" customFormat="1" x14ac:dyDescent="0.25"/>
    <row r="263896" customFormat="1" x14ac:dyDescent="0.25"/>
    <row r="263897" customFormat="1" x14ac:dyDescent="0.25"/>
    <row r="263898" customFormat="1" x14ac:dyDescent="0.25"/>
    <row r="263899" customFormat="1" x14ac:dyDescent="0.25"/>
    <row r="263900" customFormat="1" x14ac:dyDescent="0.25"/>
    <row r="263901" customFormat="1" x14ac:dyDescent="0.25"/>
    <row r="263902" customFormat="1" x14ac:dyDescent="0.25"/>
    <row r="263903" customFormat="1" x14ac:dyDescent="0.25"/>
    <row r="263904" customFormat="1" x14ac:dyDescent="0.25"/>
    <row r="263905" customFormat="1" x14ac:dyDescent="0.25"/>
    <row r="263906" customFormat="1" x14ac:dyDescent="0.25"/>
    <row r="263907" customFormat="1" x14ac:dyDescent="0.25"/>
    <row r="263908" customFormat="1" x14ac:dyDescent="0.25"/>
    <row r="263909" customFormat="1" x14ac:dyDescent="0.25"/>
    <row r="263910" customFormat="1" x14ac:dyDescent="0.25"/>
    <row r="263911" customFormat="1" x14ac:dyDescent="0.25"/>
    <row r="263912" customFormat="1" x14ac:dyDescent="0.25"/>
    <row r="263913" customFormat="1" x14ac:dyDescent="0.25"/>
    <row r="263914" customFormat="1" x14ac:dyDescent="0.25"/>
    <row r="263915" customFormat="1" x14ac:dyDescent="0.25"/>
    <row r="263916" customFormat="1" x14ac:dyDescent="0.25"/>
    <row r="263917" customFormat="1" x14ac:dyDescent="0.25"/>
    <row r="263918" customFormat="1" x14ac:dyDescent="0.25"/>
    <row r="263919" customFormat="1" x14ac:dyDescent="0.25"/>
    <row r="263920" customFormat="1" x14ac:dyDescent="0.25"/>
    <row r="263921" customFormat="1" x14ac:dyDescent="0.25"/>
    <row r="263922" customFormat="1" x14ac:dyDescent="0.25"/>
    <row r="263923" customFormat="1" x14ac:dyDescent="0.25"/>
    <row r="263924" customFormat="1" x14ac:dyDescent="0.25"/>
    <row r="263925" customFormat="1" x14ac:dyDescent="0.25"/>
    <row r="263926" customFormat="1" x14ac:dyDescent="0.25"/>
    <row r="263927" customFormat="1" x14ac:dyDescent="0.25"/>
    <row r="263928" customFormat="1" x14ac:dyDescent="0.25"/>
    <row r="263929" customFormat="1" x14ac:dyDescent="0.25"/>
    <row r="263930" customFormat="1" x14ac:dyDescent="0.25"/>
    <row r="263931" customFormat="1" x14ac:dyDescent="0.25"/>
    <row r="263932" customFormat="1" x14ac:dyDescent="0.25"/>
    <row r="263933" customFormat="1" x14ac:dyDescent="0.25"/>
    <row r="263934" customFormat="1" x14ac:dyDescent="0.25"/>
    <row r="263935" customFormat="1" x14ac:dyDescent="0.25"/>
    <row r="263936" customFormat="1" x14ac:dyDescent="0.25"/>
    <row r="263937" customFormat="1" x14ac:dyDescent="0.25"/>
    <row r="263938" customFormat="1" x14ac:dyDescent="0.25"/>
    <row r="263939" customFormat="1" x14ac:dyDescent="0.25"/>
    <row r="263940" customFormat="1" x14ac:dyDescent="0.25"/>
    <row r="263941" customFormat="1" x14ac:dyDescent="0.25"/>
    <row r="263942" customFormat="1" x14ac:dyDescent="0.25"/>
    <row r="263943" customFormat="1" x14ac:dyDescent="0.25"/>
    <row r="263944" customFormat="1" x14ac:dyDescent="0.25"/>
    <row r="263945" customFormat="1" x14ac:dyDescent="0.25"/>
    <row r="263946" customFormat="1" x14ac:dyDescent="0.25"/>
    <row r="263947" customFormat="1" x14ac:dyDescent="0.25"/>
    <row r="263948" customFormat="1" x14ac:dyDescent="0.25"/>
    <row r="263949" customFormat="1" x14ac:dyDescent="0.25"/>
    <row r="263950" customFormat="1" x14ac:dyDescent="0.25"/>
    <row r="263951" customFormat="1" x14ac:dyDescent="0.25"/>
    <row r="263952" customFormat="1" x14ac:dyDescent="0.25"/>
    <row r="263953" customFormat="1" x14ac:dyDescent="0.25"/>
    <row r="263954" customFormat="1" x14ac:dyDescent="0.25"/>
    <row r="263955" customFormat="1" x14ac:dyDescent="0.25"/>
    <row r="263956" customFormat="1" x14ac:dyDescent="0.25"/>
    <row r="263957" customFormat="1" x14ac:dyDescent="0.25"/>
    <row r="263958" customFormat="1" x14ac:dyDescent="0.25"/>
    <row r="263959" customFormat="1" x14ac:dyDescent="0.25"/>
    <row r="263960" customFormat="1" x14ac:dyDescent="0.25"/>
    <row r="263961" customFormat="1" x14ac:dyDescent="0.25"/>
    <row r="263962" customFormat="1" x14ac:dyDescent="0.25"/>
    <row r="263963" customFormat="1" x14ac:dyDescent="0.25"/>
    <row r="263964" customFormat="1" x14ac:dyDescent="0.25"/>
    <row r="263965" customFormat="1" x14ac:dyDescent="0.25"/>
    <row r="263966" customFormat="1" x14ac:dyDescent="0.25"/>
    <row r="263967" customFormat="1" x14ac:dyDescent="0.25"/>
    <row r="263968" customFormat="1" x14ac:dyDescent="0.25"/>
    <row r="263969" customFormat="1" x14ac:dyDescent="0.25"/>
    <row r="263970" customFormat="1" x14ac:dyDescent="0.25"/>
    <row r="263971" customFormat="1" x14ac:dyDescent="0.25"/>
    <row r="263972" customFormat="1" x14ac:dyDescent="0.25"/>
    <row r="263973" customFormat="1" x14ac:dyDescent="0.25"/>
    <row r="263974" customFormat="1" x14ac:dyDescent="0.25"/>
    <row r="263975" customFormat="1" x14ac:dyDescent="0.25"/>
    <row r="263976" customFormat="1" x14ac:dyDescent="0.25"/>
    <row r="263977" customFormat="1" x14ac:dyDescent="0.25"/>
    <row r="263978" customFormat="1" x14ac:dyDescent="0.25"/>
    <row r="263979" customFormat="1" x14ac:dyDescent="0.25"/>
    <row r="263980" customFormat="1" x14ac:dyDescent="0.25"/>
    <row r="263981" customFormat="1" x14ac:dyDescent="0.25"/>
    <row r="263982" customFormat="1" x14ac:dyDescent="0.25"/>
    <row r="263983" customFormat="1" x14ac:dyDescent="0.25"/>
    <row r="263984" customFormat="1" x14ac:dyDescent="0.25"/>
    <row r="263985" customFormat="1" x14ac:dyDescent="0.25"/>
    <row r="263986" customFormat="1" x14ac:dyDescent="0.25"/>
    <row r="263987" customFormat="1" x14ac:dyDescent="0.25"/>
    <row r="263988" customFormat="1" x14ac:dyDescent="0.25"/>
    <row r="263989" customFormat="1" x14ac:dyDescent="0.25"/>
    <row r="263990" customFormat="1" x14ac:dyDescent="0.25"/>
    <row r="263991" customFormat="1" x14ac:dyDescent="0.25"/>
    <row r="263992" customFormat="1" x14ac:dyDescent="0.25"/>
    <row r="263993" customFormat="1" x14ac:dyDescent="0.25"/>
    <row r="263994" customFormat="1" x14ac:dyDescent="0.25"/>
    <row r="263995" customFormat="1" x14ac:dyDescent="0.25"/>
    <row r="263996" customFormat="1" x14ac:dyDescent="0.25"/>
    <row r="263997" customFormat="1" x14ac:dyDescent="0.25"/>
    <row r="263998" customFormat="1" x14ac:dyDescent="0.25"/>
    <row r="263999" customFormat="1" x14ac:dyDescent="0.25"/>
    <row r="264000" customFormat="1" x14ac:dyDescent="0.25"/>
    <row r="264001" customFormat="1" x14ac:dyDescent="0.25"/>
    <row r="264002" customFormat="1" x14ac:dyDescent="0.25"/>
    <row r="264003" customFormat="1" x14ac:dyDescent="0.25"/>
    <row r="264004" customFormat="1" x14ac:dyDescent="0.25"/>
    <row r="264005" customFormat="1" x14ac:dyDescent="0.25"/>
    <row r="264006" customFormat="1" x14ac:dyDescent="0.25"/>
    <row r="264007" customFormat="1" x14ac:dyDescent="0.25"/>
    <row r="264008" customFormat="1" x14ac:dyDescent="0.25"/>
    <row r="264009" customFormat="1" x14ac:dyDescent="0.25"/>
    <row r="264010" customFormat="1" x14ac:dyDescent="0.25"/>
    <row r="264011" customFormat="1" x14ac:dyDescent="0.25"/>
    <row r="264012" customFormat="1" x14ac:dyDescent="0.25"/>
    <row r="264013" customFormat="1" x14ac:dyDescent="0.25"/>
    <row r="264014" customFormat="1" x14ac:dyDescent="0.25"/>
    <row r="264015" customFormat="1" x14ac:dyDescent="0.25"/>
    <row r="264016" customFormat="1" x14ac:dyDescent="0.25"/>
    <row r="264017" customFormat="1" x14ac:dyDescent="0.25"/>
    <row r="264018" customFormat="1" x14ac:dyDescent="0.25"/>
    <row r="264019" customFormat="1" x14ac:dyDescent="0.25"/>
    <row r="264020" customFormat="1" x14ac:dyDescent="0.25"/>
    <row r="264021" customFormat="1" x14ac:dyDescent="0.25"/>
    <row r="264022" customFormat="1" x14ac:dyDescent="0.25"/>
    <row r="264023" customFormat="1" x14ac:dyDescent="0.25"/>
    <row r="264024" customFormat="1" x14ac:dyDescent="0.25"/>
    <row r="264025" customFormat="1" x14ac:dyDescent="0.25"/>
    <row r="264026" customFormat="1" x14ac:dyDescent="0.25"/>
    <row r="264027" customFormat="1" x14ac:dyDescent="0.25"/>
    <row r="264028" customFormat="1" x14ac:dyDescent="0.25"/>
    <row r="264029" customFormat="1" x14ac:dyDescent="0.25"/>
    <row r="264030" customFormat="1" x14ac:dyDescent="0.25"/>
    <row r="264031" customFormat="1" x14ac:dyDescent="0.25"/>
    <row r="264032" customFormat="1" x14ac:dyDescent="0.25"/>
    <row r="264033" customFormat="1" x14ac:dyDescent="0.25"/>
    <row r="264034" customFormat="1" x14ac:dyDescent="0.25"/>
    <row r="264035" customFormat="1" x14ac:dyDescent="0.25"/>
    <row r="264036" customFormat="1" x14ac:dyDescent="0.25"/>
    <row r="264037" customFormat="1" x14ac:dyDescent="0.25"/>
    <row r="264038" customFormat="1" x14ac:dyDescent="0.25"/>
    <row r="264039" customFormat="1" x14ac:dyDescent="0.25"/>
    <row r="264040" customFormat="1" x14ac:dyDescent="0.25"/>
    <row r="264041" customFormat="1" x14ac:dyDescent="0.25"/>
    <row r="264042" customFormat="1" x14ac:dyDescent="0.25"/>
    <row r="264043" customFormat="1" x14ac:dyDescent="0.25"/>
    <row r="264044" customFormat="1" x14ac:dyDescent="0.25"/>
    <row r="264045" customFormat="1" x14ac:dyDescent="0.25"/>
    <row r="264046" customFormat="1" x14ac:dyDescent="0.25"/>
    <row r="264047" customFormat="1" x14ac:dyDescent="0.25"/>
    <row r="264048" customFormat="1" x14ac:dyDescent="0.25"/>
    <row r="264049" customFormat="1" x14ac:dyDescent="0.25"/>
    <row r="264050" customFormat="1" x14ac:dyDescent="0.25"/>
    <row r="264051" customFormat="1" x14ac:dyDescent="0.25"/>
    <row r="264052" customFormat="1" x14ac:dyDescent="0.25"/>
    <row r="264053" customFormat="1" x14ac:dyDescent="0.25"/>
    <row r="264054" customFormat="1" x14ac:dyDescent="0.25"/>
    <row r="264055" customFormat="1" x14ac:dyDescent="0.25"/>
    <row r="264056" customFormat="1" x14ac:dyDescent="0.25"/>
    <row r="264057" customFormat="1" x14ac:dyDescent="0.25"/>
    <row r="264058" customFormat="1" x14ac:dyDescent="0.25"/>
    <row r="264059" customFormat="1" x14ac:dyDescent="0.25"/>
    <row r="264060" customFormat="1" x14ac:dyDescent="0.25"/>
    <row r="264061" customFormat="1" x14ac:dyDescent="0.25"/>
    <row r="264062" customFormat="1" x14ac:dyDescent="0.25"/>
    <row r="264063" customFormat="1" x14ac:dyDescent="0.25"/>
    <row r="264064" customFormat="1" x14ac:dyDescent="0.25"/>
    <row r="264065" customFormat="1" x14ac:dyDescent="0.25"/>
    <row r="264066" customFormat="1" x14ac:dyDescent="0.25"/>
    <row r="264067" customFormat="1" x14ac:dyDescent="0.25"/>
    <row r="264068" customFormat="1" x14ac:dyDescent="0.25"/>
    <row r="264069" customFormat="1" x14ac:dyDescent="0.25"/>
    <row r="264070" customFormat="1" x14ac:dyDescent="0.25"/>
    <row r="264071" customFormat="1" x14ac:dyDescent="0.25"/>
    <row r="264072" customFormat="1" x14ac:dyDescent="0.25"/>
    <row r="264073" customFormat="1" x14ac:dyDescent="0.25"/>
    <row r="264074" customFormat="1" x14ac:dyDescent="0.25"/>
    <row r="264075" customFormat="1" x14ac:dyDescent="0.25"/>
    <row r="264076" customFormat="1" x14ac:dyDescent="0.25"/>
    <row r="264077" customFormat="1" x14ac:dyDescent="0.25"/>
    <row r="264078" customFormat="1" x14ac:dyDescent="0.25"/>
    <row r="264079" customFormat="1" x14ac:dyDescent="0.25"/>
    <row r="264080" customFormat="1" x14ac:dyDescent="0.25"/>
    <row r="264081" customFormat="1" x14ac:dyDescent="0.25"/>
    <row r="264082" customFormat="1" x14ac:dyDescent="0.25"/>
    <row r="264083" customFormat="1" x14ac:dyDescent="0.25"/>
    <row r="264084" customFormat="1" x14ac:dyDescent="0.25"/>
    <row r="264085" customFormat="1" x14ac:dyDescent="0.25"/>
    <row r="264086" customFormat="1" x14ac:dyDescent="0.25"/>
    <row r="264087" customFormat="1" x14ac:dyDescent="0.25"/>
    <row r="264088" customFormat="1" x14ac:dyDescent="0.25"/>
    <row r="264089" customFormat="1" x14ac:dyDescent="0.25"/>
    <row r="264090" customFormat="1" x14ac:dyDescent="0.25"/>
    <row r="264091" customFormat="1" x14ac:dyDescent="0.25"/>
    <row r="264092" customFormat="1" x14ac:dyDescent="0.25"/>
    <row r="264093" customFormat="1" x14ac:dyDescent="0.25"/>
    <row r="264094" customFormat="1" x14ac:dyDescent="0.25"/>
    <row r="264095" customFormat="1" x14ac:dyDescent="0.25"/>
    <row r="264096" customFormat="1" x14ac:dyDescent="0.25"/>
    <row r="264097" customFormat="1" x14ac:dyDescent="0.25"/>
    <row r="264098" customFormat="1" x14ac:dyDescent="0.25"/>
    <row r="264099" customFormat="1" x14ac:dyDescent="0.25"/>
    <row r="264100" customFormat="1" x14ac:dyDescent="0.25"/>
    <row r="264101" customFormat="1" x14ac:dyDescent="0.25"/>
    <row r="264102" customFormat="1" x14ac:dyDescent="0.25"/>
    <row r="264103" customFormat="1" x14ac:dyDescent="0.25"/>
    <row r="264104" customFormat="1" x14ac:dyDescent="0.25"/>
    <row r="264105" customFormat="1" x14ac:dyDescent="0.25"/>
    <row r="264106" customFormat="1" x14ac:dyDescent="0.25"/>
    <row r="264107" customFormat="1" x14ac:dyDescent="0.25"/>
    <row r="264108" customFormat="1" x14ac:dyDescent="0.25"/>
    <row r="264109" customFormat="1" x14ac:dyDescent="0.25"/>
    <row r="264110" customFormat="1" x14ac:dyDescent="0.25"/>
    <row r="264111" customFormat="1" x14ac:dyDescent="0.25"/>
    <row r="264112" customFormat="1" x14ac:dyDescent="0.25"/>
    <row r="264113" customFormat="1" x14ac:dyDescent="0.25"/>
    <row r="264114" customFormat="1" x14ac:dyDescent="0.25"/>
    <row r="264115" customFormat="1" x14ac:dyDescent="0.25"/>
    <row r="264116" customFormat="1" x14ac:dyDescent="0.25"/>
    <row r="264117" customFormat="1" x14ac:dyDescent="0.25"/>
    <row r="264118" customFormat="1" x14ac:dyDescent="0.25"/>
    <row r="264119" customFormat="1" x14ac:dyDescent="0.25"/>
    <row r="264120" customFormat="1" x14ac:dyDescent="0.25"/>
    <row r="264121" customFormat="1" x14ac:dyDescent="0.25"/>
    <row r="264122" customFormat="1" x14ac:dyDescent="0.25"/>
    <row r="264123" customFormat="1" x14ac:dyDescent="0.25"/>
    <row r="264124" customFormat="1" x14ac:dyDescent="0.25"/>
    <row r="264125" customFormat="1" x14ac:dyDescent="0.25"/>
    <row r="264126" customFormat="1" x14ac:dyDescent="0.25"/>
    <row r="264127" customFormat="1" x14ac:dyDescent="0.25"/>
    <row r="264128" customFormat="1" x14ac:dyDescent="0.25"/>
    <row r="264129" customFormat="1" x14ac:dyDescent="0.25"/>
    <row r="264130" customFormat="1" x14ac:dyDescent="0.25"/>
    <row r="264131" customFormat="1" x14ac:dyDescent="0.25"/>
    <row r="264132" customFormat="1" x14ac:dyDescent="0.25"/>
    <row r="264133" customFormat="1" x14ac:dyDescent="0.25"/>
    <row r="264134" customFormat="1" x14ac:dyDescent="0.25"/>
    <row r="264135" customFormat="1" x14ac:dyDescent="0.25"/>
    <row r="264136" customFormat="1" x14ac:dyDescent="0.25"/>
    <row r="264137" customFormat="1" x14ac:dyDescent="0.25"/>
    <row r="264138" customFormat="1" x14ac:dyDescent="0.25"/>
    <row r="264139" customFormat="1" x14ac:dyDescent="0.25"/>
    <row r="264140" customFormat="1" x14ac:dyDescent="0.25"/>
    <row r="264141" customFormat="1" x14ac:dyDescent="0.25"/>
    <row r="264142" customFormat="1" x14ac:dyDescent="0.25"/>
    <row r="264143" customFormat="1" x14ac:dyDescent="0.25"/>
    <row r="264144" customFormat="1" x14ac:dyDescent="0.25"/>
    <row r="264145" customFormat="1" x14ac:dyDescent="0.25"/>
    <row r="264146" customFormat="1" x14ac:dyDescent="0.25"/>
    <row r="264147" customFormat="1" x14ac:dyDescent="0.25"/>
    <row r="264148" customFormat="1" x14ac:dyDescent="0.25"/>
    <row r="264149" customFormat="1" x14ac:dyDescent="0.25"/>
    <row r="264150" customFormat="1" x14ac:dyDescent="0.25"/>
    <row r="264151" customFormat="1" x14ac:dyDescent="0.25"/>
    <row r="264152" customFormat="1" x14ac:dyDescent="0.25"/>
    <row r="264153" customFormat="1" x14ac:dyDescent="0.25"/>
    <row r="264154" customFormat="1" x14ac:dyDescent="0.25"/>
    <row r="264155" customFormat="1" x14ac:dyDescent="0.25"/>
    <row r="264156" customFormat="1" x14ac:dyDescent="0.25"/>
    <row r="264157" customFormat="1" x14ac:dyDescent="0.25"/>
    <row r="264158" customFormat="1" x14ac:dyDescent="0.25"/>
    <row r="264159" customFormat="1" x14ac:dyDescent="0.25"/>
    <row r="264160" customFormat="1" x14ac:dyDescent="0.25"/>
    <row r="264161" customFormat="1" x14ac:dyDescent="0.25"/>
    <row r="264162" customFormat="1" x14ac:dyDescent="0.25"/>
    <row r="264163" customFormat="1" x14ac:dyDescent="0.25"/>
    <row r="264164" customFormat="1" x14ac:dyDescent="0.25"/>
    <row r="264165" customFormat="1" x14ac:dyDescent="0.25"/>
    <row r="264166" customFormat="1" x14ac:dyDescent="0.25"/>
    <row r="264167" customFormat="1" x14ac:dyDescent="0.25"/>
    <row r="264168" customFormat="1" x14ac:dyDescent="0.25"/>
    <row r="264169" customFormat="1" x14ac:dyDescent="0.25"/>
    <row r="264170" customFormat="1" x14ac:dyDescent="0.25"/>
    <row r="264171" customFormat="1" x14ac:dyDescent="0.25"/>
    <row r="264172" customFormat="1" x14ac:dyDescent="0.25"/>
    <row r="264173" customFormat="1" x14ac:dyDescent="0.25"/>
    <row r="264174" customFormat="1" x14ac:dyDescent="0.25"/>
    <row r="264175" customFormat="1" x14ac:dyDescent="0.25"/>
    <row r="264176" customFormat="1" x14ac:dyDescent="0.25"/>
    <row r="264177" customFormat="1" x14ac:dyDescent="0.25"/>
    <row r="264178" customFormat="1" x14ac:dyDescent="0.25"/>
    <row r="264179" customFormat="1" x14ac:dyDescent="0.25"/>
    <row r="264180" customFormat="1" x14ac:dyDescent="0.25"/>
    <row r="264181" customFormat="1" x14ac:dyDescent="0.25"/>
    <row r="264182" customFormat="1" x14ac:dyDescent="0.25"/>
    <row r="264183" customFormat="1" x14ac:dyDescent="0.25"/>
    <row r="264184" customFormat="1" x14ac:dyDescent="0.25"/>
    <row r="264185" customFormat="1" x14ac:dyDescent="0.25"/>
    <row r="264186" customFormat="1" x14ac:dyDescent="0.25"/>
    <row r="264187" customFormat="1" x14ac:dyDescent="0.25"/>
    <row r="264188" customFormat="1" x14ac:dyDescent="0.25"/>
    <row r="264189" customFormat="1" x14ac:dyDescent="0.25"/>
    <row r="264190" customFormat="1" x14ac:dyDescent="0.25"/>
    <row r="264191" customFormat="1" x14ac:dyDescent="0.25"/>
    <row r="264192" customFormat="1" x14ac:dyDescent="0.25"/>
    <row r="264193" customFormat="1" x14ac:dyDescent="0.25"/>
    <row r="264194" customFormat="1" x14ac:dyDescent="0.25"/>
    <row r="264195" customFormat="1" x14ac:dyDescent="0.25"/>
    <row r="264196" customFormat="1" x14ac:dyDescent="0.25"/>
    <row r="264197" customFormat="1" x14ac:dyDescent="0.25"/>
    <row r="264198" customFormat="1" x14ac:dyDescent="0.25"/>
    <row r="264199" customFormat="1" x14ac:dyDescent="0.25"/>
    <row r="264200" customFormat="1" x14ac:dyDescent="0.25"/>
    <row r="264201" customFormat="1" x14ac:dyDescent="0.25"/>
    <row r="264202" customFormat="1" x14ac:dyDescent="0.25"/>
    <row r="264203" customFormat="1" x14ac:dyDescent="0.25"/>
    <row r="264204" customFormat="1" x14ac:dyDescent="0.25"/>
    <row r="264205" customFormat="1" x14ac:dyDescent="0.25"/>
    <row r="264206" customFormat="1" x14ac:dyDescent="0.25"/>
    <row r="264207" customFormat="1" x14ac:dyDescent="0.25"/>
    <row r="264208" customFormat="1" x14ac:dyDescent="0.25"/>
    <row r="264209" customFormat="1" x14ac:dyDescent="0.25"/>
    <row r="264210" customFormat="1" x14ac:dyDescent="0.25"/>
    <row r="264211" customFormat="1" x14ac:dyDescent="0.25"/>
    <row r="264212" customFormat="1" x14ac:dyDescent="0.25"/>
    <row r="264213" customFormat="1" x14ac:dyDescent="0.25"/>
    <row r="264214" customFormat="1" x14ac:dyDescent="0.25"/>
    <row r="264215" customFormat="1" x14ac:dyDescent="0.25"/>
    <row r="264216" customFormat="1" x14ac:dyDescent="0.25"/>
    <row r="264217" customFormat="1" x14ac:dyDescent="0.25"/>
    <row r="264218" customFormat="1" x14ac:dyDescent="0.25"/>
    <row r="264219" customFormat="1" x14ac:dyDescent="0.25"/>
    <row r="264220" customFormat="1" x14ac:dyDescent="0.25"/>
    <row r="264221" customFormat="1" x14ac:dyDescent="0.25"/>
    <row r="264222" customFormat="1" x14ac:dyDescent="0.25"/>
    <row r="264223" customFormat="1" x14ac:dyDescent="0.25"/>
    <row r="264224" customFormat="1" x14ac:dyDescent="0.25"/>
    <row r="264225" customFormat="1" x14ac:dyDescent="0.25"/>
    <row r="264226" customFormat="1" x14ac:dyDescent="0.25"/>
    <row r="264227" customFormat="1" x14ac:dyDescent="0.25"/>
    <row r="264228" customFormat="1" x14ac:dyDescent="0.25"/>
    <row r="264229" customFormat="1" x14ac:dyDescent="0.25"/>
    <row r="264230" customFormat="1" x14ac:dyDescent="0.25"/>
    <row r="264231" customFormat="1" x14ac:dyDescent="0.25"/>
    <row r="264232" customFormat="1" x14ac:dyDescent="0.25"/>
    <row r="264233" customFormat="1" x14ac:dyDescent="0.25"/>
    <row r="264234" customFormat="1" x14ac:dyDescent="0.25"/>
    <row r="264235" customFormat="1" x14ac:dyDescent="0.25"/>
    <row r="264236" customFormat="1" x14ac:dyDescent="0.25"/>
    <row r="264237" customFormat="1" x14ac:dyDescent="0.25"/>
    <row r="264238" customFormat="1" x14ac:dyDescent="0.25"/>
    <row r="264239" customFormat="1" x14ac:dyDescent="0.25"/>
    <row r="264240" customFormat="1" x14ac:dyDescent="0.25"/>
    <row r="264241" customFormat="1" x14ac:dyDescent="0.25"/>
    <row r="264242" customFormat="1" x14ac:dyDescent="0.25"/>
    <row r="264243" customFormat="1" x14ac:dyDescent="0.25"/>
    <row r="264244" customFormat="1" x14ac:dyDescent="0.25"/>
    <row r="264245" customFormat="1" x14ac:dyDescent="0.25"/>
    <row r="264246" customFormat="1" x14ac:dyDescent="0.25"/>
    <row r="264247" customFormat="1" x14ac:dyDescent="0.25"/>
    <row r="264248" customFormat="1" x14ac:dyDescent="0.25"/>
    <row r="264249" customFormat="1" x14ac:dyDescent="0.25"/>
    <row r="264250" customFormat="1" x14ac:dyDescent="0.25"/>
    <row r="264251" customFormat="1" x14ac:dyDescent="0.25"/>
    <row r="264252" customFormat="1" x14ac:dyDescent="0.25"/>
    <row r="264253" customFormat="1" x14ac:dyDescent="0.25"/>
    <row r="264254" customFormat="1" x14ac:dyDescent="0.25"/>
    <row r="264255" customFormat="1" x14ac:dyDescent="0.25"/>
    <row r="264256" customFormat="1" x14ac:dyDescent="0.25"/>
    <row r="264257" customFormat="1" x14ac:dyDescent="0.25"/>
    <row r="264258" customFormat="1" x14ac:dyDescent="0.25"/>
    <row r="264259" customFormat="1" x14ac:dyDescent="0.25"/>
    <row r="264260" customFormat="1" x14ac:dyDescent="0.25"/>
    <row r="264261" customFormat="1" x14ac:dyDescent="0.25"/>
    <row r="264262" customFormat="1" x14ac:dyDescent="0.25"/>
    <row r="264263" customFormat="1" x14ac:dyDescent="0.25"/>
    <row r="264264" customFormat="1" x14ac:dyDescent="0.25"/>
    <row r="264265" customFormat="1" x14ac:dyDescent="0.25"/>
    <row r="264266" customFormat="1" x14ac:dyDescent="0.25"/>
    <row r="264267" customFormat="1" x14ac:dyDescent="0.25"/>
    <row r="264268" customFormat="1" x14ac:dyDescent="0.25"/>
    <row r="264269" customFormat="1" x14ac:dyDescent="0.25"/>
    <row r="264270" customFormat="1" x14ac:dyDescent="0.25"/>
    <row r="264271" customFormat="1" x14ac:dyDescent="0.25"/>
    <row r="264272" customFormat="1" x14ac:dyDescent="0.25"/>
    <row r="264273" customFormat="1" x14ac:dyDescent="0.25"/>
    <row r="264274" customFormat="1" x14ac:dyDescent="0.25"/>
    <row r="264275" customFormat="1" x14ac:dyDescent="0.25"/>
    <row r="264276" customFormat="1" x14ac:dyDescent="0.25"/>
    <row r="264277" customFormat="1" x14ac:dyDescent="0.25"/>
    <row r="264278" customFormat="1" x14ac:dyDescent="0.25"/>
    <row r="264279" customFormat="1" x14ac:dyDescent="0.25"/>
    <row r="264280" customFormat="1" x14ac:dyDescent="0.25"/>
    <row r="264281" customFormat="1" x14ac:dyDescent="0.25"/>
    <row r="264282" customFormat="1" x14ac:dyDescent="0.25"/>
    <row r="264283" customFormat="1" x14ac:dyDescent="0.25"/>
    <row r="264284" customFormat="1" x14ac:dyDescent="0.25"/>
    <row r="264285" customFormat="1" x14ac:dyDescent="0.25"/>
    <row r="264286" customFormat="1" x14ac:dyDescent="0.25"/>
    <row r="264287" customFormat="1" x14ac:dyDescent="0.25"/>
    <row r="264288" customFormat="1" x14ac:dyDescent="0.25"/>
    <row r="264289" customFormat="1" x14ac:dyDescent="0.25"/>
    <row r="264290" customFormat="1" x14ac:dyDescent="0.25"/>
    <row r="264291" customFormat="1" x14ac:dyDescent="0.25"/>
    <row r="264292" customFormat="1" x14ac:dyDescent="0.25"/>
    <row r="264293" customFormat="1" x14ac:dyDescent="0.25"/>
    <row r="264294" customFormat="1" x14ac:dyDescent="0.25"/>
    <row r="264295" customFormat="1" x14ac:dyDescent="0.25"/>
    <row r="264296" customFormat="1" x14ac:dyDescent="0.25"/>
    <row r="264297" customFormat="1" x14ac:dyDescent="0.25"/>
    <row r="264298" customFormat="1" x14ac:dyDescent="0.25"/>
    <row r="264299" customFormat="1" x14ac:dyDescent="0.25"/>
    <row r="264300" customFormat="1" x14ac:dyDescent="0.25"/>
    <row r="264301" customFormat="1" x14ac:dyDescent="0.25"/>
    <row r="264302" customFormat="1" x14ac:dyDescent="0.25"/>
    <row r="264303" customFormat="1" x14ac:dyDescent="0.25"/>
    <row r="264304" customFormat="1" x14ac:dyDescent="0.25"/>
    <row r="264305" customFormat="1" x14ac:dyDescent="0.25"/>
    <row r="264306" customFormat="1" x14ac:dyDescent="0.25"/>
    <row r="264307" customFormat="1" x14ac:dyDescent="0.25"/>
    <row r="264308" customFormat="1" x14ac:dyDescent="0.25"/>
    <row r="264309" customFormat="1" x14ac:dyDescent="0.25"/>
    <row r="264310" customFormat="1" x14ac:dyDescent="0.25"/>
    <row r="264311" customFormat="1" x14ac:dyDescent="0.25"/>
    <row r="264312" customFormat="1" x14ac:dyDescent="0.25"/>
    <row r="264313" customFormat="1" x14ac:dyDescent="0.25"/>
    <row r="264314" customFormat="1" x14ac:dyDescent="0.25"/>
    <row r="264315" customFormat="1" x14ac:dyDescent="0.25"/>
    <row r="264316" customFormat="1" x14ac:dyDescent="0.25"/>
    <row r="264317" customFormat="1" x14ac:dyDescent="0.25"/>
    <row r="264318" customFormat="1" x14ac:dyDescent="0.25"/>
    <row r="264319" customFormat="1" x14ac:dyDescent="0.25"/>
    <row r="264320" customFormat="1" x14ac:dyDescent="0.25"/>
    <row r="264321" customFormat="1" x14ac:dyDescent="0.25"/>
    <row r="264322" customFormat="1" x14ac:dyDescent="0.25"/>
    <row r="264323" customFormat="1" x14ac:dyDescent="0.25"/>
    <row r="264324" customFormat="1" x14ac:dyDescent="0.25"/>
    <row r="264325" customFormat="1" x14ac:dyDescent="0.25"/>
    <row r="264326" customFormat="1" x14ac:dyDescent="0.25"/>
    <row r="264327" customFormat="1" x14ac:dyDescent="0.25"/>
    <row r="264328" customFormat="1" x14ac:dyDescent="0.25"/>
    <row r="264329" customFormat="1" x14ac:dyDescent="0.25"/>
    <row r="264330" customFormat="1" x14ac:dyDescent="0.25"/>
    <row r="264331" customFormat="1" x14ac:dyDescent="0.25"/>
    <row r="264332" customFormat="1" x14ac:dyDescent="0.25"/>
    <row r="264333" customFormat="1" x14ac:dyDescent="0.25"/>
    <row r="264334" customFormat="1" x14ac:dyDescent="0.25"/>
    <row r="264335" customFormat="1" x14ac:dyDescent="0.25"/>
    <row r="264336" customFormat="1" x14ac:dyDescent="0.25"/>
    <row r="264337" customFormat="1" x14ac:dyDescent="0.25"/>
    <row r="264338" customFormat="1" x14ac:dyDescent="0.25"/>
    <row r="264339" customFormat="1" x14ac:dyDescent="0.25"/>
    <row r="264340" customFormat="1" x14ac:dyDescent="0.25"/>
    <row r="264341" customFormat="1" x14ac:dyDescent="0.25"/>
    <row r="264342" customFormat="1" x14ac:dyDescent="0.25"/>
    <row r="264343" customFormat="1" x14ac:dyDescent="0.25"/>
    <row r="264344" customFormat="1" x14ac:dyDescent="0.25"/>
    <row r="264345" customFormat="1" x14ac:dyDescent="0.25"/>
    <row r="264346" customFormat="1" x14ac:dyDescent="0.25"/>
    <row r="264347" customFormat="1" x14ac:dyDescent="0.25"/>
    <row r="264348" customFormat="1" x14ac:dyDescent="0.25"/>
    <row r="264349" customFormat="1" x14ac:dyDescent="0.25"/>
    <row r="264350" customFormat="1" x14ac:dyDescent="0.25"/>
    <row r="264351" customFormat="1" x14ac:dyDescent="0.25"/>
    <row r="264352" customFormat="1" x14ac:dyDescent="0.25"/>
    <row r="264353" customFormat="1" x14ac:dyDescent="0.25"/>
    <row r="264354" customFormat="1" x14ac:dyDescent="0.25"/>
    <row r="264355" customFormat="1" x14ac:dyDescent="0.25"/>
    <row r="264356" customFormat="1" x14ac:dyDescent="0.25"/>
    <row r="264357" customFormat="1" x14ac:dyDescent="0.25"/>
    <row r="264358" customFormat="1" x14ac:dyDescent="0.25"/>
    <row r="264359" customFormat="1" x14ac:dyDescent="0.25"/>
    <row r="264360" customFormat="1" x14ac:dyDescent="0.25"/>
    <row r="264361" customFormat="1" x14ac:dyDescent="0.25"/>
    <row r="264362" customFormat="1" x14ac:dyDescent="0.25"/>
    <row r="264363" customFormat="1" x14ac:dyDescent="0.25"/>
    <row r="264364" customFormat="1" x14ac:dyDescent="0.25"/>
    <row r="264365" customFormat="1" x14ac:dyDescent="0.25"/>
    <row r="264366" customFormat="1" x14ac:dyDescent="0.25"/>
    <row r="264367" customFormat="1" x14ac:dyDescent="0.25"/>
    <row r="264368" customFormat="1" x14ac:dyDescent="0.25"/>
    <row r="264369" customFormat="1" x14ac:dyDescent="0.25"/>
    <row r="264370" customFormat="1" x14ac:dyDescent="0.25"/>
    <row r="264371" customFormat="1" x14ac:dyDescent="0.25"/>
    <row r="264372" customFormat="1" x14ac:dyDescent="0.25"/>
    <row r="264373" customFormat="1" x14ac:dyDescent="0.25"/>
    <row r="264374" customFormat="1" x14ac:dyDescent="0.25"/>
    <row r="264375" customFormat="1" x14ac:dyDescent="0.25"/>
    <row r="264376" customFormat="1" x14ac:dyDescent="0.25"/>
    <row r="264377" customFormat="1" x14ac:dyDescent="0.25"/>
    <row r="264378" customFormat="1" x14ac:dyDescent="0.25"/>
    <row r="264379" customFormat="1" x14ac:dyDescent="0.25"/>
    <row r="264380" customFormat="1" x14ac:dyDescent="0.25"/>
    <row r="264381" customFormat="1" x14ac:dyDescent="0.25"/>
    <row r="264382" customFormat="1" x14ac:dyDescent="0.25"/>
    <row r="264383" customFormat="1" x14ac:dyDescent="0.25"/>
    <row r="264384" customFormat="1" x14ac:dyDescent="0.25"/>
    <row r="264385" customFormat="1" x14ac:dyDescent="0.25"/>
    <row r="264386" customFormat="1" x14ac:dyDescent="0.25"/>
    <row r="264387" customFormat="1" x14ac:dyDescent="0.25"/>
    <row r="264388" customFormat="1" x14ac:dyDescent="0.25"/>
    <row r="264389" customFormat="1" x14ac:dyDescent="0.25"/>
    <row r="264390" customFormat="1" x14ac:dyDescent="0.25"/>
    <row r="264391" customFormat="1" x14ac:dyDescent="0.25"/>
    <row r="264392" customFormat="1" x14ac:dyDescent="0.25"/>
    <row r="264393" customFormat="1" x14ac:dyDescent="0.25"/>
    <row r="264394" customFormat="1" x14ac:dyDescent="0.25"/>
    <row r="264395" customFormat="1" x14ac:dyDescent="0.25"/>
    <row r="264396" customFormat="1" x14ac:dyDescent="0.25"/>
    <row r="264397" customFormat="1" x14ac:dyDescent="0.25"/>
    <row r="264398" customFormat="1" x14ac:dyDescent="0.25"/>
    <row r="264399" customFormat="1" x14ac:dyDescent="0.25"/>
    <row r="264400" customFormat="1" x14ac:dyDescent="0.25"/>
    <row r="264401" customFormat="1" x14ac:dyDescent="0.25"/>
    <row r="264402" customFormat="1" x14ac:dyDescent="0.25"/>
    <row r="264403" customFormat="1" x14ac:dyDescent="0.25"/>
    <row r="264404" customFormat="1" x14ac:dyDescent="0.25"/>
    <row r="264405" customFormat="1" x14ac:dyDescent="0.25"/>
    <row r="264406" customFormat="1" x14ac:dyDescent="0.25"/>
    <row r="264407" customFormat="1" x14ac:dyDescent="0.25"/>
    <row r="264408" customFormat="1" x14ac:dyDescent="0.25"/>
    <row r="264409" customFormat="1" x14ac:dyDescent="0.25"/>
    <row r="264410" customFormat="1" x14ac:dyDescent="0.25"/>
    <row r="264411" customFormat="1" x14ac:dyDescent="0.25"/>
    <row r="264412" customFormat="1" x14ac:dyDescent="0.25"/>
    <row r="264413" customFormat="1" x14ac:dyDescent="0.25"/>
    <row r="264414" customFormat="1" x14ac:dyDescent="0.25"/>
    <row r="264415" customFormat="1" x14ac:dyDescent="0.25"/>
    <row r="264416" customFormat="1" x14ac:dyDescent="0.25"/>
    <row r="264417" customFormat="1" x14ac:dyDescent="0.25"/>
    <row r="264418" customFormat="1" x14ac:dyDescent="0.25"/>
    <row r="264419" customFormat="1" x14ac:dyDescent="0.25"/>
    <row r="264420" customFormat="1" x14ac:dyDescent="0.25"/>
    <row r="264421" customFormat="1" x14ac:dyDescent="0.25"/>
    <row r="264422" customFormat="1" x14ac:dyDescent="0.25"/>
    <row r="264423" customFormat="1" x14ac:dyDescent="0.25"/>
    <row r="264424" customFormat="1" x14ac:dyDescent="0.25"/>
    <row r="264425" customFormat="1" x14ac:dyDescent="0.25"/>
    <row r="264426" customFormat="1" x14ac:dyDescent="0.25"/>
    <row r="264427" customFormat="1" x14ac:dyDescent="0.25"/>
    <row r="264428" customFormat="1" x14ac:dyDescent="0.25"/>
    <row r="264429" customFormat="1" x14ac:dyDescent="0.25"/>
    <row r="264430" customFormat="1" x14ac:dyDescent="0.25"/>
    <row r="264431" customFormat="1" x14ac:dyDescent="0.25"/>
    <row r="264432" customFormat="1" x14ac:dyDescent="0.25"/>
    <row r="264433" customFormat="1" x14ac:dyDescent="0.25"/>
    <row r="264434" customFormat="1" x14ac:dyDescent="0.25"/>
    <row r="264435" customFormat="1" x14ac:dyDescent="0.25"/>
    <row r="264436" customFormat="1" x14ac:dyDescent="0.25"/>
    <row r="264437" customFormat="1" x14ac:dyDescent="0.25"/>
    <row r="264438" customFormat="1" x14ac:dyDescent="0.25"/>
    <row r="264439" customFormat="1" x14ac:dyDescent="0.25"/>
    <row r="264440" customFormat="1" x14ac:dyDescent="0.25"/>
    <row r="264441" customFormat="1" x14ac:dyDescent="0.25"/>
    <row r="264442" customFormat="1" x14ac:dyDescent="0.25"/>
    <row r="264443" customFormat="1" x14ac:dyDescent="0.25"/>
    <row r="264444" customFormat="1" x14ac:dyDescent="0.25"/>
    <row r="264445" customFormat="1" x14ac:dyDescent="0.25"/>
    <row r="264446" customFormat="1" x14ac:dyDescent="0.25"/>
    <row r="264447" customFormat="1" x14ac:dyDescent="0.25"/>
    <row r="264448" customFormat="1" x14ac:dyDescent="0.25"/>
    <row r="264449" customFormat="1" x14ac:dyDescent="0.25"/>
    <row r="264450" customFormat="1" x14ac:dyDescent="0.25"/>
    <row r="264451" customFormat="1" x14ac:dyDescent="0.25"/>
    <row r="264452" customFormat="1" x14ac:dyDescent="0.25"/>
    <row r="264453" customFormat="1" x14ac:dyDescent="0.25"/>
    <row r="264454" customFormat="1" x14ac:dyDescent="0.25"/>
    <row r="264455" customFormat="1" x14ac:dyDescent="0.25"/>
    <row r="264456" customFormat="1" x14ac:dyDescent="0.25"/>
    <row r="264457" customFormat="1" x14ac:dyDescent="0.25"/>
    <row r="264458" customFormat="1" x14ac:dyDescent="0.25"/>
    <row r="264459" customFormat="1" x14ac:dyDescent="0.25"/>
    <row r="264460" customFormat="1" x14ac:dyDescent="0.25"/>
    <row r="264461" customFormat="1" x14ac:dyDescent="0.25"/>
    <row r="264462" customFormat="1" x14ac:dyDescent="0.25"/>
    <row r="264463" customFormat="1" x14ac:dyDescent="0.25"/>
    <row r="264464" customFormat="1" x14ac:dyDescent="0.25"/>
    <row r="264465" customFormat="1" x14ac:dyDescent="0.25"/>
    <row r="264466" customFormat="1" x14ac:dyDescent="0.25"/>
    <row r="264467" customFormat="1" x14ac:dyDescent="0.25"/>
    <row r="264468" customFormat="1" x14ac:dyDescent="0.25"/>
    <row r="264469" customFormat="1" x14ac:dyDescent="0.25"/>
    <row r="264470" customFormat="1" x14ac:dyDescent="0.25"/>
    <row r="264471" customFormat="1" x14ac:dyDescent="0.25"/>
    <row r="264472" customFormat="1" x14ac:dyDescent="0.25"/>
    <row r="264473" customFormat="1" x14ac:dyDescent="0.25"/>
    <row r="264474" customFormat="1" x14ac:dyDescent="0.25"/>
    <row r="264475" customFormat="1" x14ac:dyDescent="0.25"/>
    <row r="264476" customFormat="1" x14ac:dyDescent="0.25"/>
    <row r="264477" customFormat="1" x14ac:dyDescent="0.25"/>
    <row r="264478" customFormat="1" x14ac:dyDescent="0.25"/>
    <row r="264479" customFormat="1" x14ac:dyDescent="0.25"/>
    <row r="264480" customFormat="1" x14ac:dyDescent="0.25"/>
    <row r="264481" customFormat="1" x14ac:dyDescent="0.25"/>
    <row r="264482" customFormat="1" x14ac:dyDescent="0.25"/>
    <row r="264483" customFormat="1" x14ac:dyDescent="0.25"/>
    <row r="264484" customFormat="1" x14ac:dyDescent="0.25"/>
    <row r="264485" customFormat="1" x14ac:dyDescent="0.25"/>
    <row r="264486" customFormat="1" x14ac:dyDescent="0.25"/>
    <row r="264487" customFormat="1" x14ac:dyDescent="0.25"/>
    <row r="264488" customFormat="1" x14ac:dyDescent="0.25"/>
    <row r="264489" customFormat="1" x14ac:dyDescent="0.25"/>
    <row r="264490" customFormat="1" x14ac:dyDescent="0.25"/>
    <row r="264491" customFormat="1" x14ac:dyDescent="0.25"/>
    <row r="264492" customFormat="1" x14ac:dyDescent="0.25"/>
    <row r="264493" customFormat="1" x14ac:dyDescent="0.25"/>
    <row r="264494" customFormat="1" x14ac:dyDescent="0.25"/>
    <row r="264495" customFormat="1" x14ac:dyDescent="0.25"/>
    <row r="264496" customFormat="1" x14ac:dyDescent="0.25"/>
    <row r="264497" customFormat="1" x14ac:dyDescent="0.25"/>
    <row r="264498" customFormat="1" x14ac:dyDescent="0.25"/>
    <row r="264499" customFormat="1" x14ac:dyDescent="0.25"/>
    <row r="264500" customFormat="1" x14ac:dyDescent="0.25"/>
    <row r="264501" customFormat="1" x14ac:dyDescent="0.25"/>
    <row r="264502" customFormat="1" x14ac:dyDescent="0.25"/>
    <row r="264503" customFormat="1" x14ac:dyDescent="0.25"/>
    <row r="264504" customFormat="1" x14ac:dyDescent="0.25"/>
    <row r="264505" customFormat="1" x14ac:dyDescent="0.25"/>
    <row r="264506" customFormat="1" x14ac:dyDescent="0.25"/>
    <row r="264507" customFormat="1" x14ac:dyDescent="0.25"/>
    <row r="264508" customFormat="1" x14ac:dyDescent="0.25"/>
    <row r="264509" customFormat="1" x14ac:dyDescent="0.25"/>
    <row r="264510" customFormat="1" x14ac:dyDescent="0.25"/>
    <row r="264511" customFormat="1" x14ac:dyDescent="0.25"/>
    <row r="264512" customFormat="1" x14ac:dyDescent="0.25"/>
    <row r="264513" customFormat="1" x14ac:dyDescent="0.25"/>
    <row r="264514" customFormat="1" x14ac:dyDescent="0.25"/>
    <row r="264515" customFormat="1" x14ac:dyDescent="0.25"/>
    <row r="264516" customFormat="1" x14ac:dyDescent="0.25"/>
    <row r="264517" customFormat="1" x14ac:dyDescent="0.25"/>
    <row r="264518" customFormat="1" x14ac:dyDescent="0.25"/>
    <row r="264519" customFormat="1" x14ac:dyDescent="0.25"/>
    <row r="264520" customFormat="1" x14ac:dyDescent="0.25"/>
    <row r="264521" customFormat="1" x14ac:dyDescent="0.25"/>
    <row r="264522" customFormat="1" x14ac:dyDescent="0.25"/>
    <row r="264523" customFormat="1" x14ac:dyDescent="0.25"/>
    <row r="264524" customFormat="1" x14ac:dyDescent="0.25"/>
    <row r="264525" customFormat="1" x14ac:dyDescent="0.25"/>
    <row r="264526" customFormat="1" x14ac:dyDescent="0.25"/>
    <row r="264527" customFormat="1" x14ac:dyDescent="0.25"/>
    <row r="264528" customFormat="1" x14ac:dyDescent="0.25"/>
    <row r="264529" customFormat="1" x14ac:dyDescent="0.25"/>
    <row r="264530" customFormat="1" x14ac:dyDescent="0.25"/>
    <row r="264531" customFormat="1" x14ac:dyDescent="0.25"/>
    <row r="264532" customFormat="1" x14ac:dyDescent="0.25"/>
    <row r="264533" customFormat="1" x14ac:dyDescent="0.25"/>
    <row r="264534" customFormat="1" x14ac:dyDescent="0.25"/>
    <row r="264535" customFormat="1" x14ac:dyDescent="0.25"/>
    <row r="264536" customFormat="1" x14ac:dyDescent="0.25"/>
    <row r="264537" customFormat="1" x14ac:dyDescent="0.25"/>
    <row r="264538" customFormat="1" x14ac:dyDescent="0.25"/>
    <row r="264539" customFormat="1" x14ac:dyDescent="0.25"/>
    <row r="264540" customFormat="1" x14ac:dyDescent="0.25"/>
    <row r="264541" customFormat="1" x14ac:dyDescent="0.25"/>
    <row r="264542" customFormat="1" x14ac:dyDescent="0.25"/>
    <row r="264543" customFormat="1" x14ac:dyDescent="0.25"/>
    <row r="264544" customFormat="1" x14ac:dyDescent="0.25"/>
    <row r="264545" customFormat="1" x14ac:dyDescent="0.25"/>
    <row r="264546" customFormat="1" x14ac:dyDescent="0.25"/>
    <row r="264547" customFormat="1" x14ac:dyDescent="0.25"/>
    <row r="264548" customFormat="1" x14ac:dyDescent="0.25"/>
    <row r="264549" customFormat="1" x14ac:dyDescent="0.25"/>
    <row r="264550" customFormat="1" x14ac:dyDescent="0.25"/>
    <row r="264551" customFormat="1" x14ac:dyDescent="0.25"/>
    <row r="264552" customFormat="1" x14ac:dyDescent="0.25"/>
    <row r="264553" customFormat="1" x14ac:dyDescent="0.25"/>
    <row r="264554" customFormat="1" x14ac:dyDescent="0.25"/>
    <row r="264555" customFormat="1" x14ac:dyDescent="0.25"/>
    <row r="264556" customFormat="1" x14ac:dyDescent="0.25"/>
    <row r="264557" customFormat="1" x14ac:dyDescent="0.25"/>
    <row r="264558" customFormat="1" x14ac:dyDescent="0.25"/>
    <row r="264559" customFormat="1" x14ac:dyDescent="0.25"/>
    <row r="264560" customFormat="1" x14ac:dyDescent="0.25"/>
    <row r="264561" customFormat="1" x14ac:dyDescent="0.25"/>
    <row r="264562" customFormat="1" x14ac:dyDescent="0.25"/>
    <row r="264563" customFormat="1" x14ac:dyDescent="0.25"/>
    <row r="264564" customFormat="1" x14ac:dyDescent="0.25"/>
    <row r="264565" customFormat="1" x14ac:dyDescent="0.25"/>
    <row r="264566" customFormat="1" x14ac:dyDescent="0.25"/>
    <row r="264567" customFormat="1" x14ac:dyDescent="0.25"/>
    <row r="264568" customFormat="1" x14ac:dyDescent="0.25"/>
    <row r="264569" customFormat="1" x14ac:dyDescent="0.25"/>
    <row r="264570" customFormat="1" x14ac:dyDescent="0.25"/>
    <row r="264571" customFormat="1" x14ac:dyDescent="0.25"/>
    <row r="264572" customFormat="1" x14ac:dyDescent="0.25"/>
    <row r="264573" customFormat="1" x14ac:dyDescent="0.25"/>
    <row r="264574" customFormat="1" x14ac:dyDescent="0.25"/>
    <row r="264575" customFormat="1" x14ac:dyDescent="0.25"/>
    <row r="264576" customFormat="1" x14ac:dyDescent="0.25"/>
    <row r="264577" customFormat="1" x14ac:dyDescent="0.25"/>
    <row r="264578" customFormat="1" x14ac:dyDescent="0.25"/>
    <row r="264579" customFormat="1" x14ac:dyDescent="0.25"/>
    <row r="264580" customFormat="1" x14ac:dyDescent="0.25"/>
    <row r="264581" customFormat="1" x14ac:dyDescent="0.25"/>
    <row r="264582" customFormat="1" x14ac:dyDescent="0.25"/>
    <row r="264583" customFormat="1" x14ac:dyDescent="0.25"/>
    <row r="264584" customFormat="1" x14ac:dyDescent="0.25"/>
    <row r="264585" customFormat="1" x14ac:dyDescent="0.25"/>
    <row r="264586" customFormat="1" x14ac:dyDescent="0.25"/>
    <row r="264587" customFormat="1" x14ac:dyDescent="0.25"/>
    <row r="264588" customFormat="1" x14ac:dyDescent="0.25"/>
    <row r="264589" customFormat="1" x14ac:dyDescent="0.25"/>
    <row r="264590" customFormat="1" x14ac:dyDescent="0.25"/>
    <row r="264591" customFormat="1" x14ac:dyDescent="0.25"/>
    <row r="264592" customFormat="1" x14ac:dyDescent="0.25"/>
    <row r="264593" customFormat="1" x14ac:dyDescent="0.25"/>
    <row r="264594" customFormat="1" x14ac:dyDescent="0.25"/>
    <row r="264595" customFormat="1" x14ac:dyDescent="0.25"/>
    <row r="264596" customFormat="1" x14ac:dyDescent="0.25"/>
    <row r="264597" customFormat="1" x14ac:dyDescent="0.25"/>
    <row r="264598" customFormat="1" x14ac:dyDescent="0.25"/>
    <row r="264599" customFormat="1" x14ac:dyDescent="0.25"/>
    <row r="264600" customFormat="1" x14ac:dyDescent="0.25"/>
    <row r="264601" customFormat="1" x14ac:dyDescent="0.25"/>
    <row r="264602" customFormat="1" x14ac:dyDescent="0.25"/>
    <row r="264603" customFormat="1" x14ac:dyDescent="0.25"/>
    <row r="264604" customFormat="1" x14ac:dyDescent="0.25"/>
    <row r="264605" customFormat="1" x14ac:dyDescent="0.25"/>
    <row r="264606" customFormat="1" x14ac:dyDescent="0.25"/>
    <row r="264607" customFormat="1" x14ac:dyDescent="0.25"/>
    <row r="264608" customFormat="1" x14ac:dyDescent="0.25"/>
    <row r="264609" customFormat="1" x14ac:dyDescent="0.25"/>
    <row r="264610" customFormat="1" x14ac:dyDescent="0.25"/>
    <row r="264611" customFormat="1" x14ac:dyDescent="0.25"/>
    <row r="264612" customFormat="1" x14ac:dyDescent="0.25"/>
    <row r="264613" customFormat="1" x14ac:dyDescent="0.25"/>
    <row r="264614" customFormat="1" x14ac:dyDescent="0.25"/>
    <row r="264615" customFormat="1" x14ac:dyDescent="0.25"/>
    <row r="264616" customFormat="1" x14ac:dyDescent="0.25"/>
    <row r="264617" customFormat="1" x14ac:dyDescent="0.25"/>
    <row r="264618" customFormat="1" x14ac:dyDescent="0.25"/>
    <row r="264619" customFormat="1" x14ac:dyDescent="0.25"/>
    <row r="264620" customFormat="1" x14ac:dyDescent="0.25"/>
    <row r="264621" customFormat="1" x14ac:dyDescent="0.25"/>
    <row r="264622" customFormat="1" x14ac:dyDescent="0.25"/>
    <row r="264623" customFormat="1" x14ac:dyDescent="0.25"/>
    <row r="264624" customFormat="1" x14ac:dyDescent="0.25"/>
    <row r="264625" customFormat="1" x14ac:dyDescent="0.25"/>
    <row r="264626" customFormat="1" x14ac:dyDescent="0.25"/>
    <row r="264627" customFormat="1" x14ac:dyDescent="0.25"/>
    <row r="264628" customFormat="1" x14ac:dyDescent="0.25"/>
    <row r="264629" customFormat="1" x14ac:dyDescent="0.25"/>
    <row r="264630" customFormat="1" x14ac:dyDescent="0.25"/>
    <row r="264631" customFormat="1" x14ac:dyDescent="0.25"/>
    <row r="264632" customFormat="1" x14ac:dyDescent="0.25"/>
    <row r="264633" customFormat="1" x14ac:dyDescent="0.25"/>
    <row r="264634" customFormat="1" x14ac:dyDescent="0.25"/>
    <row r="264635" customFormat="1" x14ac:dyDescent="0.25"/>
    <row r="264636" customFormat="1" x14ac:dyDescent="0.25"/>
    <row r="264637" customFormat="1" x14ac:dyDescent="0.25"/>
    <row r="264638" customFormat="1" x14ac:dyDescent="0.25"/>
    <row r="264639" customFormat="1" x14ac:dyDescent="0.25"/>
    <row r="264640" customFormat="1" x14ac:dyDescent="0.25"/>
    <row r="264641" customFormat="1" x14ac:dyDescent="0.25"/>
    <row r="264642" customFormat="1" x14ac:dyDescent="0.25"/>
    <row r="264643" customFormat="1" x14ac:dyDescent="0.25"/>
    <row r="264644" customFormat="1" x14ac:dyDescent="0.25"/>
    <row r="264645" customFormat="1" x14ac:dyDescent="0.25"/>
    <row r="264646" customFormat="1" x14ac:dyDescent="0.25"/>
    <row r="264647" customFormat="1" x14ac:dyDescent="0.25"/>
    <row r="264648" customFormat="1" x14ac:dyDescent="0.25"/>
    <row r="264649" customFormat="1" x14ac:dyDescent="0.25"/>
    <row r="264650" customFormat="1" x14ac:dyDescent="0.25"/>
    <row r="264651" customFormat="1" x14ac:dyDescent="0.25"/>
    <row r="264652" customFormat="1" x14ac:dyDescent="0.25"/>
    <row r="264653" customFormat="1" x14ac:dyDescent="0.25"/>
    <row r="264654" customFormat="1" x14ac:dyDescent="0.25"/>
    <row r="264655" customFormat="1" x14ac:dyDescent="0.25"/>
    <row r="264656" customFormat="1" x14ac:dyDescent="0.25"/>
    <row r="264657" customFormat="1" x14ac:dyDescent="0.25"/>
    <row r="264658" customFormat="1" x14ac:dyDescent="0.25"/>
    <row r="264659" customFormat="1" x14ac:dyDescent="0.25"/>
    <row r="264660" customFormat="1" x14ac:dyDescent="0.25"/>
    <row r="264661" customFormat="1" x14ac:dyDescent="0.25"/>
    <row r="264662" customFormat="1" x14ac:dyDescent="0.25"/>
    <row r="264663" customFormat="1" x14ac:dyDescent="0.25"/>
    <row r="264664" customFormat="1" x14ac:dyDescent="0.25"/>
    <row r="264665" customFormat="1" x14ac:dyDescent="0.25"/>
    <row r="264666" customFormat="1" x14ac:dyDescent="0.25"/>
    <row r="264667" customFormat="1" x14ac:dyDescent="0.25"/>
    <row r="264668" customFormat="1" x14ac:dyDescent="0.25"/>
    <row r="264669" customFormat="1" x14ac:dyDescent="0.25"/>
    <row r="264670" customFormat="1" x14ac:dyDescent="0.25"/>
    <row r="264671" customFormat="1" x14ac:dyDescent="0.25"/>
    <row r="264672" customFormat="1" x14ac:dyDescent="0.25"/>
    <row r="264673" customFormat="1" x14ac:dyDescent="0.25"/>
    <row r="264674" customFormat="1" x14ac:dyDescent="0.25"/>
    <row r="264675" customFormat="1" x14ac:dyDescent="0.25"/>
    <row r="264676" customFormat="1" x14ac:dyDescent="0.25"/>
    <row r="264677" customFormat="1" x14ac:dyDescent="0.25"/>
    <row r="264678" customFormat="1" x14ac:dyDescent="0.25"/>
    <row r="264679" customFormat="1" x14ac:dyDescent="0.25"/>
    <row r="264680" customFormat="1" x14ac:dyDescent="0.25"/>
    <row r="264681" customFormat="1" x14ac:dyDescent="0.25"/>
    <row r="264682" customFormat="1" x14ac:dyDescent="0.25"/>
    <row r="264683" customFormat="1" x14ac:dyDescent="0.25"/>
    <row r="264684" customFormat="1" x14ac:dyDescent="0.25"/>
    <row r="264685" customFormat="1" x14ac:dyDescent="0.25"/>
    <row r="264686" customFormat="1" x14ac:dyDescent="0.25"/>
    <row r="264687" customFormat="1" x14ac:dyDescent="0.25"/>
    <row r="264688" customFormat="1" x14ac:dyDescent="0.25"/>
    <row r="264689" customFormat="1" x14ac:dyDescent="0.25"/>
    <row r="264690" customFormat="1" x14ac:dyDescent="0.25"/>
    <row r="264691" customFormat="1" x14ac:dyDescent="0.25"/>
    <row r="264692" customFormat="1" x14ac:dyDescent="0.25"/>
    <row r="264693" customFormat="1" x14ac:dyDescent="0.25"/>
    <row r="264694" customFormat="1" x14ac:dyDescent="0.25"/>
    <row r="264695" customFormat="1" x14ac:dyDescent="0.25"/>
    <row r="264696" customFormat="1" x14ac:dyDescent="0.25"/>
    <row r="264697" customFormat="1" x14ac:dyDescent="0.25"/>
    <row r="264698" customFormat="1" x14ac:dyDescent="0.25"/>
    <row r="264699" customFormat="1" x14ac:dyDescent="0.25"/>
    <row r="264700" customFormat="1" x14ac:dyDescent="0.25"/>
    <row r="264701" customFormat="1" x14ac:dyDescent="0.25"/>
    <row r="264702" customFormat="1" x14ac:dyDescent="0.25"/>
    <row r="264703" customFormat="1" x14ac:dyDescent="0.25"/>
    <row r="264704" customFormat="1" x14ac:dyDescent="0.25"/>
    <row r="264705" customFormat="1" x14ac:dyDescent="0.25"/>
    <row r="264706" customFormat="1" x14ac:dyDescent="0.25"/>
    <row r="264707" customFormat="1" x14ac:dyDescent="0.25"/>
    <row r="264708" customFormat="1" x14ac:dyDescent="0.25"/>
    <row r="264709" customFormat="1" x14ac:dyDescent="0.25"/>
    <row r="264710" customFormat="1" x14ac:dyDescent="0.25"/>
    <row r="264711" customFormat="1" x14ac:dyDescent="0.25"/>
    <row r="264712" customFormat="1" x14ac:dyDescent="0.25"/>
    <row r="264713" customFormat="1" x14ac:dyDescent="0.25"/>
    <row r="264714" customFormat="1" x14ac:dyDescent="0.25"/>
    <row r="264715" customFormat="1" x14ac:dyDescent="0.25"/>
    <row r="264716" customFormat="1" x14ac:dyDescent="0.25"/>
    <row r="264717" customFormat="1" x14ac:dyDescent="0.25"/>
    <row r="264718" customFormat="1" x14ac:dyDescent="0.25"/>
    <row r="264719" customFormat="1" x14ac:dyDescent="0.25"/>
    <row r="264720" customFormat="1" x14ac:dyDescent="0.25"/>
    <row r="264721" customFormat="1" x14ac:dyDescent="0.25"/>
    <row r="264722" customFormat="1" x14ac:dyDescent="0.25"/>
    <row r="264723" customFormat="1" x14ac:dyDescent="0.25"/>
    <row r="264724" customFormat="1" x14ac:dyDescent="0.25"/>
    <row r="264725" customFormat="1" x14ac:dyDescent="0.25"/>
    <row r="264726" customFormat="1" x14ac:dyDescent="0.25"/>
    <row r="264727" customFormat="1" x14ac:dyDescent="0.25"/>
    <row r="264728" customFormat="1" x14ac:dyDescent="0.25"/>
    <row r="264729" customFormat="1" x14ac:dyDescent="0.25"/>
    <row r="264730" customFormat="1" x14ac:dyDescent="0.25"/>
    <row r="264731" customFormat="1" x14ac:dyDescent="0.25"/>
    <row r="264732" customFormat="1" x14ac:dyDescent="0.25"/>
    <row r="264733" customFormat="1" x14ac:dyDescent="0.25"/>
    <row r="264734" customFormat="1" x14ac:dyDescent="0.25"/>
    <row r="264735" customFormat="1" x14ac:dyDescent="0.25"/>
    <row r="264736" customFormat="1" x14ac:dyDescent="0.25"/>
    <row r="264737" customFormat="1" x14ac:dyDescent="0.25"/>
    <row r="264738" customFormat="1" x14ac:dyDescent="0.25"/>
    <row r="264739" customFormat="1" x14ac:dyDescent="0.25"/>
    <row r="264740" customFormat="1" x14ac:dyDescent="0.25"/>
    <row r="264741" customFormat="1" x14ac:dyDescent="0.25"/>
    <row r="264742" customFormat="1" x14ac:dyDescent="0.25"/>
    <row r="264743" customFormat="1" x14ac:dyDescent="0.25"/>
    <row r="264744" customFormat="1" x14ac:dyDescent="0.25"/>
    <row r="264745" customFormat="1" x14ac:dyDescent="0.25"/>
    <row r="264746" customFormat="1" x14ac:dyDescent="0.25"/>
    <row r="264747" customFormat="1" x14ac:dyDescent="0.25"/>
    <row r="264748" customFormat="1" x14ac:dyDescent="0.25"/>
    <row r="264749" customFormat="1" x14ac:dyDescent="0.25"/>
    <row r="264750" customFormat="1" x14ac:dyDescent="0.25"/>
    <row r="264751" customFormat="1" x14ac:dyDescent="0.25"/>
    <row r="264752" customFormat="1" x14ac:dyDescent="0.25"/>
    <row r="264753" customFormat="1" x14ac:dyDescent="0.25"/>
    <row r="264754" customFormat="1" x14ac:dyDescent="0.25"/>
    <row r="264755" customFormat="1" x14ac:dyDescent="0.25"/>
    <row r="264756" customFormat="1" x14ac:dyDescent="0.25"/>
    <row r="264757" customFormat="1" x14ac:dyDescent="0.25"/>
    <row r="264758" customFormat="1" x14ac:dyDescent="0.25"/>
    <row r="264759" customFormat="1" x14ac:dyDescent="0.25"/>
    <row r="264760" customFormat="1" x14ac:dyDescent="0.25"/>
    <row r="264761" customFormat="1" x14ac:dyDescent="0.25"/>
    <row r="264762" customFormat="1" x14ac:dyDescent="0.25"/>
    <row r="264763" customFormat="1" x14ac:dyDescent="0.25"/>
    <row r="264764" customFormat="1" x14ac:dyDescent="0.25"/>
    <row r="264765" customFormat="1" x14ac:dyDescent="0.25"/>
    <row r="264766" customFormat="1" x14ac:dyDescent="0.25"/>
    <row r="264767" customFormat="1" x14ac:dyDescent="0.25"/>
    <row r="264768" customFormat="1" x14ac:dyDescent="0.25"/>
    <row r="264769" customFormat="1" x14ac:dyDescent="0.25"/>
    <row r="264770" customFormat="1" x14ac:dyDescent="0.25"/>
    <row r="264771" customFormat="1" x14ac:dyDescent="0.25"/>
    <row r="264772" customFormat="1" x14ac:dyDescent="0.25"/>
    <row r="264773" customFormat="1" x14ac:dyDescent="0.25"/>
    <row r="264774" customFormat="1" x14ac:dyDescent="0.25"/>
    <row r="264775" customFormat="1" x14ac:dyDescent="0.25"/>
    <row r="264776" customFormat="1" x14ac:dyDescent="0.25"/>
    <row r="264777" customFormat="1" x14ac:dyDescent="0.25"/>
    <row r="264778" customFormat="1" x14ac:dyDescent="0.25"/>
    <row r="264779" customFormat="1" x14ac:dyDescent="0.25"/>
    <row r="264780" customFormat="1" x14ac:dyDescent="0.25"/>
    <row r="264781" customFormat="1" x14ac:dyDescent="0.25"/>
    <row r="264782" customFormat="1" x14ac:dyDescent="0.25"/>
    <row r="264783" customFormat="1" x14ac:dyDescent="0.25"/>
    <row r="264784" customFormat="1" x14ac:dyDescent="0.25"/>
    <row r="264785" customFormat="1" x14ac:dyDescent="0.25"/>
    <row r="264786" customFormat="1" x14ac:dyDescent="0.25"/>
    <row r="264787" customFormat="1" x14ac:dyDescent="0.25"/>
    <row r="264788" customFormat="1" x14ac:dyDescent="0.25"/>
    <row r="264789" customFormat="1" x14ac:dyDescent="0.25"/>
    <row r="264790" customFormat="1" x14ac:dyDescent="0.25"/>
    <row r="264791" customFormat="1" x14ac:dyDescent="0.25"/>
    <row r="264792" customFormat="1" x14ac:dyDescent="0.25"/>
    <row r="264793" customFormat="1" x14ac:dyDescent="0.25"/>
    <row r="264794" customFormat="1" x14ac:dyDescent="0.25"/>
    <row r="264795" customFormat="1" x14ac:dyDescent="0.25"/>
    <row r="264796" customFormat="1" x14ac:dyDescent="0.25"/>
    <row r="264797" customFormat="1" x14ac:dyDescent="0.25"/>
    <row r="264798" customFormat="1" x14ac:dyDescent="0.25"/>
    <row r="264799" customFormat="1" x14ac:dyDescent="0.25"/>
    <row r="264800" customFormat="1" x14ac:dyDescent="0.25"/>
    <row r="264801" customFormat="1" x14ac:dyDescent="0.25"/>
    <row r="264802" customFormat="1" x14ac:dyDescent="0.25"/>
    <row r="264803" customFormat="1" x14ac:dyDescent="0.25"/>
    <row r="264804" customFormat="1" x14ac:dyDescent="0.25"/>
    <row r="264805" customFormat="1" x14ac:dyDescent="0.25"/>
    <row r="264806" customFormat="1" x14ac:dyDescent="0.25"/>
    <row r="264807" customFormat="1" x14ac:dyDescent="0.25"/>
    <row r="264808" customFormat="1" x14ac:dyDescent="0.25"/>
    <row r="264809" customFormat="1" x14ac:dyDescent="0.25"/>
    <row r="264810" customFormat="1" x14ac:dyDescent="0.25"/>
    <row r="264811" customFormat="1" x14ac:dyDescent="0.25"/>
    <row r="264812" customFormat="1" x14ac:dyDescent="0.25"/>
    <row r="264813" customFormat="1" x14ac:dyDescent="0.25"/>
    <row r="264814" customFormat="1" x14ac:dyDescent="0.25"/>
    <row r="264815" customFormat="1" x14ac:dyDescent="0.25"/>
    <row r="264816" customFormat="1" x14ac:dyDescent="0.25"/>
    <row r="264817" customFormat="1" x14ac:dyDescent="0.25"/>
    <row r="264818" customFormat="1" x14ac:dyDescent="0.25"/>
    <row r="264819" customFormat="1" x14ac:dyDescent="0.25"/>
    <row r="264820" customFormat="1" x14ac:dyDescent="0.25"/>
    <row r="264821" customFormat="1" x14ac:dyDescent="0.25"/>
    <row r="264822" customFormat="1" x14ac:dyDescent="0.25"/>
    <row r="264823" customFormat="1" x14ac:dyDescent="0.25"/>
    <row r="264824" customFormat="1" x14ac:dyDescent="0.25"/>
    <row r="264825" customFormat="1" x14ac:dyDescent="0.25"/>
    <row r="264826" customFormat="1" x14ac:dyDescent="0.25"/>
    <row r="264827" customFormat="1" x14ac:dyDescent="0.25"/>
    <row r="264828" customFormat="1" x14ac:dyDescent="0.25"/>
    <row r="264829" customFormat="1" x14ac:dyDescent="0.25"/>
    <row r="264830" customFormat="1" x14ac:dyDescent="0.25"/>
    <row r="264831" customFormat="1" x14ac:dyDescent="0.25"/>
    <row r="264832" customFormat="1" x14ac:dyDescent="0.25"/>
    <row r="264833" customFormat="1" x14ac:dyDescent="0.25"/>
    <row r="264834" customFormat="1" x14ac:dyDescent="0.25"/>
    <row r="264835" customFormat="1" x14ac:dyDescent="0.25"/>
    <row r="264836" customFormat="1" x14ac:dyDescent="0.25"/>
    <row r="264837" customFormat="1" x14ac:dyDescent="0.25"/>
    <row r="264838" customFormat="1" x14ac:dyDescent="0.25"/>
    <row r="264839" customFormat="1" x14ac:dyDescent="0.25"/>
    <row r="264840" customFormat="1" x14ac:dyDescent="0.25"/>
    <row r="264841" customFormat="1" x14ac:dyDescent="0.25"/>
    <row r="264842" customFormat="1" x14ac:dyDescent="0.25"/>
    <row r="264843" customFormat="1" x14ac:dyDescent="0.25"/>
    <row r="264844" customFormat="1" x14ac:dyDescent="0.25"/>
    <row r="264845" customFormat="1" x14ac:dyDescent="0.25"/>
    <row r="264846" customFormat="1" x14ac:dyDescent="0.25"/>
    <row r="264847" customFormat="1" x14ac:dyDescent="0.25"/>
    <row r="264848" customFormat="1" x14ac:dyDescent="0.25"/>
    <row r="264849" customFormat="1" x14ac:dyDescent="0.25"/>
    <row r="264850" customFormat="1" x14ac:dyDescent="0.25"/>
    <row r="264851" customFormat="1" x14ac:dyDescent="0.25"/>
    <row r="264852" customFormat="1" x14ac:dyDescent="0.25"/>
    <row r="264853" customFormat="1" x14ac:dyDescent="0.25"/>
    <row r="264854" customFormat="1" x14ac:dyDescent="0.25"/>
    <row r="264855" customFormat="1" x14ac:dyDescent="0.25"/>
    <row r="264856" customFormat="1" x14ac:dyDescent="0.25"/>
    <row r="264857" customFormat="1" x14ac:dyDescent="0.25"/>
    <row r="264858" customFormat="1" x14ac:dyDescent="0.25"/>
    <row r="264859" customFormat="1" x14ac:dyDescent="0.25"/>
    <row r="264860" customFormat="1" x14ac:dyDescent="0.25"/>
    <row r="264861" customFormat="1" x14ac:dyDescent="0.25"/>
    <row r="264862" customFormat="1" x14ac:dyDescent="0.25"/>
    <row r="264863" customFormat="1" x14ac:dyDescent="0.25"/>
    <row r="264864" customFormat="1" x14ac:dyDescent="0.25"/>
    <row r="264865" customFormat="1" x14ac:dyDescent="0.25"/>
    <row r="264866" customFormat="1" x14ac:dyDescent="0.25"/>
    <row r="264867" customFormat="1" x14ac:dyDescent="0.25"/>
    <row r="264868" customFormat="1" x14ac:dyDescent="0.25"/>
    <row r="264869" customFormat="1" x14ac:dyDescent="0.25"/>
    <row r="264870" customFormat="1" x14ac:dyDescent="0.25"/>
    <row r="264871" customFormat="1" x14ac:dyDescent="0.25"/>
    <row r="264872" customFormat="1" x14ac:dyDescent="0.25"/>
    <row r="264873" customFormat="1" x14ac:dyDescent="0.25"/>
    <row r="264874" customFormat="1" x14ac:dyDescent="0.25"/>
    <row r="264875" customFormat="1" x14ac:dyDescent="0.25"/>
    <row r="264876" customFormat="1" x14ac:dyDescent="0.25"/>
    <row r="264877" customFormat="1" x14ac:dyDescent="0.25"/>
    <row r="264878" customFormat="1" x14ac:dyDescent="0.25"/>
    <row r="264879" customFormat="1" x14ac:dyDescent="0.25"/>
    <row r="264880" customFormat="1" x14ac:dyDescent="0.25"/>
    <row r="264881" customFormat="1" x14ac:dyDescent="0.25"/>
    <row r="264882" customFormat="1" x14ac:dyDescent="0.25"/>
    <row r="264883" customFormat="1" x14ac:dyDescent="0.25"/>
    <row r="264884" customFormat="1" x14ac:dyDescent="0.25"/>
    <row r="264885" customFormat="1" x14ac:dyDescent="0.25"/>
    <row r="264886" customFormat="1" x14ac:dyDescent="0.25"/>
    <row r="264887" customFormat="1" x14ac:dyDescent="0.25"/>
    <row r="264888" customFormat="1" x14ac:dyDescent="0.25"/>
    <row r="264889" customFormat="1" x14ac:dyDescent="0.25"/>
    <row r="264890" customFormat="1" x14ac:dyDescent="0.25"/>
    <row r="264891" customFormat="1" x14ac:dyDescent="0.25"/>
    <row r="264892" customFormat="1" x14ac:dyDescent="0.25"/>
    <row r="264893" customFormat="1" x14ac:dyDescent="0.25"/>
    <row r="264894" customFormat="1" x14ac:dyDescent="0.25"/>
    <row r="264895" customFormat="1" x14ac:dyDescent="0.25"/>
    <row r="264896" customFormat="1" x14ac:dyDescent="0.25"/>
    <row r="264897" customFormat="1" x14ac:dyDescent="0.25"/>
    <row r="264898" customFormat="1" x14ac:dyDescent="0.25"/>
    <row r="264899" customFormat="1" x14ac:dyDescent="0.25"/>
    <row r="264900" customFormat="1" x14ac:dyDescent="0.25"/>
    <row r="264901" customFormat="1" x14ac:dyDescent="0.25"/>
    <row r="264902" customFormat="1" x14ac:dyDescent="0.25"/>
    <row r="264903" customFormat="1" x14ac:dyDescent="0.25"/>
    <row r="264904" customFormat="1" x14ac:dyDescent="0.25"/>
    <row r="264905" customFormat="1" x14ac:dyDescent="0.25"/>
    <row r="264906" customFormat="1" x14ac:dyDescent="0.25"/>
    <row r="264907" customFormat="1" x14ac:dyDescent="0.25"/>
    <row r="264908" customFormat="1" x14ac:dyDescent="0.25"/>
    <row r="264909" customFormat="1" x14ac:dyDescent="0.25"/>
    <row r="264910" customFormat="1" x14ac:dyDescent="0.25"/>
    <row r="264911" customFormat="1" x14ac:dyDescent="0.25"/>
    <row r="264912" customFormat="1" x14ac:dyDescent="0.25"/>
    <row r="264913" customFormat="1" x14ac:dyDescent="0.25"/>
    <row r="264914" customFormat="1" x14ac:dyDescent="0.25"/>
    <row r="264915" customFormat="1" x14ac:dyDescent="0.25"/>
    <row r="264916" customFormat="1" x14ac:dyDescent="0.25"/>
    <row r="264917" customFormat="1" x14ac:dyDescent="0.25"/>
    <row r="264918" customFormat="1" x14ac:dyDescent="0.25"/>
    <row r="264919" customFormat="1" x14ac:dyDescent="0.25"/>
    <row r="264920" customFormat="1" x14ac:dyDescent="0.25"/>
    <row r="264921" customFormat="1" x14ac:dyDescent="0.25"/>
    <row r="264922" customFormat="1" x14ac:dyDescent="0.25"/>
    <row r="264923" customFormat="1" x14ac:dyDescent="0.25"/>
    <row r="264924" customFormat="1" x14ac:dyDescent="0.25"/>
    <row r="264925" customFormat="1" x14ac:dyDescent="0.25"/>
    <row r="264926" customFormat="1" x14ac:dyDescent="0.25"/>
    <row r="264927" customFormat="1" x14ac:dyDescent="0.25"/>
    <row r="264928" customFormat="1" x14ac:dyDescent="0.25"/>
    <row r="264929" customFormat="1" x14ac:dyDescent="0.25"/>
    <row r="264930" customFormat="1" x14ac:dyDescent="0.25"/>
    <row r="264931" customFormat="1" x14ac:dyDescent="0.25"/>
    <row r="264932" customFormat="1" x14ac:dyDescent="0.25"/>
    <row r="264933" customFormat="1" x14ac:dyDescent="0.25"/>
    <row r="264934" customFormat="1" x14ac:dyDescent="0.25"/>
    <row r="264935" customFormat="1" x14ac:dyDescent="0.25"/>
    <row r="264936" customFormat="1" x14ac:dyDescent="0.25"/>
    <row r="264937" customFormat="1" x14ac:dyDescent="0.25"/>
    <row r="264938" customFormat="1" x14ac:dyDescent="0.25"/>
    <row r="264939" customFormat="1" x14ac:dyDescent="0.25"/>
    <row r="264940" customFormat="1" x14ac:dyDescent="0.25"/>
    <row r="264941" customFormat="1" x14ac:dyDescent="0.25"/>
    <row r="264942" customFormat="1" x14ac:dyDescent="0.25"/>
    <row r="264943" customFormat="1" x14ac:dyDescent="0.25"/>
    <row r="264944" customFormat="1" x14ac:dyDescent="0.25"/>
    <row r="264945" customFormat="1" x14ac:dyDescent="0.25"/>
    <row r="264946" customFormat="1" x14ac:dyDescent="0.25"/>
    <row r="264947" customFormat="1" x14ac:dyDescent="0.25"/>
    <row r="264948" customFormat="1" x14ac:dyDescent="0.25"/>
    <row r="264949" customFormat="1" x14ac:dyDescent="0.25"/>
    <row r="264950" customFormat="1" x14ac:dyDescent="0.25"/>
    <row r="264951" customFormat="1" x14ac:dyDescent="0.25"/>
    <row r="264952" customFormat="1" x14ac:dyDescent="0.25"/>
    <row r="264953" customFormat="1" x14ac:dyDescent="0.25"/>
    <row r="264954" customFormat="1" x14ac:dyDescent="0.25"/>
    <row r="264955" customFormat="1" x14ac:dyDescent="0.25"/>
    <row r="264956" customFormat="1" x14ac:dyDescent="0.25"/>
    <row r="264957" customFormat="1" x14ac:dyDescent="0.25"/>
    <row r="264958" customFormat="1" x14ac:dyDescent="0.25"/>
    <row r="264959" customFormat="1" x14ac:dyDescent="0.25"/>
    <row r="264960" customFormat="1" x14ac:dyDescent="0.25"/>
    <row r="264961" customFormat="1" x14ac:dyDescent="0.25"/>
    <row r="264962" customFormat="1" x14ac:dyDescent="0.25"/>
    <row r="264963" customFormat="1" x14ac:dyDescent="0.25"/>
    <row r="264964" customFormat="1" x14ac:dyDescent="0.25"/>
    <row r="264965" customFormat="1" x14ac:dyDescent="0.25"/>
    <row r="264966" customFormat="1" x14ac:dyDescent="0.25"/>
    <row r="264967" customFormat="1" x14ac:dyDescent="0.25"/>
    <row r="264968" customFormat="1" x14ac:dyDescent="0.25"/>
    <row r="264969" customFormat="1" x14ac:dyDescent="0.25"/>
    <row r="264970" customFormat="1" x14ac:dyDescent="0.25"/>
    <row r="264971" customFormat="1" x14ac:dyDescent="0.25"/>
    <row r="264972" customFormat="1" x14ac:dyDescent="0.25"/>
    <row r="264973" customFormat="1" x14ac:dyDescent="0.25"/>
    <row r="264974" customFormat="1" x14ac:dyDescent="0.25"/>
    <row r="264975" customFormat="1" x14ac:dyDescent="0.25"/>
    <row r="264976" customFormat="1" x14ac:dyDescent="0.25"/>
    <row r="264977" customFormat="1" x14ac:dyDescent="0.25"/>
    <row r="264978" customFormat="1" x14ac:dyDescent="0.25"/>
    <row r="264979" customFormat="1" x14ac:dyDescent="0.25"/>
    <row r="264980" customFormat="1" x14ac:dyDescent="0.25"/>
    <row r="264981" customFormat="1" x14ac:dyDescent="0.25"/>
    <row r="264982" customFormat="1" x14ac:dyDescent="0.25"/>
    <row r="264983" customFormat="1" x14ac:dyDescent="0.25"/>
    <row r="264984" customFormat="1" x14ac:dyDescent="0.25"/>
    <row r="264985" customFormat="1" x14ac:dyDescent="0.25"/>
    <row r="264986" customFormat="1" x14ac:dyDescent="0.25"/>
    <row r="264987" customFormat="1" x14ac:dyDescent="0.25"/>
    <row r="264988" customFormat="1" x14ac:dyDescent="0.25"/>
    <row r="264989" customFormat="1" x14ac:dyDescent="0.25"/>
    <row r="264990" customFormat="1" x14ac:dyDescent="0.25"/>
    <row r="264991" customFormat="1" x14ac:dyDescent="0.25"/>
    <row r="264992" customFormat="1" x14ac:dyDescent="0.25"/>
    <row r="264993" customFormat="1" x14ac:dyDescent="0.25"/>
    <row r="264994" customFormat="1" x14ac:dyDescent="0.25"/>
    <row r="264995" customFormat="1" x14ac:dyDescent="0.25"/>
    <row r="264996" customFormat="1" x14ac:dyDescent="0.25"/>
    <row r="264997" customFormat="1" x14ac:dyDescent="0.25"/>
    <row r="264998" customFormat="1" x14ac:dyDescent="0.25"/>
    <row r="264999" customFormat="1" x14ac:dyDescent="0.25"/>
    <row r="265000" customFormat="1" x14ac:dyDescent="0.25"/>
    <row r="265001" customFormat="1" x14ac:dyDescent="0.25"/>
    <row r="265002" customFormat="1" x14ac:dyDescent="0.25"/>
    <row r="265003" customFormat="1" x14ac:dyDescent="0.25"/>
    <row r="265004" customFormat="1" x14ac:dyDescent="0.25"/>
    <row r="265005" customFormat="1" x14ac:dyDescent="0.25"/>
    <row r="265006" customFormat="1" x14ac:dyDescent="0.25"/>
    <row r="265007" customFormat="1" x14ac:dyDescent="0.25"/>
    <row r="265008" customFormat="1" x14ac:dyDescent="0.25"/>
    <row r="265009" customFormat="1" x14ac:dyDescent="0.25"/>
    <row r="265010" customFormat="1" x14ac:dyDescent="0.25"/>
    <row r="265011" customFormat="1" x14ac:dyDescent="0.25"/>
    <row r="265012" customFormat="1" x14ac:dyDescent="0.25"/>
    <row r="265013" customFormat="1" x14ac:dyDescent="0.25"/>
    <row r="265014" customFormat="1" x14ac:dyDescent="0.25"/>
    <row r="265015" customFormat="1" x14ac:dyDescent="0.25"/>
    <row r="265016" customFormat="1" x14ac:dyDescent="0.25"/>
    <row r="265017" customFormat="1" x14ac:dyDescent="0.25"/>
    <row r="265018" customFormat="1" x14ac:dyDescent="0.25"/>
    <row r="265019" customFormat="1" x14ac:dyDescent="0.25"/>
    <row r="265020" customFormat="1" x14ac:dyDescent="0.25"/>
    <row r="265021" customFormat="1" x14ac:dyDescent="0.25"/>
    <row r="265022" customFormat="1" x14ac:dyDescent="0.25"/>
    <row r="265023" customFormat="1" x14ac:dyDescent="0.25"/>
    <row r="265024" customFormat="1" x14ac:dyDescent="0.25"/>
    <row r="265025" customFormat="1" x14ac:dyDescent="0.25"/>
    <row r="265026" customFormat="1" x14ac:dyDescent="0.25"/>
    <row r="265027" customFormat="1" x14ac:dyDescent="0.25"/>
    <row r="265028" customFormat="1" x14ac:dyDescent="0.25"/>
    <row r="265029" customFormat="1" x14ac:dyDescent="0.25"/>
    <row r="265030" customFormat="1" x14ac:dyDescent="0.25"/>
    <row r="265031" customFormat="1" x14ac:dyDescent="0.25"/>
    <row r="265032" customFormat="1" x14ac:dyDescent="0.25"/>
    <row r="265033" customFormat="1" x14ac:dyDescent="0.25"/>
    <row r="265034" customFormat="1" x14ac:dyDescent="0.25"/>
    <row r="265035" customFormat="1" x14ac:dyDescent="0.25"/>
    <row r="265036" customFormat="1" x14ac:dyDescent="0.25"/>
    <row r="265037" customFormat="1" x14ac:dyDescent="0.25"/>
    <row r="265038" customFormat="1" x14ac:dyDescent="0.25"/>
    <row r="265039" customFormat="1" x14ac:dyDescent="0.25"/>
    <row r="265040" customFormat="1" x14ac:dyDescent="0.25"/>
    <row r="265041" customFormat="1" x14ac:dyDescent="0.25"/>
    <row r="265042" customFormat="1" x14ac:dyDescent="0.25"/>
    <row r="265043" customFormat="1" x14ac:dyDescent="0.25"/>
    <row r="265044" customFormat="1" x14ac:dyDescent="0.25"/>
    <row r="265045" customFormat="1" x14ac:dyDescent="0.25"/>
    <row r="265046" customFormat="1" x14ac:dyDescent="0.25"/>
    <row r="265047" customFormat="1" x14ac:dyDescent="0.25"/>
    <row r="265048" customFormat="1" x14ac:dyDescent="0.25"/>
    <row r="265049" customFormat="1" x14ac:dyDescent="0.25"/>
    <row r="265050" customFormat="1" x14ac:dyDescent="0.25"/>
    <row r="265051" customFormat="1" x14ac:dyDescent="0.25"/>
    <row r="265052" customFormat="1" x14ac:dyDescent="0.25"/>
    <row r="265053" customFormat="1" x14ac:dyDescent="0.25"/>
    <row r="265054" customFormat="1" x14ac:dyDescent="0.25"/>
    <row r="265055" customFormat="1" x14ac:dyDescent="0.25"/>
    <row r="265056" customFormat="1" x14ac:dyDescent="0.25"/>
    <row r="265057" customFormat="1" x14ac:dyDescent="0.25"/>
    <row r="265058" customFormat="1" x14ac:dyDescent="0.25"/>
    <row r="265059" customFormat="1" x14ac:dyDescent="0.25"/>
    <row r="265060" customFormat="1" x14ac:dyDescent="0.25"/>
    <row r="265061" customFormat="1" x14ac:dyDescent="0.25"/>
    <row r="265062" customFormat="1" x14ac:dyDescent="0.25"/>
    <row r="265063" customFormat="1" x14ac:dyDescent="0.25"/>
    <row r="265064" customFormat="1" x14ac:dyDescent="0.25"/>
    <row r="265065" customFormat="1" x14ac:dyDescent="0.25"/>
    <row r="265066" customFormat="1" x14ac:dyDescent="0.25"/>
    <row r="265067" customFormat="1" x14ac:dyDescent="0.25"/>
    <row r="265068" customFormat="1" x14ac:dyDescent="0.25"/>
    <row r="265069" customFormat="1" x14ac:dyDescent="0.25"/>
    <row r="265070" customFormat="1" x14ac:dyDescent="0.25"/>
    <row r="265071" customFormat="1" x14ac:dyDescent="0.25"/>
    <row r="265072" customFormat="1" x14ac:dyDescent="0.25"/>
    <row r="265073" customFormat="1" x14ac:dyDescent="0.25"/>
    <row r="265074" customFormat="1" x14ac:dyDescent="0.25"/>
    <row r="265075" customFormat="1" x14ac:dyDescent="0.25"/>
    <row r="265076" customFormat="1" x14ac:dyDescent="0.25"/>
    <row r="265077" customFormat="1" x14ac:dyDescent="0.25"/>
    <row r="265078" customFormat="1" x14ac:dyDescent="0.25"/>
    <row r="265079" customFormat="1" x14ac:dyDescent="0.25"/>
    <row r="265080" customFormat="1" x14ac:dyDescent="0.25"/>
    <row r="265081" customFormat="1" x14ac:dyDescent="0.25"/>
    <row r="265082" customFormat="1" x14ac:dyDescent="0.25"/>
    <row r="265083" customFormat="1" x14ac:dyDescent="0.25"/>
    <row r="265084" customFormat="1" x14ac:dyDescent="0.25"/>
    <row r="265085" customFormat="1" x14ac:dyDescent="0.25"/>
    <row r="265086" customFormat="1" x14ac:dyDescent="0.25"/>
    <row r="265087" customFormat="1" x14ac:dyDescent="0.25"/>
    <row r="265088" customFormat="1" x14ac:dyDescent="0.25"/>
    <row r="265089" customFormat="1" x14ac:dyDescent="0.25"/>
    <row r="265090" customFormat="1" x14ac:dyDescent="0.25"/>
    <row r="265091" customFormat="1" x14ac:dyDescent="0.25"/>
    <row r="265092" customFormat="1" x14ac:dyDescent="0.25"/>
    <row r="265093" customFormat="1" x14ac:dyDescent="0.25"/>
    <row r="265094" customFormat="1" x14ac:dyDescent="0.25"/>
    <row r="265095" customFormat="1" x14ac:dyDescent="0.25"/>
    <row r="265096" customFormat="1" x14ac:dyDescent="0.25"/>
    <row r="265097" customFormat="1" x14ac:dyDescent="0.25"/>
    <row r="265098" customFormat="1" x14ac:dyDescent="0.25"/>
    <row r="265099" customFormat="1" x14ac:dyDescent="0.25"/>
    <row r="265100" customFormat="1" x14ac:dyDescent="0.25"/>
    <row r="265101" customFormat="1" x14ac:dyDescent="0.25"/>
    <row r="265102" customFormat="1" x14ac:dyDescent="0.25"/>
    <row r="265103" customFormat="1" x14ac:dyDescent="0.25"/>
    <row r="265104" customFormat="1" x14ac:dyDescent="0.25"/>
    <row r="265105" customFormat="1" x14ac:dyDescent="0.25"/>
    <row r="265106" customFormat="1" x14ac:dyDescent="0.25"/>
    <row r="265107" customFormat="1" x14ac:dyDescent="0.25"/>
    <row r="265108" customFormat="1" x14ac:dyDescent="0.25"/>
    <row r="265109" customFormat="1" x14ac:dyDescent="0.25"/>
    <row r="265110" customFormat="1" x14ac:dyDescent="0.25"/>
    <row r="265111" customFormat="1" x14ac:dyDescent="0.25"/>
    <row r="265112" customFormat="1" x14ac:dyDescent="0.25"/>
    <row r="265113" customFormat="1" x14ac:dyDescent="0.25"/>
    <row r="265114" customFormat="1" x14ac:dyDescent="0.25"/>
    <row r="265115" customFormat="1" x14ac:dyDescent="0.25"/>
    <row r="265116" customFormat="1" x14ac:dyDescent="0.25"/>
    <row r="265117" customFormat="1" x14ac:dyDescent="0.25"/>
    <row r="265118" customFormat="1" x14ac:dyDescent="0.25"/>
    <row r="265119" customFormat="1" x14ac:dyDescent="0.25"/>
    <row r="265120" customFormat="1" x14ac:dyDescent="0.25"/>
    <row r="265121" customFormat="1" x14ac:dyDescent="0.25"/>
    <row r="265122" customFormat="1" x14ac:dyDescent="0.25"/>
    <row r="265123" customFormat="1" x14ac:dyDescent="0.25"/>
    <row r="265124" customFormat="1" x14ac:dyDescent="0.25"/>
    <row r="265125" customFormat="1" x14ac:dyDescent="0.25"/>
    <row r="265126" customFormat="1" x14ac:dyDescent="0.25"/>
    <row r="265127" customFormat="1" x14ac:dyDescent="0.25"/>
    <row r="265128" customFormat="1" x14ac:dyDescent="0.25"/>
    <row r="265129" customFormat="1" x14ac:dyDescent="0.25"/>
    <row r="265130" customFormat="1" x14ac:dyDescent="0.25"/>
    <row r="265131" customFormat="1" x14ac:dyDescent="0.25"/>
    <row r="265132" customFormat="1" x14ac:dyDescent="0.25"/>
    <row r="265133" customFormat="1" x14ac:dyDescent="0.25"/>
    <row r="265134" customFormat="1" x14ac:dyDescent="0.25"/>
    <row r="265135" customFormat="1" x14ac:dyDescent="0.25"/>
    <row r="265136" customFormat="1" x14ac:dyDescent="0.25"/>
    <row r="265137" customFormat="1" x14ac:dyDescent="0.25"/>
    <row r="265138" customFormat="1" x14ac:dyDescent="0.25"/>
    <row r="265139" customFormat="1" x14ac:dyDescent="0.25"/>
    <row r="265140" customFormat="1" x14ac:dyDescent="0.25"/>
    <row r="265141" customFormat="1" x14ac:dyDescent="0.25"/>
    <row r="265142" customFormat="1" x14ac:dyDescent="0.25"/>
    <row r="265143" customFormat="1" x14ac:dyDescent="0.25"/>
    <row r="265144" customFormat="1" x14ac:dyDescent="0.25"/>
    <row r="265145" customFormat="1" x14ac:dyDescent="0.25"/>
    <row r="265146" customFormat="1" x14ac:dyDescent="0.25"/>
    <row r="265147" customFormat="1" x14ac:dyDescent="0.25"/>
    <row r="265148" customFormat="1" x14ac:dyDescent="0.25"/>
    <row r="265149" customFormat="1" x14ac:dyDescent="0.25"/>
    <row r="265150" customFormat="1" x14ac:dyDescent="0.25"/>
    <row r="265151" customFormat="1" x14ac:dyDescent="0.25"/>
    <row r="265152" customFormat="1" x14ac:dyDescent="0.25"/>
    <row r="265153" customFormat="1" x14ac:dyDescent="0.25"/>
    <row r="265154" customFormat="1" x14ac:dyDescent="0.25"/>
    <row r="265155" customFormat="1" x14ac:dyDescent="0.25"/>
    <row r="265156" customFormat="1" x14ac:dyDescent="0.25"/>
    <row r="265157" customFormat="1" x14ac:dyDescent="0.25"/>
    <row r="265158" customFormat="1" x14ac:dyDescent="0.25"/>
    <row r="265159" customFormat="1" x14ac:dyDescent="0.25"/>
    <row r="265160" customFormat="1" x14ac:dyDescent="0.25"/>
    <row r="265161" customFormat="1" x14ac:dyDescent="0.25"/>
    <row r="265162" customFormat="1" x14ac:dyDescent="0.25"/>
    <row r="265163" customFormat="1" x14ac:dyDescent="0.25"/>
    <row r="265164" customFormat="1" x14ac:dyDescent="0.25"/>
    <row r="265165" customFormat="1" x14ac:dyDescent="0.25"/>
    <row r="265166" customFormat="1" x14ac:dyDescent="0.25"/>
    <row r="265167" customFormat="1" x14ac:dyDescent="0.25"/>
    <row r="265168" customFormat="1" x14ac:dyDescent="0.25"/>
    <row r="265169" customFormat="1" x14ac:dyDescent="0.25"/>
    <row r="265170" customFormat="1" x14ac:dyDescent="0.25"/>
    <row r="265171" customFormat="1" x14ac:dyDescent="0.25"/>
    <row r="265172" customFormat="1" x14ac:dyDescent="0.25"/>
    <row r="265173" customFormat="1" x14ac:dyDescent="0.25"/>
    <row r="265174" customFormat="1" x14ac:dyDescent="0.25"/>
    <row r="265175" customFormat="1" x14ac:dyDescent="0.25"/>
    <row r="265176" customFormat="1" x14ac:dyDescent="0.25"/>
    <row r="265177" customFormat="1" x14ac:dyDescent="0.25"/>
    <row r="265178" customFormat="1" x14ac:dyDescent="0.25"/>
    <row r="265179" customFormat="1" x14ac:dyDescent="0.25"/>
    <row r="265180" customFormat="1" x14ac:dyDescent="0.25"/>
    <row r="265181" customFormat="1" x14ac:dyDescent="0.25"/>
    <row r="265182" customFormat="1" x14ac:dyDescent="0.25"/>
    <row r="265183" customFormat="1" x14ac:dyDescent="0.25"/>
    <row r="265184" customFormat="1" x14ac:dyDescent="0.25"/>
    <row r="265185" customFormat="1" x14ac:dyDescent="0.25"/>
    <row r="265186" customFormat="1" x14ac:dyDescent="0.25"/>
    <row r="265187" customFormat="1" x14ac:dyDescent="0.25"/>
    <row r="265188" customFormat="1" x14ac:dyDescent="0.25"/>
    <row r="265189" customFormat="1" x14ac:dyDescent="0.25"/>
    <row r="265190" customFormat="1" x14ac:dyDescent="0.25"/>
    <row r="265191" customFormat="1" x14ac:dyDescent="0.25"/>
    <row r="265192" customFormat="1" x14ac:dyDescent="0.25"/>
    <row r="265193" customFormat="1" x14ac:dyDescent="0.25"/>
    <row r="265194" customFormat="1" x14ac:dyDescent="0.25"/>
    <row r="265195" customFormat="1" x14ac:dyDescent="0.25"/>
    <row r="265196" customFormat="1" x14ac:dyDescent="0.25"/>
    <row r="265197" customFormat="1" x14ac:dyDescent="0.25"/>
    <row r="265198" customFormat="1" x14ac:dyDescent="0.25"/>
    <row r="265199" customFormat="1" x14ac:dyDescent="0.25"/>
    <row r="265200" customFormat="1" x14ac:dyDescent="0.25"/>
    <row r="265201" customFormat="1" x14ac:dyDescent="0.25"/>
    <row r="265202" customFormat="1" x14ac:dyDescent="0.25"/>
    <row r="265203" customFormat="1" x14ac:dyDescent="0.25"/>
    <row r="265204" customFormat="1" x14ac:dyDescent="0.25"/>
    <row r="265205" customFormat="1" x14ac:dyDescent="0.25"/>
    <row r="265206" customFormat="1" x14ac:dyDescent="0.25"/>
    <row r="265207" customFormat="1" x14ac:dyDescent="0.25"/>
    <row r="265208" customFormat="1" x14ac:dyDescent="0.25"/>
    <row r="265209" customFormat="1" x14ac:dyDescent="0.25"/>
    <row r="265210" customFormat="1" x14ac:dyDescent="0.25"/>
    <row r="265211" customFormat="1" x14ac:dyDescent="0.25"/>
    <row r="265212" customFormat="1" x14ac:dyDescent="0.25"/>
    <row r="265213" customFormat="1" x14ac:dyDescent="0.25"/>
    <row r="265214" customFormat="1" x14ac:dyDescent="0.25"/>
    <row r="265215" customFormat="1" x14ac:dyDescent="0.25"/>
    <row r="265216" customFormat="1" x14ac:dyDescent="0.25"/>
    <row r="265217" customFormat="1" x14ac:dyDescent="0.25"/>
    <row r="265218" customFormat="1" x14ac:dyDescent="0.25"/>
    <row r="265219" customFormat="1" x14ac:dyDescent="0.25"/>
    <row r="265220" customFormat="1" x14ac:dyDescent="0.25"/>
    <row r="265221" customFormat="1" x14ac:dyDescent="0.25"/>
    <row r="265222" customFormat="1" x14ac:dyDescent="0.25"/>
    <row r="265223" customFormat="1" x14ac:dyDescent="0.25"/>
    <row r="265224" customFormat="1" x14ac:dyDescent="0.25"/>
    <row r="265225" customFormat="1" x14ac:dyDescent="0.25"/>
    <row r="265226" customFormat="1" x14ac:dyDescent="0.25"/>
    <row r="265227" customFormat="1" x14ac:dyDescent="0.25"/>
    <row r="265228" customFormat="1" x14ac:dyDescent="0.25"/>
    <row r="265229" customFormat="1" x14ac:dyDescent="0.25"/>
    <row r="265230" customFormat="1" x14ac:dyDescent="0.25"/>
    <row r="265231" customFormat="1" x14ac:dyDescent="0.25"/>
    <row r="265232" customFormat="1" x14ac:dyDescent="0.25"/>
    <row r="265233" customFormat="1" x14ac:dyDescent="0.25"/>
    <row r="265234" customFormat="1" x14ac:dyDescent="0.25"/>
    <row r="265235" customFormat="1" x14ac:dyDescent="0.25"/>
    <row r="265236" customFormat="1" x14ac:dyDescent="0.25"/>
    <row r="265237" customFormat="1" x14ac:dyDescent="0.25"/>
    <row r="265238" customFormat="1" x14ac:dyDescent="0.25"/>
    <row r="265239" customFormat="1" x14ac:dyDescent="0.25"/>
    <row r="265240" customFormat="1" x14ac:dyDescent="0.25"/>
    <row r="265241" customFormat="1" x14ac:dyDescent="0.25"/>
    <row r="265242" customFormat="1" x14ac:dyDescent="0.25"/>
    <row r="265243" customFormat="1" x14ac:dyDescent="0.25"/>
    <row r="265244" customFormat="1" x14ac:dyDescent="0.25"/>
    <row r="265245" customFormat="1" x14ac:dyDescent="0.25"/>
    <row r="265246" customFormat="1" x14ac:dyDescent="0.25"/>
    <row r="265247" customFormat="1" x14ac:dyDescent="0.25"/>
    <row r="265248" customFormat="1" x14ac:dyDescent="0.25"/>
    <row r="265249" customFormat="1" x14ac:dyDescent="0.25"/>
    <row r="265250" customFormat="1" x14ac:dyDescent="0.25"/>
    <row r="265251" customFormat="1" x14ac:dyDescent="0.25"/>
    <row r="265252" customFormat="1" x14ac:dyDescent="0.25"/>
    <row r="265253" customFormat="1" x14ac:dyDescent="0.25"/>
    <row r="265254" customFormat="1" x14ac:dyDescent="0.25"/>
    <row r="265255" customFormat="1" x14ac:dyDescent="0.25"/>
    <row r="265256" customFormat="1" x14ac:dyDescent="0.25"/>
    <row r="265257" customFormat="1" x14ac:dyDescent="0.25"/>
    <row r="265258" customFormat="1" x14ac:dyDescent="0.25"/>
    <row r="265259" customFormat="1" x14ac:dyDescent="0.25"/>
    <row r="265260" customFormat="1" x14ac:dyDescent="0.25"/>
    <row r="265261" customFormat="1" x14ac:dyDescent="0.25"/>
    <row r="265262" customFormat="1" x14ac:dyDescent="0.25"/>
    <row r="265263" customFormat="1" x14ac:dyDescent="0.25"/>
    <row r="265264" customFormat="1" x14ac:dyDescent="0.25"/>
    <row r="265265" customFormat="1" x14ac:dyDescent="0.25"/>
    <row r="265266" customFormat="1" x14ac:dyDescent="0.25"/>
    <row r="265267" customFormat="1" x14ac:dyDescent="0.25"/>
    <row r="265268" customFormat="1" x14ac:dyDescent="0.25"/>
    <row r="265269" customFormat="1" x14ac:dyDescent="0.25"/>
    <row r="265270" customFormat="1" x14ac:dyDescent="0.25"/>
    <row r="265271" customFormat="1" x14ac:dyDescent="0.25"/>
    <row r="265272" customFormat="1" x14ac:dyDescent="0.25"/>
    <row r="265273" customFormat="1" x14ac:dyDescent="0.25"/>
    <row r="265274" customFormat="1" x14ac:dyDescent="0.25"/>
    <row r="265275" customFormat="1" x14ac:dyDescent="0.25"/>
    <row r="265276" customFormat="1" x14ac:dyDescent="0.25"/>
    <row r="265277" customFormat="1" x14ac:dyDescent="0.25"/>
    <row r="265278" customFormat="1" x14ac:dyDescent="0.25"/>
    <row r="265279" customFormat="1" x14ac:dyDescent="0.25"/>
    <row r="265280" customFormat="1" x14ac:dyDescent="0.25"/>
    <row r="265281" customFormat="1" x14ac:dyDescent="0.25"/>
    <row r="265282" customFormat="1" x14ac:dyDescent="0.25"/>
    <row r="265283" customFormat="1" x14ac:dyDescent="0.25"/>
    <row r="265284" customFormat="1" x14ac:dyDescent="0.25"/>
    <row r="265285" customFormat="1" x14ac:dyDescent="0.25"/>
    <row r="265286" customFormat="1" x14ac:dyDescent="0.25"/>
    <row r="265287" customFormat="1" x14ac:dyDescent="0.25"/>
    <row r="265288" customFormat="1" x14ac:dyDescent="0.25"/>
    <row r="265289" customFormat="1" x14ac:dyDescent="0.25"/>
    <row r="265290" customFormat="1" x14ac:dyDescent="0.25"/>
    <row r="265291" customFormat="1" x14ac:dyDescent="0.25"/>
    <row r="265292" customFormat="1" x14ac:dyDescent="0.25"/>
    <row r="265293" customFormat="1" x14ac:dyDescent="0.25"/>
    <row r="265294" customFormat="1" x14ac:dyDescent="0.25"/>
    <row r="265295" customFormat="1" x14ac:dyDescent="0.25"/>
    <row r="265296" customFormat="1" x14ac:dyDescent="0.25"/>
    <row r="265297" customFormat="1" x14ac:dyDescent="0.25"/>
    <row r="265298" customFormat="1" x14ac:dyDescent="0.25"/>
    <row r="265299" customFormat="1" x14ac:dyDescent="0.25"/>
    <row r="265300" customFormat="1" x14ac:dyDescent="0.25"/>
    <row r="265301" customFormat="1" x14ac:dyDescent="0.25"/>
    <row r="265302" customFormat="1" x14ac:dyDescent="0.25"/>
    <row r="265303" customFormat="1" x14ac:dyDescent="0.25"/>
    <row r="265304" customFormat="1" x14ac:dyDescent="0.25"/>
    <row r="265305" customFormat="1" x14ac:dyDescent="0.25"/>
    <row r="265306" customFormat="1" x14ac:dyDescent="0.25"/>
    <row r="265307" customFormat="1" x14ac:dyDescent="0.25"/>
    <row r="265308" customFormat="1" x14ac:dyDescent="0.25"/>
    <row r="265309" customFormat="1" x14ac:dyDescent="0.25"/>
    <row r="265310" customFormat="1" x14ac:dyDescent="0.25"/>
    <row r="265311" customFormat="1" x14ac:dyDescent="0.25"/>
    <row r="265312" customFormat="1" x14ac:dyDescent="0.25"/>
    <row r="265313" customFormat="1" x14ac:dyDescent="0.25"/>
    <row r="265314" customFormat="1" x14ac:dyDescent="0.25"/>
    <row r="265315" customFormat="1" x14ac:dyDescent="0.25"/>
    <row r="265316" customFormat="1" x14ac:dyDescent="0.25"/>
    <row r="265317" customFormat="1" x14ac:dyDescent="0.25"/>
    <row r="265318" customFormat="1" x14ac:dyDescent="0.25"/>
    <row r="265319" customFormat="1" x14ac:dyDescent="0.25"/>
    <row r="265320" customFormat="1" x14ac:dyDescent="0.25"/>
    <row r="265321" customFormat="1" x14ac:dyDescent="0.25"/>
    <row r="265322" customFormat="1" x14ac:dyDescent="0.25"/>
    <row r="265323" customFormat="1" x14ac:dyDescent="0.25"/>
    <row r="265324" customFormat="1" x14ac:dyDescent="0.25"/>
    <row r="265325" customFormat="1" x14ac:dyDescent="0.25"/>
    <row r="265326" customFormat="1" x14ac:dyDescent="0.25"/>
    <row r="265327" customFormat="1" x14ac:dyDescent="0.25"/>
    <row r="265328" customFormat="1" x14ac:dyDescent="0.25"/>
    <row r="265329" customFormat="1" x14ac:dyDescent="0.25"/>
    <row r="265330" customFormat="1" x14ac:dyDescent="0.25"/>
    <row r="265331" customFormat="1" x14ac:dyDescent="0.25"/>
    <row r="265332" customFormat="1" x14ac:dyDescent="0.25"/>
    <row r="265333" customFormat="1" x14ac:dyDescent="0.25"/>
    <row r="265334" customFormat="1" x14ac:dyDescent="0.25"/>
    <row r="265335" customFormat="1" x14ac:dyDescent="0.25"/>
    <row r="265336" customFormat="1" x14ac:dyDescent="0.25"/>
    <row r="265337" customFormat="1" x14ac:dyDescent="0.25"/>
    <row r="265338" customFormat="1" x14ac:dyDescent="0.25"/>
    <row r="265339" customFormat="1" x14ac:dyDescent="0.25"/>
    <row r="265340" customFormat="1" x14ac:dyDescent="0.25"/>
    <row r="265341" customFormat="1" x14ac:dyDescent="0.25"/>
    <row r="265342" customFormat="1" x14ac:dyDescent="0.25"/>
    <row r="265343" customFormat="1" x14ac:dyDescent="0.25"/>
    <row r="265344" customFormat="1" x14ac:dyDescent="0.25"/>
    <row r="265345" customFormat="1" x14ac:dyDescent="0.25"/>
    <row r="265346" customFormat="1" x14ac:dyDescent="0.25"/>
    <row r="265347" customFormat="1" x14ac:dyDescent="0.25"/>
    <row r="265348" customFormat="1" x14ac:dyDescent="0.25"/>
    <row r="265349" customFormat="1" x14ac:dyDescent="0.25"/>
    <row r="265350" customFormat="1" x14ac:dyDescent="0.25"/>
    <row r="265351" customFormat="1" x14ac:dyDescent="0.25"/>
    <row r="265352" customFormat="1" x14ac:dyDescent="0.25"/>
    <row r="265353" customFormat="1" x14ac:dyDescent="0.25"/>
    <row r="265354" customFormat="1" x14ac:dyDescent="0.25"/>
    <row r="265355" customFormat="1" x14ac:dyDescent="0.25"/>
    <row r="265356" customFormat="1" x14ac:dyDescent="0.25"/>
    <row r="265357" customFormat="1" x14ac:dyDescent="0.25"/>
    <row r="265358" customFormat="1" x14ac:dyDescent="0.25"/>
    <row r="265359" customFormat="1" x14ac:dyDescent="0.25"/>
    <row r="265360" customFormat="1" x14ac:dyDescent="0.25"/>
    <row r="265361" customFormat="1" x14ac:dyDescent="0.25"/>
    <row r="265362" customFormat="1" x14ac:dyDescent="0.25"/>
    <row r="265363" customFormat="1" x14ac:dyDescent="0.25"/>
    <row r="265364" customFormat="1" x14ac:dyDescent="0.25"/>
    <row r="265365" customFormat="1" x14ac:dyDescent="0.25"/>
    <row r="265366" customFormat="1" x14ac:dyDescent="0.25"/>
    <row r="265367" customFormat="1" x14ac:dyDescent="0.25"/>
    <row r="265368" customFormat="1" x14ac:dyDescent="0.25"/>
    <row r="265369" customFormat="1" x14ac:dyDescent="0.25"/>
    <row r="265370" customFormat="1" x14ac:dyDescent="0.25"/>
    <row r="265371" customFormat="1" x14ac:dyDescent="0.25"/>
    <row r="265372" customFormat="1" x14ac:dyDescent="0.25"/>
    <row r="265373" customFormat="1" x14ac:dyDescent="0.25"/>
    <row r="265374" customFormat="1" x14ac:dyDescent="0.25"/>
    <row r="265375" customFormat="1" x14ac:dyDescent="0.25"/>
    <row r="265376" customFormat="1" x14ac:dyDescent="0.25"/>
    <row r="265377" customFormat="1" x14ac:dyDescent="0.25"/>
    <row r="265378" customFormat="1" x14ac:dyDescent="0.25"/>
    <row r="265379" customFormat="1" x14ac:dyDescent="0.25"/>
    <row r="265380" customFormat="1" x14ac:dyDescent="0.25"/>
    <row r="265381" customFormat="1" x14ac:dyDescent="0.25"/>
    <row r="265382" customFormat="1" x14ac:dyDescent="0.25"/>
    <row r="265383" customFormat="1" x14ac:dyDescent="0.25"/>
    <row r="265384" customFormat="1" x14ac:dyDescent="0.25"/>
    <row r="265385" customFormat="1" x14ac:dyDescent="0.25"/>
    <row r="265386" customFormat="1" x14ac:dyDescent="0.25"/>
    <row r="265387" customFormat="1" x14ac:dyDescent="0.25"/>
    <row r="265388" customFormat="1" x14ac:dyDescent="0.25"/>
    <row r="265389" customFormat="1" x14ac:dyDescent="0.25"/>
    <row r="265390" customFormat="1" x14ac:dyDescent="0.25"/>
    <row r="265391" customFormat="1" x14ac:dyDescent="0.25"/>
    <row r="265392" customFormat="1" x14ac:dyDescent="0.25"/>
    <row r="265393" customFormat="1" x14ac:dyDescent="0.25"/>
    <row r="265394" customFormat="1" x14ac:dyDescent="0.25"/>
    <row r="265395" customFormat="1" x14ac:dyDescent="0.25"/>
    <row r="265396" customFormat="1" x14ac:dyDescent="0.25"/>
    <row r="265397" customFormat="1" x14ac:dyDescent="0.25"/>
    <row r="265398" customFormat="1" x14ac:dyDescent="0.25"/>
    <row r="265399" customFormat="1" x14ac:dyDescent="0.25"/>
    <row r="265400" customFormat="1" x14ac:dyDescent="0.25"/>
    <row r="265401" customFormat="1" x14ac:dyDescent="0.25"/>
    <row r="265402" customFormat="1" x14ac:dyDescent="0.25"/>
    <row r="265403" customFormat="1" x14ac:dyDescent="0.25"/>
    <row r="265404" customFormat="1" x14ac:dyDescent="0.25"/>
    <row r="265405" customFormat="1" x14ac:dyDescent="0.25"/>
    <row r="265406" customFormat="1" x14ac:dyDescent="0.25"/>
    <row r="265407" customFormat="1" x14ac:dyDescent="0.25"/>
    <row r="265408" customFormat="1" x14ac:dyDescent="0.25"/>
    <row r="265409" customFormat="1" x14ac:dyDescent="0.25"/>
    <row r="265410" customFormat="1" x14ac:dyDescent="0.25"/>
    <row r="265411" customFormat="1" x14ac:dyDescent="0.25"/>
    <row r="265412" customFormat="1" x14ac:dyDescent="0.25"/>
    <row r="265413" customFormat="1" x14ac:dyDescent="0.25"/>
    <row r="265414" customFormat="1" x14ac:dyDescent="0.25"/>
    <row r="265415" customFormat="1" x14ac:dyDescent="0.25"/>
    <row r="265416" customFormat="1" x14ac:dyDescent="0.25"/>
    <row r="265417" customFormat="1" x14ac:dyDescent="0.25"/>
    <row r="265418" customFormat="1" x14ac:dyDescent="0.25"/>
    <row r="265419" customFormat="1" x14ac:dyDescent="0.25"/>
    <row r="265420" customFormat="1" x14ac:dyDescent="0.25"/>
    <row r="265421" customFormat="1" x14ac:dyDescent="0.25"/>
    <row r="265422" customFormat="1" x14ac:dyDescent="0.25"/>
    <row r="265423" customFormat="1" x14ac:dyDescent="0.25"/>
    <row r="265424" customFormat="1" x14ac:dyDescent="0.25"/>
    <row r="265425" customFormat="1" x14ac:dyDescent="0.25"/>
    <row r="265426" customFormat="1" x14ac:dyDescent="0.25"/>
    <row r="265427" customFormat="1" x14ac:dyDescent="0.25"/>
    <row r="265428" customFormat="1" x14ac:dyDescent="0.25"/>
    <row r="265429" customFormat="1" x14ac:dyDescent="0.25"/>
    <row r="265430" customFormat="1" x14ac:dyDescent="0.25"/>
    <row r="265431" customFormat="1" x14ac:dyDescent="0.25"/>
    <row r="265432" customFormat="1" x14ac:dyDescent="0.25"/>
    <row r="265433" customFormat="1" x14ac:dyDescent="0.25"/>
    <row r="265434" customFormat="1" x14ac:dyDescent="0.25"/>
    <row r="265435" customFormat="1" x14ac:dyDescent="0.25"/>
    <row r="265436" customFormat="1" x14ac:dyDescent="0.25"/>
    <row r="265437" customFormat="1" x14ac:dyDescent="0.25"/>
    <row r="265438" customFormat="1" x14ac:dyDescent="0.25"/>
    <row r="265439" customFormat="1" x14ac:dyDescent="0.25"/>
    <row r="265440" customFormat="1" x14ac:dyDescent="0.25"/>
    <row r="265441" customFormat="1" x14ac:dyDescent="0.25"/>
    <row r="265442" customFormat="1" x14ac:dyDescent="0.25"/>
    <row r="265443" customFormat="1" x14ac:dyDescent="0.25"/>
    <row r="265444" customFormat="1" x14ac:dyDescent="0.25"/>
    <row r="265445" customFormat="1" x14ac:dyDescent="0.25"/>
    <row r="265446" customFormat="1" x14ac:dyDescent="0.25"/>
    <row r="265447" customFormat="1" x14ac:dyDescent="0.25"/>
    <row r="265448" customFormat="1" x14ac:dyDescent="0.25"/>
    <row r="265449" customFormat="1" x14ac:dyDescent="0.25"/>
    <row r="265450" customFormat="1" x14ac:dyDescent="0.25"/>
    <row r="265451" customFormat="1" x14ac:dyDescent="0.25"/>
    <row r="265452" customFormat="1" x14ac:dyDescent="0.25"/>
    <row r="265453" customFormat="1" x14ac:dyDescent="0.25"/>
    <row r="265454" customFormat="1" x14ac:dyDescent="0.25"/>
    <row r="265455" customFormat="1" x14ac:dyDescent="0.25"/>
    <row r="265456" customFormat="1" x14ac:dyDescent="0.25"/>
    <row r="265457" customFormat="1" x14ac:dyDescent="0.25"/>
    <row r="265458" customFormat="1" x14ac:dyDescent="0.25"/>
    <row r="265459" customFormat="1" x14ac:dyDescent="0.25"/>
    <row r="265460" customFormat="1" x14ac:dyDescent="0.25"/>
    <row r="265461" customFormat="1" x14ac:dyDescent="0.25"/>
    <row r="265462" customFormat="1" x14ac:dyDescent="0.25"/>
    <row r="265463" customFormat="1" x14ac:dyDescent="0.25"/>
    <row r="265464" customFormat="1" x14ac:dyDescent="0.25"/>
    <row r="265465" customFormat="1" x14ac:dyDescent="0.25"/>
    <row r="265466" customFormat="1" x14ac:dyDescent="0.25"/>
    <row r="265467" customFormat="1" x14ac:dyDescent="0.25"/>
    <row r="265468" customFormat="1" x14ac:dyDescent="0.25"/>
    <row r="265469" customFormat="1" x14ac:dyDescent="0.25"/>
    <row r="265470" customFormat="1" x14ac:dyDescent="0.25"/>
    <row r="265471" customFormat="1" x14ac:dyDescent="0.25"/>
    <row r="265472" customFormat="1" x14ac:dyDescent="0.25"/>
    <row r="265473" customFormat="1" x14ac:dyDescent="0.25"/>
    <row r="265474" customFormat="1" x14ac:dyDescent="0.25"/>
    <row r="265475" customFormat="1" x14ac:dyDescent="0.25"/>
    <row r="265476" customFormat="1" x14ac:dyDescent="0.25"/>
    <row r="265477" customFormat="1" x14ac:dyDescent="0.25"/>
    <row r="265478" customFormat="1" x14ac:dyDescent="0.25"/>
    <row r="265479" customFormat="1" x14ac:dyDescent="0.25"/>
    <row r="265480" customFormat="1" x14ac:dyDescent="0.25"/>
    <row r="265481" customFormat="1" x14ac:dyDescent="0.25"/>
    <row r="265482" customFormat="1" x14ac:dyDescent="0.25"/>
    <row r="265483" customFormat="1" x14ac:dyDescent="0.25"/>
    <row r="265484" customFormat="1" x14ac:dyDescent="0.25"/>
    <row r="265485" customFormat="1" x14ac:dyDescent="0.25"/>
    <row r="265486" customFormat="1" x14ac:dyDescent="0.25"/>
    <row r="265487" customFormat="1" x14ac:dyDescent="0.25"/>
    <row r="265488" customFormat="1" x14ac:dyDescent="0.25"/>
    <row r="265489" customFormat="1" x14ac:dyDescent="0.25"/>
    <row r="265490" customFormat="1" x14ac:dyDescent="0.25"/>
    <row r="265491" customFormat="1" x14ac:dyDescent="0.25"/>
    <row r="265492" customFormat="1" x14ac:dyDescent="0.25"/>
    <row r="265493" customFormat="1" x14ac:dyDescent="0.25"/>
    <row r="265494" customFormat="1" x14ac:dyDescent="0.25"/>
    <row r="265495" customFormat="1" x14ac:dyDescent="0.25"/>
    <row r="265496" customFormat="1" x14ac:dyDescent="0.25"/>
    <row r="265497" customFormat="1" x14ac:dyDescent="0.25"/>
    <row r="265498" customFormat="1" x14ac:dyDescent="0.25"/>
    <row r="265499" customFormat="1" x14ac:dyDescent="0.25"/>
    <row r="265500" customFormat="1" x14ac:dyDescent="0.25"/>
    <row r="265501" customFormat="1" x14ac:dyDescent="0.25"/>
    <row r="265502" customFormat="1" x14ac:dyDescent="0.25"/>
    <row r="265503" customFormat="1" x14ac:dyDescent="0.25"/>
    <row r="265504" customFormat="1" x14ac:dyDescent="0.25"/>
    <row r="265505" customFormat="1" x14ac:dyDescent="0.25"/>
    <row r="265506" customFormat="1" x14ac:dyDescent="0.25"/>
    <row r="265507" customFormat="1" x14ac:dyDescent="0.25"/>
    <row r="265508" customFormat="1" x14ac:dyDescent="0.25"/>
    <row r="265509" customFormat="1" x14ac:dyDescent="0.25"/>
    <row r="265510" customFormat="1" x14ac:dyDescent="0.25"/>
    <row r="265511" customFormat="1" x14ac:dyDescent="0.25"/>
    <row r="265512" customFormat="1" x14ac:dyDescent="0.25"/>
    <row r="265513" customFormat="1" x14ac:dyDescent="0.25"/>
    <row r="265514" customFormat="1" x14ac:dyDescent="0.25"/>
    <row r="265515" customFormat="1" x14ac:dyDescent="0.25"/>
    <row r="265516" customFormat="1" x14ac:dyDescent="0.25"/>
    <row r="265517" customFormat="1" x14ac:dyDescent="0.25"/>
    <row r="265518" customFormat="1" x14ac:dyDescent="0.25"/>
    <row r="265519" customFormat="1" x14ac:dyDescent="0.25"/>
    <row r="265520" customFormat="1" x14ac:dyDescent="0.25"/>
    <row r="265521" customFormat="1" x14ac:dyDescent="0.25"/>
    <row r="265522" customFormat="1" x14ac:dyDescent="0.25"/>
    <row r="265523" customFormat="1" x14ac:dyDescent="0.25"/>
    <row r="265524" customFormat="1" x14ac:dyDescent="0.25"/>
    <row r="265525" customFormat="1" x14ac:dyDescent="0.25"/>
    <row r="265526" customFormat="1" x14ac:dyDescent="0.25"/>
    <row r="265527" customFormat="1" x14ac:dyDescent="0.25"/>
    <row r="265528" customFormat="1" x14ac:dyDescent="0.25"/>
    <row r="265529" customFormat="1" x14ac:dyDescent="0.25"/>
    <row r="265530" customFormat="1" x14ac:dyDescent="0.25"/>
    <row r="265531" customFormat="1" x14ac:dyDescent="0.25"/>
    <row r="265532" customFormat="1" x14ac:dyDescent="0.25"/>
    <row r="265533" customFormat="1" x14ac:dyDescent="0.25"/>
    <row r="265534" customFormat="1" x14ac:dyDescent="0.25"/>
    <row r="265535" customFormat="1" x14ac:dyDescent="0.25"/>
    <row r="265536" customFormat="1" x14ac:dyDescent="0.25"/>
    <row r="265537" customFormat="1" x14ac:dyDescent="0.25"/>
    <row r="265538" customFormat="1" x14ac:dyDescent="0.25"/>
    <row r="265539" customFormat="1" x14ac:dyDescent="0.25"/>
    <row r="265540" customFormat="1" x14ac:dyDescent="0.25"/>
    <row r="265541" customFormat="1" x14ac:dyDescent="0.25"/>
    <row r="265542" customFormat="1" x14ac:dyDescent="0.25"/>
    <row r="265543" customFormat="1" x14ac:dyDescent="0.25"/>
    <row r="265544" customFormat="1" x14ac:dyDescent="0.25"/>
    <row r="265545" customFormat="1" x14ac:dyDescent="0.25"/>
    <row r="265546" customFormat="1" x14ac:dyDescent="0.25"/>
    <row r="265547" customFormat="1" x14ac:dyDescent="0.25"/>
    <row r="265548" customFormat="1" x14ac:dyDescent="0.25"/>
    <row r="265549" customFormat="1" x14ac:dyDescent="0.25"/>
    <row r="265550" customFormat="1" x14ac:dyDescent="0.25"/>
    <row r="265551" customFormat="1" x14ac:dyDescent="0.25"/>
    <row r="265552" customFormat="1" x14ac:dyDescent="0.25"/>
    <row r="265553" customFormat="1" x14ac:dyDescent="0.25"/>
    <row r="265554" customFormat="1" x14ac:dyDescent="0.25"/>
    <row r="265555" customFormat="1" x14ac:dyDescent="0.25"/>
    <row r="265556" customFormat="1" x14ac:dyDescent="0.25"/>
    <row r="265557" customFormat="1" x14ac:dyDescent="0.25"/>
    <row r="265558" customFormat="1" x14ac:dyDescent="0.25"/>
    <row r="265559" customFormat="1" x14ac:dyDescent="0.25"/>
    <row r="265560" customFormat="1" x14ac:dyDescent="0.25"/>
    <row r="265561" customFormat="1" x14ac:dyDescent="0.25"/>
    <row r="265562" customFormat="1" x14ac:dyDescent="0.25"/>
    <row r="265563" customFormat="1" x14ac:dyDescent="0.25"/>
    <row r="265564" customFormat="1" x14ac:dyDescent="0.25"/>
    <row r="265565" customFormat="1" x14ac:dyDescent="0.25"/>
    <row r="265566" customFormat="1" x14ac:dyDescent="0.25"/>
    <row r="265567" customFormat="1" x14ac:dyDescent="0.25"/>
    <row r="265568" customFormat="1" x14ac:dyDescent="0.25"/>
    <row r="265569" customFormat="1" x14ac:dyDescent="0.25"/>
    <row r="265570" customFormat="1" x14ac:dyDescent="0.25"/>
    <row r="265571" customFormat="1" x14ac:dyDescent="0.25"/>
    <row r="265572" customFormat="1" x14ac:dyDescent="0.25"/>
    <row r="265573" customFormat="1" x14ac:dyDescent="0.25"/>
    <row r="265574" customFormat="1" x14ac:dyDescent="0.25"/>
    <row r="265575" customFormat="1" x14ac:dyDescent="0.25"/>
    <row r="265576" customFormat="1" x14ac:dyDescent="0.25"/>
    <row r="265577" customFormat="1" x14ac:dyDescent="0.25"/>
    <row r="265578" customFormat="1" x14ac:dyDescent="0.25"/>
    <row r="265579" customFormat="1" x14ac:dyDescent="0.25"/>
    <row r="265580" customFormat="1" x14ac:dyDescent="0.25"/>
    <row r="265581" customFormat="1" x14ac:dyDescent="0.25"/>
    <row r="265582" customFormat="1" x14ac:dyDescent="0.25"/>
    <row r="265583" customFormat="1" x14ac:dyDescent="0.25"/>
    <row r="265584" customFormat="1" x14ac:dyDescent="0.25"/>
    <row r="265585" customFormat="1" x14ac:dyDescent="0.25"/>
    <row r="265586" customFormat="1" x14ac:dyDescent="0.25"/>
    <row r="265587" customFormat="1" x14ac:dyDescent="0.25"/>
    <row r="265588" customFormat="1" x14ac:dyDescent="0.25"/>
    <row r="265589" customFormat="1" x14ac:dyDescent="0.25"/>
    <row r="265590" customFormat="1" x14ac:dyDescent="0.25"/>
    <row r="265591" customFormat="1" x14ac:dyDescent="0.25"/>
    <row r="265592" customFormat="1" x14ac:dyDescent="0.25"/>
    <row r="265593" customFormat="1" x14ac:dyDescent="0.25"/>
    <row r="265594" customFormat="1" x14ac:dyDescent="0.25"/>
    <row r="265595" customFormat="1" x14ac:dyDescent="0.25"/>
    <row r="265596" customFormat="1" x14ac:dyDescent="0.25"/>
    <row r="265597" customFormat="1" x14ac:dyDescent="0.25"/>
    <row r="265598" customFormat="1" x14ac:dyDescent="0.25"/>
    <row r="265599" customFormat="1" x14ac:dyDescent="0.25"/>
    <row r="265600" customFormat="1" x14ac:dyDescent="0.25"/>
    <row r="265601" customFormat="1" x14ac:dyDescent="0.25"/>
    <row r="265602" customFormat="1" x14ac:dyDescent="0.25"/>
    <row r="265603" customFormat="1" x14ac:dyDescent="0.25"/>
    <row r="265604" customFormat="1" x14ac:dyDescent="0.25"/>
    <row r="265605" customFormat="1" x14ac:dyDescent="0.25"/>
    <row r="265606" customFormat="1" x14ac:dyDescent="0.25"/>
    <row r="265607" customFormat="1" x14ac:dyDescent="0.25"/>
    <row r="265608" customFormat="1" x14ac:dyDescent="0.25"/>
    <row r="265609" customFormat="1" x14ac:dyDescent="0.25"/>
    <row r="265610" customFormat="1" x14ac:dyDescent="0.25"/>
    <row r="265611" customFormat="1" x14ac:dyDescent="0.25"/>
    <row r="265612" customFormat="1" x14ac:dyDescent="0.25"/>
    <row r="265613" customFormat="1" x14ac:dyDescent="0.25"/>
    <row r="265614" customFormat="1" x14ac:dyDescent="0.25"/>
    <row r="265615" customFormat="1" x14ac:dyDescent="0.25"/>
    <row r="265616" customFormat="1" x14ac:dyDescent="0.25"/>
    <row r="265617" customFormat="1" x14ac:dyDescent="0.25"/>
    <row r="265618" customFormat="1" x14ac:dyDescent="0.25"/>
    <row r="265619" customFormat="1" x14ac:dyDescent="0.25"/>
    <row r="265620" customFormat="1" x14ac:dyDescent="0.25"/>
    <row r="265621" customFormat="1" x14ac:dyDescent="0.25"/>
    <row r="265622" customFormat="1" x14ac:dyDescent="0.25"/>
    <row r="265623" customFormat="1" x14ac:dyDescent="0.25"/>
    <row r="265624" customFormat="1" x14ac:dyDescent="0.25"/>
    <row r="265625" customFormat="1" x14ac:dyDescent="0.25"/>
    <row r="265626" customFormat="1" x14ac:dyDescent="0.25"/>
    <row r="265627" customFormat="1" x14ac:dyDescent="0.25"/>
    <row r="265628" customFormat="1" x14ac:dyDescent="0.25"/>
    <row r="265629" customFormat="1" x14ac:dyDescent="0.25"/>
    <row r="265630" customFormat="1" x14ac:dyDescent="0.25"/>
    <row r="265631" customFormat="1" x14ac:dyDescent="0.25"/>
    <row r="265632" customFormat="1" x14ac:dyDescent="0.25"/>
    <row r="265633" customFormat="1" x14ac:dyDescent="0.25"/>
    <row r="265634" customFormat="1" x14ac:dyDescent="0.25"/>
    <row r="265635" customFormat="1" x14ac:dyDescent="0.25"/>
    <row r="265636" customFormat="1" x14ac:dyDescent="0.25"/>
    <row r="265637" customFormat="1" x14ac:dyDescent="0.25"/>
    <row r="265638" customFormat="1" x14ac:dyDescent="0.25"/>
    <row r="265639" customFormat="1" x14ac:dyDescent="0.25"/>
    <row r="265640" customFormat="1" x14ac:dyDescent="0.25"/>
    <row r="265641" customFormat="1" x14ac:dyDescent="0.25"/>
    <row r="265642" customFormat="1" x14ac:dyDescent="0.25"/>
    <row r="265643" customFormat="1" x14ac:dyDescent="0.25"/>
    <row r="265644" customFormat="1" x14ac:dyDescent="0.25"/>
    <row r="265645" customFormat="1" x14ac:dyDescent="0.25"/>
    <row r="265646" customFormat="1" x14ac:dyDescent="0.25"/>
    <row r="265647" customFormat="1" x14ac:dyDescent="0.25"/>
    <row r="265648" customFormat="1" x14ac:dyDescent="0.25"/>
    <row r="265649" customFormat="1" x14ac:dyDescent="0.25"/>
    <row r="265650" customFormat="1" x14ac:dyDescent="0.25"/>
    <row r="265651" customFormat="1" x14ac:dyDescent="0.25"/>
    <row r="265652" customFormat="1" x14ac:dyDescent="0.25"/>
    <row r="265653" customFormat="1" x14ac:dyDescent="0.25"/>
    <row r="265654" customFormat="1" x14ac:dyDescent="0.25"/>
    <row r="265655" customFormat="1" x14ac:dyDescent="0.25"/>
    <row r="265656" customFormat="1" x14ac:dyDescent="0.25"/>
    <row r="265657" customFormat="1" x14ac:dyDescent="0.25"/>
    <row r="265658" customFormat="1" x14ac:dyDescent="0.25"/>
    <row r="265659" customFormat="1" x14ac:dyDescent="0.25"/>
    <row r="265660" customFormat="1" x14ac:dyDescent="0.25"/>
    <row r="265661" customFormat="1" x14ac:dyDescent="0.25"/>
    <row r="265662" customFormat="1" x14ac:dyDescent="0.25"/>
    <row r="265663" customFormat="1" x14ac:dyDescent="0.25"/>
    <row r="265664" customFormat="1" x14ac:dyDescent="0.25"/>
    <row r="265665" customFormat="1" x14ac:dyDescent="0.25"/>
    <row r="265666" customFormat="1" x14ac:dyDescent="0.25"/>
    <row r="265667" customFormat="1" x14ac:dyDescent="0.25"/>
    <row r="265668" customFormat="1" x14ac:dyDescent="0.25"/>
    <row r="265669" customFormat="1" x14ac:dyDescent="0.25"/>
    <row r="265670" customFormat="1" x14ac:dyDescent="0.25"/>
    <row r="265671" customFormat="1" x14ac:dyDescent="0.25"/>
    <row r="265672" customFormat="1" x14ac:dyDescent="0.25"/>
    <row r="265673" customFormat="1" x14ac:dyDescent="0.25"/>
    <row r="265674" customFormat="1" x14ac:dyDescent="0.25"/>
    <row r="265675" customFormat="1" x14ac:dyDescent="0.25"/>
    <row r="265676" customFormat="1" x14ac:dyDescent="0.25"/>
    <row r="265677" customFormat="1" x14ac:dyDescent="0.25"/>
    <row r="265678" customFormat="1" x14ac:dyDescent="0.25"/>
    <row r="265679" customFormat="1" x14ac:dyDescent="0.25"/>
    <row r="265680" customFormat="1" x14ac:dyDescent="0.25"/>
    <row r="265681" customFormat="1" x14ac:dyDescent="0.25"/>
    <row r="265682" customFormat="1" x14ac:dyDescent="0.25"/>
    <row r="265683" customFormat="1" x14ac:dyDescent="0.25"/>
    <row r="265684" customFormat="1" x14ac:dyDescent="0.25"/>
    <row r="265685" customFormat="1" x14ac:dyDescent="0.25"/>
    <row r="265686" customFormat="1" x14ac:dyDescent="0.25"/>
    <row r="265687" customFormat="1" x14ac:dyDescent="0.25"/>
    <row r="265688" customFormat="1" x14ac:dyDescent="0.25"/>
    <row r="265689" customFormat="1" x14ac:dyDescent="0.25"/>
    <row r="265690" customFormat="1" x14ac:dyDescent="0.25"/>
    <row r="265691" customFormat="1" x14ac:dyDescent="0.25"/>
    <row r="265692" customFormat="1" x14ac:dyDescent="0.25"/>
    <row r="265693" customFormat="1" x14ac:dyDescent="0.25"/>
    <row r="265694" customFormat="1" x14ac:dyDescent="0.25"/>
    <row r="265695" customFormat="1" x14ac:dyDescent="0.25"/>
    <row r="265696" customFormat="1" x14ac:dyDescent="0.25"/>
    <row r="265697" customFormat="1" x14ac:dyDescent="0.25"/>
    <row r="265698" customFormat="1" x14ac:dyDescent="0.25"/>
    <row r="265699" customFormat="1" x14ac:dyDescent="0.25"/>
    <row r="265700" customFormat="1" x14ac:dyDescent="0.25"/>
    <row r="265701" customFormat="1" x14ac:dyDescent="0.25"/>
    <row r="265702" customFormat="1" x14ac:dyDescent="0.25"/>
    <row r="265703" customFormat="1" x14ac:dyDescent="0.25"/>
    <row r="265704" customFormat="1" x14ac:dyDescent="0.25"/>
    <row r="265705" customFormat="1" x14ac:dyDescent="0.25"/>
    <row r="265706" customFormat="1" x14ac:dyDescent="0.25"/>
    <row r="265707" customFormat="1" x14ac:dyDescent="0.25"/>
    <row r="265708" customFormat="1" x14ac:dyDescent="0.25"/>
    <row r="265709" customFormat="1" x14ac:dyDescent="0.25"/>
    <row r="265710" customFormat="1" x14ac:dyDescent="0.25"/>
    <row r="265711" customFormat="1" x14ac:dyDescent="0.25"/>
    <row r="265712" customFormat="1" x14ac:dyDescent="0.25"/>
    <row r="265713" customFormat="1" x14ac:dyDescent="0.25"/>
    <row r="265714" customFormat="1" x14ac:dyDescent="0.25"/>
    <row r="265715" customFormat="1" x14ac:dyDescent="0.25"/>
    <row r="265716" customFormat="1" x14ac:dyDescent="0.25"/>
    <row r="265717" customFormat="1" x14ac:dyDescent="0.25"/>
    <row r="265718" customFormat="1" x14ac:dyDescent="0.25"/>
    <row r="265719" customFormat="1" x14ac:dyDescent="0.25"/>
    <row r="265720" customFormat="1" x14ac:dyDescent="0.25"/>
    <row r="265721" customFormat="1" x14ac:dyDescent="0.25"/>
    <row r="265722" customFormat="1" x14ac:dyDescent="0.25"/>
    <row r="265723" customFormat="1" x14ac:dyDescent="0.25"/>
    <row r="265724" customFormat="1" x14ac:dyDescent="0.25"/>
    <row r="265725" customFormat="1" x14ac:dyDescent="0.25"/>
    <row r="265726" customFormat="1" x14ac:dyDescent="0.25"/>
    <row r="265727" customFormat="1" x14ac:dyDescent="0.25"/>
    <row r="265728" customFormat="1" x14ac:dyDescent="0.25"/>
    <row r="265729" customFormat="1" x14ac:dyDescent="0.25"/>
    <row r="265730" customFormat="1" x14ac:dyDescent="0.25"/>
    <row r="265731" customFormat="1" x14ac:dyDescent="0.25"/>
    <row r="265732" customFormat="1" x14ac:dyDescent="0.25"/>
    <row r="265733" customFormat="1" x14ac:dyDescent="0.25"/>
    <row r="265734" customFormat="1" x14ac:dyDescent="0.25"/>
    <row r="265735" customFormat="1" x14ac:dyDescent="0.25"/>
    <row r="265736" customFormat="1" x14ac:dyDescent="0.25"/>
    <row r="265737" customFormat="1" x14ac:dyDescent="0.25"/>
    <row r="265738" customFormat="1" x14ac:dyDescent="0.25"/>
    <row r="265739" customFormat="1" x14ac:dyDescent="0.25"/>
    <row r="265740" customFormat="1" x14ac:dyDescent="0.25"/>
    <row r="265741" customFormat="1" x14ac:dyDescent="0.25"/>
    <row r="265742" customFormat="1" x14ac:dyDescent="0.25"/>
    <row r="265743" customFormat="1" x14ac:dyDescent="0.25"/>
    <row r="265744" customFormat="1" x14ac:dyDescent="0.25"/>
    <row r="265745" customFormat="1" x14ac:dyDescent="0.25"/>
    <row r="265746" customFormat="1" x14ac:dyDescent="0.25"/>
    <row r="265747" customFormat="1" x14ac:dyDescent="0.25"/>
    <row r="265748" customFormat="1" x14ac:dyDescent="0.25"/>
    <row r="265749" customFormat="1" x14ac:dyDescent="0.25"/>
    <row r="265750" customFormat="1" x14ac:dyDescent="0.25"/>
    <row r="265751" customFormat="1" x14ac:dyDescent="0.25"/>
    <row r="265752" customFormat="1" x14ac:dyDescent="0.25"/>
    <row r="265753" customFormat="1" x14ac:dyDescent="0.25"/>
    <row r="265754" customFormat="1" x14ac:dyDescent="0.25"/>
    <row r="265755" customFormat="1" x14ac:dyDescent="0.25"/>
    <row r="265756" customFormat="1" x14ac:dyDescent="0.25"/>
    <row r="265757" customFormat="1" x14ac:dyDescent="0.25"/>
    <row r="265758" customFormat="1" x14ac:dyDescent="0.25"/>
    <row r="265759" customFormat="1" x14ac:dyDescent="0.25"/>
    <row r="265760" customFormat="1" x14ac:dyDescent="0.25"/>
    <row r="265761" customFormat="1" x14ac:dyDescent="0.25"/>
    <row r="265762" customFormat="1" x14ac:dyDescent="0.25"/>
    <row r="265763" customFormat="1" x14ac:dyDescent="0.25"/>
    <row r="265764" customFormat="1" x14ac:dyDescent="0.25"/>
    <row r="265765" customFormat="1" x14ac:dyDescent="0.25"/>
    <row r="265766" customFormat="1" x14ac:dyDescent="0.25"/>
    <row r="265767" customFormat="1" x14ac:dyDescent="0.25"/>
    <row r="265768" customFormat="1" x14ac:dyDescent="0.25"/>
    <row r="265769" customFormat="1" x14ac:dyDescent="0.25"/>
    <row r="265770" customFormat="1" x14ac:dyDescent="0.25"/>
    <row r="265771" customFormat="1" x14ac:dyDescent="0.25"/>
    <row r="265772" customFormat="1" x14ac:dyDescent="0.25"/>
    <row r="265773" customFormat="1" x14ac:dyDescent="0.25"/>
    <row r="265774" customFormat="1" x14ac:dyDescent="0.25"/>
    <row r="265775" customFormat="1" x14ac:dyDescent="0.25"/>
    <row r="265776" customFormat="1" x14ac:dyDescent="0.25"/>
    <row r="265777" customFormat="1" x14ac:dyDescent="0.25"/>
    <row r="265778" customFormat="1" x14ac:dyDescent="0.25"/>
    <row r="265779" customFormat="1" x14ac:dyDescent="0.25"/>
    <row r="265780" customFormat="1" x14ac:dyDescent="0.25"/>
    <row r="265781" customFormat="1" x14ac:dyDescent="0.25"/>
    <row r="265782" customFormat="1" x14ac:dyDescent="0.25"/>
    <row r="265783" customFormat="1" x14ac:dyDescent="0.25"/>
    <row r="265784" customFormat="1" x14ac:dyDescent="0.25"/>
    <row r="265785" customFormat="1" x14ac:dyDescent="0.25"/>
    <row r="265786" customFormat="1" x14ac:dyDescent="0.25"/>
    <row r="265787" customFormat="1" x14ac:dyDescent="0.25"/>
    <row r="265788" customFormat="1" x14ac:dyDescent="0.25"/>
    <row r="265789" customFormat="1" x14ac:dyDescent="0.25"/>
    <row r="265790" customFormat="1" x14ac:dyDescent="0.25"/>
    <row r="265791" customFormat="1" x14ac:dyDescent="0.25"/>
    <row r="265792" customFormat="1" x14ac:dyDescent="0.25"/>
    <row r="265793" customFormat="1" x14ac:dyDescent="0.25"/>
    <row r="265794" customFormat="1" x14ac:dyDescent="0.25"/>
    <row r="265795" customFormat="1" x14ac:dyDescent="0.25"/>
    <row r="265796" customFormat="1" x14ac:dyDescent="0.25"/>
    <row r="265797" customFormat="1" x14ac:dyDescent="0.25"/>
    <row r="265798" customFormat="1" x14ac:dyDescent="0.25"/>
    <row r="265799" customFormat="1" x14ac:dyDescent="0.25"/>
    <row r="265800" customFormat="1" x14ac:dyDescent="0.25"/>
    <row r="265801" customFormat="1" x14ac:dyDescent="0.25"/>
    <row r="265802" customFormat="1" x14ac:dyDescent="0.25"/>
    <row r="265803" customFormat="1" x14ac:dyDescent="0.25"/>
    <row r="265804" customFormat="1" x14ac:dyDescent="0.25"/>
    <row r="265805" customFormat="1" x14ac:dyDescent="0.25"/>
    <row r="265806" customFormat="1" x14ac:dyDescent="0.25"/>
    <row r="265807" customFormat="1" x14ac:dyDescent="0.25"/>
    <row r="265808" customFormat="1" x14ac:dyDescent="0.25"/>
    <row r="265809" customFormat="1" x14ac:dyDescent="0.25"/>
    <row r="265810" customFormat="1" x14ac:dyDescent="0.25"/>
    <row r="265811" customFormat="1" x14ac:dyDescent="0.25"/>
    <row r="265812" customFormat="1" x14ac:dyDescent="0.25"/>
    <row r="265813" customFormat="1" x14ac:dyDescent="0.25"/>
    <row r="265814" customFormat="1" x14ac:dyDescent="0.25"/>
    <row r="265815" customFormat="1" x14ac:dyDescent="0.25"/>
    <row r="265816" customFormat="1" x14ac:dyDescent="0.25"/>
    <row r="265817" customFormat="1" x14ac:dyDescent="0.25"/>
    <row r="265818" customFormat="1" x14ac:dyDescent="0.25"/>
    <row r="265819" customFormat="1" x14ac:dyDescent="0.25"/>
    <row r="265820" customFormat="1" x14ac:dyDescent="0.25"/>
    <row r="265821" customFormat="1" x14ac:dyDescent="0.25"/>
    <row r="265822" customFormat="1" x14ac:dyDescent="0.25"/>
    <row r="265823" customFormat="1" x14ac:dyDescent="0.25"/>
    <row r="265824" customFormat="1" x14ac:dyDescent="0.25"/>
    <row r="265825" customFormat="1" x14ac:dyDescent="0.25"/>
    <row r="265826" customFormat="1" x14ac:dyDescent="0.25"/>
    <row r="265827" customFormat="1" x14ac:dyDescent="0.25"/>
    <row r="265828" customFormat="1" x14ac:dyDescent="0.25"/>
    <row r="265829" customFormat="1" x14ac:dyDescent="0.25"/>
    <row r="265830" customFormat="1" x14ac:dyDescent="0.25"/>
    <row r="265831" customFormat="1" x14ac:dyDescent="0.25"/>
    <row r="265832" customFormat="1" x14ac:dyDescent="0.25"/>
    <row r="265833" customFormat="1" x14ac:dyDescent="0.25"/>
    <row r="265834" customFormat="1" x14ac:dyDescent="0.25"/>
    <row r="265835" customFormat="1" x14ac:dyDescent="0.25"/>
    <row r="265836" customFormat="1" x14ac:dyDescent="0.25"/>
    <row r="265837" customFormat="1" x14ac:dyDescent="0.25"/>
    <row r="265838" customFormat="1" x14ac:dyDescent="0.25"/>
    <row r="265839" customFormat="1" x14ac:dyDescent="0.25"/>
    <row r="265840" customFormat="1" x14ac:dyDescent="0.25"/>
    <row r="265841" customFormat="1" x14ac:dyDescent="0.25"/>
    <row r="265842" customFormat="1" x14ac:dyDescent="0.25"/>
    <row r="265843" customFormat="1" x14ac:dyDescent="0.25"/>
    <row r="265844" customFormat="1" x14ac:dyDescent="0.25"/>
    <row r="265845" customFormat="1" x14ac:dyDescent="0.25"/>
    <row r="265846" customFormat="1" x14ac:dyDescent="0.25"/>
    <row r="265847" customFormat="1" x14ac:dyDescent="0.25"/>
    <row r="265848" customFormat="1" x14ac:dyDescent="0.25"/>
    <row r="265849" customFormat="1" x14ac:dyDescent="0.25"/>
    <row r="265850" customFormat="1" x14ac:dyDescent="0.25"/>
    <row r="265851" customFormat="1" x14ac:dyDescent="0.25"/>
    <row r="265852" customFormat="1" x14ac:dyDescent="0.25"/>
    <row r="265853" customFormat="1" x14ac:dyDescent="0.25"/>
    <row r="265854" customFormat="1" x14ac:dyDescent="0.25"/>
    <row r="265855" customFormat="1" x14ac:dyDescent="0.25"/>
    <row r="265856" customFormat="1" x14ac:dyDescent="0.25"/>
    <row r="265857" customFormat="1" x14ac:dyDescent="0.25"/>
    <row r="265858" customFormat="1" x14ac:dyDescent="0.25"/>
    <row r="265859" customFormat="1" x14ac:dyDescent="0.25"/>
    <row r="265860" customFormat="1" x14ac:dyDescent="0.25"/>
    <row r="265861" customFormat="1" x14ac:dyDescent="0.25"/>
    <row r="265862" customFormat="1" x14ac:dyDescent="0.25"/>
    <row r="265863" customFormat="1" x14ac:dyDescent="0.25"/>
    <row r="265864" customFormat="1" x14ac:dyDescent="0.25"/>
    <row r="265865" customFormat="1" x14ac:dyDescent="0.25"/>
    <row r="265866" customFormat="1" x14ac:dyDescent="0.25"/>
    <row r="265867" customFormat="1" x14ac:dyDescent="0.25"/>
    <row r="265868" customFormat="1" x14ac:dyDescent="0.25"/>
    <row r="265869" customFormat="1" x14ac:dyDescent="0.25"/>
    <row r="265870" customFormat="1" x14ac:dyDescent="0.25"/>
    <row r="265871" customFormat="1" x14ac:dyDescent="0.25"/>
    <row r="265872" customFormat="1" x14ac:dyDescent="0.25"/>
    <row r="265873" customFormat="1" x14ac:dyDescent="0.25"/>
    <row r="265874" customFormat="1" x14ac:dyDescent="0.25"/>
    <row r="265875" customFormat="1" x14ac:dyDescent="0.25"/>
    <row r="265876" customFormat="1" x14ac:dyDescent="0.25"/>
    <row r="265877" customFormat="1" x14ac:dyDescent="0.25"/>
    <row r="265878" customFormat="1" x14ac:dyDescent="0.25"/>
    <row r="265879" customFormat="1" x14ac:dyDescent="0.25"/>
    <row r="265880" customFormat="1" x14ac:dyDescent="0.25"/>
    <row r="265881" customFormat="1" x14ac:dyDescent="0.25"/>
    <row r="265882" customFormat="1" x14ac:dyDescent="0.25"/>
    <row r="265883" customFormat="1" x14ac:dyDescent="0.25"/>
    <row r="265884" customFormat="1" x14ac:dyDescent="0.25"/>
    <row r="265885" customFormat="1" x14ac:dyDescent="0.25"/>
    <row r="265886" customFormat="1" x14ac:dyDescent="0.25"/>
    <row r="265887" customFormat="1" x14ac:dyDescent="0.25"/>
    <row r="265888" customFormat="1" x14ac:dyDescent="0.25"/>
    <row r="265889" customFormat="1" x14ac:dyDescent="0.25"/>
    <row r="265890" customFormat="1" x14ac:dyDescent="0.25"/>
    <row r="265891" customFormat="1" x14ac:dyDescent="0.25"/>
    <row r="265892" customFormat="1" x14ac:dyDescent="0.25"/>
    <row r="265893" customFormat="1" x14ac:dyDescent="0.25"/>
    <row r="265894" customFormat="1" x14ac:dyDescent="0.25"/>
    <row r="265895" customFormat="1" x14ac:dyDescent="0.25"/>
    <row r="265896" customFormat="1" x14ac:dyDescent="0.25"/>
    <row r="265897" customFormat="1" x14ac:dyDescent="0.25"/>
    <row r="265898" customFormat="1" x14ac:dyDescent="0.25"/>
    <row r="265899" customFormat="1" x14ac:dyDescent="0.25"/>
    <row r="265900" customFormat="1" x14ac:dyDescent="0.25"/>
    <row r="265901" customFormat="1" x14ac:dyDescent="0.25"/>
    <row r="265902" customFormat="1" x14ac:dyDescent="0.25"/>
    <row r="265903" customFormat="1" x14ac:dyDescent="0.25"/>
    <row r="265904" customFormat="1" x14ac:dyDescent="0.25"/>
    <row r="265905" customFormat="1" x14ac:dyDescent="0.25"/>
    <row r="265906" customFormat="1" x14ac:dyDescent="0.25"/>
    <row r="265907" customFormat="1" x14ac:dyDescent="0.25"/>
    <row r="265908" customFormat="1" x14ac:dyDescent="0.25"/>
    <row r="265909" customFormat="1" x14ac:dyDescent="0.25"/>
    <row r="265910" customFormat="1" x14ac:dyDescent="0.25"/>
    <row r="265911" customFormat="1" x14ac:dyDescent="0.25"/>
    <row r="265912" customFormat="1" x14ac:dyDescent="0.25"/>
    <row r="265913" customFormat="1" x14ac:dyDescent="0.25"/>
    <row r="265914" customFormat="1" x14ac:dyDescent="0.25"/>
    <row r="265915" customFormat="1" x14ac:dyDescent="0.25"/>
    <row r="265916" customFormat="1" x14ac:dyDescent="0.25"/>
    <row r="265917" customFormat="1" x14ac:dyDescent="0.25"/>
    <row r="265918" customFormat="1" x14ac:dyDescent="0.25"/>
    <row r="265919" customFormat="1" x14ac:dyDescent="0.25"/>
    <row r="265920" customFormat="1" x14ac:dyDescent="0.25"/>
    <row r="265921" customFormat="1" x14ac:dyDescent="0.25"/>
    <row r="265922" customFormat="1" x14ac:dyDescent="0.25"/>
    <row r="265923" customFormat="1" x14ac:dyDescent="0.25"/>
    <row r="265924" customFormat="1" x14ac:dyDescent="0.25"/>
    <row r="265925" customFormat="1" x14ac:dyDescent="0.25"/>
    <row r="265926" customFormat="1" x14ac:dyDescent="0.25"/>
    <row r="265927" customFormat="1" x14ac:dyDescent="0.25"/>
    <row r="265928" customFormat="1" x14ac:dyDescent="0.25"/>
    <row r="265929" customFormat="1" x14ac:dyDescent="0.25"/>
    <row r="265930" customFormat="1" x14ac:dyDescent="0.25"/>
    <row r="265931" customFormat="1" x14ac:dyDescent="0.25"/>
    <row r="265932" customFormat="1" x14ac:dyDescent="0.25"/>
    <row r="265933" customFormat="1" x14ac:dyDescent="0.25"/>
    <row r="265934" customFormat="1" x14ac:dyDescent="0.25"/>
    <row r="265935" customFormat="1" x14ac:dyDescent="0.25"/>
    <row r="265936" customFormat="1" x14ac:dyDescent="0.25"/>
    <row r="265937" customFormat="1" x14ac:dyDescent="0.25"/>
    <row r="265938" customFormat="1" x14ac:dyDescent="0.25"/>
    <row r="265939" customFormat="1" x14ac:dyDescent="0.25"/>
    <row r="265940" customFormat="1" x14ac:dyDescent="0.25"/>
    <row r="265941" customFormat="1" x14ac:dyDescent="0.25"/>
    <row r="265942" customFormat="1" x14ac:dyDescent="0.25"/>
    <row r="265943" customFormat="1" x14ac:dyDescent="0.25"/>
    <row r="265944" customFormat="1" x14ac:dyDescent="0.25"/>
    <row r="265945" customFormat="1" x14ac:dyDescent="0.25"/>
    <row r="265946" customFormat="1" x14ac:dyDescent="0.25"/>
    <row r="265947" customFormat="1" x14ac:dyDescent="0.25"/>
    <row r="265948" customFormat="1" x14ac:dyDescent="0.25"/>
    <row r="265949" customFormat="1" x14ac:dyDescent="0.25"/>
    <row r="265950" customFormat="1" x14ac:dyDescent="0.25"/>
    <row r="265951" customFormat="1" x14ac:dyDescent="0.25"/>
    <row r="265952" customFormat="1" x14ac:dyDescent="0.25"/>
    <row r="265953" customFormat="1" x14ac:dyDescent="0.25"/>
    <row r="265954" customFormat="1" x14ac:dyDescent="0.25"/>
    <row r="265955" customFormat="1" x14ac:dyDescent="0.25"/>
    <row r="265956" customFormat="1" x14ac:dyDescent="0.25"/>
    <row r="265957" customFormat="1" x14ac:dyDescent="0.25"/>
    <row r="265958" customFormat="1" x14ac:dyDescent="0.25"/>
    <row r="265959" customFormat="1" x14ac:dyDescent="0.25"/>
    <row r="265960" customFormat="1" x14ac:dyDescent="0.25"/>
    <row r="265961" customFormat="1" x14ac:dyDescent="0.25"/>
    <row r="265962" customFormat="1" x14ac:dyDescent="0.25"/>
    <row r="265963" customFormat="1" x14ac:dyDescent="0.25"/>
    <row r="265964" customFormat="1" x14ac:dyDescent="0.25"/>
    <row r="265965" customFormat="1" x14ac:dyDescent="0.25"/>
    <row r="265966" customFormat="1" x14ac:dyDescent="0.25"/>
    <row r="265967" customFormat="1" x14ac:dyDescent="0.25"/>
    <row r="265968" customFormat="1" x14ac:dyDescent="0.25"/>
    <row r="265969" customFormat="1" x14ac:dyDescent="0.25"/>
    <row r="265970" customFormat="1" x14ac:dyDescent="0.25"/>
    <row r="265971" customFormat="1" x14ac:dyDescent="0.25"/>
    <row r="265972" customFormat="1" x14ac:dyDescent="0.25"/>
    <row r="265973" customFormat="1" x14ac:dyDescent="0.25"/>
    <row r="265974" customFormat="1" x14ac:dyDescent="0.25"/>
    <row r="265975" customFormat="1" x14ac:dyDescent="0.25"/>
    <row r="265976" customFormat="1" x14ac:dyDescent="0.25"/>
    <row r="265977" customFormat="1" x14ac:dyDescent="0.25"/>
    <row r="265978" customFormat="1" x14ac:dyDescent="0.25"/>
    <row r="265979" customFormat="1" x14ac:dyDescent="0.25"/>
    <row r="265980" customFormat="1" x14ac:dyDescent="0.25"/>
    <row r="265981" customFormat="1" x14ac:dyDescent="0.25"/>
    <row r="265982" customFormat="1" x14ac:dyDescent="0.25"/>
    <row r="265983" customFormat="1" x14ac:dyDescent="0.25"/>
    <row r="265984" customFormat="1" x14ac:dyDescent="0.25"/>
    <row r="265985" customFormat="1" x14ac:dyDescent="0.25"/>
    <row r="265986" customFormat="1" x14ac:dyDescent="0.25"/>
    <row r="265987" customFormat="1" x14ac:dyDescent="0.25"/>
    <row r="265988" customFormat="1" x14ac:dyDescent="0.25"/>
    <row r="265989" customFormat="1" x14ac:dyDescent="0.25"/>
    <row r="265990" customFormat="1" x14ac:dyDescent="0.25"/>
    <row r="265991" customFormat="1" x14ac:dyDescent="0.25"/>
    <row r="265992" customFormat="1" x14ac:dyDescent="0.25"/>
    <row r="265993" customFormat="1" x14ac:dyDescent="0.25"/>
    <row r="265994" customFormat="1" x14ac:dyDescent="0.25"/>
    <row r="265995" customFormat="1" x14ac:dyDescent="0.25"/>
    <row r="265996" customFormat="1" x14ac:dyDescent="0.25"/>
    <row r="265997" customFormat="1" x14ac:dyDescent="0.25"/>
    <row r="265998" customFormat="1" x14ac:dyDescent="0.25"/>
    <row r="265999" customFormat="1" x14ac:dyDescent="0.25"/>
    <row r="266000" customFormat="1" x14ac:dyDescent="0.25"/>
    <row r="266001" customFormat="1" x14ac:dyDescent="0.25"/>
    <row r="266002" customFormat="1" x14ac:dyDescent="0.25"/>
    <row r="266003" customFormat="1" x14ac:dyDescent="0.25"/>
    <row r="266004" customFormat="1" x14ac:dyDescent="0.25"/>
    <row r="266005" customFormat="1" x14ac:dyDescent="0.25"/>
    <row r="266006" customFormat="1" x14ac:dyDescent="0.25"/>
    <row r="266007" customFormat="1" x14ac:dyDescent="0.25"/>
    <row r="266008" customFormat="1" x14ac:dyDescent="0.25"/>
    <row r="266009" customFormat="1" x14ac:dyDescent="0.25"/>
    <row r="266010" customFormat="1" x14ac:dyDescent="0.25"/>
    <row r="266011" customFormat="1" x14ac:dyDescent="0.25"/>
    <row r="266012" customFormat="1" x14ac:dyDescent="0.25"/>
    <row r="266013" customFormat="1" x14ac:dyDescent="0.25"/>
    <row r="266014" customFormat="1" x14ac:dyDescent="0.25"/>
    <row r="266015" customFormat="1" x14ac:dyDescent="0.25"/>
    <row r="266016" customFormat="1" x14ac:dyDescent="0.25"/>
    <row r="266017" customFormat="1" x14ac:dyDescent="0.25"/>
    <row r="266018" customFormat="1" x14ac:dyDescent="0.25"/>
    <row r="266019" customFormat="1" x14ac:dyDescent="0.25"/>
    <row r="266020" customFormat="1" x14ac:dyDescent="0.25"/>
    <row r="266021" customFormat="1" x14ac:dyDescent="0.25"/>
    <row r="266022" customFormat="1" x14ac:dyDescent="0.25"/>
    <row r="266023" customFormat="1" x14ac:dyDescent="0.25"/>
    <row r="266024" customFormat="1" x14ac:dyDescent="0.25"/>
    <row r="266025" customFormat="1" x14ac:dyDescent="0.25"/>
    <row r="266026" customFormat="1" x14ac:dyDescent="0.25"/>
    <row r="266027" customFormat="1" x14ac:dyDescent="0.25"/>
    <row r="266028" customFormat="1" x14ac:dyDescent="0.25"/>
    <row r="266029" customFormat="1" x14ac:dyDescent="0.25"/>
    <row r="266030" customFormat="1" x14ac:dyDescent="0.25"/>
    <row r="266031" customFormat="1" x14ac:dyDescent="0.25"/>
    <row r="266032" customFormat="1" x14ac:dyDescent="0.25"/>
    <row r="266033" customFormat="1" x14ac:dyDescent="0.25"/>
    <row r="266034" customFormat="1" x14ac:dyDescent="0.25"/>
    <row r="266035" customFormat="1" x14ac:dyDescent="0.25"/>
    <row r="266036" customFormat="1" x14ac:dyDescent="0.25"/>
    <row r="266037" customFormat="1" x14ac:dyDescent="0.25"/>
    <row r="266038" customFormat="1" x14ac:dyDescent="0.25"/>
    <row r="266039" customFormat="1" x14ac:dyDescent="0.25"/>
    <row r="266040" customFormat="1" x14ac:dyDescent="0.25"/>
    <row r="266041" customFormat="1" x14ac:dyDescent="0.25"/>
    <row r="266042" customFormat="1" x14ac:dyDescent="0.25"/>
    <row r="266043" customFormat="1" x14ac:dyDescent="0.25"/>
    <row r="266044" customFormat="1" x14ac:dyDescent="0.25"/>
    <row r="266045" customFormat="1" x14ac:dyDescent="0.25"/>
    <row r="266046" customFormat="1" x14ac:dyDescent="0.25"/>
    <row r="266047" customFormat="1" x14ac:dyDescent="0.25"/>
    <row r="266048" customFormat="1" x14ac:dyDescent="0.25"/>
    <row r="266049" customFormat="1" x14ac:dyDescent="0.25"/>
    <row r="266050" customFormat="1" x14ac:dyDescent="0.25"/>
    <row r="266051" customFormat="1" x14ac:dyDescent="0.25"/>
    <row r="266052" customFormat="1" x14ac:dyDescent="0.25"/>
    <row r="266053" customFormat="1" x14ac:dyDescent="0.25"/>
    <row r="266054" customFormat="1" x14ac:dyDescent="0.25"/>
    <row r="266055" customFormat="1" x14ac:dyDescent="0.25"/>
    <row r="266056" customFormat="1" x14ac:dyDescent="0.25"/>
    <row r="266057" customFormat="1" x14ac:dyDescent="0.25"/>
    <row r="266058" customFormat="1" x14ac:dyDescent="0.25"/>
    <row r="266059" customFormat="1" x14ac:dyDescent="0.25"/>
    <row r="266060" customFormat="1" x14ac:dyDescent="0.25"/>
    <row r="266061" customFormat="1" x14ac:dyDescent="0.25"/>
    <row r="266062" customFormat="1" x14ac:dyDescent="0.25"/>
    <row r="266063" customFormat="1" x14ac:dyDescent="0.25"/>
    <row r="266064" customFormat="1" x14ac:dyDescent="0.25"/>
    <row r="266065" customFormat="1" x14ac:dyDescent="0.25"/>
    <row r="266066" customFormat="1" x14ac:dyDescent="0.25"/>
    <row r="266067" customFormat="1" x14ac:dyDescent="0.25"/>
    <row r="266068" customFormat="1" x14ac:dyDescent="0.25"/>
    <row r="266069" customFormat="1" x14ac:dyDescent="0.25"/>
    <row r="266070" customFormat="1" x14ac:dyDescent="0.25"/>
    <row r="266071" customFormat="1" x14ac:dyDescent="0.25"/>
    <row r="266072" customFormat="1" x14ac:dyDescent="0.25"/>
    <row r="266073" customFormat="1" x14ac:dyDescent="0.25"/>
    <row r="266074" customFormat="1" x14ac:dyDescent="0.25"/>
    <row r="266075" customFormat="1" x14ac:dyDescent="0.25"/>
    <row r="266076" customFormat="1" x14ac:dyDescent="0.25"/>
    <row r="266077" customFormat="1" x14ac:dyDescent="0.25"/>
    <row r="266078" customFormat="1" x14ac:dyDescent="0.25"/>
    <row r="266079" customFormat="1" x14ac:dyDescent="0.25"/>
    <row r="266080" customFormat="1" x14ac:dyDescent="0.25"/>
    <row r="266081" customFormat="1" x14ac:dyDescent="0.25"/>
    <row r="266082" customFormat="1" x14ac:dyDescent="0.25"/>
    <row r="266083" customFormat="1" x14ac:dyDescent="0.25"/>
    <row r="266084" customFormat="1" x14ac:dyDescent="0.25"/>
    <row r="266085" customFormat="1" x14ac:dyDescent="0.25"/>
    <row r="266086" customFormat="1" x14ac:dyDescent="0.25"/>
    <row r="266087" customFormat="1" x14ac:dyDescent="0.25"/>
    <row r="266088" customFormat="1" x14ac:dyDescent="0.25"/>
    <row r="266089" customFormat="1" x14ac:dyDescent="0.25"/>
    <row r="266090" customFormat="1" x14ac:dyDescent="0.25"/>
    <row r="266091" customFormat="1" x14ac:dyDescent="0.25"/>
    <row r="266092" customFormat="1" x14ac:dyDescent="0.25"/>
    <row r="266093" customFormat="1" x14ac:dyDescent="0.25"/>
    <row r="266094" customFormat="1" x14ac:dyDescent="0.25"/>
    <row r="266095" customFormat="1" x14ac:dyDescent="0.25"/>
    <row r="266096" customFormat="1" x14ac:dyDescent="0.25"/>
    <row r="266097" customFormat="1" x14ac:dyDescent="0.25"/>
    <row r="266098" customFormat="1" x14ac:dyDescent="0.25"/>
    <row r="266099" customFormat="1" x14ac:dyDescent="0.25"/>
    <row r="266100" customFormat="1" x14ac:dyDescent="0.25"/>
    <row r="266101" customFormat="1" x14ac:dyDescent="0.25"/>
    <row r="266102" customFormat="1" x14ac:dyDescent="0.25"/>
    <row r="266103" customFormat="1" x14ac:dyDescent="0.25"/>
    <row r="266104" customFormat="1" x14ac:dyDescent="0.25"/>
    <row r="266105" customFormat="1" x14ac:dyDescent="0.25"/>
    <row r="266106" customFormat="1" x14ac:dyDescent="0.25"/>
    <row r="266107" customFormat="1" x14ac:dyDescent="0.25"/>
    <row r="266108" customFormat="1" x14ac:dyDescent="0.25"/>
    <row r="266109" customFormat="1" x14ac:dyDescent="0.25"/>
    <row r="266110" customFormat="1" x14ac:dyDescent="0.25"/>
    <row r="266111" customFormat="1" x14ac:dyDescent="0.25"/>
    <row r="266112" customFormat="1" x14ac:dyDescent="0.25"/>
    <row r="266113" customFormat="1" x14ac:dyDescent="0.25"/>
    <row r="266114" customFormat="1" x14ac:dyDescent="0.25"/>
    <row r="266115" customFormat="1" x14ac:dyDescent="0.25"/>
    <row r="266116" customFormat="1" x14ac:dyDescent="0.25"/>
    <row r="266117" customFormat="1" x14ac:dyDescent="0.25"/>
    <row r="266118" customFormat="1" x14ac:dyDescent="0.25"/>
    <row r="266119" customFormat="1" x14ac:dyDescent="0.25"/>
    <row r="266120" customFormat="1" x14ac:dyDescent="0.25"/>
    <row r="266121" customFormat="1" x14ac:dyDescent="0.25"/>
    <row r="266122" customFormat="1" x14ac:dyDescent="0.25"/>
    <row r="266123" customFormat="1" x14ac:dyDescent="0.25"/>
    <row r="266124" customFormat="1" x14ac:dyDescent="0.25"/>
    <row r="266125" customFormat="1" x14ac:dyDescent="0.25"/>
    <row r="266126" customFormat="1" x14ac:dyDescent="0.25"/>
    <row r="266127" customFormat="1" x14ac:dyDescent="0.25"/>
    <row r="266128" customFormat="1" x14ac:dyDescent="0.25"/>
    <row r="266129" customFormat="1" x14ac:dyDescent="0.25"/>
    <row r="266130" customFormat="1" x14ac:dyDescent="0.25"/>
    <row r="266131" customFormat="1" x14ac:dyDescent="0.25"/>
    <row r="266132" customFormat="1" x14ac:dyDescent="0.25"/>
    <row r="266133" customFormat="1" x14ac:dyDescent="0.25"/>
    <row r="266134" customFormat="1" x14ac:dyDescent="0.25"/>
    <row r="266135" customFormat="1" x14ac:dyDescent="0.25"/>
    <row r="266136" customFormat="1" x14ac:dyDescent="0.25"/>
    <row r="266137" customFormat="1" x14ac:dyDescent="0.25"/>
    <row r="266138" customFormat="1" x14ac:dyDescent="0.25"/>
    <row r="266139" customFormat="1" x14ac:dyDescent="0.25"/>
    <row r="266140" customFormat="1" x14ac:dyDescent="0.25"/>
    <row r="266141" customFormat="1" x14ac:dyDescent="0.25"/>
    <row r="266142" customFormat="1" x14ac:dyDescent="0.25"/>
    <row r="266143" customFormat="1" x14ac:dyDescent="0.25"/>
    <row r="266144" customFormat="1" x14ac:dyDescent="0.25"/>
    <row r="266145" customFormat="1" x14ac:dyDescent="0.25"/>
    <row r="266146" customFormat="1" x14ac:dyDescent="0.25"/>
    <row r="266147" customFormat="1" x14ac:dyDescent="0.25"/>
    <row r="266148" customFormat="1" x14ac:dyDescent="0.25"/>
    <row r="266149" customFormat="1" x14ac:dyDescent="0.25"/>
    <row r="266150" customFormat="1" x14ac:dyDescent="0.25"/>
    <row r="266151" customFormat="1" x14ac:dyDescent="0.25"/>
    <row r="266152" customFormat="1" x14ac:dyDescent="0.25"/>
    <row r="266153" customFormat="1" x14ac:dyDescent="0.25"/>
    <row r="266154" customFormat="1" x14ac:dyDescent="0.25"/>
    <row r="266155" customFormat="1" x14ac:dyDescent="0.25"/>
    <row r="266156" customFormat="1" x14ac:dyDescent="0.25"/>
    <row r="266157" customFormat="1" x14ac:dyDescent="0.25"/>
    <row r="266158" customFormat="1" x14ac:dyDescent="0.25"/>
    <row r="266159" customFormat="1" x14ac:dyDescent="0.25"/>
    <row r="266160" customFormat="1" x14ac:dyDescent="0.25"/>
    <row r="266161" customFormat="1" x14ac:dyDescent="0.25"/>
    <row r="266162" customFormat="1" x14ac:dyDescent="0.25"/>
    <row r="266163" customFormat="1" x14ac:dyDescent="0.25"/>
    <row r="266164" customFormat="1" x14ac:dyDescent="0.25"/>
    <row r="266165" customFormat="1" x14ac:dyDescent="0.25"/>
    <row r="266166" customFormat="1" x14ac:dyDescent="0.25"/>
    <row r="266167" customFormat="1" x14ac:dyDescent="0.25"/>
    <row r="266168" customFormat="1" x14ac:dyDescent="0.25"/>
    <row r="266169" customFormat="1" x14ac:dyDescent="0.25"/>
    <row r="266170" customFormat="1" x14ac:dyDescent="0.25"/>
    <row r="266171" customFormat="1" x14ac:dyDescent="0.25"/>
    <row r="266172" customFormat="1" x14ac:dyDescent="0.25"/>
    <row r="266173" customFormat="1" x14ac:dyDescent="0.25"/>
    <row r="266174" customFormat="1" x14ac:dyDescent="0.25"/>
    <row r="266175" customFormat="1" x14ac:dyDescent="0.25"/>
    <row r="266176" customFormat="1" x14ac:dyDescent="0.25"/>
    <row r="266177" customFormat="1" x14ac:dyDescent="0.25"/>
    <row r="266178" customFormat="1" x14ac:dyDescent="0.25"/>
    <row r="266179" customFormat="1" x14ac:dyDescent="0.25"/>
    <row r="266180" customFormat="1" x14ac:dyDescent="0.25"/>
    <row r="266181" customFormat="1" x14ac:dyDescent="0.25"/>
    <row r="266182" customFormat="1" x14ac:dyDescent="0.25"/>
    <row r="266183" customFormat="1" x14ac:dyDescent="0.25"/>
    <row r="266184" customFormat="1" x14ac:dyDescent="0.25"/>
    <row r="266185" customFormat="1" x14ac:dyDescent="0.25"/>
    <row r="266186" customFormat="1" x14ac:dyDescent="0.25"/>
    <row r="266187" customFormat="1" x14ac:dyDescent="0.25"/>
    <row r="266188" customFormat="1" x14ac:dyDescent="0.25"/>
    <row r="266189" customFormat="1" x14ac:dyDescent="0.25"/>
    <row r="266190" customFormat="1" x14ac:dyDescent="0.25"/>
    <row r="266191" customFormat="1" x14ac:dyDescent="0.25"/>
    <row r="266192" customFormat="1" x14ac:dyDescent="0.25"/>
    <row r="266193" customFormat="1" x14ac:dyDescent="0.25"/>
    <row r="266194" customFormat="1" x14ac:dyDescent="0.25"/>
    <row r="266195" customFormat="1" x14ac:dyDescent="0.25"/>
    <row r="266196" customFormat="1" x14ac:dyDescent="0.25"/>
    <row r="266197" customFormat="1" x14ac:dyDescent="0.25"/>
    <row r="266198" customFormat="1" x14ac:dyDescent="0.25"/>
    <row r="266199" customFormat="1" x14ac:dyDescent="0.25"/>
    <row r="266200" customFormat="1" x14ac:dyDescent="0.25"/>
    <row r="266201" customFormat="1" x14ac:dyDescent="0.25"/>
    <row r="266202" customFormat="1" x14ac:dyDescent="0.25"/>
    <row r="266203" customFormat="1" x14ac:dyDescent="0.25"/>
    <row r="266204" customFormat="1" x14ac:dyDescent="0.25"/>
    <row r="266205" customFormat="1" x14ac:dyDescent="0.25"/>
    <row r="266206" customFormat="1" x14ac:dyDescent="0.25"/>
    <row r="266207" customFormat="1" x14ac:dyDescent="0.25"/>
    <row r="266208" customFormat="1" x14ac:dyDescent="0.25"/>
    <row r="266209" customFormat="1" x14ac:dyDescent="0.25"/>
    <row r="266210" customFormat="1" x14ac:dyDescent="0.25"/>
    <row r="266211" customFormat="1" x14ac:dyDescent="0.25"/>
    <row r="266212" customFormat="1" x14ac:dyDescent="0.25"/>
    <row r="266213" customFormat="1" x14ac:dyDescent="0.25"/>
    <row r="266214" customFormat="1" x14ac:dyDescent="0.25"/>
    <row r="266215" customFormat="1" x14ac:dyDescent="0.25"/>
    <row r="266216" customFormat="1" x14ac:dyDescent="0.25"/>
    <row r="266217" customFormat="1" x14ac:dyDescent="0.25"/>
    <row r="266218" customFormat="1" x14ac:dyDescent="0.25"/>
    <row r="266219" customFormat="1" x14ac:dyDescent="0.25"/>
    <row r="266220" customFormat="1" x14ac:dyDescent="0.25"/>
    <row r="266221" customFormat="1" x14ac:dyDescent="0.25"/>
    <row r="266222" customFormat="1" x14ac:dyDescent="0.25"/>
    <row r="266223" customFormat="1" x14ac:dyDescent="0.25"/>
    <row r="266224" customFormat="1" x14ac:dyDescent="0.25"/>
    <row r="266225" customFormat="1" x14ac:dyDescent="0.25"/>
    <row r="266226" customFormat="1" x14ac:dyDescent="0.25"/>
    <row r="266227" customFormat="1" x14ac:dyDescent="0.25"/>
    <row r="266228" customFormat="1" x14ac:dyDescent="0.25"/>
    <row r="266229" customFormat="1" x14ac:dyDescent="0.25"/>
    <row r="266230" customFormat="1" x14ac:dyDescent="0.25"/>
    <row r="266231" customFormat="1" x14ac:dyDescent="0.25"/>
    <row r="266232" customFormat="1" x14ac:dyDescent="0.25"/>
    <row r="266233" customFormat="1" x14ac:dyDescent="0.25"/>
    <row r="266234" customFormat="1" x14ac:dyDescent="0.25"/>
    <row r="266235" customFormat="1" x14ac:dyDescent="0.25"/>
    <row r="266236" customFormat="1" x14ac:dyDescent="0.25"/>
    <row r="266237" customFormat="1" x14ac:dyDescent="0.25"/>
    <row r="266238" customFormat="1" x14ac:dyDescent="0.25"/>
    <row r="266239" customFormat="1" x14ac:dyDescent="0.25"/>
    <row r="266240" customFormat="1" x14ac:dyDescent="0.25"/>
    <row r="266241" customFormat="1" x14ac:dyDescent="0.25"/>
    <row r="266242" customFormat="1" x14ac:dyDescent="0.25"/>
    <row r="266243" customFormat="1" x14ac:dyDescent="0.25"/>
    <row r="266244" customFormat="1" x14ac:dyDescent="0.25"/>
    <row r="266245" customFormat="1" x14ac:dyDescent="0.25"/>
    <row r="266246" customFormat="1" x14ac:dyDescent="0.25"/>
    <row r="266247" customFormat="1" x14ac:dyDescent="0.25"/>
    <row r="266248" customFormat="1" x14ac:dyDescent="0.25"/>
    <row r="266249" customFormat="1" x14ac:dyDescent="0.25"/>
    <row r="266250" customFormat="1" x14ac:dyDescent="0.25"/>
    <row r="266251" customFormat="1" x14ac:dyDescent="0.25"/>
    <row r="266252" customFormat="1" x14ac:dyDescent="0.25"/>
    <row r="266253" customFormat="1" x14ac:dyDescent="0.25"/>
    <row r="266254" customFormat="1" x14ac:dyDescent="0.25"/>
    <row r="266255" customFormat="1" x14ac:dyDescent="0.25"/>
    <row r="266256" customFormat="1" x14ac:dyDescent="0.25"/>
    <row r="266257" customFormat="1" x14ac:dyDescent="0.25"/>
    <row r="266258" customFormat="1" x14ac:dyDescent="0.25"/>
    <row r="266259" customFormat="1" x14ac:dyDescent="0.25"/>
    <row r="266260" customFormat="1" x14ac:dyDescent="0.25"/>
    <row r="266261" customFormat="1" x14ac:dyDescent="0.25"/>
    <row r="266262" customFormat="1" x14ac:dyDescent="0.25"/>
    <row r="266263" customFormat="1" x14ac:dyDescent="0.25"/>
    <row r="266264" customFormat="1" x14ac:dyDescent="0.25"/>
    <row r="266265" customFormat="1" x14ac:dyDescent="0.25"/>
    <row r="266266" customFormat="1" x14ac:dyDescent="0.25"/>
    <row r="266267" customFormat="1" x14ac:dyDescent="0.25"/>
    <row r="266268" customFormat="1" x14ac:dyDescent="0.25"/>
    <row r="266269" customFormat="1" x14ac:dyDescent="0.25"/>
    <row r="266270" customFormat="1" x14ac:dyDescent="0.25"/>
    <row r="266271" customFormat="1" x14ac:dyDescent="0.25"/>
    <row r="266272" customFormat="1" x14ac:dyDescent="0.25"/>
    <row r="266273" customFormat="1" x14ac:dyDescent="0.25"/>
    <row r="266274" customFormat="1" x14ac:dyDescent="0.25"/>
    <row r="266275" customFormat="1" x14ac:dyDescent="0.25"/>
    <row r="266276" customFormat="1" x14ac:dyDescent="0.25"/>
    <row r="266277" customFormat="1" x14ac:dyDescent="0.25"/>
    <row r="266278" customFormat="1" x14ac:dyDescent="0.25"/>
    <row r="266279" customFormat="1" x14ac:dyDescent="0.25"/>
    <row r="266280" customFormat="1" x14ac:dyDescent="0.25"/>
    <row r="266281" customFormat="1" x14ac:dyDescent="0.25"/>
    <row r="266282" customFormat="1" x14ac:dyDescent="0.25"/>
    <row r="266283" customFormat="1" x14ac:dyDescent="0.25"/>
    <row r="266284" customFormat="1" x14ac:dyDescent="0.25"/>
    <row r="266285" customFormat="1" x14ac:dyDescent="0.25"/>
    <row r="266286" customFormat="1" x14ac:dyDescent="0.25"/>
    <row r="266287" customFormat="1" x14ac:dyDescent="0.25"/>
    <row r="266288" customFormat="1" x14ac:dyDescent="0.25"/>
    <row r="266289" customFormat="1" x14ac:dyDescent="0.25"/>
    <row r="266290" customFormat="1" x14ac:dyDescent="0.25"/>
    <row r="266291" customFormat="1" x14ac:dyDescent="0.25"/>
    <row r="266292" customFormat="1" x14ac:dyDescent="0.25"/>
    <row r="266293" customFormat="1" x14ac:dyDescent="0.25"/>
    <row r="266294" customFormat="1" x14ac:dyDescent="0.25"/>
    <row r="266295" customFormat="1" x14ac:dyDescent="0.25"/>
    <row r="266296" customFormat="1" x14ac:dyDescent="0.25"/>
    <row r="266297" customFormat="1" x14ac:dyDescent="0.25"/>
    <row r="266298" customFormat="1" x14ac:dyDescent="0.25"/>
    <row r="266299" customFormat="1" x14ac:dyDescent="0.25"/>
    <row r="266300" customFormat="1" x14ac:dyDescent="0.25"/>
    <row r="266301" customFormat="1" x14ac:dyDescent="0.25"/>
    <row r="266302" customFormat="1" x14ac:dyDescent="0.25"/>
    <row r="266303" customFormat="1" x14ac:dyDescent="0.25"/>
    <row r="266304" customFormat="1" x14ac:dyDescent="0.25"/>
    <row r="266305" customFormat="1" x14ac:dyDescent="0.25"/>
    <row r="266306" customFormat="1" x14ac:dyDescent="0.25"/>
    <row r="266307" customFormat="1" x14ac:dyDescent="0.25"/>
    <row r="266308" customFormat="1" x14ac:dyDescent="0.25"/>
    <row r="266309" customFormat="1" x14ac:dyDescent="0.25"/>
    <row r="266310" customFormat="1" x14ac:dyDescent="0.25"/>
    <row r="266311" customFormat="1" x14ac:dyDescent="0.25"/>
    <row r="266312" customFormat="1" x14ac:dyDescent="0.25"/>
    <row r="266313" customFormat="1" x14ac:dyDescent="0.25"/>
    <row r="266314" customFormat="1" x14ac:dyDescent="0.25"/>
    <row r="266315" customFormat="1" x14ac:dyDescent="0.25"/>
    <row r="266316" customFormat="1" x14ac:dyDescent="0.25"/>
    <row r="266317" customFormat="1" x14ac:dyDescent="0.25"/>
    <row r="266318" customFormat="1" x14ac:dyDescent="0.25"/>
    <row r="266319" customFormat="1" x14ac:dyDescent="0.25"/>
    <row r="266320" customFormat="1" x14ac:dyDescent="0.25"/>
    <row r="266321" customFormat="1" x14ac:dyDescent="0.25"/>
    <row r="266322" customFormat="1" x14ac:dyDescent="0.25"/>
    <row r="266323" customFormat="1" x14ac:dyDescent="0.25"/>
    <row r="266324" customFormat="1" x14ac:dyDescent="0.25"/>
    <row r="266325" customFormat="1" x14ac:dyDescent="0.25"/>
    <row r="266326" customFormat="1" x14ac:dyDescent="0.25"/>
    <row r="266327" customFormat="1" x14ac:dyDescent="0.25"/>
    <row r="266328" customFormat="1" x14ac:dyDescent="0.25"/>
    <row r="266329" customFormat="1" x14ac:dyDescent="0.25"/>
    <row r="266330" customFormat="1" x14ac:dyDescent="0.25"/>
    <row r="266331" customFormat="1" x14ac:dyDescent="0.25"/>
    <row r="266332" customFormat="1" x14ac:dyDescent="0.25"/>
    <row r="266333" customFormat="1" x14ac:dyDescent="0.25"/>
    <row r="266334" customFormat="1" x14ac:dyDescent="0.25"/>
    <row r="266335" customFormat="1" x14ac:dyDescent="0.25"/>
    <row r="266336" customFormat="1" x14ac:dyDescent="0.25"/>
    <row r="266337" customFormat="1" x14ac:dyDescent="0.25"/>
    <row r="266338" customFormat="1" x14ac:dyDescent="0.25"/>
    <row r="266339" customFormat="1" x14ac:dyDescent="0.25"/>
    <row r="266340" customFormat="1" x14ac:dyDescent="0.25"/>
    <row r="266341" customFormat="1" x14ac:dyDescent="0.25"/>
    <row r="266342" customFormat="1" x14ac:dyDescent="0.25"/>
    <row r="266343" customFormat="1" x14ac:dyDescent="0.25"/>
    <row r="266344" customFormat="1" x14ac:dyDescent="0.25"/>
    <row r="266345" customFormat="1" x14ac:dyDescent="0.25"/>
    <row r="266346" customFormat="1" x14ac:dyDescent="0.25"/>
    <row r="266347" customFormat="1" x14ac:dyDescent="0.25"/>
    <row r="266348" customFormat="1" x14ac:dyDescent="0.25"/>
    <row r="266349" customFormat="1" x14ac:dyDescent="0.25"/>
    <row r="266350" customFormat="1" x14ac:dyDescent="0.25"/>
    <row r="266351" customFormat="1" x14ac:dyDescent="0.25"/>
    <row r="266352" customFormat="1" x14ac:dyDescent="0.25"/>
    <row r="266353" customFormat="1" x14ac:dyDescent="0.25"/>
    <row r="266354" customFormat="1" x14ac:dyDescent="0.25"/>
    <row r="266355" customFormat="1" x14ac:dyDescent="0.25"/>
    <row r="266356" customFormat="1" x14ac:dyDescent="0.25"/>
    <row r="266357" customFormat="1" x14ac:dyDescent="0.25"/>
    <row r="266358" customFormat="1" x14ac:dyDescent="0.25"/>
    <row r="266359" customFormat="1" x14ac:dyDescent="0.25"/>
    <row r="266360" customFormat="1" x14ac:dyDescent="0.25"/>
    <row r="266361" customFormat="1" x14ac:dyDescent="0.25"/>
    <row r="266362" customFormat="1" x14ac:dyDescent="0.25"/>
    <row r="266363" customFormat="1" x14ac:dyDescent="0.25"/>
    <row r="266364" customFormat="1" x14ac:dyDescent="0.25"/>
    <row r="266365" customFormat="1" x14ac:dyDescent="0.25"/>
    <row r="266366" customFormat="1" x14ac:dyDescent="0.25"/>
    <row r="266367" customFormat="1" x14ac:dyDescent="0.25"/>
    <row r="266368" customFormat="1" x14ac:dyDescent="0.25"/>
    <row r="266369" customFormat="1" x14ac:dyDescent="0.25"/>
    <row r="266370" customFormat="1" x14ac:dyDescent="0.25"/>
    <row r="266371" customFormat="1" x14ac:dyDescent="0.25"/>
    <row r="266372" customFormat="1" x14ac:dyDescent="0.25"/>
    <row r="266373" customFormat="1" x14ac:dyDescent="0.25"/>
    <row r="266374" customFormat="1" x14ac:dyDescent="0.25"/>
    <row r="266375" customFormat="1" x14ac:dyDescent="0.25"/>
    <row r="266376" customFormat="1" x14ac:dyDescent="0.25"/>
    <row r="266377" customFormat="1" x14ac:dyDescent="0.25"/>
    <row r="266378" customFormat="1" x14ac:dyDescent="0.25"/>
    <row r="266379" customFormat="1" x14ac:dyDescent="0.25"/>
    <row r="266380" customFormat="1" x14ac:dyDescent="0.25"/>
    <row r="266381" customFormat="1" x14ac:dyDescent="0.25"/>
    <row r="266382" customFormat="1" x14ac:dyDescent="0.25"/>
    <row r="266383" customFormat="1" x14ac:dyDescent="0.25"/>
    <row r="266384" customFormat="1" x14ac:dyDescent="0.25"/>
    <row r="266385" customFormat="1" x14ac:dyDescent="0.25"/>
    <row r="266386" customFormat="1" x14ac:dyDescent="0.25"/>
    <row r="266387" customFormat="1" x14ac:dyDescent="0.25"/>
    <row r="266388" customFormat="1" x14ac:dyDescent="0.25"/>
    <row r="266389" customFormat="1" x14ac:dyDescent="0.25"/>
    <row r="266390" customFormat="1" x14ac:dyDescent="0.25"/>
    <row r="266391" customFormat="1" x14ac:dyDescent="0.25"/>
    <row r="266392" customFormat="1" x14ac:dyDescent="0.25"/>
    <row r="266393" customFormat="1" x14ac:dyDescent="0.25"/>
    <row r="266394" customFormat="1" x14ac:dyDescent="0.25"/>
    <row r="266395" customFormat="1" x14ac:dyDescent="0.25"/>
    <row r="266396" customFormat="1" x14ac:dyDescent="0.25"/>
    <row r="266397" customFormat="1" x14ac:dyDescent="0.25"/>
    <row r="266398" customFormat="1" x14ac:dyDescent="0.25"/>
    <row r="266399" customFormat="1" x14ac:dyDescent="0.25"/>
    <row r="266400" customFormat="1" x14ac:dyDescent="0.25"/>
    <row r="266401" customFormat="1" x14ac:dyDescent="0.25"/>
    <row r="266402" customFormat="1" x14ac:dyDescent="0.25"/>
    <row r="266403" customFormat="1" x14ac:dyDescent="0.25"/>
    <row r="266404" customFormat="1" x14ac:dyDescent="0.25"/>
    <row r="266405" customFormat="1" x14ac:dyDescent="0.25"/>
    <row r="266406" customFormat="1" x14ac:dyDescent="0.25"/>
    <row r="266407" customFormat="1" x14ac:dyDescent="0.25"/>
    <row r="266408" customFormat="1" x14ac:dyDescent="0.25"/>
    <row r="266409" customFormat="1" x14ac:dyDescent="0.25"/>
    <row r="266410" customFormat="1" x14ac:dyDescent="0.25"/>
    <row r="266411" customFormat="1" x14ac:dyDescent="0.25"/>
    <row r="266412" customFormat="1" x14ac:dyDescent="0.25"/>
    <row r="266413" customFormat="1" x14ac:dyDescent="0.25"/>
    <row r="266414" customFormat="1" x14ac:dyDescent="0.25"/>
    <row r="266415" customFormat="1" x14ac:dyDescent="0.25"/>
    <row r="266416" customFormat="1" x14ac:dyDescent="0.25"/>
    <row r="266417" customFormat="1" x14ac:dyDescent="0.25"/>
    <row r="266418" customFormat="1" x14ac:dyDescent="0.25"/>
    <row r="266419" customFormat="1" x14ac:dyDescent="0.25"/>
    <row r="266420" customFormat="1" x14ac:dyDescent="0.25"/>
    <row r="266421" customFormat="1" x14ac:dyDescent="0.25"/>
    <row r="266422" customFormat="1" x14ac:dyDescent="0.25"/>
    <row r="266423" customFormat="1" x14ac:dyDescent="0.25"/>
    <row r="266424" customFormat="1" x14ac:dyDescent="0.25"/>
    <row r="266425" customFormat="1" x14ac:dyDescent="0.25"/>
    <row r="266426" customFormat="1" x14ac:dyDescent="0.25"/>
    <row r="266427" customFormat="1" x14ac:dyDescent="0.25"/>
    <row r="266428" customFormat="1" x14ac:dyDescent="0.25"/>
    <row r="266429" customFormat="1" x14ac:dyDescent="0.25"/>
    <row r="266430" customFormat="1" x14ac:dyDescent="0.25"/>
    <row r="266431" customFormat="1" x14ac:dyDescent="0.25"/>
    <row r="266432" customFormat="1" x14ac:dyDescent="0.25"/>
    <row r="266433" customFormat="1" x14ac:dyDescent="0.25"/>
    <row r="266434" customFormat="1" x14ac:dyDescent="0.25"/>
    <row r="266435" customFormat="1" x14ac:dyDescent="0.25"/>
    <row r="266436" customFormat="1" x14ac:dyDescent="0.25"/>
    <row r="266437" customFormat="1" x14ac:dyDescent="0.25"/>
    <row r="266438" customFormat="1" x14ac:dyDescent="0.25"/>
    <row r="266439" customFormat="1" x14ac:dyDescent="0.25"/>
    <row r="266440" customFormat="1" x14ac:dyDescent="0.25"/>
    <row r="266441" customFormat="1" x14ac:dyDescent="0.25"/>
    <row r="266442" customFormat="1" x14ac:dyDescent="0.25"/>
    <row r="266443" customFormat="1" x14ac:dyDescent="0.25"/>
    <row r="266444" customFormat="1" x14ac:dyDescent="0.25"/>
    <row r="266445" customFormat="1" x14ac:dyDescent="0.25"/>
    <row r="266446" customFormat="1" x14ac:dyDescent="0.25"/>
    <row r="266447" customFormat="1" x14ac:dyDescent="0.25"/>
    <row r="266448" customFormat="1" x14ac:dyDescent="0.25"/>
    <row r="266449" customFormat="1" x14ac:dyDescent="0.25"/>
    <row r="266450" customFormat="1" x14ac:dyDescent="0.25"/>
    <row r="266451" customFormat="1" x14ac:dyDescent="0.25"/>
    <row r="266452" customFormat="1" x14ac:dyDescent="0.25"/>
    <row r="266453" customFormat="1" x14ac:dyDescent="0.25"/>
    <row r="266454" customFormat="1" x14ac:dyDescent="0.25"/>
    <row r="266455" customFormat="1" x14ac:dyDescent="0.25"/>
    <row r="266456" customFormat="1" x14ac:dyDescent="0.25"/>
    <row r="266457" customFormat="1" x14ac:dyDescent="0.25"/>
    <row r="266458" customFormat="1" x14ac:dyDescent="0.25"/>
    <row r="266459" customFormat="1" x14ac:dyDescent="0.25"/>
    <row r="266460" customFormat="1" x14ac:dyDescent="0.25"/>
    <row r="266461" customFormat="1" x14ac:dyDescent="0.25"/>
    <row r="266462" customFormat="1" x14ac:dyDescent="0.25"/>
    <row r="266463" customFormat="1" x14ac:dyDescent="0.25"/>
    <row r="266464" customFormat="1" x14ac:dyDescent="0.25"/>
    <row r="266465" customFormat="1" x14ac:dyDescent="0.25"/>
    <row r="266466" customFormat="1" x14ac:dyDescent="0.25"/>
    <row r="266467" customFormat="1" x14ac:dyDescent="0.25"/>
    <row r="266468" customFormat="1" x14ac:dyDescent="0.25"/>
    <row r="266469" customFormat="1" x14ac:dyDescent="0.25"/>
    <row r="266470" customFormat="1" x14ac:dyDescent="0.25"/>
    <row r="266471" customFormat="1" x14ac:dyDescent="0.25"/>
    <row r="266472" customFormat="1" x14ac:dyDescent="0.25"/>
    <row r="266473" customFormat="1" x14ac:dyDescent="0.25"/>
    <row r="266474" customFormat="1" x14ac:dyDescent="0.25"/>
    <row r="266475" customFormat="1" x14ac:dyDescent="0.25"/>
    <row r="266476" customFormat="1" x14ac:dyDescent="0.25"/>
    <row r="266477" customFormat="1" x14ac:dyDescent="0.25"/>
    <row r="266478" customFormat="1" x14ac:dyDescent="0.25"/>
    <row r="266479" customFormat="1" x14ac:dyDescent="0.25"/>
    <row r="266480" customFormat="1" x14ac:dyDescent="0.25"/>
    <row r="266481" customFormat="1" x14ac:dyDescent="0.25"/>
    <row r="266482" customFormat="1" x14ac:dyDescent="0.25"/>
    <row r="266483" customFormat="1" x14ac:dyDescent="0.25"/>
    <row r="266484" customFormat="1" x14ac:dyDescent="0.25"/>
    <row r="266485" customFormat="1" x14ac:dyDescent="0.25"/>
    <row r="266486" customFormat="1" x14ac:dyDescent="0.25"/>
    <row r="266487" customFormat="1" x14ac:dyDescent="0.25"/>
    <row r="266488" customFormat="1" x14ac:dyDescent="0.25"/>
    <row r="266489" customFormat="1" x14ac:dyDescent="0.25"/>
    <row r="266490" customFormat="1" x14ac:dyDescent="0.25"/>
    <row r="266491" customFormat="1" x14ac:dyDescent="0.25"/>
    <row r="266492" customFormat="1" x14ac:dyDescent="0.25"/>
    <row r="266493" customFormat="1" x14ac:dyDescent="0.25"/>
    <row r="266494" customFormat="1" x14ac:dyDescent="0.25"/>
    <row r="266495" customFormat="1" x14ac:dyDescent="0.25"/>
    <row r="266496" customFormat="1" x14ac:dyDescent="0.25"/>
    <row r="266497" customFormat="1" x14ac:dyDescent="0.25"/>
    <row r="266498" customFormat="1" x14ac:dyDescent="0.25"/>
    <row r="266499" customFormat="1" x14ac:dyDescent="0.25"/>
    <row r="266500" customFormat="1" x14ac:dyDescent="0.25"/>
    <row r="266501" customFormat="1" x14ac:dyDescent="0.25"/>
    <row r="266502" customFormat="1" x14ac:dyDescent="0.25"/>
    <row r="266503" customFormat="1" x14ac:dyDescent="0.25"/>
    <row r="266504" customFormat="1" x14ac:dyDescent="0.25"/>
    <row r="266505" customFormat="1" x14ac:dyDescent="0.25"/>
    <row r="266506" customFormat="1" x14ac:dyDescent="0.25"/>
    <row r="266507" customFormat="1" x14ac:dyDescent="0.25"/>
    <row r="266508" customFormat="1" x14ac:dyDescent="0.25"/>
    <row r="266509" customFormat="1" x14ac:dyDescent="0.25"/>
    <row r="266510" customFormat="1" x14ac:dyDescent="0.25"/>
    <row r="266511" customFormat="1" x14ac:dyDescent="0.25"/>
    <row r="266512" customFormat="1" x14ac:dyDescent="0.25"/>
    <row r="266513" customFormat="1" x14ac:dyDescent="0.25"/>
    <row r="266514" customFormat="1" x14ac:dyDescent="0.25"/>
    <row r="266515" customFormat="1" x14ac:dyDescent="0.25"/>
    <row r="266516" customFormat="1" x14ac:dyDescent="0.25"/>
    <row r="266517" customFormat="1" x14ac:dyDescent="0.25"/>
    <row r="266518" customFormat="1" x14ac:dyDescent="0.25"/>
    <row r="266519" customFormat="1" x14ac:dyDescent="0.25"/>
    <row r="266520" customFormat="1" x14ac:dyDescent="0.25"/>
    <row r="266521" customFormat="1" x14ac:dyDescent="0.25"/>
    <row r="266522" customFormat="1" x14ac:dyDescent="0.25"/>
    <row r="266523" customFormat="1" x14ac:dyDescent="0.25"/>
    <row r="266524" customFormat="1" x14ac:dyDescent="0.25"/>
    <row r="266525" customFormat="1" x14ac:dyDescent="0.25"/>
    <row r="266526" customFormat="1" x14ac:dyDescent="0.25"/>
    <row r="266527" customFormat="1" x14ac:dyDescent="0.25"/>
    <row r="266528" customFormat="1" x14ac:dyDescent="0.25"/>
    <row r="266529" customFormat="1" x14ac:dyDescent="0.25"/>
    <row r="266530" customFormat="1" x14ac:dyDescent="0.25"/>
    <row r="266531" customFormat="1" x14ac:dyDescent="0.25"/>
    <row r="266532" customFormat="1" x14ac:dyDescent="0.25"/>
    <row r="266533" customFormat="1" x14ac:dyDescent="0.25"/>
    <row r="266534" customFormat="1" x14ac:dyDescent="0.25"/>
    <row r="266535" customFormat="1" x14ac:dyDescent="0.25"/>
    <row r="266536" customFormat="1" x14ac:dyDescent="0.25"/>
    <row r="266537" customFormat="1" x14ac:dyDescent="0.25"/>
    <row r="266538" customFormat="1" x14ac:dyDescent="0.25"/>
    <row r="266539" customFormat="1" x14ac:dyDescent="0.25"/>
    <row r="266540" customFormat="1" x14ac:dyDescent="0.25"/>
    <row r="266541" customFormat="1" x14ac:dyDescent="0.25"/>
    <row r="266542" customFormat="1" x14ac:dyDescent="0.25"/>
    <row r="266543" customFormat="1" x14ac:dyDescent="0.25"/>
    <row r="266544" customFormat="1" x14ac:dyDescent="0.25"/>
    <row r="266545" customFormat="1" x14ac:dyDescent="0.25"/>
    <row r="266546" customFormat="1" x14ac:dyDescent="0.25"/>
    <row r="266547" customFormat="1" x14ac:dyDescent="0.25"/>
    <row r="266548" customFormat="1" x14ac:dyDescent="0.25"/>
    <row r="266549" customFormat="1" x14ac:dyDescent="0.25"/>
    <row r="266550" customFormat="1" x14ac:dyDescent="0.25"/>
    <row r="266551" customFormat="1" x14ac:dyDescent="0.25"/>
    <row r="266552" customFormat="1" x14ac:dyDescent="0.25"/>
    <row r="266553" customFormat="1" x14ac:dyDescent="0.25"/>
    <row r="266554" customFormat="1" x14ac:dyDescent="0.25"/>
    <row r="266555" customFormat="1" x14ac:dyDescent="0.25"/>
    <row r="266556" customFormat="1" x14ac:dyDescent="0.25"/>
    <row r="266557" customFormat="1" x14ac:dyDescent="0.25"/>
    <row r="266558" customFormat="1" x14ac:dyDescent="0.25"/>
    <row r="266559" customFormat="1" x14ac:dyDescent="0.25"/>
    <row r="266560" customFormat="1" x14ac:dyDescent="0.25"/>
    <row r="266561" customFormat="1" x14ac:dyDescent="0.25"/>
    <row r="266562" customFormat="1" x14ac:dyDescent="0.25"/>
    <row r="266563" customFormat="1" x14ac:dyDescent="0.25"/>
    <row r="266564" customFormat="1" x14ac:dyDescent="0.25"/>
    <row r="266565" customFormat="1" x14ac:dyDescent="0.25"/>
    <row r="266566" customFormat="1" x14ac:dyDescent="0.25"/>
    <row r="266567" customFormat="1" x14ac:dyDescent="0.25"/>
    <row r="266568" customFormat="1" x14ac:dyDescent="0.25"/>
    <row r="266569" customFormat="1" x14ac:dyDescent="0.25"/>
    <row r="266570" customFormat="1" x14ac:dyDescent="0.25"/>
    <row r="266571" customFormat="1" x14ac:dyDescent="0.25"/>
    <row r="266572" customFormat="1" x14ac:dyDescent="0.25"/>
    <row r="266573" customFormat="1" x14ac:dyDescent="0.25"/>
    <row r="266574" customFormat="1" x14ac:dyDescent="0.25"/>
    <row r="266575" customFormat="1" x14ac:dyDescent="0.25"/>
    <row r="266576" customFormat="1" x14ac:dyDescent="0.25"/>
    <row r="266577" customFormat="1" x14ac:dyDescent="0.25"/>
    <row r="266578" customFormat="1" x14ac:dyDescent="0.25"/>
    <row r="266579" customFormat="1" x14ac:dyDescent="0.25"/>
    <row r="266580" customFormat="1" x14ac:dyDescent="0.25"/>
    <row r="266581" customFormat="1" x14ac:dyDescent="0.25"/>
    <row r="266582" customFormat="1" x14ac:dyDescent="0.25"/>
    <row r="266583" customFormat="1" x14ac:dyDescent="0.25"/>
    <row r="266584" customFormat="1" x14ac:dyDescent="0.25"/>
    <row r="266585" customFormat="1" x14ac:dyDescent="0.25"/>
    <row r="266586" customFormat="1" x14ac:dyDescent="0.25"/>
    <row r="266587" customFormat="1" x14ac:dyDescent="0.25"/>
    <row r="266588" customFormat="1" x14ac:dyDescent="0.25"/>
    <row r="266589" customFormat="1" x14ac:dyDescent="0.25"/>
    <row r="266590" customFormat="1" x14ac:dyDescent="0.25"/>
    <row r="266591" customFormat="1" x14ac:dyDescent="0.25"/>
    <row r="266592" customFormat="1" x14ac:dyDescent="0.25"/>
    <row r="266593" customFormat="1" x14ac:dyDescent="0.25"/>
    <row r="266594" customFormat="1" x14ac:dyDescent="0.25"/>
    <row r="266595" customFormat="1" x14ac:dyDescent="0.25"/>
    <row r="266596" customFormat="1" x14ac:dyDescent="0.25"/>
    <row r="266597" customFormat="1" x14ac:dyDescent="0.25"/>
    <row r="266598" customFormat="1" x14ac:dyDescent="0.25"/>
    <row r="266599" customFormat="1" x14ac:dyDescent="0.25"/>
    <row r="266600" customFormat="1" x14ac:dyDescent="0.25"/>
    <row r="266601" customFormat="1" x14ac:dyDescent="0.25"/>
    <row r="266602" customFormat="1" x14ac:dyDescent="0.25"/>
    <row r="266603" customFormat="1" x14ac:dyDescent="0.25"/>
    <row r="266604" customFormat="1" x14ac:dyDescent="0.25"/>
    <row r="266605" customFormat="1" x14ac:dyDescent="0.25"/>
    <row r="266606" customFormat="1" x14ac:dyDescent="0.25"/>
    <row r="266607" customFormat="1" x14ac:dyDescent="0.25"/>
    <row r="266608" customFormat="1" x14ac:dyDescent="0.25"/>
    <row r="266609" customFormat="1" x14ac:dyDescent="0.25"/>
    <row r="266610" customFormat="1" x14ac:dyDescent="0.25"/>
    <row r="266611" customFormat="1" x14ac:dyDescent="0.25"/>
    <row r="266612" customFormat="1" x14ac:dyDescent="0.25"/>
    <row r="266613" customFormat="1" x14ac:dyDescent="0.25"/>
    <row r="266614" customFormat="1" x14ac:dyDescent="0.25"/>
    <row r="266615" customFormat="1" x14ac:dyDescent="0.25"/>
    <row r="266616" customFormat="1" x14ac:dyDescent="0.25"/>
    <row r="266617" customFormat="1" x14ac:dyDescent="0.25"/>
    <row r="266618" customFormat="1" x14ac:dyDescent="0.25"/>
    <row r="266619" customFormat="1" x14ac:dyDescent="0.25"/>
    <row r="266620" customFormat="1" x14ac:dyDescent="0.25"/>
    <row r="266621" customFormat="1" x14ac:dyDescent="0.25"/>
    <row r="266622" customFormat="1" x14ac:dyDescent="0.25"/>
    <row r="266623" customFormat="1" x14ac:dyDescent="0.25"/>
    <row r="266624" customFormat="1" x14ac:dyDescent="0.25"/>
    <row r="266625" customFormat="1" x14ac:dyDescent="0.25"/>
    <row r="266626" customFormat="1" x14ac:dyDescent="0.25"/>
    <row r="266627" customFormat="1" x14ac:dyDescent="0.25"/>
    <row r="266628" customFormat="1" x14ac:dyDescent="0.25"/>
    <row r="266629" customFormat="1" x14ac:dyDescent="0.25"/>
    <row r="266630" customFormat="1" x14ac:dyDescent="0.25"/>
    <row r="266631" customFormat="1" x14ac:dyDescent="0.25"/>
    <row r="266632" customFormat="1" x14ac:dyDescent="0.25"/>
    <row r="266633" customFormat="1" x14ac:dyDescent="0.25"/>
    <row r="266634" customFormat="1" x14ac:dyDescent="0.25"/>
    <row r="266635" customFormat="1" x14ac:dyDescent="0.25"/>
    <row r="266636" customFormat="1" x14ac:dyDescent="0.25"/>
    <row r="266637" customFormat="1" x14ac:dyDescent="0.25"/>
    <row r="266638" customFormat="1" x14ac:dyDescent="0.25"/>
    <row r="266639" customFormat="1" x14ac:dyDescent="0.25"/>
    <row r="266640" customFormat="1" x14ac:dyDescent="0.25"/>
    <row r="266641" customFormat="1" x14ac:dyDescent="0.25"/>
    <row r="266642" customFormat="1" x14ac:dyDescent="0.25"/>
    <row r="266643" customFormat="1" x14ac:dyDescent="0.25"/>
    <row r="266644" customFormat="1" x14ac:dyDescent="0.25"/>
    <row r="266645" customFormat="1" x14ac:dyDescent="0.25"/>
    <row r="266646" customFormat="1" x14ac:dyDescent="0.25"/>
    <row r="266647" customFormat="1" x14ac:dyDescent="0.25"/>
    <row r="266648" customFormat="1" x14ac:dyDescent="0.25"/>
    <row r="266649" customFormat="1" x14ac:dyDescent="0.25"/>
    <row r="266650" customFormat="1" x14ac:dyDescent="0.25"/>
    <row r="266651" customFormat="1" x14ac:dyDescent="0.25"/>
    <row r="266652" customFormat="1" x14ac:dyDescent="0.25"/>
    <row r="266653" customFormat="1" x14ac:dyDescent="0.25"/>
    <row r="266654" customFormat="1" x14ac:dyDescent="0.25"/>
    <row r="266655" customFormat="1" x14ac:dyDescent="0.25"/>
    <row r="266656" customFormat="1" x14ac:dyDescent="0.25"/>
    <row r="266657" customFormat="1" x14ac:dyDescent="0.25"/>
    <row r="266658" customFormat="1" x14ac:dyDescent="0.25"/>
    <row r="266659" customFormat="1" x14ac:dyDescent="0.25"/>
    <row r="266660" customFormat="1" x14ac:dyDescent="0.25"/>
    <row r="266661" customFormat="1" x14ac:dyDescent="0.25"/>
    <row r="266662" customFormat="1" x14ac:dyDescent="0.25"/>
    <row r="266663" customFormat="1" x14ac:dyDescent="0.25"/>
    <row r="266664" customFormat="1" x14ac:dyDescent="0.25"/>
    <row r="266665" customFormat="1" x14ac:dyDescent="0.25"/>
    <row r="266666" customFormat="1" x14ac:dyDescent="0.25"/>
    <row r="266667" customFormat="1" x14ac:dyDescent="0.25"/>
    <row r="266668" customFormat="1" x14ac:dyDescent="0.25"/>
    <row r="266669" customFormat="1" x14ac:dyDescent="0.25"/>
    <row r="266670" customFormat="1" x14ac:dyDescent="0.25"/>
    <row r="266671" customFormat="1" x14ac:dyDescent="0.25"/>
    <row r="266672" customFormat="1" x14ac:dyDescent="0.25"/>
    <row r="266673" customFormat="1" x14ac:dyDescent="0.25"/>
    <row r="266674" customFormat="1" x14ac:dyDescent="0.25"/>
    <row r="266675" customFormat="1" x14ac:dyDescent="0.25"/>
    <row r="266676" customFormat="1" x14ac:dyDescent="0.25"/>
    <row r="266677" customFormat="1" x14ac:dyDescent="0.25"/>
    <row r="266678" customFormat="1" x14ac:dyDescent="0.25"/>
    <row r="266679" customFormat="1" x14ac:dyDescent="0.25"/>
    <row r="266680" customFormat="1" x14ac:dyDescent="0.25"/>
    <row r="266681" customFormat="1" x14ac:dyDescent="0.25"/>
    <row r="266682" customFormat="1" x14ac:dyDescent="0.25"/>
    <row r="266683" customFormat="1" x14ac:dyDescent="0.25"/>
    <row r="266684" customFormat="1" x14ac:dyDescent="0.25"/>
    <row r="266685" customFormat="1" x14ac:dyDescent="0.25"/>
    <row r="266686" customFormat="1" x14ac:dyDescent="0.25"/>
    <row r="266687" customFormat="1" x14ac:dyDescent="0.25"/>
    <row r="266688" customFormat="1" x14ac:dyDescent="0.25"/>
    <row r="266689" customFormat="1" x14ac:dyDescent="0.25"/>
    <row r="266690" customFormat="1" x14ac:dyDescent="0.25"/>
    <row r="266691" customFormat="1" x14ac:dyDescent="0.25"/>
    <row r="266692" customFormat="1" x14ac:dyDescent="0.25"/>
    <row r="266693" customFormat="1" x14ac:dyDescent="0.25"/>
    <row r="266694" customFormat="1" x14ac:dyDescent="0.25"/>
    <row r="266695" customFormat="1" x14ac:dyDescent="0.25"/>
    <row r="266696" customFormat="1" x14ac:dyDescent="0.25"/>
    <row r="266697" customFormat="1" x14ac:dyDescent="0.25"/>
    <row r="266698" customFormat="1" x14ac:dyDescent="0.25"/>
    <row r="266699" customFormat="1" x14ac:dyDescent="0.25"/>
    <row r="266700" customFormat="1" x14ac:dyDescent="0.25"/>
    <row r="266701" customFormat="1" x14ac:dyDescent="0.25"/>
    <row r="266702" customFormat="1" x14ac:dyDescent="0.25"/>
    <row r="266703" customFormat="1" x14ac:dyDescent="0.25"/>
    <row r="266704" customFormat="1" x14ac:dyDescent="0.25"/>
    <row r="266705" customFormat="1" x14ac:dyDescent="0.25"/>
    <row r="266706" customFormat="1" x14ac:dyDescent="0.25"/>
    <row r="266707" customFormat="1" x14ac:dyDescent="0.25"/>
    <row r="266708" customFormat="1" x14ac:dyDescent="0.25"/>
    <row r="266709" customFormat="1" x14ac:dyDescent="0.25"/>
    <row r="266710" customFormat="1" x14ac:dyDescent="0.25"/>
    <row r="266711" customFormat="1" x14ac:dyDescent="0.25"/>
    <row r="266712" customFormat="1" x14ac:dyDescent="0.25"/>
    <row r="266713" customFormat="1" x14ac:dyDescent="0.25"/>
    <row r="266714" customFormat="1" x14ac:dyDescent="0.25"/>
    <row r="266715" customFormat="1" x14ac:dyDescent="0.25"/>
    <row r="266716" customFormat="1" x14ac:dyDescent="0.25"/>
    <row r="266717" customFormat="1" x14ac:dyDescent="0.25"/>
    <row r="266718" customFormat="1" x14ac:dyDescent="0.25"/>
    <row r="266719" customFormat="1" x14ac:dyDescent="0.25"/>
    <row r="266720" customFormat="1" x14ac:dyDescent="0.25"/>
    <row r="266721" customFormat="1" x14ac:dyDescent="0.25"/>
    <row r="266722" customFormat="1" x14ac:dyDescent="0.25"/>
    <row r="266723" customFormat="1" x14ac:dyDescent="0.25"/>
    <row r="266724" customFormat="1" x14ac:dyDescent="0.25"/>
    <row r="266725" customFormat="1" x14ac:dyDescent="0.25"/>
    <row r="266726" customFormat="1" x14ac:dyDescent="0.25"/>
    <row r="266727" customFormat="1" x14ac:dyDescent="0.25"/>
    <row r="266728" customFormat="1" x14ac:dyDescent="0.25"/>
    <row r="266729" customFormat="1" x14ac:dyDescent="0.25"/>
    <row r="266730" customFormat="1" x14ac:dyDescent="0.25"/>
    <row r="266731" customFormat="1" x14ac:dyDescent="0.25"/>
    <row r="266732" customFormat="1" x14ac:dyDescent="0.25"/>
    <row r="266733" customFormat="1" x14ac:dyDescent="0.25"/>
    <row r="266734" customFormat="1" x14ac:dyDescent="0.25"/>
    <row r="266735" customFormat="1" x14ac:dyDescent="0.25"/>
    <row r="266736" customFormat="1" x14ac:dyDescent="0.25"/>
    <row r="266737" customFormat="1" x14ac:dyDescent="0.25"/>
    <row r="266738" customFormat="1" x14ac:dyDescent="0.25"/>
    <row r="266739" customFormat="1" x14ac:dyDescent="0.25"/>
    <row r="266740" customFormat="1" x14ac:dyDescent="0.25"/>
    <row r="266741" customFormat="1" x14ac:dyDescent="0.25"/>
    <row r="266742" customFormat="1" x14ac:dyDescent="0.25"/>
    <row r="266743" customFormat="1" x14ac:dyDescent="0.25"/>
    <row r="266744" customFormat="1" x14ac:dyDescent="0.25"/>
    <row r="266745" customFormat="1" x14ac:dyDescent="0.25"/>
    <row r="266746" customFormat="1" x14ac:dyDescent="0.25"/>
    <row r="266747" customFormat="1" x14ac:dyDescent="0.25"/>
    <row r="266748" customFormat="1" x14ac:dyDescent="0.25"/>
    <row r="266749" customFormat="1" x14ac:dyDescent="0.25"/>
    <row r="266750" customFormat="1" x14ac:dyDescent="0.25"/>
    <row r="266751" customFormat="1" x14ac:dyDescent="0.25"/>
    <row r="266752" customFormat="1" x14ac:dyDescent="0.25"/>
    <row r="266753" customFormat="1" x14ac:dyDescent="0.25"/>
    <row r="266754" customFormat="1" x14ac:dyDescent="0.25"/>
    <row r="266755" customFormat="1" x14ac:dyDescent="0.25"/>
    <row r="266756" customFormat="1" x14ac:dyDescent="0.25"/>
    <row r="266757" customFormat="1" x14ac:dyDescent="0.25"/>
    <row r="266758" customFormat="1" x14ac:dyDescent="0.25"/>
    <row r="266759" customFormat="1" x14ac:dyDescent="0.25"/>
    <row r="266760" customFormat="1" x14ac:dyDescent="0.25"/>
    <row r="266761" customFormat="1" x14ac:dyDescent="0.25"/>
    <row r="266762" customFormat="1" x14ac:dyDescent="0.25"/>
    <row r="266763" customFormat="1" x14ac:dyDescent="0.25"/>
    <row r="266764" customFormat="1" x14ac:dyDescent="0.25"/>
    <row r="266765" customFormat="1" x14ac:dyDescent="0.25"/>
    <row r="266766" customFormat="1" x14ac:dyDescent="0.25"/>
    <row r="266767" customFormat="1" x14ac:dyDescent="0.25"/>
    <row r="266768" customFormat="1" x14ac:dyDescent="0.25"/>
    <row r="266769" customFormat="1" x14ac:dyDescent="0.25"/>
    <row r="266770" customFormat="1" x14ac:dyDescent="0.25"/>
    <row r="266771" customFormat="1" x14ac:dyDescent="0.25"/>
    <row r="266772" customFormat="1" x14ac:dyDescent="0.25"/>
    <row r="266773" customFormat="1" x14ac:dyDescent="0.25"/>
    <row r="266774" customFormat="1" x14ac:dyDescent="0.25"/>
    <row r="266775" customFormat="1" x14ac:dyDescent="0.25"/>
    <row r="266776" customFormat="1" x14ac:dyDescent="0.25"/>
    <row r="266777" customFormat="1" x14ac:dyDescent="0.25"/>
    <row r="266778" customFormat="1" x14ac:dyDescent="0.25"/>
    <row r="266779" customFormat="1" x14ac:dyDescent="0.25"/>
    <row r="266780" customFormat="1" x14ac:dyDescent="0.25"/>
    <row r="266781" customFormat="1" x14ac:dyDescent="0.25"/>
    <row r="266782" customFormat="1" x14ac:dyDescent="0.25"/>
    <row r="266783" customFormat="1" x14ac:dyDescent="0.25"/>
    <row r="266784" customFormat="1" x14ac:dyDescent="0.25"/>
    <row r="266785" customFormat="1" x14ac:dyDescent="0.25"/>
    <row r="266786" customFormat="1" x14ac:dyDescent="0.25"/>
    <row r="266787" customFormat="1" x14ac:dyDescent="0.25"/>
    <row r="266788" customFormat="1" x14ac:dyDescent="0.25"/>
    <row r="266789" customFormat="1" x14ac:dyDescent="0.25"/>
    <row r="266790" customFormat="1" x14ac:dyDescent="0.25"/>
    <row r="266791" customFormat="1" x14ac:dyDescent="0.25"/>
    <row r="266792" customFormat="1" x14ac:dyDescent="0.25"/>
    <row r="266793" customFormat="1" x14ac:dyDescent="0.25"/>
    <row r="266794" customFormat="1" x14ac:dyDescent="0.25"/>
    <row r="266795" customFormat="1" x14ac:dyDescent="0.25"/>
    <row r="266796" customFormat="1" x14ac:dyDescent="0.25"/>
    <row r="266797" customFormat="1" x14ac:dyDescent="0.25"/>
    <row r="266798" customFormat="1" x14ac:dyDescent="0.25"/>
    <row r="266799" customFormat="1" x14ac:dyDescent="0.25"/>
    <row r="266800" customFormat="1" x14ac:dyDescent="0.25"/>
    <row r="266801" customFormat="1" x14ac:dyDescent="0.25"/>
    <row r="266802" customFormat="1" x14ac:dyDescent="0.25"/>
    <row r="266803" customFormat="1" x14ac:dyDescent="0.25"/>
    <row r="266804" customFormat="1" x14ac:dyDescent="0.25"/>
    <row r="266805" customFormat="1" x14ac:dyDescent="0.25"/>
    <row r="266806" customFormat="1" x14ac:dyDescent="0.25"/>
    <row r="266807" customFormat="1" x14ac:dyDescent="0.25"/>
    <row r="266808" customFormat="1" x14ac:dyDescent="0.25"/>
    <row r="266809" customFormat="1" x14ac:dyDescent="0.25"/>
    <row r="266810" customFormat="1" x14ac:dyDescent="0.25"/>
    <row r="266811" customFormat="1" x14ac:dyDescent="0.25"/>
    <row r="266812" customFormat="1" x14ac:dyDescent="0.25"/>
    <row r="266813" customFormat="1" x14ac:dyDescent="0.25"/>
    <row r="266814" customFormat="1" x14ac:dyDescent="0.25"/>
    <row r="266815" customFormat="1" x14ac:dyDescent="0.25"/>
    <row r="266816" customFormat="1" x14ac:dyDescent="0.25"/>
    <row r="266817" customFormat="1" x14ac:dyDescent="0.25"/>
    <row r="266818" customFormat="1" x14ac:dyDescent="0.25"/>
    <row r="266819" customFormat="1" x14ac:dyDescent="0.25"/>
    <row r="266820" customFormat="1" x14ac:dyDescent="0.25"/>
    <row r="266821" customFormat="1" x14ac:dyDescent="0.25"/>
    <row r="266822" customFormat="1" x14ac:dyDescent="0.25"/>
    <row r="266823" customFormat="1" x14ac:dyDescent="0.25"/>
    <row r="266824" customFormat="1" x14ac:dyDescent="0.25"/>
    <row r="266825" customFormat="1" x14ac:dyDescent="0.25"/>
    <row r="266826" customFormat="1" x14ac:dyDescent="0.25"/>
    <row r="266827" customFormat="1" x14ac:dyDescent="0.25"/>
    <row r="266828" customFormat="1" x14ac:dyDescent="0.25"/>
    <row r="266829" customFormat="1" x14ac:dyDescent="0.25"/>
    <row r="266830" customFormat="1" x14ac:dyDescent="0.25"/>
    <row r="266831" customFormat="1" x14ac:dyDescent="0.25"/>
    <row r="266832" customFormat="1" x14ac:dyDescent="0.25"/>
    <row r="266833" customFormat="1" x14ac:dyDescent="0.25"/>
    <row r="266834" customFormat="1" x14ac:dyDescent="0.25"/>
    <row r="266835" customFormat="1" x14ac:dyDescent="0.25"/>
    <row r="266836" customFormat="1" x14ac:dyDescent="0.25"/>
    <row r="266837" customFormat="1" x14ac:dyDescent="0.25"/>
    <row r="266838" customFormat="1" x14ac:dyDescent="0.25"/>
    <row r="266839" customFormat="1" x14ac:dyDescent="0.25"/>
    <row r="266840" customFormat="1" x14ac:dyDescent="0.25"/>
    <row r="266841" customFormat="1" x14ac:dyDescent="0.25"/>
    <row r="266842" customFormat="1" x14ac:dyDescent="0.25"/>
    <row r="266843" customFormat="1" x14ac:dyDescent="0.25"/>
    <row r="266844" customFormat="1" x14ac:dyDescent="0.25"/>
    <row r="266845" customFormat="1" x14ac:dyDescent="0.25"/>
    <row r="266846" customFormat="1" x14ac:dyDescent="0.25"/>
    <row r="266847" customFormat="1" x14ac:dyDescent="0.25"/>
    <row r="266848" customFormat="1" x14ac:dyDescent="0.25"/>
    <row r="266849" customFormat="1" x14ac:dyDescent="0.25"/>
    <row r="266850" customFormat="1" x14ac:dyDescent="0.25"/>
    <row r="266851" customFormat="1" x14ac:dyDescent="0.25"/>
    <row r="266852" customFormat="1" x14ac:dyDescent="0.25"/>
    <row r="266853" customFormat="1" x14ac:dyDescent="0.25"/>
    <row r="266854" customFormat="1" x14ac:dyDescent="0.25"/>
    <row r="266855" customFormat="1" x14ac:dyDescent="0.25"/>
    <row r="266856" customFormat="1" x14ac:dyDescent="0.25"/>
    <row r="266857" customFormat="1" x14ac:dyDescent="0.25"/>
    <row r="266858" customFormat="1" x14ac:dyDescent="0.25"/>
    <row r="266859" customFormat="1" x14ac:dyDescent="0.25"/>
    <row r="266860" customFormat="1" x14ac:dyDescent="0.25"/>
    <row r="266861" customFormat="1" x14ac:dyDescent="0.25"/>
    <row r="266862" customFormat="1" x14ac:dyDescent="0.25"/>
    <row r="266863" customFormat="1" x14ac:dyDescent="0.25"/>
    <row r="266864" customFormat="1" x14ac:dyDescent="0.25"/>
    <row r="266865" customFormat="1" x14ac:dyDescent="0.25"/>
    <row r="266866" customFormat="1" x14ac:dyDescent="0.25"/>
    <row r="266867" customFormat="1" x14ac:dyDescent="0.25"/>
    <row r="266868" customFormat="1" x14ac:dyDescent="0.25"/>
    <row r="266869" customFormat="1" x14ac:dyDescent="0.25"/>
    <row r="266870" customFormat="1" x14ac:dyDescent="0.25"/>
    <row r="266871" customFormat="1" x14ac:dyDescent="0.25"/>
    <row r="266872" customFormat="1" x14ac:dyDescent="0.25"/>
    <row r="266873" customFormat="1" x14ac:dyDescent="0.25"/>
    <row r="266874" customFormat="1" x14ac:dyDescent="0.25"/>
    <row r="266875" customFormat="1" x14ac:dyDescent="0.25"/>
    <row r="266876" customFormat="1" x14ac:dyDescent="0.25"/>
    <row r="266877" customFormat="1" x14ac:dyDescent="0.25"/>
    <row r="266878" customFormat="1" x14ac:dyDescent="0.25"/>
    <row r="266879" customFormat="1" x14ac:dyDescent="0.25"/>
    <row r="266880" customFormat="1" x14ac:dyDescent="0.25"/>
    <row r="266881" customFormat="1" x14ac:dyDescent="0.25"/>
    <row r="266882" customFormat="1" x14ac:dyDescent="0.25"/>
    <row r="266883" customFormat="1" x14ac:dyDescent="0.25"/>
    <row r="266884" customFormat="1" x14ac:dyDescent="0.25"/>
    <row r="266885" customFormat="1" x14ac:dyDescent="0.25"/>
    <row r="266886" customFormat="1" x14ac:dyDescent="0.25"/>
    <row r="266887" customFormat="1" x14ac:dyDescent="0.25"/>
    <row r="266888" customFormat="1" x14ac:dyDescent="0.25"/>
    <row r="266889" customFormat="1" x14ac:dyDescent="0.25"/>
    <row r="266890" customFormat="1" x14ac:dyDescent="0.25"/>
    <row r="266891" customFormat="1" x14ac:dyDescent="0.25"/>
    <row r="266892" customFormat="1" x14ac:dyDescent="0.25"/>
    <row r="266893" customFormat="1" x14ac:dyDescent="0.25"/>
    <row r="266894" customFormat="1" x14ac:dyDescent="0.25"/>
    <row r="266895" customFormat="1" x14ac:dyDescent="0.25"/>
    <row r="266896" customFormat="1" x14ac:dyDescent="0.25"/>
    <row r="266897" customFormat="1" x14ac:dyDescent="0.25"/>
    <row r="266898" customFormat="1" x14ac:dyDescent="0.25"/>
    <row r="266899" customFormat="1" x14ac:dyDescent="0.25"/>
    <row r="266900" customFormat="1" x14ac:dyDescent="0.25"/>
    <row r="266901" customFormat="1" x14ac:dyDescent="0.25"/>
    <row r="266902" customFormat="1" x14ac:dyDescent="0.25"/>
    <row r="266903" customFormat="1" x14ac:dyDescent="0.25"/>
    <row r="266904" customFormat="1" x14ac:dyDescent="0.25"/>
    <row r="266905" customFormat="1" x14ac:dyDescent="0.25"/>
    <row r="266906" customFormat="1" x14ac:dyDescent="0.25"/>
    <row r="266907" customFormat="1" x14ac:dyDescent="0.25"/>
    <row r="266908" customFormat="1" x14ac:dyDescent="0.25"/>
    <row r="266909" customFormat="1" x14ac:dyDescent="0.25"/>
    <row r="266910" customFormat="1" x14ac:dyDescent="0.25"/>
    <row r="266911" customFormat="1" x14ac:dyDescent="0.25"/>
    <row r="266912" customFormat="1" x14ac:dyDescent="0.25"/>
    <row r="266913" customFormat="1" x14ac:dyDescent="0.25"/>
    <row r="266914" customFormat="1" x14ac:dyDescent="0.25"/>
    <row r="266915" customFormat="1" x14ac:dyDescent="0.25"/>
    <row r="266916" customFormat="1" x14ac:dyDescent="0.25"/>
    <row r="266917" customFormat="1" x14ac:dyDescent="0.25"/>
    <row r="266918" customFormat="1" x14ac:dyDescent="0.25"/>
    <row r="266919" customFormat="1" x14ac:dyDescent="0.25"/>
    <row r="266920" customFormat="1" x14ac:dyDescent="0.25"/>
    <row r="266921" customFormat="1" x14ac:dyDescent="0.25"/>
    <row r="266922" customFormat="1" x14ac:dyDescent="0.25"/>
    <row r="266923" customFormat="1" x14ac:dyDescent="0.25"/>
    <row r="266924" customFormat="1" x14ac:dyDescent="0.25"/>
    <row r="266925" customFormat="1" x14ac:dyDescent="0.25"/>
    <row r="266926" customFormat="1" x14ac:dyDescent="0.25"/>
    <row r="266927" customFormat="1" x14ac:dyDescent="0.25"/>
    <row r="266928" customFormat="1" x14ac:dyDescent="0.25"/>
    <row r="266929" customFormat="1" x14ac:dyDescent="0.25"/>
    <row r="266930" customFormat="1" x14ac:dyDescent="0.25"/>
    <row r="266931" customFormat="1" x14ac:dyDescent="0.25"/>
    <row r="266932" customFormat="1" x14ac:dyDescent="0.25"/>
    <row r="266933" customFormat="1" x14ac:dyDescent="0.25"/>
    <row r="266934" customFormat="1" x14ac:dyDescent="0.25"/>
    <row r="266935" customFormat="1" x14ac:dyDescent="0.25"/>
    <row r="266936" customFormat="1" x14ac:dyDescent="0.25"/>
    <row r="266937" customFormat="1" x14ac:dyDescent="0.25"/>
    <row r="266938" customFormat="1" x14ac:dyDescent="0.25"/>
    <row r="266939" customFormat="1" x14ac:dyDescent="0.25"/>
    <row r="266940" customFormat="1" x14ac:dyDescent="0.25"/>
    <row r="266941" customFormat="1" x14ac:dyDescent="0.25"/>
    <row r="266942" customFormat="1" x14ac:dyDescent="0.25"/>
    <row r="266943" customFormat="1" x14ac:dyDescent="0.25"/>
    <row r="266944" customFormat="1" x14ac:dyDescent="0.25"/>
    <row r="266945" customFormat="1" x14ac:dyDescent="0.25"/>
    <row r="266946" customFormat="1" x14ac:dyDescent="0.25"/>
    <row r="266947" customFormat="1" x14ac:dyDescent="0.25"/>
    <row r="266948" customFormat="1" x14ac:dyDescent="0.25"/>
    <row r="266949" customFormat="1" x14ac:dyDescent="0.25"/>
    <row r="266950" customFormat="1" x14ac:dyDescent="0.25"/>
    <row r="266951" customFormat="1" x14ac:dyDescent="0.25"/>
    <row r="266952" customFormat="1" x14ac:dyDescent="0.25"/>
    <row r="266953" customFormat="1" x14ac:dyDescent="0.25"/>
    <row r="266954" customFormat="1" x14ac:dyDescent="0.25"/>
    <row r="266955" customFormat="1" x14ac:dyDescent="0.25"/>
    <row r="266956" customFormat="1" x14ac:dyDescent="0.25"/>
    <row r="266957" customFormat="1" x14ac:dyDescent="0.25"/>
    <row r="266958" customFormat="1" x14ac:dyDescent="0.25"/>
    <row r="266959" customFormat="1" x14ac:dyDescent="0.25"/>
    <row r="266960" customFormat="1" x14ac:dyDescent="0.25"/>
    <row r="266961" customFormat="1" x14ac:dyDescent="0.25"/>
    <row r="266962" customFormat="1" x14ac:dyDescent="0.25"/>
    <row r="266963" customFormat="1" x14ac:dyDescent="0.25"/>
    <row r="266964" customFormat="1" x14ac:dyDescent="0.25"/>
    <row r="266965" customFormat="1" x14ac:dyDescent="0.25"/>
    <row r="266966" customFormat="1" x14ac:dyDescent="0.25"/>
    <row r="266967" customFormat="1" x14ac:dyDescent="0.25"/>
    <row r="266968" customFormat="1" x14ac:dyDescent="0.25"/>
    <row r="266969" customFormat="1" x14ac:dyDescent="0.25"/>
    <row r="266970" customFormat="1" x14ac:dyDescent="0.25"/>
    <row r="266971" customFormat="1" x14ac:dyDescent="0.25"/>
    <row r="266972" customFormat="1" x14ac:dyDescent="0.25"/>
    <row r="266973" customFormat="1" x14ac:dyDescent="0.25"/>
    <row r="266974" customFormat="1" x14ac:dyDescent="0.25"/>
    <row r="266975" customFormat="1" x14ac:dyDescent="0.25"/>
    <row r="266976" customFormat="1" x14ac:dyDescent="0.25"/>
    <row r="266977" customFormat="1" x14ac:dyDescent="0.25"/>
    <row r="266978" customFormat="1" x14ac:dyDescent="0.25"/>
    <row r="266979" customFormat="1" x14ac:dyDescent="0.25"/>
    <row r="266980" customFormat="1" x14ac:dyDescent="0.25"/>
    <row r="266981" customFormat="1" x14ac:dyDescent="0.25"/>
    <row r="266982" customFormat="1" x14ac:dyDescent="0.25"/>
    <row r="266983" customFormat="1" x14ac:dyDescent="0.25"/>
    <row r="266984" customFormat="1" x14ac:dyDescent="0.25"/>
    <row r="266985" customFormat="1" x14ac:dyDescent="0.25"/>
    <row r="266986" customFormat="1" x14ac:dyDescent="0.25"/>
    <row r="266987" customFormat="1" x14ac:dyDescent="0.25"/>
    <row r="266988" customFormat="1" x14ac:dyDescent="0.25"/>
    <row r="266989" customFormat="1" x14ac:dyDescent="0.25"/>
    <row r="266990" customFormat="1" x14ac:dyDescent="0.25"/>
    <row r="266991" customFormat="1" x14ac:dyDescent="0.25"/>
    <row r="266992" customFormat="1" x14ac:dyDescent="0.25"/>
    <row r="266993" customFormat="1" x14ac:dyDescent="0.25"/>
    <row r="266994" customFormat="1" x14ac:dyDescent="0.25"/>
    <row r="266995" customFormat="1" x14ac:dyDescent="0.25"/>
    <row r="266996" customFormat="1" x14ac:dyDescent="0.25"/>
    <row r="266997" customFormat="1" x14ac:dyDescent="0.25"/>
    <row r="266998" customFormat="1" x14ac:dyDescent="0.25"/>
    <row r="266999" customFormat="1" x14ac:dyDescent="0.25"/>
    <row r="267000" customFormat="1" x14ac:dyDescent="0.25"/>
    <row r="267001" customFormat="1" x14ac:dyDescent="0.25"/>
    <row r="267002" customFormat="1" x14ac:dyDescent="0.25"/>
    <row r="267003" customFormat="1" x14ac:dyDescent="0.25"/>
    <row r="267004" customFormat="1" x14ac:dyDescent="0.25"/>
    <row r="267005" customFormat="1" x14ac:dyDescent="0.25"/>
    <row r="267006" customFormat="1" x14ac:dyDescent="0.25"/>
    <row r="267007" customFormat="1" x14ac:dyDescent="0.25"/>
    <row r="267008" customFormat="1" x14ac:dyDescent="0.25"/>
    <row r="267009" customFormat="1" x14ac:dyDescent="0.25"/>
    <row r="267010" customFormat="1" x14ac:dyDescent="0.25"/>
    <row r="267011" customFormat="1" x14ac:dyDescent="0.25"/>
    <row r="267012" customFormat="1" x14ac:dyDescent="0.25"/>
    <row r="267013" customFormat="1" x14ac:dyDescent="0.25"/>
    <row r="267014" customFormat="1" x14ac:dyDescent="0.25"/>
    <row r="267015" customFormat="1" x14ac:dyDescent="0.25"/>
    <row r="267016" customFormat="1" x14ac:dyDescent="0.25"/>
    <row r="267017" customFormat="1" x14ac:dyDescent="0.25"/>
    <row r="267018" customFormat="1" x14ac:dyDescent="0.25"/>
    <row r="267019" customFormat="1" x14ac:dyDescent="0.25"/>
    <row r="267020" customFormat="1" x14ac:dyDescent="0.25"/>
    <row r="267021" customFormat="1" x14ac:dyDescent="0.25"/>
    <row r="267022" customFormat="1" x14ac:dyDescent="0.25"/>
    <row r="267023" customFormat="1" x14ac:dyDescent="0.25"/>
    <row r="267024" customFormat="1" x14ac:dyDescent="0.25"/>
    <row r="267025" customFormat="1" x14ac:dyDescent="0.25"/>
    <row r="267026" customFormat="1" x14ac:dyDescent="0.25"/>
    <row r="267027" customFormat="1" x14ac:dyDescent="0.25"/>
    <row r="267028" customFormat="1" x14ac:dyDescent="0.25"/>
    <row r="267029" customFormat="1" x14ac:dyDescent="0.25"/>
    <row r="267030" customFormat="1" x14ac:dyDescent="0.25"/>
    <row r="267031" customFormat="1" x14ac:dyDescent="0.25"/>
    <row r="267032" customFormat="1" x14ac:dyDescent="0.25"/>
    <row r="267033" customFormat="1" x14ac:dyDescent="0.25"/>
    <row r="267034" customFormat="1" x14ac:dyDescent="0.25"/>
    <row r="267035" customFormat="1" x14ac:dyDescent="0.25"/>
    <row r="267036" customFormat="1" x14ac:dyDescent="0.25"/>
    <row r="267037" customFormat="1" x14ac:dyDescent="0.25"/>
    <row r="267038" customFormat="1" x14ac:dyDescent="0.25"/>
    <row r="267039" customFormat="1" x14ac:dyDescent="0.25"/>
    <row r="267040" customFormat="1" x14ac:dyDescent="0.25"/>
    <row r="267041" customFormat="1" x14ac:dyDescent="0.25"/>
    <row r="267042" customFormat="1" x14ac:dyDescent="0.25"/>
    <row r="267043" customFormat="1" x14ac:dyDescent="0.25"/>
    <row r="267044" customFormat="1" x14ac:dyDescent="0.25"/>
    <row r="267045" customFormat="1" x14ac:dyDescent="0.25"/>
    <row r="267046" customFormat="1" x14ac:dyDescent="0.25"/>
    <row r="267047" customFormat="1" x14ac:dyDescent="0.25"/>
    <row r="267048" customFormat="1" x14ac:dyDescent="0.25"/>
    <row r="267049" customFormat="1" x14ac:dyDescent="0.25"/>
    <row r="267050" customFormat="1" x14ac:dyDescent="0.25"/>
    <row r="267051" customFormat="1" x14ac:dyDescent="0.25"/>
    <row r="267052" customFormat="1" x14ac:dyDescent="0.25"/>
    <row r="267053" customFormat="1" x14ac:dyDescent="0.25"/>
    <row r="267054" customFormat="1" x14ac:dyDescent="0.25"/>
    <row r="267055" customFormat="1" x14ac:dyDescent="0.25"/>
    <row r="267056" customFormat="1" x14ac:dyDescent="0.25"/>
    <row r="267057" customFormat="1" x14ac:dyDescent="0.25"/>
    <row r="267058" customFormat="1" x14ac:dyDescent="0.25"/>
    <row r="267059" customFormat="1" x14ac:dyDescent="0.25"/>
    <row r="267060" customFormat="1" x14ac:dyDescent="0.25"/>
    <row r="267061" customFormat="1" x14ac:dyDescent="0.25"/>
    <row r="267062" customFormat="1" x14ac:dyDescent="0.25"/>
    <row r="267063" customFormat="1" x14ac:dyDescent="0.25"/>
    <row r="267064" customFormat="1" x14ac:dyDescent="0.25"/>
    <row r="267065" customFormat="1" x14ac:dyDescent="0.25"/>
    <row r="267066" customFormat="1" x14ac:dyDescent="0.25"/>
    <row r="267067" customFormat="1" x14ac:dyDescent="0.25"/>
    <row r="267068" customFormat="1" x14ac:dyDescent="0.25"/>
    <row r="267069" customFormat="1" x14ac:dyDescent="0.25"/>
    <row r="267070" customFormat="1" x14ac:dyDescent="0.25"/>
    <row r="267071" customFormat="1" x14ac:dyDescent="0.25"/>
    <row r="267072" customFormat="1" x14ac:dyDescent="0.25"/>
    <row r="267073" customFormat="1" x14ac:dyDescent="0.25"/>
    <row r="267074" customFormat="1" x14ac:dyDescent="0.25"/>
    <row r="267075" customFormat="1" x14ac:dyDescent="0.25"/>
    <row r="267076" customFormat="1" x14ac:dyDescent="0.25"/>
    <row r="267077" customFormat="1" x14ac:dyDescent="0.25"/>
    <row r="267078" customFormat="1" x14ac:dyDescent="0.25"/>
    <row r="267079" customFormat="1" x14ac:dyDescent="0.25"/>
    <row r="267080" customFormat="1" x14ac:dyDescent="0.25"/>
    <row r="267081" customFormat="1" x14ac:dyDescent="0.25"/>
    <row r="267082" customFormat="1" x14ac:dyDescent="0.25"/>
    <row r="267083" customFormat="1" x14ac:dyDescent="0.25"/>
    <row r="267084" customFormat="1" x14ac:dyDescent="0.25"/>
    <row r="267085" customFormat="1" x14ac:dyDescent="0.25"/>
    <row r="267086" customFormat="1" x14ac:dyDescent="0.25"/>
    <row r="267087" customFormat="1" x14ac:dyDescent="0.25"/>
    <row r="267088" customFormat="1" x14ac:dyDescent="0.25"/>
    <row r="267089" customFormat="1" x14ac:dyDescent="0.25"/>
    <row r="267090" customFormat="1" x14ac:dyDescent="0.25"/>
    <row r="267091" customFormat="1" x14ac:dyDescent="0.25"/>
    <row r="267092" customFormat="1" x14ac:dyDescent="0.25"/>
    <row r="267093" customFormat="1" x14ac:dyDescent="0.25"/>
    <row r="267094" customFormat="1" x14ac:dyDescent="0.25"/>
    <row r="267095" customFormat="1" x14ac:dyDescent="0.25"/>
    <row r="267096" customFormat="1" x14ac:dyDescent="0.25"/>
    <row r="267097" customFormat="1" x14ac:dyDescent="0.25"/>
    <row r="267098" customFormat="1" x14ac:dyDescent="0.25"/>
    <row r="267099" customFormat="1" x14ac:dyDescent="0.25"/>
    <row r="267100" customFormat="1" x14ac:dyDescent="0.25"/>
    <row r="267101" customFormat="1" x14ac:dyDescent="0.25"/>
    <row r="267102" customFormat="1" x14ac:dyDescent="0.25"/>
    <row r="267103" customFormat="1" x14ac:dyDescent="0.25"/>
    <row r="267104" customFormat="1" x14ac:dyDescent="0.25"/>
    <row r="267105" customFormat="1" x14ac:dyDescent="0.25"/>
    <row r="267106" customFormat="1" x14ac:dyDescent="0.25"/>
    <row r="267107" customFormat="1" x14ac:dyDescent="0.25"/>
    <row r="267108" customFormat="1" x14ac:dyDescent="0.25"/>
    <row r="267109" customFormat="1" x14ac:dyDescent="0.25"/>
    <row r="267110" customFormat="1" x14ac:dyDescent="0.25"/>
    <row r="267111" customFormat="1" x14ac:dyDescent="0.25"/>
    <row r="267112" customFormat="1" x14ac:dyDescent="0.25"/>
    <row r="267113" customFormat="1" x14ac:dyDescent="0.25"/>
    <row r="267114" customFormat="1" x14ac:dyDescent="0.25"/>
    <row r="267115" customFormat="1" x14ac:dyDescent="0.25"/>
    <row r="267116" customFormat="1" x14ac:dyDescent="0.25"/>
    <row r="267117" customFormat="1" x14ac:dyDescent="0.25"/>
    <row r="267118" customFormat="1" x14ac:dyDescent="0.25"/>
    <row r="267119" customFormat="1" x14ac:dyDescent="0.25"/>
    <row r="267120" customFormat="1" x14ac:dyDescent="0.25"/>
    <row r="267121" customFormat="1" x14ac:dyDescent="0.25"/>
    <row r="267122" customFormat="1" x14ac:dyDescent="0.25"/>
    <row r="267123" customFormat="1" x14ac:dyDescent="0.25"/>
    <row r="267124" customFormat="1" x14ac:dyDescent="0.25"/>
    <row r="267125" customFormat="1" x14ac:dyDescent="0.25"/>
    <row r="267126" customFormat="1" x14ac:dyDescent="0.25"/>
    <row r="267127" customFormat="1" x14ac:dyDescent="0.25"/>
    <row r="267128" customFormat="1" x14ac:dyDescent="0.25"/>
    <row r="267129" customFormat="1" x14ac:dyDescent="0.25"/>
    <row r="267130" customFormat="1" x14ac:dyDescent="0.25"/>
    <row r="267131" customFormat="1" x14ac:dyDescent="0.25"/>
    <row r="267132" customFormat="1" x14ac:dyDescent="0.25"/>
    <row r="267133" customFormat="1" x14ac:dyDescent="0.25"/>
    <row r="267134" customFormat="1" x14ac:dyDescent="0.25"/>
    <row r="267135" customFormat="1" x14ac:dyDescent="0.25"/>
    <row r="267136" customFormat="1" x14ac:dyDescent="0.25"/>
    <row r="267137" customFormat="1" x14ac:dyDescent="0.25"/>
    <row r="267138" customFormat="1" x14ac:dyDescent="0.25"/>
    <row r="267139" customFormat="1" x14ac:dyDescent="0.25"/>
    <row r="267140" customFormat="1" x14ac:dyDescent="0.25"/>
    <row r="267141" customFormat="1" x14ac:dyDescent="0.25"/>
    <row r="267142" customFormat="1" x14ac:dyDescent="0.25"/>
    <row r="267143" customFormat="1" x14ac:dyDescent="0.25"/>
    <row r="267144" customFormat="1" x14ac:dyDescent="0.25"/>
    <row r="267145" customFormat="1" x14ac:dyDescent="0.25"/>
    <row r="267146" customFormat="1" x14ac:dyDescent="0.25"/>
    <row r="267147" customFormat="1" x14ac:dyDescent="0.25"/>
    <row r="267148" customFormat="1" x14ac:dyDescent="0.25"/>
    <row r="267149" customFormat="1" x14ac:dyDescent="0.25"/>
    <row r="267150" customFormat="1" x14ac:dyDescent="0.25"/>
    <row r="267151" customFormat="1" x14ac:dyDescent="0.25"/>
    <row r="267152" customFormat="1" x14ac:dyDescent="0.25"/>
    <row r="267153" customFormat="1" x14ac:dyDescent="0.25"/>
    <row r="267154" customFormat="1" x14ac:dyDescent="0.25"/>
    <row r="267155" customFormat="1" x14ac:dyDescent="0.25"/>
    <row r="267156" customFormat="1" x14ac:dyDescent="0.25"/>
    <row r="267157" customFormat="1" x14ac:dyDescent="0.25"/>
    <row r="267158" customFormat="1" x14ac:dyDescent="0.25"/>
    <row r="267159" customFormat="1" x14ac:dyDescent="0.25"/>
    <row r="267160" customFormat="1" x14ac:dyDescent="0.25"/>
    <row r="267161" customFormat="1" x14ac:dyDescent="0.25"/>
    <row r="267162" customFormat="1" x14ac:dyDescent="0.25"/>
    <row r="267163" customFormat="1" x14ac:dyDescent="0.25"/>
    <row r="267164" customFormat="1" x14ac:dyDescent="0.25"/>
    <row r="267165" customFormat="1" x14ac:dyDescent="0.25"/>
    <row r="267166" customFormat="1" x14ac:dyDescent="0.25"/>
    <row r="267167" customFormat="1" x14ac:dyDescent="0.25"/>
    <row r="267168" customFormat="1" x14ac:dyDescent="0.25"/>
    <row r="267169" customFormat="1" x14ac:dyDescent="0.25"/>
    <row r="267170" customFormat="1" x14ac:dyDescent="0.25"/>
    <row r="267171" customFormat="1" x14ac:dyDescent="0.25"/>
    <row r="267172" customFormat="1" x14ac:dyDescent="0.25"/>
    <row r="267173" customFormat="1" x14ac:dyDescent="0.25"/>
    <row r="267174" customFormat="1" x14ac:dyDescent="0.25"/>
    <row r="267175" customFormat="1" x14ac:dyDescent="0.25"/>
    <row r="267176" customFormat="1" x14ac:dyDescent="0.25"/>
    <row r="267177" customFormat="1" x14ac:dyDescent="0.25"/>
    <row r="267178" customFormat="1" x14ac:dyDescent="0.25"/>
    <row r="267179" customFormat="1" x14ac:dyDescent="0.25"/>
    <row r="267180" customFormat="1" x14ac:dyDescent="0.25"/>
    <row r="267181" customFormat="1" x14ac:dyDescent="0.25"/>
    <row r="267182" customFormat="1" x14ac:dyDescent="0.25"/>
    <row r="267183" customFormat="1" x14ac:dyDescent="0.25"/>
    <row r="267184" customFormat="1" x14ac:dyDescent="0.25"/>
    <row r="267185" customFormat="1" x14ac:dyDescent="0.25"/>
    <row r="267186" customFormat="1" x14ac:dyDescent="0.25"/>
    <row r="267187" customFormat="1" x14ac:dyDescent="0.25"/>
    <row r="267188" customFormat="1" x14ac:dyDescent="0.25"/>
    <row r="267189" customFormat="1" x14ac:dyDescent="0.25"/>
    <row r="267190" customFormat="1" x14ac:dyDescent="0.25"/>
    <row r="267191" customFormat="1" x14ac:dyDescent="0.25"/>
    <row r="267192" customFormat="1" x14ac:dyDescent="0.25"/>
    <row r="267193" customFormat="1" x14ac:dyDescent="0.25"/>
    <row r="267194" customFormat="1" x14ac:dyDescent="0.25"/>
    <row r="267195" customFormat="1" x14ac:dyDescent="0.25"/>
    <row r="267196" customFormat="1" x14ac:dyDescent="0.25"/>
    <row r="267197" customFormat="1" x14ac:dyDescent="0.25"/>
    <row r="267198" customFormat="1" x14ac:dyDescent="0.25"/>
    <row r="267199" customFormat="1" x14ac:dyDescent="0.25"/>
    <row r="267200" customFormat="1" x14ac:dyDescent="0.25"/>
    <row r="267201" customFormat="1" x14ac:dyDescent="0.25"/>
    <row r="267202" customFormat="1" x14ac:dyDescent="0.25"/>
    <row r="267203" customFormat="1" x14ac:dyDescent="0.25"/>
    <row r="267204" customFormat="1" x14ac:dyDescent="0.25"/>
    <row r="267205" customFormat="1" x14ac:dyDescent="0.25"/>
    <row r="267206" customFormat="1" x14ac:dyDescent="0.25"/>
    <row r="267207" customFormat="1" x14ac:dyDescent="0.25"/>
    <row r="267208" customFormat="1" x14ac:dyDescent="0.25"/>
    <row r="267209" customFormat="1" x14ac:dyDescent="0.25"/>
    <row r="267210" customFormat="1" x14ac:dyDescent="0.25"/>
    <row r="267211" customFormat="1" x14ac:dyDescent="0.25"/>
    <row r="267212" customFormat="1" x14ac:dyDescent="0.25"/>
    <row r="267213" customFormat="1" x14ac:dyDescent="0.25"/>
    <row r="267214" customFormat="1" x14ac:dyDescent="0.25"/>
    <row r="267215" customFormat="1" x14ac:dyDescent="0.25"/>
    <row r="267216" customFormat="1" x14ac:dyDescent="0.25"/>
    <row r="267217" customFormat="1" x14ac:dyDescent="0.25"/>
    <row r="267218" customFormat="1" x14ac:dyDescent="0.25"/>
    <row r="267219" customFormat="1" x14ac:dyDescent="0.25"/>
    <row r="267220" customFormat="1" x14ac:dyDescent="0.25"/>
    <row r="267221" customFormat="1" x14ac:dyDescent="0.25"/>
    <row r="267222" customFormat="1" x14ac:dyDescent="0.25"/>
    <row r="267223" customFormat="1" x14ac:dyDescent="0.25"/>
    <row r="267224" customFormat="1" x14ac:dyDescent="0.25"/>
    <row r="267225" customFormat="1" x14ac:dyDescent="0.25"/>
    <row r="267226" customFormat="1" x14ac:dyDescent="0.25"/>
    <row r="267227" customFormat="1" x14ac:dyDescent="0.25"/>
    <row r="267228" customFormat="1" x14ac:dyDescent="0.25"/>
    <row r="267229" customFormat="1" x14ac:dyDescent="0.25"/>
    <row r="267230" customFormat="1" x14ac:dyDescent="0.25"/>
    <row r="267231" customFormat="1" x14ac:dyDescent="0.25"/>
    <row r="267232" customFormat="1" x14ac:dyDescent="0.25"/>
    <row r="267233" customFormat="1" x14ac:dyDescent="0.25"/>
    <row r="267234" customFormat="1" x14ac:dyDescent="0.25"/>
    <row r="267235" customFormat="1" x14ac:dyDescent="0.25"/>
    <row r="267236" customFormat="1" x14ac:dyDescent="0.25"/>
    <row r="267237" customFormat="1" x14ac:dyDescent="0.25"/>
    <row r="267238" customFormat="1" x14ac:dyDescent="0.25"/>
    <row r="267239" customFormat="1" x14ac:dyDescent="0.25"/>
    <row r="267240" customFormat="1" x14ac:dyDescent="0.25"/>
    <row r="267241" customFormat="1" x14ac:dyDescent="0.25"/>
    <row r="267242" customFormat="1" x14ac:dyDescent="0.25"/>
    <row r="267243" customFormat="1" x14ac:dyDescent="0.25"/>
    <row r="267244" customFormat="1" x14ac:dyDescent="0.25"/>
    <row r="267245" customFormat="1" x14ac:dyDescent="0.25"/>
    <row r="267246" customFormat="1" x14ac:dyDescent="0.25"/>
    <row r="267247" customFormat="1" x14ac:dyDescent="0.25"/>
    <row r="267248" customFormat="1" x14ac:dyDescent="0.25"/>
    <row r="267249" customFormat="1" x14ac:dyDescent="0.25"/>
    <row r="267250" customFormat="1" x14ac:dyDescent="0.25"/>
    <row r="267251" customFormat="1" x14ac:dyDescent="0.25"/>
    <row r="267252" customFormat="1" x14ac:dyDescent="0.25"/>
    <row r="267253" customFormat="1" x14ac:dyDescent="0.25"/>
    <row r="267254" customFormat="1" x14ac:dyDescent="0.25"/>
    <row r="267255" customFormat="1" x14ac:dyDescent="0.25"/>
    <row r="267256" customFormat="1" x14ac:dyDescent="0.25"/>
    <row r="267257" customFormat="1" x14ac:dyDescent="0.25"/>
    <row r="267258" customFormat="1" x14ac:dyDescent="0.25"/>
    <row r="267259" customFormat="1" x14ac:dyDescent="0.25"/>
    <row r="267260" customFormat="1" x14ac:dyDescent="0.25"/>
    <row r="267261" customFormat="1" x14ac:dyDescent="0.25"/>
    <row r="267262" customFormat="1" x14ac:dyDescent="0.25"/>
    <row r="267263" customFormat="1" x14ac:dyDescent="0.25"/>
    <row r="267264" customFormat="1" x14ac:dyDescent="0.25"/>
    <row r="267265" customFormat="1" x14ac:dyDescent="0.25"/>
    <row r="267266" customFormat="1" x14ac:dyDescent="0.25"/>
    <row r="267267" customFormat="1" x14ac:dyDescent="0.25"/>
    <row r="267268" customFormat="1" x14ac:dyDescent="0.25"/>
    <row r="267269" customFormat="1" x14ac:dyDescent="0.25"/>
    <row r="267270" customFormat="1" x14ac:dyDescent="0.25"/>
    <row r="267271" customFormat="1" x14ac:dyDescent="0.25"/>
    <row r="267272" customFormat="1" x14ac:dyDescent="0.25"/>
    <row r="267273" customFormat="1" x14ac:dyDescent="0.25"/>
    <row r="267274" customFormat="1" x14ac:dyDescent="0.25"/>
    <row r="267275" customFormat="1" x14ac:dyDescent="0.25"/>
    <row r="267276" customFormat="1" x14ac:dyDescent="0.25"/>
    <row r="267277" customFormat="1" x14ac:dyDescent="0.25"/>
    <row r="267278" customFormat="1" x14ac:dyDescent="0.25"/>
    <row r="267279" customFormat="1" x14ac:dyDescent="0.25"/>
    <row r="267280" customFormat="1" x14ac:dyDescent="0.25"/>
    <row r="267281" customFormat="1" x14ac:dyDescent="0.25"/>
    <row r="267282" customFormat="1" x14ac:dyDescent="0.25"/>
    <row r="267283" customFormat="1" x14ac:dyDescent="0.25"/>
    <row r="267284" customFormat="1" x14ac:dyDescent="0.25"/>
    <row r="267285" customFormat="1" x14ac:dyDescent="0.25"/>
    <row r="267286" customFormat="1" x14ac:dyDescent="0.25"/>
    <row r="267287" customFormat="1" x14ac:dyDescent="0.25"/>
    <row r="267288" customFormat="1" x14ac:dyDescent="0.25"/>
    <row r="267289" customFormat="1" x14ac:dyDescent="0.25"/>
    <row r="267290" customFormat="1" x14ac:dyDescent="0.25"/>
    <row r="267291" customFormat="1" x14ac:dyDescent="0.25"/>
    <row r="267292" customFormat="1" x14ac:dyDescent="0.25"/>
    <row r="267293" customFormat="1" x14ac:dyDescent="0.25"/>
    <row r="267294" customFormat="1" x14ac:dyDescent="0.25"/>
    <row r="267295" customFormat="1" x14ac:dyDescent="0.25"/>
    <row r="267296" customFormat="1" x14ac:dyDescent="0.25"/>
    <row r="267297" customFormat="1" x14ac:dyDescent="0.25"/>
    <row r="267298" customFormat="1" x14ac:dyDescent="0.25"/>
    <row r="267299" customFormat="1" x14ac:dyDescent="0.25"/>
    <row r="267300" customFormat="1" x14ac:dyDescent="0.25"/>
    <row r="267301" customFormat="1" x14ac:dyDescent="0.25"/>
    <row r="267302" customFormat="1" x14ac:dyDescent="0.25"/>
    <row r="267303" customFormat="1" x14ac:dyDescent="0.25"/>
    <row r="267304" customFormat="1" x14ac:dyDescent="0.25"/>
    <row r="267305" customFormat="1" x14ac:dyDescent="0.25"/>
    <row r="267306" customFormat="1" x14ac:dyDescent="0.25"/>
    <row r="267307" customFormat="1" x14ac:dyDescent="0.25"/>
    <row r="267308" customFormat="1" x14ac:dyDescent="0.25"/>
    <row r="267309" customFormat="1" x14ac:dyDescent="0.25"/>
    <row r="267310" customFormat="1" x14ac:dyDescent="0.25"/>
    <row r="267311" customFormat="1" x14ac:dyDescent="0.25"/>
    <row r="267312" customFormat="1" x14ac:dyDescent="0.25"/>
    <row r="267313" customFormat="1" x14ac:dyDescent="0.25"/>
    <row r="267314" customFormat="1" x14ac:dyDescent="0.25"/>
    <row r="267315" customFormat="1" x14ac:dyDescent="0.25"/>
    <row r="267316" customFormat="1" x14ac:dyDescent="0.25"/>
    <row r="267317" customFormat="1" x14ac:dyDescent="0.25"/>
    <row r="267318" customFormat="1" x14ac:dyDescent="0.25"/>
    <row r="267319" customFormat="1" x14ac:dyDescent="0.25"/>
    <row r="267320" customFormat="1" x14ac:dyDescent="0.25"/>
    <row r="267321" customFormat="1" x14ac:dyDescent="0.25"/>
    <row r="267322" customFormat="1" x14ac:dyDescent="0.25"/>
    <row r="267323" customFormat="1" x14ac:dyDescent="0.25"/>
    <row r="267324" customFormat="1" x14ac:dyDescent="0.25"/>
    <row r="267325" customFormat="1" x14ac:dyDescent="0.25"/>
    <row r="267326" customFormat="1" x14ac:dyDescent="0.25"/>
    <row r="267327" customFormat="1" x14ac:dyDescent="0.25"/>
    <row r="267328" customFormat="1" x14ac:dyDescent="0.25"/>
    <row r="267329" customFormat="1" x14ac:dyDescent="0.25"/>
    <row r="267330" customFormat="1" x14ac:dyDescent="0.25"/>
    <row r="267331" customFormat="1" x14ac:dyDescent="0.25"/>
    <row r="267332" customFormat="1" x14ac:dyDescent="0.25"/>
    <row r="267333" customFormat="1" x14ac:dyDescent="0.25"/>
    <row r="267334" customFormat="1" x14ac:dyDescent="0.25"/>
    <row r="267335" customFormat="1" x14ac:dyDescent="0.25"/>
    <row r="267336" customFormat="1" x14ac:dyDescent="0.25"/>
    <row r="267337" customFormat="1" x14ac:dyDescent="0.25"/>
    <row r="267338" customFormat="1" x14ac:dyDescent="0.25"/>
    <row r="267339" customFormat="1" x14ac:dyDescent="0.25"/>
    <row r="267340" customFormat="1" x14ac:dyDescent="0.25"/>
    <row r="267341" customFormat="1" x14ac:dyDescent="0.25"/>
    <row r="267342" customFormat="1" x14ac:dyDescent="0.25"/>
    <row r="267343" customFormat="1" x14ac:dyDescent="0.25"/>
    <row r="267344" customFormat="1" x14ac:dyDescent="0.25"/>
    <row r="267345" customFormat="1" x14ac:dyDescent="0.25"/>
    <row r="267346" customFormat="1" x14ac:dyDescent="0.25"/>
    <row r="267347" customFormat="1" x14ac:dyDescent="0.25"/>
    <row r="267348" customFormat="1" x14ac:dyDescent="0.25"/>
    <row r="267349" customFormat="1" x14ac:dyDescent="0.25"/>
    <row r="267350" customFormat="1" x14ac:dyDescent="0.25"/>
    <row r="267351" customFormat="1" x14ac:dyDescent="0.25"/>
    <row r="267352" customFormat="1" x14ac:dyDescent="0.25"/>
    <row r="267353" customFormat="1" x14ac:dyDescent="0.25"/>
    <row r="267354" customFormat="1" x14ac:dyDescent="0.25"/>
    <row r="267355" customFormat="1" x14ac:dyDescent="0.25"/>
    <row r="267356" customFormat="1" x14ac:dyDescent="0.25"/>
    <row r="267357" customFormat="1" x14ac:dyDescent="0.25"/>
    <row r="267358" customFormat="1" x14ac:dyDescent="0.25"/>
    <row r="267359" customFormat="1" x14ac:dyDescent="0.25"/>
    <row r="267360" customFormat="1" x14ac:dyDescent="0.25"/>
    <row r="267361" customFormat="1" x14ac:dyDescent="0.25"/>
    <row r="267362" customFormat="1" x14ac:dyDescent="0.25"/>
    <row r="267363" customFormat="1" x14ac:dyDescent="0.25"/>
    <row r="267364" customFormat="1" x14ac:dyDescent="0.25"/>
    <row r="267365" customFormat="1" x14ac:dyDescent="0.25"/>
    <row r="267366" customFormat="1" x14ac:dyDescent="0.25"/>
    <row r="267367" customFormat="1" x14ac:dyDescent="0.25"/>
    <row r="267368" customFormat="1" x14ac:dyDescent="0.25"/>
    <row r="267369" customFormat="1" x14ac:dyDescent="0.25"/>
    <row r="267370" customFormat="1" x14ac:dyDescent="0.25"/>
    <row r="267371" customFormat="1" x14ac:dyDescent="0.25"/>
    <row r="267372" customFormat="1" x14ac:dyDescent="0.25"/>
    <row r="267373" customFormat="1" x14ac:dyDescent="0.25"/>
    <row r="267374" customFormat="1" x14ac:dyDescent="0.25"/>
    <row r="267375" customFormat="1" x14ac:dyDescent="0.25"/>
    <row r="267376" customFormat="1" x14ac:dyDescent="0.25"/>
    <row r="267377" customFormat="1" x14ac:dyDescent="0.25"/>
    <row r="267378" customFormat="1" x14ac:dyDescent="0.25"/>
    <row r="267379" customFormat="1" x14ac:dyDescent="0.25"/>
    <row r="267380" customFormat="1" x14ac:dyDescent="0.25"/>
    <row r="267381" customFormat="1" x14ac:dyDescent="0.25"/>
    <row r="267382" customFormat="1" x14ac:dyDescent="0.25"/>
    <row r="267383" customFormat="1" x14ac:dyDescent="0.25"/>
    <row r="267384" customFormat="1" x14ac:dyDescent="0.25"/>
    <row r="267385" customFormat="1" x14ac:dyDescent="0.25"/>
    <row r="267386" customFormat="1" x14ac:dyDescent="0.25"/>
    <row r="267387" customFormat="1" x14ac:dyDescent="0.25"/>
    <row r="267388" customFormat="1" x14ac:dyDescent="0.25"/>
    <row r="267389" customFormat="1" x14ac:dyDescent="0.25"/>
    <row r="267390" customFormat="1" x14ac:dyDescent="0.25"/>
    <row r="267391" customFormat="1" x14ac:dyDescent="0.25"/>
    <row r="267392" customFormat="1" x14ac:dyDescent="0.25"/>
    <row r="267393" customFormat="1" x14ac:dyDescent="0.25"/>
    <row r="267394" customFormat="1" x14ac:dyDescent="0.25"/>
    <row r="267395" customFormat="1" x14ac:dyDescent="0.25"/>
    <row r="267396" customFormat="1" x14ac:dyDescent="0.25"/>
    <row r="267397" customFormat="1" x14ac:dyDescent="0.25"/>
    <row r="267398" customFormat="1" x14ac:dyDescent="0.25"/>
    <row r="267399" customFormat="1" x14ac:dyDescent="0.25"/>
    <row r="267400" customFormat="1" x14ac:dyDescent="0.25"/>
    <row r="267401" customFormat="1" x14ac:dyDescent="0.25"/>
    <row r="267402" customFormat="1" x14ac:dyDescent="0.25"/>
    <row r="267403" customFormat="1" x14ac:dyDescent="0.25"/>
    <row r="267404" customFormat="1" x14ac:dyDescent="0.25"/>
    <row r="267405" customFormat="1" x14ac:dyDescent="0.25"/>
    <row r="267406" customFormat="1" x14ac:dyDescent="0.25"/>
    <row r="267407" customFormat="1" x14ac:dyDescent="0.25"/>
    <row r="267408" customFormat="1" x14ac:dyDescent="0.25"/>
    <row r="267409" customFormat="1" x14ac:dyDescent="0.25"/>
    <row r="267410" customFormat="1" x14ac:dyDescent="0.25"/>
    <row r="267411" customFormat="1" x14ac:dyDescent="0.25"/>
    <row r="267412" customFormat="1" x14ac:dyDescent="0.25"/>
    <row r="267413" customFormat="1" x14ac:dyDescent="0.25"/>
    <row r="267414" customFormat="1" x14ac:dyDescent="0.25"/>
    <row r="267415" customFormat="1" x14ac:dyDescent="0.25"/>
    <row r="267416" customFormat="1" x14ac:dyDescent="0.25"/>
    <row r="267417" customFormat="1" x14ac:dyDescent="0.25"/>
    <row r="267418" customFormat="1" x14ac:dyDescent="0.25"/>
    <row r="267419" customFormat="1" x14ac:dyDescent="0.25"/>
    <row r="267420" customFormat="1" x14ac:dyDescent="0.25"/>
    <row r="267421" customFormat="1" x14ac:dyDescent="0.25"/>
    <row r="267422" customFormat="1" x14ac:dyDescent="0.25"/>
    <row r="267423" customFormat="1" x14ac:dyDescent="0.25"/>
    <row r="267424" customFormat="1" x14ac:dyDescent="0.25"/>
    <row r="267425" customFormat="1" x14ac:dyDescent="0.25"/>
    <row r="267426" customFormat="1" x14ac:dyDescent="0.25"/>
    <row r="267427" customFormat="1" x14ac:dyDescent="0.25"/>
    <row r="267428" customFormat="1" x14ac:dyDescent="0.25"/>
    <row r="267429" customFormat="1" x14ac:dyDescent="0.25"/>
    <row r="267430" customFormat="1" x14ac:dyDescent="0.25"/>
    <row r="267431" customFormat="1" x14ac:dyDescent="0.25"/>
    <row r="267432" customFormat="1" x14ac:dyDescent="0.25"/>
    <row r="267433" customFormat="1" x14ac:dyDescent="0.25"/>
    <row r="267434" customFormat="1" x14ac:dyDescent="0.25"/>
    <row r="267435" customFormat="1" x14ac:dyDescent="0.25"/>
    <row r="267436" customFormat="1" x14ac:dyDescent="0.25"/>
    <row r="267437" customFormat="1" x14ac:dyDescent="0.25"/>
    <row r="267438" customFormat="1" x14ac:dyDescent="0.25"/>
    <row r="267439" customFormat="1" x14ac:dyDescent="0.25"/>
    <row r="267440" customFormat="1" x14ac:dyDescent="0.25"/>
    <row r="267441" customFormat="1" x14ac:dyDescent="0.25"/>
    <row r="267442" customFormat="1" x14ac:dyDescent="0.25"/>
    <row r="267443" customFormat="1" x14ac:dyDescent="0.25"/>
    <row r="267444" customFormat="1" x14ac:dyDescent="0.25"/>
    <row r="267445" customFormat="1" x14ac:dyDescent="0.25"/>
    <row r="267446" customFormat="1" x14ac:dyDescent="0.25"/>
    <row r="267447" customFormat="1" x14ac:dyDescent="0.25"/>
    <row r="267448" customFormat="1" x14ac:dyDescent="0.25"/>
    <row r="267449" customFormat="1" x14ac:dyDescent="0.25"/>
    <row r="267450" customFormat="1" x14ac:dyDescent="0.25"/>
    <row r="267451" customFormat="1" x14ac:dyDescent="0.25"/>
    <row r="267452" customFormat="1" x14ac:dyDescent="0.25"/>
    <row r="267453" customFormat="1" x14ac:dyDescent="0.25"/>
    <row r="267454" customFormat="1" x14ac:dyDescent="0.25"/>
    <row r="267455" customFormat="1" x14ac:dyDescent="0.25"/>
    <row r="267456" customFormat="1" x14ac:dyDescent="0.25"/>
    <row r="267457" customFormat="1" x14ac:dyDescent="0.25"/>
    <row r="267458" customFormat="1" x14ac:dyDescent="0.25"/>
    <row r="267459" customFormat="1" x14ac:dyDescent="0.25"/>
    <row r="267460" customFormat="1" x14ac:dyDescent="0.25"/>
    <row r="267461" customFormat="1" x14ac:dyDescent="0.25"/>
    <row r="267462" customFormat="1" x14ac:dyDescent="0.25"/>
    <row r="267463" customFormat="1" x14ac:dyDescent="0.25"/>
    <row r="267464" customFormat="1" x14ac:dyDescent="0.25"/>
    <row r="267465" customFormat="1" x14ac:dyDescent="0.25"/>
    <row r="267466" customFormat="1" x14ac:dyDescent="0.25"/>
    <row r="267467" customFormat="1" x14ac:dyDescent="0.25"/>
    <row r="267468" customFormat="1" x14ac:dyDescent="0.25"/>
    <row r="267469" customFormat="1" x14ac:dyDescent="0.25"/>
    <row r="267470" customFormat="1" x14ac:dyDescent="0.25"/>
    <row r="267471" customFormat="1" x14ac:dyDescent="0.25"/>
    <row r="267472" customFormat="1" x14ac:dyDescent="0.25"/>
    <row r="267473" customFormat="1" x14ac:dyDescent="0.25"/>
    <row r="267474" customFormat="1" x14ac:dyDescent="0.25"/>
    <row r="267475" customFormat="1" x14ac:dyDescent="0.25"/>
    <row r="267476" customFormat="1" x14ac:dyDescent="0.25"/>
    <row r="267477" customFormat="1" x14ac:dyDescent="0.25"/>
    <row r="267478" customFormat="1" x14ac:dyDescent="0.25"/>
    <row r="267479" customFormat="1" x14ac:dyDescent="0.25"/>
    <row r="267480" customFormat="1" x14ac:dyDescent="0.25"/>
    <row r="267481" customFormat="1" x14ac:dyDescent="0.25"/>
    <row r="267482" customFormat="1" x14ac:dyDescent="0.25"/>
    <row r="267483" customFormat="1" x14ac:dyDescent="0.25"/>
    <row r="267484" customFormat="1" x14ac:dyDescent="0.25"/>
    <row r="267485" customFormat="1" x14ac:dyDescent="0.25"/>
    <row r="267486" customFormat="1" x14ac:dyDescent="0.25"/>
    <row r="267487" customFormat="1" x14ac:dyDescent="0.25"/>
    <row r="267488" customFormat="1" x14ac:dyDescent="0.25"/>
    <row r="267489" customFormat="1" x14ac:dyDescent="0.25"/>
    <row r="267490" customFormat="1" x14ac:dyDescent="0.25"/>
    <row r="267491" customFormat="1" x14ac:dyDescent="0.25"/>
    <row r="267492" customFormat="1" x14ac:dyDescent="0.25"/>
    <row r="267493" customFormat="1" x14ac:dyDescent="0.25"/>
    <row r="267494" customFormat="1" x14ac:dyDescent="0.25"/>
    <row r="267495" customFormat="1" x14ac:dyDescent="0.25"/>
    <row r="267496" customFormat="1" x14ac:dyDescent="0.25"/>
    <row r="267497" customFormat="1" x14ac:dyDescent="0.25"/>
    <row r="267498" customFormat="1" x14ac:dyDescent="0.25"/>
    <row r="267499" customFormat="1" x14ac:dyDescent="0.25"/>
    <row r="267500" customFormat="1" x14ac:dyDescent="0.25"/>
    <row r="267501" customFormat="1" x14ac:dyDescent="0.25"/>
    <row r="267502" customFormat="1" x14ac:dyDescent="0.25"/>
    <row r="267503" customFormat="1" x14ac:dyDescent="0.25"/>
    <row r="267504" customFormat="1" x14ac:dyDescent="0.25"/>
    <row r="267505" customFormat="1" x14ac:dyDescent="0.25"/>
    <row r="267506" customFormat="1" x14ac:dyDescent="0.25"/>
    <row r="267507" customFormat="1" x14ac:dyDescent="0.25"/>
    <row r="267508" customFormat="1" x14ac:dyDescent="0.25"/>
    <row r="267509" customFormat="1" x14ac:dyDescent="0.25"/>
    <row r="267510" customFormat="1" x14ac:dyDescent="0.25"/>
    <row r="267511" customFormat="1" x14ac:dyDescent="0.25"/>
    <row r="267512" customFormat="1" x14ac:dyDescent="0.25"/>
    <row r="267513" customFormat="1" x14ac:dyDescent="0.25"/>
    <row r="267514" customFormat="1" x14ac:dyDescent="0.25"/>
    <row r="267515" customFormat="1" x14ac:dyDescent="0.25"/>
    <row r="267516" customFormat="1" x14ac:dyDescent="0.25"/>
    <row r="267517" customFormat="1" x14ac:dyDescent="0.25"/>
    <row r="267518" customFormat="1" x14ac:dyDescent="0.25"/>
    <row r="267519" customFormat="1" x14ac:dyDescent="0.25"/>
    <row r="267520" customFormat="1" x14ac:dyDescent="0.25"/>
    <row r="267521" customFormat="1" x14ac:dyDescent="0.25"/>
    <row r="267522" customFormat="1" x14ac:dyDescent="0.25"/>
    <row r="267523" customFormat="1" x14ac:dyDescent="0.25"/>
    <row r="267524" customFormat="1" x14ac:dyDescent="0.25"/>
    <row r="267525" customFormat="1" x14ac:dyDescent="0.25"/>
    <row r="267526" customFormat="1" x14ac:dyDescent="0.25"/>
    <row r="267527" customFormat="1" x14ac:dyDescent="0.25"/>
    <row r="267528" customFormat="1" x14ac:dyDescent="0.25"/>
    <row r="267529" customFormat="1" x14ac:dyDescent="0.25"/>
    <row r="267530" customFormat="1" x14ac:dyDescent="0.25"/>
    <row r="267531" customFormat="1" x14ac:dyDescent="0.25"/>
    <row r="267532" customFormat="1" x14ac:dyDescent="0.25"/>
    <row r="267533" customFormat="1" x14ac:dyDescent="0.25"/>
    <row r="267534" customFormat="1" x14ac:dyDescent="0.25"/>
    <row r="267535" customFormat="1" x14ac:dyDescent="0.25"/>
    <row r="267536" customFormat="1" x14ac:dyDescent="0.25"/>
    <row r="267537" customFormat="1" x14ac:dyDescent="0.25"/>
    <row r="267538" customFormat="1" x14ac:dyDescent="0.25"/>
    <row r="267539" customFormat="1" x14ac:dyDescent="0.25"/>
    <row r="267540" customFormat="1" x14ac:dyDescent="0.25"/>
    <row r="267541" customFormat="1" x14ac:dyDescent="0.25"/>
    <row r="267542" customFormat="1" x14ac:dyDescent="0.25"/>
    <row r="267543" customFormat="1" x14ac:dyDescent="0.25"/>
    <row r="267544" customFormat="1" x14ac:dyDescent="0.25"/>
    <row r="267545" customFormat="1" x14ac:dyDescent="0.25"/>
    <row r="267546" customFormat="1" x14ac:dyDescent="0.25"/>
    <row r="267547" customFormat="1" x14ac:dyDescent="0.25"/>
    <row r="267548" customFormat="1" x14ac:dyDescent="0.25"/>
    <row r="267549" customFormat="1" x14ac:dyDescent="0.25"/>
    <row r="267550" customFormat="1" x14ac:dyDescent="0.25"/>
    <row r="267551" customFormat="1" x14ac:dyDescent="0.25"/>
    <row r="267552" customFormat="1" x14ac:dyDescent="0.25"/>
    <row r="267553" customFormat="1" x14ac:dyDescent="0.25"/>
    <row r="267554" customFormat="1" x14ac:dyDescent="0.25"/>
    <row r="267555" customFormat="1" x14ac:dyDescent="0.25"/>
    <row r="267556" customFormat="1" x14ac:dyDescent="0.25"/>
    <row r="267557" customFormat="1" x14ac:dyDescent="0.25"/>
    <row r="267558" customFormat="1" x14ac:dyDescent="0.25"/>
    <row r="267559" customFormat="1" x14ac:dyDescent="0.25"/>
    <row r="267560" customFormat="1" x14ac:dyDescent="0.25"/>
    <row r="267561" customFormat="1" x14ac:dyDescent="0.25"/>
    <row r="267562" customFormat="1" x14ac:dyDescent="0.25"/>
    <row r="267563" customFormat="1" x14ac:dyDescent="0.25"/>
    <row r="267564" customFormat="1" x14ac:dyDescent="0.25"/>
    <row r="267565" customFormat="1" x14ac:dyDescent="0.25"/>
    <row r="267566" customFormat="1" x14ac:dyDescent="0.25"/>
    <row r="267567" customFormat="1" x14ac:dyDescent="0.25"/>
    <row r="267568" customFormat="1" x14ac:dyDescent="0.25"/>
    <row r="267569" customFormat="1" x14ac:dyDescent="0.25"/>
    <row r="267570" customFormat="1" x14ac:dyDescent="0.25"/>
    <row r="267571" customFormat="1" x14ac:dyDescent="0.25"/>
    <row r="267572" customFormat="1" x14ac:dyDescent="0.25"/>
    <row r="267573" customFormat="1" x14ac:dyDescent="0.25"/>
    <row r="267574" customFormat="1" x14ac:dyDescent="0.25"/>
    <row r="267575" customFormat="1" x14ac:dyDescent="0.25"/>
    <row r="267576" customFormat="1" x14ac:dyDescent="0.25"/>
    <row r="267577" customFormat="1" x14ac:dyDescent="0.25"/>
    <row r="267578" customFormat="1" x14ac:dyDescent="0.25"/>
    <row r="267579" customFormat="1" x14ac:dyDescent="0.25"/>
    <row r="267580" customFormat="1" x14ac:dyDescent="0.25"/>
    <row r="267581" customFormat="1" x14ac:dyDescent="0.25"/>
    <row r="267582" customFormat="1" x14ac:dyDescent="0.25"/>
    <row r="267583" customFormat="1" x14ac:dyDescent="0.25"/>
    <row r="267584" customFormat="1" x14ac:dyDescent="0.25"/>
    <row r="267585" customFormat="1" x14ac:dyDescent="0.25"/>
    <row r="267586" customFormat="1" x14ac:dyDescent="0.25"/>
    <row r="267587" customFormat="1" x14ac:dyDescent="0.25"/>
    <row r="267588" customFormat="1" x14ac:dyDescent="0.25"/>
    <row r="267589" customFormat="1" x14ac:dyDescent="0.25"/>
    <row r="267590" customFormat="1" x14ac:dyDescent="0.25"/>
    <row r="267591" customFormat="1" x14ac:dyDescent="0.25"/>
    <row r="267592" customFormat="1" x14ac:dyDescent="0.25"/>
    <row r="267593" customFormat="1" x14ac:dyDescent="0.25"/>
    <row r="267594" customFormat="1" x14ac:dyDescent="0.25"/>
    <row r="267595" customFormat="1" x14ac:dyDescent="0.25"/>
    <row r="267596" customFormat="1" x14ac:dyDescent="0.25"/>
    <row r="267597" customFormat="1" x14ac:dyDescent="0.25"/>
    <row r="267598" customFormat="1" x14ac:dyDescent="0.25"/>
    <row r="267599" customFormat="1" x14ac:dyDescent="0.25"/>
    <row r="267600" customFormat="1" x14ac:dyDescent="0.25"/>
    <row r="267601" customFormat="1" x14ac:dyDescent="0.25"/>
    <row r="267602" customFormat="1" x14ac:dyDescent="0.25"/>
    <row r="267603" customFormat="1" x14ac:dyDescent="0.25"/>
    <row r="267604" customFormat="1" x14ac:dyDescent="0.25"/>
    <row r="267605" customFormat="1" x14ac:dyDescent="0.25"/>
    <row r="267606" customFormat="1" x14ac:dyDescent="0.25"/>
    <row r="267607" customFormat="1" x14ac:dyDescent="0.25"/>
    <row r="267608" customFormat="1" x14ac:dyDescent="0.25"/>
    <row r="267609" customFormat="1" x14ac:dyDescent="0.25"/>
    <row r="267610" customFormat="1" x14ac:dyDescent="0.25"/>
    <row r="267611" customFormat="1" x14ac:dyDescent="0.25"/>
    <row r="267612" customFormat="1" x14ac:dyDescent="0.25"/>
    <row r="267613" customFormat="1" x14ac:dyDescent="0.25"/>
    <row r="267614" customFormat="1" x14ac:dyDescent="0.25"/>
    <row r="267615" customFormat="1" x14ac:dyDescent="0.25"/>
    <row r="267616" customFormat="1" x14ac:dyDescent="0.25"/>
    <row r="267617" customFormat="1" x14ac:dyDescent="0.25"/>
    <row r="267618" customFormat="1" x14ac:dyDescent="0.25"/>
    <row r="267619" customFormat="1" x14ac:dyDescent="0.25"/>
    <row r="267620" customFormat="1" x14ac:dyDescent="0.25"/>
    <row r="267621" customFormat="1" x14ac:dyDescent="0.25"/>
    <row r="267622" customFormat="1" x14ac:dyDescent="0.25"/>
    <row r="267623" customFormat="1" x14ac:dyDescent="0.25"/>
    <row r="267624" customFormat="1" x14ac:dyDescent="0.25"/>
    <row r="267625" customFormat="1" x14ac:dyDescent="0.25"/>
    <row r="267626" customFormat="1" x14ac:dyDescent="0.25"/>
    <row r="267627" customFormat="1" x14ac:dyDescent="0.25"/>
    <row r="267628" customFormat="1" x14ac:dyDescent="0.25"/>
    <row r="267629" customFormat="1" x14ac:dyDescent="0.25"/>
    <row r="267630" customFormat="1" x14ac:dyDescent="0.25"/>
    <row r="267631" customFormat="1" x14ac:dyDescent="0.25"/>
    <row r="267632" customFormat="1" x14ac:dyDescent="0.25"/>
    <row r="267633" customFormat="1" x14ac:dyDescent="0.25"/>
    <row r="267634" customFormat="1" x14ac:dyDescent="0.25"/>
    <row r="267635" customFormat="1" x14ac:dyDescent="0.25"/>
    <row r="267636" customFormat="1" x14ac:dyDescent="0.25"/>
    <row r="267637" customFormat="1" x14ac:dyDescent="0.25"/>
    <row r="267638" customFormat="1" x14ac:dyDescent="0.25"/>
    <row r="267639" customFormat="1" x14ac:dyDescent="0.25"/>
    <row r="267640" customFormat="1" x14ac:dyDescent="0.25"/>
    <row r="267641" customFormat="1" x14ac:dyDescent="0.25"/>
    <row r="267642" customFormat="1" x14ac:dyDescent="0.25"/>
    <row r="267643" customFormat="1" x14ac:dyDescent="0.25"/>
    <row r="267644" customFormat="1" x14ac:dyDescent="0.25"/>
    <row r="267645" customFormat="1" x14ac:dyDescent="0.25"/>
    <row r="267646" customFormat="1" x14ac:dyDescent="0.25"/>
    <row r="267647" customFormat="1" x14ac:dyDescent="0.25"/>
    <row r="267648" customFormat="1" x14ac:dyDescent="0.25"/>
    <row r="267649" customFormat="1" x14ac:dyDescent="0.25"/>
    <row r="267650" customFormat="1" x14ac:dyDescent="0.25"/>
    <row r="267651" customFormat="1" x14ac:dyDescent="0.25"/>
    <row r="267652" customFormat="1" x14ac:dyDescent="0.25"/>
    <row r="267653" customFormat="1" x14ac:dyDescent="0.25"/>
    <row r="267654" customFormat="1" x14ac:dyDescent="0.25"/>
    <row r="267655" customFormat="1" x14ac:dyDescent="0.25"/>
    <row r="267656" customFormat="1" x14ac:dyDescent="0.25"/>
    <row r="267657" customFormat="1" x14ac:dyDescent="0.25"/>
    <row r="267658" customFormat="1" x14ac:dyDescent="0.25"/>
    <row r="267659" customFormat="1" x14ac:dyDescent="0.25"/>
    <row r="267660" customFormat="1" x14ac:dyDescent="0.25"/>
    <row r="267661" customFormat="1" x14ac:dyDescent="0.25"/>
    <row r="267662" customFormat="1" x14ac:dyDescent="0.25"/>
    <row r="267663" customFormat="1" x14ac:dyDescent="0.25"/>
    <row r="267664" customFormat="1" x14ac:dyDescent="0.25"/>
    <row r="267665" customFormat="1" x14ac:dyDescent="0.25"/>
    <row r="267666" customFormat="1" x14ac:dyDescent="0.25"/>
    <row r="267667" customFormat="1" x14ac:dyDescent="0.25"/>
    <row r="267668" customFormat="1" x14ac:dyDescent="0.25"/>
    <row r="267669" customFormat="1" x14ac:dyDescent="0.25"/>
    <row r="267670" customFormat="1" x14ac:dyDescent="0.25"/>
    <row r="267671" customFormat="1" x14ac:dyDescent="0.25"/>
    <row r="267672" customFormat="1" x14ac:dyDescent="0.25"/>
    <row r="267673" customFormat="1" x14ac:dyDescent="0.25"/>
    <row r="267674" customFormat="1" x14ac:dyDescent="0.25"/>
    <row r="267675" customFormat="1" x14ac:dyDescent="0.25"/>
    <row r="267676" customFormat="1" x14ac:dyDescent="0.25"/>
    <row r="267677" customFormat="1" x14ac:dyDescent="0.25"/>
    <row r="267678" customFormat="1" x14ac:dyDescent="0.25"/>
    <row r="267679" customFormat="1" x14ac:dyDescent="0.25"/>
    <row r="267680" customFormat="1" x14ac:dyDescent="0.25"/>
    <row r="267681" customFormat="1" x14ac:dyDescent="0.25"/>
    <row r="267682" customFormat="1" x14ac:dyDescent="0.25"/>
    <row r="267683" customFormat="1" x14ac:dyDescent="0.25"/>
    <row r="267684" customFormat="1" x14ac:dyDescent="0.25"/>
    <row r="267685" customFormat="1" x14ac:dyDescent="0.25"/>
    <row r="267686" customFormat="1" x14ac:dyDescent="0.25"/>
    <row r="267687" customFormat="1" x14ac:dyDescent="0.25"/>
    <row r="267688" customFormat="1" x14ac:dyDescent="0.25"/>
    <row r="267689" customFormat="1" x14ac:dyDescent="0.25"/>
    <row r="267690" customFormat="1" x14ac:dyDescent="0.25"/>
    <row r="267691" customFormat="1" x14ac:dyDescent="0.25"/>
    <row r="267692" customFormat="1" x14ac:dyDescent="0.25"/>
    <row r="267693" customFormat="1" x14ac:dyDescent="0.25"/>
    <row r="267694" customFormat="1" x14ac:dyDescent="0.25"/>
    <row r="267695" customFormat="1" x14ac:dyDescent="0.25"/>
    <row r="267696" customFormat="1" x14ac:dyDescent="0.25"/>
    <row r="267697" customFormat="1" x14ac:dyDescent="0.25"/>
    <row r="267698" customFormat="1" x14ac:dyDescent="0.25"/>
    <row r="267699" customFormat="1" x14ac:dyDescent="0.25"/>
    <row r="267700" customFormat="1" x14ac:dyDescent="0.25"/>
    <row r="267701" customFormat="1" x14ac:dyDescent="0.25"/>
    <row r="267702" customFormat="1" x14ac:dyDescent="0.25"/>
    <row r="267703" customFormat="1" x14ac:dyDescent="0.25"/>
    <row r="267704" customFormat="1" x14ac:dyDescent="0.25"/>
    <row r="267705" customFormat="1" x14ac:dyDescent="0.25"/>
    <row r="267706" customFormat="1" x14ac:dyDescent="0.25"/>
    <row r="267707" customFormat="1" x14ac:dyDescent="0.25"/>
    <row r="267708" customFormat="1" x14ac:dyDescent="0.25"/>
    <row r="267709" customFormat="1" x14ac:dyDescent="0.25"/>
    <row r="267710" customFormat="1" x14ac:dyDescent="0.25"/>
    <row r="267711" customFormat="1" x14ac:dyDescent="0.25"/>
    <row r="267712" customFormat="1" x14ac:dyDescent="0.25"/>
    <row r="267713" customFormat="1" x14ac:dyDescent="0.25"/>
    <row r="267714" customFormat="1" x14ac:dyDescent="0.25"/>
    <row r="267715" customFormat="1" x14ac:dyDescent="0.25"/>
    <row r="267716" customFormat="1" x14ac:dyDescent="0.25"/>
    <row r="267717" customFormat="1" x14ac:dyDescent="0.25"/>
    <row r="267718" customFormat="1" x14ac:dyDescent="0.25"/>
    <row r="267719" customFormat="1" x14ac:dyDescent="0.25"/>
    <row r="267720" customFormat="1" x14ac:dyDescent="0.25"/>
    <row r="267721" customFormat="1" x14ac:dyDescent="0.25"/>
    <row r="267722" customFormat="1" x14ac:dyDescent="0.25"/>
    <row r="267723" customFormat="1" x14ac:dyDescent="0.25"/>
    <row r="267724" customFormat="1" x14ac:dyDescent="0.25"/>
    <row r="267725" customFormat="1" x14ac:dyDescent="0.25"/>
    <row r="267726" customFormat="1" x14ac:dyDescent="0.25"/>
    <row r="267727" customFormat="1" x14ac:dyDescent="0.25"/>
    <row r="267728" customFormat="1" x14ac:dyDescent="0.25"/>
    <row r="267729" customFormat="1" x14ac:dyDescent="0.25"/>
    <row r="267730" customFormat="1" x14ac:dyDescent="0.25"/>
    <row r="267731" customFormat="1" x14ac:dyDescent="0.25"/>
    <row r="267732" customFormat="1" x14ac:dyDescent="0.25"/>
    <row r="267733" customFormat="1" x14ac:dyDescent="0.25"/>
    <row r="267734" customFormat="1" x14ac:dyDescent="0.25"/>
    <row r="267735" customFormat="1" x14ac:dyDescent="0.25"/>
    <row r="267736" customFormat="1" x14ac:dyDescent="0.25"/>
    <row r="267737" customFormat="1" x14ac:dyDescent="0.25"/>
    <row r="267738" customFormat="1" x14ac:dyDescent="0.25"/>
    <row r="267739" customFormat="1" x14ac:dyDescent="0.25"/>
    <row r="267740" customFormat="1" x14ac:dyDescent="0.25"/>
    <row r="267741" customFormat="1" x14ac:dyDescent="0.25"/>
    <row r="267742" customFormat="1" x14ac:dyDescent="0.25"/>
    <row r="267743" customFormat="1" x14ac:dyDescent="0.25"/>
    <row r="267744" customFormat="1" x14ac:dyDescent="0.25"/>
    <row r="267745" customFormat="1" x14ac:dyDescent="0.25"/>
    <row r="267746" customFormat="1" x14ac:dyDescent="0.25"/>
    <row r="267747" customFormat="1" x14ac:dyDescent="0.25"/>
    <row r="267748" customFormat="1" x14ac:dyDescent="0.25"/>
    <row r="267749" customFormat="1" x14ac:dyDescent="0.25"/>
    <row r="267750" customFormat="1" x14ac:dyDescent="0.25"/>
    <row r="267751" customFormat="1" x14ac:dyDescent="0.25"/>
    <row r="267752" customFormat="1" x14ac:dyDescent="0.25"/>
    <row r="267753" customFormat="1" x14ac:dyDescent="0.25"/>
    <row r="267754" customFormat="1" x14ac:dyDescent="0.25"/>
    <row r="267755" customFormat="1" x14ac:dyDescent="0.25"/>
    <row r="267756" customFormat="1" x14ac:dyDescent="0.25"/>
    <row r="267757" customFormat="1" x14ac:dyDescent="0.25"/>
    <row r="267758" customFormat="1" x14ac:dyDescent="0.25"/>
    <row r="267759" customFormat="1" x14ac:dyDescent="0.25"/>
    <row r="267760" customFormat="1" x14ac:dyDescent="0.25"/>
    <row r="267761" customFormat="1" x14ac:dyDescent="0.25"/>
    <row r="267762" customFormat="1" x14ac:dyDescent="0.25"/>
    <row r="267763" customFormat="1" x14ac:dyDescent="0.25"/>
    <row r="267764" customFormat="1" x14ac:dyDescent="0.25"/>
    <row r="267765" customFormat="1" x14ac:dyDescent="0.25"/>
    <row r="267766" customFormat="1" x14ac:dyDescent="0.25"/>
    <row r="267767" customFormat="1" x14ac:dyDescent="0.25"/>
    <row r="267768" customFormat="1" x14ac:dyDescent="0.25"/>
    <row r="267769" customFormat="1" x14ac:dyDescent="0.25"/>
    <row r="267770" customFormat="1" x14ac:dyDescent="0.25"/>
    <row r="267771" customFormat="1" x14ac:dyDescent="0.25"/>
    <row r="267772" customFormat="1" x14ac:dyDescent="0.25"/>
    <row r="267773" customFormat="1" x14ac:dyDescent="0.25"/>
    <row r="267774" customFormat="1" x14ac:dyDescent="0.25"/>
    <row r="267775" customFormat="1" x14ac:dyDescent="0.25"/>
    <row r="267776" customFormat="1" x14ac:dyDescent="0.25"/>
    <row r="267777" customFormat="1" x14ac:dyDescent="0.25"/>
    <row r="267778" customFormat="1" x14ac:dyDescent="0.25"/>
    <row r="267779" customFormat="1" x14ac:dyDescent="0.25"/>
    <row r="267780" customFormat="1" x14ac:dyDescent="0.25"/>
    <row r="267781" customFormat="1" x14ac:dyDescent="0.25"/>
    <row r="267782" customFormat="1" x14ac:dyDescent="0.25"/>
    <row r="267783" customFormat="1" x14ac:dyDescent="0.25"/>
    <row r="267784" customFormat="1" x14ac:dyDescent="0.25"/>
    <row r="267785" customFormat="1" x14ac:dyDescent="0.25"/>
    <row r="267786" customFormat="1" x14ac:dyDescent="0.25"/>
    <row r="267787" customFormat="1" x14ac:dyDescent="0.25"/>
    <row r="267788" customFormat="1" x14ac:dyDescent="0.25"/>
    <row r="267789" customFormat="1" x14ac:dyDescent="0.25"/>
    <row r="267790" customFormat="1" x14ac:dyDescent="0.25"/>
    <row r="267791" customFormat="1" x14ac:dyDescent="0.25"/>
    <row r="267792" customFormat="1" x14ac:dyDescent="0.25"/>
    <row r="267793" customFormat="1" x14ac:dyDescent="0.25"/>
    <row r="267794" customFormat="1" x14ac:dyDescent="0.25"/>
    <row r="267795" customFormat="1" x14ac:dyDescent="0.25"/>
    <row r="267796" customFormat="1" x14ac:dyDescent="0.25"/>
    <row r="267797" customFormat="1" x14ac:dyDescent="0.25"/>
    <row r="267798" customFormat="1" x14ac:dyDescent="0.25"/>
    <row r="267799" customFormat="1" x14ac:dyDescent="0.25"/>
    <row r="267800" customFormat="1" x14ac:dyDescent="0.25"/>
    <row r="267801" customFormat="1" x14ac:dyDescent="0.25"/>
    <row r="267802" customFormat="1" x14ac:dyDescent="0.25"/>
    <row r="267803" customFormat="1" x14ac:dyDescent="0.25"/>
    <row r="267804" customFormat="1" x14ac:dyDescent="0.25"/>
    <row r="267805" customFormat="1" x14ac:dyDescent="0.25"/>
    <row r="267806" customFormat="1" x14ac:dyDescent="0.25"/>
    <row r="267807" customFormat="1" x14ac:dyDescent="0.25"/>
    <row r="267808" customFormat="1" x14ac:dyDescent="0.25"/>
    <row r="267809" customFormat="1" x14ac:dyDescent="0.25"/>
    <row r="267810" customFormat="1" x14ac:dyDescent="0.25"/>
    <row r="267811" customFormat="1" x14ac:dyDescent="0.25"/>
    <row r="267812" customFormat="1" x14ac:dyDescent="0.25"/>
    <row r="267813" customFormat="1" x14ac:dyDescent="0.25"/>
    <row r="267814" customFormat="1" x14ac:dyDescent="0.25"/>
    <row r="267815" customFormat="1" x14ac:dyDescent="0.25"/>
    <row r="267816" customFormat="1" x14ac:dyDescent="0.25"/>
    <row r="267817" customFormat="1" x14ac:dyDescent="0.25"/>
    <row r="267818" customFormat="1" x14ac:dyDescent="0.25"/>
    <row r="267819" customFormat="1" x14ac:dyDescent="0.25"/>
    <row r="267820" customFormat="1" x14ac:dyDescent="0.25"/>
    <row r="267821" customFormat="1" x14ac:dyDescent="0.25"/>
    <row r="267822" customFormat="1" x14ac:dyDescent="0.25"/>
    <row r="267823" customFormat="1" x14ac:dyDescent="0.25"/>
    <row r="267824" customFormat="1" x14ac:dyDescent="0.25"/>
    <row r="267825" customFormat="1" x14ac:dyDescent="0.25"/>
    <row r="267826" customFormat="1" x14ac:dyDescent="0.25"/>
    <row r="267827" customFormat="1" x14ac:dyDescent="0.25"/>
    <row r="267828" customFormat="1" x14ac:dyDescent="0.25"/>
    <row r="267829" customFormat="1" x14ac:dyDescent="0.25"/>
    <row r="267830" customFormat="1" x14ac:dyDescent="0.25"/>
    <row r="267831" customFormat="1" x14ac:dyDescent="0.25"/>
    <row r="267832" customFormat="1" x14ac:dyDescent="0.25"/>
    <row r="267833" customFormat="1" x14ac:dyDescent="0.25"/>
    <row r="267834" customFormat="1" x14ac:dyDescent="0.25"/>
    <row r="267835" customFormat="1" x14ac:dyDescent="0.25"/>
    <row r="267836" customFormat="1" x14ac:dyDescent="0.25"/>
    <row r="267837" customFormat="1" x14ac:dyDescent="0.25"/>
    <row r="267838" customFormat="1" x14ac:dyDescent="0.25"/>
    <row r="267839" customFormat="1" x14ac:dyDescent="0.25"/>
    <row r="267840" customFormat="1" x14ac:dyDescent="0.25"/>
    <row r="267841" customFormat="1" x14ac:dyDescent="0.25"/>
    <row r="267842" customFormat="1" x14ac:dyDescent="0.25"/>
    <row r="267843" customFormat="1" x14ac:dyDescent="0.25"/>
    <row r="267844" customFormat="1" x14ac:dyDescent="0.25"/>
    <row r="267845" customFormat="1" x14ac:dyDescent="0.25"/>
    <row r="267846" customFormat="1" x14ac:dyDescent="0.25"/>
    <row r="267847" customFormat="1" x14ac:dyDescent="0.25"/>
    <row r="267848" customFormat="1" x14ac:dyDescent="0.25"/>
    <row r="267849" customFormat="1" x14ac:dyDescent="0.25"/>
    <row r="267850" customFormat="1" x14ac:dyDescent="0.25"/>
    <row r="267851" customFormat="1" x14ac:dyDescent="0.25"/>
    <row r="267852" customFormat="1" x14ac:dyDescent="0.25"/>
    <row r="267853" customFormat="1" x14ac:dyDescent="0.25"/>
    <row r="267854" customFormat="1" x14ac:dyDescent="0.25"/>
    <row r="267855" customFormat="1" x14ac:dyDescent="0.25"/>
    <row r="267856" customFormat="1" x14ac:dyDescent="0.25"/>
    <row r="267857" customFormat="1" x14ac:dyDescent="0.25"/>
    <row r="267858" customFormat="1" x14ac:dyDescent="0.25"/>
    <row r="267859" customFormat="1" x14ac:dyDescent="0.25"/>
    <row r="267860" customFormat="1" x14ac:dyDescent="0.25"/>
    <row r="267861" customFormat="1" x14ac:dyDescent="0.25"/>
    <row r="267862" customFormat="1" x14ac:dyDescent="0.25"/>
    <row r="267863" customFormat="1" x14ac:dyDescent="0.25"/>
    <row r="267864" customFormat="1" x14ac:dyDescent="0.25"/>
    <row r="267865" customFormat="1" x14ac:dyDescent="0.25"/>
    <row r="267866" customFormat="1" x14ac:dyDescent="0.25"/>
    <row r="267867" customFormat="1" x14ac:dyDescent="0.25"/>
    <row r="267868" customFormat="1" x14ac:dyDescent="0.25"/>
    <row r="267869" customFormat="1" x14ac:dyDescent="0.25"/>
    <row r="267870" customFormat="1" x14ac:dyDescent="0.25"/>
    <row r="267871" customFormat="1" x14ac:dyDescent="0.25"/>
    <row r="267872" customFormat="1" x14ac:dyDescent="0.25"/>
    <row r="267873" customFormat="1" x14ac:dyDescent="0.25"/>
    <row r="267874" customFormat="1" x14ac:dyDescent="0.25"/>
    <row r="267875" customFormat="1" x14ac:dyDescent="0.25"/>
    <row r="267876" customFormat="1" x14ac:dyDescent="0.25"/>
    <row r="267877" customFormat="1" x14ac:dyDescent="0.25"/>
    <row r="267878" customFormat="1" x14ac:dyDescent="0.25"/>
    <row r="267879" customFormat="1" x14ac:dyDescent="0.25"/>
    <row r="267880" customFormat="1" x14ac:dyDescent="0.25"/>
    <row r="267881" customFormat="1" x14ac:dyDescent="0.25"/>
    <row r="267882" customFormat="1" x14ac:dyDescent="0.25"/>
    <row r="267883" customFormat="1" x14ac:dyDescent="0.25"/>
    <row r="267884" customFormat="1" x14ac:dyDescent="0.25"/>
    <row r="267885" customFormat="1" x14ac:dyDescent="0.25"/>
    <row r="267886" customFormat="1" x14ac:dyDescent="0.25"/>
    <row r="267887" customFormat="1" x14ac:dyDescent="0.25"/>
    <row r="267888" customFormat="1" x14ac:dyDescent="0.25"/>
    <row r="267889" customFormat="1" x14ac:dyDescent="0.25"/>
    <row r="267890" customFormat="1" x14ac:dyDescent="0.25"/>
    <row r="267891" customFormat="1" x14ac:dyDescent="0.25"/>
    <row r="267892" customFormat="1" x14ac:dyDescent="0.25"/>
    <row r="267893" customFormat="1" x14ac:dyDescent="0.25"/>
    <row r="267894" customFormat="1" x14ac:dyDescent="0.25"/>
    <row r="267895" customFormat="1" x14ac:dyDescent="0.25"/>
    <row r="267896" customFormat="1" x14ac:dyDescent="0.25"/>
    <row r="267897" customFormat="1" x14ac:dyDescent="0.25"/>
    <row r="267898" customFormat="1" x14ac:dyDescent="0.25"/>
    <row r="267899" customFormat="1" x14ac:dyDescent="0.25"/>
    <row r="267900" customFormat="1" x14ac:dyDescent="0.25"/>
    <row r="267901" customFormat="1" x14ac:dyDescent="0.25"/>
    <row r="267902" customFormat="1" x14ac:dyDescent="0.25"/>
    <row r="267903" customFormat="1" x14ac:dyDescent="0.25"/>
    <row r="267904" customFormat="1" x14ac:dyDescent="0.25"/>
    <row r="267905" customFormat="1" x14ac:dyDescent="0.25"/>
    <row r="267906" customFormat="1" x14ac:dyDescent="0.25"/>
    <row r="267907" customFormat="1" x14ac:dyDescent="0.25"/>
    <row r="267908" customFormat="1" x14ac:dyDescent="0.25"/>
    <row r="267909" customFormat="1" x14ac:dyDescent="0.25"/>
    <row r="267910" customFormat="1" x14ac:dyDescent="0.25"/>
    <row r="267911" customFormat="1" x14ac:dyDescent="0.25"/>
    <row r="267912" customFormat="1" x14ac:dyDescent="0.25"/>
    <row r="267913" customFormat="1" x14ac:dyDescent="0.25"/>
    <row r="267914" customFormat="1" x14ac:dyDescent="0.25"/>
    <row r="267915" customFormat="1" x14ac:dyDescent="0.25"/>
    <row r="267916" customFormat="1" x14ac:dyDescent="0.25"/>
    <row r="267917" customFormat="1" x14ac:dyDescent="0.25"/>
    <row r="267918" customFormat="1" x14ac:dyDescent="0.25"/>
    <row r="267919" customFormat="1" x14ac:dyDescent="0.25"/>
    <row r="267920" customFormat="1" x14ac:dyDescent="0.25"/>
    <row r="267921" customFormat="1" x14ac:dyDescent="0.25"/>
    <row r="267922" customFormat="1" x14ac:dyDescent="0.25"/>
    <row r="267923" customFormat="1" x14ac:dyDescent="0.25"/>
    <row r="267924" customFormat="1" x14ac:dyDescent="0.25"/>
    <row r="267925" customFormat="1" x14ac:dyDescent="0.25"/>
    <row r="267926" customFormat="1" x14ac:dyDescent="0.25"/>
    <row r="267927" customFormat="1" x14ac:dyDescent="0.25"/>
    <row r="267928" customFormat="1" x14ac:dyDescent="0.25"/>
    <row r="267929" customFormat="1" x14ac:dyDescent="0.25"/>
    <row r="267930" customFormat="1" x14ac:dyDescent="0.25"/>
    <row r="267931" customFormat="1" x14ac:dyDescent="0.25"/>
    <row r="267932" customFormat="1" x14ac:dyDescent="0.25"/>
    <row r="267933" customFormat="1" x14ac:dyDescent="0.25"/>
    <row r="267934" customFormat="1" x14ac:dyDescent="0.25"/>
    <row r="267935" customFormat="1" x14ac:dyDescent="0.25"/>
    <row r="267936" customFormat="1" x14ac:dyDescent="0.25"/>
    <row r="267937" customFormat="1" x14ac:dyDescent="0.25"/>
    <row r="267938" customFormat="1" x14ac:dyDescent="0.25"/>
    <row r="267939" customFormat="1" x14ac:dyDescent="0.25"/>
    <row r="267940" customFormat="1" x14ac:dyDescent="0.25"/>
    <row r="267941" customFormat="1" x14ac:dyDescent="0.25"/>
    <row r="267942" customFormat="1" x14ac:dyDescent="0.25"/>
    <row r="267943" customFormat="1" x14ac:dyDescent="0.25"/>
    <row r="267944" customFormat="1" x14ac:dyDescent="0.25"/>
    <row r="267945" customFormat="1" x14ac:dyDescent="0.25"/>
    <row r="267946" customFormat="1" x14ac:dyDescent="0.25"/>
    <row r="267947" customFormat="1" x14ac:dyDescent="0.25"/>
    <row r="267948" customFormat="1" x14ac:dyDescent="0.25"/>
    <row r="267949" customFormat="1" x14ac:dyDescent="0.25"/>
    <row r="267950" customFormat="1" x14ac:dyDescent="0.25"/>
    <row r="267951" customFormat="1" x14ac:dyDescent="0.25"/>
    <row r="267952" customFormat="1" x14ac:dyDescent="0.25"/>
    <row r="267953" customFormat="1" x14ac:dyDescent="0.25"/>
    <row r="267954" customFormat="1" x14ac:dyDescent="0.25"/>
    <row r="267955" customFormat="1" x14ac:dyDescent="0.25"/>
    <row r="267956" customFormat="1" x14ac:dyDescent="0.25"/>
    <row r="267957" customFormat="1" x14ac:dyDescent="0.25"/>
    <row r="267958" customFormat="1" x14ac:dyDescent="0.25"/>
    <row r="267959" customFormat="1" x14ac:dyDescent="0.25"/>
    <row r="267960" customFormat="1" x14ac:dyDescent="0.25"/>
    <row r="267961" customFormat="1" x14ac:dyDescent="0.25"/>
    <row r="267962" customFormat="1" x14ac:dyDescent="0.25"/>
    <row r="267963" customFormat="1" x14ac:dyDescent="0.25"/>
    <row r="267964" customFormat="1" x14ac:dyDescent="0.25"/>
    <row r="267965" customFormat="1" x14ac:dyDescent="0.25"/>
    <row r="267966" customFormat="1" x14ac:dyDescent="0.25"/>
    <row r="267967" customFormat="1" x14ac:dyDescent="0.25"/>
    <row r="267968" customFormat="1" x14ac:dyDescent="0.25"/>
    <row r="267969" customFormat="1" x14ac:dyDescent="0.25"/>
    <row r="267970" customFormat="1" x14ac:dyDescent="0.25"/>
    <row r="267971" customFormat="1" x14ac:dyDescent="0.25"/>
    <row r="267972" customFormat="1" x14ac:dyDescent="0.25"/>
    <row r="267973" customFormat="1" x14ac:dyDescent="0.25"/>
    <row r="267974" customFormat="1" x14ac:dyDescent="0.25"/>
    <row r="267975" customFormat="1" x14ac:dyDescent="0.25"/>
    <row r="267976" customFormat="1" x14ac:dyDescent="0.25"/>
    <row r="267977" customFormat="1" x14ac:dyDescent="0.25"/>
    <row r="267978" customFormat="1" x14ac:dyDescent="0.25"/>
    <row r="267979" customFormat="1" x14ac:dyDescent="0.25"/>
    <row r="267980" customFormat="1" x14ac:dyDescent="0.25"/>
    <row r="267981" customFormat="1" x14ac:dyDescent="0.25"/>
    <row r="267982" customFormat="1" x14ac:dyDescent="0.25"/>
    <row r="267983" customFormat="1" x14ac:dyDescent="0.25"/>
    <row r="267984" customFormat="1" x14ac:dyDescent="0.25"/>
    <row r="267985" customFormat="1" x14ac:dyDescent="0.25"/>
    <row r="267986" customFormat="1" x14ac:dyDescent="0.25"/>
    <row r="267987" customFormat="1" x14ac:dyDescent="0.25"/>
    <row r="267988" customFormat="1" x14ac:dyDescent="0.25"/>
    <row r="267989" customFormat="1" x14ac:dyDescent="0.25"/>
    <row r="267990" customFormat="1" x14ac:dyDescent="0.25"/>
    <row r="267991" customFormat="1" x14ac:dyDescent="0.25"/>
    <row r="267992" customFormat="1" x14ac:dyDescent="0.25"/>
    <row r="267993" customFormat="1" x14ac:dyDescent="0.25"/>
    <row r="267994" customFormat="1" x14ac:dyDescent="0.25"/>
    <row r="267995" customFormat="1" x14ac:dyDescent="0.25"/>
    <row r="267996" customFormat="1" x14ac:dyDescent="0.25"/>
    <row r="267997" customFormat="1" x14ac:dyDescent="0.25"/>
    <row r="267998" customFormat="1" x14ac:dyDescent="0.25"/>
    <row r="267999" customFormat="1" x14ac:dyDescent="0.25"/>
    <row r="268000" customFormat="1" x14ac:dyDescent="0.25"/>
    <row r="268001" customFormat="1" x14ac:dyDescent="0.25"/>
    <row r="268002" customFormat="1" x14ac:dyDescent="0.25"/>
    <row r="268003" customFormat="1" x14ac:dyDescent="0.25"/>
    <row r="268004" customFormat="1" x14ac:dyDescent="0.25"/>
    <row r="268005" customFormat="1" x14ac:dyDescent="0.25"/>
    <row r="268006" customFormat="1" x14ac:dyDescent="0.25"/>
    <row r="268007" customFormat="1" x14ac:dyDescent="0.25"/>
    <row r="268008" customFormat="1" x14ac:dyDescent="0.25"/>
    <row r="268009" customFormat="1" x14ac:dyDescent="0.25"/>
    <row r="268010" customFormat="1" x14ac:dyDescent="0.25"/>
    <row r="268011" customFormat="1" x14ac:dyDescent="0.25"/>
    <row r="268012" customFormat="1" x14ac:dyDescent="0.25"/>
    <row r="268013" customFormat="1" x14ac:dyDescent="0.25"/>
    <row r="268014" customFormat="1" x14ac:dyDescent="0.25"/>
    <row r="268015" customFormat="1" x14ac:dyDescent="0.25"/>
    <row r="268016" customFormat="1" x14ac:dyDescent="0.25"/>
    <row r="268017" customFormat="1" x14ac:dyDescent="0.25"/>
    <row r="268018" customFormat="1" x14ac:dyDescent="0.25"/>
    <row r="268019" customFormat="1" x14ac:dyDescent="0.25"/>
    <row r="268020" customFormat="1" x14ac:dyDescent="0.25"/>
    <row r="268021" customFormat="1" x14ac:dyDescent="0.25"/>
    <row r="268022" customFormat="1" x14ac:dyDescent="0.25"/>
    <row r="268023" customFormat="1" x14ac:dyDescent="0.25"/>
    <row r="268024" customFormat="1" x14ac:dyDescent="0.25"/>
    <row r="268025" customFormat="1" x14ac:dyDescent="0.25"/>
    <row r="268026" customFormat="1" x14ac:dyDescent="0.25"/>
    <row r="268027" customFormat="1" x14ac:dyDescent="0.25"/>
    <row r="268028" customFormat="1" x14ac:dyDescent="0.25"/>
    <row r="268029" customFormat="1" x14ac:dyDescent="0.25"/>
    <row r="268030" customFormat="1" x14ac:dyDescent="0.25"/>
    <row r="268031" customFormat="1" x14ac:dyDescent="0.25"/>
    <row r="268032" customFormat="1" x14ac:dyDescent="0.25"/>
    <row r="268033" customFormat="1" x14ac:dyDescent="0.25"/>
    <row r="268034" customFormat="1" x14ac:dyDescent="0.25"/>
    <row r="268035" customFormat="1" x14ac:dyDescent="0.25"/>
    <row r="268036" customFormat="1" x14ac:dyDescent="0.25"/>
    <row r="268037" customFormat="1" x14ac:dyDescent="0.25"/>
    <row r="268038" customFormat="1" x14ac:dyDescent="0.25"/>
    <row r="268039" customFormat="1" x14ac:dyDescent="0.25"/>
    <row r="268040" customFormat="1" x14ac:dyDescent="0.25"/>
    <row r="268041" customFormat="1" x14ac:dyDescent="0.25"/>
    <row r="268042" customFormat="1" x14ac:dyDescent="0.25"/>
    <row r="268043" customFormat="1" x14ac:dyDescent="0.25"/>
    <row r="268044" customFormat="1" x14ac:dyDescent="0.25"/>
    <row r="268045" customFormat="1" x14ac:dyDescent="0.25"/>
    <row r="268046" customFormat="1" x14ac:dyDescent="0.25"/>
    <row r="268047" customFormat="1" x14ac:dyDescent="0.25"/>
    <row r="268048" customFormat="1" x14ac:dyDescent="0.25"/>
    <row r="268049" customFormat="1" x14ac:dyDescent="0.25"/>
    <row r="268050" customFormat="1" x14ac:dyDescent="0.25"/>
    <row r="268051" customFormat="1" x14ac:dyDescent="0.25"/>
    <row r="268052" customFormat="1" x14ac:dyDescent="0.25"/>
    <row r="268053" customFormat="1" x14ac:dyDescent="0.25"/>
    <row r="268054" customFormat="1" x14ac:dyDescent="0.25"/>
    <row r="268055" customFormat="1" x14ac:dyDescent="0.25"/>
    <row r="268056" customFormat="1" x14ac:dyDescent="0.25"/>
    <row r="268057" customFormat="1" x14ac:dyDescent="0.25"/>
    <row r="268058" customFormat="1" x14ac:dyDescent="0.25"/>
    <row r="268059" customFormat="1" x14ac:dyDescent="0.25"/>
    <row r="268060" customFormat="1" x14ac:dyDescent="0.25"/>
    <row r="268061" customFormat="1" x14ac:dyDescent="0.25"/>
    <row r="268062" customFormat="1" x14ac:dyDescent="0.25"/>
    <row r="268063" customFormat="1" x14ac:dyDescent="0.25"/>
    <row r="268064" customFormat="1" x14ac:dyDescent="0.25"/>
    <row r="268065" customFormat="1" x14ac:dyDescent="0.25"/>
    <row r="268066" customFormat="1" x14ac:dyDescent="0.25"/>
    <row r="268067" customFormat="1" x14ac:dyDescent="0.25"/>
    <row r="268068" customFormat="1" x14ac:dyDescent="0.25"/>
    <row r="268069" customFormat="1" x14ac:dyDescent="0.25"/>
    <row r="268070" customFormat="1" x14ac:dyDescent="0.25"/>
    <row r="268071" customFormat="1" x14ac:dyDescent="0.25"/>
    <row r="268072" customFormat="1" x14ac:dyDescent="0.25"/>
    <row r="268073" customFormat="1" x14ac:dyDescent="0.25"/>
    <row r="268074" customFormat="1" x14ac:dyDescent="0.25"/>
    <row r="268075" customFormat="1" x14ac:dyDescent="0.25"/>
    <row r="268076" customFormat="1" x14ac:dyDescent="0.25"/>
    <row r="268077" customFormat="1" x14ac:dyDescent="0.25"/>
    <row r="268078" customFormat="1" x14ac:dyDescent="0.25"/>
    <row r="268079" customFormat="1" x14ac:dyDescent="0.25"/>
    <row r="268080" customFormat="1" x14ac:dyDescent="0.25"/>
    <row r="268081" customFormat="1" x14ac:dyDescent="0.25"/>
    <row r="268082" customFormat="1" x14ac:dyDescent="0.25"/>
    <row r="268083" customFormat="1" x14ac:dyDescent="0.25"/>
    <row r="268084" customFormat="1" x14ac:dyDescent="0.25"/>
    <row r="268085" customFormat="1" x14ac:dyDescent="0.25"/>
    <row r="268086" customFormat="1" x14ac:dyDescent="0.25"/>
    <row r="268087" customFormat="1" x14ac:dyDescent="0.25"/>
    <row r="268088" customFormat="1" x14ac:dyDescent="0.25"/>
    <row r="268089" customFormat="1" x14ac:dyDescent="0.25"/>
    <row r="268090" customFormat="1" x14ac:dyDescent="0.25"/>
    <row r="268091" customFormat="1" x14ac:dyDescent="0.25"/>
    <row r="268092" customFormat="1" x14ac:dyDescent="0.25"/>
    <row r="268093" customFormat="1" x14ac:dyDescent="0.25"/>
    <row r="268094" customFormat="1" x14ac:dyDescent="0.25"/>
    <row r="268095" customFormat="1" x14ac:dyDescent="0.25"/>
    <row r="268096" customFormat="1" x14ac:dyDescent="0.25"/>
    <row r="268097" customFormat="1" x14ac:dyDescent="0.25"/>
    <row r="268098" customFormat="1" x14ac:dyDescent="0.25"/>
    <row r="268099" customFormat="1" x14ac:dyDescent="0.25"/>
    <row r="268100" customFormat="1" x14ac:dyDescent="0.25"/>
    <row r="268101" customFormat="1" x14ac:dyDescent="0.25"/>
    <row r="268102" customFormat="1" x14ac:dyDescent="0.25"/>
    <row r="268103" customFormat="1" x14ac:dyDescent="0.25"/>
    <row r="268104" customFormat="1" x14ac:dyDescent="0.25"/>
    <row r="268105" customFormat="1" x14ac:dyDescent="0.25"/>
    <row r="268106" customFormat="1" x14ac:dyDescent="0.25"/>
    <row r="268107" customFormat="1" x14ac:dyDescent="0.25"/>
    <row r="268108" customFormat="1" x14ac:dyDescent="0.25"/>
    <row r="268109" customFormat="1" x14ac:dyDescent="0.25"/>
    <row r="268110" customFormat="1" x14ac:dyDescent="0.25"/>
    <row r="268111" customFormat="1" x14ac:dyDescent="0.25"/>
    <row r="268112" customFormat="1" x14ac:dyDescent="0.25"/>
    <row r="268113" customFormat="1" x14ac:dyDescent="0.25"/>
    <row r="268114" customFormat="1" x14ac:dyDescent="0.25"/>
    <row r="268115" customFormat="1" x14ac:dyDescent="0.25"/>
    <row r="268116" customFormat="1" x14ac:dyDescent="0.25"/>
    <row r="268117" customFormat="1" x14ac:dyDescent="0.25"/>
    <row r="268118" customFormat="1" x14ac:dyDescent="0.25"/>
    <row r="268119" customFormat="1" x14ac:dyDescent="0.25"/>
    <row r="268120" customFormat="1" x14ac:dyDescent="0.25"/>
    <row r="268121" customFormat="1" x14ac:dyDescent="0.25"/>
    <row r="268122" customFormat="1" x14ac:dyDescent="0.25"/>
    <row r="268123" customFormat="1" x14ac:dyDescent="0.25"/>
    <row r="268124" customFormat="1" x14ac:dyDescent="0.25"/>
    <row r="268125" customFormat="1" x14ac:dyDescent="0.25"/>
    <row r="268126" customFormat="1" x14ac:dyDescent="0.25"/>
    <row r="268127" customFormat="1" x14ac:dyDescent="0.25"/>
    <row r="268128" customFormat="1" x14ac:dyDescent="0.25"/>
    <row r="268129" customFormat="1" x14ac:dyDescent="0.25"/>
    <row r="268130" customFormat="1" x14ac:dyDescent="0.25"/>
    <row r="268131" customFormat="1" x14ac:dyDescent="0.25"/>
    <row r="268132" customFormat="1" x14ac:dyDescent="0.25"/>
    <row r="268133" customFormat="1" x14ac:dyDescent="0.25"/>
    <row r="268134" customFormat="1" x14ac:dyDescent="0.25"/>
    <row r="268135" customFormat="1" x14ac:dyDescent="0.25"/>
    <row r="268136" customFormat="1" x14ac:dyDescent="0.25"/>
    <row r="268137" customFormat="1" x14ac:dyDescent="0.25"/>
    <row r="268138" customFormat="1" x14ac:dyDescent="0.25"/>
    <row r="268139" customFormat="1" x14ac:dyDescent="0.25"/>
    <row r="268140" customFormat="1" x14ac:dyDescent="0.25"/>
    <row r="268141" customFormat="1" x14ac:dyDescent="0.25"/>
    <row r="268142" customFormat="1" x14ac:dyDescent="0.25"/>
    <row r="268143" customFormat="1" x14ac:dyDescent="0.25"/>
    <row r="268144" customFormat="1" x14ac:dyDescent="0.25"/>
    <row r="268145" customFormat="1" x14ac:dyDescent="0.25"/>
    <row r="268146" customFormat="1" x14ac:dyDescent="0.25"/>
    <row r="268147" customFormat="1" x14ac:dyDescent="0.25"/>
    <row r="268148" customFormat="1" x14ac:dyDescent="0.25"/>
    <row r="268149" customFormat="1" x14ac:dyDescent="0.25"/>
    <row r="268150" customFormat="1" x14ac:dyDescent="0.25"/>
    <row r="268151" customFormat="1" x14ac:dyDescent="0.25"/>
    <row r="268152" customFormat="1" x14ac:dyDescent="0.25"/>
    <row r="268153" customFormat="1" x14ac:dyDescent="0.25"/>
    <row r="268154" customFormat="1" x14ac:dyDescent="0.25"/>
    <row r="268155" customFormat="1" x14ac:dyDescent="0.25"/>
    <row r="268156" customFormat="1" x14ac:dyDescent="0.25"/>
    <row r="268157" customFormat="1" x14ac:dyDescent="0.25"/>
    <row r="268158" customFormat="1" x14ac:dyDescent="0.25"/>
    <row r="268159" customFormat="1" x14ac:dyDescent="0.25"/>
    <row r="268160" customFormat="1" x14ac:dyDescent="0.25"/>
    <row r="268161" customFormat="1" x14ac:dyDescent="0.25"/>
    <row r="268162" customFormat="1" x14ac:dyDescent="0.25"/>
    <row r="268163" customFormat="1" x14ac:dyDescent="0.25"/>
    <row r="268164" customFormat="1" x14ac:dyDescent="0.25"/>
    <row r="268165" customFormat="1" x14ac:dyDescent="0.25"/>
    <row r="268166" customFormat="1" x14ac:dyDescent="0.25"/>
    <row r="268167" customFormat="1" x14ac:dyDescent="0.25"/>
    <row r="268168" customFormat="1" x14ac:dyDescent="0.25"/>
    <row r="268169" customFormat="1" x14ac:dyDescent="0.25"/>
    <row r="268170" customFormat="1" x14ac:dyDescent="0.25"/>
    <row r="268171" customFormat="1" x14ac:dyDescent="0.25"/>
    <row r="268172" customFormat="1" x14ac:dyDescent="0.25"/>
    <row r="268173" customFormat="1" x14ac:dyDescent="0.25"/>
    <row r="268174" customFormat="1" x14ac:dyDescent="0.25"/>
    <row r="268175" customFormat="1" x14ac:dyDescent="0.25"/>
    <row r="268176" customFormat="1" x14ac:dyDescent="0.25"/>
    <row r="268177" customFormat="1" x14ac:dyDescent="0.25"/>
    <row r="268178" customFormat="1" x14ac:dyDescent="0.25"/>
    <row r="268179" customFormat="1" x14ac:dyDescent="0.25"/>
    <row r="268180" customFormat="1" x14ac:dyDescent="0.25"/>
    <row r="268181" customFormat="1" x14ac:dyDescent="0.25"/>
    <row r="268182" customFormat="1" x14ac:dyDescent="0.25"/>
    <row r="268183" customFormat="1" x14ac:dyDescent="0.25"/>
    <row r="268184" customFormat="1" x14ac:dyDescent="0.25"/>
    <row r="268185" customFormat="1" x14ac:dyDescent="0.25"/>
    <row r="268186" customFormat="1" x14ac:dyDescent="0.25"/>
    <row r="268187" customFormat="1" x14ac:dyDescent="0.25"/>
    <row r="268188" customFormat="1" x14ac:dyDescent="0.25"/>
    <row r="268189" customFormat="1" x14ac:dyDescent="0.25"/>
    <row r="268190" customFormat="1" x14ac:dyDescent="0.25"/>
    <row r="268191" customFormat="1" x14ac:dyDescent="0.25"/>
    <row r="268192" customFormat="1" x14ac:dyDescent="0.25"/>
    <row r="268193" customFormat="1" x14ac:dyDescent="0.25"/>
    <row r="268194" customFormat="1" x14ac:dyDescent="0.25"/>
    <row r="268195" customFormat="1" x14ac:dyDescent="0.25"/>
    <row r="268196" customFormat="1" x14ac:dyDescent="0.25"/>
    <row r="268197" customFormat="1" x14ac:dyDescent="0.25"/>
    <row r="268198" customFormat="1" x14ac:dyDescent="0.25"/>
    <row r="268199" customFormat="1" x14ac:dyDescent="0.25"/>
    <row r="268200" customFormat="1" x14ac:dyDescent="0.25"/>
    <row r="268201" customFormat="1" x14ac:dyDescent="0.25"/>
    <row r="268202" customFormat="1" x14ac:dyDescent="0.25"/>
    <row r="268203" customFormat="1" x14ac:dyDescent="0.25"/>
    <row r="268204" customFormat="1" x14ac:dyDescent="0.25"/>
    <row r="268205" customFormat="1" x14ac:dyDescent="0.25"/>
    <row r="268206" customFormat="1" x14ac:dyDescent="0.25"/>
    <row r="268207" customFormat="1" x14ac:dyDescent="0.25"/>
    <row r="268208" customFormat="1" x14ac:dyDescent="0.25"/>
    <row r="268209" customFormat="1" x14ac:dyDescent="0.25"/>
    <row r="268210" customFormat="1" x14ac:dyDescent="0.25"/>
    <row r="268211" customFormat="1" x14ac:dyDescent="0.25"/>
    <row r="268212" customFormat="1" x14ac:dyDescent="0.25"/>
    <row r="268213" customFormat="1" x14ac:dyDescent="0.25"/>
    <row r="268214" customFormat="1" x14ac:dyDescent="0.25"/>
    <row r="268215" customFormat="1" x14ac:dyDescent="0.25"/>
    <row r="268216" customFormat="1" x14ac:dyDescent="0.25"/>
    <row r="268217" customFormat="1" x14ac:dyDescent="0.25"/>
    <row r="268218" customFormat="1" x14ac:dyDescent="0.25"/>
    <row r="268219" customFormat="1" x14ac:dyDescent="0.25"/>
    <row r="268220" customFormat="1" x14ac:dyDescent="0.25"/>
    <row r="268221" customFormat="1" x14ac:dyDescent="0.25"/>
    <row r="268222" customFormat="1" x14ac:dyDescent="0.25"/>
    <row r="268223" customFormat="1" x14ac:dyDescent="0.25"/>
    <row r="268224" customFormat="1" x14ac:dyDescent="0.25"/>
    <row r="268225" customFormat="1" x14ac:dyDescent="0.25"/>
    <row r="268226" customFormat="1" x14ac:dyDescent="0.25"/>
    <row r="268227" customFormat="1" x14ac:dyDescent="0.25"/>
    <row r="268228" customFormat="1" x14ac:dyDescent="0.25"/>
    <row r="268229" customFormat="1" x14ac:dyDescent="0.25"/>
    <row r="268230" customFormat="1" x14ac:dyDescent="0.25"/>
    <row r="268231" customFormat="1" x14ac:dyDescent="0.25"/>
    <row r="268232" customFormat="1" x14ac:dyDescent="0.25"/>
    <row r="268233" customFormat="1" x14ac:dyDescent="0.25"/>
    <row r="268234" customFormat="1" x14ac:dyDescent="0.25"/>
    <row r="268235" customFormat="1" x14ac:dyDescent="0.25"/>
    <row r="268236" customFormat="1" x14ac:dyDescent="0.25"/>
    <row r="268237" customFormat="1" x14ac:dyDescent="0.25"/>
    <row r="268238" customFormat="1" x14ac:dyDescent="0.25"/>
    <row r="268239" customFormat="1" x14ac:dyDescent="0.25"/>
    <row r="268240" customFormat="1" x14ac:dyDescent="0.25"/>
    <row r="268241" customFormat="1" x14ac:dyDescent="0.25"/>
    <row r="268242" customFormat="1" x14ac:dyDescent="0.25"/>
    <row r="268243" customFormat="1" x14ac:dyDescent="0.25"/>
    <row r="268244" customFormat="1" x14ac:dyDescent="0.25"/>
    <row r="268245" customFormat="1" x14ac:dyDescent="0.25"/>
    <row r="268246" customFormat="1" x14ac:dyDescent="0.25"/>
    <row r="268247" customFormat="1" x14ac:dyDescent="0.25"/>
    <row r="268248" customFormat="1" x14ac:dyDescent="0.25"/>
    <row r="268249" customFormat="1" x14ac:dyDescent="0.25"/>
    <row r="268250" customFormat="1" x14ac:dyDescent="0.25"/>
    <row r="268251" customFormat="1" x14ac:dyDescent="0.25"/>
    <row r="268252" customFormat="1" x14ac:dyDescent="0.25"/>
    <row r="268253" customFormat="1" x14ac:dyDescent="0.25"/>
    <row r="268254" customFormat="1" x14ac:dyDescent="0.25"/>
    <row r="268255" customFormat="1" x14ac:dyDescent="0.25"/>
    <row r="268256" customFormat="1" x14ac:dyDescent="0.25"/>
    <row r="268257" customFormat="1" x14ac:dyDescent="0.25"/>
    <row r="268258" customFormat="1" x14ac:dyDescent="0.25"/>
    <row r="268259" customFormat="1" x14ac:dyDescent="0.25"/>
    <row r="268260" customFormat="1" x14ac:dyDescent="0.25"/>
    <row r="268261" customFormat="1" x14ac:dyDescent="0.25"/>
    <row r="268262" customFormat="1" x14ac:dyDescent="0.25"/>
    <row r="268263" customFormat="1" x14ac:dyDescent="0.25"/>
    <row r="268264" customFormat="1" x14ac:dyDescent="0.25"/>
    <row r="268265" customFormat="1" x14ac:dyDescent="0.25"/>
    <row r="268266" customFormat="1" x14ac:dyDescent="0.25"/>
    <row r="268267" customFormat="1" x14ac:dyDescent="0.25"/>
    <row r="268268" customFormat="1" x14ac:dyDescent="0.25"/>
    <row r="268269" customFormat="1" x14ac:dyDescent="0.25"/>
    <row r="268270" customFormat="1" x14ac:dyDescent="0.25"/>
    <row r="268271" customFormat="1" x14ac:dyDescent="0.25"/>
    <row r="268272" customFormat="1" x14ac:dyDescent="0.25"/>
    <row r="268273" customFormat="1" x14ac:dyDescent="0.25"/>
    <row r="268274" customFormat="1" x14ac:dyDescent="0.25"/>
    <row r="268275" customFormat="1" x14ac:dyDescent="0.25"/>
    <row r="268276" customFormat="1" x14ac:dyDescent="0.25"/>
    <row r="268277" customFormat="1" x14ac:dyDescent="0.25"/>
    <row r="268278" customFormat="1" x14ac:dyDescent="0.25"/>
    <row r="268279" customFormat="1" x14ac:dyDescent="0.25"/>
    <row r="268280" customFormat="1" x14ac:dyDescent="0.25"/>
    <row r="268281" customFormat="1" x14ac:dyDescent="0.25"/>
    <row r="268282" customFormat="1" x14ac:dyDescent="0.25"/>
    <row r="268283" customFormat="1" x14ac:dyDescent="0.25"/>
    <row r="268284" customFormat="1" x14ac:dyDescent="0.25"/>
    <row r="268285" customFormat="1" x14ac:dyDescent="0.25"/>
    <row r="268286" customFormat="1" x14ac:dyDescent="0.25"/>
    <row r="268287" customFormat="1" x14ac:dyDescent="0.25"/>
    <row r="268288" customFormat="1" x14ac:dyDescent="0.25"/>
    <row r="268289" customFormat="1" x14ac:dyDescent="0.25"/>
    <row r="268290" customFormat="1" x14ac:dyDescent="0.25"/>
    <row r="268291" customFormat="1" x14ac:dyDescent="0.25"/>
    <row r="268292" customFormat="1" x14ac:dyDescent="0.25"/>
    <row r="268293" customFormat="1" x14ac:dyDescent="0.25"/>
    <row r="268294" customFormat="1" x14ac:dyDescent="0.25"/>
    <row r="268295" customFormat="1" x14ac:dyDescent="0.25"/>
    <row r="268296" customFormat="1" x14ac:dyDescent="0.25"/>
    <row r="268297" customFormat="1" x14ac:dyDescent="0.25"/>
    <row r="268298" customFormat="1" x14ac:dyDescent="0.25"/>
    <row r="268299" customFormat="1" x14ac:dyDescent="0.25"/>
    <row r="268300" customFormat="1" x14ac:dyDescent="0.25"/>
    <row r="268301" customFormat="1" x14ac:dyDescent="0.25"/>
    <row r="268302" customFormat="1" x14ac:dyDescent="0.25"/>
    <row r="268303" customFormat="1" x14ac:dyDescent="0.25"/>
    <row r="268304" customFormat="1" x14ac:dyDescent="0.25"/>
    <row r="268305" customFormat="1" x14ac:dyDescent="0.25"/>
    <row r="268306" customFormat="1" x14ac:dyDescent="0.25"/>
    <row r="268307" customFormat="1" x14ac:dyDescent="0.25"/>
    <row r="268308" customFormat="1" x14ac:dyDescent="0.25"/>
    <row r="268309" customFormat="1" x14ac:dyDescent="0.25"/>
    <row r="268310" customFormat="1" x14ac:dyDescent="0.25"/>
    <row r="268311" customFormat="1" x14ac:dyDescent="0.25"/>
    <row r="268312" customFormat="1" x14ac:dyDescent="0.25"/>
    <row r="268313" customFormat="1" x14ac:dyDescent="0.25"/>
    <row r="268314" customFormat="1" x14ac:dyDescent="0.25"/>
    <row r="268315" customFormat="1" x14ac:dyDescent="0.25"/>
    <row r="268316" customFormat="1" x14ac:dyDescent="0.25"/>
    <row r="268317" customFormat="1" x14ac:dyDescent="0.25"/>
    <row r="268318" customFormat="1" x14ac:dyDescent="0.25"/>
    <row r="268319" customFormat="1" x14ac:dyDescent="0.25"/>
    <row r="268320" customFormat="1" x14ac:dyDescent="0.25"/>
    <row r="268321" customFormat="1" x14ac:dyDescent="0.25"/>
    <row r="268322" customFormat="1" x14ac:dyDescent="0.25"/>
    <row r="268323" customFormat="1" x14ac:dyDescent="0.25"/>
    <row r="268324" customFormat="1" x14ac:dyDescent="0.25"/>
    <row r="268325" customFormat="1" x14ac:dyDescent="0.25"/>
    <row r="268326" customFormat="1" x14ac:dyDescent="0.25"/>
    <row r="268327" customFormat="1" x14ac:dyDescent="0.25"/>
    <row r="268328" customFormat="1" x14ac:dyDescent="0.25"/>
    <row r="268329" customFormat="1" x14ac:dyDescent="0.25"/>
    <row r="268330" customFormat="1" x14ac:dyDescent="0.25"/>
    <row r="268331" customFormat="1" x14ac:dyDescent="0.25"/>
    <row r="268332" customFormat="1" x14ac:dyDescent="0.25"/>
    <row r="268333" customFormat="1" x14ac:dyDescent="0.25"/>
    <row r="268334" customFormat="1" x14ac:dyDescent="0.25"/>
    <row r="268335" customFormat="1" x14ac:dyDescent="0.25"/>
    <row r="268336" customFormat="1" x14ac:dyDescent="0.25"/>
    <row r="268337" customFormat="1" x14ac:dyDescent="0.25"/>
    <row r="268338" customFormat="1" x14ac:dyDescent="0.25"/>
    <row r="268339" customFormat="1" x14ac:dyDescent="0.25"/>
    <row r="268340" customFormat="1" x14ac:dyDescent="0.25"/>
    <row r="268341" customFormat="1" x14ac:dyDescent="0.25"/>
    <row r="268342" customFormat="1" x14ac:dyDescent="0.25"/>
    <row r="268343" customFormat="1" x14ac:dyDescent="0.25"/>
    <row r="268344" customFormat="1" x14ac:dyDescent="0.25"/>
    <row r="268345" customFormat="1" x14ac:dyDescent="0.25"/>
    <row r="268346" customFormat="1" x14ac:dyDescent="0.25"/>
    <row r="268347" customFormat="1" x14ac:dyDescent="0.25"/>
    <row r="268348" customFormat="1" x14ac:dyDescent="0.25"/>
    <row r="268349" customFormat="1" x14ac:dyDescent="0.25"/>
    <row r="268350" customFormat="1" x14ac:dyDescent="0.25"/>
    <row r="268351" customFormat="1" x14ac:dyDescent="0.25"/>
    <row r="268352" customFormat="1" x14ac:dyDescent="0.25"/>
    <row r="268353" customFormat="1" x14ac:dyDescent="0.25"/>
    <row r="268354" customFormat="1" x14ac:dyDescent="0.25"/>
    <row r="268355" customFormat="1" x14ac:dyDescent="0.25"/>
    <row r="268356" customFormat="1" x14ac:dyDescent="0.25"/>
    <row r="268357" customFormat="1" x14ac:dyDescent="0.25"/>
    <row r="268358" customFormat="1" x14ac:dyDescent="0.25"/>
    <row r="268359" customFormat="1" x14ac:dyDescent="0.25"/>
    <row r="268360" customFormat="1" x14ac:dyDescent="0.25"/>
    <row r="268361" customFormat="1" x14ac:dyDescent="0.25"/>
    <row r="268362" customFormat="1" x14ac:dyDescent="0.25"/>
    <row r="268363" customFormat="1" x14ac:dyDescent="0.25"/>
    <row r="268364" customFormat="1" x14ac:dyDescent="0.25"/>
    <row r="268365" customFormat="1" x14ac:dyDescent="0.25"/>
    <row r="268366" customFormat="1" x14ac:dyDescent="0.25"/>
    <row r="268367" customFormat="1" x14ac:dyDescent="0.25"/>
    <row r="268368" customFormat="1" x14ac:dyDescent="0.25"/>
    <row r="268369" customFormat="1" x14ac:dyDescent="0.25"/>
    <row r="268370" customFormat="1" x14ac:dyDescent="0.25"/>
    <row r="268371" customFormat="1" x14ac:dyDescent="0.25"/>
    <row r="268372" customFormat="1" x14ac:dyDescent="0.25"/>
    <row r="268373" customFormat="1" x14ac:dyDescent="0.25"/>
    <row r="268374" customFormat="1" x14ac:dyDescent="0.25"/>
    <row r="268375" customFormat="1" x14ac:dyDescent="0.25"/>
    <row r="268376" customFormat="1" x14ac:dyDescent="0.25"/>
    <row r="268377" customFormat="1" x14ac:dyDescent="0.25"/>
    <row r="268378" customFormat="1" x14ac:dyDescent="0.25"/>
    <row r="268379" customFormat="1" x14ac:dyDescent="0.25"/>
    <row r="268380" customFormat="1" x14ac:dyDescent="0.25"/>
    <row r="268381" customFormat="1" x14ac:dyDescent="0.25"/>
    <row r="268382" customFormat="1" x14ac:dyDescent="0.25"/>
    <row r="268383" customFormat="1" x14ac:dyDescent="0.25"/>
    <row r="268384" customFormat="1" x14ac:dyDescent="0.25"/>
    <row r="268385" customFormat="1" x14ac:dyDescent="0.25"/>
    <row r="268386" customFormat="1" x14ac:dyDescent="0.25"/>
    <row r="268387" customFormat="1" x14ac:dyDescent="0.25"/>
    <row r="268388" customFormat="1" x14ac:dyDescent="0.25"/>
    <row r="268389" customFormat="1" x14ac:dyDescent="0.25"/>
    <row r="268390" customFormat="1" x14ac:dyDescent="0.25"/>
    <row r="268391" customFormat="1" x14ac:dyDescent="0.25"/>
    <row r="268392" customFormat="1" x14ac:dyDescent="0.25"/>
    <row r="268393" customFormat="1" x14ac:dyDescent="0.25"/>
    <row r="268394" customFormat="1" x14ac:dyDescent="0.25"/>
    <row r="268395" customFormat="1" x14ac:dyDescent="0.25"/>
    <row r="268396" customFormat="1" x14ac:dyDescent="0.25"/>
    <row r="268397" customFormat="1" x14ac:dyDescent="0.25"/>
    <row r="268398" customFormat="1" x14ac:dyDescent="0.25"/>
    <row r="268399" customFormat="1" x14ac:dyDescent="0.25"/>
    <row r="268400" customFormat="1" x14ac:dyDescent="0.25"/>
    <row r="268401" customFormat="1" x14ac:dyDescent="0.25"/>
    <row r="268402" customFormat="1" x14ac:dyDescent="0.25"/>
    <row r="268403" customFormat="1" x14ac:dyDescent="0.25"/>
    <row r="268404" customFormat="1" x14ac:dyDescent="0.25"/>
    <row r="268405" customFormat="1" x14ac:dyDescent="0.25"/>
    <row r="268406" customFormat="1" x14ac:dyDescent="0.25"/>
    <row r="268407" customFormat="1" x14ac:dyDescent="0.25"/>
    <row r="268408" customFormat="1" x14ac:dyDescent="0.25"/>
    <row r="268409" customFormat="1" x14ac:dyDescent="0.25"/>
    <row r="268410" customFormat="1" x14ac:dyDescent="0.25"/>
    <row r="268411" customFormat="1" x14ac:dyDescent="0.25"/>
    <row r="268412" customFormat="1" x14ac:dyDescent="0.25"/>
    <row r="268413" customFormat="1" x14ac:dyDescent="0.25"/>
    <row r="268414" customFormat="1" x14ac:dyDescent="0.25"/>
    <row r="268415" customFormat="1" x14ac:dyDescent="0.25"/>
    <row r="268416" customFormat="1" x14ac:dyDescent="0.25"/>
    <row r="268417" customFormat="1" x14ac:dyDescent="0.25"/>
    <row r="268418" customFormat="1" x14ac:dyDescent="0.25"/>
    <row r="268419" customFormat="1" x14ac:dyDescent="0.25"/>
    <row r="268420" customFormat="1" x14ac:dyDescent="0.25"/>
    <row r="268421" customFormat="1" x14ac:dyDescent="0.25"/>
    <row r="268422" customFormat="1" x14ac:dyDescent="0.25"/>
    <row r="268423" customFormat="1" x14ac:dyDescent="0.25"/>
    <row r="268424" customFormat="1" x14ac:dyDescent="0.25"/>
    <row r="268425" customFormat="1" x14ac:dyDescent="0.25"/>
    <row r="268426" customFormat="1" x14ac:dyDescent="0.25"/>
    <row r="268427" customFormat="1" x14ac:dyDescent="0.25"/>
    <row r="268428" customFormat="1" x14ac:dyDescent="0.25"/>
    <row r="268429" customFormat="1" x14ac:dyDescent="0.25"/>
    <row r="268430" customFormat="1" x14ac:dyDescent="0.25"/>
    <row r="268431" customFormat="1" x14ac:dyDescent="0.25"/>
    <row r="268432" customFormat="1" x14ac:dyDescent="0.25"/>
    <row r="268433" customFormat="1" x14ac:dyDescent="0.25"/>
    <row r="268434" customFormat="1" x14ac:dyDescent="0.25"/>
    <row r="268435" customFormat="1" x14ac:dyDescent="0.25"/>
    <row r="268436" customFormat="1" x14ac:dyDescent="0.25"/>
    <row r="268437" customFormat="1" x14ac:dyDescent="0.25"/>
    <row r="268438" customFormat="1" x14ac:dyDescent="0.25"/>
    <row r="268439" customFormat="1" x14ac:dyDescent="0.25"/>
    <row r="268440" customFormat="1" x14ac:dyDescent="0.25"/>
    <row r="268441" customFormat="1" x14ac:dyDescent="0.25"/>
    <row r="268442" customFormat="1" x14ac:dyDescent="0.25"/>
    <row r="268443" customFormat="1" x14ac:dyDescent="0.25"/>
    <row r="268444" customFormat="1" x14ac:dyDescent="0.25"/>
    <row r="268445" customFormat="1" x14ac:dyDescent="0.25"/>
    <row r="268446" customFormat="1" x14ac:dyDescent="0.25"/>
    <row r="268447" customFormat="1" x14ac:dyDescent="0.25"/>
    <row r="268448" customFormat="1" x14ac:dyDescent="0.25"/>
    <row r="268449" customFormat="1" x14ac:dyDescent="0.25"/>
    <row r="268450" customFormat="1" x14ac:dyDescent="0.25"/>
    <row r="268451" customFormat="1" x14ac:dyDescent="0.25"/>
    <row r="268452" customFormat="1" x14ac:dyDescent="0.25"/>
    <row r="268453" customFormat="1" x14ac:dyDescent="0.25"/>
    <row r="268454" customFormat="1" x14ac:dyDescent="0.25"/>
    <row r="268455" customFormat="1" x14ac:dyDescent="0.25"/>
    <row r="268456" customFormat="1" x14ac:dyDescent="0.25"/>
    <row r="268457" customFormat="1" x14ac:dyDescent="0.25"/>
    <row r="268458" customFormat="1" x14ac:dyDescent="0.25"/>
    <row r="268459" customFormat="1" x14ac:dyDescent="0.25"/>
    <row r="268460" customFormat="1" x14ac:dyDescent="0.25"/>
    <row r="268461" customFormat="1" x14ac:dyDescent="0.25"/>
    <row r="268462" customFormat="1" x14ac:dyDescent="0.25"/>
    <row r="268463" customFormat="1" x14ac:dyDescent="0.25"/>
    <row r="268464" customFormat="1" x14ac:dyDescent="0.25"/>
    <row r="268465" customFormat="1" x14ac:dyDescent="0.25"/>
    <row r="268466" customFormat="1" x14ac:dyDescent="0.25"/>
    <row r="268467" customFormat="1" x14ac:dyDescent="0.25"/>
    <row r="268468" customFormat="1" x14ac:dyDescent="0.25"/>
    <row r="268469" customFormat="1" x14ac:dyDescent="0.25"/>
    <row r="268470" customFormat="1" x14ac:dyDescent="0.25"/>
    <row r="268471" customFormat="1" x14ac:dyDescent="0.25"/>
    <row r="268472" customFormat="1" x14ac:dyDescent="0.25"/>
    <row r="268473" customFormat="1" x14ac:dyDescent="0.25"/>
    <row r="268474" customFormat="1" x14ac:dyDescent="0.25"/>
    <row r="268475" customFormat="1" x14ac:dyDescent="0.25"/>
    <row r="268476" customFormat="1" x14ac:dyDescent="0.25"/>
    <row r="268477" customFormat="1" x14ac:dyDescent="0.25"/>
    <row r="268478" customFormat="1" x14ac:dyDescent="0.25"/>
    <row r="268479" customFormat="1" x14ac:dyDescent="0.25"/>
    <row r="268480" customFormat="1" x14ac:dyDescent="0.25"/>
    <row r="268481" customFormat="1" x14ac:dyDescent="0.25"/>
    <row r="268482" customFormat="1" x14ac:dyDescent="0.25"/>
    <row r="268483" customFormat="1" x14ac:dyDescent="0.25"/>
    <row r="268484" customFormat="1" x14ac:dyDescent="0.25"/>
    <row r="268485" customFormat="1" x14ac:dyDescent="0.25"/>
    <row r="268486" customFormat="1" x14ac:dyDescent="0.25"/>
    <row r="268487" customFormat="1" x14ac:dyDescent="0.25"/>
    <row r="268488" customFormat="1" x14ac:dyDescent="0.25"/>
    <row r="268489" customFormat="1" x14ac:dyDescent="0.25"/>
    <row r="268490" customFormat="1" x14ac:dyDescent="0.25"/>
    <row r="268491" customFormat="1" x14ac:dyDescent="0.25"/>
    <row r="268492" customFormat="1" x14ac:dyDescent="0.25"/>
    <row r="268493" customFormat="1" x14ac:dyDescent="0.25"/>
    <row r="268494" customFormat="1" x14ac:dyDescent="0.25"/>
    <row r="268495" customFormat="1" x14ac:dyDescent="0.25"/>
    <row r="268496" customFormat="1" x14ac:dyDescent="0.25"/>
    <row r="268497" customFormat="1" x14ac:dyDescent="0.25"/>
    <row r="268498" customFormat="1" x14ac:dyDescent="0.25"/>
    <row r="268499" customFormat="1" x14ac:dyDescent="0.25"/>
    <row r="268500" customFormat="1" x14ac:dyDescent="0.25"/>
    <row r="268501" customFormat="1" x14ac:dyDescent="0.25"/>
    <row r="268502" customFormat="1" x14ac:dyDescent="0.25"/>
    <row r="268503" customFormat="1" x14ac:dyDescent="0.25"/>
    <row r="268504" customFormat="1" x14ac:dyDescent="0.25"/>
    <row r="268505" customFormat="1" x14ac:dyDescent="0.25"/>
    <row r="268506" customFormat="1" x14ac:dyDescent="0.25"/>
    <row r="268507" customFormat="1" x14ac:dyDescent="0.25"/>
    <row r="268508" customFormat="1" x14ac:dyDescent="0.25"/>
    <row r="268509" customFormat="1" x14ac:dyDescent="0.25"/>
    <row r="268510" customFormat="1" x14ac:dyDescent="0.25"/>
    <row r="268511" customFormat="1" x14ac:dyDescent="0.25"/>
    <row r="268512" customFormat="1" x14ac:dyDescent="0.25"/>
    <row r="268513" customFormat="1" x14ac:dyDescent="0.25"/>
    <row r="268514" customFormat="1" x14ac:dyDescent="0.25"/>
    <row r="268515" customFormat="1" x14ac:dyDescent="0.25"/>
    <row r="268516" customFormat="1" x14ac:dyDescent="0.25"/>
    <row r="268517" customFormat="1" x14ac:dyDescent="0.25"/>
    <row r="268518" customFormat="1" x14ac:dyDescent="0.25"/>
    <row r="268519" customFormat="1" x14ac:dyDescent="0.25"/>
    <row r="268520" customFormat="1" x14ac:dyDescent="0.25"/>
    <row r="268521" customFormat="1" x14ac:dyDescent="0.25"/>
    <row r="268522" customFormat="1" x14ac:dyDescent="0.25"/>
    <row r="268523" customFormat="1" x14ac:dyDescent="0.25"/>
    <row r="268524" customFormat="1" x14ac:dyDescent="0.25"/>
    <row r="268525" customFormat="1" x14ac:dyDescent="0.25"/>
    <row r="268526" customFormat="1" x14ac:dyDescent="0.25"/>
    <row r="268527" customFormat="1" x14ac:dyDescent="0.25"/>
    <row r="268528" customFormat="1" x14ac:dyDescent="0.25"/>
    <row r="268529" customFormat="1" x14ac:dyDescent="0.25"/>
    <row r="268530" customFormat="1" x14ac:dyDescent="0.25"/>
    <row r="268531" customFormat="1" x14ac:dyDescent="0.25"/>
    <row r="268532" customFormat="1" x14ac:dyDescent="0.25"/>
    <row r="268533" customFormat="1" x14ac:dyDescent="0.25"/>
    <row r="268534" customFormat="1" x14ac:dyDescent="0.25"/>
    <row r="268535" customFormat="1" x14ac:dyDescent="0.25"/>
    <row r="268536" customFormat="1" x14ac:dyDescent="0.25"/>
    <row r="268537" customFormat="1" x14ac:dyDescent="0.25"/>
    <row r="268538" customFormat="1" x14ac:dyDescent="0.25"/>
    <row r="268539" customFormat="1" x14ac:dyDescent="0.25"/>
    <row r="268540" customFormat="1" x14ac:dyDescent="0.25"/>
    <row r="268541" customFormat="1" x14ac:dyDescent="0.25"/>
    <row r="268542" customFormat="1" x14ac:dyDescent="0.25"/>
    <row r="268543" customFormat="1" x14ac:dyDescent="0.25"/>
    <row r="268544" customFormat="1" x14ac:dyDescent="0.25"/>
    <row r="268545" customFormat="1" x14ac:dyDescent="0.25"/>
    <row r="268546" customFormat="1" x14ac:dyDescent="0.25"/>
    <row r="268547" customFormat="1" x14ac:dyDescent="0.25"/>
    <row r="268548" customFormat="1" x14ac:dyDescent="0.25"/>
    <row r="268549" customFormat="1" x14ac:dyDescent="0.25"/>
    <row r="268550" customFormat="1" x14ac:dyDescent="0.25"/>
    <row r="268551" customFormat="1" x14ac:dyDescent="0.25"/>
    <row r="268552" customFormat="1" x14ac:dyDescent="0.25"/>
    <row r="268553" customFormat="1" x14ac:dyDescent="0.25"/>
    <row r="268554" customFormat="1" x14ac:dyDescent="0.25"/>
    <row r="268555" customFormat="1" x14ac:dyDescent="0.25"/>
    <row r="268556" customFormat="1" x14ac:dyDescent="0.25"/>
    <row r="268557" customFormat="1" x14ac:dyDescent="0.25"/>
    <row r="268558" customFormat="1" x14ac:dyDescent="0.25"/>
    <row r="268559" customFormat="1" x14ac:dyDescent="0.25"/>
    <row r="268560" customFormat="1" x14ac:dyDescent="0.25"/>
    <row r="268561" customFormat="1" x14ac:dyDescent="0.25"/>
    <row r="268562" customFormat="1" x14ac:dyDescent="0.25"/>
    <row r="268563" customFormat="1" x14ac:dyDescent="0.25"/>
    <row r="268564" customFormat="1" x14ac:dyDescent="0.25"/>
    <row r="268565" customFormat="1" x14ac:dyDescent="0.25"/>
    <row r="268566" customFormat="1" x14ac:dyDescent="0.25"/>
    <row r="268567" customFormat="1" x14ac:dyDescent="0.25"/>
    <row r="268568" customFormat="1" x14ac:dyDescent="0.25"/>
    <row r="268569" customFormat="1" x14ac:dyDescent="0.25"/>
    <row r="268570" customFormat="1" x14ac:dyDescent="0.25"/>
    <row r="268571" customFormat="1" x14ac:dyDescent="0.25"/>
    <row r="268572" customFormat="1" x14ac:dyDescent="0.25"/>
    <row r="268573" customFormat="1" x14ac:dyDescent="0.25"/>
    <row r="268574" customFormat="1" x14ac:dyDescent="0.25"/>
    <row r="268575" customFormat="1" x14ac:dyDescent="0.25"/>
    <row r="268576" customFormat="1" x14ac:dyDescent="0.25"/>
    <row r="268577" customFormat="1" x14ac:dyDescent="0.25"/>
    <row r="268578" customFormat="1" x14ac:dyDescent="0.25"/>
    <row r="268579" customFormat="1" x14ac:dyDescent="0.25"/>
    <row r="268580" customFormat="1" x14ac:dyDescent="0.25"/>
    <row r="268581" customFormat="1" x14ac:dyDescent="0.25"/>
    <row r="268582" customFormat="1" x14ac:dyDescent="0.25"/>
    <row r="268583" customFormat="1" x14ac:dyDescent="0.25"/>
    <row r="268584" customFormat="1" x14ac:dyDescent="0.25"/>
    <row r="268585" customFormat="1" x14ac:dyDescent="0.25"/>
    <row r="268586" customFormat="1" x14ac:dyDescent="0.25"/>
    <row r="268587" customFormat="1" x14ac:dyDescent="0.25"/>
    <row r="268588" customFormat="1" x14ac:dyDescent="0.25"/>
    <row r="268589" customFormat="1" x14ac:dyDescent="0.25"/>
    <row r="268590" customFormat="1" x14ac:dyDescent="0.25"/>
    <row r="268591" customFormat="1" x14ac:dyDescent="0.25"/>
    <row r="268592" customFormat="1" x14ac:dyDescent="0.25"/>
    <row r="268593" customFormat="1" x14ac:dyDescent="0.25"/>
    <row r="268594" customFormat="1" x14ac:dyDescent="0.25"/>
    <row r="268595" customFormat="1" x14ac:dyDescent="0.25"/>
    <row r="268596" customFormat="1" x14ac:dyDescent="0.25"/>
    <row r="268597" customFormat="1" x14ac:dyDescent="0.25"/>
    <row r="268598" customFormat="1" x14ac:dyDescent="0.25"/>
    <row r="268599" customFormat="1" x14ac:dyDescent="0.25"/>
    <row r="268600" customFormat="1" x14ac:dyDescent="0.25"/>
    <row r="268601" customFormat="1" x14ac:dyDescent="0.25"/>
    <row r="268602" customFormat="1" x14ac:dyDescent="0.25"/>
    <row r="268603" customFormat="1" x14ac:dyDescent="0.25"/>
    <row r="268604" customFormat="1" x14ac:dyDescent="0.25"/>
    <row r="268605" customFormat="1" x14ac:dyDescent="0.25"/>
    <row r="268606" customFormat="1" x14ac:dyDescent="0.25"/>
    <row r="268607" customFormat="1" x14ac:dyDescent="0.25"/>
    <row r="268608" customFormat="1" x14ac:dyDescent="0.25"/>
    <row r="268609" customFormat="1" x14ac:dyDescent="0.25"/>
    <row r="268610" customFormat="1" x14ac:dyDescent="0.25"/>
    <row r="268611" customFormat="1" x14ac:dyDescent="0.25"/>
    <row r="268612" customFormat="1" x14ac:dyDescent="0.25"/>
    <row r="268613" customFormat="1" x14ac:dyDescent="0.25"/>
    <row r="268614" customFormat="1" x14ac:dyDescent="0.25"/>
    <row r="268615" customFormat="1" x14ac:dyDescent="0.25"/>
    <row r="268616" customFormat="1" x14ac:dyDescent="0.25"/>
    <row r="268617" customFormat="1" x14ac:dyDescent="0.25"/>
    <row r="268618" customFormat="1" x14ac:dyDescent="0.25"/>
    <row r="268619" customFormat="1" x14ac:dyDescent="0.25"/>
    <row r="268620" customFormat="1" x14ac:dyDescent="0.25"/>
    <row r="268621" customFormat="1" x14ac:dyDescent="0.25"/>
    <row r="268622" customFormat="1" x14ac:dyDescent="0.25"/>
    <row r="268623" customFormat="1" x14ac:dyDescent="0.25"/>
    <row r="268624" customFormat="1" x14ac:dyDescent="0.25"/>
    <row r="268625" customFormat="1" x14ac:dyDescent="0.25"/>
    <row r="268626" customFormat="1" x14ac:dyDescent="0.25"/>
    <row r="268627" customFormat="1" x14ac:dyDescent="0.25"/>
    <row r="268628" customFormat="1" x14ac:dyDescent="0.25"/>
    <row r="268629" customFormat="1" x14ac:dyDescent="0.25"/>
    <row r="268630" customFormat="1" x14ac:dyDescent="0.25"/>
    <row r="268631" customFormat="1" x14ac:dyDescent="0.25"/>
    <row r="268632" customFormat="1" x14ac:dyDescent="0.25"/>
    <row r="268633" customFormat="1" x14ac:dyDescent="0.25"/>
    <row r="268634" customFormat="1" x14ac:dyDescent="0.25"/>
    <row r="268635" customFormat="1" x14ac:dyDescent="0.25"/>
    <row r="268636" customFormat="1" x14ac:dyDescent="0.25"/>
    <row r="268637" customFormat="1" x14ac:dyDescent="0.25"/>
    <row r="268638" customFormat="1" x14ac:dyDescent="0.25"/>
    <row r="268639" customFormat="1" x14ac:dyDescent="0.25"/>
    <row r="268640" customFormat="1" x14ac:dyDescent="0.25"/>
    <row r="268641" customFormat="1" x14ac:dyDescent="0.25"/>
    <row r="268642" customFormat="1" x14ac:dyDescent="0.25"/>
    <row r="268643" customFormat="1" x14ac:dyDescent="0.25"/>
    <row r="268644" customFormat="1" x14ac:dyDescent="0.25"/>
    <row r="268645" customFormat="1" x14ac:dyDescent="0.25"/>
    <row r="268646" customFormat="1" x14ac:dyDescent="0.25"/>
    <row r="268647" customFormat="1" x14ac:dyDescent="0.25"/>
    <row r="268648" customFormat="1" x14ac:dyDescent="0.25"/>
    <row r="268649" customFormat="1" x14ac:dyDescent="0.25"/>
    <row r="268650" customFormat="1" x14ac:dyDescent="0.25"/>
    <row r="268651" customFormat="1" x14ac:dyDescent="0.25"/>
    <row r="268652" customFormat="1" x14ac:dyDescent="0.25"/>
    <row r="268653" customFormat="1" x14ac:dyDescent="0.25"/>
    <row r="268654" customFormat="1" x14ac:dyDescent="0.25"/>
    <row r="268655" customFormat="1" x14ac:dyDescent="0.25"/>
    <row r="268656" customFormat="1" x14ac:dyDescent="0.25"/>
    <row r="268657" customFormat="1" x14ac:dyDescent="0.25"/>
    <row r="268658" customFormat="1" x14ac:dyDescent="0.25"/>
    <row r="268659" customFormat="1" x14ac:dyDescent="0.25"/>
    <row r="268660" customFormat="1" x14ac:dyDescent="0.25"/>
    <row r="268661" customFormat="1" x14ac:dyDescent="0.25"/>
    <row r="268662" customFormat="1" x14ac:dyDescent="0.25"/>
    <row r="268663" customFormat="1" x14ac:dyDescent="0.25"/>
    <row r="268664" customFormat="1" x14ac:dyDescent="0.25"/>
    <row r="268665" customFormat="1" x14ac:dyDescent="0.25"/>
    <row r="268666" customFormat="1" x14ac:dyDescent="0.25"/>
    <row r="268667" customFormat="1" x14ac:dyDescent="0.25"/>
    <row r="268668" customFormat="1" x14ac:dyDescent="0.25"/>
    <row r="268669" customFormat="1" x14ac:dyDescent="0.25"/>
    <row r="268670" customFormat="1" x14ac:dyDescent="0.25"/>
    <row r="268671" customFormat="1" x14ac:dyDescent="0.25"/>
    <row r="268672" customFormat="1" x14ac:dyDescent="0.25"/>
    <row r="268673" customFormat="1" x14ac:dyDescent="0.25"/>
    <row r="268674" customFormat="1" x14ac:dyDescent="0.25"/>
    <row r="268675" customFormat="1" x14ac:dyDescent="0.25"/>
    <row r="268676" customFormat="1" x14ac:dyDescent="0.25"/>
    <row r="268677" customFormat="1" x14ac:dyDescent="0.25"/>
    <row r="268678" customFormat="1" x14ac:dyDescent="0.25"/>
    <row r="268679" customFormat="1" x14ac:dyDescent="0.25"/>
    <row r="268680" customFormat="1" x14ac:dyDescent="0.25"/>
    <row r="268681" customFormat="1" x14ac:dyDescent="0.25"/>
    <row r="268682" customFormat="1" x14ac:dyDescent="0.25"/>
    <row r="268683" customFormat="1" x14ac:dyDescent="0.25"/>
    <row r="268684" customFormat="1" x14ac:dyDescent="0.25"/>
    <row r="268685" customFormat="1" x14ac:dyDescent="0.25"/>
    <row r="268686" customFormat="1" x14ac:dyDescent="0.25"/>
    <row r="268687" customFormat="1" x14ac:dyDescent="0.25"/>
    <row r="268688" customFormat="1" x14ac:dyDescent="0.25"/>
    <row r="268689" customFormat="1" x14ac:dyDescent="0.25"/>
    <row r="268690" customFormat="1" x14ac:dyDescent="0.25"/>
    <row r="268691" customFormat="1" x14ac:dyDescent="0.25"/>
    <row r="268692" customFormat="1" x14ac:dyDescent="0.25"/>
    <row r="268693" customFormat="1" x14ac:dyDescent="0.25"/>
    <row r="268694" customFormat="1" x14ac:dyDescent="0.25"/>
    <row r="268695" customFormat="1" x14ac:dyDescent="0.25"/>
    <row r="268696" customFormat="1" x14ac:dyDescent="0.25"/>
    <row r="268697" customFormat="1" x14ac:dyDescent="0.25"/>
    <row r="268698" customFormat="1" x14ac:dyDescent="0.25"/>
    <row r="268699" customFormat="1" x14ac:dyDescent="0.25"/>
    <row r="268700" customFormat="1" x14ac:dyDescent="0.25"/>
    <row r="268701" customFormat="1" x14ac:dyDescent="0.25"/>
    <row r="268702" customFormat="1" x14ac:dyDescent="0.25"/>
    <row r="268703" customFormat="1" x14ac:dyDescent="0.25"/>
    <row r="268704" customFormat="1" x14ac:dyDescent="0.25"/>
    <row r="268705" customFormat="1" x14ac:dyDescent="0.25"/>
    <row r="268706" customFormat="1" x14ac:dyDescent="0.25"/>
    <row r="268707" customFormat="1" x14ac:dyDescent="0.25"/>
    <row r="268708" customFormat="1" x14ac:dyDescent="0.25"/>
    <row r="268709" customFormat="1" x14ac:dyDescent="0.25"/>
    <row r="268710" customFormat="1" x14ac:dyDescent="0.25"/>
    <row r="268711" customFormat="1" x14ac:dyDescent="0.25"/>
    <row r="268712" customFormat="1" x14ac:dyDescent="0.25"/>
    <row r="268713" customFormat="1" x14ac:dyDescent="0.25"/>
    <row r="268714" customFormat="1" x14ac:dyDescent="0.25"/>
    <row r="268715" customFormat="1" x14ac:dyDescent="0.25"/>
    <row r="268716" customFormat="1" x14ac:dyDescent="0.25"/>
    <row r="268717" customFormat="1" x14ac:dyDescent="0.25"/>
    <row r="268718" customFormat="1" x14ac:dyDescent="0.25"/>
    <row r="268719" customFormat="1" x14ac:dyDescent="0.25"/>
    <row r="268720" customFormat="1" x14ac:dyDescent="0.25"/>
    <row r="268721" customFormat="1" x14ac:dyDescent="0.25"/>
    <row r="268722" customFormat="1" x14ac:dyDescent="0.25"/>
    <row r="268723" customFormat="1" x14ac:dyDescent="0.25"/>
    <row r="268724" customFormat="1" x14ac:dyDescent="0.25"/>
    <row r="268725" customFormat="1" x14ac:dyDescent="0.25"/>
    <row r="268726" customFormat="1" x14ac:dyDescent="0.25"/>
    <row r="268727" customFormat="1" x14ac:dyDescent="0.25"/>
    <row r="268728" customFormat="1" x14ac:dyDescent="0.25"/>
    <row r="268729" customFormat="1" x14ac:dyDescent="0.25"/>
    <row r="268730" customFormat="1" x14ac:dyDescent="0.25"/>
    <row r="268731" customFormat="1" x14ac:dyDescent="0.25"/>
    <row r="268732" customFormat="1" x14ac:dyDescent="0.25"/>
    <row r="268733" customFormat="1" x14ac:dyDescent="0.25"/>
    <row r="268734" customFormat="1" x14ac:dyDescent="0.25"/>
    <row r="268735" customFormat="1" x14ac:dyDescent="0.25"/>
    <row r="268736" customFormat="1" x14ac:dyDescent="0.25"/>
    <row r="268737" customFormat="1" x14ac:dyDescent="0.25"/>
    <row r="268738" customFormat="1" x14ac:dyDescent="0.25"/>
    <row r="268739" customFormat="1" x14ac:dyDescent="0.25"/>
    <row r="268740" customFormat="1" x14ac:dyDescent="0.25"/>
    <row r="268741" customFormat="1" x14ac:dyDescent="0.25"/>
    <row r="268742" customFormat="1" x14ac:dyDescent="0.25"/>
    <row r="268743" customFormat="1" x14ac:dyDescent="0.25"/>
    <row r="268744" customFormat="1" x14ac:dyDescent="0.25"/>
    <row r="268745" customFormat="1" x14ac:dyDescent="0.25"/>
    <row r="268746" customFormat="1" x14ac:dyDescent="0.25"/>
    <row r="268747" customFormat="1" x14ac:dyDescent="0.25"/>
    <row r="268748" customFormat="1" x14ac:dyDescent="0.25"/>
    <row r="268749" customFormat="1" x14ac:dyDescent="0.25"/>
    <row r="268750" customFormat="1" x14ac:dyDescent="0.25"/>
    <row r="268751" customFormat="1" x14ac:dyDescent="0.25"/>
    <row r="268752" customFormat="1" x14ac:dyDescent="0.25"/>
    <row r="268753" customFormat="1" x14ac:dyDescent="0.25"/>
    <row r="268754" customFormat="1" x14ac:dyDescent="0.25"/>
    <row r="268755" customFormat="1" x14ac:dyDescent="0.25"/>
    <row r="268756" customFormat="1" x14ac:dyDescent="0.25"/>
    <row r="268757" customFormat="1" x14ac:dyDescent="0.25"/>
    <row r="268758" customFormat="1" x14ac:dyDescent="0.25"/>
    <row r="268759" customFormat="1" x14ac:dyDescent="0.25"/>
    <row r="268760" customFormat="1" x14ac:dyDescent="0.25"/>
    <row r="268761" customFormat="1" x14ac:dyDescent="0.25"/>
    <row r="268762" customFormat="1" x14ac:dyDescent="0.25"/>
    <row r="268763" customFormat="1" x14ac:dyDescent="0.25"/>
    <row r="268764" customFormat="1" x14ac:dyDescent="0.25"/>
    <row r="268765" customFormat="1" x14ac:dyDescent="0.25"/>
    <row r="268766" customFormat="1" x14ac:dyDescent="0.25"/>
    <row r="268767" customFormat="1" x14ac:dyDescent="0.25"/>
    <row r="268768" customFormat="1" x14ac:dyDescent="0.25"/>
    <row r="268769" customFormat="1" x14ac:dyDescent="0.25"/>
    <row r="268770" customFormat="1" x14ac:dyDescent="0.25"/>
    <row r="268771" customFormat="1" x14ac:dyDescent="0.25"/>
    <row r="268772" customFormat="1" x14ac:dyDescent="0.25"/>
    <row r="268773" customFormat="1" x14ac:dyDescent="0.25"/>
    <row r="268774" customFormat="1" x14ac:dyDescent="0.25"/>
    <row r="268775" customFormat="1" x14ac:dyDescent="0.25"/>
    <row r="268776" customFormat="1" x14ac:dyDescent="0.25"/>
    <row r="268777" customFormat="1" x14ac:dyDescent="0.25"/>
    <row r="268778" customFormat="1" x14ac:dyDescent="0.25"/>
    <row r="268779" customFormat="1" x14ac:dyDescent="0.25"/>
    <row r="268780" customFormat="1" x14ac:dyDescent="0.25"/>
    <row r="268781" customFormat="1" x14ac:dyDescent="0.25"/>
    <row r="268782" customFormat="1" x14ac:dyDescent="0.25"/>
    <row r="268783" customFormat="1" x14ac:dyDescent="0.25"/>
    <row r="268784" customFormat="1" x14ac:dyDescent="0.25"/>
    <row r="268785" customFormat="1" x14ac:dyDescent="0.25"/>
    <row r="268786" customFormat="1" x14ac:dyDescent="0.25"/>
    <row r="268787" customFormat="1" x14ac:dyDescent="0.25"/>
    <row r="268788" customFormat="1" x14ac:dyDescent="0.25"/>
    <row r="268789" customFormat="1" x14ac:dyDescent="0.25"/>
    <row r="268790" customFormat="1" x14ac:dyDescent="0.25"/>
    <row r="268791" customFormat="1" x14ac:dyDescent="0.25"/>
    <row r="268792" customFormat="1" x14ac:dyDescent="0.25"/>
    <row r="268793" customFormat="1" x14ac:dyDescent="0.25"/>
    <row r="268794" customFormat="1" x14ac:dyDescent="0.25"/>
    <row r="268795" customFormat="1" x14ac:dyDescent="0.25"/>
    <row r="268796" customFormat="1" x14ac:dyDescent="0.25"/>
    <row r="268797" customFormat="1" x14ac:dyDescent="0.25"/>
    <row r="268798" customFormat="1" x14ac:dyDescent="0.25"/>
    <row r="268799" customFormat="1" x14ac:dyDescent="0.25"/>
    <row r="268800" customFormat="1" x14ac:dyDescent="0.25"/>
    <row r="268801" customFormat="1" x14ac:dyDescent="0.25"/>
    <row r="268802" customFormat="1" x14ac:dyDescent="0.25"/>
    <row r="268803" customFormat="1" x14ac:dyDescent="0.25"/>
    <row r="268804" customFormat="1" x14ac:dyDescent="0.25"/>
    <row r="268805" customFormat="1" x14ac:dyDescent="0.25"/>
    <row r="268806" customFormat="1" x14ac:dyDescent="0.25"/>
    <row r="268807" customFormat="1" x14ac:dyDescent="0.25"/>
    <row r="268808" customFormat="1" x14ac:dyDescent="0.25"/>
    <row r="268809" customFormat="1" x14ac:dyDescent="0.25"/>
    <row r="268810" customFormat="1" x14ac:dyDescent="0.25"/>
    <row r="268811" customFormat="1" x14ac:dyDescent="0.25"/>
    <row r="268812" customFormat="1" x14ac:dyDescent="0.25"/>
    <row r="268813" customFormat="1" x14ac:dyDescent="0.25"/>
    <row r="268814" customFormat="1" x14ac:dyDescent="0.25"/>
    <row r="268815" customFormat="1" x14ac:dyDescent="0.25"/>
    <row r="268816" customFormat="1" x14ac:dyDescent="0.25"/>
    <row r="268817" customFormat="1" x14ac:dyDescent="0.25"/>
    <row r="268818" customFormat="1" x14ac:dyDescent="0.25"/>
    <row r="268819" customFormat="1" x14ac:dyDescent="0.25"/>
    <row r="268820" customFormat="1" x14ac:dyDescent="0.25"/>
    <row r="268821" customFormat="1" x14ac:dyDescent="0.25"/>
    <row r="268822" customFormat="1" x14ac:dyDescent="0.25"/>
    <row r="268823" customFormat="1" x14ac:dyDescent="0.25"/>
    <row r="268824" customFormat="1" x14ac:dyDescent="0.25"/>
    <row r="268825" customFormat="1" x14ac:dyDescent="0.25"/>
    <row r="268826" customFormat="1" x14ac:dyDescent="0.25"/>
    <row r="268827" customFormat="1" x14ac:dyDescent="0.25"/>
    <row r="268828" customFormat="1" x14ac:dyDescent="0.25"/>
    <row r="268829" customFormat="1" x14ac:dyDescent="0.25"/>
    <row r="268830" customFormat="1" x14ac:dyDescent="0.25"/>
    <row r="268831" customFormat="1" x14ac:dyDescent="0.25"/>
    <row r="268832" customFormat="1" x14ac:dyDescent="0.25"/>
    <row r="268833" customFormat="1" x14ac:dyDescent="0.25"/>
    <row r="268834" customFormat="1" x14ac:dyDescent="0.25"/>
    <row r="268835" customFormat="1" x14ac:dyDescent="0.25"/>
    <row r="268836" customFormat="1" x14ac:dyDescent="0.25"/>
    <row r="268837" customFormat="1" x14ac:dyDescent="0.25"/>
    <row r="268838" customFormat="1" x14ac:dyDescent="0.25"/>
    <row r="268839" customFormat="1" x14ac:dyDescent="0.25"/>
    <row r="268840" customFormat="1" x14ac:dyDescent="0.25"/>
    <row r="268841" customFormat="1" x14ac:dyDescent="0.25"/>
    <row r="268842" customFormat="1" x14ac:dyDescent="0.25"/>
    <row r="268843" customFormat="1" x14ac:dyDescent="0.25"/>
    <row r="268844" customFormat="1" x14ac:dyDescent="0.25"/>
    <row r="268845" customFormat="1" x14ac:dyDescent="0.25"/>
    <row r="268846" customFormat="1" x14ac:dyDescent="0.25"/>
    <row r="268847" customFormat="1" x14ac:dyDescent="0.25"/>
    <row r="268848" customFormat="1" x14ac:dyDescent="0.25"/>
    <row r="268849" customFormat="1" x14ac:dyDescent="0.25"/>
    <row r="268850" customFormat="1" x14ac:dyDescent="0.25"/>
    <row r="268851" customFormat="1" x14ac:dyDescent="0.25"/>
    <row r="268852" customFormat="1" x14ac:dyDescent="0.25"/>
    <row r="268853" customFormat="1" x14ac:dyDescent="0.25"/>
    <row r="268854" customFormat="1" x14ac:dyDescent="0.25"/>
    <row r="268855" customFormat="1" x14ac:dyDescent="0.25"/>
    <row r="268856" customFormat="1" x14ac:dyDescent="0.25"/>
    <row r="268857" customFormat="1" x14ac:dyDescent="0.25"/>
    <row r="268858" customFormat="1" x14ac:dyDescent="0.25"/>
    <row r="268859" customFormat="1" x14ac:dyDescent="0.25"/>
    <row r="268860" customFormat="1" x14ac:dyDescent="0.25"/>
    <row r="268861" customFormat="1" x14ac:dyDescent="0.25"/>
    <row r="268862" customFormat="1" x14ac:dyDescent="0.25"/>
    <row r="268863" customFormat="1" x14ac:dyDescent="0.25"/>
    <row r="268864" customFormat="1" x14ac:dyDescent="0.25"/>
    <row r="268865" customFormat="1" x14ac:dyDescent="0.25"/>
    <row r="268866" customFormat="1" x14ac:dyDescent="0.25"/>
    <row r="268867" customFormat="1" x14ac:dyDescent="0.25"/>
    <row r="268868" customFormat="1" x14ac:dyDescent="0.25"/>
    <row r="268869" customFormat="1" x14ac:dyDescent="0.25"/>
    <row r="268870" customFormat="1" x14ac:dyDescent="0.25"/>
    <row r="268871" customFormat="1" x14ac:dyDescent="0.25"/>
    <row r="268872" customFormat="1" x14ac:dyDescent="0.25"/>
    <row r="268873" customFormat="1" x14ac:dyDescent="0.25"/>
    <row r="268874" customFormat="1" x14ac:dyDescent="0.25"/>
    <row r="268875" customFormat="1" x14ac:dyDescent="0.25"/>
    <row r="268876" customFormat="1" x14ac:dyDescent="0.25"/>
    <row r="268877" customFormat="1" x14ac:dyDescent="0.25"/>
    <row r="268878" customFormat="1" x14ac:dyDescent="0.25"/>
    <row r="268879" customFormat="1" x14ac:dyDescent="0.25"/>
    <row r="268880" customFormat="1" x14ac:dyDescent="0.25"/>
    <row r="268881" customFormat="1" x14ac:dyDescent="0.25"/>
    <row r="268882" customFormat="1" x14ac:dyDescent="0.25"/>
    <row r="268883" customFormat="1" x14ac:dyDescent="0.25"/>
    <row r="268884" customFormat="1" x14ac:dyDescent="0.25"/>
    <row r="268885" customFormat="1" x14ac:dyDescent="0.25"/>
    <row r="268886" customFormat="1" x14ac:dyDescent="0.25"/>
    <row r="268887" customFormat="1" x14ac:dyDescent="0.25"/>
    <row r="268888" customFormat="1" x14ac:dyDescent="0.25"/>
    <row r="268889" customFormat="1" x14ac:dyDescent="0.25"/>
    <row r="268890" customFormat="1" x14ac:dyDescent="0.25"/>
    <row r="268891" customFormat="1" x14ac:dyDescent="0.25"/>
    <row r="268892" customFormat="1" x14ac:dyDescent="0.25"/>
    <row r="268893" customFormat="1" x14ac:dyDescent="0.25"/>
    <row r="268894" customFormat="1" x14ac:dyDescent="0.25"/>
    <row r="268895" customFormat="1" x14ac:dyDescent="0.25"/>
    <row r="268896" customFormat="1" x14ac:dyDescent="0.25"/>
    <row r="268897" customFormat="1" x14ac:dyDescent="0.25"/>
    <row r="268898" customFormat="1" x14ac:dyDescent="0.25"/>
    <row r="268899" customFormat="1" x14ac:dyDescent="0.25"/>
    <row r="268900" customFormat="1" x14ac:dyDescent="0.25"/>
    <row r="268901" customFormat="1" x14ac:dyDescent="0.25"/>
    <row r="268902" customFormat="1" x14ac:dyDescent="0.25"/>
    <row r="268903" customFormat="1" x14ac:dyDescent="0.25"/>
    <row r="268904" customFormat="1" x14ac:dyDescent="0.25"/>
    <row r="268905" customFormat="1" x14ac:dyDescent="0.25"/>
    <row r="268906" customFormat="1" x14ac:dyDescent="0.25"/>
    <row r="268907" customFormat="1" x14ac:dyDescent="0.25"/>
    <row r="268908" customFormat="1" x14ac:dyDescent="0.25"/>
    <row r="268909" customFormat="1" x14ac:dyDescent="0.25"/>
    <row r="268910" customFormat="1" x14ac:dyDescent="0.25"/>
    <row r="268911" customFormat="1" x14ac:dyDescent="0.25"/>
    <row r="268912" customFormat="1" x14ac:dyDescent="0.25"/>
    <row r="268913" customFormat="1" x14ac:dyDescent="0.25"/>
    <row r="268914" customFormat="1" x14ac:dyDescent="0.25"/>
    <row r="268915" customFormat="1" x14ac:dyDescent="0.25"/>
    <row r="268916" customFormat="1" x14ac:dyDescent="0.25"/>
    <row r="268917" customFormat="1" x14ac:dyDescent="0.25"/>
    <row r="268918" customFormat="1" x14ac:dyDescent="0.25"/>
    <row r="268919" customFormat="1" x14ac:dyDescent="0.25"/>
    <row r="268920" customFormat="1" x14ac:dyDescent="0.25"/>
    <row r="268921" customFormat="1" x14ac:dyDescent="0.25"/>
    <row r="268922" customFormat="1" x14ac:dyDescent="0.25"/>
    <row r="268923" customFormat="1" x14ac:dyDescent="0.25"/>
    <row r="268924" customFormat="1" x14ac:dyDescent="0.25"/>
    <row r="268925" customFormat="1" x14ac:dyDescent="0.25"/>
    <row r="268926" customFormat="1" x14ac:dyDescent="0.25"/>
    <row r="268927" customFormat="1" x14ac:dyDescent="0.25"/>
    <row r="268928" customFormat="1" x14ac:dyDescent="0.25"/>
    <row r="268929" customFormat="1" x14ac:dyDescent="0.25"/>
    <row r="268930" customFormat="1" x14ac:dyDescent="0.25"/>
    <row r="268931" customFormat="1" x14ac:dyDescent="0.25"/>
    <row r="268932" customFormat="1" x14ac:dyDescent="0.25"/>
    <row r="268933" customFormat="1" x14ac:dyDescent="0.25"/>
    <row r="268934" customFormat="1" x14ac:dyDescent="0.25"/>
    <row r="268935" customFormat="1" x14ac:dyDescent="0.25"/>
    <row r="268936" customFormat="1" x14ac:dyDescent="0.25"/>
    <row r="268937" customFormat="1" x14ac:dyDescent="0.25"/>
    <row r="268938" customFormat="1" x14ac:dyDescent="0.25"/>
    <row r="268939" customFormat="1" x14ac:dyDescent="0.25"/>
    <row r="268940" customFormat="1" x14ac:dyDescent="0.25"/>
    <row r="268941" customFormat="1" x14ac:dyDescent="0.25"/>
    <row r="268942" customFormat="1" x14ac:dyDescent="0.25"/>
    <row r="268943" customFormat="1" x14ac:dyDescent="0.25"/>
    <row r="268944" customFormat="1" x14ac:dyDescent="0.25"/>
    <row r="268945" customFormat="1" x14ac:dyDescent="0.25"/>
    <row r="268946" customFormat="1" x14ac:dyDescent="0.25"/>
    <row r="268947" customFormat="1" x14ac:dyDescent="0.25"/>
    <row r="268948" customFormat="1" x14ac:dyDescent="0.25"/>
    <row r="268949" customFormat="1" x14ac:dyDescent="0.25"/>
    <row r="268950" customFormat="1" x14ac:dyDescent="0.25"/>
    <row r="268951" customFormat="1" x14ac:dyDescent="0.25"/>
    <row r="268952" customFormat="1" x14ac:dyDescent="0.25"/>
    <row r="268953" customFormat="1" x14ac:dyDescent="0.25"/>
    <row r="268954" customFormat="1" x14ac:dyDescent="0.25"/>
    <row r="268955" customFormat="1" x14ac:dyDescent="0.25"/>
    <row r="268956" customFormat="1" x14ac:dyDescent="0.25"/>
    <row r="268957" customFormat="1" x14ac:dyDescent="0.25"/>
    <row r="268958" customFormat="1" x14ac:dyDescent="0.25"/>
    <row r="268959" customFormat="1" x14ac:dyDescent="0.25"/>
    <row r="268960" customFormat="1" x14ac:dyDescent="0.25"/>
    <row r="268961" customFormat="1" x14ac:dyDescent="0.25"/>
    <row r="268962" customFormat="1" x14ac:dyDescent="0.25"/>
    <row r="268963" customFormat="1" x14ac:dyDescent="0.25"/>
    <row r="268964" customFormat="1" x14ac:dyDescent="0.25"/>
    <row r="268965" customFormat="1" x14ac:dyDescent="0.25"/>
    <row r="268966" customFormat="1" x14ac:dyDescent="0.25"/>
    <row r="268967" customFormat="1" x14ac:dyDescent="0.25"/>
    <row r="268968" customFormat="1" x14ac:dyDescent="0.25"/>
    <row r="268969" customFormat="1" x14ac:dyDescent="0.25"/>
    <row r="268970" customFormat="1" x14ac:dyDescent="0.25"/>
    <row r="268971" customFormat="1" x14ac:dyDescent="0.25"/>
    <row r="268972" customFormat="1" x14ac:dyDescent="0.25"/>
    <row r="268973" customFormat="1" x14ac:dyDescent="0.25"/>
    <row r="268974" customFormat="1" x14ac:dyDescent="0.25"/>
    <row r="268975" customFormat="1" x14ac:dyDescent="0.25"/>
    <row r="268976" customFormat="1" x14ac:dyDescent="0.25"/>
    <row r="268977" customFormat="1" x14ac:dyDescent="0.25"/>
    <row r="268978" customFormat="1" x14ac:dyDescent="0.25"/>
    <row r="268979" customFormat="1" x14ac:dyDescent="0.25"/>
    <row r="268980" customFormat="1" x14ac:dyDescent="0.25"/>
    <row r="268981" customFormat="1" x14ac:dyDescent="0.25"/>
    <row r="268982" customFormat="1" x14ac:dyDescent="0.25"/>
    <row r="268983" customFormat="1" x14ac:dyDescent="0.25"/>
    <row r="268984" customFormat="1" x14ac:dyDescent="0.25"/>
    <row r="268985" customFormat="1" x14ac:dyDescent="0.25"/>
    <row r="268986" customFormat="1" x14ac:dyDescent="0.25"/>
    <row r="268987" customFormat="1" x14ac:dyDescent="0.25"/>
    <row r="268988" customFormat="1" x14ac:dyDescent="0.25"/>
    <row r="268989" customFormat="1" x14ac:dyDescent="0.25"/>
    <row r="268990" customFormat="1" x14ac:dyDescent="0.25"/>
    <row r="268991" customFormat="1" x14ac:dyDescent="0.25"/>
    <row r="268992" customFormat="1" x14ac:dyDescent="0.25"/>
    <row r="268993" customFormat="1" x14ac:dyDescent="0.25"/>
    <row r="268994" customFormat="1" x14ac:dyDescent="0.25"/>
    <row r="268995" customFormat="1" x14ac:dyDescent="0.25"/>
    <row r="268996" customFormat="1" x14ac:dyDescent="0.25"/>
    <row r="268997" customFormat="1" x14ac:dyDescent="0.25"/>
    <row r="268998" customFormat="1" x14ac:dyDescent="0.25"/>
    <row r="268999" customFormat="1" x14ac:dyDescent="0.25"/>
    <row r="269000" customFormat="1" x14ac:dyDescent="0.25"/>
    <row r="269001" customFormat="1" x14ac:dyDescent="0.25"/>
    <row r="269002" customFormat="1" x14ac:dyDescent="0.25"/>
    <row r="269003" customFormat="1" x14ac:dyDescent="0.25"/>
    <row r="269004" customFormat="1" x14ac:dyDescent="0.25"/>
    <row r="269005" customFormat="1" x14ac:dyDescent="0.25"/>
    <row r="269006" customFormat="1" x14ac:dyDescent="0.25"/>
    <row r="269007" customFormat="1" x14ac:dyDescent="0.25"/>
    <row r="269008" customFormat="1" x14ac:dyDescent="0.25"/>
    <row r="269009" customFormat="1" x14ac:dyDescent="0.25"/>
    <row r="269010" customFormat="1" x14ac:dyDescent="0.25"/>
    <row r="269011" customFormat="1" x14ac:dyDescent="0.25"/>
    <row r="269012" customFormat="1" x14ac:dyDescent="0.25"/>
    <row r="269013" customFormat="1" x14ac:dyDescent="0.25"/>
    <row r="269014" customFormat="1" x14ac:dyDescent="0.25"/>
    <row r="269015" customFormat="1" x14ac:dyDescent="0.25"/>
    <row r="269016" customFormat="1" x14ac:dyDescent="0.25"/>
    <row r="269017" customFormat="1" x14ac:dyDescent="0.25"/>
    <row r="269018" customFormat="1" x14ac:dyDescent="0.25"/>
    <row r="269019" customFormat="1" x14ac:dyDescent="0.25"/>
    <row r="269020" customFormat="1" x14ac:dyDescent="0.25"/>
    <row r="269021" customFormat="1" x14ac:dyDescent="0.25"/>
    <row r="269022" customFormat="1" x14ac:dyDescent="0.25"/>
    <row r="269023" customFormat="1" x14ac:dyDescent="0.25"/>
    <row r="269024" customFormat="1" x14ac:dyDescent="0.25"/>
    <row r="269025" customFormat="1" x14ac:dyDescent="0.25"/>
    <row r="269026" customFormat="1" x14ac:dyDescent="0.25"/>
    <row r="269027" customFormat="1" x14ac:dyDescent="0.25"/>
    <row r="269028" customFormat="1" x14ac:dyDescent="0.25"/>
    <row r="269029" customFormat="1" x14ac:dyDescent="0.25"/>
    <row r="269030" customFormat="1" x14ac:dyDescent="0.25"/>
    <row r="269031" customFormat="1" x14ac:dyDescent="0.25"/>
    <row r="269032" customFormat="1" x14ac:dyDescent="0.25"/>
    <row r="269033" customFormat="1" x14ac:dyDescent="0.25"/>
    <row r="269034" customFormat="1" x14ac:dyDescent="0.25"/>
    <row r="269035" customFormat="1" x14ac:dyDescent="0.25"/>
    <row r="269036" customFormat="1" x14ac:dyDescent="0.25"/>
    <row r="269037" customFormat="1" x14ac:dyDescent="0.25"/>
    <row r="269038" customFormat="1" x14ac:dyDescent="0.25"/>
    <row r="269039" customFormat="1" x14ac:dyDescent="0.25"/>
    <row r="269040" customFormat="1" x14ac:dyDescent="0.25"/>
    <row r="269041" customFormat="1" x14ac:dyDescent="0.25"/>
    <row r="269042" customFormat="1" x14ac:dyDescent="0.25"/>
    <row r="269043" customFormat="1" x14ac:dyDescent="0.25"/>
    <row r="269044" customFormat="1" x14ac:dyDescent="0.25"/>
    <row r="269045" customFormat="1" x14ac:dyDescent="0.25"/>
    <row r="269046" customFormat="1" x14ac:dyDescent="0.25"/>
    <row r="269047" customFormat="1" x14ac:dyDescent="0.25"/>
    <row r="269048" customFormat="1" x14ac:dyDescent="0.25"/>
    <row r="269049" customFormat="1" x14ac:dyDescent="0.25"/>
    <row r="269050" customFormat="1" x14ac:dyDescent="0.25"/>
    <row r="269051" customFormat="1" x14ac:dyDescent="0.25"/>
    <row r="269052" customFormat="1" x14ac:dyDescent="0.25"/>
    <row r="269053" customFormat="1" x14ac:dyDescent="0.25"/>
    <row r="269054" customFormat="1" x14ac:dyDescent="0.25"/>
    <row r="269055" customFormat="1" x14ac:dyDescent="0.25"/>
    <row r="269056" customFormat="1" x14ac:dyDescent="0.25"/>
    <row r="269057" customFormat="1" x14ac:dyDescent="0.25"/>
    <row r="269058" customFormat="1" x14ac:dyDescent="0.25"/>
    <row r="269059" customFormat="1" x14ac:dyDescent="0.25"/>
    <row r="269060" customFormat="1" x14ac:dyDescent="0.25"/>
    <row r="269061" customFormat="1" x14ac:dyDescent="0.25"/>
    <row r="269062" customFormat="1" x14ac:dyDescent="0.25"/>
    <row r="269063" customFormat="1" x14ac:dyDescent="0.25"/>
    <row r="269064" customFormat="1" x14ac:dyDescent="0.25"/>
    <row r="269065" customFormat="1" x14ac:dyDescent="0.25"/>
    <row r="269066" customFormat="1" x14ac:dyDescent="0.25"/>
    <row r="269067" customFormat="1" x14ac:dyDescent="0.25"/>
    <row r="269068" customFormat="1" x14ac:dyDescent="0.25"/>
    <row r="269069" customFormat="1" x14ac:dyDescent="0.25"/>
    <row r="269070" customFormat="1" x14ac:dyDescent="0.25"/>
    <row r="269071" customFormat="1" x14ac:dyDescent="0.25"/>
    <row r="269072" customFormat="1" x14ac:dyDescent="0.25"/>
    <row r="269073" customFormat="1" x14ac:dyDescent="0.25"/>
    <row r="269074" customFormat="1" x14ac:dyDescent="0.25"/>
    <row r="269075" customFormat="1" x14ac:dyDescent="0.25"/>
    <row r="269076" customFormat="1" x14ac:dyDescent="0.25"/>
    <row r="269077" customFormat="1" x14ac:dyDescent="0.25"/>
    <row r="269078" customFormat="1" x14ac:dyDescent="0.25"/>
    <row r="269079" customFormat="1" x14ac:dyDescent="0.25"/>
    <row r="269080" customFormat="1" x14ac:dyDescent="0.25"/>
    <row r="269081" customFormat="1" x14ac:dyDescent="0.25"/>
    <row r="269082" customFormat="1" x14ac:dyDescent="0.25"/>
    <row r="269083" customFormat="1" x14ac:dyDescent="0.25"/>
    <row r="269084" customFormat="1" x14ac:dyDescent="0.25"/>
    <row r="269085" customFormat="1" x14ac:dyDescent="0.25"/>
    <row r="269086" customFormat="1" x14ac:dyDescent="0.25"/>
    <row r="269087" customFormat="1" x14ac:dyDescent="0.25"/>
    <row r="269088" customFormat="1" x14ac:dyDescent="0.25"/>
    <row r="269089" customFormat="1" x14ac:dyDescent="0.25"/>
    <row r="269090" customFormat="1" x14ac:dyDescent="0.25"/>
    <row r="269091" customFormat="1" x14ac:dyDescent="0.25"/>
    <row r="269092" customFormat="1" x14ac:dyDescent="0.25"/>
    <row r="269093" customFormat="1" x14ac:dyDescent="0.25"/>
    <row r="269094" customFormat="1" x14ac:dyDescent="0.25"/>
    <row r="269095" customFormat="1" x14ac:dyDescent="0.25"/>
    <row r="269096" customFormat="1" x14ac:dyDescent="0.25"/>
    <row r="269097" customFormat="1" x14ac:dyDescent="0.25"/>
    <row r="269098" customFormat="1" x14ac:dyDescent="0.25"/>
    <row r="269099" customFormat="1" x14ac:dyDescent="0.25"/>
    <row r="269100" customFormat="1" x14ac:dyDescent="0.25"/>
    <row r="269101" customFormat="1" x14ac:dyDescent="0.25"/>
    <row r="269102" customFormat="1" x14ac:dyDescent="0.25"/>
    <row r="269103" customFormat="1" x14ac:dyDescent="0.25"/>
    <row r="269104" customFormat="1" x14ac:dyDescent="0.25"/>
    <row r="269105" customFormat="1" x14ac:dyDescent="0.25"/>
    <row r="269106" customFormat="1" x14ac:dyDescent="0.25"/>
    <row r="269107" customFormat="1" x14ac:dyDescent="0.25"/>
    <row r="269108" customFormat="1" x14ac:dyDescent="0.25"/>
    <row r="269109" customFormat="1" x14ac:dyDescent="0.25"/>
    <row r="269110" customFormat="1" x14ac:dyDescent="0.25"/>
    <row r="269111" customFormat="1" x14ac:dyDescent="0.25"/>
    <row r="269112" customFormat="1" x14ac:dyDescent="0.25"/>
    <row r="269113" customFormat="1" x14ac:dyDescent="0.25"/>
    <row r="269114" customFormat="1" x14ac:dyDescent="0.25"/>
    <row r="269115" customFormat="1" x14ac:dyDescent="0.25"/>
    <row r="269116" customFormat="1" x14ac:dyDescent="0.25"/>
    <row r="269117" customFormat="1" x14ac:dyDescent="0.25"/>
    <row r="269118" customFormat="1" x14ac:dyDescent="0.25"/>
    <row r="269119" customFormat="1" x14ac:dyDescent="0.25"/>
    <row r="269120" customFormat="1" x14ac:dyDescent="0.25"/>
    <row r="269121" customFormat="1" x14ac:dyDescent="0.25"/>
    <row r="269122" customFormat="1" x14ac:dyDescent="0.25"/>
    <row r="269123" customFormat="1" x14ac:dyDescent="0.25"/>
    <row r="269124" customFormat="1" x14ac:dyDescent="0.25"/>
    <row r="269125" customFormat="1" x14ac:dyDescent="0.25"/>
    <row r="269126" customFormat="1" x14ac:dyDescent="0.25"/>
    <row r="269127" customFormat="1" x14ac:dyDescent="0.25"/>
    <row r="269128" customFormat="1" x14ac:dyDescent="0.25"/>
    <row r="269129" customFormat="1" x14ac:dyDescent="0.25"/>
    <row r="269130" customFormat="1" x14ac:dyDescent="0.25"/>
    <row r="269131" customFormat="1" x14ac:dyDescent="0.25"/>
    <row r="269132" customFormat="1" x14ac:dyDescent="0.25"/>
    <row r="269133" customFormat="1" x14ac:dyDescent="0.25"/>
    <row r="269134" customFormat="1" x14ac:dyDescent="0.25"/>
    <row r="269135" customFormat="1" x14ac:dyDescent="0.25"/>
    <row r="269136" customFormat="1" x14ac:dyDescent="0.25"/>
    <row r="269137" customFormat="1" x14ac:dyDescent="0.25"/>
    <row r="269138" customFormat="1" x14ac:dyDescent="0.25"/>
    <row r="269139" customFormat="1" x14ac:dyDescent="0.25"/>
    <row r="269140" customFormat="1" x14ac:dyDescent="0.25"/>
    <row r="269141" customFormat="1" x14ac:dyDescent="0.25"/>
    <row r="269142" customFormat="1" x14ac:dyDescent="0.25"/>
    <row r="269143" customFormat="1" x14ac:dyDescent="0.25"/>
    <row r="269144" customFormat="1" x14ac:dyDescent="0.25"/>
    <row r="269145" customFormat="1" x14ac:dyDescent="0.25"/>
    <row r="269146" customFormat="1" x14ac:dyDescent="0.25"/>
    <row r="269147" customFormat="1" x14ac:dyDescent="0.25"/>
    <row r="269148" customFormat="1" x14ac:dyDescent="0.25"/>
    <row r="269149" customFormat="1" x14ac:dyDescent="0.25"/>
    <row r="269150" customFormat="1" x14ac:dyDescent="0.25"/>
    <row r="269151" customFormat="1" x14ac:dyDescent="0.25"/>
    <row r="269152" customFormat="1" x14ac:dyDescent="0.25"/>
    <row r="269153" customFormat="1" x14ac:dyDescent="0.25"/>
    <row r="269154" customFormat="1" x14ac:dyDescent="0.25"/>
    <row r="269155" customFormat="1" x14ac:dyDescent="0.25"/>
    <row r="269156" customFormat="1" x14ac:dyDescent="0.25"/>
    <row r="269157" customFormat="1" x14ac:dyDescent="0.25"/>
    <row r="269158" customFormat="1" x14ac:dyDescent="0.25"/>
    <row r="269159" customFormat="1" x14ac:dyDescent="0.25"/>
    <row r="269160" customFormat="1" x14ac:dyDescent="0.25"/>
    <row r="269161" customFormat="1" x14ac:dyDescent="0.25"/>
    <row r="269162" customFormat="1" x14ac:dyDescent="0.25"/>
    <row r="269163" customFormat="1" x14ac:dyDescent="0.25"/>
    <row r="269164" customFormat="1" x14ac:dyDescent="0.25"/>
    <row r="269165" customFormat="1" x14ac:dyDescent="0.25"/>
    <row r="269166" customFormat="1" x14ac:dyDescent="0.25"/>
    <row r="269167" customFormat="1" x14ac:dyDescent="0.25"/>
    <row r="269168" customFormat="1" x14ac:dyDescent="0.25"/>
    <row r="269169" customFormat="1" x14ac:dyDescent="0.25"/>
    <row r="269170" customFormat="1" x14ac:dyDescent="0.25"/>
    <row r="269171" customFormat="1" x14ac:dyDescent="0.25"/>
    <row r="269172" customFormat="1" x14ac:dyDescent="0.25"/>
    <row r="269173" customFormat="1" x14ac:dyDescent="0.25"/>
    <row r="269174" customFormat="1" x14ac:dyDescent="0.25"/>
    <row r="269175" customFormat="1" x14ac:dyDescent="0.25"/>
    <row r="269176" customFormat="1" x14ac:dyDescent="0.25"/>
    <row r="269177" customFormat="1" x14ac:dyDescent="0.25"/>
    <row r="269178" customFormat="1" x14ac:dyDescent="0.25"/>
    <row r="269179" customFormat="1" x14ac:dyDescent="0.25"/>
    <row r="269180" customFormat="1" x14ac:dyDescent="0.25"/>
    <row r="269181" customFormat="1" x14ac:dyDescent="0.25"/>
    <row r="269182" customFormat="1" x14ac:dyDescent="0.25"/>
    <row r="269183" customFormat="1" x14ac:dyDescent="0.25"/>
    <row r="269184" customFormat="1" x14ac:dyDescent="0.25"/>
    <row r="269185" customFormat="1" x14ac:dyDescent="0.25"/>
    <row r="269186" customFormat="1" x14ac:dyDescent="0.25"/>
    <row r="269187" customFormat="1" x14ac:dyDescent="0.25"/>
    <row r="269188" customFormat="1" x14ac:dyDescent="0.25"/>
    <row r="269189" customFormat="1" x14ac:dyDescent="0.25"/>
    <row r="269190" customFormat="1" x14ac:dyDescent="0.25"/>
    <row r="269191" customFormat="1" x14ac:dyDescent="0.25"/>
    <row r="269192" customFormat="1" x14ac:dyDescent="0.25"/>
    <row r="269193" customFormat="1" x14ac:dyDescent="0.25"/>
    <row r="269194" customFormat="1" x14ac:dyDescent="0.25"/>
    <row r="269195" customFormat="1" x14ac:dyDescent="0.25"/>
    <row r="269196" customFormat="1" x14ac:dyDescent="0.25"/>
    <row r="269197" customFormat="1" x14ac:dyDescent="0.25"/>
    <row r="269198" customFormat="1" x14ac:dyDescent="0.25"/>
    <row r="269199" customFormat="1" x14ac:dyDescent="0.25"/>
    <row r="269200" customFormat="1" x14ac:dyDescent="0.25"/>
    <row r="269201" customFormat="1" x14ac:dyDescent="0.25"/>
    <row r="269202" customFormat="1" x14ac:dyDescent="0.25"/>
    <row r="269203" customFormat="1" x14ac:dyDescent="0.25"/>
    <row r="269204" customFormat="1" x14ac:dyDescent="0.25"/>
    <row r="269205" customFormat="1" x14ac:dyDescent="0.25"/>
    <row r="269206" customFormat="1" x14ac:dyDescent="0.25"/>
    <row r="269207" customFormat="1" x14ac:dyDescent="0.25"/>
    <row r="269208" customFormat="1" x14ac:dyDescent="0.25"/>
    <row r="269209" customFormat="1" x14ac:dyDescent="0.25"/>
    <row r="269210" customFormat="1" x14ac:dyDescent="0.25"/>
    <row r="269211" customFormat="1" x14ac:dyDescent="0.25"/>
    <row r="269212" customFormat="1" x14ac:dyDescent="0.25"/>
    <row r="269213" customFormat="1" x14ac:dyDescent="0.25"/>
    <row r="269214" customFormat="1" x14ac:dyDescent="0.25"/>
    <row r="269215" customFormat="1" x14ac:dyDescent="0.25"/>
    <row r="269216" customFormat="1" x14ac:dyDescent="0.25"/>
    <row r="269217" customFormat="1" x14ac:dyDescent="0.25"/>
    <row r="269218" customFormat="1" x14ac:dyDescent="0.25"/>
    <row r="269219" customFormat="1" x14ac:dyDescent="0.25"/>
    <row r="269220" customFormat="1" x14ac:dyDescent="0.25"/>
    <row r="269221" customFormat="1" x14ac:dyDescent="0.25"/>
    <row r="269222" customFormat="1" x14ac:dyDescent="0.25"/>
    <row r="269223" customFormat="1" x14ac:dyDescent="0.25"/>
    <row r="269224" customFormat="1" x14ac:dyDescent="0.25"/>
    <row r="269225" customFormat="1" x14ac:dyDescent="0.25"/>
    <row r="269226" customFormat="1" x14ac:dyDescent="0.25"/>
    <row r="269227" customFormat="1" x14ac:dyDescent="0.25"/>
    <row r="269228" customFormat="1" x14ac:dyDescent="0.25"/>
    <row r="269229" customFormat="1" x14ac:dyDescent="0.25"/>
    <row r="269230" customFormat="1" x14ac:dyDescent="0.25"/>
    <row r="269231" customFormat="1" x14ac:dyDescent="0.25"/>
    <row r="269232" customFormat="1" x14ac:dyDescent="0.25"/>
    <row r="269233" customFormat="1" x14ac:dyDescent="0.25"/>
    <row r="269234" customFormat="1" x14ac:dyDescent="0.25"/>
    <row r="269235" customFormat="1" x14ac:dyDescent="0.25"/>
    <row r="269236" customFormat="1" x14ac:dyDescent="0.25"/>
    <row r="269237" customFormat="1" x14ac:dyDescent="0.25"/>
    <row r="269238" customFormat="1" x14ac:dyDescent="0.25"/>
    <row r="269239" customFormat="1" x14ac:dyDescent="0.25"/>
    <row r="269240" customFormat="1" x14ac:dyDescent="0.25"/>
    <row r="269241" customFormat="1" x14ac:dyDescent="0.25"/>
    <row r="269242" customFormat="1" x14ac:dyDescent="0.25"/>
    <row r="269243" customFormat="1" x14ac:dyDescent="0.25"/>
    <row r="269244" customFormat="1" x14ac:dyDescent="0.25"/>
    <row r="269245" customFormat="1" x14ac:dyDescent="0.25"/>
    <row r="269246" customFormat="1" x14ac:dyDescent="0.25"/>
    <row r="269247" customFormat="1" x14ac:dyDescent="0.25"/>
    <row r="269248" customFormat="1" x14ac:dyDescent="0.25"/>
    <row r="269249" customFormat="1" x14ac:dyDescent="0.25"/>
    <row r="269250" customFormat="1" x14ac:dyDescent="0.25"/>
    <row r="269251" customFormat="1" x14ac:dyDescent="0.25"/>
    <row r="269252" customFormat="1" x14ac:dyDescent="0.25"/>
    <row r="269253" customFormat="1" x14ac:dyDescent="0.25"/>
    <row r="269254" customFormat="1" x14ac:dyDescent="0.25"/>
    <row r="269255" customFormat="1" x14ac:dyDescent="0.25"/>
    <row r="269256" customFormat="1" x14ac:dyDescent="0.25"/>
    <row r="269257" customFormat="1" x14ac:dyDescent="0.25"/>
    <row r="269258" customFormat="1" x14ac:dyDescent="0.25"/>
    <row r="269259" customFormat="1" x14ac:dyDescent="0.25"/>
    <row r="269260" customFormat="1" x14ac:dyDescent="0.25"/>
    <row r="269261" customFormat="1" x14ac:dyDescent="0.25"/>
    <row r="269262" customFormat="1" x14ac:dyDescent="0.25"/>
    <row r="269263" customFormat="1" x14ac:dyDescent="0.25"/>
    <row r="269264" customFormat="1" x14ac:dyDescent="0.25"/>
    <row r="269265" customFormat="1" x14ac:dyDescent="0.25"/>
    <row r="269266" customFormat="1" x14ac:dyDescent="0.25"/>
    <row r="269267" customFormat="1" x14ac:dyDescent="0.25"/>
    <row r="269268" customFormat="1" x14ac:dyDescent="0.25"/>
    <row r="269269" customFormat="1" x14ac:dyDescent="0.25"/>
    <row r="269270" customFormat="1" x14ac:dyDescent="0.25"/>
    <row r="269271" customFormat="1" x14ac:dyDescent="0.25"/>
    <row r="269272" customFormat="1" x14ac:dyDescent="0.25"/>
    <row r="269273" customFormat="1" x14ac:dyDescent="0.25"/>
    <row r="269274" customFormat="1" x14ac:dyDescent="0.25"/>
    <row r="269275" customFormat="1" x14ac:dyDescent="0.25"/>
    <row r="269276" customFormat="1" x14ac:dyDescent="0.25"/>
    <row r="269277" customFormat="1" x14ac:dyDescent="0.25"/>
    <row r="269278" customFormat="1" x14ac:dyDescent="0.25"/>
    <row r="269279" customFormat="1" x14ac:dyDescent="0.25"/>
    <row r="269280" customFormat="1" x14ac:dyDescent="0.25"/>
    <row r="269281" customFormat="1" x14ac:dyDescent="0.25"/>
    <row r="269282" customFormat="1" x14ac:dyDescent="0.25"/>
    <row r="269283" customFormat="1" x14ac:dyDescent="0.25"/>
    <row r="269284" customFormat="1" x14ac:dyDescent="0.25"/>
    <row r="269285" customFormat="1" x14ac:dyDescent="0.25"/>
    <row r="269286" customFormat="1" x14ac:dyDescent="0.25"/>
    <row r="269287" customFormat="1" x14ac:dyDescent="0.25"/>
    <row r="269288" customFormat="1" x14ac:dyDescent="0.25"/>
    <row r="269289" customFormat="1" x14ac:dyDescent="0.25"/>
    <row r="269290" customFormat="1" x14ac:dyDescent="0.25"/>
    <row r="269291" customFormat="1" x14ac:dyDescent="0.25"/>
    <row r="269292" customFormat="1" x14ac:dyDescent="0.25"/>
    <row r="269293" customFormat="1" x14ac:dyDescent="0.25"/>
    <row r="269294" customFormat="1" x14ac:dyDescent="0.25"/>
    <row r="269295" customFormat="1" x14ac:dyDescent="0.25"/>
    <row r="269296" customFormat="1" x14ac:dyDescent="0.25"/>
    <row r="269297" customFormat="1" x14ac:dyDescent="0.25"/>
    <row r="269298" customFormat="1" x14ac:dyDescent="0.25"/>
    <row r="269299" customFormat="1" x14ac:dyDescent="0.25"/>
    <row r="269300" customFormat="1" x14ac:dyDescent="0.25"/>
    <row r="269301" customFormat="1" x14ac:dyDescent="0.25"/>
    <row r="269302" customFormat="1" x14ac:dyDescent="0.25"/>
    <row r="269303" customFormat="1" x14ac:dyDescent="0.25"/>
    <row r="269304" customFormat="1" x14ac:dyDescent="0.25"/>
    <row r="269305" customFormat="1" x14ac:dyDescent="0.25"/>
    <row r="269306" customFormat="1" x14ac:dyDescent="0.25"/>
    <row r="269307" customFormat="1" x14ac:dyDescent="0.25"/>
    <row r="269308" customFormat="1" x14ac:dyDescent="0.25"/>
    <row r="269309" customFormat="1" x14ac:dyDescent="0.25"/>
    <row r="269310" customFormat="1" x14ac:dyDescent="0.25"/>
    <row r="269311" customFormat="1" x14ac:dyDescent="0.25"/>
    <row r="269312" customFormat="1" x14ac:dyDescent="0.25"/>
    <row r="269313" customFormat="1" x14ac:dyDescent="0.25"/>
    <row r="269314" customFormat="1" x14ac:dyDescent="0.25"/>
    <row r="269315" customFormat="1" x14ac:dyDescent="0.25"/>
    <row r="269316" customFormat="1" x14ac:dyDescent="0.25"/>
    <row r="269317" customFormat="1" x14ac:dyDescent="0.25"/>
    <row r="269318" customFormat="1" x14ac:dyDescent="0.25"/>
    <row r="269319" customFormat="1" x14ac:dyDescent="0.25"/>
    <row r="269320" customFormat="1" x14ac:dyDescent="0.25"/>
    <row r="269321" customFormat="1" x14ac:dyDescent="0.25"/>
    <row r="269322" customFormat="1" x14ac:dyDescent="0.25"/>
    <row r="269323" customFormat="1" x14ac:dyDescent="0.25"/>
    <row r="269324" customFormat="1" x14ac:dyDescent="0.25"/>
    <row r="269325" customFormat="1" x14ac:dyDescent="0.25"/>
    <row r="269326" customFormat="1" x14ac:dyDescent="0.25"/>
    <row r="269327" customFormat="1" x14ac:dyDescent="0.25"/>
    <row r="269328" customFormat="1" x14ac:dyDescent="0.25"/>
    <row r="269329" customFormat="1" x14ac:dyDescent="0.25"/>
    <row r="269330" customFormat="1" x14ac:dyDescent="0.25"/>
    <row r="269331" customFormat="1" x14ac:dyDescent="0.25"/>
    <row r="269332" customFormat="1" x14ac:dyDescent="0.25"/>
    <row r="269333" customFormat="1" x14ac:dyDescent="0.25"/>
    <row r="269334" customFormat="1" x14ac:dyDescent="0.25"/>
    <row r="269335" customFormat="1" x14ac:dyDescent="0.25"/>
    <row r="269336" customFormat="1" x14ac:dyDescent="0.25"/>
    <row r="269337" customFormat="1" x14ac:dyDescent="0.25"/>
    <row r="269338" customFormat="1" x14ac:dyDescent="0.25"/>
    <row r="269339" customFormat="1" x14ac:dyDescent="0.25"/>
    <row r="269340" customFormat="1" x14ac:dyDescent="0.25"/>
    <row r="269341" customFormat="1" x14ac:dyDescent="0.25"/>
    <row r="269342" customFormat="1" x14ac:dyDescent="0.25"/>
    <row r="269343" customFormat="1" x14ac:dyDescent="0.25"/>
    <row r="269344" customFormat="1" x14ac:dyDescent="0.25"/>
    <row r="269345" customFormat="1" x14ac:dyDescent="0.25"/>
    <row r="269346" customFormat="1" x14ac:dyDescent="0.25"/>
    <row r="269347" customFormat="1" x14ac:dyDescent="0.25"/>
    <row r="269348" customFormat="1" x14ac:dyDescent="0.25"/>
    <row r="269349" customFormat="1" x14ac:dyDescent="0.25"/>
    <row r="269350" customFormat="1" x14ac:dyDescent="0.25"/>
    <row r="269351" customFormat="1" x14ac:dyDescent="0.25"/>
    <row r="269352" customFormat="1" x14ac:dyDescent="0.25"/>
    <row r="269353" customFormat="1" x14ac:dyDescent="0.25"/>
    <row r="269354" customFormat="1" x14ac:dyDescent="0.25"/>
    <row r="269355" customFormat="1" x14ac:dyDescent="0.25"/>
    <row r="269356" customFormat="1" x14ac:dyDescent="0.25"/>
    <row r="269357" customFormat="1" x14ac:dyDescent="0.25"/>
    <row r="269358" customFormat="1" x14ac:dyDescent="0.25"/>
    <row r="269359" customFormat="1" x14ac:dyDescent="0.25"/>
    <row r="269360" customFormat="1" x14ac:dyDescent="0.25"/>
    <row r="269361" customFormat="1" x14ac:dyDescent="0.25"/>
    <row r="269362" customFormat="1" x14ac:dyDescent="0.25"/>
    <row r="269363" customFormat="1" x14ac:dyDescent="0.25"/>
    <row r="269364" customFormat="1" x14ac:dyDescent="0.25"/>
    <row r="269365" customFormat="1" x14ac:dyDescent="0.25"/>
    <row r="269366" customFormat="1" x14ac:dyDescent="0.25"/>
    <row r="269367" customFormat="1" x14ac:dyDescent="0.25"/>
    <row r="269368" customFormat="1" x14ac:dyDescent="0.25"/>
    <row r="269369" customFormat="1" x14ac:dyDescent="0.25"/>
    <row r="269370" customFormat="1" x14ac:dyDescent="0.25"/>
    <row r="269371" customFormat="1" x14ac:dyDescent="0.25"/>
    <row r="269372" customFormat="1" x14ac:dyDescent="0.25"/>
    <row r="269373" customFormat="1" x14ac:dyDescent="0.25"/>
    <row r="269374" customFormat="1" x14ac:dyDescent="0.25"/>
    <row r="269375" customFormat="1" x14ac:dyDescent="0.25"/>
    <row r="269376" customFormat="1" x14ac:dyDescent="0.25"/>
    <row r="269377" customFormat="1" x14ac:dyDescent="0.25"/>
    <row r="269378" customFormat="1" x14ac:dyDescent="0.25"/>
    <row r="269379" customFormat="1" x14ac:dyDescent="0.25"/>
    <row r="269380" customFormat="1" x14ac:dyDescent="0.25"/>
    <row r="269381" customFormat="1" x14ac:dyDescent="0.25"/>
    <row r="269382" customFormat="1" x14ac:dyDescent="0.25"/>
    <row r="269383" customFormat="1" x14ac:dyDescent="0.25"/>
    <row r="269384" customFormat="1" x14ac:dyDescent="0.25"/>
    <row r="269385" customFormat="1" x14ac:dyDescent="0.25"/>
    <row r="269386" customFormat="1" x14ac:dyDescent="0.25"/>
    <row r="269387" customFormat="1" x14ac:dyDescent="0.25"/>
    <row r="269388" customFormat="1" x14ac:dyDescent="0.25"/>
    <row r="269389" customFormat="1" x14ac:dyDescent="0.25"/>
    <row r="269390" customFormat="1" x14ac:dyDescent="0.25"/>
    <row r="269391" customFormat="1" x14ac:dyDescent="0.25"/>
    <row r="269392" customFormat="1" x14ac:dyDescent="0.25"/>
    <row r="269393" customFormat="1" x14ac:dyDescent="0.25"/>
    <row r="269394" customFormat="1" x14ac:dyDescent="0.25"/>
    <row r="269395" customFormat="1" x14ac:dyDescent="0.25"/>
    <row r="269396" customFormat="1" x14ac:dyDescent="0.25"/>
    <row r="269397" customFormat="1" x14ac:dyDescent="0.25"/>
    <row r="269398" customFormat="1" x14ac:dyDescent="0.25"/>
    <row r="269399" customFormat="1" x14ac:dyDescent="0.25"/>
    <row r="269400" customFormat="1" x14ac:dyDescent="0.25"/>
    <row r="269401" customFormat="1" x14ac:dyDescent="0.25"/>
    <row r="269402" customFormat="1" x14ac:dyDescent="0.25"/>
    <row r="269403" customFormat="1" x14ac:dyDescent="0.25"/>
    <row r="269404" customFormat="1" x14ac:dyDescent="0.25"/>
    <row r="269405" customFormat="1" x14ac:dyDescent="0.25"/>
    <row r="269406" customFormat="1" x14ac:dyDescent="0.25"/>
    <row r="269407" customFormat="1" x14ac:dyDescent="0.25"/>
    <row r="269408" customFormat="1" x14ac:dyDescent="0.25"/>
    <row r="269409" customFormat="1" x14ac:dyDescent="0.25"/>
    <row r="269410" customFormat="1" x14ac:dyDescent="0.25"/>
    <row r="269411" customFormat="1" x14ac:dyDescent="0.25"/>
    <row r="269412" customFormat="1" x14ac:dyDescent="0.25"/>
    <row r="269413" customFormat="1" x14ac:dyDescent="0.25"/>
    <row r="269414" customFormat="1" x14ac:dyDescent="0.25"/>
    <row r="269415" customFormat="1" x14ac:dyDescent="0.25"/>
    <row r="269416" customFormat="1" x14ac:dyDescent="0.25"/>
    <row r="269417" customFormat="1" x14ac:dyDescent="0.25"/>
    <row r="269418" customFormat="1" x14ac:dyDescent="0.25"/>
    <row r="269419" customFormat="1" x14ac:dyDescent="0.25"/>
    <row r="269420" customFormat="1" x14ac:dyDescent="0.25"/>
    <row r="269421" customFormat="1" x14ac:dyDescent="0.25"/>
    <row r="269422" customFormat="1" x14ac:dyDescent="0.25"/>
    <row r="269423" customFormat="1" x14ac:dyDescent="0.25"/>
    <row r="269424" customFormat="1" x14ac:dyDescent="0.25"/>
    <row r="269425" customFormat="1" x14ac:dyDescent="0.25"/>
    <row r="269426" customFormat="1" x14ac:dyDescent="0.25"/>
    <row r="269427" customFormat="1" x14ac:dyDescent="0.25"/>
    <row r="269428" customFormat="1" x14ac:dyDescent="0.25"/>
    <row r="269429" customFormat="1" x14ac:dyDescent="0.25"/>
    <row r="269430" customFormat="1" x14ac:dyDescent="0.25"/>
    <row r="269431" customFormat="1" x14ac:dyDescent="0.25"/>
    <row r="269432" customFormat="1" x14ac:dyDescent="0.25"/>
    <row r="269433" customFormat="1" x14ac:dyDescent="0.25"/>
    <row r="269434" customFormat="1" x14ac:dyDescent="0.25"/>
    <row r="269435" customFormat="1" x14ac:dyDescent="0.25"/>
    <row r="269436" customFormat="1" x14ac:dyDescent="0.25"/>
    <row r="269437" customFormat="1" x14ac:dyDescent="0.25"/>
    <row r="269438" customFormat="1" x14ac:dyDescent="0.25"/>
    <row r="269439" customFormat="1" x14ac:dyDescent="0.25"/>
    <row r="269440" customFormat="1" x14ac:dyDescent="0.25"/>
    <row r="269441" customFormat="1" x14ac:dyDescent="0.25"/>
    <row r="269442" customFormat="1" x14ac:dyDescent="0.25"/>
    <row r="269443" customFormat="1" x14ac:dyDescent="0.25"/>
    <row r="269444" customFormat="1" x14ac:dyDescent="0.25"/>
    <row r="269445" customFormat="1" x14ac:dyDescent="0.25"/>
    <row r="269446" customFormat="1" x14ac:dyDescent="0.25"/>
    <row r="269447" customFormat="1" x14ac:dyDescent="0.25"/>
    <row r="269448" customFormat="1" x14ac:dyDescent="0.25"/>
    <row r="269449" customFormat="1" x14ac:dyDescent="0.25"/>
    <row r="269450" customFormat="1" x14ac:dyDescent="0.25"/>
    <row r="269451" customFormat="1" x14ac:dyDescent="0.25"/>
    <row r="269452" customFormat="1" x14ac:dyDescent="0.25"/>
    <row r="269453" customFormat="1" x14ac:dyDescent="0.25"/>
    <row r="269454" customFormat="1" x14ac:dyDescent="0.25"/>
    <row r="269455" customFormat="1" x14ac:dyDescent="0.25"/>
    <row r="269456" customFormat="1" x14ac:dyDescent="0.25"/>
    <row r="269457" customFormat="1" x14ac:dyDescent="0.25"/>
    <row r="269458" customFormat="1" x14ac:dyDescent="0.25"/>
    <row r="269459" customFormat="1" x14ac:dyDescent="0.25"/>
    <row r="269460" customFormat="1" x14ac:dyDescent="0.25"/>
    <row r="269461" customFormat="1" x14ac:dyDescent="0.25"/>
    <row r="269462" customFormat="1" x14ac:dyDescent="0.25"/>
    <row r="269463" customFormat="1" x14ac:dyDescent="0.25"/>
    <row r="269464" customFormat="1" x14ac:dyDescent="0.25"/>
    <row r="269465" customFormat="1" x14ac:dyDescent="0.25"/>
    <row r="269466" customFormat="1" x14ac:dyDescent="0.25"/>
    <row r="269467" customFormat="1" x14ac:dyDescent="0.25"/>
    <row r="269468" customFormat="1" x14ac:dyDescent="0.25"/>
    <row r="269469" customFormat="1" x14ac:dyDescent="0.25"/>
    <row r="269470" customFormat="1" x14ac:dyDescent="0.25"/>
    <row r="269471" customFormat="1" x14ac:dyDescent="0.25"/>
    <row r="269472" customFormat="1" x14ac:dyDescent="0.25"/>
    <row r="269473" customFormat="1" x14ac:dyDescent="0.25"/>
    <row r="269474" customFormat="1" x14ac:dyDescent="0.25"/>
    <row r="269475" customFormat="1" x14ac:dyDescent="0.25"/>
    <row r="269476" customFormat="1" x14ac:dyDescent="0.25"/>
    <row r="269477" customFormat="1" x14ac:dyDescent="0.25"/>
    <row r="269478" customFormat="1" x14ac:dyDescent="0.25"/>
    <row r="269479" customFormat="1" x14ac:dyDescent="0.25"/>
    <row r="269480" customFormat="1" x14ac:dyDescent="0.25"/>
    <row r="269481" customFormat="1" x14ac:dyDescent="0.25"/>
    <row r="269482" customFormat="1" x14ac:dyDescent="0.25"/>
    <row r="269483" customFormat="1" x14ac:dyDescent="0.25"/>
    <row r="269484" customFormat="1" x14ac:dyDescent="0.25"/>
    <row r="269485" customFormat="1" x14ac:dyDescent="0.25"/>
    <row r="269486" customFormat="1" x14ac:dyDescent="0.25"/>
    <row r="269487" customFormat="1" x14ac:dyDescent="0.25"/>
    <row r="269488" customFormat="1" x14ac:dyDescent="0.25"/>
    <row r="269489" customFormat="1" x14ac:dyDescent="0.25"/>
    <row r="269490" customFormat="1" x14ac:dyDescent="0.25"/>
    <row r="269491" customFormat="1" x14ac:dyDescent="0.25"/>
    <row r="269492" customFormat="1" x14ac:dyDescent="0.25"/>
    <row r="269493" customFormat="1" x14ac:dyDescent="0.25"/>
    <row r="269494" customFormat="1" x14ac:dyDescent="0.25"/>
    <row r="269495" customFormat="1" x14ac:dyDescent="0.25"/>
    <row r="269496" customFormat="1" x14ac:dyDescent="0.25"/>
    <row r="269497" customFormat="1" x14ac:dyDescent="0.25"/>
    <row r="269498" customFormat="1" x14ac:dyDescent="0.25"/>
    <row r="269499" customFormat="1" x14ac:dyDescent="0.25"/>
    <row r="269500" customFormat="1" x14ac:dyDescent="0.25"/>
    <row r="269501" customFormat="1" x14ac:dyDescent="0.25"/>
    <row r="269502" customFormat="1" x14ac:dyDescent="0.25"/>
    <row r="269503" customFormat="1" x14ac:dyDescent="0.25"/>
    <row r="269504" customFormat="1" x14ac:dyDescent="0.25"/>
    <row r="269505" customFormat="1" x14ac:dyDescent="0.25"/>
    <row r="269506" customFormat="1" x14ac:dyDescent="0.25"/>
    <row r="269507" customFormat="1" x14ac:dyDescent="0.25"/>
    <row r="269508" customFormat="1" x14ac:dyDescent="0.25"/>
    <row r="269509" customFormat="1" x14ac:dyDescent="0.25"/>
    <row r="269510" customFormat="1" x14ac:dyDescent="0.25"/>
    <row r="269511" customFormat="1" x14ac:dyDescent="0.25"/>
    <row r="269512" customFormat="1" x14ac:dyDescent="0.25"/>
    <row r="269513" customFormat="1" x14ac:dyDescent="0.25"/>
    <row r="269514" customFormat="1" x14ac:dyDescent="0.25"/>
    <row r="269515" customFormat="1" x14ac:dyDescent="0.25"/>
    <row r="269516" customFormat="1" x14ac:dyDescent="0.25"/>
    <row r="269517" customFormat="1" x14ac:dyDescent="0.25"/>
    <row r="269518" customFormat="1" x14ac:dyDescent="0.25"/>
    <row r="269519" customFormat="1" x14ac:dyDescent="0.25"/>
    <row r="269520" customFormat="1" x14ac:dyDescent="0.25"/>
    <row r="269521" customFormat="1" x14ac:dyDescent="0.25"/>
    <row r="269522" customFormat="1" x14ac:dyDescent="0.25"/>
    <row r="269523" customFormat="1" x14ac:dyDescent="0.25"/>
    <row r="269524" customFormat="1" x14ac:dyDescent="0.25"/>
    <row r="269525" customFormat="1" x14ac:dyDescent="0.25"/>
    <row r="269526" customFormat="1" x14ac:dyDescent="0.25"/>
    <row r="269527" customFormat="1" x14ac:dyDescent="0.25"/>
    <row r="269528" customFormat="1" x14ac:dyDescent="0.25"/>
    <row r="269529" customFormat="1" x14ac:dyDescent="0.25"/>
    <row r="269530" customFormat="1" x14ac:dyDescent="0.25"/>
    <row r="269531" customFormat="1" x14ac:dyDescent="0.25"/>
    <row r="269532" customFormat="1" x14ac:dyDescent="0.25"/>
    <row r="269533" customFormat="1" x14ac:dyDescent="0.25"/>
    <row r="269534" customFormat="1" x14ac:dyDescent="0.25"/>
    <row r="269535" customFormat="1" x14ac:dyDescent="0.25"/>
    <row r="269536" customFormat="1" x14ac:dyDescent="0.25"/>
    <row r="269537" customFormat="1" x14ac:dyDescent="0.25"/>
    <row r="269538" customFormat="1" x14ac:dyDescent="0.25"/>
    <row r="269539" customFormat="1" x14ac:dyDescent="0.25"/>
    <row r="269540" customFormat="1" x14ac:dyDescent="0.25"/>
    <row r="269541" customFormat="1" x14ac:dyDescent="0.25"/>
    <row r="269542" customFormat="1" x14ac:dyDescent="0.25"/>
    <row r="269543" customFormat="1" x14ac:dyDescent="0.25"/>
    <row r="269544" customFormat="1" x14ac:dyDescent="0.25"/>
    <row r="269545" customFormat="1" x14ac:dyDescent="0.25"/>
    <row r="269546" customFormat="1" x14ac:dyDescent="0.25"/>
    <row r="269547" customFormat="1" x14ac:dyDescent="0.25"/>
    <row r="269548" customFormat="1" x14ac:dyDescent="0.25"/>
    <row r="269549" customFormat="1" x14ac:dyDescent="0.25"/>
    <row r="269550" customFormat="1" x14ac:dyDescent="0.25"/>
    <row r="269551" customFormat="1" x14ac:dyDescent="0.25"/>
    <row r="269552" customFormat="1" x14ac:dyDescent="0.25"/>
    <row r="269553" customFormat="1" x14ac:dyDescent="0.25"/>
    <row r="269554" customFormat="1" x14ac:dyDescent="0.25"/>
    <row r="269555" customFormat="1" x14ac:dyDescent="0.25"/>
    <row r="269556" customFormat="1" x14ac:dyDescent="0.25"/>
    <row r="269557" customFormat="1" x14ac:dyDescent="0.25"/>
    <row r="269558" customFormat="1" x14ac:dyDescent="0.25"/>
    <row r="269559" customFormat="1" x14ac:dyDescent="0.25"/>
    <row r="269560" customFormat="1" x14ac:dyDescent="0.25"/>
    <row r="269561" customFormat="1" x14ac:dyDescent="0.25"/>
    <row r="269562" customFormat="1" x14ac:dyDescent="0.25"/>
    <row r="269563" customFormat="1" x14ac:dyDescent="0.25"/>
    <row r="269564" customFormat="1" x14ac:dyDescent="0.25"/>
    <row r="269565" customFormat="1" x14ac:dyDescent="0.25"/>
    <row r="269566" customFormat="1" x14ac:dyDescent="0.25"/>
    <row r="269567" customFormat="1" x14ac:dyDescent="0.25"/>
    <row r="269568" customFormat="1" x14ac:dyDescent="0.25"/>
    <row r="269569" customFormat="1" x14ac:dyDescent="0.25"/>
    <row r="269570" customFormat="1" x14ac:dyDescent="0.25"/>
    <row r="269571" customFormat="1" x14ac:dyDescent="0.25"/>
    <row r="269572" customFormat="1" x14ac:dyDescent="0.25"/>
    <row r="269573" customFormat="1" x14ac:dyDescent="0.25"/>
    <row r="269574" customFormat="1" x14ac:dyDescent="0.25"/>
    <row r="269575" customFormat="1" x14ac:dyDescent="0.25"/>
    <row r="269576" customFormat="1" x14ac:dyDescent="0.25"/>
    <row r="269577" customFormat="1" x14ac:dyDescent="0.25"/>
    <row r="269578" customFormat="1" x14ac:dyDescent="0.25"/>
    <row r="269579" customFormat="1" x14ac:dyDescent="0.25"/>
    <row r="269580" customFormat="1" x14ac:dyDescent="0.25"/>
    <row r="269581" customFormat="1" x14ac:dyDescent="0.25"/>
    <row r="269582" customFormat="1" x14ac:dyDescent="0.25"/>
    <row r="269583" customFormat="1" x14ac:dyDescent="0.25"/>
    <row r="269584" customFormat="1" x14ac:dyDescent="0.25"/>
    <row r="269585" customFormat="1" x14ac:dyDescent="0.25"/>
    <row r="269586" customFormat="1" x14ac:dyDescent="0.25"/>
    <row r="269587" customFormat="1" x14ac:dyDescent="0.25"/>
    <row r="269588" customFormat="1" x14ac:dyDescent="0.25"/>
    <row r="269589" customFormat="1" x14ac:dyDescent="0.25"/>
    <row r="269590" customFormat="1" x14ac:dyDescent="0.25"/>
    <row r="269591" customFormat="1" x14ac:dyDescent="0.25"/>
    <row r="269592" customFormat="1" x14ac:dyDescent="0.25"/>
    <row r="269593" customFormat="1" x14ac:dyDescent="0.25"/>
    <row r="269594" customFormat="1" x14ac:dyDescent="0.25"/>
    <row r="269595" customFormat="1" x14ac:dyDescent="0.25"/>
    <row r="269596" customFormat="1" x14ac:dyDescent="0.25"/>
    <row r="269597" customFormat="1" x14ac:dyDescent="0.25"/>
    <row r="269598" customFormat="1" x14ac:dyDescent="0.25"/>
    <row r="269599" customFormat="1" x14ac:dyDescent="0.25"/>
    <row r="269600" customFormat="1" x14ac:dyDescent="0.25"/>
    <row r="269601" customFormat="1" x14ac:dyDescent="0.25"/>
    <row r="269602" customFormat="1" x14ac:dyDescent="0.25"/>
    <row r="269603" customFormat="1" x14ac:dyDescent="0.25"/>
    <row r="269604" customFormat="1" x14ac:dyDescent="0.25"/>
    <row r="269605" customFormat="1" x14ac:dyDescent="0.25"/>
    <row r="269606" customFormat="1" x14ac:dyDescent="0.25"/>
    <row r="269607" customFormat="1" x14ac:dyDescent="0.25"/>
    <row r="269608" customFormat="1" x14ac:dyDescent="0.25"/>
    <row r="269609" customFormat="1" x14ac:dyDescent="0.25"/>
    <row r="269610" customFormat="1" x14ac:dyDescent="0.25"/>
    <row r="269611" customFormat="1" x14ac:dyDescent="0.25"/>
    <row r="269612" customFormat="1" x14ac:dyDescent="0.25"/>
    <row r="269613" customFormat="1" x14ac:dyDescent="0.25"/>
    <row r="269614" customFormat="1" x14ac:dyDescent="0.25"/>
    <row r="269615" customFormat="1" x14ac:dyDescent="0.25"/>
    <row r="269616" customFormat="1" x14ac:dyDescent="0.25"/>
    <row r="269617" customFormat="1" x14ac:dyDescent="0.25"/>
    <row r="269618" customFormat="1" x14ac:dyDescent="0.25"/>
    <row r="269619" customFormat="1" x14ac:dyDescent="0.25"/>
    <row r="269620" customFormat="1" x14ac:dyDescent="0.25"/>
    <row r="269621" customFormat="1" x14ac:dyDescent="0.25"/>
    <row r="269622" customFormat="1" x14ac:dyDescent="0.25"/>
    <row r="269623" customFormat="1" x14ac:dyDescent="0.25"/>
    <row r="269624" customFormat="1" x14ac:dyDescent="0.25"/>
    <row r="269625" customFormat="1" x14ac:dyDescent="0.25"/>
    <row r="269626" customFormat="1" x14ac:dyDescent="0.25"/>
    <row r="269627" customFormat="1" x14ac:dyDescent="0.25"/>
    <row r="269628" customFormat="1" x14ac:dyDescent="0.25"/>
    <row r="269629" customFormat="1" x14ac:dyDescent="0.25"/>
    <row r="269630" customFormat="1" x14ac:dyDescent="0.25"/>
    <row r="269631" customFormat="1" x14ac:dyDescent="0.25"/>
    <row r="269632" customFormat="1" x14ac:dyDescent="0.25"/>
    <row r="269633" customFormat="1" x14ac:dyDescent="0.25"/>
    <row r="269634" customFormat="1" x14ac:dyDescent="0.25"/>
    <row r="269635" customFormat="1" x14ac:dyDescent="0.25"/>
    <row r="269636" customFormat="1" x14ac:dyDescent="0.25"/>
    <row r="269637" customFormat="1" x14ac:dyDescent="0.25"/>
    <row r="269638" customFormat="1" x14ac:dyDescent="0.25"/>
    <row r="269639" customFormat="1" x14ac:dyDescent="0.25"/>
    <row r="269640" customFormat="1" x14ac:dyDescent="0.25"/>
    <row r="269641" customFormat="1" x14ac:dyDescent="0.25"/>
    <row r="269642" customFormat="1" x14ac:dyDescent="0.25"/>
    <row r="269643" customFormat="1" x14ac:dyDescent="0.25"/>
    <row r="269644" customFormat="1" x14ac:dyDescent="0.25"/>
    <row r="269645" customFormat="1" x14ac:dyDescent="0.25"/>
    <row r="269646" customFormat="1" x14ac:dyDescent="0.25"/>
    <row r="269647" customFormat="1" x14ac:dyDescent="0.25"/>
    <row r="269648" customFormat="1" x14ac:dyDescent="0.25"/>
    <row r="269649" customFormat="1" x14ac:dyDescent="0.25"/>
    <row r="269650" customFormat="1" x14ac:dyDescent="0.25"/>
    <row r="269651" customFormat="1" x14ac:dyDescent="0.25"/>
    <row r="269652" customFormat="1" x14ac:dyDescent="0.25"/>
    <row r="269653" customFormat="1" x14ac:dyDescent="0.25"/>
    <row r="269654" customFormat="1" x14ac:dyDescent="0.25"/>
    <row r="269655" customFormat="1" x14ac:dyDescent="0.25"/>
    <row r="269656" customFormat="1" x14ac:dyDescent="0.25"/>
    <row r="269657" customFormat="1" x14ac:dyDescent="0.25"/>
    <row r="269658" customFormat="1" x14ac:dyDescent="0.25"/>
    <row r="269659" customFormat="1" x14ac:dyDescent="0.25"/>
    <row r="269660" customFormat="1" x14ac:dyDescent="0.25"/>
    <row r="269661" customFormat="1" x14ac:dyDescent="0.25"/>
    <row r="269662" customFormat="1" x14ac:dyDescent="0.25"/>
    <row r="269663" customFormat="1" x14ac:dyDescent="0.25"/>
    <row r="269664" customFormat="1" x14ac:dyDescent="0.25"/>
    <row r="269665" customFormat="1" x14ac:dyDescent="0.25"/>
    <row r="269666" customFormat="1" x14ac:dyDescent="0.25"/>
    <row r="269667" customFormat="1" x14ac:dyDescent="0.25"/>
    <row r="269668" customFormat="1" x14ac:dyDescent="0.25"/>
    <row r="269669" customFormat="1" x14ac:dyDescent="0.25"/>
    <row r="269670" customFormat="1" x14ac:dyDescent="0.25"/>
    <row r="269671" customFormat="1" x14ac:dyDescent="0.25"/>
    <row r="269672" customFormat="1" x14ac:dyDescent="0.25"/>
    <row r="269673" customFormat="1" x14ac:dyDescent="0.25"/>
    <row r="269674" customFormat="1" x14ac:dyDescent="0.25"/>
    <row r="269675" customFormat="1" x14ac:dyDescent="0.25"/>
    <row r="269676" customFormat="1" x14ac:dyDescent="0.25"/>
    <row r="269677" customFormat="1" x14ac:dyDescent="0.25"/>
    <row r="269678" customFormat="1" x14ac:dyDescent="0.25"/>
    <row r="269679" customFormat="1" x14ac:dyDescent="0.25"/>
    <row r="269680" customFormat="1" x14ac:dyDescent="0.25"/>
    <row r="269681" customFormat="1" x14ac:dyDescent="0.25"/>
    <row r="269682" customFormat="1" x14ac:dyDescent="0.25"/>
    <row r="269683" customFormat="1" x14ac:dyDescent="0.25"/>
    <row r="269684" customFormat="1" x14ac:dyDescent="0.25"/>
    <row r="269685" customFormat="1" x14ac:dyDescent="0.25"/>
    <row r="269686" customFormat="1" x14ac:dyDescent="0.25"/>
    <row r="269687" customFormat="1" x14ac:dyDescent="0.25"/>
    <row r="269688" customFormat="1" x14ac:dyDescent="0.25"/>
    <row r="269689" customFormat="1" x14ac:dyDescent="0.25"/>
    <row r="269690" customFormat="1" x14ac:dyDescent="0.25"/>
    <row r="269691" customFormat="1" x14ac:dyDescent="0.25"/>
    <row r="269692" customFormat="1" x14ac:dyDescent="0.25"/>
    <row r="269693" customFormat="1" x14ac:dyDescent="0.25"/>
    <row r="269694" customFormat="1" x14ac:dyDescent="0.25"/>
    <row r="269695" customFormat="1" x14ac:dyDescent="0.25"/>
    <row r="269696" customFormat="1" x14ac:dyDescent="0.25"/>
    <row r="269697" customFormat="1" x14ac:dyDescent="0.25"/>
    <row r="269698" customFormat="1" x14ac:dyDescent="0.25"/>
    <row r="269699" customFormat="1" x14ac:dyDescent="0.25"/>
    <row r="269700" customFormat="1" x14ac:dyDescent="0.25"/>
    <row r="269701" customFormat="1" x14ac:dyDescent="0.25"/>
    <row r="269702" customFormat="1" x14ac:dyDescent="0.25"/>
    <row r="269703" customFormat="1" x14ac:dyDescent="0.25"/>
    <row r="269704" customFormat="1" x14ac:dyDescent="0.25"/>
    <row r="269705" customFormat="1" x14ac:dyDescent="0.25"/>
    <row r="269706" customFormat="1" x14ac:dyDescent="0.25"/>
    <row r="269707" customFormat="1" x14ac:dyDescent="0.25"/>
    <row r="269708" customFormat="1" x14ac:dyDescent="0.25"/>
    <row r="269709" customFormat="1" x14ac:dyDescent="0.25"/>
    <row r="269710" customFormat="1" x14ac:dyDescent="0.25"/>
    <row r="269711" customFormat="1" x14ac:dyDescent="0.25"/>
    <row r="269712" customFormat="1" x14ac:dyDescent="0.25"/>
    <row r="269713" customFormat="1" x14ac:dyDescent="0.25"/>
    <row r="269714" customFormat="1" x14ac:dyDescent="0.25"/>
    <row r="269715" customFormat="1" x14ac:dyDescent="0.25"/>
    <row r="269716" customFormat="1" x14ac:dyDescent="0.25"/>
    <row r="269717" customFormat="1" x14ac:dyDescent="0.25"/>
    <row r="269718" customFormat="1" x14ac:dyDescent="0.25"/>
    <row r="269719" customFormat="1" x14ac:dyDescent="0.25"/>
    <row r="269720" customFormat="1" x14ac:dyDescent="0.25"/>
    <row r="269721" customFormat="1" x14ac:dyDescent="0.25"/>
    <row r="269722" customFormat="1" x14ac:dyDescent="0.25"/>
    <row r="269723" customFormat="1" x14ac:dyDescent="0.25"/>
    <row r="269724" customFormat="1" x14ac:dyDescent="0.25"/>
    <row r="269725" customFormat="1" x14ac:dyDescent="0.25"/>
    <row r="269726" customFormat="1" x14ac:dyDescent="0.25"/>
    <row r="269727" customFormat="1" x14ac:dyDescent="0.25"/>
    <row r="269728" customFormat="1" x14ac:dyDescent="0.25"/>
    <row r="269729" customFormat="1" x14ac:dyDescent="0.25"/>
    <row r="269730" customFormat="1" x14ac:dyDescent="0.25"/>
    <row r="269731" customFormat="1" x14ac:dyDescent="0.25"/>
    <row r="269732" customFormat="1" x14ac:dyDescent="0.25"/>
    <row r="269733" customFormat="1" x14ac:dyDescent="0.25"/>
    <row r="269734" customFormat="1" x14ac:dyDescent="0.25"/>
    <row r="269735" customFormat="1" x14ac:dyDescent="0.25"/>
    <row r="269736" customFormat="1" x14ac:dyDescent="0.25"/>
    <row r="269737" customFormat="1" x14ac:dyDescent="0.25"/>
    <row r="269738" customFormat="1" x14ac:dyDescent="0.25"/>
    <row r="269739" customFormat="1" x14ac:dyDescent="0.25"/>
    <row r="269740" customFormat="1" x14ac:dyDescent="0.25"/>
    <row r="269741" customFormat="1" x14ac:dyDescent="0.25"/>
    <row r="269742" customFormat="1" x14ac:dyDescent="0.25"/>
    <row r="269743" customFormat="1" x14ac:dyDescent="0.25"/>
    <row r="269744" customFormat="1" x14ac:dyDescent="0.25"/>
    <row r="269745" customFormat="1" x14ac:dyDescent="0.25"/>
    <row r="269746" customFormat="1" x14ac:dyDescent="0.25"/>
    <row r="269747" customFormat="1" x14ac:dyDescent="0.25"/>
    <row r="269748" customFormat="1" x14ac:dyDescent="0.25"/>
    <row r="269749" customFormat="1" x14ac:dyDescent="0.25"/>
    <row r="269750" customFormat="1" x14ac:dyDescent="0.25"/>
    <row r="269751" customFormat="1" x14ac:dyDescent="0.25"/>
    <row r="269752" customFormat="1" x14ac:dyDescent="0.25"/>
    <row r="269753" customFormat="1" x14ac:dyDescent="0.25"/>
    <row r="269754" customFormat="1" x14ac:dyDescent="0.25"/>
    <row r="269755" customFormat="1" x14ac:dyDescent="0.25"/>
    <row r="269756" customFormat="1" x14ac:dyDescent="0.25"/>
    <row r="269757" customFormat="1" x14ac:dyDescent="0.25"/>
    <row r="269758" customFormat="1" x14ac:dyDescent="0.25"/>
    <row r="269759" customFormat="1" x14ac:dyDescent="0.25"/>
    <row r="269760" customFormat="1" x14ac:dyDescent="0.25"/>
    <row r="269761" customFormat="1" x14ac:dyDescent="0.25"/>
    <row r="269762" customFormat="1" x14ac:dyDescent="0.25"/>
    <row r="269763" customFormat="1" x14ac:dyDescent="0.25"/>
    <row r="269764" customFormat="1" x14ac:dyDescent="0.25"/>
    <row r="269765" customFormat="1" x14ac:dyDescent="0.25"/>
    <row r="269766" customFormat="1" x14ac:dyDescent="0.25"/>
    <row r="269767" customFormat="1" x14ac:dyDescent="0.25"/>
    <row r="269768" customFormat="1" x14ac:dyDescent="0.25"/>
    <row r="269769" customFormat="1" x14ac:dyDescent="0.25"/>
    <row r="269770" customFormat="1" x14ac:dyDescent="0.25"/>
    <row r="269771" customFormat="1" x14ac:dyDescent="0.25"/>
    <row r="269772" customFormat="1" x14ac:dyDescent="0.25"/>
    <row r="269773" customFormat="1" x14ac:dyDescent="0.25"/>
    <row r="269774" customFormat="1" x14ac:dyDescent="0.25"/>
    <row r="269775" customFormat="1" x14ac:dyDescent="0.25"/>
    <row r="269776" customFormat="1" x14ac:dyDescent="0.25"/>
    <row r="269777" customFormat="1" x14ac:dyDescent="0.25"/>
    <row r="269778" customFormat="1" x14ac:dyDescent="0.25"/>
    <row r="269779" customFormat="1" x14ac:dyDescent="0.25"/>
    <row r="269780" customFormat="1" x14ac:dyDescent="0.25"/>
    <row r="269781" customFormat="1" x14ac:dyDescent="0.25"/>
    <row r="269782" customFormat="1" x14ac:dyDescent="0.25"/>
    <row r="269783" customFormat="1" x14ac:dyDescent="0.25"/>
    <row r="269784" customFormat="1" x14ac:dyDescent="0.25"/>
    <row r="269785" customFormat="1" x14ac:dyDescent="0.25"/>
    <row r="269786" customFormat="1" x14ac:dyDescent="0.25"/>
    <row r="269787" customFormat="1" x14ac:dyDescent="0.25"/>
    <row r="269788" customFormat="1" x14ac:dyDescent="0.25"/>
    <row r="269789" customFormat="1" x14ac:dyDescent="0.25"/>
    <row r="269790" customFormat="1" x14ac:dyDescent="0.25"/>
    <row r="269791" customFormat="1" x14ac:dyDescent="0.25"/>
    <row r="269792" customFormat="1" x14ac:dyDescent="0.25"/>
    <row r="269793" customFormat="1" x14ac:dyDescent="0.25"/>
    <row r="269794" customFormat="1" x14ac:dyDescent="0.25"/>
    <row r="269795" customFormat="1" x14ac:dyDescent="0.25"/>
    <row r="269796" customFormat="1" x14ac:dyDescent="0.25"/>
    <row r="269797" customFormat="1" x14ac:dyDescent="0.25"/>
    <row r="269798" customFormat="1" x14ac:dyDescent="0.25"/>
    <row r="269799" customFormat="1" x14ac:dyDescent="0.25"/>
    <row r="269800" customFormat="1" x14ac:dyDescent="0.25"/>
    <row r="269801" customFormat="1" x14ac:dyDescent="0.25"/>
    <row r="269802" customFormat="1" x14ac:dyDescent="0.25"/>
    <row r="269803" customFormat="1" x14ac:dyDescent="0.25"/>
    <row r="269804" customFormat="1" x14ac:dyDescent="0.25"/>
    <row r="269805" customFormat="1" x14ac:dyDescent="0.25"/>
    <row r="269806" customFormat="1" x14ac:dyDescent="0.25"/>
    <row r="269807" customFormat="1" x14ac:dyDescent="0.25"/>
    <row r="269808" customFormat="1" x14ac:dyDescent="0.25"/>
    <row r="269809" customFormat="1" x14ac:dyDescent="0.25"/>
    <row r="269810" customFormat="1" x14ac:dyDescent="0.25"/>
    <row r="269811" customFormat="1" x14ac:dyDescent="0.25"/>
    <row r="269812" customFormat="1" x14ac:dyDescent="0.25"/>
    <row r="269813" customFormat="1" x14ac:dyDescent="0.25"/>
    <row r="269814" customFormat="1" x14ac:dyDescent="0.25"/>
    <row r="269815" customFormat="1" x14ac:dyDescent="0.25"/>
    <row r="269816" customFormat="1" x14ac:dyDescent="0.25"/>
    <row r="269817" customFormat="1" x14ac:dyDescent="0.25"/>
    <row r="269818" customFormat="1" x14ac:dyDescent="0.25"/>
    <row r="269819" customFormat="1" x14ac:dyDescent="0.25"/>
    <row r="269820" customFormat="1" x14ac:dyDescent="0.25"/>
    <row r="269821" customFormat="1" x14ac:dyDescent="0.25"/>
    <row r="269822" customFormat="1" x14ac:dyDescent="0.25"/>
    <row r="269823" customFormat="1" x14ac:dyDescent="0.25"/>
    <row r="269824" customFormat="1" x14ac:dyDescent="0.25"/>
    <row r="269825" customFormat="1" x14ac:dyDescent="0.25"/>
    <row r="269826" customFormat="1" x14ac:dyDescent="0.25"/>
    <row r="269827" customFormat="1" x14ac:dyDescent="0.25"/>
    <row r="269828" customFormat="1" x14ac:dyDescent="0.25"/>
    <row r="269829" customFormat="1" x14ac:dyDescent="0.25"/>
    <row r="269830" customFormat="1" x14ac:dyDescent="0.25"/>
    <row r="269831" customFormat="1" x14ac:dyDescent="0.25"/>
    <row r="269832" customFormat="1" x14ac:dyDescent="0.25"/>
    <row r="269833" customFormat="1" x14ac:dyDescent="0.25"/>
    <row r="269834" customFormat="1" x14ac:dyDescent="0.25"/>
    <row r="269835" customFormat="1" x14ac:dyDescent="0.25"/>
    <row r="269836" customFormat="1" x14ac:dyDescent="0.25"/>
    <row r="269837" customFormat="1" x14ac:dyDescent="0.25"/>
    <row r="269838" customFormat="1" x14ac:dyDescent="0.25"/>
    <row r="269839" customFormat="1" x14ac:dyDescent="0.25"/>
    <row r="269840" customFormat="1" x14ac:dyDescent="0.25"/>
    <row r="269841" customFormat="1" x14ac:dyDescent="0.25"/>
    <row r="269842" customFormat="1" x14ac:dyDescent="0.25"/>
    <row r="269843" customFormat="1" x14ac:dyDescent="0.25"/>
    <row r="269844" customFormat="1" x14ac:dyDescent="0.25"/>
    <row r="269845" customFormat="1" x14ac:dyDescent="0.25"/>
    <row r="269846" customFormat="1" x14ac:dyDescent="0.25"/>
    <row r="269847" customFormat="1" x14ac:dyDescent="0.25"/>
    <row r="269848" customFormat="1" x14ac:dyDescent="0.25"/>
    <row r="269849" customFormat="1" x14ac:dyDescent="0.25"/>
    <row r="269850" customFormat="1" x14ac:dyDescent="0.25"/>
    <row r="269851" customFormat="1" x14ac:dyDescent="0.25"/>
    <row r="269852" customFormat="1" x14ac:dyDescent="0.25"/>
    <row r="269853" customFormat="1" x14ac:dyDescent="0.25"/>
    <row r="269854" customFormat="1" x14ac:dyDescent="0.25"/>
    <row r="269855" customFormat="1" x14ac:dyDescent="0.25"/>
    <row r="269856" customFormat="1" x14ac:dyDescent="0.25"/>
    <row r="269857" customFormat="1" x14ac:dyDescent="0.25"/>
    <row r="269858" customFormat="1" x14ac:dyDescent="0.25"/>
    <row r="269859" customFormat="1" x14ac:dyDescent="0.25"/>
    <row r="269860" customFormat="1" x14ac:dyDescent="0.25"/>
    <row r="269861" customFormat="1" x14ac:dyDescent="0.25"/>
    <row r="269862" customFormat="1" x14ac:dyDescent="0.25"/>
    <row r="269863" customFormat="1" x14ac:dyDescent="0.25"/>
    <row r="269864" customFormat="1" x14ac:dyDescent="0.25"/>
    <row r="269865" customFormat="1" x14ac:dyDescent="0.25"/>
    <row r="269866" customFormat="1" x14ac:dyDescent="0.25"/>
    <row r="269867" customFormat="1" x14ac:dyDescent="0.25"/>
    <row r="269868" customFormat="1" x14ac:dyDescent="0.25"/>
    <row r="269869" customFormat="1" x14ac:dyDescent="0.25"/>
    <row r="269870" customFormat="1" x14ac:dyDescent="0.25"/>
    <row r="269871" customFormat="1" x14ac:dyDescent="0.25"/>
    <row r="269872" customFormat="1" x14ac:dyDescent="0.25"/>
    <row r="269873" customFormat="1" x14ac:dyDescent="0.25"/>
    <row r="269874" customFormat="1" x14ac:dyDescent="0.25"/>
    <row r="269875" customFormat="1" x14ac:dyDescent="0.25"/>
    <row r="269876" customFormat="1" x14ac:dyDescent="0.25"/>
    <row r="269877" customFormat="1" x14ac:dyDescent="0.25"/>
    <row r="269878" customFormat="1" x14ac:dyDescent="0.25"/>
    <row r="269879" customFormat="1" x14ac:dyDescent="0.25"/>
    <row r="269880" customFormat="1" x14ac:dyDescent="0.25"/>
    <row r="269881" customFormat="1" x14ac:dyDescent="0.25"/>
    <row r="269882" customFormat="1" x14ac:dyDescent="0.25"/>
    <row r="269883" customFormat="1" x14ac:dyDescent="0.25"/>
    <row r="269884" customFormat="1" x14ac:dyDescent="0.25"/>
    <row r="269885" customFormat="1" x14ac:dyDescent="0.25"/>
    <row r="269886" customFormat="1" x14ac:dyDescent="0.25"/>
    <row r="269887" customFormat="1" x14ac:dyDescent="0.25"/>
    <row r="269888" customFormat="1" x14ac:dyDescent="0.25"/>
    <row r="269889" customFormat="1" x14ac:dyDescent="0.25"/>
    <row r="269890" customFormat="1" x14ac:dyDescent="0.25"/>
    <row r="269891" customFormat="1" x14ac:dyDescent="0.25"/>
    <row r="269892" customFormat="1" x14ac:dyDescent="0.25"/>
    <row r="269893" customFormat="1" x14ac:dyDescent="0.25"/>
    <row r="269894" customFormat="1" x14ac:dyDescent="0.25"/>
    <row r="269895" customFormat="1" x14ac:dyDescent="0.25"/>
    <row r="269896" customFormat="1" x14ac:dyDescent="0.25"/>
    <row r="269897" customFormat="1" x14ac:dyDescent="0.25"/>
    <row r="269898" customFormat="1" x14ac:dyDescent="0.25"/>
    <row r="269899" customFormat="1" x14ac:dyDescent="0.25"/>
    <row r="269900" customFormat="1" x14ac:dyDescent="0.25"/>
    <row r="269901" customFormat="1" x14ac:dyDescent="0.25"/>
    <row r="269902" customFormat="1" x14ac:dyDescent="0.25"/>
    <row r="269903" customFormat="1" x14ac:dyDescent="0.25"/>
    <row r="269904" customFormat="1" x14ac:dyDescent="0.25"/>
    <row r="269905" customFormat="1" x14ac:dyDescent="0.25"/>
    <row r="269906" customFormat="1" x14ac:dyDescent="0.25"/>
    <row r="269907" customFormat="1" x14ac:dyDescent="0.25"/>
    <row r="269908" customFormat="1" x14ac:dyDescent="0.25"/>
    <row r="269909" customFormat="1" x14ac:dyDescent="0.25"/>
    <row r="269910" customFormat="1" x14ac:dyDescent="0.25"/>
    <row r="269911" customFormat="1" x14ac:dyDescent="0.25"/>
    <row r="269912" customFormat="1" x14ac:dyDescent="0.25"/>
    <row r="269913" customFormat="1" x14ac:dyDescent="0.25"/>
    <row r="269914" customFormat="1" x14ac:dyDescent="0.25"/>
    <row r="269915" customFormat="1" x14ac:dyDescent="0.25"/>
    <row r="269916" customFormat="1" x14ac:dyDescent="0.25"/>
    <row r="269917" customFormat="1" x14ac:dyDescent="0.25"/>
    <row r="269918" customFormat="1" x14ac:dyDescent="0.25"/>
    <row r="269919" customFormat="1" x14ac:dyDescent="0.25"/>
    <row r="269920" customFormat="1" x14ac:dyDescent="0.25"/>
    <row r="269921" customFormat="1" x14ac:dyDescent="0.25"/>
    <row r="269922" customFormat="1" x14ac:dyDescent="0.25"/>
    <row r="269923" customFormat="1" x14ac:dyDescent="0.25"/>
    <row r="269924" customFormat="1" x14ac:dyDescent="0.25"/>
    <row r="269925" customFormat="1" x14ac:dyDescent="0.25"/>
    <row r="269926" customFormat="1" x14ac:dyDescent="0.25"/>
    <row r="269927" customFormat="1" x14ac:dyDescent="0.25"/>
    <row r="269928" customFormat="1" x14ac:dyDescent="0.25"/>
    <row r="269929" customFormat="1" x14ac:dyDescent="0.25"/>
    <row r="269930" customFormat="1" x14ac:dyDescent="0.25"/>
    <row r="269931" customFormat="1" x14ac:dyDescent="0.25"/>
    <row r="269932" customFormat="1" x14ac:dyDescent="0.25"/>
    <row r="269933" customFormat="1" x14ac:dyDescent="0.25"/>
    <row r="269934" customFormat="1" x14ac:dyDescent="0.25"/>
    <row r="269935" customFormat="1" x14ac:dyDescent="0.25"/>
    <row r="269936" customFormat="1" x14ac:dyDescent="0.25"/>
    <row r="269937" customFormat="1" x14ac:dyDescent="0.25"/>
    <row r="269938" customFormat="1" x14ac:dyDescent="0.25"/>
    <row r="269939" customFormat="1" x14ac:dyDescent="0.25"/>
    <row r="269940" customFormat="1" x14ac:dyDescent="0.25"/>
    <row r="269941" customFormat="1" x14ac:dyDescent="0.25"/>
    <row r="269942" customFormat="1" x14ac:dyDescent="0.25"/>
    <row r="269943" customFormat="1" x14ac:dyDescent="0.25"/>
    <row r="269944" customFormat="1" x14ac:dyDescent="0.25"/>
    <row r="269945" customFormat="1" x14ac:dyDescent="0.25"/>
    <row r="269946" customFormat="1" x14ac:dyDescent="0.25"/>
    <row r="269947" customFormat="1" x14ac:dyDescent="0.25"/>
    <row r="269948" customFormat="1" x14ac:dyDescent="0.25"/>
    <row r="269949" customFormat="1" x14ac:dyDescent="0.25"/>
    <row r="269950" customFormat="1" x14ac:dyDescent="0.25"/>
    <row r="269951" customFormat="1" x14ac:dyDescent="0.25"/>
    <row r="269952" customFormat="1" x14ac:dyDescent="0.25"/>
    <row r="269953" customFormat="1" x14ac:dyDescent="0.25"/>
    <row r="269954" customFormat="1" x14ac:dyDescent="0.25"/>
    <row r="269955" customFormat="1" x14ac:dyDescent="0.25"/>
    <row r="269956" customFormat="1" x14ac:dyDescent="0.25"/>
    <row r="269957" customFormat="1" x14ac:dyDescent="0.25"/>
    <row r="269958" customFormat="1" x14ac:dyDescent="0.25"/>
    <row r="269959" customFormat="1" x14ac:dyDescent="0.25"/>
    <row r="269960" customFormat="1" x14ac:dyDescent="0.25"/>
    <row r="269961" customFormat="1" x14ac:dyDescent="0.25"/>
    <row r="269962" customFormat="1" x14ac:dyDescent="0.25"/>
    <row r="269963" customFormat="1" x14ac:dyDescent="0.25"/>
    <row r="269964" customFormat="1" x14ac:dyDescent="0.25"/>
    <row r="269965" customFormat="1" x14ac:dyDescent="0.25"/>
    <row r="269966" customFormat="1" x14ac:dyDescent="0.25"/>
    <row r="269967" customFormat="1" x14ac:dyDescent="0.25"/>
    <row r="269968" customFormat="1" x14ac:dyDescent="0.25"/>
    <row r="269969" customFormat="1" x14ac:dyDescent="0.25"/>
    <row r="269970" customFormat="1" x14ac:dyDescent="0.25"/>
    <row r="269971" customFormat="1" x14ac:dyDescent="0.25"/>
    <row r="269972" customFormat="1" x14ac:dyDescent="0.25"/>
    <row r="269973" customFormat="1" x14ac:dyDescent="0.25"/>
    <row r="269974" customFormat="1" x14ac:dyDescent="0.25"/>
    <row r="269975" customFormat="1" x14ac:dyDescent="0.25"/>
    <row r="269976" customFormat="1" x14ac:dyDescent="0.25"/>
    <row r="269977" customFormat="1" x14ac:dyDescent="0.25"/>
    <row r="269978" customFormat="1" x14ac:dyDescent="0.25"/>
    <row r="269979" customFormat="1" x14ac:dyDescent="0.25"/>
    <row r="269980" customFormat="1" x14ac:dyDescent="0.25"/>
    <row r="269981" customFormat="1" x14ac:dyDescent="0.25"/>
    <row r="269982" customFormat="1" x14ac:dyDescent="0.25"/>
    <row r="269983" customFormat="1" x14ac:dyDescent="0.25"/>
    <row r="269984" customFormat="1" x14ac:dyDescent="0.25"/>
    <row r="269985" customFormat="1" x14ac:dyDescent="0.25"/>
    <row r="269986" customFormat="1" x14ac:dyDescent="0.25"/>
    <row r="269987" customFormat="1" x14ac:dyDescent="0.25"/>
    <row r="269988" customFormat="1" x14ac:dyDescent="0.25"/>
    <row r="269989" customFormat="1" x14ac:dyDescent="0.25"/>
    <row r="269990" customFormat="1" x14ac:dyDescent="0.25"/>
    <row r="269991" customFormat="1" x14ac:dyDescent="0.25"/>
    <row r="269992" customFormat="1" x14ac:dyDescent="0.25"/>
    <row r="269993" customFormat="1" x14ac:dyDescent="0.25"/>
    <row r="269994" customFormat="1" x14ac:dyDescent="0.25"/>
    <row r="269995" customFormat="1" x14ac:dyDescent="0.25"/>
    <row r="269996" customFormat="1" x14ac:dyDescent="0.25"/>
    <row r="269997" customFormat="1" x14ac:dyDescent="0.25"/>
    <row r="269998" customFormat="1" x14ac:dyDescent="0.25"/>
    <row r="269999" customFormat="1" x14ac:dyDescent="0.25"/>
    <row r="270000" customFormat="1" x14ac:dyDescent="0.25"/>
    <row r="270001" customFormat="1" x14ac:dyDescent="0.25"/>
    <row r="270002" customFormat="1" x14ac:dyDescent="0.25"/>
    <row r="270003" customFormat="1" x14ac:dyDescent="0.25"/>
    <row r="270004" customFormat="1" x14ac:dyDescent="0.25"/>
    <row r="270005" customFormat="1" x14ac:dyDescent="0.25"/>
    <row r="270006" customFormat="1" x14ac:dyDescent="0.25"/>
    <row r="270007" customFormat="1" x14ac:dyDescent="0.25"/>
    <row r="270008" customFormat="1" x14ac:dyDescent="0.25"/>
    <row r="270009" customFormat="1" x14ac:dyDescent="0.25"/>
    <row r="270010" customFormat="1" x14ac:dyDescent="0.25"/>
    <row r="270011" customFormat="1" x14ac:dyDescent="0.25"/>
    <row r="270012" customFormat="1" x14ac:dyDescent="0.25"/>
    <row r="270013" customFormat="1" x14ac:dyDescent="0.25"/>
    <row r="270014" customFormat="1" x14ac:dyDescent="0.25"/>
    <row r="270015" customFormat="1" x14ac:dyDescent="0.25"/>
    <row r="270016" customFormat="1" x14ac:dyDescent="0.25"/>
    <row r="270017" customFormat="1" x14ac:dyDescent="0.25"/>
    <row r="270018" customFormat="1" x14ac:dyDescent="0.25"/>
    <row r="270019" customFormat="1" x14ac:dyDescent="0.25"/>
    <row r="270020" customFormat="1" x14ac:dyDescent="0.25"/>
    <row r="270021" customFormat="1" x14ac:dyDescent="0.25"/>
    <row r="270022" customFormat="1" x14ac:dyDescent="0.25"/>
    <row r="270023" customFormat="1" x14ac:dyDescent="0.25"/>
    <row r="270024" customFormat="1" x14ac:dyDescent="0.25"/>
    <row r="270025" customFormat="1" x14ac:dyDescent="0.25"/>
    <row r="270026" customFormat="1" x14ac:dyDescent="0.25"/>
    <row r="270027" customFormat="1" x14ac:dyDescent="0.25"/>
    <row r="270028" customFormat="1" x14ac:dyDescent="0.25"/>
    <row r="270029" customFormat="1" x14ac:dyDescent="0.25"/>
    <row r="270030" customFormat="1" x14ac:dyDescent="0.25"/>
    <row r="270031" customFormat="1" x14ac:dyDescent="0.25"/>
    <row r="270032" customFormat="1" x14ac:dyDescent="0.25"/>
    <row r="270033" customFormat="1" x14ac:dyDescent="0.25"/>
    <row r="270034" customFormat="1" x14ac:dyDescent="0.25"/>
    <row r="270035" customFormat="1" x14ac:dyDescent="0.25"/>
    <row r="270036" customFormat="1" x14ac:dyDescent="0.25"/>
    <row r="270037" customFormat="1" x14ac:dyDescent="0.25"/>
    <row r="270038" customFormat="1" x14ac:dyDescent="0.25"/>
    <row r="270039" customFormat="1" x14ac:dyDescent="0.25"/>
    <row r="270040" customFormat="1" x14ac:dyDescent="0.25"/>
    <row r="270041" customFormat="1" x14ac:dyDescent="0.25"/>
    <row r="270042" customFormat="1" x14ac:dyDescent="0.25"/>
    <row r="270043" customFormat="1" x14ac:dyDescent="0.25"/>
    <row r="270044" customFormat="1" x14ac:dyDescent="0.25"/>
    <row r="270045" customFormat="1" x14ac:dyDescent="0.25"/>
    <row r="270046" customFormat="1" x14ac:dyDescent="0.25"/>
    <row r="270047" customFormat="1" x14ac:dyDescent="0.25"/>
    <row r="270048" customFormat="1" x14ac:dyDescent="0.25"/>
    <row r="270049" customFormat="1" x14ac:dyDescent="0.25"/>
    <row r="270050" customFormat="1" x14ac:dyDescent="0.25"/>
    <row r="270051" customFormat="1" x14ac:dyDescent="0.25"/>
    <row r="270052" customFormat="1" x14ac:dyDescent="0.25"/>
    <row r="270053" customFormat="1" x14ac:dyDescent="0.25"/>
    <row r="270054" customFormat="1" x14ac:dyDescent="0.25"/>
    <row r="270055" customFormat="1" x14ac:dyDescent="0.25"/>
    <row r="270056" customFormat="1" x14ac:dyDescent="0.25"/>
    <row r="270057" customFormat="1" x14ac:dyDescent="0.25"/>
    <row r="270058" customFormat="1" x14ac:dyDescent="0.25"/>
    <row r="270059" customFormat="1" x14ac:dyDescent="0.25"/>
    <row r="270060" customFormat="1" x14ac:dyDescent="0.25"/>
    <row r="270061" customFormat="1" x14ac:dyDescent="0.25"/>
    <row r="270062" customFormat="1" x14ac:dyDescent="0.25"/>
    <row r="270063" customFormat="1" x14ac:dyDescent="0.25"/>
    <row r="270064" customFormat="1" x14ac:dyDescent="0.25"/>
    <row r="270065" customFormat="1" x14ac:dyDescent="0.25"/>
    <row r="270066" customFormat="1" x14ac:dyDescent="0.25"/>
    <row r="270067" customFormat="1" x14ac:dyDescent="0.25"/>
    <row r="270068" customFormat="1" x14ac:dyDescent="0.25"/>
    <row r="270069" customFormat="1" x14ac:dyDescent="0.25"/>
    <row r="270070" customFormat="1" x14ac:dyDescent="0.25"/>
    <row r="270071" customFormat="1" x14ac:dyDescent="0.25"/>
    <row r="270072" customFormat="1" x14ac:dyDescent="0.25"/>
    <row r="270073" customFormat="1" x14ac:dyDescent="0.25"/>
    <row r="270074" customFormat="1" x14ac:dyDescent="0.25"/>
    <row r="270075" customFormat="1" x14ac:dyDescent="0.25"/>
    <row r="270076" customFormat="1" x14ac:dyDescent="0.25"/>
    <row r="270077" customFormat="1" x14ac:dyDescent="0.25"/>
    <row r="270078" customFormat="1" x14ac:dyDescent="0.25"/>
    <row r="270079" customFormat="1" x14ac:dyDescent="0.25"/>
    <row r="270080" customFormat="1" x14ac:dyDescent="0.25"/>
    <row r="270081" customFormat="1" x14ac:dyDescent="0.25"/>
    <row r="270082" customFormat="1" x14ac:dyDescent="0.25"/>
    <row r="270083" customFormat="1" x14ac:dyDescent="0.25"/>
    <row r="270084" customFormat="1" x14ac:dyDescent="0.25"/>
    <row r="270085" customFormat="1" x14ac:dyDescent="0.25"/>
    <row r="270086" customFormat="1" x14ac:dyDescent="0.25"/>
    <row r="270087" customFormat="1" x14ac:dyDescent="0.25"/>
    <row r="270088" customFormat="1" x14ac:dyDescent="0.25"/>
    <row r="270089" customFormat="1" x14ac:dyDescent="0.25"/>
    <row r="270090" customFormat="1" x14ac:dyDescent="0.25"/>
    <row r="270091" customFormat="1" x14ac:dyDescent="0.25"/>
    <row r="270092" customFormat="1" x14ac:dyDescent="0.25"/>
    <row r="270093" customFormat="1" x14ac:dyDescent="0.25"/>
    <row r="270094" customFormat="1" x14ac:dyDescent="0.25"/>
    <row r="270095" customFormat="1" x14ac:dyDescent="0.25"/>
    <row r="270096" customFormat="1" x14ac:dyDescent="0.25"/>
    <row r="270097" customFormat="1" x14ac:dyDescent="0.25"/>
    <row r="270098" customFormat="1" x14ac:dyDescent="0.25"/>
    <row r="270099" customFormat="1" x14ac:dyDescent="0.25"/>
    <row r="270100" customFormat="1" x14ac:dyDescent="0.25"/>
    <row r="270101" customFormat="1" x14ac:dyDescent="0.25"/>
    <row r="270102" customFormat="1" x14ac:dyDescent="0.25"/>
    <row r="270103" customFormat="1" x14ac:dyDescent="0.25"/>
    <row r="270104" customFormat="1" x14ac:dyDescent="0.25"/>
    <row r="270105" customFormat="1" x14ac:dyDescent="0.25"/>
    <row r="270106" customFormat="1" x14ac:dyDescent="0.25"/>
    <row r="270107" customFormat="1" x14ac:dyDescent="0.25"/>
    <row r="270108" customFormat="1" x14ac:dyDescent="0.25"/>
    <row r="270109" customFormat="1" x14ac:dyDescent="0.25"/>
    <row r="270110" customFormat="1" x14ac:dyDescent="0.25"/>
    <row r="270111" customFormat="1" x14ac:dyDescent="0.25"/>
    <row r="270112" customFormat="1" x14ac:dyDescent="0.25"/>
    <row r="270113" customFormat="1" x14ac:dyDescent="0.25"/>
    <row r="270114" customFormat="1" x14ac:dyDescent="0.25"/>
    <row r="270115" customFormat="1" x14ac:dyDescent="0.25"/>
    <row r="270116" customFormat="1" x14ac:dyDescent="0.25"/>
    <row r="270117" customFormat="1" x14ac:dyDescent="0.25"/>
    <row r="270118" customFormat="1" x14ac:dyDescent="0.25"/>
    <row r="270119" customFormat="1" x14ac:dyDescent="0.25"/>
    <row r="270120" customFormat="1" x14ac:dyDescent="0.25"/>
    <row r="270121" customFormat="1" x14ac:dyDescent="0.25"/>
    <row r="270122" customFormat="1" x14ac:dyDescent="0.25"/>
    <row r="270123" customFormat="1" x14ac:dyDescent="0.25"/>
    <row r="270124" customFormat="1" x14ac:dyDescent="0.25"/>
    <row r="270125" customFormat="1" x14ac:dyDescent="0.25"/>
    <row r="270126" customFormat="1" x14ac:dyDescent="0.25"/>
    <row r="270127" customFormat="1" x14ac:dyDescent="0.25"/>
    <row r="270128" customFormat="1" x14ac:dyDescent="0.25"/>
    <row r="270129" customFormat="1" x14ac:dyDescent="0.25"/>
    <row r="270130" customFormat="1" x14ac:dyDescent="0.25"/>
    <row r="270131" customFormat="1" x14ac:dyDescent="0.25"/>
    <row r="270132" customFormat="1" x14ac:dyDescent="0.25"/>
    <row r="270133" customFormat="1" x14ac:dyDescent="0.25"/>
    <row r="270134" customFormat="1" x14ac:dyDescent="0.25"/>
    <row r="270135" customFormat="1" x14ac:dyDescent="0.25"/>
    <row r="270136" customFormat="1" x14ac:dyDescent="0.25"/>
    <row r="270137" customFormat="1" x14ac:dyDescent="0.25"/>
    <row r="270138" customFormat="1" x14ac:dyDescent="0.25"/>
    <row r="270139" customFormat="1" x14ac:dyDescent="0.25"/>
    <row r="270140" customFormat="1" x14ac:dyDescent="0.25"/>
    <row r="270141" customFormat="1" x14ac:dyDescent="0.25"/>
    <row r="270142" customFormat="1" x14ac:dyDescent="0.25"/>
    <row r="270143" customFormat="1" x14ac:dyDescent="0.25"/>
    <row r="270144" customFormat="1" x14ac:dyDescent="0.25"/>
    <row r="270145" customFormat="1" x14ac:dyDescent="0.25"/>
    <row r="270146" customFormat="1" x14ac:dyDescent="0.25"/>
    <row r="270147" customFormat="1" x14ac:dyDescent="0.25"/>
    <row r="270148" customFormat="1" x14ac:dyDescent="0.25"/>
    <row r="270149" customFormat="1" x14ac:dyDescent="0.25"/>
    <row r="270150" customFormat="1" x14ac:dyDescent="0.25"/>
    <row r="270151" customFormat="1" x14ac:dyDescent="0.25"/>
    <row r="270152" customFormat="1" x14ac:dyDescent="0.25"/>
    <row r="270153" customFormat="1" x14ac:dyDescent="0.25"/>
    <row r="270154" customFormat="1" x14ac:dyDescent="0.25"/>
    <row r="270155" customFormat="1" x14ac:dyDescent="0.25"/>
    <row r="270156" customFormat="1" x14ac:dyDescent="0.25"/>
    <row r="270157" customFormat="1" x14ac:dyDescent="0.25"/>
    <row r="270158" customFormat="1" x14ac:dyDescent="0.25"/>
    <row r="270159" customFormat="1" x14ac:dyDescent="0.25"/>
    <row r="270160" customFormat="1" x14ac:dyDescent="0.25"/>
    <row r="270161" customFormat="1" x14ac:dyDescent="0.25"/>
    <row r="270162" customFormat="1" x14ac:dyDescent="0.25"/>
    <row r="270163" customFormat="1" x14ac:dyDescent="0.25"/>
    <row r="270164" customFormat="1" x14ac:dyDescent="0.25"/>
    <row r="270165" customFormat="1" x14ac:dyDescent="0.25"/>
    <row r="270166" customFormat="1" x14ac:dyDescent="0.25"/>
    <row r="270167" customFormat="1" x14ac:dyDescent="0.25"/>
    <row r="270168" customFormat="1" x14ac:dyDescent="0.25"/>
    <row r="270169" customFormat="1" x14ac:dyDescent="0.25"/>
    <row r="270170" customFormat="1" x14ac:dyDescent="0.25"/>
    <row r="270171" customFormat="1" x14ac:dyDescent="0.25"/>
    <row r="270172" customFormat="1" x14ac:dyDescent="0.25"/>
    <row r="270173" customFormat="1" x14ac:dyDescent="0.25"/>
    <row r="270174" customFormat="1" x14ac:dyDescent="0.25"/>
    <row r="270175" customFormat="1" x14ac:dyDescent="0.25"/>
    <row r="270176" customFormat="1" x14ac:dyDescent="0.25"/>
    <row r="270177" customFormat="1" x14ac:dyDescent="0.25"/>
    <row r="270178" customFormat="1" x14ac:dyDescent="0.25"/>
    <row r="270179" customFormat="1" x14ac:dyDescent="0.25"/>
    <row r="270180" customFormat="1" x14ac:dyDescent="0.25"/>
    <row r="270181" customFormat="1" x14ac:dyDescent="0.25"/>
    <row r="270182" customFormat="1" x14ac:dyDescent="0.25"/>
    <row r="270183" customFormat="1" x14ac:dyDescent="0.25"/>
    <row r="270184" customFormat="1" x14ac:dyDescent="0.25"/>
    <row r="270185" customFormat="1" x14ac:dyDescent="0.25"/>
    <row r="270186" customFormat="1" x14ac:dyDescent="0.25"/>
    <row r="270187" customFormat="1" x14ac:dyDescent="0.25"/>
    <row r="270188" customFormat="1" x14ac:dyDescent="0.25"/>
    <row r="270189" customFormat="1" x14ac:dyDescent="0.25"/>
    <row r="270190" customFormat="1" x14ac:dyDescent="0.25"/>
    <row r="270191" customFormat="1" x14ac:dyDescent="0.25"/>
    <row r="270192" customFormat="1" x14ac:dyDescent="0.25"/>
    <row r="270193" customFormat="1" x14ac:dyDescent="0.25"/>
    <row r="270194" customFormat="1" x14ac:dyDescent="0.25"/>
    <row r="270195" customFormat="1" x14ac:dyDescent="0.25"/>
    <row r="270196" customFormat="1" x14ac:dyDescent="0.25"/>
    <row r="270197" customFormat="1" x14ac:dyDescent="0.25"/>
    <row r="270198" customFormat="1" x14ac:dyDescent="0.25"/>
    <row r="270199" customFormat="1" x14ac:dyDescent="0.25"/>
    <row r="270200" customFormat="1" x14ac:dyDescent="0.25"/>
    <row r="270201" customFormat="1" x14ac:dyDescent="0.25"/>
    <row r="270202" customFormat="1" x14ac:dyDescent="0.25"/>
    <row r="270203" customFormat="1" x14ac:dyDescent="0.25"/>
    <row r="270204" customFormat="1" x14ac:dyDescent="0.25"/>
    <row r="270205" customFormat="1" x14ac:dyDescent="0.25"/>
    <row r="270206" customFormat="1" x14ac:dyDescent="0.25"/>
    <row r="270207" customFormat="1" x14ac:dyDescent="0.25"/>
    <row r="270208" customFormat="1" x14ac:dyDescent="0.25"/>
    <row r="270209" customFormat="1" x14ac:dyDescent="0.25"/>
    <row r="270210" customFormat="1" x14ac:dyDescent="0.25"/>
    <row r="270211" customFormat="1" x14ac:dyDescent="0.25"/>
    <row r="270212" customFormat="1" x14ac:dyDescent="0.25"/>
    <row r="270213" customFormat="1" x14ac:dyDescent="0.25"/>
    <row r="270214" customFormat="1" x14ac:dyDescent="0.25"/>
    <row r="270215" customFormat="1" x14ac:dyDescent="0.25"/>
    <row r="270216" customFormat="1" x14ac:dyDescent="0.25"/>
    <row r="270217" customFormat="1" x14ac:dyDescent="0.25"/>
    <row r="270218" customFormat="1" x14ac:dyDescent="0.25"/>
    <row r="270219" customFormat="1" x14ac:dyDescent="0.25"/>
    <row r="270220" customFormat="1" x14ac:dyDescent="0.25"/>
    <row r="270221" customFormat="1" x14ac:dyDescent="0.25"/>
    <row r="270222" customFormat="1" x14ac:dyDescent="0.25"/>
    <row r="270223" customFormat="1" x14ac:dyDescent="0.25"/>
    <row r="270224" customFormat="1" x14ac:dyDescent="0.25"/>
    <row r="270225" customFormat="1" x14ac:dyDescent="0.25"/>
    <row r="270226" customFormat="1" x14ac:dyDescent="0.25"/>
    <row r="270227" customFormat="1" x14ac:dyDescent="0.25"/>
    <row r="270228" customFormat="1" x14ac:dyDescent="0.25"/>
    <row r="270229" customFormat="1" x14ac:dyDescent="0.25"/>
    <row r="270230" customFormat="1" x14ac:dyDescent="0.25"/>
    <row r="270231" customFormat="1" x14ac:dyDescent="0.25"/>
    <row r="270232" customFormat="1" x14ac:dyDescent="0.25"/>
    <row r="270233" customFormat="1" x14ac:dyDescent="0.25"/>
    <row r="270234" customFormat="1" x14ac:dyDescent="0.25"/>
    <row r="270235" customFormat="1" x14ac:dyDescent="0.25"/>
    <row r="270236" customFormat="1" x14ac:dyDescent="0.25"/>
    <row r="270237" customFormat="1" x14ac:dyDescent="0.25"/>
    <row r="270238" customFormat="1" x14ac:dyDescent="0.25"/>
    <row r="270239" customFormat="1" x14ac:dyDescent="0.25"/>
    <row r="270240" customFormat="1" x14ac:dyDescent="0.25"/>
    <row r="270241" customFormat="1" x14ac:dyDescent="0.25"/>
    <row r="270242" customFormat="1" x14ac:dyDescent="0.25"/>
    <row r="270243" customFormat="1" x14ac:dyDescent="0.25"/>
    <row r="270244" customFormat="1" x14ac:dyDescent="0.25"/>
    <row r="270245" customFormat="1" x14ac:dyDescent="0.25"/>
    <row r="270246" customFormat="1" x14ac:dyDescent="0.25"/>
    <row r="270247" customFormat="1" x14ac:dyDescent="0.25"/>
    <row r="270248" customFormat="1" x14ac:dyDescent="0.25"/>
    <row r="270249" customFormat="1" x14ac:dyDescent="0.25"/>
    <row r="270250" customFormat="1" x14ac:dyDescent="0.25"/>
    <row r="270251" customFormat="1" x14ac:dyDescent="0.25"/>
    <row r="270252" customFormat="1" x14ac:dyDescent="0.25"/>
    <row r="270253" customFormat="1" x14ac:dyDescent="0.25"/>
    <row r="270254" customFormat="1" x14ac:dyDescent="0.25"/>
    <row r="270255" customFormat="1" x14ac:dyDescent="0.25"/>
    <row r="270256" customFormat="1" x14ac:dyDescent="0.25"/>
    <row r="270257" customFormat="1" x14ac:dyDescent="0.25"/>
    <row r="270258" customFormat="1" x14ac:dyDescent="0.25"/>
    <row r="270259" customFormat="1" x14ac:dyDescent="0.25"/>
    <row r="270260" customFormat="1" x14ac:dyDescent="0.25"/>
    <row r="270261" customFormat="1" x14ac:dyDescent="0.25"/>
    <row r="270262" customFormat="1" x14ac:dyDescent="0.25"/>
    <row r="270263" customFormat="1" x14ac:dyDescent="0.25"/>
    <row r="270264" customFormat="1" x14ac:dyDescent="0.25"/>
    <row r="270265" customFormat="1" x14ac:dyDescent="0.25"/>
    <row r="270266" customFormat="1" x14ac:dyDescent="0.25"/>
    <row r="270267" customFormat="1" x14ac:dyDescent="0.25"/>
    <row r="270268" customFormat="1" x14ac:dyDescent="0.25"/>
    <row r="270269" customFormat="1" x14ac:dyDescent="0.25"/>
    <row r="270270" customFormat="1" x14ac:dyDescent="0.25"/>
    <row r="270271" customFormat="1" x14ac:dyDescent="0.25"/>
    <row r="270272" customFormat="1" x14ac:dyDescent="0.25"/>
    <row r="270273" customFormat="1" x14ac:dyDescent="0.25"/>
    <row r="270274" customFormat="1" x14ac:dyDescent="0.25"/>
    <row r="270275" customFormat="1" x14ac:dyDescent="0.25"/>
    <row r="270276" customFormat="1" x14ac:dyDescent="0.25"/>
    <row r="270277" customFormat="1" x14ac:dyDescent="0.25"/>
    <row r="270278" customFormat="1" x14ac:dyDescent="0.25"/>
    <row r="270279" customFormat="1" x14ac:dyDescent="0.25"/>
    <row r="270280" customFormat="1" x14ac:dyDescent="0.25"/>
    <row r="270281" customFormat="1" x14ac:dyDescent="0.25"/>
    <row r="270282" customFormat="1" x14ac:dyDescent="0.25"/>
    <row r="270283" customFormat="1" x14ac:dyDescent="0.25"/>
    <row r="270284" customFormat="1" x14ac:dyDescent="0.25"/>
    <row r="270285" customFormat="1" x14ac:dyDescent="0.25"/>
    <row r="270286" customFormat="1" x14ac:dyDescent="0.25"/>
    <row r="270287" customFormat="1" x14ac:dyDescent="0.25"/>
    <row r="270288" customFormat="1" x14ac:dyDescent="0.25"/>
    <row r="270289" customFormat="1" x14ac:dyDescent="0.25"/>
    <row r="270290" customFormat="1" x14ac:dyDescent="0.25"/>
    <row r="270291" customFormat="1" x14ac:dyDescent="0.25"/>
    <row r="270292" customFormat="1" x14ac:dyDescent="0.25"/>
    <row r="270293" customFormat="1" x14ac:dyDescent="0.25"/>
    <row r="270294" customFormat="1" x14ac:dyDescent="0.25"/>
    <row r="270295" customFormat="1" x14ac:dyDescent="0.25"/>
    <row r="270296" customFormat="1" x14ac:dyDescent="0.25"/>
    <row r="270297" customFormat="1" x14ac:dyDescent="0.25"/>
    <row r="270298" customFormat="1" x14ac:dyDescent="0.25"/>
    <row r="270299" customFormat="1" x14ac:dyDescent="0.25"/>
    <row r="270300" customFormat="1" x14ac:dyDescent="0.25"/>
    <row r="270301" customFormat="1" x14ac:dyDescent="0.25"/>
    <row r="270302" customFormat="1" x14ac:dyDescent="0.25"/>
    <row r="270303" customFormat="1" x14ac:dyDescent="0.25"/>
    <row r="270304" customFormat="1" x14ac:dyDescent="0.25"/>
    <row r="270305" customFormat="1" x14ac:dyDescent="0.25"/>
    <row r="270306" customFormat="1" x14ac:dyDescent="0.25"/>
    <row r="270307" customFormat="1" x14ac:dyDescent="0.25"/>
    <row r="270308" customFormat="1" x14ac:dyDescent="0.25"/>
    <row r="270309" customFormat="1" x14ac:dyDescent="0.25"/>
    <row r="270310" customFormat="1" x14ac:dyDescent="0.25"/>
    <row r="270311" customFormat="1" x14ac:dyDescent="0.25"/>
    <row r="270312" customFormat="1" x14ac:dyDescent="0.25"/>
    <row r="270313" customFormat="1" x14ac:dyDescent="0.25"/>
    <row r="270314" customFormat="1" x14ac:dyDescent="0.25"/>
    <row r="270315" customFormat="1" x14ac:dyDescent="0.25"/>
    <row r="270316" customFormat="1" x14ac:dyDescent="0.25"/>
    <row r="270317" customFormat="1" x14ac:dyDescent="0.25"/>
    <row r="270318" customFormat="1" x14ac:dyDescent="0.25"/>
    <row r="270319" customFormat="1" x14ac:dyDescent="0.25"/>
    <row r="270320" customFormat="1" x14ac:dyDescent="0.25"/>
    <row r="270321" customFormat="1" x14ac:dyDescent="0.25"/>
    <row r="270322" customFormat="1" x14ac:dyDescent="0.25"/>
    <row r="270323" customFormat="1" x14ac:dyDescent="0.25"/>
    <row r="270324" customFormat="1" x14ac:dyDescent="0.25"/>
    <row r="270325" customFormat="1" x14ac:dyDescent="0.25"/>
    <row r="270326" customFormat="1" x14ac:dyDescent="0.25"/>
    <row r="270327" customFormat="1" x14ac:dyDescent="0.25"/>
    <row r="270328" customFormat="1" x14ac:dyDescent="0.25"/>
    <row r="270329" customFormat="1" x14ac:dyDescent="0.25"/>
    <row r="270330" customFormat="1" x14ac:dyDescent="0.25"/>
    <row r="270331" customFormat="1" x14ac:dyDescent="0.25"/>
    <row r="270332" customFormat="1" x14ac:dyDescent="0.25"/>
    <row r="270333" customFormat="1" x14ac:dyDescent="0.25"/>
    <row r="270334" customFormat="1" x14ac:dyDescent="0.25"/>
    <row r="270335" customFormat="1" x14ac:dyDescent="0.25"/>
    <row r="270336" customFormat="1" x14ac:dyDescent="0.25"/>
    <row r="270337" customFormat="1" x14ac:dyDescent="0.25"/>
    <row r="270338" customFormat="1" x14ac:dyDescent="0.25"/>
    <row r="270339" customFormat="1" x14ac:dyDescent="0.25"/>
    <row r="270340" customFormat="1" x14ac:dyDescent="0.25"/>
    <row r="270341" customFormat="1" x14ac:dyDescent="0.25"/>
    <row r="270342" customFormat="1" x14ac:dyDescent="0.25"/>
    <row r="270343" customFormat="1" x14ac:dyDescent="0.25"/>
    <row r="270344" customFormat="1" x14ac:dyDescent="0.25"/>
    <row r="270345" customFormat="1" x14ac:dyDescent="0.25"/>
    <row r="270346" customFormat="1" x14ac:dyDescent="0.25"/>
    <row r="270347" customFormat="1" x14ac:dyDescent="0.25"/>
    <row r="270348" customFormat="1" x14ac:dyDescent="0.25"/>
    <row r="270349" customFormat="1" x14ac:dyDescent="0.25"/>
    <row r="270350" customFormat="1" x14ac:dyDescent="0.25"/>
    <row r="270351" customFormat="1" x14ac:dyDescent="0.25"/>
    <row r="270352" customFormat="1" x14ac:dyDescent="0.25"/>
    <row r="270353" customFormat="1" x14ac:dyDescent="0.25"/>
    <row r="270354" customFormat="1" x14ac:dyDescent="0.25"/>
    <row r="270355" customFormat="1" x14ac:dyDescent="0.25"/>
    <row r="270356" customFormat="1" x14ac:dyDescent="0.25"/>
    <row r="270357" customFormat="1" x14ac:dyDescent="0.25"/>
    <row r="270358" customFormat="1" x14ac:dyDescent="0.25"/>
    <row r="270359" customFormat="1" x14ac:dyDescent="0.25"/>
    <row r="270360" customFormat="1" x14ac:dyDescent="0.25"/>
    <row r="270361" customFormat="1" x14ac:dyDescent="0.25"/>
    <row r="270362" customFormat="1" x14ac:dyDescent="0.25"/>
    <row r="270363" customFormat="1" x14ac:dyDescent="0.25"/>
    <row r="270364" customFormat="1" x14ac:dyDescent="0.25"/>
    <row r="270365" customFormat="1" x14ac:dyDescent="0.25"/>
    <row r="270366" customFormat="1" x14ac:dyDescent="0.25"/>
    <row r="270367" customFormat="1" x14ac:dyDescent="0.25"/>
    <row r="270368" customFormat="1" x14ac:dyDescent="0.25"/>
    <row r="270369" customFormat="1" x14ac:dyDescent="0.25"/>
    <row r="270370" customFormat="1" x14ac:dyDescent="0.25"/>
    <row r="270371" customFormat="1" x14ac:dyDescent="0.25"/>
    <row r="270372" customFormat="1" x14ac:dyDescent="0.25"/>
    <row r="270373" customFormat="1" x14ac:dyDescent="0.25"/>
    <row r="270374" customFormat="1" x14ac:dyDescent="0.25"/>
    <row r="270375" customFormat="1" x14ac:dyDescent="0.25"/>
    <row r="270376" customFormat="1" x14ac:dyDescent="0.25"/>
    <row r="270377" customFormat="1" x14ac:dyDescent="0.25"/>
    <row r="270378" customFormat="1" x14ac:dyDescent="0.25"/>
    <row r="270379" customFormat="1" x14ac:dyDescent="0.25"/>
    <row r="270380" customFormat="1" x14ac:dyDescent="0.25"/>
    <row r="270381" customFormat="1" x14ac:dyDescent="0.25"/>
    <row r="270382" customFormat="1" x14ac:dyDescent="0.25"/>
    <row r="270383" customFormat="1" x14ac:dyDescent="0.25"/>
    <row r="270384" customFormat="1" x14ac:dyDescent="0.25"/>
    <row r="270385" customFormat="1" x14ac:dyDescent="0.25"/>
    <row r="270386" customFormat="1" x14ac:dyDescent="0.25"/>
    <row r="270387" customFormat="1" x14ac:dyDescent="0.25"/>
    <row r="270388" customFormat="1" x14ac:dyDescent="0.25"/>
    <row r="270389" customFormat="1" x14ac:dyDescent="0.25"/>
    <row r="270390" customFormat="1" x14ac:dyDescent="0.25"/>
    <row r="270391" customFormat="1" x14ac:dyDescent="0.25"/>
    <row r="270392" customFormat="1" x14ac:dyDescent="0.25"/>
    <row r="270393" customFormat="1" x14ac:dyDescent="0.25"/>
    <row r="270394" customFormat="1" x14ac:dyDescent="0.25"/>
    <row r="270395" customFormat="1" x14ac:dyDescent="0.25"/>
    <row r="270396" customFormat="1" x14ac:dyDescent="0.25"/>
    <row r="270397" customFormat="1" x14ac:dyDescent="0.25"/>
    <row r="270398" customFormat="1" x14ac:dyDescent="0.25"/>
    <row r="270399" customFormat="1" x14ac:dyDescent="0.25"/>
    <row r="270400" customFormat="1" x14ac:dyDescent="0.25"/>
    <row r="270401" customFormat="1" x14ac:dyDescent="0.25"/>
    <row r="270402" customFormat="1" x14ac:dyDescent="0.25"/>
    <row r="270403" customFormat="1" x14ac:dyDescent="0.25"/>
    <row r="270404" customFormat="1" x14ac:dyDescent="0.25"/>
    <row r="270405" customFormat="1" x14ac:dyDescent="0.25"/>
    <row r="270406" customFormat="1" x14ac:dyDescent="0.25"/>
    <row r="270407" customFormat="1" x14ac:dyDescent="0.25"/>
    <row r="270408" customFormat="1" x14ac:dyDescent="0.25"/>
    <row r="270409" customFormat="1" x14ac:dyDescent="0.25"/>
    <row r="270410" customFormat="1" x14ac:dyDescent="0.25"/>
    <row r="270411" customFormat="1" x14ac:dyDescent="0.25"/>
    <row r="270412" customFormat="1" x14ac:dyDescent="0.25"/>
    <row r="270413" customFormat="1" x14ac:dyDescent="0.25"/>
    <row r="270414" customFormat="1" x14ac:dyDescent="0.25"/>
    <row r="270415" customFormat="1" x14ac:dyDescent="0.25"/>
    <row r="270416" customFormat="1" x14ac:dyDescent="0.25"/>
    <row r="270417" customFormat="1" x14ac:dyDescent="0.25"/>
    <row r="270418" customFormat="1" x14ac:dyDescent="0.25"/>
    <row r="270419" customFormat="1" x14ac:dyDescent="0.25"/>
    <row r="270420" customFormat="1" x14ac:dyDescent="0.25"/>
    <row r="270421" customFormat="1" x14ac:dyDescent="0.25"/>
    <row r="270422" customFormat="1" x14ac:dyDescent="0.25"/>
    <row r="270423" customFormat="1" x14ac:dyDescent="0.25"/>
    <row r="270424" customFormat="1" x14ac:dyDescent="0.25"/>
    <row r="270425" customFormat="1" x14ac:dyDescent="0.25"/>
    <row r="270426" customFormat="1" x14ac:dyDescent="0.25"/>
    <row r="270427" customFormat="1" x14ac:dyDescent="0.25"/>
    <row r="270428" customFormat="1" x14ac:dyDescent="0.25"/>
    <row r="270429" customFormat="1" x14ac:dyDescent="0.25"/>
    <row r="270430" customFormat="1" x14ac:dyDescent="0.25"/>
    <row r="270431" customFormat="1" x14ac:dyDescent="0.25"/>
    <row r="270432" customFormat="1" x14ac:dyDescent="0.25"/>
    <row r="270433" customFormat="1" x14ac:dyDescent="0.25"/>
    <row r="270434" customFormat="1" x14ac:dyDescent="0.25"/>
    <row r="270435" customFormat="1" x14ac:dyDescent="0.25"/>
    <row r="270436" customFormat="1" x14ac:dyDescent="0.25"/>
    <row r="270437" customFormat="1" x14ac:dyDescent="0.25"/>
    <row r="270438" customFormat="1" x14ac:dyDescent="0.25"/>
    <row r="270439" customFormat="1" x14ac:dyDescent="0.25"/>
    <row r="270440" customFormat="1" x14ac:dyDescent="0.25"/>
    <row r="270441" customFormat="1" x14ac:dyDescent="0.25"/>
    <row r="270442" customFormat="1" x14ac:dyDescent="0.25"/>
    <row r="270443" customFormat="1" x14ac:dyDescent="0.25"/>
    <row r="270444" customFormat="1" x14ac:dyDescent="0.25"/>
    <row r="270445" customFormat="1" x14ac:dyDescent="0.25"/>
    <row r="270446" customFormat="1" x14ac:dyDescent="0.25"/>
    <row r="270447" customFormat="1" x14ac:dyDescent="0.25"/>
    <row r="270448" customFormat="1" x14ac:dyDescent="0.25"/>
    <row r="270449" customFormat="1" x14ac:dyDescent="0.25"/>
    <row r="270450" customFormat="1" x14ac:dyDescent="0.25"/>
    <row r="270451" customFormat="1" x14ac:dyDescent="0.25"/>
    <row r="270452" customFormat="1" x14ac:dyDescent="0.25"/>
    <row r="270453" customFormat="1" x14ac:dyDescent="0.25"/>
    <row r="270454" customFormat="1" x14ac:dyDescent="0.25"/>
    <row r="270455" customFormat="1" x14ac:dyDescent="0.25"/>
    <row r="270456" customFormat="1" x14ac:dyDescent="0.25"/>
    <row r="270457" customFormat="1" x14ac:dyDescent="0.25"/>
    <row r="270458" customFormat="1" x14ac:dyDescent="0.25"/>
    <row r="270459" customFormat="1" x14ac:dyDescent="0.25"/>
    <row r="270460" customFormat="1" x14ac:dyDescent="0.25"/>
    <row r="270461" customFormat="1" x14ac:dyDescent="0.25"/>
    <row r="270462" customFormat="1" x14ac:dyDescent="0.25"/>
    <row r="270463" customFormat="1" x14ac:dyDescent="0.25"/>
    <row r="270464" customFormat="1" x14ac:dyDescent="0.25"/>
    <row r="270465" customFormat="1" x14ac:dyDescent="0.25"/>
    <row r="270466" customFormat="1" x14ac:dyDescent="0.25"/>
    <row r="270467" customFormat="1" x14ac:dyDescent="0.25"/>
    <row r="270468" customFormat="1" x14ac:dyDescent="0.25"/>
    <row r="270469" customFormat="1" x14ac:dyDescent="0.25"/>
    <row r="270470" customFormat="1" x14ac:dyDescent="0.25"/>
    <row r="270471" customFormat="1" x14ac:dyDescent="0.25"/>
    <row r="270472" customFormat="1" x14ac:dyDescent="0.25"/>
    <row r="270473" customFormat="1" x14ac:dyDescent="0.25"/>
    <row r="270474" customFormat="1" x14ac:dyDescent="0.25"/>
    <row r="270475" customFormat="1" x14ac:dyDescent="0.25"/>
    <row r="270476" customFormat="1" x14ac:dyDescent="0.25"/>
    <row r="270477" customFormat="1" x14ac:dyDescent="0.25"/>
    <row r="270478" customFormat="1" x14ac:dyDescent="0.25"/>
    <row r="270479" customFormat="1" x14ac:dyDescent="0.25"/>
    <row r="270480" customFormat="1" x14ac:dyDescent="0.25"/>
    <row r="270481" customFormat="1" x14ac:dyDescent="0.25"/>
    <row r="270482" customFormat="1" x14ac:dyDescent="0.25"/>
    <row r="270483" customFormat="1" x14ac:dyDescent="0.25"/>
    <row r="270484" customFormat="1" x14ac:dyDescent="0.25"/>
    <row r="270485" customFormat="1" x14ac:dyDescent="0.25"/>
    <row r="270486" customFormat="1" x14ac:dyDescent="0.25"/>
    <row r="270487" customFormat="1" x14ac:dyDescent="0.25"/>
    <row r="270488" customFormat="1" x14ac:dyDescent="0.25"/>
    <row r="270489" customFormat="1" x14ac:dyDescent="0.25"/>
    <row r="270490" customFormat="1" x14ac:dyDescent="0.25"/>
    <row r="270491" customFormat="1" x14ac:dyDescent="0.25"/>
    <row r="270492" customFormat="1" x14ac:dyDescent="0.25"/>
    <row r="270493" customFormat="1" x14ac:dyDescent="0.25"/>
    <row r="270494" customFormat="1" x14ac:dyDescent="0.25"/>
    <row r="270495" customFormat="1" x14ac:dyDescent="0.25"/>
    <row r="270496" customFormat="1" x14ac:dyDescent="0.25"/>
    <row r="270497" customFormat="1" x14ac:dyDescent="0.25"/>
    <row r="270498" customFormat="1" x14ac:dyDescent="0.25"/>
    <row r="270499" customFormat="1" x14ac:dyDescent="0.25"/>
    <row r="270500" customFormat="1" x14ac:dyDescent="0.25"/>
    <row r="270501" customFormat="1" x14ac:dyDescent="0.25"/>
    <row r="270502" customFormat="1" x14ac:dyDescent="0.25"/>
    <row r="270503" customFormat="1" x14ac:dyDescent="0.25"/>
    <row r="270504" customFormat="1" x14ac:dyDescent="0.25"/>
    <row r="270505" customFormat="1" x14ac:dyDescent="0.25"/>
    <row r="270506" customFormat="1" x14ac:dyDescent="0.25"/>
    <row r="270507" customFormat="1" x14ac:dyDescent="0.25"/>
    <row r="270508" customFormat="1" x14ac:dyDescent="0.25"/>
    <row r="270509" customFormat="1" x14ac:dyDescent="0.25"/>
    <row r="270510" customFormat="1" x14ac:dyDescent="0.25"/>
    <row r="270511" customFormat="1" x14ac:dyDescent="0.25"/>
    <row r="270512" customFormat="1" x14ac:dyDescent="0.25"/>
    <row r="270513" customFormat="1" x14ac:dyDescent="0.25"/>
    <row r="270514" customFormat="1" x14ac:dyDescent="0.25"/>
    <row r="270515" customFormat="1" x14ac:dyDescent="0.25"/>
    <row r="270516" customFormat="1" x14ac:dyDescent="0.25"/>
    <row r="270517" customFormat="1" x14ac:dyDescent="0.25"/>
    <row r="270518" customFormat="1" x14ac:dyDescent="0.25"/>
    <row r="270519" customFormat="1" x14ac:dyDescent="0.25"/>
    <row r="270520" customFormat="1" x14ac:dyDescent="0.25"/>
    <row r="270521" customFormat="1" x14ac:dyDescent="0.25"/>
    <row r="270522" customFormat="1" x14ac:dyDescent="0.25"/>
    <row r="270523" customFormat="1" x14ac:dyDescent="0.25"/>
    <row r="270524" customFormat="1" x14ac:dyDescent="0.25"/>
    <row r="270525" customFormat="1" x14ac:dyDescent="0.25"/>
    <row r="270526" customFormat="1" x14ac:dyDescent="0.25"/>
    <row r="270527" customFormat="1" x14ac:dyDescent="0.25"/>
    <row r="270528" customFormat="1" x14ac:dyDescent="0.25"/>
    <row r="270529" customFormat="1" x14ac:dyDescent="0.25"/>
    <row r="270530" customFormat="1" x14ac:dyDescent="0.25"/>
    <row r="270531" customFormat="1" x14ac:dyDescent="0.25"/>
    <row r="270532" customFormat="1" x14ac:dyDescent="0.25"/>
    <row r="270533" customFormat="1" x14ac:dyDescent="0.25"/>
    <row r="270534" customFormat="1" x14ac:dyDescent="0.25"/>
    <row r="270535" customFormat="1" x14ac:dyDescent="0.25"/>
    <row r="270536" customFormat="1" x14ac:dyDescent="0.25"/>
    <row r="270537" customFormat="1" x14ac:dyDescent="0.25"/>
    <row r="270538" customFormat="1" x14ac:dyDescent="0.25"/>
    <row r="270539" customFormat="1" x14ac:dyDescent="0.25"/>
    <row r="270540" customFormat="1" x14ac:dyDescent="0.25"/>
    <row r="270541" customFormat="1" x14ac:dyDescent="0.25"/>
    <row r="270542" customFormat="1" x14ac:dyDescent="0.25"/>
    <row r="270543" customFormat="1" x14ac:dyDescent="0.25"/>
    <row r="270544" customFormat="1" x14ac:dyDescent="0.25"/>
    <row r="270545" customFormat="1" x14ac:dyDescent="0.25"/>
    <row r="270546" customFormat="1" x14ac:dyDescent="0.25"/>
    <row r="270547" customFormat="1" x14ac:dyDescent="0.25"/>
    <row r="270548" customFormat="1" x14ac:dyDescent="0.25"/>
    <row r="270549" customFormat="1" x14ac:dyDescent="0.25"/>
    <row r="270550" customFormat="1" x14ac:dyDescent="0.25"/>
    <row r="270551" customFormat="1" x14ac:dyDescent="0.25"/>
    <row r="270552" customFormat="1" x14ac:dyDescent="0.25"/>
    <row r="270553" customFormat="1" x14ac:dyDescent="0.25"/>
    <row r="270554" customFormat="1" x14ac:dyDescent="0.25"/>
    <row r="270555" customFormat="1" x14ac:dyDescent="0.25"/>
    <row r="270556" customFormat="1" x14ac:dyDescent="0.25"/>
    <row r="270557" customFormat="1" x14ac:dyDescent="0.25"/>
    <row r="270558" customFormat="1" x14ac:dyDescent="0.25"/>
    <row r="270559" customFormat="1" x14ac:dyDescent="0.25"/>
    <row r="270560" customFormat="1" x14ac:dyDescent="0.25"/>
    <row r="270561" customFormat="1" x14ac:dyDescent="0.25"/>
    <row r="270562" customFormat="1" x14ac:dyDescent="0.25"/>
    <row r="270563" customFormat="1" x14ac:dyDescent="0.25"/>
    <row r="270564" customFormat="1" x14ac:dyDescent="0.25"/>
    <row r="270565" customFormat="1" x14ac:dyDescent="0.25"/>
    <row r="270566" customFormat="1" x14ac:dyDescent="0.25"/>
    <row r="270567" customFormat="1" x14ac:dyDescent="0.25"/>
    <row r="270568" customFormat="1" x14ac:dyDescent="0.25"/>
    <row r="270569" customFormat="1" x14ac:dyDescent="0.25"/>
    <row r="270570" customFormat="1" x14ac:dyDescent="0.25"/>
    <row r="270571" customFormat="1" x14ac:dyDescent="0.25"/>
    <row r="270572" customFormat="1" x14ac:dyDescent="0.25"/>
    <row r="270573" customFormat="1" x14ac:dyDescent="0.25"/>
    <row r="270574" customFormat="1" x14ac:dyDescent="0.25"/>
    <row r="270575" customFormat="1" x14ac:dyDescent="0.25"/>
    <row r="270576" customFormat="1" x14ac:dyDescent="0.25"/>
    <row r="270577" customFormat="1" x14ac:dyDescent="0.25"/>
    <row r="270578" customFormat="1" x14ac:dyDescent="0.25"/>
    <row r="270579" customFormat="1" x14ac:dyDescent="0.25"/>
    <row r="270580" customFormat="1" x14ac:dyDescent="0.25"/>
    <row r="270581" customFormat="1" x14ac:dyDescent="0.25"/>
    <row r="270582" customFormat="1" x14ac:dyDescent="0.25"/>
    <row r="270583" customFormat="1" x14ac:dyDescent="0.25"/>
    <row r="270584" customFormat="1" x14ac:dyDescent="0.25"/>
    <row r="270585" customFormat="1" x14ac:dyDescent="0.25"/>
    <row r="270586" customFormat="1" x14ac:dyDescent="0.25"/>
    <row r="270587" customFormat="1" x14ac:dyDescent="0.25"/>
    <row r="270588" customFormat="1" x14ac:dyDescent="0.25"/>
    <row r="270589" customFormat="1" x14ac:dyDescent="0.25"/>
    <row r="270590" customFormat="1" x14ac:dyDescent="0.25"/>
    <row r="270591" customFormat="1" x14ac:dyDescent="0.25"/>
    <row r="270592" customFormat="1" x14ac:dyDescent="0.25"/>
    <row r="270593" customFormat="1" x14ac:dyDescent="0.25"/>
    <row r="270594" customFormat="1" x14ac:dyDescent="0.25"/>
    <row r="270595" customFormat="1" x14ac:dyDescent="0.25"/>
    <row r="270596" customFormat="1" x14ac:dyDescent="0.25"/>
    <row r="270597" customFormat="1" x14ac:dyDescent="0.25"/>
    <row r="270598" customFormat="1" x14ac:dyDescent="0.25"/>
    <row r="270599" customFormat="1" x14ac:dyDescent="0.25"/>
    <row r="270600" customFormat="1" x14ac:dyDescent="0.25"/>
    <row r="270601" customFormat="1" x14ac:dyDescent="0.25"/>
    <row r="270602" customFormat="1" x14ac:dyDescent="0.25"/>
    <row r="270603" customFormat="1" x14ac:dyDescent="0.25"/>
    <row r="270604" customFormat="1" x14ac:dyDescent="0.25"/>
    <row r="270605" customFormat="1" x14ac:dyDescent="0.25"/>
    <row r="270606" customFormat="1" x14ac:dyDescent="0.25"/>
    <row r="270607" customFormat="1" x14ac:dyDescent="0.25"/>
    <row r="270608" customFormat="1" x14ac:dyDescent="0.25"/>
    <row r="270609" customFormat="1" x14ac:dyDescent="0.25"/>
    <row r="270610" customFormat="1" x14ac:dyDescent="0.25"/>
    <row r="270611" customFormat="1" x14ac:dyDescent="0.25"/>
    <row r="270612" customFormat="1" x14ac:dyDescent="0.25"/>
    <row r="270613" customFormat="1" x14ac:dyDescent="0.25"/>
    <row r="270614" customFormat="1" x14ac:dyDescent="0.25"/>
    <row r="270615" customFormat="1" x14ac:dyDescent="0.25"/>
    <row r="270616" customFormat="1" x14ac:dyDescent="0.25"/>
    <row r="270617" customFormat="1" x14ac:dyDescent="0.25"/>
    <row r="270618" customFormat="1" x14ac:dyDescent="0.25"/>
    <row r="270619" customFormat="1" x14ac:dyDescent="0.25"/>
    <row r="270620" customFormat="1" x14ac:dyDescent="0.25"/>
    <row r="270621" customFormat="1" x14ac:dyDescent="0.25"/>
    <row r="270622" customFormat="1" x14ac:dyDescent="0.25"/>
    <row r="270623" customFormat="1" x14ac:dyDescent="0.25"/>
    <row r="270624" customFormat="1" x14ac:dyDescent="0.25"/>
    <row r="270625" customFormat="1" x14ac:dyDescent="0.25"/>
    <row r="270626" customFormat="1" x14ac:dyDescent="0.25"/>
    <row r="270627" customFormat="1" x14ac:dyDescent="0.25"/>
    <row r="270628" customFormat="1" x14ac:dyDescent="0.25"/>
    <row r="270629" customFormat="1" x14ac:dyDescent="0.25"/>
    <row r="270630" customFormat="1" x14ac:dyDescent="0.25"/>
    <row r="270631" customFormat="1" x14ac:dyDescent="0.25"/>
    <row r="270632" customFormat="1" x14ac:dyDescent="0.25"/>
    <row r="270633" customFormat="1" x14ac:dyDescent="0.25"/>
    <row r="270634" customFormat="1" x14ac:dyDescent="0.25"/>
    <row r="270635" customFormat="1" x14ac:dyDescent="0.25"/>
    <row r="270636" customFormat="1" x14ac:dyDescent="0.25"/>
    <row r="270637" customFormat="1" x14ac:dyDescent="0.25"/>
    <row r="270638" customFormat="1" x14ac:dyDescent="0.25"/>
    <row r="270639" customFormat="1" x14ac:dyDescent="0.25"/>
    <row r="270640" customFormat="1" x14ac:dyDescent="0.25"/>
    <row r="270641" customFormat="1" x14ac:dyDescent="0.25"/>
    <row r="270642" customFormat="1" x14ac:dyDescent="0.25"/>
    <row r="270643" customFormat="1" x14ac:dyDescent="0.25"/>
    <row r="270644" customFormat="1" x14ac:dyDescent="0.25"/>
    <row r="270645" customFormat="1" x14ac:dyDescent="0.25"/>
    <row r="270646" customFormat="1" x14ac:dyDescent="0.25"/>
    <row r="270647" customFormat="1" x14ac:dyDescent="0.25"/>
    <row r="270648" customFormat="1" x14ac:dyDescent="0.25"/>
    <row r="270649" customFormat="1" x14ac:dyDescent="0.25"/>
    <row r="270650" customFormat="1" x14ac:dyDescent="0.25"/>
    <row r="270651" customFormat="1" x14ac:dyDescent="0.25"/>
    <row r="270652" customFormat="1" x14ac:dyDescent="0.25"/>
    <row r="270653" customFormat="1" x14ac:dyDescent="0.25"/>
    <row r="270654" customFormat="1" x14ac:dyDescent="0.25"/>
    <row r="270655" customFormat="1" x14ac:dyDescent="0.25"/>
    <row r="270656" customFormat="1" x14ac:dyDescent="0.25"/>
    <row r="270657" customFormat="1" x14ac:dyDescent="0.25"/>
    <row r="270658" customFormat="1" x14ac:dyDescent="0.25"/>
    <row r="270659" customFormat="1" x14ac:dyDescent="0.25"/>
    <row r="270660" customFormat="1" x14ac:dyDescent="0.25"/>
    <row r="270661" customFormat="1" x14ac:dyDescent="0.25"/>
    <row r="270662" customFormat="1" x14ac:dyDescent="0.25"/>
    <row r="270663" customFormat="1" x14ac:dyDescent="0.25"/>
    <row r="270664" customFormat="1" x14ac:dyDescent="0.25"/>
    <row r="270665" customFormat="1" x14ac:dyDescent="0.25"/>
    <row r="270666" customFormat="1" x14ac:dyDescent="0.25"/>
    <row r="270667" customFormat="1" x14ac:dyDescent="0.25"/>
    <row r="270668" customFormat="1" x14ac:dyDescent="0.25"/>
    <row r="270669" customFormat="1" x14ac:dyDescent="0.25"/>
    <row r="270670" customFormat="1" x14ac:dyDescent="0.25"/>
    <row r="270671" customFormat="1" x14ac:dyDescent="0.25"/>
    <row r="270672" customFormat="1" x14ac:dyDescent="0.25"/>
    <row r="270673" customFormat="1" x14ac:dyDescent="0.25"/>
    <row r="270674" customFormat="1" x14ac:dyDescent="0.25"/>
    <row r="270675" customFormat="1" x14ac:dyDescent="0.25"/>
    <row r="270676" customFormat="1" x14ac:dyDescent="0.25"/>
    <row r="270677" customFormat="1" x14ac:dyDescent="0.25"/>
    <row r="270678" customFormat="1" x14ac:dyDescent="0.25"/>
    <row r="270679" customFormat="1" x14ac:dyDescent="0.25"/>
    <row r="270680" customFormat="1" x14ac:dyDescent="0.25"/>
    <row r="270681" customFormat="1" x14ac:dyDescent="0.25"/>
    <row r="270682" customFormat="1" x14ac:dyDescent="0.25"/>
    <row r="270683" customFormat="1" x14ac:dyDescent="0.25"/>
    <row r="270684" customFormat="1" x14ac:dyDescent="0.25"/>
    <row r="270685" customFormat="1" x14ac:dyDescent="0.25"/>
    <row r="270686" customFormat="1" x14ac:dyDescent="0.25"/>
    <row r="270687" customFormat="1" x14ac:dyDescent="0.25"/>
    <row r="270688" customFormat="1" x14ac:dyDescent="0.25"/>
    <row r="270689" customFormat="1" x14ac:dyDescent="0.25"/>
    <row r="270690" customFormat="1" x14ac:dyDescent="0.25"/>
    <row r="270691" customFormat="1" x14ac:dyDescent="0.25"/>
    <row r="270692" customFormat="1" x14ac:dyDescent="0.25"/>
    <row r="270693" customFormat="1" x14ac:dyDescent="0.25"/>
    <row r="270694" customFormat="1" x14ac:dyDescent="0.25"/>
    <row r="270695" customFormat="1" x14ac:dyDescent="0.25"/>
    <row r="270696" customFormat="1" x14ac:dyDescent="0.25"/>
    <row r="270697" customFormat="1" x14ac:dyDescent="0.25"/>
    <row r="270698" customFormat="1" x14ac:dyDescent="0.25"/>
    <row r="270699" customFormat="1" x14ac:dyDescent="0.25"/>
    <row r="270700" customFormat="1" x14ac:dyDescent="0.25"/>
    <row r="270701" customFormat="1" x14ac:dyDescent="0.25"/>
    <row r="270702" customFormat="1" x14ac:dyDescent="0.25"/>
    <row r="270703" customFormat="1" x14ac:dyDescent="0.25"/>
    <row r="270704" customFormat="1" x14ac:dyDescent="0.25"/>
    <row r="270705" customFormat="1" x14ac:dyDescent="0.25"/>
    <row r="270706" customFormat="1" x14ac:dyDescent="0.25"/>
    <row r="270707" customFormat="1" x14ac:dyDescent="0.25"/>
    <row r="270708" customFormat="1" x14ac:dyDescent="0.25"/>
    <row r="270709" customFormat="1" x14ac:dyDescent="0.25"/>
    <row r="270710" customFormat="1" x14ac:dyDescent="0.25"/>
    <row r="270711" customFormat="1" x14ac:dyDescent="0.25"/>
    <row r="270712" customFormat="1" x14ac:dyDescent="0.25"/>
    <row r="270713" customFormat="1" x14ac:dyDescent="0.25"/>
    <row r="270714" customFormat="1" x14ac:dyDescent="0.25"/>
    <row r="270715" customFormat="1" x14ac:dyDescent="0.25"/>
    <row r="270716" customFormat="1" x14ac:dyDescent="0.25"/>
    <row r="270717" customFormat="1" x14ac:dyDescent="0.25"/>
    <row r="270718" customFormat="1" x14ac:dyDescent="0.25"/>
    <row r="270719" customFormat="1" x14ac:dyDescent="0.25"/>
    <row r="270720" customFormat="1" x14ac:dyDescent="0.25"/>
    <row r="270721" customFormat="1" x14ac:dyDescent="0.25"/>
    <row r="270722" customFormat="1" x14ac:dyDescent="0.25"/>
    <row r="270723" customFormat="1" x14ac:dyDescent="0.25"/>
    <row r="270724" customFormat="1" x14ac:dyDescent="0.25"/>
    <row r="270725" customFormat="1" x14ac:dyDescent="0.25"/>
    <row r="270726" customFormat="1" x14ac:dyDescent="0.25"/>
    <row r="270727" customFormat="1" x14ac:dyDescent="0.25"/>
    <row r="270728" customFormat="1" x14ac:dyDescent="0.25"/>
    <row r="270729" customFormat="1" x14ac:dyDescent="0.25"/>
    <row r="270730" customFormat="1" x14ac:dyDescent="0.25"/>
    <row r="270731" customFormat="1" x14ac:dyDescent="0.25"/>
    <row r="270732" customFormat="1" x14ac:dyDescent="0.25"/>
    <row r="270733" customFormat="1" x14ac:dyDescent="0.25"/>
    <row r="270734" customFormat="1" x14ac:dyDescent="0.25"/>
    <row r="270735" customFormat="1" x14ac:dyDescent="0.25"/>
    <row r="270736" customFormat="1" x14ac:dyDescent="0.25"/>
    <row r="270737" customFormat="1" x14ac:dyDescent="0.25"/>
    <row r="270738" customFormat="1" x14ac:dyDescent="0.25"/>
    <row r="270739" customFormat="1" x14ac:dyDescent="0.25"/>
    <row r="270740" customFormat="1" x14ac:dyDescent="0.25"/>
    <row r="270741" customFormat="1" x14ac:dyDescent="0.25"/>
    <row r="270742" customFormat="1" x14ac:dyDescent="0.25"/>
    <row r="270743" customFormat="1" x14ac:dyDescent="0.25"/>
    <row r="270744" customFormat="1" x14ac:dyDescent="0.25"/>
    <row r="270745" customFormat="1" x14ac:dyDescent="0.25"/>
    <row r="270746" customFormat="1" x14ac:dyDescent="0.25"/>
    <row r="270747" customFormat="1" x14ac:dyDescent="0.25"/>
    <row r="270748" customFormat="1" x14ac:dyDescent="0.25"/>
    <row r="270749" customFormat="1" x14ac:dyDescent="0.25"/>
    <row r="270750" customFormat="1" x14ac:dyDescent="0.25"/>
    <row r="270751" customFormat="1" x14ac:dyDescent="0.25"/>
    <row r="270752" customFormat="1" x14ac:dyDescent="0.25"/>
    <row r="270753" customFormat="1" x14ac:dyDescent="0.25"/>
    <row r="270754" customFormat="1" x14ac:dyDescent="0.25"/>
    <row r="270755" customFormat="1" x14ac:dyDescent="0.25"/>
    <row r="270756" customFormat="1" x14ac:dyDescent="0.25"/>
    <row r="270757" customFormat="1" x14ac:dyDescent="0.25"/>
    <row r="270758" customFormat="1" x14ac:dyDescent="0.25"/>
    <row r="270759" customFormat="1" x14ac:dyDescent="0.25"/>
    <row r="270760" customFormat="1" x14ac:dyDescent="0.25"/>
    <row r="270761" customFormat="1" x14ac:dyDescent="0.25"/>
    <row r="270762" customFormat="1" x14ac:dyDescent="0.25"/>
    <row r="270763" customFormat="1" x14ac:dyDescent="0.25"/>
    <row r="270764" customFormat="1" x14ac:dyDescent="0.25"/>
    <row r="270765" customFormat="1" x14ac:dyDescent="0.25"/>
    <row r="270766" customFormat="1" x14ac:dyDescent="0.25"/>
    <row r="270767" customFormat="1" x14ac:dyDescent="0.25"/>
    <row r="270768" customFormat="1" x14ac:dyDescent="0.25"/>
    <row r="270769" customFormat="1" x14ac:dyDescent="0.25"/>
    <row r="270770" customFormat="1" x14ac:dyDescent="0.25"/>
    <row r="270771" customFormat="1" x14ac:dyDescent="0.25"/>
    <row r="270772" customFormat="1" x14ac:dyDescent="0.25"/>
    <row r="270773" customFormat="1" x14ac:dyDescent="0.25"/>
    <row r="270774" customFormat="1" x14ac:dyDescent="0.25"/>
    <row r="270775" customFormat="1" x14ac:dyDescent="0.25"/>
    <row r="270776" customFormat="1" x14ac:dyDescent="0.25"/>
    <row r="270777" customFormat="1" x14ac:dyDescent="0.25"/>
    <row r="270778" customFormat="1" x14ac:dyDescent="0.25"/>
    <row r="270779" customFormat="1" x14ac:dyDescent="0.25"/>
    <row r="270780" customFormat="1" x14ac:dyDescent="0.25"/>
    <row r="270781" customFormat="1" x14ac:dyDescent="0.25"/>
    <row r="270782" customFormat="1" x14ac:dyDescent="0.25"/>
    <row r="270783" customFormat="1" x14ac:dyDescent="0.25"/>
    <row r="270784" customFormat="1" x14ac:dyDescent="0.25"/>
    <row r="270785" customFormat="1" x14ac:dyDescent="0.25"/>
    <row r="270786" customFormat="1" x14ac:dyDescent="0.25"/>
    <row r="270787" customFormat="1" x14ac:dyDescent="0.25"/>
    <row r="270788" customFormat="1" x14ac:dyDescent="0.25"/>
    <row r="270789" customFormat="1" x14ac:dyDescent="0.25"/>
    <row r="270790" customFormat="1" x14ac:dyDescent="0.25"/>
    <row r="270791" customFormat="1" x14ac:dyDescent="0.25"/>
    <row r="270792" customFormat="1" x14ac:dyDescent="0.25"/>
    <row r="270793" customFormat="1" x14ac:dyDescent="0.25"/>
    <row r="270794" customFormat="1" x14ac:dyDescent="0.25"/>
    <row r="270795" customFormat="1" x14ac:dyDescent="0.25"/>
    <row r="270796" customFormat="1" x14ac:dyDescent="0.25"/>
    <row r="270797" customFormat="1" x14ac:dyDescent="0.25"/>
    <row r="270798" customFormat="1" x14ac:dyDescent="0.25"/>
    <row r="270799" customFormat="1" x14ac:dyDescent="0.25"/>
    <row r="270800" customFormat="1" x14ac:dyDescent="0.25"/>
    <row r="270801" customFormat="1" x14ac:dyDescent="0.25"/>
    <row r="270802" customFormat="1" x14ac:dyDescent="0.25"/>
    <row r="270803" customFormat="1" x14ac:dyDescent="0.25"/>
    <row r="270804" customFormat="1" x14ac:dyDescent="0.25"/>
    <row r="270805" customFormat="1" x14ac:dyDescent="0.25"/>
    <row r="270806" customFormat="1" x14ac:dyDescent="0.25"/>
    <row r="270807" customFormat="1" x14ac:dyDescent="0.25"/>
    <row r="270808" customFormat="1" x14ac:dyDescent="0.25"/>
    <row r="270809" customFormat="1" x14ac:dyDescent="0.25"/>
    <row r="270810" customFormat="1" x14ac:dyDescent="0.25"/>
    <row r="270811" customFormat="1" x14ac:dyDescent="0.25"/>
    <row r="270812" customFormat="1" x14ac:dyDescent="0.25"/>
    <row r="270813" customFormat="1" x14ac:dyDescent="0.25"/>
    <row r="270814" customFormat="1" x14ac:dyDescent="0.25"/>
    <row r="270815" customFormat="1" x14ac:dyDescent="0.25"/>
    <row r="270816" customFormat="1" x14ac:dyDescent="0.25"/>
    <row r="270817" customFormat="1" x14ac:dyDescent="0.25"/>
    <row r="270818" customFormat="1" x14ac:dyDescent="0.25"/>
    <row r="270819" customFormat="1" x14ac:dyDescent="0.25"/>
    <row r="270820" customFormat="1" x14ac:dyDescent="0.25"/>
    <row r="270821" customFormat="1" x14ac:dyDescent="0.25"/>
    <row r="270822" customFormat="1" x14ac:dyDescent="0.25"/>
    <row r="270823" customFormat="1" x14ac:dyDescent="0.25"/>
    <row r="270824" customFormat="1" x14ac:dyDescent="0.25"/>
    <row r="270825" customFormat="1" x14ac:dyDescent="0.25"/>
    <row r="270826" customFormat="1" x14ac:dyDescent="0.25"/>
    <row r="270827" customFormat="1" x14ac:dyDescent="0.25"/>
    <row r="270828" customFormat="1" x14ac:dyDescent="0.25"/>
    <row r="270829" customFormat="1" x14ac:dyDescent="0.25"/>
    <row r="270830" customFormat="1" x14ac:dyDescent="0.25"/>
    <row r="270831" customFormat="1" x14ac:dyDescent="0.25"/>
    <row r="270832" customFormat="1" x14ac:dyDescent="0.25"/>
    <row r="270833" customFormat="1" x14ac:dyDescent="0.25"/>
    <row r="270834" customFormat="1" x14ac:dyDescent="0.25"/>
    <row r="270835" customFormat="1" x14ac:dyDescent="0.25"/>
    <row r="270836" customFormat="1" x14ac:dyDescent="0.25"/>
    <row r="270837" customFormat="1" x14ac:dyDescent="0.25"/>
    <row r="270838" customFormat="1" x14ac:dyDescent="0.25"/>
    <row r="270839" customFormat="1" x14ac:dyDescent="0.25"/>
    <row r="270840" customFormat="1" x14ac:dyDescent="0.25"/>
    <row r="270841" customFormat="1" x14ac:dyDescent="0.25"/>
    <row r="270842" customFormat="1" x14ac:dyDescent="0.25"/>
    <row r="270843" customFormat="1" x14ac:dyDescent="0.25"/>
    <row r="270844" customFormat="1" x14ac:dyDescent="0.25"/>
    <row r="270845" customFormat="1" x14ac:dyDescent="0.25"/>
    <row r="270846" customFormat="1" x14ac:dyDescent="0.25"/>
    <row r="270847" customFormat="1" x14ac:dyDescent="0.25"/>
    <row r="270848" customFormat="1" x14ac:dyDescent="0.25"/>
    <row r="270849" customFormat="1" x14ac:dyDescent="0.25"/>
    <row r="270850" customFormat="1" x14ac:dyDescent="0.25"/>
    <row r="270851" customFormat="1" x14ac:dyDescent="0.25"/>
    <row r="270852" customFormat="1" x14ac:dyDescent="0.25"/>
    <row r="270853" customFormat="1" x14ac:dyDescent="0.25"/>
    <row r="270854" customFormat="1" x14ac:dyDescent="0.25"/>
    <row r="270855" customFormat="1" x14ac:dyDescent="0.25"/>
    <row r="270856" customFormat="1" x14ac:dyDescent="0.25"/>
    <row r="270857" customFormat="1" x14ac:dyDescent="0.25"/>
    <row r="270858" customFormat="1" x14ac:dyDescent="0.25"/>
    <row r="270859" customFormat="1" x14ac:dyDescent="0.25"/>
    <row r="270860" customFormat="1" x14ac:dyDescent="0.25"/>
    <row r="270861" customFormat="1" x14ac:dyDescent="0.25"/>
    <row r="270862" customFormat="1" x14ac:dyDescent="0.25"/>
    <row r="270863" customFormat="1" x14ac:dyDescent="0.25"/>
    <row r="270864" customFormat="1" x14ac:dyDescent="0.25"/>
    <row r="270865" customFormat="1" x14ac:dyDescent="0.25"/>
    <row r="270866" customFormat="1" x14ac:dyDescent="0.25"/>
    <row r="270867" customFormat="1" x14ac:dyDescent="0.25"/>
    <row r="270868" customFormat="1" x14ac:dyDescent="0.25"/>
    <row r="270869" customFormat="1" x14ac:dyDescent="0.25"/>
    <row r="270870" customFormat="1" x14ac:dyDescent="0.25"/>
    <row r="270871" customFormat="1" x14ac:dyDescent="0.25"/>
    <row r="270872" customFormat="1" x14ac:dyDescent="0.25"/>
    <row r="270873" customFormat="1" x14ac:dyDescent="0.25"/>
    <row r="270874" customFormat="1" x14ac:dyDescent="0.25"/>
    <row r="270875" customFormat="1" x14ac:dyDescent="0.25"/>
    <row r="270876" customFormat="1" x14ac:dyDescent="0.25"/>
    <row r="270877" customFormat="1" x14ac:dyDescent="0.25"/>
    <row r="270878" customFormat="1" x14ac:dyDescent="0.25"/>
    <row r="270879" customFormat="1" x14ac:dyDescent="0.25"/>
    <row r="270880" customFormat="1" x14ac:dyDescent="0.25"/>
    <row r="270881" customFormat="1" x14ac:dyDescent="0.25"/>
    <row r="270882" customFormat="1" x14ac:dyDescent="0.25"/>
    <row r="270883" customFormat="1" x14ac:dyDescent="0.25"/>
    <row r="270884" customFormat="1" x14ac:dyDescent="0.25"/>
    <row r="270885" customFormat="1" x14ac:dyDescent="0.25"/>
    <row r="270886" customFormat="1" x14ac:dyDescent="0.25"/>
    <row r="270887" customFormat="1" x14ac:dyDescent="0.25"/>
    <row r="270888" customFormat="1" x14ac:dyDescent="0.25"/>
    <row r="270889" customFormat="1" x14ac:dyDescent="0.25"/>
    <row r="270890" customFormat="1" x14ac:dyDescent="0.25"/>
    <row r="270891" customFormat="1" x14ac:dyDescent="0.25"/>
    <row r="270892" customFormat="1" x14ac:dyDescent="0.25"/>
    <row r="270893" customFormat="1" x14ac:dyDescent="0.25"/>
    <row r="270894" customFormat="1" x14ac:dyDescent="0.25"/>
    <row r="270895" customFormat="1" x14ac:dyDescent="0.25"/>
    <row r="270896" customFormat="1" x14ac:dyDescent="0.25"/>
    <row r="270897" customFormat="1" x14ac:dyDescent="0.25"/>
    <row r="270898" customFormat="1" x14ac:dyDescent="0.25"/>
    <row r="270899" customFormat="1" x14ac:dyDescent="0.25"/>
    <row r="270900" customFormat="1" x14ac:dyDescent="0.25"/>
    <row r="270901" customFormat="1" x14ac:dyDescent="0.25"/>
    <row r="270902" customFormat="1" x14ac:dyDescent="0.25"/>
    <row r="270903" customFormat="1" x14ac:dyDescent="0.25"/>
    <row r="270904" customFormat="1" x14ac:dyDescent="0.25"/>
    <row r="270905" customFormat="1" x14ac:dyDescent="0.25"/>
    <row r="270906" customFormat="1" x14ac:dyDescent="0.25"/>
    <row r="270907" customFormat="1" x14ac:dyDescent="0.25"/>
    <row r="270908" customFormat="1" x14ac:dyDescent="0.25"/>
    <row r="270909" customFormat="1" x14ac:dyDescent="0.25"/>
    <row r="270910" customFormat="1" x14ac:dyDescent="0.25"/>
    <row r="270911" customFormat="1" x14ac:dyDescent="0.25"/>
    <row r="270912" customFormat="1" x14ac:dyDescent="0.25"/>
    <row r="270913" customFormat="1" x14ac:dyDescent="0.25"/>
    <row r="270914" customFormat="1" x14ac:dyDescent="0.25"/>
    <row r="270915" customFormat="1" x14ac:dyDescent="0.25"/>
    <row r="270916" customFormat="1" x14ac:dyDescent="0.25"/>
    <row r="270917" customFormat="1" x14ac:dyDescent="0.25"/>
    <row r="270918" customFormat="1" x14ac:dyDescent="0.25"/>
    <row r="270919" customFormat="1" x14ac:dyDescent="0.25"/>
    <row r="270920" customFormat="1" x14ac:dyDescent="0.25"/>
    <row r="270921" customFormat="1" x14ac:dyDescent="0.25"/>
    <row r="270922" customFormat="1" x14ac:dyDescent="0.25"/>
    <row r="270923" customFormat="1" x14ac:dyDescent="0.25"/>
    <row r="270924" customFormat="1" x14ac:dyDescent="0.25"/>
    <row r="270925" customFormat="1" x14ac:dyDescent="0.25"/>
    <row r="270926" customFormat="1" x14ac:dyDescent="0.25"/>
    <row r="270927" customFormat="1" x14ac:dyDescent="0.25"/>
    <row r="270928" customFormat="1" x14ac:dyDescent="0.25"/>
    <row r="270929" customFormat="1" x14ac:dyDescent="0.25"/>
    <row r="270930" customFormat="1" x14ac:dyDescent="0.25"/>
    <row r="270931" customFormat="1" x14ac:dyDescent="0.25"/>
    <row r="270932" customFormat="1" x14ac:dyDescent="0.25"/>
    <row r="270933" customFormat="1" x14ac:dyDescent="0.25"/>
    <row r="270934" customFormat="1" x14ac:dyDescent="0.25"/>
    <row r="270935" customFormat="1" x14ac:dyDescent="0.25"/>
    <row r="270936" customFormat="1" x14ac:dyDescent="0.25"/>
    <row r="270937" customFormat="1" x14ac:dyDescent="0.25"/>
    <row r="270938" customFormat="1" x14ac:dyDescent="0.25"/>
    <row r="270939" customFormat="1" x14ac:dyDescent="0.25"/>
    <row r="270940" customFormat="1" x14ac:dyDescent="0.25"/>
    <row r="270941" customFormat="1" x14ac:dyDescent="0.25"/>
    <row r="270942" customFormat="1" x14ac:dyDescent="0.25"/>
    <row r="270943" customFormat="1" x14ac:dyDescent="0.25"/>
    <row r="270944" customFormat="1" x14ac:dyDescent="0.25"/>
    <row r="270945" customFormat="1" x14ac:dyDescent="0.25"/>
    <row r="270946" customFormat="1" x14ac:dyDescent="0.25"/>
    <row r="270947" customFormat="1" x14ac:dyDescent="0.25"/>
    <row r="270948" customFormat="1" x14ac:dyDescent="0.25"/>
    <row r="270949" customFormat="1" x14ac:dyDescent="0.25"/>
    <row r="270950" customFormat="1" x14ac:dyDescent="0.25"/>
    <row r="270951" customFormat="1" x14ac:dyDescent="0.25"/>
    <row r="270952" customFormat="1" x14ac:dyDescent="0.25"/>
    <row r="270953" customFormat="1" x14ac:dyDescent="0.25"/>
    <row r="270954" customFormat="1" x14ac:dyDescent="0.25"/>
    <row r="270955" customFormat="1" x14ac:dyDescent="0.25"/>
    <row r="270956" customFormat="1" x14ac:dyDescent="0.25"/>
    <row r="270957" customFormat="1" x14ac:dyDescent="0.25"/>
    <row r="270958" customFormat="1" x14ac:dyDescent="0.25"/>
    <row r="270959" customFormat="1" x14ac:dyDescent="0.25"/>
    <row r="270960" customFormat="1" x14ac:dyDescent="0.25"/>
    <row r="270961" customFormat="1" x14ac:dyDescent="0.25"/>
    <row r="270962" customFormat="1" x14ac:dyDescent="0.25"/>
    <row r="270963" customFormat="1" x14ac:dyDescent="0.25"/>
    <row r="270964" customFormat="1" x14ac:dyDescent="0.25"/>
    <row r="270965" customFormat="1" x14ac:dyDescent="0.25"/>
    <row r="270966" customFormat="1" x14ac:dyDescent="0.25"/>
    <row r="270967" customFormat="1" x14ac:dyDescent="0.25"/>
    <row r="270968" customFormat="1" x14ac:dyDescent="0.25"/>
    <row r="270969" customFormat="1" x14ac:dyDescent="0.25"/>
    <row r="270970" customFormat="1" x14ac:dyDescent="0.25"/>
    <row r="270971" customFormat="1" x14ac:dyDescent="0.25"/>
    <row r="270972" customFormat="1" x14ac:dyDescent="0.25"/>
    <row r="270973" customFormat="1" x14ac:dyDescent="0.25"/>
    <row r="270974" customFormat="1" x14ac:dyDescent="0.25"/>
    <row r="270975" customFormat="1" x14ac:dyDescent="0.25"/>
    <row r="270976" customFormat="1" x14ac:dyDescent="0.25"/>
    <row r="270977" customFormat="1" x14ac:dyDescent="0.25"/>
    <row r="270978" customFormat="1" x14ac:dyDescent="0.25"/>
    <row r="270979" customFormat="1" x14ac:dyDescent="0.25"/>
    <row r="270980" customFormat="1" x14ac:dyDescent="0.25"/>
    <row r="270981" customFormat="1" x14ac:dyDescent="0.25"/>
    <row r="270982" customFormat="1" x14ac:dyDescent="0.25"/>
    <row r="270983" customFormat="1" x14ac:dyDescent="0.25"/>
    <row r="270984" customFormat="1" x14ac:dyDescent="0.25"/>
    <row r="270985" customFormat="1" x14ac:dyDescent="0.25"/>
    <row r="270986" customFormat="1" x14ac:dyDescent="0.25"/>
    <row r="270987" customFormat="1" x14ac:dyDescent="0.25"/>
    <row r="270988" customFormat="1" x14ac:dyDescent="0.25"/>
    <row r="270989" customFormat="1" x14ac:dyDescent="0.25"/>
    <row r="270990" customFormat="1" x14ac:dyDescent="0.25"/>
    <row r="270991" customFormat="1" x14ac:dyDescent="0.25"/>
    <row r="270992" customFormat="1" x14ac:dyDescent="0.25"/>
    <row r="270993" customFormat="1" x14ac:dyDescent="0.25"/>
    <row r="270994" customFormat="1" x14ac:dyDescent="0.25"/>
    <row r="270995" customFormat="1" x14ac:dyDescent="0.25"/>
    <row r="270996" customFormat="1" x14ac:dyDescent="0.25"/>
    <row r="270997" customFormat="1" x14ac:dyDescent="0.25"/>
    <row r="270998" customFormat="1" x14ac:dyDescent="0.25"/>
    <row r="270999" customFormat="1" x14ac:dyDescent="0.25"/>
    <row r="271000" customFormat="1" x14ac:dyDescent="0.25"/>
    <row r="271001" customFormat="1" x14ac:dyDescent="0.25"/>
    <row r="271002" customFormat="1" x14ac:dyDescent="0.25"/>
    <row r="271003" customFormat="1" x14ac:dyDescent="0.25"/>
    <row r="271004" customFormat="1" x14ac:dyDescent="0.25"/>
    <row r="271005" customFormat="1" x14ac:dyDescent="0.25"/>
    <row r="271006" customFormat="1" x14ac:dyDescent="0.25"/>
    <row r="271007" customFormat="1" x14ac:dyDescent="0.25"/>
    <row r="271008" customFormat="1" x14ac:dyDescent="0.25"/>
    <row r="271009" customFormat="1" x14ac:dyDescent="0.25"/>
    <row r="271010" customFormat="1" x14ac:dyDescent="0.25"/>
    <row r="271011" customFormat="1" x14ac:dyDescent="0.25"/>
    <row r="271012" customFormat="1" x14ac:dyDescent="0.25"/>
    <row r="271013" customFormat="1" x14ac:dyDescent="0.25"/>
    <row r="271014" customFormat="1" x14ac:dyDescent="0.25"/>
    <row r="271015" customFormat="1" x14ac:dyDescent="0.25"/>
    <row r="271016" customFormat="1" x14ac:dyDescent="0.25"/>
    <row r="271017" customFormat="1" x14ac:dyDescent="0.25"/>
    <row r="271018" customFormat="1" x14ac:dyDescent="0.25"/>
    <row r="271019" customFormat="1" x14ac:dyDescent="0.25"/>
    <row r="271020" customFormat="1" x14ac:dyDescent="0.25"/>
    <row r="271021" customFormat="1" x14ac:dyDescent="0.25"/>
    <row r="271022" customFormat="1" x14ac:dyDescent="0.25"/>
    <row r="271023" customFormat="1" x14ac:dyDescent="0.25"/>
    <row r="271024" customFormat="1" x14ac:dyDescent="0.25"/>
    <row r="271025" customFormat="1" x14ac:dyDescent="0.25"/>
    <row r="271026" customFormat="1" x14ac:dyDescent="0.25"/>
    <row r="271027" customFormat="1" x14ac:dyDescent="0.25"/>
    <row r="271028" customFormat="1" x14ac:dyDescent="0.25"/>
    <row r="271029" customFormat="1" x14ac:dyDescent="0.25"/>
    <row r="271030" customFormat="1" x14ac:dyDescent="0.25"/>
    <row r="271031" customFormat="1" x14ac:dyDescent="0.25"/>
    <row r="271032" customFormat="1" x14ac:dyDescent="0.25"/>
    <row r="271033" customFormat="1" x14ac:dyDescent="0.25"/>
    <row r="271034" customFormat="1" x14ac:dyDescent="0.25"/>
    <row r="271035" customFormat="1" x14ac:dyDescent="0.25"/>
    <row r="271036" customFormat="1" x14ac:dyDescent="0.25"/>
    <row r="271037" customFormat="1" x14ac:dyDescent="0.25"/>
    <row r="271038" customFormat="1" x14ac:dyDescent="0.25"/>
    <row r="271039" customFormat="1" x14ac:dyDescent="0.25"/>
    <row r="271040" customFormat="1" x14ac:dyDescent="0.25"/>
    <row r="271041" customFormat="1" x14ac:dyDescent="0.25"/>
    <row r="271042" customFormat="1" x14ac:dyDescent="0.25"/>
    <row r="271043" customFormat="1" x14ac:dyDescent="0.25"/>
    <row r="271044" customFormat="1" x14ac:dyDescent="0.25"/>
    <row r="271045" customFormat="1" x14ac:dyDescent="0.25"/>
    <row r="271046" customFormat="1" x14ac:dyDescent="0.25"/>
    <row r="271047" customFormat="1" x14ac:dyDescent="0.25"/>
    <row r="271048" customFormat="1" x14ac:dyDescent="0.25"/>
    <row r="271049" customFormat="1" x14ac:dyDescent="0.25"/>
    <row r="271050" customFormat="1" x14ac:dyDescent="0.25"/>
    <row r="271051" customFormat="1" x14ac:dyDescent="0.25"/>
    <row r="271052" customFormat="1" x14ac:dyDescent="0.25"/>
    <row r="271053" customFormat="1" x14ac:dyDescent="0.25"/>
    <row r="271054" customFormat="1" x14ac:dyDescent="0.25"/>
    <row r="271055" customFormat="1" x14ac:dyDescent="0.25"/>
    <row r="271056" customFormat="1" x14ac:dyDescent="0.25"/>
    <row r="271057" customFormat="1" x14ac:dyDescent="0.25"/>
    <row r="271058" customFormat="1" x14ac:dyDescent="0.25"/>
    <row r="271059" customFormat="1" x14ac:dyDescent="0.25"/>
    <row r="271060" customFormat="1" x14ac:dyDescent="0.25"/>
    <row r="271061" customFormat="1" x14ac:dyDescent="0.25"/>
    <row r="271062" customFormat="1" x14ac:dyDescent="0.25"/>
    <row r="271063" customFormat="1" x14ac:dyDescent="0.25"/>
    <row r="271064" customFormat="1" x14ac:dyDescent="0.25"/>
    <row r="271065" customFormat="1" x14ac:dyDescent="0.25"/>
    <row r="271066" customFormat="1" x14ac:dyDescent="0.25"/>
    <row r="271067" customFormat="1" x14ac:dyDescent="0.25"/>
    <row r="271068" customFormat="1" x14ac:dyDescent="0.25"/>
    <row r="271069" customFormat="1" x14ac:dyDescent="0.25"/>
    <row r="271070" customFormat="1" x14ac:dyDescent="0.25"/>
    <row r="271071" customFormat="1" x14ac:dyDescent="0.25"/>
    <row r="271072" customFormat="1" x14ac:dyDescent="0.25"/>
    <row r="271073" customFormat="1" x14ac:dyDescent="0.25"/>
    <row r="271074" customFormat="1" x14ac:dyDescent="0.25"/>
    <row r="271075" customFormat="1" x14ac:dyDescent="0.25"/>
    <row r="271076" customFormat="1" x14ac:dyDescent="0.25"/>
    <row r="271077" customFormat="1" x14ac:dyDescent="0.25"/>
    <row r="271078" customFormat="1" x14ac:dyDescent="0.25"/>
    <row r="271079" customFormat="1" x14ac:dyDescent="0.25"/>
    <row r="271080" customFormat="1" x14ac:dyDescent="0.25"/>
    <row r="271081" customFormat="1" x14ac:dyDescent="0.25"/>
    <row r="271082" customFormat="1" x14ac:dyDescent="0.25"/>
    <row r="271083" customFormat="1" x14ac:dyDescent="0.25"/>
    <row r="271084" customFormat="1" x14ac:dyDescent="0.25"/>
    <row r="271085" customFormat="1" x14ac:dyDescent="0.25"/>
    <row r="271086" customFormat="1" x14ac:dyDescent="0.25"/>
    <row r="271087" customFormat="1" x14ac:dyDescent="0.25"/>
    <row r="271088" customFormat="1" x14ac:dyDescent="0.25"/>
    <row r="271089" customFormat="1" x14ac:dyDescent="0.25"/>
    <row r="271090" customFormat="1" x14ac:dyDescent="0.25"/>
    <row r="271091" customFormat="1" x14ac:dyDescent="0.25"/>
    <row r="271092" customFormat="1" x14ac:dyDescent="0.25"/>
    <row r="271093" customFormat="1" x14ac:dyDescent="0.25"/>
    <row r="271094" customFormat="1" x14ac:dyDescent="0.25"/>
    <row r="271095" customFormat="1" x14ac:dyDescent="0.25"/>
    <row r="271096" customFormat="1" x14ac:dyDescent="0.25"/>
    <row r="271097" customFormat="1" x14ac:dyDescent="0.25"/>
    <row r="271098" customFormat="1" x14ac:dyDescent="0.25"/>
    <row r="271099" customFormat="1" x14ac:dyDescent="0.25"/>
    <row r="271100" customFormat="1" x14ac:dyDescent="0.25"/>
    <row r="271101" customFormat="1" x14ac:dyDescent="0.25"/>
    <row r="271102" customFormat="1" x14ac:dyDescent="0.25"/>
    <row r="271103" customFormat="1" x14ac:dyDescent="0.25"/>
    <row r="271104" customFormat="1" x14ac:dyDescent="0.25"/>
    <row r="271105" customFormat="1" x14ac:dyDescent="0.25"/>
    <row r="271106" customFormat="1" x14ac:dyDescent="0.25"/>
    <row r="271107" customFormat="1" x14ac:dyDescent="0.25"/>
    <row r="271108" customFormat="1" x14ac:dyDescent="0.25"/>
    <row r="271109" customFormat="1" x14ac:dyDescent="0.25"/>
    <row r="271110" customFormat="1" x14ac:dyDescent="0.25"/>
    <row r="271111" customFormat="1" x14ac:dyDescent="0.25"/>
    <row r="271112" customFormat="1" x14ac:dyDescent="0.25"/>
    <row r="271113" customFormat="1" x14ac:dyDescent="0.25"/>
    <row r="271114" customFormat="1" x14ac:dyDescent="0.25"/>
    <row r="271115" customFormat="1" x14ac:dyDescent="0.25"/>
    <row r="271116" customFormat="1" x14ac:dyDescent="0.25"/>
    <row r="271117" customFormat="1" x14ac:dyDescent="0.25"/>
    <row r="271118" customFormat="1" x14ac:dyDescent="0.25"/>
    <row r="271119" customFormat="1" x14ac:dyDescent="0.25"/>
    <row r="271120" customFormat="1" x14ac:dyDescent="0.25"/>
    <row r="271121" customFormat="1" x14ac:dyDescent="0.25"/>
    <row r="271122" customFormat="1" x14ac:dyDescent="0.25"/>
    <row r="271123" customFormat="1" x14ac:dyDescent="0.25"/>
    <row r="271124" customFormat="1" x14ac:dyDescent="0.25"/>
    <row r="271125" customFormat="1" x14ac:dyDescent="0.25"/>
    <row r="271126" customFormat="1" x14ac:dyDescent="0.25"/>
    <row r="271127" customFormat="1" x14ac:dyDescent="0.25"/>
    <row r="271128" customFormat="1" x14ac:dyDescent="0.25"/>
    <row r="271129" customFormat="1" x14ac:dyDescent="0.25"/>
    <row r="271130" customFormat="1" x14ac:dyDescent="0.25"/>
    <row r="271131" customFormat="1" x14ac:dyDescent="0.25"/>
    <row r="271132" customFormat="1" x14ac:dyDescent="0.25"/>
    <row r="271133" customFormat="1" x14ac:dyDescent="0.25"/>
    <row r="271134" customFormat="1" x14ac:dyDescent="0.25"/>
    <row r="271135" customFormat="1" x14ac:dyDescent="0.25"/>
    <row r="271136" customFormat="1" x14ac:dyDescent="0.25"/>
    <row r="271137" customFormat="1" x14ac:dyDescent="0.25"/>
    <row r="271138" customFormat="1" x14ac:dyDescent="0.25"/>
    <row r="271139" customFormat="1" x14ac:dyDescent="0.25"/>
    <row r="271140" customFormat="1" x14ac:dyDescent="0.25"/>
    <row r="271141" customFormat="1" x14ac:dyDescent="0.25"/>
    <row r="271142" customFormat="1" x14ac:dyDescent="0.25"/>
    <row r="271143" customFormat="1" x14ac:dyDescent="0.25"/>
    <row r="271144" customFormat="1" x14ac:dyDescent="0.25"/>
    <row r="271145" customFormat="1" x14ac:dyDescent="0.25"/>
    <row r="271146" customFormat="1" x14ac:dyDescent="0.25"/>
    <row r="271147" customFormat="1" x14ac:dyDescent="0.25"/>
    <row r="271148" customFormat="1" x14ac:dyDescent="0.25"/>
    <row r="271149" customFormat="1" x14ac:dyDescent="0.25"/>
    <row r="271150" customFormat="1" x14ac:dyDescent="0.25"/>
    <row r="271151" customFormat="1" x14ac:dyDescent="0.25"/>
    <row r="271152" customFormat="1" x14ac:dyDescent="0.25"/>
    <row r="271153" customFormat="1" x14ac:dyDescent="0.25"/>
    <row r="271154" customFormat="1" x14ac:dyDescent="0.25"/>
    <row r="271155" customFormat="1" x14ac:dyDescent="0.25"/>
    <row r="271156" customFormat="1" x14ac:dyDescent="0.25"/>
    <row r="271157" customFormat="1" x14ac:dyDescent="0.25"/>
    <row r="271158" customFormat="1" x14ac:dyDescent="0.25"/>
    <row r="271159" customFormat="1" x14ac:dyDescent="0.25"/>
    <row r="271160" customFormat="1" x14ac:dyDescent="0.25"/>
    <row r="271161" customFormat="1" x14ac:dyDescent="0.25"/>
    <row r="271162" customFormat="1" x14ac:dyDescent="0.25"/>
    <row r="271163" customFormat="1" x14ac:dyDescent="0.25"/>
    <row r="271164" customFormat="1" x14ac:dyDescent="0.25"/>
    <row r="271165" customFormat="1" x14ac:dyDescent="0.25"/>
    <row r="271166" customFormat="1" x14ac:dyDescent="0.25"/>
    <row r="271167" customFormat="1" x14ac:dyDescent="0.25"/>
    <row r="271168" customFormat="1" x14ac:dyDescent="0.25"/>
    <row r="271169" customFormat="1" x14ac:dyDescent="0.25"/>
    <row r="271170" customFormat="1" x14ac:dyDescent="0.25"/>
    <row r="271171" customFormat="1" x14ac:dyDescent="0.25"/>
    <row r="271172" customFormat="1" x14ac:dyDescent="0.25"/>
    <row r="271173" customFormat="1" x14ac:dyDescent="0.25"/>
    <row r="271174" customFormat="1" x14ac:dyDescent="0.25"/>
    <row r="271175" customFormat="1" x14ac:dyDescent="0.25"/>
    <row r="271176" customFormat="1" x14ac:dyDescent="0.25"/>
    <row r="271177" customFormat="1" x14ac:dyDescent="0.25"/>
    <row r="271178" customFormat="1" x14ac:dyDescent="0.25"/>
    <row r="271179" customFormat="1" x14ac:dyDescent="0.25"/>
    <row r="271180" customFormat="1" x14ac:dyDescent="0.25"/>
    <row r="271181" customFormat="1" x14ac:dyDescent="0.25"/>
    <row r="271182" customFormat="1" x14ac:dyDescent="0.25"/>
    <row r="271183" customFormat="1" x14ac:dyDescent="0.25"/>
    <row r="271184" customFormat="1" x14ac:dyDescent="0.25"/>
    <row r="271185" customFormat="1" x14ac:dyDescent="0.25"/>
    <row r="271186" customFormat="1" x14ac:dyDescent="0.25"/>
    <row r="271187" customFormat="1" x14ac:dyDescent="0.25"/>
    <row r="271188" customFormat="1" x14ac:dyDescent="0.25"/>
    <row r="271189" customFormat="1" x14ac:dyDescent="0.25"/>
    <row r="271190" customFormat="1" x14ac:dyDescent="0.25"/>
    <row r="271191" customFormat="1" x14ac:dyDescent="0.25"/>
    <row r="271192" customFormat="1" x14ac:dyDescent="0.25"/>
    <row r="271193" customFormat="1" x14ac:dyDescent="0.25"/>
    <row r="271194" customFormat="1" x14ac:dyDescent="0.25"/>
    <row r="271195" customFormat="1" x14ac:dyDescent="0.25"/>
    <row r="271196" customFormat="1" x14ac:dyDescent="0.25"/>
    <row r="271197" customFormat="1" x14ac:dyDescent="0.25"/>
    <row r="271198" customFormat="1" x14ac:dyDescent="0.25"/>
    <row r="271199" customFormat="1" x14ac:dyDescent="0.25"/>
    <row r="271200" customFormat="1" x14ac:dyDescent="0.25"/>
    <row r="271201" customFormat="1" x14ac:dyDescent="0.25"/>
    <row r="271202" customFormat="1" x14ac:dyDescent="0.25"/>
    <row r="271203" customFormat="1" x14ac:dyDescent="0.25"/>
    <row r="271204" customFormat="1" x14ac:dyDescent="0.25"/>
    <row r="271205" customFormat="1" x14ac:dyDescent="0.25"/>
    <row r="271206" customFormat="1" x14ac:dyDescent="0.25"/>
    <row r="271207" customFormat="1" x14ac:dyDescent="0.25"/>
    <row r="271208" customFormat="1" x14ac:dyDescent="0.25"/>
    <row r="271209" customFormat="1" x14ac:dyDescent="0.25"/>
    <row r="271210" customFormat="1" x14ac:dyDescent="0.25"/>
    <row r="271211" customFormat="1" x14ac:dyDescent="0.25"/>
    <row r="271212" customFormat="1" x14ac:dyDescent="0.25"/>
    <row r="271213" customFormat="1" x14ac:dyDescent="0.25"/>
    <row r="271214" customFormat="1" x14ac:dyDescent="0.25"/>
    <row r="271215" customFormat="1" x14ac:dyDescent="0.25"/>
    <row r="271216" customFormat="1" x14ac:dyDescent="0.25"/>
    <row r="271217" customFormat="1" x14ac:dyDescent="0.25"/>
    <row r="271218" customFormat="1" x14ac:dyDescent="0.25"/>
    <row r="271219" customFormat="1" x14ac:dyDescent="0.25"/>
    <row r="271220" customFormat="1" x14ac:dyDescent="0.25"/>
    <row r="271221" customFormat="1" x14ac:dyDescent="0.25"/>
    <row r="271222" customFormat="1" x14ac:dyDescent="0.25"/>
    <row r="271223" customFormat="1" x14ac:dyDescent="0.25"/>
    <row r="271224" customFormat="1" x14ac:dyDescent="0.25"/>
    <row r="271225" customFormat="1" x14ac:dyDescent="0.25"/>
    <row r="271226" customFormat="1" x14ac:dyDescent="0.25"/>
    <row r="271227" customFormat="1" x14ac:dyDescent="0.25"/>
    <row r="271228" customFormat="1" x14ac:dyDescent="0.25"/>
    <row r="271229" customFormat="1" x14ac:dyDescent="0.25"/>
    <row r="271230" customFormat="1" x14ac:dyDescent="0.25"/>
    <row r="271231" customFormat="1" x14ac:dyDescent="0.25"/>
    <row r="271232" customFormat="1" x14ac:dyDescent="0.25"/>
    <row r="271233" customFormat="1" x14ac:dyDescent="0.25"/>
    <row r="271234" customFormat="1" x14ac:dyDescent="0.25"/>
    <row r="271235" customFormat="1" x14ac:dyDescent="0.25"/>
    <row r="271236" customFormat="1" x14ac:dyDescent="0.25"/>
    <row r="271237" customFormat="1" x14ac:dyDescent="0.25"/>
    <row r="271238" customFormat="1" x14ac:dyDescent="0.25"/>
    <row r="271239" customFormat="1" x14ac:dyDescent="0.25"/>
    <row r="271240" customFormat="1" x14ac:dyDescent="0.25"/>
    <row r="271241" customFormat="1" x14ac:dyDescent="0.25"/>
    <row r="271242" customFormat="1" x14ac:dyDescent="0.25"/>
    <row r="271243" customFormat="1" x14ac:dyDescent="0.25"/>
    <row r="271244" customFormat="1" x14ac:dyDescent="0.25"/>
    <row r="271245" customFormat="1" x14ac:dyDescent="0.25"/>
    <row r="271246" customFormat="1" x14ac:dyDescent="0.25"/>
    <row r="271247" customFormat="1" x14ac:dyDescent="0.25"/>
    <row r="271248" customFormat="1" x14ac:dyDescent="0.25"/>
    <row r="271249" customFormat="1" x14ac:dyDescent="0.25"/>
    <row r="271250" customFormat="1" x14ac:dyDescent="0.25"/>
    <row r="271251" customFormat="1" x14ac:dyDescent="0.25"/>
    <row r="271252" customFormat="1" x14ac:dyDescent="0.25"/>
    <row r="271253" customFormat="1" x14ac:dyDescent="0.25"/>
    <row r="271254" customFormat="1" x14ac:dyDescent="0.25"/>
    <row r="271255" customFormat="1" x14ac:dyDescent="0.25"/>
    <row r="271256" customFormat="1" x14ac:dyDescent="0.25"/>
    <row r="271257" customFormat="1" x14ac:dyDescent="0.25"/>
    <row r="271258" customFormat="1" x14ac:dyDescent="0.25"/>
    <row r="271259" customFormat="1" x14ac:dyDescent="0.25"/>
    <row r="271260" customFormat="1" x14ac:dyDescent="0.25"/>
    <row r="271261" customFormat="1" x14ac:dyDescent="0.25"/>
    <row r="271262" customFormat="1" x14ac:dyDescent="0.25"/>
    <row r="271263" customFormat="1" x14ac:dyDescent="0.25"/>
    <row r="271264" customFormat="1" x14ac:dyDescent="0.25"/>
    <row r="271265" customFormat="1" x14ac:dyDescent="0.25"/>
    <row r="271266" customFormat="1" x14ac:dyDescent="0.25"/>
    <row r="271267" customFormat="1" x14ac:dyDescent="0.25"/>
    <row r="271268" customFormat="1" x14ac:dyDescent="0.25"/>
    <row r="271269" customFormat="1" x14ac:dyDescent="0.25"/>
    <row r="271270" customFormat="1" x14ac:dyDescent="0.25"/>
    <row r="271271" customFormat="1" x14ac:dyDescent="0.25"/>
    <row r="271272" customFormat="1" x14ac:dyDescent="0.25"/>
    <row r="271273" customFormat="1" x14ac:dyDescent="0.25"/>
    <row r="271274" customFormat="1" x14ac:dyDescent="0.25"/>
    <row r="271275" customFormat="1" x14ac:dyDescent="0.25"/>
    <row r="271276" customFormat="1" x14ac:dyDescent="0.25"/>
    <row r="271277" customFormat="1" x14ac:dyDescent="0.25"/>
    <row r="271278" customFormat="1" x14ac:dyDescent="0.25"/>
    <row r="271279" customFormat="1" x14ac:dyDescent="0.25"/>
    <row r="271280" customFormat="1" x14ac:dyDescent="0.25"/>
    <row r="271281" customFormat="1" x14ac:dyDescent="0.25"/>
    <row r="271282" customFormat="1" x14ac:dyDescent="0.25"/>
    <row r="271283" customFormat="1" x14ac:dyDescent="0.25"/>
    <row r="271284" customFormat="1" x14ac:dyDescent="0.25"/>
    <row r="271285" customFormat="1" x14ac:dyDescent="0.25"/>
    <row r="271286" customFormat="1" x14ac:dyDescent="0.25"/>
    <row r="271287" customFormat="1" x14ac:dyDescent="0.25"/>
    <row r="271288" customFormat="1" x14ac:dyDescent="0.25"/>
    <row r="271289" customFormat="1" x14ac:dyDescent="0.25"/>
    <row r="271290" customFormat="1" x14ac:dyDescent="0.25"/>
    <row r="271291" customFormat="1" x14ac:dyDescent="0.25"/>
    <row r="271292" customFormat="1" x14ac:dyDescent="0.25"/>
    <row r="271293" customFormat="1" x14ac:dyDescent="0.25"/>
    <row r="271294" customFormat="1" x14ac:dyDescent="0.25"/>
    <row r="271295" customFormat="1" x14ac:dyDescent="0.25"/>
    <row r="271296" customFormat="1" x14ac:dyDescent="0.25"/>
    <row r="271297" customFormat="1" x14ac:dyDescent="0.25"/>
    <row r="271298" customFormat="1" x14ac:dyDescent="0.25"/>
    <row r="271299" customFormat="1" x14ac:dyDescent="0.25"/>
    <row r="271300" customFormat="1" x14ac:dyDescent="0.25"/>
    <row r="271301" customFormat="1" x14ac:dyDescent="0.25"/>
    <row r="271302" customFormat="1" x14ac:dyDescent="0.25"/>
    <row r="271303" customFormat="1" x14ac:dyDescent="0.25"/>
    <row r="271304" customFormat="1" x14ac:dyDescent="0.25"/>
    <row r="271305" customFormat="1" x14ac:dyDescent="0.25"/>
    <row r="271306" customFormat="1" x14ac:dyDescent="0.25"/>
    <row r="271307" customFormat="1" x14ac:dyDescent="0.25"/>
    <row r="271308" customFormat="1" x14ac:dyDescent="0.25"/>
    <row r="271309" customFormat="1" x14ac:dyDescent="0.25"/>
    <row r="271310" customFormat="1" x14ac:dyDescent="0.25"/>
    <row r="271311" customFormat="1" x14ac:dyDescent="0.25"/>
    <row r="271312" customFormat="1" x14ac:dyDescent="0.25"/>
    <row r="271313" customFormat="1" x14ac:dyDescent="0.25"/>
    <row r="271314" customFormat="1" x14ac:dyDescent="0.25"/>
    <row r="271315" customFormat="1" x14ac:dyDescent="0.25"/>
    <row r="271316" customFormat="1" x14ac:dyDescent="0.25"/>
    <row r="271317" customFormat="1" x14ac:dyDescent="0.25"/>
    <row r="271318" customFormat="1" x14ac:dyDescent="0.25"/>
    <row r="271319" customFormat="1" x14ac:dyDescent="0.25"/>
    <row r="271320" customFormat="1" x14ac:dyDescent="0.25"/>
    <row r="271321" customFormat="1" x14ac:dyDescent="0.25"/>
    <row r="271322" customFormat="1" x14ac:dyDescent="0.25"/>
    <row r="271323" customFormat="1" x14ac:dyDescent="0.25"/>
    <row r="271324" customFormat="1" x14ac:dyDescent="0.25"/>
    <row r="271325" customFormat="1" x14ac:dyDescent="0.25"/>
    <row r="271326" customFormat="1" x14ac:dyDescent="0.25"/>
    <row r="271327" customFormat="1" x14ac:dyDescent="0.25"/>
    <row r="271328" customFormat="1" x14ac:dyDescent="0.25"/>
    <row r="271329" customFormat="1" x14ac:dyDescent="0.25"/>
    <row r="271330" customFormat="1" x14ac:dyDescent="0.25"/>
    <row r="271331" customFormat="1" x14ac:dyDescent="0.25"/>
    <row r="271332" customFormat="1" x14ac:dyDescent="0.25"/>
    <row r="271333" customFormat="1" x14ac:dyDescent="0.25"/>
    <row r="271334" customFormat="1" x14ac:dyDescent="0.25"/>
    <row r="271335" customFormat="1" x14ac:dyDescent="0.25"/>
    <row r="271336" customFormat="1" x14ac:dyDescent="0.25"/>
    <row r="271337" customFormat="1" x14ac:dyDescent="0.25"/>
    <row r="271338" customFormat="1" x14ac:dyDescent="0.25"/>
    <row r="271339" customFormat="1" x14ac:dyDescent="0.25"/>
    <row r="271340" customFormat="1" x14ac:dyDescent="0.25"/>
    <row r="271341" customFormat="1" x14ac:dyDescent="0.25"/>
    <row r="271342" customFormat="1" x14ac:dyDescent="0.25"/>
    <row r="271343" customFormat="1" x14ac:dyDescent="0.25"/>
    <row r="271344" customFormat="1" x14ac:dyDescent="0.25"/>
    <row r="271345" customFormat="1" x14ac:dyDescent="0.25"/>
    <row r="271346" customFormat="1" x14ac:dyDescent="0.25"/>
    <row r="271347" customFormat="1" x14ac:dyDescent="0.25"/>
    <row r="271348" customFormat="1" x14ac:dyDescent="0.25"/>
    <row r="271349" customFormat="1" x14ac:dyDescent="0.25"/>
    <row r="271350" customFormat="1" x14ac:dyDescent="0.25"/>
    <row r="271351" customFormat="1" x14ac:dyDescent="0.25"/>
    <row r="271352" customFormat="1" x14ac:dyDescent="0.25"/>
    <row r="271353" customFormat="1" x14ac:dyDescent="0.25"/>
    <row r="271354" customFormat="1" x14ac:dyDescent="0.25"/>
    <row r="271355" customFormat="1" x14ac:dyDescent="0.25"/>
    <row r="271356" customFormat="1" x14ac:dyDescent="0.25"/>
    <row r="271357" customFormat="1" x14ac:dyDescent="0.25"/>
    <row r="271358" customFormat="1" x14ac:dyDescent="0.25"/>
    <row r="271359" customFormat="1" x14ac:dyDescent="0.25"/>
    <row r="271360" customFormat="1" x14ac:dyDescent="0.25"/>
    <row r="271361" customFormat="1" x14ac:dyDescent="0.25"/>
    <row r="271362" customFormat="1" x14ac:dyDescent="0.25"/>
    <row r="271363" customFormat="1" x14ac:dyDescent="0.25"/>
    <row r="271364" customFormat="1" x14ac:dyDescent="0.25"/>
    <row r="271365" customFormat="1" x14ac:dyDescent="0.25"/>
    <row r="271366" customFormat="1" x14ac:dyDescent="0.25"/>
    <row r="271367" customFormat="1" x14ac:dyDescent="0.25"/>
    <row r="271368" customFormat="1" x14ac:dyDescent="0.25"/>
    <row r="271369" customFormat="1" x14ac:dyDescent="0.25"/>
    <row r="271370" customFormat="1" x14ac:dyDescent="0.25"/>
    <row r="271371" customFormat="1" x14ac:dyDescent="0.25"/>
    <row r="271372" customFormat="1" x14ac:dyDescent="0.25"/>
    <row r="271373" customFormat="1" x14ac:dyDescent="0.25"/>
    <row r="271374" customFormat="1" x14ac:dyDescent="0.25"/>
    <row r="271375" customFormat="1" x14ac:dyDescent="0.25"/>
    <row r="271376" customFormat="1" x14ac:dyDescent="0.25"/>
    <row r="271377" customFormat="1" x14ac:dyDescent="0.25"/>
    <row r="271378" customFormat="1" x14ac:dyDescent="0.25"/>
    <row r="271379" customFormat="1" x14ac:dyDescent="0.25"/>
    <row r="271380" customFormat="1" x14ac:dyDescent="0.25"/>
    <row r="271381" customFormat="1" x14ac:dyDescent="0.25"/>
    <row r="271382" customFormat="1" x14ac:dyDescent="0.25"/>
    <row r="271383" customFormat="1" x14ac:dyDescent="0.25"/>
    <row r="271384" customFormat="1" x14ac:dyDescent="0.25"/>
    <row r="271385" customFormat="1" x14ac:dyDescent="0.25"/>
    <row r="271386" customFormat="1" x14ac:dyDescent="0.25"/>
    <row r="271387" customFormat="1" x14ac:dyDescent="0.25"/>
    <row r="271388" customFormat="1" x14ac:dyDescent="0.25"/>
    <row r="271389" customFormat="1" x14ac:dyDescent="0.25"/>
    <row r="271390" customFormat="1" x14ac:dyDescent="0.25"/>
    <row r="271391" customFormat="1" x14ac:dyDescent="0.25"/>
    <row r="271392" customFormat="1" x14ac:dyDescent="0.25"/>
    <row r="271393" customFormat="1" x14ac:dyDescent="0.25"/>
    <row r="271394" customFormat="1" x14ac:dyDescent="0.25"/>
    <row r="271395" customFormat="1" x14ac:dyDescent="0.25"/>
    <row r="271396" customFormat="1" x14ac:dyDescent="0.25"/>
    <row r="271397" customFormat="1" x14ac:dyDescent="0.25"/>
    <row r="271398" customFormat="1" x14ac:dyDescent="0.25"/>
    <row r="271399" customFormat="1" x14ac:dyDescent="0.25"/>
    <row r="271400" customFormat="1" x14ac:dyDescent="0.25"/>
    <row r="271401" customFormat="1" x14ac:dyDescent="0.25"/>
    <row r="271402" customFormat="1" x14ac:dyDescent="0.25"/>
    <row r="271403" customFormat="1" x14ac:dyDescent="0.25"/>
    <row r="271404" customFormat="1" x14ac:dyDescent="0.25"/>
    <row r="271405" customFormat="1" x14ac:dyDescent="0.25"/>
    <row r="271406" customFormat="1" x14ac:dyDescent="0.25"/>
    <row r="271407" customFormat="1" x14ac:dyDescent="0.25"/>
    <row r="271408" customFormat="1" x14ac:dyDescent="0.25"/>
    <row r="271409" customFormat="1" x14ac:dyDescent="0.25"/>
    <row r="271410" customFormat="1" x14ac:dyDescent="0.25"/>
    <row r="271411" customFormat="1" x14ac:dyDescent="0.25"/>
    <row r="271412" customFormat="1" x14ac:dyDescent="0.25"/>
    <row r="271413" customFormat="1" x14ac:dyDescent="0.25"/>
    <row r="271414" customFormat="1" x14ac:dyDescent="0.25"/>
    <row r="271415" customFormat="1" x14ac:dyDescent="0.25"/>
    <row r="271416" customFormat="1" x14ac:dyDescent="0.25"/>
    <row r="271417" customFormat="1" x14ac:dyDescent="0.25"/>
    <row r="271418" customFormat="1" x14ac:dyDescent="0.25"/>
    <row r="271419" customFormat="1" x14ac:dyDescent="0.25"/>
    <row r="271420" customFormat="1" x14ac:dyDescent="0.25"/>
    <row r="271421" customFormat="1" x14ac:dyDescent="0.25"/>
    <row r="271422" customFormat="1" x14ac:dyDescent="0.25"/>
    <row r="271423" customFormat="1" x14ac:dyDescent="0.25"/>
    <row r="271424" customFormat="1" x14ac:dyDescent="0.25"/>
    <row r="271425" customFormat="1" x14ac:dyDescent="0.25"/>
    <row r="271426" customFormat="1" x14ac:dyDescent="0.25"/>
    <row r="271427" customFormat="1" x14ac:dyDescent="0.25"/>
    <row r="271428" customFormat="1" x14ac:dyDescent="0.25"/>
    <row r="271429" customFormat="1" x14ac:dyDescent="0.25"/>
    <row r="271430" customFormat="1" x14ac:dyDescent="0.25"/>
    <row r="271431" customFormat="1" x14ac:dyDescent="0.25"/>
    <row r="271432" customFormat="1" x14ac:dyDescent="0.25"/>
    <row r="271433" customFormat="1" x14ac:dyDescent="0.25"/>
    <row r="271434" customFormat="1" x14ac:dyDescent="0.25"/>
    <row r="271435" customFormat="1" x14ac:dyDescent="0.25"/>
    <row r="271436" customFormat="1" x14ac:dyDescent="0.25"/>
    <row r="271437" customFormat="1" x14ac:dyDescent="0.25"/>
    <row r="271438" customFormat="1" x14ac:dyDescent="0.25"/>
    <row r="271439" customFormat="1" x14ac:dyDescent="0.25"/>
    <row r="271440" customFormat="1" x14ac:dyDescent="0.25"/>
    <row r="271441" customFormat="1" x14ac:dyDescent="0.25"/>
    <row r="271442" customFormat="1" x14ac:dyDescent="0.25"/>
    <row r="271443" customFormat="1" x14ac:dyDescent="0.25"/>
    <row r="271444" customFormat="1" x14ac:dyDescent="0.25"/>
    <row r="271445" customFormat="1" x14ac:dyDescent="0.25"/>
    <row r="271446" customFormat="1" x14ac:dyDescent="0.25"/>
    <row r="271447" customFormat="1" x14ac:dyDescent="0.25"/>
    <row r="271448" customFormat="1" x14ac:dyDescent="0.25"/>
    <row r="271449" customFormat="1" x14ac:dyDescent="0.25"/>
    <row r="271450" customFormat="1" x14ac:dyDescent="0.25"/>
    <row r="271451" customFormat="1" x14ac:dyDescent="0.25"/>
    <row r="271452" customFormat="1" x14ac:dyDescent="0.25"/>
    <row r="271453" customFormat="1" x14ac:dyDescent="0.25"/>
    <row r="271454" customFormat="1" x14ac:dyDescent="0.25"/>
    <row r="271455" customFormat="1" x14ac:dyDescent="0.25"/>
    <row r="271456" customFormat="1" x14ac:dyDescent="0.25"/>
    <row r="271457" customFormat="1" x14ac:dyDescent="0.25"/>
    <row r="271458" customFormat="1" x14ac:dyDescent="0.25"/>
    <row r="271459" customFormat="1" x14ac:dyDescent="0.25"/>
    <row r="271460" customFormat="1" x14ac:dyDescent="0.25"/>
    <row r="271461" customFormat="1" x14ac:dyDescent="0.25"/>
    <row r="271462" customFormat="1" x14ac:dyDescent="0.25"/>
    <row r="271463" customFormat="1" x14ac:dyDescent="0.25"/>
    <row r="271464" customFormat="1" x14ac:dyDescent="0.25"/>
    <row r="271465" customFormat="1" x14ac:dyDescent="0.25"/>
    <row r="271466" customFormat="1" x14ac:dyDescent="0.25"/>
    <row r="271467" customFormat="1" x14ac:dyDescent="0.25"/>
    <row r="271468" customFormat="1" x14ac:dyDescent="0.25"/>
    <row r="271469" customFormat="1" x14ac:dyDescent="0.25"/>
    <row r="271470" customFormat="1" x14ac:dyDescent="0.25"/>
    <row r="271471" customFormat="1" x14ac:dyDescent="0.25"/>
    <row r="271472" customFormat="1" x14ac:dyDescent="0.25"/>
    <row r="271473" customFormat="1" x14ac:dyDescent="0.25"/>
    <row r="271474" customFormat="1" x14ac:dyDescent="0.25"/>
    <row r="271475" customFormat="1" x14ac:dyDescent="0.25"/>
    <row r="271476" customFormat="1" x14ac:dyDescent="0.25"/>
    <row r="271477" customFormat="1" x14ac:dyDescent="0.25"/>
    <row r="271478" customFormat="1" x14ac:dyDescent="0.25"/>
    <row r="271479" customFormat="1" x14ac:dyDescent="0.25"/>
    <row r="271480" customFormat="1" x14ac:dyDescent="0.25"/>
    <row r="271481" customFormat="1" x14ac:dyDescent="0.25"/>
    <row r="271482" customFormat="1" x14ac:dyDescent="0.25"/>
    <row r="271483" customFormat="1" x14ac:dyDescent="0.25"/>
    <row r="271484" customFormat="1" x14ac:dyDescent="0.25"/>
    <row r="271485" customFormat="1" x14ac:dyDescent="0.25"/>
    <row r="271486" customFormat="1" x14ac:dyDescent="0.25"/>
    <row r="271487" customFormat="1" x14ac:dyDescent="0.25"/>
    <row r="271488" customFormat="1" x14ac:dyDescent="0.25"/>
    <row r="271489" customFormat="1" x14ac:dyDescent="0.25"/>
    <row r="271490" customFormat="1" x14ac:dyDescent="0.25"/>
    <row r="271491" customFormat="1" x14ac:dyDescent="0.25"/>
    <row r="271492" customFormat="1" x14ac:dyDescent="0.25"/>
    <row r="271493" customFormat="1" x14ac:dyDescent="0.25"/>
    <row r="271494" customFormat="1" x14ac:dyDescent="0.25"/>
    <row r="271495" customFormat="1" x14ac:dyDescent="0.25"/>
    <row r="271496" customFormat="1" x14ac:dyDescent="0.25"/>
    <row r="271497" customFormat="1" x14ac:dyDescent="0.25"/>
    <row r="271498" customFormat="1" x14ac:dyDescent="0.25"/>
    <row r="271499" customFormat="1" x14ac:dyDescent="0.25"/>
    <row r="271500" customFormat="1" x14ac:dyDescent="0.25"/>
    <row r="271501" customFormat="1" x14ac:dyDescent="0.25"/>
    <row r="271502" customFormat="1" x14ac:dyDescent="0.25"/>
    <row r="271503" customFormat="1" x14ac:dyDescent="0.25"/>
    <row r="271504" customFormat="1" x14ac:dyDescent="0.25"/>
    <row r="271505" customFormat="1" x14ac:dyDescent="0.25"/>
    <row r="271506" customFormat="1" x14ac:dyDescent="0.25"/>
    <row r="271507" customFormat="1" x14ac:dyDescent="0.25"/>
    <row r="271508" customFormat="1" x14ac:dyDescent="0.25"/>
    <row r="271509" customFormat="1" x14ac:dyDescent="0.25"/>
    <row r="271510" customFormat="1" x14ac:dyDescent="0.25"/>
    <row r="271511" customFormat="1" x14ac:dyDescent="0.25"/>
    <row r="271512" customFormat="1" x14ac:dyDescent="0.25"/>
    <row r="271513" customFormat="1" x14ac:dyDescent="0.25"/>
    <row r="271514" customFormat="1" x14ac:dyDescent="0.25"/>
    <row r="271515" customFormat="1" x14ac:dyDescent="0.25"/>
    <row r="271516" customFormat="1" x14ac:dyDescent="0.25"/>
    <row r="271517" customFormat="1" x14ac:dyDescent="0.25"/>
    <row r="271518" customFormat="1" x14ac:dyDescent="0.25"/>
    <row r="271519" customFormat="1" x14ac:dyDescent="0.25"/>
    <row r="271520" customFormat="1" x14ac:dyDescent="0.25"/>
    <row r="271521" customFormat="1" x14ac:dyDescent="0.25"/>
    <row r="271522" customFormat="1" x14ac:dyDescent="0.25"/>
    <row r="271523" customFormat="1" x14ac:dyDescent="0.25"/>
    <row r="271524" customFormat="1" x14ac:dyDescent="0.25"/>
    <row r="271525" customFormat="1" x14ac:dyDescent="0.25"/>
    <row r="271526" customFormat="1" x14ac:dyDescent="0.25"/>
    <row r="271527" customFormat="1" x14ac:dyDescent="0.25"/>
    <row r="271528" customFormat="1" x14ac:dyDescent="0.25"/>
    <row r="271529" customFormat="1" x14ac:dyDescent="0.25"/>
    <row r="271530" customFormat="1" x14ac:dyDescent="0.25"/>
    <row r="271531" customFormat="1" x14ac:dyDescent="0.25"/>
    <row r="271532" customFormat="1" x14ac:dyDescent="0.25"/>
    <row r="271533" customFormat="1" x14ac:dyDescent="0.25"/>
    <row r="271534" customFormat="1" x14ac:dyDescent="0.25"/>
    <row r="271535" customFormat="1" x14ac:dyDescent="0.25"/>
    <row r="271536" customFormat="1" x14ac:dyDescent="0.25"/>
    <row r="271537" customFormat="1" x14ac:dyDescent="0.25"/>
    <row r="271538" customFormat="1" x14ac:dyDescent="0.25"/>
    <row r="271539" customFormat="1" x14ac:dyDescent="0.25"/>
    <row r="271540" customFormat="1" x14ac:dyDescent="0.25"/>
    <row r="271541" customFormat="1" x14ac:dyDescent="0.25"/>
    <row r="271542" customFormat="1" x14ac:dyDescent="0.25"/>
    <row r="271543" customFormat="1" x14ac:dyDescent="0.25"/>
    <row r="271544" customFormat="1" x14ac:dyDescent="0.25"/>
    <row r="271545" customFormat="1" x14ac:dyDescent="0.25"/>
    <row r="271546" customFormat="1" x14ac:dyDescent="0.25"/>
    <row r="271547" customFormat="1" x14ac:dyDescent="0.25"/>
    <row r="271548" customFormat="1" x14ac:dyDescent="0.25"/>
    <row r="271549" customFormat="1" x14ac:dyDescent="0.25"/>
    <row r="271550" customFormat="1" x14ac:dyDescent="0.25"/>
    <row r="271551" customFormat="1" x14ac:dyDescent="0.25"/>
    <row r="271552" customFormat="1" x14ac:dyDescent="0.25"/>
    <row r="271553" customFormat="1" x14ac:dyDescent="0.25"/>
    <row r="271554" customFormat="1" x14ac:dyDescent="0.25"/>
    <row r="271555" customFormat="1" x14ac:dyDescent="0.25"/>
    <row r="271556" customFormat="1" x14ac:dyDescent="0.25"/>
    <row r="271557" customFormat="1" x14ac:dyDescent="0.25"/>
    <row r="271558" customFormat="1" x14ac:dyDescent="0.25"/>
    <row r="271559" customFormat="1" x14ac:dyDescent="0.25"/>
    <row r="271560" customFormat="1" x14ac:dyDescent="0.25"/>
    <row r="271561" customFormat="1" x14ac:dyDescent="0.25"/>
    <row r="271562" customFormat="1" x14ac:dyDescent="0.25"/>
    <row r="271563" customFormat="1" x14ac:dyDescent="0.25"/>
    <row r="271564" customFormat="1" x14ac:dyDescent="0.25"/>
    <row r="271565" customFormat="1" x14ac:dyDescent="0.25"/>
    <row r="271566" customFormat="1" x14ac:dyDescent="0.25"/>
    <row r="271567" customFormat="1" x14ac:dyDescent="0.25"/>
    <row r="271568" customFormat="1" x14ac:dyDescent="0.25"/>
    <row r="271569" customFormat="1" x14ac:dyDescent="0.25"/>
    <row r="271570" customFormat="1" x14ac:dyDescent="0.25"/>
    <row r="271571" customFormat="1" x14ac:dyDescent="0.25"/>
    <row r="271572" customFormat="1" x14ac:dyDescent="0.25"/>
    <row r="271573" customFormat="1" x14ac:dyDescent="0.25"/>
    <row r="271574" customFormat="1" x14ac:dyDescent="0.25"/>
    <row r="271575" customFormat="1" x14ac:dyDescent="0.25"/>
    <row r="271576" customFormat="1" x14ac:dyDescent="0.25"/>
    <row r="271577" customFormat="1" x14ac:dyDescent="0.25"/>
    <row r="271578" customFormat="1" x14ac:dyDescent="0.25"/>
    <row r="271579" customFormat="1" x14ac:dyDescent="0.25"/>
    <row r="271580" customFormat="1" x14ac:dyDescent="0.25"/>
    <row r="271581" customFormat="1" x14ac:dyDescent="0.25"/>
    <row r="271582" customFormat="1" x14ac:dyDescent="0.25"/>
    <row r="271583" customFormat="1" x14ac:dyDescent="0.25"/>
    <row r="271584" customFormat="1" x14ac:dyDescent="0.25"/>
    <row r="271585" customFormat="1" x14ac:dyDescent="0.25"/>
    <row r="271586" customFormat="1" x14ac:dyDescent="0.25"/>
    <row r="271587" customFormat="1" x14ac:dyDescent="0.25"/>
    <row r="271588" customFormat="1" x14ac:dyDescent="0.25"/>
    <row r="271589" customFormat="1" x14ac:dyDescent="0.25"/>
    <row r="271590" customFormat="1" x14ac:dyDescent="0.25"/>
    <row r="271591" customFormat="1" x14ac:dyDescent="0.25"/>
    <row r="271592" customFormat="1" x14ac:dyDescent="0.25"/>
    <row r="271593" customFormat="1" x14ac:dyDescent="0.25"/>
    <row r="271594" customFormat="1" x14ac:dyDescent="0.25"/>
    <row r="271595" customFormat="1" x14ac:dyDescent="0.25"/>
    <row r="271596" customFormat="1" x14ac:dyDescent="0.25"/>
    <row r="271597" customFormat="1" x14ac:dyDescent="0.25"/>
    <row r="271598" customFormat="1" x14ac:dyDescent="0.25"/>
    <row r="271599" customFormat="1" x14ac:dyDescent="0.25"/>
    <row r="271600" customFormat="1" x14ac:dyDescent="0.25"/>
    <row r="271601" customFormat="1" x14ac:dyDescent="0.25"/>
    <row r="271602" customFormat="1" x14ac:dyDescent="0.25"/>
    <row r="271603" customFormat="1" x14ac:dyDescent="0.25"/>
    <row r="271604" customFormat="1" x14ac:dyDescent="0.25"/>
    <row r="271605" customFormat="1" x14ac:dyDescent="0.25"/>
    <row r="271606" customFormat="1" x14ac:dyDescent="0.25"/>
    <row r="271607" customFormat="1" x14ac:dyDescent="0.25"/>
    <row r="271608" customFormat="1" x14ac:dyDescent="0.25"/>
    <row r="271609" customFormat="1" x14ac:dyDescent="0.25"/>
    <row r="271610" customFormat="1" x14ac:dyDescent="0.25"/>
    <row r="271611" customFormat="1" x14ac:dyDescent="0.25"/>
    <row r="271612" customFormat="1" x14ac:dyDescent="0.25"/>
    <row r="271613" customFormat="1" x14ac:dyDescent="0.25"/>
    <row r="271614" customFormat="1" x14ac:dyDescent="0.25"/>
    <row r="271615" customFormat="1" x14ac:dyDescent="0.25"/>
    <row r="271616" customFormat="1" x14ac:dyDescent="0.25"/>
    <row r="271617" customFormat="1" x14ac:dyDescent="0.25"/>
    <row r="271618" customFormat="1" x14ac:dyDescent="0.25"/>
    <row r="271619" customFormat="1" x14ac:dyDescent="0.25"/>
    <row r="271620" customFormat="1" x14ac:dyDescent="0.25"/>
    <row r="271621" customFormat="1" x14ac:dyDescent="0.25"/>
    <row r="271622" customFormat="1" x14ac:dyDescent="0.25"/>
    <row r="271623" customFormat="1" x14ac:dyDescent="0.25"/>
    <row r="271624" customFormat="1" x14ac:dyDescent="0.25"/>
    <row r="271625" customFormat="1" x14ac:dyDescent="0.25"/>
    <row r="271626" customFormat="1" x14ac:dyDescent="0.25"/>
    <row r="271627" customFormat="1" x14ac:dyDescent="0.25"/>
    <row r="271628" customFormat="1" x14ac:dyDescent="0.25"/>
    <row r="271629" customFormat="1" x14ac:dyDescent="0.25"/>
    <row r="271630" customFormat="1" x14ac:dyDescent="0.25"/>
    <row r="271631" customFormat="1" x14ac:dyDescent="0.25"/>
    <row r="271632" customFormat="1" x14ac:dyDescent="0.25"/>
    <row r="271633" customFormat="1" x14ac:dyDescent="0.25"/>
    <row r="271634" customFormat="1" x14ac:dyDescent="0.25"/>
    <row r="271635" customFormat="1" x14ac:dyDescent="0.25"/>
    <row r="271636" customFormat="1" x14ac:dyDescent="0.25"/>
    <row r="271637" customFormat="1" x14ac:dyDescent="0.25"/>
    <row r="271638" customFormat="1" x14ac:dyDescent="0.25"/>
    <row r="271639" customFormat="1" x14ac:dyDescent="0.25"/>
    <row r="271640" customFormat="1" x14ac:dyDescent="0.25"/>
    <row r="271641" customFormat="1" x14ac:dyDescent="0.25"/>
    <row r="271642" customFormat="1" x14ac:dyDescent="0.25"/>
    <row r="271643" customFormat="1" x14ac:dyDescent="0.25"/>
    <row r="271644" customFormat="1" x14ac:dyDescent="0.25"/>
    <row r="271645" customFormat="1" x14ac:dyDescent="0.25"/>
    <row r="271646" customFormat="1" x14ac:dyDescent="0.25"/>
    <row r="271647" customFormat="1" x14ac:dyDescent="0.25"/>
    <row r="271648" customFormat="1" x14ac:dyDescent="0.25"/>
    <row r="271649" customFormat="1" x14ac:dyDescent="0.25"/>
    <row r="271650" customFormat="1" x14ac:dyDescent="0.25"/>
    <row r="271651" customFormat="1" x14ac:dyDescent="0.25"/>
    <row r="271652" customFormat="1" x14ac:dyDescent="0.25"/>
    <row r="271653" customFormat="1" x14ac:dyDescent="0.25"/>
    <row r="271654" customFormat="1" x14ac:dyDescent="0.25"/>
    <row r="271655" customFormat="1" x14ac:dyDescent="0.25"/>
    <row r="271656" customFormat="1" x14ac:dyDescent="0.25"/>
    <row r="271657" customFormat="1" x14ac:dyDescent="0.25"/>
    <row r="271658" customFormat="1" x14ac:dyDescent="0.25"/>
    <row r="271659" customFormat="1" x14ac:dyDescent="0.25"/>
    <row r="271660" customFormat="1" x14ac:dyDescent="0.25"/>
    <row r="271661" customFormat="1" x14ac:dyDescent="0.25"/>
    <row r="271662" customFormat="1" x14ac:dyDescent="0.25"/>
    <row r="271663" customFormat="1" x14ac:dyDescent="0.25"/>
    <row r="271664" customFormat="1" x14ac:dyDescent="0.25"/>
    <row r="271665" customFormat="1" x14ac:dyDescent="0.25"/>
    <row r="271666" customFormat="1" x14ac:dyDescent="0.25"/>
    <row r="271667" customFormat="1" x14ac:dyDescent="0.25"/>
    <row r="271668" customFormat="1" x14ac:dyDescent="0.25"/>
    <row r="271669" customFormat="1" x14ac:dyDescent="0.25"/>
    <row r="271670" customFormat="1" x14ac:dyDescent="0.25"/>
    <row r="271671" customFormat="1" x14ac:dyDescent="0.25"/>
    <row r="271672" customFormat="1" x14ac:dyDescent="0.25"/>
    <row r="271673" customFormat="1" x14ac:dyDescent="0.25"/>
    <row r="271674" customFormat="1" x14ac:dyDescent="0.25"/>
    <row r="271675" customFormat="1" x14ac:dyDescent="0.25"/>
    <row r="271676" customFormat="1" x14ac:dyDescent="0.25"/>
    <row r="271677" customFormat="1" x14ac:dyDescent="0.25"/>
    <row r="271678" customFormat="1" x14ac:dyDescent="0.25"/>
    <row r="271679" customFormat="1" x14ac:dyDescent="0.25"/>
    <row r="271680" customFormat="1" x14ac:dyDescent="0.25"/>
    <row r="271681" customFormat="1" x14ac:dyDescent="0.25"/>
    <row r="271682" customFormat="1" x14ac:dyDescent="0.25"/>
    <row r="271683" customFormat="1" x14ac:dyDescent="0.25"/>
    <row r="271684" customFormat="1" x14ac:dyDescent="0.25"/>
    <row r="271685" customFormat="1" x14ac:dyDescent="0.25"/>
    <row r="271686" customFormat="1" x14ac:dyDescent="0.25"/>
    <row r="271687" customFormat="1" x14ac:dyDescent="0.25"/>
    <row r="271688" customFormat="1" x14ac:dyDescent="0.25"/>
    <row r="271689" customFormat="1" x14ac:dyDescent="0.25"/>
    <row r="271690" customFormat="1" x14ac:dyDescent="0.25"/>
    <row r="271691" customFormat="1" x14ac:dyDescent="0.25"/>
    <row r="271692" customFormat="1" x14ac:dyDescent="0.25"/>
    <row r="271693" customFormat="1" x14ac:dyDescent="0.25"/>
    <row r="271694" customFormat="1" x14ac:dyDescent="0.25"/>
    <row r="271695" customFormat="1" x14ac:dyDescent="0.25"/>
    <row r="271696" customFormat="1" x14ac:dyDescent="0.25"/>
    <row r="271697" customFormat="1" x14ac:dyDescent="0.25"/>
    <row r="271698" customFormat="1" x14ac:dyDescent="0.25"/>
    <row r="271699" customFormat="1" x14ac:dyDescent="0.25"/>
    <row r="271700" customFormat="1" x14ac:dyDescent="0.25"/>
    <row r="271701" customFormat="1" x14ac:dyDescent="0.25"/>
    <row r="271702" customFormat="1" x14ac:dyDescent="0.25"/>
    <row r="271703" customFormat="1" x14ac:dyDescent="0.25"/>
    <row r="271704" customFormat="1" x14ac:dyDescent="0.25"/>
    <row r="271705" customFormat="1" x14ac:dyDescent="0.25"/>
    <row r="271706" customFormat="1" x14ac:dyDescent="0.25"/>
    <row r="271707" customFormat="1" x14ac:dyDescent="0.25"/>
    <row r="271708" customFormat="1" x14ac:dyDescent="0.25"/>
    <row r="271709" customFormat="1" x14ac:dyDescent="0.25"/>
    <row r="271710" customFormat="1" x14ac:dyDescent="0.25"/>
    <row r="271711" customFormat="1" x14ac:dyDescent="0.25"/>
    <row r="271712" customFormat="1" x14ac:dyDescent="0.25"/>
    <row r="271713" customFormat="1" x14ac:dyDescent="0.25"/>
    <row r="271714" customFormat="1" x14ac:dyDescent="0.25"/>
    <row r="271715" customFormat="1" x14ac:dyDescent="0.25"/>
    <row r="271716" customFormat="1" x14ac:dyDescent="0.25"/>
    <row r="271717" customFormat="1" x14ac:dyDescent="0.25"/>
    <row r="271718" customFormat="1" x14ac:dyDescent="0.25"/>
    <row r="271719" customFormat="1" x14ac:dyDescent="0.25"/>
    <row r="271720" customFormat="1" x14ac:dyDescent="0.25"/>
    <row r="271721" customFormat="1" x14ac:dyDescent="0.25"/>
    <row r="271722" customFormat="1" x14ac:dyDescent="0.25"/>
    <row r="271723" customFormat="1" x14ac:dyDescent="0.25"/>
    <row r="271724" customFormat="1" x14ac:dyDescent="0.25"/>
    <row r="271725" customFormat="1" x14ac:dyDescent="0.25"/>
    <row r="271726" customFormat="1" x14ac:dyDescent="0.25"/>
    <row r="271727" customFormat="1" x14ac:dyDescent="0.25"/>
    <row r="271728" customFormat="1" x14ac:dyDescent="0.25"/>
    <row r="271729" customFormat="1" x14ac:dyDescent="0.25"/>
    <row r="271730" customFormat="1" x14ac:dyDescent="0.25"/>
    <row r="271731" customFormat="1" x14ac:dyDescent="0.25"/>
    <row r="271732" customFormat="1" x14ac:dyDescent="0.25"/>
    <row r="271733" customFormat="1" x14ac:dyDescent="0.25"/>
    <row r="271734" customFormat="1" x14ac:dyDescent="0.25"/>
    <row r="271735" customFormat="1" x14ac:dyDescent="0.25"/>
    <row r="271736" customFormat="1" x14ac:dyDescent="0.25"/>
    <row r="271737" customFormat="1" x14ac:dyDescent="0.25"/>
    <row r="271738" customFormat="1" x14ac:dyDescent="0.25"/>
    <row r="271739" customFormat="1" x14ac:dyDescent="0.25"/>
    <row r="271740" customFormat="1" x14ac:dyDescent="0.25"/>
    <row r="271741" customFormat="1" x14ac:dyDescent="0.25"/>
    <row r="271742" customFormat="1" x14ac:dyDescent="0.25"/>
    <row r="271743" customFormat="1" x14ac:dyDescent="0.25"/>
    <row r="271744" customFormat="1" x14ac:dyDescent="0.25"/>
    <row r="271745" customFormat="1" x14ac:dyDescent="0.25"/>
    <row r="271746" customFormat="1" x14ac:dyDescent="0.25"/>
    <row r="271747" customFormat="1" x14ac:dyDescent="0.25"/>
    <row r="271748" customFormat="1" x14ac:dyDescent="0.25"/>
    <row r="271749" customFormat="1" x14ac:dyDescent="0.25"/>
    <row r="271750" customFormat="1" x14ac:dyDescent="0.25"/>
    <row r="271751" customFormat="1" x14ac:dyDescent="0.25"/>
    <row r="271752" customFormat="1" x14ac:dyDescent="0.25"/>
    <row r="271753" customFormat="1" x14ac:dyDescent="0.25"/>
    <row r="271754" customFormat="1" x14ac:dyDescent="0.25"/>
    <row r="271755" customFormat="1" x14ac:dyDescent="0.25"/>
    <row r="271756" customFormat="1" x14ac:dyDescent="0.25"/>
    <row r="271757" customFormat="1" x14ac:dyDescent="0.25"/>
    <row r="271758" customFormat="1" x14ac:dyDescent="0.25"/>
    <row r="271759" customFormat="1" x14ac:dyDescent="0.25"/>
    <row r="271760" customFormat="1" x14ac:dyDescent="0.25"/>
    <row r="271761" customFormat="1" x14ac:dyDescent="0.25"/>
    <row r="271762" customFormat="1" x14ac:dyDescent="0.25"/>
    <row r="271763" customFormat="1" x14ac:dyDescent="0.25"/>
    <row r="271764" customFormat="1" x14ac:dyDescent="0.25"/>
    <row r="271765" customFormat="1" x14ac:dyDescent="0.25"/>
    <row r="271766" customFormat="1" x14ac:dyDescent="0.25"/>
    <row r="271767" customFormat="1" x14ac:dyDescent="0.25"/>
    <row r="271768" customFormat="1" x14ac:dyDescent="0.25"/>
    <row r="271769" customFormat="1" x14ac:dyDescent="0.25"/>
    <row r="271770" customFormat="1" x14ac:dyDescent="0.25"/>
    <row r="271771" customFormat="1" x14ac:dyDescent="0.25"/>
    <row r="271772" customFormat="1" x14ac:dyDescent="0.25"/>
    <row r="271773" customFormat="1" x14ac:dyDescent="0.25"/>
    <row r="271774" customFormat="1" x14ac:dyDescent="0.25"/>
    <row r="271775" customFormat="1" x14ac:dyDescent="0.25"/>
    <row r="271776" customFormat="1" x14ac:dyDescent="0.25"/>
    <row r="271777" customFormat="1" x14ac:dyDescent="0.25"/>
    <row r="271778" customFormat="1" x14ac:dyDescent="0.25"/>
    <row r="271779" customFormat="1" x14ac:dyDescent="0.25"/>
    <row r="271780" customFormat="1" x14ac:dyDescent="0.25"/>
    <row r="271781" customFormat="1" x14ac:dyDescent="0.25"/>
    <row r="271782" customFormat="1" x14ac:dyDescent="0.25"/>
    <row r="271783" customFormat="1" x14ac:dyDescent="0.25"/>
    <row r="271784" customFormat="1" x14ac:dyDescent="0.25"/>
    <row r="271785" customFormat="1" x14ac:dyDescent="0.25"/>
    <row r="271786" customFormat="1" x14ac:dyDescent="0.25"/>
    <row r="271787" customFormat="1" x14ac:dyDescent="0.25"/>
    <row r="271788" customFormat="1" x14ac:dyDescent="0.25"/>
    <row r="271789" customFormat="1" x14ac:dyDescent="0.25"/>
    <row r="271790" customFormat="1" x14ac:dyDescent="0.25"/>
    <row r="271791" customFormat="1" x14ac:dyDescent="0.25"/>
    <row r="271792" customFormat="1" x14ac:dyDescent="0.25"/>
    <row r="271793" customFormat="1" x14ac:dyDescent="0.25"/>
    <row r="271794" customFormat="1" x14ac:dyDescent="0.25"/>
    <row r="271795" customFormat="1" x14ac:dyDescent="0.25"/>
    <row r="271796" customFormat="1" x14ac:dyDescent="0.25"/>
    <row r="271797" customFormat="1" x14ac:dyDescent="0.25"/>
    <row r="271798" customFormat="1" x14ac:dyDescent="0.25"/>
    <row r="271799" customFormat="1" x14ac:dyDescent="0.25"/>
    <row r="271800" customFormat="1" x14ac:dyDescent="0.25"/>
    <row r="271801" customFormat="1" x14ac:dyDescent="0.25"/>
    <row r="271802" customFormat="1" x14ac:dyDescent="0.25"/>
    <row r="271803" customFormat="1" x14ac:dyDescent="0.25"/>
    <row r="271804" customFormat="1" x14ac:dyDescent="0.25"/>
    <row r="271805" customFormat="1" x14ac:dyDescent="0.25"/>
    <row r="271806" customFormat="1" x14ac:dyDescent="0.25"/>
    <row r="271807" customFormat="1" x14ac:dyDescent="0.25"/>
    <row r="271808" customFormat="1" x14ac:dyDescent="0.25"/>
    <row r="271809" customFormat="1" x14ac:dyDescent="0.25"/>
    <row r="271810" customFormat="1" x14ac:dyDescent="0.25"/>
    <row r="271811" customFormat="1" x14ac:dyDescent="0.25"/>
    <row r="271812" customFormat="1" x14ac:dyDescent="0.25"/>
    <row r="271813" customFormat="1" x14ac:dyDescent="0.25"/>
    <row r="271814" customFormat="1" x14ac:dyDescent="0.25"/>
    <row r="271815" customFormat="1" x14ac:dyDescent="0.25"/>
    <row r="271816" customFormat="1" x14ac:dyDescent="0.25"/>
    <row r="271817" customFormat="1" x14ac:dyDescent="0.25"/>
    <row r="271818" customFormat="1" x14ac:dyDescent="0.25"/>
    <row r="271819" customFormat="1" x14ac:dyDescent="0.25"/>
    <row r="271820" customFormat="1" x14ac:dyDescent="0.25"/>
    <row r="271821" customFormat="1" x14ac:dyDescent="0.25"/>
    <row r="271822" customFormat="1" x14ac:dyDescent="0.25"/>
    <row r="271823" customFormat="1" x14ac:dyDescent="0.25"/>
    <row r="271824" customFormat="1" x14ac:dyDescent="0.25"/>
    <row r="271825" customFormat="1" x14ac:dyDescent="0.25"/>
    <row r="271826" customFormat="1" x14ac:dyDescent="0.25"/>
    <row r="271827" customFormat="1" x14ac:dyDescent="0.25"/>
    <row r="271828" customFormat="1" x14ac:dyDescent="0.25"/>
    <row r="271829" customFormat="1" x14ac:dyDescent="0.25"/>
    <row r="271830" customFormat="1" x14ac:dyDescent="0.25"/>
    <row r="271831" customFormat="1" x14ac:dyDescent="0.25"/>
    <row r="271832" customFormat="1" x14ac:dyDescent="0.25"/>
    <row r="271833" customFormat="1" x14ac:dyDescent="0.25"/>
    <row r="271834" customFormat="1" x14ac:dyDescent="0.25"/>
    <row r="271835" customFormat="1" x14ac:dyDescent="0.25"/>
    <row r="271836" customFormat="1" x14ac:dyDescent="0.25"/>
    <row r="271837" customFormat="1" x14ac:dyDescent="0.25"/>
    <row r="271838" customFormat="1" x14ac:dyDescent="0.25"/>
    <row r="271839" customFormat="1" x14ac:dyDescent="0.25"/>
    <row r="271840" customFormat="1" x14ac:dyDescent="0.25"/>
    <row r="271841" customFormat="1" x14ac:dyDescent="0.25"/>
    <row r="271842" customFormat="1" x14ac:dyDescent="0.25"/>
    <row r="271843" customFormat="1" x14ac:dyDescent="0.25"/>
    <row r="271844" customFormat="1" x14ac:dyDescent="0.25"/>
    <row r="271845" customFormat="1" x14ac:dyDescent="0.25"/>
    <row r="271846" customFormat="1" x14ac:dyDescent="0.25"/>
    <row r="271847" customFormat="1" x14ac:dyDescent="0.25"/>
    <row r="271848" customFormat="1" x14ac:dyDescent="0.25"/>
    <row r="271849" customFormat="1" x14ac:dyDescent="0.25"/>
    <row r="271850" customFormat="1" x14ac:dyDescent="0.25"/>
    <row r="271851" customFormat="1" x14ac:dyDescent="0.25"/>
    <row r="271852" customFormat="1" x14ac:dyDescent="0.25"/>
    <row r="271853" customFormat="1" x14ac:dyDescent="0.25"/>
    <row r="271854" customFormat="1" x14ac:dyDescent="0.25"/>
    <row r="271855" customFormat="1" x14ac:dyDescent="0.25"/>
    <row r="271856" customFormat="1" x14ac:dyDescent="0.25"/>
    <row r="271857" customFormat="1" x14ac:dyDescent="0.25"/>
    <row r="271858" customFormat="1" x14ac:dyDescent="0.25"/>
    <row r="271859" customFormat="1" x14ac:dyDescent="0.25"/>
    <row r="271860" customFormat="1" x14ac:dyDescent="0.25"/>
    <row r="271861" customFormat="1" x14ac:dyDescent="0.25"/>
    <row r="271862" customFormat="1" x14ac:dyDescent="0.25"/>
    <row r="271863" customFormat="1" x14ac:dyDescent="0.25"/>
    <row r="271864" customFormat="1" x14ac:dyDescent="0.25"/>
    <row r="271865" customFormat="1" x14ac:dyDescent="0.25"/>
    <row r="271866" customFormat="1" x14ac:dyDescent="0.25"/>
    <row r="271867" customFormat="1" x14ac:dyDescent="0.25"/>
    <row r="271868" customFormat="1" x14ac:dyDescent="0.25"/>
    <row r="271869" customFormat="1" x14ac:dyDescent="0.25"/>
    <row r="271870" customFormat="1" x14ac:dyDescent="0.25"/>
    <row r="271871" customFormat="1" x14ac:dyDescent="0.25"/>
    <row r="271872" customFormat="1" x14ac:dyDescent="0.25"/>
    <row r="271873" customFormat="1" x14ac:dyDescent="0.25"/>
    <row r="271874" customFormat="1" x14ac:dyDescent="0.25"/>
    <row r="271875" customFormat="1" x14ac:dyDescent="0.25"/>
    <row r="271876" customFormat="1" x14ac:dyDescent="0.25"/>
    <row r="271877" customFormat="1" x14ac:dyDescent="0.25"/>
    <row r="271878" customFormat="1" x14ac:dyDescent="0.25"/>
    <row r="271879" customFormat="1" x14ac:dyDescent="0.25"/>
    <row r="271880" customFormat="1" x14ac:dyDescent="0.25"/>
    <row r="271881" customFormat="1" x14ac:dyDescent="0.25"/>
    <row r="271882" customFormat="1" x14ac:dyDescent="0.25"/>
    <row r="271883" customFormat="1" x14ac:dyDescent="0.25"/>
    <row r="271884" customFormat="1" x14ac:dyDescent="0.25"/>
    <row r="271885" customFormat="1" x14ac:dyDescent="0.25"/>
    <row r="271886" customFormat="1" x14ac:dyDescent="0.25"/>
    <row r="271887" customFormat="1" x14ac:dyDescent="0.25"/>
    <row r="271888" customFormat="1" x14ac:dyDescent="0.25"/>
    <row r="271889" customFormat="1" x14ac:dyDescent="0.25"/>
    <row r="271890" customFormat="1" x14ac:dyDescent="0.25"/>
    <row r="271891" customFormat="1" x14ac:dyDescent="0.25"/>
    <row r="271892" customFormat="1" x14ac:dyDescent="0.25"/>
    <row r="271893" customFormat="1" x14ac:dyDescent="0.25"/>
    <row r="271894" customFormat="1" x14ac:dyDescent="0.25"/>
    <row r="271895" customFormat="1" x14ac:dyDescent="0.25"/>
    <row r="271896" customFormat="1" x14ac:dyDescent="0.25"/>
    <row r="271897" customFormat="1" x14ac:dyDescent="0.25"/>
    <row r="271898" customFormat="1" x14ac:dyDescent="0.25"/>
    <row r="271899" customFormat="1" x14ac:dyDescent="0.25"/>
    <row r="271900" customFormat="1" x14ac:dyDescent="0.25"/>
    <row r="271901" customFormat="1" x14ac:dyDescent="0.25"/>
    <row r="271902" customFormat="1" x14ac:dyDescent="0.25"/>
    <row r="271903" customFormat="1" x14ac:dyDescent="0.25"/>
    <row r="271904" customFormat="1" x14ac:dyDescent="0.25"/>
    <row r="271905" customFormat="1" x14ac:dyDescent="0.25"/>
    <row r="271906" customFormat="1" x14ac:dyDescent="0.25"/>
    <row r="271907" customFormat="1" x14ac:dyDescent="0.25"/>
    <row r="271908" customFormat="1" x14ac:dyDescent="0.25"/>
    <row r="271909" customFormat="1" x14ac:dyDescent="0.25"/>
    <row r="271910" customFormat="1" x14ac:dyDescent="0.25"/>
    <row r="271911" customFormat="1" x14ac:dyDescent="0.25"/>
    <row r="271912" customFormat="1" x14ac:dyDescent="0.25"/>
    <row r="271913" customFormat="1" x14ac:dyDescent="0.25"/>
    <row r="271914" customFormat="1" x14ac:dyDescent="0.25"/>
    <row r="271915" customFormat="1" x14ac:dyDescent="0.25"/>
    <row r="271916" customFormat="1" x14ac:dyDescent="0.25"/>
    <row r="271917" customFormat="1" x14ac:dyDescent="0.25"/>
    <row r="271918" customFormat="1" x14ac:dyDescent="0.25"/>
    <row r="271919" customFormat="1" x14ac:dyDescent="0.25"/>
    <row r="271920" customFormat="1" x14ac:dyDescent="0.25"/>
    <row r="271921" customFormat="1" x14ac:dyDescent="0.25"/>
    <row r="271922" customFormat="1" x14ac:dyDescent="0.25"/>
    <row r="271923" customFormat="1" x14ac:dyDescent="0.25"/>
    <row r="271924" customFormat="1" x14ac:dyDescent="0.25"/>
    <row r="271925" customFormat="1" x14ac:dyDescent="0.25"/>
    <row r="271926" customFormat="1" x14ac:dyDescent="0.25"/>
    <row r="271927" customFormat="1" x14ac:dyDescent="0.25"/>
    <row r="271928" customFormat="1" x14ac:dyDescent="0.25"/>
    <row r="271929" customFormat="1" x14ac:dyDescent="0.25"/>
    <row r="271930" customFormat="1" x14ac:dyDescent="0.25"/>
    <row r="271931" customFormat="1" x14ac:dyDescent="0.25"/>
    <row r="271932" customFormat="1" x14ac:dyDescent="0.25"/>
    <row r="271933" customFormat="1" x14ac:dyDescent="0.25"/>
    <row r="271934" customFormat="1" x14ac:dyDescent="0.25"/>
    <row r="271935" customFormat="1" x14ac:dyDescent="0.25"/>
    <row r="271936" customFormat="1" x14ac:dyDescent="0.25"/>
    <row r="271937" customFormat="1" x14ac:dyDescent="0.25"/>
    <row r="271938" customFormat="1" x14ac:dyDescent="0.25"/>
    <row r="271939" customFormat="1" x14ac:dyDescent="0.25"/>
    <row r="271940" customFormat="1" x14ac:dyDescent="0.25"/>
    <row r="271941" customFormat="1" x14ac:dyDescent="0.25"/>
    <row r="271942" customFormat="1" x14ac:dyDescent="0.25"/>
    <row r="271943" customFormat="1" x14ac:dyDescent="0.25"/>
    <row r="271944" customFormat="1" x14ac:dyDescent="0.25"/>
    <row r="271945" customFormat="1" x14ac:dyDescent="0.25"/>
    <row r="271946" customFormat="1" x14ac:dyDescent="0.25"/>
    <row r="271947" customFormat="1" x14ac:dyDescent="0.25"/>
    <row r="271948" customFormat="1" x14ac:dyDescent="0.25"/>
    <row r="271949" customFormat="1" x14ac:dyDescent="0.25"/>
    <row r="271950" customFormat="1" x14ac:dyDescent="0.25"/>
    <row r="271951" customFormat="1" x14ac:dyDescent="0.25"/>
    <row r="271952" customFormat="1" x14ac:dyDescent="0.25"/>
    <row r="271953" customFormat="1" x14ac:dyDescent="0.25"/>
    <row r="271954" customFormat="1" x14ac:dyDescent="0.25"/>
    <row r="271955" customFormat="1" x14ac:dyDescent="0.25"/>
    <row r="271956" customFormat="1" x14ac:dyDescent="0.25"/>
    <row r="271957" customFormat="1" x14ac:dyDescent="0.25"/>
    <row r="271958" customFormat="1" x14ac:dyDescent="0.25"/>
    <row r="271959" customFormat="1" x14ac:dyDescent="0.25"/>
    <row r="271960" customFormat="1" x14ac:dyDescent="0.25"/>
    <row r="271961" customFormat="1" x14ac:dyDescent="0.25"/>
    <row r="271962" customFormat="1" x14ac:dyDescent="0.25"/>
    <row r="271963" customFormat="1" x14ac:dyDescent="0.25"/>
    <row r="271964" customFormat="1" x14ac:dyDescent="0.25"/>
    <row r="271965" customFormat="1" x14ac:dyDescent="0.25"/>
    <row r="271966" customFormat="1" x14ac:dyDescent="0.25"/>
    <row r="271967" customFormat="1" x14ac:dyDescent="0.25"/>
    <row r="271968" customFormat="1" x14ac:dyDescent="0.25"/>
    <row r="271969" customFormat="1" x14ac:dyDescent="0.25"/>
    <row r="271970" customFormat="1" x14ac:dyDescent="0.25"/>
    <row r="271971" customFormat="1" x14ac:dyDescent="0.25"/>
    <row r="271972" customFormat="1" x14ac:dyDescent="0.25"/>
    <row r="271973" customFormat="1" x14ac:dyDescent="0.25"/>
    <row r="271974" customFormat="1" x14ac:dyDescent="0.25"/>
    <row r="271975" customFormat="1" x14ac:dyDescent="0.25"/>
    <row r="271976" customFormat="1" x14ac:dyDescent="0.25"/>
    <row r="271977" customFormat="1" x14ac:dyDescent="0.25"/>
    <row r="271978" customFormat="1" x14ac:dyDescent="0.25"/>
    <row r="271979" customFormat="1" x14ac:dyDescent="0.25"/>
    <row r="271980" customFormat="1" x14ac:dyDescent="0.25"/>
    <row r="271981" customFormat="1" x14ac:dyDescent="0.25"/>
    <row r="271982" customFormat="1" x14ac:dyDescent="0.25"/>
    <row r="271983" customFormat="1" x14ac:dyDescent="0.25"/>
    <row r="271984" customFormat="1" x14ac:dyDescent="0.25"/>
    <row r="271985" customFormat="1" x14ac:dyDescent="0.25"/>
    <row r="271986" customFormat="1" x14ac:dyDescent="0.25"/>
    <row r="271987" customFormat="1" x14ac:dyDescent="0.25"/>
    <row r="271988" customFormat="1" x14ac:dyDescent="0.25"/>
    <row r="271989" customFormat="1" x14ac:dyDescent="0.25"/>
    <row r="271990" customFormat="1" x14ac:dyDescent="0.25"/>
    <row r="271991" customFormat="1" x14ac:dyDescent="0.25"/>
    <row r="271992" customFormat="1" x14ac:dyDescent="0.25"/>
    <row r="271993" customFormat="1" x14ac:dyDescent="0.25"/>
    <row r="271994" customFormat="1" x14ac:dyDescent="0.25"/>
    <row r="271995" customFormat="1" x14ac:dyDescent="0.25"/>
    <row r="271996" customFormat="1" x14ac:dyDescent="0.25"/>
    <row r="271997" customFormat="1" x14ac:dyDescent="0.25"/>
    <row r="271998" customFormat="1" x14ac:dyDescent="0.25"/>
    <row r="271999" customFormat="1" x14ac:dyDescent="0.25"/>
    <row r="272000" customFormat="1" x14ac:dyDescent="0.25"/>
    <row r="272001" customFormat="1" x14ac:dyDescent="0.25"/>
    <row r="272002" customFormat="1" x14ac:dyDescent="0.25"/>
    <row r="272003" customFormat="1" x14ac:dyDescent="0.25"/>
    <row r="272004" customFormat="1" x14ac:dyDescent="0.25"/>
    <row r="272005" customFormat="1" x14ac:dyDescent="0.25"/>
    <row r="272006" customFormat="1" x14ac:dyDescent="0.25"/>
    <row r="272007" customFormat="1" x14ac:dyDescent="0.25"/>
    <row r="272008" customFormat="1" x14ac:dyDescent="0.25"/>
    <row r="272009" customFormat="1" x14ac:dyDescent="0.25"/>
    <row r="272010" customFormat="1" x14ac:dyDescent="0.25"/>
    <row r="272011" customFormat="1" x14ac:dyDescent="0.25"/>
    <row r="272012" customFormat="1" x14ac:dyDescent="0.25"/>
    <row r="272013" customFormat="1" x14ac:dyDescent="0.25"/>
    <row r="272014" customFormat="1" x14ac:dyDescent="0.25"/>
    <row r="272015" customFormat="1" x14ac:dyDescent="0.25"/>
    <row r="272016" customFormat="1" x14ac:dyDescent="0.25"/>
    <row r="272017" customFormat="1" x14ac:dyDescent="0.25"/>
    <row r="272018" customFormat="1" x14ac:dyDescent="0.25"/>
    <row r="272019" customFormat="1" x14ac:dyDescent="0.25"/>
    <row r="272020" customFormat="1" x14ac:dyDescent="0.25"/>
    <row r="272021" customFormat="1" x14ac:dyDescent="0.25"/>
    <row r="272022" customFormat="1" x14ac:dyDescent="0.25"/>
    <row r="272023" customFormat="1" x14ac:dyDescent="0.25"/>
    <row r="272024" customFormat="1" x14ac:dyDescent="0.25"/>
    <row r="272025" customFormat="1" x14ac:dyDescent="0.25"/>
    <row r="272026" customFormat="1" x14ac:dyDescent="0.25"/>
    <row r="272027" customFormat="1" x14ac:dyDescent="0.25"/>
    <row r="272028" customFormat="1" x14ac:dyDescent="0.25"/>
    <row r="272029" customFormat="1" x14ac:dyDescent="0.25"/>
    <row r="272030" customFormat="1" x14ac:dyDescent="0.25"/>
    <row r="272031" customFormat="1" x14ac:dyDescent="0.25"/>
    <row r="272032" customFormat="1" x14ac:dyDescent="0.25"/>
    <row r="272033" customFormat="1" x14ac:dyDescent="0.25"/>
    <row r="272034" customFormat="1" x14ac:dyDescent="0.25"/>
    <row r="272035" customFormat="1" x14ac:dyDescent="0.25"/>
    <row r="272036" customFormat="1" x14ac:dyDescent="0.25"/>
    <row r="272037" customFormat="1" x14ac:dyDescent="0.25"/>
    <row r="272038" customFormat="1" x14ac:dyDescent="0.25"/>
    <row r="272039" customFormat="1" x14ac:dyDescent="0.25"/>
    <row r="272040" customFormat="1" x14ac:dyDescent="0.25"/>
    <row r="272041" customFormat="1" x14ac:dyDescent="0.25"/>
    <row r="272042" customFormat="1" x14ac:dyDescent="0.25"/>
    <row r="272043" customFormat="1" x14ac:dyDescent="0.25"/>
    <row r="272044" customFormat="1" x14ac:dyDescent="0.25"/>
    <row r="272045" customFormat="1" x14ac:dyDescent="0.25"/>
    <row r="272046" customFormat="1" x14ac:dyDescent="0.25"/>
    <row r="272047" customFormat="1" x14ac:dyDescent="0.25"/>
    <row r="272048" customFormat="1" x14ac:dyDescent="0.25"/>
    <row r="272049" customFormat="1" x14ac:dyDescent="0.25"/>
    <row r="272050" customFormat="1" x14ac:dyDescent="0.25"/>
    <row r="272051" customFormat="1" x14ac:dyDescent="0.25"/>
    <row r="272052" customFormat="1" x14ac:dyDescent="0.25"/>
    <row r="272053" customFormat="1" x14ac:dyDescent="0.25"/>
    <row r="272054" customFormat="1" x14ac:dyDescent="0.25"/>
    <row r="272055" customFormat="1" x14ac:dyDescent="0.25"/>
    <row r="272056" customFormat="1" x14ac:dyDescent="0.25"/>
    <row r="272057" customFormat="1" x14ac:dyDescent="0.25"/>
    <row r="272058" customFormat="1" x14ac:dyDescent="0.25"/>
    <row r="272059" customFormat="1" x14ac:dyDescent="0.25"/>
    <row r="272060" customFormat="1" x14ac:dyDescent="0.25"/>
    <row r="272061" customFormat="1" x14ac:dyDescent="0.25"/>
    <row r="272062" customFormat="1" x14ac:dyDescent="0.25"/>
    <row r="272063" customFormat="1" x14ac:dyDescent="0.25"/>
    <row r="272064" customFormat="1" x14ac:dyDescent="0.25"/>
    <row r="272065" customFormat="1" x14ac:dyDescent="0.25"/>
    <row r="272066" customFormat="1" x14ac:dyDescent="0.25"/>
    <row r="272067" customFormat="1" x14ac:dyDescent="0.25"/>
    <row r="272068" customFormat="1" x14ac:dyDescent="0.25"/>
    <row r="272069" customFormat="1" x14ac:dyDescent="0.25"/>
    <row r="272070" customFormat="1" x14ac:dyDescent="0.25"/>
    <row r="272071" customFormat="1" x14ac:dyDescent="0.25"/>
    <row r="272072" customFormat="1" x14ac:dyDescent="0.25"/>
    <row r="272073" customFormat="1" x14ac:dyDescent="0.25"/>
    <row r="272074" customFormat="1" x14ac:dyDescent="0.25"/>
    <row r="272075" customFormat="1" x14ac:dyDescent="0.25"/>
    <row r="272076" customFormat="1" x14ac:dyDescent="0.25"/>
    <row r="272077" customFormat="1" x14ac:dyDescent="0.25"/>
    <row r="272078" customFormat="1" x14ac:dyDescent="0.25"/>
    <row r="272079" customFormat="1" x14ac:dyDescent="0.25"/>
    <row r="272080" customFormat="1" x14ac:dyDescent="0.25"/>
    <row r="272081" customFormat="1" x14ac:dyDescent="0.25"/>
    <row r="272082" customFormat="1" x14ac:dyDescent="0.25"/>
    <row r="272083" customFormat="1" x14ac:dyDescent="0.25"/>
    <row r="272084" customFormat="1" x14ac:dyDescent="0.25"/>
    <row r="272085" customFormat="1" x14ac:dyDescent="0.25"/>
    <row r="272086" customFormat="1" x14ac:dyDescent="0.25"/>
    <row r="272087" customFormat="1" x14ac:dyDescent="0.25"/>
    <row r="272088" customFormat="1" x14ac:dyDescent="0.25"/>
    <row r="272089" customFormat="1" x14ac:dyDescent="0.25"/>
    <row r="272090" customFormat="1" x14ac:dyDescent="0.25"/>
    <row r="272091" customFormat="1" x14ac:dyDescent="0.25"/>
    <row r="272092" customFormat="1" x14ac:dyDescent="0.25"/>
    <row r="272093" customFormat="1" x14ac:dyDescent="0.25"/>
    <row r="272094" customFormat="1" x14ac:dyDescent="0.25"/>
    <row r="272095" customFormat="1" x14ac:dyDescent="0.25"/>
    <row r="272096" customFormat="1" x14ac:dyDescent="0.25"/>
    <row r="272097" customFormat="1" x14ac:dyDescent="0.25"/>
    <row r="272098" customFormat="1" x14ac:dyDescent="0.25"/>
    <row r="272099" customFormat="1" x14ac:dyDescent="0.25"/>
    <row r="272100" customFormat="1" x14ac:dyDescent="0.25"/>
    <row r="272101" customFormat="1" x14ac:dyDescent="0.25"/>
    <row r="272102" customFormat="1" x14ac:dyDescent="0.25"/>
    <row r="272103" customFormat="1" x14ac:dyDescent="0.25"/>
    <row r="272104" customFormat="1" x14ac:dyDescent="0.25"/>
    <row r="272105" customFormat="1" x14ac:dyDescent="0.25"/>
    <row r="272106" customFormat="1" x14ac:dyDescent="0.25"/>
    <row r="272107" customFormat="1" x14ac:dyDescent="0.25"/>
    <row r="272108" customFormat="1" x14ac:dyDescent="0.25"/>
    <row r="272109" customFormat="1" x14ac:dyDescent="0.25"/>
    <row r="272110" customFormat="1" x14ac:dyDescent="0.25"/>
    <row r="272111" customFormat="1" x14ac:dyDescent="0.25"/>
    <row r="272112" customFormat="1" x14ac:dyDescent="0.25"/>
    <row r="272113" customFormat="1" x14ac:dyDescent="0.25"/>
    <row r="272114" customFormat="1" x14ac:dyDescent="0.25"/>
    <row r="272115" customFormat="1" x14ac:dyDescent="0.25"/>
    <row r="272116" customFormat="1" x14ac:dyDescent="0.25"/>
    <row r="272117" customFormat="1" x14ac:dyDescent="0.25"/>
    <row r="272118" customFormat="1" x14ac:dyDescent="0.25"/>
    <row r="272119" customFormat="1" x14ac:dyDescent="0.25"/>
    <row r="272120" customFormat="1" x14ac:dyDescent="0.25"/>
    <row r="272121" customFormat="1" x14ac:dyDescent="0.25"/>
    <row r="272122" customFormat="1" x14ac:dyDescent="0.25"/>
    <row r="272123" customFormat="1" x14ac:dyDescent="0.25"/>
    <row r="272124" customFormat="1" x14ac:dyDescent="0.25"/>
    <row r="272125" customFormat="1" x14ac:dyDescent="0.25"/>
    <row r="272126" customFormat="1" x14ac:dyDescent="0.25"/>
    <row r="272127" customFormat="1" x14ac:dyDescent="0.25"/>
    <row r="272128" customFormat="1" x14ac:dyDescent="0.25"/>
    <row r="272129" customFormat="1" x14ac:dyDescent="0.25"/>
    <row r="272130" customFormat="1" x14ac:dyDescent="0.25"/>
    <row r="272131" customFormat="1" x14ac:dyDescent="0.25"/>
    <row r="272132" customFormat="1" x14ac:dyDescent="0.25"/>
    <row r="272133" customFormat="1" x14ac:dyDescent="0.25"/>
    <row r="272134" customFormat="1" x14ac:dyDescent="0.25"/>
    <row r="272135" customFormat="1" x14ac:dyDescent="0.25"/>
    <row r="272136" customFormat="1" x14ac:dyDescent="0.25"/>
    <row r="272137" customFormat="1" x14ac:dyDescent="0.25"/>
    <row r="272138" customFormat="1" x14ac:dyDescent="0.25"/>
    <row r="272139" customFormat="1" x14ac:dyDescent="0.25"/>
    <row r="272140" customFormat="1" x14ac:dyDescent="0.25"/>
    <row r="272141" customFormat="1" x14ac:dyDescent="0.25"/>
    <row r="272142" customFormat="1" x14ac:dyDescent="0.25"/>
    <row r="272143" customFormat="1" x14ac:dyDescent="0.25"/>
    <row r="272144" customFormat="1" x14ac:dyDescent="0.25"/>
    <row r="272145" customFormat="1" x14ac:dyDescent="0.25"/>
    <row r="272146" customFormat="1" x14ac:dyDescent="0.25"/>
    <row r="272147" customFormat="1" x14ac:dyDescent="0.25"/>
    <row r="272148" customFormat="1" x14ac:dyDescent="0.25"/>
    <row r="272149" customFormat="1" x14ac:dyDescent="0.25"/>
    <row r="272150" customFormat="1" x14ac:dyDescent="0.25"/>
    <row r="272151" customFormat="1" x14ac:dyDescent="0.25"/>
    <row r="272152" customFormat="1" x14ac:dyDescent="0.25"/>
    <row r="272153" customFormat="1" x14ac:dyDescent="0.25"/>
    <row r="272154" customFormat="1" x14ac:dyDescent="0.25"/>
    <row r="272155" customFormat="1" x14ac:dyDescent="0.25"/>
    <row r="272156" customFormat="1" x14ac:dyDescent="0.25"/>
    <row r="272157" customFormat="1" x14ac:dyDescent="0.25"/>
    <row r="272158" customFormat="1" x14ac:dyDescent="0.25"/>
    <row r="272159" customFormat="1" x14ac:dyDescent="0.25"/>
    <row r="272160" customFormat="1" x14ac:dyDescent="0.25"/>
    <row r="272161" customFormat="1" x14ac:dyDescent="0.25"/>
    <row r="272162" customFormat="1" x14ac:dyDescent="0.25"/>
    <row r="272163" customFormat="1" x14ac:dyDescent="0.25"/>
    <row r="272164" customFormat="1" x14ac:dyDescent="0.25"/>
    <row r="272165" customFormat="1" x14ac:dyDescent="0.25"/>
    <row r="272166" customFormat="1" x14ac:dyDescent="0.25"/>
    <row r="272167" customFormat="1" x14ac:dyDescent="0.25"/>
    <row r="272168" customFormat="1" x14ac:dyDescent="0.25"/>
    <row r="272169" customFormat="1" x14ac:dyDescent="0.25"/>
    <row r="272170" customFormat="1" x14ac:dyDescent="0.25"/>
    <row r="272171" customFormat="1" x14ac:dyDescent="0.25"/>
    <row r="272172" customFormat="1" x14ac:dyDescent="0.25"/>
    <row r="272173" customFormat="1" x14ac:dyDescent="0.25"/>
    <row r="272174" customFormat="1" x14ac:dyDescent="0.25"/>
    <row r="272175" customFormat="1" x14ac:dyDescent="0.25"/>
    <row r="272176" customFormat="1" x14ac:dyDescent="0.25"/>
    <row r="272177" customFormat="1" x14ac:dyDescent="0.25"/>
    <row r="272178" customFormat="1" x14ac:dyDescent="0.25"/>
    <row r="272179" customFormat="1" x14ac:dyDescent="0.25"/>
    <row r="272180" customFormat="1" x14ac:dyDescent="0.25"/>
    <row r="272181" customFormat="1" x14ac:dyDescent="0.25"/>
    <row r="272182" customFormat="1" x14ac:dyDescent="0.25"/>
    <row r="272183" customFormat="1" x14ac:dyDescent="0.25"/>
    <row r="272184" customFormat="1" x14ac:dyDescent="0.25"/>
    <row r="272185" customFormat="1" x14ac:dyDescent="0.25"/>
    <row r="272186" customFormat="1" x14ac:dyDescent="0.25"/>
    <row r="272187" customFormat="1" x14ac:dyDescent="0.25"/>
    <row r="272188" customFormat="1" x14ac:dyDescent="0.25"/>
    <row r="272189" customFormat="1" x14ac:dyDescent="0.25"/>
    <row r="272190" customFormat="1" x14ac:dyDescent="0.25"/>
    <row r="272191" customFormat="1" x14ac:dyDescent="0.25"/>
    <row r="272192" customFormat="1" x14ac:dyDescent="0.25"/>
    <row r="272193" customFormat="1" x14ac:dyDescent="0.25"/>
    <row r="272194" customFormat="1" x14ac:dyDescent="0.25"/>
    <row r="272195" customFormat="1" x14ac:dyDescent="0.25"/>
    <row r="272196" customFormat="1" x14ac:dyDescent="0.25"/>
    <row r="272197" customFormat="1" x14ac:dyDescent="0.25"/>
    <row r="272198" customFormat="1" x14ac:dyDescent="0.25"/>
    <row r="272199" customFormat="1" x14ac:dyDescent="0.25"/>
    <row r="272200" customFormat="1" x14ac:dyDescent="0.25"/>
    <row r="272201" customFormat="1" x14ac:dyDescent="0.25"/>
    <row r="272202" customFormat="1" x14ac:dyDescent="0.25"/>
    <row r="272203" customFormat="1" x14ac:dyDescent="0.25"/>
    <row r="272204" customFormat="1" x14ac:dyDescent="0.25"/>
    <row r="272205" customFormat="1" x14ac:dyDescent="0.25"/>
    <row r="272206" customFormat="1" x14ac:dyDescent="0.25"/>
    <row r="272207" customFormat="1" x14ac:dyDescent="0.25"/>
    <row r="272208" customFormat="1" x14ac:dyDescent="0.25"/>
    <row r="272209" customFormat="1" x14ac:dyDescent="0.25"/>
    <row r="272210" customFormat="1" x14ac:dyDescent="0.25"/>
    <row r="272211" customFormat="1" x14ac:dyDescent="0.25"/>
    <row r="272212" customFormat="1" x14ac:dyDescent="0.25"/>
    <row r="272213" customFormat="1" x14ac:dyDescent="0.25"/>
    <row r="272214" customFormat="1" x14ac:dyDescent="0.25"/>
    <row r="272215" customFormat="1" x14ac:dyDescent="0.25"/>
    <row r="272216" customFormat="1" x14ac:dyDescent="0.25"/>
    <row r="272217" customFormat="1" x14ac:dyDescent="0.25"/>
    <row r="272218" customFormat="1" x14ac:dyDescent="0.25"/>
    <row r="272219" customFormat="1" x14ac:dyDescent="0.25"/>
    <row r="272220" customFormat="1" x14ac:dyDescent="0.25"/>
    <row r="272221" customFormat="1" x14ac:dyDescent="0.25"/>
    <row r="272222" customFormat="1" x14ac:dyDescent="0.25"/>
    <row r="272223" customFormat="1" x14ac:dyDescent="0.25"/>
    <row r="272224" customFormat="1" x14ac:dyDescent="0.25"/>
    <row r="272225" customFormat="1" x14ac:dyDescent="0.25"/>
    <row r="272226" customFormat="1" x14ac:dyDescent="0.25"/>
    <row r="272227" customFormat="1" x14ac:dyDescent="0.25"/>
    <row r="272228" customFormat="1" x14ac:dyDescent="0.25"/>
    <row r="272229" customFormat="1" x14ac:dyDescent="0.25"/>
    <row r="272230" customFormat="1" x14ac:dyDescent="0.25"/>
    <row r="272231" customFormat="1" x14ac:dyDescent="0.25"/>
    <row r="272232" customFormat="1" x14ac:dyDescent="0.25"/>
    <row r="272233" customFormat="1" x14ac:dyDescent="0.25"/>
    <row r="272234" customFormat="1" x14ac:dyDescent="0.25"/>
    <row r="272235" customFormat="1" x14ac:dyDescent="0.25"/>
    <row r="272236" customFormat="1" x14ac:dyDescent="0.25"/>
    <row r="272237" customFormat="1" x14ac:dyDescent="0.25"/>
    <row r="272238" customFormat="1" x14ac:dyDescent="0.25"/>
    <row r="272239" customFormat="1" x14ac:dyDescent="0.25"/>
    <row r="272240" customFormat="1" x14ac:dyDescent="0.25"/>
    <row r="272241" customFormat="1" x14ac:dyDescent="0.25"/>
    <row r="272242" customFormat="1" x14ac:dyDescent="0.25"/>
    <row r="272243" customFormat="1" x14ac:dyDescent="0.25"/>
    <row r="272244" customFormat="1" x14ac:dyDescent="0.25"/>
    <row r="272245" customFormat="1" x14ac:dyDescent="0.25"/>
    <row r="272246" customFormat="1" x14ac:dyDescent="0.25"/>
    <row r="272247" customFormat="1" x14ac:dyDescent="0.25"/>
    <row r="272248" customFormat="1" x14ac:dyDescent="0.25"/>
    <row r="272249" customFormat="1" x14ac:dyDescent="0.25"/>
    <row r="272250" customFormat="1" x14ac:dyDescent="0.25"/>
    <row r="272251" customFormat="1" x14ac:dyDescent="0.25"/>
    <row r="272252" customFormat="1" x14ac:dyDescent="0.25"/>
    <row r="272253" customFormat="1" x14ac:dyDescent="0.25"/>
    <row r="272254" customFormat="1" x14ac:dyDescent="0.25"/>
    <row r="272255" customFormat="1" x14ac:dyDescent="0.25"/>
    <row r="272256" customFormat="1" x14ac:dyDescent="0.25"/>
    <row r="272257" customFormat="1" x14ac:dyDescent="0.25"/>
    <row r="272258" customFormat="1" x14ac:dyDescent="0.25"/>
    <row r="272259" customFormat="1" x14ac:dyDescent="0.25"/>
    <row r="272260" customFormat="1" x14ac:dyDescent="0.25"/>
    <row r="272261" customFormat="1" x14ac:dyDescent="0.25"/>
    <row r="272262" customFormat="1" x14ac:dyDescent="0.25"/>
    <row r="272263" customFormat="1" x14ac:dyDescent="0.25"/>
    <row r="272264" customFormat="1" x14ac:dyDescent="0.25"/>
    <row r="272265" customFormat="1" x14ac:dyDescent="0.25"/>
    <row r="272266" customFormat="1" x14ac:dyDescent="0.25"/>
    <row r="272267" customFormat="1" x14ac:dyDescent="0.25"/>
    <row r="272268" customFormat="1" x14ac:dyDescent="0.25"/>
    <row r="272269" customFormat="1" x14ac:dyDescent="0.25"/>
    <row r="272270" customFormat="1" x14ac:dyDescent="0.25"/>
    <row r="272271" customFormat="1" x14ac:dyDescent="0.25"/>
    <row r="272272" customFormat="1" x14ac:dyDescent="0.25"/>
    <row r="272273" customFormat="1" x14ac:dyDescent="0.25"/>
    <row r="272274" customFormat="1" x14ac:dyDescent="0.25"/>
    <row r="272275" customFormat="1" x14ac:dyDescent="0.25"/>
    <row r="272276" customFormat="1" x14ac:dyDescent="0.25"/>
    <row r="272277" customFormat="1" x14ac:dyDescent="0.25"/>
    <row r="272278" customFormat="1" x14ac:dyDescent="0.25"/>
    <row r="272279" customFormat="1" x14ac:dyDescent="0.25"/>
    <row r="272280" customFormat="1" x14ac:dyDescent="0.25"/>
    <row r="272281" customFormat="1" x14ac:dyDescent="0.25"/>
    <row r="272282" customFormat="1" x14ac:dyDescent="0.25"/>
    <row r="272283" customFormat="1" x14ac:dyDescent="0.25"/>
    <row r="272284" customFormat="1" x14ac:dyDescent="0.25"/>
    <row r="272285" customFormat="1" x14ac:dyDescent="0.25"/>
    <row r="272286" customFormat="1" x14ac:dyDescent="0.25"/>
    <row r="272287" customFormat="1" x14ac:dyDescent="0.25"/>
    <row r="272288" customFormat="1" x14ac:dyDescent="0.25"/>
    <row r="272289" customFormat="1" x14ac:dyDescent="0.25"/>
    <row r="272290" customFormat="1" x14ac:dyDescent="0.25"/>
    <row r="272291" customFormat="1" x14ac:dyDescent="0.25"/>
    <row r="272292" customFormat="1" x14ac:dyDescent="0.25"/>
    <row r="272293" customFormat="1" x14ac:dyDescent="0.25"/>
    <row r="272294" customFormat="1" x14ac:dyDescent="0.25"/>
    <row r="272295" customFormat="1" x14ac:dyDescent="0.25"/>
    <row r="272296" customFormat="1" x14ac:dyDescent="0.25"/>
    <row r="272297" customFormat="1" x14ac:dyDescent="0.25"/>
    <row r="272298" customFormat="1" x14ac:dyDescent="0.25"/>
    <row r="272299" customFormat="1" x14ac:dyDescent="0.25"/>
    <row r="272300" customFormat="1" x14ac:dyDescent="0.25"/>
    <row r="272301" customFormat="1" x14ac:dyDescent="0.25"/>
    <row r="272302" customFormat="1" x14ac:dyDescent="0.25"/>
    <row r="272303" customFormat="1" x14ac:dyDescent="0.25"/>
    <row r="272304" customFormat="1" x14ac:dyDescent="0.25"/>
    <row r="272305" customFormat="1" x14ac:dyDescent="0.25"/>
    <row r="272306" customFormat="1" x14ac:dyDescent="0.25"/>
    <row r="272307" customFormat="1" x14ac:dyDescent="0.25"/>
    <row r="272308" customFormat="1" x14ac:dyDescent="0.25"/>
    <row r="272309" customFormat="1" x14ac:dyDescent="0.25"/>
    <row r="272310" customFormat="1" x14ac:dyDescent="0.25"/>
    <row r="272311" customFormat="1" x14ac:dyDescent="0.25"/>
    <row r="272312" customFormat="1" x14ac:dyDescent="0.25"/>
    <row r="272313" customFormat="1" x14ac:dyDescent="0.25"/>
    <row r="272314" customFormat="1" x14ac:dyDescent="0.25"/>
    <row r="272315" customFormat="1" x14ac:dyDescent="0.25"/>
    <row r="272316" customFormat="1" x14ac:dyDescent="0.25"/>
    <row r="272317" customFormat="1" x14ac:dyDescent="0.25"/>
    <row r="272318" customFormat="1" x14ac:dyDescent="0.25"/>
    <row r="272319" customFormat="1" x14ac:dyDescent="0.25"/>
    <row r="272320" customFormat="1" x14ac:dyDescent="0.25"/>
    <row r="272321" customFormat="1" x14ac:dyDescent="0.25"/>
    <row r="272322" customFormat="1" x14ac:dyDescent="0.25"/>
    <row r="272323" customFormat="1" x14ac:dyDescent="0.25"/>
    <row r="272324" customFormat="1" x14ac:dyDescent="0.25"/>
    <row r="272325" customFormat="1" x14ac:dyDescent="0.25"/>
    <row r="272326" customFormat="1" x14ac:dyDescent="0.25"/>
    <row r="272327" customFormat="1" x14ac:dyDescent="0.25"/>
    <row r="272328" customFormat="1" x14ac:dyDescent="0.25"/>
    <row r="272329" customFormat="1" x14ac:dyDescent="0.25"/>
    <row r="272330" customFormat="1" x14ac:dyDescent="0.25"/>
    <row r="272331" customFormat="1" x14ac:dyDescent="0.25"/>
    <row r="272332" customFormat="1" x14ac:dyDescent="0.25"/>
    <row r="272333" customFormat="1" x14ac:dyDescent="0.25"/>
    <row r="272334" customFormat="1" x14ac:dyDescent="0.25"/>
    <row r="272335" customFormat="1" x14ac:dyDescent="0.25"/>
    <row r="272336" customFormat="1" x14ac:dyDescent="0.25"/>
    <row r="272337" customFormat="1" x14ac:dyDescent="0.25"/>
    <row r="272338" customFormat="1" x14ac:dyDescent="0.25"/>
    <row r="272339" customFormat="1" x14ac:dyDescent="0.25"/>
    <row r="272340" customFormat="1" x14ac:dyDescent="0.25"/>
    <row r="272341" customFormat="1" x14ac:dyDescent="0.25"/>
    <row r="272342" customFormat="1" x14ac:dyDescent="0.25"/>
    <row r="272343" customFormat="1" x14ac:dyDescent="0.25"/>
    <row r="272344" customFormat="1" x14ac:dyDescent="0.25"/>
    <row r="272345" customFormat="1" x14ac:dyDescent="0.25"/>
    <row r="272346" customFormat="1" x14ac:dyDescent="0.25"/>
    <row r="272347" customFormat="1" x14ac:dyDescent="0.25"/>
    <row r="272348" customFormat="1" x14ac:dyDescent="0.25"/>
    <row r="272349" customFormat="1" x14ac:dyDescent="0.25"/>
    <row r="272350" customFormat="1" x14ac:dyDescent="0.25"/>
    <row r="272351" customFormat="1" x14ac:dyDescent="0.25"/>
    <row r="272352" customFormat="1" x14ac:dyDescent="0.25"/>
    <row r="272353" customFormat="1" x14ac:dyDescent="0.25"/>
    <row r="272354" customFormat="1" x14ac:dyDescent="0.25"/>
    <row r="272355" customFormat="1" x14ac:dyDescent="0.25"/>
    <row r="272356" customFormat="1" x14ac:dyDescent="0.25"/>
    <row r="272357" customFormat="1" x14ac:dyDescent="0.25"/>
    <row r="272358" customFormat="1" x14ac:dyDescent="0.25"/>
    <row r="272359" customFormat="1" x14ac:dyDescent="0.25"/>
    <row r="272360" customFormat="1" x14ac:dyDescent="0.25"/>
    <row r="272361" customFormat="1" x14ac:dyDescent="0.25"/>
    <row r="272362" customFormat="1" x14ac:dyDescent="0.25"/>
    <row r="272363" customFormat="1" x14ac:dyDescent="0.25"/>
    <row r="272364" customFormat="1" x14ac:dyDescent="0.25"/>
    <row r="272365" customFormat="1" x14ac:dyDescent="0.25"/>
    <row r="272366" customFormat="1" x14ac:dyDescent="0.25"/>
    <row r="272367" customFormat="1" x14ac:dyDescent="0.25"/>
    <row r="272368" customFormat="1" x14ac:dyDescent="0.25"/>
    <row r="272369" customFormat="1" x14ac:dyDescent="0.25"/>
    <row r="272370" customFormat="1" x14ac:dyDescent="0.25"/>
    <row r="272371" customFormat="1" x14ac:dyDescent="0.25"/>
    <row r="272372" customFormat="1" x14ac:dyDescent="0.25"/>
    <row r="272373" customFormat="1" x14ac:dyDescent="0.25"/>
    <row r="272374" customFormat="1" x14ac:dyDescent="0.25"/>
    <row r="272375" customFormat="1" x14ac:dyDescent="0.25"/>
    <row r="272376" customFormat="1" x14ac:dyDescent="0.25"/>
    <row r="272377" customFormat="1" x14ac:dyDescent="0.25"/>
    <row r="272378" customFormat="1" x14ac:dyDescent="0.25"/>
    <row r="272379" customFormat="1" x14ac:dyDescent="0.25"/>
    <row r="272380" customFormat="1" x14ac:dyDescent="0.25"/>
    <row r="272381" customFormat="1" x14ac:dyDescent="0.25"/>
    <row r="272382" customFormat="1" x14ac:dyDescent="0.25"/>
    <row r="272383" customFormat="1" x14ac:dyDescent="0.25"/>
    <row r="272384" customFormat="1" x14ac:dyDescent="0.25"/>
    <row r="272385" customFormat="1" x14ac:dyDescent="0.25"/>
    <row r="272386" customFormat="1" x14ac:dyDescent="0.25"/>
    <row r="272387" customFormat="1" x14ac:dyDescent="0.25"/>
    <row r="272388" customFormat="1" x14ac:dyDescent="0.25"/>
    <row r="272389" customFormat="1" x14ac:dyDescent="0.25"/>
    <row r="272390" customFormat="1" x14ac:dyDescent="0.25"/>
    <row r="272391" customFormat="1" x14ac:dyDescent="0.25"/>
    <row r="272392" customFormat="1" x14ac:dyDescent="0.25"/>
    <row r="272393" customFormat="1" x14ac:dyDescent="0.25"/>
    <row r="272394" customFormat="1" x14ac:dyDescent="0.25"/>
    <row r="272395" customFormat="1" x14ac:dyDescent="0.25"/>
    <row r="272396" customFormat="1" x14ac:dyDescent="0.25"/>
    <row r="272397" customFormat="1" x14ac:dyDescent="0.25"/>
    <row r="272398" customFormat="1" x14ac:dyDescent="0.25"/>
    <row r="272399" customFormat="1" x14ac:dyDescent="0.25"/>
    <row r="272400" customFormat="1" x14ac:dyDescent="0.25"/>
    <row r="272401" customFormat="1" x14ac:dyDescent="0.25"/>
    <row r="272402" customFormat="1" x14ac:dyDescent="0.25"/>
    <row r="272403" customFormat="1" x14ac:dyDescent="0.25"/>
    <row r="272404" customFormat="1" x14ac:dyDescent="0.25"/>
    <row r="272405" customFormat="1" x14ac:dyDescent="0.25"/>
    <row r="272406" customFormat="1" x14ac:dyDescent="0.25"/>
    <row r="272407" customFormat="1" x14ac:dyDescent="0.25"/>
    <row r="272408" customFormat="1" x14ac:dyDescent="0.25"/>
    <row r="272409" customFormat="1" x14ac:dyDescent="0.25"/>
    <row r="272410" customFormat="1" x14ac:dyDescent="0.25"/>
    <row r="272411" customFormat="1" x14ac:dyDescent="0.25"/>
    <row r="272412" customFormat="1" x14ac:dyDescent="0.25"/>
    <row r="272413" customFormat="1" x14ac:dyDescent="0.25"/>
    <row r="272414" customFormat="1" x14ac:dyDescent="0.25"/>
    <row r="272415" customFormat="1" x14ac:dyDescent="0.25"/>
    <row r="272416" customFormat="1" x14ac:dyDescent="0.25"/>
    <row r="272417" customFormat="1" x14ac:dyDescent="0.25"/>
    <row r="272418" customFormat="1" x14ac:dyDescent="0.25"/>
    <row r="272419" customFormat="1" x14ac:dyDescent="0.25"/>
    <row r="272420" customFormat="1" x14ac:dyDescent="0.25"/>
    <row r="272421" customFormat="1" x14ac:dyDescent="0.25"/>
    <row r="272422" customFormat="1" x14ac:dyDescent="0.25"/>
    <row r="272423" customFormat="1" x14ac:dyDescent="0.25"/>
    <row r="272424" customFormat="1" x14ac:dyDescent="0.25"/>
    <row r="272425" customFormat="1" x14ac:dyDescent="0.25"/>
    <row r="272426" customFormat="1" x14ac:dyDescent="0.25"/>
    <row r="272427" customFormat="1" x14ac:dyDescent="0.25"/>
    <row r="272428" customFormat="1" x14ac:dyDescent="0.25"/>
    <row r="272429" customFormat="1" x14ac:dyDescent="0.25"/>
    <row r="272430" customFormat="1" x14ac:dyDescent="0.25"/>
    <row r="272431" customFormat="1" x14ac:dyDescent="0.25"/>
    <row r="272432" customFormat="1" x14ac:dyDescent="0.25"/>
    <row r="272433" customFormat="1" x14ac:dyDescent="0.25"/>
    <row r="272434" customFormat="1" x14ac:dyDescent="0.25"/>
    <row r="272435" customFormat="1" x14ac:dyDescent="0.25"/>
    <row r="272436" customFormat="1" x14ac:dyDescent="0.25"/>
    <row r="272437" customFormat="1" x14ac:dyDescent="0.25"/>
    <row r="272438" customFormat="1" x14ac:dyDescent="0.25"/>
    <row r="272439" customFormat="1" x14ac:dyDescent="0.25"/>
    <row r="272440" customFormat="1" x14ac:dyDescent="0.25"/>
    <row r="272441" customFormat="1" x14ac:dyDescent="0.25"/>
    <row r="272442" customFormat="1" x14ac:dyDescent="0.25"/>
    <row r="272443" customFormat="1" x14ac:dyDescent="0.25"/>
    <row r="272444" customFormat="1" x14ac:dyDescent="0.25"/>
    <row r="272445" customFormat="1" x14ac:dyDescent="0.25"/>
    <row r="272446" customFormat="1" x14ac:dyDescent="0.25"/>
    <row r="272447" customFormat="1" x14ac:dyDescent="0.25"/>
    <row r="272448" customFormat="1" x14ac:dyDescent="0.25"/>
    <row r="272449" customFormat="1" x14ac:dyDescent="0.25"/>
    <row r="272450" customFormat="1" x14ac:dyDescent="0.25"/>
    <row r="272451" customFormat="1" x14ac:dyDescent="0.25"/>
    <row r="272452" customFormat="1" x14ac:dyDescent="0.25"/>
    <row r="272453" customFormat="1" x14ac:dyDescent="0.25"/>
    <row r="272454" customFormat="1" x14ac:dyDescent="0.25"/>
    <row r="272455" customFormat="1" x14ac:dyDescent="0.25"/>
    <row r="272456" customFormat="1" x14ac:dyDescent="0.25"/>
    <row r="272457" customFormat="1" x14ac:dyDescent="0.25"/>
    <row r="272458" customFormat="1" x14ac:dyDescent="0.25"/>
    <row r="272459" customFormat="1" x14ac:dyDescent="0.25"/>
    <row r="272460" customFormat="1" x14ac:dyDescent="0.25"/>
    <row r="272461" customFormat="1" x14ac:dyDescent="0.25"/>
    <row r="272462" customFormat="1" x14ac:dyDescent="0.25"/>
    <row r="272463" customFormat="1" x14ac:dyDescent="0.25"/>
    <row r="272464" customFormat="1" x14ac:dyDescent="0.25"/>
    <row r="272465" customFormat="1" x14ac:dyDescent="0.25"/>
    <row r="272466" customFormat="1" x14ac:dyDescent="0.25"/>
    <row r="272467" customFormat="1" x14ac:dyDescent="0.25"/>
    <row r="272468" customFormat="1" x14ac:dyDescent="0.25"/>
    <row r="272469" customFormat="1" x14ac:dyDescent="0.25"/>
    <row r="272470" customFormat="1" x14ac:dyDescent="0.25"/>
    <row r="272471" customFormat="1" x14ac:dyDescent="0.25"/>
    <row r="272472" customFormat="1" x14ac:dyDescent="0.25"/>
    <row r="272473" customFormat="1" x14ac:dyDescent="0.25"/>
    <row r="272474" customFormat="1" x14ac:dyDescent="0.25"/>
    <row r="272475" customFormat="1" x14ac:dyDescent="0.25"/>
    <row r="272476" customFormat="1" x14ac:dyDescent="0.25"/>
    <row r="272477" customFormat="1" x14ac:dyDescent="0.25"/>
    <row r="272478" customFormat="1" x14ac:dyDescent="0.25"/>
    <row r="272479" customFormat="1" x14ac:dyDescent="0.25"/>
    <row r="272480" customFormat="1" x14ac:dyDescent="0.25"/>
    <row r="272481" customFormat="1" x14ac:dyDescent="0.25"/>
    <row r="272482" customFormat="1" x14ac:dyDescent="0.25"/>
    <row r="272483" customFormat="1" x14ac:dyDescent="0.25"/>
    <row r="272484" customFormat="1" x14ac:dyDescent="0.25"/>
    <row r="272485" customFormat="1" x14ac:dyDescent="0.25"/>
    <row r="272486" customFormat="1" x14ac:dyDescent="0.25"/>
    <row r="272487" customFormat="1" x14ac:dyDescent="0.25"/>
    <row r="272488" customFormat="1" x14ac:dyDescent="0.25"/>
    <row r="272489" customFormat="1" x14ac:dyDescent="0.25"/>
    <row r="272490" customFormat="1" x14ac:dyDescent="0.25"/>
    <row r="272491" customFormat="1" x14ac:dyDescent="0.25"/>
    <row r="272492" customFormat="1" x14ac:dyDescent="0.25"/>
    <row r="272493" customFormat="1" x14ac:dyDescent="0.25"/>
    <row r="272494" customFormat="1" x14ac:dyDescent="0.25"/>
    <row r="272495" customFormat="1" x14ac:dyDescent="0.25"/>
    <row r="272496" customFormat="1" x14ac:dyDescent="0.25"/>
    <row r="272497" customFormat="1" x14ac:dyDescent="0.25"/>
    <row r="272498" customFormat="1" x14ac:dyDescent="0.25"/>
    <row r="272499" customFormat="1" x14ac:dyDescent="0.25"/>
    <row r="272500" customFormat="1" x14ac:dyDescent="0.25"/>
    <row r="272501" customFormat="1" x14ac:dyDescent="0.25"/>
    <row r="272502" customFormat="1" x14ac:dyDescent="0.25"/>
    <row r="272503" customFormat="1" x14ac:dyDescent="0.25"/>
    <row r="272504" customFormat="1" x14ac:dyDescent="0.25"/>
    <row r="272505" customFormat="1" x14ac:dyDescent="0.25"/>
    <row r="272506" customFormat="1" x14ac:dyDescent="0.25"/>
    <row r="272507" customFormat="1" x14ac:dyDescent="0.25"/>
    <row r="272508" customFormat="1" x14ac:dyDescent="0.25"/>
    <row r="272509" customFormat="1" x14ac:dyDescent="0.25"/>
    <row r="272510" customFormat="1" x14ac:dyDescent="0.25"/>
    <row r="272511" customFormat="1" x14ac:dyDescent="0.25"/>
    <row r="272512" customFormat="1" x14ac:dyDescent="0.25"/>
    <row r="272513" customFormat="1" x14ac:dyDescent="0.25"/>
    <row r="272514" customFormat="1" x14ac:dyDescent="0.25"/>
    <row r="272515" customFormat="1" x14ac:dyDescent="0.25"/>
    <row r="272516" customFormat="1" x14ac:dyDescent="0.25"/>
    <row r="272517" customFormat="1" x14ac:dyDescent="0.25"/>
    <row r="272518" customFormat="1" x14ac:dyDescent="0.25"/>
    <row r="272519" customFormat="1" x14ac:dyDescent="0.25"/>
    <row r="272520" customFormat="1" x14ac:dyDescent="0.25"/>
    <row r="272521" customFormat="1" x14ac:dyDescent="0.25"/>
    <row r="272522" customFormat="1" x14ac:dyDescent="0.25"/>
    <row r="272523" customFormat="1" x14ac:dyDescent="0.25"/>
    <row r="272524" customFormat="1" x14ac:dyDescent="0.25"/>
    <row r="272525" customFormat="1" x14ac:dyDescent="0.25"/>
    <row r="272526" customFormat="1" x14ac:dyDescent="0.25"/>
    <row r="272527" customFormat="1" x14ac:dyDescent="0.25"/>
    <row r="272528" customFormat="1" x14ac:dyDescent="0.25"/>
    <row r="272529" customFormat="1" x14ac:dyDescent="0.25"/>
    <row r="272530" customFormat="1" x14ac:dyDescent="0.25"/>
    <row r="272531" customFormat="1" x14ac:dyDescent="0.25"/>
    <row r="272532" customFormat="1" x14ac:dyDescent="0.25"/>
    <row r="272533" customFormat="1" x14ac:dyDescent="0.25"/>
    <row r="272534" customFormat="1" x14ac:dyDescent="0.25"/>
    <row r="272535" customFormat="1" x14ac:dyDescent="0.25"/>
    <row r="272536" customFormat="1" x14ac:dyDescent="0.25"/>
    <row r="272537" customFormat="1" x14ac:dyDescent="0.25"/>
    <row r="272538" customFormat="1" x14ac:dyDescent="0.25"/>
    <row r="272539" customFormat="1" x14ac:dyDescent="0.25"/>
    <row r="272540" customFormat="1" x14ac:dyDescent="0.25"/>
    <row r="272541" customFormat="1" x14ac:dyDescent="0.25"/>
    <row r="272542" customFormat="1" x14ac:dyDescent="0.25"/>
    <row r="272543" customFormat="1" x14ac:dyDescent="0.25"/>
    <row r="272544" customFormat="1" x14ac:dyDescent="0.25"/>
    <row r="272545" customFormat="1" x14ac:dyDescent="0.25"/>
    <row r="272546" customFormat="1" x14ac:dyDescent="0.25"/>
    <row r="272547" customFormat="1" x14ac:dyDescent="0.25"/>
    <row r="272548" customFormat="1" x14ac:dyDescent="0.25"/>
    <row r="272549" customFormat="1" x14ac:dyDescent="0.25"/>
    <row r="272550" customFormat="1" x14ac:dyDescent="0.25"/>
    <row r="272551" customFormat="1" x14ac:dyDescent="0.25"/>
    <row r="272552" customFormat="1" x14ac:dyDescent="0.25"/>
    <row r="272553" customFormat="1" x14ac:dyDescent="0.25"/>
    <row r="272554" customFormat="1" x14ac:dyDescent="0.25"/>
    <row r="272555" customFormat="1" x14ac:dyDescent="0.25"/>
    <row r="272556" customFormat="1" x14ac:dyDescent="0.25"/>
    <row r="272557" customFormat="1" x14ac:dyDescent="0.25"/>
    <row r="272558" customFormat="1" x14ac:dyDescent="0.25"/>
    <row r="272559" customFormat="1" x14ac:dyDescent="0.25"/>
    <row r="272560" customFormat="1" x14ac:dyDescent="0.25"/>
    <row r="272561" customFormat="1" x14ac:dyDescent="0.25"/>
    <row r="272562" customFormat="1" x14ac:dyDescent="0.25"/>
    <row r="272563" customFormat="1" x14ac:dyDescent="0.25"/>
    <row r="272564" customFormat="1" x14ac:dyDescent="0.25"/>
    <row r="272565" customFormat="1" x14ac:dyDescent="0.25"/>
    <row r="272566" customFormat="1" x14ac:dyDescent="0.25"/>
    <row r="272567" customFormat="1" x14ac:dyDescent="0.25"/>
    <row r="272568" customFormat="1" x14ac:dyDescent="0.25"/>
    <row r="272569" customFormat="1" x14ac:dyDescent="0.25"/>
    <row r="272570" customFormat="1" x14ac:dyDescent="0.25"/>
    <row r="272571" customFormat="1" x14ac:dyDescent="0.25"/>
    <row r="272572" customFormat="1" x14ac:dyDescent="0.25"/>
    <row r="272573" customFormat="1" x14ac:dyDescent="0.25"/>
    <row r="272574" customFormat="1" x14ac:dyDescent="0.25"/>
    <row r="272575" customFormat="1" x14ac:dyDescent="0.25"/>
    <row r="272576" customFormat="1" x14ac:dyDescent="0.25"/>
    <row r="272577" customFormat="1" x14ac:dyDescent="0.25"/>
    <row r="272578" customFormat="1" x14ac:dyDescent="0.25"/>
    <row r="272579" customFormat="1" x14ac:dyDescent="0.25"/>
    <row r="272580" customFormat="1" x14ac:dyDescent="0.25"/>
    <row r="272581" customFormat="1" x14ac:dyDescent="0.25"/>
    <row r="272582" customFormat="1" x14ac:dyDescent="0.25"/>
    <row r="272583" customFormat="1" x14ac:dyDescent="0.25"/>
    <row r="272584" customFormat="1" x14ac:dyDescent="0.25"/>
    <row r="272585" customFormat="1" x14ac:dyDescent="0.25"/>
    <row r="272586" customFormat="1" x14ac:dyDescent="0.25"/>
    <row r="272587" customFormat="1" x14ac:dyDescent="0.25"/>
    <row r="272588" customFormat="1" x14ac:dyDescent="0.25"/>
    <row r="272589" customFormat="1" x14ac:dyDescent="0.25"/>
    <row r="272590" customFormat="1" x14ac:dyDescent="0.25"/>
    <row r="272591" customFormat="1" x14ac:dyDescent="0.25"/>
    <row r="272592" customFormat="1" x14ac:dyDescent="0.25"/>
    <row r="272593" customFormat="1" x14ac:dyDescent="0.25"/>
    <row r="272594" customFormat="1" x14ac:dyDescent="0.25"/>
    <row r="272595" customFormat="1" x14ac:dyDescent="0.25"/>
    <row r="272596" customFormat="1" x14ac:dyDescent="0.25"/>
    <row r="272597" customFormat="1" x14ac:dyDescent="0.25"/>
    <row r="272598" customFormat="1" x14ac:dyDescent="0.25"/>
    <row r="272599" customFormat="1" x14ac:dyDescent="0.25"/>
    <row r="272600" customFormat="1" x14ac:dyDescent="0.25"/>
    <row r="272601" customFormat="1" x14ac:dyDescent="0.25"/>
    <row r="272602" customFormat="1" x14ac:dyDescent="0.25"/>
    <row r="272603" customFormat="1" x14ac:dyDescent="0.25"/>
    <row r="272604" customFormat="1" x14ac:dyDescent="0.25"/>
    <row r="272605" customFormat="1" x14ac:dyDescent="0.25"/>
    <row r="272606" customFormat="1" x14ac:dyDescent="0.25"/>
    <row r="272607" customFormat="1" x14ac:dyDescent="0.25"/>
    <row r="272608" customFormat="1" x14ac:dyDescent="0.25"/>
    <row r="272609" customFormat="1" x14ac:dyDescent="0.25"/>
    <row r="272610" customFormat="1" x14ac:dyDescent="0.25"/>
    <row r="272611" customFormat="1" x14ac:dyDescent="0.25"/>
    <row r="272612" customFormat="1" x14ac:dyDescent="0.25"/>
    <row r="272613" customFormat="1" x14ac:dyDescent="0.25"/>
    <row r="272614" customFormat="1" x14ac:dyDescent="0.25"/>
    <row r="272615" customFormat="1" x14ac:dyDescent="0.25"/>
    <row r="272616" customFormat="1" x14ac:dyDescent="0.25"/>
    <row r="272617" customFormat="1" x14ac:dyDescent="0.25"/>
    <row r="272618" customFormat="1" x14ac:dyDescent="0.25"/>
    <row r="272619" customFormat="1" x14ac:dyDescent="0.25"/>
    <row r="272620" customFormat="1" x14ac:dyDescent="0.25"/>
    <row r="272621" customFormat="1" x14ac:dyDescent="0.25"/>
    <row r="272622" customFormat="1" x14ac:dyDescent="0.25"/>
    <row r="272623" customFormat="1" x14ac:dyDescent="0.25"/>
    <row r="272624" customFormat="1" x14ac:dyDescent="0.25"/>
    <row r="272625" customFormat="1" x14ac:dyDescent="0.25"/>
    <row r="272626" customFormat="1" x14ac:dyDescent="0.25"/>
    <row r="272627" customFormat="1" x14ac:dyDescent="0.25"/>
    <row r="272628" customFormat="1" x14ac:dyDescent="0.25"/>
    <row r="272629" customFormat="1" x14ac:dyDescent="0.25"/>
    <row r="272630" customFormat="1" x14ac:dyDescent="0.25"/>
    <row r="272631" customFormat="1" x14ac:dyDescent="0.25"/>
    <row r="272632" customFormat="1" x14ac:dyDescent="0.25"/>
    <row r="272633" customFormat="1" x14ac:dyDescent="0.25"/>
    <row r="272634" customFormat="1" x14ac:dyDescent="0.25"/>
    <row r="272635" customFormat="1" x14ac:dyDescent="0.25"/>
    <row r="272636" customFormat="1" x14ac:dyDescent="0.25"/>
    <row r="272637" customFormat="1" x14ac:dyDescent="0.25"/>
    <row r="272638" customFormat="1" x14ac:dyDescent="0.25"/>
    <row r="272639" customFormat="1" x14ac:dyDescent="0.25"/>
    <row r="272640" customFormat="1" x14ac:dyDescent="0.25"/>
    <row r="272641" customFormat="1" x14ac:dyDescent="0.25"/>
    <row r="272642" customFormat="1" x14ac:dyDescent="0.25"/>
    <row r="272643" customFormat="1" x14ac:dyDescent="0.25"/>
    <row r="272644" customFormat="1" x14ac:dyDescent="0.25"/>
    <row r="272645" customFormat="1" x14ac:dyDescent="0.25"/>
    <row r="272646" customFormat="1" x14ac:dyDescent="0.25"/>
    <row r="272647" customFormat="1" x14ac:dyDescent="0.25"/>
    <row r="272648" customFormat="1" x14ac:dyDescent="0.25"/>
    <row r="272649" customFormat="1" x14ac:dyDescent="0.25"/>
    <row r="272650" customFormat="1" x14ac:dyDescent="0.25"/>
    <row r="272651" customFormat="1" x14ac:dyDescent="0.25"/>
    <row r="272652" customFormat="1" x14ac:dyDescent="0.25"/>
    <row r="272653" customFormat="1" x14ac:dyDescent="0.25"/>
    <row r="272654" customFormat="1" x14ac:dyDescent="0.25"/>
    <row r="272655" customFormat="1" x14ac:dyDescent="0.25"/>
    <row r="272656" customFormat="1" x14ac:dyDescent="0.25"/>
    <row r="272657" customFormat="1" x14ac:dyDescent="0.25"/>
    <row r="272658" customFormat="1" x14ac:dyDescent="0.25"/>
    <row r="272659" customFormat="1" x14ac:dyDescent="0.25"/>
    <row r="272660" customFormat="1" x14ac:dyDescent="0.25"/>
    <row r="272661" customFormat="1" x14ac:dyDescent="0.25"/>
    <row r="272662" customFormat="1" x14ac:dyDescent="0.25"/>
    <row r="272663" customFormat="1" x14ac:dyDescent="0.25"/>
    <row r="272664" customFormat="1" x14ac:dyDescent="0.25"/>
    <row r="272665" customFormat="1" x14ac:dyDescent="0.25"/>
    <row r="272666" customFormat="1" x14ac:dyDescent="0.25"/>
    <row r="272667" customFormat="1" x14ac:dyDescent="0.25"/>
    <row r="272668" customFormat="1" x14ac:dyDescent="0.25"/>
    <row r="272669" customFormat="1" x14ac:dyDescent="0.25"/>
    <row r="272670" customFormat="1" x14ac:dyDescent="0.25"/>
    <row r="272671" customFormat="1" x14ac:dyDescent="0.25"/>
    <row r="272672" customFormat="1" x14ac:dyDescent="0.25"/>
    <row r="272673" customFormat="1" x14ac:dyDescent="0.25"/>
    <row r="272674" customFormat="1" x14ac:dyDescent="0.25"/>
    <row r="272675" customFormat="1" x14ac:dyDescent="0.25"/>
    <row r="272676" customFormat="1" x14ac:dyDescent="0.25"/>
    <row r="272677" customFormat="1" x14ac:dyDescent="0.25"/>
    <row r="272678" customFormat="1" x14ac:dyDescent="0.25"/>
    <row r="272679" customFormat="1" x14ac:dyDescent="0.25"/>
    <row r="272680" customFormat="1" x14ac:dyDescent="0.25"/>
    <row r="272681" customFormat="1" x14ac:dyDescent="0.25"/>
    <row r="272682" customFormat="1" x14ac:dyDescent="0.25"/>
    <row r="272683" customFormat="1" x14ac:dyDescent="0.25"/>
    <row r="272684" customFormat="1" x14ac:dyDescent="0.25"/>
    <row r="272685" customFormat="1" x14ac:dyDescent="0.25"/>
    <row r="272686" customFormat="1" x14ac:dyDescent="0.25"/>
    <row r="272687" customFormat="1" x14ac:dyDescent="0.25"/>
    <row r="272688" customFormat="1" x14ac:dyDescent="0.25"/>
    <row r="272689" customFormat="1" x14ac:dyDescent="0.25"/>
    <row r="272690" customFormat="1" x14ac:dyDescent="0.25"/>
    <row r="272691" customFormat="1" x14ac:dyDescent="0.25"/>
    <row r="272692" customFormat="1" x14ac:dyDescent="0.25"/>
    <row r="272693" customFormat="1" x14ac:dyDescent="0.25"/>
    <row r="272694" customFormat="1" x14ac:dyDescent="0.25"/>
    <row r="272695" customFormat="1" x14ac:dyDescent="0.25"/>
    <row r="272696" customFormat="1" x14ac:dyDescent="0.25"/>
    <row r="272697" customFormat="1" x14ac:dyDescent="0.25"/>
    <row r="272698" customFormat="1" x14ac:dyDescent="0.25"/>
    <row r="272699" customFormat="1" x14ac:dyDescent="0.25"/>
    <row r="272700" customFormat="1" x14ac:dyDescent="0.25"/>
    <row r="272701" customFormat="1" x14ac:dyDescent="0.25"/>
    <row r="272702" customFormat="1" x14ac:dyDescent="0.25"/>
    <row r="272703" customFormat="1" x14ac:dyDescent="0.25"/>
    <row r="272704" customFormat="1" x14ac:dyDescent="0.25"/>
    <row r="272705" customFormat="1" x14ac:dyDescent="0.25"/>
    <row r="272706" customFormat="1" x14ac:dyDescent="0.25"/>
    <row r="272707" customFormat="1" x14ac:dyDescent="0.25"/>
    <row r="272708" customFormat="1" x14ac:dyDescent="0.25"/>
    <row r="272709" customFormat="1" x14ac:dyDescent="0.25"/>
    <row r="272710" customFormat="1" x14ac:dyDescent="0.25"/>
    <row r="272711" customFormat="1" x14ac:dyDescent="0.25"/>
    <row r="272712" customFormat="1" x14ac:dyDescent="0.25"/>
    <row r="272713" customFormat="1" x14ac:dyDescent="0.25"/>
    <row r="272714" customFormat="1" x14ac:dyDescent="0.25"/>
    <row r="272715" customFormat="1" x14ac:dyDescent="0.25"/>
    <row r="272716" customFormat="1" x14ac:dyDescent="0.25"/>
    <row r="272717" customFormat="1" x14ac:dyDescent="0.25"/>
    <row r="272718" customFormat="1" x14ac:dyDescent="0.25"/>
    <row r="272719" customFormat="1" x14ac:dyDescent="0.25"/>
    <row r="272720" customFormat="1" x14ac:dyDescent="0.25"/>
    <row r="272721" customFormat="1" x14ac:dyDescent="0.25"/>
    <row r="272722" customFormat="1" x14ac:dyDescent="0.25"/>
    <row r="272723" customFormat="1" x14ac:dyDescent="0.25"/>
    <row r="272724" customFormat="1" x14ac:dyDescent="0.25"/>
    <row r="272725" customFormat="1" x14ac:dyDescent="0.25"/>
    <row r="272726" customFormat="1" x14ac:dyDescent="0.25"/>
    <row r="272727" customFormat="1" x14ac:dyDescent="0.25"/>
    <row r="272728" customFormat="1" x14ac:dyDescent="0.25"/>
    <row r="272729" customFormat="1" x14ac:dyDescent="0.25"/>
    <row r="272730" customFormat="1" x14ac:dyDescent="0.25"/>
    <row r="272731" customFormat="1" x14ac:dyDescent="0.25"/>
    <row r="272732" customFormat="1" x14ac:dyDescent="0.25"/>
    <row r="272733" customFormat="1" x14ac:dyDescent="0.25"/>
    <row r="272734" customFormat="1" x14ac:dyDescent="0.25"/>
    <row r="272735" customFormat="1" x14ac:dyDescent="0.25"/>
    <row r="272736" customFormat="1" x14ac:dyDescent="0.25"/>
    <row r="272737" customFormat="1" x14ac:dyDescent="0.25"/>
    <row r="272738" customFormat="1" x14ac:dyDescent="0.25"/>
    <row r="272739" customFormat="1" x14ac:dyDescent="0.25"/>
    <row r="272740" customFormat="1" x14ac:dyDescent="0.25"/>
    <row r="272741" customFormat="1" x14ac:dyDescent="0.25"/>
    <row r="272742" customFormat="1" x14ac:dyDescent="0.25"/>
    <row r="272743" customFormat="1" x14ac:dyDescent="0.25"/>
    <row r="272744" customFormat="1" x14ac:dyDescent="0.25"/>
    <row r="272745" customFormat="1" x14ac:dyDescent="0.25"/>
    <row r="272746" customFormat="1" x14ac:dyDescent="0.25"/>
    <row r="272747" customFormat="1" x14ac:dyDescent="0.25"/>
    <row r="272748" customFormat="1" x14ac:dyDescent="0.25"/>
    <row r="272749" customFormat="1" x14ac:dyDescent="0.25"/>
    <row r="272750" customFormat="1" x14ac:dyDescent="0.25"/>
    <row r="272751" customFormat="1" x14ac:dyDescent="0.25"/>
    <row r="272752" customFormat="1" x14ac:dyDescent="0.25"/>
    <row r="272753" customFormat="1" x14ac:dyDescent="0.25"/>
    <row r="272754" customFormat="1" x14ac:dyDescent="0.25"/>
    <row r="272755" customFormat="1" x14ac:dyDescent="0.25"/>
    <row r="272756" customFormat="1" x14ac:dyDescent="0.25"/>
    <row r="272757" customFormat="1" x14ac:dyDescent="0.25"/>
    <row r="272758" customFormat="1" x14ac:dyDescent="0.25"/>
    <row r="272759" customFormat="1" x14ac:dyDescent="0.25"/>
    <row r="272760" customFormat="1" x14ac:dyDescent="0.25"/>
    <row r="272761" customFormat="1" x14ac:dyDescent="0.25"/>
    <row r="272762" customFormat="1" x14ac:dyDescent="0.25"/>
    <row r="272763" customFormat="1" x14ac:dyDescent="0.25"/>
    <row r="272764" customFormat="1" x14ac:dyDescent="0.25"/>
    <row r="272765" customFormat="1" x14ac:dyDescent="0.25"/>
    <row r="272766" customFormat="1" x14ac:dyDescent="0.25"/>
    <row r="272767" customFormat="1" x14ac:dyDescent="0.25"/>
    <row r="272768" customFormat="1" x14ac:dyDescent="0.25"/>
    <row r="272769" customFormat="1" x14ac:dyDescent="0.25"/>
    <row r="272770" customFormat="1" x14ac:dyDescent="0.25"/>
    <row r="272771" customFormat="1" x14ac:dyDescent="0.25"/>
    <row r="272772" customFormat="1" x14ac:dyDescent="0.25"/>
    <row r="272773" customFormat="1" x14ac:dyDescent="0.25"/>
    <row r="272774" customFormat="1" x14ac:dyDescent="0.25"/>
    <row r="272775" customFormat="1" x14ac:dyDescent="0.25"/>
    <row r="272776" customFormat="1" x14ac:dyDescent="0.25"/>
    <row r="272777" customFormat="1" x14ac:dyDescent="0.25"/>
    <row r="272778" customFormat="1" x14ac:dyDescent="0.25"/>
    <row r="272779" customFormat="1" x14ac:dyDescent="0.25"/>
    <row r="272780" customFormat="1" x14ac:dyDescent="0.25"/>
    <row r="272781" customFormat="1" x14ac:dyDescent="0.25"/>
    <row r="272782" customFormat="1" x14ac:dyDescent="0.25"/>
    <row r="272783" customFormat="1" x14ac:dyDescent="0.25"/>
    <row r="272784" customFormat="1" x14ac:dyDescent="0.25"/>
    <row r="272785" customFormat="1" x14ac:dyDescent="0.25"/>
    <row r="272786" customFormat="1" x14ac:dyDescent="0.25"/>
    <row r="272787" customFormat="1" x14ac:dyDescent="0.25"/>
    <row r="272788" customFormat="1" x14ac:dyDescent="0.25"/>
    <row r="272789" customFormat="1" x14ac:dyDescent="0.25"/>
    <row r="272790" customFormat="1" x14ac:dyDescent="0.25"/>
    <row r="272791" customFormat="1" x14ac:dyDescent="0.25"/>
    <row r="272792" customFormat="1" x14ac:dyDescent="0.25"/>
    <row r="272793" customFormat="1" x14ac:dyDescent="0.25"/>
    <row r="272794" customFormat="1" x14ac:dyDescent="0.25"/>
    <row r="272795" customFormat="1" x14ac:dyDescent="0.25"/>
    <row r="272796" customFormat="1" x14ac:dyDescent="0.25"/>
    <row r="272797" customFormat="1" x14ac:dyDescent="0.25"/>
    <row r="272798" customFormat="1" x14ac:dyDescent="0.25"/>
    <row r="272799" customFormat="1" x14ac:dyDescent="0.25"/>
    <row r="272800" customFormat="1" x14ac:dyDescent="0.25"/>
    <row r="272801" customFormat="1" x14ac:dyDescent="0.25"/>
    <row r="272802" customFormat="1" x14ac:dyDescent="0.25"/>
    <row r="272803" customFormat="1" x14ac:dyDescent="0.25"/>
    <row r="272804" customFormat="1" x14ac:dyDescent="0.25"/>
    <row r="272805" customFormat="1" x14ac:dyDescent="0.25"/>
    <row r="272806" customFormat="1" x14ac:dyDescent="0.25"/>
    <row r="272807" customFormat="1" x14ac:dyDescent="0.25"/>
    <row r="272808" customFormat="1" x14ac:dyDescent="0.25"/>
    <row r="272809" customFormat="1" x14ac:dyDescent="0.25"/>
    <row r="272810" customFormat="1" x14ac:dyDescent="0.25"/>
    <row r="272811" customFormat="1" x14ac:dyDescent="0.25"/>
    <row r="272812" customFormat="1" x14ac:dyDescent="0.25"/>
    <row r="272813" customFormat="1" x14ac:dyDescent="0.25"/>
    <row r="272814" customFormat="1" x14ac:dyDescent="0.25"/>
    <row r="272815" customFormat="1" x14ac:dyDescent="0.25"/>
    <row r="272816" customFormat="1" x14ac:dyDescent="0.25"/>
    <row r="272817" customFormat="1" x14ac:dyDescent="0.25"/>
    <row r="272818" customFormat="1" x14ac:dyDescent="0.25"/>
    <row r="272819" customFormat="1" x14ac:dyDescent="0.25"/>
    <row r="272820" customFormat="1" x14ac:dyDescent="0.25"/>
    <row r="272821" customFormat="1" x14ac:dyDescent="0.25"/>
    <row r="272822" customFormat="1" x14ac:dyDescent="0.25"/>
    <row r="272823" customFormat="1" x14ac:dyDescent="0.25"/>
    <row r="272824" customFormat="1" x14ac:dyDescent="0.25"/>
    <row r="272825" customFormat="1" x14ac:dyDescent="0.25"/>
    <row r="272826" customFormat="1" x14ac:dyDescent="0.25"/>
    <row r="272827" customFormat="1" x14ac:dyDescent="0.25"/>
    <row r="272828" customFormat="1" x14ac:dyDescent="0.25"/>
    <row r="272829" customFormat="1" x14ac:dyDescent="0.25"/>
    <row r="272830" customFormat="1" x14ac:dyDescent="0.25"/>
    <row r="272831" customFormat="1" x14ac:dyDescent="0.25"/>
    <row r="272832" customFormat="1" x14ac:dyDescent="0.25"/>
    <row r="272833" customFormat="1" x14ac:dyDescent="0.25"/>
    <row r="272834" customFormat="1" x14ac:dyDescent="0.25"/>
    <row r="272835" customFormat="1" x14ac:dyDescent="0.25"/>
    <row r="272836" customFormat="1" x14ac:dyDescent="0.25"/>
    <row r="272837" customFormat="1" x14ac:dyDescent="0.25"/>
    <row r="272838" customFormat="1" x14ac:dyDescent="0.25"/>
    <row r="272839" customFormat="1" x14ac:dyDescent="0.25"/>
    <row r="272840" customFormat="1" x14ac:dyDescent="0.25"/>
    <row r="272841" customFormat="1" x14ac:dyDescent="0.25"/>
    <row r="272842" customFormat="1" x14ac:dyDescent="0.25"/>
    <row r="272843" customFormat="1" x14ac:dyDescent="0.25"/>
    <row r="272844" customFormat="1" x14ac:dyDescent="0.25"/>
    <row r="272845" customFormat="1" x14ac:dyDescent="0.25"/>
    <row r="272846" customFormat="1" x14ac:dyDescent="0.25"/>
    <row r="272847" customFormat="1" x14ac:dyDescent="0.25"/>
    <row r="272848" customFormat="1" x14ac:dyDescent="0.25"/>
    <row r="272849" customFormat="1" x14ac:dyDescent="0.25"/>
    <row r="272850" customFormat="1" x14ac:dyDescent="0.25"/>
    <row r="272851" customFormat="1" x14ac:dyDescent="0.25"/>
    <row r="272852" customFormat="1" x14ac:dyDescent="0.25"/>
    <row r="272853" customFormat="1" x14ac:dyDescent="0.25"/>
    <row r="272854" customFormat="1" x14ac:dyDescent="0.25"/>
    <row r="272855" customFormat="1" x14ac:dyDescent="0.25"/>
    <row r="272856" customFormat="1" x14ac:dyDescent="0.25"/>
    <row r="272857" customFormat="1" x14ac:dyDescent="0.25"/>
    <row r="272858" customFormat="1" x14ac:dyDescent="0.25"/>
    <row r="272859" customFormat="1" x14ac:dyDescent="0.25"/>
    <row r="272860" customFormat="1" x14ac:dyDescent="0.25"/>
    <row r="272861" customFormat="1" x14ac:dyDescent="0.25"/>
    <row r="272862" customFormat="1" x14ac:dyDescent="0.25"/>
    <row r="272863" customFormat="1" x14ac:dyDescent="0.25"/>
    <row r="272864" customFormat="1" x14ac:dyDescent="0.25"/>
    <row r="272865" customFormat="1" x14ac:dyDescent="0.25"/>
    <row r="272866" customFormat="1" x14ac:dyDescent="0.25"/>
    <row r="272867" customFormat="1" x14ac:dyDescent="0.25"/>
    <row r="272868" customFormat="1" x14ac:dyDescent="0.25"/>
    <row r="272869" customFormat="1" x14ac:dyDescent="0.25"/>
    <row r="272870" customFormat="1" x14ac:dyDescent="0.25"/>
    <row r="272871" customFormat="1" x14ac:dyDescent="0.25"/>
    <row r="272872" customFormat="1" x14ac:dyDescent="0.25"/>
    <row r="272873" customFormat="1" x14ac:dyDescent="0.25"/>
    <row r="272874" customFormat="1" x14ac:dyDescent="0.25"/>
    <row r="272875" customFormat="1" x14ac:dyDescent="0.25"/>
    <row r="272876" customFormat="1" x14ac:dyDescent="0.25"/>
    <row r="272877" customFormat="1" x14ac:dyDescent="0.25"/>
    <row r="272878" customFormat="1" x14ac:dyDescent="0.25"/>
    <row r="272879" customFormat="1" x14ac:dyDescent="0.25"/>
    <row r="272880" customFormat="1" x14ac:dyDescent="0.25"/>
    <row r="272881" customFormat="1" x14ac:dyDescent="0.25"/>
    <row r="272882" customFormat="1" x14ac:dyDescent="0.25"/>
    <row r="272883" customFormat="1" x14ac:dyDescent="0.25"/>
    <row r="272884" customFormat="1" x14ac:dyDescent="0.25"/>
    <row r="272885" customFormat="1" x14ac:dyDescent="0.25"/>
    <row r="272886" customFormat="1" x14ac:dyDescent="0.25"/>
    <row r="272887" customFormat="1" x14ac:dyDescent="0.25"/>
    <row r="272888" customFormat="1" x14ac:dyDescent="0.25"/>
    <row r="272889" customFormat="1" x14ac:dyDescent="0.25"/>
    <row r="272890" customFormat="1" x14ac:dyDescent="0.25"/>
    <row r="272891" customFormat="1" x14ac:dyDescent="0.25"/>
    <row r="272892" customFormat="1" x14ac:dyDescent="0.25"/>
    <row r="272893" customFormat="1" x14ac:dyDescent="0.25"/>
    <row r="272894" customFormat="1" x14ac:dyDescent="0.25"/>
    <row r="272895" customFormat="1" x14ac:dyDescent="0.25"/>
    <row r="272896" customFormat="1" x14ac:dyDescent="0.25"/>
    <row r="272897" customFormat="1" x14ac:dyDescent="0.25"/>
    <row r="272898" customFormat="1" x14ac:dyDescent="0.25"/>
    <row r="272899" customFormat="1" x14ac:dyDescent="0.25"/>
    <row r="272900" customFormat="1" x14ac:dyDescent="0.25"/>
    <row r="272901" customFormat="1" x14ac:dyDescent="0.25"/>
    <row r="272902" customFormat="1" x14ac:dyDescent="0.25"/>
    <row r="272903" customFormat="1" x14ac:dyDescent="0.25"/>
    <row r="272904" customFormat="1" x14ac:dyDescent="0.25"/>
    <row r="272905" customFormat="1" x14ac:dyDescent="0.25"/>
    <row r="272906" customFormat="1" x14ac:dyDescent="0.25"/>
    <row r="272907" customFormat="1" x14ac:dyDescent="0.25"/>
    <row r="272908" customFormat="1" x14ac:dyDescent="0.25"/>
    <row r="272909" customFormat="1" x14ac:dyDescent="0.25"/>
    <row r="272910" customFormat="1" x14ac:dyDescent="0.25"/>
    <row r="272911" customFormat="1" x14ac:dyDescent="0.25"/>
    <row r="272912" customFormat="1" x14ac:dyDescent="0.25"/>
    <row r="272913" customFormat="1" x14ac:dyDescent="0.25"/>
    <row r="272914" customFormat="1" x14ac:dyDescent="0.25"/>
    <row r="272915" customFormat="1" x14ac:dyDescent="0.25"/>
    <row r="272916" customFormat="1" x14ac:dyDescent="0.25"/>
    <row r="272917" customFormat="1" x14ac:dyDescent="0.25"/>
    <row r="272918" customFormat="1" x14ac:dyDescent="0.25"/>
    <row r="272919" customFormat="1" x14ac:dyDescent="0.25"/>
    <row r="272920" customFormat="1" x14ac:dyDescent="0.25"/>
    <row r="272921" customFormat="1" x14ac:dyDescent="0.25"/>
    <row r="272922" customFormat="1" x14ac:dyDescent="0.25"/>
    <row r="272923" customFormat="1" x14ac:dyDescent="0.25"/>
    <row r="272924" customFormat="1" x14ac:dyDescent="0.25"/>
    <row r="272925" customFormat="1" x14ac:dyDescent="0.25"/>
    <row r="272926" customFormat="1" x14ac:dyDescent="0.25"/>
    <row r="272927" customFormat="1" x14ac:dyDescent="0.25"/>
    <row r="272928" customFormat="1" x14ac:dyDescent="0.25"/>
    <row r="272929" customFormat="1" x14ac:dyDescent="0.25"/>
    <row r="272930" customFormat="1" x14ac:dyDescent="0.25"/>
    <row r="272931" customFormat="1" x14ac:dyDescent="0.25"/>
    <row r="272932" customFormat="1" x14ac:dyDescent="0.25"/>
    <row r="272933" customFormat="1" x14ac:dyDescent="0.25"/>
    <row r="272934" customFormat="1" x14ac:dyDescent="0.25"/>
    <row r="272935" customFormat="1" x14ac:dyDescent="0.25"/>
    <row r="272936" customFormat="1" x14ac:dyDescent="0.25"/>
    <row r="272937" customFormat="1" x14ac:dyDescent="0.25"/>
    <row r="272938" customFormat="1" x14ac:dyDescent="0.25"/>
    <row r="272939" customFormat="1" x14ac:dyDescent="0.25"/>
    <row r="272940" customFormat="1" x14ac:dyDescent="0.25"/>
    <row r="272941" customFormat="1" x14ac:dyDescent="0.25"/>
    <row r="272942" customFormat="1" x14ac:dyDescent="0.25"/>
    <row r="272943" customFormat="1" x14ac:dyDescent="0.25"/>
    <row r="272944" customFormat="1" x14ac:dyDescent="0.25"/>
    <row r="272945" customFormat="1" x14ac:dyDescent="0.25"/>
    <row r="272946" customFormat="1" x14ac:dyDescent="0.25"/>
    <row r="272947" customFormat="1" x14ac:dyDescent="0.25"/>
    <row r="272948" customFormat="1" x14ac:dyDescent="0.25"/>
    <row r="272949" customFormat="1" x14ac:dyDescent="0.25"/>
    <row r="272950" customFormat="1" x14ac:dyDescent="0.25"/>
    <row r="272951" customFormat="1" x14ac:dyDescent="0.25"/>
    <row r="272952" customFormat="1" x14ac:dyDescent="0.25"/>
    <row r="272953" customFormat="1" x14ac:dyDescent="0.25"/>
    <row r="272954" customFormat="1" x14ac:dyDescent="0.25"/>
    <row r="272955" customFormat="1" x14ac:dyDescent="0.25"/>
    <row r="272956" customFormat="1" x14ac:dyDescent="0.25"/>
    <row r="272957" customFormat="1" x14ac:dyDescent="0.25"/>
    <row r="272958" customFormat="1" x14ac:dyDescent="0.25"/>
    <row r="272959" customFormat="1" x14ac:dyDescent="0.25"/>
    <row r="272960" customFormat="1" x14ac:dyDescent="0.25"/>
    <row r="272961" customFormat="1" x14ac:dyDescent="0.25"/>
    <row r="272962" customFormat="1" x14ac:dyDescent="0.25"/>
    <row r="272963" customFormat="1" x14ac:dyDescent="0.25"/>
    <row r="272964" customFormat="1" x14ac:dyDescent="0.25"/>
    <row r="272965" customFormat="1" x14ac:dyDescent="0.25"/>
    <row r="272966" customFormat="1" x14ac:dyDescent="0.25"/>
    <row r="272967" customFormat="1" x14ac:dyDescent="0.25"/>
    <row r="272968" customFormat="1" x14ac:dyDescent="0.25"/>
    <row r="272969" customFormat="1" x14ac:dyDescent="0.25"/>
    <row r="272970" customFormat="1" x14ac:dyDescent="0.25"/>
    <row r="272971" customFormat="1" x14ac:dyDescent="0.25"/>
    <row r="272972" customFormat="1" x14ac:dyDescent="0.25"/>
    <row r="272973" customFormat="1" x14ac:dyDescent="0.25"/>
    <row r="272974" customFormat="1" x14ac:dyDescent="0.25"/>
    <row r="272975" customFormat="1" x14ac:dyDescent="0.25"/>
    <row r="272976" customFormat="1" x14ac:dyDescent="0.25"/>
    <row r="272977" customFormat="1" x14ac:dyDescent="0.25"/>
    <row r="272978" customFormat="1" x14ac:dyDescent="0.25"/>
    <row r="272979" customFormat="1" x14ac:dyDescent="0.25"/>
    <row r="272980" customFormat="1" x14ac:dyDescent="0.25"/>
    <row r="272981" customFormat="1" x14ac:dyDescent="0.25"/>
    <row r="272982" customFormat="1" x14ac:dyDescent="0.25"/>
    <row r="272983" customFormat="1" x14ac:dyDescent="0.25"/>
    <row r="272984" customFormat="1" x14ac:dyDescent="0.25"/>
    <row r="272985" customFormat="1" x14ac:dyDescent="0.25"/>
    <row r="272986" customFormat="1" x14ac:dyDescent="0.25"/>
    <row r="272987" customFormat="1" x14ac:dyDescent="0.25"/>
    <row r="272988" customFormat="1" x14ac:dyDescent="0.25"/>
    <row r="272989" customFormat="1" x14ac:dyDescent="0.25"/>
    <row r="272990" customFormat="1" x14ac:dyDescent="0.25"/>
    <row r="272991" customFormat="1" x14ac:dyDescent="0.25"/>
    <row r="272992" customFormat="1" x14ac:dyDescent="0.25"/>
    <row r="272993" customFormat="1" x14ac:dyDescent="0.25"/>
    <row r="272994" customFormat="1" x14ac:dyDescent="0.25"/>
    <row r="272995" customFormat="1" x14ac:dyDescent="0.25"/>
    <row r="272996" customFormat="1" x14ac:dyDescent="0.25"/>
    <row r="272997" customFormat="1" x14ac:dyDescent="0.25"/>
    <row r="272998" customFormat="1" x14ac:dyDescent="0.25"/>
    <row r="272999" customFormat="1" x14ac:dyDescent="0.25"/>
    <row r="273000" customFormat="1" x14ac:dyDescent="0.25"/>
    <row r="273001" customFormat="1" x14ac:dyDescent="0.25"/>
    <row r="273002" customFormat="1" x14ac:dyDescent="0.25"/>
    <row r="273003" customFormat="1" x14ac:dyDescent="0.25"/>
    <row r="273004" customFormat="1" x14ac:dyDescent="0.25"/>
    <row r="273005" customFormat="1" x14ac:dyDescent="0.25"/>
    <row r="273006" customFormat="1" x14ac:dyDescent="0.25"/>
    <row r="273007" customFormat="1" x14ac:dyDescent="0.25"/>
    <row r="273008" customFormat="1" x14ac:dyDescent="0.25"/>
    <row r="273009" customFormat="1" x14ac:dyDescent="0.25"/>
    <row r="273010" customFormat="1" x14ac:dyDescent="0.25"/>
    <row r="273011" customFormat="1" x14ac:dyDescent="0.25"/>
    <row r="273012" customFormat="1" x14ac:dyDescent="0.25"/>
    <row r="273013" customFormat="1" x14ac:dyDescent="0.25"/>
    <row r="273014" customFormat="1" x14ac:dyDescent="0.25"/>
    <row r="273015" customFormat="1" x14ac:dyDescent="0.25"/>
    <row r="273016" customFormat="1" x14ac:dyDescent="0.25"/>
    <row r="273017" customFormat="1" x14ac:dyDescent="0.25"/>
    <row r="273018" customFormat="1" x14ac:dyDescent="0.25"/>
    <row r="273019" customFormat="1" x14ac:dyDescent="0.25"/>
    <row r="273020" customFormat="1" x14ac:dyDescent="0.25"/>
    <row r="273021" customFormat="1" x14ac:dyDescent="0.25"/>
    <row r="273022" customFormat="1" x14ac:dyDescent="0.25"/>
    <row r="273023" customFormat="1" x14ac:dyDescent="0.25"/>
    <row r="273024" customFormat="1" x14ac:dyDescent="0.25"/>
    <row r="273025" customFormat="1" x14ac:dyDescent="0.25"/>
    <row r="273026" customFormat="1" x14ac:dyDescent="0.25"/>
    <row r="273027" customFormat="1" x14ac:dyDescent="0.25"/>
    <row r="273028" customFormat="1" x14ac:dyDescent="0.25"/>
    <row r="273029" customFormat="1" x14ac:dyDescent="0.25"/>
    <row r="273030" customFormat="1" x14ac:dyDescent="0.25"/>
    <row r="273031" customFormat="1" x14ac:dyDescent="0.25"/>
    <row r="273032" customFormat="1" x14ac:dyDescent="0.25"/>
    <row r="273033" customFormat="1" x14ac:dyDescent="0.25"/>
    <row r="273034" customFormat="1" x14ac:dyDescent="0.25"/>
    <row r="273035" customFormat="1" x14ac:dyDescent="0.25"/>
    <row r="273036" customFormat="1" x14ac:dyDescent="0.25"/>
    <row r="273037" customFormat="1" x14ac:dyDescent="0.25"/>
    <row r="273038" customFormat="1" x14ac:dyDescent="0.25"/>
    <row r="273039" customFormat="1" x14ac:dyDescent="0.25"/>
    <row r="273040" customFormat="1" x14ac:dyDescent="0.25"/>
    <row r="273041" customFormat="1" x14ac:dyDescent="0.25"/>
    <row r="273042" customFormat="1" x14ac:dyDescent="0.25"/>
    <row r="273043" customFormat="1" x14ac:dyDescent="0.25"/>
    <row r="273044" customFormat="1" x14ac:dyDescent="0.25"/>
    <row r="273045" customFormat="1" x14ac:dyDescent="0.25"/>
    <row r="273046" customFormat="1" x14ac:dyDescent="0.25"/>
    <row r="273047" customFormat="1" x14ac:dyDescent="0.25"/>
    <row r="273048" customFormat="1" x14ac:dyDescent="0.25"/>
    <row r="273049" customFormat="1" x14ac:dyDescent="0.25"/>
    <row r="273050" customFormat="1" x14ac:dyDescent="0.25"/>
    <row r="273051" customFormat="1" x14ac:dyDescent="0.25"/>
    <row r="273052" customFormat="1" x14ac:dyDescent="0.25"/>
    <row r="273053" customFormat="1" x14ac:dyDescent="0.25"/>
    <row r="273054" customFormat="1" x14ac:dyDescent="0.25"/>
    <row r="273055" customFormat="1" x14ac:dyDescent="0.25"/>
    <row r="273056" customFormat="1" x14ac:dyDescent="0.25"/>
    <row r="273057" customFormat="1" x14ac:dyDescent="0.25"/>
    <row r="273058" customFormat="1" x14ac:dyDescent="0.25"/>
    <row r="273059" customFormat="1" x14ac:dyDescent="0.25"/>
    <row r="273060" customFormat="1" x14ac:dyDescent="0.25"/>
    <row r="273061" customFormat="1" x14ac:dyDescent="0.25"/>
    <row r="273062" customFormat="1" x14ac:dyDescent="0.25"/>
    <row r="273063" customFormat="1" x14ac:dyDescent="0.25"/>
    <row r="273064" customFormat="1" x14ac:dyDescent="0.25"/>
    <row r="273065" customFormat="1" x14ac:dyDescent="0.25"/>
    <row r="273066" customFormat="1" x14ac:dyDescent="0.25"/>
    <row r="273067" customFormat="1" x14ac:dyDescent="0.25"/>
    <row r="273068" customFormat="1" x14ac:dyDescent="0.25"/>
    <row r="273069" customFormat="1" x14ac:dyDescent="0.25"/>
    <row r="273070" customFormat="1" x14ac:dyDescent="0.25"/>
    <row r="273071" customFormat="1" x14ac:dyDescent="0.25"/>
    <row r="273072" customFormat="1" x14ac:dyDescent="0.25"/>
    <row r="273073" customFormat="1" x14ac:dyDescent="0.25"/>
    <row r="273074" customFormat="1" x14ac:dyDescent="0.25"/>
    <row r="273075" customFormat="1" x14ac:dyDescent="0.25"/>
    <row r="273076" customFormat="1" x14ac:dyDescent="0.25"/>
    <row r="273077" customFormat="1" x14ac:dyDescent="0.25"/>
    <row r="273078" customFormat="1" x14ac:dyDescent="0.25"/>
    <row r="273079" customFormat="1" x14ac:dyDescent="0.25"/>
    <row r="273080" customFormat="1" x14ac:dyDescent="0.25"/>
    <row r="273081" customFormat="1" x14ac:dyDescent="0.25"/>
    <row r="273082" customFormat="1" x14ac:dyDescent="0.25"/>
    <row r="273083" customFormat="1" x14ac:dyDescent="0.25"/>
    <row r="273084" customFormat="1" x14ac:dyDescent="0.25"/>
    <row r="273085" customFormat="1" x14ac:dyDescent="0.25"/>
    <row r="273086" customFormat="1" x14ac:dyDescent="0.25"/>
    <row r="273087" customFormat="1" x14ac:dyDescent="0.25"/>
    <row r="273088" customFormat="1" x14ac:dyDescent="0.25"/>
    <row r="273089" customFormat="1" x14ac:dyDescent="0.25"/>
    <row r="273090" customFormat="1" x14ac:dyDescent="0.25"/>
    <row r="273091" customFormat="1" x14ac:dyDescent="0.25"/>
    <row r="273092" customFormat="1" x14ac:dyDescent="0.25"/>
    <row r="273093" customFormat="1" x14ac:dyDescent="0.25"/>
    <row r="273094" customFormat="1" x14ac:dyDescent="0.25"/>
    <row r="273095" customFormat="1" x14ac:dyDescent="0.25"/>
    <row r="273096" customFormat="1" x14ac:dyDescent="0.25"/>
    <row r="273097" customFormat="1" x14ac:dyDescent="0.25"/>
    <row r="273098" customFormat="1" x14ac:dyDescent="0.25"/>
    <row r="273099" customFormat="1" x14ac:dyDescent="0.25"/>
    <row r="273100" customFormat="1" x14ac:dyDescent="0.25"/>
    <row r="273101" customFormat="1" x14ac:dyDescent="0.25"/>
    <row r="273102" customFormat="1" x14ac:dyDescent="0.25"/>
    <row r="273103" customFormat="1" x14ac:dyDescent="0.25"/>
    <row r="273104" customFormat="1" x14ac:dyDescent="0.25"/>
    <row r="273105" customFormat="1" x14ac:dyDescent="0.25"/>
    <row r="273106" customFormat="1" x14ac:dyDescent="0.25"/>
    <row r="273107" customFormat="1" x14ac:dyDescent="0.25"/>
    <row r="273108" customFormat="1" x14ac:dyDescent="0.25"/>
    <row r="273109" customFormat="1" x14ac:dyDescent="0.25"/>
    <row r="273110" customFormat="1" x14ac:dyDescent="0.25"/>
    <row r="273111" customFormat="1" x14ac:dyDescent="0.25"/>
    <row r="273112" customFormat="1" x14ac:dyDescent="0.25"/>
    <row r="273113" customFormat="1" x14ac:dyDescent="0.25"/>
    <row r="273114" customFormat="1" x14ac:dyDescent="0.25"/>
    <row r="273115" customFormat="1" x14ac:dyDescent="0.25"/>
    <row r="273116" customFormat="1" x14ac:dyDescent="0.25"/>
    <row r="273117" customFormat="1" x14ac:dyDescent="0.25"/>
    <row r="273118" customFormat="1" x14ac:dyDescent="0.25"/>
    <row r="273119" customFormat="1" x14ac:dyDescent="0.25"/>
    <row r="273120" customFormat="1" x14ac:dyDescent="0.25"/>
    <row r="273121" customFormat="1" x14ac:dyDescent="0.25"/>
    <row r="273122" customFormat="1" x14ac:dyDescent="0.25"/>
    <row r="273123" customFormat="1" x14ac:dyDescent="0.25"/>
    <row r="273124" customFormat="1" x14ac:dyDescent="0.25"/>
    <row r="273125" customFormat="1" x14ac:dyDescent="0.25"/>
    <row r="273126" customFormat="1" x14ac:dyDescent="0.25"/>
    <row r="273127" customFormat="1" x14ac:dyDescent="0.25"/>
    <row r="273128" customFormat="1" x14ac:dyDescent="0.25"/>
    <row r="273129" customFormat="1" x14ac:dyDescent="0.25"/>
    <row r="273130" customFormat="1" x14ac:dyDescent="0.25"/>
    <row r="273131" customFormat="1" x14ac:dyDescent="0.25"/>
    <row r="273132" customFormat="1" x14ac:dyDescent="0.25"/>
    <row r="273133" customFormat="1" x14ac:dyDescent="0.25"/>
    <row r="273134" customFormat="1" x14ac:dyDescent="0.25"/>
    <row r="273135" customFormat="1" x14ac:dyDescent="0.25"/>
    <row r="273136" customFormat="1" x14ac:dyDescent="0.25"/>
    <row r="273137" customFormat="1" x14ac:dyDescent="0.25"/>
    <row r="273138" customFormat="1" x14ac:dyDescent="0.25"/>
    <row r="273139" customFormat="1" x14ac:dyDescent="0.25"/>
    <row r="273140" customFormat="1" x14ac:dyDescent="0.25"/>
    <row r="273141" customFormat="1" x14ac:dyDescent="0.25"/>
    <row r="273142" customFormat="1" x14ac:dyDescent="0.25"/>
    <row r="273143" customFormat="1" x14ac:dyDescent="0.25"/>
    <row r="273144" customFormat="1" x14ac:dyDescent="0.25"/>
    <row r="273145" customFormat="1" x14ac:dyDescent="0.25"/>
    <row r="273146" customFormat="1" x14ac:dyDescent="0.25"/>
    <row r="273147" customFormat="1" x14ac:dyDescent="0.25"/>
    <row r="273148" customFormat="1" x14ac:dyDescent="0.25"/>
    <row r="273149" customFormat="1" x14ac:dyDescent="0.25"/>
    <row r="273150" customFormat="1" x14ac:dyDescent="0.25"/>
    <row r="273151" customFormat="1" x14ac:dyDescent="0.25"/>
    <row r="273152" customFormat="1" x14ac:dyDescent="0.25"/>
    <row r="273153" customFormat="1" x14ac:dyDescent="0.25"/>
    <row r="273154" customFormat="1" x14ac:dyDescent="0.25"/>
    <row r="273155" customFormat="1" x14ac:dyDescent="0.25"/>
    <row r="273156" customFormat="1" x14ac:dyDescent="0.25"/>
    <row r="273157" customFormat="1" x14ac:dyDescent="0.25"/>
    <row r="273158" customFormat="1" x14ac:dyDescent="0.25"/>
    <row r="273159" customFormat="1" x14ac:dyDescent="0.25"/>
    <row r="273160" customFormat="1" x14ac:dyDescent="0.25"/>
    <row r="273161" customFormat="1" x14ac:dyDescent="0.25"/>
    <row r="273162" customFormat="1" x14ac:dyDescent="0.25"/>
    <row r="273163" customFormat="1" x14ac:dyDescent="0.25"/>
    <row r="273164" customFormat="1" x14ac:dyDescent="0.25"/>
    <row r="273165" customFormat="1" x14ac:dyDescent="0.25"/>
    <row r="273166" customFormat="1" x14ac:dyDescent="0.25"/>
    <row r="273167" customFormat="1" x14ac:dyDescent="0.25"/>
    <row r="273168" customFormat="1" x14ac:dyDescent="0.25"/>
    <row r="273169" customFormat="1" x14ac:dyDescent="0.25"/>
    <row r="273170" customFormat="1" x14ac:dyDescent="0.25"/>
    <row r="273171" customFormat="1" x14ac:dyDescent="0.25"/>
    <row r="273172" customFormat="1" x14ac:dyDescent="0.25"/>
    <row r="273173" customFormat="1" x14ac:dyDescent="0.25"/>
    <row r="273174" customFormat="1" x14ac:dyDescent="0.25"/>
    <row r="273175" customFormat="1" x14ac:dyDescent="0.25"/>
    <row r="273176" customFormat="1" x14ac:dyDescent="0.25"/>
    <row r="273177" customFormat="1" x14ac:dyDescent="0.25"/>
    <row r="273178" customFormat="1" x14ac:dyDescent="0.25"/>
    <row r="273179" customFormat="1" x14ac:dyDescent="0.25"/>
    <row r="273180" customFormat="1" x14ac:dyDescent="0.25"/>
    <row r="273181" customFormat="1" x14ac:dyDescent="0.25"/>
    <row r="273182" customFormat="1" x14ac:dyDescent="0.25"/>
    <row r="273183" customFormat="1" x14ac:dyDescent="0.25"/>
    <row r="273184" customFormat="1" x14ac:dyDescent="0.25"/>
    <row r="273185" customFormat="1" x14ac:dyDescent="0.25"/>
    <row r="273186" customFormat="1" x14ac:dyDescent="0.25"/>
    <row r="273187" customFormat="1" x14ac:dyDescent="0.25"/>
    <row r="273188" customFormat="1" x14ac:dyDescent="0.25"/>
    <row r="273189" customFormat="1" x14ac:dyDescent="0.25"/>
    <row r="273190" customFormat="1" x14ac:dyDescent="0.25"/>
    <row r="273191" customFormat="1" x14ac:dyDescent="0.25"/>
    <row r="273192" customFormat="1" x14ac:dyDescent="0.25"/>
    <row r="273193" customFormat="1" x14ac:dyDescent="0.25"/>
    <row r="273194" customFormat="1" x14ac:dyDescent="0.25"/>
    <row r="273195" customFormat="1" x14ac:dyDescent="0.25"/>
    <row r="273196" customFormat="1" x14ac:dyDescent="0.25"/>
    <row r="273197" customFormat="1" x14ac:dyDescent="0.25"/>
    <row r="273198" customFormat="1" x14ac:dyDescent="0.25"/>
    <row r="273199" customFormat="1" x14ac:dyDescent="0.25"/>
    <row r="273200" customFormat="1" x14ac:dyDescent="0.25"/>
    <row r="273201" customFormat="1" x14ac:dyDescent="0.25"/>
    <row r="273202" customFormat="1" x14ac:dyDescent="0.25"/>
    <row r="273203" customFormat="1" x14ac:dyDescent="0.25"/>
    <row r="273204" customFormat="1" x14ac:dyDescent="0.25"/>
    <row r="273205" customFormat="1" x14ac:dyDescent="0.25"/>
    <row r="273206" customFormat="1" x14ac:dyDescent="0.25"/>
    <row r="273207" customFormat="1" x14ac:dyDescent="0.25"/>
    <row r="273208" customFormat="1" x14ac:dyDescent="0.25"/>
    <row r="273209" customFormat="1" x14ac:dyDescent="0.25"/>
    <row r="273210" customFormat="1" x14ac:dyDescent="0.25"/>
    <row r="273211" customFormat="1" x14ac:dyDescent="0.25"/>
    <row r="273212" customFormat="1" x14ac:dyDescent="0.25"/>
    <row r="273213" customFormat="1" x14ac:dyDescent="0.25"/>
    <row r="273214" customFormat="1" x14ac:dyDescent="0.25"/>
    <row r="273215" customFormat="1" x14ac:dyDescent="0.25"/>
    <row r="273216" customFormat="1" x14ac:dyDescent="0.25"/>
    <row r="273217" customFormat="1" x14ac:dyDescent="0.25"/>
    <row r="273218" customFormat="1" x14ac:dyDescent="0.25"/>
    <row r="273219" customFormat="1" x14ac:dyDescent="0.25"/>
    <row r="273220" customFormat="1" x14ac:dyDescent="0.25"/>
    <row r="273221" customFormat="1" x14ac:dyDescent="0.25"/>
    <row r="273222" customFormat="1" x14ac:dyDescent="0.25"/>
    <row r="273223" customFormat="1" x14ac:dyDescent="0.25"/>
    <row r="273224" customFormat="1" x14ac:dyDescent="0.25"/>
    <row r="273225" customFormat="1" x14ac:dyDescent="0.25"/>
    <row r="273226" customFormat="1" x14ac:dyDescent="0.25"/>
    <row r="273227" customFormat="1" x14ac:dyDescent="0.25"/>
    <row r="273228" customFormat="1" x14ac:dyDescent="0.25"/>
    <row r="273229" customFormat="1" x14ac:dyDescent="0.25"/>
    <row r="273230" customFormat="1" x14ac:dyDescent="0.25"/>
    <row r="273231" customFormat="1" x14ac:dyDescent="0.25"/>
    <row r="273232" customFormat="1" x14ac:dyDescent="0.25"/>
    <row r="273233" customFormat="1" x14ac:dyDescent="0.25"/>
    <row r="273234" customFormat="1" x14ac:dyDescent="0.25"/>
    <row r="273235" customFormat="1" x14ac:dyDescent="0.25"/>
    <row r="273236" customFormat="1" x14ac:dyDescent="0.25"/>
    <row r="273237" customFormat="1" x14ac:dyDescent="0.25"/>
    <row r="273238" customFormat="1" x14ac:dyDescent="0.25"/>
    <row r="273239" customFormat="1" x14ac:dyDescent="0.25"/>
    <row r="273240" customFormat="1" x14ac:dyDescent="0.25"/>
    <row r="273241" customFormat="1" x14ac:dyDescent="0.25"/>
    <row r="273242" customFormat="1" x14ac:dyDescent="0.25"/>
    <row r="273243" customFormat="1" x14ac:dyDescent="0.25"/>
    <row r="273244" customFormat="1" x14ac:dyDescent="0.25"/>
    <row r="273245" customFormat="1" x14ac:dyDescent="0.25"/>
    <row r="273246" customFormat="1" x14ac:dyDescent="0.25"/>
    <row r="273247" customFormat="1" x14ac:dyDescent="0.25"/>
    <row r="273248" customFormat="1" x14ac:dyDescent="0.25"/>
    <row r="273249" customFormat="1" x14ac:dyDescent="0.25"/>
    <row r="273250" customFormat="1" x14ac:dyDescent="0.25"/>
    <row r="273251" customFormat="1" x14ac:dyDescent="0.25"/>
    <row r="273252" customFormat="1" x14ac:dyDescent="0.25"/>
    <row r="273253" customFormat="1" x14ac:dyDescent="0.25"/>
    <row r="273254" customFormat="1" x14ac:dyDescent="0.25"/>
    <row r="273255" customFormat="1" x14ac:dyDescent="0.25"/>
    <row r="273256" customFormat="1" x14ac:dyDescent="0.25"/>
    <row r="273257" customFormat="1" x14ac:dyDescent="0.25"/>
    <row r="273258" customFormat="1" x14ac:dyDescent="0.25"/>
    <row r="273259" customFormat="1" x14ac:dyDescent="0.25"/>
    <row r="273260" customFormat="1" x14ac:dyDescent="0.25"/>
    <row r="273261" customFormat="1" x14ac:dyDescent="0.25"/>
    <row r="273262" customFormat="1" x14ac:dyDescent="0.25"/>
    <row r="273263" customFormat="1" x14ac:dyDescent="0.25"/>
    <row r="273264" customFormat="1" x14ac:dyDescent="0.25"/>
    <row r="273265" customFormat="1" x14ac:dyDescent="0.25"/>
    <row r="273266" customFormat="1" x14ac:dyDescent="0.25"/>
    <row r="273267" customFormat="1" x14ac:dyDescent="0.25"/>
    <row r="273268" customFormat="1" x14ac:dyDescent="0.25"/>
    <row r="273269" customFormat="1" x14ac:dyDescent="0.25"/>
    <row r="273270" customFormat="1" x14ac:dyDescent="0.25"/>
    <row r="273271" customFormat="1" x14ac:dyDescent="0.25"/>
    <row r="273272" customFormat="1" x14ac:dyDescent="0.25"/>
    <row r="273273" customFormat="1" x14ac:dyDescent="0.25"/>
    <row r="273274" customFormat="1" x14ac:dyDescent="0.25"/>
    <row r="273275" customFormat="1" x14ac:dyDescent="0.25"/>
    <row r="273276" customFormat="1" x14ac:dyDescent="0.25"/>
    <row r="273277" customFormat="1" x14ac:dyDescent="0.25"/>
    <row r="273278" customFormat="1" x14ac:dyDescent="0.25"/>
    <row r="273279" customFormat="1" x14ac:dyDescent="0.25"/>
    <row r="273280" customFormat="1" x14ac:dyDescent="0.25"/>
    <row r="273281" customFormat="1" x14ac:dyDescent="0.25"/>
    <row r="273282" customFormat="1" x14ac:dyDescent="0.25"/>
    <row r="273283" customFormat="1" x14ac:dyDescent="0.25"/>
    <row r="273284" customFormat="1" x14ac:dyDescent="0.25"/>
    <row r="273285" customFormat="1" x14ac:dyDescent="0.25"/>
    <row r="273286" customFormat="1" x14ac:dyDescent="0.25"/>
    <row r="273287" customFormat="1" x14ac:dyDescent="0.25"/>
    <row r="273288" customFormat="1" x14ac:dyDescent="0.25"/>
    <row r="273289" customFormat="1" x14ac:dyDescent="0.25"/>
    <row r="273290" customFormat="1" x14ac:dyDescent="0.25"/>
    <row r="273291" customFormat="1" x14ac:dyDescent="0.25"/>
    <row r="273292" customFormat="1" x14ac:dyDescent="0.25"/>
    <row r="273293" customFormat="1" x14ac:dyDescent="0.25"/>
    <row r="273294" customFormat="1" x14ac:dyDescent="0.25"/>
    <row r="273295" customFormat="1" x14ac:dyDescent="0.25"/>
    <row r="273296" customFormat="1" x14ac:dyDescent="0.25"/>
    <row r="273297" customFormat="1" x14ac:dyDescent="0.25"/>
    <row r="273298" customFormat="1" x14ac:dyDescent="0.25"/>
    <row r="273299" customFormat="1" x14ac:dyDescent="0.25"/>
    <row r="273300" customFormat="1" x14ac:dyDescent="0.25"/>
    <row r="273301" customFormat="1" x14ac:dyDescent="0.25"/>
    <row r="273302" customFormat="1" x14ac:dyDescent="0.25"/>
    <row r="273303" customFormat="1" x14ac:dyDescent="0.25"/>
    <row r="273304" customFormat="1" x14ac:dyDescent="0.25"/>
    <row r="273305" customFormat="1" x14ac:dyDescent="0.25"/>
    <row r="273306" customFormat="1" x14ac:dyDescent="0.25"/>
    <row r="273307" customFormat="1" x14ac:dyDescent="0.25"/>
    <row r="273308" customFormat="1" x14ac:dyDescent="0.25"/>
    <row r="273309" customFormat="1" x14ac:dyDescent="0.25"/>
    <row r="273310" customFormat="1" x14ac:dyDescent="0.25"/>
    <row r="273311" customFormat="1" x14ac:dyDescent="0.25"/>
    <row r="273312" customFormat="1" x14ac:dyDescent="0.25"/>
    <row r="273313" customFormat="1" x14ac:dyDescent="0.25"/>
    <row r="273314" customFormat="1" x14ac:dyDescent="0.25"/>
    <row r="273315" customFormat="1" x14ac:dyDescent="0.25"/>
    <row r="273316" customFormat="1" x14ac:dyDescent="0.25"/>
    <row r="273317" customFormat="1" x14ac:dyDescent="0.25"/>
    <row r="273318" customFormat="1" x14ac:dyDescent="0.25"/>
    <row r="273319" customFormat="1" x14ac:dyDescent="0.25"/>
    <row r="273320" customFormat="1" x14ac:dyDescent="0.25"/>
    <row r="273321" customFormat="1" x14ac:dyDescent="0.25"/>
    <row r="273322" customFormat="1" x14ac:dyDescent="0.25"/>
    <row r="273323" customFormat="1" x14ac:dyDescent="0.25"/>
    <row r="273324" customFormat="1" x14ac:dyDescent="0.25"/>
    <row r="273325" customFormat="1" x14ac:dyDescent="0.25"/>
    <row r="273326" customFormat="1" x14ac:dyDescent="0.25"/>
    <row r="273327" customFormat="1" x14ac:dyDescent="0.25"/>
    <row r="273328" customFormat="1" x14ac:dyDescent="0.25"/>
    <row r="273329" customFormat="1" x14ac:dyDescent="0.25"/>
    <row r="273330" customFormat="1" x14ac:dyDescent="0.25"/>
    <row r="273331" customFormat="1" x14ac:dyDescent="0.25"/>
    <row r="273332" customFormat="1" x14ac:dyDescent="0.25"/>
    <row r="273333" customFormat="1" x14ac:dyDescent="0.25"/>
    <row r="273334" customFormat="1" x14ac:dyDescent="0.25"/>
    <row r="273335" customFormat="1" x14ac:dyDescent="0.25"/>
    <row r="273336" customFormat="1" x14ac:dyDescent="0.25"/>
    <row r="273337" customFormat="1" x14ac:dyDescent="0.25"/>
    <row r="273338" customFormat="1" x14ac:dyDescent="0.25"/>
    <row r="273339" customFormat="1" x14ac:dyDescent="0.25"/>
    <row r="273340" customFormat="1" x14ac:dyDescent="0.25"/>
    <row r="273341" customFormat="1" x14ac:dyDescent="0.25"/>
    <row r="273342" customFormat="1" x14ac:dyDescent="0.25"/>
    <row r="273343" customFormat="1" x14ac:dyDescent="0.25"/>
    <row r="273344" customFormat="1" x14ac:dyDescent="0.25"/>
    <row r="273345" customFormat="1" x14ac:dyDescent="0.25"/>
    <row r="273346" customFormat="1" x14ac:dyDescent="0.25"/>
    <row r="273347" customFormat="1" x14ac:dyDescent="0.25"/>
    <row r="273348" customFormat="1" x14ac:dyDescent="0.25"/>
    <row r="273349" customFormat="1" x14ac:dyDescent="0.25"/>
    <row r="273350" customFormat="1" x14ac:dyDescent="0.25"/>
    <row r="273351" customFormat="1" x14ac:dyDescent="0.25"/>
    <row r="273352" customFormat="1" x14ac:dyDescent="0.25"/>
    <row r="273353" customFormat="1" x14ac:dyDescent="0.25"/>
    <row r="273354" customFormat="1" x14ac:dyDescent="0.25"/>
    <row r="273355" customFormat="1" x14ac:dyDescent="0.25"/>
    <row r="273356" customFormat="1" x14ac:dyDescent="0.25"/>
    <row r="273357" customFormat="1" x14ac:dyDescent="0.25"/>
    <row r="273358" customFormat="1" x14ac:dyDescent="0.25"/>
    <row r="273359" customFormat="1" x14ac:dyDescent="0.25"/>
    <row r="273360" customFormat="1" x14ac:dyDescent="0.25"/>
    <row r="273361" customFormat="1" x14ac:dyDescent="0.25"/>
    <row r="273362" customFormat="1" x14ac:dyDescent="0.25"/>
    <row r="273363" customFormat="1" x14ac:dyDescent="0.25"/>
    <row r="273364" customFormat="1" x14ac:dyDescent="0.25"/>
    <row r="273365" customFormat="1" x14ac:dyDescent="0.25"/>
    <row r="273366" customFormat="1" x14ac:dyDescent="0.25"/>
    <row r="273367" customFormat="1" x14ac:dyDescent="0.25"/>
    <row r="273368" customFormat="1" x14ac:dyDescent="0.25"/>
    <row r="273369" customFormat="1" x14ac:dyDescent="0.25"/>
    <row r="273370" customFormat="1" x14ac:dyDescent="0.25"/>
    <row r="273371" customFormat="1" x14ac:dyDescent="0.25"/>
    <row r="273372" customFormat="1" x14ac:dyDescent="0.25"/>
    <row r="273373" customFormat="1" x14ac:dyDescent="0.25"/>
    <row r="273374" customFormat="1" x14ac:dyDescent="0.25"/>
    <row r="273375" customFormat="1" x14ac:dyDescent="0.25"/>
    <row r="273376" customFormat="1" x14ac:dyDescent="0.25"/>
    <row r="273377" customFormat="1" x14ac:dyDescent="0.25"/>
    <row r="273378" customFormat="1" x14ac:dyDescent="0.25"/>
    <row r="273379" customFormat="1" x14ac:dyDescent="0.25"/>
    <row r="273380" customFormat="1" x14ac:dyDescent="0.25"/>
    <row r="273381" customFormat="1" x14ac:dyDescent="0.25"/>
    <row r="273382" customFormat="1" x14ac:dyDescent="0.25"/>
    <row r="273383" customFormat="1" x14ac:dyDescent="0.25"/>
    <row r="273384" customFormat="1" x14ac:dyDescent="0.25"/>
    <row r="273385" customFormat="1" x14ac:dyDescent="0.25"/>
    <row r="273386" customFormat="1" x14ac:dyDescent="0.25"/>
    <row r="273387" customFormat="1" x14ac:dyDescent="0.25"/>
    <row r="273388" customFormat="1" x14ac:dyDescent="0.25"/>
    <row r="273389" customFormat="1" x14ac:dyDescent="0.25"/>
    <row r="273390" customFormat="1" x14ac:dyDescent="0.25"/>
    <row r="273391" customFormat="1" x14ac:dyDescent="0.25"/>
    <row r="273392" customFormat="1" x14ac:dyDescent="0.25"/>
    <row r="273393" customFormat="1" x14ac:dyDescent="0.25"/>
    <row r="273394" customFormat="1" x14ac:dyDescent="0.25"/>
    <row r="273395" customFormat="1" x14ac:dyDescent="0.25"/>
    <row r="273396" customFormat="1" x14ac:dyDescent="0.25"/>
    <row r="273397" customFormat="1" x14ac:dyDescent="0.25"/>
    <row r="273398" customFormat="1" x14ac:dyDescent="0.25"/>
    <row r="273399" customFormat="1" x14ac:dyDescent="0.25"/>
    <row r="273400" customFormat="1" x14ac:dyDescent="0.25"/>
    <row r="273401" customFormat="1" x14ac:dyDescent="0.25"/>
    <row r="273402" customFormat="1" x14ac:dyDescent="0.25"/>
    <row r="273403" customFormat="1" x14ac:dyDescent="0.25"/>
    <row r="273404" customFormat="1" x14ac:dyDescent="0.25"/>
    <row r="273405" customFormat="1" x14ac:dyDescent="0.25"/>
    <row r="273406" customFormat="1" x14ac:dyDescent="0.25"/>
    <row r="273407" customFormat="1" x14ac:dyDescent="0.25"/>
    <row r="273408" customFormat="1" x14ac:dyDescent="0.25"/>
    <row r="273409" customFormat="1" x14ac:dyDescent="0.25"/>
    <row r="273410" customFormat="1" x14ac:dyDescent="0.25"/>
    <row r="273411" customFormat="1" x14ac:dyDescent="0.25"/>
    <row r="273412" customFormat="1" x14ac:dyDescent="0.25"/>
    <row r="273413" customFormat="1" x14ac:dyDescent="0.25"/>
    <row r="273414" customFormat="1" x14ac:dyDescent="0.25"/>
    <row r="273415" customFormat="1" x14ac:dyDescent="0.25"/>
    <row r="273416" customFormat="1" x14ac:dyDescent="0.25"/>
    <row r="273417" customFormat="1" x14ac:dyDescent="0.25"/>
    <row r="273418" customFormat="1" x14ac:dyDescent="0.25"/>
    <row r="273419" customFormat="1" x14ac:dyDescent="0.25"/>
    <row r="273420" customFormat="1" x14ac:dyDescent="0.25"/>
    <row r="273421" customFormat="1" x14ac:dyDescent="0.25"/>
    <row r="273422" customFormat="1" x14ac:dyDescent="0.25"/>
    <row r="273423" customFormat="1" x14ac:dyDescent="0.25"/>
    <row r="273424" customFormat="1" x14ac:dyDescent="0.25"/>
    <row r="273425" customFormat="1" x14ac:dyDescent="0.25"/>
    <row r="273426" customFormat="1" x14ac:dyDescent="0.25"/>
    <row r="273427" customFormat="1" x14ac:dyDescent="0.25"/>
    <row r="273428" customFormat="1" x14ac:dyDescent="0.25"/>
    <row r="273429" customFormat="1" x14ac:dyDescent="0.25"/>
    <row r="273430" customFormat="1" x14ac:dyDescent="0.25"/>
    <row r="273431" customFormat="1" x14ac:dyDescent="0.25"/>
    <row r="273432" customFormat="1" x14ac:dyDescent="0.25"/>
    <row r="273433" customFormat="1" x14ac:dyDescent="0.25"/>
    <row r="273434" customFormat="1" x14ac:dyDescent="0.25"/>
    <row r="273435" customFormat="1" x14ac:dyDescent="0.25"/>
    <row r="273436" customFormat="1" x14ac:dyDescent="0.25"/>
    <row r="273437" customFormat="1" x14ac:dyDescent="0.25"/>
    <row r="273438" customFormat="1" x14ac:dyDescent="0.25"/>
    <row r="273439" customFormat="1" x14ac:dyDescent="0.25"/>
    <row r="273440" customFormat="1" x14ac:dyDescent="0.25"/>
    <row r="273441" customFormat="1" x14ac:dyDescent="0.25"/>
    <row r="273442" customFormat="1" x14ac:dyDescent="0.25"/>
    <row r="273443" customFormat="1" x14ac:dyDescent="0.25"/>
    <row r="273444" customFormat="1" x14ac:dyDescent="0.25"/>
    <row r="273445" customFormat="1" x14ac:dyDescent="0.25"/>
    <row r="273446" customFormat="1" x14ac:dyDescent="0.25"/>
    <row r="273447" customFormat="1" x14ac:dyDescent="0.25"/>
    <row r="273448" customFormat="1" x14ac:dyDescent="0.25"/>
    <row r="273449" customFormat="1" x14ac:dyDescent="0.25"/>
    <row r="273450" customFormat="1" x14ac:dyDescent="0.25"/>
    <row r="273451" customFormat="1" x14ac:dyDescent="0.25"/>
    <row r="273452" customFormat="1" x14ac:dyDescent="0.25"/>
    <row r="273453" customFormat="1" x14ac:dyDescent="0.25"/>
    <row r="273454" customFormat="1" x14ac:dyDescent="0.25"/>
    <row r="273455" customFormat="1" x14ac:dyDescent="0.25"/>
    <row r="273456" customFormat="1" x14ac:dyDescent="0.25"/>
    <row r="273457" customFormat="1" x14ac:dyDescent="0.25"/>
    <row r="273458" customFormat="1" x14ac:dyDescent="0.25"/>
    <row r="273459" customFormat="1" x14ac:dyDescent="0.25"/>
    <row r="273460" customFormat="1" x14ac:dyDescent="0.25"/>
    <row r="273461" customFormat="1" x14ac:dyDescent="0.25"/>
    <row r="273462" customFormat="1" x14ac:dyDescent="0.25"/>
    <row r="273463" customFormat="1" x14ac:dyDescent="0.25"/>
    <row r="273464" customFormat="1" x14ac:dyDescent="0.25"/>
    <row r="273465" customFormat="1" x14ac:dyDescent="0.25"/>
    <row r="273466" customFormat="1" x14ac:dyDescent="0.25"/>
    <row r="273467" customFormat="1" x14ac:dyDescent="0.25"/>
    <row r="273468" customFormat="1" x14ac:dyDescent="0.25"/>
    <row r="273469" customFormat="1" x14ac:dyDescent="0.25"/>
    <row r="273470" customFormat="1" x14ac:dyDescent="0.25"/>
    <row r="273471" customFormat="1" x14ac:dyDescent="0.25"/>
    <row r="273472" customFormat="1" x14ac:dyDescent="0.25"/>
    <row r="273473" customFormat="1" x14ac:dyDescent="0.25"/>
    <row r="273474" customFormat="1" x14ac:dyDescent="0.25"/>
    <row r="273475" customFormat="1" x14ac:dyDescent="0.25"/>
    <row r="273476" customFormat="1" x14ac:dyDescent="0.25"/>
    <row r="273477" customFormat="1" x14ac:dyDescent="0.25"/>
    <row r="273478" customFormat="1" x14ac:dyDescent="0.25"/>
    <row r="273479" customFormat="1" x14ac:dyDescent="0.25"/>
    <row r="273480" customFormat="1" x14ac:dyDescent="0.25"/>
    <row r="273481" customFormat="1" x14ac:dyDescent="0.25"/>
    <row r="273482" customFormat="1" x14ac:dyDescent="0.25"/>
    <row r="273483" customFormat="1" x14ac:dyDescent="0.25"/>
    <row r="273484" customFormat="1" x14ac:dyDescent="0.25"/>
    <row r="273485" customFormat="1" x14ac:dyDescent="0.25"/>
    <row r="273486" customFormat="1" x14ac:dyDescent="0.25"/>
    <row r="273487" customFormat="1" x14ac:dyDescent="0.25"/>
    <row r="273488" customFormat="1" x14ac:dyDescent="0.25"/>
    <row r="273489" customFormat="1" x14ac:dyDescent="0.25"/>
    <row r="273490" customFormat="1" x14ac:dyDescent="0.25"/>
    <row r="273491" customFormat="1" x14ac:dyDescent="0.25"/>
    <row r="273492" customFormat="1" x14ac:dyDescent="0.25"/>
    <row r="273493" customFormat="1" x14ac:dyDescent="0.25"/>
    <row r="273494" customFormat="1" x14ac:dyDescent="0.25"/>
    <row r="273495" customFormat="1" x14ac:dyDescent="0.25"/>
    <row r="273496" customFormat="1" x14ac:dyDescent="0.25"/>
    <row r="273497" customFormat="1" x14ac:dyDescent="0.25"/>
    <row r="273498" customFormat="1" x14ac:dyDescent="0.25"/>
    <row r="273499" customFormat="1" x14ac:dyDescent="0.25"/>
    <row r="273500" customFormat="1" x14ac:dyDescent="0.25"/>
    <row r="273501" customFormat="1" x14ac:dyDescent="0.25"/>
    <row r="273502" customFormat="1" x14ac:dyDescent="0.25"/>
    <row r="273503" customFormat="1" x14ac:dyDescent="0.25"/>
    <row r="273504" customFormat="1" x14ac:dyDescent="0.25"/>
    <row r="273505" customFormat="1" x14ac:dyDescent="0.25"/>
    <row r="273506" customFormat="1" x14ac:dyDescent="0.25"/>
    <row r="273507" customFormat="1" x14ac:dyDescent="0.25"/>
    <row r="273508" customFormat="1" x14ac:dyDescent="0.25"/>
    <row r="273509" customFormat="1" x14ac:dyDescent="0.25"/>
    <row r="273510" customFormat="1" x14ac:dyDescent="0.25"/>
    <row r="273511" customFormat="1" x14ac:dyDescent="0.25"/>
    <row r="273512" customFormat="1" x14ac:dyDescent="0.25"/>
    <row r="273513" customFormat="1" x14ac:dyDescent="0.25"/>
    <row r="273514" customFormat="1" x14ac:dyDescent="0.25"/>
    <row r="273515" customFormat="1" x14ac:dyDescent="0.25"/>
    <row r="273516" customFormat="1" x14ac:dyDescent="0.25"/>
    <row r="273517" customFormat="1" x14ac:dyDescent="0.25"/>
    <row r="273518" customFormat="1" x14ac:dyDescent="0.25"/>
    <row r="273519" customFormat="1" x14ac:dyDescent="0.25"/>
    <row r="273520" customFormat="1" x14ac:dyDescent="0.25"/>
    <row r="273521" customFormat="1" x14ac:dyDescent="0.25"/>
    <row r="273522" customFormat="1" x14ac:dyDescent="0.25"/>
    <row r="273523" customFormat="1" x14ac:dyDescent="0.25"/>
    <row r="273524" customFormat="1" x14ac:dyDescent="0.25"/>
    <row r="273525" customFormat="1" x14ac:dyDescent="0.25"/>
    <row r="273526" customFormat="1" x14ac:dyDescent="0.25"/>
    <row r="273527" customFormat="1" x14ac:dyDescent="0.25"/>
    <row r="273528" customFormat="1" x14ac:dyDescent="0.25"/>
    <row r="273529" customFormat="1" x14ac:dyDescent="0.25"/>
    <row r="273530" customFormat="1" x14ac:dyDescent="0.25"/>
    <row r="273531" customFormat="1" x14ac:dyDescent="0.25"/>
    <row r="273532" customFormat="1" x14ac:dyDescent="0.25"/>
    <row r="273533" customFormat="1" x14ac:dyDescent="0.25"/>
    <row r="273534" customFormat="1" x14ac:dyDescent="0.25"/>
    <row r="273535" customFormat="1" x14ac:dyDescent="0.25"/>
    <row r="273536" customFormat="1" x14ac:dyDescent="0.25"/>
    <row r="273537" customFormat="1" x14ac:dyDescent="0.25"/>
    <row r="273538" customFormat="1" x14ac:dyDescent="0.25"/>
    <row r="273539" customFormat="1" x14ac:dyDescent="0.25"/>
    <row r="273540" customFormat="1" x14ac:dyDescent="0.25"/>
    <row r="273541" customFormat="1" x14ac:dyDescent="0.25"/>
    <row r="273542" customFormat="1" x14ac:dyDescent="0.25"/>
    <row r="273543" customFormat="1" x14ac:dyDescent="0.25"/>
    <row r="273544" customFormat="1" x14ac:dyDescent="0.25"/>
    <row r="273545" customFormat="1" x14ac:dyDescent="0.25"/>
    <row r="273546" customFormat="1" x14ac:dyDescent="0.25"/>
    <row r="273547" customFormat="1" x14ac:dyDescent="0.25"/>
    <row r="273548" customFormat="1" x14ac:dyDescent="0.25"/>
    <row r="273549" customFormat="1" x14ac:dyDescent="0.25"/>
    <row r="273550" customFormat="1" x14ac:dyDescent="0.25"/>
    <row r="273551" customFormat="1" x14ac:dyDescent="0.25"/>
    <row r="273552" customFormat="1" x14ac:dyDescent="0.25"/>
    <row r="273553" customFormat="1" x14ac:dyDescent="0.25"/>
    <row r="273554" customFormat="1" x14ac:dyDescent="0.25"/>
    <row r="273555" customFormat="1" x14ac:dyDescent="0.25"/>
    <row r="273556" customFormat="1" x14ac:dyDescent="0.25"/>
    <row r="273557" customFormat="1" x14ac:dyDescent="0.25"/>
    <row r="273558" customFormat="1" x14ac:dyDescent="0.25"/>
    <row r="273559" customFormat="1" x14ac:dyDescent="0.25"/>
    <row r="273560" customFormat="1" x14ac:dyDescent="0.25"/>
    <row r="273561" customFormat="1" x14ac:dyDescent="0.25"/>
    <row r="273562" customFormat="1" x14ac:dyDescent="0.25"/>
    <row r="273563" customFormat="1" x14ac:dyDescent="0.25"/>
    <row r="273564" customFormat="1" x14ac:dyDescent="0.25"/>
    <row r="273565" customFormat="1" x14ac:dyDescent="0.25"/>
    <row r="273566" customFormat="1" x14ac:dyDescent="0.25"/>
    <row r="273567" customFormat="1" x14ac:dyDescent="0.25"/>
    <row r="273568" customFormat="1" x14ac:dyDescent="0.25"/>
    <row r="273569" customFormat="1" x14ac:dyDescent="0.25"/>
    <row r="273570" customFormat="1" x14ac:dyDescent="0.25"/>
    <row r="273571" customFormat="1" x14ac:dyDescent="0.25"/>
    <row r="273572" customFormat="1" x14ac:dyDescent="0.25"/>
    <row r="273573" customFormat="1" x14ac:dyDescent="0.25"/>
    <row r="273574" customFormat="1" x14ac:dyDescent="0.25"/>
    <row r="273575" customFormat="1" x14ac:dyDescent="0.25"/>
    <row r="273576" customFormat="1" x14ac:dyDescent="0.25"/>
    <row r="273577" customFormat="1" x14ac:dyDescent="0.25"/>
    <row r="273578" customFormat="1" x14ac:dyDescent="0.25"/>
    <row r="273579" customFormat="1" x14ac:dyDescent="0.25"/>
    <row r="273580" customFormat="1" x14ac:dyDescent="0.25"/>
    <row r="273581" customFormat="1" x14ac:dyDescent="0.25"/>
    <row r="273582" customFormat="1" x14ac:dyDescent="0.25"/>
    <row r="273583" customFormat="1" x14ac:dyDescent="0.25"/>
    <row r="273584" customFormat="1" x14ac:dyDescent="0.25"/>
    <row r="273585" customFormat="1" x14ac:dyDescent="0.25"/>
    <row r="273586" customFormat="1" x14ac:dyDescent="0.25"/>
    <row r="273587" customFormat="1" x14ac:dyDescent="0.25"/>
    <row r="273588" customFormat="1" x14ac:dyDescent="0.25"/>
    <row r="273589" customFormat="1" x14ac:dyDescent="0.25"/>
    <row r="273590" customFormat="1" x14ac:dyDescent="0.25"/>
    <row r="273591" customFormat="1" x14ac:dyDescent="0.25"/>
    <row r="273592" customFormat="1" x14ac:dyDescent="0.25"/>
    <row r="273593" customFormat="1" x14ac:dyDescent="0.25"/>
    <row r="273594" customFormat="1" x14ac:dyDescent="0.25"/>
    <row r="273595" customFormat="1" x14ac:dyDescent="0.25"/>
    <row r="273596" customFormat="1" x14ac:dyDescent="0.25"/>
    <row r="273597" customFormat="1" x14ac:dyDescent="0.25"/>
    <row r="273598" customFormat="1" x14ac:dyDescent="0.25"/>
    <row r="273599" customFormat="1" x14ac:dyDescent="0.25"/>
    <row r="273600" customFormat="1" x14ac:dyDescent="0.25"/>
    <row r="273601" customFormat="1" x14ac:dyDescent="0.25"/>
    <row r="273602" customFormat="1" x14ac:dyDescent="0.25"/>
    <row r="273603" customFormat="1" x14ac:dyDescent="0.25"/>
    <row r="273604" customFormat="1" x14ac:dyDescent="0.25"/>
    <row r="273605" customFormat="1" x14ac:dyDescent="0.25"/>
    <row r="273606" customFormat="1" x14ac:dyDescent="0.25"/>
    <row r="273607" customFormat="1" x14ac:dyDescent="0.25"/>
    <row r="273608" customFormat="1" x14ac:dyDescent="0.25"/>
    <row r="273609" customFormat="1" x14ac:dyDescent="0.25"/>
    <row r="273610" customFormat="1" x14ac:dyDescent="0.25"/>
    <row r="273611" customFormat="1" x14ac:dyDescent="0.25"/>
    <row r="273612" customFormat="1" x14ac:dyDescent="0.25"/>
    <row r="273613" customFormat="1" x14ac:dyDescent="0.25"/>
    <row r="273614" customFormat="1" x14ac:dyDescent="0.25"/>
    <row r="273615" customFormat="1" x14ac:dyDescent="0.25"/>
    <row r="273616" customFormat="1" x14ac:dyDescent="0.25"/>
    <row r="273617" customFormat="1" x14ac:dyDescent="0.25"/>
    <row r="273618" customFormat="1" x14ac:dyDescent="0.25"/>
    <row r="273619" customFormat="1" x14ac:dyDescent="0.25"/>
    <row r="273620" customFormat="1" x14ac:dyDescent="0.25"/>
    <row r="273621" customFormat="1" x14ac:dyDescent="0.25"/>
    <row r="273622" customFormat="1" x14ac:dyDescent="0.25"/>
    <row r="273623" customFormat="1" x14ac:dyDescent="0.25"/>
    <row r="273624" customFormat="1" x14ac:dyDescent="0.25"/>
    <row r="273625" customFormat="1" x14ac:dyDescent="0.25"/>
    <row r="273626" customFormat="1" x14ac:dyDescent="0.25"/>
    <row r="273627" customFormat="1" x14ac:dyDescent="0.25"/>
    <row r="273628" customFormat="1" x14ac:dyDescent="0.25"/>
    <row r="273629" customFormat="1" x14ac:dyDescent="0.25"/>
    <row r="273630" customFormat="1" x14ac:dyDescent="0.25"/>
    <row r="273631" customFormat="1" x14ac:dyDescent="0.25"/>
    <row r="273632" customFormat="1" x14ac:dyDescent="0.25"/>
    <row r="273633" customFormat="1" x14ac:dyDescent="0.25"/>
    <row r="273634" customFormat="1" x14ac:dyDescent="0.25"/>
    <row r="273635" customFormat="1" x14ac:dyDescent="0.25"/>
    <row r="273636" customFormat="1" x14ac:dyDescent="0.25"/>
    <row r="273637" customFormat="1" x14ac:dyDescent="0.25"/>
    <row r="273638" customFormat="1" x14ac:dyDescent="0.25"/>
    <row r="273639" customFormat="1" x14ac:dyDescent="0.25"/>
    <row r="273640" customFormat="1" x14ac:dyDescent="0.25"/>
    <row r="273641" customFormat="1" x14ac:dyDescent="0.25"/>
    <row r="273642" customFormat="1" x14ac:dyDescent="0.25"/>
    <row r="273643" customFormat="1" x14ac:dyDescent="0.25"/>
    <row r="273644" customFormat="1" x14ac:dyDescent="0.25"/>
    <row r="273645" customFormat="1" x14ac:dyDescent="0.25"/>
    <row r="273646" customFormat="1" x14ac:dyDescent="0.25"/>
    <row r="273647" customFormat="1" x14ac:dyDescent="0.25"/>
    <row r="273648" customFormat="1" x14ac:dyDescent="0.25"/>
    <row r="273649" customFormat="1" x14ac:dyDescent="0.25"/>
    <row r="273650" customFormat="1" x14ac:dyDescent="0.25"/>
    <row r="273651" customFormat="1" x14ac:dyDescent="0.25"/>
    <row r="273652" customFormat="1" x14ac:dyDescent="0.25"/>
    <row r="273653" customFormat="1" x14ac:dyDescent="0.25"/>
    <row r="273654" customFormat="1" x14ac:dyDescent="0.25"/>
    <row r="273655" customFormat="1" x14ac:dyDescent="0.25"/>
    <row r="273656" customFormat="1" x14ac:dyDescent="0.25"/>
    <row r="273657" customFormat="1" x14ac:dyDescent="0.25"/>
    <row r="273658" customFormat="1" x14ac:dyDescent="0.25"/>
    <row r="273659" customFormat="1" x14ac:dyDescent="0.25"/>
    <row r="273660" customFormat="1" x14ac:dyDescent="0.25"/>
    <row r="273661" customFormat="1" x14ac:dyDescent="0.25"/>
    <row r="273662" customFormat="1" x14ac:dyDescent="0.25"/>
    <row r="273663" customFormat="1" x14ac:dyDescent="0.25"/>
    <row r="273664" customFormat="1" x14ac:dyDescent="0.25"/>
    <row r="273665" customFormat="1" x14ac:dyDescent="0.25"/>
    <row r="273666" customFormat="1" x14ac:dyDescent="0.25"/>
    <row r="273667" customFormat="1" x14ac:dyDescent="0.25"/>
    <row r="273668" customFormat="1" x14ac:dyDescent="0.25"/>
    <row r="273669" customFormat="1" x14ac:dyDescent="0.25"/>
    <row r="273670" customFormat="1" x14ac:dyDescent="0.25"/>
    <row r="273671" customFormat="1" x14ac:dyDescent="0.25"/>
    <row r="273672" customFormat="1" x14ac:dyDescent="0.25"/>
    <row r="273673" customFormat="1" x14ac:dyDescent="0.25"/>
    <row r="273674" customFormat="1" x14ac:dyDescent="0.25"/>
    <row r="273675" customFormat="1" x14ac:dyDescent="0.25"/>
    <row r="273676" customFormat="1" x14ac:dyDescent="0.25"/>
    <row r="273677" customFormat="1" x14ac:dyDescent="0.25"/>
    <row r="273678" customFormat="1" x14ac:dyDescent="0.25"/>
    <row r="273679" customFormat="1" x14ac:dyDescent="0.25"/>
    <row r="273680" customFormat="1" x14ac:dyDescent="0.25"/>
    <row r="273681" customFormat="1" x14ac:dyDescent="0.25"/>
    <row r="273682" customFormat="1" x14ac:dyDescent="0.25"/>
    <row r="273683" customFormat="1" x14ac:dyDescent="0.25"/>
    <row r="273684" customFormat="1" x14ac:dyDescent="0.25"/>
    <row r="273685" customFormat="1" x14ac:dyDescent="0.25"/>
    <row r="273686" customFormat="1" x14ac:dyDescent="0.25"/>
    <row r="273687" customFormat="1" x14ac:dyDescent="0.25"/>
    <row r="273688" customFormat="1" x14ac:dyDescent="0.25"/>
    <row r="273689" customFormat="1" x14ac:dyDescent="0.25"/>
    <row r="273690" customFormat="1" x14ac:dyDescent="0.25"/>
    <row r="273691" customFormat="1" x14ac:dyDescent="0.25"/>
    <row r="273692" customFormat="1" x14ac:dyDescent="0.25"/>
    <row r="273693" customFormat="1" x14ac:dyDescent="0.25"/>
    <row r="273694" customFormat="1" x14ac:dyDescent="0.25"/>
    <row r="273695" customFormat="1" x14ac:dyDescent="0.25"/>
    <row r="273696" customFormat="1" x14ac:dyDescent="0.25"/>
    <row r="273697" customFormat="1" x14ac:dyDescent="0.25"/>
    <row r="273698" customFormat="1" x14ac:dyDescent="0.25"/>
    <row r="273699" customFormat="1" x14ac:dyDescent="0.25"/>
    <row r="273700" customFormat="1" x14ac:dyDescent="0.25"/>
    <row r="273701" customFormat="1" x14ac:dyDescent="0.25"/>
    <row r="273702" customFormat="1" x14ac:dyDescent="0.25"/>
    <row r="273703" customFormat="1" x14ac:dyDescent="0.25"/>
    <row r="273704" customFormat="1" x14ac:dyDescent="0.25"/>
    <row r="273705" customFormat="1" x14ac:dyDescent="0.25"/>
    <row r="273706" customFormat="1" x14ac:dyDescent="0.25"/>
    <row r="273707" customFormat="1" x14ac:dyDescent="0.25"/>
    <row r="273708" customFormat="1" x14ac:dyDescent="0.25"/>
    <row r="273709" customFormat="1" x14ac:dyDescent="0.25"/>
    <row r="273710" customFormat="1" x14ac:dyDescent="0.25"/>
    <row r="273711" customFormat="1" x14ac:dyDescent="0.25"/>
    <row r="273712" customFormat="1" x14ac:dyDescent="0.25"/>
    <row r="273713" customFormat="1" x14ac:dyDescent="0.25"/>
    <row r="273714" customFormat="1" x14ac:dyDescent="0.25"/>
    <row r="273715" customFormat="1" x14ac:dyDescent="0.25"/>
    <row r="273716" customFormat="1" x14ac:dyDescent="0.25"/>
    <row r="273717" customFormat="1" x14ac:dyDescent="0.25"/>
    <row r="273718" customFormat="1" x14ac:dyDescent="0.25"/>
    <row r="273719" customFormat="1" x14ac:dyDescent="0.25"/>
    <row r="273720" customFormat="1" x14ac:dyDescent="0.25"/>
    <row r="273721" customFormat="1" x14ac:dyDescent="0.25"/>
    <row r="273722" customFormat="1" x14ac:dyDescent="0.25"/>
    <row r="273723" customFormat="1" x14ac:dyDescent="0.25"/>
    <row r="273724" customFormat="1" x14ac:dyDescent="0.25"/>
    <row r="273725" customFormat="1" x14ac:dyDescent="0.25"/>
    <row r="273726" customFormat="1" x14ac:dyDescent="0.25"/>
    <row r="273727" customFormat="1" x14ac:dyDescent="0.25"/>
    <row r="273728" customFormat="1" x14ac:dyDescent="0.25"/>
    <row r="273729" customFormat="1" x14ac:dyDescent="0.25"/>
    <row r="273730" customFormat="1" x14ac:dyDescent="0.25"/>
    <row r="273731" customFormat="1" x14ac:dyDescent="0.25"/>
    <row r="273732" customFormat="1" x14ac:dyDescent="0.25"/>
    <row r="273733" customFormat="1" x14ac:dyDescent="0.25"/>
    <row r="273734" customFormat="1" x14ac:dyDescent="0.25"/>
    <row r="273735" customFormat="1" x14ac:dyDescent="0.25"/>
    <row r="273736" customFormat="1" x14ac:dyDescent="0.25"/>
    <row r="273737" customFormat="1" x14ac:dyDescent="0.25"/>
    <row r="273738" customFormat="1" x14ac:dyDescent="0.25"/>
    <row r="273739" customFormat="1" x14ac:dyDescent="0.25"/>
    <row r="273740" customFormat="1" x14ac:dyDescent="0.25"/>
    <row r="273741" customFormat="1" x14ac:dyDescent="0.25"/>
    <row r="273742" customFormat="1" x14ac:dyDescent="0.25"/>
    <row r="273743" customFormat="1" x14ac:dyDescent="0.25"/>
    <row r="273744" customFormat="1" x14ac:dyDescent="0.25"/>
    <row r="273745" customFormat="1" x14ac:dyDescent="0.25"/>
    <row r="273746" customFormat="1" x14ac:dyDescent="0.25"/>
    <row r="273747" customFormat="1" x14ac:dyDescent="0.25"/>
    <row r="273748" customFormat="1" x14ac:dyDescent="0.25"/>
    <row r="273749" customFormat="1" x14ac:dyDescent="0.25"/>
    <row r="273750" customFormat="1" x14ac:dyDescent="0.25"/>
    <row r="273751" customFormat="1" x14ac:dyDescent="0.25"/>
    <row r="273752" customFormat="1" x14ac:dyDescent="0.25"/>
    <row r="273753" customFormat="1" x14ac:dyDescent="0.25"/>
    <row r="273754" customFormat="1" x14ac:dyDescent="0.25"/>
    <row r="273755" customFormat="1" x14ac:dyDescent="0.25"/>
    <row r="273756" customFormat="1" x14ac:dyDescent="0.25"/>
    <row r="273757" customFormat="1" x14ac:dyDescent="0.25"/>
    <row r="273758" customFormat="1" x14ac:dyDescent="0.25"/>
    <row r="273759" customFormat="1" x14ac:dyDescent="0.25"/>
    <row r="273760" customFormat="1" x14ac:dyDescent="0.25"/>
    <row r="273761" customFormat="1" x14ac:dyDescent="0.25"/>
    <row r="273762" customFormat="1" x14ac:dyDescent="0.25"/>
    <row r="273763" customFormat="1" x14ac:dyDescent="0.25"/>
    <row r="273764" customFormat="1" x14ac:dyDescent="0.25"/>
    <row r="273765" customFormat="1" x14ac:dyDescent="0.25"/>
    <row r="273766" customFormat="1" x14ac:dyDescent="0.25"/>
    <row r="273767" customFormat="1" x14ac:dyDescent="0.25"/>
    <row r="273768" customFormat="1" x14ac:dyDescent="0.25"/>
    <row r="273769" customFormat="1" x14ac:dyDescent="0.25"/>
    <row r="273770" customFormat="1" x14ac:dyDescent="0.25"/>
    <row r="273771" customFormat="1" x14ac:dyDescent="0.25"/>
    <row r="273772" customFormat="1" x14ac:dyDescent="0.25"/>
    <row r="273773" customFormat="1" x14ac:dyDescent="0.25"/>
    <row r="273774" customFormat="1" x14ac:dyDescent="0.25"/>
    <row r="273775" customFormat="1" x14ac:dyDescent="0.25"/>
    <row r="273776" customFormat="1" x14ac:dyDescent="0.25"/>
    <row r="273777" customFormat="1" x14ac:dyDescent="0.25"/>
    <row r="273778" customFormat="1" x14ac:dyDescent="0.25"/>
    <row r="273779" customFormat="1" x14ac:dyDescent="0.25"/>
    <row r="273780" customFormat="1" x14ac:dyDescent="0.25"/>
    <row r="273781" customFormat="1" x14ac:dyDescent="0.25"/>
    <row r="273782" customFormat="1" x14ac:dyDescent="0.25"/>
    <row r="273783" customFormat="1" x14ac:dyDescent="0.25"/>
    <row r="273784" customFormat="1" x14ac:dyDescent="0.25"/>
    <row r="273785" customFormat="1" x14ac:dyDescent="0.25"/>
    <row r="273786" customFormat="1" x14ac:dyDescent="0.25"/>
    <row r="273787" customFormat="1" x14ac:dyDescent="0.25"/>
    <row r="273788" customFormat="1" x14ac:dyDescent="0.25"/>
    <row r="273789" customFormat="1" x14ac:dyDescent="0.25"/>
    <row r="273790" customFormat="1" x14ac:dyDescent="0.25"/>
    <row r="273791" customFormat="1" x14ac:dyDescent="0.25"/>
    <row r="273792" customFormat="1" x14ac:dyDescent="0.25"/>
    <row r="273793" customFormat="1" x14ac:dyDescent="0.25"/>
    <row r="273794" customFormat="1" x14ac:dyDescent="0.25"/>
    <row r="273795" customFormat="1" x14ac:dyDescent="0.25"/>
    <row r="273796" customFormat="1" x14ac:dyDescent="0.25"/>
    <row r="273797" customFormat="1" x14ac:dyDescent="0.25"/>
    <row r="273798" customFormat="1" x14ac:dyDescent="0.25"/>
    <row r="273799" customFormat="1" x14ac:dyDescent="0.25"/>
    <row r="273800" customFormat="1" x14ac:dyDescent="0.25"/>
    <row r="273801" customFormat="1" x14ac:dyDescent="0.25"/>
    <row r="273802" customFormat="1" x14ac:dyDescent="0.25"/>
    <row r="273803" customFormat="1" x14ac:dyDescent="0.25"/>
    <row r="273804" customFormat="1" x14ac:dyDescent="0.25"/>
    <row r="273805" customFormat="1" x14ac:dyDescent="0.25"/>
    <row r="273806" customFormat="1" x14ac:dyDescent="0.25"/>
    <row r="273807" customFormat="1" x14ac:dyDescent="0.25"/>
    <row r="273808" customFormat="1" x14ac:dyDescent="0.25"/>
    <row r="273809" customFormat="1" x14ac:dyDescent="0.25"/>
    <row r="273810" customFormat="1" x14ac:dyDescent="0.25"/>
    <row r="273811" customFormat="1" x14ac:dyDescent="0.25"/>
    <row r="273812" customFormat="1" x14ac:dyDescent="0.25"/>
    <row r="273813" customFormat="1" x14ac:dyDescent="0.25"/>
    <row r="273814" customFormat="1" x14ac:dyDescent="0.25"/>
    <row r="273815" customFormat="1" x14ac:dyDescent="0.25"/>
    <row r="273816" customFormat="1" x14ac:dyDescent="0.25"/>
    <row r="273817" customFormat="1" x14ac:dyDescent="0.25"/>
    <row r="273818" customFormat="1" x14ac:dyDescent="0.25"/>
    <row r="273819" customFormat="1" x14ac:dyDescent="0.25"/>
    <row r="273820" customFormat="1" x14ac:dyDescent="0.25"/>
    <row r="273821" customFormat="1" x14ac:dyDescent="0.25"/>
    <row r="273822" customFormat="1" x14ac:dyDescent="0.25"/>
    <row r="273823" customFormat="1" x14ac:dyDescent="0.25"/>
    <row r="273824" customFormat="1" x14ac:dyDescent="0.25"/>
    <row r="273825" customFormat="1" x14ac:dyDescent="0.25"/>
    <row r="273826" customFormat="1" x14ac:dyDescent="0.25"/>
    <row r="273827" customFormat="1" x14ac:dyDescent="0.25"/>
    <row r="273828" customFormat="1" x14ac:dyDescent="0.25"/>
    <row r="273829" customFormat="1" x14ac:dyDescent="0.25"/>
    <row r="273830" customFormat="1" x14ac:dyDescent="0.25"/>
    <row r="273831" customFormat="1" x14ac:dyDescent="0.25"/>
    <row r="273832" customFormat="1" x14ac:dyDescent="0.25"/>
    <row r="273833" customFormat="1" x14ac:dyDescent="0.25"/>
    <row r="273834" customFormat="1" x14ac:dyDescent="0.25"/>
    <row r="273835" customFormat="1" x14ac:dyDescent="0.25"/>
    <row r="273836" customFormat="1" x14ac:dyDescent="0.25"/>
    <row r="273837" customFormat="1" x14ac:dyDescent="0.25"/>
    <row r="273838" customFormat="1" x14ac:dyDescent="0.25"/>
    <row r="273839" customFormat="1" x14ac:dyDescent="0.25"/>
    <row r="273840" customFormat="1" x14ac:dyDescent="0.25"/>
    <row r="273841" customFormat="1" x14ac:dyDescent="0.25"/>
    <row r="273842" customFormat="1" x14ac:dyDescent="0.25"/>
    <row r="273843" customFormat="1" x14ac:dyDescent="0.25"/>
    <row r="273844" customFormat="1" x14ac:dyDescent="0.25"/>
    <row r="273845" customFormat="1" x14ac:dyDescent="0.25"/>
    <row r="273846" customFormat="1" x14ac:dyDescent="0.25"/>
    <row r="273847" customFormat="1" x14ac:dyDescent="0.25"/>
    <row r="273848" customFormat="1" x14ac:dyDescent="0.25"/>
    <row r="273849" customFormat="1" x14ac:dyDescent="0.25"/>
    <row r="273850" customFormat="1" x14ac:dyDescent="0.25"/>
    <row r="273851" customFormat="1" x14ac:dyDescent="0.25"/>
    <row r="273852" customFormat="1" x14ac:dyDescent="0.25"/>
    <row r="273853" customFormat="1" x14ac:dyDescent="0.25"/>
    <row r="273854" customFormat="1" x14ac:dyDescent="0.25"/>
    <row r="273855" customFormat="1" x14ac:dyDescent="0.25"/>
    <row r="273856" customFormat="1" x14ac:dyDescent="0.25"/>
    <row r="273857" customFormat="1" x14ac:dyDescent="0.25"/>
    <row r="273858" customFormat="1" x14ac:dyDescent="0.25"/>
    <row r="273859" customFormat="1" x14ac:dyDescent="0.25"/>
    <row r="273860" customFormat="1" x14ac:dyDescent="0.25"/>
    <row r="273861" customFormat="1" x14ac:dyDescent="0.25"/>
    <row r="273862" customFormat="1" x14ac:dyDescent="0.25"/>
    <row r="273863" customFormat="1" x14ac:dyDescent="0.25"/>
    <row r="273864" customFormat="1" x14ac:dyDescent="0.25"/>
    <row r="273865" customFormat="1" x14ac:dyDescent="0.25"/>
    <row r="273866" customFormat="1" x14ac:dyDescent="0.25"/>
    <row r="273867" customFormat="1" x14ac:dyDescent="0.25"/>
    <row r="273868" customFormat="1" x14ac:dyDescent="0.25"/>
    <row r="273869" customFormat="1" x14ac:dyDescent="0.25"/>
    <row r="273870" customFormat="1" x14ac:dyDescent="0.25"/>
    <row r="273871" customFormat="1" x14ac:dyDescent="0.25"/>
    <row r="273872" customFormat="1" x14ac:dyDescent="0.25"/>
    <row r="273873" customFormat="1" x14ac:dyDescent="0.25"/>
    <row r="273874" customFormat="1" x14ac:dyDescent="0.25"/>
    <row r="273875" customFormat="1" x14ac:dyDescent="0.25"/>
    <row r="273876" customFormat="1" x14ac:dyDescent="0.25"/>
    <row r="273877" customFormat="1" x14ac:dyDescent="0.25"/>
    <row r="273878" customFormat="1" x14ac:dyDescent="0.25"/>
    <row r="273879" customFormat="1" x14ac:dyDescent="0.25"/>
    <row r="273880" customFormat="1" x14ac:dyDescent="0.25"/>
    <row r="273881" customFormat="1" x14ac:dyDescent="0.25"/>
    <row r="273882" customFormat="1" x14ac:dyDescent="0.25"/>
    <row r="273883" customFormat="1" x14ac:dyDescent="0.25"/>
    <row r="273884" customFormat="1" x14ac:dyDescent="0.25"/>
    <row r="273885" customFormat="1" x14ac:dyDescent="0.25"/>
    <row r="273886" customFormat="1" x14ac:dyDescent="0.25"/>
    <row r="273887" customFormat="1" x14ac:dyDescent="0.25"/>
    <row r="273888" customFormat="1" x14ac:dyDescent="0.25"/>
    <row r="273889" customFormat="1" x14ac:dyDescent="0.25"/>
    <row r="273890" customFormat="1" x14ac:dyDescent="0.25"/>
    <row r="273891" customFormat="1" x14ac:dyDescent="0.25"/>
    <row r="273892" customFormat="1" x14ac:dyDescent="0.25"/>
    <row r="273893" customFormat="1" x14ac:dyDescent="0.25"/>
    <row r="273894" customFormat="1" x14ac:dyDescent="0.25"/>
    <row r="273895" customFormat="1" x14ac:dyDescent="0.25"/>
    <row r="273896" customFormat="1" x14ac:dyDescent="0.25"/>
    <row r="273897" customFormat="1" x14ac:dyDescent="0.25"/>
    <row r="273898" customFormat="1" x14ac:dyDescent="0.25"/>
    <row r="273899" customFormat="1" x14ac:dyDescent="0.25"/>
    <row r="273900" customFormat="1" x14ac:dyDescent="0.25"/>
    <row r="273901" customFormat="1" x14ac:dyDescent="0.25"/>
    <row r="273902" customFormat="1" x14ac:dyDescent="0.25"/>
    <row r="273903" customFormat="1" x14ac:dyDescent="0.25"/>
    <row r="273904" customFormat="1" x14ac:dyDescent="0.25"/>
    <row r="273905" customFormat="1" x14ac:dyDescent="0.25"/>
    <row r="273906" customFormat="1" x14ac:dyDescent="0.25"/>
    <row r="273907" customFormat="1" x14ac:dyDescent="0.25"/>
    <row r="273908" customFormat="1" x14ac:dyDescent="0.25"/>
    <row r="273909" customFormat="1" x14ac:dyDescent="0.25"/>
    <row r="273910" customFormat="1" x14ac:dyDescent="0.25"/>
    <row r="273911" customFormat="1" x14ac:dyDescent="0.25"/>
    <row r="273912" customFormat="1" x14ac:dyDescent="0.25"/>
    <row r="273913" customFormat="1" x14ac:dyDescent="0.25"/>
    <row r="273914" customFormat="1" x14ac:dyDescent="0.25"/>
    <row r="273915" customFormat="1" x14ac:dyDescent="0.25"/>
    <row r="273916" customFormat="1" x14ac:dyDescent="0.25"/>
    <row r="273917" customFormat="1" x14ac:dyDescent="0.25"/>
    <row r="273918" customFormat="1" x14ac:dyDescent="0.25"/>
    <row r="273919" customFormat="1" x14ac:dyDescent="0.25"/>
    <row r="273920" customFormat="1" x14ac:dyDescent="0.25"/>
    <row r="273921" customFormat="1" x14ac:dyDescent="0.25"/>
    <row r="273922" customFormat="1" x14ac:dyDescent="0.25"/>
    <row r="273923" customFormat="1" x14ac:dyDescent="0.25"/>
    <row r="273924" customFormat="1" x14ac:dyDescent="0.25"/>
    <row r="273925" customFormat="1" x14ac:dyDescent="0.25"/>
    <row r="273926" customFormat="1" x14ac:dyDescent="0.25"/>
    <row r="273927" customFormat="1" x14ac:dyDescent="0.25"/>
    <row r="273928" customFormat="1" x14ac:dyDescent="0.25"/>
    <row r="273929" customFormat="1" x14ac:dyDescent="0.25"/>
    <row r="273930" customFormat="1" x14ac:dyDescent="0.25"/>
    <row r="273931" customFormat="1" x14ac:dyDescent="0.25"/>
    <row r="273932" customFormat="1" x14ac:dyDescent="0.25"/>
    <row r="273933" customFormat="1" x14ac:dyDescent="0.25"/>
    <row r="273934" customFormat="1" x14ac:dyDescent="0.25"/>
    <row r="273935" customFormat="1" x14ac:dyDescent="0.25"/>
    <row r="273936" customFormat="1" x14ac:dyDescent="0.25"/>
    <row r="273937" customFormat="1" x14ac:dyDescent="0.25"/>
    <row r="273938" customFormat="1" x14ac:dyDescent="0.25"/>
    <row r="273939" customFormat="1" x14ac:dyDescent="0.25"/>
    <row r="273940" customFormat="1" x14ac:dyDescent="0.25"/>
    <row r="273941" customFormat="1" x14ac:dyDescent="0.25"/>
    <row r="273942" customFormat="1" x14ac:dyDescent="0.25"/>
    <row r="273943" customFormat="1" x14ac:dyDescent="0.25"/>
    <row r="273944" customFormat="1" x14ac:dyDescent="0.25"/>
    <row r="273945" customFormat="1" x14ac:dyDescent="0.25"/>
    <row r="273946" customFormat="1" x14ac:dyDescent="0.25"/>
    <row r="273947" customFormat="1" x14ac:dyDescent="0.25"/>
    <row r="273948" customFormat="1" x14ac:dyDescent="0.25"/>
    <row r="273949" customFormat="1" x14ac:dyDescent="0.25"/>
    <row r="273950" customFormat="1" x14ac:dyDescent="0.25"/>
    <row r="273951" customFormat="1" x14ac:dyDescent="0.25"/>
    <row r="273952" customFormat="1" x14ac:dyDescent="0.25"/>
    <row r="273953" customFormat="1" x14ac:dyDescent="0.25"/>
    <row r="273954" customFormat="1" x14ac:dyDescent="0.25"/>
    <row r="273955" customFormat="1" x14ac:dyDescent="0.25"/>
    <row r="273956" customFormat="1" x14ac:dyDescent="0.25"/>
    <row r="273957" customFormat="1" x14ac:dyDescent="0.25"/>
    <row r="273958" customFormat="1" x14ac:dyDescent="0.25"/>
    <row r="273959" customFormat="1" x14ac:dyDescent="0.25"/>
    <row r="273960" customFormat="1" x14ac:dyDescent="0.25"/>
    <row r="273961" customFormat="1" x14ac:dyDescent="0.25"/>
    <row r="273962" customFormat="1" x14ac:dyDescent="0.25"/>
    <row r="273963" customFormat="1" x14ac:dyDescent="0.25"/>
    <row r="273964" customFormat="1" x14ac:dyDescent="0.25"/>
    <row r="273965" customFormat="1" x14ac:dyDescent="0.25"/>
    <row r="273966" customFormat="1" x14ac:dyDescent="0.25"/>
    <row r="273967" customFormat="1" x14ac:dyDescent="0.25"/>
    <row r="273968" customFormat="1" x14ac:dyDescent="0.25"/>
    <row r="273969" customFormat="1" x14ac:dyDescent="0.25"/>
    <row r="273970" customFormat="1" x14ac:dyDescent="0.25"/>
    <row r="273971" customFormat="1" x14ac:dyDescent="0.25"/>
    <row r="273972" customFormat="1" x14ac:dyDescent="0.25"/>
    <row r="273973" customFormat="1" x14ac:dyDescent="0.25"/>
    <row r="273974" customFormat="1" x14ac:dyDescent="0.25"/>
    <row r="273975" customFormat="1" x14ac:dyDescent="0.25"/>
    <row r="273976" customFormat="1" x14ac:dyDescent="0.25"/>
    <row r="273977" customFormat="1" x14ac:dyDescent="0.25"/>
    <row r="273978" customFormat="1" x14ac:dyDescent="0.25"/>
    <row r="273979" customFormat="1" x14ac:dyDescent="0.25"/>
    <row r="273980" customFormat="1" x14ac:dyDescent="0.25"/>
    <row r="273981" customFormat="1" x14ac:dyDescent="0.25"/>
    <row r="273982" customFormat="1" x14ac:dyDescent="0.25"/>
    <row r="273983" customFormat="1" x14ac:dyDescent="0.25"/>
    <row r="273984" customFormat="1" x14ac:dyDescent="0.25"/>
    <row r="273985" customFormat="1" x14ac:dyDescent="0.25"/>
    <row r="273986" customFormat="1" x14ac:dyDescent="0.25"/>
    <row r="273987" customFormat="1" x14ac:dyDescent="0.25"/>
    <row r="273988" customFormat="1" x14ac:dyDescent="0.25"/>
    <row r="273989" customFormat="1" x14ac:dyDescent="0.25"/>
    <row r="273990" customFormat="1" x14ac:dyDescent="0.25"/>
    <row r="273991" customFormat="1" x14ac:dyDescent="0.25"/>
    <row r="273992" customFormat="1" x14ac:dyDescent="0.25"/>
    <row r="273993" customFormat="1" x14ac:dyDescent="0.25"/>
    <row r="273994" customFormat="1" x14ac:dyDescent="0.25"/>
    <row r="273995" customFormat="1" x14ac:dyDescent="0.25"/>
    <row r="273996" customFormat="1" x14ac:dyDescent="0.25"/>
    <row r="273997" customFormat="1" x14ac:dyDescent="0.25"/>
    <row r="273998" customFormat="1" x14ac:dyDescent="0.25"/>
    <row r="273999" customFormat="1" x14ac:dyDescent="0.25"/>
    <row r="274000" customFormat="1" x14ac:dyDescent="0.25"/>
    <row r="274001" customFormat="1" x14ac:dyDescent="0.25"/>
    <row r="274002" customFormat="1" x14ac:dyDescent="0.25"/>
    <row r="274003" customFormat="1" x14ac:dyDescent="0.25"/>
    <row r="274004" customFormat="1" x14ac:dyDescent="0.25"/>
    <row r="274005" customFormat="1" x14ac:dyDescent="0.25"/>
    <row r="274006" customFormat="1" x14ac:dyDescent="0.25"/>
    <row r="274007" customFormat="1" x14ac:dyDescent="0.25"/>
    <row r="274008" customFormat="1" x14ac:dyDescent="0.25"/>
    <row r="274009" customFormat="1" x14ac:dyDescent="0.25"/>
    <row r="274010" customFormat="1" x14ac:dyDescent="0.25"/>
    <row r="274011" customFormat="1" x14ac:dyDescent="0.25"/>
    <row r="274012" customFormat="1" x14ac:dyDescent="0.25"/>
    <row r="274013" customFormat="1" x14ac:dyDescent="0.25"/>
    <row r="274014" customFormat="1" x14ac:dyDescent="0.25"/>
    <row r="274015" customFormat="1" x14ac:dyDescent="0.25"/>
    <row r="274016" customFormat="1" x14ac:dyDescent="0.25"/>
    <row r="274017" customFormat="1" x14ac:dyDescent="0.25"/>
    <row r="274018" customFormat="1" x14ac:dyDescent="0.25"/>
    <row r="274019" customFormat="1" x14ac:dyDescent="0.25"/>
    <row r="274020" customFormat="1" x14ac:dyDescent="0.25"/>
    <row r="274021" customFormat="1" x14ac:dyDescent="0.25"/>
    <row r="274022" customFormat="1" x14ac:dyDescent="0.25"/>
    <row r="274023" customFormat="1" x14ac:dyDescent="0.25"/>
    <row r="274024" customFormat="1" x14ac:dyDescent="0.25"/>
    <row r="274025" customFormat="1" x14ac:dyDescent="0.25"/>
    <row r="274026" customFormat="1" x14ac:dyDescent="0.25"/>
    <row r="274027" customFormat="1" x14ac:dyDescent="0.25"/>
    <row r="274028" customFormat="1" x14ac:dyDescent="0.25"/>
    <row r="274029" customFormat="1" x14ac:dyDescent="0.25"/>
    <row r="274030" customFormat="1" x14ac:dyDescent="0.25"/>
    <row r="274031" customFormat="1" x14ac:dyDescent="0.25"/>
    <row r="274032" customFormat="1" x14ac:dyDescent="0.25"/>
    <row r="274033" customFormat="1" x14ac:dyDescent="0.25"/>
    <row r="274034" customFormat="1" x14ac:dyDescent="0.25"/>
    <row r="274035" customFormat="1" x14ac:dyDescent="0.25"/>
    <row r="274036" customFormat="1" x14ac:dyDescent="0.25"/>
    <row r="274037" customFormat="1" x14ac:dyDescent="0.25"/>
    <row r="274038" customFormat="1" x14ac:dyDescent="0.25"/>
    <row r="274039" customFormat="1" x14ac:dyDescent="0.25"/>
    <row r="274040" customFormat="1" x14ac:dyDescent="0.25"/>
    <row r="274041" customFormat="1" x14ac:dyDescent="0.25"/>
    <row r="274042" customFormat="1" x14ac:dyDescent="0.25"/>
    <row r="274043" customFormat="1" x14ac:dyDescent="0.25"/>
    <row r="274044" customFormat="1" x14ac:dyDescent="0.25"/>
    <row r="274045" customFormat="1" x14ac:dyDescent="0.25"/>
    <row r="274046" customFormat="1" x14ac:dyDescent="0.25"/>
    <row r="274047" customFormat="1" x14ac:dyDescent="0.25"/>
    <row r="274048" customFormat="1" x14ac:dyDescent="0.25"/>
    <row r="274049" customFormat="1" x14ac:dyDescent="0.25"/>
    <row r="274050" customFormat="1" x14ac:dyDescent="0.25"/>
    <row r="274051" customFormat="1" x14ac:dyDescent="0.25"/>
    <row r="274052" customFormat="1" x14ac:dyDescent="0.25"/>
    <row r="274053" customFormat="1" x14ac:dyDescent="0.25"/>
    <row r="274054" customFormat="1" x14ac:dyDescent="0.25"/>
    <row r="274055" customFormat="1" x14ac:dyDescent="0.25"/>
    <row r="274056" customFormat="1" x14ac:dyDescent="0.25"/>
    <row r="274057" customFormat="1" x14ac:dyDescent="0.25"/>
    <row r="274058" customFormat="1" x14ac:dyDescent="0.25"/>
    <row r="274059" customFormat="1" x14ac:dyDescent="0.25"/>
    <row r="274060" customFormat="1" x14ac:dyDescent="0.25"/>
    <row r="274061" customFormat="1" x14ac:dyDescent="0.25"/>
    <row r="274062" customFormat="1" x14ac:dyDescent="0.25"/>
    <row r="274063" customFormat="1" x14ac:dyDescent="0.25"/>
    <row r="274064" customFormat="1" x14ac:dyDescent="0.25"/>
    <row r="274065" customFormat="1" x14ac:dyDescent="0.25"/>
    <row r="274066" customFormat="1" x14ac:dyDescent="0.25"/>
    <row r="274067" customFormat="1" x14ac:dyDescent="0.25"/>
    <row r="274068" customFormat="1" x14ac:dyDescent="0.25"/>
    <row r="274069" customFormat="1" x14ac:dyDescent="0.25"/>
    <row r="274070" customFormat="1" x14ac:dyDescent="0.25"/>
    <row r="274071" customFormat="1" x14ac:dyDescent="0.25"/>
    <row r="274072" customFormat="1" x14ac:dyDescent="0.25"/>
    <row r="274073" customFormat="1" x14ac:dyDescent="0.25"/>
    <row r="274074" customFormat="1" x14ac:dyDescent="0.25"/>
    <row r="274075" customFormat="1" x14ac:dyDescent="0.25"/>
    <row r="274076" customFormat="1" x14ac:dyDescent="0.25"/>
    <row r="274077" customFormat="1" x14ac:dyDescent="0.25"/>
    <row r="274078" customFormat="1" x14ac:dyDescent="0.25"/>
    <row r="274079" customFormat="1" x14ac:dyDescent="0.25"/>
    <row r="274080" customFormat="1" x14ac:dyDescent="0.25"/>
    <row r="274081" customFormat="1" x14ac:dyDescent="0.25"/>
    <row r="274082" customFormat="1" x14ac:dyDescent="0.25"/>
    <row r="274083" customFormat="1" x14ac:dyDescent="0.25"/>
    <row r="274084" customFormat="1" x14ac:dyDescent="0.25"/>
    <row r="274085" customFormat="1" x14ac:dyDescent="0.25"/>
    <row r="274086" customFormat="1" x14ac:dyDescent="0.25"/>
    <row r="274087" customFormat="1" x14ac:dyDescent="0.25"/>
    <row r="274088" customFormat="1" x14ac:dyDescent="0.25"/>
    <row r="274089" customFormat="1" x14ac:dyDescent="0.25"/>
    <row r="274090" customFormat="1" x14ac:dyDescent="0.25"/>
    <row r="274091" customFormat="1" x14ac:dyDescent="0.25"/>
    <row r="274092" customFormat="1" x14ac:dyDescent="0.25"/>
    <row r="274093" customFormat="1" x14ac:dyDescent="0.25"/>
    <row r="274094" customFormat="1" x14ac:dyDescent="0.25"/>
    <row r="274095" customFormat="1" x14ac:dyDescent="0.25"/>
    <row r="274096" customFormat="1" x14ac:dyDescent="0.25"/>
    <row r="274097" customFormat="1" x14ac:dyDescent="0.25"/>
    <row r="274098" customFormat="1" x14ac:dyDescent="0.25"/>
    <row r="274099" customFormat="1" x14ac:dyDescent="0.25"/>
    <row r="274100" customFormat="1" x14ac:dyDescent="0.25"/>
    <row r="274101" customFormat="1" x14ac:dyDescent="0.25"/>
    <row r="274102" customFormat="1" x14ac:dyDescent="0.25"/>
    <row r="274103" customFormat="1" x14ac:dyDescent="0.25"/>
    <row r="274104" customFormat="1" x14ac:dyDescent="0.25"/>
    <row r="274105" customFormat="1" x14ac:dyDescent="0.25"/>
    <row r="274106" customFormat="1" x14ac:dyDescent="0.25"/>
    <row r="274107" customFormat="1" x14ac:dyDescent="0.25"/>
    <row r="274108" customFormat="1" x14ac:dyDescent="0.25"/>
    <row r="274109" customFormat="1" x14ac:dyDescent="0.25"/>
    <row r="274110" customFormat="1" x14ac:dyDescent="0.25"/>
    <row r="274111" customFormat="1" x14ac:dyDescent="0.25"/>
    <row r="274112" customFormat="1" x14ac:dyDescent="0.25"/>
    <row r="274113" customFormat="1" x14ac:dyDescent="0.25"/>
    <row r="274114" customFormat="1" x14ac:dyDescent="0.25"/>
    <row r="274115" customFormat="1" x14ac:dyDescent="0.25"/>
    <row r="274116" customFormat="1" x14ac:dyDescent="0.25"/>
    <row r="274117" customFormat="1" x14ac:dyDescent="0.25"/>
    <row r="274118" customFormat="1" x14ac:dyDescent="0.25"/>
    <row r="274119" customFormat="1" x14ac:dyDescent="0.25"/>
    <row r="274120" customFormat="1" x14ac:dyDescent="0.25"/>
    <row r="274121" customFormat="1" x14ac:dyDescent="0.25"/>
    <row r="274122" customFormat="1" x14ac:dyDescent="0.25"/>
    <row r="274123" customFormat="1" x14ac:dyDescent="0.25"/>
    <row r="274124" customFormat="1" x14ac:dyDescent="0.25"/>
    <row r="274125" customFormat="1" x14ac:dyDescent="0.25"/>
    <row r="274126" customFormat="1" x14ac:dyDescent="0.25"/>
    <row r="274127" customFormat="1" x14ac:dyDescent="0.25"/>
    <row r="274128" customFormat="1" x14ac:dyDescent="0.25"/>
    <row r="274129" customFormat="1" x14ac:dyDescent="0.25"/>
    <row r="274130" customFormat="1" x14ac:dyDescent="0.25"/>
    <row r="274131" customFormat="1" x14ac:dyDescent="0.25"/>
    <row r="274132" customFormat="1" x14ac:dyDescent="0.25"/>
    <row r="274133" customFormat="1" x14ac:dyDescent="0.25"/>
    <row r="274134" customFormat="1" x14ac:dyDescent="0.25"/>
    <row r="274135" customFormat="1" x14ac:dyDescent="0.25"/>
    <row r="274136" customFormat="1" x14ac:dyDescent="0.25"/>
    <row r="274137" customFormat="1" x14ac:dyDescent="0.25"/>
    <row r="274138" customFormat="1" x14ac:dyDescent="0.25"/>
    <row r="274139" customFormat="1" x14ac:dyDescent="0.25"/>
    <row r="274140" customFormat="1" x14ac:dyDescent="0.25"/>
    <row r="274141" customFormat="1" x14ac:dyDescent="0.25"/>
    <row r="274142" customFormat="1" x14ac:dyDescent="0.25"/>
    <row r="274143" customFormat="1" x14ac:dyDescent="0.25"/>
    <row r="274144" customFormat="1" x14ac:dyDescent="0.25"/>
    <row r="274145" customFormat="1" x14ac:dyDescent="0.25"/>
    <row r="274146" customFormat="1" x14ac:dyDescent="0.25"/>
    <row r="274147" customFormat="1" x14ac:dyDescent="0.25"/>
    <row r="274148" customFormat="1" x14ac:dyDescent="0.25"/>
    <row r="274149" customFormat="1" x14ac:dyDescent="0.25"/>
    <row r="274150" customFormat="1" x14ac:dyDescent="0.25"/>
    <row r="274151" customFormat="1" x14ac:dyDescent="0.25"/>
    <row r="274152" customFormat="1" x14ac:dyDescent="0.25"/>
    <row r="274153" customFormat="1" x14ac:dyDescent="0.25"/>
    <row r="274154" customFormat="1" x14ac:dyDescent="0.25"/>
    <row r="274155" customFormat="1" x14ac:dyDescent="0.25"/>
    <row r="274156" customFormat="1" x14ac:dyDescent="0.25"/>
    <row r="274157" customFormat="1" x14ac:dyDescent="0.25"/>
    <row r="274158" customFormat="1" x14ac:dyDescent="0.25"/>
    <row r="274159" customFormat="1" x14ac:dyDescent="0.25"/>
    <row r="274160" customFormat="1" x14ac:dyDescent="0.25"/>
    <row r="274161" customFormat="1" x14ac:dyDescent="0.25"/>
    <row r="274162" customFormat="1" x14ac:dyDescent="0.25"/>
    <row r="274163" customFormat="1" x14ac:dyDescent="0.25"/>
    <row r="274164" customFormat="1" x14ac:dyDescent="0.25"/>
    <row r="274165" customFormat="1" x14ac:dyDescent="0.25"/>
    <row r="274166" customFormat="1" x14ac:dyDescent="0.25"/>
    <row r="274167" customFormat="1" x14ac:dyDescent="0.25"/>
    <row r="274168" customFormat="1" x14ac:dyDescent="0.25"/>
    <row r="274169" customFormat="1" x14ac:dyDescent="0.25"/>
    <row r="274170" customFormat="1" x14ac:dyDescent="0.25"/>
    <row r="274171" customFormat="1" x14ac:dyDescent="0.25"/>
    <row r="274172" customFormat="1" x14ac:dyDescent="0.25"/>
    <row r="274173" customFormat="1" x14ac:dyDescent="0.25"/>
    <row r="274174" customFormat="1" x14ac:dyDescent="0.25"/>
    <row r="274175" customFormat="1" x14ac:dyDescent="0.25"/>
    <row r="274176" customFormat="1" x14ac:dyDescent="0.25"/>
    <row r="274177" customFormat="1" x14ac:dyDescent="0.25"/>
    <row r="274178" customFormat="1" x14ac:dyDescent="0.25"/>
    <row r="274179" customFormat="1" x14ac:dyDescent="0.25"/>
    <row r="274180" customFormat="1" x14ac:dyDescent="0.25"/>
    <row r="274181" customFormat="1" x14ac:dyDescent="0.25"/>
    <row r="274182" customFormat="1" x14ac:dyDescent="0.25"/>
    <row r="274183" customFormat="1" x14ac:dyDescent="0.25"/>
    <row r="274184" customFormat="1" x14ac:dyDescent="0.25"/>
    <row r="274185" customFormat="1" x14ac:dyDescent="0.25"/>
    <row r="274186" customFormat="1" x14ac:dyDescent="0.25"/>
    <row r="274187" customFormat="1" x14ac:dyDescent="0.25"/>
    <row r="274188" customFormat="1" x14ac:dyDescent="0.25"/>
    <row r="274189" customFormat="1" x14ac:dyDescent="0.25"/>
    <row r="274190" customFormat="1" x14ac:dyDescent="0.25"/>
    <row r="274191" customFormat="1" x14ac:dyDescent="0.25"/>
    <row r="274192" customFormat="1" x14ac:dyDescent="0.25"/>
    <row r="274193" customFormat="1" x14ac:dyDescent="0.25"/>
    <row r="274194" customFormat="1" x14ac:dyDescent="0.25"/>
    <row r="274195" customFormat="1" x14ac:dyDescent="0.25"/>
    <row r="274196" customFormat="1" x14ac:dyDescent="0.25"/>
    <row r="274197" customFormat="1" x14ac:dyDescent="0.25"/>
    <row r="274198" customFormat="1" x14ac:dyDescent="0.25"/>
    <row r="274199" customFormat="1" x14ac:dyDescent="0.25"/>
    <row r="274200" customFormat="1" x14ac:dyDescent="0.25"/>
    <row r="274201" customFormat="1" x14ac:dyDescent="0.25"/>
    <row r="274202" customFormat="1" x14ac:dyDescent="0.25"/>
    <row r="274203" customFormat="1" x14ac:dyDescent="0.25"/>
    <row r="274204" customFormat="1" x14ac:dyDescent="0.25"/>
    <row r="274205" customFormat="1" x14ac:dyDescent="0.25"/>
    <row r="274206" customFormat="1" x14ac:dyDescent="0.25"/>
    <row r="274207" customFormat="1" x14ac:dyDescent="0.25"/>
    <row r="274208" customFormat="1" x14ac:dyDescent="0.25"/>
    <row r="274209" customFormat="1" x14ac:dyDescent="0.25"/>
    <row r="274210" customFormat="1" x14ac:dyDescent="0.25"/>
    <row r="274211" customFormat="1" x14ac:dyDescent="0.25"/>
    <row r="274212" customFormat="1" x14ac:dyDescent="0.25"/>
    <row r="274213" customFormat="1" x14ac:dyDescent="0.25"/>
    <row r="274214" customFormat="1" x14ac:dyDescent="0.25"/>
    <row r="274215" customFormat="1" x14ac:dyDescent="0.25"/>
    <row r="274216" customFormat="1" x14ac:dyDescent="0.25"/>
    <row r="274217" customFormat="1" x14ac:dyDescent="0.25"/>
    <row r="274218" customFormat="1" x14ac:dyDescent="0.25"/>
    <row r="274219" customFormat="1" x14ac:dyDescent="0.25"/>
    <row r="274220" customFormat="1" x14ac:dyDescent="0.25"/>
    <row r="274221" customFormat="1" x14ac:dyDescent="0.25"/>
    <row r="274222" customFormat="1" x14ac:dyDescent="0.25"/>
    <row r="274223" customFormat="1" x14ac:dyDescent="0.25"/>
    <row r="274224" customFormat="1" x14ac:dyDescent="0.25"/>
    <row r="274225" customFormat="1" x14ac:dyDescent="0.25"/>
    <row r="274226" customFormat="1" x14ac:dyDescent="0.25"/>
    <row r="274227" customFormat="1" x14ac:dyDescent="0.25"/>
    <row r="274228" customFormat="1" x14ac:dyDescent="0.25"/>
    <row r="274229" customFormat="1" x14ac:dyDescent="0.25"/>
    <row r="274230" customFormat="1" x14ac:dyDescent="0.25"/>
    <row r="274231" customFormat="1" x14ac:dyDescent="0.25"/>
    <row r="274232" customFormat="1" x14ac:dyDescent="0.25"/>
    <row r="274233" customFormat="1" x14ac:dyDescent="0.25"/>
    <row r="274234" customFormat="1" x14ac:dyDescent="0.25"/>
    <row r="274235" customFormat="1" x14ac:dyDescent="0.25"/>
    <row r="274236" customFormat="1" x14ac:dyDescent="0.25"/>
    <row r="274237" customFormat="1" x14ac:dyDescent="0.25"/>
    <row r="274238" customFormat="1" x14ac:dyDescent="0.25"/>
    <row r="274239" customFormat="1" x14ac:dyDescent="0.25"/>
    <row r="274240" customFormat="1" x14ac:dyDescent="0.25"/>
    <row r="274241" customFormat="1" x14ac:dyDescent="0.25"/>
    <row r="274242" customFormat="1" x14ac:dyDescent="0.25"/>
    <row r="274243" customFormat="1" x14ac:dyDescent="0.25"/>
    <row r="274244" customFormat="1" x14ac:dyDescent="0.25"/>
    <row r="274245" customFormat="1" x14ac:dyDescent="0.25"/>
    <row r="274246" customFormat="1" x14ac:dyDescent="0.25"/>
    <row r="274247" customFormat="1" x14ac:dyDescent="0.25"/>
    <row r="274248" customFormat="1" x14ac:dyDescent="0.25"/>
    <row r="274249" customFormat="1" x14ac:dyDescent="0.25"/>
    <row r="274250" customFormat="1" x14ac:dyDescent="0.25"/>
    <row r="274251" customFormat="1" x14ac:dyDescent="0.25"/>
    <row r="274252" customFormat="1" x14ac:dyDescent="0.25"/>
    <row r="274253" customFormat="1" x14ac:dyDescent="0.25"/>
    <row r="274254" customFormat="1" x14ac:dyDescent="0.25"/>
    <row r="274255" customFormat="1" x14ac:dyDescent="0.25"/>
    <row r="274256" customFormat="1" x14ac:dyDescent="0.25"/>
    <row r="274257" customFormat="1" x14ac:dyDescent="0.25"/>
    <row r="274258" customFormat="1" x14ac:dyDescent="0.25"/>
    <row r="274259" customFormat="1" x14ac:dyDescent="0.25"/>
    <row r="274260" customFormat="1" x14ac:dyDescent="0.25"/>
    <row r="274261" customFormat="1" x14ac:dyDescent="0.25"/>
    <row r="274262" customFormat="1" x14ac:dyDescent="0.25"/>
    <row r="274263" customFormat="1" x14ac:dyDescent="0.25"/>
    <row r="274264" customFormat="1" x14ac:dyDescent="0.25"/>
    <row r="274265" customFormat="1" x14ac:dyDescent="0.25"/>
    <row r="274266" customFormat="1" x14ac:dyDescent="0.25"/>
    <row r="274267" customFormat="1" x14ac:dyDescent="0.25"/>
    <row r="274268" customFormat="1" x14ac:dyDescent="0.25"/>
    <row r="274269" customFormat="1" x14ac:dyDescent="0.25"/>
    <row r="274270" customFormat="1" x14ac:dyDescent="0.25"/>
    <row r="274271" customFormat="1" x14ac:dyDescent="0.25"/>
    <row r="274272" customFormat="1" x14ac:dyDescent="0.25"/>
    <row r="274273" customFormat="1" x14ac:dyDescent="0.25"/>
    <row r="274274" customFormat="1" x14ac:dyDescent="0.25"/>
    <row r="274275" customFormat="1" x14ac:dyDescent="0.25"/>
    <row r="274276" customFormat="1" x14ac:dyDescent="0.25"/>
    <row r="274277" customFormat="1" x14ac:dyDescent="0.25"/>
    <row r="274278" customFormat="1" x14ac:dyDescent="0.25"/>
    <row r="274279" customFormat="1" x14ac:dyDescent="0.25"/>
    <row r="274280" customFormat="1" x14ac:dyDescent="0.25"/>
    <row r="274281" customFormat="1" x14ac:dyDescent="0.25"/>
    <row r="274282" customFormat="1" x14ac:dyDescent="0.25"/>
    <row r="274283" customFormat="1" x14ac:dyDescent="0.25"/>
    <row r="274284" customFormat="1" x14ac:dyDescent="0.25"/>
    <row r="274285" customFormat="1" x14ac:dyDescent="0.25"/>
    <row r="274286" customFormat="1" x14ac:dyDescent="0.25"/>
    <row r="274287" customFormat="1" x14ac:dyDescent="0.25"/>
    <row r="274288" customFormat="1" x14ac:dyDescent="0.25"/>
    <row r="274289" customFormat="1" x14ac:dyDescent="0.25"/>
    <row r="274290" customFormat="1" x14ac:dyDescent="0.25"/>
    <row r="274291" customFormat="1" x14ac:dyDescent="0.25"/>
    <row r="274292" customFormat="1" x14ac:dyDescent="0.25"/>
    <row r="274293" customFormat="1" x14ac:dyDescent="0.25"/>
    <row r="274294" customFormat="1" x14ac:dyDescent="0.25"/>
    <row r="274295" customFormat="1" x14ac:dyDescent="0.25"/>
    <row r="274296" customFormat="1" x14ac:dyDescent="0.25"/>
    <row r="274297" customFormat="1" x14ac:dyDescent="0.25"/>
    <row r="274298" customFormat="1" x14ac:dyDescent="0.25"/>
    <row r="274299" customFormat="1" x14ac:dyDescent="0.25"/>
    <row r="274300" customFormat="1" x14ac:dyDescent="0.25"/>
    <row r="274301" customFormat="1" x14ac:dyDescent="0.25"/>
    <row r="274302" customFormat="1" x14ac:dyDescent="0.25"/>
    <row r="274303" customFormat="1" x14ac:dyDescent="0.25"/>
    <row r="274304" customFormat="1" x14ac:dyDescent="0.25"/>
    <row r="274305" customFormat="1" x14ac:dyDescent="0.25"/>
    <row r="274306" customFormat="1" x14ac:dyDescent="0.25"/>
    <row r="274307" customFormat="1" x14ac:dyDescent="0.25"/>
    <row r="274308" customFormat="1" x14ac:dyDescent="0.25"/>
    <row r="274309" customFormat="1" x14ac:dyDescent="0.25"/>
    <row r="274310" customFormat="1" x14ac:dyDescent="0.25"/>
    <row r="274311" customFormat="1" x14ac:dyDescent="0.25"/>
    <row r="274312" customFormat="1" x14ac:dyDescent="0.25"/>
    <row r="274313" customFormat="1" x14ac:dyDescent="0.25"/>
    <row r="274314" customFormat="1" x14ac:dyDescent="0.25"/>
    <row r="274315" customFormat="1" x14ac:dyDescent="0.25"/>
    <row r="274316" customFormat="1" x14ac:dyDescent="0.25"/>
    <row r="274317" customFormat="1" x14ac:dyDescent="0.25"/>
    <row r="274318" customFormat="1" x14ac:dyDescent="0.25"/>
    <row r="274319" customFormat="1" x14ac:dyDescent="0.25"/>
    <row r="274320" customFormat="1" x14ac:dyDescent="0.25"/>
    <row r="274321" customFormat="1" x14ac:dyDescent="0.25"/>
    <row r="274322" customFormat="1" x14ac:dyDescent="0.25"/>
    <row r="274323" customFormat="1" x14ac:dyDescent="0.25"/>
    <row r="274324" customFormat="1" x14ac:dyDescent="0.25"/>
    <row r="274325" customFormat="1" x14ac:dyDescent="0.25"/>
    <row r="274326" customFormat="1" x14ac:dyDescent="0.25"/>
    <row r="274327" customFormat="1" x14ac:dyDescent="0.25"/>
    <row r="274328" customFormat="1" x14ac:dyDescent="0.25"/>
    <row r="274329" customFormat="1" x14ac:dyDescent="0.25"/>
    <row r="274330" customFormat="1" x14ac:dyDescent="0.25"/>
    <row r="274331" customFormat="1" x14ac:dyDescent="0.25"/>
    <row r="274332" customFormat="1" x14ac:dyDescent="0.25"/>
    <row r="274333" customFormat="1" x14ac:dyDescent="0.25"/>
    <row r="274334" customFormat="1" x14ac:dyDescent="0.25"/>
    <row r="274335" customFormat="1" x14ac:dyDescent="0.25"/>
    <row r="274336" customFormat="1" x14ac:dyDescent="0.25"/>
    <row r="274337" customFormat="1" x14ac:dyDescent="0.25"/>
    <row r="274338" customFormat="1" x14ac:dyDescent="0.25"/>
    <row r="274339" customFormat="1" x14ac:dyDescent="0.25"/>
    <row r="274340" customFormat="1" x14ac:dyDescent="0.25"/>
    <row r="274341" customFormat="1" x14ac:dyDescent="0.25"/>
    <row r="274342" customFormat="1" x14ac:dyDescent="0.25"/>
    <row r="274343" customFormat="1" x14ac:dyDescent="0.25"/>
    <row r="274344" customFormat="1" x14ac:dyDescent="0.25"/>
    <row r="274345" customFormat="1" x14ac:dyDescent="0.25"/>
    <row r="274346" customFormat="1" x14ac:dyDescent="0.25"/>
    <row r="274347" customFormat="1" x14ac:dyDescent="0.25"/>
    <row r="274348" customFormat="1" x14ac:dyDescent="0.25"/>
    <row r="274349" customFormat="1" x14ac:dyDescent="0.25"/>
    <row r="274350" customFormat="1" x14ac:dyDescent="0.25"/>
    <row r="274351" customFormat="1" x14ac:dyDescent="0.25"/>
    <row r="274352" customFormat="1" x14ac:dyDescent="0.25"/>
    <row r="274353" customFormat="1" x14ac:dyDescent="0.25"/>
    <row r="274354" customFormat="1" x14ac:dyDescent="0.25"/>
    <row r="274355" customFormat="1" x14ac:dyDescent="0.25"/>
    <row r="274356" customFormat="1" x14ac:dyDescent="0.25"/>
    <row r="274357" customFormat="1" x14ac:dyDescent="0.25"/>
    <row r="274358" customFormat="1" x14ac:dyDescent="0.25"/>
    <row r="274359" customFormat="1" x14ac:dyDescent="0.25"/>
    <row r="274360" customFormat="1" x14ac:dyDescent="0.25"/>
    <row r="274361" customFormat="1" x14ac:dyDescent="0.25"/>
    <row r="274362" customFormat="1" x14ac:dyDescent="0.25"/>
    <row r="274363" customFormat="1" x14ac:dyDescent="0.25"/>
    <row r="274364" customFormat="1" x14ac:dyDescent="0.25"/>
    <row r="274365" customFormat="1" x14ac:dyDescent="0.25"/>
    <row r="274366" customFormat="1" x14ac:dyDescent="0.25"/>
    <row r="274367" customFormat="1" x14ac:dyDescent="0.25"/>
    <row r="274368" customFormat="1" x14ac:dyDescent="0.25"/>
    <row r="274369" customFormat="1" x14ac:dyDescent="0.25"/>
    <row r="274370" customFormat="1" x14ac:dyDescent="0.25"/>
    <row r="274371" customFormat="1" x14ac:dyDescent="0.25"/>
    <row r="274372" customFormat="1" x14ac:dyDescent="0.25"/>
    <row r="274373" customFormat="1" x14ac:dyDescent="0.25"/>
    <row r="274374" customFormat="1" x14ac:dyDescent="0.25"/>
    <row r="274375" customFormat="1" x14ac:dyDescent="0.25"/>
    <row r="274376" customFormat="1" x14ac:dyDescent="0.25"/>
    <row r="274377" customFormat="1" x14ac:dyDescent="0.25"/>
    <row r="274378" customFormat="1" x14ac:dyDescent="0.25"/>
    <row r="274379" customFormat="1" x14ac:dyDescent="0.25"/>
    <row r="274380" customFormat="1" x14ac:dyDescent="0.25"/>
    <row r="274381" customFormat="1" x14ac:dyDescent="0.25"/>
    <row r="274382" customFormat="1" x14ac:dyDescent="0.25"/>
    <row r="274383" customFormat="1" x14ac:dyDescent="0.25"/>
    <row r="274384" customFormat="1" x14ac:dyDescent="0.25"/>
    <row r="274385" customFormat="1" x14ac:dyDescent="0.25"/>
    <row r="274386" customFormat="1" x14ac:dyDescent="0.25"/>
    <row r="274387" customFormat="1" x14ac:dyDescent="0.25"/>
    <row r="274388" customFormat="1" x14ac:dyDescent="0.25"/>
    <row r="274389" customFormat="1" x14ac:dyDescent="0.25"/>
    <row r="274390" customFormat="1" x14ac:dyDescent="0.25"/>
    <row r="274391" customFormat="1" x14ac:dyDescent="0.25"/>
    <row r="274392" customFormat="1" x14ac:dyDescent="0.25"/>
    <row r="274393" customFormat="1" x14ac:dyDescent="0.25"/>
    <row r="274394" customFormat="1" x14ac:dyDescent="0.25"/>
    <row r="274395" customFormat="1" x14ac:dyDescent="0.25"/>
    <row r="274396" customFormat="1" x14ac:dyDescent="0.25"/>
    <row r="274397" customFormat="1" x14ac:dyDescent="0.25"/>
    <row r="274398" customFormat="1" x14ac:dyDescent="0.25"/>
    <row r="274399" customFormat="1" x14ac:dyDescent="0.25"/>
    <row r="274400" customFormat="1" x14ac:dyDescent="0.25"/>
    <row r="274401" customFormat="1" x14ac:dyDescent="0.25"/>
    <row r="274402" customFormat="1" x14ac:dyDescent="0.25"/>
    <row r="274403" customFormat="1" x14ac:dyDescent="0.25"/>
    <row r="274404" customFormat="1" x14ac:dyDescent="0.25"/>
    <row r="274405" customFormat="1" x14ac:dyDescent="0.25"/>
    <row r="274406" customFormat="1" x14ac:dyDescent="0.25"/>
    <row r="274407" customFormat="1" x14ac:dyDescent="0.25"/>
    <row r="274408" customFormat="1" x14ac:dyDescent="0.25"/>
    <row r="274409" customFormat="1" x14ac:dyDescent="0.25"/>
    <row r="274410" customFormat="1" x14ac:dyDescent="0.25"/>
    <row r="274411" customFormat="1" x14ac:dyDescent="0.25"/>
    <row r="274412" customFormat="1" x14ac:dyDescent="0.25"/>
    <row r="274413" customFormat="1" x14ac:dyDescent="0.25"/>
    <row r="274414" customFormat="1" x14ac:dyDescent="0.25"/>
    <row r="274415" customFormat="1" x14ac:dyDescent="0.25"/>
    <row r="274416" customFormat="1" x14ac:dyDescent="0.25"/>
    <row r="274417" customFormat="1" x14ac:dyDescent="0.25"/>
    <row r="274418" customFormat="1" x14ac:dyDescent="0.25"/>
    <row r="274419" customFormat="1" x14ac:dyDescent="0.25"/>
    <row r="274420" customFormat="1" x14ac:dyDescent="0.25"/>
    <row r="274421" customFormat="1" x14ac:dyDescent="0.25"/>
    <row r="274422" customFormat="1" x14ac:dyDescent="0.25"/>
    <row r="274423" customFormat="1" x14ac:dyDescent="0.25"/>
    <row r="274424" customFormat="1" x14ac:dyDescent="0.25"/>
    <row r="274425" customFormat="1" x14ac:dyDescent="0.25"/>
    <row r="274426" customFormat="1" x14ac:dyDescent="0.25"/>
    <row r="274427" customFormat="1" x14ac:dyDescent="0.25"/>
    <row r="274428" customFormat="1" x14ac:dyDescent="0.25"/>
    <row r="274429" customFormat="1" x14ac:dyDescent="0.25"/>
    <row r="274430" customFormat="1" x14ac:dyDescent="0.25"/>
    <row r="274431" customFormat="1" x14ac:dyDescent="0.25"/>
    <row r="274432" customFormat="1" x14ac:dyDescent="0.25"/>
    <row r="274433" customFormat="1" x14ac:dyDescent="0.25"/>
    <row r="274434" customFormat="1" x14ac:dyDescent="0.25"/>
    <row r="274435" customFormat="1" x14ac:dyDescent="0.25"/>
    <row r="274436" customFormat="1" x14ac:dyDescent="0.25"/>
    <row r="274437" customFormat="1" x14ac:dyDescent="0.25"/>
    <row r="274438" customFormat="1" x14ac:dyDescent="0.25"/>
    <row r="274439" customFormat="1" x14ac:dyDescent="0.25"/>
    <row r="274440" customFormat="1" x14ac:dyDescent="0.25"/>
    <row r="274441" customFormat="1" x14ac:dyDescent="0.25"/>
    <row r="274442" customFormat="1" x14ac:dyDescent="0.25"/>
    <row r="274443" customFormat="1" x14ac:dyDescent="0.25"/>
    <row r="274444" customFormat="1" x14ac:dyDescent="0.25"/>
    <row r="274445" customFormat="1" x14ac:dyDescent="0.25"/>
    <row r="274446" customFormat="1" x14ac:dyDescent="0.25"/>
    <row r="274447" customFormat="1" x14ac:dyDescent="0.25"/>
    <row r="274448" customFormat="1" x14ac:dyDescent="0.25"/>
    <row r="274449" customFormat="1" x14ac:dyDescent="0.25"/>
    <row r="274450" customFormat="1" x14ac:dyDescent="0.25"/>
    <row r="274451" customFormat="1" x14ac:dyDescent="0.25"/>
    <row r="274452" customFormat="1" x14ac:dyDescent="0.25"/>
    <row r="274453" customFormat="1" x14ac:dyDescent="0.25"/>
    <row r="274454" customFormat="1" x14ac:dyDescent="0.25"/>
    <row r="274455" customFormat="1" x14ac:dyDescent="0.25"/>
    <row r="274456" customFormat="1" x14ac:dyDescent="0.25"/>
    <row r="274457" customFormat="1" x14ac:dyDescent="0.25"/>
    <row r="274458" customFormat="1" x14ac:dyDescent="0.25"/>
    <row r="274459" customFormat="1" x14ac:dyDescent="0.25"/>
    <row r="274460" customFormat="1" x14ac:dyDescent="0.25"/>
    <row r="274461" customFormat="1" x14ac:dyDescent="0.25"/>
    <row r="274462" customFormat="1" x14ac:dyDescent="0.25"/>
    <row r="274463" customFormat="1" x14ac:dyDescent="0.25"/>
    <row r="274464" customFormat="1" x14ac:dyDescent="0.25"/>
    <row r="274465" customFormat="1" x14ac:dyDescent="0.25"/>
    <row r="274466" customFormat="1" x14ac:dyDescent="0.25"/>
    <row r="274467" customFormat="1" x14ac:dyDescent="0.25"/>
    <row r="274468" customFormat="1" x14ac:dyDescent="0.25"/>
    <row r="274469" customFormat="1" x14ac:dyDescent="0.25"/>
    <row r="274470" customFormat="1" x14ac:dyDescent="0.25"/>
    <row r="274471" customFormat="1" x14ac:dyDescent="0.25"/>
    <row r="274472" customFormat="1" x14ac:dyDescent="0.25"/>
    <row r="274473" customFormat="1" x14ac:dyDescent="0.25"/>
    <row r="274474" customFormat="1" x14ac:dyDescent="0.25"/>
    <row r="274475" customFormat="1" x14ac:dyDescent="0.25"/>
    <row r="274476" customFormat="1" x14ac:dyDescent="0.25"/>
    <row r="274477" customFormat="1" x14ac:dyDescent="0.25"/>
    <row r="274478" customFormat="1" x14ac:dyDescent="0.25"/>
    <row r="274479" customFormat="1" x14ac:dyDescent="0.25"/>
    <row r="274480" customFormat="1" x14ac:dyDescent="0.25"/>
    <row r="274481" customFormat="1" x14ac:dyDescent="0.25"/>
    <row r="274482" customFormat="1" x14ac:dyDescent="0.25"/>
    <row r="274483" customFormat="1" x14ac:dyDescent="0.25"/>
    <row r="274484" customFormat="1" x14ac:dyDescent="0.25"/>
    <row r="274485" customFormat="1" x14ac:dyDescent="0.25"/>
    <row r="274486" customFormat="1" x14ac:dyDescent="0.25"/>
    <row r="274487" customFormat="1" x14ac:dyDescent="0.25"/>
    <row r="274488" customFormat="1" x14ac:dyDescent="0.25"/>
    <row r="274489" customFormat="1" x14ac:dyDescent="0.25"/>
    <row r="274490" customFormat="1" x14ac:dyDescent="0.25"/>
    <row r="274491" customFormat="1" x14ac:dyDescent="0.25"/>
    <row r="274492" customFormat="1" x14ac:dyDescent="0.25"/>
    <row r="274493" customFormat="1" x14ac:dyDescent="0.25"/>
    <row r="274494" customFormat="1" x14ac:dyDescent="0.25"/>
    <row r="274495" customFormat="1" x14ac:dyDescent="0.25"/>
    <row r="274496" customFormat="1" x14ac:dyDescent="0.25"/>
    <row r="274497" customFormat="1" x14ac:dyDescent="0.25"/>
    <row r="274498" customFormat="1" x14ac:dyDescent="0.25"/>
    <row r="274499" customFormat="1" x14ac:dyDescent="0.25"/>
    <row r="274500" customFormat="1" x14ac:dyDescent="0.25"/>
    <row r="274501" customFormat="1" x14ac:dyDescent="0.25"/>
    <row r="274502" customFormat="1" x14ac:dyDescent="0.25"/>
    <row r="274503" customFormat="1" x14ac:dyDescent="0.25"/>
    <row r="274504" customFormat="1" x14ac:dyDescent="0.25"/>
    <row r="274505" customFormat="1" x14ac:dyDescent="0.25"/>
    <row r="274506" customFormat="1" x14ac:dyDescent="0.25"/>
    <row r="274507" customFormat="1" x14ac:dyDescent="0.25"/>
    <row r="274508" customFormat="1" x14ac:dyDescent="0.25"/>
    <row r="274509" customFormat="1" x14ac:dyDescent="0.25"/>
    <row r="274510" customFormat="1" x14ac:dyDescent="0.25"/>
    <row r="274511" customFormat="1" x14ac:dyDescent="0.25"/>
    <row r="274512" customFormat="1" x14ac:dyDescent="0.25"/>
    <row r="274513" customFormat="1" x14ac:dyDescent="0.25"/>
    <row r="274514" customFormat="1" x14ac:dyDescent="0.25"/>
    <row r="274515" customFormat="1" x14ac:dyDescent="0.25"/>
    <row r="274516" customFormat="1" x14ac:dyDescent="0.25"/>
    <row r="274517" customFormat="1" x14ac:dyDescent="0.25"/>
    <row r="274518" customFormat="1" x14ac:dyDescent="0.25"/>
    <row r="274519" customFormat="1" x14ac:dyDescent="0.25"/>
    <row r="274520" customFormat="1" x14ac:dyDescent="0.25"/>
    <row r="274521" customFormat="1" x14ac:dyDescent="0.25"/>
    <row r="274522" customFormat="1" x14ac:dyDescent="0.25"/>
    <row r="274523" customFormat="1" x14ac:dyDescent="0.25"/>
    <row r="274524" customFormat="1" x14ac:dyDescent="0.25"/>
    <row r="274525" customFormat="1" x14ac:dyDescent="0.25"/>
    <row r="274526" customFormat="1" x14ac:dyDescent="0.25"/>
    <row r="274527" customFormat="1" x14ac:dyDescent="0.25"/>
    <row r="274528" customFormat="1" x14ac:dyDescent="0.25"/>
    <row r="274529" customFormat="1" x14ac:dyDescent="0.25"/>
    <row r="274530" customFormat="1" x14ac:dyDescent="0.25"/>
    <row r="274531" customFormat="1" x14ac:dyDescent="0.25"/>
    <row r="274532" customFormat="1" x14ac:dyDescent="0.25"/>
    <row r="274533" customFormat="1" x14ac:dyDescent="0.25"/>
    <row r="274534" customFormat="1" x14ac:dyDescent="0.25"/>
    <row r="274535" customFormat="1" x14ac:dyDescent="0.25"/>
    <row r="274536" customFormat="1" x14ac:dyDescent="0.25"/>
    <row r="274537" customFormat="1" x14ac:dyDescent="0.25"/>
    <row r="274538" customFormat="1" x14ac:dyDescent="0.25"/>
    <row r="274539" customFormat="1" x14ac:dyDescent="0.25"/>
    <row r="274540" customFormat="1" x14ac:dyDescent="0.25"/>
    <row r="274541" customFormat="1" x14ac:dyDescent="0.25"/>
    <row r="274542" customFormat="1" x14ac:dyDescent="0.25"/>
    <row r="274543" customFormat="1" x14ac:dyDescent="0.25"/>
    <row r="274544" customFormat="1" x14ac:dyDescent="0.25"/>
    <row r="274545" customFormat="1" x14ac:dyDescent="0.25"/>
    <row r="274546" customFormat="1" x14ac:dyDescent="0.25"/>
    <row r="274547" customFormat="1" x14ac:dyDescent="0.25"/>
    <row r="274548" customFormat="1" x14ac:dyDescent="0.25"/>
    <row r="274549" customFormat="1" x14ac:dyDescent="0.25"/>
    <row r="274550" customFormat="1" x14ac:dyDescent="0.25"/>
    <row r="274551" customFormat="1" x14ac:dyDescent="0.25"/>
    <row r="274552" customFormat="1" x14ac:dyDescent="0.25"/>
    <row r="274553" customFormat="1" x14ac:dyDescent="0.25"/>
    <row r="274554" customFormat="1" x14ac:dyDescent="0.25"/>
    <row r="274555" customFormat="1" x14ac:dyDescent="0.25"/>
    <row r="274556" customFormat="1" x14ac:dyDescent="0.25"/>
    <row r="274557" customFormat="1" x14ac:dyDescent="0.25"/>
    <row r="274558" customFormat="1" x14ac:dyDescent="0.25"/>
    <row r="274559" customFormat="1" x14ac:dyDescent="0.25"/>
    <row r="274560" customFormat="1" x14ac:dyDescent="0.25"/>
    <row r="274561" customFormat="1" x14ac:dyDescent="0.25"/>
    <row r="274562" customFormat="1" x14ac:dyDescent="0.25"/>
    <row r="274563" customFormat="1" x14ac:dyDescent="0.25"/>
    <row r="274564" customFormat="1" x14ac:dyDescent="0.25"/>
    <row r="274565" customFormat="1" x14ac:dyDescent="0.25"/>
    <row r="274566" customFormat="1" x14ac:dyDescent="0.25"/>
    <row r="274567" customFormat="1" x14ac:dyDescent="0.25"/>
    <row r="274568" customFormat="1" x14ac:dyDescent="0.25"/>
    <row r="274569" customFormat="1" x14ac:dyDescent="0.25"/>
    <row r="274570" customFormat="1" x14ac:dyDescent="0.25"/>
    <row r="274571" customFormat="1" x14ac:dyDescent="0.25"/>
    <row r="274572" customFormat="1" x14ac:dyDescent="0.25"/>
    <row r="274573" customFormat="1" x14ac:dyDescent="0.25"/>
    <row r="274574" customFormat="1" x14ac:dyDescent="0.25"/>
    <row r="274575" customFormat="1" x14ac:dyDescent="0.25"/>
    <row r="274576" customFormat="1" x14ac:dyDescent="0.25"/>
    <row r="274577" customFormat="1" x14ac:dyDescent="0.25"/>
    <row r="274578" customFormat="1" x14ac:dyDescent="0.25"/>
    <row r="274579" customFormat="1" x14ac:dyDescent="0.25"/>
    <row r="274580" customFormat="1" x14ac:dyDescent="0.25"/>
    <row r="274581" customFormat="1" x14ac:dyDescent="0.25"/>
    <row r="274582" customFormat="1" x14ac:dyDescent="0.25"/>
    <row r="274583" customFormat="1" x14ac:dyDescent="0.25"/>
    <row r="274584" customFormat="1" x14ac:dyDescent="0.25"/>
    <row r="274585" customFormat="1" x14ac:dyDescent="0.25"/>
    <row r="274586" customFormat="1" x14ac:dyDescent="0.25"/>
    <row r="274587" customFormat="1" x14ac:dyDescent="0.25"/>
    <row r="274588" customFormat="1" x14ac:dyDescent="0.25"/>
    <row r="274589" customFormat="1" x14ac:dyDescent="0.25"/>
    <row r="274590" customFormat="1" x14ac:dyDescent="0.25"/>
    <row r="274591" customFormat="1" x14ac:dyDescent="0.25"/>
    <row r="274592" customFormat="1" x14ac:dyDescent="0.25"/>
    <row r="274593" customFormat="1" x14ac:dyDescent="0.25"/>
    <row r="274594" customFormat="1" x14ac:dyDescent="0.25"/>
    <row r="274595" customFormat="1" x14ac:dyDescent="0.25"/>
    <row r="274596" customFormat="1" x14ac:dyDescent="0.25"/>
    <row r="274597" customFormat="1" x14ac:dyDescent="0.25"/>
    <row r="274598" customFormat="1" x14ac:dyDescent="0.25"/>
    <row r="274599" customFormat="1" x14ac:dyDescent="0.25"/>
    <row r="274600" customFormat="1" x14ac:dyDescent="0.25"/>
    <row r="274601" customFormat="1" x14ac:dyDescent="0.25"/>
    <row r="274602" customFormat="1" x14ac:dyDescent="0.25"/>
    <row r="274603" customFormat="1" x14ac:dyDescent="0.25"/>
    <row r="274604" customFormat="1" x14ac:dyDescent="0.25"/>
    <row r="274605" customFormat="1" x14ac:dyDescent="0.25"/>
    <row r="274606" customFormat="1" x14ac:dyDescent="0.25"/>
    <row r="274607" customFormat="1" x14ac:dyDescent="0.25"/>
    <row r="274608" customFormat="1" x14ac:dyDescent="0.25"/>
    <row r="274609" customFormat="1" x14ac:dyDescent="0.25"/>
    <row r="274610" customFormat="1" x14ac:dyDescent="0.25"/>
    <row r="274611" customFormat="1" x14ac:dyDescent="0.25"/>
    <row r="274612" customFormat="1" x14ac:dyDescent="0.25"/>
    <row r="274613" customFormat="1" x14ac:dyDescent="0.25"/>
    <row r="274614" customFormat="1" x14ac:dyDescent="0.25"/>
    <row r="274615" customFormat="1" x14ac:dyDescent="0.25"/>
    <row r="274616" customFormat="1" x14ac:dyDescent="0.25"/>
    <row r="274617" customFormat="1" x14ac:dyDescent="0.25"/>
    <row r="274618" customFormat="1" x14ac:dyDescent="0.25"/>
    <row r="274619" customFormat="1" x14ac:dyDescent="0.25"/>
    <row r="274620" customFormat="1" x14ac:dyDescent="0.25"/>
    <row r="274621" customFormat="1" x14ac:dyDescent="0.25"/>
    <row r="274622" customFormat="1" x14ac:dyDescent="0.25"/>
    <row r="274623" customFormat="1" x14ac:dyDescent="0.25"/>
    <row r="274624" customFormat="1" x14ac:dyDescent="0.25"/>
    <row r="274625" customFormat="1" x14ac:dyDescent="0.25"/>
    <row r="274626" customFormat="1" x14ac:dyDescent="0.25"/>
    <row r="274627" customFormat="1" x14ac:dyDescent="0.25"/>
    <row r="274628" customFormat="1" x14ac:dyDescent="0.25"/>
    <row r="274629" customFormat="1" x14ac:dyDescent="0.25"/>
    <row r="274630" customFormat="1" x14ac:dyDescent="0.25"/>
    <row r="274631" customFormat="1" x14ac:dyDescent="0.25"/>
    <row r="274632" customFormat="1" x14ac:dyDescent="0.25"/>
    <row r="274633" customFormat="1" x14ac:dyDescent="0.25"/>
    <row r="274634" customFormat="1" x14ac:dyDescent="0.25"/>
    <row r="274635" customFormat="1" x14ac:dyDescent="0.25"/>
    <row r="274636" customFormat="1" x14ac:dyDescent="0.25"/>
    <row r="274637" customFormat="1" x14ac:dyDescent="0.25"/>
    <row r="274638" customFormat="1" x14ac:dyDescent="0.25"/>
    <row r="274639" customFormat="1" x14ac:dyDescent="0.25"/>
    <row r="274640" customFormat="1" x14ac:dyDescent="0.25"/>
    <row r="274641" customFormat="1" x14ac:dyDescent="0.25"/>
    <row r="274642" customFormat="1" x14ac:dyDescent="0.25"/>
    <row r="274643" customFormat="1" x14ac:dyDescent="0.25"/>
    <row r="274644" customFormat="1" x14ac:dyDescent="0.25"/>
    <row r="274645" customFormat="1" x14ac:dyDescent="0.25"/>
    <row r="274646" customFormat="1" x14ac:dyDescent="0.25"/>
    <row r="274647" customFormat="1" x14ac:dyDescent="0.25"/>
    <row r="274648" customFormat="1" x14ac:dyDescent="0.25"/>
    <row r="274649" customFormat="1" x14ac:dyDescent="0.25"/>
    <row r="274650" customFormat="1" x14ac:dyDescent="0.25"/>
    <row r="274651" customFormat="1" x14ac:dyDescent="0.25"/>
    <row r="274652" customFormat="1" x14ac:dyDescent="0.25"/>
    <row r="274653" customFormat="1" x14ac:dyDescent="0.25"/>
    <row r="274654" customFormat="1" x14ac:dyDescent="0.25"/>
    <row r="274655" customFormat="1" x14ac:dyDescent="0.25"/>
    <row r="274656" customFormat="1" x14ac:dyDescent="0.25"/>
    <row r="274657" customFormat="1" x14ac:dyDescent="0.25"/>
    <row r="274658" customFormat="1" x14ac:dyDescent="0.25"/>
    <row r="274659" customFormat="1" x14ac:dyDescent="0.25"/>
    <row r="274660" customFormat="1" x14ac:dyDescent="0.25"/>
    <row r="274661" customFormat="1" x14ac:dyDescent="0.25"/>
    <row r="274662" customFormat="1" x14ac:dyDescent="0.25"/>
    <row r="274663" customFormat="1" x14ac:dyDescent="0.25"/>
    <row r="274664" customFormat="1" x14ac:dyDescent="0.25"/>
    <row r="274665" customFormat="1" x14ac:dyDescent="0.25"/>
    <row r="274666" customFormat="1" x14ac:dyDescent="0.25"/>
    <row r="274667" customFormat="1" x14ac:dyDescent="0.25"/>
    <row r="274668" customFormat="1" x14ac:dyDescent="0.25"/>
    <row r="274669" customFormat="1" x14ac:dyDescent="0.25"/>
    <row r="274670" customFormat="1" x14ac:dyDescent="0.25"/>
    <row r="274671" customFormat="1" x14ac:dyDescent="0.25"/>
    <row r="274672" customFormat="1" x14ac:dyDescent="0.25"/>
    <row r="274673" customFormat="1" x14ac:dyDescent="0.25"/>
    <row r="274674" customFormat="1" x14ac:dyDescent="0.25"/>
    <row r="274675" customFormat="1" x14ac:dyDescent="0.25"/>
    <row r="274676" customFormat="1" x14ac:dyDescent="0.25"/>
    <row r="274677" customFormat="1" x14ac:dyDescent="0.25"/>
    <row r="274678" customFormat="1" x14ac:dyDescent="0.25"/>
    <row r="274679" customFormat="1" x14ac:dyDescent="0.25"/>
    <row r="274680" customFormat="1" x14ac:dyDescent="0.25"/>
    <row r="274681" customFormat="1" x14ac:dyDescent="0.25"/>
    <row r="274682" customFormat="1" x14ac:dyDescent="0.25"/>
    <row r="274683" customFormat="1" x14ac:dyDescent="0.25"/>
    <row r="274684" customFormat="1" x14ac:dyDescent="0.25"/>
    <row r="274685" customFormat="1" x14ac:dyDescent="0.25"/>
    <row r="274686" customFormat="1" x14ac:dyDescent="0.25"/>
    <row r="274687" customFormat="1" x14ac:dyDescent="0.25"/>
    <row r="274688" customFormat="1" x14ac:dyDescent="0.25"/>
    <row r="274689" customFormat="1" x14ac:dyDescent="0.25"/>
    <row r="274690" customFormat="1" x14ac:dyDescent="0.25"/>
    <row r="274691" customFormat="1" x14ac:dyDescent="0.25"/>
    <row r="274692" customFormat="1" x14ac:dyDescent="0.25"/>
    <row r="274693" customFormat="1" x14ac:dyDescent="0.25"/>
    <row r="274694" customFormat="1" x14ac:dyDescent="0.25"/>
    <row r="274695" customFormat="1" x14ac:dyDescent="0.25"/>
    <row r="274696" customFormat="1" x14ac:dyDescent="0.25"/>
    <row r="274697" customFormat="1" x14ac:dyDescent="0.25"/>
    <row r="274698" customFormat="1" x14ac:dyDescent="0.25"/>
    <row r="274699" customFormat="1" x14ac:dyDescent="0.25"/>
    <row r="274700" customFormat="1" x14ac:dyDescent="0.25"/>
    <row r="274701" customFormat="1" x14ac:dyDescent="0.25"/>
    <row r="274702" customFormat="1" x14ac:dyDescent="0.25"/>
    <row r="274703" customFormat="1" x14ac:dyDescent="0.25"/>
    <row r="274704" customFormat="1" x14ac:dyDescent="0.25"/>
    <row r="274705" customFormat="1" x14ac:dyDescent="0.25"/>
    <row r="274706" customFormat="1" x14ac:dyDescent="0.25"/>
    <row r="274707" customFormat="1" x14ac:dyDescent="0.25"/>
    <row r="274708" customFormat="1" x14ac:dyDescent="0.25"/>
    <row r="274709" customFormat="1" x14ac:dyDescent="0.25"/>
    <row r="274710" customFormat="1" x14ac:dyDescent="0.25"/>
    <row r="274711" customFormat="1" x14ac:dyDescent="0.25"/>
    <row r="274712" customFormat="1" x14ac:dyDescent="0.25"/>
    <row r="274713" customFormat="1" x14ac:dyDescent="0.25"/>
    <row r="274714" customFormat="1" x14ac:dyDescent="0.25"/>
    <row r="274715" customFormat="1" x14ac:dyDescent="0.25"/>
    <row r="274716" customFormat="1" x14ac:dyDescent="0.25"/>
    <row r="274717" customFormat="1" x14ac:dyDescent="0.25"/>
    <row r="274718" customFormat="1" x14ac:dyDescent="0.25"/>
    <row r="274719" customFormat="1" x14ac:dyDescent="0.25"/>
    <row r="274720" customFormat="1" x14ac:dyDescent="0.25"/>
    <row r="274721" customFormat="1" x14ac:dyDescent="0.25"/>
    <row r="274722" customFormat="1" x14ac:dyDescent="0.25"/>
    <row r="274723" customFormat="1" x14ac:dyDescent="0.25"/>
    <row r="274724" customFormat="1" x14ac:dyDescent="0.25"/>
    <row r="274725" customFormat="1" x14ac:dyDescent="0.25"/>
    <row r="274726" customFormat="1" x14ac:dyDescent="0.25"/>
    <row r="274727" customFormat="1" x14ac:dyDescent="0.25"/>
    <row r="274728" customFormat="1" x14ac:dyDescent="0.25"/>
    <row r="274729" customFormat="1" x14ac:dyDescent="0.25"/>
    <row r="274730" customFormat="1" x14ac:dyDescent="0.25"/>
    <row r="274731" customFormat="1" x14ac:dyDescent="0.25"/>
    <row r="274732" customFormat="1" x14ac:dyDescent="0.25"/>
    <row r="274733" customFormat="1" x14ac:dyDescent="0.25"/>
    <row r="274734" customFormat="1" x14ac:dyDescent="0.25"/>
    <row r="274735" customFormat="1" x14ac:dyDescent="0.25"/>
    <row r="274736" customFormat="1" x14ac:dyDescent="0.25"/>
    <row r="274737" customFormat="1" x14ac:dyDescent="0.25"/>
    <row r="274738" customFormat="1" x14ac:dyDescent="0.25"/>
    <row r="274739" customFormat="1" x14ac:dyDescent="0.25"/>
    <row r="274740" customFormat="1" x14ac:dyDescent="0.25"/>
    <row r="274741" customFormat="1" x14ac:dyDescent="0.25"/>
    <row r="274742" customFormat="1" x14ac:dyDescent="0.25"/>
    <row r="274743" customFormat="1" x14ac:dyDescent="0.25"/>
    <row r="274744" customFormat="1" x14ac:dyDescent="0.25"/>
    <row r="274745" customFormat="1" x14ac:dyDescent="0.25"/>
    <row r="274746" customFormat="1" x14ac:dyDescent="0.25"/>
    <row r="274747" customFormat="1" x14ac:dyDescent="0.25"/>
    <row r="274748" customFormat="1" x14ac:dyDescent="0.25"/>
    <row r="274749" customFormat="1" x14ac:dyDescent="0.25"/>
    <row r="274750" customFormat="1" x14ac:dyDescent="0.25"/>
    <row r="274751" customFormat="1" x14ac:dyDescent="0.25"/>
    <row r="274752" customFormat="1" x14ac:dyDescent="0.25"/>
    <row r="274753" customFormat="1" x14ac:dyDescent="0.25"/>
    <row r="274754" customFormat="1" x14ac:dyDescent="0.25"/>
    <row r="274755" customFormat="1" x14ac:dyDescent="0.25"/>
    <row r="274756" customFormat="1" x14ac:dyDescent="0.25"/>
    <row r="274757" customFormat="1" x14ac:dyDescent="0.25"/>
    <row r="274758" customFormat="1" x14ac:dyDescent="0.25"/>
    <row r="274759" customFormat="1" x14ac:dyDescent="0.25"/>
    <row r="274760" customFormat="1" x14ac:dyDescent="0.25"/>
    <row r="274761" customFormat="1" x14ac:dyDescent="0.25"/>
    <row r="274762" customFormat="1" x14ac:dyDescent="0.25"/>
    <row r="274763" customFormat="1" x14ac:dyDescent="0.25"/>
    <row r="274764" customFormat="1" x14ac:dyDescent="0.25"/>
    <row r="274765" customFormat="1" x14ac:dyDescent="0.25"/>
    <row r="274766" customFormat="1" x14ac:dyDescent="0.25"/>
    <row r="274767" customFormat="1" x14ac:dyDescent="0.25"/>
    <row r="274768" customFormat="1" x14ac:dyDescent="0.25"/>
    <row r="274769" customFormat="1" x14ac:dyDescent="0.25"/>
    <row r="274770" customFormat="1" x14ac:dyDescent="0.25"/>
    <row r="274771" customFormat="1" x14ac:dyDescent="0.25"/>
    <row r="274772" customFormat="1" x14ac:dyDescent="0.25"/>
    <row r="274773" customFormat="1" x14ac:dyDescent="0.25"/>
    <row r="274774" customFormat="1" x14ac:dyDescent="0.25"/>
    <row r="274775" customFormat="1" x14ac:dyDescent="0.25"/>
    <row r="274776" customFormat="1" x14ac:dyDescent="0.25"/>
    <row r="274777" customFormat="1" x14ac:dyDescent="0.25"/>
    <row r="274778" customFormat="1" x14ac:dyDescent="0.25"/>
    <row r="274779" customFormat="1" x14ac:dyDescent="0.25"/>
    <row r="274780" customFormat="1" x14ac:dyDescent="0.25"/>
    <row r="274781" customFormat="1" x14ac:dyDescent="0.25"/>
    <row r="274782" customFormat="1" x14ac:dyDescent="0.25"/>
    <row r="274783" customFormat="1" x14ac:dyDescent="0.25"/>
    <row r="274784" customFormat="1" x14ac:dyDescent="0.25"/>
    <row r="274785" customFormat="1" x14ac:dyDescent="0.25"/>
    <row r="274786" customFormat="1" x14ac:dyDescent="0.25"/>
    <row r="274787" customFormat="1" x14ac:dyDescent="0.25"/>
    <row r="274788" customFormat="1" x14ac:dyDescent="0.25"/>
    <row r="274789" customFormat="1" x14ac:dyDescent="0.25"/>
    <row r="274790" customFormat="1" x14ac:dyDescent="0.25"/>
    <row r="274791" customFormat="1" x14ac:dyDescent="0.25"/>
    <row r="274792" customFormat="1" x14ac:dyDescent="0.25"/>
    <row r="274793" customFormat="1" x14ac:dyDescent="0.25"/>
    <row r="274794" customFormat="1" x14ac:dyDescent="0.25"/>
    <row r="274795" customFormat="1" x14ac:dyDescent="0.25"/>
    <row r="274796" customFormat="1" x14ac:dyDescent="0.25"/>
    <row r="274797" customFormat="1" x14ac:dyDescent="0.25"/>
    <row r="274798" customFormat="1" x14ac:dyDescent="0.25"/>
    <row r="274799" customFormat="1" x14ac:dyDescent="0.25"/>
    <row r="274800" customFormat="1" x14ac:dyDescent="0.25"/>
    <row r="274801" customFormat="1" x14ac:dyDescent="0.25"/>
    <row r="274802" customFormat="1" x14ac:dyDescent="0.25"/>
    <row r="274803" customFormat="1" x14ac:dyDescent="0.25"/>
    <row r="274804" customFormat="1" x14ac:dyDescent="0.25"/>
    <row r="274805" customFormat="1" x14ac:dyDescent="0.25"/>
    <row r="274806" customFormat="1" x14ac:dyDescent="0.25"/>
    <row r="274807" customFormat="1" x14ac:dyDescent="0.25"/>
    <row r="274808" customFormat="1" x14ac:dyDescent="0.25"/>
    <row r="274809" customFormat="1" x14ac:dyDescent="0.25"/>
    <row r="274810" customFormat="1" x14ac:dyDescent="0.25"/>
    <row r="274811" customFormat="1" x14ac:dyDescent="0.25"/>
    <row r="274812" customFormat="1" x14ac:dyDescent="0.25"/>
    <row r="274813" customFormat="1" x14ac:dyDescent="0.25"/>
    <row r="274814" customFormat="1" x14ac:dyDescent="0.25"/>
    <row r="274815" customFormat="1" x14ac:dyDescent="0.25"/>
    <row r="274816" customFormat="1" x14ac:dyDescent="0.25"/>
    <row r="274817" customFormat="1" x14ac:dyDescent="0.25"/>
    <row r="274818" customFormat="1" x14ac:dyDescent="0.25"/>
    <row r="274819" customFormat="1" x14ac:dyDescent="0.25"/>
    <row r="274820" customFormat="1" x14ac:dyDescent="0.25"/>
    <row r="274821" customFormat="1" x14ac:dyDescent="0.25"/>
    <row r="274822" customFormat="1" x14ac:dyDescent="0.25"/>
    <row r="274823" customFormat="1" x14ac:dyDescent="0.25"/>
    <row r="274824" customFormat="1" x14ac:dyDescent="0.25"/>
    <row r="274825" customFormat="1" x14ac:dyDescent="0.25"/>
    <row r="274826" customFormat="1" x14ac:dyDescent="0.25"/>
    <row r="274827" customFormat="1" x14ac:dyDescent="0.25"/>
    <row r="274828" customFormat="1" x14ac:dyDescent="0.25"/>
    <row r="274829" customFormat="1" x14ac:dyDescent="0.25"/>
    <row r="274830" customFormat="1" x14ac:dyDescent="0.25"/>
    <row r="274831" customFormat="1" x14ac:dyDescent="0.25"/>
    <row r="274832" customFormat="1" x14ac:dyDescent="0.25"/>
    <row r="274833" customFormat="1" x14ac:dyDescent="0.25"/>
    <row r="274834" customFormat="1" x14ac:dyDescent="0.25"/>
    <row r="274835" customFormat="1" x14ac:dyDescent="0.25"/>
    <row r="274836" customFormat="1" x14ac:dyDescent="0.25"/>
    <row r="274837" customFormat="1" x14ac:dyDescent="0.25"/>
    <row r="274838" customFormat="1" x14ac:dyDescent="0.25"/>
    <row r="274839" customFormat="1" x14ac:dyDescent="0.25"/>
    <row r="274840" customFormat="1" x14ac:dyDescent="0.25"/>
    <row r="274841" customFormat="1" x14ac:dyDescent="0.25"/>
    <row r="274842" customFormat="1" x14ac:dyDescent="0.25"/>
    <row r="274843" customFormat="1" x14ac:dyDescent="0.25"/>
    <row r="274844" customFormat="1" x14ac:dyDescent="0.25"/>
    <row r="274845" customFormat="1" x14ac:dyDescent="0.25"/>
    <row r="274846" customFormat="1" x14ac:dyDescent="0.25"/>
    <row r="274847" customFormat="1" x14ac:dyDescent="0.25"/>
    <row r="274848" customFormat="1" x14ac:dyDescent="0.25"/>
    <row r="274849" customFormat="1" x14ac:dyDescent="0.25"/>
    <row r="274850" customFormat="1" x14ac:dyDescent="0.25"/>
    <row r="274851" customFormat="1" x14ac:dyDescent="0.25"/>
    <row r="274852" customFormat="1" x14ac:dyDescent="0.25"/>
    <row r="274853" customFormat="1" x14ac:dyDescent="0.25"/>
    <row r="274854" customFormat="1" x14ac:dyDescent="0.25"/>
    <row r="274855" customFormat="1" x14ac:dyDescent="0.25"/>
    <row r="274856" customFormat="1" x14ac:dyDescent="0.25"/>
    <row r="274857" customFormat="1" x14ac:dyDescent="0.25"/>
    <row r="274858" customFormat="1" x14ac:dyDescent="0.25"/>
    <row r="274859" customFormat="1" x14ac:dyDescent="0.25"/>
    <row r="274860" customFormat="1" x14ac:dyDescent="0.25"/>
    <row r="274861" customFormat="1" x14ac:dyDescent="0.25"/>
    <row r="274862" customFormat="1" x14ac:dyDescent="0.25"/>
    <row r="274863" customFormat="1" x14ac:dyDescent="0.25"/>
    <row r="274864" customFormat="1" x14ac:dyDescent="0.25"/>
    <row r="274865" customFormat="1" x14ac:dyDescent="0.25"/>
    <row r="274866" customFormat="1" x14ac:dyDescent="0.25"/>
    <row r="274867" customFormat="1" x14ac:dyDescent="0.25"/>
    <row r="274868" customFormat="1" x14ac:dyDescent="0.25"/>
    <row r="274869" customFormat="1" x14ac:dyDescent="0.25"/>
    <row r="274870" customFormat="1" x14ac:dyDescent="0.25"/>
    <row r="274871" customFormat="1" x14ac:dyDescent="0.25"/>
    <row r="274872" customFormat="1" x14ac:dyDescent="0.25"/>
    <row r="274873" customFormat="1" x14ac:dyDescent="0.25"/>
    <row r="274874" customFormat="1" x14ac:dyDescent="0.25"/>
    <row r="274875" customFormat="1" x14ac:dyDescent="0.25"/>
    <row r="274876" customFormat="1" x14ac:dyDescent="0.25"/>
    <row r="274877" customFormat="1" x14ac:dyDescent="0.25"/>
    <row r="274878" customFormat="1" x14ac:dyDescent="0.25"/>
    <row r="274879" customFormat="1" x14ac:dyDescent="0.25"/>
    <row r="274880" customFormat="1" x14ac:dyDescent="0.25"/>
    <row r="274881" customFormat="1" x14ac:dyDescent="0.25"/>
    <row r="274882" customFormat="1" x14ac:dyDescent="0.25"/>
    <row r="274883" customFormat="1" x14ac:dyDescent="0.25"/>
    <row r="274884" customFormat="1" x14ac:dyDescent="0.25"/>
    <row r="274885" customFormat="1" x14ac:dyDescent="0.25"/>
    <row r="274886" customFormat="1" x14ac:dyDescent="0.25"/>
    <row r="274887" customFormat="1" x14ac:dyDescent="0.25"/>
    <row r="274888" customFormat="1" x14ac:dyDescent="0.25"/>
    <row r="274889" customFormat="1" x14ac:dyDescent="0.25"/>
    <row r="274890" customFormat="1" x14ac:dyDescent="0.25"/>
    <row r="274891" customFormat="1" x14ac:dyDescent="0.25"/>
    <row r="274892" customFormat="1" x14ac:dyDescent="0.25"/>
    <row r="274893" customFormat="1" x14ac:dyDescent="0.25"/>
    <row r="274894" customFormat="1" x14ac:dyDescent="0.25"/>
    <row r="274895" customFormat="1" x14ac:dyDescent="0.25"/>
    <row r="274896" customFormat="1" x14ac:dyDescent="0.25"/>
    <row r="274897" customFormat="1" x14ac:dyDescent="0.25"/>
    <row r="274898" customFormat="1" x14ac:dyDescent="0.25"/>
    <row r="274899" customFormat="1" x14ac:dyDescent="0.25"/>
    <row r="274900" customFormat="1" x14ac:dyDescent="0.25"/>
    <row r="274901" customFormat="1" x14ac:dyDescent="0.25"/>
    <row r="274902" customFormat="1" x14ac:dyDescent="0.25"/>
    <row r="274903" customFormat="1" x14ac:dyDescent="0.25"/>
    <row r="274904" customFormat="1" x14ac:dyDescent="0.25"/>
    <row r="274905" customFormat="1" x14ac:dyDescent="0.25"/>
    <row r="274906" customFormat="1" x14ac:dyDescent="0.25"/>
    <row r="274907" customFormat="1" x14ac:dyDescent="0.25"/>
    <row r="274908" customFormat="1" x14ac:dyDescent="0.25"/>
    <row r="274909" customFormat="1" x14ac:dyDescent="0.25"/>
    <row r="274910" customFormat="1" x14ac:dyDescent="0.25"/>
    <row r="274911" customFormat="1" x14ac:dyDescent="0.25"/>
    <row r="274912" customFormat="1" x14ac:dyDescent="0.25"/>
    <row r="274913" customFormat="1" x14ac:dyDescent="0.25"/>
    <row r="274914" customFormat="1" x14ac:dyDescent="0.25"/>
    <row r="274915" customFormat="1" x14ac:dyDescent="0.25"/>
    <row r="274916" customFormat="1" x14ac:dyDescent="0.25"/>
    <row r="274917" customFormat="1" x14ac:dyDescent="0.25"/>
    <row r="274918" customFormat="1" x14ac:dyDescent="0.25"/>
    <row r="274919" customFormat="1" x14ac:dyDescent="0.25"/>
    <row r="274920" customFormat="1" x14ac:dyDescent="0.25"/>
    <row r="274921" customFormat="1" x14ac:dyDescent="0.25"/>
    <row r="274922" customFormat="1" x14ac:dyDescent="0.25"/>
    <row r="274923" customFormat="1" x14ac:dyDescent="0.25"/>
    <row r="274924" customFormat="1" x14ac:dyDescent="0.25"/>
    <row r="274925" customFormat="1" x14ac:dyDescent="0.25"/>
    <row r="274926" customFormat="1" x14ac:dyDescent="0.25"/>
    <row r="274927" customFormat="1" x14ac:dyDescent="0.25"/>
    <row r="274928" customFormat="1" x14ac:dyDescent="0.25"/>
    <row r="274929" customFormat="1" x14ac:dyDescent="0.25"/>
    <row r="274930" customFormat="1" x14ac:dyDescent="0.25"/>
    <row r="274931" customFormat="1" x14ac:dyDescent="0.25"/>
    <row r="274932" customFormat="1" x14ac:dyDescent="0.25"/>
    <row r="274933" customFormat="1" x14ac:dyDescent="0.25"/>
    <row r="274934" customFormat="1" x14ac:dyDescent="0.25"/>
    <row r="274935" customFormat="1" x14ac:dyDescent="0.25"/>
    <row r="274936" customFormat="1" x14ac:dyDescent="0.25"/>
    <row r="274937" customFormat="1" x14ac:dyDescent="0.25"/>
    <row r="274938" customFormat="1" x14ac:dyDescent="0.25"/>
    <row r="274939" customFormat="1" x14ac:dyDescent="0.25"/>
    <row r="274940" customFormat="1" x14ac:dyDescent="0.25"/>
    <row r="274941" customFormat="1" x14ac:dyDescent="0.25"/>
    <row r="274942" customFormat="1" x14ac:dyDescent="0.25"/>
    <row r="274943" customFormat="1" x14ac:dyDescent="0.25"/>
    <row r="274944" customFormat="1" x14ac:dyDescent="0.25"/>
    <row r="274945" customFormat="1" x14ac:dyDescent="0.25"/>
    <row r="274946" customFormat="1" x14ac:dyDescent="0.25"/>
    <row r="274947" customFormat="1" x14ac:dyDescent="0.25"/>
    <row r="274948" customFormat="1" x14ac:dyDescent="0.25"/>
    <row r="274949" customFormat="1" x14ac:dyDescent="0.25"/>
    <row r="274950" customFormat="1" x14ac:dyDescent="0.25"/>
    <row r="274951" customFormat="1" x14ac:dyDescent="0.25"/>
    <row r="274952" customFormat="1" x14ac:dyDescent="0.25"/>
    <row r="274953" customFormat="1" x14ac:dyDescent="0.25"/>
    <row r="274954" customFormat="1" x14ac:dyDescent="0.25"/>
    <row r="274955" customFormat="1" x14ac:dyDescent="0.25"/>
    <row r="274956" customFormat="1" x14ac:dyDescent="0.25"/>
    <row r="274957" customFormat="1" x14ac:dyDescent="0.25"/>
    <row r="274958" customFormat="1" x14ac:dyDescent="0.25"/>
    <row r="274959" customFormat="1" x14ac:dyDescent="0.25"/>
    <row r="274960" customFormat="1" x14ac:dyDescent="0.25"/>
    <row r="274961" customFormat="1" x14ac:dyDescent="0.25"/>
    <row r="274962" customFormat="1" x14ac:dyDescent="0.25"/>
    <row r="274963" customFormat="1" x14ac:dyDescent="0.25"/>
    <row r="274964" customFormat="1" x14ac:dyDescent="0.25"/>
    <row r="274965" customFormat="1" x14ac:dyDescent="0.25"/>
    <row r="274966" customFormat="1" x14ac:dyDescent="0.25"/>
    <row r="274967" customFormat="1" x14ac:dyDescent="0.25"/>
    <row r="274968" customFormat="1" x14ac:dyDescent="0.25"/>
    <row r="274969" customFormat="1" x14ac:dyDescent="0.25"/>
    <row r="274970" customFormat="1" x14ac:dyDescent="0.25"/>
    <row r="274971" customFormat="1" x14ac:dyDescent="0.25"/>
    <row r="274972" customFormat="1" x14ac:dyDescent="0.25"/>
    <row r="274973" customFormat="1" x14ac:dyDescent="0.25"/>
    <row r="274974" customFormat="1" x14ac:dyDescent="0.25"/>
    <row r="274975" customFormat="1" x14ac:dyDescent="0.25"/>
    <row r="274976" customFormat="1" x14ac:dyDescent="0.25"/>
    <row r="274977" customFormat="1" x14ac:dyDescent="0.25"/>
    <row r="274978" customFormat="1" x14ac:dyDescent="0.25"/>
    <row r="274979" customFormat="1" x14ac:dyDescent="0.25"/>
    <row r="274980" customFormat="1" x14ac:dyDescent="0.25"/>
    <row r="274981" customFormat="1" x14ac:dyDescent="0.25"/>
    <row r="274982" customFormat="1" x14ac:dyDescent="0.25"/>
    <row r="274983" customFormat="1" x14ac:dyDescent="0.25"/>
    <row r="274984" customFormat="1" x14ac:dyDescent="0.25"/>
    <row r="274985" customFormat="1" x14ac:dyDescent="0.25"/>
    <row r="274986" customFormat="1" x14ac:dyDescent="0.25"/>
    <row r="274987" customFormat="1" x14ac:dyDescent="0.25"/>
    <row r="274988" customFormat="1" x14ac:dyDescent="0.25"/>
    <row r="274989" customFormat="1" x14ac:dyDescent="0.25"/>
    <row r="274990" customFormat="1" x14ac:dyDescent="0.25"/>
    <row r="274991" customFormat="1" x14ac:dyDescent="0.25"/>
    <row r="274992" customFormat="1" x14ac:dyDescent="0.25"/>
    <row r="274993" customFormat="1" x14ac:dyDescent="0.25"/>
    <row r="274994" customFormat="1" x14ac:dyDescent="0.25"/>
    <row r="274995" customFormat="1" x14ac:dyDescent="0.25"/>
    <row r="274996" customFormat="1" x14ac:dyDescent="0.25"/>
    <row r="274997" customFormat="1" x14ac:dyDescent="0.25"/>
    <row r="274998" customFormat="1" x14ac:dyDescent="0.25"/>
    <row r="274999" customFormat="1" x14ac:dyDescent="0.25"/>
    <row r="275000" customFormat="1" x14ac:dyDescent="0.25"/>
    <row r="275001" customFormat="1" x14ac:dyDescent="0.25"/>
    <row r="275002" customFormat="1" x14ac:dyDescent="0.25"/>
    <row r="275003" customFormat="1" x14ac:dyDescent="0.25"/>
    <row r="275004" customFormat="1" x14ac:dyDescent="0.25"/>
    <row r="275005" customFormat="1" x14ac:dyDescent="0.25"/>
    <row r="275006" customFormat="1" x14ac:dyDescent="0.25"/>
    <row r="275007" customFormat="1" x14ac:dyDescent="0.25"/>
    <row r="275008" customFormat="1" x14ac:dyDescent="0.25"/>
    <row r="275009" customFormat="1" x14ac:dyDescent="0.25"/>
    <row r="275010" customFormat="1" x14ac:dyDescent="0.25"/>
    <row r="275011" customFormat="1" x14ac:dyDescent="0.25"/>
    <row r="275012" customFormat="1" x14ac:dyDescent="0.25"/>
    <row r="275013" customFormat="1" x14ac:dyDescent="0.25"/>
    <row r="275014" customFormat="1" x14ac:dyDescent="0.25"/>
    <row r="275015" customFormat="1" x14ac:dyDescent="0.25"/>
    <row r="275016" customFormat="1" x14ac:dyDescent="0.25"/>
    <row r="275017" customFormat="1" x14ac:dyDescent="0.25"/>
    <row r="275018" customFormat="1" x14ac:dyDescent="0.25"/>
    <row r="275019" customFormat="1" x14ac:dyDescent="0.25"/>
    <row r="275020" customFormat="1" x14ac:dyDescent="0.25"/>
    <row r="275021" customFormat="1" x14ac:dyDescent="0.25"/>
    <row r="275022" customFormat="1" x14ac:dyDescent="0.25"/>
    <row r="275023" customFormat="1" x14ac:dyDescent="0.25"/>
    <row r="275024" customFormat="1" x14ac:dyDescent="0.25"/>
    <row r="275025" customFormat="1" x14ac:dyDescent="0.25"/>
    <row r="275026" customFormat="1" x14ac:dyDescent="0.25"/>
    <row r="275027" customFormat="1" x14ac:dyDescent="0.25"/>
    <row r="275028" customFormat="1" x14ac:dyDescent="0.25"/>
    <row r="275029" customFormat="1" x14ac:dyDescent="0.25"/>
    <row r="275030" customFormat="1" x14ac:dyDescent="0.25"/>
    <row r="275031" customFormat="1" x14ac:dyDescent="0.25"/>
    <row r="275032" customFormat="1" x14ac:dyDescent="0.25"/>
    <row r="275033" customFormat="1" x14ac:dyDescent="0.25"/>
    <row r="275034" customFormat="1" x14ac:dyDescent="0.25"/>
    <row r="275035" customFormat="1" x14ac:dyDescent="0.25"/>
    <row r="275036" customFormat="1" x14ac:dyDescent="0.25"/>
    <row r="275037" customFormat="1" x14ac:dyDescent="0.25"/>
    <row r="275038" customFormat="1" x14ac:dyDescent="0.25"/>
    <row r="275039" customFormat="1" x14ac:dyDescent="0.25"/>
    <row r="275040" customFormat="1" x14ac:dyDescent="0.25"/>
    <row r="275041" customFormat="1" x14ac:dyDescent="0.25"/>
    <row r="275042" customFormat="1" x14ac:dyDescent="0.25"/>
    <row r="275043" customFormat="1" x14ac:dyDescent="0.25"/>
    <row r="275044" customFormat="1" x14ac:dyDescent="0.25"/>
    <row r="275045" customFormat="1" x14ac:dyDescent="0.25"/>
    <row r="275046" customFormat="1" x14ac:dyDescent="0.25"/>
    <row r="275047" customFormat="1" x14ac:dyDescent="0.25"/>
    <row r="275048" customFormat="1" x14ac:dyDescent="0.25"/>
    <row r="275049" customFormat="1" x14ac:dyDescent="0.25"/>
    <row r="275050" customFormat="1" x14ac:dyDescent="0.25"/>
    <row r="275051" customFormat="1" x14ac:dyDescent="0.25"/>
    <row r="275052" customFormat="1" x14ac:dyDescent="0.25"/>
    <row r="275053" customFormat="1" x14ac:dyDescent="0.25"/>
    <row r="275054" customFormat="1" x14ac:dyDescent="0.25"/>
    <row r="275055" customFormat="1" x14ac:dyDescent="0.25"/>
    <row r="275056" customFormat="1" x14ac:dyDescent="0.25"/>
    <row r="275057" customFormat="1" x14ac:dyDescent="0.25"/>
    <row r="275058" customFormat="1" x14ac:dyDescent="0.25"/>
    <row r="275059" customFormat="1" x14ac:dyDescent="0.25"/>
    <row r="275060" customFormat="1" x14ac:dyDescent="0.25"/>
    <row r="275061" customFormat="1" x14ac:dyDescent="0.25"/>
    <row r="275062" customFormat="1" x14ac:dyDescent="0.25"/>
    <row r="275063" customFormat="1" x14ac:dyDescent="0.25"/>
    <row r="275064" customFormat="1" x14ac:dyDescent="0.25"/>
    <row r="275065" customFormat="1" x14ac:dyDescent="0.25"/>
    <row r="275066" customFormat="1" x14ac:dyDescent="0.25"/>
    <row r="275067" customFormat="1" x14ac:dyDescent="0.25"/>
    <row r="275068" customFormat="1" x14ac:dyDescent="0.25"/>
    <row r="275069" customFormat="1" x14ac:dyDescent="0.25"/>
    <row r="275070" customFormat="1" x14ac:dyDescent="0.25"/>
    <row r="275071" customFormat="1" x14ac:dyDescent="0.25"/>
    <row r="275072" customFormat="1" x14ac:dyDescent="0.25"/>
    <row r="275073" customFormat="1" x14ac:dyDescent="0.25"/>
    <row r="275074" customFormat="1" x14ac:dyDescent="0.25"/>
    <row r="275075" customFormat="1" x14ac:dyDescent="0.25"/>
    <row r="275076" customFormat="1" x14ac:dyDescent="0.25"/>
    <row r="275077" customFormat="1" x14ac:dyDescent="0.25"/>
    <row r="275078" customFormat="1" x14ac:dyDescent="0.25"/>
    <row r="275079" customFormat="1" x14ac:dyDescent="0.25"/>
    <row r="275080" customFormat="1" x14ac:dyDescent="0.25"/>
    <row r="275081" customFormat="1" x14ac:dyDescent="0.25"/>
    <row r="275082" customFormat="1" x14ac:dyDescent="0.25"/>
    <row r="275083" customFormat="1" x14ac:dyDescent="0.25"/>
    <row r="275084" customFormat="1" x14ac:dyDescent="0.25"/>
    <row r="275085" customFormat="1" x14ac:dyDescent="0.25"/>
    <row r="275086" customFormat="1" x14ac:dyDescent="0.25"/>
    <row r="275087" customFormat="1" x14ac:dyDescent="0.25"/>
    <row r="275088" customFormat="1" x14ac:dyDescent="0.25"/>
    <row r="275089" customFormat="1" x14ac:dyDescent="0.25"/>
    <row r="275090" customFormat="1" x14ac:dyDescent="0.25"/>
    <row r="275091" customFormat="1" x14ac:dyDescent="0.25"/>
    <row r="275092" customFormat="1" x14ac:dyDescent="0.25"/>
    <row r="275093" customFormat="1" x14ac:dyDescent="0.25"/>
    <row r="275094" customFormat="1" x14ac:dyDescent="0.25"/>
    <row r="275095" customFormat="1" x14ac:dyDescent="0.25"/>
    <row r="275096" customFormat="1" x14ac:dyDescent="0.25"/>
    <row r="275097" customFormat="1" x14ac:dyDescent="0.25"/>
    <row r="275098" customFormat="1" x14ac:dyDescent="0.25"/>
    <row r="275099" customFormat="1" x14ac:dyDescent="0.25"/>
    <row r="275100" customFormat="1" x14ac:dyDescent="0.25"/>
    <row r="275101" customFormat="1" x14ac:dyDescent="0.25"/>
    <row r="275102" customFormat="1" x14ac:dyDescent="0.25"/>
    <row r="275103" customFormat="1" x14ac:dyDescent="0.25"/>
    <row r="275104" customFormat="1" x14ac:dyDescent="0.25"/>
    <row r="275105" customFormat="1" x14ac:dyDescent="0.25"/>
    <row r="275106" customFormat="1" x14ac:dyDescent="0.25"/>
    <row r="275107" customFormat="1" x14ac:dyDescent="0.25"/>
    <row r="275108" customFormat="1" x14ac:dyDescent="0.25"/>
    <row r="275109" customFormat="1" x14ac:dyDescent="0.25"/>
    <row r="275110" customFormat="1" x14ac:dyDescent="0.25"/>
    <row r="275111" customFormat="1" x14ac:dyDescent="0.25"/>
    <row r="275112" customFormat="1" x14ac:dyDescent="0.25"/>
    <row r="275113" customFormat="1" x14ac:dyDescent="0.25"/>
    <row r="275114" customFormat="1" x14ac:dyDescent="0.25"/>
    <row r="275115" customFormat="1" x14ac:dyDescent="0.25"/>
    <row r="275116" customFormat="1" x14ac:dyDescent="0.25"/>
    <row r="275117" customFormat="1" x14ac:dyDescent="0.25"/>
    <row r="275118" customFormat="1" x14ac:dyDescent="0.25"/>
    <row r="275119" customFormat="1" x14ac:dyDescent="0.25"/>
    <row r="275120" customFormat="1" x14ac:dyDescent="0.25"/>
    <row r="275121" customFormat="1" x14ac:dyDescent="0.25"/>
    <row r="275122" customFormat="1" x14ac:dyDescent="0.25"/>
    <row r="275123" customFormat="1" x14ac:dyDescent="0.25"/>
    <row r="275124" customFormat="1" x14ac:dyDescent="0.25"/>
    <row r="275125" customFormat="1" x14ac:dyDescent="0.25"/>
    <row r="275126" customFormat="1" x14ac:dyDescent="0.25"/>
    <row r="275127" customFormat="1" x14ac:dyDescent="0.25"/>
    <row r="275128" customFormat="1" x14ac:dyDescent="0.25"/>
    <row r="275129" customFormat="1" x14ac:dyDescent="0.25"/>
    <row r="275130" customFormat="1" x14ac:dyDescent="0.25"/>
    <row r="275131" customFormat="1" x14ac:dyDescent="0.25"/>
    <row r="275132" customFormat="1" x14ac:dyDescent="0.25"/>
    <row r="275133" customFormat="1" x14ac:dyDescent="0.25"/>
    <row r="275134" customFormat="1" x14ac:dyDescent="0.25"/>
    <row r="275135" customFormat="1" x14ac:dyDescent="0.25"/>
    <row r="275136" customFormat="1" x14ac:dyDescent="0.25"/>
    <row r="275137" customFormat="1" x14ac:dyDescent="0.25"/>
    <row r="275138" customFormat="1" x14ac:dyDescent="0.25"/>
    <row r="275139" customFormat="1" x14ac:dyDescent="0.25"/>
    <row r="275140" customFormat="1" x14ac:dyDescent="0.25"/>
    <row r="275141" customFormat="1" x14ac:dyDescent="0.25"/>
    <row r="275142" customFormat="1" x14ac:dyDescent="0.25"/>
    <row r="275143" customFormat="1" x14ac:dyDescent="0.25"/>
    <row r="275144" customFormat="1" x14ac:dyDescent="0.25"/>
    <row r="275145" customFormat="1" x14ac:dyDescent="0.25"/>
    <row r="275146" customFormat="1" x14ac:dyDescent="0.25"/>
    <row r="275147" customFormat="1" x14ac:dyDescent="0.25"/>
    <row r="275148" customFormat="1" x14ac:dyDescent="0.25"/>
    <row r="275149" customFormat="1" x14ac:dyDescent="0.25"/>
    <row r="275150" customFormat="1" x14ac:dyDescent="0.25"/>
    <row r="275151" customFormat="1" x14ac:dyDescent="0.25"/>
    <row r="275152" customFormat="1" x14ac:dyDescent="0.25"/>
    <row r="275153" customFormat="1" x14ac:dyDescent="0.25"/>
    <row r="275154" customFormat="1" x14ac:dyDescent="0.25"/>
    <row r="275155" customFormat="1" x14ac:dyDescent="0.25"/>
    <row r="275156" customFormat="1" x14ac:dyDescent="0.25"/>
    <row r="275157" customFormat="1" x14ac:dyDescent="0.25"/>
    <row r="275158" customFormat="1" x14ac:dyDescent="0.25"/>
    <row r="275159" customFormat="1" x14ac:dyDescent="0.25"/>
    <row r="275160" customFormat="1" x14ac:dyDescent="0.25"/>
    <row r="275161" customFormat="1" x14ac:dyDescent="0.25"/>
    <row r="275162" customFormat="1" x14ac:dyDescent="0.25"/>
    <row r="275163" customFormat="1" x14ac:dyDescent="0.25"/>
    <row r="275164" customFormat="1" x14ac:dyDescent="0.25"/>
    <row r="275165" customFormat="1" x14ac:dyDescent="0.25"/>
    <row r="275166" customFormat="1" x14ac:dyDescent="0.25"/>
    <row r="275167" customFormat="1" x14ac:dyDescent="0.25"/>
    <row r="275168" customFormat="1" x14ac:dyDescent="0.25"/>
    <row r="275169" customFormat="1" x14ac:dyDescent="0.25"/>
    <row r="275170" customFormat="1" x14ac:dyDescent="0.25"/>
    <row r="275171" customFormat="1" x14ac:dyDescent="0.25"/>
    <row r="275172" customFormat="1" x14ac:dyDescent="0.25"/>
    <row r="275173" customFormat="1" x14ac:dyDescent="0.25"/>
    <row r="275174" customFormat="1" x14ac:dyDescent="0.25"/>
    <row r="275175" customFormat="1" x14ac:dyDescent="0.25"/>
    <row r="275176" customFormat="1" x14ac:dyDescent="0.25"/>
    <row r="275177" customFormat="1" x14ac:dyDescent="0.25"/>
    <row r="275178" customFormat="1" x14ac:dyDescent="0.25"/>
    <row r="275179" customFormat="1" x14ac:dyDescent="0.25"/>
    <row r="275180" customFormat="1" x14ac:dyDescent="0.25"/>
    <row r="275181" customFormat="1" x14ac:dyDescent="0.25"/>
    <row r="275182" customFormat="1" x14ac:dyDescent="0.25"/>
    <row r="275183" customFormat="1" x14ac:dyDescent="0.25"/>
    <row r="275184" customFormat="1" x14ac:dyDescent="0.25"/>
    <row r="275185" customFormat="1" x14ac:dyDescent="0.25"/>
    <row r="275186" customFormat="1" x14ac:dyDescent="0.25"/>
    <row r="275187" customFormat="1" x14ac:dyDescent="0.25"/>
    <row r="275188" customFormat="1" x14ac:dyDescent="0.25"/>
    <row r="275189" customFormat="1" x14ac:dyDescent="0.25"/>
    <row r="275190" customFormat="1" x14ac:dyDescent="0.25"/>
    <row r="275191" customFormat="1" x14ac:dyDescent="0.25"/>
    <row r="275192" customFormat="1" x14ac:dyDescent="0.25"/>
    <row r="275193" customFormat="1" x14ac:dyDescent="0.25"/>
    <row r="275194" customFormat="1" x14ac:dyDescent="0.25"/>
    <row r="275195" customFormat="1" x14ac:dyDescent="0.25"/>
    <row r="275196" customFormat="1" x14ac:dyDescent="0.25"/>
    <row r="275197" customFormat="1" x14ac:dyDescent="0.25"/>
    <row r="275198" customFormat="1" x14ac:dyDescent="0.25"/>
    <row r="275199" customFormat="1" x14ac:dyDescent="0.25"/>
    <row r="275200" customFormat="1" x14ac:dyDescent="0.25"/>
    <row r="275201" customFormat="1" x14ac:dyDescent="0.25"/>
    <row r="275202" customFormat="1" x14ac:dyDescent="0.25"/>
    <row r="275203" customFormat="1" x14ac:dyDescent="0.25"/>
    <row r="275204" customFormat="1" x14ac:dyDescent="0.25"/>
    <row r="275205" customFormat="1" x14ac:dyDescent="0.25"/>
    <row r="275206" customFormat="1" x14ac:dyDescent="0.25"/>
    <row r="275207" customFormat="1" x14ac:dyDescent="0.25"/>
    <row r="275208" customFormat="1" x14ac:dyDescent="0.25"/>
    <row r="275209" customFormat="1" x14ac:dyDescent="0.25"/>
    <row r="275210" customFormat="1" x14ac:dyDescent="0.25"/>
    <row r="275211" customFormat="1" x14ac:dyDescent="0.25"/>
    <row r="275212" customFormat="1" x14ac:dyDescent="0.25"/>
    <row r="275213" customFormat="1" x14ac:dyDescent="0.25"/>
    <row r="275214" customFormat="1" x14ac:dyDescent="0.25"/>
    <row r="275215" customFormat="1" x14ac:dyDescent="0.25"/>
    <row r="275216" customFormat="1" x14ac:dyDescent="0.25"/>
    <row r="275217" customFormat="1" x14ac:dyDescent="0.25"/>
    <row r="275218" customFormat="1" x14ac:dyDescent="0.25"/>
    <row r="275219" customFormat="1" x14ac:dyDescent="0.25"/>
    <row r="275220" customFormat="1" x14ac:dyDescent="0.25"/>
    <row r="275221" customFormat="1" x14ac:dyDescent="0.25"/>
    <row r="275222" customFormat="1" x14ac:dyDescent="0.25"/>
    <row r="275223" customFormat="1" x14ac:dyDescent="0.25"/>
    <row r="275224" customFormat="1" x14ac:dyDescent="0.25"/>
    <row r="275225" customFormat="1" x14ac:dyDescent="0.25"/>
    <row r="275226" customFormat="1" x14ac:dyDescent="0.25"/>
    <row r="275227" customFormat="1" x14ac:dyDescent="0.25"/>
    <row r="275228" customFormat="1" x14ac:dyDescent="0.25"/>
    <row r="275229" customFormat="1" x14ac:dyDescent="0.25"/>
    <row r="275230" customFormat="1" x14ac:dyDescent="0.25"/>
    <row r="275231" customFormat="1" x14ac:dyDescent="0.25"/>
    <row r="275232" customFormat="1" x14ac:dyDescent="0.25"/>
    <row r="275233" customFormat="1" x14ac:dyDescent="0.25"/>
    <row r="275234" customFormat="1" x14ac:dyDescent="0.25"/>
    <row r="275235" customFormat="1" x14ac:dyDescent="0.25"/>
    <row r="275236" customFormat="1" x14ac:dyDescent="0.25"/>
    <row r="275237" customFormat="1" x14ac:dyDescent="0.25"/>
    <row r="275238" customFormat="1" x14ac:dyDescent="0.25"/>
    <row r="275239" customFormat="1" x14ac:dyDescent="0.25"/>
    <row r="275240" customFormat="1" x14ac:dyDescent="0.25"/>
    <row r="275241" customFormat="1" x14ac:dyDescent="0.25"/>
    <row r="275242" customFormat="1" x14ac:dyDescent="0.25"/>
    <row r="275243" customFormat="1" x14ac:dyDescent="0.25"/>
    <row r="275244" customFormat="1" x14ac:dyDescent="0.25"/>
    <row r="275245" customFormat="1" x14ac:dyDescent="0.25"/>
    <row r="275246" customFormat="1" x14ac:dyDescent="0.25"/>
    <row r="275247" customFormat="1" x14ac:dyDescent="0.25"/>
    <row r="275248" customFormat="1" x14ac:dyDescent="0.25"/>
    <row r="275249" customFormat="1" x14ac:dyDescent="0.25"/>
    <row r="275250" customFormat="1" x14ac:dyDescent="0.25"/>
    <row r="275251" customFormat="1" x14ac:dyDescent="0.25"/>
    <row r="275252" customFormat="1" x14ac:dyDescent="0.25"/>
    <row r="275253" customFormat="1" x14ac:dyDescent="0.25"/>
    <row r="275254" customFormat="1" x14ac:dyDescent="0.25"/>
    <row r="275255" customFormat="1" x14ac:dyDescent="0.25"/>
    <row r="275256" customFormat="1" x14ac:dyDescent="0.25"/>
    <row r="275257" customFormat="1" x14ac:dyDescent="0.25"/>
    <row r="275258" customFormat="1" x14ac:dyDescent="0.25"/>
    <row r="275259" customFormat="1" x14ac:dyDescent="0.25"/>
    <row r="275260" customFormat="1" x14ac:dyDescent="0.25"/>
    <row r="275261" customFormat="1" x14ac:dyDescent="0.25"/>
    <row r="275262" customFormat="1" x14ac:dyDescent="0.25"/>
    <row r="275263" customFormat="1" x14ac:dyDescent="0.25"/>
    <row r="275264" customFormat="1" x14ac:dyDescent="0.25"/>
    <row r="275265" customFormat="1" x14ac:dyDescent="0.25"/>
    <row r="275266" customFormat="1" x14ac:dyDescent="0.25"/>
    <row r="275267" customFormat="1" x14ac:dyDescent="0.25"/>
    <row r="275268" customFormat="1" x14ac:dyDescent="0.25"/>
    <row r="275269" customFormat="1" x14ac:dyDescent="0.25"/>
    <row r="275270" customFormat="1" x14ac:dyDescent="0.25"/>
    <row r="275271" customFormat="1" x14ac:dyDescent="0.25"/>
    <row r="275272" customFormat="1" x14ac:dyDescent="0.25"/>
    <row r="275273" customFormat="1" x14ac:dyDescent="0.25"/>
    <row r="275274" customFormat="1" x14ac:dyDescent="0.25"/>
    <row r="275275" customFormat="1" x14ac:dyDescent="0.25"/>
    <row r="275276" customFormat="1" x14ac:dyDescent="0.25"/>
    <row r="275277" customFormat="1" x14ac:dyDescent="0.25"/>
    <row r="275278" customFormat="1" x14ac:dyDescent="0.25"/>
    <row r="275279" customFormat="1" x14ac:dyDescent="0.25"/>
    <row r="275280" customFormat="1" x14ac:dyDescent="0.25"/>
    <row r="275281" customFormat="1" x14ac:dyDescent="0.25"/>
    <row r="275282" customFormat="1" x14ac:dyDescent="0.25"/>
    <row r="275283" customFormat="1" x14ac:dyDescent="0.25"/>
    <row r="275284" customFormat="1" x14ac:dyDescent="0.25"/>
    <row r="275285" customFormat="1" x14ac:dyDescent="0.25"/>
    <row r="275286" customFormat="1" x14ac:dyDescent="0.25"/>
    <row r="275287" customFormat="1" x14ac:dyDescent="0.25"/>
    <row r="275288" customFormat="1" x14ac:dyDescent="0.25"/>
    <row r="275289" customFormat="1" x14ac:dyDescent="0.25"/>
    <row r="275290" customFormat="1" x14ac:dyDescent="0.25"/>
    <row r="275291" customFormat="1" x14ac:dyDescent="0.25"/>
    <row r="275292" customFormat="1" x14ac:dyDescent="0.25"/>
    <row r="275293" customFormat="1" x14ac:dyDescent="0.25"/>
    <row r="275294" customFormat="1" x14ac:dyDescent="0.25"/>
    <row r="275295" customFormat="1" x14ac:dyDescent="0.25"/>
    <row r="275296" customFormat="1" x14ac:dyDescent="0.25"/>
    <row r="275297" customFormat="1" x14ac:dyDescent="0.25"/>
    <row r="275298" customFormat="1" x14ac:dyDescent="0.25"/>
    <row r="275299" customFormat="1" x14ac:dyDescent="0.25"/>
    <row r="275300" customFormat="1" x14ac:dyDescent="0.25"/>
    <row r="275301" customFormat="1" x14ac:dyDescent="0.25"/>
    <row r="275302" customFormat="1" x14ac:dyDescent="0.25"/>
    <row r="275303" customFormat="1" x14ac:dyDescent="0.25"/>
    <row r="275304" customFormat="1" x14ac:dyDescent="0.25"/>
    <row r="275305" customFormat="1" x14ac:dyDescent="0.25"/>
    <row r="275306" customFormat="1" x14ac:dyDescent="0.25"/>
    <row r="275307" customFormat="1" x14ac:dyDescent="0.25"/>
    <row r="275308" customFormat="1" x14ac:dyDescent="0.25"/>
    <row r="275309" customFormat="1" x14ac:dyDescent="0.25"/>
    <row r="275310" customFormat="1" x14ac:dyDescent="0.25"/>
    <row r="275311" customFormat="1" x14ac:dyDescent="0.25"/>
    <row r="275312" customFormat="1" x14ac:dyDescent="0.25"/>
    <row r="275313" customFormat="1" x14ac:dyDescent="0.25"/>
    <row r="275314" customFormat="1" x14ac:dyDescent="0.25"/>
    <row r="275315" customFormat="1" x14ac:dyDescent="0.25"/>
    <row r="275316" customFormat="1" x14ac:dyDescent="0.25"/>
    <row r="275317" customFormat="1" x14ac:dyDescent="0.25"/>
    <row r="275318" customFormat="1" x14ac:dyDescent="0.25"/>
    <row r="275319" customFormat="1" x14ac:dyDescent="0.25"/>
    <row r="275320" customFormat="1" x14ac:dyDescent="0.25"/>
    <row r="275321" customFormat="1" x14ac:dyDescent="0.25"/>
    <row r="275322" customFormat="1" x14ac:dyDescent="0.25"/>
    <row r="275323" customFormat="1" x14ac:dyDescent="0.25"/>
    <row r="275324" customFormat="1" x14ac:dyDescent="0.25"/>
    <row r="275325" customFormat="1" x14ac:dyDescent="0.25"/>
    <row r="275326" customFormat="1" x14ac:dyDescent="0.25"/>
    <row r="275327" customFormat="1" x14ac:dyDescent="0.25"/>
    <row r="275328" customFormat="1" x14ac:dyDescent="0.25"/>
    <row r="275329" customFormat="1" x14ac:dyDescent="0.25"/>
    <row r="275330" customFormat="1" x14ac:dyDescent="0.25"/>
    <row r="275331" customFormat="1" x14ac:dyDescent="0.25"/>
    <row r="275332" customFormat="1" x14ac:dyDescent="0.25"/>
    <row r="275333" customFormat="1" x14ac:dyDescent="0.25"/>
    <row r="275334" customFormat="1" x14ac:dyDescent="0.25"/>
    <row r="275335" customFormat="1" x14ac:dyDescent="0.25"/>
    <row r="275336" customFormat="1" x14ac:dyDescent="0.25"/>
    <row r="275337" customFormat="1" x14ac:dyDescent="0.25"/>
    <row r="275338" customFormat="1" x14ac:dyDescent="0.25"/>
    <row r="275339" customFormat="1" x14ac:dyDescent="0.25"/>
    <row r="275340" customFormat="1" x14ac:dyDescent="0.25"/>
    <row r="275341" customFormat="1" x14ac:dyDescent="0.25"/>
    <row r="275342" customFormat="1" x14ac:dyDescent="0.25"/>
    <row r="275343" customFormat="1" x14ac:dyDescent="0.25"/>
    <row r="275344" customFormat="1" x14ac:dyDescent="0.25"/>
    <row r="275345" customFormat="1" x14ac:dyDescent="0.25"/>
    <row r="275346" customFormat="1" x14ac:dyDescent="0.25"/>
    <row r="275347" customFormat="1" x14ac:dyDescent="0.25"/>
    <row r="275348" customFormat="1" x14ac:dyDescent="0.25"/>
    <row r="275349" customFormat="1" x14ac:dyDescent="0.25"/>
    <row r="275350" customFormat="1" x14ac:dyDescent="0.25"/>
    <row r="275351" customFormat="1" x14ac:dyDescent="0.25"/>
    <row r="275352" customFormat="1" x14ac:dyDescent="0.25"/>
    <row r="275353" customFormat="1" x14ac:dyDescent="0.25"/>
    <row r="275354" customFormat="1" x14ac:dyDescent="0.25"/>
    <row r="275355" customFormat="1" x14ac:dyDescent="0.25"/>
    <row r="275356" customFormat="1" x14ac:dyDescent="0.25"/>
    <row r="275357" customFormat="1" x14ac:dyDescent="0.25"/>
    <row r="275358" customFormat="1" x14ac:dyDescent="0.25"/>
    <row r="275359" customFormat="1" x14ac:dyDescent="0.25"/>
    <row r="275360" customFormat="1" x14ac:dyDescent="0.25"/>
    <row r="275361" customFormat="1" x14ac:dyDescent="0.25"/>
    <row r="275362" customFormat="1" x14ac:dyDescent="0.25"/>
    <row r="275363" customFormat="1" x14ac:dyDescent="0.25"/>
    <row r="275364" customFormat="1" x14ac:dyDescent="0.25"/>
    <row r="275365" customFormat="1" x14ac:dyDescent="0.25"/>
    <row r="275366" customFormat="1" x14ac:dyDescent="0.25"/>
    <row r="275367" customFormat="1" x14ac:dyDescent="0.25"/>
    <row r="275368" customFormat="1" x14ac:dyDescent="0.25"/>
    <row r="275369" customFormat="1" x14ac:dyDescent="0.25"/>
    <row r="275370" customFormat="1" x14ac:dyDescent="0.25"/>
    <row r="275371" customFormat="1" x14ac:dyDescent="0.25"/>
    <row r="275372" customFormat="1" x14ac:dyDescent="0.25"/>
    <row r="275373" customFormat="1" x14ac:dyDescent="0.25"/>
    <row r="275374" customFormat="1" x14ac:dyDescent="0.25"/>
    <row r="275375" customFormat="1" x14ac:dyDescent="0.25"/>
    <row r="275376" customFormat="1" x14ac:dyDescent="0.25"/>
    <row r="275377" customFormat="1" x14ac:dyDescent="0.25"/>
    <row r="275378" customFormat="1" x14ac:dyDescent="0.25"/>
    <row r="275379" customFormat="1" x14ac:dyDescent="0.25"/>
    <row r="275380" customFormat="1" x14ac:dyDescent="0.25"/>
    <row r="275381" customFormat="1" x14ac:dyDescent="0.25"/>
    <row r="275382" customFormat="1" x14ac:dyDescent="0.25"/>
    <row r="275383" customFormat="1" x14ac:dyDescent="0.25"/>
    <row r="275384" customFormat="1" x14ac:dyDescent="0.25"/>
    <row r="275385" customFormat="1" x14ac:dyDescent="0.25"/>
    <row r="275386" customFormat="1" x14ac:dyDescent="0.25"/>
    <row r="275387" customFormat="1" x14ac:dyDescent="0.25"/>
    <row r="275388" customFormat="1" x14ac:dyDescent="0.25"/>
    <row r="275389" customFormat="1" x14ac:dyDescent="0.25"/>
    <row r="275390" customFormat="1" x14ac:dyDescent="0.25"/>
    <row r="275391" customFormat="1" x14ac:dyDescent="0.25"/>
    <row r="275392" customFormat="1" x14ac:dyDescent="0.25"/>
    <row r="275393" customFormat="1" x14ac:dyDescent="0.25"/>
    <row r="275394" customFormat="1" x14ac:dyDescent="0.25"/>
    <row r="275395" customFormat="1" x14ac:dyDescent="0.25"/>
    <row r="275396" customFormat="1" x14ac:dyDescent="0.25"/>
    <row r="275397" customFormat="1" x14ac:dyDescent="0.25"/>
    <row r="275398" customFormat="1" x14ac:dyDescent="0.25"/>
    <row r="275399" customFormat="1" x14ac:dyDescent="0.25"/>
    <row r="275400" customFormat="1" x14ac:dyDescent="0.25"/>
    <row r="275401" customFormat="1" x14ac:dyDescent="0.25"/>
    <row r="275402" customFormat="1" x14ac:dyDescent="0.25"/>
    <row r="275403" customFormat="1" x14ac:dyDescent="0.25"/>
    <row r="275404" customFormat="1" x14ac:dyDescent="0.25"/>
    <row r="275405" customFormat="1" x14ac:dyDescent="0.25"/>
    <row r="275406" customFormat="1" x14ac:dyDescent="0.25"/>
    <row r="275407" customFormat="1" x14ac:dyDescent="0.25"/>
    <row r="275408" customFormat="1" x14ac:dyDescent="0.25"/>
    <row r="275409" customFormat="1" x14ac:dyDescent="0.25"/>
    <row r="275410" customFormat="1" x14ac:dyDescent="0.25"/>
    <row r="275411" customFormat="1" x14ac:dyDescent="0.25"/>
    <row r="275412" customFormat="1" x14ac:dyDescent="0.25"/>
    <row r="275413" customFormat="1" x14ac:dyDescent="0.25"/>
    <row r="275414" customFormat="1" x14ac:dyDescent="0.25"/>
    <row r="275415" customFormat="1" x14ac:dyDescent="0.25"/>
    <row r="275416" customFormat="1" x14ac:dyDescent="0.25"/>
    <row r="275417" customFormat="1" x14ac:dyDescent="0.25"/>
    <row r="275418" customFormat="1" x14ac:dyDescent="0.25"/>
    <row r="275419" customFormat="1" x14ac:dyDescent="0.25"/>
    <row r="275420" customFormat="1" x14ac:dyDescent="0.25"/>
    <row r="275421" customFormat="1" x14ac:dyDescent="0.25"/>
    <row r="275422" customFormat="1" x14ac:dyDescent="0.25"/>
    <row r="275423" customFormat="1" x14ac:dyDescent="0.25"/>
    <row r="275424" customFormat="1" x14ac:dyDescent="0.25"/>
    <row r="275425" customFormat="1" x14ac:dyDescent="0.25"/>
    <row r="275426" customFormat="1" x14ac:dyDescent="0.25"/>
    <row r="275427" customFormat="1" x14ac:dyDescent="0.25"/>
    <row r="275428" customFormat="1" x14ac:dyDescent="0.25"/>
    <row r="275429" customFormat="1" x14ac:dyDescent="0.25"/>
    <row r="275430" customFormat="1" x14ac:dyDescent="0.25"/>
    <row r="275431" customFormat="1" x14ac:dyDescent="0.25"/>
    <row r="275432" customFormat="1" x14ac:dyDescent="0.25"/>
    <row r="275433" customFormat="1" x14ac:dyDescent="0.25"/>
    <row r="275434" customFormat="1" x14ac:dyDescent="0.25"/>
    <row r="275435" customFormat="1" x14ac:dyDescent="0.25"/>
    <row r="275436" customFormat="1" x14ac:dyDescent="0.25"/>
    <row r="275437" customFormat="1" x14ac:dyDescent="0.25"/>
    <row r="275438" customFormat="1" x14ac:dyDescent="0.25"/>
    <row r="275439" customFormat="1" x14ac:dyDescent="0.25"/>
    <row r="275440" customFormat="1" x14ac:dyDescent="0.25"/>
    <row r="275441" customFormat="1" x14ac:dyDescent="0.25"/>
    <row r="275442" customFormat="1" x14ac:dyDescent="0.25"/>
    <row r="275443" customFormat="1" x14ac:dyDescent="0.25"/>
    <row r="275444" customFormat="1" x14ac:dyDescent="0.25"/>
    <row r="275445" customFormat="1" x14ac:dyDescent="0.25"/>
    <row r="275446" customFormat="1" x14ac:dyDescent="0.25"/>
    <row r="275447" customFormat="1" x14ac:dyDescent="0.25"/>
    <row r="275448" customFormat="1" x14ac:dyDescent="0.25"/>
    <row r="275449" customFormat="1" x14ac:dyDescent="0.25"/>
    <row r="275450" customFormat="1" x14ac:dyDescent="0.25"/>
    <row r="275451" customFormat="1" x14ac:dyDescent="0.25"/>
    <row r="275452" customFormat="1" x14ac:dyDescent="0.25"/>
    <row r="275453" customFormat="1" x14ac:dyDescent="0.25"/>
    <row r="275454" customFormat="1" x14ac:dyDescent="0.25"/>
    <row r="275455" customFormat="1" x14ac:dyDescent="0.25"/>
    <row r="275456" customFormat="1" x14ac:dyDescent="0.25"/>
    <row r="275457" customFormat="1" x14ac:dyDescent="0.25"/>
    <row r="275458" customFormat="1" x14ac:dyDescent="0.25"/>
    <row r="275459" customFormat="1" x14ac:dyDescent="0.25"/>
    <row r="275460" customFormat="1" x14ac:dyDescent="0.25"/>
    <row r="275461" customFormat="1" x14ac:dyDescent="0.25"/>
    <row r="275462" customFormat="1" x14ac:dyDescent="0.25"/>
    <row r="275463" customFormat="1" x14ac:dyDescent="0.25"/>
    <row r="275464" customFormat="1" x14ac:dyDescent="0.25"/>
    <row r="275465" customFormat="1" x14ac:dyDescent="0.25"/>
    <row r="275466" customFormat="1" x14ac:dyDescent="0.25"/>
    <row r="275467" customFormat="1" x14ac:dyDescent="0.25"/>
    <row r="275468" customFormat="1" x14ac:dyDescent="0.25"/>
    <row r="275469" customFormat="1" x14ac:dyDescent="0.25"/>
    <row r="275470" customFormat="1" x14ac:dyDescent="0.25"/>
    <row r="275471" customFormat="1" x14ac:dyDescent="0.25"/>
    <row r="275472" customFormat="1" x14ac:dyDescent="0.25"/>
    <row r="275473" customFormat="1" x14ac:dyDescent="0.25"/>
    <row r="275474" customFormat="1" x14ac:dyDescent="0.25"/>
    <row r="275475" customFormat="1" x14ac:dyDescent="0.25"/>
    <row r="275476" customFormat="1" x14ac:dyDescent="0.25"/>
    <row r="275477" customFormat="1" x14ac:dyDescent="0.25"/>
    <row r="275478" customFormat="1" x14ac:dyDescent="0.25"/>
    <row r="275479" customFormat="1" x14ac:dyDescent="0.25"/>
    <row r="275480" customFormat="1" x14ac:dyDescent="0.25"/>
    <row r="275481" customFormat="1" x14ac:dyDescent="0.25"/>
    <row r="275482" customFormat="1" x14ac:dyDescent="0.25"/>
    <row r="275483" customFormat="1" x14ac:dyDescent="0.25"/>
    <row r="275484" customFormat="1" x14ac:dyDescent="0.25"/>
    <row r="275485" customFormat="1" x14ac:dyDescent="0.25"/>
    <row r="275486" customFormat="1" x14ac:dyDescent="0.25"/>
    <row r="275487" customFormat="1" x14ac:dyDescent="0.25"/>
    <row r="275488" customFormat="1" x14ac:dyDescent="0.25"/>
    <row r="275489" customFormat="1" x14ac:dyDescent="0.25"/>
    <row r="275490" customFormat="1" x14ac:dyDescent="0.25"/>
    <row r="275491" customFormat="1" x14ac:dyDescent="0.25"/>
    <row r="275492" customFormat="1" x14ac:dyDescent="0.25"/>
    <row r="275493" customFormat="1" x14ac:dyDescent="0.25"/>
    <row r="275494" customFormat="1" x14ac:dyDescent="0.25"/>
    <row r="275495" customFormat="1" x14ac:dyDescent="0.25"/>
    <row r="275496" customFormat="1" x14ac:dyDescent="0.25"/>
    <row r="275497" customFormat="1" x14ac:dyDescent="0.25"/>
    <row r="275498" customFormat="1" x14ac:dyDescent="0.25"/>
    <row r="275499" customFormat="1" x14ac:dyDescent="0.25"/>
    <row r="275500" customFormat="1" x14ac:dyDescent="0.25"/>
    <row r="275501" customFormat="1" x14ac:dyDescent="0.25"/>
    <row r="275502" customFormat="1" x14ac:dyDescent="0.25"/>
    <row r="275503" customFormat="1" x14ac:dyDescent="0.25"/>
    <row r="275504" customFormat="1" x14ac:dyDescent="0.25"/>
    <row r="275505" customFormat="1" x14ac:dyDescent="0.25"/>
    <row r="275506" customFormat="1" x14ac:dyDescent="0.25"/>
    <row r="275507" customFormat="1" x14ac:dyDescent="0.25"/>
    <row r="275508" customFormat="1" x14ac:dyDescent="0.25"/>
    <row r="275509" customFormat="1" x14ac:dyDescent="0.25"/>
    <row r="275510" customFormat="1" x14ac:dyDescent="0.25"/>
    <row r="275511" customFormat="1" x14ac:dyDescent="0.25"/>
    <row r="275512" customFormat="1" x14ac:dyDescent="0.25"/>
    <row r="275513" customFormat="1" x14ac:dyDescent="0.25"/>
    <row r="275514" customFormat="1" x14ac:dyDescent="0.25"/>
    <row r="275515" customFormat="1" x14ac:dyDescent="0.25"/>
    <row r="275516" customFormat="1" x14ac:dyDescent="0.25"/>
    <row r="275517" customFormat="1" x14ac:dyDescent="0.25"/>
    <row r="275518" customFormat="1" x14ac:dyDescent="0.25"/>
    <row r="275519" customFormat="1" x14ac:dyDescent="0.25"/>
    <row r="275520" customFormat="1" x14ac:dyDescent="0.25"/>
    <row r="275521" customFormat="1" x14ac:dyDescent="0.25"/>
    <row r="275522" customFormat="1" x14ac:dyDescent="0.25"/>
    <row r="275523" customFormat="1" x14ac:dyDescent="0.25"/>
    <row r="275524" customFormat="1" x14ac:dyDescent="0.25"/>
    <row r="275525" customFormat="1" x14ac:dyDescent="0.25"/>
    <row r="275526" customFormat="1" x14ac:dyDescent="0.25"/>
    <row r="275527" customFormat="1" x14ac:dyDescent="0.25"/>
    <row r="275528" customFormat="1" x14ac:dyDescent="0.25"/>
    <row r="275529" customFormat="1" x14ac:dyDescent="0.25"/>
    <row r="275530" customFormat="1" x14ac:dyDescent="0.25"/>
    <row r="275531" customFormat="1" x14ac:dyDescent="0.25"/>
    <row r="275532" customFormat="1" x14ac:dyDescent="0.25"/>
    <row r="275533" customFormat="1" x14ac:dyDescent="0.25"/>
    <row r="275534" customFormat="1" x14ac:dyDescent="0.25"/>
    <row r="275535" customFormat="1" x14ac:dyDescent="0.25"/>
    <row r="275536" customFormat="1" x14ac:dyDescent="0.25"/>
    <row r="275537" customFormat="1" x14ac:dyDescent="0.25"/>
    <row r="275538" customFormat="1" x14ac:dyDescent="0.25"/>
    <row r="275539" customFormat="1" x14ac:dyDescent="0.25"/>
    <row r="275540" customFormat="1" x14ac:dyDescent="0.25"/>
    <row r="275541" customFormat="1" x14ac:dyDescent="0.25"/>
    <row r="275542" customFormat="1" x14ac:dyDescent="0.25"/>
    <row r="275543" customFormat="1" x14ac:dyDescent="0.25"/>
    <row r="275544" customFormat="1" x14ac:dyDescent="0.25"/>
    <row r="275545" customFormat="1" x14ac:dyDescent="0.25"/>
    <row r="275546" customFormat="1" x14ac:dyDescent="0.25"/>
    <row r="275547" customFormat="1" x14ac:dyDescent="0.25"/>
    <row r="275548" customFormat="1" x14ac:dyDescent="0.25"/>
    <row r="275549" customFormat="1" x14ac:dyDescent="0.25"/>
    <row r="275550" customFormat="1" x14ac:dyDescent="0.25"/>
    <row r="275551" customFormat="1" x14ac:dyDescent="0.25"/>
    <row r="275552" customFormat="1" x14ac:dyDescent="0.25"/>
    <row r="275553" customFormat="1" x14ac:dyDescent="0.25"/>
    <row r="275554" customFormat="1" x14ac:dyDescent="0.25"/>
    <row r="275555" customFormat="1" x14ac:dyDescent="0.25"/>
    <row r="275556" customFormat="1" x14ac:dyDescent="0.25"/>
    <row r="275557" customFormat="1" x14ac:dyDescent="0.25"/>
    <row r="275558" customFormat="1" x14ac:dyDescent="0.25"/>
    <row r="275559" customFormat="1" x14ac:dyDescent="0.25"/>
    <row r="275560" customFormat="1" x14ac:dyDescent="0.25"/>
    <row r="275561" customFormat="1" x14ac:dyDescent="0.25"/>
    <row r="275562" customFormat="1" x14ac:dyDescent="0.25"/>
    <row r="275563" customFormat="1" x14ac:dyDescent="0.25"/>
    <row r="275564" customFormat="1" x14ac:dyDescent="0.25"/>
    <row r="275565" customFormat="1" x14ac:dyDescent="0.25"/>
    <row r="275566" customFormat="1" x14ac:dyDescent="0.25"/>
    <row r="275567" customFormat="1" x14ac:dyDescent="0.25"/>
    <row r="275568" customFormat="1" x14ac:dyDescent="0.25"/>
    <row r="275569" customFormat="1" x14ac:dyDescent="0.25"/>
    <row r="275570" customFormat="1" x14ac:dyDescent="0.25"/>
    <row r="275571" customFormat="1" x14ac:dyDescent="0.25"/>
    <row r="275572" customFormat="1" x14ac:dyDescent="0.25"/>
    <row r="275573" customFormat="1" x14ac:dyDescent="0.25"/>
    <row r="275574" customFormat="1" x14ac:dyDescent="0.25"/>
    <row r="275575" customFormat="1" x14ac:dyDescent="0.25"/>
    <row r="275576" customFormat="1" x14ac:dyDescent="0.25"/>
    <row r="275577" customFormat="1" x14ac:dyDescent="0.25"/>
    <row r="275578" customFormat="1" x14ac:dyDescent="0.25"/>
    <row r="275579" customFormat="1" x14ac:dyDescent="0.25"/>
    <row r="275580" customFormat="1" x14ac:dyDescent="0.25"/>
    <row r="275581" customFormat="1" x14ac:dyDescent="0.25"/>
    <row r="275582" customFormat="1" x14ac:dyDescent="0.25"/>
    <row r="275583" customFormat="1" x14ac:dyDescent="0.25"/>
    <row r="275584" customFormat="1" x14ac:dyDescent="0.25"/>
    <row r="275585" customFormat="1" x14ac:dyDescent="0.25"/>
    <row r="275586" customFormat="1" x14ac:dyDescent="0.25"/>
    <row r="275587" customFormat="1" x14ac:dyDescent="0.25"/>
    <row r="275588" customFormat="1" x14ac:dyDescent="0.25"/>
    <row r="275589" customFormat="1" x14ac:dyDescent="0.25"/>
    <row r="275590" customFormat="1" x14ac:dyDescent="0.25"/>
    <row r="275591" customFormat="1" x14ac:dyDescent="0.25"/>
    <row r="275592" customFormat="1" x14ac:dyDescent="0.25"/>
    <row r="275593" customFormat="1" x14ac:dyDescent="0.25"/>
    <row r="275594" customFormat="1" x14ac:dyDescent="0.25"/>
    <row r="275595" customFormat="1" x14ac:dyDescent="0.25"/>
    <row r="275596" customFormat="1" x14ac:dyDescent="0.25"/>
    <row r="275597" customFormat="1" x14ac:dyDescent="0.25"/>
    <row r="275598" customFormat="1" x14ac:dyDescent="0.25"/>
    <row r="275599" customFormat="1" x14ac:dyDescent="0.25"/>
    <row r="275600" customFormat="1" x14ac:dyDescent="0.25"/>
    <row r="275601" customFormat="1" x14ac:dyDescent="0.25"/>
    <row r="275602" customFormat="1" x14ac:dyDescent="0.25"/>
    <row r="275603" customFormat="1" x14ac:dyDescent="0.25"/>
    <row r="275604" customFormat="1" x14ac:dyDescent="0.25"/>
    <row r="275605" customFormat="1" x14ac:dyDescent="0.25"/>
    <row r="275606" customFormat="1" x14ac:dyDescent="0.25"/>
    <row r="275607" customFormat="1" x14ac:dyDescent="0.25"/>
    <row r="275608" customFormat="1" x14ac:dyDescent="0.25"/>
    <row r="275609" customFormat="1" x14ac:dyDescent="0.25"/>
    <row r="275610" customFormat="1" x14ac:dyDescent="0.25"/>
    <row r="275611" customFormat="1" x14ac:dyDescent="0.25"/>
    <row r="275612" customFormat="1" x14ac:dyDescent="0.25"/>
    <row r="275613" customFormat="1" x14ac:dyDescent="0.25"/>
    <row r="275614" customFormat="1" x14ac:dyDescent="0.25"/>
    <row r="275615" customFormat="1" x14ac:dyDescent="0.25"/>
    <row r="275616" customFormat="1" x14ac:dyDescent="0.25"/>
    <row r="275617" customFormat="1" x14ac:dyDescent="0.25"/>
    <row r="275618" customFormat="1" x14ac:dyDescent="0.25"/>
    <row r="275619" customFormat="1" x14ac:dyDescent="0.25"/>
    <row r="275620" customFormat="1" x14ac:dyDescent="0.25"/>
    <row r="275621" customFormat="1" x14ac:dyDescent="0.25"/>
    <row r="275622" customFormat="1" x14ac:dyDescent="0.25"/>
    <row r="275623" customFormat="1" x14ac:dyDescent="0.25"/>
    <row r="275624" customFormat="1" x14ac:dyDescent="0.25"/>
    <row r="275625" customFormat="1" x14ac:dyDescent="0.25"/>
    <row r="275626" customFormat="1" x14ac:dyDescent="0.25"/>
    <row r="275627" customFormat="1" x14ac:dyDescent="0.25"/>
    <row r="275628" customFormat="1" x14ac:dyDescent="0.25"/>
    <row r="275629" customFormat="1" x14ac:dyDescent="0.25"/>
    <row r="275630" customFormat="1" x14ac:dyDescent="0.25"/>
    <row r="275631" customFormat="1" x14ac:dyDescent="0.25"/>
    <row r="275632" customFormat="1" x14ac:dyDescent="0.25"/>
    <row r="275633" customFormat="1" x14ac:dyDescent="0.25"/>
    <row r="275634" customFormat="1" x14ac:dyDescent="0.25"/>
    <row r="275635" customFormat="1" x14ac:dyDescent="0.25"/>
    <row r="275636" customFormat="1" x14ac:dyDescent="0.25"/>
    <row r="275637" customFormat="1" x14ac:dyDescent="0.25"/>
    <row r="275638" customFormat="1" x14ac:dyDescent="0.25"/>
    <row r="275639" customFormat="1" x14ac:dyDescent="0.25"/>
    <row r="275640" customFormat="1" x14ac:dyDescent="0.25"/>
    <row r="275641" customFormat="1" x14ac:dyDescent="0.25"/>
    <row r="275642" customFormat="1" x14ac:dyDescent="0.25"/>
    <row r="275643" customFormat="1" x14ac:dyDescent="0.25"/>
    <row r="275644" customFormat="1" x14ac:dyDescent="0.25"/>
    <row r="275645" customFormat="1" x14ac:dyDescent="0.25"/>
    <row r="275646" customFormat="1" x14ac:dyDescent="0.25"/>
    <row r="275647" customFormat="1" x14ac:dyDescent="0.25"/>
    <row r="275648" customFormat="1" x14ac:dyDescent="0.25"/>
    <row r="275649" customFormat="1" x14ac:dyDescent="0.25"/>
    <row r="275650" customFormat="1" x14ac:dyDescent="0.25"/>
    <row r="275651" customFormat="1" x14ac:dyDescent="0.25"/>
    <row r="275652" customFormat="1" x14ac:dyDescent="0.25"/>
    <row r="275653" customFormat="1" x14ac:dyDescent="0.25"/>
    <row r="275654" customFormat="1" x14ac:dyDescent="0.25"/>
    <row r="275655" customFormat="1" x14ac:dyDescent="0.25"/>
    <row r="275656" customFormat="1" x14ac:dyDescent="0.25"/>
    <row r="275657" customFormat="1" x14ac:dyDescent="0.25"/>
    <row r="275658" customFormat="1" x14ac:dyDescent="0.25"/>
    <row r="275659" customFormat="1" x14ac:dyDescent="0.25"/>
    <row r="275660" customFormat="1" x14ac:dyDescent="0.25"/>
    <row r="275661" customFormat="1" x14ac:dyDescent="0.25"/>
    <row r="275662" customFormat="1" x14ac:dyDescent="0.25"/>
    <row r="275663" customFormat="1" x14ac:dyDescent="0.25"/>
    <row r="275664" customFormat="1" x14ac:dyDescent="0.25"/>
    <row r="275665" customFormat="1" x14ac:dyDescent="0.25"/>
    <row r="275666" customFormat="1" x14ac:dyDescent="0.25"/>
    <row r="275667" customFormat="1" x14ac:dyDescent="0.25"/>
    <row r="275668" customFormat="1" x14ac:dyDescent="0.25"/>
    <row r="275669" customFormat="1" x14ac:dyDescent="0.25"/>
    <row r="275670" customFormat="1" x14ac:dyDescent="0.25"/>
    <row r="275671" customFormat="1" x14ac:dyDescent="0.25"/>
    <row r="275672" customFormat="1" x14ac:dyDescent="0.25"/>
    <row r="275673" customFormat="1" x14ac:dyDescent="0.25"/>
    <row r="275674" customFormat="1" x14ac:dyDescent="0.25"/>
    <row r="275675" customFormat="1" x14ac:dyDescent="0.25"/>
    <row r="275676" customFormat="1" x14ac:dyDescent="0.25"/>
    <row r="275677" customFormat="1" x14ac:dyDescent="0.25"/>
    <row r="275678" customFormat="1" x14ac:dyDescent="0.25"/>
    <row r="275679" customFormat="1" x14ac:dyDescent="0.25"/>
    <row r="275680" customFormat="1" x14ac:dyDescent="0.25"/>
    <row r="275681" customFormat="1" x14ac:dyDescent="0.25"/>
    <row r="275682" customFormat="1" x14ac:dyDescent="0.25"/>
    <row r="275683" customFormat="1" x14ac:dyDescent="0.25"/>
    <row r="275684" customFormat="1" x14ac:dyDescent="0.25"/>
    <row r="275685" customFormat="1" x14ac:dyDescent="0.25"/>
    <row r="275686" customFormat="1" x14ac:dyDescent="0.25"/>
    <row r="275687" customFormat="1" x14ac:dyDescent="0.25"/>
    <row r="275688" customFormat="1" x14ac:dyDescent="0.25"/>
    <row r="275689" customFormat="1" x14ac:dyDescent="0.25"/>
    <row r="275690" customFormat="1" x14ac:dyDescent="0.25"/>
    <row r="275691" customFormat="1" x14ac:dyDescent="0.25"/>
    <row r="275692" customFormat="1" x14ac:dyDescent="0.25"/>
    <row r="275693" customFormat="1" x14ac:dyDescent="0.25"/>
    <row r="275694" customFormat="1" x14ac:dyDescent="0.25"/>
    <row r="275695" customFormat="1" x14ac:dyDescent="0.25"/>
    <row r="275696" customFormat="1" x14ac:dyDescent="0.25"/>
    <row r="275697" customFormat="1" x14ac:dyDescent="0.25"/>
    <row r="275698" customFormat="1" x14ac:dyDescent="0.25"/>
    <row r="275699" customFormat="1" x14ac:dyDescent="0.25"/>
    <row r="275700" customFormat="1" x14ac:dyDescent="0.25"/>
    <row r="275701" customFormat="1" x14ac:dyDescent="0.25"/>
    <row r="275702" customFormat="1" x14ac:dyDescent="0.25"/>
    <row r="275703" customFormat="1" x14ac:dyDescent="0.25"/>
    <row r="275704" customFormat="1" x14ac:dyDescent="0.25"/>
    <row r="275705" customFormat="1" x14ac:dyDescent="0.25"/>
    <row r="275706" customFormat="1" x14ac:dyDescent="0.25"/>
    <row r="275707" customFormat="1" x14ac:dyDescent="0.25"/>
    <row r="275708" customFormat="1" x14ac:dyDescent="0.25"/>
    <row r="275709" customFormat="1" x14ac:dyDescent="0.25"/>
    <row r="275710" customFormat="1" x14ac:dyDescent="0.25"/>
    <row r="275711" customFormat="1" x14ac:dyDescent="0.25"/>
    <row r="275712" customFormat="1" x14ac:dyDescent="0.25"/>
    <row r="275713" customFormat="1" x14ac:dyDescent="0.25"/>
    <row r="275714" customFormat="1" x14ac:dyDescent="0.25"/>
    <row r="275715" customFormat="1" x14ac:dyDescent="0.25"/>
    <row r="275716" customFormat="1" x14ac:dyDescent="0.25"/>
    <row r="275717" customFormat="1" x14ac:dyDescent="0.25"/>
    <row r="275718" customFormat="1" x14ac:dyDescent="0.25"/>
    <row r="275719" customFormat="1" x14ac:dyDescent="0.25"/>
    <row r="275720" customFormat="1" x14ac:dyDescent="0.25"/>
    <row r="275721" customFormat="1" x14ac:dyDescent="0.25"/>
    <row r="275722" customFormat="1" x14ac:dyDescent="0.25"/>
    <row r="275723" customFormat="1" x14ac:dyDescent="0.25"/>
    <row r="275724" customFormat="1" x14ac:dyDescent="0.25"/>
    <row r="275725" customFormat="1" x14ac:dyDescent="0.25"/>
    <row r="275726" customFormat="1" x14ac:dyDescent="0.25"/>
    <row r="275727" customFormat="1" x14ac:dyDescent="0.25"/>
    <row r="275728" customFormat="1" x14ac:dyDescent="0.25"/>
    <row r="275729" customFormat="1" x14ac:dyDescent="0.25"/>
    <row r="275730" customFormat="1" x14ac:dyDescent="0.25"/>
    <row r="275731" customFormat="1" x14ac:dyDescent="0.25"/>
    <row r="275732" customFormat="1" x14ac:dyDescent="0.25"/>
    <row r="275733" customFormat="1" x14ac:dyDescent="0.25"/>
    <row r="275734" customFormat="1" x14ac:dyDescent="0.25"/>
    <row r="275735" customFormat="1" x14ac:dyDescent="0.25"/>
    <row r="275736" customFormat="1" x14ac:dyDescent="0.25"/>
    <row r="275737" customFormat="1" x14ac:dyDescent="0.25"/>
    <row r="275738" customFormat="1" x14ac:dyDescent="0.25"/>
    <row r="275739" customFormat="1" x14ac:dyDescent="0.25"/>
    <row r="275740" customFormat="1" x14ac:dyDescent="0.25"/>
    <row r="275741" customFormat="1" x14ac:dyDescent="0.25"/>
    <row r="275742" customFormat="1" x14ac:dyDescent="0.25"/>
    <row r="275743" customFormat="1" x14ac:dyDescent="0.25"/>
    <row r="275744" customFormat="1" x14ac:dyDescent="0.25"/>
    <row r="275745" customFormat="1" x14ac:dyDescent="0.25"/>
    <row r="275746" customFormat="1" x14ac:dyDescent="0.25"/>
    <row r="275747" customFormat="1" x14ac:dyDescent="0.25"/>
    <row r="275748" customFormat="1" x14ac:dyDescent="0.25"/>
    <row r="275749" customFormat="1" x14ac:dyDescent="0.25"/>
    <row r="275750" customFormat="1" x14ac:dyDescent="0.25"/>
    <row r="275751" customFormat="1" x14ac:dyDescent="0.25"/>
    <row r="275752" customFormat="1" x14ac:dyDescent="0.25"/>
    <row r="275753" customFormat="1" x14ac:dyDescent="0.25"/>
    <row r="275754" customFormat="1" x14ac:dyDescent="0.25"/>
    <row r="275755" customFormat="1" x14ac:dyDescent="0.25"/>
    <row r="275756" customFormat="1" x14ac:dyDescent="0.25"/>
    <row r="275757" customFormat="1" x14ac:dyDescent="0.25"/>
    <row r="275758" customFormat="1" x14ac:dyDescent="0.25"/>
    <row r="275759" customFormat="1" x14ac:dyDescent="0.25"/>
    <row r="275760" customFormat="1" x14ac:dyDescent="0.25"/>
    <row r="275761" customFormat="1" x14ac:dyDescent="0.25"/>
    <row r="275762" customFormat="1" x14ac:dyDescent="0.25"/>
    <row r="275763" customFormat="1" x14ac:dyDescent="0.25"/>
    <row r="275764" customFormat="1" x14ac:dyDescent="0.25"/>
    <row r="275765" customFormat="1" x14ac:dyDescent="0.25"/>
    <row r="275766" customFormat="1" x14ac:dyDescent="0.25"/>
    <row r="275767" customFormat="1" x14ac:dyDescent="0.25"/>
    <row r="275768" customFormat="1" x14ac:dyDescent="0.25"/>
    <row r="275769" customFormat="1" x14ac:dyDescent="0.25"/>
    <row r="275770" customFormat="1" x14ac:dyDescent="0.25"/>
    <row r="275771" customFormat="1" x14ac:dyDescent="0.25"/>
    <row r="275772" customFormat="1" x14ac:dyDescent="0.25"/>
    <row r="275773" customFormat="1" x14ac:dyDescent="0.25"/>
    <row r="275774" customFormat="1" x14ac:dyDescent="0.25"/>
    <row r="275775" customFormat="1" x14ac:dyDescent="0.25"/>
    <row r="275776" customFormat="1" x14ac:dyDescent="0.25"/>
    <row r="275777" customFormat="1" x14ac:dyDescent="0.25"/>
    <row r="275778" customFormat="1" x14ac:dyDescent="0.25"/>
    <row r="275779" customFormat="1" x14ac:dyDescent="0.25"/>
    <row r="275780" customFormat="1" x14ac:dyDescent="0.25"/>
    <row r="275781" customFormat="1" x14ac:dyDescent="0.25"/>
    <row r="275782" customFormat="1" x14ac:dyDescent="0.25"/>
    <row r="275783" customFormat="1" x14ac:dyDescent="0.25"/>
    <row r="275784" customFormat="1" x14ac:dyDescent="0.25"/>
    <row r="275785" customFormat="1" x14ac:dyDescent="0.25"/>
    <row r="275786" customFormat="1" x14ac:dyDescent="0.25"/>
    <row r="275787" customFormat="1" x14ac:dyDescent="0.25"/>
    <row r="275788" customFormat="1" x14ac:dyDescent="0.25"/>
    <row r="275789" customFormat="1" x14ac:dyDescent="0.25"/>
    <row r="275790" customFormat="1" x14ac:dyDescent="0.25"/>
    <row r="275791" customFormat="1" x14ac:dyDescent="0.25"/>
    <row r="275792" customFormat="1" x14ac:dyDescent="0.25"/>
    <row r="275793" customFormat="1" x14ac:dyDescent="0.25"/>
    <row r="275794" customFormat="1" x14ac:dyDescent="0.25"/>
    <row r="275795" customFormat="1" x14ac:dyDescent="0.25"/>
    <row r="275796" customFormat="1" x14ac:dyDescent="0.25"/>
    <row r="275797" customFormat="1" x14ac:dyDescent="0.25"/>
    <row r="275798" customFormat="1" x14ac:dyDescent="0.25"/>
    <row r="275799" customFormat="1" x14ac:dyDescent="0.25"/>
    <row r="275800" customFormat="1" x14ac:dyDescent="0.25"/>
    <row r="275801" customFormat="1" x14ac:dyDescent="0.25"/>
    <row r="275802" customFormat="1" x14ac:dyDescent="0.25"/>
    <row r="275803" customFormat="1" x14ac:dyDescent="0.25"/>
    <row r="275804" customFormat="1" x14ac:dyDescent="0.25"/>
    <row r="275805" customFormat="1" x14ac:dyDescent="0.25"/>
    <row r="275806" customFormat="1" x14ac:dyDescent="0.25"/>
    <row r="275807" customFormat="1" x14ac:dyDescent="0.25"/>
    <row r="275808" customFormat="1" x14ac:dyDescent="0.25"/>
    <row r="275809" customFormat="1" x14ac:dyDescent="0.25"/>
    <row r="275810" customFormat="1" x14ac:dyDescent="0.25"/>
    <row r="275811" customFormat="1" x14ac:dyDescent="0.25"/>
    <row r="275812" customFormat="1" x14ac:dyDescent="0.25"/>
    <row r="275813" customFormat="1" x14ac:dyDescent="0.25"/>
    <row r="275814" customFormat="1" x14ac:dyDescent="0.25"/>
    <row r="275815" customFormat="1" x14ac:dyDescent="0.25"/>
    <row r="275816" customFormat="1" x14ac:dyDescent="0.25"/>
    <row r="275817" customFormat="1" x14ac:dyDescent="0.25"/>
    <row r="275818" customFormat="1" x14ac:dyDescent="0.25"/>
    <row r="275819" customFormat="1" x14ac:dyDescent="0.25"/>
    <row r="275820" customFormat="1" x14ac:dyDescent="0.25"/>
    <row r="275821" customFormat="1" x14ac:dyDescent="0.25"/>
    <row r="275822" customFormat="1" x14ac:dyDescent="0.25"/>
    <row r="275823" customFormat="1" x14ac:dyDescent="0.25"/>
    <row r="275824" customFormat="1" x14ac:dyDescent="0.25"/>
    <row r="275825" customFormat="1" x14ac:dyDescent="0.25"/>
    <row r="275826" customFormat="1" x14ac:dyDescent="0.25"/>
    <row r="275827" customFormat="1" x14ac:dyDescent="0.25"/>
    <row r="275828" customFormat="1" x14ac:dyDescent="0.25"/>
    <row r="275829" customFormat="1" x14ac:dyDescent="0.25"/>
    <row r="275830" customFormat="1" x14ac:dyDescent="0.25"/>
    <row r="275831" customFormat="1" x14ac:dyDescent="0.25"/>
    <row r="275832" customFormat="1" x14ac:dyDescent="0.25"/>
    <row r="275833" customFormat="1" x14ac:dyDescent="0.25"/>
    <row r="275834" customFormat="1" x14ac:dyDescent="0.25"/>
    <row r="275835" customFormat="1" x14ac:dyDescent="0.25"/>
    <row r="275836" customFormat="1" x14ac:dyDescent="0.25"/>
    <row r="275837" customFormat="1" x14ac:dyDescent="0.25"/>
    <row r="275838" customFormat="1" x14ac:dyDescent="0.25"/>
    <row r="275839" customFormat="1" x14ac:dyDescent="0.25"/>
    <row r="275840" customFormat="1" x14ac:dyDescent="0.25"/>
    <row r="275841" customFormat="1" x14ac:dyDescent="0.25"/>
    <row r="275842" customFormat="1" x14ac:dyDescent="0.25"/>
    <row r="275843" customFormat="1" x14ac:dyDescent="0.25"/>
    <row r="275844" customFormat="1" x14ac:dyDescent="0.25"/>
    <row r="275845" customFormat="1" x14ac:dyDescent="0.25"/>
    <row r="275846" customFormat="1" x14ac:dyDescent="0.25"/>
    <row r="275847" customFormat="1" x14ac:dyDescent="0.25"/>
    <row r="275848" customFormat="1" x14ac:dyDescent="0.25"/>
    <row r="275849" customFormat="1" x14ac:dyDescent="0.25"/>
    <row r="275850" customFormat="1" x14ac:dyDescent="0.25"/>
    <row r="275851" customFormat="1" x14ac:dyDescent="0.25"/>
    <row r="275852" customFormat="1" x14ac:dyDescent="0.25"/>
    <row r="275853" customFormat="1" x14ac:dyDescent="0.25"/>
    <row r="275854" customFormat="1" x14ac:dyDescent="0.25"/>
    <row r="275855" customFormat="1" x14ac:dyDescent="0.25"/>
    <row r="275856" customFormat="1" x14ac:dyDescent="0.25"/>
    <row r="275857" customFormat="1" x14ac:dyDescent="0.25"/>
    <row r="275858" customFormat="1" x14ac:dyDescent="0.25"/>
    <row r="275859" customFormat="1" x14ac:dyDescent="0.25"/>
    <row r="275860" customFormat="1" x14ac:dyDescent="0.25"/>
    <row r="275861" customFormat="1" x14ac:dyDescent="0.25"/>
    <row r="275862" customFormat="1" x14ac:dyDescent="0.25"/>
    <row r="275863" customFormat="1" x14ac:dyDescent="0.25"/>
    <row r="275864" customFormat="1" x14ac:dyDescent="0.25"/>
    <row r="275865" customFormat="1" x14ac:dyDescent="0.25"/>
    <row r="275866" customFormat="1" x14ac:dyDescent="0.25"/>
    <row r="275867" customFormat="1" x14ac:dyDescent="0.25"/>
    <row r="275868" customFormat="1" x14ac:dyDescent="0.25"/>
    <row r="275869" customFormat="1" x14ac:dyDescent="0.25"/>
    <row r="275870" customFormat="1" x14ac:dyDescent="0.25"/>
    <row r="275871" customFormat="1" x14ac:dyDescent="0.25"/>
    <row r="275872" customFormat="1" x14ac:dyDescent="0.25"/>
    <row r="275873" customFormat="1" x14ac:dyDescent="0.25"/>
    <row r="275874" customFormat="1" x14ac:dyDescent="0.25"/>
    <row r="275875" customFormat="1" x14ac:dyDescent="0.25"/>
    <row r="275876" customFormat="1" x14ac:dyDescent="0.25"/>
    <row r="275877" customFormat="1" x14ac:dyDescent="0.25"/>
    <row r="275878" customFormat="1" x14ac:dyDescent="0.25"/>
    <row r="275879" customFormat="1" x14ac:dyDescent="0.25"/>
    <row r="275880" customFormat="1" x14ac:dyDescent="0.25"/>
    <row r="275881" customFormat="1" x14ac:dyDescent="0.25"/>
    <row r="275882" customFormat="1" x14ac:dyDescent="0.25"/>
    <row r="275883" customFormat="1" x14ac:dyDescent="0.25"/>
    <row r="275884" customFormat="1" x14ac:dyDescent="0.25"/>
    <row r="275885" customFormat="1" x14ac:dyDescent="0.25"/>
    <row r="275886" customFormat="1" x14ac:dyDescent="0.25"/>
    <row r="275887" customFormat="1" x14ac:dyDescent="0.25"/>
    <row r="275888" customFormat="1" x14ac:dyDescent="0.25"/>
    <row r="275889" customFormat="1" x14ac:dyDescent="0.25"/>
    <row r="275890" customFormat="1" x14ac:dyDescent="0.25"/>
    <row r="275891" customFormat="1" x14ac:dyDescent="0.25"/>
    <row r="275892" customFormat="1" x14ac:dyDescent="0.25"/>
    <row r="275893" customFormat="1" x14ac:dyDescent="0.25"/>
    <row r="275894" customFormat="1" x14ac:dyDescent="0.25"/>
    <row r="275895" customFormat="1" x14ac:dyDescent="0.25"/>
    <row r="275896" customFormat="1" x14ac:dyDescent="0.25"/>
    <row r="275897" customFormat="1" x14ac:dyDescent="0.25"/>
    <row r="275898" customFormat="1" x14ac:dyDescent="0.25"/>
    <row r="275899" customFormat="1" x14ac:dyDescent="0.25"/>
    <row r="275900" customFormat="1" x14ac:dyDescent="0.25"/>
    <row r="275901" customFormat="1" x14ac:dyDescent="0.25"/>
    <row r="275902" customFormat="1" x14ac:dyDescent="0.25"/>
    <row r="275903" customFormat="1" x14ac:dyDescent="0.25"/>
    <row r="275904" customFormat="1" x14ac:dyDescent="0.25"/>
    <row r="275905" customFormat="1" x14ac:dyDescent="0.25"/>
    <row r="275906" customFormat="1" x14ac:dyDescent="0.25"/>
    <row r="275907" customFormat="1" x14ac:dyDescent="0.25"/>
    <row r="275908" customFormat="1" x14ac:dyDescent="0.25"/>
    <row r="275909" customFormat="1" x14ac:dyDescent="0.25"/>
    <row r="275910" customFormat="1" x14ac:dyDescent="0.25"/>
    <row r="275911" customFormat="1" x14ac:dyDescent="0.25"/>
    <row r="275912" customFormat="1" x14ac:dyDescent="0.25"/>
    <row r="275913" customFormat="1" x14ac:dyDescent="0.25"/>
    <row r="275914" customFormat="1" x14ac:dyDescent="0.25"/>
    <row r="275915" customFormat="1" x14ac:dyDescent="0.25"/>
    <row r="275916" customFormat="1" x14ac:dyDescent="0.25"/>
    <row r="275917" customFormat="1" x14ac:dyDescent="0.25"/>
    <row r="275918" customFormat="1" x14ac:dyDescent="0.25"/>
    <row r="275919" customFormat="1" x14ac:dyDescent="0.25"/>
    <row r="275920" customFormat="1" x14ac:dyDescent="0.25"/>
    <row r="275921" customFormat="1" x14ac:dyDescent="0.25"/>
    <row r="275922" customFormat="1" x14ac:dyDescent="0.25"/>
    <row r="275923" customFormat="1" x14ac:dyDescent="0.25"/>
    <row r="275924" customFormat="1" x14ac:dyDescent="0.25"/>
    <row r="275925" customFormat="1" x14ac:dyDescent="0.25"/>
    <row r="275926" customFormat="1" x14ac:dyDescent="0.25"/>
    <row r="275927" customFormat="1" x14ac:dyDescent="0.25"/>
    <row r="275928" customFormat="1" x14ac:dyDescent="0.25"/>
    <row r="275929" customFormat="1" x14ac:dyDescent="0.25"/>
    <row r="275930" customFormat="1" x14ac:dyDescent="0.25"/>
    <row r="275931" customFormat="1" x14ac:dyDescent="0.25"/>
    <row r="275932" customFormat="1" x14ac:dyDescent="0.25"/>
    <row r="275933" customFormat="1" x14ac:dyDescent="0.25"/>
    <row r="275934" customFormat="1" x14ac:dyDescent="0.25"/>
    <row r="275935" customFormat="1" x14ac:dyDescent="0.25"/>
    <row r="275936" customFormat="1" x14ac:dyDescent="0.25"/>
    <row r="275937" customFormat="1" x14ac:dyDescent="0.25"/>
    <row r="275938" customFormat="1" x14ac:dyDescent="0.25"/>
    <row r="275939" customFormat="1" x14ac:dyDescent="0.25"/>
    <row r="275940" customFormat="1" x14ac:dyDescent="0.25"/>
    <row r="275941" customFormat="1" x14ac:dyDescent="0.25"/>
    <row r="275942" customFormat="1" x14ac:dyDescent="0.25"/>
    <row r="275943" customFormat="1" x14ac:dyDescent="0.25"/>
    <row r="275944" customFormat="1" x14ac:dyDescent="0.25"/>
    <row r="275945" customFormat="1" x14ac:dyDescent="0.25"/>
    <row r="275946" customFormat="1" x14ac:dyDescent="0.25"/>
    <row r="275947" customFormat="1" x14ac:dyDescent="0.25"/>
    <row r="275948" customFormat="1" x14ac:dyDescent="0.25"/>
    <row r="275949" customFormat="1" x14ac:dyDescent="0.25"/>
    <row r="275950" customFormat="1" x14ac:dyDescent="0.25"/>
    <row r="275951" customFormat="1" x14ac:dyDescent="0.25"/>
    <row r="275952" customFormat="1" x14ac:dyDescent="0.25"/>
    <row r="275953" customFormat="1" x14ac:dyDescent="0.25"/>
    <row r="275954" customFormat="1" x14ac:dyDescent="0.25"/>
    <row r="275955" customFormat="1" x14ac:dyDescent="0.25"/>
    <row r="275956" customFormat="1" x14ac:dyDescent="0.25"/>
    <row r="275957" customFormat="1" x14ac:dyDescent="0.25"/>
    <row r="275958" customFormat="1" x14ac:dyDescent="0.25"/>
    <row r="275959" customFormat="1" x14ac:dyDescent="0.25"/>
    <row r="275960" customFormat="1" x14ac:dyDescent="0.25"/>
    <row r="275961" customFormat="1" x14ac:dyDescent="0.25"/>
    <row r="275962" customFormat="1" x14ac:dyDescent="0.25"/>
    <row r="275963" customFormat="1" x14ac:dyDescent="0.25"/>
    <row r="275964" customFormat="1" x14ac:dyDescent="0.25"/>
    <row r="275965" customFormat="1" x14ac:dyDescent="0.25"/>
    <row r="275966" customFormat="1" x14ac:dyDescent="0.25"/>
    <row r="275967" customFormat="1" x14ac:dyDescent="0.25"/>
    <row r="275968" customFormat="1" x14ac:dyDescent="0.25"/>
    <row r="275969" customFormat="1" x14ac:dyDescent="0.25"/>
    <row r="275970" customFormat="1" x14ac:dyDescent="0.25"/>
    <row r="275971" customFormat="1" x14ac:dyDescent="0.25"/>
    <row r="275972" customFormat="1" x14ac:dyDescent="0.25"/>
    <row r="275973" customFormat="1" x14ac:dyDescent="0.25"/>
    <row r="275974" customFormat="1" x14ac:dyDescent="0.25"/>
    <row r="275975" customFormat="1" x14ac:dyDescent="0.25"/>
    <row r="275976" customFormat="1" x14ac:dyDescent="0.25"/>
    <row r="275977" customFormat="1" x14ac:dyDescent="0.25"/>
    <row r="275978" customFormat="1" x14ac:dyDescent="0.25"/>
    <row r="275979" customFormat="1" x14ac:dyDescent="0.25"/>
    <row r="275980" customFormat="1" x14ac:dyDescent="0.25"/>
    <row r="275981" customFormat="1" x14ac:dyDescent="0.25"/>
    <row r="275982" customFormat="1" x14ac:dyDescent="0.25"/>
    <row r="275983" customFormat="1" x14ac:dyDescent="0.25"/>
    <row r="275984" customFormat="1" x14ac:dyDescent="0.25"/>
    <row r="275985" customFormat="1" x14ac:dyDescent="0.25"/>
    <row r="275986" customFormat="1" x14ac:dyDescent="0.25"/>
    <row r="275987" customFormat="1" x14ac:dyDescent="0.25"/>
    <row r="275988" customFormat="1" x14ac:dyDescent="0.25"/>
    <row r="275989" customFormat="1" x14ac:dyDescent="0.25"/>
    <row r="275990" customFormat="1" x14ac:dyDescent="0.25"/>
    <row r="275991" customFormat="1" x14ac:dyDescent="0.25"/>
    <row r="275992" customFormat="1" x14ac:dyDescent="0.25"/>
    <row r="275993" customFormat="1" x14ac:dyDescent="0.25"/>
    <row r="275994" customFormat="1" x14ac:dyDescent="0.25"/>
    <row r="275995" customFormat="1" x14ac:dyDescent="0.25"/>
    <row r="275996" customFormat="1" x14ac:dyDescent="0.25"/>
    <row r="275997" customFormat="1" x14ac:dyDescent="0.25"/>
    <row r="275998" customFormat="1" x14ac:dyDescent="0.25"/>
    <row r="275999" customFormat="1" x14ac:dyDescent="0.25"/>
    <row r="276000" customFormat="1" x14ac:dyDescent="0.25"/>
    <row r="276001" customFormat="1" x14ac:dyDescent="0.25"/>
    <row r="276002" customFormat="1" x14ac:dyDescent="0.25"/>
    <row r="276003" customFormat="1" x14ac:dyDescent="0.25"/>
    <row r="276004" customFormat="1" x14ac:dyDescent="0.25"/>
    <row r="276005" customFormat="1" x14ac:dyDescent="0.25"/>
    <row r="276006" customFormat="1" x14ac:dyDescent="0.25"/>
    <row r="276007" customFormat="1" x14ac:dyDescent="0.25"/>
    <row r="276008" customFormat="1" x14ac:dyDescent="0.25"/>
    <row r="276009" customFormat="1" x14ac:dyDescent="0.25"/>
    <row r="276010" customFormat="1" x14ac:dyDescent="0.25"/>
    <row r="276011" customFormat="1" x14ac:dyDescent="0.25"/>
    <row r="276012" customFormat="1" x14ac:dyDescent="0.25"/>
    <row r="276013" customFormat="1" x14ac:dyDescent="0.25"/>
    <row r="276014" customFormat="1" x14ac:dyDescent="0.25"/>
    <row r="276015" customFormat="1" x14ac:dyDescent="0.25"/>
    <row r="276016" customFormat="1" x14ac:dyDescent="0.25"/>
    <row r="276017" customFormat="1" x14ac:dyDescent="0.25"/>
    <row r="276018" customFormat="1" x14ac:dyDescent="0.25"/>
    <row r="276019" customFormat="1" x14ac:dyDescent="0.25"/>
    <row r="276020" customFormat="1" x14ac:dyDescent="0.25"/>
    <row r="276021" customFormat="1" x14ac:dyDescent="0.25"/>
    <row r="276022" customFormat="1" x14ac:dyDescent="0.25"/>
    <row r="276023" customFormat="1" x14ac:dyDescent="0.25"/>
    <row r="276024" customFormat="1" x14ac:dyDescent="0.25"/>
    <row r="276025" customFormat="1" x14ac:dyDescent="0.25"/>
    <row r="276026" customFormat="1" x14ac:dyDescent="0.25"/>
    <row r="276027" customFormat="1" x14ac:dyDescent="0.25"/>
    <row r="276028" customFormat="1" x14ac:dyDescent="0.25"/>
    <row r="276029" customFormat="1" x14ac:dyDescent="0.25"/>
    <row r="276030" customFormat="1" x14ac:dyDescent="0.25"/>
    <row r="276031" customFormat="1" x14ac:dyDescent="0.25"/>
    <row r="276032" customFormat="1" x14ac:dyDescent="0.25"/>
    <row r="276033" customFormat="1" x14ac:dyDescent="0.25"/>
    <row r="276034" customFormat="1" x14ac:dyDescent="0.25"/>
    <row r="276035" customFormat="1" x14ac:dyDescent="0.25"/>
    <row r="276036" customFormat="1" x14ac:dyDescent="0.25"/>
    <row r="276037" customFormat="1" x14ac:dyDescent="0.25"/>
    <row r="276038" customFormat="1" x14ac:dyDescent="0.25"/>
    <row r="276039" customFormat="1" x14ac:dyDescent="0.25"/>
    <row r="276040" customFormat="1" x14ac:dyDescent="0.25"/>
    <row r="276041" customFormat="1" x14ac:dyDescent="0.25"/>
    <row r="276042" customFormat="1" x14ac:dyDescent="0.25"/>
    <row r="276043" customFormat="1" x14ac:dyDescent="0.25"/>
    <row r="276044" customFormat="1" x14ac:dyDescent="0.25"/>
    <row r="276045" customFormat="1" x14ac:dyDescent="0.25"/>
    <row r="276046" customFormat="1" x14ac:dyDescent="0.25"/>
    <row r="276047" customFormat="1" x14ac:dyDescent="0.25"/>
    <row r="276048" customFormat="1" x14ac:dyDescent="0.25"/>
    <row r="276049" customFormat="1" x14ac:dyDescent="0.25"/>
    <row r="276050" customFormat="1" x14ac:dyDescent="0.25"/>
    <row r="276051" customFormat="1" x14ac:dyDescent="0.25"/>
    <row r="276052" customFormat="1" x14ac:dyDescent="0.25"/>
    <row r="276053" customFormat="1" x14ac:dyDescent="0.25"/>
    <row r="276054" customFormat="1" x14ac:dyDescent="0.25"/>
    <row r="276055" customFormat="1" x14ac:dyDescent="0.25"/>
    <row r="276056" customFormat="1" x14ac:dyDescent="0.25"/>
    <row r="276057" customFormat="1" x14ac:dyDescent="0.25"/>
    <row r="276058" customFormat="1" x14ac:dyDescent="0.25"/>
    <row r="276059" customFormat="1" x14ac:dyDescent="0.25"/>
    <row r="276060" customFormat="1" x14ac:dyDescent="0.25"/>
    <row r="276061" customFormat="1" x14ac:dyDescent="0.25"/>
    <row r="276062" customFormat="1" x14ac:dyDescent="0.25"/>
    <row r="276063" customFormat="1" x14ac:dyDescent="0.25"/>
    <row r="276064" customFormat="1" x14ac:dyDescent="0.25"/>
    <row r="276065" customFormat="1" x14ac:dyDescent="0.25"/>
    <row r="276066" customFormat="1" x14ac:dyDescent="0.25"/>
    <row r="276067" customFormat="1" x14ac:dyDescent="0.25"/>
    <row r="276068" customFormat="1" x14ac:dyDescent="0.25"/>
    <row r="276069" customFormat="1" x14ac:dyDescent="0.25"/>
    <row r="276070" customFormat="1" x14ac:dyDescent="0.25"/>
    <row r="276071" customFormat="1" x14ac:dyDescent="0.25"/>
    <row r="276072" customFormat="1" x14ac:dyDescent="0.25"/>
    <row r="276073" customFormat="1" x14ac:dyDescent="0.25"/>
    <row r="276074" customFormat="1" x14ac:dyDescent="0.25"/>
    <row r="276075" customFormat="1" x14ac:dyDescent="0.25"/>
    <row r="276076" customFormat="1" x14ac:dyDescent="0.25"/>
    <row r="276077" customFormat="1" x14ac:dyDescent="0.25"/>
    <row r="276078" customFormat="1" x14ac:dyDescent="0.25"/>
    <row r="276079" customFormat="1" x14ac:dyDescent="0.25"/>
    <row r="276080" customFormat="1" x14ac:dyDescent="0.25"/>
    <row r="276081" customFormat="1" x14ac:dyDescent="0.25"/>
    <row r="276082" customFormat="1" x14ac:dyDescent="0.25"/>
    <row r="276083" customFormat="1" x14ac:dyDescent="0.25"/>
    <row r="276084" customFormat="1" x14ac:dyDescent="0.25"/>
    <row r="276085" customFormat="1" x14ac:dyDescent="0.25"/>
    <row r="276086" customFormat="1" x14ac:dyDescent="0.25"/>
    <row r="276087" customFormat="1" x14ac:dyDescent="0.25"/>
    <row r="276088" customFormat="1" x14ac:dyDescent="0.25"/>
    <row r="276089" customFormat="1" x14ac:dyDescent="0.25"/>
    <row r="276090" customFormat="1" x14ac:dyDescent="0.25"/>
    <row r="276091" customFormat="1" x14ac:dyDescent="0.25"/>
    <row r="276092" customFormat="1" x14ac:dyDescent="0.25"/>
    <row r="276093" customFormat="1" x14ac:dyDescent="0.25"/>
    <row r="276094" customFormat="1" x14ac:dyDescent="0.25"/>
    <row r="276095" customFormat="1" x14ac:dyDescent="0.25"/>
    <row r="276096" customFormat="1" x14ac:dyDescent="0.25"/>
    <row r="276097" customFormat="1" x14ac:dyDescent="0.25"/>
    <row r="276098" customFormat="1" x14ac:dyDescent="0.25"/>
    <row r="276099" customFormat="1" x14ac:dyDescent="0.25"/>
    <row r="276100" customFormat="1" x14ac:dyDescent="0.25"/>
    <row r="276101" customFormat="1" x14ac:dyDescent="0.25"/>
    <row r="276102" customFormat="1" x14ac:dyDescent="0.25"/>
    <row r="276103" customFormat="1" x14ac:dyDescent="0.25"/>
    <row r="276104" customFormat="1" x14ac:dyDescent="0.25"/>
    <row r="276105" customFormat="1" x14ac:dyDescent="0.25"/>
    <row r="276106" customFormat="1" x14ac:dyDescent="0.25"/>
    <row r="276107" customFormat="1" x14ac:dyDescent="0.25"/>
    <row r="276108" customFormat="1" x14ac:dyDescent="0.25"/>
    <row r="276109" customFormat="1" x14ac:dyDescent="0.25"/>
    <row r="276110" customFormat="1" x14ac:dyDescent="0.25"/>
    <row r="276111" customFormat="1" x14ac:dyDescent="0.25"/>
    <row r="276112" customFormat="1" x14ac:dyDescent="0.25"/>
    <row r="276113" customFormat="1" x14ac:dyDescent="0.25"/>
    <row r="276114" customFormat="1" x14ac:dyDescent="0.25"/>
    <row r="276115" customFormat="1" x14ac:dyDescent="0.25"/>
    <row r="276116" customFormat="1" x14ac:dyDescent="0.25"/>
    <row r="276117" customFormat="1" x14ac:dyDescent="0.25"/>
    <row r="276118" customFormat="1" x14ac:dyDescent="0.25"/>
    <row r="276119" customFormat="1" x14ac:dyDescent="0.25"/>
    <row r="276120" customFormat="1" x14ac:dyDescent="0.25"/>
    <row r="276121" customFormat="1" x14ac:dyDescent="0.25"/>
    <row r="276122" customFormat="1" x14ac:dyDescent="0.25"/>
    <row r="276123" customFormat="1" x14ac:dyDescent="0.25"/>
    <row r="276124" customFormat="1" x14ac:dyDescent="0.25"/>
    <row r="276125" customFormat="1" x14ac:dyDescent="0.25"/>
    <row r="276126" customFormat="1" x14ac:dyDescent="0.25"/>
    <row r="276127" customFormat="1" x14ac:dyDescent="0.25"/>
    <row r="276128" customFormat="1" x14ac:dyDescent="0.25"/>
    <row r="276129" customFormat="1" x14ac:dyDescent="0.25"/>
    <row r="276130" customFormat="1" x14ac:dyDescent="0.25"/>
    <row r="276131" customFormat="1" x14ac:dyDescent="0.25"/>
    <row r="276132" customFormat="1" x14ac:dyDescent="0.25"/>
    <row r="276133" customFormat="1" x14ac:dyDescent="0.25"/>
    <row r="276134" customFormat="1" x14ac:dyDescent="0.25"/>
    <row r="276135" customFormat="1" x14ac:dyDescent="0.25"/>
    <row r="276136" customFormat="1" x14ac:dyDescent="0.25"/>
    <row r="276137" customFormat="1" x14ac:dyDescent="0.25"/>
    <row r="276138" customFormat="1" x14ac:dyDescent="0.25"/>
    <row r="276139" customFormat="1" x14ac:dyDescent="0.25"/>
    <row r="276140" customFormat="1" x14ac:dyDescent="0.25"/>
    <row r="276141" customFormat="1" x14ac:dyDescent="0.25"/>
    <row r="276142" customFormat="1" x14ac:dyDescent="0.25"/>
    <row r="276143" customFormat="1" x14ac:dyDescent="0.25"/>
    <row r="276144" customFormat="1" x14ac:dyDescent="0.25"/>
    <row r="276145" customFormat="1" x14ac:dyDescent="0.25"/>
    <row r="276146" customFormat="1" x14ac:dyDescent="0.25"/>
    <row r="276147" customFormat="1" x14ac:dyDescent="0.25"/>
    <row r="276148" customFormat="1" x14ac:dyDescent="0.25"/>
    <row r="276149" customFormat="1" x14ac:dyDescent="0.25"/>
    <row r="276150" customFormat="1" x14ac:dyDescent="0.25"/>
    <row r="276151" customFormat="1" x14ac:dyDescent="0.25"/>
    <row r="276152" customFormat="1" x14ac:dyDescent="0.25"/>
    <row r="276153" customFormat="1" x14ac:dyDescent="0.25"/>
    <row r="276154" customFormat="1" x14ac:dyDescent="0.25"/>
    <row r="276155" customFormat="1" x14ac:dyDescent="0.25"/>
    <row r="276156" customFormat="1" x14ac:dyDescent="0.25"/>
    <row r="276157" customFormat="1" x14ac:dyDescent="0.25"/>
    <row r="276158" customFormat="1" x14ac:dyDescent="0.25"/>
    <row r="276159" customFormat="1" x14ac:dyDescent="0.25"/>
    <row r="276160" customFormat="1" x14ac:dyDescent="0.25"/>
    <row r="276161" customFormat="1" x14ac:dyDescent="0.25"/>
    <row r="276162" customFormat="1" x14ac:dyDescent="0.25"/>
    <row r="276163" customFormat="1" x14ac:dyDescent="0.25"/>
    <row r="276164" customFormat="1" x14ac:dyDescent="0.25"/>
    <row r="276165" customFormat="1" x14ac:dyDescent="0.25"/>
    <row r="276166" customFormat="1" x14ac:dyDescent="0.25"/>
    <row r="276167" customFormat="1" x14ac:dyDescent="0.25"/>
    <row r="276168" customFormat="1" x14ac:dyDescent="0.25"/>
    <row r="276169" customFormat="1" x14ac:dyDescent="0.25"/>
    <row r="276170" customFormat="1" x14ac:dyDescent="0.25"/>
    <row r="276171" customFormat="1" x14ac:dyDescent="0.25"/>
    <row r="276172" customFormat="1" x14ac:dyDescent="0.25"/>
    <row r="276173" customFormat="1" x14ac:dyDescent="0.25"/>
    <row r="276174" customFormat="1" x14ac:dyDescent="0.25"/>
    <row r="276175" customFormat="1" x14ac:dyDescent="0.25"/>
    <row r="276176" customFormat="1" x14ac:dyDescent="0.25"/>
    <row r="276177" customFormat="1" x14ac:dyDescent="0.25"/>
    <row r="276178" customFormat="1" x14ac:dyDescent="0.25"/>
    <row r="276179" customFormat="1" x14ac:dyDescent="0.25"/>
    <row r="276180" customFormat="1" x14ac:dyDescent="0.25"/>
    <row r="276181" customFormat="1" x14ac:dyDescent="0.25"/>
    <row r="276182" customFormat="1" x14ac:dyDescent="0.25"/>
    <row r="276183" customFormat="1" x14ac:dyDescent="0.25"/>
    <row r="276184" customFormat="1" x14ac:dyDescent="0.25"/>
    <row r="276185" customFormat="1" x14ac:dyDescent="0.25"/>
    <row r="276186" customFormat="1" x14ac:dyDescent="0.25"/>
    <row r="276187" customFormat="1" x14ac:dyDescent="0.25"/>
    <row r="276188" customFormat="1" x14ac:dyDescent="0.25"/>
    <row r="276189" customFormat="1" x14ac:dyDescent="0.25"/>
    <row r="276190" customFormat="1" x14ac:dyDescent="0.25"/>
    <row r="276191" customFormat="1" x14ac:dyDescent="0.25"/>
    <row r="276192" customFormat="1" x14ac:dyDescent="0.25"/>
    <row r="276193" customFormat="1" x14ac:dyDescent="0.25"/>
    <row r="276194" customFormat="1" x14ac:dyDescent="0.25"/>
    <row r="276195" customFormat="1" x14ac:dyDescent="0.25"/>
    <row r="276196" customFormat="1" x14ac:dyDescent="0.25"/>
    <row r="276197" customFormat="1" x14ac:dyDescent="0.25"/>
    <row r="276198" customFormat="1" x14ac:dyDescent="0.25"/>
    <row r="276199" customFormat="1" x14ac:dyDescent="0.25"/>
    <row r="276200" customFormat="1" x14ac:dyDescent="0.25"/>
    <row r="276201" customFormat="1" x14ac:dyDescent="0.25"/>
    <row r="276202" customFormat="1" x14ac:dyDescent="0.25"/>
    <row r="276203" customFormat="1" x14ac:dyDescent="0.25"/>
    <row r="276204" customFormat="1" x14ac:dyDescent="0.25"/>
    <row r="276205" customFormat="1" x14ac:dyDescent="0.25"/>
    <row r="276206" customFormat="1" x14ac:dyDescent="0.25"/>
    <row r="276207" customFormat="1" x14ac:dyDescent="0.25"/>
    <row r="276208" customFormat="1" x14ac:dyDescent="0.25"/>
    <row r="276209" customFormat="1" x14ac:dyDescent="0.25"/>
    <row r="276210" customFormat="1" x14ac:dyDescent="0.25"/>
    <row r="276211" customFormat="1" x14ac:dyDescent="0.25"/>
    <row r="276212" customFormat="1" x14ac:dyDescent="0.25"/>
    <row r="276213" customFormat="1" x14ac:dyDescent="0.25"/>
    <row r="276214" customFormat="1" x14ac:dyDescent="0.25"/>
    <row r="276215" customFormat="1" x14ac:dyDescent="0.25"/>
    <row r="276216" customFormat="1" x14ac:dyDescent="0.25"/>
    <row r="276217" customFormat="1" x14ac:dyDescent="0.25"/>
    <row r="276218" customFormat="1" x14ac:dyDescent="0.25"/>
    <row r="276219" customFormat="1" x14ac:dyDescent="0.25"/>
    <row r="276220" customFormat="1" x14ac:dyDescent="0.25"/>
    <row r="276221" customFormat="1" x14ac:dyDescent="0.25"/>
    <row r="276222" customFormat="1" x14ac:dyDescent="0.25"/>
    <row r="276223" customFormat="1" x14ac:dyDescent="0.25"/>
    <row r="276224" customFormat="1" x14ac:dyDescent="0.25"/>
    <row r="276225" customFormat="1" x14ac:dyDescent="0.25"/>
    <row r="276226" customFormat="1" x14ac:dyDescent="0.25"/>
    <row r="276227" customFormat="1" x14ac:dyDescent="0.25"/>
    <row r="276228" customFormat="1" x14ac:dyDescent="0.25"/>
    <row r="276229" customFormat="1" x14ac:dyDescent="0.25"/>
    <row r="276230" customFormat="1" x14ac:dyDescent="0.25"/>
    <row r="276231" customFormat="1" x14ac:dyDescent="0.25"/>
    <row r="276232" customFormat="1" x14ac:dyDescent="0.25"/>
    <row r="276233" customFormat="1" x14ac:dyDescent="0.25"/>
    <row r="276234" customFormat="1" x14ac:dyDescent="0.25"/>
    <row r="276235" customFormat="1" x14ac:dyDescent="0.25"/>
    <row r="276236" customFormat="1" x14ac:dyDescent="0.25"/>
    <row r="276237" customFormat="1" x14ac:dyDescent="0.25"/>
    <row r="276238" customFormat="1" x14ac:dyDescent="0.25"/>
    <row r="276239" customFormat="1" x14ac:dyDescent="0.25"/>
    <row r="276240" customFormat="1" x14ac:dyDescent="0.25"/>
    <row r="276241" customFormat="1" x14ac:dyDescent="0.25"/>
    <row r="276242" customFormat="1" x14ac:dyDescent="0.25"/>
    <row r="276243" customFormat="1" x14ac:dyDescent="0.25"/>
    <row r="276244" customFormat="1" x14ac:dyDescent="0.25"/>
    <row r="276245" customFormat="1" x14ac:dyDescent="0.25"/>
    <row r="276246" customFormat="1" x14ac:dyDescent="0.25"/>
    <row r="276247" customFormat="1" x14ac:dyDescent="0.25"/>
    <row r="276248" customFormat="1" x14ac:dyDescent="0.25"/>
    <row r="276249" customFormat="1" x14ac:dyDescent="0.25"/>
    <row r="276250" customFormat="1" x14ac:dyDescent="0.25"/>
    <row r="276251" customFormat="1" x14ac:dyDescent="0.25"/>
    <row r="276252" customFormat="1" x14ac:dyDescent="0.25"/>
    <row r="276253" customFormat="1" x14ac:dyDescent="0.25"/>
    <row r="276254" customFormat="1" x14ac:dyDescent="0.25"/>
    <row r="276255" customFormat="1" x14ac:dyDescent="0.25"/>
    <row r="276256" customFormat="1" x14ac:dyDescent="0.25"/>
    <row r="276257" customFormat="1" x14ac:dyDescent="0.25"/>
    <row r="276258" customFormat="1" x14ac:dyDescent="0.25"/>
    <row r="276259" customFormat="1" x14ac:dyDescent="0.25"/>
    <row r="276260" customFormat="1" x14ac:dyDescent="0.25"/>
    <row r="276261" customFormat="1" x14ac:dyDescent="0.25"/>
    <row r="276262" customFormat="1" x14ac:dyDescent="0.25"/>
    <row r="276263" customFormat="1" x14ac:dyDescent="0.25"/>
    <row r="276264" customFormat="1" x14ac:dyDescent="0.25"/>
    <row r="276265" customFormat="1" x14ac:dyDescent="0.25"/>
    <row r="276266" customFormat="1" x14ac:dyDescent="0.25"/>
    <row r="276267" customFormat="1" x14ac:dyDescent="0.25"/>
    <row r="276268" customFormat="1" x14ac:dyDescent="0.25"/>
    <row r="276269" customFormat="1" x14ac:dyDescent="0.25"/>
    <row r="276270" customFormat="1" x14ac:dyDescent="0.25"/>
    <row r="276271" customFormat="1" x14ac:dyDescent="0.25"/>
    <row r="276272" customFormat="1" x14ac:dyDescent="0.25"/>
    <row r="276273" customFormat="1" x14ac:dyDescent="0.25"/>
    <row r="276274" customFormat="1" x14ac:dyDescent="0.25"/>
    <row r="276275" customFormat="1" x14ac:dyDescent="0.25"/>
    <row r="276276" customFormat="1" x14ac:dyDescent="0.25"/>
    <row r="276277" customFormat="1" x14ac:dyDescent="0.25"/>
    <row r="276278" customFormat="1" x14ac:dyDescent="0.25"/>
    <row r="276279" customFormat="1" x14ac:dyDescent="0.25"/>
    <row r="276280" customFormat="1" x14ac:dyDescent="0.25"/>
    <row r="276281" customFormat="1" x14ac:dyDescent="0.25"/>
    <row r="276282" customFormat="1" x14ac:dyDescent="0.25"/>
    <row r="276283" customFormat="1" x14ac:dyDescent="0.25"/>
    <row r="276284" customFormat="1" x14ac:dyDescent="0.25"/>
    <row r="276285" customFormat="1" x14ac:dyDescent="0.25"/>
    <row r="276286" customFormat="1" x14ac:dyDescent="0.25"/>
    <row r="276287" customFormat="1" x14ac:dyDescent="0.25"/>
    <row r="276288" customFormat="1" x14ac:dyDescent="0.25"/>
    <row r="276289" customFormat="1" x14ac:dyDescent="0.25"/>
    <row r="276290" customFormat="1" x14ac:dyDescent="0.25"/>
    <row r="276291" customFormat="1" x14ac:dyDescent="0.25"/>
    <row r="276292" customFormat="1" x14ac:dyDescent="0.25"/>
    <row r="276293" customFormat="1" x14ac:dyDescent="0.25"/>
    <row r="276294" customFormat="1" x14ac:dyDescent="0.25"/>
    <row r="276295" customFormat="1" x14ac:dyDescent="0.25"/>
    <row r="276296" customFormat="1" x14ac:dyDescent="0.25"/>
    <row r="276297" customFormat="1" x14ac:dyDescent="0.25"/>
    <row r="276298" customFormat="1" x14ac:dyDescent="0.25"/>
    <row r="276299" customFormat="1" x14ac:dyDescent="0.25"/>
    <row r="276300" customFormat="1" x14ac:dyDescent="0.25"/>
    <row r="276301" customFormat="1" x14ac:dyDescent="0.25"/>
    <row r="276302" customFormat="1" x14ac:dyDescent="0.25"/>
    <row r="276303" customFormat="1" x14ac:dyDescent="0.25"/>
    <row r="276304" customFormat="1" x14ac:dyDescent="0.25"/>
    <row r="276305" customFormat="1" x14ac:dyDescent="0.25"/>
    <row r="276306" customFormat="1" x14ac:dyDescent="0.25"/>
    <row r="276307" customFormat="1" x14ac:dyDescent="0.25"/>
    <row r="276308" customFormat="1" x14ac:dyDescent="0.25"/>
    <row r="276309" customFormat="1" x14ac:dyDescent="0.25"/>
    <row r="276310" customFormat="1" x14ac:dyDescent="0.25"/>
    <row r="276311" customFormat="1" x14ac:dyDescent="0.25"/>
    <row r="276312" customFormat="1" x14ac:dyDescent="0.25"/>
    <row r="276313" customFormat="1" x14ac:dyDescent="0.25"/>
    <row r="276314" customFormat="1" x14ac:dyDescent="0.25"/>
    <row r="276315" customFormat="1" x14ac:dyDescent="0.25"/>
    <row r="276316" customFormat="1" x14ac:dyDescent="0.25"/>
    <row r="276317" customFormat="1" x14ac:dyDescent="0.25"/>
    <row r="276318" customFormat="1" x14ac:dyDescent="0.25"/>
    <row r="276319" customFormat="1" x14ac:dyDescent="0.25"/>
    <row r="276320" customFormat="1" x14ac:dyDescent="0.25"/>
    <row r="276321" customFormat="1" x14ac:dyDescent="0.25"/>
    <row r="276322" customFormat="1" x14ac:dyDescent="0.25"/>
    <row r="276323" customFormat="1" x14ac:dyDescent="0.25"/>
    <row r="276324" customFormat="1" x14ac:dyDescent="0.25"/>
    <row r="276325" customFormat="1" x14ac:dyDescent="0.25"/>
    <row r="276326" customFormat="1" x14ac:dyDescent="0.25"/>
    <row r="276327" customFormat="1" x14ac:dyDescent="0.25"/>
    <row r="276328" customFormat="1" x14ac:dyDescent="0.25"/>
    <row r="276329" customFormat="1" x14ac:dyDescent="0.25"/>
    <row r="276330" customFormat="1" x14ac:dyDescent="0.25"/>
    <row r="276331" customFormat="1" x14ac:dyDescent="0.25"/>
    <row r="276332" customFormat="1" x14ac:dyDescent="0.25"/>
    <row r="276333" customFormat="1" x14ac:dyDescent="0.25"/>
    <row r="276334" customFormat="1" x14ac:dyDescent="0.25"/>
    <row r="276335" customFormat="1" x14ac:dyDescent="0.25"/>
    <row r="276336" customFormat="1" x14ac:dyDescent="0.25"/>
    <row r="276337" customFormat="1" x14ac:dyDescent="0.25"/>
    <row r="276338" customFormat="1" x14ac:dyDescent="0.25"/>
    <row r="276339" customFormat="1" x14ac:dyDescent="0.25"/>
    <row r="276340" customFormat="1" x14ac:dyDescent="0.25"/>
    <row r="276341" customFormat="1" x14ac:dyDescent="0.25"/>
    <row r="276342" customFormat="1" x14ac:dyDescent="0.25"/>
    <row r="276343" customFormat="1" x14ac:dyDescent="0.25"/>
    <row r="276344" customFormat="1" x14ac:dyDescent="0.25"/>
    <row r="276345" customFormat="1" x14ac:dyDescent="0.25"/>
    <row r="276346" customFormat="1" x14ac:dyDescent="0.25"/>
    <row r="276347" customFormat="1" x14ac:dyDescent="0.25"/>
    <row r="276348" customFormat="1" x14ac:dyDescent="0.25"/>
    <row r="276349" customFormat="1" x14ac:dyDescent="0.25"/>
    <row r="276350" customFormat="1" x14ac:dyDescent="0.25"/>
    <row r="276351" customFormat="1" x14ac:dyDescent="0.25"/>
    <row r="276352" customFormat="1" x14ac:dyDescent="0.25"/>
    <row r="276353" customFormat="1" x14ac:dyDescent="0.25"/>
    <row r="276354" customFormat="1" x14ac:dyDescent="0.25"/>
    <row r="276355" customFormat="1" x14ac:dyDescent="0.25"/>
    <row r="276356" customFormat="1" x14ac:dyDescent="0.25"/>
    <row r="276357" customFormat="1" x14ac:dyDescent="0.25"/>
    <row r="276358" customFormat="1" x14ac:dyDescent="0.25"/>
    <row r="276359" customFormat="1" x14ac:dyDescent="0.25"/>
    <row r="276360" customFormat="1" x14ac:dyDescent="0.25"/>
    <row r="276361" customFormat="1" x14ac:dyDescent="0.25"/>
    <row r="276362" customFormat="1" x14ac:dyDescent="0.25"/>
    <row r="276363" customFormat="1" x14ac:dyDescent="0.25"/>
    <row r="276364" customFormat="1" x14ac:dyDescent="0.25"/>
    <row r="276365" customFormat="1" x14ac:dyDescent="0.25"/>
    <row r="276366" customFormat="1" x14ac:dyDescent="0.25"/>
    <row r="276367" customFormat="1" x14ac:dyDescent="0.25"/>
    <row r="276368" customFormat="1" x14ac:dyDescent="0.25"/>
    <row r="276369" customFormat="1" x14ac:dyDescent="0.25"/>
    <row r="276370" customFormat="1" x14ac:dyDescent="0.25"/>
    <row r="276371" customFormat="1" x14ac:dyDescent="0.25"/>
    <row r="276372" customFormat="1" x14ac:dyDescent="0.25"/>
    <row r="276373" customFormat="1" x14ac:dyDescent="0.25"/>
    <row r="276374" customFormat="1" x14ac:dyDescent="0.25"/>
    <row r="276375" customFormat="1" x14ac:dyDescent="0.25"/>
    <row r="276376" customFormat="1" x14ac:dyDescent="0.25"/>
    <row r="276377" customFormat="1" x14ac:dyDescent="0.25"/>
    <row r="276378" customFormat="1" x14ac:dyDescent="0.25"/>
    <row r="276379" customFormat="1" x14ac:dyDescent="0.25"/>
    <row r="276380" customFormat="1" x14ac:dyDescent="0.25"/>
    <row r="276381" customFormat="1" x14ac:dyDescent="0.25"/>
    <row r="276382" customFormat="1" x14ac:dyDescent="0.25"/>
    <row r="276383" customFormat="1" x14ac:dyDescent="0.25"/>
    <row r="276384" customFormat="1" x14ac:dyDescent="0.25"/>
    <row r="276385" customFormat="1" x14ac:dyDescent="0.25"/>
    <row r="276386" customFormat="1" x14ac:dyDescent="0.25"/>
    <row r="276387" customFormat="1" x14ac:dyDescent="0.25"/>
    <row r="276388" customFormat="1" x14ac:dyDescent="0.25"/>
    <row r="276389" customFormat="1" x14ac:dyDescent="0.25"/>
    <row r="276390" customFormat="1" x14ac:dyDescent="0.25"/>
    <row r="276391" customFormat="1" x14ac:dyDescent="0.25"/>
    <row r="276392" customFormat="1" x14ac:dyDescent="0.25"/>
    <row r="276393" customFormat="1" x14ac:dyDescent="0.25"/>
    <row r="276394" customFormat="1" x14ac:dyDescent="0.25"/>
    <row r="276395" customFormat="1" x14ac:dyDescent="0.25"/>
    <row r="276396" customFormat="1" x14ac:dyDescent="0.25"/>
    <row r="276397" customFormat="1" x14ac:dyDescent="0.25"/>
    <row r="276398" customFormat="1" x14ac:dyDescent="0.25"/>
    <row r="276399" customFormat="1" x14ac:dyDescent="0.25"/>
    <row r="276400" customFormat="1" x14ac:dyDescent="0.25"/>
    <row r="276401" customFormat="1" x14ac:dyDescent="0.25"/>
    <row r="276402" customFormat="1" x14ac:dyDescent="0.25"/>
    <row r="276403" customFormat="1" x14ac:dyDescent="0.25"/>
    <row r="276404" customFormat="1" x14ac:dyDescent="0.25"/>
    <row r="276405" customFormat="1" x14ac:dyDescent="0.25"/>
    <row r="276406" customFormat="1" x14ac:dyDescent="0.25"/>
    <row r="276407" customFormat="1" x14ac:dyDescent="0.25"/>
    <row r="276408" customFormat="1" x14ac:dyDescent="0.25"/>
    <row r="276409" customFormat="1" x14ac:dyDescent="0.25"/>
    <row r="276410" customFormat="1" x14ac:dyDescent="0.25"/>
    <row r="276411" customFormat="1" x14ac:dyDescent="0.25"/>
    <row r="276412" customFormat="1" x14ac:dyDescent="0.25"/>
    <row r="276413" customFormat="1" x14ac:dyDescent="0.25"/>
    <row r="276414" customFormat="1" x14ac:dyDescent="0.25"/>
    <row r="276415" customFormat="1" x14ac:dyDescent="0.25"/>
    <row r="276416" customFormat="1" x14ac:dyDescent="0.25"/>
    <row r="276417" customFormat="1" x14ac:dyDescent="0.25"/>
    <row r="276418" customFormat="1" x14ac:dyDescent="0.25"/>
    <row r="276419" customFormat="1" x14ac:dyDescent="0.25"/>
    <row r="276420" customFormat="1" x14ac:dyDescent="0.25"/>
    <row r="276421" customFormat="1" x14ac:dyDescent="0.25"/>
    <row r="276422" customFormat="1" x14ac:dyDescent="0.25"/>
    <row r="276423" customFormat="1" x14ac:dyDescent="0.25"/>
    <row r="276424" customFormat="1" x14ac:dyDescent="0.25"/>
    <row r="276425" customFormat="1" x14ac:dyDescent="0.25"/>
    <row r="276426" customFormat="1" x14ac:dyDescent="0.25"/>
    <row r="276427" customFormat="1" x14ac:dyDescent="0.25"/>
    <row r="276428" customFormat="1" x14ac:dyDescent="0.25"/>
    <row r="276429" customFormat="1" x14ac:dyDescent="0.25"/>
    <row r="276430" customFormat="1" x14ac:dyDescent="0.25"/>
    <row r="276431" customFormat="1" x14ac:dyDescent="0.25"/>
    <row r="276432" customFormat="1" x14ac:dyDescent="0.25"/>
    <row r="276433" customFormat="1" x14ac:dyDescent="0.25"/>
    <row r="276434" customFormat="1" x14ac:dyDescent="0.25"/>
    <row r="276435" customFormat="1" x14ac:dyDescent="0.25"/>
    <row r="276436" customFormat="1" x14ac:dyDescent="0.25"/>
    <row r="276437" customFormat="1" x14ac:dyDescent="0.25"/>
    <row r="276438" customFormat="1" x14ac:dyDescent="0.25"/>
    <row r="276439" customFormat="1" x14ac:dyDescent="0.25"/>
    <row r="276440" customFormat="1" x14ac:dyDescent="0.25"/>
    <row r="276441" customFormat="1" x14ac:dyDescent="0.25"/>
    <row r="276442" customFormat="1" x14ac:dyDescent="0.25"/>
    <row r="276443" customFormat="1" x14ac:dyDescent="0.25"/>
    <row r="276444" customFormat="1" x14ac:dyDescent="0.25"/>
    <row r="276445" customFormat="1" x14ac:dyDescent="0.25"/>
    <row r="276446" customFormat="1" x14ac:dyDescent="0.25"/>
    <row r="276447" customFormat="1" x14ac:dyDescent="0.25"/>
    <row r="276448" customFormat="1" x14ac:dyDescent="0.25"/>
    <row r="276449" customFormat="1" x14ac:dyDescent="0.25"/>
    <row r="276450" customFormat="1" x14ac:dyDescent="0.25"/>
    <row r="276451" customFormat="1" x14ac:dyDescent="0.25"/>
    <row r="276452" customFormat="1" x14ac:dyDescent="0.25"/>
    <row r="276453" customFormat="1" x14ac:dyDescent="0.25"/>
    <row r="276454" customFormat="1" x14ac:dyDescent="0.25"/>
    <row r="276455" customFormat="1" x14ac:dyDescent="0.25"/>
    <row r="276456" customFormat="1" x14ac:dyDescent="0.25"/>
    <row r="276457" customFormat="1" x14ac:dyDescent="0.25"/>
    <row r="276458" customFormat="1" x14ac:dyDescent="0.25"/>
    <row r="276459" customFormat="1" x14ac:dyDescent="0.25"/>
    <row r="276460" customFormat="1" x14ac:dyDescent="0.25"/>
    <row r="276461" customFormat="1" x14ac:dyDescent="0.25"/>
    <row r="276462" customFormat="1" x14ac:dyDescent="0.25"/>
    <row r="276463" customFormat="1" x14ac:dyDescent="0.25"/>
    <row r="276464" customFormat="1" x14ac:dyDescent="0.25"/>
    <row r="276465" customFormat="1" x14ac:dyDescent="0.25"/>
    <row r="276466" customFormat="1" x14ac:dyDescent="0.25"/>
    <row r="276467" customFormat="1" x14ac:dyDescent="0.25"/>
    <row r="276468" customFormat="1" x14ac:dyDescent="0.25"/>
    <row r="276469" customFormat="1" x14ac:dyDescent="0.25"/>
    <row r="276470" customFormat="1" x14ac:dyDescent="0.25"/>
    <row r="276471" customFormat="1" x14ac:dyDescent="0.25"/>
    <row r="276472" customFormat="1" x14ac:dyDescent="0.25"/>
    <row r="276473" customFormat="1" x14ac:dyDescent="0.25"/>
    <row r="276474" customFormat="1" x14ac:dyDescent="0.25"/>
    <row r="276475" customFormat="1" x14ac:dyDescent="0.25"/>
    <row r="276476" customFormat="1" x14ac:dyDescent="0.25"/>
    <row r="276477" customFormat="1" x14ac:dyDescent="0.25"/>
    <row r="276478" customFormat="1" x14ac:dyDescent="0.25"/>
    <row r="276479" customFormat="1" x14ac:dyDescent="0.25"/>
    <row r="276480" customFormat="1" x14ac:dyDescent="0.25"/>
    <row r="276481" customFormat="1" x14ac:dyDescent="0.25"/>
    <row r="276482" customFormat="1" x14ac:dyDescent="0.25"/>
    <row r="276483" customFormat="1" x14ac:dyDescent="0.25"/>
    <row r="276484" customFormat="1" x14ac:dyDescent="0.25"/>
    <row r="276485" customFormat="1" x14ac:dyDescent="0.25"/>
    <row r="276486" customFormat="1" x14ac:dyDescent="0.25"/>
    <row r="276487" customFormat="1" x14ac:dyDescent="0.25"/>
    <row r="276488" customFormat="1" x14ac:dyDescent="0.25"/>
    <row r="276489" customFormat="1" x14ac:dyDescent="0.25"/>
    <row r="276490" customFormat="1" x14ac:dyDescent="0.25"/>
    <row r="276491" customFormat="1" x14ac:dyDescent="0.25"/>
    <row r="276492" customFormat="1" x14ac:dyDescent="0.25"/>
    <row r="276493" customFormat="1" x14ac:dyDescent="0.25"/>
    <row r="276494" customFormat="1" x14ac:dyDescent="0.25"/>
    <row r="276495" customFormat="1" x14ac:dyDescent="0.25"/>
    <row r="276496" customFormat="1" x14ac:dyDescent="0.25"/>
    <row r="276497" customFormat="1" x14ac:dyDescent="0.25"/>
    <row r="276498" customFormat="1" x14ac:dyDescent="0.25"/>
    <row r="276499" customFormat="1" x14ac:dyDescent="0.25"/>
    <row r="276500" customFormat="1" x14ac:dyDescent="0.25"/>
    <row r="276501" customFormat="1" x14ac:dyDescent="0.25"/>
    <row r="276502" customFormat="1" x14ac:dyDescent="0.25"/>
    <row r="276503" customFormat="1" x14ac:dyDescent="0.25"/>
    <row r="276504" customFormat="1" x14ac:dyDescent="0.25"/>
    <row r="276505" customFormat="1" x14ac:dyDescent="0.25"/>
    <row r="276506" customFormat="1" x14ac:dyDescent="0.25"/>
    <row r="276507" customFormat="1" x14ac:dyDescent="0.25"/>
    <row r="276508" customFormat="1" x14ac:dyDescent="0.25"/>
    <row r="276509" customFormat="1" x14ac:dyDescent="0.25"/>
    <row r="276510" customFormat="1" x14ac:dyDescent="0.25"/>
    <row r="276511" customFormat="1" x14ac:dyDescent="0.25"/>
    <row r="276512" customFormat="1" x14ac:dyDescent="0.25"/>
    <row r="276513" customFormat="1" x14ac:dyDescent="0.25"/>
    <row r="276514" customFormat="1" x14ac:dyDescent="0.25"/>
    <row r="276515" customFormat="1" x14ac:dyDescent="0.25"/>
    <row r="276516" customFormat="1" x14ac:dyDescent="0.25"/>
    <row r="276517" customFormat="1" x14ac:dyDescent="0.25"/>
    <row r="276518" customFormat="1" x14ac:dyDescent="0.25"/>
    <row r="276519" customFormat="1" x14ac:dyDescent="0.25"/>
    <row r="276520" customFormat="1" x14ac:dyDescent="0.25"/>
    <row r="276521" customFormat="1" x14ac:dyDescent="0.25"/>
    <row r="276522" customFormat="1" x14ac:dyDescent="0.25"/>
    <row r="276523" customFormat="1" x14ac:dyDescent="0.25"/>
    <row r="276524" customFormat="1" x14ac:dyDescent="0.25"/>
    <row r="276525" customFormat="1" x14ac:dyDescent="0.25"/>
    <row r="276526" customFormat="1" x14ac:dyDescent="0.25"/>
    <row r="276527" customFormat="1" x14ac:dyDescent="0.25"/>
    <row r="276528" customFormat="1" x14ac:dyDescent="0.25"/>
    <row r="276529" customFormat="1" x14ac:dyDescent="0.25"/>
    <row r="276530" customFormat="1" x14ac:dyDescent="0.25"/>
    <row r="276531" customFormat="1" x14ac:dyDescent="0.25"/>
    <row r="276532" customFormat="1" x14ac:dyDescent="0.25"/>
    <row r="276533" customFormat="1" x14ac:dyDescent="0.25"/>
    <row r="276534" customFormat="1" x14ac:dyDescent="0.25"/>
    <row r="276535" customFormat="1" x14ac:dyDescent="0.25"/>
    <row r="276536" customFormat="1" x14ac:dyDescent="0.25"/>
    <row r="276537" customFormat="1" x14ac:dyDescent="0.25"/>
    <row r="276538" customFormat="1" x14ac:dyDescent="0.25"/>
    <row r="276539" customFormat="1" x14ac:dyDescent="0.25"/>
    <row r="276540" customFormat="1" x14ac:dyDescent="0.25"/>
    <row r="276541" customFormat="1" x14ac:dyDescent="0.25"/>
    <row r="276542" customFormat="1" x14ac:dyDescent="0.25"/>
    <row r="276543" customFormat="1" x14ac:dyDescent="0.25"/>
    <row r="276544" customFormat="1" x14ac:dyDescent="0.25"/>
    <row r="276545" customFormat="1" x14ac:dyDescent="0.25"/>
    <row r="276546" customFormat="1" x14ac:dyDescent="0.25"/>
    <row r="276547" customFormat="1" x14ac:dyDescent="0.25"/>
    <row r="276548" customFormat="1" x14ac:dyDescent="0.25"/>
    <row r="276549" customFormat="1" x14ac:dyDescent="0.25"/>
    <row r="276550" customFormat="1" x14ac:dyDescent="0.25"/>
    <row r="276551" customFormat="1" x14ac:dyDescent="0.25"/>
    <row r="276552" customFormat="1" x14ac:dyDescent="0.25"/>
    <row r="276553" customFormat="1" x14ac:dyDescent="0.25"/>
    <row r="276554" customFormat="1" x14ac:dyDescent="0.25"/>
    <row r="276555" customFormat="1" x14ac:dyDescent="0.25"/>
    <row r="276556" customFormat="1" x14ac:dyDescent="0.25"/>
    <row r="276557" customFormat="1" x14ac:dyDescent="0.25"/>
    <row r="276558" customFormat="1" x14ac:dyDescent="0.25"/>
    <row r="276559" customFormat="1" x14ac:dyDescent="0.25"/>
    <row r="276560" customFormat="1" x14ac:dyDescent="0.25"/>
    <row r="276561" customFormat="1" x14ac:dyDescent="0.25"/>
    <row r="276562" customFormat="1" x14ac:dyDescent="0.25"/>
    <row r="276563" customFormat="1" x14ac:dyDescent="0.25"/>
    <row r="276564" customFormat="1" x14ac:dyDescent="0.25"/>
    <row r="276565" customFormat="1" x14ac:dyDescent="0.25"/>
    <row r="276566" customFormat="1" x14ac:dyDescent="0.25"/>
    <row r="276567" customFormat="1" x14ac:dyDescent="0.25"/>
    <row r="276568" customFormat="1" x14ac:dyDescent="0.25"/>
    <row r="276569" customFormat="1" x14ac:dyDescent="0.25"/>
    <row r="276570" customFormat="1" x14ac:dyDescent="0.25"/>
    <row r="276571" customFormat="1" x14ac:dyDescent="0.25"/>
    <row r="276572" customFormat="1" x14ac:dyDescent="0.25"/>
    <row r="276573" customFormat="1" x14ac:dyDescent="0.25"/>
    <row r="276574" customFormat="1" x14ac:dyDescent="0.25"/>
    <row r="276575" customFormat="1" x14ac:dyDescent="0.25"/>
    <row r="276576" customFormat="1" x14ac:dyDescent="0.25"/>
    <row r="276577" customFormat="1" x14ac:dyDescent="0.25"/>
    <row r="276578" customFormat="1" x14ac:dyDescent="0.25"/>
    <row r="276579" customFormat="1" x14ac:dyDescent="0.25"/>
    <row r="276580" customFormat="1" x14ac:dyDescent="0.25"/>
    <row r="276581" customFormat="1" x14ac:dyDescent="0.25"/>
    <row r="276582" customFormat="1" x14ac:dyDescent="0.25"/>
    <row r="276583" customFormat="1" x14ac:dyDescent="0.25"/>
    <row r="276584" customFormat="1" x14ac:dyDescent="0.25"/>
    <row r="276585" customFormat="1" x14ac:dyDescent="0.25"/>
    <row r="276586" customFormat="1" x14ac:dyDescent="0.25"/>
    <row r="276587" customFormat="1" x14ac:dyDescent="0.25"/>
    <row r="276588" customFormat="1" x14ac:dyDescent="0.25"/>
    <row r="276589" customFormat="1" x14ac:dyDescent="0.25"/>
    <row r="276590" customFormat="1" x14ac:dyDescent="0.25"/>
    <row r="276591" customFormat="1" x14ac:dyDescent="0.25"/>
    <row r="276592" customFormat="1" x14ac:dyDescent="0.25"/>
    <row r="276593" customFormat="1" x14ac:dyDescent="0.25"/>
    <row r="276594" customFormat="1" x14ac:dyDescent="0.25"/>
    <row r="276595" customFormat="1" x14ac:dyDescent="0.25"/>
    <row r="276596" customFormat="1" x14ac:dyDescent="0.25"/>
    <row r="276597" customFormat="1" x14ac:dyDescent="0.25"/>
    <row r="276598" customFormat="1" x14ac:dyDescent="0.25"/>
    <row r="276599" customFormat="1" x14ac:dyDescent="0.25"/>
    <row r="276600" customFormat="1" x14ac:dyDescent="0.25"/>
    <row r="276601" customFormat="1" x14ac:dyDescent="0.25"/>
    <row r="276602" customFormat="1" x14ac:dyDescent="0.25"/>
    <row r="276603" customFormat="1" x14ac:dyDescent="0.25"/>
    <row r="276604" customFormat="1" x14ac:dyDescent="0.25"/>
    <row r="276605" customFormat="1" x14ac:dyDescent="0.25"/>
    <row r="276606" customFormat="1" x14ac:dyDescent="0.25"/>
    <row r="276607" customFormat="1" x14ac:dyDescent="0.25"/>
    <row r="276608" customFormat="1" x14ac:dyDescent="0.25"/>
    <row r="276609" customFormat="1" x14ac:dyDescent="0.25"/>
    <row r="276610" customFormat="1" x14ac:dyDescent="0.25"/>
    <row r="276611" customFormat="1" x14ac:dyDescent="0.25"/>
    <row r="276612" customFormat="1" x14ac:dyDescent="0.25"/>
    <row r="276613" customFormat="1" x14ac:dyDescent="0.25"/>
    <row r="276614" customFormat="1" x14ac:dyDescent="0.25"/>
    <row r="276615" customFormat="1" x14ac:dyDescent="0.25"/>
    <row r="276616" customFormat="1" x14ac:dyDescent="0.25"/>
    <row r="276617" customFormat="1" x14ac:dyDescent="0.25"/>
    <row r="276618" customFormat="1" x14ac:dyDescent="0.25"/>
    <row r="276619" customFormat="1" x14ac:dyDescent="0.25"/>
    <row r="276620" customFormat="1" x14ac:dyDescent="0.25"/>
    <row r="276621" customFormat="1" x14ac:dyDescent="0.25"/>
    <row r="276622" customFormat="1" x14ac:dyDescent="0.25"/>
    <row r="276623" customFormat="1" x14ac:dyDescent="0.25"/>
    <row r="276624" customFormat="1" x14ac:dyDescent="0.25"/>
    <row r="276625" customFormat="1" x14ac:dyDescent="0.25"/>
    <row r="276626" customFormat="1" x14ac:dyDescent="0.25"/>
    <row r="276627" customFormat="1" x14ac:dyDescent="0.25"/>
    <row r="276628" customFormat="1" x14ac:dyDescent="0.25"/>
    <row r="276629" customFormat="1" x14ac:dyDescent="0.25"/>
    <row r="276630" customFormat="1" x14ac:dyDescent="0.25"/>
    <row r="276631" customFormat="1" x14ac:dyDescent="0.25"/>
    <row r="276632" customFormat="1" x14ac:dyDescent="0.25"/>
    <row r="276633" customFormat="1" x14ac:dyDescent="0.25"/>
    <row r="276634" customFormat="1" x14ac:dyDescent="0.25"/>
    <row r="276635" customFormat="1" x14ac:dyDescent="0.25"/>
    <row r="276636" customFormat="1" x14ac:dyDescent="0.25"/>
    <row r="276637" customFormat="1" x14ac:dyDescent="0.25"/>
    <row r="276638" customFormat="1" x14ac:dyDescent="0.25"/>
    <row r="276639" customFormat="1" x14ac:dyDescent="0.25"/>
    <row r="276640" customFormat="1" x14ac:dyDescent="0.25"/>
    <row r="276641" customFormat="1" x14ac:dyDescent="0.25"/>
    <row r="276642" customFormat="1" x14ac:dyDescent="0.25"/>
    <row r="276643" customFormat="1" x14ac:dyDescent="0.25"/>
    <row r="276644" customFormat="1" x14ac:dyDescent="0.25"/>
    <row r="276645" customFormat="1" x14ac:dyDescent="0.25"/>
    <row r="276646" customFormat="1" x14ac:dyDescent="0.25"/>
    <row r="276647" customFormat="1" x14ac:dyDescent="0.25"/>
    <row r="276648" customFormat="1" x14ac:dyDescent="0.25"/>
    <row r="276649" customFormat="1" x14ac:dyDescent="0.25"/>
    <row r="276650" customFormat="1" x14ac:dyDescent="0.25"/>
    <row r="276651" customFormat="1" x14ac:dyDescent="0.25"/>
    <row r="276652" customFormat="1" x14ac:dyDescent="0.25"/>
    <row r="276653" customFormat="1" x14ac:dyDescent="0.25"/>
    <row r="276654" customFormat="1" x14ac:dyDescent="0.25"/>
    <row r="276655" customFormat="1" x14ac:dyDescent="0.25"/>
    <row r="276656" customFormat="1" x14ac:dyDescent="0.25"/>
    <row r="276657" customFormat="1" x14ac:dyDescent="0.25"/>
    <row r="276658" customFormat="1" x14ac:dyDescent="0.25"/>
    <row r="276659" customFormat="1" x14ac:dyDescent="0.25"/>
    <row r="276660" customFormat="1" x14ac:dyDescent="0.25"/>
    <row r="276661" customFormat="1" x14ac:dyDescent="0.25"/>
    <row r="276662" customFormat="1" x14ac:dyDescent="0.25"/>
    <row r="276663" customFormat="1" x14ac:dyDescent="0.25"/>
    <row r="276664" customFormat="1" x14ac:dyDescent="0.25"/>
    <row r="276665" customFormat="1" x14ac:dyDescent="0.25"/>
    <row r="276666" customFormat="1" x14ac:dyDescent="0.25"/>
    <row r="276667" customFormat="1" x14ac:dyDescent="0.25"/>
    <row r="276668" customFormat="1" x14ac:dyDescent="0.25"/>
    <row r="276669" customFormat="1" x14ac:dyDescent="0.25"/>
    <row r="276670" customFormat="1" x14ac:dyDescent="0.25"/>
    <row r="276671" customFormat="1" x14ac:dyDescent="0.25"/>
    <row r="276672" customFormat="1" x14ac:dyDescent="0.25"/>
    <row r="276673" customFormat="1" x14ac:dyDescent="0.25"/>
    <row r="276674" customFormat="1" x14ac:dyDescent="0.25"/>
    <row r="276675" customFormat="1" x14ac:dyDescent="0.25"/>
    <row r="276676" customFormat="1" x14ac:dyDescent="0.25"/>
    <row r="276677" customFormat="1" x14ac:dyDescent="0.25"/>
    <row r="276678" customFormat="1" x14ac:dyDescent="0.25"/>
    <row r="276679" customFormat="1" x14ac:dyDescent="0.25"/>
    <row r="276680" customFormat="1" x14ac:dyDescent="0.25"/>
    <row r="276681" customFormat="1" x14ac:dyDescent="0.25"/>
    <row r="276682" customFormat="1" x14ac:dyDescent="0.25"/>
    <row r="276683" customFormat="1" x14ac:dyDescent="0.25"/>
    <row r="276684" customFormat="1" x14ac:dyDescent="0.25"/>
    <row r="276685" customFormat="1" x14ac:dyDescent="0.25"/>
    <row r="276686" customFormat="1" x14ac:dyDescent="0.25"/>
    <row r="276687" customFormat="1" x14ac:dyDescent="0.25"/>
    <row r="276688" customFormat="1" x14ac:dyDescent="0.25"/>
    <row r="276689" customFormat="1" x14ac:dyDescent="0.25"/>
    <row r="276690" customFormat="1" x14ac:dyDescent="0.25"/>
    <row r="276691" customFormat="1" x14ac:dyDescent="0.25"/>
    <row r="276692" customFormat="1" x14ac:dyDescent="0.25"/>
    <row r="276693" customFormat="1" x14ac:dyDescent="0.25"/>
    <row r="276694" customFormat="1" x14ac:dyDescent="0.25"/>
    <row r="276695" customFormat="1" x14ac:dyDescent="0.25"/>
    <row r="276696" customFormat="1" x14ac:dyDescent="0.25"/>
    <row r="276697" customFormat="1" x14ac:dyDescent="0.25"/>
    <row r="276698" customFormat="1" x14ac:dyDescent="0.25"/>
    <row r="276699" customFormat="1" x14ac:dyDescent="0.25"/>
    <row r="276700" customFormat="1" x14ac:dyDescent="0.25"/>
    <row r="276701" customFormat="1" x14ac:dyDescent="0.25"/>
    <row r="276702" customFormat="1" x14ac:dyDescent="0.25"/>
    <row r="276703" customFormat="1" x14ac:dyDescent="0.25"/>
    <row r="276704" customFormat="1" x14ac:dyDescent="0.25"/>
    <row r="276705" customFormat="1" x14ac:dyDescent="0.25"/>
    <row r="276706" customFormat="1" x14ac:dyDescent="0.25"/>
    <row r="276707" customFormat="1" x14ac:dyDescent="0.25"/>
    <row r="276708" customFormat="1" x14ac:dyDescent="0.25"/>
    <row r="276709" customFormat="1" x14ac:dyDescent="0.25"/>
    <row r="276710" customFormat="1" x14ac:dyDescent="0.25"/>
    <row r="276711" customFormat="1" x14ac:dyDescent="0.25"/>
    <row r="276712" customFormat="1" x14ac:dyDescent="0.25"/>
    <row r="276713" customFormat="1" x14ac:dyDescent="0.25"/>
    <row r="276714" customFormat="1" x14ac:dyDescent="0.25"/>
    <row r="276715" customFormat="1" x14ac:dyDescent="0.25"/>
    <row r="276716" customFormat="1" x14ac:dyDescent="0.25"/>
    <row r="276717" customFormat="1" x14ac:dyDescent="0.25"/>
    <row r="276718" customFormat="1" x14ac:dyDescent="0.25"/>
    <row r="276719" customFormat="1" x14ac:dyDescent="0.25"/>
    <row r="276720" customFormat="1" x14ac:dyDescent="0.25"/>
    <row r="276721" customFormat="1" x14ac:dyDescent="0.25"/>
    <row r="276722" customFormat="1" x14ac:dyDescent="0.25"/>
    <row r="276723" customFormat="1" x14ac:dyDescent="0.25"/>
    <row r="276724" customFormat="1" x14ac:dyDescent="0.25"/>
    <row r="276725" customFormat="1" x14ac:dyDescent="0.25"/>
    <row r="276726" customFormat="1" x14ac:dyDescent="0.25"/>
    <row r="276727" customFormat="1" x14ac:dyDescent="0.25"/>
    <row r="276728" customFormat="1" x14ac:dyDescent="0.25"/>
    <row r="276729" customFormat="1" x14ac:dyDescent="0.25"/>
    <row r="276730" customFormat="1" x14ac:dyDescent="0.25"/>
    <row r="276731" customFormat="1" x14ac:dyDescent="0.25"/>
    <row r="276732" customFormat="1" x14ac:dyDescent="0.25"/>
    <row r="276733" customFormat="1" x14ac:dyDescent="0.25"/>
    <row r="276734" customFormat="1" x14ac:dyDescent="0.25"/>
    <row r="276735" customFormat="1" x14ac:dyDescent="0.25"/>
    <row r="276736" customFormat="1" x14ac:dyDescent="0.25"/>
    <row r="276737" customFormat="1" x14ac:dyDescent="0.25"/>
    <row r="276738" customFormat="1" x14ac:dyDescent="0.25"/>
    <row r="276739" customFormat="1" x14ac:dyDescent="0.25"/>
    <row r="276740" customFormat="1" x14ac:dyDescent="0.25"/>
    <row r="276741" customFormat="1" x14ac:dyDescent="0.25"/>
    <row r="276742" customFormat="1" x14ac:dyDescent="0.25"/>
    <row r="276743" customFormat="1" x14ac:dyDescent="0.25"/>
    <row r="276744" customFormat="1" x14ac:dyDescent="0.25"/>
    <row r="276745" customFormat="1" x14ac:dyDescent="0.25"/>
    <row r="276746" customFormat="1" x14ac:dyDescent="0.25"/>
    <row r="276747" customFormat="1" x14ac:dyDescent="0.25"/>
    <row r="276748" customFormat="1" x14ac:dyDescent="0.25"/>
    <row r="276749" customFormat="1" x14ac:dyDescent="0.25"/>
    <row r="276750" customFormat="1" x14ac:dyDescent="0.25"/>
    <row r="276751" customFormat="1" x14ac:dyDescent="0.25"/>
    <row r="276752" customFormat="1" x14ac:dyDescent="0.25"/>
    <row r="276753" customFormat="1" x14ac:dyDescent="0.25"/>
    <row r="276754" customFormat="1" x14ac:dyDescent="0.25"/>
    <row r="276755" customFormat="1" x14ac:dyDescent="0.25"/>
    <row r="276756" customFormat="1" x14ac:dyDescent="0.25"/>
    <row r="276757" customFormat="1" x14ac:dyDescent="0.25"/>
    <row r="276758" customFormat="1" x14ac:dyDescent="0.25"/>
    <row r="276759" customFormat="1" x14ac:dyDescent="0.25"/>
    <row r="276760" customFormat="1" x14ac:dyDescent="0.25"/>
    <row r="276761" customFormat="1" x14ac:dyDescent="0.25"/>
    <row r="276762" customFormat="1" x14ac:dyDescent="0.25"/>
    <row r="276763" customFormat="1" x14ac:dyDescent="0.25"/>
    <row r="276764" customFormat="1" x14ac:dyDescent="0.25"/>
    <row r="276765" customFormat="1" x14ac:dyDescent="0.25"/>
    <row r="276766" customFormat="1" x14ac:dyDescent="0.25"/>
    <row r="276767" customFormat="1" x14ac:dyDescent="0.25"/>
    <row r="276768" customFormat="1" x14ac:dyDescent="0.25"/>
    <row r="276769" customFormat="1" x14ac:dyDescent="0.25"/>
    <row r="276770" customFormat="1" x14ac:dyDescent="0.25"/>
    <row r="276771" customFormat="1" x14ac:dyDescent="0.25"/>
    <row r="276772" customFormat="1" x14ac:dyDescent="0.25"/>
    <row r="276773" customFormat="1" x14ac:dyDescent="0.25"/>
    <row r="276774" customFormat="1" x14ac:dyDescent="0.25"/>
    <row r="276775" customFormat="1" x14ac:dyDescent="0.25"/>
    <row r="276776" customFormat="1" x14ac:dyDescent="0.25"/>
    <row r="276777" customFormat="1" x14ac:dyDescent="0.25"/>
    <row r="276778" customFormat="1" x14ac:dyDescent="0.25"/>
    <row r="276779" customFormat="1" x14ac:dyDescent="0.25"/>
    <row r="276780" customFormat="1" x14ac:dyDescent="0.25"/>
    <row r="276781" customFormat="1" x14ac:dyDescent="0.25"/>
    <row r="276782" customFormat="1" x14ac:dyDescent="0.25"/>
    <row r="276783" customFormat="1" x14ac:dyDescent="0.25"/>
    <row r="276784" customFormat="1" x14ac:dyDescent="0.25"/>
    <row r="276785" customFormat="1" x14ac:dyDescent="0.25"/>
    <row r="276786" customFormat="1" x14ac:dyDescent="0.25"/>
    <row r="276787" customFormat="1" x14ac:dyDescent="0.25"/>
    <row r="276788" customFormat="1" x14ac:dyDescent="0.25"/>
    <row r="276789" customFormat="1" x14ac:dyDescent="0.25"/>
    <row r="276790" customFormat="1" x14ac:dyDescent="0.25"/>
    <row r="276791" customFormat="1" x14ac:dyDescent="0.25"/>
    <row r="276792" customFormat="1" x14ac:dyDescent="0.25"/>
    <row r="276793" customFormat="1" x14ac:dyDescent="0.25"/>
    <row r="276794" customFormat="1" x14ac:dyDescent="0.25"/>
    <row r="276795" customFormat="1" x14ac:dyDescent="0.25"/>
    <row r="276796" customFormat="1" x14ac:dyDescent="0.25"/>
    <row r="276797" customFormat="1" x14ac:dyDescent="0.25"/>
    <row r="276798" customFormat="1" x14ac:dyDescent="0.25"/>
    <row r="276799" customFormat="1" x14ac:dyDescent="0.25"/>
    <row r="276800" customFormat="1" x14ac:dyDescent="0.25"/>
    <row r="276801" customFormat="1" x14ac:dyDescent="0.25"/>
    <row r="276802" customFormat="1" x14ac:dyDescent="0.25"/>
    <row r="276803" customFormat="1" x14ac:dyDescent="0.25"/>
    <row r="276804" customFormat="1" x14ac:dyDescent="0.25"/>
    <row r="276805" customFormat="1" x14ac:dyDescent="0.25"/>
    <row r="276806" customFormat="1" x14ac:dyDescent="0.25"/>
    <row r="276807" customFormat="1" x14ac:dyDescent="0.25"/>
    <row r="276808" customFormat="1" x14ac:dyDescent="0.25"/>
    <row r="276809" customFormat="1" x14ac:dyDescent="0.25"/>
    <row r="276810" customFormat="1" x14ac:dyDescent="0.25"/>
    <row r="276811" customFormat="1" x14ac:dyDescent="0.25"/>
    <row r="276812" customFormat="1" x14ac:dyDescent="0.25"/>
    <row r="276813" customFormat="1" x14ac:dyDescent="0.25"/>
    <row r="276814" customFormat="1" x14ac:dyDescent="0.25"/>
    <row r="276815" customFormat="1" x14ac:dyDescent="0.25"/>
    <row r="276816" customFormat="1" x14ac:dyDescent="0.25"/>
    <row r="276817" customFormat="1" x14ac:dyDescent="0.25"/>
    <row r="276818" customFormat="1" x14ac:dyDescent="0.25"/>
    <row r="276819" customFormat="1" x14ac:dyDescent="0.25"/>
    <row r="276820" customFormat="1" x14ac:dyDescent="0.25"/>
    <row r="276821" customFormat="1" x14ac:dyDescent="0.25"/>
    <row r="276822" customFormat="1" x14ac:dyDescent="0.25"/>
    <row r="276823" customFormat="1" x14ac:dyDescent="0.25"/>
    <row r="276824" customFormat="1" x14ac:dyDescent="0.25"/>
    <row r="276825" customFormat="1" x14ac:dyDescent="0.25"/>
    <row r="276826" customFormat="1" x14ac:dyDescent="0.25"/>
    <row r="276827" customFormat="1" x14ac:dyDescent="0.25"/>
    <row r="276828" customFormat="1" x14ac:dyDescent="0.25"/>
    <row r="276829" customFormat="1" x14ac:dyDescent="0.25"/>
    <row r="276830" customFormat="1" x14ac:dyDescent="0.25"/>
    <row r="276831" customFormat="1" x14ac:dyDescent="0.25"/>
    <row r="276832" customFormat="1" x14ac:dyDescent="0.25"/>
    <row r="276833" customFormat="1" x14ac:dyDescent="0.25"/>
    <row r="276834" customFormat="1" x14ac:dyDescent="0.25"/>
    <row r="276835" customFormat="1" x14ac:dyDescent="0.25"/>
    <row r="276836" customFormat="1" x14ac:dyDescent="0.25"/>
    <row r="276837" customFormat="1" x14ac:dyDescent="0.25"/>
    <row r="276838" customFormat="1" x14ac:dyDescent="0.25"/>
    <row r="276839" customFormat="1" x14ac:dyDescent="0.25"/>
    <row r="276840" customFormat="1" x14ac:dyDescent="0.25"/>
    <row r="276841" customFormat="1" x14ac:dyDescent="0.25"/>
    <row r="276842" customFormat="1" x14ac:dyDescent="0.25"/>
    <row r="276843" customFormat="1" x14ac:dyDescent="0.25"/>
    <row r="276844" customFormat="1" x14ac:dyDescent="0.25"/>
    <row r="276845" customFormat="1" x14ac:dyDescent="0.25"/>
    <row r="276846" customFormat="1" x14ac:dyDescent="0.25"/>
    <row r="276847" customFormat="1" x14ac:dyDescent="0.25"/>
    <row r="276848" customFormat="1" x14ac:dyDescent="0.25"/>
    <row r="276849" customFormat="1" x14ac:dyDescent="0.25"/>
    <row r="276850" customFormat="1" x14ac:dyDescent="0.25"/>
    <row r="276851" customFormat="1" x14ac:dyDescent="0.25"/>
    <row r="276852" customFormat="1" x14ac:dyDescent="0.25"/>
    <row r="276853" customFormat="1" x14ac:dyDescent="0.25"/>
    <row r="276854" customFormat="1" x14ac:dyDescent="0.25"/>
    <row r="276855" customFormat="1" x14ac:dyDescent="0.25"/>
    <row r="276856" customFormat="1" x14ac:dyDescent="0.25"/>
    <row r="276857" customFormat="1" x14ac:dyDescent="0.25"/>
    <row r="276858" customFormat="1" x14ac:dyDescent="0.25"/>
    <row r="276859" customFormat="1" x14ac:dyDescent="0.25"/>
    <row r="276860" customFormat="1" x14ac:dyDescent="0.25"/>
    <row r="276861" customFormat="1" x14ac:dyDescent="0.25"/>
    <row r="276862" customFormat="1" x14ac:dyDescent="0.25"/>
    <row r="276863" customFormat="1" x14ac:dyDescent="0.25"/>
    <row r="276864" customFormat="1" x14ac:dyDescent="0.25"/>
    <row r="276865" customFormat="1" x14ac:dyDescent="0.25"/>
    <row r="276866" customFormat="1" x14ac:dyDescent="0.25"/>
    <row r="276867" customFormat="1" x14ac:dyDescent="0.25"/>
    <row r="276868" customFormat="1" x14ac:dyDescent="0.25"/>
    <row r="276869" customFormat="1" x14ac:dyDescent="0.25"/>
    <row r="276870" customFormat="1" x14ac:dyDescent="0.25"/>
    <row r="276871" customFormat="1" x14ac:dyDescent="0.25"/>
    <row r="276872" customFormat="1" x14ac:dyDescent="0.25"/>
    <row r="276873" customFormat="1" x14ac:dyDescent="0.25"/>
    <row r="276874" customFormat="1" x14ac:dyDescent="0.25"/>
    <row r="276875" customFormat="1" x14ac:dyDescent="0.25"/>
    <row r="276876" customFormat="1" x14ac:dyDescent="0.25"/>
    <row r="276877" customFormat="1" x14ac:dyDescent="0.25"/>
    <row r="276878" customFormat="1" x14ac:dyDescent="0.25"/>
    <row r="276879" customFormat="1" x14ac:dyDescent="0.25"/>
    <row r="276880" customFormat="1" x14ac:dyDescent="0.25"/>
    <row r="276881" customFormat="1" x14ac:dyDescent="0.25"/>
    <row r="276882" customFormat="1" x14ac:dyDescent="0.25"/>
    <row r="276883" customFormat="1" x14ac:dyDescent="0.25"/>
    <row r="276884" customFormat="1" x14ac:dyDescent="0.25"/>
    <row r="276885" customFormat="1" x14ac:dyDescent="0.25"/>
    <row r="276886" customFormat="1" x14ac:dyDescent="0.25"/>
    <row r="276887" customFormat="1" x14ac:dyDescent="0.25"/>
    <row r="276888" customFormat="1" x14ac:dyDescent="0.25"/>
    <row r="276889" customFormat="1" x14ac:dyDescent="0.25"/>
    <row r="276890" customFormat="1" x14ac:dyDescent="0.25"/>
    <row r="276891" customFormat="1" x14ac:dyDescent="0.25"/>
    <row r="276892" customFormat="1" x14ac:dyDescent="0.25"/>
    <row r="276893" customFormat="1" x14ac:dyDescent="0.25"/>
    <row r="276894" customFormat="1" x14ac:dyDescent="0.25"/>
    <row r="276895" customFormat="1" x14ac:dyDescent="0.25"/>
    <row r="276896" customFormat="1" x14ac:dyDescent="0.25"/>
    <row r="276897" customFormat="1" x14ac:dyDescent="0.25"/>
    <row r="276898" customFormat="1" x14ac:dyDescent="0.25"/>
    <row r="276899" customFormat="1" x14ac:dyDescent="0.25"/>
    <row r="276900" customFormat="1" x14ac:dyDescent="0.25"/>
    <row r="276901" customFormat="1" x14ac:dyDescent="0.25"/>
    <row r="276902" customFormat="1" x14ac:dyDescent="0.25"/>
    <row r="276903" customFormat="1" x14ac:dyDescent="0.25"/>
    <row r="276904" customFormat="1" x14ac:dyDescent="0.25"/>
    <row r="276905" customFormat="1" x14ac:dyDescent="0.25"/>
    <row r="276906" customFormat="1" x14ac:dyDescent="0.25"/>
    <row r="276907" customFormat="1" x14ac:dyDescent="0.25"/>
    <row r="276908" customFormat="1" x14ac:dyDescent="0.25"/>
    <row r="276909" customFormat="1" x14ac:dyDescent="0.25"/>
    <row r="276910" customFormat="1" x14ac:dyDescent="0.25"/>
    <row r="276911" customFormat="1" x14ac:dyDescent="0.25"/>
    <row r="276912" customFormat="1" x14ac:dyDescent="0.25"/>
    <row r="276913" customFormat="1" x14ac:dyDescent="0.25"/>
    <row r="276914" customFormat="1" x14ac:dyDescent="0.25"/>
    <row r="276915" customFormat="1" x14ac:dyDescent="0.25"/>
    <row r="276916" customFormat="1" x14ac:dyDescent="0.25"/>
    <row r="276917" customFormat="1" x14ac:dyDescent="0.25"/>
    <row r="276918" customFormat="1" x14ac:dyDescent="0.25"/>
    <row r="276919" customFormat="1" x14ac:dyDescent="0.25"/>
    <row r="276920" customFormat="1" x14ac:dyDescent="0.25"/>
    <row r="276921" customFormat="1" x14ac:dyDescent="0.25"/>
    <row r="276922" customFormat="1" x14ac:dyDescent="0.25"/>
    <row r="276923" customFormat="1" x14ac:dyDescent="0.25"/>
    <row r="276924" customFormat="1" x14ac:dyDescent="0.25"/>
    <row r="276925" customFormat="1" x14ac:dyDescent="0.25"/>
    <row r="276926" customFormat="1" x14ac:dyDescent="0.25"/>
    <row r="276927" customFormat="1" x14ac:dyDescent="0.25"/>
    <row r="276928" customFormat="1" x14ac:dyDescent="0.25"/>
    <row r="276929" customFormat="1" x14ac:dyDescent="0.25"/>
    <row r="276930" customFormat="1" x14ac:dyDescent="0.25"/>
    <row r="276931" customFormat="1" x14ac:dyDescent="0.25"/>
    <row r="276932" customFormat="1" x14ac:dyDescent="0.25"/>
    <row r="276933" customFormat="1" x14ac:dyDescent="0.25"/>
    <row r="276934" customFormat="1" x14ac:dyDescent="0.25"/>
    <row r="276935" customFormat="1" x14ac:dyDescent="0.25"/>
    <row r="276936" customFormat="1" x14ac:dyDescent="0.25"/>
    <row r="276937" customFormat="1" x14ac:dyDescent="0.25"/>
    <row r="276938" customFormat="1" x14ac:dyDescent="0.25"/>
    <row r="276939" customFormat="1" x14ac:dyDescent="0.25"/>
    <row r="276940" customFormat="1" x14ac:dyDescent="0.25"/>
    <row r="276941" customFormat="1" x14ac:dyDescent="0.25"/>
    <row r="276942" customFormat="1" x14ac:dyDescent="0.25"/>
    <row r="276943" customFormat="1" x14ac:dyDescent="0.25"/>
    <row r="276944" customFormat="1" x14ac:dyDescent="0.25"/>
    <row r="276945" customFormat="1" x14ac:dyDescent="0.25"/>
    <row r="276946" customFormat="1" x14ac:dyDescent="0.25"/>
    <row r="276947" customFormat="1" x14ac:dyDescent="0.25"/>
    <row r="276948" customFormat="1" x14ac:dyDescent="0.25"/>
    <row r="276949" customFormat="1" x14ac:dyDescent="0.25"/>
    <row r="276950" customFormat="1" x14ac:dyDescent="0.25"/>
    <row r="276951" customFormat="1" x14ac:dyDescent="0.25"/>
    <row r="276952" customFormat="1" x14ac:dyDescent="0.25"/>
    <row r="276953" customFormat="1" x14ac:dyDescent="0.25"/>
    <row r="276954" customFormat="1" x14ac:dyDescent="0.25"/>
    <row r="276955" customFormat="1" x14ac:dyDescent="0.25"/>
    <row r="276956" customFormat="1" x14ac:dyDescent="0.25"/>
    <row r="276957" customFormat="1" x14ac:dyDescent="0.25"/>
    <row r="276958" customFormat="1" x14ac:dyDescent="0.25"/>
    <row r="276959" customFormat="1" x14ac:dyDescent="0.25"/>
    <row r="276960" customFormat="1" x14ac:dyDescent="0.25"/>
    <row r="276961" customFormat="1" x14ac:dyDescent="0.25"/>
    <row r="276962" customFormat="1" x14ac:dyDescent="0.25"/>
    <row r="276963" customFormat="1" x14ac:dyDescent="0.25"/>
    <row r="276964" customFormat="1" x14ac:dyDescent="0.25"/>
    <row r="276965" customFormat="1" x14ac:dyDescent="0.25"/>
    <row r="276966" customFormat="1" x14ac:dyDescent="0.25"/>
    <row r="276967" customFormat="1" x14ac:dyDescent="0.25"/>
    <row r="276968" customFormat="1" x14ac:dyDescent="0.25"/>
    <row r="276969" customFormat="1" x14ac:dyDescent="0.25"/>
    <row r="276970" customFormat="1" x14ac:dyDescent="0.25"/>
    <row r="276971" customFormat="1" x14ac:dyDescent="0.25"/>
    <row r="276972" customFormat="1" x14ac:dyDescent="0.25"/>
    <row r="276973" customFormat="1" x14ac:dyDescent="0.25"/>
    <row r="276974" customFormat="1" x14ac:dyDescent="0.25"/>
    <row r="276975" customFormat="1" x14ac:dyDescent="0.25"/>
    <row r="276976" customFormat="1" x14ac:dyDescent="0.25"/>
    <row r="276977" customFormat="1" x14ac:dyDescent="0.25"/>
    <row r="276978" customFormat="1" x14ac:dyDescent="0.25"/>
    <row r="276979" customFormat="1" x14ac:dyDescent="0.25"/>
    <row r="276980" customFormat="1" x14ac:dyDescent="0.25"/>
    <row r="276981" customFormat="1" x14ac:dyDescent="0.25"/>
    <row r="276982" customFormat="1" x14ac:dyDescent="0.25"/>
    <row r="276983" customFormat="1" x14ac:dyDescent="0.25"/>
    <row r="276984" customFormat="1" x14ac:dyDescent="0.25"/>
    <row r="276985" customFormat="1" x14ac:dyDescent="0.25"/>
    <row r="276986" customFormat="1" x14ac:dyDescent="0.25"/>
    <row r="276987" customFormat="1" x14ac:dyDescent="0.25"/>
    <row r="276988" customFormat="1" x14ac:dyDescent="0.25"/>
    <row r="276989" customFormat="1" x14ac:dyDescent="0.25"/>
    <row r="276990" customFormat="1" x14ac:dyDescent="0.25"/>
    <row r="276991" customFormat="1" x14ac:dyDescent="0.25"/>
    <row r="276992" customFormat="1" x14ac:dyDescent="0.25"/>
    <row r="276993" customFormat="1" x14ac:dyDescent="0.25"/>
    <row r="276994" customFormat="1" x14ac:dyDescent="0.25"/>
    <row r="276995" customFormat="1" x14ac:dyDescent="0.25"/>
    <row r="276996" customFormat="1" x14ac:dyDescent="0.25"/>
    <row r="276997" customFormat="1" x14ac:dyDescent="0.25"/>
    <row r="276998" customFormat="1" x14ac:dyDescent="0.25"/>
    <row r="276999" customFormat="1" x14ac:dyDescent="0.25"/>
    <row r="277000" customFormat="1" x14ac:dyDescent="0.25"/>
    <row r="277001" customFormat="1" x14ac:dyDescent="0.25"/>
    <row r="277002" customFormat="1" x14ac:dyDescent="0.25"/>
    <row r="277003" customFormat="1" x14ac:dyDescent="0.25"/>
    <row r="277004" customFormat="1" x14ac:dyDescent="0.25"/>
    <row r="277005" customFormat="1" x14ac:dyDescent="0.25"/>
    <row r="277006" customFormat="1" x14ac:dyDescent="0.25"/>
    <row r="277007" customFormat="1" x14ac:dyDescent="0.25"/>
    <row r="277008" customFormat="1" x14ac:dyDescent="0.25"/>
    <row r="277009" customFormat="1" x14ac:dyDescent="0.25"/>
    <row r="277010" customFormat="1" x14ac:dyDescent="0.25"/>
    <row r="277011" customFormat="1" x14ac:dyDescent="0.25"/>
    <row r="277012" customFormat="1" x14ac:dyDescent="0.25"/>
    <row r="277013" customFormat="1" x14ac:dyDescent="0.25"/>
    <row r="277014" customFormat="1" x14ac:dyDescent="0.25"/>
    <row r="277015" customFormat="1" x14ac:dyDescent="0.25"/>
    <row r="277016" customFormat="1" x14ac:dyDescent="0.25"/>
    <row r="277017" customFormat="1" x14ac:dyDescent="0.25"/>
    <row r="277018" customFormat="1" x14ac:dyDescent="0.25"/>
    <row r="277019" customFormat="1" x14ac:dyDescent="0.25"/>
    <row r="277020" customFormat="1" x14ac:dyDescent="0.25"/>
    <row r="277021" customFormat="1" x14ac:dyDescent="0.25"/>
    <row r="277022" customFormat="1" x14ac:dyDescent="0.25"/>
    <row r="277023" customFormat="1" x14ac:dyDescent="0.25"/>
    <row r="277024" customFormat="1" x14ac:dyDescent="0.25"/>
    <row r="277025" customFormat="1" x14ac:dyDescent="0.25"/>
    <row r="277026" customFormat="1" x14ac:dyDescent="0.25"/>
    <row r="277027" customFormat="1" x14ac:dyDescent="0.25"/>
    <row r="277028" customFormat="1" x14ac:dyDescent="0.25"/>
    <row r="277029" customFormat="1" x14ac:dyDescent="0.25"/>
    <row r="277030" customFormat="1" x14ac:dyDescent="0.25"/>
    <row r="277031" customFormat="1" x14ac:dyDescent="0.25"/>
    <row r="277032" customFormat="1" x14ac:dyDescent="0.25"/>
    <row r="277033" customFormat="1" x14ac:dyDescent="0.25"/>
    <row r="277034" customFormat="1" x14ac:dyDescent="0.25"/>
    <row r="277035" customFormat="1" x14ac:dyDescent="0.25"/>
    <row r="277036" customFormat="1" x14ac:dyDescent="0.25"/>
    <row r="277037" customFormat="1" x14ac:dyDescent="0.25"/>
    <row r="277038" customFormat="1" x14ac:dyDescent="0.25"/>
    <row r="277039" customFormat="1" x14ac:dyDescent="0.25"/>
    <row r="277040" customFormat="1" x14ac:dyDescent="0.25"/>
    <row r="277041" customFormat="1" x14ac:dyDescent="0.25"/>
    <row r="277042" customFormat="1" x14ac:dyDescent="0.25"/>
    <row r="277043" customFormat="1" x14ac:dyDescent="0.25"/>
    <row r="277044" customFormat="1" x14ac:dyDescent="0.25"/>
    <row r="277045" customFormat="1" x14ac:dyDescent="0.25"/>
    <row r="277046" customFormat="1" x14ac:dyDescent="0.25"/>
    <row r="277047" customFormat="1" x14ac:dyDescent="0.25"/>
    <row r="277048" customFormat="1" x14ac:dyDescent="0.25"/>
    <row r="277049" customFormat="1" x14ac:dyDescent="0.25"/>
    <row r="277050" customFormat="1" x14ac:dyDescent="0.25"/>
    <row r="277051" customFormat="1" x14ac:dyDescent="0.25"/>
    <row r="277052" customFormat="1" x14ac:dyDescent="0.25"/>
    <row r="277053" customFormat="1" x14ac:dyDescent="0.25"/>
    <row r="277054" customFormat="1" x14ac:dyDescent="0.25"/>
    <row r="277055" customFormat="1" x14ac:dyDescent="0.25"/>
    <row r="277056" customFormat="1" x14ac:dyDescent="0.25"/>
    <row r="277057" customFormat="1" x14ac:dyDescent="0.25"/>
    <row r="277058" customFormat="1" x14ac:dyDescent="0.25"/>
    <row r="277059" customFormat="1" x14ac:dyDescent="0.25"/>
    <row r="277060" customFormat="1" x14ac:dyDescent="0.25"/>
    <row r="277061" customFormat="1" x14ac:dyDescent="0.25"/>
    <row r="277062" customFormat="1" x14ac:dyDescent="0.25"/>
    <row r="277063" customFormat="1" x14ac:dyDescent="0.25"/>
    <row r="277064" customFormat="1" x14ac:dyDescent="0.25"/>
    <row r="277065" customFormat="1" x14ac:dyDescent="0.25"/>
    <row r="277066" customFormat="1" x14ac:dyDescent="0.25"/>
    <row r="277067" customFormat="1" x14ac:dyDescent="0.25"/>
    <row r="277068" customFormat="1" x14ac:dyDescent="0.25"/>
    <row r="277069" customFormat="1" x14ac:dyDescent="0.25"/>
    <row r="277070" customFormat="1" x14ac:dyDescent="0.25"/>
    <row r="277071" customFormat="1" x14ac:dyDescent="0.25"/>
    <row r="277072" customFormat="1" x14ac:dyDescent="0.25"/>
    <row r="277073" customFormat="1" x14ac:dyDescent="0.25"/>
    <row r="277074" customFormat="1" x14ac:dyDescent="0.25"/>
    <row r="277075" customFormat="1" x14ac:dyDescent="0.25"/>
    <row r="277076" customFormat="1" x14ac:dyDescent="0.25"/>
    <row r="277077" customFormat="1" x14ac:dyDescent="0.25"/>
    <row r="277078" customFormat="1" x14ac:dyDescent="0.25"/>
    <row r="277079" customFormat="1" x14ac:dyDescent="0.25"/>
    <row r="277080" customFormat="1" x14ac:dyDescent="0.25"/>
    <row r="277081" customFormat="1" x14ac:dyDescent="0.25"/>
    <row r="277082" customFormat="1" x14ac:dyDescent="0.25"/>
    <row r="277083" customFormat="1" x14ac:dyDescent="0.25"/>
    <row r="277084" customFormat="1" x14ac:dyDescent="0.25"/>
    <row r="277085" customFormat="1" x14ac:dyDescent="0.25"/>
    <row r="277086" customFormat="1" x14ac:dyDescent="0.25"/>
    <row r="277087" customFormat="1" x14ac:dyDescent="0.25"/>
    <row r="277088" customFormat="1" x14ac:dyDescent="0.25"/>
    <row r="277089" customFormat="1" x14ac:dyDescent="0.25"/>
    <row r="277090" customFormat="1" x14ac:dyDescent="0.25"/>
    <row r="277091" customFormat="1" x14ac:dyDescent="0.25"/>
    <row r="277092" customFormat="1" x14ac:dyDescent="0.25"/>
    <row r="277093" customFormat="1" x14ac:dyDescent="0.25"/>
    <row r="277094" customFormat="1" x14ac:dyDescent="0.25"/>
    <row r="277095" customFormat="1" x14ac:dyDescent="0.25"/>
    <row r="277096" customFormat="1" x14ac:dyDescent="0.25"/>
    <row r="277097" customFormat="1" x14ac:dyDescent="0.25"/>
    <row r="277098" customFormat="1" x14ac:dyDescent="0.25"/>
    <row r="277099" customFormat="1" x14ac:dyDescent="0.25"/>
    <row r="277100" customFormat="1" x14ac:dyDescent="0.25"/>
    <row r="277101" customFormat="1" x14ac:dyDescent="0.25"/>
    <row r="277102" customFormat="1" x14ac:dyDescent="0.25"/>
    <row r="277103" customFormat="1" x14ac:dyDescent="0.25"/>
    <row r="277104" customFormat="1" x14ac:dyDescent="0.25"/>
    <row r="277105" customFormat="1" x14ac:dyDescent="0.25"/>
    <row r="277106" customFormat="1" x14ac:dyDescent="0.25"/>
    <row r="277107" customFormat="1" x14ac:dyDescent="0.25"/>
    <row r="277108" customFormat="1" x14ac:dyDescent="0.25"/>
    <row r="277109" customFormat="1" x14ac:dyDescent="0.25"/>
    <row r="277110" customFormat="1" x14ac:dyDescent="0.25"/>
    <row r="277111" customFormat="1" x14ac:dyDescent="0.25"/>
    <row r="277112" customFormat="1" x14ac:dyDescent="0.25"/>
    <row r="277113" customFormat="1" x14ac:dyDescent="0.25"/>
    <row r="277114" customFormat="1" x14ac:dyDescent="0.25"/>
    <row r="277115" customFormat="1" x14ac:dyDescent="0.25"/>
    <row r="277116" customFormat="1" x14ac:dyDescent="0.25"/>
    <row r="277117" customFormat="1" x14ac:dyDescent="0.25"/>
    <row r="277118" customFormat="1" x14ac:dyDescent="0.25"/>
    <row r="277119" customFormat="1" x14ac:dyDescent="0.25"/>
    <row r="277120" customFormat="1" x14ac:dyDescent="0.25"/>
    <row r="277121" customFormat="1" x14ac:dyDescent="0.25"/>
    <row r="277122" customFormat="1" x14ac:dyDescent="0.25"/>
    <row r="277123" customFormat="1" x14ac:dyDescent="0.25"/>
    <row r="277124" customFormat="1" x14ac:dyDescent="0.25"/>
    <row r="277125" customFormat="1" x14ac:dyDescent="0.25"/>
    <row r="277126" customFormat="1" x14ac:dyDescent="0.25"/>
    <row r="277127" customFormat="1" x14ac:dyDescent="0.25"/>
    <row r="277128" customFormat="1" x14ac:dyDescent="0.25"/>
    <row r="277129" customFormat="1" x14ac:dyDescent="0.25"/>
    <row r="277130" customFormat="1" x14ac:dyDescent="0.25"/>
    <row r="277131" customFormat="1" x14ac:dyDescent="0.25"/>
    <row r="277132" customFormat="1" x14ac:dyDescent="0.25"/>
    <row r="277133" customFormat="1" x14ac:dyDescent="0.25"/>
    <row r="277134" customFormat="1" x14ac:dyDescent="0.25"/>
    <row r="277135" customFormat="1" x14ac:dyDescent="0.25"/>
    <row r="277136" customFormat="1" x14ac:dyDescent="0.25"/>
    <row r="277137" customFormat="1" x14ac:dyDescent="0.25"/>
    <row r="277138" customFormat="1" x14ac:dyDescent="0.25"/>
    <row r="277139" customFormat="1" x14ac:dyDescent="0.25"/>
    <row r="277140" customFormat="1" x14ac:dyDescent="0.25"/>
    <row r="277141" customFormat="1" x14ac:dyDescent="0.25"/>
    <row r="277142" customFormat="1" x14ac:dyDescent="0.25"/>
    <row r="277143" customFormat="1" x14ac:dyDescent="0.25"/>
    <row r="277144" customFormat="1" x14ac:dyDescent="0.25"/>
    <row r="277145" customFormat="1" x14ac:dyDescent="0.25"/>
    <row r="277146" customFormat="1" x14ac:dyDescent="0.25"/>
    <row r="277147" customFormat="1" x14ac:dyDescent="0.25"/>
    <row r="277148" customFormat="1" x14ac:dyDescent="0.25"/>
    <row r="277149" customFormat="1" x14ac:dyDescent="0.25"/>
    <row r="277150" customFormat="1" x14ac:dyDescent="0.25"/>
    <row r="277151" customFormat="1" x14ac:dyDescent="0.25"/>
    <row r="277152" customFormat="1" x14ac:dyDescent="0.25"/>
    <row r="277153" customFormat="1" x14ac:dyDescent="0.25"/>
    <row r="277154" customFormat="1" x14ac:dyDescent="0.25"/>
    <row r="277155" customFormat="1" x14ac:dyDescent="0.25"/>
    <row r="277156" customFormat="1" x14ac:dyDescent="0.25"/>
    <row r="277157" customFormat="1" x14ac:dyDescent="0.25"/>
    <row r="277158" customFormat="1" x14ac:dyDescent="0.25"/>
    <row r="277159" customFormat="1" x14ac:dyDescent="0.25"/>
    <row r="277160" customFormat="1" x14ac:dyDescent="0.25"/>
    <row r="277161" customFormat="1" x14ac:dyDescent="0.25"/>
    <row r="277162" customFormat="1" x14ac:dyDescent="0.25"/>
    <row r="277163" customFormat="1" x14ac:dyDescent="0.25"/>
    <row r="277164" customFormat="1" x14ac:dyDescent="0.25"/>
    <row r="277165" customFormat="1" x14ac:dyDescent="0.25"/>
    <row r="277166" customFormat="1" x14ac:dyDescent="0.25"/>
    <row r="277167" customFormat="1" x14ac:dyDescent="0.25"/>
    <row r="277168" customFormat="1" x14ac:dyDescent="0.25"/>
    <row r="277169" customFormat="1" x14ac:dyDescent="0.25"/>
    <row r="277170" customFormat="1" x14ac:dyDescent="0.25"/>
    <row r="277171" customFormat="1" x14ac:dyDescent="0.25"/>
    <row r="277172" customFormat="1" x14ac:dyDescent="0.25"/>
    <row r="277173" customFormat="1" x14ac:dyDescent="0.25"/>
    <row r="277174" customFormat="1" x14ac:dyDescent="0.25"/>
    <row r="277175" customFormat="1" x14ac:dyDescent="0.25"/>
    <row r="277176" customFormat="1" x14ac:dyDescent="0.25"/>
    <row r="277177" customFormat="1" x14ac:dyDescent="0.25"/>
    <row r="277178" customFormat="1" x14ac:dyDescent="0.25"/>
    <row r="277179" customFormat="1" x14ac:dyDescent="0.25"/>
    <row r="277180" customFormat="1" x14ac:dyDescent="0.25"/>
    <row r="277181" customFormat="1" x14ac:dyDescent="0.25"/>
    <row r="277182" customFormat="1" x14ac:dyDescent="0.25"/>
    <row r="277183" customFormat="1" x14ac:dyDescent="0.25"/>
    <row r="277184" customFormat="1" x14ac:dyDescent="0.25"/>
    <row r="277185" customFormat="1" x14ac:dyDescent="0.25"/>
    <row r="277186" customFormat="1" x14ac:dyDescent="0.25"/>
    <row r="277187" customFormat="1" x14ac:dyDescent="0.25"/>
    <row r="277188" customFormat="1" x14ac:dyDescent="0.25"/>
    <row r="277189" customFormat="1" x14ac:dyDescent="0.25"/>
    <row r="277190" customFormat="1" x14ac:dyDescent="0.25"/>
    <row r="277191" customFormat="1" x14ac:dyDescent="0.25"/>
    <row r="277192" customFormat="1" x14ac:dyDescent="0.25"/>
    <row r="277193" customFormat="1" x14ac:dyDescent="0.25"/>
    <row r="277194" customFormat="1" x14ac:dyDescent="0.25"/>
    <row r="277195" customFormat="1" x14ac:dyDescent="0.25"/>
    <row r="277196" customFormat="1" x14ac:dyDescent="0.25"/>
    <row r="277197" customFormat="1" x14ac:dyDescent="0.25"/>
    <row r="277198" customFormat="1" x14ac:dyDescent="0.25"/>
    <row r="277199" customFormat="1" x14ac:dyDescent="0.25"/>
    <row r="277200" customFormat="1" x14ac:dyDescent="0.25"/>
    <row r="277201" customFormat="1" x14ac:dyDescent="0.25"/>
    <row r="277202" customFormat="1" x14ac:dyDescent="0.25"/>
    <row r="277203" customFormat="1" x14ac:dyDescent="0.25"/>
    <row r="277204" customFormat="1" x14ac:dyDescent="0.25"/>
    <row r="277205" customFormat="1" x14ac:dyDescent="0.25"/>
    <row r="277206" customFormat="1" x14ac:dyDescent="0.25"/>
    <row r="277207" customFormat="1" x14ac:dyDescent="0.25"/>
    <row r="277208" customFormat="1" x14ac:dyDescent="0.25"/>
    <row r="277209" customFormat="1" x14ac:dyDescent="0.25"/>
    <row r="277210" customFormat="1" x14ac:dyDescent="0.25"/>
    <row r="277211" customFormat="1" x14ac:dyDescent="0.25"/>
    <row r="277212" customFormat="1" x14ac:dyDescent="0.25"/>
    <row r="277213" customFormat="1" x14ac:dyDescent="0.25"/>
    <row r="277214" customFormat="1" x14ac:dyDescent="0.25"/>
    <row r="277215" customFormat="1" x14ac:dyDescent="0.25"/>
    <row r="277216" customFormat="1" x14ac:dyDescent="0.25"/>
    <row r="277217" customFormat="1" x14ac:dyDescent="0.25"/>
    <row r="277218" customFormat="1" x14ac:dyDescent="0.25"/>
    <row r="277219" customFormat="1" x14ac:dyDescent="0.25"/>
    <row r="277220" customFormat="1" x14ac:dyDescent="0.25"/>
    <row r="277221" customFormat="1" x14ac:dyDescent="0.25"/>
    <row r="277222" customFormat="1" x14ac:dyDescent="0.25"/>
    <row r="277223" customFormat="1" x14ac:dyDescent="0.25"/>
    <row r="277224" customFormat="1" x14ac:dyDescent="0.25"/>
    <row r="277225" customFormat="1" x14ac:dyDescent="0.25"/>
    <row r="277226" customFormat="1" x14ac:dyDescent="0.25"/>
    <row r="277227" customFormat="1" x14ac:dyDescent="0.25"/>
    <row r="277228" customFormat="1" x14ac:dyDescent="0.25"/>
    <row r="277229" customFormat="1" x14ac:dyDescent="0.25"/>
    <row r="277230" customFormat="1" x14ac:dyDescent="0.25"/>
    <row r="277231" customFormat="1" x14ac:dyDescent="0.25"/>
    <row r="277232" customFormat="1" x14ac:dyDescent="0.25"/>
    <row r="277233" customFormat="1" x14ac:dyDescent="0.25"/>
    <row r="277234" customFormat="1" x14ac:dyDescent="0.25"/>
    <row r="277235" customFormat="1" x14ac:dyDescent="0.25"/>
    <row r="277236" customFormat="1" x14ac:dyDescent="0.25"/>
    <row r="277237" customFormat="1" x14ac:dyDescent="0.25"/>
    <row r="277238" customFormat="1" x14ac:dyDescent="0.25"/>
    <row r="277239" customFormat="1" x14ac:dyDescent="0.25"/>
    <row r="277240" customFormat="1" x14ac:dyDescent="0.25"/>
    <row r="277241" customFormat="1" x14ac:dyDescent="0.25"/>
    <row r="277242" customFormat="1" x14ac:dyDescent="0.25"/>
    <row r="277243" customFormat="1" x14ac:dyDescent="0.25"/>
    <row r="277244" customFormat="1" x14ac:dyDescent="0.25"/>
    <row r="277245" customFormat="1" x14ac:dyDescent="0.25"/>
    <row r="277246" customFormat="1" x14ac:dyDescent="0.25"/>
    <row r="277247" customFormat="1" x14ac:dyDescent="0.25"/>
    <row r="277248" customFormat="1" x14ac:dyDescent="0.25"/>
    <row r="277249" customFormat="1" x14ac:dyDescent="0.25"/>
    <row r="277250" customFormat="1" x14ac:dyDescent="0.25"/>
    <row r="277251" customFormat="1" x14ac:dyDescent="0.25"/>
    <row r="277252" customFormat="1" x14ac:dyDescent="0.25"/>
    <row r="277253" customFormat="1" x14ac:dyDescent="0.25"/>
    <row r="277254" customFormat="1" x14ac:dyDescent="0.25"/>
    <row r="277255" customFormat="1" x14ac:dyDescent="0.25"/>
    <row r="277256" customFormat="1" x14ac:dyDescent="0.25"/>
    <row r="277257" customFormat="1" x14ac:dyDescent="0.25"/>
    <row r="277258" customFormat="1" x14ac:dyDescent="0.25"/>
    <row r="277259" customFormat="1" x14ac:dyDescent="0.25"/>
    <row r="277260" customFormat="1" x14ac:dyDescent="0.25"/>
    <row r="277261" customFormat="1" x14ac:dyDescent="0.25"/>
    <row r="277262" customFormat="1" x14ac:dyDescent="0.25"/>
    <row r="277263" customFormat="1" x14ac:dyDescent="0.25"/>
    <row r="277264" customFormat="1" x14ac:dyDescent="0.25"/>
    <row r="277265" customFormat="1" x14ac:dyDescent="0.25"/>
    <row r="277266" customFormat="1" x14ac:dyDescent="0.25"/>
    <row r="277267" customFormat="1" x14ac:dyDescent="0.25"/>
    <row r="277268" customFormat="1" x14ac:dyDescent="0.25"/>
    <row r="277269" customFormat="1" x14ac:dyDescent="0.25"/>
    <row r="277270" customFormat="1" x14ac:dyDescent="0.25"/>
    <row r="277271" customFormat="1" x14ac:dyDescent="0.25"/>
    <row r="277272" customFormat="1" x14ac:dyDescent="0.25"/>
    <row r="277273" customFormat="1" x14ac:dyDescent="0.25"/>
    <row r="277274" customFormat="1" x14ac:dyDescent="0.25"/>
    <row r="277275" customFormat="1" x14ac:dyDescent="0.25"/>
    <row r="277276" customFormat="1" x14ac:dyDescent="0.25"/>
    <row r="277277" customFormat="1" x14ac:dyDescent="0.25"/>
    <row r="277278" customFormat="1" x14ac:dyDescent="0.25"/>
    <row r="277279" customFormat="1" x14ac:dyDescent="0.25"/>
    <row r="277280" customFormat="1" x14ac:dyDescent="0.25"/>
    <row r="277281" customFormat="1" x14ac:dyDescent="0.25"/>
    <row r="277282" customFormat="1" x14ac:dyDescent="0.25"/>
    <row r="277283" customFormat="1" x14ac:dyDescent="0.25"/>
    <row r="277284" customFormat="1" x14ac:dyDescent="0.25"/>
    <row r="277285" customFormat="1" x14ac:dyDescent="0.25"/>
    <row r="277286" customFormat="1" x14ac:dyDescent="0.25"/>
    <row r="277287" customFormat="1" x14ac:dyDescent="0.25"/>
    <row r="277288" customFormat="1" x14ac:dyDescent="0.25"/>
    <row r="277289" customFormat="1" x14ac:dyDescent="0.25"/>
    <row r="277290" customFormat="1" x14ac:dyDescent="0.25"/>
    <row r="277291" customFormat="1" x14ac:dyDescent="0.25"/>
    <row r="277292" customFormat="1" x14ac:dyDescent="0.25"/>
    <row r="277293" customFormat="1" x14ac:dyDescent="0.25"/>
    <row r="277294" customFormat="1" x14ac:dyDescent="0.25"/>
    <row r="277295" customFormat="1" x14ac:dyDescent="0.25"/>
    <row r="277296" customFormat="1" x14ac:dyDescent="0.25"/>
    <row r="277297" customFormat="1" x14ac:dyDescent="0.25"/>
    <row r="277298" customFormat="1" x14ac:dyDescent="0.25"/>
    <row r="277299" customFormat="1" x14ac:dyDescent="0.25"/>
    <row r="277300" customFormat="1" x14ac:dyDescent="0.25"/>
    <row r="277301" customFormat="1" x14ac:dyDescent="0.25"/>
    <row r="277302" customFormat="1" x14ac:dyDescent="0.25"/>
    <row r="277303" customFormat="1" x14ac:dyDescent="0.25"/>
    <row r="277304" customFormat="1" x14ac:dyDescent="0.25"/>
    <row r="277305" customFormat="1" x14ac:dyDescent="0.25"/>
    <row r="277306" customFormat="1" x14ac:dyDescent="0.25"/>
    <row r="277307" customFormat="1" x14ac:dyDescent="0.25"/>
    <row r="277308" customFormat="1" x14ac:dyDescent="0.25"/>
    <row r="277309" customFormat="1" x14ac:dyDescent="0.25"/>
    <row r="277310" customFormat="1" x14ac:dyDescent="0.25"/>
    <row r="277311" customFormat="1" x14ac:dyDescent="0.25"/>
    <row r="277312" customFormat="1" x14ac:dyDescent="0.25"/>
    <row r="277313" customFormat="1" x14ac:dyDescent="0.25"/>
    <row r="277314" customFormat="1" x14ac:dyDescent="0.25"/>
    <row r="277315" customFormat="1" x14ac:dyDescent="0.25"/>
    <row r="277316" customFormat="1" x14ac:dyDescent="0.25"/>
    <row r="277317" customFormat="1" x14ac:dyDescent="0.25"/>
    <row r="277318" customFormat="1" x14ac:dyDescent="0.25"/>
    <row r="277319" customFormat="1" x14ac:dyDescent="0.25"/>
    <row r="277320" customFormat="1" x14ac:dyDescent="0.25"/>
    <row r="277321" customFormat="1" x14ac:dyDescent="0.25"/>
    <row r="277322" customFormat="1" x14ac:dyDescent="0.25"/>
    <row r="277323" customFormat="1" x14ac:dyDescent="0.25"/>
    <row r="277324" customFormat="1" x14ac:dyDescent="0.25"/>
    <row r="277325" customFormat="1" x14ac:dyDescent="0.25"/>
    <row r="277326" customFormat="1" x14ac:dyDescent="0.25"/>
    <row r="277327" customFormat="1" x14ac:dyDescent="0.25"/>
    <row r="277328" customFormat="1" x14ac:dyDescent="0.25"/>
    <row r="277329" customFormat="1" x14ac:dyDescent="0.25"/>
    <row r="277330" customFormat="1" x14ac:dyDescent="0.25"/>
    <row r="277331" customFormat="1" x14ac:dyDescent="0.25"/>
    <row r="277332" customFormat="1" x14ac:dyDescent="0.25"/>
    <row r="277333" customFormat="1" x14ac:dyDescent="0.25"/>
    <row r="277334" customFormat="1" x14ac:dyDescent="0.25"/>
    <row r="277335" customFormat="1" x14ac:dyDescent="0.25"/>
    <row r="277336" customFormat="1" x14ac:dyDescent="0.25"/>
    <row r="277337" customFormat="1" x14ac:dyDescent="0.25"/>
    <row r="277338" customFormat="1" x14ac:dyDescent="0.25"/>
    <row r="277339" customFormat="1" x14ac:dyDescent="0.25"/>
    <row r="277340" customFormat="1" x14ac:dyDescent="0.25"/>
    <row r="277341" customFormat="1" x14ac:dyDescent="0.25"/>
    <row r="277342" customFormat="1" x14ac:dyDescent="0.25"/>
    <row r="277343" customFormat="1" x14ac:dyDescent="0.25"/>
    <row r="277344" customFormat="1" x14ac:dyDescent="0.25"/>
    <row r="277345" customFormat="1" x14ac:dyDescent="0.25"/>
    <row r="277346" customFormat="1" x14ac:dyDescent="0.25"/>
    <row r="277347" customFormat="1" x14ac:dyDescent="0.25"/>
    <row r="277348" customFormat="1" x14ac:dyDescent="0.25"/>
    <row r="277349" customFormat="1" x14ac:dyDescent="0.25"/>
    <row r="277350" customFormat="1" x14ac:dyDescent="0.25"/>
    <row r="277351" customFormat="1" x14ac:dyDescent="0.25"/>
    <row r="277352" customFormat="1" x14ac:dyDescent="0.25"/>
    <row r="277353" customFormat="1" x14ac:dyDescent="0.25"/>
    <row r="277354" customFormat="1" x14ac:dyDescent="0.25"/>
    <row r="277355" customFormat="1" x14ac:dyDescent="0.25"/>
    <row r="277356" customFormat="1" x14ac:dyDescent="0.25"/>
    <row r="277357" customFormat="1" x14ac:dyDescent="0.25"/>
    <row r="277358" customFormat="1" x14ac:dyDescent="0.25"/>
    <row r="277359" customFormat="1" x14ac:dyDescent="0.25"/>
    <row r="277360" customFormat="1" x14ac:dyDescent="0.25"/>
    <row r="277361" customFormat="1" x14ac:dyDescent="0.25"/>
    <row r="277362" customFormat="1" x14ac:dyDescent="0.25"/>
    <row r="277363" customFormat="1" x14ac:dyDescent="0.25"/>
    <row r="277364" customFormat="1" x14ac:dyDescent="0.25"/>
    <row r="277365" customFormat="1" x14ac:dyDescent="0.25"/>
    <row r="277366" customFormat="1" x14ac:dyDescent="0.25"/>
    <row r="277367" customFormat="1" x14ac:dyDescent="0.25"/>
    <row r="277368" customFormat="1" x14ac:dyDescent="0.25"/>
    <row r="277369" customFormat="1" x14ac:dyDescent="0.25"/>
    <row r="277370" customFormat="1" x14ac:dyDescent="0.25"/>
    <row r="277371" customFormat="1" x14ac:dyDescent="0.25"/>
    <row r="277372" customFormat="1" x14ac:dyDescent="0.25"/>
    <row r="277373" customFormat="1" x14ac:dyDescent="0.25"/>
    <row r="277374" customFormat="1" x14ac:dyDescent="0.25"/>
    <row r="277375" customFormat="1" x14ac:dyDescent="0.25"/>
    <row r="277376" customFormat="1" x14ac:dyDescent="0.25"/>
    <row r="277377" customFormat="1" x14ac:dyDescent="0.25"/>
    <row r="277378" customFormat="1" x14ac:dyDescent="0.25"/>
    <row r="277379" customFormat="1" x14ac:dyDescent="0.25"/>
    <row r="277380" customFormat="1" x14ac:dyDescent="0.25"/>
    <row r="277381" customFormat="1" x14ac:dyDescent="0.25"/>
    <row r="277382" customFormat="1" x14ac:dyDescent="0.25"/>
    <row r="277383" customFormat="1" x14ac:dyDescent="0.25"/>
    <row r="277384" customFormat="1" x14ac:dyDescent="0.25"/>
    <row r="277385" customFormat="1" x14ac:dyDescent="0.25"/>
    <row r="277386" customFormat="1" x14ac:dyDescent="0.25"/>
    <row r="277387" customFormat="1" x14ac:dyDescent="0.25"/>
    <row r="277388" customFormat="1" x14ac:dyDescent="0.25"/>
    <row r="277389" customFormat="1" x14ac:dyDescent="0.25"/>
    <row r="277390" customFormat="1" x14ac:dyDescent="0.25"/>
    <row r="277391" customFormat="1" x14ac:dyDescent="0.25"/>
    <row r="277392" customFormat="1" x14ac:dyDescent="0.25"/>
    <row r="277393" customFormat="1" x14ac:dyDescent="0.25"/>
    <row r="277394" customFormat="1" x14ac:dyDescent="0.25"/>
    <row r="277395" customFormat="1" x14ac:dyDescent="0.25"/>
    <row r="277396" customFormat="1" x14ac:dyDescent="0.25"/>
    <row r="277397" customFormat="1" x14ac:dyDescent="0.25"/>
    <row r="277398" customFormat="1" x14ac:dyDescent="0.25"/>
    <row r="277399" customFormat="1" x14ac:dyDescent="0.25"/>
    <row r="277400" customFormat="1" x14ac:dyDescent="0.25"/>
    <row r="277401" customFormat="1" x14ac:dyDescent="0.25"/>
    <row r="277402" customFormat="1" x14ac:dyDescent="0.25"/>
    <row r="277403" customFormat="1" x14ac:dyDescent="0.25"/>
    <row r="277404" customFormat="1" x14ac:dyDescent="0.25"/>
    <row r="277405" customFormat="1" x14ac:dyDescent="0.25"/>
    <row r="277406" customFormat="1" x14ac:dyDescent="0.25"/>
    <row r="277407" customFormat="1" x14ac:dyDescent="0.25"/>
    <row r="277408" customFormat="1" x14ac:dyDescent="0.25"/>
    <row r="277409" customFormat="1" x14ac:dyDescent="0.25"/>
    <row r="277410" customFormat="1" x14ac:dyDescent="0.25"/>
    <row r="277411" customFormat="1" x14ac:dyDescent="0.25"/>
    <row r="277412" customFormat="1" x14ac:dyDescent="0.25"/>
    <row r="277413" customFormat="1" x14ac:dyDescent="0.25"/>
    <row r="277414" customFormat="1" x14ac:dyDescent="0.25"/>
    <row r="277415" customFormat="1" x14ac:dyDescent="0.25"/>
    <row r="277416" customFormat="1" x14ac:dyDescent="0.25"/>
    <row r="277417" customFormat="1" x14ac:dyDescent="0.25"/>
    <row r="277418" customFormat="1" x14ac:dyDescent="0.25"/>
    <row r="277419" customFormat="1" x14ac:dyDescent="0.25"/>
    <row r="277420" customFormat="1" x14ac:dyDescent="0.25"/>
    <row r="277421" customFormat="1" x14ac:dyDescent="0.25"/>
    <row r="277422" customFormat="1" x14ac:dyDescent="0.25"/>
    <row r="277423" customFormat="1" x14ac:dyDescent="0.25"/>
    <row r="277424" customFormat="1" x14ac:dyDescent="0.25"/>
    <row r="277425" customFormat="1" x14ac:dyDescent="0.25"/>
    <row r="277426" customFormat="1" x14ac:dyDescent="0.25"/>
    <row r="277427" customFormat="1" x14ac:dyDescent="0.25"/>
    <row r="277428" customFormat="1" x14ac:dyDescent="0.25"/>
    <row r="277429" customFormat="1" x14ac:dyDescent="0.25"/>
    <row r="277430" customFormat="1" x14ac:dyDescent="0.25"/>
    <row r="277431" customFormat="1" x14ac:dyDescent="0.25"/>
    <row r="277432" customFormat="1" x14ac:dyDescent="0.25"/>
    <row r="277433" customFormat="1" x14ac:dyDescent="0.25"/>
    <row r="277434" customFormat="1" x14ac:dyDescent="0.25"/>
    <row r="277435" customFormat="1" x14ac:dyDescent="0.25"/>
    <row r="277436" customFormat="1" x14ac:dyDescent="0.25"/>
    <row r="277437" customFormat="1" x14ac:dyDescent="0.25"/>
    <row r="277438" customFormat="1" x14ac:dyDescent="0.25"/>
    <row r="277439" customFormat="1" x14ac:dyDescent="0.25"/>
    <row r="277440" customFormat="1" x14ac:dyDescent="0.25"/>
    <row r="277441" customFormat="1" x14ac:dyDescent="0.25"/>
    <row r="277442" customFormat="1" x14ac:dyDescent="0.25"/>
    <row r="277443" customFormat="1" x14ac:dyDescent="0.25"/>
    <row r="277444" customFormat="1" x14ac:dyDescent="0.25"/>
    <row r="277445" customFormat="1" x14ac:dyDescent="0.25"/>
    <row r="277446" customFormat="1" x14ac:dyDescent="0.25"/>
    <row r="277447" customFormat="1" x14ac:dyDescent="0.25"/>
    <row r="277448" customFormat="1" x14ac:dyDescent="0.25"/>
    <row r="277449" customFormat="1" x14ac:dyDescent="0.25"/>
    <row r="277450" customFormat="1" x14ac:dyDescent="0.25"/>
    <row r="277451" customFormat="1" x14ac:dyDescent="0.25"/>
    <row r="277452" customFormat="1" x14ac:dyDescent="0.25"/>
    <row r="277453" customFormat="1" x14ac:dyDescent="0.25"/>
    <row r="277454" customFormat="1" x14ac:dyDescent="0.25"/>
    <row r="277455" customFormat="1" x14ac:dyDescent="0.25"/>
    <row r="277456" customFormat="1" x14ac:dyDescent="0.25"/>
    <row r="277457" customFormat="1" x14ac:dyDescent="0.25"/>
    <row r="277458" customFormat="1" x14ac:dyDescent="0.25"/>
    <row r="277459" customFormat="1" x14ac:dyDescent="0.25"/>
    <row r="277460" customFormat="1" x14ac:dyDescent="0.25"/>
    <row r="277461" customFormat="1" x14ac:dyDescent="0.25"/>
    <row r="277462" customFormat="1" x14ac:dyDescent="0.25"/>
    <row r="277463" customFormat="1" x14ac:dyDescent="0.25"/>
    <row r="277464" customFormat="1" x14ac:dyDescent="0.25"/>
    <row r="277465" customFormat="1" x14ac:dyDescent="0.25"/>
    <row r="277466" customFormat="1" x14ac:dyDescent="0.25"/>
    <row r="277467" customFormat="1" x14ac:dyDescent="0.25"/>
    <row r="277468" customFormat="1" x14ac:dyDescent="0.25"/>
    <row r="277469" customFormat="1" x14ac:dyDescent="0.25"/>
    <row r="277470" customFormat="1" x14ac:dyDescent="0.25"/>
    <row r="277471" customFormat="1" x14ac:dyDescent="0.25"/>
    <row r="277472" customFormat="1" x14ac:dyDescent="0.25"/>
    <row r="277473" customFormat="1" x14ac:dyDescent="0.25"/>
    <row r="277474" customFormat="1" x14ac:dyDescent="0.25"/>
    <row r="277475" customFormat="1" x14ac:dyDescent="0.25"/>
    <row r="277476" customFormat="1" x14ac:dyDescent="0.25"/>
    <row r="277477" customFormat="1" x14ac:dyDescent="0.25"/>
    <row r="277478" customFormat="1" x14ac:dyDescent="0.25"/>
    <row r="277479" customFormat="1" x14ac:dyDescent="0.25"/>
    <row r="277480" customFormat="1" x14ac:dyDescent="0.25"/>
    <row r="277481" customFormat="1" x14ac:dyDescent="0.25"/>
    <row r="277482" customFormat="1" x14ac:dyDescent="0.25"/>
    <row r="277483" customFormat="1" x14ac:dyDescent="0.25"/>
    <row r="277484" customFormat="1" x14ac:dyDescent="0.25"/>
    <row r="277485" customFormat="1" x14ac:dyDescent="0.25"/>
    <row r="277486" customFormat="1" x14ac:dyDescent="0.25"/>
    <row r="277487" customFormat="1" x14ac:dyDescent="0.25"/>
    <row r="277488" customFormat="1" x14ac:dyDescent="0.25"/>
    <row r="277489" customFormat="1" x14ac:dyDescent="0.25"/>
    <row r="277490" customFormat="1" x14ac:dyDescent="0.25"/>
    <row r="277491" customFormat="1" x14ac:dyDescent="0.25"/>
    <row r="277492" customFormat="1" x14ac:dyDescent="0.25"/>
    <row r="277493" customFormat="1" x14ac:dyDescent="0.25"/>
    <row r="277494" customFormat="1" x14ac:dyDescent="0.25"/>
    <row r="277495" customFormat="1" x14ac:dyDescent="0.25"/>
    <row r="277496" customFormat="1" x14ac:dyDescent="0.25"/>
    <row r="277497" customFormat="1" x14ac:dyDescent="0.25"/>
    <row r="277498" customFormat="1" x14ac:dyDescent="0.25"/>
    <row r="277499" customFormat="1" x14ac:dyDescent="0.25"/>
    <row r="277500" customFormat="1" x14ac:dyDescent="0.25"/>
    <row r="277501" customFormat="1" x14ac:dyDescent="0.25"/>
    <row r="277502" customFormat="1" x14ac:dyDescent="0.25"/>
    <row r="277503" customFormat="1" x14ac:dyDescent="0.25"/>
    <row r="277504" customFormat="1" x14ac:dyDescent="0.25"/>
    <row r="277505" customFormat="1" x14ac:dyDescent="0.25"/>
    <row r="277506" customFormat="1" x14ac:dyDescent="0.25"/>
    <row r="277507" customFormat="1" x14ac:dyDescent="0.25"/>
    <row r="277508" customFormat="1" x14ac:dyDescent="0.25"/>
    <row r="277509" customFormat="1" x14ac:dyDescent="0.25"/>
    <row r="277510" customFormat="1" x14ac:dyDescent="0.25"/>
    <row r="277511" customFormat="1" x14ac:dyDescent="0.25"/>
    <row r="277512" customFormat="1" x14ac:dyDescent="0.25"/>
    <row r="277513" customFormat="1" x14ac:dyDescent="0.25"/>
    <row r="277514" customFormat="1" x14ac:dyDescent="0.25"/>
    <row r="277515" customFormat="1" x14ac:dyDescent="0.25"/>
    <row r="277516" customFormat="1" x14ac:dyDescent="0.25"/>
    <row r="277517" customFormat="1" x14ac:dyDescent="0.25"/>
    <row r="277518" customFormat="1" x14ac:dyDescent="0.25"/>
    <row r="277519" customFormat="1" x14ac:dyDescent="0.25"/>
    <row r="277520" customFormat="1" x14ac:dyDescent="0.25"/>
    <row r="277521" customFormat="1" x14ac:dyDescent="0.25"/>
    <row r="277522" customFormat="1" x14ac:dyDescent="0.25"/>
    <row r="277523" customFormat="1" x14ac:dyDescent="0.25"/>
    <row r="277524" customFormat="1" x14ac:dyDescent="0.25"/>
    <row r="277525" customFormat="1" x14ac:dyDescent="0.25"/>
    <row r="277526" customFormat="1" x14ac:dyDescent="0.25"/>
    <row r="277527" customFormat="1" x14ac:dyDescent="0.25"/>
    <row r="277528" customFormat="1" x14ac:dyDescent="0.25"/>
    <row r="277529" customFormat="1" x14ac:dyDescent="0.25"/>
    <row r="277530" customFormat="1" x14ac:dyDescent="0.25"/>
    <row r="277531" customFormat="1" x14ac:dyDescent="0.25"/>
    <row r="277532" customFormat="1" x14ac:dyDescent="0.25"/>
    <row r="277533" customFormat="1" x14ac:dyDescent="0.25"/>
    <row r="277534" customFormat="1" x14ac:dyDescent="0.25"/>
    <row r="277535" customFormat="1" x14ac:dyDescent="0.25"/>
    <row r="277536" customFormat="1" x14ac:dyDescent="0.25"/>
    <row r="277537" customFormat="1" x14ac:dyDescent="0.25"/>
    <row r="277538" customFormat="1" x14ac:dyDescent="0.25"/>
    <row r="277539" customFormat="1" x14ac:dyDescent="0.25"/>
    <row r="277540" customFormat="1" x14ac:dyDescent="0.25"/>
    <row r="277541" customFormat="1" x14ac:dyDescent="0.25"/>
    <row r="277542" customFormat="1" x14ac:dyDescent="0.25"/>
    <row r="277543" customFormat="1" x14ac:dyDescent="0.25"/>
    <row r="277544" customFormat="1" x14ac:dyDescent="0.25"/>
    <row r="277545" customFormat="1" x14ac:dyDescent="0.25"/>
    <row r="277546" customFormat="1" x14ac:dyDescent="0.25"/>
    <row r="277547" customFormat="1" x14ac:dyDescent="0.25"/>
    <row r="277548" customFormat="1" x14ac:dyDescent="0.25"/>
    <row r="277549" customFormat="1" x14ac:dyDescent="0.25"/>
    <row r="277550" customFormat="1" x14ac:dyDescent="0.25"/>
    <row r="277551" customFormat="1" x14ac:dyDescent="0.25"/>
    <row r="277552" customFormat="1" x14ac:dyDescent="0.25"/>
    <row r="277553" customFormat="1" x14ac:dyDescent="0.25"/>
    <row r="277554" customFormat="1" x14ac:dyDescent="0.25"/>
    <row r="277555" customFormat="1" x14ac:dyDescent="0.25"/>
    <row r="277556" customFormat="1" x14ac:dyDescent="0.25"/>
    <row r="277557" customFormat="1" x14ac:dyDescent="0.25"/>
    <row r="277558" customFormat="1" x14ac:dyDescent="0.25"/>
    <row r="277559" customFormat="1" x14ac:dyDescent="0.25"/>
    <row r="277560" customFormat="1" x14ac:dyDescent="0.25"/>
    <row r="277561" customFormat="1" x14ac:dyDescent="0.25"/>
    <row r="277562" customFormat="1" x14ac:dyDescent="0.25"/>
    <row r="277563" customFormat="1" x14ac:dyDescent="0.25"/>
    <row r="277564" customFormat="1" x14ac:dyDescent="0.25"/>
    <row r="277565" customFormat="1" x14ac:dyDescent="0.25"/>
    <row r="277566" customFormat="1" x14ac:dyDescent="0.25"/>
    <row r="277567" customFormat="1" x14ac:dyDescent="0.25"/>
    <row r="277568" customFormat="1" x14ac:dyDescent="0.25"/>
    <row r="277569" customFormat="1" x14ac:dyDescent="0.25"/>
    <row r="277570" customFormat="1" x14ac:dyDescent="0.25"/>
    <row r="277571" customFormat="1" x14ac:dyDescent="0.25"/>
    <row r="277572" customFormat="1" x14ac:dyDescent="0.25"/>
    <row r="277573" customFormat="1" x14ac:dyDescent="0.25"/>
    <row r="277574" customFormat="1" x14ac:dyDescent="0.25"/>
    <row r="277575" customFormat="1" x14ac:dyDescent="0.25"/>
    <row r="277576" customFormat="1" x14ac:dyDescent="0.25"/>
    <row r="277577" customFormat="1" x14ac:dyDescent="0.25"/>
    <row r="277578" customFormat="1" x14ac:dyDescent="0.25"/>
    <row r="277579" customFormat="1" x14ac:dyDescent="0.25"/>
    <row r="277580" customFormat="1" x14ac:dyDescent="0.25"/>
    <row r="277581" customFormat="1" x14ac:dyDescent="0.25"/>
    <row r="277582" customFormat="1" x14ac:dyDescent="0.25"/>
    <row r="277583" customFormat="1" x14ac:dyDescent="0.25"/>
    <row r="277584" customFormat="1" x14ac:dyDescent="0.25"/>
    <row r="277585" customFormat="1" x14ac:dyDescent="0.25"/>
    <row r="277586" customFormat="1" x14ac:dyDescent="0.25"/>
    <row r="277587" customFormat="1" x14ac:dyDescent="0.25"/>
    <row r="277588" customFormat="1" x14ac:dyDescent="0.25"/>
    <row r="277589" customFormat="1" x14ac:dyDescent="0.25"/>
    <row r="277590" customFormat="1" x14ac:dyDescent="0.25"/>
    <row r="277591" customFormat="1" x14ac:dyDescent="0.25"/>
    <row r="277592" customFormat="1" x14ac:dyDescent="0.25"/>
    <row r="277593" customFormat="1" x14ac:dyDescent="0.25"/>
    <row r="277594" customFormat="1" x14ac:dyDescent="0.25"/>
    <row r="277595" customFormat="1" x14ac:dyDescent="0.25"/>
    <row r="277596" customFormat="1" x14ac:dyDescent="0.25"/>
    <row r="277597" customFormat="1" x14ac:dyDescent="0.25"/>
    <row r="277598" customFormat="1" x14ac:dyDescent="0.25"/>
    <row r="277599" customFormat="1" x14ac:dyDescent="0.25"/>
    <row r="277600" customFormat="1" x14ac:dyDescent="0.25"/>
    <row r="277601" customFormat="1" x14ac:dyDescent="0.25"/>
    <row r="277602" customFormat="1" x14ac:dyDescent="0.25"/>
    <row r="277603" customFormat="1" x14ac:dyDescent="0.25"/>
    <row r="277604" customFormat="1" x14ac:dyDescent="0.25"/>
    <row r="277605" customFormat="1" x14ac:dyDescent="0.25"/>
    <row r="277606" customFormat="1" x14ac:dyDescent="0.25"/>
    <row r="277607" customFormat="1" x14ac:dyDescent="0.25"/>
    <row r="277608" customFormat="1" x14ac:dyDescent="0.25"/>
    <row r="277609" customFormat="1" x14ac:dyDescent="0.25"/>
    <row r="277610" customFormat="1" x14ac:dyDescent="0.25"/>
    <row r="277611" customFormat="1" x14ac:dyDescent="0.25"/>
    <row r="277612" customFormat="1" x14ac:dyDescent="0.25"/>
    <row r="277613" customFormat="1" x14ac:dyDescent="0.25"/>
    <row r="277614" customFormat="1" x14ac:dyDescent="0.25"/>
    <row r="277615" customFormat="1" x14ac:dyDescent="0.25"/>
    <row r="277616" customFormat="1" x14ac:dyDescent="0.25"/>
    <row r="277617" customFormat="1" x14ac:dyDescent="0.25"/>
    <row r="277618" customFormat="1" x14ac:dyDescent="0.25"/>
    <row r="277619" customFormat="1" x14ac:dyDescent="0.25"/>
    <row r="277620" customFormat="1" x14ac:dyDescent="0.25"/>
    <row r="277621" customFormat="1" x14ac:dyDescent="0.25"/>
    <row r="277622" customFormat="1" x14ac:dyDescent="0.25"/>
    <row r="277623" customFormat="1" x14ac:dyDescent="0.25"/>
    <row r="277624" customFormat="1" x14ac:dyDescent="0.25"/>
    <row r="277625" customFormat="1" x14ac:dyDescent="0.25"/>
    <row r="277626" customFormat="1" x14ac:dyDescent="0.25"/>
    <row r="277627" customFormat="1" x14ac:dyDescent="0.25"/>
    <row r="277628" customFormat="1" x14ac:dyDescent="0.25"/>
    <row r="277629" customFormat="1" x14ac:dyDescent="0.25"/>
    <row r="277630" customFormat="1" x14ac:dyDescent="0.25"/>
    <row r="277631" customFormat="1" x14ac:dyDescent="0.25"/>
    <row r="277632" customFormat="1" x14ac:dyDescent="0.25"/>
    <row r="277633" customFormat="1" x14ac:dyDescent="0.25"/>
    <row r="277634" customFormat="1" x14ac:dyDescent="0.25"/>
    <row r="277635" customFormat="1" x14ac:dyDescent="0.25"/>
    <row r="277636" customFormat="1" x14ac:dyDescent="0.25"/>
    <row r="277637" customFormat="1" x14ac:dyDescent="0.25"/>
    <row r="277638" customFormat="1" x14ac:dyDescent="0.25"/>
    <row r="277639" customFormat="1" x14ac:dyDescent="0.25"/>
    <row r="277640" customFormat="1" x14ac:dyDescent="0.25"/>
    <row r="277641" customFormat="1" x14ac:dyDescent="0.25"/>
    <row r="277642" customFormat="1" x14ac:dyDescent="0.25"/>
    <row r="277643" customFormat="1" x14ac:dyDescent="0.25"/>
    <row r="277644" customFormat="1" x14ac:dyDescent="0.25"/>
    <row r="277645" customFormat="1" x14ac:dyDescent="0.25"/>
    <row r="277646" customFormat="1" x14ac:dyDescent="0.25"/>
    <row r="277647" customFormat="1" x14ac:dyDescent="0.25"/>
    <row r="277648" customFormat="1" x14ac:dyDescent="0.25"/>
    <row r="277649" customFormat="1" x14ac:dyDescent="0.25"/>
    <row r="277650" customFormat="1" x14ac:dyDescent="0.25"/>
    <row r="277651" customFormat="1" x14ac:dyDescent="0.25"/>
    <row r="277652" customFormat="1" x14ac:dyDescent="0.25"/>
    <row r="277653" customFormat="1" x14ac:dyDescent="0.25"/>
    <row r="277654" customFormat="1" x14ac:dyDescent="0.25"/>
    <row r="277655" customFormat="1" x14ac:dyDescent="0.25"/>
    <row r="277656" customFormat="1" x14ac:dyDescent="0.25"/>
    <row r="277657" customFormat="1" x14ac:dyDescent="0.25"/>
    <row r="277658" customFormat="1" x14ac:dyDescent="0.25"/>
    <row r="277659" customFormat="1" x14ac:dyDescent="0.25"/>
    <row r="277660" customFormat="1" x14ac:dyDescent="0.25"/>
    <row r="277661" customFormat="1" x14ac:dyDescent="0.25"/>
    <row r="277662" customFormat="1" x14ac:dyDescent="0.25"/>
    <row r="277663" customFormat="1" x14ac:dyDescent="0.25"/>
    <row r="277664" customFormat="1" x14ac:dyDescent="0.25"/>
    <row r="277665" customFormat="1" x14ac:dyDescent="0.25"/>
    <row r="277666" customFormat="1" x14ac:dyDescent="0.25"/>
    <row r="277667" customFormat="1" x14ac:dyDescent="0.25"/>
    <row r="277668" customFormat="1" x14ac:dyDescent="0.25"/>
    <row r="277669" customFormat="1" x14ac:dyDescent="0.25"/>
    <row r="277670" customFormat="1" x14ac:dyDescent="0.25"/>
    <row r="277671" customFormat="1" x14ac:dyDescent="0.25"/>
    <row r="277672" customFormat="1" x14ac:dyDescent="0.25"/>
    <row r="277673" customFormat="1" x14ac:dyDescent="0.25"/>
    <row r="277674" customFormat="1" x14ac:dyDescent="0.25"/>
    <row r="277675" customFormat="1" x14ac:dyDescent="0.25"/>
    <row r="277676" customFormat="1" x14ac:dyDescent="0.25"/>
    <row r="277677" customFormat="1" x14ac:dyDescent="0.25"/>
    <row r="277678" customFormat="1" x14ac:dyDescent="0.25"/>
    <row r="277679" customFormat="1" x14ac:dyDescent="0.25"/>
    <row r="277680" customFormat="1" x14ac:dyDescent="0.25"/>
    <row r="277681" customFormat="1" x14ac:dyDescent="0.25"/>
    <row r="277682" customFormat="1" x14ac:dyDescent="0.25"/>
    <row r="277683" customFormat="1" x14ac:dyDescent="0.25"/>
    <row r="277684" customFormat="1" x14ac:dyDescent="0.25"/>
    <row r="277685" customFormat="1" x14ac:dyDescent="0.25"/>
    <row r="277686" customFormat="1" x14ac:dyDescent="0.25"/>
    <row r="277687" customFormat="1" x14ac:dyDescent="0.25"/>
    <row r="277688" customFormat="1" x14ac:dyDescent="0.25"/>
    <row r="277689" customFormat="1" x14ac:dyDescent="0.25"/>
    <row r="277690" customFormat="1" x14ac:dyDescent="0.25"/>
    <row r="277691" customFormat="1" x14ac:dyDescent="0.25"/>
    <row r="277692" customFormat="1" x14ac:dyDescent="0.25"/>
    <row r="277693" customFormat="1" x14ac:dyDescent="0.25"/>
    <row r="277694" customFormat="1" x14ac:dyDescent="0.25"/>
    <row r="277695" customFormat="1" x14ac:dyDescent="0.25"/>
    <row r="277696" customFormat="1" x14ac:dyDescent="0.25"/>
    <row r="277697" customFormat="1" x14ac:dyDescent="0.25"/>
    <row r="277698" customFormat="1" x14ac:dyDescent="0.25"/>
    <row r="277699" customFormat="1" x14ac:dyDescent="0.25"/>
    <row r="277700" customFormat="1" x14ac:dyDescent="0.25"/>
    <row r="277701" customFormat="1" x14ac:dyDescent="0.25"/>
    <row r="277702" customFormat="1" x14ac:dyDescent="0.25"/>
    <row r="277703" customFormat="1" x14ac:dyDescent="0.25"/>
    <row r="277704" customFormat="1" x14ac:dyDescent="0.25"/>
    <row r="277705" customFormat="1" x14ac:dyDescent="0.25"/>
    <row r="277706" customFormat="1" x14ac:dyDescent="0.25"/>
    <row r="277707" customFormat="1" x14ac:dyDescent="0.25"/>
    <row r="277708" customFormat="1" x14ac:dyDescent="0.25"/>
    <row r="277709" customFormat="1" x14ac:dyDescent="0.25"/>
    <row r="277710" customFormat="1" x14ac:dyDescent="0.25"/>
    <row r="277711" customFormat="1" x14ac:dyDescent="0.25"/>
    <row r="277712" customFormat="1" x14ac:dyDescent="0.25"/>
    <row r="277713" customFormat="1" x14ac:dyDescent="0.25"/>
    <row r="277714" customFormat="1" x14ac:dyDescent="0.25"/>
    <row r="277715" customFormat="1" x14ac:dyDescent="0.25"/>
    <row r="277716" customFormat="1" x14ac:dyDescent="0.25"/>
    <row r="277717" customFormat="1" x14ac:dyDescent="0.25"/>
    <row r="277718" customFormat="1" x14ac:dyDescent="0.25"/>
    <row r="277719" customFormat="1" x14ac:dyDescent="0.25"/>
    <row r="277720" customFormat="1" x14ac:dyDescent="0.25"/>
    <row r="277721" customFormat="1" x14ac:dyDescent="0.25"/>
    <row r="277722" customFormat="1" x14ac:dyDescent="0.25"/>
    <row r="277723" customFormat="1" x14ac:dyDescent="0.25"/>
    <row r="277724" customFormat="1" x14ac:dyDescent="0.25"/>
    <row r="277725" customFormat="1" x14ac:dyDescent="0.25"/>
    <row r="277726" customFormat="1" x14ac:dyDescent="0.25"/>
    <row r="277727" customFormat="1" x14ac:dyDescent="0.25"/>
    <row r="277728" customFormat="1" x14ac:dyDescent="0.25"/>
    <row r="277729" customFormat="1" x14ac:dyDescent="0.25"/>
    <row r="277730" customFormat="1" x14ac:dyDescent="0.25"/>
    <row r="277731" customFormat="1" x14ac:dyDescent="0.25"/>
    <row r="277732" customFormat="1" x14ac:dyDescent="0.25"/>
    <row r="277733" customFormat="1" x14ac:dyDescent="0.25"/>
    <row r="277734" customFormat="1" x14ac:dyDescent="0.25"/>
    <row r="277735" customFormat="1" x14ac:dyDescent="0.25"/>
    <row r="277736" customFormat="1" x14ac:dyDescent="0.25"/>
    <row r="277737" customFormat="1" x14ac:dyDescent="0.25"/>
    <row r="277738" customFormat="1" x14ac:dyDescent="0.25"/>
    <row r="277739" customFormat="1" x14ac:dyDescent="0.25"/>
    <row r="277740" customFormat="1" x14ac:dyDescent="0.25"/>
    <row r="277741" customFormat="1" x14ac:dyDescent="0.25"/>
    <row r="277742" customFormat="1" x14ac:dyDescent="0.25"/>
    <row r="277743" customFormat="1" x14ac:dyDescent="0.25"/>
    <row r="277744" customFormat="1" x14ac:dyDescent="0.25"/>
    <row r="277745" customFormat="1" x14ac:dyDescent="0.25"/>
    <row r="277746" customFormat="1" x14ac:dyDescent="0.25"/>
    <row r="277747" customFormat="1" x14ac:dyDescent="0.25"/>
    <row r="277748" customFormat="1" x14ac:dyDescent="0.25"/>
    <row r="277749" customFormat="1" x14ac:dyDescent="0.25"/>
    <row r="277750" customFormat="1" x14ac:dyDescent="0.25"/>
    <row r="277751" customFormat="1" x14ac:dyDescent="0.25"/>
    <row r="277752" customFormat="1" x14ac:dyDescent="0.25"/>
    <row r="277753" customFormat="1" x14ac:dyDescent="0.25"/>
    <row r="277754" customFormat="1" x14ac:dyDescent="0.25"/>
    <row r="277755" customFormat="1" x14ac:dyDescent="0.25"/>
    <row r="277756" customFormat="1" x14ac:dyDescent="0.25"/>
    <row r="277757" customFormat="1" x14ac:dyDescent="0.25"/>
    <row r="277758" customFormat="1" x14ac:dyDescent="0.25"/>
    <row r="277759" customFormat="1" x14ac:dyDescent="0.25"/>
    <row r="277760" customFormat="1" x14ac:dyDescent="0.25"/>
    <row r="277761" customFormat="1" x14ac:dyDescent="0.25"/>
    <row r="277762" customFormat="1" x14ac:dyDescent="0.25"/>
    <row r="277763" customFormat="1" x14ac:dyDescent="0.25"/>
    <row r="277764" customFormat="1" x14ac:dyDescent="0.25"/>
    <row r="277765" customFormat="1" x14ac:dyDescent="0.25"/>
    <row r="277766" customFormat="1" x14ac:dyDescent="0.25"/>
    <row r="277767" customFormat="1" x14ac:dyDescent="0.25"/>
    <row r="277768" customFormat="1" x14ac:dyDescent="0.25"/>
    <row r="277769" customFormat="1" x14ac:dyDescent="0.25"/>
    <row r="277770" customFormat="1" x14ac:dyDescent="0.25"/>
    <row r="277771" customFormat="1" x14ac:dyDescent="0.25"/>
    <row r="277772" customFormat="1" x14ac:dyDescent="0.25"/>
    <row r="277773" customFormat="1" x14ac:dyDescent="0.25"/>
    <row r="277774" customFormat="1" x14ac:dyDescent="0.25"/>
    <row r="277775" customFormat="1" x14ac:dyDescent="0.25"/>
    <row r="277776" customFormat="1" x14ac:dyDescent="0.25"/>
    <row r="277777" customFormat="1" x14ac:dyDescent="0.25"/>
    <row r="277778" customFormat="1" x14ac:dyDescent="0.25"/>
    <row r="277779" customFormat="1" x14ac:dyDescent="0.25"/>
    <row r="277780" customFormat="1" x14ac:dyDescent="0.25"/>
    <row r="277781" customFormat="1" x14ac:dyDescent="0.25"/>
    <row r="277782" customFormat="1" x14ac:dyDescent="0.25"/>
    <row r="277783" customFormat="1" x14ac:dyDescent="0.25"/>
    <row r="277784" customFormat="1" x14ac:dyDescent="0.25"/>
    <row r="277785" customFormat="1" x14ac:dyDescent="0.25"/>
    <row r="277786" customFormat="1" x14ac:dyDescent="0.25"/>
    <row r="277787" customFormat="1" x14ac:dyDescent="0.25"/>
    <row r="277788" customFormat="1" x14ac:dyDescent="0.25"/>
    <row r="277789" customFormat="1" x14ac:dyDescent="0.25"/>
    <row r="277790" customFormat="1" x14ac:dyDescent="0.25"/>
    <row r="277791" customFormat="1" x14ac:dyDescent="0.25"/>
    <row r="277792" customFormat="1" x14ac:dyDescent="0.25"/>
    <row r="277793" customFormat="1" x14ac:dyDescent="0.25"/>
    <row r="277794" customFormat="1" x14ac:dyDescent="0.25"/>
    <row r="277795" customFormat="1" x14ac:dyDescent="0.25"/>
    <row r="277796" customFormat="1" x14ac:dyDescent="0.25"/>
    <row r="277797" customFormat="1" x14ac:dyDescent="0.25"/>
    <row r="277798" customFormat="1" x14ac:dyDescent="0.25"/>
    <row r="277799" customFormat="1" x14ac:dyDescent="0.25"/>
    <row r="277800" customFormat="1" x14ac:dyDescent="0.25"/>
    <row r="277801" customFormat="1" x14ac:dyDescent="0.25"/>
    <row r="277802" customFormat="1" x14ac:dyDescent="0.25"/>
    <row r="277803" customFormat="1" x14ac:dyDescent="0.25"/>
    <row r="277804" customFormat="1" x14ac:dyDescent="0.25"/>
    <row r="277805" customFormat="1" x14ac:dyDescent="0.25"/>
    <row r="277806" customFormat="1" x14ac:dyDescent="0.25"/>
    <row r="277807" customFormat="1" x14ac:dyDescent="0.25"/>
    <row r="277808" customFormat="1" x14ac:dyDescent="0.25"/>
    <row r="277809" customFormat="1" x14ac:dyDescent="0.25"/>
    <row r="277810" customFormat="1" x14ac:dyDescent="0.25"/>
    <row r="277811" customFormat="1" x14ac:dyDescent="0.25"/>
    <row r="277812" customFormat="1" x14ac:dyDescent="0.25"/>
    <row r="277813" customFormat="1" x14ac:dyDescent="0.25"/>
    <row r="277814" customFormat="1" x14ac:dyDescent="0.25"/>
    <row r="277815" customFormat="1" x14ac:dyDescent="0.25"/>
    <row r="277816" customFormat="1" x14ac:dyDescent="0.25"/>
    <row r="277817" customFormat="1" x14ac:dyDescent="0.25"/>
    <row r="277818" customFormat="1" x14ac:dyDescent="0.25"/>
    <row r="277819" customFormat="1" x14ac:dyDescent="0.25"/>
    <row r="277820" customFormat="1" x14ac:dyDescent="0.25"/>
    <row r="277821" customFormat="1" x14ac:dyDescent="0.25"/>
    <row r="277822" customFormat="1" x14ac:dyDescent="0.25"/>
    <row r="277823" customFormat="1" x14ac:dyDescent="0.25"/>
    <row r="277824" customFormat="1" x14ac:dyDescent="0.25"/>
    <row r="277825" customFormat="1" x14ac:dyDescent="0.25"/>
    <row r="277826" customFormat="1" x14ac:dyDescent="0.25"/>
    <row r="277827" customFormat="1" x14ac:dyDescent="0.25"/>
    <row r="277828" customFormat="1" x14ac:dyDescent="0.25"/>
    <row r="277829" customFormat="1" x14ac:dyDescent="0.25"/>
    <row r="277830" customFormat="1" x14ac:dyDescent="0.25"/>
    <row r="277831" customFormat="1" x14ac:dyDescent="0.25"/>
    <row r="277832" customFormat="1" x14ac:dyDescent="0.25"/>
    <row r="277833" customFormat="1" x14ac:dyDescent="0.25"/>
    <row r="277834" customFormat="1" x14ac:dyDescent="0.25"/>
    <row r="277835" customFormat="1" x14ac:dyDescent="0.25"/>
    <row r="277836" customFormat="1" x14ac:dyDescent="0.25"/>
    <row r="277837" customFormat="1" x14ac:dyDescent="0.25"/>
    <row r="277838" customFormat="1" x14ac:dyDescent="0.25"/>
    <row r="277839" customFormat="1" x14ac:dyDescent="0.25"/>
    <row r="277840" customFormat="1" x14ac:dyDescent="0.25"/>
    <row r="277841" customFormat="1" x14ac:dyDescent="0.25"/>
    <row r="277842" customFormat="1" x14ac:dyDescent="0.25"/>
    <row r="277843" customFormat="1" x14ac:dyDescent="0.25"/>
    <row r="277844" customFormat="1" x14ac:dyDescent="0.25"/>
    <row r="277845" customFormat="1" x14ac:dyDescent="0.25"/>
    <row r="277846" customFormat="1" x14ac:dyDescent="0.25"/>
    <row r="277847" customFormat="1" x14ac:dyDescent="0.25"/>
    <row r="277848" customFormat="1" x14ac:dyDescent="0.25"/>
    <row r="277849" customFormat="1" x14ac:dyDescent="0.25"/>
    <row r="277850" customFormat="1" x14ac:dyDescent="0.25"/>
    <row r="277851" customFormat="1" x14ac:dyDescent="0.25"/>
    <row r="277852" customFormat="1" x14ac:dyDescent="0.25"/>
    <row r="277853" customFormat="1" x14ac:dyDescent="0.25"/>
    <row r="277854" customFormat="1" x14ac:dyDescent="0.25"/>
    <row r="277855" customFormat="1" x14ac:dyDescent="0.25"/>
    <row r="277856" customFormat="1" x14ac:dyDescent="0.25"/>
    <row r="277857" customFormat="1" x14ac:dyDescent="0.25"/>
    <row r="277858" customFormat="1" x14ac:dyDescent="0.25"/>
    <row r="277859" customFormat="1" x14ac:dyDescent="0.25"/>
    <row r="277860" customFormat="1" x14ac:dyDescent="0.25"/>
    <row r="277861" customFormat="1" x14ac:dyDescent="0.25"/>
    <row r="277862" customFormat="1" x14ac:dyDescent="0.25"/>
    <row r="277863" customFormat="1" x14ac:dyDescent="0.25"/>
    <row r="277864" customFormat="1" x14ac:dyDescent="0.25"/>
    <row r="277865" customFormat="1" x14ac:dyDescent="0.25"/>
    <row r="277866" customFormat="1" x14ac:dyDescent="0.25"/>
    <row r="277867" customFormat="1" x14ac:dyDescent="0.25"/>
    <row r="277868" customFormat="1" x14ac:dyDescent="0.25"/>
    <row r="277869" customFormat="1" x14ac:dyDescent="0.25"/>
    <row r="277870" customFormat="1" x14ac:dyDescent="0.25"/>
    <row r="277871" customFormat="1" x14ac:dyDescent="0.25"/>
    <row r="277872" customFormat="1" x14ac:dyDescent="0.25"/>
    <row r="277873" customFormat="1" x14ac:dyDescent="0.25"/>
    <row r="277874" customFormat="1" x14ac:dyDescent="0.25"/>
    <row r="277875" customFormat="1" x14ac:dyDescent="0.25"/>
    <row r="277876" customFormat="1" x14ac:dyDescent="0.25"/>
    <row r="277877" customFormat="1" x14ac:dyDescent="0.25"/>
    <row r="277878" customFormat="1" x14ac:dyDescent="0.25"/>
    <row r="277879" customFormat="1" x14ac:dyDescent="0.25"/>
    <row r="277880" customFormat="1" x14ac:dyDescent="0.25"/>
    <row r="277881" customFormat="1" x14ac:dyDescent="0.25"/>
    <row r="277882" customFormat="1" x14ac:dyDescent="0.25"/>
    <row r="277883" customFormat="1" x14ac:dyDescent="0.25"/>
    <row r="277884" customFormat="1" x14ac:dyDescent="0.25"/>
    <row r="277885" customFormat="1" x14ac:dyDescent="0.25"/>
    <row r="277886" customFormat="1" x14ac:dyDescent="0.25"/>
    <row r="277887" customFormat="1" x14ac:dyDescent="0.25"/>
    <row r="277888" customFormat="1" x14ac:dyDescent="0.25"/>
    <row r="277889" customFormat="1" x14ac:dyDescent="0.25"/>
    <row r="277890" customFormat="1" x14ac:dyDescent="0.25"/>
    <row r="277891" customFormat="1" x14ac:dyDescent="0.25"/>
    <row r="277892" customFormat="1" x14ac:dyDescent="0.25"/>
    <row r="277893" customFormat="1" x14ac:dyDescent="0.25"/>
    <row r="277894" customFormat="1" x14ac:dyDescent="0.25"/>
    <row r="277895" customFormat="1" x14ac:dyDescent="0.25"/>
    <row r="277896" customFormat="1" x14ac:dyDescent="0.25"/>
    <row r="277897" customFormat="1" x14ac:dyDescent="0.25"/>
    <row r="277898" customFormat="1" x14ac:dyDescent="0.25"/>
    <row r="277899" customFormat="1" x14ac:dyDescent="0.25"/>
    <row r="277900" customFormat="1" x14ac:dyDescent="0.25"/>
    <row r="277901" customFormat="1" x14ac:dyDescent="0.25"/>
    <row r="277902" customFormat="1" x14ac:dyDescent="0.25"/>
    <row r="277903" customFormat="1" x14ac:dyDescent="0.25"/>
    <row r="277904" customFormat="1" x14ac:dyDescent="0.25"/>
    <row r="277905" customFormat="1" x14ac:dyDescent="0.25"/>
    <row r="277906" customFormat="1" x14ac:dyDescent="0.25"/>
    <row r="277907" customFormat="1" x14ac:dyDescent="0.25"/>
    <row r="277908" customFormat="1" x14ac:dyDescent="0.25"/>
    <row r="277909" customFormat="1" x14ac:dyDescent="0.25"/>
    <row r="277910" customFormat="1" x14ac:dyDescent="0.25"/>
    <row r="277911" customFormat="1" x14ac:dyDescent="0.25"/>
    <row r="277912" customFormat="1" x14ac:dyDescent="0.25"/>
    <row r="277913" customFormat="1" x14ac:dyDescent="0.25"/>
    <row r="277914" customFormat="1" x14ac:dyDescent="0.25"/>
    <row r="277915" customFormat="1" x14ac:dyDescent="0.25"/>
    <row r="277916" customFormat="1" x14ac:dyDescent="0.25"/>
    <row r="277917" customFormat="1" x14ac:dyDescent="0.25"/>
    <row r="277918" customFormat="1" x14ac:dyDescent="0.25"/>
    <row r="277919" customFormat="1" x14ac:dyDescent="0.25"/>
    <row r="277920" customFormat="1" x14ac:dyDescent="0.25"/>
    <row r="277921" customFormat="1" x14ac:dyDescent="0.25"/>
    <row r="277922" customFormat="1" x14ac:dyDescent="0.25"/>
    <row r="277923" customFormat="1" x14ac:dyDescent="0.25"/>
    <row r="277924" customFormat="1" x14ac:dyDescent="0.25"/>
    <row r="277925" customFormat="1" x14ac:dyDescent="0.25"/>
    <row r="277926" customFormat="1" x14ac:dyDescent="0.25"/>
    <row r="277927" customFormat="1" x14ac:dyDescent="0.25"/>
    <row r="277928" customFormat="1" x14ac:dyDescent="0.25"/>
    <row r="277929" customFormat="1" x14ac:dyDescent="0.25"/>
    <row r="277930" customFormat="1" x14ac:dyDescent="0.25"/>
    <row r="277931" customFormat="1" x14ac:dyDescent="0.25"/>
    <row r="277932" customFormat="1" x14ac:dyDescent="0.25"/>
    <row r="277933" customFormat="1" x14ac:dyDescent="0.25"/>
    <row r="277934" customFormat="1" x14ac:dyDescent="0.25"/>
    <row r="277935" customFormat="1" x14ac:dyDescent="0.25"/>
    <row r="277936" customFormat="1" x14ac:dyDescent="0.25"/>
    <row r="277937" customFormat="1" x14ac:dyDescent="0.25"/>
    <row r="277938" customFormat="1" x14ac:dyDescent="0.25"/>
    <row r="277939" customFormat="1" x14ac:dyDescent="0.25"/>
    <row r="277940" customFormat="1" x14ac:dyDescent="0.25"/>
    <row r="277941" customFormat="1" x14ac:dyDescent="0.25"/>
    <row r="277942" customFormat="1" x14ac:dyDescent="0.25"/>
    <row r="277943" customFormat="1" x14ac:dyDescent="0.25"/>
    <row r="277944" customFormat="1" x14ac:dyDescent="0.25"/>
    <row r="277945" customFormat="1" x14ac:dyDescent="0.25"/>
    <row r="277946" customFormat="1" x14ac:dyDescent="0.25"/>
    <row r="277947" customFormat="1" x14ac:dyDescent="0.25"/>
    <row r="277948" customFormat="1" x14ac:dyDescent="0.25"/>
    <row r="277949" customFormat="1" x14ac:dyDescent="0.25"/>
    <row r="277950" customFormat="1" x14ac:dyDescent="0.25"/>
    <row r="277951" customFormat="1" x14ac:dyDescent="0.25"/>
    <row r="277952" customFormat="1" x14ac:dyDescent="0.25"/>
    <row r="277953" customFormat="1" x14ac:dyDescent="0.25"/>
    <row r="277954" customFormat="1" x14ac:dyDescent="0.25"/>
    <row r="277955" customFormat="1" x14ac:dyDescent="0.25"/>
    <row r="277956" customFormat="1" x14ac:dyDescent="0.25"/>
    <row r="277957" customFormat="1" x14ac:dyDescent="0.25"/>
    <row r="277958" customFormat="1" x14ac:dyDescent="0.25"/>
    <row r="277959" customFormat="1" x14ac:dyDescent="0.25"/>
    <row r="277960" customFormat="1" x14ac:dyDescent="0.25"/>
    <row r="277961" customFormat="1" x14ac:dyDescent="0.25"/>
    <row r="277962" customFormat="1" x14ac:dyDescent="0.25"/>
    <row r="277963" customFormat="1" x14ac:dyDescent="0.25"/>
    <row r="277964" customFormat="1" x14ac:dyDescent="0.25"/>
    <row r="277965" customFormat="1" x14ac:dyDescent="0.25"/>
    <row r="277966" customFormat="1" x14ac:dyDescent="0.25"/>
    <row r="277967" customFormat="1" x14ac:dyDescent="0.25"/>
    <row r="277968" customFormat="1" x14ac:dyDescent="0.25"/>
    <row r="277969" customFormat="1" x14ac:dyDescent="0.25"/>
    <row r="277970" customFormat="1" x14ac:dyDescent="0.25"/>
    <row r="277971" customFormat="1" x14ac:dyDescent="0.25"/>
    <row r="277972" customFormat="1" x14ac:dyDescent="0.25"/>
    <row r="277973" customFormat="1" x14ac:dyDescent="0.25"/>
    <row r="277974" customFormat="1" x14ac:dyDescent="0.25"/>
    <row r="277975" customFormat="1" x14ac:dyDescent="0.25"/>
    <row r="277976" customFormat="1" x14ac:dyDescent="0.25"/>
    <row r="277977" customFormat="1" x14ac:dyDescent="0.25"/>
    <row r="277978" customFormat="1" x14ac:dyDescent="0.25"/>
    <row r="277979" customFormat="1" x14ac:dyDescent="0.25"/>
    <row r="277980" customFormat="1" x14ac:dyDescent="0.25"/>
    <row r="277981" customFormat="1" x14ac:dyDescent="0.25"/>
    <row r="277982" customFormat="1" x14ac:dyDescent="0.25"/>
    <row r="277983" customFormat="1" x14ac:dyDescent="0.25"/>
    <row r="277984" customFormat="1" x14ac:dyDescent="0.25"/>
    <row r="277985" customFormat="1" x14ac:dyDescent="0.25"/>
    <row r="277986" customFormat="1" x14ac:dyDescent="0.25"/>
    <row r="277987" customFormat="1" x14ac:dyDescent="0.25"/>
    <row r="277988" customFormat="1" x14ac:dyDescent="0.25"/>
    <row r="277989" customFormat="1" x14ac:dyDescent="0.25"/>
    <row r="277990" customFormat="1" x14ac:dyDescent="0.25"/>
    <row r="277991" customFormat="1" x14ac:dyDescent="0.25"/>
    <row r="277992" customFormat="1" x14ac:dyDescent="0.25"/>
    <row r="277993" customFormat="1" x14ac:dyDescent="0.25"/>
    <row r="277994" customFormat="1" x14ac:dyDescent="0.25"/>
    <row r="277995" customFormat="1" x14ac:dyDescent="0.25"/>
    <row r="277996" customFormat="1" x14ac:dyDescent="0.25"/>
    <row r="277997" customFormat="1" x14ac:dyDescent="0.25"/>
    <row r="277998" customFormat="1" x14ac:dyDescent="0.25"/>
    <row r="277999" customFormat="1" x14ac:dyDescent="0.25"/>
    <row r="278000" customFormat="1" x14ac:dyDescent="0.25"/>
    <row r="278001" customFormat="1" x14ac:dyDescent="0.25"/>
    <row r="278002" customFormat="1" x14ac:dyDescent="0.25"/>
    <row r="278003" customFormat="1" x14ac:dyDescent="0.25"/>
    <row r="278004" customFormat="1" x14ac:dyDescent="0.25"/>
    <row r="278005" customFormat="1" x14ac:dyDescent="0.25"/>
    <row r="278006" customFormat="1" x14ac:dyDescent="0.25"/>
    <row r="278007" customFormat="1" x14ac:dyDescent="0.25"/>
    <row r="278008" customFormat="1" x14ac:dyDescent="0.25"/>
    <row r="278009" customFormat="1" x14ac:dyDescent="0.25"/>
    <row r="278010" customFormat="1" x14ac:dyDescent="0.25"/>
    <row r="278011" customFormat="1" x14ac:dyDescent="0.25"/>
    <row r="278012" customFormat="1" x14ac:dyDescent="0.25"/>
    <row r="278013" customFormat="1" x14ac:dyDescent="0.25"/>
    <row r="278014" customFormat="1" x14ac:dyDescent="0.25"/>
    <row r="278015" customFormat="1" x14ac:dyDescent="0.25"/>
    <row r="278016" customFormat="1" x14ac:dyDescent="0.25"/>
    <row r="278017" customFormat="1" x14ac:dyDescent="0.25"/>
    <row r="278018" customFormat="1" x14ac:dyDescent="0.25"/>
    <row r="278019" customFormat="1" x14ac:dyDescent="0.25"/>
    <row r="278020" customFormat="1" x14ac:dyDescent="0.25"/>
    <row r="278021" customFormat="1" x14ac:dyDescent="0.25"/>
    <row r="278022" customFormat="1" x14ac:dyDescent="0.25"/>
    <row r="278023" customFormat="1" x14ac:dyDescent="0.25"/>
    <row r="278024" customFormat="1" x14ac:dyDescent="0.25"/>
    <row r="278025" customFormat="1" x14ac:dyDescent="0.25"/>
    <row r="278026" customFormat="1" x14ac:dyDescent="0.25"/>
    <row r="278027" customFormat="1" x14ac:dyDescent="0.25"/>
    <row r="278028" customFormat="1" x14ac:dyDescent="0.25"/>
    <row r="278029" customFormat="1" x14ac:dyDescent="0.25"/>
    <row r="278030" customFormat="1" x14ac:dyDescent="0.25"/>
    <row r="278031" customFormat="1" x14ac:dyDescent="0.25"/>
    <row r="278032" customFormat="1" x14ac:dyDescent="0.25"/>
    <row r="278033" customFormat="1" x14ac:dyDescent="0.25"/>
    <row r="278034" customFormat="1" x14ac:dyDescent="0.25"/>
    <row r="278035" customFormat="1" x14ac:dyDescent="0.25"/>
    <row r="278036" customFormat="1" x14ac:dyDescent="0.25"/>
    <row r="278037" customFormat="1" x14ac:dyDescent="0.25"/>
    <row r="278038" customFormat="1" x14ac:dyDescent="0.25"/>
    <row r="278039" customFormat="1" x14ac:dyDescent="0.25"/>
    <row r="278040" customFormat="1" x14ac:dyDescent="0.25"/>
    <row r="278041" customFormat="1" x14ac:dyDescent="0.25"/>
    <row r="278042" customFormat="1" x14ac:dyDescent="0.25"/>
    <row r="278043" customFormat="1" x14ac:dyDescent="0.25"/>
    <row r="278044" customFormat="1" x14ac:dyDescent="0.25"/>
    <row r="278045" customFormat="1" x14ac:dyDescent="0.25"/>
    <row r="278046" customFormat="1" x14ac:dyDescent="0.25"/>
    <row r="278047" customFormat="1" x14ac:dyDescent="0.25"/>
    <row r="278048" customFormat="1" x14ac:dyDescent="0.25"/>
    <row r="278049" customFormat="1" x14ac:dyDescent="0.25"/>
    <row r="278050" customFormat="1" x14ac:dyDescent="0.25"/>
    <row r="278051" customFormat="1" x14ac:dyDescent="0.25"/>
    <row r="278052" customFormat="1" x14ac:dyDescent="0.25"/>
    <row r="278053" customFormat="1" x14ac:dyDescent="0.25"/>
    <row r="278054" customFormat="1" x14ac:dyDescent="0.25"/>
    <row r="278055" customFormat="1" x14ac:dyDescent="0.25"/>
    <row r="278056" customFormat="1" x14ac:dyDescent="0.25"/>
    <row r="278057" customFormat="1" x14ac:dyDescent="0.25"/>
    <row r="278058" customFormat="1" x14ac:dyDescent="0.25"/>
    <row r="278059" customFormat="1" x14ac:dyDescent="0.25"/>
    <row r="278060" customFormat="1" x14ac:dyDescent="0.25"/>
    <row r="278061" customFormat="1" x14ac:dyDescent="0.25"/>
    <row r="278062" customFormat="1" x14ac:dyDescent="0.25"/>
    <row r="278063" customFormat="1" x14ac:dyDescent="0.25"/>
    <row r="278064" customFormat="1" x14ac:dyDescent="0.25"/>
    <row r="278065" customFormat="1" x14ac:dyDescent="0.25"/>
    <row r="278066" customFormat="1" x14ac:dyDescent="0.25"/>
    <row r="278067" customFormat="1" x14ac:dyDescent="0.25"/>
    <row r="278068" customFormat="1" x14ac:dyDescent="0.25"/>
    <row r="278069" customFormat="1" x14ac:dyDescent="0.25"/>
    <row r="278070" customFormat="1" x14ac:dyDescent="0.25"/>
    <row r="278071" customFormat="1" x14ac:dyDescent="0.25"/>
    <row r="278072" customFormat="1" x14ac:dyDescent="0.25"/>
    <row r="278073" customFormat="1" x14ac:dyDescent="0.25"/>
    <row r="278074" customFormat="1" x14ac:dyDescent="0.25"/>
    <row r="278075" customFormat="1" x14ac:dyDescent="0.25"/>
    <row r="278076" customFormat="1" x14ac:dyDescent="0.25"/>
    <row r="278077" customFormat="1" x14ac:dyDescent="0.25"/>
    <row r="278078" customFormat="1" x14ac:dyDescent="0.25"/>
    <row r="278079" customFormat="1" x14ac:dyDescent="0.25"/>
    <row r="278080" customFormat="1" x14ac:dyDescent="0.25"/>
    <row r="278081" customFormat="1" x14ac:dyDescent="0.25"/>
    <row r="278082" customFormat="1" x14ac:dyDescent="0.25"/>
    <row r="278083" customFormat="1" x14ac:dyDescent="0.25"/>
    <row r="278084" customFormat="1" x14ac:dyDescent="0.25"/>
    <row r="278085" customFormat="1" x14ac:dyDescent="0.25"/>
    <row r="278086" customFormat="1" x14ac:dyDescent="0.25"/>
    <row r="278087" customFormat="1" x14ac:dyDescent="0.25"/>
    <row r="278088" customFormat="1" x14ac:dyDescent="0.25"/>
    <row r="278089" customFormat="1" x14ac:dyDescent="0.25"/>
    <row r="278090" customFormat="1" x14ac:dyDescent="0.25"/>
    <row r="278091" customFormat="1" x14ac:dyDescent="0.25"/>
    <row r="278092" customFormat="1" x14ac:dyDescent="0.25"/>
    <row r="278093" customFormat="1" x14ac:dyDescent="0.25"/>
    <row r="278094" customFormat="1" x14ac:dyDescent="0.25"/>
    <row r="278095" customFormat="1" x14ac:dyDescent="0.25"/>
    <row r="278096" customFormat="1" x14ac:dyDescent="0.25"/>
    <row r="278097" customFormat="1" x14ac:dyDescent="0.25"/>
    <row r="278098" customFormat="1" x14ac:dyDescent="0.25"/>
    <row r="278099" customFormat="1" x14ac:dyDescent="0.25"/>
    <row r="278100" customFormat="1" x14ac:dyDescent="0.25"/>
    <row r="278101" customFormat="1" x14ac:dyDescent="0.25"/>
    <row r="278102" customFormat="1" x14ac:dyDescent="0.25"/>
    <row r="278103" customFormat="1" x14ac:dyDescent="0.25"/>
    <row r="278104" customFormat="1" x14ac:dyDescent="0.25"/>
    <row r="278105" customFormat="1" x14ac:dyDescent="0.25"/>
    <row r="278106" customFormat="1" x14ac:dyDescent="0.25"/>
    <row r="278107" customFormat="1" x14ac:dyDescent="0.25"/>
    <row r="278108" customFormat="1" x14ac:dyDescent="0.25"/>
    <row r="278109" customFormat="1" x14ac:dyDescent="0.25"/>
    <row r="278110" customFormat="1" x14ac:dyDescent="0.25"/>
    <row r="278111" customFormat="1" x14ac:dyDescent="0.25"/>
    <row r="278112" customFormat="1" x14ac:dyDescent="0.25"/>
    <row r="278113" customFormat="1" x14ac:dyDescent="0.25"/>
    <row r="278114" customFormat="1" x14ac:dyDescent="0.25"/>
    <row r="278115" customFormat="1" x14ac:dyDescent="0.25"/>
    <row r="278116" customFormat="1" x14ac:dyDescent="0.25"/>
    <row r="278117" customFormat="1" x14ac:dyDescent="0.25"/>
    <row r="278118" customFormat="1" x14ac:dyDescent="0.25"/>
    <row r="278119" customFormat="1" x14ac:dyDescent="0.25"/>
    <row r="278120" customFormat="1" x14ac:dyDescent="0.25"/>
    <row r="278121" customFormat="1" x14ac:dyDescent="0.25"/>
    <row r="278122" customFormat="1" x14ac:dyDescent="0.25"/>
    <row r="278123" customFormat="1" x14ac:dyDescent="0.25"/>
    <row r="278124" customFormat="1" x14ac:dyDescent="0.25"/>
    <row r="278125" customFormat="1" x14ac:dyDescent="0.25"/>
    <row r="278126" customFormat="1" x14ac:dyDescent="0.25"/>
    <row r="278127" customFormat="1" x14ac:dyDescent="0.25"/>
    <row r="278128" customFormat="1" x14ac:dyDescent="0.25"/>
    <row r="278129" customFormat="1" x14ac:dyDescent="0.25"/>
    <row r="278130" customFormat="1" x14ac:dyDescent="0.25"/>
    <row r="278131" customFormat="1" x14ac:dyDescent="0.25"/>
    <row r="278132" customFormat="1" x14ac:dyDescent="0.25"/>
    <row r="278133" customFormat="1" x14ac:dyDescent="0.25"/>
    <row r="278134" customFormat="1" x14ac:dyDescent="0.25"/>
    <row r="278135" customFormat="1" x14ac:dyDescent="0.25"/>
    <row r="278136" customFormat="1" x14ac:dyDescent="0.25"/>
    <row r="278137" customFormat="1" x14ac:dyDescent="0.25"/>
    <row r="278138" customFormat="1" x14ac:dyDescent="0.25"/>
    <row r="278139" customFormat="1" x14ac:dyDescent="0.25"/>
    <row r="278140" customFormat="1" x14ac:dyDescent="0.25"/>
    <row r="278141" customFormat="1" x14ac:dyDescent="0.25"/>
    <row r="278142" customFormat="1" x14ac:dyDescent="0.25"/>
    <row r="278143" customFormat="1" x14ac:dyDescent="0.25"/>
    <row r="278144" customFormat="1" x14ac:dyDescent="0.25"/>
    <row r="278145" customFormat="1" x14ac:dyDescent="0.25"/>
    <row r="278146" customFormat="1" x14ac:dyDescent="0.25"/>
    <row r="278147" customFormat="1" x14ac:dyDescent="0.25"/>
    <row r="278148" customFormat="1" x14ac:dyDescent="0.25"/>
    <row r="278149" customFormat="1" x14ac:dyDescent="0.25"/>
    <row r="278150" customFormat="1" x14ac:dyDescent="0.25"/>
    <row r="278151" customFormat="1" x14ac:dyDescent="0.25"/>
    <row r="278152" customFormat="1" x14ac:dyDescent="0.25"/>
    <row r="278153" customFormat="1" x14ac:dyDescent="0.25"/>
    <row r="278154" customFormat="1" x14ac:dyDescent="0.25"/>
    <row r="278155" customFormat="1" x14ac:dyDescent="0.25"/>
    <row r="278156" customFormat="1" x14ac:dyDescent="0.25"/>
    <row r="278157" customFormat="1" x14ac:dyDescent="0.25"/>
    <row r="278158" customFormat="1" x14ac:dyDescent="0.25"/>
    <row r="278159" customFormat="1" x14ac:dyDescent="0.25"/>
    <row r="278160" customFormat="1" x14ac:dyDescent="0.25"/>
    <row r="278161" customFormat="1" x14ac:dyDescent="0.25"/>
    <row r="278162" customFormat="1" x14ac:dyDescent="0.25"/>
    <row r="278163" customFormat="1" x14ac:dyDescent="0.25"/>
    <row r="278164" customFormat="1" x14ac:dyDescent="0.25"/>
    <row r="278165" customFormat="1" x14ac:dyDescent="0.25"/>
    <row r="278166" customFormat="1" x14ac:dyDescent="0.25"/>
    <row r="278167" customFormat="1" x14ac:dyDescent="0.25"/>
    <row r="278168" customFormat="1" x14ac:dyDescent="0.25"/>
    <row r="278169" customFormat="1" x14ac:dyDescent="0.25"/>
    <row r="278170" customFormat="1" x14ac:dyDescent="0.25"/>
    <row r="278171" customFormat="1" x14ac:dyDescent="0.25"/>
    <row r="278172" customFormat="1" x14ac:dyDescent="0.25"/>
    <row r="278173" customFormat="1" x14ac:dyDescent="0.25"/>
    <row r="278174" customFormat="1" x14ac:dyDescent="0.25"/>
    <row r="278175" customFormat="1" x14ac:dyDescent="0.25"/>
    <row r="278176" customFormat="1" x14ac:dyDescent="0.25"/>
    <row r="278177" customFormat="1" x14ac:dyDescent="0.25"/>
    <row r="278178" customFormat="1" x14ac:dyDescent="0.25"/>
    <row r="278179" customFormat="1" x14ac:dyDescent="0.25"/>
    <row r="278180" customFormat="1" x14ac:dyDescent="0.25"/>
    <row r="278181" customFormat="1" x14ac:dyDescent="0.25"/>
    <row r="278182" customFormat="1" x14ac:dyDescent="0.25"/>
    <row r="278183" customFormat="1" x14ac:dyDescent="0.25"/>
    <row r="278184" customFormat="1" x14ac:dyDescent="0.25"/>
    <row r="278185" customFormat="1" x14ac:dyDescent="0.25"/>
    <row r="278186" customFormat="1" x14ac:dyDescent="0.25"/>
    <row r="278187" customFormat="1" x14ac:dyDescent="0.25"/>
    <row r="278188" customFormat="1" x14ac:dyDescent="0.25"/>
    <row r="278189" customFormat="1" x14ac:dyDescent="0.25"/>
    <row r="278190" customFormat="1" x14ac:dyDescent="0.25"/>
    <row r="278191" customFormat="1" x14ac:dyDescent="0.25"/>
    <row r="278192" customFormat="1" x14ac:dyDescent="0.25"/>
    <row r="278193" customFormat="1" x14ac:dyDescent="0.25"/>
    <row r="278194" customFormat="1" x14ac:dyDescent="0.25"/>
    <row r="278195" customFormat="1" x14ac:dyDescent="0.25"/>
    <row r="278196" customFormat="1" x14ac:dyDescent="0.25"/>
    <row r="278197" customFormat="1" x14ac:dyDescent="0.25"/>
    <row r="278198" customFormat="1" x14ac:dyDescent="0.25"/>
    <row r="278199" customFormat="1" x14ac:dyDescent="0.25"/>
    <row r="278200" customFormat="1" x14ac:dyDescent="0.25"/>
    <row r="278201" customFormat="1" x14ac:dyDescent="0.25"/>
    <row r="278202" customFormat="1" x14ac:dyDescent="0.25"/>
    <row r="278203" customFormat="1" x14ac:dyDescent="0.25"/>
    <row r="278204" customFormat="1" x14ac:dyDescent="0.25"/>
    <row r="278205" customFormat="1" x14ac:dyDescent="0.25"/>
    <row r="278206" customFormat="1" x14ac:dyDescent="0.25"/>
    <row r="278207" customFormat="1" x14ac:dyDescent="0.25"/>
    <row r="278208" customFormat="1" x14ac:dyDescent="0.25"/>
    <row r="278209" customFormat="1" x14ac:dyDescent="0.25"/>
    <row r="278210" customFormat="1" x14ac:dyDescent="0.25"/>
    <row r="278211" customFormat="1" x14ac:dyDescent="0.25"/>
    <row r="278212" customFormat="1" x14ac:dyDescent="0.25"/>
    <row r="278213" customFormat="1" x14ac:dyDescent="0.25"/>
    <row r="278214" customFormat="1" x14ac:dyDescent="0.25"/>
    <row r="278215" customFormat="1" x14ac:dyDescent="0.25"/>
    <row r="278216" customFormat="1" x14ac:dyDescent="0.25"/>
    <row r="278217" customFormat="1" x14ac:dyDescent="0.25"/>
    <row r="278218" customFormat="1" x14ac:dyDescent="0.25"/>
    <row r="278219" customFormat="1" x14ac:dyDescent="0.25"/>
    <row r="278220" customFormat="1" x14ac:dyDescent="0.25"/>
    <row r="278221" customFormat="1" x14ac:dyDescent="0.25"/>
    <row r="278222" customFormat="1" x14ac:dyDescent="0.25"/>
    <row r="278223" customFormat="1" x14ac:dyDescent="0.25"/>
    <row r="278224" customFormat="1" x14ac:dyDescent="0.25"/>
    <row r="278225" customFormat="1" x14ac:dyDescent="0.25"/>
    <row r="278226" customFormat="1" x14ac:dyDescent="0.25"/>
    <row r="278227" customFormat="1" x14ac:dyDescent="0.25"/>
    <row r="278228" customFormat="1" x14ac:dyDescent="0.25"/>
    <row r="278229" customFormat="1" x14ac:dyDescent="0.25"/>
    <row r="278230" customFormat="1" x14ac:dyDescent="0.25"/>
    <row r="278231" customFormat="1" x14ac:dyDescent="0.25"/>
    <row r="278232" customFormat="1" x14ac:dyDescent="0.25"/>
    <row r="278233" customFormat="1" x14ac:dyDescent="0.25"/>
    <row r="278234" customFormat="1" x14ac:dyDescent="0.25"/>
    <row r="278235" customFormat="1" x14ac:dyDescent="0.25"/>
    <row r="278236" customFormat="1" x14ac:dyDescent="0.25"/>
    <row r="278237" customFormat="1" x14ac:dyDescent="0.25"/>
    <row r="278238" customFormat="1" x14ac:dyDescent="0.25"/>
    <row r="278239" customFormat="1" x14ac:dyDescent="0.25"/>
    <row r="278240" customFormat="1" x14ac:dyDescent="0.25"/>
    <row r="278241" customFormat="1" x14ac:dyDescent="0.25"/>
    <row r="278242" customFormat="1" x14ac:dyDescent="0.25"/>
    <row r="278243" customFormat="1" x14ac:dyDescent="0.25"/>
    <row r="278244" customFormat="1" x14ac:dyDescent="0.25"/>
    <row r="278245" customFormat="1" x14ac:dyDescent="0.25"/>
    <row r="278246" customFormat="1" x14ac:dyDescent="0.25"/>
    <row r="278247" customFormat="1" x14ac:dyDescent="0.25"/>
    <row r="278248" customFormat="1" x14ac:dyDescent="0.25"/>
    <row r="278249" customFormat="1" x14ac:dyDescent="0.25"/>
    <row r="278250" customFormat="1" x14ac:dyDescent="0.25"/>
    <row r="278251" customFormat="1" x14ac:dyDescent="0.25"/>
    <row r="278252" customFormat="1" x14ac:dyDescent="0.25"/>
    <row r="278253" customFormat="1" x14ac:dyDescent="0.25"/>
    <row r="278254" customFormat="1" x14ac:dyDescent="0.25"/>
    <row r="278255" customFormat="1" x14ac:dyDescent="0.25"/>
    <row r="278256" customFormat="1" x14ac:dyDescent="0.25"/>
    <row r="278257" customFormat="1" x14ac:dyDescent="0.25"/>
    <row r="278258" customFormat="1" x14ac:dyDescent="0.25"/>
    <row r="278259" customFormat="1" x14ac:dyDescent="0.25"/>
    <row r="278260" customFormat="1" x14ac:dyDescent="0.25"/>
    <row r="278261" customFormat="1" x14ac:dyDescent="0.25"/>
    <row r="278262" customFormat="1" x14ac:dyDescent="0.25"/>
    <row r="278263" customFormat="1" x14ac:dyDescent="0.25"/>
    <row r="278264" customFormat="1" x14ac:dyDescent="0.25"/>
    <row r="278265" customFormat="1" x14ac:dyDescent="0.25"/>
    <row r="278266" customFormat="1" x14ac:dyDescent="0.25"/>
    <row r="278267" customFormat="1" x14ac:dyDescent="0.25"/>
    <row r="278268" customFormat="1" x14ac:dyDescent="0.25"/>
    <row r="278269" customFormat="1" x14ac:dyDescent="0.25"/>
    <row r="278270" customFormat="1" x14ac:dyDescent="0.25"/>
    <row r="278271" customFormat="1" x14ac:dyDescent="0.25"/>
    <row r="278272" customFormat="1" x14ac:dyDescent="0.25"/>
    <row r="278273" customFormat="1" x14ac:dyDescent="0.25"/>
    <row r="278274" customFormat="1" x14ac:dyDescent="0.25"/>
    <row r="278275" customFormat="1" x14ac:dyDescent="0.25"/>
    <row r="278276" customFormat="1" x14ac:dyDescent="0.25"/>
    <row r="278277" customFormat="1" x14ac:dyDescent="0.25"/>
    <row r="278278" customFormat="1" x14ac:dyDescent="0.25"/>
    <row r="278279" customFormat="1" x14ac:dyDescent="0.25"/>
    <row r="278280" customFormat="1" x14ac:dyDescent="0.25"/>
    <row r="278281" customFormat="1" x14ac:dyDescent="0.25"/>
    <row r="278282" customFormat="1" x14ac:dyDescent="0.25"/>
    <row r="278283" customFormat="1" x14ac:dyDescent="0.25"/>
    <row r="278284" customFormat="1" x14ac:dyDescent="0.25"/>
    <row r="278285" customFormat="1" x14ac:dyDescent="0.25"/>
    <row r="278286" customFormat="1" x14ac:dyDescent="0.25"/>
    <row r="278287" customFormat="1" x14ac:dyDescent="0.25"/>
    <row r="278288" customFormat="1" x14ac:dyDescent="0.25"/>
    <row r="278289" customFormat="1" x14ac:dyDescent="0.25"/>
    <row r="278290" customFormat="1" x14ac:dyDescent="0.25"/>
    <row r="278291" customFormat="1" x14ac:dyDescent="0.25"/>
    <row r="278292" customFormat="1" x14ac:dyDescent="0.25"/>
    <row r="278293" customFormat="1" x14ac:dyDescent="0.25"/>
    <row r="278294" customFormat="1" x14ac:dyDescent="0.25"/>
    <row r="278295" customFormat="1" x14ac:dyDescent="0.25"/>
    <row r="278296" customFormat="1" x14ac:dyDescent="0.25"/>
    <row r="278297" customFormat="1" x14ac:dyDescent="0.25"/>
    <row r="278298" customFormat="1" x14ac:dyDescent="0.25"/>
    <row r="278299" customFormat="1" x14ac:dyDescent="0.25"/>
    <row r="278300" customFormat="1" x14ac:dyDescent="0.25"/>
    <row r="278301" customFormat="1" x14ac:dyDescent="0.25"/>
    <row r="278302" customFormat="1" x14ac:dyDescent="0.25"/>
    <row r="278303" customFormat="1" x14ac:dyDescent="0.25"/>
    <row r="278304" customFormat="1" x14ac:dyDescent="0.25"/>
    <row r="278305" customFormat="1" x14ac:dyDescent="0.25"/>
    <row r="278306" customFormat="1" x14ac:dyDescent="0.25"/>
    <row r="278307" customFormat="1" x14ac:dyDescent="0.25"/>
    <row r="278308" customFormat="1" x14ac:dyDescent="0.25"/>
    <row r="278309" customFormat="1" x14ac:dyDescent="0.25"/>
    <row r="278310" customFormat="1" x14ac:dyDescent="0.25"/>
    <row r="278311" customFormat="1" x14ac:dyDescent="0.25"/>
    <row r="278312" customFormat="1" x14ac:dyDescent="0.25"/>
    <row r="278313" customFormat="1" x14ac:dyDescent="0.25"/>
    <row r="278314" customFormat="1" x14ac:dyDescent="0.25"/>
    <row r="278315" customFormat="1" x14ac:dyDescent="0.25"/>
    <row r="278316" customFormat="1" x14ac:dyDescent="0.25"/>
    <row r="278317" customFormat="1" x14ac:dyDescent="0.25"/>
    <row r="278318" customFormat="1" x14ac:dyDescent="0.25"/>
    <row r="278319" customFormat="1" x14ac:dyDescent="0.25"/>
    <row r="278320" customFormat="1" x14ac:dyDescent="0.25"/>
    <row r="278321" customFormat="1" x14ac:dyDescent="0.25"/>
    <row r="278322" customFormat="1" x14ac:dyDescent="0.25"/>
    <row r="278323" customFormat="1" x14ac:dyDescent="0.25"/>
    <row r="278324" customFormat="1" x14ac:dyDescent="0.25"/>
    <row r="278325" customFormat="1" x14ac:dyDescent="0.25"/>
    <row r="278326" customFormat="1" x14ac:dyDescent="0.25"/>
    <row r="278327" customFormat="1" x14ac:dyDescent="0.25"/>
    <row r="278328" customFormat="1" x14ac:dyDescent="0.25"/>
    <row r="278329" customFormat="1" x14ac:dyDescent="0.25"/>
    <row r="278330" customFormat="1" x14ac:dyDescent="0.25"/>
    <row r="278331" customFormat="1" x14ac:dyDescent="0.25"/>
    <row r="278332" customFormat="1" x14ac:dyDescent="0.25"/>
    <row r="278333" customFormat="1" x14ac:dyDescent="0.25"/>
    <row r="278334" customFormat="1" x14ac:dyDescent="0.25"/>
    <row r="278335" customFormat="1" x14ac:dyDescent="0.25"/>
    <row r="278336" customFormat="1" x14ac:dyDescent="0.25"/>
    <row r="278337" customFormat="1" x14ac:dyDescent="0.25"/>
    <row r="278338" customFormat="1" x14ac:dyDescent="0.25"/>
    <row r="278339" customFormat="1" x14ac:dyDescent="0.25"/>
    <row r="278340" customFormat="1" x14ac:dyDescent="0.25"/>
    <row r="278341" customFormat="1" x14ac:dyDescent="0.25"/>
    <row r="278342" customFormat="1" x14ac:dyDescent="0.25"/>
    <row r="278343" customFormat="1" x14ac:dyDescent="0.25"/>
    <row r="278344" customFormat="1" x14ac:dyDescent="0.25"/>
    <row r="278345" customFormat="1" x14ac:dyDescent="0.25"/>
    <row r="278346" customFormat="1" x14ac:dyDescent="0.25"/>
    <row r="278347" customFormat="1" x14ac:dyDescent="0.25"/>
    <row r="278348" customFormat="1" x14ac:dyDescent="0.25"/>
    <row r="278349" customFormat="1" x14ac:dyDescent="0.25"/>
    <row r="278350" customFormat="1" x14ac:dyDescent="0.25"/>
    <row r="278351" customFormat="1" x14ac:dyDescent="0.25"/>
    <row r="278352" customFormat="1" x14ac:dyDescent="0.25"/>
    <row r="278353" customFormat="1" x14ac:dyDescent="0.25"/>
    <row r="278354" customFormat="1" x14ac:dyDescent="0.25"/>
    <row r="278355" customFormat="1" x14ac:dyDescent="0.25"/>
    <row r="278356" customFormat="1" x14ac:dyDescent="0.25"/>
    <row r="278357" customFormat="1" x14ac:dyDescent="0.25"/>
    <row r="278358" customFormat="1" x14ac:dyDescent="0.25"/>
    <row r="278359" customFormat="1" x14ac:dyDescent="0.25"/>
    <row r="278360" customFormat="1" x14ac:dyDescent="0.25"/>
    <row r="278361" customFormat="1" x14ac:dyDescent="0.25"/>
    <row r="278362" customFormat="1" x14ac:dyDescent="0.25"/>
    <row r="278363" customFormat="1" x14ac:dyDescent="0.25"/>
    <row r="278364" customFormat="1" x14ac:dyDescent="0.25"/>
    <row r="278365" customFormat="1" x14ac:dyDescent="0.25"/>
    <row r="278366" customFormat="1" x14ac:dyDescent="0.25"/>
    <row r="278367" customFormat="1" x14ac:dyDescent="0.25"/>
    <row r="278368" customFormat="1" x14ac:dyDescent="0.25"/>
    <row r="278369" customFormat="1" x14ac:dyDescent="0.25"/>
    <row r="278370" customFormat="1" x14ac:dyDescent="0.25"/>
    <row r="278371" customFormat="1" x14ac:dyDescent="0.25"/>
    <row r="278372" customFormat="1" x14ac:dyDescent="0.25"/>
    <row r="278373" customFormat="1" x14ac:dyDescent="0.25"/>
    <row r="278374" customFormat="1" x14ac:dyDescent="0.25"/>
    <row r="278375" customFormat="1" x14ac:dyDescent="0.25"/>
    <row r="278376" customFormat="1" x14ac:dyDescent="0.25"/>
    <row r="278377" customFormat="1" x14ac:dyDescent="0.25"/>
    <row r="278378" customFormat="1" x14ac:dyDescent="0.25"/>
    <row r="278379" customFormat="1" x14ac:dyDescent="0.25"/>
    <row r="278380" customFormat="1" x14ac:dyDescent="0.25"/>
    <row r="278381" customFormat="1" x14ac:dyDescent="0.25"/>
    <row r="278382" customFormat="1" x14ac:dyDescent="0.25"/>
    <row r="278383" customFormat="1" x14ac:dyDescent="0.25"/>
    <row r="278384" customFormat="1" x14ac:dyDescent="0.25"/>
    <row r="278385" customFormat="1" x14ac:dyDescent="0.25"/>
    <row r="278386" customFormat="1" x14ac:dyDescent="0.25"/>
    <row r="278387" customFormat="1" x14ac:dyDescent="0.25"/>
    <row r="278388" customFormat="1" x14ac:dyDescent="0.25"/>
    <row r="278389" customFormat="1" x14ac:dyDescent="0.25"/>
    <row r="278390" customFormat="1" x14ac:dyDescent="0.25"/>
    <row r="278391" customFormat="1" x14ac:dyDescent="0.25"/>
    <row r="278392" customFormat="1" x14ac:dyDescent="0.25"/>
    <row r="278393" customFormat="1" x14ac:dyDescent="0.25"/>
    <row r="278394" customFormat="1" x14ac:dyDescent="0.25"/>
    <row r="278395" customFormat="1" x14ac:dyDescent="0.25"/>
    <row r="278396" customFormat="1" x14ac:dyDescent="0.25"/>
    <row r="278397" customFormat="1" x14ac:dyDescent="0.25"/>
    <row r="278398" customFormat="1" x14ac:dyDescent="0.25"/>
    <row r="278399" customFormat="1" x14ac:dyDescent="0.25"/>
    <row r="278400" customFormat="1" x14ac:dyDescent="0.25"/>
    <row r="278401" customFormat="1" x14ac:dyDescent="0.25"/>
    <row r="278402" customFormat="1" x14ac:dyDescent="0.25"/>
    <row r="278403" customFormat="1" x14ac:dyDescent="0.25"/>
    <row r="278404" customFormat="1" x14ac:dyDescent="0.25"/>
    <row r="278405" customFormat="1" x14ac:dyDescent="0.25"/>
    <row r="278406" customFormat="1" x14ac:dyDescent="0.25"/>
    <row r="278407" customFormat="1" x14ac:dyDescent="0.25"/>
    <row r="278408" customFormat="1" x14ac:dyDescent="0.25"/>
    <row r="278409" customFormat="1" x14ac:dyDescent="0.25"/>
    <row r="278410" customFormat="1" x14ac:dyDescent="0.25"/>
    <row r="278411" customFormat="1" x14ac:dyDescent="0.25"/>
    <row r="278412" customFormat="1" x14ac:dyDescent="0.25"/>
    <row r="278413" customFormat="1" x14ac:dyDescent="0.25"/>
    <row r="278414" customFormat="1" x14ac:dyDescent="0.25"/>
    <row r="278415" customFormat="1" x14ac:dyDescent="0.25"/>
    <row r="278416" customFormat="1" x14ac:dyDescent="0.25"/>
    <row r="278417" customFormat="1" x14ac:dyDescent="0.25"/>
    <row r="278418" customFormat="1" x14ac:dyDescent="0.25"/>
    <row r="278419" customFormat="1" x14ac:dyDescent="0.25"/>
    <row r="278420" customFormat="1" x14ac:dyDescent="0.25"/>
    <row r="278421" customFormat="1" x14ac:dyDescent="0.25"/>
    <row r="278422" customFormat="1" x14ac:dyDescent="0.25"/>
    <row r="278423" customFormat="1" x14ac:dyDescent="0.25"/>
    <row r="278424" customFormat="1" x14ac:dyDescent="0.25"/>
    <row r="278425" customFormat="1" x14ac:dyDescent="0.25"/>
    <row r="278426" customFormat="1" x14ac:dyDescent="0.25"/>
    <row r="278427" customFormat="1" x14ac:dyDescent="0.25"/>
    <row r="278428" customFormat="1" x14ac:dyDescent="0.25"/>
    <row r="278429" customFormat="1" x14ac:dyDescent="0.25"/>
    <row r="278430" customFormat="1" x14ac:dyDescent="0.25"/>
    <row r="278431" customFormat="1" x14ac:dyDescent="0.25"/>
    <row r="278432" customFormat="1" x14ac:dyDescent="0.25"/>
    <row r="278433" customFormat="1" x14ac:dyDescent="0.25"/>
    <row r="278434" customFormat="1" x14ac:dyDescent="0.25"/>
    <row r="278435" customFormat="1" x14ac:dyDescent="0.25"/>
    <row r="278436" customFormat="1" x14ac:dyDescent="0.25"/>
    <row r="278437" customFormat="1" x14ac:dyDescent="0.25"/>
    <row r="278438" customFormat="1" x14ac:dyDescent="0.25"/>
    <row r="278439" customFormat="1" x14ac:dyDescent="0.25"/>
    <row r="278440" customFormat="1" x14ac:dyDescent="0.25"/>
    <row r="278441" customFormat="1" x14ac:dyDescent="0.25"/>
    <row r="278442" customFormat="1" x14ac:dyDescent="0.25"/>
    <row r="278443" customFormat="1" x14ac:dyDescent="0.25"/>
    <row r="278444" customFormat="1" x14ac:dyDescent="0.25"/>
    <row r="278445" customFormat="1" x14ac:dyDescent="0.25"/>
    <row r="278446" customFormat="1" x14ac:dyDescent="0.25"/>
    <row r="278447" customFormat="1" x14ac:dyDescent="0.25"/>
    <row r="278448" customFormat="1" x14ac:dyDescent="0.25"/>
    <row r="278449" customFormat="1" x14ac:dyDescent="0.25"/>
    <row r="278450" customFormat="1" x14ac:dyDescent="0.25"/>
    <row r="278451" customFormat="1" x14ac:dyDescent="0.25"/>
    <row r="278452" customFormat="1" x14ac:dyDescent="0.25"/>
    <row r="278453" customFormat="1" x14ac:dyDescent="0.25"/>
    <row r="278454" customFormat="1" x14ac:dyDescent="0.25"/>
    <row r="278455" customFormat="1" x14ac:dyDescent="0.25"/>
    <row r="278456" customFormat="1" x14ac:dyDescent="0.25"/>
    <row r="278457" customFormat="1" x14ac:dyDescent="0.25"/>
    <row r="278458" customFormat="1" x14ac:dyDescent="0.25"/>
    <row r="278459" customFormat="1" x14ac:dyDescent="0.25"/>
    <row r="278460" customFormat="1" x14ac:dyDescent="0.25"/>
    <row r="278461" customFormat="1" x14ac:dyDescent="0.25"/>
    <row r="278462" customFormat="1" x14ac:dyDescent="0.25"/>
    <row r="278463" customFormat="1" x14ac:dyDescent="0.25"/>
    <row r="278464" customFormat="1" x14ac:dyDescent="0.25"/>
    <row r="278465" customFormat="1" x14ac:dyDescent="0.25"/>
    <row r="278466" customFormat="1" x14ac:dyDescent="0.25"/>
    <row r="278467" customFormat="1" x14ac:dyDescent="0.25"/>
    <row r="278468" customFormat="1" x14ac:dyDescent="0.25"/>
    <row r="278469" customFormat="1" x14ac:dyDescent="0.25"/>
    <row r="278470" customFormat="1" x14ac:dyDescent="0.25"/>
    <row r="278471" customFormat="1" x14ac:dyDescent="0.25"/>
    <row r="278472" customFormat="1" x14ac:dyDescent="0.25"/>
    <row r="278473" customFormat="1" x14ac:dyDescent="0.25"/>
    <row r="278474" customFormat="1" x14ac:dyDescent="0.25"/>
    <row r="278475" customFormat="1" x14ac:dyDescent="0.25"/>
    <row r="278476" customFormat="1" x14ac:dyDescent="0.25"/>
    <row r="278477" customFormat="1" x14ac:dyDescent="0.25"/>
    <row r="278478" customFormat="1" x14ac:dyDescent="0.25"/>
    <row r="278479" customFormat="1" x14ac:dyDescent="0.25"/>
    <row r="278480" customFormat="1" x14ac:dyDescent="0.25"/>
    <row r="278481" customFormat="1" x14ac:dyDescent="0.25"/>
    <row r="278482" customFormat="1" x14ac:dyDescent="0.25"/>
    <row r="278483" customFormat="1" x14ac:dyDescent="0.25"/>
    <row r="278484" customFormat="1" x14ac:dyDescent="0.25"/>
    <row r="278485" customFormat="1" x14ac:dyDescent="0.25"/>
    <row r="278486" customFormat="1" x14ac:dyDescent="0.25"/>
    <row r="278487" customFormat="1" x14ac:dyDescent="0.25"/>
    <row r="278488" customFormat="1" x14ac:dyDescent="0.25"/>
    <row r="278489" customFormat="1" x14ac:dyDescent="0.25"/>
    <row r="278490" customFormat="1" x14ac:dyDescent="0.25"/>
    <row r="278491" customFormat="1" x14ac:dyDescent="0.25"/>
    <row r="278492" customFormat="1" x14ac:dyDescent="0.25"/>
    <row r="278493" customFormat="1" x14ac:dyDescent="0.25"/>
    <row r="278494" customFormat="1" x14ac:dyDescent="0.25"/>
    <row r="278495" customFormat="1" x14ac:dyDescent="0.25"/>
    <row r="278496" customFormat="1" x14ac:dyDescent="0.25"/>
    <row r="278497" customFormat="1" x14ac:dyDescent="0.25"/>
    <row r="278498" customFormat="1" x14ac:dyDescent="0.25"/>
    <row r="278499" customFormat="1" x14ac:dyDescent="0.25"/>
    <row r="278500" customFormat="1" x14ac:dyDescent="0.25"/>
    <row r="278501" customFormat="1" x14ac:dyDescent="0.25"/>
    <row r="278502" customFormat="1" x14ac:dyDescent="0.25"/>
    <row r="278503" customFormat="1" x14ac:dyDescent="0.25"/>
    <row r="278504" customFormat="1" x14ac:dyDescent="0.25"/>
    <row r="278505" customFormat="1" x14ac:dyDescent="0.25"/>
    <row r="278506" customFormat="1" x14ac:dyDescent="0.25"/>
    <row r="278507" customFormat="1" x14ac:dyDescent="0.25"/>
    <row r="278508" customFormat="1" x14ac:dyDescent="0.25"/>
    <row r="278509" customFormat="1" x14ac:dyDescent="0.25"/>
    <row r="278510" customFormat="1" x14ac:dyDescent="0.25"/>
    <row r="278511" customFormat="1" x14ac:dyDescent="0.25"/>
    <row r="278512" customFormat="1" x14ac:dyDescent="0.25"/>
    <row r="278513" customFormat="1" x14ac:dyDescent="0.25"/>
    <row r="278514" customFormat="1" x14ac:dyDescent="0.25"/>
    <row r="278515" customFormat="1" x14ac:dyDescent="0.25"/>
    <row r="278516" customFormat="1" x14ac:dyDescent="0.25"/>
    <row r="278517" customFormat="1" x14ac:dyDescent="0.25"/>
    <row r="278518" customFormat="1" x14ac:dyDescent="0.25"/>
    <row r="278519" customFormat="1" x14ac:dyDescent="0.25"/>
    <row r="278520" customFormat="1" x14ac:dyDescent="0.25"/>
    <row r="278521" customFormat="1" x14ac:dyDescent="0.25"/>
    <row r="278522" customFormat="1" x14ac:dyDescent="0.25"/>
    <row r="278523" customFormat="1" x14ac:dyDescent="0.25"/>
    <row r="278524" customFormat="1" x14ac:dyDescent="0.25"/>
    <row r="278525" customFormat="1" x14ac:dyDescent="0.25"/>
    <row r="278526" customFormat="1" x14ac:dyDescent="0.25"/>
    <row r="278527" customFormat="1" x14ac:dyDescent="0.25"/>
    <row r="278528" customFormat="1" x14ac:dyDescent="0.25"/>
    <row r="278529" customFormat="1" x14ac:dyDescent="0.25"/>
    <row r="278530" customFormat="1" x14ac:dyDescent="0.25"/>
    <row r="278531" customFormat="1" x14ac:dyDescent="0.25"/>
    <row r="278532" customFormat="1" x14ac:dyDescent="0.25"/>
    <row r="278533" customFormat="1" x14ac:dyDescent="0.25"/>
    <row r="278534" customFormat="1" x14ac:dyDescent="0.25"/>
    <row r="278535" customFormat="1" x14ac:dyDescent="0.25"/>
    <row r="278536" customFormat="1" x14ac:dyDescent="0.25"/>
    <row r="278537" customFormat="1" x14ac:dyDescent="0.25"/>
    <row r="278538" customFormat="1" x14ac:dyDescent="0.25"/>
    <row r="278539" customFormat="1" x14ac:dyDescent="0.25"/>
    <row r="278540" customFormat="1" x14ac:dyDescent="0.25"/>
    <row r="278541" customFormat="1" x14ac:dyDescent="0.25"/>
    <row r="278542" customFormat="1" x14ac:dyDescent="0.25"/>
    <row r="278543" customFormat="1" x14ac:dyDescent="0.25"/>
    <row r="278544" customFormat="1" x14ac:dyDescent="0.25"/>
    <row r="278545" customFormat="1" x14ac:dyDescent="0.25"/>
    <row r="278546" customFormat="1" x14ac:dyDescent="0.25"/>
    <row r="278547" customFormat="1" x14ac:dyDescent="0.25"/>
    <row r="278548" customFormat="1" x14ac:dyDescent="0.25"/>
    <row r="278549" customFormat="1" x14ac:dyDescent="0.25"/>
    <row r="278550" customFormat="1" x14ac:dyDescent="0.25"/>
    <row r="278551" customFormat="1" x14ac:dyDescent="0.25"/>
    <row r="278552" customFormat="1" x14ac:dyDescent="0.25"/>
    <row r="278553" customFormat="1" x14ac:dyDescent="0.25"/>
    <row r="278554" customFormat="1" x14ac:dyDescent="0.25"/>
    <row r="278555" customFormat="1" x14ac:dyDescent="0.25"/>
    <row r="278556" customFormat="1" x14ac:dyDescent="0.25"/>
    <row r="278557" customFormat="1" x14ac:dyDescent="0.25"/>
    <row r="278558" customFormat="1" x14ac:dyDescent="0.25"/>
    <row r="278559" customFormat="1" x14ac:dyDescent="0.25"/>
    <row r="278560" customFormat="1" x14ac:dyDescent="0.25"/>
    <row r="278561" customFormat="1" x14ac:dyDescent="0.25"/>
    <row r="278562" customFormat="1" x14ac:dyDescent="0.25"/>
    <row r="278563" customFormat="1" x14ac:dyDescent="0.25"/>
    <row r="278564" customFormat="1" x14ac:dyDescent="0.25"/>
    <row r="278565" customFormat="1" x14ac:dyDescent="0.25"/>
    <row r="278566" customFormat="1" x14ac:dyDescent="0.25"/>
    <row r="278567" customFormat="1" x14ac:dyDescent="0.25"/>
    <row r="278568" customFormat="1" x14ac:dyDescent="0.25"/>
    <row r="278569" customFormat="1" x14ac:dyDescent="0.25"/>
    <row r="278570" customFormat="1" x14ac:dyDescent="0.25"/>
    <row r="278571" customFormat="1" x14ac:dyDescent="0.25"/>
    <row r="278572" customFormat="1" x14ac:dyDescent="0.25"/>
    <row r="278573" customFormat="1" x14ac:dyDescent="0.25"/>
    <row r="278574" customFormat="1" x14ac:dyDescent="0.25"/>
    <row r="278575" customFormat="1" x14ac:dyDescent="0.25"/>
    <row r="278576" customFormat="1" x14ac:dyDescent="0.25"/>
    <row r="278577" customFormat="1" x14ac:dyDescent="0.25"/>
    <row r="278578" customFormat="1" x14ac:dyDescent="0.25"/>
    <row r="278579" customFormat="1" x14ac:dyDescent="0.25"/>
    <row r="278580" customFormat="1" x14ac:dyDescent="0.25"/>
    <row r="278581" customFormat="1" x14ac:dyDescent="0.25"/>
    <row r="278582" customFormat="1" x14ac:dyDescent="0.25"/>
    <row r="278583" customFormat="1" x14ac:dyDescent="0.25"/>
    <row r="278584" customFormat="1" x14ac:dyDescent="0.25"/>
    <row r="278585" customFormat="1" x14ac:dyDescent="0.25"/>
    <row r="278586" customFormat="1" x14ac:dyDescent="0.25"/>
    <row r="278587" customFormat="1" x14ac:dyDescent="0.25"/>
    <row r="278588" customFormat="1" x14ac:dyDescent="0.25"/>
    <row r="278589" customFormat="1" x14ac:dyDescent="0.25"/>
    <row r="278590" customFormat="1" x14ac:dyDescent="0.25"/>
    <row r="278591" customFormat="1" x14ac:dyDescent="0.25"/>
    <row r="278592" customFormat="1" x14ac:dyDescent="0.25"/>
    <row r="278593" customFormat="1" x14ac:dyDescent="0.25"/>
    <row r="278594" customFormat="1" x14ac:dyDescent="0.25"/>
    <row r="278595" customFormat="1" x14ac:dyDescent="0.25"/>
    <row r="278596" customFormat="1" x14ac:dyDescent="0.25"/>
    <row r="278597" customFormat="1" x14ac:dyDescent="0.25"/>
    <row r="278598" customFormat="1" x14ac:dyDescent="0.25"/>
    <row r="278599" customFormat="1" x14ac:dyDescent="0.25"/>
    <row r="278600" customFormat="1" x14ac:dyDescent="0.25"/>
    <row r="278601" customFormat="1" x14ac:dyDescent="0.25"/>
    <row r="278602" customFormat="1" x14ac:dyDescent="0.25"/>
    <row r="278603" customFormat="1" x14ac:dyDescent="0.25"/>
    <row r="278604" customFormat="1" x14ac:dyDescent="0.25"/>
    <row r="278605" customFormat="1" x14ac:dyDescent="0.25"/>
    <row r="278606" customFormat="1" x14ac:dyDescent="0.25"/>
    <row r="278607" customFormat="1" x14ac:dyDescent="0.25"/>
    <row r="278608" customFormat="1" x14ac:dyDescent="0.25"/>
    <row r="278609" customFormat="1" x14ac:dyDescent="0.25"/>
    <row r="278610" customFormat="1" x14ac:dyDescent="0.25"/>
    <row r="278611" customFormat="1" x14ac:dyDescent="0.25"/>
    <row r="278612" customFormat="1" x14ac:dyDescent="0.25"/>
    <row r="278613" customFormat="1" x14ac:dyDescent="0.25"/>
    <row r="278614" customFormat="1" x14ac:dyDescent="0.25"/>
    <row r="278615" customFormat="1" x14ac:dyDescent="0.25"/>
    <row r="278616" customFormat="1" x14ac:dyDescent="0.25"/>
    <row r="278617" customFormat="1" x14ac:dyDescent="0.25"/>
    <row r="278618" customFormat="1" x14ac:dyDescent="0.25"/>
    <row r="278619" customFormat="1" x14ac:dyDescent="0.25"/>
    <row r="278620" customFormat="1" x14ac:dyDescent="0.25"/>
    <row r="278621" customFormat="1" x14ac:dyDescent="0.25"/>
    <row r="278622" customFormat="1" x14ac:dyDescent="0.25"/>
    <row r="278623" customFormat="1" x14ac:dyDescent="0.25"/>
    <row r="278624" customFormat="1" x14ac:dyDescent="0.25"/>
    <row r="278625" customFormat="1" x14ac:dyDescent="0.25"/>
    <row r="278626" customFormat="1" x14ac:dyDescent="0.25"/>
    <row r="278627" customFormat="1" x14ac:dyDescent="0.25"/>
    <row r="278628" customFormat="1" x14ac:dyDescent="0.25"/>
    <row r="278629" customFormat="1" x14ac:dyDescent="0.25"/>
    <row r="278630" customFormat="1" x14ac:dyDescent="0.25"/>
    <row r="278631" customFormat="1" x14ac:dyDescent="0.25"/>
    <row r="278632" customFormat="1" x14ac:dyDescent="0.25"/>
    <row r="278633" customFormat="1" x14ac:dyDescent="0.25"/>
    <row r="278634" customFormat="1" x14ac:dyDescent="0.25"/>
    <row r="278635" customFormat="1" x14ac:dyDescent="0.25"/>
    <row r="278636" customFormat="1" x14ac:dyDescent="0.25"/>
    <row r="278637" customFormat="1" x14ac:dyDescent="0.25"/>
    <row r="278638" customFormat="1" x14ac:dyDescent="0.25"/>
    <row r="278639" customFormat="1" x14ac:dyDescent="0.25"/>
    <row r="278640" customFormat="1" x14ac:dyDescent="0.25"/>
    <row r="278641" customFormat="1" x14ac:dyDescent="0.25"/>
    <row r="278642" customFormat="1" x14ac:dyDescent="0.25"/>
    <row r="278643" customFormat="1" x14ac:dyDescent="0.25"/>
    <row r="278644" customFormat="1" x14ac:dyDescent="0.25"/>
    <row r="278645" customFormat="1" x14ac:dyDescent="0.25"/>
    <row r="278646" customFormat="1" x14ac:dyDescent="0.25"/>
    <row r="278647" customFormat="1" x14ac:dyDescent="0.25"/>
    <row r="278648" customFormat="1" x14ac:dyDescent="0.25"/>
    <row r="278649" customFormat="1" x14ac:dyDescent="0.25"/>
    <row r="278650" customFormat="1" x14ac:dyDescent="0.25"/>
    <row r="278651" customFormat="1" x14ac:dyDescent="0.25"/>
    <row r="278652" customFormat="1" x14ac:dyDescent="0.25"/>
    <row r="278653" customFormat="1" x14ac:dyDescent="0.25"/>
    <row r="278654" customFormat="1" x14ac:dyDescent="0.25"/>
    <row r="278655" customFormat="1" x14ac:dyDescent="0.25"/>
    <row r="278656" customFormat="1" x14ac:dyDescent="0.25"/>
    <row r="278657" customFormat="1" x14ac:dyDescent="0.25"/>
    <row r="278658" customFormat="1" x14ac:dyDescent="0.25"/>
    <row r="278659" customFormat="1" x14ac:dyDescent="0.25"/>
    <row r="278660" customFormat="1" x14ac:dyDescent="0.25"/>
    <row r="278661" customFormat="1" x14ac:dyDescent="0.25"/>
    <row r="278662" customFormat="1" x14ac:dyDescent="0.25"/>
    <row r="278663" customFormat="1" x14ac:dyDescent="0.25"/>
    <row r="278664" customFormat="1" x14ac:dyDescent="0.25"/>
    <row r="278665" customFormat="1" x14ac:dyDescent="0.25"/>
    <row r="278666" customFormat="1" x14ac:dyDescent="0.25"/>
    <row r="278667" customFormat="1" x14ac:dyDescent="0.25"/>
    <row r="278668" customFormat="1" x14ac:dyDescent="0.25"/>
    <row r="278669" customFormat="1" x14ac:dyDescent="0.25"/>
    <row r="278670" customFormat="1" x14ac:dyDescent="0.25"/>
    <row r="278671" customFormat="1" x14ac:dyDescent="0.25"/>
    <row r="278672" customFormat="1" x14ac:dyDescent="0.25"/>
    <row r="278673" customFormat="1" x14ac:dyDescent="0.25"/>
    <row r="278674" customFormat="1" x14ac:dyDescent="0.25"/>
    <row r="278675" customFormat="1" x14ac:dyDescent="0.25"/>
    <row r="278676" customFormat="1" x14ac:dyDescent="0.25"/>
    <row r="278677" customFormat="1" x14ac:dyDescent="0.25"/>
    <row r="278678" customFormat="1" x14ac:dyDescent="0.25"/>
    <row r="278679" customFormat="1" x14ac:dyDescent="0.25"/>
    <row r="278680" customFormat="1" x14ac:dyDescent="0.25"/>
    <row r="278681" customFormat="1" x14ac:dyDescent="0.25"/>
    <row r="278682" customFormat="1" x14ac:dyDescent="0.25"/>
    <row r="278683" customFormat="1" x14ac:dyDescent="0.25"/>
    <row r="278684" customFormat="1" x14ac:dyDescent="0.25"/>
    <row r="278685" customFormat="1" x14ac:dyDescent="0.25"/>
    <row r="278686" customFormat="1" x14ac:dyDescent="0.25"/>
    <row r="278687" customFormat="1" x14ac:dyDescent="0.25"/>
    <row r="278688" customFormat="1" x14ac:dyDescent="0.25"/>
    <row r="278689" customFormat="1" x14ac:dyDescent="0.25"/>
    <row r="278690" customFormat="1" x14ac:dyDescent="0.25"/>
    <row r="278691" customFormat="1" x14ac:dyDescent="0.25"/>
    <row r="278692" customFormat="1" x14ac:dyDescent="0.25"/>
    <row r="278693" customFormat="1" x14ac:dyDescent="0.25"/>
    <row r="278694" customFormat="1" x14ac:dyDescent="0.25"/>
    <row r="278695" customFormat="1" x14ac:dyDescent="0.25"/>
    <row r="278696" customFormat="1" x14ac:dyDescent="0.25"/>
    <row r="278697" customFormat="1" x14ac:dyDescent="0.25"/>
    <row r="278698" customFormat="1" x14ac:dyDescent="0.25"/>
    <row r="278699" customFormat="1" x14ac:dyDescent="0.25"/>
    <row r="278700" customFormat="1" x14ac:dyDescent="0.25"/>
    <row r="278701" customFormat="1" x14ac:dyDescent="0.25"/>
    <row r="278702" customFormat="1" x14ac:dyDescent="0.25"/>
    <row r="278703" customFormat="1" x14ac:dyDescent="0.25"/>
    <row r="278704" customFormat="1" x14ac:dyDescent="0.25"/>
    <row r="278705" customFormat="1" x14ac:dyDescent="0.25"/>
    <row r="278706" customFormat="1" x14ac:dyDescent="0.25"/>
    <row r="278707" customFormat="1" x14ac:dyDescent="0.25"/>
    <row r="278708" customFormat="1" x14ac:dyDescent="0.25"/>
    <row r="278709" customFormat="1" x14ac:dyDescent="0.25"/>
    <row r="278710" customFormat="1" x14ac:dyDescent="0.25"/>
    <row r="278711" customFormat="1" x14ac:dyDescent="0.25"/>
    <row r="278712" customFormat="1" x14ac:dyDescent="0.25"/>
    <row r="278713" customFormat="1" x14ac:dyDescent="0.25"/>
    <row r="278714" customFormat="1" x14ac:dyDescent="0.25"/>
    <row r="278715" customFormat="1" x14ac:dyDescent="0.25"/>
    <row r="278716" customFormat="1" x14ac:dyDescent="0.25"/>
    <row r="278717" customFormat="1" x14ac:dyDescent="0.25"/>
    <row r="278718" customFormat="1" x14ac:dyDescent="0.25"/>
    <row r="278719" customFormat="1" x14ac:dyDescent="0.25"/>
    <row r="278720" customFormat="1" x14ac:dyDescent="0.25"/>
    <row r="278721" customFormat="1" x14ac:dyDescent="0.25"/>
    <row r="278722" customFormat="1" x14ac:dyDescent="0.25"/>
    <row r="278723" customFormat="1" x14ac:dyDescent="0.25"/>
    <row r="278724" customFormat="1" x14ac:dyDescent="0.25"/>
    <row r="278725" customFormat="1" x14ac:dyDescent="0.25"/>
    <row r="278726" customFormat="1" x14ac:dyDescent="0.25"/>
    <row r="278727" customFormat="1" x14ac:dyDescent="0.25"/>
    <row r="278728" customFormat="1" x14ac:dyDescent="0.25"/>
    <row r="278729" customFormat="1" x14ac:dyDescent="0.25"/>
    <row r="278730" customFormat="1" x14ac:dyDescent="0.25"/>
    <row r="278731" customFormat="1" x14ac:dyDescent="0.25"/>
    <row r="278732" customFormat="1" x14ac:dyDescent="0.25"/>
    <row r="278733" customFormat="1" x14ac:dyDescent="0.25"/>
    <row r="278734" customFormat="1" x14ac:dyDescent="0.25"/>
    <row r="278735" customFormat="1" x14ac:dyDescent="0.25"/>
    <row r="278736" customFormat="1" x14ac:dyDescent="0.25"/>
    <row r="278737" customFormat="1" x14ac:dyDescent="0.25"/>
    <row r="278738" customFormat="1" x14ac:dyDescent="0.25"/>
    <row r="278739" customFormat="1" x14ac:dyDescent="0.25"/>
    <row r="278740" customFormat="1" x14ac:dyDescent="0.25"/>
    <row r="278741" customFormat="1" x14ac:dyDescent="0.25"/>
    <row r="278742" customFormat="1" x14ac:dyDescent="0.25"/>
    <row r="278743" customFormat="1" x14ac:dyDescent="0.25"/>
    <row r="278744" customFormat="1" x14ac:dyDescent="0.25"/>
    <row r="278745" customFormat="1" x14ac:dyDescent="0.25"/>
    <row r="278746" customFormat="1" x14ac:dyDescent="0.25"/>
    <row r="278747" customFormat="1" x14ac:dyDescent="0.25"/>
    <row r="278748" customFormat="1" x14ac:dyDescent="0.25"/>
    <row r="278749" customFormat="1" x14ac:dyDescent="0.25"/>
    <row r="278750" customFormat="1" x14ac:dyDescent="0.25"/>
    <row r="278751" customFormat="1" x14ac:dyDescent="0.25"/>
    <row r="278752" customFormat="1" x14ac:dyDescent="0.25"/>
    <row r="278753" customFormat="1" x14ac:dyDescent="0.25"/>
    <row r="278754" customFormat="1" x14ac:dyDescent="0.25"/>
    <row r="278755" customFormat="1" x14ac:dyDescent="0.25"/>
    <row r="278756" customFormat="1" x14ac:dyDescent="0.25"/>
    <row r="278757" customFormat="1" x14ac:dyDescent="0.25"/>
    <row r="278758" customFormat="1" x14ac:dyDescent="0.25"/>
    <row r="278759" customFormat="1" x14ac:dyDescent="0.25"/>
    <row r="278760" customFormat="1" x14ac:dyDescent="0.25"/>
    <row r="278761" customFormat="1" x14ac:dyDescent="0.25"/>
    <row r="278762" customFormat="1" x14ac:dyDescent="0.25"/>
    <row r="278763" customFormat="1" x14ac:dyDescent="0.25"/>
    <row r="278764" customFormat="1" x14ac:dyDescent="0.25"/>
    <row r="278765" customFormat="1" x14ac:dyDescent="0.25"/>
    <row r="278766" customFormat="1" x14ac:dyDescent="0.25"/>
    <row r="278767" customFormat="1" x14ac:dyDescent="0.25"/>
    <row r="278768" customFormat="1" x14ac:dyDescent="0.25"/>
    <row r="278769" customFormat="1" x14ac:dyDescent="0.25"/>
    <row r="278770" customFormat="1" x14ac:dyDescent="0.25"/>
    <row r="278771" customFormat="1" x14ac:dyDescent="0.25"/>
    <row r="278772" customFormat="1" x14ac:dyDescent="0.25"/>
    <row r="278773" customFormat="1" x14ac:dyDescent="0.25"/>
    <row r="278774" customFormat="1" x14ac:dyDescent="0.25"/>
    <row r="278775" customFormat="1" x14ac:dyDescent="0.25"/>
    <row r="278776" customFormat="1" x14ac:dyDescent="0.25"/>
    <row r="278777" customFormat="1" x14ac:dyDescent="0.25"/>
    <row r="278778" customFormat="1" x14ac:dyDescent="0.25"/>
    <row r="278779" customFormat="1" x14ac:dyDescent="0.25"/>
    <row r="278780" customFormat="1" x14ac:dyDescent="0.25"/>
    <row r="278781" customFormat="1" x14ac:dyDescent="0.25"/>
    <row r="278782" customFormat="1" x14ac:dyDescent="0.25"/>
    <row r="278783" customFormat="1" x14ac:dyDescent="0.25"/>
    <row r="278784" customFormat="1" x14ac:dyDescent="0.25"/>
    <row r="278785" customFormat="1" x14ac:dyDescent="0.25"/>
    <row r="278786" customFormat="1" x14ac:dyDescent="0.25"/>
    <row r="278787" customFormat="1" x14ac:dyDescent="0.25"/>
    <row r="278788" customFormat="1" x14ac:dyDescent="0.25"/>
    <row r="278789" customFormat="1" x14ac:dyDescent="0.25"/>
    <row r="278790" customFormat="1" x14ac:dyDescent="0.25"/>
    <row r="278791" customFormat="1" x14ac:dyDescent="0.25"/>
    <row r="278792" customFormat="1" x14ac:dyDescent="0.25"/>
    <row r="278793" customFormat="1" x14ac:dyDescent="0.25"/>
    <row r="278794" customFormat="1" x14ac:dyDescent="0.25"/>
    <row r="278795" customFormat="1" x14ac:dyDescent="0.25"/>
    <row r="278796" customFormat="1" x14ac:dyDescent="0.25"/>
    <row r="278797" customFormat="1" x14ac:dyDescent="0.25"/>
    <row r="278798" customFormat="1" x14ac:dyDescent="0.25"/>
    <row r="278799" customFormat="1" x14ac:dyDescent="0.25"/>
    <row r="278800" customFormat="1" x14ac:dyDescent="0.25"/>
    <row r="278801" customFormat="1" x14ac:dyDescent="0.25"/>
    <row r="278802" customFormat="1" x14ac:dyDescent="0.25"/>
    <row r="278803" customFormat="1" x14ac:dyDescent="0.25"/>
    <row r="278804" customFormat="1" x14ac:dyDescent="0.25"/>
    <row r="278805" customFormat="1" x14ac:dyDescent="0.25"/>
    <row r="278806" customFormat="1" x14ac:dyDescent="0.25"/>
    <row r="278807" customFormat="1" x14ac:dyDescent="0.25"/>
    <row r="278808" customFormat="1" x14ac:dyDescent="0.25"/>
    <row r="278809" customFormat="1" x14ac:dyDescent="0.25"/>
    <row r="278810" customFormat="1" x14ac:dyDescent="0.25"/>
    <row r="278811" customFormat="1" x14ac:dyDescent="0.25"/>
    <row r="278812" customFormat="1" x14ac:dyDescent="0.25"/>
    <row r="278813" customFormat="1" x14ac:dyDescent="0.25"/>
    <row r="278814" customFormat="1" x14ac:dyDescent="0.25"/>
    <row r="278815" customFormat="1" x14ac:dyDescent="0.25"/>
    <row r="278816" customFormat="1" x14ac:dyDescent="0.25"/>
    <row r="278817" customFormat="1" x14ac:dyDescent="0.25"/>
    <row r="278818" customFormat="1" x14ac:dyDescent="0.25"/>
    <row r="278819" customFormat="1" x14ac:dyDescent="0.25"/>
    <row r="278820" customFormat="1" x14ac:dyDescent="0.25"/>
    <row r="278821" customFormat="1" x14ac:dyDescent="0.25"/>
    <row r="278822" customFormat="1" x14ac:dyDescent="0.25"/>
    <row r="278823" customFormat="1" x14ac:dyDescent="0.25"/>
    <row r="278824" customFormat="1" x14ac:dyDescent="0.25"/>
    <row r="278825" customFormat="1" x14ac:dyDescent="0.25"/>
    <row r="278826" customFormat="1" x14ac:dyDescent="0.25"/>
    <row r="278827" customFormat="1" x14ac:dyDescent="0.25"/>
    <row r="278828" customFormat="1" x14ac:dyDescent="0.25"/>
    <row r="278829" customFormat="1" x14ac:dyDescent="0.25"/>
    <row r="278830" customFormat="1" x14ac:dyDescent="0.25"/>
    <row r="278831" customFormat="1" x14ac:dyDescent="0.25"/>
    <row r="278832" customFormat="1" x14ac:dyDescent="0.25"/>
    <row r="278833" customFormat="1" x14ac:dyDescent="0.25"/>
    <row r="278834" customFormat="1" x14ac:dyDescent="0.25"/>
    <row r="278835" customFormat="1" x14ac:dyDescent="0.25"/>
    <row r="278836" customFormat="1" x14ac:dyDescent="0.25"/>
    <row r="278837" customFormat="1" x14ac:dyDescent="0.25"/>
    <row r="278838" customFormat="1" x14ac:dyDescent="0.25"/>
    <row r="278839" customFormat="1" x14ac:dyDescent="0.25"/>
    <row r="278840" customFormat="1" x14ac:dyDescent="0.25"/>
    <row r="278841" customFormat="1" x14ac:dyDescent="0.25"/>
    <row r="278842" customFormat="1" x14ac:dyDescent="0.25"/>
    <row r="278843" customFormat="1" x14ac:dyDescent="0.25"/>
    <row r="278844" customFormat="1" x14ac:dyDescent="0.25"/>
    <row r="278845" customFormat="1" x14ac:dyDescent="0.25"/>
    <row r="278846" customFormat="1" x14ac:dyDescent="0.25"/>
    <row r="278847" customFormat="1" x14ac:dyDescent="0.25"/>
    <row r="278848" customFormat="1" x14ac:dyDescent="0.25"/>
    <row r="278849" customFormat="1" x14ac:dyDescent="0.25"/>
    <row r="278850" customFormat="1" x14ac:dyDescent="0.25"/>
    <row r="278851" customFormat="1" x14ac:dyDescent="0.25"/>
    <row r="278852" customFormat="1" x14ac:dyDescent="0.25"/>
    <row r="278853" customFormat="1" x14ac:dyDescent="0.25"/>
    <row r="278854" customFormat="1" x14ac:dyDescent="0.25"/>
    <row r="278855" customFormat="1" x14ac:dyDescent="0.25"/>
    <row r="278856" customFormat="1" x14ac:dyDescent="0.25"/>
    <row r="278857" customFormat="1" x14ac:dyDescent="0.25"/>
    <row r="278858" customFormat="1" x14ac:dyDescent="0.25"/>
    <row r="278859" customFormat="1" x14ac:dyDescent="0.25"/>
    <row r="278860" customFormat="1" x14ac:dyDescent="0.25"/>
    <row r="278861" customFormat="1" x14ac:dyDescent="0.25"/>
    <row r="278862" customFormat="1" x14ac:dyDescent="0.25"/>
    <row r="278863" customFormat="1" x14ac:dyDescent="0.25"/>
    <row r="278864" customFormat="1" x14ac:dyDescent="0.25"/>
    <row r="278865" customFormat="1" x14ac:dyDescent="0.25"/>
    <row r="278866" customFormat="1" x14ac:dyDescent="0.25"/>
    <row r="278867" customFormat="1" x14ac:dyDescent="0.25"/>
    <row r="278868" customFormat="1" x14ac:dyDescent="0.25"/>
    <row r="278869" customFormat="1" x14ac:dyDescent="0.25"/>
    <row r="278870" customFormat="1" x14ac:dyDescent="0.25"/>
    <row r="278871" customFormat="1" x14ac:dyDescent="0.25"/>
    <row r="278872" customFormat="1" x14ac:dyDescent="0.25"/>
    <row r="278873" customFormat="1" x14ac:dyDescent="0.25"/>
    <row r="278874" customFormat="1" x14ac:dyDescent="0.25"/>
    <row r="278875" customFormat="1" x14ac:dyDescent="0.25"/>
    <row r="278876" customFormat="1" x14ac:dyDescent="0.25"/>
    <row r="278877" customFormat="1" x14ac:dyDescent="0.25"/>
    <row r="278878" customFormat="1" x14ac:dyDescent="0.25"/>
    <row r="278879" customFormat="1" x14ac:dyDescent="0.25"/>
    <row r="278880" customFormat="1" x14ac:dyDescent="0.25"/>
    <row r="278881" customFormat="1" x14ac:dyDescent="0.25"/>
    <row r="278882" customFormat="1" x14ac:dyDescent="0.25"/>
    <row r="278883" customFormat="1" x14ac:dyDescent="0.25"/>
    <row r="278884" customFormat="1" x14ac:dyDescent="0.25"/>
    <row r="278885" customFormat="1" x14ac:dyDescent="0.25"/>
    <row r="278886" customFormat="1" x14ac:dyDescent="0.25"/>
    <row r="278887" customFormat="1" x14ac:dyDescent="0.25"/>
    <row r="278888" customFormat="1" x14ac:dyDescent="0.25"/>
    <row r="278889" customFormat="1" x14ac:dyDescent="0.25"/>
    <row r="278890" customFormat="1" x14ac:dyDescent="0.25"/>
    <row r="278891" customFormat="1" x14ac:dyDescent="0.25"/>
    <row r="278892" customFormat="1" x14ac:dyDescent="0.25"/>
    <row r="278893" customFormat="1" x14ac:dyDescent="0.25"/>
    <row r="278894" customFormat="1" x14ac:dyDescent="0.25"/>
    <row r="278895" customFormat="1" x14ac:dyDescent="0.25"/>
    <row r="278896" customFormat="1" x14ac:dyDescent="0.25"/>
    <row r="278897" customFormat="1" x14ac:dyDescent="0.25"/>
    <row r="278898" customFormat="1" x14ac:dyDescent="0.25"/>
    <row r="278899" customFormat="1" x14ac:dyDescent="0.25"/>
    <row r="278900" customFormat="1" x14ac:dyDescent="0.25"/>
    <row r="278901" customFormat="1" x14ac:dyDescent="0.25"/>
    <row r="278902" customFormat="1" x14ac:dyDescent="0.25"/>
    <row r="278903" customFormat="1" x14ac:dyDescent="0.25"/>
    <row r="278904" customFormat="1" x14ac:dyDescent="0.25"/>
    <row r="278905" customFormat="1" x14ac:dyDescent="0.25"/>
    <row r="278906" customFormat="1" x14ac:dyDescent="0.25"/>
    <row r="278907" customFormat="1" x14ac:dyDescent="0.25"/>
    <row r="278908" customFormat="1" x14ac:dyDescent="0.25"/>
    <row r="278909" customFormat="1" x14ac:dyDescent="0.25"/>
    <row r="278910" customFormat="1" x14ac:dyDescent="0.25"/>
    <row r="278911" customFormat="1" x14ac:dyDescent="0.25"/>
    <row r="278912" customFormat="1" x14ac:dyDescent="0.25"/>
    <row r="278913" customFormat="1" x14ac:dyDescent="0.25"/>
    <row r="278914" customFormat="1" x14ac:dyDescent="0.25"/>
    <row r="278915" customFormat="1" x14ac:dyDescent="0.25"/>
    <row r="278916" customFormat="1" x14ac:dyDescent="0.25"/>
    <row r="278917" customFormat="1" x14ac:dyDescent="0.25"/>
    <row r="278918" customFormat="1" x14ac:dyDescent="0.25"/>
    <row r="278919" customFormat="1" x14ac:dyDescent="0.25"/>
    <row r="278920" customFormat="1" x14ac:dyDescent="0.25"/>
    <row r="278921" customFormat="1" x14ac:dyDescent="0.25"/>
    <row r="278922" customFormat="1" x14ac:dyDescent="0.25"/>
    <row r="278923" customFormat="1" x14ac:dyDescent="0.25"/>
    <row r="278924" customFormat="1" x14ac:dyDescent="0.25"/>
    <row r="278925" customFormat="1" x14ac:dyDescent="0.25"/>
    <row r="278926" customFormat="1" x14ac:dyDescent="0.25"/>
    <row r="278927" customFormat="1" x14ac:dyDescent="0.25"/>
    <row r="278928" customFormat="1" x14ac:dyDescent="0.25"/>
    <row r="278929" customFormat="1" x14ac:dyDescent="0.25"/>
    <row r="278930" customFormat="1" x14ac:dyDescent="0.25"/>
    <row r="278931" customFormat="1" x14ac:dyDescent="0.25"/>
    <row r="278932" customFormat="1" x14ac:dyDescent="0.25"/>
    <row r="278933" customFormat="1" x14ac:dyDescent="0.25"/>
    <row r="278934" customFormat="1" x14ac:dyDescent="0.25"/>
    <row r="278935" customFormat="1" x14ac:dyDescent="0.25"/>
    <row r="278936" customFormat="1" x14ac:dyDescent="0.25"/>
    <row r="278937" customFormat="1" x14ac:dyDescent="0.25"/>
    <row r="278938" customFormat="1" x14ac:dyDescent="0.25"/>
    <row r="278939" customFormat="1" x14ac:dyDescent="0.25"/>
    <row r="278940" customFormat="1" x14ac:dyDescent="0.25"/>
    <row r="278941" customFormat="1" x14ac:dyDescent="0.25"/>
    <row r="278942" customFormat="1" x14ac:dyDescent="0.25"/>
    <row r="278943" customFormat="1" x14ac:dyDescent="0.25"/>
    <row r="278944" customFormat="1" x14ac:dyDescent="0.25"/>
    <row r="278945" customFormat="1" x14ac:dyDescent="0.25"/>
    <row r="278946" customFormat="1" x14ac:dyDescent="0.25"/>
    <row r="278947" customFormat="1" x14ac:dyDescent="0.25"/>
    <row r="278948" customFormat="1" x14ac:dyDescent="0.25"/>
    <row r="278949" customFormat="1" x14ac:dyDescent="0.25"/>
    <row r="278950" customFormat="1" x14ac:dyDescent="0.25"/>
    <row r="278951" customFormat="1" x14ac:dyDescent="0.25"/>
    <row r="278952" customFormat="1" x14ac:dyDescent="0.25"/>
    <row r="278953" customFormat="1" x14ac:dyDescent="0.25"/>
    <row r="278954" customFormat="1" x14ac:dyDescent="0.25"/>
    <row r="278955" customFormat="1" x14ac:dyDescent="0.25"/>
    <row r="278956" customFormat="1" x14ac:dyDescent="0.25"/>
    <row r="278957" customFormat="1" x14ac:dyDescent="0.25"/>
    <row r="278958" customFormat="1" x14ac:dyDescent="0.25"/>
    <row r="278959" customFormat="1" x14ac:dyDescent="0.25"/>
    <row r="278960" customFormat="1" x14ac:dyDescent="0.25"/>
    <row r="278961" customFormat="1" x14ac:dyDescent="0.25"/>
    <row r="278962" customFormat="1" x14ac:dyDescent="0.25"/>
    <row r="278963" customFormat="1" x14ac:dyDescent="0.25"/>
    <row r="278964" customFormat="1" x14ac:dyDescent="0.25"/>
    <row r="278965" customFormat="1" x14ac:dyDescent="0.25"/>
    <row r="278966" customFormat="1" x14ac:dyDescent="0.25"/>
    <row r="278967" customFormat="1" x14ac:dyDescent="0.25"/>
    <row r="278968" customFormat="1" x14ac:dyDescent="0.25"/>
    <row r="278969" customFormat="1" x14ac:dyDescent="0.25"/>
    <row r="278970" customFormat="1" x14ac:dyDescent="0.25"/>
    <row r="278971" customFormat="1" x14ac:dyDescent="0.25"/>
    <row r="278972" customFormat="1" x14ac:dyDescent="0.25"/>
    <row r="278973" customFormat="1" x14ac:dyDescent="0.25"/>
    <row r="278974" customFormat="1" x14ac:dyDescent="0.25"/>
    <row r="278975" customFormat="1" x14ac:dyDescent="0.25"/>
    <row r="278976" customFormat="1" x14ac:dyDescent="0.25"/>
    <row r="278977" customFormat="1" x14ac:dyDescent="0.25"/>
    <row r="278978" customFormat="1" x14ac:dyDescent="0.25"/>
    <row r="278979" customFormat="1" x14ac:dyDescent="0.25"/>
    <row r="278980" customFormat="1" x14ac:dyDescent="0.25"/>
    <row r="278981" customFormat="1" x14ac:dyDescent="0.25"/>
    <row r="278982" customFormat="1" x14ac:dyDescent="0.25"/>
    <row r="278983" customFormat="1" x14ac:dyDescent="0.25"/>
    <row r="278984" customFormat="1" x14ac:dyDescent="0.25"/>
    <row r="278985" customFormat="1" x14ac:dyDescent="0.25"/>
    <row r="278986" customFormat="1" x14ac:dyDescent="0.25"/>
    <row r="278987" customFormat="1" x14ac:dyDescent="0.25"/>
    <row r="278988" customFormat="1" x14ac:dyDescent="0.25"/>
    <row r="278989" customFormat="1" x14ac:dyDescent="0.25"/>
    <row r="278990" customFormat="1" x14ac:dyDescent="0.25"/>
    <row r="278991" customFormat="1" x14ac:dyDescent="0.25"/>
    <row r="278992" customFormat="1" x14ac:dyDescent="0.25"/>
    <row r="278993" customFormat="1" x14ac:dyDescent="0.25"/>
    <row r="278994" customFormat="1" x14ac:dyDescent="0.25"/>
    <row r="278995" customFormat="1" x14ac:dyDescent="0.25"/>
    <row r="278996" customFormat="1" x14ac:dyDescent="0.25"/>
    <row r="278997" customFormat="1" x14ac:dyDescent="0.25"/>
    <row r="278998" customFormat="1" x14ac:dyDescent="0.25"/>
    <row r="278999" customFormat="1" x14ac:dyDescent="0.25"/>
    <row r="279000" customFormat="1" x14ac:dyDescent="0.25"/>
    <row r="279001" customFormat="1" x14ac:dyDescent="0.25"/>
    <row r="279002" customFormat="1" x14ac:dyDescent="0.25"/>
    <row r="279003" customFormat="1" x14ac:dyDescent="0.25"/>
    <row r="279004" customFormat="1" x14ac:dyDescent="0.25"/>
    <row r="279005" customFormat="1" x14ac:dyDescent="0.25"/>
    <row r="279006" customFormat="1" x14ac:dyDescent="0.25"/>
    <row r="279007" customFormat="1" x14ac:dyDescent="0.25"/>
    <row r="279008" customFormat="1" x14ac:dyDescent="0.25"/>
    <row r="279009" customFormat="1" x14ac:dyDescent="0.25"/>
    <row r="279010" customFormat="1" x14ac:dyDescent="0.25"/>
    <row r="279011" customFormat="1" x14ac:dyDescent="0.25"/>
    <row r="279012" customFormat="1" x14ac:dyDescent="0.25"/>
    <row r="279013" customFormat="1" x14ac:dyDescent="0.25"/>
    <row r="279014" customFormat="1" x14ac:dyDescent="0.25"/>
    <row r="279015" customFormat="1" x14ac:dyDescent="0.25"/>
    <row r="279016" customFormat="1" x14ac:dyDescent="0.25"/>
    <row r="279017" customFormat="1" x14ac:dyDescent="0.25"/>
    <row r="279018" customFormat="1" x14ac:dyDescent="0.25"/>
    <row r="279019" customFormat="1" x14ac:dyDescent="0.25"/>
    <row r="279020" customFormat="1" x14ac:dyDescent="0.25"/>
    <row r="279021" customFormat="1" x14ac:dyDescent="0.25"/>
    <row r="279022" customFormat="1" x14ac:dyDescent="0.25"/>
    <row r="279023" customFormat="1" x14ac:dyDescent="0.25"/>
    <row r="279024" customFormat="1" x14ac:dyDescent="0.25"/>
    <row r="279025" customFormat="1" x14ac:dyDescent="0.25"/>
    <row r="279026" customFormat="1" x14ac:dyDescent="0.25"/>
    <row r="279027" customFormat="1" x14ac:dyDescent="0.25"/>
    <row r="279028" customFormat="1" x14ac:dyDescent="0.25"/>
    <row r="279029" customFormat="1" x14ac:dyDescent="0.25"/>
    <row r="279030" customFormat="1" x14ac:dyDescent="0.25"/>
    <row r="279031" customFormat="1" x14ac:dyDescent="0.25"/>
    <row r="279032" customFormat="1" x14ac:dyDescent="0.25"/>
    <row r="279033" customFormat="1" x14ac:dyDescent="0.25"/>
    <row r="279034" customFormat="1" x14ac:dyDescent="0.25"/>
    <row r="279035" customFormat="1" x14ac:dyDescent="0.25"/>
    <row r="279036" customFormat="1" x14ac:dyDescent="0.25"/>
    <row r="279037" customFormat="1" x14ac:dyDescent="0.25"/>
    <row r="279038" customFormat="1" x14ac:dyDescent="0.25"/>
    <row r="279039" customFormat="1" x14ac:dyDescent="0.25"/>
    <row r="279040" customFormat="1" x14ac:dyDescent="0.25"/>
    <row r="279041" customFormat="1" x14ac:dyDescent="0.25"/>
    <row r="279042" customFormat="1" x14ac:dyDescent="0.25"/>
    <row r="279043" customFormat="1" x14ac:dyDescent="0.25"/>
    <row r="279044" customFormat="1" x14ac:dyDescent="0.25"/>
    <row r="279045" customFormat="1" x14ac:dyDescent="0.25"/>
    <row r="279046" customFormat="1" x14ac:dyDescent="0.25"/>
    <row r="279047" customFormat="1" x14ac:dyDescent="0.25"/>
    <row r="279048" customFormat="1" x14ac:dyDescent="0.25"/>
    <row r="279049" customFormat="1" x14ac:dyDescent="0.25"/>
    <row r="279050" customFormat="1" x14ac:dyDescent="0.25"/>
    <row r="279051" customFormat="1" x14ac:dyDescent="0.25"/>
    <row r="279052" customFormat="1" x14ac:dyDescent="0.25"/>
    <row r="279053" customFormat="1" x14ac:dyDescent="0.25"/>
    <row r="279054" customFormat="1" x14ac:dyDescent="0.25"/>
    <row r="279055" customFormat="1" x14ac:dyDescent="0.25"/>
    <row r="279056" customFormat="1" x14ac:dyDescent="0.25"/>
    <row r="279057" customFormat="1" x14ac:dyDescent="0.25"/>
    <row r="279058" customFormat="1" x14ac:dyDescent="0.25"/>
    <row r="279059" customFormat="1" x14ac:dyDescent="0.25"/>
    <row r="279060" customFormat="1" x14ac:dyDescent="0.25"/>
    <row r="279061" customFormat="1" x14ac:dyDescent="0.25"/>
    <row r="279062" customFormat="1" x14ac:dyDescent="0.25"/>
    <row r="279063" customFormat="1" x14ac:dyDescent="0.25"/>
    <row r="279064" customFormat="1" x14ac:dyDescent="0.25"/>
    <row r="279065" customFormat="1" x14ac:dyDescent="0.25"/>
    <row r="279066" customFormat="1" x14ac:dyDescent="0.25"/>
    <row r="279067" customFormat="1" x14ac:dyDescent="0.25"/>
    <row r="279068" customFormat="1" x14ac:dyDescent="0.25"/>
    <row r="279069" customFormat="1" x14ac:dyDescent="0.25"/>
    <row r="279070" customFormat="1" x14ac:dyDescent="0.25"/>
    <row r="279071" customFormat="1" x14ac:dyDescent="0.25"/>
    <row r="279072" customFormat="1" x14ac:dyDescent="0.25"/>
    <row r="279073" customFormat="1" x14ac:dyDescent="0.25"/>
    <row r="279074" customFormat="1" x14ac:dyDescent="0.25"/>
    <row r="279075" customFormat="1" x14ac:dyDescent="0.25"/>
    <row r="279076" customFormat="1" x14ac:dyDescent="0.25"/>
    <row r="279077" customFormat="1" x14ac:dyDescent="0.25"/>
    <row r="279078" customFormat="1" x14ac:dyDescent="0.25"/>
    <row r="279079" customFormat="1" x14ac:dyDescent="0.25"/>
    <row r="279080" customFormat="1" x14ac:dyDescent="0.25"/>
    <row r="279081" customFormat="1" x14ac:dyDescent="0.25"/>
    <row r="279082" customFormat="1" x14ac:dyDescent="0.25"/>
    <row r="279083" customFormat="1" x14ac:dyDescent="0.25"/>
    <row r="279084" customFormat="1" x14ac:dyDescent="0.25"/>
    <row r="279085" customFormat="1" x14ac:dyDescent="0.25"/>
    <row r="279086" customFormat="1" x14ac:dyDescent="0.25"/>
    <row r="279087" customFormat="1" x14ac:dyDescent="0.25"/>
    <row r="279088" customFormat="1" x14ac:dyDescent="0.25"/>
    <row r="279089" customFormat="1" x14ac:dyDescent="0.25"/>
    <row r="279090" customFormat="1" x14ac:dyDescent="0.25"/>
    <row r="279091" customFormat="1" x14ac:dyDescent="0.25"/>
    <row r="279092" customFormat="1" x14ac:dyDescent="0.25"/>
    <row r="279093" customFormat="1" x14ac:dyDescent="0.25"/>
    <row r="279094" customFormat="1" x14ac:dyDescent="0.25"/>
    <row r="279095" customFormat="1" x14ac:dyDescent="0.25"/>
    <row r="279096" customFormat="1" x14ac:dyDescent="0.25"/>
    <row r="279097" customFormat="1" x14ac:dyDescent="0.25"/>
    <row r="279098" customFormat="1" x14ac:dyDescent="0.25"/>
    <row r="279099" customFormat="1" x14ac:dyDescent="0.25"/>
    <row r="279100" customFormat="1" x14ac:dyDescent="0.25"/>
    <row r="279101" customFormat="1" x14ac:dyDescent="0.25"/>
    <row r="279102" customFormat="1" x14ac:dyDescent="0.25"/>
    <row r="279103" customFormat="1" x14ac:dyDescent="0.25"/>
    <row r="279104" customFormat="1" x14ac:dyDescent="0.25"/>
    <row r="279105" customFormat="1" x14ac:dyDescent="0.25"/>
    <row r="279106" customFormat="1" x14ac:dyDescent="0.25"/>
    <row r="279107" customFormat="1" x14ac:dyDescent="0.25"/>
    <row r="279108" customFormat="1" x14ac:dyDescent="0.25"/>
    <row r="279109" customFormat="1" x14ac:dyDescent="0.25"/>
    <row r="279110" customFormat="1" x14ac:dyDescent="0.25"/>
    <row r="279111" customFormat="1" x14ac:dyDescent="0.25"/>
    <row r="279112" customFormat="1" x14ac:dyDescent="0.25"/>
    <row r="279113" customFormat="1" x14ac:dyDescent="0.25"/>
    <row r="279114" customFormat="1" x14ac:dyDescent="0.25"/>
    <row r="279115" customFormat="1" x14ac:dyDescent="0.25"/>
    <row r="279116" customFormat="1" x14ac:dyDescent="0.25"/>
    <row r="279117" customFormat="1" x14ac:dyDescent="0.25"/>
    <row r="279118" customFormat="1" x14ac:dyDescent="0.25"/>
    <row r="279119" customFormat="1" x14ac:dyDescent="0.25"/>
    <row r="279120" customFormat="1" x14ac:dyDescent="0.25"/>
    <row r="279121" customFormat="1" x14ac:dyDescent="0.25"/>
    <row r="279122" customFormat="1" x14ac:dyDescent="0.25"/>
    <row r="279123" customFormat="1" x14ac:dyDescent="0.25"/>
    <row r="279124" customFormat="1" x14ac:dyDescent="0.25"/>
    <row r="279125" customFormat="1" x14ac:dyDescent="0.25"/>
    <row r="279126" customFormat="1" x14ac:dyDescent="0.25"/>
    <row r="279127" customFormat="1" x14ac:dyDescent="0.25"/>
    <row r="279128" customFormat="1" x14ac:dyDescent="0.25"/>
    <row r="279129" customFormat="1" x14ac:dyDescent="0.25"/>
    <row r="279130" customFormat="1" x14ac:dyDescent="0.25"/>
    <row r="279131" customFormat="1" x14ac:dyDescent="0.25"/>
    <row r="279132" customFormat="1" x14ac:dyDescent="0.25"/>
    <row r="279133" customFormat="1" x14ac:dyDescent="0.25"/>
    <row r="279134" customFormat="1" x14ac:dyDescent="0.25"/>
    <row r="279135" customFormat="1" x14ac:dyDescent="0.25"/>
    <row r="279136" customFormat="1" x14ac:dyDescent="0.25"/>
    <row r="279137" customFormat="1" x14ac:dyDescent="0.25"/>
    <row r="279138" customFormat="1" x14ac:dyDescent="0.25"/>
    <row r="279139" customFormat="1" x14ac:dyDescent="0.25"/>
    <row r="279140" customFormat="1" x14ac:dyDescent="0.25"/>
    <row r="279141" customFormat="1" x14ac:dyDescent="0.25"/>
    <row r="279142" customFormat="1" x14ac:dyDescent="0.25"/>
    <row r="279143" customFormat="1" x14ac:dyDescent="0.25"/>
    <row r="279144" customFormat="1" x14ac:dyDescent="0.25"/>
    <row r="279145" customFormat="1" x14ac:dyDescent="0.25"/>
    <row r="279146" customFormat="1" x14ac:dyDescent="0.25"/>
    <row r="279147" customFormat="1" x14ac:dyDescent="0.25"/>
    <row r="279148" customFormat="1" x14ac:dyDescent="0.25"/>
    <row r="279149" customFormat="1" x14ac:dyDescent="0.25"/>
    <row r="279150" customFormat="1" x14ac:dyDescent="0.25"/>
    <row r="279151" customFormat="1" x14ac:dyDescent="0.25"/>
    <row r="279152" customFormat="1" x14ac:dyDescent="0.25"/>
    <row r="279153" customFormat="1" x14ac:dyDescent="0.25"/>
    <row r="279154" customFormat="1" x14ac:dyDescent="0.25"/>
    <row r="279155" customFormat="1" x14ac:dyDescent="0.25"/>
    <row r="279156" customFormat="1" x14ac:dyDescent="0.25"/>
    <row r="279157" customFormat="1" x14ac:dyDescent="0.25"/>
    <row r="279158" customFormat="1" x14ac:dyDescent="0.25"/>
    <row r="279159" customFormat="1" x14ac:dyDescent="0.25"/>
    <row r="279160" customFormat="1" x14ac:dyDescent="0.25"/>
    <row r="279161" customFormat="1" x14ac:dyDescent="0.25"/>
    <row r="279162" customFormat="1" x14ac:dyDescent="0.25"/>
    <row r="279163" customFormat="1" x14ac:dyDescent="0.25"/>
    <row r="279164" customFormat="1" x14ac:dyDescent="0.25"/>
    <row r="279165" customFormat="1" x14ac:dyDescent="0.25"/>
    <row r="279166" customFormat="1" x14ac:dyDescent="0.25"/>
    <row r="279167" customFormat="1" x14ac:dyDescent="0.25"/>
    <row r="279168" customFormat="1" x14ac:dyDescent="0.25"/>
    <row r="279169" customFormat="1" x14ac:dyDescent="0.25"/>
    <row r="279170" customFormat="1" x14ac:dyDescent="0.25"/>
    <row r="279171" customFormat="1" x14ac:dyDescent="0.25"/>
    <row r="279172" customFormat="1" x14ac:dyDescent="0.25"/>
    <row r="279173" customFormat="1" x14ac:dyDescent="0.25"/>
    <row r="279174" customFormat="1" x14ac:dyDescent="0.25"/>
    <row r="279175" customFormat="1" x14ac:dyDescent="0.25"/>
    <row r="279176" customFormat="1" x14ac:dyDescent="0.25"/>
    <row r="279177" customFormat="1" x14ac:dyDescent="0.25"/>
    <row r="279178" customFormat="1" x14ac:dyDescent="0.25"/>
    <row r="279179" customFormat="1" x14ac:dyDescent="0.25"/>
    <row r="279180" customFormat="1" x14ac:dyDescent="0.25"/>
    <row r="279181" customFormat="1" x14ac:dyDescent="0.25"/>
    <row r="279182" customFormat="1" x14ac:dyDescent="0.25"/>
    <row r="279183" customFormat="1" x14ac:dyDescent="0.25"/>
    <row r="279184" customFormat="1" x14ac:dyDescent="0.25"/>
    <row r="279185" customFormat="1" x14ac:dyDescent="0.25"/>
    <row r="279186" customFormat="1" x14ac:dyDescent="0.25"/>
    <row r="279187" customFormat="1" x14ac:dyDescent="0.25"/>
    <row r="279188" customFormat="1" x14ac:dyDescent="0.25"/>
    <row r="279189" customFormat="1" x14ac:dyDescent="0.25"/>
    <row r="279190" customFormat="1" x14ac:dyDescent="0.25"/>
    <row r="279191" customFormat="1" x14ac:dyDescent="0.25"/>
    <row r="279192" customFormat="1" x14ac:dyDescent="0.25"/>
    <row r="279193" customFormat="1" x14ac:dyDescent="0.25"/>
    <row r="279194" customFormat="1" x14ac:dyDescent="0.25"/>
    <row r="279195" customFormat="1" x14ac:dyDescent="0.25"/>
    <row r="279196" customFormat="1" x14ac:dyDescent="0.25"/>
    <row r="279197" customFormat="1" x14ac:dyDescent="0.25"/>
    <row r="279198" customFormat="1" x14ac:dyDescent="0.25"/>
    <row r="279199" customFormat="1" x14ac:dyDescent="0.25"/>
    <row r="279200" customFormat="1" x14ac:dyDescent="0.25"/>
    <row r="279201" customFormat="1" x14ac:dyDescent="0.25"/>
    <row r="279202" customFormat="1" x14ac:dyDescent="0.25"/>
    <row r="279203" customFormat="1" x14ac:dyDescent="0.25"/>
    <row r="279204" customFormat="1" x14ac:dyDescent="0.25"/>
    <row r="279205" customFormat="1" x14ac:dyDescent="0.25"/>
    <row r="279206" customFormat="1" x14ac:dyDescent="0.25"/>
    <row r="279207" customFormat="1" x14ac:dyDescent="0.25"/>
    <row r="279208" customFormat="1" x14ac:dyDescent="0.25"/>
    <row r="279209" customFormat="1" x14ac:dyDescent="0.25"/>
    <row r="279210" customFormat="1" x14ac:dyDescent="0.25"/>
    <row r="279211" customFormat="1" x14ac:dyDescent="0.25"/>
    <row r="279212" customFormat="1" x14ac:dyDescent="0.25"/>
    <row r="279213" customFormat="1" x14ac:dyDescent="0.25"/>
    <row r="279214" customFormat="1" x14ac:dyDescent="0.25"/>
    <row r="279215" customFormat="1" x14ac:dyDescent="0.25"/>
    <row r="279216" customFormat="1" x14ac:dyDescent="0.25"/>
    <row r="279217" customFormat="1" x14ac:dyDescent="0.25"/>
    <row r="279218" customFormat="1" x14ac:dyDescent="0.25"/>
    <row r="279219" customFormat="1" x14ac:dyDescent="0.25"/>
    <row r="279220" customFormat="1" x14ac:dyDescent="0.25"/>
    <row r="279221" customFormat="1" x14ac:dyDescent="0.25"/>
    <row r="279222" customFormat="1" x14ac:dyDescent="0.25"/>
    <row r="279223" customFormat="1" x14ac:dyDescent="0.25"/>
    <row r="279224" customFormat="1" x14ac:dyDescent="0.25"/>
    <row r="279225" customFormat="1" x14ac:dyDescent="0.25"/>
    <row r="279226" customFormat="1" x14ac:dyDescent="0.25"/>
    <row r="279227" customFormat="1" x14ac:dyDescent="0.25"/>
    <row r="279228" customFormat="1" x14ac:dyDescent="0.25"/>
    <row r="279229" customFormat="1" x14ac:dyDescent="0.25"/>
    <row r="279230" customFormat="1" x14ac:dyDescent="0.25"/>
    <row r="279231" customFormat="1" x14ac:dyDescent="0.25"/>
    <row r="279232" customFormat="1" x14ac:dyDescent="0.25"/>
    <row r="279233" customFormat="1" x14ac:dyDescent="0.25"/>
    <row r="279234" customFormat="1" x14ac:dyDescent="0.25"/>
    <row r="279235" customFormat="1" x14ac:dyDescent="0.25"/>
    <row r="279236" customFormat="1" x14ac:dyDescent="0.25"/>
    <row r="279237" customFormat="1" x14ac:dyDescent="0.25"/>
    <row r="279238" customFormat="1" x14ac:dyDescent="0.25"/>
    <row r="279239" customFormat="1" x14ac:dyDescent="0.25"/>
    <row r="279240" customFormat="1" x14ac:dyDescent="0.25"/>
    <row r="279241" customFormat="1" x14ac:dyDescent="0.25"/>
    <row r="279242" customFormat="1" x14ac:dyDescent="0.25"/>
    <row r="279243" customFormat="1" x14ac:dyDescent="0.25"/>
    <row r="279244" customFormat="1" x14ac:dyDescent="0.25"/>
    <row r="279245" customFormat="1" x14ac:dyDescent="0.25"/>
    <row r="279246" customFormat="1" x14ac:dyDescent="0.25"/>
    <row r="279247" customFormat="1" x14ac:dyDescent="0.25"/>
    <row r="279248" customFormat="1" x14ac:dyDescent="0.25"/>
    <row r="279249" customFormat="1" x14ac:dyDescent="0.25"/>
    <row r="279250" customFormat="1" x14ac:dyDescent="0.25"/>
    <row r="279251" customFormat="1" x14ac:dyDescent="0.25"/>
    <row r="279252" customFormat="1" x14ac:dyDescent="0.25"/>
    <row r="279253" customFormat="1" x14ac:dyDescent="0.25"/>
    <row r="279254" customFormat="1" x14ac:dyDescent="0.25"/>
    <row r="279255" customFormat="1" x14ac:dyDescent="0.25"/>
    <row r="279256" customFormat="1" x14ac:dyDescent="0.25"/>
    <row r="279257" customFormat="1" x14ac:dyDescent="0.25"/>
    <row r="279258" customFormat="1" x14ac:dyDescent="0.25"/>
    <row r="279259" customFormat="1" x14ac:dyDescent="0.25"/>
    <row r="279260" customFormat="1" x14ac:dyDescent="0.25"/>
    <row r="279261" customFormat="1" x14ac:dyDescent="0.25"/>
    <row r="279262" customFormat="1" x14ac:dyDescent="0.25"/>
    <row r="279263" customFormat="1" x14ac:dyDescent="0.25"/>
    <row r="279264" customFormat="1" x14ac:dyDescent="0.25"/>
    <row r="279265" customFormat="1" x14ac:dyDescent="0.25"/>
    <row r="279266" customFormat="1" x14ac:dyDescent="0.25"/>
    <row r="279267" customFormat="1" x14ac:dyDescent="0.25"/>
    <row r="279268" customFormat="1" x14ac:dyDescent="0.25"/>
    <row r="279269" customFormat="1" x14ac:dyDescent="0.25"/>
    <row r="279270" customFormat="1" x14ac:dyDescent="0.25"/>
    <row r="279271" customFormat="1" x14ac:dyDescent="0.25"/>
    <row r="279272" customFormat="1" x14ac:dyDescent="0.25"/>
    <row r="279273" customFormat="1" x14ac:dyDescent="0.25"/>
    <row r="279274" customFormat="1" x14ac:dyDescent="0.25"/>
    <row r="279275" customFormat="1" x14ac:dyDescent="0.25"/>
    <row r="279276" customFormat="1" x14ac:dyDescent="0.25"/>
    <row r="279277" customFormat="1" x14ac:dyDescent="0.25"/>
    <row r="279278" customFormat="1" x14ac:dyDescent="0.25"/>
    <row r="279279" customFormat="1" x14ac:dyDescent="0.25"/>
    <row r="279280" customFormat="1" x14ac:dyDescent="0.25"/>
    <row r="279281" customFormat="1" x14ac:dyDescent="0.25"/>
    <row r="279282" customFormat="1" x14ac:dyDescent="0.25"/>
    <row r="279283" customFormat="1" x14ac:dyDescent="0.25"/>
    <row r="279284" customFormat="1" x14ac:dyDescent="0.25"/>
    <row r="279285" customFormat="1" x14ac:dyDescent="0.25"/>
    <row r="279286" customFormat="1" x14ac:dyDescent="0.25"/>
    <row r="279287" customFormat="1" x14ac:dyDescent="0.25"/>
    <row r="279288" customFormat="1" x14ac:dyDescent="0.25"/>
    <row r="279289" customFormat="1" x14ac:dyDescent="0.25"/>
    <row r="279290" customFormat="1" x14ac:dyDescent="0.25"/>
    <row r="279291" customFormat="1" x14ac:dyDescent="0.25"/>
    <row r="279292" customFormat="1" x14ac:dyDescent="0.25"/>
    <row r="279293" customFormat="1" x14ac:dyDescent="0.25"/>
    <row r="279294" customFormat="1" x14ac:dyDescent="0.25"/>
    <row r="279295" customFormat="1" x14ac:dyDescent="0.25"/>
    <row r="279296" customFormat="1" x14ac:dyDescent="0.25"/>
    <row r="279297" customFormat="1" x14ac:dyDescent="0.25"/>
    <row r="279298" customFormat="1" x14ac:dyDescent="0.25"/>
    <row r="279299" customFormat="1" x14ac:dyDescent="0.25"/>
    <row r="279300" customFormat="1" x14ac:dyDescent="0.25"/>
    <row r="279301" customFormat="1" x14ac:dyDescent="0.25"/>
    <row r="279302" customFormat="1" x14ac:dyDescent="0.25"/>
    <row r="279303" customFormat="1" x14ac:dyDescent="0.25"/>
    <row r="279304" customFormat="1" x14ac:dyDescent="0.25"/>
    <row r="279305" customFormat="1" x14ac:dyDescent="0.25"/>
    <row r="279306" customFormat="1" x14ac:dyDescent="0.25"/>
    <row r="279307" customFormat="1" x14ac:dyDescent="0.25"/>
    <row r="279308" customFormat="1" x14ac:dyDescent="0.25"/>
    <row r="279309" customFormat="1" x14ac:dyDescent="0.25"/>
    <row r="279310" customFormat="1" x14ac:dyDescent="0.25"/>
    <row r="279311" customFormat="1" x14ac:dyDescent="0.25"/>
    <row r="279312" customFormat="1" x14ac:dyDescent="0.25"/>
    <row r="279313" customFormat="1" x14ac:dyDescent="0.25"/>
    <row r="279314" customFormat="1" x14ac:dyDescent="0.25"/>
    <row r="279315" customFormat="1" x14ac:dyDescent="0.25"/>
    <row r="279316" customFormat="1" x14ac:dyDescent="0.25"/>
    <row r="279317" customFormat="1" x14ac:dyDescent="0.25"/>
    <row r="279318" customFormat="1" x14ac:dyDescent="0.25"/>
    <row r="279319" customFormat="1" x14ac:dyDescent="0.25"/>
    <row r="279320" customFormat="1" x14ac:dyDescent="0.25"/>
    <row r="279321" customFormat="1" x14ac:dyDescent="0.25"/>
    <row r="279322" customFormat="1" x14ac:dyDescent="0.25"/>
    <row r="279323" customFormat="1" x14ac:dyDescent="0.25"/>
    <row r="279324" customFormat="1" x14ac:dyDescent="0.25"/>
    <row r="279325" customFormat="1" x14ac:dyDescent="0.25"/>
    <row r="279326" customFormat="1" x14ac:dyDescent="0.25"/>
    <row r="279327" customFormat="1" x14ac:dyDescent="0.25"/>
    <row r="279328" customFormat="1" x14ac:dyDescent="0.25"/>
    <row r="279329" customFormat="1" x14ac:dyDescent="0.25"/>
    <row r="279330" customFormat="1" x14ac:dyDescent="0.25"/>
    <row r="279331" customFormat="1" x14ac:dyDescent="0.25"/>
    <row r="279332" customFormat="1" x14ac:dyDescent="0.25"/>
    <row r="279333" customFormat="1" x14ac:dyDescent="0.25"/>
    <row r="279334" customFormat="1" x14ac:dyDescent="0.25"/>
    <row r="279335" customFormat="1" x14ac:dyDescent="0.25"/>
    <row r="279336" customFormat="1" x14ac:dyDescent="0.25"/>
    <row r="279337" customFormat="1" x14ac:dyDescent="0.25"/>
    <row r="279338" customFormat="1" x14ac:dyDescent="0.25"/>
    <row r="279339" customFormat="1" x14ac:dyDescent="0.25"/>
    <row r="279340" customFormat="1" x14ac:dyDescent="0.25"/>
    <row r="279341" customFormat="1" x14ac:dyDescent="0.25"/>
    <row r="279342" customFormat="1" x14ac:dyDescent="0.25"/>
    <row r="279343" customFormat="1" x14ac:dyDescent="0.25"/>
    <row r="279344" customFormat="1" x14ac:dyDescent="0.25"/>
    <row r="279345" customFormat="1" x14ac:dyDescent="0.25"/>
    <row r="279346" customFormat="1" x14ac:dyDescent="0.25"/>
    <row r="279347" customFormat="1" x14ac:dyDescent="0.25"/>
    <row r="279348" customFormat="1" x14ac:dyDescent="0.25"/>
    <row r="279349" customFormat="1" x14ac:dyDescent="0.25"/>
    <row r="279350" customFormat="1" x14ac:dyDescent="0.25"/>
    <row r="279351" customFormat="1" x14ac:dyDescent="0.25"/>
    <row r="279352" customFormat="1" x14ac:dyDescent="0.25"/>
    <row r="279353" customFormat="1" x14ac:dyDescent="0.25"/>
    <row r="279354" customFormat="1" x14ac:dyDescent="0.25"/>
    <row r="279355" customFormat="1" x14ac:dyDescent="0.25"/>
    <row r="279356" customFormat="1" x14ac:dyDescent="0.25"/>
    <row r="279357" customFormat="1" x14ac:dyDescent="0.25"/>
    <row r="279358" customFormat="1" x14ac:dyDescent="0.25"/>
    <row r="279359" customFormat="1" x14ac:dyDescent="0.25"/>
    <row r="279360" customFormat="1" x14ac:dyDescent="0.25"/>
    <row r="279361" customFormat="1" x14ac:dyDescent="0.25"/>
    <row r="279362" customFormat="1" x14ac:dyDescent="0.25"/>
    <row r="279363" customFormat="1" x14ac:dyDescent="0.25"/>
    <row r="279364" customFormat="1" x14ac:dyDescent="0.25"/>
    <row r="279365" customFormat="1" x14ac:dyDescent="0.25"/>
    <row r="279366" customFormat="1" x14ac:dyDescent="0.25"/>
    <row r="279367" customFormat="1" x14ac:dyDescent="0.25"/>
    <row r="279368" customFormat="1" x14ac:dyDescent="0.25"/>
    <row r="279369" customFormat="1" x14ac:dyDescent="0.25"/>
    <row r="279370" customFormat="1" x14ac:dyDescent="0.25"/>
    <row r="279371" customFormat="1" x14ac:dyDescent="0.25"/>
    <row r="279372" customFormat="1" x14ac:dyDescent="0.25"/>
    <row r="279373" customFormat="1" x14ac:dyDescent="0.25"/>
    <row r="279374" customFormat="1" x14ac:dyDescent="0.25"/>
    <row r="279375" customFormat="1" x14ac:dyDescent="0.25"/>
    <row r="279376" customFormat="1" x14ac:dyDescent="0.25"/>
    <row r="279377" customFormat="1" x14ac:dyDescent="0.25"/>
    <row r="279378" customFormat="1" x14ac:dyDescent="0.25"/>
    <row r="279379" customFormat="1" x14ac:dyDescent="0.25"/>
    <row r="279380" customFormat="1" x14ac:dyDescent="0.25"/>
    <row r="279381" customFormat="1" x14ac:dyDescent="0.25"/>
    <row r="279382" customFormat="1" x14ac:dyDescent="0.25"/>
    <row r="279383" customFormat="1" x14ac:dyDescent="0.25"/>
    <row r="279384" customFormat="1" x14ac:dyDescent="0.25"/>
    <row r="279385" customFormat="1" x14ac:dyDescent="0.25"/>
    <row r="279386" customFormat="1" x14ac:dyDescent="0.25"/>
    <row r="279387" customFormat="1" x14ac:dyDescent="0.25"/>
    <row r="279388" customFormat="1" x14ac:dyDescent="0.25"/>
    <row r="279389" customFormat="1" x14ac:dyDescent="0.25"/>
    <row r="279390" customFormat="1" x14ac:dyDescent="0.25"/>
    <row r="279391" customFormat="1" x14ac:dyDescent="0.25"/>
    <row r="279392" customFormat="1" x14ac:dyDescent="0.25"/>
    <row r="279393" customFormat="1" x14ac:dyDescent="0.25"/>
    <row r="279394" customFormat="1" x14ac:dyDescent="0.25"/>
    <row r="279395" customFormat="1" x14ac:dyDescent="0.25"/>
    <row r="279396" customFormat="1" x14ac:dyDescent="0.25"/>
    <row r="279397" customFormat="1" x14ac:dyDescent="0.25"/>
    <row r="279398" customFormat="1" x14ac:dyDescent="0.25"/>
    <row r="279399" customFormat="1" x14ac:dyDescent="0.25"/>
    <row r="279400" customFormat="1" x14ac:dyDescent="0.25"/>
    <row r="279401" customFormat="1" x14ac:dyDescent="0.25"/>
    <row r="279402" customFormat="1" x14ac:dyDescent="0.25"/>
    <row r="279403" customFormat="1" x14ac:dyDescent="0.25"/>
    <row r="279404" customFormat="1" x14ac:dyDescent="0.25"/>
    <row r="279405" customFormat="1" x14ac:dyDescent="0.25"/>
    <row r="279406" customFormat="1" x14ac:dyDescent="0.25"/>
    <row r="279407" customFormat="1" x14ac:dyDescent="0.25"/>
    <row r="279408" customFormat="1" x14ac:dyDescent="0.25"/>
    <row r="279409" customFormat="1" x14ac:dyDescent="0.25"/>
    <row r="279410" customFormat="1" x14ac:dyDescent="0.25"/>
    <row r="279411" customFormat="1" x14ac:dyDescent="0.25"/>
    <row r="279412" customFormat="1" x14ac:dyDescent="0.25"/>
    <row r="279413" customFormat="1" x14ac:dyDescent="0.25"/>
    <row r="279414" customFormat="1" x14ac:dyDescent="0.25"/>
    <row r="279415" customFormat="1" x14ac:dyDescent="0.25"/>
    <row r="279416" customFormat="1" x14ac:dyDescent="0.25"/>
    <row r="279417" customFormat="1" x14ac:dyDescent="0.25"/>
    <row r="279418" customFormat="1" x14ac:dyDescent="0.25"/>
    <row r="279419" customFormat="1" x14ac:dyDescent="0.25"/>
    <row r="279420" customFormat="1" x14ac:dyDescent="0.25"/>
    <row r="279421" customFormat="1" x14ac:dyDescent="0.25"/>
    <row r="279422" customFormat="1" x14ac:dyDescent="0.25"/>
    <row r="279423" customFormat="1" x14ac:dyDescent="0.25"/>
    <row r="279424" customFormat="1" x14ac:dyDescent="0.25"/>
    <row r="279425" customFormat="1" x14ac:dyDescent="0.25"/>
    <row r="279426" customFormat="1" x14ac:dyDescent="0.25"/>
    <row r="279427" customFormat="1" x14ac:dyDescent="0.25"/>
    <row r="279428" customFormat="1" x14ac:dyDescent="0.25"/>
    <row r="279429" customFormat="1" x14ac:dyDescent="0.25"/>
    <row r="279430" customFormat="1" x14ac:dyDescent="0.25"/>
    <row r="279431" customFormat="1" x14ac:dyDescent="0.25"/>
    <row r="279432" customFormat="1" x14ac:dyDescent="0.25"/>
    <row r="279433" customFormat="1" x14ac:dyDescent="0.25"/>
    <row r="279434" customFormat="1" x14ac:dyDescent="0.25"/>
    <row r="279435" customFormat="1" x14ac:dyDescent="0.25"/>
    <row r="279436" customFormat="1" x14ac:dyDescent="0.25"/>
    <row r="279437" customFormat="1" x14ac:dyDescent="0.25"/>
    <row r="279438" customFormat="1" x14ac:dyDescent="0.25"/>
    <row r="279439" customFormat="1" x14ac:dyDescent="0.25"/>
    <row r="279440" customFormat="1" x14ac:dyDescent="0.25"/>
    <row r="279441" customFormat="1" x14ac:dyDescent="0.25"/>
    <row r="279442" customFormat="1" x14ac:dyDescent="0.25"/>
    <row r="279443" customFormat="1" x14ac:dyDescent="0.25"/>
    <row r="279444" customFormat="1" x14ac:dyDescent="0.25"/>
    <row r="279445" customFormat="1" x14ac:dyDescent="0.25"/>
    <row r="279446" customFormat="1" x14ac:dyDescent="0.25"/>
    <row r="279447" customFormat="1" x14ac:dyDescent="0.25"/>
    <row r="279448" customFormat="1" x14ac:dyDescent="0.25"/>
    <row r="279449" customFormat="1" x14ac:dyDescent="0.25"/>
    <row r="279450" customFormat="1" x14ac:dyDescent="0.25"/>
    <row r="279451" customFormat="1" x14ac:dyDescent="0.25"/>
    <row r="279452" customFormat="1" x14ac:dyDescent="0.25"/>
    <row r="279453" customFormat="1" x14ac:dyDescent="0.25"/>
    <row r="279454" customFormat="1" x14ac:dyDescent="0.25"/>
    <row r="279455" customFormat="1" x14ac:dyDescent="0.25"/>
    <row r="279456" customFormat="1" x14ac:dyDescent="0.25"/>
    <row r="279457" customFormat="1" x14ac:dyDescent="0.25"/>
    <row r="279458" customFormat="1" x14ac:dyDescent="0.25"/>
    <row r="279459" customFormat="1" x14ac:dyDescent="0.25"/>
    <row r="279460" customFormat="1" x14ac:dyDescent="0.25"/>
    <row r="279461" customFormat="1" x14ac:dyDescent="0.25"/>
    <row r="279462" customFormat="1" x14ac:dyDescent="0.25"/>
    <row r="279463" customFormat="1" x14ac:dyDescent="0.25"/>
    <row r="279464" customFormat="1" x14ac:dyDescent="0.25"/>
    <row r="279465" customFormat="1" x14ac:dyDescent="0.25"/>
    <row r="279466" customFormat="1" x14ac:dyDescent="0.25"/>
    <row r="279467" customFormat="1" x14ac:dyDescent="0.25"/>
    <row r="279468" customFormat="1" x14ac:dyDescent="0.25"/>
    <row r="279469" customFormat="1" x14ac:dyDescent="0.25"/>
    <row r="279470" customFormat="1" x14ac:dyDescent="0.25"/>
    <row r="279471" customFormat="1" x14ac:dyDescent="0.25"/>
    <row r="279472" customFormat="1" x14ac:dyDescent="0.25"/>
    <row r="279473" customFormat="1" x14ac:dyDescent="0.25"/>
    <row r="279474" customFormat="1" x14ac:dyDescent="0.25"/>
    <row r="279475" customFormat="1" x14ac:dyDescent="0.25"/>
    <row r="279476" customFormat="1" x14ac:dyDescent="0.25"/>
    <row r="279477" customFormat="1" x14ac:dyDescent="0.25"/>
    <row r="279478" customFormat="1" x14ac:dyDescent="0.25"/>
    <row r="279479" customFormat="1" x14ac:dyDescent="0.25"/>
    <row r="279480" customFormat="1" x14ac:dyDescent="0.25"/>
    <row r="279481" customFormat="1" x14ac:dyDescent="0.25"/>
    <row r="279482" customFormat="1" x14ac:dyDescent="0.25"/>
    <row r="279483" customFormat="1" x14ac:dyDescent="0.25"/>
    <row r="279484" customFormat="1" x14ac:dyDescent="0.25"/>
    <row r="279485" customFormat="1" x14ac:dyDescent="0.25"/>
    <row r="279486" customFormat="1" x14ac:dyDescent="0.25"/>
    <row r="279487" customFormat="1" x14ac:dyDescent="0.25"/>
    <row r="279488" customFormat="1" x14ac:dyDescent="0.25"/>
    <row r="279489" customFormat="1" x14ac:dyDescent="0.25"/>
    <row r="279490" customFormat="1" x14ac:dyDescent="0.25"/>
    <row r="279491" customFormat="1" x14ac:dyDescent="0.25"/>
    <row r="279492" customFormat="1" x14ac:dyDescent="0.25"/>
    <row r="279493" customFormat="1" x14ac:dyDescent="0.25"/>
    <row r="279494" customFormat="1" x14ac:dyDescent="0.25"/>
    <row r="279495" customFormat="1" x14ac:dyDescent="0.25"/>
    <row r="279496" customFormat="1" x14ac:dyDescent="0.25"/>
    <row r="279497" customFormat="1" x14ac:dyDescent="0.25"/>
    <row r="279498" customFormat="1" x14ac:dyDescent="0.25"/>
    <row r="279499" customFormat="1" x14ac:dyDescent="0.25"/>
    <row r="279500" customFormat="1" x14ac:dyDescent="0.25"/>
    <row r="279501" customFormat="1" x14ac:dyDescent="0.25"/>
    <row r="279502" customFormat="1" x14ac:dyDescent="0.25"/>
    <row r="279503" customFormat="1" x14ac:dyDescent="0.25"/>
    <row r="279504" customFormat="1" x14ac:dyDescent="0.25"/>
    <row r="279505" customFormat="1" x14ac:dyDescent="0.25"/>
    <row r="279506" customFormat="1" x14ac:dyDescent="0.25"/>
    <row r="279507" customFormat="1" x14ac:dyDescent="0.25"/>
    <row r="279508" customFormat="1" x14ac:dyDescent="0.25"/>
    <row r="279509" customFormat="1" x14ac:dyDescent="0.25"/>
    <row r="279510" customFormat="1" x14ac:dyDescent="0.25"/>
    <row r="279511" customFormat="1" x14ac:dyDescent="0.25"/>
    <row r="279512" customFormat="1" x14ac:dyDescent="0.25"/>
    <row r="279513" customFormat="1" x14ac:dyDescent="0.25"/>
    <row r="279514" customFormat="1" x14ac:dyDescent="0.25"/>
    <row r="279515" customFormat="1" x14ac:dyDescent="0.25"/>
    <row r="279516" customFormat="1" x14ac:dyDescent="0.25"/>
    <row r="279517" customFormat="1" x14ac:dyDescent="0.25"/>
    <row r="279518" customFormat="1" x14ac:dyDescent="0.25"/>
    <row r="279519" customFormat="1" x14ac:dyDescent="0.25"/>
    <row r="279520" customFormat="1" x14ac:dyDescent="0.25"/>
    <row r="279521" customFormat="1" x14ac:dyDescent="0.25"/>
    <row r="279522" customFormat="1" x14ac:dyDescent="0.25"/>
    <row r="279523" customFormat="1" x14ac:dyDescent="0.25"/>
    <row r="279524" customFormat="1" x14ac:dyDescent="0.25"/>
    <row r="279525" customFormat="1" x14ac:dyDescent="0.25"/>
    <row r="279526" customFormat="1" x14ac:dyDescent="0.25"/>
    <row r="279527" customFormat="1" x14ac:dyDescent="0.25"/>
    <row r="279528" customFormat="1" x14ac:dyDescent="0.25"/>
    <row r="279529" customFormat="1" x14ac:dyDescent="0.25"/>
    <row r="279530" customFormat="1" x14ac:dyDescent="0.25"/>
    <row r="279531" customFormat="1" x14ac:dyDescent="0.25"/>
    <row r="279532" customFormat="1" x14ac:dyDescent="0.25"/>
    <row r="279533" customFormat="1" x14ac:dyDescent="0.25"/>
    <row r="279534" customFormat="1" x14ac:dyDescent="0.25"/>
    <row r="279535" customFormat="1" x14ac:dyDescent="0.25"/>
    <row r="279536" customFormat="1" x14ac:dyDescent="0.25"/>
    <row r="279537" customFormat="1" x14ac:dyDescent="0.25"/>
    <row r="279538" customFormat="1" x14ac:dyDescent="0.25"/>
    <row r="279539" customFormat="1" x14ac:dyDescent="0.25"/>
    <row r="279540" customFormat="1" x14ac:dyDescent="0.25"/>
    <row r="279541" customFormat="1" x14ac:dyDescent="0.25"/>
    <row r="279542" customFormat="1" x14ac:dyDescent="0.25"/>
    <row r="279543" customFormat="1" x14ac:dyDescent="0.25"/>
    <row r="279544" customFormat="1" x14ac:dyDescent="0.25"/>
    <row r="279545" customFormat="1" x14ac:dyDescent="0.25"/>
    <row r="279546" customFormat="1" x14ac:dyDescent="0.25"/>
    <row r="279547" customFormat="1" x14ac:dyDescent="0.25"/>
    <row r="279548" customFormat="1" x14ac:dyDescent="0.25"/>
    <row r="279549" customFormat="1" x14ac:dyDescent="0.25"/>
    <row r="279550" customFormat="1" x14ac:dyDescent="0.25"/>
    <row r="279551" customFormat="1" x14ac:dyDescent="0.25"/>
    <row r="279552" customFormat="1" x14ac:dyDescent="0.25"/>
    <row r="279553" customFormat="1" x14ac:dyDescent="0.25"/>
    <row r="279554" customFormat="1" x14ac:dyDescent="0.25"/>
    <row r="279555" customFormat="1" x14ac:dyDescent="0.25"/>
    <row r="279556" customFormat="1" x14ac:dyDescent="0.25"/>
    <row r="279557" customFormat="1" x14ac:dyDescent="0.25"/>
    <row r="279558" customFormat="1" x14ac:dyDescent="0.25"/>
    <row r="279559" customFormat="1" x14ac:dyDescent="0.25"/>
    <row r="279560" customFormat="1" x14ac:dyDescent="0.25"/>
    <row r="279561" customFormat="1" x14ac:dyDescent="0.25"/>
    <row r="279562" customFormat="1" x14ac:dyDescent="0.25"/>
    <row r="279563" customFormat="1" x14ac:dyDescent="0.25"/>
    <row r="279564" customFormat="1" x14ac:dyDescent="0.25"/>
    <row r="279565" customFormat="1" x14ac:dyDescent="0.25"/>
    <row r="279566" customFormat="1" x14ac:dyDescent="0.25"/>
    <row r="279567" customFormat="1" x14ac:dyDescent="0.25"/>
    <row r="279568" customFormat="1" x14ac:dyDescent="0.25"/>
    <row r="279569" customFormat="1" x14ac:dyDescent="0.25"/>
    <row r="279570" customFormat="1" x14ac:dyDescent="0.25"/>
    <row r="279571" customFormat="1" x14ac:dyDescent="0.25"/>
    <row r="279572" customFormat="1" x14ac:dyDescent="0.25"/>
    <row r="279573" customFormat="1" x14ac:dyDescent="0.25"/>
    <row r="279574" customFormat="1" x14ac:dyDescent="0.25"/>
    <row r="279575" customFormat="1" x14ac:dyDescent="0.25"/>
    <row r="279576" customFormat="1" x14ac:dyDescent="0.25"/>
    <row r="279577" customFormat="1" x14ac:dyDescent="0.25"/>
    <row r="279578" customFormat="1" x14ac:dyDescent="0.25"/>
    <row r="279579" customFormat="1" x14ac:dyDescent="0.25"/>
    <row r="279580" customFormat="1" x14ac:dyDescent="0.25"/>
    <row r="279581" customFormat="1" x14ac:dyDescent="0.25"/>
    <row r="279582" customFormat="1" x14ac:dyDescent="0.25"/>
    <row r="279583" customFormat="1" x14ac:dyDescent="0.25"/>
    <row r="279584" customFormat="1" x14ac:dyDescent="0.25"/>
    <row r="279585" customFormat="1" x14ac:dyDescent="0.25"/>
    <row r="279586" customFormat="1" x14ac:dyDescent="0.25"/>
    <row r="279587" customFormat="1" x14ac:dyDescent="0.25"/>
    <row r="279588" customFormat="1" x14ac:dyDescent="0.25"/>
    <row r="279589" customFormat="1" x14ac:dyDescent="0.25"/>
    <row r="279590" customFormat="1" x14ac:dyDescent="0.25"/>
    <row r="279591" customFormat="1" x14ac:dyDescent="0.25"/>
    <row r="279592" customFormat="1" x14ac:dyDescent="0.25"/>
    <row r="279593" customFormat="1" x14ac:dyDescent="0.25"/>
    <row r="279594" customFormat="1" x14ac:dyDescent="0.25"/>
    <row r="279595" customFormat="1" x14ac:dyDescent="0.25"/>
    <row r="279596" customFormat="1" x14ac:dyDescent="0.25"/>
    <row r="279597" customFormat="1" x14ac:dyDescent="0.25"/>
    <row r="279598" customFormat="1" x14ac:dyDescent="0.25"/>
    <row r="279599" customFormat="1" x14ac:dyDescent="0.25"/>
    <row r="279600" customFormat="1" x14ac:dyDescent="0.25"/>
    <row r="279601" customFormat="1" x14ac:dyDescent="0.25"/>
    <row r="279602" customFormat="1" x14ac:dyDescent="0.25"/>
    <row r="279603" customFormat="1" x14ac:dyDescent="0.25"/>
    <row r="279604" customFormat="1" x14ac:dyDescent="0.25"/>
    <row r="279605" customFormat="1" x14ac:dyDescent="0.25"/>
    <row r="279606" customFormat="1" x14ac:dyDescent="0.25"/>
    <row r="279607" customFormat="1" x14ac:dyDescent="0.25"/>
    <row r="279608" customFormat="1" x14ac:dyDescent="0.25"/>
    <row r="279609" customFormat="1" x14ac:dyDescent="0.25"/>
    <row r="279610" customFormat="1" x14ac:dyDescent="0.25"/>
    <row r="279611" customFormat="1" x14ac:dyDescent="0.25"/>
    <row r="279612" customFormat="1" x14ac:dyDescent="0.25"/>
    <row r="279613" customFormat="1" x14ac:dyDescent="0.25"/>
    <row r="279614" customFormat="1" x14ac:dyDescent="0.25"/>
    <row r="279615" customFormat="1" x14ac:dyDescent="0.25"/>
    <row r="279616" customFormat="1" x14ac:dyDescent="0.25"/>
    <row r="279617" customFormat="1" x14ac:dyDescent="0.25"/>
    <row r="279618" customFormat="1" x14ac:dyDescent="0.25"/>
    <row r="279619" customFormat="1" x14ac:dyDescent="0.25"/>
    <row r="279620" customFormat="1" x14ac:dyDescent="0.25"/>
    <row r="279621" customFormat="1" x14ac:dyDescent="0.25"/>
    <row r="279622" customFormat="1" x14ac:dyDescent="0.25"/>
    <row r="279623" customFormat="1" x14ac:dyDescent="0.25"/>
    <row r="279624" customFormat="1" x14ac:dyDescent="0.25"/>
    <row r="279625" customFormat="1" x14ac:dyDescent="0.25"/>
    <row r="279626" customFormat="1" x14ac:dyDescent="0.25"/>
    <row r="279627" customFormat="1" x14ac:dyDescent="0.25"/>
    <row r="279628" customFormat="1" x14ac:dyDescent="0.25"/>
    <row r="279629" customFormat="1" x14ac:dyDescent="0.25"/>
    <row r="279630" customFormat="1" x14ac:dyDescent="0.25"/>
    <row r="279631" customFormat="1" x14ac:dyDescent="0.25"/>
    <row r="279632" customFormat="1" x14ac:dyDescent="0.25"/>
    <row r="279633" customFormat="1" x14ac:dyDescent="0.25"/>
    <row r="279634" customFormat="1" x14ac:dyDescent="0.25"/>
    <row r="279635" customFormat="1" x14ac:dyDescent="0.25"/>
    <row r="279636" customFormat="1" x14ac:dyDescent="0.25"/>
    <row r="279637" customFormat="1" x14ac:dyDescent="0.25"/>
    <row r="279638" customFormat="1" x14ac:dyDescent="0.25"/>
    <row r="279639" customFormat="1" x14ac:dyDescent="0.25"/>
    <row r="279640" customFormat="1" x14ac:dyDescent="0.25"/>
    <row r="279641" customFormat="1" x14ac:dyDescent="0.25"/>
    <row r="279642" customFormat="1" x14ac:dyDescent="0.25"/>
    <row r="279643" customFormat="1" x14ac:dyDescent="0.25"/>
    <row r="279644" customFormat="1" x14ac:dyDescent="0.25"/>
    <row r="279645" customFormat="1" x14ac:dyDescent="0.25"/>
    <row r="279646" customFormat="1" x14ac:dyDescent="0.25"/>
    <row r="279647" customFormat="1" x14ac:dyDescent="0.25"/>
    <row r="279648" customFormat="1" x14ac:dyDescent="0.25"/>
    <row r="279649" customFormat="1" x14ac:dyDescent="0.25"/>
    <row r="279650" customFormat="1" x14ac:dyDescent="0.25"/>
    <row r="279651" customFormat="1" x14ac:dyDescent="0.25"/>
    <row r="279652" customFormat="1" x14ac:dyDescent="0.25"/>
    <row r="279653" customFormat="1" x14ac:dyDescent="0.25"/>
    <row r="279654" customFormat="1" x14ac:dyDescent="0.25"/>
    <row r="279655" customFormat="1" x14ac:dyDescent="0.25"/>
    <row r="279656" customFormat="1" x14ac:dyDescent="0.25"/>
    <row r="279657" customFormat="1" x14ac:dyDescent="0.25"/>
    <row r="279658" customFormat="1" x14ac:dyDescent="0.25"/>
    <row r="279659" customFormat="1" x14ac:dyDescent="0.25"/>
    <row r="279660" customFormat="1" x14ac:dyDescent="0.25"/>
    <row r="279661" customFormat="1" x14ac:dyDescent="0.25"/>
    <row r="279662" customFormat="1" x14ac:dyDescent="0.25"/>
    <row r="279663" customFormat="1" x14ac:dyDescent="0.25"/>
    <row r="279664" customFormat="1" x14ac:dyDescent="0.25"/>
    <row r="279665" customFormat="1" x14ac:dyDescent="0.25"/>
    <row r="279666" customFormat="1" x14ac:dyDescent="0.25"/>
    <row r="279667" customFormat="1" x14ac:dyDescent="0.25"/>
    <row r="279668" customFormat="1" x14ac:dyDescent="0.25"/>
    <row r="279669" customFormat="1" x14ac:dyDescent="0.25"/>
    <row r="279670" customFormat="1" x14ac:dyDescent="0.25"/>
    <row r="279671" customFormat="1" x14ac:dyDescent="0.25"/>
    <row r="279672" customFormat="1" x14ac:dyDescent="0.25"/>
    <row r="279673" customFormat="1" x14ac:dyDescent="0.25"/>
    <row r="279674" customFormat="1" x14ac:dyDescent="0.25"/>
    <row r="279675" customFormat="1" x14ac:dyDescent="0.25"/>
    <row r="279676" customFormat="1" x14ac:dyDescent="0.25"/>
    <row r="279677" customFormat="1" x14ac:dyDescent="0.25"/>
    <row r="279678" customFormat="1" x14ac:dyDescent="0.25"/>
    <row r="279679" customFormat="1" x14ac:dyDescent="0.25"/>
    <row r="279680" customFormat="1" x14ac:dyDescent="0.25"/>
    <row r="279681" customFormat="1" x14ac:dyDescent="0.25"/>
    <row r="279682" customFormat="1" x14ac:dyDescent="0.25"/>
    <row r="279683" customFormat="1" x14ac:dyDescent="0.25"/>
    <row r="279684" customFormat="1" x14ac:dyDescent="0.25"/>
    <row r="279685" customFormat="1" x14ac:dyDescent="0.25"/>
    <row r="279686" customFormat="1" x14ac:dyDescent="0.25"/>
    <row r="279687" customFormat="1" x14ac:dyDescent="0.25"/>
    <row r="279688" customFormat="1" x14ac:dyDescent="0.25"/>
    <row r="279689" customFormat="1" x14ac:dyDescent="0.25"/>
    <row r="279690" customFormat="1" x14ac:dyDescent="0.25"/>
    <row r="279691" customFormat="1" x14ac:dyDescent="0.25"/>
    <row r="279692" customFormat="1" x14ac:dyDescent="0.25"/>
    <row r="279693" customFormat="1" x14ac:dyDescent="0.25"/>
    <row r="279694" customFormat="1" x14ac:dyDescent="0.25"/>
    <row r="279695" customFormat="1" x14ac:dyDescent="0.25"/>
    <row r="279696" customFormat="1" x14ac:dyDescent="0.25"/>
    <row r="279697" customFormat="1" x14ac:dyDescent="0.25"/>
    <row r="279698" customFormat="1" x14ac:dyDescent="0.25"/>
    <row r="279699" customFormat="1" x14ac:dyDescent="0.25"/>
    <row r="279700" customFormat="1" x14ac:dyDescent="0.25"/>
    <row r="279701" customFormat="1" x14ac:dyDescent="0.25"/>
    <row r="279702" customFormat="1" x14ac:dyDescent="0.25"/>
    <row r="279703" customFormat="1" x14ac:dyDescent="0.25"/>
    <row r="279704" customFormat="1" x14ac:dyDescent="0.25"/>
    <row r="279705" customFormat="1" x14ac:dyDescent="0.25"/>
    <row r="279706" customFormat="1" x14ac:dyDescent="0.25"/>
    <row r="279707" customFormat="1" x14ac:dyDescent="0.25"/>
    <row r="279708" customFormat="1" x14ac:dyDescent="0.25"/>
    <row r="279709" customFormat="1" x14ac:dyDescent="0.25"/>
    <row r="279710" customFormat="1" x14ac:dyDescent="0.25"/>
    <row r="279711" customFormat="1" x14ac:dyDescent="0.25"/>
    <row r="279712" customFormat="1" x14ac:dyDescent="0.25"/>
    <row r="279713" customFormat="1" x14ac:dyDescent="0.25"/>
    <row r="279714" customFormat="1" x14ac:dyDescent="0.25"/>
    <row r="279715" customFormat="1" x14ac:dyDescent="0.25"/>
    <row r="279716" customFormat="1" x14ac:dyDescent="0.25"/>
    <row r="279717" customFormat="1" x14ac:dyDescent="0.25"/>
    <row r="279718" customFormat="1" x14ac:dyDescent="0.25"/>
    <row r="279719" customFormat="1" x14ac:dyDescent="0.25"/>
    <row r="279720" customFormat="1" x14ac:dyDescent="0.25"/>
    <row r="279721" customFormat="1" x14ac:dyDescent="0.25"/>
    <row r="279722" customFormat="1" x14ac:dyDescent="0.25"/>
    <row r="279723" customFormat="1" x14ac:dyDescent="0.25"/>
    <row r="279724" customFormat="1" x14ac:dyDescent="0.25"/>
    <row r="279725" customFormat="1" x14ac:dyDescent="0.25"/>
    <row r="279726" customFormat="1" x14ac:dyDescent="0.25"/>
    <row r="279727" customFormat="1" x14ac:dyDescent="0.25"/>
    <row r="279728" customFormat="1" x14ac:dyDescent="0.25"/>
    <row r="279729" customFormat="1" x14ac:dyDescent="0.25"/>
    <row r="279730" customFormat="1" x14ac:dyDescent="0.25"/>
    <row r="279731" customFormat="1" x14ac:dyDescent="0.25"/>
    <row r="279732" customFormat="1" x14ac:dyDescent="0.25"/>
    <row r="279733" customFormat="1" x14ac:dyDescent="0.25"/>
    <row r="279734" customFormat="1" x14ac:dyDescent="0.25"/>
    <row r="279735" customFormat="1" x14ac:dyDescent="0.25"/>
    <row r="279736" customFormat="1" x14ac:dyDescent="0.25"/>
    <row r="279737" customFormat="1" x14ac:dyDescent="0.25"/>
    <row r="279738" customFormat="1" x14ac:dyDescent="0.25"/>
    <row r="279739" customFormat="1" x14ac:dyDescent="0.25"/>
    <row r="279740" customFormat="1" x14ac:dyDescent="0.25"/>
    <row r="279741" customFormat="1" x14ac:dyDescent="0.25"/>
    <row r="279742" customFormat="1" x14ac:dyDescent="0.25"/>
    <row r="279743" customFormat="1" x14ac:dyDescent="0.25"/>
    <row r="279744" customFormat="1" x14ac:dyDescent="0.25"/>
    <row r="279745" customFormat="1" x14ac:dyDescent="0.25"/>
    <row r="279746" customFormat="1" x14ac:dyDescent="0.25"/>
    <row r="279747" customFormat="1" x14ac:dyDescent="0.25"/>
    <row r="279748" customFormat="1" x14ac:dyDescent="0.25"/>
    <row r="279749" customFormat="1" x14ac:dyDescent="0.25"/>
    <row r="279750" customFormat="1" x14ac:dyDescent="0.25"/>
    <row r="279751" customFormat="1" x14ac:dyDescent="0.25"/>
    <row r="279752" customFormat="1" x14ac:dyDescent="0.25"/>
    <row r="279753" customFormat="1" x14ac:dyDescent="0.25"/>
    <row r="279754" customFormat="1" x14ac:dyDescent="0.25"/>
    <row r="279755" customFormat="1" x14ac:dyDescent="0.25"/>
    <row r="279756" customFormat="1" x14ac:dyDescent="0.25"/>
    <row r="279757" customFormat="1" x14ac:dyDescent="0.25"/>
    <row r="279758" customFormat="1" x14ac:dyDescent="0.25"/>
    <row r="279759" customFormat="1" x14ac:dyDescent="0.25"/>
    <row r="279760" customFormat="1" x14ac:dyDescent="0.25"/>
    <row r="279761" customFormat="1" x14ac:dyDescent="0.25"/>
    <row r="279762" customFormat="1" x14ac:dyDescent="0.25"/>
    <row r="279763" customFormat="1" x14ac:dyDescent="0.25"/>
    <row r="279764" customFormat="1" x14ac:dyDescent="0.25"/>
    <row r="279765" customFormat="1" x14ac:dyDescent="0.25"/>
    <row r="279766" customFormat="1" x14ac:dyDescent="0.25"/>
    <row r="279767" customFormat="1" x14ac:dyDescent="0.25"/>
    <row r="279768" customFormat="1" x14ac:dyDescent="0.25"/>
    <row r="279769" customFormat="1" x14ac:dyDescent="0.25"/>
    <row r="279770" customFormat="1" x14ac:dyDescent="0.25"/>
    <row r="279771" customFormat="1" x14ac:dyDescent="0.25"/>
    <row r="279772" customFormat="1" x14ac:dyDescent="0.25"/>
    <row r="279773" customFormat="1" x14ac:dyDescent="0.25"/>
    <row r="279774" customFormat="1" x14ac:dyDescent="0.25"/>
    <row r="279775" customFormat="1" x14ac:dyDescent="0.25"/>
    <row r="279776" customFormat="1" x14ac:dyDescent="0.25"/>
    <row r="279777" customFormat="1" x14ac:dyDescent="0.25"/>
    <row r="279778" customFormat="1" x14ac:dyDescent="0.25"/>
    <row r="279779" customFormat="1" x14ac:dyDescent="0.25"/>
    <row r="279780" customFormat="1" x14ac:dyDescent="0.25"/>
    <row r="279781" customFormat="1" x14ac:dyDescent="0.25"/>
    <row r="279782" customFormat="1" x14ac:dyDescent="0.25"/>
    <row r="279783" customFormat="1" x14ac:dyDescent="0.25"/>
    <row r="279784" customFormat="1" x14ac:dyDescent="0.25"/>
    <row r="279785" customFormat="1" x14ac:dyDescent="0.25"/>
    <row r="279786" customFormat="1" x14ac:dyDescent="0.25"/>
    <row r="279787" customFormat="1" x14ac:dyDescent="0.25"/>
    <row r="279788" customFormat="1" x14ac:dyDescent="0.25"/>
    <row r="279789" customFormat="1" x14ac:dyDescent="0.25"/>
    <row r="279790" customFormat="1" x14ac:dyDescent="0.25"/>
    <row r="279791" customFormat="1" x14ac:dyDescent="0.25"/>
    <row r="279792" customFormat="1" x14ac:dyDescent="0.25"/>
    <row r="279793" customFormat="1" x14ac:dyDescent="0.25"/>
    <row r="279794" customFormat="1" x14ac:dyDescent="0.25"/>
    <row r="279795" customFormat="1" x14ac:dyDescent="0.25"/>
    <row r="279796" customFormat="1" x14ac:dyDescent="0.25"/>
    <row r="279797" customFormat="1" x14ac:dyDescent="0.25"/>
    <row r="279798" customFormat="1" x14ac:dyDescent="0.25"/>
    <row r="279799" customFormat="1" x14ac:dyDescent="0.25"/>
    <row r="279800" customFormat="1" x14ac:dyDescent="0.25"/>
    <row r="279801" customFormat="1" x14ac:dyDescent="0.25"/>
    <row r="279802" customFormat="1" x14ac:dyDescent="0.25"/>
    <row r="279803" customFormat="1" x14ac:dyDescent="0.25"/>
    <row r="279804" customFormat="1" x14ac:dyDescent="0.25"/>
    <row r="279805" customFormat="1" x14ac:dyDescent="0.25"/>
    <row r="279806" customFormat="1" x14ac:dyDescent="0.25"/>
    <row r="279807" customFormat="1" x14ac:dyDescent="0.25"/>
    <row r="279808" customFormat="1" x14ac:dyDescent="0.25"/>
    <row r="279809" customFormat="1" x14ac:dyDescent="0.25"/>
    <row r="279810" customFormat="1" x14ac:dyDescent="0.25"/>
    <row r="279811" customFormat="1" x14ac:dyDescent="0.25"/>
    <row r="279812" customFormat="1" x14ac:dyDescent="0.25"/>
    <row r="279813" customFormat="1" x14ac:dyDescent="0.25"/>
    <row r="279814" customFormat="1" x14ac:dyDescent="0.25"/>
    <row r="279815" customFormat="1" x14ac:dyDescent="0.25"/>
    <row r="279816" customFormat="1" x14ac:dyDescent="0.25"/>
    <row r="279817" customFormat="1" x14ac:dyDescent="0.25"/>
    <row r="279818" customFormat="1" x14ac:dyDescent="0.25"/>
    <row r="279819" customFormat="1" x14ac:dyDescent="0.25"/>
    <row r="279820" customFormat="1" x14ac:dyDescent="0.25"/>
    <row r="279821" customFormat="1" x14ac:dyDescent="0.25"/>
    <row r="279822" customFormat="1" x14ac:dyDescent="0.25"/>
    <row r="279823" customFormat="1" x14ac:dyDescent="0.25"/>
    <row r="279824" customFormat="1" x14ac:dyDescent="0.25"/>
    <row r="279825" customFormat="1" x14ac:dyDescent="0.25"/>
    <row r="279826" customFormat="1" x14ac:dyDescent="0.25"/>
    <row r="279827" customFormat="1" x14ac:dyDescent="0.25"/>
    <row r="279828" customFormat="1" x14ac:dyDescent="0.25"/>
    <row r="279829" customFormat="1" x14ac:dyDescent="0.25"/>
    <row r="279830" customFormat="1" x14ac:dyDescent="0.25"/>
    <row r="279831" customFormat="1" x14ac:dyDescent="0.25"/>
    <row r="279832" customFormat="1" x14ac:dyDescent="0.25"/>
    <row r="279833" customFormat="1" x14ac:dyDescent="0.25"/>
    <row r="279834" customFormat="1" x14ac:dyDescent="0.25"/>
    <row r="279835" customFormat="1" x14ac:dyDescent="0.25"/>
    <row r="279836" customFormat="1" x14ac:dyDescent="0.25"/>
    <row r="279837" customFormat="1" x14ac:dyDescent="0.25"/>
    <row r="279838" customFormat="1" x14ac:dyDescent="0.25"/>
    <row r="279839" customFormat="1" x14ac:dyDescent="0.25"/>
    <row r="279840" customFormat="1" x14ac:dyDescent="0.25"/>
    <row r="279841" customFormat="1" x14ac:dyDescent="0.25"/>
    <row r="279842" customFormat="1" x14ac:dyDescent="0.25"/>
    <row r="279843" customFormat="1" x14ac:dyDescent="0.25"/>
    <row r="279844" customFormat="1" x14ac:dyDescent="0.25"/>
    <row r="279845" customFormat="1" x14ac:dyDescent="0.25"/>
    <row r="279846" customFormat="1" x14ac:dyDescent="0.25"/>
    <row r="279847" customFormat="1" x14ac:dyDescent="0.25"/>
    <row r="279848" customFormat="1" x14ac:dyDescent="0.25"/>
    <row r="279849" customFormat="1" x14ac:dyDescent="0.25"/>
    <row r="279850" customFormat="1" x14ac:dyDescent="0.25"/>
    <row r="279851" customFormat="1" x14ac:dyDescent="0.25"/>
    <row r="279852" customFormat="1" x14ac:dyDescent="0.25"/>
    <row r="279853" customFormat="1" x14ac:dyDescent="0.25"/>
    <row r="279854" customFormat="1" x14ac:dyDescent="0.25"/>
    <row r="279855" customFormat="1" x14ac:dyDescent="0.25"/>
    <row r="279856" customFormat="1" x14ac:dyDescent="0.25"/>
    <row r="279857" customFormat="1" x14ac:dyDescent="0.25"/>
    <row r="279858" customFormat="1" x14ac:dyDescent="0.25"/>
    <row r="279859" customFormat="1" x14ac:dyDescent="0.25"/>
    <row r="279860" customFormat="1" x14ac:dyDescent="0.25"/>
    <row r="279861" customFormat="1" x14ac:dyDescent="0.25"/>
    <row r="279862" customFormat="1" x14ac:dyDescent="0.25"/>
    <row r="279863" customFormat="1" x14ac:dyDescent="0.25"/>
    <row r="279864" customFormat="1" x14ac:dyDescent="0.25"/>
    <row r="279865" customFormat="1" x14ac:dyDescent="0.25"/>
    <row r="279866" customFormat="1" x14ac:dyDescent="0.25"/>
    <row r="279867" customFormat="1" x14ac:dyDescent="0.25"/>
    <row r="279868" customFormat="1" x14ac:dyDescent="0.25"/>
    <row r="279869" customFormat="1" x14ac:dyDescent="0.25"/>
    <row r="279870" customFormat="1" x14ac:dyDescent="0.25"/>
    <row r="279871" customFormat="1" x14ac:dyDescent="0.25"/>
    <row r="279872" customFormat="1" x14ac:dyDescent="0.25"/>
    <row r="279873" customFormat="1" x14ac:dyDescent="0.25"/>
    <row r="279874" customFormat="1" x14ac:dyDescent="0.25"/>
    <row r="279875" customFormat="1" x14ac:dyDescent="0.25"/>
    <row r="279876" customFormat="1" x14ac:dyDescent="0.25"/>
    <row r="279877" customFormat="1" x14ac:dyDescent="0.25"/>
    <row r="279878" customFormat="1" x14ac:dyDescent="0.25"/>
    <row r="279879" customFormat="1" x14ac:dyDescent="0.25"/>
    <row r="279880" customFormat="1" x14ac:dyDescent="0.25"/>
    <row r="279881" customFormat="1" x14ac:dyDescent="0.25"/>
    <row r="279882" customFormat="1" x14ac:dyDescent="0.25"/>
    <row r="279883" customFormat="1" x14ac:dyDescent="0.25"/>
    <row r="279884" customFormat="1" x14ac:dyDescent="0.25"/>
    <row r="279885" customFormat="1" x14ac:dyDescent="0.25"/>
    <row r="279886" customFormat="1" x14ac:dyDescent="0.25"/>
    <row r="279887" customFormat="1" x14ac:dyDescent="0.25"/>
    <row r="279888" customFormat="1" x14ac:dyDescent="0.25"/>
    <row r="279889" customFormat="1" x14ac:dyDescent="0.25"/>
    <row r="279890" customFormat="1" x14ac:dyDescent="0.25"/>
    <row r="279891" customFormat="1" x14ac:dyDescent="0.25"/>
    <row r="279892" customFormat="1" x14ac:dyDescent="0.25"/>
    <row r="279893" customFormat="1" x14ac:dyDescent="0.25"/>
    <row r="279894" customFormat="1" x14ac:dyDescent="0.25"/>
    <row r="279895" customFormat="1" x14ac:dyDescent="0.25"/>
    <row r="279896" customFormat="1" x14ac:dyDescent="0.25"/>
    <row r="279897" customFormat="1" x14ac:dyDescent="0.25"/>
    <row r="279898" customFormat="1" x14ac:dyDescent="0.25"/>
    <row r="279899" customFormat="1" x14ac:dyDescent="0.25"/>
    <row r="279900" customFormat="1" x14ac:dyDescent="0.25"/>
    <row r="279901" customFormat="1" x14ac:dyDescent="0.25"/>
    <row r="279902" customFormat="1" x14ac:dyDescent="0.25"/>
    <row r="279903" customFormat="1" x14ac:dyDescent="0.25"/>
    <row r="279904" customFormat="1" x14ac:dyDescent="0.25"/>
    <row r="279905" customFormat="1" x14ac:dyDescent="0.25"/>
    <row r="279906" customFormat="1" x14ac:dyDescent="0.25"/>
    <row r="279907" customFormat="1" x14ac:dyDescent="0.25"/>
    <row r="279908" customFormat="1" x14ac:dyDescent="0.25"/>
    <row r="279909" customFormat="1" x14ac:dyDescent="0.25"/>
    <row r="279910" customFormat="1" x14ac:dyDescent="0.25"/>
    <row r="279911" customFormat="1" x14ac:dyDescent="0.25"/>
    <row r="279912" customFormat="1" x14ac:dyDescent="0.25"/>
    <row r="279913" customFormat="1" x14ac:dyDescent="0.25"/>
    <row r="279914" customFormat="1" x14ac:dyDescent="0.25"/>
    <row r="279915" customFormat="1" x14ac:dyDescent="0.25"/>
    <row r="279916" customFormat="1" x14ac:dyDescent="0.25"/>
    <row r="279917" customFormat="1" x14ac:dyDescent="0.25"/>
    <row r="279918" customFormat="1" x14ac:dyDescent="0.25"/>
    <row r="279919" customFormat="1" x14ac:dyDescent="0.25"/>
    <row r="279920" customFormat="1" x14ac:dyDescent="0.25"/>
    <row r="279921" customFormat="1" x14ac:dyDescent="0.25"/>
    <row r="279922" customFormat="1" x14ac:dyDescent="0.25"/>
    <row r="279923" customFormat="1" x14ac:dyDescent="0.25"/>
    <row r="279924" customFormat="1" x14ac:dyDescent="0.25"/>
    <row r="279925" customFormat="1" x14ac:dyDescent="0.25"/>
    <row r="279926" customFormat="1" x14ac:dyDescent="0.25"/>
    <row r="279927" customFormat="1" x14ac:dyDescent="0.25"/>
    <row r="279928" customFormat="1" x14ac:dyDescent="0.25"/>
    <row r="279929" customFormat="1" x14ac:dyDescent="0.25"/>
    <row r="279930" customFormat="1" x14ac:dyDescent="0.25"/>
    <row r="279931" customFormat="1" x14ac:dyDescent="0.25"/>
    <row r="279932" customFormat="1" x14ac:dyDescent="0.25"/>
    <row r="279933" customFormat="1" x14ac:dyDescent="0.25"/>
    <row r="279934" customFormat="1" x14ac:dyDescent="0.25"/>
    <row r="279935" customFormat="1" x14ac:dyDescent="0.25"/>
    <row r="279936" customFormat="1" x14ac:dyDescent="0.25"/>
    <row r="279937" customFormat="1" x14ac:dyDescent="0.25"/>
    <row r="279938" customFormat="1" x14ac:dyDescent="0.25"/>
    <row r="279939" customFormat="1" x14ac:dyDescent="0.25"/>
    <row r="279940" customFormat="1" x14ac:dyDescent="0.25"/>
    <row r="279941" customFormat="1" x14ac:dyDescent="0.25"/>
    <row r="279942" customFormat="1" x14ac:dyDescent="0.25"/>
    <row r="279943" customFormat="1" x14ac:dyDescent="0.25"/>
    <row r="279944" customFormat="1" x14ac:dyDescent="0.25"/>
    <row r="279945" customFormat="1" x14ac:dyDescent="0.25"/>
    <row r="279946" customFormat="1" x14ac:dyDescent="0.25"/>
    <row r="279947" customFormat="1" x14ac:dyDescent="0.25"/>
    <row r="279948" customFormat="1" x14ac:dyDescent="0.25"/>
    <row r="279949" customFormat="1" x14ac:dyDescent="0.25"/>
    <row r="279950" customFormat="1" x14ac:dyDescent="0.25"/>
    <row r="279951" customFormat="1" x14ac:dyDescent="0.25"/>
    <row r="279952" customFormat="1" x14ac:dyDescent="0.25"/>
    <row r="279953" customFormat="1" x14ac:dyDescent="0.25"/>
    <row r="279954" customFormat="1" x14ac:dyDescent="0.25"/>
    <row r="279955" customFormat="1" x14ac:dyDescent="0.25"/>
    <row r="279956" customFormat="1" x14ac:dyDescent="0.25"/>
    <row r="279957" customFormat="1" x14ac:dyDescent="0.25"/>
    <row r="279958" customFormat="1" x14ac:dyDescent="0.25"/>
    <row r="279959" customFormat="1" x14ac:dyDescent="0.25"/>
    <row r="279960" customFormat="1" x14ac:dyDescent="0.25"/>
    <row r="279961" customFormat="1" x14ac:dyDescent="0.25"/>
    <row r="279962" customFormat="1" x14ac:dyDescent="0.25"/>
    <row r="279963" customFormat="1" x14ac:dyDescent="0.25"/>
    <row r="279964" customFormat="1" x14ac:dyDescent="0.25"/>
    <row r="279965" customFormat="1" x14ac:dyDescent="0.25"/>
    <row r="279966" customFormat="1" x14ac:dyDescent="0.25"/>
    <row r="279967" customFormat="1" x14ac:dyDescent="0.25"/>
    <row r="279968" customFormat="1" x14ac:dyDescent="0.25"/>
    <row r="279969" customFormat="1" x14ac:dyDescent="0.25"/>
    <row r="279970" customFormat="1" x14ac:dyDescent="0.25"/>
    <row r="279971" customFormat="1" x14ac:dyDescent="0.25"/>
    <row r="279972" customFormat="1" x14ac:dyDescent="0.25"/>
    <row r="279973" customFormat="1" x14ac:dyDescent="0.25"/>
    <row r="279974" customFormat="1" x14ac:dyDescent="0.25"/>
    <row r="279975" customFormat="1" x14ac:dyDescent="0.25"/>
    <row r="279976" customFormat="1" x14ac:dyDescent="0.25"/>
    <row r="279977" customFormat="1" x14ac:dyDescent="0.25"/>
    <row r="279978" customFormat="1" x14ac:dyDescent="0.25"/>
    <row r="279979" customFormat="1" x14ac:dyDescent="0.25"/>
    <row r="279980" customFormat="1" x14ac:dyDescent="0.25"/>
    <row r="279981" customFormat="1" x14ac:dyDescent="0.25"/>
    <row r="279982" customFormat="1" x14ac:dyDescent="0.25"/>
    <row r="279983" customFormat="1" x14ac:dyDescent="0.25"/>
    <row r="279984" customFormat="1" x14ac:dyDescent="0.25"/>
    <row r="279985" customFormat="1" x14ac:dyDescent="0.25"/>
    <row r="279986" customFormat="1" x14ac:dyDescent="0.25"/>
    <row r="279987" customFormat="1" x14ac:dyDescent="0.25"/>
    <row r="279988" customFormat="1" x14ac:dyDescent="0.25"/>
    <row r="279989" customFormat="1" x14ac:dyDescent="0.25"/>
    <row r="279990" customFormat="1" x14ac:dyDescent="0.25"/>
    <row r="279991" customFormat="1" x14ac:dyDescent="0.25"/>
    <row r="279992" customFormat="1" x14ac:dyDescent="0.25"/>
    <row r="279993" customFormat="1" x14ac:dyDescent="0.25"/>
    <row r="279994" customFormat="1" x14ac:dyDescent="0.25"/>
    <row r="279995" customFormat="1" x14ac:dyDescent="0.25"/>
    <row r="279996" customFormat="1" x14ac:dyDescent="0.25"/>
    <row r="279997" customFormat="1" x14ac:dyDescent="0.25"/>
    <row r="279998" customFormat="1" x14ac:dyDescent="0.25"/>
    <row r="279999" customFormat="1" x14ac:dyDescent="0.25"/>
    <row r="280000" customFormat="1" x14ac:dyDescent="0.25"/>
    <row r="280001" customFormat="1" x14ac:dyDescent="0.25"/>
    <row r="280002" customFormat="1" x14ac:dyDescent="0.25"/>
    <row r="280003" customFormat="1" x14ac:dyDescent="0.25"/>
    <row r="280004" customFormat="1" x14ac:dyDescent="0.25"/>
    <row r="280005" customFormat="1" x14ac:dyDescent="0.25"/>
    <row r="280006" customFormat="1" x14ac:dyDescent="0.25"/>
    <row r="280007" customFormat="1" x14ac:dyDescent="0.25"/>
    <row r="280008" customFormat="1" x14ac:dyDescent="0.25"/>
    <row r="280009" customFormat="1" x14ac:dyDescent="0.25"/>
    <row r="280010" customFormat="1" x14ac:dyDescent="0.25"/>
    <row r="280011" customFormat="1" x14ac:dyDescent="0.25"/>
    <row r="280012" customFormat="1" x14ac:dyDescent="0.25"/>
    <row r="280013" customFormat="1" x14ac:dyDescent="0.25"/>
    <row r="280014" customFormat="1" x14ac:dyDescent="0.25"/>
    <row r="280015" customFormat="1" x14ac:dyDescent="0.25"/>
    <row r="280016" customFormat="1" x14ac:dyDescent="0.25"/>
    <row r="280017" customFormat="1" x14ac:dyDescent="0.25"/>
    <row r="280018" customFormat="1" x14ac:dyDescent="0.25"/>
    <row r="280019" customFormat="1" x14ac:dyDescent="0.25"/>
    <row r="280020" customFormat="1" x14ac:dyDescent="0.25"/>
    <row r="280021" customFormat="1" x14ac:dyDescent="0.25"/>
    <row r="280022" customFormat="1" x14ac:dyDescent="0.25"/>
    <row r="280023" customFormat="1" x14ac:dyDescent="0.25"/>
    <row r="280024" customFormat="1" x14ac:dyDescent="0.25"/>
    <row r="280025" customFormat="1" x14ac:dyDescent="0.25"/>
    <row r="280026" customFormat="1" x14ac:dyDescent="0.25"/>
    <row r="280027" customFormat="1" x14ac:dyDescent="0.25"/>
    <row r="280028" customFormat="1" x14ac:dyDescent="0.25"/>
    <row r="280029" customFormat="1" x14ac:dyDescent="0.25"/>
    <row r="280030" customFormat="1" x14ac:dyDescent="0.25"/>
    <row r="280031" customFormat="1" x14ac:dyDescent="0.25"/>
    <row r="280032" customFormat="1" x14ac:dyDescent="0.25"/>
    <row r="280033" customFormat="1" x14ac:dyDescent="0.25"/>
    <row r="280034" customFormat="1" x14ac:dyDescent="0.25"/>
    <row r="280035" customFormat="1" x14ac:dyDescent="0.25"/>
    <row r="280036" customFormat="1" x14ac:dyDescent="0.25"/>
    <row r="280037" customFormat="1" x14ac:dyDescent="0.25"/>
    <row r="280038" customFormat="1" x14ac:dyDescent="0.25"/>
    <row r="280039" customFormat="1" x14ac:dyDescent="0.25"/>
    <row r="280040" customFormat="1" x14ac:dyDescent="0.25"/>
    <row r="280041" customFormat="1" x14ac:dyDescent="0.25"/>
    <row r="280042" customFormat="1" x14ac:dyDescent="0.25"/>
    <row r="280043" customFormat="1" x14ac:dyDescent="0.25"/>
    <row r="280044" customFormat="1" x14ac:dyDescent="0.25"/>
    <row r="280045" customFormat="1" x14ac:dyDescent="0.25"/>
    <row r="280046" customFormat="1" x14ac:dyDescent="0.25"/>
    <row r="280047" customFormat="1" x14ac:dyDescent="0.25"/>
    <row r="280048" customFormat="1" x14ac:dyDescent="0.25"/>
    <row r="280049" customFormat="1" x14ac:dyDescent="0.25"/>
    <row r="280050" customFormat="1" x14ac:dyDescent="0.25"/>
    <row r="280051" customFormat="1" x14ac:dyDescent="0.25"/>
    <row r="280052" customFormat="1" x14ac:dyDescent="0.25"/>
    <row r="280053" customFormat="1" x14ac:dyDescent="0.25"/>
    <row r="280054" customFormat="1" x14ac:dyDescent="0.25"/>
    <row r="280055" customFormat="1" x14ac:dyDescent="0.25"/>
    <row r="280056" customFormat="1" x14ac:dyDescent="0.25"/>
    <row r="280057" customFormat="1" x14ac:dyDescent="0.25"/>
    <row r="280058" customFormat="1" x14ac:dyDescent="0.25"/>
    <row r="280059" customFormat="1" x14ac:dyDescent="0.25"/>
    <row r="280060" customFormat="1" x14ac:dyDescent="0.25"/>
    <row r="280061" customFormat="1" x14ac:dyDescent="0.25"/>
    <row r="280062" customFormat="1" x14ac:dyDescent="0.25"/>
    <row r="280063" customFormat="1" x14ac:dyDescent="0.25"/>
    <row r="280064" customFormat="1" x14ac:dyDescent="0.25"/>
    <row r="280065" customFormat="1" x14ac:dyDescent="0.25"/>
    <row r="280066" customFormat="1" x14ac:dyDescent="0.25"/>
    <row r="280067" customFormat="1" x14ac:dyDescent="0.25"/>
    <row r="280068" customFormat="1" x14ac:dyDescent="0.25"/>
    <row r="280069" customFormat="1" x14ac:dyDescent="0.25"/>
    <row r="280070" customFormat="1" x14ac:dyDescent="0.25"/>
    <row r="280071" customFormat="1" x14ac:dyDescent="0.25"/>
    <row r="280072" customFormat="1" x14ac:dyDescent="0.25"/>
    <row r="280073" customFormat="1" x14ac:dyDescent="0.25"/>
    <row r="280074" customFormat="1" x14ac:dyDescent="0.25"/>
    <row r="280075" customFormat="1" x14ac:dyDescent="0.25"/>
    <row r="280076" customFormat="1" x14ac:dyDescent="0.25"/>
    <row r="280077" customFormat="1" x14ac:dyDescent="0.25"/>
    <row r="280078" customFormat="1" x14ac:dyDescent="0.25"/>
    <row r="280079" customFormat="1" x14ac:dyDescent="0.25"/>
    <row r="280080" customFormat="1" x14ac:dyDescent="0.25"/>
    <row r="280081" customFormat="1" x14ac:dyDescent="0.25"/>
    <row r="280082" customFormat="1" x14ac:dyDescent="0.25"/>
    <row r="280083" customFormat="1" x14ac:dyDescent="0.25"/>
    <row r="280084" customFormat="1" x14ac:dyDescent="0.25"/>
    <row r="280085" customFormat="1" x14ac:dyDescent="0.25"/>
    <row r="280086" customFormat="1" x14ac:dyDescent="0.25"/>
    <row r="280087" customFormat="1" x14ac:dyDescent="0.25"/>
    <row r="280088" customFormat="1" x14ac:dyDescent="0.25"/>
    <row r="280089" customFormat="1" x14ac:dyDescent="0.25"/>
    <row r="280090" customFormat="1" x14ac:dyDescent="0.25"/>
    <row r="280091" customFormat="1" x14ac:dyDescent="0.25"/>
    <row r="280092" customFormat="1" x14ac:dyDescent="0.25"/>
    <row r="280093" customFormat="1" x14ac:dyDescent="0.25"/>
    <row r="280094" customFormat="1" x14ac:dyDescent="0.25"/>
    <row r="280095" customFormat="1" x14ac:dyDescent="0.25"/>
    <row r="280096" customFormat="1" x14ac:dyDescent="0.25"/>
    <row r="280097" customFormat="1" x14ac:dyDescent="0.25"/>
    <row r="280098" customFormat="1" x14ac:dyDescent="0.25"/>
    <row r="280099" customFormat="1" x14ac:dyDescent="0.25"/>
    <row r="280100" customFormat="1" x14ac:dyDescent="0.25"/>
    <row r="280101" customFormat="1" x14ac:dyDescent="0.25"/>
    <row r="280102" customFormat="1" x14ac:dyDescent="0.25"/>
    <row r="280103" customFormat="1" x14ac:dyDescent="0.25"/>
    <row r="280104" customFormat="1" x14ac:dyDescent="0.25"/>
    <row r="280105" customFormat="1" x14ac:dyDescent="0.25"/>
    <row r="280106" customFormat="1" x14ac:dyDescent="0.25"/>
    <row r="280107" customFormat="1" x14ac:dyDescent="0.25"/>
    <row r="280108" customFormat="1" x14ac:dyDescent="0.25"/>
    <row r="280109" customFormat="1" x14ac:dyDescent="0.25"/>
    <row r="280110" customFormat="1" x14ac:dyDescent="0.25"/>
    <row r="280111" customFormat="1" x14ac:dyDescent="0.25"/>
    <row r="280112" customFormat="1" x14ac:dyDescent="0.25"/>
    <row r="280113" customFormat="1" x14ac:dyDescent="0.25"/>
    <row r="280114" customFormat="1" x14ac:dyDescent="0.25"/>
    <row r="280115" customFormat="1" x14ac:dyDescent="0.25"/>
    <row r="280116" customFormat="1" x14ac:dyDescent="0.25"/>
    <row r="280117" customFormat="1" x14ac:dyDescent="0.25"/>
    <row r="280118" customFormat="1" x14ac:dyDescent="0.25"/>
    <row r="280119" customFormat="1" x14ac:dyDescent="0.25"/>
    <row r="280120" customFormat="1" x14ac:dyDescent="0.25"/>
    <row r="280121" customFormat="1" x14ac:dyDescent="0.25"/>
    <row r="280122" customFormat="1" x14ac:dyDescent="0.25"/>
    <row r="280123" customFormat="1" x14ac:dyDescent="0.25"/>
    <row r="280124" customFormat="1" x14ac:dyDescent="0.25"/>
    <row r="280125" customFormat="1" x14ac:dyDescent="0.25"/>
    <row r="280126" customFormat="1" x14ac:dyDescent="0.25"/>
    <row r="280127" customFormat="1" x14ac:dyDescent="0.25"/>
    <row r="280128" customFormat="1" x14ac:dyDescent="0.25"/>
    <row r="280129" customFormat="1" x14ac:dyDescent="0.25"/>
    <row r="280130" customFormat="1" x14ac:dyDescent="0.25"/>
    <row r="280131" customFormat="1" x14ac:dyDescent="0.25"/>
    <row r="280132" customFormat="1" x14ac:dyDescent="0.25"/>
    <row r="280133" customFormat="1" x14ac:dyDescent="0.25"/>
    <row r="280134" customFormat="1" x14ac:dyDescent="0.25"/>
    <row r="280135" customFormat="1" x14ac:dyDescent="0.25"/>
    <row r="280136" customFormat="1" x14ac:dyDescent="0.25"/>
    <row r="280137" customFormat="1" x14ac:dyDescent="0.25"/>
    <row r="280138" customFormat="1" x14ac:dyDescent="0.25"/>
    <row r="280139" customFormat="1" x14ac:dyDescent="0.25"/>
    <row r="280140" customFormat="1" x14ac:dyDescent="0.25"/>
    <row r="280141" customFormat="1" x14ac:dyDescent="0.25"/>
    <row r="280142" customFormat="1" x14ac:dyDescent="0.25"/>
    <row r="280143" customFormat="1" x14ac:dyDescent="0.25"/>
    <row r="280144" customFormat="1" x14ac:dyDescent="0.25"/>
    <row r="280145" customFormat="1" x14ac:dyDescent="0.25"/>
    <row r="280146" customFormat="1" x14ac:dyDescent="0.25"/>
    <row r="280147" customFormat="1" x14ac:dyDescent="0.25"/>
    <row r="280148" customFormat="1" x14ac:dyDescent="0.25"/>
    <row r="280149" customFormat="1" x14ac:dyDescent="0.25"/>
    <row r="280150" customFormat="1" x14ac:dyDescent="0.25"/>
    <row r="280151" customFormat="1" x14ac:dyDescent="0.25"/>
    <row r="280152" customFormat="1" x14ac:dyDescent="0.25"/>
    <row r="280153" customFormat="1" x14ac:dyDescent="0.25"/>
    <row r="280154" customFormat="1" x14ac:dyDescent="0.25"/>
    <row r="280155" customFormat="1" x14ac:dyDescent="0.25"/>
    <row r="280156" customFormat="1" x14ac:dyDescent="0.25"/>
    <row r="280157" customFormat="1" x14ac:dyDescent="0.25"/>
    <row r="280158" customFormat="1" x14ac:dyDescent="0.25"/>
    <row r="280159" customFormat="1" x14ac:dyDescent="0.25"/>
    <row r="280160" customFormat="1" x14ac:dyDescent="0.25"/>
    <row r="280161" customFormat="1" x14ac:dyDescent="0.25"/>
    <row r="280162" customFormat="1" x14ac:dyDescent="0.25"/>
    <row r="280163" customFormat="1" x14ac:dyDescent="0.25"/>
    <row r="280164" customFormat="1" x14ac:dyDescent="0.25"/>
    <row r="280165" customFormat="1" x14ac:dyDescent="0.25"/>
    <row r="280166" customFormat="1" x14ac:dyDescent="0.25"/>
    <row r="280167" customFormat="1" x14ac:dyDescent="0.25"/>
    <row r="280168" customFormat="1" x14ac:dyDescent="0.25"/>
    <row r="280169" customFormat="1" x14ac:dyDescent="0.25"/>
    <row r="280170" customFormat="1" x14ac:dyDescent="0.25"/>
    <row r="280171" customFormat="1" x14ac:dyDescent="0.25"/>
    <row r="280172" customFormat="1" x14ac:dyDescent="0.25"/>
    <row r="280173" customFormat="1" x14ac:dyDescent="0.25"/>
    <row r="280174" customFormat="1" x14ac:dyDescent="0.25"/>
    <row r="280175" customFormat="1" x14ac:dyDescent="0.25"/>
    <row r="280176" customFormat="1" x14ac:dyDescent="0.25"/>
    <row r="280177" customFormat="1" x14ac:dyDescent="0.25"/>
    <row r="280178" customFormat="1" x14ac:dyDescent="0.25"/>
    <row r="280179" customFormat="1" x14ac:dyDescent="0.25"/>
    <row r="280180" customFormat="1" x14ac:dyDescent="0.25"/>
    <row r="280181" customFormat="1" x14ac:dyDescent="0.25"/>
    <row r="280182" customFormat="1" x14ac:dyDescent="0.25"/>
    <row r="280183" customFormat="1" x14ac:dyDescent="0.25"/>
    <row r="280184" customFormat="1" x14ac:dyDescent="0.25"/>
    <row r="280185" customFormat="1" x14ac:dyDescent="0.25"/>
    <row r="280186" customFormat="1" x14ac:dyDescent="0.25"/>
    <row r="280187" customFormat="1" x14ac:dyDescent="0.25"/>
    <row r="280188" customFormat="1" x14ac:dyDescent="0.25"/>
    <row r="280189" customFormat="1" x14ac:dyDescent="0.25"/>
    <row r="280190" customFormat="1" x14ac:dyDescent="0.25"/>
    <row r="280191" customFormat="1" x14ac:dyDescent="0.25"/>
    <row r="280192" customFormat="1" x14ac:dyDescent="0.25"/>
    <row r="280193" customFormat="1" x14ac:dyDescent="0.25"/>
    <row r="280194" customFormat="1" x14ac:dyDescent="0.25"/>
    <row r="280195" customFormat="1" x14ac:dyDescent="0.25"/>
    <row r="280196" customFormat="1" x14ac:dyDescent="0.25"/>
    <row r="280197" customFormat="1" x14ac:dyDescent="0.25"/>
    <row r="280198" customFormat="1" x14ac:dyDescent="0.25"/>
    <row r="280199" customFormat="1" x14ac:dyDescent="0.25"/>
    <row r="280200" customFormat="1" x14ac:dyDescent="0.25"/>
    <row r="280201" customFormat="1" x14ac:dyDescent="0.25"/>
    <row r="280202" customFormat="1" x14ac:dyDescent="0.25"/>
    <row r="280203" customFormat="1" x14ac:dyDescent="0.25"/>
    <row r="280204" customFormat="1" x14ac:dyDescent="0.25"/>
    <row r="280205" customFormat="1" x14ac:dyDescent="0.25"/>
    <row r="280206" customFormat="1" x14ac:dyDescent="0.25"/>
    <row r="280207" customFormat="1" x14ac:dyDescent="0.25"/>
    <row r="280208" customFormat="1" x14ac:dyDescent="0.25"/>
    <row r="280209" customFormat="1" x14ac:dyDescent="0.25"/>
    <row r="280210" customFormat="1" x14ac:dyDescent="0.25"/>
    <row r="280211" customFormat="1" x14ac:dyDescent="0.25"/>
    <row r="280212" customFormat="1" x14ac:dyDescent="0.25"/>
    <row r="280213" customFormat="1" x14ac:dyDescent="0.25"/>
    <row r="280214" customFormat="1" x14ac:dyDescent="0.25"/>
    <row r="280215" customFormat="1" x14ac:dyDescent="0.25"/>
    <row r="280216" customFormat="1" x14ac:dyDescent="0.25"/>
    <row r="280217" customFormat="1" x14ac:dyDescent="0.25"/>
    <row r="280218" customFormat="1" x14ac:dyDescent="0.25"/>
    <row r="280219" customFormat="1" x14ac:dyDescent="0.25"/>
    <row r="280220" customFormat="1" x14ac:dyDescent="0.25"/>
    <row r="280221" customFormat="1" x14ac:dyDescent="0.25"/>
    <row r="280222" customFormat="1" x14ac:dyDescent="0.25"/>
    <row r="280223" customFormat="1" x14ac:dyDescent="0.25"/>
    <row r="280224" customFormat="1" x14ac:dyDescent="0.25"/>
    <row r="280225" customFormat="1" x14ac:dyDescent="0.25"/>
    <row r="280226" customFormat="1" x14ac:dyDescent="0.25"/>
    <row r="280227" customFormat="1" x14ac:dyDescent="0.25"/>
    <row r="280228" customFormat="1" x14ac:dyDescent="0.25"/>
    <row r="280229" customFormat="1" x14ac:dyDescent="0.25"/>
    <row r="280230" customFormat="1" x14ac:dyDescent="0.25"/>
    <row r="280231" customFormat="1" x14ac:dyDescent="0.25"/>
    <row r="280232" customFormat="1" x14ac:dyDescent="0.25"/>
    <row r="280233" customFormat="1" x14ac:dyDescent="0.25"/>
    <row r="280234" customFormat="1" x14ac:dyDescent="0.25"/>
    <row r="280235" customFormat="1" x14ac:dyDescent="0.25"/>
    <row r="280236" customFormat="1" x14ac:dyDescent="0.25"/>
    <row r="280237" customFormat="1" x14ac:dyDescent="0.25"/>
    <row r="280238" customFormat="1" x14ac:dyDescent="0.25"/>
    <row r="280239" customFormat="1" x14ac:dyDescent="0.25"/>
    <row r="280240" customFormat="1" x14ac:dyDescent="0.25"/>
    <row r="280241" customFormat="1" x14ac:dyDescent="0.25"/>
    <row r="280242" customFormat="1" x14ac:dyDescent="0.25"/>
    <row r="280243" customFormat="1" x14ac:dyDescent="0.25"/>
    <row r="280244" customFormat="1" x14ac:dyDescent="0.25"/>
    <row r="280245" customFormat="1" x14ac:dyDescent="0.25"/>
    <row r="280246" customFormat="1" x14ac:dyDescent="0.25"/>
    <row r="280247" customFormat="1" x14ac:dyDescent="0.25"/>
    <row r="280248" customFormat="1" x14ac:dyDescent="0.25"/>
    <row r="280249" customFormat="1" x14ac:dyDescent="0.25"/>
    <row r="280250" customFormat="1" x14ac:dyDescent="0.25"/>
    <row r="280251" customFormat="1" x14ac:dyDescent="0.25"/>
    <row r="280252" customFormat="1" x14ac:dyDescent="0.25"/>
    <row r="280253" customFormat="1" x14ac:dyDescent="0.25"/>
    <row r="280254" customFormat="1" x14ac:dyDescent="0.25"/>
    <row r="280255" customFormat="1" x14ac:dyDescent="0.25"/>
    <row r="280256" customFormat="1" x14ac:dyDescent="0.25"/>
    <row r="280257" customFormat="1" x14ac:dyDescent="0.25"/>
    <row r="280258" customFormat="1" x14ac:dyDescent="0.25"/>
    <row r="280259" customFormat="1" x14ac:dyDescent="0.25"/>
    <row r="280260" customFormat="1" x14ac:dyDescent="0.25"/>
    <row r="280261" customFormat="1" x14ac:dyDescent="0.25"/>
    <row r="280262" customFormat="1" x14ac:dyDescent="0.25"/>
    <row r="280263" customFormat="1" x14ac:dyDescent="0.25"/>
    <row r="280264" customFormat="1" x14ac:dyDescent="0.25"/>
    <row r="280265" customFormat="1" x14ac:dyDescent="0.25"/>
    <row r="280266" customFormat="1" x14ac:dyDescent="0.25"/>
    <row r="280267" customFormat="1" x14ac:dyDescent="0.25"/>
    <row r="280268" customFormat="1" x14ac:dyDescent="0.25"/>
    <row r="280269" customFormat="1" x14ac:dyDescent="0.25"/>
    <row r="280270" customFormat="1" x14ac:dyDescent="0.25"/>
    <row r="280271" customFormat="1" x14ac:dyDescent="0.25"/>
    <row r="280272" customFormat="1" x14ac:dyDescent="0.25"/>
    <row r="280273" customFormat="1" x14ac:dyDescent="0.25"/>
    <row r="280274" customFormat="1" x14ac:dyDescent="0.25"/>
    <row r="280275" customFormat="1" x14ac:dyDescent="0.25"/>
    <row r="280276" customFormat="1" x14ac:dyDescent="0.25"/>
    <row r="280277" customFormat="1" x14ac:dyDescent="0.25"/>
    <row r="280278" customFormat="1" x14ac:dyDescent="0.25"/>
    <row r="280279" customFormat="1" x14ac:dyDescent="0.25"/>
    <row r="280280" customFormat="1" x14ac:dyDescent="0.25"/>
    <row r="280281" customFormat="1" x14ac:dyDescent="0.25"/>
    <row r="280282" customFormat="1" x14ac:dyDescent="0.25"/>
    <row r="280283" customFormat="1" x14ac:dyDescent="0.25"/>
    <row r="280284" customFormat="1" x14ac:dyDescent="0.25"/>
    <row r="280285" customFormat="1" x14ac:dyDescent="0.25"/>
    <row r="280286" customFormat="1" x14ac:dyDescent="0.25"/>
    <row r="280287" customFormat="1" x14ac:dyDescent="0.25"/>
    <row r="280288" customFormat="1" x14ac:dyDescent="0.25"/>
    <row r="280289" customFormat="1" x14ac:dyDescent="0.25"/>
    <row r="280290" customFormat="1" x14ac:dyDescent="0.25"/>
    <row r="280291" customFormat="1" x14ac:dyDescent="0.25"/>
    <row r="280292" customFormat="1" x14ac:dyDescent="0.25"/>
    <row r="280293" customFormat="1" x14ac:dyDescent="0.25"/>
    <row r="280294" customFormat="1" x14ac:dyDescent="0.25"/>
    <row r="280295" customFormat="1" x14ac:dyDescent="0.25"/>
    <row r="280296" customFormat="1" x14ac:dyDescent="0.25"/>
    <row r="280297" customFormat="1" x14ac:dyDescent="0.25"/>
    <row r="280298" customFormat="1" x14ac:dyDescent="0.25"/>
    <row r="280299" customFormat="1" x14ac:dyDescent="0.25"/>
    <row r="280300" customFormat="1" x14ac:dyDescent="0.25"/>
    <row r="280301" customFormat="1" x14ac:dyDescent="0.25"/>
    <row r="280302" customFormat="1" x14ac:dyDescent="0.25"/>
    <row r="280303" customFormat="1" x14ac:dyDescent="0.25"/>
    <row r="280304" customFormat="1" x14ac:dyDescent="0.25"/>
    <row r="280305" customFormat="1" x14ac:dyDescent="0.25"/>
    <row r="280306" customFormat="1" x14ac:dyDescent="0.25"/>
    <row r="280307" customFormat="1" x14ac:dyDescent="0.25"/>
    <row r="280308" customFormat="1" x14ac:dyDescent="0.25"/>
    <row r="280309" customFormat="1" x14ac:dyDescent="0.25"/>
    <row r="280310" customFormat="1" x14ac:dyDescent="0.25"/>
    <row r="280311" customFormat="1" x14ac:dyDescent="0.25"/>
    <row r="280312" customFormat="1" x14ac:dyDescent="0.25"/>
    <row r="280313" customFormat="1" x14ac:dyDescent="0.25"/>
    <row r="280314" customFormat="1" x14ac:dyDescent="0.25"/>
    <row r="280315" customFormat="1" x14ac:dyDescent="0.25"/>
    <row r="280316" customFormat="1" x14ac:dyDescent="0.25"/>
    <row r="280317" customFormat="1" x14ac:dyDescent="0.25"/>
    <row r="280318" customFormat="1" x14ac:dyDescent="0.25"/>
    <row r="280319" customFormat="1" x14ac:dyDescent="0.25"/>
    <row r="280320" customFormat="1" x14ac:dyDescent="0.25"/>
    <row r="280321" customFormat="1" x14ac:dyDescent="0.25"/>
    <row r="280322" customFormat="1" x14ac:dyDescent="0.25"/>
    <row r="280323" customFormat="1" x14ac:dyDescent="0.25"/>
    <row r="280324" customFormat="1" x14ac:dyDescent="0.25"/>
    <row r="280325" customFormat="1" x14ac:dyDescent="0.25"/>
    <row r="280326" customFormat="1" x14ac:dyDescent="0.25"/>
    <row r="280327" customFormat="1" x14ac:dyDescent="0.25"/>
    <row r="280328" customFormat="1" x14ac:dyDescent="0.25"/>
    <row r="280329" customFormat="1" x14ac:dyDescent="0.25"/>
    <row r="280330" customFormat="1" x14ac:dyDescent="0.25"/>
    <row r="280331" customFormat="1" x14ac:dyDescent="0.25"/>
    <row r="280332" customFormat="1" x14ac:dyDescent="0.25"/>
    <row r="280333" customFormat="1" x14ac:dyDescent="0.25"/>
    <row r="280334" customFormat="1" x14ac:dyDescent="0.25"/>
    <row r="280335" customFormat="1" x14ac:dyDescent="0.25"/>
    <row r="280336" customFormat="1" x14ac:dyDescent="0.25"/>
    <row r="280337" customFormat="1" x14ac:dyDescent="0.25"/>
    <row r="280338" customFormat="1" x14ac:dyDescent="0.25"/>
    <row r="280339" customFormat="1" x14ac:dyDescent="0.25"/>
    <row r="280340" customFormat="1" x14ac:dyDescent="0.25"/>
    <row r="280341" customFormat="1" x14ac:dyDescent="0.25"/>
    <row r="280342" customFormat="1" x14ac:dyDescent="0.25"/>
    <row r="280343" customFormat="1" x14ac:dyDescent="0.25"/>
    <row r="280344" customFormat="1" x14ac:dyDescent="0.25"/>
    <row r="280345" customFormat="1" x14ac:dyDescent="0.25"/>
    <row r="280346" customFormat="1" x14ac:dyDescent="0.25"/>
    <row r="280347" customFormat="1" x14ac:dyDescent="0.25"/>
    <row r="280348" customFormat="1" x14ac:dyDescent="0.25"/>
    <row r="280349" customFormat="1" x14ac:dyDescent="0.25"/>
    <row r="280350" customFormat="1" x14ac:dyDescent="0.25"/>
    <row r="280351" customFormat="1" x14ac:dyDescent="0.25"/>
    <row r="280352" customFormat="1" x14ac:dyDescent="0.25"/>
    <row r="280353" customFormat="1" x14ac:dyDescent="0.25"/>
    <row r="280354" customFormat="1" x14ac:dyDescent="0.25"/>
    <row r="280355" customFormat="1" x14ac:dyDescent="0.25"/>
    <row r="280356" customFormat="1" x14ac:dyDescent="0.25"/>
    <row r="280357" customFormat="1" x14ac:dyDescent="0.25"/>
    <row r="280358" customFormat="1" x14ac:dyDescent="0.25"/>
    <row r="280359" customFormat="1" x14ac:dyDescent="0.25"/>
    <row r="280360" customFormat="1" x14ac:dyDescent="0.25"/>
    <row r="280361" customFormat="1" x14ac:dyDescent="0.25"/>
    <row r="280362" customFormat="1" x14ac:dyDescent="0.25"/>
    <row r="280363" customFormat="1" x14ac:dyDescent="0.25"/>
    <row r="280364" customFormat="1" x14ac:dyDescent="0.25"/>
    <row r="280365" customFormat="1" x14ac:dyDescent="0.25"/>
    <row r="280366" customFormat="1" x14ac:dyDescent="0.25"/>
    <row r="280367" customFormat="1" x14ac:dyDescent="0.25"/>
    <row r="280368" customFormat="1" x14ac:dyDescent="0.25"/>
    <row r="280369" customFormat="1" x14ac:dyDescent="0.25"/>
    <row r="280370" customFormat="1" x14ac:dyDescent="0.25"/>
    <row r="280371" customFormat="1" x14ac:dyDescent="0.25"/>
    <row r="280372" customFormat="1" x14ac:dyDescent="0.25"/>
    <row r="280373" customFormat="1" x14ac:dyDescent="0.25"/>
    <row r="280374" customFormat="1" x14ac:dyDescent="0.25"/>
    <row r="280375" customFormat="1" x14ac:dyDescent="0.25"/>
    <row r="280376" customFormat="1" x14ac:dyDescent="0.25"/>
    <row r="280377" customFormat="1" x14ac:dyDescent="0.25"/>
    <row r="280378" customFormat="1" x14ac:dyDescent="0.25"/>
    <row r="280379" customFormat="1" x14ac:dyDescent="0.25"/>
    <row r="280380" customFormat="1" x14ac:dyDescent="0.25"/>
    <row r="280381" customFormat="1" x14ac:dyDescent="0.25"/>
    <row r="280382" customFormat="1" x14ac:dyDescent="0.25"/>
    <row r="280383" customFormat="1" x14ac:dyDescent="0.25"/>
    <row r="280384" customFormat="1" x14ac:dyDescent="0.25"/>
    <row r="280385" customFormat="1" x14ac:dyDescent="0.25"/>
    <row r="280386" customFormat="1" x14ac:dyDescent="0.25"/>
    <row r="280387" customFormat="1" x14ac:dyDescent="0.25"/>
    <row r="280388" customFormat="1" x14ac:dyDescent="0.25"/>
    <row r="280389" customFormat="1" x14ac:dyDescent="0.25"/>
    <row r="280390" customFormat="1" x14ac:dyDescent="0.25"/>
    <row r="280391" customFormat="1" x14ac:dyDescent="0.25"/>
    <row r="280392" customFormat="1" x14ac:dyDescent="0.25"/>
    <row r="280393" customFormat="1" x14ac:dyDescent="0.25"/>
    <row r="280394" customFormat="1" x14ac:dyDescent="0.25"/>
    <row r="280395" customFormat="1" x14ac:dyDescent="0.25"/>
    <row r="280396" customFormat="1" x14ac:dyDescent="0.25"/>
    <row r="280397" customFormat="1" x14ac:dyDescent="0.25"/>
    <row r="280398" customFormat="1" x14ac:dyDescent="0.25"/>
    <row r="280399" customFormat="1" x14ac:dyDescent="0.25"/>
    <row r="280400" customFormat="1" x14ac:dyDescent="0.25"/>
    <row r="280401" customFormat="1" x14ac:dyDescent="0.25"/>
    <row r="280402" customFormat="1" x14ac:dyDescent="0.25"/>
    <row r="280403" customFormat="1" x14ac:dyDescent="0.25"/>
    <row r="280404" customFormat="1" x14ac:dyDescent="0.25"/>
    <row r="280405" customFormat="1" x14ac:dyDescent="0.25"/>
    <row r="280406" customFormat="1" x14ac:dyDescent="0.25"/>
    <row r="280407" customFormat="1" x14ac:dyDescent="0.25"/>
    <row r="280408" customFormat="1" x14ac:dyDescent="0.25"/>
    <row r="280409" customFormat="1" x14ac:dyDescent="0.25"/>
    <row r="280410" customFormat="1" x14ac:dyDescent="0.25"/>
    <row r="280411" customFormat="1" x14ac:dyDescent="0.25"/>
    <row r="280412" customFormat="1" x14ac:dyDescent="0.25"/>
    <row r="280413" customFormat="1" x14ac:dyDescent="0.25"/>
    <row r="280414" customFormat="1" x14ac:dyDescent="0.25"/>
    <row r="280415" customFormat="1" x14ac:dyDescent="0.25"/>
    <row r="280416" customFormat="1" x14ac:dyDescent="0.25"/>
    <row r="280417" customFormat="1" x14ac:dyDescent="0.25"/>
    <row r="280418" customFormat="1" x14ac:dyDescent="0.25"/>
    <row r="280419" customFormat="1" x14ac:dyDescent="0.25"/>
    <row r="280420" customFormat="1" x14ac:dyDescent="0.25"/>
    <row r="280421" customFormat="1" x14ac:dyDescent="0.25"/>
    <row r="280422" customFormat="1" x14ac:dyDescent="0.25"/>
    <row r="280423" customFormat="1" x14ac:dyDescent="0.25"/>
    <row r="280424" customFormat="1" x14ac:dyDescent="0.25"/>
    <row r="280425" customFormat="1" x14ac:dyDescent="0.25"/>
    <row r="280426" customFormat="1" x14ac:dyDescent="0.25"/>
    <row r="280427" customFormat="1" x14ac:dyDescent="0.25"/>
    <row r="280428" customFormat="1" x14ac:dyDescent="0.25"/>
    <row r="280429" customFormat="1" x14ac:dyDescent="0.25"/>
    <row r="280430" customFormat="1" x14ac:dyDescent="0.25"/>
    <row r="280431" customFormat="1" x14ac:dyDescent="0.25"/>
    <row r="280432" customFormat="1" x14ac:dyDescent="0.25"/>
    <row r="280433" customFormat="1" x14ac:dyDescent="0.25"/>
    <row r="280434" customFormat="1" x14ac:dyDescent="0.25"/>
    <row r="280435" customFormat="1" x14ac:dyDescent="0.25"/>
    <row r="280436" customFormat="1" x14ac:dyDescent="0.25"/>
    <row r="280437" customFormat="1" x14ac:dyDescent="0.25"/>
    <row r="280438" customFormat="1" x14ac:dyDescent="0.25"/>
    <row r="280439" customFormat="1" x14ac:dyDescent="0.25"/>
    <row r="280440" customFormat="1" x14ac:dyDescent="0.25"/>
    <row r="280441" customFormat="1" x14ac:dyDescent="0.25"/>
    <row r="280442" customFormat="1" x14ac:dyDescent="0.25"/>
    <row r="280443" customFormat="1" x14ac:dyDescent="0.25"/>
    <row r="280444" customFormat="1" x14ac:dyDescent="0.25"/>
    <row r="280445" customFormat="1" x14ac:dyDescent="0.25"/>
    <row r="280446" customFormat="1" x14ac:dyDescent="0.25"/>
    <row r="280447" customFormat="1" x14ac:dyDescent="0.25"/>
    <row r="280448" customFormat="1" x14ac:dyDescent="0.25"/>
    <row r="280449" customFormat="1" x14ac:dyDescent="0.25"/>
    <row r="280450" customFormat="1" x14ac:dyDescent="0.25"/>
    <row r="280451" customFormat="1" x14ac:dyDescent="0.25"/>
    <row r="280452" customFormat="1" x14ac:dyDescent="0.25"/>
    <row r="280453" customFormat="1" x14ac:dyDescent="0.25"/>
    <row r="280454" customFormat="1" x14ac:dyDescent="0.25"/>
    <row r="280455" customFormat="1" x14ac:dyDescent="0.25"/>
    <row r="280456" customFormat="1" x14ac:dyDescent="0.25"/>
    <row r="280457" customFormat="1" x14ac:dyDescent="0.25"/>
    <row r="280458" customFormat="1" x14ac:dyDescent="0.25"/>
    <row r="280459" customFormat="1" x14ac:dyDescent="0.25"/>
    <row r="280460" customFormat="1" x14ac:dyDescent="0.25"/>
    <row r="280461" customFormat="1" x14ac:dyDescent="0.25"/>
    <row r="280462" customFormat="1" x14ac:dyDescent="0.25"/>
    <row r="280463" customFormat="1" x14ac:dyDescent="0.25"/>
    <row r="280464" customFormat="1" x14ac:dyDescent="0.25"/>
    <row r="280465" customFormat="1" x14ac:dyDescent="0.25"/>
    <row r="280466" customFormat="1" x14ac:dyDescent="0.25"/>
    <row r="280467" customFormat="1" x14ac:dyDescent="0.25"/>
    <row r="280468" customFormat="1" x14ac:dyDescent="0.25"/>
    <row r="280469" customFormat="1" x14ac:dyDescent="0.25"/>
    <row r="280470" customFormat="1" x14ac:dyDescent="0.25"/>
    <row r="280471" customFormat="1" x14ac:dyDescent="0.25"/>
    <row r="280472" customFormat="1" x14ac:dyDescent="0.25"/>
    <row r="280473" customFormat="1" x14ac:dyDescent="0.25"/>
    <row r="280474" customFormat="1" x14ac:dyDescent="0.25"/>
    <row r="280475" customFormat="1" x14ac:dyDescent="0.25"/>
    <row r="280476" customFormat="1" x14ac:dyDescent="0.25"/>
    <row r="280477" customFormat="1" x14ac:dyDescent="0.25"/>
    <row r="280478" customFormat="1" x14ac:dyDescent="0.25"/>
    <row r="280479" customFormat="1" x14ac:dyDescent="0.25"/>
    <row r="280480" customFormat="1" x14ac:dyDescent="0.25"/>
    <row r="280481" customFormat="1" x14ac:dyDescent="0.25"/>
    <row r="280482" customFormat="1" x14ac:dyDescent="0.25"/>
    <row r="280483" customFormat="1" x14ac:dyDescent="0.25"/>
    <row r="280484" customFormat="1" x14ac:dyDescent="0.25"/>
    <row r="280485" customFormat="1" x14ac:dyDescent="0.25"/>
    <row r="280486" customFormat="1" x14ac:dyDescent="0.25"/>
    <row r="280487" customFormat="1" x14ac:dyDescent="0.25"/>
    <row r="280488" customFormat="1" x14ac:dyDescent="0.25"/>
    <row r="280489" customFormat="1" x14ac:dyDescent="0.25"/>
    <row r="280490" customFormat="1" x14ac:dyDescent="0.25"/>
    <row r="280491" customFormat="1" x14ac:dyDescent="0.25"/>
    <row r="280492" customFormat="1" x14ac:dyDescent="0.25"/>
    <row r="280493" customFormat="1" x14ac:dyDescent="0.25"/>
    <row r="280494" customFormat="1" x14ac:dyDescent="0.25"/>
    <row r="280495" customFormat="1" x14ac:dyDescent="0.25"/>
    <row r="280496" customFormat="1" x14ac:dyDescent="0.25"/>
    <row r="280497" customFormat="1" x14ac:dyDescent="0.25"/>
    <row r="280498" customFormat="1" x14ac:dyDescent="0.25"/>
    <row r="280499" customFormat="1" x14ac:dyDescent="0.25"/>
    <row r="280500" customFormat="1" x14ac:dyDescent="0.25"/>
    <row r="280501" customFormat="1" x14ac:dyDescent="0.25"/>
    <row r="280502" customFormat="1" x14ac:dyDescent="0.25"/>
    <row r="280503" customFormat="1" x14ac:dyDescent="0.25"/>
    <row r="280504" customFormat="1" x14ac:dyDescent="0.25"/>
    <row r="280505" customFormat="1" x14ac:dyDescent="0.25"/>
    <row r="280506" customFormat="1" x14ac:dyDescent="0.25"/>
    <row r="280507" customFormat="1" x14ac:dyDescent="0.25"/>
    <row r="280508" customFormat="1" x14ac:dyDescent="0.25"/>
    <row r="280509" customFormat="1" x14ac:dyDescent="0.25"/>
    <row r="280510" customFormat="1" x14ac:dyDescent="0.25"/>
    <row r="280511" customFormat="1" x14ac:dyDescent="0.25"/>
    <row r="280512" customFormat="1" x14ac:dyDescent="0.25"/>
    <row r="280513" customFormat="1" x14ac:dyDescent="0.25"/>
    <row r="280514" customFormat="1" x14ac:dyDescent="0.25"/>
    <row r="280515" customFormat="1" x14ac:dyDescent="0.25"/>
    <row r="280516" customFormat="1" x14ac:dyDescent="0.25"/>
    <row r="280517" customFormat="1" x14ac:dyDescent="0.25"/>
    <row r="280518" customFormat="1" x14ac:dyDescent="0.25"/>
    <row r="280519" customFormat="1" x14ac:dyDescent="0.25"/>
    <row r="280520" customFormat="1" x14ac:dyDescent="0.25"/>
    <row r="280521" customFormat="1" x14ac:dyDescent="0.25"/>
    <row r="280522" customFormat="1" x14ac:dyDescent="0.25"/>
    <row r="280523" customFormat="1" x14ac:dyDescent="0.25"/>
    <row r="280524" customFormat="1" x14ac:dyDescent="0.25"/>
    <row r="280525" customFormat="1" x14ac:dyDescent="0.25"/>
    <row r="280526" customFormat="1" x14ac:dyDescent="0.25"/>
    <row r="280527" customFormat="1" x14ac:dyDescent="0.25"/>
    <row r="280528" customFormat="1" x14ac:dyDescent="0.25"/>
    <row r="280529" customFormat="1" x14ac:dyDescent="0.25"/>
    <row r="280530" customFormat="1" x14ac:dyDescent="0.25"/>
    <row r="280531" customFormat="1" x14ac:dyDescent="0.25"/>
    <row r="280532" customFormat="1" x14ac:dyDescent="0.25"/>
    <row r="280533" customFormat="1" x14ac:dyDescent="0.25"/>
    <row r="280534" customFormat="1" x14ac:dyDescent="0.25"/>
    <row r="280535" customFormat="1" x14ac:dyDescent="0.25"/>
    <row r="280536" customFormat="1" x14ac:dyDescent="0.25"/>
    <row r="280537" customFormat="1" x14ac:dyDescent="0.25"/>
    <row r="280538" customFormat="1" x14ac:dyDescent="0.25"/>
    <row r="280539" customFormat="1" x14ac:dyDescent="0.25"/>
    <row r="280540" customFormat="1" x14ac:dyDescent="0.25"/>
    <row r="280541" customFormat="1" x14ac:dyDescent="0.25"/>
    <row r="280542" customFormat="1" x14ac:dyDescent="0.25"/>
    <row r="280543" customFormat="1" x14ac:dyDescent="0.25"/>
    <row r="280544" customFormat="1" x14ac:dyDescent="0.25"/>
    <row r="280545" customFormat="1" x14ac:dyDescent="0.25"/>
    <row r="280546" customFormat="1" x14ac:dyDescent="0.25"/>
    <row r="280547" customFormat="1" x14ac:dyDescent="0.25"/>
    <row r="280548" customFormat="1" x14ac:dyDescent="0.25"/>
    <row r="280549" customFormat="1" x14ac:dyDescent="0.25"/>
    <row r="280550" customFormat="1" x14ac:dyDescent="0.25"/>
    <row r="280551" customFormat="1" x14ac:dyDescent="0.25"/>
    <row r="280552" customFormat="1" x14ac:dyDescent="0.25"/>
    <row r="280553" customFormat="1" x14ac:dyDescent="0.25"/>
    <row r="280554" customFormat="1" x14ac:dyDescent="0.25"/>
    <row r="280555" customFormat="1" x14ac:dyDescent="0.25"/>
    <row r="280556" customFormat="1" x14ac:dyDescent="0.25"/>
    <row r="280557" customFormat="1" x14ac:dyDescent="0.25"/>
    <row r="280558" customFormat="1" x14ac:dyDescent="0.25"/>
    <row r="280559" customFormat="1" x14ac:dyDescent="0.25"/>
    <row r="280560" customFormat="1" x14ac:dyDescent="0.25"/>
    <row r="280561" customFormat="1" x14ac:dyDescent="0.25"/>
    <row r="280562" customFormat="1" x14ac:dyDescent="0.25"/>
    <row r="280563" customFormat="1" x14ac:dyDescent="0.25"/>
    <row r="280564" customFormat="1" x14ac:dyDescent="0.25"/>
    <row r="280565" customFormat="1" x14ac:dyDescent="0.25"/>
    <row r="280566" customFormat="1" x14ac:dyDescent="0.25"/>
    <row r="280567" customFormat="1" x14ac:dyDescent="0.25"/>
    <row r="280568" customFormat="1" x14ac:dyDescent="0.25"/>
    <row r="280569" customFormat="1" x14ac:dyDescent="0.25"/>
    <row r="280570" customFormat="1" x14ac:dyDescent="0.25"/>
    <row r="280571" customFormat="1" x14ac:dyDescent="0.25"/>
    <row r="280572" customFormat="1" x14ac:dyDescent="0.25"/>
    <row r="280573" customFormat="1" x14ac:dyDescent="0.25"/>
    <row r="280574" customFormat="1" x14ac:dyDescent="0.25"/>
    <row r="280575" customFormat="1" x14ac:dyDescent="0.25"/>
    <row r="280576" customFormat="1" x14ac:dyDescent="0.25"/>
    <row r="280577" customFormat="1" x14ac:dyDescent="0.25"/>
    <row r="280578" customFormat="1" x14ac:dyDescent="0.25"/>
    <row r="280579" customFormat="1" x14ac:dyDescent="0.25"/>
    <row r="280580" customFormat="1" x14ac:dyDescent="0.25"/>
    <row r="280581" customFormat="1" x14ac:dyDescent="0.25"/>
    <row r="280582" customFormat="1" x14ac:dyDescent="0.25"/>
    <row r="280583" customFormat="1" x14ac:dyDescent="0.25"/>
    <row r="280584" customFormat="1" x14ac:dyDescent="0.25"/>
    <row r="280585" customFormat="1" x14ac:dyDescent="0.25"/>
    <row r="280586" customFormat="1" x14ac:dyDescent="0.25"/>
    <row r="280587" customFormat="1" x14ac:dyDescent="0.25"/>
    <row r="280588" customFormat="1" x14ac:dyDescent="0.25"/>
    <row r="280589" customFormat="1" x14ac:dyDescent="0.25"/>
    <row r="280590" customFormat="1" x14ac:dyDescent="0.25"/>
    <row r="280591" customFormat="1" x14ac:dyDescent="0.25"/>
    <row r="280592" customFormat="1" x14ac:dyDescent="0.25"/>
    <row r="280593" customFormat="1" x14ac:dyDescent="0.25"/>
    <row r="280594" customFormat="1" x14ac:dyDescent="0.25"/>
    <row r="280595" customFormat="1" x14ac:dyDescent="0.25"/>
    <row r="280596" customFormat="1" x14ac:dyDescent="0.25"/>
    <row r="280597" customFormat="1" x14ac:dyDescent="0.25"/>
    <row r="280598" customFormat="1" x14ac:dyDescent="0.25"/>
    <row r="280599" customFormat="1" x14ac:dyDescent="0.25"/>
    <row r="280600" customFormat="1" x14ac:dyDescent="0.25"/>
    <row r="280601" customFormat="1" x14ac:dyDescent="0.25"/>
    <row r="280602" customFormat="1" x14ac:dyDescent="0.25"/>
    <row r="280603" customFormat="1" x14ac:dyDescent="0.25"/>
    <row r="280604" customFormat="1" x14ac:dyDescent="0.25"/>
    <row r="280605" customFormat="1" x14ac:dyDescent="0.25"/>
    <row r="280606" customFormat="1" x14ac:dyDescent="0.25"/>
    <row r="280607" customFormat="1" x14ac:dyDescent="0.25"/>
    <row r="280608" customFormat="1" x14ac:dyDescent="0.25"/>
    <row r="280609" customFormat="1" x14ac:dyDescent="0.25"/>
    <row r="280610" customFormat="1" x14ac:dyDescent="0.25"/>
    <row r="280611" customFormat="1" x14ac:dyDescent="0.25"/>
    <row r="280612" customFormat="1" x14ac:dyDescent="0.25"/>
    <row r="280613" customFormat="1" x14ac:dyDescent="0.25"/>
    <row r="280614" customFormat="1" x14ac:dyDescent="0.25"/>
    <row r="280615" customFormat="1" x14ac:dyDescent="0.25"/>
    <row r="280616" customFormat="1" x14ac:dyDescent="0.25"/>
    <row r="280617" customFormat="1" x14ac:dyDescent="0.25"/>
    <row r="280618" customFormat="1" x14ac:dyDescent="0.25"/>
    <row r="280619" customFormat="1" x14ac:dyDescent="0.25"/>
    <row r="280620" customFormat="1" x14ac:dyDescent="0.25"/>
    <row r="280621" customFormat="1" x14ac:dyDescent="0.25"/>
    <row r="280622" customFormat="1" x14ac:dyDescent="0.25"/>
    <row r="280623" customFormat="1" x14ac:dyDescent="0.25"/>
    <row r="280624" customFormat="1" x14ac:dyDescent="0.25"/>
    <row r="280625" customFormat="1" x14ac:dyDescent="0.25"/>
    <row r="280626" customFormat="1" x14ac:dyDescent="0.25"/>
    <row r="280627" customFormat="1" x14ac:dyDescent="0.25"/>
    <row r="280628" customFormat="1" x14ac:dyDescent="0.25"/>
    <row r="280629" customFormat="1" x14ac:dyDescent="0.25"/>
    <row r="280630" customFormat="1" x14ac:dyDescent="0.25"/>
    <row r="280631" customFormat="1" x14ac:dyDescent="0.25"/>
    <row r="280632" customFormat="1" x14ac:dyDescent="0.25"/>
    <row r="280633" customFormat="1" x14ac:dyDescent="0.25"/>
    <row r="280634" customFormat="1" x14ac:dyDescent="0.25"/>
    <row r="280635" customFormat="1" x14ac:dyDescent="0.25"/>
    <row r="280636" customFormat="1" x14ac:dyDescent="0.25"/>
    <row r="280637" customFormat="1" x14ac:dyDescent="0.25"/>
    <row r="280638" customFormat="1" x14ac:dyDescent="0.25"/>
    <row r="280639" customFormat="1" x14ac:dyDescent="0.25"/>
    <row r="280640" customFormat="1" x14ac:dyDescent="0.25"/>
    <row r="280641" customFormat="1" x14ac:dyDescent="0.25"/>
    <row r="280642" customFormat="1" x14ac:dyDescent="0.25"/>
    <row r="280643" customFormat="1" x14ac:dyDescent="0.25"/>
    <row r="280644" customFormat="1" x14ac:dyDescent="0.25"/>
    <row r="280645" customFormat="1" x14ac:dyDescent="0.25"/>
    <row r="280646" customFormat="1" x14ac:dyDescent="0.25"/>
    <row r="280647" customFormat="1" x14ac:dyDescent="0.25"/>
    <row r="280648" customFormat="1" x14ac:dyDescent="0.25"/>
    <row r="280649" customFormat="1" x14ac:dyDescent="0.25"/>
    <row r="280650" customFormat="1" x14ac:dyDescent="0.25"/>
    <row r="280651" customFormat="1" x14ac:dyDescent="0.25"/>
    <row r="280652" customFormat="1" x14ac:dyDescent="0.25"/>
    <row r="280653" customFormat="1" x14ac:dyDescent="0.25"/>
    <row r="280654" customFormat="1" x14ac:dyDescent="0.25"/>
    <row r="280655" customFormat="1" x14ac:dyDescent="0.25"/>
    <row r="280656" customFormat="1" x14ac:dyDescent="0.25"/>
    <row r="280657" customFormat="1" x14ac:dyDescent="0.25"/>
    <row r="280658" customFormat="1" x14ac:dyDescent="0.25"/>
    <row r="280659" customFormat="1" x14ac:dyDescent="0.25"/>
    <row r="280660" customFormat="1" x14ac:dyDescent="0.25"/>
    <row r="280661" customFormat="1" x14ac:dyDescent="0.25"/>
    <row r="280662" customFormat="1" x14ac:dyDescent="0.25"/>
    <row r="280663" customFormat="1" x14ac:dyDescent="0.25"/>
    <row r="280664" customFormat="1" x14ac:dyDescent="0.25"/>
    <row r="280665" customFormat="1" x14ac:dyDescent="0.25"/>
    <row r="280666" customFormat="1" x14ac:dyDescent="0.25"/>
    <row r="280667" customFormat="1" x14ac:dyDescent="0.25"/>
    <row r="280668" customFormat="1" x14ac:dyDescent="0.25"/>
    <row r="280669" customFormat="1" x14ac:dyDescent="0.25"/>
    <row r="280670" customFormat="1" x14ac:dyDescent="0.25"/>
    <row r="280671" customFormat="1" x14ac:dyDescent="0.25"/>
    <row r="280672" customFormat="1" x14ac:dyDescent="0.25"/>
    <row r="280673" customFormat="1" x14ac:dyDescent="0.25"/>
    <row r="280674" customFormat="1" x14ac:dyDescent="0.25"/>
    <row r="280675" customFormat="1" x14ac:dyDescent="0.25"/>
    <row r="280676" customFormat="1" x14ac:dyDescent="0.25"/>
    <row r="280677" customFormat="1" x14ac:dyDescent="0.25"/>
    <row r="280678" customFormat="1" x14ac:dyDescent="0.25"/>
    <row r="280679" customFormat="1" x14ac:dyDescent="0.25"/>
    <row r="280680" customFormat="1" x14ac:dyDescent="0.25"/>
    <row r="280681" customFormat="1" x14ac:dyDescent="0.25"/>
    <row r="280682" customFormat="1" x14ac:dyDescent="0.25"/>
    <row r="280683" customFormat="1" x14ac:dyDescent="0.25"/>
    <row r="280684" customFormat="1" x14ac:dyDescent="0.25"/>
    <row r="280685" customFormat="1" x14ac:dyDescent="0.25"/>
    <row r="280686" customFormat="1" x14ac:dyDescent="0.25"/>
    <row r="280687" customFormat="1" x14ac:dyDescent="0.25"/>
    <row r="280688" customFormat="1" x14ac:dyDescent="0.25"/>
    <row r="280689" customFormat="1" x14ac:dyDescent="0.25"/>
    <row r="280690" customFormat="1" x14ac:dyDescent="0.25"/>
    <row r="280691" customFormat="1" x14ac:dyDescent="0.25"/>
    <row r="280692" customFormat="1" x14ac:dyDescent="0.25"/>
    <row r="280693" customFormat="1" x14ac:dyDescent="0.25"/>
    <row r="280694" customFormat="1" x14ac:dyDescent="0.25"/>
    <row r="280695" customFormat="1" x14ac:dyDescent="0.25"/>
    <row r="280696" customFormat="1" x14ac:dyDescent="0.25"/>
    <row r="280697" customFormat="1" x14ac:dyDescent="0.25"/>
    <row r="280698" customFormat="1" x14ac:dyDescent="0.25"/>
    <row r="280699" customFormat="1" x14ac:dyDescent="0.25"/>
    <row r="280700" customFormat="1" x14ac:dyDescent="0.25"/>
    <row r="280701" customFormat="1" x14ac:dyDescent="0.25"/>
    <row r="280702" customFormat="1" x14ac:dyDescent="0.25"/>
    <row r="280703" customFormat="1" x14ac:dyDescent="0.25"/>
    <row r="280704" customFormat="1" x14ac:dyDescent="0.25"/>
    <row r="280705" customFormat="1" x14ac:dyDescent="0.25"/>
    <row r="280706" customFormat="1" x14ac:dyDescent="0.25"/>
    <row r="280707" customFormat="1" x14ac:dyDescent="0.25"/>
    <row r="280708" customFormat="1" x14ac:dyDescent="0.25"/>
    <row r="280709" customFormat="1" x14ac:dyDescent="0.25"/>
    <row r="280710" customFormat="1" x14ac:dyDescent="0.25"/>
    <row r="280711" customFormat="1" x14ac:dyDescent="0.25"/>
    <row r="280712" customFormat="1" x14ac:dyDescent="0.25"/>
    <row r="280713" customFormat="1" x14ac:dyDescent="0.25"/>
    <row r="280714" customFormat="1" x14ac:dyDescent="0.25"/>
    <row r="280715" customFormat="1" x14ac:dyDescent="0.25"/>
    <row r="280716" customFormat="1" x14ac:dyDescent="0.25"/>
    <row r="280717" customFormat="1" x14ac:dyDescent="0.25"/>
    <row r="280718" customFormat="1" x14ac:dyDescent="0.25"/>
    <row r="280719" customFormat="1" x14ac:dyDescent="0.25"/>
    <row r="280720" customFormat="1" x14ac:dyDescent="0.25"/>
    <row r="280721" customFormat="1" x14ac:dyDescent="0.25"/>
    <row r="280722" customFormat="1" x14ac:dyDescent="0.25"/>
    <row r="280723" customFormat="1" x14ac:dyDescent="0.25"/>
    <row r="280724" customFormat="1" x14ac:dyDescent="0.25"/>
    <row r="280725" customFormat="1" x14ac:dyDescent="0.25"/>
    <row r="280726" customFormat="1" x14ac:dyDescent="0.25"/>
    <row r="280727" customFormat="1" x14ac:dyDescent="0.25"/>
    <row r="280728" customFormat="1" x14ac:dyDescent="0.25"/>
    <row r="280729" customFormat="1" x14ac:dyDescent="0.25"/>
    <row r="280730" customFormat="1" x14ac:dyDescent="0.25"/>
    <row r="280731" customFormat="1" x14ac:dyDescent="0.25"/>
    <row r="280732" customFormat="1" x14ac:dyDescent="0.25"/>
    <row r="280733" customFormat="1" x14ac:dyDescent="0.25"/>
    <row r="280734" customFormat="1" x14ac:dyDescent="0.25"/>
    <row r="280735" customFormat="1" x14ac:dyDescent="0.25"/>
    <row r="280736" customFormat="1" x14ac:dyDescent="0.25"/>
    <row r="280737" customFormat="1" x14ac:dyDescent="0.25"/>
    <row r="280738" customFormat="1" x14ac:dyDescent="0.25"/>
    <row r="280739" customFormat="1" x14ac:dyDescent="0.25"/>
    <row r="280740" customFormat="1" x14ac:dyDescent="0.25"/>
    <row r="280741" customFormat="1" x14ac:dyDescent="0.25"/>
    <row r="280742" customFormat="1" x14ac:dyDescent="0.25"/>
    <row r="280743" customFormat="1" x14ac:dyDescent="0.25"/>
    <row r="280744" customFormat="1" x14ac:dyDescent="0.25"/>
    <row r="280745" customFormat="1" x14ac:dyDescent="0.25"/>
    <row r="280746" customFormat="1" x14ac:dyDescent="0.25"/>
    <row r="280747" customFormat="1" x14ac:dyDescent="0.25"/>
    <row r="280748" customFormat="1" x14ac:dyDescent="0.25"/>
    <row r="280749" customFormat="1" x14ac:dyDescent="0.25"/>
    <row r="280750" customFormat="1" x14ac:dyDescent="0.25"/>
    <row r="280751" customFormat="1" x14ac:dyDescent="0.25"/>
    <row r="280752" customFormat="1" x14ac:dyDescent="0.25"/>
    <row r="280753" customFormat="1" x14ac:dyDescent="0.25"/>
    <row r="280754" customFormat="1" x14ac:dyDescent="0.25"/>
    <row r="280755" customFormat="1" x14ac:dyDescent="0.25"/>
    <row r="280756" customFormat="1" x14ac:dyDescent="0.25"/>
    <row r="280757" customFormat="1" x14ac:dyDescent="0.25"/>
    <row r="280758" customFormat="1" x14ac:dyDescent="0.25"/>
    <row r="280759" customFormat="1" x14ac:dyDescent="0.25"/>
    <row r="280760" customFormat="1" x14ac:dyDescent="0.25"/>
    <row r="280761" customFormat="1" x14ac:dyDescent="0.25"/>
    <row r="280762" customFormat="1" x14ac:dyDescent="0.25"/>
    <row r="280763" customFormat="1" x14ac:dyDescent="0.25"/>
    <row r="280764" customFormat="1" x14ac:dyDescent="0.25"/>
    <row r="280765" customFormat="1" x14ac:dyDescent="0.25"/>
    <row r="280766" customFormat="1" x14ac:dyDescent="0.25"/>
    <row r="280767" customFormat="1" x14ac:dyDescent="0.25"/>
    <row r="280768" customFormat="1" x14ac:dyDescent="0.25"/>
    <row r="280769" customFormat="1" x14ac:dyDescent="0.25"/>
    <row r="280770" customFormat="1" x14ac:dyDescent="0.25"/>
    <row r="280771" customFormat="1" x14ac:dyDescent="0.25"/>
    <row r="280772" customFormat="1" x14ac:dyDescent="0.25"/>
    <row r="280773" customFormat="1" x14ac:dyDescent="0.25"/>
    <row r="280774" customFormat="1" x14ac:dyDescent="0.25"/>
    <row r="280775" customFormat="1" x14ac:dyDescent="0.25"/>
    <row r="280776" customFormat="1" x14ac:dyDescent="0.25"/>
    <row r="280777" customFormat="1" x14ac:dyDescent="0.25"/>
    <row r="280778" customFormat="1" x14ac:dyDescent="0.25"/>
    <row r="280779" customFormat="1" x14ac:dyDescent="0.25"/>
    <row r="280780" customFormat="1" x14ac:dyDescent="0.25"/>
    <row r="280781" customFormat="1" x14ac:dyDescent="0.25"/>
    <row r="280782" customFormat="1" x14ac:dyDescent="0.25"/>
    <row r="280783" customFormat="1" x14ac:dyDescent="0.25"/>
    <row r="280784" customFormat="1" x14ac:dyDescent="0.25"/>
    <row r="280785" customFormat="1" x14ac:dyDescent="0.25"/>
    <row r="280786" customFormat="1" x14ac:dyDescent="0.25"/>
    <row r="280787" customFormat="1" x14ac:dyDescent="0.25"/>
    <row r="280788" customFormat="1" x14ac:dyDescent="0.25"/>
    <row r="280789" customFormat="1" x14ac:dyDescent="0.25"/>
    <row r="280790" customFormat="1" x14ac:dyDescent="0.25"/>
    <row r="280791" customFormat="1" x14ac:dyDescent="0.25"/>
    <row r="280792" customFormat="1" x14ac:dyDescent="0.25"/>
    <row r="280793" customFormat="1" x14ac:dyDescent="0.25"/>
    <row r="280794" customFormat="1" x14ac:dyDescent="0.25"/>
    <row r="280795" customFormat="1" x14ac:dyDescent="0.25"/>
    <row r="280796" customFormat="1" x14ac:dyDescent="0.25"/>
    <row r="280797" customFormat="1" x14ac:dyDescent="0.25"/>
    <row r="280798" customFormat="1" x14ac:dyDescent="0.25"/>
    <row r="280799" customFormat="1" x14ac:dyDescent="0.25"/>
    <row r="280800" customFormat="1" x14ac:dyDescent="0.25"/>
    <row r="280801" customFormat="1" x14ac:dyDescent="0.25"/>
    <row r="280802" customFormat="1" x14ac:dyDescent="0.25"/>
    <row r="280803" customFormat="1" x14ac:dyDescent="0.25"/>
    <row r="280804" customFormat="1" x14ac:dyDescent="0.25"/>
    <row r="280805" customFormat="1" x14ac:dyDescent="0.25"/>
    <row r="280806" customFormat="1" x14ac:dyDescent="0.25"/>
    <row r="280807" customFormat="1" x14ac:dyDescent="0.25"/>
    <row r="280808" customFormat="1" x14ac:dyDescent="0.25"/>
    <row r="280809" customFormat="1" x14ac:dyDescent="0.25"/>
    <row r="280810" customFormat="1" x14ac:dyDescent="0.25"/>
    <row r="280811" customFormat="1" x14ac:dyDescent="0.25"/>
    <row r="280812" customFormat="1" x14ac:dyDescent="0.25"/>
    <row r="280813" customFormat="1" x14ac:dyDescent="0.25"/>
    <row r="280814" customFormat="1" x14ac:dyDescent="0.25"/>
    <row r="280815" customFormat="1" x14ac:dyDescent="0.25"/>
    <row r="280816" customFormat="1" x14ac:dyDescent="0.25"/>
    <row r="280817" customFormat="1" x14ac:dyDescent="0.25"/>
    <row r="280818" customFormat="1" x14ac:dyDescent="0.25"/>
    <row r="280819" customFormat="1" x14ac:dyDescent="0.25"/>
    <row r="280820" customFormat="1" x14ac:dyDescent="0.25"/>
    <row r="280821" customFormat="1" x14ac:dyDescent="0.25"/>
    <row r="280822" customFormat="1" x14ac:dyDescent="0.25"/>
    <row r="280823" customFormat="1" x14ac:dyDescent="0.25"/>
    <row r="280824" customFormat="1" x14ac:dyDescent="0.25"/>
    <row r="280825" customFormat="1" x14ac:dyDescent="0.25"/>
    <row r="280826" customFormat="1" x14ac:dyDescent="0.25"/>
    <row r="280827" customFormat="1" x14ac:dyDescent="0.25"/>
    <row r="280828" customFormat="1" x14ac:dyDescent="0.25"/>
    <row r="280829" customFormat="1" x14ac:dyDescent="0.25"/>
    <row r="280830" customFormat="1" x14ac:dyDescent="0.25"/>
    <row r="280831" customFormat="1" x14ac:dyDescent="0.25"/>
    <row r="280832" customFormat="1" x14ac:dyDescent="0.25"/>
    <row r="280833" customFormat="1" x14ac:dyDescent="0.25"/>
    <row r="280834" customFormat="1" x14ac:dyDescent="0.25"/>
    <row r="280835" customFormat="1" x14ac:dyDescent="0.25"/>
    <row r="280836" customFormat="1" x14ac:dyDescent="0.25"/>
    <row r="280837" customFormat="1" x14ac:dyDescent="0.25"/>
    <row r="280838" customFormat="1" x14ac:dyDescent="0.25"/>
    <row r="280839" customFormat="1" x14ac:dyDescent="0.25"/>
    <row r="280840" customFormat="1" x14ac:dyDescent="0.25"/>
    <row r="280841" customFormat="1" x14ac:dyDescent="0.25"/>
    <row r="280842" customFormat="1" x14ac:dyDescent="0.25"/>
    <row r="280843" customFormat="1" x14ac:dyDescent="0.25"/>
    <row r="280844" customFormat="1" x14ac:dyDescent="0.25"/>
    <row r="280845" customFormat="1" x14ac:dyDescent="0.25"/>
    <row r="280846" customFormat="1" x14ac:dyDescent="0.25"/>
    <row r="280847" customFormat="1" x14ac:dyDescent="0.25"/>
    <row r="280848" customFormat="1" x14ac:dyDescent="0.25"/>
    <row r="280849" customFormat="1" x14ac:dyDescent="0.25"/>
    <row r="280850" customFormat="1" x14ac:dyDescent="0.25"/>
    <row r="280851" customFormat="1" x14ac:dyDescent="0.25"/>
    <row r="280852" customFormat="1" x14ac:dyDescent="0.25"/>
    <row r="280853" customFormat="1" x14ac:dyDescent="0.25"/>
    <row r="280854" customFormat="1" x14ac:dyDescent="0.25"/>
    <row r="280855" customFormat="1" x14ac:dyDescent="0.25"/>
    <row r="280856" customFormat="1" x14ac:dyDescent="0.25"/>
    <row r="280857" customFormat="1" x14ac:dyDescent="0.25"/>
    <row r="280858" customFormat="1" x14ac:dyDescent="0.25"/>
    <row r="280859" customFormat="1" x14ac:dyDescent="0.25"/>
    <row r="280860" customFormat="1" x14ac:dyDescent="0.25"/>
    <row r="280861" customFormat="1" x14ac:dyDescent="0.25"/>
    <row r="280862" customFormat="1" x14ac:dyDescent="0.25"/>
    <row r="280863" customFormat="1" x14ac:dyDescent="0.25"/>
    <row r="280864" customFormat="1" x14ac:dyDescent="0.25"/>
    <row r="280865" customFormat="1" x14ac:dyDescent="0.25"/>
    <row r="280866" customFormat="1" x14ac:dyDescent="0.25"/>
    <row r="280867" customFormat="1" x14ac:dyDescent="0.25"/>
    <row r="280868" customFormat="1" x14ac:dyDescent="0.25"/>
    <row r="280869" customFormat="1" x14ac:dyDescent="0.25"/>
    <row r="280870" customFormat="1" x14ac:dyDescent="0.25"/>
    <row r="280871" customFormat="1" x14ac:dyDescent="0.25"/>
    <row r="280872" customFormat="1" x14ac:dyDescent="0.25"/>
    <row r="280873" customFormat="1" x14ac:dyDescent="0.25"/>
    <row r="280874" customFormat="1" x14ac:dyDescent="0.25"/>
    <row r="280875" customFormat="1" x14ac:dyDescent="0.25"/>
    <row r="280876" customFormat="1" x14ac:dyDescent="0.25"/>
    <row r="280877" customFormat="1" x14ac:dyDescent="0.25"/>
    <row r="280878" customFormat="1" x14ac:dyDescent="0.25"/>
    <row r="280879" customFormat="1" x14ac:dyDescent="0.25"/>
    <row r="280880" customFormat="1" x14ac:dyDescent="0.25"/>
    <row r="280881" customFormat="1" x14ac:dyDescent="0.25"/>
    <row r="280882" customFormat="1" x14ac:dyDescent="0.25"/>
    <row r="280883" customFormat="1" x14ac:dyDescent="0.25"/>
    <row r="280884" customFormat="1" x14ac:dyDescent="0.25"/>
    <row r="280885" customFormat="1" x14ac:dyDescent="0.25"/>
    <row r="280886" customFormat="1" x14ac:dyDescent="0.25"/>
    <row r="280887" customFormat="1" x14ac:dyDescent="0.25"/>
    <row r="280888" customFormat="1" x14ac:dyDescent="0.25"/>
    <row r="280889" customFormat="1" x14ac:dyDescent="0.25"/>
    <row r="280890" customFormat="1" x14ac:dyDescent="0.25"/>
    <row r="280891" customFormat="1" x14ac:dyDescent="0.25"/>
    <row r="280892" customFormat="1" x14ac:dyDescent="0.25"/>
    <row r="280893" customFormat="1" x14ac:dyDescent="0.25"/>
    <row r="280894" customFormat="1" x14ac:dyDescent="0.25"/>
    <row r="280895" customFormat="1" x14ac:dyDescent="0.25"/>
    <row r="280896" customFormat="1" x14ac:dyDescent="0.25"/>
    <row r="280897" customFormat="1" x14ac:dyDescent="0.25"/>
    <row r="280898" customFormat="1" x14ac:dyDescent="0.25"/>
    <row r="280899" customFormat="1" x14ac:dyDescent="0.25"/>
    <row r="280900" customFormat="1" x14ac:dyDescent="0.25"/>
    <row r="280901" customFormat="1" x14ac:dyDescent="0.25"/>
    <row r="280902" customFormat="1" x14ac:dyDescent="0.25"/>
    <row r="280903" customFormat="1" x14ac:dyDescent="0.25"/>
    <row r="280904" customFormat="1" x14ac:dyDescent="0.25"/>
    <row r="280905" customFormat="1" x14ac:dyDescent="0.25"/>
    <row r="280906" customFormat="1" x14ac:dyDescent="0.25"/>
    <row r="280907" customFormat="1" x14ac:dyDescent="0.25"/>
    <row r="280908" customFormat="1" x14ac:dyDescent="0.25"/>
    <row r="280909" customFormat="1" x14ac:dyDescent="0.25"/>
    <row r="280910" customFormat="1" x14ac:dyDescent="0.25"/>
    <row r="280911" customFormat="1" x14ac:dyDescent="0.25"/>
    <row r="280912" customFormat="1" x14ac:dyDescent="0.25"/>
    <row r="280913" customFormat="1" x14ac:dyDescent="0.25"/>
    <row r="280914" customFormat="1" x14ac:dyDescent="0.25"/>
    <row r="280915" customFormat="1" x14ac:dyDescent="0.25"/>
    <row r="280916" customFormat="1" x14ac:dyDescent="0.25"/>
    <row r="280917" customFormat="1" x14ac:dyDescent="0.25"/>
    <row r="280918" customFormat="1" x14ac:dyDescent="0.25"/>
    <row r="280919" customFormat="1" x14ac:dyDescent="0.25"/>
    <row r="280920" customFormat="1" x14ac:dyDescent="0.25"/>
    <row r="280921" customFormat="1" x14ac:dyDescent="0.25"/>
    <row r="280922" customFormat="1" x14ac:dyDescent="0.25"/>
    <row r="280923" customFormat="1" x14ac:dyDescent="0.25"/>
    <row r="280924" customFormat="1" x14ac:dyDescent="0.25"/>
    <row r="280925" customFormat="1" x14ac:dyDescent="0.25"/>
    <row r="280926" customFormat="1" x14ac:dyDescent="0.25"/>
    <row r="280927" customFormat="1" x14ac:dyDescent="0.25"/>
    <row r="280928" customFormat="1" x14ac:dyDescent="0.25"/>
    <row r="280929" customFormat="1" x14ac:dyDescent="0.25"/>
    <row r="280930" customFormat="1" x14ac:dyDescent="0.25"/>
    <row r="280931" customFormat="1" x14ac:dyDescent="0.25"/>
    <row r="280932" customFormat="1" x14ac:dyDescent="0.25"/>
    <row r="280933" customFormat="1" x14ac:dyDescent="0.25"/>
    <row r="280934" customFormat="1" x14ac:dyDescent="0.25"/>
    <row r="280935" customFormat="1" x14ac:dyDescent="0.25"/>
    <row r="280936" customFormat="1" x14ac:dyDescent="0.25"/>
    <row r="280937" customFormat="1" x14ac:dyDescent="0.25"/>
    <row r="280938" customFormat="1" x14ac:dyDescent="0.25"/>
    <row r="280939" customFormat="1" x14ac:dyDescent="0.25"/>
    <row r="280940" customFormat="1" x14ac:dyDescent="0.25"/>
    <row r="280941" customFormat="1" x14ac:dyDescent="0.25"/>
    <row r="280942" customFormat="1" x14ac:dyDescent="0.25"/>
    <row r="280943" customFormat="1" x14ac:dyDescent="0.25"/>
    <row r="280944" customFormat="1" x14ac:dyDescent="0.25"/>
    <row r="280945" customFormat="1" x14ac:dyDescent="0.25"/>
    <row r="280946" customFormat="1" x14ac:dyDescent="0.25"/>
    <row r="280947" customFormat="1" x14ac:dyDescent="0.25"/>
    <row r="280948" customFormat="1" x14ac:dyDescent="0.25"/>
    <row r="280949" customFormat="1" x14ac:dyDescent="0.25"/>
    <row r="280950" customFormat="1" x14ac:dyDescent="0.25"/>
    <row r="280951" customFormat="1" x14ac:dyDescent="0.25"/>
    <row r="280952" customFormat="1" x14ac:dyDescent="0.25"/>
    <row r="280953" customFormat="1" x14ac:dyDescent="0.25"/>
    <row r="280954" customFormat="1" x14ac:dyDescent="0.25"/>
    <row r="280955" customFormat="1" x14ac:dyDescent="0.25"/>
    <row r="280956" customFormat="1" x14ac:dyDescent="0.25"/>
    <row r="280957" customFormat="1" x14ac:dyDescent="0.25"/>
    <row r="280958" customFormat="1" x14ac:dyDescent="0.25"/>
    <row r="280959" customFormat="1" x14ac:dyDescent="0.25"/>
    <row r="280960" customFormat="1" x14ac:dyDescent="0.25"/>
    <row r="280961" customFormat="1" x14ac:dyDescent="0.25"/>
    <row r="280962" customFormat="1" x14ac:dyDescent="0.25"/>
    <row r="280963" customFormat="1" x14ac:dyDescent="0.25"/>
    <row r="280964" customFormat="1" x14ac:dyDescent="0.25"/>
    <row r="280965" customFormat="1" x14ac:dyDescent="0.25"/>
    <row r="280966" customFormat="1" x14ac:dyDescent="0.25"/>
    <row r="280967" customFormat="1" x14ac:dyDescent="0.25"/>
    <row r="280968" customFormat="1" x14ac:dyDescent="0.25"/>
    <row r="280969" customFormat="1" x14ac:dyDescent="0.25"/>
    <row r="280970" customFormat="1" x14ac:dyDescent="0.25"/>
    <row r="280971" customFormat="1" x14ac:dyDescent="0.25"/>
    <row r="280972" customFormat="1" x14ac:dyDescent="0.25"/>
    <row r="280973" customFormat="1" x14ac:dyDescent="0.25"/>
    <row r="280974" customFormat="1" x14ac:dyDescent="0.25"/>
    <row r="280975" customFormat="1" x14ac:dyDescent="0.25"/>
    <row r="280976" customFormat="1" x14ac:dyDescent="0.25"/>
    <row r="280977" customFormat="1" x14ac:dyDescent="0.25"/>
    <row r="280978" customFormat="1" x14ac:dyDescent="0.25"/>
    <row r="280979" customFormat="1" x14ac:dyDescent="0.25"/>
    <row r="280980" customFormat="1" x14ac:dyDescent="0.25"/>
    <row r="280981" customFormat="1" x14ac:dyDescent="0.25"/>
    <row r="280982" customFormat="1" x14ac:dyDescent="0.25"/>
    <row r="280983" customFormat="1" x14ac:dyDescent="0.25"/>
    <row r="280984" customFormat="1" x14ac:dyDescent="0.25"/>
    <row r="280985" customFormat="1" x14ac:dyDescent="0.25"/>
    <row r="280986" customFormat="1" x14ac:dyDescent="0.25"/>
    <row r="280987" customFormat="1" x14ac:dyDescent="0.25"/>
    <row r="280988" customFormat="1" x14ac:dyDescent="0.25"/>
    <row r="280989" customFormat="1" x14ac:dyDescent="0.25"/>
    <row r="280990" customFormat="1" x14ac:dyDescent="0.25"/>
    <row r="280991" customFormat="1" x14ac:dyDescent="0.25"/>
    <row r="280992" customFormat="1" x14ac:dyDescent="0.25"/>
    <row r="280993" customFormat="1" x14ac:dyDescent="0.25"/>
    <row r="280994" customFormat="1" x14ac:dyDescent="0.25"/>
    <row r="280995" customFormat="1" x14ac:dyDescent="0.25"/>
    <row r="280996" customFormat="1" x14ac:dyDescent="0.25"/>
    <row r="280997" customFormat="1" x14ac:dyDescent="0.25"/>
    <row r="280998" customFormat="1" x14ac:dyDescent="0.25"/>
    <row r="280999" customFormat="1" x14ac:dyDescent="0.25"/>
    <row r="281000" customFormat="1" x14ac:dyDescent="0.25"/>
    <row r="281001" customFormat="1" x14ac:dyDescent="0.25"/>
    <row r="281002" customFormat="1" x14ac:dyDescent="0.25"/>
    <row r="281003" customFormat="1" x14ac:dyDescent="0.25"/>
    <row r="281004" customFormat="1" x14ac:dyDescent="0.25"/>
    <row r="281005" customFormat="1" x14ac:dyDescent="0.25"/>
    <row r="281006" customFormat="1" x14ac:dyDescent="0.25"/>
    <row r="281007" customFormat="1" x14ac:dyDescent="0.25"/>
    <row r="281008" customFormat="1" x14ac:dyDescent="0.25"/>
    <row r="281009" customFormat="1" x14ac:dyDescent="0.25"/>
    <row r="281010" customFormat="1" x14ac:dyDescent="0.25"/>
    <row r="281011" customFormat="1" x14ac:dyDescent="0.25"/>
    <row r="281012" customFormat="1" x14ac:dyDescent="0.25"/>
    <row r="281013" customFormat="1" x14ac:dyDescent="0.25"/>
    <row r="281014" customFormat="1" x14ac:dyDescent="0.25"/>
    <row r="281015" customFormat="1" x14ac:dyDescent="0.25"/>
    <row r="281016" customFormat="1" x14ac:dyDescent="0.25"/>
    <row r="281017" customFormat="1" x14ac:dyDescent="0.25"/>
    <row r="281018" customFormat="1" x14ac:dyDescent="0.25"/>
    <row r="281019" customFormat="1" x14ac:dyDescent="0.25"/>
    <row r="281020" customFormat="1" x14ac:dyDescent="0.25"/>
    <row r="281021" customFormat="1" x14ac:dyDescent="0.25"/>
    <row r="281022" customFormat="1" x14ac:dyDescent="0.25"/>
    <row r="281023" customFormat="1" x14ac:dyDescent="0.25"/>
    <row r="281024" customFormat="1" x14ac:dyDescent="0.25"/>
    <row r="281025" customFormat="1" x14ac:dyDescent="0.25"/>
    <row r="281026" customFormat="1" x14ac:dyDescent="0.25"/>
    <row r="281027" customFormat="1" x14ac:dyDescent="0.25"/>
    <row r="281028" customFormat="1" x14ac:dyDescent="0.25"/>
    <row r="281029" customFormat="1" x14ac:dyDescent="0.25"/>
    <row r="281030" customFormat="1" x14ac:dyDescent="0.25"/>
    <row r="281031" customFormat="1" x14ac:dyDescent="0.25"/>
    <row r="281032" customFormat="1" x14ac:dyDescent="0.25"/>
    <row r="281033" customFormat="1" x14ac:dyDescent="0.25"/>
    <row r="281034" customFormat="1" x14ac:dyDescent="0.25"/>
    <row r="281035" customFormat="1" x14ac:dyDescent="0.25"/>
    <row r="281036" customFormat="1" x14ac:dyDescent="0.25"/>
    <row r="281037" customFormat="1" x14ac:dyDescent="0.25"/>
    <row r="281038" customFormat="1" x14ac:dyDescent="0.25"/>
    <row r="281039" customFormat="1" x14ac:dyDescent="0.25"/>
    <row r="281040" customFormat="1" x14ac:dyDescent="0.25"/>
    <row r="281041" customFormat="1" x14ac:dyDescent="0.25"/>
    <row r="281042" customFormat="1" x14ac:dyDescent="0.25"/>
    <row r="281043" customFormat="1" x14ac:dyDescent="0.25"/>
    <row r="281044" customFormat="1" x14ac:dyDescent="0.25"/>
    <row r="281045" customFormat="1" x14ac:dyDescent="0.25"/>
    <row r="281046" customFormat="1" x14ac:dyDescent="0.25"/>
    <row r="281047" customFormat="1" x14ac:dyDescent="0.25"/>
    <row r="281048" customFormat="1" x14ac:dyDescent="0.25"/>
    <row r="281049" customFormat="1" x14ac:dyDescent="0.25"/>
    <row r="281050" customFormat="1" x14ac:dyDescent="0.25"/>
    <row r="281051" customFormat="1" x14ac:dyDescent="0.25"/>
    <row r="281052" customFormat="1" x14ac:dyDescent="0.25"/>
    <row r="281053" customFormat="1" x14ac:dyDescent="0.25"/>
    <row r="281054" customFormat="1" x14ac:dyDescent="0.25"/>
    <row r="281055" customFormat="1" x14ac:dyDescent="0.25"/>
    <row r="281056" customFormat="1" x14ac:dyDescent="0.25"/>
    <row r="281057" customFormat="1" x14ac:dyDescent="0.25"/>
    <row r="281058" customFormat="1" x14ac:dyDescent="0.25"/>
    <row r="281059" customFormat="1" x14ac:dyDescent="0.25"/>
    <row r="281060" customFormat="1" x14ac:dyDescent="0.25"/>
    <row r="281061" customFormat="1" x14ac:dyDescent="0.25"/>
    <row r="281062" customFormat="1" x14ac:dyDescent="0.25"/>
    <row r="281063" customFormat="1" x14ac:dyDescent="0.25"/>
    <row r="281064" customFormat="1" x14ac:dyDescent="0.25"/>
    <row r="281065" customFormat="1" x14ac:dyDescent="0.25"/>
    <row r="281066" customFormat="1" x14ac:dyDescent="0.25"/>
    <row r="281067" customFormat="1" x14ac:dyDescent="0.25"/>
    <row r="281068" customFormat="1" x14ac:dyDescent="0.25"/>
    <row r="281069" customFormat="1" x14ac:dyDescent="0.25"/>
    <row r="281070" customFormat="1" x14ac:dyDescent="0.25"/>
    <row r="281071" customFormat="1" x14ac:dyDescent="0.25"/>
    <row r="281072" customFormat="1" x14ac:dyDescent="0.25"/>
    <row r="281073" customFormat="1" x14ac:dyDescent="0.25"/>
    <row r="281074" customFormat="1" x14ac:dyDescent="0.25"/>
    <row r="281075" customFormat="1" x14ac:dyDescent="0.25"/>
    <row r="281076" customFormat="1" x14ac:dyDescent="0.25"/>
    <row r="281077" customFormat="1" x14ac:dyDescent="0.25"/>
    <row r="281078" customFormat="1" x14ac:dyDescent="0.25"/>
    <row r="281079" customFormat="1" x14ac:dyDescent="0.25"/>
    <row r="281080" customFormat="1" x14ac:dyDescent="0.25"/>
    <row r="281081" customFormat="1" x14ac:dyDescent="0.25"/>
    <row r="281082" customFormat="1" x14ac:dyDescent="0.25"/>
    <row r="281083" customFormat="1" x14ac:dyDescent="0.25"/>
    <row r="281084" customFormat="1" x14ac:dyDescent="0.25"/>
    <row r="281085" customFormat="1" x14ac:dyDescent="0.25"/>
    <row r="281086" customFormat="1" x14ac:dyDescent="0.25"/>
    <row r="281087" customFormat="1" x14ac:dyDescent="0.25"/>
    <row r="281088" customFormat="1" x14ac:dyDescent="0.25"/>
    <row r="281089" customFormat="1" x14ac:dyDescent="0.25"/>
    <row r="281090" customFormat="1" x14ac:dyDescent="0.25"/>
    <row r="281091" customFormat="1" x14ac:dyDescent="0.25"/>
    <row r="281092" customFormat="1" x14ac:dyDescent="0.25"/>
    <row r="281093" customFormat="1" x14ac:dyDescent="0.25"/>
    <row r="281094" customFormat="1" x14ac:dyDescent="0.25"/>
    <row r="281095" customFormat="1" x14ac:dyDescent="0.25"/>
    <row r="281096" customFormat="1" x14ac:dyDescent="0.25"/>
    <row r="281097" customFormat="1" x14ac:dyDescent="0.25"/>
    <row r="281098" customFormat="1" x14ac:dyDescent="0.25"/>
    <row r="281099" customFormat="1" x14ac:dyDescent="0.25"/>
    <row r="281100" customFormat="1" x14ac:dyDescent="0.25"/>
    <row r="281101" customFormat="1" x14ac:dyDescent="0.25"/>
    <row r="281102" customFormat="1" x14ac:dyDescent="0.25"/>
    <row r="281103" customFormat="1" x14ac:dyDescent="0.25"/>
    <row r="281104" customFormat="1" x14ac:dyDescent="0.25"/>
    <row r="281105" customFormat="1" x14ac:dyDescent="0.25"/>
    <row r="281106" customFormat="1" x14ac:dyDescent="0.25"/>
    <row r="281107" customFormat="1" x14ac:dyDescent="0.25"/>
    <row r="281108" customFormat="1" x14ac:dyDescent="0.25"/>
    <row r="281109" customFormat="1" x14ac:dyDescent="0.25"/>
    <row r="281110" customFormat="1" x14ac:dyDescent="0.25"/>
    <row r="281111" customFormat="1" x14ac:dyDescent="0.25"/>
    <row r="281112" customFormat="1" x14ac:dyDescent="0.25"/>
    <row r="281113" customFormat="1" x14ac:dyDescent="0.25"/>
    <row r="281114" customFormat="1" x14ac:dyDescent="0.25"/>
    <row r="281115" customFormat="1" x14ac:dyDescent="0.25"/>
    <row r="281116" customFormat="1" x14ac:dyDescent="0.25"/>
    <row r="281117" customFormat="1" x14ac:dyDescent="0.25"/>
    <row r="281118" customFormat="1" x14ac:dyDescent="0.25"/>
    <row r="281119" customFormat="1" x14ac:dyDescent="0.25"/>
    <row r="281120" customFormat="1" x14ac:dyDescent="0.25"/>
    <row r="281121" customFormat="1" x14ac:dyDescent="0.25"/>
    <row r="281122" customFormat="1" x14ac:dyDescent="0.25"/>
    <row r="281123" customFormat="1" x14ac:dyDescent="0.25"/>
    <row r="281124" customFormat="1" x14ac:dyDescent="0.25"/>
    <row r="281125" customFormat="1" x14ac:dyDescent="0.25"/>
    <row r="281126" customFormat="1" x14ac:dyDescent="0.25"/>
    <row r="281127" customFormat="1" x14ac:dyDescent="0.25"/>
    <row r="281128" customFormat="1" x14ac:dyDescent="0.25"/>
    <row r="281129" customFormat="1" x14ac:dyDescent="0.25"/>
    <row r="281130" customFormat="1" x14ac:dyDescent="0.25"/>
    <row r="281131" customFormat="1" x14ac:dyDescent="0.25"/>
    <row r="281132" customFormat="1" x14ac:dyDescent="0.25"/>
    <row r="281133" customFormat="1" x14ac:dyDescent="0.25"/>
    <row r="281134" customFormat="1" x14ac:dyDescent="0.25"/>
    <row r="281135" customFormat="1" x14ac:dyDescent="0.25"/>
    <row r="281136" customFormat="1" x14ac:dyDescent="0.25"/>
    <row r="281137" customFormat="1" x14ac:dyDescent="0.25"/>
    <row r="281138" customFormat="1" x14ac:dyDescent="0.25"/>
    <row r="281139" customFormat="1" x14ac:dyDescent="0.25"/>
    <row r="281140" customFormat="1" x14ac:dyDescent="0.25"/>
    <row r="281141" customFormat="1" x14ac:dyDescent="0.25"/>
    <row r="281142" customFormat="1" x14ac:dyDescent="0.25"/>
    <row r="281143" customFormat="1" x14ac:dyDescent="0.25"/>
    <row r="281144" customFormat="1" x14ac:dyDescent="0.25"/>
    <row r="281145" customFormat="1" x14ac:dyDescent="0.25"/>
    <row r="281146" customFormat="1" x14ac:dyDescent="0.25"/>
    <row r="281147" customFormat="1" x14ac:dyDescent="0.25"/>
    <row r="281148" customFormat="1" x14ac:dyDescent="0.25"/>
    <row r="281149" customFormat="1" x14ac:dyDescent="0.25"/>
    <row r="281150" customFormat="1" x14ac:dyDescent="0.25"/>
    <row r="281151" customFormat="1" x14ac:dyDescent="0.25"/>
    <row r="281152" customFormat="1" x14ac:dyDescent="0.25"/>
    <row r="281153" customFormat="1" x14ac:dyDescent="0.25"/>
    <row r="281154" customFormat="1" x14ac:dyDescent="0.25"/>
    <row r="281155" customFormat="1" x14ac:dyDescent="0.25"/>
    <row r="281156" customFormat="1" x14ac:dyDescent="0.25"/>
    <row r="281157" customFormat="1" x14ac:dyDescent="0.25"/>
    <row r="281158" customFormat="1" x14ac:dyDescent="0.25"/>
    <row r="281159" customFormat="1" x14ac:dyDescent="0.25"/>
    <row r="281160" customFormat="1" x14ac:dyDescent="0.25"/>
    <row r="281161" customFormat="1" x14ac:dyDescent="0.25"/>
    <row r="281162" customFormat="1" x14ac:dyDescent="0.25"/>
    <row r="281163" customFormat="1" x14ac:dyDescent="0.25"/>
    <row r="281164" customFormat="1" x14ac:dyDescent="0.25"/>
    <row r="281165" customFormat="1" x14ac:dyDescent="0.25"/>
    <row r="281166" customFormat="1" x14ac:dyDescent="0.25"/>
    <row r="281167" customFormat="1" x14ac:dyDescent="0.25"/>
    <row r="281168" customFormat="1" x14ac:dyDescent="0.25"/>
    <row r="281169" customFormat="1" x14ac:dyDescent="0.25"/>
    <row r="281170" customFormat="1" x14ac:dyDescent="0.25"/>
    <row r="281171" customFormat="1" x14ac:dyDescent="0.25"/>
    <row r="281172" customFormat="1" x14ac:dyDescent="0.25"/>
    <row r="281173" customFormat="1" x14ac:dyDescent="0.25"/>
    <row r="281174" customFormat="1" x14ac:dyDescent="0.25"/>
    <row r="281175" customFormat="1" x14ac:dyDescent="0.25"/>
    <row r="281176" customFormat="1" x14ac:dyDescent="0.25"/>
    <row r="281177" customFormat="1" x14ac:dyDescent="0.25"/>
    <row r="281178" customFormat="1" x14ac:dyDescent="0.25"/>
    <row r="281179" customFormat="1" x14ac:dyDescent="0.25"/>
    <row r="281180" customFormat="1" x14ac:dyDescent="0.25"/>
    <row r="281181" customFormat="1" x14ac:dyDescent="0.25"/>
    <row r="281182" customFormat="1" x14ac:dyDescent="0.25"/>
    <row r="281183" customFormat="1" x14ac:dyDescent="0.25"/>
    <row r="281184" customFormat="1" x14ac:dyDescent="0.25"/>
    <row r="281185" customFormat="1" x14ac:dyDescent="0.25"/>
    <row r="281186" customFormat="1" x14ac:dyDescent="0.25"/>
    <row r="281187" customFormat="1" x14ac:dyDescent="0.25"/>
    <row r="281188" customFormat="1" x14ac:dyDescent="0.25"/>
    <row r="281189" customFormat="1" x14ac:dyDescent="0.25"/>
    <row r="281190" customFormat="1" x14ac:dyDescent="0.25"/>
    <row r="281191" customFormat="1" x14ac:dyDescent="0.25"/>
    <row r="281192" customFormat="1" x14ac:dyDescent="0.25"/>
    <row r="281193" customFormat="1" x14ac:dyDescent="0.25"/>
    <row r="281194" customFormat="1" x14ac:dyDescent="0.25"/>
    <row r="281195" customFormat="1" x14ac:dyDescent="0.25"/>
    <row r="281196" customFormat="1" x14ac:dyDescent="0.25"/>
    <row r="281197" customFormat="1" x14ac:dyDescent="0.25"/>
    <row r="281198" customFormat="1" x14ac:dyDescent="0.25"/>
    <row r="281199" customFormat="1" x14ac:dyDescent="0.25"/>
    <row r="281200" customFormat="1" x14ac:dyDescent="0.25"/>
    <row r="281201" customFormat="1" x14ac:dyDescent="0.25"/>
    <row r="281202" customFormat="1" x14ac:dyDescent="0.25"/>
    <row r="281203" customFormat="1" x14ac:dyDescent="0.25"/>
    <row r="281204" customFormat="1" x14ac:dyDescent="0.25"/>
    <row r="281205" customFormat="1" x14ac:dyDescent="0.25"/>
    <row r="281206" customFormat="1" x14ac:dyDescent="0.25"/>
    <row r="281207" customFormat="1" x14ac:dyDescent="0.25"/>
    <row r="281208" customFormat="1" x14ac:dyDescent="0.25"/>
    <row r="281209" customFormat="1" x14ac:dyDescent="0.25"/>
    <row r="281210" customFormat="1" x14ac:dyDescent="0.25"/>
    <row r="281211" customFormat="1" x14ac:dyDescent="0.25"/>
    <row r="281212" customFormat="1" x14ac:dyDescent="0.25"/>
    <row r="281213" customFormat="1" x14ac:dyDescent="0.25"/>
    <row r="281214" customFormat="1" x14ac:dyDescent="0.25"/>
    <row r="281215" customFormat="1" x14ac:dyDescent="0.25"/>
    <row r="281216" customFormat="1" x14ac:dyDescent="0.25"/>
    <row r="281217" customFormat="1" x14ac:dyDescent="0.25"/>
    <row r="281218" customFormat="1" x14ac:dyDescent="0.25"/>
    <row r="281219" customFormat="1" x14ac:dyDescent="0.25"/>
    <row r="281220" customFormat="1" x14ac:dyDescent="0.25"/>
    <row r="281221" customFormat="1" x14ac:dyDescent="0.25"/>
    <row r="281222" customFormat="1" x14ac:dyDescent="0.25"/>
    <row r="281223" customFormat="1" x14ac:dyDescent="0.25"/>
    <row r="281224" customFormat="1" x14ac:dyDescent="0.25"/>
    <row r="281225" customFormat="1" x14ac:dyDescent="0.25"/>
    <row r="281226" customFormat="1" x14ac:dyDescent="0.25"/>
    <row r="281227" customFormat="1" x14ac:dyDescent="0.25"/>
    <row r="281228" customFormat="1" x14ac:dyDescent="0.25"/>
    <row r="281229" customFormat="1" x14ac:dyDescent="0.25"/>
    <row r="281230" customFormat="1" x14ac:dyDescent="0.25"/>
    <row r="281231" customFormat="1" x14ac:dyDescent="0.25"/>
    <row r="281232" customFormat="1" x14ac:dyDescent="0.25"/>
    <row r="281233" customFormat="1" x14ac:dyDescent="0.25"/>
    <row r="281234" customFormat="1" x14ac:dyDescent="0.25"/>
    <row r="281235" customFormat="1" x14ac:dyDescent="0.25"/>
    <row r="281236" customFormat="1" x14ac:dyDescent="0.25"/>
    <row r="281237" customFormat="1" x14ac:dyDescent="0.25"/>
    <row r="281238" customFormat="1" x14ac:dyDescent="0.25"/>
    <row r="281239" customFormat="1" x14ac:dyDescent="0.25"/>
    <row r="281240" customFormat="1" x14ac:dyDescent="0.25"/>
    <row r="281241" customFormat="1" x14ac:dyDescent="0.25"/>
    <row r="281242" customFormat="1" x14ac:dyDescent="0.25"/>
    <row r="281243" customFormat="1" x14ac:dyDescent="0.25"/>
    <row r="281244" customFormat="1" x14ac:dyDescent="0.25"/>
    <row r="281245" customFormat="1" x14ac:dyDescent="0.25"/>
    <row r="281246" customFormat="1" x14ac:dyDescent="0.25"/>
    <row r="281247" customFormat="1" x14ac:dyDescent="0.25"/>
    <row r="281248" customFormat="1" x14ac:dyDescent="0.25"/>
    <row r="281249" customFormat="1" x14ac:dyDescent="0.25"/>
    <row r="281250" customFormat="1" x14ac:dyDescent="0.25"/>
    <row r="281251" customFormat="1" x14ac:dyDescent="0.25"/>
    <row r="281252" customFormat="1" x14ac:dyDescent="0.25"/>
    <row r="281253" customFormat="1" x14ac:dyDescent="0.25"/>
    <row r="281254" customFormat="1" x14ac:dyDescent="0.25"/>
    <row r="281255" customFormat="1" x14ac:dyDescent="0.25"/>
    <row r="281256" customFormat="1" x14ac:dyDescent="0.25"/>
    <row r="281257" customFormat="1" x14ac:dyDescent="0.25"/>
    <row r="281258" customFormat="1" x14ac:dyDescent="0.25"/>
    <row r="281259" customFormat="1" x14ac:dyDescent="0.25"/>
    <row r="281260" customFormat="1" x14ac:dyDescent="0.25"/>
    <row r="281261" customFormat="1" x14ac:dyDescent="0.25"/>
    <row r="281262" customFormat="1" x14ac:dyDescent="0.25"/>
    <row r="281263" customFormat="1" x14ac:dyDescent="0.25"/>
    <row r="281264" customFormat="1" x14ac:dyDescent="0.25"/>
    <row r="281265" customFormat="1" x14ac:dyDescent="0.25"/>
    <row r="281266" customFormat="1" x14ac:dyDescent="0.25"/>
    <row r="281267" customFormat="1" x14ac:dyDescent="0.25"/>
    <row r="281268" customFormat="1" x14ac:dyDescent="0.25"/>
    <row r="281269" customFormat="1" x14ac:dyDescent="0.25"/>
    <row r="281270" customFormat="1" x14ac:dyDescent="0.25"/>
    <row r="281271" customFormat="1" x14ac:dyDescent="0.25"/>
    <row r="281272" customFormat="1" x14ac:dyDescent="0.25"/>
    <row r="281273" customFormat="1" x14ac:dyDescent="0.25"/>
    <row r="281274" customFormat="1" x14ac:dyDescent="0.25"/>
    <row r="281275" customFormat="1" x14ac:dyDescent="0.25"/>
    <row r="281276" customFormat="1" x14ac:dyDescent="0.25"/>
    <row r="281277" customFormat="1" x14ac:dyDescent="0.25"/>
    <row r="281278" customFormat="1" x14ac:dyDescent="0.25"/>
    <row r="281279" customFormat="1" x14ac:dyDescent="0.25"/>
    <row r="281280" customFormat="1" x14ac:dyDescent="0.25"/>
    <row r="281281" customFormat="1" x14ac:dyDescent="0.25"/>
    <row r="281282" customFormat="1" x14ac:dyDescent="0.25"/>
    <row r="281283" customFormat="1" x14ac:dyDescent="0.25"/>
    <row r="281284" customFormat="1" x14ac:dyDescent="0.25"/>
    <row r="281285" customFormat="1" x14ac:dyDescent="0.25"/>
    <row r="281286" customFormat="1" x14ac:dyDescent="0.25"/>
    <row r="281287" customFormat="1" x14ac:dyDescent="0.25"/>
    <row r="281288" customFormat="1" x14ac:dyDescent="0.25"/>
    <row r="281289" customFormat="1" x14ac:dyDescent="0.25"/>
    <row r="281290" customFormat="1" x14ac:dyDescent="0.25"/>
    <row r="281291" customFormat="1" x14ac:dyDescent="0.25"/>
    <row r="281292" customFormat="1" x14ac:dyDescent="0.25"/>
    <row r="281293" customFormat="1" x14ac:dyDescent="0.25"/>
    <row r="281294" customFormat="1" x14ac:dyDescent="0.25"/>
    <row r="281295" customFormat="1" x14ac:dyDescent="0.25"/>
    <row r="281296" customFormat="1" x14ac:dyDescent="0.25"/>
    <row r="281297" customFormat="1" x14ac:dyDescent="0.25"/>
    <row r="281298" customFormat="1" x14ac:dyDescent="0.25"/>
    <row r="281299" customFormat="1" x14ac:dyDescent="0.25"/>
    <row r="281300" customFormat="1" x14ac:dyDescent="0.25"/>
    <row r="281301" customFormat="1" x14ac:dyDescent="0.25"/>
    <row r="281302" customFormat="1" x14ac:dyDescent="0.25"/>
    <row r="281303" customFormat="1" x14ac:dyDescent="0.25"/>
    <row r="281304" customFormat="1" x14ac:dyDescent="0.25"/>
    <row r="281305" customFormat="1" x14ac:dyDescent="0.25"/>
    <row r="281306" customFormat="1" x14ac:dyDescent="0.25"/>
    <row r="281307" customFormat="1" x14ac:dyDescent="0.25"/>
    <row r="281308" customFormat="1" x14ac:dyDescent="0.25"/>
    <row r="281309" customFormat="1" x14ac:dyDescent="0.25"/>
    <row r="281310" customFormat="1" x14ac:dyDescent="0.25"/>
    <row r="281311" customFormat="1" x14ac:dyDescent="0.25"/>
    <row r="281312" customFormat="1" x14ac:dyDescent="0.25"/>
    <row r="281313" customFormat="1" x14ac:dyDescent="0.25"/>
    <row r="281314" customFormat="1" x14ac:dyDescent="0.25"/>
    <row r="281315" customFormat="1" x14ac:dyDescent="0.25"/>
    <row r="281316" customFormat="1" x14ac:dyDescent="0.25"/>
    <row r="281317" customFormat="1" x14ac:dyDescent="0.25"/>
    <row r="281318" customFormat="1" x14ac:dyDescent="0.25"/>
    <row r="281319" customFormat="1" x14ac:dyDescent="0.25"/>
    <row r="281320" customFormat="1" x14ac:dyDescent="0.25"/>
    <row r="281321" customFormat="1" x14ac:dyDescent="0.25"/>
    <row r="281322" customFormat="1" x14ac:dyDescent="0.25"/>
    <row r="281323" customFormat="1" x14ac:dyDescent="0.25"/>
    <row r="281324" customFormat="1" x14ac:dyDescent="0.25"/>
    <row r="281325" customFormat="1" x14ac:dyDescent="0.25"/>
    <row r="281326" customFormat="1" x14ac:dyDescent="0.25"/>
    <row r="281327" customFormat="1" x14ac:dyDescent="0.25"/>
    <row r="281328" customFormat="1" x14ac:dyDescent="0.25"/>
    <row r="281329" customFormat="1" x14ac:dyDescent="0.25"/>
    <row r="281330" customFormat="1" x14ac:dyDescent="0.25"/>
    <row r="281331" customFormat="1" x14ac:dyDescent="0.25"/>
    <row r="281332" customFormat="1" x14ac:dyDescent="0.25"/>
    <row r="281333" customFormat="1" x14ac:dyDescent="0.25"/>
    <row r="281334" customFormat="1" x14ac:dyDescent="0.25"/>
    <row r="281335" customFormat="1" x14ac:dyDescent="0.25"/>
    <row r="281336" customFormat="1" x14ac:dyDescent="0.25"/>
    <row r="281337" customFormat="1" x14ac:dyDescent="0.25"/>
    <row r="281338" customFormat="1" x14ac:dyDescent="0.25"/>
    <row r="281339" customFormat="1" x14ac:dyDescent="0.25"/>
    <row r="281340" customFormat="1" x14ac:dyDescent="0.25"/>
    <row r="281341" customFormat="1" x14ac:dyDescent="0.25"/>
    <row r="281342" customFormat="1" x14ac:dyDescent="0.25"/>
    <row r="281343" customFormat="1" x14ac:dyDescent="0.25"/>
    <row r="281344" customFormat="1" x14ac:dyDescent="0.25"/>
    <row r="281345" customFormat="1" x14ac:dyDescent="0.25"/>
    <row r="281346" customFormat="1" x14ac:dyDescent="0.25"/>
    <row r="281347" customFormat="1" x14ac:dyDescent="0.25"/>
    <row r="281348" customFormat="1" x14ac:dyDescent="0.25"/>
    <row r="281349" customFormat="1" x14ac:dyDescent="0.25"/>
    <row r="281350" customFormat="1" x14ac:dyDescent="0.25"/>
    <row r="281351" customFormat="1" x14ac:dyDescent="0.25"/>
    <row r="281352" customFormat="1" x14ac:dyDescent="0.25"/>
    <row r="281353" customFormat="1" x14ac:dyDescent="0.25"/>
    <row r="281354" customFormat="1" x14ac:dyDescent="0.25"/>
    <row r="281355" customFormat="1" x14ac:dyDescent="0.25"/>
    <row r="281356" customFormat="1" x14ac:dyDescent="0.25"/>
    <row r="281357" customFormat="1" x14ac:dyDescent="0.25"/>
    <row r="281358" customFormat="1" x14ac:dyDescent="0.25"/>
    <row r="281359" customFormat="1" x14ac:dyDescent="0.25"/>
    <row r="281360" customFormat="1" x14ac:dyDescent="0.25"/>
    <row r="281361" customFormat="1" x14ac:dyDescent="0.25"/>
    <row r="281362" customFormat="1" x14ac:dyDescent="0.25"/>
    <row r="281363" customFormat="1" x14ac:dyDescent="0.25"/>
    <row r="281364" customFormat="1" x14ac:dyDescent="0.25"/>
    <row r="281365" customFormat="1" x14ac:dyDescent="0.25"/>
    <row r="281366" customFormat="1" x14ac:dyDescent="0.25"/>
    <row r="281367" customFormat="1" x14ac:dyDescent="0.25"/>
    <row r="281368" customFormat="1" x14ac:dyDescent="0.25"/>
    <row r="281369" customFormat="1" x14ac:dyDescent="0.25"/>
    <row r="281370" customFormat="1" x14ac:dyDescent="0.25"/>
    <row r="281371" customFormat="1" x14ac:dyDescent="0.25"/>
    <row r="281372" customFormat="1" x14ac:dyDescent="0.25"/>
    <row r="281373" customFormat="1" x14ac:dyDescent="0.25"/>
    <row r="281374" customFormat="1" x14ac:dyDescent="0.25"/>
    <row r="281375" customFormat="1" x14ac:dyDescent="0.25"/>
    <row r="281376" customFormat="1" x14ac:dyDescent="0.25"/>
    <row r="281377" customFormat="1" x14ac:dyDescent="0.25"/>
    <row r="281378" customFormat="1" x14ac:dyDescent="0.25"/>
    <row r="281379" customFormat="1" x14ac:dyDescent="0.25"/>
    <row r="281380" customFormat="1" x14ac:dyDescent="0.25"/>
    <row r="281381" customFormat="1" x14ac:dyDescent="0.25"/>
    <row r="281382" customFormat="1" x14ac:dyDescent="0.25"/>
    <row r="281383" customFormat="1" x14ac:dyDescent="0.25"/>
    <row r="281384" customFormat="1" x14ac:dyDescent="0.25"/>
    <row r="281385" customFormat="1" x14ac:dyDescent="0.25"/>
    <row r="281386" customFormat="1" x14ac:dyDescent="0.25"/>
    <row r="281387" customFormat="1" x14ac:dyDescent="0.25"/>
    <row r="281388" customFormat="1" x14ac:dyDescent="0.25"/>
    <row r="281389" customFormat="1" x14ac:dyDescent="0.25"/>
    <row r="281390" customFormat="1" x14ac:dyDescent="0.25"/>
    <row r="281391" customFormat="1" x14ac:dyDescent="0.25"/>
    <row r="281392" customFormat="1" x14ac:dyDescent="0.25"/>
    <row r="281393" customFormat="1" x14ac:dyDescent="0.25"/>
    <row r="281394" customFormat="1" x14ac:dyDescent="0.25"/>
    <row r="281395" customFormat="1" x14ac:dyDescent="0.25"/>
    <row r="281396" customFormat="1" x14ac:dyDescent="0.25"/>
    <row r="281397" customFormat="1" x14ac:dyDescent="0.25"/>
    <row r="281398" customFormat="1" x14ac:dyDescent="0.25"/>
    <row r="281399" customFormat="1" x14ac:dyDescent="0.25"/>
    <row r="281400" customFormat="1" x14ac:dyDescent="0.25"/>
    <row r="281401" customFormat="1" x14ac:dyDescent="0.25"/>
    <row r="281402" customFormat="1" x14ac:dyDescent="0.25"/>
    <row r="281403" customFormat="1" x14ac:dyDescent="0.25"/>
    <row r="281404" customFormat="1" x14ac:dyDescent="0.25"/>
    <row r="281405" customFormat="1" x14ac:dyDescent="0.25"/>
    <row r="281406" customFormat="1" x14ac:dyDescent="0.25"/>
    <row r="281407" customFormat="1" x14ac:dyDescent="0.25"/>
    <row r="281408" customFormat="1" x14ac:dyDescent="0.25"/>
    <row r="281409" customFormat="1" x14ac:dyDescent="0.25"/>
    <row r="281410" customFormat="1" x14ac:dyDescent="0.25"/>
    <row r="281411" customFormat="1" x14ac:dyDescent="0.25"/>
    <row r="281412" customFormat="1" x14ac:dyDescent="0.25"/>
    <row r="281413" customFormat="1" x14ac:dyDescent="0.25"/>
    <row r="281414" customFormat="1" x14ac:dyDescent="0.25"/>
    <row r="281415" customFormat="1" x14ac:dyDescent="0.25"/>
    <row r="281416" customFormat="1" x14ac:dyDescent="0.25"/>
    <row r="281417" customFormat="1" x14ac:dyDescent="0.25"/>
    <row r="281418" customFormat="1" x14ac:dyDescent="0.25"/>
    <row r="281419" customFormat="1" x14ac:dyDescent="0.25"/>
    <row r="281420" customFormat="1" x14ac:dyDescent="0.25"/>
    <row r="281421" customFormat="1" x14ac:dyDescent="0.25"/>
    <row r="281422" customFormat="1" x14ac:dyDescent="0.25"/>
    <row r="281423" customFormat="1" x14ac:dyDescent="0.25"/>
    <row r="281424" customFormat="1" x14ac:dyDescent="0.25"/>
    <row r="281425" customFormat="1" x14ac:dyDescent="0.25"/>
    <row r="281426" customFormat="1" x14ac:dyDescent="0.25"/>
    <row r="281427" customFormat="1" x14ac:dyDescent="0.25"/>
    <row r="281428" customFormat="1" x14ac:dyDescent="0.25"/>
    <row r="281429" customFormat="1" x14ac:dyDescent="0.25"/>
    <row r="281430" customFormat="1" x14ac:dyDescent="0.25"/>
    <row r="281431" customFormat="1" x14ac:dyDescent="0.25"/>
    <row r="281432" customFormat="1" x14ac:dyDescent="0.25"/>
    <row r="281433" customFormat="1" x14ac:dyDescent="0.25"/>
    <row r="281434" customFormat="1" x14ac:dyDescent="0.25"/>
    <row r="281435" customFormat="1" x14ac:dyDescent="0.25"/>
    <row r="281436" customFormat="1" x14ac:dyDescent="0.25"/>
    <row r="281437" customFormat="1" x14ac:dyDescent="0.25"/>
    <row r="281438" customFormat="1" x14ac:dyDescent="0.25"/>
    <row r="281439" customFormat="1" x14ac:dyDescent="0.25"/>
    <row r="281440" customFormat="1" x14ac:dyDescent="0.25"/>
    <row r="281441" customFormat="1" x14ac:dyDescent="0.25"/>
    <row r="281442" customFormat="1" x14ac:dyDescent="0.25"/>
    <row r="281443" customFormat="1" x14ac:dyDescent="0.25"/>
    <row r="281444" customFormat="1" x14ac:dyDescent="0.25"/>
    <row r="281445" customFormat="1" x14ac:dyDescent="0.25"/>
    <row r="281446" customFormat="1" x14ac:dyDescent="0.25"/>
    <row r="281447" customFormat="1" x14ac:dyDescent="0.25"/>
    <row r="281448" customFormat="1" x14ac:dyDescent="0.25"/>
    <row r="281449" customFormat="1" x14ac:dyDescent="0.25"/>
    <row r="281450" customFormat="1" x14ac:dyDescent="0.25"/>
    <row r="281451" customFormat="1" x14ac:dyDescent="0.25"/>
    <row r="281452" customFormat="1" x14ac:dyDescent="0.25"/>
    <row r="281453" customFormat="1" x14ac:dyDescent="0.25"/>
    <row r="281454" customFormat="1" x14ac:dyDescent="0.25"/>
    <row r="281455" customFormat="1" x14ac:dyDescent="0.25"/>
    <row r="281456" customFormat="1" x14ac:dyDescent="0.25"/>
    <row r="281457" customFormat="1" x14ac:dyDescent="0.25"/>
    <row r="281458" customFormat="1" x14ac:dyDescent="0.25"/>
    <row r="281459" customFormat="1" x14ac:dyDescent="0.25"/>
    <row r="281460" customFormat="1" x14ac:dyDescent="0.25"/>
    <row r="281461" customFormat="1" x14ac:dyDescent="0.25"/>
    <row r="281462" customFormat="1" x14ac:dyDescent="0.25"/>
    <row r="281463" customFormat="1" x14ac:dyDescent="0.25"/>
    <row r="281464" customFormat="1" x14ac:dyDescent="0.25"/>
    <row r="281465" customFormat="1" x14ac:dyDescent="0.25"/>
    <row r="281466" customFormat="1" x14ac:dyDescent="0.25"/>
    <row r="281467" customFormat="1" x14ac:dyDescent="0.25"/>
    <row r="281468" customFormat="1" x14ac:dyDescent="0.25"/>
    <row r="281469" customFormat="1" x14ac:dyDescent="0.25"/>
    <row r="281470" customFormat="1" x14ac:dyDescent="0.25"/>
    <row r="281471" customFormat="1" x14ac:dyDescent="0.25"/>
    <row r="281472" customFormat="1" x14ac:dyDescent="0.25"/>
    <row r="281473" customFormat="1" x14ac:dyDescent="0.25"/>
    <row r="281474" customFormat="1" x14ac:dyDescent="0.25"/>
    <row r="281475" customFormat="1" x14ac:dyDescent="0.25"/>
    <row r="281476" customFormat="1" x14ac:dyDescent="0.25"/>
    <row r="281477" customFormat="1" x14ac:dyDescent="0.25"/>
    <row r="281478" customFormat="1" x14ac:dyDescent="0.25"/>
    <row r="281479" customFormat="1" x14ac:dyDescent="0.25"/>
    <row r="281480" customFormat="1" x14ac:dyDescent="0.25"/>
    <row r="281481" customFormat="1" x14ac:dyDescent="0.25"/>
    <row r="281482" customFormat="1" x14ac:dyDescent="0.25"/>
    <row r="281483" customFormat="1" x14ac:dyDescent="0.25"/>
    <row r="281484" customFormat="1" x14ac:dyDescent="0.25"/>
    <row r="281485" customFormat="1" x14ac:dyDescent="0.25"/>
    <row r="281486" customFormat="1" x14ac:dyDescent="0.25"/>
    <row r="281487" customFormat="1" x14ac:dyDescent="0.25"/>
    <row r="281488" customFormat="1" x14ac:dyDescent="0.25"/>
    <row r="281489" customFormat="1" x14ac:dyDescent="0.25"/>
    <row r="281490" customFormat="1" x14ac:dyDescent="0.25"/>
    <row r="281491" customFormat="1" x14ac:dyDescent="0.25"/>
    <row r="281492" customFormat="1" x14ac:dyDescent="0.25"/>
    <row r="281493" customFormat="1" x14ac:dyDescent="0.25"/>
    <row r="281494" customFormat="1" x14ac:dyDescent="0.25"/>
    <row r="281495" customFormat="1" x14ac:dyDescent="0.25"/>
    <row r="281496" customFormat="1" x14ac:dyDescent="0.25"/>
    <row r="281497" customFormat="1" x14ac:dyDescent="0.25"/>
    <row r="281498" customFormat="1" x14ac:dyDescent="0.25"/>
    <row r="281499" customFormat="1" x14ac:dyDescent="0.25"/>
    <row r="281500" customFormat="1" x14ac:dyDescent="0.25"/>
    <row r="281501" customFormat="1" x14ac:dyDescent="0.25"/>
    <row r="281502" customFormat="1" x14ac:dyDescent="0.25"/>
    <row r="281503" customFormat="1" x14ac:dyDescent="0.25"/>
    <row r="281504" customFormat="1" x14ac:dyDescent="0.25"/>
    <row r="281505" customFormat="1" x14ac:dyDescent="0.25"/>
    <row r="281506" customFormat="1" x14ac:dyDescent="0.25"/>
    <row r="281507" customFormat="1" x14ac:dyDescent="0.25"/>
    <row r="281508" customFormat="1" x14ac:dyDescent="0.25"/>
    <row r="281509" customFormat="1" x14ac:dyDescent="0.25"/>
    <row r="281510" customFormat="1" x14ac:dyDescent="0.25"/>
    <row r="281511" customFormat="1" x14ac:dyDescent="0.25"/>
    <row r="281512" customFormat="1" x14ac:dyDescent="0.25"/>
    <row r="281513" customFormat="1" x14ac:dyDescent="0.25"/>
    <row r="281514" customFormat="1" x14ac:dyDescent="0.25"/>
    <row r="281515" customFormat="1" x14ac:dyDescent="0.25"/>
    <row r="281516" customFormat="1" x14ac:dyDescent="0.25"/>
    <row r="281517" customFormat="1" x14ac:dyDescent="0.25"/>
    <row r="281518" customFormat="1" x14ac:dyDescent="0.25"/>
    <row r="281519" customFormat="1" x14ac:dyDescent="0.25"/>
    <row r="281520" customFormat="1" x14ac:dyDescent="0.25"/>
    <row r="281521" customFormat="1" x14ac:dyDescent="0.25"/>
    <row r="281522" customFormat="1" x14ac:dyDescent="0.25"/>
    <row r="281523" customFormat="1" x14ac:dyDescent="0.25"/>
    <row r="281524" customFormat="1" x14ac:dyDescent="0.25"/>
    <row r="281525" customFormat="1" x14ac:dyDescent="0.25"/>
    <row r="281526" customFormat="1" x14ac:dyDescent="0.25"/>
    <row r="281527" customFormat="1" x14ac:dyDescent="0.25"/>
    <row r="281528" customFormat="1" x14ac:dyDescent="0.25"/>
    <row r="281529" customFormat="1" x14ac:dyDescent="0.25"/>
    <row r="281530" customFormat="1" x14ac:dyDescent="0.25"/>
    <row r="281531" customFormat="1" x14ac:dyDescent="0.25"/>
    <row r="281532" customFormat="1" x14ac:dyDescent="0.25"/>
    <row r="281533" customFormat="1" x14ac:dyDescent="0.25"/>
    <row r="281534" customFormat="1" x14ac:dyDescent="0.25"/>
    <row r="281535" customFormat="1" x14ac:dyDescent="0.25"/>
    <row r="281536" customFormat="1" x14ac:dyDescent="0.25"/>
    <row r="281537" customFormat="1" x14ac:dyDescent="0.25"/>
    <row r="281538" customFormat="1" x14ac:dyDescent="0.25"/>
    <row r="281539" customFormat="1" x14ac:dyDescent="0.25"/>
    <row r="281540" customFormat="1" x14ac:dyDescent="0.25"/>
    <row r="281541" customFormat="1" x14ac:dyDescent="0.25"/>
    <row r="281542" customFormat="1" x14ac:dyDescent="0.25"/>
    <row r="281543" customFormat="1" x14ac:dyDescent="0.25"/>
    <row r="281544" customFormat="1" x14ac:dyDescent="0.25"/>
    <row r="281545" customFormat="1" x14ac:dyDescent="0.25"/>
    <row r="281546" customFormat="1" x14ac:dyDescent="0.25"/>
    <row r="281547" customFormat="1" x14ac:dyDescent="0.25"/>
    <row r="281548" customFormat="1" x14ac:dyDescent="0.25"/>
    <row r="281549" customFormat="1" x14ac:dyDescent="0.25"/>
    <row r="281550" customFormat="1" x14ac:dyDescent="0.25"/>
    <row r="281551" customFormat="1" x14ac:dyDescent="0.25"/>
    <row r="281552" customFormat="1" x14ac:dyDescent="0.25"/>
    <row r="281553" customFormat="1" x14ac:dyDescent="0.25"/>
    <row r="281554" customFormat="1" x14ac:dyDescent="0.25"/>
    <row r="281555" customFormat="1" x14ac:dyDescent="0.25"/>
    <row r="281556" customFormat="1" x14ac:dyDescent="0.25"/>
    <row r="281557" customFormat="1" x14ac:dyDescent="0.25"/>
    <row r="281558" customFormat="1" x14ac:dyDescent="0.25"/>
    <row r="281559" customFormat="1" x14ac:dyDescent="0.25"/>
    <row r="281560" customFormat="1" x14ac:dyDescent="0.25"/>
    <row r="281561" customFormat="1" x14ac:dyDescent="0.25"/>
    <row r="281562" customFormat="1" x14ac:dyDescent="0.25"/>
    <row r="281563" customFormat="1" x14ac:dyDescent="0.25"/>
    <row r="281564" customFormat="1" x14ac:dyDescent="0.25"/>
    <row r="281565" customFormat="1" x14ac:dyDescent="0.25"/>
    <row r="281566" customFormat="1" x14ac:dyDescent="0.25"/>
    <row r="281567" customFormat="1" x14ac:dyDescent="0.25"/>
    <row r="281568" customFormat="1" x14ac:dyDescent="0.25"/>
    <row r="281569" customFormat="1" x14ac:dyDescent="0.25"/>
    <row r="281570" customFormat="1" x14ac:dyDescent="0.25"/>
    <row r="281571" customFormat="1" x14ac:dyDescent="0.25"/>
    <row r="281572" customFormat="1" x14ac:dyDescent="0.25"/>
    <row r="281573" customFormat="1" x14ac:dyDescent="0.25"/>
    <row r="281574" customFormat="1" x14ac:dyDescent="0.25"/>
    <row r="281575" customFormat="1" x14ac:dyDescent="0.25"/>
    <row r="281576" customFormat="1" x14ac:dyDescent="0.25"/>
    <row r="281577" customFormat="1" x14ac:dyDescent="0.25"/>
    <row r="281578" customFormat="1" x14ac:dyDescent="0.25"/>
    <row r="281579" customFormat="1" x14ac:dyDescent="0.25"/>
    <row r="281580" customFormat="1" x14ac:dyDescent="0.25"/>
    <row r="281581" customFormat="1" x14ac:dyDescent="0.25"/>
    <row r="281582" customFormat="1" x14ac:dyDescent="0.25"/>
    <row r="281583" customFormat="1" x14ac:dyDescent="0.25"/>
    <row r="281584" customFormat="1" x14ac:dyDescent="0.25"/>
    <row r="281585" customFormat="1" x14ac:dyDescent="0.25"/>
    <row r="281586" customFormat="1" x14ac:dyDescent="0.25"/>
    <row r="281587" customFormat="1" x14ac:dyDescent="0.25"/>
    <row r="281588" customFormat="1" x14ac:dyDescent="0.25"/>
    <row r="281589" customFormat="1" x14ac:dyDescent="0.25"/>
    <row r="281590" customFormat="1" x14ac:dyDescent="0.25"/>
    <row r="281591" customFormat="1" x14ac:dyDescent="0.25"/>
    <row r="281592" customFormat="1" x14ac:dyDescent="0.25"/>
    <row r="281593" customFormat="1" x14ac:dyDescent="0.25"/>
    <row r="281594" customFormat="1" x14ac:dyDescent="0.25"/>
    <row r="281595" customFormat="1" x14ac:dyDescent="0.25"/>
    <row r="281596" customFormat="1" x14ac:dyDescent="0.25"/>
    <row r="281597" customFormat="1" x14ac:dyDescent="0.25"/>
    <row r="281598" customFormat="1" x14ac:dyDescent="0.25"/>
    <row r="281599" customFormat="1" x14ac:dyDescent="0.25"/>
    <row r="281600" customFormat="1" x14ac:dyDescent="0.25"/>
    <row r="281601" customFormat="1" x14ac:dyDescent="0.25"/>
    <row r="281602" customFormat="1" x14ac:dyDescent="0.25"/>
    <row r="281603" customFormat="1" x14ac:dyDescent="0.25"/>
    <row r="281604" customFormat="1" x14ac:dyDescent="0.25"/>
    <row r="281605" customFormat="1" x14ac:dyDescent="0.25"/>
    <row r="281606" customFormat="1" x14ac:dyDescent="0.25"/>
    <row r="281607" customFormat="1" x14ac:dyDescent="0.25"/>
    <row r="281608" customFormat="1" x14ac:dyDescent="0.25"/>
    <row r="281609" customFormat="1" x14ac:dyDescent="0.25"/>
    <row r="281610" customFormat="1" x14ac:dyDescent="0.25"/>
    <row r="281611" customFormat="1" x14ac:dyDescent="0.25"/>
    <row r="281612" customFormat="1" x14ac:dyDescent="0.25"/>
    <row r="281613" customFormat="1" x14ac:dyDescent="0.25"/>
    <row r="281614" customFormat="1" x14ac:dyDescent="0.25"/>
    <row r="281615" customFormat="1" x14ac:dyDescent="0.25"/>
    <row r="281616" customFormat="1" x14ac:dyDescent="0.25"/>
    <row r="281617" customFormat="1" x14ac:dyDescent="0.25"/>
    <row r="281618" customFormat="1" x14ac:dyDescent="0.25"/>
    <row r="281619" customFormat="1" x14ac:dyDescent="0.25"/>
    <row r="281620" customFormat="1" x14ac:dyDescent="0.25"/>
    <row r="281621" customFormat="1" x14ac:dyDescent="0.25"/>
    <row r="281622" customFormat="1" x14ac:dyDescent="0.25"/>
    <row r="281623" customFormat="1" x14ac:dyDescent="0.25"/>
    <row r="281624" customFormat="1" x14ac:dyDescent="0.25"/>
    <row r="281625" customFormat="1" x14ac:dyDescent="0.25"/>
    <row r="281626" customFormat="1" x14ac:dyDescent="0.25"/>
    <row r="281627" customFormat="1" x14ac:dyDescent="0.25"/>
    <row r="281628" customFormat="1" x14ac:dyDescent="0.25"/>
    <row r="281629" customFormat="1" x14ac:dyDescent="0.25"/>
    <row r="281630" customFormat="1" x14ac:dyDescent="0.25"/>
    <row r="281631" customFormat="1" x14ac:dyDescent="0.25"/>
    <row r="281632" customFormat="1" x14ac:dyDescent="0.25"/>
    <row r="281633" customFormat="1" x14ac:dyDescent="0.25"/>
    <row r="281634" customFormat="1" x14ac:dyDescent="0.25"/>
    <row r="281635" customFormat="1" x14ac:dyDescent="0.25"/>
    <row r="281636" customFormat="1" x14ac:dyDescent="0.25"/>
    <row r="281637" customFormat="1" x14ac:dyDescent="0.25"/>
    <row r="281638" customFormat="1" x14ac:dyDescent="0.25"/>
    <row r="281639" customFormat="1" x14ac:dyDescent="0.25"/>
    <row r="281640" customFormat="1" x14ac:dyDescent="0.25"/>
    <row r="281641" customFormat="1" x14ac:dyDescent="0.25"/>
    <row r="281642" customFormat="1" x14ac:dyDescent="0.25"/>
    <row r="281643" customFormat="1" x14ac:dyDescent="0.25"/>
    <row r="281644" customFormat="1" x14ac:dyDescent="0.25"/>
    <row r="281645" customFormat="1" x14ac:dyDescent="0.25"/>
    <row r="281646" customFormat="1" x14ac:dyDescent="0.25"/>
    <row r="281647" customFormat="1" x14ac:dyDescent="0.25"/>
    <row r="281648" customFormat="1" x14ac:dyDescent="0.25"/>
    <row r="281649" customFormat="1" x14ac:dyDescent="0.25"/>
    <row r="281650" customFormat="1" x14ac:dyDescent="0.25"/>
    <row r="281651" customFormat="1" x14ac:dyDescent="0.25"/>
    <row r="281652" customFormat="1" x14ac:dyDescent="0.25"/>
    <row r="281653" customFormat="1" x14ac:dyDescent="0.25"/>
    <row r="281654" customFormat="1" x14ac:dyDescent="0.25"/>
    <row r="281655" customFormat="1" x14ac:dyDescent="0.25"/>
    <row r="281656" customFormat="1" x14ac:dyDescent="0.25"/>
    <row r="281657" customFormat="1" x14ac:dyDescent="0.25"/>
    <row r="281658" customFormat="1" x14ac:dyDescent="0.25"/>
    <row r="281659" customFormat="1" x14ac:dyDescent="0.25"/>
    <row r="281660" customFormat="1" x14ac:dyDescent="0.25"/>
    <row r="281661" customFormat="1" x14ac:dyDescent="0.25"/>
    <row r="281662" customFormat="1" x14ac:dyDescent="0.25"/>
    <row r="281663" customFormat="1" x14ac:dyDescent="0.25"/>
    <row r="281664" customFormat="1" x14ac:dyDescent="0.25"/>
    <row r="281665" customFormat="1" x14ac:dyDescent="0.25"/>
    <row r="281666" customFormat="1" x14ac:dyDescent="0.25"/>
    <row r="281667" customFormat="1" x14ac:dyDescent="0.25"/>
    <row r="281668" customFormat="1" x14ac:dyDescent="0.25"/>
    <row r="281669" customFormat="1" x14ac:dyDescent="0.25"/>
    <row r="281670" customFormat="1" x14ac:dyDescent="0.25"/>
    <row r="281671" customFormat="1" x14ac:dyDescent="0.25"/>
    <row r="281672" customFormat="1" x14ac:dyDescent="0.25"/>
    <row r="281673" customFormat="1" x14ac:dyDescent="0.25"/>
    <row r="281674" customFormat="1" x14ac:dyDescent="0.25"/>
    <row r="281675" customFormat="1" x14ac:dyDescent="0.25"/>
    <row r="281676" customFormat="1" x14ac:dyDescent="0.25"/>
    <row r="281677" customFormat="1" x14ac:dyDescent="0.25"/>
    <row r="281678" customFormat="1" x14ac:dyDescent="0.25"/>
    <row r="281679" customFormat="1" x14ac:dyDescent="0.25"/>
    <row r="281680" customFormat="1" x14ac:dyDescent="0.25"/>
    <row r="281681" customFormat="1" x14ac:dyDescent="0.25"/>
    <row r="281682" customFormat="1" x14ac:dyDescent="0.25"/>
    <row r="281683" customFormat="1" x14ac:dyDescent="0.25"/>
    <row r="281684" customFormat="1" x14ac:dyDescent="0.25"/>
    <row r="281685" customFormat="1" x14ac:dyDescent="0.25"/>
    <row r="281686" customFormat="1" x14ac:dyDescent="0.25"/>
    <row r="281687" customFormat="1" x14ac:dyDescent="0.25"/>
    <row r="281688" customFormat="1" x14ac:dyDescent="0.25"/>
    <row r="281689" customFormat="1" x14ac:dyDescent="0.25"/>
    <row r="281690" customFormat="1" x14ac:dyDescent="0.25"/>
    <row r="281691" customFormat="1" x14ac:dyDescent="0.25"/>
    <row r="281692" customFormat="1" x14ac:dyDescent="0.25"/>
    <row r="281693" customFormat="1" x14ac:dyDescent="0.25"/>
    <row r="281694" customFormat="1" x14ac:dyDescent="0.25"/>
    <row r="281695" customFormat="1" x14ac:dyDescent="0.25"/>
    <row r="281696" customFormat="1" x14ac:dyDescent="0.25"/>
    <row r="281697" customFormat="1" x14ac:dyDescent="0.25"/>
    <row r="281698" customFormat="1" x14ac:dyDescent="0.25"/>
    <row r="281699" customFormat="1" x14ac:dyDescent="0.25"/>
    <row r="281700" customFormat="1" x14ac:dyDescent="0.25"/>
    <row r="281701" customFormat="1" x14ac:dyDescent="0.25"/>
    <row r="281702" customFormat="1" x14ac:dyDescent="0.25"/>
    <row r="281703" customFormat="1" x14ac:dyDescent="0.25"/>
    <row r="281704" customFormat="1" x14ac:dyDescent="0.25"/>
    <row r="281705" customFormat="1" x14ac:dyDescent="0.25"/>
    <row r="281706" customFormat="1" x14ac:dyDescent="0.25"/>
    <row r="281707" customFormat="1" x14ac:dyDescent="0.25"/>
    <row r="281708" customFormat="1" x14ac:dyDescent="0.25"/>
    <row r="281709" customFormat="1" x14ac:dyDescent="0.25"/>
    <row r="281710" customFormat="1" x14ac:dyDescent="0.25"/>
    <row r="281711" customFormat="1" x14ac:dyDescent="0.25"/>
    <row r="281712" customFormat="1" x14ac:dyDescent="0.25"/>
    <row r="281713" customFormat="1" x14ac:dyDescent="0.25"/>
    <row r="281714" customFormat="1" x14ac:dyDescent="0.25"/>
    <row r="281715" customFormat="1" x14ac:dyDescent="0.25"/>
    <row r="281716" customFormat="1" x14ac:dyDescent="0.25"/>
    <row r="281717" customFormat="1" x14ac:dyDescent="0.25"/>
    <row r="281718" customFormat="1" x14ac:dyDescent="0.25"/>
    <row r="281719" customFormat="1" x14ac:dyDescent="0.25"/>
    <row r="281720" customFormat="1" x14ac:dyDescent="0.25"/>
    <row r="281721" customFormat="1" x14ac:dyDescent="0.25"/>
    <row r="281722" customFormat="1" x14ac:dyDescent="0.25"/>
    <row r="281723" customFormat="1" x14ac:dyDescent="0.25"/>
    <row r="281724" customFormat="1" x14ac:dyDescent="0.25"/>
    <row r="281725" customFormat="1" x14ac:dyDescent="0.25"/>
    <row r="281726" customFormat="1" x14ac:dyDescent="0.25"/>
    <row r="281727" customFormat="1" x14ac:dyDescent="0.25"/>
    <row r="281728" customFormat="1" x14ac:dyDescent="0.25"/>
    <row r="281729" customFormat="1" x14ac:dyDescent="0.25"/>
    <row r="281730" customFormat="1" x14ac:dyDescent="0.25"/>
    <row r="281731" customFormat="1" x14ac:dyDescent="0.25"/>
    <row r="281732" customFormat="1" x14ac:dyDescent="0.25"/>
    <row r="281733" customFormat="1" x14ac:dyDescent="0.25"/>
    <row r="281734" customFormat="1" x14ac:dyDescent="0.25"/>
    <row r="281735" customFormat="1" x14ac:dyDescent="0.25"/>
    <row r="281736" customFormat="1" x14ac:dyDescent="0.25"/>
    <row r="281737" customFormat="1" x14ac:dyDescent="0.25"/>
    <row r="281738" customFormat="1" x14ac:dyDescent="0.25"/>
    <row r="281739" customFormat="1" x14ac:dyDescent="0.25"/>
    <row r="281740" customFormat="1" x14ac:dyDescent="0.25"/>
    <row r="281741" customFormat="1" x14ac:dyDescent="0.25"/>
    <row r="281742" customFormat="1" x14ac:dyDescent="0.25"/>
    <row r="281743" customFormat="1" x14ac:dyDescent="0.25"/>
    <row r="281744" customFormat="1" x14ac:dyDescent="0.25"/>
    <row r="281745" customFormat="1" x14ac:dyDescent="0.25"/>
    <row r="281746" customFormat="1" x14ac:dyDescent="0.25"/>
    <row r="281747" customFormat="1" x14ac:dyDescent="0.25"/>
    <row r="281748" customFormat="1" x14ac:dyDescent="0.25"/>
    <row r="281749" customFormat="1" x14ac:dyDescent="0.25"/>
    <row r="281750" customFormat="1" x14ac:dyDescent="0.25"/>
    <row r="281751" customFormat="1" x14ac:dyDescent="0.25"/>
    <row r="281752" customFormat="1" x14ac:dyDescent="0.25"/>
    <row r="281753" customFormat="1" x14ac:dyDescent="0.25"/>
    <row r="281754" customFormat="1" x14ac:dyDescent="0.25"/>
    <row r="281755" customFormat="1" x14ac:dyDescent="0.25"/>
    <row r="281756" customFormat="1" x14ac:dyDescent="0.25"/>
    <row r="281757" customFormat="1" x14ac:dyDescent="0.25"/>
    <row r="281758" customFormat="1" x14ac:dyDescent="0.25"/>
    <row r="281759" customFormat="1" x14ac:dyDescent="0.25"/>
    <row r="281760" customFormat="1" x14ac:dyDescent="0.25"/>
    <row r="281761" customFormat="1" x14ac:dyDescent="0.25"/>
    <row r="281762" customFormat="1" x14ac:dyDescent="0.25"/>
    <row r="281763" customFormat="1" x14ac:dyDescent="0.25"/>
    <row r="281764" customFormat="1" x14ac:dyDescent="0.25"/>
    <row r="281765" customFormat="1" x14ac:dyDescent="0.25"/>
    <row r="281766" customFormat="1" x14ac:dyDescent="0.25"/>
    <row r="281767" customFormat="1" x14ac:dyDescent="0.25"/>
    <row r="281768" customFormat="1" x14ac:dyDescent="0.25"/>
    <row r="281769" customFormat="1" x14ac:dyDescent="0.25"/>
    <row r="281770" customFormat="1" x14ac:dyDescent="0.25"/>
    <row r="281771" customFormat="1" x14ac:dyDescent="0.25"/>
    <row r="281772" customFormat="1" x14ac:dyDescent="0.25"/>
    <row r="281773" customFormat="1" x14ac:dyDescent="0.25"/>
    <row r="281774" customFormat="1" x14ac:dyDescent="0.25"/>
    <row r="281775" customFormat="1" x14ac:dyDescent="0.25"/>
    <row r="281776" customFormat="1" x14ac:dyDescent="0.25"/>
    <row r="281777" customFormat="1" x14ac:dyDescent="0.25"/>
    <row r="281778" customFormat="1" x14ac:dyDescent="0.25"/>
    <row r="281779" customFormat="1" x14ac:dyDescent="0.25"/>
    <row r="281780" customFormat="1" x14ac:dyDescent="0.25"/>
    <row r="281781" customFormat="1" x14ac:dyDescent="0.25"/>
    <row r="281782" customFormat="1" x14ac:dyDescent="0.25"/>
    <row r="281783" customFormat="1" x14ac:dyDescent="0.25"/>
    <row r="281784" customFormat="1" x14ac:dyDescent="0.25"/>
    <row r="281785" customFormat="1" x14ac:dyDescent="0.25"/>
    <row r="281786" customFormat="1" x14ac:dyDescent="0.25"/>
    <row r="281787" customFormat="1" x14ac:dyDescent="0.25"/>
    <row r="281788" customFormat="1" x14ac:dyDescent="0.25"/>
    <row r="281789" customFormat="1" x14ac:dyDescent="0.25"/>
    <row r="281790" customFormat="1" x14ac:dyDescent="0.25"/>
    <row r="281791" customFormat="1" x14ac:dyDescent="0.25"/>
    <row r="281792" customFormat="1" x14ac:dyDescent="0.25"/>
    <row r="281793" customFormat="1" x14ac:dyDescent="0.25"/>
    <row r="281794" customFormat="1" x14ac:dyDescent="0.25"/>
    <row r="281795" customFormat="1" x14ac:dyDescent="0.25"/>
    <row r="281796" customFormat="1" x14ac:dyDescent="0.25"/>
    <row r="281797" customFormat="1" x14ac:dyDescent="0.25"/>
    <row r="281798" customFormat="1" x14ac:dyDescent="0.25"/>
    <row r="281799" customFormat="1" x14ac:dyDescent="0.25"/>
    <row r="281800" customFormat="1" x14ac:dyDescent="0.25"/>
    <row r="281801" customFormat="1" x14ac:dyDescent="0.25"/>
    <row r="281802" customFormat="1" x14ac:dyDescent="0.25"/>
    <row r="281803" customFormat="1" x14ac:dyDescent="0.25"/>
    <row r="281804" customFormat="1" x14ac:dyDescent="0.25"/>
    <row r="281805" customFormat="1" x14ac:dyDescent="0.25"/>
    <row r="281806" customFormat="1" x14ac:dyDescent="0.25"/>
    <row r="281807" customFormat="1" x14ac:dyDescent="0.25"/>
    <row r="281808" customFormat="1" x14ac:dyDescent="0.25"/>
    <row r="281809" customFormat="1" x14ac:dyDescent="0.25"/>
    <row r="281810" customFormat="1" x14ac:dyDescent="0.25"/>
    <row r="281811" customFormat="1" x14ac:dyDescent="0.25"/>
    <row r="281812" customFormat="1" x14ac:dyDescent="0.25"/>
    <row r="281813" customFormat="1" x14ac:dyDescent="0.25"/>
    <row r="281814" customFormat="1" x14ac:dyDescent="0.25"/>
    <row r="281815" customFormat="1" x14ac:dyDescent="0.25"/>
    <row r="281816" customFormat="1" x14ac:dyDescent="0.25"/>
    <row r="281817" customFormat="1" x14ac:dyDescent="0.25"/>
    <row r="281818" customFormat="1" x14ac:dyDescent="0.25"/>
    <row r="281819" customFormat="1" x14ac:dyDescent="0.25"/>
    <row r="281820" customFormat="1" x14ac:dyDescent="0.25"/>
    <row r="281821" customFormat="1" x14ac:dyDescent="0.25"/>
    <row r="281822" customFormat="1" x14ac:dyDescent="0.25"/>
    <row r="281823" customFormat="1" x14ac:dyDescent="0.25"/>
    <row r="281824" customFormat="1" x14ac:dyDescent="0.25"/>
    <row r="281825" customFormat="1" x14ac:dyDescent="0.25"/>
    <row r="281826" customFormat="1" x14ac:dyDescent="0.25"/>
    <row r="281827" customFormat="1" x14ac:dyDescent="0.25"/>
    <row r="281828" customFormat="1" x14ac:dyDescent="0.25"/>
    <row r="281829" customFormat="1" x14ac:dyDescent="0.25"/>
    <row r="281830" customFormat="1" x14ac:dyDescent="0.25"/>
    <row r="281831" customFormat="1" x14ac:dyDescent="0.25"/>
    <row r="281832" customFormat="1" x14ac:dyDescent="0.25"/>
    <row r="281833" customFormat="1" x14ac:dyDescent="0.25"/>
    <row r="281834" customFormat="1" x14ac:dyDescent="0.25"/>
    <row r="281835" customFormat="1" x14ac:dyDescent="0.25"/>
    <row r="281836" customFormat="1" x14ac:dyDescent="0.25"/>
    <row r="281837" customFormat="1" x14ac:dyDescent="0.25"/>
    <row r="281838" customFormat="1" x14ac:dyDescent="0.25"/>
    <row r="281839" customFormat="1" x14ac:dyDescent="0.25"/>
    <row r="281840" customFormat="1" x14ac:dyDescent="0.25"/>
    <row r="281841" customFormat="1" x14ac:dyDescent="0.25"/>
    <row r="281842" customFormat="1" x14ac:dyDescent="0.25"/>
    <row r="281843" customFormat="1" x14ac:dyDescent="0.25"/>
    <row r="281844" customFormat="1" x14ac:dyDescent="0.25"/>
    <row r="281845" customFormat="1" x14ac:dyDescent="0.25"/>
    <row r="281846" customFormat="1" x14ac:dyDescent="0.25"/>
    <row r="281847" customFormat="1" x14ac:dyDescent="0.25"/>
    <row r="281848" customFormat="1" x14ac:dyDescent="0.25"/>
    <row r="281849" customFormat="1" x14ac:dyDescent="0.25"/>
    <row r="281850" customFormat="1" x14ac:dyDescent="0.25"/>
    <row r="281851" customFormat="1" x14ac:dyDescent="0.25"/>
    <row r="281852" customFormat="1" x14ac:dyDescent="0.25"/>
    <row r="281853" customFormat="1" x14ac:dyDescent="0.25"/>
    <row r="281854" customFormat="1" x14ac:dyDescent="0.25"/>
    <row r="281855" customFormat="1" x14ac:dyDescent="0.25"/>
    <row r="281856" customFormat="1" x14ac:dyDescent="0.25"/>
    <row r="281857" customFormat="1" x14ac:dyDescent="0.25"/>
    <row r="281858" customFormat="1" x14ac:dyDescent="0.25"/>
    <row r="281859" customFormat="1" x14ac:dyDescent="0.25"/>
    <row r="281860" customFormat="1" x14ac:dyDescent="0.25"/>
    <row r="281861" customFormat="1" x14ac:dyDescent="0.25"/>
    <row r="281862" customFormat="1" x14ac:dyDescent="0.25"/>
    <row r="281863" customFormat="1" x14ac:dyDescent="0.25"/>
    <row r="281864" customFormat="1" x14ac:dyDescent="0.25"/>
    <row r="281865" customFormat="1" x14ac:dyDescent="0.25"/>
    <row r="281866" customFormat="1" x14ac:dyDescent="0.25"/>
    <row r="281867" customFormat="1" x14ac:dyDescent="0.25"/>
    <row r="281868" customFormat="1" x14ac:dyDescent="0.25"/>
    <row r="281869" customFormat="1" x14ac:dyDescent="0.25"/>
    <row r="281870" customFormat="1" x14ac:dyDescent="0.25"/>
    <row r="281871" customFormat="1" x14ac:dyDescent="0.25"/>
    <row r="281872" customFormat="1" x14ac:dyDescent="0.25"/>
    <row r="281873" customFormat="1" x14ac:dyDescent="0.25"/>
    <row r="281874" customFormat="1" x14ac:dyDescent="0.25"/>
    <row r="281875" customFormat="1" x14ac:dyDescent="0.25"/>
    <row r="281876" customFormat="1" x14ac:dyDescent="0.25"/>
    <row r="281877" customFormat="1" x14ac:dyDescent="0.25"/>
    <row r="281878" customFormat="1" x14ac:dyDescent="0.25"/>
    <row r="281879" customFormat="1" x14ac:dyDescent="0.25"/>
    <row r="281880" customFormat="1" x14ac:dyDescent="0.25"/>
    <row r="281881" customFormat="1" x14ac:dyDescent="0.25"/>
    <row r="281882" customFormat="1" x14ac:dyDescent="0.25"/>
    <row r="281883" customFormat="1" x14ac:dyDescent="0.25"/>
    <row r="281884" customFormat="1" x14ac:dyDescent="0.25"/>
    <row r="281885" customFormat="1" x14ac:dyDescent="0.25"/>
    <row r="281886" customFormat="1" x14ac:dyDescent="0.25"/>
    <row r="281887" customFormat="1" x14ac:dyDescent="0.25"/>
    <row r="281888" customFormat="1" x14ac:dyDescent="0.25"/>
    <row r="281889" customFormat="1" x14ac:dyDescent="0.25"/>
    <row r="281890" customFormat="1" x14ac:dyDescent="0.25"/>
    <row r="281891" customFormat="1" x14ac:dyDescent="0.25"/>
    <row r="281892" customFormat="1" x14ac:dyDescent="0.25"/>
    <row r="281893" customFormat="1" x14ac:dyDescent="0.25"/>
    <row r="281894" customFormat="1" x14ac:dyDescent="0.25"/>
    <row r="281895" customFormat="1" x14ac:dyDescent="0.25"/>
    <row r="281896" customFormat="1" x14ac:dyDescent="0.25"/>
    <row r="281897" customFormat="1" x14ac:dyDescent="0.25"/>
    <row r="281898" customFormat="1" x14ac:dyDescent="0.25"/>
    <row r="281899" customFormat="1" x14ac:dyDescent="0.25"/>
    <row r="281900" customFormat="1" x14ac:dyDescent="0.25"/>
    <row r="281901" customFormat="1" x14ac:dyDescent="0.25"/>
    <row r="281902" customFormat="1" x14ac:dyDescent="0.25"/>
    <row r="281903" customFormat="1" x14ac:dyDescent="0.25"/>
    <row r="281904" customFormat="1" x14ac:dyDescent="0.25"/>
    <row r="281905" customFormat="1" x14ac:dyDescent="0.25"/>
    <row r="281906" customFormat="1" x14ac:dyDescent="0.25"/>
    <row r="281907" customFormat="1" x14ac:dyDescent="0.25"/>
    <row r="281908" customFormat="1" x14ac:dyDescent="0.25"/>
    <row r="281909" customFormat="1" x14ac:dyDescent="0.25"/>
    <row r="281910" customFormat="1" x14ac:dyDescent="0.25"/>
    <row r="281911" customFormat="1" x14ac:dyDescent="0.25"/>
    <row r="281912" customFormat="1" x14ac:dyDescent="0.25"/>
    <row r="281913" customFormat="1" x14ac:dyDescent="0.25"/>
    <row r="281914" customFormat="1" x14ac:dyDescent="0.25"/>
    <row r="281915" customFormat="1" x14ac:dyDescent="0.25"/>
    <row r="281916" customFormat="1" x14ac:dyDescent="0.25"/>
    <row r="281917" customFormat="1" x14ac:dyDescent="0.25"/>
    <row r="281918" customFormat="1" x14ac:dyDescent="0.25"/>
    <row r="281919" customFormat="1" x14ac:dyDescent="0.25"/>
    <row r="281920" customFormat="1" x14ac:dyDescent="0.25"/>
    <row r="281921" customFormat="1" x14ac:dyDescent="0.25"/>
    <row r="281922" customFormat="1" x14ac:dyDescent="0.25"/>
    <row r="281923" customFormat="1" x14ac:dyDescent="0.25"/>
    <row r="281924" customFormat="1" x14ac:dyDescent="0.25"/>
    <row r="281925" customFormat="1" x14ac:dyDescent="0.25"/>
    <row r="281926" customFormat="1" x14ac:dyDescent="0.25"/>
    <row r="281927" customFormat="1" x14ac:dyDescent="0.25"/>
    <row r="281928" customFormat="1" x14ac:dyDescent="0.25"/>
    <row r="281929" customFormat="1" x14ac:dyDescent="0.25"/>
    <row r="281930" customFormat="1" x14ac:dyDescent="0.25"/>
    <row r="281931" customFormat="1" x14ac:dyDescent="0.25"/>
    <row r="281932" customFormat="1" x14ac:dyDescent="0.25"/>
    <row r="281933" customFormat="1" x14ac:dyDescent="0.25"/>
    <row r="281934" customFormat="1" x14ac:dyDescent="0.25"/>
    <row r="281935" customFormat="1" x14ac:dyDescent="0.25"/>
    <row r="281936" customFormat="1" x14ac:dyDescent="0.25"/>
    <row r="281937" customFormat="1" x14ac:dyDescent="0.25"/>
    <row r="281938" customFormat="1" x14ac:dyDescent="0.25"/>
    <row r="281939" customFormat="1" x14ac:dyDescent="0.25"/>
    <row r="281940" customFormat="1" x14ac:dyDescent="0.25"/>
    <row r="281941" customFormat="1" x14ac:dyDescent="0.25"/>
    <row r="281942" customFormat="1" x14ac:dyDescent="0.25"/>
    <row r="281943" customFormat="1" x14ac:dyDescent="0.25"/>
    <row r="281944" customFormat="1" x14ac:dyDescent="0.25"/>
    <row r="281945" customFormat="1" x14ac:dyDescent="0.25"/>
    <row r="281946" customFormat="1" x14ac:dyDescent="0.25"/>
    <row r="281947" customFormat="1" x14ac:dyDescent="0.25"/>
    <row r="281948" customFormat="1" x14ac:dyDescent="0.25"/>
    <row r="281949" customFormat="1" x14ac:dyDescent="0.25"/>
    <row r="281950" customFormat="1" x14ac:dyDescent="0.25"/>
    <row r="281951" customFormat="1" x14ac:dyDescent="0.25"/>
    <row r="281952" customFormat="1" x14ac:dyDescent="0.25"/>
    <row r="281953" customFormat="1" x14ac:dyDescent="0.25"/>
    <row r="281954" customFormat="1" x14ac:dyDescent="0.25"/>
    <row r="281955" customFormat="1" x14ac:dyDescent="0.25"/>
    <row r="281956" customFormat="1" x14ac:dyDescent="0.25"/>
    <row r="281957" customFormat="1" x14ac:dyDescent="0.25"/>
    <row r="281958" customFormat="1" x14ac:dyDescent="0.25"/>
    <row r="281959" customFormat="1" x14ac:dyDescent="0.25"/>
    <row r="281960" customFormat="1" x14ac:dyDescent="0.25"/>
    <row r="281961" customFormat="1" x14ac:dyDescent="0.25"/>
    <row r="281962" customFormat="1" x14ac:dyDescent="0.25"/>
    <row r="281963" customFormat="1" x14ac:dyDescent="0.25"/>
    <row r="281964" customFormat="1" x14ac:dyDescent="0.25"/>
    <row r="281965" customFormat="1" x14ac:dyDescent="0.25"/>
    <row r="281966" customFormat="1" x14ac:dyDescent="0.25"/>
    <row r="281967" customFormat="1" x14ac:dyDescent="0.25"/>
    <row r="281968" customFormat="1" x14ac:dyDescent="0.25"/>
    <row r="281969" customFormat="1" x14ac:dyDescent="0.25"/>
    <row r="281970" customFormat="1" x14ac:dyDescent="0.25"/>
    <row r="281971" customFormat="1" x14ac:dyDescent="0.25"/>
    <row r="281972" customFormat="1" x14ac:dyDescent="0.25"/>
    <row r="281973" customFormat="1" x14ac:dyDescent="0.25"/>
    <row r="281974" customFormat="1" x14ac:dyDescent="0.25"/>
    <row r="281975" customFormat="1" x14ac:dyDescent="0.25"/>
    <row r="281976" customFormat="1" x14ac:dyDescent="0.25"/>
    <row r="281977" customFormat="1" x14ac:dyDescent="0.25"/>
    <row r="281978" customFormat="1" x14ac:dyDescent="0.25"/>
    <row r="281979" customFormat="1" x14ac:dyDescent="0.25"/>
    <row r="281980" customFormat="1" x14ac:dyDescent="0.25"/>
    <row r="281981" customFormat="1" x14ac:dyDescent="0.25"/>
    <row r="281982" customFormat="1" x14ac:dyDescent="0.25"/>
    <row r="281983" customFormat="1" x14ac:dyDescent="0.25"/>
    <row r="281984" customFormat="1" x14ac:dyDescent="0.25"/>
    <row r="281985" customFormat="1" x14ac:dyDescent="0.25"/>
    <row r="281986" customFormat="1" x14ac:dyDescent="0.25"/>
    <row r="281987" customFormat="1" x14ac:dyDescent="0.25"/>
    <row r="281988" customFormat="1" x14ac:dyDescent="0.25"/>
    <row r="281989" customFormat="1" x14ac:dyDescent="0.25"/>
    <row r="281990" customFormat="1" x14ac:dyDescent="0.25"/>
    <row r="281991" customFormat="1" x14ac:dyDescent="0.25"/>
    <row r="281992" customFormat="1" x14ac:dyDescent="0.25"/>
    <row r="281993" customFormat="1" x14ac:dyDescent="0.25"/>
    <row r="281994" customFormat="1" x14ac:dyDescent="0.25"/>
    <row r="281995" customFormat="1" x14ac:dyDescent="0.25"/>
    <row r="281996" customFormat="1" x14ac:dyDescent="0.25"/>
    <row r="281997" customFormat="1" x14ac:dyDescent="0.25"/>
    <row r="281998" customFormat="1" x14ac:dyDescent="0.25"/>
    <row r="281999" customFormat="1" x14ac:dyDescent="0.25"/>
    <row r="282000" customFormat="1" x14ac:dyDescent="0.25"/>
    <row r="282001" customFormat="1" x14ac:dyDescent="0.25"/>
    <row r="282002" customFormat="1" x14ac:dyDescent="0.25"/>
    <row r="282003" customFormat="1" x14ac:dyDescent="0.25"/>
    <row r="282004" customFormat="1" x14ac:dyDescent="0.25"/>
    <row r="282005" customFormat="1" x14ac:dyDescent="0.25"/>
    <row r="282006" customFormat="1" x14ac:dyDescent="0.25"/>
    <row r="282007" customFormat="1" x14ac:dyDescent="0.25"/>
    <row r="282008" customFormat="1" x14ac:dyDescent="0.25"/>
    <row r="282009" customFormat="1" x14ac:dyDescent="0.25"/>
    <row r="282010" customFormat="1" x14ac:dyDescent="0.25"/>
    <row r="282011" customFormat="1" x14ac:dyDescent="0.25"/>
    <row r="282012" customFormat="1" x14ac:dyDescent="0.25"/>
    <row r="282013" customFormat="1" x14ac:dyDescent="0.25"/>
    <row r="282014" customFormat="1" x14ac:dyDescent="0.25"/>
    <row r="282015" customFormat="1" x14ac:dyDescent="0.25"/>
    <row r="282016" customFormat="1" x14ac:dyDescent="0.25"/>
    <row r="282017" customFormat="1" x14ac:dyDescent="0.25"/>
    <row r="282018" customFormat="1" x14ac:dyDescent="0.25"/>
    <row r="282019" customFormat="1" x14ac:dyDescent="0.25"/>
    <row r="282020" customFormat="1" x14ac:dyDescent="0.25"/>
    <row r="282021" customFormat="1" x14ac:dyDescent="0.25"/>
    <row r="282022" customFormat="1" x14ac:dyDescent="0.25"/>
    <row r="282023" customFormat="1" x14ac:dyDescent="0.25"/>
    <row r="282024" customFormat="1" x14ac:dyDescent="0.25"/>
    <row r="282025" customFormat="1" x14ac:dyDescent="0.25"/>
    <row r="282026" customFormat="1" x14ac:dyDescent="0.25"/>
    <row r="282027" customFormat="1" x14ac:dyDescent="0.25"/>
    <row r="282028" customFormat="1" x14ac:dyDescent="0.25"/>
    <row r="282029" customFormat="1" x14ac:dyDescent="0.25"/>
    <row r="282030" customFormat="1" x14ac:dyDescent="0.25"/>
    <row r="282031" customFormat="1" x14ac:dyDescent="0.25"/>
    <row r="282032" customFormat="1" x14ac:dyDescent="0.25"/>
    <row r="282033" customFormat="1" x14ac:dyDescent="0.25"/>
    <row r="282034" customFormat="1" x14ac:dyDescent="0.25"/>
    <row r="282035" customFormat="1" x14ac:dyDescent="0.25"/>
    <row r="282036" customFormat="1" x14ac:dyDescent="0.25"/>
    <row r="282037" customFormat="1" x14ac:dyDescent="0.25"/>
    <row r="282038" customFormat="1" x14ac:dyDescent="0.25"/>
    <row r="282039" customFormat="1" x14ac:dyDescent="0.25"/>
    <row r="282040" customFormat="1" x14ac:dyDescent="0.25"/>
    <row r="282041" customFormat="1" x14ac:dyDescent="0.25"/>
    <row r="282042" customFormat="1" x14ac:dyDescent="0.25"/>
    <row r="282043" customFormat="1" x14ac:dyDescent="0.25"/>
    <row r="282044" customFormat="1" x14ac:dyDescent="0.25"/>
    <row r="282045" customFormat="1" x14ac:dyDescent="0.25"/>
    <row r="282046" customFormat="1" x14ac:dyDescent="0.25"/>
    <row r="282047" customFormat="1" x14ac:dyDescent="0.25"/>
    <row r="282048" customFormat="1" x14ac:dyDescent="0.25"/>
    <row r="282049" customFormat="1" x14ac:dyDescent="0.25"/>
    <row r="282050" customFormat="1" x14ac:dyDescent="0.25"/>
    <row r="282051" customFormat="1" x14ac:dyDescent="0.25"/>
    <row r="282052" customFormat="1" x14ac:dyDescent="0.25"/>
    <row r="282053" customFormat="1" x14ac:dyDescent="0.25"/>
    <row r="282054" customFormat="1" x14ac:dyDescent="0.25"/>
    <row r="282055" customFormat="1" x14ac:dyDescent="0.25"/>
    <row r="282056" customFormat="1" x14ac:dyDescent="0.25"/>
    <row r="282057" customFormat="1" x14ac:dyDescent="0.25"/>
    <row r="282058" customFormat="1" x14ac:dyDescent="0.25"/>
    <row r="282059" customFormat="1" x14ac:dyDescent="0.25"/>
    <row r="282060" customFormat="1" x14ac:dyDescent="0.25"/>
    <row r="282061" customFormat="1" x14ac:dyDescent="0.25"/>
    <row r="282062" customFormat="1" x14ac:dyDescent="0.25"/>
    <row r="282063" customFormat="1" x14ac:dyDescent="0.25"/>
    <row r="282064" customFormat="1" x14ac:dyDescent="0.25"/>
    <row r="282065" customFormat="1" x14ac:dyDescent="0.25"/>
    <row r="282066" customFormat="1" x14ac:dyDescent="0.25"/>
    <row r="282067" customFormat="1" x14ac:dyDescent="0.25"/>
    <row r="282068" customFormat="1" x14ac:dyDescent="0.25"/>
    <row r="282069" customFormat="1" x14ac:dyDescent="0.25"/>
    <row r="282070" customFormat="1" x14ac:dyDescent="0.25"/>
    <row r="282071" customFormat="1" x14ac:dyDescent="0.25"/>
    <row r="282072" customFormat="1" x14ac:dyDescent="0.25"/>
    <row r="282073" customFormat="1" x14ac:dyDescent="0.25"/>
    <row r="282074" customFormat="1" x14ac:dyDescent="0.25"/>
    <row r="282075" customFormat="1" x14ac:dyDescent="0.25"/>
    <row r="282076" customFormat="1" x14ac:dyDescent="0.25"/>
    <row r="282077" customFormat="1" x14ac:dyDescent="0.25"/>
    <row r="282078" customFormat="1" x14ac:dyDescent="0.25"/>
    <row r="282079" customFormat="1" x14ac:dyDescent="0.25"/>
    <row r="282080" customFormat="1" x14ac:dyDescent="0.25"/>
    <row r="282081" customFormat="1" x14ac:dyDescent="0.25"/>
    <row r="282082" customFormat="1" x14ac:dyDescent="0.25"/>
    <row r="282083" customFormat="1" x14ac:dyDescent="0.25"/>
    <row r="282084" customFormat="1" x14ac:dyDescent="0.25"/>
    <row r="282085" customFormat="1" x14ac:dyDescent="0.25"/>
    <row r="282086" customFormat="1" x14ac:dyDescent="0.25"/>
    <row r="282087" customFormat="1" x14ac:dyDescent="0.25"/>
    <row r="282088" customFormat="1" x14ac:dyDescent="0.25"/>
    <row r="282089" customFormat="1" x14ac:dyDescent="0.25"/>
    <row r="282090" customFormat="1" x14ac:dyDescent="0.25"/>
    <row r="282091" customFormat="1" x14ac:dyDescent="0.25"/>
    <row r="282092" customFormat="1" x14ac:dyDescent="0.25"/>
    <row r="282093" customFormat="1" x14ac:dyDescent="0.25"/>
    <row r="282094" customFormat="1" x14ac:dyDescent="0.25"/>
    <row r="282095" customFormat="1" x14ac:dyDescent="0.25"/>
    <row r="282096" customFormat="1" x14ac:dyDescent="0.25"/>
    <row r="282097" customFormat="1" x14ac:dyDescent="0.25"/>
    <row r="282098" customFormat="1" x14ac:dyDescent="0.25"/>
    <row r="282099" customFormat="1" x14ac:dyDescent="0.25"/>
    <row r="282100" customFormat="1" x14ac:dyDescent="0.25"/>
    <row r="282101" customFormat="1" x14ac:dyDescent="0.25"/>
    <row r="282102" customFormat="1" x14ac:dyDescent="0.25"/>
    <row r="282103" customFormat="1" x14ac:dyDescent="0.25"/>
    <row r="282104" customFormat="1" x14ac:dyDescent="0.25"/>
    <row r="282105" customFormat="1" x14ac:dyDescent="0.25"/>
    <row r="282106" customFormat="1" x14ac:dyDescent="0.25"/>
    <row r="282107" customFormat="1" x14ac:dyDescent="0.25"/>
    <row r="282108" customFormat="1" x14ac:dyDescent="0.25"/>
    <row r="282109" customFormat="1" x14ac:dyDescent="0.25"/>
    <row r="282110" customFormat="1" x14ac:dyDescent="0.25"/>
    <row r="282111" customFormat="1" x14ac:dyDescent="0.25"/>
    <row r="282112" customFormat="1" x14ac:dyDescent="0.25"/>
    <row r="282113" customFormat="1" x14ac:dyDescent="0.25"/>
    <row r="282114" customFormat="1" x14ac:dyDescent="0.25"/>
    <row r="282115" customFormat="1" x14ac:dyDescent="0.25"/>
    <row r="282116" customFormat="1" x14ac:dyDescent="0.25"/>
    <row r="282117" customFormat="1" x14ac:dyDescent="0.25"/>
    <row r="282118" customFormat="1" x14ac:dyDescent="0.25"/>
    <row r="282119" customFormat="1" x14ac:dyDescent="0.25"/>
    <row r="282120" customFormat="1" x14ac:dyDescent="0.25"/>
    <row r="282121" customFormat="1" x14ac:dyDescent="0.25"/>
    <row r="282122" customFormat="1" x14ac:dyDescent="0.25"/>
    <row r="282123" customFormat="1" x14ac:dyDescent="0.25"/>
    <row r="282124" customFormat="1" x14ac:dyDescent="0.25"/>
    <row r="282125" customFormat="1" x14ac:dyDescent="0.25"/>
    <row r="282126" customFormat="1" x14ac:dyDescent="0.25"/>
    <row r="282127" customFormat="1" x14ac:dyDescent="0.25"/>
    <row r="282128" customFormat="1" x14ac:dyDescent="0.25"/>
    <row r="282129" customFormat="1" x14ac:dyDescent="0.25"/>
    <row r="282130" customFormat="1" x14ac:dyDescent="0.25"/>
    <row r="282131" customFormat="1" x14ac:dyDescent="0.25"/>
    <row r="282132" customFormat="1" x14ac:dyDescent="0.25"/>
    <row r="282133" customFormat="1" x14ac:dyDescent="0.25"/>
    <row r="282134" customFormat="1" x14ac:dyDescent="0.25"/>
    <row r="282135" customFormat="1" x14ac:dyDescent="0.25"/>
    <row r="282136" customFormat="1" x14ac:dyDescent="0.25"/>
    <row r="282137" customFormat="1" x14ac:dyDescent="0.25"/>
    <row r="282138" customFormat="1" x14ac:dyDescent="0.25"/>
    <row r="282139" customFormat="1" x14ac:dyDescent="0.25"/>
    <row r="282140" customFormat="1" x14ac:dyDescent="0.25"/>
    <row r="282141" customFormat="1" x14ac:dyDescent="0.25"/>
    <row r="282142" customFormat="1" x14ac:dyDescent="0.25"/>
    <row r="282143" customFormat="1" x14ac:dyDescent="0.25"/>
    <row r="282144" customFormat="1" x14ac:dyDescent="0.25"/>
    <row r="282145" customFormat="1" x14ac:dyDescent="0.25"/>
    <row r="282146" customFormat="1" x14ac:dyDescent="0.25"/>
    <row r="282147" customFormat="1" x14ac:dyDescent="0.25"/>
    <row r="282148" customFormat="1" x14ac:dyDescent="0.25"/>
    <row r="282149" customFormat="1" x14ac:dyDescent="0.25"/>
    <row r="282150" customFormat="1" x14ac:dyDescent="0.25"/>
    <row r="282151" customFormat="1" x14ac:dyDescent="0.25"/>
    <row r="282152" customFormat="1" x14ac:dyDescent="0.25"/>
    <row r="282153" customFormat="1" x14ac:dyDescent="0.25"/>
    <row r="282154" customFormat="1" x14ac:dyDescent="0.25"/>
    <row r="282155" customFormat="1" x14ac:dyDescent="0.25"/>
    <row r="282156" customFormat="1" x14ac:dyDescent="0.25"/>
    <row r="282157" customFormat="1" x14ac:dyDescent="0.25"/>
    <row r="282158" customFormat="1" x14ac:dyDescent="0.25"/>
    <row r="282159" customFormat="1" x14ac:dyDescent="0.25"/>
    <row r="282160" customFormat="1" x14ac:dyDescent="0.25"/>
    <row r="282161" customFormat="1" x14ac:dyDescent="0.25"/>
    <row r="282162" customFormat="1" x14ac:dyDescent="0.25"/>
    <row r="282163" customFormat="1" x14ac:dyDescent="0.25"/>
    <row r="282164" customFormat="1" x14ac:dyDescent="0.25"/>
    <row r="282165" customFormat="1" x14ac:dyDescent="0.25"/>
    <row r="282166" customFormat="1" x14ac:dyDescent="0.25"/>
    <row r="282167" customFormat="1" x14ac:dyDescent="0.25"/>
    <row r="282168" customFormat="1" x14ac:dyDescent="0.25"/>
    <row r="282169" customFormat="1" x14ac:dyDescent="0.25"/>
    <row r="282170" customFormat="1" x14ac:dyDescent="0.25"/>
    <row r="282171" customFormat="1" x14ac:dyDescent="0.25"/>
    <row r="282172" customFormat="1" x14ac:dyDescent="0.25"/>
    <row r="282173" customFormat="1" x14ac:dyDescent="0.25"/>
    <row r="282174" customFormat="1" x14ac:dyDescent="0.25"/>
    <row r="282175" customFormat="1" x14ac:dyDescent="0.25"/>
    <row r="282176" customFormat="1" x14ac:dyDescent="0.25"/>
    <row r="282177" customFormat="1" x14ac:dyDescent="0.25"/>
    <row r="282178" customFormat="1" x14ac:dyDescent="0.25"/>
    <row r="282179" customFormat="1" x14ac:dyDescent="0.25"/>
    <row r="282180" customFormat="1" x14ac:dyDescent="0.25"/>
    <row r="282181" customFormat="1" x14ac:dyDescent="0.25"/>
    <row r="282182" customFormat="1" x14ac:dyDescent="0.25"/>
    <row r="282183" customFormat="1" x14ac:dyDescent="0.25"/>
    <row r="282184" customFormat="1" x14ac:dyDescent="0.25"/>
    <row r="282185" customFormat="1" x14ac:dyDescent="0.25"/>
    <row r="282186" customFormat="1" x14ac:dyDescent="0.25"/>
    <row r="282187" customFormat="1" x14ac:dyDescent="0.25"/>
    <row r="282188" customFormat="1" x14ac:dyDescent="0.25"/>
    <row r="282189" customFormat="1" x14ac:dyDescent="0.25"/>
    <row r="282190" customFormat="1" x14ac:dyDescent="0.25"/>
    <row r="282191" customFormat="1" x14ac:dyDescent="0.25"/>
    <row r="282192" customFormat="1" x14ac:dyDescent="0.25"/>
    <row r="282193" customFormat="1" x14ac:dyDescent="0.25"/>
    <row r="282194" customFormat="1" x14ac:dyDescent="0.25"/>
    <row r="282195" customFormat="1" x14ac:dyDescent="0.25"/>
    <row r="282196" customFormat="1" x14ac:dyDescent="0.25"/>
    <row r="282197" customFormat="1" x14ac:dyDescent="0.25"/>
    <row r="282198" customFormat="1" x14ac:dyDescent="0.25"/>
    <row r="282199" customFormat="1" x14ac:dyDescent="0.25"/>
    <row r="282200" customFormat="1" x14ac:dyDescent="0.25"/>
    <row r="282201" customFormat="1" x14ac:dyDescent="0.25"/>
    <row r="282202" customFormat="1" x14ac:dyDescent="0.25"/>
    <row r="282203" customFormat="1" x14ac:dyDescent="0.25"/>
    <row r="282204" customFormat="1" x14ac:dyDescent="0.25"/>
    <row r="282205" customFormat="1" x14ac:dyDescent="0.25"/>
    <row r="282206" customFormat="1" x14ac:dyDescent="0.25"/>
    <row r="282207" customFormat="1" x14ac:dyDescent="0.25"/>
    <row r="282208" customFormat="1" x14ac:dyDescent="0.25"/>
    <row r="282209" customFormat="1" x14ac:dyDescent="0.25"/>
    <row r="282210" customFormat="1" x14ac:dyDescent="0.25"/>
    <row r="282211" customFormat="1" x14ac:dyDescent="0.25"/>
    <row r="282212" customFormat="1" x14ac:dyDescent="0.25"/>
    <row r="282213" customFormat="1" x14ac:dyDescent="0.25"/>
    <row r="282214" customFormat="1" x14ac:dyDescent="0.25"/>
    <row r="282215" customFormat="1" x14ac:dyDescent="0.25"/>
    <row r="282216" customFormat="1" x14ac:dyDescent="0.25"/>
    <row r="282217" customFormat="1" x14ac:dyDescent="0.25"/>
    <row r="282218" customFormat="1" x14ac:dyDescent="0.25"/>
    <row r="282219" customFormat="1" x14ac:dyDescent="0.25"/>
    <row r="282220" customFormat="1" x14ac:dyDescent="0.25"/>
    <row r="282221" customFormat="1" x14ac:dyDescent="0.25"/>
    <row r="282222" customFormat="1" x14ac:dyDescent="0.25"/>
    <row r="282223" customFormat="1" x14ac:dyDescent="0.25"/>
    <row r="282224" customFormat="1" x14ac:dyDescent="0.25"/>
    <row r="282225" customFormat="1" x14ac:dyDescent="0.25"/>
    <row r="282226" customFormat="1" x14ac:dyDescent="0.25"/>
    <row r="282227" customFormat="1" x14ac:dyDescent="0.25"/>
    <row r="282228" customFormat="1" x14ac:dyDescent="0.25"/>
    <row r="282229" customFormat="1" x14ac:dyDescent="0.25"/>
    <row r="282230" customFormat="1" x14ac:dyDescent="0.25"/>
    <row r="282231" customFormat="1" x14ac:dyDescent="0.25"/>
    <row r="282232" customFormat="1" x14ac:dyDescent="0.25"/>
    <row r="282233" customFormat="1" x14ac:dyDescent="0.25"/>
    <row r="282234" customFormat="1" x14ac:dyDescent="0.25"/>
    <row r="282235" customFormat="1" x14ac:dyDescent="0.25"/>
    <row r="282236" customFormat="1" x14ac:dyDescent="0.25"/>
    <row r="282237" customFormat="1" x14ac:dyDescent="0.25"/>
    <row r="282238" customFormat="1" x14ac:dyDescent="0.25"/>
    <row r="282239" customFormat="1" x14ac:dyDescent="0.25"/>
    <row r="282240" customFormat="1" x14ac:dyDescent="0.25"/>
    <row r="282241" customFormat="1" x14ac:dyDescent="0.25"/>
    <row r="282242" customFormat="1" x14ac:dyDescent="0.25"/>
    <row r="282243" customFormat="1" x14ac:dyDescent="0.25"/>
    <row r="282244" customFormat="1" x14ac:dyDescent="0.25"/>
    <row r="282245" customFormat="1" x14ac:dyDescent="0.25"/>
    <row r="282246" customFormat="1" x14ac:dyDescent="0.25"/>
    <row r="282247" customFormat="1" x14ac:dyDescent="0.25"/>
    <row r="282248" customFormat="1" x14ac:dyDescent="0.25"/>
    <row r="282249" customFormat="1" x14ac:dyDescent="0.25"/>
    <row r="282250" customFormat="1" x14ac:dyDescent="0.25"/>
    <row r="282251" customFormat="1" x14ac:dyDescent="0.25"/>
    <row r="282252" customFormat="1" x14ac:dyDescent="0.25"/>
    <row r="282253" customFormat="1" x14ac:dyDescent="0.25"/>
    <row r="282254" customFormat="1" x14ac:dyDescent="0.25"/>
    <row r="282255" customFormat="1" x14ac:dyDescent="0.25"/>
    <row r="282256" customFormat="1" x14ac:dyDescent="0.25"/>
    <row r="282257" customFormat="1" x14ac:dyDescent="0.25"/>
    <row r="282258" customFormat="1" x14ac:dyDescent="0.25"/>
    <row r="282259" customFormat="1" x14ac:dyDescent="0.25"/>
    <row r="282260" customFormat="1" x14ac:dyDescent="0.25"/>
    <row r="282261" customFormat="1" x14ac:dyDescent="0.25"/>
    <row r="282262" customFormat="1" x14ac:dyDescent="0.25"/>
    <row r="282263" customFormat="1" x14ac:dyDescent="0.25"/>
    <row r="282264" customFormat="1" x14ac:dyDescent="0.25"/>
    <row r="282265" customFormat="1" x14ac:dyDescent="0.25"/>
    <row r="282266" customFormat="1" x14ac:dyDescent="0.25"/>
    <row r="282267" customFormat="1" x14ac:dyDescent="0.25"/>
    <row r="282268" customFormat="1" x14ac:dyDescent="0.25"/>
    <row r="282269" customFormat="1" x14ac:dyDescent="0.25"/>
    <row r="282270" customFormat="1" x14ac:dyDescent="0.25"/>
    <row r="282271" customFormat="1" x14ac:dyDescent="0.25"/>
    <row r="282272" customFormat="1" x14ac:dyDescent="0.25"/>
    <row r="282273" customFormat="1" x14ac:dyDescent="0.25"/>
    <row r="282274" customFormat="1" x14ac:dyDescent="0.25"/>
    <row r="282275" customFormat="1" x14ac:dyDescent="0.25"/>
    <row r="282276" customFormat="1" x14ac:dyDescent="0.25"/>
    <row r="282277" customFormat="1" x14ac:dyDescent="0.25"/>
    <row r="282278" customFormat="1" x14ac:dyDescent="0.25"/>
    <row r="282279" customFormat="1" x14ac:dyDescent="0.25"/>
    <row r="282280" customFormat="1" x14ac:dyDescent="0.25"/>
    <row r="282281" customFormat="1" x14ac:dyDescent="0.25"/>
    <row r="282282" customFormat="1" x14ac:dyDescent="0.25"/>
    <row r="282283" customFormat="1" x14ac:dyDescent="0.25"/>
    <row r="282284" customFormat="1" x14ac:dyDescent="0.25"/>
    <row r="282285" customFormat="1" x14ac:dyDescent="0.25"/>
    <row r="282286" customFormat="1" x14ac:dyDescent="0.25"/>
    <row r="282287" customFormat="1" x14ac:dyDescent="0.25"/>
    <row r="282288" customFormat="1" x14ac:dyDescent="0.25"/>
    <row r="282289" customFormat="1" x14ac:dyDescent="0.25"/>
    <row r="282290" customFormat="1" x14ac:dyDescent="0.25"/>
    <row r="282291" customFormat="1" x14ac:dyDescent="0.25"/>
    <row r="282292" customFormat="1" x14ac:dyDescent="0.25"/>
    <row r="282293" customFormat="1" x14ac:dyDescent="0.25"/>
    <row r="282294" customFormat="1" x14ac:dyDescent="0.25"/>
    <row r="282295" customFormat="1" x14ac:dyDescent="0.25"/>
    <row r="282296" customFormat="1" x14ac:dyDescent="0.25"/>
    <row r="282297" customFormat="1" x14ac:dyDescent="0.25"/>
    <row r="282298" customFormat="1" x14ac:dyDescent="0.25"/>
    <row r="282299" customFormat="1" x14ac:dyDescent="0.25"/>
    <row r="282300" customFormat="1" x14ac:dyDescent="0.25"/>
    <row r="282301" customFormat="1" x14ac:dyDescent="0.25"/>
    <row r="282302" customFormat="1" x14ac:dyDescent="0.25"/>
    <row r="282303" customFormat="1" x14ac:dyDescent="0.25"/>
    <row r="282304" customFormat="1" x14ac:dyDescent="0.25"/>
    <row r="282305" customFormat="1" x14ac:dyDescent="0.25"/>
    <row r="282306" customFormat="1" x14ac:dyDescent="0.25"/>
    <row r="282307" customFormat="1" x14ac:dyDescent="0.25"/>
    <row r="282308" customFormat="1" x14ac:dyDescent="0.25"/>
    <row r="282309" customFormat="1" x14ac:dyDescent="0.25"/>
    <row r="282310" customFormat="1" x14ac:dyDescent="0.25"/>
    <row r="282311" customFormat="1" x14ac:dyDescent="0.25"/>
    <row r="282312" customFormat="1" x14ac:dyDescent="0.25"/>
    <row r="282313" customFormat="1" x14ac:dyDescent="0.25"/>
    <row r="282314" customFormat="1" x14ac:dyDescent="0.25"/>
    <row r="282315" customFormat="1" x14ac:dyDescent="0.25"/>
    <row r="282316" customFormat="1" x14ac:dyDescent="0.25"/>
    <row r="282317" customFormat="1" x14ac:dyDescent="0.25"/>
    <row r="282318" customFormat="1" x14ac:dyDescent="0.25"/>
    <row r="282319" customFormat="1" x14ac:dyDescent="0.25"/>
    <row r="282320" customFormat="1" x14ac:dyDescent="0.25"/>
    <row r="282321" customFormat="1" x14ac:dyDescent="0.25"/>
    <row r="282322" customFormat="1" x14ac:dyDescent="0.25"/>
    <row r="282323" customFormat="1" x14ac:dyDescent="0.25"/>
    <row r="282324" customFormat="1" x14ac:dyDescent="0.25"/>
    <row r="282325" customFormat="1" x14ac:dyDescent="0.25"/>
    <row r="282326" customFormat="1" x14ac:dyDescent="0.25"/>
    <row r="282327" customFormat="1" x14ac:dyDescent="0.25"/>
    <row r="282328" customFormat="1" x14ac:dyDescent="0.25"/>
    <row r="282329" customFormat="1" x14ac:dyDescent="0.25"/>
    <row r="282330" customFormat="1" x14ac:dyDescent="0.25"/>
    <row r="282331" customFormat="1" x14ac:dyDescent="0.25"/>
    <row r="282332" customFormat="1" x14ac:dyDescent="0.25"/>
    <row r="282333" customFormat="1" x14ac:dyDescent="0.25"/>
    <row r="282334" customFormat="1" x14ac:dyDescent="0.25"/>
    <row r="282335" customFormat="1" x14ac:dyDescent="0.25"/>
    <row r="282336" customFormat="1" x14ac:dyDescent="0.25"/>
    <row r="282337" customFormat="1" x14ac:dyDescent="0.25"/>
    <row r="282338" customFormat="1" x14ac:dyDescent="0.25"/>
    <row r="282339" customFormat="1" x14ac:dyDescent="0.25"/>
    <row r="282340" customFormat="1" x14ac:dyDescent="0.25"/>
    <row r="282341" customFormat="1" x14ac:dyDescent="0.25"/>
    <row r="282342" customFormat="1" x14ac:dyDescent="0.25"/>
    <row r="282343" customFormat="1" x14ac:dyDescent="0.25"/>
    <row r="282344" customFormat="1" x14ac:dyDescent="0.25"/>
    <row r="282345" customFormat="1" x14ac:dyDescent="0.25"/>
    <row r="282346" customFormat="1" x14ac:dyDescent="0.25"/>
    <row r="282347" customFormat="1" x14ac:dyDescent="0.25"/>
    <row r="282348" customFormat="1" x14ac:dyDescent="0.25"/>
    <row r="282349" customFormat="1" x14ac:dyDescent="0.25"/>
    <row r="282350" customFormat="1" x14ac:dyDescent="0.25"/>
    <row r="282351" customFormat="1" x14ac:dyDescent="0.25"/>
    <row r="282352" customFormat="1" x14ac:dyDescent="0.25"/>
    <row r="282353" customFormat="1" x14ac:dyDescent="0.25"/>
    <row r="282354" customFormat="1" x14ac:dyDescent="0.25"/>
    <row r="282355" customFormat="1" x14ac:dyDescent="0.25"/>
    <row r="282356" customFormat="1" x14ac:dyDescent="0.25"/>
    <row r="282357" customFormat="1" x14ac:dyDescent="0.25"/>
    <row r="282358" customFormat="1" x14ac:dyDescent="0.25"/>
    <row r="282359" customFormat="1" x14ac:dyDescent="0.25"/>
    <row r="282360" customFormat="1" x14ac:dyDescent="0.25"/>
    <row r="282361" customFormat="1" x14ac:dyDescent="0.25"/>
    <row r="282362" customFormat="1" x14ac:dyDescent="0.25"/>
    <row r="282363" customFormat="1" x14ac:dyDescent="0.25"/>
    <row r="282364" customFormat="1" x14ac:dyDescent="0.25"/>
    <row r="282365" customFormat="1" x14ac:dyDescent="0.25"/>
    <row r="282366" customFormat="1" x14ac:dyDescent="0.25"/>
    <row r="282367" customFormat="1" x14ac:dyDescent="0.25"/>
    <row r="282368" customFormat="1" x14ac:dyDescent="0.25"/>
    <row r="282369" customFormat="1" x14ac:dyDescent="0.25"/>
    <row r="282370" customFormat="1" x14ac:dyDescent="0.25"/>
    <row r="282371" customFormat="1" x14ac:dyDescent="0.25"/>
    <row r="282372" customFormat="1" x14ac:dyDescent="0.25"/>
    <row r="282373" customFormat="1" x14ac:dyDescent="0.25"/>
    <row r="282374" customFormat="1" x14ac:dyDescent="0.25"/>
    <row r="282375" customFormat="1" x14ac:dyDescent="0.25"/>
    <row r="282376" customFormat="1" x14ac:dyDescent="0.25"/>
    <row r="282377" customFormat="1" x14ac:dyDescent="0.25"/>
    <row r="282378" customFormat="1" x14ac:dyDescent="0.25"/>
    <row r="282379" customFormat="1" x14ac:dyDescent="0.25"/>
    <row r="282380" customFormat="1" x14ac:dyDescent="0.25"/>
    <row r="282381" customFormat="1" x14ac:dyDescent="0.25"/>
    <row r="282382" customFormat="1" x14ac:dyDescent="0.25"/>
    <row r="282383" customFormat="1" x14ac:dyDescent="0.25"/>
    <row r="282384" customFormat="1" x14ac:dyDescent="0.25"/>
    <row r="282385" customFormat="1" x14ac:dyDescent="0.25"/>
    <row r="282386" customFormat="1" x14ac:dyDescent="0.25"/>
    <row r="282387" customFormat="1" x14ac:dyDescent="0.25"/>
    <row r="282388" customFormat="1" x14ac:dyDescent="0.25"/>
    <row r="282389" customFormat="1" x14ac:dyDescent="0.25"/>
    <row r="282390" customFormat="1" x14ac:dyDescent="0.25"/>
    <row r="282391" customFormat="1" x14ac:dyDescent="0.25"/>
    <row r="282392" customFormat="1" x14ac:dyDescent="0.25"/>
    <row r="282393" customFormat="1" x14ac:dyDescent="0.25"/>
    <row r="282394" customFormat="1" x14ac:dyDescent="0.25"/>
    <row r="282395" customFormat="1" x14ac:dyDescent="0.25"/>
    <row r="282396" customFormat="1" x14ac:dyDescent="0.25"/>
    <row r="282397" customFormat="1" x14ac:dyDescent="0.25"/>
    <row r="282398" customFormat="1" x14ac:dyDescent="0.25"/>
    <row r="282399" customFormat="1" x14ac:dyDescent="0.25"/>
    <row r="282400" customFormat="1" x14ac:dyDescent="0.25"/>
    <row r="282401" customFormat="1" x14ac:dyDescent="0.25"/>
    <row r="282402" customFormat="1" x14ac:dyDescent="0.25"/>
    <row r="282403" customFormat="1" x14ac:dyDescent="0.25"/>
    <row r="282404" customFormat="1" x14ac:dyDescent="0.25"/>
    <row r="282405" customFormat="1" x14ac:dyDescent="0.25"/>
    <row r="282406" customFormat="1" x14ac:dyDescent="0.25"/>
    <row r="282407" customFormat="1" x14ac:dyDescent="0.25"/>
    <row r="282408" customFormat="1" x14ac:dyDescent="0.25"/>
    <row r="282409" customFormat="1" x14ac:dyDescent="0.25"/>
    <row r="282410" customFormat="1" x14ac:dyDescent="0.25"/>
    <row r="282411" customFormat="1" x14ac:dyDescent="0.25"/>
    <row r="282412" customFormat="1" x14ac:dyDescent="0.25"/>
    <row r="282413" customFormat="1" x14ac:dyDescent="0.25"/>
    <row r="282414" customFormat="1" x14ac:dyDescent="0.25"/>
    <row r="282415" customFormat="1" x14ac:dyDescent="0.25"/>
    <row r="282416" customFormat="1" x14ac:dyDescent="0.25"/>
    <row r="282417" customFormat="1" x14ac:dyDescent="0.25"/>
    <row r="282418" customFormat="1" x14ac:dyDescent="0.25"/>
    <row r="282419" customFormat="1" x14ac:dyDescent="0.25"/>
    <row r="282420" customFormat="1" x14ac:dyDescent="0.25"/>
    <row r="282421" customFormat="1" x14ac:dyDescent="0.25"/>
    <row r="282422" customFormat="1" x14ac:dyDescent="0.25"/>
    <row r="282423" customFormat="1" x14ac:dyDescent="0.25"/>
    <row r="282424" customFormat="1" x14ac:dyDescent="0.25"/>
    <row r="282425" customFormat="1" x14ac:dyDescent="0.25"/>
    <row r="282426" customFormat="1" x14ac:dyDescent="0.25"/>
    <row r="282427" customFormat="1" x14ac:dyDescent="0.25"/>
    <row r="282428" customFormat="1" x14ac:dyDescent="0.25"/>
    <row r="282429" customFormat="1" x14ac:dyDescent="0.25"/>
    <row r="282430" customFormat="1" x14ac:dyDescent="0.25"/>
    <row r="282431" customFormat="1" x14ac:dyDescent="0.25"/>
    <row r="282432" customFormat="1" x14ac:dyDescent="0.25"/>
    <row r="282433" customFormat="1" x14ac:dyDescent="0.25"/>
    <row r="282434" customFormat="1" x14ac:dyDescent="0.25"/>
    <row r="282435" customFormat="1" x14ac:dyDescent="0.25"/>
    <row r="282436" customFormat="1" x14ac:dyDescent="0.25"/>
    <row r="282437" customFormat="1" x14ac:dyDescent="0.25"/>
    <row r="282438" customFormat="1" x14ac:dyDescent="0.25"/>
    <row r="282439" customFormat="1" x14ac:dyDescent="0.25"/>
    <row r="282440" customFormat="1" x14ac:dyDescent="0.25"/>
    <row r="282441" customFormat="1" x14ac:dyDescent="0.25"/>
    <row r="282442" customFormat="1" x14ac:dyDescent="0.25"/>
    <row r="282443" customFormat="1" x14ac:dyDescent="0.25"/>
    <row r="282444" customFormat="1" x14ac:dyDescent="0.25"/>
    <row r="282445" customFormat="1" x14ac:dyDescent="0.25"/>
    <row r="282446" customFormat="1" x14ac:dyDescent="0.25"/>
    <row r="282447" customFormat="1" x14ac:dyDescent="0.25"/>
    <row r="282448" customFormat="1" x14ac:dyDescent="0.25"/>
    <row r="282449" customFormat="1" x14ac:dyDescent="0.25"/>
    <row r="282450" customFormat="1" x14ac:dyDescent="0.25"/>
    <row r="282451" customFormat="1" x14ac:dyDescent="0.25"/>
    <row r="282452" customFormat="1" x14ac:dyDescent="0.25"/>
    <row r="282453" customFormat="1" x14ac:dyDescent="0.25"/>
    <row r="282454" customFormat="1" x14ac:dyDescent="0.25"/>
    <row r="282455" customFormat="1" x14ac:dyDescent="0.25"/>
    <row r="282456" customFormat="1" x14ac:dyDescent="0.25"/>
    <row r="282457" customFormat="1" x14ac:dyDescent="0.25"/>
    <row r="282458" customFormat="1" x14ac:dyDescent="0.25"/>
    <row r="282459" customFormat="1" x14ac:dyDescent="0.25"/>
    <row r="282460" customFormat="1" x14ac:dyDescent="0.25"/>
    <row r="282461" customFormat="1" x14ac:dyDescent="0.25"/>
    <row r="282462" customFormat="1" x14ac:dyDescent="0.25"/>
    <row r="282463" customFormat="1" x14ac:dyDescent="0.25"/>
    <row r="282464" customFormat="1" x14ac:dyDescent="0.25"/>
    <row r="282465" customFormat="1" x14ac:dyDescent="0.25"/>
    <row r="282466" customFormat="1" x14ac:dyDescent="0.25"/>
    <row r="282467" customFormat="1" x14ac:dyDescent="0.25"/>
    <row r="282468" customFormat="1" x14ac:dyDescent="0.25"/>
    <row r="282469" customFormat="1" x14ac:dyDescent="0.25"/>
    <row r="282470" customFormat="1" x14ac:dyDescent="0.25"/>
    <row r="282471" customFormat="1" x14ac:dyDescent="0.25"/>
    <row r="282472" customFormat="1" x14ac:dyDescent="0.25"/>
    <row r="282473" customFormat="1" x14ac:dyDescent="0.25"/>
    <row r="282474" customFormat="1" x14ac:dyDescent="0.25"/>
    <row r="282475" customFormat="1" x14ac:dyDescent="0.25"/>
    <row r="282476" customFormat="1" x14ac:dyDescent="0.25"/>
    <row r="282477" customFormat="1" x14ac:dyDescent="0.25"/>
    <row r="282478" customFormat="1" x14ac:dyDescent="0.25"/>
    <row r="282479" customFormat="1" x14ac:dyDescent="0.25"/>
    <row r="282480" customFormat="1" x14ac:dyDescent="0.25"/>
    <row r="282481" customFormat="1" x14ac:dyDescent="0.25"/>
    <row r="282482" customFormat="1" x14ac:dyDescent="0.25"/>
    <row r="282483" customFormat="1" x14ac:dyDescent="0.25"/>
    <row r="282484" customFormat="1" x14ac:dyDescent="0.25"/>
    <row r="282485" customFormat="1" x14ac:dyDescent="0.25"/>
    <row r="282486" customFormat="1" x14ac:dyDescent="0.25"/>
    <row r="282487" customFormat="1" x14ac:dyDescent="0.25"/>
    <row r="282488" customFormat="1" x14ac:dyDescent="0.25"/>
    <row r="282489" customFormat="1" x14ac:dyDescent="0.25"/>
    <row r="282490" customFormat="1" x14ac:dyDescent="0.25"/>
    <row r="282491" customFormat="1" x14ac:dyDescent="0.25"/>
    <row r="282492" customFormat="1" x14ac:dyDescent="0.25"/>
    <row r="282493" customFormat="1" x14ac:dyDescent="0.25"/>
    <row r="282494" customFormat="1" x14ac:dyDescent="0.25"/>
    <row r="282495" customFormat="1" x14ac:dyDescent="0.25"/>
    <row r="282496" customFormat="1" x14ac:dyDescent="0.25"/>
    <row r="282497" customFormat="1" x14ac:dyDescent="0.25"/>
    <row r="282498" customFormat="1" x14ac:dyDescent="0.25"/>
    <row r="282499" customFormat="1" x14ac:dyDescent="0.25"/>
    <row r="282500" customFormat="1" x14ac:dyDescent="0.25"/>
    <row r="282501" customFormat="1" x14ac:dyDescent="0.25"/>
    <row r="282502" customFormat="1" x14ac:dyDescent="0.25"/>
    <row r="282503" customFormat="1" x14ac:dyDescent="0.25"/>
    <row r="282504" customFormat="1" x14ac:dyDescent="0.25"/>
    <row r="282505" customFormat="1" x14ac:dyDescent="0.25"/>
    <row r="282506" customFormat="1" x14ac:dyDescent="0.25"/>
    <row r="282507" customFormat="1" x14ac:dyDescent="0.25"/>
    <row r="282508" customFormat="1" x14ac:dyDescent="0.25"/>
    <row r="282509" customFormat="1" x14ac:dyDescent="0.25"/>
    <row r="282510" customFormat="1" x14ac:dyDescent="0.25"/>
    <row r="282511" customFormat="1" x14ac:dyDescent="0.25"/>
    <row r="282512" customFormat="1" x14ac:dyDescent="0.25"/>
    <row r="282513" customFormat="1" x14ac:dyDescent="0.25"/>
    <row r="282514" customFormat="1" x14ac:dyDescent="0.25"/>
    <row r="282515" customFormat="1" x14ac:dyDescent="0.25"/>
    <row r="282516" customFormat="1" x14ac:dyDescent="0.25"/>
    <row r="282517" customFormat="1" x14ac:dyDescent="0.25"/>
    <row r="282518" customFormat="1" x14ac:dyDescent="0.25"/>
    <row r="282519" customFormat="1" x14ac:dyDescent="0.25"/>
    <row r="282520" customFormat="1" x14ac:dyDescent="0.25"/>
    <row r="282521" customFormat="1" x14ac:dyDescent="0.25"/>
    <row r="282522" customFormat="1" x14ac:dyDescent="0.25"/>
    <row r="282523" customFormat="1" x14ac:dyDescent="0.25"/>
    <row r="282524" customFormat="1" x14ac:dyDescent="0.25"/>
    <row r="282525" customFormat="1" x14ac:dyDescent="0.25"/>
    <row r="282526" customFormat="1" x14ac:dyDescent="0.25"/>
    <row r="282527" customFormat="1" x14ac:dyDescent="0.25"/>
    <row r="282528" customFormat="1" x14ac:dyDescent="0.25"/>
    <row r="282529" customFormat="1" x14ac:dyDescent="0.25"/>
    <row r="282530" customFormat="1" x14ac:dyDescent="0.25"/>
    <row r="282531" customFormat="1" x14ac:dyDescent="0.25"/>
    <row r="282532" customFormat="1" x14ac:dyDescent="0.25"/>
    <row r="282533" customFormat="1" x14ac:dyDescent="0.25"/>
    <row r="282534" customFormat="1" x14ac:dyDescent="0.25"/>
    <row r="282535" customFormat="1" x14ac:dyDescent="0.25"/>
    <row r="282536" customFormat="1" x14ac:dyDescent="0.25"/>
    <row r="282537" customFormat="1" x14ac:dyDescent="0.25"/>
    <row r="282538" customFormat="1" x14ac:dyDescent="0.25"/>
    <row r="282539" customFormat="1" x14ac:dyDescent="0.25"/>
    <row r="282540" customFormat="1" x14ac:dyDescent="0.25"/>
    <row r="282541" customFormat="1" x14ac:dyDescent="0.25"/>
    <row r="282542" customFormat="1" x14ac:dyDescent="0.25"/>
    <row r="282543" customFormat="1" x14ac:dyDescent="0.25"/>
    <row r="282544" customFormat="1" x14ac:dyDescent="0.25"/>
    <row r="282545" customFormat="1" x14ac:dyDescent="0.25"/>
    <row r="282546" customFormat="1" x14ac:dyDescent="0.25"/>
    <row r="282547" customFormat="1" x14ac:dyDescent="0.25"/>
    <row r="282548" customFormat="1" x14ac:dyDescent="0.25"/>
    <row r="282549" customFormat="1" x14ac:dyDescent="0.25"/>
    <row r="282550" customFormat="1" x14ac:dyDescent="0.25"/>
    <row r="282551" customFormat="1" x14ac:dyDescent="0.25"/>
    <row r="282552" customFormat="1" x14ac:dyDescent="0.25"/>
    <row r="282553" customFormat="1" x14ac:dyDescent="0.25"/>
    <row r="282554" customFormat="1" x14ac:dyDescent="0.25"/>
    <row r="282555" customFormat="1" x14ac:dyDescent="0.25"/>
    <row r="282556" customFormat="1" x14ac:dyDescent="0.25"/>
    <row r="282557" customFormat="1" x14ac:dyDescent="0.25"/>
    <row r="282558" customFormat="1" x14ac:dyDescent="0.25"/>
    <row r="282559" customFormat="1" x14ac:dyDescent="0.25"/>
    <row r="282560" customFormat="1" x14ac:dyDescent="0.25"/>
    <row r="282561" customFormat="1" x14ac:dyDescent="0.25"/>
    <row r="282562" customFormat="1" x14ac:dyDescent="0.25"/>
    <row r="282563" customFormat="1" x14ac:dyDescent="0.25"/>
    <row r="282564" customFormat="1" x14ac:dyDescent="0.25"/>
    <row r="282565" customFormat="1" x14ac:dyDescent="0.25"/>
    <row r="282566" customFormat="1" x14ac:dyDescent="0.25"/>
    <row r="282567" customFormat="1" x14ac:dyDescent="0.25"/>
    <row r="282568" customFormat="1" x14ac:dyDescent="0.25"/>
    <row r="282569" customFormat="1" x14ac:dyDescent="0.25"/>
    <row r="282570" customFormat="1" x14ac:dyDescent="0.25"/>
    <row r="282571" customFormat="1" x14ac:dyDescent="0.25"/>
    <row r="282572" customFormat="1" x14ac:dyDescent="0.25"/>
    <row r="282573" customFormat="1" x14ac:dyDescent="0.25"/>
    <row r="282574" customFormat="1" x14ac:dyDescent="0.25"/>
    <row r="282575" customFormat="1" x14ac:dyDescent="0.25"/>
    <row r="282576" customFormat="1" x14ac:dyDescent="0.25"/>
    <row r="282577" customFormat="1" x14ac:dyDescent="0.25"/>
    <row r="282578" customFormat="1" x14ac:dyDescent="0.25"/>
    <row r="282579" customFormat="1" x14ac:dyDescent="0.25"/>
    <row r="282580" customFormat="1" x14ac:dyDescent="0.25"/>
    <row r="282581" customFormat="1" x14ac:dyDescent="0.25"/>
    <row r="282582" customFormat="1" x14ac:dyDescent="0.25"/>
    <row r="282583" customFormat="1" x14ac:dyDescent="0.25"/>
    <row r="282584" customFormat="1" x14ac:dyDescent="0.25"/>
    <row r="282585" customFormat="1" x14ac:dyDescent="0.25"/>
    <row r="282586" customFormat="1" x14ac:dyDescent="0.25"/>
    <row r="282587" customFormat="1" x14ac:dyDescent="0.25"/>
    <row r="282588" customFormat="1" x14ac:dyDescent="0.25"/>
    <row r="282589" customFormat="1" x14ac:dyDescent="0.25"/>
    <row r="282590" customFormat="1" x14ac:dyDescent="0.25"/>
    <row r="282591" customFormat="1" x14ac:dyDescent="0.25"/>
    <row r="282592" customFormat="1" x14ac:dyDescent="0.25"/>
    <row r="282593" customFormat="1" x14ac:dyDescent="0.25"/>
    <row r="282594" customFormat="1" x14ac:dyDescent="0.25"/>
    <row r="282595" customFormat="1" x14ac:dyDescent="0.25"/>
    <row r="282596" customFormat="1" x14ac:dyDescent="0.25"/>
    <row r="282597" customFormat="1" x14ac:dyDescent="0.25"/>
    <row r="282598" customFormat="1" x14ac:dyDescent="0.25"/>
    <row r="282599" customFormat="1" x14ac:dyDescent="0.25"/>
    <row r="282600" customFormat="1" x14ac:dyDescent="0.25"/>
    <row r="282601" customFormat="1" x14ac:dyDescent="0.25"/>
    <row r="282602" customFormat="1" x14ac:dyDescent="0.25"/>
    <row r="282603" customFormat="1" x14ac:dyDescent="0.25"/>
    <row r="282604" customFormat="1" x14ac:dyDescent="0.25"/>
    <row r="282605" customFormat="1" x14ac:dyDescent="0.25"/>
    <row r="282606" customFormat="1" x14ac:dyDescent="0.25"/>
    <row r="282607" customFormat="1" x14ac:dyDescent="0.25"/>
    <row r="282608" customFormat="1" x14ac:dyDescent="0.25"/>
    <row r="282609" customFormat="1" x14ac:dyDescent="0.25"/>
    <row r="282610" customFormat="1" x14ac:dyDescent="0.25"/>
    <row r="282611" customFormat="1" x14ac:dyDescent="0.25"/>
    <row r="282612" customFormat="1" x14ac:dyDescent="0.25"/>
    <row r="282613" customFormat="1" x14ac:dyDescent="0.25"/>
    <row r="282614" customFormat="1" x14ac:dyDescent="0.25"/>
    <row r="282615" customFormat="1" x14ac:dyDescent="0.25"/>
    <row r="282616" customFormat="1" x14ac:dyDescent="0.25"/>
    <row r="282617" customFormat="1" x14ac:dyDescent="0.25"/>
    <row r="282618" customFormat="1" x14ac:dyDescent="0.25"/>
    <row r="282619" customFormat="1" x14ac:dyDescent="0.25"/>
    <row r="282620" customFormat="1" x14ac:dyDescent="0.25"/>
    <row r="282621" customFormat="1" x14ac:dyDescent="0.25"/>
    <row r="282622" customFormat="1" x14ac:dyDescent="0.25"/>
    <row r="282623" customFormat="1" x14ac:dyDescent="0.25"/>
    <row r="282624" customFormat="1" x14ac:dyDescent="0.25"/>
    <row r="282625" customFormat="1" x14ac:dyDescent="0.25"/>
    <row r="282626" customFormat="1" x14ac:dyDescent="0.25"/>
    <row r="282627" customFormat="1" x14ac:dyDescent="0.25"/>
    <row r="282628" customFormat="1" x14ac:dyDescent="0.25"/>
    <row r="282629" customFormat="1" x14ac:dyDescent="0.25"/>
    <row r="282630" customFormat="1" x14ac:dyDescent="0.25"/>
    <row r="282631" customFormat="1" x14ac:dyDescent="0.25"/>
    <row r="282632" customFormat="1" x14ac:dyDescent="0.25"/>
    <row r="282633" customFormat="1" x14ac:dyDescent="0.25"/>
    <row r="282634" customFormat="1" x14ac:dyDescent="0.25"/>
    <row r="282635" customFormat="1" x14ac:dyDescent="0.25"/>
    <row r="282636" customFormat="1" x14ac:dyDescent="0.25"/>
    <row r="282637" customFormat="1" x14ac:dyDescent="0.25"/>
    <row r="282638" customFormat="1" x14ac:dyDescent="0.25"/>
    <row r="282639" customFormat="1" x14ac:dyDescent="0.25"/>
    <row r="282640" customFormat="1" x14ac:dyDescent="0.25"/>
    <row r="282641" customFormat="1" x14ac:dyDescent="0.25"/>
    <row r="282642" customFormat="1" x14ac:dyDescent="0.25"/>
    <row r="282643" customFormat="1" x14ac:dyDescent="0.25"/>
    <row r="282644" customFormat="1" x14ac:dyDescent="0.25"/>
    <row r="282645" customFormat="1" x14ac:dyDescent="0.25"/>
    <row r="282646" customFormat="1" x14ac:dyDescent="0.25"/>
    <row r="282647" customFormat="1" x14ac:dyDescent="0.25"/>
    <row r="282648" customFormat="1" x14ac:dyDescent="0.25"/>
    <row r="282649" customFormat="1" x14ac:dyDescent="0.25"/>
    <row r="282650" customFormat="1" x14ac:dyDescent="0.25"/>
    <row r="282651" customFormat="1" x14ac:dyDescent="0.25"/>
    <row r="282652" customFormat="1" x14ac:dyDescent="0.25"/>
    <row r="282653" customFormat="1" x14ac:dyDescent="0.25"/>
    <row r="282654" customFormat="1" x14ac:dyDescent="0.25"/>
    <row r="282655" customFormat="1" x14ac:dyDescent="0.25"/>
    <row r="282656" customFormat="1" x14ac:dyDescent="0.25"/>
    <row r="282657" customFormat="1" x14ac:dyDescent="0.25"/>
    <row r="282658" customFormat="1" x14ac:dyDescent="0.25"/>
    <row r="282659" customFormat="1" x14ac:dyDescent="0.25"/>
    <row r="282660" customFormat="1" x14ac:dyDescent="0.25"/>
    <row r="282661" customFormat="1" x14ac:dyDescent="0.25"/>
    <row r="282662" customFormat="1" x14ac:dyDescent="0.25"/>
    <row r="282663" customFormat="1" x14ac:dyDescent="0.25"/>
    <row r="282664" customFormat="1" x14ac:dyDescent="0.25"/>
    <row r="282665" customFormat="1" x14ac:dyDescent="0.25"/>
    <row r="282666" customFormat="1" x14ac:dyDescent="0.25"/>
    <row r="282667" customFormat="1" x14ac:dyDescent="0.25"/>
    <row r="282668" customFormat="1" x14ac:dyDescent="0.25"/>
    <row r="282669" customFormat="1" x14ac:dyDescent="0.25"/>
    <row r="282670" customFormat="1" x14ac:dyDescent="0.25"/>
    <row r="282671" customFormat="1" x14ac:dyDescent="0.25"/>
    <row r="282672" customFormat="1" x14ac:dyDescent="0.25"/>
    <row r="282673" customFormat="1" x14ac:dyDescent="0.25"/>
    <row r="282674" customFormat="1" x14ac:dyDescent="0.25"/>
    <row r="282675" customFormat="1" x14ac:dyDescent="0.25"/>
    <row r="282676" customFormat="1" x14ac:dyDescent="0.25"/>
    <row r="282677" customFormat="1" x14ac:dyDescent="0.25"/>
    <row r="282678" customFormat="1" x14ac:dyDescent="0.25"/>
    <row r="282679" customFormat="1" x14ac:dyDescent="0.25"/>
    <row r="282680" customFormat="1" x14ac:dyDescent="0.25"/>
    <row r="282681" customFormat="1" x14ac:dyDescent="0.25"/>
    <row r="282682" customFormat="1" x14ac:dyDescent="0.25"/>
    <row r="282683" customFormat="1" x14ac:dyDescent="0.25"/>
    <row r="282684" customFormat="1" x14ac:dyDescent="0.25"/>
    <row r="282685" customFormat="1" x14ac:dyDescent="0.25"/>
    <row r="282686" customFormat="1" x14ac:dyDescent="0.25"/>
    <row r="282687" customFormat="1" x14ac:dyDescent="0.25"/>
    <row r="282688" customFormat="1" x14ac:dyDescent="0.25"/>
    <row r="282689" customFormat="1" x14ac:dyDescent="0.25"/>
    <row r="282690" customFormat="1" x14ac:dyDescent="0.25"/>
    <row r="282691" customFormat="1" x14ac:dyDescent="0.25"/>
    <row r="282692" customFormat="1" x14ac:dyDescent="0.25"/>
    <row r="282693" customFormat="1" x14ac:dyDescent="0.25"/>
    <row r="282694" customFormat="1" x14ac:dyDescent="0.25"/>
    <row r="282695" customFormat="1" x14ac:dyDescent="0.25"/>
    <row r="282696" customFormat="1" x14ac:dyDescent="0.25"/>
    <row r="282697" customFormat="1" x14ac:dyDescent="0.25"/>
    <row r="282698" customFormat="1" x14ac:dyDescent="0.25"/>
    <row r="282699" customFormat="1" x14ac:dyDescent="0.25"/>
    <row r="282700" customFormat="1" x14ac:dyDescent="0.25"/>
    <row r="282701" customFormat="1" x14ac:dyDescent="0.25"/>
    <row r="282702" customFormat="1" x14ac:dyDescent="0.25"/>
    <row r="282703" customFormat="1" x14ac:dyDescent="0.25"/>
    <row r="282704" customFormat="1" x14ac:dyDescent="0.25"/>
    <row r="282705" customFormat="1" x14ac:dyDescent="0.25"/>
    <row r="282706" customFormat="1" x14ac:dyDescent="0.25"/>
    <row r="282707" customFormat="1" x14ac:dyDescent="0.25"/>
    <row r="282708" customFormat="1" x14ac:dyDescent="0.25"/>
    <row r="282709" customFormat="1" x14ac:dyDescent="0.25"/>
    <row r="282710" customFormat="1" x14ac:dyDescent="0.25"/>
    <row r="282711" customFormat="1" x14ac:dyDescent="0.25"/>
    <row r="282712" customFormat="1" x14ac:dyDescent="0.25"/>
    <row r="282713" customFormat="1" x14ac:dyDescent="0.25"/>
    <row r="282714" customFormat="1" x14ac:dyDescent="0.25"/>
    <row r="282715" customFormat="1" x14ac:dyDescent="0.25"/>
    <row r="282716" customFormat="1" x14ac:dyDescent="0.25"/>
    <row r="282717" customFormat="1" x14ac:dyDescent="0.25"/>
    <row r="282718" customFormat="1" x14ac:dyDescent="0.25"/>
    <row r="282719" customFormat="1" x14ac:dyDescent="0.25"/>
    <row r="282720" customFormat="1" x14ac:dyDescent="0.25"/>
    <row r="282721" customFormat="1" x14ac:dyDescent="0.25"/>
    <row r="282722" customFormat="1" x14ac:dyDescent="0.25"/>
    <row r="282723" customFormat="1" x14ac:dyDescent="0.25"/>
    <row r="282724" customFormat="1" x14ac:dyDescent="0.25"/>
    <row r="282725" customFormat="1" x14ac:dyDescent="0.25"/>
    <row r="282726" customFormat="1" x14ac:dyDescent="0.25"/>
    <row r="282727" customFormat="1" x14ac:dyDescent="0.25"/>
    <row r="282728" customFormat="1" x14ac:dyDescent="0.25"/>
    <row r="282729" customFormat="1" x14ac:dyDescent="0.25"/>
    <row r="282730" customFormat="1" x14ac:dyDescent="0.25"/>
    <row r="282731" customFormat="1" x14ac:dyDescent="0.25"/>
    <row r="282732" customFormat="1" x14ac:dyDescent="0.25"/>
    <row r="282733" customFormat="1" x14ac:dyDescent="0.25"/>
    <row r="282734" customFormat="1" x14ac:dyDescent="0.25"/>
    <row r="282735" customFormat="1" x14ac:dyDescent="0.25"/>
    <row r="282736" customFormat="1" x14ac:dyDescent="0.25"/>
    <row r="282737" customFormat="1" x14ac:dyDescent="0.25"/>
    <row r="282738" customFormat="1" x14ac:dyDescent="0.25"/>
    <row r="282739" customFormat="1" x14ac:dyDescent="0.25"/>
    <row r="282740" customFormat="1" x14ac:dyDescent="0.25"/>
    <row r="282741" customFormat="1" x14ac:dyDescent="0.25"/>
    <row r="282742" customFormat="1" x14ac:dyDescent="0.25"/>
    <row r="282743" customFormat="1" x14ac:dyDescent="0.25"/>
    <row r="282744" customFormat="1" x14ac:dyDescent="0.25"/>
    <row r="282745" customFormat="1" x14ac:dyDescent="0.25"/>
    <row r="282746" customFormat="1" x14ac:dyDescent="0.25"/>
    <row r="282747" customFormat="1" x14ac:dyDescent="0.25"/>
    <row r="282748" customFormat="1" x14ac:dyDescent="0.25"/>
    <row r="282749" customFormat="1" x14ac:dyDescent="0.25"/>
    <row r="282750" customFormat="1" x14ac:dyDescent="0.25"/>
    <row r="282751" customFormat="1" x14ac:dyDescent="0.25"/>
    <row r="282752" customFormat="1" x14ac:dyDescent="0.25"/>
    <row r="282753" customFormat="1" x14ac:dyDescent="0.25"/>
    <row r="282754" customFormat="1" x14ac:dyDescent="0.25"/>
    <row r="282755" customFormat="1" x14ac:dyDescent="0.25"/>
    <row r="282756" customFormat="1" x14ac:dyDescent="0.25"/>
    <row r="282757" customFormat="1" x14ac:dyDescent="0.25"/>
    <row r="282758" customFormat="1" x14ac:dyDescent="0.25"/>
    <row r="282759" customFormat="1" x14ac:dyDescent="0.25"/>
    <row r="282760" customFormat="1" x14ac:dyDescent="0.25"/>
    <row r="282761" customFormat="1" x14ac:dyDescent="0.25"/>
    <row r="282762" customFormat="1" x14ac:dyDescent="0.25"/>
    <row r="282763" customFormat="1" x14ac:dyDescent="0.25"/>
    <row r="282764" customFormat="1" x14ac:dyDescent="0.25"/>
    <row r="282765" customFormat="1" x14ac:dyDescent="0.25"/>
    <row r="282766" customFormat="1" x14ac:dyDescent="0.25"/>
    <row r="282767" customFormat="1" x14ac:dyDescent="0.25"/>
    <row r="282768" customFormat="1" x14ac:dyDescent="0.25"/>
    <row r="282769" customFormat="1" x14ac:dyDescent="0.25"/>
    <row r="282770" customFormat="1" x14ac:dyDescent="0.25"/>
    <row r="282771" customFormat="1" x14ac:dyDescent="0.25"/>
    <row r="282772" customFormat="1" x14ac:dyDescent="0.25"/>
    <row r="282773" customFormat="1" x14ac:dyDescent="0.25"/>
    <row r="282774" customFormat="1" x14ac:dyDescent="0.25"/>
    <row r="282775" customFormat="1" x14ac:dyDescent="0.25"/>
    <row r="282776" customFormat="1" x14ac:dyDescent="0.25"/>
    <row r="282777" customFormat="1" x14ac:dyDescent="0.25"/>
    <row r="282778" customFormat="1" x14ac:dyDescent="0.25"/>
    <row r="282779" customFormat="1" x14ac:dyDescent="0.25"/>
    <row r="282780" customFormat="1" x14ac:dyDescent="0.25"/>
    <row r="282781" customFormat="1" x14ac:dyDescent="0.25"/>
    <row r="282782" customFormat="1" x14ac:dyDescent="0.25"/>
    <row r="282783" customFormat="1" x14ac:dyDescent="0.25"/>
    <row r="282784" customFormat="1" x14ac:dyDescent="0.25"/>
    <row r="282785" customFormat="1" x14ac:dyDescent="0.25"/>
    <row r="282786" customFormat="1" x14ac:dyDescent="0.25"/>
    <row r="282787" customFormat="1" x14ac:dyDescent="0.25"/>
    <row r="282788" customFormat="1" x14ac:dyDescent="0.25"/>
    <row r="282789" customFormat="1" x14ac:dyDescent="0.25"/>
    <row r="282790" customFormat="1" x14ac:dyDescent="0.25"/>
    <row r="282791" customFormat="1" x14ac:dyDescent="0.25"/>
    <row r="282792" customFormat="1" x14ac:dyDescent="0.25"/>
    <row r="282793" customFormat="1" x14ac:dyDescent="0.25"/>
    <row r="282794" customFormat="1" x14ac:dyDescent="0.25"/>
    <row r="282795" customFormat="1" x14ac:dyDescent="0.25"/>
    <row r="282796" customFormat="1" x14ac:dyDescent="0.25"/>
    <row r="282797" customFormat="1" x14ac:dyDescent="0.25"/>
    <row r="282798" customFormat="1" x14ac:dyDescent="0.25"/>
    <row r="282799" customFormat="1" x14ac:dyDescent="0.25"/>
    <row r="282800" customFormat="1" x14ac:dyDescent="0.25"/>
    <row r="282801" customFormat="1" x14ac:dyDescent="0.25"/>
    <row r="282802" customFormat="1" x14ac:dyDescent="0.25"/>
    <row r="282803" customFormat="1" x14ac:dyDescent="0.25"/>
    <row r="282804" customFormat="1" x14ac:dyDescent="0.25"/>
    <row r="282805" customFormat="1" x14ac:dyDescent="0.25"/>
    <row r="282806" customFormat="1" x14ac:dyDescent="0.25"/>
    <row r="282807" customFormat="1" x14ac:dyDescent="0.25"/>
    <row r="282808" customFormat="1" x14ac:dyDescent="0.25"/>
    <row r="282809" customFormat="1" x14ac:dyDescent="0.25"/>
    <row r="282810" customFormat="1" x14ac:dyDescent="0.25"/>
    <row r="282811" customFormat="1" x14ac:dyDescent="0.25"/>
    <row r="282812" customFormat="1" x14ac:dyDescent="0.25"/>
    <row r="282813" customFormat="1" x14ac:dyDescent="0.25"/>
    <row r="282814" customFormat="1" x14ac:dyDescent="0.25"/>
    <row r="282815" customFormat="1" x14ac:dyDescent="0.25"/>
    <row r="282816" customFormat="1" x14ac:dyDescent="0.25"/>
    <row r="282817" customFormat="1" x14ac:dyDescent="0.25"/>
    <row r="282818" customFormat="1" x14ac:dyDescent="0.25"/>
    <row r="282819" customFormat="1" x14ac:dyDescent="0.25"/>
    <row r="282820" customFormat="1" x14ac:dyDescent="0.25"/>
    <row r="282821" customFormat="1" x14ac:dyDescent="0.25"/>
    <row r="282822" customFormat="1" x14ac:dyDescent="0.25"/>
    <row r="282823" customFormat="1" x14ac:dyDescent="0.25"/>
    <row r="282824" customFormat="1" x14ac:dyDescent="0.25"/>
    <row r="282825" customFormat="1" x14ac:dyDescent="0.25"/>
    <row r="282826" customFormat="1" x14ac:dyDescent="0.25"/>
    <row r="282827" customFormat="1" x14ac:dyDescent="0.25"/>
    <row r="282828" customFormat="1" x14ac:dyDescent="0.25"/>
    <row r="282829" customFormat="1" x14ac:dyDescent="0.25"/>
    <row r="282830" customFormat="1" x14ac:dyDescent="0.25"/>
    <row r="282831" customFormat="1" x14ac:dyDescent="0.25"/>
    <row r="282832" customFormat="1" x14ac:dyDescent="0.25"/>
    <row r="282833" customFormat="1" x14ac:dyDescent="0.25"/>
    <row r="282834" customFormat="1" x14ac:dyDescent="0.25"/>
    <row r="282835" customFormat="1" x14ac:dyDescent="0.25"/>
    <row r="282836" customFormat="1" x14ac:dyDescent="0.25"/>
    <row r="282837" customFormat="1" x14ac:dyDescent="0.25"/>
    <row r="282838" customFormat="1" x14ac:dyDescent="0.25"/>
    <row r="282839" customFormat="1" x14ac:dyDescent="0.25"/>
    <row r="282840" customFormat="1" x14ac:dyDescent="0.25"/>
    <row r="282841" customFormat="1" x14ac:dyDescent="0.25"/>
    <row r="282842" customFormat="1" x14ac:dyDescent="0.25"/>
    <row r="282843" customFormat="1" x14ac:dyDescent="0.25"/>
    <row r="282844" customFormat="1" x14ac:dyDescent="0.25"/>
    <row r="282845" customFormat="1" x14ac:dyDescent="0.25"/>
    <row r="282846" customFormat="1" x14ac:dyDescent="0.25"/>
    <row r="282847" customFormat="1" x14ac:dyDescent="0.25"/>
    <row r="282848" customFormat="1" x14ac:dyDescent="0.25"/>
    <row r="282849" customFormat="1" x14ac:dyDescent="0.25"/>
    <row r="282850" customFormat="1" x14ac:dyDescent="0.25"/>
    <row r="282851" customFormat="1" x14ac:dyDescent="0.25"/>
    <row r="282852" customFormat="1" x14ac:dyDescent="0.25"/>
    <row r="282853" customFormat="1" x14ac:dyDescent="0.25"/>
    <row r="282854" customFormat="1" x14ac:dyDescent="0.25"/>
    <row r="282855" customFormat="1" x14ac:dyDescent="0.25"/>
    <row r="282856" customFormat="1" x14ac:dyDescent="0.25"/>
    <row r="282857" customFormat="1" x14ac:dyDescent="0.25"/>
    <row r="282858" customFormat="1" x14ac:dyDescent="0.25"/>
    <row r="282859" customFormat="1" x14ac:dyDescent="0.25"/>
    <row r="282860" customFormat="1" x14ac:dyDescent="0.25"/>
    <row r="282861" customFormat="1" x14ac:dyDescent="0.25"/>
    <row r="282862" customFormat="1" x14ac:dyDescent="0.25"/>
    <row r="282863" customFormat="1" x14ac:dyDescent="0.25"/>
    <row r="282864" customFormat="1" x14ac:dyDescent="0.25"/>
    <row r="282865" customFormat="1" x14ac:dyDescent="0.25"/>
    <row r="282866" customFormat="1" x14ac:dyDescent="0.25"/>
    <row r="282867" customFormat="1" x14ac:dyDescent="0.25"/>
    <row r="282868" customFormat="1" x14ac:dyDescent="0.25"/>
    <row r="282869" customFormat="1" x14ac:dyDescent="0.25"/>
    <row r="282870" customFormat="1" x14ac:dyDescent="0.25"/>
    <row r="282871" customFormat="1" x14ac:dyDescent="0.25"/>
    <row r="282872" customFormat="1" x14ac:dyDescent="0.25"/>
    <row r="282873" customFormat="1" x14ac:dyDescent="0.25"/>
    <row r="282874" customFormat="1" x14ac:dyDescent="0.25"/>
    <row r="282875" customFormat="1" x14ac:dyDescent="0.25"/>
    <row r="282876" customFormat="1" x14ac:dyDescent="0.25"/>
    <row r="282877" customFormat="1" x14ac:dyDescent="0.25"/>
    <row r="282878" customFormat="1" x14ac:dyDescent="0.25"/>
    <row r="282879" customFormat="1" x14ac:dyDescent="0.25"/>
    <row r="282880" customFormat="1" x14ac:dyDescent="0.25"/>
    <row r="282881" customFormat="1" x14ac:dyDescent="0.25"/>
    <row r="282882" customFormat="1" x14ac:dyDescent="0.25"/>
    <row r="282883" customFormat="1" x14ac:dyDescent="0.25"/>
    <row r="282884" customFormat="1" x14ac:dyDescent="0.25"/>
    <row r="282885" customFormat="1" x14ac:dyDescent="0.25"/>
    <row r="282886" customFormat="1" x14ac:dyDescent="0.25"/>
    <row r="282887" customFormat="1" x14ac:dyDescent="0.25"/>
    <row r="282888" customFormat="1" x14ac:dyDescent="0.25"/>
    <row r="282889" customFormat="1" x14ac:dyDescent="0.25"/>
    <row r="282890" customFormat="1" x14ac:dyDescent="0.25"/>
    <row r="282891" customFormat="1" x14ac:dyDescent="0.25"/>
    <row r="282892" customFormat="1" x14ac:dyDescent="0.25"/>
    <row r="282893" customFormat="1" x14ac:dyDescent="0.25"/>
    <row r="282894" customFormat="1" x14ac:dyDescent="0.25"/>
    <row r="282895" customFormat="1" x14ac:dyDescent="0.25"/>
    <row r="282896" customFormat="1" x14ac:dyDescent="0.25"/>
    <row r="282897" customFormat="1" x14ac:dyDescent="0.25"/>
    <row r="282898" customFormat="1" x14ac:dyDescent="0.25"/>
    <row r="282899" customFormat="1" x14ac:dyDescent="0.25"/>
    <row r="282900" customFormat="1" x14ac:dyDescent="0.25"/>
    <row r="282901" customFormat="1" x14ac:dyDescent="0.25"/>
    <row r="282902" customFormat="1" x14ac:dyDescent="0.25"/>
    <row r="282903" customFormat="1" x14ac:dyDescent="0.25"/>
    <row r="282904" customFormat="1" x14ac:dyDescent="0.25"/>
    <row r="282905" customFormat="1" x14ac:dyDescent="0.25"/>
    <row r="282906" customFormat="1" x14ac:dyDescent="0.25"/>
    <row r="282907" customFormat="1" x14ac:dyDescent="0.25"/>
    <row r="282908" customFormat="1" x14ac:dyDescent="0.25"/>
    <row r="282909" customFormat="1" x14ac:dyDescent="0.25"/>
    <row r="282910" customFormat="1" x14ac:dyDescent="0.25"/>
    <row r="282911" customFormat="1" x14ac:dyDescent="0.25"/>
    <row r="282912" customFormat="1" x14ac:dyDescent="0.25"/>
    <row r="282913" customFormat="1" x14ac:dyDescent="0.25"/>
    <row r="282914" customFormat="1" x14ac:dyDescent="0.25"/>
    <row r="282915" customFormat="1" x14ac:dyDescent="0.25"/>
    <row r="282916" customFormat="1" x14ac:dyDescent="0.25"/>
    <row r="282917" customFormat="1" x14ac:dyDescent="0.25"/>
    <row r="282918" customFormat="1" x14ac:dyDescent="0.25"/>
    <row r="282919" customFormat="1" x14ac:dyDescent="0.25"/>
    <row r="282920" customFormat="1" x14ac:dyDescent="0.25"/>
    <row r="282921" customFormat="1" x14ac:dyDescent="0.25"/>
    <row r="282922" customFormat="1" x14ac:dyDescent="0.25"/>
    <row r="282923" customFormat="1" x14ac:dyDescent="0.25"/>
    <row r="282924" customFormat="1" x14ac:dyDescent="0.25"/>
    <row r="282925" customFormat="1" x14ac:dyDescent="0.25"/>
    <row r="282926" customFormat="1" x14ac:dyDescent="0.25"/>
    <row r="282927" customFormat="1" x14ac:dyDescent="0.25"/>
    <row r="282928" customFormat="1" x14ac:dyDescent="0.25"/>
    <row r="282929" customFormat="1" x14ac:dyDescent="0.25"/>
    <row r="282930" customFormat="1" x14ac:dyDescent="0.25"/>
    <row r="282931" customFormat="1" x14ac:dyDescent="0.25"/>
    <row r="282932" customFormat="1" x14ac:dyDescent="0.25"/>
    <row r="282933" customFormat="1" x14ac:dyDescent="0.25"/>
    <row r="282934" customFormat="1" x14ac:dyDescent="0.25"/>
    <row r="282935" customFormat="1" x14ac:dyDescent="0.25"/>
    <row r="282936" customFormat="1" x14ac:dyDescent="0.25"/>
    <row r="282937" customFormat="1" x14ac:dyDescent="0.25"/>
    <row r="282938" customFormat="1" x14ac:dyDescent="0.25"/>
    <row r="282939" customFormat="1" x14ac:dyDescent="0.25"/>
    <row r="282940" customFormat="1" x14ac:dyDescent="0.25"/>
    <row r="282941" customFormat="1" x14ac:dyDescent="0.25"/>
    <row r="282942" customFormat="1" x14ac:dyDescent="0.25"/>
    <row r="282943" customFormat="1" x14ac:dyDescent="0.25"/>
    <row r="282944" customFormat="1" x14ac:dyDescent="0.25"/>
    <row r="282945" customFormat="1" x14ac:dyDescent="0.25"/>
    <row r="282946" customFormat="1" x14ac:dyDescent="0.25"/>
    <row r="282947" customFormat="1" x14ac:dyDescent="0.25"/>
    <row r="282948" customFormat="1" x14ac:dyDescent="0.25"/>
    <row r="282949" customFormat="1" x14ac:dyDescent="0.25"/>
    <row r="282950" customFormat="1" x14ac:dyDescent="0.25"/>
    <row r="282951" customFormat="1" x14ac:dyDescent="0.25"/>
    <row r="282952" customFormat="1" x14ac:dyDescent="0.25"/>
    <row r="282953" customFormat="1" x14ac:dyDescent="0.25"/>
    <row r="282954" customFormat="1" x14ac:dyDescent="0.25"/>
    <row r="282955" customFormat="1" x14ac:dyDescent="0.25"/>
    <row r="282956" customFormat="1" x14ac:dyDescent="0.25"/>
    <row r="282957" customFormat="1" x14ac:dyDescent="0.25"/>
    <row r="282958" customFormat="1" x14ac:dyDescent="0.25"/>
    <row r="282959" customFormat="1" x14ac:dyDescent="0.25"/>
    <row r="282960" customFormat="1" x14ac:dyDescent="0.25"/>
    <row r="282961" customFormat="1" x14ac:dyDescent="0.25"/>
    <row r="282962" customFormat="1" x14ac:dyDescent="0.25"/>
    <row r="282963" customFormat="1" x14ac:dyDescent="0.25"/>
    <row r="282964" customFormat="1" x14ac:dyDescent="0.25"/>
    <row r="282965" customFormat="1" x14ac:dyDescent="0.25"/>
    <row r="282966" customFormat="1" x14ac:dyDescent="0.25"/>
    <row r="282967" customFormat="1" x14ac:dyDescent="0.25"/>
    <row r="282968" customFormat="1" x14ac:dyDescent="0.25"/>
    <row r="282969" customFormat="1" x14ac:dyDescent="0.25"/>
    <row r="282970" customFormat="1" x14ac:dyDescent="0.25"/>
    <row r="282971" customFormat="1" x14ac:dyDescent="0.25"/>
    <row r="282972" customFormat="1" x14ac:dyDescent="0.25"/>
    <row r="282973" customFormat="1" x14ac:dyDescent="0.25"/>
    <row r="282974" customFormat="1" x14ac:dyDescent="0.25"/>
    <row r="282975" customFormat="1" x14ac:dyDescent="0.25"/>
    <row r="282976" customFormat="1" x14ac:dyDescent="0.25"/>
    <row r="282977" customFormat="1" x14ac:dyDescent="0.25"/>
    <row r="282978" customFormat="1" x14ac:dyDescent="0.25"/>
    <row r="282979" customFormat="1" x14ac:dyDescent="0.25"/>
    <row r="282980" customFormat="1" x14ac:dyDescent="0.25"/>
    <row r="282981" customFormat="1" x14ac:dyDescent="0.25"/>
    <row r="282982" customFormat="1" x14ac:dyDescent="0.25"/>
    <row r="282983" customFormat="1" x14ac:dyDescent="0.25"/>
    <row r="282984" customFormat="1" x14ac:dyDescent="0.25"/>
    <row r="282985" customFormat="1" x14ac:dyDescent="0.25"/>
    <row r="282986" customFormat="1" x14ac:dyDescent="0.25"/>
    <row r="282987" customFormat="1" x14ac:dyDescent="0.25"/>
    <row r="282988" customFormat="1" x14ac:dyDescent="0.25"/>
    <row r="282989" customFormat="1" x14ac:dyDescent="0.25"/>
    <row r="282990" customFormat="1" x14ac:dyDescent="0.25"/>
    <row r="282991" customFormat="1" x14ac:dyDescent="0.25"/>
    <row r="282992" customFormat="1" x14ac:dyDescent="0.25"/>
    <row r="282993" customFormat="1" x14ac:dyDescent="0.25"/>
    <row r="282994" customFormat="1" x14ac:dyDescent="0.25"/>
    <row r="282995" customFormat="1" x14ac:dyDescent="0.25"/>
    <row r="282996" customFormat="1" x14ac:dyDescent="0.25"/>
    <row r="282997" customFormat="1" x14ac:dyDescent="0.25"/>
    <row r="282998" customFormat="1" x14ac:dyDescent="0.25"/>
    <row r="282999" customFormat="1" x14ac:dyDescent="0.25"/>
    <row r="283000" customFormat="1" x14ac:dyDescent="0.25"/>
    <row r="283001" customFormat="1" x14ac:dyDescent="0.25"/>
    <row r="283002" customFormat="1" x14ac:dyDescent="0.25"/>
    <row r="283003" customFormat="1" x14ac:dyDescent="0.25"/>
    <row r="283004" customFormat="1" x14ac:dyDescent="0.25"/>
    <row r="283005" customFormat="1" x14ac:dyDescent="0.25"/>
    <row r="283006" customFormat="1" x14ac:dyDescent="0.25"/>
    <row r="283007" customFormat="1" x14ac:dyDescent="0.25"/>
    <row r="283008" customFormat="1" x14ac:dyDescent="0.25"/>
    <row r="283009" customFormat="1" x14ac:dyDescent="0.25"/>
    <row r="283010" customFormat="1" x14ac:dyDescent="0.25"/>
    <row r="283011" customFormat="1" x14ac:dyDescent="0.25"/>
    <row r="283012" customFormat="1" x14ac:dyDescent="0.25"/>
    <row r="283013" customFormat="1" x14ac:dyDescent="0.25"/>
    <row r="283014" customFormat="1" x14ac:dyDescent="0.25"/>
    <row r="283015" customFormat="1" x14ac:dyDescent="0.25"/>
    <row r="283016" customFormat="1" x14ac:dyDescent="0.25"/>
    <row r="283017" customFormat="1" x14ac:dyDescent="0.25"/>
    <row r="283018" customFormat="1" x14ac:dyDescent="0.25"/>
    <row r="283019" customFormat="1" x14ac:dyDescent="0.25"/>
    <row r="283020" customFormat="1" x14ac:dyDescent="0.25"/>
    <row r="283021" customFormat="1" x14ac:dyDescent="0.25"/>
    <row r="283022" customFormat="1" x14ac:dyDescent="0.25"/>
    <row r="283023" customFormat="1" x14ac:dyDescent="0.25"/>
    <row r="283024" customFormat="1" x14ac:dyDescent="0.25"/>
    <row r="283025" customFormat="1" x14ac:dyDescent="0.25"/>
    <row r="283026" customFormat="1" x14ac:dyDescent="0.25"/>
    <row r="283027" customFormat="1" x14ac:dyDescent="0.25"/>
    <row r="283028" customFormat="1" x14ac:dyDescent="0.25"/>
    <row r="283029" customFormat="1" x14ac:dyDescent="0.25"/>
    <row r="283030" customFormat="1" x14ac:dyDescent="0.25"/>
    <row r="283031" customFormat="1" x14ac:dyDescent="0.25"/>
    <row r="283032" customFormat="1" x14ac:dyDescent="0.25"/>
    <row r="283033" customFormat="1" x14ac:dyDescent="0.25"/>
    <row r="283034" customFormat="1" x14ac:dyDescent="0.25"/>
    <row r="283035" customFormat="1" x14ac:dyDescent="0.25"/>
    <row r="283036" customFormat="1" x14ac:dyDescent="0.25"/>
    <row r="283037" customFormat="1" x14ac:dyDescent="0.25"/>
    <row r="283038" customFormat="1" x14ac:dyDescent="0.25"/>
    <row r="283039" customFormat="1" x14ac:dyDescent="0.25"/>
    <row r="283040" customFormat="1" x14ac:dyDescent="0.25"/>
    <row r="283041" customFormat="1" x14ac:dyDescent="0.25"/>
    <row r="283042" customFormat="1" x14ac:dyDescent="0.25"/>
    <row r="283043" customFormat="1" x14ac:dyDescent="0.25"/>
    <row r="283044" customFormat="1" x14ac:dyDescent="0.25"/>
    <row r="283045" customFormat="1" x14ac:dyDescent="0.25"/>
    <row r="283046" customFormat="1" x14ac:dyDescent="0.25"/>
    <row r="283047" customFormat="1" x14ac:dyDescent="0.25"/>
    <row r="283048" customFormat="1" x14ac:dyDescent="0.25"/>
    <row r="283049" customFormat="1" x14ac:dyDescent="0.25"/>
    <row r="283050" customFormat="1" x14ac:dyDescent="0.25"/>
    <row r="283051" customFormat="1" x14ac:dyDescent="0.25"/>
    <row r="283052" customFormat="1" x14ac:dyDescent="0.25"/>
    <row r="283053" customFormat="1" x14ac:dyDescent="0.25"/>
    <row r="283054" customFormat="1" x14ac:dyDescent="0.25"/>
    <row r="283055" customFormat="1" x14ac:dyDescent="0.25"/>
    <row r="283056" customFormat="1" x14ac:dyDescent="0.25"/>
    <row r="283057" customFormat="1" x14ac:dyDescent="0.25"/>
    <row r="283058" customFormat="1" x14ac:dyDescent="0.25"/>
    <row r="283059" customFormat="1" x14ac:dyDescent="0.25"/>
    <row r="283060" customFormat="1" x14ac:dyDescent="0.25"/>
    <row r="283061" customFormat="1" x14ac:dyDescent="0.25"/>
    <row r="283062" customFormat="1" x14ac:dyDescent="0.25"/>
    <row r="283063" customFormat="1" x14ac:dyDescent="0.25"/>
    <row r="283064" customFormat="1" x14ac:dyDescent="0.25"/>
    <row r="283065" customFormat="1" x14ac:dyDescent="0.25"/>
    <row r="283066" customFormat="1" x14ac:dyDescent="0.25"/>
    <row r="283067" customFormat="1" x14ac:dyDescent="0.25"/>
    <row r="283068" customFormat="1" x14ac:dyDescent="0.25"/>
    <row r="283069" customFormat="1" x14ac:dyDescent="0.25"/>
    <row r="283070" customFormat="1" x14ac:dyDescent="0.25"/>
    <row r="283071" customFormat="1" x14ac:dyDescent="0.25"/>
    <row r="283072" customFormat="1" x14ac:dyDescent="0.25"/>
    <row r="283073" customFormat="1" x14ac:dyDescent="0.25"/>
    <row r="283074" customFormat="1" x14ac:dyDescent="0.25"/>
    <row r="283075" customFormat="1" x14ac:dyDescent="0.25"/>
    <row r="283076" customFormat="1" x14ac:dyDescent="0.25"/>
    <row r="283077" customFormat="1" x14ac:dyDescent="0.25"/>
    <row r="283078" customFormat="1" x14ac:dyDescent="0.25"/>
    <row r="283079" customFormat="1" x14ac:dyDescent="0.25"/>
    <row r="283080" customFormat="1" x14ac:dyDescent="0.25"/>
    <row r="283081" customFormat="1" x14ac:dyDescent="0.25"/>
    <row r="283082" customFormat="1" x14ac:dyDescent="0.25"/>
    <row r="283083" customFormat="1" x14ac:dyDescent="0.25"/>
    <row r="283084" customFormat="1" x14ac:dyDescent="0.25"/>
    <row r="283085" customFormat="1" x14ac:dyDescent="0.25"/>
    <row r="283086" customFormat="1" x14ac:dyDescent="0.25"/>
    <row r="283087" customFormat="1" x14ac:dyDescent="0.25"/>
    <row r="283088" customFormat="1" x14ac:dyDescent="0.25"/>
    <row r="283089" customFormat="1" x14ac:dyDescent="0.25"/>
    <row r="283090" customFormat="1" x14ac:dyDescent="0.25"/>
    <row r="283091" customFormat="1" x14ac:dyDescent="0.25"/>
    <row r="283092" customFormat="1" x14ac:dyDescent="0.25"/>
    <row r="283093" customFormat="1" x14ac:dyDescent="0.25"/>
    <row r="283094" customFormat="1" x14ac:dyDescent="0.25"/>
    <row r="283095" customFormat="1" x14ac:dyDescent="0.25"/>
    <row r="283096" customFormat="1" x14ac:dyDescent="0.25"/>
    <row r="283097" customFormat="1" x14ac:dyDescent="0.25"/>
    <row r="283098" customFormat="1" x14ac:dyDescent="0.25"/>
    <row r="283099" customFormat="1" x14ac:dyDescent="0.25"/>
    <row r="283100" customFormat="1" x14ac:dyDescent="0.25"/>
    <row r="283101" customFormat="1" x14ac:dyDescent="0.25"/>
    <row r="283102" customFormat="1" x14ac:dyDescent="0.25"/>
    <row r="283103" customFormat="1" x14ac:dyDescent="0.25"/>
    <row r="283104" customFormat="1" x14ac:dyDescent="0.25"/>
    <row r="283105" customFormat="1" x14ac:dyDescent="0.25"/>
    <row r="283106" customFormat="1" x14ac:dyDescent="0.25"/>
    <row r="283107" customFormat="1" x14ac:dyDescent="0.25"/>
    <row r="283108" customFormat="1" x14ac:dyDescent="0.25"/>
    <row r="283109" customFormat="1" x14ac:dyDescent="0.25"/>
    <row r="283110" customFormat="1" x14ac:dyDescent="0.25"/>
    <row r="283111" customFormat="1" x14ac:dyDescent="0.25"/>
    <row r="283112" customFormat="1" x14ac:dyDescent="0.25"/>
    <row r="283113" customFormat="1" x14ac:dyDescent="0.25"/>
    <row r="283114" customFormat="1" x14ac:dyDescent="0.25"/>
    <row r="283115" customFormat="1" x14ac:dyDescent="0.25"/>
    <row r="283116" customFormat="1" x14ac:dyDescent="0.25"/>
    <row r="283117" customFormat="1" x14ac:dyDescent="0.25"/>
    <row r="283118" customFormat="1" x14ac:dyDescent="0.25"/>
    <row r="283119" customFormat="1" x14ac:dyDescent="0.25"/>
    <row r="283120" customFormat="1" x14ac:dyDescent="0.25"/>
    <row r="283121" customFormat="1" x14ac:dyDescent="0.25"/>
    <row r="283122" customFormat="1" x14ac:dyDescent="0.25"/>
    <row r="283123" customFormat="1" x14ac:dyDescent="0.25"/>
    <row r="283124" customFormat="1" x14ac:dyDescent="0.25"/>
    <row r="283125" customFormat="1" x14ac:dyDescent="0.25"/>
    <row r="283126" customFormat="1" x14ac:dyDescent="0.25"/>
    <row r="283127" customFormat="1" x14ac:dyDescent="0.25"/>
    <row r="283128" customFormat="1" x14ac:dyDescent="0.25"/>
    <row r="283129" customFormat="1" x14ac:dyDescent="0.25"/>
    <row r="283130" customFormat="1" x14ac:dyDescent="0.25"/>
    <row r="283131" customFormat="1" x14ac:dyDescent="0.25"/>
    <row r="283132" customFormat="1" x14ac:dyDescent="0.25"/>
    <row r="283133" customFormat="1" x14ac:dyDescent="0.25"/>
    <row r="283134" customFormat="1" x14ac:dyDescent="0.25"/>
    <row r="283135" customFormat="1" x14ac:dyDescent="0.25"/>
    <row r="283136" customFormat="1" x14ac:dyDescent="0.25"/>
    <row r="283137" customFormat="1" x14ac:dyDescent="0.25"/>
    <row r="283138" customFormat="1" x14ac:dyDescent="0.25"/>
    <row r="283139" customFormat="1" x14ac:dyDescent="0.25"/>
    <row r="283140" customFormat="1" x14ac:dyDescent="0.25"/>
    <row r="283141" customFormat="1" x14ac:dyDescent="0.25"/>
    <row r="283142" customFormat="1" x14ac:dyDescent="0.25"/>
    <row r="283143" customFormat="1" x14ac:dyDescent="0.25"/>
    <row r="283144" customFormat="1" x14ac:dyDescent="0.25"/>
    <row r="283145" customFormat="1" x14ac:dyDescent="0.25"/>
    <row r="283146" customFormat="1" x14ac:dyDescent="0.25"/>
    <row r="283147" customFormat="1" x14ac:dyDescent="0.25"/>
    <row r="283148" customFormat="1" x14ac:dyDescent="0.25"/>
    <row r="283149" customFormat="1" x14ac:dyDescent="0.25"/>
    <row r="283150" customFormat="1" x14ac:dyDescent="0.25"/>
    <row r="283151" customFormat="1" x14ac:dyDescent="0.25"/>
    <row r="283152" customFormat="1" x14ac:dyDescent="0.25"/>
    <row r="283153" customFormat="1" x14ac:dyDescent="0.25"/>
    <row r="283154" customFormat="1" x14ac:dyDescent="0.25"/>
    <row r="283155" customFormat="1" x14ac:dyDescent="0.25"/>
    <row r="283156" customFormat="1" x14ac:dyDescent="0.25"/>
    <row r="283157" customFormat="1" x14ac:dyDescent="0.25"/>
    <row r="283158" customFormat="1" x14ac:dyDescent="0.25"/>
    <row r="283159" customFormat="1" x14ac:dyDescent="0.25"/>
    <row r="283160" customFormat="1" x14ac:dyDescent="0.25"/>
    <row r="283161" customFormat="1" x14ac:dyDescent="0.25"/>
    <row r="283162" customFormat="1" x14ac:dyDescent="0.25"/>
    <row r="283163" customFormat="1" x14ac:dyDescent="0.25"/>
    <row r="283164" customFormat="1" x14ac:dyDescent="0.25"/>
    <row r="283165" customFormat="1" x14ac:dyDescent="0.25"/>
    <row r="283166" customFormat="1" x14ac:dyDescent="0.25"/>
    <row r="283167" customFormat="1" x14ac:dyDescent="0.25"/>
    <row r="283168" customFormat="1" x14ac:dyDescent="0.25"/>
    <row r="283169" customFormat="1" x14ac:dyDescent="0.25"/>
    <row r="283170" customFormat="1" x14ac:dyDescent="0.25"/>
    <row r="283171" customFormat="1" x14ac:dyDescent="0.25"/>
    <row r="283172" customFormat="1" x14ac:dyDescent="0.25"/>
    <row r="283173" customFormat="1" x14ac:dyDescent="0.25"/>
    <row r="283174" customFormat="1" x14ac:dyDescent="0.25"/>
    <row r="283175" customFormat="1" x14ac:dyDescent="0.25"/>
    <row r="283176" customFormat="1" x14ac:dyDescent="0.25"/>
    <row r="283177" customFormat="1" x14ac:dyDescent="0.25"/>
    <row r="283178" customFormat="1" x14ac:dyDescent="0.25"/>
    <row r="283179" customFormat="1" x14ac:dyDescent="0.25"/>
    <row r="283180" customFormat="1" x14ac:dyDescent="0.25"/>
    <row r="283181" customFormat="1" x14ac:dyDescent="0.25"/>
    <row r="283182" customFormat="1" x14ac:dyDescent="0.25"/>
    <row r="283183" customFormat="1" x14ac:dyDescent="0.25"/>
    <row r="283184" customFormat="1" x14ac:dyDescent="0.25"/>
    <row r="283185" customFormat="1" x14ac:dyDescent="0.25"/>
    <row r="283186" customFormat="1" x14ac:dyDescent="0.25"/>
    <row r="283187" customFormat="1" x14ac:dyDescent="0.25"/>
    <row r="283188" customFormat="1" x14ac:dyDescent="0.25"/>
    <row r="283189" customFormat="1" x14ac:dyDescent="0.25"/>
    <row r="283190" customFormat="1" x14ac:dyDescent="0.25"/>
    <row r="283191" customFormat="1" x14ac:dyDescent="0.25"/>
    <row r="283192" customFormat="1" x14ac:dyDescent="0.25"/>
    <row r="283193" customFormat="1" x14ac:dyDescent="0.25"/>
    <row r="283194" customFormat="1" x14ac:dyDescent="0.25"/>
    <row r="283195" customFormat="1" x14ac:dyDescent="0.25"/>
    <row r="283196" customFormat="1" x14ac:dyDescent="0.25"/>
    <row r="283197" customFormat="1" x14ac:dyDescent="0.25"/>
    <row r="283198" customFormat="1" x14ac:dyDescent="0.25"/>
    <row r="283199" customFormat="1" x14ac:dyDescent="0.25"/>
    <row r="283200" customFormat="1" x14ac:dyDescent="0.25"/>
    <row r="283201" customFormat="1" x14ac:dyDescent="0.25"/>
    <row r="283202" customFormat="1" x14ac:dyDescent="0.25"/>
    <row r="283203" customFormat="1" x14ac:dyDescent="0.25"/>
    <row r="283204" customFormat="1" x14ac:dyDescent="0.25"/>
    <row r="283205" customFormat="1" x14ac:dyDescent="0.25"/>
    <row r="283206" customFormat="1" x14ac:dyDescent="0.25"/>
    <row r="283207" customFormat="1" x14ac:dyDescent="0.25"/>
    <row r="283208" customFormat="1" x14ac:dyDescent="0.25"/>
    <row r="283209" customFormat="1" x14ac:dyDescent="0.25"/>
    <row r="283210" customFormat="1" x14ac:dyDescent="0.25"/>
    <row r="283211" customFormat="1" x14ac:dyDescent="0.25"/>
    <row r="283212" customFormat="1" x14ac:dyDescent="0.25"/>
    <row r="283213" customFormat="1" x14ac:dyDescent="0.25"/>
    <row r="283214" customFormat="1" x14ac:dyDescent="0.25"/>
    <row r="283215" customFormat="1" x14ac:dyDescent="0.25"/>
    <row r="283216" customFormat="1" x14ac:dyDescent="0.25"/>
    <row r="283217" customFormat="1" x14ac:dyDescent="0.25"/>
    <row r="283218" customFormat="1" x14ac:dyDescent="0.25"/>
    <row r="283219" customFormat="1" x14ac:dyDescent="0.25"/>
    <row r="283220" customFormat="1" x14ac:dyDescent="0.25"/>
    <row r="283221" customFormat="1" x14ac:dyDescent="0.25"/>
    <row r="283222" customFormat="1" x14ac:dyDescent="0.25"/>
    <row r="283223" customFormat="1" x14ac:dyDescent="0.25"/>
    <row r="283224" customFormat="1" x14ac:dyDescent="0.25"/>
    <row r="283225" customFormat="1" x14ac:dyDescent="0.25"/>
    <row r="283226" customFormat="1" x14ac:dyDescent="0.25"/>
    <row r="283227" customFormat="1" x14ac:dyDescent="0.25"/>
    <row r="283228" customFormat="1" x14ac:dyDescent="0.25"/>
    <row r="283229" customFormat="1" x14ac:dyDescent="0.25"/>
    <row r="283230" customFormat="1" x14ac:dyDescent="0.25"/>
    <row r="283231" customFormat="1" x14ac:dyDescent="0.25"/>
    <row r="283232" customFormat="1" x14ac:dyDescent="0.25"/>
    <row r="283233" customFormat="1" x14ac:dyDescent="0.25"/>
    <row r="283234" customFormat="1" x14ac:dyDescent="0.25"/>
    <row r="283235" customFormat="1" x14ac:dyDescent="0.25"/>
    <row r="283236" customFormat="1" x14ac:dyDescent="0.25"/>
    <row r="283237" customFormat="1" x14ac:dyDescent="0.25"/>
    <row r="283238" customFormat="1" x14ac:dyDescent="0.25"/>
    <row r="283239" customFormat="1" x14ac:dyDescent="0.25"/>
    <row r="283240" customFormat="1" x14ac:dyDescent="0.25"/>
    <row r="283241" customFormat="1" x14ac:dyDescent="0.25"/>
    <row r="283242" customFormat="1" x14ac:dyDescent="0.25"/>
    <row r="283243" customFormat="1" x14ac:dyDescent="0.25"/>
    <row r="283244" customFormat="1" x14ac:dyDescent="0.25"/>
    <row r="283245" customFormat="1" x14ac:dyDescent="0.25"/>
    <row r="283246" customFormat="1" x14ac:dyDescent="0.25"/>
    <row r="283247" customFormat="1" x14ac:dyDescent="0.25"/>
    <row r="283248" customFormat="1" x14ac:dyDescent="0.25"/>
    <row r="283249" customFormat="1" x14ac:dyDescent="0.25"/>
    <row r="283250" customFormat="1" x14ac:dyDescent="0.25"/>
    <row r="283251" customFormat="1" x14ac:dyDescent="0.25"/>
    <row r="283252" customFormat="1" x14ac:dyDescent="0.25"/>
    <row r="283253" customFormat="1" x14ac:dyDescent="0.25"/>
    <row r="283254" customFormat="1" x14ac:dyDescent="0.25"/>
    <row r="283255" customFormat="1" x14ac:dyDescent="0.25"/>
    <row r="283256" customFormat="1" x14ac:dyDescent="0.25"/>
    <row r="283257" customFormat="1" x14ac:dyDescent="0.25"/>
    <row r="283258" customFormat="1" x14ac:dyDescent="0.25"/>
    <row r="283259" customFormat="1" x14ac:dyDescent="0.25"/>
    <row r="283260" customFormat="1" x14ac:dyDescent="0.25"/>
    <row r="283261" customFormat="1" x14ac:dyDescent="0.25"/>
    <row r="283262" customFormat="1" x14ac:dyDescent="0.25"/>
    <row r="283263" customFormat="1" x14ac:dyDescent="0.25"/>
    <row r="283264" customFormat="1" x14ac:dyDescent="0.25"/>
    <row r="283265" customFormat="1" x14ac:dyDescent="0.25"/>
    <row r="283266" customFormat="1" x14ac:dyDescent="0.25"/>
    <row r="283267" customFormat="1" x14ac:dyDescent="0.25"/>
    <row r="283268" customFormat="1" x14ac:dyDescent="0.25"/>
    <row r="283269" customFormat="1" x14ac:dyDescent="0.25"/>
    <row r="283270" customFormat="1" x14ac:dyDescent="0.25"/>
    <row r="283271" customFormat="1" x14ac:dyDescent="0.25"/>
    <row r="283272" customFormat="1" x14ac:dyDescent="0.25"/>
    <row r="283273" customFormat="1" x14ac:dyDescent="0.25"/>
    <row r="283274" customFormat="1" x14ac:dyDescent="0.25"/>
    <row r="283275" customFormat="1" x14ac:dyDescent="0.25"/>
    <row r="283276" customFormat="1" x14ac:dyDescent="0.25"/>
    <row r="283277" customFormat="1" x14ac:dyDescent="0.25"/>
    <row r="283278" customFormat="1" x14ac:dyDescent="0.25"/>
    <row r="283279" customFormat="1" x14ac:dyDescent="0.25"/>
    <row r="283280" customFormat="1" x14ac:dyDescent="0.25"/>
    <row r="283281" customFormat="1" x14ac:dyDescent="0.25"/>
    <row r="283282" customFormat="1" x14ac:dyDescent="0.25"/>
    <row r="283283" customFormat="1" x14ac:dyDescent="0.25"/>
    <row r="283284" customFormat="1" x14ac:dyDescent="0.25"/>
    <row r="283285" customFormat="1" x14ac:dyDescent="0.25"/>
    <row r="283286" customFormat="1" x14ac:dyDescent="0.25"/>
    <row r="283287" customFormat="1" x14ac:dyDescent="0.25"/>
    <row r="283288" customFormat="1" x14ac:dyDescent="0.25"/>
    <row r="283289" customFormat="1" x14ac:dyDescent="0.25"/>
    <row r="283290" customFormat="1" x14ac:dyDescent="0.25"/>
    <row r="283291" customFormat="1" x14ac:dyDescent="0.25"/>
    <row r="283292" customFormat="1" x14ac:dyDescent="0.25"/>
    <row r="283293" customFormat="1" x14ac:dyDescent="0.25"/>
    <row r="283294" customFormat="1" x14ac:dyDescent="0.25"/>
    <row r="283295" customFormat="1" x14ac:dyDescent="0.25"/>
    <row r="283296" customFormat="1" x14ac:dyDescent="0.25"/>
    <row r="283297" customFormat="1" x14ac:dyDescent="0.25"/>
    <row r="283298" customFormat="1" x14ac:dyDescent="0.25"/>
    <row r="283299" customFormat="1" x14ac:dyDescent="0.25"/>
    <row r="283300" customFormat="1" x14ac:dyDescent="0.25"/>
    <row r="283301" customFormat="1" x14ac:dyDescent="0.25"/>
    <row r="283302" customFormat="1" x14ac:dyDescent="0.25"/>
    <row r="283303" customFormat="1" x14ac:dyDescent="0.25"/>
    <row r="283304" customFormat="1" x14ac:dyDescent="0.25"/>
    <row r="283305" customFormat="1" x14ac:dyDescent="0.25"/>
    <row r="283306" customFormat="1" x14ac:dyDescent="0.25"/>
    <row r="283307" customFormat="1" x14ac:dyDescent="0.25"/>
    <row r="283308" customFormat="1" x14ac:dyDescent="0.25"/>
    <row r="283309" customFormat="1" x14ac:dyDescent="0.25"/>
    <row r="283310" customFormat="1" x14ac:dyDescent="0.25"/>
    <row r="283311" customFormat="1" x14ac:dyDescent="0.25"/>
    <row r="283312" customFormat="1" x14ac:dyDescent="0.25"/>
    <row r="283313" customFormat="1" x14ac:dyDescent="0.25"/>
    <row r="283314" customFormat="1" x14ac:dyDescent="0.25"/>
    <row r="283315" customFormat="1" x14ac:dyDescent="0.25"/>
    <row r="283316" customFormat="1" x14ac:dyDescent="0.25"/>
    <row r="283317" customFormat="1" x14ac:dyDescent="0.25"/>
    <row r="283318" customFormat="1" x14ac:dyDescent="0.25"/>
    <row r="283319" customFormat="1" x14ac:dyDescent="0.25"/>
    <row r="283320" customFormat="1" x14ac:dyDescent="0.25"/>
    <row r="283321" customFormat="1" x14ac:dyDescent="0.25"/>
    <row r="283322" customFormat="1" x14ac:dyDescent="0.25"/>
    <row r="283323" customFormat="1" x14ac:dyDescent="0.25"/>
    <row r="283324" customFormat="1" x14ac:dyDescent="0.25"/>
    <row r="283325" customFormat="1" x14ac:dyDescent="0.25"/>
    <row r="283326" customFormat="1" x14ac:dyDescent="0.25"/>
    <row r="283327" customFormat="1" x14ac:dyDescent="0.25"/>
    <row r="283328" customFormat="1" x14ac:dyDescent="0.25"/>
    <row r="283329" customFormat="1" x14ac:dyDescent="0.25"/>
    <row r="283330" customFormat="1" x14ac:dyDescent="0.25"/>
    <row r="283331" customFormat="1" x14ac:dyDescent="0.25"/>
    <row r="283332" customFormat="1" x14ac:dyDescent="0.25"/>
    <row r="283333" customFormat="1" x14ac:dyDescent="0.25"/>
    <row r="283334" customFormat="1" x14ac:dyDescent="0.25"/>
    <row r="283335" customFormat="1" x14ac:dyDescent="0.25"/>
    <row r="283336" customFormat="1" x14ac:dyDescent="0.25"/>
    <row r="283337" customFormat="1" x14ac:dyDescent="0.25"/>
    <row r="283338" customFormat="1" x14ac:dyDescent="0.25"/>
    <row r="283339" customFormat="1" x14ac:dyDescent="0.25"/>
    <row r="283340" customFormat="1" x14ac:dyDescent="0.25"/>
    <row r="283341" customFormat="1" x14ac:dyDescent="0.25"/>
    <row r="283342" customFormat="1" x14ac:dyDescent="0.25"/>
    <row r="283343" customFormat="1" x14ac:dyDescent="0.25"/>
    <row r="283344" customFormat="1" x14ac:dyDescent="0.25"/>
    <row r="283345" customFormat="1" x14ac:dyDescent="0.25"/>
    <row r="283346" customFormat="1" x14ac:dyDescent="0.25"/>
    <row r="283347" customFormat="1" x14ac:dyDescent="0.25"/>
    <row r="283348" customFormat="1" x14ac:dyDescent="0.25"/>
    <row r="283349" customFormat="1" x14ac:dyDescent="0.25"/>
    <row r="283350" customFormat="1" x14ac:dyDescent="0.25"/>
    <row r="283351" customFormat="1" x14ac:dyDescent="0.25"/>
    <row r="283352" customFormat="1" x14ac:dyDescent="0.25"/>
    <row r="283353" customFormat="1" x14ac:dyDescent="0.25"/>
    <row r="283354" customFormat="1" x14ac:dyDescent="0.25"/>
    <row r="283355" customFormat="1" x14ac:dyDescent="0.25"/>
    <row r="283356" customFormat="1" x14ac:dyDescent="0.25"/>
    <row r="283357" customFormat="1" x14ac:dyDescent="0.25"/>
    <row r="283358" customFormat="1" x14ac:dyDescent="0.25"/>
    <row r="283359" customFormat="1" x14ac:dyDescent="0.25"/>
    <row r="283360" customFormat="1" x14ac:dyDescent="0.25"/>
    <row r="283361" customFormat="1" x14ac:dyDescent="0.25"/>
    <row r="283362" customFormat="1" x14ac:dyDescent="0.25"/>
    <row r="283363" customFormat="1" x14ac:dyDescent="0.25"/>
    <row r="283364" customFormat="1" x14ac:dyDescent="0.25"/>
    <row r="283365" customFormat="1" x14ac:dyDescent="0.25"/>
    <row r="283366" customFormat="1" x14ac:dyDescent="0.25"/>
    <row r="283367" customFormat="1" x14ac:dyDescent="0.25"/>
    <row r="283368" customFormat="1" x14ac:dyDescent="0.25"/>
    <row r="283369" customFormat="1" x14ac:dyDescent="0.25"/>
    <row r="283370" customFormat="1" x14ac:dyDescent="0.25"/>
    <row r="283371" customFormat="1" x14ac:dyDescent="0.25"/>
    <row r="283372" customFormat="1" x14ac:dyDescent="0.25"/>
    <row r="283373" customFormat="1" x14ac:dyDescent="0.25"/>
    <row r="283374" customFormat="1" x14ac:dyDescent="0.25"/>
    <row r="283375" customFormat="1" x14ac:dyDescent="0.25"/>
    <row r="283376" customFormat="1" x14ac:dyDescent="0.25"/>
    <row r="283377" customFormat="1" x14ac:dyDescent="0.25"/>
    <row r="283378" customFormat="1" x14ac:dyDescent="0.25"/>
    <row r="283379" customFormat="1" x14ac:dyDescent="0.25"/>
    <row r="283380" customFormat="1" x14ac:dyDescent="0.25"/>
    <row r="283381" customFormat="1" x14ac:dyDescent="0.25"/>
    <row r="283382" customFormat="1" x14ac:dyDescent="0.25"/>
    <row r="283383" customFormat="1" x14ac:dyDescent="0.25"/>
    <row r="283384" customFormat="1" x14ac:dyDescent="0.25"/>
    <row r="283385" customFormat="1" x14ac:dyDescent="0.25"/>
    <row r="283386" customFormat="1" x14ac:dyDescent="0.25"/>
    <row r="283387" customFormat="1" x14ac:dyDescent="0.25"/>
    <row r="283388" customFormat="1" x14ac:dyDescent="0.25"/>
    <row r="283389" customFormat="1" x14ac:dyDescent="0.25"/>
    <row r="283390" customFormat="1" x14ac:dyDescent="0.25"/>
    <row r="283391" customFormat="1" x14ac:dyDescent="0.25"/>
    <row r="283392" customFormat="1" x14ac:dyDescent="0.25"/>
    <row r="283393" customFormat="1" x14ac:dyDescent="0.25"/>
    <row r="283394" customFormat="1" x14ac:dyDescent="0.25"/>
    <row r="283395" customFormat="1" x14ac:dyDescent="0.25"/>
    <row r="283396" customFormat="1" x14ac:dyDescent="0.25"/>
    <row r="283397" customFormat="1" x14ac:dyDescent="0.25"/>
    <row r="283398" customFormat="1" x14ac:dyDescent="0.25"/>
    <row r="283399" customFormat="1" x14ac:dyDescent="0.25"/>
    <row r="283400" customFormat="1" x14ac:dyDescent="0.25"/>
    <row r="283401" customFormat="1" x14ac:dyDescent="0.25"/>
    <row r="283402" customFormat="1" x14ac:dyDescent="0.25"/>
    <row r="283403" customFormat="1" x14ac:dyDescent="0.25"/>
    <row r="283404" customFormat="1" x14ac:dyDescent="0.25"/>
    <row r="283405" customFormat="1" x14ac:dyDescent="0.25"/>
    <row r="283406" customFormat="1" x14ac:dyDescent="0.25"/>
    <row r="283407" customFormat="1" x14ac:dyDescent="0.25"/>
    <row r="283408" customFormat="1" x14ac:dyDescent="0.25"/>
    <row r="283409" customFormat="1" x14ac:dyDescent="0.25"/>
    <row r="283410" customFormat="1" x14ac:dyDescent="0.25"/>
    <row r="283411" customFormat="1" x14ac:dyDescent="0.25"/>
    <row r="283412" customFormat="1" x14ac:dyDescent="0.25"/>
    <row r="283413" customFormat="1" x14ac:dyDescent="0.25"/>
    <row r="283414" customFormat="1" x14ac:dyDescent="0.25"/>
    <row r="283415" customFormat="1" x14ac:dyDescent="0.25"/>
    <row r="283416" customFormat="1" x14ac:dyDescent="0.25"/>
    <row r="283417" customFormat="1" x14ac:dyDescent="0.25"/>
    <row r="283418" customFormat="1" x14ac:dyDescent="0.25"/>
    <row r="283419" customFormat="1" x14ac:dyDescent="0.25"/>
    <row r="283420" customFormat="1" x14ac:dyDescent="0.25"/>
    <row r="283421" customFormat="1" x14ac:dyDescent="0.25"/>
    <row r="283422" customFormat="1" x14ac:dyDescent="0.25"/>
    <row r="283423" customFormat="1" x14ac:dyDescent="0.25"/>
    <row r="283424" customFormat="1" x14ac:dyDescent="0.25"/>
    <row r="283425" customFormat="1" x14ac:dyDescent="0.25"/>
    <row r="283426" customFormat="1" x14ac:dyDescent="0.25"/>
    <row r="283427" customFormat="1" x14ac:dyDescent="0.25"/>
    <row r="283428" customFormat="1" x14ac:dyDescent="0.25"/>
    <row r="283429" customFormat="1" x14ac:dyDescent="0.25"/>
    <row r="283430" customFormat="1" x14ac:dyDescent="0.25"/>
    <row r="283431" customFormat="1" x14ac:dyDescent="0.25"/>
    <row r="283432" customFormat="1" x14ac:dyDescent="0.25"/>
    <row r="283433" customFormat="1" x14ac:dyDescent="0.25"/>
    <row r="283434" customFormat="1" x14ac:dyDescent="0.25"/>
    <row r="283435" customFormat="1" x14ac:dyDescent="0.25"/>
    <row r="283436" customFormat="1" x14ac:dyDescent="0.25"/>
    <row r="283437" customFormat="1" x14ac:dyDescent="0.25"/>
    <row r="283438" customFormat="1" x14ac:dyDescent="0.25"/>
    <row r="283439" customFormat="1" x14ac:dyDescent="0.25"/>
    <row r="283440" customFormat="1" x14ac:dyDescent="0.25"/>
    <row r="283441" customFormat="1" x14ac:dyDescent="0.25"/>
    <row r="283442" customFormat="1" x14ac:dyDescent="0.25"/>
    <row r="283443" customFormat="1" x14ac:dyDescent="0.25"/>
    <row r="283444" customFormat="1" x14ac:dyDescent="0.25"/>
    <row r="283445" customFormat="1" x14ac:dyDescent="0.25"/>
    <row r="283446" customFormat="1" x14ac:dyDescent="0.25"/>
    <row r="283447" customFormat="1" x14ac:dyDescent="0.25"/>
    <row r="283448" customFormat="1" x14ac:dyDescent="0.25"/>
    <row r="283449" customFormat="1" x14ac:dyDescent="0.25"/>
    <row r="283450" customFormat="1" x14ac:dyDescent="0.25"/>
    <row r="283451" customFormat="1" x14ac:dyDescent="0.25"/>
    <row r="283452" customFormat="1" x14ac:dyDescent="0.25"/>
    <row r="283453" customFormat="1" x14ac:dyDescent="0.25"/>
    <row r="283454" customFormat="1" x14ac:dyDescent="0.25"/>
    <row r="283455" customFormat="1" x14ac:dyDescent="0.25"/>
    <row r="283456" customFormat="1" x14ac:dyDescent="0.25"/>
    <row r="283457" customFormat="1" x14ac:dyDescent="0.25"/>
    <row r="283458" customFormat="1" x14ac:dyDescent="0.25"/>
    <row r="283459" customFormat="1" x14ac:dyDescent="0.25"/>
    <row r="283460" customFormat="1" x14ac:dyDescent="0.25"/>
    <row r="283461" customFormat="1" x14ac:dyDescent="0.25"/>
    <row r="283462" customFormat="1" x14ac:dyDescent="0.25"/>
    <row r="283463" customFormat="1" x14ac:dyDescent="0.25"/>
    <row r="283464" customFormat="1" x14ac:dyDescent="0.25"/>
    <row r="283465" customFormat="1" x14ac:dyDescent="0.25"/>
    <row r="283466" customFormat="1" x14ac:dyDescent="0.25"/>
    <row r="283467" customFormat="1" x14ac:dyDescent="0.25"/>
    <row r="283468" customFormat="1" x14ac:dyDescent="0.25"/>
    <row r="283469" customFormat="1" x14ac:dyDescent="0.25"/>
    <row r="283470" customFormat="1" x14ac:dyDescent="0.25"/>
    <row r="283471" customFormat="1" x14ac:dyDescent="0.25"/>
    <row r="283472" customFormat="1" x14ac:dyDescent="0.25"/>
    <row r="283473" customFormat="1" x14ac:dyDescent="0.25"/>
    <row r="283474" customFormat="1" x14ac:dyDescent="0.25"/>
    <row r="283475" customFormat="1" x14ac:dyDescent="0.25"/>
    <row r="283476" customFormat="1" x14ac:dyDescent="0.25"/>
    <row r="283477" customFormat="1" x14ac:dyDescent="0.25"/>
    <row r="283478" customFormat="1" x14ac:dyDescent="0.25"/>
    <row r="283479" customFormat="1" x14ac:dyDescent="0.25"/>
    <row r="283480" customFormat="1" x14ac:dyDescent="0.25"/>
    <row r="283481" customFormat="1" x14ac:dyDescent="0.25"/>
    <row r="283482" customFormat="1" x14ac:dyDescent="0.25"/>
    <row r="283483" customFormat="1" x14ac:dyDescent="0.25"/>
    <row r="283484" customFormat="1" x14ac:dyDescent="0.25"/>
    <row r="283485" customFormat="1" x14ac:dyDescent="0.25"/>
    <row r="283486" customFormat="1" x14ac:dyDescent="0.25"/>
    <row r="283487" customFormat="1" x14ac:dyDescent="0.25"/>
    <row r="283488" customFormat="1" x14ac:dyDescent="0.25"/>
    <row r="283489" customFormat="1" x14ac:dyDescent="0.25"/>
    <row r="283490" customFormat="1" x14ac:dyDescent="0.25"/>
    <row r="283491" customFormat="1" x14ac:dyDescent="0.25"/>
    <row r="283492" customFormat="1" x14ac:dyDescent="0.25"/>
    <row r="283493" customFormat="1" x14ac:dyDescent="0.25"/>
    <row r="283494" customFormat="1" x14ac:dyDescent="0.25"/>
    <row r="283495" customFormat="1" x14ac:dyDescent="0.25"/>
    <row r="283496" customFormat="1" x14ac:dyDescent="0.25"/>
    <row r="283497" customFormat="1" x14ac:dyDescent="0.25"/>
    <row r="283498" customFormat="1" x14ac:dyDescent="0.25"/>
    <row r="283499" customFormat="1" x14ac:dyDescent="0.25"/>
    <row r="283500" customFormat="1" x14ac:dyDescent="0.25"/>
    <row r="283501" customFormat="1" x14ac:dyDescent="0.25"/>
    <row r="283502" customFormat="1" x14ac:dyDescent="0.25"/>
    <row r="283503" customFormat="1" x14ac:dyDescent="0.25"/>
    <row r="283504" customFormat="1" x14ac:dyDescent="0.25"/>
    <row r="283505" customFormat="1" x14ac:dyDescent="0.25"/>
    <row r="283506" customFormat="1" x14ac:dyDescent="0.25"/>
    <row r="283507" customFormat="1" x14ac:dyDescent="0.25"/>
    <row r="283508" customFormat="1" x14ac:dyDescent="0.25"/>
    <row r="283509" customFormat="1" x14ac:dyDescent="0.25"/>
    <row r="283510" customFormat="1" x14ac:dyDescent="0.25"/>
    <row r="283511" customFormat="1" x14ac:dyDescent="0.25"/>
    <row r="283512" customFormat="1" x14ac:dyDescent="0.25"/>
    <row r="283513" customFormat="1" x14ac:dyDescent="0.25"/>
    <row r="283514" customFormat="1" x14ac:dyDescent="0.25"/>
    <row r="283515" customFormat="1" x14ac:dyDescent="0.25"/>
    <row r="283516" customFormat="1" x14ac:dyDescent="0.25"/>
    <row r="283517" customFormat="1" x14ac:dyDescent="0.25"/>
    <row r="283518" customFormat="1" x14ac:dyDescent="0.25"/>
    <row r="283519" customFormat="1" x14ac:dyDescent="0.25"/>
    <row r="283520" customFormat="1" x14ac:dyDescent="0.25"/>
    <row r="283521" customFormat="1" x14ac:dyDescent="0.25"/>
    <row r="283522" customFormat="1" x14ac:dyDescent="0.25"/>
    <row r="283523" customFormat="1" x14ac:dyDescent="0.25"/>
    <row r="283524" customFormat="1" x14ac:dyDescent="0.25"/>
    <row r="283525" customFormat="1" x14ac:dyDescent="0.25"/>
    <row r="283526" customFormat="1" x14ac:dyDescent="0.25"/>
    <row r="283527" customFormat="1" x14ac:dyDescent="0.25"/>
    <row r="283528" customFormat="1" x14ac:dyDescent="0.25"/>
    <row r="283529" customFormat="1" x14ac:dyDescent="0.25"/>
    <row r="283530" customFormat="1" x14ac:dyDescent="0.25"/>
    <row r="283531" customFormat="1" x14ac:dyDescent="0.25"/>
    <row r="283532" customFormat="1" x14ac:dyDescent="0.25"/>
    <row r="283533" customFormat="1" x14ac:dyDescent="0.25"/>
    <row r="283534" customFormat="1" x14ac:dyDescent="0.25"/>
    <row r="283535" customFormat="1" x14ac:dyDescent="0.25"/>
    <row r="283536" customFormat="1" x14ac:dyDescent="0.25"/>
    <row r="283537" customFormat="1" x14ac:dyDescent="0.25"/>
    <row r="283538" customFormat="1" x14ac:dyDescent="0.25"/>
    <row r="283539" customFormat="1" x14ac:dyDescent="0.25"/>
    <row r="283540" customFormat="1" x14ac:dyDescent="0.25"/>
    <row r="283541" customFormat="1" x14ac:dyDescent="0.25"/>
    <row r="283542" customFormat="1" x14ac:dyDescent="0.25"/>
    <row r="283543" customFormat="1" x14ac:dyDescent="0.25"/>
    <row r="283544" customFormat="1" x14ac:dyDescent="0.25"/>
    <row r="283545" customFormat="1" x14ac:dyDescent="0.25"/>
    <row r="283546" customFormat="1" x14ac:dyDescent="0.25"/>
    <row r="283547" customFormat="1" x14ac:dyDescent="0.25"/>
    <row r="283548" customFormat="1" x14ac:dyDescent="0.25"/>
    <row r="283549" customFormat="1" x14ac:dyDescent="0.25"/>
    <row r="283550" customFormat="1" x14ac:dyDescent="0.25"/>
    <row r="283551" customFormat="1" x14ac:dyDescent="0.25"/>
    <row r="283552" customFormat="1" x14ac:dyDescent="0.25"/>
    <row r="283553" customFormat="1" x14ac:dyDescent="0.25"/>
    <row r="283554" customFormat="1" x14ac:dyDescent="0.25"/>
    <row r="283555" customFormat="1" x14ac:dyDescent="0.25"/>
    <row r="283556" customFormat="1" x14ac:dyDescent="0.25"/>
    <row r="283557" customFormat="1" x14ac:dyDescent="0.25"/>
    <row r="283558" customFormat="1" x14ac:dyDescent="0.25"/>
    <row r="283559" customFormat="1" x14ac:dyDescent="0.25"/>
    <row r="283560" customFormat="1" x14ac:dyDescent="0.25"/>
    <row r="283561" customFormat="1" x14ac:dyDescent="0.25"/>
    <row r="283562" customFormat="1" x14ac:dyDescent="0.25"/>
    <row r="283563" customFormat="1" x14ac:dyDescent="0.25"/>
    <row r="283564" customFormat="1" x14ac:dyDescent="0.25"/>
    <row r="283565" customFormat="1" x14ac:dyDescent="0.25"/>
    <row r="283566" customFormat="1" x14ac:dyDescent="0.25"/>
    <row r="283567" customFormat="1" x14ac:dyDescent="0.25"/>
    <row r="283568" customFormat="1" x14ac:dyDescent="0.25"/>
    <row r="283569" customFormat="1" x14ac:dyDescent="0.25"/>
    <row r="283570" customFormat="1" x14ac:dyDescent="0.25"/>
    <row r="283571" customFormat="1" x14ac:dyDescent="0.25"/>
    <row r="283572" customFormat="1" x14ac:dyDescent="0.25"/>
    <row r="283573" customFormat="1" x14ac:dyDescent="0.25"/>
    <row r="283574" customFormat="1" x14ac:dyDescent="0.25"/>
    <row r="283575" customFormat="1" x14ac:dyDescent="0.25"/>
    <row r="283576" customFormat="1" x14ac:dyDescent="0.25"/>
    <row r="283577" customFormat="1" x14ac:dyDescent="0.25"/>
    <row r="283578" customFormat="1" x14ac:dyDescent="0.25"/>
    <row r="283579" customFormat="1" x14ac:dyDescent="0.25"/>
    <row r="283580" customFormat="1" x14ac:dyDescent="0.25"/>
    <row r="283581" customFormat="1" x14ac:dyDescent="0.25"/>
    <row r="283582" customFormat="1" x14ac:dyDescent="0.25"/>
    <row r="283583" customFormat="1" x14ac:dyDescent="0.25"/>
    <row r="283584" customFormat="1" x14ac:dyDescent="0.25"/>
    <row r="283585" customFormat="1" x14ac:dyDescent="0.25"/>
    <row r="283586" customFormat="1" x14ac:dyDescent="0.25"/>
    <row r="283587" customFormat="1" x14ac:dyDescent="0.25"/>
    <row r="283588" customFormat="1" x14ac:dyDescent="0.25"/>
    <row r="283589" customFormat="1" x14ac:dyDescent="0.25"/>
    <row r="283590" customFormat="1" x14ac:dyDescent="0.25"/>
    <row r="283591" customFormat="1" x14ac:dyDescent="0.25"/>
    <row r="283592" customFormat="1" x14ac:dyDescent="0.25"/>
    <row r="283593" customFormat="1" x14ac:dyDescent="0.25"/>
    <row r="283594" customFormat="1" x14ac:dyDescent="0.25"/>
    <row r="283595" customFormat="1" x14ac:dyDescent="0.25"/>
    <row r="283596" customFormat="1" x14ac:dyDescent="0.25"/>
    <row r="283597" customFormat="1" x14ac:dyDescent="0.25"/>
    <row r="283598" customFormat="1" x14ac:dyDescent="0.25"/>
    <row r="283599" customFormat="1" x14ac:dyDescent="0.25"/>
    <row r="283600" customFormat="1" x14ac:dyDescent="0.25"/>
    <row r="283601" customFormat="1" x14ac:dyDescent="0.25"/>
    <row r="283602" customFormat="1" x14ac:dyDescent="0.25"/>
    <row r="283603" customFormat="1" x14ac:dyDescent="0.25"/>
    <row r="283604" customFormat="1" x14ac:dyDescent="0.25"/>
    <row r="283605" customFormat="1" x14ac:dyDescent="0.25"/>
    <row r="283606" customFormat="1" x14ac:dyDescent="0.25"/>
    <row r="283607" customFormat="1" x14ac:dyDescent="0.25"/>
    <row r="283608" customFormat="1" x14ac:dyDescent="0.25"/>
    <row r="283609" customFormat="1" x14ac:dyDescent="0.25"/>
    <row r="283610" customFormat="1" x14ac:dyDescent="0.25"/>
    <row r="283611" customFormat="1" x14ac:dyDescent="0.25"/>
    <row r="283612" customFormat="1" x14ac:dyDescent="0.25"/>
    <row r="283613" customFormat="1" x14ac:dyDescent="0.25"/>
    <row r="283614" customFormat="1" x14ac:dyDescent="0.25"/>
    <row r="283615" customFormat="1" x14ac:dyDescent="0.25"/>
    <row r="283616" customFormat="1" x14ac:dyDescent="0.25"/>
    <row r="283617" customFormat="1" x14ac:dyDescent="0.25"/>
    <row r="283618" customFormat="1" x14ac:dyDescent="0.25"/>
    <row r="283619" customFormat="1" x14ac:dyDescent="0.25"/>
    <row r="283620" customFormat="1" x14ac:dyDescent="0.25"/>
    <row r="283621" customFormat="1" x14ac:dyDescent="0.25"/>
    <row r="283622" customFormat="1" x14ac:dyDescent="0.25"/>
    <row r="283623" customFormat="1" x14ac:dyDescent="0.25"/>
    <row r="283624" customFormat="1" x14ac:dyDescent="0.25"/>
    <row r="283625" customFormat="1" x14ac:dyDescent="0.25"/>
    <row r="283626" customFormat="1" x14ac:dyDescent="0.25"/>
    <row r="283627" customFormat="1" x14ac:dyDescent="0.25"/>
    <row r="283628" customFormat="1" x14ac:dyDescent="0.25"/>
    <row r="283629" customFormat="1" x14ac:dyDescent="0.25"/>
    <row r="283630" customFormat="1" x14ac:dyDescent="0.25"/>
    <row r="283631" customFormat="1" x14ac:dyDescent="0.25"/>
    <row r="283632" customFormat="1" x14ac:dyDescent="0.25"/>
    <row r="283633" customFormat="1" x14ac:dyDescent="0.25"/>
    <row r="283634" customFormat="1" x14ac:dyDescent="0.25"/>
    <row r="283635" customFormat="1" x14ac:dyDescent="0.25"/>
    <row r="283636" customFormat="1" x14ac:dyDescent="0.25"/>
    <row r="283637" customFormat="1" x14ac:dyDescent="0.25"/>
    <row r="283638" customFormat="1" x14ac:dyDescent="0.25"/>
    <row r="283639" customFormat="1" x14ac:dyDescent="0.25"/>
    <row r="283640" customFormat="1" x14ac:dyDescent="0.25"/>
    <row r="283641" customFormat="1" x14ac:dyDescent="0.25"/>
    <row r="283642" customFormat="1" x14ac:dyDescent="0.25"/>
    <row r="283643" customFormat="1" x14ac:dyDescent="0.25"/>
    <row r="283644" customFormat="1" x14ac:dyDescent="0.25"/>
    <row r="283645" customFormat="1" x14ac:dyDescent="0.25"/>
    <row r="283646" customFormat="1" x14ac:dyDescent="0.25"/>
    <row r="283647" customFormat="1" x14ac:dyDescent="0.25"/>
    <row r="283648" customFormat="1" x14ac:dyDescent="0.25"/>
    <row r="283649" customFormat="1" x14ac:dyDescent="0.25"/>
    <row r="283650" customFormat="1" x14ac:dyDescent="0.25"/>
    <row r="283651" customFormat="1" x14ac:dyDescent="0.25"/>
    <row r="283652" customFormat="1" x14ac:dyDescent="0.25"/>
    <row r="283653" customFormat="1" x14ac:dyDescent="0.25"/>
    <row r="283654" customFormat="1" x14ac:dyDescent="0.25"/>
    <row r="283655" customFormat="1" x14ac:dyDescent="0.25"/>
    <row r="283656" customFormat="1" x14ac:dyDescent="0.25"/>
    <row r="283657" customFormat="1" x14ac:dyDescent="0.25"/>
    <row r="283658" customFormat="1" x14ac:dyDescent="0.25"/>
    <row r="283659" customFormat="1" x14ac:dyDescent="0.25"/>
    <row r="283660" customFormat="1" x14ac:dyDescent="0.25"/>
    <row r="283661" customFormat="1" x14ac:dyDescent="0.25"/>
    <row r="283662" customFormat="1" x14ac:dyDescent="0.25"/>
    <row r="283663" customFormat="1" x14ac:dyDescent="0.25"/>
    <row r="283664" customFormat="1" x14ac:dyDescent="0.25"/>
    <row r="283665" customFormat="1" x14ac:dyDescent="0.25"/>
    <row r="283666" customFormat="1" x14ac:dyDescent="0.25"/>
    <row r="283667" customFormat="1" x14ac:dyDescent="0.25"/>
    <row r="283668" customFormat="1" x14ac:dyDescent="0.25"/>
    <row r="283669" customFormat="1" x14ac:dyDescent="0.25"/>
    <row r="283670" customFormat="1" x14ac:dyDescent="0.25"/>
    <row r="283671" customFormat="1" x14ac:dyDescent="0.25"/>
    <row r="283672" customFormat="1" x14ac:dyDescent="0.25"/>
    <row r="283673" customFormat="1" x14ac:dyDescent="0.25"/>
    <row r="283674" customFormat="1" x14ac:dyDescent="0.25"/>
    <row r="283675" customFormat="1" x14ac:dyDescent="0.25"/>
    <row r="283676" customFormat="1" x14ac:dyDescent="0.25"/>
    <row r="283677" customFormat="1" x14ac:dyDescent="0.25"/>
    <row r="283678" customFormat="1" x14ac:dyDescent="0.25"/>
    <row r="283679" customFormat="1" x14ac:dyDescent="0.25"/>
    <row r="283680" customFormat="1" x14ac:dyDescent="0.25"/>
    <row r="283681" customFormat="1" x14ac:dyDescent="0.25"/>
    <row r="283682" customFormat="1" x14ac:dyDescent="0.25"/>
    <row r="283683" customFormat="1" x14ac:dyDescent="0.25"/>
    <row r="283684" customFormat="1" x14ac:dyDescent="0.25"/>
    <row r="283685" customFormat="1" x14ac:dyDescent="0.25"/>
    <row r="283686" customFormat="1" x14ac:dyDescent="0.25"/>
    <row r="283687" customFormat="1" x14ac:dyDescent="0.25"/>
    <row r="283688" customFormat="1" x14ac:dyDescent="0.25"/>
    <row r="283689" customFormat="1" x14ac:dyDescent="0.25"/>
    <row r="283690" customFormat="1" x14ac:dyDescent="0.25"/>
    <row r="283691" customFormat="1" x14ac:dyDescent="0.25"/>
    <row r="283692" customFormat="1" x14ac:dyDescent="0.25"/>
    <row r="283693" customFormat="1" x14ac:dyDescent="0.25"/>
    <row r="283694" customFormat="1" x14ac:dyDescent="0.25"/>
    <row r="283695" customFormat="1" x14ac:dyDescent="0.25"/>
    <row r="283696" customFormat="1" x14ac:dyDescent="0.25"/>
    <row r="283697" customFormat="1" x14ac:dyDescent="0.25"/>
    <row r="283698" customFormat="1" x14ac:dyDescent="0.25"/>
    <row r="283699" customFormat="1" x14ac:dyDescent="0.25"/>
    <row r="283700" customFormat="1" x14ac:dyDescent="0.25"/>
    <row r="283701" customFormat="1" x14ac:dyDescent="0.25"/>
    <row r="283702" customFormat="1" x14ac:dyDescent="0.25"/>
    <row r="283703" customFormat="1" x14ac:dyDescent="0.25"/>
    <row r="283704" customFormat="1" x14ac:dyDescent="0.25"/>
    <row r="283705" customFormat="1" x14ac:dyDescent="0.25"/>
    <row r="283706" customFormat="1" x14ac:dyDescent="0.25"/>
    <row r="283707" customFormat="1" x14ac:dyDescent="0.25"/>
    <row r="283708" customFormat="1" x14ac:dyDescent="0.25"/>
    <row r="283709" customFormat="1" x14ac:dyDescent="0.25"/>
    <row r="283710" customFormat="1" x14ac:dyDescent="0.25"/>
    <row r="283711" customFormat="1" x14ac:dyDescent="0.25"/>
    <row r="283712" customFormat="1" x14ac:dyDescent="0.25"/>
    <row r="283713" customFormat="1" x14ac:dyDescent="0.25"/>
    <row r="283714" customFormat="1" x14ac:dyDescent="0.25"/>
    <row r="283715" customFormat="1" x14ac:dyDescent="0.25"/>
    <row r="283716" customFormat="1" x14ac:dyDescent="0.25"/>
    <row r="283717" customFormat="1" x14ac:dyDescent="0.25"/>
    <row r="283718" customFormat="1" x14ac:dyDescent="0.25"/>
    <row r="283719" customFormat="1" x14ac:dyDescent="0.25"/>
    <row r="283720" customFormat="1" x14ac:dyDescent="0.25"/>
    <row r="283721" customFormat="1" x14ac:dyDescent="0.25"/>
    <row r="283722" customFormat="1" x14ac:dyDescent="0.25"/>
    <row r="283723" customFormat="1" x14ac:dyDescent="0.25"/>
    <row r="283724" customFormat="1" x14ac:dyDescent="0.25"/>
    <row r="283725" customFormat="1" x14ac:dyDescent="0.25"/>
    <row r="283726" customFormat="1" x14ac:dyDescent="0.25"/>
    <row r="283727" customFormat="1" x14ac:dyDescent="0.25"/>
    <row r="283728" customFormat="1" x14ac:dyDescent="0.25"/>
    <row r="283729" customFormat="1" x14ac:dyDescent="0.25"/>
    <row r="283730" customFormat="1" x14ac:dyDescent="0.25"/>
    <row r="283731" customFormat="1" x14ac:dyDescent="0.25"/>
    <row r="283732" customFormat="1" x14ac:dyDescent="0.25"/>
    <row r="283733" customFormat="1" x14ac:dyDescent="0.25"/>
    <row r="283734" customFormat="1" x14ac:dyDescent="0.25"/>
    <row r="283735" customFormat="1" x14ac:dyDescent="0.25"/>
    <row r="283736" customFormat="1" x14ac:dyDescent="0.25"/>
    <row r="283737" customFormat="1" x14ac:dyDescent="0.25"/>
    <row r="283738" customFormat="1" x14ac:dyDescent="0.25"/>
    <row r="283739" customFormat="1" x14ac:dyDescent="0.25"/>
    <row r="283740" customFormat="1" x14ac:dyDescent="0.25"/>
    <row r="283741" customFormat="1" x14ac:dyDescent="0.25"/>
    <row r="283742" customFormat="1" x14ac:dyDescent="0.25"/>
    <row r="283743" customFormat="1" x14ac:dyDescent="0.25"/>
    <row r="283744" customFormat="1" x14ac:dyDescent="0.25"/>
    <row r="283745" customFormat="1" x14ac:dyDescent="0.25"/>
    <row r="283746" customFormat="1" x14ac:dyDescent="0.25"/>
    <row r="283747" customFormat="1" x14ac:dyDescent="0.25"/>
    <row r="283748" customFormat="1" x14ac:dyDescent="0.25"/>
    <row r="283749" customFormat="1" x14ac:dyDescent="0.25"/>
    <row r="283750" customFormat="1" x14ac:dyDescent="0.25"/>
    <row r="283751" customFormat="1" x14ac:dyDescent="0.25"/>
    <row r="283752" customFormat="1" x14ac:dyDescent="0.25"/>
    <row r="283753" customFormat="1" x14ac:dyDescent="0.25"/>
    <row r="283754" customFormat="1" x14ac:dyDescent="0.25"/>
    <row r="283755" customFormat="1" x14ac:dyDescent="0.25"/>
    <row r="283756" customFormat="1" x14ac:dyDescent="0.25"/>
    <row r="283757" customFormat="1" x14ac:dyDescent="0.25"/>
    <row r="283758" customFormat="1" x14ac:dyDescent="0.25"/>
    <row r="283759" customFormat="1" x14ac:dyDescent="0.25"/>
    <row r="283760" customFormat="1" x14ac:dyDescent="0.25"/>
    <row r="283761" customFormat="1" x14ac:dyDescent="0.25"/>
    <row r="283762" customFormat="1" x14ac:dyDescent="0.25"/>
    <row r="283763" customFormat="1" x14ac:dyDescent="0.25"/>
    <row r="283764" customFormat="1" x14ac:dyDescent="0.25"/>
    <row r="283765" customFormat="1" x14ac:dyDescent="0.25"/>
    <row r="283766" customFormat="1" x14ac:dyDescent="0.25"/>
    <row r="283767" customFormat="1" x14ac:dyDescent="0.25"/>
    <row r="283768" customFormat="1" x14ac:dyDescent="0.25"/>
    <row r="283769" customFormat="1" x14ac:dyDescent="0.25"/>
    <row r="283770" customFormat="1" x14ac:dyDescent="0.25"/>
    <row r="283771" customFormat="1" x14ac:dyDescent="0.25"/>
    <row r="283772" customFormat="1" x14ac:dyDescent="0.25"/>
    <row r="283773" customFormat="1" x14ac:dyDescent="0.25"/>
    <row r="283774" customFormat="1" x14ac:dyDescent="0.25"/>
    <row r="283775" customFormat="1" x14ac:dyDescent="0.25"/>
    <row r="283776" customFormat="1" x14ac:dyDescent="0.25"/>
    <row r="283777" customFormat="1" x14ac:dyDescent="0.25"/>
    <row r="283778" customFormat="1" x14ac:dyDescent="0.25"/>
    <row r="283779" customFormat="1" x14ac:dyDescent="0.25"/>
    <row r="283780" customFormat="1" x14ac:dyDescent="0.25"/>
    <row r="283781" customFormat="1" x14ac:dyDescent="0.25"/>
    <row r="283782" customFormat="1" x14ac:dyDescent="0.25"/>
    <row r="283783" customFormat="1" x14ac:dyDescent="0.25"/>
    <row r="283784" customFormat="1" x14ac:dyDescent="0.25"/>
    <row r="283785" customFormat="1" x14ac:dyDescent="0.25"/>
    <row r="283786" customFormat="1" x14ac:dyDescent="0.25"/>
    <row r="283787" customFormat="1" x14ac:dyDescent="0.25"/>
    <row r="283788" customFormat="1" x14ac:dyDescent="0.25"/>
    <row r="283789" customFormat="1" x14ac:dyDescent="0.25"/>
    <row r="283790" customFormat="1" x14ac:dyDescent="0.25"/>
    <row r="283791" customFormat="1" x14ac:dyDescent="0.25"/>
    <row r="283792" customFormat="1" x14ac:dyDescent="0.25"/>
    <row r="283793" customFormat="1" x14ac:dyDescent="0.25"/>
    <row r="283794" customFormat="1" x14ac:dyDescent="0.25"/>
    <row r="283795" customFormat="1" x14ac:dyDescent="0.25"/>
    <row r="283796" customFormat="1" x14ac:dyDescent="0.25"/>
    <row r="283797" customFormat="1" x14ac:dyDescent="0.25"/>
    <row r="283798" customFormat="1" x14ac:dyDescent="0.25"/>
    <row r="283799" customFormat="1" x14ac:dyDescent="0.25"/>
    <row r="283800" customFormat="1" x14ac:dyDescent="0.25"/>
    <row r="283801" customFormat="1" x14ac:dyDescent="0.25"/>
    <row r="283802" customFormat="1" x14ac:dyDescent="0.25"/>
    <row r="283803" customFormat="1" x14ac:dyDescent="0.25"/>
    <row r="283804" customFormat="1" x14ac:dyDescent="0.25"/>
    <row r="283805" customFormat="1" x14ac:dyDescent="0.25"/>
    <row r="283806" customFormat="1" x14ac:dyDescent="0.25"/>
    <row r="283807" customFormat="1" x14ac:dyDescent="0.25"/>
    <row r="283808" customFormat="1" x14ac:dyDescent="0.25"/>
    <row r="283809" customFormat="1" x14ac:dyDescent="0.25"/>
    <row r="283810" customFormat="1" x14ac:dyDescent="0.25"/>
    <row r="283811" customFormat="1" x14ac:dyDescent="0.25"/>
    <row r="283812" customFormat="1" x14ac:dyDescent="0.25"/>
    <row r="283813" customFormat="1" x14ac:dyDescent="0.25"/>
    <row r="283814" customFormat="1" x14ac:dyDescent="0.25"/>
    <row r="283815" customFormat="1" x14ac:dyDescent="0.25"/>
    <row r="283816" customFormat="1" x14ac:dyDescent="0.25"/>
    <row r="283817" customFormat="1" x14ac:dyDescent="0.25"/>
    <row r="283818" customFormat="1" x14ac:dyDescent="0.25"/>
    <row r="283819" customFormat="1" x14ac:dyDescent="0.25"/>
    <row r="283820" customFormat="1" x14ac:dyDescent="0.25"/>
    <row r="283821" customFormat="1" x14ac:dyDescent="0.25"/>
    <row r="283822" customFormat="1" x14ac:dyDescent="0.25"/>
    <row r="283823" customFormat="1" x14ac:dyDescent="0.25"/>
    <row r="283824" customFormat="1" x14ac:dyDescent="0.25"/>
    <row r="283825" customFormat="1" x14ac:dyDescent="0.25"/>
    <row r="283826" customFormat="1" x14ac:dyDescent="0.25"/>
    <row r="283827" customFormat="1" x14ac:dyDescent="0.25"/>
    <row r="283828" customFormat="1" x14ac:dyDescent="0.25"/>
    <row r="283829" customFormat="1" x14ac:dyDescent="0.25"/>
    <row r="283830" customFormat="1" x14ac:dyDescent="0.25"/>
    <row r="283831" customFormat="1" x14ac:dyDescent="0.25"/>
    <row r="283832" customFormat="1" x14ac:dyDescent="0.25"/>
    <row r="283833" customFormat="1" x14ac:dyDescent="0.25"/>
    <row r="283834" customFormat="1" x14ac:dyDescent="0.25"/>
    <row r="283835" customFormat="1" x14ac:dyDescent="0.25"/>
    <row r="283836" customFormat="1" x14ac:dyDescent="0.25"/>
    <row r="283837" customFormat="1" x14ac:dyDescent="0.25"/>
    <row r="283838" customFormat="1" x14ac:dyDescent="0.25"/>
    <row r="283839" customFormat="1" x14ac:dyDescent="0.25"/>
    <row r="283840" customFormat="1" x14ac:dyDescent="0.25"/>
    <row r="283841" customFormat="1" x14ac:dyDescent="0.25"/>
    <row r="283842" customFormat="1" x14ac:dyDescent="0.25"/>
    <row r="283843" customFormat="1" x14ac:dyDescent="0.25"/>
    <row r="283844" customFormat="1" x14ac:dyDescent="0.25"/>
    <row r="283845" customFormat="1" x14ac:dyDescent="0.25"/>
    <row r="283846" customFormat="1" x14ac:dyDescent="0.25"/>
    <row r="283847" customFormat="1" x14ac:dyDescent="0.25"/>
    <row r="283848" customFormat="1" x14ac:dyDescent="0.25"/>
    <row r="283849" customFormat="1" x14ac:dyDescent="0.25"/>
    <row r="283850" customFormat="1" x14ac:dyDescent="0.25"/>
    <row r="283851" customFormat="1" x14ac:dyDescent="0.25"/>
    <row r="283852" customFormat="1" x14ac:dyDescent="0.25"/>
    <row r="283853" customFormat="1" x14ac:dyDescent="0.25"/>
    <row r="283854" customFormat="1" x14ac:dyDescent="0.25"/>
    <row r="283855" customFormat="1" x14ac:dyDescent="0.25"/>
    <row r="283856" customFormat="1" x14ac:dyDescent="0.25"/>
    <row r="283857" customFormat="1" x14ac:dyDescent="0.25"/>
    <row r="283858" customFormat="1" x14ac:dyDescent="0.25"/>
    <row r="283859" customFormat="1" x14ac:dyDescent="0.25"/>
    <row r="283860" customFormat="1" x14ac:dyDescent="0.25"/>
    <row r="283861" customFormat="1" x14ac:dyDescent="0.25"/>
    <row r="283862" customFormat="1" x14ac:dyDescent="0.25"/>
    <row r="283863" customFormat="1" x14ac:dyDescent="0.25"/>
    <row r="283864" customFormat="1" x14ac:dyDescent="0.25"/>
    <row r="283865" customFormat="1" x14ac:dyDescent="0.25"/>
    <row r="283866" customFormat="1" x14ac:dyDescent="0.25"/>
    <row r="283867" customFormat="1" x14ac:dyDescent="0.25"/>
    <row r="283868" customFormat="1" x14ac:dyDescent="0.25"/>
    <row r="283869" customFormat="1" x14ac:dyDescent="0.25"/>
    <row r="283870" customFormat="1" x14ac:dyDescent="0.25"/>
    <row r="283871" customFormat="1" x14ac:dyDescent="0.25"/>
    <row r="283872" customFormat="1" x14ac:dyDescent="0.25"/>
    <row r="283873" customFormat="1" x14ac:dyDescent="0.25"/>
    <row r="283874" customFormat="1" x14ac:dyDescent="0.25"/>
    <row r="283875" customFormat="1" x14ac:dyDescent="0.25"/>
    <row r="283876" customFormat="1" x14ac:dyDescent="0.25"/>
    <row r="283877" customFormat="1" x14ac:dyDescent="0.25"/>
    <row r="283878" customFormat="1" x14ac:dyDescent="0.25"/>
    <row r="283879" customFormat="1" x14ac:dyDescent="0.25"/>
    <row r="283880" customFormat="1" x14ac:dyDescent="0.25"/>
    <row r="283881" customFormat="1" x14ac:dyDescent="0.25"/>
    <row r="283882" customFormat="1" x14ac:dyDescent="0.25"/>
    <row r="283883" customFormat="1" x14ac:dyDescent="0.25"/>
    <row r="283884" customFormat="1" x14ac:dyDescent="0.25"/>
    <row r="283885" customFormat="1" x14ac:dyDescent="0.25"/>
    <row r="283886" customFormat="1" x14ac:dyDescent="0.25"/>
    <row r="283887" customFormat="1" x14ac:dyDescent="0.25"/>
    <row r="283888" customFormat="1" x14ac:dyDescent="0.25"/>
    <row r="283889" customFormat="1" x14ac:dyDescent="0.25"/>
    <row r="283890" customFormat="1" x14ac:dyDescent="0.25"/>
    <row r="283891" customFormat="1" x14ac:dyDescent="0.25"/>
    <row r="283892" customFormat="1" x14ac:dyDescent="0.25"/>
    <row r="283893" customFormat="1" x14ac:dyDescent="0.25"/>
    <row r="283894" customFormat="1" x14ac:dyDescent="0.25"/>
    <row r="283895" customFormat="1" x14ac:dyDescent="0.25"/>
    <row r="283896" customFormat="1" x14ac:dyDescent="0.25"/>
    <row r="283897" customFormat="1" x14ac:dyDescent="0.25"/>
    <row r="283898" customFormat="1" x14ac:dyDescent="0.25"/>
    <row r="283899" customFormat="1" x14ac:dyDescent="0.25"/>
    <row r="283900" customFormat="1" x14ac:dyDescent="0.25"/>
    <row r="283901" customFormat="1" x14ac:dyDescent="0.25"/>
    <row r="283902" customFormat="1" x14ac:dyDescent="0.25"/>
    <row r="283903" customFormat="1" x14ac:dyDescent="0.25"/>
    <row r="283904" customFormat="1" x14ac:dyDescent="0.25"/>
    <row r="283905" customFormat="1" x14ac:dyDescent="0.25"/>
    <row r="283906" customFormat="1" x14ac:dyDescent="0.25"/>
    <row r="283907" customFormat="1" x14ac:dyDescent="0.25"/>
    <row r="283908" customFormat="1" x14ac:dyDescent="0.25"/>
    <row r="283909" customFormat="1" x14ac:dyDescent="0.25"/>
    <row r="283910" customFormat="1" x14ac:dyDescent="0.25"/>
    <row r="283911" customFormat="1" x14ac:dyDescent="0.25"/>
    <row r="283912" customFormat="1" x14ac:dyDescent="0.25"/>
    <row r="283913" customFormat="1" x14ac:dyDescent="0.25"/>
    <row r="283914" customFormat="1" x14ac:dyDescent="0.25"/>
    <row r="283915" customFormat="1" x14ac:dyDescent="0.25"/>
    <row r="283916" customFormat="1" x14ac:dyDescent="0.25"/>
    <row r="283917" customFormat="1" x14ac:dyDescent="0.25"/>
    <row r="283918" customFormat="1" x14ac:dyDescent="0.25"/>
    <row r="283919" customFormat="1" x14ac:dyDescent="0.25"/>
    <row r="283920" customFormat="1" x14ac:dyDescent="0.25"/>
    <row r="283921" customFormat="1" x14ac:dyDescent="0.25"/>
    <row r="283922" customFormat="1" x14ac:dyDescent="0.25"/>
    <row r="283923" customFormat="1" x14ac:dyDescent="0.25"/>
    <row r="283924" customFormat="1" x14ac:dyDescent="0.25"/>
    <row r="283925" customFormat="1" x14ac:dyDescent="0.25"/>
    <row r="283926" customFormat="1" x14ac:dyDescent="0.25"/>
    <row r="283927" customFormat="1" x14ac:dyDescent="0.25"/>
    <row r="283928" customFormat="1" x14ac:dyDescent="0.25"/>
    <row r="283929" customFormat="1" x14ac:dyDescent="0.25"/>
    <row r="283930" customFormat="1" x14ac:dyDescent="0.25"/>
    <row r="283931" customFormat="1" x14ac:dyDescent="0.25"/>
    <row r="283932" customFormat="1" x14ac:dyDescent="0.25"/>
    <row r="283933" customFormat="1" x14ac:dyDescent="0.25"/>
    <row r="283934" customFormat="1" x14ac:dyDescent="0.25"/>
    <row r="283935" customFormat="1" x14ac:dyDescent="0.25"/>
    <row r="283936" customFormat="1" x14ac:dyDescent="0.25"/>
    <row r="283937" customFormat="1" x14ac:dyDescent="0.25"/>
    <row r="283938" customFormat="1" x14ac:dyDescent="0.25"/>
    <row r="283939" customFormat="1" x14ac:dyDescent="0.25"/>
    <row r="283940" customFormat="1" x14ac:dyDescent="0.25"/>
    <row r="283941" customFormat="1" x14ac:dyDescent="0.25"/>
    <row r="283942" customFormat="1" x14ac:dyDescent="0.25"/>
    <row r="283943" customFormat="1" x14ac:dyDescent="0.25"/>
    <row r="283944" customFormat="1" x14ac:dyDescent="0.25"/>
    <row r="283945" customFormat="1" x14ac:dyDescent="0.25"/>
    <row r="283946" customFormat="1" x14ac:dyDescent="0.25"/>
    <row r="283947" customFormat="1" x14ac:dyDescent="0.25"/>
    <row r="283948" customFormat="1" x14ac:dyDescent="0.25"/>
    <row r="283949" customFormat="1" x14ac:dyDescent="0.25"/>
    <row r="283950" customFormat="1" x14ac:dyDescent="0.25"/>
    <row r="283951" customFormat="1" x14ac:dyDescent="0.25"/>
    <row r="283952" customFormat="1" x14ac:dyDescent="0.25"/>
    <row r="283953" customFormat="1" x14ac:dyDescent="0.25"/>
    <row r="283954" customFormat="1" x14ac:dyDescent="0.25"/>
    <row r="283955" customFormat="1" x14ac:dyDescent="0.25"/>
    <row r="283956" customFormat="1" x14ac:dyDescent="0.25"/>
    <row r="283957" customFormat="1" x14ac:dyDescent="0.25"/>
    <row r="283958" customFormat="1" x14ac:dyDescent="0.25"/>
    <row r="283959" customFormat="1" x14ac:dyDescent="0.25"/>
    <row r="283960" customFormat="1" x14ac:dyDescent="0.25"/>
    <row r="283961" customFormat="1" x14ac:dyDescent="0.25"/>
    <row r="283962" customFormat="1" x14ac:dyDescent="0.25"/>
    <row r="283963" customFormat="1" x14ac:dyDescent="0.25"/>
    <row r="283964" customFormat="1" x14ac:dyDescent="0.25"/>
    <row r="283965" customFormat="1" x14ac:dyDescent="0.25"/>
    <row r="283966" customFormat="1" x14ac:dyDescent="0.25"/>
    <row r="283967" customFormat="1" x14ac:dyDescent="0.25"/>
    <row r="283968" customFormat="1" x14ac:dyDescent="0.25"/>
    <row r="283969" customFormat="1" x14ac:dyDescent="0.25"/>
    <row r="283970" customFormat="1" x14ac:dyDescent="0.25"/>
    <row r="283971" customFormat="1" x14ac:dyDescent="0.25"/>
    <row r="283972" customFormat="1" x14ac:dyDescent="0.25"/>
    <row r="283973" customFormat="1" x14ac:dyDescent="0.25"/>
    <row r="283974" customFormat="1" x14ac:dyDescent="0.25"/>
    <row r="283975" customFormat="1" x14ac:dyDescent="0.25"/>
    <row r="283976" customFormat="1" x14ac:dyDescent="0.25"/>
    <row r="283977" customFormat="1" x14ac:dyDescent="0.25"/>
    <row r="283978" customFormat="1" x14ac:dyDescent="0.25"/>
    <row r="283979" customFormat="1" x14ac:dyDescent="0.25"/>
    <row r="283980" customFormat="1" x14ac:dyDescent="0.25"/>
    <row r="283981" customFormat="1" x14ac:dyDescent="0.25"/>
    <row r="283982" customFormat="1" x14ac:dyDescent="0.25"/>
    <row r="283983" customFormat="1" x14ac:dyDescent="0.25"/>
    <row r="283984" customFormat="1" x14ac:dyDescent="0.25"/>
    <row r="283985" customFormat="1" x14ac:dyDescent="0.25"/>
    <row r="283986" customFormat="1" x14ac:dyDescent="0.25"/>
    <row r="283987" customFormat="1" x14ac:dyDescent="0.25"/>
    <row r="283988" customFormat="1" x14ac:dyDescent="0.25"/>
    <row r="283989" customFormat="1" x14ac:dyDescent="0.25"/>
    <row r="283990" customFormat="1" x14ac:dyDescent="0.25"/>
    <row r="283991" customFormat="1" x14ac:dyDescent="0.25"/>
    <row r="283992" customFormat="1" x14ac:dyDescent="0.25"/>
    <row r="283993" customFormat="1" x14ac:dyDescent="0.25"/>
    <row r="283994" customFormat="1" x14ac:dyDescent="0.25"/>
    <row r="283995" customFormat="1" x14ac:dyDescent="0.25"/>
    <row r="283996" customFormat="1" x14ac:dyDescent="0.25"/>
    <row r="283997" customFormat="1" x14ac:dyDescent="0.25"/>
    <row r="283998" customFormat="1" x14ac:dyDescent="0.25"/>
    <row r="283999" customFormat="1" x14ac:dyDescent="0.25"/>
    <row r="284000" customFormat="1" x14ac:dyDescent="0.25"/>
    <row r="284001" customFormat="1" x14ac:dyDescent="0.25"/>
    <row r="284002" customFormat="1" x14ac:dyDescent="0.25"/>
    <row r="284003" customFormat="1" x14ac:dyDescent="0.25"/>
    <row r="284004" customFormat="1" x14ac:dyDescent="0.25"/>
    <row r="284005" customFormat="1" x14ac:dyDescent="0.25"/>
    <row r="284006" customFormat="1" x14ac:dyDescent="0.25"/>
    <row r="284007" customFormat="1" x14ac:dyDescent="0.25"/>
    <row r="284008" customFormat="1" x14ac:dyDescent="0.25"/>
    <row r="284009" customFormat="1" x14ac:dyDescent="0.25"/>
    <row r="284010" customFormat="1" x14ac:dyDescent="0.25"/>
    <row r="284011" customFormat="1" x14ac:dyDescent="0.25"/>
    <row r="284012" customFormat="1" x14ac:dyDescent="0.25"/>
    <row r="284013" customFormat="1" x14ac:dyDescent="0.25"/>
    <row r="284014" customFormat="1" x14ac:dyDescent="0.25"/>
    <row r="284015" customFormat="1" x14ac:dyDescent="0.25"/>
    <row r="284016" customFormat="1" x14ac:dyDescent="0.25"/>
    <row r="284017" customFormat="1" x14ac:dyDescent="0.25"/>
    <row r="284018" customFormat="1" x14ac:dyDescent="0.25"/>
    <row r="284019" customFormat="1" x14ac:dyDescent="0.25"/>
    <row r="284020" customFormat="1" x14ac:dyDescent="0.25"/>
    <row r="284021" customFormat="1" x14ac:dyDescent="0.25"/>
    <row r="284022" customFormat="1" x14ac:dyDescent="0.25"/>
    <row r="284023" customFormat="1" x14ac:dyDescent="0.25"/>
    <row r="284024" customFormat="1" x14ac:dyDescent="0.25"/>
    <row r="284025" customFormat="1" x14ac:dyDescent="0.25"/>
    <row r="284026" customFormat="1" x14ac:dyDescent="0.25"/>
    <row r="284027" customFormat="1" x14ac:dyDescent="0.25"/>
    <row r="284028" customFormat="1" x14ac:dyDescent="0.25"/>
    <row r="284029" customFormat="1" x14ac:dyDescent="0.25"/>
    <row r="284030" customFormat="1" x14ac:dyDescent="0.25"/>
    <row r="284031" customFormat="1" x14ac:dyDescent="0.25"/>
    <row r="284032" customFormat="1" x14ac:dyDescent="0.25"/>
    <row r="284033" customFormat="1" x14ac:dyDescent="0.25"/>
    <row r="284034" customFormat="1" x14ac:dyDescent="0.25"/>
    <row r="284035" customFormat="1" x14ac:dyDescent="0.25"/>
    <row r="284036" customFormat="1" x14ac:dyDescent="0.25"/>
    <row r="284037" customFormat="1" x14ac:dyDescent="0.25"/>
    <row r="284038" customFormat="1" x14ac:dyDescent="0.25"/>
    <row r="284039" customFormat="1" x14ac:dyDescent="0.25"/>
    <row r="284040" customFormat="1" x14ac:dyDescent="0.25"/>
    <row r="284041" customFormat="1" x14ac:dyDescent="0.25"/>
    <row r="284042" customFormat="1" x14ac:dyDescent="0.25"/>
    <row r="284043" customFormat="1" x14ac:dyDescent="0.25"/>
    <row r="284044" customFormat="1" x14ac:dyDescent="0.25"/>
    <row r="284045" customFormat="1" x14ac:dyDescent="0.25"/>
    <row r="284046" customFormat="1" x14ac:dyDescent="0.25"/>
    <row r="284047" customFormat="1" x14ac:dyDescent="0.25"/>
    <row r="284048" customFormat="1" x14ac:dyDescent="0.25"/>
    <row r="284049" customFormat="1" x14ac:dyDescent="0.25"/>
    <row r="284050" customFormat="1" x14ac:dyDescent="0.25"/>
    <row r="284051" customFormat="1" x14ac:dyDescent="0.25"/>
    <row r="284052" customFormat="1" x14ac:dyDescent="0.25"/>
    <row r="284053" customFormat="1" x14ac:dyDescent="0.25"/>
    <row r="284054" customFormat="1" x14ac:dyDescent="0.25"/>
    <row r="284055" customFormat="1" x14ac:dyDescent="0.25"/>
    <row r="284056" customFormat="1" x14ac:dyDescent="0.25"/>
    <row r="284057" customFormat="1" x14ac:dyDescent="0.25"/>
    <row r="284058" customFormat="1" x14ac:dyDescent="0.25"/>
    <row r="284059" customFormat="1" x14ac:dyDescent="0.25"/>
    <row r="284060" customFormat="1" x14ac:dyDescent="0.25"/>
    <row r="284061" customFormat="1" x14ac:dyDescent="0.25"/>
    <row r="284062" customFormat="1" x14ac:dyDescent="0.25"/>
    <row r="284063" customFormat="1" x14ac:dyDescent="0.25"/>
    <row r="284064" customFormat="1" x14ac:dyDescent="0.25"/>
    <row r="284065" customFormat="1" x14ac:dyDescent="0.25"/>
    <row r="284066" customFormat="1" x14ac:dyDescent="0.25"/>
    <row r="284067" customFormat="1" x14ac:dyDescent="0.25"/>
    <row r="284068" customFormat="1" x14ac:dyDescent="0.25"/>
    <row r="284069" customFormat="1" x14ac:dyDescent="0.25"/>
    <row r="284070" customFormat="1" x14ac:dyDescent="0.25"/>
    <row r="284071" customFormat="1" x14ac:dyDescent="0.25"/>
    <row r="284072" customFormat="1" x14ac:dyDescent="0.25"/>
    <row r="284073" customFormat="1" x14ac:dyDescent="0.25"/>
    <row r="284074" customFormat="1" x14ac:dyDescent="0.25"/>
    <row r="284075" customFormat="1" x14ac:dyDescent="0.25"/>
    <row r="284076" customFormat="1" x14ac:dyDescent="0.25"/>
    <row r="284077" customFormat="1" x14ac:dyDescent="0.25"/>
    <row r="284078" customFormat="1" x14ac:dyDescent="0.25"/>
    <row r="284079" customFormat="1" x14ac:dyDescent="0.25"/>
    <row r="284080" customFormat="1" x14ac:dyDescent="0.25"/>
    <row r="284081" customFormat="1" x14ac:dyDescent="0.25"/>
    <row r="284082" customFormat="1" x14ac:dyDescent="0.25"/>
    <row r="284083" customFormat="1" x14ac:dyDescent="0.25"/>
    <row r="284084" customFormat="1" x14ac:dyDescent="0.25"/>
    <row r="284085" customFormat="1" x14ac:dyDescent="0.25"/>
    <row r="284086" customFormat="1" x14ac:dyDescent="0.25"/>
    <row r="284087" customFormat="1" x14ac:dyDescent="0.25"/>
    <row r="284088" customFormat="1" x14ac:dyDescent="0.25"/>
    <row r="284089" customFormat="1" x14ac:dyDescent="0.25"/>
    <row r="284090" customFormat="1" x14ac:dyDescent="0.25"/>
    <row r="284091" customFormat="1" x14ac:dyDescent="0.25"/>
    <row r="284092" customFormat="1" x14ac:dyDescent="0.25"/>
    <row r="284093" customFormat="1" x14ac:dyDescent="0.25"/>
    <row r="284094" customFormat="1" x14ac:dyDescent="0.25"/>
    <row r="284095" customFormat="1" x14ac:dyDescent="0.25"/>
    <row r="284096" customFormat="1" x14ac:dyDescent="0.25"/>
    <row r="284097" customFormat="1" x14ac:dyDescent="0.25"/>
    <row r="284098" customFormat="1" x14ac:dyDescent="0.25"/>
    <row r="284099" customFormat="1" x14ac:dyDescent="0.25"/>
    <row r="284100" customFormat="1" x14ac:dyDescent="0.25"/>
    <row r="284101" customFormat="1" x14ac:dyDescent="0.25"/>
    <row r="284102" customFormat="1" x14ac:dyDescent="0.25"/>
    <row r="284103" customFormat="1" x14ac:dyDescent="0.25"/>
    <row r="284104" customFormat="1" x14ac:dyDescent="0.25"/>
    <row r="284105" customFormat="1" x14ac:dyDescent="0.25"/>
    <row r="284106" customFormat="1" x14ac:dyDescent="0.25"/>
    <row r="284107" customFormat="1" x14ac:dyDescent="0.25"/>
    <row r="284108" customFormat="1" x14ac:dyDescent="0.25"/>
    <row r="284109" customFormat="1" x14ac:dyDescent="0.25"/>
    <row r="284110" customFormat="1" x14ac:dyDescent="0.25"/>
    <row r="284111" customFormat="1" x14ac:dyDescent="0.25"/>
    <row r="284112" customFormat="1" x14ac:dyDescent="0.25"/>
    <row r="284113" customFormat="1" x14ac:dyDescent="0.25"/>
    <row r="284114" customFormat="1" x14ac:dyDescent="0.25"/>
    <row r="284115" customFormat="1" x14ac:dyDescent="0.25"/>
    <row r="284116" customFormat="1" x14ac:dyDescent="0.25"/>
    <row r="284117" customFormat="1" x14ac:dyDescent="0.25"/>
    <row r="284118" customFormat="1" x14ac:dyDescent="0.25"/>
    <row r="284119" customFormat="1" x14ac:dyDescent="0.25"/>
    <row r="284120" customFormat="1" x14ac:dyDescent="0.25"/>
    <row r="284121" customFormat="1" x14ac:dyDescent="0.25"/>
    <row r="284122" customFormat="1" x14ac:dyDescent="0.25"/>
    <row r="284123" customFormat="1" x14ac:dyDescent="0.25"/>
    <row r="284124" customFormat="1" x14ac:dyDescent="0.25"/>
    <row r="284125" customFormat="1" x14ac:dyDescent="0.25"/>
    <row r="284126" customFormat="1" x14ac:dyDescent="0.25"/>
    <row r="284127" customFormat="1" x14ac:dyDescent="0.25"/>
    <row r="284128" customFormat="1" x14ac:dyDescent="0.25"/>
    <row r="284129" customFormat="1" x14ac:dyDescent="0.25"/>
    <row r="284130" customFormat="1" x14ac:dyDescent="0.25"/>
    <row r="284131" customFormat="1" x14ac:dyDescent="0.25"/>
    <row r="284132" customFormat="1" x14ac:dyDescent="0.25"/>
    <row r="284133" customFormat="1" x14ac:dyDescent="0.25"/>
    <row r="284134" customFormat="1" x14ac:dyDescent="0.25"/>
    <row r="284135" customFormat="1" x14ac:dyDescent="0.25"/>
    <row r="284136" customFormat="1" x14ac:dyDescent="0.25"/>
    <row r="284137" customFormat="1" x14ac:dyDescent="0.25"/>
    <row r="284138" customFormat="1" x14ac:dyDescent="0.25"/>
    <row r="284139" customFormat="1" x14ac:dyDescent="0.25"/>
    <row r="284140" customFormat="1" x14ac:dyDescent="0.25"/>
    <row r="284141" customFormat="1" x14ac:dyDescent="0.25"/>
    <row r="284142" customFormat="1" x14ac:dyDescent="0.25"/>
    <row r="284143" customFormat="1" x14ac:dyDescent="0.25"/>
    <row r="284144" customFormat="1" x14ac:dyDescent="0.25"/>
    <row r="284145" customFormat="1" x14ac:dyDescent="0.25"/>
    <row r="284146" customFormat="1" x14ac:dyDescent="0.25"/>
    <row r="284147" customFormat="1" x14ac:dyDescent="0.25"/>
    <row r="284148" customFormat="1" x14ac:dyDescent="0.25"/>
    <row r="284149" customFormat="1" x14ac:dyDescent="0.25"/>
    <row r="284150" customFormat="1" x14ac:dyDescent="0.25"/>
    <row r="284151" customFormat="1" x14ac:dyDescent="0.25"/>
    <row r="284152" customFormat="1" x14ac:dyDescent="0.25"/>
    <row r="284153" customFormat="1" x14ac:dyDescent="0.25"/>
    <row r="284154" customFormat="1" x14ac:dyDescent="0.25"/>
    <row r="284155" customFormat="1" x14ac:dyDescent="0.25"/>
    <row r="284156" customFormat="1" x14ac:dyDescent="0.25"/>
    <row r="284157" customFormat="1" x14ac:dyDescent="0.25"/>
    <row r="284158" customFormat="1" x14ac:dyDescent="0.25"/>
    <row r="284159" customFormat="1" x14ac:dyDescent="0.25"/>
    <row r="284160" customFormat="1" x14ac:dyDescent="0.25"/>
    <row r="284161" customFormat="1" x14ac:dyDescent="0.25"/>
    <row r="284162" customFormat="1" x14ac:dyDescent="0.25"/>
    <row r="284163" customFormat="1" x14ac:dyDescent="0.25"/>
    <row r="284164" customFormat="1" x14ac:dyDescent="0.25"/>
    <row r="284165" customFormat="1" x14ac:dyDescent="0.25"/>
    <row r="284166" customFormat="1" x14ac:dyDescent="0.25"/>
    <row r="284167" customFormat="1" x14ac:dyDescent="0.25"/>
    <row r="284168" customFormat="1" x14ac:dyDescent="0.25"/>
    <row r="284169" customFormat="1" x14ac:dyDescent="0.25"/>
    <row r="284170" customFormat="1" x14ac:dyDescent="0.25"/>
    <row r="284171" customFormat="1" x14ac:dyDescent="0.25"/>
    <row r="284172" customFormat="1" x14ac:dyDescent="0.25"/>
    <row r="284173" customFormat="1" x14ac:dyDescent="0.25"/>
    <row r="284174" customFormat="1" x14ac:dyDescent="0.25"/>
    <row r="284175" customFormat="1" x14ac:dyDescent="0.25"/>
    <row r="284176" customFormat="1" x14ac:dyDescent="0.25"/>
    <row r="284177" customFormat="1" x14ac:dyDescent="0.25"/>
    <row r="284178" customFormat="1" x14ac:dyDescent="0.25"/>
    <row r="284179" customFormat="1" x14ac:dyDescent="0.25"/>
    <row r="284180" customFormat="1" x14ac:dyDescent="0.25"/>
    <row r="284181" customFormat="1" x14ac:dyDescent="0.25"/>
    <row r="284182" customFormat="1" x14ac:dyDescent="0.25"/>
    <row r="284183" customFormat="1" x14ac:dyDescent="0.25"/>
    <row r="284184" customFormat="1" x14ac:dyDescent="0.25"/>
    <row r="284185" customFormat="1" x14ac:dyDescent="0.25"/>
    <row r="284186" customFormat="1" x14ac:dyDescent="0.25"/>
    <row r="284187" customFormat="1" x14ac:dyDescent="0.25"/>
    <row r="284188" customFormat="1" x14ac:dyDescent="0.25"/>
    <row r="284189" customFormat="1" x14ac:dyDescent="0.25"/>
    <row r="284190" customFormat="1" x14ac:dyDescent="0.25"/>
    <row r="284191" customFormat="1" x14ac:dyDescent="0.25"/>
    <row r="284192" customFormat="1" x14ac:dyDescent="0.25"/>
    <row r="284193" customFormat="1" x14ac:dyDescent="0.25"/>
    <row r="284194" customFormat="1" x14ac:dyDescent="0.25"/>
    <row r="284195" customFormat="1" x14ac:dyDescent="0.25"/>
    <row r="284196" customFormat="1" x14ac:dyDescent="0.25"/>
    <row r="284197" customFormat="1" x14ac:dyDescent="0.25"/>
    <row r="284198" customFormat="1" x14ac:dyDescent="0.25"/>
    <row r="284199" customFormat="1" x14ac:dyDescent="0.25"/>
    <row r="284200" customFormat="1" x14ac:dyDescent="0.25"/>
    <row r="284201" customFormat="1" x14ac:dyDescent="0.25"/>
    <row r="284202" customFormat="1" x14ac:dyDescent="0.25"/>
    <row r="284203" customFormat="1" x14ac:dyDescent="0.25"/>
    <row r="284204" customFormat="1" x14ac:dyDescent="0.25"/>
    <row r="284205" customFormat="1" x14ac:dyDescent="0.25"/>
    <row r="284206" customFormat="1" x14ac:dyDescent="0.25"/>
    <row r="284207" customFormat="1" x14ac:dyDescent="0.25"/>
    <row r="284208" customFormat="1" x14ac:dyDescent="0.25"/>
    <row r="284209" customFormat="1" x14ac:dyDescent="0.25"/>
    <row r="284210" customFormat="1" x14ac:dyDescent="0.25"/>
    <row r="284211" customFormat="1" x14ac:dyDescent="0.25"/>
    <row r="284212" customFormat="1" x14ac:dyDescent="0.25"/>
    <row r="284213" customFormat="1" x14ac:dyDescent="0.25"/>
    <row r="284214" customFormat="1" x14ac:dyDescent="0.25"/>
    <row r="284215" customFormat="1" x14ac:dyDescent="0.25"/>
    <row r="284216" customFormat="1" x14ac:dyDescent="0.25"/>
    <row r="284217" customFormat="1" x14ac:dyDescent="0.25"/>
    <row r="284218" customFormat="1" x14ac:dyDescent="0.25"/>
    <row r="284219" customFormat="1" x14ac:dyDescent="0.25"/>
    <row r="284220" customFormat="1" x14ac:dyDescent="0.25"/>
    <row r="284221" customFormat="1" x14ac:dyDescent="0.25"/>
    <row r="284222" customFormat="1" x14ac:dyDescent="0.25"/>
    <row r="284223" customFormat="1" x14ac:dyDescent="0.25"/>
    <row r="284224" customFormat="1" x14ac:dyDescent="0.25"/>
    <row r="284225" customFormat="1" x14ac:dyDescent="0.25"/>
    <row r="284226" customFormat="1" x14ac:dyDescent="0.25"/>
    <row r="284227" customFormat="1" x14ac:dyDescent="0.25"/>
    <row r="284228" customFormat="1" x14ac:dyDescent="0.25"/>
    <row r="284229" customFormat="1" x14ac:dyDescent="0.25"/>
    <row r="284230" customFormat="1" x14ac:dyDescent="0.25"/>
    <row r="284231" customFormat="1" x14ac:dyDescent="0.25"/>
    <row r="284232" customFormat="1" x14ac:dyDescent="0.25"/>
    <row r="284233" customFormat="1" x14ac:dyDescent="0.25"/>
    <row r="284234" customFormat="1" x14ac:dyDescent="0.25"/>
    <row r="284235" customFormat="1" x14ac:dyDescent="0.25"/>
    <row r="284236" customFormat="1" x14ac:dyDescent="0.25"/>
    <row r="284237" customFormat="1" x14ac:dyDescent="0.25"/>
    <row r="284238" customFormat="1" x14ac:dyDescent="0.25"/>
    <row r="284239" customFormat="1" x14ac:dyDescent="0.25"/>
    <row r="284240" customFormat="1" x14ac:dyDescent="0.25"/>
    <row r="284241" customFormat="1" x14ac:dyDescent="0.25"/>
    <row r="284242" customFormat="1" x14ac:dyDescent="0.25"/>
    <row r="284243" customFormat="1" x14ac:dyDescent="0.25"/>
    <row r="284244" customFormat="1" x14ac:dyDescent="0.25"/>
    <row r="284245" customFormat="1" x14ac:dyDescent="0.25"/>
    <row r="284246" customFormat="1" x14ac:dyDescent="0.25"/>
    <row r="284247" customFormat="1" x14ac:dyDescent="0.25"/>
    <row r="284248" customFormat="1" x14ac:dyDescent="0.25"/>
    <row r="284249" customFormat="1" x14ac:dyDescent="0.25"/>
    <row r="284250" customFormat="1" x14ac:dyDescent="0.25"/>
    <row r="284251" customFormat="1" x14ac:dyDescent="0.25"/>
    <row r="284252" customFormat="1" x14ac:dyDescent="0.25"/>
    <row r="284253" customFormat="1" x14ac:dyDescent="0.25"/>
    <row r="284254" customFormat="1" x14ac:dyDescent="0.25"/>
    <row r="284255" customFormat="1" x14ac:dyDescent="0.25"/>
    <row r="284256" customFormat="1" x14ac:dyDescent="0.25"/>
    <row r="284257" customFormat="1" x14ac:dyDescent="0.25"/>
    <row r="284258" customFormat="1" x14ac:dyDescent="0.25"/>
    <row r="284259" customFormat="1" x14ac:dyDescent="0.25"/>
    <row r="284260" customFormat="1" x14ac:dyDescent="0.25"/>
    <row r="284261" customFormat="1" x14ac:dyDescent="0.25"/>
    <row r="284262" customFormat="1" x14ac:dyDescent="0.25"/>
    <row r="284263" customFormat="1" x14ac:dyDescent="0.25"/>
    <row r="284264" customFormat="1" x14ac:dyDescent="0.25"/>
    <row r="284265" customFormat="1" x14ac:dyDescent="0.25"/>
    <row r="284266" customFormat="1" x14ac:dyDescent="0.25"/>
    <row r="284267" customFormat="1" x14ac:dyDescent="0.25"/>
    <row r="284268" customFormat="1" x14ac:dyDescent="0.25"/>
    <row r="284269" customFormat="1" x14ac:dyDescent="0.25"/>
    <row r="284270" customFormat="1" x14ac:dyDescent="0.25"/>
    <row r="284271" customFormat="1" x14ac:dyDescent="0.25"/>
    <row r="284272" customFormat="1" x14ac:dyDescent="0.25"/>
    <row r="284273" customFormat="1" x14ac:dyDescent="0.25"/>
    <row r="284274" customFormat="1" x14ac:dyDescent="0.25"/>
    <row r="284275" customFormat="1" x14ac:dyDescent="0.25"/>
    <row r="284276" customFormat="1" x14ac:dyDescent="0.25"/>
    <row r="284277" customFormat="1" x14ac:dyDescent="0.25"/>
    <row r="284278" customFormat="1" x14ac:dyDescent="0.25"/>
    <row r="284279" customFormat="1" x14ac:dyDescent="0.25"/>
    <row r="284280" customFormat="1" x14ac:dyDescent="0.25"/>
    <row r="284281" customFormat="1" x14ac:dyDescent="0.25"/>
    <row r="284282" customFormat="1" x14ac:dyDescent="0.25"/>
    <row r="284283" customFormat="1" x14ac:dyDescent="0.25"/>
    <row r="284284" customFormat="1" x14ac:dyDescent="0.25"/>
    <row r="284285" customFormat="1" x14ac:dyDescent="0.25"/>
    <row r="284286" customFormat="1" x14ac:dyDescent="0.25"/>
    <row r="284287" customFormat="1" x14ac:dyDescent="0.25"/>
    <row r="284288" customFormat="1" x14ac:dyDescent="0.25"/>
    <row r="284289" customFormat="1" x14ac:dyDescent="0.25"/>
    <row r="284290" customFormat="1" x14ac:dyDescent="0.25"/>
    <row r="284291" customFormat="1" x14ac:dyDescent="0.25"/>
    <row r="284292" customFormat="1" x14ac:dyDescent="0.25"/>
    <row r="284293" customFormat="1" x14ac:dyDescent="0.25"/>
    <row r="284294" customFormat="1" x14ac:dyDescent="0.25"/>
    <row r="284295" customFormat="1" x14ac:dyDescent="0.25"/>
    <row r="284296" customFormat="1" x14ac:dyDescent="0.25"/>
    <row r="284297" customFormat="1" x14ac:dyDescent="0.25"/>
    <row r="284298" customFormat="1" x14ac:dyDescent="0.25"/>
    <row r="284299" customFormat="1" x14ac:dyDescent="0.25"/>
    <row r="284300" customFormat="1" x14ac:dyDescent="0.25"/>
    <row r="284301" customFormat="1" x14ac:dyDescent="0.25"/>
    <row r="284302" customFormat="1" x14ac:dyDescent="0.25"/>
    <row r="284303" customFormat="1" x14ac:dyDescent="0.25"/>
    <row r="284304" customFormat="1" x14ac:dyDescent="0.25"/>
    <row r="284305" customFormat="1" x14ac:dyDescent="0.25"/>
    <row r="284306" customFormat="1" x14ac:dyDescent="0.25"/>
    <row r="284307" customFormat="1" x14ac:dyDescent="0.25"/>
    <row r="284308" customFormat="1" x14ac:dyDescent="0.25"/>
    <row r="284309" customFormat="1" x14ac:dyDescent="0.25"/>
    <row r="284310" customFormat="1" x14ac:dyDescent="0.25"/>
    <row r="284311" customFormat="1" x14ac:dyDescent="0.25"/>
    <row r="284312" customFormat="1" x14ac:dyDescent="0.25"/>
    <row r="284313" customFormat="1" x14ac:dyDescent="0.25"/>
    <row r="284314" customFormat="1" x14ac:dyDescent="0.25"/>
    <row r="284315" customFormat="1" x14ac:dyDescent="0.25"/>
    <row r="284316" customFormat="1" x14ac:dyDescent="0.25"/>
    <row r="284317" customFormat="1" x14ac:dyDescent="0.25"/>
    <row r="284318" customFormat="1" x14ac:dyDescent="0.25"/>
    <row r="284319" customFormat="1" x14ac:dyDescent="0.25"/>
    <row r="284320" customFormat="1" x14ac:dyDescent="0.25"/>
    <row r="284321" customFormat="1" x14ac:dyDescent="0.25"/>
    <row r="284322" customFormat="1" x14ac:dyDescent="0.25"/>
    <row r="284323" customFormat="1" x14ac:dyDescent="0.25"/>
    <row r="284324" customFormat="1" x14ac:dyDescent="0.25"/>
    <row r="284325" customFormat="1" x14ac:dyDescent="0.25"/>
    <row r="284326" customFormat="1" x14ac:dyDescent="0.25"/>
    <row r="284327" customFormat="1" x14ac:dyDescent="0.25"/>
    <row r="284328" customFormat="1" x14ac:dyDescent="0.25"/>
    <row r="284329" customFormat="1" x14ac:dyDescent="0.25"/>
    <row r="284330" customFormat="1" x14ac:dyDescent="0.25"/>
    <row r="284331" customFormat="1" x14ac:dyDescent="0.25"/>
    <row r="284332" customFormat="1" x14ac:dyDescent="0.25"/>
    <row r="284333" customFormat="1" x14ac:dyDescent="0.25"/>
    <row r="284334" customFormat="1" x14ac:dyDescent="0.25"/>
    <row r="284335" customFormat="1" x14ac:dyDescent="0.25"/>
    <row r="284336" customFormat="1" x14ac:dyDescent="0.25"/>
    <row r="284337" customFormat="1" x14ac:dyDescent="0.25"/>
    <row r="284338" customFormat="1" x14ac:dyDescent="0.25"/>
    <row r="284339" customFormat="1" x14ac:dyDescent="0.25"/>
    <row r="284340" customFormat="1" x14ac:dyDescent="0.25"/>
    <row r="284341" customFormat="1" x14ac:dyDescent="0.25"/>
    <row r="284342" customFormat="1" x14ac:dyDescent="0.25"/>
    <row r="284343" customFormat="1" x14ac:dyDescent="0.25"/>
    <row r="284344" customFormat="1" x14ac:dyDescent="0.25"/>
    <row r="284345" customFormat="1" x14ac:dyDescent="0.25"/>
    <row r="284346" customFormat="1" x14ac:dyDescent="0.25"/>
    <row r="284347" customFormat="1" x14ac:dyDescent="0.25"/>
    <row r="284348" customFormat="1" x14ac:dyDescent="0.25"/>
    <row r="284349" customFormat="1" x14ac:dyDescent="0.25"/>
    <row r="284350" customFormat="1" x14ac:dyDescent="0.25"/>
    <row r="284351" customFormat="1" x14ac:dyDescent="0.25"/>
    <row r="284352" customFormat="1" x14ac:dyDescent="0.25"/>
    <row r="284353" customFormat="1" x14ac:dyDescent="0.25"/>
    <row r="284354" customFormat="1" x14ac:dyDescent="0.25"/>
    <row r="284355" customFormat="1" x14ac:dyDescent="0.25"/>
    <row r="284356" customFormat="1" x14ac:dyDescent="0.25"/>
    <row r="284357" customFormat="1" x14ac:dyDescent="0.25"/>
    <row r="284358" customFormat="1" x14ac:dyDescent="0.25"/>
    <row r="284359" customFormat="1" x14ac:dyDescent="0.25"/>
    <row r="284360" customFormat="1" x14ac:dyDescent="0.25"/>
    <row r="284361" customFormat="1" x14ac:dyDescent="0.25"/>
    <row r="284362" customFormat="1" x14ac:dyDescent="0.25"/>
    <row r="284363" customFormat="1" x14ac:dyDescent="0.25"/>
    <row r="284364" customFormat="1" x14ac:dyDescent="0.25"/>
    <row r="284365" customFormat="1" x14ac:dyDescent="0.25"/>
    <row r="284366" customFormat="1" x14ac:dyDescent="0.25"/>
    <row r="284367" customFormat="1" x14ac:dyDescent="0.25"/>
    <row r="284368" customFormat="1" x14ac:dyDescent="0.25"/>
    <row r="284369" customFormat="1" x14ac:dyDescent="0.25"/>
    <row r="284370" customFormat="1" x14ac:dyDescent="0.25"/>
    <row r="284371" customFormat="1" x14ac:dyDescent="0.25"/>
    <row r="284372" customFormat="1" x14ac:dyDescent="0.25"/>
    <row r="284373" customFormat="1" x14ac:dyDescent="0.25"/>
    <row r="284374" customFormat="1" x14ac:dyDescent="0.25"/>
    <row r="284375" customFormat="1" x14ac:dyDescent="0.25"/>
    <row r="284376" customFormat="1" x14ac:dyDescent="0.25"/>
    <row r="284377" customFormat="1" x14ac:dyDescent="0.25"/>
    <row r="284378" customFormat="1" x14ac:dyDescent="0.25"/>
    <row r="284379" customFormat="1" x14ac:dyDescent="0.25"/>
    <row r="284380" customFormat="1" x14ac:dyDescent="0.25"/>
    <row r="284381" customFormat="1" x14ac:dyDescent="0.25"/>
    <row r="284382" customFormat="1" x14ac:dyDescent="0.25"/>
    <row r="284383" customFormat="1" x14ac:dyDescent="0.25"/>
    <row r="284384" customFormat="1" x14ac:dyDescent="0.25"/>
    <row r="284385" customFormat="1" x14ac:dyDescent="0.25"/>
    <row r="284386" customFormat="1" x14ac:dyDescent="0.25"/>
    <row r="284387" customFormat="1" x14ac:dyDescent="0.25"/>
    <row r="284388" customFormat="1" x14ac:dyDescent="0.25"/>
    <row r="284389" customFormat="1" x14ac:dyDescent="0.25"/>
    <row r="284390" customFormat="1" x14ac:dyDescent="0.25"/>
    <row r="284391" customFormat="1" x14ac:dyDescent="0.25"/>
    <row r="284392" customFormat="1" x14ac:dyDescent="0.25"/>
    <row r="284393" customFormat="1" x14ac:dyDescent="0.25"/>
    <row r="284394" customFormat="1" x14ac:dyDescent="0.25"/>
    <row r="284395" customFormat="1" x14ac:dyDescent="0.25"/>
    <row r="284396" customFormat="1" x14ac:dyDescent="0.25"/>
    <row r="284397" customFormat="1" x14ac:dyDescent="0.25"/>
    <row r="284398" customFormat="1" x14ac:dyDescent="0.25"/>
    <row r="284399" customFormat="1" x14ac:dyDescent="0.25"/>
    <row r="284400" customFormat="1" x14ac:dyDescent="0.25"/>
    <row r="284401" customFormat="1" x14ac:dyDescent="0.25"/>
    <row r="284402" customFormat="1" x14ac:dyDescent="0.25"/>
    <row r="284403" customFormat="1" x14ac:dyDescent="0.25"/>
    <row r="284404" customFormat="1" x14ac:dyDescent="0.25"/>
    <row r="284405" customFormat="1" x14ac:dyDescent="0.25"/>
    <row r="284406" customFormat="1" x14ac:dyDescent="0.25"/>
    <row r="284407" customFormat="1" x14ac:dyDescent="0.25"/>
    <row r="284408" customFormat="1" x14ac:dyDescent="0.25"/>
    <row r="284409" customFormat="1" x14ac:dyDescent="0.25"/>
    <row r="284410" customFormat="1" x14ac:dyDescent="0.25"/>
    <row r="284411" customFormat="1" x14ac:dyDescent="0.25"/>
    <row r="284412" customFormat="1" x14ac:dyDescent="0.25"/>
    <row r="284413" customFormat="1" x14ac:dyDescent="0.25"/>
    <row r="284414" customFormat="1" x14ac:dyDescent="0.25"/>
    <row r="284415" customFormat="1" x14ac:dyDescent="0.25"/>
    <row r="284416" customFormat="1" x14ac:dyDescent="0.25"/>
    <row r="284417" customFormat="1" x14ac:dyDescent="0.25"/>
    <row r="284418" customFormat="1" x14ac:dyDescent="0.25"/>
    <row r="284419" customFormat="1" x14ac:dyDescent="0.25"/>
    <row r="284420" customFormat="1" x14ac:dyDescent="0.25"/>
    <row r="284421" customFormat="1" x14ac:dyDescent="0.25"/>
    <row r="284422" customFormat="1" x14ac:dyDescent="0.25"/>
    <row r="284423" customFormat="1" x14ac:dyDescent="0.25"/>
    <row r="284424" customFormat="1" x14ac:dyDescent="0.25"/>
    <row r="284425" customFormat="1" x14ac:dyDescent="0.25"/>
    <row r="284426" customFormat="1" x14ac:dyDescent="0.25"/>
    <row r="284427" customFormat="1" x14ac:dyDescent="0.25"/>
    <row r="284428" customFormat="1" x14ac:dyDescent="0.25"/>
    <row r="284429" customFormat="1" x14ac:dyDescent="0.25"/>
    <row r="284430" customFormat="1" x14ac:dyDescent="0.25"/>
    <row r="284431" customFormat="1" x14ac:dyDescent="0.25"/>
    <row r="284432" customFormat="1" x14ac:dyDescent="0.25"/>
    <row r="284433" customFormat="1" x14ac:dyDescent="0.25"/>
    <row r="284434" customFormat="1" x14ac:dyDescent="0.25"/>
    <row r="284435" customFormat="1" x14ac:dyDescent="0.25"/>
    <row r="284436" customFormat="1" x14ac:dyDescent="0.25"/>
    <row r="284437" customFormat="1" x14ac:dyDescent="0.25"/>
    <row r="284438" customFormat="1" x14ac:dyDescent="0.25"/>
    <row r="284439" customFormat="1" x14ac:dyDescent="0.25"/>
    <row r="284440" customFormat="1" x14ac:dyDescent="0.25"/>
    <row r="284441" customFormat="1" x14ac:dyDescent="0.25"/>
    <row r="284442" customFormat="1" x14ac:dyDescent="0.25"/>
    <row r="284443" customFormat="1" x14ac:dyDescent="0.25"/>
    <row r="284444" customFormat="1" x14ac:dyDescent="0.25"/>
    <row r="284445" customFormat="1" x14ac:dyDescent="0.25"/>
    <row r="284446" customFormat="1" x14ac:dyDescent="0.25"/>
    <row r="284447" customFormat="1" x14ac:dyDescent="0.25"/>
    <row r="284448" customFormat="1" x14ac:dyDescent="0.25"/>
    <row r="284449" customFormat="1" x14ac:dyDescent="0.25"/>
    <row r="284450" customFormat="1" x14ac:dyDescent="0.25"/>
    <row r="284451" customFormat="1" x14ac:dyDescent="0.25"/>
    <row r="284452" customFormat="1" x14ac:dyDescent="0.25"/>
    <row r="284453" customFormat="1" x14ac:dyDescent="0.25"/>
    <row r="284454" customFormat="1" x14ac:dyDescent="0.25"/>
    <row r="284455" customFormat="1" x14ac:dyDescent="0.25"/>
    <row r="284456" customFormat="1" x14ac:dyDescent="0.25"/>
    <row r="284457" customFormat="1" x14ac:dyDescent="0.25"/>
    <row r="284458" customFormat="1" x14ac:dyDescent="0.25"/>
    <row r="284459" customFormat="1" x14ac:dyDescent="0.25"/>
    <row r="284460" customFormat="1" x14ac:dyDescent="0.25"/>
    <row r="284461" customFormat="1" x14ac:dyDescent="0.25"/>
    <row r="284462" customFormat="1" x14ac:dyDescent="0.25"/>
    <row r="284463" customFormat="1" x14ac:dyDescent="0.25"/>
    <row r="284464" customFormat="1" x14ac:dyDescent="0.25"/>
    <row r="284465" customFormat="1" x14ac:dyDescent="0.25"/>
    <row r="284466" customFormat="1" x14ac:dyDescent="0.25"/>
    <row r="284467" customFormat="1" x14ac:dyDescent="0.25"/>
    <row r="284468" customFormat="1" x14ac:dyDescent="0.25"/>
    <row r="284469" customFormat="1" x14ac:dyDescent="0.25"/>
    <row r="284470" customFormat="1" x14ac:dyDescent="0.25"/>
    <row r="284471" customFormat="1" x14ac:dyDescent="0.25"/>
    <row r="284472" customFormat="1" x14ac:dyDescent="0.25"/>
    <row r="284473" customFormat="1" x14ac:dyDescent="0.25"/>
    <row r="284474" customFormat="1" x14ac:dyDescent="0.25"/>
    <row r="284475" customFormat="1" x14ac:dyDescent="0.25"/>
    <row r="284476" customFormat="1" x14ac:dyDescent="0.25"/>
    <row r="284477" customFormat="1" x14ac:dyDescent="0.25"/>
    <row r="284478" customFormat="1" x14ac:dyDescent="0.25"/>
    <row r="284479" customFormat="1" x14ac:dyDescent="0.25"/>
    <row r="284480" customFormat="1" x14ac:dyDescent="0.25"/>
    <row r="284481" customFormat="1" x14ac:dyDescent="0.25"/>
    <row r="284482" customFormat="1" x14ac:dyDescent="0.25"/>
    <row r="284483" customFormat="1" x14ac:dyDescent="0.25"/>
    <row r="284484" customFormat="1" x14ac:dyDescent="0.25"/>
    <row r="284485" customFormat="1" x14ac:dyDescent="0.25"/>
    <row r="284486" customFormat="1" x14ac:dyDescent="0.25"/>
    <row r="284487" customFormat="1" x14ac:dyDescent="0.25"/>
    <row r="284488" customFormat="1" x14ac:dyDescent="0.25"/>
    <row r="284489" customFormat="1" x14ac:dyDescent="0.25"/>
    <row r="284490" customFormat="1" x14ac:dyDescent="0.25"/>
    <row r="284491" customFormat="1" x14ac:dyDescent="0.25"/>
    <row r="284492" customFormat="1" x14ac:dyDescent="0.25"/>
    <row r="284493" customFormat="1" x14ac:dyDescent="0.25"/>
    <row r="284494" customFormat="1" x14ac:dyDescent="0.25"/>
    <row r="284495" customFormat="1" x14ac:dyDescent="0.25"/>
    <row r="284496" customFormat="1" x14ac:dyDescent="0.25"/>
    <row r="284497" customFormat="1" x14ac:dyDescent="0.25"/>
    <row r="284498" customFormat="1" x14ac:dyDescent="0.25"/>
    <row r="284499" customFormat="1" x14ac:dyDescent="0.25"/>
    <row r="284500" customFormat="1" x14ac:dyDescent="0.25"/>
    <row r="284501" customFormat="1" x14ac:dyDescent="0.25"/>
    <row r="284502" customFormat="1" x14ac:dyDescent="0.25"/>
    <row r="284503" customFormat="1" x14ac:dyDescent="0.25"/>
    <row r="284504" customFormat="1" x14ac:dyDescent="0.25"/>
    <row r="284505" customFormat="1" x14ac:dyDescent="0.25"/>
    <row r="284506" customFormat="1" x14ac:dyDescent="0.25"/>
    <row r="284507" customFormat="1" x14ac:dyDescent="0.25"/>
    <row r="284508" customFormat="1" x14ac:dyDescent="0.25"/>
    <row r="284509" customFormat="1" x14ac:dyDescent="0.25"/>
    <row r="284510" customFormat="1" x14ac:dyDescent="0.25"/>
    <row r="284511" customFormat="1" x14ac:dyDescent="0.25"/>
    <row r="284512" customFormat="1" x14ac:dyDescent="0.25"/>
    <row r="284513" customFormat="1" x14ac:dyDescent="0.25"/>
    <row r="284514" customFormat="1" x14ac:dyDescent="0.25"/>
    <row r="284515" customFormat="1" x14ac:dyDescent="0.25"/>
    <row r="284516" customFormat="1" x14ac:dyDescent="0.25"/>
    <row r="284517" customFormat="1" x14ac:dyDescent="0.25"/>
    <row r="284518" customFormat="1" x14ac:dyDescent="0.25"/>
    <row r="284519" customFormat="1" x14ac:dyDescent="0.25"/>
    <row r="284520" customFormat="1" x14ac:dyDescent="0.25"/>
    <row r="284521" customFormat="1" x14ac:dyDescent="0.25"/>
    <row r="284522" customFormat="1" x14ac:dyDescent="0.25"/>
    <row r="284523" customFormat="1" x14ac:dyDescent="0.25"/>
    <row r="284524" customFormat="1" x14ac:dyDescent="0.25"/>
    <row r="284525" customFormat="1" x14ac:dyDescent="0.25"/>
    <row r="284526" customFormat="1" x14ac:dyDescent="0.25"/>
    <row r="284527" customFormat="1" x14ac:dyDescent="0.25"/>
    <row r="284528" customFormat="1" x14ac:dyDescent="0.25"/>
    <row r="284529" customFormat="1" x14ac:dyDescent="0.25"/>
    <row r="284530" customFormat="1" x14ac:dyDescent="0.25"/>
    <row r="284531" customFormat="1" x14ac:dyDescent="0.25"/>
    <row r="284532" customFormat="1" x14ac:dyDescent="0.25"/>
    <row r="284533" customFormat="1" x14ac:dyDescent="0.25"/>
    <row r="284534" customFormat="1" x14ac:dyDescent="0.25"/>
    <row r="284535" customFormat="1" x14ac:dyDescent="0.25"/>
    <row r="284536" customFormat="1" x14ac:dyDescent="0.25"/>
    <row r="284537" customFormat="1" x14ac:dyDescent="0.25"/>
    <row r="284538" customFormat="1" x14ac:dyDescent="0.25"/>
    <row r="284539" customFormat="1" x14ac:dyDescent="0.25"/>
    <row r="284540" customFormat="1" x14ac:dyDescent="0.25"/>
    <row r="284541" customFormat="1" x14ac:dyDescent="0.25"/>
    <row r="284542" customFormat="1" x14ac:dyDescent="0.25"/>
    <row r="284543" customFormat="1" x14ac:dyDescent="0.25"/>
    <row r="284544" customFormat="1" x14ac:dyDescent="0.25"/>
    <row r="284545" customFormat="1" x14ac:dyDescent="0.25"/>
    <row r="284546" customFormat="1" x14ac:dyDescent="0.25"/>
    <row r="284547" customFormat="1" x14ac:dyDescent="0.25"/>
    <row r="284548" customFormat="1" x14ac:dyDescent="0.25"/>
    <row r="284549" customFormat="1" x14ac:dyDescent="0.25"/>
    <row r="284550" customFormat="1" x14ac:dyDescent="0.25"/>
    <row r="284551" customFormat="1" x14ac:dyDescent="0.25"/>
    <row r="284552" customFormat="1" x14ac:dyDescent="0.25"/>
    <row r="284553" customFormat="1" x14ac:dyDescent="0.25"/>
    <row r="284554" customFormat="1" x14ac:dyDescent="0.25"/>
    <row r="284555" customFormat="1" x14ac:dyDescent="0.25"/>
    <row r="284556" customFormat="1" x14ac:dyDescent="0.25"/>
    <row r="284557" customFormat="1" x14ac:dyDescent="0.25"/>
    <row r="284558" customFormat="1" x14ac:dyDescent="0.25"/>
    <row r="284559" customFormat="1" x14ac:dyDescent="0.25"/>
    <row r="284560" customFormat="1" x14ac:dyDescent="0.25"/>
    <row r="284561" customFormat="1" x14ac:dyDescent="0.25"/>
    <row r="284562" customFormat="1" x14ac:dyDescent="0.25"/>
    <row r="284563" customFormat="1" x14ac:dyDescent="0.25"/>
    <row r="284564" customFormat="1" x14ac:dyDescent="0.25"/>
    <row r="284565" customFormat="1" x14ac:dyDescent="0.25"/>
    <row r="284566" customFormat="1" x14ac:dyDescent="0.25"/>
    <row r="284567" customFormat="1" x14ac:dyDescent="0.25"/>
    <row r="284568" customFormat="1" x14ac:dyDescent="0.25"/>
    <row r="284569" customFormat="1" x14ac:dyDescent="0.25"/>
    <row r="284570" customFormat="1" x14ac:dyDescent="0.25"/>
    <row r="284571" customFormat="1" x14ac:dyDescent="0.25"/>
    <row r="284572" customFormat="1" x14ac:dyDescent="0.25"/>
    <row r="284573" customFormat="1" x14ac:dyDescent="0.25"/>
    <row r="284574" customFormat="1" x14ac:dyDescent="0.25"/>
    <row r="284575" customFormat="1" x14ac:dyDescent="0.25"/>
    <row r="284576" customFormat="1" x14ac:dyDescent="0.25"/>
    <row r="284577" customFormat="1" x14ac:dyDescent="0.25"/>
    <row r="284578" customFormat="1" x14ac:dyDescent="0.25"/>
    <row r="284579" customFormat="1" x14ac:dyDescent="0.25"/>
    <row r="284580" customFormat="1" x14ac:dyDescent="0.25"/>
    <row r="284581" customFormat="1" x14ac:dyDescent="0.25"/>
    <row r="284582" customFormat="1" x14ac:dyDescent="0.25"/>
    <row r="284583" customFormat="1" x14ac:dyDescent="0.25"/>
    <row r="284584" customFormat="1" x14ac:dyDescent="0.25"/>
    <row r="284585" customFormat="1" x14ac:dyDescent="0.25"/>
    <row r="284586" customFormat="1" x14ac:dyDescent="0.25"/>
    <row r="284587" customFormat="1" x14ac:dyDescent="0.25"/>
    <row r="284588" customFormat="1" x14ac:dyDescent="0.25"/>
    <row r="284589" customFormat="1" x14ac:dyDescent="0.25"/>
    <row r="284590" customFormat="1" x14ac:dyDescent="0.25"/>
    <row r="284591" customFormat="1" x14ac:dyDescent="0.25"/>
    <row r="284592" customFormat="1" x14ac:dyDescent="0.25"/>
    <row r="284593" customFormat="1" x14ac:dyDescent="0.25"/>
    <row r="284594" customFormat="1" x14ac:dyDescent="0.25"/>
    <row r="284595" customFormat="1" x14ac:dyDescent="0.25"/>
    <row r="284596" customFormat="1" x14ac:dyDescent="0.25"/>
    <row r="284597" customFormat="1" x14ac:dyDescent="0.25"/>
    <row r="284598" customFormat="1" x14ac:dyDescent="0.25"/>
    <row r="284599" customFormat="1" x14ac:dyDescent="0.25"/>
    <row r="284600" customFormat="1" x14ac:dyDescent="0.25"/>
    <row r="284601" customFormat="1" x14ac:dyDescent="0.25"/>
    <row r="284602" customFormat="1" x14ac:dyDescent="0.25"/>
    <row r="284603" customFormat="1" x14ac:dyDescent="0.25"/>
    <row r="284604" customFormat="1" x14ac:dyDescent="0.25"/>
    <row r="284605" customFormat="1" x14ac:dyDescent="0.25"/>
    <row r="284606" customFormat="1" x14ac:dyDescent="0.25"/>
    <row r="284607" customFormat="1" x14ac:dyDescent="0.25"/>
    <row r="284608" customFormat="1" x14ac:dyDescent="0.25"/>
    <row r="284609" customFormat="1" x14ac:dyDescent="0.25"/>
    <row r="284610" customFormat="1" x14ac:dyDescent="0.25"/>
    <row r="284611" customFormat="1" x14ac:dyDescent="0.25"/>
    <row r="284612" customFormat="1" x14ac:dyDescent="0.25"/>
    <row r="284613" customFormat="1" x14ac:dyDescent="0.25"/>
    <row r="284614" customFormat="1" x14ac:dyDescent="0.25"/>
    <row r="284615" customFormat="1" x14ac:dyDescent="0.25"/>
    <row r="284616" customFormat="1" x14ac:dyDescent="0.25"/>
    <row r="284617" customFormat="1" x14ac:dyDescent="0.25"/>
    <row r="284618" customFormat="1" x14ac:dyDescent="0.25"/>
    <row r="284619" customFormat="1" x14ac:dyDescent="0.25"/>
    <row r="284620" customFormat="1" x14ac:dyDescent="0.25"/>
    <row r="284621" customFormat="1" x14ac:dyDescent="0.25"/>
    <row r="284622" customFormat="1" x14ac:dyDescent="0.25"/>
    <row r="284623" customFormat="1" x14ac:dyDescent="0.25"/>
    <row r="284624" customFormat="1" x14ac:dyDescent="0.25"/>
    <row r="284625" customFormat="1" x14ac:dyDescent="0.25"/>
    <row r="284626" customFormat="1" x14ac:dyDescent="0.25"/>
    <row r="284627" customFormat="1" x14ac:dyDescent="0.25"/>
    <row r="284628" customFormat="1" x14ac:dyDescent="0.25"/>
    <row r="284629" customFormat="1" x14ac:dyDescent="0.25"/>
    <row r="284630" customFormat="1" x14ac:dyDescent="0.25"/>
    <row r="284631" customFormat="1" x14ac:dyDescent="0.25"/>
    <row r="284632" customFormat="1" x14ac:dyDescent="0.25"/>
    <row r="284633" customFormat="1" x14ac:dyDescent="0.25"/>
    <row r="284634" customFormat="1" x14ac:dyDescent="0.25"/>
    <row r="284635" customFormat="1" x14ac:dyDescent="0.25"/>
    <row r="284636" customFormat="1" x14ac:dyDescent="0.25"/>
    <row r="284637" customFormat="1" x14ac:dyDescent="0.25"/>
    <row r="284638" customFormat="1" x14ac:dyDescent="0.25"/>
    <row r="284639" customFormat="1" x14ac:dyDescent="0.25"/>
    <row r="284640" customFormat="1" x14ac:dyDescent="0.25"/>
    <row r="284641" customFormat="1" x14ac:dyDescent="0.25"/>
    <row r="284642" customFormat="1" x14ac:dyDescent="0.25"/>
    <row r="284643" customFormat="1" x14ac:dyDescent="0.25"/>
    <row r="284644" customFormat="1" x14ac:dyDescent="0.25"/>
    <row r="284645" customFormat="1" x14ac:dyDescent="0.25"/>
    <row r="284646" customFormat="1" x14ac:dyDescent="0.25"/>
    <row r="284647" customFormat="1" x14ac:dyDescent="0.25"/>
    <row r="284648" customFormat="1" x14ac:dyDescent="0.25"/>
    <row r="284649" customFormat="1" x14ac:dyDescent="0.25"/>
    <row r="284650" customFormat="1" x14ac:dyDescent="0.25"/>
    <row r="284651" customFormat="1" x14ac:dyDescent="0.25"/>
    <row r="284652" customFormat="1" x14ac:dyDescent="0.25"/>
    <row r="284653" customFormat="1" x14ac:dyDescent="0.25"/>
    <row r="284654" customFormat="1" x14ac:dyDescent="0.25"/>
    <row r="284655" customFormat="1" x14ac:dyDescent="0.25"/>
    <row r="284656" customFormat="1" x14ac:dyDescent="0.25"/>
    <row r="284657" customFormat="1" x14ac:dyDescent="0.25"/>
    <row r="284658" customFormat="1" x14ac:dyDescent="0.25"/>
    <row r="284659" customFormat="1" x14ac:dyDescent="0.25"/>
    <row r="284660" customFormat="1" x14ac:dyDescent="0.25"/>
    <row r="284661" customFormat="1" x14ac:dyDescent="0.25"/>
    <row r="284662" customFormat="1" x14ac:dyDescent="0.25"/>
    <row r="284663" customFormat="1" x14ac:dyDescent="0.25"/>
    <row r="284664" customFormat="1" x14ac:dyDescent="0.25"/>
    <row r="284665" customFormat="1" x14ac:dyDescent="0.25"/>
    <row r="284666" customFormat="1" x14ac:dyDescent="0.25"/>
    <row r="284667" customFormat="1" x14ac:dyDescent="0.25"/>
    <row r="284668" customFormat="1" x14ac:dyDescent="0.25"/>
    <row r="284669" customFormat="1" x14ac:dyDescent="0.25"/>
    <row r="284670" customFormat="1" x14ac:dyDescent="0.25"/>
    <row r="284671" customFormat="1" x14ac:dyDescent="0.25"/>
    <row r="284672" customFormat="1" x14ac:dyDescent="0.25"/>
    <row r="284673" customFormat="1" x14ac:dyDescent="0.25"/>
    <row r="284674" customFormat="1" x14ac:dyDescent="0.25"/>
    <row r="284675" customFormat="1" x14ac:dyDescent="0.25"/>
    <row r="284676" customFormat="1" x14ac:dyDescent="0.25"/>
    <row r="284677" customFormat="1" x14ac:dyDescent="0.25"/>
    <row r="284678" customFormat="1" x14ac:dyDescent="0.25"/>
    <row r="284679" customFormat="1" x14ac:dyDescent="0.25"/>
    <row r="284680" customFormat="1" x14ac:dyDescent="0.25"/>
    <row r="284681" customFormat="1" x14ac:dyDescent="0.25"/>
    <row r="284682" customFormat="1" x14ac:dyDescent="0.25"/>
    <row r="284683" customFormat="1" x14ac:dyDescent="0.25"/>
    <row r="284684" customFormat="1" x14ac:dyDescent="0.25"/>
    <row r="284685" customFormat="1" x14ac:dyDescent="0.25"/>
    <row r="284686" customFormat="1" x14ac:dyDescent="0.25"/>
    <row r="284687" customFormat="1" x14ac:dyDescent="0.25"/>
    <row r="284688" customFormat="1" x14ac:dyDescent="0.25"/>
    <row r="284689" customFormat="1" x14ac:dyDescent="0.25"/>
    <row r="284690" customFormat="1" x14ac:dyDescent="0.25"/>
    <row r="284691" customFormat="1" x14ac:dyDescent="0.25"/>
    <row r="284692" customFormat="1" x14ac:dyDescent="0.25"/>
    <row r="284693" customFormat="1" x14ac:dyDescent="0.25"/>
    <row r="284694" customFormat="1" x14ac:dyDescent="0.25"/>
    <row r="284695" customFormat="1" x14ac:dyDescent="0.25"/>
    <row r="284696" customFormat="1" x14ac:dyDescent="0.25"/>
    <row r="284697" customFormat="1" x14ac:dyDescent="0.25"/>
    <row r="284698" customFormat="1" x14ac:dyDescent="0.25"/>
    <row r="284699" customFormat="1" x14ac:dyDescent="0.25"/>
    <row r="284700" customFormat="1" x14ac:dyDescent="0.25"/>
    <row r="284701" customFormat="1" x14ac:dyDescent="0.25"/>
    <row r="284702" customFormat="1" x14ac:dyDescent="0.25"/>
    <row r="284703" customFormat="1" x14ac:dyDescent="0.25"/>
    <row r="284704" customFormat="1" x14ac:dyDescent="0.25"/>
    <row r="284705" customFormat="1" x14ac:dyDescent="0.25"/>
    <row r="284706" customFormat="1" x14ac:dyDescent="0.25"/>
    <row r="284707" customFormat="1" x14ac:dyDescent="0.25"/>
    <row r="284708" customFormat="1" x14ac:dyDescent="0.25"/>
    <row r="284709" customFormat="1" x14ac:dyDescent="0.25"/>
    <row r="284710" customFormat="1" x14ac:dyDescent="0.25"/>
    <row r="284711" customFormat="1" x14ac:dyDescent="0.25"/>
    <row r="284712" customFormat="1" x14ac:dyDescent="0.25"/>
    <row r="284713" customFormat="1" x14ac:dyDescent="0.25"/>
    <row r="284714" customFormat="1" x14ac:dyDescent="0.25"/>
    <row r="284715" customFormat="1" x14ac:dyDescent="0.25"/>
    <row r="284716" customFormat="1" x14ac:dyDescent="0.25"/>
    <row r="284717" customFormat="1" x14ac:dyDescent="0.25"/>
    <row r="284718" customFormat="1" x14ac:dyDescent="0.25"/>
    <row r="284719" customFormat="1" x14ac:dyDescent="0.25"/>
    <row r="284720" customFormat="1" x14ac:dyDescent="0.25"/>
    <row r="284721" customFormat="1" x14ac:dyDescent="0.25"/>
    <row r="284722" customFormat="1" x14ac:dyDescent="0.25"/>
    <row r="284723" customFormat="1" x14ac:dyDescent="0.25"/>
    <row r="284724" customFormat="1" x14ac:dyDescent="0.25"/>
    <row r="284725" customFormat="1" x14ac:dyDescent="0.25"/>
    <row r="284726" customFormat="1" x14ac:dyDescent="0.25"/>
    <row r="284727" customFormat="1" x14ac:dyDescent="0.25"/>
    <row r="284728" customFormat="1" x14ac:dyDescent="0.25"/>
    <row r="284729" customFormat="1" x14ac:dyDescent="0.25"/>
    <row r="284730" customFormat="1" x14ac:dyDescent="0.25"/>
    <row r="284731" customFormat="1" x14ac:dyDescent="0.25"/>
    <row r="284732" customFormat="1" x14ac:dyDescent="0.25"/>
    <row r="284733" customFormat="1" x14ac:dyDescent="0.25"/>
    <row r="284734" customFormat="1" x14ac:dyDescent="0.25"/>
    <row r="284735" customFormat="1" x14ac:dyDescent="0.25"/>
    <row r="284736" customFormat="1" x14ac:dyDescent="0.25"/>
    <row r="284737" customFormat="1" x14ac:dyDescent="0.25"/>
    <row r="284738" customFormat="1" x14ac:dyDescent="0.25"/>
    <row r="284739" customFormat="1" x14ac:dyDescent="0.25"/>
    <row r="284740" customFormat="1" x14ac:dyDescent="0.25"/>
    <row r="284741" customFormat="1" x14ac:dyDescent="0.25"/>
    <row r="284742" customFormat="1" x14ac:dyDescent="0.25"/>
    <row r="284743" customFormat="1" x14ac:dyDescent="0.25"/>
    <row r="284744" customFormat="1" x14ac:dyDescent="0.25"/>
    <row r="284745" customFormat="1" x14ac:dyDescent="0.25"/>
    <row r="284746" customFormat="1" x14ac:dyDescent="0.25"/>
    <row r="284747" customFormat="1" x14ac:dyDescent="0.25"/>
    <row r="284748" customFormat="1" x14ac:dyDescent="0.25"/>
    <row r="284749" customFormat="1" x14ac:dyDescent="0.25"/>
    <row r="284750" customFormat="1" x14ac:dyDescent="0.25"/>
    <row r="284751" customFormat="1" x14ac:dyDescent="0.25"/>
    <row r="284752" customFormat="1" x14ac:dyDescent="0.25"/>
    <row r="284753" customFormat="1" x14ac:dyDescent="0.25"/>
    <row r="284754" customFormat="1" x14ac:dyDescent="0.25"/>
    <row r="284755" customFormat="1" x14ac:dyDescent="0.25"/>
    <row r="284756" customFormat="1" x14ac:dyDescent="0.25"/>
    <row r="284757" customFormat="1" x14ac:dyDescent="0.25"/>
    <row r="284758" customFormat="1" x14ac:dyDescent="0.25"/>
    <row r="284759" customFormat="1" x14ac:dyDescent="0.25"/>
    <row r="284760" customFormat="1" x14ac:dyDescent="0.25"/>
    <row r="284761" customFormat="1" x14ac:dyDescent="0.25"/>
    <row r="284762" customFormat="1" x14ac:dyDescent="0.25"/>
    <row r="284763" customFormat="1" x14ac:dyDescent="0.25"/>
    <row r="284764" customFormat="1" x14ac:dyDescent="0.25"/>
    <row r="284765" customFormat="1" x14ac:dyDescent="0.25"/>
    <row r="284766" customFormat="1" x14ac:dyDescent="0.25"/>
    <row r="284767" customFormat="1" x14ac:dyDescent="0.25"/>
    <row r="284768" customFormat="1" x14ac:dyDescent="0.25"/>
    <row r="284769" customFormat="1" x14ac:dyDescent="0.25"/>
    <row r="284770" customFormat="1" x14ac:dyDescent="0.25"/>
    <row r="284771" customFormat="1" x14ac:dyDescent="0.25"/>
    <row r="284772" customFormat="1" x14ac:dyDescent="0.25"/>
    <row r="284773" customFormat="1" x14ac:dyDescent="0.25"/>
    <row r="284774" customFormat="1" x14ac:dyDescent="0.25"/>
    <row r="284775" customFormat="1" x14ac:dyDescent="0.25"/>
    <row r="284776" customFormat="1" x14ac:dyDescent="0.25"/>
    <row r="284777" customFormat="1" x14ac:dyDescent="0.25"/>
    <row r="284778" customFormat="1" x14ac:dyDescent="0.25"/>
    <row r="284779" customFormat="1" x14ac:dyDescent="0.25"/>
    <row r="284780" customFormat="1" x14ac:dyDescent="0.25"/>
    <row r="284781" customFormat="1" x14ac:dyDescent="0.25"/>
    <row r="284782" customFormat="1" x14ac:dyDescent="0.25"/>
    <row r="284783" customFormat="1" x14ac:dyDescent="0.25"/>
    <row r="284784" customFormat="1" x14ac:dyDescent="0.25"/>
    <row r="284785" customFormat="1" x14ac:dyDescent="0.25"/>
    <row r="284786" customFormat="1" x14ac:dyDescent="0.25"/>
    <row r="284787" customFormat="1" x14ac:dyDescent="0.25"/>
    <row r="284788" customFormat="1" x14ac:dyDescent="0.25"/>
    <row r="284789" customFormat="1" x14ac:dyDescent="0.25"/>
    <row r="284790" customFormat="1" x14ac:dyDescent="0.25"/>
    <row r="284791" customFormat="1" x14ac:dyDescent="0.25"/>
    <row r="284792" customFormat="1" x14ac:dyDescent="0.25"/>
    <row r="284793" customFormat="1" x14ac:dyDescent="0.25"/>
    <row r="284794" customFormat="1" x14ac:dyDescent="0.25"/>
    <row r="284795" customFormat="1" x14ac:dyDescent="0.25"/>
    <row r="284796" customFormat="1" x14ac:dyDescent="0.25"/>
    <row r="284797" customFormat="1" x14ac:dyDescent="0.25"/>
    <row r="284798" customFormat="1" x14ac:dyDescent="0.25"/>
    <row r="284799" customFormat="1" x14ac:dyDescent="0.25"/>
    <row r="284800" customFormat="1" x14ac:dyDescent="0.25"/>
    <row r="284801" customFormat="1" x14ac:dyDescent="0.25"/>
    <row r="284802" customFormat="1" x14ac:dyDescent="0.25"/>
    <row r="284803" customFormat="1" x14ac:dyDescent="0.25"/>
    <row r="284804" customFormat="1" x14ac:dyDescent="0.25"/>
    <row r="284805" customFormat="1" x14ac:dyDescent="0.25"/>
    <row r="284806" customFormat="1" x14ac:dyDescent="0.25"/>
    <row r="284807" customFormat="1" x14ac:dyDescent="0.25"/>
    <row r="284808" customFormat="1" x14ac:dyDescent="0.25"/>
    <row r="284809" customFormat="1" x14ac:dyDescent="0.25"/>
    <row r="284810" customFormat="1" x14ac:dyDescent="0.25"/>
    <row r="284811" customFormat="1" x14ac:dyDescent="0.25"/>
    <row r="284812" customFormat="1" x14ac:dyDescent="0.25"/>
    <row r="284813" customFormat="1" x14ac:dyDescent="0.25"/>
    <row r="284814" customFormat="1" x14ac:dyDescent="0.25"/>
    <row r="284815" customFormat="1" x14ac:dyDescent="0.25"/>
    <row r="284816" customFormat="1" x14ac:dyDescent="0.25"/>
    <row r="284817" customFormat="1" x14ac:dyDescent="0.25"/>
    <row r="284818" customFormat="1" x14ac:dyDescent="0.25"/>
    <row r="284819" customFormat="1" x14ac:dyDescent="0.25"/>
    <row r="284820" customFormat="1" x14ac:dyDescent="0.25"/>
    <row r="284821" customFormat="1" x14ac:dyDescent="0.25"/>
    <row r="284822" customFormat="1" x14ac:dyDescent="0.25"/>
    <row r="284823" customFormat="1" x14ac:dyDescent="0.25"/>
    <row r="284824" customFormat="1" x14ac:dyDescent="0.25"/>
    <row r="284825" customFormat="1" x14ac:dyDescent="0.25"/>
    <row r="284826" customFormat="1" x14ac:dyDescent="0.25"/>
    <row r="284827" customFormat="1" x14ac:dyDescent="0.25"/>
    <row r="284828" customFormat="1" x14ac:dyDescent="0.25"/>
    <row r="284829" customFormat="1" x14ac:dyDescent="0.25"/>
    <row r="284830" customFormat="1" x14ac:dyDescent="0.25"/>
    <row r="284831" customFormat="1" x14ac:dyDescent="0.25"/>
    <row r="284832" customFormat="1" x14ac:dyDescent="0.25"/>
    <row r="284833" customFormat="1" x14ac:dyDescent="0.25"/>
    <row r="284834" customFormat="1" x14ac:dyDescent="0.25"/>
    <row r="284835" customFormat="1" x14ac:dyDescent="0.25"/>
    <row r="284836" customFormat="1" x14ac:dyDescent="0.25"/>
    <row r="284837" customFormat="1" x14ac:dyDescent="0.25"/>
    <row r="284838" customFormat="1" x14ac:dyDescent="0.25"/>
    <row r="284839" customFormat="1" x14ac:dyDescent="0.25"/>
    <row r="284840" customFormat="1" x14ac:dyDescent="0.25"/>
    <row r="284841" customFormat="1" x14ac:dyDescent="0.25"/>
    <row r="284842" customFormat="1" x14ac:dyDescent="0.25"/>
    <row r="284843" customFormat="1" x14ac:dyDescent="0.25"/>
    <row r="284844" customFormat="1" x14ac:dyDescent="0.25"/>
    <row r="284845" customFormat="1" x14ac:dyDescent="0.25"/>
    <row r="284846" customFormat="1" x14ac:dyDescent="0.25"/>
    <row r="284847" customFormat="1" x14ac:dyDescent="0.25"/>
    <row r="284848" customFormat="1" x14ac:dyDescent="0.25"/>
    <row r="284849" customFormat="1" x14ac:dyDescent="0.25"/>
    <row r="284850" customFormat="1" x14ac:dyDescent="0.25"/>
    <row r="284851" customFormat="1" x14ac:dyDescent="0.25"/>
    <row r="284852" customFormat="1" x14ac:dyDescent="0.25"/>
    <row r="284853" customFormat="1" x14ac:dyDescent="0.25"/>
    <row r="284854" customFormat="1" x14ac:dyDescent="0.25"/>
    <row r="284855" customFormat="1" x14ac:dyDescent="0.25"/>
    <row r="284856" customFormat="1" x14ac:dyDescent="0.25"/>
    <row r="284857" customFormat="1" x14ac:dyDescent="0.25"/>
    <row r="284858" customFormat="1" x14ac:dyDescent="0.25"/>
    <row r="284859" customFormat="1" x14ac:dyDescent="0.25"/>
    <row r="284860" customFormat="1" x14ac:dyDescent="0.25"/>
    <row r="284861" customFormat="1" x14ac:dyDescent="0.25"/>
    <row r="284862" customFormat="1" x14ac:dyDescent="0.25"/>
    <row r="284863" customFormat="1" x14ac:dyDescent="0.25"/>
    <row r="284864" customFormat="1" x14ac:dyDescent="0.25"/>
    <row r="284865" customFormat="1" x14ac:dyDescent="0.25"/>
    <row r="284866" customFormat="1" x14ac:dyDescent="0.25"/>
    <row r="284867" customFormat="1" x14ac:dyDescent="0.25"/>
    <row r="284868" customFormat="1" x14ac:dyDescent="0.25"/>
    <row r="284869" customFormat="1" x14ac:dyDescent="0.25"/>
    <row r="284870" customFormat="1" x14ac:dyDescent="0.25"/>
    <row r="284871" customFormat="1" x14ac:dyDescent="0.25"/>
    <row r="284872" customFormat="1" x14ac:dyDescent="0.25"/>
    <row r="284873" customFormat="1" x14ac:dyDescent="0.25"/>
    <row r="284874" customFormat="1" x14ac:dyDescent="0.25"/>
    <row r="284875" customFormat="1" x14ac:dyDescent="0.25"/>
    <row r="284876" customFormat="1" x14ac:dyDescent="0.25"/>
    <row r="284877" customFormat="1" x14ac:dyDescent="0.25"/>
    <row r="284878" customFormat="1" x14ac:dyDescent="0.25"/>
    <row r="284879" customFormat="1" x14ac:dyDescent="0.25"/>
    <row r="284880" customFormat="1" x14ac:dyDescent="0.25"/>
    <row r="284881" customFormat="1" x14ac:dyDescent="0.25"/>
    <row r="284882" customFormat="1" x14ac:dyDescent="0.25"/>
    <row r="284883" customFormat="1" x14ac:dyDescent="0.25"/>
    <row r="284884" customFormat="1" x14ac:dyDescent="0.25"/>
    <row r="284885" customFormat="1" x14ac:dyDescent="0.25"/>
    <row r="284886" customFormat="1" x14ac:dyDescent="0.25"/>
    <row r="284887" customFormat="1" x14ac:dyDescent="0.25"/>
    <row r="284888" customFormat="1" x14ac:dyDescent="0.25"/>
    <row r="284889" customFormat="1" x14ac:dyDescent="0.25"/>
    <row r="284890" customFormat="1" x14ac:dyDescent="0.25"/>
    <row r="284891" customFormat="1" x14ac:dyDescent="0.25"/>
    <row r="284892" customFormat="1" x14ac:dyDescent="0.25"/>
    <row r="284893" customFormat="1" x14ac:dyDescent="0.25"/>
    <row r="284894" customFormat="1" x14ac:dyDescent="0.25"/>
    <row r="284895" customFormat="1" x14ac:dyDescent="0.25"/>
    <row r="284896" customFormat="1" x14ac:dyDescent="0.25"/>
    <row r="284897" customFormat="1" x14ac:dyDescent="0.25"/>
    <row r="284898" customFormat="1" x14ac:dyDescent="0.25"/>
    <row r="284899" customFormat="1" x14ac:dyDescent="0.25"/>
    <row r="284900" customFormat="1" x14ac:dyDescent="0.25"/>
    <row r="284901" customFormat="1" x14ac:dyDescent="0.25"/>
    <row r="284902" customFormat="1" x14ac:dyDescent="0.25"/>
    <row r="284903" customFormat="1" x14ac:dyDescent="0.25"/>
    <row r="284904" customFormat="1" x14ac:dyDescent="0.25"/>
    <row r="284905" customFormat="1" x14ac:dyDescent="0.25"/>
    <row r="284906" customFormat="1" x14ac:dyDescent="0.25"/>
    <row r="284907" customFormat="1" x14ac:dyDescent="0.25"/>
    <row r="284908" customFormat="1" x14ac:dyDescent="0.25"/>
    <row r="284909" customFormat="1" x14ac:dyDescent="0.25"/>
    <row r="284910" customFormat="1" x14ac:dyDescent="0.25"/>
    <row r="284911" customFormat="1" x14ac:dyDescent="0.25"/>
    <row r="284912" customFormat="1" x14ac:dyDescent="0.25"/>
    <row r="284913" customFormat="1" x14ac:dyDescent="0.25"/>
    <row r="284914" customFormat="1" x14ac:dyDescent="0.25"/>
    <row r="284915" customFormat="1" x14ac:dyDescent="0.25"/>
    <row r="284916" customFormat="1" x14ac:dyDescent="0.25"/>
    <row r="284917" customFormat="1" x14ac:dyDescent="0.25"/>
    <row r="284918" customFormat="1" x14ac:dyDescent="0.25"/>
    <row r="284919" customFormat="1" x14ac:dyDescent="0.25"/>
    <row r="284920" customFormat="1" x14ac:dyDescent="0.25"/>
    <row r="284921" customFormat="1" x14ac:dyDescent="0.25"/>
    <row r="284922" customFormat="1" x14ac:dyDescent="0.25"/>
    <row r="284923" customFormat="1" x14ac:dyDescent="0.25"/>
    <row r="284924" customFormat="1" x14ac:dyDescent="0.25"/>
    <row r="284925" customFormat="1" x14ac:dyDescent="0.25"/>
    <row r="284926" customFormat="1" x14ac:dyDescent="0.25"/>
    <row r="284927" customFormat="1" x14ac:dyDescent="0.25"/>
    <row r="284928" customFormat="1" x14ac:dyDescent="0.25"/>
    <row r="284929" customFormat="1" x14ac:dyDescent="0.25"/>
    <row r="284930" customFormat="1" x14ac:dyDescent="0.25"/>
    <row r="284931" customFormat="1" x14ac:dyDescent="0.25"/>
    <row r="284932" customFormat="1" x14ac:dyDescent="0.25"/>
    <row r="284933" customFormat="1" x14ac:dyDescent="0.25"/>
    <row r="284934" customFormat="1" x14ac:dyDescent="0.25"/>
    <row r="284935" customFormat="1" x14ac:dyDescent="0.25"/>
    <row r="284936" customFormat="1" x14ac:dyDescent="0.25"/>
    <row r="284937" customFormat="1" x14ac:dyDescent="0.25"/>
    <row r="284938" customFormat="1" x14ac:dyDescent="0.25"/>
    <row r="284939" customFormat="1" x14ac:dyDescent="0.25"/>
    <row r="284940" customFormat="1" x14ac:dyDescent="0.25"/>
    <row r="284941" customFormat="1" x14ac:dyDescent="0.25"/>
    <row r="284942" customFormat="1" x14ac:dyDescent="0.25"/>
    <row r="284943" customFormat="1" x14ac:dyDescent="0.25"/>
    <row r="284944" customFormat="1" x14ac:dyDescent="0.25"/>
    <row r="284945" customFormat="1" x14ac:dyDescent="0.25"/>
    <row r="284946" customFormat="1" x14ac:dyDescent="0.25"/>
    <row r="284947" customFormat="1" x14ac:dyDescent="0.25"/>
    <row r="284948" customFormat="1" x14ac:dyDescent="0.25"/>
    <row r="284949" customFormat="1" x14ac:dyDescent="0.25"/>
    <row r="284950" customFormat="1" x14ac:dyDescent="0.25"/>
    <row r="284951" customFormat="1" x14ac:dyDescent="0.25"/>
    <row r="284952" customFormat="1" x14ac:dyDescent="0.25"/>
    <row r="284953" customFormat="1" x14ac:dyDescent="0.25"/>
    <row r="284954" customFormat="1" x14ac:dyDescent="0.25"/>
    <row r="284955" customFormat="1" x14ac:dyDescent="0.25"/>
    <row r="284956" customFormat="1" x14ac:dyDescent="0.25"/>
    <row r="284957" customFormat="1" x14ac:dyDescent="0.25"/>
    <row r="284958" customFormat="1" x14ac:dyDescent="0.25"/>
    <row r="284959" customFormat="1" x14ac:dyDescent="0.25"/>
    <row r="284960" customFormat="1" x14ac:dyDescent="0.25"/>
    <row r="284961" customFormat="1" x14ac:dyDescent="0.25"/>
    <row r="284962" customFormat="1" x14ac:dyDescent="0.25"/>
    <row r="284963" customFormat="1" x14ac:dyDescent="0.25"/>
    <row r="284964" customFormat="1" x14ac:dyDescent="0.25"/>
    <row r="284965" customFormat="1" x14ac:dyDescent="0.25"/>
    <row r="284966" customFormat="1" x14ac:dyDescent="0.25"/>
    <row r="284967" customFormat="1" x14ac:dyDescent="0.25"/>
    <row r="284968" customFormat="1" x14ac:dyDescent="0.25"/>
    <row r="284969" customFormat="1" x14ac:dyDescent="0.25"/>
    <row r="284970" customFormat="1" x14ac:dyDescent="0.25"/>
    <row r="284971" customFormat="1" x14ac:dyDescent="0.25"/>
    <row r="284972" customFormat="1" x14ac:dyDescent="0.25"/>
    <row r="284973" customFormat="1" x14ac:dyDescent="0.25"/>
    <row r="284974" customFormat="1" x14ac:dyDescent="0.25"/>
    <row r="284975" customFormat="1" x14ac:dyDescent="0.25"/>
    <row r="284976" customFormat="1" x14ac:dyDescent="0.25"/>
    <row r="284977" customFormat="1" x14ac:dyDescent="0.25"/>
    <row r="284978" customFormat="1" x14ac:dyDescent="0.25"/>
    <row r="284979" customFormat="1" x14ac:dyDescent="0.25"/>
    <row r="284980" customFormat="1" x14ac:dyDescent="0.25"/>
    <row r="284981" customFormat="1" x14ac:dyDescent="0.25"/>
    <row r="284982" customFormat="1" x14ac:dyDescent="0.25"/>
    <row r="284983" customFormat="1" x14ac:dyDescent="0.25"/>
    <row r="284984" customFormat="1" x14ac:dyDescent="0.25"/>
    <row r="284985" customFormat="1" x14ac:dyDescent="0.25"/>
    <row r="284986" customFormat="1" x14ac:dyDescent="0.25"/>
    <row r="284987" customFormat="1" x14ac:dyDescent="0.25"/>
    <row r="284988" customFormat="1" x14ac:dyDescent="0.25"/>
    <row r="284989" customFormat="1" x14ac:dyDescent="0.25"/>
    <row r="284990" customFormat="1" x14ac:dyDescent="0.25"/>
    <row r="284991" customFormat="1" x14ac:dyDescent="0.25"/>
    <row r="284992" customFormat="1" x14ac:dyDescent="0.25"/>
    <row r="284993" customFormat="1" x14ac:dyDescent="0.25"/>
    <row r="284994" customFormat="1" x14ac:dyDescent="0.25"/>
    <row r="284995" customFormat="1" x14ac:dyDescent="0.25"/>
    <row r="284996" customFormat="1" x14ac:dyDescent="0.25"/>
    <row r="284997" customFormat="1" x14ac:dyDescent="0.25"/>
    <row r="284998" customFormat="1" x14ac:dyDescent="0.25"/>
    <row r="284999" customFormat="1" x14ac:dyDescent="0.25"/>
    <row r="285000" customFormat="1" x14ac:dyDescent="0.25"/>
    <row r="285001" customFormat="1" x14ac:dyDescent="0.25"/>
    <row r="285002" customFormat="1" x14ac:dyDescent="0.25"/>
    <row r="285003" customFormat="1" x14ac:dyDescent="0.25"/>
    <row r="285004" customFormat="1" x14ac:dyDescent="0.25"/>
    <row r="285005" customFormat="1" x14ac:dyDescent="0.25"/>
    <row r="285006" customFormat="1" x14ac:dyDescent="0.25"/>
    <row r="285007" customFormat="1" x14ac:dyDescent="0.25"/>
    <row r="285008" customFormat="1" x14ac:dyDescent="0.25"/>
    <row r="285009" customFormat="1" x14ac:dyDescent="0.25"/>
    <row r="285010" customFormat="1" x14ac:dyDescent="0.25"/>
    <row r="285011" customFormat="1" x14ac:dyDescent="0.25"/>
    <row r="285012" customFormat="1" x14ac:dyDescent="0.25"/>
    <row r="285013" customFormat="1" x14ac:dyDescent="0.25"/>
    <row r="285014" customFormat="1" x14ac:dyDescent="0.25"/>
    <row r="285015" customFormat="1" x14ac:dyDescent="0.25"/>
    <row r="285016" customFormat="1" x14ac:dyDescent="0.25"/>
    <row r="285017" customFormat="1" x14ac:dyDescent="0.25"/>
    <row r="285018" customFormat="1" x14ac:dyDescent="0.25"/>
    <row r="285019" customFormat="1" x14ac:dyDescent="0.25"/>
    <row r="285020" customFormat="1" x14ac:dyDescent="0.25"/>
    <row r="285021" customFormat="1" x14ac:dyDescent="0.25"/>
    <row r="285022" customFormat="1" x14ac:dyDescent="0.25"/>
    <row r="285023" customFormat="1" x14ac:dyDescent="0.25"/>
    <row r="285024" customFormat="1" x14ac:dyDescent="0.25"/>
    <row r="285025" customFormat="1" x14ac:dyDescent="0.25"/>
    <row r="285026" customFormat="1" x14ac:dyDescent="0.25"/>
    <row r="285027" customFormat="1" x14ac:dyDescent="0.25"/>
    <row r="285028" customFormat="1" x14ac:dyDescent="0.25"/>
    <row r="285029" customFormat="1" x14ac:dyDescent="0.25"/>
    <row r="285030" customFormat="1" x14ac:dyDescent="0.25"/>
    <row r="285031" customFormat="1" x14ac:dyDescent="0.25"/>
    <row r="285032" customFormat="1" x14ac:dyDescent="0.25"/>
    <row r="285033" customFormat="1" x14ac:dyDescent="0.25"/>
    <row r="285034" customFormat="1" x14ac:dyDescent="0.25"/>
    <row r="285035" customFormat="1" x14ac:dyDescent="0.25"/>
    <row r="285036" customFormat="1" x14ac:dyDescent="0.25"/>
    <row r="285037" customFormat="1" x14ac:dyDescent="0.25"/>
    <row r="285038" customFormat="1" x14ac:dyDescent="0.25"/>
    <row r="285039" customFormat="1" x14ac:dyDescent="0.25"/>
    <row r="285040" customFormat="1" x14ac:dyDescent="0.25"/>
    <row r="285041" customFormat="1" x14ac:dyDescent="0.25"/>
    <row r="285042" customFormat="1" x14ac:dyDescent="0.25"/>
    <row r="285043" customFormat="1" x14ac:dyDescent="0.25"/>
    <row r="285044" customFormat="1" x14ac:dyDescent="0.25"/>
    <row r="285045" customFormat="1" x14ac:dyDescent="0.25"/>
    <row r="285046" customFormat="1" x14ac:dyDescent="0.25"/>
    <row r="285047" customFormat="1" x14ac:dyDescent="0.25"/>
    <row r="285048" customFormat="1" x14ac:dyDescent="0.25"/>
    <row r="285049" customFormat="1" x14ac:dyDescent="0.25"/>
    <row r="285050" customFormat="1" x14ac:dyDescent="0.25"/>
    <row r="285051" customFormat="1" x14ac:dyDescent="0.25"/>
    <row r="285052" customFormat="1" x14ac:dyDescent="0.25"/>
    <row r="285053" customFormat="1" x14ac:dyDescent="0.25"/>
    <row r="285054" customFormat="1" x14ac:dyDescent="0.25"/>
    <row r="285055" customFormat="1" x14ac:dyDescent="0.25"/>
    <row r="285056" customFormat="1" x14ac:dyDescent="0.25"/>
    <row r="285057" customFormat="1" x14ac:dyDescent="0.25"/>
    <row r="285058" customFormat="1" x14ac:dyDescent="0.25"/>
    <row r="285059" customFormat="1" x14ac:dyDescent="0.25"/>
    <row r="285060" customFormat="1" x14ac:dyDescent="0.25"/>
    <row r="285061" customFormat="1" x14ac:dyDescent="0.25"/>
    <row r="285062" customFormat="1" x14ac:dyDescent="0.25"/>
    <row r="285063" customFormat="1" x14ac:dyDescent="0.25"/>
    <row r="285064" customFormat="1" x14ac:dyDescent="0.25"/>
    <row r="285065" customFormat="1" x14ac:dyDescent="0.25"/>
    <row r="285066" customFormat="1" x14ac:dyDescent="0.25"/>
    <row r="285067" customFormat="1" x14ac:dyDescent="0.25"/>
    <row r="285068" customFormat="1" x14ac:dyDescent="0.25"/>
    <row r="285069" customFormat="1" x14ac:dyDescent="0.25"/>
    <row r="285070" customFormat="1" x14ac:dyDescent="0.25"/>
    <row r="285071" customFormat="1" x14ac:dyDescent="0.25"/>
    <row r="285072" customFormat="1" x14ac:dyDescent="0.25"/>
    <row r="285073" customFormat="1" x14ac:dyDescent="0.25"/>
    <row r="285074" customFormat="1" x14ac:dyDescent="0.25"/>
    <row r="285075" customFormat="1" x14ac:dyDescent="0.25"/>
    <row r="285076" customFormat="1" x14ac:dyDescent="0.25"/>
    <row r="285077" customFormat="1" x14ac:dyDescent="0.25"/>
    <row r="285078" customFormat="1" x14ac:dyDescent="0.25"/>
    <row r="285079" customFormat="1" x14ac:dyDescent="0.25"/>
    <row r="285080" customFormat="1" x14ac:dyDescent="0.25"/>
    <row r="285081" customFormat="1" x14ac:dyDescent="0.25"/>
    <row r="285082" customFormat="1" x14ac:dyDescent="0.25"/>
    <row r="285083" customFormat="1" x14ac:dyDescent="0.25"/>
    <row r="285084" customFormat="1" x14ac:dyDescent="0.25"/>
    <row r="285085" customFormat="1" x14ac:dyDescent="0.25"/>
    <row r="285086" customFormat="1" x14ac:dyDescent="0.25"/>
    <row r="285087" customFormat="1" x14ac:dyDescent="0.25"/>
    <row r="285088" customFormat="1" x14ac:dyDescent="0.25"/>
    <row r="285089" customFormat="1" x14ac:dyDescent="0.25"/>
    <row r="285090" customFormat="1" x14ac:dyDescent="0.25"/>
    <row r="285091" customFormat="1" x14ac:dyDescent="0.25"/>
    <row r="285092" customFormat="1" x14ac:dyDescent="0.25"/>
    <row r="285093" customFormat="1" x14ac:dyDescent="0.25"/>
    <row r="285094" customFormat="1" x14ac:dyDescent="0.25"/>
    <row r="285095" customFormat="1" x14ac:dyDescent="0.25"/>
    <row r="285096" customFormat="1" x14ac:dyDescent="0.25"/>
    <row r="285097" customFormat="1" x14ac:dyDescent="0.25"/>
    <row r="285098" customFormat="1" x14ac:dyDescent="0.25"/>
    <row r="285099" customFormat="1" x14ac:dyDescent="0.25"/>
    <row r="285100" customFormat="1" x14ac:dyDescent="0.25"/>
    <row r="285101" customFormat="1" x14ac:dyDescent="0.25"/>
    <row r="285102" customFormat="1" x14ac:dyDescent="0.25"/>
    <row r="285103" customFormat="1" x14ac:dyDescent="0.25"/>
    <row r="285104" customFormat="1" x14ac:dyDescent="0.25"/>
    <row r="285105" customFormat="1" x14ac:dyDescent="0.25"/>
    <row r="285106" customFormat="1" x14ac:dyDescent="0.25"/>
    <row r="285107" customFormat="1" x14ac:dyDescent="0.25"/>
    <row r="285108" customFormat="1" x14ac:dyDescent="0.25"/>
    <row r="285109" customFormat="1" x14ac:dyDescent="0.25"/>
    <row r="285110" customFormat="1" x14ac:dyDescent="0.25"/>
    <row r="285111" customFormat="1" x14ac:dyDescent="0.25"/>
    <row r="285112" customFormat="1" x14ac:dyDescent="0.25"/>
    <row r="285113" customFormat="1" x14ac:dyDescent="0.25"/>
    <row r="285114" customFormat="1" x14ac:dyDescent="0.25"/>
    <row r="285115" customFormat="1" x14ac:dyDescent="0.25"/>
    <row r="285116" customFormat="1" x14ac:dyDescent="0.25"/>
    <row r="285117" customFormat="1" x14ac:dyDescent="0.25"/>
    <row r="285118" customFormat="1" x14ac:dyDescent="0.25"/>
    <row r="285119" customFormat="1" x14ac:dyDescent="0.25"/>
    <row r="285120" customFormat="1" x14ac:dyDescent="0.25"/>
    <row r="285121" customFormat="1" x14ac:dyDescent="0.25"/>
    <row r="285122" customFormat="1" x14ac:dyDescent="0.25"/>
    <row r="285123" customFormat="1" x14ac:dyDescent="0.25"/>
    <row r="285124" customFormat="1" x14ac:dyDescent="0.25"/>
    <row r="285125" customFormat="1" x14ac:dyDescent="0.25"/>
    <row r="285126" customFormat="1" x14ac:dyDescent="0.25"/>
    <row r="285127" customFormat="1" x14ac:dyDescent="0.25"/>
    <row r="285128" customFormat="1" x14ac:dyDescent="0.25"/>
    <row r="285129" customFormat="1" x14ac:dyDescent="0.25"/>
    <row r="285130" customFormat="1" x14ac:dyDescent="0.25"/>
    <row r="285131" customFormat="1" x14ac:dyDescent="0.25"/>
    <row r="285132" customFormat="1" x14ac:dyDescent="0.25"/>
    <row r="285133" customFormat="1" x14ac:dyDescent="0.25"/>
    <row r="285134" customFormat="1" x14ac:dyDescent="0.25"/>
    <row r="285135" customFormat="1" x14ac:dyDescent="0.25"/>
    <row r="285136" customFormat="1" x14ac:dyDescent="0.25"/>
    <row r="285137" customFormat="1" x14ac:dyDescent="0.25"/>
    <row r="285138" customFormat="1" x14ac:dyDescent="0.25"/>
    <row r="285139" customFormat="1" x14ac:dyDescent="0.25"/>
    <row r="285140" customFormat="1" x14ac:dyDescent="0.25"/>
    <row r="285141" customFormat="1" x14ac:dyDescent="0.25"/>
    <row r="285142" customFormat="1" x14ac:dyDescent="0.25"/>
    <row r="285143" customFormat="1" x14ac:dyDescent="0.25"/>
    <row r="285144" customFormat="1" x14ac:dyDescent="0.25"/>
    <row r="285145" customFormat="1" x14ac:dyDescent="0.25"/>
    <row r="285146" customFormat="1" x14ac:dyDescent="0.25"/>
    <row r="285147" customFormat="1" x14ac:dyDescent="0.25"/>
    <row r="285148" customFormat="1" x14ac:dyDescent="0.25"/>
    <row r="285149" customFormat="1" x14ac:dyDescent="0.25"/>
    <row r="285150" customFormat="1" x14ac:dyDescent="0.25"/>
    <row r="285151" customFormat="1" x14ac:dyDescent="0.25"/>
    <row r="285152" customFormat="1" x14ac:dyDescent="0.25"/>
    <row r="285153" customFormat="1" x14ac:dyDescent="0.25"/>
    <row r="285154" customFormat="1" x14ac:dyDescent="0.25"/>
    <row r="285155" customFormat="1" x14ac:dyDescent="0.25"/>
    <row r="285156" customFormat="1" x14ac:dyDescent="0.25"/>
    <row r="285157" customFormat="1" x14ac:dyDescent="0.25"/>
    <row r="285158" customFormat="1" x14ac:dyDescent="0.25"/>
    <row r="285159" customFormat="1" x14ac:dyDescent="0.25"/>
    <row r="285160" customFormat="1" x14ac:dyDescent="0.25"/>
    <row r="285161" customFormat="1" x14ac:dyDescent="0.25"/>
    <row r="285162" customFormat="1" x14ac:dyDescent="0.25"/>
    <row r="285163" customFormat="1" x14ac:dyDescent="0.25"/>
    <row r="285164" customFormat="1" x14ac:dyDescent="0.25"/>
    <row r="285165" customFormat="1" x14ac:dyDescent="0.25"/>
    <row r="285166" customFormat="1" x14ac:dyDescent="0.25"/>
    <row r="285167" customFormat="1" x14ac:dyDescent="0.25"/>
    <row r="285168" customFormat="1" x14ac:dyDescent="0.25"/>
    <row r="285169" customFormat="1" x14ac:dyDescent="0.25"/>
    <row r="285170" customFormat="1" x14ac:dyDescent="0.25"/>
    <row r="285171" customFormat="1" x14ac:dyDescent="0.25"/>
    <row r="285172" customFormat="1" x14ac:dyDescent="0.25"/>
    <row r="285173" customFormat="1" x14ac:dyDescent="0.25"/>
    <row r="285174" customFormat="1" x14ac:dyDescent="0.25"/>
    <row r="285175" customFormat="1" x14ac:dyDescent="0.25"/>
    <row r="285176" customFormat="1" x14ac:dyDescent="0.25"/>
    <row r="285177" customFormat="1" x14ac:dyDescent="0.25"/>
    <row r="285178" customFormat="1" x14ac:dyDescent="0.25"/>
    <row r="285179" customFormat="1" x14ac:dyDescent="0.25"/>
    <row r="285180" customFormat="1" x14ac:dyDescent="0.25"/>
    <row r="285181" customFormat="1" x14ac:dyDescent="0.25"/>
    <row r="285182" customFormat="1" x14ac:dyDescent="0.25"/>
    <row r="285183" customFormat="1" x14ac:dyDescent="0.25"/>
    <row r="285184" customFormat="1" x14ac:dyDescent="0.25"/>
    <row r="285185" customFormat="1" x14ac:dyDescent="0.25"/>
    <row r="285186" customFormat="1" x14ac:dyDescent="0.25"/>
    <row r="285187" customFormat="1" x14ac:dyDescent="0.25"/>
    <row r="285188" customFormat="1" x14ac:dyDescent="0.25"/>
    <row r="285189" customFormat="1" x14ac:dyDescent="0.25"/>
    <row r="285190" customFormat="1" x14ac:dyDescent="0.25"/>
    <row r="285191" customFormat="1" x14ac:dyDescent="0.25"/>
    <row r="285192" customFormat="1" x14ac:dyDescent="0.25"/>
    <row r="285193" customFormat="1" x14ac:dyDescent="0.25"/>
    <row r="285194" customFormat="1" x14ac:dyDescent="0.25"/>
    <row r="285195" customFormat="1" x14ac:dyDescent="0.25"/>
    <row r="285196" customFormat="1" x14ac:dyDescent="0.25"/>
    <row r="285197" customFormat="1" x14ac:dyDescent="0.25"/>
    <row r="285198" customFormat="1" x14ac:dyDescent="0.25"/>
    <row r="285199" customFormat="1" x14ac:dyDescent="0.25"/>
    <row r="285200" customFormat="1" x14ac:dyDescent="0.25"/>
    <row r="285201" customFormat="1" x14ac:dyDescent="0.25"/>
    <row r="285202" customFormat="1" x14ac:dyDescent="0.25"/>
    <row r="285203" customFormat="1" x14ac:dyDescent="0.25"/>
    <row r="285204" customFormat="1" x14ac:dyDescent="0.25"/>
    <row r="285205" customFormat="1" x14ac:dyDescent="0.25"/>
    <row r="285206" customFormat="1" x14ac:dyDescent="0.25"/>
    <row r="285207" customFormat="1" x14ac:dyDescent="0.25"/>
    <row r="285208" customFormat="1" x14ac:dyDescent="0.25"/>
    <row r="285209" customFormat="1" x14ac:dyDescent="0.25"/>
    <row r="285210" customFormat="1" x14ac:dyDescent="0.25"/>
    <row r="285211" customFormat="1" x14ac:dyDescent="0.25"/>
    <row r="285212" customFormat="1" x14ac:dyDescent="0.25"/>
    <row r="285213" customFormat="1" x14ac:dyDescent="0.25"/>
    <row r="285214" customFormat="1" x14ac:dyDescent="0.25"/>
    <row r="285215" customFormat="1" x14ac:dyDescent="0.25"/>
    <row r="285216" customFormat="1" x14ac:dyDescent="0.25"/>
    <row r="285217" customFormat="1" x14ac:dyDescent="0.25"/>
    <row r="285218" customFormat="1" x14ac:dyDescent="0.25"/>
    <row r="285219" customFormat="1" x14ac:dyDescent="0.25"/>
    <row r="285220" customFormat="1" x14ac:dyDescent="0.25"/>
    <row r="285221" customFormat="1" x14ac:dyDescent="0.25"/>
    <row r="285222" customFormat="1" x14ac:dyDescent="0.25"/>
    <row r="285223" customFormat="1" x14ac:dyDescent="0.25"/>
    <row r="285224" customFormat="1" x14ac:dyDescent="0.25"/>
    <row r="285225" customFormat="1" x14ac:dyDescent="0.25"/>
    <row r="285226" customFormat="1" x14ac:dyDescent="0.25"/>
    <row r="285227" customFormat="1" x14ac:dyDescent="0.25"/>
    <row r="285228" customFormat="1" x14ac:dyDescent="0.25"/>
    <row r="285229" customFormat="1" x14ac:dyDescent="0.25"/>
    <row r="285230" customFormat="1" x14ac:dyDescent="0.25"/>
    <row r="285231" customFormat="1" x14ac:dyDescent="0.25"/>
    <row r="285232" customFormat="1" x14ac:dyDescent="0.25"/>
    <row r="285233" customFormat="1" x14ac:dyDescent="0.25"/>
    <row r="285234" customFormat="1" x14ac:dyDescent="0.25"/>
    <row r="285235" customFormat="1" x14ac:dyDescent="0.25"/>
    <row r="285236" customFormat="1" x14ac:dyDescent="0.25"/>
    <row r="285237" customFormat="1" x14ac:dyDescent="0.25"/>
    <row r="285238" customFormat="1" x14ac:dyDescent="0.25"/>
    <row r="285239" customFormat="1" x14ac:dyDescent="0.25"/>
    <row r="285240" customFormat="1" x14ac:dyDescent="0.25"/>
    <row r="285241" customFormat="1" x14ac:dyDescent="0.25"/>
    <row r="285242" customFormat="1" x14ac:dyDescent="0.25"/>
    <row r="285243" customFormat="1" x14ac:dyDescent="0.25"/>
    <row r="285244" customFormat="1" x14ac:dyDescent="0.25"/>
    <row r="285245" customFormat="1" x14ac:dyDescent="0.25"/>
    <row r="285246" customFormat="1" x14ac:dyDescent="0.25"/>
    <row r="285247" customFormat="1" x14ac:dyDescent="0.25"/>
    <row r="285248" customFormat="1" x14ac:dyDescent="0.25"/>
    <row r="285249" customFormat="1" x14ac:dyDescent="0.25"/>
    <row r="285250" customFormat="1" x14ac:dyDescent="0.25"/>
    <row r="285251" customFormat="1" x14ac:dyDescent="0.25"/>
    <row r="285252" customFormat="1" x14ac:dyDescent="0.25"/>
    <row r="285253" customFormat="1" x14ac:dyDescent="0.25"/>
    <row r="285254" customFormat="1" x14ac:dyDescent="0.25"/>
    <row r="285255" customFormat="1" x14ac:dyDescent="0.25"/>
    <row r="285256" customFormat="1" x14ac:dyDescent="0.25"/>
    <row r="285257" customFormat="1" x14ac:dyDescent="0.25"/>
    <row r="285258" customFormat="1" x14ac:dyDescent="0.25"/>
    <row r="285259" customFormat="1" x14ac:dyDescent="0.25"/>
    <row r="285260" customFormat="1" x14ac:dyDescent="0.25"/>
    <row r="285261" customFormat="1" x14ac:dyDescent="0.25"/>
    <row r="285262" customFormat="1" x14ac:dyDescent="0.25"/>
    <row r="285263" customFormat="1" x14ac:dyDescent="0.25"/>
    <row r="285264" customFormat="1" x14ac:dyDescent="0.25"/>
    <row r="285265" customFormat="1" x14ac:dyDescent="0.25"/>
    <row r="285266" customFormat="1" x14ac:dyDescent="0.25"/>
    <row r="285267" customFormat="1" x14ac:dyDescent="0.25"/>
    <row r="285268" customFormat="1" x14ac:dyDescent="0.25"/>
    <row r="285269" customFormat="1" x14ac:dyDescent="0.25"/>
    <row r="285270" customFormat="1" x14ac:dyDescent="0.25"/>
    <row r="285271" customFormat="1" x14ac:dyDescent="0.25"/>
    <row r="285272" customFormat="1" x14ac:dyDescent="0.25"/>
    <row r="285273" customFormat="1" x14ac:dyDescent="0.25"/>
    <row r="285274" customFormat="1" x14ac:dyDescent="0.25"/>
    <row r="285275" customFormat="1" x14ac:dyDescent="0.25"/>
    <row r="285276" customFormat="1" x14ac:dyDescent="0.25"/>
    <row r="285277" customFormat="1" x14ac:dyDescent="0.25"/>
    <row r="285278" customFormat="1" x14ac:dyDescent="0.25"/>
    <row r="285279" customFormat="1" x14ac:dyDescent="0.25"/>
    <row r="285280" customFormat="1" x14ac:dyDescent="0.25"/>
    <row r="285281" customFormat="1" x14ac:dyDescent="0.25"/>
    <row r="285282" customFormat="1" x14ac:dyDescent="0.25"/>
    <row r="285283" customFormat="1" x14ac:dyDescent="0.25"/>
    <row r="285284" customFormat="1" x14ac:dyDescent="0.25"/>
    <row r="285285" customFormat="1" x14ac:dyDescent="0.25"/>
    <row r="285286" customFormat="1" x14ac:dyDescent="0.25"/>
    <row r="285287" customFormat="1" x14ac:dyDescent="0.25"/>
    <row r="285288" customFormat="1" x14ac:dyDescent="0.25"/>
    <row r="285289" customFormat="1" x14ac:dyDescent="0.25"/>
    <row r="285290" customFormat="1" x14ac:dyDescent="0.25"/>
    <row r="285291" customFormat="1" x14ac:dyDescent="0.25"/>
    <row r="285292" customFormat="1" x14ac:dyDescent="0.25"/>
    <row r="285293" customFormat="1" x14ac:dyDescent="0.25"/>
    <row r="285294" customFormat="1" x14ac:dyDescent="0.25"/>
    <row r="285295" customFormat="1" x14ac:dyDescent="0.25"/>
    <row r="285296" customFormat="1" x14ac:dyDescent="0.25"/>
    <row r="285297" customFormat="1" x14ac:dyDescent="0.25"/>
    <row r="285298" customFormat="1" x14ac:dyDescent="0.25"/>
    <row r="285299" customFormat="1" x14ac:dyDescent="0.25"/>
    <row r="285300" customFormat="1" x14ac:dyDescent="0.25"/>
    <row r="285301" customFormat="1" x14ac:dyDescent="0.25"/>
    <row r="285302" customFormat="1" x14ac:dyDescent="0.25"/>
    <row r="285303" customFormat="1" x14ac:dyDescent="0.25"/>
    <row r="285304" customFormat="1" x14ac:dyDescent="0.25"/>
    <row r="285305" customFormat="1" x14ac:dyDescent="0.25"/>
    <row r="285306" customFormat="1" x14ac:dyDescent="0.25"/>
    <row r="285307" customFormat="1" x14ac:dyDescent="0.25"/>
    <row r="285308" customFormat="1" x14ac:dyDescent="0.25"/>
    <row r="285309" customFormat="1" x14ac:dyDescent="0.25"/>
    <row r="285310" customFormat="1" x14ac:dyDescent="0.25"/>
    <row r="285311" customFormat="1" x14ac:dyDescent="0.25"/>
    <row r="285312" customFormat="1" x14ac:dyDescent="0.25"/>
    <row r="285313" customFormat="1" x14ac:dyDescent="0.25"/>
    <row r="285314" customFormat="1" x14ac:dyDescent="0.25"/>
    <row r="285315" customFormat="1" x14ac:dyDescent="0.25"/>
    <row r="285316" customFormat="1" x14ac:dyDescent="0.25"/>
    <row r="285317" customFormat="1" x14ac:dyDescent="0.25"/>
    <row r="285318" customFormat="1" x14ac:dyDescent="0.25"/>
    <row r="285319" customFormat="1" x14ac:dyDescent="0.25"/>
    <row r="285320" customFormat="1" x14ac:dyDescent="0.25"/>
    <row r="285321" customFormat="1" x14ac:dyDescent="0.25"/>
    <row r="285322" customFormat="1" x14ac:dyDescent="0.25"/>
    <row r="285323" customFormat="1" x14ac:dyDescent="0.25"/>
    <row r="285324" customFormat="1" x14ac:dyDescent="0.25"/>
    <row r="285325" customFormat="1" x14ac:dyDescent="0.25"/>
    <row r="285326" customFormat="1" x14ac:dyDescent="0.25"/>
    <row r="285327" customFormat="1" x14ac:dyDescent="0.25"/>
    <row r="285328" customFormat="1" x14ac:dyDescent="0.25"/>
    <row r="285329" customFormat="1" x14ac:dyDescent="0.25"/>
    <row r="285330" customFormat="1" x14ac:dyDescent="0.25"/>
    <row r="285331" customFormat="1" x14ac:dyDescent="0.25"/>
    <row r="285332" customFormat="1" x14ac:dyDescent="0.25"/>
    <row r="285333" customFormat="1" x14ac:dyDescent="0.25"/>
    <row r="285334" customFormat="1" x14ac:dyDescent="0.25"/>
    <row r="285335" customFormat="1" x14ac:dyDescent="0.25"/>
    <row r="285336" customFormat="1" x14ac:dyDescent="0.25"/>
    <row r="285337" customFormat="1" x14ac:dyDescent="0.25"/>
    <row r="285338" customFormat="1" x14ac:dyDescent="0.25"/>
    <row r="285339" customFormat="1" x14ac:dyDescent="0.25"/>
    <row r="285340" customFormat="1" x14ac:dyDescent="0.25"/>
    <row r="285341" customFormat="1" x14ac:dyDescent="0.25"/>
    <row r="285342" customFormat="1" x14ac:dyDescent="0.25"/>
    <row r="285343" customFormat="1" x14ac:dyDescent="0.25"/>
    <row r="285344" customFormat="1" x14ac:dyDescent="0.25"/>
    <row r="285345" customFormat="1" x14ac:dyDescent="0.25"/>
    <row r="285346" customFormat="1" x14ac:dyDescent="0.25"/>
    <row r="285347" customFormat="1" x14ac:dyDescent="0.25"/>
    <row r="285348" customFormat="1" x14ac:dyDescent="0.25"/>
    <row r="285349" customFormat="1" x14ac:dyDescent="0.25"/>
    <row r="285350" customFormat="1" x14ac:dyDescent="0.25"/>
    <row r="285351" customFormat="1" x14ac:dyDescent="0.25"/>
    <row r="285352" customFormat="1" x14ac:dyDescent="0.25"/>
    <row r="285353" customFormat="1" x14ac:dyDescent="0.25"/>
    <row r="285354" customFormat="1" x14ac:dyDescent="0.25"/>
    <row r="285355" customFormat="1" x14ac:dyDescent="0.25"/>
    <row r="285356" customFormat="1" x14ac:dyDescent="0.25"/>
    <row r="285357" customFormat="1" x14ac:dyDescent="0.25"/>
    <row r="285358" customFormat="1" x14ac:dyDescent="0.25"/>
    <row r="285359" customFormat="1" x14ac:dyDescent="0.25"/>
    <row r="285360" customFormat="1" x14ac:dyDescent="0.25"/>
    <row r="285361" customFormat="1" x14ac:dyDescent="0.25"/>
    <row r="285362" customFormat="1" x14ac:dyDescent="0.25"/>
    <row r="285363" customFormat="1" x14ac:dyDescent="0.25"/>
    <row r="285364" customFormat="1" x14ac:dyDescent="0.25"/>
    <row r="285365" customFormat="1" x14ac:dyDescent="0.25"/>
    <row r="285366" customFormat="1" x14ac:dyDescent="0.25"/>
    <row r="285367" customFormat="1" x14ac:dyDescent="0.25"/>
    <row r="285368" customFormat="1" x14ac:dyDescent="0.25"/>
    <row r="285369" customFormat="1" x14ac:dyDescent="0.25"/>
    <row r="285370" customFormat="1" x14ac:dyDescent="0.25"/>
    <row r="285371" customFormat="1" x14ac:dyDescent="0.25"/>
    <row r="285372" customFormat="1" x14ac:dyDescent="0.25"/>
    <row r="285373" customFormat="1" x14ac:dyDescent="0.25"/>
    <row r="285374" customFormat="1" x14ac:dyDescent="0.25"/>
    <row r="285375" customFormat="1" x14ac:dyDescent="0.25"/>
    <row r="285376" customFormat="1" x14ac:dyDescent="0.25"/>
    <row r="285377" customFormat="1" x14ac:dyDescent="0.25"/>
    <row r="285378" customFormat="1" x14ac:dyDescent="0.25"/>
    <row r="285379" customFormat="1" x14ac:dyDescent="0.25"/>
    <row r="285380" customFormat="1" x14ac:dyDescent="0.25"/>
    <row r="285381" customFormat="1" x14ac:dyDescent="0.25"/>
    <row r="285382" customFormat="1" x14ac:dyDescent="0.25"/>
    <row r="285383" customFormat="1" x14ac:dyDescent="0.25"/>
    <row r="285384" customFormat="1" x14ac:dyDescent="0.25"/>
    <row r="285385" customFormat="1" x14ac:dyDescent="0.25"/>
    <row r="285386" customFormat="1" x14ac:dyDescent="0.25"/>
    <row r="285387" customFormat="1" x14ac:dyDescent="0.25"/>
    <row r="285388" customFormat="1" x14ac:dyDescent="0.25"/>
    <row r="285389" customFormat="1" x14ac:dyDescent="0.25"/>
    <row r="285390" customFormat="1" x14ac:dyDescent="0.25"/>
    <row r="285391" customFormat="1" x14ac:dyDescent="0.25"/>
    <row r="285392" customFormat="1" x14ac:dyDescent="0.25"/>
    <row r="285393" customFormat="1" x14ac:dyDescent="0.25"/>
    <row r="285394" customFormat="1" x14ac:dyDescent="0.25"/>
    <row r="285395" customFormat="1" x14ac:dyDescent="0.25"/>
    <row r="285396" customFormat="1" x14ac:dyDescent="0.25"/>
    <row r="285397" customFormat="1" x14ac:dyDescent="0.25"/>
    <row r="285398" customFormat="1" x14ac:dyDescent="0.25"/>
    <row r="285399" customFormat="1" x14ac:dyDescent="0.25"/>
    <row r="285400" customFormat="1" x14ac:dyDescent="0.25"/>
    <row r="285401" customFormat="1" x14ac:dyDescent="0.25"/>
    <row r="285402" customFormat="1" x14ac:dyDescent="0.25"/>
    <row r="285403" customFormat="1" x14ac:dyDescent="0.25"/>
    <row r="285404" customFormat="1" x14ac:dyDescent="0.25"/>
    <row r="285405" customFormat="1" x14ac:dyDescent="0.25"/>
    <row r="285406" customFormat="1" x14ac:dyDescent="0.25"/>
    <row r="285407" customFormat="1" x14ac:dyDescent="0.25"/>
    <row r="285408" customFormat="1" x14ac:dyDescent="0.25"/>
    <row r="285409" customFormat="1" x14ac:dyDescent="0.25"/>
    <row r="285410" customFormat="1" x14ac:dyDescent="0.25"/>
    <row r="285411" customFormat="1" x14ac:dyDescent="0.25"/>
    <row r="285412" customFormat="1" x14ac:dyDescent="0.25"/>
    <row r="285413" customFormat="1" x14ac:dyDescent="0.25"/>
    <row r="285414" customFormat="1" x14ac:dyDescent="0.25"/>
    <row r="285415" customFormat="1" x14ac:dyDescent="0.25"/>
    <row r="285416" customFormat="1" x14ac:dyDescent="0.25"/>
    <row r="285417" customFormat="1" x14ac:dyDescent="0.25"/>
    <row r="285418" customFormat="1" x14ac:dyDescent="0.25"/>
    <row r="285419" customFormat="1" x14ac:dyDescent="0.25"/>
    <row r="285420" customFormat="1" x14ac:dyDescent="0.25"/>
    <row r="285421" customFormat="1" x14ac:dyDescent="0.25"/>
    <row r="285422" customFormat="1" x14ac:dyDescent="0.25"/>
    <row r="285423" customFormat="1" x14ac:dyDescent="0.25"/>
    <row r="285424" customFormat="1" x14ac:dyDescent="0.25"/>
    <row r="285425" customFormat="1" x14ac:dyDescent="0.25"/>
    <row r="285426" customFormat="1" x14ac:dyDescent="0.25"/>
    <row r="285427" customFormat="1" x14ac:dyDescent="0.25"/>
    <row r="285428" customFormat="1" x14ac:dyDescent="0.25"/>
    <row r="285429" customFormat="1" x14ac:dyDescent="0.25"/>
    <row r="285430" customFormat="1" x14ac:dyDescent="0.25"/>
    <row r="285431" customFormat="1" x14ac:dyDescent="0.25"/>
    <row r="285432" customFormat="1" x14ac:dyDescent="0.25"/>
    <row r="285433" customFormat="1" x14ac:dyDescent="0.25"/>
    <row r="285434" customFormat="1" x14ac:dyDescent="0.25"/>
    <row r="285435" customFormat="1" x14ac:dyDescent="0.25"/>
    <row r="285436" customFormat="1" x14ac:dyDescent="0.25"/>
    <row r="285437" customFormat="1" x14ac:dyDescent="0.25"/>
    <row r="285438" customFormat="1" x14ac:dyDescent="0.25"/>
    <row r="285439" customFormat="1" x14ac:dyDescent="0.25"/>
    <row r="285440" customFormat="1" x14ac:dyDescent="0.25"/>
    <row r="285441" customFormat="1" x14ac:dyDescent="0.25"/>
    <row r="285442" customFormat="1" x14ac:dyDescent="0.25"/>
    <row r="285443" customFormat="1" x14ac:dyDescent="0.25"/>
    <row r="285444" customFormat="1" x14ac:dyDescent="0.25"/>
    <row r="285445" customFormat="1" x14ac:dyDescent="0.25"/>
    <row r="285446" customFormat="1" x14ac:dyDescent="0.25"/>
    <row r="285447" customFormat="1" x14ac:dyDescent="0.25"/>
    <row r="285448" customFormat="1" x14ac:dyDescent="0.25"/>
    <row r="285449" customFormat="1" x14ac:dyDescent="0.25"/>
    <row r="285450" customFormat="1" x14ac:dyDescent="0.25"/>
    <row r="285451" customFormat="1" x14ac:dyDescent="0.25"/>
    <row r="285452" customFormat="1" x14ac:dyDescent="0.25"/>
    <row r="285453" customFormat="1" x14ac:dyDescent="0.25"/>
    <row r="285454" customFormat="1" x14ac:dyDescent="0.25"/>
    <row r="285455" customFormat="1" x14ac:dyDescent="0.25"/>
    <row r="285456" customFormat="1" x14ac:dyDescent="0.25"/>
    <row r="285457" customFormat="1" x14ac:dyDescent="0.25"/>
    <row r="285458" customFormat="1" x14ac:dyDescent="0.25"/>
    <row r="285459" customFormat="1" x14ac:dyDescent="0.25"/>
    <row r="285460" customFormat="1" x14ac:dyDescent="0.25"/>
    <row r="285461" customFormat="1" x14ac:dyDescent="0.25"/>
    <row r="285462" customFormat="1" x14ac:dyDescent="0.25"/>
    <row r="285463" customFormat="1" x14ac:dyDescent="0.25"/>
    <row r="285464" customFormat="1" x14ac:dyDescent="0.25"/>
    <row r="285465" customFormat="1" x14ac:dyDescent="0.25"/>
    <row r="285466" customFormat="1" x14ac:dyDescent="0.25"/>
    <row r="285467" customFormat="1" x14ac:dyDescent="0.25"/>
    <row r="285468" customFormat="1" x14ac:dyDescent="0.25"/>
    <row r="285469" customFormat="1" x14ac:dyDescent="0.25"/>
    <row r="285470" customFormat="1" x14ac:dyDescent="0.25"/>
    <row r="285471" customFormat="1" x14ac:dyDescent="0.25"/>
    <row r="285472" customFormat="1" x14ac:dyDescent="0.25"/>
    <row r="285473" customFormat="1" x14ac:dyDescent="0.25"/>
    <row r="285474" customFormat="1" x14ac:dyDescent="0.25"/>
    <row r="285475" customFormat="1" x14ac:dyDescent="0.25"/>
    <row r="285476" customFormat="1" x14ac:dyDescent="0.25"/>
    <row r="285477" customFormat="1" x14ac:dyDescent="0.25"/>
    <row r="285478" customFormat="1" x14ac:dyDescent="0.25"/>
    <row r="285479" customFormat="1" x14ac:dyDescent="0.25"/>
    <row r="285480" customFormat="1" x14ac:dyDescent="0.25"/>
    <row r="285481" customFormat="1" x14ac:dyDescent="0.25"/>
    <row r="285482" customFormat="1" x14ac:dyDescent="0.25"/>
    <row r="285483" customFormat="1" x14ac:dyDescent="0.25"/>
    <row r="285484" customFormat="1" x14ac:dyDescent="0.25"/>
    <row r="285485" customFormat="1" x14ac:dyDescent="0.25"/>
    <row r="285486" customFormat="1" x14ac:dyDescent="0.25"/>
    <row r="285487" customFormat="1" x14ac:dyDescent="0.25"/>
    <row r="285488" customFormat="1" x14ac:dyDescent="0.25"/>
    <row r="285489" customFormat="1" x14ac:dyDescent="0.25"/>
    <row r="285490" customFormat="1" x14ac:dyDescent="0.25"/>
    <row r="285491" customFormat="1" x14ac:dyDescent="0.25"/>
    <row r="285492" customFormat="1" x14ac:dyDescent="0.25"/>
    <row r="285493" customFormat="1" x14ac:dyDescent="0.25"/>
    <row r="285494" customFormat="1" x14ac:dyDescent="0.25"/>
    <row r="285495" customFormat="1" x14ac:dyDescent="0.25"/>
    <row r="285496" customFormat="1" x14ac:dyDescent="0.25"/>
    <row r="285497" customFormat="1" x14ac:dyDescent="0.25"/>
    <row r="285498" customFormat="1" x14ac:dyDescent="0.25"/>
    <row r="285499" customFormat="1" x14ac:dyDescent="0.25"/>
    <row r="285500" customFormat="1" x14ac:dyDescent="0.25"/>
    <row r="285501" customFormat="1" x14ac:dyDescent="0.25"/>
    <row r="285502" customFormat="1" x14ac:dyDescent="0.25"/>
    <row r="285503" customFormat="1" x14ac:dyDescent="0.25"/>
    <row r="285504" customFormat="1" x14ac:dyDescent="0.25"/>
    <row r="285505" customFormat="1" x14ac:dyDescent="0.25"/>
    <row r="285506" customFormat="1" x14ac:dyDescent="0.25"/>
    <row r="285507" customFormat="1" x14ac:dyDescent="0.25"/>
    <row r="285508" customFormat="1" x14ac:dyDescent="0.25"/>
    <row r="285509" customFormat="1" x14ac:dyDescent="0.25"/>
    <row r="285510" customFormat="1" x14ac:dyDescent="0.25"/>
    <row r="285511" customFormat="1" x14ac:dyDescent="0.25"/>
    <row r="285512" customFormat="1" x14ac:dyDescent="0.25"/>
    <row r="285513" customFormat="1" x14ac:dyDescent="0.25"/>
    <row r="285514" customFormat="1" x14ac:dyDescent="0.25"/>
    <row r="285515" customFormat="1" x14ac:dyDescent="0.25"/>
    <row r="285516" customFormat="1" x14ac:dyDescent="0.25"/>
    <row r="285517" customFormat="1" x14ac:dyDescent="0.25"/>
    <row r="285518" customFormat="1" x14ac:dyDescent="0.25"/>
    <row r="285519" customFormat="1" x14ac:dyDescent="0.25"/>
    <row r="285520" customFormat="1" x14ac:dyDescent="0.25"/>
    <row r="285521" customFormat="1" x14ac:dyDescent="0.25"/>
    <row r="285522" customFormat="1" x14ac:dyDescent="0.25"/>
    <row r="285523" customFormat="1" x14ac:dyDescent="0.25"/>
    <row r="285524" customFormat="1" x14ac:dyDescent="0.25"/>
    <row r="285525" customFormat="1" x14ac:dyDescent="0.25"/>
    <row r="285526" customFormat="1" x14ac:dyDescent="0.25"/>
    <row r="285527" customFormat="1" x14ac:dyDescent="0.25"/>
    <row r="285528" customFormat="1" x14ac:dyDescent="0.25"/>
    <row r="285529" customFormat="1" x14ac:dyDescent="0.25"/>
    <row r="285530" customFormat="1" x14ac:dyDescent="0.25"/>
    <row r="285531" customFormat="1" x14ac:dyDescent="0.25"/>
    <row r="285532" customFormat="1" x14ac:dyDescent="0.25"/>
    <row r="285533" customFormat="1" x14ac:dyDescent="0.25"/>
    <row r="285534" customFormat="1" x14ac:dyDescent="0.25"/>
    <row r="285535" customFormat="1" x14ac:dyDescent="0.25"/>
    <row r="285536" customFormat="1" x14ac:dyDescent="0.25"/>
    <row r="285537" customFormat="1" x14ac:dyDescent="0.25"/>
    <row r="285538" customFormat="1" x14ac:dyDescent="0.25"/>
    <row r="285539" customFormat="1" x14ac:dyDescent="0.25"/>
    <row r="285540" customFormat="1" x14ac:dyDescent="0.25"/>
    <row r="285541" customFormat="1" x14ac:dyDescent="0.25"/>
    <row r="285542" customFormat="1" x14ac:dyDescent="0.25"/>
    <row r="285543" customFormat="1" x14ac:dyDescent="0.25"/>
    <row r="285544" customFormat="1" x14ac:dyDescent="0.25"/>
    <row r="285545" customFormat="1" x14ac:dyDescent="0.25"/>
    <row r="285546" customFormat="1" x14ac:dyDescent="0.25"/>
    <row r="285547" customFormat="1" x14ac:dyDescent="0.25"/>
    <row r="285548" customFormat="1" x14ac:dyDescent="0.25"/>
    <row r="285549" customFormat="1" x14ac:dyDescent="0.25"/>
    <row r="285550" customFormat="1" x14ac:dyDescent="0.25"/>
    <row r="285551" customFormat="1" x14ac:dyDescent="0.25"/>
    <row r="285552" customFormat="1" x14ac:dyDescent="0.25"/>
    <row r="285553" customFormat="1" x14ac:dyDescent="0.25"/>
    <row r="285554" customFormat="1" x14ac:dyDescent="0.25"/>
    <row r="285555" customFormat="1" x14ac:dyDescent="0.25"/>
    <row r="285556" customFormat="1" x14ac:dyDescent="0.25"/>
    <row r="285557" customFormat="1" x14ac:dyDescent="0.25"/>
    <row r="285558" customFormat="1" x14ac:dyDescent="0.25"/>
    <row r="285559" customFormat="1" x14ac:dyDescent="0.25"/>
    <row r="285560" customFormat="1" x14ac:dyDescent="0.25"/>
    <row r="285561" customFormat="1" x14ac:dyDescent="0.25"/>
    <row r="285562" customFormat="1" x14ac:dyDescent="0.25"/>
    <row r="285563" customFormat="1" x14ac:dyDescent="0.25"/>
    <row r="285564" customFormat="1" x14ac:dyDescent="0.25"/>
    <row r="285565" customFormat="1" x14ac:dyDescent="0.25"/>
    <row r="285566" customFormat="1" x14ac:dyDescent="0.25"/>
    <row r="285567" customFormat="1" x14ac:dyDescent="0.25"/>
    <row r="285568" customFormat="1" x14ac:dyDescent="0.25"/>
    <row r="285569" customFormat="1" x14ac:dyDescent="0.25"/>
    <row r="285570" customFormat="1" x14ac:dyDescent="0.25"/>
    <row r="285571" customFormat="1" x14ac:dyDescent="0.25"/>
    <row r="285572" customFormat="1" x14ac:dyDescent="0.25"/>
    <row r="285573" customFormat="1" x14ac:dyDescent="0.25"/>
    <row r="285574" customFormat="1" x14ac:dyDescent="0.25"/>
    <row r="285575" customFormat="1" x14ac:dyDescent="0.25"/>
    <row r="285576" customFormat="1" x14ac:dyDescent="0.25"/>
    <row r="285577" customFormat="1" x14ac:dyDescent="0.25"/>
    <row r="285578" customFormat="1" x14ac:dyDescent="0.25"/>
    <row r="285579" customFormat="1" x14ac:dyDescent="0.25"/>
    <row r="285580" customFormat="1" x14ac:dyDescent="0.25"/>
    <row r="285581" customFormat="1" x14ac:dyDescent="0.25"/>
    <row r="285582" customFormat="1" x14ac:dyDescent="0.25"/>
    <row r="285583" customFormat="1" x14ac:dyDescent="0.25"/>
    <row r="285584" customFormat="1" x14ac:dyDescent="0.25"/>
    <row r="285585" customFormat="1" x14ac:dyDescent="0.25"/>
    <row r="285586" customFormat="1" x14ac:dyDescent="0.25"/>
    <row r="285587" customFormat="1" x14ac:dyDescent="0.25"/>
    <row r="285588" customFormat="1" x14ac:dyDescent="0.25"/>
    <row r="285589" customFormat="1" x14ac:dyDescent="0.25"/>
    <row r="285590" customFormat="1" x14ac:dyDescent="0.25"/>
    <row r="285591" customFormat="1" x14ac:dyDescent="0.25"/>
    <row r="285592" customFormat="1" x14ac:dyDescent="0.25"/>
    <row r="285593" customFormat="1" x14ac:dyDescent="0.25"/>
    <row r="285594" customFormat="1" x14ac:dyDescent="0.25"/>
    <row r="285595" customFormat="1" x14ac:dyDescent="0.25"/>
    <row r="285596" customFormat="1" x14ac:dyDescent="0.25"/>
    <row r="285597" customFormat="1" x14ac:dyDescent="0.25"/>
    <row r="285598" customFormat="1" x14ac:dyDescent="0.25"/>
    <row r="285599" customFormat="1" x14ac:dyDescent="0.25"/>
    <row r="285600" customFormat="1" x14ac:dyDescent="0.25"/>
    <row r="285601" customFormat="1" x14ac:dyDescent="0.25"/>
    <row r="285602" customFormat="1" x14ac:dyDescent="0.25"/>
    <row r="285603" customFormat="1" x14ac:dyDescent="0.25"/>
    <row r="285604" customFormat="1" x14ac:dyDescent="0.25"/>
    <row r="285605" customFormat="1" x14ac:dyDescent="0.25"/>
    <row r="285606" customFormat="1" x14ac:dyDescent="0.25"/>
    <row r="285607" customFormat="1" x14ac:dyDescent="0.25"/>
    <row r="285608" customFormat="1" x14ac:dyDescent="0.25"/>
    <row r="285609" customFormat="1" x14ac:dyDescent="0.25"/>
    <row r="285610" customFormat="1" x14ac:dyDescent="0.25"/>
    <row r="285611" customFormat="1" x14ac:dyDescent="0.25"/>
    <row r="285612" customFormat="1" x14ac:dyDescent="0.25"/>
    <row r="285613" customFormat="1" x14ac:dyDescent="0.25"/>
    <row r="285614" customFormat="1" x14ac:dyDescent="0.25"/>
    <row r="285615" customFormat="1" x14ac:dyDescent="0.25"/>
    <row r="285616" customFormat="1" x14ac:dyDescent="0.25"/>
    <row r="285617" customFormat="1" x14ac:dyDescent="0.25"/>
    <row r="285618" customFormat="1" x14ac:dyDescent="0.25"/>
    <row r="285619" customFormat="1" x14ac:dyDescent="0.25"/>
    <row r="285620" customFormat="1" x14ac:dyDescent="0.25"/>
    <row r="285621" customFormat="1" x14ac:dyDescent="0.25"/>
    <row r="285622" customFormat="1" x14ac:dyDescent="0.25"/>
    <row r="285623" customFormat="1" x14ac:dyDescent="0.25"/>
    <row r="285624" customFormat="1" x14ac:dyDescent="0.25"/>
    <row r="285625" customFormat="1" x14ac:dyDescent="0.25"/>
    <row r="285626" customFormat="1" x14ac:dyDescent="0.25"/>
    <row r="285627" customFormat="1" x14ac:dyDescent="0.25"/>
    <row r="285628" customFormat="1" x14ac:dyDescent="0.25"/>
    <row r="285629" customFormat="1" x14ac:dyDescent="0.25"/>
    <row r="285630" customFormat="1" x14ac:dyDescent="0.25"/>
    <row r="285631" customFormat="1" x14ac:dyDescent="0.25"/>
    <row r="285632" customFormat="1" x14ac:dyDescent="0.25"/>
    <row r="285633" customFormat="1" x14ac:dyDescent="0.25"/>
    <row r="285634" customFormat="1" x14ac:dyDescent="0.25"/>
    <row r="285635" customFormat="1" x14ac:dyDescent="0.25"/>
    <row r="285636" customFormat="1" x14ac:dyDescent="0.25"/>
    <row r="285637" customFormat="1" x14ac:dyDescent="0.25"/>
    <row r="285638" customFormat="1" x14ac:dyDescent="0.25"/>
    <row r="285639" customFormat="1" x14ac:dyDescent="0.25"/>
    <row r="285640" customFormat="1" x14ac:dyDescent="0.25"/>
    <row r="285641" customFormat="1" x14ac:dyDescent="0.25"/>
    <row r="285642" customFormat="1" x14ac:dyDescent="0.25"/>
    <row r="285643" customFormat="1" x14ac:dyDescent="0.25"/>
    <row r="285644" customFormat="1" x14ac:dyDescent="0.25"/>
    <row r="285645" customFormat="1" x14ac:dyDescent="0.25"/>
    <row r="285646" customFormat="1" x14ac:dyDescent="0.25"/>
    <row r="285647" customFormat="1" x14ac:dyDescent="0.25"/>
    <row r="285648" customFormat="1" x14ac:dyDescent="0.25"/>
    <row r="285649" customFormat="1" x14ac:dyDescent="0.25"/>
    <row r="285650" customFormat="1" x14ac:dyDescent="0.25"/>
    <row r="285651" customFormat="1" x14ac:dyDescent="0.25"/>
    <row r="285652" customFormat="1" x14ac:dyDescent="0.25"/>
    <row r="285653" customFormat="1" x14ac:dyDescent="0.25"/>
    <row r="285654" customFormat="1" x14ac:dyDescent="0.25"/>
    <row r="285655" customFormat="1" x14ac:dyDescent="0.25"/>
    <row r="285656" customFormat="1" x14ac:dyDescent="0.25"/>
    <row r="285657" customFormat="1" x14ac:dyDescent="0.25"/>
    <row r="285658" customFormat="1" x14ac:dyDescent="0.25"/>
    <row r="285659" customFormat="1" x14ac:dyDescent="0.25"/>
    <row r="285660" customFormat="1" x14ac:dyDescent="0.25"/>
    <row r="285661" customFormat="1" x14ac:dyDescent="0.25"/>
    <row r="285662" customFormat="1" x14ac:dyDescent="0.25"/>
    <row r="285663" customFormat="1" x14ac:dyDescent="0.25"/>
    <row r="285664" customFormat="1" x14ac:dyDescent="0.25"/>
    <row r="285665" customFormat="1" x14ac:dyDescent="0.25"/>
    <row r="285666" customFormat="1" x14ac:dyDescent="0.25"/>
    <row r="285667" customFormat="1" x14ac:dyDescent="0.25"/>
    <row r="285668" customFormat="1" x14ac:dyDescent="0.25"/>
    <row r="285669" customFormat="1" x14ac:dyDescent="0.25"/>
    <row r="285670" customFormat="1" x14ac:dyDescent="0.25"/>
    <row r="285671" customFormat="1" x14ac:dyDescent="0.25"/>
    <row r="285672" customFormat="1" x14ac:dyDescent="0.25"/>
    <row r="285673" customFormat="1" x14ac:dyDescent="0.25"/>
    <row r="285674" customFormat="1" x14ac:dyDescent="0.25"/>
    <row r="285675" customFormat="1" x14ac:dyDescent="0.25"/>
    <row r="285676" customFormat="1" x14ac:dyDescent="0.25"/>
    <row r="285677" customFormat="1" x14ac:dyDescent="0.25"/>
    <row r="285678" customFormat="1" x14ac:dyDescent="0.25"/>
    <row r="285679" customFormat="1" x14ac:dyDescent="0.25"/>
    <row r="285680" customFormat="1" x14ac:dyDescent="0.25"/>
    <row r="285681" customFormat="1" x14ac:dyDescent="0.25"/>
    <row r="285682" customFormat="1" x14ac:dyDescent="0.25"/>
    <row r="285683" customFormat="1" x14ac:dyDescent="0.25"/>
    <row r="285684" customFormat="1" x14ac:dyDescent="0.25"/>
    <row r="285685" customFormat="1" x14ac:dyDescent="0.25"/>
    <row r="285686" customFormat="1" x14ac:dyDescent="0.25"/>
    <row r="285687" customFormat="1" x14ac:dyDescent="0.25"/>
    <row r="285688" customFormat="1" x14ac:dyDescent="0.25"/>
    <row r="285689" customFormat="1" x14ac:dyDescent="0.25"/>
    <row r="285690" customFormat="1" x14ac:dyDescent="0.25"/>
    <row r="285691" customFormat="1" x14ac:dyDescent="0.25"/>
    <row r="285692" customFormat="1" x14ac:dyDescent="0.25"/>
    <row r="285693" customFormat="1" x14ac:dyDescent="0.25"/>
    <row r="285694" customFormat="1" x14ac:dyDescent="0.25"/>
    <row r="285695" customFormat="1" x14ac:dyDescent="0.25"/>
    <row r="285696" customFormat="1" x14ac:dyDescent="0.25"/>
    <row r="285697" customFormat="1" x14ac:dyDescent="0.25"/>
    <row r="285698" customFormat="1" x14ac:dyDescent="0.25"/>
    <row r="285699" customFormat="1" x14ac:dyDescent="0.25"/>
    <row r="285700" customFormat="1" x14ac:dyDescent="0.25"/>
    <row r="285701" customFormat="1" x14ac:dyDescent="0.25"/>
    <row r="285702" customFormat="1" x14ac:dyDescent="0.25"/>
    <row r="285703" customFormat="1" x14ac:dyDescent="0.25"/>
    <row r="285704" customFormat="1" x14ac:dyDescent="0.25"/>
    <row r="285705" customFormat="1" x14ac:dyDescent="0.25"/>
    <row r="285706" customFormat="1" x14ac:dyDescent="0.25"/>
    <row r="285707" customFormat="1" x14ac:dyDescent="0.25"/>
    <row r="285708" customFormat="1" x14ac:dyDescent="0.25"/>
    <row r="285709" customFormat="1" x14ac:dyDescent="0.25"/>
    <row r="285710" customFormat="1" x14ac:dyDescent="0.25"/>
    <row r="285711" customFormat="1" x14ac:dyDescent="0.25"/>
    <row r="285712" customFormat="1" x14ac:dyDescent="0.25"/>
    <row r="285713" customFormat="1" x14ac:dyDescent="0.25"/>
    <row r="285714" customFormat="1" x14ac:dyDescent="0.25"/>
    <row r="285715" customFormat="1" x14ac:dyDescent="0.25"/>
    <row r="285716" customFormat="1" x14ac:dyDescent="0.25"/>
    <row r="285717" customFormat="1" x14ac:dyDescent="0.25"/>
    <row r="285718" customFormat="1" x14ac:dyDescent="0.25"/>
    <row r="285719" customFormat="1" x14ac:dyDescent="0.25"/>
    <row r="285720" customFormat="1" x14ac:dyDescent="0.25"/>
    <row r="285721" customFormat="1" x14ac:dyDescent="0.25"/>
    <row r="285722" customFormat="1" x14ac:dyDescent="0.25"/>
    <row r="285723" customFormat="1" x14ac:dyDescent="0.25"/>
    <row r="285724" customFormat="1" x14ac:dyDescent="0.25"/>
    <row r="285725" customFormat="1" x14ac:dyDescent="0.25"/>
    <row r="285726" customFormat="1" x14ac:dyDescent="0.25"/>
    <row r="285727" customFormat="1" x14ac:dyDescent="0.25"/>
    <row r="285728" customFormat="1" x14ac:dyDescent="0.25"/>
    <row r="285729" customFormat="1" x14ac:dyDescent="0.25"/>
    <row r="285730" customFormat="1" x14ac:dyDescent="0.25"/>
    <row r="285731" customFormat="1" x14ac:dyDescent="0.25"/>
    <row r="285732" customFormat="1" x14ac:dyDescent="0.25"/>
    <row r="285733" customFormat="1" x14ac:dyDescent="0.25"/>
    <row r="285734" customFormat="1" x14ac:dyDescent="0.25"/>
    <row r="285735" customFormat="1" x14ac:dyDescent="0.25"/>
    <row r="285736" customFormat="1" x14ac:dyDescent="0.25"/>
    <row r="285737" customFormat="1" x14ac:dyDescent="0.25"/>
    <row r="285738" customFormat="1" x14ac:dyDescent="0.25"/>
    <row r="285739" customFormat="1" x14ac:dyDescent="0.25"/>
    <row r="285740" customFormat="1" x14ac:dyDescent="0.25"/>
    <row r="285741" customFormat="1" x14ac:dyDescent="0.25"/>
    <row r="285742" customFormat="1" x14ac:dyDescent="0.25"/>
    <row r="285743" customFormat="1" x14ac:dyDescent="0.25"/>
    <row r="285744" customFormat="1" x14ac:dyDescent="0.25"/>
    <row r="285745" customFormat="1" x14ac:dyDescent="0.25"/>
    <row r="285746" customFormat="1" x14ac:dyDescent="0.25"/>
    <row r="285747" customFormat="1" x14ac:dyDescent="0.25"/>
    <row r="285748" customFormat="1" x14ac:dyDescent="0.25"/>
    <row r="285749" customFormat="1" x14ac:dyDescent="0.25"/>
    <row r="285750" customFormat="1" x14ac:dyDescent="0.25"/>
    <row r="285751" customFormat="1" x14ac:dyDescent="0.25"/>
    <row r="285752" customFormat="1" x14ac:dyDescent="0.25"/>
    <row r="285753" customFormat="1" x14ac:dyDescent="0.25"/>
    <row r="285754" customFormat="1" x14ac:dyDescent="0.25"/>
    <row r="285755" customFormat="1" x14ac:dyDescent="0.25"/>
    <row r="285756" customFormat="1" x14ac:dyDescent="0.25"/>
    <row r="285757" customFormat="1" x14ac:dyDescent="0.25"/>
    <row r="285758" customFormat="1" x14ac:dyDescent="0.25"/>
    <row r="285759" customFormat="1" x14ac:dyDescent="0.25"/>
    <row r="285760" customFormat="1" x14ac:dyDescent="0.25"/>
    <row r="285761" customFormat="1" x14ac:dyDescent="0.25"/>
    <row r="285762" customFormat="1" x14ac:dyDescent="0.25"/>
    <row r="285763" customFormat="1" x14ac:dyDescent="0.25"/>
    <row r="285764" customFormat="1" x14ac:dyDescent="0.25"/>
    <row r="285765" customFormat="1" x14ac:dyDescent="0.25"/>
    <row r="285766" customFormat="1" x14ac:dyDescent="0.25"/>
    <row r="285767" customFormat="1" x14ac:dyDescent="0.25"/>
    <row r="285768" customFormat="1" x14ac:dyDescent="0.25"/>
    <row r="285769" customFormat="1" x14ac:dyDescent="0.25"/>
    <row r="285770" customFormat="1" x14ac:dyDescent="0.25"/>
    <row r="285771" customFormat="1" x14ac:dyDescent="0.25"/>
    <row r="285772" customFormat="1" x14ac:dyDescent="0.25"/>
    <row r="285773" customFormat="1" x14ac:dyDescent="0.25"/>
    <row r="285774" customFormat="1" x14ac:dyDescent="0.25"/>
    <row r="285775" customFormat="1" x14ac:dyDescent="0.25"/>
    <row r="285776" customFormat="1" x14ac:dyDescent="0.25"/>
    <row r="285777" customFormat="1" x14ac:dyDescent="0.25"/>
    <row r="285778" customFormat="1" x14ac:dyDescent="0.25"/>
    <row r="285779" customFormat="1" x14ac:dyDescent="0.25"/>
    <row r="285780" customFormat="1" x14ac:dyDescent="0.25"/>
    <row r="285781" customFormat="1" x14ac:dyDescent="0.25"/>
    <row r="285782" customFormat="1" x14ac:dyDescent="0.25"/>
    <row r="285783" customFormat="1" x14ac:dyDescent="0.25"/>
    <row r="285784" customFormat="1" x14ac:dyDescent="0.25"/>
    <row r="285785" customFormat="1" x14ac:dyDescent="0.25"/>
    <row r="285786" customFormat="1" x14ac:dyDescent="0.25"/>
    <row r="285787" customFormat="1" x14ac:dyDescent="0.25"/>
    <row r="285788" customFormat="1" x14ac:dyDescent="0.25"/>
    <row r="285789" customFormat="1" x14ac:dyDescent="0.25"/>
    <row r="285790" customFormat="1" x14ac:dyDescent="0.25"/>
    <row r="285791" customFormat="1" x14ac:dyDescent="0.25"/>
    <row r="285792" customFormat="1" x14ac:dyDescent="0.25"/>
    <row r="285793" customFormat="1" x14ac:dyDescent="0.25"/>
    <row r="285794" customFormat="1" x14ac:dyDescent="0.25"/>
    <row r="285795" customFormat="1" x14ac:dyDescent="0.25"/>
    <row r="285796" customFormat="1" x14ac:dyDescent="0.25"/>
    <row r="285797" customFormat="1" x14ac:dyDescent="0.25"/>
    <row r="285798" customFormat="1" x14ac:dyDescent="0.25"/>
    <row r="285799" customFormat="1" x14ac:dyDescent="0.25"/>
    <row r="285800" customFormat="1" x14ac:dyDescent="0.25"/>
    <row r="285801" customFormat="1" x14ac:dyDescent="0.25"/>
    <row r="285802" customFormat="1" x14ac:dyDescent="0.25"/>
    <row r="285803" customFormat="1" x14ac:dyDescent="0.25"/>
    <row r="285804" customFormat="1" x14ac:dyDescent="0.25"/>
    <row r="285805" customFormat="1" x14ac:dyDescent="0.25"/>
    <row r="285806" customFormat="1" x14ac:dyDescent="0.25"/>
    <row r="285807" customFormat="1" x14ac:dyDescent="0.25"/>
    <row r="285808" customFormat="1" x14ac:dyDescent="0.25"/>
    <row r="285809" customFormat="1" x14ac:dyDescent="0.25"/>
    <row r="285810" customFormat="1" x14ac:dyDescent="0.25"/>
    <row r="285811" customFormat="1" x14ac:dyDescent="0.25"/>
    <row r="285812" customFormat="1" x14ac:dyDescent="0.25"/>
    <row r="285813" customFormat="1" x14ac:dyDescent="0.25"/>
    <row r="285814" customFormat="1" x14ac:dyDescent="0.25"/>
    <row r="285815" customFormat="1" x14ac:dyDescent="0.25"/>
    <row r="285816" customFormat="1" x14ac:dyDescent="0.25"/>
    <row r="285817" customFormat="1" x14ac:dyDescent="0.25"/>
    <row r="285818" customFormat="1" x14ac:dyDescent="0.25"/>
    <row r="285819" customFormat="1" x14ac:dyDescent="0.25"/>
    <row r="285820" customFormat="1" x14ac:dyDescent="0.25"/>
    <row r="285821" customFormat="1" x14ac:dyDescent="0.25"/>
    <row r="285822" customFormat="1" x14ac:dyDescent="0.25"/>
    <row r="285823" customFormat="1" x14ac:dyDescent="0.25"/>
    <row r="285824" customFormat="1" x14ac:dyDescent="0.25"/>
    <row r="285825" customFormat="1" x14ac:dyDescent="0.25"/>
    <row r="285826" customFormat="1" x14ac:dyDescent="0.25"/>
    <row r="285827" customFormat="1" x14ac:dyDescent="0.25"/>
    <row r="285828" customFormat="1" x14ac:dyDescent="0.25"/>
    <row r="285829" customFormat="1" x14ac:dyDescent="0.25"/>
    <row r="285830" customFormat="1" x14ac:dyDescent="0.25"/>
    <row r="285831" customFormat="1" x14ac:dyDescent="0.25"/>
    <row r="285832" customFormat="1" x14ac:dyDescent="0.25"/>
    <row r="285833" customFormat="1" x14ac:dyDescent="0.25"/>
    <row r="285834" customFormat="1" x14ac:dyDescent="0.25"/>
    <row r="285835" customFormat="1" x14ac:dyDescent="0.25"/>
    <row r="285836" customFormat="1" x14ac:dyDescent="0.25"/>
    <row r="285837" customFormat="1" x14ac:dyDescent="0.25"/>
    <row r="285838" customFormat="1" x14ac:dyDescent="0.25"/>
    <row r="285839" customFormat="1" x14ac:dyDescent="0.25"/>
    <row r="285840" customFormat="1" x14ac:dyDescent="0.25"/>
    <row r="285841" customFormat="1" x14ac:dyDescent="0.25"/>
    <row r="285842" customFormat="1" x14ac:dyDescent="0.25"/>
    <row r="285843" customFormat="1" x14ac:dyDescent="0.25"/>
    <row r="285844" customFormat="1" x14ac:dyDescent="0.25"/>
    <row r="285845" customFormat="1" x14ac:dyDescent="0.25"/>
    <row r="285846" customFormat="1" x14ac:dyDescent="0.25"/>
    <row r="285847" customFormat="1" x14ac:dyDescent="0.25"/>
    <row r="285848" customFormat="1" x14ac:dyDescent="0.25"/>
    <row r="285849" customFormat="1" x14ac:dyDescent="0.25"/>
    <row r="285850" customFormat="1" x14ac:dyDescent="0.25"/>
    <row r="285851" customFormat="1" x14ac:dyDescent="0.25"/>
    <row r="285852" customFormat="1" x14ac:dyDescent="0.25"/>
    <row r="285853" customFormat="1" x14ac:dyDescent="0.25"/>
    <row r="285854" customFormat="1" x14ac:dyDescent="0.25"/>
    <row r="285855" customFormat="1" x14ac:dyDescent="0.25"/>
    <row r="285856" customFormat="1" x14ac:dyDescent="0.25"/>
    <row r="285857" customFormat="1" x14ac:dyDescent="0.25"/>
    <row r="285858" customFormat="1" x14ac:dyDescent="0.25"/>
    <row r="285859" customFormat="1" x14ac:dyDescent="0.25"/>
    <row r="285860" customFormat="1" x14ac:dyDescent="0.25"/>
    <row r="285861" customFormat="1" x14ac:dyDescent="0.25"/>
    <row r="285862" customFormat="1" x14ac:dyDescent="0.25"/>
    <row r="285863" customFormat="1" x14ac:dyDescent="0.25"/>
    <row r="285864" customFormat="1" x14ac:dyDescent="0.25"/>
    <row r="285865" customFormat="1" x14ac:dyDescent="0.25"/>
    <row r="285866" customFormat="1" x14ac:dyDescent="0.25"/>
    <row r="285867" customFormat="1" x14ac:dyDescent="0.25"/>
    <row r="285868" customFormat="1" x14ac:dyDescent="0.25"/>
    <row r="285869" customFormat="1" x14ac:dyDescent="0.25"/>
    <row r="285870" customFormat="1" x14ac:dyDescent="0.25"/>
    <row r="285871" customFormat="1" x14ac:dyDescent="0.25"/>
    <row r="285872" customFormat="1" x14ac:dyDescent="0.25"/>
    <row r="285873" customFormat="1" x14ac:dyDescent="0.25"/>
    <row r="285874" customFormat="1" x14ac:dyDescent="0.25"/>
    <row r="285875" customFormat="1" x14ac:dyDescent="0.25"/>
    <row r="285876" customFormat="1" x14ac:dyDescent="0.25"/>
    <row r="285877" customFormat="1" x14ac:dyDescent="0.25"/>
    <row r="285878" customFormat="1" x14ac:dyDescent="0.25"/>
    <row r="285879" customFormat="1" x14ac:dyDescent="0.25"/>
    <row r="285880" customFormat="1" x14ac:dyDescent="0.25"/>
    <row r="285881" customFormat="1" x14ac:dyDescent="0.25"/>
    <row r="285882" customFormat="1" x14ac:dyDescent="0.25"/>
    <row r="285883" customFormat="1" x14ac:dyDescent="0.25"/>
    <row r="285884" customFormat="1" x14ac:dyDescent="0.25"/>
    <row r="285885" customFormat="1" x14ac:dyDescent="0.25"/>
    <row r="285886" customFormat="1" x14ac:dyDescent="0.25"/>
    <row r="285887" customFormat="1" x14ac:dyDescent="0.25"/>
    <row r="285888" customFormat="1" x14ac:dyDescent="0.25"/>
    <row r="285889" customFormat="1" x14ac:dyDescent="0.25"/>
    <row r="285890" customFormat="1" x14ac:dyDescent="0.25"/>
    <row r="285891" customFormat="1" x14ac:dyDescent="0.25"/>
    <row r="285892" customFormat="1" x14ac:dyDescent="0.25"/>
    <row r="285893" customFormat="1" x14ac:dyDescent="0.25"/>
    <row r="285894" customFormat="1" x14ac:dyDescent="0.25"/>
    <row r="285895" customFormat="1" x14ac:dyDescent="0.25"/>
    <row r="285896" customFormat="1" x14ac:dyDescent="0.25"/>
    <row r="285897" customFormat="1" x14ac:dyDescent="0.25"/>
    <row r="285898" customFormat="1" x14ac:dyDescent="0.25"/>
    <row r="285899" customFormat="1" x14ac:dyDescent="0.25"/>
    <row r="285900" customFormat="1" x14ac:dyDescent="0.25"/>
    <row r="285901" customFormat="1" x14ac:dyDescent="0.25"/>
    <row r="285902" customFormat="1" x14ac:dyDescent="0.25"/>
    <row r="285903" customFormat="1" x14ac:dyDescent="0.25"/>
    <row r="285904" customFormat="1" x14ac:dyDescent="0.25"/>
    <row r="285905" customFormat="1" x14ac:dyDescent="0.25"/>
    <row r="285906" customFormat="1" x14ac:dyDescent="0.25"/>
    <row r="285907" customFormat="1" x14ac:dyDescent="0.25"/>
    <row r="285908" customFormat="1" x14ac:dyDescent="0.25"/>
    <row r="285909" customFormat="1" x14ac:dyDescent="0.25"/>
    <row r="285910" customFormat="1" x14ac:dyDescent="0.25"/>
    <row r="285911" customFormat="1" x14ac:dyDescent="0.25"/>
    <row r="285912" customFormat="1" x14ac:dyDescent="0.25"/>
    <row r="285913" customFormat="1" x14ac:dyDescent="0.25"/>
    <row r="285914" customFormat="1" x14ac:dyDescent="0.25"/>
    <row r="285915" customFormat="1" x14ac:dyDescent="0.25"/>
    <row r="285916" customFormat="1" x14ac:dyDescent="0.25"/>
    <row r="285917" customFormat="1" x14ac:dyDescent="0.25"/>
    <row r="285918" customFormat="1" x14ac:dyDescent="0.25"/>
    <row r="285919" customFormat="1" x14ac:dyDescent="0.25"/>
    <row r="285920" customFormat="1" x14ac:dyDescent="0.25"/>
    <row r="285921" customFormat="1" x14ac:dyDescent="0.25"/>
    <row r="285922" customFormat="1" x14ac:dyDescent="0.25"/>
    <row r="285923" customFormat="1" x14ac:dyDescent="0.25"/>
    <row r="285924" customFormat="1" x14ac:dyDescent="0.25"/>
    <row r="285925" customFormat="1" x14ac:dyDescent="0.25"/>
    <row r="285926" customFormat="1" x14ac:dyDescent="0.25"/>
    <row r="285927" customFormat="1" x14ac:dyDescent="0.25"/>
    <row r="285928" customFormat="1" x14ac:dyDescent="0.25"/>
    <row r="285929" customFormat="1" x14ac:dyDescent="0.25"/>
    <row r="285930" customFormat="1" x14ac:dyDescent="0.25"/>
    <row r="285931" customFormat="1" x14ac:dyDescent="0.25"/>
    <row r="285932" customFormat="1" x14ac:dyDescent="0.25"/>
    <row r="285933" customFormat="1" x14ac:dyDescent="0.25"/>
    <row r="285934" customFormat="1" x14ac:dyDescent="0.25"/>
    <row r="285935" customFormat="1" x14ac:dyDescent="0.25"/>
    <row r="285936" customFormat="1" x14ac:dyDescent="0.25"/>
    <row r="285937" customFormat="1" x14ac:dyDescent="0.25"/>
    <row r="285938" customFormat="1" x14ac:dyDescent="0.25"/>
    <row r="285939" customFormat="1" x14ac:dyDescent="0.25"/>
    <row r="285940" customFormat="1" x14ac:dyDescent="0.25"/>
    <row r="285941" customFormat="1" x14ac:dyDescent="0.25"/>
    <row r="285942" customFormat="1" x14ac:dyDescent="0.25"/>
    <row r="285943" customFormat="1" x14ac:dyDescent="0.25"/>
    <row r="285944" customFormat="1" x14ac:dyDescent="0.25"/>
    <row r="285945" customFormat="1" x14ac:dyDescent="0.25"/>
    <row r="285946" customFormat="1" x14ac:dyDescent="0.25"/>
    <row r="285947" customFormat="1" x14ac:dyDescent="0.25"/>
    <row r="285948" customFormat="1" x14ac:dyDescent="0.25"/>
    <row r="285949" customFormat="1" x14ac:dyDescent="0.25"/>
    <row r="285950" customFormat="1" x14ac:dyDescent="0.25"/>
    <row r="285951" customFormat="1" x14ac:dyDescent="0.25"/>
    <row r="285952" customFormat="1" x14ac:dyDescent="0.25"/>
    <row r="285953" customFormat="1" x14ac:dyDescent="0.25"/>
    <row r="285954" customFormat="1" x14ac:dyDescent="0.25"/>
    <row r="285955" customFormat="1" x14ac:dyDescent="0.25"/>
    <row r="285956" customFormat="1" x14ac:dyDescent="0.25"/>
    <row r="285957" customFormat="1" x14ac:dyDescent="0.25"/>
    <row r="285958" customFormat="1" x14ac:dyDescent="0.25"/>
    <row r="285959" customFormat="1" x14ac:dyDescent="0.25"/>
    <row r="285960" customFormat="1" x14ac:dyDescent="0.25"/>
    <row r="285961" customFormat="1" x14ac:dyDescent="0.25"/>
    <row r="285962" customFormat="1" x14ac:dyDescent="0.25"/>
    <row r="285963" customFormat="1" x14ac:dyDescent="0.25"/>
    <row r="285964" customFormat="1" x14ac:dyDescent="0.25"/>
    <row r="285965" customFormat="1" x14ac:dyDescent="0.25"/>
    <row r="285966" customFormat="1" x14ac:dyDescent="0.25"/>
    <row r="285967" customFormat="1" x14ac:dyDescent="0.25"/>
    <row r="285968" customFormat="1" x14ac:dyDescent="0.25"/>
    <row r="285969" customFormat="1" x14ac:dyDescent="0.25"/>
    <row r="285970" customFormat="1" x14ac:dyDescent="0.25"/>
    <row r="285971" customFormat="1" x14ac:dyDescent="0.25"/>
    <row r="285972" customFormat="1" x14ac:dyDescent="0.25"/>
    <row r="285973" customFormat="1" x14ac:dyDescent="0.25"/>
    <row r="285974" customFormat="1" x14ac:dyDescent="0.25"/>
    <row r="285975" customFormat="1" x14ac:dyDescent="0.25"/>
    <row r="285976" customFormat="1" x14ac:dyDescent="0.25"/>
    <row r="285977" customFormat="1" x14ac:dyDescent="0.25"/>
    <row r="285978" customFormat="1" x14ac:dyDescent="0.25"/>
    <row r="285979" customFormat="1" x14ac:dyDescent="0.25"/>
    <row r="285980" customFormat="1" x14ac:dyDescent="0.25"/>
    <row r="285981" customFormat="1" x14ac:dyDescent="0.25"/>
    <row r="285982" customFormat="1" x14ac:dyDescent="0.25"/>
    <row r="285983" customFormat="1" x14ac:dyDescent="0.25"/>
    <row r="285984" customFormat="1" x14ac:dyDescent="0.25"/>
    <row r="285985" customFormat="1" x14ac:dyDescent="0.25"/>
    <row r="285986" customFormat="1" x14ac:dyDescent="0.25"/>
    <row r="285987" customFormat="1" x14ac:dyDescent="0.25"/>
    <row r="285988" customFormat="1" x14ac:dyDescent="0.25"/>
    <row r="285989" customFormat="1" x14ac:dyDescent="0.25"/>
    <row r="285990" customFormat="1" x14ac:dyDescent="0.25"/>
    <row r="285991" customFormat="1" x14ac:dyDescent="0.25"/>
    <row r="285992" customFormat="1" x14ac:dyDescent="0.25"/>
    <row r="285993" customFormat="1" x14ac:dyDescent="0.25"/>
    <row r="285994" customFormat="1" x14ac:dyDescent="0.25"/>
    <row r="285995" customFormat="1" x14ac:dyDescent="0.25"/>
    <row r="285996" customFormat="1" x14ac:dyDescent="0.25"/>
    <row r="285997" customFormat="1" x14ac:dyDescent="0.25"/>
    <row r="285998" customFormat="1" x14ac:dyDescent="0.25"/>
    <row r="285999" customFormat="1" x14ac:dyDescent="0.25"/>
    <row r="286000" customFormat="1" x14ac:dyDescent="0.25"/>
    <row r="286001" customFormat="1" x14ac:dyDescent="0.25"/>
    <row r="286002" customFormat="1" x14ac:dyDescent="0.25"/>
    <row r="286003" customFormat="1" x14ac:dyDescent="0.25"/>
    <row r="286004" customFormat="1" x14ac:dyDescent="0.25"/>
    <row r="286005" customFormat="1" x14ac:dyDescent="0.25"/>
    <row r="286006" customFormat="1" x14ac:dyDescent="0.25"/>
    <row r="286007" customFormat="1" x14ac:dyDescent="0.25"/>
    <row r="286008" customFormat="1" x14ac:dyDescent="0.25"/>
    <row r="286009" customFormat="1" x14ac:dyDescent="0.25"/>
    <row r="286010" customFormat="1" x14ac:dyDescent="0.25"/>
    <row r="286011" customFormat="1" x14ac:dyDescent="0.25"/>
    <row r="286012" customFormat="1" x14ac:dyDescent="0.25"/>
    <row r="286013" customFormat="1" x14ac:dyDescent="0.25"/>
    <row r="286014" customFormat="1" x14ac:dyDescent="0.25"/>
    <row r="286015" customFormat="1" x14ac:dyDescent="0.25"/>
    <row r="286016" customFormat="1" x14ac:dyDescent="0.25"/>
    <row r="286017" customFormat="1" x14ac:dyDescent="0.25"/>
    <row r="286018" customFormat="1" x14ac:dyDescent="0.25"/>
    <row r="286019" customFormat="1" x14ac:dyDescent="0.25"/>
    <row r="286020" customFormat="1" x14ac:dyDescent="0.25"/>
    <row r="286021" customFormat="1" x14ac:dyDescent="0.25"/>
    <row r="286022" customFormat="1" x14ac:dyDescent="0.25"/>
    <row r="286023" customFormat="1" x14ac:dyDescent="0.25"/>
    <row r="286024" customFormat="1" x14ac:dyDescent="0.25"/>
    <row r="286025" customFormat="1" x14ac:dyDescent="0.25"/>
    <row r="286026" customFormat="1" x14ac:dyDescent="0.25"/>
    <row r="286027" customFormat="1" x14ac:dyDescent="0.25"/>
    <row r="286028" customFormat="1" x14ac:dyDescent="0.25"/>
    <row r="286029" customFormat="1" x14ac:dyDescent="0.25"/>
    <row r="286030" customFormat="1" x14ac:dyDescent="0.25"/>
    <row r="286031" customFormat="1" x14ac:dyDescent="0.25"/>
    <row r="286032" customFormat="1" x14ac:dyDescent="0.25"/>
    <row r="286033" customFormat="1" x14ac:dyDescent="0.25"/>
    <row r="286034" customFormat="1" x14ac:dyDescent="0.25"/>
    <row r="286035" customFormat="1" x14ac:dyDescent="0.25"/>
    <row r="286036" customFormat="1" x14ac:dyDescent="0.25"/>
    <row r="286037" customFormat="1" x14ac:dyDescent="0.25"/>
    <row r="286038" customFormat="1" x14ac:dyDescent="0.25"/>
    <row r="286039" customFormat="1" x14ac:dyDescent="0.25"/>
    <row r="286040" customFormat="1" x14ac:dyDescent="0.25"/>
    <row r="286041" customFormat="1" x14ac:dyDescent="0.25"/>
    <row r="286042" customFormat="1" x14ac:dyDescent="0.25"/>
    <row r="286043" customFormat="1" x14ac:dyDescent="0.25"/>
    <row r="286044" customFormat="1" x14ac:dyDescent="0.25"/>
    <row r="286045" customFormat="1" x14ac:dyDescent="0.25"/>
    <row r="286046" customFormat="1" x14ac:dyDescent="0.25"/>
    <row r="286047" customFormat="1" x14ac:dyDescent="0.25"/>
    <row r="286048" customFormat="1" x14ac:dyDescent="0.25"/>
    <row r="286049" customFormat="1" x14ac:dyDescent="0.25"/>
    <row r="286050" customFormat="1" x14ac:dyDescent="0.25"/>
    <row r="286051" customFormat="1" x14ac:dyDescent="0.25"/>
    <row r="286052" customFormat="1" x14ac:dyDescent="0.25"/>
    <row r="286053" customFormat="1" x14ac:dyDescent="0.25"/>
    <row r="286054" customFormat="1" x14ac:dyDescent="0.25"/>
    <row r="286055" customFormat="1" x14ac:dyDescent="0.25"/>
    <row r="286056" customFormat="1" x14ac:dyDescent="0.25"/>
    <row r="286057" customFormat="1" x14ac:dyDescent="0.25"/>
    <row r="286058" customFormat="1" x14ac:dyDescent="0.25"/>
    <row r="286059" customFormat="1" x14ac:dyDescent="0.25"/>
    <row r="286060" customFormat="1" x14ac:dyDescent="0.25"/>
    <row r="286061" customFormat="1" x14ac:dyDescent="0.25"/>
    <row r="286062" customFormat="1" x14ac:dyDescent="0.25"/>
    <row r="286063" customFormat="1" x14ac:dyDescent="0.25"/>
    <row r="286064" customFormat="1" x14ac:dyDescent="0.25"/>
    <row r="286065" customFormat="1" x14ac:dyDescent="0.25"/>
    <row r="286066" customFormat="1" x14ac:dyDescent="0.25"/>
    <row r="286067" customFormat="1" x14ac:dyDescent="0.25"/>
    <row r="286068" customFormat="1" x14ac:dyDescent="0.25"/>
    <row r="286069" customFormat="1" x14ac:dyDescent="0.25"/>
    <row r="286070" customFormat="1" x14ac:dyDescent="0.25"/>
    <row r="286071" customFormat="1" x14ac:dyDescent="0.25"/>
    <row r="286072" customFormat="1" x14ac:dyDescent="0.25"/>
    <row r="286073" customFormat="1" x14ac:dyDescent="0.25"/>
    <row r="286074" customFormat="1" x14ac:dyDescent="0.25"/>
    <row r="286075" customFormat="1" x14ac:dyDescent="0.25"/>
    <row r="286076" customFormat="1" x14ac:dyDescent="0.25"/>
    <row r="286077" customFormat="1" x14ac:dyDescent="0.25"/>
    <row r="286078" customFormat="1" x14ac:dyDescent="0.25"/>
    <row r="286079" customFormat="1" x14ac:dyDescent="0.25"/>
    <row r="286080" customFormat="1" x14ac:dyDescent="0.25"/>
    <row r="286081" customFormat="1" x14ac:dyDescent="0.25"/>
    <row r="286082" customFormat="1" x14ac:dyDescent="0.25"/>
    <row r="286083" customFormat="1" x14ac:dyDescent="0.25"/>
    <row r="286084" customFormat="1" x14ac:dyDescent="0.25"/>
    <row r="286085" customFormat="1" x14ac:dyDescent="0.25"/>
    <row r="286086" customFormat="1" x14ac:dyDescent="0.25"/>
    <row r="286087" customFormat="1" x14ac:dyDescent="0.25"/>
    <row r="286088" customFormat="1" x14ac:dyDescent="0.25"/>
    <row r="286089" customFormat="1" x14ac:dyDescent="0.25"/>
    <row r="286090" customFormat="1" x14ac:dyDescent="0.25"/>
    <row r="286091" customFormat="1" x14ac:dyDescent="0.25"/>
    <row r="286092" customFormat="1" x14ac:dyDescent="0.25"/>
    <row r="286093" customFormat="1" x14ac:dyDescent="0.25"/>
    <row r="286094" customFormat="1" x14ac:dyDescent="0.25"/>
    <row r="286095" customFormat="1" x14ac:dyDescent="0.25"/>
    <row r="286096" customFormat="1" x14ac:dyDescent="0.25"/>
    <row r="286097" customFormat="1" x14ac:dyDescent="0.25"/>
    <row r="286098" customFormat="1" x14ac:dyDescent="0.25"/>
    <row r="286099" customFormat="1" x14ac:dyDescent="0.25"/>
    <row r="286100" customFormat="1" x14ac:dyDescent="0.25"/>
    <row r="286101" customFormat="1" x14ac:dyDescent="0.25"/>
    <row r="286102" customFormat="1" x14ac:dyDescent="0.25"/>
    <row r="286103" customFormat="1" x14ac:dyDescent="0.25"/>
    <row r="286104" customFormat="1" x14ac:dyDescent="0.25"/>
    <row r="286105" customFormat="1" x14ac:dyDescent="0.25"/>
    <row r="286106" customFormat="1" x14ac:dyDescent="0.25"/>
    <row r="286107" customFormat="1" x14ac:dyDescent="0.25"/>
    <row r="286108" customFormat="1" x14ac:dyDescent="0.25"/>
    <row r="286109" customFormat="1" x14ac:dyDescent="0.25"/>
    <row r="286110" customFormat="1" x14ac:dyDescent="0.25"/>
    <row r="286111" customFormat="1" x14ac:dyDescent="0.25"/>
    <row r="286112" customFormat="1" x14ac:dyDescent="0.25"/>
    <row r="286113" customFormat="1" x14ac:dyDescent="0.25"/>
    <row r="286114" customFormat="1" x14ac:dyDescent="0.25"/>
    <row r="286115" customFormat="1" x14ac:dyDescent="0.25"/>
    <row r="286116" customFormat="1" x14ac:dyDescent="0.25"/>
    <row r="286117" customFormat="1" x14ac:dyDescent="0.25"/>
    <row r="286118" customFormat="1" x14ac:dyDescent="0.25"/>
    <row r="286119" customFormat="1" x14ac:dyDescent="0.25"/>
    <row r="286120" customFormat="1" x14ac:dyDescent="0.25"/>
    <row r="286121" customFormat="1" x14ac:dyDescent="0.25"/>
    <row r="286122" customFormat="1" x14ac:dyDescent="0.25"/>
    <row r="286123" customFormat="1" x14ac:dyDescent="0.25"/>
    <row r="286124" customFormat="1" x14ac:dyDescent="0.25"/>
    <row r="286125" customFormat="1" x14ac:dyDescent="0.25"/>
    <row r="286126" customFormat="1" x14ac:dyDescent="0.25"/>
    <row r="286127" customFormat="1" x14ac:dyDescent="0.25"/>
    <row r="286128" customFormat="1" x14ac:dyDescent="0.25"/>
    <row r="286129" customFormat="1" x14ac:dyDescent="0.25"/>
    <row r="286130" customFormat="1" x14ac:dyDescent="0.25"/>
    <row r="286131" customFormat="1" x14ac:dyDescent="0.25"/>
    <row r="286132" customFormat="1" x14ac:dyDescent="0.25"/>
    <row r="286133" customFormat="1" x14ac:dyDescent="0.25"/>
    <row r="286134" customFormat="1" x14ac:dyDescent="0.25"/>
    <row r="286135" customFormat="1" x14ac:dyDescent="0.25"/>
    <row r="286136" customFormat="1" x14ac:dyDescent="0.25"/>
    <row r="286137" customFormat="1" x14ac:dyDescent="0.25"/>
    <row r="286138" customFormat="1" x14ac:dyDescent="0.25"/>
    <row r="286139" customFormat="1" x14ac:dyDescent="0.25"/>
    <row r="286140" customFormat="1" x14ac:dyDescent="0.25"/>
    <row r="286141" customFormat="1" x14ac:dyDescent="0.25"/>
    <row r="286142" customFormat="1" x14ac:dyDescent="0.25"/>
    <row r="286143" customFormat="1" x14ac:dyDescent="0.25"/>
    <row r="286144" customFormat="1" x14ac:dyDescent="0.25"/>
    <row r="286145" customFormat="1" x14ac:dyDescent="0.25"/>
    <row r="286146" customFormat="1" x14ac:dyDescent="0.25"/>
    <row r="286147" customFormat="1" x14ac:dyDescent="0.25"/>
    <row r="286148" customFormat="1" x14ac:dyDescent="0.25"/>
    <row r="286149" customFormat="1" x14ac:dyDescent="0.25"/>
    <row r="286150" customFormat="1" x14ac:dyDescent="0.25"/>
    <row r="286151" customFormat="1" x14ac:dyDescent="0.25"/>
    <row r="286152" customFormat="1" x14ac:dyDescent="0.25"/>
    <row r="286153" customFormat="1" x14ac:dyDescent="0.25"/>
    <row r="286154" customFormat="1" x14ac:dyDescent="0.25"/>
    <row r="286155" customFormat="1" x14ac:dyDescent="0.25"/>
    <row r="286156" customFormat="1" x14ac:dyDescent="0.25"/>
    <row r="286157" customFormat="1" x14ac:dyDescent="0.25"/>
    <row r="286158" customFormat="1" x14ac:dyDescent="0.25"/>
    <row r="286159" customFormat="1" x14ac:dyDescent="0.25"/>
    <row r="286160" customFormat="1" x14ac:dyDescent="0.25"/>
    <row r="286161" customFormat="1" x14ac:dyDescent="0.25"/>
    <row r="286162" customFormat="1" x14ac:dyDescent="0.25"/>
    <row r="286163" customFormat="1" x14ac:dyDescent="0.25"/>
    <row r="286164" customFormat="1" x14ac:dyDescent="0.25"/>
    <row r="286165" customFormat="1" x14ac:dyDescent="0.25"/>
    <row r="286166" customFormat="1" x14ac:dyDescent="0.25"/>
    <row r="286167" customFormat="1" x14ac:dyDescent="0.25"/>
    <row r="286168" customFormat="1" x14ac:dyDescent="0.25"/>
    <row r="286169" customFormat="1" x14ac:dyDescent="0.25"/>
    <row r="286170" customFormat="1" x14ac:dyDescent="0.25"/>
    <row r="286171" customFormat="1" x14ac:dyDescent="0.25"/>
    <row r="286172" customFormat="1" x14ac:dyDescent="0.25"/>
    <row r="286173" customFormat="1" x14ac:dyDescent="0.25"/>
    <row r="286174" customFormat="1" x14ac:dyDescent="0.25"/>
    <row r="286175" customFormat="1" x14ac:dyDescent="0.25"/>
    <row r="286176" customFormat="1" x14ac:dyDescent="0.25"/>
    <row r="286177" customFormat="1" x14ac:dyDescent="0.25"/>
    <row r="286178" customFormat="1" x14ac:dyDescent="0.25"/>
    <row r="286179" customFormat="1" x14ac:dyDescent="0.25"/>
    <row r="286180" customFormat="1" x14ac:dyDescent="0.25"/>
    <row r="286181" customFormat="1" x14ac:dyDescent="0.25"/>
    <row r="286182" customFormat="1" x14ac:dyDescent="0.25"/>
    <row r="286183" customFormat="1" x14ac:dyDescent="0.25"/>
    <row r="286184" customFormat="1" x14ac:dyDescent="0.25"/>
    <row r="286185" customFormat="1" x14ac:dyDescent="0.25"/>
    <row r="286186" customFormat="1" x14ac:dyDescent="0.25"/>
    <row r="286187" customFormat="1" x14ac:dyDescent="0.25"/>
    <row r="286188" customFormat="1" x14ac:dyDescent="0.25"/>
    <row r="286189" customFormat="1" x14ac:dyDescent="0.25"/>
    <row r="286190" customFormat="1" x14ac:dyDescent="0.25"/>
    <row r="286191" customFormat="1" x14ac:dyDescent="0.25"/>
    <row r="286192" customFormat="1" x14ac:dyDescent="0.25"/>
    <row r="286193" customFormat="1" x14ac:dyDescent="0.25"/>
    <row r="286194" customFormat="1" x14ac:dyDescent="0.25"/>
    <row r="286195" customFormat="1" x14ac:dyDescent="0.25"/>
    <row r="286196" customFormat="1" x14ac:dyDescent="0.25"/>
    <row r="286197" customFormat="1" x14ac:dyDescent="0.25"/>
    <row r="286198" customFormat="1" x14ac:dyDescent="0.25"/>
    <row r="286199" customFormat="1" x14ac:dyDescent="0.25"/>
    <row r="286200" customFormat="1" x14ac:dyDescent="0.25"/>
    <row r="286201" customFormat="1" x14ac:dyDescent="0.25"/>
    <row r="286202" customFormat="1" x14ac:dyDescent="0.25"/>
    <row r="286203" customFormat="1" x14ac:dyDescent="0.25"/>
    <row r="286204" customFormat="1" x14ac:dyDescent="0.25"/>
    <row r="286205" customFormat="1" x14ac:dyDescent="0.25"/>
    <row r="286206" customFormat="1" x14ac:dyDescent="0.25"/>
    <row r="286207" customFormat="1" x14ac:dyDescent="0.25"/>
    <row r="286208" customFormat="1" x14ac:dyDescent="0.25"/>
    <row r="286209" customFormat="1" x14ac:dyDescent="0.25"/>
    <row r="286210" customFormat="1" x14ac:dyDescent="0.25"/>
    <row r="286211" customFormat="1" x14ac:dyDescent="0.25"/>
    <row r="286212" customFormat="1" x14ac:dyDescent="0.25"/>
    <row r="286213" customFormat="1" x14ac:dyDescent="0.25"/>
    <row r="286214" customFormat="1" x14ac:dyDescent="0.25"/>
    <row r="286215" customFormat="1" x14ac:dyDescent="0.25"/>
    <row r="286216" customFormat="1" x14ac:dyDescent="0.25"/>
    <row r="286217" customFormat="1" x14ac:dyDescent="0.25"/>
    <row r="286218" customFormat="1" x14ac:dyDescent="0.25"/>
    <row r="286219" customFormat="1" x14ac:dyDescent="0.25"/>
    <row r="286220" customFormat="1" x14ac:dyDescent="0.25"/>
    <row r="286221" customFormat="1" x14ac:dyDescent="0.25"/>
    <row r="286222" customFormat="1" x14ac:dyDescent="0.25"/>
    <row r="286223" customFormat="1" x14ac:dyDescent="0.25"/>
    <row r="286224" customFormat="1" x14ac:dyDescent="0.25"/>
    <row r="286225" customFormat="1" x14ac:dyDescent="0.25"/>
    <row r="286226" customFormat="1" x14ac:dyDescent="0.25"/>
    <row r="286227" customFormat="1" x14ac:dyDescent="0.25"/>
    <row r="286228" customFormat="1" x14ac:dyDescent="0.25"/>
    <row r="286229" customFormat="1" x14ac:dyDescent="0.25"/>
    <row r="286230" customFormat="1" x14ac:dyDescent="0.25"/>
    <row r="286231" customFormat="1" x14ac:dyDescent="0.25"/>
    <row r="286232" customFormat="1" x14ac:dyDescent="0.25"/>
    <row r="286233" customFormat="1" x14ac:dyDescent="0.25"/>
    <row r="286234" customFormat="1" x14ac:dyDescent="0.25"/>
    <row r="286235" customFormat="1" x14ac:dyDescent="0.25"/>
    <row r="286236" customFormat="1" x14ac:dyDescent="0.25"/>
    <row r="286237" customFormat="1" x14ac:dyDescent="0.25"/>
    <row r="286238" customFormat="1" x14ac:dyDescent="0.25"/>
    <row r="286239" customFormat="1" x14ac:dyDescent="0.25"/>
    <row r="286240" customFormat="1" x14ac:dyDescent="0.25"/>
    <row r="286241" customFormat="1" x14ac:dyDescent="0.25"/>
    <row r="286242" customFormat="1" x14ac:dyDescent="0.25"/>
    <row r="286243" customFormat="1" x14ac:dyDescent="0.25"/>
    <row r="286244" customFormat="1" x14ac:dyDescent="0.25"/>
    <row r="286245" customFormat="1" x14ac:dyDescent="0.25"/>
    <row r="286246" customFormat="1" x14ac:dyDescent="0.25"/>
    <row r="286247" customFormat="1" x14ac:dyDescent="0.25"/>
    <row r="286248" customFormat="1" x14ac:dyDescent="0.25"/>
    <row r="286249" customFormat="1" x14ac:dyDescent="0.25"/>
    <row r="286250" customFormat="1" x14ac:dyDescent="0.25"/>
    <row r="286251" customFormat="1" x14ac:dyDescent="0.25"/>
    <row r="286252" customFormat="1" x14ac:dyDescent="0.25"/>
    <row r="286253" customFormat="1" x14ac:dyDescent="0.25"/>
    <row r="286254" customFormat="1" x14ac:dyDescent="0.25"/>
    <row r="286255" customFormat="1" x14ac:dyDescent="0.25"/>
    <row r="286256" customFormat="1" x14ac:dyDescent="0.25"/>
    <row r="286257" customFormat="1" x14ac:dyDescent="0.25"/>
    <row r="286258" customFormat="1" x14ac:dyDescent="0.25"/>
    <row r="286259" customFormat="1" x14ac:dyDescent="0.25"/>
    <row r="286260" customFormat="1" x14ac:dyDescent="0.25"/>
    <row r="286261" customFormat="1" x14ac:dyDescent="0.25"/>
    <row r="286262" customFormat="1" x14ac:dyDescent="0.25"/>
    <row r="286263" customFormat="1" x14ac:dyDescent="0.25"/>
    <row r="286264" customFormat="1" x14ac:dyDescent="0.25"/>
    <row r="286265" customFormat="1" x14ac:dyDescent="0.25"/>
    <row r="286266" customFormat="1" x14ac:dyDescent="0.25"/>
    <row r="286267" customFormat="1" x14ac:dyDescent="0.25"/>
    <row r="286268" customFormat="1" x14ac:dyDescent="0.25"/>
    <row r="286269" customFormat="1" x14ac:dyDescent="0.25"/>
    <row r="286270" customFormat="1" x14ac:dyDescent="0.25"/>
    <row r="286271" customFormat="1" x14ac:dyDescent="0.25"/>
    <row r="286272" customFormat="1" x14ac:dyDescent="0.25"/>
    <row r="286273" customFormat="1" x14ac:dyDescent="0.25"/>
    <row r="286274" customFormat="1" x14ac:dyDescent="0.25"/>
    <row r="286275" customFormat="1" x14ac:dyDescent="0.25"/>
    <row r="286276" customFormat="1" x14ac:dyDescent="0.25"/>
    <row r="286277" customFormat="1" x14ac:dyDescent="0.25"/>
    <row r="286278" customFormat="1" x14ac:dyDescent="0.25"/>
    <row r="286279" customFormat="1" x14ac:dyDescent="0.25"/>
    <row r="286280" customFormat="1" x14ac:dyDescent="0.25"/>
    <row r="286281" customFormat="1" x14ac:dyDescent="0.25"/>
    <row r="286282" customFormat="1" x14ac:dyDescent="0.25"/>
    <row r="286283" customFormat="1" x14ac:dyDescent="0.25"/>
    <row r="286284" customFormat="1" x14ac:dyDescent="0.25"/>
    <row r="286285" customFormat="1" x14ac:dyDescent="0.25"/>
    <row r="286286" customFormat="1" x14ac:dyDescent="0.25"/>
    <row r="286287" customFormat="1" x14ac:dyDescent="0.25"/>
    <row r="286288" customFormat="1" x14ac:dyDescent="0.25"/>
    <row r="286289" customFormat="1" x14ac:dyDescent="0.25"/>
    <row r="286290" customFormat="1" x14ac:dyDescent="0.25"/>
    <row r="286291" customFormat="1" x14ac:dyDescent="0.25"/>
    <row r="286292" customFormat="1" x14ac:dyDescent="0.25"/>
    <row r="286293" customFormat="1" x14ac:dyDescent="0.25"/>
    <row r="286294" customFormat="1" x14ac:dyDescent="0.25"/>
    <row r="286295" customFormat="1" x14ac:dyDescent="0.25"/>
    <row r="286296" customFormat="1" x14ac:dyDescent="0.25"/>
    <row r="286297" customFormat="1" x14ac:dyDescent="0.25"/>
    <row r="286298" customFormat="1" x14ac:dyDescent="0.25"/>
    <row r="286299" customFormat="1" x14ac:dyDescent="0.25"/>
    <row r="286300" customFormat="1" x14ac:dyDescent="0.25"/>
    <row r="286301" customFormat="1" x14ac:dyDescent="0.25"/>
    <row r="286302" customFormat="1" x14ac:dyDescent="0.25"/>
    <row r="286303" customFormat="1" x14ac:dyDescent="0.25"/>
    <row r="286304" customFormat="1" x14ac:dyDescent="0.25"/>
    <row r="286305" customFormat="1" x14ac:dyDescent="0.25"/>
    <row r="286306" customFormat="1" x14ac:dyDescent="0.25"/>
    <row r="286307" customFormat="1" x14ac:dyDescent="0.25"/>
    <row r="286308" customFormat="1" x14ac:dyDescent="0.25"/>
    <row r="286309" customFormat="1" x14ac:dyDescent="0.25"/>
    <row r="286310" customFormat="1" x14ac:dyDescent="0.25"/>
    <row r="286311" customFormat="1" x14ac:dyDescent="0.25"/>
    <row r="286312" customFormat="1" x14ac:dyDescent="0.25"/>
    <row r="286313" customFormat="1" x14ac:dyDescent="0.25"/>
    <row r="286314" customFormat="1" x14ac:dyDescent="0.25"/>
    <row r="286315" customFormat="1" x14ac:dyDescent="0.25"/>
    <row r="286316" customFormat="1" x14ac:dyDescent="0.25"/>
    <row r="286317" customFormat="1" x14ac:dyDescent="0.25"/>
    <row r="286318" customFormat="1" x14ac:dyDescent="0.25"/>
    <row r="286319" customFormat="1" x14ac:dyDescent="0.25"/>
    <row r="286320" customFormat="1" x14ac:dyDescent="0.25"/>
    <row r="286321" customFormat="1" x14ac:dyDescent="0.25"/>
    <row r="286322" customFormat="1" x14ac:dyDescent="0.25"/>
    <row r="286323" customFormat="1" x14ac:dyDescent="0.25"/>
    <row r="286324" customFormat="1" x14ac:dyDescent="0.25"/>
    <row r="286325" customFormat="1" x14ac:dyDescent="0.25"/>
    <row r="286326" customFormat="1" x14ac:dyDescent="0.25"/>
    <row r="286327" customFormat="1" x14ac:dyDescent="0.25"/>
    <row r="286328" customFormat="1" x14ac:dyDescent="0.25"/>
    <row r="286329" customFormat="1" x14ac:dyDescent="0.25"/>
    <row r="286330" customFormat="1" x14ac:dyDescent="0.25"/>
    <row r="286331" customFormat="1" x14ac:dyDescent="0.25"/>
    <row r="286332" customFormat="1" x14ac:dyDescent="0.25"/>
    <row r="286333" customFormat="1" x14ac:dyDescent="0.25"/>
    <row r="286334" customFormat="1" x14ac:dyDescent="0.25"/>
    <row r="286335" customFormat="1" x14ac:dyDescent="0.25"/>
    <row r="286336" customFormat="1" x14ac:dyDescent="0.25"/>
    <row r="286337" customFormat="1" x14ac:dyDescent="0.25"/>
    <row r="286338" customFormat="1" x14ac:dyDescent="0.25"/>
    <row r="286339" customFormat="1" x14ac:dyDescent="0.25"/>
    <row r="286340" customFormat="1" x14ac:dyDescent="0.25"/>
    <row r="286341" customFormat="1" x14ac:dyDescent="0.25"/>
    <row r="286342" customFormat="1" x14ac:dyDescent="0.25"/>
    <row r="286343" customFormat="1" x14ac:dyDescent="0.25"/>
    <row r="286344" customFormat="1" x14ac:dyDescent="0.25"/>
    <row r="286345" customFormat="1" x14ac:dyDescent="0.25"/>
    <row r="286346" customFormat="1" x14ac:dyDescent="0.25"/>
    <row r="286347" customFormat="1" x14ac:dyDescent="0.25"/>
    <row r="286348" customFormat="1" x14ac:dyDescent="0.25"/>
    <row r="286349" customFormat="1" x14ac:dyDescent="0.25"/>
    <row r="286350" customFormat="1" x14ac:dyDescent="0.25"/>
    <row r="286351" customFormat="1" x14ac:dyDescent="0.25"/>
    <row r="286352" customFormat="1" x14ac:dyDescent="0.25"/>
    <row r="286353" customFormat="1" x14ac:dyDescent="0.25"/>
    <row r="286354" customFormat="1" x14ac:dyDescent="0.25"/>
    <row r="286355" customFormat="1" x14ac:dyDescent="0.25"/>
    <row r="286356" customFormat="1" x14ac:dyDescent="0.25"/>
    <row r="286357" customFormat="1" x14ac:dyDescent="0.25"/>
    <row r="286358" customFormat="1" x14ac:dyDescent="0.25"/>
    <row r="286359" customFormat="1" x14ac:dyDescent="0.25"/>
    <row r="286360" customFormat="1" x14ac:dyDescent="0.25"/>
    <row r="286361" customFormat="1" x14ac:dyDescent="0.25"/>
    <row r="286362" customFormat="1" x14ac:dyDescent="0.25"/>
    <row r="286363" customFormat="1" x14ac:dyDescent="0.25"/>
    <row r="286364" customFormat="1" x14ac:dyDescent="0.25"/>
    <row r="286365" customFormat="1" x14ac:dyDescent="0.25"/>
    <row r="286366" customFormat="1" x14ac:dyDescent="0.25"/>
    <row r="286367" customFormat="1" x14ac:dyDescent="0.25"/>
    <row r="286368" customFormat="1" x14ac:dyDescent="0.25"/>
    <row r="286369" customFormat="1" x14ac:dyDescent="0.25"/>
    <row r="286370" customFormat="1" x14ac:dyDescent="0.25"/>
    <row r="286371" customFormat="1" x14ac:dyDescent="0.25"/>
    <row r="286372" customFormat="1" x14ac:dyDescent="0.25"/>
    <row r="286373" customFormat="1" x14ac:dyDescent="0.25"/>
    <row r="286374" customFormat="1" x14ac:dyDescent="0.25"/>
    <row r="286375" customFormat="1" x14ac:dyDescent="0.25"/>
    <row r="286376" customFormat="1" x14ac:dyDescent="0.25"/>
    <row r="286377" customFormat="1" x14ac:dyDescent="0.25"/>
    <row r="286378" customFormat="1" x14ac:dyDescent="0.25"/>
    <row r="286379" customFormat="1" x14ac:dyDescent="0.25"/>
    <row r="286380" customFormat="1" x14ac:dyDescent="0.25"/>
    <row r="286381" customFormat="1" x14ac:dyDescent="0.25"/>
    <row r="286382" customFormat="1" x14ac:dyDescent="0.25"/>
    <row r="286383" customFormat="1" x14ac:dyDescent="0.25"/>
    <row r="286384" customFormat="1" x14ac:dyDescent="0.25"/>
    <row r="286385" customFormat="1" x14ac:dyDescent="0.25"/>
    <row r="286386" customFormat="1" x14ac:dyDescent="0.25"/>
    <row r="286387" customFormat="1" x14ac:dyDescent="0.25"/>
    <row r="286388" customFormat="1" x14ac:dyDescent="0.25"/>
    <row r="286389" customFormat="1" x14ac:dyDescent="0.25"/>
    <row r="286390" customFormat="1" x14ac:dyDescent="0.25"/>
    <row r="286391" customFormat="1" x14ac:dyDescent="0.25"/>
    <row r="286392" customFormat="1" x14ac:dyDescent="0.25"/>
    <row r="286393" customFormat="1" x14ac:dyDescent="0.25"/>
    <row r="286394" customFormat="1" x14ac:dyDescent="0.25"/>
    <row r="286395" customFormat="1" x14ac:dyDescent="0.25"/>
    <row r="286396" customFormat="1" x14ac:dyDescent="0.25"/>
    <row r="286397" customFormat="1" x14ac:dyDescent="0.25"/>
    <row r="286398" customFormat="1" x14ac:dyDescent="0.25"/>
    <row r="286399" customFormat="1" x14ac:dyDescent="0.25"/>
    <row r="286400" customFormat="1" x14ac:dyDescent="0.25"/>
    <row r="286401" customFormat="1" x14ac:dyDescent="0.25"/>
    <row r="286402" customFormat="1" x14ac:dyDescent="0.25"/>
    <row r="286403" customFormat="1" x14ac:dyDescent="0.25"/>
    <row r="286404" customFormat="1" x14ac:dyDescent="0.25"/>
    <row r="286405" customFormat="1" x14ac:dyDescent="0.25"/>
    <row r="286406" customFormat="1" x14ac:dyDescent="0.25"/>
    <row r="286407" customFormat="1" x14ac:dyDescent="0.25"/>
    <row r="286408" customFormat="1" x14ac:dyDescent="0.25"/>
    <row r="286409" customFormat="1" x14ac:dyDescent="0.25"/>
    <row r="286410" customFormat="1" x14ac:dyDescent="0.25"/>
    <row r="286411" customFormat="1" x14ac:dyDescent="0.25"/>
    <row r="286412" customFormat="1" x14ac:dyDescent="0.25"/>
    <row r="286413" customFormat="1" x14ac:dyDescent="0.25"/>
    <row r="286414" customFormat="1" x14ac:dyDescent="0.25"/>
    <row r="286415" customFormat="1" x14ac:dyDescent="0.25"/>
    <row r="286416" customFormat="1" x14ac:dyDescent="0.25"/>
    <row r="286417" customFormat="1" x14ac:dyDescent="0.25"/>
    <row r="286418" customFormat="1" x14ac:dyDescent="0.25"/>
    <row r="286419" customFormat="1" x14ac:dyDescent="0.25"/>
    <row r="286420" customFormat="1" x14ac:dyDescent="0.25"/>
    <row r="286421" customFormat="1" x14ac:dyDescent="0.25"/>
    <row r="286422" customFormat="1" x14ac:dyDescent="0.25"/>
    <row r="286423" customFormat="1" x14ac:dyDescent="0.25"/>
    <row r="286424" customFormat="1" x14ac:dyDescent="0.25"/>
    <row r="286425" customFormat="1" x14ac:dyDescent="0.25"/>
    <row r="286426" customFormat="1" x14ac:dyDescent="0.25"/>
    <row r="286427" customFormat="1" x14ac:dyDescent="0.25"/>
    <row r="286428" customFormat="1" x14ac:dyDescent="0.25"/>
    <row r="286429" customFormat="1" x14ac:dyDescent="0.25"/>
    <row r="286430" customFormat="1" x14ac:dyDescent="0.25"/>
    <row r="286431" customFormat="1" x14ac:dyDescent="0.25"/>
    <row r="286432" customFormat="1" x14ac:dyDescent="0.25"/>
    <row r="286433" customFormat="1" x14ac:dyDescent="0.25"/>
    <row r="286434" customFormat="1" x14ac:dyDescent="0.25"/>
    <row r="286435" customFormat="1" x14ac:dyDescent="0.25"/>
    <row r="286436" customFormat="1" x14ac:dyDescent="0.25"/>
    <row r="286437" customFormat="1" x14ac:dyDescent="0.25"/>
    <row r="286438" customFormat="1" x14ac:dyDescent="0.25"/>
    <row r="286439" customFormat="1" x14ac:dyDescent="0.25"/>
    <row r="286440" customFormat="1" x14ac:dyDescent="0.25"/>
    <row r="286441" customFormat="1" x14ac:dyDescent="0.25"/>
    <row r="286442" customFormat="1" x14ac:dyDescent="0.25"/>
    <row r="286443" customFormat="1" x14ac:dyDescent="0.25"/>
    <row r="286444" customFormat="1" x14ac:dyDescent="0.25"/>
    <row r="286445" customFormat="1" x14ac:dyDescent="0.25"/>
    <row r="286446" customFormat="1" x14ac:dyDescent="0.25"/>
    <row r="286447" customFormat="1" x14ac:dyDescent="0.25"/>
    <row r="286448" customFormat="1" x14ac:dyDescent="0.25"/>
    <row r="286449" customFormat="1" x14ac:dyDescent="0.25"/>
    <row r="286450" customFormat="1" x14ac:dyDescent="0.25"/>
    <row r="286451" customFormat="1" x14ac:dyDescent="0.25"/>
    <row r="286452" customFormat="1" x14ac:dyDescent="0.25"/>
    <row r="286453" customFormat="1" x14ac:dyDescent="0.25"/>
    <row r="286454" customFormat="1" x14ac:dyDescent="0.25"/>
    <row r="286455" customFormat="1" x14ac:dyDescent="0.25"/>
    <row r="286456" customFormat="1" x14ac:dyDescent="0.25"/>
    <row r="286457" customFormat="1" x14ac:dyDescent="0.25"/>
    <row r="286458" customFormat="1" x14ac:dyDescent="0.25"/>
    <row r="286459" customFormat="1" x14ac:dyDescent="0.25"/>
    <row r="286460" customFormat="1" x14ac:dyDescent="0.25"/>
    <row r="286461" customFormat="1" x14ac:dyDescent="0.25"/>
    <row r="286462" customFormat="1" x14ac:dyDescent="0.25"/>
    <row r="286463" customFormat="1" x14ac:dyDescent="0.25"/>
    <row r="286464" customFormat="1" x14ac:dyDescent="0.25"/>
    <row r="286465" customFormat="1" x14ac:dyDescent="0.25"/>
    <row r="286466" customFormat="1" x14ac:dyDescent="0.25"/>
    <row r="286467" customFormat="1" x14ac:dyDescent="0.25"/>
    <row r="286468" customFormat="1" x14ac:dyDescent="0.25"/>
    <row r="286469" customFormat="1" x14ac:dyDescent="0.25"/>
    <row r="286470" customFormat="1" x14ac:dyDescent="0.25"/>
    <row r="286471" customFormat="1" x14ac:dyDescent="0.25"/>
    <row r="286472" customFormat="1" x14ac:dyDescent="0.25"/>
    <row r="286473" customFormat="1" x14ac:dyDescent="0.25"/>
    <row r="286474" customFormat="1" x14ac:dyDescent="0.25"/>
    <row r="286475" customFormat="1" x14ac:dyDescent="0.25"/>
    <row r="286476" customFormat="1" x14ac:dyDescent="0.25"/>
    <row r="286477" customFormat="1" x14ac:dyDescent="0.25"/>
    <row r="286478" customFormat="1" x14ac:dyDescent="0.25"/>
    <row r="286479" customFormat="1" x14ac:dyDescent="0.25"/>
    <row r="286480" customFormat="1" x14ac:dyDescent="0.25"/>
    <row r="286481" customFormat="1" x14ac:dyDescent="0.25"/>
    <row r="286482" customFormat="1" x14ac:dyDescent="0.25"/>
    <row r="286483" customFormat="1" x14ac:dyDescent="0.25"/>
    <row r="286484" customFormat="1" x14ac:dyDescent="0.25"/>
    <row r="286485" customFormat="1" x14ac:dyDescent="0.25"/>
    <row r="286486" customFormat="1" x14ac:dyDescent="0.25"/>
    <row r="286487" customFormat="1" x14ac:dyDescent="0.25"/>
    <row r="286488" customFormat="1" x14ac:dyDescent="0.25"/>
    <row r="286489" customFormat="1" x14ac:dyDescent="0.25"/>
    <row r="286490" customFormat="1" x14ac:dyDescent="0.25"/>
    <row r="286491" customFormat="1" x14ac:dyDescent="0.25"/>
    <row r="286492" customFormat="1" x14ac:dyDescent="0.25"/>
    <row r="286493" customFormat="1" x14ac:dyDescent="0.25"/>
    <row r="286494" customFormat="1" x14ac:dyDescent="0.25"/>
    <row r="286495" customFormat="1" x14ac:dyDescent="0.25"/>
    <row r="286496" customFormat="1" x14ac:dyDescent="0.25"/>
    <row r="286497" customFormat="1" x14ac:dyDescent="0.25"/>
    <row r="286498" customFormat="1" x14ac:dyDescent="0.25"/>
    <row r="286499" customFormat="1" x14ac:dyDescent="0.25"/>
    <row r="286500" customFormat="1" x14ac:dyDescent="0.25"/>
    <row r="286501" customFormat="1" x14ac:dyDescent="0.25"/>
    <row r="286502" customFormat="1" x14ac:dyDescent="0.25"/>
    <row r="286503" customFormat="1" x14ac:dyDescent="0.25"/>
    <row r="286504" customFormat="1" x14ac:dyDescent="0.25"/>
    <row r="286505" customFormat="1" x14ac:dyDescent="0.25"/>
    <row r="286506" customFormat="1" x14ac:dyDescent="0.25"/>
    <row r="286507" customFormat="1" x14ac:dyDescent="0.25"/>
    <row r="286508" customFormat="1" x14ac:dyDescent="0.25"/>
    <row r="286509" customFormat="1" x14ac:dyDescent="0.25"/>
    <row r="286510" customFormat="1" x14ac:dyDescent="0.25"/>
    <row r="286511" customFormat="1" x14ac:dyDescent="0.25"/>
    <row r="286512" customFormat="1" x14ac:dyDescent="0.25"/>
    <row r="286513" customFormat="1" x14ac:dyDescent="0.25"/>
    <row r="286514" customFormat="1" x14ac:dyDescent="0.25"/>
    <row r="286515" customFormat="1" x14ac:dyDescent="0.25"/>
    <row r="286516" customFormat="1" x14ac:dyDescent="0.25"/>
    <row r="286517" customFormat="1" x14ac:dyDescent="0.25"/>
    <row r="286518" customFormat="1" x14ac:dyDescent="0.25"/>
    <row r="286519" customFormat="1" x14ac:dyDescent="0.25"/>
    <row r="286520" customFormat="1" x14ac:dyDescent="0.25"/>
    <row r="286521" customFormat="1" x14ac:dyDescent="0.25"/>
    <row r="286522" customFormat="1" x14ac:dyDescent="0.25"/>
    <row r="286523" customFormat="1" x14ac:dyDescent="0.25"/>
    <row r="286524" customFormat="1" x14ac:dyDescent="0.25"/>
    <row r="286525" customFormat="1" x14ac:dyDescent="0.25"/>
    <row r="286526" customFormat="1" x14ac:dyDescent="0.25"/>
    <row r="286527" customFormat="1" x14ac:dyDescent="0.25"/>
    <row r="286528" customFormat="1" x14ac:dyDescent="0.25"/>
    <row r="286529" customFormat="1" x14ac:dyDescent="0.25"/>
    <row r="286530" customFormat="1" x14ac:dyDescent="0.25"/>
    <row r="286531" customFormat="1" x14ac:dyDescent="0.25"/>
    <row r="286532" customFormat="1" x14ac:dyDescent="0.25"/>
    <row r="286533" customFormat="1" x14ac:dyDescent="0.25"/>
    <row r="286534" customFormat="1" x14ac:dyDescent="0.25"/>
    <row r="286535" customFormat="1" x14ac:dyDescent="0.25"/>
    <row r="286536" customFormat="1" x14ac:dyDescent="0.25"/>
    <row r="286537" customFormat="1" x14ac:dyDescent="0.25"/>
    <row r="286538" customFormat="1" x14ac:dyDescent="0.25"/>
    <row r="286539" customFormat="1" x14ac:dyDescent="0.25"/>
    <row r="286540" customFormat="1" x14ac:dyDescent="0.25"/>
    <row r="286541" customFormat="1" x14ac:dyDescent="0.25"/>
    <row r="286542" customFormat="1" x14ac:dyDescent="0.25"/>
    <row r="286543" customFormat="1" x14ac:dyDescent="0.25"/>
    <row r="286544" customFormat="1" x14ac:dyDescent="0.25"/>
    <row r="286545" customFormat="1" x14ac:dyDescent="0.25"/>
    <row r="286546" customFormat="1" x14ac:dyDescent="0.25"/>
    <row r="286547" customFormat="1" x14ac:dyDescent="0.25"/>
    <row r="286548" customFormat="1" x14ac:dyDescent="0.25"/>
    <row r="286549" customFormat="1" x14ac:dyDescent="0.25"/>
    <row r="286550" customFormat="1" x14ac:dyDescent="0.25"/>
    <row r="286551" customFormat="1" x14ac:dyDescent="0.25"/>
    <row r="286552" customFormat="1" x14ac:dyDescent="0.25"/>
    <row r="286553" customFormat="1" x14ac:dyDescent="0.25"/>
    <row r="286554" customFormat="1" x14ac:dyDescent="0.25"/>
    <row r="286555" customFormat="1" x14ac:dyDescent="0.25"/>
    <row r="286556" customFormat="1" x14ac:dyDescent="0.25"/>
    <row r="286557" customFormat="1" x14ac:dyDescent="0.25"/>
    <row r="286558" customFormat="1" x14ac:dyDescent="0.25"/>
    <row r="286559" customFormat="1" x14ac:dyDescent="0.25"/>
    <row r="286560" customFormat="1" x14ac:dyDescent="0.25"/>
    <row r="286561" customFormat="1" x14ac:dyDescent="0.25"/>
    <row r="286562" customFormat="1" x14ac:dyDescent="0.25"/>
    <row r="286563" customFormat="1" x14ac:dyDescent="0.25"/>
    <row r="286564" customFormat="1" x14ac:dyDescent="0.25"/>
    <row r="286565" customFormat="1" x14ac:dyDescent="0.25"/>
    <row r="286566" customFormat="1" x14ac:dyDescent="0.25"/>
    <row r="286567" customFormat="1" x14ac:dyDescent="0.25"/>
    <row r="286568" customFormat="1" x14ac:dyDescent="0.25"/>
    <row r="286569" customFormat="1" x14ac:dyDescent="0.25"/>
    <row r="286570" customFormat="1" x14ac:dyDescent="0.25"/>
    <row r="286571" customFormat="1" x14ac:dyDescent="0.25"/>
    <row r="286572" customFormat="1" x14ac:dyDescent="0.25"/>
    <row r="286573" customFormat="1" x14ac:dyDescent="0.25"/>
    <row r="286574" customFormat="1" x14ac:dyDescent="0.25"/>
    <row r="286575" customFormat="1" x14ac:dyDescent="0.25"/>
    <row r="286576" customFormat="1" x14ac:dyDescent="0.25"/>
    <row r="286577" customFormat="1" x14ac:dyDescent="0.25"/>
    <row r="286578" customFormat="1" x14ac:dyDescent="0.25"/>
    <row r="286579" customFormat="1" x14ac:dyDescent="0.25"/>
    <row r="286580" customFormat="1" x14ac:dyDescent="0.25"/>
    <row r="286581" customFormat="1" x14ac:dyDescent="0.25"/>
    <row r="286582" customFormat="1" x14ac:dyDescent="0.25"/>
    <row r="286583" customFormat="1" x14ac:dyDescent="0.25"/>
    <row r="286584" customFormat="1" x14ac:dyDescent="0.25"/>
    <row r="286585" customFormat="1" x14ac:dyDescent="0.25"/>
    <row r="286586" customFormat="1" x14ac:dyDescent="0.25"/>
    <row r="286587" customFormat="1" x14ac:dyDescent="0.25"/>
    <row r="286588" customFormat="1" x14ac:dyDescent="0.25"/>
    <row r="286589" customFormat="1" x14ac:dyDescent="0.25"/>
    <row r="286590" customFormat="1" x14ac:dyDescent="0.25"/>
    <row r="286591" customFormat="1" x14ac:dyDescent="0.25"/>
    <row r="286592" customFormat="1" x14ac:dyDescent="0.25"/>
    <row r="286593" customFormat="1" x14ac:dyDescent="0.25"/>
    <row r="286594" customFormat="1" x14ac:dyDescent="0.25"/>
    <row r="286595" customFormat="1" x14ac:dyDescent="0.25"/>
    <row r="286596" customFormat="1" x14ac:dyDescent="0.25"/>
    <row r="286597" customFormat="1" x14ac:dyDescent="0.25"/>
    <row r="286598" customFormat="1" x14ac:dyDescent="0.25"/>
    <row r="286599" customFormat="1" x14ac:dyDescent="0.25"/>
    <row r="286600" customFormat="1" x14ac:dyDescent="0.25"/>
    <row r="286601" customFormat="1" x14ac:dyDescent="0.25"/>
    <row r="286602" customFormat="1" x14ac:dyDescent="0.25"/>
    <row r="286603" customFormat="1" x14ac:dyDescent="0.25"/>
    <row r="286604" customFormat="1" x14ac:dyDescent="0.25"/>
    <row r="286605" customFormat="1" x14ac:dyDescent="0.25"/>
    <row r="286606" customFormat="1" x14ac:dyDescent="0.25"/>
    <row r="286607" customFormat="1" x14ac:dyDescent="0.25"/>
    <row r="286608" customFormat="1" x14ac:dyDescent="0.25"/>
    <row r="286609" customFormat="1" x14ac:dyDescent="0.25"/>
    <row r="286610" customFormat="1" x14ac:dyDescent="0.25"/>
    <row r="286611" customFormat="1" x14ac:dyDescent="0.25"/>
    <row r="286612" customFormat="1" x14ac:dyDescent="0.25"/>
    <row r="286613" customFormat="1" x14ac:dyDescent="0.25"/>
    <row r="286614" customFormat="1" x14ac:dyDescent="0.25"/>
    <row r="286615" customFormat="1" x14ac:dyDescent="0.25"/>
    <row r="286616" customFormat="1" x14ac:dyDescent="0.25"/>
    <row r="286617" customFormat="1" x14ac:dyDescent="0.25"/>
    <row r="286618" customFormat="1" x14ac:dyDescent="0.25"/>
    <row r="286619" customFormat="1" x14ac:dyDescent="0.25"/>
    <row r="286620" customFormat="1" x14ac:dyDescent="0.25"/>
    <row r="286621" customFormat="1" x14ac:dyDescent="0.25"/>
    <row r="286622" customFormat="1" x14ac:dyDescent="0.25"/>
    <row r="286623" customFormat="1" x14ac:dyDescent="0.25"/>
    <row r="286624" customFormat="1" x14ac:dyDescent="0.25"/>
    <row r="286625" customFormat="1" x14ac:dyDescent="0.25"/>
    <row r="286626" customFormat="1" x14ac:dyDescent="0.25"/>
    <row r="286627" customFormat="1" x14ac:dyDescent="0.25"/>
    <row r="286628" customFormat="1" x14ac:dyDescent="0.25"/>
    <row r="286629" customFormat="1" x14ac:dyDescent="0.25"/>
    <row r="286630" customFormat="1" x14ac:dyDescent="0.25"/>
    <row r="286631" customFormat="1" x14ac:dyDescent="0.25"/>
    <row r="286632" customFormat="1" x14ac:dyDescent="0.25"/>
    <row r="286633" customFormat="1" x14ac:dyDescent="0.25"/>
    <row r="286634" customFormat="1" x14ac:dyDescent="0.25"/>
    <row r="286635" customFormat="1" x14ac:dyDescent="0.25"/>
    <row r="286636" customFormat="1" x14ac:dyDescent="0.25"/>
    <row r="286637" customFormat="1" x14ac:dyDescent="0.25"/>
    <row r="286638" customFormat="1" x14ac:dyDescent="0.25"/>
    <row r="286639" customFormat="1" x14ac:dyDescent="0.25"/>
    <row r="286640" customFormat="1" x14ac:dyDescent="0.25"/>
    <row r="286641" customFormat="1" x14ac:dyDescent="0.25"/>
    <row r="286642" customFormat="1" x14ac:dyDescent="0.25"/>
    <row r="286643" customFormat="1" x14ac:dyDescent="0.25"/>
    <row r="286644" customFormat="1" x14ac:dyDescent="0.25"/>
    <row r="286645" customFormat="1" x14ac:dyDescent="0.25"/>
    <row r="286646" customFormat="1" x14ac:dyDescent="0.25"/>
    <row r="286647" customFormat="1" x14ac:dyDescent="0.25"/>
    <row r="286648" customFormat="1" x14ac:dyDescent="0.25"/>
    <row r="286649" customFormat="1" x14ac:dyDescent="0.25"/>
    <row r="286650" customFormat="1" x14ac:dyDescent="0.25"/>
    <row r="286651" customFormat="1" x14ac:dyDescent="0.25"/>
    <row r="286652" customFormat="1" x14ac:dyDescent="0.25"/>
    <row r="286653" customFormat="1" x14ac:dyDescent="0.25"/>
    <row r="286654" customFormat="1" x14ac:dyDescent="0.25"/>
    <row r="286655" customFormat="1" x14ac:dyDescent="0.25"/>
    <row r="286656" customFormat="1" x14ac:dyDescent="0.25"/>
    <row r="286657" customFormat="1" x14ac:dyDescent="0.25"/>
    <row r="286658" customFormat="1" x14ac:dyDescent="0.25"/>
    <row r="286659" customFormat="1" x14ac:dyDescent="0.25"/>
    <row r="286660" customFormat="1" x14ac:dyDescent="0.25"/>
    <row r="286661" customFormat="1" x14ac:dyDescent="0.25"/>
    <row r="286662" customFormat="1" x14ac:dyDescent="0.25"/>
    <row r="286663" customFormat="1" x14ac:dyDescent="0.25"/>
    <row r="286664" customFormat="1" x14ac:dyDescent="0.25"/>
    <row r="286665" customFormat="1" x14ac:dyDescent="0.25"/>
    <row r="286666" customFormat="1" x14ac:dyDescent="0.25"/>
    <row r="286667" customFormat="1" x14ac:dyDescent="0.25"/>
    <row r="286668" customFormat="1" x14ac:dyDescent="0.25"/>
    <row r="286669" customFormat="1" x14ac:dyDescent="0.25"/>
    <row r="286670" customFormat="1" x14ac:dyDescent="0.25"/>
    <row r="286671" customFormat="1" x14ac:dyDescent="0.25"/>
    <row r="286672" customFormat="1" x14ac:dyDescent="0.25"/>
    <row r="286673" customFormat="1" x14ac:dyDescent="0.25"/>
    <row r="286674" customFormat="1" x14ac:dyDescent="0.25"/>
    <row r="286675" customFormat="1" x14ac:dyDescent="0.25"/>
    <row r="286676" customFormat="1" x14ac:dyDescent="0.25"/>
    <row r="286677" customFormat="1" x14ac:dyDescent="0.25"/>
    <row r="286678" customFormat="1" x14ac:dyDescent="0.25"/>
    <row r="286679" customFormat="1" x14ac:dyDescent="0.25"/>
    <row r="286680" customFormat="1" x14ac:dyDescent="0.25"/>
    <row r="286681" customFormat="1" x14ac:dyDescent="0.25"/>
    <row r="286682" customFormat="1" x14ac:dyDescent="0.25"/>
    <row r="286683" customFormat="1" x14ac:dyDescent="0.25"/>
    <row r="286684" customFormat="1" x14ac:dyDescent="0.25"/>
    <row r="286685" customFormat="1" x14ac:dyDescent="0.25"/>
    <row r="286686" customFormat="1" x14ac:dyDescent="0.25"/>
    <row r="286687" customFormat="1" x14ac:dyDescent="0.25"/>
    <row r="286688" customFormat="1" x14ac:dyDescent="0.25"/>
    <row r="286689" customFormat="1" x14ac:dyDescent="0.25"/>
    <row r="286690" customFormat="1" x14ac:dyDescent="0.25"/>
    <row r="286691" customFormat="1" x14ac:dyDescent="0.25"/>
    <row r="286692" customFormat="1" x14ac:dyDescent="0.25"/>
    <row r="286693" customFormat="1" x14ac:dyDescent="0.25"/>
    <row r="286694" customFormat="1" x14ac:dyDescent="0.25"/>
    <row r="286695" customFormat="1" x14ac:dyDescent="0.25"/>
    <row r="286696" customFormat="1" x14ac:dyDescent="0.25"/>
    <row r="286697" customFormat="1" x14ac:dyDescent="0.25"/>
    <row r="286698" customFormat="1" x14ac:dyDescent="0.25"/>
    <row r="286699" customFormat="1" x14ac:dyDescent="0.25"/>
    <row r="286700" customFormat="1" x14ac:dyDescent="0.25"/>
    <row r="286701" customFormat="1" x14ac:dyDescent="0.25"/>
    <row r="286702" customFormat="1" x14ac:dyDescent="0.25"/>
    <row r="286703" customFormat="1" x14ac:dyDescent="0.25"/>
    <row r="286704" customFormat="1" x14ac:dyDescent="0.25"/>
    <row r="286705" customFormat="1" x14ac:dyDescent="0.25"/>
    <row r="286706" customFormat="1" x14ac:dyDescent="0.25"/>
    <row r="286707" customFormat="1" x14ac:dyDescent="0.25"/>
    <row r="286708" customFormat="1" x14ac:dyDescent="0.25"/>
    <row r="286709" customFormat="1" x14ac:dyDescent="0.25"/>
    <row r="286710" customFormat="1" x14ac:dyDescent="0.25"/>
    <row r="286711" customFormat="1" x14ac:dyDescent="0.25"/>
    <row r="286712" customFormat="1" x14ac:dyDescent="0.25"/>
    <row r="286713" customFormat="1" x14ac:dyDescent="0.25"/>
    <row r="286714" customFormat="1" x14ac:dyDescent="0.25"/>
    <row r="286715" customFormat="1" x14ac:dyDescent="0.25"/>
    <row r="286716" customFormat="1" x14ac:dyDescent="0.25"/>
    <row r="286717" customFormat="1" x14ac:dyDescent="0.25"/>
    <row r="286718" customFormat="1" x14ac:dyDescent="0.25"/>
    <row r="286719" customFormat="1" x14ac:dyDescent="0.25"/>
    <row r="286720" customFormat="1" x14ac:dyDescent="0.25"/>
    <row r="286721" customFormat="1" x14ac:dyDescent="0.25"/>
    <row r="286722" customFormat="1" x14ac:dyDescent="0.25"/>
    <row r="286723" customFormat="1" x14ac:dyDescent="0.25"/>
    <row r="286724" customFormat="1" x14ac:dyDescent="0.25"/>
    <row r="286725" customFormat="1" x14ac:dyDescent="0.25"/>
    <row r="286726" customFormat="1" x14ac:dyDescent="0.25"/>
    <row r="286727" customFormat="1" x14ac:dyDescent="0.25"/>
    <row r="286728" customFormat="1" x14ac:dyDescent="0.25"/>
    <row r="286729" customFormat="1" x14ac:dyDescent="0.25"/>
    <row r="286730" customFormat="1" x14ac:dyDescent="0.25"/>
    <row r="286731" customFormat="1" x14ac:dyDescent="0.25"/>
    <row r="286732" customFormat="1" x14ac:dyDescent="0.25"/>
    <row r="286733" customFormat="1" x14ac:dyDescent="0.25"/>
    <row r="286734" customFormat="1" x14ac:dyDescent="0.25"/>
    <row r="286735" customFormat="1" x14ac:dyDescent="0.25"/>
    <row r="286736" customFormat="1" x14ac:dyDescent="0.25"/>
    <row r="286737" customFormat="1" x14ac:dyDescent="0.25"/>
    <row r="286738" customFormat="1" x14ac:dyDescent="0.25"/>
    <row r="286739" customFormat="1" x14ac:dyDescent="0.25"/>
    <row r="286740" customFormat="1" x14ac:dyDescent="0.25"/>
    <row r="286741" customFormat="1" x14ac:dyDescent="0.25"/>
    <row r="286742" customFormat="1" x14ac:dyDescent="0.25"/>
    <row r="286743" customFormat="1" x14ac:dyDescent="0.25"/>
    <row r="286744" customFormat="1" x14ac:dyDescent="0.25"/>
    <row r="286745" customFormat="1" x14ac:dyDescent="0.25"/>
    <row r="286746" customFormat="1" x14ac:dyDescent="0.25"/>
    <row r="286747" customFormat="1" x14ac:dyDescent="0.25"/>
    <row r="286748" customFormat="1" x14ac:dyDescent="0.25"/>
    <row r="286749" customFormat="1" x14ac:dyDescent="0.25"/>
    <row r="286750" customFormat="1" x14ac:dyDescent="0.25"/>
    <row r="286751" customFormat="1" x14ac:dyDescent="0.25"/>
    <row r="286752" customFormat="1" x14ac:dyDescent="0.25"/>
    <row r="286753" customFormat="1" x14ac:dyDescent="0.25"/>
    <row r="286754" customFormat="1" x14ac:dyDescent="0.25"/>
    <row r="286755" customFormat="1" x14ac:dyDescent="0.25"/>
    <row r="286756" customFormat="1" x14ac:dyDescent="0.25"/>
    <row r="286757" customFormat="1" x14ac:dyDescent="0.25"/>
    <row r="286758" customFormat="1" x14ac:dyDescent="0.25"/>
    <row r="286759" customFormat="1" x14ac:dyDescent="0.25"/>
    <row r="286760" customFormat="1" x14ac:dyDescent="0.25"/>
    <row r="286761" customFormat="1" x14ac:dyDescent="0.25"/>
    <row r="286762" customFormat="1" x14ac:dyDescent="0.25"/>
    <row r="286763" customFormat="1" x14ac:dyDescent="0.25"/>
    <row r="286764" customFormat="1" x14ac:dyDescent="0.25"/>
    <row r="286765" customFormat="1" x14ac:dyDescent="0.25"/>
    <row r="286766" customFormat="1" x14ac:dyDescent="0.25"/>
    <row r="286767" customFormat="1" x14ac:dyDescent="0.25"/>
    <row r="286768" customFormat="1" x14ac:dyDescent="0.25"/>
    <row r="286769" customFormat="1" x14ac:dyDescent="0.25"/>
    <row r="286770" customFormat="1" x14ac:dyDescent="0.25"/>
    <row r="286771" customFormat="1" x14ac:dyDescent="0.25"/>
    <row r="286772" customFormat="1" x14ac:dyDescent="0.25"/>
    <row r="286773" customFormat="1" x14ac:dyDescent="0.25"/>
    <row r="286774" customFormat="1" x14ac:dyDescent="0.25"/>
    <row r="286775" customFormat="1" x14ac:dyDescent="0.25"/>
    <row r="286776" customFormat="1" x14ac:dyDescent="0.25"/>
    <row r="286777" customFormat="1" x14ac:dyDescent="0.25"/>
    <row r="286778" customFormat="1" x14ac:dyDescent="0.25"/>
    <row r="286779" customFormat="1" x14ac:dyDescent="0.25"/>
    <row r="286780" customFormat="1" x14ac:dyDescent="0.25"/>
    <row r="286781" customFormat="1" x14ac:dyDescent="0.25"/>
    <row r="286782" customFormat="1" x14ac:dyDescent="0.25"/>
    <row r="286783" customFormat="1" x14ac:dyDescent="0.25"/>
    <row r="286784" customFormat="1" x14ac:dyDescent="0.25"/>
    <row r="286785" customFormat="1" x14ac:dyDescent="0.25"/>
    <row r="286786" customFormat="1" x14ac:dyDescent="0.25"/>
    <row r="286787" customFormat="1" x14ac:dyDescent="0.25"/>
    <row r="286788" customFormat="1" x14ac:dyDescent="0.25"/>
    <row r="286789" customFormat="1" x14ac:dyDescent="0.25"/>
    <row r="286790" customFormat="1" x14ac:dyDescent="0.25"/>
    <row r="286791" customFormat="1" x14ac:dyDescent="0.25"/>
    <row r="286792" customFormat="1" x14ac:dyDescent="0.25"/>
    <row r="286793" customFormat="1" x14ac:dyDescent="0.25"/>
    <row r="286794" customFormat="1" x14ac:dyDescent="0.25"/>
    <row r="286795" customFormat="1" x14ac:dyDescent="0.25"/>
    <row r="286796" customFormat="1" x14ac:dyDescent="0.25"/>
    <row r="286797" customFormat="1" x14ac:dyDescent="0.25"/>
    <row r="286798" customFormat="1" x14ac:dyDescent="0.25"/>
    <row r="286799" customFormat="1" x14ac:dyDescent="0.25"/>
    <row r="286800" customFormat="1" x14ac:dyDescent="0.25"/>
    <row r="286801" customFormat="1" x14ac:dyDescent="0.25"/>
    <row r="286802" customFormat="1" x14ac:dyDescent="0.25"/>
    <row r="286803" customFormat="1" x14ac:dyDescent="0.25"/>
    <row r="286804" customFormat="1" x14ac:dyDescent="0.25"/>
    <row r="286805" customFormat="1" x14ac:dyDescent="0.25"/>
    <row r="286806" customFormat="1" x14ac:dyDescent="0.25"/>
    <row r="286807" customFormat="1" x14ac:dyDescent="0.25"/>
    <row r="286808" customFormat="1" x14ac:dyDescent="0.25"/>
    <row r="286809" customFormat="1" x14ac:dyDescent="0.25"/>
    <row r="286810" customFormat="1" x14ac:dyDescent="0.25"/>
    <row r="286811" customFormat="1" x14ac:dyDescent="0.25"/>
    <row r="286812" customFormat="1" x14ac:dyDescent="0.25"/>
    <row r="286813" customFormat="1" x14ac:dyDescent="0.25"/>
    <row r="286814" customFormat="1" x14ac:dyDescent="0.25"/>
    <row r="286815" customFormat="1" x14ac:dyDescent="0.25"/>
    <row r="286816" customFormat="1" x14ac:dyDescent="0.25"/>
    <row r="286817" customFormat="1" x14ac:dyDescent="0.25"/>
    <row r="286818" customFormat="1" x14ac:dyDescent="0.25"/>
    <row r="286819" customFormat="1" x14ac:dyDescent="0.25"/>
    <row r="286820" customFormat="1" x14ac:dyDescent="0.25"/>
    <row r="286821" customFormat="1" x14ac:dyDescent="0.25"/>
    <row r="286822" customFormat="1" x14ac:dyDescent="0.25"/>
    <row r="286823" customFormat="1" x14ac:dyDescent="0.25"/>
    <row r="286824" customFormat="1" x14ac:dyDescent="0.25"/>
    <row r="286825" customFormat="1" x14ac:dyDescent="0.25"/>
    <row r="286826" customFormat="1" x14ac:dyDescent="0.25"/>
    <row r="286827" customFormat="1" x14ac:dyDescent="0.25"/>
    <row r="286828" customFormat="1" x14ac:dyDescent="0.25"/>
    <row r="286829" customFormat="1" x14ac:dyDescent="0.25"/>
    <row r="286830" customFormat="1" x14ac:dyDescent="0.25"/>
    <row r="286831" customFormat="1" x14ac:dyDescent="0.25"/>
    <row r="286832" customFormat="1" x14ac:dyDescent="0.25"/>
    <row r="286833" customFormat="1" x14ac:dyDescent="0.25"/>
    <row r="286834" customFormat="1" x14ac:dyDescent="0.25"/>
    <row r="286835" customFormat="1" x14ac:dyDescent="0.25"/>
    <row r="286836" customFormat="1" x14ac:dyDescent="0.25"/>
    <row r="286837" customFormat="1" x14ac:dyDescent="0.25"/>
    <row r="286838" customFormat="1" x14ac:dyDescent="0.25"/>
    <row r="286839" customFormat="1" x14ac:dyDescent="0.25"/>
    <row r="286840" customFormat="1" x14ac:dyDescent="0.25"/>
    <row r="286841" customFormat="1" x14ac:dyDescent="0.25"/>
    <row r="286842" customFormat="1" x14ac:dyDescent="0.25"/>
    <row r="286843" customFormat="1" x14ac:dyDescent="0.25"/>
    <row r="286844" customFormat="1" x14ac:dyDescent="0.25"/>
    <row r="286845" customFormat="1" x14ac:dyDescent="0.25"/>
    <row r="286846" customFormat="1" x14ac:dyDescent="0.25"/>
    <row r="286847" customFormat="1" x14ac:dyDescent="0.25"/>
    <row r="286848" customFormat="1" x14ac:dyDescent="0.25"/>
    <row r="286849" customFormat="1" x14ac:dyDescent="0.25"/>
    <row r="286850" customFormat="1" x14ac:dyDescent="0.25"/>
    <row r="286851" customFormat="1" x14ac:dyDescent="0.25"/>
    <row r="286852" customFormat="1" x14ac:dyDescent="0.25"/>
    <row r="286853" customFormat="1" x14ac:dyDescent="0.25"/>
    <row r="286854" customFormat="1" x14ac:dyDescent="0.25"/>
    <row r="286855" customFormat="1" x14ac:dyDescent="0.25"/>
    <row r="286856" customFormat="1" x14ac:dyDescent="0.25"/>
    <row r="286857" customFormat="1" x14ac:dyDescent="0.25"/>
    <row r="286858" customFormat="1" x14ac:dyDescent="0.25"/>
    <row r="286859" customFormat="1" x14ac:dyDescent="0.25"/>
    <row r="286860" customFormat="1" x14ac:dyDescent="0.25"/>
    <row r="286861" customFormat="1" x14ac:dyDescent="0.25"/>
    <row r="286862" customFormat="1" x14ac:dyDescent="0.25"/>
    <row r="286863" customFormat="1" x14ac:dyDescent="0.25"/>
    <row r="286864" customFormat="1" x14ac:dyDescent="0.25"/>
    <row r="286865" customFormat="1" x14ac:dyDescent="0.25"/>
    <row r="286866" customFormat="1" x14ac:dyDescent="0.25"/>
    <row r="286867" customFormat="1" x14ac:dyDescent="0.25"/>
    <row r="286868" customFormat="1" x14ac:dyDescent="0.25"/>
    <row r="286869" customFormat="1" x14ac:dyDescent="0.25"/>
    <row r="286870" customFormat="1" x14ac:dyDescent="0.25"/>
    <row r="286871" customFormat="1" x14ac:dyDescent="0.25"/>
    <row r="286872" customFormat="1" x14ac:dyDescent="0.25"/>
    <row r="286873" customFormat="1" x14ac:dyDescent="0.25"/>
    <row r="286874" customFormat="1" x14ac:dyDescent="0.25"/>
    <row r="286875" customFormat="1" x14ac:dyDescent="0.25"/>
    <row r="286876" customFormat="1" x14ac:dyDescent="0.25"/>
    <row r="286877" customFormat="1" x14ac:dyDescent="0.25"/>
    <row r="286878" customFormat="1" x14ac:dyDescent="0.25"/>
    <row r="286879" customFormat="1" x14ac:dyDescent="0.25"/>
    <row r="286880" customFormat="1" x14ac:dyDescent="0.25"/>
    <row r="286881" customFormat="1" x14ac:dyDescent="0.25"/>
    <row r="286882" customFormat="1" x14ac:dyDescent="0.25"/>
    <row r="286883" customFormat="1" x14ac:dyDescent="0.25"/>
    <row r="286884" customFormat="1" x14ac:dyDescent="0.25"/>
    <row r="286885" customFormat="1" x14ac:dyDescent="0.25"/>
    <row r="286886" customFormat="1" x14ac:dyDescent="0.25"/>
    <row r="286887" customFormat="1" x14ac:dyDescent="0.25"/>
    <row r="286888" customFormat="1" x14ac:dyDescent="0.25"/>
    <row r="286889" customFormat="1" x14ac:dyDescent="0.25"/>
    <row r="286890" customFormat="1" x14ac:dyDescent="0.25"/>
    <row r="286891" customFormat="1" x14ac:dyDescent="0.25"/>
    <row r="286892" customFormat="1" x14ac:dyDescent="0.25"/>
    <row r="286893" customFormat="1" x14ac:dyDescent="0.25"/>
    <row r="286894" customFormat="1" x14ac:dyDescent="0.25"/>
    <row r="286895" customFormat="1" x14ac:dyDescent="0.25"/>
    <row r="286896" customFormat="1" x14ac:dyDescent="0.25"/>
    <row r="286897" customFormat="1" x14ac:dyDescent="0.25"/>
    <row r="286898" customFormat="1" x14ac:dyDescent="0.25"/>
    <row r="286899" customFormat="1" x14ac:dyDescent="0.25"/>
    <row r="286900" customFormat="1" x14ac:dyDescent="0.25"/>
    <row r="286901" customFormat="1" x14ac:dyDescent="0.25"/>
    <row r="286902" customFormat="1" x14ac:dyDescent="0.25"/>
    <row r="286903" customFormat="1" x14ac:dyDescent="0.25"/>
    <row r="286904" customFormat="1" x14ac:dyDescent="0.25"/>
    <row r="286905" customFormat="1" x14ac:dyDescent="0.25"/>
    <row r="286906" customFormat="1" x14ac:dyDescent="0.25"/>
    <row r="286907" customFormat="1" x14ac:dyDescent="0.25"/>
    <row r="286908" customFormat="1" x14ac:dyDescent="0.25"/>
    <row r="286909" customFormat="1" x14ac:dyDescent="0.25"/>
    <row r="286910" customFormat="1" x14ac:dyDescent="0.25"/>
    <row r="286911" customFormat="1" x14ac:dyDescent="0.25"/>
    <row r="286912" customFormat="1" x14ac:dyDescent="0.25"/>
    <row r="286913" customFormat="1" x14ac:dyDescent="0.25"/>
    <row r="286914" customFormat="1" x14ac:dyDescent="0.25"/>
    <row r="286915" customFormat="1" x14ac:dyDescent="0.25"/>
    <row r="286916" customFormat="1" x14ac:dyDescent="0.25"/>
    <row r="286917" customFormat="1" x14ac:dyDescent="0.25"/>
    <row r="286918" customFormat="1" x14ac:dyDescent="0.25"/>
    <row r="286919" customFormat="1" x14ac:dyDescent="0.25"/>
    <row r="286920" customFormat="1" x14ac:dyDescent="0.25"/>
    <row r="286921" customFormat="1" x14ac:dyDescent="0.25"/>
    <row r="286922" customFormat="1" x14ac:dyDescent="0.25"/>
    <row r="286923" customFormat="1" x14ac:dyDescent="0.25"/>
    <row r="286924" customFormat="1" x14ac:dyDescent="0.25"/>
    <row r="286925" customFormat="1" x14ac:dyDescent="0.25"/>
    <row r="286926" customFormat="1" x14ac:dyDescent="0.25"/>
    <row r="286927" customFormat="1" x14ac:dyDescent="0.25"/>
    <row r="286928" customFormat="1" x14ac:dyDescent="0.25"/>
    <row r="286929" customFormat="1" x14ac:dyDescent="0.25"/>
    <row r="286930" customFormat="1" x14ac:dyDescent="0.25"/>
    <row r="286931" customFormat="1" x14ac:dyDescent="0.25"/>
    <row r="286932" customFormat="1" x14ac:dyDescent="0.25"/>
    <row r="286933" customFormat="1" x14ac:dyDescent="0.25"/>
    <row r="286934" customFormat="1" x14ac:dyDescent="0.25"/>
    <row r="286935" customFormat="1" x14ac:dyDescent="0.25"/>
    <row r="286936" customFormat="1" x14ac:dyDescent="0.25"/>
    <row r="286937" customFormat="1" x14ac:dyDescent="0.25"/>
    <row r="286938" customFormat="1" x14ac:dyDescent="0.25"/>
    <row r="286939" customFormat="1" x14ac:dyDescent="0.25"/>
    <row r="286940" customFormat="1" x14ac:dyDescent="0.25"/>
    <row r="286941" customFormat="1" x14ac:dyDescent="0.25"/>
    <row r="286942" customFormat="1" x14ac:dyDescent="0.25"/>
    <row r="286943" customFormat="1" x14ac:dyDescent="0.25"/>
    <row r="286944" customFormat="1" x14ac:dyDescent="0.25"/>
    <row r="286945" customFormat="1" x14ac:dyDescent="0.25"/>
    <row r="286946" customFormat="1" x14ac:dyDescent="0.25"/>
    <row r="286947" customFormat="1" x14ac:dyDescent="0.25"/>
    <row r="286948" customFormat="1" x14ac:dyDescent="0.25"/>
    <row r="286949" customFormat="1" x14ac:dyDescent="0.25"/>
    <row r="286950" customFormat="1" x14ac:dyDescent="0.25"/>
    <row r="286951" customFormat="1" x14ac:dyDescent="0.25"/>
    <row r="286952" customFormat="1" x14ac:dyDescent="0.25"/>
    <row r="286953" customFormat="1" x14ac:dyDescent="0.25"/>
    <row r="286954" customFormat="1" x14ac:dyDescent="0.25"/>
    <row r="286955" customFormat="1" x14ac:dyDescent="0.25"/>
    <row r="286956" customFormat="1" x14ac:dyDescent="0.25"/>
    <row r="286957" customFormat="1" x14ac:dyDescent="0.25"/>
    <row r="286958" customFormat="1" x14ac:dyDescent="0.25"/>
    <row r="286959" customFormat="1" x14ac:dyDescent="0.25"/>
    <row r="286960" customFormat="1" x14ac:dyDescent="0.25"/>
    <row r="286961" customFormat="1" x14ac:dyDescent="0.25"/>
    <row r="286962" customFormat="1" x14ac:dyDescent="0.25"/>
    <row r="286963" customFormat="1" x14ac:dyDescent="0.25"/>
    <row r="286964" customFormat="1" x14ac:dyDescent="0.25"/>
    <row r="286965" customFormat="1" x14ac:dyDescent="0.25"/>
    <row r="286966" customFormat="1" x14ac:dyDescent="0.25"/>
    <row r="286967" customFormat="1" x14ac:dyDescent="0.25"/>
    <row r="286968" customFormat="1" x14ac:dyDescent="0.25"/>
    <row r="286969" customFormat="1" x14ac:dyDescent="0.25"/>
    <row r="286970" customFormat="1" x14ac:dyDescent="0.25"/>
    <row r="286971" customFormat="1" x14ac:dyDescent="0.25"/>
    <row r="286972" customFormat="1" x14ac:dyDescent="0.25"/>
    <row r="286973" customFormat="1" x14ac:dyDescent="0.25"/>
    <row r="286974" customFormat="1" x14ac:dyDescent="0.25"/>
    <row r="286975" customFormat="1" x14ac:dyDescent="0.25"/>
    <row r="286976" customFormat="1" x14ac:dyDescent="0.25"/>
    <row r="286977" customFormat="1" x14ac:dyDescent="0.25"/>
    <row r="286978" customFormat="1" x14ac:dyDescent="0.25"/>
    <row r="286979" customFormat="1" x14ac:dyDescent="0.25"/>
    <row r="286980" customFormat="1" x14ac:dyDescent="0.25"/>
    <row r="286981" customFormat="1" x14ac:dyDescent="0.25"/>
    <row r="286982" customFormat="1" x14ac:dyDescent="0.25"/>
    <row r="286983" customFormat="1" x14ac:dyDescent="0.25"/>
    <row r="286984" customFormat="1" x14ac:dyDescent="0.25"/>
    <row r="286985" customFormat="1" x14ac:dyDescent="0.25"/>
    <row r="286986" customFormat="1" x14ac:dyDescent="0.25"/>
    <row r="286987" customFormat="1" x14ac:dyDescent="0.25"/>
    <row r="286988" customFormat="1" x14ac:dyDescent="0.25"/>
    <row r="286989" customFormat="1" x14ac:dyDescent="0.25"/>
    <row r="286990" customFormat="1" x14ac:dyDescent="0.25"/>
    <row r="286991" customFormat="1" x14ac:dyDescent="0.25"/>
    <row r="286992" customFormat="1" x14ac:dyDescent="0.25"/>
    <row r="286993" customFormat="1" x14ac:dyDescent="0.25"/>
    <row r="286994" customFormat="1" x14ac:dyDescent="0.25"/>
    <row r="286995" customFormat="1" x14ac:dyDescent="0.25"/>
    <row r="286996" customFormat="1" x14ac:dyDescent="0.25"/>
    <row r="286997" customFormat="1" x14ac:dyDescent="0.25"/>
    <row r="286998" customFormat="1" x14ac:dyDescent="0.25"/>
    <row r="286999" customFormat="1" x14ac:dyDescent="0.25"/>
    <row r="287000" customFormat="1" x14ac:dyDescent="0.25"/>
    <row r="287001" customFormat="1" x14ac:dyDescent="0.25"/>
    <row r="287002" customFormat="1" x14ac:dyDescent="0.25"/>
    <row r="287003" customFormat="1" x14ac:dyDescent="0.25"/>
    <row r="287004" customFormat="1" x14ac:dyDescent="0.25"/>
    <row r="287005" customFormat="1" x14ac:dyDescent="0.25"/>
    <row r="287006" customFormat="1" x14ac:dyDescent="0.25"/>
    <row r="287007" customFormat="1" x14ac:dyDescent="0.25"/>
    <row r="287008" customFormat="1" x14ac:dyDescent="0.25"/>
    <row r="287009" customFormat="1" x14ac:dyDescent="0.25"/>
    <row r="287010" customFormat="1" x14ac:dyDescent="0.25"/>
    <row r="287011" customFormat="1" x14ac:dyDescent="0.25"/>
    <row r="287012" customFormat="1" x14ac:dyDescent="0.25"/>
    <row r="287013" customFormat="1" x14ac:dyDescent="0.25"/>
    <row r="287014" customFormat="1" x14ac:dyDescent="0.25"/>
    <row r="287015" customFormat="1" x14ac:dyDescent="0.25"/>
    <row r="287016" customFormat="1" x14ac:dyDescent="0.25"/>
    <row r="287017" customFormat="1" x14ac:dyDescent="0.25"/>
    <row r="287018" customFormat="1" x14ac:dyDescent="0.25"/>
    <row r="287019" customFormat="1" x14ac:dyDescent="0.25"/>
    <row r="287020" customFormat="1" x14ac:dyDescent="0.25"/>
    <row r="287021" customFormat="1" x14ac:dyDescent="0.25"/>
    <row r="287022" customFormat="1" x14ac:dyDescent="0.25"/>
    <row r="287023" customFormat="1" x14ac:dyDescent="0.25"/>
    <row r="287024" customFormat="1" x14ac:dyDescent="0.25"/>
    <row r="287025" customFormat="1" x14ac:dyDescent="0.25"/>
    <row r="287026" customFormat="1" x14ac:dyDescent="0.25"/>
    <row r="287027" customFormat="1" x14ac:dyDescent="0.25"/>
    <row r="287028" customFormat="1" x14ac:dyDescent="0.25"/>
    <row r="287029" customFormat="1" x14ac:dyDescent="0.25"/>
    <row r="287030" customFormat="1" x14ac:dyDescent="0.25"/>
    <row r="287031" customFormat="1" x14ac:dyDescent="0.25"/>
    <row r="287032" customFormat="1" x14ac:dyDescent="0.25"/>
    <row r="287033" customFormat="1" x14ac:dyDescent="0.25"/>
    <row r="287034" customFormat="1" x14ac:dyDescent="0.25"/>
    <row r="287035" customFormat="1" x14ac:dyDescent="0.25"/>
    <row r="287036" customFormat="1" x14ac:dyDescent="0.25"/>
    <row r="287037" customFormat="1" x14ac:dyDescent="0.25"/>
    <row r="287038" customFormat="1" x14ac:dyDescent="0.25"/>
    <row r="287039" customFormat="1" x14ac:dyDescent="0.25"/>
    <row r="287040" customFormat="1" x14ac:dyDescent="0.25"/>
    <row r="287041" customFormat="1" x14ac:dyDescent="0.25"/>
    <row r="287042" customFormat="1" x14ac:dyDescent="0.25"/>
    <row r="287043" customFormat="1" x14ac:dyDescent="0.25"/>
    <row r="287044" customFormat="1" x14ac:dyDescent="0.25"/>
    <row r="287045" customFormat="1" x14ac:dyDescent="0.25"/>
    <row r="287046" customFormat="1" x14ac:dyDescent="0.25"/>
    <row r="287047" customFormat="1" x14ac:dyDescent="0.25"/>
    <row r="287048" customFormat="1" x14ac:dyDescent="0.25"/>
    <row r="287049" customFormat="1" x14ac:dyDescent="0.25"/>
    <row r="287050" customFormat="1" x14ac:dyDescent="0.25"/>
    <row r="287051" customFormat="1" x14ac:dyDescent="0.25"/>
    <row r="287052" customFormat="1" x14ac:dyDescent="0.25"/>
    <row r="287053" customFormat="1" x14ac:dyDescent="0.25"/>
    <row r="287054" customFormat="1" x14ac:dyDescent="0.25"/>
    <row r="287055" customFormat="1" x14ac:dyDescent="0.25"/>
    <row r="287056" customFormat="1" x14ac:dyDescent="0.25"/>
    <row r="287057" customFormat="1" x14ac:dyDescent="0.25"/>
    <row r="287058" customFormat="1" x14ac:dyDescent="0.25"/>
    <row r="287059" customFormat="1" x14ac:dyDescent="0.25"/>
    <row r="287060" customFormat="1" x14ac:dyDescent="0.25"/>
    <row r="287061" customFormat="1" x14ac:dyDescent="0.25"/>
    <row r="287062" customFormat="1" x14ac:dyDescent="0.25"/>
    <row r="287063" customFormat="1" x14ac:dyDescent="0.25"/>
    <row r="287064" customFormat="1" x14ac:dyDescent="0.25"/>
    <row r="287065" customFormat="1" x14ac:dyDescent="0.25"/>
    <row r="287066" customFormat="1" x14ac:dyDescent="0.25"/>
    <row r="287067" customFormat="1" x14ac:dyDescent="0.25"/>
    <row r="287068" customFormat="1" x14ac:dyDescent="0.25"/>
    <row r="287069" customFormat="1" x14ac:dyDescent="0.25"/>
    <row r="287070" customFormat="1" x14ac:dyDescent="0.25"/>
    <row r="287071" customFormat="1" x14ac:dyDescent="0.25"/>
    <row r="287072" customFormat="1" x14ac:dyDescent="0.25"/>
    <row r="287073" customFormat="1" x14ac:dyDescent="0.25"/>
    <row r="287074" customFormat="1" x14ac:dyDescent="0.25"/>
    <row r="287075" customFormat="1" x14ac:dyDescent="0.25"/>
    <row r="287076" customFormat="1" x14ac:dyDescent="0.25"/>
    <row r="287077" customFormat="1" x14ac:dyDescent="0.25"/>
    <row r="287078" customFormat="1" x14ac:dyDescent="0.25"/>
    <row r="287079" customFormat="1" x14ac:dyDescent="0.25"/>
    <row r="287080" customFormat="1" x14ac:dyDescent="0.25"/>
    <row r="287081" customFormat="1" x14ac:dyDescent="0.25"/>
    <row r="287082" customFormat="1" x14ac:dyDescent="0.25"/>
    <row r="287083" customFormat="1" x14ac:dyDescent="0.25"/>
    <row r="287084" customFormat="1" x14ac:dyDescent="0.25"/>
    <row r="287085" customFormat="1" x14ac:dyDescent="0.25"/>
    <row r="287086" customFormat="1" x14ac:dyDescent="0.25"/>
    <row r="287087" customFormat="1" x14ac:dyDescent="0.25"/>
    <row r="287088" customFormat="1" x14ac:dyDescent="0.25"/>
    <row r="287089" customFormat="1" x14ac:dyDescent="0.25"/>
    <row r="287090" customFormat="1" x14ac:dyDescent="0.25"/>
    <row r="287091" customFormat="1" x14ac:dyDescent="0.25"/>
    <row r="287092" customFormat="1" x14ac:dyDescent="0.25"/>
    <row r="287093" customFormat="1" x14ac:dyDescent="0.25"/>
    <row r="287094" customFormat="1" x14ac:dyDescent="0.25"/>
    <row r="287095" customFormat="1" x14ac:dyDescent="0.25"/>
    <row r="287096" customFormat="1" x14ac:dyDescent="0.25"/>
    <row r="287097" customFormat="1" x14ac:dyDescent="0.25"/>
    <row r="287098" customFormat="1" x14ac:dyDescent="0.25"/>
    <row r="287099" customFormat="1" x14ac:dyDescent="0.25"/>
    <row r="287100" customFormat="1" x14ac:dyDescent="0.25"/>
    <row r="287101" customFormat="1" x14ac:dyDescent="0.25"/>
    <row r="287102" customFormat="1" x14ac:dyDescent="0.25"/>
    <row r="287103" customFormat="1" x14ac:dyDescent="0.25"/>
    <row r="287104" customFormat="1" x14ac:dyDescent="0.25"/>
    <row r="287105" customFormat="1" x14ac:dyDescent="0.25"/>
    <row r="287106" customFormat="1" x14ac:dyDescent="0.25"/>
    <row r="287107" customFormat="1" x14ac:dyDescent="0.25"/>
    <row r="287108" customFormat="1" x14ac:dyDescent="0.25"/>
    <row r="287109" customFormat="1" x14ac:dyDescent="0.25"/>
    <row r="287110" customFormat="1" x14ac:dyDescent="0.25"/>
    <row r="287111" customFormat="1" x14ac:dyDescent="0.25"/>
    <row r="287112" customFormat="1" x14ac:dyDescent="0.25"/>
    <row r="287113" customFormat="1" x14ac:dyDescent="0.25"/>
    <row r="287114" customFormat="1" x14ac:dyDescent="0.25"/>
    <row r="287115" customFormat="1" x14ac:dyDescent="0.25"/>
    <row r="287116" customFormat="1" x14ac:dyDescent="0.25"/>
    <row r="287117" customFormat="1" x14ac:dyDescent="0.25"/>
    <row r="287118" customFormat="1" x14ac:dyDescent="0.25"/>
    <row r="287119" customFormat="1" x14ac:dyDescent="0.25"/>
    <row r="287120" customFormat="1" x14ac:dyDescent="0.25"/>
    <row r="287121" customFormat="1" x14ac:dyDescent="0.25"/>
    <row r="287122" customFormat="1" x14ac:dyDescent="0.25"/>
    <row r="287123" customFormat="1" x14ac:dyDescent="0.25"/>
    <row r="287124" customFormat="1" x14ac:dyDescent="0.25"/>
    <row r="287125" customFormat="1" x14ac:dyDescent="0.25"/>
    <row r="287126" customFormat="1" x14ac:dyDescent="0.25"/>
    <row r="287127" customFormat="1" x14ac:dyDescent="0.25"/>
    <row r="287128" customFormat="1" x14ac:dyDescent="0.25"/>
    <row r="287129" customFormat="1" x14ac:dyDescent="0.25"/>
    <row r="287130" customFormat="1" x14ac:dyDescent="0.25"/>
    <row r="287131" customFormat="1" x14ac:dyDescent="0.25"/>
    <row r="287132" customFormat="1" x14ac:dyDescent="0.25"/>
    <row r="287133" customFormat="1" x14ac:dyDescent="0.25"/>
    <row r="287134" customFormat="1" x14ac:dyDescent="0.25"/>
    <row r="287135" customFormat="1" x14ac:dyDescent="0.25"/>
    <row r="287136" customFormat="1" x14ac:dyDescent="0.25"/>
    <row r="287137" customFormat="1" x14ac:dyDescent="0.25"/>
    <row r="287138" customFormat="1" x14ac:dyDescent="0.25"/>
    <row r="287139" customFormat="1" x14ac:dyDescent="0.25"/>
    <row r="287140" customFormat="1" x14ac:dyDescent="0.25"/>
    <row r="287141" customFormat="1" x14ac:dyDescent="0.25"/>
    <row r="287142" customFormat="1" x14ac:dyDescent="0.25"/>
    <row r="287143" customFormat="1" x14ac:dyDescent="0.25"/>
    <row r="287144" customFormat="1" x14ac:dyDescent="0.25"/>
    <row r="287145" customFormat="1" x14ac:dyDescent="0.25"/>
    <row r="287146" customFormat="1" x14ac:dyDescent="0.25"/>
    <row r="287147" customFormat="1" x14ac:dyDescent="0.25"/>
    <row r="287148" customFormat="1" x14ac:dyDescent="0.25"/>
    <row r="287149" customFormat="1" x14ac:dyDescent="0.25"/>
    <row r="287150" customFormat="1" x14ac:dyDescent="0.25"/>
    <row r="287151" customFormat="1" x14ac:dyDescent="0.25"/>
    <row r="287152" customFormat="1" x14ac:dyDescent="0.25"/>
    <row r="287153" customFormat="1" x14ac:dyDescent="0.25"/>
    <row r="287154" customFormat="1" x14ac:dyDescent="0.25"/>
    <row r="287155" customFormat="1" x14ac:dyDescent="0.25"/>
    <row r="287156" customFormat="1" x14ac:dyDescent="0.25"/>
    <row r="287157" customFormat="1" x14ac:dyDescent="0.25"/>
    <row r="287158" customFormat="1" x14ac:dyDescent="0.25"/>
    <row r="287159" customFormat="1" x14ac:dyDescent="0.25"/>
    <row r="287160" customFormat="1" x14ac:dyDescent="0.25"/>
    <row r="287161" customFormat="1" x14ac:dyDescent="0.25"/>
    <row r="287162" customFormat="1" x14ac:dyDescent="0.25"/>
    <row r="287163" customFormat="1" x14ac:dyDescent="0.25"/>
    <row r="287164" customFormat="1" x14ac:dyDescent="0.25"/>
    <row r="287165" customFormat="1" x14ac:dyDescent="0.25"/>
    <row r="287166" customFormat="1" x14ac:dyDescent="0.25"/>
    <row r="287167" customFormat="1" x14ac:dyDescent="0.25"/>
    <row r="287168" customFormat="1" x14ac:dyDescent="0.25"/>
    <row r="287169" customFormat="1" x14ac:dyDescent="0.25"/>
    <row r="287170" customFormat="1" x14ac:dyDescent="0.25"/>
    <row r="287171" customFormat="1" x14ac:dyDescent="0.25"/>
    <row r="287172" customFormat="1" x14ac:dyDescent="0.25"/>
    <row r="287173" customFormat="1" x14ac:dyDescent="0.25"/>
    <row r="287174" customFormat="1" x14ac:dyDescent="0.25"/>
    <row r="287175" customFormat="1" x14ac:dyDescent="0.25"/>
    <row r="287176" customFormat="1" x14ac:dyDescent="0.25"/>
    <row r="287177" customFormat="1" x14ac:dyDescent="0.25"/>
    <row r="287178" customFormat="1" x14ac:dyDescent="0.25"/>
    <row r="287179" customFormat="1" x14ac:dyDescent="0.25"/>
    <row r="287180" customFormat="1" x14ac:dyDescent="0.25"/>
    <row r="287181" customFormat="1" x14ac:dyDescent="0.25"/>
    <row r="287182" customFormat="1" x14ac:dyDescent="0.25"/>
    <row r="287183" customFormat="1" x14ac:dyDescent="0.25"/>
    <row r="287184" customFormat="1" x14ac:dyDescent="0.25"/>
    <row r="287185" customFormat="1" x14ac:dyDescent="0.25"/>
    <row r="287186" customFormat="1" x14ac:dyDescent="0.25"/>
    <row r="287187" customFormat="1" x14ac:dyDescent="0.25"/>
    <row r="287188" customFormat="1" x14ac:dyDescent="0.25"/>
    <row r="287189" customFormat="1" x14ac:dyDescent="0.25"/>
    <row r="287190" customFormat="1" x14ac:dyDescent="0.25"/>
    <row r="287191" customFormat="1" x14ac:dyDescent="0.25"/>
    <row r="287192" customFormat="1" x14ac:dyDescent="0.25"/>
    <row r="287193" customFormat="1" x14ac:dyDescent="0.25"/>
    <row r="287194" customFormat="1" x14ac:dyDescent="0.25"/>
    <row r="287195" customFormat="1" x14ac:dyDescent="0.25"/>
    <row r="287196" customFormat="1" x14ac:dyDescent="0.25"/>
    <row r="287197" customFormat="1" x14ac:dyDescent="0.25"/>
    <row r="287198" customFormat="1" x14ac:dyDescent="0.25"/>
    <row r="287199" customFormat="1" x14ac:dyDescent="0.25"/>
    <row r="287200" customFormat="1" x14ac:dyDescent="0.25"/>
    <row r="287201" customFormat="1" x14ac:dyDescent="0.25"/>
    <row r="287202" customFormat="1" x14ac:dyDescent="0.25"/>
    <row r="287203" customFormat="1" x14ac:dyDescent="0.25"/>
    <row r="287204" customFormat="1" x14ac:dyDescent="0.25"/>
    <row r="287205" customFormat="1" x14ac:dyDescent="0.25"/>
    <row r="287206" customFormat="1" x14ac:dyDescent="0.25"/>
    <row r="287207" customFormat="1" x14ac:dyDescent="0.25"/>
    <row r="287208" customFormat="1" x14ac:dyDescent="0.25"/>
    <row r="287209" customFormat="1" x14ac:dyDescent="0.25"/>
    <row r="287210" customFormat="1" x14ac:dyDescent="0.25"/>
    <row r="287211" customFormat="1" x14ac:dyDescent="0.25"/>
    <row r="287212" customFormat="1" x14ac:dyDescent="0.25"/>
    <row r="287213" customFormat="1" x14ac:dyDescent="0.25"/>
    <row r="287214" customFormat="1" x14ac:dyDescent="0.25"/>
    <row r="287215" customFormat="1" x14ac:dyDescent="0.25"/>
    <row r="287216" customFormat="1" x14ac:dyDescent="0.25"/>
    <row r="287217" customFormat="1" x14ac:dyDescent="0.25"/>
    <row r="287218" customFormat="1" x14ac:dyDescent="0.25"/>
    <row r="287219" customFormat="1" x14ac:dyDescent="0.25"/>
    <row r="287220" customFormat="1" x14ac:dyDescent="0.25"/>
    <row r="287221" customFormat="1" x14ac:dyDescent="0.25"/>
    <row r="287222" customFormat="1" x14ac:dyDescent="0.25"/>
    <row r="287223" customFormat="1" x14ac:dyDescent="0.25"/>
    <row r="287224" customFormat="1" x14ac:dyDescent="0.25"/>
    <row r="287225" customFormat="1" x14ac:dyDescent="0.25"/>
    <row r="287226" customFormat="1" x14ac:dyDescent="0.25"/>
    <row r="287227" customFormat="1" x14ac:dyDescent="0.25"/>
    <row r="287228" customFormat="1" x14ac:dyDescent="0.25"/>
    <row r="287229" customFormat="1" x14ac:dyDescent="0.25"/>
    <row r="287230" customFormat="1" x14ac:dyDescent="0.25"/>
    <row r="287231" customFormat="1" x14ac:dyDescent="0.25"/>
    <row r="287232" customFormat="1" x14ac:dyDescent="0.25"/>
    <row r="287233" customFormat="1" x14ac:dyDescent="0.25"/>
    <row r="287234" customFormat="1" x14ac:dyDescent="0.25"/>
    <row r="287235" customFormat="1" x14ac:dyDescent="0.25"/>
    <row r="287236" customFormat="1" x14ac:dyDescent="0.25"/>
    <row r="287237" customFormat="1" x14ac:dyDescent="0.25"/>
    <row r="287238" customFormat="1" x14ac:dyDescent="0.25"/>
    <row r="287239" customFormat="1" x14ac:dyDescent="0.25"/>
    <row r="287240" customFormat="1" x14ac:dyDescent="0.25"/>
    <row r="287241" customFormat="1" x14ac:dyDescent="0.25"/>
    <row r="287242" customFormat="1" x14ac:dyDescent="0.25"/>
    <row r="287243" customFormat="1" x14ac:dyDescent="0.25"/>
    <row r="287244" customFormat="1" x14ac:dyDescent="0.25"/>
    <row r="287245" customFormat="1" x14ac:dyDescent="0.25"/>
    <row r="287246" customFormat="1" x14ac:dyDescent="0.25"/>
    <row r="287247" customFormat="1" x14ac:dyDescent="0.25"/>
    <row r="287248" customFormat="1" x14ac:dyDescent="0.25"/>
    <row r="287249" customFormat="1" x14ac:dyDescent="0.25"/>
    <row r="287250" customFormat="1" x14ac:dyDescent="0.25"/>
    <row r="287251" customFormat="1" x14ac:dyDescent="0.25"/>
    <row r="287252" customFormat="1" x14ac:dyDescent="0.25"/>
    <row r="287253" customFormat="1" x14ac:dyDescent="0.25"/>
    <row r="287254" customFormat="1" x14ac:dyDescent="0.25"/>
    <row r="287255" customFormat="1" x14ac:dyDescent="0.25"/>
    <row r="287256" customFormat="1" x14ac:dyDescent="0.25"/>
    <row r="287257" customFormat="1" x14ac:dyDescent="0.25"/>
    <row r="287258" customFormat="1" x14ac:dyDescent="0.25"/>
    <row r="287259" customFormat="1" x14ac:dyDescent="0.25"/>
    <row r="287260" customFormat="1" x14ac:dyDescent="0.25"/>
    <row r="287261" customFormat="1" x14ac:dyDescent="0.25"/>
    <row r="287262" customFormat="1" x14ac:dyDescent="0.25"/>
    <row r="287263" customFormat="1" x14ac:dyDescent="0.25"/>
    <row r="287264" customFormat="1" x14ac:dyDescent="0.25"/>
    <row r="287265" customFormat="1" x14ac:dyDescent="0.25"/>
    <row r="287266" customFormat="1" x14ac:dyDescent="0.25"/>
    <row r="287267" customFormat="1" x14ac:dyDescent="0.25"/>
    <row r="287268" customFormat="1" x14ac:dyDescent="0.25"/>
    <row r="287269" customFormat="1" x14ac:dyDescent="0.25"/>
    <row r="287270" customFormat="1" x14ac:dyDescent="0.25"/>
    <row r="287271" customFormat="1" x14ac:dyDescent="0.25"/>
    <row r="287272" customFormat="1" x14ac:dyDescent="0.25"/>
    <row r="287273" customFormat="1" x14ac:dyDescent="0.25"/>
    <row r="287274" customFormat="1" x14ac:dyDescent="0.25"/>
    <row r="287275" customFormat="1" x14ac:dyDescent="0.25"/>
    <row r="287276" customFormat="1" x14ac:dyDescent="0.25"/>
    <row r="287277" customFormat="1" x14ac:dyDescent="0.25"/>
    <row r="287278" customFormat="1" x14ac:dyDescent="0.25"/>
    <row r="287279" customFormat="1" x14ac:dyDescent="0.25"/>
    <row r="287280" customFormat="1" x14ac:dyDescent="0.25"/>
    <row r="287281" customFormat="1" x14ac:dyDescent="0.25"/>
    <row r="287282" customFormat="1" x14ac:dyDescent="0.25"/>
    <row r="287283" customFormat="1" x14ac:dyDescent="0.25"/>
    <row r="287284" customFormat="1" x14ac:dyDescent="0.25"/>
    <row r="287285" customFormat="1" x14ac:dyDescent="0.25"/>
    <row r="287286" customFormat="1" x14ac:dyDescent="0.25"/>
    <row r="287287" customFormat="1" x14ac:dyDescent="0.25"/>
    <row r="287288" customFormat="1" x14ac:dyDescent="0.25"/>
    <row r="287289" customFormat="1" x14ac:dyDescent="0.25"/>
    <row r="287290" customFormat="1" x14ac:dyDescent="0.25"/>
    <row r="287291" customFormat="1" x14ac:dyDescent="0.25"/>
    <row r="287292" customFormat="1" x14ac:dyDescent="0.25"/>
    <row r="287293" customFormat="1" x14ac:dyDescent="0.25"/>
    <row r="287294" customFormat="1" x14ac:dyDescent="0.25"/>
    <row r="287295" customFormat="1" x14ac:dyDescent="0.25"/>
    <row r="287296" customFormat="1" x14ac:dyDescent="0.25"/>
    <row r="287297" customFormat="1" x14ac:dyDescent="0.25"/>
    <row r="287298" customFormat="1" x14ac:dyDescent="0.25"/>
    <row r="287299" customFormat="1" x14ac:dyDescent="0.25"/>
    <row r="287300" customFormat="1" x14ac:dyDescent="0.25"/>
    <row r="287301" customFormat="1" x14ac:dyDescent="0.25"/>
    <row r="287302" customFormat="1" x14ac:dyDescent="0.25"/>
    <row r="287303" customFormat="1" x14ac:dyDescent="0.25"/>
    <row r="287304" customFormat="1" x14ac:dyDescent="0.25"/>
    <row r="287305" customFormat="1" x14ac:dyDescent="0.25"/>
    <row r="287306" customFormat="1" x14ac:dyDescent="0.25"/>
    <row r="287307" customFormat="1" x14ac:dyDescent="0.25"/>
    <row r="287308" customFormat="1" x14ac:dyDescent="0.25"/>
    <row r="287309" customFormat="1" x14ac:dyDescent="0.25"/>
    <row r="287310" customFormat="1" x14ac:dyDescent="0.25"/>
    <row r="287311" customFormat="1" x14ac:dyDescent="0.25"/>
    <row r="287312" customFormat="1" x14ac:dyDescent="0.25"/>
    <row r="287313" customFormat="1" x14ac:dyDescent="0.25"/>
    <row r="287314" customFormat="1" x14ac:dyDescent="0.25"/>
    <row r="287315" customFormat="1" x14ac:dyDescent="0.25"/>
    <row r="287316" customFormat="1" x14ac:dyDescent="0.25"/>
    <row r="287317" customFormat="1" x14ac:dyDescent="0.25"/>
    <row r="287318" customFormat="1" x14ac:dyDescent="0.25"/>
    <row r="287319" customFormat="1" x14ac:dyDescent="0.25"/>
    <row r="287320" customFormat="1" x14ac:dyDescent="0.25"/>
    <row r="287321" customFormat="1" x14ac:dyDescent="0.25"/>
    <row r="287322" customFormat="1" x14ac:dyDescent="0.25"/>
    <row r="287323" customFormat="1" x14ac:dyDescent="0.25"/>
    <row r="287324" customFormat="1" x14ac:dyDescent="0.25"/>
    <row r="287325" customFormat="1" x14ac:dyDescent="0.25"/>
    <row r="287326" customFormat="1" x14ac:dyDescent="0.25"/>
    <row r="287327" customFormat="1" x14ac:dyDescent="0.25"/>
    <row r="287328" customFormat="1" x14ac:dyDescent="0.25"/>
    <row r="287329" customFormat="1" x14ac:dyDescent="0.25"/>
    <row r="287330" customFormat="1" x14ac:dyDescent="0.25"/>
    <row r="287331" customFormat="1" x14ac:dyDescent="0.25"/>
    <row r="287332" customFormat="1" x14ac:dyDescent="0.25"/>
    <row r="287333" customFormat="1" x14ac:dyDescent="0.25"/>
    <row r="287334" customFormat="1" x14ac:dyDescent="0.25"/>
    <row r="287335" customFormat="1" x14ac:dyDescent="0.25"/>
    <row r="287336" customFormat="1" x14ac:dyDescent="0.25"/>
    <row r="287337" customFormat="1" x14ac:dyDescent="0.25"/>
    <row r="287338" customFormat="1" x14ac:dyDescent="0.25"/>
    <row r="287339" customFormat="1" x14ac:dyDescent="0.25"/>
    <row r="287340" customFormat="1" x14ac:dyDescent="0.25"/>
    <row r="287341" customFormat="1" x14ac:dyDescent="0.25"/>
    <row r="287342" customFormat="1" x14ac:dyDescent="0.25"/>
    <row r="287343" customFormat="1" x14ac:dyDescent="0.25"/>
    <row r="287344" customFormat="1" x14ac:dyDescent="0.25"/>
    <row r="287345" customFormat="1" x14ac:dyDescent="0.25"/>
    <row r="287346" customFormat="1" x14ac:dyDescent="0.25"/>
    <row r="287347" customFormat="1" x14ac:dyDescent="0.25"/>
    <row r="287348" customFormat="1" x14ac:dyDescent="0.25"/>
    <row r="287349" customFormat="1" x14ac:dyDescent="0.25"/>
    <row r="287350" customFormat="1" x14ac:dyDescent="0.25"/>
    <row r="287351" customFormat="1" x14ac:dyDescent="0.25"/>
    <row r="287352" customFormat="1" x14ac:dyDescent="0.25"/>
    <row r="287353" customFormat="1" x14ac:dyDescent="0.25"/>
    <row r="287354" customFormat="1" x14ac:dyDescent="0.25"/>
    <row r="287355" customFormat="1" x14ac:dyDescent="0.25"/>
    <row r="287356" customFormat="1" x14ac:dyDescent="0.25"/>
    <row r="287357" customFormat="1" x14ac:dyDescent="0.25"/>
    <row r="287358" customFormat="1" x14ac:dyDescent="0.25"/>
    <row r="287359" customFormat="1" x14ac:dyDescent="0.25"/>
    <row r="287360" customFormat="1" x14ac:dyDescent="0.25"/>
    <row r="287361" customFormat="1" x14ac:dyDescent="0.25"/>
    <row r="287362" customFormat="1" x14ac:dyDescent="0.25"/>
    <row r="287363" customFormat="1" x14ac:dyDescent="0.25"/>
    <row r="287364" customFormat="1" x14ac:dyDescent="0.25"/>
    <row r="287365" customFormat="1" x14ac:dyDescent="0.25"/>
    <row r="287366" customFormat="1" x14ac:dyDescent="0.25"/>
    <row r="287367" customFormat="1" x14ac:dyDescent="0.25"/>
    <row r="287368" customFormat="1" x14ac:dyDescent="0.25"/>
    <row r="287369" customFormat="1" x14ac:dyDescent="0.25"/>
    <row r="287370" customFormat="1" x14ac:dyDescent="0.25"/>
    <row r="287371" customFormat="1" x14ac:dyDescent="0.25"/>
    <row r="287372" customFormat="1" x14ac:dyDescent="0.25"/>
    <row r="287373" customFormat="1" x14ac:dyDescent="0.25"/>
    <row r="287374" customFormat="1" x14ac:dyDescent="0.25"/>
    <row r="287375" customFormat="1" x14ac:dyDescent="0.25"/>
    <row r="287376" customFormat="1" x14ac:dyDescent="0.25"/>
    <row r="287377" customFormat="1" x14ac:dyDescent="0.25"/>
    <row r="287378" customFormat="1" x14ac:dyDescent="0.25"/>
    <row r="287379" customFormat="1" x14ac:dyDescent="0.25"/>
    <row r="287380" customFormat="1" x14ac:dyDescent="0.25"/>
    <row r="287381" customFormat="1" x14ac:dyDescent="0.25"/>
    <row r="287382" customFormat="1" x14ac:dyDescent="0.25"/>
    <row r="287383" customFormat="1" x14ac:dyDescent="0.25"/>
    <row r="287384" customFormat="1" x14ac:dyDescent="0.25"/>
    <row r="287385" customFormat="1" x14ac:dyDescent="0.25"/>
    <row r="287386" customFormat="1" x14ac:dyDescent="0.25"/>
    <row r="287387" customFormat="1" x14ac:dyDescent="0.25"/>
    <row r="287388" customFormat="1" x14ac:dyDescent="0.25"/>
    <row r="287389" customFormat="1" x14ac:dyDescent="0.25"/>
    <row r="287390" customFormat="1" x14ac:dyDescent="0.25"/>
    <row r="287391" customFormat="1" x14ac:dyDescent="0.25"/>
    <row r="287392" customFormat="1" x14ac:dyDescent="0.25"/>
    <row r="287393" customFormat="1" x14ac:dyDescent="0.25"/>
    <row r="287394" customFormat="1" x14ac:dyDescent="0.25"/>
    <row r="287395" customFormat="1" x14ac:dyDescent="0.25"/>
    <row r="287396" customFormat="1" x14ac:dyDescent="0.25"/>
    <row r="287397" customFormat="1" x14ac:dyDescent="0.25"/>
    <row r="287398" customFormat="1" x14ac:dyDescent="0.25"/>
    <row r="287399" customFormat="1" x14ac:dyDescent="0.25"/>
    <row r="287400" customFormat="1" x14ac:dyDescent="0.25"/>
    <row r="287401" customFormat="1" x14ac:dyDescent="0.25"/>
    <row r="287402" customFormat="1" x14ac:dyDescent="0.25"/>
    <row r="287403" customFormat="1" x14ac:dyDescent="0.25"/>
    <row r="287404" customFormat="1" x14ac:dyDescent="0.25"/>
    <row r="287405" customFormat="1" x14ac:dyDescent="0.25"/>
    <row r="287406" customFormat="1" x14ac:dyDescent="0.25"/>
    <row r="287407" customFormat="1" x14ac:dyDescent="0.25"/>
    <row r="287408" customFormat="1" x14ac:dyDescent="0.25"/>
    <row r="287409" customFormat="1" x14ac:dyDescent="0.25"/>
    <row r="287410" customFormat="1" x14ac:dyDescent="0.25"/>
    <row r="287411" customFormat="1" x14ac:dyDescent="0.25"/>
    <row r="287412" customFormat="1" x14ac:dyDescent="0.25"/>
    <row r="287413" customFormat="1" x14ac:dyDescent="0.25"/>
    <row r="287414" customFormat="1" x14ac:dyDescent="0.25"/>
    <row r="287415" customFormat="1" x14ac:dyDescent="0.25"/>
    <row r="287416" customFormat="1" x14ac:dyDescent="0.25"/>
    <row r="287417" customFormat="1" x14ac:dyDescent="0.25"/>
    <row r="287418" customFormat="1" x14ac:dyDescent="0.25"/>
    <row r="287419" customFormat="1" x14ac:dyDescent="0.25"/>
    <row r="287420" customFormat="1" x14ac:dyDescent="0.25"/>
    <row r="287421" customFormat="1" x14ac:dyDescent="0.25"/>
    <row r="287422" customFormat="1" x14ac:dyDescent="0.25"/>
    <row r="287423" customFormat="1" x14ac:dyDescent="0.25"/>
    <row r="287424" customFormat="1" x14ac:dyDescent="0.25"/>
    <row r="287425" customFormat="1" x14ac:dyDescent="0.25"/>
    <row r="287426" customFormat="1" x14ac:dyDescent="0.25"/>
    <row r="287427" customFormat="1" x14ac:dyDescent="0.25"/>
    <row r="287428" customFormat="1" x14ac:dyDescent="0.25"/>
    <row r="287429" customFormat="1" x14ac:dyDescent="0.25"/>
    <row r="287430" customFormat="1" x14ac:dyDescent="0.25"/>
    <row r="287431" customFormat="1" x14ac:dyDescent="0.25"/>
    <row r="287432" customFormat="1" x14ac:dyDescent="0.25"/>
    <row r="287433" customFormat="1" x14ac:dyDescent="0.25"/>
    <row r="287434" customFormat="1" x14ac:dyDescent="0.25"/>
    <row r="287435" customFormat="1" x14ac:dyDescent="0.25"/>
    <row r="287436" customFormat="1" x14ac:dyDescent="0.25"/>
    <row r="287437" customFormat="1" x14ac:dyDescent="0.25"/>
    <row r="287438" customFormat="1" x14ac:dyDescent="0.25"/>
    <row r="287439" customFormat="1" x14ac:dyDescent="0.25"/>
    <row r="287440" customFormat="1" x14ac:dyDescent="0.25"/>
    <row r="287441" customFormat="1" x14ac:dyDescent="0.25"/>
    <row r="287442" customFormat="1" x14ac:dyDescent="0.25"/>
    <row r="287443" customFormat="1" x14ac:dyDescent="0.25"/>
    <row r="287444" customFormat="1" x14ac:dyDescent="0.25"/>
    <row r="287445" customFormat="1" x14ac:dyDescent="0.25"/>
    <row r="287446" customFormat="1" x14ac:dyDescent="0.25"/>
    <row r="287447" customFormat="1" x14ac:dyDescent="0.25"/>
    <row r="287448" customFormat="1" x14ac:dyDescent="0.25"/>
    <row r="287449" customFormat="1" x14ac:dyDescent="0.25"/>
    <row r="287450" customFormat="1" x14ac:dyDescent="0.25"/>
    <row r="287451" customFormat="1" x14ac:dyDescent="0.25"/>
    <row r="287452" customFormat="1" x14ac:dyDescent="0.25"/>
    <row r="287453" customFormat="1" x14ac:dyDescent="0.25"/>
    <row r="287454" customFormat="1" x14ac:dyDescent="0.25"/>
    <row r="287455" customFormat="1" x14ac:dyDescent="0.25"/>
    <row r="287456" customFormat="1" x14ac:dyDescent="0.25"/>
    <row r="287457" customFormat="1" x14ac:dyDescent="0.25"/>
    <row r="287458" customFormat="1" x14ac:dyDescent="0.25"/>
    <row r="287459" customFormat="1" x14ac:dyDescent="0.25"/>
    <row r="287460" customFormat="1" x14ac:dyDescent="0.25"/>
    <row r="287461" customFormat="1" x14ac:dyDescent="0.25"/>
    <row r="287462" customFormat="1" x14ac:dyDescent="0.25"/>
    <row r="287463" customFormat="1" x14ac:dyDescent="0.25"/>
    <row r="287464" customFormat="1" x14ac:dyDescent="0.25"/>
    <row r="287465" customFormat="1" x14ac:dyDescent="0.25"/>
    <row r="287466" customFormat="1" x14ac:dyDescent="0.25"/>
    <row r="287467" customFormat="1" x14ac:dyDescent="0.25"/>
    <row r="287468" customFormat="1" x14ac:dyDescent="0.25"/>
    <row r="287469" customFormat="1" x14ac:dyDescent="0.25"/>
    <row r="287470" customFormat="1" x14ac:dyDescent="0.25"/>
    <row r="287471" customFormat="1" x14ac:dyDescent="0.25"/>
    <row r="287472" customFormat="1" x14ac:dyDescent="0.25"/>
    <row r="287473" customFormat="1" x14ac:dyDescent="0.25"/>
    <row r="287474" customFormat="1" x14ac:dyDescent="0.25"/>
    <row r="287475" customFormat="1" x14ac:dyDescent="0.25"/>
    <row r="287476" customFormat="1" x14ac:dyDescent="0.25"/>
    <row r="287477" customFormat="1" x14ac:dyDescent="0.25"/>
    <row r="287478" customFormat="1" x14ac:dyDescent="0.25"/>
    <row r="287479" customFormat="1" x14ac:dyDescent="0.25"/>
    <row r="287480" customFormat="1" x14ac:dyDescent="0.25"/>
    <row r="287481" customFormat="1" x14ac:dyDescent="0.25"/>
    <row r="287482" customFormat="1" x14ac:dyDescent="0.25"/>
    <row r="287483" customFormat="1" x14ac:dyDescent="0.25"/>
    <row r="287484" customFormat="1" x14ac:dyDescent="0.25"/>
    <row r="287485" customFormat="1" x14ac:dyDescent="0.25"/>
    <row r="287486" customFormat="1" x14ac:dyDescent="0.25"/>
    <row r="287487" customFormat="1" x14ac:dyDescent="0.25"/>
    <row r="287488" customFormat="1" x14ac:dyDescent="0.25"/>
    <row r="287489" customFormat="1" x14ac:dyDescent="0.25"/>
    <row r="287490" customFormat="1" x14ac:dyDescent="0.25"/>
    <row r="287491" customFormat="1" x14ac:dyDescent="0.25"/>
    <row r="287492" customFormat="1" x14ac:dyDescent="0.25"/>
    <row r="287493" customFormat="1" x14ac:dyDescent="0.25"/>
    <row r="287494" customFormat="1" x14ac:dyDescent="0.25"/>
    <row r="287495" customFormat="1" x14ac:dyDescent="0.25"/>
    <row r="287496" customFormat="1" x14ac:dyDescent="0.25"/>
    <row r="287497" customFormat="1" x14ac:dyDescent="0.25"/>
    <row r="287498" customFormat="1" x14ac:dyDescent="0.25"/>
    <row r="287499" customFormat="1" x14ac:dyDescent="0.25"/>
    <row r="287500" customFormat="1" x14ac:dyDescent="0.25"/>
    <row r="287501" customFormat="1" x14ac:dyDescent="0.25"/>
    <row r="287502" customFormat="1" x14ac:dyDescent="0.25"/>
    <row r="287503" customFormat="1" x14ac:dyDescent="0.25"/>
    <row r="287504" customFormat="1" x14ac:dyDescent="0.25"/>
    <row r="287505" customFormat="1" x14ac:dyDescent="0.25"/>
    <row r="287506" customFormat="1" x14ac:dyDescent="0.25"/>
    <row r="287507" customFormat="1" x14ac:dyDescent="0.25"/>
    <row r="287508" customFormat="1" x14ac:dyDescent="0.25"/>
    <row r="287509" customFormat="1" x14ac:dyDescent="0.25"/>
    <row r="287510" customFormat="1" x14ac:dyDescent="0.25"/>
    <row r="287511" customFormat="1" x14ac:dyDescent="0.25"/>
    <row r="287512" customFormat="1" x14ac:dyDescent="0.25"/>
    <row r="287513" customFormat="1" x14ac:dyDescent="0.25"/>
    <row r="287514" customFormat="1" x14ac:dyDescent="0.25"/>
    <row r="287515" customFormat="1" x14ac:dyDescent="0.25"/>
    <row r="287516" customFormat="1" x14ac:dyDescent="0.25"/>
    <row r="287517" customFormat="1" x14ac:dyDescent="0.25"/>
    <row r="287518" customFormat="1" x14ac:dyDescent="0.25"/>
    <row r="287519" customFormat="1" x14ac:dyDescent="0.25"/>
    <row r="287520" customFormat="1" x14ac:dyDescent="0.25"/>
    <row r="287521" customFormat="1" x14ac:dyDescent="0.25"/>
    <row r="287522" customFormat="1" x14ac:dyDescent="0.25"/>
    <row r="287523" customFormat="1" x14ac:dyDescent="0.25"/>
    <row r="287524" customFormat="1" x14ac:dyDescent="0.25"/>
    <row r="287525" customFormat="1" x14ac:dyDescent="0.25"/>
    <row r="287526" customFormat="1" x14ac:dyDescent="0.25"/>
    <row r="287527" customFormat="1" x14ac:dyDescent="0.25"/>
    <row r="287528" customFormat="1" x14ac:dyDescent="0.25"/>
    <row r="287529" customFormat="1" x14ac:dyDescent="0.25"/>
    <row r="287530" customFormat="1" x14ac:dyDescent="0.25"/>
    <row r="287531" customFormat="1" x14ac:dyDescent="0.25"/>
    <row r="287532" customFormat="1" x14ac:dyDescent="0.25"/>
    <row r="287533" customFormat="1" x14ac:dyDescent="0.25"/>
    <row r="287534" customFormat="1" x14ac:dyDescent="0.25"/>
    <row r="287535" customFormat="1" x14ac:dyDescent="0.25"/>
    <row r="287536" customFormat="1" x14ac:dyDescent="0.25"/>
    <row r="287537" customFormat="1" x14ac:dyDescent="0.25"/>
    <row r="287538" customFormat="1" x14ac:dyDescent="0.25"/>
    <row r="287539" customFormat="1" x14ac:dyDescent="0.25"/>
    <row r="287540" customFormat="1" x14ac:dyDescent="0.25"/>
    <row r="287541" customFormat="1" x14ac:dyDescent="0.25"/>
    <row r="287542" customFormat="1" x14ac:dyDescent="0.25"/>
    <row r="287543" customFormat="1" x14ac:dyDescent="0.25"/>
    <row r="287544" customFormat="1" x14ac:dyDescent="0.25"/>
    <row r="287545" customFormat="1" x14ac:dyDescent="0.25"/>
    <row r="287546" customFormat="1" x14ac:dyDescent="0.25"/>
    <row r="287547" customFormat="1" x14ac:dyDescent="0.25"/>
    <row r="287548" customFormat="1" x14ac:dyDescent="0.25"/>
    <row r="287549" customFormat="1" x14ac:dyDescent="0.25"/>
    <row r="287550" customFormat="1" x14ac:dyDescent="0.25"/>
    <row r="287551" customFormat="1" x14ac:dyDescent="0.25"/>
    <row r="287552" customFormat="1" x14ac:dyDescent="0.25"/>
    <row r="287553" customFormat="1" x14ac:dyDescent="0.25"/>
    <row r="287554" customFormat="1" x14ac:dyDescent="0.25"/>
    <row r="287555" customFormat="1" x14ac:dyDescent="0.25"/>
    <row r="287556" customFormat="1" x14ac:dyDescent="0.25"/>
    <row r="287557" customFormat="1" x14ac:dyDescent="0.25"/>
    <row r="287558" customFormat="1" x14ac:dyDescent="0.25"/>
    <row r="287559" customFormat="1" x14ac:dyDescent="0.25"/>
    <row r="287560" customFormat="1" x14ac:dyDescent="0.25"/>
    <row r="287561" customFormat="1" x14ac:dyDescent="0.25"/>
    <row r="287562" customFormat="1" x14ac:dyDescent="0.25"/>
    <row r="287563" customFormat="1" x14ac:dyDescent="0.25"/>
    <row r="287564" customFormat="1" x14ac:dyDescent="0.25"/>
    <row r="287565" customFormat="1" x14ac:dyDescent="0.25"/>
    <row r="287566" customFormat="1" x14ac:dyDescent="0.25"/>
    <row r="287567" customFormat="1" x14ac:dyDescent="0.25"/>
    <row r="287568" customFormat="1" x14ac:dyDescent="0.25"/>
    <row r="287569" customFormat="1" x14ac:dyDescent="0.25"/>
    <row r="287570" customFormat="1" x14ac:dyDescent="0.25"/>
    <row r="287571" customFormat="1" x14ac:dyDescent="0.25"/>
    <row r="287572" customFormat="1" x14ac:dyDescent="0.25"/>
    <row r="287573" customFormat="1" x14ac:dyDescent="0.25"/>
    <row r="287574" customFormat="1" x14ac:dyDescent="0.25"/>
    <row r="287575" customFormat="1" x14ac:dyDescent="0.25"/>
    <row r="287576" customFormat="1" x14ac:dyDescent="0.25"/>
    <row r="287577" customFormat="1" x14ac:dyDescent="0.25"/>
    <row r="287578" customFormat="1" x14ac:dyDescent="0.25"/>
    <row r="287579" customFormat="1" x14ac:dyDescent="0.25"/>
    <row r="287580" customFormat="1" x14ac:dyDescent="0.25"/>
    <row r="287581" customFormat="1" x14ac:dyDescent="0.25"/>
    <row r="287582" customFormat="1" x14ac:dyDescent="0.25"/>
    <row r="287583" customFormat="1" x14ac:dyDescent="0.25"/>
    <row r="287584" customFormat="1" x14ac:dyDescent="0.25"/>
    <row r="287585" customFormat="1" x14ac:dyDescent="0.25"/>
    <row r="287586" customFormat="1" x14ac:dyDescent="0.25"/>
    <row r="287587" customFormat="1" x14ac:dyDescent="0.25"/>
    <row r="287588" customFormat="1" x14ac:dyDescent="0.25"/>
    <row r="287589" customFormat="1" x14ac:dyDescent="0.25"/>
    <row r="287590" customFormat="1" x14ac:dyDescent="0.25"/>
    <row r="287591" customFormat="1" x14ac:dyDescent="0.25"/>
    <row r="287592" customFormat="1" x14ac:dyDescent="0.25"/>
    <row r="287593" customFormat="1" x14ac:dyDescent="0.25"/>
    <row r="287594" customFormat="1" x14ac:dyDescent="0.25"/>
    <row r="287595" customFormat="1" x14ac:dyDescent="0.25"/>
    <row r="287596" customFormat="1" x14ac:dyDescent="0.25"/>
    <row r="287597" customFormat="1" x14ac:dyDescent="0.25"/>
    <row r="287598" customFormat="1" x14ac:dyDescent="0.25"/>
    <row r="287599" customFormat="1" x14ac:dyDescent="0.25"/>
    <row r="287600" customFormat="1" x14ac:dyDescent="0.25"/>
    <row r="287601" customFormat="1" x14ac:dyDescent="0.25"/>
    <row r="287602" customFormat="1" x14ac:dyDescent="0.25"/>
    <row r="287603" customFormat="1" x14ac:dyDescent="0.25"/>
    <row r="287604" customFormat="1" x14ac:dyDescent="0.25"/>
    <row r="287605" customFormat="1" x14ac:dyDescent="0.25"/>
    <row r="287606" customFormat="1" x14ac:dyDescent="0.25"/>
    <row r="287607" customFormat="1" x14ac:dyDescent="0.25"/>
    <row r="287608" customFormat="1" x14ac:dyDescent="0.25"/>
    <row r="287609" customFormat="1" x14ac:dyDescent="0.25"/>
    <row r="287610" customFormat="1" x14ac:dyDescent="0.25"/>
    <row r="287611" customFormat="1" x14ac:dyDescent="0.25"/>
    <row r="287612" customFormat="1" x14ac:dyDescent="0.25"/>
    <row r="287613" customFormat="1" x14ac:dyDescent="0.25"/>
    <row r="287614" customFormat="1" x14ac:dyDescent="0.25"/>
    <row r="287615" customFormat="1" x14ac:dyDescent="0.25"/>
    <row r="287616" customFormat="1" x14ac:dyDescent="0.25"/>
    <row r="287617" customFormat="1" x14ac:dyDescent="0.25"/>
    <row r="287618" customFormat="1" x14ac:dyDescent="0.25"/>
    <row r="287619" customFormat="1" x14ac:dyDescent="0.25"/>
    <row r="287620" customFormat="1" x14ac:dyDescent="0.25"/>
    <row r="287621" customFormat="1" x14ac:dyDescent="0.25"/>
    <row r="287622" customFormat="1" x14ac:dyDescent="0.25"/>
    <row r="287623" customFormat="1" x14ac:dyDescent="0.25"/>
    <row r="287624" customFormat="1" x14ac:dyDescent="0.25"/>
    <row r="287625" customFormat="1" x14ac:dyDescent="0.25"/>
    <row r="287626" customFormat="1" x14ac:dyDescent="0.25"/>
    <row r="287627" customFormat="1" x14ac:dyDescent="0.25"/>
    <row r="287628" customFormat="1" x14ac:dyDescent="0.25"/>
    <row r="287629" customFormat="1" x14ac:dyDescent="0.25"/>
    <row r="287630" customFormat="1" x14ac:dyDescent="0.25"/>
    <row r="287631" customFormat="1" x14ac:dyDescent="0.25"/>
    <row r="287632" customFormat="1" x14ac:dyDescent="0.25"/>
    <row r="287633" customFormat="1" x14ac:dyDescent="0.25"/>
    <row r="287634" customFormat="1" x14ac:dyDescent="0.25"/>
    <row r="287635" customFormat="1" x14ac:dyDescent="0.25"/>
    <row r="287636" customFormat="1" x14ac:dyDescent="0.25"/>
    <row r="287637" customFormat="1" x14ac:dyDescent="0.25"/>
    <row r="287638" customFormat="1" x14ac:dyDescent="0.25"/>
    <row r="287639" customFormat="1" x14ac:dyDescent="0.25"/>
    <row r="287640" customFormat="1" x14ac:dyDescent="0.25"/>
    <row r="287641" customFormat="1" x14ac:dyDescent="0.25"/>
    <row r="287642" customFormat="1" x14ac:dyDescent="0.25"/>
    <row r="287643" customFormat="1" x14ac:dyDescent="0.25"/>
    <row r="287644" customFormat="1" x14ac:dyDescent="0.25"/>
    <row r="287645" customFormat="1" x14ac:dyDescent="0.25"/>
    <row r="287646" customFormat="1" x14ac:dyDescent="0.25"/>
    <row r="287647" customFormat="1" x14ac:dyDescent="0.25"/>
    <row r="287648" customFormat="1" x14ac:dyDescent="0.25"/>
    <row r="287649" customFormat="1" x14ac:dyDescent="0.25"/>
    <row r="287650" customFormat="1" x14ac:dyDescent="0.25"/>
    <row r="287651" customFormat="1" x14ac:dyDescent="0.25"/>
    <row r="287652" customFormat="1" x14ac:dyDescent="0.25"/>
    <row r="287653" customFormat="1" x14ac:dyDescent="0.25"/>
    <row r="287654" customFormat="1" x14ac:dyDescent="0.25"/>
    <row r="287655" customFormat="1" x14ac:dyDescent="0.25"/>
    <row r="287656" customFormat="1" x14ac:dyDescent="0.25"/>
    <row r="287657" customFormat="1" x14ac:dyDescent="0.25"/>
    <row r="287658" customFormat="1" x14ac:dyDescent="0.25"/>
    <row r="287659" customFormat="1" x14ac:dyDescent="0.25"/>
    <row r="287660" customFormat="1" x14ac:dyDescent="0.25"/>
    <row r="287661" customFormat="1" x14ac:dyDescent="0.25"/>
    <row r="287662" customFormat="1" x14ac:dyDescent="0.25"/>
    <row r="287663" customFormat="1" x14ac:dyDescent="0.25"/>
    <row r="287664" customFormat="1" x14ac:dyDescent="0.25"/>
    <row r="287665" customFormat="1" x14ac:dyDescent="0.25"/>
    <row r="287666" customFormat="1" x14ac:dyDescent="0.25"/>
    <row r="287667" customFormat="1" x14ac:dyDescent="0.25"/>
    <row r="287668" customFormat="1" x14ac:dyDescent="0.25"/>
    <row r="287669" customFormat="1" x14ac:dyDescent="0.25"/>
    <row r="287670" customFormat="1" x14ac:dyDescent="0.25"/>
    <row r="287671" customFormat="1" x14ac:dyDescent="0.25"/>
    <row r="287672" customFormat="1" x14ac:dyDescent="0.25"/>
    <row r="287673" customFormat="1" x14ac:dyDescent="0.25"/>
    <row r="287674" customFormat="1" x14ac:dyDescent="0.25"/>
    <row r="287675" customFormat="1" x14ac:dyDescent="0.25"/>
    <row r="287676" customFormat="1" x14ac:dyDescent="0.25"/>
    <row r="287677" customFormat="1" x14ac:dyDescent="0.25"/>
    <row r="287678" customFormat="1" x14ac:dyDescent="0.25"/>
    <row r="287679" customFormat="1" x14ac:dyDescent="0.25"/>
    <row r="287680" customFormat="1" x14ac:dyDescent="0.25"/>
    <row r="287681" customFormat="1" x14ac:dyDescent="0.25"/>
    <row r="287682" customFormat="1" x14ac:dyDescent="0.25"/>
    <row r="287683" customFormat="1" x14ac:dyDescent="0.25"/>
    <row r="287684" customFormat="1" x14ac:dyDescent="0.25"/>
    <row r="287685" customFormat="1" x14ac:dyDescent="0.25"/>
    <row r="287686" customFormat="1" x14ac:dyDescent="0.25"/>
    <row r="287687" customFormat="1" x14ac:dyDescent="0.25"/>
    <row r="287688" customFormat="1" x14ac:dyDescent="0.25"/>
    <row r="287689" customFormat="1" x14ac:dyDescent="0.25"/>
    <row r="287690" customFormat="1" x14ac:dyDescent="0.25"/>
    <row r="287691" customFormat="1" x14ac:dyDescent="0.25"/>
    <row r="287692" customFormat="1" x14ac:dyDescent="0.25"/>
    <row r="287693" customFormat="1" x14ac:dyDescent="0.25"/>
    <row r="287694" customFormat="1" x14ac:dyDescent="0.25"/>
    <row r="287695" customFormat="1" x14ac:dyDescent="0.25"/>
    <row r="287696" customFormat="1" x14ac:dyDescent="0.25"/>
    <row r="287697" customFormat="1" x14ac:dyDescent="0.25"/>
    <row r="287698" customFormat="1" x14ac:dyDescent="0.25"/>
    <row r="287699" customFormat="1" x14ac:dyDescent="0.25"/>
    <row r="287700" customFormat="1" x14ac:dyDescent="0.25"/>
    <row r="287701" customFormat="1" x14ac:dyDescent="0.25"/>
    <row r="287702" customFormat="1" x14ac:dyDescent="0.25"/>
    <row r="287703" customFormat="1" x14ac:dyDescent="0.25"/>
    <row r="287704" customFormat="1" x14ac:dyDescent="0.25"/>
    <row r="287705" customFormat="1" x14ac:dyDescent="0.25"/>
    <row r="287706" customFormat="1" x14ac:dyDescent="0.25"/>
    <row r="287707" customFormat="1" x14ac:dyDescent="0.25"/>
    <row r="287708" customFormat="1" x14ac:dyDescent="0.25"/>
    <row r="287709" customFormat="1" x14ac:dyDescent="0.25"/>
    <row r="287710" customFormat="1" x14ac:dyDescent="0.25"/>
    <row r="287711" customFormat="1" x14ac:dyDescent="0.25"/>
    <row r="287712" customFormat="1" x14ac:dyDescent="0.25"/>
    <row r="287713" customFormat="1" x14ac:dyDescent="0.25"/>
    <row r="287714" customFormat="1" x14ac:dyDescent="0.25"/>
    <row r="287715" customFormat="1" x14ac:dyDescent="0.25"/>
    <row r="287716" customFormat="1" x14ac:dyDescent="0.25"/>
    <row r="287717" customFormat="1" x14ac:dyDescent="0.25"/>
    <row r="287718" customFormat="1" x14ac:dyDescent="0.25"/>
    <row r="287719" customFormat="1" x14ac:dyDescent="0.25"/>
    <row r="287720" customFormat="1" x14ac:dyDescent="0.25"/>
    <row r="287721" customFormat="1" x14ac:dyDescent="0.25"/>
    <row r="287722" customFormat="1" x14ac:dyDescent="0.25"/>
    <row r="287723" customFormat="1" x14ac:dyDescent="0.25"/>
    <row r="287724" customFormat="1" x14ac:dyDescent="0.25"/>
    <row r="287725" customFormat="1" x14ac:dyDescent="0.25"/>
    <row r="287726" customFormat="1" x14ac:dyDescent="0.25"/>
    <row r="287727" customFormat="1" x14ac:dyDescent="0.25"/>
    <row r="287728" customFormat="1" x14ac:dyDescent="0.25"/>
    <row r="287729" customFormat="1" x14ac:dyDescent="0.25"/>
    <row r="287730" customFormat="1" x14ac:dyDescent="0.25"/>
    <row r="287731" customFormat="1" x14ac:dyDescent="0.25"/>
    <row r="287732" customFormat="1" x14ac:dyDescent="0.25"/>
    <row r="287733" customFormat="1" x14ac:dyDescent="0.25"/>
    <row r="287734" customFormat="1" x14ac:dyDescent="0.25"/>
    <row r="287735" customFormat="1" x14ac:dyDescent="0.25"/>
    <row r="287736" customFormat="1" x14ac:dyDescent="0.25"/>
    <row r="287737" customFormat="1" x14ac:dyDescent="0.25"/>
    <row r="287738" customFormat="1" x14ac:dyDescent="0.25"/>
    <row r="287739" customFormat="1" x14ac:dyDescent="0.25"/>
    <row r="287740" customFormat="1" x14ac:dyDescent="0.25"/>
    <row r="287741" customFormat="1" x14ac:dyDescent="0.25"/>
    <row r="287742" customFormat="1" x14ac:dyDescent="0.25"/>
    <row r="287743" customFormat="1" x14ac:dyDescent="0.25"/>
    <row r="287744" customFormat="1" x14ac:dyDescent="0.25"/>
    <row r="287745" customFormat="1" x14ac:dyDescent="0.25"/>
    <row r="287746" customFormat="1" x14ac:dyDescent="0.25"/>
    <row r="287747" customFormat="1" x14ac:dyDescent="0.25"/>
    <row r="287748" customFormat="1" x14ac:dyDescent="0.25"/>
    <row r="287749" customFormat="1" x14ac:dyDescent="0.25"/>
    <row r="287750" customFormat="1" x14ac:dyDescent="0.25"/>
    <row r="287751" customFormat="1" x14ac:dyDescent="0.25"/>
    <row r="287752" customFormat="1" x14ac:dyDescent="0.25"/>
    <row r="287753" customFormat="1" x14ac:dyDescent="0.25"/>
    <row r="287754" customFormat="1" x14ac:dyDescent="0.25"/>
    <row r="287755" customFormat="1" x14ac:dyDescent="0.25"/>
    <row r="287756" customFormat="1" x14ac:dyDescent="0.25"/>
    <row r="287757" customFormat="1" x14ac:dyDescent="0.25"/>
    <row r="287758" customFormat="1" x14ac:dyDescent="0.25"/>
    <row r="287759" customFormat="1" x14ac:dyDescent="0.25"/>
    <row r="287760" customFormat="1" x14ac:dyDescent="0.25"/>
    <row r="287761" customFormat="1" x14ac:dyDescent="0.25"/>
    <row r="287762" customFormat="1" x14ac:dyDescent="0.25"/>
    <row r="287763" customFormat="1" x14ac:dyDescent="0.25"/>
    <row r="287764" customFormat="1" x14ac:dyDescent="0.25"/>
    <row r="287765" customFormat="1" x14ac:dyDescent="0.25"/>
    <row r="287766" customFormat="1" x14ac:dyDescent="0.25"/>
    <row r="287767" customFormat="1" x14ac:dyDescent="0.25"/>
    <row r="287768" customFormat="1" x14ac:dyDescent="0.25"/>
    <row r="287769" customFormat="1" x14ac:dyDescent="0.25"/>
    <row r="287770" customFormat="1" x14ac:dyDescent="0.25"/>
    <row r="287771" customFormat="1" x14ac:dyDescent="0.25"/>
    <row r="287772" customFormat="1" x14ac:dyDescent="0.25"/>
    <row r="287773" customFormat="1" x14ac:dyDescent="0.25"/>
    <row r="287774" customFormat="1" x14ac:dyDescent="0.25"/>
    <row r="287775" customFormat="1" x14ac:dyDescent="0.25"/>
    <row r="287776" customFormat="1" x14ac:dyDescent="0.25"/>
    <row r="287777" customFormat="1" x14ac:dyDescent="0.25"/>
    <row r="287778" customFormat="1" x14ac:dyDescent="0.25"/>
    <row r="287779" customFormat="1" x14ac:dyDescent="0.25"/>
    <row r="287780" customFormat="1" x14ac:dyDescent="0.25"/>
    <row r="287781" customFormat="1" x14ac:dyDescent="0.25"/>
    <row r="287782" customFormat="1" x14ac:dyDescent="0.25"/>
    <row r="287783" customFormat="1" x14ac:dyDescent="0.25"/>
    <row r="287784" customFormat="1" x14ac:dyDescent="0.25"/>
    <row r="287785" customFormat="1" x14ac:dyDescent="0.25"/>
    <row r="287786" customFormat="1" x14ac:dyDescent="0.25"/>
    <row r="287787" customFormat="1" x14ac:dyDescent="0.25"/>
    <row r="287788" customFormat="1" x14ac:dyDescent="0.25"/>
    <row r="287789" customFormat="1" x14ac:dyDescent="0.25"/>
    <row r="287790" customFormat="1" x14ac:dyDescent="0.25"/>
    <row r="287791" customFormat="1" x14ac:dyDescent="0.25"/>
    <row r="287792" customFormat="1" x14ac:dyDescent="0.25"/>
    <row r="287793" customFormat="1" x14ac:dyDescent="0.25"/>
    <row r="287794" customFormat="1" x14ac:dyDescent="0.25"/>
    <row r="287795" customFormat="1" x14ac:dyDescent="0.25"/>
    <row r="287796" customFormat="1" x14ac:dyDescent="0.25"/>
    <row r="287797" customFormat="1" x14ac:dyDescent="0.25"/>
    <row r="287798" customFormat="1" x14ac:dyDescent="0.25"/>
    <row r="287799" customFormat="1" x14ac:dyDescent="0.25"/>
    <row r="287800" customFormat="1" x14ac:dyDescent="0.25"/>
    <row r="287801" customFormat="1" x14ac:dyDescent="0.25"/>
    <row r="287802" customFormat="1" x14ac:dyDescent="0.25"/>
    <row r="287803" customFormat="1" x14ac:dyDescent="0.25"/>
    <row r="287804" customFormat="1" x14ac:dyDescent="0.25"/>
    <row r="287805" customFormat="1" x14ac:dyDescent="0.25"/>
    <row r="287806" customFormat="1" x14ac:dyDescent="0.25"/>
    <row r="287807" customFormat="1" x14ac:dyDescent="0.25"/>
    <row r="287808" customFormat="1" x14ac:dyDescent="0.25"/>
    <row r="287809" customFormat="1" x14ac:dyDescent="0.25"/>
    <row r="287810" customFormat="1" x14ac:dyDescent="0.25"/>
    <row r="287811" customFormat="1" x14ac:dyDescent="0.25"/>
    <row r="287812" customFormat="1" x14ac:dyDescent="0.25"/>
    <row r="287813" customFormat="1" x14ac:dyDescent="0.25"/>
    <row r="287814" customFormat="1" x14ac:dyDescent="0.25"/>
    <row r="287815" customFormat="1" x14ac:dyDescent="0.25"/>
    <row r="287816" customFormat="1" x14ac:dyDescent="0.25"/>
    <row r="287817" customFormat="1" x14ac:dyDescent="0.25"/>
    <row r="287818" customFormat="1" x14ac:dyDescent="0.25"/>
    <row r="287819" customFormat="1" x14ac:dyDescent="0.25"/>
    <row r="287820" customFormat="1" x14ac:dyDescent="0.25"/>
    <row r="287821" customFormat="1" x14ac:dyDescent="0.25"/>
    <row r="287822" customFormat="1" x14ac:dyDescent="0.25"/>
    <row r="287823" customFormat="1" x14ac:dyDescent="0.25"/>
    <row r="287824" customFormat="1" x14ac:dyDescent="0.25"/>
    <row r="287825" customFormat="1" x14ac:dyDescent="0.25"/>
    <row r="287826" customFormat="1" x14ac:dyDescent="0.25"/>
    <row r="287827" customFormat="1" x14ac:dyDescent="0.25"/>
    <row r="287828" customFormat="1" x14ac:dyDescent="0.25"/>
    <row r="287829" customFormat="1" x14ac:dyDescent="0.25"/>
    <row r="287830" customFormat="1" x14ac:dyDescent="0.25"/>
    <row r="287831" customFormat="1" x14ac:dyDescent="0.25"/>
    <row r="287832" customFormat="1" x14ac:dyDescent="0.25"/>
    <row r="287833" customFormat="1" x14ac:dyDescent="0.25"/>
    <row r="287834" customFormat="1" x14ac:dyDescent="0.25"/>
    <row r="287835" customFormat="1" x14ac:dyDescent="0.25"/>
    <row r="287836" customFormat="1" x14ac:dyDescent="0.25"/>
    <row r="287837" customFormat="1" x14ac:dyDescent="0.25"/>
    <row r="287838" customFormat="1" x14ac:dyDescent="0.25"/>
    <row r="287839" customFormat="1" x14ac:dyDescent="0.25"/>
    <row r="287840" customFormat="1" x14ac:dyDescent="0.25"/>
    <row r="287841" customFormat="1" x14ac:dyDescent="0.25"/>
    <row r="287842" customFormat="1" x14ac:dyDescent="0.25"/>
    <row r="287843" customFormat="1" x14ac:dyDescent="0.25"/>
    <row r="287844" customFormat="1" x14ac:dyDescent="0.25"/>
    <row r="287845" customFormat="1" x14ac:dyDescent="0.25"/>
    <row r="287846" customFormat="1" x14ac:dyDescent="0.25"/>
    <row r="287847" customFormat="1" x14ac:dyDescent="0.25"/>
    <row r="287848" customFormat="1" x14ac:dyDescent="0.25"/>
    <row r="287849" customFormat="1" x14ac:dyDescent="0.25"/>
    <row r="287850" customFormat="1" x14ac:dyDescent="0.25"/>
    <row r="287851" customFormat="1" x14ac:dyDescent="0.25"/>
    <row r="287852" customFormat="1" x14ac:dyDescent="0.25"/>
    <row r="287853" customFormat="1" x14ac:dyDescent="0.25"/>
    <row r="287854" customFormat="1" x14ac:dyDescent="0.25"/>
    <row r="287855" customFormat="1" x14ac:dyDescent="0.25"/>
    <row r="287856" customFormat="1" x14ac:dyDescent="0.25"/>
    <row r="287857" customFormat="1" x14ac:dyDescent="0.25"/>
    <row r="287858" customFormat="1" x14ac:dyDescent="0.25"/>
    <row r="287859" customFormat="1" x14ac:dyDescent="0.25"/>
    <row r="287860" customFormat="1" x14ac:dyDescent="0.25"/>
    <row r="287861" customFormat="1" x14ac:dyDescent="0.25"/>
    <row r="287862" customFormat="1" x14ac:dyDescent="0.25"/>
    <row r="287863" customFormat="1" x14ac:dyDescent="0.25"/>
    <row r="287864" customFormat="1" x14ac:dyDescent="0.25"/>
    <row r="287865" customFormat="1" x14ac:dyDescent="0.25"/>
    <row r="287866" customFormat="1" x14ac:dyDescent="0.25"/>
    <row r="287867" customFormat="1" x14ac:dyDescent="0.25"/>
    <row r="287868" customFormat="1" x14ac:dyDescent="0.25"/>
    <row r="287869" customFormat="1" x14ac:dyDescent="0.25"/>
    <row r="287870" customFormat="1" x14ac:dyDescent="0.25"/>
    <row r="287871" customFormat="1" x14ac:dyDescent="0.25"/>
    <row r="287872" customFormat="1" x14ac:dyDescent="0.25"/>
    <row r="287873" customFormat="1" x14ac:dyDescent="0.25"/>
    <row r="287874" customFormat="1" x14ac:dyDescent="0.25"/>
    <row r="287875" customFormat="1" x14ac:dyDescent="0.25"/>
    <row r="287876" customFormat="1" x14ac:dyDescent="0.25"/>
    <row r="287877" customFormat="1" x14ac:dyDescent="0.25"/>
    <row r="287878" customFormat="1" x14ac:dyDescent="0.25"/>
    <row r="287879" customFormat="1" x14ac:dyDescent="0.25"/>
    <row r="287880" customFormat="1" x14ac:dyDescent="0.25"/>
    <row r="287881" customFormat="1" x14ac:dyDescent="0.25"/>
    <row r="287882" customFormat="1" x14ac:dyDescent="0.25"/>
    <row r="287883" customFormat="1" x14ac:dyDescent="0.25"/>
    <row r="287884" customFormat="1" x14ac:dyDescent="0.25"/>
    <row r="287885" customFormat="1" x14ac:dyDescent="0.25"/>
    <row r="287886" customFormat="1" x14ac:dyDescent="0.25"/>
    <row r="287887" customFormat="1" x14ac:dyDescent="0.25"/>
    <row r="287888" customFormat="1" x14ac:dyDescent="0.25"/>
    <row r="287889" customFormat="1" x14ac:dyDescent="0.25"/>
    <row r="287890" customFormat="1" x14ac:dyDescent="0.25"/>
    <row r="287891" customFormat="1" x14ac:dyDescent="0.25"/>
    <row r="287892" customFormat="1" x14ac:dyDescent="0.25"/>
    <row r="287893" customFormat="1" x14ac:dyDescent="0.25"/>
    <row r="287894" customFormat="1" x14ac:dyDescent="0.25"/>
    <row r="287895" customFormat="1" x14ac:dyDescent="0.25"/>
    <row r="287896" customFormat="1" x14ac:dyDescent="0.25"/>
    <row r="287897" customFormat="1" x14ac:dyDescent="0.25"/>
    <row r="287898" customFormat="1" x14ac:dyDescent="0.25"/>
    <row r="287899" customFormat="1" x14ac:dyDescent="0.25"/>
    <row r="287900" customFormat="1" x14ac:dyDescent="0.25"/>
    <row r="287901" customFormat="1" x14ac:dyDescent="0.25"/>
    <row r="287902" customFormat="1" x14ac:dyDescent="0.25"/>
    <row r="287903" customFormat="1" x14ac:dyDescent="0.25"/>
    <row r="287904" customFormat="1" x14ac:dyDescent="0.25"/>
    <row r="287905" customFormat="1" x14ac:dyDescent="0.25"/>
    <row r="287906" customFormat="1" x14ac:dyDescent="0.25"/>
    <row r="287907" customFormat="1" x14ac:dyDescent="0.25"/>
    <row r="287908" customFormat="1" x14ac:dyDescent="0.25"/>
    <row r="287909" customFormat="1" x14ac:dyDescent="0.25"/>
    <row r="287910" customFormat="1" x14ac:dyDescent="0.25"/>
    <row r="287911" customFormat="1" x14ac:dyDescent="0.25"/>
    <row r="287912" customFormat="1" x14ac:dyDescent="0.25"/>
    <row r="287913" customFormat="1" x14ac:dyDescent="0.25"/>
    <row r="287914" customFormat="1" x14ac:dyDescent="0.25"/>
    <row r="287915" customFormat="1" x14ac:dyDescent="0.25"/>
    <row r="287916" customFormat="1" x14ac:dyDescent="0.25"/>
    <row r="287917" customFormat="1" x14ac:dyDescent="0.25"/>
    <row r="287918" customFormat="1" x14ac:dyDescent="0.25"/>
    <row r="287919" customFormat="1" x14ac:dyDescent="0.25"/>
    <row r="287920" customFormat="1" x14ac:dyDescent="0.25"/>
    <row r="287921" customFormat="1" x14ac:dyDescent="0.25"/>
    <row r="287922" customFormat="1" x14ac:dyDescent="0.25"/>
    <row r="287923" customFormat="1" x14ac:dyDescent="0.25"/>
    <row r="287924" customFormat="1" x14ac:dyDescent="0.25"/>
    <row r="287925" customFormat="1" x14ac:dyDescent="0.25"/>
    <row r="287926" customFormat="1" x14ac:dyDescent="0.25"/>
    <row r="287927" customFormat="1" x14ac:dyDescent="0.25"/>
    <row r="287928" customFormat="1" x14ac:dyDescent="0.25"/>
    <row r="287929" customFormat="1" x14ac:dyDescent="0.25"/>
    <row r="287930" customFormat="1" x14ac:dyDescent="0.25"/>
    <row r="287931" customFormat="1" x14ac:dyDescent="0.25"/>
    <row r="287932" customFormat="1" x14ac:dyDescent="0.25"/>
    <row r="287933" customFormat="1" x14ac:dyDescent="0.25"/>
    <row r="287934" customFormat="1" x14ac:dyDescent="0.25"/>
    <row r="287935" customFormat="1" x14ac:dyDescent="0.25"/>
    <row r="287936" customFormat="1" x14ac:dyDescent="0.25"/>
    <row r="287937" customFormat="1" x14ac:dyDescent="0.25"/>
    <row r="287938" customFormat="1" x14ac:dyDescent="0.25"/>
    <row r="287939" customFormat="1" x14ac:dyDescent="0.25"/>
    <row r="287940" customFormat="1" x14ac:dyDescent="0.25"/>
    <row r="287941" customFormat="1" x14ac:dyDescent="0.25"/>
    <row r="287942" customFormat="1" x14ac:dyDescent="0.25"/>
    <row r="287943" customFormat="1" x14ac:dyDescent="0.25"/>
    <row r="287944" customFormat="1" x14ac:dyDescent="0.25"/>
    <row r="287945" customFormat="1" x14ac:dyDescent="0.25"/>
    <row r="287946" customFormat="1" x14ac:dyDescent="0.25"/>
    <row r="287947" customFormat="1" x14ac:dyDescent="0.25"/>
    <row r="287948" customFormat="1" x14ac:dyDescent="0.25"/>
    <row r="287949" customFormat="1" x14ac:dyDescent="0.25"/>
    <row r="287950" customFormat="1" x14ac:dyDescent="0.25"/>
    <row r="287951" customFormat="1" x14ac:dyDescent="0.25"/>
    <row r="287952" customFormat="1" x14ac:dyDescent="0.25"/>
    <row r="287953" customFormat="1" x14ac:dyDescent="0.25"/>
    <row r="287954" customFormat="1" x14ac:dyDescent="0.25"/>
    <row r="287955" customFormat="1" x14ac:dyDescent="0.25"/>
    <row r="287956" customFormat="1" x14ac:dyDescent="0.25"/>
    <row r="287957" customFormat="1" x14ac:dyDescent="0.25"/>
    <row r="287958" customFormat="1" x14ac:dyDescent="0.25"/>
    <row r="287959" customFormat="1" x14ac:dyDescent="0.25"/>
    <row r="287960" customFormat="1" x14ac:dyDescent="0.25"/>
    <row r="287961" customFormat="1" x14ac:dyDescent="0.25"/>
    <row r="287962" customFormat="1" x14ac:dyDescent="0.25"/>
    <row r="287963" customFormat="1" x14ac:dyDescent="0.25"/>
    <row r="287964" customFormat="1" x14ac:dyDescent="0.25"/>
    <row r="287965" customFormat="1" x14ac:dyDescent="0.25"/>
    <row r="287966" customFormat="1" x14ac:dyDescent="0.25"/>
    <row r="287967" customFormat="1" x14ac:dyDescent="0.25"/>
    <row r="287968" customFormat="1" x14ac:dyDescent="0.25"/>
    <row r="287969" customFormat="1" x14ac:dyDescent="0.25"/>
    <row r="287970" customFormat="1" x14ac:dyDescent="0.25"/>
    <row r="287971" customFormat="1" x14ac:dyDescent="0.25"/>
    <row r="287972" customFormat="1" x14ac:dyDescent="0.25"/>
    <row r="287973" customFormat="1" x14ac:dyDescent="0.25"/>
    <row r="287974" customFormat="1" x14ac:dyDescent="0.25"/>
    <row r="287975" customFormat="1" x14ac:dyDescent="0.25"/>
    <row r="287976" customFormat="1" x14ac:dyDescent="0.25"/>
    <row r="287977" customFormat="1" x14ac:dyDescent="0.25"/>
    <row r="287978" customFormat="1" x14ac:dyDescent="0.25"/>
    <row r="287979" customFormat="1" x14ac:dyDescent="0.25"/>
    <row r="287980" customFormat="1" x14ac:dyDescent="0.25"/>
    <row r="287981" customFormat="1" x14ac:dyDescent="0.25"/>
    <row r="287982" customFormat="1" x14ac:dyDescent="0.25"/>
    <row r="287983" customFormat="1" x14ac:dyDescent="0.25"/>
    <row r="287984" customFormat="1" x14ac:dyDescent="0.25"/>
    <row r="287985" customFormat="1" x14ac:dyDescent="0.25"/>
    <row r="287986" customFormat="1" x14ac:dyDescent="0.25"/>
    <row r="287987" customFormat="1" x14ac:dyDescent="0.25"/>
    <row r="287988" customFormat="1" x14ac:dyDescent="0.25"/>
    <row r="287989" customFormat="1" x14ac:dyDescent="0.25"/>
    <row r="287990" customFormat="1" x14ac:dyDescent="0.25"/>
    <row r="287991" customFormat="1" x14ac:dyDescent="0.25"/>
    <row r="287992" customFormat="1" x14ac:dyDescent="0.25"/>
    <row r="287993" customFormat="1" x14ac:dyDescent="0.25"/>
    <row r="287994" customFormat="1" x14ac:dyDescent="0.25"/>
    <row r="287995" customFormat="1" x14ac:dyDescent="0.25"/>
    <row r="287996" customFormat="1" x14ac:dyDescent="0.25"/>
    <row r="287997" customFormat="1" x14ac:dyDescent="0.25"/>
    <row r="287998" customFormat="1" x14ac:dyDescent="0.25"/>
    <row r="287999" customFormat="1" x14ac:dyDescent="0.25"/>
    <row r="288000" customFormat="1" x14ac:dyDescent="0.25"/>
    <row r="288001" customFormat="1" x14ac:dyDescent="0.25"/>
    <row r="288002" customFormat="1" x14ac:dyDescent="0.25"/>
    <row r="288003" customFormat="1" x14ac:dyDescent="0.25"/>
    <row r="288004" customFormat="1" x14ac:dyDescent="0.25"/>
    <row r="288005" customFormat="1" x14ac:dyDescent="0.25"/>
    <row r="288006" customFormat="1" x14ac:dyDescent="0.25"/>
    <row r="288007" customFormat="1" x14ac:dyDescent="0.25"/>
    <row r="288008" customFormat="1" x14ac:dyDescent="0.25"/>
    <row r="288009" customFormat="1" x14ac:dyDescent="0.25"/>
    <row r="288010" customFormat="1" x14ac:dyDescent="0.25"/>
    <row r="288011" customFormat="1" x14ac:dyDescent="0.25"/>
    <row r="288012" customFormat="1" x14ac:dyDescent="0.25"/>
    <row r="288013" customFormat="1" x14ac:dyDescent="0.25"/>
    <row r="288014" customFormat="1" x14ac:dyDescent="0.25"/>
    <row r="288015" customFormat="1" x14ac:dyDescent="0.25"/>
    <row r="288016" customFormat="1" x14ac:dyDescent="0.25"/>
    <row r="288017" customFormat="1" x14ac:dyDescent="0.25"/>
    <row r="288018" customFormat="1" x14ac:dyDescent="0.25"/>
    <row r="288019" customFormat="1" x14ac:dyDescent="0.25"/>
    <row r="288020" customFormat="1" x14ac:dyDescent="0.25"/>
    <row r="288021" customFormat="1" x14ac:dyDescent="0.25"/>
    <row r="288022" customFormat="1" x14ac:dyDescent="0.25"/>
    <row r="288023" customFormat="1" x14ac:dyDescent="0.25"/>
    <row r="288024" customFormat="1" x14ac:dyDescent="0.25"/>
    <row r="288025" customFormat="1" x14ac:dyDescent="0.25"/>
    <row r="288026" customFormat="1" x14ac:dyDescent="0.25"/>
    <row r="288027" customFormat="1" x14ac:dyDescent="0.25"/>
    <row r="288028" customFormat="1" x14ac:dyDescent="0.25"/>
    <row r="288029" customFormat="1" x14ac:dyDescent="0.25"/>
    <row r="288030" customFormat="1" x14ac:dyDescent="0.25"/>
    <row r="288031" customFormat="1" x14ac:dyDescent="0.25"/>
    <row r="288032" customFormat="1" x14ac:dyDescent="0.25"/>
    <row r="288033" customFormat="1" x14ac:dyDescent="0.25"/>
    <row r="288034" customFormat="1" x14ac:dyDescent="0.25"/>
    <row r="288035" customFormat="1" x14ac:dyDescent="0.25"/>
    <row r="288036" customFormat="1" x14ac:dyDescent="0.25"/>
    <row r="288037" customFormat="1" x14ac:dyDescent="0.25"/>
    <row r="288038" customFormat="1" x14ac:dyDescent="0.25"/>
    <row r="288039" customFormat="1" x14ac:dyDescent="0.25"/>
    <row r="288040" customFormat="1" x14ac:dyDescent="0.25"/>
    <row r="288041" customFormat="1" x14ac:dyDescent="0.25"/>
    <row r="288042" customFormat="1" x14ac:dyDescent="0.25"/>
    <row r="288043" customFormat="1" x14ac:dyDescent="0.25"/>
    <row r="288044" customFormat="1" x14ac:dyDescent="0.25"/>
    <row r="288045" customFormat="1" x14ac:dyDescent="0.25"/>
    <row r="288046" customFormat="1" x14ac:dyDescent="0.25"/>
    <row r="288047" customFormat="1" x14ac:dyDescent="0.25"/>
    <row r="288048" customFormat="1" x14ac:dyDescent="0.25"/>
    <row r="288049" customFormat="1" x14ac:dyDescent="0.25"/>
    <row r="288050" customFormat="1" x14ac:dyDescent="0.25"/>
    <row r="288051" customFormat="1" x14ac:dyDescent="0.25"/>
    <row r="288052" customFormat="1" x14ac:dyDescent="0.25"/>
    <row r="288053" customFormat="1" x14ac:dyDescent="0.25"/>
    <row r="288054" customFormat="1" x14ac:dyDescent="0.25"/>
    <row r="288055" customFormat="1" x14ac:dyDescent="0.25"/>
    <row r="288056" customFormat="1" x14ac:dyDescent="0.25"/>
    <row r="288057" customFormat="1" x14ac:dyDescent="0.25"/>
    <row r="288058" customFormat="1" x14ac:dyDescent="0.25"/>
    <row r="288059" customFormat="1" x14ac:dyDescent="0.25"/>
    <row r="288060" customFormat="1" x14ac:dyDescent="0.25"/>
    <row r="288061" customFormat="1" x14ac:dyDescent="0.25"/>
    <row r="288062" customFormat="1" x14ac:dyDescent="0.25"/>
    <row r="288063" customFormat="1" x14ac:dyDescent="0.25"/>
    <row r="288064" customFormat="1" x14ac:dyDescent="0.25"/>
    <row r="288065" customFormat="1" x14ac:dyDescent="0.25"/>
    <row r="288066" customFormat="1" x14ac:dyDescent="0.25"/>
    <row r="288067" customFormat="1" x14ac:dyDescent="0.25"/>
    <row r="288068" customFormat="1" x14ac:dyDescent="0.25"/>
    <row r="288069" customFormat="1" x14ac:dyDescent="0.25"/>
    <row r="288070" customFormat="1" x14ac:dyDescent="0.25"/>
    <row r="288071" customFormat="1" x14ac:dyDescent="0.25"/>
    <row r="288072" customFormat="1" x14ac:dyDescent="0.25"/>
    <row r="288073" customFormat="1" x14ac:dyDescent="0.25"/>
    <row r="288074" customFormat="1" x14ac:dyDescent="0.25"/>
    <row r="288075" customFormat="1" x14ac:dyDescent="0.25"/>
    <row r="288076" customFormat="1" x14ac:dyDescent="0.25"/>
    <row r="288077" customFormat="1" x14ac:dyDescent="0.25"/>
    <row r="288078" customFormat="1" x14ac:dyDescent="0.25"/>
    <row r="288079" customFormat="1" x14ac:dyDescent="0.25"/>
    <row r="288080" customFormat="1" x14ac:dyDescent="0.25"/>
    <row r="288081" customFormat="1" x14ac:dyDescent="0.25"/>
    <row r="288082" customFormat="1" x14ac:dyDescent="0.25"/>
    <row r="288083" customFormat="1" x14ac:dyDescent="0.25"/>
    <row r="288084" customFormat="1" x14ac:dyDescent="0.25"/>
    <row r="288085" customFormat="1" x14ac:dyDescent="0.25"/>
    <row r="288086" customFormat="1" x14ac:dyDescent="0.25"/>
    <row r="288087" customFormat="1" x14ac:dyDescent="0.25"/>
    <row r="288088" customFormat="1" x14ac:dyDescent="0.25"/>
    <row r="288089" customFormat="1" x14ac:dyDescent="0.25"/>
    <row r="288090" customFormat="1" x14ac:dyDescent="0.25"/>
    <row r="288091" customFormat="1" x14ac:dyDescent="0.25"/>
    <row r="288092" customFormat="1" x14ac:dyDescent="0.25"/>
    <row r="288093" customFormat="1" x14ac:dyDescent="0.25"/>
    <row r="288094" customFormat="1" x14ac:dyDescent="0.25"/>
    <row r="288095" customFormat="1" x14ac:dyDescent="0.25"/>
    <row r="288096" customFormat="1" x14ac:dyDescent="0.25"/>
    <row r="288097" customFormat="1" x14ac:dyDescent="0.25"/>
    <row r="288098" customFormat="1" x14ac:dyDescent="0.25"/>
    <row r="288099" customFormat="1" x14ac:dyDescent="0.25"/>
    <row r="288100" customFormat="1" x14ac:dyDescent="0.25"/>
    <row r="288101" customFormat="1" x14ac:dyDescent="0.25"/>
    <row r="288102" customFormat="1" x14ac:dyDescent="0.25"/>
    <row r="288103" customFormat="1" x14ac:dyDescent="0.25"/>
    <row r="288104" customFormat="1" x14ac:dyDescent="0.25"/>
    <row r="288105" customFormat="1" x14ac:dyDescent="0.25"/>
    <row r="288106" customFormat="1" x14ac:dyDescent="0.25"/>
    <row r="288107" customFormat="1" x14ac:dyDescent="0.25"/>
    <row r="288108" customFormat="1" x14ac:dyDescent="0.25"/>
    <row r="288109" customFormat="1" x14ac:dyDescent="0.25"/>
    <row r="288110" customFormat="1" x14ac:dyDescent="0.25"/>
    <row r="288111" customFormat="1" x14ac:dyDescent="0.25"/>
    <row r="288112" customFormat="1" x14ac:dyDescent="0.25"/>
    <row r="288113" customFormat="1" x14ac:dyDescent="0.25"/>
    <row r="288114" customFormat="1" x14ac:dyDescent="0.25"/>
    <row r="288115" customFormat="1" x14ac:dyDescent="0.25"/>
    <row r="288116" customFormat="1" x14ac:dyDescent="0.25"/>
    <row r="288117" customFormat="1" x14ac:dyDescent="0.25"/>
    <row r="288118" customFormat="1" x14ac:dyDescent="0.25"/>
    <row r="288119" customFormat="1" x14ac:dyDescent="0.25"/>
    <row r="288120" customFormat="1" x14ac:dyDescent="0.25"/>
    <row r="288121" customFormat="1" x14ac:dyDescent="0.25"/>
    <row r="288122" customFormat="1" x14ac:dyDescent="0.25"/>
    <row r="288123" customFormat="1" x14ac:dyDescent="0.25"/>
    <row r="288124" customFormat="1" x14ac:dyDescent="0.25"/>
    <row r="288125" customFormat="1" x14ac:dyDescent="0.25"/>
    <row r="288126" customFormat="1" x14ac:dyDescent="0.25"/>
    <row r="288127" customFormat="1" x14ac:dyDescent="0.25"/>
    <row r="288128" customFormat="1" x14ac:dyDescent="0.25"/>
    <row r="288129" customFormat="1" x14ac:dyDescent="0.25"/>
    <row r="288130" customFormat="1" x14ac:dyDescent="0.25"/>
    <row r="288131" customFormat="1" x14ac:dyDescent="0.25"/>
    <row r="288132" customFormat="1" x14ac:dyDescent="0.25"/>
    <row r="288133" customFormat="1" x14ac:dyDescent="0.25"/>
    <row r="288134" customFormat="1" x14ac:dyDescent="0.25"/>
    <row r="288135" customFormat="1" x14ac:dyDescent="0.25"/>
    <row r="288136" customFormat="1" x14ac:dyDescent="0.25"/>
    <row r="288137" customFormat="1" x14ac:dyDescent="0.25"/>
    <row r="288138" customFormat="1" x14ac:dyDescent="0.25"/>
    <row r="288139" customFormat="1" x14ac:dyDescent="0.25"/>
    <row r="288140" customFormat="1" x14ac:dyDescent="0.25"/>
    <row r="288141" customFormat="1" x14ac:dyDescent="0.25"/>
    <row r="288142" customFormat="1" x14ac:dyDescent="0.25"/>
    <row r="288143" customFormat="1" x14ac:dyDescent="0.25"/>
    <row r="288144" customFormat="1" x14ac:dyDescent="0.25"/>
    <row r="288145" customFormat="1" x14ac:dyDescent="0.25"/>
    <row r="288146" customFormat="1" x14ac:dyDescent="0.25"/>
    <row r="288147" customFormat="1" x14ac:dyDescent="0.25"/>
    <row r="288148" customFormat="1" x14ac:dyDescent="0.25"/>
    <row r="288149" customFormat="1" x14ac:dyDescent="0.25"/>
    <row r="288150" customFormat="1" x14ac:dyDescent="0.25"/>
    <row r="288151" customFormat="1" x14ac:dyDescent="0.25"/>
    <row r="288152" customFormat="1" x14ac:dyDescent="0.25"/>
    <row r="288153" customFormat="1" x14ac:dyDescent="0.25"/>
    <row r="288154" customFormat="1" x14ac:dyDescent="0.25"/>
    <row r="288155" customFormat="1" x14ac:dyDescent="0.25"/>
    <row r="288156" customFormat="1" x14ac:dyDescent="0.25"/>
    <row r="288157" customFormat="1" x14ac:dyDescent="0.25"/>
    <row r="288158" customFormat="1" x14ac:dyDescent="0.25"/>
    <row r="288159" customFormat="1" x14ac:dyDescent="0.25"/>
    <row r="288160" customFormat="1" x14ac:dyDescent="0.25"/>
    <row r="288161" customFormat="1" x14ac:dyDescent="0.25"/>
    <row r="288162" customFormat="1" x14ac:dyDescent="0.25"/>
    <row r="288163" customFormat="1" x14ac:dyDescent="0.25"/>
    <row r="288164" customFormat="1" x14ac:dyDescent="0.25"/>
    <row r="288165" customFormat="1" x14ac:dyDescent="0.25"/>
    <row r="288166" customFormat="1" x14ac:dyDescent="0.25"/>
    <row r="288167" customFormat="1" x14ac:dyDescent="0.25"/>
    <row r="288168" customFormat="1" x14ac:dyDescent="0.25"/>
    <row r="288169" customFormat="1" x14ac:dyDescent="0.25"/>
    <row r="288170" customFormat="1" x14ac:dyDescent="0.25"/>
    <row r="288171" customFormat="1" x14ac:dyDescent="0.25"/>
    <row r="288172" customFormat="1" x14ac:dyDescent="0.25"/>
    <row r="288173" customFormat="1" x14ac:dyDescent="0.25"/>
    <row r="288174" customFormat="1" x14ac:dyDescent="0.25"/>
    <row r="288175" customFormat="1" x14ac:dyDescent="0.25"/>
    <row r="288176" customFormat="1" x14ac:dyDescent="0.25"/>
    <row r="288177" customFormat="1" x14ac:dyDescent="0.25"/>
    <row r="288178" customFormat="1" x14ac:dyDescent="0.25"/>
    <row r="288179" customFormat="1" x14ac:dyDescent="0.25"/>
    <row r="288180" customFormat="1" x14ac:dyDescent="0.25"/>
    <row r="288181" customFormat="1" x14ac:dyDescent="0.25"/>
    <row r="288182" customFormat="1" x14ac:dyDescent="0.25"/>
    <row r="288183" customFormat="1" x14ac:dyDescent="0.25"/>
    <row r="288184" customFormat="1" x14ac:dyDescent="0.25"/>
    <row r="288185" customFormat="1" x14ac:dyDescent="0.25"/>
    <row r="288186" customFormat="1" x14ac:dyDescent="0.25"/>
    <row r="288187" customFormat="1" x14ac:dyDescent="0.25"/>
    <row r="288188" customFormat="1" x14ac:dyDescent="0.25"/>
    <row r="288189" customFormat="1" x14ac:dyDescent="0.25"/>
    <row r="288190" customFormat="1" x14ac:dyDescent="0.25"/>
    <row r="288191" customFormat="1" x14ac:dyDescent="0.25"/>
    <row r="288192" customFormat="1" x14ac:dyDescent="0.25"/>
    <row r="288193" customFormat="1" x14ac:dyDescent="0.25"/>
    <row r="288194" customFormat="1" x14ac:dyDescent="0.25"/>
    <row r="288195" customFormat="1" x14ac:dyDescent="0.25"/>
    <row r="288196" customFormat="1" x14ac:dyDescent="0.25"/>
    <row r="288197" customFormat="1" x14ac:dyDescent="0.25"/>
    <row r="288198" customFormat="1" x14ac:dyDescent="0.25"/>
    <row r="288199" customFormat="1" x14ac:dyDescent="0.25"/>
    <row r="288200" customFormat="1" x14ac:dyDescent="0.25"/>
    <row r="288201" customFormat="1" x14ac:dyDescent="0.25"/>
    <row r="288202" customFormat="1" x14ac:dyDescent="0.25"/>
    <row r="288203" customFormat="1" x14ac:dyDescent="0.25"/>
    <row r="288204" customFormat="1" x14ac:dyDescent="0.25"/>
    <row r="288205" customFormat="1" x14ac:dyDescent="0.25"/>
    <row r="288206" customFormat="1" x14ac:dyDescent="0.25"/>
    <row r="288207" customFormat="1" x14ac:dyDescent="0.25"/>
    <row r="288208" customFormat="1" x14ac:dyDescent="0.25"/>
    <row r="288209" customFormat="1" x14ac:dyDescent="0.25"/>
    <row r="288210" customFormat="1" x14ac:dyDescent="0.25"/>
    <row r="288211" customFormat="1" x14ac:dyDescent="0.25"/>
    <row r="288212" customFormat="1" x14ac:dyDescent="0.25"/>
    <row r="288213" customFormat="1" x14ac:dyDescent="0.25"/>
    <row r="288214" customFormat="1" x14ac:dyDescent="0.25"/>
    <row r="288215" customFormat="1" x14ac:dyDescent="0.25"/>
    <row r="288216" customFormat="1" x14ac:dyDescent="0.25"/>
    <row r="288217" customFormat="1" x14ac:dyDescent="0.25"/>
    <row r="288218" customFormat="1" x14ac:dyDescent="0.25"/>
    <row r="288219" customFormat="1" x14ac:dyDescent="0.25"/>
    <row r="288220" customFormat="1" x14ac:dyDescent="0.25"/>
    <row r="288221" customFormat="1" x14ac:dyDescent="0.25"/>
    <row r="288222" customFormat="1" x14ac:dyDescent="0.25"/>
    <row r="288223" customFormat="1" x14ac:dyDescent="0.25"/>
    <row r="288224" customFormat="1" x14ac:dyDescent="0.25"/>
    <row r="288225" customFormat="1" x14ac:dyDescent="0.25"/>
    <row r="288226" customFormat="1" x14ac:dyDescent="0.25"/>
    <row r="288227" customFormat="1" x14ac:dyDescent="0.25"/>
    <row r="288228" customFormat="1" x14ac:dyDescent="0.25"/>
    <row r="288229" customFormat="1" x14ac:dyDescent="0.25"/>
    <row r="288230" customFormat="1" x14ac:dyDescent="0.25"/>
    <row r="288231" customFormat="1" x14ac:dyDescent="0.25"/>
    <row r="288232" customFormat="1" x14ac:dyDescent="0.25"/>
    <row r="288233" customFormat="1" x14ac:dyDescent="0.25"/>
    <row r="288234" customFormat="1" x14ac:dyDescent="0.25"/>
    <row r="288235" customFormat="1" x14ac:dyDescent="0.25"/>
    <row r="288236" customFormat="1" x14ac:dyDescent="0.25"/>
    <row r="288237" customFormat="1" x14ac:dyDescent="0.25"/>
    <row r="288238" customFormat="1" x14ac:dyDescent="0.25"/>
    <row r="288239" customFormat="1" x14ac:dyDescent="0.25"/>
    <row r="288240" customFormat="1" x14ac:dyDescent="0.25"/>
    <row r="288241" customFormat="1" x14ac:dyDescent="0.25"/>
    <row r="288242" customFormat="1" x14ac:dyDescent="0.25"/>
    <row r="288243" customFormat="1" x14ac:dyDescent="0.25"/>
    <row r="288244" customFormat="1" x14ac:dyDescent="0.25"/>
    <row r="288245" customFormat="1" x14ac:dyDescent="0.25"/>
    <row r="288246" customFormat="1" x14ac:dyDescent="0.25"/>
    <row r="288247" customFormat="1" x14ac:dyDescent="0.25"/>
    <row r="288248" customFormat="1" x14ac:dyDescent="0.25"/>
    <row r="288249" customFormat="1" x14ac:dyDescent="0.25"/>
    <row r="288250" customFormat="1" x14ac:dyDescent="0.25"/>
    <row r="288251" customFormat="1" x14ac:dyDescent="0.25"/>
    <row r="288252" customFormat="1" x14ac:dyDescent="0.25"/>
    <row r="288253" customFormat="1" x14ac:dyDescent="0.25"/>
    <row r="288254" customFormat="1" x14ac:dyDescent="0.25"/>
    <row r="288255" customFormat="1" x14ac:dyDescent="0.25"/>
    <row r="288256" customFormat="1" x14ac:dyDescent="0.25"/>
    <row r="288257" customFormat="1" x14ac:dyDescent="0.25"/>
    <row r="288258" customFormat="1" x14ac:dyDescent="0.25"/>
    <row r="288259" customFormat="1" x14ac:dyDescent="0.25"/>
    <row r="288260" customFormat="1" x14ac:dyDescent="0.25"/>
    <row r="288261" customFormat="1" x14ac:dyDescent="0.25"/>
    <row r="288262" customFormat="1" x14ac:dyDescent="0.25"/>
    <row r="288263" customFormat="1" x14ac:dyDescent="0.25"/>
    <row r="288264" customFormat="1" x14ac:dyDescent="0.25"/>
    <row r="288265" customFormat="1" x14ac:dyDescent="0.25"/>
    <row r="288266" customFormat="1" x14ac:dyDescent="0.25"/>
    <row r="288267" customFormat="1" x14ac:dyDescent="0.25"/>
    <row r="288268" customFormat="1" x14ac:dyDescent="0.25"/>
    <row r="288269" customFormat="1" x14ac:dyDescent="0.25"/>
    <row r="288270" customFormat="1" x14ac:dyDescent="0.25"/>
    <row r="288271" customFormat="1" x14ac:dyDescent="0.25"/>
    <row r="288272" customFormat="1" x14ac:dyDescent="0.25"/>
    <row r="288273" customFormat="1" x14ac:dyDescent="0.25"/>
    <row r="288274" customFormat="1" x14ac:dyDescent="0.25"/>
    <row r="288275" customFormat="1" x14ac:dyDescent="0.25"/>
    <row r="288276" customFormat="1" x14ac:dyDescent="0.25"/>
    <row r="288277" customFormat="1" x14ac:dyDescent="0.25"/>
    <row r="288278" customFormat="1" x14ac:dyDescent="0.25"/>
    <row r="288279" customFormat="1" x14ac:dyDescent="0.25"/>
    <row r="288280" customFormat="1" x14ac:dyDescent="0.25"/>
    <row r="288281" customFormat="1" x14ac:dyDescent="0.25"/>
    <row r="288282" customFormat="1" x14ac:dyDescent="0.25"/>
    <row r="288283" customFormat="1" x14ac:dyDescent="0.25"/>
    <row r="288284" customFormat="1" x14ac:dyDescent="0.25"/>
    <row r="288285" customFormat="1" x14ac:dyDescent="0.25"/>
    <row r="288286" customFormat="1" x14ac:dyDescent="0.25"/>
    <row r="288287" customFormat="1" x14ac:dyDescent="0.25"/>
    <row r="288288" customFormat="1" x14ac:dyDescent="0.25"/>
    <row r="288289" customFormat="1" x14ac:dyDescent="0.25"/>
    <row r="288290" customFormat="1" x14ac:dyDescent="0.25"/>
    <row r="288291" customFormat="1" x14ac:dyDescent="0.25"/>
    <row r="288292" customFormat="1" x14ac:dyDescent="0.25"/>
    <row r="288293" customFormat="1" x14ac:dyDescent="0.25"/>
    <row r="288294" customFormat="1" x14ac:dyDescent="0.25"/>
    <row r="288295" customFormat="1" x14ac:dyDescent="0.25"/>
    <row r="288296" customFormat="1" x14ac:dyDescent="0.25"/>
    <row r="288297" customFormat="1" x14ac:dyDescent="0.25"/>
    <row r="288298" customFormat="1" x14ac:dyDescent="0.25"/>
    <row r="288299" customFormat="1" x14ac:dyDescent="0.25"/>
    <row r="288300" customFormat="1" x14ac:dyDescent="0.25"/>
    <row r="288301" customFormat="1" x14ac:dyDescent="0.25"/>
    <row r="288302" customFormat="1" x14ac:dyDescent="0.25"/>
    <row r="288303" customFormat="1" x14ac:dyDescent="0.25"/>
    <row r="288304" customFormat="1" x14ac:dyDescent="0.25"/>
    <row r="288305" customFormat="1" x14ac:dyDescent="0.25"/>
    <row r="288306" customFormat="1" x14ac:dyDescent="0.25"/>
    <row r="288307" customFormat="1" x14ac:dyDescent="0.25"/>
    <row r="288308" customFormat="1" x14ac:dyDescent="0.25"/>
    <row r="288309" customFormat="1" x14ac:dyDescent="0.25"/>
    <row r="288310" customFormat="1" x14ac:dyDescent="0.25"/>
    <row r="288311" customFormat="1" x14ac:dyDescent="0.25"/>
    <row r="288312" customFormat="1" x14ac:dyDescent="0.25"/>
    <row r="288313" customFormat="1" x14ac:dyDescent="0.25"/>
    <row r="288314" customFormat="1" x14ac:dyDescent="0.25"/>
    <row r="288315" customFormat="1" x14ac:dyDescent="0.25"/>
    <row r="288316" customFormat="1" x14ac:dyDescent="0.25"/>
    <row r="288317" customFormat="1" x14ac:dyDescent="0.25"/>
    <row r="288318" customFormat="1" x14ac:dyDescent="0.25"/>
    <row r="288319" customFormat="1" x14ac:dyDescent="0.25"/>
    <row r="288320" customFormat="1" x14ac:dyDescent="0.25"/>
    <row r="288321" customFormat="1" x14ac:dyDescent="0.25"/>
    <row r="288322" customFormat="1" x14ac:dyDescent="0.25"/>
    <row r="288323" customFormat="1" x14ac:dyDescent="0.25"/>
    <row r="288324" customFormat="1" x14ac:dyDescent="0.25"/>
    <row r="288325" customFormat="1" x14ac:dyDescent="0.25"/>
    <row r="288326" customFormat="1" x14ac:dyDescent="0.25"/>
    <row r="288327" customFormat="1" x14ac:dyDescent="0.25"/>
    <row r="288328" customFormat="1" x14ac:dyDescent="0.25"/>
    <row r="288329" customFormat="1" x14ac:dyDescent="0.25"/>
    <row r="288330" customFormat="1" x14ac:dyDescent="0.25"/>
    <row r="288331" customFormat="1" x14ac:dyDescent="0.25"/>
    <row r="288332" customFormat="1" x14ac:dyDescent="0.25"/>
    <row r="288333" customFormat="1" x14ac:dyDescent="0.25"/>
    <row r="288334" customFormat="1" x14ac:dyDescent="0.25"/>
    <row r="288335" customFormat="1" x14ac:dyDescent="0.25"/>
    <row r="288336" customFormat="1" x14ac:dyDescent="0.25"/>
    <row r="288337" customFormat="1" x14ac:dyDescent="0.25"/>
    <row r="288338" customFormat="1" x14ac:dyDescent="0.25"/>
    <row r="288339" customFormat="1" x14ac:dyDescent="0.25"/>
    <row r="288340" customFormat="1" x14ac:dyDescent="0.25"/>
    <row r="288341" customFormat="1" x14ac:dyDescent="0.25"/>
    <row r="288342" customFormat="1" x14ac:dyDescent="0.25"/>
    <row r="288343" customFormat="1" x14ac:dyDescent="0.25"/>
    <row r="288344" customFormat="1" x14ac:dyDescent="0.25"/>
    <row r="288345" customFormat="1" x14ac:dyDescent="0.25"/>
    <row r="288346" customFormat="1" x14ac:dyDescent="0.25"/>
    <row r="288347" customFormat="1" x14ac:dyDescent="0.25"/>
    <row r="288348" customFormat="1" x14ac:dyDescent="0.25"/>
    <row r="288349" customFormat="1" x14ac:dyDescent="0.25"/>
    <row r="288350" customFormat="1" x14ac:dyDescent="0.25"/>
    <row r="288351" customFormat="1" x14ac:dyDescent="0.25"/>
    <row r="288352" customFormat="1" x14ac:dyDescent="0.25"/>
    <row r="288353" customFormat="1" x14ac:dyDescent="0.25"/>
    <row r="288354" customFormat="1" x14ac:dyDescent="0.25"/>
    <row r="288355" customFormat="1" x14ac:dyDescent="0.25"/>
    <row r="288356" customFormat="1" x14ac:dyDescent="0.25"/>
    <row r="288357" customFormat="1" x14ac:dyDescent="0.25"/>
    <row r="288358" customFormat="1" x14ac:dyDescent="0.25"/>
    <row r="288359" customFormat="1" x14ac:dyDescent="0.25"/>
    <row r="288360" customFormat="1" x14ac:dyDescent="0.25"/>
    <row r="288361" customFormat="1" x14ac:dyDescent="0.25"/>
    <row r="288362" customFormat="1" x14ac:dyDescent="0.25"/>
    <row r="288363" customFormat="1" x14ac:dyDescent="0.25"/>
    <row r="288364" customFormat="1" x14ac:dyDescent="0.25"/>
    <row r="288365" customFormat="1" x14ac:dyDescent="0.25"/>
    <row r="288366" customFormat="1" x14ac:dyDescent="0.25"/>
    <row r="288367" customFormat="1" x14ac:dyDescent="0.25"/>
    <row r="288368" customFormat="1" x14ac:dyDescent="0.25"/>
    <row r="288369" customFormat="1" x14ac:dyDescent="0.25"/>
    <row r="288370" customFormat="1" x14ac:dyDescent="0.25"/>
    <row r="288371" customFormat="1" x14ac:dyDescent="0.25"/>
    <row r="288372" customFormat="1" x14ac:dyDescent="0.25"/>
    <row r="288373" customFormat="1" x14ac:dyDescent="0.25"/>
    <row r="288374" customFormat="1" x14ac:dyDescent="0.25"/>
    <row r="288375" customFormat="1" x14ac:dyDescent="0.25"/>
    <row r="288376" customFormat="1" x14ac:dyDescent="0.25"/>
    <row r="288377" customFormat="1" x14ac:dyDescent="0.25"/>
    <row r="288378" customFormat="1" x14ac:dyDescent="0.25"/>
    <row r="288379" customFormat="1" x14ac:dyDescent="0.25"/>
    <row r="288380" customFormat="1" x14ac:dyDescent="0.25"/>
    <row r="288381" customFormat="1" x14ac:dyDescent="0.25"/>
    <row r="288382" customFormat="1" x14ac:dyDescent="0.25"/>
    <row r="288383" customFormat="1" x14ac:dyDescent="0.25"/>
    <row r="288384" customFormat="1" x14ac:dyDescent="0.25"/>
    <row r="288385" customFormat="1" x14ac:dyDescent="0.25"/>
    <row r="288386" customFormat="1" x14ac:dyDescent="0.25"/>
    <row r="288387" customFormat="1" x14ac:dyDescent="0.25"/>
    <row r="288388" customFormat="1" x14ac:dyDescent="0.25"/>
    <row r="288389" customFormat="1" x14ac:dyDescent="0.25"/>
    <row r="288390" customFormat="1" x14ac:dyDescent="0.25"/>
    <row r="288391" customFormat="1" x14ac:dyDescent="0.25"/>
    <row r="288392" customFormat="1" x14ac:dyDescent="0.25"/>
    <row r="288393" customFormat="1" x14ac:dyDescent="0.25"/>
    <row r="288394" customFormat="1" x14ac:dyDescent="0.25"/>
    <row r="288395" customFormat="1" x14ac:dyDescent="0.25"/>
    <row r="288396" customFormat="1" x14ac:dyDescent="0.25"/>
    <row r="288397" customFormat="1" x14ac:dyDescent="0.25"/>
    <row r="288398" customFormat="1" x14ac:dyDescent="0.25"/>
    <row r="288399" customFormat="1" x14ac:dyDescent="0.25"/>
    <row r="288400" customFormat="1" x14ac:dyDescent="0.25"/>
    <row r="288401" customFormat="1" x14ac:dyDescent="0.25"/>
    <row r="288402" customFormat="1" x14ac:dyDescent="0.25"/>
    <row r="288403" customFormat="1" x14ac:dyDescent="0.25"/>
    <row r="288404" customFormat="1" x14ac:dyDescent="0.25"/>
    <row r="288405" customFormat="1" x14ac:dyDescent="0.25"/>
    <row r="288406" customFormat="1" x14ac:dyDescent="0.25"/>
    <row r="288407" customFormat="1" x14ac:dyDescent="0.25"/>
    <row r="288408" customFormat="1" x14ac:dyDescent="0.25"/>
    <row r="288409" customFormat="1" x14ac:dyDescent="0.25"/>
    <row r="288410" customFormat="1" x14ac:dyDescent="0.25"/>
    <row r="288411" customFormat="1" x14ac:dyDescent="0.25"/>
    <row r="288412" customFormat="1" x14ac:dyDescent="0.25"/>
    <row r="288413" customFormat="1" x14ac:dyDescent="0.25"/>
    <row r="288414" customFormat="1" x14ac:dyDescent="0.25"/>
    <row r="288415" customFormat="1" x14ac:dyDescent="0.25"/>
    <row r="288416" customFormat="1" x14ac:dyDescent="0.25"/>
    <row r="288417" customFormat="1" x14ac:dyDescent="0.25"/>
    <row r="288418" customFormat="1" x14ac:dyDescent="0.25"/>
    <row r="288419" customFormat="1" x14ac:dyDescent="0.25"/>
    <row r="288420" customFormat="1" x14ac:dyDescent="0.25"/>
    <row r="288421" customFormat="1" x14ac:dyDescent="0.25"/>
    <row r="288422" customFormat="1" x14ac:dyDescent="0.25"/>
    <row r="288423" customFormat="1" x14ac:dyDescent="0.25"/>
    <row r="288424" customFormat="1" x14ac:dyDescent="0.25"/>
    <row r="288425" customFormat="1" x14ac:dyDescent="0.25"/>
    <row r="288426" customFormat="1" x14ac:dyDescent="0.25"/>
    <row r="288427" customFormat="1" x14ac:dyDescent="0.25"/>
    <row r="288428" customFormat="1" x14ac:dyDescent="0.25"/>
    <row r="288429" customFormat="1" x14ac:dyDescent="0.25"/>
    <row r="288430" customFormat="1" x14ac:dyDescent="0.25"/>
    <row r="288431" customFormat="1" x14ac:dyDescent="0.25"/>
    <row r="288432" customFormat="1" x14ac:dyDescent="0.25"/>
    <row r="288433" customFormat="1" x14ac:dyDescent="0.25"/>
    <row r="288434" customFormat="1" x14ac:dyDescent="0.25"/>
    <row r="288435" customFormat="1" x14ac:dyDescent="0.25"/>
    <row r="288436" customFormat="1" x14ac:dyDescent="0.25"/>
    <row r="288437" customFormat="1" x14ac:dyDescent="0.25"/>
    <row r="288438" customFormat="1" x14ac:dyDescent="0.25"/>
    <row r="288439" customFormat="1" x14ac:dyDescent="0.25"/>
    <row r="288440" customFormat="1" x14ac:dyDescent="0.25"/>
    <row r="288441" customFormat="1" x14ac:dyDescent="0.25"/>
    <row r="288442" customFormat="1" x14ac:dyDescent="0.25"/>
    <row r="288443" customFormat="1" x14ac:dyDescent="0.25"/>
    <row r="288444" customFormat="1" x14ac:dyDescent="0.25"/>
    <row r="288445" customFormat="1" x14ac:dyDescent="0.25"/>
    <row r="288446" customFormat="1" x14ac:dyDescent="0.25"/>
    <row r="288447" customFormat="1" x14ac:dyDescent="0.25"/>
    <row r="288448" customFormat="1" x14ac:dyDescent="0.25"/>
    <row r="288449" customFormat="1" x14ac:dyDescent="0.25"/>
    <row r="288450" customFormat="1" x14ac:dyDescent="0.25"/>
    <row r="288451" customFormat="1" x14ac:dyDescent="0.25"/>
    <row r="288452" customFormat="1" x14ac:dyDescent="0.25"/>
    <row r="288453" customFormat="1" x14ac:dyDescent="0.25"/>
    <row r="288454" customFormat="1" x14ac:dyDescent="0.25"/>
    <row r="288455" customFormat="1" x14ac:dyDescent="0.25"/>
    <row r="288456" customFormat="1" x14ac:dyDescent="0.25"/>
    <row r="288457" customFormat="1" x14ac:dyDescent="0.25"/>
    <row r="288458" customFormat="1" x14ac:dyDescent="0.25"/>
    <row r="288459" customFormat="1" x14ac:dyDescent="0.25"/>
    <row r="288460" customFormat="1" x14ac:dyDescent="0.25"/>
    <row r="288461" customFormat="1" x14ac:dyDescent="0.25"/>
    <row r="288462" customFormat="1" x14ac:dyDescent="0.25"/>
    <row r="288463" customFormat="1" x14ac:dyDescent="0.25"/>
    <row r="288464" customFormat="1" x14ac:dyDescent="0.25"/>
    <row r="288465" customFormat="1" x14ac:dyDescent="0.25"/>
    <row r="288466" customFormat="1" x14ac:dyDescent="0.25"/>
    <row r="288467" customFormat="1" x14ac:dyDescent="0.25"/>
    <row r="288468" customFormat="1" x14ac:dyDescent="0.25"/>
    <row r="288469" customFormat="1" x14ac:dyDescent="0.25"/>
    <row r="288470" customFormat="1" x14ac:dyDescent="0.25"/>
    <row r="288471" customFormat="1" x14ac:dyDescent="0.25"/>
    <row r="288472" customFormat="1" x14ac:dyDescent="0.25"/>
    <row r="288473" customFormat="1" x14ac:dyDescent="0.25"/>
    <row r="288474" customFormat="1" x14ac:dyDescent="0.25"/>
    <row r="288475" customFormat="1" x14ac:dyDescent="0.25"/>
    <row r="288476" customFormat="1" x14ac:dyDescent="0.25"/>
    <row r="288477" customFormat="1" x14ac:dyDescent="0.25"/>
    <row r="288478" customFormat="1" x14ac:dyDescent="0.25"/>
    <row r="288479" customFormat="1" x14ac:dyDescent="0.25"/>
    <row r="288480" customFormat="1" x14ac:dyDescent="0.25"/>
    <row r="288481" customFormat="1" x14ac:dyDescent="0.25"/>
    <row r="288482" customFormat="1" x14ac:dyDescent="0.25"/>
    <row r="288483" customFormat="1" x14ac:dyDescent="0.25"/>
    <row r="288484" customFormat="1" x14ac:dyDescent="0.25"/>
    <row r="288485" customFormat="1" x14ac:dyDescent="0.25"/>
    <row r="288486" customFormat="1" x14ac:dyDescent="0.25"/>
    <row r="288487" customFormat="1" x14ac:dyDescent="0.25"/>
    <row r="288488" customFormat="1" x14ac:dyDescent="0.25"/>
    <row r="288489" customFormat="1" x14ac:dyDescent="0.25"/>
    <row r="288490" customFormat="1" x14ac:dyDescent="0.25"/>
    <row r="288491" customFormat="1" x14ac:dyDescent="0.25"/>
    <row r="288492" customFormat="1" x14ac:dyDescent="0.25"/>
    <row r="288493" customFormat="1" x14ac:dyDescent="0.25"/>
    <row r="288494" customFormat="1" x14ac:dyDescent="0.25"/>
    <row r="288495" customFormat="1" x14ac:dyDescent="0.25"/>
    <row r="288496" customFormat="1" x14ac:dyDescent="0.25"/>
    <row r="288497" customFormat="1" x14ac:dyDescent="0.25"/>
    <row r="288498" customFormat="1" x14ac:dyDescent="0.25"/>
    <row r="288499" customFormat="1" x14ac:dyDescent="0.25"/>
    <row r="288500" customFormat="1" x14ac:dyDescent="0.25"/>
    <row r="288501" customFormat="1" x14ac:dyDescent="0.25"/>
    <row r="288502" customFormat="1" x14ac:dyDescent="0.25"/>
    <row r="288503" customFormat="1" x14ac:dyDescent="0.25"/>
    <row r="288504" customFormat="1" x14ac:dyDescent="0.25"/>
    <row r="288505" customFormat="1" x14ac:dyDescent="0.25"/>
    <row r="288506" customFormat="1" x14ac:dyDescent="0.25"/>
    <row r="288507" customFormat="1" x14ac:dyDescent="0.25"/>
    <row r="288508" customFormat="1" x14ac:dyDescent="0.25"/>
    <row r="288509" customFormat="1" x14ac:dyDescent="0.25"/>
    <row r="288510" customFormat="1" x14ac:dyDescent="0.25"/>
    <row r="288511" customFormat="1" x14ac:dyDescent="0.25"/>
    <row r="288512" customFormat="1" x14ac:dyDescent="0.25"/>
    <row r="288513" customFormat="1" x14ac:dyDescent="0.25"/>
    <row r="288514" customFormat="1" x14ac:dyDescent="0.25"/>
    <row r="288515" customFormat="1" x14ac:dyDescent="0.25"/>
    <row r="288516" customFormat="1" x14ac:dyDescent="0.25"/>
    <row r="288517" customFormat="1" x14ac:dyDescent="0.25"/>
    <row r="288518" customFormat="1" x14ac:dyDescent="0.25"/>
    <row r="288519" customFormat="1" x14ac:dyDescent="0.25"/>
    <row r="288520" customFormat="1" x14ac:dyDescent="0.25"/>
    <row r="288521" customFormat="1" x14ac:dyDescent="0.25"/>
    <row r="288522" customFormat="1" x14ac:dyDescent="0.25"/>
    <row r="288523" customFormat="1" x14ac:dyDescent="0.25"/>
    <row r="288524" customFormat="1" x14ac:dyDescent="0.25"/>
    <row r="288525" customFormat="1" x14ac:dyDescent="0.25"/>
    <row r="288526" customFormat="1" x14ac:dyDescent="0.25"/>
    <row r="288527" customFormat="1" x14ac:dyDescent="0.25"/>
    <row r="288528" customFormat="1" x14ac:dyDescent="0.25"/>
    <row r="288529" customFormat="1" x14ac:dyDescent="0.25"/>
    <row r="288530" customFormat="1" x14ac:dyDescent="0.25"/>
    <row r="288531" customFormat="1" x14ac:dyDescent="0.25"/>
    <row r="288532" customFormat="1" x14ac:dyDescent="0.25"/>
    <row r="288533" customFormat="1" x14ac:dyDescent="0.25"/>
    <row r="288534" customFormat="1" x14ac:dyDescent="0.25"/>
    <row r="288535" customFormat="1" x14ac:dyDescent="0.25"/>
    <row r="288536" customFormat="1" x14ac:dyDescent="0.25"/>
    <row r="288537" customFormat="1" x14ac:dyDescent="0.25"/>
    <row r="288538" customFormat="1" x14ac:dyDescent="0.25"/>
    <row r="288539" customFormat="1" x14ac:dyDescent="0.25"/>
    <row r="288540" customFormat="1" x14ac:dyDescent="0.25"/>
    <row r="288541" customFormat="1" x14ac:dyDescent="0.25"/>
    <row r="288542" customFormat="1" x14ac:dyDescent="0.25"/>
    <row r="288543" customFormat="1" x14ac:dyDescent="0.25"/>
    <row r="288544" customFormat="1" x14ac:dyDescent="0.25"/>
    <row r="288545" customFormat="1" x14ac:dyDescent="0.25"/>
    <row r="288546" customFormat="1" x14ac:dyDescent="0.25"/>
    <row r="288547" customFormat="1" x14ac:dyDescent="0.25"/>
    <row r="288548" customFormat="1" x14ac:dyDescent="0.25"/>
    <row r="288549" customFormat="1" x14ac:dyDescent="0.25"/>
    <row r="288550" customFormat="1" x14ac:dyDescent="0.25"/>
    <row r="288551" customFormat="1" x14ac:dyDescent="0.25"/>
    <row r="288552" customFormat="1" x14ac:dyDescent="0.25"/>
    <row r="288553" customFormat="1" x14ac:dyDescent="0.25"/>
    <row r="288554" customFormat="1" x14ac:dyDescent="0.25"/>
    <row r="288555" customFormat="1" x14ac:dyDescent="0.25"/>
    <row r="288556" customFormat="1" x14ac:dyDescent="0.25"/>
    <row r="288557" customFormat="1" x14ac:dyDescent="0.25"/>
    <row r="288558" customFormat="1" x14ac:dyDescent="0.25"/>
    <row r="288559" customFormat="1" x14ac:dyDescent="0.25"/>
    <row r="288560" customFormat="1" x14ac:dyDescent="0.25"/>
    <row r="288561" customFormat="1" x14ac:dyDescent="0.25"/>
    <row r="288562" customFormat="1" x14ac:dyDescent="0.25"/>
    <row r="288563" customFormat="1" x14ac:dyDescent="0.25"/>
    <row r="288564" customFormat="1" x14ac:dyDescent="0.25"/>
    <row r="288565" customFormat="1" x14ac:dyDescent="0.25"/>
    <row r="288566" customFormat="1" x14ac:dyDescent="0.25"/>
    <row r="288567" customFormat="1" x14ac:dyDescent="0.25"/>
    <row r="288568" customFormat="1" x14ac:dyDescent="0.25"/>
    <row r="288569" customFormat="1" x14ac:dyDescent="0.25"/>
    <row r="288570" customFormat="1" x14ac:dyDescent="0.25"/>
    <row r="288571" customFormat="1" x14ac:dyDescent="0.25"/>
    <row r="288572" customFormat="1" x14ac:dyDescent="0.25"/>
    <row r="288573" customFormat="1" x14ac:dyDescent="0.25"/>
    <row r="288574" customFormat="1" x14ac:dyDescent="0.25"/>
    <row r="288575" customFormat="1" x14ac:dyDescent="0.25"/>
    <row r="288576" customFormat="1" x14ac:dyDescent="0.25"/>
    <row r="288577" customFormat="1" x14ac:dyDescent="0.25"/>
    <row r="288578" customFormat="1" x14ac:dyDescent="0.25"/>
    <row r="288579" customFormat="1" x14ac:dyDescent="0.25"/>
    <row r="288580" customFormat="1" x14ac:dyDescent="0.25"/>
    <row r="288581" customFormat="1" x14ac:dyDescent="0.25"/>
    <row r="288582" customFormat="1" x14ac:dyDescent="0.25"/>
    <row r="288583" customFormat="1" x14ac:dyDescent="0.25"/>
    <row r="288584" customFormat="1" x14ac:dyDescent="0.25"/>
    <row r="288585" customFormat="1" x14ac:dyDescent="0.25"/>
    <row r="288586" customFormat="1" x14ac:dyDescent="0.25"/>
    <row r="288587" customFormat="1" x14ac:dyDescent="0.25"/>
    <row r="288588" customFormat="1" x14ac:dyDescent="0.25"/>
    <row r="288589" customFormat="1" x14ac:dyDescent="0.25"/>
    <row r="288590" customFormat="1" x14ac:dyDescent="0.25"/>
    <row r="288591" customFormat="1" x14ac:dyDescent="0.25"/>
    <row r="288592" customFormat="1" x14ac:dyDescent="0.25"/>
    <row r="288593" customFormat="1" x14ac:dyDescent="0.25"/>
    <row r="288594" customFormat="1" x14ac:dyDescent="0.25"/>
    <row r="288595" customFormat="1" x14ac:dyDescent="0.25"/>
    <row r="288596" customFormat="1" x14ac:dyDescent="0.25"/>
    <row r="288597" customFormat="1" x14ac:dyDescent="0.25"/>
    <row r="288598" customFormat="1" x14ac:dyDescent="0.25"/>
    <row r="288599" customFormat="1" x14ac:dyDescent="0.25"/>
    <row r="288600" customFormat="1" x14ac:dyDescent="0.25"/>
    <row r="288601" customFormat="1" x14ac:dyDescent="0.25"/>
    <row r="288602" customFormat="1" x14ac:dyDescent="0.25"/>
    <row r="288603" customFormat="1" x14ac:dyDescent="0.25"/>
    <row r="288604" customFormat="1" x14ac:dyDescent="0.25"/>
    <row r="288605" customFormat="1" x14ac:dyDescent="0.25"/>
    <row r="288606" customFormat="1" x14ac:dyDescent="0.25"/>
    <row r="288607" customFormat="1" x14ac:dyDescent="0.25"/>
    <row r="288608" customFormat="1" x14ac:dyDescent="0.25"/>
    <row r="288609" customFormat="1" x14ac:dyDescent="0.25"/>
    <row r="288610" customFormat="1" x14ac:dyDescent="0.25"/>
    <row r="288611" customFormat="1" x14ac:dyDescent="0.25"/>
    <row r="288612" customFormat="1" x14ac:dyDescent="0.25"/>
    <row r="288613" customFormat="1" x14ac:dyDescent="0.25"/>
    <row r="288614" customFormat="1" x14ac:dyDescent="0.25"/>
    <row r="288615" customFormat="1" x14ac:dyDescent="0.25"/>
    <row r="288616" customFormat="1" x14ac:dyDescent="0.25"/>
    <row r="288617" customFormat="1" x14ac:dyDescent="0.25"/>
    <row r="288618" customFormat="1" x14ac:dyDescent="0.25"/>
    <row r="288619" customFormat="1" x14ac:dyDescent="0.25"/>
    <row r="288620" customFormat="1" x14ac:dyDescent="0.25"/>
    <row r="288621" customFormat="1" x14ac:dyDescent="0.25"/>
    <row r="288622" customFormat="1" x14ac:dyDescent="0.25"/>
    <row r="288623" customFormat="1" x14ac:dyDescent="0.25"/>
    <row r="288624" customFormat="1" x14ac:dyDescent="0.25"/>
    <row r="288625" customFormat="1" x14ac:dyDescent="0.25"/>
    <row r="288626" customFormat="1" x14ac:dyDescent="0.25"/>
    <row r="288627" customFormat="1" x14ac:dyDescent="0.25"/>
    <row r="288628" customFormat="1" x14ac:dyDescent="0.25"/>
    <row r="288629" customFormat="1" x14ac:dyDescent="0.25"/>
    <row r="288630" customFormat="1" x14ac:dyDescent="0.25"/>
    <row r="288631" customFormat="1" x14ac:dyDescent="0.25"/>
    <row r="288632" customFormat="1" x14ac:dyDescent="0.25"/>
    <row r="288633" customFormat="1" x14ac:dyDescent="0.25"/>
    <row r="288634" customFormat="1" x14ac:dyDescent="0.25"/>
    <row r="288635" customFormat="1" x14ac:dyDescent="0.25"/>
    <row r="288636" customFormat="1" x14ac:dyDescent="0.25"/>
    <row r="288637" customFormat="1" x14ac:dyDescent="0.25"/>
    <row r="288638" customFormat="1" x14ac:dyDescent="0.25"/>
    <row r="288639" customFormat="1" x14ac:dyDescent="0.25"/>
    <row r="288640" customFormat="1" x14ac:dyDescent="0.25"/>
    <row r="288641" customFormat="1" x14ac:dyDescent="0.25"/>
    <row r="288642" customFormat="1" x14ac:dyDescent="0.25"/>
    <row r="288643" customFormat="1" x14ac:dyDescent="0.25"/>
    <row r="288644" customFormat="1" x14ac:dyDescent="0.25"/>
    <row r="288645" customFormat="1" x14ac:dyDescent="0.25"/>
    <row r="288646" customFormat="1" x14ac:dyDescent="0.25"/>
    <row r="288647" customFormat="1" x14ac:dyDescent="0.25"/>
    <row r="288648" customFormat="1" x14ac:dyDescent="0.25"/>
    <row r="288649" customFormat="1" x14ac:dyDescent="0.25"/>
    <row r="288650" customFormat="1" x14ac:dyDescent="0.25"/>
    <row r="288651" customFormat="1" x14ac:dyDescent="0.25"/>
    <row r="288652" customFormat="1" x14ac:dyDescent="0.25"/>
    <row r="288653" customFormat="1" x14ac:dyDescent="0.25"/>
    <row r="288654" customFormat="1" x14ac:dyDescent="0.25"/>
    <row r="288655" customFormat="1" x14ac:dyDescent="0.25"/>
    <row r="288656" customFormat="1" x14ac:dyDescent="0.25"/>
    <row r="288657" customFormat="1" x14ac:dyDescent="0.25"/>
    <row r="288658" customFormat="1" x14ac:dyDescent="0.25"/>
    <row r="288659" customFormat="1" x14ac:dyDescent="0.25"/>
    <row r="288660" customFormat="1" x14ac:dyDescent="0.25"/>
    <row r="288661" customFormat="1" x14ac:dyDescent="0.25"/>
    <row r="288662" customFormat="1" x14ac:dyDescent="0.25"/>
    <row r="288663" customFormat="1" x14ac:dyDescent="0.25"/>
    <row r="288664" customFormat="1" x14ac:dyDescent="0.25"/>
    <row r="288665" customFormat="1" x14ac:dyDescent="0.25"/>
    <row r="288666" customFormat="1" x14ac:dyDescent="0.25"/>
    <row r="288667" customFormat="1" x14ac:dyDescent="0.25"/>
    <row r="288668" customFormat="1" x14ac:dyDescent="0.25"/>
    <row r="288669" customFormat="1" x14ac:dyDescent="0.25"/>
    <row r="288670" customFormat="1" x14ac:dyDescent="0.25"/>
    <row r="288671" customFormat="1" x14ac:dyDescent="0.25"/>
    <row r="288672" customFormat="1" x14ac:dyDescent="0.25"/>
    <row r="288673" customFormat="1" x14ac:dyDescent="0.25"/>
    <row r="288674" customFormat="1" x14ac:dyDescent="0.25"/>
    <row r="288675" customFormat="1" x14ac:dyDescent="0.25"/>
    <row r="288676" customFormat="1" x14ac:dyDescent="0.25"/>
    <row r="288677" customFormat="1" x14ac:dyDescent="0.25"/>
    <row r="288678" customFormat="1" x14ac:dyDescent="0.25"/>
    <row r="288679" customFormat="1" x14ac:dyDescent="0.25"/>
    <row r="288680" customFormat="1" x14ac:dyDescent="0.25"/>
    <row r="288681" customFormat="1" x14ac:dyDescent="0.25"/>
    <row r="288682" customFormat="1" x14ac:dyDescent="0.25"/>
    <row r="288683" customFormat="1" x14ac:dyDescent="0.25"/>
    <row r="288684" customFormat="1" x14ac:dyDescent="0.25"/>
    <row r="288685" customFormat="1" x14ac:dyDescent="0.25"/>
    <row r="288686" customFormat="1" x14ac:dyDescent="0.25"/>
    <row r="288687" customFormat="1" x14ac:dyDescent="0.25"/>
    <row r="288688" customFormat="1" x14ac:dyDescent="0.25"/>
    <row r="288689" customFormat="1" x14ac:dyDescent="0.25"/>
    <row r="288690" customFormat="1" x14ac:dyDescent="0.25"/>
    <row r="288691" customFormat="1" x14ac:dyDescent="0.25"/>
    <row r="288692" customFormat="1" x14ac:dyDescent="0.25"/>
    <row r="288693" customFormat="1" x14ac:dyDescent="0.25"/>
    <row r="288694" customFormat="1" x14ac:dyDescent="0.25"/>
    <row r="288695" customFormat="1" x14ac:dyDescent="0.25"/>
    <row r="288696" customFormat="1" x14ac:dyDescent="0.25"/>
    <row r="288697" customFormat="1" x14ac:dyDescent="0.25"/>
    <row r="288698" customFormat="1" x14ac:dyDescent="0.25"/>
    <row r="288699" customFormat="1" x14ac:dyDescent="0.25"/>
    <row r="288700" customFormat="1" x14ac:dyDescent="0.25"/>
    <row r="288701" customFormat="1" x14ac:dyDescent="0.25"/>
    <row r="288702" customFormat="1" x14ac:dyDescent="0.25"/>
    <row r="288703" customFormat="1" x14ac:dyDescent="0.25"/>
    <row r="288704" customFormat="1" x14ac:dyDescent="0.25"/>
    <row r="288705" customFormat="1" x14ac:dyDescent="0.25"/>
    <row r="288706" customFormat="1" x14ac:dyDescent="0.25"/>
    <row r="288707" customFormat="1" x14ac:dyDescent="0.25"/>
    <row r="288708" customFormat="1" x14ac:dyDescent="0.25"/>
    <row r="288709" customFormat="1" x14ac:dyDescent="0.25"/>
    <row r="288710" customFormat="1" x14ac:dyDescent="0.25"/>
    <row r="288711" customFormat="1" x14ac:dyDescent="0.25"/>
    <row r="288712" customFormat="1" x14ac:dyDescent="0.25"/>
    <row r="288713" customFormat="1" x14ac:dyDescent="0.25"/>
    <row r="288714" customFormat="1" x14ac:dyDescent="0.25"/>
    <row r="288715" customFormat="1" x14ac:dyDescent="0.25"/>
    <row r="288716" customFormat="1" x14ac:dyDescent="0.25"/>
    <row r="288717" customFormat="1" x14ac:dyDescent="0.25"/>
    <row r="288718" customFormat="1" x14ac:dyDescent="0.25"/>
    <row r="288719" customFormat="1" x14ac:dyDescent="0.25"/>
    <row r="288720" customFormat="1" x14ac:dyDescent="0.25"/>
    <row r="288721" customFormat="1" x14ac:dyDescent="0.25"/>
    <row r="288722" customFormat="1" x14ac:dyDescent="0.25"/>
    <row r="288723" customFormat="1" x14ac:dyDescent="0.25"/>
    <row r="288724" customFormat="1" x14ac:dyDescent="0.25"/>
    <row r="288725" customFormat="1" x14ac:dyDescent="0.25"/>
    <row r="288726" customFormat="1" x14ac:dyDescent="0.25"/>
    <row r="288727" customFormat="1" x14ac:dyDescent="0.25"/>
    <row r="288728" customFormat="1" x14ac:dyDescent="0.25"/>
    <row r="288729" customFormat="1" x14ac:dyDescent="0.25"/>
    <row r="288730" customFormat="1" x14ac:dyDescent="0.25"/>
    <row r="288731" customFormat="1" x14ac:dyDescent="0.25"/>
    <row r="288732" customFormat="1" x14ac:dyDescent="0.25"/>
    <row r="288733" customFormat="1" x14ac:dyDescent="0.25"/>
    <row r="288734" customFormat="1" x14ac:dyDescent="0.25"/>
    <row r="288735" customFormat="1" x14ac:dyDescent="0.25"/>
    <row r="288736" customFormat="1" x14ac:dyDescent="0.25"/>
    <row r="288737" customFormat="1" x14ac:dyDescent="0.25"/>
    <row r="288738" customFormat="1" x14ac:dyDescent="0.25"/>
    <row r="288739" customFormat="1" x14ac:dyDescent="0.25"/>
    <row r="288740" customFormat="1" x14ac:dyDescent="0.25"/>
    <row r="288741" customFormat="1" x14ac:dyDescent="0.25"/>
    <row r="288742" customFormat="1" x14ac:dyDescent="0.25"/>
    <row r="288743" customFormat="1" x14ac:dyDescent="0.25"/>
    <row r="288744" customFormat="1" x14ac:dyDescent="0.25"/>
    <row r="288745" customFormat="1" x14ac:dyDescent="0.25"/>
    <row r="288746" customFormat="1" x14ac:dyDescent="0.25"/>
    <row r="288747" customFormat="1" x14ac:dyDescent="0.25"/>
    <row r="288748" customFormat="1" x14ac:dyDescent="0.25"/>
    <row r="288749" customFormat="1" x14ac:dyDescent="0.25"/>
    <row r="288750" customFormat="1" x14ac:dyDescent="0.25"/>
    <row r="288751" customFormat="1" x14ac:dyDescent="0.25"/>
    <row r="288752" customFormat="1" x14ac:dyDescent="0.25"/>
    <row r="288753" customFormat="1" x14ac:dyDescent="0.25"/>
    <row r="288754" customFormat="1" x14ac:dyDescent="0.25"/>
    <row r="288755" customFormat="1" x14ac:dyDescent="0.25"/>
    <row r="288756" customFormat="1" x14ac:dyDescent="0.25"/>
    <row r="288757" customFormat="1" x14ac:dyDescent="0.25"/>
    <row r="288758" customFormat="1" x14ac:dyDescent="0.25"/>
    <row r="288759" customFormat="1" x14ac:dyDescent="0.25"/>
    <row r="288760" customFormat="1" x14ac:dyDescent="0.25"/>
    <row r="288761" customFormat="1" x14ac:dyDescent="0.25"/>
    <row r="288762" customFormat="1" x14ac:dyDescent="0.25"/>
    <row r="288763" customFormat="1" x14ac:dyDescent="0.25"/>
    <row r="288764" customFormat="1" x14ac:dyDescent="0.25"/>
    <row r="288765" customFormat="1" x14ac:dyDescent="0.25"/>
    <row r="288766" customFormat="1" x14ac:dyDescent="0.25"/>
    <row r="288767" customFormat="1" x14ac:dyDescent="0.25"/>
    <row r="288768" customFormat="1" x14ac:dyDescent="0.25"/>
    <row r="288769" customFormat="1" x14ac:dyDescent="0.25"/>
    <row r="288770" customFormat="1" x14ac:dyDescent="0.25"/>
    <row r="288771" customFormat="1" x14ac:dyDescent="0.25"/>
    <row r="288772" customFormat="1" x14ac:dyDescent="0.25"/>
    <row r="288773" customFormat="1" x14ac:dyDescent="0.25"/>
    <row r="288774" customFormat="1" x14ac:dyDescent="0.25"/>
    <row r="288775" customFormat="1" x14ac:dyDescent="0.25"/>
    <row r="288776" customFormat="1" x14ac:dyDescent="0.25"/>
    <row r="288777" customFormat="1" x14ac:dyDescent="0.25"/>
    <row r="288778" customFormat="1" x14ac:dyDescent="0.25"/>
    <row r="288779" customFormat="1" x14ac:dyDescent="0.25"/>
    <row r="288780" customFormat="1" x14ac:dyDescent="0.25"/>
    <row r="288781" customFormat="1" x14ac:dyDescent="0.25"/>
    <row r="288782" customFormat="1" x14ac:dyDescent="0.25"/>
    <row r="288783" customFormat="1" x14ac:dyDescent="0.25"/>
    <row r="288784" customFormat="1" x14ac:dyDescent="0.25"/>
    <row r="288785" customFormat="1" x14ac:dyDescent="0.25"/>
    <row r="288786" customFormat="1" x14ac:dyDescent="0.25"/>
    <row r="288787" customFormat="1" x14ac:dyDescent="0.25"/>
    <row r="288788" customFormat="1" x14ac:dyDescent="0.25"/>
    <row r="288789" customFormat="1" x14ac:dyDescent="0.25"/>
    <row r="288790" customFormat="1" x14ac:dyDescent="0.25"/>
    <row r="288791" customFormat="1" x14ac:dyDescent="0.25"/>
    <row r="288792" customFormat="1" x14ac:dyDescent="0.25"/>
    <row r="288793" customFormat="1" x14ac:dyDescent="0.25"/>
    <row r="288794" customFormat="1" x14ac:dyDescent="0.25"/>
    <row r="288795" customFormat="1" x14ac:dyDescent="0.25"/>
    <row r="288796" customFormat="1" x14ac:dyDescent="0.25"/>
    <row r="288797" customFormat="1" x14ac:dyDescent="0.25"/>
    <row r="288798" customFormat="1" x14ac:dyDescent="0.25"/>
    <row r="288799" customFormat="1" x14ac:dyDescent="0.25"/>
    <row r="288800" customFormat="1" x14ac:dyDescent="0.25"/>
    <row r="288801" customFormat="1" x14ac:dyDescent="0.25"/>
    <row r="288802" customFormat="1" x14ac:dyDescent="0.25"/>
    <row r="288803" customFormat="1" x14ac:dyDescent="0.25"/>
    <row r="288804" customFormat="1" x14ac:dyDescent="0.25"/>
    <row r="288805" customFormat="1" x14ac:dyDescent="0.25"/>
    <row r="288806" customFormat="1" x14ac:dyDescent="0.25"/>
    <row r="288807" customFormat="1" x14ac:dyDescent="0.25"/>
    <row r="288808" customFormat="1" x14ac:dyDescent="0.25"/>
    <row r="288809" customFormat="1" x14ac:dyDescent="0.25"/>
    <row r="288810" customFormat="1" x14ac:dyDescent="0.25"/>
    <row r="288811" customFormat="1" x14ac:dyDescent="0.25"/>
    <row r="288812" customFormat="1" x14ac:dyDescent="0.25"/>
    <row r="288813" customFormat="1" x14ac:dyDescent="0.25"/>
    <row r="288814" customFormat="1" x14ac:dyDescent="0.25"/>
    <row r="288815" customFormat="1" x14ac:dyDescent="0.25"/>
    <row r="288816" customFormat="1" x14ac:dyDescent="0.25"/>
    <row r="288817" customFormat="1" x14ac:dyDescent="0.25"/>
    <row r="288818" customFormat="1" x14ac:dyDescent="0.25"/>
    <row r="288819" customFormat="1" x14ac:dyDescent="0.25"/>
    <row r="288820" customFormat="1" x14ac:dyDescent="0.25"/>
    <row r="288821" customFormat="1" x14ac:dyDescent="0.25"/>
    <row r="288822" customFormat="1" x14ac:dyDescent="0.25"/>
    <row r="288823" customFormat="1" x14ac:dyDescent="0.25"/>
    <row r="288824" customFormat="1" x14ac:dyDescent="0.25"/>
    <row r="288825" customFormat="1" x14ac:dyDescent="0.25"/>
    <row r="288826" customFormat="1" x14ac:dyDescent="0.25"/>
    <row r="288827" customFormat="1" x14ac:dyDescent="0.25"/>
    <row r="288828" customFormat="1" x14ac:dyDescent="0.25"/>
    <row r="288829" customFormat="1" x14ac:dyDescent="0.25"/>
    <row r="288830" customFormat="1" x14ac:dyDescent="0.25"/>
    <row r="288831" customFormat="1" x14ac:dyDescent="0.25"/>
    <row r="288832" customFormat="1" x14ac:dyDescent="0.25"/>
    <row r="288833" customFormat="1" x14ac:dyDescent="0.25"/>
    <row r="288834" customFormat="1" x14ac:dyDescent="0.25"/>
    <row r="288835" customFormat="1" x14ac:dyDescent="0.25"/>
    <row r="288836" customFormat="1" x14ac:dyDescent="0.25"/>
    <row r="288837" customFormat="1" x14ac:dyDescent="0.25"/>
    <row r="288838" customFormat="1" x14ac:dyDescent="0.25"/>
    <row r="288839" customFormat="1" x14ac:dyDescent="0.25"/>
    <row r="288840" customFormat="1" x14ac:dyDescent="0.25"/>
    <row r="288841" customFormat="1" x14ac:dyDescent="0.25"/>
    <row r="288842" customFormat="1" x14ac:dyDescent="0.25"/>
    <row r="288843" customFormat="1" x14ac:dyDescent="0.25"/>
    <row r="288844" customFormat="1" x14ac:dyDescent="0.25"/>
    <row r="288845" customFormat="1" x14ac:dyDescent="0.25"/>
    <row r="288846" customFormat="1" x14ac:dyDescent="0.25"/>
    <row r="288847" customFormat="1" x14ac:dyDescent="0.25"/>
    <row r="288848" customFormat="1" x14ac:dyDescent="0.25"/>
    <row r="288849" customFormat="1" x14ac:dyDescent="0.25"/>
    <row r="288850" customFormat="1" x14ac:dyDescent="0.25"/>
    <row r="288851" customFormat="1" x14ac:dyDescent="0.25"/>
    <row r="288852" customFormat="1" x14ac:dyDescent="0.25"/>
    <row r="288853" customFormat="1" x14ac:dyDescent="0.25"/>
    <row r="288854" customFormat="1" x14ac:dyDescent="0.25"/>
    <row r="288855" customFormat="1" x14ac:dyDescent="0.25"/>
    <row r="288856" customFormat="1" x14ac:dyDescent="0.25"/>
    <row r="288857" customFormat="1" x14ac:dyDescent="0.25"/>
    <row r="288858" customFormat="1" x14ac:dyDescent="0.25"/>
    <row r="288859" customFormat="1" x14ac:dyDescent="0.25"/>
    <row r="288860" customFormat="1" x14ac:dyDescent="0.25"/>
    <row r="288861" customFormat="1" x14ac:dyDescent="0.25"/>
    <row r="288862" customFormat="1" x14ac:dyDescent="0.25"/>
    <row r="288863" customFormat="1" x14ac:dyDescent="0.25"/>
    <row r="288864" customFormat="1" x14ac:dyDescent="0.25"/>
    <row r="288865" customFormat="1" x14ac:dyDescent="0.25"/>
    <row r="288866" customFormat="1" x14ac:dyDescent="0.25"/>
    <row r="288867" customFormat="1" x14ac:dyDescent="0.25"/>
    <row r="288868" customFormat="1" x14ac:dyDescent="0.25"/>
    <row r="288869" customFormat="1" x14ac:dyDescent="0.25"/>
    <row r="288870" customFormat="1" x14ac:dyDescent="0.25"/>
    <row r="288871" customFormat="1" x14ac:dyDescent="0.25"/>
    <row r="288872" customFormat="1" x14ac:dyDescent="0.25"/>
    <row r="288873" customFormat="1" x14ac:dyDescent="0.25"/>
    <row r="288874" customFormat="1" x14ac:dyDescent="0.25"/>
    <row r="288875" customFormat="1" x14ac:dyDescent="0.25"/>
    <row r="288876" customFormat="1" x14ac:dyDescent="0.25"/>
    <row r="288877" customFormat="1" x14ac:dyDescent="0.25"/>
    <row r="288878" customFormat="1" x14ac:dyDescent="0.25"/>
    <row r="288879" customFormat="1" x14ac:dyDescent="0.25"/>
    <row r="288880" customFormat="1" x14ac:dyDescent="0.25"/>
    <row r="288881" customFormat="1" x14ac:dyDescent="0.25"/>
    <row r="288882" customFormat="1" x14ac:dyDescent="0.25"/>
    <row r="288883" customFormat="1" x14ac:dyDescent="0.25"/>
    <row r="288884" customFormat="1" x14ac:dyDescent="0.25"/>
    <row r="288885" customFormat="1" x14ac:dyDescent="0.25"/>
    <row r="288886" customFormat="1" x14ac:dyDescent="0.25"/>
    <row r="288887" customFormat="1" x14ac:dyDescent="0.25"/>
    <row r="288888" customFormat="1" x14ac:dyDescent="0.25"/>
    <row r="288889" customFormat="1" x14ac:dyDescent="0.25"/>
    <row r="288890" customFormat="1" x14ac:dyDescent="0.25"/>
    <row r="288891" customFormat="1" x14ac:dyDescent="0.25"/>
    <row r="288892" customFormat="1" x14ac:dyDescent="0.25"/>
    <row r="288893" customFormat="1" x14ac:dyDescent="0.25"/>
    <row r="288894" customFormat="1" x14ac:dyDescent="0.25"/>
    <row r="288895" customFormat="1" x14ac:dyDescent="0.25"/>
    <row r="288896" customFormat="1" x14ac:dyDescent="0.25"/>
    <row r="288897" customFormat="1" x14ac:dyDescent="0.25"/>
    <row r="288898" customFormat="1" x14ac:dyDescent="0.25"/>
    <row r="288899" customFormat="1" x14ac:dyDescent="0.25"/>
    <row r="288900" customFormat="1" x14ac:dyDescent="0.25"/>
    <row r="288901" customFormat="1" x14ac:dyDescent="0.25"/>
    <row r="288902" customFormat="1" x14ac:dyDescent="0.25"/>
    <row r="288903" customFormat="1" x14ac:dyDescent="0.25"/>
    <row r="288904" customFormat="1" x14ac:dyDescent="0.25"/>
    <row r="288905" customFormat="1" x14ac:dyDescent="0.25"/>
    <row r="288906" customFormat="1" x14ac:dyDescent="0.25"/>
    <row r="288907" customFormat="1" x14ac:dyDescent="0.25"/>
    <row r="288908" customFormat="1" x14ac:dyDescent="0.25"/>
    <row r="288909" customFormat="1" x14ac:dyDescent="0.25"/>
    <row r="288910" customFormat="1" x14ac:dyDescent="0.25"/>
    <row r="288911" customFormat="1" x14ac:dyDescent="0.25"/>
    <row r="288912" customFormat="1" x14ac:dyDescent="0.25"/>
    <row r="288913" customFormat="1" x14ac:dyDescent="0.25"/>
    <row r="288914" customFormat="1" x14ac:dyDescent="0.25"/>
    <row r="288915" customFormat="1" x14ac:dyDescent="0.25"/>
    <row r="288916" customFormat="1" x14ac:dyDescent="0.25"/>
    <row r="288917" customFormat="1" x14ac:dyDescent="0.25"/>
    <row r="288918" customFormat="1" x14ac:dyDescent="0.25"/>
    <row r="288919" customFormat="1" x14ac:dyDescent="0.25"/>
    <row r="288920" customFormat="1" x14ac:dyDescent="0.25"/>
    <row r="288921" customFormat="1" x14ac:dyDescent="0.25"/>
    <row r="288922" customFormat="1" x14ac:dyDescent="0.25"/>
    <row r="288923" customFormat="1" x14ac:dyDescent="0.25"/>
    <row r="288924" customFormat="1" x14ac:dyDescent="0.25"/>
    <row r="288925" customFormat="1" x14ac:dyDescent="0.25"/>
    <row r="288926" customFormat="1" x14ac:dyDescent="0.25"/>
    <row r="288927" customFormat="1" x14ac:dyDescent="0.25"/>
    <row r="288928" customFormat="1" x14ac:dyDescent="0.25"/>
    <row r="288929" customFormat="1" x14ac:dyDescent="0.25"/>
    <row r="288930" customFormat="1" x14ac:dyDescent="0.25"/>
    <row r="288931" customFormat="1" x14ac:dyDescent="0.25"/>
    <row r="288932" customFormat="1" x14ac:dyDescent="0.25"/>
    <row r="288933" customFormat="1" x14ac:dyDescent="0.25"/>
    <row r="288934" customFormat="1" x14ac:dyDescent="0.25"/>
    <row r="288935" customFormat="1" x14ac:dyDescent="0.25"/>
    <row r="288936" customFormat="1" x14ac:dyDescent="0.25"/>
    <row r="288937" customFormat="1" x14ac:dyDescent="0.25"/>
    <row r="288938" customFormat="1" x14ac:dyDescent="0.25"/>
    <row r="288939" customFormat="1" x14ac:dyDescent="0.25"/>
    <row r="288940" customFormat="1" x14ac:dyDescent="0.25"/>
    <row r="288941" customFormat="1" x14ac:dyDescent="0.25"/>
    <row r="288942" customFormat="1" x14ac:dyDescent="0.25"/>
    <row r="288943" customFormat="1" x14ac:dyDescent="0.25"/>
    <row r="288944" customFormat="1" x14ac:dyDescent="0.25"/>
    <row r="288945" customFormat="1" x14ac:dyDescent="0.25"/>
    <row r="288946" customFormat="1" x14ac:dyDescent="0.25"/>
    <row r="288947" customFormat="1" x14ac:dyDescent="0.25"/>
    <row r="288948" customFormat="1" x14ac:dyDescent="0.25"/>
    <row r="288949" customFormat="1" x14ac:dyDescent="0.25"/>
    <row r="288950" customFormat="1" x14ac:dyDescent="0.25"/>
    <row r="288951" customFormat="1" x14ac:dyDescent="0.25"/>
    <row r="288952" customFormat="1" x14ac:dyDescent="0.25"/>
    <row r="288953" customFormat="1" x14ac:dyDescent="0.25"/>
    <row r="288954" customFormat="1" x14ac:dyDescent="0.25"/>
    <row r="288955" customFormat="1" x14ac:dyDescent="0.25"/>
    <row r="288956" customFormat="1" x14ac:dyDescent="0.25"/>
    <row r="288957" customFormat="1" x14ac:dyDescent="0.25"/>
    <row r="288958" customFormat="1" x14ac:dyDescent="0.25"/>
    <row r="288959" customFormat="1" x14ac:dyDescent="0.25"/>
    <row r="288960" customFormat="1" x14ac:dyDescent="0.25"/>
    <row r="288961" customFormat="1" x14ac:dyDescent="0.25"/>
    <row r="288962" customFormat="1" x14ac:dyDescent="0.25"/>
    <row r="288963" customFormat="1" x14ac:dyDescent="0.25"/>
    <row r="288964" customFormat="1" x14ac:dyDescent="0.25"/>
    <row r="288965" customFormat="1" x14ac:dyDescent="0.25"/>
    <row r="288966" customFormat="1" x14ac:dyDescent="0.25"/>
    <row r="288967" customFormat="1" x14ac:dyDescent="0.25"/>
    <row r="288968" customFormat="1" x14ac:dyDescent="0.25"/>
    <row r="288969" customFormat="1" x14ac:dyDescent="0.25"/>
    <row r="288970" customFormat="1" x14ac:dyDescent="0.25"/>
    <row r="288971" customFormat="1" x14ac:dyDescent="0.25"/>
    <row r="288972" customFormat="1" x14ac:dyDescent="0.25"/>
    <row r="288973" customFormat="1" x14ac:dyDescent="0.25"/>
    <row r="288974" customFormat="1" x14ac:dyDescent="0.25"/>
    <row r="288975" customFormat="1" x14ac:dyDescent="0.25"/>
    <row r="288976" customFormat="1" x14ac:dyDescent="0.25"/>
    <row r="288977" customFormat="1" x14ac:dyDescent="0.25"/>
    <row r="288978" customFormat="1" x14ac:dyDescent="0.25"/>
    <row r="288979" customFormat="1" x14ac:dyDescent="0.25"/>
    <row r="288980" customFormat="1" x14ac:dyDescent="0.25"/>
    <row r="288981" customFormat="1" x14ac:dyDescent="0.25"/>
    <row r="288982" customFormat="1" x14ac:dyDescent="0.25"/>
    <row r="288983" customFormat="1" x14ac:dyDescent="0.25"/>
    <row r="288984" customFormat="1" x14ac:dyDescent="0.25"/>
    <row r="288985" customFormat="1" x14ac:dyDescent="0.25"/>
    <row r="288986" customFormat="1" x14ac:dyDescent="0.25"/>
    <row r="288987" customFormat="1" x14ac:dyDescent="0.25"/>
    <row r="288988" customFormat="1" x14ac:dyDescent="0.25"/>
    <row r="288989" customFormat="1" x14ac:dyDescent="0.25"/>
    <row r="288990" customFormat="1" x14ac:dyDescent="0.25"/>
    <row r="288991" customFormat="1" x14ac:dyDescent="0.25"/>
    <row r="288992" customFormat="1" x14ac:dyDescent="0.25"/>
    <row r="288993" customFormat="1" x14ac:dyDescent="0.25"/>
    <row r="288994" customFormat="1" x14ac:dyDescent="0.25"/>
    <row r="288995" customFormat="1" x14ac:dyDescent="0.25"/>
    <row r="288996" customFormat="1" x14ac:dyDescent="0.25"/>
    <row r="288997" customFormat="1" x14ac:dyDescent="0.25"/>
    <row r="288998" customFormat="1" x14ac:dyDescent="0.25"/>
    <row r="288999" customFormat="1" x14ac:dyDescent="0.25"/>
    <row r="289000" customFormat="1" x14ac:dyDescent="0.25"/>
    <row r="289001" customFormat="1" x14ac:dyDescent="0.25"/>
    <row r="289002" customFormat="1" x14ac:dyDescent="0.25"/>
    <row r="289003" customFormat="1" x14ac:dyDescent="0.25"/>
    <row r="289004" customFormat="1" x14ac:dyDescent="0.25"/>
    <row r="289005" customFormat="1" x14ac:dyDescent="0.25"/>
    <row r="289006" customFormat="1" x14ac:dyDescent="0.25"/>
    <row r="289007" customFormat="1" x14ac:dyDescent="0.25"/>
    <row r="289008" customFormat="1" x14ac:dyDescent="0.25"/>
    <row r="289009" customFormat="1" x14ac:dyDescent="0.25"/>
    <row r="289010" customFormat="1" x14ac:dyDescent="0.25"/>
    <row r="289011" customFormat="1" x14ac:dyDescent="0.25"/>
    <row r="289012" customFormat="1" x14ac:dyDescent="0.25"/>
    <row r="289013" customFormat="1" x14ac:dyDescent="0.25"/>
    <row r="289014" customFormat="1" x14ac:dyDescent="0.25"/>
    <row r="289015" customFormat="1" x14ac:dyDescent="0.25"/>
    <row r="289016" customFormat="1" x14ac:dyDescent="0.25"/>
    <row r="289017" customFormat="1" x14ac:dyDescent="0.25"/>
    <row r="289018" customFormat="1" x14ac:dyDescent="0.25"/>
    <row r="289019" customFormat="1" x14ac:dyDescent="0.25"/>
    <row r="289020" customFormat="1" x14ac:dyDescent="0.25"/>
    <row r="289021" customFormat="1" x14ac:dyDescent="0.25"/>
    <row r="289022" customFormat="1" x14ac:dyDescent="0.25"/>
    <row r="289023" customFormat="1" x14ac:dyDescent="0.25"/>
    <row r="289024" customFormat="1" x14ac:dyDescent="0.25"/>
    <row r="289025" customFormat="1" x14ac:dyDescent="0.25"/>
    <row r="289026" customFormat="1" x14ac:dyDescent="0.25"/>
    <row r="289027" customFormat="1" x14ac:dyDescent="0.25"/>
    <row r="289028" customFormat="1" x14ac:dyDescent="0.25"/>
    <row r="289029" customFormat="1" x14ac:dyDescent="0.25"/>
    <row r="289030" customFormat="1" x14ac:dyDescent="0.25"/>
    <row r="289031" customFormat="1" x14ac:dyDescent="0.25"/>
    <row r="289032" customFormat="1" x14ac:dyDescent="0.25"/>
    <row r="289033" customFormat="1" x14ac:dyDescent="0.25"/>
    <row r="289034" customFormat="1" x14ac:dyDescent="0.25"/>
    <row r="289035" customFormat="1" x14ac:dyDescent="0.25"/>
    <row r="289036" customFormat="1" x14ac:dyDescent="0.25"/>
    <row r="289037" customFormat="1" x14ac:dyDescent="0.25"/>
    <row r="289038" customFormat="1" x14ac:dyDescent="0.25"/>
    <row r="289039" customFormat="1" x14ac:dyDescent="0.25"/>
    <row r="289040" customFormat="1" x14ac:dyDescent="0.25"/>
    <row r="289041" customFormat="1" x14ac:dyDescent="0.25"/>
    <row r="289042" customFormat="1" x14ac:dyDescent="0.25"/>
    <row r="289043" customFormat="1" x14ac:dyDescent="0.25"/>
    <row r="289044" customFormat="1" x14ac:dyDescent="0.25"/>
    <row r="289045" customFormat="1" x14ac:dyDescent="0.25"/>
    <row r="289046" customFormat="1" x14ac:dyDescent="0.25"/>
    <row r="289047" customFormat="1" x14ac:dyDescent="0.25"/>
    <row r="289048" customFormat="1" x14ac:dyDescent="0.25"/>
    <row r="289049" customFormat="1" x14ac:dyDescent="0.25"/>
    <row r="289050" customFormat="1" x14ac:dyDescent="0.25"/>
    <row r="289051" customFormat="1" x14ac:dyDescent="0.25"/>
    <row r="289052" customFormat="1" x14ac:dyDescent="0.25"/>
    <row r="289053" customFormat="1" x14ac:dyDescent="0.25"/>
    <row r="289054" customFormat="1" x14ac:dyDescent="0.25"/>
    <row r="289055" customFormat="1" x14ac:dyDescent="0.25"/>
    <row r="289056" customFormat="1" x14ac:dyDescent="0.25"/>
    <row r="289057" customFormat="1" x14ac:dyDescent="0.25"/>
    <row r="289058" customFormat="1" x14ac:dyDescent="0.25"/>
    <row r="289059" customFormat="1" x14ac:dyDescent="0.25"/>
    <row r="289060" customFormat="1" x14ac:dyDescent="0.25"/>
    <row r="289061" customFormat="1" x14ac:dyDescent="0.25"/>
    <row r="289062" customFormat="1" x14ac:dyDescent="0.25"/>
    <row r="289063" customFormat="1" x14ac:dyDescent="0.25"/>
    <row r="289064" customFormat="1" x14ac:dyDescent="0.25"/>
    <row r="289065" customFormat="1" x14ac:dyDescent="0.25"/>
    <row r="289066" customFormat="1" x14ac:dyDescent="0.25"/>
    <row r="289067" customFormat="1" x14ac:dyDescent="0.25"/>
    <row r="289068" customFormat="1" x14ac:dyDescent="0.25"/>
    <row r="289069" customFormat="1" x14ac:dyDescent="0.25"/>
    <row r="289070" customFormat="1" x14ac:dyDescent="0.25"/>
    <row r="289071" customFormat="1" x14ac:dyDescent="0.25"/>
    <row r="289072" customFormat="1" x14ac:dyDescent="0.25"/>
    <row r="289073" customFormat="1" x14ac:dyDescent="0.25"/>
    <row r="289074" customFormat="1" x14ac:dyDescent="0.25"/>
    <row r="289075" customFormat="1" x14ac:dyDescent="0.25"/>
    <row r="289076" customFormat="1" x14ac:dyDescent="0.25"/>
    <row r="289077" customFormat="1" x14ac:dyDescent="0.25"/>
    <row r="289078" customFormat="1" x14ac:dyDescent="0.25"/>
    <row r="289079" customFormat="1" x14ac:dyDescent="0.25"/>
    <row r="289080" customFormat="1" x14ac:dyDescent="0.25"/>
    <row r="289081" customFormat="1" x14ac:dyDescent="0.25"/>
    <row r="289082" customFormat="1" x14ac:dyDescent="0.25"/>
    <row r="289083" customFormat="1" x14ac:dyDescent="0.25"/>
    <row r="289084" customFormat="1" x14ac:dyDescent="0.25"/>
    <row r="289085" customFormat="1" x14ac:dyDescent="0.25"/>
    <row r="289086" customFormat="1" x14ac:dyDescent="0.25"/>
    <row r="289087" customFormat="1" x14ac:dyDescent="0.25"/>
    <row r="289088" customFormat="1" x14ac:dyDescent="0.25"/>
    <row r="289089" customFormat="1" x14ac:dyDescent="0.25"/>
    <row r="289090" customFormat="1" x14ac:dyDescent="0.25"/>
    <row r="289091" customFormat="1" x14ac:dyDescent="0.25"/>
    <row r="289092" customFormat="1" x14ac:dyDescent="0.25"/>
    <row r="289093" customFormat="1" x14ac:dyDescent="0.25"/>
    <row r="289094" customFormat="1" x14ac:dyDescent="0.25"/>
    <row r="289095" customFormat="1" x14ac:dyDescent="0.25"/>
    <row r="289096" customFormat="1" x14ac:dyDescent="0.25"/>
    <row r="289097" customFormat="1" x14ac:dyDescent="0.25"/>
    <row r="289098" customFormat="1" x14ac:dyDescent="0.25"/>
    <row r="289099" customFormat="1" x14ac:dyDescent="0.25"/>
    <row r="289100" customFormat="1" x14ac:dyDescent="0.25"/>
    <row r="289101" customFormat="1" x14ac:dyDescent="0.25"/>
    <row r="289102" customFormat="1" x14ac:dyDescent="0.25"/>
    <row r="289103" customFormat="1" x14ac:dyDescent="0.25"/>
    <row r="289104" customFormat="1" x14ac:dyDescent="0.25"/>
    <row r="289105" customFormat="1" x14ac:dyDescent="0.25"/>
    <row r="289106" customFormat="1" x14ac:dyDescent="0.25"/>
    <row r="289107" customFormat="1" x14ac:dyDescent="0.25"/>
    <row r="289108" customFormat="1" x14ac:dyDescent="0.25"/>
    <row r="289109" customFormat="1" x14ac:dyDescent="0.25"/>
    <row r="289110" customFormat="1" x14ac:dyDescent="0.25"/>
    <row r="289111" customFormat="1" x14ac:dyDescent="0.25"/>
    <row r="289112" customFormat="1" x14ac:dyDescent="0.25"/>
    <row r="289113" customFormat="1" x14ac:dyDescent="0.25"/>
    <row r="289114" customFormat="1" x14ac:dyDescent="0.25"/>
    <row r="289115" customFormat="1" x14ac:dyDescent="0.25"/>
    <row r="289116" customFormat="1" x14ac:dyDescent="0.25"/>
    <row r="289117" customFormat="1" x14ac:dyDescent="0.25"/>
    <row r="289118" customFormat="1" x14ac:dyDescent="0.25"/>
    <row r="289119" customFormat="1" x14ac:dyDescent="0.25"/>
    <row r="289120" customFormat="1" x14ac:dyDescent="0.25"/>
    <row r="289121" customFormat="1" x14ac:dyDescent="0.25"/>
    <row r="289122" customFormat="1" x14ac:dyDescent="0.25"/>
    <row r="289123" customFormat="1" x14ac:dyDescent="0.25"/>
    <row r="289124" customFormat="1" x14ac:dyDescent="0.25"/>
    <row r="289125" customFormat="1" x14ac:dyDescent="0.25"/>
    <row r="289126" customFormat="1" x14ac:dyDescent="0.25"/>
    <row r="289127" customFormat="1" x14ac:dyDescent="0.25"/>
    <row r="289128" customFormat="1" x14ac:dyDescent="0.25"/>
    <row r="289129" customFormat="1" x14ac:dyDescent="0.25"/>
    <row r="289130" customFormat="1" x14ac:dyDescent="0.25"/>
    <row r="289131" customFormat="1" x14ac:dyDescent="0.25"/>
    <row r="289132" customFormat="1" x14ac:dyDescent="0.25"/>
    <row r="289133" customFormat="1" x14ac:dyDescent="0.25"/>
    <row r="289134" customFormat="1" x14ac:dyDescent="0.25"/>
    <row r="289135" customFormat="1" x14ac:dyDescent="0.25"/>
    <row r="289136" customFormat="1" x14ac:dyDescent="0.25"/>
    <row r="289137" customFormat="1" x14ac:dyDescent="0.25"/>
    <row r="289138" customFormat="1" x14ac:dyDescent="0.25"/>
    <row r="289139" customFormat="1" x14ac:dyDescent="0.25"/>
    <row r="289140" customFormat="1" x14ac:dyDescent="0.25"/>
    <row r="289141" customFormat="1" x14ac:dyDescent="0.25"/>
    <row r="289142" customFormat="1" x14ac:dyDescent="0.25"/>
    <row r="289143" customFormat="1" x14ac:dyDescent="0.25"/>
    <row r="289144" customFormat="1" x14ac:dyDescent="0.25"/>
    <row r="289145" customFormat="1" x14ac:dyDescent="0.25"/>
    <row r="289146" customFormat="1" x14ac:dyDescent="0.25"/>
    <row r="289147" customFormat="1" x14ac:dyDescent="0.25"/>
    <row r="289148" customFormat="1" x14ac:dyDescent="0.25"/>
    <row r="289149" customFormat="1" x14ac:dyDescent="0.25"/>
    <row r="289150" customFormat="1" x14ac:dyDescent="0.25"/>
    <row r="289151" customFormat="1" x14ac:dyDescent="0.25"/>
    <row r="289152" customFormat="1" x14ac:dyDescent="0.25"/>
    <row r="289153" customFormat="1" x14ac:dyDescent="0.25"/>
    <row r="289154" customFormat="1" x14ac:dyDescent="0.25"/>
    <row r="289155" customFormat="1" x14ac:dyDescent="0.25"/>
    <row r="289156" customFormat="1" x14ac:dyDescent="0.25"/>
    <row r="289157" customFormat="1" x14ac:dyDescent="0.25"/>
    <row r="289158" customFormat="1" x14ac:dyDescent="0.25"/>
    <row r="289159" customFormat="1" x14ac:dyDescent="0.25"/>
    <row r="289160" customFormat="1" x14ac:dyDescent="0.25"/>
    <row r="289161" customFormat="1" x14ac:dyDescent="0.25"/>
    <row r="289162" customFormat="1" x14ac:dyDescent="0.25"/>
    <row r="289163" customFormat="1" x14ac:dyDescent="0.25"/>
    <row r="289164" customFormat="1" x14ac:dyDescent="0.25"/>
    <row r="289165" customFormat="1" x14ac:dyDescent="0.25"/>
    <row r="289166" customFormat="1" x14ac:dyDescent="0.25"/>
    <row r="289167" customFormat="1" x14ac:dyDescent="0.25"/>
    <row r="289168" customFormat="1" x14ac:dyDescent="0.25"/>
    <row r="289169" customFormat="1" x14ac:dyDescent="0.25"/>
    <row r="289170" customFormat="1" x14ac:dyDescent="0.25"/>
    <row r="289171" customFormat="1" x14ac:dyDescent="0.25"/>
    <row r="289172" customFormat="1" x14ac:dyDescent="0.25"/>
    <row r="289173" customFormat="1" x14ac:dyDescent="0.25"/>
    <row r="289174" customFormat="1" x14ac:dyDescent="0.25"/>
    <row r="289175" customFormat="1" x14ac:dyDescent="0.25"/>
    <row r="289176" customFormat="1" x14ac:dyDescent="0.25"/>
    <row r="289177" customFormat="1" x14ac:dyDescent="0.25"/>
    <row r="289178" customFormat="1" x14ac:dyDescent="0.25"/>
    <row r="289179" customFormat="1" x14ac:dyDescent="0.25"/>
    <row r="289180" customFormat="1" x14ac:dyDescent="0.25"/>
    <row r="289181" customFormat="1" x14ac:dyDescent="0.25"/>
    <row r="289182" customFormat="1" x14ac:dyDescent="0.25"/>
    <row r="289183" customFormat="1" x14ac:dyDescent="0.25"/>
    <row r="289184" customFormat="1" x14ac:dyDescent="0.25"/>
    <row r="289185" customFormat="1" x14ac:dyDescent="0.25"/>
    <row r="289186" customFormat="1" x14ac:dyDescent="0.25"/>
    <row r="289187" customFormat="1" x14ac:dyDescent="0.25"/>
    <row r="289188" customFormat="1" x14ac:dyDescent="0.25"/>
    <row r="289189" customFormat="1" x14ac:dyDescent="0.25"/>
    <row r="289190" customFormat="1" x14ac:dyDescent="0.25"/>
    <row r="289191" customFormat="1" x14ac:dyDescent="0.25"/>
    <row r="289192" customFormat="1" x14ac:dyDescent="0.25"/>
    <row r="289193" customFormat="1" x14ac:dyDescent="0.25"/>
    <row r="289194" customFormat="1" x14ac:dyDescent="0.25"/>
    <row r="289195" customFormat="1" x14ac:dyDescent="0.25"/>
    <row r="289196" customFormat="1" x14ac:dyDescent="0.25"/>
    <row r="289197" customFormat="1" x14ac:dyDescent="0.25"/>
    <row r="289198" customFormat="1" x14ac:dyDescent="0.25"/>
    <row r="289199" customFormat="1" x14ac:dyDescent="0.25"/>
    <row r="289200" customFormat="1" x14ac:dyDescent="0.25"/>
    <row r="289201" customFormat="1" x14ac:dyDescent="0.25"/>
    <row r="289202" customFormat="1" x14ac:dyDescent="0.25"/>
    <row r="289203" customFormat="1" x14ac:dyDescent="0.25"/>
    <row r="289204" customFormat="1" x14ac:dyDescent="0.25"/>
    <row r="289205" customFormat="1" x14ac:dyDescent="0.25"/>
    <row r="289206" customFormat="1" x14ac:dyDescent="0.25"/>
    <row r="289207" customFormat="1" x14ac:dyDescent="0.25"/>
    <row r="289208" customFormat="1" x14ac:dyDescent="0.25"/>
    <row r="289209" customFormat="1" x14ac:dyDescent="0.25"/>
    <row r="289210" customFormat="1" x14ac:dyDescent="0.25"/>
    <row r="289211" customFormat="1" x14ac:dyDescent="0.25"/>
    <row r="289212" customFormat="1" x14ac:dyDescent="0.25"/>
    <row r="289213" customFormat="1" x14ac:dyDescent="0.25"/>
    <row r="289214" customFormat="1" x14ac:dyDescent="0.25"/>
    <row r="289215" customFormat="1" x14ac:dyDescent="0.25"/>
    <row r="289216" customFormat="1" x14ac:dyDescent="0.25"/>
    <row r="289217" customFormat="1" x14ac:dyDescent="0.25"/>
    <row r="289218" customFormat="1" x14ac:dyDescent="0.25"/>
    <row r="289219" customFormat="1" x14ac:dyDescent="0.25"/>
    <row r="289220" customFormat="1" x14ac:dyDescent="0.25"/>
    <row r="289221" customFormat="1" x14ac:dyDescent="0.25"/>
    <row r="289222" customFormat="1" x14ac:dyDescent="0.25"/>
    <row r="289223" customFormat="1" x14ac:dyDescent="0.25"/>
    <row r="289224" customFormat="1" x14ac:dyDescent="0.25"/>
    <row r="289225" customFormat="1" x14ac:dyDescent="0.25"/>
    <row r="289226" customFormat="1" x14ac:dyDescent="0.25"/>
    <row r="289227" customFormat="1" x14ac:dyDescent="0.25"/>
    <row r="289228" customFormat="1" x14ac:dyDescent="0.25"/>
    <row r="289229" customFormat="1" x14ac:dyDescent="0.25"/>
    <row r="289230" customFormat="1" x14ac:dyDescent="0.25"/>
    <row r="289231" customFormat="1" x14ac:dyDescent="0.25"/>
    <row r="289232" customFormat="1" x14ac:dyDescent="0.25"/>
    <row r="289233" customFormat="1" x14ac:dyDescent="0.25"/>
    <row r="289234" customFormat="1" x14ac:dyDescent="0.25"/>
    <row r="289235" customFormat="1" x14ac:dyDescent="0.25"/>
    <row r="289236" customFormat="1" x14ac:dyDescent="0.25"/>
    <row r="289237" customFormat="1" x14ac:dyDescent="0.25"/>
    <row r="289238" customFormat="1" x14ac:dyDescent="0.25"/>
    <row r="289239" customFormat="1" x14ac:dyDescent="0.25"/>
    <row r="289240" customFormat="1" x14ac:dyDescent="0.25"/>
    <row r="289241" customFormat="1" x14ac:dyDescent="0.25"/>
    <row r="289242" customFormat="1" x14ac:dyDescent="0.25"/>
    <row r="289243" customFormat="1" x14ac:dyDescent="0.25"/>
    <row r="289244" customFormat="1" x14ac:dyDescent="0.25"/>
    <row r="289245" customFormat="1" x14ac:dyDescent="0.25"/>
    <row r="289246" customFormat="1" x14ac:dyDescent="0.25"/>
    <row r="289247" customFormat="1" x14ac:dyDescent="0.25"/>
    <row r="289248" customFormat="1" x14ac:dyDescent="0.25"/>
    <row r="289249" customFormat="1" x14ac:dyDescent="0.25"/>
    <row r="289250" customFormat="1" x14ac:dyDescent="0.25"/>
    <row r="289251" customFormat="1" x14ac:dyDescent="0.25"/>
    <row r="289252" customFormat="1" x14ac:dyDescent="0.25"/>
    <row r="289253" customFormat="1" x14ac:dyDescent="0.25"/>
    <row r="289254" customFormat="1" x14ac:dyDescent="0.25"/>
    <row r="289255" customFormat="1" x14ac:dyDescent="0.25"/>
    <row r="289256" customFormat="1" x14ac:dyDescent="0.25"/>
    <row r="289257" customFormat="1" x14ac:dyDescent="0.25"/>
    <row r="289258" customFormat="1" x14ac:dyDescent="0.25"/>
    <row r="289259" customFormat="1" x14ac:dyDescent="0.25"/>
    <row r="289260" customFormat="1" x14ac:dyDescent="0.25"/>
    <row r="289261" customFormat="1" x14ac:dyDescent="0.25"/>
    <row r="289262" customFormat="1" x14ac:dyDescent="0.25"/>
    <row r="289263" customFormat="1" x14ac:dyDescent="0.25"/>
    <row r="289264" customFormat="1" x14ac:dyDescent="0.25"/>
    <row r="289265" customFormat="1" x14ac:dyDescent="0.25"/>
    <row r="289266" customFormat="1" x14ac:dyDescent="0.25"/>
    <row r="289267" customFormat="1" x14ac:dyDescent="0.25"/>
    <row r="289268" customFormat="1" x14ac:dyDescent="0.25"/>
    <row r="289269" customFormat="1" x14ac:dyDescent="0.25"/>
    <row r="289270" customFormat="1" x14ac:dyDescent="0.25"/>
    <row r="289271" customFormat="1" x14ac:dyDescent="0.25"/>
    <row r="289272" customFormat="1" x14ac:dyDescent="0.25"/>
    <row r="289273" customFormat="1" x14ac:dyDescent="0.25"/>
    <row r="289274" customFormat="1" x14ac:dyDescent="0.25"/>
    <row r="289275" customFormat="1" x14ac:dyDescent="0.25"/>
    <row r="289276" customFormat="1" x14ac:dyDescent="0.25"/>
    <row r="289277" customFormat="1" x14ac:dyDescent="0.25"/>
    <row r="289278" customFormat="1" x14ac:dyDescent="0.25"/>
    <row r="289279" customFormat="1" x14ac:dyDescent="0.25"/>
    <row r="289280" customFormat="1" x14ac:dyDescent="0.25"/>
    <row r="289281" customFormat="1" x14ac:dyDescent="0.25"/>
    <row r="289282" customFormat="1" x14ac:dyDescent="0.25"/>
    <row r="289283" customFormat="1" x14ac:dyDescent="0.25"/>
    <row r="289284" customFormat="1" x14ac:dyDescent="0.25"/>
    <row r="289285" customFormat="1" x14ac:dyDescent="0.25"/>
    <row r="289286" customFormat="1" x14ac:dyDescent="0.25"/>
    <row r="289287" customFormat="1" x14ac:dyDescent="0.25"/>
    <row r="289288" customFormat="1" x14ac:dyDescent="0.25"/>
    <row r="289289" customFormat="1" x14ac:dyDescent="0.25"/>
    <row r="289290" customFormat="1" x14ac:dyDescent="0.25"/>
    <row r="289291" customFormat="1" x14ac:dyDescent="0.25"/>
    <row r="289292" customFormat="1" x14ac:dyDescent="0.25"/>
    <row r="289293" customFormat="1" x14ac:dyDescent="0.25"/>
    <row r="289294" customFormat="1" x14ac:dyDescent="0.25"/>
    <row r="289295" customFormat="1" x14ac:dyDescent="0.25"/>
    <row r="289296" customFormat="1" x14ac:dyDescent="0.25"/>
    <row r="289297" customFormat="1" x14ac:dyDescent="0.25"/>
    <row r="289298" customFormat="1" x14ac:dyDescent="0.25"/>
    <row r="289299" customFormat="1" x14ac:dyDescent="0.25"/>
    <row r="289300" customFormat="1" x14ac:dyDescent="0.25"/>
    <row r="289301" customFormat="1" x14ac:dyDescent="0.25"/>
    <row r="289302" customFormat="1" x14ac:dyDescent="0.25"/>
    <row r="289303" customFormat="1" x14ac:dyDescent="0.25"/>
    <row r="289304" customFormat="1" x14ac:dyDescent="0.25"/>
    <row r="289305" customFormat="1" x14ac:dyDescent="0.25"/>
    <row r="289306" customFormat="1" x14ac:dyDescent="0.25"/>
    <row r="289307" customFormat="1" x14ac:dyDescent="0.25"/>
    <row r="289308" customFormat="1" x14ac:dyDescent="0.25"/>
    <row r="289309" customFormat="1" x14ac:dyDescent="0.25"/>
    <row r="289310" customFormat="1" x14ac:dyDescent="0.25"/>
    <row r="289311" customFormat="1" x14ac:dyDescent="0.25"/>
    <row r="289312" customFormat="1" x14ac:dyDescent="0.25"/>
    <row r="289313" customFormat="1" x14ac:dyDescent="0.25"/>
    <row r="289314" customFormat="1" x14ac:dyDescent="0.25"/>
    <row r="289315" customFormat="1" x14ac:dyDescent="0.25"/>
    <row r="289316" customFormat="1" x14ac:dyDescent="0.25"/>
    <row r="289317" customFormat="1" x14ac:dyDescent="0.25"/>
    <row r="289318" customFormat="1" x14ac:dyDescent="0.25"/>
    <row r="289319" customFormat="1" x14ac:dyDescent="0.25"/>
    <row r="289320" customFormat="1" x14ac:dyDescent="0.25"/>
    <row r="289321" customFormat="1" x14ac:dyDescent="0.25"/>
    <row r="289322" customFormat="1" x14ac:dyDescent="0.25"/>
    <row r="289323" customFormat="1" x14ac:dyDescent="0.25"/>
    <row r="289324" customFormat="1" x14ac:dyDescent="0.25"/>
    <row r="289325" customFormat="1" x14ac:dyDescent="0.25"/>
    <row r="289326" customFormat="1" x14ac:dyDescent="0.25"/>
    <row r="289327" customFormat="1" x14ac:dyDescent="0.25"/>
    <row r="289328" customFormat="1" x14ac:dyDescent="0.25"/>
    <row r="289329" customFormat="1" x14ac:dyDescent="0.25"/>
    <row r="289330" customFormat="1" x14ac:dyDescent="0.25"/>
    <row r="289331" customFormat="1" x14ac:dyDescent="0.25"/>
    <row r="289332" customFormat="1" x14ac:dyDescent="0.25"/>
    <row r="289333" customFormat="1" x14ac:dyDescent="0.25"/>
    <row r="289334" customFormat="1" x14ac:dyDescent="0.25"/>
    <row r="289335" customFormat="1" x14ac:dyDescent="0.25"/>
    <row r="289336" customFormat="1" x14ac:dyDescent="0.25"/>
    <row r="289337" customFormat="1" x14ac:dyDescent="0.25"/>
    <row r="289338" customFormat="1" x14ac:dyDescent="0.25"/>
    <row r="289339" customFormat="1" x14ac:dyDescent="0.25"/>
    <row r="289340" customFormat="1" x14ac:dyDescent="0.25"/>
    <row r="289341" customFormat="1" x14ac:dyDescent="0.25"/>
    <row r="289342" customFormat="1" x14ac:dyDescent="0.25"/>
    <row r="289343" customFormat="1" x14ac:dyDescent="0.25"/>
    <row r="289344" customFormat="1" x14ac:dyDescent="0.25"/>
    <row r="289345" customFormat="1" x14ac:dyDescent="0.25"/>
    <row r="289346" customFormat="1" x14ac:dyDescent="0.25"/>
    <row r="289347" customFormat="1" x14ac:dyDescent="0.25"/>
    <row r="289348" customFormat="1" x14ac:dyDescent="0.25"/>
    <row r="289349" customFormat="1" x14ac:dyDescent="0.25"/>
    <row r="289350" customFormat="1" x14ac:dyDescent="0.25"/>
    <row r="289351" customFormat="1" x14ac:dyDescent="0.25"/>
    <row r="289352" customFormat="1" x14ac:dyDescent="0.25"/>
    <row r="289353" customFormat="1" x14ac:dyDescent="0.25"/>
    <row r="289354" customFormat="1" x14ac:dyDescent="0.25"/>
    <row r="289355" customFormat="1" x14ac:dyDescent="0.25"/>
    <row r="289356" customFormat="1" x14ac:dyDescent="0.25"/>
    <row r="289357" customFormat="1" x14ac:dyDescent="0.25"/>
    <row r="289358" customFormat="1" x14ac:dyDescent="0.25"/>
    <row r="289359" customFormat="1" x14ac:dyDescent="0.25"/>
    <row r="289360" customFormat="1" x14ac:dyDescent="0.25"/>
    <row r="289361" customFormat="1" x14ac:dyDescent="0.25"/>
    <row r="289362" customFormat="1" x14ac:dyDescent="0.25"/>
    <row r="289363" customFormat="1" x14ac:dyDescent="0.25"/>
    <row r="289364" customFormat="1" x14ac:dyDescent="0.25"/>
    <row r="289365" customFormat="1" x14ac:dyDescent="0.25"/>
    <row r="289366" customFormat="1" x14ac:dyDescent="0.25"/>
    <row r="289367" customFormat="1" x14ac:dyDescent="0.25"/>
    <row r="289368" customFormat="1" x14ac:dyDescent="0.25"/>
    <row r="289369" customFormat="1" x14ac:dyDescent="0.25"/>
    <row r="289370" customFormat="1" x14ac:dyDescent="0.25"/>
    <row r="289371" customFormat="1" x14ac:dyDescent="0.25"/>
    <row r="289372" customFormat="1" x14ac:dyDescent="0.25"/>
    <row r="289373" customFormat="1" x14ac:dyDescent="0.25"/>
    <row r="289374" customFormat="1" x14ac:dyDescent="0.25"/>
    <row r="289375" customFormat="1" x14ac:dyDescent="0.25"/>
    <row r="289376" customFormat="1" x14ac:dyDescent="0.25"/>
    <row r="289377" customFormat="1" x14ac:dyDescent="0.25"/>
    <row r="289378" customFormat="1" x14ac:dyDescent="0.25"/>
    <row r="289379" customFormat="1" x14ac:dyDescent="0.25"/>
    <row r="289380" customFormat="1" x14ac:dyDescent="0.25"/>
    <row r="289381" customFormat="1" x14ac:dyDescent="0.25"/>
    <row r="289382" customFormat="1" x14ac:dyDescent="0.25"/>
    <row r="289383" customFormat="1" x14ac:dyDescent="0.25"/>
    <row r="289384" customFormat="1" x14ac:dyDescent="0.25"/>
    <row r="289385" customFormat="1" x14ac:dyDescent="0.25"/>
    <row r="289386" customFormat="1" x14ac:dyDescent="0.25"/>
    <row r="289387" customFormat="1" x14ac:dyDescent="0.25"/>
    <row r="289388" customFormat="1" x14ac:dyDescent="0.25"/>
    <row r="289389" customFormat="1" x14ac:dyDescent="0.25"/>
    <row r="289390" customFormat="1" x14ac:dyDescent="0.25"/>
    <row r="289391" customFormat="1" x14ac:dyDescent="0.25"/>
    <row r="289392" customFormat="1" x14ac:dyDescent="0.25"/>
    <row r="289393" customFormat="1" x14ac:dyDescent="0.25"/>
    <row r="289394" customFormat="1" x14ac:dyDescent="0.25"/>
    <row r="289395" customFormat="1" x14ac:dyDescent="0.25"/>
    <row r="289396" customFormat="1" x14ac:dyDescent="0.25"/>
    <row r="289397" customFormat="1" x14ac:dyDescent="0.25"/>
    <row r="289398" customFormat="1" x14ac:dyDescent="0.25"/>
    <row r="289399" customFormat="1" x14ac:dyDescent="0.25"/>
    <row r="289400" customFormat="1" x14ac:dyDescent="0.25"/>
    <row r="289401" customFormat="1" x14ac:dyDescent="0.25"/>
    <row r="289402" customFormat="1" x14ac:dyDescent="0.25"/>
    <row r="289403" customFormat="1" x14ac:dyDescent="0.25"/>
    <row r="289404" customFormat="1" x14ac:dyDescent="0.25"/>
    <row r="289405" customFormat="1" x14ac:dyDescent="0.25"/>
    <row r="289406" customFormat="1" x14ac:dyDescent="0.25"/>
    <row r="289407" customFormat="1" x14ac:dyDescent="0.25"/>
    <row r="289408" customFormat="1" x14ac:dyDescent="0.25"/>
    <row r="289409" customFormat="1" x14ac:dyDescent="0.25"/>
    <row r="289410" customFormat="1" x14ac:dyDescent="0.25"/>
    <row r="289411" customFormat="1" x14ac:dyDescent="0.25"/>
    <row r="289412" customFormat="1" x14ac:dyDescent="0.25"/>
    <row r="289413" customFormat="1" x14ac:dyDescent="0.25"/>
    <row r="289414" customFormat="1" x14ac:dyDescent="0.25"/>
    <row r="289415" customFormat="1" x14ac:dyDescent="0.25"/>
    <row r="289416" customFormat="1" x14ac:dyDescent="0.25"/>
    <row r="289417" customFormat="1" x14ac:dyDescent="0.25"/>
    <row r="289418" customFormat="1" x14ac:dyDescent="0.25"/>
    <row r="289419" customFormat="1" x14ac:dyDescent="0.25"/>
    <row r="289420" customFormat="1" x14ac:dyDescent="0.25"/>
    <row r="289421" customFormat="1" x14ac:dyDescent="0.25"/>
    <row r="289422" customFormat="1" x14ac:dyDescent="0.25"/>
    <row r="289423" customFormat="1" x14ac:dyDescent="0.25"/>
    <row r="289424" customFormat="1" x14ac:dyDescent="0.25"/>
    <row r="289425" customFormat="1" x14ac:dyDescent="0.25"/>
    <row r="289426" customFormat="1" x14ac:dyDescent="0.25"/>
    <row r="289427" customFormat="1" x14ac:dyDescent="0.25"/>
    <row r="289428" customFormat="1" x14ac:dyDescent="0.25"/>
    <row r="289429" customFormat="1" x14ac:dyDescent="0.25"/>
    <row r="289430" customFormat="1" x14ac:dyDescent="0.25"/>
    <row r="289431" customFormat="1" x14ac:dyDescent="0.25"/>
    <row r="289432" customFormat="1" x14ac:dyDescent="0.25"/>
    <row r="289433" customFormat="1" x14ac:dyDescent="0.25"/>
    <row r="289434" customFormat="1" x14ac:dyDescent="0.25"/>
    <row r="289435" customFormat="1" x14ac:dyDescent="0.25"/>
    <row r="289436" customFormat="1" x14ac:dyDescent="0.25"/>
    <row r="289437" customFormat="1" x14ac:dyDescent="0.25"/>
    <row r="289438" customFormat="1" x14ac:dyDescent="0.25"/>
    <row r="289439" customFormat="1" x14ac:dyDescent="0.25"/>
    <row r="289440" customFormat="1" x14ac:dyDescent="0.25"/>
    <row r="289441" customFormat="1" x14ac:dyDescent="0.25"/>
    <row r="289442" customFormat="1" x14ac:dyDescent="0.25"/>
    <row r="289443" customFormat="1" x14ac:dyDescent="0.25"/>
    <row r="289444" customFormat="1" x14ac:dyDescent="0.25"/>
    <row r="289445" customFormat="1" x14ac:dyDescent="0.25"/>
    <row r="289446" customFormat="1" x14ac:dyDescent="0.25"/>
    <row r="289447" customFormat="1" x14ac:dyDescent="0.25"/>
    <row r="289448" customFormat="1" x14ac:dyDescent="0.25"/>
    <row r="289449" customFormat="1" x14ac:dyDescent="0.25"/>
    <row r="289450" customFormat="1" x14ac:dyDescent="0.25"/>
    <row r="289451" customFormat="1" x14ac:dyDescent="0.25"/>
    <row r="289452" customFormat="1" x14ac:dyDescent="0.25"/>
    <row r="289453" customFormat="1" x14ac:dyDescent="0.25"/>
    <row r="289454" customFormat="1" x14ac:dyDescent="0.25"/>
    <row r="289455" customFormat="1" x14ac:dyDescent="0.25"/>
    <row r="289456" customFormat="1" x14ac:dyDescent="0.25"/>
    <row r="289457" customFormat="1" x14ac:dyDescent="0.25"/>
    <row r="289458" customFormat="1" x14ac:dyDescent="0.25"/>
    <row r="289459" customFormat="1" x14ac:dyDescent="0.25"/>
    <row r="289460" customFormat="1" x14ac:dyDescent="0.25"/>
    <row r="289461" customFormat="1" x14ac:dyDescent="0.25"/>
    <row r="289462" customFormat="1" x14ac:dyDescent="0.25"/>
    <row r="289463" customFormat="1" x14ac:dyDescent="0.25"/>
    <row r="289464" customFormat="1" x14ac:dyDescent="0.25"/>
    <row r="289465" customFormat="1" x14ac:dyDescent="0.25"/>
    <row r="289466" customFormat="1" x14ac:dyDescent="0.25"/>
    <row r="289467" customFormat="1" x14ac:dyDescent="0.25"/>
    <row r="289468" customFormat="1" x14ac:dyDescent="0.25"/>
    <row r="289469" customFormat="1" x14ac:dyDescent="0.25"/>
    <row r="289470" customFormat="1" x14ac:dyDescent="0.25"/>
    <row r="289471" customFormat="1" x14ac:dyDescent="0.25"/>
    <row r="289472" customFormat="1" x14ac:dyDescent="0.25"/>
    <row r="289473" customFormat="1" x14ac:dyDescent="0.25"/>
    <row r="289474" customFormat="1" x14ac:dyDescent="0.25"/>
    <row r="289475" customFormat="1" x14ac:dyDescent="0.25"/>
    <row r="289476" customFormat="1" x14ac:dyDescent="0.25"/>
    <row r="289477" customFormat="1" x14ac:dyDescent="0.25"/>
    <row r="289478" customFormat="1" x14ac:dyDescent="0.25"/>
    <row r="289479" customFormat="1" x14ac:dyDescent="0.25"/>
    <row r="289480" customFormat="1" x14ac:dyDescent="0.25"/>
    <row r="289481" customFormat="1" x14ac:dyDescent="0.25"/>
    <row r="289482" customFormat="1" x14ac:dyDescent="0.25"/>
    <row r="289483" customFormat="1" x14ac:dyDescent="0.25"/>
    <row r="289484" customFormat="1" x14ac:dyDescent="0.25"/>
    <row r="289485" customFormat="1" x14ac:dyDescent="0.25"/>
    <row r="289486" customFormat="1" x14ac:dyDescent="0.25"/>
    <row r="289487" customFormat="1" x14ac:dyDescent="0.25"/>
    <row r="289488" customFormat="1" x14ac:dyDescent="0.25"/>
    <row r="289489" customFormat="1" x14ac:dyDescent="0.25"/>
    <row r="289490" customFormat="1" x14ac:dyDescent="0.25"/>
    <row r="289491" customFormat="1" x14ac:dyDescent="0.25"/>
    <row r="289492" customFormat="1" x14ac:dyDescent="0.25"/>
    <row r="289493" customFormat="1" x14ac:dyDescent="0.25"/>
    <row r="289494" customFormat="1" x14ac:dyDescent="0.25"/>
    <row r="289495" customFormat="1" x14ac:dyDescent="0.25"/>
    <row r="289496" customFormat="1" x14ac:dyDescent="0.25"/>
    <row r="289497" customFormat="1" x14ac:dyDescent="0.25"/>
    <row r="289498" customFormat="1" x14ac:dyDescent="0.25"/>
    <row r="289499" customFormat="1" x14ac:dyDescent="0.25"/>
    <row r="289500" customFormat="1" x14ac:dyDescent="0.25"/>
    <row r="289501" customFormat="1" x14ac:dyDescent="0.25"/>
    <row r="289502" customFormat="1" x14ac:dyDescent="0.25"/>
    <row r="289503" customFormat="1" x14ac:dyDescent="0.25"/>
    <row r="289504" customFormat="1" x14ac:dyDescent="0.25"/>
    <row r="289505" customFormat="1" x14ac:dyDescent="0.25"/>
    <row r="289506" customFormat="1" x14ac:dyDescent="0.25"/>
    <row r="289507" customFormat="1" x14ac:dyDescent="0.25"/>
    <row r="289508" customFormat="1" x14ac:dyDescent="0.25"/>
    <row r="289509" customFormat="1" x14ac:dyDescent="0.25"/>
    <row r="289510" customFormat="1" x14ac:dyDescent="0.25"/>
    <row r="289511" customFormat="1" x14ac:dyDescent="0.25"/>
    <row r="289512" customFormat="1" x14ac:dyDescent="0.25"/>
    <row r="289513" customFormat="1" x14ac:dyDescent="0.25"/>
    <row r="289514" customFormat="1" x14ac:dyDescent="0.25"/>
    <row r="289515" customFormat="1" x14ac:dyDescent="0.25"/>
    <row r="289516" customFormat="1" x14ac:dyDescent="0.25"/>
    <row r="289517" customFormat="1" x14ac:dyDescent="0.25"/>
    <row r="289518" customFormat="1" x14ac:dyDescent="0.25"/>
    <row r="289519" customFormat="1" x14ac:dyDescent="0.25"/>
    <row r="289520" customFormat="1" x14ac:dyDescent="0.25"/>
    <row r="289521" customFormat="1" x14ac:dyDescent="0.25"/>
    <row r="289522" customFormat="1" x14ac:dyDescent="0.25"/>
    <row r="289523" customFormat="1" x14ac:dyDescent="0.25"/>
    <row r="289524" customFormat="1" x14ac:dyDescent="0.25"/>
    <row r="289525" customFormat="1" x14ac:dyDescent="0.25"/>
    <row r="289526" customFormat="1" x14ac:dyDescent="0.25"/>
    <row r="289527" customFormat="1" x14ac:dyDescent="0.25"/>
    <row r="289528" customFormat="1" x14ac:dyDescent="0.25"/>
    <row r="289529" customFormat="1" x14ac:dyDescent="0.25"/>
    <row r="289530" customFormat="1" x14ac:dyDescent="0.25"/>
    <row r="289531" customFormat="1" x14ac:dyDescent="0.25"/>
    <row r="289532" customFormat="1" x14ac:dyDescent="0.25"/>
    <row r="289533" customFormat="1" x14ac:dyDescent="0.25"/>
    <row r="289534" customFormat="1" x14ac:dyDescent="0.25"/>
    <row r="289535" customFormat="1" x14ac:dyDescent="0.25"/>
    <row r="289536" customFormat="1" x14ac:dyDescent="0.25"/>
    <row r="289537" customFormat="1" x14ac:dyDescent="0.25"/>
    <row r="289538" customFormat="1" x14ac:dyDescent="0.25"/>
    <row r="289539" customFormat="1" x14ac:dyDescent="0.25"/>
    <row r="289540" customFormat="1" x14ac:dyDescent="0.25"/>
    <row r="289541" customFormat="1" x14ac:dyDescent="0.25"/>
    <row r="289542" customFormat="1" x14ac:dyDescent="0.25"/>
    <row r="289543" customFormat="1" x14ac:dyDescent="0.25"/>
    <row r="289544" customFormat="1" x14ac:dyDescent="0.25"/>
    <row r="289545" customFormat="1" x14ac:dyDescent="0.25"/>
    <row r="289546" customFormat="1" x14ac:dyDescent="0.25"/>
    <row r="289547" customFormat="1" x14ac:dyDescent="0.25"/>
    <row r="289548" customFormat="1" x14ac:dyDescent="0.25"/>
    <row r="289549" customFormat="1" x14ac:dyDescent="0.25"/>
    <row r="289550" customFormat="1" x14ac:dyDescent="0.25"/>
    <row r="289551" customFormat="1" x14ac:dyDescent="0.25"/>
    <row r="289552" customFormat="1" x14ac:dyDescent="0.25"/>
    <row r="289553" customFormat="1" x14ac:dyDescent="0.25"/>
    <row r="289554" customFormat="1" x14ac:dyDescent="0.25"/>
    <row r="289555" customFormat="1" x14ac:dyDescent="0.25"/>
    <row r="289556" customFormat="1" x14ac:dyDescent="0.25"/>
    <row r="289557" customFormat="1" x14ac:dyDescent="0.25"/>
    <row r="289558" customFormat="1" x14ac:dyDescent="0.25"/>
    <row r="289559" customFormat="1" x14ac:dyDescent="0.25"/>
    <row r="289560" customFormat="1" x14ac:dyDescent="0.25"/>
    <row r="289561" customFormat="1" x14ac:dyDescent="0.25"/>
    <row r="289562" customFormat="1" x14ac:dyDescent="0.25"/>
    <row r="289563" customFormat="1" x14ac:dyDescent="0.25"/>
    <row r="289564" customFormat="1" x14ac:dyDescent="0.25"/>
    <row r="289565" customFormat="1" x14ac:dyDescent="0.25"/>
    <row r="289566" customFormat="1" x14ac:dyDescent="0.25"/>
    <row r="289567" customFormat="1" x14ac:dyDescent="0.25"/>
    <row r="289568" customFormat="1" x14ac:dyDescent="0.25"/>
    <row r="289569" customFormat="1" x14ac:dyDescent="0.25"/>
    <row r="289570" customFormat="1" x14ac:dyDescent="0.25"/>
    <row r="289571" customFormat="1" x14ac:dyDescent="0.25"/>
    <row r="289572" customFormat="1" x14ac:dyDescent="0.25"/>
    <row r="289573" customFormat="1" x14ac:dyDescent="0.25"/>
    <row r="289574" customFormat="1" x14ac:dyDescent="0.25"/>
    <row r="289575" customFormat="1" x14ac:dyDescent="0.25"/>
    <row r="289576" customFormat="1" x14ac:dyDescent="0.25"/>
    <row r="289577" customFormat="1" x14ac:dyDescent="0.25"/>
    <row r="289578" customFormat="1" x14ac:dyDescent="0.25"/>
    <row r="289579" customFormat="1" x14ac:dyDescent="0.25"/>
    <row r="289580" customFormat="1" x14ac:dyDescent="0.25"/>
    <row r="289581" customFormat="1" x14ac:dyDescent="0.25"/>
    <row r="289582" customFormat="1" x14ac:dyDescent="0.25"/>
    <row r="289583" customFormat="1" x14ac:dyDescent="0.25"/>
    <row r="289584" customFormat="1" x14ac:dyDescent="0.25"/>
    <row r="289585" customFormat="1" x14ac:dyDescent="0.25"/>
    <row r="289586" customFormat="1" x14ac:dyDescent="0.25"/>
    <row r="289587" customFormat="1" x14ac:dyDescent="0.25"/>
    <row r="289588" customFormat="1" x14ac:dyDescent="0.25"/>
    <row r="289589" customFormat="1" x14ac:dyDescent="0.25"/>
    <row r="289590" customFormat="1" x14ac:dyDescent="0.25"/>
    <row r="289591" customFormat="1" x14ac:dyDescent="0.25"/>
    <row r="289592" customFormat="1" x14ac:dyDescent="0.25"/>
    <row r="289593" customFormat="1" x14ac:dyDescent="0.25"/>
    <row r="289594" customFormat="1" x14ac:dyDescent="0.25"/>
    <row r="289595" customFormat="1" x14ac:dyDescent="0.25"/>
    <row r="289596" customFormat="1" x14ac:dyDescent="0.25"/>
    <row r="289597" customFormat="1" x14ac:dyDescent="0.25"/>
    <row r="289598" customFormat="1" x14ac:dyDescent="0.25"/>
    <row r="289599" customFormat="1" x14ac:dyDescent="0.25"/>
    <row r="289600" customFormat="1" x14ac:dyDescent="0.25"/>
    <row r="289601" customFormat="1" x14ac:dyDescent="0.25"/>
    <row r="289602" customFormat="1" x14ac:dyDescent="0.25"/>
    <row r="289603" customFormat="1" x14ac:dyDescent="0.25"/>
    <row r="289604" customFormat="1" x14ac:dyDescent="0.25"/>
    <row r="289605" customFormat="1" x14ac:dyDescent="0.25"/>
    <row r="289606" customFormat="1" x14ac:dyDescent="0.25"/>
    <row r="289607" customFormat="1" x14ac:dyDescent="0.25"/>
    <row r="289608" customFormat="1" x14ac:dyDescent="0.25"/>
    <row r="289609" customFormat="1" x14ac:dyDescent="0.25"/>
    <row r="289610" customFormat="1" x14ac:dyDescent="0.25"/>
    <row r="289611" customFormat="1" x14ac:dyDescent="0.25"/>
    <row r="289612" customFormat="1" x14ac:dyDescent="0.25"/>
    <row r="289613" customFormat="1" x14ac:dyDescent="0.25"/>
    <row r="289614" customFormat="1" x14ac:dyDescent="0.25"/>
    <row r="289615" customFormat="1" x14ac:dyDescent="0.25"/>
    <row r="289616" customFormat="1" x14ac:dyDescent="0.25"/>
    <row r="289617" customFormat="1" x14ac:dyDescent="0.25"/>
    <row r="289618" customFormat="1" x14ac:dyDescent="0.25"/>
    <row r="289619" customFormat="1" x14ac:dyDescent="0.25"/>
    <row r="289620" customFormat="1" x14ac:dyDescent="0.25"/>
    <row r="289621" customFormat="1" x14ac:dyDescent="0.25"/>
    <row r="289622" customFormat="1" x14ac:dyDescent="0.25"/>
    <row r="289623" customFormat="1" x14ac:dyDescent="0.25"/>
    <row r="289624" customFormat="1" x14ac:dyDescent="0.25"/>
    <row r="289625" customFormat="1" x14ac:dyDescent="0.25"/>
    <row r="289626" customFormat="1" x14ac:dyDescent="0.25"/>
    <row r="289627" customFormat="1" x14ac:dyDescent="0.25"/>
    <row r="289628" customFormat="1" x14ac:dyDescent="0.25"/>
    <row r="289629" customFormat="1" x14ac:dyDescent="0.25"/>
    <row r="289630" customFormat="1" x14ac:dyDescent="0.25"/>
    <row r="289631" customFormat="1" x14ac:dyDescent="0.25"/>
    <row r="289632" customFormat="1" x14ac:dyDescent="0.25"/>
    <row r="289633" customFormat="1" x14ac:dyDescent="0.25"/>
    <row r="289634" customFormat="1" x14ac:dyDescent="0.25"/>
    <row r="289635" customFormat="1" x14ac:dyDescent="0.25"/>
    <row r="289636" customFormat="1" x14ac:dyDescent="0.25"/>
    <row r="289637" customFormat="1" x14ac:dyDescent="0.25"/>
    <row r="289638" customFormat="1" x14ac:dyDescent="0.25"/>
    <row r="289639" customFormat="1" x14ac:dyDescent="0.25"/>
    <row r="289640" customFormat="1" x14ac:dyDescent="0.25"/>
    <row r="289641" customFormat="1" x14ac:dyDescent="0.25"/>
    <row r="289642" customFormat="1" x14ac:dyDescent="0.25"/>
    <row r="289643" customFormat="1" x14ac:dyDescent="0.25"/>
    <row r="289644" customFormat="1" x14ac:dyDescent="0.25"/>
    <row r="289645" customFormat="1" x14ac:dyDescent="0.25"/>
    <row r="289646" customFormat="1" x14ac:dyDescent="0.25"/>
    <row r="289647" customFormat="1" x14ac:dyDescent="0.25"/>
    <row r="289648" customFormat="1" x14ac:dyDescent="0.25"/>
    <row r="289649" customFormat="1" x14ac:dyDescent="0.25"/>
    <row r="289650" customFormat="1" x14ac:dyDescent="0.25"/>
    <row r="289651" customFormat="1" x14ac:dyDescent="0.25"/>
    <row r="289652" customFormat="1" x14ac:dyDescent="0.25"/>
    <row r="289653" customFormat="1" x14ac:dyDescent="0.25"/>
    <row r="289654" customFormat="1" x14ac:dyDescent="0.25"/>
    <row r="289655" customFormat="1" x14ac:dyDescent="0.25"/>
    <row r="289656" customFormat="1" x14ac:dyDescent="0.25"/>
    <row r="289657" customFormat="1" x14ac:dyDescent="0.25"/>
    <row r="289658" customFormat="1" x14ac:dyDescent="0.25"/>
    <row r="289659" customFormat="1" x14ac:dyDescent="0.25"/>
    <row r="289660" customFormat="1" x14ac:dyDescent="0.25"/>
    <row r="289661" customFormat="1" x14ac:dyDescent="0.25"/>
    <row r="289662" customFormat="1" x14ac:dyDescent="0.25"/>
    <row r="289663" customFormat="1" x14ac:dyDescent="0.25"/>
    <row r="289664" customFormat="1" x14ac:dyDescent="0.25"/>
    <row r="289665" customFormat="1" x14ac:dyDescent="0.25"/>
    <row r="289666" customFormat="1" x14ac:dyDescent="0.25"/>
    <row r="289667" customFormat="1" x14ac:dyDescent="0.25"/>
    <row r="289668" customFormat="1" x14ac:dyDescent="0.25"/>
    <row r="289669" customFormat="1" x14ac:dyDescent="0.25"/>
    <row r="289670" customFormat="1" x14ac:dyDescent="0.25"/>
    <row r="289671" customFormat="1" x14ac:dyDescent="0.25"/>
    <row r="289672" customFormat="1" x14ac:dyDescent="0.25"/>
    <row r="289673" customFormat="1" x14ac:dyDescent="0.25"/>
    <row r="289674" customFormat="1" x14ac:dyDescent="0.25"/>
    <row r="289675" customFormat="1" x14ac:dyDescent="0.25"/>
    <row r="289676" customFormat="1" x14ac:dyDescent="0.25"/>
    <row r="289677" customFormat="1" x14ac:dyDescent="0.25"/>
    <row r="289678" customFormat="1" x14ac:dyDescent="0.25"/>
    <row r="289679" customFormat="1" x14ac:dyDescent="0.25"/>
    <row r="289680" customFormat="1" x14ac:dyDescent="0.25"/>
    <row r="289681" customFormat="1" x14ac:dyDescent="0.25"/>
    <row r="289682" customFormat="1" x14ac:dyDescent="0.25"/>
    <row r="289683" customFormat="1" x14ac:dyDescent="0.25"/>
    <row r="289684" customFormat="1" x14ac:dyDescent="0.25"/>
    <row r="289685" customFormat="1" x14ac:dyDescent="0.25"/>
    <row r="289686" customFormat="1" x14ac:dyDescent="0.25"/>
    <row r="289687" customFormat="1" x14ac:dyDescent="0.25"/>
    <row r="289688" customFormat="1" x14ac:dyDescent="0.25"/>
    <row r="289689" customFormat="1" x14ac:dyDescent="0.25"/>
    <row r="289690" customFormat="1" x14ac:dyDescent="0.25"/>
    <row r="289691" customFormat="1" x14ac:dyDescent="0.25"/>
    <row r="289692" customFormat="1" x14ac:dyDescent="0.25"/>
    <row r="289693" customFormat="1" x14ac:dyDescent="0.25"/>
    <row r="289694" customFormat="1" x14ac:dyDescent="0.25"/>
    <row r="289695" customFormat="1" x14ac:dyDescent="0.25"/>
    <row r="289696" customFormat="1" x14ac:dyDescent="0.25"/>
    <row r="289697" customFormat="1" x14ac:dyDescent="0.25"/>
    <row r="289698" customFormat="1" x14ac:dyDescent="0.25"/>
    <row r="289699" customFormat="1" x14ac:dyDescent="0.25"/>
    <row r="289700" customFormat="1" x14ac:dyDescent="0.25"/>
    <row r="289701" customFormat="1" x14ac:dyDescent="0.25"/>
    <row r="289702" customFormat="1" x14ac:dyDescent="0.25"/>
    <row r="289703" customFormat="1" x14ac:dyDescent="0.25"/>
    <row r="289704" customFormat="1" x14ac:dyDescent="0.25"/>
    <row r="289705" customFormat="1" x14ac:dyDescent="0.25"/>
    <row r="289706" customFormat="1" x14ac:dyDescent="0.25"/>
    <row r="289707" customFormat="1" x14ac:dyDescent="0.25"/>
    <row r="289708" customFormat="1" x14ac:dyDescent="0.25"/>
    <row r="289709" customFormat="1" x14ac:dyDescent="0.25"/>
    <row r="289710" customFormat="1" x14ac:dyDescent="0.25"/>
    <row r="289711" customFormat="1" x14ac:dyDescent="0.25"/>
    <row r="289712" customFormat="1" x14ac:dyDescent="0.25"/>
    <row r="289713" customFormat="1" x14ac:dyDescent="0.25"/>
    <row r="289714" customFormat="1" x14ac:dyDescent="0.25"/>
    <row r="289715" customFormat="1" x14ac:dyDescent="0.25"/>
    <row r="289716" customFormat="1" x14ac:dyDescent="0.25"/>
    <row r="289717" customFormat="1" x14ac:dyDescent="0.25"/>
    <row r="289718" customFormat="1" x14ac:dyDescent="0.25"/>
    <row r="289719" customFormat="1" x14ac:dyDescent="0.25"/>
    <row r="289720" customFormat="1" x14ac:dyDescent="0.25"/>
    <row r="289721" customFormat="1" x14ac:dyDescent="0.25"/>
    <row r="289722" customFormat="1" x14ac:dyDescent="0.25"/>
    <row r="289723" customFormat="1" x14ac:dyDescent="0.25"/>
    <row r="289724" customFormat="1" x14ac:dyDescent="0.25"/>
    <row r="289725" customFormat="1" x14ac:dyDescent="0.25"/>
    <row r="289726" customFormat="1" x14ac:dyDescent="0.25"/>
    <row r="289727" customFormat="1" x14ac:dyDescent="0.25"/>
    <row r="289728" customFormat="1" x14ac:dyDescent="0.25"/>
    <row r="289729" customFormat="1" x14ac:dyDescent="0.25"/>
    <row r="289730" customFormat="1" x14ac:dyDescent="0.25"/>
    <row r="289731" customFormat="1" x14ac:dyDescent="0.25"/>
    <row r="289732" customFormat="1" x14ac:dyDescent="0.25"/>
    <row r="289733" customFormat="1" x14ac:dyDescent="0.25"/>
    <row r="289734" customFormat="1" x14ac:dyDescent="0.25"/>
    <row r="289735" customFormat="1" x14ac:dyDescent="0.25"/>
    <row r="289736" customFormat="1" x14ac:dyDescent="0.25"/>
    <row r="289737" customFormat="1" x14ac:dyDescent="0.25"/>
    <row r="289738" customFormat="1" x14ac:dyDescent="0.25"/>
    <row r="289739" customFormat="1" x14ac:dyDescent="0.25"/>
    <row r="289740" customFormat="1" x14ac:dyDescent="0.25"/>
    <row r="289741" customFormat="1" x14ac:dyDescent="0.25"/>
    <row r="289742" customFormat="1" x14ac:dyDescent="0.25"/>
    <row r="289743" customFormat="1" x14ac:dyDescent="0.25"/>
    <row r="289744" customFormat="1" x14ac:dyDescent="0.25"/>
    <row r="289745" customFormat="1" x14ac:dyDescent="0.25"/>
    <row r="289746" customFormat="1" x14ac:dyDescent="0.25"/>
    <row r="289747" customFormat="1" x14ac:dyDescent="0.25"/>
    <row r="289748" customFormat="1" x14ac:dyDescent="0.25"/>
    <row r="289749" customFormat="1" x14ac:dyDescent="0.25"/>
    <row r="289750" customFormat="1" x14ac:dyDescent="0.25"/>
    <row r="289751" customFormat="1" x14ac:dyDescent="0.25"/>
    <row r="289752" customFormat="1" x14ac:dyDescent="0.25"/>
    <row r="289753" customFormat="1" x14ac:dyDescent="0.25"/>
    <row r="289754" customFormat="1" x14ac:dyDescent="0.25"/>
    <row r="289755" customFormat="1" x14ac:dyDescent="0.25"/>
    <row r="289756" customFormat="1" x14ac:dyDescent="0.25"/>
    <row r="289757" customFormat="1" x14ac:dyDescent="0.25"/>
    <row r="289758" customFormat="1" x14ac:dyDescent="0.25"/>
    <row r="289759" customFormat="1" x14ac:dyDescent="0.25"/>
    <row r="289760" customFormat="1" x14ac:dyDescent="0.25"/>
    <row r="289761" customFormat="1" x14ac:dyDescent="0.25"/>
    <row r="289762" customFormat="1" x14ac:dyDescent="0.25"/>
    <row r="289763" customFormat="1" x14ac:dyDescent="0.25"/>
    <row r="289764" customFormat="1" x14ac:dyDescent="0.25"/>
    <row r="289765" customFormat="1" x14ac:dyDescent="0.25"/>
    <row r="289766" customFormat="1" x14ac:dyDescent="0.25"/>
    <row r="289767" customFormat="1" x14ac:dyDescent="0.25"/>
    <row r="289768" customFormat="1" x14ac:dyDescent="0.25"/>
    <row r="289769" customFormat="1" x14ac:dyDescent="0.25"/>
    <row r="289770" customFormat="1" x14ac:dyDescent="0.25"/>
    <row r="289771" customFormat="1" x14ac:dyDescent="0.25"/>
    <row r="289772" customFormat="1" x14ac:dyDescent="0.25"/>
    <row r="289773" customFormat="1" x14ac:dyDescent="0.25"/>
    <row r="289774" customFormat="1" x14ac:dyDescent="0.25"/>
    <row r="289775" customFormat="1" x14ac:dyDescent="0.25"/>
    <row r="289776" customFormat="1" x14ac:dyDescent="0.25"/>
    <row r="289777" customFormat="1" x14ac:dyDescent="0.25"/>
    <row r="289778" customFormat="1" x14ac:dyDescent="0.25"/>
    <row r="289779" customFormat="1" x14ac:dyDescent="0.25"/>
    <row r="289780" customFormat="1" x14ac:dyDescent="0.25"/>
    <row r="289781" customFormat="1" x14ac:dyDescent="0.25"/>
    <row r="289782" customFormat="1" x14ac:dyDescent="0.25"/>
    <row r="289783" customFormat="1" x14ac:dyDescent="0.25"/>
    <row r="289784" customFormat="1" x14ac:dyDescent="0.25"/>
    <row r="289785" customFormat="1" x14ac:dyDescent="0.25"/>
    <row r="289786" customFormat="1" x14ac:dyDescent="0.25"/>
    <row r="289787" customFormat="1" x14ac:dyDescent="0.25"/>
    <row r="289788" customFormat="1" x14ac:dyDescent="0.25"/>
    <row r="289789" customFormat="1" x14ac:dyDescent="0.25"/>
    <row r="289790" customFormat="1" x14ac:dyDescent="0.25"/>
    <row r="289791" customFormat="1" x14ac:dyDescent="0.25"/>
    <row r="289792" customFormat="1" x14ac:dyDescent="0.25"/>
    <row r="289793" customFormat="1" x14ac:dyDescent="0.25"/>
    <row r="289794" customFormat="1" x14ac:dyDescent="0.25"/>
    <row r="289795" customFormat="1" x14ac:dyDescent="0.25"/>
    <row r="289796" customFormat="1" x14ac:dyDescent="0.25"/>
    <row r="289797" customFormat="1" x14ac:dyDescent="0.25"/>
    <row r="289798" customFormat="1" x14ac:dyDescent="0.25"/>
    <row r="289799" customFormat="1" x14ac:dyDescent="0.25"/>
    <row r="289800" customFormat="1" x14ac:dyDescent="0.25"/>
    <row r="289801" customFormat="1" x14ac:dyDescent="0.25"/>
    <row r="289802" customFormat="1" x14ac:dyDescent="0.25"/>
    <row r="289803" customFormat="1" x14ac:dyDescent="0.25"/>
    <row r="289804" customFormat="1" x14ac:dyDescent="0.25"/>
    <row r="289805" customFormat="1" x14ac:dyDescent="0.25"/>
    <row r="289806" customFormat="1" x14ac:dyDescent="0.25"/>
    <row r="289807" customFormat="1" x14ac:dyDescent="0.25"/>
    <row r="289808" customFormat="1" x14ac:dyDescent="0.25"/>
    <row r="289809" customFormat="1" x14ac:dyDescent="0.25"/>
    <row r="289810" customFormat="1" x14ac:dyDescent="0.25"/>
    <row r="289811" customFormat="1" x14ac:dyDescent="0.25"/>
    <row r="289812" customFormat="1" x14ac:dyDescent="0.25"/>
    <row r="289813" customFormat="1" x14ac:dyDescent="0.25"/>
    <row r="289814" customFormat="1" x14ac:dyDescent="0.25"/>
    <row r="289815" customFormat="1" x14ac:dyDescent="0.25"/>
    <row r="289816" customFormat="1" x14ac:dyDescent="0.25"/>
    <row r="289817" customFormat="1" x14ac:dyDescent="0.25"/>
    <row r="289818" customFormat="1" x14ac:dyDescent="0.25"/>
    <row r="289819" customFormat="1" x14ac:dyDescent="0.25"/>
    <row r="289820" customFormat="1" x14ac:dyDescent="0.25"/>
    <row r="289821" customFormat="1" x14ac:dyDescent="0.25"/>
    <row r="289822" customFormat="1" x14ac:dyDescent="0.25"/>
    <row r="289823" customFormat="1" x14ac:dyDescent="0.25"/>
    <row r="289824" customFormat="1" x14ac:dyDescent="0.25"/>
    <row r="289825" customFormat="1" x14ac:dyDescent="0.25"/>
    <row r="289826" customFormat="1" x14ac:dyDescent="0.25"/>
    <row r="289827" customFormat="1" x14ac:dyDescent="0.25"/>
    <row r="289828" customFormat="1" x14ac:dyDescent="0.25"/>
    <row r="289829" customFormat="1" x14ac:dyDescent="0.25"/>
    <row r="289830" customFormat="1" x14ac:dyDescent="0.25"/>
    <row r="289831" customFormat="1" x14ac:dyDescent="0.25"/>
    <row r="289832" customFormat="1" x14ac:dyDescent="0.25"/>
    <row r="289833" customFormat="1" x14ac:dyDescent="0.25"/>
    <row r="289834" customFormat="1" x14ac:dyDescent="0.25"/>
    <row r="289835" customFormat="1" x14ac:dyDescent="0.25"/>
    <row r="289836" customFormat="1" x14ac:dyDescent="0.25"/>
    <row r="289837" customFormat="1" x14ac:dyDescent="0.25"/>
    <row r="289838" customFormat="1" x14ac:dyDescent="0.25"/>
    <row r="289839" customFormat="1" x14ac:dyDescent="0.25"/>
    <row r="289840" customFormat="1" x14ac:dyDescent="0.25"/>
    <row r="289841" customFormat="1" x14ac:dyDescent="0.25"/>
    <row r="289842" customFormat="1" x14ac:dyDescent="0.25"/>
    <row r="289843" customFormat="1" x14ac:dyDescent="0.25"/>
    <row r="289844" customFormat="1" x14ac:dyDescent="0.25"/>
    <row r="289845" customFormat="1" x14ac:dyDescent="0.25"/>
    <row r="289846" customFormat="1" x14ac:dyDescent="0.25"/>
    <row r="289847" customFormat="1" x14ac:dyDescent="0.25"/>
    <row r="289848" customFormat="1" x14ac:dyDescent="0.25"/>
    <row r="289849" customFormat="1" x14ac:dyDescent="0.25"/>
    <row r="289850" customFormat="1" x14ac:dyDescent="0.25"/>
    <row r="289851" customFormat="1" x14ac:dyDescent="0.25"/>
    <row r="289852" customFormat="1" x14ac:dyDescent="0.25"/>
    <row r="289853" customFormat="1" x14ac:dyDescent="0.25"/>
    <row r="289854" customFormat="1" x14ac:dyDescent="0.25"/>
    <row r="289855" customFormat="1" x14ac:dyDescent="0.25"/>
    <row r="289856" customFormat="1" x14ac:dyDescent="0.25"/>
    <row r="289857" customFormat="1" x14ac:dyDescent="0.25"/>
    <row r="289858" customFormat="1" x14ac:dyDescent="0.25"/>
    <row r="289859" customFormat="1" x14ac:dyDescent="0.25"/>
    <row r="289860" customFormat="1" x14ac:dyDescent="0.25"/>
    <row r="289861" customFormat="1" x14ac:dyDescent="0.25"/>
    <row r="289862" customFormat="1" x14ac:dyDescent="0.25"/>
    <row r="289863" customFormat="1" x14ac:dyDescent="0.25"/>
    <row r="289864" customFormat="1" x14ac:dyDescent="0.25"/>
    <row r="289865" customFormat="1" x14ac:dyDescent="0.25"/>
    <row r="289866" customFormat="1" x14ac:dyDescent="0.25"/>
    <row r="289867" customFormat="1" x14ac:dyDescent="0.25"/>
    <row r="289868" customFormat="1" x14ac:dyDescent="0.25"/>
    <row r="289869" customFormat="1" x14ac:dyDescent="0.25"/>
    <row r="289870" customFormat="1" x14ac:dyDescent="0.25"/>
    <row r="289871" customFormat="1" x14ac:dyDescent="0.25"/>
    <row r="289872" customFormat="1" x14ac:dyDescent="0.25"/>
    <row r="289873" customFormat="1" x14ac:dyDescent="0.25"/>
    <row r="289874" customFormat="1" x14ac:dyDescent="0.25"/>
    <row r="289875" customFormat="1" x14ac:dyDescent="0.25"/>
    <row r="289876" customFormat="1" x14ac:dyDescent="0.25"/>
    <row r="289877" customFormat="1" x14ac:dyDescent="0.25"/>
    <row r="289878" customFormat="1" x14ac:dyDescent="0.25"/>
    <row r="289879" customFormat="1" x14ac:dyDescent="0.25"/>
    <row r="289880" customFormat="1" x14ac:dyDescent="0.25"/>
    <row r="289881" customFormat="1" x14ac:dyDescent="0.25"/>
    <row r="289882" customFormat="1" x14ac:dyDescent="0.25"/>
    <row r="289883" customFormat="1" x14ac:dyDescent="0.25"/>
    <row r="289884" customFormat="1" x14ac:dyDescent="0.25"/>
    <row r="289885" customFormat="1" x14ac:dyDescent="0.25"/>
    <row r="289886" customFormat="1" x14ac:dyDescent="0.25"/>
    <row r="289887" customFormat="1" x14ac:dyDescent="0.25"/>
    <row r="289888" customFormat="1" x14ac:dyDescent="0.25"/>
    <row r="289889" customFormat="1" x14ac:dyDescent="0.25"/>
    <row r="289890" customFormat="1" x14ac:dyDescent="0.25"/>
    <row r="289891" customFormat="1" x14ac:dyDescent="0.25"/>
    <row r="289892" customFormat="1" x14ac:dyDescent="0.25"/>
    <row r="289893" customFormat="1" x14ac:dyDescent="0.25"/>
    <row r="289894" customFormat="1" x14ac:dyDescent="0.25"/>
    <row r="289895" customFormat="1" x14ac:dyDescent="0.25"/>
    <row r="289896" customFormat="1" x14ac:dyDescent="0.25"/>
    <row r="289897" customFormat="1" x14ac:dyDescent="0.25"/>
    <row r="289898" customFormat="1" x14ac:dyDescent="0.25"/>
    <row r="289899" customFormat="1" x14ac:dyDescent="0.25"/>
    <row r="289900" customFormat="1" x14ac:dyDescent="0.25"/>
    <row r="289901" customFormat="1" x14ac:dyDescent="0.25"/>
    <row r="289902" customFormat="1" x14ac:dyDescent="0.25"/>
    <row r="289903" customFormat="1" x14ac:dyDescent="0.25"/>
    <row r="289904" customFormat="1" x14ac:dyDescent="0.25"/>
    <row r="289905" customFormat="1" x14ac:dyDescent="0.25"/>
    <row r="289906" customFormat="1" x14ac:dyDescent="0.25"/>
    <row r="289907" customFormat="1" x14ac:dyDescent="0.25"/>
    <row r="289908" customFormat="1" x14ac:dyDescent="0.25"/>
    <row r="289909" customFormat="1" x14ac:dyDescent="0.25"/>
    <row r="289910" customFormat="1" x14ac:dyDescent="0.25"/>
    <row r="289911" customFormat="1" x14ac:dyDescent="0.25"/>
    <row r="289912" customFormat="1" x14ac:dyDescent="0.25"/>
    <row r="289913" customFormat="1" x14ac:dyDescent="0.25"/>
    <row r="289914" customFormat="1" x14ac:dyDescent="0.25"/>
    <row r="289915" customFormat="1" x14ac:dyDescent="0.25"/>
    <row r="289916" customFormat="1" x14ac:dyDescent="0.25"/>
    <row r="289917" customFormat="1" x14ac:dyDescent="0.25"/>
    <row r="289918" customFormat="1" x14ac:dyDescent="0.25"/>
    <row r="289919" customFormat="1" x14ac:dyDescent="0.25"/>
    <row r="289920" customFormat="1" x14ac:dyDescent="0.25"/>
    <row r="289921" customFormat="1" x14ac:dyDescent="0.25"/>
    <row r="289922" customFormat="1" x14ac:dyDescent="0.25"/>
    <row r="289923" customFormat="1" x14ac:dyDescent="0.25"/>
    <row r="289924" customFormat="1" x14ac:dyDescent="0.25"/>
    <row r="289925" customFormat="1" x14ac:dyDescent="0.25"/>
    <row r="289926" customFormat="1" x14ac:dyDescent="0.25"/>
    <row r="289927" customFormat="1" x14ac:dyDescent="0.25"/>
    <row r="289928" customFormat="1" x14ac:dyDescent="0.25"/>
    <row r="289929" customFormat="1" x14ac:dyDescent="0.25"/>
    <row r="289930" customFormat="1" x14ac:dyDescent="0.25"/>
    <row r="289931" customFormat="1" x14ac:dyDescent="0.25"/>
    <row r="289932" customFormat="1" x14ac:dyDescent="0.25"/>
    <row r="289933" customFormat="1" x14ac:dyDescent="0.25"/>
    <row r="289934" customFormat="1" x14ac:dyDescent="0.25"/>
    <row r="289935" customFormat="1" x14ac:dyDescent="0.25"/>
    <row r="289936" customFormat="1" x14ac:dyDescent="0.25"/>
    <row r="289937" customFormat="1" x14ac:dyDescent="0.25"/>
    <row r="289938" customFormat="1" x14ac:dyDescent="0.25"/>
    <row r="289939" customFormat="1" x14ac:dyDescent="0.25"/>
    <row r="289940" customFormat="1" x14ac:dyDescent="0.25"/>
    <row r="289941" customFormat="1" x14ac:dyDescent="0.25"/>
    <row r="289942" customFormat="1" x14ac:dyDescent="0.25"/>
    <row r="289943" customFormat="1" x14ac:dyDescent="0.25"/>
    <row r="289944" customFormat="1" x14ac:dyDescent="0.25"/>
    <row r="289945" customFormat="1" x14ac:dyDescent="0.25"/>
    <row r="289946" customFormat="1" x14ac:dyDescent="0.25"/>
    <row r="289947" customFormat="1" x14ac:dyDescent="0.25"/>
    <row r="289948" customFormat="1" x14ac:dyDescent="0.25"/>
    <row r="289949" customFormat="1" x14ac:dyDescent="0.25"/>
    <row r="289950" customFormat="1" x14ac:dyDescent="0.25"/>
    <row r="289951" customFormat="1" x14ac:dyDescent="0.25"/>
    <row r="289952" customFormat="1" x14ac:dyDescent="0.25"/>
    <row r="289953" customFormat="1" x14ac:dyDescent="0.25"/>
    <row r="289954" customFormat="1" x14ac:dyDescent="0.25"/>
    <row r="289955" customFormat="1" x14ac:dyDescent="0.25"/>
    <row r="289956" customFormat="1" x14ac:dyDescent="0.25"/>
    <row r="289957" customFormat="1" x14ac:dyDescent="0.25"/>
    <row r="289958" customFormat="1" x14ac:dyDescent="0.25"/>
    <row r="289959" customFormat="1" x14ac:dyDescent="0.25"/>
    <row r="289960" customFormat="1" x14ac:dyDescent="0.25"/>
    <row r="289961" customFormat="1" x14ac:dyDescent="0.25"/>
    <row r="289962" customFormat="1" x14ac:dyDescent="0.25"/>
    <row r="289963" customFormat="1" x14ac:dyDescent="0.25"/>
    <row r="289964" customFormat="1" x14ac:dyDescent="0.25"/>
    <row r="289965" customFormat="1" x14ac:dyDescent="0.25"/>
    <row r="289966" customFormat="1" x14ac:dyDescent="0.25"/>
    <row r="289967" customFormat="1" x14ac:dyDescent="0.25"/>
    <row r="289968" customFormat="1" x14ac:dyDescent="0.25"/>
    <row r="289969" customFormat="1" x14ac:dyDescent="0.25"/>
    <row r="289970" customFormat="1" x14ac:dyDescent="0.25"/>
    <row r="289971" customFormat="1" x14ac:dyDescent="0.25"/>
    <row r="289972" customFormat="1" x14ac:dyDescent="0.25"/>
    <row r="289973" customFormat="1" x14ac:dyDescent="0.25"/>
    <row r="289974" customFormat="1" x14ac:dyDescent="0.25"/>
    <row r="289975" customFormat="1" x14ac:dyDescent="0.25"/>
    <row r="289976" customFormat="1" x14ac:dyDescent="0.25"/>
    <row r="289977" customFormat="1" x14ac:dyDescent="0.25"/>
    <row r="289978" customFormat="1" x14ac:dyDescent="0.25"/>
    <row r="289979" customFormat="1" x14ac:dyDescent="0.25"/>
    <row r="289980" customFormat="1" x14ac:dyDescent="0.25"/>
    <row r="289981" customFormat="1" x14ac:dyDescent="0.25"/>
    <row r="289982" customFormat="1" x14ac:dyDescent="0.25"/>
    <row r="289983" customFormat="1" x14ac:dyDescent="0.25"/>
    <row r="289984" customFormat="1" x14ac:dyDescent="0.25"/>
    <row r="289985" customFormat="1" x14ac:dyDescent="0.25"/>
    <row r="289986" customFormat="1" x14ac:dyDescent="0.25"/>
    <row r="289987" customFormat="1" x14ac:dyDescent="0.25"/>
    <row r="289988" customFormat="1" x14ac:dyDescent="0.25"/>
    <row r="289989" customFormat="1" x14ac:dyDescent="0.25"/>
    <row r="289990" customFormat="1" x14ac:dyDescent="0.25"/>
    <row r="289991" customFormat="1" x14ac:dyDescent="0.25"/>
    <row r="289992" customFormat="1" x14ac:dyDescent="0.25"/>
    <row r="289993" customFormat="1" x14ac:dyDescent="0.25"/>
    <row r="289994" customFormat="1" x14ac:dyDescent="0.25"/>
    <row r="289995" customFormat="1" x14ac:dyDescent="0.25"/>
    <row r="289996" customFormat="1" x14ac:dyDescent="0.25"/>
    <row r="289997" customFormat="1" x14ac:dyDescent="0.25"/>
    <row r="289998" customFormat="1" x14ac:dyDescent="0.25"/>
    <row r="289999" customFormat="1" x14ac:dyDescent="0.25"/>
    <row r="290000" customFormat="1" x14ac:dyDescent="0.25"/>
    <row r="290001" customFormat="1" x14ac:dyDescent="0.25"/>
    <row r="290002" customFormat="1" x14ac:dyDescent="0.25"/>
    <row r="290003" customFormat="1" x14ac:dyDescent="0.25"/>
    <row r="290004" customFormat="1" x14ac:dyDescent="0.25"/>
    <row r="290005" customFormat="1" x14ac:dyDescent="0.25"/>
    <row r="290006" customFormat="1" x14ac:dyDescent="0.25"/>
    <row r="290007" customFormat="1" x14ac:dyDescent="0.25"/>
    <row r="290008" customFormat="1" x14ac:dyDescent="0.25"/>
    <row r="290009" customFormat="1" x14ac:dyDescent="0.25"/>
    <row r="290010" customFormat="1" x14ac:dyDescent="0.25"/>
    <row r="290011" customFormat="1" x14ac:dyDescent="0.25"/>
    <row r="290012" customFormat="1" x14ac:dyDescent="0.25"/>
    <row r="290013" customFormat="1" x14ac:dyDescent="0.25"/>
    <row r="290014" customFormat="1" x14ac:dyDescent="0.25"/>
    <row r="290015" customFormat="1" x14ac:dyDescent="0.25"/>
    <row r="290016" customFormat="1" x14ac:dyDescent="0.25"/>
    <row r="290017" customFormat="1" x14ac:dyDescent="0.25"/>
    <row r="290018" customFormat="1" x14ac:dyDescent="0.25"/>
    <row r="290019" customFormat="1" x14ac:dyDescent="0.25"/>
    <row r="290020" customFormat="1" x14ac:dyDescent="0.25"/>
    <row r="290021" customFormat="1" x14ac:dyDescent="0.25"/>
    <row r="290022" customFormat="1" x14ac:dyDescent="0.25"/>
    <row r="290023" customFormat="1" x14ac:dyDescent="0.25"/>
    <row r="290024" customFormat="1" x14ac:dyDescent="0.25"/>
    <row r="290025" customFormat="1" x14ac:dyDescent="0.25"/>
    <row r="290026" customFormat="1" x14ac:dyDescent="0.25"/>
    <row r="290027" customFormat="1" x14ac:dyDescent="0.25"/>
    <row r="290028" customFormat="1" x14ac:dyDescent="0.25"/>
    <row r="290029" customFormat="1" x14ac:dyDescent="0.25"/>
    <row r="290030" customFormat="1" x14ac:dyDescent="0.25"/>
    <row r="290031" customFormat="1" x14ac:dyDescent="0.25"/>
    <row r="290032" customFormat="1" x14ac:dyDescent="0.25"/>
    <row r="290033" customFormat="1" x14ac:dyDescent="0.25"/>
    <row r="290034" customFormat="1" x14ac:dyDescent="0.25"/>
    <row r="290035" customFormat="1" x14ac:dyDescent="0.25"/>
    <row r="290036" customFormat="1" x14ac:dyDescent="0.25"/>
    <row r="290037" customFormat="1" x14ac:dyDescent="0.25"/>
    <row r="290038" customFormat="1" x14ac:dyDescent="0.25"/>
    <row r="290039" customFormat="1" x14ac:dyDescent="0.25"/>
    <row r="290040" customFormat="1" x14ac:dyDescent="0.25"/>
    <row r="290041" customFormat="1" x14ac:dyDescent="0.25"/>
    <row r="290042" customFormat="1" x14ac:dyDescent="0.25"/>
    <row r="290043" customFormat="1" x14ac:dyDescent="0.25"/>
    <row r="290044" customFormat="1" x14ac:dyDescent="0.25"/>
    <row r="290045" customFormat="1" x14ac:dyDescent="0.25"/>
    <row r="290046" customFormat="1" x14ac:dyDescent="0.25"/>
    <row r="290047" customFormat="1" x14ac:dyDescent="0.25"/>
    <row r="290048" customFormat="1" x14ac:dyDescent="0.25"/>
    <row r="290049" customFormat="1" x14ac:dyDescent="0.25"/>
    <row r="290050" customFormat="1" x14ac:dyDescent="0.25"/>
    <row r="290051" customFormat="1" x14ac:dyDescent="0.25"/>
    <row r="290052" customFormat="1" x14ac:dyDescent="0.25"/>
    <row r="290053" customFormat="1" x14ac:dyDescent="0.25"/>
    <row r="290054" customFormat="1" x14ac:dyDescent="0.25"/>
    <row r="290055" customFormat="1" x14ac:dyDescent="0.25"/>
    <row r="290056" customFormat="1" x14ac:dyDescent="0.25"/>
    <row r="290057" customFormat="1" x14ac:dyDescent="0.25"/>
    <row r="290058" customFormat="1" x14ac:dyDescent="0.25"/>
    <row r="290059" customFormat="1" x14ac:dyDescent="0.25"/>
    <row r="290060" customFormat="1" x14ac:dyDescent="0.25"/>
    <row r="290061" customFormat="1" x14ac:dyDescent="0.25"/>
    <row r="290062" customFormat="1" x14ac:dyDescent="0.25"/>
    <row r="290063" customFormat="1" x14ac:dyDescent="0.25"/>
    <row r="290064" customFormat="1" x14ac:dyDescent="0.25"/>
    <row r="290065" customFormat="1" x14ac:dyDescent="0.25"/>
    <row r="290066" customFormat="1" x14ac:dyDescent="0.25"/>
    <row r="290067" customFormat="1" x14ac:dyDescent="0.25"/>
    <row r="290068" customFormat="1" x14ac:dyDescent="0.25"/>
    <row r="290069" customFormat="1" x14ac:dyDescent="0.25"/>
    <row r="290070" customFormat="1" x14ac:dyDescent="0.25"/>
    <row r="290071" customFormat="1" x14ac:dyDescent="0.25"/>
    <row r="290072" customFormat="1" x14ac:dyDescent="0.25"/>
    <row r="290073" customFormat="1" x14ac:dyDescent="0.25"/>
    <row r="290074" customFormat="1" x14ac:dyDescent="0.25"/>
    <row r="290075" customFormat="1" x14ac:dyDescent="0.25"/>
    <row r="290076" customFormat="1" x14ac:dyDescent="0.25"/>
    <row r="290077" customFormat="1" x14ac:dyDescent="0.25"/>
    <row r="290078" customFormat="1" x14ac:dyDescent="0.25"/>
    <row r="290079" customFormat="1" x14ac:dyDescent="0.25"/>
    <row r="290080" customFormat="1" x14ac:dyDescent="0.25"/>
    <row r="290081" customFormat="1" x14ac:dyDescent="0.25"/>
    <row r="290082" customFormat="1" x14ac:dyDescent="0.25"/>
    <row r="290083" customFormat="1" x14ac:dyDescent="0.25"/>
    <row r="290084" customFormat="1" x14ac:dyDescent="0.25"/>
    <row r="290085" customFormat="1" x14ac:dyDescent="0.25"/>
    <row r="290086" customFormat="1" x14ac:dyDescent="0.25"/>
    <row r="290087" customFormat="1" x14ac:dyDescent="0.25"/>
    <row r="290088" customFormat="1" x14ac:dyDescent="0.25"/>
    <row r="290089" customFormat="1" x14ac:dyDescent="0.25"/>
    <row r="290090" customFormat="1" x14ac:dyDescent="0.25"/>
    <row r="290091" customFormat="1" x14ac:dyDescent="0.25"/>
    <row r="290092" customFormat="1" x14ac:dyDescent="0.25"/>
    <row r="290093" customFormat="1" x14ac:dyDescent="0.25"/>
    <row r="290094" customFormat="1" x14ac:dyDescent="0.25"/>
    <row r="290095" customFormat="1" x14ac:dyDescent="0.25"/>
    <row r="290096" customFormat="1" x14ac:dyDescent="0.25"/>
    <row r="290097" customFormat="1" x14ac:dyDescent="0.25"/>
    <row r="290098" customFormat="1" x14ac:dyDescent="0.25"/>
    <row r="290099" customFormat="1" x14ac:dyDescent="0.25"/>
    <row r="290100" customFormat="1" x14ac:dyDescent="0.25"/>
    <row r="290101" customFormat="1" x14ac:dyDescent="0.25"/>
    <row r="290102" customFormat="1" x14ac:dyDescent="0.25"/>
    <row r="290103" customFormat="1" x14ac:dyDescent="0.25"/>
    <row r="290104" customFormat="1" x14ac:dyDescent="0.25"/>
    <row r="290105" customFormat="1" x14ac:dyDescent="0.25"/>
    <row r="290106" customFormat="1" x14ac:dyDescent="0.25"/>
    <row r="290107" customFormat="1" x14ac:dyDescent="0.25"/>
    <row r="290108" customFormat="1" x14ac:dyDescent="0.25"/>
    <row r="290109" customFormat="1" x14ac:dyDescent="0.25"/>
    <row r="290110" customFormat="1" x14ac:dyDescent="0.25"/>
    <row r="290111" customFormat="1" x14ac:dyDescent="0.25"/>
    <row r="290112" customFormat="1" x14ac:dyDescent="0.25"/>
    <row r="290113" customFormat="1" x14ac:dyDescent="0.25"/>
    <row r="290114" customFormat="1" x14ac:dyDescent="0.25"/>
    <row r="290115" customFormat="1" x14ac:dyDescent="0.25"/>
    <row r="290116" customFormat="1" x14ac:dyDescent="0.25"/>
    <row r="290117" customFormat="1" x14ac:dyDescent="0.25"/>
    <row r="290118" customFormat="1" x14ac:dyDescent="0.25"/>
    <row r="290119" customFormat="1" x14ac:dyDescent="0.25"/>
    <row r="290120" customFormat="1" x14ac:dyDescent="0.25"/>
    <row r="290121" customFormat="1" x14ac:dyDescent="0.25"/>
    <row r="290122" customFormat="1" x14ac:dyDescent="0.25"/>
    <row r="290123" customFormat="1" x14ac:dyDescent="0.25"/>
    <row r="290124" customFormat="1" x14ac:dyDescent="0.25"/>
    <row r="290125" customFormat="1" x14ac:dyDescent="0.25"/>
    <row r="290126" customFormat="1" x14ac:dyDescent="0.25"/>
    <row r="290127" customFormat="1" x14ac:dyDescent="0.25"/>
    <row r="290128" customFormat="1" x14ac:dyDescent="0.25"/>
    <row r="290129" customFormat="1" x14ac:dyDescent="0.25"/>
    <row r="290130" customFormat="1" x14ac:dyDescent="0.25"/>
    <row r="290131" customFormat="1" x14ac:dyDescent="0.25"/>
    <row r="290132" customFormat="1" x14ac:dyDescent="0.25"/>
    <row r="290133" customFormat="1" x14ac:dyDescent="0.25"/>
    <row r="290134" customFormat="1" x14ac:dyDescent="0.25"/>
    <row r="290135" customFormat="1" x14ac:dyDescent="0.25"/>
    <row r="290136" customFormat="1" x14ac:dyDescent="0.25"/>
    <row r="290137" customFormat="1" x14ac:dyDescent="0.25"/>
    <row r="290138" customFormat="1" x14ac:dyDescent="0.25"/>
    <row r="290139" customFormat="1" x14ac:dyDescent="0.25"/>
    <row r="290140" customFormat="1" x14ac:dyDescent="0.25"/>
    <row r="290141" customFormat="1" x14ac:dyDescent="0.25"/>
    <row r="290142" customFormat="1" x14ac:dyDescent="0.25"/>
    <row r="290143" customFormat="1" x14ac:dyDescent="0.25"/>
    <row r="290144" customFormat="1" x14ac:dyDescent="0.25"/>
    <row r="290145" customFormat="1" x14ac:dyDescent="0.25"/>
    <row r="290146" customFormat="1" x14ac:dyDescent="0.25"/>
    <row r="290147" customFormat="1" x14ac:dyDescent="0.25"/>
    <row r="290148" customFormat="1" x14ac:dyDescent="0.25"/>
    <row r="290149" customFormat="1" x14ac:dyDescent="0.25"/>
    <row r="290150" customFormat="1" x14ac:dyDescent="0.25"/>
    <row r="290151" customFormat="1" x14ac:dyDescent="0.25"/>
    <row r="290152" customFormat="1" x14ac:dyDescent="0.25"/>
    <row r="290153" customFormat="1" x14ac:dyDescent="0.25"/>
    <row r="290154" customFormat="1" x14ac:dyDescent="0.25"/>
    <row r="290155" customFormat="1" x14ac:dyDescent="0.25"/>
    <row r="290156" customFormat="1" x14ac:dyDescent="0.25"/>
    <row r="290157" customFormat="1" x14ac:dyDescent="0.25"/>
    <row r="290158" customFormat="1" x14ac:dyDescent="0.25"/>
    <row r="290159" customFormat="1" x14ac:dyDescent="0.25"/>
    <row r="290160" customFormat="1" x14ac:dyDescent="0.25"/>
    <row r="290161" customFormat="1" x14ac:dyDescent="0.25"/>
    <row r="290162" customFormat="1" x14ac:dyDescent="0.25"/>
    <row r="290163" customFormat="1" x14ac:dyDescent="0.25"/>
    <row r="290164" customFormat="1" x14ac:dyDescent="0.25"/>
    <row r="290165" customFormat="1" x14ac:dyDescent="0.25"/>
    <row r="290166" customFormat="1" x14ac:dyDescent="0.25"/>
    <row r="290167" customFormat="1" x14ac:dyDescent="0.25"/>
    <row r="290168" customFormat="1" x14ac:dyDescent="0.25"/>
    <row r="290169" customFormat="1" x14ac:dyDescent="0.25"/>
    <row r="290170" customFormat="1" x14ac:dyDescent="0.25"/>
    <row r="290171" customFormat="1" x14ac:dyDescent="0.25"/>
    <row r="290172" customFormat="1" x14ac:dyDescent="0.25"/>
    <row r="290173" customFormat="1" x14ac:dyDescent="0.25"/>
    <row r="290174" customFormat="1" x14ac:dyDescent="0.25"/>
    <row r="290175" customFormat="1" x14ac:dyDescent="0.25"/>
    <row r="290176" customFormat="1" x14ac:dyDescent="0.25"/>
    <row r="290177" customFormat="1" x14ac:dyDescent="0.25"/>
    <row r="290178" customFormat="1" x14ac:dyDescent="0.25"/>
    <row r="290179" customFormat="1" x14ac:dyDescent="0.25"/>
    <row r="290180" customFormat="1" x14ac:dyDescent="0.25"/>
    <row r="290181" customFormat="1" x14ac:dyDescent="0.25"/>
    <row r="290182" customFormat="1" x14ac:dyDescent="0.25"/>
    <row r="290183" customFormat="1" x14ac:dyDescent="0.25"/>
    <row r="290184" customFormat="1" x14ac:dyDescent="0.25"/>
    <row r="290185" customFormat="1" x14ac:dyDescent="0.25"/>
    <row r="290186" customFormat="1" x14ac:dyDescent="0.25"/>
    <row r="290187" customFormat="1" x14ac:dyDescent="0.25"/>
    <row r="290188" customFormat="1" x14ac:dyDescent="0.25"/>
    <row r="290189" customFormat="1" x14ac:dyDescent="0.25"/>
    <row r="290190" customFormat="1" x14ac:dyDescent="0.25"/>
    <row r="290191" customFormat="1" x14ac:dyDescent="0.25"/>
    <row r="290192" customFormat="1" x14ac:dyDescent="0.25"/>
    <row r="290193" customFormat="1" x14ac:dyDescent="0.25"/>
    <row r="290194" customFormat="1" x14ac:dyDescent="0.25"/>
    <row r="290195" customFormat="1" x14ac:dyDescent="0.25"/>
    <row r="290196" customFormat="1" x14ac:dyDescent="0.25"/>
    <row r="290197" customFormat="1" x14ac:dyDescent="0.25"/>
    <row r="290198" customFormat="1" x14ac:dyDescent="0.25"/>
    <row r="290199" customFormat="1" x14ac:dyDescent="0.25"/>
    <row r="290200" customFormat="1" x14ac:dyDescent="0.25"/>
    <row r="290201" customFormat="1" x14ac:dyDescent="0.25"/>
    <row r="290202" customFormat="1" x14ac:dyDescent="0.25"/>
    <row r="290203" customFormat="1" x14ac:dyDescent="0.25"/>
    <row r="290204" customFormat="1" x14ac:dyDescent="0.25"/>
    <row r="290205" customFormat="1" x14ac:dyDescent="0.25"/>
    <row r="290206" customFormat="1" x14ac:dyDescent="0.25"/>
    <row r="290207" customFormat="1" x14ac:dyDescent="0.25"/>
    <row r="290208" customFormat="1" x14ac:dyDescent="0.25"/>
    <row r="290209" customFormat="1" x14ac:dyDescent="0.25"/>
    <row r="290210" customFormat="1" x14ac:dyDescent="0.25"/>
    <row r="290211" customFormat="1" x14ac:dyDescent="0.25"/>
    <row r="290212" customFormat="1" x14ac:dyDescent="0.25"/>
    <row r="290213" customFormat="1" x14ac:dyDescent="0.25"/>
    <row r="290214" customFormat="1" x14ac:dyDescent="0.25"/>
    <row r="290215" customFormat="1" x14ac:dyDescent="0.25"/>
    <row r="290216" customFormat="1" x14ac:dyDescent="0.25"/>
    <row r="290217" customFormat="1" x14ac:dyDescent="0.25"/>
    <row r="290218" customFormat="1" x14ac:dyDescent="0.25"/>
    <row r="290219" customFormat="1" x14ac:dyDescent="0.25"/>
    <row r="290220" customFormat="1" x14ac:dyDescent="0.25"/>
    <row r="290221" customFormat="1" x14ac:dyDescent="0.25"/>
    <row r="290222" customFormat="1" x14ac:dyDescent="0.25"/>
    <row r="290223" customFormat="1" x14ac:dyDescent="0.25"/>
    <row r="290224" customFormat="1" x14ac:dyDescent="0.25"/>
    <row r="290225" customFormat="1" x14ac:dyDescent="0.25"/>
    <row r="290226" customFormat="1" x14ac:dyDescent="0.25"/>
    <row r="290227" customFormat="1" x14ac:dyDescent="0.25"/>
    <row r="290228" customFormat="1" x14ac:dyDescent="0.25"/>
    <row r="290229" customFormat="1" x14ac:dyDescent="0.25"/>
    <row r="290230" customFormat="1" x14ac:dyDescent="0.25"/>
    <row r="290231" customFormat="1" x14ac:dyDescent="0.25"/>
    <row r="290232" customFormat="1" x14ac:dyDescent="0.25"/>
    <row r="290233" customFormat="1" x14ac:dyDescent="0.25"/>
    <row r="290234" customFormat="1" x14ac:dyDescent="0.25"/>
    <row r="290235" customFormat="1" x14ac:dyDescent="0.25"/>
    <row r="290236" customFormat="1" x14ac:dyDescent="0.25"/>
    <row r="290237" customFormat="1" x14ac:dyDescent="0.25"/>
    <row r="290238" customFormat="1" x14ac:dyDescent="0.25"/>
    <row r="290239" customFormat="1" x14ac:dyDescent="0.25"/>
    <row r="290240" customFormat="1" x14ac:dyDescent="0.25"/>
    <row r="290241" customFormat="1" x14ac:dyDescent="0.25"/>
    <row r="290242" customFormat="1" x14ac:dyDescent="0.25"/>
    <row r="290243" customFormat="1" x14ac:dyDescent="0.25"/>
    <row r="290244" customFormat="1" x14ac:dyDescent="0.25"/>
    <row r="290245" customFormat="1" x14ac:dyDescent="0.25"/>
    <row r="290246" customFormat="1" x14ac:dyDescent="0.25"/>
    <row r="290247" customFormat="1" x14ac:dyDescent="0.25"/>
    <row r="290248" customFormat="1" x14ac:dyDescent="0.25"/>
    <row r="290249" customFormat="1" x14ac:dyDescent="0.25"/>
    <row r="290250" customFormat="1" x14ac:dyDescent="0.25"/>
    <row r="290251" customFormat="1" x14ac:dyDescent="0.25"/>
    <row r="290252" customFormat="1" x14ac:dyDescent="0.25"/>
    <row r="290253" customFormat="1" x14ac:dyDescent="0.25"/>
    <row r="290254" customFormat="1" x14ac:dyDescent="0.25"/>
    <row r="290255" customFormat="1" x14ac:dyDescent="0.25"/>
    <row r="290256" customFormat="1" x14ac:dyDescent="0.25"/>
    <row r="290257" customFormat="1" x14ac:dyDescent="0.25"/>
    <row r="290258" customFormat="1" x14ac:dyDescent="0.25"/>
    <row r="290259" customFormat="1" x14ac:dyDescent="0.25"/>
    <row r="290260" customFormat="1" x14ac:dyDescent="0.25"/>
    <row r="290261" customFormat="1" x14ac:dyDescent="0.25"/>
    <row r="290262" customFormat="1" x14ac:dyDescent="0.25"/>
    <row r="290263" customFormat="1" x14ac:dyDescent="0.25"/>
    <row r="290264" customFormat="1" x14ac:dyDescent="0.25"/>
    <row r="290265" customFormat="1" x14ac:dyDescent="0.25"/>
    <row r="290266" customFormat="1" x14ac:dyDescent="0.25"/>
    <row r="290267" customFormat="1" x14ac:dyDescent="0.25"/>
    <row r="290268" customFormat="1" x14ac:dyDescent="0.25"/>
    <row r="290269" customFormat="1" x14ac:dyDescent="0.25"/>
    <row r="290270" customFormat="1" x14ac:dyDescent="0.25"/>
    <row r="290271" customFormat="1" x14ac:dyDescent="0.25"/>
    <row r="290272" customFormat="1" x14ac:dyDescent="0.25"/>
    <row r="290273" customFormat="1" x14ac:dyDescent="0.25"/>
    <row r="290274" customFormat="1" x14ac:dyDescent="0.25"/>
    <row r="290275" customFormat="1" x14ac:dyDescent="0.25"/>
    <row r="290276" customFormat="1" x14ac:dyDescent="0.25"/>
    <row r="290277" customFormat="1" x14ac:dyDescent="0.25"/>
    <row r="290278" customFormat="1" x14ac:dyDescent="0.25"/>
    <row r="290279" customFormat="1" x14ac:dyDescent="0.25"/>
    <row r="290280" customFormat="1" x14ac:dyDescent="0.25"/>
    <row r="290281" customFormat="1" x14ac:dyDescent="0.25"/>
    <row r="290282" customFormat="1" x14ac:dyDescent="0.25"/>
    <row r="290283" customFormat="1" x14ac:dyDescent="0.25"/>
    <row r="290284" customFormat="1" x14ac:dyDescent="0.25"/>
    <row r="290285" customFormat="1" x14ac:dyDescent="0.25"/>
    <row r="290286" customFormat="1" x14ac:dyDescent="0.25"/>
    <row r="290287" customFormat="1" x14ac:dyDescent="0.25"/>
    <row r="290288" customFormat="1" x14ac:dyDescent="0.25"/>
    <row r="290289" customFormat="1" x14ac:dyDescent="0.25"/>
    <row r="290290" customFormat="1" x14ac:dyDescent="0.25"/>
    <row r="290291" customFormat="1" x14ac:dyDescent="0.25"/>
    <row r="290292" customFormat="1" x14ac:dyDescent="0.25"/>
    <row r="290293" customFormat="1" x14ac:dyDescent="0.25"/>
    <row r="290294" customFormat="1" x14ac:dyDescent="0.25"/>
    <row r="290295" customFormat="1" x14ac:dyDescent="0.25"/>
    <row r="290296" customFormat="1" x14ac:dyDescent="0.25"/>
    <row r="290297" customFormat="1" x14ac:dyDescent="0.25"/>
    <row r="290298" customFormat="1" x14ac:dyDescent="0.25"/>
    <row r="290299" customFormat="1" x14ac:dyDescent="0.25"/>
    <row r="290300" customFormat="1" x14ac:dyDescent="0.25"/>
    <row r="290301" customFormat="1" x14ac:dyDescent="0.25"/>
    <row r="290302" customFormat="1" x14ac:dyDescent="0.25"/>
    <row r="290303" customFormat="1" x14ac:dyDescent="0.25"/>
    <row r="290304" customFormat="1" x14ac:dyDescent="0.25"/>
    <row r="290305" customFormat="1" x14ac:dyDescent="0.25"/>
    <row r="290306" customFormat="1" x14ac:dyDescent="0.25"/>
    <row r="290307" customFormat="1" x14ac:dyDescent="0.25"/>
    <row r="290308" customFormat="1" x14ac:dyDescent="0.25"/>
    <row r="290309" customFormat="1" x14ac:dyDescent="0.25"/>
    <row r="290310" customFormat="1" x14ac:dyDescent="0.25"/>
    <row r="290311" customFormat="1" x14ac:dyDescent="0.25"/>
    <row r="290312" customFormat="1" x14ac:dyDescent="0.25"/>
    <row r="290313" customFormat="1" x14ac:dyDescent="0.25"/>
    <row r="290314" customFormat="1" x14ac:dyDescent="0.25"/>
    <row r="290315" customFormat="1" x14ac:dyDescent="0.25"/>
    <row r="290316" customFormat="1" x14ac:dyDescent="0.25"/>
    <row r="290317" customFormat="1" x14ac:dyDescent="0.25"/>
    <row r="290318" customFormat="1" x14ac:dyDescent="0.25"/>
    <row r="290319" customFormat="1" x14ac:dyDescent="0.25"/>
    <row r="290320" customFormat="1" x14ac:dyDescent="0.25"/>
    <row r="290321" customFormat="1" x14ac:dyDescent="0.25"/>
    <row r="290322" customFormat="1" x14ac:dyDescent="0.25"/>
    <row r="290323" customFormat="1" x14ac:dyDescent="0.25"/>
    <row r="290324" customFormat="1" x14ac:dyDescent="0.25"/>
    <row r="290325" customFormat="1" x14ac:dyDescent="0.25"/>
    <row r="290326" customFormat="1" x14ac:dyDescent="0.25"/>
    <row r="290327" customFormat="1" x14ac:dyDescent="0.25"/>
    <row r="290328" customFormat="1" x14ac:dyDescent="0.25"/>
    <row r="290329" customFormat="1" x14ac:dyDescent="0.25"/>
    <row r="290330" customFormat="1" x14ac:dyDescent="0.25"/>
    <row r="290331" customFormat="1" x14ac:dyDescent="0.25"/>
    <row r="290332" customFormat="1" x14ac:dyDescent="0.25"/>
    <row r="290333" customFormat="1" x14ac:dyDescent="0.25"/>
    <row r="290334" customFormat="1" x14ac:dyDescent="0.25"/>
    <row r="290335" customFormat="1" x14ac:dyDescent="0.25"/>
    <row r="290336" customFormat="1" x14ac:dyDescent="0.25"/>
    <row r="290337" customFormat="1" x14ac:dyDescent="0.25"/>
    <row r="290338" customFormat="1" x14ac:dyDescent="0.25"/>
    <row r="290339" customFormat="1" x14ac:dyDescent="0.25"/>
    <row r="290340" customFormat="1" x14ac:dyDescent="0.25"/>
    <row r="290341" customFormat="1" x14ac:dyDescent="0.25"/>
    <row r="290342" customFormat="1" x14ac:dyDescent="0.25"/>
    <row r="290343" customFormat="1" x14ac:dyDescent="0.25"/>
    <row r="290344" customFormat="1" x14ac:dyDescent="0.25"/>
    <row r="290345" customFormat="1" x14ac:dyDescent="0.25"/>
    <row r="290346" customFormat="1" x14ac:dyDescent="0.25"/>
    <row r="290347" customFormat="1" x14ac:dyDescent="0.25"/>
    <row r="290348" customFormat="1" x14ac:dyDescent="0.25"/>
    <row r="290349" customFormat="1" x14ac:dyDescent="0.25"/>
    <row r="290350" customFormat="1" x14ac:dyDescent="0.25"/>
    <row r="290351" customFormat="1" x14ac:dyDescent="0.25"/>
    <row r="290352" customFormat="1" x14ac:dyDescent="0.25"/>
    <row r="290353" customFormat="1" x14ac:dyDescent="0.25"/>
    <row r="290354" customFormat="1" x14ac:dyDescent="0.25"/>
    <row r="290355" customFormat="1" x14ac:dyDescent="0.25"/>
    <row r="290356" customFormat="1" x14ac:dyDescent="0.25"/>
    <row r="290357" customFormat="1" x14ac:dyDescent="0.25"/>
    <row r="290358" customFormat="1" x14ac:dyDescent="0.25"/>
    <row r="290359" customFormat="1" x14ac:dyDescent="0.25"/>
    <row r="290360" customFormat="1" x14ac:dyDescent="0.25"/>
    <row r="290361" customFormat="1" x14ac:dyDescent="0.25"/>
    <row r="290362" customFormat="1" x14ac:dyDescent="0.25"/>
    <row r="290363" customFormat="1" x14ac:dyDescent="0.25"/>
    <row r="290364" customFormat="1" x14ac:dyDescent="0.25"/>
    <row r="290365" customFormat="1" x14ac:dyDescent="0.25"/>
    <row r="290366" customFormat="1" x14ac:dyDescent="0.25"/>
    <row r="290367" customFormat="1" x14ac:dyDescent="0.25"/>
    <row r="290368" customFormat="1" x14ac:dyDescent="0.25"/>
    <row r="290369" customFormat="1" x14ac:dyDescent="0.25"/>
    <row r="290370" customFormat="1" x14ac:dyDescent="0.25"/>
    <row r="290371" customFormat="1" x14ac:dyDescent="0.25"/>
    <row r="290372" customFormat="1" x14ac:dyDescent="0.25"/>
    <row r="290373" customFormat="1" x14ac:dyDescent="0.25"/>
    <row r="290374" customFormat="1" x14ac:dyDescent="0.25"/>
    <row r="290375" customFormat="1" x14ac:dyDescent="0.25"/>
    <row r="290376" customFormat="1" x14ac:dyDescent="0.25"/>
    <row r="290377" customFormat="1" x14ac:dyDescent="0.25"/>
    <row r="290378" customFormat="1" x14ac:dyDescent="0.25"/>
    <row r="290379" customFormat="1" x14ac:dyDescent="0.25"/>
    <row r="290380" customFormat="1" x14ac:dyDescent="0.25"/>
    <row r="290381" customFormat="1" x14ac:dyDescent="0.25"/>
    <row r="290382" customFormat="1" x14ac:dyDescent="0.25"/>
    <row r="290383" customFormat="1" x14ac:dyDescent="0.25"/>
    <row r="290384" customFormat="1" x14ac:dyDescent="0.25"/>
    <row r="290385" customFormat="1" x14ac:dyDescent="0.25"/>
    <row r="290386" customFormat="1" x14ac:dyDescent="0.25"/>
    <row r="290387" customFormat="1" x14ac:dyDescent="0.25"/>
    <row r="290388" customFormat="1" x14ac:dyDescent="0.25"/>
    <row r="290389" customFormat="1" x14ac:dyDescent="0.25"/>
    <row r="290390" customFormat="1" x14ac:dyDescent="0.25"/>
    <row r="290391" customFormat="1" x14ac:dyDescent="0.25"/>
    <row r="290392" customFormat="1" x14ac:dyDescent="0.25"/>
    <row r="290393" customFormat="1" x14ac:dyDescent="0.25"/>
    <row r="290394" customFormat="1" x14ac:dyDescent="0.25"/>
    <row r="290395" customFormat="1" x14ac:dyDescent="0.25"/>
    <row r="290396" customFormat="1" x14ac:dyDescent="0.25"/>
    <row r="290397" customFormat="1" x14ac:dyDescent="0.25"/>
    <row r="290398" customFormat="1" x14ac:dyDescent="0.25"/>
    <row r="290399" customFormat="1" x14ac:dyDescent="0.25"/>
    <row r="290400" customFormat="1" x14ac:dyDescent="0.25"/>
    <row r="290401" customFormat="1" x14ac:dyDescent="0.25"/>
    <row r="290402" customFormat="1" x14ac:dyDescent="0.25"/>
    <row r="290403" customFormat="1" x14ac:dyDescent="0.25"/>
    <row r="290404" customFormat="1" x14ac:dyDescent="0.25"/>
    <row r="290405" customFormat="1" x14ac:dyDescent="0.25"/>
    <row r="290406" customFormat="1" x14ac:dyDescent="0.25"/>
    <row r="290407" customFormat="1" x14ac:dyDescent="0.25"/>
    <row r="290408" customFormat="1" x14ac:dyDescent="0.25"/>
    <row r="290409" customFormat="1" x14ac:dyDescent="0.25"/>
    <row r="290410" customFormat="1" x14ac:dyDescent="0.25"/>
    <row r="290411" customFormat="1" x14ac:dyDescent="0.25"/>
    <row r="290412" customFormat="1" x14ac:dyDescent="0.25"/>
    <row r="290413" customFormat="1" x14ac:dyDescent="0.25"/>
    <row r="290414" customFormat="1" x14ac:dyDescent="0.25"/>
    <row r="290415" customFormat="1" x14ac:dyDescent="0.25"/>
    <row r="290416" customFormat="1" x14ac:dyDescent="0.25"/>
    <row r="290417" customFormat="1" x14ac:dyDescent="0.25"/>
    <row r="290418" customFormat="1" x14ac:dyDescent="0.25"/>
    <row r="290419" customFormat="1" x14ac:dyDescent="0.25"/>
    <row r="290420" customFormat="1" x14ac:dyDescent="0.25"/>
    <row r="290421" customFormat="1" x14ac:dyDescent="0.25"/>
    <row r="290422" customFormat="1" x14ac:dyDescent="0.25"/>
    <row r="290423" customFormat="1" x14ac:dyDescent="0.25"/>
    <row r="290424" customFormat="1" x14ac:dyDescent="0.25"/>
    <row r="290425" customFormat="1" x14ac:dyDescent="0.25"/>
    <row r="290426" customFormat="1" x14ac:dyDescent="0.25"/>
    <row r="290427" customFormat="1" x14ac:dyDescent="0.25"/>
    <row r="290428" customFormat="1" x14ac:dyDescent="0.25"/>
    <row r="290429" customFormat="1" x14ac:dyDescent="0.25"/>
    <row r="290430" customFormat="1" x14ac:dyDescent="0.25"/>
    <row r="290431" customFormat="1" x14ac:dyDescent="0.25"/>
    <row r="290432" customFormat="1" x14ac:dyDescent="0.25"/>
    <row r="290433" customFormat="1" x14ac:dyDescent="0.25"/>
    <row r="290434" customFormat="1" x14ac:dyDescent="0.25"/>
    <row r="290435" customFormat="1" x14ac:dyDescent="0.25"/>
    <row r="290436" customFormat="1" x14ac:dyDescent="0.25"/>
    <row r="290437" customFormat="1" x14ac:dyDescent="0.25"/>
    <row r="290438" customFormat="1" x14ac:dyDescent="0.25"/>
    <row r="290439" customFormat="1" x14ac:dyDescent="0.25"/>
    <row r="290440" customFormat="1" x14ac:dyDescent="0.25"/>
    <row r="290441" customFormat="1" x14ac:dyDescent="0.25"/>
    <row r="290442" customFormat="1" x14ac:dyDescent="0.25"/>
    <row r="290443" customFormat="1" x14ac:dyDescent="0.25"/>
    <row r="290444" customFormat="1" x14ac:dyDescent="0.25"/>
    <row r="290445" customFormat="1" x14ac:dyDescent="0.25"/>
    <row r="290446" customFormat="1" x14ac:dyDescent="0.25"/>
    <row r="290447" customFormat="1" x14ac:dyDescent="0.25"/>
    <row r="290448" customFormat="1" x14ac:dyDescent="0.25"/>
    <row r="290449" customFormat="1" x14ac:dyDescent="0.25"/>
    <row r="290450" customFormat="1" x14ac:dyDescent="0.25"/>
    <row r="290451" customFormat="1" x14ac:dyDescent="0.25"/>
    <row r="290452" customFormat="1" x14ac:dyDescent="0.25"/>
    <row r="290453" customFormat="1" x14ac:dyDescent="0.25"/>
    <row r="290454" customFormat="1" x14ac:dyDescent="0.25"/>
    <row r="290455" customFormat="1" x14ac:dyDescent="0.25"/>
    <row r="290456" customFormat="1" x14ac:dyDescent="0.25"/>
    <row r="290457" customFormat="1" x14ac:dyDescent="0.25"/>
    <row r="290458" customFormat="1" x14ac:dyDescent="0.25"/>
    <row r="290459" customFormat="1" x14ac:dyDescent="0.25"/>
    <row r="290460" customFormat="1" x14ac:dyDescent="0.25"/>
    <row r="290461" customFormat="1" x14ac:dyDescent="0.25"/>
    <row r="290462" customFormat="1" x14ac:dyDescent="0.25"/>
    <row r="290463" customFormat="1" x14ac:dyDescent="0.25"/>
    <row r="290464" customFormat="1" x14ac:dyDescent="0.25"/>
    <row r="290465" customFormat="1" x14ac:dyDescent="0.25"/>
    <row r="290466" customFormat="1" x14ac:dyDescent="0.25"/>
    <row r="290467" customFormat="1" x14ac:dyDescent="0.25"/>
    <row r="290468" customFormat="1" x14ac:dyDescent="0.25"/>
    <row r="290469" customFormat="1" x14ac:dyDescent="0.25"/>
    <row r="290470" customFormat="1" x14ac:dyDescent="0.25"/>
    <row r="290471" customFormat="1" x14ac:dyDescent="0.25"/>
    <row r="290472" customFormat="1" x14ac:dyDescent="0.25"/>
    <row r="290473" customFormat="1" x14ac:dyDescent="0.25"/>
    <row r="290474" customFormat="1" x14ac:dyDescent="0.25"/>
    <row r="290475" customFormat="1" x14ac:dyDescent="0.25"/>
    <row r="290476" customFormat="1" x14ac:dyDescent="0.25"/>
    <row r="290477" customFormat="1" x14ac:dyDescent="0.25"/>
    <row r="290478" customFormat="1" x14ac:dyDescent="0.25"/>
    <row r="290479" customFormat="1" x14ac:dyDescent="0.25"/>
    <row r="290480" customFormat="1" x14ac:dyDescent="0.25"/>
    <row r="290481" customFormat="1" x14ac:dyDescent="0.25"/>
    <row r="290482" customFormat="1" x14ac:dyDescent="0.25"/>
    <row r="290483" customFormat="1" x14ac:dyDescent="0.25"/>
    <row r="290484" customFormat="1" x14ac:dyDescent="0.25"/>
    <row r="290485" customFormat="1" x14ac:dyDescent="0.25"/>
    <row r="290486" customFormat="1" x14ac:dyDescent="0.25"/>
    <row r="290487" customFormat="1" x14ac:dyDescent="0.25"/>
    <row r="290488" customFormat="1" x14ac:dyDescent="0.25"/>
    <row r="290489" customFormat="1" x14ac:dyDescent="0.25"/>
    <row r="290490" customFormat="1" x14ac:dyDescent="0.25"/>
    <row r="290491" customFormat="1" x14ac:dyDescent="0.25"/>
    <row r="290492" customFormat="1" x14ac:dyDescent="0.25"/>
    <row r="290493" customFormat="1" x14ac:dyDescent="0.25"/>
    <row r="290494" customFormat="1" x14ac:dyDescent="0.25"/>
    <row r="290495" customFormat="1" x14ac:dyDescent="0.25"/>
    <row r="290496" customFormat="1" x14ac:dyDescent="0.25"/>
    <row r="290497" customFormat="1" x14ac:dyDescent="0.25"/>
    <row r="290498" customFormat="1" x14ac:dyDescent="0.25"/>
    <row r="290499" customFormat="1" x14ac:dyDescent="0.25"/>
    <row r="290500" customFormat="1" x14ac:dyDescent="0.25"/>
    <row r="290501" customFormat="1" x14ac:dyDescent="0.25"/>
    <row r="290502" customFormat="1" x14ac:dyDescent="0.25"/>
    <row r="290503" customFormat="1" x14ac:dyDescent="0.25"/>
    <row r="290504" customFormat="1" x14ac:dyDescent="0.25"/>
    <row r="290505" customFormat="1" x14ac:dyDescent="0.25"/>
    <row r="290506" customFormat="1" x14ac:dyDescent="0.25"/>
    <row r="290507" customFormat="1" x14ac:dyDescent="0.25"/>
    <row r="290508" customFormat="1" x14ac:dyDescent="0.25"/>
    <row r="290509" customFormat="1" x14ac:dyDescent="0.25"/>
    <row r="290510" customFormat="1" x14ac:dyDescent="0.25"/>
    <row r="290511" customFormat="1" x14ac:dyDescent="0.25"/>
    <row r="290512" customFormat="1" x14ac:dyDescent="0.25"/>
    <row r="290513" customFormat="1" x14ac:dyDescent="0.25"/>
    <row r="290514" customFormat="1" x14ac:dyDescent="0.25"/>
    <row r="290515" customFormat="1" x14ac:dyDescent="0.25"/>
    <row r="290516" customFormat="1" x14ac:dyDescent="0.25"/>
    <row r="290517" customFormat="1" x14ac:dyDescent="0.25"/>
    <row r="290518" customFormat="1" x14ac:dyDescent="0.25"/>
    <row r="290519" customFormat="1" x14ac:dyDescent="0.25"/>
    <row r="290520" customFormat="1" x14ac:dyDescent="0.25"/>
    <row r="290521" customFormat="1" x14ac:dyDescent="0.25"/>
    <row r="290522" customFormat="1" x14ac:dyDescent="0.25"/>
    <row r="290523" customFormat="1" x14ac:dyDescent="0.25"/>
    <row r="290524" customFormat="1" x14ac:dyDescent="0.25"/>
    <row r="290525" customFormat="1" x14ac:dyDescent="0.25"/>
    <row r="290526" customFormat="1" x14ac:dyDescent="0.25"/>
    <row r="290527" customFormat="1" x14ac:dyDescent="0.25"/>
    <row r="290528" customFormat="1" x14ac:dyDescent="0.25"/>
    <row r="290529" customFormat="1" x14ac:dyDescent="0.25"/>
    <row r="290530" customFormat="1" x14ac:dyDescent="0.25"/>
    <row r="290531" customFormat="1" x14ac:dyDescent="0.25"/>
    <row r="290532" customFormat="1" x14ac:dyDescent="0.25"/>
    <row r="290533" customFormat="1" x14ac:dyDescent="0.25"/>
    <row r="290534" customFormat="1" x14ac:dyDescent="0.25"/>
    <row r="290535" customFormat="1" x14ac:dyDescent="0.25"/>
    <row r="290536" customFormat="1" x14ac:dyDescent="0.25"/>
    <row r="290537" customFormat="1" x14ac:dyDescent="0.25"/>
    <row r="290538" customFormat="1" x14ac:dyDescent="0.25"/>
    <row r="290539" customFormat="1" x14ac:dyDescent="0.25"/>
    <row r="290540" customFormat="1" x14ac:dyDescent="0.25"/>
    <row r="290541" customFormat="1" x14ac:dyDescent="0.25"/>
    <row r="290542" customFormat="1" x14ac:dyDescent="0.25"/>
    <row r="290543" customFormat="1" x14ac:dyDescent="0.25"/>
    <row r="290544" customFormat="1" x14ac:dyDescent="0.25"/>
    <row r="290545" customFormat="1" x14ac:dyDescent="0.25"/>
    <row r="290546" customFormat="1" x14ac:dyDescent="0.25"/>
    <row r="290547" customFormat="1" x14ac:dyDescent="0.25"/>
    <row r="290548" customFormat="1" x14ac:dyDescent="0.25"/>
    <row r="290549" customFormat="1" x14ac:dyDescent="0.25"/>
    <row r="290550" customFormat="1" x14ac:dyDescent="0.25"/>
    <row r="290551" customFormat="1" x14ac:dyDescent="0.25"/>
    <row r="290552" customFormat="1" x14ac:dyDescent="0.25"/>
    <row r="290553" customFormat="1" x14ac:dyDescent="0.25"/>
    <row r="290554" customFormat="1" x14ac:dyDescent="0.25"/>
    <row r="290555" customFormat="1" x14ac:dyDescent="0.25"/>
    <row r="290556" customFormat="1" x14ac:dyDescent="0.25"/>
    <row r="290557" customFormat="1" x14ac:dyDescent="0.25"/>
    <row r="290558" customFormat="1" x14ac:dyDescent="0.25"/>
    <row r="290559" customFormat="1" x14ac:dyDescent="0.25"/>
    <row r="290560" customFormat="1" x14ac:dyDescent="0.25"/>
    <row r="290561" customFormat="1" x14ac:dyDescent="0.25"/>
    <row r="290562" customFormat="1" x14ac:dyDescent="0.25"/>
    <row r="290563" customFormat="1" x14ac:dyDescent="0.25"/>
    <row r="290564" customFormat="1" x14ac:dyDescent="0.25"/>
    <row r="290565" customFormat="1" x14ac:dyDescent="0.25"/>
    <row r="290566" customFormat="1" x14ac:dyDescent="0.25"/>
    <row r="290567" customFormat="1" x14ac:dyDescent="0.25"/>
    <row r="290568" customFormat="1" x14ac:dyDescent="0.25"/>
    <row r="290569" customFormat="1" x14ac:dyDescent="0.25"/>
    <row r="290570" customFormat="1" x14ac:dyDescent="0.25"/>
    <row r="290571" customFormat="1" x14ac:dyDescent="0.25"/>
    <row r="290572" customFormat="1" x14ac:dyDescent="0.25"/>
    <row r="290573" customFormat="1" x14ac:dyDescent="0.25"/>
    <row r="290574" customFormat="1" x14ac:dyDescent="0.25"/>
    <row r="290575" customFormat="1" x14ac:dyDescent="0.25"/>
    <row r="290576" customFormat="1" x14ac:dyDescent="0.25"/>
    <row r="290577" customFormat="1" x14ac:dyDescent="0.25"/>
    <row r="290578" customFormat="1" x14ac:dyDescent="0.25"/>
    <row r="290579" customFormat="1" x14ac:dyDescent="0.25"/>
    <row r="290580" customFormat="1" x14ac:dyDescent="0.25"/>
    <row r="290581" customFormat="1" x14ac:dyDescent="0.25"/>
    <row r="290582" customFormat="1" x14ac:dyDescent="0.25"/>
    <row r="290583" customFormat="1" x14ac:dyDescent="0.25"/>
    <row r="290584" customFormat="1" x14ac:dyDescent="0.25"/>
    <row r="290585" customFormat="1" x14ac:dyDescent="0.25"/>
    <row r="290586" customFormat="1" x14ac:dyDescent="0.25"/>
    <row r="290587" customFormat="1" x14ac:dyDescent="0.25"/>
    <row r="290588" customFormat="1" x14ac:dyDescent="0.25"/>
    <row r="290589" customFormat="1" x14ac:dyDescent="0.25"/>
    <row r="290590" customFormat="1" x14ac:dyDescent="0.25"/>
    <row r="290591" customFormat="1" x14ac:dyDescent="0.25"/>
    <row r="290592" customFormat="1" x14ac:dyDescent="0.25"/>
    <row r="290593" customFormat="1" x14ac:dyDescent="0.25"/>
    <row r="290594" customFormat="1" x14ac:dyDescent="0.25"/>
    <row r="290595" customFormat="1" x14ac:dyDescent="0.25"/>
    <row r="290596" customFormat="1" x14ac:dyDescent="0.25"/>
    <row r="290597" customFormat="1" x14ac:dyDescent="0.25"/>
    <row r="290598" customFormat="1" x14ac:dyDescent="0.25"/>
    <row r="290599" customFormat="1" x14ac:dyDescent="0.25"/>
    <row r="290600" customFormat="1" x14ac:dyDescent="0.25"/>
    <row r="290601" customFormat="1" x14ac:dyDescent="0.25"/>
    <row r="290602" customFormat="1" x14ac:dyDescent="0.25"/>
    <row r="290603" customFormat="1" x14ac:dyDescent="0.25"/>
    <row r="290604" customFormat="1" x14ac:dyDescent="0.25"/>
    <row r="290605" customFormat="1" x14ac:dyDescent="0.25"/>
    <row r="290606" customFormat="1" x14ac:dyDescent="0.25"/>
    <row r="290607" customFormat="1" x14ac:dyDescent="0.25"/>
    <row r="290608" customFormat="1" x14ac:dyDescent="0.25"/>
    <row r="290609" customFormat="1" x14ac:dyDescent="0.25"/>
    <row r="290610" customFormat="1" x14ac:dyDescent="0.25"/>
    <row r="290611" customFormat="1" x14ac:dyDescent="0.25"/>
    <row r="290612" customFormat="1" x14ac:dyDescent="0.25"/>
    <row r="290613" customFormat="1" x14ac:dyDescent="0.25"/>
    <row r="290614" customFormat="1" x14ac:dyDescent="0.25"/>
    <row r="290615" customFormat="1" x14ac:dyDescent="0.25"/>
    <row r="290616" customFormat="1" x14ac:dyDescent="0.25"/>
    <row r="290617" customFormat="1" x14ac:dyDescent="0.25"/>
    <row r="290618" customFormat="1" x14ac:dyDescent="0.25"/>
    <row r="290619" customFormat="1" x14ac:dyDescent="0.25"/>
    <row r="290620" customFormat="1" x14ac:dyDescent="0.25"/>
    <row r="290621" customFormat="1" x14ac:dyDescent="0.25"/>
    <row r="290622" customFormat="1" x14ac:dyDescent="0.25"/>
    <row r="290623" customFormat="1" x14ac:dyDescent="0.25"/>
    <row r="290624" customFormat="1" x14ac:dyDescent="0.25"/>
    <row r="290625" customFormat="1" x14ac:dyDescent="0.25"/>
    <row r="290626" customFormat="1" x14ac:dyDescent="0.25"/>
    <row r="290627" customFormat="1" x14ac:dyDescent="0.25"/>
    <row r="290628" customFormat="1" x14ac:dyDescent="0.25"/>
    <row r="290629" customFormat="1" x14ac:dyDescent="0.25"/>
    <row r="290630" customFormat="1" x14ac:dyDescent="0.25"/>
    <row r="290631" customFormat="1" x14ac:dyDescent="0.25"/>
    <row r="290632" customFormat="1" x14ac:dyDescent="0.25"/>
    <row r="290633" customFormat="1" x14ac:dyDescent="0.25"/>
    <row r="290634" customFormat="1" x14ac:dyDescent="0.25"/>
    <row r="290635" customFormat="1" x14ac:dyDescent="0.25"/>
    <row r="290636" customFormat="1" x14ac:dyDescent="0.25"/>
    <row r="290637" customFormat="1" x14ac:dyDescent="0.25"/>
    <row r="290638" customFormat="1" x14ac:dyDescent="0.25"/>
    <row r="290639" customFormat="1" x14ac:dyDescent="0.25"/>
    <row r="290640" customFormat="1" x14ac:dyDescent="0.25"/>
    <row r="290641" customFormat="1" x14ac:dyDescent="0.25"/>
    <row r="290642" customFormat="1" x14ac:dyDescent="0.25"/>
    <row r="290643" customFormat="1" x14ac:dyDescent="0.25"/>
    <row r="290644" customFormat="1" x14ac:dyDescent="0.25"/>
    <row r="290645" customFormat="1" x14ac:dyDescent="0.25"/>
    <row r="290646" customFormat="1" x14ac:dyDescent="0.25"/>
    <row r="290647" customFormat="1" x14ac:dyDescent="0.25"/>
    <row r="290648" customFormat="1" x14ac:dyDescent="0.25"/>
    <row r="290649" customFormat="1" x14ac:dyDescent="0.25"/>
    <row r="290650" customFormat="1" x14ac:dyDescent="0.25"/>
    <row r="290651" customFormat="1" x14ac:dyDescent="0.25"/>
    <row r="290652" customFormat="1" x14ac:dyDescent="0.25"/>
    <row r="290653" customFormat="1" x14ac:dyDescent="0.25"/>
    <row r="290654" customFormat="1" x14ac:dyDescent="0.25"/>
    <row r="290655" customFormat="1" x14ac:dyDescent="0.25"/>
    <row r="290656" customFormat="1" x14ac:dyDescent="0.25"/>
    <row r="290657" customFormat="1" x14ac:dyDescent="0.25"/>
    <row r="290658" customFormat="1" x14ac:dyDescent="0.25"/>
    <row r="290659" customFormat="1" x14ac:dyDescent="0.25"/>
    <row r="290660" customFormat="1" x14ac:dyDescent="0.25"/>
    <row r="290661" customFormat="1" x14ac:dyDescent="0.25"/>
    <row r="290662" customFormat="1" x14ac:dyDescent="0.25"/>
    <row r="290663" customFormat="1" x14ac:dyDescent="0.25"/>
    <row r="290664" customFormat="1" x14ac:dyDescent="0.25"/>
    <row r="290665" customFormat="1" x14ac:dyDescent="0.25"/>
    <row r="290666" customFormat="1" x14ac:dyDescent="0.25"/>
    <row r="290667" customFormat="1" x14ac:dyDescent="0.25"/>
    <row r="290668" customFormat="1" x14ac:dyDescent="0.25"/>
    <row r="290669" customFormat="1" x14ac:dyDescent="0.25"/>
    <row r="290670" customFormat="1" x14ac:dyDescent="0.25"/>
    <row r="290671" customFormat="1" x14ac:dyDescent="0.25"/>
    <row r="290672" customFormat="1" x14ac:dyDescent="0.25"/>
    <row r="290673" customFormat="1" x14ac:dyDescent="0.25"/>
    <row r="290674" customFormat="1" x14ac:dyDescent="0.25"/>
    <row r="290675" customFormat="1" x14ac:dyDescent="0.25"/>
    <row r="290676" customFormat="1" x14ac:dyDescent="0.25"/>
    <row r="290677" customFormat="1" x14ac:dyDescent="0.25"/>
    <row r="290678" customFormat="1" x14ac:dyDescent="0.25"/>
    <row r="290679" customFormat="1" x14ac:dyDescent="0.25"/>
    <row r="290680" customFormat="1" x14ac:dyDescent="0.25"/>
    <row r="290681" customFormat="1" x14ac:dyDescent="0.25"/>
    <row r="290682" customFormat="1" x14ac:dyDescent="0.25"/>
    <row r="290683" customFormat="1" x14ac:dyDescent="0.25"/>
    <row r="290684" customFormat="1" x14ac:dyDescent="0.25"/>
    <row r="290685" customFormat="1" x14ac:dyDescent="0.25"/>
    <row r="290686" customFormat="1" x14ac:dyDescent="0.25"/>
    <row r="290687" customFormat="1" x14ac:dyDescent="0.25"/>
    <row r="290688" customFormat="1" x14ac:dyDescent="0.25"/>
    <row r="290689" customFormat="1" x14ac:dyDescent="0.25"/>
    <row r="290690" customFormat="1" x14ac:dyDescent="0.25"/>
    <row r="290691" customFormat="1" x14ac:dyDescent="0.25"/>
    <row r="290692" customFormat="1" x14ac:dyDescent="0.25"/>
    <row r="290693" customFormat="1" x14ac:dyDescent="0.25"/>
    <row r="290694" customFormat="1" x14ac:dyDescent="0.25"/>
    <row r="290695" customFormat="1" x14ac:dyDescent="0.25"/>
    <row r="290696" customFormat="1" x14ac:dyDescent="0.25"/>
    <row r="290697" customFormat="1" x14ac:dyDescent="0.25"/>
    <row r="290698" customFormat="1" x14ac:dyDescent="0.25"/>
    <row r="290699" customFormat="1" x14ac:dyDescent="0.25"/>
    <row r="290700" customFormat="1" x14ac:dyDescent="0.25"/>
    <row r="290701" customFormat="1" x14ac:dyDescent="0.25"/>
    <row r="290702" customFormat="1" x14ac:dyDescent="0.25"/>
    <row r="290703" customFormat="1" x14ac:dyDescent="0.25"/>
    <row r="290704" customFormat="1" x14ac:dyDescent="0.25"/>
    <row r="290705" customFormat="1" x14ac:dyDescent="0.25"/>
    <row r="290706" customFormat="1" x14ac:dyDescent="0.25"/>
    <row r="290707" customFormat="1" x14ac:dyDescent="0.25"/>
    <row r="290708" customFormat="1" x14ac:dyDescent="0.25"/>
    <row r="290709" customFormat="1" x14ac:dyDescent="0.25"/>
    <row r="290710" customFormat="1" x14ac:dyDescent="0.25"/>
    <row r="290711" customFormat="1" x14ac:dyDescent="0.25"/>
    <row r="290712" customFormat="1" x14ac:dyDescent="0.25"/>
    <row r="290713" customFormat="1" x14ac:dyDescent="0.25"/>
    <row r="290714" customFormat="1" x14ac:dyDescent="0.25"/>
    <row r="290715" customFormat="1" x14ac:dyDescent="0.25"/>
    <row r="290716" customFormat="1" x14ac:dyDescent="0.25"/>
    <row r="290717" customFormat="1" x14ac:dyDescent="0.25"/>
    <row r="290718" customFormat="1" x14ac:dyDescent="0.25"/>
    <row r="290719" customFormat="1" x14ac:dyDescent="0.25"/>
    <row r="290720" customFormat="1" x14ac:dyDescent="0.25"/>
    <row r="290721" customFormat="1" x14ac:dyDescent="0.25"/>
    <row r="290722" customFormat="1" x14ac:dyDescent="0.25"/>
    <row r="290723" customFormat="1" x14ac:dyDescent="0.25"/>
    <row r="290724" customFormat="1" x14ac:dyDescent="0.25"/>
    <row r="290725" customFormat="1" x14ac:dyDescent="0.25"/>
    <row r="290726" customFormat="1" x14ac:dyDescent="0.25"/>
    <row r="290727" customFormat="1" x14ac:dyDescent="0.25"/>
    <row r="290728" customFormat="1" x14ac:dyDescent="0.25"/>
    <row r="290729" customFormat="1" x14ac:dyDescent="0.25"/>
    <row r="290730" customFormat="1" x14ac:dyDescent="0.25"/>
    <row r="290731" customFormat="1" x14ac:dyDescent="0.25"/>
    <row r="290732" customFormat="1" x14ac:dyDescent="0.25"/>
    <row r="290733" customFormat="1" x14ac:dyDescent="0.25"/>
    <row r="290734" customFormat="1" x14ac:dyDescent="0.25"/>
    <row r="290735" customFormat="1" x14ac:dyDescent="0.25"/>
    <row r="290736" customFormat="1" x14ac:dyDescent="0.25"/>
    <row r="290737" customFormat="1" x14ac:dyDescent="0.25"/>
    <row r="290738" customFormat="1" x14ac:dyDescent="0.25"/>
    <row r="290739" customFormat="1" x14ac:dyDescent="0.25"/>
    <row r="290740" customFormat="1" x14ac:dyDescent="0.25"/>
    <row r="290741" customFormat="1" x14ac:dyDescent="0.25"/>
    <row r="290742" customFormat="1" x14ac:dyDescent="0.25"/>
    <row r="290743" customFormat="1" x14ac:dyDescent="0.25"/>
    <row r="290744" customFormat="1" x14ac:dyDescent="0.25"/>
    <row r="290745" customFormat="1" x14ac:dyDescent="0.25"/>
    <row r="290746" customFormat="1" x14ac:dyDescent="0.25"/>
    <row r="290747" customFormat="1" x14ac:dyDescent="0.25"/>
    <row r="290748" customFormat="1" x14ac:dyDescent="0.25"/>
    <row r="290749" customFormat="1" x14ac:dyDescent="0.25"/>
    <row r="290750" customFormat="1" x14ac:dyDescent="0.25"/>
    <row r="290751" customFormat="1" x14ac:dyDescent="0.25"/>
    <row r="290752" customFormat="1" x14ac:dyDescent="0.25"/>
    <row r="290753" customFormat="1" x14ac:dyDescent="0.25"/>
    <row r="290754" customFormat="1" x14ac:dyDescent="0.25"/>
    <row r="290755" customFormat="1" x14ac:dyDescent="0.25"/>
    <row r="290756" customFormat="1" x14ac:dyDescent="0.25"/>
    <row r="290757" customFormat="1" x14ac:dyDescent="0.25"/>
    <row r="290758" customFormat="1" x14ac:dyDescent="0.25"/>
    <row r="290759" customFormat="1" x14ac:dyDescent="0.25"/>
    <row r="290760" customFormat="1" x14ac:dyDescent="0.25"/>
    <row r="290761" customFormat="1" x14ac:dyDescent="0.25"/>
    <row r="290762" customFormat="1" x14ac:dyDescent="0.25"/>
    <row r="290763" customFormat="1" x14ac:dyDescent="0.25"/>
    <row r="290764" customFormat="1" x14ac:dyDescent="0.25"/>
    <row r="290765" customFormat="1" x14ac:dyDescent="0.25"/>
    <row r="290766" customFormat="1" x14ac:dyDescent="0.25"/>
    <row r="290767" customFormat="1" x14ac:dyDescent="0.25"/>
    <row r="290768" customFormat="1" x14ac:dyDescent="0.25"/>
    <row r="290769" customFormat="1" x14ac:dyDescent="0.25"/>
    <row r="290770" customFormat="1" x14ac:dyDescent="0.25"/>
    <row r="290771" customFormat="1" x14ac:dyDescent="0.25"/>
    <row r="290772" customFormat="1" x14ac:dyDescent="0.25"/>
    <row r="290773" customFormat="1" x14ac:dyDescent="0.25"/>
    <row r="290774" customFormat="1" x14ac:dyDescent="0.25"/>
    <row r="290775" customFormat="1" x14ac:dyDescent="0.25"/>
    <row r="290776" customFormat="1" x14ac:dyDescent="0.25"/>
    <row r="290777" customFormat="1" x14ac:dyDescent="0.25"/>
    <row r="290778" customFormat="1" x14ac:dyDescent="0.25"/>
    <row r="290779" customFormat="1" x14ac:dyDescent="0.25"/>
    <row r="290780" customFormat="1" x14ac:dyDescent="0.25"/>
    <row r="290781" customFormat="1" x14ac:dyDescent="0.25"/>
    <row r="290782" customFormat="1" x14ac:dyDescent="0.25"/>
    <row r="290783" customFormat="1" x14ac:dyDescent="0.25"/>
    <row r="290784" customFormat="1" x14ac:dyDescent="0.25"/>
    <row r="290785" customFormat="1" x14ac:dyDescent="0.25"/>
    <row r="290786" customFormat="1" x14ac:dyDescent="0.25"/>
    <row r="290787" customFormat="1" x14ac:dyDescent="0.25"/>
    <row r="290788" customFormat="1" x14ac:dyDescent="0.25"/>
    <row r="290789" customFormat="1" x14ac:dyDescent="0.25"/>
    <row r="290790" customFormat="1" x14ac:dyDescent="0.25"/>
    <row r="290791" customFormat="1" x14ac:dyDescent="0.25"/>
    <row r="290792" customFormat="1" x14ac:dyDescent="0.25"/>
    <row r="290793" customFormat="1" x14ac:dyDescent="0.25"/>
    <row r="290794" customFormat="1" x14ac:dyDescent="0.25"/>
    <row r="290795" customFormat="1" x14ac:dyDescent="0.25"/>
    <row r="290796" customFormat="1" x14ac:dyDescent="0.25"/>
    <row r="290797" customFormat="1" x14ac:dyDescent="0.25"/>
    <row r="290798" customFormat="1" x14ac:dyDescent="0.25"/>
    <row r="290799" customFormat="1" x14ac:dyDescent="0.25"/>
    <row r="290800" customFormat="1" x14ac:dyDescent="0.25"/>
    <row r="290801" customFormat="1" x14ac:dyDescent="0.25"/>
    <row r="290802" customFormat="1" x14ac:dyDescent="0.25"/>
    <row r="290803" customFormat="1" x14ac:dyDescent="0.25"/>
    <row r="290804" customFormat="1" x14ac:dyDescent="0.25"/>
    <row r="290805" customFormat="1" x14ac:dyDescent="0.25"/>
    <row r="290806" customFormat="1" x14ac:dyDescent="0.25"/>
    <row r="290807" customFormat="1" x14ac:dyDescent="0.25"/>
    <row r="290808" customFormat="1" x14ac:dyDescent="0.25"/>
    <row r="290809" customFormat="1" x14ac:dyDescent="0.25"/>
    <row r="290810" customFormat="1" x14ac:dyDescent="0.25"/>
    <row r="290811" customFormat="1" x14ac:dyDescent="0.25"/>
    <row r="290812" customFormat="1" x14ac:dyDescent="0.25"/>
    <row r="290813" customFormat="1" x14ac:dyDescent="0.25"/>
    <row r="290814" customFormat="1" x14ac:dyDescent="0.25"/>
    <row r="290815" customFormat="1" x14ac:dyDescent="0.25"/>
    <row r="290816" customFormat="1" x14ac:dyDescent="0.25"/>
    <row r="290817" customFormat="1" x14ac:dyDescent="0.25"/>
    <row r="290818" customFormat="1" x14ac:dyDescent="0.25"/>
    <row r="290819" customFormat="1" x14ac:dyDescent="0.25"/>
    <row r="290820" customFormat="1" x14ac:dyDescent="0.25"/>
    <row r="290821" customFormat="1" x14ac:dyDescent="0.25"/>
    <row r="290822" customFormat="1" x14ac:dyDescent="0.25"/>
    <row r="290823" customFormat="1" x14ac:dyDescent="0.25"/>
    <row r="290824" customFormat="1" x14ac:dyDescent="0.25"/>
    <row r="290825" customFormat="1" x14ac:dyDescent="0.25"/>
    <row r="290826" customFormat="1" x14ac:dyDescent="0.25"/>
    <row r="290827" customFormat="1" x14ac:dyDescent="0.25"/>
    <row r="290828" customFormat="1" x14ac:dyDescent="0.25"/>
    <row r="290829" customFormat="1" x14ac:dyDescent="0.25"/>
    <row r="290830" customFormat="1" x14ac:dyDescent="0.25"/>
    <row r="290831" customFormat="1" x14ac:dyDescent="0.25"/>
    <row r="290832" customFormat="1" x14ac:dyDescent="0.25"/>
    <row r="290833" customFormat="1" x14ac:dyDescent="0.25"/>
    <row r="290834" customFormat="1" x14ac:dyDescent="0.25"/>
    <row r="290835" customFormat="1" x14ac:dyDescent="0.25"/>
    <row r="290836" customFormat="1" x14ac:dyDescent="0.25"/>
    <row r="290837" customFormat="1" x14ac:dyDescent="0.25"/>
    <row r="290838" customFormat="1" x14ac:dyDescent="0.25"/>
    <row r="290839" customFormat="1" x14ac:dyDescent="0.25"/>
    <row r="290840" customFormat="1" x14ac:dyDescent="0.25"/>
    <row r="290841" customFormat="1" x14ac:dyDescent="0.25"/>
    <row r="290842" customFormat="1" x14ac:dyDescent="0.25"/>
    <row r="290843" customFormat="1" x14ac:dyDescent="0.25"/>
    <row r="290844" customFormat="1" x14ac:dyDescent="0.25"/>
    <row r="290845" customFormat="1" x14ac:dyDescent="0.25"/>
    <row r="290846" customFormat="1" x14ac:dyDescent="0.25"/>
    <row r="290847" customFormat="1" x14ac:dyDescent="0.25"/>
    <row r="290848" customFormat="1" x14ac:dyDescent="0.25"/>
    <row r="290849" customFormat="1" x14ac:dyDescent="0.25"/>
    <row r="290850" customFormat="1" x14ac:dyDescent="0.25"/>
    <row r="290851" customFormat="1" x14ac:dyDescent="0.25"/>
    <row r="290852" customFormat="1" x14ac:dyDescent="0.25"/>
    <row r="290853" customFormat="1" x14ac:dyDescent="0.25"/>
    <row r="290854" customFormat="1" x14ac:dyDescent="0.25"/>
    <row r="290855" customFormat="1" x14ac:dyDescent="0.25"/>
    <row r="290856" customFormat="1" x14ac:dyDescent="0.25"/>
    <row r="290857" customFormat="1" x14ac:dyDescent="0.25"/>
    <row r="290858" customFormat="1" x14ac:dyDescent="0.25"/>
    <row r="290859" customFormat="1" x14ac:dyDescent="0.25"/>
    <row r="290860" customFormat="1" x14ac:dyDescent="0.25"/>
    <row r="290861" customFormat="1" x14ac:dyDescent="0.25"/>
    <row r="290862" customFormat="1" x14ac:dyDescent="0.25"/>
    <row r="290863" customFormat="1" x14ac:dyDescent="0.25"/>
    <row r="290864" customFormat="1" x14ac:dyDescent="0.25"/>
    <row r="290865" customFormat="1" x14ac:dyDescent="0.25"/>
    <row r="290866" customFormat="1" x14ac:dyDescent="0.25"/>
    <row r="290867" customFormat="1" x14ac:dyDescent="0.25"/>
    <row r="290868" customFormat="1" x14ac:dyDescent="0.25"/>
    <row r="290869" customFormat="1" x14ac:dyDescent="0.25"/>
    <row r="290870" customFormat="1" x14ac:dyDescent="0.25"/>
    <row r="290871" customFormat="1" x14ac:dyDescent="0.25"/>
    <row r="290872" customFormat="1" x14ac:dyDescent="0.25"/>
    <row r="290873" customFormat="1" x14ac:dyDescent="0.25"/>
    <row r="290874" customFormat="1" x14ac:dyDescent="0.25"/>
    <row r="290875" customFormat="1" x14ac:dyDescent="0.25"/>
    <row r="290876" customFormat="1" x14ac:dyDescent="0.25"/>
    <row r="290877" customFormat="1" x14ac:dyDescent="0.25"/>
    <row r="290878" customFormat="1" x14ac:dyDescent="0.25"/>
    <row r="290879" customFormat="1" x14ac:dyDescent="0.25"/>
    <row r="290880" customFormat="1" x14ac:dyDescent="0.25"/>
    <row r="290881" customFormat="1" x14ac:dyDescent="0.25"/>
    <row r="290882" customFormat="1" x14ac:dyDescent="0.25"/>
    <row r="290883" customFormat="1" x14ac:dyDescent="0.25"/>
    <row r="290884" customFormat="1" x14ac:dyDescent="0.25"/>
    <row r="290885" customFormat="1" x14ac:dyDescent="0.25"/>
    <row r="290886" customFormat="1" x14ac:dyDescent="0.25"/>
    <row r="290887" customFormat="1" x14ac:dyDescent="0.25"/>
    <row r="290888" customFormat="1" x14ac:dyDescent="0.25"/>
    <row r="290889" customFormat="1" x14ac:dyDescent="0.25"/>
    <row r="290890" customFormat="1" x14ac:dyDescent="0.25"/>
    <row r="290891" customFormat="1" x14ac:dyDescent="0.25"/>
    <row r="290892" customFormat="1" x14ac:dyDescent="0.25"/>
    <row r="290893" customFormat="1" x14ac:dyDescent="0.25"/>
    <row r="290894" customFormat="1" x14ac:dyDescent="0.25"/>
    <row r="290895" customFormat="1" x14ac:dyDescent="0.25"/>
    <row r="290896" customFormat="1" x14ac:dyDescent="0.25"/>
    <row r="290897" customFormat="1" x14ac:dyDescent="0.25"/>
    <row r="290898" customFormat="1" x14ac:dyDescent="0.25"/>
    <row r="290899" customFormat="1" x14ac:dyDescent="0.25"/>
    <row r="290900" customFormat="1" x14ac:dyDescent="0.25"/>
    <row r="290901" customFormat="1" x14ac:dyDescent="0.25"/>
    <row r="290902" customFormat="1" x14ac:dyDescent="0.25"/>
    <row r="290903" customFormat="1" x14ac:dyDescent="0.25"/>
    <row r="290904" customFormat="1" x14ac:dyDescent="0.25"/>
    <row r="290905" customFormat="1" x14ac:dyDescent="0.25"/>
    <row r="290906" customFormat="1" x14ac:dyDescent="0.25"/>
    <row r="290907" customFormat="1" x14ac:dyDescent="0.25"/>
    <row r="290908" customFormat="1" x14ac:dyDescent="0.25"/>
    <row r="290909" customFormat="1" x14ac:dyDescent="0.25"/>
    <row r="290910" customFormat="1" x14ac:dyDescent="0.25"/>
    <row r="290911" customFormat="1" x14ac:dyDescent="0.25"/>
    <row r="290912" customFormat="1" x14ac:dyDescent="0.25"/>
    <row r="290913" customFormat="1" x14ac:dyDescent="0.25"/>
    <row r="290914" customFormat="1" x14ac:dyDescent="0.25"/>
    <row r="290915" customFormat="1" x14ac:dyDescent="0.25"/>
    <row r="290916" customFormat="1" x14ac:dyDescent="0.25"/>
    <row r="290917" customFormat="1" x14ac:dyDescent="0.25"/>
    <row r="290918" customFormat="1" x14ac:dyDescent="0.25"/>
    <row r="290919" customFormat="1" x14ac:dyDescent="0.25"/>
    <row r="290920" customFormat="1" x14ac:dyDescent="0.25"/>
    <row r="290921" customFormat="1" x14ac:dyDescent="0.25"/>
    <row r="290922" customFormat="1" x14ac:dyDescent="0.25"/>
    <row r="290923" customFormat="1" x14ac:dyDescent="0.25"/>
    <row r="290924" customFormat="1" x14ac:dyDescent="0.25"/>
    <row r="290925" customFormat="1" x14ac:dyDescent="0.25"/>
    <row r="290926" customFormat="1" x14ac:dyDescent="0.25"/>
    <row r="290927" customFormat="1" x14ac:dyDescent="0.25"/>
    <row r="290928" customFormat="1" x14ac:dyDescent="0.25"/>
    <row r="290929" customFormat="1" x14ac:dyDescent="0.25"/>
    <row r="290930" customFormat="1" x14ac:dyDescent="0.25"/>
    <row r="290931" customFormat="1" x14ac:dyDescent="0.25"/>
    <row r="290932" customFormat="1" x14ac:dyDescent="0.25"/>
    <row r="290933" customFormat="1" x14ac:dyDescent="0.25"/>
    <row r="290934" customFormat="1" x14ac:dyDescent="0.25"/>
    <row r="290935" customFormat="1" x14ac:dyDescent="0.25"/>
    <row r="290936" customFormat="1" x14ac:dyDescent="0.25"/>
    <row r="290937" customFormat="1" x14ac:dyDescent="0.25"/>
    <row r="290938" customFormat="1" x14ac:dyDescent="0.25"/>
    <row r="290939" customFormat="1" x14ac:dyDescent="0.25"/>
    <row r="290940" customFormat="1" x14ac:dyDescent="0.25"/>
    <row r="290941" customFormat="1" x14ac:dyDescent="0.25"/>
    <row r="290942" customFormat="1" x14ac:dyDescent="0.25"/>
    <row r="290943" customFormat="1" x14ac:dyDescent="0.25"/>
    <row r="290944" customFormat="1" x14ac:dyDescent="0.25"/>
    <row r="290945" customFormat="1" x14ac:dyDescent="0.25"/>
    <row r="290946" customFormat="1" x14ac:dyDescent="0.25"/>
    <row r="290947" customFormat="1" x14ac:dyDescent="0.25"/>
    <row r="290948" customFormat="1" x14ac:dyDescent="0.25"/>
    <row r="290949" customFormat="1" x14ac:dyDescent="0.25"/>
    <row r="290950" customFormat="1" x14ac:dyDescent="0.25"/>
    <row r="290951" customFormat="1" x14ac:dyDescent="0.25"/>
    <row r="290952" customFormat="1" x14ac:dyDescent="0.25"/>
    <row r="290953" customFormat="1" x14ac:dyDescent="0.25"/>
    <row r="290954" customFormat="1" x14ac:dyDescent="0.25"/>
    <row r="290955" customFormat="1" x14ac:dyDescent="0.25"/>
    <row r="290956" customFormat="1" x14ac:dyDescent="0.25"/>
    <row r="290957" customFormat="1" x14ac:dyDescent="0.25"/>
    <row r="290958" customFormat="1" x14ac:dyDescent="0.25"/>
    <row r="290959" customFormat="1" x14ac:dyDescent="0.25"/>
    <row r="290960" customFormat="1" x14ac:dyDescent="0.25"/>
    <row r="290961" customFormat="1" x14ac:dyDescent="0.25"/>
    <row r="290962" customFormat="1" x14ac:dyDescent="0.25"/>
    <row r="290963" customFormat="1" x14ac:dyDescent="0.25"/>
    <row r="290964" customFormat="1" x14ac:dyDescent="0.25"/>
    <row r="290965" customFormat="1" x14ac:dyDescent="0.25"/>
    <row r="290966" customFormat="1" x14ac:dyDescent="0.25"/>
    <row r="290967" customFormat="1" x14ac:dyDescent="0.25"/>
    <row r="290968" customFormat="1" x14ac:dyDescent="0.25"/>
    <row r="290969" customFormat="1" x14ac:dyDescent="0.25"/>
    <row r="290970" customFormat="1" x14ac:dyDescent="0.25"/>
    <row r="290971" customFormat="1" x14ac:dyDescent="0.25"/>
    <row r="290972" customFormat="1" x14ac:dyDescent="0.25"/>
    <row r="290973" customFormat="1" x14ac:dyDescent="0.25"/>
    <row r="290974" customFormat="1" x14ac:dyDescent="0.25"/>
    <row r="290975" customFormat="1" x14ac:dyDescent="0.25"/>
    <row r="290976" customFormat="1" x14ac:dyDescent="0.25"/>
    <row r="290977" customFormat="1" x14ac:dyDescent="0.25"/>
    <row r="290978" customFormat="1" x14ac:dyDescent="0.25"/>
    <row r="290979" customFormat="1" x14ac:dyDescent="0.25"/>
    <row r="290980" customFormat="1" x14ac:dyDescent="0.25"/>
    <row r="290981" customFormat="1" x14ac:dyDescent="0.25"/>
    <row r="290982" customFormat="1" x14ac:dyDescent="0.25"/>
    <row r="290983" customFormat="1" x14ac:dyDescent="0.25"/>
    <row r="290984" customFormat="1" x14ac:dyDescent="0.25"/>
    <row r="290985" customFormat="1" x14ac:dyDescent="0.25"/>
    <row r="290986" customFormat="1" x14ac:dyDescent="0.25"/>
    <row r="290987" customFormat="1" x14ac:dyDescent="0.25"/>
    <row r="290988" customFormat="1" x14ac:dyDescent="0.25"/>
    <row r="290989" customFormat="1" x14ac:dyDescent="0.25"/>
    <row r="290990" customFormat="1" x14ac:dyDescent="0.25"/>
    <row r="290991" customFormat="1" x14ac:dyDescent="0.25"/>
    <row r="290992" customFormat="1" x14ac:dyDescent="0.25"/>
    <row r="290993" customFormat="1" x14ac:dyDescent="0.25"/>
    <row r="290994" customFormat="1" x14ac:dyDescent="0.25"/>
    <row r="290995" customFormat="1" x14ac:dyDescent="0.25"/>
    <row r="290996" customFormat="1" x14ac:dyDescent="0.25"/>
    <row r="290997" customFormat="1" x14ac:dyDescent="0.25"/>
    <row r="290998" customFormat="1" x14ac:dyDescent="0.25"/>
    <row r="290999" customFormat="1" x14ac:dyDescent="0.25"/>
    <row r="291000" customFormat="1" x14ac:dyDescent="0.25"/>
    <row r="291001" customFormat="1" x14ac:dyDescent="0.25"/>
    <row r="291002" customFormat="1" x14ac:dyDescent="0.25"/>
    <row r="291003" customFormat="1" x14ac:dyDescent="0.25"/>
    <row r="291004" customFormat="1" x14ac:dyDescent="0.25"/>
    <row r="291005" customFormat="1" x14ac:dyDescent="0.25"/>
    <row r="291006" customFormat="1" x14ac:dyDescent="0.25"/>
    <row r="291007" customFormat="1" x14ac:dyDescent="0.25"/>
    <row r="291008" customFormat="1" x14ac:dyDescent="0.25"/>
    <row r="291009" customFormat="1" x14ac:dyDescent="0.25"/>
    <row r="291010" customFormat="1" x14ac:dyDescent="0.25"/>
    <row r="291011" customFormat="1" x14ac:dyDescent="0.25"/>
    <row r="291012" customFormat="1" x14ac:dyDescent="0.25"/>
    <row r="291013" customFormat="1" x14ac:dyDescent="0.25"/>
    <row r="291014" customFormat="1" x14ac:dyDescent="0.25"/>
    <row r="291015" customFormat="1" x14ac:dyDescent="0.25"/>
    <row r="291016" customFormat="1" x14ac:dyDescent="0.25"/>
    <row r="291017" customFormat="1" x14ac:dyDescent="0.25"/>
    <row r="291018" customFormat="1" x14ac:dyDescent="0.25"/>
    <row r="291019" customFormat="1" x14ac:dyDescent="0.25"/>
    <row r="291020" customFormat="1" x14ac:dyDescent="0.25"/>
    <row r="291021" customFormat="1" x14ac:dyDescent="0.25"/>
    <row r="291022" customFormat="1" x14ac:dyDescent="0.25"/>
    <row r="291023" customFormat="1" x14ac:dyDescent="0.25"/>
    <row r="291024" customFormat="1" x14ac:dyDescent="0.25"/>
    <row r="291025" customFormat="1" x14ac:dyDescent="0.25"/>
    <row r="291026" customFormat="1" x14ac:dyDescent="0.25"/>
    <row r="291027" customFormat="1" x14ac:dyDescent="0.25"/>
    <row r="291028" customFormat="1" x14ac:dyDescent="0.25"/>
    <row r="291029" customFormat="1" x14ac:dyDescent="0.25"/>
    <row r="291030" customFormat="1" x14ac:dyDescent="0.25"/>
    <row r="291031" customFormat="1" x14ac:dyDescent="0.25"/>
    <row r="291032" customFormat="1" x14ac:dyDescent="0.25"/>
    <row r="291033" customFormat="1" x14ac:dyDescent="0.25"/>
    <row r="291034" customFormat="1" x14ac:dyDescent="0.25"/>
    <row r="291035" customFormat="1" x14ac:dyDescent="0.25"/>
    <row r="291036" customFormat="1" x14ac:dyDescent="0.25"/>
    <row r="291037" customFormat="1" x14ac:dyDescent="0.25"/>
    <row r="291038" customFormat="1" x14ac:dyDescent="0.25"/>
    <row r="291039" customFormat="1" x14ac:dyDescent="0.25"/>
    <row r="291040" customFormat="1" x14ac:dyDescent="0.25"/>
    <row r="291041" customFormat="1" x14ac:dyDescent="0.25"/>
    <row r="291042" customFormat="1" x14ac:dyDescent="0.25"/>
    <row r="291043" customFormat="1" x14ac:dyDescent="0.25"/>
    <row r="291044" customFormat="1" x14ac:dyDescent="0.25"/>
    <row r="291045" customFormat="1" x14ac:dyDescent="0.25"/>
    <row r="291046" customFormat="1" x14ac:dyDescent="0.25"/>
    <row r="291047" customFormat="1" x14ac:dyDescent="0.25"/>
    <row r="291048" customFormat="1" x14ac:dyDescent="0.25"/>
    <row r="291049" customFormat="1" x14ac:dyDescent="0.25"/>
    <row r="291050" customFormat="1" x14ac:dyDescent="0.25"/>
    <row r="291051" customFormat="1" x14ac:dyDescent="0.25"/>
    <row r="291052" customFormat="1" x14ac:dyDescent="0.25"/>
    <row r="291053" customFormat="1" x14ac:dyDescent="0.25"/>
    <row r="291054" customFormat="1" x14ac:dyDescent="0.25"/>
    <row r="291055" customFormat="1" x14ac:dyDescent="0.25"/>
    <row r="291056" customFormat="1" x14ac:dyDescent="0.25"/>
    <row r="291057" customFormat="1" x14ac:dyDescent="0.25"/>
    <row r="291058" customFormat="1" x14ac:dyDescent="0.25"/>
    <row r="291059" customFormat="1" x14ac:dyDescent="0.25"/>
    <row r="291060" customFormat="1" x14ac:dyDescent="0.25"/>
    <row r="291061" customFormat="1" x14ac:dyDescent="0.25"/>
    <row r="291062" customFormat="1" x14ac:dyDescent="0.25"/>
    <row r="291063" customFormat="1" x14ac:dyDescent="0.25"/>
    <row r="291064" customFormat="1" x14ac:dyDescent="0.25"/>
    <row r="291065" customFormat="1" x14ac:dyDescent="0.25"/>
    <row r="291066" customFormat="1" x14ac:dyDescent="0.25"/>
    <row r="291067" customFormat="1" x14ac:dyDescent="0.25"/>
    <row r="291068" customFormat="1" x14ac:dyDescent="0.25"/>
    <row r="291069" customFormat="1" x14ac:dyDescent="0.25"/>
    <row r="291070" customFormat="1" x14ac:dyDescent="0.25"/>
    <row r="291071" customFormat="1" x14ac:dyDescent="0.25"/>
    <row r="291072" customFormat="1" x14ac:dyDescent="0.25"/>
    <row r="291073" customFormat="1" x14ac:dyDescent="0.25"/>
    <row r="291074" customFormat="1" x14ac:dyDescent="0.25"/>
    <row r="291075" customFormat="1" x14ac:dyDescent="0.25"/>
    <row r="291076" customFormat="1" x14ac:dyDescent="0.25"/>
    <row r="291077" customFormat="1" x14ac:dyDescent="0.25"/>
    <row r="291078" customFormat="1" x14ac:dyDescent="0.25"/>
    <row r="291079" customFormat="1" x14ac:dyDescent="0.25"/>
    <row r="291080" customFormat="1" x14ac:dyDescent="0.25"/>
    <row r="291081" customFormat="1" x14ac:dyDescent="0.25"/>
    <row r="291082" customFormat="1" x14ac:dyDescent="0.25"/>
    <row r="291083" customFormat="1" x14ac:dyDescent="0.25"/>
    <row r="291084" customFormat="1" x14ac:dyDescent="0.25"/>
    <row r="291085" customFormat="1" x14ac:dyDescent="0.25"/>
    <row r="291086" customFormat="1" x14ac:dyDescent="0.25"/>
    <row r="291087" customFormat="1" x14ac:dyDescent="0.25"/>
    <row r="291088" customFormat="1" x14ac:dyDescent="0.25"/>
    <row r="291089" customFormat="1" x14ac:dyDescent="0.25"/>
    <row r="291090" customFormat="1" x14ac:dyDescent="0.25"/>
    <row r="291091" customFormat="1" x14ac:dyDescent="0.25"/>
    <row r="291092" customFormat="1" x14ac:dyDescent="0.25"/>
    <row r="291093" customFormat="1" x14ac:dyDescent="0.25"/>
    <row r="291094" customFormat="1" x14ac:dyDescent="0.25"/>
    <row r="291095" customFormat="1" x14ac:dyDescent="0.25"/>
    <row r="291096" customFormat="1" x14ac:dyDescent="0.25"/>
    <row r="291097" customFormat="1" x14ac:dyDescent="0.25"/>
    <row r="291098" customFormat="1" x14ac:dyDescent="0.25"/>
    <row r="291099" customFormat="1" x14ac:dyDescent="0.25"/>
    <row r="291100" customFormat="1" x14ac:dyDescent="0.25"/>
    <row r="291101" customFormat="1" x14ac:dyDescent="0.25"/>
    <row r="291102" customFormat="1" x14ac:dyDescent="0.25"/>
    <row r="291103" customFormat="1" x14ac:dyDescent="0.25"/>
    <row r="291104" customFormat="1" x14ac:dyDescent="0.25"/>
    <row r="291105" customFormat="1" x14ac:dyDescent="0.25"/>
    <row r="291106" customFormat="1" x14ac:dyDescent="0.25"/>
    <row r="291107" customFormat="1" x14ac:dyDescent="0.25"/>
    <row r="291108" customFormat="1" x14ac:dyDescent="0.25"/>
    <row r="291109" customFormat="1" x14ac:dyDescent="0.25"/>
    <row r="291110" customFormat="1" x14ac:dyDescent="0.25"/>
    <row r="291111" customFormat="1" x14ac:dyDescent="0.25"/>
    <row r="291112" customFormat="1" x14ac:dyDescent="0.25"/>
    <row r="291113" customFormat="1" x14ac:dyDescent="0.25"/>
    <row r="291114" customFormat="1" x14ac:dyDescent="0.25"/>
    <row r="291115" customFormat="1" x14ac:dyDescent="0.25"/>
    <row r="291116" customFormat="1" x14ac:dyDescent="0.25"/>
    <row r="291117" customFormat="1" x14ac:dyDescent="0.25"/>
    <row r="291118" customFormat="1" x14ac:dyDescent="0.25"/>
    <row r="291119" customFormat="1" x14ac:dyDescent="0.25"/>
    <row r="291120" customFormat="1" x14ac:dyDescent="0.25"/>
    <row r="291121" customFormat="1" x14ac:dyDescent="0.25"/>
    <row r="291122" customFormat="1" x14ac:dyDescent="0.25"/>
    <row r="291123" customFormat="1" x14ac:dyDescent="0.25"/>
    <row r="291124" customFormat="1" x14ac:dyDescent="0.25"/>
    <row r="291125" customFormat="1" x14ac:dyDescent="0.25"/>
    <row r="291126" customFormat="1" x14ac:dyDescent="0.25"/>
    <row r="291127" customFormat="1" x14ac:dyDescent="0.25"/>
    <row r="291128" customFormat="1" x14ac:dyDescent="0.25"/>
    <row r="291129" customFormat="1" x14ac:dyDescent="0.25"/>
    <row r="291130" customFormat="1" x14ac:dyDescent="0.25"/>
    <row r="291131" customFormat="1" x14ac:dyDescent="0.25"/>
    <row r="291132" customFormat="1" x14ac:dyDescent="0.25"/>
    <row r="291133" customFormat="1" x14ac:dyDescent="0.25"/>
    <row r="291134" customFormat="1" x14ac:dyDescent="0.25"/>
    <row r="291135" customFormat="1" x14ac:dyDescent="0.25"/>
    <row r="291136" customFormat="1" x14ac:dyDescent="0.25"/>
    <row r="291137" customFormat="1" x14ac:dyDescent="0.25"/>
    <row r="291138" customFormat="1" x14ac:dyDescent="0.25"/>
    <row r="291139" customFormat="1" x14ac:dyDescent="0.25"/>
    <row r="291140" customFormat="1" x14ac:dyDescent="0.25"/>
    <row r="291141" customFormat="1" x14ac:dyDescent="0.25"/>
    <row r="291142" customFormat="1" x14ac:dyDescent="0.25"/>
    <row r="291143" customFormat="1" x14ac:dyDescent="0.25"/>
    <row r="291144" customFormat="1" x14ac:dyDescent="0.25"/>
    <row r="291145" customFormat="1" x14ac:dyDescent="0.25"/>
    <row r="291146" customFormat="1" x14ac:dyDescent="0.25"/>
    <row r="291147" customFormat="1" x14ac:dyDescent="0.25"/>
    <row r="291148" customFormat="1" x14ac:dyDescent="0.25"/>
    <row r="291149" customFormat="1" x14ac:dyDescent="0.25"/>
    <row r="291150" customFormat="1" x14ac:dyDescent="0.25"/>
    <row r="291151" customFormat="1" x14ac:dyDescent="0.25"/>
    <row r="291152" customFormat="1" x14ac:dyDescent="0.25"/>
    <row r="291153" customFormat="1" x14ac:dyDescent="0.25"/>
    <row r="291154" customFormat="1" x14ac:dyDescent="0.25"/>
    <row r="291155" customFormat="1" x14ac:dyDescent="0.25"/>
    <row r="291156" customFormat="1" x14ac:dyDescent="0.25"/>
    <row r="291157" customFormat="1" x14ac:dyDescent="0.25"/>
    <row r="291158" customFormat="1" x14ac:dyDescent="0.25"/>
    <row r="291159" customFormat="1" x14ac:dyDescent="0.25"/>
    <row r="291160" customFormat="1" x14ac:dyDescent="0.25"/>
    <row r="291161" customFormat="1" x14ac:dyDescent="0.25"/>
    <row r="291162" customFormat="1" x14ac:dyDescent="0.25"/>
    <row r="291163" customFormat="1" x14ac:dyDescent="0.25"/>
    <row r="291164" customFormat="1" x14ac:dyDescent="0.25"/>
    <row r="291165" customFormat="1" x14ac:dyDescent="0.25"/>
    <row r="291166" customFormat="1" x14ac:dyDescent="0.25"/>
    <row r="291167" customFormat="1" x14ac:dyDescent="0.25"/>
    <row r="291168" customFormat="1" x14ac:dyDescent="0.25"/>
    <row r="291169" customFormat="1" x14ac:dyDescent="0.25"/>
    <row r="291170" customFormat="1" x14ac:dyDescent="0.25"/>
    <row r="291171" customFormat="1" x14ac:dyDescent="0.25"/>
    <row r="291172" customFormat="1" x14ac:dyDescent="0.25"/>
    <row r="291173" customFormat="1" x14ac:dyDescent="0.25"/>
    <row r="291174" customFormat="1" x14ac:dyDescent="0.25"/>
    <row r="291175" customFormat="1" x14ac:dyDescent="0.25"/>
    <row r="291176" customFormat="1" x14ac:dyDescent="0.25"/>
    <row r="291177" customFormat="1" x14ac:dyDescent="0.25"/>
    <row r="291178" customFormat="1" x14ac:dyDescent="0.25"/>
    <row r="291179" customFormat="1" x14ac:dyDescent="0.25"/>
    <row r="291180" customFormat="1" x14ac:dyDescent="0.25"/>
    <row r="291181" customFormat="1" x14ac:dyDescent="0.25"/>
    <row r="291182" customFormat="1" x14ac:dyDescent="0.25"/>
    <row r="291183" customFormat="1" x14ac:dyDescent="0.25"/>
    <row r="291184" customFormat="1" x14ac:dyDescent="0.25"/>
    <row r="291185" customFormat="1" x14ac:dyDescent="0.25"/>
    <row r="291186" customFormat="1" x14ac:dyDescent="0.25"/>
    <row r="291187" customFormat="1" x14ac:dyDescent="0.25"/>
    <row r="291188" customFormat="1" x14ac:dyDescent="0.25"/>
    <row r="291189" customFormat="1" x14ac:dyDescent="0.25"/>
    <row r="291190" customFormat="1" x14ac:dyDescent="0.25"/>
    <row r="291191" customFormat="1" x14ac:dyDescent="0.25"/>
    <row r="291192" customFormat="1" x14ac:dyDescent="0.25"/>
    <row r="291193" customFormat="1" x14ac:dyDescent="0.25"/>
    <row r="291194" customFormat="1" x14ac:dyDescent="0.25"/>
    <row r="291195" customFormat="1" x14ac:dyDescent="0.25"/>
    <row r="291196" customFormat="1" x14ac:dyDescent="0.25"/>
    <row r="291197" customFormat="1" x14ac:dyDescent="0.25"/>
    <row r="291198" customFormat="1" x14ac:dyDescent="0.25"/>
    <row r="291199" customFormat="1" x14ac:dyDescent="0.25"/>
    <row r="291200" customFormat="1" x14ac:dyDescent="0.25"/>
    <row r="291201" customFormat="1" x14ac:dyDescent="0.25"/>
    <row r="291202" customFormat="1" x14ac:dyDescent="0.25"/>
    <row r="291203" customFormat="1" x14ac:dyDescent="0.25"/>
    <row r="291204" customFormat="1" x14ac:dyDescent="0.25"/>
    <row r="291205" customFormat="1" x14ac:dyDescent="0.25"/>
    <row r="291206" customFormat="1" x14ac:dyDescent="0.25"/>
    <row r="291207" customFormat="1" x14ac:dyDescent="0.25"/>
    <row r="291208" customFormat="1" x14ac:dyDescent="0.25"/>
    <row r="291209" customFormat="1" x14ac:dyDescent="0.25"/>
    <row r="291210" customFormat="1" x14ac:dyDescent="0.25"/>
    <row r="291211" customFormat="1" x14ac:dyDescent="0.25"/>
    <row r="291212" customFormat="1" x14ac:dyDescent="0.25"/>
    <row r="291213" customFormat="1" x14ac:dyDescent="0.25"/>
    <row r="291214" customFormat="1" x14ac:dyDescent="0.25"/>
    <row r="291215" customFormat="1" x14ac:dyDescent="0.25"/>
    <row r="291216" customFormat="1" x14ac:dyDescent="0.25"/>
    <row r="291217" customFormat="1" x14ac:dyDescent="0.25"/>
    <row r="291218" customFormat="1" x14ac:dyDescent="0.25"/>
    <row r="291219" customFormat="1" x14ac:dyDescent="0.25"/>
    <row r="291220" customFormat="1" x14ac:dyDescent="0.25"/>
    <row r="291221" customFormat="1" x14ac:dyDescent="0.25"/>
    <row r="291222" customFormat="1" x14ac:dyDescent="0.25"/>
    <row r="291223" customFormat="1" x14ac:dyDescent="0.25"/>
    <row r="291224" customFormat="1" x14ac:dyDescent="0.25"/>
    <row r="291225" customFormat="1" x14ac:dyDescent="0.25"/>
    <row r="291226" customFormat="1" x14ac:dyDescent="0.25"/>
    <row r="291227" customFormat="1" x14ac:dyDescent="0.25"/>
    <row r="291228" customFormat="1" x14ac:dyDescent="0.25"/>
    <row r="291229" customFormat="1" x14ac:dyDescent="0.25"/>
    <row r="291230" customFormat="1" x14ac:dyDescent="0.25"/>
    <row r="291231" customFormat="1" x14ac:dyDescent="0.25"/>
    <row r="291232" customFormat="1" x14ac:dyDescent="0.25"/>
    <row r="291233" customFormat="1" x14ac:dyDescent="0.25"/>
    <row r="291234" customFormat="1" x14ac:dyDescent="0.25"/>
    <row r="291235" customFormat="1" x14ac:dyDescent="0.25"/>
    <row r="291236" customFormat="1" x14ac:dyDescent="0.25"/>
    <row r="291237" customFormat="1" x14ac:dyDescent="0.25"/>
    <row r="291238" customFormat="1" x14ac:dyDescent="0.25"/>
    <row r="291239" customFormat="1" x14ac:dyDescent="0.25"/>
    <row r="291240" customFormat="1" x14ac:dyDescent="0.25"/>
    <row r="291241" customFormat="1" x14ac:dyDescent="0.25"/>
    <row r="291242" customFormat="1" x14ac:dyDescent="0.25"/>
    <row r="291243" customFormat="1" x14ac:dyDescent="0.25"/>
    <row r="291244" customFormat="1" x14ac:dyDescent="0.25"/>
    <row r="291245" customFormat="1" x14ac:dyDescent="0.25"/>
    <row r="291246" customFormat="1" x14ac:dyDescent="0.25"/>
    <row r="291247" customFormat="1" x14ac:dyDescent="0.25"/>
    <row r="291248" customFormat="1" x14ac:dyDescent="0.25"/>
    <row r="291249" customFormat="1" x14ac:dyDescent="0.25"/>
    <row r="291250" customFormat="1" x14ac:dyDescent="0.25"/>
    <row r="291251" customFormat="1" x14ac:dyDescent="0.25"/>
    <row r="291252" customFormat="1" x14ac:dyDescent="0.25"/>
    <row r="291253" customFormat="1" x14ac:dyDescent="0.25"/>
    <row r="291254" customFormat="1" x14ac:dyDescent="0.25"/>
    <row r="291255" customFormat="1" x14ac:dyDescent="0.25"/>
    <row r="291256" customFormat="1" x14ac:dyDescent="0.25"/>
    <row r="291257" customFormat="1" x14ac:dyDescent="0.25"/>
    <row r="291258" customFormat="1" x14ac:dyDescent="0.25"/>
    <row r="291259" customFormat="1" x14ac:dyDescent="0.25"/>
    <row r="291260" customFormat="1" x14ac:dyDescent="0.25"/>
    <row r="291261" customFormat="1" x14ac:dyDescent="0.25"/>
    <row r="291262" customFormat="1" x14ac:dyDescent="0.25"/>
    <row r="291263" customFormat="1" x14ac:dyDescent="0.25"/>
    <row r="291264" customFormat="1" x14ac:dyDescent="0.25"/>
    <row r="291265" customFormat="1" x14ac:dyDescent="0.25"/>
    <row r="291266" customFormat="1" x14ac:dyDescent="0.25"/>
    <row r="291267" customFormat="1" x14ac:dyDescent="0.25"/>
    <row r="291268" customFormat="1" x14ac:dyDescent="0.25"/>
    <row r="291269" customFormat="1" x14ac:dyDescent="0.25"/>
    <row r="291270" customFormat="1" x14ac:dyDescent="0.25"/>
    <row r="291271" customFormat="1" x14ac:dyDescent="0.25"/>
    <row r="291272" customFormat="1" x14ac:dyDescent="0.25"/>
    <row r="291273" customFormat="1" x14ac:dyDescent="0.25"/>
    <row r="291274" customFormat="1" x14ac:dyDescent="0.25"/>
    <row r="291275" customFormat="1" x14ac:dyDescent="0.25"/>
    <row r="291276" customFormat="1" x14ac:dyDescent="0.25"/>
    <row r="291277" customFormat="1" x14ac:dyDescent="0.25"/>
    <row r="291278" customFormat="1" x14ac:dyDescent="0.25"/>
    <row r="291279" customFormat="1" x14ac:dyDescent="0.25"/>
    <row r="291280" customFormat="1" x14ac:dyDescent="0.25"/>
    <row r="291281" customFormat="1" x14ac:dyDescent="0.25"/>
    <row r="291282" customFormat="1" x14ac:dyDescent="0.25"/>
    <row r="291283" customFormat="1" x14ac:dyDescent="0.25"/>
    <row r="291284" customFormat="1" x14ac:dyDescent="0.25"/>
    <row r="291285" customFormat="1" x14ac:dyDescent="0.25"/>
    <row r="291286" customFormat="1" x14ac:dyDescent="0.25"/>
    <row r="291287" customFormat="1" x14ac:dyDescent="0.25"/>
    <row r="291288" customFormat="1" x14ac:dyDescent="0.25"/>
    <row r="291289" customFormat="1" x14ac:dyDescent="0.25"/>
    <row r="291290" customFormat="1" x14ac:dyDescent="0.25"/>
    <row r="291291" customFormat="1" x14ac:dyDescent="0.25"/>
    <row r="291292" customFormat="1" x14ac:dyDescent="0.25"/>
    <row r="291293" customFormat="1" x14ac:dyDescent="0.25"/>
    <row r="291294" customFormat="1" x14ac:dyDescent="0.25"/>
    <row r="291295" customFormat="1" x14ac:dyDescent="0.25"/>
    <row r="291296" customFormat="1" x14ac:dyDescent="0.25"/>
    <row r="291297" customFormat="1" x14ac:dyDescent="0.25"/>
    <row r="291298" customFormat="1" x14ac:dyDescent="0.25"/>
    <row r="291299" customFormat="1" x14ac:dyDescent="0.25"/>
    <row r="291300" customFormat="1" x14ac:dyDescent="0.25"/>
    <row r="291301" customFormat="1" x14ac:dyDescent="0.25"/>
    <row r="291302" customFormat="1" x14ac:dyDescent="0.25"/>
    <row r="291303" customFormat="1" x14ac:dyDescent="0.25"/>
    <row r="291304" customFormat="1" x14ac:dyDescent="0.25"/>
    <row r="291305" customFormat="1" x14ac:dyDescent="0.25"/>
    <row r="291306" customFormat="1" x14ac:dyDescent="0.25"/>
    <row r="291307" customFormat="1" x14ac:dyDescent="0.25"/>
    <row r="291308" customFormat="1" x14ac:dyDescent="0.25"/>
    <row r="291309" customFormat="1" x14ac:dyDescent="0.25"/>
    <row r="291310" customFormat="1" x14ac:dyDescent="0.25"/>
    <row r="291311" customFormat="1" x14ac:dyDescent="0.25"/>
    <row r="291312" customFormat="1" x14ac:dyDescent="0.25"/>
    <row r="291313" customFormat="1" x14ac:dyDescent="0.25"/>
    <row r="291314" customFormat="1" x14ac:dyDescent="0.25"/>
    <row r="291315" customFormat="1" x14ac:dyDescent="0.25"/>
    <row r="291316" customFormat="1" x14ac:dyDescent="0.25"/>
    <row r="291317" customFormat="1" x14ac:dyDescent="0.25"/>
    <row r="291318" customFormat="1" x14ac:dyDescent="0.25"/>
    <row r="291319" customFormat="1" x14ac:dyDescent="0.25"/>
    <row r="291320" customFormat="1" x14ac:dyDescent="0.25"/>
    <row r="291321" customFormat="1" x14ac:dyDescent="0.25"/>
    <row r="291322" customFormat="1" x14ac:dyDescent="0.25"/>
    <row r="291323" customFormat="1" x14ac:dyDescent="0.25"/>
    <row r="291324" customFormat="1" x14ac:dyDescent="0.25"/>
    <row r="291325" customFormat="1" x14ac:dyDescent="0.25"/>
    <row r="291326" customFormat="1" x14ac:dyDescent="0.25"/>
    <row r="291327" customFormat="1" x14ac:dyDescent="0.25"/>
    <row r="291328" customFormat="1" x14ac:dyDescent="0.25"/>
    <row r="291329" customFormat="1" x14ac:dyDescent="0.25"/>
    <row r="291330" customFormat="1" x14ac:dyDescent="0.25"/>
    <row r="291331" customFormat="1" x14ac:dyDescent="0.25"/>
    <row r="291332" customFormat="1" x14ac:dyDescent="0.25"/>
    <row r="291333" customFormat="1" x14ac:dyDescent="0.25"/>
    <row r="291334" customFormat="1" x14ac:dyDescent="0.25"/>
    <row r="291335" customFormat="1" x14ac:dyDescent="0.25"/>
    <row r="291336" customFormat="1" x14ac:dyDescent="0.25"/>
    <row r="291337" customFormat="1" x14ac:dyDescent="0.25"/>
    <row r="291338" customFormat="1" x14ac:dyDescent="0.25"/>
    <row r="291339" customFormat="1" x14ac:dyDescent="0.25"/>
    <row r="291340" customFormat="1" x14ac:dyDescent="0.25"/>
    <row r="291341" customFormat="1" x14ac:dyDescent="0.25"/>
    <row r="291342" customFormat="1" x14ac:dyDescent="0.25"/>
    <row r="291343" customFormat="1" x14ac:dyDescent="0.25"/>
    <row r="291344" customFormat="1" x14ac:dyDescent="0.25"/>
    <row r="291345" customFormat="1" x14ac:dyDescent="0.25"/>
    <row r="291346" customFormat="1" x14ac:dyDescent="0.25"/>
    <row r="291347" customFormat="1" x14ac:dyDescent="0.25"/>
    <row r="291348" customFormat="1" x14ac:dyDescent="0.25"/>
    <row r="291349" customFormat="1" x14ac:dyDescent="0.25"/>
    <row r="291350" customFormat="1" x14ac:dyDescent="0.25"/>
    <row r="291351" customFormat="1" x14ac:dyDescent="0.25"/>
    <row r="291352" customFormat="1" x14ac:dyDescent="0.25"/>
    <row r="291353" customFormat="1" x14ac:dyDescent="0.25"/>
    <row r="291354" customFormat="1" x14ac:dyDescent="0.25"/>
    <row r="291355" customFormat="1" x14ac:dyDescent="0.25"/>
    <row r="291356" customFormat="1" x14ac:dyDescent="0.25"/>
    <row r="291357" customFormat="1" x14ac:dyDescent="0.25"/>
    <row r="291358" customFormat="1" x14ac:dyDescent="0.25"/>
    <row r="291359" customFormat="1" x14ac:dyDescent="0.25"/>
    <row r="291360" customFormat="1" x14ac:dyDescent="0.25"/>
    <row r="291361" customFormat="1" x14ac:dyDescent="0.25"/>
    <row r="291362" customFormat="1" x14ac:dyDescent="0.25"/>
    <row r="291363" customFormat="1" x14ac:dyDescent="0.25"/>
    <row r="291364" customFormat="1" x14ac:dyDescent="0.25"/>
    <row r="291365" customFormat="1" x14ac:dyDescent="0.25"/>
    <row r="291366" customFormat="1" x14ac:dyDescent="0.25"/>
    <row r="291367" customFormat="1" x14ac:dyDescent="0.25"/>
    <row r="291368" customFormat="1" x14ac:dyDescent="0.25"/>
    <row r="291369" customFormat="1" x14ac:dyDescent="0.25"/>
    <row r="291370" customFormat="1" x14ac:dyDescent="0.25"/>
    <row r="291371" customFormat="1" x14ac:dyDescent="0.25"/>
    <row r="291372" customFormat="1" x14ac:dyDescent="0.25"/>
    <row r="291373" customFormat="1" x14ac:dyDescent="0.25"/>
    <row r="291374" customFormat="1" x14ac:dyDescent="0.25"/>
    <row r="291375" customFormat="1" x14ac:dyDescent="0.25"/>
    <row r="291376" customFormat="1" x14ac:dyDescent="0.25"/>
    <row r="291377" customFormat="1" x14ac:dyDescent="0.25"/>
    <row r="291378" customFormat="1" x14ac:dyDescent="0.25"/>
    <row r="291379" customFormat="1" x14ac:dyDescent="0.25"/>
    <row r="291380" customFormat="1" x14ac:dyDescent="0.25"/>
    <row r="291381" customFormat="1" x14ac:dyDescent="0.25"/>
    <row r="291382" customFormat="1" x14ac:dyDescent="0.25"/>
    <row r="291383" customFormat="1" x14ac:dyDescent="0.25"/>
    <row r="291384" customFormat="1" x14ac:dyDescent="0.25"/>
    <row r="291385" customFormat="1" x14ac:dyDescent="0.25"/>
    <row r="291386" customFormat="1" x14ac:dyDescent="0.25"/>
    <row r="291387" customFormat="1" x14ac:dyDescent="0.25"/>
    <row r="291388" customFormat="1" x14ac:dyDescent="0.25"/>
    <row r="291389" customFormat="1" x14ac:dyDescent="0.25"/>
    <row r="291390" customFormat="1" x14ac:dyDescent="0.25"/>
    <row r="291391" customFormat="1" x14ac:dyDescent="0.25"/>
    <row r="291392" customFormat="1" x14ac:dyDescent="0.25"/>
    <row r="291393" customFormat="1" x14ac:dyDescent="0.25"/>
    <row r="291394" customFormat="1" x14ac:dyDescent="0.25"/>
    <row r="291395" customFormat="1" x14ac:dyDescent="0.25"/>
    <row r="291396" customFormat="1" x14ac:dyDescent="0.25"/>
    <row r="291397" customFormat="1" x14ac:dyDescent="0.25"/>
    <row r="291398" customFormat="1" x14ac:dyDescent="0.25"/>
    <row r="291399" customFormat="1" x14ac:dyDescent="0.25"/>
    <row r="291400" customFormat="1" x14ac:dyDescent="0.25"/>
    <row r="291401" customFormat="1" x14ac:dyDescent="0.25"/>
    <row r="291402" customFormat="1" x14ac:dyDescent="0.25"/>
    <row r="291403" customFormat="1" x14ac:dyDescent="0.25"/>
    <row r="291404" customFormat="1" x14ac:dyDescent="0.25"/>
    <row r="291405" customFormat="1" x14ac:dyDescent="0.25"/>
    <row r="291406" customFormat="1" x14ac:dyDescent="0.25"/>
    <row r="291407" customFormat="1" x14ac:dyDescent="0.25"/>
    <row r="291408" customFormat="1" x14ac:dyDescent="0.25"/>
    <row r="291409" customFormat="1" x14ac:dyDescent="0.25"/>
    <row r="291410" customFormat="1" x14ac:dyDescent="0.25"/>
    <row r="291411" customFormat="1" x14ac:dyDescent="0.25"/>
    <row r="291412" customFormat="1" x14ac:dyDescent="0.25"/>
    <row r="291413" customFormat="1" x14ac:dyDescent="0.25"/>
    <row r="291414" customFormat="1" x14ac:dyDescent="0.25"/>
    <row r="291415" customFormat="1" x14ac:dyDescent="0.25"/>
    <row r="291416" customFormat="1" x14ac:dyDescent="0.25"/>
    <row r="291417" customFormat="1" x14ac:dyDescent="0.25"/>
    <row r="291418" customFormat="1" x14ac:dyDescent="0.25"/>
    <row r="291419" customFormat="1" x14ac:dyDescent="0.25"/>
    <row r="291420" customFormat="1" x14ac:dyDescent="0.25"/>
    <row r="291421" customFormat="1" x14ac:dyDescent="0.25"/>
    <row r="291422" customFormat="1" x14ac:dyDescent="0.25"/>
    <row r="291423" customFormat="1" x14ac:dyDescent="0.25"/>
    <row r="291424" customFormat="1" x14ac:dyDescent="0.25"/>
    <row r="291425" customFormat="1" x14ac:dyDescent="0.25"/>
    <row r="291426" customFormat="1" x14ac:dyDescent="0.25"/>
    <row r="291427" customFormat="1" x14ac:dyDescent="0.25"/>
    <row r="291428" customFormat="1" x14ac:dyDescent="0.25"/>
    <row r="291429" customFormat="1" x14ac:dyDescent="0.25"/>
    <row r="291430" customFormat="1" x14ac:dyDescent="0.25"/>
    <row r="291431" customFormat="1" x14ac:dyDescent="0.25"/>
    <row r="291432" customFormat="1" x14ac:dyDescent="0.25"/>
    <row r="291433" customFormat="1" x14ac:dyDescent="0.25"/>
    <row r="291434" customFormat="1" x14ac:dyDescent="0.25"/>
    <row r="291435" customFormat="1" x14ac:dyDescent="0.25"/>
    <row r="291436" customFormat="1" x14ac:dyDescent="0.25"/>
    <row r="291437" customFormat="1" x14ac:dyDescent="0.25"/>
    <row r="291438" customFormat="1" x14ac:dyDescent="0.25"/>
    <row r="291439" customFormat="1" x14ac:dyDescent="0.25"/>
    <row r="291440" customFormat="1" x14ac:dyDescent="0.25"/>
    <row r="291441" customFormat="1" x14ac:dyDescent="0.25"/>
    <row r="291442" customFormat="1" x14ac:dyDescent="0.25"/>
    <row r="291443" customFormat="1" x14ac:dyDescent="0.25"/>
    <row r="291444" customFormat="1" x14ac:dyDescent="0.25"/>
    <row r="291445" customFormat="1" x14ac:dyDescent="0.25"/>
    <row r="291446" customFormat="1" x14ac:dyDescent="0.25"/>
    <row r="291447" customFormat="1" x14ac:dyDescent="0.25"/>
    <row r="291448" customFormat="1" x14ac:dyDescent="0.25"/>
    <row r="291449" customFormat="1" x14ac:dyDescent="0.25"/>
    <row r="291450" customFormat="1" x14ac:dyDescent="0.25"/>
    <row r="291451" customFormat="1" x14ac:dyDescent="0.25"/>
    <row r="291452" customFormat="1" x14ac:dyDescent="0.25"/>
    <row r="291453" customFormat="1" x14ac:dyDescent="0.25"/>
    <row r="291454" customFormat="1" x14ac:dyDescent="0.25"/>
    <row r="291455" customFormat="1" x14ac:dyDescent="0.25"/>
    <row r="291456" customFormat="1" x14ac:dyDescent="0.25"/>
    <row r="291457" customFormat="1" x14ac:dyDescent="0.25"/>
    <row r="291458" customFormat="1" x14ac:dyDescent="0.25"/>
    <row r="291459" customFormat="1" x14ac:dyDescent="0.25"/>
    <row r="291460" customFormat="1" x14ac:dyDescent="0.25"/>
    <row r="291461" customFormat="1" x14ac:dyDescent="0.25"/>
    <row r="291462" customFormat="1" x14ac:dyDescent="0.25"/>
    <row r="291463" customFormat="1" x14ac:dyDescent="0.25"/>
    <row r="291464" customFormat="1" x14ac:dyDescent="0.25"/>
    <row r="291465" customFormat="1" x14ac:dyDescent="0.25"/>
    <row r="291466" customFormat="1" x14ac:dyDescent="0.25"/>
    <row r="291467" customFormat="1" x14ac:dyDescent="0.25"/>
    <row r="291468" customFormat="1" x14ac:dyDescent="0.25"/>
    <row r="291469" customFormat="1" x14ac:dyDescent="0.25"/>
    <row r="291470" customFormat="1" x14ac:dyDescent="0.25"/>
    <row r="291471" customFormat="1" x14ac:dyDescent="0.25"/>
    <row r="291472" customFormat="1" x14ac:dyDescent="0.25"/>
    <row r="291473" customFormat="1" x14ac:dyDescent="0.25"/>
    <row r="291474" customFormat="1" x14ac:dyDescent="0.25"/>
    <row r="291475" customFormat="1" x14ac:dyDescent="0.25"/>
    <row r="291476" customFormat="1" x14ac:dyDescent="0.25"/>
    <row r="291477" customFormat="1" x14ac:dyDescent="0.25"/>
    <row r="291478" customFormat="1" x14ac:dyDescent="0.25"/>
    <row r="291479" customFormat="1" x14ac:dyDescent="0.25"/>
    <row r="291480" customFormat="1" x14ac:dyDescent="0.25"/>
    <row r="291481" customFormat="1" x14ac:dyDescent="0.25"/>
    <row r="291482" customFormat="1" x14ac:dyDescent="0.25"/>
    <row r="291483" customFormat="1" x14ac:dyDescent="0.25"/>
    <row r="291484" customFormat="1" x14ac:dyDescent="0.25"/>
    <row r="291485" customFormat="1" x14ac:dyDescent="0.25"/>
    <row r="291486" customFormat="1" x14ac:dyDescent="0.25"/>
    <row r="291487" customFormat="1" x14ac:dyDescent="0.25"/>
    <row r="291488" customFormat="1" x14ac:dyDescent="0.25"/>
    <row r="291489" customFormat="1" x14ac:dyDescent="0.25"/>
    <row r="291490" customFormat="1" x14ac:dyDescent="0.25"/>
    <row r="291491" customFormat="1" x14ac:dyDescent="0.25"/>
    <row r="291492" customFormat="1" x14ac:dyDescent="0.25"/>
    <row r="291493" customFormat="1" x14ac:dyDescent="0.25"/>
    <row r="291494" customFormat="1" x14ac:dyDescent="0.25"/>
    <row r="291495" customFormat="1" x14ac:dyDescent="0.25"/>
    <row r="291496" customFormat="1" x14ac:dyDescent="0.25"/>
    <row r="291497" customFormat="1" x14ac:dyDescent="0.25"/>
    <row r="291498" customFormat="1" x14ac:dyDescent="0.25"/>
    <row r="291499" customFormat="1" x14ac:dyDescent="0.25"/>
    <row r="291500" customFormat="1" x14ac:dyDescent="0.25"/>
    <row r="291501" customFormat="1" x14ac:dyDescent="0.25"/>
    <row r="291502" customFormat="1" x14ac:dyDescent="0.25"/>
    <row r="291503" customFormat="1" x14ac:dyDescent="0.25"/>
    <row r="291504" customFormat="1" x14ac:dyDescent="0.25"/>
    <row r="291505" customFormat="1" x14ac:dyDescent="0.25"/>
    <row r="291506" customFormat="1" x14ac:dyDescent="0.25"/>
    <row r="291507" customFormat="1" x14ac:dyDescent="0.25"/>
    <row r="291508" customFormat="1" x14ac:dyDescent="0.25"/>
    <row r="291509" customFormat="1" x14ac:dyDescent="0.25"/>
    <row r="291510" customFormat="1" x14ac:dyDescent="0.25"/>
    <row r="291511" customFormat="1" x14ac:dyDescent="0.25"/>
    <row r="291512" customFormat="1" x14ac:dyDescent="0.25"/>
    <row r="291513" customFormat="1" x14ac:dyDescent="0.25"/>
    <row r="291514" customFormat="1" x14ac:dyDescent="0.25"/>
    <row r="291515" customFormat="1" x14ac:dyDescent="0.25"/>
    <row r="291516" customFormat="1" x14ac:dyDescent="0.25"/>
    <row r="291517" customFormat="1" x14ac:dyDescent="0.25"/>
    <row r="291518" customFormat="1" x14ac:dyDescent="0.25"/>
    <row r="291519" customFormat="1" x14ac:dyDescent="0.25"/>
    <row r="291520" customFormat="1" x14ac:dyDescent="0.25"/>
    <row r="291521" customFormat="1" x14ac:dyDescent="0.25"/>
    <row r="291522" customFormat="1" x14ac:dyDescent="0.25"/>
    <row r="291523" customFormat="1" x14ac:dyDescent="0.25"/>
    <row r="291524" customFormat="1" x14ac:dyDescent="0.25"/>
    <row r="291525" customFormat="1" x14ac:dyDescent="0.25"/>
    <row r="291526" customFormat="1" x14ac:dyDescent="0.25"/>
    <row r="291527" customFormat="1" x14ac:dyDescent="0.25"/>
    <row r="291528" customFormat="1" x14ac:dyDescent="0.25"/>
    <row r="291529" customFormat="1" x14ac:dyDescent="0.25"/>
    <row r="291530" customFormat="1" x14ac:dyDescent="0.25"/>
    <row r="291531" customFormat="1" x14ac:dyDescent="0.25"/>
    <row r="291532" customFormat="1" x14ac:dyDescent="0.25"/>
    <row r="291533" customFormat="1" x14ac:dyDescent="0.25"/>
    <row r="291534" customFormat="1" x14ac:dyDescent="0.25"/>
    <row r="291535" customFormat="1" x14ac:dyDescent="0.25"/>
    <row r="291536" customFormat="1" x14ac:dyDescent="0.25"/>
    <row r="291537" customFormat="1" x14ac:dyDescent="0.25"/>
    <row r="291538" customFormat="1" x14ac:dyDescent="0.25"/>
    <row r="291539" customFormat="1" x14ac:dyDescent="0.25"/>
    <row r="291540" customFormat="1" x14ac:dyDescent="0.25"/>
    <row r="291541" customFormat="1" x14ac:dyDescent="0.25"/>
    <row r="291542" customFormat="1" x14ac:dyDescent="0.25"/>
    <row r="291543" customFormat="1" x14ac:dyDescent="0.25"/>
    <row r="291544" customFormat="1" x14ac:dyDescent="0.25"/>
    <row r="291545" customFormat="1" x14ac:dyDescent="0.25"/>
    <row r="291546" customFormat="1" x14ac:dyDescent="0.25"/>
    <row r="291547" customFormat="1" x14ac:dyDescent="0.25"/>
    <row r="291548" customFormat="1" x14ac:dyDescent="0.25"/>
    <row r="291549" customFormat="1" x14ac:dyDescent="0.25"/>
    <row r="291550" customFormat="1" x14ac:dyDescent="0.25"/>
    <row r="291551" customFormat="1" x14ac:dyDescent="0.25"/>
    <row r="291552" customFormat="1" x14ac:dyDescent="0.25"/>
    <row r="291553" customFormat="1" x14ac:dyDescent="0.25"/>
    <row r="291554" customFormat="1" x14ac:dyDescent="0.25"/>
    <row r="291555" customFormat="1" x14ac:dyDescent="0.25"/>
    <row r="291556" customFormat="1" x14ac:dyDescent="0.25"/>
    <row r="291557" customFormat="1" x14ac:dyDescent="0.25"/>
    <row r="291558" customFormat="1" x14ac:dyDescent="0.25"/>
    <row r="291559" customFormat="1" x14ac:dyDescent="0.25"/>
    <row r="291560" customFormat="1" x14ac:dyDescent="0.25"/>
    <row r="291561" customFormat="1" x14ac:dyDescent="0.25"/>
    <row r="291562" customFormat="1" x14ac:dyDescent="0.25"/>
    <row r="291563" customFormat="1" x14ac:dyDescent="0.25"/>
    <row r="291564" customFormat="1" x14ac:dyDescent="0.25"/>
    <row r="291565" customFormat="1" x14ac:dyDescent="0.25"/>
    <row r="291566" customFormat="1" x14ac:dyDescent="0.25"/>
    <row r="291567" customFormat="1" x14ac:dyDescent="0.25"/>
    <row r="291568" customFormat="1" x14ac:dyDescent="0.25"/>
    <row r="291569" customFormat="1" x14ac:dyDescent="0.25"/>
    <row r="291570" customFormat="1" x14ac:dyDescent="0.25"/>
    <row r="291571" customFormat="1" x14ac:dyDescent="0.25"/>
    <row r="291572" customFormat="1" x14ac:dyDescent="0.25"/>
    <row r="291573" customFormat="1" x14ac:dyDescent="0.25"/>
    <row r="291574" customFormat="1" x14ac:dyDescent="0.25"/>
    <row r="291575" customFormat="1" x14ac:dyDescent="0.25"/>
    <row r="291576" customFormat="1" x14ac:dyDescent="0.25"/>
    <row r="291577" customFormat="1" x14ac:dyDescent="0.25"/>
    <row r="291578" customFormat="1" x14ac:dyDescent="0.25"/>
    <row r="291579" customFormat="1" x14ac:dyDescent="0.25"/>
    <row r="291580" customFormat="1" x14ac:dyDescent="0.25"/>
    <row r="291581" customFormat="1" x14ac:dyDescent="0.25"/>
    <row r="291582" customFormat="1" x14ac:dyDescent="0.25"/>
    <row r="291583" customFormat="1" x14ac:dyDescent="0.25"/>
    <row r="291584" customFormat="1" x14ac:dyDescent="0.25"/>
    <row r="291585" customFormat="1" x14ac:dyDescent="0.25"/>
    <row r="291586" customFormat="1" x14ac:dyDescent="0.25"/>
    <row r="291587" customFormat="1" x14ac:dyDescent="0.25"/>
    <row r="291588" customFormat="1" x14ac:dyDescent="0.25"/>
    <row r="291589" customFormat="1" x14ac:dyDescent="0.25"/>
    <row r="291590" customFormat="1" x14ac:dyDescent="0.25"/>
    <row r="291591" customFormat="1" x14ac:dyDescent="0.25"/>
    <row r="291592" customFormat="1" x14ac:dyDescent="0.25"/>
    <row r="291593" customFormat="1" x14ac:dyDescent="0.25"/>
    <row r="291594" customFormat="1" x14ac:dyDescent="0.25"/>
    <row r="291595" customFormat="1" x14ac:dyDescent="0.25"/>
    <row r="291596" customFormat="1" x14ac:dyDescent="0.25"/>
    <row r="291597" customFormat="1" x14ac:dyDescent="0.25"/>
    <row r="291598" customFormat="1" x14ac:dyDescent="0.25"/>
    <row r="291599" customFormat="1" x14ac:dyDescent="0.25"/>
    <row r="291600" customFormat="1" x14ac:dyDescent="0.25"/>
    <row r="291601" customFormat="1" x14ac:dyDescent="0.25"/>
    <row r="291602" customFormat="1" x14ac:dyDescent="0.25"/>
    <row r="291603" customFormat="1" x14ac:dyDescent="0.25"/>
    <row r="291604" customFormat="1" x14ac:dyDescent="0.25"/>
    <row r="291605" customFormat="1" x14ac:dyDescent="0.25"/>
    <row r="291606" customFormat="1" x14ac:dyDescent="0.25"/>
    <row r="291607" customFormat="1" x14ac:dyDescent="0.25"/>
    <row r="291608" customFormat="1" x14ac:dyDescent="0.25"/>
    <row r="291609" customFormat="1" x14ac:dyDescent="0.25"/>
    <row r="291610" customFormat="1" x14ac:dyDescent="0.25"/>
    <row r="291611" customFormat="1" x14ac:dyDescent="0.25"/>
    <row r="291612" customFormat="1" x14ac:dyDescent="0.25"/>
    <row r="291613" customFormat="1" x14ac:dyDescent="0.25"/>
    <row r="291614" customFormat="1" x14ac:dyDescent="0.25"/>
    <row r="291615" customFormat="1" x14ac:dyDescent="0.25"/>
    <row r="291616" customFormat="1" x14ac:dyDescent="0.25"/>
    <row r="291617" customFormat="1" x14ac:dyDescent="0.25"/>
    <row r="291618" customFormat="1" x14ac:dyDescent="0.25"/>
    <row r="291619" customFormat="1" x14ac:dyDescent="0.25"/>
    <row r="291620" customFormat="1" x14ac:dyDescent="0.25"/>
    <row r="291621" customFormat="1" x14ac:dyDescent="0.25"/>
    <row r="291622" customFormat="1" x14ac:dyDescent="0.25"/>
    <row r="291623" customFormat="1" x14ac:dyDescent="0.25"/>
    <row r="291624" customFormat="1" x14ac:dyDescent="0.25"/>
    <row r="291625" customFormat="1" x14ac:dyDescent="0.25"/>
    <row r="291626" customFormat="1" x14ac:dyDescent="0.25"/>
    <row r="291627" customFormat="1" x14ac:dyDescent="0.25"/>
    <row r="291628" customFormat="1" x14ac:dyDescent="0.25"/>
    <row r="291629" customFormat="1" x14ac:dyDescent="0.25"/>
    <row r="291630" customFormat="1" x14ac:dyDescent="0.25"/>
    <row r="291631" customFormat="1" x14ac:dyDescent="0.25"/>
    <row r="291632" customFormat="1" x14ac:dyDescent="0.25"/>
    <row r="291633" customFormat="1" x14ac:dyDescent="0.25"/>
    <row r="291634" customFormat="1" x14ac:dyDescent="0.25"/>
    <row r="291635" customFormat="1" x14ac:dyDescent="0.25"/>
    <row r="291636" customFormat="1" x14ac:dyDescent="0.25"/>
    <row r="291637" customFormat="1" x14ac:dyDescent="0.25"/>
    <row r="291638" customFormat="1" x14ac:dyDescent="0.25"/>
    <row r="291639" customFormat="1" x14ac:dyDescent="0.25"/>
    <row r="291640" customFormat="1" x14ac:dyDescent="0.25"/>
    <row r="291641" customFormat="1" x14ac:dyDescent="0.25"/>
    <row r="291642" customFormat="1" x14ac:dyDescent="0.25"/>
    <row r="291643" customFormat="1" x14ac:dyDescent="0.25"/>
    <row r="291644" customFormat="1" x14ac:dyDescent="0.25"/>
    <row r="291645" customFormat="1" x14ac:dyDescent="0.25"/>
    <row r="291646" customFormat="1" x14ac:dyDescent="0.25"/>
    <row r="291647" customFormat="1" x14ac:dyDescent="0.25"/>
    <row r="291648" customFormat="1" x14ac:dyDescent="0.25"/>
    <row r="291649" customFormat="1" x14ac:dyDescent="0.25"/>
    <row r="291650" customFormat="1" x14ac:dyDescent="0.25"/>
    <row r="291651" customFormat="1" x14ac:dyDescent="0.25"/>
    <row r="291652" customFormat="1" x14ac:dyDescent="0.25"/>
    <row r="291653" customFormat="1" x14ac:dyDescent="0.25"/>
    <row r="291654" customFormat="1" x14ac:dyDescent="0.25"/>
    <row r="291655" customFormat="1" x14ac:dyDescent="0.25"/>
    <row r="291656" customFormat="1" x14ac:dyDescent="0.25"/>
    <row r="291657" customFormat="1" x14ac:dyDescent="0.25"/>
    <row r="291658" customFormat="1" x14ac:dyDescent="0.25"/>
    <row r="291659" customFormat="1" x14ac:dyDescent="0.25"/>
    <row r="291660" customFormat="1" x14ac:dyDescent="0.25"/>
    <row r="291661" customFormat="1" x14ac:dyDescent="0.25"/>
    <row r="291662" customFormat="1" x14ac:dyDescent="0.25"/>
    <row r="291663" customFormat="1" x14ac:dyDescent="0.25"/>
    <row r="291664" customFormat="1" x14ac:dyDescent="0.25"/>
    <row r="291665" customFormat="1" x14ac:dyDescent="0.25"/>
    <row r="291666" customFormat="1" x14ac:dyDescent="0.25"/>
    <row r="291667" customFormat="1" x14ac:dyDescent="0.25"/>
    <row r="291668" customFormat="1" x14ac:dyDescent="0.25"/>
    <row r="291669" customFormat="1" x14ac:dyDescent="0.25"/>
    <row r="291670" customFormat="1" x14ac:dyDescent="0.25"/>
    <row r="291671" customFormat="1" x14ac:dyDescent="0.25"/>
    <row r="291672" customFormat="1" x14ac:dyDescent="0.25"/>
    <row r="291673" customFormat="1" x14ac:dyDescent="0.25"/>
    <row r="291674" customFormat="1" x14ac:dyDescent="0.25"/>
    <row r="291675" customFormat="1" x14ac:dyDescent="0.25"/>
    <row r="291676" customFormat="1" x14ac:dyDescent="0.25"/>
    <row r="291677" customFormat="1" x14ac:dyDescent="0.25"/>
    <row r="291678" customFormat="1" x14ac:dyDescent="0.25"/>
    <row r="291679" customFormat="1" x14ac:dyDescent="0.25"/>
    <row r="291680" customFormat="1" x14ac:dyDescent="0.25"/>
    <row r="291681" customFormat="1" x14ac:dyDescent="0.25"/>
    <row r="291682" customFormat="1" x14ac:dyDescent="0.25"/>
    <row r="291683" customFormat="1" x14ac:dyDescent="0.25"/>
    <row r="291684" customFormat="1" x14ac:dyDescent="0.25"/>
    <row r="291685" customFormat="1" x14ac:dyDescent="0.25"/>
    <row r="291686" customFormat="1" x14ac:dyDescent="0.25"/>
    <row r="291687" customFormat="1" x14ac:dyDescent="0.25"/>
    <row r="291688" customFormat="1" x14ac:dyDescent="0.25"/>
    <row r="291689" customFormat="1" x14ac:dyDescent="0.25"/>
    <row r="291690" customFormat="1" x14ac:dyDescent="0.25"/>
    <row r="291691" customFormat="1" x14ac:dyDescent="0.25"/>
    <row r="291692" customFormat="1" x14ac:dyDescent="0.25"/>
    <row r="291693" customFormat="1" x14ac:dyDescent="0.25"/>
    <row r="291694" customFormat="1" x14ac:dyDescent="0.25"/>
    <row r="291695" customFormat="1" x14ac:dyDescent="0.25"/>
    <row r="291696" customFormat="1" x14ac:dyDescent="0.25"/>
    <row r="291697" customFormat="1" x14ac:dyDescent="0.25"/>
    <row r="291698" customFormat="1" x14ac:dyDescent="0.25"/>
    <row r="291699" customFormat="1" x14ac:dyDescent="0.25"/>
    <row r="291700" customFormat="1" x14ac:dyDescent="0.25"/>
    <row r="291701" customFormat="1" x14ac:dyDescent="0.25"/>
    <row r="291702" customFormat="1" x14ac:dyDescent="0.25"/>
    <row r="291703" customFormat="1" x14ac:dyDescent="0.25"/>
    <row r="291704" customFormat="1" x14ac:dyDescent="0.25"/>
    <row r="291705" customFormat="1" x14ac:dyDescent="0.25"/>
    <row r="291706" customFormat="1" x14ac:dyDescent="0.25"/>
    <row r="291707" customFormat="1" x14ac:dyDescent="0.25"/>
    <row r="291708" customFormat="1" x14ac:dyDescent="0.25"/>
    <row r="291709" customFormat="1" x14ac:dyDescent="0.25"/>
    <row r="291710" customFormat="1" x14ac:dyDescent="0.25"/>
    <row r="291711" customFormat="1" x14ac:dyDescent="0.25"/>
    <row r="291712" customFormat="1" x14ac:dyDescent="0.25"/>
    <row r="291713" customFormat="1" x14ac:dyDescent="0.25"/>
    <row r="291714" customFormat="1" x14ac:dyDescent="0.25"/>
    <row r="291715" customFormat="1" x14ac:dyDescent="0.25"/>
    <row r="291716" customFormat="1" x14ac:dyDescent="0.25"/>
    <row r="291717" customFormat="1" x14ac:dyDescent="0.25"/>
    <row r="291718" customFormat="1" x14ac:dyDescent="0.25"/>
    <row r="291719" customFormat="1" x14ac:dyDescent="0.25"/>
    <row r="291720" customFormat="1" x14ac:dyDescent="0.25"/>
    <row r="291721" customFormat="1" x14ac:dyDescent="0.25"/>
    <row r="291722" customFormat="1" x14ac:dyDescent="0.25"/>
    <row r="291723" customFormat="1" x14ac:dyDescent="0.25"/>
    <row r="291724" customFormat="1" x14ac:dyDescent="0.25"/>
    <row r="291725" customFormat="1" x14ac:dyDescent="0.25"/>
    <row r="291726" customFormat="1" x14ac:dyDescent="0.25"/>
    <row r="291727" customFormat="1" x14ac:dyDescent="0.25"/>
    <row r="291728" customFormat="1" x14ac:dyDescent="0.25"/>
    <row r="291729" customFormat="1" x14ac:dyDescent="0.25"/>
    <row r="291730" customFormat="1" x14ac:dyDescent="0.25"/>
    <row r="291731" customFormat="1" x14ac:dyDescent="0.25"/>
    <row r="291732" customFormat="1" x14ac:dyDescent="0.25"/>
    <row r="291733" customFormat="1" x14ac:dyDescent="0.25"/>
    <row r="291734" customFormat="1" x14ac:dyDescent="0.25"/>
    <row r="291735" customFormat="1" x14ac:dyDescent="0.25"/>
    <row r="291736" customFormat="1" x14ac:dyDescent="0.25"/>
    <row r="291737" customFormat="1" x14ac:dyDescent="0.25"/>
    <row r="291738" customFormat="1" x14ac:dyDescent="0.25"/>
    <row r="291739" customFormat="1" x14ac:dyDescent="0.25"/>
    <row r="291740" customFormat="1" x14ac:dyDescent="0.25"/>
    <row r="291741" customFormat="1" x14ac:dyDescent="0.25"/>
    <row r="291742" customFormat="1" x14ac:dyDescent="0.25"/>
    <row r="291743" customFormat="1" x14ac:dyDescent="0.25"/>
    <row r="291744" customFormat="1" x14ac:dyDescent="0.25"/>
    <row r="291745" customFormat="1" x14ac:dyDescent="0.25"/>
    <row r="291746" customFormat="1" x14ac:dyDescent="0.25"/>
    <row r="291747" customFormat="1" x14ac:dyDescent="0.25"/>
    <row r="291748" customFormat="1" x14ac:dyDescent="0.25"/>
    <row r="291749" customFormat="1" x14ac:dyDescent="0.25"/>
    <row r="291750" customFormat="1" x14ac:dyDescent="0.25"/>
    <row r="291751" customFormat="1" x14ac:dyDescent="0.25"/>
    <row r="291752" customFormat="1" x14ac:dyDescent="0.25"/>
    <row r="291753" customFormat="1" x14ac:dyDescent="0.25"/>
    <row r="291754" customFormat="1" x14ac:dyDescent="0.25"/>
    <row r="291755" customFormat="1" x14ac:dyDescent="0.25"/>
    <row r="291756" customFormat="1" x14ac:dyDescent="0.25"/>
    <row r="291757" customFormat="1" x14ac:dyDescent="0.25"/>
    <row r="291758" customFormat="1" x14ac:dyDescent="0.25"/>
    <row r="291759" customFormat="1" x14ac:dyDescent="0.25"/>
    <row r="291760" customFormat="1" x14ac:dyDescent="0.25"/>
    <row r="291761" customFormat="1" x14ac:dyDescent="0.25"/>
    <row r="291762" customFormat="1" x14ac:dyDescent="0.25"/>
    <row r="291763" customFormat="1" x14ac:dyDescent="0.25"/>
    <row r="291764" customFormat="1" x14ac:dyDescent="0.25"/>
    <row r="291765" customFormat="1" x14ac:dyDescent="0.25"/>
    <row r="291766" customFormat="1" x14ac:dyDescent="0.25"/>
    <row r="291767" customFormat="1" x14ac:dyDescent="0.25"/>
    <row r="291768" customFormat="1" x14ac:dyDescent="0.25"/>
    <row r="291769" customFormat="1" x14ac:dyDescent="0.25"/>
    <row r="291770" customFormat="1" x14ac:dyDescent="0.25"/>
    <row r="291771" customFormat="1" x14ac:dyDescent="0.25"/>
    <row r="291772" customFormat="1" x14ac:dyDescent="0.25"/>
    <row r="291773" customFormat="1" x14ac:dyDescent="0.25"/>
    <row r="291774" customFormat="1" x14ac:dyDescent="0.25"/>
    <row r="291775" customFormat="1" x14ac:dyDescent="0.25"/>
    <row r="291776" customFormat="1" x14ac:dyDescent="0.25"/>
    <row r="291777" customFormat="1" x14ac:dyDescent="0.25"/>
    <row r="291778" customFormat="1" x14ac:dyDescent="0.25"/>
    <row r="291779" customFormat="1" x14ac:dyDescent="0.25"/>
    <row r="291780" customFormat="1" x14ac:dyDescent="0.25"/>
    <row r="291781" customFormat="1" x14ac:dyDescent="0.25"/>
    <row r="291782" customFormat="1" x14ac:dyDescent="0.25"/>
    <row r="291783" customFormat="1" x14ac:dyDescent="0.25"/>
    <row r="291784" customFormat="1" x14ac:dyDescent="0.25"/>
    <row r="291785" customFormat="1" x14ac:dyDescent="0.25"/>
    <row r="291786" customFormat="1" x14ac:dyDescent="0.25"/>
    <row r="291787" customFormat="1" x14ac:dyDescent="0.25"/>
    <row r="291788" customFormat="1" x14ac:dyDescent="0.25"/>
    <row r="291789" customFormat="1" x14ac:dyDescent="0.25"/>
    <row r="291790" customFormat="1" x14ac:dyDescent="0.25"/>
    <row r="291791" customFormat="1" x14ac:dyDescent="0.25"/>
    <row r="291792" customFormat="1" x14ac:dyDescent="0.25"/>
    <row r="291793" customFormat="1" x14ac:dyDescent="0.25"/>
    <row r="291794" customFormat="1" x14ac:dyDescent="0.25"/>
    <row r="291795" customFormat="1" x14ac:dyDescent="0.25"/>
    <row r="291796" customFormat="1" x14ac:dyDescent="0.25"/>
    <row r="291797" customFormat="1" x14ac:dyDescent="0.25"/>
    <row r="291798" customFormat="1" x14ac:dyDescent="0.25"/>
    <row r="291799" customFormat="1" x14ac:dyDescent="0.25"/>
    <row r="291800" customFormat="1" x14ac:dyDescent="0.25"/>
    <row r="291801" customFormat="1" x14ac:dyDescent="0.25"/>
    <row r="291802" customFormat="1" x14ac:dyDescent="0.25"/>
    <row r="291803" customFormat="1" x14ac:dyDescent="0.25"/>
    <row r="291804" customFormat="1" x14ac:dyDescent="0.25"/>
    <row r="291805" customFormat="1" x14ac:dyDescent="0.25"/>
    <row r="291806" customFormat="1" x14ac:dyDescent="0.25"/>
    <row r="291807" customFormat="1" x14ac:dyDescent="0.25"/>
    <row r="291808" customFormat="1" x14ac:dyDescent="0.25"/>
    <row r="291809" customFormat="1" x14ac:dyDescent="0.25"/>
    <row r="291810" customFormat="1" x14ac:dyDescent="0.25"/>
    <row r="291811" customFormat="1" x14ac:dyDescent="0.25"/>
    <row r="291812" customFormat="1" x14ac:dyDescent="0.25"/>
    <row r="291813" customFormat="1" x14ac:dyDescent="0.25"/>
    <row r="291814" customFormat="1" x14ac:dyDescent="0.25"/>
    <row r="291815" customFormat="1" x14ac:dyDescent="0.25"/>
    <row r="291816" customFormat="1" x14ac:dyDescent="0.25"/>
    <row r="291817" customFormat="1" x14ac:dyDescent="0.25"/>
    <row r="291818" customFormat="1" x14ac:dyDescent="0.25"/>
    <row r="291819" customFormat="1" x14ac:dyDescent="0.25"/>
    <row r="291820" customFormat="1" x14ac:dyDescent="0.25"/>
    <row r="291821" customFormat="1" x14ac:dyDescent="0.25"/>
    <row r="291822" customFormat="1" x14ac:dyDescent="0.25"/>
    <row r="291823" customFormat="1" x14ac:dyDescent="0.25"/>
    <row r="291824" customFormat="1" x14ac:dyDescent="0.25"/>
    <row r="291825" customFormat="1" x14ac:dyDescent="0.25"/>
    <row r="291826" customFormat="1" x14ac:dyDescent="0.25"/>
    <row r="291827" customFormat="1" x14ac:dyDescent="0.25"/>
    <row r="291828" customFormat="1" x14ac:dyDescent="0.25"/>
    <row r="291829" customFormat="1" x14ac:dyDescent="0.25"/>
    <row r="291830" customFormat="1" x14ac:dyDescent="0.25"/>
    <row r="291831" customFormat="1" x14ac:dyDescent="0.25"/>
    <row r="291832" customFormat="1" x14ac:dyDescent="0.25"/>
    <row r="291833" customFormat="1" x14ac:dyDescent="0.25"/>
    <row r="291834" customFormat="1" x14ac:dyDescent="0.25"/>
    <row r="291835" customFormat="1" x14ac:dyDescent="0.25"/>
    <row r="291836" customFormat="1" x14ac:dyDescent="0.25"/>
    <row r="291837" customFormat="1" x14ac:dyDescent="0.25"/>
    <row r="291838" customFormat="1" x14ac:dyDescent="0.25"/>
    <row r="291839" customFormat="1" x14ac:dyDescent="0.25"/>
    <row r="291840" customFormat="1" x14ac:dyDescent="0.25"/>
    <row r="291841" customFormat="1" x14ac:dyDescent="0.25"/>
    <row r="291842" customFormat="1" x14ac:dyDescent="0.25"/>
    <row r="291843" customFormat="1" x14ac:dyDescent="0.25"/>
    <row r="291844" customFormat="1" x14ac:dyDescent="0.25"/>
    <row r="291845" customFormat="1" x14ac:dyDescent="0.25"/>
    <row r="291846" customFormat="1" x14ac:dyDescent="0.25"/>
    <row r="291847" customFormat="1" x14ac:dyDescent="0.25"/>
    <row r="291848" customFormat="1" x14ac:dyDescent="0.25"/>
    <row r="291849" customFormat="1" x14ac:dyDescent="0.25"/>
    <row r="291850" customFormat="1" x14ac:dyDescent="0.25"/>
    <row r="291851" customFormat="1" x14ac:dyDescent="0.25"/>
    <row r="291852" customFormat="1" x14ac:dyDescent="0.25"/>
    <row r="291853" customFormat="1" x14ac:dyDescent="0.25"/>
    <row r="291854" customFormat="1" x14ac:dyDescent="0.25"/>
    <row r="291855" customFormat="1" x14ac:dyDescent="0.25"/>
    <row r="291856" customFormat="1" x14ac:dyDescent="0.25"/>
    <row r="291857" customFormat="1" x14ac:dyDescent="0.25"/>
    <row r="291858" customFormat="1" x14ac:dyDescent="0.25"/>
    <row r="291859" customFormat="1" x14ac:dyDescent="0.25"/>
    <row r="291860" customFormat="1" x14ac:dyDescent="0.25"/>
    <row r="291861" customFormat="1" x14ac:dyDescent="0.25"/>
    <row r="291862" customFormat="1" x14ac:dyDescent="0.25"/>
    <row r="291863" customFormat="1" x14ac:dyDescent="0.25"/>
    <row r="291864" customFormat="1" x14ac:dyDescent="0.25"/>
    <row r="291865" customFormat="1" x14ac:dyDescent="0.25"/>
    <row r="291866" customFormat="1" x14ac:dyDescent="0.25"/>
    <row r="291867" customFormat="1" x14ac:dyDescent="0.25"/>
    <row r="291868" customFormat="1" x14ac:dyDescent="0.25"/>
    <row r="291869" customFormat="1" x14ac:dyDescent="0.25"/>
    <row r="291870" customFormat="1" x14ac:dyDescent="0.25"/>
    <row r="291871" customFormat="1" x14ac:dyDescent="0.25"/>
    <row r="291872" customFormat="1" x14ac:dyDescent="0.25"/>
    <row r="291873" customFormat="1" x14ac:dyDescent="0.25"/>
    <row r="291874" customFormat="1" x14ac:dyDescent="0.25"/>
    <row r="291875" customFormat="1" x14ac:dyDescent="0.25"/>
    <row r="291876" customFormat="1" x14ac:dyDescent="0.25"/>
    <row r="291877" customFormat="1" x14ac:dyDescent="0.25"/>
    <row r="291878" customFormat="1" x14ac:dyDescent="0.25"/>
    <row r="291879" customFormat="1" x14ac:dyDescent="0.25"/>
    <row r="291880" customFormat="1" x14ac:dyDescent="0.25"/>
    <row r="291881" customFormat="1" x14ac:dyDescent="0.25"/>
    <row r="291882" customFormat="1" x14ac:dyDescent="0.25"/>
    <row r="291883" customFormat="1" x14ac:dyDescent="0.25"/>
    <row r="291884" customFormat="1" x14ac:dyDescent="0.25"/>
    <row r="291885" customFormat="1" x14ac:dyDescent="0.25"/>
    <row r="291886" customFormat="1" x14ac:dyDescent="0.25"/>
    <row r="291887" customFormat="1" x14ac:dyDescent="0.25"/>
    <row r="291888" customFormat="1" x14ac:dyDescent="0.25"/>
    <row r="291889" customFormat="1" x14ac:dyDescent="0.25"/>
    <row r="291890" customFormat="1" x14ac:dyDescent="0.25"/>
    <row r="291891" customFormat="1" x14ac:dyDescent="0.25"/>
    <row r="291892" customFormat="1" x14ac:dyDescent="0.25"/>
    <row r="291893" customFormat="1" x14ac:dyDescent="0.25"/>
    <row r="291894" customFormat="1" x14ac:dyDescent="0.25"/>
    <row r="291895" customFormat="1" x14ac:dyDescent="0.25"/>
    <row r="291896" customFormat="1" x14ac:dyDescent="0.25"/>
    <row r="291897" customFormat="1" x14ac:dyDescent="0.25"/>
    <row r="291898" customFormat="1" x14ac:dyDescent="0.25"/>
    <row r="291899" customFormat="1" x14ac:dyDescent="0.25"/>
    <row r="291900" customFormat="1" x14ac:dyDescent="0.25"/>
    <row r="291901" customFormat="1" x14ac:dyDescent="0.25"/>
    <row r="291902" customFormat="1" x14ac:dyDescent="0.25"/>
    <row r="291903" customFormat="1" x14ac:dyDescent="0.25"/>
    <row r="291904" customFormat="1" x14ac:dyDescent="0.25"/>
    <row r="291905" customFormat="1" x14ac:dyDescent="0.25"/>
    <row r="291906" customFormat="1" x14ac:dyDescent="0.25"/>
    <row r="291907" customFormat="1" x14ac:dyDescent="0.25"/>
    <row r="291908" customFormat="1" x14ac:dyDescent="0.25"/>
    <row r="291909" customFormat="1" x14ac:dyDescent="0.25"/>
    <row r="291910" customFormat="1" x14ac:dyDescent="0.25"/>
    <row r="291911" customFormat="1" x14ac:dyDescent="0.25"/>
    <row r="291912" customFormat="1" x14ac:dyDescent="0.25"/>
    <row r="291913" customFormat="1" x14ac:dyDescent="0.25"/>
    <row r="291914" customFormat="1" x14ac:dyDescent="0.25"/>
    <row r="291915" customFormat="1" x14ac:dyDescent="0.25"/>
    <row r="291916" customFormat="1" x14ac:dyDescent="0.25"/>
    <row r="291917" customFormat="1" x14ac:dyDescent="0.25"/>
    <row r="291918" customFormat="1" x14ac:dyDescent="0.25"/>
    <row r="291919" customFormat="1" x14ac:dyDescent="0.25"/>
    <row r="291920" customFormat="1" x14ac:dyDescent="0.25"/>
    <row r="291921" customFormat="1" x14ac:dyDescent="0.25"/>
    <row r="291922" customFormat="1" x14ac:dyDescent="0.25"/>
    <row r="291923" customFormat="1" x14ac:dyDescent="0.25"/>
    <row r="291924" customFormat="1" x14ac:dyDescent="0.25"/>
    <row r="291925" customFormat="1" x14ac:dyDescent="0.25"/>
    <row r="291926" customFormat="1" x14ac:dyDescent="0.25"/>
    <row r="291927" customFormat="1" x14ac:dyDescent="0.25"/>
    <row r="291928" customFormat="1" x14ac:dyDescent="0.25"/>
    <row r="291929" customFormat="1" x14ac:dyDescent="0.25"/>
    <row r="291930" customFormat="1" x14ac:dyDescent="0.25"/>
    <row r="291931" customFormat="1" x14ac:dyDescent="0.25"/>
    <row r="291932" customFormat="1" x14ac:dyDescent="0.25"/>
    <row r="291933" customFormat="1" x14ac:dyDescent="0.25"/>
    <row r="291934" customFormat="1" x14ac:dyDescent="0.25"/>
    <row r="291935" customFormat="1" x14ac:dyDescent="0.25"/>
    <row r="291936" customFormat="1" x14ac:dyDescent="0.25"/>
    <row r="291937" customFormat="1" x14ac:dyDescent="0.25"/>
    <row r="291938" customFormat="1" x14ac:dyDescent="0.25"/>
    <row r="291939" customFormat="1" x14ac:dyDescent="0.25"/>
    <row r="291940" customFormat="1" x14ac:dyDescent="0.25"/>
    <row r="291941" customFormat="1" x14ac:dyDescent="0.25"/>
    <row r="291942" customFormat="1" x14ac:dyDescent="0.25"/>
    <row r="291943" customFormat="1" x14ac:dyDescent="0.25"/>
    <row r="291944" customFormat="1" x14ac:dyDescent="0.25"/>
    <row r="291945" customFormat="1" x14ac:dyDescent="0.25"/>
    <row r="291946" customFormat="1" x14ac:dyDescent="0.25"/>
    <row r="291947" customFormat="1" x14ac:dyDescent="0.25"/>
    <row r="291948" customFormat="1" x14ac:dyDescent="0.25"/>
    <row r="291949" customFormat="1" x14ac:dyDescent="0.25"/>
    <row r="291950" customFormat="1" x14ac:dyDescent="0.25"/>
    <row r="291951" customFormat="1" x14ac:dyDescent="0.25"/>
    <row r="291952" customFormat="1" x14ac:dyDescent="0.25"/>
    <row r="291953" customFormat="1" x14ac:dyDescent="0.25"/>
    <row r="291954" customFormat="1" x14ac:dyDescent="0.25"/>
    <row r="291955" customFormat="1" x14ac:dyDescent="0.25"/>
    <row r="291956" customFormat="1" x14ac:dyDescent="0.25"/>
    <row r="291957" customFormat="1" x14ac:dyDescent="0.25"/>
    <row r="291958" customFormat="1" x14ac:dyDescent="0.25"/>
    <row r="291959" customFormat="1" x14ac:dyDescent="0.25"/>
    <row r="291960" customFormat="1" x14ac:dyDescent="0.25"/>
    <row r="291961" customFormat="1" x14ac:dyDescent="0.25"/>
    <row r="291962" customFormat="1" x14ac:dyDescent="0.25"/>
    <row r="291963" customFormat="1" x14ac:dyDescent="0.25"/>
    <row r="291964" customFormat="1" x14ac:dyDescent="0.25"/>
    <row r="291965" customFormat="1" x14ac:dyDescent="0.25"/>
    <row r="291966" customFormat="1" x14ac:dyDescent="0.25"/>
    <row r="291967" customFormat="1" x14ac:dyDescent="0.25"/>
    <row r="291968" customFormat="1" x14ac:dyDescent="0.25"/>
    <row r="291969" customFormat="1" x14ac:dyDescent="0.25"/>
    <row r="291970" customFormat="1" x14ac:dyDescent="0.25"/>
    <row r="291971" customFormat="1" x14ac:dyDescent="0.25"/>
    <row r="291972" customFormat="1" x14ac:dyDescent="0.25"/>
    <row r="291973" customFormat="1" x14ac:dyDescent="0.25"/>
    <row r="291974" customFormat="1" x14ac:dyDescent="0.25"/>
    <row r="291975" customFormat="1" x14ac:dyDescent="0.25"/>
    <row r="291976" customFormat="1" x14ac:dyDescent="0.25"/>
    <row r="291977" customFormat="1" x14ac:dyDescent="0.25"/>
    <row r="291978" customFormat="1" x14ac:dyDescent="0.25"/>
    <row r="291979" customFormat="1" x14ac:dyDescent="0.25"/>
    <row r="291980" customFormat="1" x14ac:dyDescent="0.25"/>
    <row r="291981" customFormat="1" x14ac:dyDescent="0.25"/>
    <row r="291982" customFormat="1" x14ac:dyDescent="0.25"/>
    <row r="291983" customFormat="1" x14ac:dyDescent="0.25"/>
    <row r="291984" customFormat="1" x14ac:dyDescent="0.25"/>
    <row r="291985" customFormat="1" x14ac:dyDescent="0.25"/>
    <row r="291986" customFormat="1" x14ac:dyDescent="0.25"/>
    <row r="291987" customFormat="1" x14ac:dyDescent="0.25"/>
    <row r="291988" customFormat="1" x14ac:dyDescent="0.25"/>
    <row r="291989" customFormat="1" x14ac:dyDescent="0.25"/>
    <row r="291990" customFormat="1" x14ac:dyDescent="0.25"/>
    <row r="291991" customFormat="1" x14ac:dyDescent="0.25"/>
    <row r="291992" customFormat="1" x14ac:dyDescent="0.25"/>
    <row r="291993" customFormat="1" x14ac:dyDescent="0.25"/>
    <row r="291994" customFormat="1" x14ac:dyDescent="0.25"/>
    <row r="291995" customFormat="1" x14ac:dyDescent="0.25"/>
    <row r="291996" customFormat="1" x14ac:dyDescent="0.25"/>
    <row r="291997" customFormat="1" x14ac:dyDescent="0.25"/>
    <row r="291998" customFormat="1" x14ac:dyDescent="0.25"/>
    <row r="291999" customFormat="1" x14ac:dyDescent="0.25"/>
    <row r="292000" customFormat="1" x14ac:dyDescent="0.25"/>
    <row r="292001" customFormat="1" x14ac:dyDescent="0.25"/>
    <row r="292002" customFormat="1" x14ac:dyDescent="0.25"/>
    <row r="292003" customFormat="1" x14ac:dyDescent="0.25"/>
    <row r="292004" customFormat="1" x14ac:dyDescent="0.25"/>
    <row r="292005" customFormat="1" x14ac:dyDescent="0.25"/>
    <row r="292006" customFormat="1" x14ac:dyDescent="0.25"/>
    <row r="292007" customFormat="1" x14ac:dyDescent="0.25"/>
    <row r="292008" customFormat="1" x14ac:dyDescent="0.25"/>
    <row r="292009" customFormat="1" x14ac:dyDescent="0.25"/>
    <row r="292010" customFormat="1" x14ac:dyDescent="0.25"/>
    <row r="292011" customFormat="1" x14ac:dyDescent="0.25"/>
    <row r="292012" customFormat="1" x14ac:dyDescent="0.25"/>
    <row r="292013" customFormat="1" x14ac:dyDescent="0.25"/>
    <row r="292014" customFormat="1" x14ac:dyDescent="0.25"/>
    <row r="292015" customFormat="1" x14ac:dyDescent="0.25"/>
    <row r="292016" customFormat="1" x14ac:dyDescent="0.25"/>
    <row r="292017" customFormat="1" x14ac:dyDescent="0.25"/>
    <row r="292018" customFormat="1" x14ac:dyDescent="0.25"/>
    <row r="292019" customFormat="1" x14ac:dyDescent="0.25"/>
    <row r="292020" customFormat="1" x14ac:dyDescent="0.25"/>
    <row r="292021" customFormat="1" x14ac:dyDescent="0.25"/>
    <row r="292022" customFormat="1" x14ac:dyDescent="0.25"/>
    <row r="292023" customFormat="1" x14ac:dyDescent="0.25"/>
    <row r="292024" customFormat="1" x14ac:dyDescent="0.25"/>
    <row r="292025" customFormat="1" x14ac:dyDescent="0.25"/>
    <row r="292026" customFormat="1" x14ac:dyDescent="0.25"/>
    <row r="292027" customFormat="1" x14ac:dyDescent="0.25"/>
    <row r="292028" customFormat="1" x14ac:dyDescent="0.25"/>
    <row r="292029" customFormat="1" x14ac:dyDescent="0.25"/>
    <row r="292030" customFormat="1" x14ac:dyDescent="0.25"/>
    <row r="292031" customFormat="1" x14ac:dyDescent="0.25"/>
    <row r="292032" customFormat="1" x14ac:dyDescent="0.25"/>
    <row r="292033" customFormat="1" x14ac:dyDescent="0.25"/>
    <row r="292034" customFormat="1" x14ac:dyDescent="0.25"/>
    <row r="292035" customFormat="1" x14ac:dyDescent="0.25"/>
    <row r="292036" customFormat="1" x14ac:dyDescent="0.25"/>
    <row r="292037" customFormat="1" x14ac:dyDescent="0.25"/>
    <row r="292038" customFormat="1" x14ac:dyDescent="0.25"/>
    <row r="292039" customFormat="1" x14ac:dyDescent="0.25"/>
    <row r="292040" customFormat="1" x14ac:dyDescent="0.25"/>
    <row r="292041" customFormat="1" x14ac:dyDescent="0.25"/>
    <row r="292042" customFormat="1" x14ac:dyDescent="0.25"/>
    <row r="292043" customFormat="1" x14ac:dyDescent="0.25"/>
    <row r="292044" customFormat="1" x14ac:dyDescent="0.25"/>
    <row r="292045" customFormat="1" x14ac:dyDescent="0.25"/>
    <row r="292046" customFormat="1" x14ac:dyDescent="0.25"/>
    <row r="292047" customFormat="1" x14ac:dyDescent="0.25"/>
    <row r="292048" customFormat="1" x14ac:dyDescent="0.25"/>
    <row r="292049" customFormat="1" x14ac:dyDescent="0.25"/>
    <row r="292050" customFormat="1" x14ac:dyDescent="0.25"/>
    <row r="292051" customFormat="1" x14ac:dyDescent="0.25"/>
    <row r="292052" customFormat="1" x14ac:dyDescent="0.25"/>
    <row r="292053" customFormat="1" x14ac:dyDescent="0.25"/>
    <row r="292054" customFormat="1" x14ac:dyDescent="0.25"/>
    <row r="292055" customFormat="1" x14ac:dyDescent="0.25"/>
    <row r="292056" customFormat="1" x14ac:dyDescent="0.25"/>
    <row r="292057" customFormat="1" x14ac:dyDescent="0.25"/>
    <row r="292058" customFormat="1" x14ac:dyDescent="0.25"/>
    <row r="292059" customFormat="1" x14ac:dyDescent="0.25"/>
    <row r="292060" customFormat="1" x14ac:dyDescent="0.25"/>
    <row r="292061" customFormat="1" x14ac:dyDescent="0.25"/>
    <row r="292062" customFormat="1" x14ac:dyDescent="0.25"/>
    <row r="292063" customFormat="1" x14ac:dyDescent="0.25"/>
    <row r="292064" customFormat="1" x14ac:dyDescent="0.25"/>
    <row r="292065" customFormat="1" x14ac:dyDescent="0.25"/>
    <row r="292066" customFormat="1" x14ac:dyDescent="0.25"/>
    <row r="292067" customFormat="1" x14ac:dyDescent="0.25"/>
    <row r="292068" customFormat="1" x14ac:dyDescent="0.25"/>
    <row r="292069" customFormat="1" x14ac:dyDescent="0.25"/>
    <row r="292070" customFormat="1" x14ac:dyDescent="0.25"/>
    <row r="292071" customFormat="1" x14ac:dyDescent="0.25"/>
    <row r="292072" customFormat="1" x14ac:dyDescent="0.25"/>
    <row r="292073" customFormat="1" x14ac:dyDescent="0.25"/>
    <row r="292074" customFormat="1" x14ac:dyDescent="0.25"/>
    <row r="292075" customFormat="1" x14ac:dyDescent="0.25"/>
    <row r="292076" customFormat="1" x14ac:dyDescent="0.25"/>
    <row r="292077" customFormat="1" x14ac:dyDescent="0.25"/>
    <row r="292078" customFormat="1" x14ac:dyDescent="0.25"/>
    <row r="292079" customFormat="1" x14ac:dyDescent="0.25"/>
    <row r="292080" customFormat="1" x14ac:dyDescent="0.25"/>
    <row r="292081" customFormat="1" x14ac:dyDescent="0.25"/>
    <row r="292082" customFormat="1" x14ac:dyDescent="0.25"/>
    <row r="292083" customFormat="1" x14ac:dyDescent="0.25"/>
    <row r="292084" customFormat="1" x14ac:dyDescent="0.25"/>
    <row r="292085" customFormat="1" x14ac:dyDescent="0.25"/>
    <row r="292086" customFormat="1" x14ac:dyDescent="0.25"/>
    <row r="292087" customFormat="1" x14ac:dyDescent="0.25"/>
    <row r="292088" customFormat="1" x14ac:dyDescent="0.25"/>
    <row r="292089" customFormat="1" x14ac:dyDescent="0.25"/>
    <row r="292090" customFormat="1" x14ac:dyDescent="0.25"/>
    <row r="292091" customFormat="1" x14ac:dyDescent="0.25"/>
    <row r="292092" customFormat="1" x14ac:dyDescent="0.25"/>
    <row r="292093" customFormat="1" x14ac:dyDescent="0.25"/>
    <row r="292094" customFormat="1" x14ac:dyDescent="0.25"/>
    <row r="292095" customFormat="1" x14ac:dyDescent="0.25"/>
    <row r="292096" customFormat="1" x14ac:dyDescent="0.25"/>
    <row r="292097" customFormat="1" x14ac:dyDescent="0.25"/>
    <row r="292098" customFormat="1" x14ac:dyDescent="0.25"/>
    <row r="292099" customFormat="1" x14ac:dyDescent="0.25"/>
    <row r="292100" customFormat="1" x14ac:dyDescent="0.25"/>
    <row r="292101" customFormat="1" x14ac:dyDescent="0.25"/>
    <row r="292102" customFormat="1" x14ac:dyDescent="0.25"/>
    <row r="292103" customFormat="1" x14ac:dyDescent="0.25"/>
    <row r="292104" customFormat="1" x14ac:dyDescent="0.25"/>
    <row r="292105" customFormat="1" x14ac:dyDescent="0.25"/>
    <row r="292106" customFormat="1" x14ac:dyDescent="0.25"/>
    <row r="292107" customFormat="1" x14ac:dyDescent="0.25"/>
    <row r="292108" customFormat="1" x14ac:dyDescent="0.25"/>
    <row r="292109" customFormat="1" x14ac:dyDescent="0.25"/>
    <row r="292110" customFormat="1" x14ac:dyDescent="0.25"/>
    <row r="292111" customFormat="1" x14ac:dyDescent="0.25"/>
    <row r="292112" customFormat="1" x14ac:dyDescent="0.25"/>
    <row r="292113" customFormat="1" x14ac:dyDescent="0.25"/>
    <row r="292114" customFormat="1" x14ac:dyDescent="0.25"/>
    <row r="292115" customFormat="1" x14ac:dyDescent="0.25"/>
    <row r="292116" customFormat="1" x14ac:dyDescent="0.25"/>
    <row r="292117" customFormat="1" x14ac:dyDescent="0.25"/>
    <row r="292118" customFormat="1" x14ac:dyDescent="0.25"/>
    <row r="292119" customFormat="1" x14ac:dyDescent="0.25"/>
    <row r="292120" customFormat="1" x14ac:dyDescent="0.25"/>
    <row r="292121" customFormat="1" x14ac:dyDescent="0.25"/>
    <row r="292122" customFormat="1" x14ac:dyDescent="0.25"/>
    <row r="292123" customFormat="1" x14ac:dyDescent="0.25"/>
    <row r="292124" customFormat="1" x14ac:dyDescent="0.25"/>
    <row r="292125" customFormat="1" x14ac:dyDescent="0.25"/>
    <row r="292126" customFormat="1" x14ac:dyDescent="0.25"/>
    <row r="292127" customFormat="1" x14ac:dyDescent="0.25"/>
    <row r="292128" customFormat="1" x14ac:dyDescent="0.25"/>
    <row r="292129" customFormat="1" x14ac:dyDescent="0.25"/>
    <row r="292130" customFormat="1" x14ac:dyDescent="0.25"/>
    <row r="292131" customFormat="1" x14ac:dyDescent="0.25"/>
    <row r="292132" customFormat="1" x14ac:dyDescent="0.25"/>
    <row r="292133" customFormat="1" x14ac:dyDescent="0.25"/>
    <row r="292134" customFormat="1" x14ac:dyDescent="0.25"/>
    <row r="292135" customFormat="1" x14ac:dyDescent="0.25"/>
    <row r="292136" customFormat="1" x14ac:dyDescent="0.25"/>
    <row r="292137" customFormat="1" x14ac:dyDescent="0.25"/>
    <row r="292138" customFormat="1" x14ac:dyDescent="0.25"/>
    <row r="292139" customFormat="1" x14ac:dyDescent="0.25"/>
    <row r="292140" customFormat="1" x14ac:dyDescent="0.25"/>
    <row r="292141" customFormat="1" x14ac:dyDescent="0.25"/>
    <row r="292142" customFormat="1" x14ac:dyDescent="0.25"/>
    <row r="292143" customFormat="1" x14ac:dyDescent="0.25"/>
    <row r="292144" customFormat="1" x14ac:dyDescent="0.25"/>
    <row r="292145" customFormat="1" x14ac:dyDescent="0.25"/>
    <row r="292146" customFormat="1" x14ac:dyDescent="0.25"/>
    <row r="292147" customFormat="1" x14ac:dyDescent="0.25"/>
    <row r="292148" customFormat="1" x14ac:dyDescent="0.25"/>
    <row r="292149" customFormat="1" x14ac:dyDescent="0.25"/>
    <row r="292150" customFormat="1" x14ac:dyDescent="0.25"/>
    <row r="292151" customFormat="1" x14ac:dyDescent="0.25"/>
    <row r="292152" customFormat="1" x14ac:dyDescent="0.25"/>
    <row r="292153" customFormat="1" x14ac:dyDescent="0.25"/>
    <row r="292154" customFormat="1" x14ac:dyDescent="0.25"/>
    <row r="292155" customFormat="1" x14ac:dyDescent="0.25"/>
    <row r="292156" customFormat="1" x14ac:dyDescent="0.25"/>
    <row r="292157" customFormat="1" x14ac:dyDescent="0.25"/>
    <row r="292158" customFormat="1" x14ac:dyDescent="0.25"/>
    <row r="292159" customFormat="1" x14ac:dyDescent="0.25"/>
    <row r="292160" customFormat="1" x14ac:dyDescent="0.25"/>
    <row r="292161" customFormat="1" x14ac:dyDescent="0.25"/>
    <row r="292162" customFormat="1" x14ac:dyDescent="0.25"/>
    <row r="292163" customFormat="1" x14ac:dyDescent="0.25"/>
    <row r="292164" customFormat="1" x14ac:dyDescent="0.25"/>
    <row r="292165" customFormat="1" x14ac:dyDescent="0.25"/>
    <row r="292166" customFormat="1" x14ac:dyDescent="0.25"/>
    <row r="292167" customFormat="1" x14ac:dyDescent="0.25"/>
    <row r="292168" customFormat="1" x14ac:dyDescent="0.25"/>
    <row r="292169" customFormat="1" x14ac:dyDescent="0.25"/>
    <row r="292170" customFormat="1" x14ac:dyDescent="0.25"/>
    <row r="292171" customFormat="1" x14ac:dyDescent="0.25"/>
    <row r="292172" customFormat="1" x14ac:dyDescent="0.25"/>
    <row r="292173" customFormat="1" x14ac:dyDescent="0.25"/>
    <row r="292174" customFormat="1" x14ac:dyDescent="0.25"/>
    <row r="292175" customFormat="1" x14ac:dyDescent="0.25"/>
    <row r="292176" customFormat="1" x14ac:dyDescent="0.25"/>
    <row r="292177" customFormat="1" x14ac:dyDescent="0.25"/>
    <row r="292178" customFormat="1" x14ac:dyDescent="0.25"/>
    <row r="292179" customFormat="1" x14ac:dyDescent="0.25"/>
    <row r="292180" customFormat="1" x14ac:dyDescent="0.25"/>
    <row r="292181" customFormat="1" x14ac:dyDescent="0.25"/>
    <row r="292182" customFormat="1" x14ac:dyDescent="0.25"/>
    <row r="292183" customFormat="1" x14ac:dyDescent="0.25"/>
    <row r="292184" customFormat="1" x14ac:dyDescent="0.25"/>
    <row r="292185" customFormat="1" x14ac:dyDescent="0.25"/>
    <row r="292186" customFormat="1" x14ac:dyDescent="0.25"/>
    <row r="292187" customFormat="1" x14ac:dyDescent="0.25"/>
    <row r="292188" customFormat="1" x14ac:dyDescent="0.25"/>
    <row r="292189" customFormat="1" x14ac:dyDescent="0.25"/>
    <row r="292190" customFormat="1" x14ac:dyDescent="0.25"/>
    <row r="292191" customFormat="1" x14ac:dyDescent="0.25"/>
    <row r="292192" customFormat="1" x14ac:dyDescent="0.25"/>
    <row r="292193" customFormat="1" x14ac:dyDescent="0.25"/>
    <row r="292194" customFormat="1" x14ac:dyDescent="0.25"/>
    <row r="292195" customFormat="1" x14ac:dyDescent="0.25"/>
    <row r="292196" customFormat="1" x14ac:dyDescent="0.25"/>
    <row r="292197" customFormat="1" x14ac:dyDescent="0.25"/>
    <row r="292198" customFormat="1" x14ac:dyDescent="0.25"/>
    <row r="292199" customFormat="1" x14ac:dyDescent="0.25"/>
    <row r="292200" customFormat="1" x14ac:dyDescent="0.25"/>
    <row r="292201" customFormat="1" x14ac:dyDescent="0.25"/>
    <row r="292202" customFormat="1" x14ac:dyDescent="0.25"/>
    <row r="292203" customFormat="1" x14ac:dyDescent="0.25"/>
    <row r="292204" customFormat="1" x14ac:dyDescent="0.25"/>
    <row r="292205" customFormat="1" x14ac:dyDescent="0.25"/>
    <row r="292206" customFormat="1" x14ac:dyDescent="0.25"/>
    <row r="292207" customFormat="1" x14ac:dyDescent="0.25"/>
    <row r="292208" customFormat="1" x14ac:dyDescent="0.25"/>
    <row r="292209" customFormat="1" x14ac:dyDescent="0.25"/>
    <row r="292210" customFormat="1" x14ac:dyDescent="0.25"/>
    <row r="292211" customFormat="1" x14ac:dyDescent="0.25"/>
    <row r="292212" customFormat="1" x14ac:dyDescent="0.25"/>
    <row r="292213" customFormat="1" x14ac:dyDescent="0.25"/>
    <row r="292214" customFormat="1" x14ac:dyDescent="0.25"/>
    <row r="292215" customFormat="1" x14ac:dyDescent="0.25"/>
    <row r="292216" customFormat="1" x14ac:dyDescent="0.25"/>
    <row r="292217" customFormat="1" x14ac:dyDescent="0.25"/>
    <row r="292218" customFormat="1" x14ac:dyDescent="0.25"/>
    <row r="292219" customFormat="1" x14ac:dyDescent="0.25"/>
    <row r="292220" customFormat="1" x14ac:dyDescent="0.25"/>
    <row r="292221" customFormat="1" x14ac:dyDescent="0.25"/>
    <row r="292222" customFormat="1" x14ac:dyDescent="0.25"/>
    <row r="292223" customFormat="1" x14ac:dyDescent="0.25"/>
    <row r="292224" customFormat="1" x14ac:dyDescent="0.25"/>
    <row r="292225" customFormat="1" x14ac:dyDescent="0.25"/>
    <row r="292226" customFormat="1" x14ac:dyDescent="0.25"/>
    <row r="292227" customFormat="1" x14ac:dyDescent="0.25"/>
    <row r="292228" customFormat="1" x14ac:dyDescent="0.25"/>
    <row r="292229" customFormat="1" x14ac:dyDescent="0.25"/>
    <row r="292230" customFormat="1" x14ac:dyDescent="0.25"/>
    <row r="292231" customFormat="1" x14ac:dyDescent="0.25"/>
    <row r="292232" customFormat="1" x14ac:dyDescent="0.25"/>
    <row r="292233" customFormat="1" x14ac:dyDescent="0.25"/>
    <row r="292234" customFormat="1" x14ac:dyDescent="0.25"/>
    <row r="292235" customFormat="1" x14ac:dyDescent="0.25"/>
    <row r="292236" customFormat="1" x14ac:dyDescent="0.25"/>
    <row r="292237" customFormat="1" x14ac:dyDescent="0.25"/>
    <row r="292238" customFormat="1" x14ac:dyDescent="0.25"/>
    <row r="292239" customFormat="1" x14ac:dyDescent="0.25"/>
    <row r="292240" customFormat="1" x14ac:dyDescent="0.25"/>
    <row r="292241" customFormat="1" x14ac:dyDescent="0.25"/>
    <row r="292242" customFormat="1" x14ac:dyDescent="0.25"/>
    <row r="292243" customFormat="1" x14ac:dyDescent="0.25"/>
    <row r="292244" customFormat="1" x14ac:dyDescent="0.25"/>
    <row r="292245" customFormat="1" x14ac:dyDescent="0.25"/>
    <row r="292246" customFormat="1" x14ac:dyDescent="0.25"/>
    <row r="292247" customFormat="1" x14ac:dyDescent="0.25"/>
    <row r="292248" customFormat="1" x14ac:dyDescent="0.25"/>
    <row r="292249" customFormat="1" x14ac:dyDescent="0.25"/>
    <row r="292250" customFormat="1" x14ac:dyDescent="0.25"/>
    <row r="292251" customFormat="1" x14ac:dyDescent="0.25"/>
    <row r="292252" customFormat="1" x14ac:dyDescent="0.25"/>
    <row r="292253" customFormat="1" x14ac:dyDescent="0.25"/>
    <row r="292254" customFormat="1" x14ac:dyDescent="0.25"/>
    <row r="292255" customFormat="1" x14ac:dyDescent="0.25"/>
    <row r="292256" customFormat="1" x14ac:dyDescent="0.25"/>
    <row r="292257" customFormat="1" x14ac:dyDescent="0.25"/>
    <row r="292258" customFormat="1" x14ac:dyDescent="0.25"/>
    <row r="292259" customFormat="1" x14ac:dyDescent="0.25"/>
    <row r="292260" customFormat="1" x14ac:dyDescent="0.25"/>
    <row r="292261" customFormat="1" x14ac:dyDescent="0.25"/>
    <row r="292262" customFormat="1" x14ac:dyDescent="0.25"/>
    <row r="292263" customFormat="1" x14ac:dyDescent="0.25"/>
    <row r="292264" customFormat="1" x14ac:dyDescent="0.25"/>
    <row r="292265" customFormat="1" x14ac:dyDescent="0.25"/>
    <row r="292266" customFormat="1" x14ac:dyDescent="0.25"/>
    <row r="292267" customFormat="1" x14ac:dyDescent="0.25"/>
    <row r="292268" customFormat="1" x14ac:dyDescent="0.25"/>
    <row r="292269" customFormat="1" x14ac:dyDescent="0.25"/>
    <row r="292270" customFormat="1" x14ac:dyDescent="0.25"/>
    <row r="292271" customFormat="1" x14ac:dyDescent="0.25"/>
    <row r="292272" customFormat="1" x14ac:dyDescent="0.25"/>
    <row r="292273" customFormat="1" x14ac:dyDescent="0.25"/>
    <row r="292274" customFormat="1" x14ac:dyDescent="0.25"/>
    <row r="292275" customFormat="1" x14ac:dyDescent="0.25"/>
    <row r="292276" customFormat="1" x14ac:dyDescent="0.25"/>
    <row r="292277" customFormat="1" x14ac:dyDescent="0.25"/>
    <row r="292278" customFormat="1" x14ac:dyDescent="0.25"/>
    <row r="292279" customFormat="1" x14ac:dyDescent="0.25"/>
    <row r="292280" customFormat="1" x14ac:dyDescent="0.25"/>
    <row r="292281" customFormat="1" x14ac:dyDescent="0.25"/>
    <row r="292282" customFormat="1" x14ac:dyDescent="0.25"/>
    <row r="292283" customFormat="1" x14ac:dyDescent="0.25"/>
    <row r="292284" customFormat="1" x14ac:dyDescent="0.25"/>
    <row r="292285" customFormat="1" x14ac:dyDescent="0.25"/>
    <row r="292286" customFormat="1" x14ac:dyDescent="0.25"/>
    <row r="292287" customFormat="1" x14ac:dyDescent="0.25"/>
    <row r="292288" customFormat="1" x14ac:dyDescent="0.25"/>
    <row r="292289" customFormat="1" x14ac:dyDescent="0.25"/>
    <row r="292290" customFormat="1" x14ac:dyDescent="0.25"/>
    <row r="292291" customFormat="1" x14ac:dyDescent="0.25"/>
    <row r="292292" customFormat="1" x14ac:dyDescent="0.25"/>
    <row r="292293" customFormat="1" x14ac:dyDescent="0.25"/>
    <row r="292294" customFormat="1" x14ac:dyDescent="0.25"/>
    <row r="292295" customFormat="1" x14ac:dyDescent="0.25"/>
    <row r="292296" customFormat="1" x14ac:dyDescent="0.25"/>
    <row r="292297" customFormat="1" x14ac:dyDescent="0.25"/>
    <row r="292298" customFormat="1" x14ac:dyDescent="0.25"/>
    <row r="292299" customFormat="1" x14ac:dyDescent="0.25"/>
    <row r="292300" customFormat="1" x14ac:dyDescent="0.25"/>
    <row r="292301" customFormat="1" x14ac:dyDescent="0.25"/>
    <row r="292302" customFormat="1" x14ac:dyDescent="0.25"/>
    <row r="292303" customFormat="1" x14ac:dyDescent="0.25"/>
    <row r="292304" customFormat="1" x14ac:dyDescent="0.25"/>
    <row r="292305" customFormat="1" x14ac:dyDescent="0.25"/>
    <row r="292306" customFormat="1" x14ac:dyDescent="0.25"/>
    <row r="292307" customFormat="1" x14ac:dyDescent="0.25"/>
    <row r="292308" customFormat="1" x14ac:dyDescent="0.25"/>
    <row r="292309" customFormat="1" x14ac:dyDescent="0.25"/>
    <row r="292310" customFormat="1" x14ac:dyDescent="0.25"/>
    <row r="292311" customFormat="1" x14ac:dyDescent="0.25"/>
    <row r="292312" customFormat="1" x14ac:dyDescent="0.25"/>
    <row r="292313" customFormat="1" x14ac:dyDescent="0.25"/>
    <row r="292314" customFormat="1" x14ac:dyDescent="0.25"/>
    <row r="292315" customFormat="1" x14ac:dyDescent="0.25"/>
    <row r="292316" customFormat="1" x14ac:dyDescent="0.25"/>
    <row r="292317" customFormat="1" x14ac:dyDescent="0.25"/>
    <row r="292318" customFormat="1" x14ac:dyDescent="0.25"/>
    <row r="292319" customFormat="1" x14ac:dyDescent="0.25"/>
    <row r="292320" customFormat="1" x14ac:dyDescent="0.25"/>
    <row r="292321" customFormat="1" x14ac:dyDescent="0.25"/>
    <row r="292322" customFormat="1" x14ac:dyDescent="0.25"/>
    <row r="292323" customFormat="1" x14ac:dyDescent="0.25"/>
    <row r="292324" customFormat="1" x14ac:dyDescent="0.25"/>
    <row r="292325" customFormat="1" x14ac:dyDescent="0.25"/>
    <row r="292326" customFormat="1" x14ac:dyDescent="0.25"/>
    <row r="292327" customFormat="1" x14ac:dyDescent="0.25"/>
    <row r="292328" customFormat="1" x14ac:dyDescent="0.25"/>
    <row r="292329" customFormat="1" x14ac:dyDescent="0.25"/>
    <row r="292330" customFormat="1" x14ac:dyDescent="0.25"/>
    <row r="292331" customFormat="1" x14ac:dyDescent="0.25"/>
    <row r="292332" customFormat="1" x14ac:dyDescent="0.25"/>
    <row r="292333" customFormat="1" x14ac:dyDescent="0.25"/>
    <row r="292334" customFormat="1" x14ac:dyDescent="0.25"/>
    <row r="292335" customFormat="1" x14ac:dyDescent="0.25"/>
    <row r="292336" customFormat="1" x14ac:dyDescent="0.25"/>
    <row r="292337" customFormat="1" x14ac:dyDescent="0.25"/>
    <row r="292338" customFormat="1" x14ac:dyDescent="0.25"/>
    <row r="292339" customFormat="1" x14ac:dyDescent="0.25"/>
    <row r="292340" customFormat="1" x14ac:dyDescent="0.25"/>
    <row r="292341" customFormat="1" x14ac:dyDescent="0.25"/>
    <row r="292342" customFormat="1" x14ac:dyDescent="0.25"/>
    <row r="292343" customFormat="1" x14ac:dyDescent="0.25"/>
    <row r="292344" customFormat="1" x14ac:dyDescent="0.25"/>
    <row r="292345" customFormat="1" x14ac:dyDescent="0.25"/>
    <row r="292346" customFormat="1" x14ac:dyDescent="0.25"/>
    <row r="292347" customFormat="1" x14ac:dyDescent="0.25"/>
    <row r="292348" customFormat="1" x14ac:dyDescent="0.25"/>
    <row r="292349" customFormat="1" x14ac:dyDescent="0.25"/>
    <row r="292350" customFormat="1" x14ac:dyDescent="0.25"/>
    <row r="292351" customFormat="1" x14ac:dyDescent="0.25"/>
    <row r="292352" customFormat="1" x14ac:dyDescent="0.25"/>
    <row r="292353" customFormat="1" x14ac:dyDescent="0.25"/>
    <row r="292354" customFormat="1" x14ac:dyDescent="0.25"/>
    <row r="292355" customFormat="1" x14ac:dyDescent="0.25"/>
    <row r="292356" customFormat="1" x14ac:dyDescent="0.25"/>
    <row r="292357" customFormat="1" x14ac:dyDescent="0.25"/>
    <row r="292358" customFormat="1" x14ac:dyDescent="0.25"/>
    <row r="292359" customFormat="1" x14ac:dyDescent="0.25"/>
    <row r="292360" customFormat="1" x14ac:dyDescent="0.25"/>
    <row r="292361" customFormat="1" x14ac:dyDescent="0.25"/>
    <row r="292362" customFormat="1" x14ac:dyDescent="0.25"/>
    <row r="292363" customFormat="1" x14ac:dyDescent="0.25"/>
    <row r="292364" customFormat="1" x14ac:dyDescent="0.25"/>
    <row r="292365" customFormat="1" x14ac:dyDescent="0.25"/>
    <row r="292366" customFormat="1" x14ac:dyDescent="0.25"/>
    <row r="292367" customFormat="1" x14ac:dyDescent="0.25"/>
    <row r="292368" customFormat="1" x14ac:dyDescent="0.25"/>
    <row r="292369" customFormat="1" x14ac:dyDescent="0.25"/>
    <row r="292370" customFormat="1" x14ac:dyDescent="0.25"/>
    <row r="292371" customFormat="1" x14ac:dyDescent="0.25"/>
    <row r="292372" customFormat="1" x14ac:dyDescent="0.25"/>
    <row r="292373" customFormat="1" x14ac:dyDescent="0.25"/>
    <row r="292374" customFormat="1" x14ac:dyDescent="0.25"/>
    <row r="292375" customFormat="1" x14ac:dyDescent="0.25"/>
    <row r="292376" customFormat="1" x14ac:dyDescent="0.25"/>
    <row r="292377" customFormat="1" x14ac:dyDescent="0.25"/>
    <row r="292378" customFormat="1" x14ac:dyDescent="0.25"/>
    <row r="292379" customFormat="1" x14ac:dyDescent="0.25"/>
    <row r="292380" customFormat="1" x14ac:dyDescent="0.25"/>
    <row r="292381" customFormat="1" x14ac:dyDescent="0.25"/>
    <row r="292382" customFormat="1" x14ac:dyDescent="0.25"/>
    <row r="292383" customFormat="1" x14ac:dyDescent="0.25"/>
    <row r="292384" customFormat="1" x14ac:dyDescent="0.25"/>
    <row r="292385" customFormat="1" x14ac:dyDescent="0.25"/>
    <row r="292386" customFormat="1" x14ac:dyDescent="0.25"/>
    <row r="292387" customFormat="1" x14ac:dyDescent="0.25"/>
    <row r="292388" customFormat="1" x14ac:dyDescent="0.25"/>
    <row r="292389" customFormat="1" x14ac:dyDescent="0.25"/>
    <row r="292390" customFormat="1" x14ac:dyDescent="0.25"/>
    <row r="292391" customFormat="1" x14ac:dyDescent="0.25"/>
    <row r="292392" customFormat="1" x14ac:dyDescent="0.25"/>
    <row r="292393" customFormat="1" x14ac:dyDescent="0.25"/>
    <row r="292394" customFormat="1" x14ac:dyDescent="0.25"/>
    <row r="292395" customFormat="1" x14ac:dyDescent="0.25"/>
    <row r="292396" customFormat="1" x14ac:dyDescent="0.25"/>
    <row r="292397" customFormat="1" x14ac:dyDescent="0.25"/>
    <row r="292398" customFormat="1" x14ac:dyDescent="0.25"/>
    <row r="292399" customFormat="1" x14ac:dyDescent="0.25"/>
    <row r="292400" customFormat="1" x14ac:dyDescent="0.25"/>
    <row r="292401" customFormat="1" x14ac:dyDescent="0.25"/>
    <row r="292402" customFormat="1" x14ac:dyDescent="0.25"/>
    <row r="292403" customFormat="1" x14ac:dyDescent="0.25"/>
    <row r="292404" customFormat="1" x14ac:dyDescent="0.25"/>
    <row r="292405" customFormat="1" x14ac:dyDescent="0.25"/>
    <row r="292406" customFormat="1" x14ac:dyDescent="0.25"/>
    <row r="292407" customFormat="1" x14ac:dyDescent="0.25"/>
    <row r="292408" customFormat="1" x14ac:dyDescent="0.25"/>
    <row r="292409" customFormat="1" x14ac:dyDescent="0.25"/>
    <row r="292410" customFormat="1" x14ac:dyDescent="0.25"/>
    <row r="292411" customFormat="1" x14ac:dyDescent="0.25"/>
    <row r="292412" customFormat="1" x14ac:dyDescent="0.25"/>
    <row r="292413" customFormat="1" x14ac:dyDescent="0.25"/>
    <row r="292414" customFormat="1" x14ac:dyDescent="0.25"/>
    <row r="292415" customFormat="1" x14ac:dyDescent="0.25"/>
    <row r="292416" customFormat="1" x14ac:dyDescent="0.25"/>
    <row r="292417" customFormat="1" x14ac:dyDescent="0.25"/>
    <row r="292418" customFormat="1" x14ac:dyDescent="0.25"/>
    <row r="292419" customFormat="1" x14ac:dyDescent="0.25"/>
    <row r="292420" customFormat="1" x14ac:dyDescent="0.25"/>
    <row r="292421" customFormat="1" x14ac:dyDescent="0.25"/>
    <row r="292422" customFormat="1" x14ac:dyDescent="0.25"/>
    <row r="292423" customFormat="1" x14ac:dyDescent="0.25"/>
    <row r="292424" customFormat="1" x14ac:dyDescent="0.25"/>
    <row r="292425" customFormat="1" x14ac:dyDescent="0.25"/>
    <row r="292426" customFormat="1" x14ac:dyDescent="0.25"/>
    <row r="292427" customFormat="1" x14ac:dyDescent="0.25"/>
    <row r="292428" customFormat="1" x14ac:dyDescent="0.25"/>
    <row r="292429" customFormat="1" x14ac:dyDescent="0.25"/>
    <row r="292430" customFormat="1" x14ac:dyDescent="0.25"/>
    <row r="292431" customFormat="1" x14ac:dyDescent="0.25"/>
    <row r="292432" customFormat="1" x14ac:dyDescent="0.25"/>
    <row r="292433" customFormat="1" x14ac:dyDescent="0.25"/>
    <row r="292434" customFormat="1" x14ac:dyDescent="0.25"/>
    <row r="292435" customFormat="1" x14ac:dyDescent="0.25"/>
    <row r="292436" customFormat="1" x14ac:dyDescent="0.25"/>
    <row r="292437" customFormat="1" x14ac:dyDescent="0.25"/>
    <row r="292438" customFormat="1" x14ac:dyDescent="0.25"/>
    <row r="292439" customFormat="1" x14ac:dyDescent="0.25"/>
    <row r="292440" customFormat="1" x14ac:dyDescent="0.25"/>
    <row r="292441" customFormat="1" x14ac:dyDescent="0.25"/>
    <row r="292442" customFormat="1" x14ac:dyDescent="0.25"/>
    <row r="292443" customFormat="1" x14ac:dyDescent="0.25"/>
    <row r="292444" customFormat="1" x14ac:dyDescent="0.25"/>
    <row r="292445" customFormat="1" x14ac:dyDescent="0.25"/>
    <row r="292446" customFormat="1" x14ac:dyDescent="0.25"/>
    <row r="292447" customFormat="1" x14ac:dyDescent="0.25"/>
    <row r="292448" customFormat="1" x14ac:dyDescent="0.25"/>
    <row r="292449" customFormat="1" x14ac:dyDescent="0.25"/>
    <row r="292450" customFormat="1" x14ac:dyDescent="0.25"/>
    <row r="292451" customFormat="1" x14ac:dyDescent="0.25"/>
    <row r="292452" customFormat="1" x14ac:dyDescent="0.25"/>
    <row r="292453" customFormat="1" x14ac:dyDescent="0.25"/>
    <row r="292454" customFormat="1" x14ac:dyDescent="0.25"/>
    <row r="292455" customFormat="1" x14ac:dyDescent="0.25"/>
    <row r="292456" customFormat="1" x14ac:dyDescent="0.25"/>
    <row r="292457" customFormat="1" x14ac:dyDescent="0.25"/>
    <row r="292458" customFormat="1" x14ac:dyDescent="0.25"/>
    <row r="292459" customFormat="1" x14ac:dyDescent="0.25"/>
    <row r="292460" customFormat="1" x14ac:dyDescent="0.25"/>
    <row r="292461" customFormat="1" x14ac:dyDescent="0.25"/>
    <row r="292462" customFormat="1" x14ac:dyDescent="0.25"/>
    <row r="292463" customFormat="1" x14ac:dyDescent="0.25"/>
    <row r="292464" customFormat="1" x14ac:dyDescent="0.25"/>
    <row r="292465" customFormat="1" x14ac:dyDescent="0.25"/>
    <row r="292466" customFormat="1" x14ac:dyDescent="0.25"/>
    <row r="292467" customFormat="1" x14ac:dyDescent="0.25"/>
    <row r="292468" customFormat="1" x14ac:dyDescent="0.25"/>
    <row r="292469" customFormat="1" x14ac:dyDescent="0.25"/>
    <row r="292470" customFormat="1" x14ac:dyDescent="0.25"/>
    <row r="292471" customFormat="1" x14ac:dyDescent="0.25"/>
    <row r="292472" customFormat="1" x14ac:dyDescent="0.25"/>
    <row r="292473" customFormat="1" x14ac:dyDescent="0.25"/>
    <row r="292474" customFormat="1" x14ac:dyDescent="0.25"/>
    <row r="292475" customFormat="1" x14ac:dyDescent="0.25"/>
    <row r="292476" customFormat="1" x14ac:dyDescent="0.25"/>
    <row r="292477" customFormat="1" x14ac:dyDescent="0.25"/>
    <row r="292478" customFormat="1" x14ac:dyDescent="0.25"/>
    <row r="292479" customFormat="1" x14ac:dyDescent="0.25"/>
    <row r="292480" customFormat="1" x14ac:dyDescent="0.25"/>
    <row r="292481" customFormat="1" x14ac:dyDescent="0.25"/>
    <row r="292482" customFormat="1" x14ac:dyDescent="0.25"/>
    <row r="292483" customFormat="1" x14ac:dyDescent="0.25"/>
    <row r="292484" customFormat="1" x14ac:dyDescent="0.25"/>
    <row r="292485" customFormat="1" x14ac:dyDescent="0.25"/>
    <row r="292486" customFormat="1" x14ac:dyDescent="0.25"/>
    <row r="292487" customFormat="1" x14ac:dyDescent="0.25"/>
    <row r="292488" customFormat="1" x14ac:dyDescent="0.25"/>
    <row r="292489" customFormat="1" x14ac:dyDescent="0.25"/>
    <row r="292490" customFormat="1" x14ac:dyDescent="0.25"/>
    <row r="292491" customFormat="1" x14ac:dyDescent="0.25"/>
    <row r="292492" customFormat="1" x14ac:dyDescent="0.25"/>
    <row r="292493" customFormat="1" x14ac:dyDescent="0.25"/>
    <row r="292494" customFormat="1" x14ac:dyDescent="0.25"/>
    <row r="292495" customFormat="1" x14ac:dyDescent="0.25"/>
    <row r="292496" customFormat="1" x14ac:dyDescent="0.25"/>
    <row r="292497" customFormat="1" x14ac:dyDescent="0.25"/>
    <row r="292498" customFormat="1" x14ac:dyDescent="0.25"/>
    <row r="292499" customFormat="1" x14ac:dyDescent="0.25"/>
    <row r="292500" customFormat="1" x14ac:dyDescent="0.25"/>
    <row r="292501" customFormat="1" x14ac:dyDescent="0.25"/>
    <row r="292502" customFormat="1" x14ac:dyDescent="0.25"/>
    <row r="292503" customFormat="1" x14ac:dyDescent="0.25"/>
    <row r="292504" customFormat="1" x14ac:dyDescent="0.25"/>
    <row r="292505" customFormat="1" x14ac:dyDescent="0.25"/>
    <row r="292506" customFormat="1" x14ac:dyDescent="0.25"/>
    <row r="292507" customFormat="1" x14ac:dyDescent="0.25"/>
    <row r="292508" customFormat="1" x14ac:dyDescent="0.25"/>
    <row r="292509" customFormat="1" x14ac:dyDescent="0.25"/>
    <row r="292510" customFormat="1" x14ac:dyDescent="0.25"/>
    <row r="292511" customFormat="1" x14ac:dyDescent="0.25"/>
    <row r="292512" customFormat="1" x14ac:dyDescent="0.25"/>
    <row r="292513" customFormat="1" x14ac:dyDescent="0.25"/>
    <row r="292514" customFormat="1" x14ac:dyDescent="0.25"/>
    <row r="292515" customFormat="1" x14ac:dyDescent="0.25"/>
    <row r="292516" customFormat="1" x14ac:dyDescent="0.25"/>
    <row r="292517" customFormat="1" x14ac:dyDescent="0.25"/>
    <row r="292518" customFormat="1" x14ac:dyDescent="0.25"/>
    <row r="292519" customFormat="1" x14ac:dyDescent="0.25"/>
    <row r="292520" customFormat="1" x14ac:dyDescent="0.25"/>
    <row r="292521" customFormat="1" x14ac:dyDescent="0.25"/>
    <row r="292522" customFormat="1" x14ac:dyDescent="0.25"/>
    <row r="292523" customFormat="1" x14ac:dyDescent="0.25"/>
    <row r="292524" customFormat="1" x14ac:dyDescent="0.25"/>
    <row r="292525" customFormat="1" x14ac:dyDescent="0.25"/>
    <row r="292526" customFormat="1" x14ac:dyDescent="0.25"/>
    <row r="292527" customFormat="1" x14ac:dyDescent="0.25"/>
    <row r="292528" customFormat="1" x14ac:dyDescent="0.25"/>
    <row r="292529" customFormat="1" x14ac:dyDescent="0.25"/>
    <row r="292530" customFormat="1" x14ac:dyDescent="0.25"/>
    <row r="292531" customFormat="1" x14ac:dyDescent="0.25"/>
    <row r="292532" customFormat="1" x14ac:dyDescent="0.25"/>
    <row r="292533" customFormat="1" x14ac:dyDescent="0.25"/>
    <row r="292534" customFormat="1" x14ac:dyDescent="0.25"/>
    <row r="292535" customFormat="1" x14ac:dyDescent="0.25"/>
    <row r="292536" customFormat="1" x14ac:dyDescent="0.25"/>
    <row r="292537" customFormat="1" x14ac:dyDescent="0.25"/>
    <row r="292538" customFormat="1" x14ac:dyDescent="0.25"/>
    <row r="292539" customFormat="1" x14ac:dyDescent="0.25"/>
    <row r="292540" customFormat="1" x14ac:dyDescent="0.25"/>
    <row r="292541" customFormat="1" x14ac:dyDescent="0.25"/>
    <row r="292542" customFormat="1" x14ac:dyDescent="0.25"/>
    <row r="292543" customFormat="1" x14ac:dyDescent="0.25"/>
    <row r="292544" customFormat="1" x14ac:dyDescent="0.25"/>
    <row r="292545" customFormat="1" x14ac:dyDescent="0.25"/>
    <row r="292546" customFormat="1" x14ac:dyDescent="0.25"/>
    <row r="292547" customFormat="1" x14ac:dyDescent="0.25"/>
    <row r="292548" customFormat="1" x14ac:dyDescent="0.25"/>
    <row r="292549" customFormat="1" x14ac:dyDescent="0.25"/>
    <row r="292550" customFormat="1" x14ac:dyDescent="0.25"/>
    <row r="292551" customFormat="1" x14ac:dyDescent="0.25"/>
    <row r="292552" customFormat="1" x14ac:dyDescent="0.25"/>
    <row r="292553" customFormat="1" x14ac:dyDescent="0.25"/>
    <row r="292554" customFormat="1" x14ac:dyDescent="0.25"/>
    <row r="292555" customFormat="1" x14ac:dyDescent="0.25"/>
    <row r="292556" customFormat="1" x14ac:dyDescent="0.25"/>
    <row r="292557" customFormat="1" x14ac:dyDescent="0.25"/>
    <row r="292558" customFormat="1" x14ac:dyDescent="0.25"/>
    <row r="292559" customFormat="1" x14ac:dyDescent="0.25"/>
    <row r="292560" customFormat="1" x14ac:dyDescent="0.25"/>
    <row r="292561" customFormat="1" x14ac:dyDescent="0.25"/>
    <row r="292562" customFormat="1" x14ac:dyDescent="0.25"/>
    <row r="292563" customFormat="1" x14ac:dyDescent="0.25"/>
    <row r="292564" customFormat="1" x14ac:dyDescent="0.25"/>
    <row r="292565" customFormat="1" x14ac:dyDescent="0.25"/>
    <row r="292566" customFormat="1" x14ac:dyDescent="0.25"/>
    <row r="292567" customFormat="1" x14ac:dyDescent="0.25"/>
    <row r="292568" customFormat="1" x14ac:dyDescent="0.25"/>
    <row r="292569" customFormat="1" x14ac:dyDescent="0.25"/>
    <row r="292570" customFormat="1" x14ac:dyDescent="0.25"/>
    <row r="292571" customFormat="1" x14ac:dyDescent="0.25"/>
    <row r="292572" customFormat="1" x14ac:dyDescent="0.25"/>
    <row r="292573" customFormat="1" x14ac:dyDescent="0.25"/>
    <row r="292574" customFormat="1" x14ac:dyDescent="0.25"/>
    <row r="292575" customFormat="1" x14ac:dyDescent="0.25"/>
    <row r="292576" customFormat="1" x14ac:dyDescent="0.25"/>
    <row r="292577" customFormat="1" x14ac:dyDescent="0.25"/>
    <row r="292578" customFormat="1" x14ac:dyDescent="0.25"/>
    <row r="292579" customFormat="1" x14ac:dyDescent="0.25"/>
    <row r="292580" customFormat="1" x14ac:dyDescent="0.25"/>
    <row r="292581" customFormat="1" x14ac:dyDescent="0.25"/>
    <row r="292582" customFormat="1" x14ac:dyDescent="0.25"/>
    <row r="292583" customFormat="1" x14ac:dyDescent="0.25"/>
    <row r="292584" customFormat="1" x14ac:dyDescent="0.25"/>
    <row r="292585" customFormat="1" x14ac:dyDescent="0.25"/>
    <row r="292586" customFormat="1" x14ac:dyDescent="0.25"/>
    <row r="292587" customFormat="1" x14ac:dyDescent="0.25"/>
    <row r="292588" customFormat="1" x14ac:dyDescent="0.25"/>
    <row r="292589" customFormat="1" x14ac:dyDescent="0.25"/>
    <row r="292590" customFormat="1" x14ac:dyDescent="0.25"/>
    <row r="292591" customFormat="1" x14ac:dyDescent="0.25"/>
    <row r="292592" customFormat="1" x14ac:dyDescent="0.25"/>
    <row r="292593" customFormat="1" x14ac:dyDescent="0.25"/>
    <row r="292594" customFormat="1" x14ac:dyDescent="0.25"/>
    <row r="292595" customFormat="1" x14ac:dyDescent="0.25"/>
    <row r="292596" customFormat="1" x14ac:dyDescent="0.25"/>
    <row r="292597" customFormat="1" x14ac:dyDescent="0.25"/>
    <row r="292598" customFormat="1" x14ac:dyDescent="0.25"/>
    <row r="292599" customFormat="1" x14ac:dyDescent="0.25"/>
    <row r="292600" customFormat="1" x14ac:dyDescent="0.25"/>
    <row r="292601" customFormat="1" x14ac:dyDescent="0.25"/>
    <row r="292602" customFormat="1" x14ac:dyDescent="0.25"/>
    <row r="292603" customFormat="1" x14ac:dyDescent="0.25"/>
    <row r="292604" customFormat="1" x14ac:dyDescent="0.25"/>
    <row r="292605" customFormat="1" x14ac:dyDescent="0.25"/>
    <row r="292606" customFormat="1" x14ac:dyDescent="0.25"/>
    <row r="292607" customFormat="1" x14ac:dyDescent="0.25"/>
    <row r="292608" customFormat="1" x14ac:dyDescent="0.25"/>
    <row r="292609" customFormat="1" x14ac:dyDescent="0.25"/>
    <row r="292610" customFormat="1" x14ac:dyDescent="0.25"/>
    <row r="292611" customFormat="1" x14ac:dyDescent="0.25"/>
    <row r="292612" customFormat="1" x14ac:dyDescent="0.25"/>
    <row r="292613" customFormat="1" x14ac:dyDescent="0.25"/>
    <row r="292614" customFormat="1" x14ac:dyDescent="0.25"/>
    <row r="292615" customFormat="1" x14ac:dyDescent="0.25"/>
    <row r="292616" customFormat="1" x14ac:dyDescent="0.25"/>
    <row r="292617" customFormat="1" x14ac:dyDescent="0.25"/>
    <row r="292618" customFormat="1" x14ac:dyDescent="0.25"/>
    <row r="292619" customFormat="1" x14ac:dyDescent="0.25"/>
    <row r="292620" customFormat="1" x14ac:dyDescent="0.25"/>
    <row r="292621" customFormat="1" x14ac:dyDescent="0.25"/>
    <row r="292622" customFormat="1" x14ac:dyDescent="0.25"/>
    <row r="292623" customFormat="1" x14ac:dyDescent="0.25"/>
    <row r="292624" customFormat="1" x14ac:dyDescent="0.25"/>
    <row r="292625" customFormat="1" x14ac:dyDescent="0.25"/>
    <row r="292626" customFormat="1" x14ac:dyDescent="0.25"/>
    <row r="292627" customFormat="1" x14ac:dyDescent="0.25"/>
    <row r="292628" customFormat="1" x14ac:dyDescent="0.25"/>
    <row r="292629" customFormat="1" x14ac:dyDescent="0.25"/>
    <row r="292630" customFormat="1" x14ac:dyDescent="0.25"/>
    <row r="292631" customFormat="1" x14ac:dyDescent="0.25"/>
    <row r="292632" customFormat="1" x14ac:dyDescent="0.25"/>
    <row r="292633" customFormat="1" x14ac:dyDescent="0.25"/>
    <row r="292634" customFormat="1" x14ac:dyDescent="0.25"/>
    <row r="292635" customFormat="1" x14ac:dyDescent="0.25"/>
    <row r="292636" customFormat="1" x14ac:dyDescent="0.25"/>
    <row r="292637" customFormat="1" x14ac:dyDescent="0.25"/>
    <row r="292638" customFormat="1" x14ac:dyDescent="0.25"/>
    <row r="292639" customFormat="1" x14ac:dyDescent="0.25"/>
    <row r="292640" customFormat="1" x14ac:dyDescent="0.25"/>
    <row r="292641" customFormat="1" x14ac:dyDescent="0.25"/>
    <row r="292642" customFormat="1" x14ac:dyDescent="0.25"/>
    <row r="292643" customFormat="1" x14ac:dyDescent="0.25"/>
    <row r="292644" customFormat="1" x14ac:dyDescent="0.25"/>
    <row r="292645" customFormat="1" x14ac:dyDescent="0.25"/>
    <row r="292646" customFormat="1" x14ac:dyDescent="0.25"/>
    <row r="292647" customFormat="1" x14ac:dyDescent="0.25"/>
    <row r="292648" customFormat="1" x14ac:dyDescent="0.25"/>
    <row r="292649" customFormat="1" x14ac:dyDescent="0.25"/>
    <row r="292650" customFormat="1" x14ac:dyDescent="0.25"/>
    <row r="292651" customFormat="1" x14ac:dyDescent="0.25"/>
    <row r="292652" customFormat="1" x14ac:dyDescent="0.25"/>
    <row r="292653" customFormat="1" x14ac:dyDescent="0.25"/>
    <row r="292654" customFormat="1" x14ac:dyDescent="0.25"/>
    <row r="292655" customFormat="1" x14ac:dyDescent="0.25"/>
    <row r="292656" customFormat="1" x14ac:dyDescent="0.25"/>
    <row r="292657" customFormat="1" x14ac:dyDescent="0.25"/>
    <row r="292658" customFormat="1" x14ac:dyDescent="0.25"/>
    <row r="292659" customFormat="1" x14ac:dyDescent="0.25"/>
    <row r="292660" customFormat="1" x14ac:dyDescent="0.25"/>
    <row r="292661" customFormat="1" x14ac:dyDescent="0.25"/>
    <row r="292662" customFormat="1" x14ac:dyDescent="0.25"/>
    <row r="292663" customFormat="1" x14ac:dyDescent="0.25"/>
    <row r="292664" customFormat="1" x14ac:dyDescent="0.25"/>
    <row r="292665" customFormat="1" x14ac:dyDescent="0.25"/>
    <row r="292666" customFormat="1" x14ac:dyDescent="0.25"/>
    <row r="292667" customFormat="1" x14ac:dyDescent="0.25"/>
    <row r="292668" customFormat="1" x14ac:dyDescent="0.25"/>
    <row r="292669" customFormat="1" x14ac:dyDescent="0.25"/>
    <row r="292670" customFormat="1" x14ac:dyDescent="0.25"/>
    <row r="292671" customFormat="1" x14ac:dyDescent="0.25"/>
    <row r="292672" customFormat="1" x14ac:dyDescent="0.25"/>
    <row r="292673" customFormat="1" x14ac:dyDescent="0.25"/>
    <row r="292674" customFormat="1" x14ac:dyDescent="0.25"/>
    <row r="292675" customFormat="1" x14ac:dyDescent="0.25"/>
    <row r="292676" customFormat="1" x14ac:dyDescent="0.25"/>
    <row r="292677" customFormat="1" x14ac:dyDescent="0.25"/>
    <row r="292678" customFormat="1" x14ac:dyDescent="0.25"/>
    <row r="292679" customFormat="1" x14ac:dyDescent="0.25"/>
    <row r="292680" customFormat="1" x14ac:dyDescent="0.25"/>
    <row r="292681" customFormat="1" x14ac:dyDescent="0.25"/>
    <row r="292682" customFormat="1" x14ac:dyDescent="0.25"/>
    <row r="292683" customFormat="1" x14ac:dyDescent="0.25"/>
    <row r="292684" customFormat="1" x14ac:dyDescent="0.25"/>
    <row r="292685" customFormat="1" x14ac:dyDescent="0.25"/>
    <row r="292686" customFormat="1" x14ac:dyDescent="0.25"/>
    <row r="292687" customFormat="1" x14ac:dyDescent="0.25"/>
    <row r="292688" customFormat="1" x14ac:dyDescent="0.25"/>
    <row r="292689" customFormat="1" x14ac:dyDescent="0.25"/>
    <row r="292690" customFormat="1" x14ac:dyDescent="0.25"/>
    <row r="292691" customFormat="1" x14ac:dyDescent="0.25"/>
    <row r="292692" customFormat="1" x14ac:dyDescent="0.25"/>
    <row r="292693" customFormat="1" x14ac:dyDescent="0.25"/>
    <row r="292694" customFormat="1" x14ac:dyDescent="0.25"/>
    <row r="292695" customFormat="1" x14ac:dyDescent="0.25"/>
    <row r="292696" customFormat="1" x14ac:dyDescent="0.25"/>
    <row r="292697" customFormat="1" x14ac:dyDescent="0.25"/>
    <row r="292698" customFormat="1" x14ac:dyDescent="0.25"/>
    <row r="292699" customFormat="1" x14ac:dyDescent="0.25"/>
    <row r="292700" customFormat="1" x14ac:dyDescent="0.25"/>
    <row r="292701" customFormat="1" x14ac:dyDescent="0.25"/>
    <row r="292702" customFormat="1" x14ac:dyDescent="0.25"/>
    <row r="292703" customFormat="1" x14ac:dyDescent="0.25"/>
    <row r="292704" customFormat="1" x14ac:dyDescent="0.25"/>
    <row r="292705" customFormat="1" x14ac:dyDescent="0.25"/>
    <row r="292706" customFormat="1" x14ac:dyDescent="0.25"/>
    <row r="292707" customFormat="1" x14ac:dyDescent="0.25"/>
    <row r="292708" customFormat="1" x14ac:dyDescent="0.25"/>
    <row r="292709" customFormat="1" x14ac:dyDescent="0.25"/>
    <row r="292710" customFormat="1" x14ac:dyDescent="0.25"/>
    <row r="292711" customFormat="1" x14ac:dyDescent="0.25"/>
    <row r="292712" customFormat="1" x14ac:dyDescent="0.25"/>
    <row r="292713" customFormat="1" x14ac:dyDescent="0.25"/>
    <row r="292714" customFormat="1" x14ac:dyDescent="0.25"/>
    <row r="292715" customFormat="1" x14ac:dyDescent="0.25"/>
    <row r="292716" customFormat="1" x14ac:dyDescent="0.25"/>
    <row r="292717" customFormat="1" x14ac:dyDescent="0.25"/>
    <row r="292718" customFormat="1" x14ac:dyDescent="0.25"/>
    <row r="292719" customFormat="1" x14ac:dyDescent="0.25"/>
    <row r="292720" customFormat="1" x14ac:dyDescent="0.25"/>
    <row r="292721" customFormat="1" x14ac:dyDescent="0.25"/>
    <row r="292722" customFormat="1" x14ac:dyDescent="0.25"/>
    <row r="292723" customFormat="1" x14ac:dyDescent="0.25"/>
    <row r="292724" customFormat="1" x14ac:dyDescent="0.25"/>
    <row r="292725" customFormat="1" x14ac:dyDescent="0.25"/>
    <row r="292726" customFormat="1" x14ac:dyDescent="0.25"/>
    <row r="292727" customFormat="1" x14ac:dyDescent="0.25"/>
    <row r="292728" customFormat="1" x14ac:dyDescent="0.25"/>
    <row r="292729" customFormat="1" x14ac:dyDescent="0.25"/>
    <row r="292730" customFormat="1" x14ac:dyDescent="0.25"/>
    <row r="292731" customFormat="1" x14ac:dyDescent="0.25"/>
    <row r="292732" customFormat="1" x14ac:dyDescent="0.25"/>
    <row r="292733" customFormat="1" x14ac:dyDescent="0.25"/>
    <row r="292734" customFormat="1" x14ac:dyDescent="0.25"/>
    <row r="292735" customFormat="1" x14ac:dyDescent="0.25"/>
    <row r="292736" customFormat="1" x14ac:dyDescent="0.25"/>
    <row r="292737" customFormat="1" x14ac:dyDescent="0.25"/>
    <row r="292738" customFormat="1" x14ac:dyDescent="0.25"/>
    <row r="292739" customFormat="1" x14ac:dyDescent="0.25"/>
    <row r="292740" customFormat="1" x14ac:dyDescent="0.25"/>
    <row r="292741" customFormat="1" x14ac:dyDescent="0.25"/>
    <row r="292742" customFormat="1" x14ac:dyDescent="0.25"/>
    <row r="292743" customFormat="1" x14ac:dyDescent="0.25"/>
    <row r="292744" customFormat="1" x14ac:dyDescent="0.25"/>
    <row r="292745" customFormat="1" x14ac:dyDescent="0.25"/>
    <row r="292746" customFormat="1" x14ac:dyDescent="0.25"/>
    <row r="292747" customFormat="1" x14ac:dyDescent="0.25"/>
    <row r="292748" customFormat="1" x14ac:dyDescent="0.25"/>
    <row r="292749" customFormat="1" x14ac:dyDescent="0.25"/>
    <row r="292750" customFormat="1" x14ac:dyDescent="0.25"/>
    <row r="292751" customFormat="1" x14ac:dyDescent="0.25"/>
    <row r="292752" customFormat="1" x14ac:dyDescent="0.25"/>
    <row r="292753" customFormat="1" x14ac:dyDescent="0.25"/>
    <row r="292754" customFormat="1" x14ac:dyDescent="0.25"/>
    <row r="292755" customFormat="1" x14ac:dyDescent="0.25"/>
    <row r="292756" customFormat="1" x14ac:dyDescent="0.25"/>
    <row r="292757" customFormat="1" x14ac:dyDescent="0.25"/>
    <row r="292758" customFormat="1" x14ac:dyDescent="0.25"/>
    <row r="292759" customFormat="1" x14ac:dyDescent="0.25"/>
    <row r="292760" customFormat="1" x14ac:dyDescent="0.25"/>
    <row r="292761" customFormat="1" x14ac:dyDescent="0.25"/>
    <row r="292762" customFormat="1" x14ac:dyDescent="0.25"/>
    <row r="292763" customFormat="1" x14ac:dyDescent="0.25"/>
    <row r="292764" customFormat="1" x14ac:dyDescent="0.25"/>
    <row r="292765" customFormat="1" x14ac:dyDescent="0.25"/>
    <row r="292766" customFormat="1" x14ac:dyDescent="0.25"/>
    <row r="292767" customFormat="1" x14ac:dyDescent="0.25"/>
    <row r="292768" customFormat="1" x14ac:dyDescent="0.25"/>
    <row r="292769" customFormat="1" x14ac:dyDescent="0.25"/>
    <row r="292770" customFormat="1" x14ac:dyDescent="0.25"/>
    <row r="292771" customFormat="1" x14ac:dyDescent="0.25"/>
    <row r="292772" customFormat="1" x14ac:dyDescent="0.25"/>
    <row r="292773" customFormat="1" x14ac:dyDescent="0.25"/>
    <row r="292774" customFormat="1" x14ac:dyDescent="0.25"/>
    <row r="292775" customFormat="1" x14ac:dyDescent="0.25"/>
    <row r="292776" customFormat="1" x14ac:dyDescent="0.25"/>
    <row r="292777" customFormat="1" x14ac:dyDescent="0.25"/>
    <row r="292778" customFormat="1" x14ac:dyDescent="0.25"/>
    <row r="292779" customFormat="1" x14ac:dyDescent="0.25"/>
    <row r="292780" customFormat="1" x14ac:dyDescent="0.25"/>
    <row r="292781" customFormat="1" x14ac:dyDescent="0.25"/>
    <row r="292782" customFormat="1" x14ac:dyDescent="0.25"/>
    <row r="292783" customFormat="1" x14ac:dyDescent="0.25"/>
    <row r="292784" customFormat="1" x14ac:dyDescent="0.25"/>
    <row r="292785" customFormat="1" x14ac:dyDescent="0.25"/>
    <row r="292786" customFormat="1" x14ac:dyDescent="0.25"/>
    <row r="292787" customFormat="1" x14ac:dyDescent="0.25"/>
    <row r="292788" customFormat="1" x14ac:dyDescent="0.25"/>
    <row r="292789" customFormat="1" x14ac:dyDescent="0.25"/>
    <row r="292790" customFormat="1" x14ac:dyDescent="0.25"/>
    <row r="292791" customFormat="1" x14ac:dyDescent="0.25"/>
    <row r="292792" customFormat="1" x14ac:dyDescent="0.25"/>
    <row r="292793" customFormat="1" x14ac:dyDescent="0.25"/>
    <row r="292794" customFormat="1" x14ac:dyDescent="0.25"/>
    <row r="292795" customFormat="1" x14ac:dyDescent="0.25"/>
    <row r="292796" customFormat="1" x14ac:dyDescent="0.25"/>
    <row r="292797" customFormat="1" x14ac:dyDescent="0.25"/>
    <row r="292798" customFormat="1" x14ac:dyDescent="0.25"/>
    <row r="292799" customFormat="1" x14ac:dyDescent="0.25"/>
    <row r="292800" customFormat="1" x14ac:dyDescent="0.25"/>
    <row r="292801" customFormat="1" x14ac:dyDescent="0.25"/>
    <row r="292802" customFormat="1" x14ac:dyDescent="0.25"/>
    <row r="292803" customFormat="1" x14ac:dyDescent="0.25"/>
    <row r="292804" customFormat="1" x14ac:dyDescent="0.25"/>
    <row r="292805" customFormat="1" x14ac:dyDescent="0.25"/>
    <row r="292806" customFormat="1" x14ac:dyDescent="0.25"/>
    <row r="292807" customFormat="1" x14ac:dyDescent="0.25"/>
    <row r="292808" customFormat="1" x14ac:dyDescent="0.25"/>
    <row r="292809" customFormat="1" x14ac:dyDescent="0.25"/>
    <row r="292810" customFormat="1" x14ac:dyDescent="0.25"/>
    <row r="292811" customFormat="1" x14ac:dyDescent="0.25"/>
    <row r="292812" customFormat="1" x14ac:dyDescent="0.25"/>
    <row r="292813" customFormat="1" x14ac:dyDescent="0.25"/>
    <row r="292814" customFormat="1" x14ac:dyDescent="0.25"/>
    <row r="292815" customFormat="1" x14ac:dyDescent="0.25"/>
    <row r="292816" customFormat="1" x14ac:dyDescent="0.25"/>
    <row r="292817" customFormat="1" x14ac:dyDescent="0.25"/>
    <row r="292818" customFormat="1" x14ac:dyDescent="0.25"/>
    <row r="292819" customFormat="1" x14ac:dyDescent="0.25"/>
    <row r="292820" customFormat="1" x14ac:dyDescent="0.25"/>
    <row r="292821" customFormat="1" x14ac:dyDescent="0.25"/>
    <row r="292822" customFormat="1" x14ac:dyDescent="0.25"/>
    <row r="292823" customFormat="1" x14ac:dyDescent="0.25"/>
    <row r="292824" customFormat="1" x14ac:dyDescent="0.25"/>
    <row r="292825" customFormat="1" x14ac:dyDescent="0.25"/>
    <row r="292826" customFormat="1" x14ac:dyDescent="0.25"/>
    <row r="292827" customFormat="1" x14ac:dyDescent="0.25"/>
    <row r="292828" customFormat="1" x14ac:dyDescent="0.25"/>
    <row r="292829" customFormat="1" x14ac:dyDescent="0.25"/>
    <row r="292830" customFormat="1" x14ac:dyDescent="0.25"/>
    <row r="292831" customFormat="1" x14ac:dyDescent="0.25"/>
    <row r="292832" customFormat="1" x14ac:dyDescent="0.25"/>
    <row r="292833" customFormat="1" x14ac:dyDescent="0.25"/>
    <row r="292834" customFormat="1" x14ac:dyDescent="0.25"/>
    <row r="292835" customFormat="1" x14ac:dyDescent="0.25"/>
    <row r="292836" customFormat="1" x14ac:dyDescent="0.25"/>
    <row r="292837" customFormat="1" x14ac:dyDescent="0.25"/>
    <row r="292838" customFormat="1" x14ac:dyDescent="0.25"/>
    <row r="292839" customFormat="1" x14ac:dyDescent="0.25"/>
    <row r="292840" customFormat="1" x14ac:dyDescent="0.25"/>
    <row r="292841" customFormat="1" x14ac:dyDescent="0.25"/>
    <row r="292842" customFormat="1" x14ac:dyDescent="0.25"/>
    <row r="292843" customFormat="1" x14ac:dyDescent="0.25"/>
    <row r="292844" customFormat="1" x14ac:dyDescent="0.25"/>
    <row r="292845" customFormat="1" x14ac:dyDescent="0.25"/>
    <row r="292846" customFormat="1" x14ac:dyDescent="0.25"/>
    <row r="292847" customFormat="1" x14ac:dyDescent="0.25"/>
    <row r="292848" customFormat="1" x14ac:dyDescent="0.25"/>
    <row r="292849" customFormat="1" x14ac:dyDescent="0.25"/>
    <row r="292850" customFormat="1" x14ac:dyDescent="0.25"/>
    <row r="292851" customFormat="1" x14ac:dyDescent="0.25"/>
    <row r="292852" customFormat="1" x14ac:dyDescent="0.25"/>
    <row r="292853" customFormat="1" x14ac:dyDescent="0.25"/>
    <row r="292854" customFormat="1" x14ac:dyDescent="0.25"/>
    <row r="292855" customFormat="1" x14ac:dyDescent="0.25"/>
    <row r="292856" customFormat="1" x14ac:dyDescent="0.25"/>
    <row r="292857" customFormat="1" x14ac:dyDescent="0.25"/>
    <row r="292858" customFormat="1" x14ac:dyDescent="0.25"/>
    <row r="292859" customFormat="1" x14ac:dyDescent="0.25"/>
    <row r="292860" customFormat="1" x14ac:dyDescent="0.25"/>
    <row r="292861" customFormat="1" x14ac:dyDescent="0.25"/>
    <row r="292862" customFormat="1" x14ac:dyDescent="0.25"/>
    <row r="292863" customFormat="1" x14ac:dyDescent="0.25"/>
    <row r="292864" customFormat="1" x14ac:dyDescent="0.25"/>
    <row r="292865" customFormat="1" x14ac:dyDescent="0.25"/>
    <row r="292866" customFormat="1" x14ac:dyDescent="0.25"/>
    <row r="292867" customFormat="1" x14ac:dyDescent="0.25"/>
    <row r="292868" customFormat="1" x14ac:dyDescent="0.25"/>
    <row r="292869" customFormat="1" x14ac:dyDescent="0.25"/>
    <row r="292870" customFormat="1" x14ac:dyDescent="0.25"/>
    <row r="292871" customFormat="1" x14ac:dyDescent="0.25"/>
    <row r="292872" customFormat="1" x14ac:dyDescent="0.25"/>
    <row r="292873" customFormat="1" x14ac:dyDescent="0.25"/>
    <row r="292874" customFormat="1" x14ac:dyDescent="0.25"/>
    <row r="292875" customFormat="1" x14ac:dyDescent="0.25"/>
    <row r="292876" customFormat="1" x14ac:dyDescent="0.25"/>
    <row r="292877" customFormat="1" x14ac:dyDescent="0.25"/>
    <row r="292878" customFormat="1" x14ac:dyDescent="0.25"/>
    <row r="292879" customFormat="1" x14ac:dyDescent="0.25"/>
    <row r="292880" customFormat="1" x14ac:dyDescent="0.25"/>
    <row r="292881" customFormat="1" x14ac:dyDescent="0.25"/>
    <row r="292882" customFormat="1" x14ac:dyDescent="0.25"/>
    <row r="292883" customFormat="1" x14ac:dyDescent="0.25"/>
    <row r="292884" customFormat="1" x14ac:dyDescent="0.25"/>
    <row r="292885" customFormat="1" x14ac:dyDescent="0.25"/>
    <row r="292886" customFormat="1" x14ac:dyDescent="0.25"/>
    <row r="292887" customFormat="1" x14ac:dyDescent="0.25"/>
    <row r="292888" customFormat="1" x14ac:dyDescent="0.25"/>
    <row r="292889" customFormat="1" x14ac:dyDescent="0.25"/>
    <row r="292890" customFormat="1" x14ac:dyDescent="0.25"/>
    <row r="292891" customFormat="1" x14ac:dyDescent="0.25"/>
    <row r="292892" customFormat="1" x14ac:dyDescent="0.25"/>
    <row r="292893" customFormat="1" x14ac:dyDescent="0.25"/>
    <row r="292894" customFormat="1" x14ac:dyDescent="0.25"/>
    <row r="292895" customFormat="1" x14ac:dyDescent="0.25"/>
    <row r="292896" customFormat="1" x14ac:dyDescent="0.25"/>
    <row r="292897" customFormat="1" x14ac:dyDescent="0.25"/>
    <row r="292898" customFormat="1" x14ac:dyDescent="0.25"/>
    <row r="292899" customFormat="1" x14ac:dyDescent="0.25"/>
    <row r="292900" customFormat="1" x14ac:dyDescent="0.25"/>
    <row r="292901" customFormat="1" x14ac:dyDescent="0.25"/>
    <row r="292902" customFormat="1" x14ac:dyDescent="0.25"/>
    <row r="292903" customFormat="1" x14ac:dyDescent="0.25"/>
    <row r="292904" customFormat="1" x14ac:dyDescent="0.25"/>
    <row r="292905" customFormat="1" x14ac:dyDescent="0.25"/>
    <row r="292906" customFormat="1" x14ac:dyDescent="0.25"/>
    <row r="292907" customFormat="1" x14ac:dyDescent="0.25"/>
    <row r="292908" customFormat="1" x14ac:dyDescent="0.25"/>
    <row r="292909" customFormat="1" x14ac:dyDescent="0.25"/>
    <row r="292910" customFormat="1" x14ac:dyDescent="0.25"/>
    <row r="292911" customFormat="1" x14ac:dyDescent="0.25"/>
    <row r="292912" customFormat="1" x14ac:dyDescent="0.25"/>
    <row r="292913" customFormat="1" x14ac:dyDescent="0.25"/>
    <row r="292914" customFormat="1" x14ac:dyDescent="0.25"/>
    <row r="292915" customFormat="1" x14ac:dyDescent="0.25"/>
    <row r="292916" customFormat="1" x14ac:dyDescent="0.25"/>
    <row r="292917" customFormat="1" x14ac:dyDescent="0.25"/>
    <row r="292918" customFormat="1" x14ac:dyDescent="0.25"/>
    <row r="292919" customFormat="1" x14ac:dyDescent="0.25"/>
    <row r="292920" customFormat="1" x14ac:dyDescent="0.25"/>
    <row r="292921" customFormat="1" x14ac:dyDescent="0.25"/>
    <row r="292922" customFormat="1" x14ac:dyDescent="0.25"/>
    <row r="292923" customFormat="1" x14ac:dyDescent="0.25"/>
    <row r="292924" customFormat="1" x14ac:dyDescent="0.25"/>
    <row r="292925" customFormat="1" x14ac:dyDescent="0.25"/>
    <row r="292926" customFormat="1" x14ac:dyDescent="0.25"/>
    <row r="292927" customFormat="1" x14ac:dyDescent="0.25"/>
    <row r="292928" customFormat="1" x14ac:dyDescent="0.25"/>
    <row r="292929" customFormat="1" x14ac:dyDescent="0.25"/>
    <row r="292930" customFormat="1" x14ac:dyDescent="0.25"/>
    <row r="292931" customFormat="1" x14ac:dyDescent="0.25"/>
    <row r="292932" customFormat="1" x14ac:dyDescent="0.25"/>
    <row r="292933" customFormat="1" x14ac:dyDescent="0.25"/>
    <row r="292934" customFormat="1" x14ac:dyDescent="0.25"/>
    <row r="292935" customFormat="1" x14ac:dyDescent="0.25"/>
    <row r="292936" customFormat="1" x14ac:dyDescent="0.25"/>
    <row r="292937" customFormat="1" x14ac:dyDescent="0.25"/>
    <row r="292938" customFormat="1" x14ac:dyDescent="0.25"/>
    <row r="292939" customFormat="1" x14ac:dyDescent="0.25"/>
    <row r="292940" customFormat="1" x14ac:dyDescent="0.25"/>
    <row r="292941" customFormat="1" x14ac:dyDescent="0.25"/>
    <row r="292942" customFormat="1" x14ac:dyDescent="0.25"/>
    <row r="292943" customFormat="1" x14ac:dyDescent="0.25"/>
    <row r="292944" customFormat="1" x14ac:dyDescent="0.25"/>
    <row r="292945" customFormat="1" x14ac:dyDescent="0.25"/>
    <row r="292946" customFormat="1" x14ac:dyDescent="0.25"/>
    <row r="292947" customFormat="1" x14ac:dyDescent="0.25"/>
    <row r="292948" customFormat="1" x14ac:dyDescent="0.25"/>
    <row r="292949" customFormat="1" x14ac:dyDescent="0.25"/>
    <row r="292950" customFormat="1" x14ac:dyDescent="0.25"/>
    <row r="292951" customFormat="1" x14ac:dyDescent="0.25"/>
    <row r="292952" customFormat="1" x14ac:dyDescent="0.25"/>
    <row r="292953" customFormat="1" x14ac:dyDescent="0.25"/>
    <row r="292954" customFormat="1" x14ac:dyDescent="0.25"/>
    <row r="292955" customFormat="1" x14ac:dyDescent="0.25"/>
    <row r="292956" customFormat="1" x14ac:dyDescent="0.25"/>
    <row r="292957" customFormat="1" x14ac:dyDescent="0.25"/>
    <row r="292958" customFormat="1" x14ac:dyDescent="0.25"/>
    <row r="292959" customFormat="1" x14ac:dyDescent="0.25"/>
    <row r="292960" customFormat="1" x14ac:dyDescent="0.25"/>
    <row r="292961" customFormat="1" x14ac:dyDescent="0.25"/>
    <row r="292962" customFormat="1" x14ac:dyDescent="0.25"/>
    <row r="292963" customFormat="1" x14ac:dyDescent="0.25"/>
    <row r="292964" customFormat="1" x14ac:dyDescent="0.25"/>
    <row r="292965" customFormat="1" x14ac:dyDescent="0.25"/>
    <row r="292966" customFormat="1" x14ac:dyDescent="0.25"/>
    <row r="292967" customFormat="1" x14ac:dyDescent="0.25"/>
    <row r="292968" customFormat="1" x14ac:dyDescent="0.25"/>
    <row r="292969" customFormat="1" x14ac:dyDescent="0.25"/>
    <row r="292970" customFormat="1" x14ac:dyDescent="0.25"/>
    <row r="292971" customFormat="1" x14ac:dyDescent="0.25"/>
    <row r="292972" customFormat="1" x14ac:dyDescent="0.25"/>
    <row r="292973" customFormat="1" x14ac:dyDescent="0.25"/>
    <row r="292974" customFormat="1" x14ac:dyDescent="0.25"/>
    <row r="292975" customFormat="1" x14ac:dyDescent="0.25"/>
    <row r="292976" customFormat="1" x14ac:dyDescent="0.25"/>
    <row r="292977" customFormat="1" x14ac:dyDescent="0.25"/>
    <row r="292978" customFormat="1" x14ac:dyDescent="0.25"/>
    <row r="292979" customFormat="1" x14ac:dyDescent="0.25"/>
    <row r="292980" customFormat="1" x14ac:dyDescent="0.25"/>
    <row r="292981" customFormat="1" x14ac:dyDescent="0.25"/>
    <row r="292982" customFormat="1" x14ac:dyDescent="0.25"/>
    <row r="292983" customFormat="1" x14ac:dyDescent="0.25"/>
    <row r="292984" customFormat="1" x14ac:dyDescent="0.25"/>
    <row r="292985" customFormat="1" x14ac:dyDescent="0.25"/>
    <row r="292986" customFormat="1" x14ac:dyDescent="0.25"/>
    <row r="292987" customFormat="1" x14ac:dyDescent="0.25"/>
    <row r="292988" customFormat="1" x14ac:dyDescent="0.25"/>
    <row r="292989" customFormat="1" x14ac:dyDescent="0.25"/>
    <row r="292990" customFormat="1" x14ac:dyDescent="0.25"/>
    <row r="292991" customFormat="1" x14ac:dyDescent="0.25"/>
    <row r="292992" customFormat="1" x14ac:dyDescent="0.25"/>
    <row r="292993" customFormat="1" x14ac:dyDescent="0.25"/>
    <row r="292994" customFormat="1" x14ac:dyDescent="0.25"/>
    <row r="292995" customFormat="1" x14ac:dyDescent="0.25"/>
    <row r="292996" customFormat="1" x14ac:dyDescent="0.25"/>
    <row r="292997" customFormat="1" x14ac:dyDescent="0.25"/>
    <row r="292998" customFormat="1" x14ac:dyDescent="0.25"/>
    <row r="292999" customFormat="1" x14ac:dyDescent="0.25"/>
    <row r="293000" customFormat="1" x14ac:dyDescent="0.25"/>
    <row r="293001" customFormat="1" x14ac:dyDescent="0.25"/>
    <row r="293002" customFormat="1" x14ac:dyDescent="0.25"/>
    <row r="293003" customFormat="1" x14ac:dyDescent="0.25"/>
    <row r="293004" customFormat="1" x14ac:dyDescent="0.25"/>
    <row r="293005" customFormat="1" x14ac:dyDescent="0.25"/>
    <row r="293006" customFormat="1" x14ac:dyDescent="0.25"/>
    <row r="293007" customFormat="1" x14ac:dyDescent="0.25"/>
    <row r="293008" customFormat="1" x14ac:dyDescent="0.25"/>
    <row r="293009" customFormat="1" x14ac:dyDescent="0.25"/>
    <row r="293010" customFormat="1" x14ac:dyDescent="0.25"/>
    <row r="293011" customFormat="1" x14ac:dyDescent="0.25"/>
    <row r="293012" customFormat="1" x14ac:dyDescent="0.25"/>
    <row r="293013" customFormat="1" x14ac:dyDescent="0.25"/>
    <row r="293014" customFormat="1" x14ac:dyDescent="0.25"/>
    <row r="293015" customFormat="1" x14ac:dyDescent="0.25"/>
    <row r="293016" customFormat="1" x14ac:dyDescent="0.25"/>
    <row r="293017" customFormat="1" x14ac:dyDescent="0.25"/>
    <row r="293018" customFormat="1" x14ac:dyDescent="0.25"/>
    <row r="293019" customFormat="1" x14ac:dyDescent="0.25"/>
    <row r="293020" customFormat="1" x14ac:dyDescent="0.25"/>
    <row r="293021" customFormat="1" x14ac:dyDescent="0.25"/>
    <row r="293022" customFormat="1" x14ac:dyDescent="0.25"/>
    <row r="293023" customFormat="1" x14ac:dyDescent="0.25"/>
    <row r="293024" customFormat="1" x14ac:dyDescent="0.25"/>
    <row r="293025" customFormat="1" x14ac:dyDescent="0.25"/>
    <row r="293026" customFormat="1" x14ac:dyDescent="0.25"/>
    <row r="293027" customFormat="1" x14ac:dyDescent="0.25"/>
    <row r="293028" customFormat="1" x14ac:dyDescent="0.25"/>
    <row r="293029" customFormat="1" x14ac:dyDescent="0.25"/>
    <row r="293030" customFormat="1" x14ac:dyDescent="0.25"/>
    <row r="293031" customFormat="1" x14ac:dyDescent="0.25"/>
    <row r="293032" customFormat="1" x14ac:dyDescent="0.25"/>
    <row r="293033" customFormat="1" x14ac:dyDescent="0.25"/>
    <row r="293034" customFormat="1" x14ac:dyDescent="0.25"/>
    <row r="293035" customFormat="1" x14ac:dyDescent="0.25"/>
    <row r="293036" customFormat="1" x14ac:dyDescent="0.25"/>
    <row r="293037" customFormat="1" x14ac:dyDescent="0.25"/>
    <row r="293038" customFormat="1" x14ac:dyDescent="0.25"/>
    <row r="293039" customFormat="1" x14ac:dyDescent="0.25"/>
    <row r="293040" customFormat="1" x14ac:dyDescent="0.25"/>
    <row r="293041" customFormat="1" x14ac:dyDescent="0.25"/>
    <row r="293042" customFormat="1" x14ac:dyDescent="0.25"/>
    <row r="293043" customFormat="1" x14ac:dyDescent="0.25"/>
    <row r="293044" customFormat="1" x14ac:dyDescent="0.25"/>
    <row r="293045" customFormat="1" x14ac:dyDescent="0.25"/>
    <row r="293046" customFormat="1" x14ac:dyDescent="0.25"/>
    <row r="293047" customFormat="1" x14ac:dyDescent="0.25"/>
    <row r="293048" customFormat="1" x14ac:dyDescent="0.25"/>
    <row r="293049" customFormat="1" x14ac:dyDescent="0.25"/>
    <row r="293050" customFormat="1" x14ac:dyDescent="0.25"/>
    <row r="293051" customFormat="1" x14ac:dyDescent="0.25"/>
    <row r="293052" customFormat="1" x14ac:dyDescent="0.25"/>
    <row r="293053" customFormat="1" x14ac:dyDescent="0.25"/>
    <row r="293054" customFormat="1" x14ac:dyDescent="0.25"/>
    <row r="293055" customFormat="1" x14ac:dyDescent="0.25"/>
    <row r="293056" customFormat="1" x14ac:dyDescent="0.25"/>
    <row r="293057" customFormat="1" x14ac:dyDescent="0.25"/>
    <row r="293058" customFormat="1" x14ac:dyDescent="0.25"/>
    <row r="293059" customFormat="1" x14ac:dyDescent="0.25"/>
    <row r="293060" customFormat="1" x14ac:dyDescent="0.25"/>
    <row r="293061" customFormat="1" x14ac:dyDescent="0.25"/>
    <row r="293062" customFormat="1" x14ac:dyDescent="0.25"/>
    <row r="293063" customFormat="1" x14ac:dyDescent="0.25"/>
    <row r="293064" customFormat="1" x14ac:dyDescent="0.25"/>
    <row r="293065" customFormat="1" x14ac:dyDescent="0.25"/>
    <row r="293066" customFormat="1" x14ac:dyDescent="0.25"/>
    <row r="293067" customFormat="1" x14ac:dyDescent="0.25"/>
    <row r="293068" customFormat="1" x14ac:dyDescent="0.25"/>
    <row r="293069" customFormat="1" x14ac:dyDescent="0.25"/>
    <row r="293070" customFormat="1" x14ac:dyDescent="0.25"/>
    <row r="293071" customFormat="1" x14ac:dyDescent="0.25"/>
    <row r="293072" customFormat="1" x14ac:dyDescent="0.25"/>
    <row r="293073" customFormat="1" x14ac:dyDescent="0.25"/>
    <row r="293074" customFormat="1" x14ac:dyDescent="0.25"/>
    <row r="293075" customFormat="1" x14ac:dyDescent="0.25"/>
    <row r="293076" customFormat="1" x14ac:dyDescent="0.25"/>
    <row r="293077" customFormat="1" x14ac:dyDescent="0.25"/>
    <row r="293078" customFormat="1" x14ac:dyDescent="0.25"/>
    <row r="293079" customFormat="1" x14ac:dyDescent="0.25"/>
    <row r="293080" customFormat="1" x14ac:dyDescent="0.25"/>
    <row r="293081" customFormat="1" x14ac:dyDescent="0.25"/>
    <row r="293082" customFormat="1" x14ac:dyDescent="0.25"/>
    <row r="293083" customFormat="1" x14ac:dyDescent="0.25"/>
    <row r="293084" customFormat="1" x14ac:dyDescent="0.25"/>
    <row r="293085" customFormat="1" x14ac:dyDescent="0.25"/>
    <row r="293086" customFormat="1" x14ac:dyDescent="0.25"/>
    <row r="293087" customFormat="1" x14ac:dyDescent="0.25"/>
    <row r="293088" customFormat="1" x14ac:dyDescent="0.25"/>
    <row r="293089" customFormat="1" x14ac:dyDescent="0.25"/>
    <row r="293090" customFormat="1" x14ac:dyDescent="0.25"/>
    <row r="293091" customFormat="1" x14ac:dyDescent="0.25"/>
    <row r="293092" customFormat="1" x14ac:dyDescent="0.25"/>
    <row r="293093" customFormat="1" x14ac:dyDescent="0.25"/>
    <row r="293094" customFormat="1" x14ac:dyDescent="0.25"/>
    <row r="293095" customFormat="1" x14ac:dyDescent="0.25"/>
    <row r="293096" customFormat="1" x14ac:dyDescent="0.25"/>
    <row r="293097" customFormat="1" x14ac:dyDescent="0.25"/>
    <row r="293098" customFormat="1" x14ac:dyDescent="0.25"/>
    <row r="293099" customFormat="1" x14ac:dyDescent="0.25"/>
    <row r="293100" customFormat="1" x14ac:dyDescent="0.25"/>
    <row r="293101" customFormat="1" x14ac:dyDescent="0.25"/>
    <row r="293102" customFormat="1" x14ac:dyDescent="0.25"/>
    <row r="293103" customFormat="1" x14ac:dyDescent="0.25"/>
    <row r="293104" customFormat="1" x14ac:dyDescent="0.25"/>
    <row r="293105" customFormat="1" x14ac:dyDescent="0.25"/>
    <row r="293106" customFormat="1" x14ac:dyDescent="0.25"/>
    <row r="293107" customFormat="1" x14ac:dyDescent="0.25"/>
    <row r="293108" customFormat="1" x14ac:dyDescent="0.25"/>
    <row r="293109" customFormat="1" x14ac:dyDescent="0.25"/>
    <row r="293110" customFormat="1" x14ac:dyDescent="0.25"/>
    <row r="293111" customFormat="1" x14ac:dyDescent="0.25"/>
    <row r="293112" customFormat="1" x14ac:dyDescent="0.25"/>
    <row r="293113" customFormat="1" x14ac:dyDescent="0.25"/>
    <row r="293114" customFormat="1" x14ac:dyDescent="0.25"/>
    <row r="293115" customFormat="1" x14ac:dyDescent="0.25"/>
    <row r="293116" customFormat="1" x14ac:dyDescent="0.25"/>
    <row r="293117" customFormat="1" x14ac:dyDescent="0.25"/>
    <row r="293118" customFormat="1" x14ac:dyDescent="0.25"/>
    <row r="293119" customFormat="1" x14ac:dyDescent="0.25"/>
    <row r="293120" customFormat="1" x14ac:dyDescent="0.25"/>
    <row r="293121" customFormat="1" x14ac:dyDescent="0.25"/>
    <row r="293122" customFormat="1" x14ac:dyDescent="0.25"/>
    <row r="293123" customFormat="1" x14ac:dyDescent="0.25"/>
    <row r="293124" customFormat="1" x14ac:dyDescent="0.25"/>
    <row r="293125" customFormat="1" x14ac:dyDescent="0.25"/>
    <row r="293126" customFormat="1" x14ac:dyDescent="0.25"/>
    <row r="293127" customFormat="1" x14ac:dyDescent="0.25"/>
    <row r="293128" customFormat="1" x14ac:dyDescent="0.25"/>
    <row r="293129" customFormat="1" x14ac:dyDescent="0.25"/>
    <row r="293130" customFormat="1" x14ac:dyDescent="0.25"/>
    <row r="293131" customFormat="1" x14ac:dyDescent="0.25"/>
    <row r="293132" customFormat="1" x14ac:dyDescent="0.25"/>
    <row r="293133" customFormat="1" x14ac:dyDescent="0.25"/>
    <row r="293134" customFormat="1" x14ac:dyDescent="0.25"/>
    <row r="293135" customFormat="1" x14ac:dyDescent="0.25"/>
    <row r="293136" customFormat="1" x14ac:dyDescent="0.25"/>
    <row r="293137" customFormat="1" x14ac:dyDescent="0.25"/>
    <row r="293138" customFormat="1" x14ac:dyDescent="0.25"/>
    <row r="293139" customFormat="1" x14ac:dyDescent="0.25"/>
    <row r="293140" customFormat="1" x14ac:dyDescent="0.25"/>
    <row r="293141" customFormat="1" x14ac:dyDescent="0.25"/>
    <row r="293142" customFormat="1" x14ac:dyDescent="0.25"/>
    <row r="293143" customFormat="1" x14ac:dyDescent="0.25"/>
    <row r="293144" customFormat="1" x14ac:dyDescent="0.25"/>
    <row r="293145" customFormat="1" x14ac:dyDescent="0.25"/>
    <row r="293146" customFormat="1" x14ac:dyDescent="0.25"/>
    <row r="293147" customFormat="1" x14ac:dyDescent="0.25"/>
    <row r="293148" customFormat="1" x14ac:dyDescent="0.25"/>
    <row r="293149" customFormat="1" x14ac:dyDescent="0.25"/>
    <row r="293150" customFormat="1" x14ac:dyDescent="0.25"/>
    <row r="293151" customFormat="1" x14ac:dyDescent="0.25"/>
    <row r="293152" customFormat="1" x14ac:dyDescent="0.25"/>
    <row r="293153" customFormat="1" x14ac:dyDescent="0.25"/>
    <row r="293154" customFormat="1" x14ac:dyDescent="0.25"/>
    <row r="293155" customFormat="1" x14ac:dyDescent="0.25"/>
    <row r="293156" customFormat="1" x14ac:dyDescent="0.25"/>
    <row r="293157" customFormat="1" x14ac:dyDescent="0.25"/>
    <row r="293158" customFormat="1" x14ac:dyDescent="0.25"/>
    <row r="293159" customFormat="1" x14ac:dyDescent="0.25"/>
    <row r="293160" customFormat="1" x14ac:dyDescent="0.25"/>
    <row r="293161" customFormat="1" x14ac:dyDescent="0.25"/>
    <row r="293162" customFormat="1" x14ac:dyDescent="0.25"/>
    <row r="293163" customFormat="1" x14ac:dyDescent="0.25"/>
    <row r="293164" customFormat="1" x14ac:dyDescent="0.25"/>
    <row r="293165" customFormat="1" x14ac:dyDescent="0.25"/>
    <row r="293166" customFormat="1" x14ac:dyDescent="0.25"/>
    <row r="293167" customFormat="1" x14ac:dyDescent="0.25"/>
    <row r="293168" customFormat="1" x14ac:dyDescent="0.25"/>
    <row r="293169" customFormat="1" x14ac:dyDescent="0.25"/>
    <row r="293170" customFormat="1" x14ac:dyDescent="0.25"/>
    <row r="293171" customFormat="1" x14ac:dyDescent="0.25"/>
    <row r="293172" customFormat="1" x14ac:dyDescent="0.25"/>
    <row r="293173" customFormat="1" x14ac:dyDescent="0.25"/>
    <row r="293174" customFormat="1" x14ac:dyDescent="0.25"/>
    <row r="293175" customFormat="1" x14ac:dyDescent="0.25"/>
    <row r="293176" customFormat="1" x14ac:dyDescent="0.25"/>
    <row r="293177" customFormat="1" x14ac:dyDescent="0.25"/>
    <row r="293178" customFormat="1" x14ac:dyDescent="0.25"/>
    <row r="293179" customFormat="1" x14ac:dyDescent="0.25"/>
    <row r="293180" customFormat="1" x14ac:dyDescent="0.25"/>
    <row r="293181" customFormat="1" x14ac:dyDescent="0.25"/>
    <row r="293182" customFormat="1" x14ac:dyDescent="0.25"/>
    <row r="293183" customFormat="1" x14ac:dyDescent="0.25"/>
    <row r="293184" customFormat="1" x14ac:dyDescent="0.25"/>
    <row r="293185" customFormat="1" x14ac:dyDescent="0.25"/>
    <row r="293186" customFormat="1" x14ac:dyDescent="0.25"/>
    <row r="293187" customFormat="1" x14ac:dyDescent="0.25"/>
    <row r="293188" customFormat="1" x14ac:dyDescent="0.25"/>
    <row r="293189" customFormat="1" x14ac:dyDescent="0.25"/>
    <row r="293190" customFormat="1" x14ac:dyDescent="0.25"/>
    <row r="293191" customFormat="1" x14ac:dyDescent="0.25"/>
    <row r="293192" customFormat="1" x14ac:dyDescent="0.25"/>
    <row r="293193" customFormat="1" x14ac:dyDescent="0.25"/>
    <row r="293194" customFormat="1" x14ac:dyDescent="0.25"/>
    <row r="293195" customFormat="1" x14ac:dyDescent="0.25"/>
    <row r="293196" customFormat="1" x14ac:dyDescent="0.25"/>
    <row r="293197" customFormat="1" x14ac:dyDescent="0.25"/>
    <row r="293198" customFormat="1" x14ac:dyDescent="0.25"/>
    <row r="293199" customFormat="1" x14ac:dyDescent="0.25"/>
    <row r="293200" customFormat="1" x14ac:dyDescent="0.25"/>
    <row r="293201" customFormat="1" x14ac:dyDescent="0.25"/>
    <row r="293202" customFormat="1" x14ac:dyDescent="0.25"/>
    <row r="293203" customFormat="1" x14ac:dyDescent="0.25"/>
    <row r="293204" customFormat="1" x14ac:dyDescent="0.25"/>
    <row r="293205" customFormat="1" x14ac:dyDescent="0.25"/>
    <row r="293206" customFormat="1" x14ac:dyDescent="0.25"/>
    <row r="293207" customFormat="1" x14ac:dyDescent="0.25"/>
    <row r="293208" customFormat="1" x14ac:dyDescent="0.25"/>
    <row r="293209" customFormat="1" x14ac:dyDescent="0.25"/>
    <row r="293210" customFormat="1" x14ac:dyDescent="0.25"/>
    <row r="293211" customFormat="1" x14ac:dyDescent="0.25"/>
    <row r="293212" customFormat="1" x14ac:dyDescent="0.25"/>
    <row r="293213" customFormat="1" x14ac:dyDescent="0.25"/>
    <row r="293214" customFormat="1" x14ac:dyDescent="0.25"/>
    <row r="293215" customFormat="1" x14ac:dyDescent="0.25"/>
    <row r="293216" customFormat="1" x14ac:dyDescent="0.25"/>
    <row r="293217" customFormat="1" x14ac:dyDescent="0.25"/>
    <row r="293218" customFormat="1" x14ac:dyDescent="0.25"/>
    <row r="293219" customFormat="1" x14ac:dyDescent="0.25"/>
    <row r="293220" customFormat="1" x14ac:dyDescent="0.25"/>
    <row r="293221" customFormat="1" x14ac:dyDescent="0.25"/>
    <row r="293222" customFormat="1" x14ac:dyDescent="0.25"/>
    <row r="293223" customFormat="1" x14ac:dyDescent="0.25"/>
    <row r="293224" customFormat="1" x14ac:dyDescent="0.25"/>
    <row r="293225" customFormat="1" x14ac:dyDescent="0.25"/>
    <row r="293226" customFormat="1" x14ac:dyDescent="0.25"/>
    <row r="293227" customFormat="1" x14ac:dyDescent="0.25"/>
    <row r="293228" customFormat="1" x14ac:dyDescent="0.25"/>
    <row r="293229" customFormat="1" x14ac:dyDescent="0.25"/>
    <row r="293230" customFormat="1" x14ac:dyDescent="0.25"/>
    <row r="293231" customFormat="1" x14ac:dyDescent="0.25"/>
    <row r="293232" customFormat="1" x14ac:dyDescent="0.25"/>
    <row r="293233" customFormat="1" x14ac:dyDescent="0.25"/>
    <row r="293234" customFormat="1" x14ac:dyDescent="0.25"/>
    <row r="293235" customFormat="1" x14ac:dyDescent="0.25"/>
    <row r="293236" customFormat="1" x14ac:dyDescent="0.25"/>
    <row r="293237" customFormat="1" x14ac:dyDescent="0.25"/>
    <row r="293238" customFormat="1" x14ac:dyDescent="0.25"/>
    <row r="293239" customFormat="1" x14ac:dyDescent="0.25"/>
    <row r="293240" customFormat="1" x14ac:dyDescent="0.25"/>
    <row r="293241" customFormat="1" x14ac:dyDescent="0.25"/>
    <row r="293242" customFormat="1" x14ac:dyDescent="0.25"/>
    <row r="293243" customFormat="1" x14ac:dyDescent="0.25"/>
    <row r="293244" customFormat="1" x14ac:dyDescent="0.25"/>
    <row r="293245" customFormat="1" x14ac:dyDescent="0.25"/>
    <row r="293246" customFormat="1" x14ac:dyDescent="0.25"/>
    <row r="293247" customFormat="1" x14ac:dyDescent="0.25"/>
    <row r="293248" customFormat="1" x14ac:dyDescent="0.25"/>
    <row r="293249" customFormat="1" x14ac:dyDescent="0.25"/>
    <row r="293250" customFormat="1" x14ac:dyDescent="0.25"/>
    <row r="293251" customFormat="1" x14ac:dyDescent="0.25"/>
    <row r="293252" customFormat="1" x14ac:dyDescent="0.25"/>
    <row r="293253" customFormat="1" x14ac:dyDescent="0.25"/>
    <row r="293254" customFormat="1" x14ac:dyDescent="0.25"/>
    <row r="293255" customFormat="1" x14ac:dyDescent="0.25"/>
    <row r="293256" customFormat="1" x14ac:dyDescent="0.25"/>
    <row r="293257" customFormat="1" x14ac:dyDescent="0.25"/>
    <row r="293258" customFormat="1" x14ac:dyDescent="0.25"/>
    <row r="293259" customFormat="1" x14ac:dyDescent="0.25"/>
    <row r="293260" customFormat="1" x14ac:dyDescent="0.25"/>
    <row r="293261" customFormat="1" x14ac:dyDescent="0.25"/>
    <row r="293262" customFormat="1" x14ac:dyDescent="0.25"/>
    <row r="293263" customFormat="1" x14ac:dyDescent="0.25"/>
    <row r="293264" customFormat="1" x14ac:dyDescent="0.25"/>
    <row r="293265" customFormat="1" x14ac:dyDescent="0.25"/>
    <row r="293266" customFormat="1" x14ac:dyDescent="0.25"/>
    <row r="293267" customFormat="1" x14ac:dyDescent="0.25"/>
    <row r="293268" customFormat="1" x14ac:dyDescent="0.25"/>
    <row r="293269" customFormat="1" x14ac:dyDescent="0.25"/>
    <row r="293270" customFormat="1" x14ac:dyDescent="0.25"/>
    <row r="293271" customFormat="1" x14ac:dyDescent="0.25"/>
    <row r="293272" customFormat="1" x14ac:dyDescent="0.25"/>
    <row r="293273" customFormat="1" x14ac:dyDescent="0.25"/>
    <row r="293274" customFormat="1" x14ac:dyDescent="0.25"/>
    <row r="293275" customFormat="1" x14ac:dyDescent="0.25"/>
    <row r="293276" customFormat="1" x14ac:dyDescent="0.25"/>
    <row r="293277" customFormat="1" x14ac:dyDescent="0.25"/>
    <row r="293278" customFormat="1" x14ac:dyDescent="0.25"/>
    <row r="293279" customFormat="1" x14ac:dyDescent="0.25"/>
    <row r="293280" customFormat="1" x14ac:dyDescent="0.25"/>
    <row r="293281" customFormat="1" x14ac:dyDescent="0.25"/>
    <row r="293282" customFormat="1" x14ac:dyDescent="0.25"/>
    <row r="293283" customFormat="1" x14ac:dyDescent="0.25"/>
    <row r="293284" customFormat="1" x14ac:dyDescent="0.25"/>
    <row r="293285" customFormat="1" x14ac:dyDescent="0.25"/>
    <row r="293286" customFormat="1" x14ac:dyDescent="0.25"/>
    <row r="293287" customFormat="1" x14ac:dyDescent="0.25"/>
    <row r="293288" customFormat="1" x14ac:dyDescent="0.25"/>
    <row r="293289" customFormat="1" x14ac:dyDescent="0.25"/>
    <row r="293290" customFormat="1" x14ac:dyDescent="0.25"/>
    <row r="293291" customFormat="1" x14ac:dyDescent="0.25"/>
    <row r="293292" customFormat="1" x14ac:dyDescent="0.25"/>
    <row r="293293" customFormat="1" x14ac:dyDescent="0.25"/>
    <row r="293294" customFormat="1" x14ac:dyDescent="0.25"/>
    <row r="293295" customFormat="1" x14ac:dyDescent="0.25"/>
    <row r="293296" customFormat="1" x14ac:dyDescent="0.25"/>
    <row r="293297" customFormat="1" x14ac:dyDescent="0.25"/>
    <row r="293298" customFormat="1" x14ac:dyDescent="0.25"/>
    <row r="293299" customFormat="1" x14ac:dyDescent="0.25"/>
    <row r="293300" customFormat="1" x14ac:dyDescent="0.25"/>
    <row r="293301" customFormat="1" x14ac:dyDescent="0.25"/>
    <row r="293302" customFormat="1" x14ac:dyDescent="0.25"/>
    <row r="293303" customFormat="1" x14ac:dyDescent="0.25"/>
    <row r="293304" customFormat="1" x14ac:dyDescent="0.25"/>
    <row r="293305" customFormat="1" x14ac:dyDescent="0.25"/>
    <row r="293306" customFormat="1" x14ac:dyDescent="0.25"/>
    <row r="293307" customFormat="1" x14ac:dyDescent="0.25"/>
    <row r="293308" customFormat="1" x14ac:dyDescent="0.25"/>
    <row r="293309" customFormat="1" x14ac:dyDescent="0.25"/>
    <row r="293310" customFormat="1" x14ac:dyDescent="0.25"/>
    <row r="293311" customFormat="1" x14ac:dyDescent="0.25"/>
    <row r="293312" customFormat="1" x14ac:dyDescent="0.25"/>
    <row r="293313" customFormat="1" x14ac:dyDescent="0.25"/>
    <row r="293314" customFormat="1" x14ac:dyDescent="0.25"/>
    <row r="293315" customFormat="1" x14ac:dyDescent="0.25"/>
    <row r="293316" customFormat="1" x14ac:dyDescent="0.25"/>
    <row r="293317" customFormat="1" x14ac:dyDescent="0.25"/>
    <row r="293318" customFormat="1" x14ac:dyDescent="0.25"/>
    <row r="293319" customFormat="1" x14ac:dyDescent="0.25"/>
    <row r="293320" customFormat="1" x14ac:dyDescent="0.25"/>
    <row r="293321" customFormat="1" x14ac:dyDescent="0.25"/>
    <row r="293322" customFormat="1" x14ac:dyDescent="0.25"/>
    <row r="293323" customFormat="1" x14ac:dyDescent="0.25"/>
    <row r="293324" customFormat="1" x14ac:dyDescent="0.25"/>
    <row r="293325" customFormat="1" x14ac:dyDescent="0.25"/>
    <row r="293326" customFormat="1" x14ac:dyDescent="0.25"/>
    <row r="293327" customFormat="1" x14ac:dyDescent="0.25"/>
    <row r="293328" customFormat="1" x14ac:dyDescent="0.25"/>
    <row r="293329" customFormat="1" x14ac:dyDescent="0.25"/>
    <row r="293330" customFormat="1" x14ac:dyDescent="0.25"/>
    <row r="293331" customFormat="1" x14ac:dyDescent="0.25"/>
    <row r="293332" customFormat="1" x14ac:dyDescent="0.25"/>
    <row r="293333" customFormat="1" x14ac:dyDescent="0.25"/>
    <row r="293334" customFormat="1" x14ac:dyDescent="0.25"/>
    <row r="293335" customFormat="1" x14ac:dyDescent="0.25"/>
    <row r="293336" customFormat="1" x14ac:dyDescent="0.25"/>
    <row r="293337" customFormat="1" x14ac:dyDescent="0.25"/>
    <row r="293338" customFormat="1" x14ac:dyDescent="0.25"/>
    <row r="293339" customFormat="1" x14ac:dyDescent="0.25"/>
    <row r="293340" customFormat="1" x14ac:dyDescent="0.25"/>
    <row r="293341" customFormat="1" x14ac:dyDescent="0.25"/>
    <row r="293342" customFormat="1" x14ac:dyDescent="0.25"/>
    <row r="293343" customFormat="1" x14ac:dyDescent="0.25"/>
    <row r="293344" customFormat="1" x14ac:dyDescent="0.25"/>
    <row r="293345" customFormat="1" x14ac:dyDescent="0.25"/>
    <row r="293346" customFormat="1" x14ac:dyDescent="0.25"/>
    <row r="293347" customFormat="1" x14ac:dyDescent="0.25"/>
    <row r="293348" customFormat="1" x14ac:dyDescent="0.25"/>
    <row r="293349" customFormat="1" x14ac:dyDescent="0.25"/>
    <row r="293350" customFormat="1" x14ac:dyDescent="0.25"/>
    <row r="293351" customFormat="1" x14ac:dyDescent="0.25"/>
    <row r="293352" customFormat="1" x14ac:dyDescent="0.25"/>
    <row r="293353" customFormat="1" x14ac:dyDescent="0.25"/>
    <row r="293354" customFormat="1" x14ac:dyDescent="0.25"/>
    <row r="293355" customFormat="1" x14ac:dyDescent="0.25"/>
    <row r="293356" customFormat="1" x14ac:dyDescent="0.25"/>
    <row r="293357" customFormat="1" x14ac:dyDescent="0.25"/>
    <row r="293358" customFormat="1" x14ac:dyDescent="0.25"/>
    <row r="293359" customFormat="1" x14ac:dyDescent="0.25"/>
    <row r="293360" customFormat="1" x14ac:dyDescent="0.25"/>
    <row r="293361" customFormat="1" x14ac:dyDescent="0.25"/>
    <row r="293362" customFormat="1" x14ac:dyDescent="0.25"/>
    <row r="293363" customFormat="1" x14ac:dyDescent="0.25"/>
    <row r="293364" customFormat="1" x14ac:dyDescent="0.25"/>
    <row r="293365" customFormat="1" x14ac:dyDescent="0.25"/>
    <row r="293366" customFormat="1" x14ac:dyDescent="0.25"/>
    <row r="293367" customFormat="1" x14ac:dyDescent="0.25"/>
    <row r="293368" customFormat="1" x14ac:dyDescent="0.25"/>
    <row r="293369" customFormat="1" x14ac:dyDescent="0.25"/>
    <row r="293370" customFormat="1" x14ac:dyDescent="0.25"/>
    <row r="293371" customFormat="1" x14ac:dyDescent="0.25"/>
    <row r="293372" customFormat="1" x14ac:dyDescent="0.25"/>
    <row r="293373" customFormat="1" x14ac:dyDescent="0.25"/>
    <row r="293374" customFormat="1" x14ac:dyDescent="0.25"/>
    <row r="293375" customFormat="1" x14ac:dyDescent="0.25"/>
    <row r="293376" customFormat="1" x14ac:dyDescent="0.25"/>
    <row r="293377" customFormat="1" x14ac:dyDescent="0.25"/>
    <row r="293378" customFormat="1" x14ac:dyDescent="0.25"/>
    <row r="293379" customFormat="1" x14ac:dyDescent="0.25"/>
    <row r="293380" customFormat="1" x14ac:dyDescent="0.25"/>
    <row r="293381" customFormat="1" x14ac:dyDescent="0.25"/>
    <row r="293382" customFormat="1" x14ac:dyDescent="0.25"/>
    <row r="293383" customFormat="1" x14ac:dyDescent="0.25"/>
    <row r="293384" customFormat="1" x14ac:dyDescent="0.25"/>
    <row r="293385" customFormat="1" x14ac:dyDescent="0.25"/>
    <row r="293386" customFormat="1" x14ac:dyDescent="0.25"/>
    <row r="293387" customFormat="1" x14ac:dyDescent="0.25"/>
    <row r="293388" customFormat="1" x14ac:dyDescent="0.25"/>
    <row r="293389" customFormat="1" x14ac:dyDescent="0.25"/>
    <row r="293390" customFormat="1" x14ac:dyDescent="0.25"/>
    <row r="293391" customFormat="1" x14ac:dyDescent="0.25"/>
    <row r="293392" customFormat="1" x14ac:dyDescent="0.25"/>
    <row r="293393" customFormat="1" x14ac:dyDescent="0.25"/>
    <row r="293394" customFormat="1" x14ac:dyDescent="0.25"/>
    <row r="293395" customFormat="1" x14ac:dyDescent="0.25"/>
    <row r="293396" customFormat="1" x14ac:dyDescent="0.25"/>
    <row r="293397" customFormat="1" x14ac:dyDescent="0.25"/>
    <row r="293398" customFormat="1" x14ac:dyDescent="0.25"/>
    <row r="293399" customFormat="1" x14ac:dyDescent="0.25"/>
    <row r="293400" customFormat="1" x14ac:dyDescent="0.25"/>
    <row r="293401" customFormat="1" x14ac:dyDescent="0.25"/>
    <row r="293402" customFormat="1" x14ac:dyDescent="0.25"/>
    <row r="293403" customFormat="1" x14ac:dyDescent="0.25"/>
    <row r="293404" customFormat="1" x14ac:dyDescent="0.25"/>
    <row r="293405" customFormat="1" x14ac:dyDescent="0.25"/>
    <row r="293406" customFormat="1" x14ac:dyDescent="0.25"/>
    <row r="293407" customFormat="1" x14ac:dyDescent="0.25"/>
    <row r="293408" customFormat="1" x14ac:dyDescent="0.25"/>
    <row r="293409" customFormat="1" x14ac:dyDescent="0.25"/>
    <row r="293410" customFormat="1" x14ac:dyDescent="0.25"/>
    <row r="293411" customFormat="1" x14ac:dyDescent="0.25"/>
    <row r="293412" customFormat="1" x14ac:dyDescent="0.25"/>
    <row r="293413" customFormat="1" x14ac:dyDescent="0.25"/>
    <row r="293414" customFormat="1" x14ac:dyDescent="0.25"/>
    <row r="293415" customFormat="1" x14ac:dyDescent="0.25"/>
    <row r="293416" customFormat="1" x14ac:dyDescent="0.25"/>
    <row r="293417" customFormat="1" x14ac:dyDescent="0.25"/>
    <row r="293418" customFormat="1" x14ac:dyDescent="0.25"/>
    <row r="293419" customFormat="1" x14ac:dyDescent="0.25"/>
    <row r="293420" customFormat="1" x14ac:dyDescent="0.25"/>
    <row r="293421" customFormat="1" x14ac:dyDescent="0.25"/>
    <row r="293422" customFormat="1" x14ac:dyDescent="0.25"/>
    <row r="293423" customFormat="1" x14ac:dyDescent="0.25"/>
    <row r="293424" customFormat="1" x14ac:dyDescent="0.25"/>
    <row r="293425" customFormat="1" x14ac:dyDescent="0.25"/>
    <row r="293426" customFormat="1" x14ac:dyDescent="0.25"/>
    <row r="293427" customFormat="1" x14ac:dyDescent="0.25"/>
    <row r="293428" customFormat="1" x14ac:dyDescent="0.25"/>
    <row r="293429" customFormat="1" x14ac:dyDescent="0.25"/>
    <row r="293430" customFormat="1" x14ac:dyDescent="0.25"/>
    <row r="293431" customFormat="1" x14ac:dyDescent="0.25"/>
    <row r="293432" customFormat="1" x14ac:dyDescent="0.25"/>
    <row r="293433" customFormat="1" x14ac:dyDescent="0.25"/>
    <row r="293434" customFormat="1" x14ac:dyDescent="0.25"/>
    <row r="293435" customFormat="1" x14ac:dyDescent="0.25"/>
    <row r="293436" customFormat="1" x14ac:dyDescent="0.25"/>
    <row r="293437" customFormat="1" x14ac:dyDescent="0.25"/>
    <row r="293438" customFormat="1" x14ac:dyDescent="0.25"/>
    <row r="293439" customFormat="1" x14ac:dyDescent="0.25"/>
    <row r="293440" customFormat="1" x14ac:dyDescent="0.25"/>
    <row r="293441" customFormat="1" x14ac:dyDescent="0.25"/>
    <row r="293442" customFormat="1" x14ac:dyDescent="0.25"/>
    <row r="293443" customFormat="1" x14ac:dyDescent="0.25"/>
    <row r="293444" customFormat="1" x14ac:dyDescent="0.25"/>
    <row r="293445" customFormat="1" x14ac:dyDescent="0.25"/>
    <row r="293446" customFormat="1" x14ac:dyDescent="0.25"/>
    <row r="293447" customFormat="1" x14ac:dyDescent="0.25"/>
    <row r="293448" customFormat="1" x14ac:dyDescent="0.25"/>
    <row r="293449" customFormat="1" x14ac:dyDescent="0.25"/>
    <row r="293450" customFormat="1" x14ac:dyDescent="0.25"/>
    <row r="293451" customFormat="1" x14ac:dyDescent="0.25"/>
    <row r="293452" customFormat="1" x14ac:dyDescent="0.25"/>
    <row r="293453" customFormat="1" x14ac:dyDescent="0.25"/>
    <row r="293454" customFormat="1" x14ac:dyDescent="0.25"/>
    <row r="293455" customFormat="1" x14ac:dyDescent="0.25"/>
    <row r="293456" customFormat="1" x14ac:dyDescent="0.25"/>
    <row r="293457" customFormat="1" x14ac:dyDescent="0.25"/>
    <row r="293458" customFormat="1" x14ac:dyDescent="0.25"/>
    <row r="293459" customFormat="1" x14ac:dyDescent="0.25"/>
    <row r="293460" customFormat="1" x14ac:dyDescent="0.25"/>
    <row r="293461" customFormat="1" x14ac:dyDescent="0.25"/>
    <row r="293462" customFormat="1" x14ac:dyDescent="0.25"/>
    <row r="293463" customFormat="1" x14ac:dyDescent="0.25"/>
    <row r="293464" customFormat="1" x14ac:dyDescent="0.25"/>
    <row r="293465" customFormat="1" x14ac:dyDescent="0.25"/>
    <row r="293466" customFormat="1" x14ac:dyDescent="0.25"/>
    <row r="293467" customFormat="1" x14ac:dyDescent="0.25"/>
    <row r="293468" customFormat="1" x14ac:dyDescent="0.25"/>
    <row r="293469" customFormat="1" x14ac:dyDescent="0.25"/>
    <row r="293470" customFormat="1" x14ac:dyDescent="0.25"/>
    <row r="293471" customFormat="1" x14ac:dyDescent="0.25"/>
    <row r="293472" customFormat="1" x14ac:dyDescent="0.25"/>
    <row r="293473" customFormat="1" x14ac:dyDescent="0.25"/>
    <row r="293474" customFormat="1" x14ac:dyDescent="0.25"/>
    <row r="293475" customFormat="1" x14ac:dyDescent="0.25"/>
    <row r="293476" customFormat="1" x14ac:dyDescent="0.25"/>
    <row r="293477" customFormat="1" x14ac:dyDescent="0.25"/>
    <row r="293478" customFormat="1" x14ac:dyDescent="0.25"/>
    <row r="293479" customFormat="1" x14ac:dyDescent="0.25"/>
    <row r="293480" customFormat="1" x14ac:dyDescent="0.25"/>
    <row r="293481" customFormat="1" x14ac:dyDescent="0.25"/>
    <row r="293482" customFormat="1" x14ac:dyDescent="0.25"/>
    <row r="293483" customFormat="1" x14ac:dyDescent="0.25"/>
    <row r="293484" customFormat="1" x14ac:dyDescent="0.25"/>
    <row r="293485" customFormat="1" x14ac:dyDescent="0.25"/>
    <row r="293486" customFormat="1" x14ac:dyDescent="0.25"/>
    <row r="293487" customFormat="1" x14ac:dyDescent="0.25"/>
    <row r="293488" customFormat="1" x14ac:dyDescent="0.25"/>
    <row r="293489" customFormat="1" x14ac:dyDescent="0.25"/>
    <row r="293490" customFormat="1" x14ac:dyDescent="0.25"/>
    <row r="293491" customFormat="1" x14ac:dyDescent="0.25"/>
    <row r="293492" customFormat="1" x14ac:dyDescent="0.25"/>
    <row r="293493" customFormat="1" x14ac:dyDescent="0.25"/>
    <row r="293494" customFormat="1" x14ac:dyDescent="0.25"/>
    <row r="293495" customFormat="1" x14ac:dyDescent="0.25"/>
    <row r="293496" customFormat="1" x14ac:dyDescent="0.25"/>
    <row r="293497" customFormat="1" x14ac:dyDescent="0.25"/>
    <row r="293498" customFormat="1" x14ac:dyDescent="0.25"/>
    <row r="293499" customFormat="1" x14ac:dyDescent="0.25"/>
    <row r="293500" customFormat="1" x14ac:dyDescent="0.25"/>
    <row r="293501" customFormat="1" x14ac:dyDescent="0.25"/>
    <row r="293502" customFormat="1" x14ac:dyDescent="0.25"/>
    <row r="293503" customFormat="1" x14ac:dyDescent="0.25"/>
    <row r="293504" customFormat="1" x14ac:dyDescent="0.25"/>
    <row r="293505" customFormat="1" x14ac:dyDescent="0.25"/>
    <row r="293506" customFormat="1" x14ac:dyDescent="0.25"/>
    <row r="293507" customFormat="1" x14ac:dyDescent="0.25"/>
    <row r="293508" customFormat="1" x14ac:dyDescent="0.25"/>
    <row r="293509" customFormat="1" x14ac:dyDescent="0.25"/>
    <row r="293510" customFormat="1" x14ac:dyDescent="0.25"/>
    <row r="293511" customFormat="1" x14ac:dyDescent="0.25"/>
    <row r="293512" customFormat="1" x14ac:dyDescent="0.25"/>
    <row r="293513" customFormat="1" x14ac:dyDescent="0.25"/>
    <row r="293514" customFormat="1" x14ac:dyDescent="0.25"/>
    <row r="293515" customFormat="1" x14ac:dyDescent="0.25"/>
    <row r="293516" customFormat="1" x14ac:dyDescent="0.25"/>
    <row r="293517" customFormat="1" x14ac:dyDescent="0.25"/>
    <row r="293518" customFormat="1" x14ac:dyDescent="0.25"/>
    <row r="293519" customFormat="1" x14ac:dyDescent="0.25"/>
    <row r="293520" customFormat="1" x14ac:dyDescent="0.25"/>
    <row r="293521" customFormat="1" x14ac:dyDescent="0.25"/>
    <row r="293522" customFormat="1" x14ac:dyDescent="0.25"/>
    <row r="293523" customFormat="1" x14ac:dyDescent="0.25"/>
    <row r="293524" customFormat="1" x14ac:dyDescent="0.25"/>
    <row r="293525" customFormat="1" x14ac:dyDescent="0.25"/>
    <row r="293526" customFormat="1" x14ac:dyDescent="0.25"/>
    <row r="293527" customFormat="1" x14ac:dyDescent="0.25"/>
    <row r="293528" customFormat="1" x14ac:dyDescent="0.25"/>
    <row r="293529" customFormat="1" x14ac:dyDescent="0.25"/>
    <row r="293530" customFormat="1" x14ac:dyDescent="0.25"/>
    <row r="293531" customFormat="1" x14ac:dyDescent="0.25"/>
    <row r="293532" customFormat="1" x14ac:dyDescent="0.25"/>
    <row r="293533" customFormat="1" x14ac:dyDescent="0.25"/>
    <row r="293534" customFormat="1" x14ac:dyDescent="0.25"/>
    <row r="293535" customFormat="1" x14ac:dyDescent="0.25"/>
    <row r="293536" customFormat="1" x14ac:dyDescent="0.25"/>
    <row r="293537" customFormat="1" x14ac:dyDescent="0.25"/>
    <row r="293538" customFormat="1" x14ac:dyDescent="0.25"/>
    <row r="293539" customFormat="1" x14ac:dyDescent="0.25"/>
    <row r="293540" customFormat="1" x14ac:dyDescent="0.25"/>
    <row r="293541" customFormat="1" x14ac:dyDescent="0.25"/>
    <row r="293542" customFormat="1" x14ac:dyDescent="0.25"/>
    <row r="293543" customFormat="1" x14ac:dyDescent="0.25"/>
    <row r="293544" customFormat="1" x14ac:dyDescent="0.25"/>
    <row r="293545" customFormat="1" x14ac:dyDescent="0.25"/>
    <row r="293546" customFormat="1" x14ac:dyDescent="0.25"/>
    <row r="293547" customFormat="1" x14ac:dyDescent="0.25"/>
    <row r="293548" customFormat="1" x14ac:dyDescent="0.25"/>
    <row r="293549" customFormat="1" x14ac:dyDescent="0.25"/>
    <row r="293550" customFormat="1" x14ac:dyDescent="0.25"/>
    <row r="293551" customFormat="1" x14ac:dyDescent="0.25"/>
    <row r="293552" customFormat="1" x14ac:dyDescent="0.25"/>
    <row r="293553" customFormat="1" x14ac:dyDescent="0.25"/>
    <row r="293554" customFormat="1" x14ac:dyDescent="0.25"/>
    <row r="293555" customFormat="1" x14ac:dyDescent="0.25"/>
    <row r="293556" customFormat="1" x14ac:dyDescent="0.25"/>
    <row r="293557" customFormat="1" x14ac:dyDescent="0.25"/>
    <row r="293558" customFormat="1" x14ac:dyDescent="0.25"/>
    <row r="293559" customFormat="1" x14ac:dyDescent="0.25"/>
    <row r="293560" customFormat="1" x14ac:dyDescent="0.25"/>
    <row r="293561" customFormat="1" x14ac:dyDescent="0.25"/>
    <row r="293562" customFormat="1" x14ac:dyDescent="0.25"/>
    <row r="293563" customFormat="1" x14ac:dyDescent="0.25"/>
    <row r="293564" customFormat="1" x14ac:dyDescent="0.25"/>
    <row r="293565" customFormat="1" x14ac:dyDescent="0.25"/>
    <row r="293566" customFormat="1" x14ac:dyDescent="0.25"/>
    <row r="293567" customFormat="1" x14ac:dyDescent="0.25"/>
    <row r="293568" customFormat="1" x14ac:dyDescent="0.25"/>
    <row r="293569" customFormat="1" x14ac:dyDescent="0.25"/>
    <row r="293570" customFormat="1" x14ac:dyDescent="0.25"/>
    <row r="293571" customFormat="1" x14ac:dyDescent="0.25"/>
    <row r="293572" customFormat="1" x14ac:dyDescent="0.25"/>
    <row r="293573" customFormat="1" x14ac:dyDescent="0.25"/>
    <row r="293574" customFormat="1" x14ac:dyDescent="0.25"/>
    <row r="293575" customFormat="1" x14ac:dyDescent="0.25"/>
    <row r="293576" customFormat="1" x14ac:dyDescent="0.25"/>
    <row r="293577" customFormat="1" x14ac:dyDescent="0.25"/>
    <row r="293578" customFormat="1" x14ac:dyDescent="0.25"/>
    <row r="293579" customFormat="1" x14ac:dyDescent="0.25"/>
    <row r="293580" customFormat="1" x14ac:dyDescent="0.25"/>
    <row r="293581" customFormat="1" x14ac:dyDescent="0.25"/>
    <row r="293582" customFormat="1" x14ac:dyDescent="0.25"/>
    <row r="293583" customFormat="1" x14ac:dyDescent="0.25"/>
    <row r="293584" customFormat="1" x14ac:dyDescent="0.25"/>
    <row r="293585" customFormat="1" x14ac:dyDescent="0.25"/>
    <row r="293586" customFormat="1" x14ac:dyDescent="0.25"/>
    <row r="293587" customFormat="1" x14ac:dyDescent="0.25"/>
    <row r="293588" customFormat="1" x14ac:dyDescent="0.25"/>
    <row r="293589" customFormat="1" x14ac:dyDescent="0.25"/>
    <row r="293590" customFormat="1" x14ac:dyDescent="0.25"/>
    <row r="293591" customFormat="1" x14ac:dyDescent="0.25"/>
    <row r="293592" customFormat="1" x14ac:dyDescent="0.25"/>
    <row r="293593" customFormat="1" x14ac:dyDescent="0.25"/>
    <row r="293594" customFormat="1" x14ac:dyDescent="0.25"/>
    <row r="293595" customFormat="1" x14ac:dyDescent="0.25"/>
    <row r="293596" customFormat="1" x14ac:dyDescent="0.25"/>
    <row r="293597" customFormat="1" x14ac:dyDescent="0.25"/>
    <row r="293598" customFormat="1" x14ac:dyDescent="0.25"/>
    <row r="293599" customFormat="1" x14ac:dyDescent="0.25"/>
    <row r="293600" customFormat="1" x14ac:dyDescent="0.25"/>
    <row r="293601" customFormat="1" x14ac:dyDescent="0.25"/>
    <row r="293602" customFormat="1" x14ac:dyDescent="0.25"/>
    <row r="293603" customFormat="1" x14ac:dyDescent="0.25"/>
    <row r="293604" customFormat="1" x14ac:dyDescent="0.25"/>
    <row r="293605" customFormat="1" x14ac:dyDescent="0.25"/>
    <row r="293606" customFormat="1" x14ac:dyDescent="0.25"/>
    <row r="293607" customFormat="1" x14ac:dyDescent="0.25"/>
    <row r="293608" customFormat="1" x14ac:dyDescent="0.25"/>
    <row r="293609" customFormat="1" x14ac:dyDescent="0.25"/>
    <row r="293610" customFormat="1" x14ac:dyDescent="0.25"/>
    <row r="293611" customFormat="1" x14ac:dyDescent="0.25"/>
    <row r="293612" customFormat="1" x14ac:dyDescent="0.25"/>
    <row r="293613" customFormat="1" x14ac:dyDescent="0.25"/>
    <row r="293614" customFormat="1" x14ac:dyDescent="0.25"/>
    <row r="293615" customFormat="1" x14ac:dyDescent="0.25"/>
    <row r="293616" customFormat="1" x14ac:dyDescent="0.25"/>
    <row r="293617" customFormat="1" x14ac:dyDescent="0.25"/>
    <row r="293618" customFormat="1" x14ac:dyDescent="0.25"/>
    <row r="293619" customFormat="1" x14ac:dyDescent="0.25"/>
    <row r="293620" customFormat="1" x14ac:dyDescent="0.25"/>
    <row r="293621" customFormat="1" x14ac:dyDescent="0.25"/>
    <row r="293622" customFormat="1" x14ac:dyDescent="0.25"/>
    <row r="293623" customFormat="1" x14ac:dyDescent="0.25"/>
    <row r="293624" customFormat="1" x14ac:dyDescent="0.25"/>
    <row r="293625" customFormat="1" x14ac:dyDescent="0.25"/>
    <row r="293626" customFormat="1" x14ac:dyDescent="0.25"/>
    <row r="293627" customFormat="1" x14ac:dyDescent="0.25"/>
    <row r="293628" customFormat="1" x14ac:dyDescent="0.25"/>
    <row r="293629" customFormat="1" x14ac:dyDescent="0.25"/>
    <row r="293630" customFormat="1" x14ac:dyDescent="0.25"/>
    <row r="293631" customFormat="1" x14ac:dyDescent="0.25"/>
    <row r="293632" customFormat="1" x14ac:dyDescent="0.25"/>
    <row r="293633" customFormat="1" x14ac:dyDescent="0.25"/>
    <row r="293634" customFormat="1" x14ac:dyDescent="0.25"/>
    <row r="293635" customFormat="1" x14ac:dyDescent="0.25"/>
    <row r="293636" customFormat="1" x14ac:dyDescent="0.25"/>
    <row r="293637" customFormat="1" x14ac:dyDescent="0.25"/>
    <row r="293638" customFormat="1" x14ac:dyDescent="0.25"/>
    <row r="293639" customFormat="1" x14ac:dyDescent="0.25"/>
    <row r="293640" customFormat="1" x14ac:dyDescent="0.25"/>
    <row r="293641" customFormat="1" x14ac:dyDescent="0.25"/>
    <row r="293642" customFormat="1" x14ac:dyDescent="0.25"/>
    <row r="293643" customFormat="1" x14ac:dyDescent="0.25"/>
    <row r="293644" customFormat="1" x14ac:dyDescent="0.25"/>
    <row r="293645" customFormat="1" x14ac:dyDescent="0.25"/>
    <row r="293646" customFormat="1" x14ac:dyDescent="0.25"/>
    <row r="293647" customFormat="1" x14ac:dyDescent="0.25"/>
    <row r="293648" customFormat="1" x14ac:dyDescent="0.25"/>
    <row r="293649" customFormat="1" x14ac:dyDescent="0.25"/>
    <row r="293650" customFormat="1" x14ac:dyDescent="0.25"/>
    <row r="293651" customFormat="1" x14ac:dyDescent="0.25"/>
    <row r="293652" customFormat="1" x14ac:dyDescent="0.25"/>
    <row r="293653" customFormat="1" x14ac:dyDescent="0.25"/>
    <row r="293654" customFormat="1" x14ac:dyDescent="0.25"/>
    <row r="293655" customFormat="1" x14ac:dyDescent="0.25"/>
    <row r="293656" customFormat="1" x14ac:dyDescent="0.25"/>
    <row r="293657" customFormat="1" x14ac:dyDescent="0.25"/>
    <row r="293658" customFormat="1" x14ac:dyDescent="0.25"/>
    <row r="293659" customFormat="1" x14ac:dyDescent="0.25"/>
    <row r="293660" customFormat="1" x14ac:dyDescent="0.25"/>
    <row r="293661" customFormat="1" x14ac:dyDescent="0.25"/>
    <row r="293662" customFormat="1" x14ac:dyDescent="0.25"/>
    <row r="293663" customFormat="1" x14ac:dyDescent="0.25"/>
    <row r="293664" customFormat="1" x14ac:dyDescent="0.25"/>
    <row r="293665" customFormat="1" x14ac:dyDescent="0.25"/>
    <row r="293666" customFormat="1" x14ac:dyDescent="0.25"/>
    <row r="293667" customFormat="1" x14ac:dyDescent="0.25"/>
    <row r="293668" customFormat="1" x14ac:dyDescent="0.25"/>
    <row r="293669" customFormat="1" x14ac:dyDescent="0.25"/>
    <row r="293670" customFormat="1" x14ac:dyDescent="0.25"/>
    <row r="293671" customFormat="1" x14ac:dyDescent="0.25"/>
    <row r="293672" customFormat="1" x14ac:dyDescent="0.25"/>
    <row r="293673" customFormat="1" x14ac:dyDescent="0.25"/>
    <row r="293674" customFormat="1" x14ac:dyDescent="0.25"/>
    <row r="293675" customFormat="1" x14ac:dyDescent="0.25"/>
    <row r="293676" customFormat="1" x14ac:dyDescent="0.25"/>
    <row r="293677" customFormat="1" x14ac:dyDescent="0.25"/>
    <row r="293678" customFormat="1" x14ac:dyDescent="0.25"/>
    <row r="293679" customFormat="1" x14ac:dyDescent="0.25"/>
    <row r="293680" customFormat="1" x14ac:dyDescent="0.25"/>
    <row r="293681" customFormat="1" x14ac:dyDescent="0.25"/>
    <row r="293682" customFormat="1" x14ac:dyDescent="0.25"/>
    <row r="293683" customFormat="1" x14ac:dyDescent="0.25"/>
    <row r="293684" customFormat="1" x14ac:dyDescent="0.25"/>
    <row r="293685" customFormat="1" x14ac:dyDescent="0.25"/>
    <row r="293686" customFormat="1" x14ac:dyDescent="0.25"/>
    <row r="293687" customFormat="1" x14ac:dyDescent="0.25"/>
    <row r="293688" customFormat="1" x14ac:dyDescent="0.25"/>
    <row r="293689" customFormat="1" x14ac:dyDescent="0.25"/>
    <row r="293690" customFormat="1" x14ac:dyDescent="0.25"/>
    <row r="293691" customFormat="1" x14ac:dyDescent="0.25"/>
    <row r="293692" customFormat="1" x14ac:dyDescent="0.25"/>
    <row r="293693" customFormat="1" x14ac:dyDescent="0.25"/>
    <row r="293694" customFormat="1" x14ac:dyDescent="0.25"/>
    <row r="293695" customFormat="1" x14ac:dyDescent="0.25"/>
    <row r="293696" customFormat="1" x14ac:dyDescent="0.25"/>
    <row r="293697" customFormat="1" x14ac:dyDescent="0.25"/>
    <row r="293698" customFormat="1" x14ac:dyDescent="0.25"/>
    <row r="293699" customFormat="1" x14ac:dyDescent="0.25"/>
    <row r="293700" customFormat="1" x14ac:dyDescent="0.25"/>
    <row r="293701" customFormat="1" x14ac:dyDescent="0.25"/>
    <row r="293702" customFormat="1" x14ac:dyDescent="0.25"/>
    <row r="293703" customFormat="1" x14ac:dyDescent="0.25"/>
    <row r="293704" customFormat="1" x14ac:dyDescent="0.25"/>
    <row r="293705" customFormat="1" x14ac:dyDescent="0.25"/>
    <row r="293706" customFormat="1" x14ac:dyDescent="0.25"/>
    <row r="293707" customFormat="1" x14ac:dyDescent="0.25"/>
    <row r="293708" customFormat="1" x14ac:dyDescent="0.25"/>
    <row r="293709" customFormat="1" x14ac:dyDescent="0.25"/>
    <row r="293710" customFormat="1" x14ac:dyDescent="0.25"/>
    <row r="293711" customFormat="1" x14ac:dyDescent="0.25"/>
    <row r="293712" customFormat="1" x14ac:dyDescent="0.25"/>
    <row r="293713" customFormat="1" x14ac:dyDescent="0.25"/>
    <row r="293714" customFormat="1" x14ac:dyDescent="0.25"/>
    <row r="293715" customFormat="1" x14ac:dyDescent="0.25"/>
    <row r="293716" customFormat="1" x14ac:dyDescent="0.25"/>
    <row r="293717" customFormat="1" x14ac:dyDescent="0.25"/>
    <row r="293718" customFormat="1" x14ac:dyDescent="0.25"/>
    <row r="293719" customFormat="1" x14ac:dyDescent="0.25"/>
    <row r="293720" customFormat="1" x14ac:dyDescent="0.25"/>
    <row r="293721" customFormat="1" x14ac:dyDescent="0.25"/>
    <row r="293722" customFormat="1" x14ac:dyDescent="0.25"/>
    <row r="293723" customFormat="1" x14ac:dyDescent="0.25"/>
    <row r="293724" customFormat="1" x14ac:dyDescent="0.25"/>
    <row r="293725" customFormat="1" x14ac:dyDescent="0.25"/>
    <row r="293726" customFormat="1" x14ac:dyDescent="0.25"/>
    <row r="293727" customFormat="1" x14ac:dyDescent="0.25"/>
    <row r="293728" customFormat="1" x14ac:dyDescent="0.25"/>
    <row r="293729" customFormat="1" x14ac:dyDescent="0.25"/>
    <row r="293730" customFormat="1" x14ac:dyDescent="0.25"/>
    <row r="293731" customFormat="1" x14ac:dyDescent="0.25"/>
    <row r="293732" customFormat="1" x14ac:dyDescent="0.25"/>
    <row r="293733" customFormat="1" x14ac:dyDescent="0.25"/>
    <row r="293734" customFormat="1" x14ac:dyDescent="0.25"/>
    <row r="293735" customFormat="1" x14ac:dyDescent="0.25"/>
    <row r="293736" customFormat="1" x14ac:dyDescent="0.25"/>
    <row r="293737" customFormat="1" x14ac:dyDescent="0.25"/>
    <row r="293738" customFormat="1" x14ac:dyDescent="0.25"/>
    <row r="293739" customFormat="1" x14ac:dyDescent="0.25"/>
    <row r="293740" customFormat="1" x14ac:dyDescent="0.25"/>
    <row r="293741" customFormat="1" x14ac:dyDescent="0.25"/>
    <row r="293742" customFormat="1" x14ac:dyDescent="0.25"/>
    <row r="293743" customFormat="1" x14ac:dyDescent="0.25"/>
    <row r="293744" customFormat="1" x14ac:dyDescent="0.25"/>
    <row r="293745" customFormat="1" x14ac:dyDescent="0.25"/>
    <row r="293746" customFormat="1" x14ac:dyDescent="0.25"/>
    <row r="293747" customFormat="1" x14ac:dyDescent="0.25"/>
    <row r="293748" customFormat="1" x14ac:dyDescent="0.25"/>
    <row r="293749" customFormat="1" x14ac:dyDescent="0.25"/>
    <row r="293750" customFormat="1" x14ac:dyDescent="0.25"/>
    <row r="293751" customFormat="1" x14ac:dyDescent="0.25"/>
    <row r="293752" customFormat="1" x14ac:dyDescent="0.25"/>
    <row r="293753" customFormat="1" x14ac:dyDescent="0.25"/>
    <row r="293754" customFormat="1" x14ac:dyDescent="0.25"/>
    <row r="293755" customFormat="1" x14ac:dyDescent="0.25"/>
    <row r="293756" customFormat="1" x14ac:dyDescent="0.25"/>
    <row r="293757" customFormat="1" x14ac:dyDescent="0.25"/>
    <row r="293758" customFormat="1" x14ac:dyDescent="0.25"/>
    <row r="293759" customFormat="1" x14ac:dyDescent="0.25"/>
    <row r="293760" customFormat="1" x14ac:dyDescent="0.25"/>
    <row r="293761" customFormat="1" x14ac:dyDescent="0.25"/>
    <row r="293762" customFormat="1" x14ac:dyDescent="0.25"/>
    <row r="293763" customFormat="1" x14ac:dyDescent="0.25"/>
    <row r="293764" customFormat="1" x14ac:dyDescent="0.25"/>
    <row r="293765" customFormat="1" x14ac:dyDescent="0.25"/>
    <row r="293766" customFormat="1" x14ac:dyDescent="0.25"/>
    <row r="293767" customFormat="1" x14ac:dyDescent="0.25"/>
    <row r="293768" customFormat="1" x14ac:dyDescent="0.25"/>
    <row r="293769" customFormat="1" x14ac:dyDescent="0.25"/>
    <row r="293770" customFormat="1" x14ac:dyDescent="0.25"/>
    <row r="293771" customFormat="1" x14ac:dyDescent="0.25"/>
    <row r="293772" customFormat="1" x14ac:dyDescent="0.25"/>
    <row r="293773" customFormat="1" x14ac:dyDescent="0.25"/>
    <row r="293774" customFormat="1" x14ac:dyDescent="0.25"/>
    <row r="293775" customFormat="1" x14ac:dyDescent="0.25"/>
    <row r="293776" customFormat="1" x14ac:dyDescent="0.25"/>
    <row r="293777" customFormat="1" x14ac:dyDescent="0.25"/>
    <row r="293778" customFormat="1" x14ac:dyDescent="0.25"/>
    <row r="293779" customFormat="1" x14ac:dyDescent="0.25"/>
    <row r="293780" customFormat="1" x14ac:dyDescent="0.25"/>
    <row r="293781" customFormat="1" x14ac:dyDescent="0.25"/>
    <row r="293782" customFormat="1" x14ac:dyDescent="0.25"/>
    <row r="293783" customFormat="1" x14ac:dyDescent="0.25"/>
    <row r="293784" customFormat="1" x14ac:dyDescent="0.25"/>
    <row r="293785" customFormat="1" x14ac:dyDescent="0.25"/>
    <row r="293786" customFormat="1" x14ac:dyDescent="0.25"/>
    <row r="293787" customFormat="1" x14ac:dyDescent="0.25"/>
    <row r="293788" customFormat="1" x14ac:dyDescent="0.25"/>
    <row r="293789" customFormat="1" x14ac:dyDescent="0.25"/>
    <row r="293790" customFormat="1" x14ac:dyDescent="0.25"/>
    <row r="293791" customFormat="1" x14ac:dyDescent="0.25"/>
    <row r="293792" customFormat="1" x14ac:dyDescent="0.25"/>
    <row r="293793" customFormat="1" x14ac:dyDescent="0.25"/>
    <row r="293794" customFormat="1" x14ac:dyDescent="0.25"/>
    <row r="293795" customFormat="1" x14ac:dyDescent="0.25"/>
    <row r="293796" customFormat="1" x14ac:dyDescent="0.25"/>
    <row r="293797" customFormat="1" x14ac:dyDescent="0.25"/>
    <row r="293798" customFormat="1" x14ac:dyDescent="0.25"/>
    <row r="293799" customFormat="1" x14ac:dyDescent="0.25"/>
    <row r="293800" customFormat="1" x14ac:dyDescent="0.25"/>
    <row r="293801" customFormat="1" x14ac:dyDescent="0.25"/>
    <row r="293802" customFormat="1" x14ac:dyDescent="0.25"/>
    <row r="293803" customFormat="1" x14ac:dyDescent="0.25"/>
    <row r="293804" customFormat="1" x14ac:dyDescent="0.25"/>
    <row r="293805" customFormat="1" x14ac:dyDescent="0.25"/>
    <row r="293806" customFormat="1" x14ac:dyDescent="0.25"/>
    <row r="293807" customFormat="1" x14ac:dyDescent="0.25"/>
    <row r="293808" customFormat="1" x14ac:dyDescent="0.25"/>
    <row r="293809" customFormat="1" x14ac:dyDescent="0.25"/>
    <row r="293810" customFormat="1" x14ac:dyDescent="0.25"/>
    <row r="293811" customFormat="1" x14ac:dyDescent="0.25"/>
    <row r="293812" customFormat="1" x14ac:dyDescent="0.25"/>
    <row r="293813" customFormat="1" x14ac:dyDescent="0.25"/>
    <row r="293814" customFormat="1" x14ac:dyDescent="0.25"/>
    <row r="293815" customFormat="1" x14ac:dyDescent="0.25"/>
    <row r="293816" customFormat="1" x14ac:dyDescent="0.25"/>
    <row r="293817" customFormat="1" x14ac:dyDescent="0.25"/>
    <row r="293818" customFormat="1" x14ac:dyDescent="0.25"/>
    <row r="293819" customFormat="1" x14ac:dyDescent="0.25"/>
    <row r="293820" customFormat="1" x14ac:dyDescent="0.25"/>
    <row r="293821" customFormat="1" x14ac:dyDescent="0.25"/>
    <row r="293822" customFormat="1" x14ac:dyDescent="0.25"/>
    <row r="293823" customFormat="1" x14ac:dyDescent="0.25"/>
    <row r="293824" customFormat="1" x14ac:dyDescent="0.25"/>
    <row r="293825" customFormat="1" x14ac:dyDescent="0.25"/>
    <row r="293826" customFormat="1" x14ac:dyDescent="0.25"/>
    <row r="293827" customFormat="1" x14ac:dyDescent="0.25"/>
    <row r="293828" customFormat="1" x14ac:dyDescent="0.25"/>
    <row r="293829" customFormat="1" x14ac:dyDescent="0.25"/>
    <row r="293830" customFormat="1" x14ac:dyDescent="0.25"/>
    <row r="293831" customFormat="1" x14ac:dyDescent="0.25"/>
    <row r="293832" customFormat="1" x14ac:dyDescent="0.25"/>
    <row r="293833" customFormat="1" x14ac:dyDescent="0.25"/>
    <row r="293834" customFormat="1" x14ac:dyDescent="0.25"/>
    <row r="293835" customFormat="1" x14ac:dyDescent="0.25"/>
    <row r="293836" customFormat="1" x14ac:dyDescent="0.25"/>
    <row r="293837" customFormat="1" x14ac:dyDescent="0.25"/>
    <row r="293838" customFormat="1" x14ac:dyDescent="0.25"/>
    <row r="293839" customFormat="1" x14ac:dyDescent="0.25"/>
    <row r="293840" customFormat="1" x14ac:dyDescent="0.25"/>
    <row r="293841" customFormat="1" x14ac:dyDescent="0.25"/>
    <row r="293842" customFormat="1" x14ac:dyDescent="0.25"/>
    <row r="293843" customFormat="1" x14ac:dyDescent="0.25"/>
    <row r="293844" customFormat="1" x14ac:dyDescent="0.25"/>
    <row r="293845" customFormat="1" x14ac:dyDescent="0.25"/>
    <row r="293846" customFormat="1" x14ac:dyDescent="0.25"/>
    <row r="293847" customFormat="1" x14ac:dyDescent="0.25"/>
    <row r="293848" customFormat="1" x14ac:dyDescent="0.25"/>
    <row r="293849" customFormat="1" x14ac:dyDescent="0.25"/>
    <row r="293850" customFormat="1" x14ac:dyDescent="0.25"/>
    <row r="293851" customFormat="1" x14ac:dyDescent="0.25"/>
    <row r="293852" customFormat="1" x14ac:dyDescent="0.25"/>
    <row r="293853" customFormat="1" x14ac:dyDescent="0.25"/>
    <row r="293854" customFormat="1" x14ac:dyDescent="0.25"/>
    <row r="293855" customFormat="1" x14ac:dyDescent="0.25"/>
    <row r="293856" customFormat="1" x14ac:dyDescent="0.25"/>
    <row r="293857" customFormat="1" x14ac:dyDescent="0.25"/>
    <row r="293858" customFormat="1" x14ac:dyDescent="0.25"/>
    <row r="293859" customFormat="1" x14ac:dyDescent="0.25"/>
    <row r="293860" customFormat="1" x14ac:dyDescent="0.25"/>
    <row r="293861" customFormat="1" x14ac:dyDescent="0.25"/>
    <row r="293862" customFormat="1" x14ac:dyDescent="0.25"/>
    <row r="293863" customFormat="1" x14ac:dyDescent="0.25"/>
    <row r="293864" customFormat="1" x14ac:dyDescent="0.25"/>
    <row r="293865" customFormat="1" x14ac:dyDescent="0.25"/>
    <row r="293866" customFormat="1" x14ac:dyDescent="0.25"/>
    <row r="293867" customFormat="1" x14ac:dyDescent="0.25"/>
    <row r="293868" customFormat="1" x14ac:dyDescent="0.25"/>
    <row r="293869" customFormat="1" x14ac:dyDescent="0.25"/>
    <row r="293870" customFormat="1" x14ac:dyDescent="0.25"/>
    <row r="293871" customFormat="1" x14ac:dyDescent="0.25"/>
    <row r="293872" customFormat="1" x14ac:dyDescent="0.25"/>
    <row r="293873" customFormat="1" x14ac:dyDescent="0.25"/>
    <row r="293874" customFormat="1" x14ac:dyDescent="0.25"/>
    <row r="293875" customFormat="1" x14ac:dyDescent="0.25"/>
    <row r="293876" customFormat="1" x14ac:dyDescent="0.25"/>
    <row r="293877" customFormat="1" x14ac:dyDescent="0.25"/>
    <row r="293878" customFormat="1" x14ac:dyDescent="0.25"/>
    <row r="293879" customFormat="1" x14ac:dyDescent="0.25"/>
    <row r="293880" customFormat="1" x14ac:dyDescent="0.25"/>
    <row r="293881" customFormat="1" x14ac:dyDescent="0.25"/>
    <row r="293882" customFormat="1" x14ac:dyDescent="0.25"/>
    <row r="293883" customFormat="1" x14ac:dyDescent="0.25"/>
    <row r="293884" customFormat="1" x14ac:dyDescent="0.25"/>
    <row r="293885" customFormat="1" x14ac:dyDescent="0.25"/>
    <row r="293886" customFormat="1" x14ac:dyDescent="0.25"/>
    <row r="293887" customFormat="1" x14ac:dyDescent="0.25"/>
    <row r="293888" customFormat="1" x14ac:dyDescent="0.25"/>
    <row r="293889" customFormat="1" x14ac:dyDescent="0.25"/>
    <row r="293890" customFormat="1" x14ac:dyDescent="0.25"/>
    <row r="293891" customFormat="1" x14ac:dyDescent="0.25"/>
    <row r="293892" customFormat="1" x14ac:dyDescent="0.25"/>
    <row r="293893" customFormat="1" x14ac:dyDescent="0.25"/>
    <row r="293894" customFormat="1" x14ac:dyDescent="0.25"/>
    <row r="293895" customFormat="1" x14ac:dyDescent="0.25"/>
    <row r="293896" customFormat="1" x14ac:dyDescent="0.25"/>
    <row r="293897" customFormat="1" x14ac:dyDescent="0.25"/>
    <row r="293898" customFormat="1" x14ac:dyDescent="0.25"/>
    <row r="293899" customFormat="1" x14ac:dyDescent="0.25"/>
    <row r="293900" customFormat="1" x14ac:dyDescent="0.25"/>
    <row r="293901" customFormat="1" x14ac:dyDescent="0.25"/>
    <row r="293902" customFormat="1" x14ac:dyDescent="0.25"/>
    <row r="293903" customFormat="1" x14ac:dyDescent="0.25"/>
    <row r="293904" customFormat="1" x14ac:dyDescent="0.25"/>
    <row r="293905" customFormat="1" x14ac:dyDescent="0.25"/>
    <row r="293906" customFormat="1" x14ac:dyDescent="0.25"/>
    <row r="293907" customFormat="1" x14ac:dyDescent="0.25"/>
    <row r="293908" customFormat="1" x14ac:dyDescent="0.25"/>
    <row r="293909" customFormat="1" x14ac:dyDescent="0.25"/>
    <row r="293910" customFormat="1" x14ac:dyDescent="0.25"/>
    <row r="293911" customFormat="1" x14ac:dyDescent="0.25"/>
    <row r="293912" customFormat="1" x14ac:dyDescent="0.25"/>
    <row r="293913" customFormat="1" x14ac:dyDescent="0.25"/>
    <row r="293914" customFormat="1" x14ac:dyDescent="0.25"/>
    <row r="293915" customFormat="1" x14ac:dyDescent="0.25"/>
    <row r="293916" customFormat="1" x14ac:dyDescent="0.25"/>
    <row r="293917" customFormat="1" x14ac:dyDescent="0.25"/>
    <row r="293918" customFormat="1" x14ac:dyDescent="0.25"/>
    <row r="293919" customFormat="1" x14ac:dyDescent="0.25"/>
    <row r="293920" customFormat="1" x14ac:dyDescent="0.25"/>
    <row r="293921" customFormat="1" x14ac:dyDescent="0.25"/>
    <row r="293922" customFormat="1" x14ac:dyDescent="0.25"/>
    <row r="293923" customFormat="1" x14ac:dyDescent="0.25"/>
    <row r="293924" customFormat="1" x14ac:dyDescent="0.25"/>
    <row r="293925" customFormat="1" x14ac:dyDescent="0.25"/>
    <row r="293926" customFormat="1" x14ac:dyDescent="0.25"/>
    <row r="293927" customFormat="1" x14ac:dyDescent="0.25"/>
    <row r="293928" customFormat="1" x14ac:dyDescent="0.25"/>
    <row r="293929" customFormat="1" x14ac:dyDescent="0.25"/>
    <row r="293930" customFormat="1" x14ac:dyDescent="0.25"/>
    <row r="293931" customFormat="1" x14ac:dyDescent="0.25"/>
    <row r="293932" customFormat="1" x14ac:dyDescent="0.25"/>
    <row r="293933" customFormat="1" x14ac:dyDescent="0.25"/>
    <row r="293934" customFormat="1" x14ac:dyDescent="0.25"/>
    <row r="293935" customFormat="1" x14ac:dyDescent="0.25"/>
    <row r="293936" customFormat="1" x14ac:dyDescent="0.25"/>
    <row r="293937" customFormat="1" x14ac:dyDescent="0.25"/>
    <row r="293938" customFormat="1" x14ac:dyDescent="0.25"/>
    <row r="293939" customFormat="1" x14ac:dyDescent="0.25"/>
    <row r="293940" customFormat="1" x14ac:dyDescent="0.25"/>
    <row r="293941" customFormat="1" x14ac:dyDescent="0.25"/>
    <row r="293942" customFormat="1" x14ac:dyDescent="0.25"/>
    <row r="293943" customFormat="1" x14ac:dyDescent="0.25"/>
    <row r="293944" customFormat="1" x14ac:dyDescent="0.25"/>
    <row r="293945" customFormat="1" x14ac:dyDescent="0.25"/>
    <row r="293946" customFormat="1" x14ac:dyDescent="0.25"/>
    <row r="293947" customFormat="1" x14ac:dyDescent="0.25"/>
    <row r="293948" customFormat="1" x14ac:dyDescent="0.25"/>
    <row r="293949" customFormat="1" x14ac:dyDescent="0.25"/>
    <row r="293950" customFormat="1" x14ac:dyDescent="0.25"/>
    <row r="293951" customFormat="1" x14ac:dyDescent="0.25"/>
    <row r="293952" customFormat="1" x14ac:dyDescent="0.25"/>
    <row r="293953" customFormat="1" x14ac:dyDescent="0.25"/>
    <row r="293954" customFormat="1" x14ac:dyDescent="0.25"/>
    <row r="293955" customFormat="1" x14ac:dyDescent="0.25"/>
    <row r="293956" customFormat="1" x14ac:dyDescent="0.25"/>
    <row r="293957" customFormat="1" x14ac:dyDescent="0.25"/>
    <row r="293958" customFormat="1" x14ac:dyDescent="0.25"/>
    <row r="293959" customFormat="1" x14ac:dyDescent="0.25"/>
    <row r="293960" customFormat="1" x14ac:dyDescent="0.25"/>
    <row r="293961" customFormat="1" x14ac:dyDescent="0.25"/>
    <row r="293962" customFormat="1" x14ac:dyDescent="0.25"/>
    <row r="293963" customFormat="1" x14ac:dyDescent="0.25"/>
    <row r="293964" customFormat="1" x14ac:dyDescent="0.25"/>
    <row r="293965" customFormat="1" x14ac:dyDescent="0.25"/>
    <row r="293966" customFormat="1" x14ac:dyDescent="0.25"/>
    <row r="293967" customFormat="1" x14ac:dyDescent="0.25"/>
    <row r="293968" customFormat="1" x14ac:dyDescent="0.25"/>
    <row r="293969" customFormat="1" x14ac:dyDescent="0.25"/>
    <row r="293970" customFormat="1" x14ac:dyDescent="0.25"/>
    <row r="293971" customFormat="1" x14ac:dyDescent="0.25"/>
    <row r="293972" customFormat="1" x14ac:dyDescent="0.25"/>
    <row r="293973" customFormat="1" x14ac:dyDescent="0.25"/>
    <row r="293974" customFormat="1" x14ac:dyDescent="0.25"/>
    <row r="293975" customFormat="1" x14ac:dyDescent="0.25"/>
    <row r="293976" customFormat="1" x14ac:dyDescent="0.25"/>
    <row r="293977" customFormat="1" x14ac:dyDescent="0.25"/>
    <row r="293978" customFormat="1" x14ac:dyDescent="0.25"/>
    <row r="293979" customFormat="1" x14ac:dyDescent="0.25"/>
    <row r="293980" customFormat="1" x14ac:dyDescent="0.25"/>
    <row r="293981" customFormat="1" x14ac:dyDescent="0.25"/>
    <row r="293982" customFormat="1" x14ac:dyDescent="0.25"/>
    <row r="293983" customFormat="1" x14ac:dyDescent="0.25"/>
    <row r="293984" customFormat="1" x14ac:dyDescent="0.25"/>
    <row r="293985" customFormat="1" x14ac:dyDescent="0.25"/>
    <row r="293986" customFormat="1" x14ac:dyDescent="0.25"/>
    <row r="293987" customFormat="1" x14ac:dyDescent="0.25"/>
    <row r="293988" customFormat="1" x14ac:dyDescent="0.25"/>
    <row r="293989" customFormat="1" x14ac:dyDescent="0.25"/>
    <row r="293990" customFormat="1" x14ac:dyDescent="0.25"/>
    <row r="293991" customFormat="1" x14ac:dyDescent="0.25"/>
    <row r="293992" customFormat="1" x14ac:dyDescent="0.25"/>
    <row r="293993" customFormat="1" x14ac:dyDescent="0.25"/>
    <row r="293994" customFormat="1" x14ac:dyDescent="0.25"/>
    <row r="293995" customFormat="1" x14ac:dyDescent="0.25"/>
    <row r="293996" customFormat="1" x14ac:dyDescent="0.25"/>
    <row r="293997" customFormat="1" x14ac:dyDescent="0.25"/>
    <row r="293998" customFormat="1" x14ac:dyDescent="0.25"/>
    <row r="293999" customFormat="1" x14ac:dyDescent="0.25"/>
    <row r="294000" customFormat="1" x14ac:dyDescent="0.25"/>
    <row r="294001" customFormat="1" x14ac:dyDescent="0.25"/>
    <row r="294002" customFormat="1" x14ac:dyDescent="0.25"/>
    <row r="294003" customFormat="1" x14ac:dyDescent="0.25"/>
    <row r="294004" customFormat="1" x14ac:dyDescent="0.25"/>
    <row r="294005" customFormat="1" x14ac:dyDescent="0.25"/>
    <row r="294006" customFormat="1" x14ac:dyDescent="0.25"/>
    <row r="294007" customFormat="1" x14ac:dyDescent="0.25"/>
    <row r="294008" customFormat="1" x14ac:dyDescent="0.25"/>
    <row r="294009" customFormat="1" x14ac:dyDescent="0.25"/>
    <row r="294010" customFormat="1" x14ac:dyDescent="0.25"/>
    <row r="294011" customFormat="1" x14ac:dyDescent="0.25"/>
    <row r="294012" customFormat="1" x14ac:dyDescent="0.25"/>
    <row r="294013" customFormat="1" x14ac:dyDescent="0.25"/>
    <row r="294014" customFormat="1" x14ac:dyDescent="0.25"/>
    <row r="294015" customFormat="1" x14ac:dyDescent="0.25"/>
    <row r="294016" customFormat="1" x14ac:dyDescent="0.25"/>
    <row r="294017" customFormat="1" x14ac:dyDescent="0.25"/>
    <row r="294018" customFormat="1" x14ac:dyDescent="0.25"/>
    <row r="294019" customFormat="1" x14ac:dyDescent="0.25"/>
    <row r="294020" customFormat="1" x14ac:dyDescent="0.25"/>
    <row r="294021" customFormat="1" x14ac:dyDescent="0.25"/>
    <row r="294022" customFormat="1" x14ac:dyDescent="0.25"/>
    <row r="294023" customFormat="1" x14ac:dyDescent="0.25"/>
    <row r="294024" customFormat="1" x14ac:dyDescent="0.25"/>
    <row r="294025" customFormat="1" x14ac:dyDescent="0.25"/>
    <row r="294026" customFormat="1" x14ac:dyDescent="0.25"/>
    <row r="294027" customFormat="1" x14ac:dyDescent="0.25"/>
    <row r="294028" customFormat="1" x14ac:dyDescent="0.25"/>
    <row r="294029" customFormat="1" x14ac:dyDescent="0.25"/>
    <row r="294030" customFormat="1" x14ac:dyDescent="0.25"/>
    <row r="294031" customFormat="1" x14ac:dyDescent="0.25"/>
    <row r="294032" customFormat="1" x14ac:dyDescent="0.25"/>
    <row r="294033" customFormat="1" x14ac:dyDescent="0.25"/>
    <row r="294034" customFormat="1" x14ac:dyDescent="0.25"/>
    <row r="294035" customFormat="1" x14ac:dyDescent="0.25"/>
    <row r="294036" customFormat="1" x14ac:dyDescent="0.25"/>
    <row r="294037" customFormat="1" x14ac:dyDescent="0.25"/>
    <row r="294038" customFormat="1" x14ac:dyDescent="0.25"/>
    <row r="294039" customFormat="1" x14ac:dyDescent="0.25"/>
    <row r="294040" customFormat="1" x14ac:dyDescent="0.25"/>
    <row r="294041" customFormat="1" x14ac:dyDescent="0.25"/>
    <row r="294042" customFormat="1" x14ac:dyDescent="0.25"/>
    <row r="294043" customFormat="1" x14ac:dyDescent="0.25"/>
    <row r="294044" customFormat="1" x14ac:dyDescent="0.25"/>
    <row r="294045" customFormat="1" x14ac:dyDescent="0.25"/>
    <row r="294046" customFormat="1" x14ac:dyDescent="0.25"/>
    <row r="294047" customFormat="1" x14ac:dyDescent="0.25"/>
    <row r="294048" customFormat="1" x14ac:dyDescent="0.25"/>
    <row r="294049" customFormat="1" x14ac:dyDescent="0.25"/>
    <row r="294050" customFormat="1" x14ac:dyDescent="0.25"/>
    <row r="294051" customFormat="1" x14ac:dyDescent="0.25"/>
    <row r="294052" customFormat="1" x14ac:dyDescent="0.25"/>
    <row r="294053" customFormat="1" x14ac:dyDescent="0.25"/>
    <row r="294054" customFormat="1" x14ac:dyDescent="0.25"/>
    <row r="294055" customFormat="1" x14ac:dyDescent="0.25"/>
    <row r="294056" customFormat="1" x14ac:dyDescent="0.25"/>
    <row r="294057" customFormat="1" x14ac:dyDescent="0.25"/>
    <row r="294058" customFormat="1" x14ac:dyDescent="0.25"/>
    <row r="294059" customFormat="1" x14ac:dyDescent="0.25"/>
    <row r="294060" customFormat="1" x14ac:dyDescent="0.25"/>
    <row r="294061" customFormat="1" x14ac:dyDescent="0.25"/>
    <row r="294062" customFormat="1" x14ac:dyDescent="0.25"/>
    <row r="294063" customFormat="1" x14ac:dyDescent="0.25"/>
    <row r="294064" customFormat="1" x14ac:dyDescent="0.25"/>
    <row r="294065" customFormat="1" x14ac:dyDescent="0.25"/>
    <row r="294066" customFormat="1" x14ac:dyDescent="0.25"/>
    <row r="294067" customFormat="1" x14ac:dyDescent="0.25"/>
    <row r="294068" customFormat="1" x14ac:dyDescent="0.25"/>
    <row r="294069" customFormat="1" x14ac:dyDescent="0.25"/>
    <row r="294070" customFormat="1" x14ac:dyDescent="0.25"/>
    <row r="294071" customFormat="1" x14ac:dyDescent="0.25"/>
    <row r="294072" customFormat="1" x14ac:dyDescent="0.25"/>
    <row r="294073" customFormat="1" x14ac:dyDescent="0.25"/>
    <row r="294074" customFormat="1" x14ac:dyDescent="0.25"/>
    <row r="294075" customFormat="1" x14ac:dyDescent="0.25"/>
    <row r="294076" customFormat="1" x14ac:dyDescent="0.25"/>
    <row r="294077" customFormat="1" x14ac:dyDescent="0.25"/>
    <row r="294078" customFormat="1" x14ac:dyDescent="0.25"/>
    <row r="294079" customFormat="1" x14ac:dyDescent="0.25"/>
    <row r="294080" customFormat="1" x14ac:dyDescent="0.25"/>
    <row r="294081" customFormat="1" x14ac:dyDescent="0.25"/>
    <row r="294082" customFormat="1" x14ac:dyDescent="0.25"/>
    <row r="294083" customFormat="1" x14ac:dyDescent="0.25"/>
    <row r="294084" customFormat="1" x14ac:dyDescent="0.25"/>
    <row r="294085" customFormat="1" x14ac:dyDescent="0.25"/>
    <row r="294086" customFormat="1" x14ac:dyDescent="0.25"/>
    <row r="294087" customFormat="1" x14ac:dyDescent="0.25"/>
    <row r="294088" customFormat="1" x14ac:dyDescent="0.25"/>
    <row r="294089" customFormat="1" x14ac:dyDescent="0.25"/>
    <row r="294090" customFormat="1" x14ac:dyDescent="0.25"/>
    <row r="294091" customFormat="1" x14ac:dyDescent="0.25"/>
    <row r="294092" customFormat="1" x14ac:dyDescent="0.25"/>
    <row r="294093" customFormat="1" x14ac:dyDescent="0.25"/>
    <row r="294094" customFormat="1" x14ac:dyDescent="0.25"/>
    <row r="294095" customFormat="1" x14ac:dyDescent="0.25"/>
    <row r="294096" customFormat="1" x14ac:dyDescent="0.25"/>
    <row r="294097" customFormat="1" x14ac:dyDescent="0.25"/>
    <row r="294098" customFormat="1" x14ac:dyDescent="0.25"/>
    <row r="294099" customFormat="1" x14ac:dyDescent="0.25"/>
    <row r="294100" customFormat="1" x14ac:dyDescent="0.25"/>
    <row r="294101" customFormat="1" x14ac:dyDescent="0.25"/>
    <row r="294102" customFormat="1" x14ac:dyDescent="0.25"/>
    <row r="294103" customFormat="1" x14ac:dyDescent="0.25"/>
    <row r="294104" customFormat="1" x14ac:dyDescent="0.25"/>
    <row r="294105" customFormat="1" x14ac:dyDescent="0.25"/>
    <row r="294106" customFormat="1" x14ac:dyDescent="0.25"/>
    <row r="294107" customFormat="1" x14ac:dyDescent="0.25"/>
    <row r="294108" customFormat="1" x14ac:dyDescent="0.25"/>
    <row r="294109" customFormat="1" x14ac:dyDescent="0.25"/>
    <row r="294110" customFormat="1" x14ac:dyDescent="0.25"/>
    <row r="294111" customFormat="1" x14ac:dyDescent="0.25"/>
    <row r="294112" customFormat="1" x14ac:dyDescent="0.25"/>
    <row r="294113" customFormat="1" x14ac:dyDescent="0.25"/>
    <row r="294114" customFormat="1" x14ac:dyDescent="0.25"/>
    <row r="294115" customFormat="1" x14ac:dyDescent="0.25"/>
    <row r="294116" customFormat="1" x14ac:dyDescent="0.25"/>
    <row r="294117" customFormat="1" x14ac:dyDescent="0.25"/>
    <row r="294118" customFormat="1" x14ac:dyDescent="0.25"/>
    <row r="294119" customFormat="1" x14ac:dyDescent="0.25"/>
    <row r="294120" customFormat="1" x14ac:dyDescent="0.25"/>
    <row r="294121" customFormat="1" x14ac:dyDescent="0.25"/>
    <row r="294122" customFormat="1" x14ac:dyDescent="0.25"/>
    <row r="294123" customFormat="1" x14ac:dyDescent="0.25"/>
    <row r="294124" customFormat="1" x14ac:dyDescent="0.25"/>
    <row r="294125" customFormat="1" x14ac:dyDescent="0.25"/>
    <row r="294126" customFormat="1" x14ac:dyDescent="0.25"/>
    <row r="294127" customFormat="1" x14ac:dyDescent="0.25"/>
    <row r="294128" customFormat="1" x14ac:dyDescent="0.25"/>
    <row r="294129" customFormat="1" x14ac:dyDescent="0.25"/>
    <row r="294130" customFormat="1" x14ac:dyDescent="0.25"/>
    <row r="294131" customFormat="1" x14ac:dyDescent="0.25"/>
    <row r="294132" customFormat="1" x14ac:dyDescent="0.25"/>
    <row r="294133" customFormat="1" x14ac:dyDescent="0.25"/>
    <row r="294134" customFormat="1" x14ac:dyDescent="0.25"/>
    <row r="294135" customFormat="1" x14ac:dyDescent="0.25"/>
    <row r="294136" customFormat="1" x14ac:dyDescent="0.25"/>
    <row r="294137" customFormat="1" x14ac:dyDescent="0.25"/>
    <row r="294138" customFormat="1" x14ac:dyDescent="0.25"/>
    <row r="294139" customFormat="1" x14ac:dyDescent="0.25"/>
    <row r="294140" customFormat="1" x14ac:dyDescent="0.25"/>
    <row r="294141" customFormat="1" x14ac:dyDescent="0.25"/>
    <row r="294142" customFormat="1" x14ac:dyDescent="0.25"/>
    <row r="294143" customFormat="1" x14ac:dyDescent="0.25"/>
    <row r="294144" customFormat="1" x14ac:dyDescent="0.25"/>
    <row r="294145" customFormat="1" x14ac:dyDescent="0.25"/>
    <row r="294146" customFormat="1" x14ac:dyDescent="0.25"/>
    <row r="294147" customFormat="1" x14ac:dyDescent="0.25"/>
    <row r="294148" customFormat="1" x14ac:dyDescent="0.25"/>
    <row r="294149" customFormat="1" x14ac:dyDescent="0.25"/>
    <row r="294150" customFormat="1" x14ac:dyDescent="0.25"/>
    <row r="294151" customFormat="1" x14ac:dyDescent="0.25"/>
    <row r="294152" customFormat="1" x14ac:dyDescent="0.25"/>
    <row r="294153" customFormat="1" x14ac:dyDescent="0.25"/>
    <row r="294154" customFormat="1" x14ac:dyDescent="0.25"/>
    <row r="294155" customFormat="1" x14ac:dyDescent="0.25"/>
    <row r="294156" customFormat="1" x14ac:dyDescent="0.25"/>
    <row r="294157" customFormat="1" x14ac:dyDescent="0.25"/>
    <row r="294158" customFormat="1" x14ac:dyDescent="0.25"/>
    <row r="294159" customFormat="1" x14ac:dyDescent="0.25"/>
    <row r="294160" customFormat="1" x14ac:dyDescent="0.25"/>
    <row r="294161" customFormat="1" x14ac:dyDescent="0.25"/>
    <row r="294162" customFormat="1" x14ac:dyDescent="0.25"/>
    <row r="294163" customFormat="1" x14ac:dyDescent="0.25"/>
    <row r="294164" customFormat="1" x14ac:dyDescent="0.25"/>
    <row r="294165" customFormat="1" x14ac:dyDescent="0.25"/>
    <row r="294166" customFormat="1" x14ac:dyDescent="0.25"/>
    <row r="294167" customFormat="1" x14ac:dyDescent="0.25"/>
    <row r="294168" customFormat="1" x14ac:dyDescent="0.25"/>
    <row r="294169" customFormat="1" x14ac:dyDescent="0.25"/>
    <row r="294170" customFormat="1" x14ac:dyDescent="0.25"/>
    <row r="294171" customFormat="1" x14ac:dyDescent="0.25"/>
    <row r="294172" customFormat="1" x14ac:dyDescent="0.25"/>
    <row r="294173" customFormat="1" x14ac:dyDescent="0.25"/>
    <row r="294174" customFormat="1" x14ac:dyDescent="0.25"/>
    <row r="294175" customFormat="1" x14ac:dyDescent="0.25"/>
    <row r="294176" customFormat="1" x14ac:dyDescent="0.25"/>
    <row r="294177" customFormat="1" x14ac:dyDescent="0.25"/>
    <row r="294178" customFormat="1" x14ac:dyDescent="0.25"/>
    <row r="294179" customFormat="1" x14ac:dyDescent="0.25"/>
    <row r="294180" customFormat="1" x14ac:dyDescent="0.25"/>
    <row r="294181" customFormat="1" x14ac:dyDescent="0.25"/>
    <row r="294182" customFormat="1" x14ac:dyDescent="0.25"/>
    <row r="294183" customFormat="1" x14ac:dyDescent="0.25"/>
    <row r="294184" customFormat="1" x14ac:dyDescent="0.25"/>
    <row r="294185" customFormat="1" x14ac:dyDescent="0.25"/>
    <row r="294186" customFormat="1" x14ac:dyDescent="0.25"/>
    <row r="294187" customFormat="1" x14ac:dyDescent="0.25"/>
    <row r="294188" customFormat="1" x14ac:dyDescent="0.25"/>
    <row r="294189" customFormat="1" x14ac:dyDescent="0.25"/>
    <row r="294190" customFormat="1" x14ac:dyDescent="0.25"/>
    <row r="294191" customFormat="1" x14ac:dyDescent="0.25"/>
    <row r="294192" customFormat="1" x14ac:dyDescent="0.25"/>
    <row r="294193" customFormat="1" x14ac:dyDescent="0.25"/>
    <row r="294194" customFormat="1" x14ac:dyDescent="0.25"/>
    <row r="294195" customFormat="1" x14ac:dyDescent="0.25"/>
    <row r="294196" customFormat="1" x14ac:dyDescent="0.25"/>
    <row r="294197" customFormat="1" x14ac:dyDescent="0.25"/>
    <row r="294198" customFormat="1" x14ac:dyDescent="0.25"/>
    <row r="294199" customFormat="1" x14ac:dyDescent="0.25"/>
    <row r="294200" customFormat="1" x14ac:dyDescent="0.25"/>
    <row r="294201" customFormat="1" x14ac:dyDescent="0.25"/>
    <row r="294202" customFormat="1" x14ac:dyDescent="0.25"/>
    <row r="294203" customFormat="1" x14ac:dyDescent="0.25"/>
    <row r="294204" customFormat="1" x14ac:dyDescent="0.25"/>
    <row r="294205" customFormat="1" x14ac:dyDescent="0.25"/>
    <row r="294206" customFormat="1" x14ac:dyDescent="0.25"/>
    <row r="294207" customFormat="1" x14ac:dyDescent="0.25"/>
    <row r="294208" customFormat="1" x14ac:dyDescent="0.25"/>
    <row r="294209" customFormat="1" x14ac:dyDescent="0.25"/>
    <row r="294210" customFormat="1" x14ac:dyDescent="0.25"/>
    <row r="294211" customFormat="1" x14ac:dyDescent="0.25"/>
    <row r="294212" customFormat="1" x14ac:dyDescent="0.25"/>
    <row r="294213" customFormat="1" x14ac:dyDescent="0.25"/>
    <row r="294214" customFormat="1" x14ac:dyDescent="0.25"/>
    <row r="294215" customFormat="1" x14ac:dyDescent="0.25"/>
    <row r="294216" customFormat="1" x14ac:dyDescent="0.25"/>
    <row r="294217" customFormat="1" x14ac:dyDescent="0.25"/>
    <row r="294218" customFormat="1" x14ac:dyDescent="0.25"/>
    <row r="294219" customFormat="1" x14ac:dyDescent="0.25"/>
    <row r="294220" customFormat="1" x14ac:dyDescent="0.25"/>
    <row r="294221" customFormat="1" x14ac:dyDescent="0.25"/>
    <row r="294222" customFormat="1" x14ac:dyDescent="0.25"/>
    <row r="294223" customFormat="1" x14ac:dyDescent="0.25"/>
    <row r="294224" customFormat="1" x14ac:dyDescent="0.25"/>
    <row r="294225" customFormat="1" x14ac:dyDescent="0.25"/>
    <row r="294226" customFormat="1" x14ac:dyDescent="0.25"/>
    <row r="294227" customFormat="1" x14ac:dyDescent="0.25"/>
    <row r="294228" customFormat="1" x14ac:dyDescent="0.25"/>
    <row r="294229" customFormat="1" x14ac:dyDescent="0.25"/>
    <row r="294230" customFormat="1" x14ac:dyDescent="0.25"/>
    <row r="294231" customFormat="1" x14ac:dyDescent="0.25"/>
    <row r="294232" customFormat="1" x14ac:dyDescent="0.25"/>
    <row r="294233" customFormat="1" x14ac:dyDescent="0.25"/>
    <row r="294234" customFormat="1" x14ac:dyDescent="0.25"/>
    <row r="294235" customFormat="1" x14ac:dyDescent="0.25"/>
    <row r="294236" customFormat="1" x14ac:dyDescent="0.25"/>
    <row r="294237" customFormat="1" x14ac:dyDescent="0.25"/>
    <row r="294238" customFormat="1" x14ac:dyDescent="0.25"/>
    <row r="294239" customFormat="1" x14ac:dyDescent="0.25"/>
    <row r="294240" customFormat="1" x14ac:dyDescent="0.25"/>
    <row r="294241" customFormat="1" x14ac:dyDescent="0.25"/>
    <row r="294242" customFormat="1" x14ac:dyDescent="0.25"/>
    <row r="294243" customFormat="1" x14ac:dyDescent="0.25"/>
    <row r="294244" customFormat="1" x14ac:dyDescent="0.25"/>
    <row r="294245" customFormat="1" x14ac:dyDescent="0.25"/>
    <row r="294246" customFormat="1" x14ac:dyDescent="0.25"/>
    <row r="294247" customFormat="1" x14ac:dyDescent="0.25"/>
    <row r="294248" customFormat="1" x14ac:dyDescent="0.25"/>
    <row r="294249" customFormat="1" x14ac:dyDescent="0.25"/>
    <row r="294250" customFormat="1" x14ac:dyDescent="0.25"/>
    <row r="294251" customFormat="1" x14ac:dyDescent="0.25"/>
    <row r="294252" customFormat="1" x14ac:dyDescent="0.25"/>
    <row r="294253" customFormat="1" x14ac:dyDescent="0.25"/>
    <row r="294254" customFormat="1" x14ac:dyDescent="0.25"/>
    <row r="294255" customFormat="1" x14ac:dyDescent="0.25"/>
    <row r="294256" customFormat="1" x14ac:dyDescent="0.25"/>
    <row r="294257" customFormat="1" x14ac:dyDescent="0.25"/>
    <row r="294258" customFormat="1" x14ac:dyDescent="0.25"/>
    <row r="294259" customFormat="1" x14ac:dyDescent="0.25"/>
    <row r="294260" customFormat="1" x14ac:dyDescent="0.25"/>
    <row r="294261" customFormat="1" x14ac:dyDescent="0.25"/>
    <row r="294262" customFormat="1" x14ac:dyDescent="0.25"/>
    <row r="294263" customFormat="1" x14ac:dyDescent="0.25"/>
    <row r="294264" customFormat="1" x14ac:dyDescent="0.25"/>
    <row r="294265" customFormat="1" x14ac:dyDescent="0.25"/>
    <row r="294266" customFormat="1" x14ac:dyDescent="0.25"/>
    <row r="294267" customFormat="1" x14ac:dyDescent="0.25"/>
    <row r="294268" customFormat="1" x14ac:dyDescent="0.25"/>
    <row r="294269" customFormat="1" x14ac:dyDescent="0.25"/>
    <row r="294270" customFormat="1" x14ac:dyDescent="0.25"/>
    <row r="294271" customFormat="1" x14ac:dyDescent="0.25"/>
    <row r="294272" customFormat="1" x14ac:dyDescent="0.25"/>
    <row r="294273" customFormat="1" x14ac:dyDescent="0.25"/>
    <row r="294274" customFormat="1" x14ac:dyDescent="0.25"/>
    <row r="294275" customFormat="1" x14ac:dyDescent="0.25"/>
    <row r="294276" customFormat="1" x14ac:dyDescent="0.25"/>
    <row r="294277" customFormat="1" x14ac:dyDescent="0.25"/>
    <row r="294278" customFormat="1" x14ac:dyDescent="0.25"/>
    <row r="294279" customFormat="1" x14ac:dyDescent="0.25"/>
    <row r="294280" customFormat="1" x14ac:dyDescent="0.25"/>
    <row r="294281" customFormat="1" x14ac:dyDescent="0.25"/>
    <row r="294282" customFormat="1" x14ac:dyDescent="0.25"/>
    <row r="294283" customFormat="1" x14ac:dyDescent="0.25"/>
    <row r="294284" customFormat="1" x14ac:dyDescent="0.25"/>
    <row r="294285" customFormat="1" x14ac:dyDescent="0.25"/>
    <row r="294286" customFormat="1" x14ac:dyDescent="0.25"/>
    <row r="294287" customFormat="1" x14ac:dyDescent="0.25"/>
    <row r="294288" customFormat="1" x14ac:dyDescent="0.25"/>
    <row r="294289" customFormat="1" x14ac:dyDescent="0.25"/>
    <row r="294290" customFormat="1" x14ac:dyDescent="0.25"/>
    <row r="294291" customFormat="1" x14ac:dyDescent="0.25"/>
    <row r="294292" customFormat="1" x14ac:dyDescent="0.25"/>
    <row r="294293" customFormat="1" x14ac:dyDescent="0.25"/>
    <row r="294294" customFormat="1" x14ac:dyDescent="0.25"/>
    <row r="294295" customFormat="1" x14ac:dyDescent="0.25"/>
    <row r="294296" customFormat="1" x14ac:dyDescent="0.25"/>
    <row r="294297" customFormat="1" x14ac:dyDescent="0.25"/>
    <row r="294298" customFormat="1" x14ac:dyDescent="0.25"/>
    <row r="294299" customFormat="1" x14ac:dyDescent="0.25"/>
    <row r="294300" customFormat="1" x14ac:dyDescent="0.25"/>
    <row r="294301" customFormat="1" x14ac:dyDescent="0.25"/>
    <row r="294302" customFormat="1" x14ac:dyDescent="0.25"/>
    <row r="294303" customFormat="1" x14ac:dyDescent="0.25"/>
    <row r="294304" customFormat="1" x14ac:dyDescent="0.25"/>
    <row r="294305" customFormat="1" x14ac:dyDescent="0.25"/>
    <row r="294306" customFormat="1" x14ac:dyDescent="0.25"/>
    <row r="294307" customFormat="1" x14ac:dyDescent="0.25"/>
    <row r="294308" customFormat="1" x14ac:dyDescent="0.25"/>
    <row r="294309" customFormat="1" x14ac:dyDescent="0.25"/>
    <row r="294310" customFormat="1" x14ac:dyDescent="0.25"/>
    <row r="294311" customFormat="1" x14ac:dyDescent="0.25"/>
    <row r="294312" customFormat="1" x14ac:dyDescent="0.25"/>
    <row r="294313" customFormat="1" x14ac:dyDescent="0.25"/>
    <row r="294314" customFormat="1" x14ac:dyDescent="0.25"/>
    <row r="294315" customFormat="1" x14ac:dyDescent="0.25"/>
    <row r="294316" customFormat="1" x14ac:dyDescent="0.25"/>
    <row r="294317" customFormat="1" x14ac:dyDescent="0.25"/>
    <row r="294318" customFormat="1" x14ac:dyDescent="0.25"/>
    <row r="294319" customFormat="1" x14ac:dyDescent="0.25"/>
    <row r="294320" customFormat="1" x14ac:dyDescent="0.25"/>
    <row r="294321" customFormat="1" x14ac:dyDescent="0.25"/>
    <row r="294322" customFormat="1" x14ac:dyDescent="0.25"/>
    <row r="294323" customFormat="1" x14ac:dyDescent="0.25"/>
    <row r="294324" customFormat="1" x14ac:dyDescent="0.25"/>
    <row r="294325" customFormat="1" x14ac:dyDescent="0.25"/>
    <row r="294326" customFormat="1" x14ac:dyDescent="0.25"/>
    <row r="294327" customFormat="1" x14ac:dyDescent="0.25"/>
    <row r="294328" customFormat="1" x14ac:dyDescent="0.25"/>
    <row r="294329" customFormat="1" x14ac:dyDescent="0.25"/>
    <row r="294330" customFormat="1" x14ac:dyDescent="0.25"/>
    <row r="294331" customFormat="1" x14ac:dyDescent="0.25"/>
    <row r="294332" customFormat="1" x14ac:dyDescent="0.25"/>
    <row r="294333" customFormat="1" x14ac:dyDescent="0.25"/>
    <row r="294334" customFormat="1" x14ac:dyDescent="0.25"/>
    <row r="294335" customFormat="1" x14ac:dyDescent="0.25"/>
    <row r="294336" customFormat="1" x14ac:dyDescent="0.25"/>
    <row r="294337" customFormat="1" x14ac:dyDescent="0.25"/>
    <row r="294338" customFormat="1" x14ac:dyDescent="0.25"/>
    <row r="294339" customFormat="1" x14ac:dyDescent="0.25"/>
    <row r="294340" customFormat="1" x14ac:dyDescent="0.25"/>
    <row r="294341" customFormat="1" x14ac:dyDescent="0.25"/>
    <row r="294342" customFormat="1" x14ac:dyDescent="0.25"/>
    <row r="294343" customFormat="1" x14ac:dyDescent="0.25"/>
    <row r="294344" customFormat="1" x14ac:dyDescent="0.25"/>
    <row r="294345" customFormat="1" x14ac:dyDescent="0.25"/>
    <row r="294346" customFormat="1" x14ac:dyDescent="0.25"/>
    <row r="294347" customFormat="1" x14ac:dyDescent="0.25"/>
    <row r="294348" customFormat="1" x14ac:dyDescent="0.25"/>
    <row r="294349" customFormat="1" x14ac:dyDescent="0.25"/>
    <row r="294350" customFormat="1" x14ac:dyDescent="0.25"/>
    <row r="294351" customFormat="1" x14ac:dyDescent="0.25"/>
    <row r="294352" customFormat="1" x14ac:dyDescent="0.25"/>
    <row r="294353" customFormat="1" x14ac:dyDescent="0.25"/>
    <row r="294354" customFormat="1" x14ac:dyDescent="0.25"/>
    <row r="294355" customFormat="1" x14ac:dyDescent="0.25"/>
    <row r="294356" customFormat="1" x14ac:dyDescent="0.25"/>
    <row r="294357" customFormat="1" x14ac:dyDescent="0.25"/>
    <row r="294358" customFormat="1" x14ac:dyDescent="0.25"/>
    <row r="294359" customFormat="1" x14ac:dyDescent="0.25"/>
    <row r="294360" customFormat="1" x14ac:dyDescent="0.25"/>
    <row r="294361" customFormat="1" x14ac:dyDescent="0.25"/>
    <row r="294362" customFormat="1" x14ac:dyDescent="0.25"/>
    <row r="294363" customFormat="1" x14ac:dyDescent="0.25"/>
    <row r="294364" customFormat="1" x14ac:dyDescent="0.25"/>
    <row r="294365" customFormat="1" x14ac:dyDescent="0.25"/>
    <row r="294366" customFormat="1" x14ac:dyDescent="0.25"/>
    <row r="294367" customFormat="1" x14ac:dyDescent="0.25"/>
    <row r="294368" customFormat="1" x14ac:dyDescent="0.25"/>
    <row r="294369" customFormat="1" x14ac:dyDescent="0.25"/>
    <row r="294370" customFormat="1" x14ac:dyDescent="0.25"/>
    <row r="294371" customFormat="1" x14ac:dyDescent="0.25"/>
    <row r="294372" customFormat="1" x14ac:dyDescent="0.25"/>
    <row r="294373" customFormat="1" x14ac:dyDescent="0.25"/>
    <row r="294374" customFormat="1" x14ac:dyDescent="0.25"/>
    <row r="294375" customFormat="1" x14ac:dyDescent="0.25"/>
    <row r="294376" customFormat="1" x14ac:dyDescent="0.25"/>
    <row r="294377" customFormat="1" x14ac:dyDescent="0.25"/>
    <row r="294378" customFormat="1" x14ac:dyDescent="0.25"/>
    <row r="294379" customFormat="1" x14ac:dyDescent="0.25"/>
    <row r="294380" customFormat="1" x14ac:dyDescent="0.25"/>
    <row r="294381" customFormat="1" x14ac:dyDescent="0.25"/>
    <row r="294382" customFormat="1" x14ac:dyDescent="0.25"/>
    <row r="294383" customFormat="1" x14ac:dyDescent="0.25"/>
    <row r="294384" customFormat="1" x14ac:dyDescent="0.25"/>
    <row r="294385" customFormat="1" x14ac:dyDescent="0.25"/>
    <row r="294386" customFormat="1" x14ac:dyDescent="0.25"/>
    <row r="294387" customFormat="1" x14ac:dyDescent="0.25"/>
    <row r="294388" customFormat="1" x14ac:dyDescent="0.25"/>
    <row r="294389" customFormat="1" x14ac:dyDescent="0.25"/>
    <row r="294390" customFormat="1" x14ac:dyDescent="0.25"/>
    <row r="294391" customFormat="1" x14ac:dyDescent="0.25"/>
    <row r="294392" customFormat="1" x14ac:dyDescent="0.25"/>
    <row r="294393" customFormat="1" x14ac:dyDescent="0.25"/>
    <row r="294394" customFormat="1" x14ac:dyDescent="0.25"/>
    <row r="294395" customFormat="1" x14ac:dyDescent="0.25"/>
    <row r="294396" customFormat="1" x14ac:dyDescent="0.25"/>
    <row r="294397" customFormat="1" x14ac:dyDescent="0.25"/>
    <row r="294398" customFormat="1" x14ac:dyDescent="0.25"/>
    <row r="294399" customFormat="1" x14ac:dyDescent="0.25"/>
    <row r="294400" customFormat="1" x14ac:dyDescent="0.25"/>
    <row r="294401" customFormat="1" x14ac:dyDescent="0.25"/>
    <row r="294402" customFormat="1" x14ac:dyDescent="0.25"/>
    <row r="294403" customFormat="1" x14ac:dyDescent="0.25"/>
    <row r="294404" customFormat="1" x14ac:dyDescent="0.25"/>
    <row r="294405" customFormat="1" x14ac:dyDescent="0.25"/>
    <row r="294406" customFormat="1" x14ac:dyDescent="0.25"/>
    <row r="294407" customFormat="1" x14ac:dyDescent="0.25"/>
    <row r="294408" customFormat="1" x14ac:dyDescent="0.25"/>
    <row r="294409" customFormat="1" x14ac:dyDescent="0.25"/>
    <row r="294410" customFormat="1" x14ac:dyDescent="0.25"/>
    <row r="294411" customFormat="1" x14ac:dyDescent="0.25"/>
    <row r="294412" customFormat="1" x14ac:dyDescent="0.25"/>
    <row r="294413" customFormat="1" x14ac:dyDescent="0.25"/>
    <row r="294414" customFormat="1" x14ac:dyDescent="0.25"/>
    <row r="294415" customFormat="1" x14ac:dyDescent="0.25"/>
    <row r="294416" customFormat="1" x14ac:dyDescent="0.25"/>
    <row r="294417" customFormat="1" x14ac:dyDescent="0.25"/>
    <row r="294418" customFormat="1" x14ac:dyDescent="0.25"/>
    <row r="294419" customFormat="1" x14ac:dyDescent="0.25"/>
    <row r="294420" customFormat="1" x14ac:dyDescent="0.25"/>
    <row r="294421" customFormat="1" x14ac:dyDescent="0.25"/>
    <row r="294422" customFormat="1" x14ac:dyDescent="0.25"/>
    <row r="294423" customFormat="1" x14ac:dyDescent="0.25"/>
    <row r="294424" customFormat="1" x14ac:dyDescent="0.25"/>
    <row r="294425" customFormat="1" x14ac:dyDescent="0.25"/>
    <row r="294426" customFormat="1" x14ac:dyDescent="0.25"/>
    <row r="294427" customFormat="1" x14ac:dyDescent="0.25"/>
    <row r="294428" customFormat="1" x14ac:dyDescent="0.25"/>
    <row r="294429" customFormat="1" x14ac:dyDescent="0.25"/>
    <row r="294430" customFormat="1" x14ac:dyDescent="0.25"/>
    <row r="294431" customFormat="1" x14ac:dyDescent="0.25"/>
    <row r="294432" customFormat="1" x14ac:dyDescent="0.25"/>
    <row r="294433" customFormat="1" x14ac:dyDescent="0.25"/>
    <row r="294434" customFormat="1" x14ac:dyDescent="0.25"/>
    <row r="294435" customFormat="1" x14ac:dyDescent="0.25"/>
    <row r="294436" customFormat="1" x14ac:dyDescent="0.25"/>
    <row r="294437" customFormat="1" x14ac:dyDescent="0.25"/>
    <row r="294438" customFormat="1" x14ac:dyDescent="0.25"/>
    <row r="294439" customFormat="1" x14ac:dyDescent="0.25"/>
    <row r="294440" customFormat="1" x14ac:dyDescent="0.25"/>
    <row r="294441" customFormat="1" x14ac:dyDescent="0.25"/>
    <row r="294442" customFormat="1" x14ac:dyDescent="0.25"/>
    <row r="294443" customFormat="1" x14ac:dyDescent="0.25"/>
    <row r="294444" customFormat="1" x14ac:dyDescent="0.25"/>
    <row r="294445" customFormat="1" x14ac:dyDescent="0.25"/>
    <row r="294446" customFormat="1" x14ac:dyDescent="0.25"/>
    <row r="294447" customFormat="1" x14ac:dyDescent="0.25"/>
    <row r="294448" customFormat="1" x14ac:dyDescent="0.25"/>
    <row r="294449" customFormat="1" x14ac:dyDescent="0.25"/>
    <row r="294450" customFormat="1" x14ac:dyDescent="0.25"/>
    <row r="294451" customFormat="1" x14ac:dyDescent="0.25"/>
    <row r="294452" customFormat="1" x14ac:dyDescent="0.25"/>
    <row r="294453" customFormat="1" x14ac:dyDescent="0.25"/>
    <row r="294454" customFormat="1" x14ac:dyDescent="0.25"/>
    <row r="294455" customFormat="1" x14ac:dyDescent="0.25"/>
    <row r="294456" customFormat="1" x14ac:dyDescent="0.25"/>
    <row r="294457" customFormat="1" x14ac:dyDescent="0.25"/>
    <row r="294458" customFormat="1" x14ac:dyDescent="0.25"/>
    <row r="294459" customFormat="1" x14ac:dyDescent="0.25"/>
    <row r="294460" customFormat="1" x14ac:dyDescent="0.25"/>
    <row r="294461" customFormat="1" x14ac:dyDescent="0.25"/>
    <row r="294462" customFormat="1" x14ac:dyDescent="0.25"/>
    <row r="294463" customFormat="1" x14ac:dyDescent="0.25"/>
    <row r="294464" customFormat="1" x14ac:dyDescent="0.25"/>
    <row r="294465" customFormat="1" x14ac:dyDescent="0.25"/>
    <row r="294466" customFormat="1" x14ac:dyDescent="0.25"/>
    <row r="294467" customFormat="1" x14ac:dyDescent="0.25"/>
    <row r="294468" customFormat="1" x14ac:dyDescent="0.25"/>
    <row r="294469" customFormat="1" x14ac:dyDescent="0.25"/>
    <row r="294470" customFormat="1" x14ac:dyDescent="0.25"/>
    <row r="294471" customFormat="1" x14ac:dyDescent="0.25"/>
    <row r="294472" customFormat="1" x14ac:dyDescent="0.25"/>
    <row r="294473" customFormat="1" x14ac:dyDescent="0.25"/>
    <row r="294474" customFormat="1" x14ac:dyDescent="0.25"/>
    <row r="294475" customFormat="1" x14ac:dyDescent="0.25"/>
    <row r="294476" customFormat="1" x14ac:dyDescent="0.25"/>
    <row r="294477" customFormat="1" x14ac:dyDescent="0.25"/>
    <row r="294478" customFormat="1" x14ac:dyDescent="0.25"/>
    <row r="294479" customFormat="1" x14ac:dyDescent="0.25"/>
    <row r="294480" customFormat="1" x14ac:dyDescent="0.25"/>
    <row r="294481" customFormat="1" x14ac:dyDescent="0.25"/>
    <row r="294482" customFormat="1" x14ac:dyDescent="0.25"/>
    <row r="294483" customFormat="1" x14ac:dyDescent="0.25"/>
    <row r="294484" customFormat="1" x14ac:dyDescent="0.25"/>
    <row r="294485" customFormat="1" x14ac:dyDescent="0.25"/>
    <row r="294486" customFormat="1" x14ac:dyDescent="0.25"/>
    <row r="294487" customFormat="1" x14ac:dyDescent="0.25"/>
    <row r="294488" customFormat="1" x14ac:dyDescent="0.25"/>
    <row r="294489" customFormat="1" x14ac:dyDescent="0.25"/>
    <row r="294490" customFormat="1" x14ac:dyDescent="0.25"/>
    <row r="294491" customFormat="1" x14ac:dyDescent="0.25"/>
    <row r="294492" customFormat="1" x14ac:dyDescent="0.25"/>
    <row r="294493" customFormat="1" x14ac:dyDescent="0.25"/>
    <row r="294494" customFormat="1" x14ac:dyDescent="0.25"/>
    <row r="294495" customFormat="1" x14ac:dyDescent="0.25"/>
    <row r="294496" customFormat="1" x14ac:dyDescent="0.25"/>
    <row r="294497" customFormat="1" x14ac:dyDescent="0.25"/>
    <row r="294498" customFormat="1" x14ac:dyDescent="0.25"/>
    <row r="294499" customFormat="1" x14ac:dyDescent="0.25"/>
    <row r="294500" customFormat="1" x14ac:dyDescent="0.25"/>
    <row r="294501" customFormat="1" x14ac:dyDescent="0.25"/>
    <row r="294502" customFormat="1" x14ac:dyDescent="0.25"/>
    <row r="294503" customFormat="1" x14ac:dyDescent="0.25"/>
    <row r="294504" customFormat="1" x14ac:dyDescent="0.25"/>
    <row r="294505" customFormat="1" x14ac:dyDescent="0.25"/>
    <row r="294506" customFormat="1" x14ac:dyDescent="0.25"/>
    <row r="294507" customFormat="1" x14ac:dyDescent="0.25"/>
    <row r="294508" customFormat="1" x14ac:dyDescent="0.25"/>
    <row r="294509" customFormat="1" x14ac:dyDescent="0.25"/>
    <row r="294510" customFormat="1" x14ac:dyDescent="0.25"/>
    <row r="294511" customFormat="1" x14ac:dyDescent="0.25"/>
    <row r="294512" customFormat="1" x14ac:dyDescent="0.25"/>
    <row r="294513" customFormat="1" x14ac:dyDescent="0.25"/>
    <row r="294514" customFormat="1" x14ac:dyDescent="0.25"/>
    <row r="294515" customFormat="1" x14ac:dyDescent="0.25"/>
    <row r="294516" customFormat="1" x14ac:dyDescent="0.25"/>
    <row r="294517" customFormat="1" x14ac:dyDescent="0.25"/>
    <row r="294518" customFormat="1" x14ac:dyDescent="0.25"/>
    <row r="294519" customFormat="1" x14ac:dyDescent="0.25"/>
    <row r="294520" customFormat="1" x14ac:dyDescent="0.25"/>
    <row r="294521" customFormat="1" x14ac:dyDescent="0.25"/>
    <row r="294522" customFormat="1" x14ac:dyDescent="0.25"/>
    <row r="294523" customFormat="1" x14ac:dyDescent="0.25"/>
    <row r="294524" customFormat="1" x14ac:dyDescent="0.25"/>
    <row r="294525" customFormat="1" x14ac:dyDescent="0.25"/>
    <row r="294526" customFormat="1" x14ac:dyDescent="0.25"/>
    <row r="294527" customFormat="1" x14ac:dyDescent="0.25"/>
    <row r="294528" customFormat="1" x14ac:dyDescent="0.25"/>
    <row r="294529" customFormat="1" x14ac:dyDescent="0.25"/>
    <row r="294530" customFormat="1" x14ac:dyDescent="0.25"/>
    <row r="294531" customFormat="1" x14ac:dyDescent="0.25"/>
    <row r="294532" customFormat="1" x14ac:dyDescent="0.25"/>
    <row r="294533" customFormat="1" x14ac:dyDescent="0.25"/>
    <row r="294534" customFormat="1" x14ac:dyDescent="0.25"/>
    <row r="294535" customFormat="1" x14ac:dyDescent="0.25"/>
    <row r="294536" customFormat="1" x14ac:dyDescent="0.25"/>
    <row r="294537" customFormat="1" x14ac:dyDescent="0.25"/>
    <row r="294538" customFormat="1" x14ac:dyDescent="0.25"/>
    <row r="294539" customFormat="1" x14ac:dyDescent="0.25"/>
    <row r="294540" customFormat="1" x14ac:dyDescent="0.25"/>
    <row r="294541" customFormat="1" x14ac:dyDescent="0.25"/>
    <row r="294542" customFormat="1" x14ac:dyDescent="0.25"/>
    <row r="294543" customFormat="1" x14ac:dyDescent="0.25"/>
    <row r="294544" customFormat="1" x14ac:dyDescent="0.25"/>
    <row r="294545" customFormat="1" x14ac:dyDescent="0.25"/>
    <row r="294546" customFormat="1" x14ac:dyDescent="0.25"/>
    <row r="294547" customFormat="1" x14ac:dyDescent="0.25"/>
    <row r="294548" customFormat="1" x14ac:dyDescent="0.25"/>
    <row r="294549" customFormat="1" x14ac:dyDescent="0.25"/>
    <row r="294550" customFormat="1" x14ac:dyDescent="0.25"/>
    <row r="294551" customFormat="1" x14ac:dyDescent="0.25"/>
    <row r="294552" customFormat="1" x14ac:dyDescent="0.25"/>
    <row r="294553" customFormat="1" x14ac:dyDescent="0.25"/>
    <row r="294554" customFormat="1" x14ac:dyDescent="0.25"/>
    <row r="294555" customFormat="1" x14ac:dyDescent="0.25"/>
    <row r="294556" customFormat="1" x14ac:dyDescent="0.25"/>
    <row r="294557" customFormat="1" x14ac:dyDescent="0.25"/>
    <row r="294558" customFormat="1" x14ac:dyDescent="0.25"/>
    <row r="294559" customFormat="1" x14ac:dyDescent="0.25"/>
    <row r="294560" customFormat="1" x14ac:dyDescent="0.25"/>
    <row r="294561" customFormat="1" x14ac:dyDescent="0.25"/>
    <row r="294562" customFormat="1" x14ac:dyDescent="0.25"/>
    <row r="294563" customFormat="1" x14ac:dyDescent="0.25"/>
    <row r="294564" customFormat="1" x14ac:dyDescent="0.25"/>
    <row r="294565" customFormat="1" x14ac:dyDescent="0.25"/>
    <row r="294566" customFormat="1" x14ac:dyDescent="0.25"/>
    <row r="294567" customFormat="1" x14ac:dyDescent="0.25"/>
    <row r="294568" customFormat="1" x14ac:dyDescent="0.25"/>
    <row r="294569" customFormat="1" x14ac:dyDescent="0.25"/>
    <row r="294570" customFormat="1" x14ac:dyDescent="0.25"/>
    <row r="294571" customFormat="1" x14ac:dyDescent="0.25"/>
    <row r="294572" customFormat="1" x14ac:dyDescent="0.25"/>
    <row r="294573" customFormat="1" x14ac:dyDescent="0.25"/>
    <row r="294574" customFormat="1" x14ac:dyDescent="0.25"/>
    <row r="294575" customFormat="1" x14ac:dyDescent="0.25"/>
    <row r="294576" customFormat="1" x14ac:dyDescent="0.25"/>
    <row r="294577" customFormat="1" x14ac:dyDescent="0.25"/>
    <row r="294578" customFormat="1" x14ac:dyDescent="0.25"/>
    <row r="294579" customFormat="1" x14ac:dyDescent="0.25"/>
    <row r="294580" customFormat="1" x14ac:dyDescent="0.25"/>
    <row r="294581" customFormat="1" x14ac:dyDescent="0.25"/>
    <row r="294582" customFormat="1" x14ac:dyDescent="0.25"/>
    <row r="294583" customFormat="1" x14ac:dyDescent="0.25"/>
    <row r="294584" customFormat="1" x14ac:dyDescent="0.25"/>
    <row r="294585" customFormat="1" x14ac:dyDescent="0.25"/>
    <row r="294586" customFormat="1" x14ac:dyDescent="0.25"/>
    <row r="294587" customFormat="1" x14ac:dyDescent="0.25"/>
    <row r="294588" customFormat="1" x14ac:dyDescent="0.25"/>
    <row r="294589" customFormat="1" x14ac:dyDescent="0.25"/>
    <row r="294590" customFormat="1" x14ac:dyDescent="0.25"/>
    <row r="294591" customFormat="1" x14ac:dyDescent="0.25"/>
    <row r="294592" customFormat="1" x14ac:dyDescent="0.25"/>
    <row r="294593" customFormat="1" x14ac:dyDescent="0.25"/>
    <row r="294594" customFormat="1" x14ac:dyDescent="0.25"/>
    <row r="294595" customFormat="1" x14ac:dyDescent="0.25"/>
    <row r="294596" customFormat="1" x14ac:dyDescent="0.25"/>
    <row r="294597" customFormat="1" x14ac:dyDescent="0.25"/>
    <row r="294598" customFormat="1" x14ac:dyDescent="0.25"/>
    <row r="294599" customFormat="1" x14ac:dyDescent="0.25"/>
    <row r="294600" customFormat="1" x14ac:dyDescent="0.25"/>
    <row r="294601" customFormat="1" x14ac:dyDescent="0.25"/>
    <row r="294602" customFormat="1" x14ac:dyDescent="0.25"/>
    <row r="294603" customFormat="1" x14ac:dyDescent="0.25"/>
    <row r="294604" customFormat="1" x14ac:dyDescent="0.25"/>
    <row r="294605" customFormat="1" x14ac:dyDescent="0.25"/>
    <row r="294606" customFormat="1" x14ac:dyDescent="0.25"/>
    <row r="294607" customFormat="1" x14ac:dyDescent="0.25"/>
    <row r="294608" customFormat="1" x14ac:dyDescent="0.25"/>
    <row r="294609" customFormat="1" x14ac:dyDescent="0.25"/>
    <row r="294610" customFormat="1" x14ac:dyDescent="0.25"/>
    <row r="294611" customFormat="1" x14ac:dyDescent="0.25"/>
    <row r="294612" customFormat="1" x14ac:dyDescent="0.25"/>
    <row r="294613" customFormat="1" x14ac:dyDescent="0.25"/>
    <row r="294614" customFormat="1" x14ac:dyDescent="0.25"/>
    <row r="294615" customFormat="1" x14ac:dyDescent="0.25"/>
    <row r="294616" customFormat="1" x14ac:dyDescent="0.25"/>
    <row r="294617" customFormat="1" x14ac:dyDescent="0.25"/>
    <row r="294618" customFormat="1" x14ac:dyDescent="0.25"/>
    <row r="294619" customFormat="1" x14ac:dyDescent="0.25"/>
    <row r="294620" customFormat="1" x14ac:dyDescent="0.25"/>
    <row r="294621" customFormat="1" x14ac:dyDescent="0.25"/>
    <row r="294622" customFormat="1" x14ac:dyDescent="0.25"/>
    <row r="294623" customFormat="1" x14ac:dyDescent="0.25"/>
    <row r="294624" customFormat="1" x14ac:dyDescent="0.25"/>
    <row r="294625" customFormat="1" x14ac:dyDescent="0.25"/>
    <row r="294626" customFormat="1" x14ac:dyDescent="0.25"/>
    <row r="294627" customFormat="1" x14ac:dyDescent="0.25"/>
    <row r="294628" customFormat="1" x14ac:dyDescent="0.25"/>
    <row r="294629" customFormat="1" x14ac:dyDescent="0.25"/>
    <row r="294630" customFormat="1" x14ac:dyDescent="0.25"/>
    <row r="294631" customFormat="1" x14ac:dyDescent="0.25"/>
    <row r="294632" customFormat="1" x14ac:dyDescent="0.25"/>
    <row r="294633" customFormat="1" x14ac:dyDescent="0.25"/>
    <row r="294634" customFormat="1" x14ac:dyDescent="0.25"/>
    <row r="294635" customFormat="1" x14ac:dyDescent="0.25"/>
    <row r="294636" customFormat="1" x14ac:dyDescent="0.25"/>
    <row r="294637" customFormat="1" x14ac:dyDescent="0.25"/>
    <row r="294638" customFormat="1" x14ac:dyDescent="0.25"/>
    <row r="294639" customFormat="1" x14ac:dyDescent="0.25"/>
    <row r="294640" customFormat="1" x14ac:dyDescent="0.25"/>
    <row r="294641" customFormat="1" x14ac:dyDescent="0.25"/>
    <row r="294642" customFormat="1" x14ac:dyDescent="0.25"/>
    <row r="294643" customFormat="1" x14ac:dyDescent="0.25"/>
    <row r="294644" customFormat="1" x14ac:dyDescent="0.25"/>
    <row r="294645" customFormat="1" x14ac:dyDescent="0.25"/>
    <row r="294646" customFormat="1" x14ac:dyDescent="0.25"/>
    <row r="294647" customFormat="1" x14ac:dyDescent="0.25"/>
    <row r="294648" customFormat="1" x14ac:dyDescent="0.25"/>
    <row r="294649" customFormat="1" x14ac:dyDescent="0.25"/>
    <row r="294650" customFormat="1" x14ac:dyDescent="0.25"/>
    <row r="294651" customFormat="1" x14ac:dyDescent="0.25"/>
    <row r="294652" customFormat="1" x14ac:dyDescent="0.25"/>
    <row r="294653" customFormat="1" x14ac:dyDescent="0.25"/>
    <row r="294654" customFormat="1" x14ac:dyDescent="0.25"/>
    <row r="294655" customFormat="1" x14ac:dyDescent="0.25"/>
    <row r="294656" customFormat="1" x14ac:dyDescent="0.25"/>
    <row r="294657" customFormat="1" x14ac:dyDescent="0.25"/>
    <row r="294658" customFormat="1" x14ac:dyDescent="0.25"/>
    <row r="294659" customFormat="1" x14ac:dyDescent="0.25"/>
    <row r="294660" customFormat="1" x14ac:dyDescent="0.25"/>
    <row r="294661" customFormat="1" x14ac:dyDescent="0.25"/>
    <row r="294662" customFormat="1" x14ac:dyDescent="0.25"/>
    <row r="294663" customFormat="1" x14ac:dyDescent="0.25"/>
    <row r="294664" customFormat="1" x14ac:dyDescent="0.25"/>
    <row r="294665" customFormat="1" x14ac:dyDescent="0.25"/>
    <row r="294666" customFormat="1" x14ac:dyDescent="0.25"/>
    <row r="294667" customFormat="1" x14ac:dyDescent="0.25"/>
    <row r="294668" customFormat="1" x14ac:dyDescent="0.25"/>
    <row r="294669" customFormat="1" x14ac:dyDescent="0.25"/>
    <row r="294670" customFormat="1" x14ac:dyDescent="0.25"/>
    <row r="294671" customFormat="1" x14ac:dyDescent="0.25"/>
    <row r="294672" customFormat="1" x14ac:dyDescent="0.25"/>
    <row r="294673" customFormat="1" x14ac:dyDescent="0.25"/>
    <row r="294674" customFormat="1" x14ac:dyDescent="0.25"/>
    <row r="294675" customFormat="1" x14ac:dyDescent="0.25"/>
    <row r="294676" customFormat="1" x14ac:dyDescent="0.25"/>
    <row r="294677" customFormat="1" x14ac:dyDescent="0.25"/>
    <row r="294678" customFormat="1" x14ac:dyDescent="0.25"/>
    <row r="294679" customFormat="1" x14ac:dyDescent="0.25"/>
    <row r="294680" customFormat="1" x14ac:dyDescent="0.25"/>
    <row r="294681" customFormat="1" x14ac:dyDescent="0.25"/>
    <row r="294682" customFormat="1" x14ac:dyDescent="0.25"/>
    <row r="294683" customFormat="1" x14ac:dyDescent="0.25"/>
    <row r="294684" customFormat="1" x14ac:dyDescent="0.25"/>
    <row r="294685" customFormat="1" x14ac:dyDescent="0.25"/>
    <row r="294686" customFormat="1" x14ac:dyDescent="0.25"/>
    <row r="294687" customFormat="1" x14ac:dyDescent="0.25"/>
    <row r="294688" customFormat="1" x14ac:dyDescent="0.25"/>
    <row r="294689" customFormat="1" x14ac:dyDescent="0.25"/>
    <row r="294690" customFormat="1" x14ac:dyDescent="0.25"/>
    <row r="294691" customFormat="1" x14ac:dyDescent="0.25"/>
    <row r="294692" customFormat="1" x14ac:dyDescent="0.25"/>
    <row r="294693" customFormat="1" x14ac:dyDescent="0.25"/>
    <row r="294694" customFormat="1" x14ac:dyDescent="0.25"/>
    <row r="294695" customFormat="1" x14ac:dyDescent="0.25"/>
    <row r="294696" customFormat="1" x14ac:dyDescent="0.25"/>
    <row r="294697" customFormat="1" x14ac:dyDescent="0.25"/>
    <row r="294698" customFormat="1" x14ac:dyDescent="0.25"/>
    <row r="294699" customFormat="1" x14ac:dyDescent="0.25"/>
    <row r="294700" customFormat="1" x14ac:dyDescent="0.25"/>
    <row r="294701" customFormat="1" x14ac:dyDescent="0.25"/>
    <row r="294702" customFormat="1" x14ac:dyDescent="0.25"/>
    <row r="294703" customFormat="1" x14ac:dyDescent="0.25"/>
    <row r="294704" customFormat="1" x14ac:dyDescent="0.25"/>
    <row r="294705" customFormat="1" x14ac:dyDescent="0.25"/>
    <row r="294706" customFormat="1" x14ac:dyDescent="0.25"/>
    <row r="294707" customFormat="1" x14ac:dyDescent="0.25"/>
    <row r="294708" customFormat="1" x14ac:dyDescent="0.25"/>
    <row r="294709" customFormat="1" x14ac:dyDescent="0.25"/>
    <row r="294710" customFormat="1" x14ac:dyDescent="0.25"/>
    <row r="294711" customFormat="1" x14ac:dyDescent="0.25"/>
    <row r="294712" customFormat="1" x14ac:dyDescent="0.25"/>
    <row r="294713" customFormat="1" x14ac:dyDescent="0.25"/>
    <row r="294714" customFormat="1" x14ac:dyDescent="0.25"/>
    <row r="294715" customFormat="1" x14ac:dyDescent="0.25"/>
    <row r="294716" customFormat="1" x14ac:dyDescent="0.25"/>
    <row r="294717" customFormat="1" x14ac:dyDescent="0.25"/>
    <row r="294718" customFormat="1" x14ac:dyDescent="0.25"/>
    <row r="294719" customFormat="1" x14ac:dyDescent="0.25"/>
    <row r="294720" customFormat="1" x14ac:dyDescent="0.25"/>
    <row r="294721" customFormat="1" x14ac:dyDescent="0.25"/>
    <row r="294722" customFormat="1" x14ac:dyDescent="0.25"/>
    <row r="294723" customFormat="1" x14ac:dyDescent="0.25"/>
    <row r="294724" customFormat="1" x14ac:dyDescent="0.25"/>
    <row r="294725" customFormat="1" x14ac:dyDescent="0.25"/>
    <row r="294726" customFormat="1" x14ac:dyDescent="0.25"/>
    <row r="294727" customFormat="1" x14ac:dyDescent="0.25"/>
    <row r="294728" customFormat="1" x14ac:dyDescent="0.25"/>
    <row r="294729" customFormat="1" x14ac:dyDescent="0.25"/>
    <row r="294730" customFormat="1" x14ac:dyDescent="0.25"/>
    <row r="294731" customFormat="1" x14ac:dyDescent="0.25"/>
    <row r="294732" customFormat="1" x14ac:dyDescent="0.25"/>
    <row r="294733" customFormat="1" x14ac:dyDescent="0.25"/>
    <row r="294734" customFormat="1" x14ac:dyDescent="0.25"/>
    <row r="294735" customFormat="1" x14ac:dyDescent="0.25"/>
    <row r="294736" customFormat="1" x14ac:dyDescent="0.25"/>
    <row r="294737" customFormat="1" x14ac:dyDescent="0.25"/>
    <row r="294738" customFormat="1" x14ac:dyDescent="0.25"/>
    <row r="294739" customFormat="1" x14ac:dyDescent="0.25"/>
    <row r="294740" customFormat="1" x14ac:dyDescent="0.25"/>
    <row r="294741" customFormat="1" x14ac:dyDescent="0.25"/>
    <row r="294742" customFormat="1" x14ac:dyDescent="0.25"/>
    <row r="294743" customFormat="1" x14ac:dyDescent="0.25"/>
    <row r="294744" customFormat="1" x14ac:dyDescent="0.25"/>
    <row r="294745" customFormat="1" x14ac:dyDescent="0.25"/>
    <row r="294746" customFormat="1" x14ac:dyDescent="0.25"/>
    <row r="294747" customFormat="1" x14ac:dyDescent="0.25"/>
    <row r="294748" customFormat="1" x14ac:dyDescent="0.25"/>
    <row r="294749" customFormat="1" x14ac:dyDescent="0.25"/>
    <row r="294750" customFormat="1" x14ac:dyDescent="0.25"/>
    <row r="294751" customFormat="1" x14ac:dyDescent="0.25"/>
    <row r="294752" customFormat="1" x14ac:dyDescent="0.25"/>
    <row r="294753" customFormat="1" x14ac:dyDescent="0.25"/>
    <row r="294754" customFormat="1" x14ac:dyDescent="0.25"/>
    <row r="294755" customFormat="1" x14ac:dyDescent="0.25"/>
    <row r="294756" customFormat="1" x14ac:dyDescent="0.25"/>
    <row r="294757" customFormat="1" x14ac:dyDescent="0.25"/>
    <row r="294758" customFormat="1" x14ac:dyDescent="0.25"/>
    <row r="294759" customFormat="1" x14ac:dyDescent="0.25"/>
    <row r="294760" customFormat="1" x14ac:dyDescent="0.25"/>
    <row r="294761" customFormat="1" x14ac:dyDescent="0.25"/>
    <row r="294762" customFormat="1" x14ac:dyDescent="0.25"/>
    <row r="294763" customFormat="1" x14ac:dyDescent="0.25"/>
    <row r="294764" customFormat="1" x14ac:dyDescent="0.25"/>
    <row r="294765" customFormat="1" x14ac:dyDescent="0.25"/>
    <row r="294766" customFormat="1" x14ac:dyDescent="0.25"/>
    <row r="294767" customFormat="1" x14ac:dyDescent="0.25"/>
    <row r="294768" customFormat="1" x14ac:dyDescent="0.25"/>
    <row r="294769" customFormat="1" x14ac:dyDescent="0.25"/>
    <row r="294770" customFormat="1" x14ac:dyDescent="0.25"/>
    <row r="294771" customFormat="1" x14ac:dyDescent="0.25"/>
    <row r="294772" customFormat="1" x14ac:dyDescent="0.25"/>
    <row r="294773" customFormat="1" x14ac:dyDescent="0.25"/>
    <row r="294774" customFormat="1" x14ac:dyDescent="0.25"/>
    <row r="294775" customFormat="1" x14ac:dyDescent="0.25"/>
    <row r="294776" customFormat="1" x14ac:dyDescent="0.25"/>
    <row r="294777" customFormat="1" x14ac:dyDescent="0.25"/>
    <row r="294778" customFormat="1" x14ac:dyDescent="0.25"/>
    <row r="294779" customFormat="1" x14ac:dyDescent="0.25"/>
    <row r="294780" customFormat="1" x14ac:dyDescent="0.25"/>
    <row r="294781" customFormat="1" x14ac:dyDescent="0.25"/>
    <row r="294782" customFormat="1" x14ac:dyDescent="0.25"/>
    <row r="294783" customFormat="1" x14ac:dyDescent="0.25"/>
    <row r="294784" customFormat="1" x14ac:dyDescent="0.25"/>
    <row r="294785" customFormat="1" x14ac:dyDescent="0.25"/>
    <row r="294786" customFormat="1" x14ac:dyDescent="0.25"/>
    <row r="294787" customFormat="1" x14ac:dyDescent="0.25"/>
    <row r="294788" customFormat="1" x14ac:dyDescent="0.25"/>
    <row r="294789" customFormat="1" x14ac:dyDescent="0.25"/>
    <row r="294790" customFormat="1" x14ac:dyDescent="0.25"/>
    <row r="294791" customFormat="1" x14ac:dyDescent="0.25"/>
    <row r="294792" customFormat="1" x14ac:dyDescent="0.25"/>
    <row r="294793" customFormat="1" x14ac:dyDescent="0.25"/>
    <row r="294794" customFormat="1" x14ac:dyDescent="0.25"/>
    <row r="294795" customFormat="1" x14ac:dyDescent="0.25"/>
    <row r="294796" customFormat="1" x14ac:dyDescent="0.25"/>
    <row r="294797" customFormat="1" x14ac:dyDescent="0.25"/>
    <row r="294798" customFormat="1" x14ac:dyDescent="0.25"/>
    <row r="294799" customFormat="1" x14ac:dyDescent="0.25"/>
    <row r="294800" customFormat="1" x14ac:dyDescent="0.25"/>
    <row r="294801" customFormat="1" x14ac:dyDescent="0.25"/>
    <row r="294802" customFormat="1" x14ac:dyDescent="0.25"/>
    <row r="294803" customFormat="1" x14ac:dyDescent="0.25"/>
    <row r="294804" customFormat="1" x14ac:dyDescent="0.25"/>
    <row r="294805" customFormat="1" x14ac:dyDescent="0.25"/>
    <row r="294806" customFormat="1" x14ac:dyDescent="0.25"/>
    <row r="294807" customFormat="1" x14ac:dyDescent="0.25"/>
    <row r="294808" customFormat="1" x14ac:dyDescent="0.25"/>
    <row r="294809" customFormat="1" x14ac:dyDescent="0.25"/>
    <row r="294810" customFormat="1" x14ac:dyDescent="0.25"/>
    <row r="294811" customFormat="1" x14ac:dyDescent="0.25"/>
    <row r="294812" customFormat="1" x14ac:dyDescent="0.25"/>
    <row r="294813" customFormat="1" x14ac:dyDescent="0.25"/>
    <row r="294814" customFormat="1" x14ac:dyDescent="0.25"/>
    <row r="294815" customFormat="1" x14ac:dyDescent="0.25"/>
    <row r="294816" customFormat="1" x14ac:dyDescent="0.25"/>
    <row r="294817" customFormat="1" x14ac:dyDescent="0.25"/>
    <row r="294818" customFormat="1" x14ac:dyDescent="0.25"/>
    <row r="294819" customFormat="1" x14ac:dyDescent="0.25"/>
    <row r="294820" customFormat="1" x14ac:dyDescent="0.25"/>
    <row r="294821" customFormat="1" x14ac:dyDescent="0.25"/>
    <row r="294822" customFormat="1" x14ac:dyDescent="0.25"/>
    <row r="294823" customFormat="1" x14ac:dyDescent="0.25"/>
    <row r="294824" customFormat="1" x14ac:dyDescent="0.25"/>
    <row r="294825" customFormat="1" x14ac:dyDescent="0.25"/>
    <row r="294826" customFormat="1" x14ac:dyDescent="0.25"/>
    <row r="294827" customFormat="1" x14ac:dyDescent="0.25"/>
    <row r="294828" customFormat="1" x14ac:dyDescent="0.25"/>
    <row r="294829" customFormat="1" x14ac:dyDescent="0.25"/>
    <row r="294830" customFormat="1" x14ac:dyDescent="0.25"/>
    <row r="294831" customFormat="1" x14ac:dyDescent="0.25"/>
    <row r="294832" customFormat="1" x14ac:dyDescent="0.25"/>
    <row r="294833" customFormat="1" x14ac:dyDescent="0.25"/>
    <row r="294834" customFormat="1" x14ac:dyDescent="0.25"/>
    <row r="294835" customFormat="1" x14ac:dyDescent="0.25"/>
    <row r="294836" customFormat="1" x14ac:dyDescent="0.25"/>
    <row r="294837" customFormat="1" x14ac:dyDescent="0.25"/>
    <row r="294838" customFormat="1" x14ac:dyDescent="0.25"/>
    <row r="294839" customFormat="1" x14ac:dyDescent="0.25"/>
    <row r="294840" customFormat="1" x14ac:dyDescent="0.25"/>
    <row r="294841" customFormat="1" x14ac:dyDescent="0.25"/>
    <row r="294842" customFormat="1" x14ac:dyDescent="0.25"/>
    <row r="294843" customFormat="1" x14ac:dyDescent="0.25"/>
    <row r="294844" customFormat="1" x14ac:dyDescent="0.25"/>
    <row r="294845" customFormat="1" x14ac:dyDescent="0.25"/>
    <row r="294846" customFormat="1" x14ac:dyDescent="0.25"/>
    <row r="294847" customFormat="1" x14ac:dyDescent="0.25"/>
    <row r="294848" customFormat="1" x14ac:dyDescent="0.25"/>
    <row r="294849" customFormat="1" x14ac:dyDescent="0.25"/>
    <row r="294850" customFormat="1" x14ac:dyDescent="0.25"/>
    <row r="294851" customFormat="1" x14ac:dyDescent="0.25"/>
    <row r="294852" customFormat="1" x14ac:dyDescent="0.25"/>
    <row r="294853" customFormat="1" x14ac:dyDescent="0.25"/>
    <row r="294854" customFormat="1" x14ac:dyDescent="0.25"/>
    <row r="294855" customFormat="1" x14ac:dyDescent="0.25"/>
    <row r="294856" customFormat="1" x14ac:dyDescent="0.25"/>
    <row r="294857" customFormat="1" x14ac:dyDescent="0.25"/>
    <row r="294858" customFormat="1" x14ac:dyDescent="0.25"/>
    <row r="294859" customFormat="1" x14ac:dyDescent="0.25"/>
    <row r="294860" customFormat="1" x14ac:dyDescent="0.25"/>
    <row r="294861" customFormat="1" x14ac:dyDescent="0.25"/>
    <row r="294862" customFormat="1" x14ac:dyDescent="0.25"/>
    <row r="294863" customFormat="1" x14ac:dyDescent="0.25"/>
    <row r="294864" customFormat="1" x14ac:dyDescent="0.25"/>
    <row r="294865" customFormat="1" x14ac:dyDescent="0.25"/>
    <row r="294866" customFormat="1" x14ac:dyDescent="0.25"/>
    <row r="294867" customFormat="1" x14ac:dyDescent="0.25"/>
    <row r="294868" customFormat="1" x14ac:dyDescent="0.25"/>
    <row r="294869" customFormat="1" x14ac:dyDescent="0.25"/>
    <row r="294870" customFormat="1" x14ac:dyDescent="0.25"/>
    <row r="294871" customFormat="1" x14ac:dyDescent="0.25"/>
    <row r="294872" customFormat="1" x14ac:dyDescent="0.25"/>
    <row r="294873" customFormat="1" x14ac:dyDescent="0.25"/>
    <row r="294874" customFormat="1" x14ac:dyDescent="0.25"/>
    <row r="294875" customFormat="1" x14ac:dyDescent="0.25"/>
    <row r="294876" customFormat="1" x14ac:dyDescent="0.25"/>
    <row r="294877" customFormat="1" x14ac:dyDescent="0.25"/>
    <row r="294878" customFormat="1" x14ac:dyDescent="0.25"/>
    <row r="294879" customFormat="1" x14ac:dyDescent="0.25"/>
    <row r="294880" customFormat="1" x14ac:dyDescent="0.25"/>
    <row r="294881" customFormat="1" x14ac:dyDescent="0.25"/>
    <row r="294882" customFormat="1" x14ac:dyDescent="0.25"/>
    <row r="294883" customFormat="1" x14ac:dyDescent="0.25"/>
    <row r="294884" customFormat="1" x14ac:dyDescent="0.25"/>
    <row r="294885" customFormat="1" x14ac:dyDescent="0.25"/>
    <row r="294886" customFormat="1" x14ac:dyDescent="0.25"/>
    <row r="294887" customFormat="1" x14ac:dyDescent="0.25"/>
    <row r="294888" customFormat="1" x14ac:dyDescent="0.25"/>
    <row r="294889" customFormat="1" x14ac:dyDescent="0.25"/>
    <row r="294890" customFormat="1" x14ac:dyDescent="0.25"/>
    <row r="294891" customFormat="1" x14ac:dyDescent="0.25"/>
    <row r="294892" customFormat="1" x14ac:dyDescent="0.25"/>
    <row r="294893" customFormat="1" x14ac:dyDescent="0.25"/>
    <row r="294894" customFormat="1" x14ac:dyDescent="0.25"/>
    <row r="294895" customFormat="1" x14ac:dyDescent="0.25"/>
    <row r="294896" customFormat="1" x14ac:dyDescent="0.25"/>
    <row r="294897" customFormat="1" x14ac:dyDescent="0.25"/>
    <row r="294898" customFormat="1" x14ac:dyDescent="0.25"/>
    <row r="294899" customFormat="1" x14ac:dyDescent="0.25"/>
    <row r="294900" customFormat="1" x14ac:dyDescent="0.25"/>
    <row r="294901" customFormat="1" x14ac:dyDescent="0.25"/>
    <row r="294902" customFormat="1" x14ac:dyDescent="0.25"/>
    <row r="294903" customFormat="1" x14ac:dyDescent="0.25"/>
    <row r="294904" customFormat="1" x14ac:dyDescent="0.25"/>
    <row r="294905" customFormat="1" x14ac:dyDescent="0.25"/>
    <row r="294906" customFormat="1" x14ac:dyDescent="0.25"/>
    <row r="294907" customFormat="1" x14ac:dyDescent="0.25"/>
    <row r="294908" customFormat="1" x14ac:dyDescent="0.25"/>
    <row r="294909" customFormat="1" x14ac:dyDescent="0.25"/>
    <row r="294910" customFormat="1" x14ac:dyDescent="0.25"/>
    <row r="294911" customFormat="1" x14ac:dyDescent="0.25"/>
    <row r="294912" customFormat="1" x14ac:dyDescent="0.25"/>
    <row r="294913" customFormat="1" x14ac:dyDescent="0.25"/>
    <row r="294914" customFormat="1" x14ac:dyDescent="0.25"/>
    <row r="294915" customFormat="1" x14ac:dyDescent="0.25"/>
    <row r="294916" customFormat="1" x14ac:dyDescent="0.25"/>
    <row r="294917" customFormat="1" x14ac:dyDescent="0.25"/>
    <row r="294918" customFormat="1" x14ac:dyDescent="0.25"/>
    <row r="294919" customFormat="1" x14ac:dyDescent="0.25"/>
    <row r="294920" customFormat="1" x14ac:dyDescent="0.25"/>
    <row r="294921" customFormat="1" x14ac:dyDescent="0.25"/>
    <row r="294922" customFormat="1" x14ac:dyDescent="0.25"/>
    <row r="294923" customFormat="1" x14ac:dyDescent="0.25"/>
    <row r="294924" customFormat="1" x14ac:dyDescent="0.25"/>
    <row r="294925" customFormat="1" x14ac:dyDescent="0.25"/>
    <row r="294926" customFormat="1" x14ac:dyDescent="0.25"/>
    <row r="294927" customFormat="1" x14ac:dyDescent="0.25"/>
    <row r="294928" customFormat="1" x14ac:dyDescent="0.25"/>
    <row r="294929" customFormat="1" x14ac:dyDescent="0.25"/>
    <row r="294930" customFormat="1" x14ac:dyDescent="0.25"/>
    <row r="294931" customFormat="1" x14ac:dyDescent="0.25"/>
    <row r="294932" customFormat="1" x14ac:dyDescent="0.25"/>
    <row r="294933" customFormat="1" x14ac:dyDescent="0.25"/>
    <row r="294934" customFormat="1" x14ac:dyDescent="0.25"/>
    <row r="294935" customFormat="1" x14ac:dyDescent="0.25"/>
    <row r="294936" customFormat="1" x14ac:dyDescent="0.25"/>
    <row r="294937" customFormat="1" x14ac:dyDescent="0.25"/>
    <row r="294938" customFormat="1" x14ac:dyDescent="0.25"/>
    <row r="294939" customFormat="1" x14ac:dyDescent="0.25"/>
    <row r="294940" customFormat="1" x14ac:dyDescent="0.25"/>
    <row r="294941" customFormat="1" x14ac:dyDescent="0.25"/>
    <row r="294942" customFormat="1" x14ac:dyDescent="0.25"/>
    <row r="294943" customFormat="1" x14ac:dyDescent="0.25"/>
    <row r="294944" customFormat="1" x14ac:dyDescent="0.25"/>
    <row r="294945" customFormat="1" x14ac:dyDescent="0.25"/>
    <row r="294946" customFormat="1" x14ac:dyDescent="0.25"/>
    <row r="294947" customFormat="1" x14ac:dyDescent="0.25"/>
    <row r="294948" customFormat="1" x14ac:dyDescent="0.25"/>
    <row r="294949" customFormat="1" x14ac:dyDescent="0.25"/>
    <row r="294950" customFormat="1" x14ac:dyDescent="0.25"/>
    <row r="294951" customFormat="1" x14ac:dyDescent="0.25"/>
    <row r="294952" customFormat="1" x14ac:dyDescent="0.25"/>
    <row r="294953" customFormat="1" x14ac:dyDescent="0.25"/>
    <row r="294954" customFormat="1" x14ac:dyDescent="0.25"/>
    <row r="294955" customFormat="1" x14ac:dyDescent="0.25"/>
    <row r="294956" customFormat="1" x14ac:dyDescent="0.25"/>
    <row r="294957" customFormat="1" x14ac:dyDescent="0.25"/>
    <row r="294958" customFormat="1" x14ac:dyDescent="0.25"/>
    <row r="294959" customFormat="1" x14ac:dyDescent="0.25"/>
    <row r="294960" customFormat="1" x14ac:dyDescent="0.25"/>
    <row r="294961" customFormat="1" x14ac:dyDescent="0.25"/>
    <row r="294962" customFormat="1" x14ac:dyDescent="0.25"/>
    <row r="294963" customFormat="1" x14ac:dyDescent="0.25"/>
    <row r="294964" customFormat="1" x14ac:dyDescent="0.25"/>
    <row r="294965" customFormat="1" x14ac:dyDescent="0.25"/>
    <row r="294966" customFormat="1" x14ac:dyDescent="0.25"/>
    <row r="294967" customFormat="1" x14ac:dyDescent="0.25"/>
    <row r="294968" customFormat="1" x14ac:dyDescent="0.25"/>
    <row r="294969" customFormat="1" x14ac:dyDescent="0.25"/>
    <row r="294970" customFormat="1" x14ac:dyDescent="0.25"/>
    <row r="294971" customFormat="1" x14ac:dyDescent="0.25"/>
    <row r="294972" customFormat="1" x14ac:dyDescent="0.25"/>
    <row r="294973" customFormat="1" x14ac:dyDescent="0.25"/>
    <row r="294974" customFormat="1" x14ac:dyDescent="0.25"/>
    <row r="294975" customFormat="1" x14ac:dyDescent="0.25"/>
    <row r="294976" customFormat="1" x14ac:dyDescent="0.25"/>
    <row r="294977" customFormat="1" x14ac:dyDescent="0.25"/>
    <row r="294978" customFormat="1" x14ac:dyDescent="0.25"/>
    <row r="294979" customFormat="1" x14ac:dyDescent="0.25"/>
    <row r="294980" customFormat="1" x14ac:dyDescent="0.25"/>
    <row r="294981" customFormat="1" x14ac:dyDescent="0.25"/>
    <row r="294982" customFormat="1" x14ac:dyDescent="0.25"/>
    <row r="294983" customFormat="1" x14ac:dyDescent="0.25"/>
    <row r="294984" customFormat="1" x14ac:dyDescent="0.25"/>
    <row r="294985" customFormat="1" x14ac:dyDescent="0.25"/>
    <row r="294986" customFormat="1" x14ac:dyDescent="0.25"/>
    <row r="294987" customFormat="1" x14ac:dyDescent="0.25"/>
    <row r="294988" customFormat="1" x14ac:dyDescent="0.25"/>
    <row r="294989" customFormat="1" x14ac:dyDescent="0.25"/>
    <row r="294990" customFormat="1" x14ac:dyDescent="0.25"/>
    <row r="294991" customFormat="1" x14ac:dyDescent="0.25"/>
    <row r="294992" customFormat="1" x14ac:dyDescent="0.25"/>
    <row r="294993" customFormat="1" x14ac:dyDescent="0.25"/>
    <row r="294994" customFormat="1" x14ac:dyDescent="0.25"/>
    <row r="294995" customFormat="1" x14ac:dyDescent="0.25"/>
    <row r="294996" customFormat="1" x14ac:dyDescent="0.25"/>
    <row r="294997" customFormat="1" x14ac:dyDescent="0.25"/>
    <row r="294998" customFormat="1" x14ac:dyDescent="0.25"/>
    <row r="294999" customFormat="1" x14ac:dyDescent="0.25"/>
    <row r="295000" customFormat="1" x14ac:dyDescent="0.25"/>
    <row r="295001" customFormat="1" x14ac:dyDescent="0.25"/>
    <row r="295002" customFormat="1" x14ac:dyDescent="0.25"/>
    <row r="295003" customFormat="1" x14ac:dyDescent="0.25"/>
    <row r="295004" customFormat="1" x14ac:dyDescent="0.25"/>
    <row r="295005" customFormat="1" x14ac:dyDescent="0.25"/>
    <row r="295006" customFormat="1" x14ac:dyDescent="0.25"/>
    <row r="295007" customFormat="1" x14ac:dyDescent="0.25"/>
    <row r="295008" customFormat="1" x14ac:dyDescent="0.25"/>
    <row r="295009" customFormat="1" x14ac:dyDescent="0.25"/>
    <row r="295010" customFormat="1" x14ac:dyDescent="0.25"/>
    <row r="295011" customFormat="1" x14ac:dyDescent="0.25"/>
    <row r="295012" customFormat="1" x14ac:dyDescent="0.25"/>
    <row r="295013" customFormat="1" x14ac:dyDescent="0.25"/>
    <row r="295014" customFormat="1" x14ac:dyDescent="0.25"/>
    <row r="295015" customFormat="1" x14ac:dyDescent="0.25"/>
    <row r="295016" customFormat="1" x14ac:dyDescent="0.25"/>
    <row r="295017" customFormat="1" x14ac:dyDescent="0.25"/>
    <row r="295018" customFormat="1" x14ac:dyDescent="0.25"/>
    <row r="295019" customFormat="1" x14ac:dyDescent="0.25"/>
    <row r="295020" customFormat="1" x14ac:dyDescent="0.25"/>
    <row r="295021" customFormat="1" x14ac:dyDescent="0.25"/>
    <row r="295022" customFormat="1" x14ac:dyDescent="0.25"/>
    <row r="295023" customFormat="1" x14ac:dyDescent="0.25"/>
    <row r="295024" customFormat="1" x14ac:dyDescent="0.25"/>
    <row r="295025" customFormat="1" x14ac:dyDescent="0.25"/>
    <row r="295026" customFormat="1" x14ac:dyDescent="0.25"/>
    <row r="295027" customFormat="1" x14ac:dyDescent="0.25"/>
    <row r="295028" customFormat="1" x14ac:dyDescent="0.25"/>
    <row r="295029" customFormat="1" x14ac:dyDescent="0.25"/>
    <row r="295030" customFormat="1" x14ac:dyDescent="0.25"/>
    <row r="295031" customFormat="1" x14ac:dyDescent="0.25"/>
    <row r="295032" customFormat="1" x14ac:dyDescent="0.25"/>
    <row r="295033" customFormat="1" x14ac:dyDescent="0.25"/>
    <row r="295034" customFormat="1" x14ac:dyDescent="0.25"/>
    <row r="295035" customFormat="1" x14ac:dyDescent="0.25"/>
    <row r="295036" customFormat="1" x14ac:dyDescent="0.25"/>
    <row r="295037" customFormat="1" x14ac:dyDescent="0.25"/>
    <row r="295038" customFormat="1" x14ac:dyDescent="0.25"/>
    <row r="295039" customFormat="1" x14ac:dyDescent="0.25"/>
    <row r="295040" customFormat="1" x14ac:dyDescent="0.25"/>
    <row r="295041" customFormat="1" x14ac:dyDescent="0.25"/>
    <row r="295042" customFormat="1" x14ac:dyDescent="0.25"/>
    <row r="295043" customFormat="1" x14ac:dyDescent="0.25"/>
    <row r="295044" customFormat="1" x14ac:dyDescent="0.25"/>
    <row r="295045" customFormat="1" x14ac:dyDescent="0.25"/>
    <row r="295046" customFormat="1" x14ac:dyDescent="0.25"/>
    <row r="295047" customFormat="1" x14ac:dyDescent="0.25"/>
    <row r="295048" customFormat="1" x14ac:dyDescent="0.25"/>
    <row r="295049" customFormat="1" x14ac:dyDescent="0.25"/>
    <row r="295050" customFormat="1" x14ac:dyDescent="0.25"/>
    <row r="295051" customFormat="1" x14ac:dyDescent="0.25"/>
    <row r="295052" customFormat="1" x14ac:dyDescent="0.25"/>
    <row r="295053" customFormat="1" x14ac:dyDescent="0.25"/>
    <row r="295054" customFormat="1" x14ac:dyDescent="0.25"/>
    <row r="295055" customFormat="1" x14ac:dyDescent="0.25"/>
    <row r="295056" customFormat="1" x14ac:dyDescent="0.25"/>
    <row r="295057" customFormat="1" x14ac:dyDescent="0.25"/>
    <row r="295058" customFormat="1" x14ac:dyDescent="0.25"/>
    <row r="295059" customFormat="1" x14ac:dyDescent="0.25"/>
    <row r="295060" customFormat="1" x14ac:dyDescent="0.25"/>
    <row r="295061" customFormat="1" x14ac:dyDescent="0.25"/>
    <row r="295062" customFormat="1" x14ac:dyDescent="0.25"/>
    <row r="295063" customFormat="1" x14ac:dyDescent="0.25"/>
    <row r="295064" customFormat="1" x14ac:dyDescent="0.25"/>
    <row r="295065" customFormat="1" x14ac:dyDescent="0.25"/>
    <row r="295066" customFormat="1" x14ac:dyDescent="0.25"/>
    <row r="295067" customFormat="1" x14ac:dyDescent="0.25"/>
    <row r="295068" customFormat="1" x14ac:dyDescent="0.25"/>
    <row r="295069" customFormat="1" x14ac:dyDescent="0.25"/>
    <row r="295070" customFormat="1" x14ac:dyDescent="0.25"/>
    <row r="295071" customFormat="1" x14ac:dyDescent="0.25"/>
    <row r="295072" customFormat="1" x14ac:dyDescent="0.25"/>
    <row r="295073" customFormat="1" x14ac:dyDescent="0.25"/>
    <row r="295074" customFormat="1" x14ac:dyDescent="0.25"/>
    <row r="295075" customFormat="1" x14ac:dyDescent="0.25"/>
    <row r="295076" customFormat="1" x14ac:dyDescent="0.25"/>
    <row r="295077" customFormat="1" x14ac:dyDescent="0.25"/>
    <row r="295078" customFormat="1" x14ac:dyDescent="0.25"/>
    <row r="295079" customFormat="1" x14ac:dyDescent="0.25"/>
    <row r="295080" customFormat="1" x14ac:dyDescent="0.25"/>
    <row r="295081" customFormat="1" x14ac:dyDescent="0.25"/>
    <row r="295082" customFormat="1" x14ac:dyDescent="0.25"/>
    <row r="295083" customFormat="1" x14ac:dyDescent="0.25"/>
    <row r="295084" customFormat="1" x14ac:dyDescent="0.25"/>
    <row r="295085" customFormat="1" x14ac:dyDescent="0.25"/>
    <row r="295086" customFormat="1" x14ac:dyDescent="0.25"/>
    <row r="295087" customFormat="1" x14ac:dyDescent="0.25"/>
    <row r="295088" customFormat="1" x14ac:dyDescent="0.25"/>
    <row r="295089" customFormat="1" x14ac:dyDescent="0.25"/>
    <row r="295090" customFormat="1" x14ac:dyDescent="0.25"/>
    <row r="295091" customFormat="1" x14ac:dyDescent="0.25"/>
    <row r="295092" customFormat="1" x14ac:dyDescent="0.25"/>
    <row r="295093" customFormat="1" x14ac:dyDescent="0.25"/>
    <row r="295094" customFormat="1" x14ac:dyDescent="0.25"/>
    <row r="295095" customFormat="1" x14ac:dyDescent="0.25"/>
    <row r="295096" customFormat="1" x14ac:dyDescent="0.25"/>
    <row r="295097" customFormat="1" x14ac:dyDescent="0.25"/>
    <row r="295098" customFormat="1" x14ac:dyDescent="0.25"/>
    <row r="295099" customFormat="1" x14ac:dyDescent="0.25"/>
    <row r="295100" customFormat="1" x14ac:dyDescent="0.25"/>
    <row r="295101" customFormat="1" x14ac:dyDescent="0.25"/>
    <row r="295102" customFormat="1" x14ac:dyDescent="0.25"/>
    <row r="295103" customFormat="1" x14ac:dyDescent="0.25"/>
    <row r="295104" customFormat="1" x14ac:dyDescent="0.25"/>
    <row r="295105" customFormat="1" x14ac:dyDescent="0.25"/>
    <row r="295106" customFormat="1" x14ac:dyDescent="0.25"/>
    <row r="295107" customFormat="1" x14ac:dyDescent="0.25"/>
    <row r="295108" customFormat="1" x14ac:dyDescent="0.25"/>
    <row r="295109" customFormat="1" x14ac:dyDescent="0.25"/>
    <row r="295110" customFormat="1" x14ac:dyDescent="0.25"/>
    <row r="295111" customFormat="1" x14ac:dyDescent="0.25"/>
    <row r="295112" customFormat="1" x14ac:dyDescent="0.25"/>
    <row r="295113" customFormat="1" x14ac:dyDescent="0.25"/>
    <row r="295114" customFormat="1" x14ac:dyDescent="0.25"/>
    <row r="295115" customFormat="1" x14ac:dyDescent="0.25"/>
    <row r="295116" customFormat="1" x14ac:dyDescent="0.25"/>
    <row r="295117" customFormat="1" x14ac:dyDescent="0.25"/>
    <row r="295118" customFormat="1" x14ac:dyDescent="0.25"/>
    <row r="295119" customFormat="1" x14ac:dyDescent="0.25"/>
    <row r="295120" customFormat="1" x14ac:dyDescent="0.25"/>
    <row r="295121" customFormat="1" x14ac:dyDescent="0.25"/>
    <row r="295122" customFormat="1" x14ac:dyDescent="0.25"/>
    <row r="295123" customFormat="1" x14ac:dyDescent="0.25"/>
    <row r="295124" customFormat="1" x14ac:dyDescent="0.25"/>
    <row r="295125" customFormat="1" x14ac:dyDescent="0.25"/>
    <row r="295126" customFormat="1" x14ac:dyDescent="0.25"/>
    <row r="295127" customFormat="1" x14ac:dyDescent="0.25"/>
    <row r="295128" customFormat="1" x14ac:dyDescent="0.25"/>
    <row r="295129" customFormat="1" x14ac:dyDescent="0.25"/>
    <row r="295130" customFormat="1" x14ac:dyDescent="0.25"/>
    <row r="295131" customFormat="1" x14ac:dyDescent="0.25"/>
    <row r="295132" customFormat="1" x14ac:dyDescent="0.25"/>
    <row r="295133" customFormat="1" x14ac:dyDescent="0.25"/>
    <row r="295134" customFormat="1" x14ac:dyDescent="0.25"/>
    <row r="295135" customFormat="1" x14ac:dyDescent="0.25"/>
    <row r="295136" customFormat="1" x14ac:dyDescent="0.25"/>
    <row r="295137" customFormat="1" x14ac:dyDescent="0.25"/>
    <row r="295138" customFormat="1" x14ac:dyDescent="0.25"/>
    <row r="295139" customFormat="1" x14ac:dyDescent="0.25"/>
    <row r="295140" customFormat="1" x14ac:dyDescent="0.25"/>
    <row r="295141" customFormat="1" x14ac:dyDescent="0.25"/>
    <row r="295142" customFormat="1" x14ac:dyDescent="0.25"/>
    <row r="295143" customFormat="1" x14ac:dyDescent="0.25"/>
    <row r="295144" customFormat="1" x14ac:dyDescent="0.25"/>
    <row r="295145" customFormat="1" x14ac:dyDescent="0.25"/>
    <row r="295146" customFormat="1" x14ac:dyDescent="0.25"/>
    <row r="295147" customFormat="1" x14ac:dyDescent="0.25"/>
    <row r="295148" customFormat="1" x14ac:dyDescent="0.25"/>
    <row r="295149" customFormat="1" x14ac:dyDescent="0.25"/>
    <row r="295150" customFormat="1" x14ac:dyDescent="0.25"/>
    <row r="295151" customFormat="1" x14ac:dyDescent="0.25"/>
    <row r="295152" customFormat="1" x14ac:dyDescent="0.25"/>
    <row r="295153" customFormat="1" x14ac:dyDescent="0.25"/>
    <row r="295154" customFormat="1" x14ac:dyDescent="0.25"/>
    <row r="295155" customFormat="1" x14ac:dyDescent="0.25"/>
    <row r="295156" customFormat="1" x14ac:dyDescent="0.25"/>
    <row r="295157" customFormat="1" x14ac:dyDescent="0.25"/>
    <row r="295158" customFormat="1" x14ac:dyDescent="0.25"/>
    <row r="295159" customFormat="1" x14ac:dyDescent="0.25"/>
    <row r="295160" customFormat="1" x14ac:dyDescent="0.25"/>
    <row r="295161" customFormat="1" x14ac:dyDescent="0.25"/>
    <row r="295162" customFormat="1" x14ac:dyDescent="0.25"/>
    <row r="295163" customFormat="1" x14ac:dyDescent="0.25"/>
    <row r="295164" customFormat="1" x14ac:dyDescent="0.25"/>
    <row r="295165" customFormat="1" x14ac:dyDescent="0.25"/>
    <row r="295166" customFormat="1" x14ac:dyDescent="0.25"/>
    <row r="295167" customFormat="1" x14ac:dyDescent="0.25"/>
    <row r="295168" customFormat="1" x14ac:dyDescent="0.25"/>
    <row r="295169" customFormat="1" x14ac:dyDescent="0.25"/>
    <row r="295170" customFormat="1" x14ac:dyDescent="0.25"/>
    <row r="295171" customFormat="1" x14ac:dyDescent="0.25"/>
    <row r="295172" customFormat="1" x14ac:dyDescent="0.25"/>
    <row r="295173" customFormat="1" x14ac:dyDescent="0.25"/>
    <row r="295174" customFormat="1" x14ac:dyDescent="0.25"/>
    <row r="295175" customFormat="1" x14ac:dyDescent="0.25"/>
    <row r="295176" customFormat="1" x14ac:dyDescent="0.25"/>
    <row r="295177" customFormat="1" x14ac:dyDescent="0.25"/>
    <row r="295178" customFormat="1" x14ac:dyDescent="0.25"/>
    <row r="295179" customFormat="1" x14ac:dyDescent="0.25"/>
    <row r="295180" customFormat="1" x14ac:dyDescent="0.25"/>
    <row r="295181" customFormat="1" x14ac:dyDescent="0.25"/>
    <row r="295182" customFormat="1" x14ac:dyDescent="0.25"/>
    <row r="295183" customFormat="1" x14ac:dyDescent="0.25"/>
    <row r="295184" customFormat="1" x14ac:dyDescent="0.25"/>
    <row r="295185" customFormat="1" x14ac:dyDescent="0.25"/>
    <row r="295186" customFormat="1" x14ac:dyDescent="0.25"/>
    <row r="295187" customFormat="1" x14ac:dyDescent="0.25"/>
    <row r="295188" customFormat="1" x14ac:dyDescent="0.25"/>
    <row r="295189" customFormat="1" x14ac:dyDescent="0.25"/>
    <row r="295190" customFormat="1" x14ac:dyDescent="0.25"/>
    <row r="295191" customFormat="1" x14ac:dyDescent="0.25"/>
    <row r="295192" customFormat="1" x14ac:dyDescent="0.25"/>
    <row r="295193" customFormat="1" x14ac:dyDescent="0.25"/>
    <row r="295194" customFormat="1" x14ac:dyDescent="0.25"/>
    <row r="295195" customFormat="1" x14ac:dyDescent="0.25"/>
    <row r="295196" customFormat="1" x14ac:dyDescent="0.25"/>
    <row r="295197" customFormat="1" x14ac:dyDescent="0.25"/>
    <row r="295198" customFormat="1" x14ac:dyDescent="0.25"/>
    <row r="295199" customFormat="1" x14ac:dyDescent="0.25"/>
    <row r="295200" customFormat="1" x14ac:dyDescent="0.25"/>
    <row r="295201" customFormat="1" x14ac:dyDescent="0.25"/>
    <row r="295202" customFormat="1" x14ac:dyDescent="0.25"/>
    <row r="295203" customFormat="1" x14ac:dyDescent="0.25"/>
    <row r="295204" customFormat="1" x14ac:dyDescent="0.25"/>
    <row r="295205" customFormat="1" x14ac:dyDescent="0.25"/>
    <row r="295206" customFormat="1" x14ac:dyDescent="0.25"/>
    <row r="295207" customFormat="1" x14ac:dyDescent="0.25"/>
    <row r="295208" customFormat="1" x14ac:dyDescent="0.25"/>
    <row r="295209" customFormat="1" x14ac:dyDescent="0.25"/>
    <row r="295210" customFormat="1" x14ac:dyDescent="0.25"/>
    <row r="295211" customFormat="1" x14ac:dyDescent="0.25"/>
    <row r="295212" customFormat="1" x14ac:dyDescent="0.25"/>
    <row r="295213" customFormat="1" x14ac:dyDescent="0.25"/>
    <row r="295214" customFormat="1" x14ac:dyDescent="0.25"/>
    <row r="295215" customFormat="1" x14ac:dyDescent="0.25"/>
    <row r="295216" customFormat="1" x14ac:dyDescent="0.25"/>
    <row r="295217" customFormat="1" x14ac:dyDescent="0.25"/>
    <row r="295218" customFormat="1" x14ac:dyDescent="0.25"/>
    <row r="295219" customFormat="1" x14ac:dyDescent="0.25"/>
    <row r="295220" customFormat="1" x14ac:dyDescent="0.25"/>
    <row r="295221" customFormat="1" x14ac:dyDescent="0.25"/>
    <row r="295222" customFormat="1" x14ac:dyDescent="0.25"/>
    <row r="295223" customFormat="1" x14ac:dyDescent="0.25"/>
    <row r="295224" customFormat="1" x14ac:dyDescent="0.25"/>
    <row r="295225" customFormat="1" x14ac:dyDescent="0.25"/>
    <row r="295226" customFormat="1" x14ac:dyDescent="0.25"/>
    <row r="295227" customFormat="1" x14ac:dyDescent="0.25"/>
    <row r="295228" customFormat="1" x14ac:dyDescent="0.25"/>
    <row r="295229" customFormat="1" x14ac:dyDescent="0.25"/>
    <row r="295230" customFormat="1" x14ac:dyDescent="0.25"/>
    <row r="295231" customFormat="1" x14ac:dyDescent="0.25"/>
    <row r="295232" customFormat="1" x14ac:dyDescent="0.25"/>
    <row r="295233" customFormat="1" x14ac:dyDescent="0.25"/>
    <row r="295234" customFormat="1" x14ac:dyDescent="0.25"/>
    <row r="295235" customFormat="1" x14ac:dyDescent="0.25"/>
    <row r="295236" customFormat="1" x14ac:dyDescent="0.25"/>
    <row r="295237" customFormat="1" x14ac:dyDescent="0.25"/>
    <row r="295238" customFormat="1" x14ac:dyDescent="0.25"/>
    <row r="295239" customFormat="1" x14ac:dyDescent="0.25"/>
    <row r="295240" customFormat="1" x14ac:dyDescent="0.25"/>
    <row r="295241" customFormat="1" x14ac:dyDescent="0.25"/>
    <row r="295242" customFormat="1" x14ac:dyDescent="0.25"/>
    <row r="295243" customFormat="1" x14ac:dyDescent="0.25"/>
    <row r="295244" customFormat="1" x14ac:dyDescent="0.25"/>
    <row r="295245" customFormat="1" x14ac:dyDescent="0.25"/>
    <row r="295246" customFormat="1" x14ac:dyDescent="0.25"/>
    <row r="295247" customFormat="1" x14ac:dyDescent="0.25"/>
    <row r="295248" customFormat="1" x14ac:dyDescent="0.25"/>
    <row r="295249" customFormat="1" x14ac:dyDescent="0.25"/>
    <row r="295250" customFormat="1" x14ac:dyDescent="0.25"/>
    <row r="295251" customFormat="1" x14ac:dyDescent="0.25"/>
    <row r="295252" customFormat="1" x14ac:dyDescent="0.25"/>
    <row r="295253" customFormat="1" x14ac:dyDescent="0.25"/>
    <row r="295254" customFormat="1" x14ac:dyDescent="0.25"/>
    <row r="295255" customFormat="1" x14ac:dyDescent="0.25"/>
    <row r="295256" customFormat="1" x14ac:dyDescent="0.25"/>
    <row r="295257" customFormat="1" x14ac:dyDescent="0.25"/>
    <row r="295258" customFormat="1" x14ac:dyDescent="0.25"/>
    <row r="295259" customFormat="1" x14ac:dyDescent="0.25"/>
    <row r="295260" customFormat="1" x14ac:dyDescent="0.25"/>
    <row r="295261" customFormat="1" x14ac:dyDescent="0.25"/>
    <row r="295262" customFormat="1" x14ac:dyDescent="0.25"/>
    <row r="295263" customFormat="1" x14ac:dyDescent="0.25"/>
    <row r="295264" customFormat="1" x14ac:dyDescent="0.25"/>
    <row r="295265" customFormat="1" x14ac:dyDescent="0.25"/>
    <row r="295266" customFormat="1" x14ac:dyDescent="0.25"/>
    <row r="295267" customFormat="1" x14ac:dyDescent="0.25"/>
    <row r="295268" customFormat="1" x14ac:dyDescent="0.25"/>
    <row r="295269" customFormat="1" x14ac:dyDescent="0.25"/>
    <row r="295270" customFormat="1" x14ac:dyDescent="0.25"/>
    <row r="295271" customFormat="1" x14ac:dyDescent="0.25"/>
    <row r="295272" customFormat="1" x14ac:dyDescent="0.25"/>
    <row r="295273" customFormat="1" x14ac:dyDescent="0.25"/>
    <row r="295274" customFormat="1" x14ac:dyDescent="0.25"/>
    <row r="295275" customFormat="1" x14ac:dyDescent="0.25"/>
    <row r="295276" customFormat="1" x14ac:dyDescent="0.25"/>
    <row r="295277" customFormat="1" x14ac:dyDescent="0.25"/>
    <row r="295278" customFormat="1" x14ac:dyDescent="0.25"/>
    <row r="295279" customFormat="1" x14ac:dyDescent="0.25"/>
    <row r="295280" customFormat="1" x14ac:dyDescent="0.25"/>
    <row r="295281" customFormat="1" x14ac:dyDescent="0.25"/>
    <row r="295282" customFormat="1" x14ac:dyDescent="0.25"/>
    <row r="295283" customFormat="1" x14ac:dyDescent="0.25"/>
    <row r="295284" customFormat="1" x14ac:dyDescent="0.25"/>
    <row r="295285" customFormat="1" x14ac:dyDescent="0.25"/>
    <row r="295286" customFormat="1" x14ac:dyDescent="0.25"/>
    <row r="295287" customFormat="1" x14ac:dyDescent="0.25"/>
    <row r="295288" customFormat="1" x14ac:dyDescent="0.25"/>
    <row r="295289" customFormat="1" x14ac:dyDescent="0.25"/>
    <row r="295290" customFormat="1" x14ac:dyDescent="0.25"/>
    <row r="295291" customFormat="1" x14ac:dyDescent="0.25"/>
    <row r="295292" customFormat="1" x14ac:dyDescent="0.25"/>
    <row r="295293" customFormat="1" x14ac:dyDescent="0.25"/>
    <row r="295294" customFormat="1" x14ac:dyDescent="0.25"/>
    <row r="295295" customFormat="1" x14ac:dyDescent="0.25"/>
    <row r="295296" customFormat="1" x14ac:dyDescent="0.25"/>
    <row r="295297" customFormat="1" x14ac:dyDescent="0.25"/>
    <row r="295298" customFormat="1" x14ac:dyDescent="0.25"/>
    <row r="295299" customFormat="1" x14ac:dyDescent="0.25"/>
    <row r="295300" customFormat="1" x14ac:dyDescent="0.25"/>
    <row r="295301" customFormat="1" x14ac:dyDescent="0.25"/>
    <row r="295302" customFormat="1" x14ac:dyDescent="0.25"/>
    <row r="295303" customFormat="1" x14ac:dyDescent="0.25"/>
    <row r="295304" customFormat="1" x14ac:dyDescent="0.25"/>
    <row r="295305" customFormat="1" x14ac:dyDescent="0.25"/>
    <row r="295306" customFormat="1" x14ac:dyDescent="0.25"/>
    <row r="295307" customFormat="1" x14ac:dyDescent="0.25"/>
    <row r="295308" customFormat="1" x14ac:dyDescent="0.25"/>
    <row r="295309" customFormat="1" x14ac:dyDescent="0.25"/>
    <row r="295310" customFormat="1" x14ac:dyDescent="0.25"/>
    <row r="295311" customFormat="1" x14ac:dyDescent="0.25"/>
    <row r="295312" customFormat="1" x14ac:dyDescent="0.25"/>
    <row r="295313" customFormat="1" x14ac:dyDescent="0.25"/>
    <row r="295314" customFormat="1" x14ac:dyDescent="0.25"/>
    <row r="295315" customFormat="1" x14ac:dyDescent="0.25"/>
    <row r="295316" customFormat="1" x14ac:dyDescent="0.25"/>
    <row r="295317" customFormat="1" x14ac:dyDescent="0.25"/>
    <row r="295318" customFormat="1" x14ac:dyDescent="0.25"/>
    <row r="295319" customFormat="1" x14ac:dyDescent="0.25"/>
    <row r="295320" customFormat="1" x14ac:dyDescent="0.25"/>
    <row r="295321" customFormat="1" x14ac:dyDescent="0.25"/>
    <row r="295322" customFormat="1" x14ac:dyDescent="0.25"/>
    <row r="295323" customFormat="1" x14ac:dyDescent="0.25"/>
    <row r="295324" customFormat="1" x14ac:dyDescent="0.25"/>
    <row r="295325" customFormat="1" x14ac:dyDescent="0.25"/>
    <row r="295326" customFormat="1" x14ac:dyDescent="0.25"/>
    <row r="295327" customFormat="1" x14ac:dyDescent="0.25"/>
    <row r="295328" customFormat="1" x14ac:dyDescent="0.25"/>
    <row r="295329" customFormat="1" x14ac:dyDescent="0.25"/>
    <row r="295330" customFormat="1" x14ac:dyDescent="0.25"/>
    <row r="295331" customFormat="1" x14ac:dyDescent="0.25"/>
    <row r="295332" customFormat="1" x14ac:dyDescent="0.25"/>
    <row r="295333" customFormat="1" x14ac:dyDescent="0.25"/>
    <row r="295334" customFormat="1" x14ac:dyDescent="0.25"/>
    <row r="295335" customFormat="1" x14ac:dyDescent="0.25"/>
    <row r="295336" customFormat="1" x14ac:dyDescent="0.25"/>
    <row r="295337" customFormat="1" x14ac:dyDescent="0.25"/>
    <row r="295338" customFormat="1" x14ac:dyDescent="0.25"/>
    <row r="295339" customFormat="1" x14ac:dyDescent="0.25"/>
    <row r="295340" customFormat="1" x14ac:dyDescent="0.25"/>
    <row r="295341" customFormat="1" x14ac:dyDescent="0.25"/>
    <row r="295342" customFormat="1" x14ac:dyDescent="0.25"/>
    <row r="295343" customFormat="1" x14ac:dyDescent="0.25"/>
    <row r="295344" customFormat="1" x14ac:dyDescent="0.25"/>
    <row r="295345" customFormat="1" x14ac:dyDescent="0.25"/>
    <row r="295346" customFormat="1" x14ac:dyDescent="0.25"/>
    <row r="295347" customFormat="1" x14ac:dyDescent="0.25"/>
    <row r="295348" customFormat="1" x14ac:dyDescent="0.25"/>
    <row r="295349" customFormat="1" x14ac:dyDescent="0.25"/>
    <row r="295350" customFormat="1" x14ac:dyDescent="0.25"/>
    <row r="295351" customFormat="1" x14ac:dyDescent="0.25"/>
    <row r="295352" customFormat="1" x14ac:dyDescent="0.25"/>
    <row r="295353" customFormat="1" x14ac:dyDescent="0.25"/>
    <row r="295354" customFormat="1" x14ac:dyDescent="0.25"/>
    <row r="295355" customFormat="1" x14ac:dyDescent="0.25"/>
    <row r="295356" customFormat="1" x14ac:dyDescent="0.25"/>
    <row r="295357" customFormat="1" x14ac:dyDescent="0.25"/>
    <row r="295358" customFormat="1" x14ac:dyDescent="0.25"/>
    <row r="295359" customFormat="1" x14ac:dyDescent="0.25"/>
    <row r="295360" customFormat="1" x14ac:dyDescent="0.25"/>
    <row r="295361" customFormat="1" x14ac:dyDescent="0.25"/>
    <row r="295362" customFormat="1" x14ac:dyDescent="0.25"/>
    <row r="295363" customFormat="1" x14ac:dyDescent="0.25"/>
    <row r="295364" customFormat="1" x14ac:dyDescent="0.25"/>
    <row r="295365" customFormat="1" x14ac:dyDescent="0.25"/>
    <row r="295366" customFormat="1" x14ac:dyDescent="0.25"/>
    <row r="295367" customFormat="1" x14ac:dyDescent="0.25"/>
    <row r="295368" customFormat="1" x14ac:dyDescent="0.25"/>
    <row r="295369" customFormat="1" x14ac:dyDescent="0.25"/>
    <row r="295370" customFormat="1" x14ac:dyDescent="0.25"/>
    <row r="295371" customFormat="1" x14ac:dyDescent="0.25"/>
    <row r="295372" customFormat="1" x14ac:dyDescent="0.25"/>
    <row r="295373" customFormat="1" x14ac:dyDescent="0.25"/>
    <row r="295374" customFormat="1" x14ac:dyDescent="0.25"/>
    <row r="295375" customFormat="1" x14ac:dyDescent="0.25"/>
    <row r="295376" customFormat="1" x14ac:dyDescent="0.25"/>
    <row r="295377" customFormat="1" x14ac:dyDescent="0.25"/>
    <row r="295378" customFormat="1" x14ac:dyDescent="0.25"/>
    <row r="295379" customFormat="1" x14ac:dyDescent="0.25"/>
    <row r="295380" customFormat="1" x14ac:dyDescent="0.25"/>
    <row r="295381" customFormat="1" x14ac:dyDescent="0.25"/>
    <row r="295382" customFormat="1" x14ac:dyDescent="0.25"/>
    <row r="295383" customFormat="1" x14ac:dyDescent="0.25"/>
    <row r="295384" customFormat="1" x14ac:dyDescent="0.25"/>
    <row r="295385" customFormat="1" x14ac:dyDescent="0.25"/>
    <row r="295386" customFormat="1" x14ac:dyDescent="0.25"/>
    <row r="295387" customFormat="1" x14ac:dyDescent="0.25"/>
    <row r="295388" customFormat="1" x14ac:dyDescent="0.25"/>
    <row r="295389" customFormat="1" x14ac:dyDescent="0.25"/>
    <row r="295390" customFormat="1" x14ac:dyDescent="0.25"/>
    <row r="295391" customFormat="1" x14ac:dyDescent="0.25"/>
    <row r="295392" customFormat="1" x14ac:dyDescent="0.25"/>
    <row r="295393" customFormat="1" x14ac:dyDescent="0.25"/>
    <row r="295394" customFormat="1" x14ac:dyDescent="0.25"/>
    <row r="295395" customFormat="1" x14ac:dyDescent="0.25"/>
    <row r="295396" customFormat="1" x14ac:dyDescent="0.25"/>
    <row r="295397" customFormat="1" x14ac:dyDescent="0.25"/>
    <row r="295398" customFormat="1" x14ac:dyDescent="0.25"/>
    <row r="295399" customFormat="1" x14ac:dyDescent="0.25"/>
    <row r="295400" customFormat="1" x14ac:dyDescent="0.25"/>
    <row r="295401" customFormat="1" x14ac:dyDescent="0.25"/>
    <row r="295402" customFormat="1" x14ac:dyDescent="0.25"/>
    <row r="295403" customFormat="1" x14ac:dyDescent="0.25"/>
    <row r="295404" customFormat="1" x14ac:dyDescent="0.25"/>
    <row r="295405" customFormat="1" x14ac:dyDescent="0.25"/>
    <row r="295406" customFormat="1" x14ac:dyDescent="0.25"/>
    <row r="295407" customFormat="1" x14ac:dyDescent="0.25"/>
    <row r="295408" customFormat="1" x14ac:dyDescent="0.25"/>
    <row r="295409" customFormat="1" x14ac:dyDescent="0.25"/>
    <row r="295410" customFormat="1" x14ac:dyDescent="0.25"/>
    <row r="295411" customFormat="1" x14ac:dyDescent="0.25"/>
    <row r="295412" customFormat="1" x14ac:dyDescent="0.25"/>
    <row r="295413" customFormat="1" x14ac:dyDescent="0.25"/>
    <row r="295414" customFormat="1" x14ac:dyDescent="0.25"/>
    <row r="295415" customFormat="1" x14ac:dyDescent="0.25"/>
    <row r="295416" customFormat="1" x14ac:dyDescent="0.25"/>
    <row r="295417" customFormat="1" x14ac:dyDescent="0.25"/>
    <row r="295418" customFormat="1" x14ac:dyDescent="0.25"/>
    <row r="295419" customFormat="1" x14ac:dyDescent="0.25"/>
    <row r="295420" customFormat="1" x14ac:dyDescent="0.25"/>
    <row r="295421" customFormat="1" x14ac:dyDescent="0.25"/>
    <row r="295422" customFormat="1" x14ac:dyDescent="0.25"/>
    <row r="295423" customFormat="1" x14ac:dyDescent="0.25"/>
    <row r="295424" customFormat="1" x14ac:dyDescent="0.25"/>
    <row r="295425" customFormat="1" x14ac:dyDescent="0.25"/>
    <row r="295426" customFormat="1" x14ac:dyDescent="0.25"/>
    <row r="295427" customFormat="1" x14ac:dyDescent="0.25"/>
    <row r="295428" customFormat="1" x14ac:dyDescent="0.25"/>
    <row r="295429" customFormat="1" x14ac:dyDescent="0.25"/>
    <row r="295430" customFormat="1" x14ac:dyDescent="0.25"/>
    <row r="295431" customFormat="1" x14ac:dyDescent="0.25"/>
    <row r="295432" customFormat="1" x14ac:dyDescent="0.25"/>
    <row r="295433" customFormat="1" x14ac:dyDescent="0.25"/>
    <row r="295434" customFormat="1" x14ac:dyDescent="0.25"/>
    <row r="295435" customFormat="1" x14ac:dyDescent="0.25"/>
    <row r="295436" customFormat="1" x14ac:dyDescent="0.25"/>
    <row r="295437" customFormat="1" x14ac:dyDescent="0.25"/>
    <row r="295438" customFormat="1" x14ac:dyDescent="0.25"/>
    <row r="295439" customFormat="1" x14ac:dyDescent="0.25"/>
    <row r="295440" customFormat="1" x14ac:dyDescent="0.25"/>
    <row r="295441" customFormat="1" x14ac:dyDescent="0.25"/>
    <row r="295442" customFormat="1" x14ac:dyDescent="0.25"/>
    <row r="295443" customFormat="1" x14ac:dyDescent="0.25"/>
    <row r="295444" customFormat="1" x14ac:dyDescent="0.25"/>
    <row r="295445" customFormat="1" x14ac:dyDescent="0.25"/>
    <row r="295446" customFormat="1" x14ac:dyDescent="0.25"/>
    <row r="295447" customFormat="1" x14ac:dyDescent="0.25"/>
    <row r="295448" customFormat="1" x14ac:dyDescent="0.25"/>
    <row r="295449" customFormat="1" x14ac:dyDescent="0.25"/>
    <row r="295450" customFormat="1" x14ac:dyDescent="0.25"/>
    <row r="295451" customFormat="1" x14ac:dyDescent="0.25"/>
    <row r="295452" customFormat="1" x14ac:dyDescent="0.25"/>
    <row r="295453" customFormat="1" x14ac:dyDescent="0.25"/>
    <row r="295454" customFormat="1" x14ac:dyDescent="0.25"/>
    <row r="295455" customFormat="1" x14ac:dyDescent="0.25"/>
    <row r="295456" customFormat="1" x14ac:dyDescent="0.25"/>
    <row r="295457" customFormat="1" x14ac:dyDescent="0.25"/>
    <row r="295458" customFormat="1" x14ac:dyDescent="0.25"/>
    <row r="295459" customFormat="1" x14ac:dyDescent="0.25"/>
    <row r="295460" customFormat="1" x14ac:dyDescent="0.25"/>
    <row r="295461" customFormat="1" x14ac:dyDescent="0.25"/>
    <row r="295462" customFormat="1" x14ac:dyDescent="0.25"/>
    <row r="295463" customFormat="1" x14ac:dyDescent="0.25"/>
    <row r="295464" customFormat="1" x14ac:dyDescent="0.25"/>
    <row r="295465" customFormat="1" x14ac:dyDescent="0.25"/>
    <row r="295466" customFormat="1" x14ac:dyDescent="0.25"/>
    <row r="295467" customFormat="1" x14ac:dyDescent="0.25"/>
    <row r="295468" customFormat="1" x14ac:dyDescent="0.25"/>
    <row r="295469" customFormat="1" x14ac:dyDescent="0.25"/>
    <row r="295470" customFormat="1" x14ac:dyDescent="0.25"/>
    <row r="295471" customFormat="1" x14ac:dyDescent="0.25"/>
    <row r="295472" customFormat="1" x14ac:dyDescent="0.25"/>
    <row r="295473" customFormat="1" x14ac:dyDescent="0.25"/>
    <row r="295474" customFormat="1" x14ac:dyDescent="0.25"/>
    <row r="295475" customFormat="1" x14ac:dyDescent="0.25"/>
    <row r="295476" customFormat="1" x14ac:dyDescent="0.25"/>
    <row r="295477" customFormat="1" x14ac:dyDescent="0.25"/>
    <row r="295478" customFormat="1" x14ac:dyDescent="0.25"/>
    <row r="295479" customFormat="1" x14ac:dyDescent="0.25"/>
    <row r="295480" customFormat="1" x14ac:dyDescent="0.25"/>
    <row r="295481" customFormat="1" x14ac:dyDescent="0.25"/>
    <row r="295482" customFormat="1" x14ac:dyDescent="0.25"/>
    <row r="295483" customFormat="1" x14ac:dyDescent="0.25"/>
    <row r="295484" customFormat="1" x14ac:dyDescent="0.25"/>
    <row r="295485" customFormat="1" x14ac:dyDescent="0.25"/>
    <row r="295486" customFormat="1" x14ac:dyDescent="0.25"/>
    <row r="295487" customFormat="1" x14ac:dyDescent="0.25"/>
    <row r="295488" customFormat="1" x14ac:dyDescent="0.25"/>
    <row r="295489" customFormat="1" x14ac:dyDescent="0.25"/>
    <row r="295490" customFormat="1" x14ac:dyDescent="0.25"/>
    <row r="295491" customFormat="1" x14ac:dyDescent="0.25"/>
    <row r="295492" customFormat="1" x14ac:dyDescent="0.25"/>
    <row r="295493" customFormat="1" x14ac:dyDescent="0.25"/>
    <row r="295494" customFormat="1" x14ac:dyDescent="0.25"/>
    <row r="295495" customFormat="1" x14ac:dyDescent="0.25"/>
    <row r="295496" customFormat="1" x14ac:dyDescent="0.25"/>
    <row r="295497" customFormat="1" x14ac:dyDescent="0.25"/>
    <row r="295498" customFormat="1" x14ac:dyDescent="0.25"/>
    <row r="295499" customFormat="1" x14ac:dyDescent="0.25"/>
    <row r="295500" customFormat="1" x14ac:dyDescent="0.25"/>
    <row r="295501" customFormat="1" x14ac:dyDescent="0.25"/>
    <row r="295502" customFormat="1" x14ac:dyDescent="0.25"/>
    <row r="295503" customFormat="1" x14ac:dyDescent="0.25"/>
    <row r="295504" customFormat="1" x14ac:dyDescent="0.25"/>
    <row r="295505" customFormat="1" x14ac:dyDescent="0.25"/>
    <row r="295506" customFormat="1" x14ac:dyDescent="0.25"/>
    <row r="295507" customFormat="1" x14ac:dyDescent="0.25"/>
    <row r="295508" customFormat="1" x14ac:dyDescent="0.25"/>
    <row r="295509" customFormat="1" x14ac:dyDescent="0.25"/>
    <row r="295510" customFormat="1" x14ac:dyDescent="0.25"/>
    <row r="295511" customFormat="1" x14ac:dyDescent="0.25"/>
    <row r="295512" customFormat="1" x14ac:dyDescent="0.25"/>
    <row r="295513" customFormat="1" x14ac:dyDescent="0.25"/>
    <row r="295514" customFormat="1" x14ac:dyDescent="0.25"/>
    <row r="295515" customFormat="1" x14ac:dyDescent="0.25"/>
    <row r="295516" customFormat="1" x14ac:dyDescent="0.25"/>
    <row r="295517" customFormat="1" x14ac:dyDescent="0.25"/>
    <row r="295518" customFormat="1" x14ac:dyDescent="0.25"/>
    <row r="295519" customFormat="1" x14ac:dyDescent="0.25"/>
    <row r="295520" customFormat="1" x14ac:dyDescent="0.25"/>
    <row r="295521" customFormat="1" x14ac:dyDescent="0.25"/>
    <row r="295522" customFormat="1" x14ac:dyDescent="0.25"/>
    <row r="295523" customFormat="1" x14ac:dyDescent="0.25"/>
    <row r="295524" customFormat="1" x14ac:dyDescent="0.25"/>
    <row r="295525" customFormat="1" x14ac:dyDescent="0.25"/>
    <row r="295526" customFormat="1" x14ac:dyDescent="0.25"/>
    <row r="295527" customFormat="1" x14ac:dyDescent="0.25"/>
    <row r="295528" customFormat="1" x14ac:dyDescent="0.25"/>
    <row r="295529" customFormat="1" x14ac:dyDescent="0.25"/>
    <row r="295530" customFormat="1" x14ac:dyDescent="0.25"/>
    <row r="295531" customFormat="1" x14ac:dyDescent="0.25"/>
    <row r="295532" customFormat="1" x14ac:dyDescent="0.25"/>
    <row r="295533" customFormat="1" x14ac:dyDescent="0.25"/>
    <row r="295534" customFormat="1" x14ac:dyDescent="0.25"/>
    <row r="295535" customFormat="1" x14ac:dyDescent="0.25"/>
    <row r="295536" customFormat="1" x14ac:dyDescent="0.25"/>
    <row r="295537" customFormat="1" x14ac:dyDescent="0.25"/>
    <row r="295538" customFormat="1" x14ac:dyDescent="0.25"/>
    <row r="295539" customFormat="1" x14ac:dyDescent="0.25"/>
    <row r="295540" customFormat="1" x14ac:dyDescent="0.25"/>
    <row r="295541" customFormat="1" x14ac:dyDescent="0.25"/>
    <row r="295542" customFormat="1" x14ac:dyDescent="0.25"/>
    <row r="295543" customFormat="1" x14ac:dyDescent="0.25"/>
    <row r="295544" customFormat="1" x14ac:dyDescent="0.25"/>
    <row r="295545" customFormat="1" x14ac:dyDescent="0.25"/>
    <row r="295546" customFormat="1" x14ac:dyDescent="0.25"/>
    <row r="295547" customFormat="1" x14ac:dyDescent="0.25"/>
    <row r="295548" customFormat="1" x14ac:dyDescent="0.25"/>
    <row r="295549" customFormat="1" x14ac:dyDescent="0.25"/>
    <row r="295550" customFormat="1" x14ac:dyDescent="0.25"/>
    <row r="295551" customFormat="1" x14ac:dyDescent="0.25"/>
    <row r="295552" customFormat="1" x14ac:dyDescent="0.25"/>
    <row r="295553" customFormat="1" x14ac:dyDescent="0.25"/>
    <row r="295554" customFormat="1" x14ac:dyDescent="0.25"/>
    <row r="295555" customFormat="1" x14ac:dyDescent="0.25"/>
    <row r="295556" customFormat="1" x14ac:dyDescent="0.25"/>
    <row r="295557" customFormat="1" x14ac:dyDescent="0.25"/>
    <row r="295558" customFormat="1" x14ac:dyDescent="0.25"/>
    <row r="295559" customFormat="1" x14ac:dyDescent="0.25"/>
    <row r="295560" customFormat="1" x14ac:dyDescent="0.25"/>
    <row r="295561" customFormat="1" x14ac:dyDescent="0.25"/>
    <row r="295562" customFormat="1" x14ac:dyDescent="0.25"/>
    <row r="295563" customFormat="1" x14ac:dyDescent="0.25"/>
    <row r="295564" customFormat="1" x14ac:dyDescent="0.25"/>
    <row r="295565" customFormat="1" x14ac:dyDescent="0.25"/>
    <row r="295566" customFormat="1" x14ac:dyDescent="0.25"/>
    <row r="295567" customFormat="1" x14ac:dyDescent="0.25"/>
    <row r="295568" customFormat="1" x14ac:dyDescent="0.25"/>
    <row r="295569" customFormat="1" x14ac:dyDescent="0.25"/>
    <row r="295570" customFormat="1" x14ac:dyDescent="0.25"/>
    <row r="295571" customFormat="1" x14ac:dyDescent="0.25"/>
    <row r="295572" customFormat="1" x14ac:dyDescent="0.25"/>
    <row r="295573" customFormat="1" x14ac:dyDescent="0.25"/>
    <row r="295574" customFormat="1" x14ac:dyDescent="0.25"/>
    <row r="295575" customFormat="1" x14ac:dyDescent="0.25"/>
    <row r="295576" customFormat="1" x14ac:dyDescent="0.25"/>
    <row r="295577" customFormat="1" x14ac:dyDescent="0.25"/>
    <row r="295578" customFormat="1" x14ac:dyDescent="0.25"/>
    <row r="295579" customFormat="1" x14ac:dyDescent="0.25"/>
    <row r="295580" customFormat="1" x14ac:dyDescent="0.25"/>
    <row r="295581" customFormat="1" x14ac:dyDescent="0.25"/>
    <row r="295582" customFormat="1" x14ac:dyDescent="0.25"/>
    <row r="295583" customFormat="1" x14ac:dyDescent="0.25"/>
    <row r="295584" customFormat="1" x14ac:dyDescent="0.25"/>
    <row r="295585" customFormat="1" x14ac:dyDescent="0.25"/>
    <row r="295586" customFormat="1" x14ac:dyDescent="0.25"/>
    <row r="295587" customFormat="1" x14ac:dyDescent="0.25"/>
    <row r="295588" customFormat="1" x14ac:dyDescent="0.25"/>
    <row r="295589" customFormat="1" x14ac:dyDescent="0.25"/>
    <row r="295590" customFormat="1" x14ac:dyDescent="0.25"/>
    <row r="295591" customFormat="1" x14ac:dyDescent="0.25"/>
    <row r="295592" customFormat="1" x14ac:dyDescent="0.25"/>
    <row r="295593" customFormat="1" x14ac:dyDescent="0.25"/>
    <row r="295594" customFormat="1" x14ac:dyDescent="0.25"/>
    <row r="295595" customFormat="1" x14ac:dyDescent="0.25"/>
    <row r="295596" customFormat="1" x14ac:dyDescent="0.25"/>
    <row r="295597" customFormat="1" x14ac:dyDescent="0.25"/>
    <row r="295598" customFormat="1" x14ac:dyDescent="0.25"/>
    <row r="295599" customFormat="1" x14ac:dyDescent="0.25"/>
    <row r="295600" customFormat="1" x14ac:dyDescent="0.25"/>
    <row r="295601" customFormat="1" x14ac:dyDescent="0.25"/>
    <row r="295602" customFormat="1" x14ac:dyDescent="0.25"/>
    <row r="295603" customFormat="1" x14ac:dyDescent="0.25"/>
    <row r="295604" customFormat="1" x14ac:dyDescent="0.25"/>
    <row r="295605" customFormat="1" x14ac:dyDescent="0.25"/>
    <row r="295606" customFormat="1" x14ac:dyDescent="0.25"/>
    <row r="295607" customFormat="1" x14ac:dyDescent="0.25"/>
    <row r="295608" customFormat="1" x14ac:dyDescent="0.25"/>
    <row r="295609" customFormat="1" x14ac:dyDescent="0.25"/>
    <row r="295610" customFormat="1" x14ac:dyDescent="0.25"/>
    <row r="295611" customFormat="1" x14ac:dyDescent="0.25"/>
    <row r="295612" customFormat="1" x14ac:dyDescent="0.25"/>
    <row r="295613" customFormat="1" x14ac:dyDescent="0.25"/>
    <row r="295614" customFormat="1" x14ac:dyDescent="0.25"/>
    <row r="295615" customFormat="1" x14ac:dyDescent="0.25"/>
    <row r="295616" customFormat="1" x14ac:dyDescent="0.25"/>
    <row r="295617" customFormat="1" x14ac:dyDescent="0.25"/>
    <row r="295618" customFormat="1" x14ac:dyDescent="0.25"/>
    <row r="295619" customFormat="1" x14ac:dyDescent="0.25"/>
    <row r="295620" customFormat="1" x14ac:dyDescent="0.25"/>
    <row r="295621" customFormat="1" x14ac:dyDescent="0.25"/>
    <row r="295622" customFormat="1" x14ac:dyDescent="0.25"/>
    <row r="295623" customFormat="1" x14ac:dyDescent="0.25"/>
    <row r="295624" customFormat="1" x14ac:dyDescent="0.25"/>
    <row r="295625" customFormat="1" x14ac:dyDescent="0.25"/>
    <row r="295626" customFormat="1" x14ac:dyDescent="0.25"/>
    <row r="295627" customFormat="1" x14ac:dyDescent="0.25"/>
    <row r="295628" customFormat="1" x14ac:dyDescent="0.25"/>
    <row r="295629" customFormat="1" x14ac:dyDescent="0.25"/>
    <row r="295630" customFormat="1" x14ac:dyDescent="0.25"/>
    <row r="295631" customFormat="1" x14ac:dyDescent="0.25"/>
    <row r="295632" customFormat="1" x14ac:dyDescent="0.25"/>
    <row r="295633" customFormat="1" x14ac:dyDescent="0.25"/>
    <row r="295634" customFormat="1" x14ac:dyDescent="0.25"/>
    <row r="295635" customFormat="1" x14ac:dyDescent="0.25"/>
    <row r="295636" customFormat="1" x14ac:dyDescent="0.25"/>
    <row r="295637" customFormat="1" x14ac:dyDescent="0.25"/>
    <row r="295638" customFormat="1" x14ac:dyDescent="0.25"/>
    <row r="295639" customFormat="1" x14ac:dyDescent="0.25"/>
    <row r="295640" customFormat="1" x14ac:dyDescent="0.25"/>
    <row r="295641" customFormat="1" x14ac:dyDescent="0.25"/>
    <row r="295642" customFormat="1" x14ac:dyDescent="0.25"/>
    <row r="295643" customFormat="1" x14ac:dyDescent="0.25"/>
    <row r="295644" customFormat="1" x14ac:dyDescent="0.25"/>
    <row r="295645" customFormat="1" x14ac:dyDescent="0.25"/>
    <row r="295646" customFormat="1" x14ac:dyDescent="0.25"/>
    <row r="295647" customFormat="1" x14ac:dyDescent="0.25"/>
    <row r="295648" customFormat="1" x14ac:dyDescent="0.25"/>
    <row r="295649" customFormat="1" x14ac:dyDescent="0.25"/>
    <row r="295650" customFormat="1" x14ac:dyDescent="0.25"/>
    <row r="295651" customFormat="1" x14ac:dyDescent="0.25"/>
    <row r="295652" customFormat="1" x14ac:dyDescent="0.25"/>
    <row r="295653" customFormat="1" x14ac:dyDescent="0.25"/>
    <row r="295654" customFormat="1" x14ac:dyDescent="0.25"/>
    <row r="295655" customFormat="1" x14ac:dyDescent="0.25"/>
    <row r="295656" customFormat="1" x14ac:dyDescent="0.25"/>
    <row r="295657" customFormat="1" x14ac:dyDescent="0.25"/>
    <row r="295658" customFormat="1" x14ac:dyDescent="0.25"/>
    <row r="295659" customFormat="1" x14ac:dyDescent="0.25"/>
    <row r="295660" customFormat="1" x14ac:dyDescent="0.25"/>
    <row r="295661" customFormat="1" x14ac:dyDescent="0.25"/>
    <row r="295662" customFormat="1" x14ac:dyDescent="0.25"/>
    <row r="295663" customFormat="1" x14ac:dyDescent="0.25"/>
    <row r="295664" customFormat="1" x14ac:dyDescent="0.25"/>
    <row r="295665" customFormat="1" x14ac:dyDescent="0.25"/>
    <row r="295666" customFormat="1" x14ac:dyDescent="0.25"/>
    <row r="295667" customFormat="1" x14ac:dyDescent="0.25"/>
    <row r="295668" customFormat="1" x14ac:dyDescent="0.25"/>
    <row r="295669" customFormat="1" x14ac:dyDescent="0.25"/>
    <row r="295670" customFormat="1" x14ac:dyDescent="0.25"/>
    <row r="295671" customFormat="1" x14ac:dyDescent="0.25"/>
    <row r="295672" customFormat="1" x14ac:dyDescent="0.25"/>
    <row r="295673" customFormat="1" x14ac:dyDescent="0.25"/>
    <row r="295674" customFormat="1" x14ac:dyDescent="0.25"/>
    <row r="295675" customFormat="1" x14ac:dyDescent="0.25"/>
    <row r="295676" customFormat="1" x14ac:dyDescent="0.25"/>
    <row r="295677" customFormat="1" x14ac:dyDescent="0.25"/>
    <row r="295678" customFormat="1" x14ac:dyDescent="0.25"/>
    <row r="295679" customFormat="1" x14ac:dyDescent="0.25"/>
    <row r="295680" customFormat="1" x14ac:dyDescent="0.25"/>
    <row r="295681" customFormat="1" x14ac:dyDescent="0.25"/>
    <row r="295682" customFormat="1" x14ac:dyDescent="0.25"/>
    <row r="295683" customFormat="1" x14ac:dyDescent="0.25"/>
    <row r="295684" customFormat="1" x14ac:dyDescent="0.25"/>
    <row r="295685" customFormat="1" x14ac:dyDescent="0.25"/>
    <row r="295686" customFormat="1" x14ac:dyDescent="0.25"/>
    <row r="295687" customFormat="1" x14ac:dyDescent="0.25"/>
    <row r="295688" customFormat="1" x14ac:dyDescent="0.25"/>
    <row r="295689" customFormat="1" x14ac:dyDescent="0.25"/>
    <row r="295690" customFormat="1" x14ac:dyDescent="0.25"/>
    <row r="295691" customFormat="1" x14ac:dyDescent="0.25"/>
    <row r="295692" customFormat="1" x14ac:dyDescent="0.25"/>
    <row r="295693" customFormat="1" x14ac:dyDescent="0.25"/>
    <row r="295694" customFormat="1" x14ac:dyDescent="0.25"/>
    <row r="295695" customFormat="1" x14ac:dyDescent="0.25"/>
    <row r="295696" customFormat="1" x14ac:dyDescent="0.25"/>
    <row r="295697" customFormat="1" x14ac:dyDescent="0.25"/>
    <row r="295698" customFormat="1" x14ac:dyDescent="0.25"/>
    <row r="295699" customFormat="1" x14ac:dyDescent="0.25"/>
    <row r="295700" customFormat="1" x14ac:dyDescent="0.25"/>
    <row r="295701" customFormat="1" x14ac:dyDescent="0.25"/>
    <row r="295702" customFormat="1" x14ac:dyDescent="0.25"/>
    <row r="295703" customFormat="1" x14ac:dyDescent="0.25"/>
    <row r="295704" customFormat="1" x14ac:dyDescent="0.25"/>
    <row r="295705" customFormat="1" x14ac:dyDescent="0.25"/>
    <row r="295706" customFormat="1" x14ac:dyDescent="0.25"/>
    <row r="295707" customFormat="1" x14ac:dyDescent="0.25"/>
    <row r="295708" customFormat="1" x14ac:dyDescent="0.25"/>
    <row r="295709" customFormat="1" x14ac:dyDescent="0.25"/>
    <row r="295710" customFormat="1" x14ac:dyDescent="0.25"/>
    <row r="295711" customFormat="1" x14ac:dyDescent="0.25"/>
    <row r="295712" customFormat="1" x14ac:dyDescent="0.25"/>
    <row r="295713" customFormat="1" x14ac:dyDescent="0.25"/>
    <row r="295714" customFormat="1" x14ac:dyDescent="0.25"/>
    <row r="295715" customFormat="1" x14ac:dyDescent="0.25"/>
    <row r="295716" customFormat="1" x14ac:dyDescent="0.25"/>
    <row r="295717" customFormat="1" x14ac:dyDescent="0.25"/>
    <row r="295718" customFormat="1" x14ac:dyDescent="0.25"/>
    <row r="295719" customFormat="1" x14ac:dyDescent="0.25"/>
    <row r="295720" customFormat="1" x14ac:dyDescent="0.25"/>
    <row r="295721" customFormat="1" x14ac:dyDescent="0.25"/>
    <row r="295722" customFormat="1" x14ac:dyDescent="0.25"/>
    <row r="295723" customFormat="1" x14ac:dyDescent="0.25"/>
    <row r="295724" customFormat="1" x14ac:dyDescent="0.25"/>
    <row r="295725" customFormat="1" x14ac:dyDescent="0.25"/>
    <row r="295726" customFormat="1" x14ac:dyDescent="0.25"/>
    <row r="295727" customFormat="1" x14ac:dyDescent="0.25"/>
    <row r="295728" customFormat="1" x14ac:dyDescent="0.25"/>
    <row r="295729" customFormat="1" x14ac:dyDescent="0.25"/>
    <row r="295730" customFormat="1" x14ac:dyDescent="0.25"/>
    <row r="295731" customFormat="1" x14ac:dyDescent="0.25"/>
    <row r="295732" customFormat="1" x14ac:dyDescent="0.25"/>
    <row r="295733" customFormat="1" x14ac:dyDescent="0.25"/>
    <row r="295734" customFormat="1" x14ac:dyDescent="0.25"/>
    <row r="295735" customFormat="1" x14ac:dyDescent="0.25"/>
    <row r="295736" customFormat="1" x14ac:dyDescent="0.25"/>
    <row r="295737" customFormat="1" x14ac:dyDescent="0.25"/>
    <row r="295738" customFormat="1" x14ac:dyDescent="0.25"/>
    <row r="295739" customFormat="1" x14ac:dyDescent="0.25"/>
    <row r="295740" customFormat="1" x14ac:dyDescent="0.25"/>
    <row r="295741" customFormat="1" x14ac:dyDescent="0.25"/>
    <row r="295742" customFormat="1" x14ac:dyDescent="0.25"/>
    <row r="295743" customFormat="1" x14ac:dyDescent="0.25"/>
    <row r="295744" customFormat="1" x14ac:dyDescent="0.25"/>
    <row r="295745" customFormat="1" x14ac:dyDescent="0.25"/>
    <row r="295746" customFormat="1" x14ac:dyDescent="0.25"/>
    <row r="295747" customFormat="1" x14ac:dyDescent="0.25"/>
    <row r="295748" customFormat="1" x14ac:dyDescent="0.25"/>
    <row r="295749" customFormat="1" x14ac:dyDescent="0.25"/>
    <row r="295750" customFormat="1" x14ac:dyDescent="0.25"/>
    <row r="295751" customFormat="1" x14ac:dyDescent="0.25"/>
    <row r="295752" customFormat="1" x14ac:dyDescent="0.25"/>
    <row r="295753" customFormat="1" x14ac:dyDescent="0.25"/>
    <row r="295754" customFormat="1" x14ac:dyDescent="0.25"/>
    <row r="295755" customFormat="1" x14ac:dyDescent="0.25"/>
    <row r="295756" customFormat="1" x14ac:dyDescent="0.25"/>
    <row r="295757" customFormat="1" x14ac:dyDescent="0.25"/>
    <row r="295758" customFormat="1" x14ac:dyDescent="0.25"/>
    <row r="295759" customFormat="1" x14ac:dyDescent="0.25"/>
    <row r="295760" customFormat="1" x14ac:dyDescent="0.25"/>
    <row r="295761" customFormat="1" x14ac:dyDescent="0.25"/>
    <row r="295762" customFormat="1" x14ac:dyDescent="0.25"/>
    <row r="295763" customFormat="1" x14ac:dyDescent="0.25"/>
    <row r="295764" customFormat="1" x14ac:dyDescent="0.25"/>
    <row r="295765" customFormat="1" x14ac:dyDescent="0.25"/>
    <row r="295766" customFormat="1" x14ac:dyDescent="0.25"/>
    <row r="295767" customFormat="1" x14ac:dyDescent="0.25"/>
    <row r="295768" customFormat="1" x14ac:dyDescent="0.25"/>
    <row r="295769" customFormat="1" x14ac:dyDescent="0.25"/>
    <row r="295770" customFormat="1" x14ac:dyDescent="0.25"/>
    <row r="295771" customFormat="1" x14ac:dyDescent="0.25"/>
    <row r="295772" customFormat="1" x14ac:dyDescent="0.25"/>
    <row r="295773" customFormat="1" x14ac:dyDescent="0.25"/>
    <row r="295774" customFormat="1" x14ac:dyDescent="0.25"/>
    <row r="295775" customFormat="1" x14ac:dyDescent="0.25"/>
    <row r="295776" customFormat="1" x14ac:dyDescent="0.25"/>
    <row r="295777" customFormat="1" x14ac:dyDescent="0.25"/>
    <row r="295778" customFormat="1" x14ac:dyDescent="0.25"/>
    <row r="295779" customFormat="1" x14ac:dyDescent="0.25"/>
    <row r="295780" customFormat="1" x14ac:dyDescent="0.25"/>
    <row r="295781" customFormat="1" x14ac:dyDescent="0.25"/>
    <row r="295782" customFormat="1" x14ac:dyDescent="0.25"/>
    <row r="295783" customFormat="1" x14ac:dyDescent="0.25"/>
    <row r="295784" customFormat="1" x14ac:dyDescent="0.25"/>
    <row r="295785" customFormat="1" x14ac:dyDescent="0.25"/>
    <row r="295786" customFormat="1" x14ac:dyDescent="0.25"/>
    <row r="295787" customFormat="1" x14ac:dyDescent="0.25"/>
    <row r="295788" customFormat="1" x14ac:dyDescent="0.25"/>
    <row r="295789" customFormat="1" x14ac:dyDescent="0.25"/>
    <row r="295790" customFormat="1" x14ac:dyDescent="0.25"/>
    <row r="295791" customFormat="1" x14ac:dyDescent="0.25"/>
    <row r="295792" customFormat="1" x14ac:dyDescent="0.25"/>
    <row r="295793" customFormat="1" x14ac:dyDescent="0.25"/>
    <row r="295794" customFormat="1" x14ac:dyDescent="0.25"/>
    <row r="295795" customFormat="1" x14ac:dyDescent="0.25"/>
    <row r="295796" customFormat="1" x14ac:dyDescent="0.25"/>
    <row r="295797" customFormat="1" x14ac:dyDescent="0.25"/>
    <row r="295798" customFormat="1" x14ac:dyDescent="0.25"/>
    <row r="295799" customFormat="1" x14ac:dyDescent="0.25"/>
    <row r="295800" customFormat="1" x14ac:dyDescent="0.25"/>
    <row r="295801" customFormat="1" x14ac:dyDescent="0.25"/>
    <row r="295802" customFormat="1" x14ac:dyDescent="0.25"/>
    <row r="295803" customFormat="1" x14ac:dyDescent="0.25"/>
    <row r="295804" customFormat="1" x14ac:dyDescent="0.25"/>
    <row r="295805" customFormat="1" x14ac:dyDescent="0.25"/>
    <row r="295806" customFormat="1" x14ac:dyDescent="0.25"/>
    <row r="295807" customFormat="1" x14ac:dyDescent="0.25"/>
    <row r="295808" customFormat="1" x14ac:dyDescent="0.25"/>
    <row r="295809" customFormat="1" x14ac:dyDescent="0.25"/>
    <row r="295810" customFormat="1" x14ac:dyDescent="0.25"/>
    <row r="295811" customFormat="1" x14ac:dyDescent="0.25"/>
    <row r="295812" customFormat="1" x14ac:dyDescent="0.25"/>
    <row r="295813" customFormat="1" x14ac:dyDescent="0.25"/>
    <row r="295814" customFormat="1" x14ac:dyDescent="0.25"/>
    <row r="295815" customFormat="1" x14ac:dyDescent="0.25"/>
    <row r="295816" customFormat="1" x14ac:dyDescent="0.25"/>
    <row r="295817" customFormat="1" x14ac:dyDescent="0.25"/>
    <row r="295818" customFormat="1" x14ac:dyDescent="0.25"/>
    <row r="295819" customFormat="1" x14ac:dyDescent="0.25"/>
    <row r="295820" customFormat="1" x14ac:dyDescent="0.25"/>
    <row r="295821" customFormat="1" x14ac:dyDescent="0.25"/>
    <row r="295822" customFormat="1" x14ac:dyDescent="0.25"/>
    <row r="295823" customFormat="1" x14ac:dyDescent="0.25"/>
    <row r="295824" customFormat="1" x14ac:dyDescent="0.25"/>
    <row r="295825" customFormat="1" x14ac:dyDescent="0.25"/>
    <row r="295826" customFormat="1" x14ac:dyDescent="0.25"/>
    <row r="295827" customFormat="1" x14ac:dyDescent="0.25"/>
    <row r="295828" customFormat="1" x14ac:dyDescent="0.25"/>
    <row r="295829" customFormat="1" x14ac:dyDescent="0.25"/>
    <row r="295830" customFormat="1" x14ac:dyDescent="0.25"/>
    <row r="295831" customFormat="1" x14ac:dyDescent="0.25"/>
    <row r="295832" customFormat="1" x14ac:dyDescent="0.25"/>
    <row r="295833" customFormat="1" x14ac:dyDescent="0.25"/>
    <row r="295834" customFormat="1" x14ac:dyDescent="0.25"/>
    <row r="295835" customFormat="1" x14ac:dyDescent="0.25"/>
    <row r="295836" customFormat="1" x14ac:dyDescent="0.25"/>
    <row r="295837" customFormat="1" x14ac:dyDescent="0.25"/>
    <row r="295838" customFormat="1" x14ac:dyDescent="0.25"/>
    <row r="295839" customFormat="1" x14ac:dyDescent="0.25"/>
    <row r="295840" customFormat="1" x14ac:dyDescent="0.25"/>
    <row r="295841" customFormat="1" x14ac:dyDescent="0.25"/>
    <row r="295842" customFormat="1" x14ac:dyDescent="0.25"/>
    <row r="295843" customFormat="1" x14ac:dyDescent="0.25"/>
    <row r="295844" customFormat="1" x14ac:dyDescent="0.25"/>
    <row r="295845" customFormat="1" x14ac:dyDescent="0.25"/>
    <row r="295846" customFormat="1" x14ac:dyDescent="0.25"/>
    <row r="295847" customFormat="1" x14ac:dyDescent="0.25"/>
    <row r="295848" customFormat="1" x14ac:dyDescent="0.25"/>
    <row r="295849" customFormat="1" x14ac:dyDescent="0.25"/>
    <row r="295850" customFormat="1" x14ac:dyDescent="0.25"/>
    <row r="295851" customFormat="1" x14ac:dyDescent="0.25"/>
    <row r="295852" customFormat="1" x14ac:dyDescent="0.25"/>
    <row r="295853" customFormat="1" x14ac:dyDescent="0.25"/>
    <row r="295854" customFormat="1" x14ac:dyDescent="0.25"/>
    <row r="295855" customFormat="1" x14ac:dyDescent="0.25"/>
    <row r="295856" customFormat="1" x14ac:dyDescent="0.25"/>
    <row r="295857" customFormat="1" x14ac:dyDescent="0.25"/>
    <row r="295858" customFormat="1" x14ac:dyDescent="0.25"/>
    <row r="295859" customFormat="1" x14ac:dyDescent="0.25"/>
    <row r="295860" customFormat="1" x14ac:dyDescent="0.25"/>
    <row r="295861" customFormat="1" x14ac:dyDescent="0.25"/>
    <row r="295862" customFormat="1" x14ac:dyDescent="0.25"/>
    <row r="295863" customFormat="1" x14ac:dyDescent="0.25"/>
    <row r="295864" customFormat="1" x14ac:dyDescent="0.25"/>
    <row r="295865" customFormat="1" x14ac:dyDescent="0.25"/>
    <row r="295866" customFormat="1" x14ac:dyDescent="0.25"/>
    <row r="295867" customFormat="1" x14ac:dyDescent="0.25"/>
    <row r="295868" customFormat="1" x14ac:dyDescent="0.25"/>
    <row r="295869" customFormat="1" x14ac:dyDescent="0.25"/>
    <row r="295870" customFormat="1" x14ac:dyDescent="0.25"/>
    <row r="295871" customFormat="1" x14ac:dyDescent="0.25"/>
    <row r="295872" customFormat="1" x14ac:dyDescent="0.25"/>
    <row r="295873" customFormat="1" x14ac:dyDescent="0.25"/>
    <row r="295874" customFormat="1" x14ac:dyDescent="0.25"/>
    <row r="295875" customFormat="1" x14ac:dyDescent="0.25"/>
    <row r="295876" customFormat="1" x14ac:dyDescent="0.25"/>
    <row r="295877" customFormat="1" x14ac:dyDescent="0.25"/>
    <row r="295878" customFormat="1" x14ac:dyDescent="0.25"/>
    <row r="295879" customFormat="1" x14ac:dyDescent="0.25"/>
    <row r="295880" customFormat="1" x14ac:dyDescent="0.25"/>
    <row r="295881" customFormat="1" x14ac:dyDescent="0.25"/>
    <row r="295882" customFormat="1" x14ac:dyDescent="0.25"/>
    <row r="295883" customFormat="1" x14ac:dyDescent="0.25"/>
    <row r="295884" customFormat="1" x14ac:dyDescent="0.25"/>
    <row r="295885" customFormat="1" x14ac:dyDescent="0.25"/>
    <row r="295886" customFormat="1" x14ac:dyDescent="0.25"/>
    <row r="295887" customFormat="1" x14ac:dyDescent="0.25"/>
    <row r="295888" customFormat="1" x14ac:dyDescent="0.25"/>
    <row r="295889" customFormat="1" x14ac:dyDescent="0.25"/>
    <row r="295890" customFormat="1" x14ac:dyDescent="0.25"/>
    <row r="295891" customFormat="1" x14ac:dyDescent="0.25"/>
    <row r="295892" customFormat="1" x14ac:dyDescent="0.25"/>
    <row r="295893" customFormat="1" x14ac:dyDescent="0.25"/>
    <row r="295894" customFormat="1" x14ac:dyDescent="0.25"/>
    <row r="295895" customFormat="1" x14ac:dyDescent="0.25"/>
    <row r="295896" customFormat="1" x14ac:dyDescent="0.25"/>
    <row r="295897" customFormat="1" x14ac:dyDescent="0.25"/>
    <row r="295898" customFormat="1" x14ac:dyDescent="0.25"/>
    <row r="295899" customFormat="1" x14ac:dyDescent="0.25"/>
    <row r="295900" customFormat="1" x14ac:dyDescent="0.25"/>
    <row r="295901" customFormat="1" x14ac:dyDescent="0.25"/>
    <row r="295902" customFormat="1" x14ac:dyDescent="0.25"/>
    <row r="295903" customFormat="1" x14ac:dyDescent="0.25"/>
    <row r="295904" customFormat="1" x14ac:dyDescent="0.25"/>
    <row r="295905" customFormat="1" x14ac:dyDescent="0.25"/>
    <row r="295906" customFormat="1" x14ac:dyDescent="0.25"/>
    <row r="295907" customFormat="1" x14ac:dyDescent="0.25"/>
    <row r="295908" customFormat="1" x14ac:dyDescent="0.25"/>
    <row r="295909" customFormat="1" x14ac:dyDescent="0.25"/>
    <row r="295910" customFormat="1" x14ac:dyDescent="0.25"/>
    <row r="295911" customFormat="1" x14ac:dyDescent="0.25"/>
    <row r="295912" customFormat="1" x14ac:dyDescent="0.25"/>
    <row r="295913" customFormat="1" x14ac:dyDescent="0.25"/>
    <row r="295914" customFormat="1" x14ac:dyDescent="0.25"/>
    <row r="295915" customFormat="1" x14ac:dyDescent="0.25"/>
    <row r="295916" customFormat="1" x14ac:dyDescent="0.25"/>
    <row r="295917" customFormat="1" x14ac:dyDescent="0.25"/>
    <row r="295918" customFormat="1" x14ac:dyDescent="0.25"/>
    <row r="295919" customFormat="1" x14ac:dyDescent="0.25"/>
    <row r="295920" customFormat="1" x14ac:dyDescent="0.25"/>
    <row r="295921" customFormat="1" x14ac:dyDescent="0.25"/>
    <row r="295922" customFormat="1" x14ac:dyDescent="0.25"/>
    <row r="295923" customFormat="1" x14ac:dyDescent="0.25"/>
    <row r="295924" customFormat="1" x14ac:dyDescent="0.25"/>
    <row r="295925" customFormat="1" x14ac:dyDescent="0.25"/>
    <row r="295926" customFormat="1" x14ac:dyDescent="0.25"/>
    <row r="295927" customFormat="1" x14ac:dyDescent="0.25"/>
    <row r="295928" customFormat="1" x14ac:dyDescent="0.25"/>
    <row r="295929" customFormat="1" x14ac:dyDescent="0.25"/>
    <row r="295930" customFormat="1" x14ac:dyDescent="0.25"/>
    <row r="295931" customFormat="1" x14ac:dyDescent="0.25"/>
    <row r="295932" customFormat="1" x14ac:dyDescent="0.25"/>
    <row r="295933" customFormat="1" x14ac:dyDescent="0.25"/>
    <row r="295934" customFormat="1" x14ac:dyDescent="0.25"/>
    <row r="295935" customFormat="1" x14ac:dyDescent="0.25"/>
    <row r="295936" customFormat="1" x14ac:dyDescent="0.25"/>
    <row r="295937" customFormat="1" x14ac:dyDescent="0.25"/>
    <row r="295938" customFormat="1" x14ac:dyDescent="0.25"/>
    <row r="295939" customFormat="1" x14ac:dyDescent="0.25"/>
    <row r="295940" customFormat="1" x14ac:dyDescent="0.25"/>
    <row r="295941" customFormat="1" x14ac:dyDescent="0.25"/>
    <row r="295942" customFormat="1" x14ac:dyDescent="0.25"/>
    <row r="295943" customFormat="1" x14ac:dyDescent="0.25"/>
    <row r="295944" customFormat="1" x14ac:dyDescent="0.25"/>
    <row r="295945" customFormat="1" x14ac:dyDescent="0.25"/>
    <row r="295946" customFormat="1" x14ac:dyDescent="0.25"/>
    <row r="295947" customFormat="1" x14ac:dyDescent="0.25"/>
    <row r="295948" customFormat="1" x14ac:dyDescent="0.25"/>
    <row r="295949" customFormat="1" x14ac:dyDescent="0.25"/>
    <row r="295950" customFormat="1" x14ac:dyDescent="0.25"/>
    <row r="295951" customFormat="1" x14ac:dyDescent="0.25"/>
    <row r="295952" customFormat="1" x14ac:dyDescent="0.25"/>
    <row r="295953" customFormat="1" x14ac:dyDescent="0.25"/>
    <row r="295954" customFormat="1" x14ac:dyDescent="0.25"/>
    <row r="295955" customFormat="1" x14ac:dyDescent="0.25"/>
    <row r="295956" customFormat="1" x14ac:dyDescent="0.25"/>
    <row r="295957" customFormat="1" x14ac:dyDescent="0.25"/>
    <row r="295958" customFormat="1" x14ac:dyDescent="0.25"/>
    <row r="295959" customFormat="1" x14ac:dyDescent="0.25"/>
    <row r="295960" customFormat="1" x14ac:dyDescent="0.25"/>
    <row r="295961" customFormat="1" x14ac:dyDescent="0.25"/>
    <row r="295962" customFormat="1" x14ac:dyDescent="0.25"/>
    <row r="295963" customFormat="1" x14ac:dyDescent="0.25"/>
    <row r="295964" customFormat="1" x14ac:dyDescent="0.25"/>
    <row r="295965" customFormat="1" x14ac:dyDescent="0.25"/>
    <row r="295966" customFormat="1" x14ac:dyDescent="0.25"/>
    <row r="295967" customFormat="1" x14ac:dyDescent="0.25"/>
    <row r="295968" customFormat="1" x14ac:dyDescent="0.25"/>
    <row r="295969" customFormat="1" x14ac:dyDescent="0.25"/>
    <row r="295970" customFormat="1" x14ac:dyDescent="0.25"/>
    <row r="295971" customFormat="1" x14ac:dyDescent="0.25"/>
    <row r="295972" customFormat="1" x14ac:dyDescent="0.25"/>
    <row r="295973" customFormat="1" x14ac:dyDescent="0.25"/>
    <row r="295974" customFormat="1" x14ac:dyDescent="0.25"/>
    <row r="295975" customFormat="1" x14ac:dyDescent="0.25"/>
    <row r="295976" customFormat="1" x14ac:dyDescent="0.25"/>
    <row r="295977" customFormat="1" x14ac:dyDescent="0.25"/>
    <row r="295978" customFormat="1" x14ac:dyDescent="0.25"/>
    <row r="295979" customFormat="1" x14ac:dyDescent="0.25"/>
    <row r="295980" customFormat="1" x14ac:dyDescent="0.25"/>
    <row r="295981" customFormat="1" x14ac:dyDescent="0.25"/>
    <row r="295982" customFormat="1" x14ac:dyDescent="0.25"/>
    <row r="295983" customFormat="1" x14ac:dyDescent="0.25"/>
    <row r="295984" customFormat="1" x14ac:dyDescent="0.25"/>
    <row r="295985" customFormat="1" x14ac:dyDescent="0.25"/>
    <row r="295986" customFormat="1" x14ac:dyDescent="0.25"/>
    <row r="295987" customFormat="1" x14ac:dyDescent="0.25"/>
    <row r="295988" customFormat="1" x14ac:dyDescent="0.25"/>
    <row r="295989" customFormat="1" x14ac:dyDescent="0.25"/>
    <row r="295990" customFormat="1" x14ac:dyDescent="0.25"/>
    <row r="295991" customFormat="1" x14ac:dyDescent="0.25"/>
    <row r="295992" customFormat="1" x14ac:dyDescent="0.25"/>
    <row r="295993" customFormat="1" x14ac:dyDescent="0.25"/>
    <row r="295994" customFormat="1" x14ac:dyDescent="0.25"/>
    <row r="295995" customFormat="1" x14ac:dyDescent="0.25"/>
    <row r="295996" customFormat="1" x14ac:dyDescent="0.25"/>
    <row r="295997" customFormat="1" x14ac:dyDescent="0.25"/>
    <row r="295998" customFormat="1" x14ac:dyDescent="0.25"/>
    <row r="295999" customFormat="1" x14ac:dyDescent="0.25"/>
    <row r="296000" customFormat="1" x14ac:dyDescent="0.25"/>
    <row r="296001" customFormat="1" x14ac:dyDescent="0.25"/>
    <row r="296002" customFormat="1" x14ac:dyDescent="0.25"/>
    <row r="296003" customFormat="1" x14ac:dyDescent="0.25"/>
    <row r="296004" customFormat="1" x14ac:dyDescent="0.25"/>
    <row r="296005" customFormat="1" x14ac:dyDescent="0.25"/>
    <row r="296006" customFormat="1" x14ac:dyDescent="0.25"/>
    <row r="296007" customFormat="1" x14ac:dyDescent="0.25"/>
    <row r="296008" customFormat="1" x14ac:dyDescent="0.25"/>
    <row r="296009" customFormat="1" x14ac:dyDescent="0.25"/>
    <row r="296010" customFormat="1" x14ac:dyDescent="0.25"/>
    <row r="296011" customFormat="1" x14ac:dyDescent="0.25"/>
    <row r="296012" customFormat="1" x14ac:dyDescent="0.25"/>
    <row r="296013" customFormat="1" x14ac:dyDescent="0.25"/>
    <row r="296014" customFormat="1" x14ac:dyDescent="0.25"/>
    <row r="296015" customFormat="1" x14ac:dyDescent="0.25"/>
    <row r="296016" customFormat="1" x14ac:dyDescent="0.25"/>
    <row r="296017" customFormat="1" x14ac:dyDescent="0.25"/>
    <row r="296018" customFormat="1" x14ac:dyDescent="0.25"/>
    <row r="296019" customFormat="1" x14ac:dyDescent="0.25"/>
    <row r="296020" customFormat="1" x14ac:dyDescent="0.25"/>
    <row r="296021" customFormat="1" x14ac:dyDescent="0.25"/>
    <row r="296022" customFormat="1" x14ac:dyDescent="0.25"/>
    <row r="296023" customFormat="1" x14ac:dyDescent="0.25"/>
    <row r="296024" customFormat="1" x14ac:dyDescent="0.25"/>
    <row r="296025" customFormat="1" x14ac:dyDescent="0.25"/>
    <row r="296026" customFormat="1" x14ac:dyDescent="0.25"/>
    <row r="296027" customFormat="1" x14ac:dyDescent="0.25"/>
    <row r="296028" customFormat="1" x14ac:dyDescent="0.25"/>
    <row r="296029" customFormat="1" x14ac:dyDescent="0.25"/>
    <row r="296030" customFormat="1" x14ac:dyDescent="0.25"/>
    <row r="296031" customFormat="1" x14ac:dyDescent="0.25"/>
    <row r="296032" customFormat="1" x14ac:dyDescent="0.25"/>
    <row r="296033" customFormat="1" x14ac:dyDescent="0.25"/>
    <row r="296034" customFormat="1" x14ac:dyDescent="0.25"/>
    <row r="296035" customFormat="1" x14ac:dyDescent="0.25"/>
    <row r="296036" customFormat="1" x14ac:dyDescent="0.25"/>
    <row r="296037" customFormat="1" x14ac:dyDescent="0.25"/>
    <row r="296038" customFormat="1" x14ac:dyDescent="0.25"/>
    <row r="296039" customFormat="1" x14ac:dyDescent="0.25"/>
    <row r="296040" customFormat="1" x14ac:dyDescent="0.25"/>
    <row r="296041" customFormat="1" x14ac:dyDescent="0.25"/>
    <row r="296042" customFormat="1" x14ac:dyDescent="0.25"/>
    <row r="296043" customFormat="1" x14ac:dyDescent="0.25"/>
    <row r="296044" customFormat="1" x14ac:dyDescent="0.25"/>
    <row r="296045" customFormat="1" x14ac:dyDescent="0.25"/>
    <row r="296046" customFormat="1" x14ac:dyDescent="0.25"/>
    <row r="296047" customFormat="1" x14ac:dyDescent="0.25"/>
    <row r="296048" customFormat="1" x14ac:dyDescent="0.25"/>
    <row r="296049" customFormat="1" x14ac:dyDescent="0.25"/>
    <row r="296050" customFormat="1" x14ac:dyDescent="0.25"/>
    <row r="296051" customFormat="1" x14ac:dyDescent="0.25"/>
    <row r="296052" customFormat="1" x14ac:dyDescent="0.25"/>
    <row r="296053" customFormat="1" x14ac:dyDescent="0.25"/>
    <row r="296054" customFormat="1" x14ac:dyDescent="0.25"/>
    <row r="296055" customFormat="1" x14ac:dyDescent="0.25"/>
    <row r="296056" customFormat="1" x14ac:dyDescent="0.25"/>
    <row r="296057" customFormat="1" x14ac:dyDescent="0.25"/>
    <row r="296058" customFormat="1" x14ac:dyDescent="0.25"/>
    <row r="296059" customFormat="1" x14ac:dyDescent="0.25"/>
    <row r="296060" customFormat="1" x14ac:dyDescent="0.25"/>
    <row r="296061" customFormat="1" x14ac:dyDescent="0.25"/>
    <row r="296062" customFormat="1" x14ac:dyDescent="0.25"/>
    <row r="296063" customFormat="1" x14ac:dyDescent="0.25"/>
    <row r="296064" customFormat="1" x14ac:dyDescent="0.25"/>
    <row r="296065" customFormat="1" x14ac:dyDescent="0.25"/>
    <row r="296066" customFormat="1" x14ac:dyDescent="0.25"/>
    <row r="296067" customFormat="1" x14ac:dyDescent="0.25"/>
    <row r="296068" customFormat="1" x14ac:dyDescent="0.25"/>
    <row r="296069" customFormat="1" x14ac:dyDescent="0.25"/>
    <row r="296070" customFormat="1" x14ac:dyDescent="0.25"/>
    <row r="296071" customFormat="1" x14ac:dyDescent="0.25"/>
    <row r="296072" customFormat="1" x14ac:dyDescent="0.25"/>
    <row r="296073" customFormat="1" x14ac:dyDescent="0.25"/>
    <row r="296074" customFormat="1" x14ac:dyDescent="0.25"/>
    <row r="296075" customFormat="1" x14ac:dyDescent="0.25"/>
    <row r="296076" customFormat="1" x14ac:dyDescent="0.25"/>
    <row r="296077" customFormat="1" x14ac:dyDescent="0.25"/>
    <row r="296078" customFormat="1" x14ac:dyDescent="0.25"/>
    <row r="296079" customFormat="1" x14ac:dyDescent="0.25"/>
    <row r="296080" customFormat="1" x14ac:dyDescent="0.25"/>
    <row r="296081" customFormat="1" x14ac:dyDescent="0.25"/>
    <row r="296082" customFormat="1" x14ac:dyDescent="0.25"/>
    <row r="296083" customFormat="1" x14ac:dyDescent="0.25"/>
    <row r="296084" customFormat="1" x14ac:dyDescent="0.25"/>
    <row r="296085" customFormat="1" x14ac:dyDescent="0.25"/>
    <row r="296086" customFormat="1" x14ac:dyDescent="0.25"/>
    <row r="296087" customFormat="1" x14ac:dyDescent="0.25"/>
    <row r="296088" customFormat="1" x14ac:dyDescent="0.25"/>
    <row r="296089" customFormat="1" x14ac:dyDescent="0.25"/>
    <row r="296090" customFormat="1" x14ac:dyDescent="0.25"/>
    <row r="296091" customFormat="1" x14ac:dyDescent="0.25"/>
    <row r="296092" customFormat="1" x14ac:dyDescent="0.25"/>
    <row r="296093" customFormat="1" x14ac:dyDescent="0.25"/>
    <row r="296094" customFormat="1" x14ac:dyDescent="0.25"/>
    <row r="296095" customFormat="1" x14ac:dyDescent="0.25"/>
    <row r="296096" customFormat="1" x14ac:dyDescent="0.25"/>
    <row r="296097" customFormat="1" x14ac:dyDescent="0.25"/>
    <row r="296098" customFormat="1" x14ac:dyDescent="0.25"/>
    <row r="296099" customFormat="1" x14ac:dyDescent="0.25"/>
    <row r="296100" customFormat="1" x14ac:dyDescent="0.25"/>
    <row r="296101" customFormat="1" x14ac:dyDescent="0.25"/>
    <row r="296102" customFormat="1" x14ac:dyDescent="0.25"/>
    <row r="296103" customFormat="1" x14ac:dyDescent="0.25"/>
    <row r="296104" customFormat="1" x14ac:dyDescent="0.25"/>
    <row r="296105" customFormat="1" x14ac:dyDescent="0.25"/>
    <row r="296106" customFormat="1" x14ac:dyDescent="0.25"/>
    <row r="296107" customFormat="1" x14ac:dyDescent="0.25"/>
    <row r="296108" customFormat="1" x14ac:dyDescent="0.25"/>
    <row r="296109" customFormat="1" x14ac:dyDescent="0.25"/>
    <row r="296110" customFormat="1" x14ac:dyDescent="0.25"/>
    <row r="296111" customFormat="1" x14ac:dyDescent="0.25"/>
    <row r="296112" customFormat="1" x14ac:dyDescent="0.25"/>
    <row r="296113" customFormat="1" x14ac:dyDescent="0.25"/>
    <row r="296114" customFormat="1" x14ac:dyDescent="0.25"/>
    <row r="296115" customFormat="1" x14ac:dyDescent="0.25"/>
    <row r="296116" customFormat="1" x14ac:dyDescent="0.25"/>
    <row r="296117" customFormat="1" x14ac:dyDescent="0.25"/>
    <row r="296118" customFormat="1" x14ac:dyDescent="0.25"/>
    <row r="296119" customFormat="1" x14ac:dyDescent="0.25"/>
    <row r="296120" customFormat="1" x14ac:dyDescent="0.25"/>
    <row r="296121" customFormat="1" x14ac:dyDescent="0.25"/>
    <row r="296122" customFormat="1" x14ac:dyDescent="0.25"/>
    <row r="296123" customFormat="1" x14ac:dyDescent="0.25"/>
    <row r="296124" customFormat="1" x14ac:dyDescent="0.25"/>
    <row r="296125" customFormat="1" x14ac:dyDescent="0.25"/>
    <row r="296126" customFormat="1" x14ac:dyDescent="0.25"/>
    <row r="296127" customFormat="1" x14ac:dyDescent="0.25"/>
    <row r="296128" customFormat="1" x14ac:dyDescent="0.25"/>
    <row r="296129" customFormat="1" x14ac:dyDescent="0.25"/>
    <row r="296130" customFormat="1" x14ac:dyDescent="0.25"/>
    <row r="296131" customFormat="1" x14ac:dyDescent="0.25"/>
    <row r="296132" customFormat="1" x14ac:dyDescent="0.25"/>
    <row r="296133" customFormat="1" x14ac:dyDescent="0.25"/>
    <row r="296134" customFormat="1" x14ac:dyDescent="0.25"/>
    <row r="296135" customFormat="1" x14ac:dyDescent="0.25"/>
    <row r="296136" customFormat="1" x14ac:dyDescent="0.25"/>
    <row r="296137" customFormat="1" x14ac:dyDescent="0.25"/>
    <row r="296138" customFormat="1" x14ac:dyDescent="0.25"/>
    <row r="296139" customFormat="1" x14ac:dyDescent="0.25"/>
    <row r="296140" customFormat="1" x14ac:dyDescent="0.25"/>
    <row r="296141" customFormat="1" x14ac:dyDescent="0.25"/>
    <row r="296142" customFormat="1" x14ac:dyDescent="0.25"/>
    <row r="296143" customFormat="1" x14ac:dyDescent="0.25"/>
    <row r="296144" customFormat="1" x14ac:dyDescent="0.25"/>
    <row r="296145" customFormat="1" x14ac:dyDescent="0.25"/>
    <row r="296146" customFormat="1" x14ac:dyDescent="0.25"/>
    <row r="296147" customFormat="1" x14ac:dyDescent="0.25"/>
    <row r="296148" customFormat="1" x14ac:dyDescent="0.25"/>
    <row r="296149" customFormat="1" x14ac:dyDescent="0.25"/>
    <row r="296150" customFormat="1" x14ac:dyDescent="0.25"/>
    <row r="296151" customFormat="1" x14ac:dyDescent="0.25"/>
    <row r="296152" customFormat="1" x14ac:dyDescent="0.25"/>
    <row r="296153" customFormat="1" x14ac:dyDescent="0.25"/>
    <row r="296154" customFormat="1" x14ac:dyDescent="0.25"/>
    <row r="296155" customFormat="1" x14ac:dyDescent="0.25"/>
    <row r="296156" customFormat="1" x14ac:dyDescent="0.25"/>
    <row r="296157" customFormat="1" x14ac:dyDescent="0.25"/>
    <row r="296158" customFormat="1" x14ac:dyDescent="0.25"/>
    <row r="296159" customFormat="1" x14ac:dyDescent="0.25"/>
    <row r="296160" customFormat="1" x14ac:dyDescent="0.25"/>
    <row r="296161" customFormat="1" x14ac:dyDescent="0.25"/>
    <row r="296162" customFormat="1" x14ac:dyDescent="0.25"/>
    <row r="296163" customFormat="1" x14ac:dyDescent="0.25"/>
    <row r="296164" customFormat="1" x14ac:dyDescent="0.25"/>
    <row r="296165" customFormat="1" x14ac:dyDescent="0.25"/>
    <row r="296166" customFormat="1" x14ac:dyDescent="0.25"/>
    <row r="296167" customFormat="1" x14ac:dyDescent="0.25"/>
    <row r="296168" customFormat="1" x14ac:dyDescent="0.25"/>
    <row r="296169" customFormat="1" x14ac:dyDescent="0.25"/>
    <row r="296170" customFormat="1" x14ac:dyDescent="0.25"/>
    <row r="296171" customFormat="1" x14ac:dyDescent="0.25"/>
    <row r="296172" customFormat="1" x14ac:dyDescent="0.25"/>
    <row r="296173" customFormat="1" x14ac:dyDescent="0.25"/>
    <row r="296174" customFormat="1" x14ac:dyDescent="0.25"/>
    <row r="296175" customFormat="1" x14ac:dyDescent="0.25"/>
    <row r="296176" customFormat="1" x14ac:dyDescent="0.25"/>
    <row r="296177" customFormat="1" x14ac:dyDescent="0.25"/>
    <row r="296178" customFormat="1" x14ac:dyDescent="0.25"/>
    <row r="296179" customFormat="1" x14ac:dyDescent="0.25"/>
    <row r="296180" customFormat="1" x14ac:dyDescent="0.25"/>
    <row r="296181" customFormat="1" x14ac:dyDescent="0.25"/>
    <row r="296182" customFormat="1" x14ac:dyDescent="0.25"/>
    <row r="296183" customFormat="1" x14ac:dyDescent="0.25"/>
    <row r="296184" customFormat="1" x14ac:dyDescent="0.25"/>
    <row r="296185" customFormat="1" x14ac:dyDescent="0.25"/>
    <row r="296186" customFormat="1" x14ac:dyDescent="0.25"/>
    <row r="296187" customFormat="1" x14ac:dyDescent="0.25"/>
    <row r="296188" customFormat="1" x14ac:dyDescent="0.25"/>
    <row r="296189" customFormat="1" x14ac:dyDescent="0.25"/>
    <row r="296190" customFormat="1" x14ac:dyDescent="0.25"/>
    <row r="296191" customFormat="1" x14ac:dyDescent="0.25"/>
    <row r="296192" customFormat="1" x14ac:dyDescent="0.25"/>
    <row r="296193" customFormat="1" x14ac:dyDescent="0.25"/>
    <row r="296194" customFormat="1" x14ac:dyDescent="0.25"/>
    <row r="296195" customFormat="1" x14ac:dyDescent="0.25"/>
    <row r="296196" customFormat="1" x14ac:dyDescent="0.25"/>
    <row r="296197" customFormat="1" x14ac:dyDescent="0.25"/>
    <row r="296198" customFormat="1" x14ac:dyDescent="0.25"/>
    <row r="296199" customFormat="1" x14ac:dyDescent="0.25"/>
    <row r="296200" customFormat="1" x14ac:dyDescent="0.25"/>
    <row r="296201" customFormat="1" x14ac:dyDescent="0.25"/>
    <row r="296202" customFormat="1" x14ac:dyDescent="0.25"/>
    <row r="296203" customFormat="1" x14ac:dyDescent="0.25"/>
    <row r="296204" customFormat="1" x14ac:dyDescent="0.25"/>
    <row r="296205" customFormat="1" x14ac:dyDescent="0.25"/>
    <row r="296206" customFormat="1" x14ac:dyDescent="0.25"/>
    <row r="296207" customFormat="1" x14ac:dyDescent="0.25"/>
    <row r="296208" customFormat="1" x14ac:dyDescent="0.25"/>
    <row r="296209" customFormat="1" x14ac:dyDescent="0.25"/>
    <row r="296210" customFormat="1" x14ac:dyDescent="0.25"/>
    <row r="296211" customFormat="1" x14ac:dyDescent="0.25"/>
    <row r="296212" customFormat="1" x14ac:dyDescent="0.25"/>
    <row r="296213" customFormat="1" x14ac:dyDescent="0.25"/>
    <row r="296214" customFormat="1" x14ac:dyDescent="0.25"/>
    <row r="296215" customFormat="1" x14ac:dyDescent="0.25"/>
    <row r="296216" customFormat="1" x14ac:dyDescent="0.25"/>
    <row r="296217" customFormat="1" x14ac:dyDescent="0.25"/>
    <row r="296218" customFormat="1" x14ac:dyDescent="0.25"/>
    <row r="296219" customFormat="1" x14ac:dyDescent="0.25"/>
    <row r="296220" customFormat="1" x14ac:dyDescent="0.25"/>
    <row r="296221" customFormat="1" x14ac:dyDescent="0.25"/>
    <row r="296222" customFormat="1" x14ac:dyDescent="0.25"/>
    <row r="296223" customFormat="1" x14ac:dyDescent="0.25"/>
    <row r="296224" customFormat="1" x14ac:dyDescent="0.25"/>
    <row r="296225" customFormat="1" x14ac:dyDescent="0.25"/>
    <row r="296226" customFormat="1" x14ac:dyDescent="0.25"/>
    <row r="296227" customFormat="1" x14ac:dyDescent="0.25"/>
    <row r="296228" customFormat="1" x14ac:dyDescent="0.25"/>
    <row r="296229" customFormat="1" x14ac:dyDescent="0.25"/>
    <row r="296230" customFormat="1" x14ac:dyDescent="0.25"/>
    <row r="296231" customFormat="1" x14ac:dyDescent="0.25"/>
    <row r="296232" customFormat="1" x14ac:dyDescent="0.25"/>
    <row r="296233" customFormat="1" x14ac:dyDescent="0.25"/>
    <row r="296234" customFormat="1" x14ac:dyDescent="0.25"/>
    <row r="296235" customFormat="1" x14ac:dyDescent="0.25"/>
    <row r="296236" customFormat="1" x14ac:dyDescent="0.25"/>
    <row r="296237" customFormat="1" x14ac:dyDescent="0.25"/>
    <row r="296238" customFormat="1" x14ac:dyDescent="0.25"/>
    <row r="296239" customFormat="1" x14ac:dyDescent="0.25"/>
    <row r="296240" customFormat="1" x14ac:dyDescent="0.25"/>
    <row r="296241" customFormat="1" x14ac:dyDescent="0.25"/>
    <row r="296242" customFormat="1" x14ac:dyDescent="0.25"/>
    <row r="296243" customFormat="1" x14ac:dyDescent="0.25"/>
    <row r="296244" customFormat="1" x14ac:dyDescent="0.25"/>
    <row r="296245" customFormat="1" x14ac:dyDescent="0.25"/>
    <row r="296246" customFormat="1" x14ac:dyDescent="0.25"/>
    <row r="296247" customFormat="1" x14ac:dyDescent="0.25"/>
    <row r="296248" customFormat="1" x14ac:dyDescent="0.25"/>
    <row r="296249" customFormat="1" x14ac:dyDescent="0.25"/>
    <row r="296250" customFormat="1" x14ac:dyDescent="0.25"/>
    <row r="296251" customFormat="1" x14ac:dyDescent="0.25"/>
    <row r="296252" customFormat="1" x14ac:dyDescent="0.25"/>
    <row r="296253" customFormat="1" x14ac:dyDescent="0.25"/>
    <row r="296254" customFormat="1" x14ac:dyDescent="0.25"/>
    <row r="296255" customFormat="1" x14ac:dyDescent="0.25"/>
    <row r="296256" customFormat="1" x14ac:dyDescent="0.25"/>
    <row r="296257" customFormat="1" x14ac:dyDescent="0.25"/>
    <row r="296258" customFormat="1" x14ac:dyDescent="0.25"/>
    <row r="296259" customFormat="1" x14ac:dyDescent="0.25"/>
    <row r="296260" customFormat="1" x14ac:dyDescent="0.25"/>
    <row r="296261" customFormat="1" x14ac:dyDescent="0.25"/>
    <row r="296262" customFormat="1" x14ac:dyDescent="0.25"/>
    <row r="296263" customFormat="1" x14ac:dyDescent="0.25"/>
    <row r="296264" customFormat="1" x14ac:dyDescent="0.25"/>
    <row r="296265" customFormat="1" x14ac:dyDescent="0.25"/>
    <row r="296266" customFormat="1" x14ac:dyDescent="0.25"/>
    <row r="296267" customFormat="1" x14ac:dyDescent="0.25"/>
    <row r="296268" customFormat="1" x14ac:dyDescent="0.25"/>
    <row r="296269" customFormat="1" x14ac:dyDescent="0.25"/>
    <row r="296270" customFormat="1" x14ac:dyDescent="0.25"/>
    <row r="296271" customFormat="1" x14ac:dyDescent="0.25"/>
    <row r="296272" customFormat="1" x14ac:dyDescent="0.25"/>
    <row r="296273" customFormat="1" x14ac:dyDescent="0.25"/>
    <row r="296274" customFormat="1" x14ac:dyDescent="0.25"/>
    <row r="296275" customFormat="1" x14ac:dyDescent="0.25"/>
    <row r="296276" customFormat="1" x14ac:dyDescent="0.25"/>
    <row r="296277" customFormat="1" x14ac:dyDescent="0.25"/>
    <row r="296278" customFormat="1" x14ac:dyDescent="0.25"/>
    <row r="296279" customFormat="1" x14ac:dyDescent="0.25"/>
    <row r="296280" customFormat="1" x14ac:dyDescent="0.25"/>
    <row r="296281" customFormat="1" x14ac:dyDescent="0.25"/>
    <row r="296282" customFormat="1" x14ac:dyDescent="0.25"/>
    <row r="296283" customFormat="1" x14ac:dyDescent="0.25"/>
    <row r="296284" customFormat="1" x14ac:dyDescent="0.25"/>
    <row r="296285" customFormat="1" x14ac:dyDescent="0.25"/>
    <row r="296286" customFormat="1" x14ac:dyDescent="0.25"/>
    <row r="296287" customFormat="1" x14ac:dyDescent="0.25"/>
    <row r="296288" customFormat="1" x14ac:dyDescent="0.25"/>
    <row r="296289" customFormat="1" x14ac:dyDescent="0.25"/>
    <row r="296290" customFormat="1" x14ac:dyDescent="0.25"/>
    <row r="296291" customFormat="1" x14ac:dyDescent="0.25"/>
    <row r="296292" customFormat="1" x14ac:dyDescent="0.25"/>
    <row r="296293" customFormat="1" x14ac:dyDescent="0.25"/>
    <row r="296294" customFormat="1" x14ac:dyDescent="0.25"/>
    <row r="296295" customFormat="1" x14ac:dyDescent="0.25"/>
    <row r="296296" customFormat="1" x14ac:dyDescent="0.25"/>
    <row r="296297" customFormat="1" x14ac:dyDescent="0.25"/>
    <row r="296298" customFormat="1" x14ac:dyDescent="0.25"/>
    <row r="296299" customFormat="1" x14ac:dyDescent="0.25"/>
    <row r="296300" customFormat="1" x14ac:dyDescent="0.25"/>
    <row r="296301" customFormat="1" x14ac:dyDescent="0.25"/>
    <row r="296302" customFormat="1" x14ac:dyDescent="0.25"/>
    <row r="296303" customFormat="1" x14ac:dyDescent="0.25"/>
    <row r="296304" customFormat="1" x14ac:dyDescent="0.25"/>
    <row r="296305" customFormat="1" x14ac:dyDescent="0.25"/>
    <row r="296306" customFormat="1" x14ac:dyDescent="0.25"/>
    <row r="296307" customFormat="1" x14ac:dyDescent="0.25"/>
    <row r="296308" customFormat="1" x14ac:dyDescent="0.25"/>
    <row r="296309" customFormat="1" x14ac:dyDescent="0.25"/>
    <row r="296310" customFormat="1" x14ac:dyDescent="0.25"/>
    <row r="296311" customFormat="1" x14ac:dyDescent="0.25"/>
    <row r="296312" customFormat="1" x14ac:dyDescent="0.25"/>
    <row r="296313" customFormat="1" x14ac:dyDescent="0.25"/>
    <row r="296314" customFormat="1" x14ac:dyDescent="0.25"/>
    <row r="296315" customFormat="1" x14ac:dyDescent="0.25"/>
    <row r="296316" customFormat="1" x14ac:dyDescent="0.25"/>
    <row r="296317" customFormat="1" x14ac:dyDescent="0.25"/>
    <row r="296318" customFormat="1" x14ac:dyDescent="0.25"/>
    <row r="296319" customFormat="1" x14ac:dyDescent="0.25"/>
    <row r="296320" customFormat="1" x14ac:dyDescent="0.25"/>
    <row r="296321" customFormat="1" x14ac:dyDescent="0.25"/>
    <row r="296322" customFormat="1" x14ac:dyDescent="0.25"/>
    <row r="296323" customFormat="1" x14ac:dyDescent="0.25"/>
    <row r="296324" customFormat="1" x14ac:dyDescent="0.25"/>
    <row r="296325" customFormat="1" x14ac:dyDescent="0.25"/>
    <row r="296326" customFormat="1" x14ac:dyDescent="0.25"/>
    <row r="296327" customFormat="1" x14ac:dyDescent="0.25"/>
    <row r="296328" customFormat="1" x14ac:dyDescent="0.25"/>
    <row r="296329" customFormat="1" x14ac:dyDescent="0.25"/>
    <row r="296330" customFormat="1" x14ac:dyDescent="0.25"/>
    <row r="296331" customFormat="1" x14ac:dyDescent="0.25"/>
    <row r="296332" customFormat="1" x14ac:dyDescent="0.25"/>
    <row r="296333" customFormat="1" x14ac:dyDescent="0.25"/>
    <row r="296334" customFormat="1" x14ac:dyDescent="0.25"/>
    <row r="296335" customFormat="1" x14ac:dyDescent="0.25"/>
    <row r="296336" customFormat="1" x14ac:dyDescent="0.25"/>
    <row r="296337" customFormat="1" x14ac:dyDescent="0.25"/>
    <row r="296338" customFormat="1" x14ac:dyDescent="0.25"/>
    <row r="296339" customFormat="1" x14ac:dyDescent="0.25"/>
    <row r="296340" customFormat="1" x14ac:dyDescent="0.25"/>
    <row r="296341" customFormat="1" x14ac:dyDescent="0.25"/>
    <row r="296342" customFormat="1" x14ac:dyDescent="0.25"/>
    <row r="296343" customFormat="1" x14ac:dyDescent="0.25"/>
    <row r="296344" customFormat="1" x14ac:dyDescent="0.25"/>
    <row r="296345" customFormat="1" x14ac:dyDescent="0.25"/>
    <row r="296346" customFormat="1" x14ac:dyDescent="0.25"/>
    <row r="296347" customFormat="1" x14ac:dyDescent="0.25"/>
    <row r="296348" customFormat="1" x14ac:dyDescent="0.25"/>
    <row r="296349" customFormat="1" x14ac:dyDescent="0.25"/>
    <row r="296350" customFormat="1" x14ac:dyDescent="0.25"/>
    <row r="296351" customFormat="1" x14ac:dyDescent="0.25"/>
    <row r="296352" customFormat="1" x14ac:dyDescent="0.25"/>
    <row r="296353" customFormat="1" x14ac:dyDescent="0.25"/>
    <row r="296354" customFormat="1" x14ac:dyDescent="0.25"/>
    <row r="296355" customFormat="1" x14ac:dyDescent="0.25"/>
    <row r="296356" customFormat="1" x14ac:dyDescent="0.25"/>
    <row r="296357" customFormat="1" x14ac:dyDescent="0.25"/>
    <row r="296358" customFormat="1" x14ac:dyDescent="0.25"/>
    <row r="296359" customFormat="1" x14ac:dyDescent="0.25"/>
    <row r="296360" customFormat="1" x14ac:dyDescent="0.25"/>
    <row r="296361" customFormat="1" x14ac:dyDescent="0.25"/>
    <row r="296362" customFormat="1" x14ac:dyDescent="0.25"/>
    <row r="296363" customFormat="1" x14ac:dyDescent="0.25"/>
    <row r="296364" customFormat="1" x14ac:dyDescent="0.25"/>
    <row r="296365" customFormat="1" x14ac:dyDescent="0.25"/>
    <row r="296366" customFormat="1" x14ac:dyDescent="0.25"/>
    <row r="296367" customFormat="1" x14ac:dyDescent="0.25"/>
    <row r="296368" customFormat="1" x14ac:dyDescent="0.25"/>
    <row r="296369" customFormat="1" x14ac:dyDescent="0.25"/>
    <row r="296370" customFormat="1" x14ac:dyDescent="0.25"/>
    <row r="296371" customFormat="1" x14ac:dyDescent="0.25"/>
    <row r="296372" customFormat="1" x14ac:dyDescent="0.25"/>
    <row r="296373" customFormat="1" x14ac:dyDescent="0.25"/>
    <row r="296374" customFormat="1" x14ac:dyDescent="0.25"/>
    <row r="296375" customFormat="1" x14ac:dyDescent="0.25"/>
    <row r="296376" customFormat="1" x14ac:dyDescent="0.25"/>
    <row r="296377" customFormat="1" x14ac:dyDescent="0.25"/>
    <row r="296378" customFormat="1" x14ac:dyDescent="0.25"/>
    <row r="296379" customFormat="1" x14ac:dyDescent="0.25"/>
    <row r="296380" customFormat="1" x14ac:dyDescent="0.25"/>
    <row r="296381" customFormat="1" x14ac:dyDescent="0.25"/>
    <row r="296382" customFormat="1" x14ac:dyDescent="0.25"/>
    <row r="296383" customFormat="1" x14ac:dyDescent="0.25"/>
    <row r="296384" customFormat="1" x14ac:dyDescent="0.25"/>
    <row r="296385" customFormat="1" x14ac:dyDescent="0.25"/>
    <row r="296386" customFormat="1" x14ac:dyDescent="0.25"/>
    <row r="296387" customFormat="1" x14ac:dyDescent="0.25"/>
    <row r="296388" customFormat="1" x14ac:dyDescent="0.25"/>
    <row r="296389" customFormat="1" x14ac:dyDescent="0.25"/>
    <row r="296390" customFormat="1" x14ac:dyDescent="0.25"/>
    <row r="296391" customFormat="1" x14ac:dyDescent="0.25"/>
    <row r="296392" customFormat="1" x14ac:dyDescent="0.25"/>
    <row r="296393" customFormat="1" x14ac:dyDescent="0.25"/>
    <row r="296394" customFormat="1" x14ac:dyDescent="0.25"/>
    <row r="296395" customFormat="1" x14ac:dyDescent="0.25"/>
    <row r="296396" customFormat="1" x14ac:dyDescent="0.25"/>
    <row r="296397" customFormat="1" x14ac:dyDescent="0.25"/>
    <row r="296398" customFormat="1" x14ac:dyDescent="0.25"/>
    <row r="296399" customFormat="1" x14ac:dyDescent="0.25"/>
    <row r="296400" customFormat="1" x14ac:dyDescent="0.25"/>
    <row r="296401" customFormat="1" x14ac:dyDescent="0.25"/>
    <row r="296402" customFormat="1" x14ac:dyDescent="0.25"/>
    <row r="296403" customFormat="1" x14ac:dyDescent="0.25"/>
    <row r="296404" customFormat="1" x14ac:dyDescent="0.25"/>
    <row r="296405" customFormat="1" x14ac:dyDescent="0.25"/>
    <row r="296406" customFormat="1" x14ac:dyDescent="0.25"/>
    <row r="296407" customFormat="1" x14ac:dyDescent="0.25"/>
    <row r="296408" customFormat="1" x14ac:dyDescent="0.25"/>
    <row r="296409" customFormat="1" x14ac:dyDescent="0.25"/>
    <row r="296410" customFormat="1" x14ac:dyDescent="0.25"/>
    <row r="296411" customFormat="1" x14ac:dyDescent="0.25"/>
    <row r="296412" customFormat="1" x14ac:dyDescent="0.25"/>
    <row r="296413" customFormat="1" x14ac:dyDescent="0.25"/>
    <row r="296414" customFormat="1" x14ac:dyDescent="0.25"/>
    <row r="296415" customFormat="1" x14ac:dyDescent="0.25"/>
    <row r="296416" customFormat="1" x14ac:dyDescent="0.25"/>
    <row r="296417" customFormat="1" x14ac:dyDescent="0.25"/>
    <row r="296418" customFormat="1" x14ac:dyDescent="0.25"/>
    <row r="296419" customFormat="1" x14ac:dyDescent="0.25"/>
    <row r="296420" customFormat="1" x14ac:dyDescent="0.25"/>
    <row r="296421" customFormat="1" x14ac:dyDescent="0.25"/>
    <row r="296422" customFormat="1" x14ac:dyDescent="0.25"/>
    <row r="296423" customFormat="1" x14ac:dyDescent="0.25"/>
    <row r="296424" customFormat="1" x14ac:dyDescent="0.25"/>
    <row r="296425" customFormat="1" x14ac:dyDescent="0.25"/>
    <row r="296426" customFormat="1" x14ac:dyDescent="0.25"/>
    <row r="296427" customFormat="1" x14ac:dyDescent="0.25"/>
    <row r="296428" customFormat="1" x14ac:dyDescent="0.25"/>
    <row r="296429" customFormat="1" x14ac:dyDescent="0.25"/>
    <row r="296430" customFormat="1" x14ac:dyDescent="0.25"/>
    <row r="296431" customFormat="1" x14ac:dyDescent="0.25"/>
    <row r="296432" customFormat="1" x14ac:dyDescent="0.25"/>
    <row r="296433" customFormat="1" x14ac:dyDescent="0.25"/>
    <row r="296434" customFormat="1" x14ac:dyDescent="0.25"/>
    <row r="296435" customFormat="1" x14ac:dyDescent="0.25"/>
    <row r="296436" customFormat="1" x14ac:dyDescent="0.25"/>
    <row r="296437" customFormat="1" x14ac:dyDescent="0.25"/>
    <row r="296438" customFormat="1" x14ac:dyDescent="0.25"/>
    <row r="296439" customFormat="1" x14ac:dyDescent="0.25"/>
    <row r="296440" customFormat="1" x14ac:dyDescent="0.25"/>
    <row r="296441" customFormat="1" x14ac:dyDescent="0.25"/>
    <row r="296442" customFormat="1" x14ac:dyDescent="0.25"/>
    <row r="296443" customFormat="1" x14ac:dyDescent="0.25"/>
    <row r="296444" customFormat="1" x14ac:dyDescent="0.25"/>
    <row r="296445" customFormat="1" x14ac:dyDescent="0.25"/>
    <row r="296446" customFormat="1" x14ac:dyDescent="0.25"/>
    <row r="296447" customFormat="1" x14ac:dyDescent="0.25"/>
    <row r="296448" customFormat="1" x14ac:dyDescent="0.25"/>
    <row r="296449" customFormat="1" x14ac:dyDescent="0.25"/>
    <row r="296450" customFormat="1" x14ac:dyDescent="0.25"/>
    <row r="296451" customFormat="1" x14ac:dyDescent="0.25"/>
    <row r="296452" customFormat="1" x14ac:dyDescent="0.25"/>
    <row r="296453" customFormat="1" x14ac:dyDescent="0.25"/>
    <row r="296454" customFormat="1" x14ac:dyDescent="0.25"/>
    <row r="296455" customFormat="1" x14ac:dyDescent="0.25"/>
    <row r="296456" customFormat="1" x14ac:dyDescent="0.25"/>
    <row r="296457" customFormat="1" x14ac:dyDescent="0.25"/>
    <row r="296458" customFormat="1" x14ac:dyDescent="0.25"/>
    <row r="296459" customFormat="1" x14ac:dyDescent="0.25"/>
    <row r="296460" customFormat="1" x14ac:dyDescent="0.25"/>
    <row r="296461" customFormat="1" x14ac:dyDescent="0.25"/>
    <row r="296462" customFormat="1" x14ac:dyDescent="0.25"/>
    <row r="296463" customFormat="1" x14ac:dyDescent="0.25"/>
    <row r="296464" customFormat="1" x14ac:dyDescent="0.25"/>
    <row r="296465" customFormat="1" x14ac:dyDescent="0.25"/>
    <row r="296466" customFormat="1" x14ac:dyDescent="0.25"/>
    <row r="296467" customFormat="1" x14ac:dyDescent="0.25"/>
    <row r="296468" customFormat="1" x14ac:dyDescent="0.25"/>
    <row r="296469" customFormat="1" x14ac:dyDescent="0.25"/>
    <row r="296470" customFormat="1" x14ac:dyDescent="0.25"/>
    <row r="296471" customFormat="1" x14ac:dyDescent="0.25"/>
    <row r="296472" customFormat="1" x14ac:dyDescent="0.25"/>
    <row r="296473" customFormat="1" x14ac:dyDescent="0.25"/>
    <row r="296474" customFormat="1" x14ac:dyDescent="0.25"/>
    <row r="296475" customFormat="1" x14ac:dyDescent="0.25"/>
    <row r="296476" customFormat="1" x14ac:dyDescent="0.25"/>
    <row r="296477" customFormat="1" x14ac:dyDescent="0.25"/>
    <row r="296478" customFormat="1" x14ac:dyDescent="0.25"/>
    <row r="296479" customFormat="1" x14ac:dyDescent="0.25"/>
    <row r="296480" customFormat="1" x14ac:dyDescent="0.25"/>
    <row r="296481" customFormat="1" x14ac:dyDescent="0.25"/>
    <row r="296482" customFormat="1" x14ac:dyDescent="0.25"/>
    <row r="296483" customFormat="1" x14ac:dyDescent="0.25"/>
    <row r="296484" customFormat="1" x14ac:dyDescent="0.25"/>
    <row r="296485" customFormat="1" x14ac:dyDescent="0.25"/>
    <row r="296486" customFormat="1" x14ac:dyDescent="0.25"/>
    <row r="296487" customFormat="1" x14ac:dyDescent="0.25"/>
    <row r="296488" customFormat="1" x14ac:dyDescent="0.25"/>
    <row r="296489" customFormat="1" x14ac:dyDescent="0.25"/>
    <row r="296490" customFormat="1" x14ac:dyDescent="0.25"/>
    <row r="296491" customFormat="1" x14ac:dyDescent="0.25"/>
    <row r="296492" customFormat="1" x14ac:dyDescent="0.25"/>
    <row r="296493" customFormat="1" x14ac:dyDescent="0.25"/>
    <row r="296494" customFormat="1" x14ac:dyDescent="0.25"/>
    <row r="296495" customFormat="1" x14ac:dyDescent="0.25"/>
    <row r="296496" customFormat="1" x14ac:dyDescent="0.25"/>
    <row r="296497" customFormat="1" x14ac:dyDescent="0.25"/>
    <row r="296498" customFormat="1" x14ac:dyDescent="0.25"/>
    <row r="296499" customFormat="1" x14ac:dyDescent="0.25"/>
    <row r="296500" customFormat="1" x14ac:dyDescent="0.25"/>
    <row r="296501" customFormat="1" x14ac:dyDescent="0.25"/>
    <row r="296502" customFormat="1" x14ac:dyDescent="0.25"/>
    <row r="296503" customFormat="1" x14ac:dyDescent="0.25"/>
    <row r="296504" customFormat="1" x14ac:dyDescent="0.25"/>
    <row r="296505" customFormat="1" x14ac:dyDescent="0.25"/>
    <row r="296506" customFormat="1" x14ac:dyDescent="0.25"/>
    <row r="296507" customFormat="1" x14ac:dyDescent="0.25"/>
    <row r="296508" customFormat="1" x14ac:dyDescent="0.25"/>
    <row r="296509" customFormat="1" x14ac:dyDescent="0.25"/>
    <row r="296510" customFormat="1" x14ac:dyDescent="0.25"/>
    <row r="296511" customFormat="1" x14ac:dyDescent="0.25"/>
    <row r="296512" customFormat="1" x14ac:dyDescent="0.25"/>
    <row r="296513" customFormat="1" x14ac:dyDescent="0.25"/>
    <row r="296514" customFormat="1" x14ac:dyDescent="0.25"/>
    <row r="296515" customFormat="1" x14ac:dyDescent="0.25"/>
    <row r="296516" customFormat="1" x14ac:dyDescent="0.25"/>
    <row r="296517" customFormat="1" x14ac:dyDescent="0.25"/>
    <row r="296518" customFormat="1" x14ac:dyDescent="0.25"/>
    <row r="296519" customFormat="1" x14ac:dyDescent="0.25"/>
    <row r="296520" customFormat="1" x14ac:dyDescent="0.25"/>
    <row r="296521" customFormat="1" x14ac:dyDescent="0.25"/>
    <row r="296522" customFormat="1" x14ac:dyDescent="0.25"/>
    <row r="296523" customFormat="1" x14ac:dyDescent="0.25"/>
    <row r="296524" customFormat="1" x14ac:dyDescent="0.25"/>
    <row r="296525" customFormat="1" x14ac:dyDescent="0.25"/>
    <row r="296526" customFormat="1" x14ac:dyDescent="0.25"/>
    <row r="296527" customFormat="1" x14ac:dyDescent="0.25"/>
    <row r="296528" customFormat="1" x14ac:dyDescent="0.25"/>
    <row r="296529" customFormat="1" x14ac:dyDescent="0.25"/>
    <row r="296530" customFormat="1" x14ac:dyDescent="0.25"/>
    <row r="296531" customFormat="1" x14ac:dyDescent="0.25"/>
    <row r="296532" customFormat="1" x14ac:dyDescent="0.25"/>
    <row r="296533" customFormat="1" x14ac:dyDescent="0.25"/>
    <row r="296534" customFormat="1" x14ac:dyDescent="0.25"/>
    <row r="296535" customFormat="1" x14ac:dyDescent="0.25"/>
    <row r="296536" customFormat="1" x14ac:dyDescent="0.25"/>
    <row r="296537" customFormat="1" x14ac:dyDescent="0.25"/>
    <row r="296538" customFormat="1" x14ac:dyDescent="0.25"/>
    <row r="296539" customFormat="1" x14ac:dyDescent="0.25"/>
    <row r="296540" customFormat="1" x14ac:dyDescent="0.25"/>
    <row r="296541" customFormat="1" x14ac:dyDescent="0.25"/>
    <row r="296542" customFormat="1" x14ac:dyDescent="0.25"/>
    <row r="296543" customFormat="1" x14ac:dyDescent="0.25"/>
    <row r="296544" customFormat="1" x14ac:dyDescent="0.25"/>
    <row r="296545" customFormat="1" x14ac:dyDescent="0.25"/>
    <row r="296546" customFormat="1" x14ac:dyDescent="0.25"/>
    <row r="296547" customFormat="1" x14ac:dyDescent="0.25"/>
    <row r="296548" customFormat="1" x14ac:dyDescent="0.25"/>
    <row r="296549" customFormat="1" x14ac:dyDescent="0.25"/>
    <row r="296550" customFormat="1" x14ac:dyDescent="0.25"/>
    <row r="296551" customFormat="1" x14ac:dyDescent="0.25"/>
    <row r="296552" customFormat="1" x14ac:dyDescent="0.25"/>
    <row r="296553" customFormat="1" x14ac:dyDescent="0.25"/>
    <row r="296554" customFormat="1" x14ac:dyDescent="0.25"/>
    <row r="296555" customFormat="1" x14ac:dyDescent="0.25"/>
    <row r="296556" customFormat="1" x14ac:dyDescent="0.25"/>
    <row r="296557" customFormat="1" x14ac:dyDescent="0.25"/>
    <row r="296558" customFormat="1" x14ac:dyDescent="0.25"/>
    <row r="296559" customFormat="1" x14ac:dyDescent="0.25"/>
    <row r="296560" customFormat="1" x14ac:dyDescent="0.25"/>
    <row r="296561" customFormat="1" x14ac:dyDescent="0.25"/>
    <row r="296562" customFormat="1" x14ac:dyDescent="0.25"/>
    <row r="296563" customFormat="1" x14ac:dyDescent="0.25"/>
    <row r="296564" customFormat="1" x14ac:dyDescent="0.25"/>
    <row r="296565" customFormat="1" x14ac:dyDescent="0.25"/>
    <row r="296566" customFormat="1" x14ac:dyDescent="0.25"/>
    <row r="296567" customFormat="1" x14ac:dyDescent="0.25"/>
    <row r="296568" customFormat="1" x14ac:dyDescent="0.25"/>
    <row r="296569" customFormat="1" x14ac:dyDescent="0.25"/>
    <row r="296570" customFormat="1" x14ac:dyDescent="0.25"/>
    <row r="296571" customFormat="1" x14ac:dyDescent="0.25"/>
    <row r="296572" customFormat="1" x14ac:dyDescent="0.25"/>
    <row r="296573" customFormat="1" x14ac:dyDescent="0.25"/>
    <row r="296574" customFormat="1" x14ac:dyDescent="0.25"/>
    <row r="296575" customFormat="1" x14ac:dyDescent="0.25"/>
    <row r="296576" customFormat="1" x14ac:dyDescent="0.25"/>
    <row r="296577" customFormat="1" x14ac:dyDescent="0.25"/>
    <row r="296578" customFormat="1" x14ac:dyDescent="0.25"/>
    <row r="296579" customFormat="1" x14ac:dyDescent="0.25"/>
    <row r="296580" customFormat="1" x14ac:dyDescent="0.25"/>
    <row r="296581" customFormat="1" x14ac:dyDescent="0.25"/>
    <row r="296582" customFormat="1" x14ac:dyDescent="0.25"/>
    <row r="296583" customFormat="1" x14ac:dyDescent="0.25"/>
    <row r="296584" customFormat="1" x14ac:dyDescent="0.25"/>
    <row r="296585" customFormat="1" x14ac:dyDescent="0.25"/>
    <row r="296586" customFormat="1" x14ac:dyDescent="0.25"/>
    <row r="296587" customFormat="1" x14ac:dyDescent="0.25"/>
    <row r="296588" customFormat="1" x14ac:dyDescent="0.25"/>
    <row r="296589" customFormat="1" x14ac:dyDescent="0.25"/>
    <row r="296590" customFormat="1" x14ac:dyDescent="0.25"/>
    <row r="296591" customFormat="1" x14ac:dyDescent="0.25"/>
    <row r="296592" customFormat="1" x14ac:dyDescent="0.25"/>
    <row r="296593" customFormat="1" x14ac:dyDescent="0.25"/>
    <row r="296594" customFormat="1" x14ac:dyDescent="0.25"/>
    <row r="296595" customFormat="1" x14ac:dyDescent="0.25"/>
    <row r="296596" customFormat="1" x14ac:dyDescent="0.25"/>
    <row r="296597" customFormat="1" x14ac:dyDescent="0.25"/>
    <row r="296598" customFormat="1" x14ac:dyDescent="0.25"/>
    <row r="296599" customFormat="1" x14ac:dyDescent="0.25"/>
    <row r="296600" customFormat="1" x14ac:dyDescent="0.25"/>
    <row r="296601" customFormat="1" x14ac:dyDescent="0.25"/>
    <row r="296602" customFormat="1" x14ac:dyDescent="0.25"/>
    <row r="296603" customFormat="1" x14ac:dyDescent="0.25"/>
    <row r="296604" customFormat="1" x14ac:dyDescent="0.25"/>
    <row r="296605" customFormat="1" x14ac:dyDescent="0.25"/>
    <row r="296606" customFormat="1" x14ac:dyDescent="0.25"/>
    <row r="296607" customFormat="1" x14ac:dyDescent="0.25"/>
    <row r="296608" customFormat="1" x14ac:dyDescent="0.25"/>
    <row r="296609" customFormat="1" x14ac:dyDescent="0.25"/>
    <row r="296610" customFormat="1" x14ac:dyDescent="0.25"/>
    <row r="296611" customFormat="1" x14ac:dyDescent="0.25"/>
    <row r="296612" customFormat="1" x14ac:dyDescent="0.25"/>
    <row r="296613" customFormat="1" x14ac:dyDescent="0.25"/>
    <row r="296614" customFormat="1" x14ac:dyDescent="0.25"/>
    <row r="296615" customFormat="1" x14ac:dyDescent="0.25"/>
    <row r="296616" customFormat="1" x14ac:dyDescent="0.25"/>
    <row r="296617" customFormat="1" x14ac:dyDescent="0.25"/>
    <row r="296618" customFormat="1" x14ac:dyDescent="0.25"/>
    <row r="296619" customFormat="1" x14ac:dyDescent="0.25"/>
    <row r="296620" customFormat="1" x14ac:dyDescent="0.25"/>
    <row r="296621" customFormat="1" x14ac:dyDescent="0.25"/>
    <row r="296622" customFormat="1" x14ac:dyDescent="0.25"/>
    <row r="296623" customFormat="1" x14ac:dyDescent="0.25"/>
    <row r="296624" customFormat="1" x14ac:dyDescent="0.25"/>
    <row r="296625" customFormat="1" x14ac:dyDescent="0.25"/>
    <row r="296626" customFormat="1" x14ac:dyDescent="0.25"/>
    <row r="296627" customFormat="1" x14ac:dyDescent="0.25"/>
    <row r="296628" customFormat="1" x14ac:dyDescent="0.25"/>
    <row r="296629" customFormat="1" x14ac:dyDescent="0.25"/>
    <row r="296630" customFormat="1" x14ac:dyDescent="0.25"/>
    <row r="296631" customFormat="1" x14ac:dyDescent="0.25"/>
    <row r="296632" customFormat="1" x14ac:dyDescent="0.25"/>
    <row r="296633" customFormat="1" x14ac:dyDescent="0.25"/>
    <row r="296634" customFormat="1" x14ac:dyDescent="0.25"/>
    <row r="296635" customFormat="1" x14ac:dyDescent="0.25"/>
    <row r="296636" customFormat="1" x14ac:dyDescent="0.25"/>
    <row r="296637" customFormat="1" x14ac:dyDescent="0.25"/>
    <row r="296638" customFormat="1" x14ac:dyDescent="0.25"/>
    <row r="296639" customFormat="1" x14ac:dyDescent="0.25"/>
    <row r="296640" customFormat="1" x14ac:dyDescent="0.25"/>
    <row r="296641" customFormat="1" x14ac:dyDescent="0.25"/>
    <row r="296642" customFormat="1" x14ac:dyDescent="0.25"/>
    <row r="296643" customFormat="1" x14ac:dyDescent="0.25"/>
    <row r="296644" customFormat="1" x14ac:dyDescent="0.25"/>
    <row r="296645" customFormat="1" x14ac:dyDescent="0.25"/>
    <row r="296646" customFormat="1" x14ac:dyDescent="0.25"/>
    <row r="296647" customFormat="1" x14ac:dyDescent="0.25"/>
    <row r="296648" customFormat="1" x14ac:dyDescent="0.25"/>
    <row r="296649" customFormat="1" x14ac:dyDescent="0.25"/>
    <row r="296650" customFormat="1" x14ac:dyDescent="0.25"/>
    <row r="296651" customFormat="1" x14ac:dyDescent="0.25"/>
    <row r="296652" customFormat="1" x14ac:dyDescent="0.25"/>
    <row r="296653" customFormat="1" x14ac:dyDescent="0.25"/>
    <row r="296654" customFormat="1" x14ac:dyDescent="0.25"/>
    <row r="296655" customFormat="1" x14ac:dyDescent="0.25"/>
    <row r="296656" customFormat="1" x14ac:dyDescent="0.25"/>
    <row r="296657" customFormat="1" x14ac:dyDescent="0.25"/>
    <row r="296658" customFormat="1" x14ac:dyDescent="0.25"/>
    <row r="296659" customFormat="1" x14ac:dyDescent="0.25"/>
    <row r="296660" customFormat="1" x14ac:dyDescent="0.25"/>
    <row r="296661" customFormat="1" x14ac:dyDescent="0.25"/>
    <row r="296662" customFormat="1" x14ac:dyDescent="0.25"/>
    <row r="296663" customFormat="1" x14ac:dyDescent="0.25"/>
    <row r="296664" customFormat="1" x14ac:dyDescent="0.25"/>
    <row r="296665" customFormat="1" x14ac:dyDescent="0.25"/>
    <row r="296666" customFormat="1" x14ac:dyDescent="0.25"/>
    <row r="296667" customFormat="1" x14ac:dyDescent="0.25"/>
    <row r="296668" customFormat="1" x14ac:dyDescent="0.25"/>
    <row r="296669" customFormat="1" x14ac:dyDescent="0.25"/>
    <row r="296670" customFormat="1" x14ac:dyDescent="0.25"/>
    <row r="296671" customFormat="1" x14ac:dyDescent="0.25"/>
    <row r="296672" customFormat="1" x14ac:dyDescent="0.25"/>
    <row r="296673" customFormat="1" x14ac:dyDescent="0.25"/>
    <row r="296674" customFormat="1" x14ac:dyDescent="0.25"/>
    <row r="296675" customFormat="1" x14ac:dyDescent="0.25"/>
    <row r="296676" customFormat="1" x14ac:dyDescent="0.25"/>
    <row r="296677" customFormat="1" x14ac:dyDescent="0.25"/>
    <row r="296678" customFormat="1" x14ac:dyDescent="0.25"/>
    <row r="296679" customFormat="1" x14ac:dyDescent="0.25"/>
    <row r="296680" customFormat="1" x14ac:dyDescent="0.25"/>
    <row r="296681" customFormat="1" x14ac:dyDescent="0.25"/>
    <row r="296682" customFormat="1" x14ac:dyDescent="0.25"/>
    <row r="296683" customFormat="1" x14ac:dyDescent="0.25"/>
    <row r="296684" customFormat="1" x14ac:dyDescent="0.25"/>
    <row r="296685" customFormat="1" x14ac:dyDescent="0.25"/>
    <row r="296686" customFormat="1" x14ac:dyDescent="0.25"/>
    <row r="296687" customFormat="1" x14ac:dyDescent="0.25"/>
    <row r="296688" customFormat="1" x14ac:dyDescent="0.25"/>
    <row r="296689" customFormat="1" x14ac:dyDescent="0.25"/>
    <row r="296690" customFormat="1" x14ac:dyDescent="0.25"/>
    <row r="296691" customFormat="1" x14ac:dyDescent="0.25"/>
    <row r="296692" customFormat="1" x14ac:dyDescent="0.25"/>
    <row r="296693" customFormat="1" x14ac:dyDescent="0.25"/>
    <row r="296694" customFormat="1" x14ac:dyDescent="0.25"/>
    <row r="296695" customFormat="1" x14ac:dyDescent="0.25"/>
    <row r="296696" customFormat="1" x14ac:dyDescent="0.25"/>
    <row r="296697" customFormat="1" x14ac:dyDescent="0.25"/>
    <row r="296698" customFormat="1" x14ac:dyDescent="0.25"/>
    <row r="296699" customFormat="1" x14ac:dyDescent="0.25"/>
    <row r="296700" customFormat="1" x14ac:dyDescent="0.25"/>
    <row r="296701" customFormat="1" x14ac:dyDescent="0.25"/>
    <row r="296702" customFormat="1" x14ac:dyDescent="0.25"/>
    <row r="296703" customFormat="1" x14ac:dyDescent="0.25"/>
    <row r="296704" customFormat="1" x14ac:dyDescent="0.25"/>
    <row r="296705" customFormat="1" x14ac:dyDescent="0.25"/>
    <row r="296706" customFormat="1" x14ac:dyDescent="0.25"/>
    <row r="296707" customFormat="1" x14ac:dyDescent="0.25"/>
    <row r="296708" customFormat="1" x14ac:dyDescent="0.25"/>
    <row r="296709" customFormat="1" x14ac:dyDescent="0.25"/>
    <row r="296710" customFormat="1" x14ac:dyDescent="0.25"/>
    <row r="296711" customFormat="1" x14ac:dyDescent="0.25"/>
    <row r="296712" customFormat="1" x14ac:dyDescent="0.25"/>
    <row r="296713" customFormat="1" x14ac:dyDescent="0.25"/>
    <row r="296714" customFormat="1" x14ac:dyDescent="0.25"/>
    <row r="296715" customFormat="1" x14ac:dyDescent="0.25"/>
    <row r="296716" customFormat="1" x14ac:dyDescent="0.25"/>
    <row r="296717" customFormat="1" x14ac:dyDescent="0.25"/>
    <row r="296718" customFormat="1" x14ac:dyDescent="0.25"/>
    <row r="296719" customFormat="1" x14ac:dyDescent="0.25"/>
    <row r="296720" customFormat="1" x14ac:dyDescent="0.25"/>
    <row r="296721" customFormat="1" x14ac:dyDescent="0.25"/>
    <row r="296722" customFormat="1" x14ac:dyDescent="0.25"/>
    <row r="296723" customFormat="1" x14ac:dyDescent="0.25"/>
    <row r="296724" customFormat="1" x14ac:dyDescent="0.25"/>
    <row r="296725" customFormat="1" x14ac:dyDescent="0.25"/>
    <row r="296726" customFormat="1" x14ac:dyDescent="0.25"/>
    <row r="296727" customFormat="1" x14ac:dyDescent="0.25"/>
    <row r="296728" customFormat="1" x14ac:dyDescent="0.25"/>
    <row r="296729" customFormat="1" x14ac:dyDescent="0.25"/>
    <row r="296730" customFormat="1" x14ac:dyDescent="0.25"/>
    <row r="296731" customFormat="1" x14ac:dyDescent="0.25"/>
    <row r="296732" customFormat="1" x14ac:dyDescent="0.25"/>
    <row r="296733" customFormat="1" x14ac:dyDescent="0.25"/>
    <row r="296734" customFormat="1" x14ac:dyDescent="0.25"/>
    <row r="296735" customFormat="1" x14ac:dyDescent="0.25"/>
    <row r="296736" customFormat="1" x14ac:dyDescent="0.25"/>
    <row r="296737" customFormat="1" x14ac:dyDescent="0.25"/>
    <row r="296738" customFormat="1" x14ac:dyDescent="0.25"/>
    <row r="296739" customFormat="1" x14ac:dyDescent="0.25"/>
    <row r="296740" customFormat="1" x14ac:dyDescent="0.25"/>
    <row r="296741" customFormat="1" x14ac:dyDescent="0.25"/>
    <row r="296742" customFormat="1" x14ac:dyDescent="0.25"/>
    <row r="296743" customFormat="1" x14ac:dyDescent="0.25"/>
    <row r="296744" customFormat="1" x14ac:dyDescent="0.25"/>
    <row r="296745" customFormat="1" x14ac:dyDescent="0.25"/>
    <row r="296746" customFormat="1" x14ac:dyDescent="0.25"/>
    <row r="296747" customFormat="1" x14ac:dyDescent="0.25"/>
    <row r="296748" customFormat="1" x14ac:dyDescent="0.25"/>
    <row r="296749" customFormat="1" x14ac:dyDescent="0.25"/>
    <row r="296750" customFormat="1" x14ac:dyDescent="0.25"/>
    <row r="296751" customFormat="1" x14ac:dyDescent="0.25"/>
    <row r="296752" customFormat="1" x14ac:dyDescent="0.25"/>
    <row r="296753" customFormat="1" x14ac:dyDescent="0.25"/>
    <row r="296754" customFormat="1" x14ac:dyDescent="0.25"/>
    <row r="296755" customFormat="1" x14ac:dyDescent="0.25"/>
    <row r="296756" customFormat="1" x14ac:dyDescent="0.25"/>
    <row r="296757" customFormat="1" x14ac:dyDescent="0.25"/>
    <row r="296758" customFormat="1" x14ac:dyDescent="0.25"/>
    <row r="296759" customFormat="1" x14ac:dyDescent="0.25"/>
    <row r="296760" customFormat="1" x14ac:dyDescent="0.25"/>
    <row r="296761" customFormat="1" x14ac:dyDescent="0.25"/>
    <row r="296762" customFormat="1" x14ac:dyDescent="0.25"/>
    <row r="296763" customFormat="1" x14ac:dyDescent="0.25"/>
    <row r="296764" customFormat="1" x14ac:dyDescent="0.25"/>
    <row r="296765" customFormat="1" x14ac:dyDescent="0.25"/>
    <row r="296766" customFormat="1" x14ac:dyDescent="0.25"/>
    <row r="296767" customFormat="1" x14ac:dyDescent="0.25"/>
    <row r="296768" customFormat="1" x14ac:dyDescent="0.25"/>
    <row r="296769" customFormat="1" x14ac:dyDescent="0.25"/>
    <row r="296770" customFormat="1" x14ac:dyDescent="0.25"/>
    <row r="296771" customFormat="1" x14ac:dyDescent="0.25"/>
    <row r="296772" customFormat="1" x14ac:dyDescent="0.25"/>
    <row r="296773" customFormat="1" x14ac:dyDescent="0.25"/>
    <row r="296774" customFormat="1" x14ac:dyDescent="0.25"/>
    <row r="296775" customFormat="1" x14ac:dyDescent="0.25"/>
    <row r="296776" customFormat="1" x14ac:dyDescent="0.25"/>
    <row r="296777" customFormat="1" x14ac:dyDescent="0.25"/>
    <row r="296778" customFormat="1" x14ac:dyDescent="0.25"/>
    <row r="296779" customFormat="1" x14ac:dyDescent="0.25"/>
    <row r="296780" customFormat="1" x14ac:dyDescent="0.25"/>
    <row r="296781" customFormat="1" x14ac:dyDescent="0.25"/>
    <row r="296782" customFormat="1" x14ac:dyDescent="0.25"/>
    <row r="296783" customFormat="1" x14ac:dyDescent="0.25"/>
    <row r="296784" customFormat="1" x14ac:dyDescent="0.25"/>
    <row r="296785" customFormat="1" x14ac:dyDescent="0.25"/>
    <row r="296786" customFormat="1" x14ac:dyDescent="0.25"/>
    <row r="296787" customFormat="1" x14ac:dyDescent="0.25"/>
    <row r="296788" customFormat="1" x14ac:dyDescent="0.25"/>
    <row r="296789" customFormat="1" x14ac:dyDescent="0.25"/>
    <row r="296790" customFormat="1" x14ac:dyDescent="0.25"/>
    <row r="296791" customFormat="1" x14ac:dyDescent="0.25"/>
    <row r="296792" customFormat="1" x14ac:dyDescent="0.25"/>
    <row r="296793" customFormat="1" x14ac:dyDescent="0.25"/>
    <row r="296794" customFormat="1" x14ac:dyDescent="0.25"/>
    <row r="296795" customFormat="1" x14ac:dyDescent="0.25"/>
    <row r="296796" customFormat="1" x14ac:dyDescent="0.25"/>
    <row r="296797" customFormat="1" x14ac:dyDescent="0.25"/>
    <row r="296798" customFormat="1" x14ac:dyDescent="0.25"/>
    <row r="296799" customFormat="1" x14ac:dyDescent="0.25"/>
    <row r="296800" customFormat="1" x14ac:dyDescent="0.25"/>
    <row r="296801" customFormat="1" x14ac:dyDescent="0.25"/>
    <row r="296802" customFormat="1" x14ac:dyDescent="0.25"/>
    <row r="296803" customFormat="1" x14ac:dyDescent="0.25"/>
    <row r="296804" customFormat="1" x14ac:dyDescent="0.25"/>
    <row r="296805" customFormat="1" x14ac:dyDescent="0.25"/>
    <row r="296806" customFormat="1" x14ac:dyDescent="0.25"/>
    <row r="296807" customFormat="1" x14ac:dyDescent="0.25"/>
    <row r="296808" customFormat="1" x14ac:dyDescent="0.25"/>
    <row r="296809" customFormat="1" x14ac:dyDescent="0.25"/>
    <row r="296810" customFormat="1" x14ac:dyDescent="0.25"/>
    <row r="296811" customFormat="1" x14ac:dyDescent="0.25"/>
    <row r="296812" customFormat="1" x14ac:dyDescent="0.25"/>
    <row r="296813" customFormat="1" x14ac:dyDescent="0.25"/>
    <row r="296814" customFormat="1" x14ac:dyDescent="0.25"/>
    <row r="296815" customFormat="1" x14ac:dyDescent="0.25"/>
    <row r="296816" customFormat="1" x14ac:dyDescent="0.25"/>
    <row r="296817" customFormat="1" x14ac:dyDescent="0.25"/>
    <row r="296818" customFormat="1" x14ac:dyDescent="0.25"/>
    <row r="296819" customFormat="1" x14ac:dyDescent="0.25"/>
    <row r="296820" customFormat="1" x14ac:dyDescent="0.25"/>
    <row r="296821" customFormat="1" x14ac:dyDescent="0.25"/>
    <row r="296822" customFormat="1" x14ac:dyDescent="0.25"/>
    <row r="296823" customFormat="1" x14ac:dyDescent="0.25"/>
    <row r="296824" customFormat="1" x14ac:dyDescent="0.25"/>
    <row r="296825" customFormat="1" x14ac:dyDescent="0.25"/>
    <row r="296826" customFormat="1" x14ac:dyDescent="0.25"/>
    <row r="296827" customFormat="1" x14ac:dyDescent="0.25"/>
    <row r="296828" customFormat="1" x14ac:dyDescent="0.25"/>
    <row r="296829" customFormat="1" x14ac:dyDescent="0.25"/>
    <row r="296830" customFormat="1" x14ac:dyDescent="0.25"/>
    <row r="296831" customFormat="1" x14ac:dyDescent="0.25"/>
    <row r="296832" customFormat="1" x14ac:dyDescent="0.25"/>
    <row r="296833" customFormat="1" x14ac:dyDescent="0.25"/>
    <row r="296834" customFormat="1" x14ac:dyDescent="0.25"/>
    <row r="296835" customFormat="1" x14ac:dyDescent="0.25"/>
    <row r="296836" customFormat="1" x14ac:dyDescent="0.25"/>
    <row r="296837" customFormat="1" x14ac:dyDescent="0.25"/>
    <row r="296838" customFormat="1" x14ac:dyDescent="0.25"/>
    <row r="296839" customFormat="1" x14ac:dyDescent="0.25"/>
    <row r="296840" customFormat="1" x14ac:dyDescent="0.25"/>
    <row r="296841" customFormat="1" x14ac:dyDescent="0.25"/>
    <row r="296842" customFormat="1" x14ac:dyDescent="0.25"/>
    <row r="296843" customFormat="1" x14ac:dyDescent="0.25"/>
    <row r="296844" customFormat="1" x14ac:dyDescent="0.25"/>
    <row r="296845" customFormat="1" x14ac:dyDescent="0.25"/>
    <row r="296846" customFormat="1" x14ac:dyDescent="0.25"/>
    <row r="296847" customFormat="1" x14ac:dyDescent="0.25"/>
    <row r="296848" customFormat="1" x14ac:dyDescent="0.25"/>
    <row r="296849" customFormat="1" x14ac:dyDescent="0.25"/>
    <row r="296850" customFormat="1" x14ac:dyDescent="0.25"/>
    <row r="296851" customFormat="1" x14ac:dyDescent="0.25"/>
    <row r="296852" customFormat="1" x14ac:dyDescent="0.25"/>
    <row r="296853" customFormat="1" x14ac:dyDescent="0.25"/>
    <row r="296854" customFormat="1" x14ac:dyDescent="0.25"/>
    <row r="296855" customFormat="1" x14ac:dyDescent="0.25"/>
    <row r="296856" customFormat="1" x14ac:dyDescent="0.25"/>
    <row r="296857" customFormat="1" x14ac:dyDescent="0.25"/>
    <row r="296858" customFormat="1" x14ac:dyDescent="0.25"/>
    <row r="296859" customFormat="1" x14ac:dyDescent="0.25"/>
    <row r="296860" customFormat="1" x14ac:dyDescent="0.25"/>
    <row r="296861" customFormat="1" x14ac:dyDescent="0.25"/>
    <row r="296862" customFormat="1" x14ac:dyDescent="0.25"/>
    <row r="296863" customFormat="1" x14ac:dyDescent="0.25"/>
    <row r="296864" customFormat="1" x14ac:dyDescent="0.25"/>
    <row r="296865" customFormat="1" x14ac:dyDescent="0.25"/>
    <row r="296866" customFormat="1" x14ac:dyDescent="0.25"/>
    <row r="296867" customFormat="1" x14ac:dyDescent="0.25"/>
    <row r="296868" customFormat="1" x14ac:dyDescent="0.25"/>
    <row r="296869" customFormat="1" x14ac:dyDescent="0.25"/>
    <row r="296870" customFormat="1" x14ac:dyDescent="0.25"/>
    <row r="296871" customFormat="1" x14ac:dyDescent="0.25"/>
    <row r="296872" customFormat="1" x14ac:dyDescent="0.25"/>
    <row r="296873" customFormat="1" x14ac:dyDescent="0.25"/>
    <row r="296874" customFormat="1" x14ac:dyDescent="0.25"/>
    <row r="296875" customFormat="1" x14ac:dyDescent="0.25"/>
    <row r="296876" customFormat="1" x14ac:dyDescent="0.25"/>
    <row r="296877" customFormat="1" x14ac:dyDescent="0.25"/>
    <row r="296878" customFormat="1" x14ac:dyDescent="0.25"/>
    <row r="296879" customFormat="1" x14ac:dyDescent="0.25"/>
    <row r="296880" customFormat="1" x14ac:dyDescent="0.25"/>
    <row r="296881" customFormat="1" x14ac:dyDescent="0.25"/>
    <row r="296882" customFormat="1" x14ac:dyDescent="0.25"/>
    <row r="296883" customFormat="1" x14ac:dyDescent="0.25"/>
    <row r="296884" customFormat="1" x14ac:dyDescent="0.25"/>
    <row r="296885" customFormat="1" x14ac:dyDescent="0.25"/>
    <row r="296886" customFormat="1" x14ac:dyDescent="0.25"/>
    <row r="296887" customFormat="1" x14ac:dyDescent="0.25"/>
    <row r="296888" customFormat="1" x14ac:dyDescent="0.25"/>
    <row r="296889" customFormat="1" x14ac:dyDescent="0.25"/>
    <row r="296890" customFormat="1" x14ac:dyDescent="0.25"/>
    <row r="296891" customFormat="1" x14ac:dyDescent="0.25"/>
    <row r="296892" customFormat="1" x14ac:dyDescent="0.25"/>
    <row r="296893" customFormat="1" x14ac:dyDescent="0.25"/>
    <row r="296894" customFormat="1" x14ac:dyDescent="0.25"/>
    <row r="296895" customFormat="1" x14ac:dyDescent="0.25"/>
    <row r="296896" customFormat="1" x14ac:dyDescent="0.25"/>
    <row r="296897" customFormat="1" x14ac:dyDescent="0.25"/>
    <row r="296898" customFormat="1" x14ac:dyDescent="0.25"/>
    <row r="296899" customFormat="1" x14ac:dyDescent="0.25"/>
    <row r="296900" customFormat="1" x14ac:dyDescent="0.25"/>
    <row r="296901" customFormat="1" x14ac:dyDescent="0.25"/>
    <row r="296902" customFormat="1" x14ac:dyDescent="0.25"/>
    <row r="296903" customFormat="1" x14ac:dyDescent="0.25"/>
    <row r="296904" customFormat="1" x14ac:dyDescent="0.25"/>
    <row r="296905" customFormat="1" x14ac:dyDescent="0.25"/>
    <row r="296906" customFormat="1" x14ac:dyDescent="0.25"/>
    <row r="296907" customFormat="1" x14ac:dyDescent="0.25"/>
    <row r="296908" customFormat="1" x14ac:dyDescent="0.25"/>
    <row r="296909" customFormat="1" x14ac:dyDescent="0.25"/>
    <row r="296910" customFormat="1" x14ac:dyDescent="0.25"/>
    <row r="296911" customFormat="1" x14ac:dyDescent="0.25"/>
    <row r="296912" customFormat="1" x14ac:dyDescent="0.25"/>
    <row r="296913" customFormat="1" x14ac:dyDescent="0.25"/>
    <row r="296914" customFormat="1" x14ac:dyDescent="0.25"/>
    <row r="296915" customFormat="1" x14ac:dyDescent="0.25"/>
    <row r="296916" customFormat="1" x14ac:dyDescent="0.25"/>
    <row r="296917" customFormat="1" x14ac:dyDescent="0.25"/>
    <row r="296918" customFormat="1" x14ac:dyDescent="0.25"/>
    <row r="296919" customFormat="1" x14ac:dyDescent="0.25"/>
    <row r="296920" customFormat="1" x14ac:dyDescent="0.25"/>
    <row r="296921" customFormat="1" x14ac:dyDescent="0.25"/>
    <row r="296922" customFormat="1" x14ac:dyDescent="0.25"/>
    <row r="296923" customFormat="1" x14ac:dyDescent="0.25"/>
    <row r="296924" customFormat="1" x14ac:dyDescent="0.25"/>
    <row r="296925" customFormat="1" x14ac:dyDescent="0.25"/>
    <row r="296926" customFormat="1" x14ac:dyDescent="0.25"/>
    <row r="296927" customFormat="1" x14ac:dyDescent="0.25"/>
    <row r="296928" customFormat="1" x14ac:dyDescent="0.25"/>
    <row r="296929" customFormat="1" x14ac:dyDescent="0.25"/>
    <row r="296930" customFormat="1" x14ac:dyDescent="0.25"/>
    <row r="296931" customFormat="1" x14ac:dyDescent="0.25"/>
    <row r="296932" customFormat="1" x14ac:dyDescent="0.25"/>
    <row r="296933" customFormat="1" x14ac:dyDescent="0.25"/>
    <row r="296934" customFormat="1" x14ac:dyDescent="0.25"/>
    <row r="296935" customFormat="1" x14ac:dyDescent="0.25"/>
    <row r="296936" customFormat="1" x14ac:dyDescent="0.25"/>
    <row r="296937" customFormat="1" x14ac:dyDescent="0.25"/>
    <row r="296938" customFormat="1" x14ac:dyDescent="0.25"/>
    <row r="296939" customFormat="1" x14ac:dyDescent="0.25"/>
    <row r="296940" customFormat="1" x14ac:dyDescent="0.25"/>
    <row r="296941" customFormat="1" x14ac:dyDescent="0.25"/>
    <row r="296942" customFormat="1" x14ac:dyDescent="0.25"/>
    <row r="296943" customFormat="1" x14ac:dyDescent="0.25"/>
    <row r="296944" customFormat="1" x14ac:dyDescent="0.25"/>
    <row r="296945" customFormat="1" x14ac:dyDescent="0.25"/>
    <row r="296946" customFormat="1" x14ac:dyDescent="0.25"/>
    <row r="296947" customFormat="1" x14ac:dyDescent="0.25"/>
    <row r="296948" customFormat="1" x14ac:dyDescent="0.25"/>
    <row r="296949" customFormat="1" x14ac:dyDescent="0.25"/>
    <row r="296950" customFormat="1" x14ac:dyDescent="0.25"/>
    <row r="296951" customFormat="1" x14ac:dyDescent="0.25"/>
    <row r="296952" customFormat="1" x14ac:dyDescent="0.25"/>
    <row r="296953" customFormat="1" x14ac:dyDescent="0.25"/>
    <row r="296954" customFormat="1" x14ac:dyDescent="0.25"/>
    <row r="296955" customFormat="1" x14ac:dyDescent="0.25"/>
    <row r="296956" customFormat="1" x14ac:dyDescent="0.25"/>
    <row r="296957" customFormat="1" x14ac:dyDescent="0.25"/>
    <row r="296958" customFormat="1" x14ac:dyDescent="0.25"/>
    <row r="296959" customFormat="1" x14ac:dyDescent="0.25"/>
    <row r="296960" customFormat="1" x14ac:dyDescent="0.25"/>
    <row r="296961" customFormat="1" x14ac:dyDescent="0.25"/>
    <row r="296962" customFormat="1" x14ac:dyDescent="0.25"/>
    <row r="296963" customFormat="1" x14ac:dyDescent="0.25"/>
    <row r="296964" customFormat="1" x14ac:dyDescent="0.25"/>
    <row r="296965" customFormat="1" x14ac:dyDescent="0.25"/>
    <row r="296966" customFormat="1" x14ac:dyDescent="0.25"/>
    <row r="296967" customFormat="1" x14ac:dyDescent="0.25"/>
    <row r="296968" customFormat="1" x14ac:dyDescent="0.25"/>
    <row r="296969" customFormat="1" x14ac:dyDescent="0.25"/>
    <row r="296970" customFormat="1" x14ac:dyDescent="0.25"/>
    <row r="296971" customFormat="1" x14ac:dyDescent="0.25"/>
    <row r="296972" customFormat="1" x14ac:dyDescent="0.25"/>
    <row r="296973" customFormat="1" x14ac:dyDescent="0.25"/>
    <row r="296974" customFormat="1" x14ac:dyDescent="0.25"/>
    <row r="296975" customFormat="1" x14ac:dyDescent="0.25"/>
    <row r="296976" customFormat="1" x14ac:dyDescent="0.25"/>
    <row r="296977" customFormat="1" x14ac:dyDescent="0.25"/>
    <row r="296978" customFormat="1" x14ac:dyDescent="0.25"/>
    <row r="296979" customFormat="1" x14ac:dyDescent="0.25"/>
    <row r="296980" customFormat="1" x14ac:dyDescent="0.25"/>
    <row r="296981" customFormat="1" x14ac:dyDescent="0.25"/>
    <row r="296982" customFormat="1" x14ac:dyDescent="0.25"/>
    <row r="296983" customFormat="1" x14ac:dyDescent="0.25"/>
    <row r="296984" customFormat="1" x14ac:dyDescent="0.25"/>
    <row r="296985" customFormat="1" x14ac:dyDescent="0.25"/>
    <row r="296986" customFormat="1" x14ac:dyDescent="0.25"/>
    <row r="296987" customFormat="1" x14ac:dyDescent="0.25"/>
    <row r="296988" customFormat="1" x14ac:dyDescent="0.25"/>
    <row r="296989" customFormat="1" x14ac:dyDescent="0.25"/>
    <row r="296990" customFormat="1" x14ac:dyDescent="0.25"/>
    <row r="296991" customFormat="1" x14ac:dyDescent="0.25"/>
    <row r="296992" customFormat="1" x14ac:dyDescent="0.25"/>
    <row r="296993" customFormat="1" x14ac:dyDescent="0.25"/>
    <row r="296994" customFormat="1" x14ac:dyDescent="0.25"/>
    <row r="296995" customFormat="1" x14ac:dyDescent="0.25"/>
    <row r="296996" customFormat="1" x14ac:dyDescent="0.25"/>
    <row r="296997" customFormat="1" x14ac:dyDescent="0.25"/>
    <row r="296998" customFormat="1" x14ac:dyDescent="0.25"/>
    <row r="296999" customFormat="1" x14ac:dyDescent="0.25"/>
    <row r="297000" customFormat="1" x14ac:dyDescent="0.25"/>
    <row r="297001" customFormat="1" x14ac:dyDescent="0.25"/>
    <row r="297002" customFormat="1" x14ac:dyDescent="0.25"/>
    <row r="297003" customFormat="1" x14ac:dyDescent="0.25"/>
    <row r="297004" customFormat="1" x14ac:dyDescent="0.25"/>
    <row r="297005" customFormat="1" x14ac:dyDescent="0.25"/>
    <row r="297006" customFormat="1" x14ac:dyDescent="0.25"/>
    <row r="297007" customFormat="1" x14ac:dyDescent="0.25"/>
    <row r="297008" customFormat="1" x14ac:dyDescent="0.25"/>
    <row r="297009" customFormat="1" x14ac:dyDescent="0.25"/>
    <row r="297010" customFormat="1" x14ac:dyDescent="0.25"/>
    <row r="297011" customFormat="1" x14ac:dyDescent="0.25"/>
    <row r="297012" customFormat="1" x14ac:dyDescent="0.25"/>
    <row r="297013" customFormat="1" x14ac:dyDescent="0.25"/>
    <row r="297014" customFormat="1" x14ac:dyDescent="0.25"/>
    <row r="297015" customFormat="1" x14ac:dyDescent="0.25"/>
    <row r="297016" customFormat="1" x14ac:dyDescent="0.25"/>
    <row r="297017" customFormat="1" x14ac:dyDescent="0.25"/>
    <row r="297018" customFormat="1" x14ac:dyDescent="0.25"/>
    <row r="297019" customFormat="1" x14ac:dyDescent="0.25"/>
    <row r="297020" customFormat="1" x14ac:dyDescent="0.25"/>
    <row r="297021" customFormat="1" x14ac:dyDescent="0.25"/>
    <row r="297022" customFormat="1" x14ac:dyDescent="0.25"/>
    <row r="297023" customFormat="1" x14ac:dyDescent="0.25"/>
    <row r="297024" customFormat="1" x14ac:dyDescent="0.25"/>
    <row r="297025" customFormat="1" x14ac:dyDescent="0.25"/>
    <row r="297026" customFormat="1" x14ac:dyDescent="0.25"/>
    <row r="297027" customFormat="1" x14ac:dyDescent="0.25"/>
    <row r="297028" customFormat="1" x14ac:dyDescent="0.25"/>
    <row r="297029" customFormat="1" x14ac:dyDescent="0.25"/>
    <row r="297030" customFormat="1" x14ac:dyDescent="0.25"/>
    <row r="297031" customFormat="1" x14ac:dyDescent="0.25"/>
    <row r="297032" customFormat="1" x14ac:dyDescent="0.25"/>
    <row r="297033" customFormat="1" x14ac:dyDescent="0.25"/>
    <row r="297034" customFormat="1" x14ac:dyDescent="0.25"/>
    <row r="297035" customFormat="1" x14ac:dyDescent="0.25"/>
    <row r="297036" customFormat="1" x14ac:dyDescent="0.25"/>
    <row r="297037" customFormat="1" x14ac:dyDescent="0.25"/>
    <row r="297038" customFormat="1" x14ac:dyDescent="0.25"/>
    <row r="297039" customFormat="1" x14ac:dyDescent="0.25"/>
    <row r="297040" customFormat="1" x14ac:dyDescent="0.25"/>
    <row r="297041" customFormat="1" x14ac:dyDescent="0.25"/>
    <row r="297042" customFormat="1" x14ac:dyDescent="0.25"/>
    <row r="297043" customFormat="1" x14ac:dyDescent="0.25"/>
    <row r="297044" customFormat="1" x14ac:dyDescent="0.25"/>
    <row r="297045" customFormat="1" x14ac:dyDescent="0.25"/>
    <row r="297046" customFormat="1" x14ac:dyDescent="0.25"/>
    <row r="297047" customFormat="1" x14ac:dyDescent="0.25"/>
    <row r="297048" customFormat="1" x14ac:dyDescent="0.25"/>
    <row r="297049" customFormat="1" x14ac:dyDescent="0.25"/>
    <row r="297050" customFormat="1" x14ac:dyDescent="0.25"/>
    <row r="297051" customFormat="1" x14ac:dyDescent="0.25"/>
    <row r="297052" customFormat="1" x14ac:dyDescent="0.25"/>
    <row r="297053" customFormat="1" x14ac:dyDescent="0.25"/>
    <row r="297054" customFormat="1" x14ac:dyDescent="0.25"/>
    <row r="297055" customFormat="1" x14ac:dyDescent="0.25"/>
    <row r="297056" customFormat="1" x14ac:dyDescent="0.25"/>
    <row r="297057" customFormat="1" x14ac:dyDescent="0.25"/>
    <row r="297058" customFormat="1" x14ac:dyDescent="0.25"/>
    <row r="297059" customFormat="1" x14ac:dyDescent="0.25"/>
    <row r="297060" customFormat="1" x14ac:dyDescent="0.25"/>
    <row r="297061" customFormat="1" x14ac:dyDescent="0.25"/>
    <row r="297062" customFormat="1" x14ac:dyDescent="0.25"/>
    <row r="297063" customFormat="1" x14ac:dyDescent="0.25"/>
    <row r="297064" customFormat="1" x14ac:dyDescent="0.25"/>
    <row r="297065" customFormat="1" x14ac:dyDescent="0.25"/>
    <row r="297066" customFormat="1" x14ac:dyDescent="0.25"/>
    <row r="297067" customFormat="1" x14ac:dyDescent="0.25"/>
    <row r="297068" customFormat="1" x14ac:dyDescent="0.25"/>
    <row r="297069" customFormat="1" x14ac:dyDescent="0.25"/>
    <row r="297070" customFormat="1" x14ac:dyDescent="0.25"/>
    <row r="297071" customFormat="1" x14ac:dyDescent="0.25"/>
    <row r="297072" customFormat="1" x14ac:dyDescent="0.25"/>
    <row r="297073" customFormat="1" x14ac:dyDescent="0.25"/>
    <row r="297074" customFormat="1" x14ac:dyDescent="0.25"/>
    <row r="297075" customFormat="1" x14ac:dyDescent="0.25"/>
    <row r="297076" customFormat="1" x14ac:dyDescent="0.25"/>
    <row r="297077" customFormat="1" x14ac:dyDescent="0.25"/>
    <row r="297078" customFormat="1" x14ac:dyDescent="0.25"/>
    <row r="297079" customFormat="1" x14ac:dyDescent="0.25"/>
    <row r="297080" customFormat="1" x14ac:dyDescent="0.25"/>
    <row r="297081" customFormat="1" x14ac:dyDescent="0.25"/>
    <row r="297082" customFormat="1" x14ac:dyDescent="0.25"/>
    <row r="297083" customFormat="1" x14ac:dyDescent="0.25"/>
    <row r="297084" customFormat="1" x14ac:dyDescent="0.25"/>
    <row r="297085" customFormat="1" x14ac:dyDescent="0.25"/>
    <row r="297086" customFormat="1" x14ac:dyDescent="0.25"/>
    <row r="297087" customFormat="1" x14ac:dyDescent="0.25"/>
    <row r="297088" customFormat="1" x14ac:dyDescent="0.25"/>
    <row r="297089" customFormat="1" x14ac:dyDescent="0.25"/>
    <row r="297090" customFormat="1" x14ac:dyDescent="0.25"/>
    <row r="297091" customFormat="1" x14ac:dyDescent="0.25"/>
    <row r="297092" customFormat="1" x14ac:dyDescent="0.25"/>
    <row r="297093" customFormat="1" x14ac:dyDescent="0.25"/>
    <row r="297094" customFormat="1" x14ac:dyDescent="0.25"/>
    <row r="297095" customFormat="1" x14ac:dyDescent="0.25"/>
    <row r="297096" customFormat="1" x14ac:dyDescent="0.25"/>
    <row r="297097" customFormat="1" x14ac:dyDescent="0.25"/>
    <row r="297098" customFormat="1" x14ac:dyDescent="0.25"/>
    <row r="297099" customFormat="1" x14ac:dyDescent="0.25"/>
    <row r="297100" customFormat="1" x14ac:dyDescent="0.25"/>
    <row r="297101" customFormat="1" x14ac:dyDescent="0.25"/>
    <row r="297102" customFormat="1" x14ac:dyDescent="0.25"/>
    <row r="297103" customFormat="1" x14ac:dyDescent="0.25"/>
    <row r="297104" customFormat="1" x14ac:dyDescent="0.25"/>
    <row r="297105" customFormat="1" x14ac:dyDescent="0.25"/>
    <row r="297106" customFormat="1" x14ac:dyDescent="0.25"/>
    <row r="297107" customFormat="1" x14ac:dyDescent="0.25"/>
    <row r="297108" customFormat="1" x14ac:dyDescent="0.25"/>
    <row r="297109" customFormat="1" x14ac:dyDescent="0.25"/>
    <row r="297110" customFormat="1" x14ac:dyDescent="0.25"/>
    <row r="297111" customFormat="1" x14ac:dyDescent="0.25"/>
    <row r="297112" customFormat="1" x14ac:dyDescent="0.25"/>
    <row r="297113" customFormat="1" x14ac:dyDescent="0.25"/>
    <row r="297114" customFormat="1" x14ac:dyDescent="0.25"/>
    <row r="297115" customFormat="1" x14ac:dyDescent="0.25"/>
    <row r="297116" customFormat="1" x14ac:dyDescent="0.25"/>
    <row r="297117" customFormat="1" x14ac:dyDescent="0.25"/>
    <row r="297118" customFormat="1" x14ac:dyDescent="0.25"/>
    <row r="297119" customFormat="1" x14ac:dyDescent="0.25"/>
    <row r="297120" customFormat="1" x14ac:dyDescent="0.25"/>
    <row r="297121" customFormat="1" x14ac:dyDescent="0.25"/>
    <row r="297122" customFormat="1" x14ac:dyDescent="0.25"/>
    <row r="297123" customFormat="1" x14ac:dyDescent="0.25"/>
    <row r="297124" customFormat="1" x14ac:dyDescent="0.25"/>
    <row r="297125" customFormat="1" x14ac:dyDescent="0.25"/>
    <row r="297126" customFormat="1" x14ac:dyDescent="0.25"/>
    <row r="297127" customFormat="1" x14ac:dyDescent="0.25"/>
    <row r="297128" customFormat="1" x14ac:dyDescent="0.25"/>
    <row r="297129" customFormat="1" x14ac:dyDescent="0.25"/>
    <row r="297130" customFormat="1" x14ac:dyDescent="0.25"/>
    <row r="297131" customFormat="1" x14ac:dyDescent="0.25"/>
    <row r="297132" customFormat="1" x14ac:dyDescent="0.25"/>
    <row r="297133" customFormat="1" x14ac:dyDescent="0.25"/>
    <row r="297134" customFormat="1" x14ac:dyDescent="0.25"/>
    <row r="297135" customFormat="1" x14ac:dyDescent="0.25"/>
    <row r="297136" customFormat="1" x14ac:dyDescent="0.25"/>
    <row r="297137" customFormat="1" x14ac:dyDescent="0.25"/>
    <row r="297138" customFormat="1" x14ac:dyDescent="0.25"/>
    <row r="297139" customFormat="1" x14ac:dyDescent="0.25"/>
    <row r="297140" customFormat="1" x14ac:dyDescent="0.25"/>
    <row r="297141" customFormat="1" x14ac:dyDescent="0.25"/>
    <row r="297142" customFormat="1" x14ac:dyDescent="0.25"/>
    <row r="297143" customFormat="1" x14ac:dyDescent="0.25"/>
    <row r="297144" customFormat="1" x14ac:dyDescent="0.25"/>
    <row r="297145" customFormat="1" x14ac:dyDescent="0.25"/>
    <row r="297146" customFormat="1" x14ac:dyDescent="0.25"/>
    <row r="297147" customFormat="1" x14ac:dyDescent="0.25"/>
    <row r="297148" customFormat="1" x14ac:dyDescent="0.25"/>
    <row r="297149" customFormat="1" x14ac:dyDescent="0.25"/>
    <row r="297150" customFormat="1" x14ac:dyDescent="0.25"/>
    <row r="297151" customFormat="1" x14ac:dyDescent="0.25"/>
    <row r="297152" customFormat="1" x14ac:dyDescent="0.25"/>
    <row r="297153" customFormat="1" x14ac:dyDescent="0.25"/>
    <row r="297154" customFormat="1" x14ac:dyDescent="0.25"/>
    <row r="297155" customFormat="1" x14ac:dyDescent="0.25"/>
    <row r="297156" customFormat="1" x14ac:dyDescent="0.25"/>
    <row r="297157" customFormat="1" x14ac:dyDescent="0.25"/>
    <row r="297158" customFormat="1" x14ac:dyDescent="0.25"/>
    <row r="297159" customFormat="1" x14ac:dyDescent="0.25"/>
    <row r="297160" customFormat="1" x14ac:dyDescent="0.25"/>
    <row r="297161" customFormat="1" x14ac:dyDescent="0.25"/>
    <row r="297162" customFormat="1" x14ac:dyDescent="0.25"/>
    <row r="297163" customFormat="1" x14ac:dyDescent="0.25"/>
    <row r="297164" customFormat="1" x14ac:dyDescent="0.25"/>
    <row r="297165" customFormat="1" x14ac:dyDescent="0.25"/>
    <row r="297166" customFormat="1" x14ac:dyDescent="0.25"/>
    <row r="297167" customFormat="1" x14ac:dyDescent="0.25"/>
    <row r="297168" customFormat="1" x14ac:dyDescent="0.25"/>
    <row r="297169" customFormat="1" x14ac:dyDescent="0.25"/>
    <row r="297170" customFormat="1" x14ac:dyDescent="0.25"/>
    <row r="297171" customFormat="1" x14ac:dyDescent="0.25"/>
    <row r="297172" customFormat="1" x14ac:dyDescent="0.25"/>
    <row r="297173" customFormat="1" x14ac:dyDescent="0.25"/>
    <row r="297174" customFormat="1" x14ac:dyDescent="0.25"/>
    <row r="297175" customFormat="1" x14ac:dyDescent="0.25"/>
    <row r="297176" customFormat="1" x14ac:dyDescent="0.25"/>
    <row r="297177" customFormat="1" x14ac:dyDescent="0.25"/>
    <row r="297178" customFormat="1" x14ac:dyDescent="0.25"/>
    <row r="297179" customFormat="1" x14ac:dyDescent="0.25"/>
    <row r="297180" customFormat="1" x14ac:dyDescent="0.25"/>
    <row r="297181" customFormat="1" x14ac:dyDescent="0.25"/>
    <row r="297182" customFormat="1" x14ac:dyDescent="0.25"/>
    <row r="297183" customFormat="1" x14ac:dyDescent="0.25"/>
    <row r="297184" customFormat="1" x14ac:dyDescent="0.25"/>
    <row r="297185" customFormat="1" x14ac:dyDescent="0.25"/>
    <row r="297186" customFormat="1" x14ac:dyDescent="0.25"/>
    <row r="297187" customFormat="1" x14ac:dyDescent="0.25"/>
    <row r="297188" customFormat="1" x14ac:dyDescent="0.25"/>
    <row r="297189" customFormat="1" x14ac:dyDescent="0.25"/>
    <row r="297190" customFormat="1" x14ac:dyDescent="0.25"/>
    <row r="297191" customFormat="1" x14ac:dyDescent="0.25"/>
    <row r="297192" customFormat="1" x14ac:dyDescent="0.25"/>
    <row r="297193" customFormat="1" x14ac:dyDescent="0.25"/>
    <row r="297194" customFormat="1" x14ac:dyDescent="0.25"/>
    <row r="297195" customFormat="1" x14ac:dyDescent="0.25"/>
    <row r="297196" customFormat="1" x14ac:dyDescent="0.25"/>
    <row r="297197" customFormat="1" x14ac:dyDescent="0.25"/>
    <row r="297198" customFormat="1" x14ac:dyDescent="0.25"/>
    <row r="297199" customFormat="1" x14ac:dyDescent="0.25"/>
    <row r="297200" customFormat="1" x14ac:dyDescent="0.25"/>
    <row r="297201" customFormat="1" x14ac:dyDescent="0.25"/>
    <row r="297202" customFormat="1" x14ac:dyDescent="0.25"/>
    <row r="297203" customFormat="1" x14ac:dyDescent="0.25"/>
    <row r="297204" customFormat="1" x14ac:dyDescent="0.25"/>
    <row r="297205" customFormat="1" x14ac:dyDescent="0.25"/>
    <row r="297206" customFormat="1" x14ac:dyDescent="0.25"/>
    <row r="297207" customFormat="1" x14ac:dyDescent="0.25"/>
    <row r="297208" customFormat="1" x14ac:dyDescent="0.25"/>
    <row r="297209" customFormat="1" x14ac:dyDescent="0.25"/>
    <row r="297210" customFormat="1" x14ac:dyDescent="0.25"/>
    <row r="297211" customFormat="1" x14ac:dyDescent="0.25"/>
    <row r="297212" customFormat="1" x14ac:dyDescent="0.25"/>
    <row r="297213" customFormat="1" x14ac:dyDescent="0.25"/>
    <row r="297214" customFormat="1" x14ac:dyDescent="0.25"/>
    <row r="297215" customFormat="1" x14ac:dyDescent="0.25"/>
    <row r="297216" customFormat="1" x14ac:dyDescent="0.25"/>
    <row r="297217" customFormat="1" x14ac:dyDescent="0.25"/>
    <row r="297218" customFormat="1" x14ac:dyDescent="0.25"/>
    <row r="297219" customFormat="1" x14ac:dyDescent="0.25"/>
    <row r="297220" customFormat="1" x14ac:dyDescent="0.25"/>
    <row r="297221" customFormat="1" x14ac:dyDescent="0.25"/>
    <row r="297222" customFormat="1" x14ac:dyDescent="0.25"/>
    <row r="297223" customFormat="1" x14ac:dyDescent="0.25"/>
    <row r="297224" customFormat="1" x14ac:dyDescent="0.25"/>
    <row r="297225" customFormat="1" x14ac:dyDescent="0.25"/>
    <row r="297226" customFormat="1" x14ac:dyDescent="0.25"/>
    <row r="297227" customFormat="1" x14ac:dyDescent="0.25"/>
    <row r="297228" customFormat="1" x14ac:dyDescent="0.25"/>
    <row r="297229" customFormat="1" x14ac:dyDescent="0.25"/>
    <row r="297230" customFormat="1" x14ac:dyDescent="0.25"/>
    <row r="297231" customFormat="1" x14ac:dyDescent="0.25"/>
    <row r="297232" customFormat="1" x14ac:dyDescent="0.25"/>
    <row r="297233" customFormat="1" x14ac:dyDescent="0.25"/>
    <row r="297234" customFormat="1" x14ac:dyDescent="0.25"/>
    <row r="297235" customFormat="1" x14ac:dyDescent="0.25"/>
    <row r="297236" customFormat="1" x14ac:dyDescent="0.25"/>
    <row r="297237" customFormat="1" x14ac:dyDescent="0.25"/>
    <row r="297238" customFormat="1" x14ac:dyDescent="0.25"/>
    <row r="297239" customFormat="1" x14ac:dyDescent="0.25"/>
    <row r="297240" customFormat="1" x14ac:dyDescent="0.25"/>
    <row r="297241" customFormat="1" x14ac:dyDescent="0.25"/>
    <row r="297242" customFormat="1" x14ac:dyDescent="0.25"/>
    <row r="297243" customFormat="1" x14ac:dyDescent="0.25"/>
    <row r="297244" customFormat="1" x14ac:dyDescent="0.25"/>
    <row r="297245" customFormat="1" x14ac:dyDescent="0.25"/>
    <row r="297246" customFormat="1" x14ac:dyDescent="0.25"/>
    <row r="297247" customFormat="1" x14ac:dyDescent="0.25"/>
    <row r="297248" customFormat="1" x14ac:dyDescent="0.25"/>
    <row r="297249" customFormat="1" x14ac:dyDescent="0.25"/>
    <row r="297250" customFormat="1" x14ac:dyDescent="0.25"/>
    <row r="297251" customFormat="1" x14ac:dyDescent="0.25"/>
    <row r="297252" customFormat="1" x14ac:dyDescent="0.25"/>
    <row r="297253" customFormat="1" x14ac:dyDescent="0.25"/>
    <row r="297254" customFormat="1" x14ac:dyDescent="0.25"/>
    <row r="297255" customFormat="1" x14ac:dyDescent="0.25"/>
    <row r="297256" customFormat="1" x14ac:dyDescent="0.25"/>
    <row r="297257" customFormat="1" x14ac:dyDescent="0.25"/>
    <row r="297258" customFormat="1" x14ac:dyDescent="0.25"/>
    <row r="297259" customFormat="1" x14ac:dyDescent="0.25"/>
    <row r="297260" customFormat="1" x14ac:dyDescent="0.25"/>
    <row r="297261" customFormat="1" x14ac:dyDescent="0.25"/>
    <row r="297262" customFormat="1" x14ac:dyDescent="0.25"/>
    <row r="297263" customFormat="1" x14ac:dyDescent="0.25"/>
    <row r="297264" customFormat="1" x14ac:dyDescent="0.25"/>
    <row r="297265" customFormat="1" x14ac:dyDescent="0.25"/>
    <row r="297266" customFormat="1" x14ac:dyDescent="0.25"/>
    <row r="297267" customFormat="1" x14ac:dyDescent="0.25"/>
    <row r="297268" customFormat="1" x14ac:dyDescent="0.25"/>
    <row r="297269" customFormat="1" x14ac:dyDescent="0.25"/>
    <row r="297270" customFormat="1" x14ac:dyDescent="0.25"/>
    <row r="297271" customFormat="1" x14ac:dyDescent="0.25"/>
    <row r="297272" customFormat="1" x14ac:dyDescent="0.25"/>
    <row r="297273" customFormat="1" x14ac:dyDescent="0.25"/>
    <row r="297274" customFormat="1" x14ac:dyDescent="0.25"/>
    <row r="297275" customFormat="1" x14ac:dyDescent="0.25"/>
    <row r="297276" customFormat="1" x14ac:dyDescent="0.25"/>
    <row r="297277" customFormat="1" x14ac:dyDescent="0.25"/>
    <row r="297278" customFormat="1" x14ac:dyDescent="0.25"/>
    <row r="297279" customFormat="1" x14ac:dyDescent="0.25"/>
    <row r="297280" customFormat="1" x14ac:dyDescent="0.25"/>
    <row r="297281" customFormat="1" x14ac:dyDescent="0.25"/>
    <row r="297282" customFormat="1" x14ac:dyDescent="0.25"/>
    <row r="297283" customFormat="1" x14ac:dyDescent="0.25"/>
    <row r="297284" customFormat="1" x14ac:dyDescent="0.25"/>
    <row r="297285" customFormat="1" x14ac:dyDescent="0.25"/>
    <row r="297286" customFormat="1" x14ac:dyDescent="0.25"/>
    <row r="297287" customFormat="1" x14ac:dyDescent="0.25"/>
    <row r="297288" customFormat="1" x14ac:dyDescent="0.25"/>
    <row r="297289" customFormat="1" x14ac:dyDescent="0.25"/>
    <row r="297290" customFormat="1" x14ac:dyDescent="0.25"/>
    <row r="297291" customFormat="1" x14ac:dyDescent="0.25"/>
    <row r="297292" customFormat="1" x14ac:dyDescent="0.25"/>
    <row r="297293" customFormat="1" x14ac:dyDescent="0.25"/>
    <row r="297294" customFormat="1" x14ac:dyDescent="0.25"/>
    <row r="297295" customFormat="1" x14ac:dyDescent="0.25"/>
    <row r="297296" customFormat="1" x14ac:dyDescent="0.25"/>
    <row r="297297" customFormat="1" x14ac:dyDescent="0.25"/>
    <row r="297298" customFormat="1" x14ac:dyDescent="0.25"/>
    <row r="297299" customFormat="1" x14ac:dyDescent="0.25"/>
    <row r="297300" customFormat="1" x14ac:dyDescent="0.25"/>
    <row r="297301" customFormat="1" x14ac:dyDescent="0.25"/>
    <row r="297302" customFormat="1" x14ac:dyDescent="0.25"/>
    <row r="297303" customFormat="1" x14ac:dyDescent="0.25"/>
    <row r="297304" customFormat="1" x14ac:dyDescent="0.25"/>
    <row r="297305" customFormat="1" x14ac:dyDescent="0.25"/>
    <row r="297306" customFormat="1" x14ac:dyDescent="0.25"/>
    <row r="297307" customFormat="1" x14ac:dyDescent="0.25"/>
    <row r="297308" customFormat="1" x14ac:dyDescent="0.25"/>
    <row r="297309" customFormat="1" x14ac:dyDescent="0.25"/>
    <row r="297310" customFormat="1" x14ac:dyDescent="0.25"/>
    <row r="297311" customFormat="1" x14ac:dyDescent="0.25"/>
    <row r="297312" customFormat="1" x14ac:dyDescent="0.25"/>
    <row r="297313" customFormat="1" x14ac:dyDescent="0.25"/>
    <row r="297314" customFormat="1" x14ac:dyDescent="0.25"/>
    <row r="297315" customFormat="1" x14ac:dyDescent="0.25"/>
    <row r="297316" customFormat="1" x14ac:dyDescent="0.25"/>
    <row r="297317" customFormat="1" x14ac:dyDescent="0.25"/>
    <row r="297318" customFormat="1" x14ac:dyDescent="0.25"/>
    <row r="297319" customFormat="1" x14ac:dyDescent="0.25"/>
    <row r="297320" customFormat="1" x14ac:dyDescent="0.25"/>
    <row r="297321" customFormat="1" x14ac:dyDescent="0.25"/>
    <row r="297322" customFormat="1" x14ac:dyDescent="0.25"/>
    <row r="297323" customFormat="1" x14ac:dyDescent="0.25"/>
    <row r="297324" customFormat="1" x14ac:dyDescent="0.25"/>
    <row r="297325" customFormat="1" x14ac:dyDescent="0.25"/>
    <row r="297326" customFormat="1" x14ac:dyDescent="0.25"/>
    <row r="297327" customFormat="1" x14ac:dyDescent="0.25"/>
    <row r="297328" customFormat="1" x14ac:dyDescent="0.25"/>
    <row r="297329" customFormat="1" x14ac:dyDescent="0.25"/>
    <row r="297330" customFormat="1" x14ac:dyDescent="0.25"/>
    <row r="297331" customFormat="1" x14ac:dyDescent="0.25"/>
    <row r="297332" customFormat="1" x14ac:dyDescent="0.25"/>
    <row r="297333" customFormat="1" x14ac:dyDescent="0.25"/>
    <row r="297334" customFormat="1" x14ac:dyDescent="0.25"/>
    <row r="297335" customFormat="1" x14ac:dyDescent="0.25"/>
    <row r="297336" customFormat="1" x14ac:dyDescent="0.25"/>
    <row r="297337" customFormat="1" x14ac:dyDescent="0.25"/>
    <row r="297338" customFormat="1" x14ac:dyDescent="0.25"/>
    <row r="297339" customFormat="1" x14ac:dyDescent="0.25"/>
    <row r="297340" customFormat="1" x14ac:dyDescent="0.25"/>
    <row r="297341" customFormat="1" x14ac:dyDescent="0.25"/>
    <row r="297342" customFormat="1" x14ac:dyDescent="0.25"/>
    <row r="297343" customFormat="1" x14ac:dyDescent="0.25"/>
    <row r="297344" customFormat="1" x14ac:dyDescent="0.25"/>
    <row r="297345" customFormat="1" x14ac:dyDescent="0.25"/>
    <row r="297346" customFormat="1" x14ac:dyDescent="0.25"/>
    <row r="297347" customFormat="1" x14ac:dyDescent="0.25"/>
    <row r="297348" customFormat="1" x14ac:dyDescent="0.25"/>
    <row r="297349" customFormat="1" x14ac:dyDescent="0.25"/>
    <row r="297350" customFormat="1" x14ac:dyDescent="0.25"/>
    <row r="297351" customFormat="1" x14ac:dyDescent="0.25"/>
    <row r="297352" customFormat="1" x14ac:dyDescent="0.25"/>
    <row r="297353" customFormat="1" x14ac:dyDescent="0.25"/>
    <row r="297354" customFormat="1" x14ac:dyDescent="0.25"/>
    <row r="297355" customFormat="1" x14ac:dyDescent="0.25"/>
    <row r="297356" customFormat="1" x14ac:dyDescent="0.25"/>
    <row r="297357" customFormat="1" x14ac:dyDescent="0.25"/>
    <row r="297358" customFormat="1" x14ac:dyDescent="0.25"/>
    <row r="297359" customFormat="1" x14ac:dyDescent="0.25"/>
    <row r="297360" customFormat="1" x14ac:dyDescent="0.25"/>
    <row r="297361" customFormat="1" x14ac:dyDescent="0.25"/>
    <row r="297362" customFormat="1" x14ac:dyDescent="0.25"/>
    <row r="297363" customFormat="1" x14ac:dyDescent="0.25"/>
    <row r="297364" customFormat="1" x14ac:dyDescent="0.25"/>
    <row r="297365" customFormat="1" x14ac:dyDescent="0.25"/>
    <row r="297366" customFormat="1" x14ac:dyDescent="0.25"/>
    <row r="297367" customFormat="1" x14ac:dyDescent="0.25"/>
    <row r="297368" customFormat="1" x14ac:dyDescent="0.25"/>
    <row r="297369" customFormat="1" x14ac:dyDescent="0.25"/>
    <row r="297370" customFormat="1" x14ac:dyDescent="0.25"/>
    <row r="297371" customFormat="1" x14ac:dyDescent="0.25"/>
    <row r="297372" customFormat="1" x14ac:dyDescent="0.25"/>
    <row r="297373" customFormat="1" x14ac:dyDescent="0.25"/>
    <row r="297374" customFormat="1" x14ac:dyDescent="0.25"/>
    <row r="297375" customFormat="1" x14ac:dyDescent="0.25"/>
    <row r="297376" customFormat="1" x14ac:dyDescent="0.25"/>
    <row r="297377" customFormat="1" x14ac:dyDescent="0.25"/>
    <row r="297378" customFormat="1" x14ac:dyDescent="0.25"/>
    <row r="297379" customFormat="1" x14ac:dyDescent="0.25"/>
    <row r="297380" customFormat="1" x14ac:dyDescent="0.25"/>
    <row r="297381" customFormat="1" x14ac:dyDescent="0.25"/>
    <row r="297382" customFormat="1" x14ac:dyDescent="0.25"/>
    <row r="297383" customFormat="1" x14ac:dyDescent="0.25"/>
    <row r="297384" customFormat="1" x14ac:dyDescent="0.25"/>
    <row r="297385" customFormat="1" x14ac:dyDescent="0.25"/>
    <row r="297386" customFormat="1" x14ac:dyDescent="0.25"/>
    <row r="297387" customFormat="1" x14ac:dyDescent="0.25"/>
    <row r="297388" customFormat="1" x14ac:dyDescent="0.25"/>
    <row r="297389" customFormat="1" x14ac:dyDescent="0.25"/>
    <row r="297390" customFormat="1" x14ac:dyDescent="0.25"/>
    <row r="297391" customFormat="1" x14ac:dyDescent="0.25"/>
    <row r="297392" customFormat="1" x14ac:dyDescent="0.25"/>
    <row r="297393" customFormat="1" x14ac:dyDescent="0.25"/>
    <row r="297394" customFormat="1" x14ac:dyDescent="0.25"/>
    <row r="297395" customFormat="1" x14ac:dyDescent="0.25"/>
    <row r="297396" customFormat="1" x14ac:dyDescent="0.25"/>
    <row r="297397" customFormat="1" x14ac:dyDescent="0.25"/>
    <row r="297398" customFormat="1" x14ac:dyDescent="0.25"/>
    <row r="297399" customFormat="1" x14ac:dyDescent="0.25"/>
    <row r="297400" customFormat="1" x14ac:dyDescent="0.25"/>
    <row r="297401" customFormat="1" x14ac:dyDescent="0.25"/>
    <row r="297402" customFormat="1" x14ac:dyDescent="0.25"/>
    <row r="297403" customFormat="1" x14ac:dyDescent="0.25"/>
    <row r="297404" customFormat="1" x14ac:dyDescent="0.25"/>
    <row r="297405" customFormat="1" x14ac:dyDescent="0.25"/>
    <row r="297406" customFormat="1" x14ac:dyDescent="0.25"/>
    <row r="297407" customFormat="1" x14ac:dyDescent="0.25"/>
    <row r="297408" customFormat="1" x14ac:dyDescent="0.25"/>
    <row r="297409" customFormat="1" x14ac:dyDescent="0.25"/>
    <row r="297410" customFormat="1" x14ac:dyDescent="0.25"/>
    <row r="297411" customFormat="1" x14ac:dyDescent="0.25"/>
    <row r="297412" customFormat="1" x14ac:dyDescent="0.25"/>
    <row r="297413" customFormat="1" x14ac:dyDescent="0.25"/>
    <row r="297414" customFormat="1" x14ac:dyDescent="0.25"/>
    <row r="297415" customFormat="1" x14ac:dyDescent="0.25"/>
    <row r="297416" customFormat="1" x14ac:dyDescent="0.25"/>
    <row r="297417" customFormat="1" x14ac:dyDescent="0.25"/>
    <row r="297418" customFormat="1" x14ac:dyDescent="0.25"/>
    <row r="297419" customFormat="1" x14ac:dyDescent="0.25"/>
    <row r="297420" customFormat="1" x14ac:dyDescent="0.25"/>
    <row r="297421" customFormat="1" x14ac:dyDescent="0.25"/>
    <row r="297422" customFormat="1" x14ac:dyDescent="0.25"/>
    <row r="297423" customFormat="1" x14ac:dyDescent="0.25"/>
    <row r="297424" customFormat="1" x14ac:dyDescent="0.25"/>
    <row r="297425" customFormat="1" x14ac:dyDescent="0.25"/>
    <row r="297426" customFormat="1" x14ac:dyDescent="0.25"/>
    <row r="297427" customFormat="1" x14ac:dyDescent="0.25"/>
    <row r="297428" customFormat="1" x14ac:dyDescent="0.25"/>
    <row r="297429" customFormat="1" x14ac:dyDescent="0.25"/>
    <row r="297430" customFormat="1" x14ac:dyDescent="0.25"/>
    <row r="297431" customFormat="1" x14ac:dyDescent="0.25"/>
    <row r="297432" customFormat="1" x14ac:dyDescent="0.25"/>
    <row r="297433" customFormat="1" x14ac:dyDescent="0.25"/>
    <row r="297434" customFormat="1" x14ac:dyDescent="0.25"/>
    <row r="297435" customFormat="1" x14ac:dyDescent="0.25"/>
    <row r="297436" customFormat="1" x14ac:dyDescent="0.25"/>
    <row r="297437" customFormat="1" x14ac:dyDescent="0.25"/>
    <row r="297438" customFormat="1" x14ac:dyDescent="0.25"/>
    <row r="297439" customFormat="1" x14ac:dyDescent="0.25"/>
    <row r="297440" customFormat="1" x14ac:dyDescent="0.25"/>
    <row r="297441" customFormat="1" x14ac:dyDescent="0.25"/>
    <row r="297442" customFormat="1" x14ac:dyDescent="0.25"/>
    <row r="297443" customFormat="1" x14ac:dyDescent="0.25"/>
    <row r="297444" customFormat="1" x14ac:dyDescent="0.25"/>
    <row r="297445" customFormat="1" x14ac:dyDescent="0.25"/>
    <row r="297446" customFormat="1" x14ac:dyDescent="0.25"/>
    <row r="297447" customFormat="1" x14ac:dyDescent="0.25"/>
    <row r="297448" customFormat="1" x14ac:dyDescent="0.25"/>
    <row r="297449" customFormat="1" x14ac:dyDescent="0.25"/>
    <row r="297450" customFormat="1" x14ac:dyDescent="0.25"/>
    <row r="297451" customFormat="1" x14ac:dyDescent="0.25"/>
    <row r="297452" customFormat="1" x14ac:dyDescent="0.25"/>
    <row r="297453" customFormat="1" x14ac:dyDescent="0.25"/>
    <row r="297454" customFormat="1" x14ac:dyDescent="0.25"/>
    <row r="297455" customFormat="1" x14ac:dyDescent="0.25"/>
    <row r="297456" customFormat="1" x14ac:dyDescent="0.25"/>
    <row r="297457" customFormat="1" x14ac:dyDescent="0.25"/>
    <row r="297458" customFormat="1" x14ac:dyDescent="0.25"/>
    <row r="297459" customFormat="1" x14ac:dyDescent="0.25"/>
    <row r="297460" customFormat="1" x14ac:dyDescent="0.25"/>
    <row r="297461" customFormat="1" x14ac:dyDescent="0.25"/>
    <row r="297462" customFormat="1" x14ac:dyDescent="0.25"/>
    <row r="297463" customFormat="1" x14ac:dyDescent="0.25"/>
    <row r="297464" customFormat="1" x14ac:dyDescent="0.25"/>
    <row r="297465" customFormat="1" x14ac:dyDescent="0.25"/>
    <row r="297466" customFormat="1" x14ac:dyDescent="0.25"/>
    <row r="297467" customFormat="1" x14ac:dyDescent="0.25"/>
    <row r="297468" customFormat="1" x14ac:dyDescent="0.25"/>
    <row r="297469" customFormat="1" x14ac:dyDescent="0.25"/>
    <row r="297470" customFormat="1" x14ac:dyDescent="0.25"/>
    <row r="297471" customFormat="1" x14ac:dyDescent="0.25"/>
    <row r="297472" customFormat="1" x14ac:dyDescent="0.25"/>
    <row r="297473" customFormat="1" x14ac:dyDescent="0.25"/>
    <row r="297474" customFormat="1" x14ac:dyDescent="0.25"/>
    <row r="297475" customFormat="1" x14ac:dyDescent="0.25"/>
    <row r="297476" customFormat="1" x14ac:dyDescent="0.25"/>
    <row r="297477" customFormat="1" x14ac:dyDescent="0.25"/>
    <row r="297478" customFormat="1" x14ac:dyDescent="0.25"/>
    <row r="297479" customFormat="1" x14ac:dyDescent="0.25"/>
    <row r="297480" customFormat="1" x14ac:dyDescent="0.25"/>
    <row r="297481" customFormat="1" x14ac:dyDescent="0.25"/>
    <row r="297482" customFormat="1" x14ac:dyDescent="0.25"/>
    <row r="297483" customFormat="1" x14ac:dyDescent="0.25"/>
    <row r="297484" customFormat="1" x14ac:dyDescent="0.25"/>
    <row r="297485" customFormat="1" x14ac:dyDescent="0.25"/>
    <row r="297486" customFormat="1" x14ac:dyDescent="0.25"/>
    <row r="297487" customFormat="1" x14ac:dyDescent="0.25"/>
    <row r="297488" customFormat="1" x14ac:dyDescent="0.25"/>
    <row r="297489" customFormat="1" x14ac:dyDescent="0.25"/>
    <row r="297490" customFormat="1" x14ac:dyDescent="0.25"/>
    <row r="297491" customFormat="1" x14ac:dyDescent="0.25"/>
    <row r="297492" customFormat="1" x14ac:dyDescent="0.25"/>
    <row r="297493" customFormat="1" x14ac:dyDescent="0.25"/>
    <row r="297494" customFormat="1" x14ac:dyDescent="0.25"/>
    <row r="297495" customFormat="1" x14ac:dyDescent="0.25"/>
    <row r="297496" customFormat="1" x14ac:dyDescent="0.25"/>
    <row r="297497" customFormat="1" x14ac:dyDescent="0.25"/>
    <row r="297498" customFormat="1" x14ac:dyDescent="0.25"/>
    <row r="297499" customFormat="1" x14ac:dyDescent="0.25"/>
    <row r="297500" customFormat="1" x14ac:dyDescent="0.25"/>
    <row r="297501" customFormat="1" x14ac:dyDescent="0.25"/>
    <row r="297502" customFormat="1" x14ac:dyDescent="0.25"/>
    <row r="297503" customFormat="1" x14ac:dyDescent="0.25"/>
    <row r="297504" customFormat="1" x14ac:dyDescent="0.25"/>
    <row r="297505" customFormat="1" x14ac:dyDescent="0.25"/>
    <row r="297506" customFormat="1" x14ac:dyDescent="0.25"/>
    <row r="297507" customFormat="1" x14ac:dyDescent="0.25"/>
    <row r="297508" customFormat="1" x14ac:dyDescent="0.25"/>
    <row r="297509" customFormat="1" x14ac:dyDescent="0.25"/>
    <row r="297510" customFormat="1" x14ac:dyDescent="0.25"/>
    <row r="297511" customFormat="1" x14ac:dyDescent="0.25"/>
    <row r="297512" customFormat="1" x14ac:dyDescent="0.25"/>
    <row r="297513" customFormat="1" x14ac:dyDescent="0.25"/>
    <row r="297514" customFormat="1" x14ac:dyDescent="0.25"/>
    <row r="297515" customFormat="1" x14ac:dyDescent="0.25"/>
    <row r="297516" customFormat="1" x14ac:dyDescent="0.25"/>
    <row r="297517" customFormat="1" x14ac:dyDescent="0.25"/>
    <row r="297518" customFormat="1" x14ac:dyDescent="0.25"/>
    <row r="297519" customFormat="1" x14ac:dyDescent="0.25"/>
    <row r="297520" customFormat="1" x14ac:dyDescent="0.25"/>
    <row r="297521" customFormat="1" x14ac:dyDescent="0.25"/>
    <row r="297522" customFormat="1" x14ac:dyDescent="0.25"/>
    <row r="297523" customFormat="1" x14ac:dyDescent="0.25"/>
    <row r="297524" customFormat="1" x14ac:dyDescent="0.25"/>
    <row r="297525" customFormat="1" x14ac:dyDescent="0.25"/>
    <row r="297526" customFormat="1" x14ac:dyDescent="0.25"/>
    <row r="297527" customFormat="1" x14ac:dyDescent="0.25"/>
    <row r="297528" customFormat="1" x14ac:dyDescent="0.25"/>
    <row r="297529" customFormat="1" x14ac:dyDescent="0.25"/>
    <row r="297530" customFormat="1" x14ac:dyDescent="0.25"/>
    <row r="297531" customFormat="1" x14ac:dyDescent="0.25"/>
    <row r="297532" customFormat="1" x14ac:dyDescent="0.25"/>
    <row r="297533" customFormat="1" x14ac:dyDescent="0.25"/>
    <row r="297534" customFormat="1" x14ac:dyDescent="0.25"/>
    <row r="297535" customFormat="1" x14ac:dyDescent="0.25"/>
    <row r="297536" customFormat="1" x14ac:dyDescent="0.25"/>
    <row r="297537" customFormat="1" x14ac:dyDescent="0.25"/>
    <row r="297538" customFormat="1" x14ac:dyDescent="0.25"/>
    <row r="297539" customFormat="1" x14ac:dyDescent="0.25"/>
    <row r="297540" customFormat="1" x14ac:dyDescent="0.25"/>
    <row r="297541" customFormat="1" x14ac:dyDescent="0.25"/>
    <row r="297542" customFormat="1" x14ac:dyDescent="0.25"/>
    <row r="297543" customFormat="1" x14ac:dyDescent="0.25"/>
    <row r="297544" customFormat="1" x14ac:dyDescent="0.25"/>
    <row r="297545" customFormat="1" x14ac:dyDescent="0.25"/>
    <row r="297546" customFormat="1" x14ac:dyDescent="0.25"/>
    <row r="297547" customFormat="1" x14ac:dyDescent="0.25"/>
    <row r="297548" customFormat="1" x14ac:dyDescent="0.25"/>
    <row r="297549" customFormat="1" x14ac:dyDescent="0.25"/>
    <row r="297550" customFormat="1" x14ac:dyDescent="0.25"/>
    <row r="297551" customFormat="1" x14ac:dyDescent="0.25"/>
    <row r="297552" customFormat="1" x14ac:dyDescent="0.25"/>
    <row r="297553" customFormat="1" x14ac:dyDescent="0.25"/>
    <row r="297554" customFormat="1" x14ac:dyDescent="0.25"/>
    <row r="297555" customFormat="1" x14ac:dyDescent="0.25"/>
    <row r="297556" customFormat="1" x14ac:dyDescent="0.25"/>
    <row r="297557" customFormat="1" x14ac:dyDescent="0.25"/>
    <row r="297558" customFormat="1" x14ac:dyDescent="0.25"/>
    <row r="297559" customFormat="1" x14ac:dyDescent="0.25"/>
    <row r="297560" customFormat="1" x14ac:dyDescent="0.25"/>
    <row r="297561" customFormat="1" x14ac:dyDescent="0.25"/>
    <row r="297562" customFormat="1" x14ac:dyDescent="0.25"/>
    <row r="297563" customFormat="1" x14ac:dyDescent="0.25"/>
    <row r="297564" customFormat="1" x14ac:dyDescent="0.25"/>
    <row r="297565" customFormat="1" x14ac:dyDescent="0.25"/>
    <row r="297566" customFormat="1" x14ac:dyDescent="0.25"/>
    <row r="297567" customFormat="1" x14ac:dyDescent="0.25"/>
    <row r="297568" customFormat="1" x14ac:dyDescent="0.25"/>
    <row r="297569" customFormat="1" x14ac:dyDescent="0.25"/>
    <row r="297570" customFormat="1" x14ac:dyDescent="0.25"/>
    <row r="297571" customFormat="1" x14ac:dyDescent="0.25"/>
    <row r="297572" customFormat="1" x14ac:dyDescent="0.25"/>
    <row r="297573" customFormat="1" x14ac:dyDescent="0.25"/>
    <row r="297574" customFormat="1" x14ac:dyDescent="0.25"/>
    <row r="297575" customFormat="1" x14ac:dyDescent="0.25"/>
    <row r="297576" customFormat="1" x14ac:dyDescent="0.25"/>
    <row r="297577" customFormat="1" x14ac:dyDescent="0.25"/>
    <row r="297578" customFormat="1" x14ac:dyDescent="0.25"/>
    <row r="297579" customFormat="1" x14ac:dyDescent="0.25"/>
    <row r="297580" customFormat="1" x14ac:dyDescent="0.25"/>
    <row r="297581" customFormat="1" x14ac:dyDescent="0.25"/>
    <row r="297582" customFormat="1" x14ac:dyDescent="0.25"/>
    <row r="297583" customFormat="1" x14ac:dyDescent="0.25"/>
    <row r="297584" customFormat="1" x14ac:dyDescent="0.25"/>
    <row r="297585" customFormat="1" x14ac:dyDescent="0.25"/>
    <row r="297586" customFormat="1" x14ac:dyDescent="0.25"/>
    <row r="297587" customFormat="1" x14ac:dyDescent="0.25"/>
    <row r="297588" customFormat="1" x14ac:dyDescent="0.25"/>
    <row r="297589" customFormat="1" x14ac:dyDescent="0.25"/>
    <row r="297590" customFormat="1" x14ac:dyDescent="0.25"/>
    <row r="297591" customFormat="1" x14ac:dyDescent="0.25"/>
    <row r="297592" customFormat="1" x14ac:dyDescent="0.25"/>
    <row r="297593" customFormat="1" x14ac:dyDescent="0.25"/>
    <row r="297594" customFormat="1" x14ac:dyDescent="0.25"/>
    <row r="297595" customFormat="1" x14ac:dyDescent="0.25"/>
    <row r="297596" customFormat="1" x14ac:dyDescent="0.25"/>
    <row r="297597" customFormat="1" x14ac:dyDescent="0.25"/>
    <row r="297598" customFormat="1" x14ac:dyDescent="0.25"/>
    <row r="297599" customFormat="1" x14ac:dyDescent="0.25"/>
    <row r="297600" customFormat="1" x14ac:dyDescent="0.25"/>
    <row r="297601" customFormat="1" x14ac:dyDescent="0.25"/>
    <row r="297602" customFormat="1" x14ac:dyDescent="0.25"/>
    <row r="297603" customFormat="1" x14ac:dyDescent="0.25"/>
    <row r="297604" customFormat="1" x14ac:dyDescent="0.25"/>
    <row r="297605" customFormat="1" x14ac:dyDescent="0.25"/>
    <row r="297606" customFormat="1" x14ac:dyDescent="0.25"/>
    <row r="297607" customFormat="1" x14ac:dyDescent="0.25"/>
    <row r="297608" customFormat="1" x14ac:dyDescent="0.25"/>
    <row r="297609" customFormat="1" x14ac:dyDescent="0.25"/>
    <row r="297610" customFormat="1" x14ac:dyDescent="0.25"/>
    <row r="297611" customFormat="1" x14ac:dyDescent="0.25"/>
    <row r="297612" customFormat="1" x14ac:dyDescent="0.25"/>
    <row r="297613" customFormat="1" x14ac:dyDescent="0.25"/>
    <row r="297614" customFormat="1" x14ac:dyDescent="0.25"/>
    <row r="297615" customFormat="1" x14ac:dyDescent="0.25"/>
    <row r="297616" customFormat="1" x14ac:dyDescent="0.25"/>
    <row r="297617" customFormat="1" x14ac:dyDescent="0.25"/>
    <row r="297618" customFormat="1" x14ac:dyDescent="0.25"/>
    <row r="297619" customFormat="1" x14ac:dyDescent="0.25"/>
    <row r="297620" customFormat="1" x14ac:dyDescent="0.25"/>
    <row r="297621" customFormat="1" x14ac:dyDescent="0.25"/>
    <row r="297622" customFormat="1" x14ac:dyDescent="0.25"/>
    <row r="297623" customFormat="1" x14ac:dyDescent="0.25"/>
    <row r="297624" customFormat="1" x14ac:dyDescent="0.25"/>
    <row r="297625" customFormat="1" x14ac:dyDescent="0.25"/>
    <row r="297626" customFormat="1" x14ac:dyDescent="0.25"/>
    <row r="297627" customFormat="1" x14ac:dyDescent="0.25"/>
    <row r="297628" customFormat="1" x14ac:dyDescent="0.25"/>
    <row r="297629" customFormat="1" x14ac:dyDescent="0.25"/>
    <row r="297630" customFormat="1" x14ac:dyDescent="0.25"/>
    <row r="297631" customFormat="1" x14ac:dyDescent="0.25"/>
    <row r="297632" customFormat="1" x14ac:dyDescent="0.25"/>
    <row r="297633" customFormat="1" x14ac:dyDescent="0.25"/>
    <row r="297634" customFormat="1" x14ac:dyDescent="0.25"/>
    <row r="297635" customFormat="1" x14ac:dyDescent="0.25"/>
    <row r="297636" customFormat="1" x14ac:dyDescent="0.25"/>
    <row r="297637" customFormat="1" x14ac:dyDescent="0.25"/>
    <row r="297638" customFormat="1" x14ac:dyDescent="0.25"/>
    <row r="297639" customFormat="1" x14ac:dyDescent="0.25"/>
    <row r="297640" customFormat="1" x14ac:dyDescent="0.25"/>
    <row r="297641" customFormat="1" x14ac:dyDescent="0.25"/>
    <row r="297642" customFormat="1" x14ac:dyDescent="0.25"/>
    <row r="297643" customFormat="1" x14ac:dyDescent="0.25"/>
    <row r="297644" customFormat="1" x14ac:dyDescent="0.25"/>
    <row r="297645" customFormat="1" x14ac:dyDescent="0.25"/>
    <row r="297646" customFormat="1" x14ac:dyDescent="0.25"/>
    <row r="297647" customFormat="1" x14ac:dyDescent="0.25"/>
    <row r="297648" customFormat="1" x14ac:dyDescent="0.25"/>
    <row r="297649" customFormat="1" x14ac:dyDescent="0.25"/>
    <row r="297650" customFormat="1" x14ac:dyDescent="0.25"/>
    <row r="297651" customFormat="1" x14ac:dyDescent="0.25"/>
    <row r="297652" customFormat="1" x14ac:dyDescent="0.25"/>
    <row r="297653" customFormat="1" x14ac:dyDescent="0.25"/>
    <row r="297654" customFormat="1" x14ac:dyDescent="0.25"/>
    <row r="297655" customFormat="1" x14ac:dyDescent="0.25"/>
    <row r="297656" customFormat="1" x14ac:dyDescent="0.25"/>
    <row r="297657" customFormat="1" x14ac:dyDescent="0.25"/>
    <row r="297658" customFormat="1" x14ac:dyDescent="0.25"/>
    <row r="297659" customFormat="1" x14ac:dyDescent="0.25"/>
    <row r="297660" customFormat="1" x14ac:dyDescent="0.25"/>
    <row r="297661" customFormat="1" x14ac:dyDescent="0.25"/>
    <row r="297662" customFormat="1" x14ac:dyDescent="0.25"/>
    <row r="297663" customFormat="1" x14ac:dyDescent="0.25"/>
    <row r="297664" customFormat="1" x14ac:dyDescent="0.25"/>
    <row r="297665" customFormat="1" x14ac:dyDescent="0.25"/>
    <row r="297666" customFormat="1" x14ac:dyDescent="0.25"/>
    <row r="297667" customFormat="1" x14ac:dyDescent="0.25"/>
    <row r="297668" customFormat="1" x14ac:dyDescent="0.25"/>
    <row r="297669" customFormat="1" x14ac:dyDescent="0.25"/>
    <row r="297670" customFormat="1" x14ac:dyDescent="0.25"/>
    <row r="297671" customFormat="1" x14ac:dyDescent="0.25"/>
    <row r="297672" customFormat="1" x14ac:dyDescent="0.25"/>
    <row r="297673" customFormat="1" x14ac:dyDescent="0.25"/>
    <row r="297674" customFormat="1" x14ac:dyDescent="0.25"/>
    <row r="297675" customFormat="1" x14ac:dyDescent="0.25"/>
    <row r="297676" customFormat="1" x14ac:dyDescent="0.25"/>
    <row r="297677" customFormat="1" x14ac:dyDescent="0.25"/>
    <row r="297678" customFormat="1" x14ac:dyDescent="0.25"/>
    <row r="297679" customFormat="1" x14ac:dyDescent="0.25"/>
    <row r="297680" customFormat="1" x14ac:dyDescent="0.25"/>
    <row r="297681" customFormat="1" x14ac:dyDescent="0.25"/>
    <row r="297682" customFormat="1" x14ac:dyDescent="0.25"/>
    <row r="297683" customFormat="1" x14ac:dyDescent="0.25"/>
    <row r="297684" customFormat="1" x14ac:dyDescent="0.25"/>
    <row r="297685" customFormat="1" x14ac:dyDescent="0.25"/>
    <row r="297686" customFormat="1" x14ac:dyDescent="0.25"/>
    <row r="297687" customFormat="1" x14ac:dyDescent="0.25"/>
    <row r="297688" customFormat="1" x14ac:dyDescent="0.25"/>
    <row r="297689" customFormat="1" x14ac:dyDescent="0.25"/>
    <row r="297690" customFormat="1" x14ac:dyDescent="0.25"/>
    <row r="297691" customFormat="1" x14ac:dyDescent="0.25"/>
    <row r="297692" customFormat="1" x14ac:dyDescent="0.25"/>
    <row r="297693" customFormat="1" x14ac:dyDescent="0.25"/>
    <row r="297694" customFormat="1" x14ac:dyDescent="0.25"/>
    <row r="297695" customFormat="1" x14ac:dyDescent="0.25"/>
    <row r="297696" customFormat="1" x14ac:dyDescent="0.25"/>
    <row r="297697" customFormat="1" x14ac:dyDescent="0.25"/>
    <row r="297698" customFormat="1" x14ac:dyDescent="0.25"/>
    <row r="297699" customFormat="1" x14ac:dyDescent="0.25"/>
    <row r="297700" customFormat="1" x14ac:dyDescent="0.25"/>
    <row r="297701" customFormat="1" x14ac:dyDescent="0.25"/>
    <row r="297702" customFormat="1" x14ac:dyDescent="0.25"/>
    <row r="297703" customFormat="1" x14ac:dyDescent="0.25"/>
    <row r="297704" customFormat="1" x14ac:dyDescent="0.25"/>
    <row r="297705" customFormat="1" x14ac:dyDescent="0.25"/>
    <row r="297706" customFormat="1" x14ac:dyDescent="0.25"/>
    <row r="297707" customFormat="1" x14ac:dyDescent="0.25"/>
    <row r="297708" customFormat="1" x14ac:dyDescent="0.25"/>
    <row r="297709" customFormat="1" x14ac:dyDescent="0.25"/>
    <row r="297710" customFormat="1" x14ac:dyDescent="0.25"/>
    <row r="297711" customFormat="1" x14ac:dyDescent="0.25"/>
    <row r="297712" customFormat="1" x14ac:dyDescent="0.25"/>
    <row r="297713" customFormat="1" x14ac:dyDescent="0.25"/>
    <row r="297714" customFormat="1" x14ac:dyDescent="0.25"/>
    <row r="297715" customFormat="1" x14ac:dyDescent="0.25"/>
    <row r="297716" customFormat="1" x14ac:dyDescent="0.25"/>
    <row r="297717" customFormat="1" x14ac:dyDescent="0.25"/>
    <row r="297718" customFormat="1" x14ac:dyDescent="0.25"/>
    <row r="297719" customFormat="1" x14ac:dyDescent="0.25"/>
    <row r="297720" customFormat="1" x14ac:dyDescent="0.25"/>
    <row r="297721" customFormat="1" x14ac:dyDescent="0.25"/>
    <row r="297722" customFormat="1" x14ac:dyDescent="0.25"/>
    <row r="297723" customFormat="1" x14ac:dyDescent="0.25"/>
    <row r="297724" customFormat="1" x14ac:dyDescent="0.25"/>
    <row r="297725" customFormat="1" x14ac:dyDescent="0.25"/>
    <row r="297726" customFormat="1" x14ac:dyDescent="0.25"/>
    <row r="297727" customFormat="1" x14ac:dyDescent="0.25"/>
    <row r="297728" customFormat="1" x14ac:dyDescent="0.25"/>
    <row r="297729" customFormat="1" x14ac:dyDescent="0.25"/>
    <row r="297730" customFormat="1" x14ac:dyDescent="0.25"/>
    <row r="297731" customFormat="1" x14ac:dyDescent="0.25"/>
    <row r="297732" customFormat="1" x14ac:dyDescent="0.25"/>
    <row r="297733" customFormat="1" x14ac:dyDescent="0.25"/>
    <row r="297734" customFormat="1" x14ac:dyDescent="0.25"/>
    <row r="297735" customFormat="1" x14ac:dyDescent="0.25"/>
    <row r="297736" customFormat="1" x14ac:dyDescent="0.25"/>
    <row r="297737" customFormat="1" x14ac:dyDescent="0.25"/>
    <row r="297738" customFormat="1" x14ac:dyDescent="0.25"/>
    <row r="297739" customFormat="1" x14ac:dyDescent="0.25"/>
    <row r="297740" customFormat="1" x14ac:dyDescent="0.25"/>
    <row r="297741" customFormat="1" x14ac:dyDescent="0.25"/>
    <row r="297742" customFormat="1" x14ac:dyDescent="0.25"/>
    <row r="297743" customFormat="1" x14ac:dyDescent="0.25"/>
    <row r="297744" customFormat="1" x14ac:dyDescent="0.25"/>
    <row r="297745" customFormat="1" x14ac:dyDescent="0.25"/>
    <row r="297746" customFormat="1" x14ac:dyDescent="0.25"/>
    <row r="297747" customFormat="1" x14ac:dyDescent="0.25"/>
    <row r="297748" customFormat="1" x14ac:dyDescent="0.25"/>
    <row r="297749" customFormat="1" x14ac:dyDescent="0.25"/>
    <row r="297750" customFormat="1" x14ac:dyDescent="0.25"/>
    <row r="297751" customFormat="1" x14ac:dyDescent="0.25"/>
    <row r="297752" customFormat="1" x14ac:dyDescent="0.25"/>
    <row r="297753" customFormat="1" x14ac:dyDescent="0.25"/>
    <row r="297754" customFormat="1" x14ac:dyDescent="0.25"/>
    <row r="297755" customFormat="1" x14ac:dyDescent="0.25"/>
    <row r="297756" customFormat="1" x14ac:dyDescent="0.25"/>
    <row r="297757" customFormat="1" x14ac:dyDescent="0.25"/>
    <row r="297758" customFormat="1" x14ac:dyDescent="0.25"/>
    <row r="297759" customFormat="1" x14ac:dyDescent="0.25"/>
    <row r="297760" customFormat="1" x14ac:dyDescent="0.25"/>
    <row r="297761" customFormat="1" x14ac:dyDescent="0.25"/>
    <row r="297762" customFormat="1" x14ac:dyDescent="0.25"/>
    <row r="297763" customFormat="1" x14ac:dyDescent="0.25"/>
    <row r="297764" customFormat="1" x14ac:dyDescent="0.25"/>
    <row r="297765" customFormat="1" x14ac:dyDescent="0.25"/>
    <row r="297766" customFormat="1" x14ac:dyDescent="0.25"/>
    <row r="297767" customFormat="1" x14ac:dyDescent="0.25"/>
    <row r="297768" customFormat="1" x14ac:dyDescent="0.25"/>
    <row r="297769" customFormat="1" x14ac:dyDescent="0.25"/>
    <row r="297770" customFormat="1" x14ac:dyDescent="0.25"/>
    <row r="297771" customFormat="1" x14ac:dyDescent="0.25"/>
    <row r="297772" customFormat="1" x14ac:dyDescent="0.25"/>
    <row r="297773" customFormat="1" x14ac:dyDescent="0.25"/>
    <row r="297774" customFormat="1" x14ac:dyDescent="0.25"/>
    <row r="297775" customFormat="1" x14ac:dyDescent="0.25"/>
    <row r="297776" customFormat="1" x14ac:dyDescent="0.25"/>
    <row r="297777" customFormat="1" x14ac:dyDescent="0.25"/>
    <row r="297778" customFormat="1" x14ac:dyDescent="0.25"/>
    <row r="297779" customFormat="1" x14ac:dyDescent="0.25"/>
    <row r="297780" customFormat="1" x14ac:dyDescent="0.25"/>
    <row r="297781" customFormat="1" x14ac:dyDescent="0.25"/>
    <row r="297782" customFormat="1" x14ac:dyDescent="0.25"/>
    <row r="297783" customFormat="1" x14ac:dyDescent="0.25"/>
    <row r="297784" customFormat="1" x14ac:dyDescent="0.25"/>
    <row r="297785" customFormat="1" x14ac:dyDescent="0.25"/>
    <row r="297786" customFormat="1" x14ac:dyDescent="0.25"/>
    <row r="297787" customFormat="1" x14ac:dyDescent="0.25"/>
    <row r="297788" customFormat="1" x14ac:dyDescent="0.25"/>
    <row r="297789" customFormat="1" x14ac:dyDescent="0.25"/>
    <row r="297790" customFormat="1" x14ac:dyDescent="0.25"/>
    <row r="297791" customFormat="1" x14ac:dyDescent="0.25"/>
    <row r="297792" customFormat="1" x14ac:dyDescent="0.25"/>
    <row r="297793" customFormat="1" x14ac:dyDescent="0.25"/>
    <row r="297794" customFormat="1" x14ac:dyDescent="0.25"/>
    <row r="297795" customFormat="1" x14ac:dyDescent="0.25"/>
    <row r="297796" customFormat="1" x14ac:dyDescent="0.25"/>
    <row r="297797" customFormat="1" x14ac:dyDescent="0.25"/>
    <row r="297798" customFormat="1" x14ac:dyDescent="0.25"/>
    <row r="297799" customFormat="1" x14ac:dyDescent="0.25"/>
    <row r="297800" customFormat="1" x14ac:dyDescent="0.25"/>
    <row r="297801" customFormat="1" x14ac:dyDescent="0.25"/>
    <row r="297802" customFormat="1" x14ac:dyDescent="0.25"/>
    <row r="297803" customFormat="1" x14ac:dyDescent="0.25"/>
    <row r="297804" customFormat="1" x14ac:dyDescent="0.25"/>
    <row r="297805" customFormat="1" x14ac:dyDescent="0.25"/>
    <row r="297806" customFormat="1" x14ac:dyDescent="0.25"/>
    <row r="297807" customFormat="1" x14ac:dyDescent="0.25"/>
    <row r="297808" customFormat="1" x14ac:dyDescent="0.25"/>
    <row r="297809" customFormat="1" x14ac:dyDescent="0.25"/>
    <row r="297810" customFormat="1" x14ac:dyDescent="0.25"/>
    <row r="297811" customFormat="1" x14ac:dyDescent="0.25"/>
    <row r="297812" customFormat="1" x14ac:dyDescent="0.25"/>
    <row r="297813" customFormat="1" x14ac:dyDescent="0.25"/>
    <row r="297814" customFormat="1" x14ac:dyDescent="0.25"/>
    <row r="297815" customFormat="1" x14ac:dyDescent="0.25"/>
    <row r="297816" customFormat="1" x14ac:dyDescent="0.25"/>
    <row r="297817" customFormat="1" x14ac:dyDescent="0.25"/>
    <row r="297818" customFormat="1" x14ac:dyDescent="0.25"/>
    <row r="297819" customFormat="1" x14ac:dyDescent="0.25"/>
    <row r="297820" customFormat="1" x14ac:dyDescent="0.25"/>
    <row r="297821" customFormat="1" x14ac:dyDescent="0.25"/>
    <row r="297822" customFormat="1" x14ac:dyDescent="0.25"/>
    <row r="297823" customFormat="1" x14ac:dyDescent="0.25"/>
    <row r="297824" customFormat="1" x14ac:dyDescent="0.25"/>
    <row r="297825" customFormat="1" x14ac:dyDescent="0.25"/>
    <row r="297826" customFormat="1" x14ac:dyDescent="0.25"/>
    <row r="297827" customFormat="1" x14ac:dyDescent="0.25"/>
    <row r="297828" customFormat="1" x14ac:dyDescent="0.25"/>
    <row r="297829" customFormat="1" x14ac:dyDescent="0.25"/>
    <row r="297830" customFormat="1" x14ac:dyDescent="0.25"/>
    <row r="297831" customFormat="1" x14ac:dyDescent="0.25"/>
    <row r="297832" customFormat="1" x14ac:dyDescent="0.25"/>
    <row r="297833" customFormat="1" x14ac:dyDescent="0.25"/>
    <row r="297834" customFormat="1" x14ac:dyDescent="0.25"/>
    <row r="297835" customFormat="1" x14ac:dyDescent="0.25"/>
    <row r="297836" customFormat="1" x14ac:dyDescent="0.25"/>
    <row r="297837" customFormat="1" x14ac:dyDescent="0.25"/>
    <row r="297838" customFormat="1" x14ac:dyDescent="0.25"/>
    <row r="297839" customFormat="1" x14ac:dyDescent="0.25"/>
    <row r="297840" customFormat="1" x14ac:dyDescent="0.25"/>
    <row r="297841" customFormat="1" x14ac:dyDescent="0.25"/>
    <row r="297842" customFormat="1" x14ac:dyDescent="0.25"/>
    <row r="297843" customFormat="1" x14ac:dyDescent="0.25"/>
    <row r="297844" customFormat="1" x14ac:dyDescent="0.25"/>
    <row r="297845" customFormat="1" x14ac:dyDescent="0.25"/>
    <row r="297846" customFormat="1" x14ac:dyDescent="0.25"/>
    <row r="297847" customFormat="1" x14ac:dyDescent="0.25"/>
    <row r="297848" customFormat="1" x14ac:dyDescent="0.25"/>
    <row r="297849" customFormat="1" x14ac:dyDescent="0.25"/>
    <row r="297850" customFormat="1" x14ac:dyDescent="0.25"/>
    <row r="297851" customFormat="1" x14ac:dyDescent="0.25"/>
    <row r="297852" customFormat="1" x14ac:dyDescent="0.25"/>
    <row r="297853" customFormat="1" x14ac:dyDescent="0.25"/>
    <row r="297854" customFormat="1" x14ac:dyDescent="0.25"/>
    <row r="297855" customFormat="1" x14ac:dyDescent="0.25"/>
    <row r="297856" customFormat="1" x14ac:dyDescent="0.25"/>
    <row r="297857" customFormat="1" x14ac:dyDescent="0.25"/>
    <row r="297858" customFormat="1" x14ac:dyDescent="0.25"/>
    <row r="297859" customFormat="1" x14ac:dyDescent="0.25"/>
    <row r="297860" customFormat="1" x14ac:dyDescent="0.25"/>
    <row r="297861" customFormat="1" x14ac:dyDescent="0.25"/>
    <row r="297862" customFormat="1" x14ac:dyDescent="0.25"/>
    <row r="297863" customFormat="1" x14ac:dyDescent="0.25"/>
    <row r="297864" customFormat="1" x14ac:dyDescent="0.25"/>
    <row r="297865" customFormat="1" x14ac:dyDescent="0.25"/>
    <row r="297866" customFormat="1" x14ac:dyDescent="0.25"/>
    <row r="297867" customFormat="1" x14ac:dyDescent="0.25"/>
    <row r="297868" customFormat="1" x14ac:dyDescent="0.25"/>
    <row r="297869" customFormat="1" x14ac:dyDescent="0.25"/>
    <row r="297870" customFormat="1" x14ac:dyDescent="0.25"/>
    <row r="297871" customFormat="1" x14ac:dyDescent="0.25"/>
    <row r="297872" customFormat="1" x14ac:dyDescent="0.25"/>
    <row r="297873" customFormat="1" x14ac:dyDescent="0.25"/>
    <row r="297874" customFormat="1" x14ac:dyDescent="0.25"/>
    <row r="297875" customFormat="1" x14ac:dyDescent="0.25"/>
    <row r="297876" customFormat="1" x14ac:dyDescent="0.25"/>
    <row r="297877" customFormat="1" x14ac:dyDescent="0.25"/>
    <row r="297878" customFormat="1" x14ac:dyDescent="0.25"/>
    <row r="297879" customFormat="1" x14ac:dyDescent="0.25"/>
    <row r="297880" customFormat="1" x14ac:dyDescent="0.25"/>
    <row r="297881" customFormat="1" x14ac:dyDescent="0.25"/>
    <row r="297882" customFormat="1" x14ac:dyDescent="0.25"/>
    <row r="297883" customFormat="1" x14ac:dyDescent="0.25"/>
    <row r="297884" customFormat="1" x14ac:dyDescent="0.25"/>
    <row r="297885" customFormat="1" x14ac:dyDescent="0.25"/>
    <row r="297886" customFormat="1" x14ac:dyDescent="0.25"/>
    <row r="297887" customFormat="1" x14ac:dyDescent="0.25"/>
    <row r="297888" customFormat="1" x14ac:dyDescent="0.25"/>
    <row r="297889" customFormat="1" x14ac:dyDescent="0.25"/>
    <row r="297890" customFormat="1" x14ac:dyDescent="0.25"/>
    <row r="297891" customFormat="1" x14ac:dyDescent="0.25"/>
    <row r="297892" customFormat="1" x14ac:dyDescent="0.25"/>
    <row r="297893" customFormat="1" x14ac:dyDescent="0.25"/>
    <row r="297894" customFormat="1" x14ac:dyDescent="0.25"/>
    <row r="297895" customFormat="1" x14ac:dyDescent="0.25"/>
    <row r="297896" customFormat="1" x14ac:dyDescent="0.25"/>
    <row r="297897" customFormat="1" x14ac:dyDescent="0.25"/>
    <row r="297898" customFormat="1" x14ac:dyDescent="0.25"/>
    <row r="297899" customFormat="1" x14ac:dyDescent="0.25"/>
    <row r="297900" customFormat="1" x14ac:dyDescent="0.25"/>
    <row r="297901" customFormat="1" x14ac:dyDescent="0.25"/>
    <row r="297902" customFormat="1" x14ac:dyDescent="0.25"/>
    <row r="297903" customFormat="1" x14ac:dyDescent="0.25"/>
    <row r="297904" customFormat="1" x14ac:dyDescent="0.25"/>
    <row r="297905" customFormat="1" x14ac:dyDescent="0.25"/>
    <row r="297906" customFormat="1" x14ac:dyDescent="0.25"/>
    <row r="297907" customFormat="1" x14ac:dyDescent="0.25"/>
    <row r="297908" customFormat="1" x14ac:dyDescent="0.25"/>
    <row r="297909" customFormat="1" x14ac:dyDescent="0.25"/>
    <row r="297910" customFormat="1" x14ac:dyDescent="0.25"/>
    <row r="297911" customFormat="1" x14ac:dyDescent="0.25"/>
    <row r="297912" customFormat="1" x14ac:dyDescent="0.25"/>
    <row r="297913" customFormat="1" x14ac:dyDescent="0.25"/>
    <row r="297914" customFormat="1" x14ac:dyDescent="0.25"/>
    <row r="297915" customFormat="1" x14ac:dyDescent="0.25"/>
    <row r="297916" customFormat="1" x14ac:dyDescent="0.25"/>
    <row r="297917" customFormat="1" x14ac:dyDescent="0.25"/>
    <row r="297918" customFormat="1" x14ac:dyDescent="0.25"/>
    <row r="297919" customFormat="1" x14ac:dyDescent="0.25"/>
    <row r="297920" customFormat="1" x14ac:dyDescent="0.25"/>
    <row r="297921" customFormat="1" x14ac:dyDescent="0.25"/>
    <row r="297922" customFormat="1" x14ac:dyDescent="0.25"/>
    <row r="297923" customFormat="1" x14ac:dyDescent="0.25"/>
    <row r="297924" customFormat="1" x14ac:dyDescent="0.25"/>
    <row r="297925" customFormat="1" x14ac:dyDescent="0.25"/>
    <row r="297926" customFormat="1" x14ac:dyDescent="0.25"/>
    <row r="297927" customFormat="1" x14ac:dyDescent="0.25"/>
    <row r="297928" customFormat="1" x14ac:dyDescent="0.25"/>
    <row r="297929" customFormat="1" x14ac:dyDescent="0.25"/>
    <row r="297930" customFormat="1" x14ac:dyDescent="0.25"/>
    <row r="297931" customFormat="1" x14ac:dyDescent="0.25"/>
    <row r="297932" customFormat="1" x14ac:dyDescent="0.25"/>
    <row r="297933" customFormat="1" x14ac:dyDescent="0.25"/>
    <row r="297934" customFormat="1" x14ac:dyDescent="0.25"/>
    <row r="297935" customFormat="1" x14ac:dyDescent="0.25"/>
    <row r="297936" customFormat="1" x14ac:dyDescent="0.25"/>
    <row r="297937" customFormat="1" x14ac:dyDescent="0.25"/>
    <row r="297938" customFormat="1" x14ac:dyDescent="0.25"/>
    <row r="297939" customFormat="1" x14ac:dyDescent="0.25"/>
    <row r="297940" customFormat="1" x14ac:dyDescent="0.25"/>
    <row r="297941" customFormat="1" x14ac:dyDescent="0.25"/>
    <row r="297942" customFormat="1" x14ac:dyDescent="0.25"/>
    <row r="297943" customFormat="1" x14ac:dyDescent="0.25"/>
    <row r="297944" customFormat="1" x14ac:dyDescent="0.25"/>
    <row r="297945" customFormat="1" x14ac:dyDescent="0.25"/>
    <row r="297946" customFormat="1" x14ac:dyDescent="0.25"/>
    <row r="297947" customFormat="1" x14ac:dyDescent="0.25"/>
    <row r="297948" customFormat="1" x14ac:dyDescent="0.25"/>
    <row r="297949" customFormat="1" x14ac:dyDescent="0.25"/>
    <row r="297950" customFormat="1" x14ac:dyDescent="0.25"/>
    <row r="297951" customFormat="1" x14ac:dyDescent="0.25"/>
    <row r="297952" customFormat="1" x14ac:dyDescent="0.25"/>
    <row r="297953" customFormat="1" x14ac:dyDescent="0.25"/>
    <row r="297954" customFormat="1" x14ac:dyDescent="0.25"/>
    <row r="297955" customFormat="1" x14ac:dyDescent="0.25"/>
    <row r="297956" customFormat="1" x14ac:dyDescent="0.25"/>
    <row r="297957" customFormat="1" x14ac:dyDescent="0.25"/>
    <row r="297958" customFormat="1" x14ac:dyDescent="0.25"/>
    <row r="297959" customFormat="1" x14ac:dyDescent="0.25"/>
    <row r="297960" customFormat="1" x14ac:dyDescent="0.25"/>
    <row r="297961" customFormat="1" x14ac:dyDescent="0.25"/>
    <row r="297962" customFormat="1" x14ac:dyDescent="0.25"/>
    <row r="297963" customFormat="1" x14ac:dyDescent="0.25"/>
    <row r="297964" customFormat="1" x14ac:dyDescent="0.25"/>
    <row r="297965" customFormat="1" x14ac:dyDescent="0.25"/>
    <row r="297966" customFormat="1" x14ac:dyDescent="0.25"/>
    <row r="297967" customFormat="1" x14ac:dyDescent="0.25"/>
    <row r="297968" customFormat="1" x14ac:dyDescent="0.25"/>
    <row r="297969" customFormat="1" x14ac:dyDescent="0.25"/>
    <row r="297970" customFormat="1" x14ac:dyDescent="0.25"/>
    <row r="297971" customFormat="1" x14ac:dyDescent="0.25"/>
    <row r="297972" customFormat="1" x14ac:dyDescent="0.25"/>
    <row r="297973" customFormat="1" x14ac:dyDescent="0.25"/>
    <row r="297974" customFormat="1" x14ac:dyDescent="0.25"/>
    <row r="297975" customFormat="1" x14ac:dyDescent="0.25"/>
    <row r="297976" customFormat="1" x14ac:dyDescent="0.25"/>
    <row r="297977" customFormat="1" x14ac:dyDescent="0.25"/>
    <row r="297978" customFormat="1" x14ac:dyDescent="0.25"/>
    <row r="297979" customFormat="1" x14ac:dyDescent="0.25"/>
    <row r="297980" customFormat="1" x14ac:dyDescent="0.25"/>
    <row r="297981" customFormat="1" x14ac:dyDescent="0.25"/>
    <row r="297982" customFormat="1" x14ac:dyDescent="0.25"/>
    <row r="297983" customFormat="1" x14ac:dyDescent="0.25"/>
    <row r="297984" customFormat="1" x14ac:dyDescent="0.25"/>
    <row r="297985" customFormat="1" x14ac:dyDescent="0.25"/>
    <row r="297986" customFormat="1" x14ac:dyDescent="0.25"/>
    <row r="297987" customFormat="1" x14ac:dyDescent="0.25"/>
    <row r="297988" customFormat="1" x14ac:dyDescent="0.25"/>
    <row r="297989" customFormat="1" x14ac:dyDescent="0.25"/>
    <row r="297990" customFormat="1" x14ac:dyDescent="0.25"/>
    <row r="297991" customFormat="1" x14ac:dyDescent="0.25"/>
    <row r="297992" customFormat="1" x14ac:dyDescent="0.25"/>
    <row r="297993" customFormat="1" x14ac:dyDescent="0.25"/>
    <row r="297994" customFormat="1" x14ac:dyDescent="0.25"/>
    <row r="297995" customFormat="1" x14ac:dyDescent="0.25"/>
    <row r="297996" customFormat="1" x14ac:dyDescent="0.25"/>
    <row r="297997" customFormat="1" x14ac:dyDescent="0.25"/>
    <row r="297998" customFormat="1" x14ac:dyDescent="0.25"/>
    <row r="297999" customFormat="1" x14ac:dyDescent="0.25"/>
    <row r="298000" customFormat="1" x14ac:dyDescent="0.25"/>
    <row r="298001" customFormat="1" x14ac:dyDescent="0.25"/>
    <row r="298002" customFormat="1" x14ac:dyDescent="0.25"/>
    <row r="298003" customFormat="1" x14ac:dyDescent="0.25"/>
    <row r="298004" customFormat="1" x14ac:dyDescent="0.25"/>
    <row r="298005" customFormat="1" x14ac:dyDescent="0.25"/>
    <row r="298006" customFormat="1" x14ac:dyDescent="0.25"/>
    <row r="298007" customFormat="1" x14ac:dyDescent="0.25"/>
    <row r="298008" customFormat="1" x14ac:dyDescent="0.25"/>
    <row r="298009" customFormat="1" x14ac:dyDescent="0.25"/>
    <row r="298010" customFormat="1" x14ac:dyDescent="0.25"/>
    <row r="298011" customFormat="1" x14ac:dyDescent="0.25"/>
    <row r="298012" customFormat="1" x14ac:dyDescent="0.25"/>
    <row r="298013" customFormat="1" x14ac:dyDescent="0.25"/>
    <row r="298014" customFormat="1" x14ac:dyDescent="0.25"/>
    <row r="298015" customFormat="1" x14ac:dyDescent="0.25"/>
    <row r="298016" customFormat="1" x14ac:dyDescent="0.25"/>
    <row r="298017" customFormat="1" x14ac:dyDescent="0.25"/>
    <row r="298018" customFormat="1" x14ac:dyDescent="0.25"/>
    <row r="298019" customFormat="1" x14ac:dyDescent="0.25"/>
    <row r="298020" customFormat="1" x14ac:dyDescent="0.25"/>
    <row r="298021" customFormat="1" x14ac:dyDescent="0.25"/>
    <row r="298022" customFormat="1" x14ac:dyDescent="0.25"/>
    <row r="298023" customFormat="1" x14ac:dyDescent="0.25"/>
    <row r="298024" customFormat="1" x14ac:dyDescent="0.25"/>
    <row r="298025" customFormat="1" x14ac:dyDescent="0.25"/>
    <row r="298026" customFormat="1" x14ac:dyDescent="0.25"/>
    <row r="298027" customFormat="1" x14ac:dyDescent="0.25"/>
    <row r="298028" customFormat="1" x14ac:dyDescent="0.25"/>
    <row r="298029" customFormat="1" x14ac:dyDescent="0.25"/>
    <row r="298030" customFormat="1" x14ac:dyDescent="0.25"/>
    <row r="298031" customFormat="1" x14ac:dyDescent="0.25"/>
    <row r="298032" customFormat="1" x14ac:dyDescent="0.25"/>
    <row r="298033" customFormat="1" x14ac:dyDescent="0.25"/>
    <row r="298034" customFormat="1" x14ac:dyDescent="0.25"/>
    <row r="298035" customFormat="1" x14ac:dyDescent="0.25"/>
    <row r="298036" customFormat="1" x14ac:dyDescent="0.25"/>
    <row r="298037" customFormat="1" x14ac:dyDescent="0.25"/>
    <row r="298038" customFormat="1" x14ac:dyDescent="0.25"/>
    <row r="298039" customFormat="1" x14ac:dyDescent="0.25"/>
    <row r="298040" customFormat="1" x14ac:dyDescent="0.25"/>
    <row r="298041" customFormat="1" x14ac:dyDescent="0.25"/>
    <row r="298042" customFormat="1" x14ac:dyDescent="0.25"/>
    <row r="298043" customFormat="1" x14ac:dyDescent="0.25"/>
    <row r="298044" customFormat="1" x14ac:dyDescent="0.25"/>
    <row r="298045" customFormat="1" x14ac:dyDescent="0.25"/>
    <row r="298046" customFormat="1" x14ac:dyDescent="0.25"/>
    <row r="298047" customFormat="1" x14ac:dyDescent="0.25"/>
    <row r="298048" customFormat="1" x14ac:dyDescent="0.25"/>
    <row r="298049" customFormat="1" x14ac:dyDescent="0.25"/>
    <row r="298050" customFormat="1" x14ac:dyDescent="0.25"/>
    <row r="298051" customFormat="1" x14ac:dyDescent="0.25"/>
    <row r="298052" customFormat="1" x14ac:dyDescent="0.25"/>
    <row r="298053" customFormat="1" x14ac:dyDescent="0.25"/>
    <row r="298054" customFormat="1" x14ac:dyDescent="0.25"/>
    <row r="298055" customFormat="1" x14ac:dyDescent="0.25"/>
    <row r="298056" customFormat="1" x14ac:dyDescent="0.25"/>
    <row r="298057" customFormat="1" x14ac:dyDescent="0.25"/>
    <row r="298058" customFormat="1" x14ac:dyDescent="0.25"/>
    <row r="298059" customFormat="1" x14ac:dyDescent="0.25"/>
    <row r="298060" customFormat="1" x14ac:dyDescent="0.25"/>
    <row r="298061" customFormat="1" x14ac:dyDescent="0.25"/>
    <row r="298062" customFormat="1" x14ac:dyDescent="0.25"/>
    <row r="298063" customFormat="1" x14ac:dyDescent="0.25"/>
    <row r="298064" customFormat="1" x14ac:dyDescent="0.25"/>
    <row r="298065" customFormat="1" x14ac:dyDescent="0.25"/>
    <row r="298066" customFormat="1" x14ac:dyDescent="0.25"/>
    <row r="298067" customFormat="1" x14ac:dyDescent="0.25"/>
    <row r="298068" customFormat="1" x14ac:dyDescent="0.25"/>
    <row r="298069" customFormat="1" x14ac:dyDescent="0.25"/>
    <row r="298070" customFormat="1" x14ac:dyDescent="0.25"/>
    <row r="298071" customFormat="1" x14ac:dyDescent="0.25"/>
    <row r="298072" customFormat="1" x14ac:dyDescent="0.25"/>
    <row r="298073" customFormat="1" x14ac:dyDescent="0.25"/>
    <row r="298074" customFormat="1" x14ac:dyDescent="0.25"/>
    <row r="298075" customFormat="1" x14ac:dyDescent="0.25"/>
    <row r="298076" customFormat="1" x14ac:dyDescent="0.25"/>
    <row r="298077" customFormat="1" x14ac:dyDescent="0.25"/>
    <row r="298078" customFormat="1" x14ac:dyDescent="0.25"/>
    <row r="298079" customFormat="1" x14ac:dyDescent="0.25"/>
    <row r="298080" customFormat="1" x14ac:dyDescent="0.25"/>
    <row r="298081" customFormat="1" x14ac:dyDescent="0.25"/>
    <row r="298082" customFormat="1" x14ac:dyDescent="0.25"/>
    <row r="298083" customFormat="1" x14ac:dyDescent="0.25"/>
    <row r="298084" customFormat="1" x14ac:dyDescent="0.25"/>
    <row r="298085" customFormat="1" x14ac:dyDescent="0.25"/>
    <row r="298086" customFormat="1" x14ac:dyDescent="0.25"/>
    <row r="298087" customFormat="1" x14ac:dyDescent="0.25"/>
    <row r="298088" customFormat="1" x14ac:dyDescent="0.25"/>
    <row r="298089" customFormat="1" x14ac:dyDescent="0.25"/>
    <row r="298090" customFormat="1" x14ac:dyDescent="0.25"/>
    <row r="298091" customFormat="1" x14ac:dyDescent="0.25"/>
    <row r="298092" customFormat="1" x14ac:dyDescent="0.25"/>
    <row r="298093" customFormat="1" x14ac:dyDescent="0.25"/>
    <row r="298094" customFormat="1" x14ac:dyDescent="0.25"/>
    <row r="298095" customFormat="1" x14ac:dyDescent="0.25"/>
    <row r="298096" customFormat="1" x14ac:dyDescent="0.25"/>
    <row r="298097" customFormat="1" x14ac:dyDescent="0.25"/>
    <row r="298098" customFormat="1" x14ac:dyDescent="0.25"/>
    <row r="298099" customFormat="1" x14ac:dyDescent="0.25"/>
    <row r="298100" customFormat="1" x14ac:dyDescent="0.25"/>
    <row r="298101" customFormat="1" x14ac:dyDescent="0.25"/>
    <row r="298102" customFormat="1" x14ac:dyDescent="0.25"/>
    <row r="298103" customFormat="1" x14ac:dyDescent="0.25"/>
    <row r="298104" customFormat="1" x14ac:dyDescent="0.25"/>
    <row r="298105" customFormat="1" x14ac:dyDescent="0.25"/>
    <row r="298106" customFormat="1" x14ac:dyDescent="0.25"/>
    <row r="298107" customFormat="1" x14ac:dyDescent="0.25"/>
    <row r="298108" customFormat="1" x14ac:dyDescent="0.25"/>
    <row r="298109" customFormat="1" x14ac:dyDescent="0.25"/>
    <row r="298110" customFormat="1" x14ac:dyDescent="0.25"/>
    <row r="298111" customFormat="1" x14ac:dyDescent="0.25"/>
    <row r="298112" customFormat="1" x14ac:dyDescent="0.25"/>
    <row r="298113" customFormat="1" x14ac:dyDescent="0.25"/>
    <row r="298114" customFormat="1" x14ac:dyDescent="0.25"/>
    <row r="298115" customFormat="1" x14ac:dyDescent="0.25"/>
    <row r="298116" customFormat="1" x14ac:dyDescent="0.25"/>
    <row r="298117" customFormat="1" x14ac:dyDescent="0.25"/>
    <row r="298118" customFormat="1" x14ac:dyDescent="0.25"/>
    <row r="298119" customFormat="1" x14ac:dyDescent="0.25"/>
    <row r="298120" customFormat="1" x14ac:dyDescent="0.25"/>
    <row r="298121" customFormat="1" x14ac:dyDescent="0.25"/>
    <row r="298122" customFormat="1" x14ac:dyDescent="0.25"/>
    <row r="298123" customFormat="1" x14ac:dyDescent="0.25"/>
    <row r="298124" customFormat="1" x14ac:dyDescent="0.25"/>
    <row r="298125" customFormat="1" x14ac:dyDescent="0.25"/>
    <row r="298126" customFormat="1" x14ac:dyDescent="0.25"/>
    <row r="298127" customFormat="1" x14ac:dyDescent="0.25"/>
    <row r="298128" customFormat="1" x14ac:dyDescent="0.25"/>
    <row r="298129" customFormat="1" x14ac:dyDescent="0.25"/>
    <row r="298130" customFormat="1" x14ac:dyDescent="0.25"/>
    <row r="298131" customFormat="1" x14ac:dyDescent="0.25"/>
    <row r="298132" customFormat="1" x14ac:dyDescent="0.25"/>
    <row r="298133" customFormat="1" x14ac:dyDescent="0.25"/>
    <row r="298134" customFormat="1" x14ac:dyDescent="0.25"/>
    <row r="298135" customFormat="1" x14ac:dyDescent="0.25"/>
    <row r="298136" customFormat="1" x14ac:dyDescent="0.25"/>
    <row r="298137" customFormat="1" x14ac:dyDescent="0.25"/>
    <row r="298138" customFormat="1" x14ac:dyDescent="0.25"/>
    <row r="298139" customFormat="1" x14ac:dyDescent="0.25"/>
    <row r="298140" customFormat="1" x14ac:dyDescent="0.25"/>
    <row r="298141" customFormat="1" x14ac:dyDescent="0.25"/>
    <row r="298142" customFormat="1" x14ac:dyDescent="0.25"/>
    <row r="298143" customFormat="1" x14ac:dyDescent="0.25"/>
    <row r="298144" customFormat="1" x14ac:dyDescent="0.25"/>
    <row r="298145" customFormat="1" x14ac:dyDescent="0.25"/>
    <row r="298146" customFormat="1" x14ac:dyDescent="0.25"/>
    <row r="298147" customFormat="1" x14ac:dyDescent="0.25"/>
    <row r="298148" customFormat="1" x14ac:dyDescent="0.25"/>
    <row r="298149" customFormat="1" x14ac:dyDescent="0.25"/>
    <row r="298150" customFormat="1" x14ac:dyDescent="0.25"/>
    <row r="298151" customFormat="1" x14ac:dyDescent="0.25"/>
    <row r="298152" customFormat="1" x14ac:dyDescent="0.25"/>
    <row r="298153" customFormat="1" x14ac:dyDescent="0.25"/>
    <row r="298154" customFormat="1" x14ac:dyDescent="0.25"/>
    <row r="298155" customFormat="1" x14ac:dyDescent="0.25"/>
    <row r="298156" customFormat="1" x14ac:dyDescent="0.25"/>
    <row r="298157" customFormat="1" x14ac:dyDescent="0.25"/>
    <row r="298158" customFormat="1" x14ac:dyDescent="0.25"/>
    <row r="298159" customFormat="1" x14ac:dyDescent="0.25"/>
    <row r="298160" customFormat="1" x14ac:dyDescent="0.25"/>
    <row r="298161" customFormat="1" x14ac:dyDescent="0.25"/>
    <row r="298162" customFormat="1" x14ac:dyDescent="0.25"/>
    <row r="298163" customFormat="1" x14ac:dyDescent="0.25"/>
    <row r="298164" customFormat="1" x14ac:dyDescent="0.25"/>
    <row r="298165" customFormat="1" x14ac:dyDescent="0.25"/>
    <row r="298166" customFormat="1" x14ac:dyDescent="0.25"/>
    <row r="298167" customFormat="1" x14ac:dyDescent="0.25"/>
    <row r="298168" customFormat="1" x14ac:dyDescent="0.25"/>
    <row r="298169" customFormat="1" x14ac:dyDescent="0.25"/>
    <row r="298170" customFormat="1" x14ac:dyDescent="0.25"/>
    <row r="298171" customFormat="1" x14ac:dyDescent="0.25"/>
    <row r="298172" customFormat="1" x14ac:dyDescent="0.25"/>
    <row r="298173" customFormat="1" x14ac:dyDescent="0.25"/>
    <row r="298174" customFormat="1" x14ac:dyDescent="0.25"/>
    <row r="298175" customFormat="1" x14ac:dyDescent="0.25"/>
    <row r="298176" customFormat="1" x14ac:dyDescent="0.25"/>
    <row r="298177" customFormat="1" x14ac:dyDescent="0.25"/>
    <row r="298178" customFormat="1" x14ac:dyDescent="0.25"/>
    <row r="298179" customFormat="1" x14ac:dyDescent="0.25"/>
    <row r="298180" customFormat="1" x14ac:dyDescent="0.25"/>
    <row r="298181" customFormat="1" x14ac:dyDescent="0.25"/>
    <row r="298182" customFormat="1" x14ac:dyDescent="0.25"/>
    <row r="298183" customFormat="1" x14ac:dyDescent="0.25"/>
    <row r="298184" customFormat="1" x14ac:dyDescent="0.25"/>
    <row r="298185" customFormat="1" x14ac:dyDescent="0.25"/>
    <row r="298186" customFormat="1" x14ac:dyDescent="0.25"/>
    <row r="298187" customFormat="1" x14ac:dyDescent="0.25"/>
    <row r="298188" customFormat="1" x14ac:dyDescent="0.25"/>
    <row r="298189" customFormat="1" x14ac:dyDescent="0.25"/>
    <row r="298190" customFormat="1" x14ac:dyDescent="0.25"/>
    <row r="298191" customFormat="1" x14ac:dyDescent="0.25"/>
    <row r="298192" customFormat="1" x14ac:dyDescent="0.25"/>
    <row r="298193" customFormat="1" x14ac:dyDescent="0.25"/>
    <row r="298194" customFormat="1" x14ac:dyDescent="0.25"/>
    <row r="298195" customFormat="1" x14ac:dyDescent="0.25"/>
    <row r="298196" customFormat="1" x14ac:dyDescent="0.25"/>
    <row r="298197" customFormat="1" x14ac:dyDescent="0.25"/>
    <row r="298198" customFormat="1" x14ac:dyDescent="0.25"/>
    <row r="298199" customFormat="1" x14ac:dyDescent="0.25"/>
    <row r="298200" customFormat="1" x14ac:dyDescent="0.25"/>
    <row r="298201" customFormat="1" x14ac:dyDescent="0.25"/>
    <row r="298202" customFormat="1" x14ac:dyDescent="0.25"/>
    <row r="298203" customFormat="1" x14ac:dyDescent="0.25"/>
    <row r="298204" customFormat="1" x14ac:dyDescent="0.25"/>
    <row r="298205" customFormat="1" x14ac:dyDescent="0.25"/>
    <row r="298206" customFormat="1" x14ac:dyDescent="0.25"/>
    <row r="298207" customFormat="1" x14ac:dyDescent="0.25"/>
    <row r="298208" customFormat="1" x14ac:dyDescent="0.25"/>
    <row r="298209" customFormat="1" x14ac:dyDescent="0.25"/>
    <row r="298210" customFormat="1" x14ac:dyDescent="0.25"/>
    <row r="298211" customFormat="1" x14ac:dyDescent="0.25"/>
    <row r="298212" customFormat="1" x14ac:dyDescent="0.25"/>
    <row r="298213" customFormat="1" x14ac:dyDescent="0.25"/>
    <row r="298214" customFormat="1" x14ac:dyDescent="0.25"/>
    <row r="298215" customFormat="1" x14ac:dyDescent="0.25"/>
    <row r="298216" customFormat="1" x14ac:dyDescent="0.25"/>
    <row r="298217" customFormat="1" x14ac:dyDescent="0.25"/>
    <row r="298218" customFormat="1" x14ac:dyDescent="0.25"/>
    <row r="298219" customFormat="1" x14ac:dyDescent="0.25"/>
    <row r="298220" customFormat="1" x14ac:dyDescent="0.25"/>
    <row r="298221" customFormat="1" x14ac:dyDescent="0.25"/>
    <row r="298222" customFormat="1" x14ac:dyDescent="0.25"/>
    <row r="298223" customFormat="1" x14ac:dyDescent="0.25"/>
    <row r="298224" customFormat="1" x14ac:dyDescent="0.25"/>
    <row r="298225" customFormat="1" x14ac:dyDescent="0.25"/>
    <row r="298226" customFormat="1" x14ac:dyDescent="0.25"/>
    <row r="298227" customFormat="1" x14ac:dyDescent="0.25"/>
    <row r="298228" customFormat="1" x14ac:dyDescent="0.25"/>
    <row r="298229" customFormat="1" x14ac:dyDescent="0.25"/>
    <row r="298230" customFormat="1" x14ac:dyDescent="0.25"/>
    <row r="298231" customFormat="1" x14ac:dyDescent="0.25"/>
    <row r="298232" customFormat="1" x14ac:dyDescent="0.25"/>
    <row r="298233" customFormat="1" x14ac:dyDescent="0.25"/>
    <row r="298234" customFormat="1" x14ac:dyDescent="0.25"/>
    <row r="298235" customFormat="1" x14ac:dyDescent="0.25"/>
    <row r="298236" customFormat="1" x14ac:dyDescent="0.25"/>
    <row r="298237" customFormat="1" x14ac:dyDescent="0.25"/>
    <row r="298238" customFormat="1" x14ac:dyDescent="0.25"/>
    <row r="298239" customFormat="1" x14ac:dyDescent="0.25"/>
    <row r="298240" customFormat="1" x14ac:dyDescent="0.25"/>
    <row r="298241" customFormat="1" x14ac:dyDescent="0.25"/>
    <row r="298242" customFormat="1" x14ac:dyDescent="0.25"/>
    <row r="298243" customFormat="1" x14ac:dyDescent="0.25"/>
    <row r="298244" customFormat="1" x14ac:dyDescent="0.25"/>
    <row r="298245" customFormat="1" x14ac:dyDescent="0.25"/>
    <row r="298246" customFormat="1" x14ac:dyDescent="0.25"/>
    <row r="298247" customFormat="1" x14ac:dyDescent="0.25"/>
    <row r="298248" customFormat="1" x14ac:dyDescent="0.25"/>
    <row r="298249" customFormat="1" x14ac:dyDescent="0.25"/>
    <row r="298250" customFormat="1" x14ac:dyDescent="0.25"/>
    <row r="298251" customFormat="1" x14ac:dyDescent="0.25"/>
    <row r="298252" customFormat="1" x14ac:dyDescent="0.25"/>
    <row r="298253" customFormat="1" x14ac:dyDescent="0.25"/>
    <row r="298254" customFormat="1" x14ac:dyDescent="0.25"/>
    <row r="298255" customFormat="1" x14ac:dyDescent="0.25"/>
    <row r="298256" customFormat="1" x14ac:dyDescent="0.25"/>
    <row r="298257" customFormat="1" x14ac:dyDescent="0.25"/>
    <row r="298258" customFormat="1" x14ac:dyDescent="0.25"/>
    <row r="298259" customFormat="1" x14ac:dyDescent="0.25"/>
    <row r="298260" customFormat="1" x14ac:dyDescent="0.25"/>
    <row r="298261" customFormat="1" x14ac:dyDescent="0.25"/>
    <row r="298262" customFormat="1" x14ac:dyDescent="0.25"/>
    <row r="298263" customFormat="1" x14ac:dyDescent="0.25"/>
    <row r="298264" customFormat="1" x14ac:dyDescent="0.25"/>
    <row r="298265" customFormat="1" x14ac:dyDescent="0.25"/>
    <row r="298266" customFormat="1" x14ac:dyDescent="0.25"/>
    <row r="298267" customFormat="1" x14ac:dyDescent="0.25"/>
    <row r="298268" customFormat="1" x14ac:dyDescent="0.25"/>
    <row r="298269" customFormat="1" x14ac:dyDescent="0.25"/>
    <row r="298270" customFormat="1" x14ac:dyDescent="0.25"/>
    <row r="298271" customFormat="1" x14ac:dyDescent="0.25"/>
    <row r="298272" customFormat="1" x14ac:dyDescent="0.25"/>
    <row r="298273" customFormat="1" x14ac:dyDescent="0.25"/>
    <row r="298274" customFormat="1" x14ac:dyDescent="0.25"/>
    <row r="298275" customFormat="1" x14ac:dyDescent="0.25"/>
    <row r="298276" customFormat="1" x14ac:dyDescent="0.25"/>
    <row r="298277" customFormat="1" x14ac:dyDescent="0.25"/>
    <row r="298278" customFormat="1" x14ac:dyDescent="0.25"/>
    <row r="298279" customFormat="1" x14ac:dyDescent="0.25"/>
    <row r="298280" customFormat="1" x14ac:dyDescent="0.25"/>
    <row r="298281" customFormat="1" x14ac:dyDescent="0.25"/>
    <row r="298282" customFormat="1" x14ac:dyDescent="0.25"/>
    <row r="298283" customFormat="1" x14ac:dyDescent="0.25"/>
    <row r="298284" customFormat="1" x14ac:dyDescent="0.25"/>
    <row r="298285" customFormat="1" x14ac:dyDescent="0.25"/>
    <row r="298286" customFormat="1" x14ac:dyDescent="0.25"/>
    <row r="298287" customFormat="1" x14ac:dyDescent="0.25"/>
    <row r="298288" customFormat="1" x14ac:dyDescent="0.25"/>
    <row r="298289" customFormat="1" x14ac:dyDescent="0.25"/>
    <row r="298290" customFormat="1" x14ac:dyDescent="0.25"/>
    <row r="298291" customFormat="1" x14ac:dyDescent="0.25"/>
    <row r="298292" customFormat="1" x14ac:dyDescent="0.25"/>
    <row r="298293" customFormat="1" x14ac:dyDescent="0.25"/>
    <row r="298294" customFormat="1" x14ac:dyDescent="0.25"/>
    <row r="298295" customFormat="1" x14ac:dyDescent="0.25"/>
    <row r="298296" customFormat="1" x14ac:dyDescent="0.25"/>
    <row r="298297" customFormat="1" x14ac:dyDescent="0.25"/>
    <row r="298298" customFormat="1" x14ac:dyDescent="0.25"/>
    <row r="298299" customFormat="1" x14ac:dyDescent="0.25"/>
    <row r="298300" customFormat="1" x14ac:dyDescent="0.25"/>
    <row r="298301" customFormat="1" x14ac:dyDescent="0.25"/>
    <row r="298302" customFormat="1" x14ac:dyDescent="0.25"/>
    <row r="298303" customFormat="1" x14ac:dyDescent="0.25"/>
    <row r="298304" customFormat="1" x14ac:dyDescent="0.25"/>
    <row r="298305" customFormat="1" x14ac:dyDescent="0.25"/>
    <row r="298306" customFormat="1" x14ac:dyDescent="0.25"/>
    <row r="298307" customFormat="1" x14ac:dyDescent="0.25"/>
    <row r="298308" customFormat="1" x14ac:dyDescent="0.25"/>
    <row r="298309" customFormat="1" x14ac:dyDescent="0.25"/>
    <row r="298310" customFormat="1" x14ac:dyDescent="0.25"/>
    <row r="298311" customFormat="1" x14ac:dyDescent="0.25"/>
    <row r="298312" customFormat="1" x14ac:dyDescent="0.25"/>
    <row r="298313" customFormat="1" x14ac:dyDescent="0.25"/>
    <row r="298314" customFormat="1" x14ac:dyDescent="0.25"/>
    <row r="298315" customFormat="1" x14ac:dyDescent="0.25"/>
    <row r="298316" customFormat="1" x14ac:dyDescent="0.25"/>
    <row r="298317" customFormat="1" x14ac:dyDescent="0.25"/>
    <row r="298318" customFormat="1" x14ac:dyDescent="0.25"/>
    <row r="298319" customFormat="1" x14ac:dyDescent="0.25"/>
    <row r="298320" customFormat="1" x14ac:dyDescent="0.25"/>
    <row r="298321" customFormat="1" x14ac:dyDescent="0.25"/>
    <row r="298322" customFormat="1" x14ac:dyDescent="0.25"/>
    <row r="298323" customFormat="1" x14ac:dyDescent="0.25"/>
    <row r="298324" customFormat="1" x14ac:dyDescent="0.25"/>
    <row r="298325" customFormat="1" x14ac:dyDescent="0.25"/>
    <row r="298326" customFormat="1" x14ac:dyDescent="0.25"/>
    <row r="298327" customFormat="1" x14ac:dyDescent="0.25"/>
    <row r="298328" customFormat="1" x14ac:dyDescent="0.25"/>
    <row r="298329" customFormat="1" x14ac:dyDescent="0.25"/>
    <row r="298330" customFormat="1" x14ac:dyDescent="0.25"/>
    <row r="298331" customFormat="1" x14ac:dyDescent="0.25"/>
    <row r="298332" customFormat="1" x14ac:dyDescent="0.25"/>
    <row r="298333" customFormat="1" x14ac:dyDescent="0.25"/>
    <row r="298334" customFormat="1" x14ac:dyDescent="0.25"/>
    <row r="298335" customFormat="1" x14ac:dyDescent="0.25"/>
    <row r="298336" customFormat="1" x14ac:dyDescent="0.25"/>
    <row r="298337" customFormat="1" x14ac:dyDescent="0.25"/>
    <row r="298338" customFormat="1" x14ac:dyDescent="0.25"/>
    <row r="298339" customFormat="1" x14ac:dyDescent="0.25"/>
    <row r="298340" customFormat="1" x14ac:dyDescent="0.25"/>
    <row r="298341" customFormat="1" x14ac:dyDescent="0.25"/>
    <row r="298342" customFormat="1" x14ac:dyDescent="0.25"/>
    <row r="298343" customFormat="1" x14ac:dyDescent="0.25"/>
    <row r="298344" customFormat="1" x14ac:dyDescent="0.25"/>
    <row r="298345" customFormat="1" x14ac:dyDescent="0.25"/>
    <row r="298346" customFormat="1" x14ac:dyDescent="0.25"/>
    <row r="298347" customFormat="1" x14ac:dyDescent="0.25"/>
    <row r="298348" customFormat="1" x14ac:dyDescent="0.25"/>
    <row r="298349" customFormat="1" x14ac:dyDescent="0.25"/>
    <row r="298350" customFormat="1" x14ac:dyDescent="0.25"/>
    <row r="298351" customFormat="1" x14ac:dyDescent="0.25"/>
    <row r="298352" customFormat="1" x14ac:dyDescent="0.25"/>
    <row r="298353" customFormat="1" x14ac:dyDescent="0.25"/>
    <row r="298354" customFormat="1" x14ac:dyDescent="0.25"/>
    <row r="298355" customFormat="1" x14ac:dyDescent="0.25"/>
    <row r="298356" customFormat="1" x14ac:dyDescent="0.25"/>
    <row r="298357" customFormat="1" x14ac:dyDescent="0.25"/>
    <row r="298358" customFormat="1" x14ac:dyDescent="0.25"/>
    <row r="298359" customFormat="1" x14ac:dyDescent="0.25"/>
    <row r="298360" customFormat="1" x14ac:dyDescent="0.25"/>
    <row r="298361" customFormat="1" x14ac:dyDescent="0.25"/>
    <row r="298362" customFormat="1" x14ac:dyDescent="0.25"/>
    <row r="298363" customFormat="1" x14ac:dyDescent="0.25"/>
    <row r="298364" customFormat="1" x14ac:dyDescent="0.25"/>
    <row r="298365" customFormat="1" x14ac:dyDescent="0.25"/>
    <row r="298366" customFormat="1" x14ac:dyDescent="0.25"/>
    <row r="298367" customFormat="1" x14ac:dyDescent="0.25"/>
    <row r="298368" customFormat="1" x14ac:dyDescent="0.25"/>
    <row r="298369" customFormat="1" x14ac:dyDescent="0.25"/>
    <row r="298370" customFormat="1" x14ac:dyDescent="0.25"/>
    <row r="298371" customFormat="1" x14ac:dyDescent="0.25"/>
    <row r="298372" customFormat="1" x14ac:dyDescent="0.25"/>
    <row r="298373" customFormat="1" x14ac:dyDescent="0.25"/>
    <row r="298374" customFormat="1" x14ac:dyDescent="0.25"/>
    <row r="298375" customFormat="1" x14ac:dyDescent="0.25"/>
    <row r="298376" customFormat="1" x14ac:dyDescent="0.25"/>
    <row r="298377" customFormat="1" x14ac:dyDescent="0.25"/>
    <row r="298378" customFormat="1" x14ac:dyDescent="0.25"/>
    <row r="298379" customFormat="1" x14ac:dyDescent="0.25"/>
    <row r="298380" customFormat="1" x14ac:dyDescent="0.25"/>
    <row r="298381" customFormat="1" x14ac:dyDescent="0.25"/>
    <row r="298382" customFormat="1" x14ac:dyDescent="0.25"/>
    <row r="298383" customFormat="1" x14ac:dyDescent="0.25"/>
    <row r="298384" customFormat="1" x14ac:dyDescent="0.25"/>
    <row r="298385" customFormat="1" x14ac:dyDescent="0.25"/>
    <row r="298386" customFormat="1" x14ac:dyDescent="0.25"/>
    <row r="298387" customFormat="1" x14ac:dyDescent="0.25"/>
    <row r="298388" customFormat="1" x14ac:dyDescent="0.25"/>
    <row r="298389" customFormat="1" x14ac:dyDescent="0.25"/>
    <row r="298390" customFormat="1" x14ac:dyDescent="0.25"/>
    <row r="298391" customFormat="1" x14ac:dyDescent="0.25"/>
    <row r="298392" customFormat="1" x14ac:dyDescent="0.25"/>
    <row r="298393" customFormat="1" x14ac:dyDescent="0.25"/>
    <row r="298394" customFormat="1" x14ac:dyDescent="0.25"/>
    <row r="298395" customFormat="1" x14ac:dyDescent="0.25"/>
    <row r="298396" customFormat="1" x14ac:dyDescent="0.25"/>
    <row r="298397" customFormat="1" x14ac:dyDescent="0.25"/>
    <row r="298398" customFormat="1" x14ac:dyDescent="0.25"/>
    <row r="298399" customFormat="1" x14ac:dyDescent="0.25"/>
    <row r="298400" customFormat="1" x14ac:dyDescent="0.25"/>
    <row r="298401" customFormat="1" x14ac:dyDescent="0.25"/>
    <row r="298402" customFormat="1" x14ac:dyDescent="0.25"/>
    <row r="298403" customFormat="1" x14ac:dyDescent="0.25"/>
    <row r="298404" customFormat="1" x14ac:dyDescent="0.25"/>
    <row r="298405" customFormat="1" x14ac:dyDescent="0.25"/>
    <row r="298406" customFormat="1" x14ac:dyDescent="0.25"/>
    <row r="298407" customFormat="1" x14ac:dyDescent="0.25"/>
    <row r="298408" customFormat="1" x14ac:dyDescent="0.25"/>
    <row r="298409" customFormat="1" x14ac:dyDescent="0.25"/>
    <row r="298410" customFormat="1" x14ac:dyDescent="0.25"/>
    <row r="298411" customFormat="1" x14ac:dyDescent="0.25"/>
    <row r="298412" customFormat="1" x14ac:dyDescent="0.25"/>
    <row r="298413" customFormat="1" x14ac:dyDescent="0.25"/>
    <row r="298414" customFormat="1" x14ac:dyDescent="0.25"/>
    <row r="298415" customFormat="1" x14ac:dyDescent="0.25"/>
    <row r="298416" customFormat="1" x14ac:dyDescent="0.25"/>
    <row r="298417" customFormat="1" x14ac:dyDescent="0.25"/>
    <row r="298418" customFormat="1" x14ac:dyDescent="0.25"/>
    <row r="298419" customFormat="1" x14ac:dyDescent="0.25"/>
    <row r="298420" customFormat="1" x14ac:dyDescent="0.25"/>
    <row r="298421" customFormat="1" x14ac:dyDescent="0.25"/>
    <row r="298422" customFormat="1" x14ac:dyDescent="0.25"/>
    <row r="298423" customFormat="1" x14ac:dyDescent="0.25"/>
    <row r="298424" customFormat="1" x14ac:dyDescent="0.25"/>
    <row r="298425" customFormat="1" x14ac:dyDescent="0.25"/>
    <row r="298426" customFormat="1" x14ac:dyDescent="0.25"/>
    <row r="298427" customFormat="1" x14ac:dyDescent="0.25"/>
    <row r="298428" customFormat="1" x14ac:dyDescent="0.25"/>
    <row r="298429" customFormat="1" x14ac:dyDescent="0.25"/>
    <row r="298430" customFormat="1" x14ac:dyDescent="0.25"/>
    <row r="298431" customFormat="1" x14ac:dyDescent="0.25"/>
    <row r="298432" customFormat="1" x14ac:dyDescent="0.25"/>
    <row r="298433" customFormat="1" x14ac:dyDescent="0.25"/>
    <row r="298434" customFormat="1" x14ac:dyDescent="0.25"/>
    <row r="298435" customFormat="1" x14ac:dyDescent="0.25"/>
    <row r="298436" customFormat="1" x14ac:dyDescent="0.25"/>
    <row r="298437" customFormat="1" x14ac:dyDescent="0.25"/>
    <row r="298438" customFormat="1" x14ac:dyDescent="0.25"/>
    <row r="298439" customFormat="1" x14ac:dyDescent="0.25"/>
    <row r="298440" customFormat="1" x14ac:dyDescent="0.25"/>
    <row r="298441" customFormat="1" x14ac:dyDescent="0.25"/>
    <row r="298442" customFormat="1" x14ac:dyDescent="0.25"/>
    <row r="298443" customFormat="1" x14ac:dyDescent="0.25"/>
    <row r="298444" customFormat="1" x14ac:dyDescent="0.25"/>
    <row r="298445" customFormat="1" x14ac:dyDescent="0.25"/>
    <row r="298446" customFormat="1" x14ac:dyDescent="0.25"/>
    <row r="298447" customFormat="1" x14ac:dyDescent="0.25"/>
    <row r="298448" customFormat="1" x14ac:dyDescent="0.25"/>
    <row r="298449" customFormat="1" x14ac:dyDescent="0.25"/>
    <row r="298450" customFormat="1" x14ac:dyDescent="0.25"/>
    <row r="298451" customFormat="1" x14ac:dyDescent="0.25"/>
    <row r="298452" customFormat="1" x14ac:dyDescent="0.25"/>
    <row r="298453" customFormat="1" x14ac:dyDescent="0.25"/>
    <row r="298454" customFormat="1" x14ac:dyDescent="0.25"/>
    <row r="298455" customFormat="1" x14ac:dyDescent="0.25"/>
    <row r="298456" customFormat="1" x14ac:dyDescent="0.25"/>
    <row r="298457" customFormat="1" x14ac:dyDescent="0.25"/>
    <row r="298458" customFormat="1" x14ac:dyDescent="0.25"/>
    <row r="298459" customFormat="1" x14ac:dyDescent="0.25"/>
    <row r="298460" customFormat="1" x14ac:dyDescent="0.25"/>
    <row r="298461" customFormat="1" x14ac:dyDescent="0.25"/>
    <row r="298462" customFormat="1" x14ac:dyDescent="0.25"/>
    <row r="298463" customFormat="1" x14ac:dyDescent="0.25"/>
    <row r="298464" customFormat="1" x14ac:dyDescent="0.25"/>
    <row r="298465" customFormat="1" x14ac:dyDescent="0.25"/>
    <row r="298466" customFormat="1" x14ac:dyDescent="0.25"/>
    <row r="298467" customFormat="1" x14ac:dyDescent="0.25"/>
    <row r="298468" customFormat="1" x14ac:dyDescent="0.25"/>
    <row r="298469" customFormat="1" x14ac:dyDescent="0.25"/>
    <row r="298470" customFormat="1" x14ac:dyDescent="0.25"/>
    <row r="298471" customFormat="1" x14ac:dyDescent="0.25"/>
    <row r="298472" customFormat="1" x14ac:dyDescent="0.25"/>
    <row r="298473" customFormat="1" x14ac:dyDescent="0.25"/>
    <row r="298474" customFormat="1" x14ac:dyDescent="0.25"/>
    <row r="298475" customFormat="1" x14ac:dyDescent="0.25"/>
    <row r="298476" customFormat="1" x14ac:dyDescent="0.25"/>
    <row r="298477" customFormat="1" x14ac:dyDescent="0.25"/>
    <row r="298478" customFormat="1" x14ac:dyDescent="0.25"/>
    <row r="298479" customFormat="1" x14ac:dyDescent="0.25"/>
    <row r="298480" customFormat="1" x14ac:dyDescent="0.25"/>
    <row r="298481" customFormat="1" x14ac:dyDescent="0.25"/>
    <row r="298482" customFormat="1" x14ac:dyDescent="0.25"/>
    <row r="298483" customFormat="1" x14ac:dyDescent="0.25"/>
    <row r="298484" customFormat="1" x14ac:dyDescent="0.25"/>
    <row r="298485" customFormat="1" x14ac:dyDescent="0.25"/>
    <row r="298486" customFormat="1" x14ac:dyDescent="0.25"/>
    <row r="298487" customFormat="1" x14ac:dyDescent="0.25"/>
    <row r="298488" customFormat="1" x14ac:dyDescent="0.25"/>
    <row r="298489" customFormat="1" x14ac:dyDescent="0.25"/>
    <row r="298490" customFormat="1" x14ac:dyDescent="0.25"/>
    <row r="298491" customFormat="1" x14ac:dyDescent="0.25"/>
    <row r="298492" customFormat="1" x14ac:dyDescent="0.25"/>
    <row r="298493" customFormat="1" x14ac:dyDescent="0.25"/>
    <row r="298494" customFormat="1" x14ac:dyDescent="0.25"/>
    <row r="298495" customFormat="1" x14ac:dyDescent="0.25"/>
    <row r="298496" customFormat="1" x14ac:dyDescent="0.25"/>
    <row r="298497" customFormat="1" x14ac:dyDescent="0.25"/>
    <row r="298498" customFormat="1" x14ac:dyDescent="0.25"/>
    <row r="298499" customFormat="1" x14ac:dyDescent="0.25"/>
    <row r="298500" customFormat="1" x14ac:dyDescent="0.25"/>
    <row r="298501" customFormat="1" x14ac:dyDescent="0.25"/>
    <row r="298502" customFormat="1" x14ac:dyDescent="0.25"/>
    <row r="298503" customFormat="1" x14ac:dyDescent="0.25"/>
    <row r="298504" customFormat="1" x14ac:dyDescent="0.25"/>
    <row r="298505" customFormat="1" x14ac:dyDescent="0.25"/>
    <row r="298506" customFormat="1" x14ac:dyDescent="0.25"/>
    <row r="298507" customFormat="1" x14ac:dyDescent="0.25"/>
    <row r="298508" customFormat="1" x14ac:dyDescent="0.25"/>
    <row r="298509" customFormat="1" x14ac:dyDescent="0.25"/>
    <row r="298510" customFormat="1" x14ac:dyDescent="0.25"/>
    <row r="298511" customFormat="1" x14ac:dyDescent="0.25"/>
    <row r="298512" customFormat="1" x14ac:dyDescent="0.25"/>
    <row r="298513" customFormat="1" x14ac:dyDescent="0.25"/>
    <row r="298514" customFormat="1" x14ac:dyDescent="0.25"/>
    <row r="298515" customFormat="1" x14ac:dyDescent="0.25"/>
    <row r="298516" customFormat="1" x14ac:dyDescent="0.25"/>
    <row r="298517" customFormat="1" x14ac:dyDescent="0.25"/>
    <row r="298518" customFormat="1" x14ac:dyDescent="0.25"/>
    <row r="298519" customFormat="1" x14ac:dyDescent="0.25"/>
    <row r="298520" customFormat="1" x14ac:dyDescent="0.25"/>
    <row r="298521" customFormat="1" x14ac:dyDescent="0.25"/>
    <row r="298522" customFormat="1" x14ac:dyDescent="0.25"/>
    <row r="298523" customFormat="1" x14ac:dyDescent="0.25"/>
    <row r="298524" customFormat="1" x14ac:dyDescent="0.25"/>
    <row r="298525" customFormat="1" x14ac:dyDescent="0.25"/>
    <row r="298526" customFormat="1" x14ac:dyDescent="0.25"/>
    <row r="298527" customFormat="1" x14ac:dyDescent="0.25"/>
    <row r="298528" customFormat="1" x14ac:dyDescent="0.25"/>
    <row r="298529" customFormat="1" x14ac:dyDescent="0.25"/>
    <row r="298530" customFormat="1" x14ac:dyDescent="0.25"/>
    <row r="298531" customFormat="1" x14ac:dyDescent="0.25"/>
    <row r="298532" customFormat="1" x14ac:dyDescent="0.25"/>
    <row r="298533" customFormat="1" x14ac:dyDescent="0.25"/>
    <row r="298534" customFormat="1" x14ac:dyDescent="0.25"/>
    <row r="298535" customFormat="1" x14ac:dyDescent="0.25"/>
    <row r="298536" customFormat="1" x14ac:dyDescent="0.25"/>
    <row r="298537" customFormat="1" x14ac:dyDescent="0.25"/>
    <row r="298538" customFormat="1" x14ac:dyDescent="0.25"/>
    <row r="298539" customFormat="1" x14ac:dyDescent="0.25"/>
    <row r="298540" customFormat="1" x14ac:dyDescent="0.25"/>
    <row r="298541" customFormat="1" x14ac:dyDescent="0.25"/>
    <row r="298542" customFormat="1" x14ac:dyDescent="0.25"/>
    <row r="298543" customFormat="1" x14ac:dyDescent="0.25"/>
    <row r="298544" customFormat="1" x14ac:dyDescent="0.25"/>
    <row r="298545" customFormat="1" x14ac:dyDescent="0.25"/>
    <row r="298546" customFormat="1" x14ac:dyDescent="0.25"/>
    <row r="298547" customFormat="1" x14ac:dyDescent="0.25"/>
    <row r="298548" customFormat="1" x14ac:dyDescent="0.25"/>
    <row r="298549" customFormat="1" x14ac:dyDescent="0.25"/>
    <row r="298550" customFormat="1" x14ac:dyDescent="0.25"/>
    <row r="298551" customFormat="1" x14ac:dyDescent="0.25"/>
    <row r="298552" customFormat="1" x14ac:dyDescent="0.25"/>
    <row r="298553" customFormat="1" x14ac:dyDescent="0.25"/>
    <row r="298554" customFormat="1" x14ac:dyDescent="0.25"/>
    <row r="298555" customFormat="1" x14ac:dyDescent="0.25"/>
    <row r="298556" customFormat="1" x14ac:dyDescent="0.25"/>
    <row r="298557" customFormat="1" x14ac:dyDescent="0.25"/>
    <row r="298558" customFormat="1" x14ac:dyDescent="0.25"/>
    <row r="298559" customFormat="1" x14ac:dyDescent="0.25"/>
    <row r="298560" customFormat="1" x14ac:dyDescent="0.25"/>
    <row r="298561" customFormat="1" x14ac:dyDescent="0.25"/>
    <row r="298562" customFormat="1" x14ac:dyDescent="0.25"/>
    <row r="298563" customFormat="1" x14ac:dyDescent="0.25"/>
    <row r="298564" customFormat="1" x14ac:dyDescent="0.25"/>
    <row r="298565" customFormat="1" x14ac:dyDescent="0.25"/>
    <row r="298566" customFormat="1" x14ac:dyDescent="0.25"/>
    <row r="298567" customFormat="1" x14ac:dyDescent="0.25"/>
    <row r="298568" customFormat="1" x14ac:dyDescent="0.25"/>
    <row r="298569" customFormat="1" x14ac:dyDescent="0.25"/>
    <row r="298570" customFormat="1" x14ac:dyDescent="0.25"/>
    <row r="298571" customFormat="1" x14ac:dyDescent="0.25"/>
    <row r="298572" customFormat="1" x14ac:dyDescent="0.25"/>
    <row r="298573" customFormat="1" x14ac:dyDescent="0.25"/>
    <row r="298574" customFormat="1" x14ac:dyDescent="0.25"/>
    <row r="298575" customFormat="1" x14ac:dyDescent="0.25"/>
    <row r="298576" customFormat="1" x14ac:dyDescent="0.25"/>
    <row r="298577" customFormat="1" x14ac:dyDescent="0.25"/>
    <row r="298578" customFormat="1" x14ac:dyDescent="0.25"/>
    <row r="298579" customFormat="1" x14ac:dyDescent="0.25"/>
    <row r="298580" customFormat="1" x14ac:dyDescent="0.25"/>
    <row r="298581" customFormat="1" x14ac:dyDescent="0.25"/>
    <row r="298582" customFormat="1" x14ac:dyDescent="0.25"/>
    <row r="298583" customFormat="1" x14ac:dyDescent="0.25"/>
    <row r="298584" customFormat="1" x14ac:dyDescent="0.25"/>
    <row r="298585" customFormat="1" x14ac:dyDescent="0.25"/>
    <row r="298586" customFormat="1" x14ac:dyDescent="0.25"/>
    <row r="298587" customFormat="1" x14ac:dyDescent="0.25"/>
    <row r="298588" customFormat="1" x14ac:dyDescent="0.25"/>
    <row r="298589" customFormat="1" x14ac:dyDescent="0.25"/>
    <row r="298590" customFormat="1" x14ac:dyDescent="0.25"/>
    <row r="298591" customFormat="1" x14ac:dyDescent="0.25"/>
    <row r="298592" customFormat="1" x14ac:dyDescent="0.25"/>
    <row r="298593" customFormat="1" x14ac:dyDescent="0.25"/>
    <row r="298594" customFormat="1" x14ac:dyDescent="0.25"/>
    <row r="298595" customFormat="1" x14ac:dyDescent="0.25"/>
    <row r="298596" customFormat="1" x14ac:dyDescent="0.25"/>
    <row r="298597" customFormat="1" x14ac:dyDescent="0.25"/>
    <row r="298598" customFormat="1" x14ac:dyDescent="0.25"/>
    <row r="298599" customFormat="1" x14ac:dyDescent="0.25"/>
    <row r="298600" customFormat="1" x14ac:dyDescent="0.25"/>
    <row r="298601" customFormat="1" x14ac:dyDescent="0.25"/>
    <row r="298602" customFormat="1" x14ac:dyDescent="0.25"/>
    <row r="298603" customFormat="1" x14ac:dyDescent="0.25"/>
    <row r="298604" customFormat="1" x14ac:dyDescent="0.25"/>
    <row r="298605" customFormat="1" x14ac:dyDescent="0.25"/>
    <row r="298606" customFormat="1" x14ac:dyDescent="0.25"/>
    <row r="298607" customFormat="1" x14ac:dyDescent="0.25"/>
    <row r="298608" customFormat="1" x14ac:dyDescent="0.25"/>
    <row r="298609" customFormat="1" x14ac:dyDescent="0.25"/>
    <row r="298610" customFormat="1" x14ac:dyDescent="0.25"/>
    <row r="298611" customFormat="1" x14ac:dyDescent="0.25"/>
    <row r="298612" customFormat="1" x14ac:dyDescent="0.25"/>
    <row r="298613" customFormat="1" x14ac:dyDescent="0.25"/>
    <row r="298614" customFormat="1" x14ac:dyDescent="0.25"/>
    <row r="298615" customFormat="1" x14ac:dyDescent="0.25"/>
    <row r="298616" customFormat="1" x14ac:dyDescent="0.25"/>
    <row r="298617" customFormat="1" x14ac:dyDescent="0.25"/>
    <row r="298618" customFormat="1" x14ac:dyDescent="0.25"/>
    <row r="298619" customFormat="1" x14ac:dyDescent="0.25"/>
    <row r="298620" customFormat="1" x14ac:dyDescent="0.25"/>
    <row r="298621" customFormat="1" x14ac:dyDescent="0.25"/>
    <row r="298622" customFormat="1" x14ac:dyDescent="0.25"/>
    <row r="298623" customFormat="1" x14ac:dyDescent="0.25"/>
    <row r="298624" customFormat="1" x14ac:dyDescent="0.25"/>
    <row r="298625" customFormat="1" x14ac:dyDescent="0.25"/>
    <row r="298626" customFormat="1" x14ac:dyDescent="0.25"/>
    <row r="298627" customFormat="1" x14ac:dyDescent="0.25"/>
    <row r="298628" customFormat="1" x14ac:dyDescent="0.25"/>
    <row r="298629" customFormat="1" x14ac:dyDescent="0.25"/>
    <row r="298630" customFormat="1" x14ac:dyDescent="0.25"/>
    <row r="298631" customFormat="1" x14ac:dyDescent="0.25"/>
    <row r="298632" customFormat="1" x14ac:dyDescent="0.25"/>
    <row r="298633" customFormat="1" x14ac:dyDescent="0.25"/>
    <row r="298634" customFormat="1" x14ac:dyDescent="0.25"/>
    <row r="298635" customFormat="1" x14ac:dyDescent="0.25"/>
    <row r="298636" customFormat="1" x14ac:dyDescent="0.25"/>
    <row r="298637" customFormat="1" x14ac:dyDescent="0.25"/>
    <row r="298638" customFormat="1" x14ac:dyDescent="0.25"/>
    <row r="298639" customFormat="1" x14ac:dyDescent="0.25"/>
    <row r="298640" customFormat="1" x14ac:dyDescent="0.25"/>
    <row r="298641" customFormat="1" x14ac:dyDescent="0.25"/>
    <row r="298642" customFormat="1" x14ac:dyDescent="0.25"/>
    <row r="298643" customFormat="1" x14ac:dyDescent="0.25"/>
    <row r="298644" customFormat="1" x14ac:dyDescent="0.25"/>
    <row r="298645" customFormat="1" x14ac:dyDescent="0.25"/>
    <row r="298646" customFormat="1" x14ac:dyDescent="0.25"/>
    <row r="298647" customFormat="1" x14ac:dyDescent="0.25"/>
    <row r="298648" customFormat="1" x14ac:dyDescent="0.25"/>
    <row r="298649" customFormat="1" x14ac:dyDescent="0.25"/>
    <row r="298650" customFormat="1" x14ac:dyDescent="0.25"/>
    <row r="298651" customFormat="1" x14ac:dyDescent="0.25"/>
    <row r="298652" customFormat="1" x14ac:dyDescent="0.25"/>
    <row r="298653" customFormat="1" x14ac:dyDescent="0.25"/>
    <row r="298654" customFormat="1" x14ac:dyDescent="0.25"/>
    <row r="298655" customFormat="1" x14ac:dyDescent="0.25"/>
    <row r="298656" customFormat="1" x14ac:dyDescent="0.25"/>
    <row r="298657" customFormat="1" x14ac:dyDescent="0.25"/>
    <row r="298658" customFormat="1" x14ac:dyDescent="0.25"/>
    <row r="298659" customFormat="1" x14ac:dyDescent="0.25"/>
    <row r="298660" customFormat="1" x14ac:dyDescent="0.25"/>
    <row r="298661" customFormat="1" x14ac:dyDescent="0.25"/>
    <row r="298662" customFormat="1" x14ac:dyDescent="0.25"/>
    <row r="298663" customFormat="1" x14ac:dyDescent="0.25"/>
    <row r="298664" customFormat="1" x14ac:dyDescent="0.25"/>
    <row r="298665" customFormat="1" x14ac:dyDescent="0.25"/>
    <row r="298666" customFormat="1" x14ac:dyDescent="0.25"/>
    <row r="298667" customFormat="1" x14ac:dyDescent="0.25"/>
    <row r="298668" customFormat="1" x14ac:dyDescent="0.25"/>
    <row r="298669" customFormat="1" x14ac:dyDescent="0.25"/>
    <row r="298670" customFormat="1" x14ac:dyDescent="0.25"/>
    <row r="298671" customFormat="1" x14ac:dyDescent="0.25"/>
    <row r="298672" customFormat="1" x14ac:dyDescent="0.25"/>
    <row r="298673" customFormat="1" x14ac:dyDescent="0.25"/>
    <row r="298674" customFormat="1" x14ac:dyDescent="0.25"/>
    <row r="298675" customFormat="1" x14ac:dyDescent="0.25"/>
    <row r="298676" customFormat="1" x14ac:dyDescent="0.25"/>
    <row r="298677" customFormat="1" x14ac:dyDescent="0.25"/>
    <row r="298678" customFormat="1" x14ac:dyDescent="0.25"/>
    <row r="298679" customFormat="1" x14ac:dyDescent="0.25"/>
    <row r="298680" customFormat="1" x14ac:dyDescent="0.25"/>
    <row r="298681" customFormat="1" x14ac:dyDescent="0.25"/>
    <row r="298682" customFormat="1" x14ac:dyDescent="0.25"/>
    <row r="298683" customFormat="1" x14ac:dyDescent="0.25"/>
    <row r="298684" customFormat="1" x14ac:dyDescent="0.25"/>
    <row r="298685" customFormat="1" x14ac:dyDescent="0.25"/>
    <row r="298686" customFormat="1" x14ac:dyDescent="0.25"/>
    <row r="298687" customFormat="1" x14ac:dyDescent="0.25"/>
    <row r="298688" customFormat="1" x14ac:dyDescent="0.25"/>
    <row r="298689" customFormat="1" x14ac:dyDescent="0.25"/>
    <row r="298690" customFormat="1" x14ac:dyDescent="0.25"/>
    <row r="298691" customFormat="1" x14ac:dyDescent="0.25"/>
    <row r="298692" customFormat="1" x14ac:dyDescent="0.25"/>
    <row r="298693" customFormat="1" x14ac:dyDescent="0.25"/>
    <row r="298694" customFormat="1" x14ac:dyDescent="0.25"/>
    <row r="298695" customFormat="1" x14ac:dyDescent="0.25"/>
    <row r="298696" customFormat="1" x14ac:dyDescent="0.25"/>
    <row r="298697" customFormat="1" x14ac:dyDescent="0.25"/>
    <row r="298698" customFormat="1" x14ac:dyDescent="0.25"/>
    <row r="298699" customFormat="1" x14ac:dyDescent="0.25"/>
    <row r="298700" customFormat="1" x14ac:dyDescent="0.25"/>
    <row r="298701" customFormat="1" x14ac:dyDescent="0.25"/>
    <row r="298702" customFormat="1" x14ac:dyDescent="0.25"/>
    <row r="298703" customFormat="1" x14ac:dyDescent="0.25"/>
    <row r="298704" customFormat="1" x14ac:dyDescent="0.25"/>
    <row r="298705" customFormat="1" x14ac:dyDescent="0.25"/>
    <row r="298706" customFormat="1" x14ac:dyDescent="0.25"/>
    <row r="298707" customFormat="1" x14ac:dyDescent="0.25"/>
    <row r="298708" customFormat="1" x14ac:dyDescent="0.25"/>
    <row r="298709" customFormat="1" x14ac:dyDescent="0.25"/>
    <row r="298710" customFormat="1" x14ac:dyDescent="0.25"/>
    <row r="298711" customFormat="1" x14ac:dyDescent="0.25"/>
    <row r="298712" customFormat="1" x14ac:dyDescent="0.25"/>
    <row r="298713" customFormat="1" x14ac:dyDescent="0.25"/>
    <row r="298714" customFormat="1" x14ac:dyDescent="0.25"/>
    <row r="298715" customFormat="1" x14ac:dyDescent="0.25"/>
    <row r="298716" customFormat="1" x14ac:dyDescent="0.25"/>
    <row r="298717" customFormat="1" x14ac:dyDescent="0.25"/>
    <row r="298718" customFormat="1" x14ac:dyDescent="0.25"/>
    <row r="298719" customFormat="1" x14ac:dyDescent="0.25"/>
    <row r="298720" customFormat="1" x14ac:dyDescent="0.25"/>
    <row r="298721" customFormat="1" x14ac:dyDescent="0.25"/>
    <row r="298722" customFormat="1" x14ac:dyDescent="0.25"/>
    <row r="298723" customFormat="1" x14ac:dyDescent="0.25"/>
    <row r="298724" customFormat="1" x14ac:dyDescent="0.25"/>
    <row r="298725" customFormat="1" x14ac:dyDescent="0.25"/>
    <row r="298726" customFormat="1" x14ac:dyDescent="0.25"/>
    <row r="298727" customFormat="1" x14ac:dyDescent="0.25"/>
    <row r="298728" customFormat="1" x14ac:dyDescent="0.25"/>
    <row r="298729" customFormat="1" x14ac:dyDescent="0.25"/>
    <row r="298730" customFormat="1" x14ac:dyDescent="0.25"/>
    <row r="298731" customFormat="1" x14ac:dyDescent="0.25"/>
    <row r="298732" customFormat="1" x14ac:dyDescent="0.25"/>
    <row r="298733" customFormat="1" x14ac:dyDescent="0.25"/>
    <row r="298734" customFormat="1" x14ac:dyDescent="0.25"/>
    <row r="298735" customFormat="1" x14ac:dyDescent="0.25"/>
    <row r="298736" customFormat="1" x14ac:dyDescent="0.25"/>
    <row r="298737" customFormat="1" x14ac:dyDescent="0.25"/>
    <row r="298738" customFormat="1" x14ac:dyDescent="0.25"/>
    <row r="298739" customFormat="1" x14ac:dyDescent="0.25"/>
    <row r="298740" customFormat="1" x14ac:dyDescent="0.25"/>
    <row r="298741" customFormat="1" x14ac:dyDescent="0.25"/>
    <row r="298742" customFormat="1" x14ac:dyDescent="0.25"/>
    <row r="298743" customFormat="1" x14ac:dyDescent="0.25"/>
    <row r="298744" customFormat="1" x14ac:dyDescent="0.25"/>
    <row r="298745" customFormat="1" x14ac:dyDescent="0.25"/>
    <row r="298746" customFormat="1" x14ac:dyDescent="0.25"/>
    <row r="298747" customFormat="1" x14ac:dyDescent="0.25"/>
    <row r="298748" customFormat="1" x14ac:dyDescent="0.25"/>
    <row r="298749" customFormat="1" x14ac:dyDescent="0.25"/>
    <row r="298750" customFormat="1" x14ac:dyDescent="0.25"/>
    <row r="298751" customFormat="1" x14ac:dyDescent="0.25"/>
    <row r="298752" customFormat="1" x14ac:dyDescent="0.25"/>
    <row r="298753" customFormat="1" x14ac:dyDescent="0.25"/>
    <row r="298754" customFormat="1" x14ac:dyDescent="0.25"/>
    <row r="298755" customFormat="1" x14ac:dyDescent="0.25"/>
    <row r="298756" customFormat="1" x14ac:dyDescent="0.25"/>
    <row r="298757" customFormat="1" x14ac:dyDescent="0.25"/>
    <row r="298758" customFormat="1" x14ac:dyDescent="0.25"/>
    <row r="298759" customFormat="1" x14ac:dyDescent="0.25"/>
    <row r="298760" customFormat="1" x14ac:dyDescent="0.25"/>
    <row r="298761" customFormat="1" x14ac:dyDescent="0.25"/>
    <row r="298762" customFormat="1" x14ac:dyDescent="0.25"/>
    <row r="298763" customFormat="1" x14ac:dyDescent="0.25"/>
    <row r="298764" customFormat="1" x14ac:dyDescent="0.25"/>
    <row r="298765" customFormat="1" x14ac:dyDescent="0.25"/>
    <row r="298766" customFormat="1" x14ac:dyDescent="0.25"/>
    <row r="298767" customFormat="1" x14ac:dyDescent="0.25"/>
    <row r="298768" customFormat="1" x14ac:dyDescent="0.25"/>
    <row r="298769" customFormat="1" x14ac:dyDescent="0.25"/>
    <row r="298770" customFormat="1" x14ac:dyDescent="0.25"/>
    <row r="298771" customFormat="1" x14ac:dyDescent="0.25"/>
    <row r="298772" customFormat="1" x14ac:dyDescent="0.25"/>
    <row r="298773" customFormat="1" x14ac:dyDescent="0.25"/>
    <row r="298774" customFormat="1" x14ac:dyDescent="0.25"/>
    <row r="298775" customFormat="1" x14ac:dyDescent="0.25"/>
    <row r="298776" customFormat="1" x14ac:dyDescent="0.25"/>
    <row r="298777" customFormat="1" x14ac:dyDescent="0.25"/>
    <row r="298778" customFormat="1" x14ac:dyDescent="0.25"/>
    <row r="298779" customFormat="1" x14ac:dyDescent="0.25"/>
    <row r="298780" customFormat="1" x14ac:dyDescent="0.25"/>
    <row r="298781" customFormat="1" x14ac:dyDescent="0.25"/>
    <row r="298782" customFormat="1" x14ac:dyDescent="0.25"/>
    <row r="298783" customFormat="1" x14ac:dyDescent="0.25"/>
    <row r="298784" customFormat="1" x14ac:dyDescent="0.25"/>
    <row r="298785" customFormat="1" x14ac:dyDescent="0.25"/>
    <row r="298786" customFormat="1" x14ac:dyDescent="0.25"/>
    <row r="298787" customFormat="1" x14ac:dyDescent="0.25"/>
    <row r="298788" customFormat="1" x14ac:dyDescent="0.25"/>
    <row r="298789" customFormat="1" x14ac:dyDescent="0.25"/>
    <row r="298790" customFormat="1" x14ac:dyDescent="0.25"/>
    <row r="298791" customFormat="1" x14ac:dyDescent="0.25"/>
    <row r="298792" customFormat="1" x14ac:dyDescent="0.25"/>
    <row r="298793" customFormat="1" x14ac:dyDescent="0.25"/>
    <row r="298794" customFormat="1" x14ac:dyDescent="0.25"/>
    <row r="298795" customFormat="1" x14ac:dyDescent="0.25"/>
    <row r="298796" customFormat="1" x14ac:dyDescent="0.25"/>
    <row r="298797" customFormat="1" x14ac:dyDescent="0.25"/>
    <row r="298798" customFormat="1" x14ac:dyDescent="0.25"/>
    <row r="298799" customFormat="1" x14ac:dyDescent="0.25"/>
    <row r="298800" customFormat="1" x14ac:dyDescent="0.25"/>
    <row r="298801" customFormat="1" x14ac:dyDescent="0.25"/>
    <row r="298802" customFormat="1" x14ac:dyDescent="0.25"/>
    <row r="298803" customFormat="1" x14ac:dyDescent="0.25"/>
    <row r="298804" customFormat="1" x14ac:dyDescent="0.25"/>
    <row r="298805" customFormat="1" x14ac:dyDescent="0.25"/>
    <row r="298806" customFormat="1" x14ac:dyDescent="0.25"/>
    <row r="298807" customFormat="1" x14ac:dyDescent="0.25"/>
    <row r="298808" customFormat="1" x14ac:dyDescent="0.25"/>
    <row r="298809" customFormat="1" x14ac:dyDescent="0.25"/>
    <row r="298810" customFormat="1" x14ac:dyDescent="0.25"/>
    <row r="298811" customFormat="1" x14ac:dyDescent="0.25"/>
    <row r="298812" customFormat="1" x14ac:dyDescent="0.25"/>
    <row r="298813" customFormat="1" x14ac:dyDescent="0.25"/>
    <row r="298814" customFormat="1" x14ac:dyDescent="0.25"/>
    <row r="298815" customFormat="1" x14ac:dyDescent="0.25"/>
    <row r="298816" customFormat="1" x14ac:dyDescent="0.25"/>
    <row r="298817" customFormat="1" x14ac:dyDescent="0.25"/>
    <row r="298818" customFormat="1" x14ac:dyDescent="0.25"/>
    <row r="298819" customFormat="1" x14ac:dyDescent="0.25"/>
    <row r="298820" customFormat="1" x14ac:dyDescent="0.25"/>
    <row r="298821" customFormat="1" x14ac:dyDescent="0.25"/>
    <row r="298822" customFormat="1" x14ac:dyDescent="0.25"/>
    <row r="298823" customFormat="1" x14ac:dyDescent="0.25"/>
    <row r="298824" customFormat="1" x14ac:dyDescent="0.25"/>
    <row r="298825" customFormat="1" x14ac:dyDescent="0.25"/>
    <row r="298826" customFormat="1" x14ac:dyDescent="0.25"/>
    <row r="298827" customFormat="1" x14ac:dyDescent="0.25"/>
    <row r="298828" customFormat="1" x14ac:dyDescent="0.25"/>
    <row r="298829" customFormat="1" x14ac:dyDescent="0.25"/>
    <row r="298830" customFormat="1" x14ac:dyDescent="0.25"/>
    <row r="298831" customFormat="1" x14ac:dyDescent="0.25"/>
    <row r="298832" customFormat="1" x14ac:dyDescent="0.25"/>
    <row r="298833" customFormat="1" x14ac:dyDescent="0.25"/>
    <row r="298834" customFormat="1" x14ac:dyDescent="0.25"/>
    <row r="298835" customFormat="1" x14ac:dyDescent="0.25"/>
    <row r="298836" customFormat="1" x14ac:dyDescent="0.25"/>
    <row r="298837" customFormat="1" x14ac:dyDescent="0.25"/>
    <row r="298838" customFormat="1" x14ac:dyDescent="0.25"/>
    <row r="298839" customFormat="1" x14ac:dyDescent="0.25"/>
    <row r="298840" customFormat="1" x14ac:dyDescent="0.25"/>
    <row r="298841" customFormat="1" x14ac:dyDescent="0.25"/>
    <row r="298842" customFormat="1" x14ac:dyDescent="0.25"/>
    <row r="298843" customFormat="1" x14ac:dyDescent="0.25"/>
    <row r="298844" customFormat="1" x14ac:dyDescent="0.25"/>
    <row r="298845" customFormat="1" x14ac:dyDescent="0.25"/>
    <row r="298846" customFormat="1" x14ac:dyDescent="0.25"/>
    <row r="298847" customFormat="1" x14ac:dyDescent="0.25"/>
    <row r="298848" customFormat="1" x14ac:dyDescent="0.25"/>
    <row r="298849" customFormat="1" x14ac:dyDescent="0.25"/>
    <row r="298850" customFormat="1" x14ac:dyDescent="0.25"/>
    <row r="298851" customFormat="1" x14ac:dyDescent="0.25"/>
    <row r="298852" customFormat="1" x14ac:dyDescent="0.25"/>
    <row r="298853" customFormat="1" x14ac:dyDescent="0.25"/>
    <row r="298854" customFormat="1" x14ac:dyDescent="0.25"/>
    <row r="298855" customFormat="1" x14ac:dyDescent="0.25"/>
    <row r="298856" customFormat="1" x14ac:dyDescent="0.25"/>
    <row r="298857" customFormat="1" x14ac:dyDescent="0.25"/>
    <row r="298858" customFormat="1" x14ac:dyDescent="0.25"/>
    <row r="298859" customFormat="1" x14ac:dyDescent="0.25"/>
    <row r="298860" customFormat="1" x14ac:dyDescent="0.25"/>
    <row r="298861" customFormat="1" x14ac:dyDescent="0.25"/>
    <row r="298862" customFormat="1" x14ac:dyDescent="0.25"/>
    <row r="298863" customFormat="1" x14ac:dyDescent="0.25"/>
    <row r="298864" customFormat="1" x14ac:dyDescent="0.25"/>
    <row r="298865" customFormat="1" x14ac:dyDescent="0.25"/>
    <row r="298866" customFormat="1" x14ac:dyDescent="0.25"/>
    <row r="298867" customFormat="1" x14ac:dyDescent="0.25"/>
    <row r="298868" customFormat="1" x14ac:dyDescent="0.25"/>
    <row r="298869" customFormat="1" x14ac:dyDescent="0.25"/>
    <row r="298870" customFormat="1" x14ac:dyDescent="0.25"/>
    <row r="298871" customFormat="1" x14ac:dyDescent="0.25"/>
    <row r="298872" customFormat="1" x14ac:dyDescent="0.25"/>
    <row r="298873" customFormat="1" x14ac:dyDescent="0.25"/>
    <row r="298874" customFormat="1" x14ac:dyDescent="0.25"/>
    <row r="298875" customFormat="1" x14ac:dyDescent="0.25"/>
    <row r="298876" customFormat="1" x14ac:dyDescent="0.25"/>
    <row r="298877" customFormat="1" x14ac:dyDescent="0.25"/>
    <row r="298878" customFormat="1" x14ac:dyDescent="0.25"/>
    <row r="298879" customFormat="1" x14ac:dyDescent="0.25"/>
    <row r="298880" customFormat="1" x14ac:dyDescent="0.25"/>
    <row r="298881" customFormat="1" x14ac:dyDescent="0.25"/>
    <row r="298882" customFormat="1" x14ac:dyDescent="0.25"/>
    <row r="298883" customFormat="1" x14ac:dyDescent="0.25"/>
    <row r="298884" customFormat="1" x14ac:dyDescent="0.25"/>
    <row r="298885" customFormat="1" x14ac:dyDescent="0.25"/>
    <row r="298886" customFormat="1" x14ac:dyDescent="0.25"/>
    <row r="298887" customFormat="1" x14ac:dyDescent="0.25"/>
    <row r="298888" customFormat="1" x14ac:dyDescent="0.25"/>
    <row r="298889" customFormat="1" x14ac:dyDescent="0.25"/>
    <row r="298890" customFormat="1" x14ac:dyDescent="0.25"/>
    <row r="298891" customFormat="1" x14ac:dyDescent="0.25"/>
    <row r="298892" customFormat="1" x14ac:dyDescent="0.25"/>
    <row r="298893" customFormat="1" x14ac:dyDescent="0.25"/>
    <row r="298894" customFormat="1" x14ac:dyDescent="0.25"/>
    <row r="298895" customFormat="1" x14ac:dyDescent="0.25"/>
    <row r="298896" customFormat="1" x14ac:dyDescent="0.25"/>
    <row r="298897" customFormat="1" x14ac:dyDescent="0.25"/>
    <row r="298898" customFormat="1" x14ac:dyDescent="0.25"/>
    <row r="298899" customFormat="1" x14ac:dyDescent="0.25"/>
    <row r="298900" customFormat="1" x14ac:dyDescent="0.25"/>
    <row r="298901" customFormat="1" x14ac:dyDescent="0.25"/>
    <row r="298902" customFormat="1" x14ac:dyDescent="0.25"/>
    <row r="298903" customFormat="1" x14ac:dyDescent="0.25"/>
    <row r="298904" customFormat="1" x14ac:dyDescent="0.25"/>
    <row r="298905" customFormat="1" x14ac:dyDescent="0.25"/>
    <row r="298906" customFormat="1" x14ac:dyDescent="0.25"/>
    <row r="298907" customFormat="1" x14ac:dyDescent="0.25"/>
    <row r="298908" customFormat="1" x14ac:dyDescent="0.25"/>
    <row r="298909" customFormat="1" x14ac:dyDescent="0.25"/>
    <row r="298910" customFormat="1" x14ac:dyDescent="0.25"/>
    <row r="298911" customFormat="1" x14ac:dyDescent="0.25"/>
    <row r="298912" customFormat="1" x14ac:dyDescent="0.25"/>
    <row r="298913" customFormat="1" x14ac:dyDescent="0.25"/>
    <row r="298914" customFormat="1" x14ac:dyDescent="0.25"/>
    <row r="298915" customFormat="1" x14ac:dyDescent="0.25"/>
    <row r="298916" customFormat="1" x14ac:dyDescent="0.25"/>
    <row r="298917" customFormat="1" x14ac:dyDescent="0.25"/>
    <row r="298918" customFormat="1" x14ac:dyDescent="0.25"/>
    <row r="298919" customFormat="1" x14ac:dyDescent="0.25"/>
    <row r="298920" customFormat="1" x14ac:dyDescent="0.25"/>
    <row r="298921" customFormat="1" x14ac:dyDescent="0.25"/>
    <row r="298922" customFormat="1" x14ac:dyDescent="0.25"/>
    <row r="298923" customFormat="1" x14ac:dyDescent="0.25"/>
    <row r="298924" customFormat="1" x14ac:dyDescent="0.25"/>
    <row r="298925" customFormat="1" x14ac:dyDescent="0.25"/>
    <row r="298926" customFormat="1" x14ac:dyDescent="0.25"/>
    <row r="298927" customFormat="1" x14ac:dyDescent="0.25"/>
    <row r="298928" customFormat="1" x14ac:dyDescent="0.25"/>
    <row r="298929" customFormat="1" x14ac:dyDescent="0.25"/>
    <row r="298930" customFormat="1" x14ac:dyDescent="0.25"/>
    <row r="298931" customFormat="1" x14ac:dyDescent="0.25"/>
    <row r="298932" customFormat="1" x14ac:dyDescent="0.25"/>
    <row r="298933" customFormat="1" x14ac:dyDescent="0.25"/>
    <row r="298934" customFormat="1" x14ac:dyDescent="0.25"/>
    <row r="298935" customFormat="1" x14ac:dyDescent="0.25"/>
    <row r="298936" customFormat="1" x14ac:dyDescent="0.25"/>
    <row r="298937" customFormat="1" x14ac:dyDescent="0.25"/>
    <row r="298938" customFormat="1" x14ac:dyDescent="0.25"/>
    <row r="298939" customFormat="1" x14ac:dyDescent="0.25"/>
    <row r="298940" customFormat="1" x14ac:dyDescent="0.25"/>
    <row r="298941" customFormat="1" x14ac:dyDescent="0.25"/>
    <row r="298942" customFormat="1" x14ac:dyDescent="0.25"/>
    <row r="298943" customFormat="1" x14ac:dyDescent="0.25"/>
    <row r="298944" customFormat="1" x14ac:dyDescent="0.25"/>
    <row r="298945" customFormat="1" x14ac:dyDescent="0.25"/>
    <row r="298946" customFormat="1" x14ac:dyDescent="0.25"/>
    <row r="298947" customFormat="1" x14ac:dyDescent="0.25"/>
    <row r="298948" customFormat="1" x14ac:dyDescent="0.25"/>
    <row r="298949" customFormat="1" x14ac:dyDescent="0.25"/>
    <row r="298950" customFormat="1" x14ac:dyDescent="0.25"/>
    <row r="298951" customFormat="1" x14ac:dyDescent="0.25"/>
    <row r="298952" customFormat="1" x14ac:dyDescent="0.25"/>
    <row r="298953" customFormat="1" x14ac:dyDescent="0.25"/>
    <row r="298954" customFormat="1" x14ac:dyDescent="0.25"/>
    <row r="298955" customFormat="1" x14ac:dyDescent="0.25"/>
    <row r="298956" customFormat="1" x14ac:dyDescent="0.25"/>
    <row r="298957" customFormat="1" x14ac:dyDescent="0.25"/>
    <row r="298958" customFormat="1" x14ac:dyDescent="0.25"/>
    <row r="298959" customFormat="1" x14ac:dyDescent="0.25"/>
    <row r="298960" customFormat="1" x14ac:dyDescent="0.25"/>
    <row r="298961" customFormat="1" x14ac:dyDescent="0.25"/>
    <row r="298962" customFormat="1" x14ac:dyDescent="0.25"/>
    <row r="298963" customFormat="1" x14ac:dyDescent="0.25"/>
    <row r="298964" customFormat="1" x14ac:dyDescent="0.25"/>
    <row r="298965" customFormat="1" x14ac:dyDescent="0.25"/>
    <row r="298966" customFormat="1" x14ac:dyDescent="0.25"/>
    <row r="298967" customFormat="1" x14ac:dyDescent="0.25"/>
    <row r="298968" customFormat="1" x14ac:dyDescent="0.25"/>
    <row r="298969" customFormat="1" x14ac:dyDescent="0.25"/>
    <row r="298970" customFormat="1" x14ac:dyDescent="0.25"/>
    <row r="298971" customFormat="1" x14ac:dyDescent="0.25"/>
    <row r="298972" customFormat="1" x14ac:dyDescent="0.25"/>
    <row r="298973" customFormat="1" x14ac:dyDescent="0.25"/>
    <row r="298974" customFormat="1" x14ac:dyDescent="0.25"/>
    <row r="298975" customFormat="1" x14ac:dyDescent="0.25"/>
    <row r="298976" customFormat="1" x14ac:dyDescent="0.25"/>
    <row r="298977" customFormat="1" x14ac:dyDescent="0.25"/>
    <row r="298978" customFormat="1" x14ac:dyDescent="0.25"/>
    <row r="298979" customFormat="1" x14ac:dyDescent="0.25"/>
    <row r="298980" customFormat="1" x14ac:dyDescent="0.25"/>
    <row r="298981" customFormat="1" x14ac:dyDescent="0.25"/>
    <row r="298982" customFormat="1" x14ac:dyDescent="0.25"/>
    <row r="298983" customFormat="1" x14ac:dyDescent="0.25"/>
    <row r="298984" customFormat="1" x14ac:dyDescent="0.25"/>
    <row r="298985" customFormat="1" x14ac:dyDescent="0.25"/>
    <row r="298986" customFormat="1" x14ac:dyDescent="0.25"/>
    <row r="298987" customFormat="1" x14ac:dyDescent="0.25"/>
    <row r="298988" customFormat="1" x14ac:dyDescent="0.25"/>
    <row r="298989" customFormat="1" x14ac:dyDescent="0.25"/>
    <row r="298990" customFormat="1" x14ac:dyDescent="0.25"/>
    <row r="298991" customFormat="1" x14ac:dyDescent="0.25"/>
    <row r="298992" customFormat="1" x14ac:dyDescent="0.25"/>
    <row r="298993" customFormat="1" x14ac:dyDescent="0.25"/>
    <row r="298994" customFormat="1" x14ac:dyDescent="0.25"/>
    <row r="298995" customFormat="1" x14ac:dyDescent="0.25"/>
    <row r="298996" customFormat="1" x14ac:dyDescent="0.25"/>
    <row r="298997" customFormat="1" x14ac:dyDescent="0.25"/>
    <row r="298998" customFormat="1" x14ac:dyDescent="0.25"/>
    <row r="298999" customFormat="1" x14ac:dyDescent="0.25"/>
    <row r="299000" customFormat="1" x14ac:dyDescent="0.25"/>
    <row r="299001" customFormat="1" x14ac:dyDescent="0.25"/>
    <row r="299002" customFormat="1" x14ac:dyDescent="0.25"/>
    <row r="299003" customFormat="1" x14ac:dyDescent="0.25"/>
    <row r="299004" customFormat="1" x14ac:dyDescent="0.25"/>
    <row r="299005" customFormat="1" x14ac:dyDescent="0.25"/>
    <row r="299006" customFormat="1" x14ac:dyDescent="0.25"/>
    <row r="299007" customFormat="1" x14ac:dyDescent="0.25"/>
    <row r="299008" customFormat="1" x14ac:dyDescent="0.25"/>
    <row r="299009" customFormat="1" x14ac:dyDescent="0.25"/>
    <row r="299010" customFormat="1" x14ac:dyDescent="0.25"/>
    <row r="299011" customFormat="1" x14ac:dyDescent="0.25"/>
    <row r="299012" customFormat="1" x14ac:dyDescent="0.25"/>
    <row r="299013" customFormat="1" x14ac:dyDescent="0.25"/>
    <row r="299014" customFormat="1" x14ac:dyDescent="0.25"/>
    <row r="299015" customFormat="1" x14ac:dyDescent="0.25"/>
    <row r="299016" customFormat="1" x14ac:dyDescent="0.25"/>
    <row r="299017" customFormat="1" x14ac:dyDescent="0.25"/>
    <row r="299018" customFormat="1" x14ac:dyDescent="0.25"/>
    <row r="299019" customFormat="1" x14ac:dyDescent="0.25"/>
    <row r="299020" customFormat="1" x14ac:dyDescent="0.25"/>
    <row r="299021" customFormat="1" x14ac:dyDescent="0.25"/>
    <row r="299022" customFormat="1" x14ac:dyDescent="0.25"/>
    <row r="299023" customFormat="1" x14ac:dyDescent="0.25"/>
    <row r="299024" customFormat="1" x14ac:dyDescent="0.25"/>
    <row r="299025" customFormat="1" x14ac:dyDescent="0.25"/>
    <row r="299026" customFormat="1" x14ac:dyDescent="0.25"/>
    <row r="299027" customFormat="1" x14ac:dyDescent="0.25"/>
    <row r="299028" customFormat="1" x14ac:dyDescent="0.25"/>
    <row r="299029" customFormat="1" x14ac:dyDescent="0.25"/>
    <row r="299030" customFormat="1" x14ac:dyDescent="0.25"/>
    <row r="299031" customFormat="1" x14ac:dyDescent="0.25"/>
    <row r="299032" customFormat="1" x14ac:dyDescent="0.25"/>
    <row r="299033" customFormat="1" x14ac:dyDescent="0.25"/>
    <row r="299034" customFormat="1" x14ac:dyDescent="0.25"/>
    <row r="299035" customFormat="1" x14ac:dyDescent="0.25"/>
    <row r="299036" customFormat="1" x14ac:dyDescent="0.25"/>
    <row r="299037" customFormat="1" x14ac:dyDescent="0.25"/>
    <row r="299038" customFormat="1" x14ac:dyDescent="0.25"/>
    <row r="299039" customFormat="1" x14ac:dyDescent="0.25"/>
    <row r="299040" customFormat="1" x14ac:dyDescent="0.25"/>
    <row r="299041" customFormat="1" x14ac:dyDescent="0.25"/>
    <row r="299042" customFormat="1" x14ac:dyDescent="0.25"/>
    <row r="299043" customFormat="1" x14ac:dyDescent="0.25"/>
    <row r="299044" customFormat="1" x14ac:dyDescent="0.25"/>
    <row r="299045" customFormat="1" x14ac:dyDescent="0.25"/>
    <row r="299046" customFormat="1" x14ac:dyDescent="0.25"/>
    <row r="299047" customFormat="1" x14ac:dyDescent="0.25"/>
    <row r="299048" customFormat="1" x14ac:dyDescent="0.25"/>
    <row r="299049" customFormat="1" x14ac:dyDescent="0.25"/>
    <row r="299050" customFormat="1" x14ac:dyDescent="0.25"/>
    <row r="299051" customFormat="1" x14ac:dyDescent="0.25"/>
    <row r="299052" customFormat="1" x14ac:dyDescent="0.25"/>
    <row r="299053" customFormat="1" x14ac:dyDescent="0.25"/>
    <row r="299054" customFormat="1" x14ac:dyDescent="0.25"/>
    <row r="299055" customFormat="1" x14ac:dyDescent="0.25"/>
    <row r="299056" customFormat="1" x14ac:dyDescent="0.25"/>
    <row r="299057" customFormat="1" x14ac:dyDescent="0.25"/>
    <row r="299058" customFormat="1" x14ac:dyDescent="0.25"/>
    <row r="299059" customFormat="1" x14ac:dyDescent="0.25"/>
    <row r="299060" customFormat="1" x14ac:dyDescent="0.25"/>
    <row r="299061" customFormat="1" x14ac:dyDescent="0.25"/>
    <row r="299062" customFormat="1" x14ac:dyDescent="0.25"/>
    <row r="299063" customFormat="1" x14ac:dyDescent="0.25"/>
    <row r="299064" customFormat="1" x14ac:dyDescent="0.25"/>
    <row r="299065" customFormat="1" x14ac:dyDescent="0.25"/>
    <row r="299066" customFormat="1" x14ac:dyDescent="0.25"/>
    <row r="299067" customFormat="1" x14ac:dyDescent="0.25"/>
    <row r="299068" customFormat="1" x14ac:dyDescent="0.25"/>
    <row r="299069" customFormat="1" x14ac:dyDescent="0.25"/>
    <row r="299070" customFormat="1" x14ac:dyDescent="0.25"/>
    <row r="299071" customFormat="1" x14ac:dyDescent="0.25"/>
    <row r="299072" customFormat="1" x14ac:dyDescent="0.25"/>
    <row r="299073" customFormat="1" x14ac:dyDescent="0.25"/>
    <row r="299074" customFormat="1" x14ac:dyDescent="0.25"/>
    <row r="299075" customFormat="1" x14ac:dyDescent="0.25"/>
    <row r="299076" customFormat="1" x14ac:dyDescent="0.25"/>
    <row r="299077" customFormat="1" x14ac:dyDescent="0.25"/>
    <row r="299078" customFormat="1" x14ac:dyDescent="0.25"/>
    <row r="299079" customFormat="1" x14ac:dyDescent="0.25"/>
    <row r="299080" customFormat="1" x14ac:dyDescent="0.25"/>
    <row r="299081" customFormat="1" x14ac:dyDescent="0.25"/>
    <row r="299082" customFormat="1" x14ac:dyDescent="0.25"/>
    <row r="299083" customFormat="1" x14ac:dyDescent="0.25"/>
    <row r="299084" customFormat="1" x14ac:dyDescent="0.25"/>
    <row r="299085" customFormat="1" x14ac:dyDescent="0.25"/>
    <row r="299086" customFormat="1" x14ac:dyDescent="0.25"/>
    <row r="299087" customFormat="1" x14ac:dyDescent="0.25"/>
    <row r="299088" customFormat="1" x14ac:dyDescent="0.25"/>
    <row r="299089" customFormat="1" x14ac:dyDescent="0.25"/>
    <row r="299090" customFormat="1" x14ac:dyDescent="0.25"/>
    <row r="299091" customFormat="1" x14ac:dyDescent="0.25"/>
    <row r="299092" customFormat="1" x14ac:dyDescent="0.25"/>
    <row r="299093" customFormat="1" x14ac:dyDescent="0.25"/>
    <row r="299094" customFormat="1" x14ac:dyDescent="0.25"/>
    <row r="299095" customFormat="1" x14ac:dyDescent="0.25"/>
    <row r="299096" customFormat="1" x14ac:dyDescent="0.25"/>
    <row r="299097" customFormat="1" x14ac:dyDescent="0.25"/>
    <row r="299098" customFormat="1" x14ac:dyDescent="0.25"/>
    <row r="299099" customFormat="1" x14ac:dyDescent="0.25"/>
    <row r="299100" customFormat="1" x14ac:dyDescent="0.25"/>
    <row r="299101" customFormat="1" x14ac:dyDescent="0.25"/>
    <row r="299102" customFormat="1" x14ac:dyDescent="0.25"/>
    <row r="299103" customFormat="1" x14ac:dyDescent="0.25"/>
    <row r="299104" customFormat="1" x14ac:dyDescent="0.25"/>
    <row r="299105" customFormat="1" x14ac:dyDescent="0.25"/>
    <row r="299106" customFormat="1" x14ac:dyDescent="0.25"/>
    <row r="299107" customFormat="1" x14ac:dyDescent="0.25"/>
    <row r="299108" customFormat="1" x14ac:dyDescent="0.25"/>
    <row r="299109" customFormat="1" x14ac:dyDescent="0.25"/>
    <row r="299110" customFormat="1" x14ac:dyDescent="0.25"/>
    <row r="299111" customFormat="1" x14ac:dyDescent="0.25"/>
    <row r="299112" customFormat="1" x14ac:dyDescent="0.25"/>
    <row r="299113" customFormat="1" x14ac:dyDescent="0.25"/>
    <row r="299114" customFormat="1" x14ac:dyDescent="0.25"/>
    <row r="299115" customFormat="1" x14ac:dyDescent="0.25"/>
    <row r="299116" customFormat="1" x14ac:dyDescent="0.25"/>
    <row r="299117" customFormat="1" x14ac:dyDescent="0.25"/>
    <row r="299118" customFormat="1" x14ac:dyDescent="0.25"/>
    <row r="299119" customFormat="1" x14ac:dyDescent="0.25"/>
    <row r="299120" customFormat="1" x14ac:dyDescent="0.25"/>
    <row r="299121" customFormat="1" x14ac:dyDescent="0.25"/>
    <row r="299122" customFormat="1" x14ac:dyDescent="0.25"/>
    <row r="299123" customFormat="1" x14ac:dyDescent="0.25"/>
    <row r="299124" customFormat="1" x14ac:dyDescent="0.25"/>
    <row r="299125" customFormat="1" x14ac:dyDescent="0.25"/>
    <row r="299126" customFormat="1" x14ac:dyDescent="0.25"/>
    <row r="299127" customFormat="1" x14ac:dyDescent="0.25"/>
    <row r="299128" customFormat="1" x14ac:dyDescent="0.25"/>
    <row r="299129" customFormat="1" x14ac:dyDescent="0.25"/>
    <row r="299130" customFormat="1" x14ac:dyDescent="0.25"/>
    <row r="299131" customFormat="1" x14ac:dyDescent="0.25"/>
    <row r="299132" customFormat="1" x14ac:dyDescent="0.25"/>
    <row r="299133" customFormat="1" x14ac:dyDescent="0.25"/>
    <row r="299134" customFormat="1" x14ac:dyDescent="0.25"/>
    <row r="299135" customFormat="1" x14ac:dyDescent="0.25"/>
    <row r="299136" customFormat="1" x14ac:dyDescent="0.25"/>
    <row r="299137" customFormat="1" x14ac:dyDescent="0.25"/>
    <row r="299138" customFormat="1" x14ac:dyDescent="0.25"/>
    <row r="299139" customFormat="1" x14ac:dyDescent="0.25"/>
    <row r="299140" customFormat="1" x14ac:dyDescent="0.25"/>
    <row r="299141" customFormat="1" x14ac:dyDescent="0.25"/>
    <row r="299142" customFormat="1" x14ac:dyDescent="0.25"/>
    <row r="299143" customFormat="1" x14ac:dyDescent="0.25"/>
    <row r="299144" customFormat="1" x14ac:dyDescent="0.25"/>
    <row r="299145" customFormat="1" x14ac:dyDescent="0.25"/>
    <row r="299146" customFormat="1" x14ac:dyDescent="0.25"/>
    <row r="299147" customFormat="1" x14ac:dyDescent="0.25"/>
    <row r="299148" customFormat="1" x14ac:dyDescent="0.25"/>
    <row r="299149" customFormat="1" x14ac:dyDescent="0.25"/>
    <row r="299150" customFormat="1" x14ac:dyDescent="0.25"/>
    <row r="299151" customFormat="1" x14ac:dyDescent="0.25"/>
    <row r="299152" customFormat="1" x14ac:dyDescent="0.25"/>
    <row r="299153" customFormat="1" x14ac:dyDescent="0.25"/>
    <row r="299154" customFormat="1" x14ac:dyDescent="0.25"/>
    <row r="299155" customFormat="1" x14ac:dyDescent="0.25"/>
    <row r="299156" customFormat="1" x14ac:dyDescent="0.25"/>
    <row r="299157" customFormat="1" x14ac:dyDescent="0.25"/>
    <row r="299158" customFormat="1" x14ac:dyDescent="0.25"/>
    <row r="299159" customFormat="1" x14ac:dyDescent="0.25"/>
    <row r="299160" customFormat="1" x14ac:dyDescent="0.25"/>
    <row r="299161" customFormat="1" x14ac:dyDescent="0.25"/>
    <row r="299162" customFormat="1" x14ac:dyDescent="0.25"/>
    <row r="299163" customFormat="1" x14ac:dyDescent="0.25"/>
    <row r="299164" customFormat="1" x14ac:dyDescent="0.25"/>
    <row r="299165" customFormat="1" x14ac:dyDescent="0.25"/>
    <row r="299166" customFormat="1" x14ac:dyDescent="0.25"/>
    <row r="299167" customFormat="1" x14ac:dyDescent="0.25"/>
    <row r="299168" customFormat="1" x14ac:dyDescent="0.25"/>
    <row r="299169" customFormat="1" x14ac:dyDescent="0.25"/>
    <row r="299170" customFormat="1" x14ac:dyDescent="0.25"/>
    <row r="299171" customFormat="1" x14ac:dyDescent="0.25"/>
    <row r="299172" customFormat="1" x14ac:dyDescent="0.25"/>
    <row r="299173" customFormat="1" x14ac:dyDescent="0.25"/>
    <row r="299174" customFormat="1" x14ac:dyDescent="0.25"/>
    <row r="299175" customFormat="1" x14ac:dyDescent="0.25"/>
    <row r="299176" customFormat="1" x14ac:dyDescent="0.25"/>
    <row r="299177" customFormat="1" x14ac:dyDescent="0.25"/>
    <row r="299178" customFormat="1" x14ac:dyDescent="0.25"/>
    <row r="299179" customFormat="1" x14ac:dyDescent="0.25"/>
    <row r="299180" customFormat="1" x14ac:dyDescent="0.25"/>
    <row r="299181" customFormat="1" x14ac:dyDescent="0.25"/>
    <row r="299182" customFormat="1" x14ac:dyDescent="0.25"/>
    <row r="299183" customFormat="1" x14ac:dyDescent="0.25"/>
    <row r="299184" customFormat="1" x14ac:dyDescent="0.25"/>
    <row r="299185" customFormat="1" x14ac:dyDescent="0.25"/>
    <row r="299186" customFormat="1" x14ac:dyDescent="0.25"/>
    <row r="299187" customFormat="1" x14ac:dyDescent="0.25"/>
    <row r="299188" customFormat="1" x14ac:dyDescent="0.25"/>
    <row r="299189" customFormat="1" x14ac:dyDescent="0.25"/>
    <row r="299190" customFormat="1" x14ac:dyDescent="0.25"/>
    <row r="299191" customFormat="1" x14ac:dyDescent="0.25"/>
    <row r="299192" customFormat="1" x14ac:dyDescent="0.25"/>
    <row r="299193" customFormat="1" x14ac:dyDescent="0.25"/>
    <row r="299194" customFormat="1" x14ac:dyDescent="0.25"/>
    <row r="299195" customFormat="1" x14ac:dyDescent="0.25"/>
    <row r="299196" customFormat="1" x14ac:dyDescent="0.25"/>
    <row r="299197" customFormat="1" x14ac:dyDescent="0.25"/>
    <row r="299198" customFormat="1" x14ac:dyDescent="0.25"/>
    <row r="299199" customFormat="1" x14ac:dyDescent="0.25"/>
    <row r="299200" customFormat="1" x14ac:dyDescent="0.25"/>
    <row r="299201" customFormat="1" x14ac:dyDescent="0.25"/>
    <row r="299202" customFormat="1" x14ac:dyDescent="0.25"/>
    <row r="299203" customFormat="1" x14ac:dyDescent="0.25"/>
    <row r="299204" customFormat="1" x14ac:dyDescent="0.25"/>
    <row r="299205" customFormat="1" x14ac:dyDescent="0.25"/>
    <row r="299206" customFormat="1" x14ac:dyDescent="0.25"/>
    <row r="299207" customFormat="1" x14ac:dyDescent="0.25"/>
    <row r="299208" customFormat="1" x14ac:dyDescent="0.25"/>
    <row r="299209" customFormat="1" x14ac:dyDescent="0.25"/>
    <row r="299210" customFormat="1" x14ac:dyDescent="0.25"/>
    <row r="299211" customFormat="1" x14ac:dyDescent="0.25"/>
    <row r="299212" customFormat="1" x14ac:dyDescent="0.25"/>
    <row r="299213" customFormat="1" x14ac:dyDescent="0.25"/>
    <row r="299214" customFormat="1" x14ac:dyDescent="0.25"/>
    <row r="299215" customFormat="1" x14ac:dyDescent="0.25"/>
    <row r="299216" customFormat="1" x14ac:dyDescent="0.25"/>
    <row r="299217" customFormat="1" x14ac:dyDescent="0.25"/>
    <row r="299218" customFormat="1" x14ac:dyDescent="0.25"/>
    <row r="299219" customFormat="1" x14ac:dyDescent="0.25"/>
    <row r="299220" customFormat="1" x14ac:dyDescent="0.25"/>
    <row r="299221" customFormat="1" x14ac:dyDescent="0.25"/>
    <row r="299222" customFormat="1" x14ac:dyDescent="0.25"/>
    <row r="299223" customFormat="1" x14ac:dyDescent="0.25"/>
    <row r="299224" customFormat="1" x14ac:dyDescent="0.25"/>
    <row r="299225" customFormat="1" x14ac:dyDescent="0.25"/>
    <row r="299226" customFormat="1" x14ac:dyDescent="0.25"/>
    <row r="299227" customFormat="1" x14ac:dyDescent="0.25"/>
    <row r="299228" customFormat="1" x14ac:dyDescent="0.25"/>
    <row r="299229" customFormat="1" x14ac:dyDescent="0.25"/>
    <row r="299230" customFormat="1" x14ac:dyDescent="0.25"/>
    <row r="299231" customFormat="1" x14ac:dyDescent="0.25"/>
    <row r="299232" customFormat="1" x14ac:dyDescent="0.25"/>
    <row r="299233" customFormat="1" x14ac:dyDescent="0.25"/>
    <row r="299234" customFormat="1" x14ac:dyDescent="0.25"/>
    <row r="299235" customFormat="1" x14ac:dyDescent="0.25"/>
    <row r="299236" customFormat="1" x14ac:dyDescent="0.25"/>
    <row r="299237" customFormat="1" x14ac:dyDescent="0.25"/>
    <row r="299238" customFormat="1" x14ac:dyDescent="0.25"/>
    <row r="299239" customFormat="1" x14ac:dyDescent="0.25"/>
    <row r="299240" customFormat="1" x14ac:dyDescent="0.25"/>
    <row r="299241" customFormat="1" x14ac:dyDescent="0.25"/>
    <row r="299242" customFormat="1" x14ac:dyDescent="0.25"/>
    <row r="299243" customFormat="1" x14ac:dyDescent="0.25"/>
    <row r="299244" customFormat="1" x14ac:dyDescent="0.25"/>
    <row r="299245" customFormat="1" x14ac:dyDescent="0.25"/>
    <row r="299246" customFormat="1" x14ac:dyDescent="0.25"/>
    <row r="299247" customFormat="1" x14ac:dyDescent="0.25"/>
    <row r="299248" customFormat="1" x14ac:dyDescent="0.25"/>
    <row r="299249" customFormat="1" x14ac:dyDescent="0.25"/>
    <row r="299250" customFormat="1" x14ac:dyDescent="0.25"/>
    <row r="299251" customFormat="1" x14ac:dyDescent="0.25"/>
    <row r="299252" customFormat="1" x14ac:dyDescent="0.25"/>
    <row r="299253" customFormat="1" x14ac:dyDescent="0.25"/>
    <row r="299254" customFormat="1" x14ac:dyDescent="0.25"/>
    <row r="299255" customFormat="1" x14ac:dyDescent="0.25"/>
    <row r="299256" customFormat="1" x14ac:dyDescent="0.25"/>
    <row r="299257" customFormat="1" x14ac:dyDescent="0.25"/>
    <row r="299258" customFormat="1" x14ac:dyDescent="0.25"/>
    <row r="299259" customFormat="1" x14ac:dyDescent="0.25"/>
    <row r="299260" customFormat="1" x14ac:dyDescent="0.25"/>
    <row r="299261" customFormat="1" x14ac:dyDescent="0.25"/>
    <row r="299262" customFormat="1" x14ac:dyDescent="0.25"/>
    <row r="299263" customFormat="1" x14ac:dyDescent="0.25"/>
    <row r="299264" customFormat="1" x14ac:dyDescent="0.25"/>
    <row r="299265" customFormat="1" x14ac:dyDescent="0.25"/>
    <row r="299266" customFormat="1" x14ac:dyDescent="0.25"/>
    <row r="299267" customFormat="1" x14ac:dyDescent="0.25"/>
    <row r="299268" customFormat="1" x14ac:dyDescent="0.25"/>
    <row r="299269" customFormat="1" x14ac:dyDescent="0.25"/>
    <row r="299270" customFormat="1" x14ac:dyDescent="0.25"/>
    <row r="299271" customFormat="1" x14ac:dyDescent="0.25"/>
    <row r="299272" customFormat="1" x14ac:dyDescent="0.25"/>
    <row r="299273" customFormat="1" x14ac:dyDescent="0.25"/>
    <row r="299274" customFormat="1" x14ac:dyDescent="0.25"/>
    <row r="299275" customFormat="1" x14ac:dyDescent="0.25"/>
    <row r="299276" customFormat="1" x14ac:dyDescent="0.25"/>
    <row r="299277" customFormat="1" x14ac:dyDescent="0.25"/>
    <row r="299278" customFormat="1" x14ac:dyDescent="0.25"/>
    <row r="299279" customFormat="1" x14ac:dyDescent="0.25"/>
    <row r="299280" customFormat="1" x14ac:dyDescent="0.25"/>
    <row r="299281" customFormat="1" x14ac:dyDescent="0.25"/>
    <row r="299282" customFormat="1" x14ac:dyDescent="0.25"/>
    <row r="299283" customFormat="1" x14ac:dyDescent="0.25"/>
    <row r="299284" customFormat="1" x14ac:dyDescent="0.25"/>
    <row r="299285" customFormat="1" x14ac:dyDescent="0.25"/>
    <row r="299286" customFormat="1" x14ac:dyDescent="0.25"/>
    <row r="299287" customFormat="1" x14ac:dyDescent="0.25"/>
    <row r="299288" customFormat="1" x14ac:dyDescent="0.25"/>
    <row r="299289" customFormat="1" x14ac:dyDescent="0.25"/>
    <row r="299290" customFormat="1" x14ac:dyDescent="0.25"/>
    <row r="299291" customFormat="1" x14ac:dyDescent="0.25"/>
    <row r="299292" customFormat="1" x14ac:dyDescent="0.25"/>
    <row r="299293" customFormat="1" x14ac:dyDescent="0.25"/>
    <row r="299294" customFormat="1" x14ac:dyDescent="0.25"/>
    <row r="299295" customFormat="1" x14ac:dyDescent="0.25"/>
    <row r="299296" customFormat="1" x14ac:dyDescent="0.25"/>
    <row r="299297" customFormat="1" x14ac:dyDescent="0.25"/>
    <row r="299298" customFormat="1" x14ac:dyDescent="0.25"/>
    <row r="299299" customFormat="1" x14ac:dyDescent="0.25"/>
    <row r="299300" customFormat="1" x14ac:dyDescent="0.25"/>
    <row r="299301" customFormat="1" x14ac:dyDescent="0.25"/>
    <row r="299302" customFormat="1" x14ac:dyDescent="0.25"/>
    <row r="299303" customFormat="1" x14ac:dyDescent="0.25"/>
    <row r="299304" customFormat="1" x14ac:dyDescent="0.25"/>
    <row r="299305" customFormat="1" x14ac:dyDescent="0.25"/>
    <row r="299306" customFormat="1" x14ac:dyDescent="0.25"/>
    <row r="299307" customFormat="1" x14ac:dyDescent="0.25"/>
    <row r="299308" customFormat="1" x14ac:dyDescent="0.25"/>
    <row r="299309" customFormat="1" x14ac:dyDescent="0.25"/>
    <row r="299310" customFormat="1" x14ac:dyDescent="0.25"/>
    <row r="299311" customFormat="1" x14ac:dyDescent="0.25"/>
    <row r="299312" customFormat="1" x14ac:dyDescent="0.25"/>
    <row r="299313" customFormat="1" x14ac:dyDescent="0.25"/>
    <row r="299314" customFormat="1" x14ac:dyDescent="0.25"/>
    <row r="299315" customFormat="1" x14ac:dyDescent="0.25"/>
    <row r="299316" customFormat="1" x14ac:dyDescent="0.25"/>
    <row r="299317" customFormat="1" x14ac:dyDescent="0.25"/>
    <row r="299318" customFormat="1" x14ac:dyDescent="0.25"/>
    <row r="299319" customFormat="1" x14ac:dyDescent="0.25"/>
    <row r="299320" customFormat="1" x14ac:dyDescent="0.25"/>
    <row r="299321" customFormat="1" x14ac:dyDescent="0.25"/>
    <row r="299322" customFormat="1" x14ac:dyDescent="0.25"/>
    <row r="299323" customFormat="1" x14ac:dyDescent="0.25"/>
    <row r="299324" customFormat="1" x14ac:dyDescent="0.25"/>
    <row r="299325" customFormat="1" x14ac:dyDescent="0.25"/>
    <row r="299326" customFormat="1" x14ac:dyDescent="0.25"/>
    <row r="299327" customFormat="1" x14ac:dyDescent="0.25"/>
    <row r="299328" customFormat="1" x14ac:dyDescent="0.25"/>
    <row r="299329" customFormat="1" x14ac:dyDescent="0.25"/>
    <row r="299330" customFormat="1" x14ac:dyDescent="0.25"/>
    <row r="299331" customFormat="1" x14ac:dyDescent="0.25"/>
    <row r="299332" customFormat="1" x14ac:dyDescent="0.25"/>
    <row r="299333" customFormat="1" x14ac:dyDescent="0.25"/>
    <row r="299334" customFormat="1" x14ac:dyDescent="0.25"/>
    <row r="299335" customFormat="1" x14ac:dyDescent="0.25"/>
    <row r="299336" customFormat="1" x14ac:dyDescent="0.25"/>
    <row r="299337" customFormat="1" x14ac:dyDescent="0.25"/>
    <row r="299338" customFormat="1" x14ac:dyDescent="0.25"/>
    <row r="299339" customFormat="1" x14ac:dyDescent="0.25"/>
    <row r="299340" customFormat="1" x14ac:dyDescent="0.25"/>
    <row r="299341" customFormat="1" x14ac:dyDescent="0.25"/>
    <row r="299342" customFormat="1" x14ac:dyDescent="0.25"/>
    <row r="299343" customFormat="1" x14ac:dyDescent="0.25"/>
    <row r="299344" customFormat="1" x14ac:dyDescent="0.25"/>
    <row r="299345" customFormat="1" x14ac:dyDescent="0.25"/>
    <row r="299346" customFormat="1" x14ac:dyDescent="0.25"/>
    <row r="299347" customFormat="1" x14ac:dyDescent="0.25"/>
    <row r="299348" customFormat="1" x14ac:dyDescent="0.25"/>
    <row r="299349" customFormat="1" x14ac:dyDescent="0.25"/>
    <row r="299350" customFormat="1" x14ac:dyDescent="0.25"/>
    <row r="299351" customFormat="1" x14ac:dyDescent="0.25"/>
    <row r="299352" customFormat="1" x14ac:dyDescent="0.25"/>
    <row r="299353" customFormat="1" x14ac:dyDescent="0.25"/>
    <row r="299354" customFormat="1" x14ac:dyDescent="0.25"/>
    <row r="299355" customFormat="1" x14ac:dyDescent="0.25"/>
    <row r="299356" customFormat="1" x14ac:dyDescent="0.25"/>
    <row r="299357" customFormat="1" x14ac:dyDescent="0.25"/>
    <row r="299358" customFormat="1" x14ac:dyDescent="0.25"/>
    <row r="299359" customFormat="1" x14ac:dyDescent="0.25"/>
    <row r="299360" customFormat="1" x14ac:dyDescent="0.25"/>
    <row r="299361" customFormat="1" x14ac:dyDescent="0.25"/>
    <row r="299362" customFormat="1" x14ac:dyDescent="0.25"/>
    <row r="299363" customFormat="1" x14ac:dyDescent="0.25"/>
    <row r="299364" customFormat="1" x14ac:dyDescent="0.25"/>
    <row r="299365" customFormat="1" x14ac:dyDescent="0.25"/>
    <row r="299366" customFormat="1" x14ac:dyDescent="0.25"/>
    <row r="299367" customFormat="1" x14ac:dyDescent="0.25"/>
    <row r="299368" customFormat="1" x14ac:dyDescent="0.25"/>
    <row r="299369" customFormat="1" x14ac:dyDescent="0.25"/>
    <row r="299370" customFormat="1" x14ac:dyDescent="0.25"/>
    <row r="299371" customFormat="1" x14ac:dyDescent="0.25"/>
    <row r="299372" customFormat="1" x14ac:dyDescent="0.25"/>
    <row r="299373" customFormat="1" x14ac:dyDescent="0.25"/>
    <row r="299374" customFormat="1" x14ac:dyDescent="0.25"/>
    <row r="299375" customFormat="1" x14ac:dyDescent="0.25"/>
    <row r="299376" customFormat="1" x14ac:dyDescent="0.25"/>
    <row r="299377" customFormat="1" x14ac:dyDescent="0.25"/>
    <row r="299378" customFormat="1" x14ac:dyDescent="0.25"/>
    <row r="299379" customFormat="1" x14ac:dyDescent="0.25"/>
    <row r="299380" customFormat="1" x14ac:dyDescent="0.25"/>
    <row r="299381" customFormat="1" x14ac:dyDescent="0.25"/>
    <row r="299382" customFormat="1" x14ac:dyDescent="0.25"/>
    <row r="299383" customFormat="1" x14ac:dyDescent="0.25"/>
    <row r="299384" customFormat="1" x14ac:dyDescent="0.25"/>
    <row r="299385" customFormat="1" x14ac:dyDescent="0.25"/>
    <row r="299386" customFormat="1" x14ac:dyDescent="0.25"/>
    <row r="299387" customFormat="1" x14ac:dyDescent="0.25"/>
    <row r="299388" customFormat="1" x14ac:dyDescent="0.25"/>
    <row r="299389" customFormat="1" x14ac:dyDescent="0.25"/>
    <row r="299390" customFormat="1" x14ac:dyDescent="0.25"/>
    <row r="299391" customFormat="1" x14ac:dyDescent="0.25"/>
    <row r="299392" customFormat="1" x14ac:dyDescent="0.25"/>
    <row r="299393" customFormat="1" x14ac:dyDescent="0.25"/>
    <row r="299394" customFormat="1" x14ac:dyDescent="0.25"/>
    <row r="299395" customFormat="1" x14ac:dyDescent="0.25"/>
    <row r="299396" customFormat="1" x14ac:dyDescent="0.25"/>
    <row r="299397" customFormat="1" x14ac:dyDescent="0.25"/>
    <row r="299398" customFormat="1" x14ac:dyDescent="0.25"/>
    <row r="299399" customFormat="1" x14ac:dyDescent="0.25"/>
    <row r="299400" customFormat="1" x14ac:dyDescent="0.25"/>
    <row r="299401" customFormat="1" x14ac:dyDescent="0.25"/>
    <row r="299402" customFormat="1" x14ac:dyDescent="0.25"/>
    <row r="299403" customFormat="1" x14ac:dyDescent="0.25"/>
    <row r="299404" customFormat="1" x14ac:dyDescent="0.25"/>
    <row r="299405" customFormat="1" x14ac:dyDescent="0.25"/>
    <row r="299406" customFormat="1" x14ac:dyDescent="0.25"/>
    <row r="299407" customFormat="1" x14ac:dyDescent="0.25"/>
    <row r="299408" customFormat="1" x14ac:dyDescent="0.25"/>
    <row r="299409" customFormat="1" x14ac:dyDescent="0.25"/>
    <row r="299410" customFormat="1" x14ac:dyDescent="0.25"/>
    <row r="299411" customFormat="1" x14ac:dyDescent="0.25"/>
    <row r="299412" customFormat="1" x14ac:dyDescent="0.25"/>
    <row r="299413" customFormat="1" x14ac:dyDescent="0.25"/>
    <row r="299414" customFormat="1" x14ac:dyDescent="0.25"/>
    <row r="299415" customFormat="1" x14ac:dyDescent="0.25"/>
    <row r="299416" customFormat="1" x14ac:dyDescent="0.25"/>
    <row r="299417" customFormat="1" x14ac:dyDescent="0.25"/>
    <row r="299418" customFormat="1" x14ac:dyDescent="0.25"/>
    <row r="299419" customFormat="1" x14ac:dyDescent="0.25"/>
    <row r="299420" customFormat="1" x14ac:dyDescent="0.25"/>
    <row r="299421" customFormat="1" x14ac:dyDescent="0.25"/>
    <row r="299422" customFormat="1" x14ac:dyDescent="0.25"/>
    <row r="299423" customFormat="1" x14ac:dyDescent="0.25"/>
    <row r="299424" customFormat="1" x14ac:dyDescent="0.25"/>
    <row r="299425" customFormat="1" x14ac:dyDescent="0.25"/>
    <row r="299426" customFormat="1" x14ac:dyDescent="0.25"/>
    <row r="299427" customFormat="1" x14ac:dyDescent="0.25"/>
    <row r="299428" customFormat="1" x14ac:dyDescent="0.25"/>
    <row r="299429" customFormat="1" x14ac:dyDescent="0.25"/>
    <row r="299430" customFormat="1" x14ac:dyDescent="0.25"/>
    <row r="299431" customFormat="1" x14ac:dyDescent="0.25"/>
    <row r="299432" customFormat="1" x14ac:dyDescent="0.25"/>
    <row r="299433" customFormat="1" x14ac:dyDescent="0.25"/>
    <row r="299434" customFormat="1" x14ac:dyDescent="0.25"/>
    <row r="299435" customFormat="1" x14ac:dyDescent="0.25"/>
    <row r="299436" customFormat="1" x14ac:dyDescent="0.25"/>
    <row r="299437" customFormat="1" x14ac:dyDescent="0.25"/>
    <row r="299438" customFormat="1" x14ac:dyDescent="0.25"/>
    <row r="299439" customFormat="1" x14ac:dyDescent="0.25"/>
    <row r="299440" customFormat="1" x14ac:dyDescent="0.25"/>
    <row r="299441" customFormat="1" x14ac:dyDescent="0.25"/>
    <row r="299442" customFormat="1" x14ac:dyDescent="0.25"/>
    <row r="299443" customFormat="1" x14ac:dyDescent="0.25"/>
    <row r="299444" customFormat="1" x14ac:dyDescent="0.25"/>
    <row r="299445" customFormat="1" x14ac:dyDescent="0.25"/>
    <row r="299446" customFormat="1" x14ac:dyDescent="0.25"/>
    <row r="299447" customFormat="1" x14ac:dyDescent="0.25"/>
    <row r="299448" customFormat="1" x14ac:dyDescent="0.25"/>
    <row r="299449" customFormat="1" x14ac:dyDescent="0.25"/>
    <row r="299450" customFormat="1" x14ac:dyDescent="0.25"/>
    <row r="299451" customFormat="1" x14ac:dyDescent="0.25"/>
    <row r="299452" customFormat="1" x14ac:dyDescent="0.25"/>
    <row r="299453" customFormat="1" x14ac:dyDescent="0.25"/>
    <row r="299454" customFormat="1" x14ac:dyDescent="0.25"/>
    <row r="299455" customFormat="1" x14ac:dyDescent="0.25"/>
    <row r="299456" customFormat="1" x14ac:dyDescent="0.25"/>
    <row r="299457" customFormat="1" x14ac:dyDescent="0.25"/>
    <row r="299458" customFormat="1" x14ac:dyDescent="0.25"/>
    <row r="299459" customFormat="1" x14ac:dyDescent="0.25"/>
    <row r="299460" customFormat="1" x14ac:dyDescent="0.25"/>
    <row r="299461" customFormat="1" x14ac:dyDescent="0.25"/>
    <row r="299462" customFormat="1" x14ac:dyDescent="0.25"/>
    <row r="299463" customFormat="1" x14ac:dyDescent="0.25"/>
    <row r="299464" customFormat="1" x14ac:dyDescent="0.25"/>
    <row r="299465" customFormat="1" x14ac:dyDescent="0.25"/>
    <row r="299466" customFormat="1" x14ac:dyDescent="0.25"/>
    <row r="299467" customFormat="1" x14ac:dyDescent="0.25"/>
    <row r="299468" customFormat="1" x14ac:dyDescent="0.25"/>
    <row r="299469" customFormat="1" x14ac:dyDescent="0.25"/>
    <row r="299470" customFormat="1" x14ac:dyDescent="0.25"/>
    <row r="299471" customFormat="1" x14ac:dyDescent="0.25"/>
    <row r="299472" customFormat="1" x14ac:dyDescent="0.25"/>
    <row r="299473" customFormat="1" x14ac:dyDescent="0.25"/>
    <row r="299474" customFormat="1" x14ac:dyDescent="0.25"/>
    <row r="299475" customFormat="1" x14ac:dyDescent="0.25"/>
    <row r="299476" customFormat="1" x14ac:dyDescent="0.25"/>
    <row r="299477" customFormat="1" x14ac:dyDescent="0.25"/>
    <row r="299478" customFormat="1" x14ac:dyDescent="0.25"/>
    <row r="299479" customFormat="1" x14ac:dyDescent="0.25"/>
    <row r="299480" customFormat="1" x14ac:dyDescent="0.25"/>
    <row r="299481" customFormat="1" x14ac:dyDescent="0.25"/>
    <row r="299482" customFormat="1" x14ac:dyDescent="0.25"/>
    <row r="299483" customFormat="1" x14ac:dyDescent="0.25"/>
    <row r="299484" customFormat="1" x14ac:dyDescent="0.25"/>
    <row r="299485" customFormat="1" x14ac:dyDescent="0.25"/>
    <row r="299486" customFormat="1" x14ac:dyDescent="0.25"/>
    <row r="299487" customFormat="1" x14ac:dyDescent="0.25"/>
    <row r="299488" customFormat="1" x14ac:dyDescent="0.25"/>
    <row r="299489" customFormat="1" x14ac:dyDescent="0.25"/>
    <row r="299490" customFormat="1" x14ac:dyDescent="0.25"/>
    <row r="299491" customFormat="1" x14ac:dyDescent="0.25"/>
    <row r="299492" customFormat="1" x14ac:dyDescent="0.25"/>
    <row r="299493" customFormat="1" x14ac:dyDescent="0.25"/>
    <row r="299494" customFormat="1" x14ac:dyDescent="0.25"/>
    <row r="299495" customFormat="1" x14ac:dyDescent="0.25"/>
    <row r="299496" customFormat="1" x14ac:dyDescent="0.25"/>
    <row r="299497" customFormat="1" x14ac:dyDescent="0.25"/>
    <row r="299498" customFormat="1" x14ac:dyDescent="0.25"/>
    <row r="299499" customFormat="1" x14ac:dyDescent="0.25"/>
    <row r="299500" customFormat="1" x14ac:dyDescent="0.25"/>
    <row r="299501" customFormat="1" x14ac:dyDescent="0.25"/>
    <row r="299502" customFormat="1" x14ac:dyDescent="0.25"/>
    <row r="299503" customFormat="1" x14ac:dyDescent="0.25"/>
    <row r="299504" customFormat="1" x14ac:dyDescent="0.25"/>
    <row r="299505" customFormat="1" x14ac:dyDescent="0.25"/>
    <row r="299506" customFormat="1" x14ac:dyDescent="0.25"/>
    <row r="299507" customFormat="1" x14ac:dyDescent="0.25"/>
    <row r="299508" customFormat="1" x14ac:dyDescent="0.25"/>
    <row r="299509" customFormat="1" x14ac:dyDescent="0.25"/>
    <row r="299510" customFormat="1" x14ac:dyDescent="0.25"/>
    <row r="299511" customFormat="1" x14ac:dyDescent="0.25"/>
    <row r="299512" customFormat="1" x14ac:dyDescent="0.25"/>
    <row r="299513" customFormat="1" x14ac:dyDescent="0.25"/>
    <row r="299514" customFormat="1" x14ac:dyDescent="0.25"/>
    <row r="299515" customFormat="1" x14ac:dyDescent="0.25"/>
    <row r="299516" customFormat="1" x14ac:dyDescent="0.25"/>
    <row r="299517" customFormat="1" x14ac:dyDescent="0.25"/>
    <row r="299518" customFormat="1" x14ac:dyDescent="0.25"/>
    <row r="299519" customFormat="1" x14ac:dyDescent="0.25"/>
    <row r="299520" customFormat="1" x14ac:dyDescent="0.25"/>
    <row r="299521" customFormat="1" x14ac:dyDescent="0.25"/>
    <row r="299522" customFormat="1" x14ac:dyDescent="0.25"/>
    <row r="299523" customFormat="1" x14ac:dyDescent="0.25"/>
    <row r="299524" customFormat="1" x14ac:dyDescent="0.25"/>
    <row r="299525" customFormat="1" x14ac:dyDescent="0.25"/>
    <row r="299526" customFormat="1" x14ac:dyDescent="0.25"/>
    <row r="299527" customFormat="1" x14ac:dyDescent="0.25"/>
    <row r="299528" customFormat="1" x14ac:dyDescent="0.25"/>
    <row r="299529" customFormat="1" x14ac:dyDescent="0.25"/>
    <row r="299530" customFormat="1" x14ac:dyDescent="0.25"/>
    <row r="299531" customFormat="1" x14ac:dyDescent="0.25"/>
    <row r="299532" customFormat="1" x14ac:dyDescent="0.25"/>
    <row r="299533" customFormat="1" x14ac:dyDescent="0.25"/>
    <row r="299534" customFormat="1" x14ac:dyDescent="0.25"/>
    <row r="299535" customFormat="1" x14ac:dyDescent="0.25"/>
    <row r="299536" customFormat="1" x14ac:dyDescent="0.25"/>
    <row r="299537" customFormat="1" x14ac:dyDescent="0.25"/>
    <row r="299538" customFormat="1" x14ac:dyDescent="0.25"/>
    <row r="299539" customFormat="1" x14ac:dyDescent="0.25"/>
    <row r="299540" customFormat="1" x14ac:dyDescent="0.25"/>
    <row r="299541" customFormat="1" x14ac:dyDescent="0.25"/>
    <row r="299542" customFormat="1" x14ac:dyDescent="0.25"/>
    <row r="299543" customFormat="1" x14ac:dyDescent="0.25"/>
    <row r="299544" customFormat="1" x14ac:dyDescent="0.25"/>
    <row r="299545" customFormat="1" x14ac:dyDescent="0.25"/>
    <row r="299546" customFormat="1" x14ac:dyDescent="0.25"/>
    <row r="299547" customFormat="1" x14ac:dyDescent="0.25"/>
    <row r="299548" customFormat="1" x14ac:dyDescent="0.25"/>
    <row r="299549" customFormat="1" x14ac:dyDescent="0.25"/>
    <row r="299550" customFormat="1" x14ac:dyDescent="0.25"/>
    <row r="299551" customFormat="1" x14ac:dyDescent="0.25"/>
    <row r="299552" customFormat="1" x14ac:dyDescent="0.25"/>
    <row r="299553" customFormat="1" x14ac:dyDescent="0.25"/>
    <row r="299554" customFormat="1" x14ac:dyDescent="0.25"/>
    <row r="299555" customFormat="1" x14ac:dyDescent="0.25"/>
    <row r="299556" customFormat="1" x14ac:dyDescent="0.25"/>
    <row r="299557" customFormat="1" x14ac:dyDescent="0.25"/>
    <row r="299558" customFormat="1" x14ac:dyDescent="0.25"/>
    <row r="299559" customFormat="1" x14ac:dyDescent="0.25"/>
    <row r="299560" customFormat="1" x14ac:dyDescent="0.25"/>
    <row r="299561" customFormat="1" x14ac:dyDescent="0.25"/>
    <row r="299562" customFormat="1" x14ac:dyDescent="0.25"/>
    <row r="299563" customFormat="1" x14ac:dyDescent="0.25"/>
    <row r="299564" customFormat="1" x14ac:dyDescent="0.25"/>
    <row r="299565" customFormat="1" x14ac:dyDescent="0.25"/>
    <row r="299566" customFormat="1" x14ac:dyDescent="0.25"/>
    <row r="299567" customFormat="1" x14ac:dyDescent="0.25"/>
    <row r="299568" customFormat="1" x14ac:dyDescent="0.25"/>
    <row r="299569" customFormat="1" x14ac:dyDescent="0.25"/>
    <row r="299570" customFormat="1" x14ac:dyDescent="0.25"/>
    <row r="299571" customFormat="1" x14ac:dyDescent="0.25"/>
    <row r="299572" customFormat="1" x14ac:dyDescent="0.25"/>
    <row r="299573" customFormat="1" x14ac:dyDescent="0.25"/>
    <row r="299574" customFormat="1" x14ac:dyDescent="0.25"/>
    <row r="299575" customFormat="1" x14ac:dyDescent="0.25"/>
    <row r="299576" customFormat="1" x14ac:dyDescent="0.25"/>
    <row r="299577" customFormat="1" x14ac:dyDescent="0.25"/>
    <row r="299578" customFormat="1" x14ac:dyDescent="0.25"/>
    <row r="299579" customFormat="1" x14ac:dyDescent="0.25"/>
    <row r="299580" customFormat="1" x14ac:dyDescent="0.25"/>
    <row r="299581" customFormat="1" x14ac:dyDescent="0.25"/>
    <row r="299582" customFormat="1" x14ac:dyDescent="0.25"/>
    <row r="299583" customFormat="1" x14ac:dyDescent="0.25"/>
    <row r="299584" customFormat="1" x14ac:dyDescent="0.25"/>
    <row r="299585" customFormat="1" x14ac:dyDescent="0.25"/>
    <row r="299586" customFormat="1" x14ac:dyDescent="0.25"/>
    <row r="299587" customFormat="1" x14ac:dyDescent="0.25"/>
    <row r="299588" customFormat="1" x14ac:dyDescent="0.25"/>
    <row r="299589" customFormat="1" x14ac:dyDescent="0.25"/>
    <row r="299590" customFormat="1" x14ac:dyDescent="0.25"/>
    <row r="299591" customFormat="1" x14ac:dyDescent="0.25"/>
    <row r="299592" customFormat="1" x14ac:dyDescent="0.25"/>
    <row r="299593" customFormat="1" x14ac:dyDescent="0.25"/>
    <row r="299594" customFormat="1" x14ac:dyDescent="0.25"/>
    <row r="299595" customFormat="1" x14ac:dyDescent="0.25"/>
    <row r="299596" customFormat="1" x14ac:dyDescent="0.25"/>
    <row r="299597" customFormat="1" x14ac:dyDescent="0.25"/>
    <row r="299598" customFormat="1" x14ac:dyDescent="0.25"/>
    <row r="299599" customFormat="1" x14ac:dyDescent="0.25"/>
    <row r="299600" customFormat="1" x14ac:dyDescent="0.25"/>
    <row r="299601" customFormat="1" x14ac:dyDescent="0.25"/>
    <row r="299602" customFormat="1" x14ac:dyDescent="0.25"/>
    <row r="299603" customFormat="1" x14ac:dyDescent="0.25"/>
    <row r="299604" customFormat="1" x14ac:dyDescent="0.25"/>
    <row r="299605" customFormat="1" x14ac:dyDescent="0.25"/>
    <row r="299606" customFormat="1" x14ac:dyDescent="0.25"/>
    <row r="299607" customFormat="1" x14ac:dyDescent="0.25"/>
    <row r="299608" customFormat="1" x14ac:dyDescent="0.25"/>
    <row r="299609" customFormat="1" x14ac:dyDescent="0.25"/>
    <row r="299610" customFormat="1" x14ac:dyDescent="0.25"/>
    <row r="299611" customFormat="1" x14ac:dyDescent="0.25"/>
    <row r="299612" customFormat="1" x14ac:dyDescent="0.25"/>
    <row r="299613" customFormat="1" x14ac:dyDescent="0.25"/>
    <row r="299614" customFormat="1" x14ac:dyDescent="0.25"/>
    <row r="299615" customFormat="1" x14ac:dyDescent="0.25"/>
    <row r="299616" customFormat="1" x14ac:dyDescent="0.25"/>
    <row r="299617" customFormat="1" x14ac:dyDescent="0.25"/>
    <row r="299618" customFormat="1" x14ac:dyDescent="0.25"/>
    <row r="299619" customFormat="1" x14ac:dyDescent="0.25"/>
    <row r="299620" customFormat="1" x14ac:dyDescent="0.25"/>
    <row r="299621" customFormat="1" x14ac:dyDescent="0.25"/>
    <row r="299622" customFormat="1" x14ac:dyDescent="0.25"/>
    <row r="299623" customFormat="1" x14ac:dyDescent="0.25"/>
    <row r="299624" customFormat="1" x14ac:dyDescent="0.25"/>
    <row r="299625" customFormat="1" x14ac:dyDescent="0.25"/>
    <row r="299626" customFormat="1" x14ac:dyDescent="0.25"/>
    <row r="299627" customFormat="1" x14ac:dyDescent="0.25"/>
    <row r="299628" customFormat="1" x14ac:dyDescent="0.25"/>
    <row r="299629" customFormat="1" x14ac:dyDescent="0.25"/>
    <row r="299630" customFormat="1" x14ac:dyDescent="0.25"/>
    <row r="299631" customFormat="1" x14ac:dyDescent="0.25"/>
    <row r="299632" customFormat="1" x14ac:dyDescent="0.25"/>
    <row r="299633" customFormat="1" x14ac:dyDescent="0.25"/>
    <row r="299634" customFormat="1" x14ac:dyDescent="0.25"/>
    <row r="299635" customFormat="1" x14ac:dyDescent="0.25"/>
    <row r="299636" customFormat="1" x14ac:dyDescent="0.25"/>
    <row r="299637" customFormat="1" x14ac:dyDescent="0.25"/>
    <row r="299638" customFormat="1" x14ac:dyDescent="0.25"/>
    <row r="299639" customFormat="1" x14ac:dyDescent="0.25"/>
    <row r="299640" customFormat="1" x14ac:dyDescent="0.25"/>
    <row r="299641" customFormat="1" x14ac:dyDescent="0.25"/>
    <row r="299642" customFormat="1" x14ac:dyDescent="0.25"/>
    <row r="299643" customFormat="1" x14ac:dyDescent="0.25"/>
    <row r="299644" customFormat="1" x14ac:dyDescent="0.25"/>
    <row r="299645" customFormat="1" x14ac:dyDescent="0.25"/>
    <row r="299646" customFormat="1" x14ac:dyDescent="0.25"/>
    <row r="299647" customFormat="1" x14ac:dyDescent="0.25"/>
    <row r="299648" customFormat="1" x14ac:dyDescent="0.25"/>
    <row r="299649" customFormat="1" x14ac:dyDescent="0.25"/>
    <row r="299650" customFormat="1" x14ac:dyDescent="0.25"/>
    <row r="299651" customFormat="1" x14ac:dyDescent="0.25"/>
    <row r="299652" customFormat="1" x14ac:dyDescent="0.25"/>
    <row r="299653" customFormat="1" x14ac:dyDescent="0.25"/>
    <row r="299654" customFormat="1" x14ac:dyDescent="0.25"/>
    <row r="299655" customFormat="1" x14ac:dyDescent="0.25"/>
    <row r="299656" customFormat="1" x14ac:dyDescent="0.25"/>
    <row r="299657" customFormat="1" x14ac:dyDescent="0.25"/>
    <row r="299658" customFormat="1" x14ac:dyDescent="0.25"/>
    <row r="299659" customFormat="1" x14ac:dyDescent="0.25"/>
    <row r="299660" customFormat="1" x14ac:dyDescent="0.25"/>
    <row r="299661" customFormat="1" x14ac:dyDescent="0.25"/>
    <row r="299662" customFormat="1" x14ac:dyDescent="0.25"/>
    <row r="299663" customFormat="1" x14ac:dyDescent="0.25"/>
    <row r="299664" customFormat="1" x14ac:dyDescent="0.25"/>
    <row r="299665" customFormat="1" x14ac:dyDescent="0.25"/>
    <row r="299666" customFormat="1" x14ac:dyDescent="0.25"/>
    <row r="299667" customFormat="1" x14ac:dyDescent="0.25"/>
    <row r="299668" customFormat="1" x14ac:dyDescent="0.25"/>
    <row r="299669" customFormat="1" x14ac:dyDescent="0.25"/>
    <row r="299670" customFormat="1" x14ac:dyDescent="0.25"/>
    <row r="299671" customFormat="1" x14ac:dyDescent="0.25"/>
    <row r="299672" customFormat="1" x14ac:dyDescent="0.25"/>
    <row r="299673" customFormat="1" x14ac:dyDescent="0.25"/>
    <row r="299674" customFormat="1" x14ac:dyDescent="0.25"/>
    <row r="299675" customFormat="1" x14ac:dyDescent="0.25"/>
    <row r="299676" customFormat="1" x14ac:dyDescent="0.25"/>
    <row r="299677" customFormat="1" x14ac:dyDescent="0.25"/>
    <row r="299678" customFormat="1" x14ac:dyDescent="0.25"/>
    <row r="299679" customFormat="1" x14ac:dyDescent="0.25"/>
    <row r="299680" customFormat="1" x14ac:dyDescent="0.25"/>
    <row r="299681" customFormat="1" x14ac:dyDescent="0.25"/>
    <row r="299682" customFormat="1" x14ac:dyDescent="0.25"/>
    <row r="299683" customFormat="1" x14ac:dyDescent="0.25"/>
    <row r="299684" customFormat="1" x14ac:dyDescent="0.25"/>
    <row r="299685" customFormat="1" x14ac:dyDescent="0.25"/>
    <row r="299686" customFormat="1" x14ac:dyDescent="0.25"/>
    <row r="299687" customFormat="1" x14ac:dyDescent="0.25"/>
    <row r="299688" customFormat="1" x14ac:dyDescent="0.25"/>
    <row r="299689" customFormat="1" x14ac:dyDescent="0.25"/>
    <row r="299690" customFormat="1" x14ac:dyDescent="0.25"/>
    <row r="299691" customFormat="1" x14ac:dyDescent="0.25"/>
    <row r="299692" customFormat="1" x14ac:dyDescent="0.25"/>
    <row r="299693" customFormat="1" x14ac:dyDescent="0.25"/>
    <row r="299694" customFormat="1" x14ac:dyDescent="0.25"/>
    <row r="299695" customFormat="1" x14ac:dyDescent="0.25"/>
    <row r="299696" customFormat="1" x14ac:dyDescent="0.25"/>
    <row r="299697" customFormat="1" x14ac:dyDescent="0.25"/>
    <row r="299698" customFormat="1" x14ac:dyDescent="0.25"/>
    <row r="299699" customFormat="1" x14ac:dyDescent="0.25"/>
    <row r="299700" customFormat="1" x14ac:dyDescent="0.25"/>
    <row r="299701" customFormat="1" x14ac:dyDescent="0.25"/>
    <row r="299702" customFormat="1" x14ac:dyDescent="0.25"/>
    <row r="299703" customFormat="1" x14ac:dyDescent="0.25"/>
    <row r="299704" customFormat="1" x14ac:dyDescent="0.25"/>
    <row r="299705" customFormat="1" x14ac:dyDescent="0.25"/>
    <row r="299706" customFormat="1" x14ac:dyDescent="0.25"/>
    <row r="299707" customFormat="1" x14ac:dyDescent="0.25"/>
    <row r="299708" customFormat="1" x14ac:dyDescent="0.25"/>
    <row r="299709" customFormat="1" x14ac:dyDescent="0.25"/>
    <row r="299710" customFormat="1" x14ac:dyDescent="0.25"/>
    <row r="299711" customFormat="1" x14ac:dyDescent="0.25"/>
    <row r="299712" customFormat="1" x14ac:dyDescent="0.25"/>
    <row r="299713" customFormat="1" x14ac:dyDescent="0.25"/>
    <row r="299714" customFormat="1" x14ac:dyDescent="0.25"/>
    <row r="299715" customFormat="1" x14ac:dyDescent="0.25"/>
    <row r="299716" customFormat="1" x14ac:dyDescent="0.25"/>
    <row r="299717" customFormat="1" x14ac:dyDescent="0.25"/>
    <row r="299718" customFormat="1" x14ac:dyDescent="0.25"/>
    <row r="299719" customFormat="1" x14ac:dyDescent="0.25"/>
    <row r="299720" customFormat="1" x14ac:dyDescent="0.25"/>
    <row r="299721" customFormat="1" x14ac:dyDescent="0.25"/>
    <row r="299722" customFormat="1" x14ac:dyDescent="0.25"/>
    <row r="299723" customFormat="1" x14ac:dyDescent="0.25"/>
    <row r="299724" customFormat="1" x14ac:dyDescent="0.25"/>
    <row r="299725" customFormat="1" x14ac:dyDescent="0.25"/>
    <row r="299726" customFormat="1" x14ac:dyDescent="0.25"/>
    <row r="299727" customFormat="1" x14ac:dyDescent="0.25"/>
    <row r="299728" customFormat="1" x14ac:dyDescent="0.25"/>
    <row r="299729" customFormat="1" x14ac:dyDescent="0.25"/>
    <row r="299730" customFormat="1" x14ac:dyDescent="0.25"/>
    <row r="299731" customFormat="1" x14ac:dyDescent="0.25"/>
    <row r="299732" customFormat="1" x14ac:dyDescent="0.25"/>
    <row r="299733" customFormat="1" x14ac:dyDescent="0.25"/>
    <row r="299734" customFormat="1" x14ac:dyDescent="0.25"/>
    <row r="299735" customFormat="1" x14ac:dyDescent="0.25"/>
    <row r="299736" customFormat="1" x14ac:dyDescent="0.25"/>
    <row r="299737" customFormat="1" x14ac:dyDescent="0.25"/>
    <row r="299738" customFormat="1" x14ac:dyDescent="0.25"/>
    <row r="299739" customFormat="1" x14ac:dyDescent="0.25"/>
    <row r="299740" customFormat="1" x14ac:dyDescent="0.25"/>
    <row r="299741" customFormat="1" x14ac:dyDescent="0.25"/>
    <row r="299742" customFormat="1" x14ac:dyDescent="0.25"/>
    <row r="299743" customFormat="1" x14ac:dyDescent="0.25"/>
    <row r="299744" customFormat="1" x14ac:dyDescent="0.25"/>
    <row r="299745" customFormat="1" x14ac:dyDescent="0.25"/>
    <row r="299746" customFormat="1" x14ac:dyDescent="0.25"/>
    <row r="299747" customFormat="1" x14ac:dyDescent="0.25"/>
    <row r="299748" customFormat="1" x14ac:dyDescent="0.25"/>
    <row r="299749" customFormat="1" x14ac:dyDescent="0.25"/>
    <row r="299750" customFormat="1" x14ac:dyDescent="0.25"/>
    <row r="299751" customFormat="1" x14ac:dyDescent="0.25"/>
    <row r="299752" customFormat="1" x14ac:dyDescent="0.25"/>
    <row r="299753" customFormat="1" x14ac:dyDescent="0.25"/>
    <row r="299754" customFormat="1" x14ac:dyDescent="0.25"/>
    <row r="299755" customFormat="1" x14ac:dyDescent="0.25"/>
    <row r="299756" customFormat="1" x14ac:dyDescent="0.25"/>
    <row r="299757" customFormat="1" x14ac:dyDescent="0.25"/>
    <row r="299758" customFormat="1" x14ac:dyDescent="0.25"/>
    <row r="299759" customFormat="1" x14ac:dyDescent="0.25"/>
    <row r="299760" customFormat="1" x14ac:dyDescent="0.25"/>
    <row r="299761" customFormat="1" x14ac:dyDescent="0.25"/>
    <row r="299762" customFormat="1" x14ac:dyDescent="0.25"/>
    <row r="299763" customFormat="1" x14ac:dyDescent="0.25"/>
    <row r="299764" customFormat="1" x14ac:dyDescent="0.25"/>
    <row r="299765" customFormat="1" x14ac:dyDescent="0.25"/>
    <row r="299766" customFormat="1" x14ac:dyDescent="0.25"/>
    <row r="299767" customFormat="1" x14ac:dyDescent="0.25"/>
    <row r="299768" customFormat="1" x14ac:dyDescent="0.25"/>
    <row r="299769" customFormat="1" x14ac:dyDescent="0.25"/>
    <row r="299770" customFormat="1" x14ac:dyDescent="0.25"/>
    <row r="299771" customFormat="1" x14ac:dyDescent="0.25"/>
    <row r="299772" customFormat="1" x14ac:dyDescent="0.25"/>
    <row r="299773" customFormat="1" x14ac:dyDescent="0.25"/>
    <row r="299774" customFormat="1" x14ac:dyDescent="0.25"/>
    <row r="299775" customFormat="1" x14ac:dyDescent="0.25"/>
    <row r="299776" customFormat="1" x14ac:dyDescent="0.25"/>
    <row r="299777" customFormat="1" x14ac:dyDescent="0.25"/>
    <row r="299778" customFormat="1" x14ac:dyDescent="0.25"/>
    <row r="299779" customFormat="1" x14ac:dyDescent="0.25"/>
    <row r="299780" customFormat="1" x14ac:dyDescent="0.25"/>
    <row r="299781" customFormat="1" x14ac:dyDescent="0.25"/>
    <row r="299782" customFormat="1" x14ac:dyDescent="0.25"/>
    <row r="299783" customFormat="1" x14ac:dyDescent="0.25"/>
    <row r="299784" customFormat="1" x14ac:dyDescent="0.25"/>
    <row r="299785" customFormat="1" x14ac:dyDescent="0.25"/>
    <row r="299786" customFormat="1" x14ac:dyDescent="0.25"/>
    <row r="299787" customFormat="1" x14ac:dyDescent="0.25"/>
    <row r="299788" customFormat="1" x14ac:dyDescent="0.25"/>
    <row r="299789" customFormat="1" x14ac:dyDescent="0.25"/>
    <row r="299790" customFormat="1" x14ac:dyDescent="0.25"/>
    <row r="299791" customFormat="1" x14ac:dyDescent="0.25"/>
    <row r="299792" customFormat="1" x14ac:dyDescent="0.25"/>
    <row r="299793" customFormat="1" x14ac:dyDescent="0.25"/>
    <row r="299794" customFormat="1" x14ac:dyDescent="0.25"/>
    <row r="299795" customFormat="1" x14ac:dyDescent="0.25"/>
    <row r="299796" customFormat="1" x14ac:dyDescent="0.25"/>
    <row r="299797" customFormat="1" x14ac:dyDescent="0.25"/>
    <row r="299798" customFormat="1" x14ac:dyDescent="0.25"/>
    <row r="299799" customFormat="1" x14ac:dyDescent="0.25"/>
    <row r="299800" customFormat="1" x14ac:dyDescent="0.25"/>
    <row r="299801" customFormat="1" x14ac:dyDescent="0.25"/>
    <row r="299802" customFormat="1" x14ac:dyDescent="0.25"/>
    <row r="299803" customFormat="1" x14ac:dyDescent="0.25"/>
    <row r="299804" customFormat="1" x14ac:dyDescent="0.25"/>
    <row r="299805" customFormat="1" x14ac:dyDescent="0.25"/>
    <row r="299806" customFormat="1" x14ac:dyDescent="0.25"/>
    <row r="299807" customFormat="1" x14ac:dyDescent="0.25"/>
    <row r="299808" customFormat="1" x14ac:dyDescent="0.25"/>
    <row r="299809" customFormat="1" x14ac:dyDescent="0.25"/>
    <row r="299810" customFormat="1" x14ac:dyDescent="0.25"/>
    <row r="299811" customFormat="1" x14ac:dyDescent="0.25"/>
    <row r="299812" customFormat="1" x14ac:dyDescent="0.25"/>
    <row r="299813" customFormat="1" x14ac:dyDescent="0.25"/>
    <row r="299814" customFormat="1" x14ac:dyDescent="0.25"/>
    <row r="299815" customFormat="1" x14ac:dyDescent="0.25"/>
    <row r="299816" customFormat="1" x14ac:dyDescent="0.25"/>
    <row r="299817" customFormat="1" x14ac:dyDescent="0.25"/>
    <row r="299818" customFormat="1" x14ac:dyDescent="0.25"/>
    <row r="299819" customFormat="1" x14ac:dyDescent="0.25"/>
    <row r="299820" customFormat="1" x14ac:dyDescent="0.25"/>
    <row r="299821" customFormat="1" x14ac:dyDescent="0.25"/>
    <row r="299822" customFormat="1" x14ac:dyDescent="0.25"/>
    <row r="299823" customFormat="1" x14ac:dyDescent="0.25"/>
    <row r="299824" customFormat="1" x14ac:dyDescent="0.25"/>
    <row r="299825" customFormat="1" x14ac:dyDescent="0.25"/>
    <row r="299826" customFormat="1" x14ac:dyDescent="0.25"/>
    <row r="299827" customFormat="1" x14ac:dyDescent="0.25"/>
    <row r="299828" customFormat="1" x14ac:dyDescent="0.25"/>
    <row r="299829" customFormat="1" x14ac:dyDescent="0.25"/>
    <row r="299830" customFormat="1" x14ac:dyDescent="0.25"/>
    <row r="299831" customFormat="1" x14ac:dyDescent="0.25"/>
    <row r="299832" customFormat="1" x14ac:dyDescent="0.25"/>
    <row r="299833" customFormat="1" x14ac:dyDescent="0.25"/>
    <row r="299834" customFormat="1" x14ac:dyDescent="0.25"/>
    <row r="299835" customFormat="1" x14ac:dyDescent="0.25"/>
    <row r="299836" customFormat="1" x14ac:dyDescent="0.25"/>
    <row r="299837" customFormat="1" x14ac:dyDescent="0.25"/>
    <row r="299838" customFormat="1" x14ac:dyDescent="0.25"/>
    <row r="299839" customFormat="1" x14ac:dyDescent="0.25"/>
    <row r="299840" customFormat="1" x14ac:dyDescent="0.25"/>
    <row r="299841" customFormat="1" x14ac:dyDescent="0.25"/>
    <row r="299842" customFormat="1" x14ac:dyDescent="0.25"/>
    <row r="299843" customFormat="1" x14ac:dyDescent="0.25"/>
    <row r="299844" customFormat="1" x14ac:dyDescent="0.25"/>
    <row r="299845" customFormat="1" x14ac:dyDescent="0.25"/>
    <row r="299846" customFormat="1" x14ac:dyDescent="0.25"/>
    <row r="299847" customFormat="1" x14ac:dyDescent="0.25"/>
    <row r="299848" customFormat="1" x14ac:dyDescent="0.25"/>
    <row r="299849" customFormat="1" x14ac:dyDescent="0.25"/>
    <row r="299850" customFormat="1" x14ac:dyDescent="0.25"/>
    <row r="299851" customFormat="1" x14ac:dyDescent="0.25"/>
    <row r="299852" customFormat="1" x14ac:dyDescent="0.25"/>
    <row r="299853" customFormat="1" x14ac:dyDescent="0.25"/>
    <row r="299854" customFormat="1" x14ac:dyDescent="0.25"/>
    <row r="299855" customFormat="1" x14ac:dyDescent="0.25"/>
    <row r="299856" customFormat="1" x14ac:dyDescent="0.25"/>
    <row r="299857" customFormat="1" x14ac:dyDescent="0.25"/>
    <row r="299858" customFormat="1" x14ac:dyDescent="0.25"/>
    <row r="299859" customFormat="1" x14ac:dyDescent="0.25"/>
    <row r="299860" customFormat="1" x14ac:dyDescent="0.25"/>
    <row r="299861" customFormat="1" x14ac:dyDescent="0.25"/>
    <row r="299862" customFormat="1" x14ac:dyDescent="0.25"/>
    <row r="299863" customFormat="1" x14ac:dyDescent="0.25"/>
    <row r="299864" customFormat="1" x14ac:dyDescent="0.25"/>
    <row r="299865" customFormat="1" x14ac:dyDescent="0.25"/>
    <row r="299866" customFormat="1" x14ac:dyDescent="0.25"/>
    <row r="299867" customFormat="1" x14ac:dyDescent="0.25"/>
    <row r="299868" customFormat="1" x14ac:dyDescent="0.25"/>
    <row r="299869" customFormat="1" x14ac:dyDescent="0.25"/>
    <row r="299870" customFormat="1" x14ac:dyDescent="0.25"/>
    <row r="299871" customFormat="1" x14ac:dyDescent="0.25"/>
    <row r="299872" customFormat="1" x14ac:dyDescent="0.25"/>
    <row r="299873" customFormat="1" x14ac:dyDescent="0.25"/>
    <row r="299874" customFormat="1" x14ac:dyDescent="0.25"/>
    <row r="299875" customFormat="1" x14ac:dyDescent="0.25"/>
    <row r="299876" customFormat="1" x14ac:dyDescent="0.25"/>
    <row r="299877" customFormat="1" x14ac:dyDescent="0.25"/>
    <row r="299878" customFormat="1" x14ac:dyDescent="0.25"/>
    <row r="299879" customFormat="1" x14ac:dyDescent="0.25"/>
    <row r="299880" customFormat="1" x14ac:dyDescent="0.25"/>
    <row r="299881" customFormat="1" x14ac:dyDescent="0.25"/>
    <row r="299882" customFormat="1" x14ac:dyDescent="0.25"/>
    <row r="299883" customFormat="1" x14ac:dyDescent="0.25"/>
    <row r="299884" customFormat="1" x14ac:dyDescent="0.25"/>
    <row r="299885" customFormat="1" x14ac:dyDescent="0.25"/>
    <row r="299886" customFormat="1" x14ac:dyDescent="0.25"/>
    <row r="299887" customFormat="1" x14ac:dyDescent="0.25"/>
    <row r="299888" customFormat="1" x14ac:dyDescent="0.25"/>
    <row r="299889" customFormat="1" x14ac:dyDescent="0.25"/>
    <row r="299890" customFormat="1" x14ac:dyDescent="0.25"/>
    <row r="299891" customFormat="1" x14ac:dyDescent="0.25"/>
    <row r="299892" customFormat="1" x14ac:dyDescent="0.25"/>
    <row r="299893" customFormat="1" x14ac:dyDescent="0.25"/>
    <row r="299894" customFormat="1" x14ac:dyDescent="0.25"/>
    <row r="299895" customFormat="1" x14ac:dyDescent="0.25"/>
    <row r="299896" customFormat="1" x14ac:dyDescent="0.25"/>
    <row r="299897" customFormat="1" x14ac:dyDescent="0.25"/>
    <row r="299898" customFormat="1" x14ac:dyDescent="0.25"/>
    <row r="299899" customFormat="1" x14ac:dyDescent="0.25"/>
    <row r="299900" customFormat="1" x14ac:dyDescent="0.25"/>
    <row r="299901" customFormat="1" x14ac:dyDescent="0.25"/>
    <row r="299902" customFormat="1" x14ac:dyDescent="0.25"/>
    <row r="299903" customFormat="1" x14ac:dyDescent="0.25"/>
    <row r="299904" customFormat="1" x14ac:dyDescent="0.25"/>
    <row r="299905" customFormat="1" x14ac:dyDescent="0.25"/>
    <row r="299906" customFormat="1" x14ac:dyDescent="0.25"/>
    <row r="299907" customFormat="1" x14ac:dyDescent="0.25"/>
    <row r="299908" customFormat="1" x14ac:dyDescent="0.25"/>
    <row r="299909" customFormat="1" x14ac:dyDescent="0.25"/>
    <row r="299910" customFormat="1" x14ac:dyDescent="0.25"/>
    <row r="299911" customFormat="1" x14ac:dyDescent="0.25"/>
    <row r="299912" customFormat="1" x14ac:dyDescent="0.25"/>
    <row r="299913" customFormat="1" x14ac:dyDescent="0.25"/>
    <row r="299914" customFormat="1" x14ac:dyDescent="0.25"/>
    <row r="299915" customFormat="1" x14ac:dyDescent="0.25"/>
    <row r="299916" customFormat="1" x14ac:dyDescent="0.25"/>
    <row r="299917" customFormat="1" x14ac:dyDescent="0.25"/>
    <row r="299918" customFormat="1" x14ac:dyDescent="0.25"/>
    <row r="299919" customFormat="1" x14ac:dyDescent="0.25"/>
    <row r="299920" customFormat="1" x14ac:dyDescent="0.25"/>
    <row r="299921" customFormat="1" x14ac:dyDescent="0.25"/>
    <row r="299922" customFormat="1" x14ac:dyDescent="0.25"/>
    <row r="299923" customFormat="1" x14ac:dyDescent="0.25"/>
    <row r="299924" customFormat="1" x14ac:dyDescent="0.25"/>
    <row r="299925" customFormat="1" x14ac:dyDescent="0.25"/>
    <row r="299926" customFormat="1" x14ac:dyDescent="0.25"/>
    <row r="299927" customFormat="1" x14ac:dyDescent="0.25"/>
    <row r="299928" customFormat="1" x14ac:dyDescent="0.25"/>
    <row r="299929" customFormat="1" x14ac:dyDescent="0.25"/>
    <row r="299930" customFormat="1" x14ac:dyDescent="0.25"/>
    <row r="299931" customFormat="1" x14ac:dyDescent="0.25"/>
    <row r="299932" customFormat="1" x14ac:dyDescent="0.25"/>
    <row r="299933" customFormat="1" x14ac:dyDescent="0.25"/>
    <row r="299934" customFormat="1" x14ac:dyDescent="0.25"/>
    <row r="299935" customFormat="1" x14ac:dyDescent="0.25"/>
    <row r="299936" customFormat="1" x14ac:dyDescent="0.25"/>
    <row r="299937" customFormat="1" x14ac:dyDescent="0.25"/>
    <row r="299938" customFormat="1" x14ac:dyDescent="0.25"/>
    <row r="299939" customFormat="1" x14ac:dyDescent="0.25"/>
    <row r="299940" customFormat="1" x14ac:dyDescent="0.25"/>
    <row r="299941" customFormat="1" x14ac:dyDescent="0.25"/>
    <row r="299942" customFormat="1" x14ac:dyDescent="0.25"/>
    <row r="299943" customFormat="1" x14ac:dyDescent="0.25"/>
    <row r="299944" customFormat="1" x14ac:dyDescent="0.25"/>
    <row r="299945" customFormat="1" x14ac:dyDescent="0.25"/>
    <row r="299946" customFormat="1" x14ac:dyDescent="0.25"/>
    <row r="299947" customFormat="1" x14ac:dyDescent="0.25"/>
    <row r="299948" customFormat="1" x14ac:dyDescent="0.25"/>
    <row r="299949" customFormat="1" x14ac:dyDescent="0.25"/>
    <row r="299950" customFormat="1" x14ac:dyDescent="0.25"/>
    <row r="299951" customFormat="1" x14ac:dyDescent="0.25"/>
    <row r="299952" customFormat="1" x14ac:dyDescent="0.25"/>
    <row r="299953" customFormat="1" x14ac:dyDescent="0.25"/>
    <row r="299954" customFormat="1" x14ac:dyDescent="0.25"/>
    <row r="299955" customFormat="1" x14ac:dyDescent="0.25"/>
    <row r="299956" customFormat="1" x14ac:dyDescent="0.25"/>
    <row r="299957" customFormat="1" x14ac:dyDescent="0.25"/>
    <row r="299958" customFormat="1" x14ac:dyDescent="0.25"/>
    <row r="299959" customFormat="1" x14ac:dyDescent="0.25"/>
    <row r="299960" customFormat="1" x14ac:dyDescent="0.25"/>
    <row r="299961" customFormat="1" x14ac:dyDescent="0.25"/>
    <row r="299962" customFormat="1" x14ac:dyDescent="0.25"/>
    <row r="299963" customFormat="1" x14ac:dyDescent="0.25"/>
    <row r="299964" customFormat="1" x14ac:dyDescent="0.25"/>
    <row r="299965" customFormat="1" x14ac:dyDescent="0.25"/>
    <row r="299966" customFormat="1" x14ac:dyDescent="0.25"/>
    <row r="299967" customFormat="1" x14ac:dyDescent="0.25"/>
    <row r="299968" customFormat="1" x14ac:dyDescent="0.25"/>
    <row r="299969" customFormat="1" x14ac:dyDescent="0.25"/>
    <row r="299970" customFormat="1" x14ac:dyDescent="0.25"/>
    <row r="299971" customFormat="1" x14ac:dyDescent="0.25"/>
    <row r="299972" customFormat="1" x14ac:dyDescent="0.25"/>
    <row r="299973" customFormat="1" x14ac:dyDescent="0.25"/>
    <row r="299974" customFormat="1" x14ac:dyDescent="0.25"/>
    <row r="299975" customFormat="1" x14ac:dyDescent="0.25"/>
    <row r="299976" customFormat="1" x14ac:dyDescent="0.25"/>
    <row r="299977" customFormat="1" x14ac:dyDescent="0.25"/>
    <row r="299978" customFormat="1" x14ac:dyDescent="0.25"/>
    <row r="299979" customFormat="1" x14ac:dyDescent="0.25"/>
    <row r="299980" customFormat="1" x14ac:dyDescent="0.25"/>
    <row r="299981" customFormat="1" x14ac:dyDescent="0.25"/>
    <row r="299982" customFormat="1" x14ac:dyDescent="0.25"/>
    <row r="299983" customFormat="1" x14ac:dyDescent="0.25"/>
    <row r="299984" customFormat="1" x14ac:dyDescent="0.25"/>
    <row r="299985" customFormat="1" x14ac:dyDescent="0.25"/>
    <row r="299986" customFormat="1" x14ac:dyDescent="0.25"/>
    <row r="299987" customFormat="1" x14ac:dyDescent="0.25"/>
    <row r="299988" customFormat="1" x14ac:dyDescent="0.25"/>
    <row r="299989" customFormat="1" x14ac:dyDescent="0.25"/>
    <row r="299990" customFormat="1" x14ac:dyDescent="0.25"/>
    <row r="299991" customFormat="1" x14ac:dyDescent="0.25"/>
    <row r="299992" customFormat="1" x14ac:dyDescent="0.25"/>
    <row r="299993" customFormat="1" x14ac:dyDescent="0.25"/>
    <row r="299994" customFormat="1" x14ac:dyDescent="0.25"/>
    <row r="299995" customFormat="1" x14ac:dyDescent="0.25"/>
    <row r="299996" customFormat="1" x14ac:dyDescent="0.25"/>
    <row r="299997" customFormat="1" x14ac:dyDescent="0.25"/>
    <row r="299998" customFormat="1" x14ac:dyDescent="0.25"/>
    <row r="299999" customFormat="1" x14ac:dyDescent="0.25"/>
    <row r="300000" customFormat="1" x14ac:dyDescent="0.25"/>
    <row r="300001" customFormat="1" x14ac:dyDescent="0.25"/>
    <row r="300002" customFormat="1" x14ac:dyDescent="0.25"/>
    <row r="300003" customFormat="1" x14ac:dyDescent="0.25"/>
    <row r="300004" customFormat="1" x14ac:dyDescent="0.25"/>
    <row r="300005" customFormat="1" x14ac:dyDescent="0.25"/>
    <row r="300006" customFormat="1" x14ac:dyDescent="0.25"/>
    <row r="300007" customFormat="1" x14ac:dyDescent="0.25"/>
    <row r="300008" customFormat="1" x14ac:dyDescent="0.25"/>
    <row r="300009" customFormat="1" x14ac:dyDescent="0.25"/>
    <row r="300010" customFormat="1" x14ac:dyDescent="0.25"/>
    <row r="300011" customFormat="1" x14ac:dyDescent="0.25"/>
    <row r="300012" customFormat="1" x14ac:dyDescent="0.25"/>
    <row r="300013" customFormat="1" x14ac:dyDescent="0.25"/>
    <row r="300014" customFormat="1" x14ac:dyDescent="0.25"/>
    <row r="300015" customFormat="1" x14ac:dyDescent="0.25"/>
    <row r="300016" customFormat="1" x14ac:dyDescent="0.25"/>
    <row r="300017" customFormat="1" x14ac:dyDescent="0.25"/>
    <row r="300018" customFormat="1" x14ac:dyDescent="0.25"/>
    <row r="300019" customFormat="1" x14ac:dyDescent="0.25"/>
    <row r="300020" customFormat="1" x14ac:dyDescent="0.25"/>
    <row r="300021" customFormat="1" x14ac:dyDescent="0.25"/>
    <row r="300022" customFormat="1" x14ac:dyDescent="0.25"/>
    <row r="300023" customFormat="1" x14ac:dyDescent="0.25"/>
    <row r="300024" customFormat="1" x14ac:dyDescent="0.25"/>
    <row r="300025" customFormat="1" x14ac:dyDescent="0.25"/>
    <row r="300026" customFormat="1" x14ac:dyDescent="0.25"/>
    <row r="300027" customFormat="1" x14ac:dyDescent="0.25"/>
    <row r="300028" customFormat="1" x14ac:dyDescent="0.25"/>
    <row r="300029" customFormat="1" x14ac:dyDescent="0.25"/>
    <row r="300030" customFormat="1" x14ac:dyDescent="0.25"/>
    <row r="300031" customFormat="1" x14ac:dyDescent="0.25"/>
    <row r="300032" customFormat="1" x14ac:dyDescent="0.25"/>
    <row r="300033" customFormat="1" x14ac:dyDescent="0.25"/>
    <row r="300034" customFormat="1" x14ac:dyDescent="0.25"/>
    <row r="300035" customFormat="1" x14ac:dyDescent="0.25"/>
    <row r="300036" customFormat="1" x14ac:dyDescent="0.25"/>
    <row r="300037" customFormat="1" x14ac:dyDescent="0.25"/>
    <row r="300038" customFormat="1" x14ac:dyDescent="0.25"/>
    <row r="300039" customFormat="1" x14ac:dyDescent="0.25"/>
    <row r="300040" customFormat="1" x14ac:dyDescent="0.25"/>
    <row r="300041" customFormat="1" x14ac:dyDescent="0.25"/>
    <row r="300042" customFormat="1" x14ac:dyDescent="0.25"/>
    <row r="300043" customFormat="1" x14ac:dyDescent="0.25"/>
    <row r="300044" customFormat="1" x14ac:dyDescent="0.25"/>
    <row r="300045" customFormat="1" x14ac:dyDescent="0.25"/>
    <row r="300046" customFormat="1" x14ac:dyDescent="0.25"/>
    <row r="300047" customFormat="1" x14ac:dyDescent="0.25"/>
    <row r="300048" customFormat="1" x14ac:dyDescent="0.25"/>
    <row r="300049" customFormat="1" x14ac:dyDescent="0.25"/>
    <row r="300050" customFormat="1" x14ac:dyDescent="0.25"/>
    <row r="300051" customFormat="1" x14ac:dyDescent="0.25"/>
    <row r="300052" customFormat="1" x14ac:dyDescent="0.25"/>
    <row r="300053" customFormat="1" x14ac:dyDescent="0.25"/>
    <row r="300054" customFormat="1" x14ac:dyDescent="0.25"/>
    <row r="300055" customFormat="1" x14ac:dyDescent="0.25"/>
    <row r="300056" customFormat="1" x14ac:dyDescent="0.25"/>
    <row r="300057" customFormat="1" x14ac:dyDescent="0.25"/>
    <row r="300058" customFormat="1" x14ac:dyDescent="0.25"/>
    <row r="300059" customFormat="1" x14ac:dyDescent="0.25"/>
    <row r="300060" customFormat="1" x14ac:dyDescent="0.25"/>
    <row r="300061" customFormat="1" x14ac:dyDescent="0.25"/>
    <row r="300062" customFormat="1" x14ac:dyDescent="0.25"/>
    <row r="300063" customFormat="1" x14ac:dyDescent="0.25"/>
    <row r="300064" customFormat="1" x14ac:dyDescent="0.25"/>
    <row r="300065" customFormat="1" x14ac:dyDescent="0.25"/>
    <row r="300066" customFormat="1" x14ac:dyDescent="0.25"/>
    <row r="300067" customFormat="1" x14ac:dyDescent="0.25"/>
    <row r="300068" customFormat="1" x14ac:dyDescent="0.25"/>
    <row r="300069" customFormat="1" x14ac:dyDescent="0.25"/>
    <row r="300070" customFormat="1" x14ac:dyDescent="0.25"/>
    <row r="300071" customFormat="1" x14ac:dyDescent="0.25"/>
    <row r="300072" customFormat="1" x14ac:dyDescent="0.25"/>
    <row r="300073" customFormat="1" x14ac:dyDescent="0.25"/>
    <row r="300074" customFormat="1" x14ac:dyDescent="0.25"/>
    <row r="300075" customFormat="1" x14ac:dyDescent="0.25"/>
    <row r="300076" customFormat="1" x14ac:dyDescent="0.25"/>
    <row r="300077" customFormat="1" x14ac:dyDescent="0.25"/>
    <row r="300078" customFormat="1" x14ac:dyDescent="0.25"/>
    <row r="300079" customFormat="1" x14ac:dyDescent="0.25"/>
    <row r="300080" customFormat="1" x14ac:dyDescent="0.25"/>
    <row r="300081" customFormat="1" x14ac:dyDescent="0.25"/>
    <row r="300082" customFormat="1" x14ac:dyDescent="0.25"/>
    <row r="300083" customFormat="1" x14ac:dyDescent="0.25"/>
    <row r="300084" customFormat="1" x14ac:dyDescent="0.25"/>
    <row r="300085" customFormat="1" x14ac:dyDescent="0.25"/>
    <row r="300086" customFormat="1" x14ac:dyDescent="0.25"/>
    <row r="300087" customFormat="1" x14ac:dyDescent="0.25"/>
    <row r="300088" customFormat="1" x14ac:dyDescent="0.25"/>
    <row r="300089" customFormat="1" x14ac:dyDescent="0.25"/>
    <row r="300090" customFormat="1" x14ac:dyDescent="0.25"/>
    <row r="300091" customFormat="1" x14ac:dyDescent="0.25"/>
    <row r="300092" customFormat="1" x14ac:dyDescent="0.25"/>
    <row r="300093" customFormat="1" x14ac:dyDescent="0.25"/>
    <row r="300094" customFormat="1" x14ac:dyDescent="0.25"/>
    <row r="300095" customFormat="1" x14ac:dyDescent="0.25"/>
    <row r="300096" customFormat="1" x14ac:dyDescent="0.25"/>
    <row r="300097" customFormat="1" x14ac:dyDescent="0.25"/>
    <row r="300098" customFormat="1" x14ac:dyDescent="0.25"/>
    <row r="300099" customFormat="1" x14ac:dyDescent="0.25"/>
    <row r="300100" customFormat="1" x14ac:dyDescent="0.25"/>
    <row r="300101" customFormat="1" x14ac:dyDescent="0.25"/>
    <row r="300102" customFormat="1" x14ac:dyDescent="0.25"/>
    <row r="300103" customFormat="1" x14ac:dyDescent="0.25"/>
    <row r="300104" customFormat="1" x14ac:dyDescent="0.25"/>
    <row r="300105" customFormat="1" x14ac:dyDescent="0.25"/>
    <row r="300106" customFormat="1" x14ac:dyDescent="0.25"/>
    <row r="300107" customFormat="1" x14ac:dyDescent="0.25"/>
    <row r="300108" customFormat="1" x14ac:dyDescent="0.25"/>
    <row r="300109" customFormat="1" x14ac:dyDescent="0.25"/>
    <row r="300110" customFormat="1" x14ac:dyDescent="0.25"/>
    <row r="300111" customFormat="1" x14ac:dyDescent="0.25"/>
    <row r="300112" customFormat="1" x14ac:dyDescent="0.25"/>
    <row r="300113" customFormat="1" x14ac:dyDescent="0.25"/>
    <row r="300114" customFormat="1" x14ac:dyDescent="0.25"/>
    <row r="300115" customFormat="1" x14ac:dyDescent="0.25"/>
    <row r="300116" customFormat="1" x14ac:dyDescent="0.25"/>
    <row r="300117" customFormat="1" x14ac:dyDescent="0.25"/>
    <row r="300118" customFormat="1" x14ac:dyDescent="0.25"/>
    <row r="300119" customFormat="1" x14ac:dyDescent="0.25"/>
    <row r="300120" customFormat="1" x14ac:dyDescent="0.25"/>
    <row r="300121" customFormat="1" x14ac:dyDescent="0.25"/>
    <row r="300122" customFormat="1" x14ac:dyDescent="0.25"/>
    <row r="300123" customFormat="1" x14ac:dyDescent="0.25"/>
    <row r="300124" customFormat="1" x14ac:dyDescent="0.25"/>
    <row r="300125" customFormat="1" x14ac:dyDescent="0.25"/>
    <row r="300126" customFormat="1" x14ac:dyDescent="0.25"/>
    <row r="300127" customFormat="1" x14ac:dyDescent="0.25"/>
    <row r="300128" customFormat="1" x14ac:dyDescent="0.25"/>
    <row r="300129" customFormat="1" x14ac:dyDescent="0.25"/>
    <row r="300130" customFormat="1" x14ac:dyDescent="0.25"/>
    <row r="300131" customFormat="1" x14ac:dyDescent="0.25"/>
    <row r="300132" customFormat="1" x14ac:dyDescent="0.25"/>
    <row r="300133" customFormat="1" x14ac:dyDescent="0.25"/>
    <row r="300134" customFormat="1" x14ac:dyDescent="0.25"/>
    <row r="300135" customFormat="1" x14ac:dyDescent="0.25"/>
    <row r="300136" customFormat="1" x14ac:dyDescent="0.25"/>
    <row r="300137" customFormat="1" x14ac:dyDescent="0.25"/>
    <row r="300138" customFormat="1" x14ac:dyDescent="0.25"/>
    <row r="300139" customFormat="1" x14ac:dyDescent="0.25"/>
    <row r="300140" customFormat="1" x14ac:dyDescent="0.25"/>
    <row r="300141" customFormat="1" x14ac:dyDescent="0.25"/>
    <row r="300142" customFormat="1" x14ac:dyDescent="0.25"/>
    <row r="300143" customFormat="1" x14ac:dyDescent="0.25"/>
    <row r="300144" customFormat="1" x14ac:dyDescent="0.25"/>
    <row r="300145" customFormat="1" x14ac:dyDescent="0.25"/>
    <row r="300146" customFormat="1" x14ac:dyDescent="0.25"/>
    <row r="300147" customFormat="1" x14ac:dyDescent="0.25"/>
    <row r="300148" customFormat="1" x14ac:dyDescent="0.25"/>
    <row r="300149" customFormat="1" x14ac:dyDescent="0.25"/>
    <row r="300150" customFormat="1" x14ac:dyDescent="0.25"/>
    <row r="300151" customFormat="1" x14ac:dyDescent="0.25"/>
    <row r="300152" customFormat="1" x14ac:dyDescent="0.25"/>
    <row r="300153" customFormat="1" x14ac:dyDescent="0.25"/>
    <row r="300154" customFormat="1" x14ac:dyDescent="0.25"/>
    <row r="300155" customFormat="1" x14ac:dyDescent="0.25"/>
    <row r="300156" customFormat="1" x14ac:dyDescent="0.25"/>
    <row r="300157" customFormat="1" x14ac:dyDescent="0.25"/>
    <row r="300158" customFormat="1" x14ac:dyDescent="0.25"/>
    <row r="300159" customFormat="1" x14ac:dyDescent="0.25"/>
    <row r="300160" customFormat="1" x14ac:dyDescent="0.25"/>
    <row r="300161" customFormat="1" x14ac:dyDescent="0.25"/>
    <row r="300162" customFormat="1" x14ac:dyDescent="0.25"/>
    <row r="300163" customFormat="1" x14ac:dyDescent="0.25"/>
    <row r="300164" customFormat="1" x14ac:dyDescent="0.25"/>
    <row r="300165" customFormat="1" x14ac:dyDescent="0.25"/>
    <row r="300166" customFormat="1" x14ac:dyDescent="0.25"/>
    <row r="300167" customFormat="1" x14ac:dyDescent="0.25"/>
    <row r="300168" customFormat="1" x14ac:dyDescent="0.25"/>
    <row r="300169" customFormat="1" x14ac:dyDescent="0.25"/>
    <row r="300170" customFormat="1" x14ac:dyDescent="0.25"/>
    <row r="300171" customFormat="1" x14ac:dyDescent="0.25"/>
    <row r="300172" customFormat="1" x14ac:dyDescent="0.25"/>
    <row r="300173" customFormat="1" x14ac:dyDescent="0.25"/>
    <row r="300174" customFormat="1" x14ac:dyDescent="0.25"/>
    <row r="300175" customFormat="1" x14ac:dyDescent="0.25"/>
    <row r="300176" customFormat="1" x14ac:dyDescent="0.25"/>
    <row r="300177" customFormat="1" x14ac:dyDescent="0.25"/>
    <row r="300178" customFormat="1" x14ac:dyDescent="0.25"/>
    <row r="300179" customFormat="1" x14ac:dyDescent="0.25"/>
    <row r="300180" customFormat="1" x14ac:dyDescent="0.25"/>
    <row r="300181" customFormat="1" x14ac:dyDescent="0.25"/>
    <row r="300182" customFormat="1" x14ac:dyDescent="0.25"/>
    <row r="300183" customFormat="1" x14ac:dyDescent="0.25"/>
    <row r="300184" customFormat="1" x14ac:dyDescent="0.25"/>
    <row r="300185" customFormat="1" x14ac:dyDescent="0.25"/>
    <row r="300186" customFormat="1" x14ac:dyDescent="0.25"/>
    <row r="300187" customFormat="1" x14ac:dyDescent="0.25"/>
    <row r="300188" customFormat="1" x14ac:dyDescent="0.25"/>
    <row r="300189" customFormat="1" x14ac:dyDescent="0.25"/>
    <row r="300190" customFormat="1" x14ac:dyDescent="0.25"/>
    <row r="300191" customFormat="1" x14ac:dyDescent="0.25"/>
    <row r="300192" customFormat="1" x14ac:dyDescent="0.25"/>
    <row r="300193" customFormat="1" x14ac:dyDescent="0.25"/>
    <row r="300194" customFormat="1" x14ac:dyDescent="0.25"/>
    <row r="300195" customFormat="1" x14ac:dyDescent="0.25"/>
    <row r="300196" customFormat="1" x14ac:dyDescent="0.25"/>
    <row r="300197" customFormat="1" x14ac:dyDescent="0.25"/>
    <row r="300198" customFormat="1" x14ac:dyDescent="0.25"/>
    <row r="300199" customFormat="1" x14ac:dyDescent="0.25"/>
    <row r="300200" customFormat="1" x14ac:dyDescent="0.25"/>
    <row r="300201" customFormat="1" x14ac:dyDescent="0.25"/>
    <row r="300202" customFormat="1" x14ac:dyDescent="0.25"/>
    <row r="300203" customFormat="1" x14ac:dyDescent="0.25"/>
    <row r="300204" customFormat="1" x14ac:dyDescent="0.25"/>
    <row r="300205" customFormat="1" x14ac:dyDescent="0.25"/>
    <row r="300206" customFormat="1" x14ac:dyDescent="0.25"/>
    <row r="300207" customFormat="1" x14ac:dyDescent="0.25"/>
    <row r="300208" customFormat="1" x14ac:dyDescent="0.25"/>
    <row r="300209" customFormat="1" x14ac:dyDescent="0.25"/>
    <row r="300210" customFormat="1" x14ac:dyDescent="0.25"/>
    <row r="300211" customFormat="1" x14ac:dyDescent="0.25"/>
    <row r="300212" customFormat="1" x14ac:dyDescent="0.25"/>
    <row r="300213" customFormat="1" x14ac:dyDescent="0.25"/>
    <row r="300214" customFormat="1" x14ac:dyDescent="0.25"/>
    <row r="300215" customFormat="1" x14ac:dyDescent="0.25"/>
    <row r="300216" customFormat="1" x14ac:dyDescent="0.25"/>
    <row r="300217" customFormat="1" x14ac:dyDescent="0.25"/>
    <row r="300218" customFormat="1" x14ac:dyDescent="0.25"/>
    <row r="300219" customFormat="1" x14ac:dyDescent="0.25"/>
    <row r="300220" customFormat="1" x14ac:dyDescent="0.25"/>
    <row r="300221" customFormat="1" x14ac:dyDescent="0.25"/>
    <row r="300222" customFormat="1" x14ac:dyDescent="0.25"/>
    <row r="300223" customFormat="1" x14ac:dyDescent="0.25"/>
    <row r="300224" customFormat="1" x14ac:dyDescent="0.25"/>
    <row r="300225" customFormat="1" x14ac:dyDescent="0.25"/>
    <row r="300226" customFormat="1" x14ac:dyDescent="0.25"/>
    <row r="300227" customFormat="1" x14ac:dyDescent="0.25"/>
    <row r="300228" customFormat="1" x14ac:dyDescent="0.25"/>
    <row r="300229" customFormat="1" x14ac:dyDescent="0.25"/>
    <row r="300230" customFormat="1" x14ac:dyDescent="0.25"/>
    <row r="300231" customFormat="1" x14ac:dyDescent="0.25"/>
    <row r="300232" customFormat="1" x14ac:dyDescent="0.25"/>
    <row r="300233" customFormat="1" x14ac:dyDescent="0.25"/>
    <row r="300234" customFormat="1" x14ac:dyDescent="0.25"/>
    <row r="300235" customFormat="1" x14ac:dyDescent="0.25"/>
    <row r="300236" customFormat="1" x14ac:dyDescent="0.25"/>
    <row r="300237" customFormat="1" x14ac:dyDescent="0.25"/>
    <row r="300238" customFormat="1" x14ac:dyDescent="0.25"/>
    <row r="300239" customFormat="1" x14ac:dyDescent="0.25"/>
    <row r="300240" customFormat="1" x14ac:dyDescent="0.25"/>
    <row r="300241" customFormat="1" x14ac:dyDescent="0.25"/>
    <row r="300242" customFormat="1" x14ac:dyDescent="0.25"/>
    <row r="300243" customFormat="1" x14ac:dyDescent="0.25"/>
    <row r="300244" customFormat="1" x14ac:dyDescent="0.25"/>
    <row r="300245" customFormat="1" x14ac:dyDescent="0.25"/>
    <row r="300246" customFormat="1" x14ac:dyDescent="0.25"/>
    <row r="300247" customFormat="1" x14ac:dyDescent="0.25"/>
    <row r="300248" customFormat="1" x14ac:dyDescent="0.25"/>
    <row r="300249" customFormat="1" x14ac:dyDescent="0.25"/>
    <row r="300250" customFormat="1" x14ac:dyDescent="0.25"/>
    <row r="300251" customFormat="1" x14ac:dyDescent="0.25"/>
    <row r="300252" customFormat="1" x14ac:dyDescent="0.25"/>
    <row r="300253" customFormat="1" x14ac:dyDescent="0.25"/>
    <row r="300254" customFormat="1" x14ac:dyDescent="0.25"/>
    <row r="300255" customFormat="1" x14ac:dyDescent="0.25"/>
    <row r="300256" customFormat="1" x14ac:dyDescent="0.25"/>
    <row r="300257" customFormat="1" x14ac:dyDescent="0.25"/>
    <row r="300258" customFormat="1" x14ac:dyDescent="0.25"/>
    <row r="300259" customFormat="1" x14ac:dyDescent="0.25"/>
    <row r="300260" customFormat="1" x14ac:dyDescent="0.25"/>
    <row r="300261" customFormat="1" x14ac:dyDescent="0.25"/>
    <row r="300262" customFormat="1" x14ac:dyDescent="0.25"/>
    <row r="300263" customFormat="1" x14ac:dyDescent="0.25"/>
    <row r="300264" customFormat="1" x14ac:dyDescent="0.25"/>
    <row r="300265" customFormat="1" x14ac:dyDescent="0.25"/>
    <row r="300266" customFormat="1" x14ac:dyDescent="0.25"/>
    <row r="300267" customFormat="1" x14ac:dyDescent="0.25"/>
    <row r="300268" customFormat="1" x14ac:dyDescent="0.25"/>
    <row r="300269" customFormat="1" x14ac:dyDescent="0.25"/>
    <row r="300270" customFormat="1" x14ac:dyDescent="0.25"/>
    <row r="300271" customFormat="1" x14ac:dyDescent="0.25"/>
    <row r="300272" customFormat="1" x14ac:dyDescent="0.25"/>
    <row r="300273" customFormat="1" x14ac:dyDescent="0.25"/>
    <row r="300274" customFormat="1" x14ac:dyDescent="0.25"/>
    <row r="300275" customFormat="1" x14ac:dyDescent="0.25"/>
    <row r="300276" customFormat="1" x14ac:dyDescent="0.25"/>
    <row r="300277" customFormat="1" x14ac:dyDescent="0.25"/>
    <row r="300278" customFormat="1" x14ac:dyDescent="0.25"/>
    <row r="300279" customFormat="1" x14ac:dyDescent="0.25"/>
    <row r="300280" customFormat="1" x14ac:dyDescent="0.25"/>
    <row r="300281" customFormat="1" x14ac:dyDescent="0.25"/>
    <row r="300282" customFormat="1" x14ac:dyDescent="0.25"/>
    <row r="300283" customFormat="1" x14ac:dyDescent="0.25"/>
    <row r="300284" customFormat="1" x14ac:dyDescent="0.25"/>
    <row r="300285" customFormat="1" x14ac:dyDescent="0.25"/>
    <row r="300286" customFormat="1" x14ac:dyDescent="0.25"/>
    <row r="300287" customFormat="1" x14ac:dyDescent="0.25"/>
    <row r="300288" customFormat="1" x14ac:dyDescent="0.25"/>
    <row r="300289" customFormat="1" x14ac:dyDescent="0.25"/>
    <row r="300290" customFormat="1" x14ac:dyDescent="0.25"/>
    <row r="300291" customFormat="1" x14ac:dyDescent="0.25"/>
    <row r="300292" customFormat="1" x14ac:dyDescent="0.25"/>
    <row r="300293" customFormat="1" x14ac:dyDescent="0.25"/>
    <row r="300294" customFormat="1" x14ac:dyDescent="0.25"/>
    <row r="300295" customFormat="1" x14ac:dyDescent="0.25"/>
    <row r="300296" customFormat="1" x14ac:dyDescent="0.25"/>
    <row r="300297" customFormat="1" x14ac:dyDescent="0.25"/>
    <row r="300298" customFormat="1" x14ac:dyDescent="0.25"/>
    <row r="300299" customFormat="1" x14ac:dyDescent="0.25"/>
    <row r="300300" customFormat="1" x14ac:dyDescent="0.25"/>
    <row r="300301" customFormat="1" x14ac:dyDescent="0.25"/>
    <row r="300302" customFormat="1" x14ac:dyDescent="0.25"/>
    <row r="300303" customFormat="1" x14ac:dyDescent="0.25"/>
    <row r="300304" customFormat="1" x14ac:dyDescent="0.25"/>
    <row r="300305" customFormat="1" x14ac:dyDescent="0.25"/>
    <row r="300306" customFormat="1" x14ac:dyDescent="0.25"/>
    <row r="300307" customFormat="1" x14ac:dyDescent="0.25"/>
    <row r="300308" customFormat="1" x14ac:dyDescent="0.25"/>
    <row r="300309" customFormat="1" x14ac:dyDescent="0.25"/>
    <row r="300310" customFormat="1" x14ac:dyDescent="0.25"/>
    <row r="300311" customFormat="1" x14ac:dyDescent="0.25"/>
    <row r="300312" customFormat="1" x14ac:dyDescent="0.25"/>
    <row r="300313" customFormat="1" x14ac:dyDescent="0.25"/>
    <row r="300314" customFormat="1" x14ac:dyDescent="0.25"/>
    <row r="300315" customFormat="1" x14ac:dyDescent="0.25"/>
    <row r="300316" customFormat="1" x14ac:dyDescent="0.25"/>
    <row r="300317" customFormat="1" x14ac:dyDescent="0.25"/>
    <row r="300318" customFormat="1" x14ac:dyDescent="0.25"/>
    <row r="300319" customFormat="1" x14ac:dyDescent="0.25"/>
    <row r="300320" customFormat="1" x14ac:dyDescent="0.25"/>
    <row r="300321" customFormat="1" x14ac:dyDescent="0.25"/>
    <row r="300322" customFormat="1" x14ac:dyDescent="0.25"/>
    <row r="300323" customFormat="1" x14ac:dyDescent="0.25"/>
    <row r="300324" customFormat="1" x14ac:dyDescent="0.25"/>
    <row r="300325" customFormat="1" x14ac:dyDescent="0.25"/>
    <row r="300326" customFormat="1" x14ac:dyDescent="0.25"/>
    <row r="300327" customFormat="1" x14ac:dyDescent="0.25"/>
    <row r="300328" customFormat="1" x14ac:dyDescent="0.25"/>
    <row r="300329" customFormat="1" x14ac:dyDescent="0.25"/>
    <row r="300330" customFormat="1" x14ac:dyDescent="0.25"/>
    <row r="300331" customFormat="1" x14ac:dyDescent="0.25"/>
    <row r="300332" customFormat="1" x14ac:dyDescent="0.25"/>
    <row r="300333" customFormat="1" x14ac:dyDescent="0.25"/>
    <row r="300334" customFormat="1" x14ac:dyDescent="0.25"/>
    <row r="300335" customFormat="1" x14ac:dyDescent="0.25"/>
    <row r="300336" customFormat="1" x14ac:dyDescent="0.25"/>
    <row r="300337" customFormat="1" x14ac:dyDescent="0.25"/>
    <row r="300338" customFormat="1" x14ac:dyDescent="0.25"/>
    <row r="300339" customFormat="1" x14ac:dyDescent="0.25"/>
    <row r="300340" customFormat="1" x14ac:dyDescent="0.25"/>
    <row r="300341" customFormat="1" x14ac:dyDescent="0.25"/>
    <row r="300342" customFormat="1" x14ac:dyDescent="0.25"/>
    <row r="300343" customFormat="1" x14ac:dyDescent="0.25"/>
    <row r="300344" customFormat="1" x14ac:dyDescent="0.25"/>
    <row r="300345" customFormat="1" x14ac:dyDescent="0.25"/>
    <row r="300346" customFormat="1" x14ac:dyDescent="0.25"/>
    <row r="300347" customFormat="1" x14ac:dyDescent="0.25"/>
    <row r="300348" customFormat="1" x14ac:dyDescent="0.25"/>
    <row r="300349" customFormat="1" x14ac:dyDescent="0.25"/>
    <row r="300350" customFormat="1" x14ac:dyDescent="0.25"/>
    <row r="300351" customFormat="1" x14ac:dyDescent="0.25"/>
    <row r="300352" customFormat="1" x14ac:dyDescent="0.25"/>
    <row r="300353" customFormat="1" x14ac:dyDescent="0.25"/>
    <row r="300354" customFormat="1" x14ac:dyDescent="0.25"/>
    <row r="300355" customFormat="1" x14ac:dyDescent="0.25"/>
    <row r="300356" customFormat="1" x14ac:dyDescent="0.25"/>
    <row r="300357" customFormat="1" x14ac:dyDescent="0.25"/>
    <row r="300358" customFormat="1" x14ac:dyDescent="0.25"/>
    <row r="300359" customFormat="1" x14ac:dyDescent="0.25"/>
    <row r="300360" customFormat="1" x14ac:dyDescent="0.25"/>
    <row r="300361" customFormat="1" x14ac:dyDescent="0.25"/>
    <row r="300362" customFormat="1" x14ac:dyDescent="0.25"/>
    <row r="300363" customFormat="1" x14ac:dyDescent="0.25"/>
    <row r="300364" customFormat="1" x14ac:dyDescent="0.25"/>
    <row r="300365" customFormat="1" x14ac:dyDescent="0.25"/>
    <row r="300366" customFormat="1" x14ac:dyDescent="0.25"/>
    <row r="300367" customFormat="1" x14ac:dyDescent="0.25"/>
    <row r="300368" customFormat="1" x14ac:dyDescent="0.25"/>
    <row r="300369" customFormat="1" x14ac:dyDescent="0.25"/>
    <row r="300370" customFormat="1" x14ac:dyDescent="0.25"/>
    <row r="300371" customFormat="1" x14ac:dyDescent="0.25"/>
    <row r="300372" customFormat="1" x14ac:dyDescent="0.25"/>
    <row r="300373" customFormat="1" x14ac:dyDescent="0.25"/>
    <row r="300374" customFormat="1" x14ac:dyDescent="0.25"/>
    <row r="300375" customFormat="1" x14ac:dyDescent="0.25"/>
    <row r="300376" customFormat="1" x14ac:dyDescent="0.25"/>
    <row r="300377" customFormat="1" x14ac:dyDescent="0.25"/>
    <row r="300378" customFormat="1" x14ac:dyDescent="0.25"/>
    <row r="300379" customFormat="1" x14ac:dyDescent="0.25"/>
    <row r="300380" customFormat="1" x14ac:dyDescent="0.25"/>
    <row r="300381" customFormat="1" x14ac:dyDescent="0.25"/>
    <row r="300382" customFormat="1" x14ac:dyDescent="0.25"/>
    <row r="300383" customFormat="1" x14ac:dyDescent="0.25"/>
    <row r="300384" customFormat="1" x14ac:dyDescent="0.25"/>
    <row r="300385" customFormat="1" x14ac:dyDescent="0.25"/>
    <row r="300386" customFormat="1" x14ac:dyDescent="0.25"/>
    <row r="300387" customFormat="1" x14ac:dyDescent="0.25"/>
    <row r="300388" customFormat="1" x14ac:dyDescent="0.25"/>
    <row r="300389" customFormat="1" x14ac:dyDescent="0.25"/>
    <row r="300390" customFormat="1" x14ac:dyDescent="0.25"/>
    <row r="300391" customFormat="1" x14ac:dyDescent="0.25"/>
    <row r="300392" customFormat="1" x14ac:dyDescent="0.25"/>
    <row r="300393" customFormat="1" x14ac:dyDescent="0.25"/>
    <row r="300394" customFormat="1" x14ac:dyDescent="0.25"/>
    <row r="300395" customFormat="1" x14ac:dyDescent="0.25"/>
    <row r="300396" customFormat="1" x14ac:dyDescent="0.25"/>
    <row r="300397" customFormat="1" x14ac:dyDescent="0.25"/>
    <row r="300398" customFormat="1" x14ac:dyDescent="0.25"/>
    <row r="300399" customFormat="1" x14ac:dyDescent="0.25"/>
    <row r="300400" customFormat="1" x14ac:dyDescent="0.25"/>
    <row r="300401" customFormat="1" x14ac:dyDescent="0.25"/>
    <row r="300402" customFormat="1" x14ac:dyDescent="0.25"/>
    <row r="300403" customFormat="1" x14ac:dyDescent="0.25"/>
    <row r="300404" customFormat="1" x14ac:dyDescent="0.25"/>
    <row r="300405" customFormat="1" x14ac:dyDescent="0.25"/>
    <row r="300406" customFormat="1" x14ac:dyDescent="0.25"/>
    <row r="300407" customFormat="1" x14ac:dyDescent="0.25"/>
    <row r="300408" customFormat="1" x14ac:dyDescent="0.25"/>
    <row r="300409" customFormat="1" x14ac:dyDescent="0.25"/>
    <row r="300410" customFormat="1" x14ac:dyDescent="0.25"/>
    <row r="300411" customFormat="1" x14ac:dyDescent="0.25"/>
    <row r="300412" customFormat="1" x14ac:dyDescent="0.25"/>
    <row r="300413" customFormat="1" x14ac:dyDescent="0.25"/>
    <row r="300414" customFormat="1" x14ac:dyDescent="0.25"/>
    <row r="300415" customFormat="1" x14ac:dyDescent="0.25"/>
    <row r="300416" customFormat="1" x14ac:dyDescent="0.25"/>
    <row r="300417" customFormat="1" x14ac:dyDescent="0.25"/>
    <row r="300418" customFormat="1" x14ac:dyDescent="0.25"/>
    <row r="300419" customFormat="1" x14ac:dyDescent="0.25"/>
    <row r="300420" customFormat="1" x14ac:dyDescent="0.25"/>
    <row r="300421" customFormat="1" x14ac:dyDescent="0.25"/>
    <row r="300422" customFormat="1" x14ac:dyDescent="0.25"/>
    <row r="300423" customFormat="1" x14ac:dyDescent="0.25"/>
    <row r="300424" customFormat="1" x14ac:dyDescent="0.25"/>
    <row r="300425" customFormat="1" x14ac:dyDescent="0.25"/>
    <row r="300426" customFormat="1" x14ac:dyDescent="0.25"/>
    <row r="300427" customFormat="1" x14ac:dyDescent="0.25"/>
    <row r="300428" customFormat="1" x14ac:dyDescent="0.25"/>
    <row r="300429" customFormat="1" x14ac:dyDescent="0.25"/>
    <row r="300430" customFormat="1" x14ac:dyDescent="0.25"/>
    <row r="300431" customFormat="1" x14ac:dyDescent="0.25"/>
    <row r="300432" customFormat="1" x14ac:dyDescent="0.25"/>
    <row r="300433" customFormat="1" x14ac:dyDescent="0.25"/>
    <row r="300434" customFormat="1" x14ac:dyDescent="0.25"/>
    <row r="300435" customFormat="1" x14ac:dyDescent="0.25"/>
    <row r="300436" customFormat="1" x14ac:dyDescent="0.25"/>
    <row r="300437" customFormat="1" x14ac:dyDescent="0.25"/>
    <row r="300438" customFormat="1" x14ac:dyDescent="0.25"/>
    <row r="300439" customFormat="1" x14ac:dyDescent="0.25"/>
    <row r="300440" customFormat="1" x14ac:dyDescent="0.25"/>
    <row r="300441" customFormat="1" x14ac:dyDescent="0.25"/>
    <row r="300442" customFormat="1" x14ac:dyDescent="0.25"/>
    <row r="300443" customFormat="1" x14ac:dyDescent="0.25"/>
    <row r="300444" customFormat="1" x14ac:dyDescent="0.25"/>
    <row r="300445" customFormat="1" x14ac:dyDescent="0.25"/>
    <row r="300446" customFormat="1" x14ac:dyDescent="0.25"/>
    <row r="300447" customFormat="1" x14ac:dyDescent="0.25"/>
    <row r="300448" customFormat="1" x14ac:dyDescent="0.25"/>
    <row r="300449" customFormat="1" x14ac:dyDescent="0.25"/>
    <row r="300450" customFormat="1" x14ac:dyDescent="0.25"/>
    <row r="300451" customFormat="1" x14ac:dyDescent="0.25"/>
    <row r="300452" customFormat="1" x14ac:dyDescent="0.25"/>
    <row r="300453" customFormat="1" x14ac:dyDescent="0.25"/>
    <row r="300454" customFormat="1" x14ac:dyDescent="0.25"/>
    <row r="300455" customFormat="1" x14ac:dyDescent="0.25"/>
    <row r="300456" customFormat="1" x14ac:dyDescent="0.25"/>
    <row r="300457" customFormat="1" x14ac:dyDescent="0.25"/>
    <row r="300458" customFormat="1" x14ac:dyDescent="0.25"/>
    <row r="300459" customFormat="1" x14ac:dyDescent="0.25"/>
    <row r="300460" customFormat="1" x14ac:dyDescent="0.25"/>
    <row r="300461" customFormat="1" x14ac:dyDescent="0.25"/>
    <row r="300462" customFormat="1" x14ac:dyDescent="0.25"/>
    <row r="300463" customFormat="1" x14ac:dyDescent="0.25"/>
    <row r="300464" customFormat="1" x14ac:dyDescent="0.25"/>
    <row r="300465" customFormat="1" x14ac:dyDescent="0.25"/>
    <row r="300466" customFormat="1" x14ac:dyDescent="0.25"/>
    <row r="300467" customFormat="1" x14ac:dyDescent="0.25"/>
    <row r="300468" customFormat="1" x14ac:dyDescent="0.25"/>
    <row r="300469" customFormat="1" x14ac:dyDescent="0.25"/>
    <row r="300470" customFormat="1" x14ac:dyDescent="0.25"/>
    <row r="300471" customFormat="1" x14ac:dyDescent="0.25"/>
    <row r="300472" customFormat="1" x14ac:dyDescent="0.25"/>
    <row r="300473" customFormat="1" x14ac:dyDescent="0.25"/>
    <row r="300474" customFormat="1" x14ac:dyDescent="0.25"/>
    <row r="300475" customFormat="1" x14ac:dyDescent="0.25"/>
    <row r="300476" customFormat="1" x14ac:dyDescent="0.25"/>
    <row r="300477" customFormat="1" x14ac:dyDescent="0.25"/>
    <row r="300478" customFormat="1" x14ac:dyDescent="0.25"/>
    <row r="300479" customFormat="1" x14ac:dyDescent="0.25"/>
    <row r="300480" customFormat="1" x14ac:dyDescent="0.25"/>
    <row r="300481" customFormat="1" x14ac:dyDescent="0.25"/>
    <row r="300482" customFormat="1" x14ac:dyDescent="0.25"/>
    <row r="300483" customFormat="1" x14ac:dyDescent="0.25"/>
    <row r="300484" customFormat="1" x14ac:dyDescent="0.25"/>
    <row r="300485" customFormat="1" x14ac:dyDescent="0.25"/>
    <row r="300486" customFormat="1" x14ac:dyDescent="0.25"/>
    <row r="300487" customFormat="1" x14ac:dyDescent="0.25"/>
    <row r="300488" customFormat="1" x14ac:dyDescent="0.25"/>
    <row r="300489" customFormat="1" x14ac:dyDescent="0.25"/>
    <row r="300490" customFormat="1" x14ac:dyDescent="0.25"/>
    <row r="300491" customFormat="1" x14ac:dyDescent="0.25"/>
    <row r="300492" customFormat="1" x14ac:dyDescent="0.25"/>
    <row r="300493" customFormat="1" x14ac:dyDescent="0.25"/>
    <row r="300494" customFormat="1" x14ac:dyDescent="0.25"/>
    <row r="300495" customFormat="1" x14ac:dyDescent="0.25"/>
    <row r="300496" customFormat="1" x14ac:dyDescent="0.25"/>
    <row r="300497" customFormat="1" x14ac:dyDescent="0.25"/>
    <row r="300498" customFormat="1" x14ac:dyDescent="0.25"/>
    <row r="300499" customFormat="1" x14ac:dyDescent="0.25"/>
    <row r="300500" customFormat="1" x14ac:dyDescent="0.25"/>
    <row r="300501" customFormat="1" x14ac:dyDescent="0.25"/>
    <row r="300502" customFormat="1" x14ac:dyDescent="0.25"/>
    <row r="300503" customFormat="1" x14ac:dyDescent="0.25"/>
    <row r="300504" customFormat="1" x14ac:dyDescent="0.25"/>
    <row r="300505" customFormat="1" x14ac:dyDescent="0.25"/>
    <row r="300506" customFormat="1" x14ac:dyDescent="0.25"/>
    <row r="300507" customFormat="1" x14ac:dyDescent="0.25"/>
    <row r="300508" customFormat="1" x14ac:dyDescent="0.25"/>
    <row r="300509" customFormat="1" x14ac:dyDescent="0.25"/>
    <row r="300510" customFormat="1" x14ac:dyDescent="0.25"/>
    <row r="300511" customFormat="1" x14ac:dyDescent="0.25"/>
    <row r="300512" customFormat="1" x14ac:dyDescent="0.25"/>
    <row r="300513" customFormat="1" x14ac:dyDescent="0.25"/>
    <row r="300514" customFormat="1" x14ac:dyDescent="0.25"/>
    <row r="300515" customFormat="1" x14ac:dyDescent="0.25"/>
    <row r="300516" customFormat="1" x14ac:dyDescent="0.25"/>
    <row r="300517" customFormat="1" x14ac:dyDescent="0.25"/>
    <row r="300518" customFormat="1" x14ac:dyDescent="0.25"/>
    <row r="300519" customFormat="1" x14ac:dyDescent="0.25"/>
    <row r="300520" customFormat="1" x14ac:dyDescent="0.25"/>
    <row r="300521" customFormat="1" x14ac:dyDescent="0.25"/>
    <row r="300522" customFormat="1" x14ac:dyDescent="0.25"/>
    <row r="300523" customFormat="1" x14ac:dyDescent="0.25"/>
    <row r="300524" customFormat="1" x14ac:dyDescent="0.25"/>
    <row r="300525" customFormat="1" x14ac:dyDescent="0.25"/>
    <row r="300526" customFormat="1" x14ac:dyDescent="0.25"/>
    <row r="300527" customFormat="1" x14ac:dyDescent="0.25"/>
    <row r="300528" customFormat="1" x14ac:dyDescent="0.25"/>
    <row r="300529" customFormat="1" x14ac:dyDescent="0.25"/>
    <row r="300530" customFormat="1" x14ac:dyDescent="0.25"/>
    <row r="300531" customFormat="1" x14ac:dyDescent="0.25"/>
    <row r="300532" customFormat="1" x14ac:dyDescent="0.25"/>
    <row r="300533" customFormat="1" x14ac:dyDescent="0.25"/>
    <row r="300534" customFormat="1" x14ac:dyDescent="0.25"/>
    <row r="300535" customFormat="1" x14ac:dyDescent="0.25"/>
    <row r="300536" customFormat="1" x14ac:dyDescent="0.25"/>
    <row r="300537" customFormat="1" x14ac:dyDescent="0.25"/>
    <row r="300538" customFormat="1" x14ac:dyDescent="0.25"/>
    <row r="300539" customFormat="1" x14ac:dyDescent="0.25"/>
    <row r="300540" customFormat="1" x14ac:dyDescent="0.25"/>
    <row r="300541" customFormat="1" x14ac:dyDescent="0.25"/>
    <row r="300542" customFormat="1" x14ac:dyDescent="0.25"/>
    <row r="300543" customFormat="1" x14ac:dyDescent="0.25"/>
    <row r="300544" customFormat="1" x14ac:dyDescent="0.25"/>
    <row r="300545" customFormat="1" x14ac:dyDescent="0.25"/>
    <row r="300546" customFormat="1" x14ac:dyDescent="0.25"/>
    <row r="300547" customFormat="1" x14ac:dyDescent="0.25"/>
    <row r="300548" customFormat="1" x14ac:dyDescent="0.25"/>
    <row r="300549" customFormat="1" x14ac:dyDescent="0.25"/>
    <row r="300550" customFormat="1" x14ac:dyDescent="0.25"/>
    <row r="300551" customFormat="1" x14ac:dyDescent="0.25"/>
    <row r="300552" customFormat="1" x14ac:dyDescent="0.25"/>
    <row r="300553" customFormat="1" x14ac:dyDescent="0.25"/>
    <row r="300554" customFormat="1" x14ac:dyDescent="0.25"/>
    <row r="300555" customFormat="1" x14ac:dyDescent="0.25"/>
    <row r="300556" customFormat="1" x14ac:dyDescent="0.25"/>
    <row r="300557" customFormat="1" x14ac:dyDescent="0.25"/>
    <row r="300558" customFormat="1" x14ac:dyDescent="0.25"/>
    <row r="300559" customFormat="1" x14ac:dyDescent="0.25"/>
    <row r="300560" customFormat="1" x14ac:dyDescent="0.25"/>
    <row r="300561" customFormat="1" x14ac:dyDescent="0.25"/>
    <row r="300562" customFormat="1" x14ac:dyDescent="0.25"/>
    <row r="300563" customFormat="1" x14ac:dyDescent="0.25"/>
    <row r="300564" customFormat="1" x14ac:dyDescent="0.25"/>
    <row r="300565" customFormat="1" x14ac:dyDescent="0.25"/>
    <row r="300566" customFormat="1" x14ac:dyDescent="0.25"/>
    <row r="300567" customFormat="1" x14ac:dyDescent="0.25"/>
    <row r="300568" customFormat="1" x14ac:dyDescent="0.25"/>
    <row r="300569" customFormat="1" x14ac:dyDescent="0.25"/>
    <row r="300570" customFormat="1" x14ac:dyDescent="0.25"/>
    <row r="300571" customFormat="1" x14ac:dyDescent="0.25"/>
    <row r="300572" customFormat="1" x14ac:dyDescent="0.25"/>
    <row r="300573" customFormat="1" x14ac:dyDescent="0.25"/>
    <row r="300574" customFormat="1" x14ac:dyDescent="0.25"/>
    <row r="300575" customFormat="1" x14ac:dyDescent="0.25"/>
    <row r="300576" customFormat="1" x14ac:dyDescent="0.25"/>
    <row r="300577" customFormat="1" x14ac:dyDescent="0.25"/>
    <row r="300578" customFormat="1" x14ac:dyDescent="0.25"/>
    <row r="300579" customFormat="1" x14ac:dyDescent="0.25"/>
    <row r="300580" customFormat="1" x14ac:dyDescent="0.25"/>
    <row r="300581" customFormat="1" x14ac:dyDescent="0.25"/>
    <row r="300582" customFormat="1" x14ac:dyDescent="0.25"/>
    <row r="300583" customFormat="1" x14ac:dyDescent="0.25"/>
    <row r="300584" customFormat="1" x14ac:dyDescent="0.25"/>
    <row r="300585" customFormat="1" x14ac:dyDescent="0.25"/>
    <row r="300586" customFormat="1" x14ac:dyDescent="0.25"/>
    <row r="300587" customFormat="1" x14ac:dyDescent="0.25"/>
    <row r="300588" customFormat="1" x14ac:dyDescent="0.25"/>
    <row r="300589" customFormat="1" x14ac:dyDescent="0.25"/>
    <row r="300590" customFormat="1" x14ac:dyDescent="0.25"/>
    <row r="300591" customFormat="1" x14ac:dyDescent="0.25"/>
    <row r="300592" customFormat="1" x14ac:dyDescent="0.25"/>
    <row r="300593" customFormat="1" x14ac:dyDescent="0.25"/>
    <row r="300594" customFormat="1" x14ac:dyDescent="0.25"/>
    <row r="300595" customFormat="1" x14ac:dyDescent="0.25"/>
    <row r="300596" customFormat="1" x14ac:dyDescent="0.25"/>
    <row r="300597" customFormat="1" x14ac:dyDescent="0.25"/>
    <row r="300598" customFormat="1" x14ac:dyDescent="0.25"/>
    <row r="300599" customFormat="1" x14ac:dyDescent="0.25"/>
    <row r="300600" customFormat="1" x14ac:dyDescent="0.25"/>
    <row r="300601" customFormat="1" x14ac:dyDescent="0.25"/>
    <row r="300602" customFormat="1" x14ac:dyDescent="0.25"/>
    <row r="300603" customFormat="1" x14ac:dyDescent="0.25"/>
    <row r="300604" customFormat="1" x14ac:dyDescent="0.25"/>
    <row r="300605" customFormat="1" x14ac:dyDescent="0.25"/>
    <row r="300606" customFormat="1" x14ac:dyDescent="0.25"/>
    <row r="300607" customFormat="1" x14ac:dyDescent="0.25"/>
    <row r="300608" customFormat="1" x14ac:dyDescent="0.25"/>
    <row r="300609" customFormat="1" x14ac:dyDescent="0.25"/>
    <row r="300610" customFormat="1" x14ac:dyDescent="0.25"/>
    <row r="300611" customFormat="1" x14ac:dyDescent="0.25"/>
    <row r="300612" customFormat="1" x14ac:dyDescent="0.25"/>
    <row r="300613" customFormat="1" x14ac:dyDescent="0.25"/>
    <row r="300614" customFormat="1" x14ac:dyDescent="0.25"/>
    <row r="300615" customFormat="1" x14ac:dyDescent="0.25"/>
    <row r="300616" customFormat="1" x14ac:dyDescent="0.25"/>
    <row r="300617" customFormat="1" x14ac:dyDescent="0.25"/>
    <row r="300618" customFormat="1" x14ac:dyDescent="0.25"/>
    <row r="300619" customFormat="1" x14ac:dyDescent="0.25"/>
    <row r="300620" customFormat="1" x14ac:dyDescent="0.25"/>
    <row r="300621" customFormat="1" x14ac:dyDescent="0.25"/>
    <row r="300622" customFormat="1" x14ac:dyDescent="0.25"/>
    <row r="300623" customFormat="1" x14ac:dyDescent="0.25"/>
    <row r="300624" customFormat="1" x14ac:dyDescent="0.25"/>
    <row r="300625" customFormat="1" x14ac:dyDescent="0.25"/>
    <row r="300626" customFormat="1" x14ac:dyDescent="0.25"/>
    <row r="300627" customFormat="1" x14ac:dyDescent="0.25"/>
    <row r="300628" customFormat="1" x14ac:dyDescent="0.25"/>
    <row r="300629" customFormat="1" x14ac:dyDescent="0.25"/>
    <row r="300630" customFormat="1" x14ac:dyDescent="0.25"/>
    <row r="300631" customFormat="1" x14ac:dyDescent="0.25"/>
    <row r="300632" customFormat="1" x14ac:dyDescent="0.25"/>
    <row r="300633" customFormat="1" x14ac:dyDescent="0.25"/>
    <row r="300634" customFormat="1" x14ac:dyDescent="0.25"/>
    <row r="300635" customFormat="1" x14ac:dyDescent="0.25"/>
    <row r="300636" customFormat="1" x14ac:dyDescent="0.25"/>
    <row r="300637" customFormat="1" x14ac:dyDescent="0.25"/>
    <row r="300638" customFormat="1" x14ac:dyDescent="0.25"/>
    <row r="300639" customFormat="1" x14ac:dyDescent="0.25"/>
    <row r="300640" customFormat="1" x14ac:dyDescent="0.25"/>
    <row r="300641" customFormat="1" x14ac:dyDescent="0.25"/>
    <row r="300642" customFormat="1" x14ac:dyDescent="0.25"/>
    <row r="300643" customFormat="1" x14ac:dyDescent="0.25"/>
    <row r="300644" customFormat="1" x14ac:dyDescent="0.25"/>
    <row r="300645" customFormat="1" x14ac:dyDescent="0.25"/>
    <row r="300646" customFormat="1" x14ac:dyDescent="0.25"/>
    <row r="300647" customFormat="1" x14ac:dyDescent="0.25"/>
    <row r="300648" customFormat="1" x14ac:dyDescent="0.25"/>
    <row r="300649" customFormat="1" x14ac:dyDescent="0.25"/>
    <row r="300650" customFormat="1" x14ac:dyDescent="0.25"/>
    <row r="300651" customFormat="1" x14ac:dyDescent="0.25"/>
    <row r="300652" customFormat="1" x14ac:dyDescent="0.25"/>
    <row r="300653" customFormat="1" x14ac:dyDescent="0.25"/>
    <row r="300654" customFormat="1" x14ac:dyDescent="0.25"/>
    <row r="300655" customFormat="1" x14ac:dyDescent="0.25"/>
    <row r="300656" customFormat="1" x14ac:dyDescent="0.25"/>
    <row r="300657" customFormat="1" x14ac:dyDescent="0.25"/>
    <row r="300658" customFormat="1" x14ac:dyDescent="0.25"/>
    <row r="300659" customFormat="1" x14ac:dyDescent="0.25"/>
    <row r="300660" customFormat="1" x14ac:dyDescent="0.25"/>
    <row r="300661" customFormat="1" x14ac:dyDescent="0.25"/>
    <row r="300662" customFormat="1" x14ac:dyDescent="0.25"/>
    <row r="300663" customFormat="1" x14ac:dyDescent="0.25"/>
    <row r="300664" customFormat="1" x14ac:dyDescent="0.25"/>
    <row r="300665" customFormat="1" x14ac:dyDescent="0.25"/>
    <row r="300666" customFormat="1" x14ac:dyDescent="0.25"/>
    <row r="300667" customFormat="1" x14ac:dyDescent="0.25"/>
    <row r="300668" customFormat="1" x14ac:dyDescent="0.25"/>
    <row r="300669" customFormat="1" x14ac:dyDescent="0.25"/>
    <row r="300670" customFormat="1" x14ac:dyDescent="0.25"/>
    <row r="300671" customFormat="1" x14ac:dyDescent="0.25"/>
    <row r="300672" customFormat="1" x14ac:dyDescent="0.25"/>
    <row r="300673" customFormat="1" x14ac:dyDescent="0.25"/>
    <row r="300674" customFormat="1" x14ac:dyDescent="0.25"/>
    <row r="300675" customFormat="1" x14ac:dyDescent="0.25"/>
    <row r="300676" customFormat="1" x14ac:dyDescent="0.25"/>
    <row r="300677" customFormat="1" x14ac:dyDescent="0.25"/>
    <row r="300678" customFormat="1" x14ac:dyDescent="0.25"/>
    <row r="300679" customFormat="1" x14ac:dyDescent="0.25"/>
    <row r="300680" customFormat="1" x14ac:dyDescent="0.25"/>
    <row r="300681" customFormat="1" x14ac:dyDescent="0.25"/>
    <row r="300682" customFormat="1" x14ac:dyDescent="0.25"/>
    <row r="300683" customFormat="1" x14ac:dyDescent="0.25"/>
    <row r="300684" customFormat="1" x14ac:dyDescent="0.25"/>
    <row r="300685" customFormat="1" x14ac:dyDescent="0.25"/>
    <row r="300686" customFormat="1" x14ac:dyDescent="0.25"/>
    <row r="300687" customFormat="1" x14ac:dyDescent="0.25"/>
    <row r="300688" customFormat="1" x14ac:dyDescent="0.25"/>
    <row r="300689" customFormat="1" x14ac:dyDescent="0.25"/>
    <row r="300690" customFormat="1" x14ac:dyDescent="0.25"/>
    <row r="300691" customFormat="1" x14ac:dyDescent="0.25"/>
    <row r="300692" customFormat="1" x14ac:dyDescent="0.25"/>
    <row r="300693" customFormat="1" x14ac:dyDescent="0.25"/>
    <row r="300694" customFormat="1" x14ac:dyDescent="0.25"/>
    <row r="300695" customFormat="1" x14ac:dyDescent="0.25"/>
    <row r="300696" customFormat="1" x14ac:dyDescent="0.25"/>
    <row r="300697" customFormat="1" x14ac:dyDescent="0.25"/>
    <row r="300698" customFormat="1" x14ac:dyDescent="0.25"/>
    <row r="300699" customFormat="1" x14ac:dyDescent="0.25"/>
    <row r="300700" customFormat="1" x14ac:dyDescent="0.25"/>
    <row r="300701" customFormat="1" x14ac:dyDescent="0.25"/>
    <row r="300702" customFormat="1" x14ac:dyDescent="0.25"/>
    <row r="300703" customFormat="1" x14ac:dyDescent="0.25"/>
    <row r="300704" customFormat="1" x14ac:dyDescent="0.25"/>
    <row r="300705" customFormat="1" x14ac:dyDescent="0.25"/>
    <row r="300706" customFormat="1" x14ac:dyDescent="0.25"/>
    <row r="300707" customFormat="1" x14ac:dyDescent="0.25"/>
    <row r="300708" customFormat="1" x14ac:dyDescent="0.25"/>
    <row r="300709" customFormat="1" x14ac:dyDescent="0.25"/>
    <row r="300710" customFormat="1" x14ac:dyDescent="0.25"/>
    <row r="300711" customFormat="1" x14ac:dyDescent="0.25"/>
    <row r="300712" customFormat="1" x14ac:dyDescent="0.25"/>
    <row r="300713" customFormat="1" x14ac:dyDescent="0.25"/>
    <row r="300714" customFormat="1" x14ac:dyDescent="0.25"/>
    <row r="300715" customFormat="1" x14ac:dyDescent="0.25"/>
    <row r="300716" customFormat="1" x14ac:dyDescent="0.25"/>
    <row r="300717" customFormat="1" x14ac:dyDescent="0.25"/>
    <row r="300718" customFormat="1" x14ac:dyDescent="0.25"/>
    <row r="300719" customFormat="1" x14ac:dyDescent="0.25"/>
    <row r="300720" customFormat="1" x14ac:dyDescent="0.25"/>
    <row r="300721" customFormat="1" x14ac:dyDescent="0.25"/>
    <row r="300722" customFormat="1" x14ac:dyDescent="0.25"/>
    <row r="300723" customFormat="1" x14ac:dyDescent="0.25"/>
    <row r="300724" customFormat="1" x14ac:dyDescent="0.25"/>
    <row r="300725" customFormat="1" x14ac:dyDescent="0.25"/>
    <row r="300726" customFormat="1" x14ac:dyDescent="0.25"/>
    <row r="300727" customFormat="1" x14ac:dyDescent="0.25"/>
    <row r="300728" customFormat="1" x14ac:dyDescent="0.25"/>
    <row r="300729" customFormat="1" x14ac:dyDescent="0.25"/>
    <row r="300730" customFormat="1" x14ac:dyDescent="0.25"/>
    <row r="300731" customFormat="1" x14ac:dyDescent="0.25"/>
    <row r="300732" customFormat="1" x14ac:dyDescent="0.25"/>
    <row r="300733" customFormat="1" x14ac:dyDescent="0.25"/>
    <row r="300734" customFormat="1" x14ac:dyDescent="0.25"/>
    <row r="300735" customFormat="1" x14ac:dyDescent="0.25"/>
    <row r="300736" customFormat="1" x14ac:dyDescent="0.25"/>
    <row r="300737" customFormat="1" x14ac:dyDescent="0.25"/>
    <row r="300738" customFormat="1" x14ac:dyDescent="0.25"/>
    <row r="300739" customFormat="1" x14ac:dyDescent="0.25"/>
    <row r="300740" customFormat="1" x14ac:dyDescent="0.25"/>
    <row r="300741" customFormat="1" x14ac:dyDescent="0.25"/>
    <row r="300742" customFormat="1" x14ac:dyDescent="0.25"/>
    <row r="300743" customFormat="1" x14ac:dyDescent="0.25"/>
    <row r="300744" customFormat="1" x14ac:dyDescent="0.25"/>
    <row r="300745" customFormat="1" x14ac:dyDescent="0.25"/>
    <row r="300746" customFormat="1" x14ac:dyDescent="0.25"/>
    <row r="300747" customFormat="1" x14ac:dyDescent="0.25"/>
    <row r="300748" customFormat="1" x14ac:dyDescent="0.25"/>
    <row r="300749" customFormat="1" x14ac:dyDescent="0.25"/>
    <row r="300750" customFormat="1" x14ac:dyDescent="0.25"/>
    <row r="300751" customFormat="1" x14ac:dyDescent="0.25"/>
    <row r="300752" customFormat="1" x14ac:dyDescent="0.25"/>
    <row r="300753" customFormat="1" x14ac:dyDescent="0.25"/>
    <row r="300754" customFormat="1" x14ac:dyDescent="0.25"/>
    <row r="300755" customFormat="1" x14ac:dyDescent="0.25"/>
    <row r="300756" customFormat="1" x14ac:dyDescent="0.25"/>
    <row r="300757" customFormat="1" x14ac:dyDescent="0.25"/>
    <row r="300758" customFormat="1" x14ac:dyDescent="0.25"/>
    <row r="300759" customFormat="1" x14ac:dyDescent="0.25"/>
    <row r="300760" customFormat="1" x14ac:dyDescent="0.25"/>
    <row r="300761" customFormat="1" x14ac:dyDescent="0.25"/>
    <row r="300762" customFormat="1" x14ac:dyDescent="0.25"/>
    <row r="300763" customFormat="1" x14ac:dyDescent="0.25"/>
    <row r="300764" customFormat="1" x14ac:dyDescent="0.25"/>
    <row r="300765" customFormat="1" x14ac:dyDescent="0.25"/>
    <row r="300766" customFormat="1" x14ac:dyDescent="0.25"/>
    <row r="300767" customFormat="1" x14ac:dyDescent="0.25"/>
    <row r="300768" customFormat="1" x14ac:dyDescent="0.25"/>
    <row r="300769" customFormat="1" x14ac:dyDescent="0.25"/>
    <row r="300770" customFormat="1" x14ac:dyDescent="0.25"/>
    <row r="300771" customFormat="1" x14ac:dyDescent="0.25"/>
    <row r="300772" customFormat="1" x14ac:dyDescent="0.25"/>
    <row r="300773" customFormat="1" x14ac:dyDescent="0.25"/>
    <row r="300774" customFormat="1" x14ac:dyDescent="0.25"/>
    <row r="300775" customFormat="1" x14ac:dyDescent="0.25"/>
    <row r="300776" customFormat="1" x14ac:dyDescent="0.25"/>
    <row r="300777" customFormat="1" x14ac:dyDescent="0.25"/>
    <row r="300778" customFormat="1" x14ac:dyDescent="0.25"/>
    <row r="300779" customFormat="1" x14ac:dyDescent="0.25"/>
    <row r="300780" customFormat="1" x14ac:dyDescent="0.25"/>
    <row r="300781" customFormat="1" x14ac:dyDescent="0.25"/>
    <row r="300782" customFormat="1" x14ac:dyDescent="0.25"/>
    <row r="300783" customFormat="1" x14ac:dyDescent="0.25"/>
    <row r="300784" customFormat="1" x14ac:dyDescent="0.25"/>
    <row r="300785" customFormat="1" x14ac:dyDescent="0.25"/>
    <row r="300786" customFormat="1" x14ac:dyDescent="0.25"/>
    <row r="300787" customFormat="1" x14ac:dyDescent="0.25"/>
    <row r="300788" customFormat="1" x14ac:dyDescent="0.25"/>
    <row r="300789" customFormat="1" x14ac:dyDescent="0.25"/>
    <row r="300790" customFormat="1" x14ac:dyDescent="0.25"/>
    <row r="300791" customFormat="1" x14ac:dyDescent="0.25"/>
    <row r="300792" customFormat="1" x14ac:dyDescent="0.25"/>
    <row r="300793" customFormat="1" x14ac:dyDescent="0.25"/>
    <row r="300794" customFormat="1" x14ac:dyDescent="0.25"/>
    <row r="300795" customFormat="1" x14ac:dyDescent="0.25"/>
    <row r="300796" customFormat="1" x14ac:dyDescent="0.25"/>
    <row r="300797" customFormat="1" x14ac:dyDescent="0.25"/>
    <row r="300798" customFormat="1" x14ac:dyDescent="0.25"/>
    <row r="300799" customFormat="1" x14ac:dyDescent="0.25"/>
    <row r="300800" customFormat="1" x14ac:dyDescent="0.25"/>
    <row r="300801" customFormat="1" x14ac:dyDescent="0.25"/>
    <row r="300802" customFormat="1" x14ac:dyDescent="0.25"/>
    <row r="300803" customFormat="1" x14ac:dyDescent="0.25"/>
    <row r="300804" customFormat="1" x14ac:dyDescent="0.25"/>
    <row r="300805" customFormat="1" x14ac:dyDescent="0.25"/>
    <row r="300806" customFormat="1" x14ac:dyDescent="0.25"/>
    <row r="300807" customFormat="1" x14ac:dyDescent="0.25"/>
    <row r="300808" customFormat="1" x14ac:dyDescent="0.25"/>
    <row r="300809" customFormat="1" x14ac:dyDescent="0.25"/>
    <row r="300810" customFormat="1" x14ac:dyDescent="0.25"/>
    <row r="300811" customFormat="1" x14ac:dyDescent="0.25"/>
    <row r="300812" customFormat="1" x14ac:dyDescent="0.25"/>
    <row r="300813" customFormat="1" x14ac:dyDescent="0.25"/>
    <row r="300814" customFormat="1" x14ac:dyDescent="0.25"/>
    <row r="300815" customFormat="1" x14ac:dyDescent="0.25"/>
    <row r="300816" customFormat="1" x14ac:dyDescent="0.25"/>
    <row r="300817" customFormat="1" x14ac:dyDescent="0.25"/>
    <row r="300818" customFormat="1" x14ac:dyDescent="0.25"/>
    <row r="300819" customFormat="1" x14ac:dyDescent="0.25"/>
    <row r="300820" customFormat="1" x14ac:dyDescent="0.25"/>
    <row r="300821" customFormat="1" x14ac:dyDescent="0.25"/>
    <row r="300822" customFormat="1" x14ac:dyDescent="0.25"/>
    <row r="300823" customFormat="1" x14ac:dyDescent="0.25"/>
    <row r="300824" customFormat="1" x14ac:dyDescent="0.25"/>
    <row r="300825" customFormat="1" x14ac:dyDescent="0.25"/>
    <row r="300826" customFormat="1" x14ac:dyDescent="0.25"/>
    <row r="300827" customFormat="1" x14ac:dyDescent="0.25"/>
    <row r="300828" customFormat="1" x14ac:dyDescent="0.25"/>
    <row r="300829" customFormat="1" x14ac:dyDescent="0.25"/>
    <row r="300830" customFormat="1" x14ac:dyDescent="0.25"/>
    <row r="300831" customFormat="1" x14ac:dyDescent="0.25"/>
    <row r="300832" customFormat="1" x14ac:dyDescent="0.25"/>
    <row r="300833" customFormat="1" x14ac:dyDescent="0.25"/>
    <row r="300834" customFormat="1" x14ac:dyDescent="0.25"/>
    <row r="300835" customFormat="1" x14ac:dyDescent="0.25"/>
    <row r="300836" customFormat="1" x14ac:dyDescent="0.25"/>
    <row r="300837" customFormat="1" x14ac:dyDescent="0.25"/>
    <row r="300838" customFormat="1" x14ac:dyDescent="0.25"/>
    <row r="300839" customFormat="1" x14ac:dyDescent="0.25"/>
    <row r="300840" customFormat="1" x14ac:dyDescent="0.25"/>
    <row r="300841" customFormat="1" x14ac:dyDescent="0.25"/>
    <row r="300842" customFormat="1" x14ac:dyDescent="0.25"/>
    <row r="300843" customFormat="1" x14ac:dyDescent="0.25"/>
    <row r="300844" customFormat="1" x14ac:dyDescent="0.25"/>
    <row r="300845" customFormat="1" x14ac:dyDescent="0.25"/>
    <row r="300846" customFormat="1" x14ac:dyDescent="0.25"/>
    <row r="300847" customFormat="1" x14ac:dyDescent="0.25"/>
    <row r="300848" customFormat="1" x14ac:dyDescent="0.25"/>
    <row r="300849" customFormat="1" x14ac:dyDescent="0.25"/>
    <row r="300850" customFormat="1" x14ac:dyDescent="0.25"/>
    <row r="300851" customFormat="1" x14ac:dyDescent="0.25"/>
    <row r="300852" customFormat="1" x14ac:dyDescent="0.25"/>
    <row r="300853" customFormat="1" x14ac:dyDescent="0.25"/>
    <row r="300854" customFormat="1" x14ac:dyDescent="0.25"/>
    <row r="300855" customFormat="1" x14ac:dyDescent="0.25"/>
    <row r="300856" customFormat="1" x14ac:dyDescent="0.25"/>
    <row r="300857" customFormat="1" x14ac:dyDescent="0.25"/>
    <row r="300858" customFormat="1" x14ac:dyDescent="0.25"/>
    <row r="300859" customFormat="1" x14ac:dyDescent="0.25"/>
    <row r="300860" customFormat="1" x14ac:dyDescent="0.25"/>
    <row r="300861" customFormat="1" x14ac:dyDescent="0.25"/>
    <row r="300862" customFormat="1" x14ac:dyDescent="0.25"/>
    <row r="300863" customFormat="1" x14ac:dyDescent="0.25"/>
    <row r="300864" customFormat="1" x14ac:dyDescent="0.25"/>
    <row r="300865" customFormat="1" x14ac:dyDescent="0.25"/>
    <row r="300866" customFormat="1" x14ac:dyDescent="0.25"/>
    <row r="300867" customFormat="1" x14ac:dyDescent="0.25"/>
    <row r="300868" customFormat="1" x14ac:dyDescent="0.25"/>
    <row r="300869" customFormat="1" x14ac:dyDescent="0.25"/>
    <row r="300870" customFormat="1" x14ac:dyDescent="0.25"/>
    <row r="300871" customFormat="1" x14ac:dyDescent="0.25"/>
    <row r="300872" customFormat="1" x14ac:dyDescent="0.25"/>
    <row r="300873" customFormat="1" x14ac:dyDescent="0.25"/>
    <row r="300874" customFormat="1" x14ac:dyDescent="0.25"/>
    <row r="300875" customFormat="1" x14ac:dyDescent="0.25"/>
    <row r="300876" customFormat="1" x14ac:dyDescent="0.25"/>
    <row r="300877" customFormat="1" x14ac:dyDescent="0.25"/>
    <row r="300878" customFormat="1" x14ac:dyDescent="0.25"/>
    <row r="300879" customFormat="1" x14ac:dyDescent="0.25"/>
    <row r="300880" customFormat="1" x14ac:dyDescent="0.25"/>
    <row r="300881" customFormat="1" x14ac:dyDescent="0.25"/>
    <row r="300882" customFormat="1" x14ac:dyDescent="0.25"/>
    <row r="300883" customFormat="1" x14ac:dyDescent="0.25"/>
    <row r="300884" customFormat="1" x14ac:dyDescent="0.25"/>
    <row r="300885" customFormat="1" x14ac:dyDescent="0.25"/>
    <row r="300886" customFormat="1" x14ac:dyDescent="0.25"/>
    <row r="300887" customFormat="1" x14ac:dyDescent="0.25"/>
    <row r="300888" customFormat="1" x14ac:dyDescent="0.25"/>
    <row r="300889" customFormat="1" x14ac:dyDescent="0.25"/>
    <row r="300890" customFormat="1" x14ac:dyDescent="0.25"/>
    <row r="300891" customFormat="1" x14ac:dyDescent="0.25"/>
    <row r="300892" customFormat="1" x14ac:dyDescent="0.25"/>
    <row r="300893" customFormat="1" x14ac:dyDescent="0.25"/>
    <row r="300894" customFormat="1" x14ac:dyDescent="0.25"/>
    <row r="300895" customFormat="1" x14ac:dyDescent="0.25"/>
    <row r="300896" customFormat="1" x14ac:dyDescent="0.25"/>
    <row r="300897" customFormat="1" x14ac:dyDescent="0.25"/>
    <row r="300898" customFormat="1" x14ac:dyDescent="0.25"/>
    <row r="300899" customFormat="1" x14ac:dyDescent="0.25"/>
    <row r="300900" customFormat="1" x14ac:dyDescent="0.25"/>
    <row r="300901" customFormat="1" x14ac:dyDescent="0.25"/>
    <row r="300902" customFormat="1" x14ac:dyDescent="0.25"/>
    <row r="300903" customFormat="1" x14ac:dyDescent="0.25"/>
    <row r="300904" customFormat="1" x14ac:dyDescent="0.25"/>
    <row r="300905" customFormat="1" x14ac:dyDescent="0.25"/>
    <row r="300906" customFormat="1" x14ac:dyDescent="0.25"/>
    <row r="300907" customFormat="1" x14ac:dyDescent="0.25"/>
    <row r="300908" customFormat="1" x14ac:dyDescent="0.25"/>
    <row r="300909" customFormat="1" x14ac:dyDescent="0.25"/>
    <row r="300910" customFormat="1" x14ac:dyDescent="0.25"/>
    <row r="300911" customFormat="1" x14ac:dyDescent="0.25"/>
    <row r="300912" customFormat="1" x14ac:dyDescent="0.25"/>
    <row r="300913" customFormat="1" x14ac:dyDescent="0.25"/>
    <row r="300914" customFormat="1" x14ac:dyDescent="0.25"/>
    <row r="300915" customFormat="1" x14ac:dyDescent="0.25"/>
    <row r="300916" customFormat="1" x14ac:dyDescent="0.25"/>
    <row r="300917" customFormat="1" x14ac:dyDescent="0.25"/>
    <row r="300918" customFormat="1" x14ac:dyDescent="0.25"/>
    <row r="300919" customFormat="1" x14ac:dyDescent="0.25"/>
    <row r="300920" customFormat="1" x14ac:dyDescent="0.25"/>
    <row r="300921" customFormat="1" x14ac:dyDescent="0.25"/>
    <row r="300922" customFormat="1" x14ac:dyDescent="0.25"/>
    <row r="300923" customFormat="1" x14ac:dyDescent="0.25"/>
    <row r="300924" customFormat="1" x14ac:dyDescent="0.25"/>
    <row r="300925" customFormat="1" x14ac:dyDescent="0.25"/>
    <row r="300926" customFormat="1" x14ac:dyDescent="0.25"/>
    <row r="300927" customFormat="1" x14ac:dyDescent="0.25"/>
    <row r="300928" customFormat="1" x14ac:dyDescent="0.25"/>
    <row r="300929" customFormat="1" x14ac:dyDescent="0.25"/>
    <row r="300930" customFormat="1" x14ac:dyDescent="0.25"/>
    <row r="300931" customFormat="1" x14ac:dyDescent="0.25"/>
    <row r="300932" customFormat="1" x14ac:dyDescent="0.25"/>
    <row r="300933" customFormat="1" x14ac:dyDescent="0.25"/>
    <row r="300934" customFormat="1" x14ac:dyDescent="0.25"/>
    <row r="300935" customFormat="1" x14ac:dyDescent="0.25"/>
    <row r="300936" customFormat="1" x14ac:dyDescent="0.25"/>
    <row r="300937" customFormat="1" x14ac:dyDescent="0.25"/>
    <row r="300938" customFormat="1" x14ac:dyDescent="0.25"/>
    <row r="300939" customFormat="1" x14ac:dyDescent="0.25"/>
    <row r="300940" customFormat="1" x14ac:dyDescent="0.25"/>
    <row r="300941" customFormat="1" x14ac:dyDescent="0.25"/>
    <row r="300942" customFormat="1" x14ac:dyDescent="0.25"/>
    <row r="300943" customFormat="1" x14ac:dyDescent="0.25"/>
    <row r="300944" customFormat="1" x14ac:dyDescent="0.25"/>
    <row r="300945" customFormat="1" x14ac:dyDescent="0.25"/>
    <row r="300946" customFormat="1" x14ac:dyDescent="0.25"/>
    <row r="300947" customFormat="1" x14ac:dyDescent="0.25"/>
    <row r="300948" customFormat="1" x14ac:dyDescent="0.25"/>
    <row r="300949" customFormat="1" x14ac:dyDescent="0.25"/>
    <row r="300950" customFormat="1" x14ac:dyDescent="0.25"/>
    <row r="300951" customFormat="1" x14ac:dyDescent="0.25"/>
    <row r="300952" customFormat="1" x14ac:dyDescent="0.25"/>
    <row r="300953" customFormat="1" x14ac:dyDescent="0.25"/>
    <row r="300954" customFormat="1" x14ac:dyDescent="0.25"/>
    <row r="300955" customFormat="1" x14ac:dyDescent="0.25"/>
    <row r="300956" customFormat="1" x14ac:dyDescent="0.25"/>
    <row r="300957" customFormat="1" x14ac:dyDescent="0.25"/>
    <row r="300958" customFormat="1" x14ac:dyDescent="0.25"/>
    <row r="300959" customFormat="1" x14ac:dyDescent="0.25"/>
    <row r="300960" customFormat="1" x14ac:dyDescent="0.25"/>
    <row r="300961" customFormat="1" x14ac:dyDescent="0.25"/>
    <row r="300962" customFormat="1" x14ac:dyDescent="0.25"/>
    <row r="300963" customFormat="1" x14ac:dyDescent="0.25"/>
    <row r="300964" customFormat="1" x14ac:dyDescent="0.25"/>
    <row r="300965" customFormat="1" x14ac:dyDescent="0.25"/>
    <row r="300966" customFormat="1" x14ac:dyDescent="0.25"/>
    <row r="300967" customFormat="1" x14ac:dyDescent="0.25"/>
    <row r="300968" customFormat="1" x14ac:dyDescent="0.25"/>
    <row r="300969" customFormat="1" x14ac:dyDescent="0.25"/>
    <row r="300970" customFormat="1" x14ac:dyDescent="0.25"/>
    <row r="300971" customFormat="1" x14ac:dyDescent="0.25"/>
    <row r="300972" customFormat="1" x14ac:dyDescent="0.25"/>
    <row r="300973" customFormat="1" x14ac:dyDescent="0.25"/>
    <row r="300974" customFormat="1" x14ac:dyDescent="0.25"/>
    <row r="300975" customFormat="1" x14ac:dyDescent="0.25"/>
    <row r="300976" customFormat="1" x14ac:dyDescent="0.25"/>
    <row r="300977" customFormat="1" x14ac:dyDescent="0.25"/>
    <row r="300978" customFormat="1" x14ac:dyDescent="0.25"/>
    <row r="300979" customFormat="1" x14ac:dyDescent="0.25"/>
    <row r="300980" customFormat="1" x14ac:dyDescent="0.25"/>
    <row r="300981" customFormat="1" x14ac:dyDescent="0.25"/>
    <row r="300982" customFormat="1" x14ac:dyDescent="0.25"/>
    <row r="300983" customFormat="1" x14ac:dyDescent="0.25"/>
    <row r="300984" customFormat="1" x14ac:dyDescent="0.25"/>
    <row r="300985" customFormat="1" x14ac:dyDescent="0.25"/>
    <row r="300986" customFormat="1" x14ac:dyDescent="0.25"/>
    <row r="300987" customFormat="1" x14ac:dyDescent="0.25"/>
    <row r="300988" customFormat="1" x14ac:dyDescent="0.25"/>
    <row r="300989" customFormat="1" x14ac:dyDescent="0.25"/>
    <row r="300990" customFormat="1" x14ac:dyDescent="0.25"/>
    <row r="300991" customFormat="1" x14ac:dyDescent="0.25"/>
    <row r="300992" customFormat="1" x14ac:dyDescent="0.25"/>
    <row r="300993" customFormat="1" x14ac:dyDescent="0.25"/>
    <row r="300994" customFormat="1" x14ac:dyDescent="0.25"/>
    <row r="300995" customFormat="1" x14ac:dyDescent="0.25"/>
    <row r="300996" customFormat="1" x14ac:dyDescent="0.25"/>
    <row r="300997" customFormat="1" x14ac:dyDescent="0.25"/>
    <row r="300998" customFormat="1" x14ac:dyDescent="0.25"/>
    <row r="300999" customFormat="1" x14ac:dyDescent="0.25"/>
    <row r="301000" customFormat="1" x14ac:dyDescent="0.25"/>
    <row r="301001" customFormat="1" x14ac:dyDescent="0.25"/>
    <row r="301002" customFormat="1" x14ac:dyDescent="0.25"/>
    <row r="301003" customFormat="1" x14ac:dyDescent="0.25"/>
    <row r="301004" customFormat="1" x14ac:dyDescent="0.25"/>
    <row r="301005" customFormat="1" x14ac:dyDescent="0.25"/>
    <row r="301006" customFormat="1" x14ac:dyDescent="0.25"/>
    <row r="301007" customFormat="1" x14ac:dyDescent="0.25"/>
    <row r="301008" customFormat="1" x14ac:dyDescent="0.25"/>
    <row r="301009" customFormat="1" x14ac:dyDescent="0.25"/>
    <row r="301010" customFormat="1" x14ac:dyDescent="0.25"/>
    <row r="301011" customFormat="1" x14ac:dyDescent="0.25"/>
    <row r="301012" customFormat="1" x14ac:dyDescent="0.25"/>
    <row r="301013" customFormat="1" x14ac:dyDescent="0.25"/>
    <row r="301014" customFormat="1" x14ac:dyDescent="0.25"/>
    <row r="301015" customFormat="1" x14ac:dyDescent="0.25"/>
    <row r="301016" customFormat="1" x14ac:dyDescent="0.25"/>
    <row r="301017" customFormat="1" x14ac:dyDescent="0.25"/>
    <row r="301018" customFormat="1" x14ac:dyDescent="0.25"/>
    <row r="301019" customFormat="1" x14ac:dyDescent="0.25"/>
    <row r="301020" customFormat="1" x14ac:dyDescent="0.25"/>
    <row r="301021" customFormat="1" x14ac:dyDescent="0.25"/>
    <row r="301022" customFormat="1" x14ac:dyDescent="0.25"/>
    <row r="301023" customFormat="1" x14ac:dyDescent="0.25"/>
    <row r="301024" customFormat="1" x14ac:dyDescent="0.25"/>
    <row r="301025" customFormat="1" x14ac:dyDescent="0.25"/>
    <row r="301026" customFormat="1" x14ac:dyDescent="0.25"/>
    <row r="301027" customFormat="1" x14ac:dyDescent="0.25"/>
    <row r="301028" customFormat="1" x14ac:dyDescent="0.25"/>
    <row r="301029" customFormat="1" x14ac:dyDescent="0.25"/>
    <row r="301030" customFormat="1" x14ac:dyDescent="0.25"/>
    <row r="301031" customFormat="1" x14ac:dyDescent="0.25"/>
    <row r="301032" customFormat="1" x14ac:dyDescent="0.25"/>
    <row r="301033" customFormat="1" x14ac:dyDescent="0.25"/>
    <row r="301034" customFormat="1" x14ac:dyDescent="0.25"/>
    <row r="301035" customFormat="1" x14ac:dyDescent="0.25"/>
    <row r="301036" customFormat="1" x14ac:dyDescent="0.25"/>
    <row r="301037" customFormat="1" x14ac:dyDescent="0.25"/>
    <row r="301038" customFormat="1" x14ac:dyDescent="0.25"/>
    <row r="301039" customFormat="1" x14ac:dyDescent="0.25"/>
    <row r="301040" customFormat="1" x14ac:dyDescent="0.25"/>
    <row r="301041" customFormat="1" x14ac:dyDescent="0.25"/>
    <row r="301042" customFormat="1" x14ac:dyDescent="0.25"/>
    <row r="301043" customFormat="1" x14ac:dyDescent="0.25"/>
    <row r="301044" customFormat="1" x14ac:dyDescent="0.25"/>
    <row r="301045" customFormat="1" x14ac:dyDescent="0.25"/>
    <row r="301046" customFormat="1" x14ac:dyDescent="0.25"/>
    <row r="301047" customFormat="1" x14ac:dyDescent="0.25"/>
    <row r="301048" customFormat="1" x14ac:dyDescent="0.25"/>
    <row r="301049" customFormat="1" x14ac:dyDescent="0.25"/>
    <row r="301050" customFormat="1" x14ac:dyDescent="0.25"/>
    <row r="301051" customFormat="1" x14ac:dyDescent="0.25"/>
    <row r="301052" customFormat="1" x14ac:dyDescent="0.25"/>
    <row r="301053" customFormat="1" x14ac:dyDescent="0.25"/>
    <row r="301054" customFormat="1" x14ac:dyDescent="0.25"/>
    <row r="301055" customFormat="1" x14ac:dyDescent="0.25"/>
    <row r="301056" customFormat="1" x14ac:dyDescent="0.25"/>
    <row r="301057" customFormat="1" x14ac:dyDescent="0.25"/>
    <row r="301058" customFormat="1" x14ac:dyDescent="0.25"/>
    <row r="301059" customFormat="1" x14ac:dyDescent="0.25"/>
    <row r="301060" customFormat="1" x14ac:dyDescent="0.25"/>
    <row r="301061" customFormat="1" x14ac:dyDescent="0.25"/>
    <row r="301062" customFormat="1" x14ac:dyDescent="0.25"/>
    <row r="301063" customFormat="1" x14ac:dyDescent="0.25"/>
    <row r="301064" customFormat="1" x14ac:dyDescent="0.25"/>
    <row r="301065" customFormat="1" x14ac:dyDescent="0.25"/>
    <row r="301066" customFormat="1" x14ac:dyDescent="0.25"/>
    <row r="301067" customFormat="1" x14ac:dyDescent="0.25"/>
    <row r="301068" customFormat="1" x14ac:dyDescent="0.25"/>
    <row r="301069" customFormat="1" x14ac:dyDescent="0.25"/>
    <row r="301070" customFormat="1" x14ac:dyDescent="0.25"/>
    <row r="301071" customFormat="1" x14ac:dyDescent="0.25"/>
    <row r="301072" customFormat="1" x14ac:dyDescent="0.25"/>
    <row r="301073" customFormat="1" x14ac:dyDescent="0.25"/>
    <row r="301074" customFormat="1" x14ac:dyDescent="0.25"/>
    <row r="301075" customFormat="1" x14ac:dyDescent="0.25"/>
    <row r="301076" customFormat="1" x14ac:dyDescent="0.25"/>
    <row r="301077" customFormat="1" x14ac:dyDescent="0.25"/>
    <row r="301078" customFormat="1" x14ac:dyDescent="0.25"/>
    <row r="301079" customFormat="1" x14ac:dyDescent="0.25"/>
    <row r="301080" customFormat="1" x14ac:dyDescent="0.25"/>
    <row r="301081" customFormat="1" x14ac:dyDescent="0.25"/>
    <row r="301082" customFormat="1" x14ac:dyDescent="0.25"/>
    <row r="301083" customFormat="1" x14ac:dyDescent="0.25"/>
    <row r="301084" customFormat="1" x14ac:dyDescent="0.25"/>
    <row r="301085" customFormat="1" x14ac:dyDescent="0.25"/>
    <row r="301086" customFormat="1" x14ac:dyDescent="0.25"/>
    <row r="301087" customFormat="1" x14ac:dyDescent="0.25"/>
    <row r="301088" customFormat="1" x14ac:dyDescent="0.25"/>
    <row r="301089" customFormat="1" x14ac:dyDescent="0.25"/>
    <row r="301090" customFormat="1" x14ac:dyDescent="0.25"/>
    <row r="301091" customFormat="1" x14ac:dyDescent="0.25"/>
    <row r="301092" customFormat="1" x14ac:dyDescent="0.25"/>
    <row r="301093" customFormat="1" x14ac:dyDescent="0.25"/>
    <row r="301094" customFormat="1" x14ac:dyDescent="0.25"/>
    <row r="301095" customFormat="1" x14ac:dyDescent="0.25"/>
    <row r="301096" customFormat="1" x14ac:dyDescent="0.25"/>
    <row r="301097" customFormat="1" x14ac:dyDescent="0.25"/>
    <row r="301098" customFormat="1" x14ac:dyDescent="0.25"/>
    <row r="301099" customFormat="1" x14ac:dyDescent="0.25"/>
    <row r="301100" customFormat="1" x14ac:dyDescent="0.25"/>
    <row r="301101" customFormat="1" x14ac:dyDescent="0.25"/>
    <row r="301102" customFormat="1" x14ac:dyDescent="0.25"/>
    <row r="301103" customFormat="1" x14ac:dyDescent="0.25"/>
    <row r="301104" customFormat="1" x14ac:dyDescent="0.25"/>
    <row r="301105" customFormat="1" x14ac:dyDescent="0.25"/>
    <row r="301106" customFormat="1" x14ac:dyDescent="0.25"/>
    <row r="301107" customFormat="1" x14ac:dyDescent="0.25"/>
    <row r="301108" customFormat="1" x14ac:dyDescent="0.25"/>
    <row r="301109" customFormat="1" x14ac:dyDescent="0.25"/>
    <row r="301110" customFormat="1" x14ac:dyDescent="0.25"/>
    <row r="301111" customFormat="1" x14ac:dyDescent="0.25"/>
    <row r="301112" customFormat="1" x14ac:dyDescent="0.25"/>
    <row r="301113" customFormat="1" x14ac:dyDescent="0.25"/>
    <row r="301114" customFormat="1" x14ac:dyDescent="0.25"/>
    <row r="301115" customFormat="1" x14ac:dyDescent="0.25"/>
    <row r="301116" customFormat="1" x14ac:dyDescent="0.25"/>
    <row r="301117" customFormat="1" x14ac:dyDescent="0.25"/>
    <row r="301118" customFormat="1" x14ac:dyDescent="0.25"/>
    <row r="301119" customFormat="1" x14ac:dyDescent="0.25"/>
    <row r="301120" customFormat="1" x14ac:dyDescent="0.25"/>
    <row r="301121" customFormat="1" x14ac:dyDescent="0.25"/>
    <row r="301122" customFormat="1" x14ac:dyDescent="0.25"/>
    <row r="301123" customFormat="1" x14ac:dyDescent="0.25"/>
    <row r="301124" customFormat="1" x14ac:dyDescent="0.25"/>
    <row r="301125" customFormat="1" x14ac:dyDescent="0.25"/>
    <row r="301126" customFormat="1" x14ac:dyDescent="0.25"/>
    <row r="301127" customFormat="1" x14ac:dyDescent="0.25"/>
    <row r="301128" customFormat="1" x14ac:dyDescent="0.25"/>
    <row r="301129" customFormat="1" x14ac:dyDescent="0.25"/>
    <row r="301130" customFormat="1" x14ac:dyDescent="0.25"/>
    <row r="301131" customFormat="1" x14ac:dyDescent="0.25"/>
    <row r="301132" customFormat="1" x14ac:dyDescent="0.25"/>
    <row r="301133" customFormat="1" x14ac:dyDescent="0.25"/>
    <row r="301134" customFormat="1" x14ac:dyDescent="0.25"/>
    <row r="301135" customFormat="1" x14ac:dyDescent="0.25"/>
    <row r="301136" customFormat="1" x14ac:dyDescent="0.25"/>
    <row r="301137" customFormat="1" x14ac:dyDescent="0.25"/>
    <row r="301138" customFormat="1" x14ac:dyDescent="0.25"/>
    <row r="301139" customFormat="1" x14ac:dyDescent="0.25"/>
    <row r="301140" customFormat="1" x14ac:dyDescent="0.25"/>
    <row r="301141" customFormat="1" x14ac:dyDescent="0.25"/>
    <row r="301142" customFormat="1" x14ac:dyDescent="0.25"/>
    <row r="301143" customFormat="1" x14ac:dyDescent="0.25"/>
    <row r="301144" customFormat="1" x14ac:dyDescent="0.25"/>
    <row r="301145" customFormat="1" x14ac:dyDescent="0.25"/>
    <row r="301146" customFormat="1" x14ac:dyDescent="0.25"/>
    <row r="301147" customFormat="1" x14ac:dyDescent="0.25"/>
    <row r="301148" customFormat="1" x14ac:dyDescent="0.25"/>
    <row r="301149" customFormat="1" x14ac:dyDescent="0.25"/>
    <row r="301150" customFormat="1" x14ac:dyDescent="0.25"/>
    <row r="301151" customFormat="1" x14ac:dyDescent="0.25"/>
    <row r="301152" customFormat="1" x14ac:dyDescent="0.25"/>
    <row r="301153" customFormat="1" x14ac:dyDescent="0.25"/>
    <row r="301154" customFormat="1" x14ac:dyDescent="0.25"/>
    <row r="301155" customFormat="1" x14ac:dyDescent="0.25"/>
    <row r="301156" customFormat="1" x14ac:dyDescent="0.25"/>
    <row r="301157" customFormat="1" x14ac:dyDescent="0.25"/>
    <row r="301158" customFormat="1" x14ac:dyDescent="0.25"/>
    <row r="301159" customFormat="1" x14ac:dyDescent="0.25"/>
    <row r="301160" customFormat="1" x14ac:dyDescent="0.25"/>
    <row r="301161" customFormat="1" x14ac:dyDescent="0.25"/>
    <row r="301162" customFormat="1" x14ac:dyDescent="0.25"/>
    <row r="301163" customFormat="1" x14ac:dyDescent="0.25"/>
    <row r="301164" customFormat="1" x14ac:dyDescent="0.25"/>
    <row r="301165" customFormat="1" x14ac:dyDescent="0.25"/>
    <row r="301166" customFormat="1" x14ac:dyDescent="0.25"/>
    <row r="301167" customFormat="1" x14ac:dyDescent="0.25"/>
    <row r="301168" customFormat="1" x14ac:dyDescent="0.25"/>
    <row r="301169" customFormat="1" x14ac:dyDescent="0.25"/>
    <row r="301170" customFormat="1" x14ac:dyDescent="0.25"/>
    <row r="301171" customFormat="1" x14ac:dyDescent="0.25"/>
    <row r="301172" customFormat="1" x14ac:dyDescent="0.25"/>
    <row r="301173" customFormat="1" x14ac:dyDescent="0.25"/>
    <row r="301174" customFormat="1" x14ac:dyDescent="0.25"/>
    <row r="301175" customFormat="1" x14ac:dyDescent="0.25"/>
    <row r="301176" customFormat="1" x14ac:dyDescent="0.25"/>
    <row r="301177" customFormat="1" x14ac:dyDescent="0.25"/>
    <row r="301178" customFormat="1" x14ac:dyDescent="0.25"/>
    <row r="301179" customFormat="1" x14ac:dyDescent="0.25"/>
    <row r="301180" customFormat="1" x14ac:dyDescent="0.25"/>
    <row r="301181" customFormat="1" x14ac:dyDescent="0.25"/>
    <row r="301182" customFormat="1" x14ac:dyDescent="0.25"/>
    <row r="301183" customFormat="1" x14ac:dyDescent="0.25"/>
    <row r="301184" customFormat="1" x14ac:dyDescent="0.25"/>
    <row r="301185" customFormat="1" x14ac:dyDescent="0.25"/>
    <row r="301186" customFormat="1" x14ac:dyDescent="0.25"/>
    <row r="301187" customFormat="1" x14ac:dyDescent="0.25"/>
    <row r="301188" customFormat="1" x14ac:dyDescent="0.25"/>
    <row r="301189" customFormat="1" x14ac:dyDescent="0.25"/>
    <row r="301190" customFormat="1" x14ac:dyDescent="0.25"/>
    <row r="301191" customFormat="1" x14ac:dyDescent="0.25"/>
    <row r="301192" customFormat="1" x14ac:dyDescent="0.25"/>
    <row r="301193" customFormat="1" x14ac:dyDescent="0.25"/>
    <row r="301194" customFormat="1" x14ac:dyDescent="0.25"/>
    <row r="301195" customFormat="1" x14ac:dyDescent="0.25"/>
    <row r="301196" customFormat="1" x14ac:dyDescent="0.25"/>
    <row r="301197" customFormat="1" x14ac:dyDescent="0.25"/>
    <row r="301198" customFormat="1" x14ac:dyDescent="0.25"/>
    <row r="301199" customFormat="1" x14ac:dyDescent="0.25"/>
    <row r="301200" customFormat="1" x14ac:dyDescent="0.25"/>
    <row r="301201" customFormat="1" x14ac:dyDescent="0.25"/>
    <row r="301202" customFormat="1" x14ac:dyDescent="0.25"/>
    <row r="301203" customFormat="1" x14ac:dyDescent="0.25"/>
    <row r="301204" customFormat="1" x14ac:dyDescent="0.25"/>
    <row r="301205" customFormat="1" x14ac:dyDescent="0.25"/>
    <row r="301206" customFormat="1" x14ac:dyDescent="0.25"/>
    <row r="301207" customFormat="1" x14ac:dyDescent="0.25"/>
    <row r="301208" customFormat="1" x14ac:dyDescent="0.25"/>
    <row r="301209" customFormat="1" x14ac:dyDescent="0.25"/>
    <row r="301210" customFormat="1" x14ac:dyDescent="0.25"/>
    <row r="301211" customFormat="1" x14ac:dyDescent="0.25"/>
    <row r="301212" customFormat="1" x14ac:dyDescent="0.25"/>
    <row r="301213" customFormat="1" x14ac:dyDescent="0.25"/>
    <row r="301214" customFormat="1" x14ac:dyDescent="0.25"/>
    <row r="301215" customFormat="1" x14ac:dyDescent="0.25"/>
    <row r="301216" customFormat="1" x14ac:dyDescent="0.25"/>
    <row r="301217" customFormat="1" x14ac:dyDescent="0.25"/>
    <row r="301218" customFormat="1" x14ac:dyDescent="0.25"/>
    <row r="301219" customFormat="1" x14ac:dyDescent="0.25"/>
    <row r="301220" customFormat="1" x14ac:dyDescent="0.25"/>
    <row r="301221" customFormat="1" x14ac:dyDescent="0.25"/>
    <row r="301222" customFormat="1" x14ac:dyDescent="0.25"/>
    <row r="301223" customFormat="1" x14ac:dyDescent="0.25"/>
    <row r="301224" customFormat="1" x14ac:dyDescent="0.25"/>
    <row r="301225" customFormat="1" x14ac:dyDescent="0.25"/>
    <row r="301226" customFormat="1" x14ac:dyDescent="0.25"/>
    <row r="301227" customFormat="1" x14ac:dyDescent="0.25"/>
    <row r="301228" customFormat="1" x14ac:dyDescent="0.25"/>
    <row r="301229" customFormat="1" x14ac:dyDescent="0.25"/>
    <row r="301230" customFormat="1" x14ac:dyDescent="0.25"/>
    <row r="301231" customFormat="1" x14ac:dyDescent="0.25"/>
    <row r="301232" customFormat="1" x14ac:dyDescent="0.25"/>
    <row r="301233" customFormat="1" x14ac:dyDescent="0.25"/>
    <row r="301234" customFormat="1" x14ac:dyDescent="0.25"/>
    <row r="301235" customFormat="1" x14ac:dyDescent="0.25"/>
    <row r="301236" customFormat="1" x14ac:dyDescent="0.25"/>
    <row r="301237" customFormat="1" x14ac:dyDescent="0.25"/>
    <row r="301238" customFormat="1" x14ac:dyDescent="0.25"/>
    <row r="301239" customFormat="1" x14ac:dyDescent="0.25"/>
    <row r="301240" customFormat="1" x14ac:dyDescent="0.25"/>
    <row r="301241" customFormat="1" x14ac:dyDescent="0.25"/>
    <row r="301242" customFormat="1" x14ac:dyDescent="0.25"/>
    <row r="301243" customFormat="1" x14ac:dyDescent="0.25"/>
    <row r="301244" customFormat="1" x14ac:dyDescent="0.25"/>
    <row r="301245" customFormat="1" x14ac:dyDescent="0.25"/>
    <row r="301246" customFormat="1" x14ac:dyDescent="0.25"/>
    <row r="301247" customFormat="1" x14ac:dyDescent="0.25"/>
    <row r="301248" customFormat="1" x14ac:dyDescent="0.25"/>
    <row r="301249" customFormat="1" x14ac:dyDescent="0.25"/>
    <row r="301250" customFormat="1" x14ac:dyDescent="0.25"/>
    <row r="301251" customFormat="1" x14ac:dyDescent="0.25"/>
    <row r="301252" customFormat="1" x14ac:dyDescent="0.25"/>
    <row r="301253" customFormat="1" x14ac:dyDescent="0.25"/>
    <row r="301254" customFormat="1" x14ac:dyDescent="0.25"/>
    <row r="301255" customFormat="1" x14ac:dyDescent="0.25"/>
    <row r="301256" customFormat="1" x14ac:dyDescent="0.25"/>
    <row r="301257" customFormat="1" x14ac:dyDescent="0.25"/>
    <row r="301258" customFormat="1" x14ac:dyDescent="0.25"/>
    <row r="301259" customFormat="1" x14ac:dyDescent="0.25"/>
    <row r="301260" customFormat="1" x14ac:dyDescent="0.25"/>
    <row r="301261" customFormat="1" x14ac:dyDescent="0.25"/>
    <row r="301262" customFormat="1" x14ac:dyDescent="0.25"/>
    <row r="301263" customFormat="1" x14ac:dyDescent="0.25"/>
    <row r="301264" customFormat="1" x14ac:dyDescent="0.25"/>
    <row r="301265" customFormat="1" x14ac:dyDescent="0.25"/>
    <row r="301266" customFormat="1" x14ac:dyDescent="0.25"/>
    <row r="301267" customFormat="1" x14ac:dyDescent="0.25"/>
    <row r="301268" customFormat="1" x14ac:dyDescent="0.25"/>
    <row r="301269" customFormat="1" x14ac:dyDescent="0.25"/>
    <row r="301270" customFormat="1" x14ac:dyDescent="0.25"/>
    <row r="301271" customFormat="1" x14ac:dyDescent="0.25"/>
    <row r="301272" customFormat="1" x14ac:dyDescent="0.25"/>
    <row r="301273" customFormat="1" x14ac:dyDescent="0.25"/>
    <row r="301274" customFormat="1" x14ac:dyDescent="0.25"/>
    <row r="301275" customFormat="1" x14ac:dyDescent="0.25"/>
    <row r="301276" customFormat="1" x14ac:dyDescent="0.25"/>
    <row r="301277" customFormat="1" x14ac:dyDescent="0.25"/>
    <row r="301278" customFormat="1" x14ac:dyDescent="0.25"/>
    <row r="301279" customFormat="1" x14ac:dyDescent="0.25"/>
    <row r="301280" customFormat="1" x14ac:dyDescent="0.25"/>
    <row r="301281" customFormat="1" x14ac:dyDescent="0.25"/>
    <row r="301282" customFormat="1" x14ac:dyDescent="0.25"/>
    <row r="301283" customFormat="1" x14ac:dyDescent="0.25"/>
    <row r="301284" customFormat="1" x14ac:dyDescent="0.25"/>
    <row r="301285" customFormat="1" x14ac:dyDescent="0.25"/>
    <row r="301286" customFormat="1" x14ac:dyDescent="0.25"/>
    <row r="301287" customFormat="1" x14ac:dyDescent="0.25"/>
    <row r="301288" customFormat="1" x14ac:dyDescent="0.25"/>
    <row r="301289" customFormat="1" x14ac:dyDescent="0.25"/>
    <row r="301290" customFormat="1" x14ac:dyDescent="0.25"/>
    <row r="301291" customFormat="1" x14ac:dyDescent="0.25"/>
    <row r="301292" customFormat="1" x14ac:dyDescent="0.25"/>
    <row r="301293" customFormat="1" x14ac:dyDescent="0.25"/>
    <row r="301294" customFormat="1" x14ac:dyDescent="0.25"/>
    <row r="301295" customFormat="1" x14ac:dyDescent="0.25"/>
    <row r="301296" customFormat="1" x14ac:dyDescent="0.25"/>
    <row r="301297" customFormat="1" x14ac:dyDescent="0.25"/>
    <row r="301298" customFormat="1" x14ac:dyDescent="0.25"/>
    <row r="301299" customFormat="1" x14ac:dyDescent="0.25"/>
    <row r="301300" customFormat="1" x14ac:dyDescent="0.25"/>
    <row r="301301" customFormat="1" x14ac:dyDescent="0.25"/>
    <row r="301302" customFormat="1" x14ac:dyDescent="0.25"/>
    <row r="301303" customFormat="1" x14ac:dyDescent="0.25"/>
    <row r="301304" customFormat="1" x14ac:dyDescent="0.25"/>
    <row r="301305" customFormat="1" x14ac:dyDescent="0.25"/>
    <row r="301306" customFormat="1" x14ac:dyDescent="0.25"/>
    <row r="301307" customFormat="1" x14ac:dyDescent="0.25"/>
    <row r="301308" customFormat="1" x14ac:dyDescent="0.25"/>
    <row r="301309" customFormat="1" x14ac:dyDescent="0.25"/>
    <row r="301310" customFormat="1" x14ac:dyDescent="0.25"/>
    <row r="301311" customFormat="1" x14ac:dyDescent="0.25"/>
    <row r="301312" customFormat="1" x14ac:dyDescent="0.25"/>
    <row r="301313" customFormat="1" x14ac:dyDescent="0.25"/>
    <row r="301314" customFormat="1" x14ac:dyDescent="0.25"/>
    <row r="301315" customFormat="1" x14ac:dyDescent="0.25"/>
    <row r="301316" customFormat="1" x14ac:dyDescent="0.25"/>
    <row r="301317" customFormat="1" x14ac:dyDescent="0.25"/>
    <row r="301318" customFormat="1" x14ac:dyDescent="0.25"/>
    <row r="301319" customFormat="1" x14ac:dyDescent="0.25"/>
    <row r="301320" customFormat="1" x14ac:dyDescent="0.25"/>
    <row r="301321" customFormat="1" x14ac:dyDescent="0.25"/>
    <row r="301322" customFormat="1" x14ac:dyDescent="0.25"/>
    <row r="301323" customFormat="1" x14ac:dyDescent="0.25"/>
    <row r="301324" customFormat="1" x14ac:dyDescent="0.25"/>
    <row r="301325" customFormat="1" x14ac:dyDescent="0.25"/>
    <row r="301326" customFormat="1" x14ac:dyDescent="0.25"/>
    <row r="301327" customFormat="1" x14ac:dyDescent="0.25"/>
    <row r="301328" customFormat="1" x14ac:dyDescent="0.25"/>
    <row r="301329" customFormat="1" x14ac:dyDescent="0.25"/>
    <row r="301330" customFormat="1" x14ac:dyDescent="0.25"/>
    <row r="301331" customFormat="1" x14ac:dyDescent="0.25"/>
    <row r="301332" customFormat="1" x14ac:dyDescent="0.25"/>
    <row r="301333" customFormat="1" x14ac:dyDescent="0.25"/>
    <row r="301334" customFormat="1" x14ac:dyDescent="0.25"/>
    <row r="301335" customFormat="1" x14ac:dyDescent="0.25"/>
    <row r="301336" customFormat="1" x14ac:dyDescent="0.25"/>
    <row r="301337" customFormat="1" x14ac:dyDescent="0.25"/>
    <row r="301338" customFormat="1" x14ac:dyDescent="0.25"/>
    <row r="301339" customFormat="1" x14ac:dyDescent="0.25"/>
    <row r="301340" customFormat="1" x14ac:dyDescent="0.25"/>
    <row r="301341" customFormat="1" x14ac:dyDescent="0.25"/>
    <row r="301342" customFormat="1" x14ac:dyDescent="0.25"/>
    <row r="301343" customFormat="1" x14ac:dyDescent="0.25"/>
    <row r="301344" customFormat="1" x14ac:dyDescent="0.25"/>
    <row r="301345" customFormat="1" x14ac:dyDescent="0.25"/>
    <row r="301346" customFormat="1" x14ac:dyDescent="0.25"/>
    <row r="301347" customFormat="1" x14ac:dyDescent="0.25"/>
    <row r="301348" customFormat="1" x14ac:dyDescent="0.25"/>
    <row r="301349" customFormat="1" x14ac:dyDescent="0.25"/>
    <row r="301350" customFormat="1" x14ac:dyDescent="0.25"/>
    <row r="301351" customFormat="1" x14ac:dyDescent="0.25"/>
    <row r="301352" customFormat="1" x14ac:dyDescent="0.25"/>
    <row r="301353" customFormat="1" x14ac:dyDescent="0.25"/>
    <row r="301354" customFormat="1" x14ac:dyDescent="0.25"/>
    <row r="301355" customFormat="1" x14ac:dyDescent="0.25"/>
    <row r="301356" customFormat="1" x14ac:dyDescent="0.25"/>
    <row r="301357" customFormat="1" x14ac:dyDescent="0.25"/>
    <row r="301358" customFormat="1" x14ac:dyDescent="0.25"/>
    <row r="301359" customFormat="1" x14ac:dyDescent="0.25"/>
    <row r="301360" customFormat="1" x14ac:dyDescent="0.25"/>
    <row r="301361" customFormat="1" x14ac:dyDescent="0.25"/>
    <row r="301362" customFormat="1" x14ac:dyDescent="0.25"/>
    <row r="301363" customFormat="1" x14ac:dyDescent="0.25"/>
    <row r="301364" customFormat="1" x14ac:dyDescent="0.25"/>
    <row r="301365" customFormat="1" x14ac:dyDescent="0.25"/>
    <row r="301366" customFormat="1" x14ac:dyDescent="0.25"/>
    <row r="301367" customFormat="1" x14ac:dyDescent="0.25"/>
    <row r="301368" customFormat="1" x14ac:dyDescent="0.25"/>
    <row r="301369" customFormat="1" x14ac:dyDescent="0.25"/>
    <row r="301370" customFormat="1" x14ac:dyDescent="0.25"/>
    <row r="301371" customFormat="1" x14ac:dyDescent="0.25"/>
    <row r="301372" customFormat="1" x14ac:dyDescent="0.25"/>
    <row r="301373" customFormat="1" x14ac:dyDescent="0.25"/>
    <row r="301374" customFormat="1" x14ac:dyDescent="0.25"/>
    <row r="301375" customFormat="1" x14ac:dyDescent="0.25"/>
    <row r="301376" customFormat="1" x14ac:dyDescent="0.25"/>
    <row r="301377" customFormat="1" x14ac:dyDescent="0.25"/>
    <row r="301378" customFormat="1" x14ac:dyDescent="0.25"/>
    <row r="301379" customFormat="1" x14ac:dyDescent="0.25"/>
    <row r="301380" customFormat="1" x14ac:dyDescent="0.25"/>
    <row r="301381" customFormat="1" x14ac:dyDescent="0.25"/>
    <row r="301382" customFormat="1" x14ac:dyDescent="0.25"/>
    <row r="301383" customFormat="1" x14ac:dyDescent="0.25"/>
    <row r="301384" customFormat="1" x14ac:dyDescent="0.25"/>
    <row r="301385" customFormat="1" x14ac:dyDescent="0.25"/>
    <row r="301386" customFormat="1" x14ac:dyDescent="0.25"/>
    <row r="301387" customFormat="1" x14ac:dyDescent="0.25"/>
    <row r="301388" customFormat="1" x14ac:dyDescent="0.25"/>
    <row r="301389" customFormat="1" x14ac:dyDescent="0.25"/>
    <row r="301390" customFormat="1" x14ac:dyDescent="0.25"/>
    <row r="301391" customFormat="1" x14ac:dyDescent="0.25"/>
    <row r="301392" customFormat="1" x14ac:dyDescent="0.25"/>
    <row r="301393" customFormat="1" x14ac:dyDescent="0.25"/>
    <row r="301394" customFormat="1" x14ac:dyDescent="0.25"/>
    <row r="301395" customFormat="1" x14ac:dyDescent="0.25"/>
    <row r="301396" customFormat="1" x14ac:dyDescent="0.25"/>
    <row r="301397" customFormat="1" x14ac:dyDescent="0.25"/>
    <row r="301398" customFormat="1" x14ac:dyDescent="0.25"/>
    <row r="301399" customFormat="1" x14ac:dyDescent="0.25"/>
    <row r="301400" customFormat="1" x14ac:dyDescent="0.25"/>
    <row r="301401" customFormat="1" x14ac:dyDescent="0.25"/>
    <row r="301402" customFormat="1" x14ac:dyDescent="0.25"/>
    <row r="301403" customFormat="1" x14ac:dyDescent="0.25"/>
    <row r="301404" customFormat="1" x14ac:dyDescent="0.25"/>
    <row r="301405" customFormat="1" x14ac:dyDescent="0.25"/>
    <row r="301406" customFormat="1" x14ac:dyDescent="0.25"/>
    <row r="301407" customFormat="1" x14ac:dyDescent="0.25"/>
    <row r="301408" customFormat="1" x14ac:dyDescent="0.25"/>
    <row r="301409" customFormat="1" x14ac:dyDescent="0.25"/>
    <row r="301410" customFormat="1" x14ac:dyDescent="0.25"/>
    <row r="301411" customFormat="1" x14ac:dyDescent="0.25"/>
    <row r="301412" customFormat="1" x14ac:dyDescent="0.25"/>
    <row r="301413" customFormat="1" x14ac:dyDescent="0.25"/>
    <row r="301414" customFormat="1" x14ac:dyDescent="0.25"/>
    <row r="301415" customFormat="1" x14ac:dyDescent="0.25"/>
    <row r="301416" customFormat="1" x14ac:dyDescent="0.25"/>
    <row r="301417" customFormat="1" x14ac:dyDescent="0.25"/>
    <row r="301418" customFormat="1" x14ac:dyDescent="0.25"/>
    <row r="301419" customFormat="1" x14ac:dyDescent="0.25"/>
    <row r="301420" customFormat="1" x14ac:dyDescent="0.25"/>
    <row r="301421" customFormat="1" x14ac:dyDescent="0.25"/>
    <row r="301422" customFormat="1" x14ac:dyDescent="0.25"/>
    <row r="301423" customFormat="1" x14ac:dyDescent="0.25"/>
    <row r="301424" customFormat="1" x14ac:dyDescent="0.25"/>
    <row r="301425" customFormat="1" x14ac:dyDescent="0.25"/>
    <row r="301426" customFormat="1" x14ac:dyDescent="0.25"/>
    <row r="301427" customFormat="1" x14ac:dyDescent="0.25"/>
    <row r="301428" customFormat="1" x14ac:dyDescent="0.25"/>
    <row r="301429" customFormat="1" x14ac:dyDescent="0.25"/>
    <row r="301430" customFormat="1" x14ac:dyDescent="0.25"/>
    <row r="301431" customFormat="1" x14ac:dyDescent="0.25"/>
    <row r="301432" customFormat="1" x14ac:dyDescent="0.25"/>
    <row r="301433" customFormat="1" x14ac:dyDescent="0.25"/>
    <row r="301434" customFormat="1" x14ac:dyDescent="0.25"/>
    <row r="301435" customFormat="1" x14ac:dyDescent="0.25"/>
    <row r="301436" customFormat="1" x14ac:dyDescent="0.25"/>
    <row r="301437" customFormat="1" x14ac:dyDescent="0.25"/>
    <row r="301438" customFormat="1" x14ac:dyDescent="0.25"/>
    <row r="301439" customFormat="1" x14ac:dyDescent="0.25"/>
    <row r="301440" customFormat="1" x14ac:dyDescent="0.25"/>
    <row r="301441" customFormat="1" x14ac:dyDescent="0.25"/>
    <row r="301442" customFormat="1" x14ac:dyDescent="0.25"/>
    <row r="301443" customFormat="1" x14ac:dyDescent="0.25"/>
    <row r="301444" customFormat="1" x14ac:dyDescent="0.25"/>
    <row r="301445" customFormat="1" x14ac:dyDescent="0.25"/>
    <row r="301446" customFormat="1" x14ac:dyDescent="0.25"/>
    <row r="301447" customFormat="1" x14ac:dyDescent="0.25"/>
    <row r="301448" customFormat="1" x14ac:dyDescent="0.25"/>
    <row r="301449" customFormat="1" x14ac:dyDescent="0.25"/>
    <row r="301450" customFormat="1" x14ac:dyDescent="0.25"/>
    <row r="301451" customFormat="1" x14ac:dyDescent="0.25"/>
    <row r="301452" customFormat="1" x14ac:dyDescent="0.25"/>
    <row r="301453" customFormat="1" x14ac:dyDescent="0.25"/>
    <row r="301454" customFormat="1" x14ac:dyDescent="0.25"/>
    <row r="301455" customFormat="1" x14ac:dyDescent="0.25"/>
    <row r="301456" customFormat="1" x14ac:dyDescent="0.25"/>
    <row r="301457" customFormat="1" x14ac:dyDescent="0.25"/>
    <row r="301458" customFormat="1" x14ac:dyDescent="0.25"/>
    <row r="301459" customFormat="1" x14ac:dyDescent="0.25"/>
    <row r="301460" customFormat="1" x14ac:dyDescent="0.25"/>
    <row r="301461" customFormat="1" x14ac:dyDescent="0.25"/>
    <row r="301462" customFormat="1" x14ac:dyDescent="0.25"/>
    <row r="301463" customFormat="1" x14ac:dyDescent="0.25"/>
    <row r="301464" customFormat="1" x14ac:dyDescent="0.25"/>
    <row r="301465" customFormat="1" x14ac:dyDescent="0.25"/>
    <row r="301466" customFormat="1" x14ac:dyDescent="0.25"/>
    <row r="301467" customFormat="1" x14ac:dyDescent="0.25"/>
    <row r="301468" customFormat="1" x14ac:dyDescent="0.25"/>
    <row r="301469" customFormat="1" x14ac:dyDescent="0.25"/>
    <row r="301470" customFormat="1" x14ac:dyDescent="0.25"/>
    <row r="301471" customFormat="1" x14ac:dyDescent="0.25"/>
    <row r="301472" customFormat="1" x14ac:dyDescent="0.25"/>
    <row r="301473" customFormat="1" x14ac:dyDescent="0.25"/>
    <row r="301474" customFormat="1" x14ac:dyDescent="0.25"/>
    <row r="301475" customFormat="1" x14ac:dyDescent="0.25"/>
    <row r="301476" customFormat="1" x14ac:dyDescent="0.25"/>
    <row r="301477" customFormat="1" x14ac:dyDescent="0.25"/>
    <row r="301478" customFormat="1" x14ac:dyDescent="0.25"/>
    <row r="301479" customFormat="1" x14ac:dyDescent="0.25"/>
    <row r="301480" customFormat="1" x14ac:dyDescent="0.25"/>
    <row r="301481" customFormat="1" x14ac:dyDescent="0.25"/>
    <row r="301482" customFormat="1" x14ac:dyDescent="0.25"/>
    <row r="301483" customFormat="1" x14ac:dyDescent="0.25"/>
    <row r="301484" customFormat="1" x14ac:dyDescent="0.25"/>
    <row r="301485" customFormat="1" x14ac:dyDescent="0.25"/>
    <row r="301486" customFormat="1" x14ac:dyDescent="0.25"/>
    <row r="301487" customFormat="1" x14ac:dyDescent="0.25"/>
    <row r="301488" customFormat="1" x14ac:dyDescent="0.25"/>
    <row r="301489" customFormat="1" x14ac:dyDescent="0.25"/>
    <row r="301490" customFormat="1" x14ac:dyDescent="0.25"/>
    <row r="301491" customFormat="1" x14ac:dyDescent="0.25"/>
    <row r="301492" customFormat="1" x14ac:dyDescent="0.25"/>
    <row r="301493" customFormat="1" x14ac:dyDescent="0.25"/>
    <row r="301494" customFormat="1" x14ac:dyDescent="0.25"/>
    <row r="301495" customFormat="1" x14ac:dyDescent="0.25"/>
    <row r="301496" customFormat="1" x14ac:dyDescent="0.25"/>
    <row r="301497" customFormat="1" x14ac:dyDescent="0.25"/>
    <row r="301498" customFormat="1" x14ac:dyDescent="0.25"/>
    <row r="301499" customFormat="1" x14ac:dyDescent="0.25"/>
    <row r="301500" customFormat="1" x14ac:dyDescent="0.25"/>
    <row r="301501" customFormat="1" x14ac:dyDescent="0.25"/>
    <row r="301502" customFormat="1" x14ac:dyDescent="0.25"/>
    <row r="301503" customFormat="1" x14ac:dyDescent="0.25"/>
    <row r="301504" customFormat="1" x14ac:dyDescent="0.25"/>
    <row r="301505" customFormat="1" x14ac:dyDescent="0.25"/>
    <row r="301506" customFormat="1" x14ac:dyDescent="0.25"/>
    <row r="301507" customFormat="1" x14ac:dyDescent="0.25"/>
    <row r="301508" customFormat="1" x14ac:dyDescent="0.25"/>
    <row r="301509" customFormat="1" x14ac:dyDescent="0.25"/>
    <row r="301510" customFormat="1" x14ac:dyDescent="0.25"/>
    <row r="301511" customFormat="1" x14ac:dyDescent="0.25"/>
    <row r="301512" customFormat="1" x14ac:dyDescent="0.25"/>
    <row r="301513" customFormat="1" x14ac:dyDescent="0.25"/>
    <row r="301514" customFormat="1" x14ac:dyDescent="0.25"/>
    <row r="301515" customFormat="1" x14ac:dyDescent="0.25"/>
    <row r="301516" customFormat="1" x14ac:dyDescent="0.25"/>
    <row r="301517" customFormat="1" x14ac:dyDescent="0.25"/>
    <row r="301518" customFormat="1" x14ac:dyDescent="0.25"/>
    <row r="301519" customFormat="1" x14ac:dyDescent="0.25"/>
    <row r="301520" customFormat="1" x14ac:dyDescent="0.25"/>
    <row r="301521" customFormat="1" x14ac:dyDescent="0.25"/>
    <row r="301522" customFormat="1" x14ac:dyDescent="0.25"/>
    <row r="301523" customFormat="1" x14ac:dyDescent="0.25"/>
    <row r="301524" customFormat="1" x14ac:dyDescent="0.25"/>
    <row r="301525" customFormat="1" x14ac:dyDescent="0.25"/>
    <row r="301526" customFormat="1" x14ac:dyDescent="0.25"/>
    <row r="301527" customFormat="1" x14ac:dyDescent="0.25"/>
    <row r="301528" customFormat="1" x14ac:dyDescent="0.25"/>
    <row r="301529" customFormat="1" x14ac:dyDescent="0.25"/>
    <row r="301530" customFormat="1" x14ac:dyDescent="0.25"/>
    <row r="301531" customFormat="1" x14ac:dyDescent="0.25"/>
    <row r="301532" customFormat="1" x14ac:dyDescent="0.25"/>
    <row r="301533" customFormat="1" x14ac:dyDescent="0.25"/>
    <row r="301534" customFormat="1" x14ac:dyDescent="0.25"/>
    <row r="301535" customFormat="1" x14ac:dyDescent="0.25"/>
    <row r="301536" customFormat="1" x14ac:dyDescent="0.25"/>
    <row r="301537" customFormat="1" x14ac:dyDescent="0.25"/>
    <row r="301538" customFormat="1" x14ac:dyDescent="0.25"/>
    <row r="301539" customFormat="1" x14ac:dyDescent="0.25"/>
    <row r="301540" customFormat="1" x14ac:dyDescent="0.25"/>
    <row r="301541" customFormat="1" x14ac:dyDescent="0.25"/>
    <row r="301542" customFormat="1" x14ac:dyDescent="0.25"/>
    <row r="301543" customFormat="1" x14ac:dyDescent="0.25"/>
    <row r="301544" customFormat="1" x14ac:dyDescent="0.25"/>
    <row r="301545" customFormat="1" x14ac:dyDescent="0.25"/>
    <row r="301546" customFormat="1" x14ac:dyDescent="0.25"/>
    <row r="301547" customFormat="1" x14ac:dyDescent="0.25"/>
    <row r="301548" customFormat="1" x14ac:dyDescent="0.25"/>
    <row r="301549" customFormat="1" x14ac:dyDescent="0.25"/>
    <row r="301550" customFormat="1" x14ac:dyDescent="0.25"/>
    <row r="301551" customFormat="1" x14ac:dyDescent="0.25"/>
    <row r="301552" customFormat="1" x14ac:dyDescent="0.25"/>
    <row r="301553" customFormat="1" x14ac:dyDescent="0.25"/>
    <row r="301554" customFormat="1" x14ac:dyDescent="0.25"/>
    <row r="301555" customFormat="1" x14ac:dyDescent="0.25"/>
    <row r="301556" customFormat="1" x14ac:dyDescent="0.25"/>
    <row r="301557" customFormat="1" x14ac:dyDescent="0.25"/>
    <row r="301558" customFormat="1" x14ac:dyDescent="0.25"/>
    <row r="301559" customFormat="1" x14ac:dyDescent="0.25"/>
    <row r="301560" customFormat="1" x14ac:dyDescent="0.25"/>
    <row r="301561" customFormat="1" x14ac:dyDescent="0.25"/>
    <row r="301562" customFormat="1" x14ac:dyDescent="0.25"/>
    <row r="301563" customFormat="1" x14ac:dyDescent="0.25"/>
    <row r="301564" customFormat="1" x14ac:dyDescent="0.25"/>
    <row r="301565" customFormat="1" x14ac:dyDescent="0.25"/>
    <row r="301566" customFormat="1" x14ac:dyDescent="0.25"/>
    <row r="301567" customFormat="1" x14ac:dyDescent="0.25"/>
    <row r="301568" customFormat="1" x14ac:dyDescent="0.25"/>
    <row r="301569" customFormat="1" x14ac:dyDescent="0.25"/>
    <row r="301570" customFormat="1" x14ac:dyDescent="0.25"/>
    <row r="301571" customFormat="1" x14ac:dyDescent="0.25"/>
    <row r="301572" customFormat="1" x14ac:dyDescent="0.25"/>
    <row r="301573" customFormat="1" x14ac:dyDescent="0.25"/>
    <row r="301574" customFormat="1" x14ac:dyDescent="0.25"/>
    <row r="301575" customFormat="1" x14ac:dyDescent="0.25"/>
    <row r="301576" customFormat="1" x14ac:dyDescent="0.25"/>
    <row r="301577" customFormat="1" x14ac:dyDescent="0.25"/>
    <row r="301578" customFormat="1" x14ac:dyDescent="0.25"/>
    <row r="301579" customFormat="1" x14ac:dyDescent="0.25"/>
    <row r="301580" customFormat="1" x14ac:dyDescent="0.25"/>
    <row r="301581" customFormat="1" x14ac:dyDescent="0.25"/>
    <row r="301582" customFormat="1" x14ac:dyDescent="0.25"/>
    <row r="301583" customFormat="1" x14ac:dyDescent="0.25"/>
    <row r="301584" customFormat="1" x14ac:dyDescent="0.25"/>
    <row r="301585" customFormat="1" x14ac:dyDescent="0.25"/>
    <row r="301586" customFormat="1" x14ac:dyDescent="0.25"/>
    <row r="301587" customFormat="1" x14ac:dyDescent="0.25"/>
    <row r="301588" customFormat="1" x14ac:dyDescent="0.25"/>
    <row r="301589" customFormat="1" x14ac:dyDescent="0.25"/>
    <row r="301590" customFormat="1" x14ac:dyDescent="0.25"/>
    <row r="301591" customFormat="1" x14ac:dyDescent="0.25"/>
    <row r="301592" customFormat="1" x14ac:dyDescent="0.25"/>
    <row r="301593" customFormat="1" x14ac:dyDescent="0.25"/>
    <row r="301594" customFormat="1" x14ac:dyDescent="0.25"/>
    <row r="301595" customFormat="1" x14ac:dyDescent="0.25"/>
    <row r="301596" customFormat="1" x14ac:dyDescent="0.25"/>
    <row r="301597" customFormat="1" x14ac:dyDescent="0.25"/>
    <row r="301598" customFormat="1" x14ac:dyDescent="0.25"/>
    <row r="301599" customFormat="1" x14ac:dyDescent="0.25"/>
    <row r="301600" customFormat="1" x14ac:dyDescent="0.25"/>
    <row r="301601" customFormat="1" x14ac:dyDescent="0.25"/>
    <row r="301602" customFormat="1" x14ac:dyDescent="0.25"/>
    <row r="301603" customFormat="1" x14ac:dyDescent="0.25"/>
    <row r="301604" customFormat="1" x14ac:dyDescent="0.25"/>
    <row r="301605" customFormat="1" x14ac:dyDescent="0.25"/>
    <row r="301606" customFormat="1" x14ac:dyDescent="0.25"/>
    <row r="301607" customFormat="1" x14ac:dyDescent="0.25"/>
    <row r="301608" customFormat="1" x14ac:dyDescent="0.25"/>
    <row r="301609" customFormat="1" x14ac:dyDescent="0.25"/>
    <row r="301610" customFormat="1" x14ac:dyDescent="0.25"/>
    <row r="301611" customFormat="1" x14ac:dyDescent="0.25"/>
    <row r="301612" customFormat="1" x14ac:dyDescent="0.25"/>
    <row r="301613" customFormat="1" x14ac:dyDescent="0.25"/>
    <row r="301614" customFormat="1" x14ac:dyDescent="0.25"/>
    <row r="301615" customFormat="1" x14ac:dyDescent="0.25"/>
    <row r="301616" customFormat="1" x14ac:dyDescent="0.25"/>
    <row r="301617" customFormat="1" x14ac:dyDescent="0.25"/>
    <row r="301618" customFormat="1" x14ac:dyDescent="0.25"/>
    <row r="301619" customFormat="1" x14ac:dyDescent="0.25"/>
    <row r="301620" customFormat="1" x14ac:dyDescent="0.25"/>
    <row r="301621" customFormat="1" x14ac:dyDescent="0.25"/>
    <row r="301622" customFormat="1" x14ac:dyDescent="0.25"/>
    <row r="301623" customFormat="1" x14ac:dyDescent="0.25"/>
    <row r="301624" customFormat="1" x14ac:dyDescent="0.25"/>
    <row r="301625" customFormat="1" x14ac:dyDescent="0.25"/>
    <row r="301626" customFormat="1" x14ac:dyDescent="0.25"/>
    <row r="301627" customFormat="1" x14ac:dyDescent="0.25"/>
    <row r="301628" customFormat="1" x14ac:dyDescent="0.25"/>
    <row r="301629" customFormat="1" x14ac:dyDescent="0.25"/>
    <row r="301630" customFormat="1" x14ac:dyDescent="0.25"/>
    <row r="301631" customFormat="1" x14ac:dyDescent="0.25"/>
    <row r="301632" customFormat="1" x14ac:dyDescent="0.25"/>
    <row r="301633" customFormat="1" x14ac:dyDescent="0.25"/>
    <row r="301634" customFormat="1" x14ac:dyDescent="0.25"/>
    <row r="301635" customFormat="1" x14ac:dyDescent="0.25"/>
    <row r="301636" customFormat="1" x14ac:dyDescent="0.25"/>
    <row r="301637" customFormat="1" x14ac:dyDescent="0.25"/>
    <row r="301638" customFormat="1" x14ac:dyDescent="0.25"/>
    <row r="301639" customFormat="1" x14ac:dyDescent="0.25"/>
    <row r="301640" customFormat="1" x14ac:dyDescent="0.25"/>
    <row r="301641" customFormat="1" x14ac:dyDescent="0.25"/>
    <row r="301642" customFormat="1" x14ac:dyDescent="0.25"/>
    <row r="301643" customFormat="1" x14ac:dyDescent="0.25"/>
    <row r="301644" customFormat="1" x14ac:dyDescent="0.25"/>
    <row r="301645" customFormat="1" x14ac:dyDescent="0.25"/>
    <row r="301646" customFormat="1" x14ac:dyDescent="0.25"/>
    <row r="301647" customFormat="1" x14ac:dyDescent="0.25"/>
    <row r="301648" customFormat="1" x14ac:dyDescent="0.25"/>
    <row r="301649" customFormat="1" x14ac:dyDescent="0.25"/>
    <row r="301650" customFormat="1" x14ac:dyDescent="0.25"/>
    <row r="301651" customFormat="1" x14ac:dyDescent="0.25"/>
    <row r="301652" customFormat="1" x14ac:dyDescent="0.25"/>
    <row r="301653" customFormat="1" x14ac:dyDescent="0.25"/>
    <row r="301654" customFormat="1" x14ac:dyDescent="0.25"/>
    <row r="301655" customFormat="1" x14ac:dyDescent="0.25"/>
    <row r="301656" customFormat="1" x14ac:dyDescent="0.25"/>
    <row r="301657" customFormat="1" x14ac:dyDescent="0.25"/>
    <row r="301658" customFormat="1" x14ac:dyDescent="0.25"/>
    <row r="301659" customFormat="1" x14ac:dyDescent="0.25"/>
    <row r="301660" customFormat="1" x14ac:dyDescent="0.25"/>
    <row r="301661" customFormat="1" x14ac:dyDescent="0.25"/>
    <row r="301662" customFormat="1" x14ac:dyDescent="0.25"/>
    <row r="301663" customFormat="1" x14ac:dyDescent="0.25"/>
    <row r="301664" customFormat="1" x14ac:dyDescent="0.25"/>
    <row r="301665" customFormat="1" x14ac:dyDescent="0.25"/>
    <row r="301666" customFormat="1" x14ac:dyDescent="0.25"/>
    <row r="301667" customFormat="1" x14ac:dyDescent="0.25"/>
    <row r="301668" customFormat="1" x14ac:dyDescent="0.25"/>
    <row r="301669" customFormat="1" x14ac:dyDescent="0.25"/>
    <row r="301670" customFormat="1" x14ac:dyDescent="0.25"/>
    <row r="301671" customFormat="1" x14ac:dyDescent="0.25"/>
    <row r="301672" customFormat="1" x14ac:dyDescent="0.25"/>
    <row r="301673" customFormat="1" x14ac:dyDescent="0.25"/>
    <row r="301674" customFormat="1" x14ac:dyDescent="0.25"/>
    <row r="301675" customFormat="1" x14ac:dyDescent="0.25"/>
    <row r="301676" customFormat="1" x14ac:dyDescent="0.25"/>
    <row r="301677" customFormat="1" x14ac:dyDescent="0.25"/>
    <row r="301678" customFormat="1" x14ac:dyDescent="0.25"/>
    <row r="301679" customFormat="1" x14ac:dyDescent="0.25"/>
    <row r="301680" customFormat="1" x14ac:dyDescent="0.25"/>
    <row r="301681" customFormat="1" x14ac:dyDescent="0.25"/>
    <row r="301682" customFormat="1" x14ac:dyDescent="0.25"/>
    <row r="301683" customFormat="1" x14ac:dyDescent="0.25"/>
    <row r="301684" customFormat="1" x14ac:dyDescent="0.25"/>
    <row r="301685" customFormat="1" x14ac:dyDescent="0.25"/>
    <row r="301686" customFormat="1" x14ac:dyDescent="0.25"/>
    <row r="301687" customFormat="1" x14ac:dyDescent="0.25"/>
    <row r="301688" customFormat="1" x14ac:dyDescent="0.25"/>
    <row r="301689" customFormat="1" x14ac:dyDescent="0.25"/>
    <row r="301690" customFormat="1" x14ac:dyDescent="0.25"/>
    <row r="301691" customFormat="1" x14ac:dyDescent="0.25"/>
    <row r="301692" customFormat="1" x14ac:dyDescent="0.25"/>
    <row r="301693" customFormat="1" x14ac:dyDescent="0.25"/>
    <row r="301694" customFormat="1" x14ac:dyDescent="0.25"/>
    <row r="301695" customFormat="1" x14ac:dyDescent="0.25"/>
    <row r="301696" customFormat="1" x14ac:dyDescent="0.25"/>
    <row r="301697" customFormat="1" x14ac:dyDescent="0.25"/>
    <row r="301698" customFormat="1" x14ac:dyDescent="0.25"/>
    <row r="301699" customFormat="1" x14ac:dyDescent="0.25"/>
    <row r="301700" customFormat="1" x14ac:dyDescent="0.25"/>
    <row r="301701" customFormat="1" x14ac:dyDescent="0.25"/>
    <row r="301702" customFormat="1" x14ac:dyDescent="0.25"/>
    <row r="301703" customFormat="1" x14ac:dyDescent="0.25"/>
    <row r="301704" customFormat="1" x14ac:dyDescent="0.25"/>
    <row r="301705" customFormat="1" x14ac:dyDescent="0.25"/>
    <row r="301706" customFormat="1" x14ac:dyDescent="0.25"/>
    <row r="301707" customFormat="1" x14ac:dyDescent="0.25"/>
    <row r="301708" customFormat="1" x14ac:dyDescent="0.25"/>
    <row r="301709" customFormat="1" x14ac:dyDescent="0.25"/>
    <row r="301710" customFormat="1" x14ac:dyDescent="0.25"/>
    <row r="301711" customFormat="1" x14ac:dyDescent="0.25"/>
    <row r="301712" customFormat="1" x14ac:dyDescent="0.25"/>
    <row r="301713" customFormat="1" x14ac:dyDescent="0.25"/>
    <row r="301714" customFormat="1" x14ac:dyDescent="0.25"/>
    <row r="301715" customFormat="1" x14ac:dyDescent="0.25"/>
    <row r="301716" customFormat="1" x14ac:dyDescent="0.25"/>
    <row r="301717" customFormat="1" x14ac:dyDescent="0.25"/>
    <row r="301718" customFormat="1" x14ac:dyDescent="0.25"/>
    <row r="301719" customFormat="1" x14ac:dyDescent="0.25"/>
    <row r="301720" customFormat="1" x14ac:dyDescent="0.25"/>
    <row r="301721" customFormat="1" x14ac:dyDescent="0.25"/>
    <row r="301722" customFormat="1" x14ac:dyDescent="0.25"/>
    <row r="301723" customFormat="1" x14ac:dyDescent="0.25"/>
    <row r="301724" customFormat="1" x14ac:dyDescent="0.25"/>
    <row r="301725" customFormat="1" x14ac:dyDescent="0.25"/>
    <row r="301726" customFormat="1" x14ac:dyDescent="0.25"/>
    <row r="301727" customFormat="1" x14ac:dyDescent="0.25"/>
    <row r="301728" customFormat="1" x14ac:dyDescent="0.25"/>
    <row r="301729" customFormat="1" x14ac:dyDescent="0.25"/>
    <row r="301730" customFormat="1" x14ac:dyDescent="0.25"/>
    <row r="301731" customFormat="1" x14ac:dyDescent="0.25"/>
    <row r="301732" customFormat="1" x14ac:dyDescent="0.25"/>
    <row r="301733" customFormat="1" x14ac:dyDescent="0.25"/>
    <row r="301734" customFormat="1" x14ac:dyDescent="0.25"/>
    <row r="301735" customFormat="1" x14ac:dyDescent="0.25"/>
    <row r="301736" customFormat="1" x14ac:dyDescent="0.25"/>
    <row r="301737" customFormat="1" x14ac:dyDescent="0.25"/>
    <row r="301738" customFormat="1" x14ac:dyDescent="0.25"/>
    <row r="301739" customFormat="1" x14ac:dyDescent="0.25"/>
    <row r="301740" customFormat="1" x14ac:dyDescent="0.25"/>
    <row r="301741" customFormat="1" x14ac:dyDescent="0.25"/>
    <row r="301742" customFormat="1" x14ac:dyDescent="0.25"/>
    <row r="301743" customFormat="1" x14ac:dyDescent="0.25"/>
    <row r="301744" customFormat="1" x14ac:dyDescent="0.25"/>
    <row r="301745" customFormat="1" x14ac:dyDescent="0.25"/>
    <row r="301746" customFormat="1" x14ac:dyDescent="0.25"/>
    <row r="301747" customFormat="1" x14ac:dyDescent="0.25"/>
    <row r="301748" customFormat="1" x14ac:dyDescent="0.25"/>
    <row r="301749" customFormat="1" x14ac:dyDescent="0.25"/>
    <row r="301750" customFormat="1" x14ac:dyDescent="0.25"/>
    <row r="301751" customFormat="1" x14ac:dyDescent="0.25"/>
    <row r="301752" customFormat="1" x14ac:dyDescent="0.25"/>
    <row r="301753" customFormat="1" x14ac:dyDescent="0.25"/>
    <row r="301754" customFormat="1" x14ac:dyDescent="0.25"/>
    <row r="301755" customFormat="1" x14ac:dyDescent="0.25"/>
    <row r="301756" customFormat="1" x14ac:dyDescent="0.25"/>
    <row r="301757" customFormat="1" x14ac:dyDescent="0.25"/>
    <row r="301758" customFormat="1" x14ac:dyDescent="0.25"/>
    <row r="301759" customFormat="1" x14ac:dyDescent="0.25"/>
    <row r="301760" customFormat="1" x14ac:dyDescent="0.25"/>
    <row r="301761" customFormat="1" x14ac:dyDescent="0.25"/>
    <row r="301762" customFormat="1" x14ac:dyDescent="0.25"/>
    <row r="301763" customFormat="1" x14ac:dyDescent="0.25"/>
    <row r="301764" customFormat="1" x14ac:dyDescent="0.25"/>
    <row r="301765" customFormat="1" x14ac:dyDescent="0.25"/>
    <row r="301766" customFormat="1" x14ac:dyDescent="0.25"/>
    <row r="301767" customFormat="1" x14ac:dyDescent="0.25"/>
    <row r="301768" customFormat="1" x14ac:dyDescent="0.25"/>
    <row r="301769" customFormat="1" x14ac:dyDescent="0.25"/>
    <row r="301770" customFormat="1" x14ac:dyDescent="0.25"/>
    <row r="301771" customFormat="1" x14ac:dyDescent="0.25"/>
    <row r="301772" customFormat="1" x14ac:dyDescent="0.25"/>
    <row r="301773" customFormat="1" x14ac:dyDescent="0.25"/>
    <row r="301774" customFormat="1" x14ac:dyDescent="0.25"/>
    <row r="301775" customFormat="1" x14ac:dyDescent="0.25"/>
    <row r="301776" customFormat="1" x14ac:dyDescent="0.25"/>
    <row r="301777" customFormat="1" x14ac:dyDescent="0.25"/>
    <row r="301778" customFormat="1" x14ac:dyDescent="0.25"/>
    <row r="301779" customFormat="1" x14ac:dyDescent="0.25"/>
    <row r="301780" customFormat="1" x14ac:dyDescent="0.25"/>
    <row r="301781" customFormat="1" x14ac:dyDescent="0.25"/>
    <row r="301782" customFormat="1" x14ac:dyDescent="0.25"/>
    <row r="301783" customFormat="1" x14ac:dyDescent="0.25"/>
    <row r="301784" customFormat="1" x14ac:dyDescent="0.25"/>
    <row r="301785" customFormat="1" x14ac:dyDescent="0.25"/>
    <row r="301786" customFormat="1" x14ac:dyDescent="0.25"/>
    <row r="301787" customFormat="1" x14ac:dyDescent="0.25"/>
    <row r="301788" customFormat="1" x14ac:dyDescent="0.25"/>
    <row r="301789" customFormat="1" x14ac:dyDescent="0.25"/>
    <row r="301790" customFormat="1" x14ac:dyDescent="0.25"/>
    <row r="301791" customFormat="1" x14ac:dyDescent="0.25"/>
    <row r="301792" customFormat="1" x14ac:dyDescent="0.25"/>
    <row r="301793" customFormat="1" x14ac:dyDescent="0.25"/>
    <row r="301794" customFormat="1" x14ac:dyDescent="0.25"/>
    <row r="301795" customFormat="1" x14ac:dyDescent="0.25"/>
    <row r="301796" customFormat="1" x14ac:dyDescent="0.25"/>
    <row r="301797" customFormat="1" x14ac:dyDescent="0.25"/>
    <row r="301798" customFormat="1" x14ac:dyDescent="0.25"/>
    <row r="301799" customFormat="1" x14ac:dyDescent="0.25"/>
    <row r="301800" customFormat="1" x14ac:dyDescent="0.25"/>
    <row r="301801" customFormat="1" x14ac:dyDescent="0.25"/>
    <row r="301802" customFormat="1" x14ac:dyDescent="0.25"/>
    <row r="301803" customFormat="1" x14ac:dyDescent="0.25"/>
    <row r="301804" customFormat="1" x14ac:dyDescent="0.25"/>
    <row r="301805" customFormat="1" x14ac:dyDescent="0.25"/>
    <row r="301806" customFormat="1" x14ac:dyDescent="0.25"/>
    <row r="301807" customFormat="1" x14ac:dyDescent="0.25"/>
    <row r="301808" customFormat="1" x14ac:dyDescent="0.25"/>
    <row r="301809" customFormat="1" x14ac:dyDescent="0.25"/>
    <row r="301810" customFormat="1" x14ac:dyDescent="0.25"/>
    <row r="301811" customFormat="1" x14ac:dyDescent="0.25"/>
    <row r="301812" customFormat="1" x14ac:dyDescent="0.25"/>
    <row r="301813" customFormat="1" x14ac:dyDescent="0.25"/>
    <row r="301814" customFormat="1" x14ac:dyDescent="0.25"/>
    <row r="301815" customFormat="1" x14ac:dyDescent="0.25"/>
    <row r="301816" customFormat="1" x14ac:dyDescent="0.25"/>
    <row r="301817" customFormat="1" x14ac:dyDescent="0.25"/>
    <row r="301818" customFormat="1" x14ac:dyDescent="0.25"/>
    <row r="301819" customFormat="1" x14ac:dyDescent="0.25"/>
    <row r="301820" customFormat="1" x14ac:dyDescent="0.25"/>
    <row r="301821" customFormat="1" x14ac:dyDescent="0.25"/>
    <row r="301822" customFormat="1" x14ac:dyDescent="0.25"/>
    <row r="301823" customFormat="1" x14ac:dyDescent="0.25"/>
    <row r="301824" customFormat="1" x14ac:dyDescent="0.25"/>
    <row r="301825" customFormat="1" x14ac:dyDescent="0.25"/>
    <row r="301826" customFormat="1" x14ac:dyDescent="0.25"/>
    <row r="301827" customFormat="1" x14ac:dyDescent="0.25"/>
    <row r="301828" customFormat="1" x14ac:dyDescent="0.25"/>
    <row r="301829" customFormat="1" x14ac:dyDescent="0.25"/>
    <row r="301830" customFormat="1" x14ac:dyDescent="0.25"/>
    <row r="301831" customFormat="1" x14ac:dyDescent="0.25"/>
    <row r="301832" customFormat="1" x14ac:dyDescent="0.25"/>
    <row r="301833" customFormat="1" x14ac:dyDescent="0.25"/>
    <row r="301834" customFormat="1" x14ac:dyDescent="0.25"/>
    <row r="301835" customFormat="1" x14ac:dyDescent="0.25"/>
    <row r="301836" customFormat="1" x14ac:dyDescent="0.25"/>
    <row r="301837" customFormat="1" x14ac:dyDescent="0.25"/>
    <row r="301838" customFormat="1" x14ac:dyDescent="0.25"/>
    <row r="301839" customFormat="1" x14ac:dyDescent="0.25"/>
    <row r="301840" customFormat="1" x14ac:dyDescent="0.25"/>
    <row r="301841" customFormat="1" x14ac:dyDescent="0.25"/>
    <row r="301842" customFormat="1" x14ac:dyDescent="0.25"/>
    <row r="301843" customFormat="1" x14ac:dyDescent="0.25"/>
    <row r="301844" customFormat="1" x14ac:dyDescent="0.25"/>
    <row r="301845" customFormat="1" x14ac:dyDescent="0.25"/>
    <row r="301846" customFormat="1" x14ac:dyDescent="0.25"/>
    <row r="301847" customFormat="1" x14ac:dyDescent="0.25"/>
    <row r="301848" customFormat="1" x14ac:dyDescent="0.25"/>
    <row r="301849" customFormat="1" x14ac:dyDescent="0.25"/>
    <row r="301850" customFormat="1" x14ac:dyDescent="0.25"/>
    <row r="301851" customFormat="1" x14ac:dyDescent="0.25"/>
    <row r="301852" customFormat="1" x14ac:dyDescent="0.25"/>
    <row r="301853" customFormat="1" x14ac:dyDescent="0.25"/>
    <row r="301854" customFormat="1" x14ac:dyDescent="0.25"/>
    <row r="301855" customFormat="1" x14ac:dyDescent="0.25"/>
    <row r="301856" customFormat="1" x14ac:dyDescent="0.25"/>
    <row r="301857" customFormat="1" x14ac:dyDescent="0.25"/>
    <row r="301858" customFormat="1" x14ac:dyDescent="0.25"/>
    <row r="301859" customFormat="1" x14ac:dyDescent="0.25"/>
    <row r="301860" customFormat="1" x14ac:dyDescent="0.25"/>
    <row r="301861" customFormat="1" x14ac:dyDescent="0.25"/>
    <row r="301862" customFormat="1" x14ac:dyDescent="0.25"/>
    <row r="301863" customFormat="1" x14ac:dyDescent="0.25"/>
    <row r="301864" customFormat="1" x14ac:dyDescent="0.25"/>
    <row r="301865" customFormat="1" x14ac:dyDescent="0.25"/>
    <row r="301866" customFormat="1" x14ac:dyDescent="0.25"/>
    <row r="301867" customFormat="1" x14ac:dyDescent="0.25"/>
    <row r="301868" customFormat="1" x14ac:dyDescent="0.25"/>
    <row r="301869" customFormat="1" x14ac:dyDescent="0.25"/>
    <row r="301870" customFormat="1" x14ac:dyDescent="0.25"/>
    <row r="301871" customFormat="1" x14ac:dyDescent="0.25"/>
    <row r="301872" customFormat="1" x14ac:dyDescent="0.25"/>
    <row r="301873" customFormat="1" x14ac:dyDescent="0.25"/>
    <row r="301874" customFormat="1" x14ac:dyDescent="0.25"/>
    <row r="301875" customFormat="1" x14ac:dyDescent="0.25"/>
    <row r="301876" customFormat="1" x14ac:dyDescent="0.25"/>
    <row r="301877" customFormat="1" x14ac:dyDescent="0.25"/>
    <row r="301878" customFormat="1" x14ac:dyDescent="0.25"/>
    <row r="301879" customFormat="1" x14ac:dyDescent="0.25"/>
    <row r="301880" customFormat="1" x14ac:dyDescent="0.25"/>
    <row r="301881" customFormat="1" x14ac:dyDescent="0.25"/>
    <row r="301882" customFormat="1" x14ac:dyDescent="0.25"/>
    <row r="301883" customFormat="1" x14ac:dyDescent="0.25"/>
    <row r="301884" customFormat="1" x14ac:dyDescent="0.25"/>
    <row r="301885" customFormat="1" x14ac:dyDescent="0.25"/>
    <row r="301886" customFormat="1" x14ac:dyDescent="0.25"/>
    <row r="301887" customFormat="1" x14ac:dyDescent="0.25"/>
    <row r="301888" customFormat="1" x14ac:dyDescent="0.25"/>
    <row r="301889" customFormat="1" x14ac:dyDescent="0.25"/>
    <row r="301890" customFormat="1" x14ac:dyDescent="0.25"/>
    <row r="301891" customFormat="1" x14ac:dyDescent="0.25"/>
    <row r="301892" customFormat="1" x14ac:dyDescent="0.25"/>
    <row r="301893" customFormat="1" x14ac:dyDescent="0.25"/>
    <row r="301894" customFormat="1" x14ac:dyDescent="0.25"/>
    <row r="301895" customFormat="1" x14ac:dyDescent="0.25"/>
    <row r="301896" customFormat="1" x14ac:dyDescent="0.25"/>
    <row r="301897" customFormat="1" x14ac:dyDescent="0.25"/>
    <row r="301898" customFormat="1" x14ac:dyDescent="0.25"/>
    <row r="301899" customFormat="1" x14ac:dyDescent="0.25"/>
    <row r="301900" customFormat="1" x14ac:dyDescent="0.25"/>
    <row r="301901" customFormat="1" x14ac:dyDescent="0.25"/>
    <row r="301902" customFormat="1" x14ac:dyDescent="0.25"/>
    <row r="301903" customFormat="1" x14ac:dyDescent="0.25"/>
    <row r="301904" customFormat="1" x14ac:dyDescent="0.25"/>
    <row r="301905" customFormat="1" x14ac:dyDescent="0.25"/>
    <row r="301906" customFormat="1" x14ac:dyDescent="0.25"/>
    <row r="301907" customFormat="1" x14ac:dyDescent="0.25"/>
    <row r="301908" customFormat="1" x14ac:dyDescent="0.25"/>
    <row r="301909" customFormat="1" x14ac:dyDescent="0.25"/>
    <row r="301910" customFormat="1" x14ac:dyDescent="0.25"/>
    <row r="301911" customFormat="1" x14ac:dyDescent="0.25"/>
    <row r="301912" customFormat="1" x14ac:dyDescent="0.25"/>
    <row r="301913" customFormat="1" x14ac:dyDescent="0.25"/>
    <row r="301914" customFormat="1" x14ac:dyDescent="0.25"/>
    <row r="301915" customFormat="1" x14ac:dyDescent="0.25"/>
    <row r="301916" customFormat="1" x14ac:dyDescent="0.25"/>
    <row r="301917" customFormat="1" x14ac:dyDescent="0.25"/>
    <row r="301918" customFormat="1" x14ac:dyDescent="0.25"/>
    <row r="301919" customFormat="1" x14ac:dyDescent="0.25"/>
    <row r="301920" customFormat="1" x14ac:dyDescent="0.25"/>
    <row r="301921" customFormat="1" x14ac:dyDescent="0.25"/>
    <row r="301922" customFormat="1" x14ac:dyDescent="0.25"/>
    <row r="301923" customFormat="1" x14ac:dyDescent="0.25"/>
    <row r="301924" customFormat="1" x14ac:dyDescent="0.25"/>
    <row r="301925" customFormat="1" x14ac:dyDescent="0.25"/>
    <row r="301926" customFormat="1" x14ac:dyDescent="0.25"/>
    <row r="301927" customFormat="1" x14ac:dyDescent="0.25"/>
    <row r="301928" customFormat="1" x14ac:dyDescent="0.25"/>
    <row r="301929" customFormat="1" x14ac:dyDescent="0.25"/>
    <row r="301930" customFormat="1" x14ac:dyDescent="0.25"/>
    <row r="301931" customFormat="1" x14ac:dyDescent="0.25"/>
    <row r="301932" customFormat="1" x14ac:dyDescent="0.25"/>
    <row r="301933" customFormat="1" x14ac:dyDescent="0.25"/>
    <row r="301934" customFormat="1" x14ac:dyDescent="0.25"/>
    <row r="301935" customFormat="1" x14ac:dyDescent="0.25"/>
    <row r="301936" customFormat="1" x14ac:dyDescent="0.25"/>
    <row r="301937" customFormat="1" x14ac:dyDescent="0.25"/>
    <row r="301938" customFormat="1" x14ac:dyDescent="0.25"/>
    <row r="301939" customFormat="1" x14ac:dyDescent="0.25"/>
    <row r="301940" customFormat="1" x14ac:dyDescent="0.25"/>
    <row r="301941" customFormat="1" x14ac:dyDescent="0.25"/>
    <row r="301942" customFormat="1" x14ac:dyDescent="0.25"/>
    <row r="301943" customFormat="1" x14ac:dyDescent="0.25"/>
    <row r="301944" customFormat="1" x14ac:dyDescent="0.25"/>
    <row r="301945" customFormat="1" x14ac:dyDescent="0.25"/>
    <row r="301946" customFormat="1" x14ac:dyDescent="0.25"/>
    <row r="301947" customFormat="1" x14ac:dyDescent="0.25"/>
    <row r="301948" customFormat="1" x14ac:dyDescent="0.25"/>
    <row r="301949" customFormat="1" x14ac:dyDescent="0.25"/>
    <row r="301950" customFormat="1" x14ac:dyDescent="0.25"/>
    <row r="301951" customFormat="1" x14ac:dyDescent="0.25"/>
    <row r="301952" customFormat="1" x14ac:dyDescent="0.25"/>
    <row r="301953" customFormat="1" x14ac:dyDescent="0.25"/>
    <row r="301954" customFormat="1" x14ac:dyDescent="0.25"/>
    <row r="301955" customFormat="1" x14ac:dyDescent="0.25"/>
    <row r="301956" customFormat="1" x14ac:dyDescent="0.25"/>
    <row r="301957" customFormat="1" x14ac:dyDescent="0.25"/>
    <row r="301958" customFormat="1" x14ac:dyDescent="0.25"/>
    <row r="301959" customFormat="1" x14ac:dyDescent="0.25"/>
    <row r="301960" customFormat="1" x14ac:dyDescent="0.25"/>
    <row r="301961" customFormat="1" x14ac:dyDescent="0.25"/>
    <row r="301962" customFormat="1" x14ac:dyDescent="0.25"/>
    <row r="301963" customFormat="1" x14ac:dyDescent="0.25"/>
    <row r="301964" customFormat="1" x14ac:dyDescent="0.25"/>
    <row r="301965" customFormat="1" x14ac:dyDescent="0.25"/>
    <row r="301966" customFormat="1" x14ac:dyDescent="0.25"/>
    <row r="301967" customFormat="1" x14ac:dyDescent="0.25"/>
    <row r="301968" customFormat="1" x14ac:dyDescent="0.25"/>
    <row r="301969" customFormat="1" x14ac:dyDescent="0.25"/>
    <row r="301970" customFormat="1" x14ac:dyDescent="0.25"/>
    <row r="301971" customFormat="1" x14ac:dyDescent="0.25"/>
    <row r="301972" customFormat="1" x14ac:dyDescent="0.25"/>
    <row r="301973" customFormat="1" x14ac:dyDescent="0.25"/>
    <row r="301974" customFormat="1" x14ac:dyDescent="0.25"/>
    <row r="301975" customFormat="1" x14ac:dyDescent="0.25"/>
    <row r="301976" customFormat="1" x14ac:dyDescent="0.25"/>
    <row r="301977" customFormat="1" x14ac:dyDescent="0.25"/>
    <row r="301978" customFormat="1" x14ac:dyDescent="0.25"/>
    <row r="301979" customFormat="1" x14ac:dyDescent="0.25"/>
    <row r="301980" customFormat="1" x14ac:dyDescent="0.25"/>
    <row r="301981" customFormat="1" x14ac:dyDescent="0.25"/>
    <row r="301982" customFormat="1" x14ac:dyDescent="0.25"/>
    <row r="301983" customFormat="1" x14ac:dyDescent="0.25"/>
    <row r="301984" customFormat="1" x14ac:dyDescent="0.25"/>
    <row r="301985" customFormat="1" x14ac:dyDescent="0.25"/>
    <row r="301986" customFormat="1" x14ac:dyDescent="0.25"/>
    <row r="301987" customFormat="1" x14ac:dyDescent="0.25"/>
    <row r="301988" customFormat="1" x14ac:dyDescent="0.25"/>
    <row r="301989" customFormat="1" x14ac:dyDescent="0.25"/>
    <row r="301990" customFormat="1" x14ac:dyDescent="0.25"/>
    <row r="301991" customFormat="1" x14ac:dyDescent="0.25"/>
    <row r="301992" customFormat="1" x14ac:dyDescent="0.25"/>
    <row r="301993" customFormat="1" x14ac:dyDescent="0.25"/>
    <row r="301994" customFormat="1" x14ac:dyDescent="0.25"/>
    <row r="301995" customFormat="1" x14ac:dyDescent="0.25"/>
    <row r="301996" customFormat="1" x14ac:dyDescent="0.25"/>
    <row r="301997" customFormat="1" x14ac:dyDescent="0.25"/>
    <row r="301998" customFormat="1" x14ac:dyDescent="0.25"/>
    <row r="301999" customFormat="1" x14ac:dyDescent="0.25"/>
    <row r="302000" customFormat="1" x14ac:dyDescent="0.25"/>
    <row r="302001" customFormat="1" x14ac:dyDescent="0.25"/>
    <row r="302002" customFormat="1" x14ac:dyDescent="0.25"/>
    <row r="302003" customFormat="1" x14ac:dyDescent="0.25"/>
    <row r="302004" customFormat="1" x14ac:dyDescent="0.25"/>
    <row r="302005" customFormat="1" x14ac:dyDescent="0.25"/>
    <row r="302006" customFormat="1" x14ac:dyDescent="0.25"/>
    <row r="302007" customFormat="1" x14ac:dyDescent="0.25"/>
    <row r="302008" customFormat="1" x14ac:dyDescent="0.25"/>
    <row r="302009" customFormat="1" x14ac:dyDescent="0.25"/>
    <row r="302010" customFormat="1" x14ac:dyDescent="0.25"/>
    <row r="302011" customFormat="1" x14ac:dyDescent="0.25"/>
    <row r="302012" customFormat="1" x14ac:dyDescent="0.25"/>
    <row r="302013" customFormat="1" x14ac:dyDescent="0.25"/>
    <row r="302014" customFormat="1" x14ac:dyDescent="0.25"/>
    <row r="302015" customFormat="1" x14ac:dyDescent="0.25"/>
    <row r="302016" customFormat="1" x14ac:dyDescent="0.25"/>
    <row r="302017" customFormat="1" x14ac:dyDescent="0.25"/>
    <row r="302018" customFormat="1" x14ac:dyDescent="0.25"/>
    <row r="302019" customFormat="1" x14ac:dyDescent="0.25"/>
    <row r="302020" customFormat="1" x14ac:dyDescent="0.25"/>
    <row r="302021" customFormat="1" x14ac:dyDescent="0.25"/>
    <row r="302022" customFormat="1" x14ac:dyDescent="0.25"/>
    <row r="302023" customFormat="1" x14ac:dyDescent="0.25"/>
    <row r="302024" customFormat="1" x14ac:dyDescent="0.25"/>
    <row r="302025" customFormat="1" x14ac:dyDescent="0.25"/>
    <row r="302026" customFormat="1" x14ac:dyDescent="0.25"/>
    <row r="302027" customFormat="1" x14ac:dyDescent="0.25"/>
    <row r="302028" customFormat="1" x14ac:dyDescent="0.25"/>
    <row r="302029" customFormat="1" x14ac:dyDescent="0.25"/>
    <row r="302030" customFormat="1" x14ac:dyDescent="0.25"/>
    <row r="302031" customFormat="1" x14ac:dyDescent="0.25"/>
    <row r="302032" customFormat="1" x14ac:dyDescent="0.25"/>
    <row r="302033" customFormat="1" x14ac:dyDescent="0.25"/>
    <row r="302034" customFormat="1" x14ac:dyDescent="0.25"/>
    <row r="302035" customFormat="1" x14ac:dyDescent="0.25"/>
    <row r="302036" customFormat="1" x14ac:dyDescent="0.25"/>
    <row r="302037" customFormat="1" x14ac:dyDescent="0.25"/>
    <row r="302038" customFormat="1" x14ac:dyDescent="0.25"/>
    <row r="302039" customFormat="1" x14ac:dyDescent="0.25"/>
    <row r="302040" customFormat="1" x14ac:dyDescent="0.25"/>
    <row r="302041" customFormat="1" x14ac:dyDescent="0.25"/>
    <row r="302042" customFormat="1" x14ac:dyDescent="0.25"/>
    <row r="302043" customFormat="1" x14ac:dyDescent="0.25"/>
    <row r="302044" customFormat="1" x14ac:dyDescent="0.25"/>
    <row r="302045" customFormat="1" x14ac:dyDescent="0.25"/>
    <row r="302046" customFormat="1" x14ac:dyDescent="0.25"/>
    <row r="302047" customFormat="1" x14ac:dyDescent="0.25"/>
    <row r="302048" customFormat="1" x14ac:dyDescent="0.25"/>
    <row r="302049" customFormat="1" x14ac:dyDescent="0.25"/>
    <row r="302050" customFormat="1" x14ac:dyDescent="0.25"/>
    <row r="302051" customFormat="1" x14ac:dyDescent="0.25"/>
    <row r="302052" customFormat="1" x14ac:dyDescent="0.25"/>
    <row r="302053" customFormat="1" x14ac:dyDescent="0.25"/>
    <row r="302054" customFormat="1" x14ac:dyDescent="0.25"/>
    <row r="302055" customFormat="1" x14ac:dyDescent="0.25"/>
    <row r="302056" customFormat="1" x14ac:dyDescent="0.25"/>
    <row r="302057" customFormat="1" x14ac:dyDescent="0.25"/>
    <row r="302058" customFormat="1" x14ac:dyDescent="0.25"/>
    <row r="302059" customFormat="1" x14ac:dyDescent="0.25"/>
    <row r="302060" customFormat="1" x14ac:dyDescent="0.25"/>
    <row r="302061" customFormat="1" x14ac:dyDescent="0.25"/>
    <row r="302062" customFormat="1" x14ac:dyDescent="0.25"/>
    <row r="302063" customFormat="1" x14ac:dyDescent="0.25"/>
    <row r="302064" customFormat="1" x14ac:dyDescent="0.25"/>
    <row r="302065" customFormat="1" x14ac:dyDescent="0.25"/>
    <row r="302066" customFormat="1" x14ac:dyDescent="0.25"/>
    <row r="302067" customFormat="1" x14ac:dyDescent="0.25"/>
    <row r="302068" customFormat="1" x14ac:dyDescent="0.25"/>
    <row r="302069" customFormat="1" x14ac:dyDescent="0.25"/>
    <row r="302070" customFormat="1" x14ac:dyDescent="0.25"/>
    <row r="302071" customFormat="1" x14ac:dyDescent="0.25"/>
    <row r="302072" customFormat="1" x14ac:dyDescent="0.25"/>
    <row r="302073" customFormat="1" x14ac:dyDescent="0.25"/>
    <row r="302074" customFormat="1" x14ac:dyDescent="0.25"/>
    <row r="302075" customFormat="1" x14ac:dyDescent="0.25"/>
    <row r="302076" customFormat="1" x14ac:dyDescent="0.25"/>
    <row r="302077" customFormat="1" x14ac:dyDescent="0.25"/>
    <row r="302078" customFormat="1" x14ac:dyDescent="0.25"/>
    <row r="302079" customFormat="1" x14ac:dyDescent="0.25"/>
    <row r="302080" customFormat="1" x14ac:dyDescent="0.25"/>
    <row r="302081" customFormat="1" x14ac:dyDescent="0.25"/>
    <row r="302082" customFormat="1" x14ac:dyDescent="0.25"/>
    <row r="302083" customFormat="1" x14ac:dyDescent="0.25"/>
    <row r="302084" customFormat="1" x14ac:dyDescent="0.25"/>
    <row r="302085" customFormat="1" x14ac:dyDescent="0.25"/>
    <row r="302086" customFormat="1" x14ac:dyDescent="0.25"/>
    <row r="302087" customFormat="1" x14ac:dyDescent="0.25"/>
    <row r="302088" customFormat="1" x14ac:dyDescent="0.25"/>
    <row r="302089" customFormat="1" x14ac:dyDescent="0.25"/>
    <row r="302090" customFormat="1" x14ac:dyDescent="0.25"/>
    <row r="302091" customFormat="1" x14ac:dyDescent="0.25"/>
    <row r="302092" customFormat="1" x14ac:dyDescent="0.25"/>
    <row r="302093" customFormat="1" x14ac:dyDescent="0.25"/>
    <row r="302094" customFormat="1" x14ac:dyDescent="0.25"/>
    <row r="302095" customFormat="1" x14ac:dyDescent="0.25"/>
    <row r="302096" customFormat="1" x14ac:dyDescent="0.25"/>
    <row r="302097" customFormat="1" x14ac:dyDescent="0.25"/>
    <row r="302098" customFormat="1" x14ac:dyDescent="0.25"/>
    <row r="302099" customFormat="1" x14ac:dyDescent="0.25"/>
    <row r="302100" customFormat="1" x14ac:dyDescent="0.25"/>
    <row r="302101" customFormat="1" x14ac:dyDescent="0.25"/>
    <row r="302102" customFormat="1" x14ac:dyDescent="0.25"/>
    <row r="302103" customFormat="1" x14ac:dyDescent="0.25"/>
    <row r="302104" customFormat="1" x14ac:dyDescent="0.25"/>
    <row r="302105" customFormat="1" x14ac:dyDescent="0.25"/>
    <row r="302106" customFormat="1" x14ac:dyDescent="0.25"/>
    <row r="302107" customFormat="1" x14ac:dyDescent="0.25"/>
    <row r="302108" customFormat="1" x14ac:dyDescent="0.25"/>
    <row r="302109" customFormat="1" x14ac:dyDescent="0.25"/>
    <row r="302110" customFormat="1" x14ac:dyDescent="0.25"/>
    <row r="302111" customFormat="1" x14ac:dyDescent="0.25"/>
    <row r="302112" customFormat="1" x14ac:dyDescent="0.25"/>
    <row r="302113" customFormat="1" x14ac:dyDescent="0.25"/>
    <row r="302114" customFormat="1" x14ac:dyDescent="0.25"/>
    <row r="302115" customFormat="1" x14ac:dyDescent="0.25"/>
    <row r="302116" customFormat="1" x14ac:dyDescent="0.25"/>
    <row r="302117" customFormat="1" x14ac:dyDescent="0.25"/>
    <row r="302118" customFormat="1" x14ac:dyDescent="0.25"/>
    <row r="302119" customFormat="1" x14ac:dyDescent="0.25"/>
    <row r="302120" customFormat="1" x14ac:dyDescent="0.25"/>
    <row r="302121" customFormat="1" x14ac:dyDescent="0.25"/>
    <row r="302122" customFormat="1" x14ac:dyDescent="0.25"/>
    <row r="302123" customFormat="1" x14ac:dyDescent="0.25"/>
    <row r="302124" customFormat="1" x14ac:dyDescent="0.25"/>
    <row r="302125" customFormat="1" x14ac:dyDescent="0.25"/>
    <row r="302126" customFormat="1" x14ac:dyDescent="0.25"/>
    <row r="302127" customFormat="1" x14ac:dyDescent="0.25"/>
    <row r="302128" customFormat="1" x14ac:dyDescent="0.25"/>
    <row r="302129" customFormat="1" x14ac:dyDescent="0.25"/>
    <row r="302130" customFormat="1" x14ac:dyDescent="0.25"/>
    <row r="302131" customFormat="1" x14ac:dyDescent="0.25"/>
    <row r="302132" customFormat="1" x14ac:dyDescent="0.25"/>
    <row r="302133" customFormat="1" x14ac:dyDescent="0.25"/>
    <row r="302134" customFormat="1" x14ac:dyDescent="0.25"/>
    <row r="302135" customFormat="1" x14ac:dyDescent="0.25"/>
    <row r="302136" customFormat="1" x14ac:dyDescent="0.25"/>
    <row r="302137" customFormat="1" x14ac:dyDescent="0.25"/>
    <row r="302138" customFormat="1" x14ac:dyDescent="0.25"/>
    <row r="302139" customFormat="1" x14ac:dyDescent="0.25"/>
    <row r="302140" customFormat="1" x14ac:dyDescent="0.25"/>
    <row r="302141" customFormat="1" x14ac:dyDescent="0.25"/>
    <row r="302142" customFormat="1" x14ac:dyDescent="0.25"/>
    <row r="302143" customFormat="1" x14ac:dyDescent="0.25"/>
    <row r="302144" customFormat="1" x14ac:dyDescent="0.25"/>
    <row r="302145" customFormat="1" x14ac:dyDescent="0.25"/>
    <row r="302146" customFormat="1" x14ac:dyDescent="0.25"/>
    <row r="302147" customFormat="1" x14ac:dyDescent="0.25"/>
    <row r="302148" customFormat="1" x14ac:dyDescent="0.25"/>
    <row r="302149" customFormat="1" x14ac:dyDescent="0.25"/>
    <row r="302150" customFormat="1" x14ac:dyDescent="0.25"/>
    <row r="302151" customFormat="1" x14ac:dyDescent="0.25"/>
    <row r="302152" customFormat="1" x14ac:dyDescent="0.25"/>
    <row r="302153" customFormat="1" x14ac:dyDescent="0.25"/>
    <row r="302154" customFormat="1" x14ac:dyDescent="0.25"/>
    <row r="302155" customFormat="1" x14ac:dyDescent="0.25"/>
    <row r="302156" customFormat="1" x14ac:dyDescent="0.25"/>
    <row r="302157" customFormat="1" x14ac:dyDescent="0.25"/>
    <row r="302158" customFormat="1" x14ac:dyDescent="0.25"/>
    <row r="302159" customFormat="1" x14ac:dyDescent="0.25"/>
    <row r="302160" customFormat="1" x14ac:dyDescent="0.25"/>
    <row r="302161" customFormat="1" x14ac:dyDescent="0.25"/>
    <row r="302162" customFormat="1" x14ac:dyDescent="0.25"/>
    <row r="302163" customFormat="1" x14ac:dyDescent="0.25"/>
    <row r="302164" customFormat="1" x14ac:dyDescent="0.25"/>
    <row r="302165" customFormat="1" x14ac:dyDescent="0.25"/>
    <row r="302166" customFormat="1" x14ac:dyDescent="0.25"/>
    <row r="302167" customFormat="1" x14ac:dyDescent="0.25"/>
    <row r="302168" customFormat="1" x14ac:dyDescent="0.25"/>
    <row r="302169" customFormat="1" x14ac:dyDescent="0.25"/>
    <row r="302170" customFormat="1" x14ac:dyDescent="0.25"/>
    <row r="302171" customFormat="1" x14ac:dyDescent="0.25"/>
    <row r="302172" customFormat="1" x14ac:dyDescent="0.25"/>
    <row r="302173" customFormat="1" x14ac:dyDescent="0.25"/>
    <row r="302174" customFormat="1" x14ac:dyDescent="0.25"/>
    <row r="302175" customFormat="1" x14ac:dyDescent="0.25"/>
    <row r="302176" customFormat="1" x14ac:dyDescent="0.25"/>
    <row r="302177" customFormat="1" x14ac:dyDescent="0.25"/>
    <row r="302178" customFormat="1" x14ac:dyDescent="0.25"/>
    <row r="302179" customFormat="1" x14ac:dyDescent="0.25"/>
    <row r="302180" customFormat="1" x14ac:dyDescent="0.25"/>
    <row r="302181" customFormat="1" x14ac:dyDescent="0.25"/>
    <row r="302182" customFormat="1" x14ac:dyDescent="0.25"/>
    <row r="302183" customFormat="1" x14ac:dyDescent="0.25"/>
    <row r="302184" customFormat="1" x14ac:dyDescent="0.25"/>
    <row r="302185" customFormat="1" x14ac:dyDescent="0.25"/>
    <row r="302186" customFormat="1" x14ac:dyDescent="0.25"/>
    <row r="302187" customFormat="1" x14ac:dyDescent="0.25"/>
    <row r="302188" customFormat="1" x14ac:dyDescent="0.25"/>
    <row r="302189" customFormat="1" x14ac:dyDescent="0.25"/>
    <row r="302190" customFormat="1" x14ac:dyDescent="0.25"/>
    <row r="302191" customFormat="1" x14ac:dyDescent="0.25"/>
    <row r="302192" customFormat="1" x14ac:dyDescent="0.25"/>
    <row r="302193" customFormat="1" x14ac:dyDescent="0.25"/>
    <row r="302194" customFormat="1" x14ac:dyDescent="0.25"/>
    <row r="302195" customFormat="1" x14ac:dyDescent="0.25"/>
    <row r="302196" customFormat="1" x14ac:dyDescent="0.25"/>
    <row r="302197" customFormat="1" x14ac:dyDescent="0.25"/>
    <row r="302198" customFormat="1" x14ac:dyDescent="0.25"/>
    <row r="302199" customFormat="1" x14ac:dyDescent="0.25"/>
    <row r="302200" customFormat="1" x14ac:dyDescent="0.25"/>
    <row r="302201" customFormat="1" x14ac:dyDescent="0.25"/>
    <row r="302202" customFormat="1" x14ac:dyDescent="0.25"/>
    <row r="302203" customFormat="1" x14ac:dyDescent="0.25"/>
    <row r="302204" customFormat="1" x14ac:dyDescent="0.25"/>
    <row r="302205" customFormat="1" x14ac:dyDescent="0.25"/>
    <row r="302206" customFormat="1" x14ac:dyDescent="0.25"/>
    <row r="302207" customFormat="1" x14ac:dyDescent="0.25"/>
    <row r="302208" customFormat="1" x14ac:dyDescent="0.25"/>
    <row r="302209" customFormat="1" x14ac:dyDescent="0.25"/>
    <row r="302210" customFormat="1" x14ac:dyDescent="0.25"/>
    <row r="302211" customFormat="1" x14ac:dyDescent="0.25"/>
    <row r="302212" customFormat="1" x14ac:dyDescent="0.25"/>
    <row r="302213" customFormat="1" x14ac:dyDescent="0.25"/>
    <row r="302214" customFormat="1" x14ac:dyDescent="0.25"/>
    <row r="302215" customFormat="1" x14ac:dyDescent="0.25"/>
    <row r="302216" customFormat="1" x14ac:dyDescent="0.25"/>
    <row r="302217" customFormat="1" x14ac:dyDescent="0.25"/>
    <row r="302218" customFormat="1" x14ac:dyDescent="0.25"/>
    <row r="302219" customFormat="1" x14ac:dyDescent="0.25"/>
    <row r="302220" customFormat="1" x14ac:dyDescent="0.25"/>
    <row r="302221" customFormat="1" x14ac:dyDescent="0.25"/>
    <row r="302222" customFormat="1" x14ac:dyDescent="0.25"/>
    <row r="302223" customFormat="1" x14ac:dyDescent="0.25"/>
    <row r="302224" customFormat="1" x14ac:dyDescent="0.25"/>
    <row r="302225" customFormat="1" x14ac:dyDescent="0.25"/>
    <row r="302226" customFormat="1" x14ac:dyDescent="0.25"/>
    <row r="302227" customFormat="1" x14ac:dyDescent="0.25"/>
    <row r="302228" customFormat="1" x14ac:dyDescent="0.25"/>
    <row r="302229" customFormat="1" x14ac:dyDescent="0.25"/>
    <row r="302230" customFormat="1" x14ac:dyDescent="0.25"/>
    <row r="302231" customFormat="1" x14ac:dyDescent="0.25"/>
    <row r="302232" customFormat="1" x14ac:dyDescent="0.25"/>
    <row r="302233" customFormat="1" x14ac:dyDescent="0.25"/>
    <row r="302234" customFormat="1" x14ac:dyDescent="0.25"/>
    <row r="302235" customFormat="1" x14ac:dyDescent="0.25"/>
    <row r="302236" customFormat="1" x14ac:dyDescent="0.25"/>
    <row r="302237" customFormat="1" x14ac:dyDescent="0.25"/>
    <row r="302238" customFormat="1" x14ac:dyDescent="0.25"/>
    <row r="302239" customFormat="1" x14ac:dyDescent="0.25"/>
    <row r="302240" customFormat="1" x14ac:dyDescent="0.25"/>
    <row r="302241" spans="1:6" x14ac:dyDescent="0.25">
      <c r="A302241"/>
      <c r="B302241"/>
      <c r="C302241"/>
      <c r="D302241"/>
      <c r="E302241"/>
      <c r="F302241"/>
    </row>
    <row r="302242" spans="1:6" x14ac:dyDescent="0.25">
      <c r="A302242"/>
      <c r="B302242"/>
      <c r="C302242"/>
      <c r="D302242"/>
      <c r="E302242"/>
      <c r="F302242"/>
    </row>
    <row r="302243" spans="1:6" x14ac:dyDescent="0.25">
      <c r="A302243"/>
      <c r="B302243"/>
      <c r="C302243"/>
      <c r="D302243"/>
      <c r="E302243"/>
      <c r="F302243"/>
    </row>
    <row r="302244" spans="1:6" x14ac:dyDescent="0.25">
      <c r="A302244"/>
      <c r="B302244"/>
      <c r="C302244"/>
      <c r="D302244"/>
      <c r="E302244"/>
      <c r="F302244"/>
    </row>
    <row r="302245" spans="1:6" x14ac:dyDescent="0.25">
      <c r="A302245"/>
      <c r="B302245"/>
      <c r="C302245"/>
      <c r="D302245"/>
      <c r="E302245"/>
      <c r="F302245"/>
    </row>
    <row r="302246" spans="1:6" x14ac:dyDescent="0.25">
      <c r="A302246"/>
      <c r="B302246"/>
      <c r="C302246"/>
      <c r="D302246"/>
      <c r="E302246"/>
      <c r="F302246"/>
    </row>
    <row r="302247" spans="1:6" x14ac:dyDescent="0.25">
      <c r="A302247"/>
      <c r="B302247"/>
      <c r="C302247"/>
      <c r="D302247"/>
      <c r="E302247"/>
      <c r="F302247"/>
    </row>
    <row r="302248" spans="1:6" x14ac:dyDescent="0.25">
      <c r="A302248"/>
      <c r="B302248"/>
      <c r="C302248"/>
      <c r="D302248"/>
      <c r="E302248"/>
      <c r="F302248"/>
    </row>
    <row r="302249" spans="1:6" x14ac:dyDescent="0.25">
      <c r="A302249" s="1"/>
    </row>
    <row r="302250" spans="1:6" x14ac:dyDescent="0.25">
      <c r="A302250" s="1"/>
    </row>
    <row r="302251" spans="1:6" x14ac:dyDescent="0.25">
      <c r="A302251" s="1"/>
    </row>
    <row r="302252" spans="1:6" x14ac:dyDescent="0.25">
      <c r="A302252" s="1"/>
    </row>
    <row r="302253" spans="1:6" x14ac:dyDescent="0.25">
      <c r="A302253" s="1"/>
    </row>
    <row r="302254" spans="1:6" x14ac:dyDescent="0.25">
      <c r="A302254" s="1"/>
    </row>
    <row r="302255" spans="1:6" x14ac:dyDescent="0.25">
      <c r="A302255" s="1"/>
    </row>
    <row r="302256" spans="1:6" x14ac:dyDescent="0.25">
      <c r="A302256" s="1"/>
    </row>
    <row r="302257" spans="1:1" x14ac:dyDescent="0.25">
      <c r="A302257" s="1"/>
    </row>
    <row r="302258" spans="1:1" x14ac:dyDescent="0.25">
      <c r="A302258" s="1"/>
    </row>
    <row r="302259" spans="1:1" x14ac:dyDescent="0.25">
      <c r="A302259" s="1"/>
    </row>
    <row r="302260" spans="1:1" x14ac:dyDescent="0.25">
      <c r="A302260" s="1"/>
    </row>
    <row r="302261" spans="1:1" x14ac:dyDescent="0.25">
      <c r="A302261" s="1"/>
    </row>
    <row r="302262" spans="1:1" x14ac:dyDescent="0.25">
      <c r="A302262" s="1"/>
    </row>
    <row r="302263" spans="1:1" x14ac:dyDescent="0.25">
      <c r="A302263" s="1"/>
    </row>
    <row r="302264" spans="1:1" x14ac:dyDescent="0.25">
      <c r="A302264" s="1"/>
    </row>
    <row r="302265" spans="1:1" x14ac:dyDescent="0.25">
      <c r="A302265" s="1"/>
    </row>
    <row r="302266" spans="1:1" x14ac:dyDescent="0.25">
      <c r="A302266" s="1"/>
    </row>
    <row r="302267" spans="1:1" x14ac:dyDescent="0.25">
      <c r="A302267" s="1"/>
    </row>
    <row r="302268" spans="1:1" x14ac:dyDescent="0.25">
      <c r="A302268" s="1"/>
    </row>
    <row r="302269" spans="1:1" x14ac:dyDescent="0.25">
      <c r="A302269" s="1"/>
    </row>
    <row r="302270" spans="1:1" x14ac:dyDescent="0.25">
      <c r="A302270" s="1"/>
    </row>
    <row r="302271" spans="1:1" x14ac:dyDescent="0.25">
      <c r="A302271" s="1"/>
    </row>
    <row r="302272" spans="1:1" x14ac:dyDescent="0.25">
      <c r="A302272" s="1"/>
    </row>
    <row r="302273" spans="1:1" x14ac:dyDescent="0.25">
      <c r="A302273" s="1"/>
    </row>
    <row r="302274" spans="1:1" x14ac:dyDescent="0.25">
      <c r="A302274" s="1"/>
    </row>
    <row r="302275" spans="1:1" x14ac:dyDescent="0.25">
      <c r="A302275" s="1"/>
    </row>
    <row r="302276" spans="1:1" x14ac:dyDescent="0.25">
      <c r="A302276" s="1"/>
    </row>
    <row r="302277" spans="1:1" x14ac:dyDescent="0.25">
      <c r="A302277" s="1"/>
    </row>
    <row r="302278" spans="1:1" x14ac:dyDescent="0.25">
      <c r="A302278" s="1"/>
    </row>
    <row r="302279" spans="1:1" x14ac:dyDescent="0.25">
      <c r="A302279" s="1"/>
    </row>
    <row r="302280" spans="1:1" x14ac:dyDescent="0.25">
      <c r="A302280" s="1"/>
    </row>
    <row r="302281" spans="1:1" x14ac:dyDescent="0.25">
      <c r="A302281" s="1"/>
    </row>
    <row r="302282" spans="1:1" x14ac:dyDescent="0.25">
      <c r="A302282" s="1"/>
    </row>
    <row r="302283" spans="1:1" x14ac:dyDescent="0.25">
      <c r="A302283" s="1"/>
    </row>
    <row r="302284" spans="1:1" x14ac:dyDescent="0.25">
      <c r="A302284" s="1"/>
    </row>
    <row r="302285" spans="1:1" x14ac:dyDescent="0.25">
      <c r="A302285" s="1"/>
    </row>
    <row r="302286" spans="1:1" x14ac:dyDescent="0.25">
      <c r="A302286" s="1"/>
    </row>
    <row r="302287" spans="1:1" x14ac:dyDescent="0.25">
      <c r="A302287" s="1"/>
    </row>
    <row r="302288" spans="1:1" x14ac:dyDescent="0.25">
      <c r="A302288" s="1"/>
    </row>
    <row r="302289" spans="1:1" x14ac:dyDescent="0.25">
      <c r="A302289" s="1"/>
    </row>
    <row r="302290" spans="1:1" x14ac:dyDescent="0.25">
      <c r="A302290" s="1"/>
    </row>
    <row r="302291" spans="1:1" x14ac:dyDescent="0.25">
      <c r="A302291" s="1"/>
    </row>
    <row r="302292" spans="1:1" x14ac:dyDescent="0.25">
      <c r="A302292" s="1"/>
    </row>
    <row r="302293" spans="1:1" x14ac:dyDescent="0.25">
      <c r="A302293" s="1"/>
    </row>
    <row r="302294" spans="1:1" x14ac:dyDescent="0.25">
      <c r="A302294" s="1"/>
    </row>
    <row r="302295" spans="1:1" x14ac:dyDescent="0.25">
      <c r="A302295" s="1"/>
    </row>
    <row r="302296" spans="1:1" x14ac:dyDescent="0.25">
      <c r="A302296" s="1"/>
    </row>
    <row r="302297" spans="1:1" x14ac:dyDescent="0.25">
      <c r="A302297" s="1"/>
    </row>
    <row r="302298" spans="1:1" x14ac:dyDescent="0.25">
      <c r="A302298" s="1"/>
    </row>
    <row r="302299" spans="1:1" x14ac:dyDescent="0.25">
      <c r="A302299" s="1"/>
    </row>
    <row r="302300" spans="1:1" x14ac:dyDescent="0.25">
      <c r="A302300" s="1"/>
    </row>
    <row r="302301" spans="1:1" x14ac:dyDescent="0.25">
      <c r="A302301" s="1"/>
    </row>
    <row r="302302" spans="1:1" x14ac:dyDescent="0.25">
      <c r="A302302" s="1"/>
    </row>
    <row r="302303" spans="1:1" x14ac:dyDescent="0.25">
      <c r="A302303" s="1"/>
    </row>
    <row r="302304" spans="1:1" x14ac:dyDescent="0.25">
      <c r="A302304" s="1"/>
    </row>
    <row r="302305" spans="1:1" x14ac:dyDescent="0.25">
      <c r="A302305" s="1"/>
    </row>
    <row r="302306" spans="1:1" x14ac:dyDescent="0.25">
      <c r="A302306" s="1"/>
    </row>
    <row r="302307" spans="1:1" x14ac:dyDescent="0.25">
      <c r="A302307" s="1"/>
    </row>
    <row r="302308" spans="1:1" x14ac:dyDescent="0.25">
      <c r="A302308" s="1"/>
    </row>
    <row r="302309" spans="1:1" x14ac:dyDescent="0.25">
      <c r="A302309" s="1"/>
    </row>
    <row r="302310" spans="1:1" x14ac:dyDescent="0.25">
      <c r="A302310" s="1"/>
    </row>
    <row r="302311" spans="1:1" x14ac:dyDescent="0.25">
      <c r="A302311" s="1"/>
    </row>
    <row r="302312" spans="1:1" x14ac:dyDescent="0.25">
      <c r="A302312" s="1"/>
    </row>
    <row r="302313" spans="1:1" x14ac:dyDescent="0.25">
      <c r="A302313" s="1"/>
    </row>
    <row r="302314" spans="1:1" x14ac:dyDescent="0.25">
      <c r="A302314" s="1"/>
    </row>
    <row r="302315" spans="1:1" x14ac:dyDescent="0.25">
      <c r="A302315" s="1"/>
    </row>
    <row r="302316" spans="1:1" x14ac:dyDescent="0.25">
      <c r="A302316" s="1"/>
    </row>
    <row r="302317" spans="1:1" x14ac:dyDescent="0.25">
      <c r="A302317" s="1"/>
    </row>
    <row r="302318" spans="1:1" x14ac:dyDescent="0.25">
      <c r="A302318" s="1"/>
    </row>
    <row r="302319" spans="1:1" x14ac:dyDescent="0.25">
      <c r="A302319" s="1"/>
    </row>
    <row r="302320" spans="1:1" x14ac:dyDescent="0.25">
      <c r="A302320" s="1"/>
    </row>
    <row r="302321" spans="1:1" x14ac:dyDescent="0.25">
      <c r="A302321" s="1"/>
    </row>
    <row r="302322" spans="1:1" x14ac:dyDescent="0.25">
      <c r="A302322" s="1"/>
    </row>
    <row r="302323" spans="1:1" x14ac:dyDescent="0.25">
      <c r="A302323" s="1"/>
    </row>
    <row r="302324" spans="1:1" x14ac:dyDescent="0.25">
      <c r="A302324" s="1"/>
    </row>
    <row r="302325" spans="1:1" x14ac:dyDescent="0.25">
      <c r="A302325" s="1"/>
    </row>
    <row r="302326" spans="1:1" x14ac:dyDescent="0.25">
      <c r="A302326" s="1"/>
    </row>
    <row r="302327" spans="1:1" x14ac:dyDescent="0.25">
      <c r="A302327" s="1"/>
    </row>
    <row r="302328" spans="1:1" x14ac:dyDescent="0.25">
      <c r="A302328" s="1"/>
    </row>
    <row r="302329" spans="1:1" x14ac:dyDescent="0.25">
      <c r="A302329" s="1"/>
    </row>
    <row r="302330" spans="1:1" x14ac:dyDescent="0.25">
      <c r="A302330" s="1"/>
    </row>
    <row r="302331" spans="1:1" x14ac:dyDescent="0.25">
      <c r="A302331" s="1"/>
    </row>
    <row r="302332" spans="1:1" x14ac:dyDescent="0.25">
      <c r="A302332" s="1"/>
    </row>
    <row r="302333" spans="1:1" x14ac:dyDescent="0.25">
      <c r="A302333" s="1"/>
    </row>
    <row r="302334" spans="1:1" x14ac:dyDescent="0.25">
      <c r="A302334" s="1"/>
    </row>
    <row r="302335" spans="1:1" x14ac:dyDescent="0.25">
      <c r="A302335" s="1"/>
    </row>
    <row r="302336" spans="1:1" x14ac:dyDescent="0.25">
      <c r="A302336" s="1"/>
    </row>
    <row r="302337" spans="1:1" x14ac:dyDescent="0.25">
      <c r="A302337" s="1"/>
    </row>
    <row r="302338" spans="1:1" x14ac:dyDescent="0.25">
      <c r="A302338" s="1"/>
    </row>
    <row r="302339" spans="1:1" x14ac:dyDescent="0.25">
      <c r="A302339" s="1"/>
    </row>
    <row r="302340" spans="1:1" x14ac:dyDescent="0.25">
      <c r="A302340" s="1"/>
    </row>
    <row r="302341" spans="1:1" x14ac:dyDescent="0.25">
      <c r="A302341" s="1"/>
    </row>
    <row r="302342" spans="1:1" x14ac:dyDescent="0.25">
      <c r="A302342" s="1"/>
    </row>
    <row r="302343" spans="1:1" x14ac:dyDescent="0.25">
      <c r="A302343" s="1"/>
    </row>
    <row r="302344" spans="1:1" x14ac:dyDescent="0.25">
      <c r="A302344" s="1"/>
    </row>
    <row r="302345" spans="1:1" x14ac:dyDescent="0.25">
      <c r="A302345" s="1"/>
    </row>
    <row r="302346" spans="1:1" x14ac:dyDescent="0.25">
      <c r="A302346" s="1"/>
    </row>
    <row r="302347" spans="1:1" x14ac:dyDescent="0.25">
      <c r="A302347" s="1"/>
    </row>
    <row r="302348" spans="1:1" x14ac:dyDescent="0.25">
      <c r="A302348" s="1"/>
    </row>
    <row r="302349" spans="1:1" x14ac:dyDescent="0.25">
      <c r="A302349" s="1"/>
    </row>
    <row r="302350" spans="1:1" x14ac:dyDescent="0.25">
      <c r="A302350" s="1"/>
    </row>
    <row r="302351" spans="1:1" x14ac:dyDescent="0.25">
      <c r="A302351" s="1"/>
    </row>
    <row r="302352" spans="1:1" x14ac:dyDescent="0.25">
      <c r="A302352" s="1"/>
    </row>
    <row r="302353" spans="1:1" x14ac:dyDescent="0.25">
      <c r="A302353" s="1"/>
    </row>
    <row r="302354" spans="1:1" x14ac:dyDescent="0.25">
      <c r="A302354" s="1"/>
    </row>
    <row r="302355" spans="1:1" x14ac:dyDescent="0.25">
      <c r="A302355" s="1"/>
    </row>
    <row r="302356" spans="1:1" x14ac:dyDescent="0.25">
      <c r="A302356" s="1"/>
    </row>
    <row r="302357" spans="1:1" x14ac:dyDescent="0.25">
      <c r="A302357" s="1"/>
    </row>
    <row r="302358" spans="1:1" x14ac:dyDescent="0.25">
      <c r="A302358" s="1"/>
    </row>
    <row r="302359" spans="1:1" x14ac:dyDescent="0.25">
      <c r="A302359" s="1"/>
    </row>
    <row r="302360" spans="1:1" x14ac:dyDescent="0.25">
      <c r="A302360" s="1"/>
    </row>
    <row r="302361" spans="1:1" x14ac:dyDescent="0.25">
      <c r="A302361" s="1"/>
    </row>
    <row r="302362" spans="1:1" x14ac:dyDescent="0.25">
      <c r="A302362" s="1"/>
    </row>
    <row r="302363" spans="1:1" x14ac:dyDescent="0.25">
      <c r="A302363" s="1"/>
    </row>
    <row r="302364" spans="1:1" x14ac:dyDescent="0.25">
      <c r="A302364" s="1"/>
    </row>
    <row r="302365" spans="1:1" x14ac:dyDescent="0.25">
      <c r="A302365" s="1"/>
    </row>
    <row r="302366" spans="1:1" x14ac:dyDescent="0.25">
      <c r="A302366" s="1"/>
    </row>
    <row r="302367" spans="1:1" x14ac:dyDescent="0.25">
      <c r="A302367" s="1"/>
    </row>
    <row r="302368" spans="1:1" x14ac:dyDescent="0.25">
      <c r="A302368" s="1"/>
    </row>
    <row r="302369" spans="1:1" x14ac:dyDescent="0.25">
      <c r="A302369" s="1"/>
    </row>
    <row r="302370" spans="1:1" x14ac:dyDescent="0.25">
      <c r="A302370" s="1"/>
    </row>
    <row r="302371" spans="1:1" x14ac:dyDescent="0.25">
      <c r="A302371" s="1"/>
    </row>
    <row r="302372" spans="1:1" x14ac:dyDescent="0.25">
      <c r="A302372" s="1"/>
    </row>
    <row r="302373" spans="1:1" x14ac:dyDescent="0.25">
      <c r="A302373" s="1"/>
    </row>
    <row r="302374" spans="1:1" x14ac:dyDescent="0.25">
      <c r="A302374" s="1"/>
    </row>
    <row r="302375" spans="1:1" x14ac:dyDescent="0.25">
      <c r="A302375" s="1"/>
    </row>
    <row r="302376" spans="1:1" x14ac:dyDescent="0.25">
      <c r="A302376" s="1"/>
    </row>
    <row r="302377" spans="1:1" x14ac:dyDescent="0.25">
      <c r="A302377" s="1"/>
    </row>
    <row r="302378" spans="1:1" x14ac:dyDescent="0.25">
      <c r="A302378" s="1"/>
    </row>
    <row r="302379" spans="1:1" x14ac:dyDescent="0.25">
      <c r="A302379" s="1"/>
    </row>
    <row r="302380" spans="1:1" x14ac:dyDescent="0.25">
      <c r="A302380" s="1"/>
    </row>
    <row r="302381" spans="1:1" x14ac:dyDescent="0.25">
      <c r="A302381" s="1"/>
    </row>
    <row r="302382" spans="1:1" x14ac:dyDescent="0.25">
      <c r="A302382" s="1"/>
    </row>
    <row r="302383" spans="1:1" x14ac:dyDescent="0.25">
      <c r="A302383" s="1"/>
    </row>
    <row r="302384" spans="1:1" x14ac:dyDescent="0.25">
      <c r="A302384" s="1"/>
    </row>
    <row r="302385" spans="1:1" x14ac:dyDescent="0.25">
      <c r="A302385" s="1"/>
    </row>
    <row r="302386" spans="1:1" x14ac:dyDescent="0.25">
      <c r="A302386" s="1"/>
    </row>
    <row r="302387" spans="1:1" x14ac:dyDescent="0.25">
      <c r="A302387" s="1"/>
    </row>
    <row r="302388" spans="1:1" x14ac:dyDescent="0.25">
      <c r="A302388" s="1"/>
    </row>
    <row r="302389" spans="1:1" x14ac:dyDescent="0.25">
      <c r="A302389" s="1"/>
    </row>
    <row r="302390" spans="1:1" x14ac:dyDescent="0.25">
      <c r="A302390" s="1"/>
    </row>
    <row r="302391" spans="1:1" x14ac:dyDescent="0.25">
      <c r="A302391" s="1"/>
    </row>
    <row r="302392" spans="1:1" x14ac:dyDescent="0.25">
      <c r="A302392" s="1"/>
    </row>
    <row r="302393" spans="1:1" x14ac:dyDescent="0.25">
      <c r="A302393" s="1"/>
    </row>
    <row r="302394" spans="1:1" x14ac:dyDescent="0.25">
      <c r="A302394" s="1"/>
    </row>
    <row r="302395" spans="1:1" x14ac:dyDescent="0.25">
      <c r="A302395" s="1"/>
    </row>
    <row r="302396" spans="1:1" x14ac:dyDescent="0.25">
      <c r="A302396" s="1"/>
    </row>
    <row r="302397" spans="1:1" x14ac:dyDescent="0.25">
      <c r="A302397" s="1"/>
    </row>
    <row r="302398" spans="1:1" x14ac:dyDescent="0.25">
      <c r="A302398" s="1"/>
    </row>
    <row r="302399" spans="1:1" x14ac:dyDescent="0.25">
      <c r="A302399" s="1"/>
    </row>
    <row r="302400" spans="1:1" x14ac:dyDescent="0.25">
      <c r="A302400" s="1"/>
    </row>
    <row r="302401" spans="1:1" x14ac:dyDescent="0.25">
      <c r="A302401" s="1"/>
    </row>
    <row r="302402" spans="1:1" x14ac:dyDescent="0.25">
      <c r="A302402" s="1"/>
    </row>
    <row r="302403" spans="1:1" x14ac:dyDescent="0.25">
      <c r="A302403" s="1"/>
    </row>
    <row r="302404" spans="1:1" x14ac:dyDescent="0.25">
      <c r="A302404" s="1"/>
    </row>
    <row r="302405" spans="1:1" x14ac:dyDescent="0.25">
      <c r="A302405" s="1"/>
    </row>
    <row r="302406" spans="1:1" x14ac:dyDescent="0.25">
      <c r="A302406" s="1"/>
    </row>
    <row r="302407" spans="1:1" x14ac:dyDescent="0.25">
      <c r="A302407" s="1"/>
    </row>
    <row r="302408" spans="1:1" x14ac:dyDescent="0.25">
      <c r="A302408" s="1"/>
    </row>
    <row r="302409" spans="1:1" x14ac:dyDescent="0.25">
      <c r="A302409" s="1"/>
    </row>
    <row r="302410" spans="1:1" x14ac:dyDescent="0.25">
      <c r="A302410" s="1"/>
    </row>
    <row r="302411" spans="1:1" x14ac:dyDescent="0.25">
      <c r="A302411" s="1"/>
    </row>
    <row r="302412" spans="1:1" x14ac:dyDescent="0.25">
      <c r="A302412" s="1"/>
    </row>
    <row r="302413" spans="1:1" x14ac:dyDescent="0.25">
      <c r="A302413" s="1"/>
    </row>
    <row r="302414" spans="1:1" x14ac:dyDescent="0.25">
      <c r="A302414" s="1"/>
    </row>
    <row r="302415" spans="1:1" x14ac:dyDescent="0.25">
      <c r="A302415" s="1"/>
    </row>
    <row r="302416" spans="1:1" x14ac:dyDescent="0.25">
      <c r="A302416" s="1"/>
    </row>
    <row r="302417" spans="1:1" x14ac:dyDescent="0.25">
      <c r="A302417" s="1"/>
    </row>
    <row r="302418" spans="1:1" x14ac:dyDescent="0.25">
      <c r="A302418" s="1"/>
    </row>
    <row r="302419" spans="1:1" x14ac:dyDescent="0.25">
      <c r="A302419" s="1"/>
    </row>
    <row r="302420" spans="1:1" x14ac:dyDescent="0.25">
      <c r="A302420" s="1"/>
    </row>
    <row r="302421" spans="1:1" x14ac:dyDescent="0.25">
      <c r="A302421" s="1"/>
    </row>
    <row r="302422" spans="1:1" x14ac:dyDescent="0.25">
      <c r="A302422" s="1"/>
    </row>
    <row r="302423" spans="1:1" x14ac:dyDescent="0.25">
      <c r="A302423" s="1"/>
    </row>
    <row r="302424" spans="1:1" x14ac:dyDescent="0.25">
      <c r="A302424" s="1"/>
    </row>
    <row r="302425" spans="1:1" x14ac:dyDescent="0.25">
      <c r="A302425" s="1"/>
    </row>
    <row r="302426" spans="1:1" x14ac:dyDescent="0.25">
      <c r="A302426" s="1"/>
    </row>
    <row r="302427" spans="1:1" x14ac:dyDescent="0.25">
      <c r="A302427" s="1"/>
    </row>
    <row r="302428" spans="1:1" x14ac:dyDescent="0.25">
      <c r="A302428" s="1"/>
    </row>
    <row r="302429" spans="1:1" x14ac:dyDescent="0.25">
      <c r="A302429" s="1"/>
    </row>
    <row r="302430" spans="1:1" x14ac:dyDescent="0.25">
      <c r="A302430" s="1"/>
    </row>
    <row r="302431" spans="1:1" x14ac:dyDescent="0.25">
      <c r="A302431" s="1"/>
    </row>
    <row r="302432" spans="1:1" x14ac:dyDescent="0.25">
      <c r="A302432" s="1"/>
    </row>
    <row r="302433" spans="1:1" x14ac:dyDescent="0.25">
      <c r="A302433" s="1"/>
    </row>
    <row r="302434" spans="1:1" x14ac:dyDescent="0.25">
      <c r="A302434" s="1"/>
    </row>
    <row r="302435" spans="1:1" x14ac:dyDescent="0.25">
      <c r="A302435" s="1"/>
    </row>
    <row r="302436" spans="1:1" x14ac:dyDescent="0.25">
      <c r="A302436" s="1"/>
    </row>
    <row r="302437" spans="1:1" x14ac:dyDescent="0.25">
      <c r="A302437" s="1"/>
    </row>
    <row r="302438" spans="1:1" x14ac:dyDescent="0.25">
      <c r="A302438" s="1"/>
    </row>
    <row r="302439" spans="1:1" x14ac:dyDescent="0.25">
      <c r="A302439" s="1"/>
    </row>
    <row r="302440" spans="1:1" x14ac:dyDescent="0.25">
      <c r="A302440" s="1"/>
    </row>
    <row r="302441" spans="1:1" x14ac:dyDescent="0.25">
      <c r="A302441" s="1"/>
    </row>
    <row r="302442" spans="1:1" x14ac:dyDescent="0.25">
      <c r="A302442" s="1"/>
    </row>
    <row r="302443" spans="1:1" x14ac:dyDescent="0.25">
      <c r="A302443" s="1"/>
    </row>
    <row r="302444" spans="1:1" x14ac:dyDescent="0.25">
      <c r="A302444" s="1"/>
    </row>
    <row r="302445" spans="1:1" x14ac:dyDescent="0.25">
      <c r="A302445" s="1"/>
    </row>
    <row r="302446" spans="1:1" x14ac:dyDescent="0.25">
      <c r="A302446" s="1"/>
    </row>
    <row r="302447" spans="1:1" x14ac:dyDescent="0.25">
      <c r="A302447" s="1"/>
    </row>
    <row r="302448" spans="1:1" x14ac:dyDescent="0.25">
      <c r="A302448" s="1"/>
    </row>
    <row r="302449" spans="1:1" x14ac:dyDescent="0.25">
      <c r="A302449" s="1"/>
    </row>
    <row r="302450" spans="1:1" x14ac:dyDescent="0.25">
      <c r="A302450" s="1"/>
    </row>
    <row r="302451" spans="1:1" x14ac:dyDescent="0.25">
      <c r="A302451" s="1"/>
    </row>
    <row r="302452" spans="1:1" x14ac:dyDescent="0.25">
      <c r="A302452" s="1"/>
    </row>
    <row r="302453" spans="1:1" x14ac:dyDescent="0.25">
      <c r="A302453" s="1"/>
    </row>
    <row r="302454" spans="1:1" x14ac:dyDescent="0.25">
      <c r="A302454" s="1"/>
    </row>
    <row r="302455" spans="1:1" x14ac:dyDescent="0.25">
      <c r="A302455" s="1"/>
    </row>
    <row r="302456" spans="1:1" x14ac:dyDescent="0.25">
      <c r="A302456" s="1"/>
    </row>
    <row r="302457" spans="1:1" x14ac:dyDescent="0.25">
      <c r="A302457" s="1"/>
    </row>
    <row r="302458" spans="1:1" x14ac:dyDescent="0.25">
      <c r="A302458" s="1"/>
    </row>
    <row r="302459" spans="1:1" x14ac:dyDescent="0.25">
      <c r="A302459" s="1"/>
    </row>
    <row r="302460" spans="1:1" x14ac:dyDescent="0.25">
      <c r="A302460" s="1"/>
    </row>
    <row r="302461" spans="1:1" x14ac:dyDescent="0.25">
      <c r="A302461" s="1"/>
    </row>
    <row r="302462" spans="1:1" x14ac:dyDescent="0.25">
      <c r="A302462" s="1"/>
    </row>
    <row r="302463" spans="1:1" x14ac:dyDescent="0.25">
      <c r="A302463" s="1"/>
    </row>
    <row r="302464" spans="1:1" x14ac:dyDescent="0.25">
      <c r="A302464" s="1"/>
    </row>
    <row r="302465" spans="1:1" x14ac:dyDescent="0.25">
      <c r="A302465" s="1"/>
    </row>
    <row r="302466" spans="1:1" x14ac:dyDescent="0.25">
      <c r="A302466" s="1"/>
    </row>
    <row r="302467" spans="1:1" x14ac:dyDescent="0.25">
      <c r="A302467" s="1"/>
    </row>
    <row r="302468" spans="1:1" x14ac:dyDescent="0.25">
      <c r="A302468" s="1"/>
    </row>
    <row r="302469" spans="1:1" x14ac:dyDescent="0.25">
      <c r="A302469" s="1"/>
    </row>
    <row r="302470" spans="1:1" x14ac:dyDescent="0.25">
      <c r="A302470" s="1"/>
    </row>
    <row r="302471" spans="1:1" x14ac:dyDescent="0.25">
      <c r="A302471" s="1"/>
    </row>
    <row r="302472" spans="1:1" x14ac:dyDescent="0.25">
      <c r="A302472" s="1"/>
    </row>
    <row r="302473" spans="1:1" x14ac:dyDescent="0.25">
      <c r="A302473" s="1"/>
    </row>
    <row r="302474" spans="1:1" x14ac:dyDescent="0.25">
      <c r="A302474" s="1"/>
    </row>
    <row r="302475" spans="1:1" x14ac:dyDescent="0.25">
      <c r="A302475" s="1"/>
    </row>
    <row r="302476" spans="1:1" x14ac:dyDescent="0.25">
      <c r="A302476" s="1"/>
    </row>
    <row r="302477" spans="1:1" x14ac:dyDescent="0.25">
      <c r="A302477" s="1"/>
    </row>
    <row r="302478" spans="1:1" x14ac:dyDescent="0.25">
      <c r="A302478" s="1"/>
    </row>
    <row r="302479" spans="1:1" x14ac:dyDescent="0.25">
      <c r="A302479" s="1"/>
    </row>
    <row r="302480" spans="1:1" x14ac:dyDescent="0.25">
      <c r="A302480" s="1"/>
    </row>
    <row r="302481" spans="1:1" x14ac:dyDescent="0.25">
      <c r="A302481" s="1"/>
    </row>
    <row r="302482" spans="1:1" x14ac:dyDescent="0.25">
      <c r="A302482" s="1"/>
    </row>
    <row r="302483" spans="1:1" x14ac:dyDescent="0.25">
      <c r="A302483" s="1"/>
    </row>
    <row r="302484" spans="1:1" x14ac:dyDescent="0.25">
      <c r="A302484" s="1"/>
    </row>
    <row r="302485" spans="1:1" x14ac:dyDescent="0.25">
      <c r="A302485" s="1"/>
    </row>
    <row r="302486" spans="1:1" x14ac:dyDescent="0.25">
      <c r="A302486" s="1"/>
    </row>
    <row r="302487" spans="1:1" x14ac:dyDescent="0.25">
      <c r="A302487" s="1"/>
    </row>
    <row r="302488" spans="1:1" x14ac:dyDescent="0.25">
      <c r="A302488" s="1"/>
    </row>
    <row r="302489" spans="1:1" x14ac:dyDescent="0.25">
      <c r="A302489" s="1"/>
    </row>
    <row r="302490" spans="1:1" x14ac:dyDescent="0.25">
      <c r="A302490" s="1"/>
    </row>
    <row r="302491" spans="1:1" x14ac:dyDescent="0.25">
      <c r="A302491" s="1"/>
    </row>
    <row r="302492" spans="1:1" x14ac:dyDescent="0.25">
      <c r="A302492" s="1"/>
    </row>
    <row r="302493" spans="1:1" x14ac:dyDescent="0.25">
      <c r="A302493" s="1"/>
    </row>
    <row r="302494" spans="1:1" x14ac:dyDescent="0.25">
      <c r="A302494" s="1"/>
    </row>
    <row r="302495" spans="1:1" x14ac:dyDescent="0.25">
      <c r="A302495" s="1"/>
    </row>
    <row r="302496" spans="1:1" x14ac:dyDescent="0.25">
      <c r="A302496" s="1"/>
    </row>
    <row r="302497" spans="1:1" x14ac:dyDescent="0.25">
      <c r="A302497" s="1"/>
    </row>
    <row r="302498" spans="1:1" x14ac:dyDescent="0.25">
      <c r="A302498" s="1"/>
    </row>
    <row r="302499" spans="1:1" x14ac:dyDescent="0.25">
      <c r="A302499" s="1"/>
    </row>
    <row r="302500" spans="1:1" x14ac:dyDescent="0.25">
      <c r="A302500" s="1"/>
    </row>
    <row r="302501" spans="1:1" x14ac:dyDescent="0.25">
      <c r="A302501" s="1"/>
    </row>
    <row r="302502" spans="1:1" x14ac:dyDescent="0.25">
      <c r="A302502" s="1"/>
    </row>
    <row r="302503" spans="1:1" x14ac:dyDescent="0.25">
      <c r="A302503" s="1"/>
    </row>
    <row r="302504" spans="1:1" x14ac:dyDescent="0.25">
      <c r="A302504" s="1"/>
    </row>
    <row r="302505" spans="1:1" x14ac:dyDescent="0.25">
      <c r="A302505" s="1"/>
    </row>
    <row r="302506" spans="1:1" x14ac:dyDescent="0.25">
      <c r="A302506" s="1"/>
    </row>
    <row r="302507" spans="1:1" x14ac:dyDescent="0.25">
      <c r="A302507" s="1"/>
    </row>
    <row r="302508" spans="1:1" x14ac:dyDescent="0.25">
      <c r="A302508" s="1"/>
    </row>
    <row r="302509" spans="1:1" x14ac:dyDescent="0.25">
      <c r="A302509" s="1"/>
    </row>
    <row r="302510" spans="1:1" x14ac:dyDescent="0.25">
      <c r="A302510" s="1"/>
    </row>
    <row r="302511" spans="1:1" x14ac:dyDescent="0.25">
      <c r="A302511" s="1"/>
    </row>
    <row r="302512" spans="1:1" x14ac:dyDescent="0.25">
      <c r="A302512" s="1"/>
    </row>
    <row r="302513" spans="1:1" x14ac:dyDescent="0.25">
      <c r="A302513" s="1"/>
    </row>
    <row r="302514" spans="1:1" x14ac:dyDescent="0.25">
      <c r="A302514" s="1"/>
    </row>
    <row r="302515" spans="1:1" x14ac:dyDescent="0.25">
      <c r="A302515" s="1"/>
    </row>
    <row r="302516" spans="1:1" x14ac:dyDescent="0.25">
      <c r="A302516" s="1"/>
    </row>
    <row r="302517" spans="1:1" x14ac:dyDescent="0.25">
      <c r="A302517" s="1"/>
    </row>
    <row r="302518" spans="1:1" x14ac:dyDescent="0.25">
      <c r="A302518" s="1"/>
    </row>
    <row r="302519" spans="1:1" x14ac:dyDescent="0.25">
      <c r="A302519" s="1"/>
    </row>
    <row r="302520" spans="1:1" x14ac:dyDescent="0.25">
      <c r="A302520" s="1"/>
    </row>
    <row r="302521" spans="1:1" x14ac:dyDescent="0.25">
      <c r="A302521" s="1"/>
    </row>
    <row r="302522" spans="1:1" x14ac:dyDescent="0.25">
      <c r="A302522" s="1"/>
    </row>
    <row r="302523" spans="1:1" x14ac:dyDescent="0.25">
      <c r="A302523" s="1"/>
    </row>
    <row r="302524" spans="1:1" x14ac:dyDescent="0.25">
      <c r="A302524" s="1"/>
    </row>
    <row r="302525" spans="1:1" x14ac:dyDescent="0.25">
      <c r="A302525" s="1"/>
    </row>
    <row r="302526" spans="1:1" x14ac:dyDescent="0.25">
      <c r="A302526" s="1"/>
    </row>
    <row r="302527" spans="1:1" x14ac:dyDescent="0.25">
      <c r="A302527" s="1"/>
    </row>
    <row r="302528" spans="1:1" x14ac:dyDescent="0.25">
      <c r="A302528" s="1"/>
    </row>
    <row r="302529" spans="1:1" x14ac:dyDescent="0.25">
      <c r="A302529" s="1"/>
    </row>
    <row r="302530" spans="1:1" x14ac:dyDescent="0.25">
      <c r="A302530" s="1"/>
    </row>
    <row r="302531" spans="1:1" x14ac:dyDescent="0.25">
      <c r="A302531" s="1"/>
    </row>
    <row r="302532" spans="1:1" x14ac:dyDescent="0.25">
      <c r="A302532" s="1"/>
    </row>
    <row r="302533" spans="1:1" x14ac:dyDescent="0.25">
      <c r="A302533" s="1"/>
    </row>
    <row r="302534" spans="1:1" x14ac:dyDescent="0.25">
      <c r="A302534" s="1"/>
    </row>
    <row r="302535" spans="1:1" x14ac:dyDescent="0.25">
      <c r="A302535" s="1"/>
    </row>
    <row r="302536" spans="1:1" x14ac:dyDescent="0.25">
      <c r="A302536" s="1"/>
    </row>
    <row r="302537" spans="1:1" x14ac:dyDescent="0.25">
      <c r="A302537" s="1"/>
    </row>
    <row r="302538" spans="1:1" x14ac:dyDescent="0.25">
      <c r="A302538" s="1"/>
    </row>
    <row r="302539" spans="1:1" x14ac:dyDescent="0.25">
      <c r="A302539" s="1"/>
    </row>
    <row r="302540" spans="1:1" x14ac:dyDescent="0.25">
      <c r="A302540" s="1"/>
    </row>
    <row r="302541" spans="1:1" x14ac:dyDescent="0.25">
      <c r="A302541" s="1"/>
    </row>
    <row r="302542" spans="1:1" x14ac:dyDescent="0.25">
      <c r="A302542" s="1"/>
    </row>
    <row r="302543" spans="1:1" x14ac:dyDescent="0.25">
      <c r="A302543" s="1"/>
    </row>
    <row r="302544" spans="1:1" x14ac:dyDescent="0.25">
      <c r="A302544" s="1"/>
    </row>
    <row r="302545" spans="1:1" x14ac:dyDescent="0.25">
      <c r="A302545" s="1"/>
    </row>
    <row r="302546" spans="1:1" x14ac:dyDescent="0.25">
      <c r="A302546" s="1"/>
    </row>
    <row r="302547" spans="1:1" x14ac:dyDescent="0.25">
      <c r="A302547" s="1"/>
    </row>
    <row r="302548" spans="1:1" x14ac:dyDescent="0.25">
      <c r="A302548" s="1"/>
    </row>
    <row r="302549" spans="1:1" x14ac:dyDescent="0.25">
      <c r="A302549" s="1"/>
    </row>
    <row r="302550" spans="1:1" x14ac:dyDescent="0.25">
      <c r="A302550" s="1"/>
    </row>
    <row r="302551" spans="1:1" x14ac:dyDescent="0.25">
      <c r="A302551" s="1"/>
    </row>
    <row r="302552" spans="1:1" x14ac:dyDescent="0.25">
      <c r="A302552" s="1"/>
    </row>
    <row r="302553" spans="1:1" x14ac:dyDescent="0.25">
      <c r="A302553" s="1"/>
    </row>
    <row r="302554" spans="1:1" x14ac:dyDescent="0.25">
      <c r="A302554" s="1"/>
    </row>
    <row r="302555" spans="1:1" x14ac:dyDescent="0.25">
      <c r="A302555" s="1"/>
    </row>
    <row r="302556" spans="1:1" x14ac:dyDescent="0.25">
      <c r="A302556" s="1"/>
    </row>
    <row r="302557" spans="1:1" x14ac:dyDescent="0.25">
      <c r="A302557" s="1"/>
    </row>
    <row r="302558" spans="1:1" x14ac:dyDescent="0.25">
      <c r="A302558" s="1"/>
    </row>
    <row r="302559" spans="1:1" x14ac:dyDescent="0.25">
      <c r="A302559" s="1"/>
    </row>
    <row r="302560" spans="1:1" x14ac:dyDescent="0.25">
      <c r="A302560" s="1"/>
    </row>
    <row r="302561" spans="1:1" x14ac:dyDescent="0.25">
      <c r="A302561" s="1"/>
    </row>
    <row r="302562" spans="1:1" x14ac:dyDescent="0.25">
      <c r="A302562" s="1"/>
    </row>
    <row r="302563" spans="1:1" x14ac:dyDescent="0.25">
      <c r="A302563" s="1"/>
    </row>
    <row r="302564" spans="1:1" x14ac:dyDescent="0.25">
      <c r="A302564" s="1"/>
    </row>
    <row r="302565" spans="1:1" x14ac:dyDescent="0.25">
      <c r="A302565" s="1"/>
    </row>
    <row r="302566" spans="1:1" x14ac:dyDescent="0.25">
      <c r="A302566" s="1"/>
    </row>
    <row r="302567" spans="1:1" x14ac:dyDescent="0.25">
      <c r="A302567" s="1"/>
    </row>
    <row r="302568" spans="1:1" x14ac:dyDescent="0.25">
      <c r="A302568" s="1"/>
    </row>
    <row r="302569" spans="1:1" x14ac:dyDescent="0.25">
      <c r="A302569" s="1"/>
    </row>
    <row r="302570" spans="1:1" x14ac:dyDescent="0.25">
      <c r="A302570" s="1"/>
    </row>
    <row r="302571" spans="1:1" x14ac:dyDescent="0.25">
      <c r="A302571" s="1"/>
    </row>
    <row r="302572" spans="1:1" x14ac:dyDescent="0.25">
      <c r="A302572" s="1"/>
    </row>
    <row r="302573" spans="1:1" x14ac:dyDescent="0.25">
      <c r="A302573" s="1"/>
    </row>
    <row r="302574" spans="1:1" x14ac:dyDescent="0.25">
      <c r="A302574" s="1"/>
    </row>
    <row r="302575" spans="1:1" x14ac:dyDescent="0.25">
      <c r="A302575" s="1"/>
    </row>
    <row r="302576" spans="1:1" x14ac:dyDescent="0.25">
      <c r="A302576" s="1"/>
    </row>
    <row r="302577" spans="1:1" x14ac:dyDescent="0.25">
      <c r="A302577" s="1"/>
    </row>
    <row r="302578" spans="1:1" x14ac:dyDescent="0.25">
      <c r="A302578" s="1"/>
    </row>
    <row r="302579" spans="1:1" x14ac:dyDescent="0.25">
      <c r="A302579" s="1"/>
    </row>
    <row r="302580" spans="1:1" x14ac:dyDescent="0.25">
      <c r="A302580" s="1"/>
    </row>
    <row r="302581" spans="1:1" x14ac:dyDescent="0.25">
      <c r="A302581" s="1"/>
    </row>
    <row r="302582" spans="1:1" x14ac:dyDescent="0.25">
      <c r="A302582" s="1"/>
    </row>
    <row r="302583" spans="1:1" x14ac:dyDescent="0.25">
      <c r="A302583" s="1"/>
    </row>
    <row r="302584" spans="1:1" x14ac:dyDescent="0.25">
      <c r="A302584" s="1"/>
    </row>
    <row r="302585" spans="1:1" x14ac:dyDescent="0.25">
      <c r="A302585" s="1"/>
    </row>
    <row r="302586" spans="1:1" x14ac:dyDescent="0.25">
      <c r="A302586" s="1"/>
    </row>
    <row r="302587" spans="1:1" x14ac:dyDescent="0.25">
      <c r="A302587" s="1"/>
    </row>
    <row r="302588" spans="1:1" x14ac:dyDescent="0.25">
      <c r="A302588" s="1"/>
    </row>
    <row r="302589" spans="1:1" x14ac:dyDescent="0.25">
      <c r="A302589" s="1"/>
    </row>
    <row r="302590" spans="1:1" x14ac:dyDescent="0.25">
      <c r="A302590" s="1"/>
    </row>
    <row r="302591" spans="1:1" x14ac:dyDescent="0.25">
      <c r="A302591" s="1"/>
    </row>
    <row r="302592" spans="1:1" x14ac:dyDescent="0.25">
      <c r="A302592" s="1"/>
    </row>
    <row r="302593" spans="1:1" x14ac:dyDescent="0.25">
      <c r="A302593" s="1"/>
    </row>
    <row r="302594" spans="1:1" x14ac:dyDescent="0.25">
      <c r="A302594" s="1"/>
    </row>
    <row r="302595" spans="1:1" x14ac:dyDescent="0.25">
      <c r="A302595" s="1"/>
    </row>
    <row r="302596" spans="1:1" x14ac:dyDescent="0.25">
      <c r="A302596" s="1"/>
    </row>
    <row r="302597" spans="1:1" x14ac:dyDescent="0.25">
      <c r="A302597" s="1"/>
    </row>
    <row r="302598" spans="1:1" x14ac:dyDescent="0.25">
      <c r="A302598" s="1"/>
    </row>
    <row r="302599" spans="1:1" x14ac:dyDescent="0.25">
      <c r="A302599" s="1"/>
    </row>
    <row r="302600" spans="1:1" x14ac:dyDescent="0.25">
      <c r="A302600" s="1"/>
    </row>
    <row r="302601" spans="1:1" x14ac:dyDescent="0.25">
      <c r="A302601" s="1"/>
    </row>
    <row r="302602" spans="1:1" x14ac:dyDescent="0.25">
      <c r="A302602" s="1"/>
    </row>
    <row r="302603" spans="1:1" x14ac:dyDescent="0.25">
      <c r="A302603" s="1"/>
    </row>
    <row r="302604" spans="1:1" x14ac:dyDescent="0.25">
      <c r="A302604" s="1"/>
    </row>
    <row r="302605" spans="1:1" x14ac:dyDescent="0.25">
      <c r="A302605" s="1"/>
    </row>
    <row r="302606" spans="1:1" x14ac:dyDescent="0.25">
      <c r="A302606" s="1"/>
    </row>
    <row r="302607" spans="1:1" x14ac:dyDescent="0.25">
      <c r="A302607" s="1"/>
    </row>
    <row r="302608" spans="1:1" x14ac:dyDescent="0.25">
      <c r="A302608" s="1"/>
    </row>
    <row r="302609" spans="1:1" x14ac:dyDescent="0.25">
      <c r="A302609" s="1"/>
    </row>
    <row r="302610" spans="1:1" x14ac:dyDescent="0.25">
      <c r="A302610" s="1"/>
    </row>
    <row r="302611" spans="1:1" x14ac:dyDescent="0.25">
      <c r="A302611" s="1"/>
    </row>
    <row r="302612" spans="1:1" x14ac:dyDescent="0.25">
      <c r="A302612" s="1"/>
    </row>
    <row r="302613" spans="1:1" x14ac:dyDescent="0.25">
      <c r="A302613" s="1"/>
    </row>
    <row r="302614" spans="1:1" x14ac:dyDescent="0.25">
      <c r="A302614" s="1"/>
    </row>
    <row r="302615" spans="1:1" x14ac:dyDescent="0.25">
      <c r="A302615" s="1"/>
    </row>
    <row r="302616" spans="1:1" x14ac:dyDescent="0.25">
      <c r="A302616" s="1"/>
    </row>
    <row r="302617" spans="1:1" x14ac:dyDescent="0.25">
      <c r="A302617" s="1"/>
    </row>
    <row r="302618" spans="1:1" x14ac:dyDescent="0.25">
      <c r="A302618" s="1"/>
    </row>
    <row r="302619" spans="1:1" x14ac:dyDescent="0.25">
      <c r="A302619" s="1"/>
    </row>
    <row r="302620" spans="1:1" x14ac:dyDescent="0.25">
      <c r="A302620" s="1"/>
    </row>
    <row r="302621" spans="1:1" x14ac:dyDescent="0.25">
      <c r="A302621" s="1"/>
    </row>
    <row r="302622" spans="1:1" x14ac:dyDescent="0.25">
      <c r="A302622" s="1"/>
    </row>
    <row r="302623" spans="1:1" x14ac:dyDescent="0.25">
      <c r="A302623" s="1"/>
    </row>
    <row r="302624" spans="1:1" x14ac:dyDescent="0.25">
      <c r="A302624" s="1"/>
    </row>
    <row r="302625" spans="1:1" x14ac:dyDescent="0.25">
      <c r="A302625" s="1"/>
    </row>
    <row r="302626" spans="1:1" x14ac:dyDescent="0.25">
      <c r="A302626" s="1"/>
    </row>
    <row r="302627" spans="1:1" x14ac:dyDescent="0.25">
      <c r="A302627" s="1"/>
    </row>
    <row r="302628" spans="1:1" x14ac:dyDescent="0.25">
      <c r="A302628" s="1"/>
    </row>
    <row r="302629" spans="1:1" x14ac:dyDescent="0.25">
      <c r="A302629" s="1"/>
    </row>
    <row r="302630" spans="1:1" x14ac:dyDescent="0.25">
      <c r="A302630" s="1"/>
    </row>
    <row r="302631" spans="1:1" x14ac:dyDescent="0.25">
      <c r="A302631" s="1"/>
    </row>
    <row r="302632" spans="1:1" x14ac:dyDescent="0.25">
      <c r="A302632" s="1"/>
    </row>
    <row r="302633" spans="1:1" x14ac:dyDescent="0.25">
      <c r="A302633" s="1"/>
    </row>
    <row r="302634" spans="1:1" x14ac:dyDescent="0.25">
      <c r="A302634" s="1"/>
    </row>
    <row r="302635" spans="1:1" x14ac:dyDescent="0.25">
      <c r="A302635" s="1"/>
    </row>
    <row r="302636" spans="1:1" x14ac:dyDescent="0.25">
      <c r="A302636" s="1"/>
    </row>
    <row r="302637" spans="1:1" x14ac:dyDescent="0.25">
      <c r="A302637" s="1"/>
    </row>
    <row r="302638" spans="1:1" x14ac:dyDescent="0.25">
      <c r="A302638" s="1"/>
    </row>
    <row r="302639" spans="1:1" x14ac:dyDescent="0.25">
      <c r="A302639" s="1"/>
    </row>
    <row r="302640" spans="1:1" x14ac:dyDescent="0.25">
      <c r="A302640" s="1"/>
    </row>
    <row r="302641" spans="1:1" x14ac:dyDescent="0.25">
      <c r="A302641" s="1"/>
    </row>
    <row r="302642" spans="1:1" x14ac:dyDescent="0.25">
      <c r="A302642" s="1"/>
    </row>
    <row r="302643" spans="1:1" x14ac:dyDescent="0.25">
      <c r="A302643" s="1"/>
    </row>
    <row r="302644" spans="1:1" x14ac:dyDescent="0.25">
      <c r="A302644" s="1"/>
    </row>
    <row r="302645" spans="1:1" x14ac:dyDescent="0.25">
      <c r="A302645" s="1"/>
    </row>
    <row r="302646" spans="1:1" x14ac:dyDescent="0.25">
      <c r="A302646" s="1"/>
    </row>
    <row r="302647" spans="1:1" x14ac:dyDescent="0.25">
      <c r="A302647" s="1"/>
    </row>
    <row r="302648" spans="1:1" x14ac:dyDescent="0.25">
      <c r="A302648" s="1"/>
    </row>
    <row r="302649" spans="1:1" x14ac:dyDescent="0.25">
      <c r="A302649" s="1"/>
    </row>
    <row r="302650" spans="1:1" x14ac:dyDescent="0.25">
      <c r="A302650" s="1"/>
    </row>
    <row r="302651" spans="1:1" x14ac:dyDescent="0.25">
      <c r="A302651" s="1"/>
    </row>
    <row r="302652" spans="1:1" x14ac:dyDescent="0.25">
      <c r="A302652" s="1"/>
    </row>
    <row r="302653" spans="1:1" x14ac:dyDescent="0.25">
      <c r="A302653" s="1"/>
    </row>
    <row r="302654" spans="1:1" x14ac:dyDescent="0.25">
      <c r="A302654" s="1"/>
    </row>
    <row r="302655" spans="1:1" x14ac:dyDescent="0.25">
      <c r="A302655" s="1"/>
    </row>
    <row r="302656" spans="1:1" x14ac:dyDescent="0.25">
      <c r="A302656" s="1"/>
    </row>
    <row r="302657" spans="1:1" x14ac:dyDescent="0.25">
      <c r="A302657" s="1"/>
    </row>
    <row r="302658" spans="1:1" x14ac:dyDescent="0.25">
      <c r="A302658" s="1"/>
    </row>
    <row r="302659" spans="1:1" x14ac:dyDescent="0.25">
      <c r="A302659" s="1"/>
    </row>
    <row r="302660" spans="1:1" x14ac:dyDescent="0.25">
      <c r="A302660" s="1"/>
    </row>
    <row r="302661" spans="1:1" x14ac:dyDescent="0.25">
      <c r="A302661" s="1"/>
    </row>
    <row r="302662" spans="1:1" x14ac:dyDescent="0.25">
      <c r="A302662" s="1"/>
    </row>
    <row r="302663" spans="1:1" x14ac:dyDescent="0.25">
      <c r="A302663" s="1"/>
    </row>
    <row r="302664" spans="1:1" x14ac:dyDescent="0.25">
      <c r="A302664" s="1"/>
    </row>
    <row r="302665" spans="1:1" x14ac:dyDescent="0.25">
      <c r="A302665" s="1"/>
    </row>
    <row r="302666" spans="1:1" x14ac:dyDescent="0.25">
      <c r="A302666" s="1"/>
    </row>
    <row r="302667" spans="1:1" x14ac:dyDescent="0.25">
      <c r="A302667" s="1"/>
    </row>
    <row r="302668" spans="1:1" x14ac:dyDescent="0.25">
      <c r="A302668" s="1"/>
    </row>
    <row r="302669" spans="1:1" x14ac:dyDescent="0.25">
      <c r="A302669" s="1"/>
    </row>
    <row r="302670" spans="1:1" x14ac:dyDescent="0.25">
      <c r="A302670" s="1"/>
    </row>
    <row r="302671" spans="1:1" x14ac:dyDescent="0.25">
      <c r="A302671" s="1"/>
    </row>
    <row r="302672" spans="1:1" x14ac:dyDescent="0.25">
      <c r="A302672" s="1"/>
    </row>
    <row r="302673" spans="1:1" x14ac:dyDescent="0.25">
      <c r="A302673" s="1"/>
    </row>
    <row r="302674" spans="1:1" x14ac:dyDescent="0.25">
      <c r="A302674" s="1"/>
    </row>
    <row r="302675" spans="1:1" x14ac:dyDescent="0.25">
      <c r="A302675" s="1"/>
    </row>
    <row r="302676" spans="1:1" x14ac:dyDescent="0.25">
      <c r="A302676" s="1"/>
    </row>
    <row r="302677" spans="1:1" x14ac:dyDescent="0.25">
      <c r="A302677" s="1"/>
    </row>
    <row r="302678" spans="1:1" x14ac:dyDescent="0.25">
      <c r="A302678" s="1"/>
    </row>
    <row r="302679" spans="1:1" x14ac:dyDescent="0.25">
      <c r="A302679" s="1"/>
    </row>
    <row r="302680" spans="1:1" x14ac:dyDescent="0.25">
      <c r="A302680" s="1"/>
    </row>
    <row r="302681" spans="1:1" x14ac:dyDescent="0.25">
      <c r="A302681" s="1"/>
    </row>
    <row r="302682" spans="1:1" x14ac:dyDescent="0.25">
      <c r="A302682" s="1"/>
    </row>
    <row r="302683" spans="1:1" x14ac:dyDescent="0.25">
      <c r="A302683" s="1"/>
    </row>
    <row r="302684" spans="1:1" x14ac:dyDescent="0.25">
      <c r="A302684" s="1"/>
    </row>
    <row r="302685" spans="1:1" x14ac:dyDescent="0.25">
      <c r="A302685" s="1"/>
    </row>
    <row r="302686" spans="1:1" x14ac:dyDescent="0.25">
      <c r="A302686" s="1"/>
    </row>
    <row r="302687" spans="1:1" x14ac:dyDescent="0.25">
      <c r="A302687" s="1"/>
    </row>
    <row r="302688" spans="1:1" x14ac:dyDescent="0.25">
      <c r="A302688" s="1"/>
    </row>
    <row r="302689" spans="1:1" x14ac:dyDescent="0.25">
      <c r="A302689" s="1"/>
    </row>
    <row r="302690" spans="1:1" x14ac:dyDescent="0.25">
      <c r="A302690" s="1"/>
    </row>
    <row r="302691" spans="1:1" x14ac:dyDescent="0.25">
      <c r="A302691" s="1"/>
    </row>
    <row r="302692" spans="1:1" x14ac:dyDescent="0.25">
      <c r="A302692" s="1"/>
    </row>
    <row r="302693" spans="1:1" x14ac:dyDescent="0.25">
      <c r="A302693" s="1"/>
    </row>
    <row r="302694" spans="1:1" x14ac:dyDescent="0.25">
      <c r="A302694" s="1"/>
    </row>
    <row r="302695" spans="1:1" x14ac:dyDescent="0.25">
      <c r="A302695" s="1"/>
    </row>
    <row r="302696" spans="1:1" x14ac:dyDescent="0.25">
      <c r="A302696" s="1"/>
    </row>
    <row r="302697" spans="1:1" x14ac:dyDescent="0.25">
      <c r="A302697" s="1"/>
    </row>
    <row r="302698" spans="1:1" x14ac:dyDescent="0.25">
      <c r="A302698" s="1"/>
    </row>
    <row r="302699" spans="1:1" x14ac:dyDescent="0.25">
      <c r="A302699" s="1"/>
    </row>
    <row r="302700" spans="1:1" x14ac:dyDescent="0.25">
      <c r="A302700" s="1"/>
    </row>
    <row r="302701" spans="1:1" x14ac:dyDescent="0.25">
      <c r="A302701" s="1"/>
    </row>
    <row r="302702" spans="1:1" x14ac:dyDescent="0.25">
      <c r="A302702" s="1"/>
    </row>
    <row r="302703" spans="1:1" x14ac:dyDescent="0.25">
      <c r="A302703" s="1"/>
    </row>
    <row r="302704" spans="1:1" x14ac:dyDescent="0.25">
      <c r="A302704" s="1"/>
    </row>
    <row r="302705" spans="1:1" x14ac:dyDescent="0.25">
      <c r="A302705" s="1"/>
    </row>
    <row r="302706" spans="1:1" x14ac:dyDescent="0.25">
      <c r="A302706" s="1"/>
    </row>
    <row r="302707" spans="1:1" x14ac:dyDescent="0.25">
      <c r="A302707" s="1"/>
    </row>
    <row r="302708" spans="1:1" x14ac:dyDescent="0.25">
      <c r="A302708" s="1"/>
    </row>
    <row r="302709" spans="1:1" x14ac:dyDescent="0.25">
      <c r="A302709" s="1"/>
    </row>
    <row r="302710" spans="1:1" x14ac:dyDescent="0.25">
      <c r="A302710" s="1"/>
    </row>
    <row r="302711" spans="1:1" x14ac:dyDescent="0.25">
      <c r="A302711" s="1"/>
    </row>
    <row r="302712" spans="1:1" x14ac:dyDescent="0.25">
      <c r="A302712" s="1"/>
    </row>
    <row r="302713" spans="1:1" x14ac:dyDescent="0.25">
      <c r="A302713" s="1"/>
    </row>
    <row r="302714" spans="1:1" x14ac:dyDescent="0.25">
      <c r="A302714" s="1"/>
    </row>
    <row r="302715" spans="1:1" x14ac:dyDescent="0.25">
      <c r="A302715" s="1"/>
    </row>
    <row r="302716" spans="1:1" x14ac:dyDescent="0.25">
      <c r="A302716" s="1"/>
    </row>
    <row r="302717" spans="1:1" x14ac:dyDescent="0.25">
      <c r="A302717" s="1"/>
    </row>
    <row r="302718" spans="1:1" x14ac:dyDescent="0.25">
      <c r="A302718" s="1"/>
    </row>
    <row r="302719" spans="1:1" x14ac:dyDescent="0.25">
      <c r="A302719" s="1"/>
    </row>
    <row r="302720" spans="1:1" x14ac:dyDescent="0.25">
      <c r="A302720" s="1"/>
    </row>
    <row r="302721" spans="1:1" x14ac:dyDescent="0.25">
      <c r="A302721" s="1"/>
    </row>
    <row r="302722" spans="1:1" x14ac:dyDescent="0.25">
      <c r="A302722" s="1"/>
    </row>
    <row r="302723" spans="1:1" x14ac:dyDescent="0.25">
      <c r="A302723" s="1"/>
    </row>
    <row r="302724" spans="1:1" x14ac:dyDescent="0.25">
      <c r="A302724" s="1"/>
    </row>
    <row r="302725" spans="1:1" x14ac:dyDescent="0.25">
      <c r="A302725" s="1"/>
    </row>
    <row r="302726" spans="1:1" x14ac:dyDescent="0.25">
      <c r="A302726" s="1"/>
    </row>
    <row r="302727" spans="1:1" x14ac:dyDescent="0.25">
      <c r="A302727" s="1"/>
    </row>
    <row r="302728" spans="1:1" x14ac:dyDescent="0.25">
      <c r="A302728" s="1"/>
    </row>
    <row r="302729" spans="1:1" x14ac:dyDescent="0.25">
      <c r="A302729" s="1"/>
    </row>
    <row r="302730" spans="1:1" x14ac:dyDescent="0.25">
      <c r="A302730" s="1"/>
    </row>
    <row r="302731" spans="1:1" x14ac:dyDescent="0.25">
      <c r="A302731" s="1"/>
    </row>
    <row r="302732" spans="1:1" x14ac:dyDescent="0.25">
      <c r="A302732" s="1"/>
    </row>
    <row r="302733" spans="1:1" x14ac:dyDescent="0.25">
      <c r="A302733" s="1"/>
    </row>
    <row r="302734" spans="1:1" x14ac:dyDescent="0.25">
      <c r="A302734" s="1"/>
    </row>
    <row r="302735" spans="1:1" x14ac:dyDescent="0.25">
      <c r="A302735" s="1"/>
    </row>
    <row r="302736" spans="1:1" x14ac:dyDescent="0.25">
      <c r="A302736" s="1"/>
    </row>
    <row r="302737" spans="1:1" x14ac:dyDescent="0.25">
      <c r="A302737" s="1"/>
    </row>
    <row r="302738" spans="1:1" x14ac:dyDescent="0.25">
      <c r="A302738" s="1"/>
    </row>
    <row r="302739" spans="1:1" x14ac:dyDescent="0.25">
      <c r="A302739" s="1"/>
    </row>
    <row r="302740" spans="1:1" x14ac:dyDescent="0.25">
      <c r="A302740" s="1"/>
    </row>
    <row r="302741" spans="1:1" x14ac:dyDescent="0.25">
      <c r="A302741" s="1"/>
    </row>
    <row r="302742" spans="1:1" x14ac:dyDescent="0.25">
      <c r="A302742" s="1"/>
    </row>
    <row r="302743" spans="1:1" x14ac:dyDescent="0.25">
      <c r="A302743" s="1"/>
    </row>
    <row r="302744" spans="1:1" x14ac:dyDescent="0.25">
      <c r="A302744" s="1"/>
    </row>
    <row r="302745" spans="1:1" x14ac:dyDescent="0.25">
      <c r="A302745" s="1"/>
    </row>
    <row r="302746" spans="1:1" x14ac:dyDescent="0.25">
      <c r="A302746" s="1"/>
    </row>
    <row r="302747" spans="1:1" x14ac:dyDescent="0.25">
      <c r="A302747" s="1"/>
    </row>
    <row r="302748" spans="1:1" x14ac:dyDescent="0.25">
      <c r="A302748" s="1"/>
    </row>
    <row r="302749" spans="1:1" x14ac:dyDescent="0.25">
      <c r="A302749" s="1"/>
    </row>
    <row r="302750" spans="1:1" x14ac:dyDescent="0.25">
      <c r="A302750" s="1"/>
    </row>
    <row r="302751" spans="1:1" x14ac:dyDescent="0.25">
      <c r="A302751" s="1"/>
    </row>
    <row r="302752" spans="1:1" x14ac:dyDescent="0.25">
      <c r="A302752" s="1"/>
    </row>
    <row r="302753" spans="1:1" x14ac:dyDescent="0.25">
      <c r="A302753" s="1"/>
    </row>
    <row r="302754" spans="1:1" x14ac:dyDescent="0.25">
      <c r="A302754" s="1"/>
    </row>
    <row r="302755" spans="1:1" x14ac:dyDescent="0.25">
      <c r="A302755" s="1"/>
    </row>
    <row r="302756" spans="1:1" x14ac:dyDescent="0.25">
      <c r="A302756" s="1"/>
    </row>
    <row r="302757" spans="1:1" x14ac:dyDescent="0.25">
      <c r="A302757" s="1"/>
    </row>
    <row r="302758" spans="1:1" x14ac:dyDescent="0.25">
      <c r="A302758" s="1"/>
    </row>
    <row r="302759" spans="1:1" x14ac:dyDescent="0.25">
      <c r="A302759" s="1"/>
    </row>
    <row r="302760" spans="1:1" x14ac:dyDescent="0.25">
      <c r="A302760" s="1"/>
    </row>
    <row r="302761" spans="1:1" x14ac:dyDescent="0.25">
      <c r="A302761" s="1"/>
    </row>
    <row r="302762" spans="1:1" x14ac:dyDescent="0.25">
      <c r="A302762" s="1"/>
    </row>
    <row r="302763" spans="1:1" x14ac:dyDescent="0.25">
      <c r="A302763" s="1"/>
    </row>
    <row r="302764" spans="1:1" x14ac:dyDescent="0.25">
      <c r="A302764" s="1"/>
    </row>
    <row r="302765" spans="1:1" x14ac:dyDescent="0.25">
      <c r="A302765" s="1"/>
    </row>
    <row r="302766" spans="1:1" x14ac:dyDescent="0.25">
      <c r="A302766" s="1"/>
    </row>
    <row r="302767" spans="1:1" x14ac:dyDescent="0.25">
      <c r="A302767" s="1"/>
    </row>
    <row r="302768" spans="1:1" x14ac:dyDescent="0.25">
      <c r="A302768" s="1"/>
    </row>
    <row r="302769" spans="1:1" x14ac:dyDescent="0.25">
      <c r="A302769" s="1"/>
    </row>
    <row r="302770" spans="1:1" x14ac:dyDescent="0.25">
      <c r="A302770" s="1"/>
    </row>
    <row r="302771" spans="1:1" x14ac:dyDescent="0.25">
      <c r="A302771" s="1"/>
    </row>
    <row r="302772" spans="1:1" x14ac:dyDescent="0.25">
      <c r="A302772" s="1"/>
    </row>
    <row r="302773" spans="1:1" x14ac:dyDescent="0.25">
      <c r="A302773" s="1"/>
    </row>
    <row r="302774" spans="1:1" x14ac:dyDescent="0.25">
      <c r="A302774" s="1"/>
    </row>
    <row r="302775" spans="1:1" x14ac:dyDescent="0.25">
      <c r="A302775" s="1"/>
    </row>
    <row r="302776" spans="1:1" x14ac:dyDescent="0.25">
      <c r="A302776" s="1"/>
    </row>
    <row r="302777" spans="1:1" x14ac:dyDescent="0.25">
      <c r="A302777" s="1"/>
    </row>
    <row r="302778" spans="1:1" x14ac:dyDescent="0.25">
      <c r="A302778" s="1"/>
    </row>
    <row r="302779" spans="1:1" x14ac:dyDescent="0.25">
      <c r="A302779" s="1"/>
    </row>
    <row r="302780" spans="1:1" x14ac:dyDescent="0.25">
      <c r="A302780" s="1"/>
    </row>
    <row r="302781" spans="1:1" x14ac:dyDescent="0.25">
      <c r="A302781" s="1"/>
    </row>
    <row r="302782" spans="1:1" x14ac:dyDescent="0.25">
      <c r="A302782" s="1"/>
    </row>
    <row r="302783" spans="1:1" x14ac:dyDescent="0.25">
      <c r="A302783" s="1"/>
    </row>
    <row r="302784" spans="1:1" x14ac:dyDescent="0.25">
      <c r="A302784" s="1"/>
    </row>
    <row r="302785" spans="1:1" x14ac:dyDescent="0.25">
      <c r="A302785" s="1"/>
    </row>
    <row r="302786" spans="1:1" x14ac:dyDescent="0.25">
      <c r="A302786" s="1"/>
    </row>
    <row r="302787" spans="1:1" x14ac:dyDescent="0.25">
      <c r="A302787" s="1"/>
    </row>
    <row r="302788" spans="1:1" x14ac:dyDescent="0.25">
      <c r="A302788" s="1"/>
    </row>
    <row r="302789" spans="1:1" x14ac:dyDescent="0.25">
      <c r="A302789" s="1"/>
    </row>
    <row r="302790" spans="1:1" x14ac:dyDescent="0.25">
      <c r="A302790" s="1"/>
    </row>
    <row r="302791" spans="1:1" x14ac:dyDescent="0.25">
      <c r="A302791" s="1"/>
    </row>
    <row r="302792" spans="1:1" x14ac:dyDescent="0.25">
      <c r="A302792" s="1"/>
    </row>
    <row r="302793" spans="1:1" x14ac:dyDescent="0.25">
      <c r="A302793" s="1"/>
    </row>
    <row r="302794" spans="1:1" x14ac:dyDescent="0.25">
      <c r="A302794" s="1"/>
    </row>
    <row r="302795" spans="1:1" x14ac:dyDescent="0.25">
      <c r="A302795" s="1"/>
    </row>
    <row r="302796" spans="1:1" x14ac:dyDescent="0.25">
      <c r="A302796" s="1"/>
    </row>
    <row r="302797" spans="1:1" x14ac:dyDescent="0.25">
      <c r="A302797" s="1"/>
    </row>
    <row r="302798" spans="1:1" x14ac:dyDescent="0.25">
      <c r="A302798" s="1"/>
    </row>
    <row r="302799" spans="1:1" x14ac:dyDescent="0.25">
      <c r="A302799" s="1"/>
    </row>
    <row r="302800" spans="1:1" x14ac:dyDescent="0.25">
      <c r="A302800" s="1"/>
    </row>
    <row r="302801" spans="1:1" x14ac:dyDescent="0.25">
      <c r="A302801" s="1"/>
    </row>
    <row r="302802" spans="1:1" x14ac:dyDescent="0.25">
      <c r="A302802" s="1"/>
    </row>
    <row r="302803" spans="1:1" x14ac:dyDescent="0.25">
      <c r="A302803" s="1"/>
    </row>
    <row r="302804" spans="1:1" x14ac:dyDescent="0.25">
      <c r="A302804" s="1"/>
    </row>
    <row r="302805" spans="1:1" x14ac:dyDescent="0.25">
      <c r="A302805" s="1"/>
    </row>
    <row r="302806" spans="1:1" x14ac:dyDescent="0.25">
      <c r="A302806" s="1"/>
    </row>
    <row r="302807" spans="1:1" x14ac:dyDescent="0.25">
      <c r="A302807" s="1"/>
    </row>
    <row r="302808" spans="1:1" x14ac:dyDescent="0.25">
      <c r="A302808" s="1"/>
    </row>
    <row r="302809" spans="1:1" x14ac:dyDescent="0.25">
      <c r="A302809" s="1"/>
    </row>
    <row r="302810" spans="1:1" x14ac:dyDescent="0.25">
      <c r="A302810" s="1"/>
    </row>
    <row r="302811" spans="1:1" x14ac:dyDescent="0.25">
      <c r="A302811" s="1"/>
    </row>
    <row r="302812" spans="1:1" x14ac:dyDescent="0.25">
      <c r="A302812" s="1"/>
    </row>
    <row r="302813" spans="1:1" x14ac:dyDescent="0.25">
      <c r="A302813" s="1"/>
    </row>
    <row r="302814" spans="1:1" x14ac:dyDescent="0.25">
      <c r="A302814" s="1"/>
    </row>
    <row r="302815" spans="1:1" x14ac:dyDescent="0.25">
      <c r="A302815" s="1"/>
    </row>
    <row r="302816" spans="1:1" x14ac:dyDescent="0.25">
      <c r="A302816" s="1"/>
    </row>
    <row r="302817" spans="1:1" x14ac:dyDescent="0.25">
      <c r="A302817" s="1"/>
    </row>
    <row r="302818" spans="1:1" x14ac:dyDescent="0.25">
      <c r="A302818" s="1"/>
    </row>
    <row r="302819" spans="1:1" x14ac:dyDescent="0.25">
      <c r="A302819" s="1"/>
    </row>
    <row r="302820" spans="1:1" x14ac:dyDescent="0.25">
      <c r="A302820" s="1"/>
    </row>
    <row r="302821" spans="1:1" x14ac:dyDescent="0.25">
      <c r="A302821" s="1"/>
    </row>
    <row r="302822" spans="1:1" x14ac:dyDescent="0.25">
      <c r="A302822" s="1"/>
    </row>
    <row r="302823" spans="1:1" x14ac:dyDescent="0.25">
      <c r="A302823" s="1"/>
    </row>
    <row r="302824" spans="1:1" x14ac:dyDescent="0.25">
      <c r="A302824" s="1"/>
    </row>
    <row r="302825" spans="1:1" x14ac:dyDescent="0.25">
      <c r="A302825" s="1"/>
    </row>
    <row r="302826" spans="1:1" x14ac:dyDescent="0.25">
      <c r="A302826" s="1"/>
    </row>
    <row r="302827" spans="1:1" x14ac:dyDescent="0.25">
      <c r="A302827" s="1"/>
    </row>
    <row r="302828" spans="1:1" x14ac:dyDescent="0.25">
      <c r="A302828" s="1"/>
    </row>
    <row r="302829" spans="1:1" x14ac:dyDescent="0.25">
      <c r="A302829" s="1"/>
    </row>
    <row r="302830" spans="1:1" x14ac:dyDescent="0.25">
      <c r="A302830" s="1"/>
    </row>
    <row r="302831" spans="1:1" x14ac:dyDescent="0.25">
      <c r="A302831" s="1"/>
    </row>
    <row r="302832" spans="1:1" x14ac:dyDescent="0.25">
      <c r="A302832" s="1"/>
    </row>
    <row r="302833" spans="1:1" x14ac:dyDescent="0.25">
      <c r="A302833" s="1"/>
    </row>
    <row r="302834" spans="1:1" x14ac:dyDescent="0.25">
      <c r="A302834" s="1"/>
    </row>
    <row r="302835" spans="1:1" x14ac:dyDescent="0.25">
      <c r="A302835" s="1"/>
    </row>
    <row r="302836" spans="1:1" x14ac:dyDescent="0.25">
      <c r="A302836" s="1"/>
    </row>
    <row r="302837" spans="1:1" x14ac:dyDescent="0.25">
      <c r="A302837" s="1"/>
    </row>
    <row r="302838" spans="1:1" x14ac:dyDescent="0.25">
      <c r="A302838" s="1"/>
    </row>
    <row r="302839" spans="1:1" x14ac:dyDescent="0.25">
      <c r="A302839" s="1"/>
    </row>
    <row r="302840" spans="1:1" x14ac:dyDescent="0.25">
      <c r="A302840" s="1"/>
    </row>
    <row r="302841" spans="1:1" x14ac:dyDescent="0.25">
      <c r="A302841" s="1"/>
    </row>
    <row r="302842" spans="1:1" x14ac:dyDescent="0.25">
      <c r="A302842" s="1"/>
    </row>
    <row r="302843" spans="1:1" x14ac:dyDescent="0.25">
      <c r="A302843" s="1"/>
    </row>
    <row r="302844" spans="1:1" x14ac:dyDescent="0.25">
      <c r="A302844" s="1"/>
    </row>
    <row r="302845" spans="1:1" x14ac:dyDescent="0.25">
      <c r="A302845" s="1"/>
    </row>
    <row r="302846" spans="1:1" x14ac:dyDescent="0.25">
      <c r="A302846" s="1"/>
    </row>
    <row r="302847" spans="1:1" x14ac:dyDescent="0.25">
      <c r="A302847" s="1"/>
    </row>
    <row r="302848" spans="1:1" x14ac:dyDescent="0.25">
      <c r="A302848" s="1"/>
    </row>
    <row r="302849" spans="1:1" x14ac:dyDescent="0.25">
      <c r="A302849" s="1"/>
    </row>
    <row r="302850" spans="1:1" x14ac:dyDescent="0.25">
      <c r="A302850" s="1"/>
    </row>
    <row r="302851" spans="1:1" x14ac:dyDescent="0.25">
      <c r="A302851" s="1"/>
    </row>
    <row r="302852" spans="1:1" x14ac:dyDescent="0.25">
      <c r="A302852" s="1"/>
    </row>
    <row r="302853" spans="1:1" x14ac:dyDescent="0.25">
      <c r="A302853" s="1"/>
    </row>
    <row r="302854" spans="1:1" x14ac:dyDescent="0.25">
      <c r="A302854" s="1"/>
    </row>
    <row r="302855" spans="1:1" x14ac:dyDescent="0.25">
      <c r="A302855" s="1"/>
    </row>
    <row r="302856" spans="1:1" x14ac:dyDescent="0.25">
      <c r="A302856" s="1"/>
    </row>
    <row r="302857" spans="1:1" x14ac:dyDescent="0.25">
      <c r="A302857" s="1"/>
    </row>
    <row r="302858" spans="1:1" x14ac:dyDescent="0.25">
      <c r="A302858" s="1"/>
    </row>
    <row r="302859" spans="1:1" x14ac:dyDescent="0.25">
      <c r="A302859" s="1"/>
    </row>
    <row r="302860" spans="1:1" x14ac:dyDescent="0.25">
      <c r="A302860" s="1"/>
    </row>
    <row r="302861" spans="1:1" x14ac:dyDescent="0.25">
      <c r="A302861" s="1"/>
    </row>
    <row r="302862" spans="1:1" x14ac:dyDescent="0.25">
      <c r="A302862" s="1"/>
    </row>
    <row r="302863" spans="1:1" x14ac:dyDescent="0.25">
      <c r="A302863" s="1"/>
    </row>
    <row r="302864" spans="1:1" x14ac:dyDescent="0.25">
      <c r="A302864" s="1"/>
    </row>
    <row r="302865" spans="1:1" x14ac:dyDescent="0.25">
      <c r="A302865" s="1"/>
    </row>
    <row r="302866" spans="1:1" x14ac:dyDescent="0.25">
      <c r="A302866" s="1"/>
    </row>
    <row r="302867" spans="1:1" x14ac:dyDescent="0.25">
      <c r="A302867" s="1"/>
    </row>
    <row r="302868" spans="1:1" x14ac:dyDescent="0.25">
      <c r="A302868" s="1"/>
    </row>
    <row r="302869" spans="1:1" x14ac:dyDescent="0.25">
      <c r="A302869" s="1"/>
    </row>
    <row r="302870" spans="1:1" x14ac:dyDescent="0.25">
      <c r="A302870" s="1"/>
    </row>
    <row r="302871" spans="1:1" x14ac:dyDescent="0.25">
      <c r="A302871" s="1"/>
    </row>
    <row r="302872" spans="1:1" x14ac:dyDescent="0.25">
      <c r="A302872" s="1"/>
    </row>
    <row r="302873" spans="1:1" x14ac:dyDescent="0.25">
      <c r="A302873" s="1"/>
    </row>
    <row r="302874" spans="1:1" x14ac:dyDescent="0.25">
      <c r="A302874" s="1"/>
    </row>
    <row r="302875" spans="1:1" x14ac:dyDescent="0.25">
      <c r="A302875" s="1"/>
    </row>
    <row r="302876" spans="1:1" x14ac:dyDescent="0.25">
      <c r="A302876" s="1"/>
    </row>
    <row r="302877" spans="1:1" x14ac:dyDescent="0.25">
      <c r="A302877" s="1"/>
    </row>
    <row r="302878" spans="1:1" x14ac:dyDescent="0.25">
      <c r="A302878" s="1"/>
    </row>
    <row r="302879" spans="1:1" x14ac:dyDescent="0.25">
      <c r="A302879" s="1"/>
    </row>
    <row r="302880" spans="1:1" x14ac:dyDescent="0.25">
      <c r="A302880" s="1"/>
    </row>
    <row r="302881" spans="1:1" x14ac:dyDescent="0.25">
      <c r="A302881" s="1"/>
    </row>
    <row r="302882" spans="1:1" x14ac:dyDescent="0.25">
      <c r="A302882" s="1"/>
    </row>
    <row r="302883" spans="1:1" x14ac:dyDescent="0.25">
      <c r="A302883" s="1"/>
    </row>
    <row r="302884" spans="1:1" x14ac:dyDescent="0.25">
      <c r="A302884" s="1"/>
    </row>
    <row r="302885" spans="1:1" x14ac:dyDescent="0.25">
      <c r="A302885" s="1"/>
    </row>
    <row r="302886" spans="1:1" x14ac:dyDescent="0.25">
      <c r="A302886" s="1"/>
    </row>
    <row r="302887" spans="1:1" x14ac:dyDescent="0.25">
      <c r="A302887" s="1"/>
    </row>
    <row r="302888" spans="1:1" x14ac:dyDescent="0.25">
      <c r="A302888" s="1"/>
    </row>
    <row r="302889" spans="1:1" x14ac:dyDescent="0.25">
      <c r="A302889" s="1"/>
    </row>
    <row r="302890" spans="1:1" x14ac:dyDescent="0.25">
      <c r="A302890" s="1"/>
    </row>
    <row r="302891" spans="1:1" x14ac:dyDescent="0.25">
      <c r="A302891" s="1"/>
    </row>
    <row r="302892" spans="1:1" x14ac:dyDescent="0.25">
      <c r="A302892" s="1"/>
    </row>
    <row r="302893" spans="1:1" x14ac:dyDescent="0.25">
      <c r="A302893" s="1"/>
    </row>
    <row r="302894" spans="1:1" x14ac:dyDescent="0.25">
      <c r="A302894" s="1"/>
    </row>
    <row r="302895" spans="1:1" x14ac:dyDescent="0.25">
      <c r="A302895" s="1"/>
    </row>
    <row r="302896" spans="1:1" x14ac:dyDescent="0.25">
      <c r="A302896" s="1"/>
    </row>
    <row r="302897" spans="1:1" x14ac:dyDescent="0.25">
      <c r="A302897" s="1"/>
    </row>
    <row r="302898" spans="1:1" x14ac:dyDescent="0.25">
      <c r="A302898" s="1"/>
    </row>
    <row r="302899" spans="1:1" x14ac:dyDescent="0.25">
      <c r="A302899" s="1"/>
    </row>
    <row r="302900" spans="1:1" x14ac:dyDescent="0.25">
      <c r="A302900" s="1"/>
    </row>
    <row r="302901" spans="1:1" x14ac:dyDescent="0.25">
      <c r="A302901" s="1"/>
    </row>
    <row r="302902" spans="1:1" x14ac:dyDescent="0.25">
      <c r="A302902" s="1"/>
    </row>
    <row r="302903" spans="1:1" x14ac:dyDescent="0.25">
      <c r="A302903" s="1"/>
    </row>
    <row r="302904" spans="1:1" x14ac:dyDescent="0.25">
      <c r="A302904" s="1"/>
    </row>
    <row r="302905" spans="1:1" x14ac:dyDescent="0.25">
      <c r="A302905" s="1"/>
    </row>
    <row r="302906" spans="1:1" x14ac:dyDescent="0.25">
      <c r="A302906" s="1"/>
    </row>
    <row r="302907" spans="1:1" x14ac:dyDescent="0.25">
      <c r="A302907" s="1"/>
    </row>
    <row r="302908" spans="1:1" x14ac:dyDescent="0.25">
      <c r="A302908" s="1"/>
    </row>
    <row r="302909" spans="1:1" x14ac:dyDescent="0.25">
      <c r="A302909" s="1"/>
    </row>
    <row r="302910" spans="1:1" x14ac:dyDescent="0.25">
      <c r="A302910" s="1"/>
    </row>
    <row r="302911" spans="1:1" x14ac:dyDescent="0.25">
      <c r="A302911" s="1"/>
    </row>
    <row r="302912" spans="1:1" x14ac:dyDescent="0.25">
      <c r="A302912" s="1"/>
    </row>
    <row r="302913" spans="1:1" x14ac:dyDescent="0.25">
      <c r="A302913" s="1"/>
    </row>
    <row r="302914" spans="1:1" x14ac:dyDescent="0.25">
      <c r="A302914" s="1"/>
    </row>
    <row r="302915" spans="1:1" x14ac:dyDescent="0.25">
      <c r="A302915" s="1"/>
    </row>
    <row r="302916" spans="1:1" x14ac:dyDescent="0.25">
      <c r="A302916" s="1"/>
    </row>
    <row r="302917" spans="1:1" x14ac:dyDescent="0.25">
      <c r="A302917" s="1"/>
    </row>
    <row r="302918" spans="1:1" x14ac:dyDescent="0.25">
      <c r="A302918" s="1"/>
    </row>
    <row r="302919" spans="1:1" x14ac:dyDescent="0.25">
      <c r="A302919" s="1"/>
    </row>
    <row r="302920" spans="1:1" x14ac:dyDescent="0.25">
      <c r="A302920" s="1"/>
    </row>
    <row r="302921" spans="1:1" x14ac:dyDescent="0.25">
      <c r="A302921" s="1"/>
    </row>
    <row r="302922" spans="1:1" x14ac:dyDescent="0.25">
      <c r="A302922" s="1"/>
    </row>
    <row r="302923" spans="1:1" x14ac:dyDescent="0.25">
      <c r="A302923" s="1"/>
    </row>
    <row r="302924" spans="1:1" x14ac:dyDescent="0.25">
      <c r="A302924" s="1"/>
    </row>
    <row r="302925" spans="1:1" x14ac:dyDescent="0.25">
      <c r="A302925" s="1"/>
    </row>
    <row r="302926" spans="1:1" x14ac:dyDescent="0.25">
      <c r="A302926" s="1"/>
    </row>
    <row r="302927" spans="1:1" x14ac:dyDescent="0.25">
      <c r="A302927" s="1"/>
    </row>
    <row r="302928" spans="1:1" x14ac:dyDescent="0.25">
      <c r="A302928" s="1"/>
    </row>
    <row r="302929" spans="1:1" x14ac:dyDescent="0.25">
      <c r="A302929" s="1"/>
    </row>
    <row r="302930" spans="1:1" x14ac:dyDescent="0.25">
      <c r="A302930" s="1"/>
    </row>
    <row r="302931" spans="1:1" x14ac:dyDescent="0.25">
      <c r="A302931" s="1"/>
    </row>
    <row r="302932" spans="1:1" x14ac:dyDescent="0.25">
      <c r="A302932" s="1"/>
    </row>
    <row r="302933" spans="1:1" x14ac:dyDescent="0.25">
      <c r="A302933" s="1"/>
    </row>
    <row r="302934" spans="1:1" x14ac:dyDescent="0.25">
      <c r="A302934" s="1"/>
    </row>
    <row r="302935" spans="1:1" x14ac:dyDescent="0.25">
      <c r="A302935" s="1"/>
    </row>
    <row r="302936" spans="1:1" x14ac:dyDescent="0.25">
      <c r="A302936" s="1"/>
    </row>
    <row r="302937" spans="1:1" x14ac:dyDescent="0.25">
      <c r="A302937" s="1"/>
    </row>
    <row r="302938" spans="1:1" x14ac:dyDescent="0.25">
      <c r="A302938" s="1"/>
    </row>
    <row r="302939" spans="1:1" x14ac:dyDescent="0.25">
      <c r="A302939" s="1"/>
    </row>
    <row r="302940" spans="1:1" x14ac:dyDescent="0.25">
      <c r="A302940" s="1"/>
    </row>
    <row r="302941" spans="1:1" x14ac:dyDescent="0.25">
      <c r="A302941" s="1"/>
    </row>
    <row r="302942" spans="1:1" x14ac:dyDescent="0.25">
      <c r="A302942" s="1"/>
    </row>
    <row r="302943" spans="1:1" x14ac:dyDescent="0.25">
      <c r="A302943" s="1"/>
    </row>
    <row r="302944" spans="1:1" x14ac:dyDescent="0.25">
      <c r="A302944" s="1"/>
    </row>
    <row r="302945" spans="1:1" x14ac:dyDescent="0.25">
      <c r="A302945" s="1"/>
    </row>
    <row r="302946" spans="1:1" x14ac:dyDescent="0.25">
      <c r="A302946" s="1"/>
    </row>
    <row r="302947" spans="1:1" x14ac:dyDescent="0.25">
      <c r="A302947" s="1"/>
    </row>
    <row r="302948" spans="1:1" x14ac:dyDescent="0.25">
      <c r="A302948" s="1"/>
    </row>
    <row r="302949" spans="1:1" x14ac:dyDescent="0.25">
      <c r="A302949" s="1"/>
    </row>
    <row r="302950" spans="1:1" x14ac:dyDescent="0.25">
      <c r="A302950" s="1"/>
    </row>
    <row r="302951" spans="1:1" x14ac:dyDescent="0.25">
      <c r="A302951" s="1"/>
    </row>
    <row r="302952" spans="1:1" x14ac:dyDescent="0.25">
      <c r="A302952" s="1"/>
    </row>
    <row r="302953" spans="1:1" x14ac:dyDescent="0.25">
      <c r="A302953" s="1"/>
    </row>
    <row r="302954" spans="1:1" x14ac:dyDescent="0.25">
      <c r="A302954" s="1"/>
    </row>
    <row r="302955" spans="1:1" x14ac:dyDescent="0.25">
      <c r="A302955" s="1"/>
    </row>
    <row r="302956" spans="1:1" x14ac:dyDescent="0.25">
      <c r="A302956" s="1"/>
    </row>
    <row r="302957" spans="1:1" x14ac:dyDescent="0.25">
      <c r="A302957" s="1"/>
    </row>
    <row r="302958" spans="1:1" x14ac:dyDescent="0.25">
      <c r="A302958" s="1"/>
    </row>
    <row r="302959" spans="1:1" x14ac:dyDescent="0.25">
      <c r="A302959" s="1"/>
    </row>
    <row r="302960" spans="1:1" x14ac:dyDescent="0.25">
      <c r="A302960" s="1"/>
    </row>
    <row r="302961" spans="1:1" x14ac:dyDescent="0.25">
      <c r="A302961" s="1"/>
    </row>
    <row r="302962" spans="1:1" x14ac:dyDescent="0.25">
      <c r="A302962" s="1"/>
    </row>
    <row r="302963" spans="1:1" x14ac:dyDescent="0.25">
      <c r="A302963" s="1"/>
    </row>
    <row r="302964" spans="1:1" x14ac:dyDescent="0.25">
      <c r="A302964" s="1"/>
    </row>
    <row r="302965" spans="1:1" x14ac:dyDescent="0.25">
      <c r="A302965" s="1"/>
    </row>
    <row r="302966" spans="1:1" x14ac:dyDescent="0.25">
      <c r="A302966" s="1"/>
    </row>
    <row r="302967" spans="1:1" x14ac:dyDescent="0.25">
      <c r="A302967" s="1"/>
    </row>
    <row r="302968" spans="1:1" x14ac:dyDescent="0.25">
      <c r="A302968" s="1"/>
    </row>
    <row r="302969" spans="1:1" x14ac:dyDescent="0.25">
      <c r="A302969" s="1"/>
    </row>
    <row r="302970" spans="1:1" x14ac:dyDescent="0.25">
      <c r="A302970" s="1"/>
    </row>
    <row r="302971" spans="1:1" x14ac:dyDescent="0.25">
      <c r="A302971" s="1"/>
    </row>
    <row r="302972" spans="1:1" x14ac:dyDescent="0.25">
      <c r="A302972" s="1"/>
    </row>
    <row r="302973" spans="1:1" x14ac:dyDescent="0.25">
      <c r="A302973" s="1"/>
    </row>
    <row r="302974" spans="1:1" x14ac:dyDescent="0.25">
      <c r="A302974" s="1"/>
    </row>
    <row r="302975" spans="1:1" x14ac:dyDescent="0.25">
      <c r="A302975" s="1"/>
    </row>
    <row r="302976" spans="1:1" x14ac:dyDescent="0.25">
      <c r="A302976" s="1"/>
    </row>
    <row r="302977" spans="1:1" x14ac:dyDescent="0.25">
      <c r="A302977" s="1"/>
    </row>
    <row r="302978" spans="1:1" x14ac:dyDescent="0.25">
      <c r="A302978" s="1"/>
    </row>
    <row r="302979" spans="1:1" x14ac:dyDescent="0.25">
      <c r="A302979" s="1"/>
    </row>
    <row r="302980" spans="1:1" x14ac:dyDescent="0.25">
      <c r="A302980" s="1"/>
    </row>
    <row r="302981" spans="1:1" x14ac:dyDescent="0.25">
      <c r="A302981" s="1"/>
    </row>
    <row r="302982" spans="1:1" x14ac:dyDescent="0.25">
      <c r="A302982" s="1"/>
    </row>
    <row r="302983" spans="1:1" x14ac:dyDescent="0.25">
      <c r="A302983" s="1"/>
    </row>
    <row r="302984" spans="1:1" x14ac:dyDescent="0.25">
      <c r="A302984" s="1"/>
    </row>
    <row r="302985" spans="1:1" x14ac:dyDescent="0.25">
      <c r="A302985" s="1"/>
    </row>
    <row r="302986" spans="1:1" x14ac:dyDescent="0.25">
      <c r="A302986" s="1"/>
    </row>
    <row r="302987" spans="1:1" x14ac:dyDescent="0.25">
      <c r="A302987" s="1"/>
    </row>
    <row r="302988" spans="1:1" x14ac:dyDescent="0.25">
      <c r="A302988" s="1"/>
    </row>
    <row r="302989" spans="1:1" x14ac:dyDescent="0.25">
      <c r="A302989" s="1"/>
    </row>
    <row r="302990" spans="1:1" x14ac:dyDescent="0.25">
      <c r="A302990" s="1"/>
    </row>
    <row r="302991" spans="1:1" x14ac:dyDescent="0.25">
      <c r="A302991" s="1"/>
    </row>
    <row r="302992" spans="1:1" x14ac:dyDescent="0.25">
      <c r="A302992" s="1"/>
    </row>
    <row r="302993" spans="1:1" x14ac:dyDescent="0.25">
      <c r="A302993" s="1"/>
    </row>
    <row r="302994" spans="1:1" x14ac:dyDescent="0.25">
      <c r="A302994" s="1"/>
    </row>
    <row r="302995" spans="1:1" x14ac:dyDescent="0.25">
      <c r="A302995" s="1"/>
    </row>
    <row r="302996" spans="1:1" x14ac:dyDescent="0.25">
      <c r="A302996" s="1"/>
    </row>
    <row r="302997" spans="1:1" x14ac:dyDescent="0.25">
      <c r="A302997" s="1"/>
    </row>
    <row r="302998" spans="1:1" x14ac:dyDescent="0.25">
      <c r="A302998" s="1"/>
    </row>
    <row r="302999" spans="1:1" x14ac:dyDescent="0.25">
      <c r="A302999" s="1"/>
    </row>
    <row r="303000" spans="1:1" x14ac:dyDescent="0.25">
      <c r="A303000" s="1"/>
    </row>
    <row r="303001" spans="1:1" x14ac:dyDescent="0.25">
      <c r="A303001" s="1"/>
    </row>
    <row r="303002" spans="1:1" x14ac:dyDescent="0.25">
      <c r="A303002" s="1"/>
    </row>
    <row r="303003" spans="1:1" x14ac:dyDescent="0.25">
      <c r="A303003" s="1"/>
    </row>
    <row r="303004" spans="1:1" x14ac:dyDescent="0.25">
      <c r="A303004" s="1"/>
    </row>
    <row r="303005" spans="1:1" x14ac:dyDescent="0.25">
      <c r="A303005" s="1"/>
    </row>
    <row r="303006" spans="1:1" x14ac:dyDescent="0.25">
      <c r="A303006" s="1"/>
    </row>
    <row r="303007" spans="1:1" x14ac:dyDescent="0.25">
      <c r="A303007" s="1"/>
    </row>
    <row r="303008" spans="1:1" x14ac:dyDescent="0.25">
      <c r="A303008" s="1"/>
    </row>
    <row r="303009" spans="1:1" x14ac:dyDescent="0.25">
      <c r="A303009" s="1"/>
    </row>
    <row r="303010" spans="1:1" x14ac:dyDescent="0.25">
      <c r="A303010" s="1"/>
    </row>
    <row r="303011" spans="1:1" x14ac:dyDescent="0.25">
      <c r="A303011" s="1"/>
    </row>
    <row r="303012" spans="1:1" x14ac:dyDescent="0.25">
      <c r="A303012" s="1"/>
    </row>
    <row r="303013" spans="1:1" x14ac:dyDescent="0.25">
      <c r="A303013" s="1"/>
    </row>
    <row r="303014" spans="1:1" x14ac:dyDescent="0.25">
      <c r="A303014" s="1"/>
    </row>
    <row r="303015" spans="1:1" x14ac:dyDescent="0.25">
      <c r="A303015" s="1"/>
    </row>
    <row r="303016" spans="1:1" x14ac:dyDescent="0.25">
      <c r="A303016" s="1"/>
    </row>
    <row r="303017" spans="1:1" x14ac:dyDescent="0.25">
      <c r="A303017" s="1"/>
    </row>
    <row r="303018" spans="1:1" x14ac:dyDescent="0.25">
      <c r="A303018" s="1"/>
    </row>
    <row r="303019" spans="1:1" x14ac:dyDescent="0.25">
      <c r="A303019" s="1"/>
    </row>
    <row r="303020" spans="1:1" x14ac:dyDescent="0.25">
      <c r="A303020" s="1"/>
    </row>
    <row r="303021" spans="1:1" x14ac:dyDescent="0.25">
      <c r="A303021" s="1"/>
    </row>
    <row r="303022" spans="1:1" x14ac:dyDescent="0.25">
      <c r="A303022" s="1"/>
    </row>
    <row r="303023" spans="1:1" x14ac:dyDescent="0.25">
      <c r="A303023" s="1"/>
    </row>
    <row r="303024" spans="1:1" x14ac:dyDescent="0.25">
      <c r="A303024" s="1"/>
    </row>
    <row r="303025" spans="1:1" x14ac:dyDescent="0.25">
      <c r="A303025" s="1"/>
    </row>
    <row r="303026" spans="1:1" x14ac:dyDescent="0.25">
      <c r="A303026" s="1"/>
    </row>
    <row r="303027" spans="1:1" x14ac:dyDescent="0.25">
      <c r="A303027" s="1"/>
    </row>
    <row r="303028" spans="1:1" x14ac:dyDescent="0.25">
      <c r="A303028" s="1"/>
    </row>
    <row r="303029" spans="1:1" x14ac:dyDescent="0.25">
      <c r="A303029" s="1"/>
    </row>
    <row r="303030" spans="1:1" x14ac:dyDescent="0.25">
      <c r="A303030" s="1"/>
    </row>
    <row r="303031" spans="1:1" x14ac:dyDescent="0.25">
      <c r="A303031" s="1"/>
    </row>
    <row r="303032" spans="1:1" x14ac:dyDescent="0.25">
      <c r="A303032" s="1"/>
    </row>
    <row r="303033" spans="1:1" x14ac:dyDescent="0.25">
      <c r="A303033" s="1"/>
    </row>
    <row r="303034" spans="1:1" x14ac:dyDescent="0.25">
      <c r="A303034" s="1"/>
    </row>
    <row r="303035" spans="1:1" x14ac:dyDescent="0.25">
      <c r="A303035" s="1"/>
    </row>
    <row r="303036" spans="1:1" x14ac:dyDescent="0.25">
      <c r="A303036" s="1"/>
    </row>
    <row r="303037" spans="1:1" x14ac:dyDescent="0.25">
      <c r="A303037" s="1"/>
    </row>
    <row r="303038" spans="1:1" x14ac:dyDescent="0.25">
      <c r="A303038" s="1"/>
    </row>
    <row r="303039" spans="1:1" x14ac:dyDescent="0.25">
      <c r="A303039" s="1"/>
    </row>
    <row r="303040" spans="1:1" x14ac:dyDescent="0.25">
      <c r="A303040" s="1"/>
    </row>
    <row r="303041" spans="1:1" x14ac:dyDescent="0.25">
      <c r="A303041" s="1"/>
    </row>
    <row r="303042" spans="1:1" x14ac:dyDescent="0.25">
      <c r="A303042" s="1"/>
    </row>
    <row r="303043" spans="1:1" x14ac:dyDescent="0.25">
      <c r="A303043" s="1"/>
    </row>
    <row r="303044" spans="1:1" x14ac:dyDescent="0.25">
      <c r="A303044" s="1"/>
    </row>
    <row r="303045" spans="1:1" x14ac:dyDescent="0.25">
      <c r="A303045" s="1"/>
    </row>
    <row r="303046" spans="1:1" x14ac:dyDescent="0.25">
      <c r="A303046" s="1"/>
    </row>
    <row r="303047" spans="1:1" x14ac:dyDescent="0.25">
      <c r="A303047" s="1"/>
    </row>
    <row r="303048" spans="1:1" x14ac:dyDescent="0.25">
      <c r="A303048" s="1"/>
    </row>
    <row r="303049" spans="1:1" x14ac:dyDescent="0.25">
      <c r="A303049" s="1"/>
    </row>
    <row r="303050" spans="1:1" x14ac:dyDescent="0.25">
      <c r="A303050" s="1"/>
    </row>
    <row r="303051" spans="1:1" x14ac:dyDescent="0.25">
      <c r="A303051" s="1"/>
    </row>
    <row r="303052" spans="1:1" x14ac:dyDescent="0.25">
      <c r="A303052" s="1"/>
    </row>
    <row r="303053" spans="1:1" x14ac:dyDescent="0.25">
      <c r="A303053" s="1"/>
    </row>
    <row r="303054" spans="1:1" x14ac:dyDescent="0.25">
      <c r="A303054" s="1"/>
    </row>
    <row r="303055" spans="1:1" x14ac:dyDescent="0.25">
      <c r="A303055" s="1"/>
    </row>
    <row r="303056" spans="1:1" x14ac:dyDescent="0.25">
      <c r="A303056" s="1"/>
    </row>
    <row r="303057" spans="1:1" x14ac:dyDescent="0.25">
      <c r="A303057" s="1"/>
    </row>
    <row r="303058" spans="1:1" x14ac:dyDescent="0.25">
      <c r="A303058" s="1"/>
    </row>
    <row r="303059" spans="1:1" x14ac:dyDescent="0.25">
      <c r="A303059" s="1"/>
    </row>
    <row r="303060" spans="1:1" x14ac:dyDescent="0.25">
      <c r="A303060" s="1"/>
    </row>
    <row r="303061" spans="1:1" x14ac:dyDescent="0.25">
      <c r="A303061" s="1"/>
    </row>
    <row r="303062" spans="1:1" x14ac:dyDescent="0.25">
      <c r="A303062" s="1"/>
    </row>
    <row r="303063" spans="1:1" x14ac:dyDescent="0.25">
      <c r="A303063" s="1"/>
    </row>
    <row r="303064" spans="1:1" x14ac:dyDescent="0.25">
      <c r="A303064" s="1"/>
    </row>
    <row r="303065" spans="1:1" x14ac:dyDescent="0.25">
      <c r="A303065" s="1"/>
    </row>
    <row r="303066" spans="1:1" x14ac:dyDescent="0.25">
      <c r="A303066" s="1"/>
    </row>
    <row r="303067" spans="1:1" x14ac:dyDescent="0.25">
      <c r="A303067" s="1"/>
    </row>
    <row r="303068" spans="1:1" x14ac:dyDescent="0.25">
      <c r="A303068" s="1"/>
    </row>
    <row r="303069" spans="1:1" x14ac:dyDescent="0.25">
      <c r="A303069" s="1"/>
    </row>
    <row r="303070" spans="1:1" x14ac:dyDescent="0.25">
      <c r="A303070" s="1"/>
    </row>
    <row r="303071" spans="1:1" x14ac:dyDescent="0.25">
      <c r="A303071" s="1"/>
    </row>
    <row r="303072" spans="1:1" x14ac:dyDescent="0.25">
      <c r="A303072" s="1"/>
    </row>
    <row r="303073" spans="1:1" x14ac:dyDescent="0.25">
      <c r="A303073" s="1"/>
    </row>
    <row r="303074" spans="1:1" x14ac:dyDescent="0.25">
      <c r="A303074" s="1"/>
    </row>
    <row r="303075" spans="1:1" x14ac:dyDescent="0.25">
      <c r="A303075" s="1"/>
    </row>
    <row r="303076" spans="1:1" x14ac:dyDescent="0.25">
      <c r="A303076" s="1"/>
    </row>
    <row r="303077" spans="1:1" x14ac:dyDescent="0.25">
      <c r="A303077" s="1"/>
    </row>
    <row r="303078" spans="1:1" x14ac:dyDescent="0.25">
      <c r="A303078" s="1"/>
    </row>
    <row r="303079" spans="1:1" x14ac:dyDescent="0.25">
      <c r="A303079" s="1"/>
    </row>
    <row r="303080" spans="1:1" x14ac:dyDescent="0.25">
      <c r="A303080" s="1"/>
    </row>
    <row r="303081" spans="1:1" x14ac:dyDescent="0.25">
      <c r="A303081" s="1"/>
    </row>
    <row r="303082" spans="1:1" x14ac:dyDescent="0.25">
      <c r="A303082" s="1"/>
    </row>
    <row r="303083" spans="1:1" x14ac:dyDescent="0.25">
      <c r="A303083" s="1"/>
    </row>
    <row r="303084" spans="1:1" x14ac:dyDescent="0.25">
      <c r="A303084" s="1"/>
    </row>
    <row r="303085" spans="1:1" x14ac:dyDescent="0.25">
      <c r="A303085" s="1"/>
    </row>
    <row r="303086" spans="1:1" x14ac:dyDescent="0.25">
      <c r="A303086" s="1"/>
    </row>
    <row r="303087" spans="1:1" x14ac:dyDescent="0.25">
      <c r="A303087" s="1"/>
    </row>
    <row r="303088" spans="1:1" x14ac:dyDescent="0.25">
      <c r="A303088" s="1"/>
    </row>
    <row r="303089" spans="1:1" x14ac:dyDescent="0.25">
      <c r="A303089" s="1"/>
    </row>
    <row r="303090" spans="1:1" x14ac:dyDescent="0.25">
      <c r="A303090" s="1"/>
    </row>
    <row r="303091" spans="1:1" x14ac:dyDescent="0.25">
      <c r="A303091" s="1"/>
    </row>
    <row r="303092" spans="1:1" x14ac:dyDescent="0.25">
      <c r="A303092" s="1"/>
    </row>
    <row r="303093" spans="1:1" x14ac:dyDescent="0.25">
      <c r="A303093" s="1"/>
    </row>
    <row r="303094" spans="1:1" x14ac:dyDescent="0.25">
      <c r="A303094" s="1"/>
    </row>
    <row r="303095" spans="1:1" x14ac:dyDescent="0.25">
      <c r="A303095" s="1"/>
    </row>
    <row r="303096" spans="1:1" x14ac:dyDescent="0.25">
      <c r="A303096" s="1"/>
    </row>
    <row r="303097" spans="1:1" x14ac:dyDescent="0.25">
      <c r="A303097" s="1"/>
    </row>
    <row r="303098" spans="1:1" x14ac:dyDescent="0.25">
      <c r="A303098" s="1"/>
    </row>
    <row r="303099" spans="1:1" x14ac:dyDescent="0.25">
      <c r="A303099" s="1"/>
    </row>
    <row r="303100" spans="1:1" x14ac:dyDescent="0.25">
      <c r="A303100" s="1"/>
    </row>
    <row r="303101" spans="1:1" x14ac:dyDescent="0.25">
      <c r="A303101" s="1"/>
    </row>
    <row r="303102" spans="1:1" x14ac:dyDescent="0.25">
      <c r="A303102" s="1"/>
    </row>
    <row r="303103" spans="1:1" x14ac:dyDescent="0.25">
      <c r="A303103" s="1"/>
    </row>
    <row r="303104" spans="1:1" x14ac:dyDescent="0.25">
      <c r="A303104" s="1"/>
    </row>
    <row r="303105" spans="1:1" x14ac:dyDescent="0.25">
      <c r="A303105" s="1"/>
    </row>
    <row r="303106" spans="1:1" x14ac:dyDescent="0.25">
      <c r="A303106" s="1"/>
    </row>
    <row r="303107" spans="1:1" x14ac:dyDescent="0.25">
      <c r="A303107" s="1"/>
    </row>
    <row r="303108" spans="1:1" x14ac:dyDescent="0.25">
      <c r="A303108" s="1"/>
    </row>
    <row r="303109" spans="1:1" x14ac:dyDescent="0.25">
      <c r="A303109" s="1"/>
    </row>
    <row r="303110" spans="1:1" x14ac:dyDescent="0.25">
      <c r="A303110" s="1"/>
    </row>
    <row r="303111" spans="1:1" x14ac:dyDescent="0.25">
      <c r="A303111" s="1"/>
    </row>
    <row r="303112" spans="1:1" x14ac:dyDescent="0.25">
      <c r="A303112" s="1"/>
    </row>
    <row r="303113" spans="1:1" x14ac:dyDescent="0.25">
      <c r="A303113" s="1"/>
    </row>
    <row r="303114" spans="1:1" x14ac:dyDescent="0.25">
      <c r="A303114" s="1"/>
    </row>
    <row r="303115" spans="1:1" x14ac:dyDescent="0.25">
      <c r="A303115" s="1"/>
    </row>
    <row r="303116" spans="1:1" x14ac:dyDescent="0.25">
      <c r="A303116" s="1"/>
    </row>
    <row r="303117" spans="1:1" x14ac:dyDescent="0.25">
      <c r="A303117" s="1"/>
    </row>
    <row r="303118" spans="1:1" x14ac:dyDescent="0.25">
      <c r="A303118" s="1"/>
    </row>
    <row r="303119" spans="1:1" x14ac:dyDescent="0.25">
      <c r="A303119" s="1"/>
    </row>
    <row r="303120" spans="1:1" x14ac:dyDescent="0.25">
      <c r="A303120" s="1"/>
    </row>
    <row r="303121" spans="1:1" x14ac:dyDescent="0.25">
      <c r="A303121" s="1"/>
    </row>
    <row r="303122" spans="1:1" x14ac:dyDescent="0.25">
      <c r="A303122" s="1"/>
    </row>
    <row r="303123" spans="1:1" x14ac:dyDescent="0.25">
      <c r="A303123" s="1"/>
    </row>
    <row r="303124" spans="1:1" x14ac:dyDescent="0.25">
      <c r="A303124" s="1"/>
    </row>
    <row r="303125" spans="1:1" x14ac:dyDescent="0.25">
      <c r="A303125" s="1"/>
    </row>
    <row r="303126" spans="1:1" x14ac:dyDescent="0.25">
      <c r="A303126" s="1"/>
    </row>
    <row r="303127" spans="1:1" x14ac:dyDescent="0.25">
      <c r="A303127" s="1"/>
    </row>
    <row r="303128" spans="1:1" x14ac:dyDescent="0.25">
      <c r="A303128" s="1"/>
    </row>
    <row r="303129" spans="1:1" x14ac:dyDescent="0.25">
      <c r="A303129" s="1"/>
    </row>
    <row r="303130" spans="1:1" x14ac:dyDescent="0.25">
      <c r="A303130" s="1"/>
    </row>
    <row r="303131" spans="1:1" x14ac:dyDescent="0.25">
      <c r="A303131" s="1"/>
    </row>
    <row r="303132" spans="1:1" x14ac:dyDescent="0.25">
      <c r="A303132" s="1"/>
    </row>
    <row r="303133" spans="1:1" x14ac:dyDescent="0.25">
      <c r="A303133" s="1"/>
    </row>
    <row r="303134" spans="1:1" x14ac:dyDescent="0.25">
      <c r="A303134" s="1"/>
    </row>
    <row r="303135" spans="1:1" x14ac:dyDescent="0.25">
      <c r="A303135" s="1"/>
    </row>
    <row r="303136" spans="1:1" x14ac:dyDescent="0.25">
      <c r="A303136" s="1"/>
    </row>
    <row r="303137" spans="1:1" x14ac:dyDescent="0.25">
      <c r="A303137" s="1"/>
    </row>
    <row r="303138" spans="1:1" x14ac:dyDescent="0.25">
      <c r="A303138" s="1"/>
    </row>
    <row r="303139" spans="1:1" x14ac:dyDescent="0.25">
      <c r="A303139" s="1"/>
    </row>
    <row r="303140" spans="1:1" x14ac:dyDescent="0.25">
      <c r="A303140" s="1"/>
    </row>
    <row r="303141" spans="1:1" x14ac:dyDescent="0.25">
      <c r="A303141" s="1"/>
    </row>
    <row r="303142" spans="1:1" x14ac:dyDescent="0.25">
      <c r="A303142" s="1"/>
    </row>
    <row r="303143" spans="1:1" x14ac:dyDescent="0.25">
      <c r="A303143" s="1"/>
    </row>
    <row r="303144" spans="1:1" x14ac:dyDescent="0.25">
      <c r="A303144" s="1"/>
    </row>
    <row r="303145" spans="1:1" x14ac:dyDescent="0.25">
      <c r="A303145" s="1"/>
    </row>
    <row r="303146" spans="1:1" x14ac:dyDescent="0.25">
      <c r="A303146" s="1"/>
    </row>
    <row r="303147" spans="1:1" x14ac:dyDescent="0.25">
      <c r="A303147" s="1"/>
    </row>
    <row r="303148" spans="1:1" x14ac:dyDescent="0.25">
      <c r="A303148" s="1"/>
    </row>
    <row r="303149" spans="1:1" x14ac:dyDescent="0.25">
      <c r="A303149" s="1"/>
    </row>
    <row r="303150" spans="1:1" x14ac:dyDescent="0.25">
      <c r="A303150" s="1"/>
    </row>
    <row r="303151" spans="1:1" x14ac:dyDescent="0.25">
      <c r="A303151" s="1"/>
    </row>
    <row r="303152" spans="1:1" x14ac:dyDescent="0.25">
      <c r="A303152" s="1"/>
    </row>
    <row r="303153" spans="1:1" x14ac:dyDescent="0.25">
      <c r="A303153" s="1"/>
    </row>
    <row r="303154" spans="1:1" x14ac:dyDescent="0.25">
      <c r="A303154" s="1"/>
    </row>
    <row r="303155" spans="1:1" x14ac:dyDescent="0.25">
      <c r="A303155" s="1"/>
    </row>
    <row r="303156" spans="1:1" x14ac:dyDescent="0.25">
      <c r="A303156" s="1"/>
    </row>
    <row r="303157" spans="1:1" x14ac:dyDescent="0.25">
      <c r="A303157" s="1"/>
    </row>
    <row r="303158" spans="1:1" x14ac:dyDescent="0.25">
      <c r="A303158" s="1"/>
    </row>
    <row r="303159" spans="1:1" x14ac:dyDescent="0.25">
      <c r="A303159" s="1"/>
    </row>
    <row r="303160" spans="1:1" x14ac:dyDescent="0.25">
      <c r="A303160" s="1"/>
    </row>
    <row r="303161" spans="1:1" x14ac:dyDescent="0.25">
      <c r="A303161" s="1"/>
    </row>
    <row r="303162" spans="1:1" x14ac:dyDescent="0.25">
      <c r="A303162" s="1"/>
    </row>
    <row r="303163" spans="1:1" x14ac:dyDescent="0.25">
      <c r="A303163" s="1"/>
    </row>
    <row r="303164" spans="1:1" x14ac:dyDescent="0.25">
      <c r="A303164" s="1"/>
    </row>
    <row r="303165" spans="1:1" x14ac:dyDescent="0.25">
      <c r="A303165" s="1"/>
    </row>
    <row r="303166" spans="1:1" x14ac:dyDescent="0.25">
      <c r="A303166" s="1"/>
    </row>
    <row r="303167" spans="1:1" x14ac:dyDescent="0.25">
      <c r="A303167" s="1"/>
    </row>
    <row r="303168" spans="1:1" x14ac:dyDescent="0.25">
      <c r="A303168" s="1"/>
    </row>
    <row r="303169" spans="1:1" x14ac:dyDescent="0.25">
      <c r="A303169" s="1"/>
    </row>
    <row r="303170" spans="1:1" x14ac:dyDescent="0.25">
      <c r="A303170" s="1"/>
    </row>
    <row r="303171" spans="1:1" x14ac:dyDescent="0.25">
      <c r="A303171" s="1"/>
    </row>
    <row r="303172" spans="1:1" x14ac:dyDescent="0.25">
      <c r="A303172" s="1"/>
    </row>
    <row r="303173" spans="1:1" x14ac:dyDescent="0.25">
      <c r="A303173" s="1"/>
    </row>
    <row r="303174" spans="1:1" x14ac:dyDescent="0.25">
      <c r="A303174" s="1"/>
    </row>
    <row r="303175" spans="1:1" x14ac:dyDescent="0.25">
      <c r="A303175" s="1"/>
    </row>
    <row r="303176" spans="1:1" x14ac:dyDescent="0.25">
      <c r="A303176" s="1"/>
    </row>
    <row r="303177" spans="1:1" x14ac:dyDescent="0.25">
      <c r="A303177" s="1"/>
    </row>
    <row r="303178" spans="1:1" x14ac:dyDescent="0.25">
      <c r="A303178" s="1"/>
    </row>
    <row r="303179" spans="1:1" x14ac:dyDescent="0.25">
      <c r="A303179" s="1"/>
    </row>
    <row r="303180" spans="1:1" x14ac:dyDescent="0.25">
      <c r="A303180" s="1"/>
    </row>
    <row r="303181" spans="1:1" x14ac:dyDescent="0.25">
      <c r="A303181" s="1"/>
    </row>
    <row r="303182" spans="1:1" x14ac:dyDescent="0.25">
      <c r="A303182" s="1"/>
    </row>
    <row r="303183" spans="1:1" x14ac:dyDescent="0.25">
      <c r="A303183" s="1"/>
    </row>
    <row r="303184" spans="1:1" x14ac:dyDescent="0.25">
      <c r="A303184" s="1"/>
    </row>
    <row r="303185" spans="1:1" x14ac:dyDescent="0.25">
      <c r="A303185" s="1"/>
    </row>
    <row r="303186" spans="1:1" x14ac:dyDescent="0.25">
      <c r="A303186" s="1"/>
    </row>
    <row r="303187" spans="1:1" x14ac:dyDescent="0.25">
      <c r="A303187" s="1"/>
    </row>
    <row r="303188" spans="1:1" x14ac:dyDescent="0.25">
      <c r="A303188" s="1"/>
    </row>
    <row r="303189" spans="1:1" x14ac:dyDescent="0.25">
      <c r="A303189" s="1"/>
    </row>
    <row r="303190" spans="1:1" x14ac:dyDescent="0.25">
      <c r="A303190" s="1"/>
    </row>
    <row r="303191" spans="1:1" x14ac:dyDescent="0.25">
      <c r="A303191" s="1"/>
    </row>
    <row r="303192" spans="1:1" x14ac:dyDescent="0.25">
      <c r="A303192" s="1"/>
    </row>
    <row r="303193" spans="1:1" x14ac:dyDescent="0.25">
      <c r="A303193" s="1"/>
    </row>
    <row r="303194" spans="1:1" x14ac:dyDescent="0.25">
      <c r="A303194" s="1"/>
    </row>
    <row r="303195" spans="1:1" x14ac:dyDescent="0.25">
      <c r="A303195" s="1"/>
    </row>
    <row r="303196" spans="1:1" x14ac:dyDescent="0.25">
      <c r="A303196" s="1"/>
    </row>
    <row r="303197" spans="1:1" x14ac:dyDescent="0.25">
      <c r="A303197" s="1"/>
    </row>
    <row r="303198" spans="1:1" x14ac:dyDescent="0.25">
      <c r="A303198" s="1"/>
    </row>
    <row r="303199" spans="1:1" x14ac:dyDescent="0.25">
      <c r="A303199" s="1"/>
    </row>
    <row r="303200" spans="1:1" x14ac:dyDescent="0.25">
      <c r="A303200" s="1"/>
    </row>
    <row r="303201" spans="1:1" x14ac:dyDescent="0.25">
      <c r="A303201" s="1"/>
    </row>
    <row r="303202" spans="1:1" x14ac:dyDescent="0.25">
      <c r="A303202" s="1"/>
    </row>
    <row r="303203" spans="1:1" x14ac:dyDescent="0.25">
      <c r="A303203" s="1"/>
    </row>
    <row r="303204" spans="1:1" x14ac:dyDescent="0.25">
      <c r="A303204" s="1"/>
    </row>
    <row r="303205" spans="1:1" x14ac:dyDescent="0.25">
      <c r="A303205" s="1"/>
    </row>
    <row r="303206" spans="1:1" x14ac:dyDescent="0.25">
      <c r="A303206" s="1"/>
    </row>
    <row r="303207" spans="1:1" x14ac:dyDescent="0.25">
      <c r="A303207" s="1"/>
    </row>
    <row r="303208" spans="1:1" x14ac:dyDescent="0.25">
      <c r="A303208" s="1"/>
    </row>
    <row r="303209" spans="1:1" x14ac:dyDescent="0.25">
      <c r="A303209" s="1"/>
    </row>
    <row r="303210" spans="1:1" x14ac:dyDescent="0.25">
      <c r="A303210" s="1"/>
    </row>
    <row r="303211" spans="1:1" x14ac:dyDescent="0.25">
      <c r="A303211" s="1"/>
    </row>
    <row r="303212" spans="1:1" x14ac:dyDescent="0.25">
      <c r="A303212" s="1"/>
    </row>
    <row r="303213" spans="1:1" x14ac:dyDescent="0.25">
      <c r="A303213" s="1"/>
    </row>
    <row r="303214" spans="1:1" x14ac:dyDescent="0.25">
      <c r="A303214" s="1"/>
    </row>
    <row r="303215" spans="1:1" x14ac:dyDescent="0.25">
      <c r="A303215" s="1"/>
    </row>
    <row r="303216" spans="1:1" x14ac:dyDescent="0.25">
      <c r="A303216" s="1"/>
    </row>
    <row r="303217" spans="1:1" x14ac:dyDescent="0.25">
      <c r="A303217" s="1"/>
    </row>
    <row r="303218" spans="1:1" x14ac:dyDescent="0.25">
      <c r="A303218" s="1"/>
    </row>
    <row r="303219" spans="1:1" x14ac:dyDescent="0.25">
      <c r="A303219" s="1"/>
    </row>
    <row r="303220" spans="1:1" x14ac:dyDescent="0.25">
      <c r="A303220" s="1"/>
    </row>
    <row r="303221" spans="1:1" x14ac:dyDescent="0.25">
      <c r="A303221" s="1"/>
    </row>
    <row r="303222" spans="1:1" x14ac:dyDescent="0.25">
      <c r="A303222" s="1"/>
    </row>
    <row r="303223" spans="1:1" x14ac:dyDescent="0.25">
      <c r="A303223" s="1"/>
    </row>
    <row r="303224" spans="1:1" x14ac:dyDescent="0.25">
      <c r="A303224" s="1"/>
    </row>
    <row r="303225" spans="1:1" x14ac:dyDescent="0.25">
      <c r="A303225" s="1"/>
    </row>
    <row r="303226" spans="1:1" x14ac:dyDescent="0.25">
      <c r="A303226" s="1"/>
    </row>
    <row r="303227" spans="1:1" x14ac:dyDescent="0.25">
      <c r="A303227" s="1"/>
    </row>
    <row r="303228" spans="1:1" x14ac:dyDescent="0.25">
      <c r="A303228" s="1"/>
    </row>
    <row r="303229" spans="1:1" x14ac:dyDescent="0.25">
      <c r="A303229" s="1"/>
    </row>
    <row r="303230" spans="1:1" x14ac:dyDescent="0.25">
      <c r="A303230" s="1"/>
    </row>
    <row r="303231" spans="1:1" x14ac:dyDescent="0.25">
      <c r="A303231" s="1"/>
    </row>
    <row r="303232" spans="1:1" x14ac:dyDescent="0.25">
      <c r="A303232" s="1"/>
    </row>
    <row r="303233" spans="1:1" x14ac:dyDescent="0.25">
      <c r="A303233" s="1"/>
    </row>
    <row r="303234" spans="1:1" x14ac:dyDescent="0.25">
      <c r="A303234" s="1"/>
    </row>
    <row r="303235" spans="1:1" x14ac:dyDescent="0.25">
      <c r="A303235" s="1"/>
    </row>
    <row r="303236" spans="1:1" x14ac:dyDescent="0.25">
      <c r="A303236" s="1"/>
    </row>
    <row r="303237" spans="1:1" x14ac:dyDescent="0.25">
      <c r="A303237" s="1"/>
    </row>
    <row r="303238" spans="1:1" x14ac:dyDescent="0.25">
      <c r="A303238" s="1"/>
    </row>
    <row r="303239" spans="1:1" x14ac:dyDescent="0.25">
      <c r="A303239" s="1"/>
    </row>
    <row r="303240" spans="1:1" x14ac:dyDescent="0.25">
      <c r="A303240" s="1"/>
    </row>
    <row r="303241" spans="1:1" x14ac:dyDescent="0.25">
      <c r="A303241" s="1"/>
    </row>
    <row r="303242" spans="1:1" x14ac:dyDescent="0.25">
      <c r="A303242" s="1"/>
    </row>
    <row r="303243" spans="1:1" x14ac:dyDescent="0.25">
      <c r="A303243" s="1"/>
    </row>
    <row r="303244" spans="1:1" x14ac:dyDescent="0.25">
      <c r="A303244" s="1"/>
    </row>
    <row r="303245" spans="1:1" x14ac:dyDescent="0.25">
      <c r="A303245" s="1"/>
    </row>
    <row r="303246" spans="1:1" x14ac:dyDescent="0.25">
      <c r="A303246" s="1"/>
    </row>
    <row r="303247" spans="1:1" x14ac:dyDescent="0.25">
      <c r="A303247" s="1"/>
    </row>
    <row r="303248" spans="1:1" x14ac:dyDescent="0.25">
      <c r="A303248" s="1"/>
    </row>
    <row r="303249" spans="1:1" x14ac:dyDescent="0.25">
      <c r="A303249" s="1"/>
    </row>
    <row r="303250" spans="1:1" x14ac:dyDescent="0.25">
      <c r="A303250" s="1"/>
    </row>
    <row r="303251" spans="1:1" x14ac:dyDescent="0.25">
      <c r="A303251" s="1"/>
    </row>
    <row r="303252" spans="1:1" x14ac:dyDescent="0.25">
      <c r="A303252" s="1"/>
    </row>
    <row r="303253" spans="1:1" x14ac:dyDescent="0.25">
      <c r="A303253" s="1"/>
    </row>
    <row r="303254" spans="1:1" x14ac:dyDescent="0.25">
      <c r="A303254" s="1"/>
    </row>
    <row r="303255" spans="1:1" x14ac:dyDescent="0.25">
      <c r="A303255" s="1"/>
    </row>
    <row r="303256" spans="1:1" x14ac:dyDescent="0.25">
      <c r="A303256" s="1"/>
    </row>
    <row r="303257" spans="1:1" x14ac:dyDescent="0.25">
      <c r="A303257" s="1"/>
    </row>
    <row r="303258" spans="1:1" x14ac:dyDescent="0.25">
      <c r="A303258" s="1"/>
    </row>
    <row r="303259" spans="1:1" x14ac:dyDescent="0.25">
      <c r="A303259" s="1"/>
    </row>
    <row r="303260" spans="1:1" x14ac:dyDescent="0.25">
      <c r="A303260" s="1"/>
    </row>
    <row r="303261" spans="1:1" x14ac:dyDescent="0.25">
      <c r="A303261" s="1"/>
    </row>
    <row r="303262" spans="1:1" x14ac:dyDescent="0.25">
      <c r="A303262" s="1"/>
    </row>
    <row r="303263" spans="1:1" x14ac:dyDescent="0.25">
      <c r="A303263" s="1"/>
    </row>
    <row r="303264" spans="1:1" x14ac:dyDescent="0.25">
      <c r="A303264" s="1"/>
    </row>
    <row r="303265" spans="1:1" x14ac:dyDescent="0.25">
      <c r="A303265" s="1"/>
    </row>
    <row r="303266" spans="1:1" x14ac:dyDescent="0.25">
      <c r="A303266" s="1"/>
    </row>
    <row r="303267" spans="1:1" x14ac:dyDescent="0.25">
      <c r="A303267" s="1"/>
    </row>
    <row r="303268" spans="1:1" x14ac:dyDescent="0.25">
      <c r="A303268" s="1"/>
    </row>
    <row r="303269" spans="1:1" x14ac:dyDescent="0.25">
      <c r="A303269" s="1"/>
    </row>
    <row r="303270" spans="1:1" x14ac:dyDescent="0.25">
      <c r="A303270" s="1"/>
    </row>
    <row r="303271" spans="1:1" x14ac:dyDescent="0.25">
      <c r="A303271" s="1"/>
    </row>
    <row r="303272" spans="1:1" x14ac:dyDescent="0.25">
      <c r="A303272" s="1"/>
    </row>
    <row r="303273" spans="1:1" x14ac:dyDescent="0.25">
      <c r="A303273" s="1"/>
    </row>
    <row r="303274" spans="1:1" x14ac:dyDescent="0.25">
      <c r="A303274" s="1"/>
    </row>
    <row r="303275" spans="1:1" x14ac:dyDescent="0.25">
      <c r="A303275" s="1"/>
    </row>
    <row r="303276" spans="1:1" x14ac:dyDescent="0.25">
      <c r="A303276" s="1"/>
    </row>
    <row r="303277" spans="1:1" x14ac:dyDescent="0.25">
      <c r="A303277" s="1"/>
    </row>
    <row r="303278" spans="1:1" x14ac:dyDescent="0.25">
      <c r="A303278" s="1"/>
    </row>
    <row r="303279" spans="1:1" x14ac:dyDescent="0.25">
      <c r="A303279" s="1"/>
    </row>
    <row r="303280" spans="1:1" x14ac:dyDescent="0.25">
      <c r="A303280" s="1"/>
    </row>
    <row r="303281" spans="1:1" x14ac:dyDescent="0.25">
      <c r="A303281" s="1"/>
    </row>
    <row r="303282" spans="1:1" x14ac:dyDescent="0.25">
      <c r="A303282" s="1"/>
    </row>
    <row r="303283" spans="1:1" x14ac:dyDescent="0.25">
      <c r="A303283" s="1"/>
    </row>
    <row r="303284" spans="1:1" x14ac:dyDescent="0.25">
      <c r="A303284" s="1"/>
    </row>
    <row r="303285" spans="1:1" x14ac:dyDescent="0.25">
      <c r="A303285" s="1"/>
    </row>
    <row r="303286" spans="1:1" x14ac:dyDescent="0.25">
      <c r="A303286" s="1"/>
    </row>
    <row r="303287" spans="1:1" x14ac:dyDescent="0.25">
      <c r="A303287" s="1"/>
    </row>
    <row r="303288" spans="1:1" x14ac:dyDescent="0.25">
      <c r="A303288" s="1"/>
    </row>
    <row r="303289" spans="1:1" x14ac:dyDescent="0.25">
      <c r="A303289" s="1"/>
    </row>
    <row r="303290" spans="1:1" x14ac:dyDescent="0.25">
      <c r="A303290" s="1"/>
    </row>
    <row r="303291" spans="1:1" x14ac:dyDescent="0.25">
      <c r="A303291" s="1"/>
    </row>
    <row r="303292" spans="1:1" x14ac:dyDescent="0.25">
      <c r="A303292" s="1"/>
    </row>
    <row r="303293" spans="1:1" x14ac:dyDescent="0.25">
      <c r="A303293" s="1"/>
    </row>
    <row r="303294" spans="1:1" x14ac:dyDescent="0.25">
      <c r="A303294" s="1"/>
    </row>
    <row r="303295" spans="1:1" x14ac:dyDescent="0.25">
      <c r="A303295" s="1"/>
    </row>
    <row r="303296" spans="1:1" x14ac:dyDescent="0.25">
      <c r="A303296" s="1"/>
    </row>
    <row r="303297" spans="1:1" x14ac:dyDescent="0.25">
      <c r="A303297" s="1"/>
    </row>
    <row r="303298" spans="1:1" x14ac:dyDescent="0.25">
      <c r="A303298" s="1"/>
    </row>
    <row r="303299" spans="1:1" x14ac:dyDescent="0.25">
      <c r="A303299" s="1"/>
    </row>
    <row r="303300" spans="1:1" x14ac:dyDescent="0.25">
      <c r="A303300" s="1"/>
    </row>
    <row r="303301" spans="1:1" x14ac:dyDescent="0.25">
      <c r="A303301" s="1"/>
    </row>
    <row r="303302" spans="1:1" x14ac:dyDescent="0.25">
      <c r="A303302" s="1"/>
    </row>
    <row r="303303" spans="1:1" x14ac:dyDescent="0.25">
      <c r="A303303" s="1"/>
    </row>
    <row r="303304" spans="1:1" x14ac:dyDescent="0.25">
      <c r="A303304" s="1"/>
    </row>
    <row r="303305" spans="1:1" x14ac:dyDescent="0.25">
      <c r="A303305" s="1"/>
    </row>
    <row r="303306" spans="1:1" x14ac:dyDescent="0.25">
      <c r="A303306" s="1"/>
    </row>
    <row r="303307" spans="1:1" x14ac:dyDescent="0.25">
      <c r="A303307" s="1"/>
    </row>
    <row r="303308" spans="1:1" x14ac:dyDescent="0.25">
      <c r="A303308" s="1"/>
    </row>
    <row r="303309" spans="1:1" x14ac:dyDescent="0.25">
      <c r="A303309" s="1"/>
    </row>
    <row r="303310" spans="1:1" x14ac:dyDescent="0.25">
      <c r="A303310" s="1"/>
    </row>
    <row r="303311" spans="1:1" x14ac:dyDescent="0.25">
      <c r="A303311" s="1"/>
    </row>
    <row r="303312" spans="1:1" x14ac:dyDescent="0.25">
      <c r="A303312" s="1"/>
    </row>
    <row r="303313" spans="1:1" x14ac:dyDescent="0.25">
      <c r="A303313" s="1"/>
    </row>
    <row r="303314" spans="1:1" x14ac:dyDescent="0.25">
      <c r="A303314" s="1"/>
    </row>
    <row r="303315" spans="1:1" x14ac:dyDescent="0.25">
      <c r="A303315" s="1"/>
    </row>
    <row r="303316" spans="1:1" x14ac:dyDescent="0.25">
      <c r="A303316" s="1"/>
    </row>
    <row r="303317" spans="1:1" x14ac:dyDescent="0.25">
      <c r="A303317" s="1"/>
    </row>
    <row r="303318" spans="1:1" x14ac:dyDescent="0.25">
      <c r="A303318" s="1"/>
    </row>
    <row r="303319" spans="1:1" x14ac:dyDescent="0.25">
      <c r="A303319" s="1"/>
    </row>
    <row r="303320" spans="1:1" x14ac:dyDescent="0.25">
      <c r="A303320" s="1"/>
    </row>
    <row r="303321" spans="1:1" x14ac:dyDescent="0.25">
      <c r="A303321" s="1"/>
    </row>
    <row r="303322" spans="1:1" x14ac:dyDescent="0.25">
      <c r="A303322" s="1"/>
    </row>
    <row r="303323" spans="1:1" x14ac:dyDescent="0.25">
      <c r="A303323" s="1"/>
    </row>
    <row r="303324" spans="1:1" x14ac:dyDescent="0.25">
      <c r="A303324" s="1"/>
    </row>
    <row r="303325" spans="1:1" x14ac:dyDescent="0.25">
      <c r="A303325" s="1"/>
    </row>
    <row r="303326" spans="1:1" x14ac:dyDescent="0.25">
      <c r="A303326" s="1"/>
    </row>
    <row r="303327" spans="1:1" x14ac:dyDescent="0.25">
      <c r="A303327" s="1"/>
    </row>
    <row r="303328" spans="1:1" x14ac:dyDescent="0.25">
      <c r="A303328" s="1"/>
    </row>
    <row r="303329" spans="1:1" x14ac:dyDescent="0.25">
      <c r="A303329" s="1"/>
    </row>
    <row r="303330" spans="1:1" x14ac:dyDescent="0.25">
      <c r="A303330" s="1"/>
    </row>
    <row r="303331" spans="1:1" x14ac:dyDescent="0.25">
      <c r="A303331" s="1"/>
    </row>
    <row r="303332" spans="1:1" x14ac:dyDescent="0.25">
      <c r="A303332" s="1"/>
    </row>
    <row r="303333" spans="1:1" x14ac:dyDescent="0.25">
      <c r="A303333" s="1"/>
    </row>
    <row r="303334" spans="1:1" x14ac:dyDescent="0.25">
      <c r="A303334" s="1"/>
    </row>
    <row r="303335" spans="1:1" x14ac:dyDescent="0.25">
      <c r="A303335" s="1"/>
    </row>
    <row r="303336" spans="1:1" x14ac:dyDescent="0.25">
      <c r="A303336" s="1"/>
    </row>
    <row r="303337" spans="1:1" x14ac:dyDescent="0.25">
      <c r="A303337" s="1"/>
    </row>
    <row r="303338" spans="1:1" x14ac:dyDescent="0.25">
      <c r="A303338" s="1"/>
    </row>
    <row r="303339" spans="1:1" x14ac:dyDescent="0.25">
      <c r="A303339" s="1"/>
    </row>
    <row r="303340" spans="1:1" x14ac:dyDescent="0.25">
      <c r="A303340" s="1"/>
    </row>
    <row r="303341" spans="1:1" x14ac:dyDescent="0.25">
      <c r="A303341" s="1"/>
    </row>
    <row r="303342" spans="1:1" x14ac:dyDescent="0.25">
      <c r="A303342" s="1"/>
    </row>
    <row r="303343" spans="1:1" x14ac:dyDescent="0.25">
      <c r="A303343" s="1"/>
    </row>
    <row r="303344" spans="1:1" x14ac:dyDescent="0.25">
      <c r="A303344" s="1"/>
    </row>
    <row r="303345" spans="1:1" x14ac:dyDescent="0.25">
      <c r="A303345" s="1"/>
    </row>
    <row r="303346" spans="1:1" x14ac:dyDescent="0.25">
      <c r="A303346" s="1"/>
    </row>
    <row r="303347" spans="1:1" x14ac:dyDescent="0.25">
      <c r="A303347" s="1"/>
    </row>
    <row r="303348" spans="1:1" x14ac:dyDescent="0.25">
      <c r="A303348" s="1"/>
    </row>
    <row r="303349" spans="1:1" x14ac:dyDescent="0.25">
      <c r="A303349" s="1"/>
    </row>
    <row r="303350" spans="1:1" x14ac:dyDescent="0.25">
      <c r="A303350" s="1"/>
    </row>
    <row r="303351" spans="1:1" x14ac:dyDescent="0.25">
      <c r="A303351" s="1"/>
    </row>
    <row r="303352" spans="1:1" x14ac:dyDescent="0.25">
      <c r="A303352" s="1"/>
    </row>
    <row r="303353" spans="1:1" x14ac:dyDescent="0.25">
      <c r="A303353" s="1"/>
    </row>
    <row r="303354" spans="1:1" x14ac:dyDescent="0.25">
      <c r="A303354" s="1"/>
    </row>
    <row r="303355" spans="1:1" x14ac:dyDescent="0.25">
      <c r="A303355" s="1"/>
    </row>
    <row r="303356" spans="1:1" x14ac:dyDescent="0.25">
      <c r="A303356" s="1"/>
    </row>
    <row r="303357" spans="1:1" x14ac:dyDescent="0.25">
      <c r="A303357" s="1"/>
    </row>
    <row r="303358" spans="1:1" x14ac:dyDescent="0.25">
      <c r="A303358" s="1"/>
    </row>
    <row r="303359" spans="1:1" x14ac:dyDescent="0.25">
      <c r="A303359" s="1"/>
    </row>
    <row r="303360" spans="1:1" x14ac:dyDescent="0.25">
      <c r="A303360" s="1"/>
    </row>
    <row r="303361" spans="1:1" x14ac:dyDescent="0.25">
      <c r="A303361" s="1"/>
    </row>
    <row r="303362" spans="1:1" x14ac:dyDescent="0.25">
      <c r="A303362" s="1"/>
    </row>
    <row r="303363" spans="1:1" x14ac:dyDescent="0.25">
      <c r="A303363" s="1"/>
    </row>
    <row r="303364" spans="1:1" x14ac:dyDescent="0.25">
      <c r="A303364" s="1"/>
    </row>
    <row r="303365" spans="1:1" x14ac:dyDescent="0.25">
      <c r="A303365" s="1"/>
    </row>
    <row r="303366" spans="1:1" x14ac:dyDescent="0.25">
      <c r="A303366" s="1"/>
    </row>
    <row r="303367" spans="1:1" x14ac:dyDescent="0.25">
      <c r="A303367" s="1"/>
    </row>
    <row r="303368" spans="1:1" x14ac:dyDescent="0.25">
      <c r="A303368" s="1"/>
    </row>
    <row r="303369" spans="1:1" x14ac:dyDescent="0.25">
      <c r="A303369" s="1"/>
    </row>
    <row r="303370" spans="1:1" x14ac:dyDescent="0.25">
      <c r="A303370" s="1"/>
    </row>
    <row r="303371" spans="1:1" x14ac:dyDescent="0.25">
      <c r="A303371" s="1"/>
    </row>
    <row r="303372" spans="1:1" x14ac:dyDescent="0.25">
      <c r="A303372" s="1"/>
    </row>
    <row r="303373" spans="1:1" x14ac:dyDescent="0.25">
      <c r="A303373" s="1"/>
    </row>
    <row r="303374" spans="1:1" x14ac:dyDescent="0.25">
      <c r="A303374" s="1"/>
    </row>
    <row r="303375" spans="1:1" x14ac:dyDescent="0.25">
      <c r="A303375" s="1"/>
    </row>
    <row r="303376" spans="1:1" x14ac:dyDescent="0.25">
      <c r="A303376" s="1"/>
    </row>
    <row r="303377" spans="1:1" x14ac:dyDescent="0.25">
      <c r="A303377" s="1"/>
    </row>
    <row r="303378" spans="1:1" x14ac:dyDescent="0.25">
      <c r="A303378" s="1"/>
    </row>
    <row r="303379" spans="1:1" x14ac:dyDescent="0.25">
      <c r="A303379" s="1"/>
    </row>
    <row r="303380" spans="1:1" x14ac:dyDescent="0.25">
      <c r="A303380" s="1"/>
    </row>
    <row r="303381" spans="1:1" x14ac:dyDescent="0.25">
      <c r="A303381" s="1"/>
    </row>
    <row r="303382" spans="1:1" x14ac:dyDescent="0.25">
      <c r="A303382" s="1"/>
    </row>
    <row r="303383" spans="1:1" x14ac:dyDescent="0.25">
      <c r="A303383" s="1"/>
    </row>
    <row r="303384" spans="1:1" x14ac:dyDescent="0.25">
      <c r="A303384" s="1"/>
    </row>
    <row r="303385" spans="1:1" x14ac:dyDescent="0.25">
      <c r="A303385" s="1"/>
    </row>
    <row r="303386" spans="1:1" x14ac:dyDescent="0.25">
      <c r="A303386" s="1"/>
    </row>
    <row r="303387" spans="1:1" x14ac:dyDescent="0.25">
      <c r="A303387" s="1"/>
    </row>
    <row r="303388" spans="1:1" x14ac:dyDescent="0.25">
      <c r="A303388" s="1"/>
    </row>
    <row r="303389" spans="1:1" x14ac:dyDescent="0.25">
      <c r="A303389" s="1"/>
    </row>
    <row r="303390" spans="1:1" x14ac:dyDescent="0.25">
      <c r="A303390" s="1"/>
    </row>
    <row r="303391" spans="1:1" x14ac:dyDescent="0.25">
      <c r="A303391" s="1"/>
    </row>
    <row r="303392" spans="1:1" x14ac:dyDescent="0.25">
      <c r="A303392" s="1"/>
    </row>
    <row r="303393" spans="1:1" x14ac:dyDescent="0.25">
      <c r="A303393" s="1"/>
    </row>
    <row r="303394" spans="1:1" x14ac:dyDescent="0.25">
      <c r="A303394" s="1"/>
    </row>
    <row r="303395" spans="1:1" x14ac:dyDescent="0.25">
      <c r="A303395" s="1"/>
    </row>
    <row r="303396" spans="1:1" x14ac:dyDescent="0.25">
      <c r="A303396" s="1"/>
    </row>
    <row r="303397" spans="1:1" x14ac:dyDescent="0.25">
      <c r="A303397" s="1"/>
    </row>
    <row r="303398" spans="1:1" x14ac:dyDescent="0.25">
      <c r="A303398" s="1"/>
    </row>
    <row r="303399" spans="1:1" x14ac:dyDescent="0.25">
      <c r="A303399" s="1"/>
    </row>
    <row r="303400" spans="1:1" x14ac:dyDescent="0.25">
      <c r="A303400" s="1"/>
    </row>
    <row r="303401" spans="1:1" x14ac:dyDescent="0.25">
      <c r="A303401" s="1"/>
    </row>
    <row r="303402" spans="1:1" x14ac:dyDescent="0.25">
      <c r="A303402" s="1"/>
    </row>
    <row r="303403" spans="1:1" x14ac:dyDescent="0.25">
      <c r="A303403" s="1"/>
    </row>
    <row r="303404" spans="1:1" x14ac:dyDescent="0.25">
      <c r="A303404" s="1"/>
    </row>
    <row r="303405" spans="1:1" x14ac:dyDescent="0.25">
      <c r="A303405" s="1"/>
    </row>
    <row r="303406" spans="1:1" x14ac:dyDescent="0.25">
      <c r="A303406" s="1"/>
    </row>
    <row r="303407" spans="1:1" x14ac:dyDescent="0.25">
      <c r="A303407" s="1"/>
    </row>
    <row r="303408" spans="1:1" x14ac:dyDescent="0.25">
      <c r="A303408" s="1"/>
    </row>
    <row r="303409" spans="1:1" x14ac:dyDescent="0.25">
      <c r="A303409" s="1"/>
    </row>
    <row r="303410" spans="1:1" x14ac:dyDescent="0.25">
      <c r="A303410" s="1"/>
    </row>
    <row r="303411" spans="1:1" x14ac:dyDescent="0.25">
      <c r="A303411" s="1"/>
    </row>
    <row r="303412" spans="1:1" x14ac:dyDescent="0.25">
      <c r="A303412" s="1"/>
    </row>
    <row r="303413" spans="1:1" x14ac:dyDescent="0.25">
      <c r="A303413" s="1"/>
    </row>
    <row r="303414" spans="1:1" x14ac:dyDescent="0.25">
      <c r="A303414" s="1"/>
    </row>
    <row r="303415" spans="1:1" x14ac:dyDescent="0.25">
      <c r="A303415" s="1"/>
    </row>
    <row r="303416" spans="1:1" x14ac:dyDescent="0.25">
      <c r="A303416" s="1"/>
    </row>
    <row r="303417" spans="1:1" x14ac:dyDescent="0.25">
      <c r="A303417" s="1"/>
    </row>
    <row r="303418" spans="1:1" x14ac:dyDescent="0.25">
      <c r="A303418" s="1"/>
    </row>
    <row r="303419" spans="1:1" x14ac:dyDescent="0.25">
      <c r="A303419" s="1"/>
    </row>
    <row r="303420" spans="1:1" x14ac:dyDescent="0.25">
      <c r="A303420" s="1"/>
    </row>
    <row r="303421" spans="1:1" x14ac:dyDescent="0.25">
      <c r="A303421" s="1"/>
    </row>
    <row r="303422" spans="1:1" x14ac:dyDescent="0.25">
      <c r="A303422" s="1"/>
    </row>
    <row r="303423" spans="1:1" x14ac:dyDescent="0.25">
      <c r="A303423" s="1"/>
    </row>
    <row r="303424" spans="1:1" x14ac:dyDescent="0.25">
      <c r="A303424" s="1"/>
    </row>
    <row r="303425" spans="1:1" x14ac:dyDescent="0.25">
      <c r="A303425" s="1"/>
    </row>
    <row r="303426" spans="1:1" x14ac:dyDescent="0.25">
      <c r="A303426" s="1"/>
    </row>
    <row r="303427" spans="1:1" x14ac:dyDescent="0.25">
      <c r="A303427" s="1"/>
    </row>
    <row r="303428" spans="1:1" x14ac:dyDescent="0.25">
      <c r="A303428" s="1"/>
    </row>
    <row r="303429" spans="1:1" x14ac:dyDescent="0.25">
      <c r="A303429" s="1"/>
    </row>
    <row r="303430" spans="1:1" x14ac:dyDescent="0.25">
      <c r="A303430" s="1"/>
    </row>
    <row r="303431" spans="1:1" x14ac:dyDescent="0.25">
      <c r="A303431" s="1"/>
    </row>
    <row r="303432" spans="1:1" x14ac:dyDescent="0.25">
      <c r="A303432" s="1"/>
    </row>
    <row r="303433" spans="1:1" x14ac:dyDescent="0.25">
      <c r="A303433" s="1"/>
    </row>
    <row r="303434" spans="1:1" x14ac:dyDescent="0.25">
      <c r="A303434" s="1"/>
    </row>
    <row r="303435" spans="1:1" x14ac:dyDescent="0.25">
      <c r="A303435" s="1"/>
    </row>
    <row r="303436" spans="1:1" x14ac:dyDescent="0.25">
      <c r="A303436" s="1"/>
    </row>
    <row r="303437" spans="1:1" x14ac:dyDescent="0.25">
      <c r="A303437" s="1"/>
    </row>
    <row r="303438" spans="1:1" x14ac:dyDescent="0.25">
      <c r="A303438" s="1"/>
    </row>
    <row r="303439" spans="1:1" x14ac:dyDescent="0.25">
      <c r="A303439" s="1"/>
    </row>
    <row r="303440" spans="1:1" x14ac:dyDescent="0.25">
      <c r="A303440" s="1"/>
    </row>
    <row r="303441" spans="1:1" x14ac:dyDescent="0.25">
      <c r="A303441" s="1"/>
    </row>
    <row r="303442" spans="1:1" x14ac:dyDescent="0.25">
      <c r="A303442" s="1"/>
    </row>
    <row r="303443" spans="1:1" x14ac:dyDescent="0.25">
      <c r="A303443" s="1"/>
    </row>
    <row r="303444" spans="1:1" x14ac:dyDescent="0.25">
      <c r="A303444" s="1"/>
    </row>
    <row r="303445" spans="1:1" x14ac:dyDescent="0.25">
      <c r="A303445" s="1"/>
    </row>
    <row r="303446" spans="1:1" x14ac:dyDescent="0.25">
      <c r="A303446" s="1"/>
    </row>
    <row r="303447" spans="1:1" x14ac:dyDescent="0.25">
      <c r="A303447" s="1"/>
    </row>
    <row r="303448" spans="1:1" x14ac:dyDescent="0.25">
      <c r="A303448" s="1"/>
    </row>
    <row r="303449" spans="1:1" x14ac:dyDescent="0.25">
      <c r="A303449" s="1"/>
    </row>
    <row r="303450" spans="1:1" x14ac:dyDescent="0.25">
      <c r="A303450" s="1"/>
    </row>
    <row r="303451" spans="1:1" x14ac:dyDescent="0.25">
      <c r="A303451" s="1"/>
    </row>
    <row r="303452" spans="1:1" x14ac:dyDescent="0.25">
      <c r="A303452" s="1"/>
    </row>
    <row r="303453" spans="1:1" x14ac:dyDescent="0.25">
      <c r="A303453" s="1"/>
    </row>
    <row r="303454" spans="1:1" x14ac:dyDescent="0.25">
      <c r="A303454" s="1"/>
    </row>
    <row r="303455" spans="1:1" x14ac:dyDescent="0.25">
      <c r="A303455" s="1"/>
    </row>
    <row r="303456" spans="1:1" x14ac:dyDescent="0.25">
      <c r="A303456" s="1"/>
    </row>
    <row r="303457" spans="1:1" x14ac:dyDescent="0.25">
      <c r="A303457" s="1"/>
    </row>
    <row r="303458" spans="1:1" x14ac:dyDescent="0.25">
      <c r="A303458" s="1"/>
    </row>
    <row r="303459" spans="1:1" x14ac:dyDescent="0.25">
      <c r="A303459" s="1"/>
    </row>
    <row r="303460" spans="1:1" x14ac:dyDescent="0.25">
      <c r="A303460" s="1"/>
    </row>
    <row r="303461" spans="1:1" x14ac:dyDescent="0.25">
      <c r="A303461" s="1"/>
    </row>
    <row r="303462" spans="1:1" x14ac:dyDescent="0.25">
      <c r="A303462" s="1"/>
    </row>
    <row r="303463" spans="1:1" x14ac:dyDescent="0.25">
      <c r="A303463" s="1"/>
    </row>
    <row r="303464" spans="1:1" x14ac:dyDescent="0.25">
      <c r="A303464" s="1"/>
    </row>
    <row r="303465" spans="1:1" x14ac:dyDescent="0.25">
      <c r="A303465" s="1"/>
    </row>
    <row r="303466" spans="1:1" x14ac:dyDescent="0.25">
      <c r="A303466" s="1"/>
    </row>
    <row r="303467" spans="1:1" x14ac:dyDescent="0.25">
      <c r="A303467" s="1"/>
    </row>
    <row r="303468" spans="1:1" x14ac:dyDescent="0.25">
      <c r="A303468" s="1"/>
    </row>
    <row r="303469" spans="1:1" x14ac:dyDescent="0.25">
      <c r="A303469" s="1"/>
    </row>
    <row r="303470" spans="1:1" x14ac:dyDescent="0.25">
      <c r="A303470" s="1"/>
    </row>
    <row r="303471" spans="1:1" x14ac:dyDescent="0.25">
      <c r="A303471" s="1"/>
    </row>
    <row r="303472" spans="1:1" x14ac:dyDescent="0.25">
      <c r="A303472" s="1"/>
    </row>
    <row r="303473" spans="1:1" x14ac:dyDescent="0.25">
      <c r="A303473" s="1"/>
    </row>
    <row r="303474" spans="1:1" x14ac:dyDescent="0.25">
      <c r="A303474" s="1"/>
    </row>
    <row r="303475" spans="1:1" x14ac:dyDescent="0.25">
      <c r="A303475" s="1"/>
    </row>
    <row r="303476" spans="1:1" x14ac:dyDescent="0.25">
      <c r="A303476" s="1"/>
    </row>
    <row r="303477" spans="1:1" x14ac:dyDescent="0.25">
      <c r="A303477" s="1"/>
    </row>
    <row r="303478" spans="1:1" x14ac:dyDescent="0.25">
      <c r="A303478" s="1"/>
    </row>
    <row r="303479" spans="1:1" x14ac:dyDescent="0.25">
      <c r="A303479" s="1"/>
    </row>
    <row r="303480" spans="1:1" x14ac:dyDescent="0.25">
      <c r="A303480" s="1"/>
    </row>
    <row r="303481" spans="1:1" x14ac:dyDescent="0.25">
      <c r="A303481" s="1"/>
    </row>
    <row r="303482" spans="1:1" x14ac:dyDescent="0.25">
      <c r="A303482" s="1"/>
    </row>
    <row r="303483" spans="1:1" x14ac:dyDescent="0.25">
      <c r="A303483" s="1"/>
    </row>
    <row r="303484" spans="1:1" x14ac:dyDescent="0.25">
      <c r="A303484" s="1"/>
    </row>
    <row r="303485" spans="1:1" x14ac:dyDescent="0.25">
      <c r="A303485" s="1"/>
    </row>
    <row r="303486" spans="1:1" x14ac:dyDescent="0.25">
      <c r="A303486" s="1"/>
    </row>
    <row r="303487" spans="1:1" x14ac:dyDescent="0.25">
      <c r="A303487" s="1"/>
    </row>
    <row r="303488" spans="1:1" x14ac:dyDescent="0.25">
      <c r="A303488" s="1"/>
    </row>
    <row r="303489" spans="1:1" x14ac:dyDescent="0.25">
      <c r="A303489" s="1"/>
    </row>
    <row r="303490" spans="1:1" x14ac:dyDescent="0.25">
      <c r="A303490" s="1"/>
    </row>
    <row r="303491" spans="1:1" x14ac:dyDescent="0.25">
      <c r="A303491" s="1"/>
    </row>
    <row r="303492" spans="1:1" x14ac:dyDescent="0.25">
      <c r="A303492" s="1"/>
    </row>
    <row r="303493" spans="1:1" x14ac:dyDescent="0.25">
      <c r="A303493" s="1"/>
    </row>
    <row r="303494" spans="1:1" x14ac:dyDescent="0.25">
      <c r="A303494" s="1"/>
    </row>
    <row r="303495" spans="1:1" x14ac:dyDescent="0.25">
      <c r="A303495" s="1"/>
    </row>
    <row r="303496" spans="1:1" x14ac:dyDescent="0.25">
      <c r="A303496" s="1"/>
    </row>
    <row r="303497" spans="1:1" x14ac:dyDescent="0.25">
      <c r="A303497" s="1"/>
    </row>
    <row r="303498" spans="1:1" x14ac:dyDescent="0.25">
      <c r="A303498" s="1"/>
    </row>
    <row r="303499" spans="1:1" x14ac:dyDescent="0.25">
      <c r="A303499" s="1"/>
    </row>
    <row r="303500" spans="1:1" x14ac:dyDescent="0.25">
      <c r="A303500" s="1"/>
    </row>
    <row r="303501" spans="1:1" x14ac:dyDescent="0.25">
      <c r="A303501" s="1"/>
    </row>
    <row r="303502" spans="1:1" x14ac:dyDescent="0.25">
      <c r="A303502" s="1"/>
    </row>
    <row r="303503" spans="1:1" x14ac:dyDescent="0.25">
      <c r="A303503" s="1"/>
    </row>
    <row r="303504" spans="1:1" x14ac:dyDescent="0.25">
      <c r="A303504" s="1"/>
    </row>
    <row r="303505" spans="1:1" x14ac:dyDescent="0.25">
      <c r="A303505" s="1"/>
    </row>
    <row r="303506" spans="1:1" x14ac:dyDescent="0.25">
      <c r="A303506" s="1"/>
    </row>
    <row r="303507" spans="1:1" x14ac:dyDescent="0.25">
      <c r="A303507" s="1"/>
    </row>
    <row r="303508" spans="1:1" x14ac:dyDescent="0.25">
      <c r="A303508" s="1"/>
    </row>
    <row r="303509" spans="1:1" x14ac:dyDescent="0.25">
      <c r="A303509" s="1"/>
    </row>
    <row r="303510" spans="1:1" x14ac:dyDescent="0.25">
      <c r="A303510" s="1"/>
    </row>
    <row r="303511" spans="1:1" x14ac:dyDescent="0.25">
      <c r="A303511" s="1"/>
    </row>
    <row r="303512" spans="1:1" x14ac:dyDescent="0.25">
      <c r="A303512" s="1"/>
    </row>
    <row r="303513" spans="1:1" x14ac:dyDescent="0.25">
      <c r="A303513" s="1"/>
    </row>
    <row r="303514" spans="1:1" x14ac:dyDescent="0.25">
      <c r="A303514" s="1"/>
    </row>
    <row r="303515" spans="1:1" x14ac:dyDescent="0.25">
      <c r="A303515" s="1"/>
    </row>
    <row r="303516" spans="1:1" x14ac:dyDescent="0.25">
      <c r="A303516" s="1"/>
    </row>
    <row r="303517" spans="1:1" x14ac:dyDescent="0.25">
      <c r="A303517" s="1"/>
    </row>
    <row r="303518" spans="1:1" x14ac:dyDescent="0.25">
      <c r="A303518" s="1"/>
    </row>
    <row r="303519" spans="1:1" x14ac:dyDescent="0.25">
      <c r="A303519" s="1"/>
    </row>
    <row r="303520" spans="1:1" x14ac:dyDescent="0.25">
      <c r="A303520" s="1"/>
    </row>
    <row r="303521" spans="1:1" x14ac:dyDescent="0.25">
      <c r="A303521" s="1"/>
    </row>
    <row r="303522" spans="1:1" x14ac:dyDescent="0.25">
      <c r="A303522" s="1"/>
    </row>
    <row r="303523" spans="1:1" x14ac:dyDescent="0.25">
      <c r="A303523" s="1"/>
    </row>
    <row r="303524" spans="1:1" x14ac:dyDescent="0.25">
      <c r="A303524" s="1"/>
    </row>
    <row r="303525" spans="1:1" x14ac:dyDescent="0.25">
      <c r="A303525" s="1"/>
    </row>
    <row r="303526" spans="1:1" x14ac:dyDescent="0.25">
      <c r="A303526" s="1"/>
    </row>
    <row r="303527" spans="1:1" x14ac:dyDescent="0.25">
      <c r="A303527" s="1"/>
    </row>
    <row r="303528" spans="1:1" x14ac:dyDescent="0.25">
      <c r="A303528" s="1"/>
    </row>
    <row r="303529" spans="1:1" x14ac:dyDescent="0.25">
      <c r="A303529" s="1"/>
    </row>
    <row r="303530" spans="1:1" x14ac:dyDescent="0.25">
      <c r="A303530" s="1"/>
    </row>
    <row r="303531" spans="1:1" x14ac:dyDescent="0.25">
      <c r="A303531" s="1"/>
    </row>
    <row r="303532" spans="1:1" x14ac:dyDescent="0.25">
      <c r="A303532" s="1"/>
    </row>
    <row r="303533" spans="1:1" x14ac:dyDescent="0.25">
      <c r="A303533" s="1"/>
    </row>
    <row r="303534" spans="1:1" x14ac:dyDescent="0.25">
      <c r="A303534" s="1"/>
    </row>
    <row r="303535" spans="1:1" x14ac:dyDescent="0.25">
      <c r="A303535" s="1"/>
    </row>
    <row r="303536" spans="1:1" x14ac:dyDescent="0.25">
      <c r="A303536" s="1"/>
    </row>
    <row r="303537" spans="1:1" x14ac:dyDescent="0.25">
      <c r="A303537" s="1"/>
    </row>
    <row r="303538" spans="1:1" x14ac:dyDescent="0.25">
      <c r="A303538" s="1"/>
    </row>
    <row r="303539" spans="1:1" x14ac:dyDescent="0.25">
      <c r="A303539" s="1"/>
    </row>
    <row r="303540" spans="1:1" x14ac:dyDescent="0.25">
      <c r="A303540" s="1"/>
    </row>
    <row r="303541" spans="1:1" x14ac:dyDescent="0.25">
      <c r="A303541" s="1"/>
    </row>
    <row r="303542" spans="1:1" x14ac:dyDescent="0.25">
      <c r="A303542" s="1"/>
    </row>
    <row r="303543" spans="1:1" x14ac:dyDescent="0.25">
      <c r="A303543" s="1"/>
    </row>
    <row r="303544" spans="1:1" x14ac:dyDescent="0.25">
      <c r="A303544" s="1"/>
    </row>
    <row r="303545" spans="1:1" x14ac:dyDescent="0.25">
      <c r="A303545" s="1"/>
    </row>
    <row r="303546" spans="1:1" x14ac:dyDescent="0.25">
      <c r="A303546" s="1"/>
    </row>
    <row r="303547" spans="1:1" x14ac:dyDescent="0.25">
      <c r="A303547" s="1"/>
    </row>
    <row r="303548" spans="1:1" x14ac:dyDescent="0.25">
      <c r="A303548" s="1"/>
    </row>
    <row r="303549" spans="1:1" x14ac:dyDescent="0.25">
      <c r="A303549" s="1"/>
    </row>
    <row r="303550" spans="1:1" x14ac:dyDescent="0.25">
      <c r="A303550" s="1"/>
    </row>
    <row r="303551" spans="1:1" x14ac:dyDescent="0.25">
      <c r="A303551" s="1"/>
    </row>
    <row r="303552" spans="1:1" x14ac:dyDescent="0.25">
      <c r="A303552" s="1"/>
    </row>
    <row r="303553" spans="1:1" x14ac:dyDescent="0.25">
      <c r="A303553" s="1"/>
    </row>
    <row r="303554" spans="1:1" x14ac:dyDescent="0.25">
      <c r="A303554" s="1"/>
    </row>
    <row r="303555" spans="1:1" x14ac:dyDescent="0.25">
      <c r="A303555" s="1"/>
    </row>
    <row r="303556" spans="1:1" x14ac:dyDescent="0.25">
      <c r="A303556" s="1"/>
    </row>
    <row r="303557" spans="1:1" x14ac:dyDescent="0.25">
      <c r="A303557" s="1"/>
    </row>
    <row r="303558" spans="1:1" x14ac:dyDescent="0.25">
      <c r="A303558" s="1"/>
    </row>
    <row r="303559" spans="1:1" x14ac:dyDescent="0.25">
      <c r="A303559" s="1"/>
    </row>
    <row r="303560" spans="1:1" x14ac:dyDescent="0.25">
      <c r="A303560" s="1"/>
    </row>
    <row r="303561" spans="1:1" x14ac:dyDescent="0.25">
      <c r="A303561" s="1"/>
    </row>
    <row r="303562" spans="1:1" x14ac:dyDescent="0.25">
      <c r="A303562" s="1"/>
    </row>
    <row r="303563" spans="1:1" x14ac:dyDescent="0.25">
      <c r="A303563" s="1"/>
    </row>
    <row r="303564" spans="1:1" x14ac:dyDescent="0.25">
      <c r="A303564" s="1"/>
    </row>
    <row r="303565" spans="1:1" x14ac:dyDescent="0.25">
      <c r="A303565" s="1"/>
    </row>
    <row r="303566" spans="1:1" x14ac:dyDescent="0.25">
      <c r="A303566" s="1"/>
    </row>
    <row r="303567" spans="1:1" x14ac:dyDescent="0.25">
      <c r="A303567" s="1"/>
    </row>
    <row r="303568" spans="1:1" x14ac:dyDescent="0.25">
      <c r="A303568" s="1"/>
    </row>
    <row r="303569" spans="1:1" x14ac:dyDescent="0.25">
      <c r="A303569" s="1"/>
    </row>
    <row r="303570" spans="1:1" x14ac:dyDescent="0.25">
      <c r="A303570" s="1"/>
    </row>
    <row r="303571" spans="1:1" x14ac:dyDescent="0.25">
      <c r="A303571" s="1"/>
    </row>
    <row r="303572" spans="1:1" x14ac:dyDescent="0.25">
      <c r="A303572" s="1"/>
    </row>
    <row r="303573" spans="1:1" x14ac:dyDescent="0.25">
      <c r="A303573" s="1"/>
    </row>
    <row r="303574" spans="1:1" x14ac:dyDescent="0.25">
      <c r="A303574" s="1"/>
    </row>
    <row r="303575" spans="1:1" x14ac:dyDescent="0.25">
      <c r="A303575" s="1"/>
    </row>
    <row r="303576" spans="1:1" x14ac:dyDescent="0.25">
      <c r="A303576" s="1"/>
    </row>
    <row r="303577" spans="1:1" x14ac:dyDescent="0.25">
      <c r="A303577" s="1"/>
    </row>
    <row r="303578" spans="1:1" x14ac:dyDescent="0.25">
      <c r="A303578" s="1"/>
    </row>
    <row r="303579" spans="1:1" x14ac:dyDescent="0.25">
      <c r="A303579" s="1"/>
    </row>
    <row r="303580" spans="1:1" x14ac:dyDescent="0.25">
      <c r="A303580" s="1"/>
    </row>
    <row r="303581" spans="1:1" x14ac:dyDescent="0.25">
      <c r="A303581" s="1"/>
    </row>
    <row r="303582" spans="1:1" x14ac:dyDescent="0.25">
      <c r="A303582" s="1"/>
    </row>
    <row r="303583" spans="1:1" x14ac:dyDescent="0.25">
      <c r="A303583" s="1"/>
    </row>
    <row r="303584" spans="1:1" x14ac:dyDescent="0.25">
      <c r="A303584" s="1"/>
    </row>
    <row r="303585" spans="1:1" x14ac:dyDescent="0.25">
      <c r="A303585" s="1"/>
    </row>
    <row r="303586" spans="1:1" x14ac:dyDescent="0.25">
      <c r="A303586" s="1"/>
    </row>
    <row r="303587" spans="1:1" x14ac:dyDescent="0.25">
      <c r="A303587" s="1"/>
    </row>
    <row r="303588" spans="1:1" x14ac:dyDescent="0.25">
      <c r="A303588" s="1"/>
    </row>
    <row r="303589" spans="1:1" x14ac:dyDescent="0.25">
      <c r="A303589" s="1"/>
    </row>
    <row r="303590" spans="1:1" x14ac:dyDescent="0.25">
      <c r="A303590" s="1"/>
    </row>
    <row r="303591" spans="1:1" x14ac:dyDescent="0.25">
      <c r="A303591" s="1"/>
    </row>
    <row r="303592" spans="1:1" x14ac:dyDescent="0.25">
      <c r="A303592" s="1"/>
    </row>
    <row r="303593" spans="1:1" x14ac:dyDescent="0.25">
      <c r="A303593" s="1"/>
    </row>
    <row r="303594" spans="1:1" x14ac:dyDescent="0.25">
      <c r="A303594" s="1"/>
    </row>
    <row r="303595" spans="1:1" x14ac:dyDescent="0.25">
      <c r="A303595" s="1"/>
    </row>
    <row r="303596" spans="1:1" x14ac:dyDescent="0.25">
      <c r="A303596" s="1"/>
    </row>
    <row r="303597" spans="1:1" x14ac:dyDescent="0.25">
      <c r="A303597" s="1"/>
    </row>
    <row r="303598" spans="1:1" x14ac:dyDescent="0.25">
      <c r="A303598" s="1"/>
    </row>
    <row r="303599" spans="1:1" x14ac:dyDescent="0.25">
      <c r="A303599" s="1"/>
    </row>
    <row r="303600" spans="1:1" x14ac:dyDescent="0.25">
      <c r="A303600" s="1"/>
    </row>
    <row r="303601" spans="1:1" x14ac:dyDescent="0.25">
      <c r="A303601" s="1"/>
    </row>
    <row r="303602" spans="1:1" x14ac:dyDescent="0.25">
      <c r="A303602" s="1"/>
    </row>
    <row r="303603" spans="1:1" x14ac:dyDescent="0.25">
      <c r="A303603" s="1"/>
    </row>
    <row r="303604" spans="1:1" x14ac:dyDescent="0.25">
      <c r="A303604" s="1"/>
    </row>
    <row r="303605" spans="1:1" x14ac:dyDescent="0.25">
      <c r="A303605" s="1"/>
    </row>
    <row r="303606" spans="1:1" x14ac:dyDescent="0.25">
      <c r="A303606" s="1"/>
    </row>
    <row r="303607" spans="1:1" x14ac:dyDescent="0.25">
      <c r="A303607" s="1"/>
    </row>
    <row r="303608" spans="1:1" x14ac:dyDescent="0.25">
      <c r="A303608" s="1"/>
    </row>
    <row r="303609" spans="1:1" x14ac:dyDescent="0.25">
      <c r="A303609" s="1"/>
    </row>
    <row r="303610" spans="1:1" x14ac:dyDescent="0.25">
      <c r="A303610" s="1"/>
    </row>
    <row r="303611" spans="1:1" x14ac:dyDescent="0.25">
      <c r="A303611" s="1"/>
    </row>
    <row r="303612" spans="1:1" x14ac:dyDescent="0.25">
      <c r="A303612" s="1"/>
    </row>
    <row r="303613" spans="1:1" x14ac:dyDescent="0.25">
      <c r="A303613" s="1"/>
    </row>
    <row r="303614" spans="1:1" x14ac:dyDescent="0.25">
      <c r="A303614" s="1"/>
    </row>
    <row r="303615" spans="1:1" x14ac:dyDescent="0.25">
      <c r="A303615" s="1"/>
    </row>
    <row r="303616" spans="1:1" x14ac:dyDescent="0.25">
      <c r="A303616" s="1"/>
    </row>
    <row r="303617" spans="1:1" x14ac:dyDescent="0.25">
      <c r="A303617" s="1"/>
    </row>
    <row r="303618" spans="1:1" x14ac:dyDescent="0.25">
      <c r="A303618" s="1"/>
    </row>
    <row r="303619" spans="1:1" x14ac:dyDescent="0.25">
      <c r="A303619" s="1"/>
    </row>
    <row r="303620" spans="1:1" x14ac:dyDescent="0.25">
      <c r="A303620" s="1"/>
    </row>
    <row r="303621" spans="1:1" x14ac:dyDescent="0.25">
      <c r="A303621" s="1"/>
    </row>
    <row r="303622" spans="1:1" x14ac:dyDescent="0.25">
      <c r="A303622" s="1"/>
    </row>
    <row r="303623" spans="1:1" x14ac:dyDescent="0.25">
      <c r="A303623" s="1"/>
    </row>
    <row r="303624" spans="1:1" x14ac:dyDescent="0.25">
      <c r="A303624" s="1"/>
    </row>
    <row r="303625" spans="1:1" x14ac:dyDescent="0.25">
      <c r="A303625" s="1"/>
    </row>
    <row r="303626" spans="1:1" x14ac:dyDescent="0.25">
      <c r="A303626" s="1"/>
    </row>
    <row r="303627" spans="1:1" x14ac:dyDescent="0.25">
      <c r="A303627" s="1"/>
    </row>
    <row r="303628" spans="1:1" x14ac:dyDescent="0.25">
      <c r="A303628" s="1"/>
    </row>
    <row r="303629" spans="1:1" x14ac:dyDescent="0.25">
      <c r="A303629" s="1"/>
    </row>
    <row r="303630" spans="1:1" x14ac:dyDescent="0.25">
      <c r="A303630" s="1"/>
    </row>
    <row r="303631" spans="1:1" x14ac:dyDescent="0.25">
      <c r="A303631" s="1"/>
    </row>
    <row r="303632" spans="1:1" x14ac:dyDescent="0.25">
      <c r="A303632" s="1"/>
    </row>
    <row r="303633" spans="1:1" x14ac:dyDescent="0.25">
      <c r="A303633" s="1"/>
    </row>
    <row r="303634" spans="1:1" x14ac:dyDescent="0.25">
      <c r="A303634" s="1"/>
    </row>
    <row r="303635" spans="1:1" x14ac:dyDescent="0.25">
      <c r="A303635" s="1"/>
    </row>
    <row r="303636" spans="1:1" x14ac:dyDescent="0.25">
      <c r="A303636" s="1"/>
    </row>
    <row r="303637" spans="1:1" x14ac:dyDescent="0.25">
      <c r="A303637" s="1"/>
    </row>
    <row r="303638" spans="1:1" x14ac:dyDescent="0.25">
      <c r="A303638" s="1"/>
    </row>
    <row r="303639" spans="1:1" x14ac:dyDescent="0.25">
      <c r="A303639" s="1"/>
    </row>
    <row r="303640" spans="1:1" x14ac:dyDescent="0.25">
      <c r="A303640" s="1"/>
    </row>
    <row r="303641" spans="1:1" x14ac:dyDescent="0.25">
      <c r="A303641" s="1"/>
    </row>
    <row r="303642" spans="1:1" x14ac:dyDescent="0.25">
      <c r="A303642" s="1"/>
    </row>
    <row r="303643" spans="1:1" x14ac:dyDescent="0.25">
      <c r="A303643" s="1"/>
    </row>
    <row r="303644" spans="1:1" x14ac:dyDescent="0.25">
      <c r="A303644" s="1"/>
    </row>
    <row r="303645" spans="1:1" x14ac:dyDescent="0.25">
      <c r="A303645" s="1"/>
    </row>
    <row r="303646" spans="1:1" x14ac:dyDescent="0.25">
      <c r="A303646" s="1"/>
    </row>
    <row r="303647" spans="1:1" x14ac:dyDescent="0.25">
      <c r="A303647" s="1"/>
    </row>
    <row r="303648" spans="1:1" x14ac:dyDescent="0.25">
      <c r="A303648" s="1"/>
    </row>
    <row r="303649" spans="1:1" x14ac:dyDescent="0.25">
      <c r="A303649" s="1"/>
    </row>
    <row r="303650" spans="1:1" x14ac:dyDescent="0.25">
      <c r="A303650" s="1"/>
    </row>
    <row r="303651" spans="1:1" x14ac:dyDescent="0.25">
      <c r="A303651" s="1"/>
    </row>
    <row r="303652" spans="1:1" x14ac:dyDescent="0.25">
      <c r="A303652" s="1"/>
    </row>
    <row r="303653" spans="1:1" x14ac:dyDescent="0.25">
      <c r="A303653" s="1"/>
    </row>
    <row r="303654" spans="1:1" x14ac:dyDescent="0.25">
      <c r="A303654" s="1"/>
    </row>
    <row r="303655" spans="1:1" x14ac:dyDescent="0.25">
      <c r="A303655" s="1"/>
    </row>
    <row r="303656" spans="1:1" x14ac:dyDescent="0.25">
      <c r="A303656" s="1"/>
    </row>
    <row r="303657" spans="1:1" x14ac:dyDescent="0.25">
      <c r="A303657" s="1"/>
    </row>
    <row r="303658" spans="1:1" x14ac:dyDescent="0.25">
      <c r="A303658" s="1"/>
    </row>
    <row r="303659" spans="1:1" x14ac:dyDescent="0.25">
      <c r="A303659" s="1"/>
    </row>
    <row r="303660" spans="1:1" x14ac:dyDescent="0.25">
      <c r="A303660" s="1"/>
    </row>
    <row r="303661" spans="1:1" x14ac:dyDescent="0.25">
      <c r="A303661" s="1"/>
    </row>
    <row r="303662" spans="1:1" x14ac:dyDescent="0.25">
      <c r="A303662" s="1"/>
    </row>
    <row r="303663" spans="1:1" x14ac:dyDescent="0.25">
      <c r="A303663" s="1"/>
    </row>
    <row r="303664" spans="1:1" x14ac:dyDescent="0.25">
      <c r="A303664" s="1"/>
    </row>
    <row r="303665" spans="1:1" x14ac:dyDescent="0.25">
      <c r="A303665" s="1"/>
    </row>
    <row r="303666" spans="1:1" x14ac:dyDescent="0.25">
      <c r="A303666" s="1"/>
    </row>
    <row r="303667" spans="1:1" x14ac:dyDescent="0.25">
      <c r="A303667" s="1"/>
    </row>
    <row r="303668" spans="1:1" x14ac:dyDescent="0.25">
      <c r="A303668" s="1"/>
    </row>
    <row r="303669" spans="1:1" x14ac:dyDescent="0.25">
      <c r="A303669" s="1"/>
    </row>
    <row r="303670" spans="1:1" x14ac:dyDescent="0.25">
      <c r="A303670" s="1"/>
    </row>
    <row r="303671" spans="1:1" x14ac:dyDescent="0.25">
      <c r="A303671" s="1"/>
    </row>
    <row r="303672" spans="1:1" x14ac:dyDescent="0.25">
      <c r="A303672" s="1"/>
    </row>
    <row r="303673" spans="1:1" x14ac:dyDescent="0.25">
      <c r="A303673" s="1"/>
    </row>
    <row r="303674" spans="1:1" x14ac:dyDescent="0.25">
      <c r="A303674" s="1"/>
    </row>
    <row r="303675" spans="1:1" x14ac:dyDescent="0.25">
      <c r="A303675" s="1"/>
    </row>
    <row r="303676" spans="1:1" x14ac:dyDescent="0.25">
      <c r="A303676" s="1"/>
    </row>
    <row r="303677" spans="1:1" x14ac:dyDescent="0.25">
      <c r="A303677" s="1"/>
    </row>
    <row r="303678" spans="1:1" x14ac:dyDescent="0.25">
      <c r="A303678" s="1"/>
    </row>
    <row r="303679" spans="1:1" x14ac:dyDescent="0.25">
      <c r="A303679" s="1"/>
    </row>
    <row r="303680" spans="1:1" x14ac:dyDescent="0.25">
      <c r="A303680" s="1"/>
    </row>
    <row r="303681" spans="1:1" x14ac:dyDescent="0.25">
      <c r="A303681" s="1"/>
    </row>
    <row r="303682" spans="1:1" x14ac:dyDescent="0.25">
      <c r="A303682" s="1"/>
    </row>
    <row r="303683" spans="1:1" x14ac:dyDescent="0.25">
      <c r="A303683" s="1"/>
    </row>
    <row r="303684" spans="1:1" x14ac:dyDescent="0.25">
      <c r="A303684" s="1"/>
    </row>
    <row r="303685" spans="1:1" x14ac:dyDescent="0.25">
      <c r="A303685" s="1"/>
    </row>
    <row r="303686" spans="1:1" x14ac:dyDescent="0.25">
      <c r="A303686" s="1"/>
    </row>
    <row r="303687" spans="1:1" x14ac:dyDescent="0.25">
      <c r="A303687" s="1"/>
    </row>
    <row r="303688" spans="1:1" x14ac:dyDescent="0.25">
      <c r="A303688" s="1"/>
    </row>
    <row r="303689" spans="1:1" x14ac:dyDescent="0.25">
      <c r="A303689" s="1"/>
    </row>
    <row r="303690" spans="1:1" x14ac:dyDescent="0.25">
      <c r="A303690" s="1"/>
    </row>
    <row r="303691" spans="1:1" x14ac:dyDescent="0.25">
      <c r="A303691" s="1"/>
    </row>
    <row r="303692" spans="1:1" x14ac:dyDescent="0.25">
      <c r="A303692" s="1"/>
    </row>
    <row r="303693" spans="1:1" x14ac:dyDescent="0.25">
      <c r="A303693" s="1"/>
    </row>
    <row r="303694" spans="1:1" x14ac:dyDescent="0.25">
      <c r="A303694" s="1"/>
    </row>
    <row r="303695" spans="1:1" x14ac:dyDescent="0.25">
      <c r="A303695" s="1"/>
    </row>
    <row r="303696" spans="1:1" x14ac:dyDescent="0.25">
      <c r="A303696" s="1"/>
    </row>
    <row r="303697" spans="1:1" x14ac:dyDescent="0.25">
      <c r="A303697" s="1"/>
    </row>
    <row r="303698" spans="1:1" x14ac:dyDescent="0.25">
      <c r="A303698" s="1"/>
    </row>
    <row r="303699" spans="1:1" x14ac:dyDescent="0.25">
      <c r="A303699" s="1"/>
    </row>
    <row r="303700" spans="1:1" x14ac:dyDescent="0.25">
      <c r="A303700" s="1"/>
    </row>
    <row r="303701" spans="1:1" x14ac:dyDescent="0.25">
      <c r="A303701" s="1"/>
    </row>
    <row r="303702" spans="1:1" x14ac:dyDescent="0.25">
      <c r="A303702" s="1"/>
    </row>
    <row r="303703" spans="1:1" x14ac:dyDescent="0.25">
      <c r="A303703" s="1"/>
    </row>
    <row r="303704" spans="1:1" x14ac:dyDescent="0.25">
      <c r="A303704" s="1"/>
    </row>
    <row r="303705" spans="1:1" x14ac:dyDescent="0.25">
      <c r="A303705" s="1"/>
    </row>
    <row r="303706" spans="1:1" x14ac:dyDescent="0.25">
      <c r="A303706" s="1"/>
    </row>
    <row r="303707" spans="1:1" x14ac:dyDescent="0.25">
      <c r="A303707" s="1"/>
    </row>
    <row r="303708" spans="1:1" x14ac:dyDescent="0.25">
      <c r="A303708" s="1"/>
    </row>
    <row r="303709" spans="1:1" x14ac:dyDescent="0.25">
      <c r="A303709" s="1"/>
    </row>
    <row r="303710" spans="1:1" x14ac:dyDescent="0.25">
      <c r="A303710" s="1"/>
    </row>
    <row r="303711" spans="1:1" x14ac:dyDescent="0.25">
      <c r="A303711" s="1"/>
    </row>
    <row r="303712" spans="1:1" x14ac:dyDescent="0.25">
      <c r="A303712" s="1"/>
    </row>
    <row r="303713" spans="1:1" x14ac:dyDescent="0.25">
      <c r="A303713" s="1"/>
    </row>
    <row r="303714" spans="1:1" x14ac:dyDescent="0.25">
      <c r="A303714" s="1"/>
    </row>
    <row r="303715" spans="1:1" x14ac:dyDescent="0.25">
      <c r="A303715" s="1"/>
    </row>
    <row r="303716" spans="1:1" x14ac:dyDescent="0.25">
      <c r="A303716" s="1"/>
    </row>
    <row r="303717" spans="1:1" x14ac:dyDescent="0.25">
      <c r="A303717" s="1"/>
    </row>
    <row r="303718" spans="1:1" x14ac:dyDescent="0.25">
      <c r="A303718" s="1"/>
    </row>
    <row r="303719" spans="1:1" x14ac:dyDescent="0.25">
      <c r="A303719" s="1"/>
    </row>
    <row r="303720" spans="1:1" x14ac:dyDescent="0.25">
      <c r="A303720" s="1"/>
    </row>
    <row r="303721" spans="1:1" x14ac:dyDescent="0.25">
      <c r="A303721" s="1"/>
    </row>
    <row r="303722" spans="1:1" x14ac:dyDescent="0.25">
      <c r="A303722" s="1"/>
    </row>
    <row r="303723" spans="1:1" x14ac:dyDescent="0.25">
      <c r="A303723" s="1"/>
    </row>
    <row r="303724" spans="1:1" x14ac:dyDescent="0.25">
      <c r="A303724" s="1"/>
    </row>
    <row r="303725" spans="1:1" x14ac:dyDescent="0.25">
      <c r="A303725" s="1"/>
    </row>
    <row r="303726" spans="1:1" x14ac:dyDescent="0.25">
      <c r="A303726" s="1"/>
    </row>
    <row r="303727" spans="1:1" x14ac:dyDescent="0.25">
      <c r="A303727" s="1"/>
    </row>
    <row r="303728" spans="1:1" x14ac:dyDescent="0.25">
      <c r="A303728" s="1"/>
    </row>
    <row r="303729" spans="1:1" x14ac:dyDescent="0.25">
      <c r="A303729" s="1"/>
    </row>
    <row r="303730" spans="1:1" x14ac:dyDescent="0.25">
      <c r="A303730" s="1"/>
    </row>
    <row r="303731" spans="1:1" x14ac:dyDescent="0.25">
      <c r="A303731" s="1"/>
    </row>
    <row r="303732" spans="1:1" x14ac:dyDescent="0.25">
      <c r="A303732" s="1"/>
    </row>
    <row r="303733" spans="1:1" x14ac:dyDescent="0.25">
      <c r="A303733" s="1"/>
    </row>
    <row r="303734" spans="1:1" x14ac:dyDescent="0.25">
      <c r="A303734" s="1"/>
    </row>
    <row r="303735" spans="1:1" x14ac:dyDescent="0.25">
      <c r="A303735" s="1"/>
    </row>
    <row r="303736" spans="1:1" x14ac:dyDescent="0.25">
      <c r="A303736" s="1"/>
    </row>
    <row r="303737" spans="1:1" x14ac:dyDescent="0.25">
      <c r="A303737" s="1"/>
    </row>
    <row r="303738" spans="1:1" x14ac:dyDescent="0.25">
      <c r="A303738" s="1"/>
    </row>
    <row r="303739" spans="1:1" x14ac:dyDescent="0.25">
      <c r="A303739" s="1"/>
    </row>
    <row r="303740" spans="1:1" x14ac:dyDescent="0.25">
      <c r="A303740" s="1"/>
    </row>
    <row r="303741" spans="1:1" x14ac:dyDescent="0.25">
      <c r="A303741" s="1"/>
    </row>
    <row r="303742" spans="1:1" x14ac:dyDescent="0.25">
      <c r="A303742" s="1"/>
    </row>
    <row r="303743" spans="1:1" x14ac:dyDescent="0.25">
      <c r="A303743" s="1"/>
    </row>
    <row r="303744" spans="1:1" x14ac:dyDescent="0.25">
      <c r="A303744" s="1"/>
    </row>
    <row r="303745" spans="1:1" x14ac:dyDescent="0.25">
      <c r="A303745" s="1"/>
    </row>
    <row r="303746" spans="1:1" x14ac:dyDescent="0.25">
      <c r="A303746" s="1"/>
    </row>
    <row r="303747" spans="1:1" x14ac:dyDescent="0.25">
      <c r="A303747" s="1"/>
    </row>
    <row r="303748" spans="1:1" x14ac:dyDescent="0.25">
      <c r="A303748" s="1"/>
    </row>
    <row r="303749" spans="1:1" x14ac:dyDescent="0.25">
      <c r="A303749" s="1"/>
    </row>
    <row r="303750" spans="1:1" x14ac:dyDescent="0.25">
      <c r="A303750" s="1"/>
    </row>
    <row r="303751" spans="1:1" x14ac:dyDescent="0.25">
      <c r="A303751" s="1"/>
    </row>
    <row r="303752" spans="1:1" x14ac:dyDescent="0.25">
      <c r="A303752" s="1"/>
    </row>
    <row r="303753" spans="1:1" x14ac:dyDescent="0.25">
      <c r="A303753" s="1"/>
    </row>
    <row r="303754" spans="1:1" x14ac:dyDescent="0.25">
      <c r="A303754" s="1"/>
    </row>
    <row r="303755" spans="1:1" x14ac:dyDescent="0.25">
      <c r="A303755" s="1"/>
    </row>
    <row r="303756" spans="1:1" x14ac:dyDescent="0.25">
      <c r="A303756" s="1"/>
    </row>
    <row r="303757" spans="1:1" x14ac:dyDescent="0.25">
      <c r="A303757" s="1"/>
    </row>
    <row r="303758" spans="1:1" x14ac:dyDescent="0.25">
      <c r="A303758" s="1"/>
    </row>
    <row r="303759" spans="1:1" x14ac:dyDescent="0.25">
      <c r="A303759" s="1"/>
    </row>
    <row r="303760" spans="1:1" x14ac:dyDescent="0.25">
      <c r="A303760" s="1"/>
    </row>
    <row r="303761" spans="1:1" x14ac:dyDescent="0.25">
      <c r="A303761" s="1"/>
    </row>
    <row r="303762" spans="1:1" x14ac:dyDescent="0.25">
      <c r="A303762" s="1"/>
    </row>
    <row r="303763" spans="1:1" x14ac:dyDescent="0.25">
      <c r="A303763" s="1"/>
    </row>
    <row r="303764" spans="1:1" x14ac:dyDescent="0.25">
      <c r="A303764" s="1"/>
    </row>
    <row r="303765" spans="1:1" x14ac:dyDescent="0.25">
      <c r="A303765" s="1"/>
    </row>
    <row r="303766" spans="1:1" x14ac:dyDescent="0.25">
      <c r="A303766" s="1"/>
    </row>
    <row r="303767" spans="1:1" x14ac:dyDescent="0.25">
      <c r="A303767" s="1"/>
    </row>
    <row r="303768" spans="1:1" x14ac:dyDescent="0.25">
      <c r="A303768" s="1"/>
    </row>
    <row r="303769" spans="1:1" x14ac:dyDescent="0.25">
      <c r="A303769" s="1"/>
    </row>
    <row r="303770" spans="1:1" x14ac:dyDescent="0.25">
      <c r="A303770" s="1"/>
    </row>
    <row r="303771" spans="1:1" x14ac:dyDescent="0.25">
      <c r="A303771" s="1"/>
    </row>
    <row r="303772" spans="1:1" x14ac:dyDescent="0.25">
      <c r="A303772" s="1"/>
    </row>
    <row r="303773" spans="1:1" x14ac:dyDescent="0.25">
      <c r="A303773" s="1"/>
    </row>
    <row r="303774" spans="1:1" x14ac:dyDescent="0.25">
      <c r="A303774" s="1"/>
    </row>
    <row r="303775" spans="1:1" x14ac:dyDescent="0.25">
      <c r="A303775" s="1"/>
    </row>
    <row r="303776" spans="1:1" x14ac:dyDescent="0.25">
      <c r="A303776" s="1"/>
    </row>
    <row r="303777" spans="1:1" x14ac:dyDescent="0.25">
      <c r="A303777" s="1"/>
    </row>
    <row r="303778" spans="1:1" x14ac:dyDescent="0.25">
      <c r="A303778" s="1"/>
    </row>
    <row r="303779" spans="1:1" x14ac:dyDescent="0.25">
      <c r="A303779" s="1"/>
    </row>
    <row r="303780" spans="1:1" x14ac:dyDescent="0.25">
      <c r="A303780" s="1"/>
    </row>
    <row r="303781" spans="1:1" x14ac:dyDescent="0.25">
      <c r="A303781" s="1"/>
    </row>
    <row r="303782" spans="1:1" x14ac:dyDescent="0.25">
      <c r="A303782" s="1"/>
    </row>
    <row r="303783" spans="1:1" x14ac:dyDescent="0.25">
      <c r="A303783" s="1"/>
    </row>
    <row r="303784" spans="1:1" x14ac:dyDescent="0.25">
      <c r="A303784" s="1"/>
    </row>
    <row r="303785" spans="1:1" x14ac:dyDescent="0.25">
      <c r="A303785" s="1"/>
    </row>
    <row r="303786" spans="1:1" x14ac:dyDescent="0.25">
      <c r="A303786" s="1"/>
    </row>
    <row r="303787" spans="1:1" x14ac:dyDescent="0.25">
      <c r="A303787" s="1"/>
    </row>
    <row r="303788" spans="1:1" x14ac:dyDescent="0.25">
      <c r="A303788" s="1"/>
    </row>
    <row r="303789" spans="1:1" x14ac:dyDescent="0.25">
      <c r="A303789" s="1"/>
    </row>
    <row r="303790" spans="1:1" x14ac:dyDescent="0.25">
      <c r="A303790" s="1"/>
    </row>
    <row r="303791" spans="1:1" x14ac:dyDescent="0.25">
      <c r="A303791" s="1"/>
    </row>
    <row r="303792" spans="1:1" x14ac:dyDescent="0.25">
      <c r="A303792" s="1"/>
    </row>
    <row r="303793" spans="1:1" x14ac:dyDescent="0.25">
      <c r="A303793" s="1"/>
    </row>
    <row r="303794" spans="1:1" x14ac:dyDescent="0.25">
      <c r="A303794" s="1"/>
    </row>
    <row r="303795" spans="1:1" x14ac:dyDescent="0.25">
      <c r="A303795" s="1"/>
    </row>
    <row r="303796" spans="1:1" x14ac:dyDescent="0.25">
      <c r="A303796" s="1"/>
    </row>
    <row r="303797" spans="1:1" x14ac:dyDescent="0.25">
      <c r="A303797" s="1"/>
    </row>
    <row r="303798" spans="1:1" x14ac:dyDescent="0.25">
      <c r="A303798" s="1"/>
    </row>
    <row r="303799" spans="1:1" x14ac:dyDescent="0.25">
      <c r="A303799" s="1"/>
    </row>
    <row r="303800" spans="1:1" x14ac:dyDescent="0.25">
      <c r="A303800" s="1"/>
    </row>
    <row r="303801" spans="1:1" x14ac:dyDescent="0.25">
      <c r="A303801" s="1"/>
    </row>
    <row r="303802" spans="1:1" x14ac:dyDescent="0.25">
      <c r="A303802" s="1"/>
    </row>
    <row r="303803" spans="1:1" x14ac:dyDescent="0.25">
      <c r="A303803" s="1"/>
    </row>
    <row r="303804" spans="1:1" x14ac:dyDescent="0.25">
      <c r="A303804" s="1"/>
    </row>
    <row r="303805" spans="1:1" x14ac:dyDescent="0.25">
      <c r="A303805" s="1"/>
    </row>
    <row r="303806" spans="1:1" x14ac:dyDescent="0.25">
      <c r="A303806" s="1"/>
    </row>
    <row r="303807" spans="1:1" x14ac:dyDescent="0.25">
      <c r="A303807" s="1"/>
    </row>
    <row r="303808" spans="1:1" x14ac:dyDescent="0.25">
      <c r="A303808" s="1"/>
    </row>
    <row r="303809" spans="1:1" x14ac:dyDescent="0.25">
      <c r="A303809" s="1"/>
    </row>
    <row r="303810" spans="1:1" x14ac:dyDescent="0.25">
      <c r="A303810" s="1"/>
    </row>
    <row r="303811" spans="1:1" x14ac:dyDescent="0.25">
      <c r="A303811" s="1"/>
    </row>
    <row r="303812" spans="1:1" x14ac:dyDescent="0.25">
      <c r="A303812" s="1"/>
    </row>
    <row r="303813" spans="1:1" x14ac:dyDescent="0.25">
      <c r="A303813" s="1"/>
    </row>
    <row r="303814" spans="1:1" x14ac:dyDescent="0.25">
      <c r="A303814" s="1"/>
    </row>
    <row r="303815" spans="1:1" x14ac:dyDescent="0.25">
      <c r="A303815" s="1"/>
    </row>
    <row r="303816" spans="1:1" x14ac:dyDescent="0.25">
      <c r="A303816" s="1"/>
    </row>
    <row r="303817" spans="1:1" x14ac:dyDescent="0.25">
      <c r="A303817" s="1"/>
    </row>
    <row r="303818" spans="1:1" x14ac:dyDescent="0.25">
      <c r="A303818" s="1"/>
    </row>
    <row r="303819" spans="1:1" x14ac:dyDescent="0.25">
      <c r="A303819" s="1"/>
    </row>
    <row r="303820" spans="1:1" x14ac:dyDescent="0.25">
      <c r="A303820" s="1"/>
    </row>
    <row r="303821" spans="1:1" x14ac:dyDescent="0.25">
      <c r="A303821" s="1"/>
    </row>
    <row r="303822" spans="1:1" x14ac:dyDescent="0.25">
      <c r="A303822" s="1"/>
    </row>
    <row r="303823" spans="1:1" x14ac:dyDescent="0.25">
      <c r="A303823" s="1"/>
    </row>
    <row r="303824" spans="1:1" x14ac:dyDescent="0.25">
      <c r="A303824" s="1"/>
    </row>
    <row r="303825" spans="1:1" x14ac:dyDescent="0.25">
      <c r="A303825" s="1"/>
    </row>
    <row r="303826" spans="1:1" x14ac:dyDescent="0.25">
      <c r="A303826" s="1"/>
    </row>
    <row r="303827" spans="1:1" x14ac:dyDescent="0.25">
      <c r="A303827" s="1"/>
    </row>
    <row r="303828" spans="1:1" x14ac:dyDescent="0.25">
      <c r="A303828" s="1"/>
    </row>
    <row r="303829" spans="1:1" x14ac:dyDescent="0.25">
      <c r="A303829" s="1"/>
    </row>
    <row r="303830" spans="1:1" x14ac:dyDescent="0.25">
      <c r="A303830" s="1"/>
    </row>
    <row r="303831" spans="1:1" x14ac:dyDescent="0.25">
      <c r="A303831" s="1"/>
    </row>
    <row r="303832" spans="1:1" x14ac:dyDescent="0.25">
      <c r="A303832" s="1"/>
    </row>
    <row r="303833" spans="1:1" x14ac:dyDescent="0.25">
      <c r="A303833" s="1"/>
    </row>
    <row r="303834" spans="1:1" x14ac:dyDescent="0.25">
      <c r="A303834" s="1"/>
    </row>
    <row r="303835" spans="1:1" x14ac:dyDescent="0.25">
      <c r="A303835" s="1"/>
    </row>
    <row r="303836" spans="1:1" x14ac:dyDescent="0.25">
      <c r="A303836" s="1"/>
    </row>
    <row r="303837" spans="1:1" x14ac:dyDescent="0.25">
      <c r="A303837" s="1"/>
    </row>
    <row r="303838" spans="1:1" x14ac:dyDescent="0.25">
      <c r="A303838" s="1"/>
    </row>
    <row r="303839" spans="1:1" x14ac:dyDescent="0.25">
      <c r="A303839" s="1"/>
    </row>
    <row r="303840" spans="1:1" x14ac:dyDescent="0.25">
      <c r="A303840" s="1"/>
    </row>
    <row r="303841" spans="1:1" x14ac:dyDescent="0.25">
      <c r="A303841" s="1"/>
    </row>
    <row r="303842" spans="1:1" x14ac:dyDescent="0.25">
      <c r="A303842" s="1"/>
    </row>
    <row r="303843" spans="1:1" x14ac:dyDescent="0.25">
      <c r="A303843" s="1"/>
    </row>
    <row r="303844" spans="1:1" x14ac:dyDescent="0.25">
      <c r="A303844" s="1"/>
    </row>
    <row r="303845" spans="1:1" x14ac:dyDescent="0.25">
      <c r="A303845" s="1"/>
    </row>
    <row r="303846" spans="1:1" x14ac:dyDescent="0.25">
      <c r="A303846" s="1"/>
    </row>
    <row r="303847" spans="1:1" x14ac:dyDescent="0.25">
      <c r="A303847" s="1"/>
    </row>
    <row r="303848" spans="1:1" x14ac:dyDescent="0.25">
      <c r="A303848" s="1"/>
    </row>
    <row r="303849" spans="1:1" x14ac:dyDescent="0.25">
      <c r="A303849" s="1"/>
    </row>
    <row r="303850" spans="1:1" x14ac:dyDescent="0.25">
      <c r="A303850" s="1"/>
    </row>
    <row r="303851" spans="1:1" x14ac:dyDescent="0.25">
      <c r="A303851" s="1"/>
    </row>
    <row r="303852" spans="1:1" x14ac:dyDescent="0.25">
      <c r="A303852" s="1"/>
    </row>
    <row r="303853" spans="1:1" x14ac:dyDescent="0.25">
      <c r="A303853" s="1"/>
    </row>
    <row r="303854" spans="1:1" x14ac:dyDescent="0.25">
      <c r="A303854" s="1"/>
    </row>
    <row r="303855" spans="1:1" x14ac:dyDescent="0.25">
      <c r="A303855" s="1"/>
    </row>
    <row r="303856" spans="1:1" x14ac:dyDescent="0.25">
      <c r="A303856" s="1"/>
    </row>
    <row r="303857" spans="1:1" x14ac:dyDescent="0.25">
      <c r="A303857" s="1"/>
    </row>
    <row r="303858" spans="1:1" x14ac:dyDescent="0.25">
      <c r="A303858" s="1"/>
    </row>
    <row r="303859" spans="1:1" x14ac:dyDescent="0.25">
      <c r="A303859" s="1"/>
    </row>
    <row r="303860" spans="1:1" x14ac:dyDescent="0.25">
      <c r="A303860" s="1"/>
    </row>
    <row r="303861" spans="1:1" x14ac:dyDescent="0.25">
      <c r="A303861" s="1"/>
    </row>
    <row r="303862" spans="1:1" x14ac:dyDescent="0.25">
      <c r="A303862" s="1"/>
    </row>
    <row r="303863" spans="1:1" x14ac:dyDescent="0.25">
      <c r="A303863" s="1"/>
    </row>
    <row r="303864" spans="1:1" x14ac:dyDescent="0.25">
      <c r="A303864" s="1"/>
    </row>
    <row r="303865" spans="1:1" x14ac:dyDescent="0.25">
      <c r="A303865" s="1"/>
    </row>
    <row r="303866" spans="1:1" x14ac:dyDescent="0.25">
      <c r="A303866" s="1"/>
    </row>
    <row r="303867" spans="1:1" x14ac:dyDescent="0.25">
      <c r="A303867" s="1"/>
    </row>
    <row r="303868" spans="1:1" x14ac:dyDescent="0.25">
      <c r="A303868" s="1"/>
    </row>
    <row r="303869" spans="1:1" x14ac:dyDescent="0.25">
      <c r="A303869" s="1"/>
    </row>
    <row r="303870" spans="1:1" x14ac:dyDescent="0.25">
      <c r="A303870" s="1"/>
    </row>
    <row r="303871" spans="1:1" x14ac:dyDescent="0.25">
      <c r="A303871" s="1"/>
    </row>
    <row r="303872" spans="1:1" x14ac:dyDescent="0.25">
      <c r="A303872" s="1"/>
    </row>
    <row r="303873" spans="1:1" x14ac:dyDescent="0.25">
      <c r="A303873" s="1"/>
    </row>
    <row r="303874" spans="1:1" x14ac:dyDescent="0.25">
      <c r="A303874" s="1"/>
    </row>
    <row r="303875" spans="1:1" x14ac:dyDescent="0.25">
      <c r="A303875" s="1"/>
    </row>
    <row r="303876" spans="1:1" x14ac:dyDescent="0.25">
      <c r="A303876" s="1"/>
    </row>
    <row r="303877" spans="1:1" x14ac:dyDescent="0.25">
      <c r="A303877" s="1"/>
    </row>
    <row r="303878" spans="1:1" x14ac:dyDescent="0.25">
      <c r="A303878" s="1"/>
    </row>
    <row r="303879" spans="1:1" x14ac:dyDescent="0.25">
      <c r="A303879" s="1"/>
    </row>
    <row r="303880" spans="1:1" x14ac:dyDescent="0.25">
      <c r="A303880" s="1"/>
    </row>
    <row r="303881" spans="1:1" x14ac:dyDescent="0.25">
      <c r="A303881" s="1"/>
    </row>
    <row r="303882" spans="1:1" x14ac:dyDescent="0.25">
      <c r="A303882" s="1"/>
    </row>
    <row r="303883" spans="1:1" x14ac:dyDescent="0.25">
      <c r="A303883" s="1"/>
    </row>
    <row r="303884" spans="1:1" x14ac:dyDescent="0.25">
      <c r="A303884" s="1"/>
    </row>
    <row r="303885" spans="1:1" x14ac:dyDescent="0.25">
      <c r="A303885" s="1"/>
    </row>
    <row r="303886" spans="1:1" x14ac:dyDescent="0.25">
      <c r="A303886" s="1"/>
    </row>
    <row r="303887" spans="1:1" x14ac:dyDescent="0.25">
      <c r="A303887" s="1"/>
    </row>
    <row r="303888" spans="1:1" x14ac:dyDescent="0.25">
      <c r="A303888" s="1"/>
    </row>
    <row r="303889" spans="1:1" x14ac:dyDescent="0.25">
      <c r="A303889" s="1"/>
    </row>
    <row r="303890" spans="1:1" x14ac:dyDescent="0.25">
      <c r="A303890" s="1"/>
    </row>
    <row r="303891" spans="1:1" x14ac:dyDescent="0.25">
      <c r="A303891" s="1"/>
    </row>
    <row r="303892" spans="1:1" x14ac:dyDescent="0.25">
      <c r="A303892" s="1"/>
    </row>
    <row r="303893" spans="1:1" x14ac:dyDescent="0.25">
      <c r="A303893" s="1"/>
    </row>
    <row r="303894" spans="1:1" x14ac:dyDescent="0.25">
      <c r="A303894" s="1"/>
    </row>
    <row r="303895" spans="1:1" x14ac:dyDescent="0.25">
      <c r="A303895" s="1"/>
    </row>
    <row r="303896" spans="1:1" x14ac:dyDescent="0.25">
      <c r="A303896" s="1"/>
    </row>
    <row r="303897" spans="1:1" x14ac:dyDescent="0.25">
      <c r="A303897" s="1"/>
    </row>
    <row r="303898" spans="1:1" x14ac:dyDescent="0.25">
      <c r="A303898" s="1"/>
    </row>
    <row r="303899" spans="1:1" x14ac:dyDescent="0.25">
      <c r="A303899" s="1"/>
    </row>
    <row r="303900" spans="1:1" x14ac:dyDescent="0.25">
      <c r="A303900" s="1"/>
    </row>
    <row r="303901" spans="1:1" x14ac:dyDescent="0.25">
      <c r="A303901" s="1"/>
    </row>
    <row r="303902" spans="1:1" x14ac:dyDescent="0.25">
      <c r="A303902" s="1"/>
    </row>
    <row r="303903" spans="1:1" x14ac:dyDescent="0.25">
      <c r="A303903" s="1"/>
    </row>
    <row r="303904" spans="1:1" x14ac:dyDescent="0.25">
      <c r="A303904" s="1"/>
    </row>
    <row r="303905" spans="1:1" x14ac:dyDescent="0.25">
      <c r="A303905" s="1"/>
    </row>
    <row r="303906" spans="1:1" x14ac:dyDescent="0.25">
      <c r="A303906" s="1"/>
    </row>
    <row r="303907" spans="1:1" x14ac:dyDescent="0.25">
      <c r="A303907" s="1"/>
    </row>
    <row r="303908" spans="1:1" x14ac:dyDescent="0.25">
      <c r="A303908" s="1"/>
    </row>
    <row r="303909" spans="1:1" x14ac:dyDescent="0.25">
      <c r="A303909" s="1"/>
    </row>
    <row r="303910" spans="1:1" x14ac:dyDescent="0.25">
      <c r="A303910" s="1"/>
    </row>
    <row r="303911" spans="1:1" x14ac:dyDescent="0.25">
      <c r="A303911" s="1"/>
    </row>
    <row r="303912" spans="1:1" x14ac:dyDescent="0.25">
      <c r="A303912" s="1"/>
    </row>
    <row r="303913" spans="1:1" x14ac:dyDescent="0.25">
      <c r="A303913" s="1"/>
    </row>
    <row r="303914" spans="1:1" x14ac:dyDescent="0.25">
      <c r="A303914" s="1"/>
    </row>
    <row r="303915" spans="1:1" x14ac:dyDescent="0.25">
      <c r="A303915" s="1"/>
    </row>
    <row r="303916" spans="1:1" x14ac:dyDescent="0.25">
      <c r="A303916" s="1"/>
    </row>
    <row r="303917" spans="1:1" x14ac:dyDescent="0.25">
      <c r="A303917" s="1"/>
    </row>
    <row r="303918" spans="1:1" x14ac:dyDescent="0.25">
      <c r="A303918" s="1"/>
    </row>
    <row r="303919" spans="1:1" x14ac:dyDescent="0.25">
      <c r="A303919" s="1"/>
    </row>
    <row r="303920" spans="1:1" x14ac:dyDescent="0.25">
      <c r="A303920" s="1"/>
    </row>
    <row r="303921" spans="1:1" x14ac:dyDescent="0.25">
      <c r="A303921" s="1"/>
    </row>
    <row r="303922" spans="1:1" x14ac:dyDescent="0.25">
      <c r="A303922" s="1"/>
    </row>
    <row r="303923" spans="1:1" x14ac:dyDescent="0.25">
      <c r="A303923" s="1"/>
    </row>
    <row r="303924" spans="1:1" x14ac:dyDescent="0.25">
      <c r="A303924" s="1"/>
    </row>
    <row r="303925" spans="1:1" x14ac:dyDescent="0.25">
      <c r="A303925" s="1"/>
    </row>
    <row r="303926" spans="1:1" x14ac:dyDescent="0.25">
      <c r="A303926" s="1"/>
    </row>
    <row r="303927" spans="1:1" x14ac:dyDescent="0.25">
      <c r="A303927" s="1"/>
    </row>
    <row r="303928" spans="1:1" x14ac:dyDescent="0.25">
      <c r="A303928" s="1"/>
    </row>
    <row r="303929" spans="1:1" x14ac:dyDescent="0.25">
      <c r="A303929" s="1"/>
    </row>
    <row r="303930" spans="1:1" x14ac:dyDescent="0.25">
      <c r="A303930" s="1"/>
    </row>
    <row r="303931" spans="1:1" x14ac:dyDescent="0.25">
      <c r="A303931" s="1"/>
    </row>
    <row r="303932" spans="1:1" x14ac:dyDescent="0.25">
      <c r="A303932" s="1"/>
    </row>
    <row r="303933" spans="1:1" x14ac:dyDescent="0.25">
      <c r="A303933" s="1"/>
    </row>
    <row r="303934" spans="1:1" x14ac:dyDescent="0.25">
      <c r="A303934" s="1"/>
    </row>
    <row r="303935" spans="1:1" x14ac:dyDescent="0.25">
      <c r="A303935" s="1"/>
    </row>
    <row r="303936" spans="1:1" x14ac:dyDescent="0.25">
      <c r="A303936" s="1"/>
    </row>
    <row r="303937" spans="1:1" x14ac:dyDescent="0.25">
      <c r="A303937" s="1"/>
    </row>
    <row r="303938" spans="1:1" x14ac:dyDescent="0.25">
      <c r="A303938" s="1"/>
    </row>
    <row r="303939" spans="1:1" x14ac:dyDescent="0.25">
      <c r="A303939" s="1"/>
    </row>
    <row r="303940" spans="1:1" x14ac:dyDescent="0.25">
      <c r="A303940" s="1"/>
    </row>
    <row r="303941" spans="1:1" x14ac:dyDescent="0.25">
      <c r="A303941" s="1"/>
    </row>
    <row r="303942" spans="1:1" x14ac:dyDescent="0.25">
      <c r="A303942" s="1"/>
    </row>
    <row r="303943" spans="1:1" x14ac:dyDescent="0.25">
      <c r="A303943" s="1"/>
    </row>
    <row r="303944" spans="1:1" x14ac:dyDescent="0.25">
      <c r="A303944" s="1"/>
    </row>
    <row r="303945" spans="1:1" x14ac:dyDescent="0.25">
      <c r="A303945" s="1"/>
    </row>
    <row r="303946" spans="1:1" x14ac:dyDescent="0.25">
      <c r="A303946" s="1"/>
    </row>
    <row r="303947" spans="1:1" x14ac:dyDescent="0.25">
      <c r="A303947" s="1"/>
    </row>
    <row r="303948" spans="1:1" x14ac:dyDescent="0.25">
      <c r="A303948" s="1"/>
    </row>
    <row r="303949" spans="1:1" x14ac:dyDescent="0.25">
      <c r="A303949" s="1"/>
    </row>
    <row r="303950" spans="1:1" x14ac:dyDescent="0.25">
      <c r="A303950" s="1"/>
    </row>
    <row r="303951" spans="1:1" x14ac:dyDescent="0.25">
      <c r="A303951" s="1"/>
    </row>
    <row r="303952" spans="1:1" x14ac:dyDescent="0.25">
      <c r="A303952" s="1"/>
    </row>
    <row r="303953" spans="1:1" x14ac:dyDescent="0.25">
      <c r="A303953" s="1"/>
    </row>
    <row r="303954" spans="1:1" x14ac:dyDescent="0.25">
      <c r="A303954" s="1"/>
    </row>
    <row r="303955" spans="1:1" x14ac:dyDescent="0.25">
      <c r="A303955" s="1"/>
    </row>
    <row r="303956" spans="1:1" x14ac:dyDescent="0.25">
      <c r="A303956" s="1"/>
    </row>
    <row r="303957" spans="1:1" x14ac:dyDescent="0.25">
      <c r="A303957" s="1"/>
    </row>
    <row r="303958" spans="1:1" x14ac:dyDescent="0.25">
      <c r="A303958" s="1"/>
    </row>
    <row r="303959" spans="1:1" x14ac:dyDescent="0.25">
      <c r="A303959" s="1"/>
    </row>
    <row r="303960" spans="1:1" x14ac:dyDescent="0.25">
      <c r="A303960" s="1"/>
    </row>
    <row r="303961" spans="1:1" x14ac:dyDescent="0.25">
      <c r="A303961" s="1"/>
    </row>
    <row r="303962" spans="1:1" x14ac:dyDescent="0.25">
      <c r="A303962" s="1"/>
    </row>
    <row r="303963" spans="1:1" x14ac:dyDescent="0.25">
      <c r="A303963" s="1"/>
    </row>
    <row r="303964" spans="1:1" x14ac:dyDescent="0.25">
      <c r="A303964" s="1"/>
    </row>
    <row r="303965" spans="1:1" x14ac:dyDescent="0.25">
      <c r="A303965" s="1"/>
    </row>
    <row r="303966" spans="1:1" x14ac:dyDescent="0.25">
      <c r="A303966" s="1"/>
    </row>
    <row r="303967" spans="1:1" x14ac:dyDescent="0.25">
      <c r="A303967" s="1"/>
    </row>
    <row r="303968" spans="1:1" x14ac:dyDescent="0.25">
      <c r="A303968" s="1"/>
    </row>
    <row r="303969" spans="1:1" x14ac:dyDescent="0.25">
      <c r="A303969" s="1"/>
    </row>
    <row r="303970" spans="1:1" x14ac:dyDescent="0.25">
      <c r="A303970" s="1"/>
    </row>
    <row r="303971" spans="1:1" x14ac:dyDescent="0.25">
      <c r="A303971" s="1"/>
    </row>
    <row r="303972" spans="1:1" x14ac:dyDescent="0.25">
      <c r="A303972" s="1"/>
    </row>
    <row r="303973" spans="1:1" x14ac:dyDescent="0.25">
      <c r="A303973" s="1"/>
    </row>
    <row r="303974" spans="1:1" x14ac:dyDescent="0.25">
      <c r="A303974" s="1"/>
    </row>
    <row r="303975" spans="1:1" x14ac:dyDescent="0.25">
      <c r="A303975" s="1"/>
    </row>
    <row r="303976" spans="1:1" x14ac:dyDescent="0.25">
      <c r="A303976" s="1"/>
    </row>
    <row r="303977" spans="1:1" x14ac:dyDescent="0.25">
      <c r="A303977" s="1"/>
    </row>
    <row r="303978" spans="1:1" x14ac:dyDescent="0.25">
      <c r="A303978" s="1"/>
    </row>
    <row r="303979" spans="1:1" x14ac:dyDescent="0.25">
      <c r="A303979" s="1"/>
    </row>
    <row r="303980" spans="1:1" x14ac:dyDescent="0.25">
      <c r="A303980" s="1"/>
    </row>
    <row r="303981" spans="1:1" x14ac:dyDescent="0.25">
      <c r="A303981" s="1"/>
    </row>
    <row r="303982" spans="1:1" x14ac:dyDescent="0.25">
      <c r="A303982" s="1"/>
    </row>
    <row r="303983" spans="1:1" x14ac:dyDescent="0.25">
      <c r="A303983" s="1"/>
    </row>
    <row r="303984" spans="1:1" x14ac:dyDescent="0.25">
      <c r="A303984" s="1"/>
    </row>
    <row r="303985" spans="1:1" x14ac:dyDescent="0.25">
      <c r="A303985" s="1"/>
    </row>
    <row r="303986" spans="1:1" x14ac:dyDescent="0.25">
      <c r="A303986" s="1"/>
    </row>
    <row r="303987" spans="1:1" x14ac:dyDescent="0.25">
      <c r="A303987" s="1"/>
    </row>
    <row r="303988" spans="1:1" x14ac:dyDescent="0.25">
      <c r="A303988" s="1"/>
    </row>
    <row r="303989" spans="1:1" x14ac:dyDescent="0.25">
      <c r="A303989" s="1"/>
    </row>
    <row r="303990" spans="1:1" x14ac:dyDescent="0.25">
      <c r="A303990" s="1"/>
    </row>
    <row r="303991" spans="1:1" x14ac:dyDescent="0.25">
      <c r="A303991" s="1"/>
    </row>
    <row r="303992" spans="1:1" x14ac:dyDescent="0.25">
      <c r="A303992" s="1"/>
    </row>
    <row r="303993" spans="1:1" x14ac:dyDescent="0.25">
      <c r="A303993" s="1"/>
    </row>
    <row r="303994" spans="1:1" x14ac:dyDescent="0.25">
      <c r="A303994" s="1"/>
    </row>
    <row r="303995" spans="1:1" x14ac:dyDescent="0.25">
      <c r="A303995" s="1"/>
    </row>
    <row r="303996" spans="1:1" x14ac:dyDescent="0.25">
      <c r="A303996" s="1"/>
    </row>
    <row r="303997" spans="1:1" x14ac:dyDescent="0.25">
      <c r="A303997" s="1"/>
    </row>
    <row r="303998" spans="1:1" x14ac:dyDescent="0.25">
      <c r="A303998" s="1"/>
    </row>
    <row r="303999" spans="1:1" x14ac:dyDescent="0.25">
      <c r="A303999" s="1"/>
    </row>
    <row r="304000" spans="1:1" x14ac:dyDescent="0.25">
      <c r="A304000" s="1"/>
    </row>
    <row r="304001" spans="1:1" x14ac:dyDescent="0.25">
      <c r="A304001" s="1"/>
    </row>
    <row r="304002" spans="1:1" x14ac:dyDescent="0.25">
      <c r="A304002" s="1"/>
    </row>
    <row r="304003" spans="1:1" x14ac:dyDescent="0.25">
      <c r="A304003" s="1"/>
    </row>
    <row r="304004" spans="1:1" x14ac:dyDescent="0.25">
      <c r="A304004" s="1"/>
    </row>
    <row r="304005" spans="1:1" x14ac:dyDescent="0.25">
      <c r="A304005" s="1"/>
    </row>
    <row r="304006" spans="1:1" x14ac:dyDescent="0.25">
      <c r="A304006" s="1"/>
    </row>
    <row r="304007" spans="1:1" x14ac:dyDescent="0.25">
      <c r="A304007" s="1"/>
    </row>
    <row r="304008" spans="1:1" x14ac:dyDescent="0.25">
      <c r="A304008" s="1"/>
    </row>
    <row r="304009" spans="1:1" x14ac:dyDescent="0.25">
      <c r="A304009" s="1"/>
    </row>
    <row r="304010" spans="1:1" x14ac:dyDescent="0.25">
      <c r="A304010" s="1"/>
    </row>
    <row r="304011" spans="1:1" x14ac:dyDescent="0.25">
      <c r="A304011" s="1"/>
    </row>
    <row r="304012" spans="1:1" x14ac:dyDescent="0.25">
      <c r="A304012" s="1"/>
    </row>
    <row r="304013" spans="1:1" x14ac:dyDescent="0.25">
      <c r="A304013" s="1"/>
    </row>
    <row r="304014" spans="1:1" x14ac:dyDescent="0.25">
      <c r="A304014" s="1"/>
    </row>
    <row r="304015" spans="1:1" x14ac:dyDescent="0.25">
      <c r="A304015" s="1"/>
    </row>
    <row r="304016" spans="1:1" x14ac:dyDescent="0.25">
      <c r="A304016" s="1"/>
    </row>
    <row r="304017" spans="1:1" x14ac:dyDescent="0.25">
      <c r="A304017" s="1"/>
    </row>
    <row r="304018" spans="1:1" x14ac:dyDescent="0.25">
      <c r="A304018" s="1"/>
    </row>
    <row r="304019" spans="1:1" x14ac:dyDescent="0.25">
      <c r="A304019" s="1"/>
    </row>
    <row r="304020" spans="1:1" x14ac:dyDescent="0.25">
      <c r="A304020" s="1"/>
    </row>
    <row r="304021" spans="1:1" x14ac:dyDescent="0.25">
      <c r="A304021" s="1"/>
    </row>
    <row r="304022" spans="1:1" x14ac:dyDescent="0.25">
      <c r="A304022" s="1"/>
    </row>
    <row r="304023" spans="1:1" x14ac:dyDescent="0.25">
      <c r="A304023" s="1"/>
    </row>
    <row r="304024" spans="1:1" x14ac:dyDescent="0.25">
      <c r="A304024" s="1"/>
    </row>
    <row r="304025" spans="1:1" x14ac:dyDescent="0.25">
      <c r="A304025" s="1"/>
    </row>
    <row r="304026" spans="1:1" x14ac:dyDescent="0.25">
      <c r="A304026" s="1"/>
    </row>
    <row r="304027" spans="1:1" x14ac:dyDescent="0.25">
      <c r="A304027" s="1"/>
    </row>
    <row r="304028" spans="1:1" x14ac:dyDescent="0.25">
      <c r="A304028" s="1"/>
    </row>
    <row r="304029" spans="1:1" x14ac:dyDescent="0.25">
      <c r="A304029" s="1"/>
    </row>
    <row r="304030" spans="1:1" x14ac:dyDescent="0.25">
      <c r="A304030" s="1"/>
    </row>
    <row r="304031" spans="1:1" x14ac:dyDescent="0.25">
      <c r="A304031" s="1"/>
    </row>
    <row r="304032" spans="1:1" x14ac:dyDescent="0.25">
      <c r="A304032" s="1"/>
    </row>
    <row r="304033" spans="1:1" x14ac:dyDescent="0.25">
      <c r="A304033" s="1"/>
    </row>
    <row r="304034" spans="1:1" x14ac:dyDescent="0.25">
      <c r="A304034" s="1"/>
    </row>
    <row r="304035" spans="1:1" x14ac:dyDescent="0.25">
      <c r="A304035" s="1"/>
    </row>
    <row r="304036" spans="1:1" x14ac:dyDescent="0.25">
      <c r="A304036" s="1"/>
    </row>
    <row r="304037" spans="1:1" x14ac:dyDescent="0.25">
      <c r="A304037" s="1"/>
    </row>
    <row r="304038" spans="1:1" x14ac:dyDescent="0.25">
      <c r="A304038" s="1"/>
    </row>
    <row r="304039" spans="1:1" x14ac:dyDescent="0.25">
      <c r="A304039" s="1"/>
    </row>
    <row r="304040" spans="1:1" x14ac:dyDescent="0.25">
      <c r="A304040" s="1"/>
    </row>
    <row r="304041" spans="1:1" x14ac:dyDescent="0.25">
      <c r="A304041" s="1"/>
    </row>
    <row r="304042" spans="1:1" x14ac:dyDescent="0.25">
      <c r="A304042" s="1"/>
    </row>
    <row r="304043" spans="1:1" x14ac:dyDescent="0.25">
      <c r="A304043" s="1"/>
    </row>
    <row r="304044" spans="1:1" x14ac:dyDescent="0.25">
      <c r="A304044" s="1"/>
    </row>
    <row r="304045" spans="1:1" x14ac:dyDescent="0.25">
      <c r="A304045" s="1"/>
    </row>
    <row r="304046" spans="1:1" x14ac:dyDescent="0.25">
      <c r="A304046" s="1"/>
    </row>
    <row r="304047" spans="1:1" x14ac:dyDescent="0.25">
      <c r="A304047" s="1"/>
    </row>
    <row r="304048" spans="1:1" x14ac:dyDescent="0.25">
      <c r="A304048" s="1"/>
    </row>
    <row r="304049" spans="1:1" x14ac:dyDescent="0.25">
      <c r="A304049" s="1"/>
    </row>
    <row r="304050" spans="1:1" x14ac:dyDescent="0.25">
      <c r="A304050" s="1"/>
    </row>
    <row r="304051" spans="1:1" x14ac:dyDescent="0.25">
      <c r="A304051" s="1"/>
    </row>
    <row r="304052" spans="1:1" x14ac:dyDescent="0.25">
      <c r="A304052" s="1"/>
    </row>
    <row r="304053" spans="1:1" x14ac:dyDescent="0.25">
      <c r="A304053" s="1"/>
    </row>
    <row r="304054" spans="1:1" x14ac:dyDescent="0.25">
      <c r="A304054" s="1"/>
    </row>
    <row r="304055" spans="1:1" x14ac:dyDescent="0.25">
      <c r="A304055" s="1"/>
    </row>
    <row r="304056" spans="1:1" x14ac:dyDescent="0.25">
      <c r="A304056" s="1"/>
    </row>
    <row r="304057" spans="1:1" x14ac:dyDescent="0.25">
      <c r="A304057" s="1"/>
    </row>
    <row r="304058" spans="1:1" x14ac:dyDescent="0.25">
      <c r="A304058" s="1"/>
    </row>
    <row r="304059" spans="1:1" x14ac:dyDescent="0.25">
      <c r="A304059" s="1"/>
    </row>
    <row r="304060" spans="1:1" x14ac:dyDescent="0.25">
      <c r="A304060" s="1"/>
    </row>
    <row r="304061" spans="1:1" x14ac:dyDescent="0.25">
      <c r="A304061" s="1"/>
    </row>
    <row r="304062" spans="1:1" x14ac:dyDescent="0.25">
      <c r="A304062" s="1"/>
    </row>
    <row r="304063" spans="1:1" x14ac:dyDescent="0.25">
      <c r="A304063" s="1"/>
    </row>
    <row r="304064" spans="1:1" x14ac:dyDescent="0.25">
      <c r="A304064" s="1"/>
    </row>
    <row r="304065" spans="1:1" x14ac:dyDescent="0.25">
      <c r="A304065" s="1"/>
    </row>
    <row r="304066" spans="1:1" x14ac:dyDescent="0.25">
      <c r="A304066" s="1"/>
    </row>
    <row r="304067" spans="1:1" x14ac:dyDescent="0.25">
      <c r="A304067" s="1"/>
    </row>
    <row r="304068" spans="1:1" x14ac:dyDescent="0.25">
      <c r="A304068" s="1"/>
    </row>
    <row r="304069" spans="1:1" x14ac:dyDescent="0.25">
      <c r="A304069" s="1"/>
    </row>
    <row r="304070" spans="1:1" x14ac:dyDescent="0.25">
      <c r="A304070" s="1"/>
    </row>
    <row r="304071" spans="1:1" x14ac:dyDescent="0.25">
      <c r="A304071" s="1"/>
    </row>
    <row r="304072" spans="1:1" x14ac:dyDescent="0.25">
      <c r="A304072" s="1"/>
    </row>
    <row r="304073" spans="1:1" x14ac:dyDescent="0.25">
      <c r="A304073" s="1"/>
    </row>
    <row r="304074" spans="1:1" x14ac:dyDescent="0.25">
      <c r="A304074" s="1"/>
    </row>
    <row r="304075" spans="1:1" x14ac:dyDescent="0.25">
      <c r="A304075" s="1"/>
    </row>
    <row r="304076" spans="1:1" x14ac:dyDescent="0.25">
      <c r="A304076" s="1"/>
    </row>
    <row r="304077" spans="1:1" x14ac:dyDescent="0.25">
      <c r="A304077" s="1"/>
    </row>
    <row r="304078" spans="1:1" x14ac:dyDescent="0.25">
      <c r="A304078" s="1"/>
    </row>
    <row r="304079" spans="1:1" x14ac:dyDescent="0.25">
      <c r="A304079" s="1"/>
    </row>
    <row r="304080" spans="1:1" x14ac:dyDescent="0.25">
      <c r="A304080" s="1"/>
    </row>
    <row r="304081" spans="1:1" x14ac:dyDescent="0.25">
      <c r="A304081" s="1"/>
    </row>
    <row r="304082" spans="1:1" x14ac:dyDescent="0.25">
      <c r="A304082" s="1"/>
    </row>
    <row r="304083" spans="1:1" x14ac:dyDescent="0.25">
      <c r="A304083" s="1"/>
    </row>
    <row r="304084" spans="1:1" x14ac:dyDescent="0.25">
      <c r="A304084" s="1"/>
    </row>
    <row r="304085" spans="1:1" x14ac:dyDescent="0.25">
      <c r="A304085" s="1"/>
    </row>
    <row r="304086" spans="1:1" x14ac:dyDescent="0.25">
      <c r="A304086" s="1"/>
    </row>
    <row r="304087" spans="1:1" x14ac:dyDescent="0.25">
      <c r="A304087" s="1"/>
    </row>
    <row r="304088" spans="1:1" x14ac:dyDescent="0.25">
      <c r="A304088" s="1"/>
    </row>
    <row r="304089" spans="1:1" x14ac:dyDescent="0.25">
      <c r="A304089" s="1"/>
    </row>
    <row r="304090" spans="1:1" x14ac:dyDescent="0.25">
      <c r="A304090" s="1"/>
    </row>
    <row r="304091" spans="1:1" x14ac:dyDescent="0.25">
      <c r="A304091" s="1"/>
    </row>
    <row r="304092" spans="1:1" x14ac:dyDescent="0.25">
      <c r="A304092" s="1"/>
    </row>
    <row r="304093" spans="1:1" x14ac:dyDescent="0.25">
      <c r="A304093" s="1"/>
    </row>
    <row r="304094" spans="1:1" x14ac:dyDescent="0.25">
      <c r="A304094" s="1"/>
    </row>
    <row r="304095" spans="1:1" x14ac:dyDescent="0.25">
      <c r="A304095" s="1"/>
    </row>
    <row r="304096" spans="1:1" x14ac:dyDescent="0.25">
      <c r="A304096" s="1"/>
    </row>
    <row r="304097" spans="1:1" x14ac:dyDescent="0.25">
      <c r="A304097" s="1"/>
    </row>
    <row r="304098" spans="1:1" x14ac:dyDescent="0.25">
      <c r="A304098" s="1"/>
    </row>
    <row r="304099" spans="1:1" x14ac:dyDescent="0.25">
      <c r="A304099" s="1"/>
    </row>
    <row r="304100" spans="1:1" x14ac:dyDescent="0.25">
      <c r="A304100" s="1"/>
    </row>
    <row r="304101" spans="1:1" x14ac:dyDescent="0.25">
      <c r="A304101" s="1"/>
    </row>
    <row r="304102" spans="1:1" x14ac:dyDescent="0.25">
      <c r="A304102" s="1"/>
    </row>
    <row r="304103" spans="1:1" x14ac:dyDescent="0.25">
      <c r="A304103" s="1"/>
    </row>
    <row r="304104" spans="1:1" x14ac:dyDescent="0.25">
      <c r="A304104" s="1"/>
    </row>
    <row r="304105" spans="1:1" x14ac:dyDescent="0.25">
      <c r="A304105" s="1"/>
    </row>
    <row r="304106" spans="1:1" x14ac:dyDescent="0.25">
      <c r="A304106" s="1"/>
    </row>
    <row r="304107" spans="1:1" x14ac:dyDescent="0.25">
      <c r="A304107" s="1"/>
    </row>
    <row r="304108" spans="1:1" x14ac:dyDescent="0.25">
      <c r="A304108" s="1"/>
    </row>
    <row r="304109" spans="1:1" x14ac:dyDescent="0.25">
      <c r="A304109" s="1"/>
    </row>
    <row r="304110" spans="1:1" x14ac:dyDescent="0.25">
      <c r="A304110" s="1"/>
    </row>
    <row r="304111" spans="1:1" x14ac:dyDescent="0.25">
      <c r="A304111" s="1"/>
    </row>
    <row r="304112" spans="1:1" x14ac:dyDescent="0.25">
      <c r="A304112" s="1"/>
    </row>
    <row r="304113" spans="1:1" x14ac:dyDescent="0.25">
      <c r="A304113" s="1"/>
    </row>
    <row r="304114" spans="1:1" x14ac:dyDescent="0.25">
      <c r="A304114" s="1"/>
    </row>
    <row r="304115" spans="1:1" x14ac:dyDescent="0.25">
      <c r="A304115" s="1"/>
    </row>
    <row r="304116" spans="1:1" x14ac:dyDescent="0.25">
      <c r="A304116" s="1"/>
    </row>
    <row r="304117" spans="1:1" x14ac:dyDescent="0.25">
      <c r="A304117" s="1"/>
    </row>
    <row r="304118" spans="1:1" x14ac:dyDescent="0.25">
      <c r="A304118" s="1"/>
    </row>
    <row r="304119" spans="1:1" x14ac:dyDescent="0.25">
      <c r="A304119" s="1"/>
    </row>
    <row r="304120" spans="1:1" x14ac:dyDescent="0.25">
      <c r="A304120" s="1"/>
    </row>
    <row r="304121" spans="1:1" x14ac:dyDescent="0.25">
      <c r="A304121" s="1"/>
    </row>
    <row r="304122" spans="1:1" x14ac:dyDescent="0.25">
      <c r="A304122" s="1"/>
    </row>
    <row r="304123" spans="1:1" x14ac:dyDescent="0.25">
      <c r="A304123" s="1"/>
    </row>
    <row r="304124" spans="1:1" x14ac:dyDescent="0.25">
      <c r="A304124" s="1"/>
    </row>
    <row r="304125" spans="1:1" x14ac:dyDescent="0.25">
      <c r="A304125" s="1"/>
    </row>
    <row r="304126" spans="1:1" x14ac:dyDescent="0.25">
      <c r="A304126" s="1"/>
    </row>
    <row r="304127" spans="1:1" x14ac:dyDescent="0.25">
      <c r="A304127" s="1"/>
    </row>
    <row r="304128" spans="1:1" x14ac:dyDescent="0.25">
      <c r="A304128" s="1"/>
    </row>
    <row r="304129" spans="1:1" x14ac:dyDescent="0.25">
      <c r="A304129" s="1"/>
    </row>
    <row r="304130" spans="1:1" x14ac:dyDescent="0.25">
      <c r="A304130" s="1"/>
    </row>
    <row r="304131" spans="1:1" x14ac:dyDescent="0.25">
      <c r="A304131" s="1"/>
    </row>
    <row r="304132" spans="1:1" x14ac:dyDescent="0.25">
      <c r="A304132" s="1"/>
    </row>
    <row r="304133" spans="1:1" x14ac:dyDescent="0.25">
      <c r="A304133" s="1"/>
    </row>
    <row r="304134" spans="1:1" x14ac:dyDescent="0.25">
      <c r="A304134" s="1"/>
    </row>
    <row r="304135" spans="1:1" x14ac:dyDescent="0.25">
      <c r="A304135" s="1"/>
    </row>
    <row r="304136" spans="1:1" x14ac:dyDescent="0.25">
      <c r="A304136" s="1"/>
    </row>
    <row r="304137" spans="1:1" x14ac:dyDescent="0.25">
      <c r="A304137" s="1"/>
    </row>
    <row r="304138" spans="1:1" x14ac:dyDescent="0.25">
      <c r="A304138" s="1"/>
    </row>
    <row r="304139" spans="1:1" x14ac:dyDescent="0.25">
      <c r="A304139" s="1"/>
    </row>
    <row r="304140" spans="1:1" x14ac:dyDescent="0.25">
      <c r="A304140" s="1"/>
    </row>
    <row r="304141" spans="1:1" x14ac:dyDescent="0.25">
      <c r="A304141" s="1"/>
    </row>
    <row r="304142" spans="1:1" x14ac:dyDescent="0.25">
      <c r="A304142" s="1"/>
    </row>
    <row r="304143" spans="1:1" x14ac:dyDescent="0.25">
      <c r="A304143" s="1"/>
    </row>
    <row r="304144" spans="1:1" x14ac:dyDescent="0.25">
      <c r="A304144" s="1"/>
    </row>
    <row r="304145" spans="1:1" x14ac:dyDescent="0.25">
      <c r="A304145" s="1"/>
    </row>
    <row r="304146" spans="1:1" x14ac:dyDescent="0.25">
      <c r="A304146" s="1"/>
    </row>
    <row r="304147" spans="1:1" x14ac:dyDescent="0.25">
      <c r="A304147" s="1"/>
    </row>
    <row r="304148" spans="1:1" x14ac:dyDescent="0.25">
      <c r="A304148" s="1"/>
    </row>
    <row r="304149" spans="1:1" x14ac:dyDescent="0.25">
      <c r="A304149" s="1"/>
    </row>
    <row r="304150" spans="1:1" x14ac:dyDescent="0.25">
      <c r="A304150" s="1"/>
    </row>
    <row r="304151" spans="1:1" x14ac:dyDescent="0.25">
      <c r="A304151" s="1"/>
    </row>
    <row r="304152" spans="1:1" x14ac:dyDescent="0.25">
      <c r="A304152" s="1"/>
    </row>
    <row r="304153" spans="1:1" x14ac:dyDescent="0.25">
      <c r="A304153" s="1"/>
    </row>
    <row r="304154" spans="1:1" x14ac:dyDescent="0.25">
      <c r="A304154" s="1"/>
    </row>
    <row r="304155" spans="1:1" x14ac:dyDescent="0.25">
      <c r="A304155" s="1"/>
    </row>
    <row r="304156" spans="1:1" x14ac:dyDescent="0.25">
      <c r="A304156" s="1"/>
    </row>
    <row r="304157" spans="1:1" x14ac:dyDescent="0.25">
      <c r="A304157" s="1"/>
    </row>
    <row r="304158" spans="1:1" x14ac:dyDescent="0.25">
      <c r="A304158" s="1"/>
    </row>
    <row r="304159" spans="1:1" x14ac:dyDescent="0.25">
      <c r="A304159" s="1"/>
    </row>
    <row r="304160" spans="1:1" x14ac:dyDescent="0.25">
      <c r="A304160" s="1"/>
    </row>
    <row r="304161" spans="1:1" x14ac:dyDescent="0.25">
      <c r="A304161" s="1"/>
    </row>
    <row r="304162" spans="1:1" x14ac:dyDescent="0.25">
      <c r="A304162" s="1"/>
    </row>
    <row r="304163" spans="1:1" x14ac:dyDescent="0.25">
      <c r="A304163" s="1"/>
    </row>
    <row r="304164" spans="1:1" x14ac:dyDescent="0.25">
      <c r="A304164" s="1"/>
    </row>
    <row r="304165" spans="1:1" x14ac:dyDescent="0.25">
      <c r="A304165" s="1"/>
    </row>
    <row r="304166" spans="1:1" x14ac:dyDescent="0.25">
      <c r="A304166" s="1"/>
    </row>
    <row r="304167" spans="1:1" x14ac:dyDescent="0.25">
      <c r="A304167" s="1"/>
    </row>
    <row r="304168" spans="1:1" x14ac:dyDescent="0.25">
      <c r="A304168" s="1"/>
    </row>
    <row r="304169" spans="1:1" x14ac:dyDescent="0.25">
      <c r="A304169" s="1"/>
    </row>
    <row r="304170" spans="1:1" x14ac:dyDescent="0.25">
      <c r="A304170" s="1"/>
    </row>
    <row r="304171" spans="1:1" x14ac:dyDescent="0.25">
      <c r="A304171" s="1"/>
    </row>
    <row r="304172" spans="1:1" x14ac:dyDescent="0.25">
      <c r="A304172" s="1"/>
    </row>
    <row r="304173" spans="1:1" x14ac:dyDescent="0.25">
      <c r="A304173" s="1"/>
    </row>
    <row r="304174" spans="1:1" x14ac:dyDescent="0.25">
      <c r="A304174" s="1"/>
    </row>
    <row r="304175" spans="1:1" x14ac:dyDescent="0.25">
      <c r="A304175" s="1"/>
    </row>
    <row r="304176" spans="1:1" x14ac:dyDescent="0.25">
      <c r="A304176" s="1"/>
    </row>
    <row r="304177" spans="1:1" x14ac:dyDescent="0.25">
      <c r="A304177" s="1"/>
    </row>
    <row r="304178" spans="1:1" x14ac:dyDescent="0.25">
      <c r="A304178" s="1"/>
    </row>
    <row r="304179" spans="1:1" x14ac:dyDescent="0.25">
      <c r="A304179" s="1"/>
    </row>
    <row r="304180" spans="1:1" x14ac:dyDescent="0.25">
      <c r="A304180" s="1"/>
    </row>
    <row r="304181" spans="1:1" x14ac:dyDescent="0.25">
      <c r="A304181" s="1"/>
    </row>
    <row r="304182" spans="1:1" x14ac:dyDescent="0.25">
      <c r="A304182" s="1"/>
    </row>
    <row r="304183" spans="1:1" x14ac:dyDescent="0.25">
      <c r="A304183" s="1"/>
    </row>
    <row r="304184" spans="1:1" x14ac:dyDescent="0.25">
      <c r="A304184" s="1"/>
    </row>
    <row r="304185" spans="1:1" x14ac:dyDescent="0.25">
      <c r="A304185" s="1"/>
    </row>
    <row r="304186" spans="1:1" x14ac:dyDescent="0.25">
      <c r="A304186" s="1"/>
    </row>
    <row r="304187" spans="1:1" x14ac:dyDescent="0.25">
      <c r="A304187" s="1"/>
    </row>
    <row r="304188" spans="1:1" x14ac:dyDescent="0.25">
      <c r="A304188" s="1"/>
    </row>
    <row r="304189" spans="1:1" x14ac:dyDescent="0.25">
      <c r="A304189" s="1"/>
    </row>
    <row r="304190" spans="1:1" x14ac:dyDescent="0.25">
      <c r="A304190" s="1"/>
    </row>
    <row r="304191" spans="1:1" x14ac:dyDescent="0.25">
      <c r="A304191" s="1"/>
    </row>
    <row r="304192" spans="1:1" x14ac:dyDescent="0.25">
      <c r="A304192" s="1"/>
    </row>
    <row r="304193" spans="1:1" x14ac:dyDescent="0.25">
      <c r="A304193" s="1"/>
    </row>
    <row r="304194" spans="1:1" x14ac:dyDescent="0.25">
      <c r="A304194" s="1"/>
    </row>
    <row r="304195" spans="1:1" x14ac:dyDescent="0.25">
      <c r="A304195" s="1"/>
    </row>
    <row r="304196" spans="1:1" x14ac:dyDescent="0.25">
      <c r="A304196" s="1"/>
    </row>
    <row r="304197" spans="1:1" x14ac:dyDescent="0.25">
      <c r="A304197" s="1"/>
    </row>
    <row r="304198" spans="1:1" x14ac:dyDescent="0.25">
      <c r="A304198" s="1"/>
    </row>
    <row r="304199" spans="1:1" x14ac:dyDescent="0.25">
      <c r="A304199" s="1"/>
    </row>
    <row r="304200" spans="1:1" x14ac:dyDescent="0.25">
      <c r="A304200" s="1"/>
    </row>
    <row r="304201" spans="1:1" x14ac:dyDescent="0.25">
      <c r="A304201" s="1"/>
    </row>
    <row r="304202" spans="1:1" x14ac:dyDescent="0.25">
      <c r="A304202" s="1"/>
    </row>
    <row r="304203" spans="1:1" x14ac:dyDescent="0.25">
      <c r="A304203" s="1"/>
    </row>
    <row r="304204" spans="1:1" x14ac:dyDescent="0.25">
      <c r="A304204" s="1"/>
    </row>
    <row r="304205" spans="1:1" x14ac:dyDescent="0.25">
      <c r="A304205" s="1"/>
    </row>
    <row r="304206" spans="1:1" x14ac:dyDescent="0.25">
      <c r="A304206" s="1"/>
    </row>
    <row r="304207" spans="1:1" x14ac:dyDescent="0.25">
      <c r="A304207" s="1"/>
    </row>
    <row r="304208" spans="1:1" x14ac:dyDescent="0.25">
      <c r="A304208" s="1"/>
    </row>
    <row r="304209" spans="1:1" x14ac:dyDescent="0.25">
      <c r="A304209" s="1"/>
    </row>
    <row r="304210" spans="1:1" x14ac:dyDescent="0.25">
      <c r="A304210" s="1"/>
    </row>
    <row r="304211" spans="1:1" x14ac:dyDescent="0.25">
      <c r="A304211" s="1"/>
    </row>
    <row r="304212" spans="1:1" x14ac:dyDescent="0.25">
      <c r="A304212" s="1"/>
    </row>
    <row r="304213" spans="1:1" x14ac:dyDescent="0.25">
      <c r="A304213" s="1"/>
    </row>
    <row r="304214" spans="1:1" x14ac:dyDescent="0.25">
      <c r="A304214" s="1"/>
    </row>
    <row r="304215" spans="1:1" x14ac:dyDescent="0.25">
      <c r="A304215" s="1"/>
    </row>
    <row r="304216" spans="1:1" x14ac:dyDescent="0.25">
      <c r="A304216" s="1"/>
    </row>
    <row r="304217" spans="1:1" x14ac:dyDescent="0.25">
      <c r="A304217" s="1"/>
    </row>
    <row r="304218" spans="1:1" x14ac:dyDescent="0.25">
      <c r="A304218" s="1"/>
    </row>
    <row r="304219" spans="1:1" x14ac:dyDescent="0.25">
      <c r="A304219" s="1"/>
    </row>
    <row r="304220" spans="1:1" x14ac:dyDescent="0.25">
      <c r="A304220" s="1"/>
    </row>
    <row r="304221" spans="1:1" x14ac:dyDescent="0.25">
      <c r="A304221" s="1"/>
    </row>
    <row r="304222" spans="1:1" x14ac:dyDescent="0.25">
      <c r="A304222" s="1"/>
    </row>
    <row r="304223" spans="1:1" x14ac:dyDescent="0.25">
      <c r="A304223" s="1"/>
    </row>
    <row r="304224" spans="1:1" x14ac:dyDescent="0.25">
      <c r="A304224" s="1"/>
    </row>
    <row r="304225" spans="1:1" x14ac:dyDescent="0.25">
      <c r="A304225" s="1"/>
    </row>
    <row r="304226" spans="1:1" x14ac:dyDescent="0.25">
      <c r="A304226" s="1"/>
    </row>
    <row r="304227" spans="1:1" x14ac:dyDescent="0.25">
      <c r="A304227" s="1"/>
    </row>
    <row r="304228" spans="1:1" x14ac:dyDescent="0.25">
      <c r="A304228" s="1"/>
    </row>
    <row r="304229" spans="1:1" x14ac:dyDescent="0.25">
      <c r="A304229" s="1"/>
    </row>
    <row r="304230" spans="1:1" x14ac:dyDescent="0.25">
      <c r="A304230" s="1"/>
    </row>
    <row r="304231" spans="1:1" x14ac:dyDescent="0.25">
      <c r="A304231" s="1"/>
    </row>
    <row r="304232" spans="1:1" x14ac:dyDescent="0.25">
      <c r="A304232" s="1"/>
    </row>
    <row r="304233" spans="1:1" x14ac:dyDescent="0.25">
      <c r="A304233" s="1"/>
    </row>
    <row r="304234" spans="1:1" x14ac:dyDescent="0.25">
      <c r="A304234" s="1"/>
    </row>
    <row r="304235" spans="1:1" x14ac:dyDescent="0.25">
      <c r="A304235" s="1"/>
    </row>
    <row r="304236" spans="1:1" x14ac:dyDescent="0.25">
      <c r="A304236" s="1"/>
    </row>
    <row r="304237" spans="1:1" x14ac:dyDescent="0.25">
      <c r="A304237" s="1"/>
    </row>
    <row r="304238" spans="1:1" x14ac:dyDescent="0.25">
      <c r="A304238" s="1"/>
    </row>
    <row r="304239" spans="1:1" x14ac:dyDescent="0.25">
      <c r="A304239" s="1"/>
    </row>
    <row r="304240" spans="1:1" x14ac:dyDescent="0.25">
      <c r="A304240" s="1"/>
    </row>
    <row r="304241" spans="1:1" x14ac:dyDescent="0.25">
      <c r="A304241" s="1"/>
    </row>
    <row r="304242" spans="1:1" x14ac:dyDescent="0.25">
      <c r="A304242" s="1"/>
    </row>
    <row r="304243" spans="1:1" x14ac:dyDescent="0.25">
      <c r="A304243" s="1"/>
    </row>
    <row r="304244" spans="1:1" x14ac:dyDescent="0.25">
      <c r="A304244" s="1"/>
    </row>
    <row r="304245" spans="1:1" x14ac:dyDescent="0.25">
      <c r="A304245" s="1"/>
    </row>
    <row r="304246" spans="1:1" x14ac:dyDescent="0.25">
      <c r="A304246" s="1"/>
    </row>
    <row r="304247" spans="1:1" x14ac:dyDescent="0.25">
      <c r="A304247" s="1"/>
    </row>
    <row r="304248" spans="1:1" x14ac:dyDescent="0.25">
      <c r="A304248" s="1"/>
    </row>
    <row r="304249" spans="1:1" x14ac:dyDescent="0.25">
      <c r="A304249" s="1"/>
    </row>
    <row r="304250" spans="1:1" x14ac:dyDescent="0.25">
      <c r="A304250" s="1"/>
    </row>
    <row r="304251" spans="1:1" x14ac:dyDescent="0.25">
      <c r="A304251" s="1"/>
    </row>
    <row r="304252" spans="1:1" x14ac:dyDescent="0.25">
      <c r="A304252" s="1"/>
    </row>
    <row r="304253" spans="1:1" x14ac:dyDescent="0.25">
      <c r="A304253" s="1"/>
    </row>
    <row r="304254" spans="1:1" x14ac:dyDescent="0.25">
      <c r="A304254" s="1"/>
    </row>
    <row r="304255" spans="1:1" x14ac:dyDescent="0.25">
      <c r="A304255" s="1"/>
    </row>
    <row r="304256" spans="1:1" x14ac:dyDescent="0.25">
      <c r="A304256" s="1"/>
    </row>
    <row r="304257" spans="1:1" x14ac:dyDescent="0.25">
      <c r="A304257" s="1"/>
    </row>
    <row r="304258" spans="1:1" x14ac:dyDescent="0.25">
      <c r="A304258" s="1"/>
    </row>
    <row r="304259" spans="1:1" x14ac:dyDescent="0.25">
      <c r="A304259" s="1"/>
    </row>
    <row r="304260" spans="1:1" x14ac:dyDescent="0.25">
      <c r="A304260" s="1"/>
    </row>
    <row r="304261" spans="1:1" x14ac:dyDescent="0.25">
      <c r="A304261" s="1"/>
    </row>
    <row r="304262" spans="1:1" x14ac:dyDescent="0.25">
      <c r="A304262" s="1"/>
    </row>
    <row r="304263" spans="1:1" x14ac:dyDescent="0.25">
      <c r="A304263" s="1"/>
    </row>
    <row r="304264" spans="1:1" x14ac:dyDescent="0.25">
      <c r="A304264" s="1"/>
    </row>
    <row r="304265" spans="1:1" x14ac:dyDescent="0.25">
      <c r="A304265" s="1"/>
    </row>
    <row r="304266" spans="1:1" x14ac:dyDescent="0.25">
      <c r="A304266" s="1"/>
    </row>
    <row r="304267" spans="1:1" x14ac:dyDescent="0.25">
      <c r="A304267" s="1"/>
    </row>
    <row r="304268" spans="1:1" x14ac:dyDescent="0.25">
      <c r="A304268" s="1"/>
    </row>
    <row r="304269" spans="1:1" x14ac:dyDescent="0.25">
      <c r="A304269" s="1"/>
    </row>
    <row r="304270" spans="1:1" x14ac:dyDescent="0.25">
      <c r="A304270" s="1"/>
    </row>
    <row r="304271" spans="1:1" x14ac:dyDescent="0.25">
      <c r="A304271" s="1"/>
    </row>
    <row r="304272" spans="1:1" x14ac:dyDescent="0.25">
      <c r="A304272" s="1"/>
    </row>
    <row r="304273" spans="1:1" x14ac:dyDescent="0.25">
      <c r="A304273" s="1"/>
    </row>
    <row r="304274" spans="1:1" x14ac:dyDescent="0.25">
      <c r="A304274" s="1"/>
    </row>
    <row r="304275" spans="1:1" x14ac:dyDescent="0.25">
      <c r="A304275" s="1"/>
    </row>
    <row r="304276" spans="1:1" x14ac:dyDescent="0.25">
      <c r="A304276" s="1"/>
    </row>
    <row r="304277" spans="1:1" x14ac:dyDescent="0.25">
      <c r="A304277" s="1"/>
    </row>
    <row r="304278" spans="1:1" x14ac:dyDescent="0.25">
      <c r="A304278" s="1"/>
    </row>
    <row r="304279" spans="1:1" x14ac:dyDescent="0.25">
      <c r="A304279" s="1"/>
    </row>
    <row r="304280" spans="1:1" x14ac:dyDescent="0.25">
      <c r="A304280" s="1"/>
    </row>
    <row r="304281" spans="1:1" x14ac:dyDescent="0.25">
      <c r="A304281" s="1"/>
    </row>
    <row r="304282" spans="1:1" x14ac:dyDescent="0.25">
      <c r="A304282" s="1"/>
    </row>
    <row r="304283" spans="1:1" x14ac:dyDescent="0.25">
      <c r="A304283" s="1"/>
    </row>
    <row r="304284" spans="1:1" x14ac:dyDescent="0.25">
      <c r="A304284" s="1"/>
    </row>
    <row r="304285" spans="1:1" x14ac:dyDescent="0.25">
      <c r="A304285" s="1"/>
    </row>
    <row r="304286" spans="1:1" x14ac:dyDescent="0.25">
      <c r="A304286" s="1"/>
    </row>
    <row r="304287" spans="1:1" x14ac:dyDescent="0.25">
      <c r="A304287" s="1"/>
    </row>
    <row r="304288" spans="1:1" x14ac:dyDescent="0.25">
      <c r="A304288" s="1"/>
    </row>
    <row r="304289" spans="1:1" x14ac:dyDescent="0.25">
      <c r="A304289" s="1"/>
    </row>
    <row r="304290" spans="1:1" x14ac:dyDescent="0.25">
      <c r="A304290" s="1"/>
    </row>
    <row r="304291" spans="1:1" x14ac:dyDescent="0.25">
      <c r="A304291" s="1"/>
    </row>
    <row r="304292" spans="1:1" x14ac:dyDescent="0.25">
      <c r="A304292" s="1"/>
    </row>
    <row r="304293" spans="1:1" x14ac:dyDescent="0.25">
      <c r="A304293" s="1"/>
    </row>
    <row r="304294" spans="1:1" x14ac:dyDescent="0.25">
      <c r="A304294" s="1"/>
    </row>
    <row r="304295" spans="1:1" x14ac:dyDescent="0.25">
      <c r="A304295" s="1"/>
    </row>
    <row r="304296" spans="1:1" x14ac:dyDescent="0.25">
      <c r="A304296" s="1"/>
    </row>
    <row r="304297" spans="1:1" x14ac:dyDescent="0.25">
      <c r="A304297" s="1"/>
    </row>
    <row r="304298" spans="1:1" x14ac:dyDescent="0.25">
      <c r="A304298" s="1"/>
    </row>
    <row r="304299" spans="1:1" x14ac:dyDescent="0.25">
      <c r="A304299" s="1"/>
    </row>
    <row r="304300" spans="1:1" x14ac:dyDescent="0.25">
      <c r="A304300" s="1"/>
    </row>
    <row r="304301" spans="1:1" x14ac:dyDescent="0.25">
      <c r="A304301" s="1"/>
    </row>
    <row r="304302" spans="1:1" x14ac:dyDescent="0.25">
      <c r="A304302" s="1"/>
    </row>
    <row r="304303" spans="1:1" x14ac:dyDescent="0.25">
      <c r="A304303" s="1"/>
    </row>
    <row r="304304" spans="1:1" x14ac:dyDescent="0.25">
      <c r="A304304" s="1"/>
    </row>
    <row r="304305" spans="1:1" x14ac:dyDescent="0.25">
      <c r="A304305" s="1"/>
    </row>
    <row r="304306" spans="1:1" x14ac:dyDescent="0.25">
      <c r="A304306" s="1"/>
    </row>
    <row r="304307" spans="1:1" x14ac:dyDescent="0.25">
      <c r="A304307" s="1"/>
    </row>
    <row r="304308" spans="1:1" x14ac:dyDescent="0.25">
      <c r="A304308" s="1"/>
    </row>
    <row r="304309" spans="1:1" x14ac:dyDescent="0.25">
      <c r="A304309" s="1"/>
    </row>
    <row r="304310" spans="1:1" x14ac:dyDescent="0.25">
      <c r="A304310" s="1"/>
    </row>
    <row r="304311" spans="1:1" x14ac:dyDescent="0.25">
      <c r="A304311" s="1"/>
    </row>
    <row r="304312" spans="1:1" x14ac:dyDescent="0.25">
      <c r="A304312" s="1"/>
    </row>
    <row r="304313" spans="1:1" x14ac:dyDescent="0.25">
      <c r="A304313" s="1"/>
    </row>
    <row r="304314" spans="1:1" x14ac:dyDescent="0.25">
      <c r="A304314" s="1"/>
    </row>
    <row r="304315" spans="1:1" x14ac:dyDescent="0.25">
      <c r="A304315" s="1"/>
    </row>
    <row r="304316" spans="1:1" x14ac:dyDescent="0.25">
      <c r="A304316" s="1"/>
    </row>
    <row r="304317" spans="1:1" x14ac:dyDescent="0.25">
      <c r="A304317" s="1"/>
    </row>
    <row r="304318" spans="1:1" x14ac:dyDescent="0.25">
      <c r="A304318" s="1"/>
    </row>
    <row r="304319" spans="1:1" x14ac:dyDescent="0.25">
      <c r="A304319" s="1"/>
    </row>
    <row r="304320" spans="1:1" x14ac:dyDescent="0.25">
      <c r="A304320" s="1"/>
    </row>
    <row r="304321" spans="1:1" x14ac:dyDescent="0.25">
      <c r="A304321" s="1"/>
    </row>
    <row r="304322" spans="1:1" x14ac:dyDescent="0.25">
      <c r="A304322" s="1"/>
    </row>
    <row r="304323" spans="1:1" x14ac:dyDescent="0.25">
      <c r="A304323" s="1"/>
    </row>
    <row r="304324" spans="1:1" x14ac:dyDescent="0.25">
      <c r="A304324" s="1"/>
    </row>
    <row r="304325" spans="1:1" x14ac:dyDescent="0.25">
      <c r="A304325" s="1"/>
    </row>
    <row r="304326" spans="1:1" x14ac:dyDescent="0.25">
      <c r="A304326" s="1"/>
    </row>
    <row r="304327" spans="1:1" x14ac:dyDescent="0.25">
      <c r="A304327" s="1"/>
    </row>
    <row r="304328" spans="1:1" x14ac:dyDescent="0.25">
      <c r="A304328" s="1"/>
    </row>
    <row r="304329" spans="1:1" x14ac:dyDescent="0.25">
      <c r="A304329" s="1"/>
    </row>
    <row r="304330" spans="1:1" x14ac:dyDescent="0.25">
      <c r="A304330" s="1"/>
    </row>
    <row r="304331" spans="1:1" x14ac:dyDescent="0.25">
      <c r="A304331" s="1"/>
    </row>
    <row r="304332" spans="1:1" x14ac:dyDescent="0.25">
      <c r="A304332" s="1"/>
    </row>
    <row r="304333" spans="1:1" x14ac:dyDescent="0.25">
      <c r="A304333" s="1"/>
    </row>
    <row r="304334" spans="1:1" x14ac:dyDescent="0.25">
      <c r="A304334" s="1"/>
    </row>
    <row r="304335" spans="1:1" x14ac:dyDescent="0.25">
      <c r="A304335" s="1"/>
    </row>
    <row r="304336" spans="1:1" x14ac:dyDescent="0.25">
      <c r="A304336" s="1"/>
    </row>
    <row r="304337" spans="1:1" x14ac:dyDescent="0.25">
      <c r="A304337" s="1"/>
    </row>
    <row r="304338" spans="1:1" x14ac:dyDescent="0.25">
      <c r="A304338" s="1"/>
    </row>
    <row r="304339" spans="1:1" x14ac:dyDescent="0.25">
      <c r="A304339" s="1"/>
    </row>
    <row r="304340" spans="1:1" x14ac:dyDescent="0.25">
      <c r="A304340" s="1"/>
    </row>
    <row r="304341" spans="1:1" x14ac:dyDescent="0.25">
      <c r="A304341" s="1"/>
    </row>
    <row r="304342" spans="1:1" x14ac:dyDescent="0.25">
      <c r="A304342" s="1"/>
    </row>
    <row r="304343" spans="1:1" x14ac:dyDescent="0.25">
      <c r="A304343" s="1"/>
    </row>
    <row r="304344" spans="1:1" x14ac:dyDescent="0.25">
      <c r="A304344" s="1"/>
    </row>
    <row r="304345" spans="1:1" x14ac:dyDescent="0.25">
      <c r="A304345" s="1"/>
    </row>
    <row r="304346" spans="1:1" x14ac:dyDescent="0.25">
      <c r="A304346" s="1"/>
    </row>
    <row r="304347" spans="1:1" x14ac:dyDescent="0.25">
      <c r="A304347" s="1"/>
    </row>
    <row r="304348" spans="1:1" x14ac:dyDescent="0.25">
      <c r="A304348" s="1"/>
    </row>
    <row r="304349" spans="1:1" x14ac:dyDescent="0.25">
      <c r="A304349" s="1"/>
    </row>
    <row r="304350" spans="1:1" x14ac:dyDescent="0.25">
      <c r="A304350" s="1"/>
    </row>
    <row r="304351" spans="1:1" x14ac:dyDescent="0.25">
      <c r="A304351" s="1"/>
    </row>
    <row r="304352" spans="1:1" x14ac:dyDescent="0.25">
      <c r="A304352" s="1"/>
    </row>
    <row r="304353" spans="1:1" x14ac:dyDescent="0.25">
      <c r="A304353" s="1"/>
    </row>
    <row r="304354" spans="1:1" x14ac:dyDescent="0.25">
      <c r="A304354" s="1"/>
    </row>
    <row r="304355" spans="1:1" x14ac:dyDescent="0.25">
      <c r="A304355" s="1"/>
    </row>
    <row r="304356" spans="1:1" x14ac:dyDescent="0.25">
      <c r="A304356" s="1"/>
    </row>
    <row r="304357" spans="1:1" x14ac:dyDescent="0.25">
      <c r="A304357" s="1"/>
    </row>
    <row r="304358" spans="1:1" x14ac:dyDescent="0.25">
      <c r="A304358" s="1"/>
    </row>
    <row r="304359" spans="1:1" x14ac:dyDescent="0.25">
      <c r="A304359" s="1"/>
    </row>
    <row r="304360" spans="1:1" x14ac:dyDescent="0.25">
      <c r="A304360" s="1"/>
    </row>
    <row r="304361" spans="1:1" x14ac:dyDescent="0.25">
      <c r="A304361" s="1"/>
    </row>
    <row r="304362" spans="1:1" x14ac:dyDescent="0.25">
      <c r="A304362" s="1"/>
    </row>
    <row r="304363" spans="1:1" x14ac:dyDescent="0.25">
      <c r="A304363" s="1"/>
    </row>
    <row r="304364" spans="1:1" x14ac:dyDescent="0.25">
      <c r="A304364" s="1"/>
    </row>
    <row r="304365" spans="1:1" x14ac:dyDescent="0.25">
      <c r="A304365" s="1"/>
    </row>
    <row r="304366" spans="1:1" x14ac:dyDescent="0.25">
      <c r="A304366" s="1"/>
    </row>
    <row r="304367" spans="1:1" x14ac:dyDescent="0.25">
      <c r="A304367" s="1"/>
    </row>
    <row r="304368" spans="1:1" x14ac:dyDescent="0.25">
      <c r="A304368" s="1"/>
    </row>
    <row r="304369" spans="1:1" x14ac:dyDescent="0.25">
      <c r="A304369" s="1"/>
    </row>
    <row r="304370" spans="1:1" x14ac:dyDescent="0.25">
      <c r="A304370" s="1"/>
    </row>
    <row r="304371" spans="1:1" x14ac:dyDescent="0.25">
      <c r="A304371" s="1"/>
    </row>
    <row r="304372" spans="1:1" x14ac:dyDescent="0.25">
      <c r="A304372" s="1"/>
    </row>
    <row r="304373" spans="1:1" x14ac:dyDescent="0.25">
      <c r="A304373" s="1"/>
    </row>
    <row r="304374" spans="1:1" x14ac:dyDescent="0.25">
      <c r="A304374" s="1"/>
    </row>
    <row r="304375" spans="1:1" x14ac:dyDescent="0.25">
      <c r="A304375" s="1"/>
    </row>
    <row r="304376" spans="1:1" x14ac:dyDescent="0.25">
      <c r="A304376" s="1"/>
    </row>
    <row r="304377" spans="1:1" x14ac:dyDescent="0.25">
      <c r="A304377" s="1"/>
    </row>
    <row r="304378" spans="1:1" x14ac:dyDescent="0.25">
      <c r="A304378" s="1"/>
    </row>
    <row r="304379" spans="1:1" x14ac:dyDescent="0.25">
      <c r="A304379" s="1"/>
    </row>
    <row r="304380" spans="1:1" x14ac:dyDescent="0.25">
      <c r="A304380" s="1"/>
    </row>
    <row r="304381" spans="1:1" x14ac:dyDescent="0.25">
      <c r="A304381" s="1"/>
    </row>
    <row r="304382" spans="1:1" x14ac:dyDescent="0.25">
      <c r="A304382" s="1"/>
    </row>
    <row r="304383" spans="1:1" x14ac:dyDescent="0.25">
      <c r="A304383" s="1"/>
    </row>
    <row r="304384" spans="1:1" x14ac:dyDescent="0.25">
      <c r="A304384" s="1"/>
    </row>
    <row r="304385" spans="1:1" x14ac:dyDescent="0.25">
      <c r="A304385" s="1"/>
    </row>
    <row r="304386" spans="1:1" x14ac:dyDescent="0.25">
      <c r="A304386" s="1"/>
    </row>
    <row r="304387" spans="1:1" x14ac:dyDescent="0.25">
      <c r="A304387" s="1"/>
    </row>
    <row r="304388" spans="1:1" x14ac:dyDescent="0.25">
      <c r="A304388" s="1"/>
    </row>
    <row r="304389" spans="1:1" x14ac:dyDescent="0.25">
      <c r="A304389" s="1"/>
    </row>
    <row r="304390" spans="1:1" x14ac:dyDescent="0.25">
      <c r="A304390" s="1"/>
    </row>
    <row r="304391" spans="1:1" x14ac:dyDescent="0.25">
      <c r="A304391" s="1"/>
    </row>
    <row r="304392" spans="1:1" x14ac:dyDescent="0.25">
      <c r="A304392" s="1"/>
    </row>
    <row r="304393" spans="1:1" x14ac:dyDescent="0.25">
      <c r="A304393" s="1"/>
    </row>
    <row r="304394" spans="1:1" x14ac:dyDescent="0.25">
      <c r="A304394" s="1"/>
    </row>
    <row r="304395" spans="1:1" x14ac:dyDescent="0.25">
      <c r="A304395" s="1"/>
    </row>
    <row r="304396" spans="1:1" x14ac:dyDescent="0.25">
      <c r="A304396" s="1"/>
    </row>
    <row r="304397" spans="1:1" x14ac:dyDescent="0.25">
      <c r="A304397" s="1"/>
    </row>
    <row r="304398" spans="1:1" x14ac:dyDescent="0.25">
      <c r="A304398" s="1"/>
    </row>
    <row r="304399" spans="1:1" x14ac:dyDescent="0.25">
      <c r="A304399" s="1"/>
    </row>
    <row r="304400" spans="1:1" x14ac:dyDescent="0.25">
      <c r="A304400" s="1"/>
    </row>
    <row r="304401" spans="1:1" x14ac:dyDescent="0.25">
      <c r="A304401" s="1"/>
    </row>
    <row r="304402" spans="1:1" x14ac:dyDescent="0.25">
      <c r="A304402" s="1"/>
    </row>
    <row r="304403" spans="1:1" x14ac:dyDescent="0.25">
      <c r="A304403" s="1"/>
    </row>
    <row r="304404" spans="1:1" x14ac:dyDescent="0.25">
      <c r="A304404" s="1"/>
    </row>
    <row r="304405" spans="1:1" x14ac:dyDescent="0.25">
      <c r="A304405" s="1"/>
    </row>
    <row r="304406" spans="1:1" x14ac:dyDescent="0.25">
      <c r="A304406" s="1"/>
    </row>
    <row r="304407" spans="1:1" x14ac:dyDescent="0.25">
      <c r="A304407" s="1"/>
    </row>
    <row r="304408" spans="1:1" x14ac:dyDescent="0.25">
      <c r="A304408" s="1"/>
    </row>
    <row r="304409" spans="1:1" x14ac:dyDescent="0.25">
      <c r="A304409" s="1"/>
    </row>
    <row r="304410" spans="1:1" x14ac:dyDescent="0.25">
      <c r="A304410" s="1"/>
    </row>
    <row r="304411" spans="1:1" x14ac:dyDescent="0.25">
      <c r="A304411" s="1"/>
    </row>
    <row r="304412" spans="1:1" x14ac:dyDescent="0.25">
      <c r="A304412" s="1"/>
    </row>
    <row r="304413" spans="1:1" x14ac:dyDescent="0.25">
      <c r="A304413" s="1"/>
    </row>
    <row r="304414" spans="1:1" x14ac:dyDescent="0.25">
      <c r="A304414" s="1"/>
    </row>
    <row r="304415" spans="1:1" x14ac:dyDescent="0.25">
      <c r="A304415" s="1"/>
    </row>
    <row r="304416" spans="1:1" x14ac:dyDescent="0.25">
      <c r="A304416" s="1"/>
    </row>
    <row r="304417" spans="1:1" x14ac:dyDescent="0.25">
      <c r="A304417" s="1"/>
    </row>
    <row r="304418" spans="1:1" x14ac:dyDescent="0.25">
      <c r="A304418" s="1"/>
    </row>
    <row r="304419" spans="1:1" x14ac:dyDescent="0.25">
      <c r="A304419" s="1"/>
    </row>
    <row r="304420" spans="1:1" x14ac:dyDescent="0.25">
      <c r="A304420" s="1"/>
    </row>
    <row r="304421" spans="1:1" x14ac:dyDescent="0.25">
      <c r="A304421" s="1"/>
    </row>
    <row r="304422" spans="1:1" x14ac:dyDescent="0.25">
      <c r="A304422" s="1"/>
    </row>
    <row r="304423" spans="1:1" x14ac:dyDescent="0.25">
      <c r="A304423" s="1"/>
    </row>
    <row r="304424" spans="1:1" x14ac:dyDescent="0.25">
      <c r="A304424" s="1"/>
    </row>
    <row r="304425" spans="1:1" x14ac:dyDescent="0.25">
      <c r="A304425" s="1"/>
    </row>
    <row r="304426" spans="1:1" x14ac:dyDescent="0.25">
      <c r="A304426" s="1"/>
    </row>
    <row r="304427" spans="1:1" x14ac:dyDescent="0.25">
      <c r="A304427" s="1"/>
    </row>
    <row r="304428" spans="1:1" x14ac:dyDescent="0.25">
      <c r="A304428" s="1"/>
    </row>
    <row r="304429" spans="1:1" x14ac:dyDescent="0.25">
      <c r="A304429" s="1"/>
    </row>
    <row r="304430" spans="1:1" x14ac:dyDescent="0.25">
      <c r="A304430" s="1"/>
    </row>
    <row r="304431" spans="1:1" x14ac:dyDescent="0.25">
      <c r="A304431" s="1"/>
    </row>
    <row r="304432" spans="1:1" x14ac:dyDescent="0.25">
      <c r="A304432" s="1"/>
    </row>
    <row r="304433" spans="1:1" x14ac:dyDescent="0.25">
      <c r="A304433" s="1"/>
    </row>
    <row r="304434" spans="1:1" x14ac:dyDescent="0.25">
      <c r="A304434" s="1"/>
    </row>
    <row r="304435" spans="1:1" x14ac:dyDescent="0.25">
      <c r="A304435" s="1"/>
    </row>
    <row r="304436" spans="1:1" x14ac:dyDescent="0.25">
      <c r="A304436" s="1"/>
    </row>
    <row r="304437" spans="1:1" x14ac:dyDescent="0.25">
      <c r="A304437" s="1"/>
    </row>
    <row r="304438" spans="1:1" x14ac:dyDescent="0.25">
      <c r="A304438" s="1"/>
    </row>
    <row r="304439" spans="1:1" x14ac:dyDescent="0.25">
      <c r="A304439" s="1"/>
    </row>
    <row r="304440" spans="1:1" x14ac:dyDescent="0.25">
      <c r="A304440" s="1"/>
    </row>
    <row r="304441" spans="1:1" x14ac:dyDescent="0.25">
      <c r="A304441" s="1"/>
    </row>
    <row r="304442" spans="1:1" x14ac:dyDescent="0.25">
      <c r="A304442" s="1"/>
    </row>
    <row r="304443" spans="1:1" x14ac:dyDescent="0.25">
      <c r="A304443" s="1"/>
    </row>
    <row r="304444" spans="1:1" x14ac:dyDescent="0.25">
      <c r="A304444" s="1"/>
    </row>
    <row r="304445" spans="1:1" x14ac:dyDescent="0.25">
      <c r="A304445" s="1"/>
    </row>
    <row r="304446" spans="1:1" x14ac:dyDescent="0.25">
      <c r="A304446" s="1"/>
    </row>
    <row r="304447" spans="1:1" x14ac:dyDescent="0.25">
      <c r="A304447" s="1"/>
    </row>
    <row r="304448" spans="1:1" x14ac:dyDescent="0.25">
      <c r="A304448" s="1"/>
    </row>
    <row r="304449" spans="1:1" x14ac:dyDescent="0.25">
      <c r="A304449" s="1"/>
    </row>
    <row r="304450" spans="1:1" x14ac:dyDescent="0.25">
      <c r="A304450" s="1"/>
    </row>
    <row r="304451" spans="1:1" x14ac:dyDescent="0.25">
      <c r="A304451" s="1"/>
    </row>
    <row r="304452" spans="1:1" x14ac:dyDescent="0.25">
      <c r="A304452" s="1"/>
    </row>
    <row r="304453" spans="1:1" x14ac:dyDescent="0.25">
      <c r="A304453" s="1"/>
    </row>
    <row r="304454" spans="1:1" x14ac:dyDescent="0.25">
      <c r="A304454" s="1"/>
    </row>
    <row r="304455" spans="1:1" x14ac:dyDescent="0.25">
      <c r="A304455" s="1"/>
    </row>
    <row r="304456" spans="1:1" x14ac:dyDescent="0.25">
      <c r="A304456" s="1"/>
    </row>
    <row r="304457" spans="1:1" x14ac:dyDescent="0.25">
      <c r="A304457" s="1"/>
    </row>
    <row r="304458" spans="1:1" x14ac:dyDescent="0.25">
      <c r="A304458" s="1"/>
    </row>
    <row r="304459" spans="1:1" x14ac:dyDescent="0.25">
      <c r="A304459" s="1"/>
    </row>
    <row r="304460" spans="1:1" x14ac:dyDescent="0.25">
      <c r="A304460" s="1"/>
    </row>
    <row r="304461" spans="1:1" x14ac:dyDescent="0.25">
      <c r="A304461" s="1"/>
    </row>
    <row r="304462" spans="1:1" x14ac:dyDescent="0.25">
      <c r="A304462" s="1"/>
    </row>
    <row r="304463" spans="1:1" x14ac:dyDescent="0.25">
      <c r="A304463" s="1"/>
    </row>
    <row r="304464" spans="1:1" x14ac:dyDescent="0.25">
      <c r="A304464" s="1"/>
    </row>
    <row r="304465" spans="1:1" x14ac:dyDescent="0.25">
      <c r="A304465" s="1"/>
    </row>
    <row r="304466" spans="1:1" x14ac:dyDescent="0.25">
      <c r="A304466" s="1"/>
    </row>
    <row r="304467" spans="1:1" x14ac:dyDescent="0.25">
      <c r="A304467" s="1"/>
    </row>
    <row r="304468" spans="1:1" x14ac:dyDescent="0.25">
      <c r="A304468" s="1"/>
    </row>
    <row r="304469" spans="1:1" x14ac:dyDescent="0.25">
      <c r="A304469" s="1"/>
    </row>
    <row r="304470" spans="1:1" x14ac:dyDescent="0.25">
      <c r="A304470" s="1"/>
    </row>
    <row r="304471" spans="1:1" x14ac:dyDescent="0.25">
      <c r="A304471" s="1"/>
    </row>
    <row r="304472" spans="1:1" x14ac:dyDescent="0.25">
      <c r="A304472" s="1"/>
    </row>
    <row r="304473" spans="1:1" x14ac:dyDescent="0.25">
      <c r="A304473" s="1"/>
    </row>
    <row r="304474" spans="1:1" x14ac:dyDescent="0.25">
      <c r="A304474" s="1"/>
    </row>
    <row r="304475" spans="1:1" x14ac:dyDescent="0.25">
      <c r="A304475" s="1"/>
    </row>
    <row r="304476" spans="1:1" x14ac:dyDescent="0.25">
      <c r="A304476" s="1"/>
    </row>
    <row r="304477" spans="1:1" x14ac:dyDescent="0.25">
      <c r="A304477" s="1"/>
    </row>
    <row r="304478" spans="1:1" x14ac:dyDescent="0.25">
      <c r="A304478" s="1"/>
    </row>
    <row r="304479" spans="1:1" x14ac:dyDescent="0.25">
      <c r="A304479" s="1"/>
    </row>
    <row r="304480" spans="1:1" x14ac:dyDescent="0.25">
      <c r="A304480" s="1"/>
    </row>
    <row r="304481" spans="1:1" x14ac:dyDescent="0.25">
      <c r="A304481" s="1"/>
    </row>
    <row r="304482" spans="1:1" x14ac:dyDescent="0.25">
      <c r="A304482" s="1"/>
    </row>
    <row r="304483" spans="1:1" x14ac:dyDescent="0.25">
      <c r="A304483" s="1"/>
    </row>
    <row r="304484" spans="1:1" x14ac:dyDescent="0.25">
      <c r="A304484" s="1"/>
    </row>
    <row r="304485" spans="1:1" x14ac:dyDescent="0.25">
      <c r="A304485" s="1"/>
    </row>
    <row r="304486" spans="1:1" x14ac:dyDescent="0.25">
      <c r="A304486" s="1"/>
    </row>
    <row r="304487" spans="1:1" x14ac:dyDescent="0.25">
      <c r="A304487" s="1"/>
    </row>
    <row r="304488" spans="1:1" x14ac:dyDescent="0.25">
      <c r="A304488" s="1"/>
    </row>
    <row r="304489" spans="1:1" x14ac:dyDescent="0.25">
      <c r="A304489" s="1"/>
    </row>
    <row r="304490" spans="1:1" x14ac:dyDescent="0.25">
      <c r="A304490" s="1"/>
    </row>
    <row r="304491" spans="1:1" x14ac:dyDescent="0.25">
      <c r="A304491" s="1"/>
    </row>
    <row r="304492" spans="1:1" x14ac:dyDescent="0.25">
      <c r="A304492" s="1"/>
    </row>
    <row r="304493" spans="1:1" x14ac:dyDescent="0.25">
      <c r="A304493" s="1"/>
    </row>
    <row r="304494" spans="1:1" x14ac:dyDescent="0.25">
      <c r="A304494" s="1"/>
    </row>
    <row r="304495" spans="1:1" x14ac:dyDescent="0.25">
      <c r="A304495" s="1"/>
    </row>
    <row r="304496" spans="1:1" x14ac:dyDescent="0.25">
      <c r="A304496" s="1"/>
    </row>
    <row r="304497" spans="1:1" x14ac:dyDescent="0.25">
      <c r="A304497" s="1"/>
    </row>
    <row r="304498" spans="1:1" x14ac:dyDescent="0.25">
      <c r="A304498" s="1"/>
    </row>
    <row r="304499" spans="1:1" x14ac:dyDescent="0.25">
      <c r="A304499" s="1"/>
    </row>
    <row r="304500" spans="1:1" x14ac:dyDescent="0.25">
      <c r="A304500" s="1"/>
    </row>
    <row r="304501" spans="1:1" x14ac:dyDescent="0.25">
      <c r="A304501" s="1"/>
    </row>
    <row r="304502" spans="1:1" x14ac:dyDescent="0.25">
      <c r="A304502" s="1"/>
    </row>
    <row r="304503" spans="1:1" x14ac:dyDescent="0.25">
      <c r="A304503" s="1"/>
    </row>
    <row r="304504" spans="1:1" x14ac:dyDescent="0.25">
      <c r="A304504" s="1"/>
    </row>
    <row r="304505" spans="1:1" x14ac:dyDescent="0.25">
      <c r="A304505" s="1"/>
    </row>
    <row r="304506" spans="1:1" x14ac:dyDescent="0.25">
      <c r="A304506" s="1"/>
    </row>
    <row r="304507" spans="1:1" x14ac:dyDescent="0.25">
      <c r="A304507" s="1"/>
    </row>
    <row r="304508" spans="1:1" x14ac:dyDescent="0.25">
      <c r="A304508" s="1"/>
    </row>
    <row r="304509" spans="1:1" x14ac:dyDescent="0.25">
      <c r="A304509" s="1"/>
    </row>
    <row r="304510" spans="1:1" x14ac:dyDescent="0.25">
      <c r="A304510" s="1"/>
    </row>
    <row r="304511" spans="1:1" x14ac:dyDescent="0.25">
      <c r="A304511" s="1"/>
    </row>
    <row r="304512" spans="1:1" x14ac:dyDescent="0.25">
      <c r="A304512" s="1"/>
    </row>
    <row r="304513" spans="1:1" x14ac:dyDescent="0.25">
      <c r="A304513" s="1"/>
    </row>
    <row r="304514" spans="1:1" x14ac:dyDescent="0.25">
      <c r="A304514" s="1"/>
    </row>
    <row r="304515" spans="1:1" x14ac:dyDescent="0.25">
      <c r="A304515" s="1"/>
    </row>
    <row r="304516" spans="1:1" x14ac:dyDescent="0.25">
      <c r="A304516" s="1"/>
    </row>
    <row r="304517" spans="1:1" x14ac:dyDescent="0.25">
      <c r="A304517" s="1"/>
    </row>
    <row r="304518" spans="1:1" x14ac:dyDescent="0.25">
      <c r="A304518" s="1"/>
    </row>
    <row r="304519" spans="1:1" x14ac:dyDescent="0.25">
      <c r="A304519" s="1"/>
    </row>
    <row r="304520" spans="1:1" x14ac:dyDescent="0.25">
      <c r="A304520" s="1"/>
    </row>
    <row r="304521" spans="1:1" x14ac:dyDescent="0.25">
      <c r="A304521" s="1"/>
    </row>
    <row r="304522" spans="1:1" x14ac:dyDescent="0.25">
      <c r="A304522" s="1"/>
    </row>
    <row r="304523" spans="1:1" x14ac:dyDescent="0.25">
      <c r="A304523" s="1"/>
    </row>
    <row r="304524" spans="1:1" x14ac:dyDescent="0.25">
      <c r="A304524" s="1"/>
    </row>
    <row r="304525" spans="1:1" x14ac:dyDescent="0.25">
      <c r="A304525" s="1"/>
    </row>
    <row r="304526" spans="1:1" x14ac:dyDescent="0.25">
      <c r="A304526" s="1"/>
    </row>
    <row r="304527" spans="1:1" x14ac:dyDescent="0.25">
      <c r="A304527" s="1"/>
    </row>
    <row r="304528" spans="1:1" x14ac:dyDescent="0.25">
      <c r="A304528" s="1"/>
    </row>
    <row r="304529" spans="1:1" x14ac:dyDescent="0.25">
      <c r="A304529" s="1"/>
    </row>
    <row r="304530" spans="1:1" x14ac:dyDescent="0.25">
      <c r="A304530" s="1"/>
    </row>
    <row r="304531" spans="1:1" x14ac:dyDescent="0.25">
      <c r="A304531" s="1"/>
    </row>
    <row r="304532" spans="1:1" x14ac:dyDescent="0.25">
      <c r="A304532" s="1"/>
    </row>
    <row r="304533" spans="1:1" x14ac:dyDescent="0.25">
      <c r="A304533" s="1"/>
    </row>
    <row r="304534" spans="1:1" x14ac:dyDescent="0.25">
      <c r="A304534" s="1"/>
    </row>
    <row r="304535" spans="1:1" x14ac:dyDescent="0.25">
      <c r="A304535" s="1"/>
    </row>
    <row r="304536" spans="1:1" x14ac:dyDescent="0.25">
      <c r="A304536" s="1"/>
    </row>
    <row r="304537" spans="1:1" x14ac:dyDescent="0.25">
      <c r="A304537" s="1"/>
    </row>
    <row r="304538" spans="1:1" x14ac:dyDescent="0.25">
      <c r="A304538" s="1"/>
    </row>
    <row r="304539" spans="1:1" x14ac:dyDescent="0.25">
      <c r="A304539" s="1"/>
    </row>
    <row r="304540" spans="1:1" x14ac:dyDescent="0.25">
      <c r="A304540" s="1"/>
    </row>
    <row r="304541" spans="1:1" x14ac:dyDescent="0.25">
      <c r="A304541" s="1"/>
    </row>
    <row r="304542" spans="1:1" x14ac:dyDescent="0.25">
      <c r="A304542" s="1"/>
    </row>
    <row r="304543" spans="1:1" x14ac:dyDescent="0.25">
      <c r="A304543" s="1"/>
    </row>
    <row r="304544" spans="1:1" x14ac:dyDescent="0.25">
      <c r="A304544" s="1"/>
    </row>
    <row r="304545" spans="1:1" x14ac:dyDescent="0.25">
      <c r="A304545" s="1"/>
    </row>
    <row r="304546" spans="1:1" x14ac:dyDescent="0.25">
      <c r="A304546" s="1"/>
    </row>
    <row r="304547" spans="1:1" x14ac:dyDescent="0.25">
      <c r="A304547" s="1"/>
    </row>
    <row r="304548" spans="1:1" x14ac:dyDescent="0.25">
      <c r="A304548" s="1"/>
    </row>
    <row r="304549" spans="1:1" x14ac:dyDescent="0.25">
      <c r="A304549" s="1"/>
    </row>
    <row r="304550" spans="1:1" x14ac:dyDescent="0.25">
      <c r="A304550" s="1"/>
    </row>
    <row r="304551" spans="1:1" x14ac:dyDescent="0.25">
      <c r="A304551" s="1"/>
    </row>
    <row r="304552" spans="1:1" x14ac:dyDescent="0.25">
      <c r="A304552" s="1"/>
    </row>
    <row r="304553" spans="1:1" x14ac:dyDescent="0.25">
      <c r="A304553" s="1"/>
    </row>
    <row r="304554" spans="1:1" x14ac:dyDescent="0.25">
      <c r="A304554" s="1"/>
    </row>
    <row r="304555" spans="1:1" x14ac:dyDescent="0.25">
      <c r="A304555" s="1"/>
    </row>
    <row r="304556" spans="1:1" x14ac:dyDescent="0.25">
      <c r="A304556" s="1"/>
    </row>
    <row r="304557" spans="1:1" x14ac:dyDescent="0.25">
      <c r="A304557" s="1"/>
    </row>
    <row r="304558" spans="1:1" x14ac:dyDescent="0.25">
      <c r="A304558" s="1"/>
    </row>
    <row r="304559" spans="1:1" x14ac:dyDescent="0.25">
      <c r="A304559" s="1"/>
    </row>
    <row r="304560" spans="1:1" x14ac:dyDescent="0.25">
      <c r="A304560" s="1"/>
    </row>
    <row r="304561" spans="1:1" x14ac:dyDescent="0.25">
      <c r="A304561" s="1"/>
    </row>
    <row r="304562" spans="1:1" x14ac:dyDescent="0.25">
      <c r="A304562" s="1"/>
    </row>
    <row r="304563" spans="1:1" x14ac:dyDescent="0.25">
      <c r="A304563" s="1"/>
    </row>
    <row r="304564" spans="1:1" x14ac:dyDescent="0.25">
      <c r="A304564" s="1"/>
    </row>
    <row r="304565" spans="1:1" x14ac:dyDescent="0.25">
      <c r="A304565" s="1"/>
    </row>
    <row r="304566" spans="1:1" x14ac:dyDescent="0.25">
      <c r="A304566" s="1"/>
    </row>
    <row r="304567" spans="1:1" x14ac:dyDescent="0.25">
      <c r="A304567" s="1"/>
    </row>
    <row r="304568" spans="1:1" x14ac:dyDescent="0.25">
      <c r="A304568" s="1"/>
    </row>
    <row r="304569" spans="1:1" x14ac:dyDescent="0.25">
      <c r="A304569" s="1"/>
    </row>
    <row r="304570" spans="1:1" x14ac:dyDescent="0.25">
      <c r="A304570" s="1"/>
    </row>
    <row r="304571" spans="1:1" x14ac:dyDescent="0.25">
      <c r="A304571" s="1"/>
    </row>
    <row r="304572" spans="1:1" x14ac:dyDescent="0.25">
      <c r="A304572" s="1"/>
    </row>
    <row r="304573" spans="1:1" x14ac:dyDescent="0.25">
      <c r="A304573" s="1"/>
    </row>
    <row r="304574" spans="1:1" x14ac:dyDescent="0.25">
      <c r="A304574" s="1"/>
    </row>
    <row r="304575" spans="1:1" x14ac:dyDescent="0.25">
      <c r="A304575" s="1"/>
    </row>
    <row r="304576" spans="1:1" x14ac:dyDescent="0.25">
      <c r="A304576" s="1"/>
    </row>
    <row r="304577" spans="1:1" x14ac:dyDescent="0.25">
      <c r="A304577" s="1"/>
    </row>
    <row r="304578" spans="1:1" x14ac:dyDescent="0.25">
      <c r="A304578" s="1"/>
    </row>
    <row r="304579" spans="1:1" x14ac:dyDescent="0.25">
      <c r="A304579" s="1"/>
    </row>
    <row r="304580" spans="1:1" x14ac:dyDescent="0.25">
      <c r="A304580" s="1"/>
    </row>
    <row r="304581" spans="1:1" x14ac:dyDescent="0.25">
      <c r="A304581" s="1"/>
    </row>
    <row r="304582" spans="1:1" x14ac:dyDescent="0.25">
      <c r="A304582" s="1"/>
    </row>
    <row r="304583" spans="1:1" x14ac:dyDescent="0.25">
      <c r="A304583" s="1"/>
    </row>
    <row r="304584" spans="1:1" x14ac:dyDescent="0.25">
      <c r="A304584" s="1"/>
    </row>
    <row r="304585" spans="1:1" x14ac:dyDescent="0.25">
      <c r="A304585" s="1"/>
    </row>
    <row r="304586" spans="1:1" x14ac:dyDescent="0.25">
      <c r="A304586" s="1"/>
    </row>
    <row r="304587" spans="1:1" x14ac:dyDescent="0.25">
      <c r="A304587" s="1"/>
    </row>
    <row r="304588" spans="1:1" x14ac:dyDescent="0.25">
      <c r="A304588" s="1"/>
    </row>
    <row r="304589" spans="1:1" x14ac:dyDescent="0.25">
      <c r="A304589" s="1"/>
    </row>
    <row r="304590" spans="1:1" x14ac:dyDescent="0.25">
      <c r="A304590" s="1"/>
    </row>
    <row r="304591" spans="1:1" x14ac:dyDescent="0.25">
      <c r="A304591" s="1"/>
    </row>
    <row r="304592" spans="1:1" x14ac:dyDescent="0.25">
      <c r="A304592" s="1"/>
    </row>
    <row r="304593" spans="1:1" x14ac:dyDescent="0.25">
      <c r="A304593" s="1"/>
    </row>
    <row r="304594" spans="1:1" x14ac:dyDescent="0.25">
      <c r="A304594" s="1"/>
    </row>
    <row r="304595" spans="1:1" x14ac:dyDescent="0.25">
      <c r="A304595" s="1"/>
    </row>
    <row r="304596" spans="1:1" x14ac:dyDescent="0.25">
      <c r="A304596" s="1"/>
    </row>
    <row r="304597" spans="1:1" x14ac:dyDescent="0.25">
      <c r="A304597" s="1"/>
    </row>
    <row r="304598" spans="1:1" x14ac:dyDescent="0.25">
      <c r="A304598" s="1"/>
    </row>
    <row r="304599" spans="1:1" x14ac:dyDescent="0.25">
      <c r="A304599" s="1"/>
    </row>
    <row r="304600" spans="1:1" x14ac:dyDescent="0.25">
      <c r="A304600" s="1"/>
    </row>
    <row r="304601" spans="1:1" x14ac:dyDescent="0.25">
      <c r="A304601" s="1"/>
    </row>
    <row r="304602" spans="1:1" x14ac:dyDescent="0.25">
      <c r="A304602" s="1"/>
    </row>
    <row r="304603" spans="1:1" x14ac:dyDescent="0.25">
      <c r="A304603" s="1"/>
    </row>
    <row r="304604" spans="1:1" x14ac:dyDescent="0.25">
      <c r="A304604" s="1"/>
    </row>
    <row r="304605" spans="1:1" x14ac:dyDescent="0.25">
      <c r="A304605" s="1"/>
    </row>
    <row r="304606" spans="1:1" x14ac:dyDescent="0.25">
      <c r="A304606" s="1"/>
    </row>
    <row r="304607" spans="1:1" x14ac:dyDescent="0.25">
      <c r="A304607" s="1"/>
    </row>
    <row r="304608" spans="1:1" x14ac:dyDescent="0.25">
      <c r="A304608" s="1"/>
    </row>
    <row r="304609" spans="1:1" x14ac:dyDescent="0.25">
      <c r="A304609" s="1"/>
    </row>
    <row r="304610" spans="1:1" x14ac:dyDescent="0.25">
      <c r="A304610" s="1"/>
    </row>
    <row r="304611" spans="1:1" x14ac:dyDescent="0.25">
      <c r="A304611" s="1"/>
    </row>
    <row r="304612" spans="1:1" x14ac:dyDescent="0.25">
      <c r="A304612" s="1"/>
    </row>
    <row r="304613" spans="1:1" x14ac:dyDescent="0.25">
      <c r="A304613" s="1"/>
    </row>
    <row r="304614" spans="1:1" x14ac:dyDescent="0.25">
      <c r="A304614" s="1"/>
    </row>
    <row r="304615" spans="1:1" x14ac:dyDescent="0.25">
      <c r="A304615" s="1"/>
    </row>
    <row r="304616" spans="1:1" x14ac:dyDescent="0.25">
      <c r="A304616" s="1"/>
    </row>
    <row r="304617" spans="1:1" x14ac:dyDescent="0.25">
      <c r="A304617" s="1"/>
    </row>
    <row r="304618" spans="1:1" x14ac:dyDescent="0.25">
      <c r="A304618" s="1"/>
    </row>
    <row r="304619" spans="1:1" x14ac:dyDescent="0.25">
      <c r="A304619" s="1"/>
    </row>
    <row r="304620" spans="1:1" x14ac:dyDescent="0.25">
      <c r="A304620" s="1"/>
    </row>
    <row r="304621" spans="1:1" x14ac:dyDescent="0.25">
      <c r="A304621" s="1"/>
    </row>
    <row r="304622" spans="1:1" x14ac:dyDescent="0.25">
      <c r="A304622" s="1"/>
    </row>
    <row r="304623" spans="1:1" x14ac:dyDescent="0.25">
      <c r="A304623" s="1"/>
    </row>
    <row r="304624" spans="1:1" x14ac:dyDescent="0.25">
      <c r="A304624" s="1"/>
    </row>
    <row r="304625" spans="1:1" x14ac:dyDescent="0.25">
      <c r="A304625" s="1"/>
    </row>
    <row r="304626" spans="1:1" x14ac:dyDescent="0.25">
      <c r="A304626" s="1"/>
    </row>
    <row r="304627" spans="1:1" x14ac:dyDescent="0.25">
      <c r="A304627" s="1"/>
    </row>
    <row r="304628" spans="1:1" x14ac:dyDescent="0.25">
      <c r="A304628" s="1"/>
    </row>
    <row r="304629" spans="1:1" x14ac:dyDescent="0.25">
      <c r="A304629" s="1"/>
    </row>
    <row r="304630" spans="1:1" x14ac:dyDescent="0.25">
      <c r="A304630" s="1"/>
    </row>
    <row r="304631" spans="1:1" x14ac:dyDescent="0.25">
      <c r="A304631" s="1"/>
    </row>
    <row r="304632" spans="1:1" x14ac:dyDescent="0.25">
      <c r="A304632" s="1"/>
    </row>
    <row r="304633" spans="1:1" x14ac:dyDescent="0.25">
      <c r="A304633" s="1"/>
    </row>
    <row r="304634" spans="1:1" x14ac:dyDescent="0.25">
      <c r="A304634" s="1"/>
    </row>
    <row r="304635" spans="1:1" x14ac:dyDescent="0.25">
      <c r="A304635" s="1"/>
    </row>
    <row r="304636" spans="1:1" x14ac:dyDescent="0.25">
      <c r="A304636" s="1"/>
    </row>
    <row r="304637" spans="1:1" x14ac:dyDescent="0.25">
      <c r="A304637" s="1"/>
    </row>
    <row r="304638" spans="1:1" x14ac:dyDescent="0.25">
      <c r="A304638" s="1"/>
    </row>
    <row r="304639" spans="1:1" x14ac:dyDescent="0.25">
      <c r="A304639" s="1"/>
    </row>
    <row r="304640" spans="1:1" x14ac:dyDescent="0.25">
      <c r="A304640" s="1"/>
    </row>
    <row r="304641" spans="1:1" x14ac:dyDescent="0.25">
      <c r="A304641" s="1"/>
    </row>
    <row r="304642" spans="1:1" x14ac:dyDescent="0.25">
      <c r="A304642" s="1"/>
    </row>
    <row r="304643" spans="1:1" x14ac:dyDescent="0.25">
      <c r="A304643" s="1"/>
    </row>
    <row r="304644" spans="1:1" x14ac:dyDescent="0.25">
      <c r="A304644" s="1"/>
    </row>
    <row r="304645" spans="1:1" x14ac:dyDescent="0.25">
      <c r="A304645" s="1"/>
    </row>
    <row r="304646" spans="1:1" x14ac:dyDescent="0.25">
      <c r="A304646" s="1"/>
    </row>
    <row r="304647" spans="1:1" x14ac:dyDescent="0.25">
      <c r="A304647" s="1"/>
    </row>
    <row r="304648" spans="1:1" x14ac:dyDescent="0.25">
      <c r="A304648" s="1"/>
    </row>
    <row r="304649" spans="1:1" x14ac:dyDescent="0.25">
      <c r="A304649" s="1"/>
    </row>
    <row r="304650" spans="1:1" x14ac:dyDescent="0.25">
      <c r="A304650" s="1"/>
    </row>
    <row r="304651" spans="1:1" x14ac:dyDescent="0.25">
      <c r="A304651" s="1"/>
    </row>
    <row r="304652" spans="1:1" x14ac:dyDescent="0.25">
      <c r="A304652" s="1"/>
    </row>
    <row r="304653" spans="1:1" x14ac:dyDescent="0.25">
      <c r="A304653" s="1"/>
    </row>
    <row r="304654" spans="1:1" x14ac:dyDescent="0.25">
      <c r="A304654" s="1"/>
    </row>
    <row r="304655" spans="1:1" x14ac:dyDescent="0.25">
      <c r="A304655" s="1"/>
    </row>
    <row r="304656" spans="1:1" x14ac:dyDescent="0.25">
      <c r="A304656" s="1"/>
    </row>
    <row r="304657" spans="1:1" x14ac:dyDescent="0.25">
      <c r="A304657" s="1"/>
    </row>
    <row r="304658" spans="1:1" x14ac:dyDescent="0.25">
      <c r="A304658" s="1"/>
    </row>
    <row r="304659" spans="1:1" x14ac:dyDescent="0.25">
      <c r="A304659" s="1"/>
    </row>
    <row r="304660" spans="1:1" x14ac:dyDescent="0.25">
      <c r="A304660" s="1"/>
    </row>
    <row r="304661" spans="1:1" x14ac:dyDescent="0.25">
      <c r="A304661" s="1"/>
    </row>
    <row r="304662" spans="1:1" x14ac:dyDescent="0.25">
      <c r="A304662" s="1"/>
    </row>
    <row r="304663" spans="1:1" x14ac:dyDescent="0.25">
      <c r="A304663" s="1"/>
    </row>
    <row r="304664" spans="1:1" x14ac:dyDescent="0.25">
      <c r="A304664" s="1"/>
    </row>
    <row r="304665" spans="1:1" x14ac:dyDescent="0.25">
      <c r="A304665" s="1"/>
    </row>
    <row r="304666" spans="1:1" x14ac:dyDescent="0.25">
      <c r="A304666" s="1"/>
    </row>
    <row r="304667" spans="1:1" x14ac:dyDescent="0.25">
      <c r="A304667" s="1"/>
    </row>
    <row r="304668" spans="1:1" x14ac:dyDescent="0.25">
      <c r="A304668" s="1"/>
    </row>
    <row r="304669" spans="1:1" x14ac:dyDescent="0.25">
      <c r="A304669" s="1"/>
    </row>
    <row r="304670" spans="1:1" x14ac:dyDescent="0.25">
      <c r="A304670" s="1"/>
    </row>
    <row r="304671" spans="1:1" x14ac:dyDescent="0.25">
      <c r="A304671" s="1"/>
    </row>
    <row r="304672" spans="1:1" x14ac:dyDescent="0.25">
      <c r="A304672" s="1"/>
    </row>
    <row r="304673" spans="1:1" x14ac:dyDescent="0.25">
      <c r="A304673" s="1"/>
    </row>
    <row r="304674" spans="1:1" x14ac:dyDescent="0.25">
      <c r="A304674" s="1"/>
    </row>
    <row r="304675" spans="1:1" x14ac:dyDescent="0.25">
      <c r="A304675" s="1"/>
    </row>
    <row r="304676" spans="1:1" x14ac:dyDescent="0.25">
      <c r="A304676" s="1"/>
    </row>
    <row r="304677" spans="1:1" x14ac:dyDescent="0.25">
      <c r="A304677" s="1"/>
    </row>
    <row r="304678" spans="1:1" x14ac:dyDescent="0.25">
      <c r="A304678" s="1"/>
    </row>
    <row r="304679" spans="1:1" x14ac:dyDescent="0.25">
      <c r="A304679" s="1"/>
    </row>
    <row r="304680" spans="1:1" x14ac:dyDescent="0.25">
      <c r="A304680" s="1"/>
    </row>
    <row r="304681" spans="1:1" x14ac:dyDescent="0.25">
      <c r="A304681" s="1"/>
    </row>
    <row r="304682" spans="1:1" x14ac:dyDescent="0.25">
      <c r="A304682" s="1"/>
    </row>
    <row r="304683" spans="1:1" x14ac:dyDescent="0.25">
      <c r="A304683" s="1"/>
    </row>
    <row r="304684" spans="1:1" x14ac:dyDescent="0.25">
      <c r="A304684" s="1"/>
    </row>
    <row r="304685" spans="1:1" x14ac:dyDescent="0.25">
      <c r="A304685" s="1"/>
    </row>
    <row r="304686" spans="1:1" x14ac:dyDescent="0.25">
      <c r="A304686" s="1"/>
    </row>
    <row r="304687" spans="1:1" x14ac:dyDescent="0.25">
      <c r="A304687" s="1"/>
    </row>
    <row r="304688" spans="1:1" x14ac:dyDescent="0.25">
      <c r="A304688" s="1"/>
    </row>
    <row r="304689" spans="1:1" x14ac:dyDescent="0.25">
      <c r="A304689" s="1"/>
    </row>
    <row r="304690" spans="1:1" x14ac:dyDescent="0.25">
      <c r="A304690" s="1"/>
    </row>
    <row r="304691" spans="1:1" x14ac:dyDescent="0.25">
      <c r="A304691" s="1"/>
    </row>
    <row r="304692" spans="1:1" x14ac:dyDescent="0.25">
      <c r="A304692" s="1"/>
    </row>
    <row r="304693" spans="1:1" x14ac:dyDescent="0.25">
      <c r="A304693" s="1"/>
    </row>
    <row r="304694" spans="1:1" x14ac:dyDescent="0.25">
      <c r="A304694" s="1"/>
    </row>
    <row r="304695" spans="1:1" x14ac:dyDescent="0.25">
      <c r="A304695" s="1"/>
    </row>
    <row r="304696" spans="1:1" x14ac:dyDescent="0.25">
      <c r="A304696" s="1"/>
    </row>
    <row r="304697" spans="1:1" x14ac:dyDescent="0.25">
      <c r="A304697" s="1"/>
    </row>
    <row r="304698" spans="1:1" x14ac:dyDescent="0.25">
      <c r="A304698" s="1"/>
    </row>
    <row r="304699" spans="1:1" x14ac:dyDescent="0.25">
      <c r="A304699" s="1"/>
    </row>
    <row r="304700" spans="1:1" x14ac:dyDescent="0.25">
      <c r="A304700" s="1"/>
    </row>
    <row r="304701" spans="1:1" x14ac:dyDescent="0.25">
      <c r="A304701" s="1"/>
    </row>
    <row r="304702" spans="1:1" x14ac:dyDescent="0.25">
      <c r="A304702" s="1"/>
    </row>
    <row r="304703" spans="1:1" x14ac:dyDescent="0.25">
      <c r="A304703" s="1"/>
    </row>
    <row r="304704" spans="1:1" x14ac:dyDescent="0.25">
      <c r="A304704" s="1"/>
    </row>
    <row r="304705" spans="1:1" x14ac:dyDescent="0.25">
      <c r="A304705" s="1"/>
    </row>
    <row r="304706" spans="1:1" x14ac:dyDescent="0.25">
      <c r="A304706" s="1"/>
    </row>
    <row r="304707" spans="1:1" x14ac:dyDescent="0.25">
      <c r="A304707" s="1"/>
    </row>
    <row r="304708" spans="1:1" x14ac:dyDescent="0.25">
      <c r="A304708" s="1"/>
    </row>
    <row r="304709" spans="1:1" x14ac:dyDescent="0.25">
      <c r="A304709" s="1"/>
    </row>
    <row r="304710" spans="1:1" x14ac:dyDescent="0.25">
      <c r="A304710" s="1"/>
    </row>
    <row r="304711" spans="1:1" x14ac:dyDescent="0.25">
      <c r="A304711" s="1"/>
    </row>
    <row r="304712" spans="1:1" x14ac:dyDescent="0.25">
      <c r="A304712" s="1"/>
    </row>
    <row r="304713" spans="1:1" x14ac:dyDescent="0.25">
      <c r="A304713" s="1"/>
    </row>
    <row r="304714" spans="1:1" x14ac:dyDescent="0.25">
      <c r="A304714" s="1"/>
    </row>
    <row r="304715" spans="1:1" x14ac:dyDescent="0.25">
      <c r="A304715" s="1"/>
    </row>
    <row r="304716" spans="1:1" x14ac:dyDescent="0.25">
      <c r="A304716" s="1"/>
    </row>
    <row r="304717" spans="1:1" x14ac:dyDescent="0.25">
      <c r="A304717" s="1"/>
    </row>
    <row r="304718" spans="1:1" x14ac:dyDescent="0.25">
      <c r="A304718" s="1"/>
    </row>
    <row r="304719" spans="1:1" x14ac:dyDescent="0.25">
      <c r="A304719" s="1"/>
    </row>
    <row r="304720" spans="1:1" x14ac:dyDescent="0.25">
      <c r="A304720" s="1"/>
    </row>
    <row r="304721" spans="1:1" x14ac:dyDescent="0.25">
      <c r="A304721" s="1"/>
    </row>
    <row r="304722" spans="1:1" x14ac:dyDescent="0.25">
      <c r="A304722" s="1"/>
    </row>
    <row r="304723" spans="1:1" x14ac:dyDescent="0.25">
      <c r="A304723" s="1"/>
    </row>
    <row r="304724" spans="1:1" x14ac:dyDescent="0.25">
      <c r="A304724" s="1"/>
    </row>
    <row r="304725" spans="1:1" x14ac:dyDescent="0.25">
      <c r="A304725" s="1"/>
    </row>
    <row r="304726" spans="1:1" x14ac:dyDescent="0.25">
      <c r="A304726" s="1"/>
    </row>
    <row r="304727" spans="1:1" x14ac:dyDescent="0.25">
      <c r="A304727" s="1"/>
    </row>
    <row r="304728" spans="1:1" x14ac:dyDescent="0.25">
      <c r="A304728" s="1"/>
    </row>
    <row r="304729" spans="1:1" x14ac:dyDescent="0.25">
      <c r="A304729" s="1"/>
    </row>
    <row r="304730" spans="1:1" x14ac:dyDescent="0.25">
      <c r="A304730" s="1"/>
    </row>
    <row r="304731" spans="1:1" x14ac:dyDescent="0.25">
      <c r="A304731" s="1"/>
    </row>
    <row r="304732" spans="1:1" x14ac:dyDescent="0.25">
      <c r="A304732" s="1"/>
    </row>
    <row r="304733" spans="1:1" x14ac:dyDescent="0.25">
      <c r="A304733" s="1"/>
    </row>
    <row r="304734" spans="1:1" x14ac:dyDescent="0.25">
      <c r="A304734" s="1"/>
    </row>
    <row r="304735" spans="1:1" x14ac:dyDescent="0.25">
      <c r="A304735" s="1"/>
    </row>
    <row r="304736" spans="1:1" x14ac:dyDescent="0.25">
      <c r="A304736" s="1"/>
    </row>
    <row r="304737" spans="1:1" x14ac:dyDescent="0.25">
      <c r="A304737" s="1"/>
    </row>
    <row r="304738" spans="1:1" x14ac:dyDescent="0.25">
      <c r="A304738" s="1"/>
    </row>
    <row r="304739" spans="1:1" x14ac:dyDescent="0.25">
      <c r="A304739" s="1"/>
    </row>
    <row r="304740" spans="1:1" x14ac:dyDescent="0.25">
      <c r="A304740" s="1"/>
    </row>
    <row r="304741" spans="1:1" x14ac:dyDescent="0.25">
      <c r="A304741" s="1"/>
    </row>
    <row r="304742" spans="1:1" x14ac:dyDescent="0.25">
      <c r="A304742" s="1"/>
    </row>
    <row r="304743" spans="1:1" x14ac:dyDescent="0.25">
      <c r="A304743" s="1"/>
    </row>
    <row r="304744" spans="1:1" x14ac:dyDescent="0.25">
      <c r="A304744" s="1"/>
    </row>
    <row r="304745" spans="1:1" x14ac:dyDescent="0.25">
      <c r="A304745" s="1"/>
    </row>
    <row r="304746" spans="1:1" x14ac:dyDescent="0.25">
      <c r="A304746" s="1"/>
    </row>
    <row r="304747" spans="1:1" x14ac:dyDescent="0.25">
      <c r="A304747" s="1"/>
    </row>
    <row r="304748" spans="1:1" x14ac:dyDescent="0.25">
      <c r="A304748" s="1"/>
    </row>
    <row r="304749" spans="1:1" x14ac:dyDescent="0.25">
      <c r="A304749" s="1"/>
    </row>
    <row r="304750" spans="1:1" x14ac:dyDescent="0.25">
      <c r="A304750" s="1"/>
    </row>
    <row r="304751" spans="1:1" x14ac:dyDescent="0.25">
      <c r="A304751" s="1"/>
    </row>
    <row r="304752" spans="1:1" x14ac:dyDescent="0.25">
      <c r="A304752" s="1"/>
    </row>
    <row r="304753" spans="1:1" x14ac:dyDescent="0.25">
      <c r="A304753" s="1"/>
    </row>
    <row r="304754" spans="1:1" x14ac:dyDescent="0.25">
      <c r="A304754" s="1"/>
    </row>
    <row r="304755" spans="1:1" x14ac:dyDescent="0.25">
      <c r="A304755" s="1"/>
    </row>
    <row r="304756" spans="1:1" x14ac:dyDescent="0.25">
      <c r="A304756" s="1"/>
    </row>
    <row r="304757" spans="1:1" x14ac:dyDescent="0.25">
      <c r="A304757" s="1"/>
    </row>
    <row r="304758" spans="1:1" x14ac:dyDescent="0.25">
      <c r="A304758" s="1"/>
    </row>
    <row r="304759" spans="1:1" x14ac:dyDescent="0.25">
      <c r="A304759" s="1"/>
    </row>
    <row r="304760" spans="1:1" x14ac:dyDescent="0.25">
      <c r="A304760" s="1"/>
    </row>
    <row r="304761" spans="1:1" x14ac:dyDescent="0.25">
      <c r="A304761" s="1"/>
    </row>
    <row r="304762" spans="1:1" x14ac:dyDescent="0.25">
      <c r="A304762" s="1"/>
    </row>
    <row r="304763" spans="1:1" x14ac:dyDescent="0.25">
      <c r="A304763" s="1"/>
    </row>
    <row r="304764" spans="1:1" x14ac:dyDescent="0.25">
      <c r="A304764" s="1"/>
    </row>
    <row r="304765" spans="1:1" x14ac:dyDescent="0.25">
      <c r="A304765" s="1"/>
    </row>
    <row r="304766" spans="1:1" x14ac:dyDescent="0.25">
      <c r="A304766" s="1"/>
    </row>
    <row r="304767" spans="1:1" x14ac:dyDescent="0.25">
      <c r="A304767" s="1"/>
    </row>
    <row r="304768" spans="1:1" x14ac:dyDescent="0.25">
      <c r="A304768" s="1"/>
    </row>
    <row r="304769" spans="1:1" x14ac:dyDescent="0.25">
      <c r="A304769" s="1"/>
    </row>
    <row r="304770" spans="1:1" x14ac:dyDescent="0.25">
      <c r="A304770" s="1"/>
    </row>
    <row r="304771" spans="1:1" x14ac:dyDescent="0.25">
      <c r="A304771" s="1"/>
    </row>
    <row r="304772" spans="1:1" x14ac:dyDescent="0.25">
      <c r="A304772" s="1"/>
    </row>
    <row r="304773" spans="1:1" x14ac:dyDescent="0.25">
      <c r="A304773" s="1"/>
    </row>
    <row r="304774" spans="1:1" x14ac:dyDescent="0.25">
      <c r="A304774" s="1"/>
    </row>
    <row r="304775" spans="1:1" x14ac:dyDescent="0.25">
      <c r="A304775" s="1"/>
    </row>
    <row r="304776" spans="1:1" x14ac:dyDescent="0.25">
      <c r="A304776" s="1"/>
    </row>
    <row r="304777" spans="1:1" x14ac:dyDescent="0.25">
      <c r="A304777" s="1"/>
    </row>
    <row r="304778" spans="1:1" x14ac:dyDescent="0.25">
      <c r="A304778" s="1"/>
    </row>
    <row r="304779" spans="1:1" x14ac:dyDescent="0.25">
      <c r="A304779" s="1"/>
    </row>
    <row r="304780" spans="1:1" x14ac:dyDescent="0.25">
      <c r="A304780" s="1"/>
    </row>
    <row r="304781" spans="1:1" x14ac:dyDescent="0.25">
      <c r="A304781" s="1"/>
    </row>
    <row r="304782" spans="1:1" x14ac:dyDescent="0.25">
      <c r="A304782" s="1"/>
    </row>
    <row r="304783" spans="1:1" x14ac:dyDescent="0.25">
      <c r="A304783" s="1"/>
    </row>
    <row r="304784" spans="1:1" x14ac:dyDescent="0.25">
      <c r="A304784" s="1"/>
    </row>
    <row r="304785" spans="1:1" x14ac:dyDescent="0.25">
      <c r="A304785" s="1"/>
    </row>
    <row r="304786" spans="1:1" x14ac:dyDescent="0.25">
      <c r="A304786" s="1"/>
    </row>
    <row r="304787" spans="1:1" x14ac:dyDescent="0.25">
      <c r="A304787" s="1"/>
    </row>
    <row r="304788" spans="1:1" x14ac:dyDescent="0.25">
      <c r="A304788" s="1"/>
    </row>
    <row r="304789" spans="1:1" x14ac:dyDescent="0.25">
      <c r="A304789" s="1"/>
    </row>
    <row r="304790" spans="1:1" x14ac:dyDescent="0.25">
      <c r="A304790" s="1"/>
    </row>
    <row r="304791" spans="1:1" x14ac:dyDescent="0.25">
      <c r="A304791" s="1"/>
    </row>
    <row r="304792" spans="1:1" x14ac:dyDescent="0.25">
      <c r="A304792" s="1"/>
    </row>
    <row r="304793" spans="1:1" x14ac:dyDescent="0.25">
      <c r="A304793" s="1"/>
    </row>
    <row r="304794" spans="1:1" x14ac:dyDescent="0.25">
      <c r="A304794" s="1"/>
    </row>
    <row r="304795" spans="1:1" x14ac:dyDescent="0.25">
      <c r="A304795" s="1"/>
    </row>
    <row r="304796" spans="1:1" x14ac:dyDescent="0.25">
      <c r="A304796" s="1"/>
    </row>
    <row r="304797" spans="1:1" x14ac:dyDescent="0.25">
      <c r="A304797" s="1"/>
    </row>
    <row r="304798" spans="1:1" x14ac:dyDescent="0.25">
      <c r="A304798" s="1"/>
    </row>
    <row r="304799" spans="1:1" x14ac:dyDescent="0.25">
      <c r="A304799" s="1"/>
    </row>
    <row r="304800" spans="1:1" x14ac:dyDescent="0.25">
      <c r="A304800" s="1"/>
    </row>
    <row r="304801" spans="1:1" x14ac:dyDescent="0.25">
      <c r="A304801" s="1"/>
    </row>
    <row r="304802" spans="1:1" x14ac:dyDescent="0.25">
      <c r="A304802" s="1"/>
    </row>
    <row r="304803" spans="1:1" x14ac:dyDescent="0.25">
      <c r="A304803" s="1"/>
    </row>
    <row r="304804" spans="1:1" x14ac:dyDescent="0.25">
      <c r="A304804" s="1"/>
    </row>
    <row r="304805" spans="1:1" x14ac:dyDescent="0.25">
      <c r="A304805" s="1"/>
    </row>
    <row r="304806" spans="1:1" x14ac:dyDescent="0.25">
      <c r="A304806" s="1"/>
    </row>
    <row r="304807" spans="1:1" x14ac:dyDescent="0.25">
      <c r="A304807" s="1"/>
    </row>
    <row r="304808" spans="1:1" x14ac:dyDescent="0.25">
      <c r="A304808" s="1"/>
    </row>
    <row r="304809" spans="1:1" x14ac:dyDescent="0.25">
      <c r="A304809" s="1"/>
    </row>
    <row r="304810" spans="1:1" x14ac:dyDescent="0.25">
      <c r="A304810" s="1"/>
    </row>
    <row r="304811" spans="1:1" x14ac:dyDescent="0.25">
      <c r="A304811" s="1"/>
    </row>
    <row r="304812" spans="1:1" x14ac:dyDescent="0.25">
      <c r="A304812" s="1"/>
    </row>
    <row r="304813" spans="1:1" x14ac:dyDescent="0.25">
      <c r="A304813" s="1"/>
    </row>
    <row r="304814" spans="1:1" x14ac:dyDescent="0.25">
      <c r="A304814" s="1"/>
    </row>
    <row r="304815" spans="1:1" x14ac:dyDescent="0.25">
      <c r="A304815" s="1"/>
    </row>
    <row r="304816" spans="1:1" x14ac:dyDescent="0.25">
      <c r="A304816" s="1"/>
    </row>
    <row r="304817" spans="1:1" x14ac:dyDescent="0.25">
      <c r="A304817" s="1"/>
    </row>
    <row r="304818" spans="1:1" x14ac:dyDescent="0.25">
      <c r="A304818" s="1"/>
    </row>
    <row r="304819" spans="1:1" x14ac:dyDescent="0.25">
      <c r="A304819" s="1"/>
    </row>
    <row r="304820" spans="1:1" x14ac:dyDescent="0.25">
      <c r="A304820" s="1"/>
    </row>
    <row r="304821" spans="1:1" x14ac:dyDescent="0.25">
      <c r="A304821" s="1"/>
    </row>
    <row r="304822" spans="1:1" x14ac:dyDescent="0.25">
      <c r="A304822" s="1"/>
    </row>
    <row r="304823" spans="1:1" x14ac:dyDescent="0.25">
      <c r="A304823" s="1"/>
    </row>
    <row r="304824" spans="1:1" x14ac:dyDescent="0.25">
      <c r="A304824" s="1"/>
    </row>
    <row r="304825" spans="1:1" x14ac:dyDescent="0.25">
      <c r="A304825" s="1"/>
    </row>
    <row r="304826" spans="1:1" x14ac:dyDescent="0.25">
      <c r="A304826" s="1"/>
    </row>
    <row r="304827" spans="1:1" x14ac:dyDescent="0.25">
      <c r="A304827" s="1"/>
    </row>
    <row r="304828" spans="1:1" x14ac:dyDescent="0.25">
      <c r="A304828" s="1"/>
    </row>
    <row r="304829" spans="1:1" x14ac:dyDescent="0.25">
      <c r="A304829" s="1"/>
    </row>
    <row r="304830" spans="1:1" x14ac:dyDescent="0.25">
      <c r="A304830" s="1"/>
    </row>
    <row r="304831" spans="1:1" x14ac:dyDescent="0.25">
      <c r="A304831" s="1"/>
    </row>
    <row r="304832" spans="1:1" x14ac:dyDescent="0.25">
      <c r="A304832" s="1"/>
    </row>
    <row r="304833" spans="1:1" x14ac:dyDescent="0.25">
      <c r="A304833" s="1"/>
    </row>
    <row r="304834" spans="1:1" x14ac:dyDescent="0.25">
      <c r="A304834" s="1"/>
    </row>
    <row r="304835" spans="1:1" x14ac:dyDescent="0.25">
      <c r="A304835" s="1"/>
    </row>
    <row r="304836" spans="1:1" x14ac:dyDescent="0.25">
      <c r="A304836" s="1"/>
    </row>
    <row r="304837" spans="1:1" x14ac:dyDescent="0.25">
      <c r="A304837" s="1"/>
    </row>
    <row r="304838" spans="1:1" x14ac:dyDescent="0.25">
      <c r="A304838" s="1"/>
    </row>
    <row r="304839" spans="1:1" x14ac:dyDescent="0.25">
      <c r="A304839" s="1"/>
    </row>
    <row r="304840" spans="1:1" x14ac:dyDescent="0.25">
      <c r="A304840" s="1"/>
    </row>
    <row r="304841" spans="1:1" x14ac:dyDescent="0.25">
      <c r="A304841" s="1"/>
    </row>
    <row r="304842" spans="1:1" x14ac:dyDescent="0.25">
      <c r="A304842" s="1"/>
    </row>
    <row r="304843" spans="1:1" x14ac:dyDescent="0.25">
      <c r="A304843" s="1"/>
    </row>
    <row r="304844" spans="1:1" x14ac:dyDescent="0.25">
      <c r="A304844" s="1"/>
    </row>
    <row r="304845" spans="1:1" x14ac:dyDescent="0.25">
      <c r="A304845" s="1"/>
    </row>
    <row r="304846" spans="1:1" x14ac:dyDescent="0.25">
      <c r="A304846" s="1"/>
    </row>
    <row r="304847" spans="1:1" x14ac:dyDescent="0.25">
      <c r="A304847" s="1"/>
    </row>
    <row r="304848" spans="1:1" x14ac:dyDescent="0.25">
      <c r="A304848" s="1"/>
    </row>
    <row r="304849" spans="1:1" x14ac:dyDescent="0.25">
      <c r="A304849" s="1"/>
    </row>
    <row r="304850" spans="1:1" x14ac:dyDescent="0.25">
      <c r="A304850" s="1"/>
    </row>
    <row r="304851" spans="1:1" x14ac:dyDescent="0.25">
      <c r="A304851" s="1"/>
    </row>
    <row r="304852" spans="1:1" x14ac:dyDescent="0.25">
      <c r="A304852" s="1"/>
    </row>
    <row r="304853" spans="1:1" x14ac:dyDescent="0.25">
      <c r="A304853" s="1"/>
    </row>
    <row r="304854" spans="1:1" x14ac:dyDescent="0.25">
      <c r="A304854" s="1"/>
    </row>
    <row r="304855" spans="1:1" x14ac:dyDescent="0.25">
      <c r="A304855" s="1"/>
    </row>
    <row r="304856" spans="1:1" x14ac:dyDescent="0.25">
      <c r="A304856" s="1"/>
    </row>
    <row r="304857" spans="1:1" x14ac:dyDescent="0.25">
      <c r="A304857" s="1"/>
    </row>
    <row r="304858" spans="1:1" x14ac:dyDescent="0.25">
      <c r="A304858" s="1"/>
    </row>
    <row r="304859" spans="1:1" x14ac:dyDescent="0.25">
      <c r="A304859" s="1"/>
    </row>
    <row r="304860" spans="1:1" x14ac:dyDescent="0.25">
      <c r="A304860" s="1"/>
    </row>
    <row r="304861" spans="1:1" x14ac:dyDescent="0.25">
      <c r="A304861" s="1"/>
    </row>
    <row r="304862" spans="1:1" x14ac:dyDescent="0.25">
      <c r="A304862" s="1"/>
    </row>
    <row r="304863" spans="1:1" x14ac:dyDescent="0.25">
      <c r="A304863" s="1"/>
    </row>
    <row r="304864" spans="1:1" x14ac:dyDescent="0.25">
      <c r="A304864" s="1"/>
    </row>
    <row r="304865" spans="1:1" x14ac:dyDescent="0.25">
      <c r="A304865" s="1"/>
    </row>
    <row r="304866" spans="1:1" x14ac:dyDescent="0.25">
      <c r="A304866" s="1"/>
    </row>
    <row r="304867" spans="1:1" x14ac:dyDescent="0.25">
      <c r="A304867" s="1"/>
    </row>
    <row r="304868" spans="1:1" x14ac:dyDescent="0.25">
      <c r="A304868" s="1"/>
    </row>
    <row r="304869" spans="1:1" x14ac:dyDescent="0.25">
      <c r="A304869" s="1"/>
    </row>
    <row r="304870" spans="1:1" x14ac:dyDescent="0.25">
      <c r="A304870" s="1"/>
    </row>
    <row r="304871" spans="1:1" x14ac:dyDescent="0.25">
      <c r="A304871" s="1"/>
    </row>
    <row r="304872" spans="1:1" x14ac:dyDescent="0.25">
      <c r="A304872" s="1"/>
    </row>
    <row r="304873" spans="1:1" x14ac:dyDescent="0.25">
      <c r="A304873" s="1"/>
    </row>
    <row r="304874" spans="1:1" x14ac:dyDescent="0.25">
      <c r="A304874" s="1"/>
    </row>
    <row r="304875" spans="1:1" x14ac:dyDescent="0.25">
      <c r="A304875" s="1"/>
    </row>
    <row r="304876" spans="1:1" x14ac:dyDescent="0.25">
      <c r="A304876" s="1"/>
    </row>
    <row r="304877" spans="1:1" x14ac:dyDescent="0.25">
      <c r="A304877" s="1"/>
    </row>
    <row r="304878" spans="1:1" x14ac:dyDescent="0.25">
      <c r="A304878" s="1"/>
    </row>
    <row r="304879" spans="1:1" x14ac:dyDescent="0.25">
      <c r="A304879" s="1"/>
    </row>
    <row r="304880" spans="1:1" x14ac:dyDescent="0.25">
      <c r="A304880" s="1"/>
    </row>
    <row r="304881" spans="1:1" x14ac:dyDescent="0.25">
      <c r="A304881" s="1"/>
    </row>
    <row r="304882" spans="1:1" x14ac:dyDescent="0.25">
      <c r="A304882" s="1"/>
    </row>
    <row r="304883" spans="1:1" x14ac:dyDescent="0.25">
      <c r="A304883" s="1"/>
    </row>
    <row r="304884" spans="1:1" x14ac:dyDescent="0.25">
      <c r="A304884" s="1"/>
    </row>
    <row r="304885" spans="1:1" x14ac:dyDescent="0.25">
      <c r="A304885" s="1"/>
    </row>
    <row r="304886" spans="1:1" x14ac:dyDescent="0.25">
      <c r="A304886" s="1"/>
    </row>
    <row r="304887" spans="1:1" x14ac:dyDescent="0.25">
      <c r="A304887" s="1"/>
    </row>
    <row r="304888" spans="1:1" x14ac:dyDescent="0.25">
      <c r="A304888" s="1"/>
    </row>
    <row r="304889" spans="1:1" x14ac:dyDescent="0.25">
      <c r="A304889" s="1"/>
    </row>
    <row r="304890" spans="1:1" x14ac:dyDescent="0.25">
      <c r="A304890" s="1"/>
    </row>
    <row r="304891" spans="1:1" x14ac:dyDescent="0.25">
      <c r="A304891" s="1"/>
    </row>
    <row r="304892" spans="1:1" x14ac:dyDescent="0.25">
      <c r="A304892" s="1"/>
    </row>
    <row r="304893" spans="1:1" x14ac:dyDescent="0.25">
      <c r="A304893" s="1"/>
    </row>
    <row r="304894" spans="1:1" x14ac:dyDescent="0.25">
      <c r="A304894" s="1"/>
    </row>
    <row r="304895" spans="1:1" x14ac:dyDescent="0.25">
      <c r="A304895" s="1"/>
    </row>
    <row r="304896" spans="1:1" x14ac:dyDescent="0.25">
      <c r="A304896" s="1"/>
    </row>
    <row r="304897" spans="1:1" x14ac:dyDescent="0.25">
      <c r="A304897" s="1"/>
    </row>
    <row r="304898" spans="1:1" x14ac:dyDescent="0.25">
      <c r="A304898" s="1"/>
    </row>
    <row r="304899" spans="1:1" x14ac:dyDescent="0.25">
      <c r="A304899" s="1"/>
    </row>
    <row r="304900" spans="1:1" x14ac:dyDescent="0.25">
      <c r="A304900" s="1"/>
    </row>
    <row r="304901" spans="1:1" x14ac:dyDescent="0.25">
      <c r="A304901" s="1"/>
    </row>
    <row r="304902" spans="1:1" x14ac:dyDescent="0.25">
      <c r="A304902" s="1"/>
    </row>
    <row r="304903" spans="1:1" x14ac:dyDescent="0.25">
      <c r="A304903" s="1"/>
    </row>
    <row r="304904" spans="1:1" x14ac:dyDescent="0.25">
      <c r="A304904" s="1"/>
    </row>
    <row r="304905" spans="1:1" x14ac:dyDescent="0.25">
      <c r="A304905" s="1"/>
    </row>
    <row r="304906" spans="1:1" x14ac:dyDescent="0.25">
      <c r="A304906" s="1"/>
    </row>
    <row r="304907" spans="1:1" x14ac:dyDescent="0.25">
      <c r="A304907" s="1"/>
    </row>
    <row r="304908" spans="1:1" x14ac:dyDescent="0.25">
      <c r="A304908" s="1"/>
    </row>
    <row r="304909" spans="1:1" x14ac:dyDescent="0.25">
      <c r="A304909" s="1"/>
    </row>
    <row r="304910" spans="1:1" x14ac:dyDescent="0.25">
      <c r="A304910" s="1"/>
    </row>
    <row r="304911" spans="1:1" x14ac:dyDescent="0.25">
      <c r="A304911" s="1"/>
    </row>
    <row r="304912" spans="1:1" x14ac:dyDescent="0.25">
      <c r="A304912" s="1"/>
    </row>
    <row r="304913" spans="1:1" x14ac:dyDescent="0.25">
      <c r="A304913" s="1"/>
    </row>
    <row r="304914" spans="1:1" x14ac:dyDescent="0.25">
      <c r="A304914" s="1"/>
    </row>
    <row r="304915" spans="1:1" x14ac:dyDescent="0.25">
      <c r="A304915" s="1"/>
    </row>
    <row r="304916" spans="1:1" x14ac:dyDescent="0.25">
      <c r="A304916" s="1"/>
    </row>
    <row r="304917" spans="1:1" x14ac:dyDescent="0.25">
      <c r="A304917" s="1"/>
    </row>
    <row r="304918" spans="1:1" x14ac:dyDescent="0.25">
      <c r="A304918" s="1"/>
    </row>
    <row r="304919" spans="1:1" x14ac:dyDescent="0.25">
      <c r="A304919" s="1"/>
    </row>
    <row r="304920" spans="1:1" x14ac:dyDescent="0.25">
      <c r="A304920" s="1"/>
    </row>
    <row r="304921" spans="1:1" x14ac:dyDescent="0.25">
      <c r="A304921" s="1"/>
    </row>
    <row r="304922" spans="1:1" x14ac:dyDescent="0.25">
      <c r="A304922" s="1"/>
    </row>
    <row r="304923" spans="1:1" x14ac:dyDescent="0.25">
      <c r="A304923" s="1"/>
    </row>
    <row r="304924" spans="1:1" x14ac:dyDescent="0.25">
      <c r="A304924" s="1"/>
    </row>
    <row r="304925" spans="1:1" x14ac:dyDescent="0.25">
      <c r="A304925" s="1"/>
    </row>
    <row r="304926" spans="1:1" x14ac:dyDescent="0.25">
      <c r="A304926" s="1"/>
    </row>
    <row r="304927" spans="1:1" x14ac:dyDescent="0.25">
      <c r="A304927" s="1"/>
    </row>
    <row r="304928" spans="1:1" x14ac:dyDescent="0.25">
      <c r="A304928" s="1"/>
    </row>
    <row r="304929" spans="1:1" x14ac:dyDescent="0.25">
      <c r="A304929" s="1"/>
    </row>
    <row r="304930" spans="1:1" x14ac:dyDescent="0.25">
      <c r="A304930" s="1"/>
    </row>
    <row r="304931" spans="1:1" x14ac:dyDescent="0.25">
      <c r="A304931" s="1"/>
    </row>
    <row r="304932" spans="1:1" x14ac:dyDescent="0.25">
      <c r="A304932" s="1"/>
    </row>
    <row r="304933" spans="1:1" x14ac:dyDescent="0.25">
      <c r="A304933" s="1"/>
    </row>
    <row r="304934" spans="1:1" x14ac:dyDescent="0.25">
      <c r="A304934" s="1"/>
    </row>
    <row r="304935" spans="1:1" x14ac:dyDescent="0.25">
      <c r="A304935" s="1"/>
    </row>
    <row r="304936" spans="1:1" x14ac:dyDescent="0.25">
      <c r="A304936" s="1"/>
    </row>
    <row r="304937" spans="1:1" x14ac:dyDescent="0.25">
      <c r="A304937" s="1"/>
    </row>
    <row r="304938" spans="1:1" x14ac:dyDescent="0.25">
      <c r="A304938" s="1"/>
    </row>
    <row r="304939" spans="1:1" x14ac:dyDescent="0.25">
      <c r="A304939" s="1"/>
    </row>
    <row r="304940" spans="1:1" x14ac:dyDescent="0.25">
      <c r="A304940" s="1"/>
    </row>
    <row r="304941" spans="1:1" x14ac:dyDescent="0.25">
      <c r="A304941" s="1"/>
    </row>
    <row r="304942" spans="1:1" x14ac:dyDescent="0.25">
      <c r="A304942" s="1"/>
    </row>
    <row r="304943" spans="1:1" x14ac:dyDescent="0.25">
      <c r="A304943" s="1"/>
    </row>
    <row r="304944" spans="1:1" x14ac:dyDescent="0.25">
      <c r="A304944" s="1"/>
    </row>
    <row r="304945" spans="1:1" x14ac:dyDescent="0.25">
      <c r="A304945" s="1"/>
    </row>
    <row r="304946" spans="1:1" x14ac:dyDescent="0.25">
      <c r="A304946" s="1"/>
    </row>
    <row r="304947" spans="1:1" x14ac:dyDescent="0.25">
      <c r="A304947" s="1"/>
    </row>
    <row r="304948" spans="1:1" x14ac:dyDescent="0.25">
      <c r="A304948" s="1"/>
    </row>
    <row r="304949" spans="1:1" x14ac:dyDescent="0.25">
      <c r="A304949" s="1"/>
    </row>
    <row r="304950" spans="1:1" x14ac:dyDescent="0.25">
      <c r="A304950" s="1"/>
    </row>
    <row r="304951" spans="1:1" x14ac:dyDescent="0.25">
      <c r="A304951" s="1"/>
    </row>
    <row r="304952" spans="1:1" x14ac:dyDescent="0.25">
      <c r="A304952" s="1"/>
    </row>
    <row r="304953" spans="1:1" x14ac:dyDescent="0.25">
      <c r="A304953" s="1"/>
    </row>
    <row r="304954" spans="1:1" x14ac:dyDescent="0.25">
      <c r="A304954" s="1"/>
    </row>
    <row r="304955" spans="1:1" x14ac:dyDescent="0.25">
      <c r="A304955" s="1"/>
    </row>
    <row r="304956" spans="1:1" x14ac:dyDescent="0.25">
      <c r="A304956" s="1"/>
    </row>
    <row r="304957" spans="1:1" x14ac:dyDescent="0.25">
      <c r="A304957" s="1"/>
    </row>
    <row r="304958" spans="1:1" x14ac:dyDescent="0.25">
      <c r="A304958" s="1"/>
    </row>
    <row r="304959" spans="1:1" x14ac:dyDescent="0.25">
      <c r="A304959" s="1"/>
    </row>
    <row r="304960" spans="1:1" x14ac:dyDescent="0.25">
      <c r="A304960" s="1"/>
    </row>
    <row r="304961" spans="1:1" x14ac:dyDescent="0.25">
      <c r="A304961" s="1"/>
    </row>
    <row r="304962" spans="1:1" x14ac:dyDescent="0.25">
      <c r="A304962" s="1"/>
    </row>
    <row r="304963" spans="1:1" x14ac:dyDescent="0.25">
      <c r="A304963" s="1"/>
    </row>
    <row r="304964" spans="1:1" x14ac:dyDescent="0.25">
      <c r="A304964" s="1"/>
    </row>
    <row r="304965" spans="1:1" x14ac:dyDescent="0.25">
      <c r="A304965" s="1"/>
    </row>
    <row r="304966" spans="1:1" x14ac:dyDescent="0.25">
      <c r="A304966" s="1"/>
    </row>
    <row r="304967" spans="1:1" x14ac:dyDescent="0.25">
      <c r="A304967" s="1"/>
    </row>
    <row r="304968" spans="1:1" x14ac:dyDescent="0.25">
      <c r="A304968" s="1"/>
    </row>
    <row r="304969" spans="1:1" x14ac:dyDescent="0.25">
      <c r="A304969" s="1"/>
    </row>
    <row r="304970" spans="1:1" x14ac:dyDescent="0.25">
      <c r="A304970" s="1"/>
    </row>
    <row r="304971" spans="1:1" x14ac:dyDescent="0.25">
      <c r="A304971" s="1"/>
    </row>
    <row r="304972" spans="1:1" x14ac:dyDescent="0.25">
      <c r="A304972" s="1"/>
    </row>
    <row r="304973" spans="1:1" x14ac:dyDescent="0.25">
      <c r="A304973" s="1"/>
    </row>
    <row r="304974" spans="1:1" x14ac:dyDescent="0.25">
      <c r="A304974" s="1"/>
    </row>
    <row r="304975" spans="1:1" x14ac:dyDescent="0.25">
      <c r="A304975" s="1"/>
    </row>
    <row r="304976" spans="1:1" x14ac:dyDescent="0.25">
      <c r="A304976" s="1"/>
    </row>
    <row r="304977" spans="1:1" x14ac:dyDescent="0.25">
      <c r="A304977" s="1"/>
    </row>
    <row r="304978" spans="1:1" x14ac:dyDescent="0.25">
      <c r="A304978" s="1"/>
    </row>
    <row r="304979" spans="1:1" x14ac:dyDescent="0.25">
      <c r="A304979" s="1"/>
    </row>
    <row r="304980" spans="1:1" x14ac:dyDescent="0.25">
      <c r="A304980" s="1"/>
    </row>
    <row r="304981" spans="1:1" x14ac:dyDescent="0.25">
      <c r="A304981" s="1"/>
    </row>
    <row r="304982" spans="1:1" x14ac:dyDescent="0.25">
      <c r="A304982" s="1"/>
    </row>
    <row r="304983" spans="1:1" x14ac:dyDescent="0.25">
      <c r="A304983" s="1"/>
    </row>
    <row r="304984" spans="1:1" x14ac:dyDescent="0.25">
      <c r="A304984" s="1"/>
    </row>
    <row r="304985" spans="1:1" x14ac:dyDescent="0.25">
      <c r="A304985" s="1"/>
    </row>
    <row r="304986" spans="1:1" x14ac:dyDescent="0.25">
      <c r="A304986" s="1"/>
    </row>
    <row r="304987" spans="1:1" x14ac:dyDescent="0.25">
      <c r="A304987" s="1"/>
    </row>
    <row r="304988" spans="1:1" x14ac:dyDescent="0.25">
      <c r="A304988" s="1"/>
    </row>
    <row r="304989" spans="1:1" x14ac:dyDescent="0.25">
      <c r="A304989" s="1"/>
    </row>
    <row r="304990" spans="1:1" x14ac:dyDescent="0.25">
      <c r="A304990" s="1"/>
    </row>
    <row r="304991" spans="1:1" x14ac:dyDescent="0.25">
      <c r="A304991" s="1"/>
    </row>
    <row r="304992" spans="1:1" x14ac:dyDescent="0.25">
      <c r="A304992" s="1"/>
    </row>
    <row r="304993" spans="1:1" x14ac:dyDescent="0.25">
      <c r="A304993" s="1"/>
    </row>
    <row r="304994" spans="1:1" x14ac:dyDescent="0.25">
      <c r="A304994" s="1"/>
    </row>
    <row r="304995" spans="1:1" x14ac:dyDescent="0.25">
      <c r="A304995" s="1"/>
    </row>
    <row r="304996" spans="1:1" x14ac:dyDescent="0.25">
      <c r="A304996" s="1"/>
    </row>
    <row r="304997" spans="1:1" x14ac:dyDescent="0.25">
      <c r="A304997" s="1"/>
    </row>
    <row r="304998" spans="1:1" x14ac:dyDescent="0.25">
      <c r="A304998" s="1"/>
    </row>
    <row r="304999" spans="1:1" x14ac:dyDescent="0.25">
      <c r="A304999" s="1"/>
    </row>
    <row r="305000" spans="1:1" x14ac:dyDescent="0.25">
      <c r="A305000" s="1"/>
    </row>
    <row r="305001" spans="1:1" x14ac:dyDescent="0.25">
      <c r="A305001" s="1"/>
    </row>
    <row r="305002" spans="1:1" x14ac:dyDescent="0.25">
      <c r="A305002" s="1"/>
    </row>
    <row r="305003" spans="1:1" x14ac:dyDescent="0.25">
      <c r="A305003" s="1"/>
    </row>
    <row r="305004" spans="1:1" x14ac:dyDescent="0.25">
      <c r="A305004" s="1"/>
    </row>
    <row r="305005" spans="1:1" x14ac:dyDescent="0.25">
      <c r="A305005" s="1"/>
    </row>
    <row r="305006" spans="1:1" x14ac:dyDescent="0.25">
      <c r="A305006" s="1"/>
    </row>
    <row r="305007" spans="1:1" x14ac:dyDescent="0.25">
      <c r="A305007" s="1"/>
    </row>
    <row r="305008" spans="1:1" x14ac:dyDescent="0.25">
      <c r="A305008" s="1"/>
    </row>
    <row r="305009" spans="1:1" x14ac:dyDescent="0.25">
      <c r="A305009" s="1"/>
    </row>
    <row r="305010" spans="1:1" x14ac:dyDescent="0.25">
      <c r="A305010" s="1"/>
    </row>
    <row r="305011" spans="1:1" x14ac:dyDescent="0.25">
      <c r="A305011" s="1"/>
    </row>
    <row r="305012" spans="1:1" x14ac:dyDescent="0.25">
      <c r="A305012" s="1"/>
    </row>
    <row r="305013" spans="1:1" x14ac:dyDescent="0.25">
      <c r="A305013" s="1"/>
    </row>
    <row r="305014" spans="1:1" x14ac:dyDescent="0.25">
      <c r="A305014" s="1"/>
    </row>
    <row r="305015" spans="1:1" x14ac:dyDescent="0.25">
      <c r="A305015" s="1"/>
    </row>
    <row r="305016" spans="1:1" x14ac:dyDescent="0.25">
      <c r="A305016" s="1"/>
    </row>
    <row r="305017" spans="1:1" x14ac:dyDescent="0.25">
      <c r="A305017" s="1"/>
    </row>
    <row r="305018" spans="1:1" x14ac:dyDescent="0.25">
      <c r="A305018" s="1"/>
    </row>
    <row r="305019" spans="1:1" x14ac:dyDescent="0.25">
      <c r="A305019" s="1"/>
    </row>
    <row r="305020" spans="1:1" x14ac:dyDescent="0.25">
      <c r="A305020" s="1"/>
    </row>
    <row r="305021" spans="1:1" x14ac:dyDescent="0.25">
      <c r="A305021" s="1"/>
    </row>
    <row r="305022" spans="1:1" x14ac:dyDescent="0.25">
      <c r="A305022" s="1"/>
    </row>
    <row r="305023" spans="1:1" x14ac:dyDescent="0.25">
      <c r="A305023" s="1"/>
    </row>
    <row r="305024" spans="1:1" x14ac:dyDescent="0.25">
      <c r="A305024" s="1"/>
    </row>
    <row r="305025" spans="1:1" x14ac:dyDescent="0.25">
      <c r="A305025" s="1"/>
    </row>
    <row r="305026" spans="1:1" x14ac:dyDescent="0.25">
      <c r="A305026" s="1"/>
    </row>
    <row r="305027" spans="1:1" x14ac:dyDescent="0.25">
      <c r="A305027" s="1"/>
    </row>
    <row r="305028" spans="1:1" x14ac:dyDescent="0.25">
      <c r="A305028" s="1"/>
    </row>
    <row r="305029" spans="1:1" x14ac:dyDescent="0.25">
      <c r="A305029" s="1"/>
    </row>
    <row r="305030" spans="1:1" x14ac:dyDescent="0.25">
      <c r="A305030" s="1"/>
    </row>
    <row r="305031" spans="1:1" x14ac:dyDescent="0.25">
      <c r="A305031" s="1"/>
    </row>
    <row r="305032" spans="1:1" x14ac:dyDescent="0.25">
      <c r="A305032" s="1"/>
    </row>
    <row r="305033" spans="1:1" x14ac:dyDescent="0.25">
      <c r="A305033" s="1"/>
    </row>
    <row r="305034" spans="1:1" x14ac:dyDescent="0.25">
      <c r="A305034" s="1"/>
    </row>
    <row r="305035" spans="1:1" x14ac:dyDescent="0.25">
      <c r="A305035" s="1"/>
    </row>
    <row r="305036" spans="1:1" x14ac:dyDescent="0.25">
      <c r="A305036" s="1"/>
    </row>
    <row r="305037" spans="1:1" x14ac:dyDescent="0.25">
      <c r="A305037" s="1"/>
    </row>
    <row r="305038" spans="1:1" x14ac:dyDescent="0.25">
      <c r="A305038" s="1"/>
    </row>
    <row r="305039" spans="1:1" x14ac:dyDescent="0.25">
      <c r="A305039" s="1"/>
    </row>
    <row r="305040" spans="1:1" x14ac:dyDescent="0.25">
      <c r="A305040" s="1"/>
    </row>
    <row r="305041" spans="1:1" x14ac:dyDescent="0.25">
      <c r="A305041" s="1"/>
    </row>
    <row r="305042" spans="1:1" x14ac:dyDescent="0.25">
      <c r="A305042" s="1"/>
    </row>
    <row r="305043" spans="1:1" x14ac:dyDescent="0.25">
      <c r="A305043" s="1"/>
    </row>
    <row r="305044" spans="1:1" x14ac:dyDescent="0.25">
      <c r="A305044" s="1"/>
    </row>
    <row r="305045" spans="1:1" x14ac:dyDescent="0.25">
      <c r="A305045" s="1"/>
    </row>
    <row r="305046" spans="1:1" x14ac:dyDescent="0.25">
      <c r="A305046" s="1"/>
    </row>
    <row r="305047" spans="1:1" x14ac:dyDescent="0.25">
      <c r="A305047" s="1"/>
    </row>
    <row r="305048" spans="1:1" x14ac:dyDescent="0.25">
      <c r="A305048" s="1"/>
    </row>
    <row r="305049" spans="1:1" x14ac:dyDescent="0.25">
      <c r="A305049" s="1"/>
    </row>
    <row r="305050" spans="1:1" x14ac:dyDescent="0.25">
      <c r="A305050" s="1"/>
    </row>
    <row r="305051" spans="1:1" x14ac:dyDescent="0.25">
      <c r="A305051" s="1"/>
    </row>
    <row r="305052" spans="1:1" x14ac:dyDescent="0.25">
      <c r="A305052" s="1"/>
    </row>
    <row r="305053" spans="1:1" x14ac:dyDescent="0.25">
      <c r="A305053" s="1"/>
    </row>
    <row r="305054" spans="1:1" x14ac:dyDescent="0.25">
      <c r="A305054" s="1"/>
    </row>
    <row r="305055" spans="1:1" x14ac:dyDescent="0.25">
      <c r="A305055" s="1"/>
    </row>
    <row r="305056" spans="1:1" x14ac:dyDescent="0.25">
      <c r="A305056" s="1"/>
    </row>
    <row r="305057" spans="1:1" x14ac:dyDescent="0.25">
      <c r="A305057" s="1"/>
    </row>
    <row r="305058" spans="1:1" x14ac:dyDescent="0.25">
      <c r="A305058" s="1"/>
    </row>
    <row r="305059" spans="1:1" x14ac:dyDescent="0.25">
      <c r="A305059" s="1"/>
    </row>
    <row r="305060" spans="1:1" x14ac:dyDescent="0.25">
      <c r="A305060" s="1"/>
    </row>
    <row r="305061" spans="1:1" x14ac:dyDescent="0.25">
      <c r="A305061" s="1"/>
    </row>
    <row r="305062" spans="1:1" x14ac:dyDescent="0.25">
      <c r="A305062" s="1"/>
    </row>
    <row r="305063" spans="1:1" x14ac:dyDescent="0.25">
      <c r="A305063" s="1"/>
    </row>
    <row r="305064" spans="1:1" x14ac:dyDescent="0.25">
      <c r="A305064" s="1"/>
    </row>
    <row r="305065" spans="1:1" x14ac:dyDescent="0.25">
      <c r="A305065" s="1"/>
    </row>
    <row r="305066" spans="1:1" x14ac:dyDescent="0.25">
      <c r="A305066" s="1"/>
    </row>
    <row r="305067" spans="1:1" x14ac:dyDescent="0.25">
      <c r="A305067" s="1"/>
    </row>
    <row r="305068" spans="1:1" x14ac:dyDescent="0.25">
      <c r="A305068" s="1"/>
    </row>
    <row r="305069" spans="1:1" x14ac:dyDescent="0.25">
      <c r="A305069" s="1"/>
    </row>
    <row r="305070" spans="1:1" x14ac:dyDescent="0.25">
      <c r="A305070" s="1"/>
    </row>
    <row r="305071" spans="1:1" x14ac:dyDescent="0.25">
      <c r="A305071" s="1"/>
    </row>
    <row r="305072" spans="1:1" x14ac:dyDescent="0.25">
      <c r="A305072" s="1"/>
    </row>
    <row r="305073" spans="1:1" x14ac:dyDescent="0.25">
      <c r="A305073" s="1"/>
    </row>
    <row r="305074" spans="1:1" x14ac:dyDescent="0.25">
      <c r="A305074" s="1"/>
    </row>
    <row r="305075" spans="1:1" x14ac:dyDescent="0.25">
      <c r="A305075" s="1"/>
    </row>
    <row r="305076" spans="1:1" x14ac:dyDescent="0.25">
      <c r="A305076" s="1"/>
    </row>
    <row r="305077" spans="1:1" x14ac:dyDescent="0.25">
      <c r="A305077" s="1"/>
    </row>
    <row r="305078" spans="1:1" x14ac:dyDescent="0.25">
      <c r="A305078" s="1"/>
    </row>
    <row r="305079" spans="1:1" x14ac:dyDescent="0.25">
      <c r="A305079" s="1"/>
    </row>
    <row r="305080" spans="1:1" x14ac:dyDescent="0.25">
      <c r="A305080" s="1"/>
    </row>
    <row r="305081" spans="1:1" x14ac:dyDescent="0.25">
      <c r="A305081" s="1"/>
    </row>
    <row r="305082" spans="1:1" x14ac:dyDescent="0.25">
      <c r="A305082" s="1"/>
    </row>
    <row r="305083" spans="1:1" x14ac:dyDescent="0.25">
      <c r="A305083" s="1"/>
    </row>
    <row r="305084" spans="1:1" x14ac:dyDescent="0.25">
      <c r="A305084" s="1"/>
    </row>
    <row r="305085" spans="1:1" x14ac:dyDescent="0.25">
      <c r="A305085" s="1"/>
    </row>
    <row r="305086" spans="1:1" x14ac:dyDescent="0.25">
      <c r="A305086" s="1"/>
    </row>
    <row r="305087" spans="1:1" x14ac:dyDescent="0.25">
      <c r="A305087" s="1"/>
    </row>
    <row r="305088" spans="1:1" x14ac:dyDescent="0.25">
      <c r="A305088" s="1"/>
    </row>
    <row r="305089" spans="1:1" x14ac:dyDescent="0.25">
      <c r="A305089" s="1"/>
    </row>
    <row r="305090" spans="1:1" x14ac:dyDescent="0.25">
      <c r="A305090" s="1"/>
    </row>
    <row r="305091" spans="1:1" x14ac:dyDescent="0.25">
      <c r="A305091" s="1"/>
    </row>
    <row r="305092" spans="1:1" x14ac:dyDescent="0.25">
      <c r="A305092" s="1"/>
    </row>
    <row r="305093" spans="1:1" x14ac:dyDescent="0.25">
      <c r="A305093" s="1"/>
    </row>
    <row r="305094" spans="1:1" x14ac:dyDescent="0.25">
      <c r="A305094" s="1"/>
    </row>
    <row r="305095" spans="1:1" x14ac:dyDescent="0.25">
      <c r="A305095" s="1"/>
    </row>
    <row r="305096" spans="1:1" x14ac:dyDescent="0.25">
      <c r="A305096" s="1"/>
    </row>
    <row r="305097" spans="1:1" x14ac:dyDescent="0.25">
      <c r="A305097" s="1"/>
    </row>
    <row r="305098" spans="1:1" x14ac:dyDescent="0.25">
      <c r="A305098" s="1"/>
    </row>
    <row r="305099" spans="1:1" x14ac:dyDescent="0.25">
      <c r="A305099" s="1"/>
    </row>
    <row r="305100" spans="1:1" x14ac:dyDescent="0.25">
      <c r="A305100" s="1"/>
    </row>
    <row r="305101" spans="1:1" x14ac:dyDescent="0.25">
      <c r="A305101" s="1"/>
    </row>
    <row r="305102" spans="1:1" x14ac:dyDescent="0.25">
      <c r="A305102" s="1"/>
    </row>
    <row r="305103" spans="1:1" x14ac:dyDescent="0.25">
      <c r="A305103" s="1"/>
    </row>
    <row r="305104" spans="1:1" x14ac:dyDescent="0.25">
      <c r="A305104" s="1"/>
    </row>
    <row r="305105" spans="1:1" x14ac:dyDescent="0.25">
      <c r="A305105" s="1"/>
    </row>
    <row r="305106" spans="1:1" x14ac:dyDescent="0.25">
      <c r="A305106" s="1"/>
    </row>
    <row r="305107" spans="1:1" x14ac:dyDescent="0.25">
      <c r="A305107" s="1"/>
    </row>
    <row r="305108" spans="1:1" x14ac:dyDescent="0.25">
      <c r="A305108" s="1"/>
    </row>
    <row r="305109" spans="1:1" x14ac:dyDescent="0.25">
      <c r="A305109" s="1"/>
    </row>
    <row r="305110" spans="1:1" x14ac:dyDescent="0.25">
      <c r="A305110" s="1"/>
    </row>
    <row r="305111" spans="1:1" x14ac:dyDescent="0.25">
      <c r="A305111" s="1"/>
    </row>
    <row r="305112" spans="1:1" x14ac:dyDescent="0.25">
      <c r="A305112" s="1"/>
    </row>
    <row r="305113" spans="1:1" x14ac:dyDescent="0.25">
      <c r="A305113" s="1"/>
    </row>
    <row r="305114" spans="1:1" x14ac:dyDescent="0.25">
      <c r="A305114" s="1"/>
    </row>
    <row r="305115" spans="1:1" x14ac:dyDescent="0.25">
      <c r="A305115" s="1"/>
    </row>
    <row r="305116" spans="1:1" x14ac:dyDescent="0.25">
      <c r="A305116" s="1"/>
    </row>
    <row r="305117" spans="1:1" x14ac:dyDescent="0.25">
      <c r="A305117" s="1"/>
    </row>
    <row r="305118" spans="1:1" x14ac:dyDescent="0.25">
      <c r="A305118" s="1"/>
    </row>
    <row r="305119" spans="1:1" x14ac:dyDescent="0.25">
      <c r="A305119" s="1"/>
    </row>
    <row r="305120" spans="1:1" x14ac:dyDescent="0.25">
      <c r="A305120" s="1"/>
    </row>
    <row r="305121" spans="1:1" x14ac:dyDescent="0.25">
      <c r="A305121" s="1"/>
    </row>
    <row r="305122" spans="1:1" x14ac:dyDescent="0.25">
      <c r="A305122" s="1"/>
    </row>
    <row r="305123" spans="1:1" x14ac:dyDescent="0.25">
      <c r="A305123" s="1"/>
    </row>
    <row r="305124" spans="1:1" x14ac:dyDescent="0.25">
      <c r="A305124" s="1"/>
    </row>
    <row r="305125" spans="1:1" x14ac:dyDescent="0.25">
      <c r="A305125" s="1"/>
    </row>
    <row r="305126" spans="1:1" x14ac:dyDescent="0.25">
      <c r="A305126" s="1"/>
    </row>
    <row r="305127" spans="1:1" x14ac:dyDescent="0.25">
      <c r="A305127" s="1"/>
    </row>
    <row r="305128" spans="1:1" x14ac:dyDescent="0.25">
      <c r="A305128" s="1"/>
    </row>
    <row r="305129" spans="1:1" x14ac:dyDescent="0.25">
      <c r="A305129" s="1"/>
    </row>
    <row r="305130" spans="1:1" x14ac:dyDescent="0.25">
      <c r="A305130" s="1"/>
    </row>
    <row r="305131" spans="1:1" x14ac:dyDescent="0.25">
      <c r="A305131" s="1"/>
    </row>
    <row r="305132" spans="1:1" x14ac:dyDescent="0.25">
      <c r="A305132" s="1"/>
    </row>
    <row r="305133" spans="1:1" x14ac:dyDescent="0.25">
      <c r="A305133" s="1"/>
    </row>
    <row r="305134" spans="1:1" x14ac:dyDescent="0.25">
      <c r="A305134" s="1"/>
    </row>
    <row r="305135" spans="1:1" x14ac:dyDescent="0.25">
      <c r="A305135" s="1"/>
    </row>
    <row r="305136" spans="1:1" x14ac:dyDescent="0.25">
      <c r="A305136" s="1"/>
    </row>
    <row r="305137" spans="1:1" x14ac:dyDescent="0.25">
      <c r="A305137" s="1"/>
    </row>
    <row r="305138" spans="1:1" x14ac:dyDescent="0.25">
      <c r="A305138" s="1"/>
    </row>
    <row r="305139" spans="1:1" x14ac:dyDescent="0.25">
      <c r="A305139" s="1"/>
    </row>
    <row r="305140" spans="1:1" x14ac:dyDescent="0.25">
      <c r="A305140" s="1"/>
    </row>
    <row r="305141" spans="1:1" x14ac:dyDescent="0.25">
      <c r="A305141" s="1"/>
    </row>
    <row r="305142" spans="1:1" x14ac:dyDescent="0.25">
      <c r="A305142" s="1"/>
    </row>
    <row r="305143" spans="1:1" x14ac:dyDescent="0.25">
      <c r="A305143" s="1"/>
    </row>
    <row r="305144" spans="1:1" x14ac:dyDescent="0.25">
      <c r="A305144" s="1"/>
    </row>
    <row r="305145" spans="1:1" x14ac:dyDescent="0.25">
      <c r="A305145" s="1"/>
    </row>
    <row r="305146" spans="1:1" x14ac:dyDescent="0.25">
      <c r="A305146" s="1"/>
    </row>
    <row r="305147" spans="1:1" x14ac:dyDescent="0.25">
      <c r="A305147" s="1"/>
    </row>
    <row r="305148" spans="1:1" x14ac:dyDescent="0.25">
      <c r="A305148" s="1"/>
    </row>
    <row r="305149" spans="1:1" x14ac:dyDescent="0.25">
      <c r="A305149" s="1"/>
    </row>
    <row r="305150" spans="1:1" x14ac:dyDescent="0.25">
      <c r="A305150" s="1"/>
    </row>
    <row r="305151" spans="1:1" x14ac:dyDescent="0.25">
      <c r="A305151" s="1"/>
    </row>
    <row r="305152" spans="1:1" x14ac:dyDescent="0.25">
      <c r="A305152" s="1"/>
    </row>
    <row r="305153" spans="1:1" x14ac:dyDescent="0.25">
      <c r="A305153" s="1"/>
    </row>
    <row r="305154" spans="1:1" x14ac:dyDescent="0.25">
      <c r="A305154" s="1"/>
    </row>
    <row r="305155" spans="1:1" x14ac:dyDescent="0.25">
      <c r="A305155" s="1"/>
    </row>
    <row r="305156" spans="1:1" x14ac:dyDescent="0.25">
      <c r="A305156" s="1"/>
    </row>
    <row r="305157" spans="1:1" x14ac:dyDescent="0.25">
      <c r="A305157" s="1"/>
    </row>
    <row r="305158" spans="1:1" x14ac:dyDescent="0.25">
      <c r="A305158" s="1"/>
    </row>
    <row r="305159" spans="1:1" x14ac:dyDescent="0.25">
      <c r="A305159" s="1"/>
    </row>
    <row r="305160" spans="1:1" x14ac:dyDescent="0.25">
      <c r="A305160" s="1"/>
    </row>
    <row r="305161" spans="1:1" x14ac:dyDescent="0.25">
      <c r="A305161" s="1"/>
    </row>
    <row r="305162" spans="1:1" x14ac:dyDescent="0.25">
      <c r="A305162" s="1"/>
    </row>
    <row r="305163" spans="1:1" x14ac:dyDescent="0.25">
      <c r="A305163" s="1"/>
    </row>
    <row r="305164" spans="1:1" x14ac:dyDescent="0.25">
      <c r="A305164" s="1"/>
    </row>
    <row r="305165" spans="1:1" x14ac:dyDescent="0.25">
      <c r="A305165" s="1"/>
    </row>
    <row r="305166" spans="1:1" x14ac:dyDescent="0.25">
      <c r="A305166" s="1"/>
    </row>
    <row r="305167" spans="1:1" x14ac:dyDescent="0.25">
      <c r="A305167" s="1"/>
    </row>
    <row r="305168" spans="1:1" x14ac:dyDescent="0.25">
      <c r="A305168" s="1"/>
    </row>
    <row r="305169" spans="1:1" x14ac:dyDescent="0.25">
      <c r="A305169" s="1"/>
    </row>
    <row r="305170" spans="1:1" x14ac:dyDescent="0.25">
      <c r="A305170" s="1"/>
    </row>
    <row r="305171" spans="1:1" x14ac:dyDescent="0.25">
      <c r="A305171" s="1"/>
    </row>
    <row r="305172" spans="1:1" x14ac:dyDescent="0.25">
      <c r="A305172" s="1"/>
    </row>
    <row r="305173" spans="1:1" x14ac:dyDescent="0.25">
      <c r="A305173" s="1"/>
    </row>
    <row r="305174" spans="1:1" x14ac:dyDescent="0.25">
      <c r="A305174" s="1"/>
    </row>
    <row r="305175" spans="1:1" x14ac:dyDescent="0.25">
      <c r="A305175" s="1"/>
    </row>
    <row r="305176" spans="1:1" x14ac:dyDescent="0.25">
      <c r="A305176" s="1"/>
    </row>
    <row r="305177" spans="1:1" x14ac:dyDescent="0.25">
      <c r="A305177" s="1"/>
    </row>
    <row r="305178" spans="1:1" x14ac:dyDescent="0.25">
      <c r="A305178" s="1"/>
    </row>
    <row r="305179" spans="1:1" x14ac:dyDescent="0.25">
      <c r="A305179" s="1"/>
    </row>
    <row r="305180" spans="1:1" x14ac:dyDescent="0.25">
      <c r="A305180" s="1"/>
    </row>
    <row r="305181" spans="1:1" x14ac:dyDescent="0.25">
      <c r="A305181" s="1"/>
    </row>
    <row r="305182" spans="1:1" x14ac:dyDescent="0.25">
      <c r="A305182" s="1"/>
    </row>
    <row r="305183" spans="1:1" x14ac:dyDescent="0.25">
      <c r="A305183" s="1"/>
    </row>
    <row r="305184" spans="1:1" x14ac:dyDescent="0.25">
      <c r="A305184" s="1"/>
    </row>
    <row r="305185" spans="1:1" x14ac:dyDescent="0.25">
      <c r="A305185" s="1"/>
    </row>
    <row r="305186" spans="1:1" x14ac:dyDescent="0.25">
      <c r="A305186" s="1"/>
    </row>
    <row r="305187" spans="1:1" x14ac:dyDescent="0.25">
      <c r="A305187" s="1"/>
    </row>
    <row r="305188" spans="1:1" x14ac:dyDescent="0.25">
      <c r="A305188" s="1"/>
    </row>
    <row r="305189" spans="1:1" x14ac:dyDescent="0.25">
      <c r="A305189" s="1"/>
    </row>
    <row r="305190" spans="1:1" x14ac:dyDescent="0.25">
      <c r="A305190" s="1"/>
    </row>
    <row r="305191" spans="1:1" x14ac:dyDescent="0.25">
      <c r="A305191" s="1"/>
    </row>
    <row r="305192" spans="1:1" x14ac:dyDescent="0.25">
      <c r="A305192" s="1"/>
    </row>
    <row r="305193" spans="1:1" x14ac:dyDescent="0.25">
      <c r="A305193" s="1"/>
    </row>
    <row r="305194" spans="1:1" x14ac:dyDescent="0.25">
      <c r="A305194" s="1"/>
    </row>
    <row r="305195" spans="1:1" x14ac:dyDescent="0.25">
      <c r="A305195" s="1"/>
    </row>
    <row r="305196" spans="1:1" x14ac:dyDescent="0.25">
      <c r="A305196" s="1"/>
    </row>
    <row r="305197" spans="1:1" x14ac:dyDescent="0.25">
      <c r="A305197" s="1"/>
    </row>
    <row r="305198" spans="1:1" x14ac:dyDescent="0.25">
      <c r="A305198" s="1"/>
    </row>
    <row r="305199" spans="1:1" x14ac:dyDescent="0.25">
      <c r="A305199" s="1"/>
    </row>
    <row r="305200" spans="1:1" x14ac:dyDescent="0.25">
      <c r="A305200" s="1"/>
    </row>
    <row r="305201" spans="1:1" x14ac:dyDescent="0.25">
      <c r="A305201" s="1"/>
    </row>
    <row r="305202" spans="1:1" x14ac:dyDescent="0.25">
      <c r="A305202" s="1"/>
    </row>
    <row r="305203" spans="1:1" x14ac:dyDescent="0.25">
      <c r="A305203" s="1"/>
    </row>
    <row r="305204" spans="1:1" x14ac:dyDescent="0.25">
      <c r="A305204" s="1"/>
    </row>
    <row r="305205" spans="1:1" x14ac:dyDescent="0.25">
      <c r="A305205" s="1"/>
    </row>
    <row r="305206" spans="1:1" x14ac:dyDescent="0.25">
      <c r="A305206" s="1"/>
    </row>
    <row r="305207" spans="1:1" x14ac:dyDescent="0.25">
      <c r="A305207" s="1"/>
    </row>
    <row r="305208" spans="1:1" x14ac:dyDescent="0.25">
      <c r="A305208" s="1"/>
    </row>
    <row r="305209" spans="1:1" x14ac:dyDescent="0.25">
      <c r="A305209" s="1"/>
    </row>
    <row r="305210" spans="1:1" x14ac:dyDescent="0.25">
      <c r="A305210" s="1"/>
    </row>
    <row r="305211" spans="1:1" x14ac:dyDescent="0.25">
      <c r="A305211" s="1"/>
    </row>
    <row r="305212" spans="1:1" x14ac:dyDescent="0.25">
      <c r="A305212" s="1"/>
    </row>
    <row r="305213" spans="1:1" x14ac:dyDescent="0.25">
      <c r="A305213" s="1"/>
    </row>
    <row r="305214" spans="1:1" x14ac:dyDescent="0.25">
      <c r="A305214" s="1"/>
    </row>
    <row r="305215" spans="1:1" x14ac:dyDescent="0.25">
      <c r="A305215" s="1"/>
    </row>
    <row r="305216" spans="1:1" x14ac:dyDescent="0.25">
      <c r="A305216" s="1"/>
    </row>
    <row r="305217" spans="1:1" x14ac:dyDescent="0.25">
      <c r="A305217" s="1"/>
    </row>
    <row r="305218" spans="1:1" x14ac:dyDescent="0.25">
      <c r="A305218" s="1"/>
    </row>
    <row r="305219" spans="1:1" x14ac:dyDescent="0.25">
      <c r="A305219" s="1"/>
    </row>
    <row r="305220" spans="1:1" x14ac:dyDescent="0.25">
      <c r="A305220" s="1"/>
    </row>
    <row r="305221" spans="1:1" x14ac:dyDescent="0.25">
      <c r="A305221" s="1"/>
    </row>
    <row r="305222" spans="1:1" x14ac:dyDescent="0.25">
      <c r="A305222" s="1"/>
    </row>
    <row r="305223" spans="1:1" x14ac:dyDescent="0.25">
      <c r="A305223" s="1"/>
    </row>
    <row r="305224" spans="1:1" x14ac:dyDescent="0.25">
      <c r="A305224" s="1"/>
    </row>
    <row r="305225" spans="1:1" x14ac:dyDescent="0.25">
      <c r="A305225" s="1"/>
    </row>
    <row r="305226" spans="1:1" x14ac:dyDescent="0.25">
      <c r="A305226" s="1"/>
    </row>
    <row r="305227" spans="1:1" x14ac:dyDescent="0.25">
      <c r="A305227" s="1"/>
    </row>
    <row r="305228" spans="1:1" x14ac:dyDescent="0.25">
      <c r="A305228" s="1"/>
    </row>
    <row r="305229" spans="1:1" x14ac:dyDescent="0.25">
      <c r="A305229" s="1"/>
    </row>
    <row r="305230" spans="1:1" x14ac:dyDescent="0.25">
      <c r="A305230" s="1"/>
    </row>
    <row r="305231" spans="1:1" x14ac:dyDescent="0.25">
      <c r="A305231" s="1"/>
    </row>
    <row r="305232" spans="1:1" x14ac:dyDescent="0.25">
      <c r="A305232" s="1"/>
    </row>
    <row r="305233" spans="1:1" x14ac:dyDescent="0.25">
      <c r="A305233" s="1"/>
    </row>
    <row r="305234" spans="1:1" x14ac:dyDescent="0.25">
      <c r="A305234" s="1"/>
    </row>
    <row r="305235" spans="1:1" x14ac:dyDescent="0.25">
      <c r="A305235" s="1"/>
    </row>
    <row r="305236" spans="1:1" x14ac:dyDescent="0.25">
      <c r="A305236" s="1"/>
    </row>
    <row r="305237" spans="1:1" x14ac:dyDescent="0.25">
      <c r="A305237" s="1"/>
    </row>
    <row r="305238" spans="1:1" x14ac:dyDescent="0.25">
      <c r="A305238" s="1"/>
    </row>
    <row r="305239" spans="1:1" x14ac:dyDescent="0.25">
      <c r="A305239" s="1"/>
    </row>
    <row r="305240" spans="1:1" x14ac:dyDescent="0.25">
      <c r="A305240" s="1"/>
    </row>
    <row r="305241" spans="1:1" x14ac:dyDescent="0.25">
      <c r="A305241" s="1"/>
    </row>
    <row r="305242" spans="1:1" x14ac:dyDescent="0.25">
      <c r="A305242" s="1"/>
    </row>
    <row r="305243" spans="1:1" x14ac:dyDescent="0.25">
      <c r="A305243" s="1"/>
    </row>
    <row r="305244" spans="1:1" x14ac:dyDescent="0.25">
      <c r="A305244" s="1"/>
    </row>
    <row r="305245" spans="1:1" x14ac:dyDescent="0.25">
      <c r="A305245" s="1"/>
    </row>
    <row r="305246" spans="1:1" x14ac:dyDescent="0.25">
      <c r="A305246" s="1"/>
    </row>
    <row r="305247" spans="1:1" x14ac:dyDescent="0.25">
      <c r="A305247" s="1"/>
    </row>
    <row r="305248" spans="1:1" x14ac:dyDescent="0.25">
      <c r="A305248" s="1"/>
    </row>
    <row r="305249" spans="1:1" x14ac:dyDescent="0.25">
      <c r="A305249" s="1"/>
    </row>
    <row r="305250" spans="1:1" x14ac:dyDescent="0.25">
      <c r="A305250" s="1"/>
    </row>
    <row r="305251" spans="1:1" x14ac:dyDescent="0.25">
      <c r="A305251" s="1"/>
    </row>
    <row r="305252" spans="1:1" x14ac:dyDescent="0.25">
      <c r="A305252" s="1"/>
    </row>
    <row r="305253" spans="1:1" x14ac:dyDescent="0.25">
      <c r="A305253" s="1"/>
    </row>
    <row r="305254" spans="1:1" x14ac:dyDescent="0.25">
      <c r="A305254" s="1"/>
    </row>
    <row r="305255" spans="1:1" x14ac:dyDescent="0.25">
      <c r="A305255" s="1"/>
    </row>
    <row r="305256" spans="1:1" x14ac:dyDescent="0.25">
      <c r="A305256" s="1"/>
    </row>
    <row r="305257" spans="1:1" x14ac:dyDescent="0.25">
      <c r="A305257" s="1"/>
    </row>
    <row r="305258" spans="1:1" x14ac:dyDescent="0.25">
      <c r="A305258" s="1"/>
    </row>
    <row r="305259" spans="1:1" x14ac:dyDescent="0.25">
      <c r="A305259" s="1"/>
    </row>
    <row r="305260" spans="1:1" x14ac:dyDescent="0.25">
      <c r="A305260" s="1"/>
    </row>
    <row r="305261" spans="1:1" x14ac:dyDescent="0.25">
      <c r="A305261" s="1"/>
    </row>
    <row r="305262" spans="1:1" x14ac:dyDescent="0.25">
      <c r="A305262" s="1"/>
    </row>
    <row r="305263" spans="1:1" x14ac:dyDescent="0.25">
      <c r="A305263" s="1"/>
    </row>
    <row r="305264" spans="1:1" x14ac:dyDescent="0.25">
      <c r="A305264" s="1"/>
    </row>
    <row r="305265" spans="1:1" x14ac:dyDescent="0.25">
      <c r="A305265" s="1"/>
    </row>
    <row r="305266" spans="1:1" x14ac:dyDescent="0.25">
      <c r="A305266" s="1"/>
    </row>
    <row r="305267" spans="1:1" x14ac:dyDescent="0.25">
      <c r="A305267" s="1"/>
    </row>
    <row r="305268" spans="1:1" x14ac:dyDescent="0.25">
      <c r="A305268" s="1"/>
    </row>
    <row r="305269" spans="1:1" x14ac:dyDescent="0.25">
      <c r="A305269" s="1"/>
    </row>
    <row r="305270" spans="1:1" x14ac:dyDescent="0.25">
      <c r="A305270" s="1"/>
    </row>
    <row r="305271" spans="1:1" x14ac:dyDescent="0.25">
      <c r="A305271" s="1"/>
    </row>
    <row r="305272" spans="1:1" x14ac:dyDescent="0.25">
      <c r="A305272" s="1"/>
    </row>
    <row r="305273" spans="1:1" x14ac:dyDescent="0.25">
      <c r="A305273" s="1"/>
    </row>
    <row r="305274" spans="1:1" x14ac:dyDescent="0.25">
      <c r="A305274" s="1"/>
    </row>
    <row r="305275" spans="1:1" x14ac:dyDescent="0.25">
      <c r="A305275" s="1"/>
    </row>
    <row r="305276" spans="1:1" x14ac:dyDescent="0.25">
      <c r="A305276" s="1"/>
    </row>
    <row r="305277" spans="1:1" x14ac:dyDescent="0.25">
      <c r="A305277" s="1"/>
    </row>
    <row r="305278" spans="1:1" x14ac:dyDescent="0.25">
      <c r="A305278" s="1"/>
    </row>
    <row r="305279" spans="1:1" x14ac:dyDescent="0.25">
      <c r="A305279" s="1"/>
    </row>
    <row r="305280" spans="1:1" x14ac:dyDescent="0.25">
      <c r="A305280" s="1"/>
    </row>
    <row r="305281" spans="1:1" x14ac:dyDescent="0.25">
      <c r="A305281" s="1"/>
    </row>
    <row r="305282" spans="1:1" x14ac:dyDescent="0.25">
      <c r="A305282" s="1"/>
    </row>
    <row r="305283" spans="1:1" x14ac:dyDescent="0.25">
      <c r="A305283" s="1"/>
    </row>
    <row r="305284" spans="1:1" x14ac:dyDescent="0.25">
      <c r="A305284" s="1"/>
    </row>
    <row r="305285" spans="1:1" x14ac:dyDescent="0.25">
      <c r="A305285" s="1"/>
    </row>
    <row r="305286" spans="1:1" x14ac:dyDescent="0.25">
      <c r="A305286" s="1"/>
    </row>
    <row r="305287" spans="1:1" x14ac:dyDescent="0.25">
      <c r="A305287" s="1"/>
    </row>
    <row r="305288" spans="1:1" x14ac:dyDescent="0.25">
      <c r="A305288" s="1"/>
    </row>
    <row r="305289" spans="1:1" x14ac:dyDescent="0.25">
      <c r="A305289" s="1"/>
    </row>
    <row r="305290" spans="1:1" x14ac:dyDescent="0.25">
      <c r="A305290" s="1"/>
    </row>
    <row r="305291" spans="1:1" x14ac:dyDescent="0.25">
      <c r="A305291" s="1"/>
    </row>
    <row r="305292" spans="1:1" x14ac:dyDescent="0.25">
      <c r="A305292" s="1"/>
    </row>
    <row r="305293" spans="1:1" x14ac:dyDescent="0.25">
      <c r="A305293" s="1"/>
    </row>
    <row r="305294" spans="1:1" x14ac:dyDescent="0.25">
      <c r="A305294" s="1"/>
    </row>
    <row r="305295" spans="1:1" x14ac:dyDescent="0.25">
      <c r="A305295" s="1"/>
    </row>
    <row r="305296" spans="1:1" x14ac:dyDescent="0.25">
      <c r="A305296" s="1"/>
    </row>
    <row r="305297" spans="1:1" x14ac:dyDescent="0.25">
      <c r="A305297" s="1"/>
    </row>
    <row r="305298" spans="1:1" x14ac:dyDescent="0.25">
      <c r="A305298" s="1"/>
    </row>
    <row r="305299" spans="1:1" x14ac:dyDescent="0.25">
      <c r="A305299" s="1"/>
    </row>
    <row r="305300" spans="1:1" x14ac:dyDescent="0.25">
      <c r="A305300" s="1"/>
    </row>
    <row r="305301" spans="1:1" x14ac:dyDescent="0.25">
      <c r="A305301" s="1"/>
    </row>
    <row r="305302" spans="1:1" x14ac:dyDescent="0.25">
      <c r="A305302" s="1"/>
    </row>
    <row r="305303" spans="1:1" x14ac:dyDescent="0.25">
      <c r="A305303" s="1"/>
    </row>
    <row r="305304" spans="1:1" x14ac:dyDescent="0.25">
      <c r="A305304" s="1"/>
    </row>
    <row r="305305" spans="1:1" x14ac:dyDescent="0.25">
      <c r="A305305" s="1"/>
    </row>
    <row r="305306" spans="1:1" x14ac:dyDescent="0.25">
      <c r="A305306" s="1"/>
    </row>
    <row r="305307" spans="1:1" x14ac:dyDescent="0.25">
      <c r="A305307" s="1"/>
    </row>
    <row r="305308" spans="1:1" x14ac:dyDescent="0.25">
      <c r="A305308" s="1"/>
    </row>
    <row r="305309" spans="1:1" x14ac:dyDescent="0.25">
      <c r="A305309" s="1"/>
    </row>
    <row r="305310" spans="1:1" x14ac:dyDescent="0.25">
      <c r="A305310" s="1"/>
    </row>
    <row r="305311" spans="1:1" x14ac:dyDescent="0.25">
      <c r="A305311" s="1"/>
    </row>
    <row r="305312" spans="1:1" x14ac:dyDescent="0.25">
      <c r="A305312" s="1"/>
    </row>
    <row r="305313" spans="1:1" x14ac:dyDescent="0.25">
      <c r="A305313" s="1"/>
    </row>
    <row r="305314" spans="1:1" x14ac:dyDescent="0.25">
      <c r="A305314" s="1"/>
    </row>
    <row r="305315" spans="1:1" x14ac:dyDescent="0.25">
      <c r="A305315" s="1"/>
    </row>
    <row r="305316" spans="1:1" x14ac:dyDescent="0.25">
      <c r="A305316" s="1"/>
    </row>
    <row r="305317" spans="1:1" x14ac:dyDescent="0.25">
      <c r="A305317" s="1"/>
    </row>
    <row r="305318" spans="1:1" x14ac:dyDescent="0.25">
      <c r="A305318" s="1"/>
    </row>
    <row r="305319" spans="1:1" x14ac:dyDescent="0.25">
      <c r="A305319" s="1"/>
    </row>
    <row r="305320" spans="1:1" x14ac:dyDescent="0.25">
      <c r="A305320" s="1"/>
    </row>
    <row r="305321" spans="1:1" x14ac:dyDescent="0.25">
      <c r="A305321" s="1"/>
    </row>
    <row r="305322" spans="1:1" x14ac:dyDescent="0.25">
      <c r="A305322" s="1"/>
    </row>
    <row r="305323" spans="1:1" x14ac:dyDescent="0.25">
      <c r="A305323" s="1"/>
    </row>
    <row r="305324" spans="1:1" x14ac:dyDescent="0.25">
      <c r="A305324" s="1"/>
    </row>
    <row r="305325" spans="1:1" x14ac:dyDescent="0.25">
      <c r="A305325" s="1"/>
    </row>
    <row r="305326" spans="1:1" x14ac:dyDescent="0.25">
      <c r="A305326" s="1"/>
    </row>
    <row r="305327" spans="1:1" x14ac:dyDescent="0.25">
      <c r="A305327" s="1"/>
    </row>
    <row r="305328" spans="1:1" x14ac:dyDescent="0.25">
      <c r="A305328" s="1"/>
    </row>
    <row r="305329" spans="1:1" x14ac:dyDescent="0.25">
      <c r="A305329" s="1"/>
    </row>
    <row r="305330" spans="1:1" x14ac:dyDescent="0.25">
      <c r="A305330" s="1"/>
    </row>
    <row r="305331" spans="1:1" x14ac:dyDescent="0.25">
      <c r="A305331" s="1"/>
    </row>
    <row r="305332" spans="1:1" x14ac:dyDescent="0.25">
      <c r="A305332" s="1"/>
    </row>
    <row r="305333" spans="1:1" x14ac:dyDescent="0.25">
      <c r="A305333" s="1"/>
    </row>
    <row r="305334" spans="1:1" x14ac:dyDescent="0.25">
      <c r="A305334" s="1"/>
    </row>
    <row r="305335" spans="1:1" x14ac:dyDescent="0.25">
      <c r="A305335" s="1"/>
    </row>
    <row r="305336" spans="1:1" x14ac:dyDescent="0.25">
      <c r="A305336" s="1"/>
    </row>
    <row r="305337" spans="1:1" x14ac:dyDescent="0.25">
      <c r="A305337" s="1"/>
    </row>
    <row r="305338" spans="1:1" x14ac:dyDescent="0.25">
      <c r="A305338" s="1"/>
    </row>
    <row r="305339" spans="1:1" x14ac:dyDescent="0.25">
      <c r="A305339" s="1"/>
    </row>
    <row r="305340" spans="1:1" x14ac:dyDescent="0.25">
      <c r="A305340" s="1"/>
    </row>
    <row r="305341" spans="1:1" x14ac:dyDescent="0.25">
      <c r="A305341" s="1"/>
    </row>
    <row r="305342" spans="1:1" x14ac:dyDescent="0.25">
      <c r="A305342" s="1"/>
    </row>
    <row r="305343" spans="1:1" x14ac:dyDescent="0.25">
      <c r="A305343" s="1"/>
    </row>
    <row r="305344" spans="1:1" x14ac:dyDescent="0.25">
      <c r="A305344" s="1"/>
    </row>
    <row r="305345" spans="1:1" x14ac:dyDescent="0.25">
      <c r="A305345" s="1"/>
    </row>
    <row r="305346" spans="1:1" x14ac:dyDescent="0.25">
      <c r="A305346" s="1"/>
    </row>
    <row r="305347" spans="1:1" x14ac:dyDescent="0.25">
      <c r="A305347" s="1"/>
    </row>
    <row r="305348" spans="1:1" x14ac:dyDescent="0.25">
      <c r="A305348" s="1"/>
    </row>
    <row r="305349" spans="1:1" x14ac:dyDescent="0.25">
      <c r="A305349" s="1"/>
    </row>
    <row r="305350" spans="1:1" x14ac:dyDescent="0.25">
      <c r="A305350" s="1"/>
    </row>
    <row r="305351" spans="1:1" x14ac:dyDescent="0.25">
      <c r="A305351" s="1"/>
    </row>
    <row r="305352" spans="1:1" x14ac:dyDescent="0.25">
      <c r="A305352" s="1"/>
    </row>
    <row r="305353" spans="1:1" x14ac:dyDescent="0.25">
      <c r="A305353" s="1"/>
    </row>
    <row r="305354" spans="1:1" x14ac:dyDescent="0.25">
      <c r="A305354" s="1"/>
    </row>
    <row r="305355" spans="1:1" x14ac:dyDescent="0.25">
      <c r="A305355" s="1"/>
    </row>
    <row r="305356" spans="1:1" x14ac:dyDescent="0.25">
      <c r="A305356" s="1"/>
    </row>
    <row r="305357" spans="1:1" x14ac:dyDescent="0.25">
      <c r="A305357" s="1"/>
    </row>
    <row r="305358" spans="1:1" x14ac:dyDescent="0.25">
      <c r="A305358" s="1"/>
    </row>
    <row r="305359" spans="1:1" x14ac:dyDescent="0.25">
      <c r="A305359" s="1"/>
    </row>
    <row r="305360" spans="1:1" x14ac:dyDescent="0.25">
      <c r="A305360" s="1"/>
    </row>
    <row r="305361" spans="1:1" x14ac:dyDescent="0.25">
      <c r="A305361" s="1"/>
    </row>
    <row r="305362" spans="1:1" x14ac:dyDescent="0.25">
      <c r="A305362" s="1"/>
    </row>
    <row r="305363" spans="1:1" x14ac:dyDescent="0.25">
      <c r="A305363" s="1"/>
    </row>
    <row r="305364" spans="1:1" x14ac:dyDescent="0.25">
      <c r="A305364" s="1"/>
    </row>
    <row r="305365" spans="1:1" x14ac:dyDescent="0.25">
      <c r="A305365" s="1"/>
    </row>
    <row r="305366" spans="1:1" x14ac:dyDescent="0.25">
      <c r="A305366" s="1"/>
    </row>
    <row r="305367" spans="1:1" x14ac:dyDescent="0.25">
      <c r="A305367" s="1"/>
    </row>
    <row r="305368" spans="1:1" x14ac:dyDescent="0.25">
      <c r="A305368" s="1"/>
    </row>
    <row r="305369" spans="1:1" x14ac:dyDescent="0.25">
      <c r="A305369" s="1"/>
    </row>
    <row r="305370" spans="1:1" x14ac:dyDescent="0.25">
      <c r="A305370" s="1"/>
    </row>
    <row r="305371" spans="1:1" x14ac:dyDescent="0.25">
      <c r="A305371" s="1"/>
    </row>
    <row r="305372" spans="1:1" x14ac:dyDescent="0.25">
      <c r="A305372" s="1"/>
    </row>
    <row r="305373" spans="1:1" x14ac:dyDescent="0.25">
      <c r="A305373" s="1"/>
    </row>
    <row r="305374" spans="1:1" x14ac:dyDescent="0.25">
      <c r="A305374" s="1"/>
    </row>
    <row r="305375" spans="1:1" x14ac:dyDescent="0.25">
      <c r="A305375" s="1"/>
    </row>
    <row r="305376" spans="1:1" x14ac:dyDescent="0.25">
      <c r="A305376" s="1"/>
    </row>
    <row r="305377" spans="1:1" x14ac:dyDescent="0.25">
      <c r="A305377" s="1"/>
    </row>
    <row r="305378" spans="1:1" x14ac:dyDescent="0.25">
      <c r="A305378" s="1"/>
    </row>
    <row r="305379" spans="1:1" x14ac:dyDescent="0.25">
      <c r="A305379" s="1"/>
    </row>
    <row r="305380" spans="1:1" x14ac:dyDescent="0.25">
      <c r="A305380" s="1"/>
    </row>
    <row r="305381" spans="1:1" x14ac:dyDescent="0.25">
      <c r="A305381" s="1"/>
    </row>
    <row r="305382" spans="1:1" x14ac:dyDescent="0.25">
      <c r="A305382" s="1"/>
    </row>
    <row r="305383" spans="1:1" x14ac:dyDescent="0.25">
      <c r="A305383" s="1"/>
    </row>
    <row r="305384" spans="1:1" x14ac:dyDescent="0.25">
      <c r="A305384" s="1"/>
    </row>
    <row r="305385" spans="1:1" x14ac:dyDescent="0.25">
      <c r="A305385" s="1"/>
    </row>
    <row r="305386" spans="1:1" x14ac:dyDescent="0.25">
      <c r="A305386" s="1"/>
    </row>
    <row r="305387" spans="1:1" x14ac:dyDescent="0.25">
      <c r="A305387" s="1"/>
    </row>
    <row r="305388" spans="1:1" x14ac:dyDescent="0.25">
      <c r="A305388" s="1"/>
    </row>
    <row r="305389" spans="1:1" x14ac:dyDescent="0.25">
      <c r="A305389" s="1"/>
    </row>
    <row r="305390" spans="1:1" x14ac:dyDescent="0.25">
      <c r="A305390" s="1"/>
    </row>
    <row r="305391" spans="1:1" x14ac:dyDescent="0.25">
      <c r="A305391" s="1"/>
    </row>
    <row r="305392" spans="1:1" x14ac:dyDescent="0.25">
      <c r="A305392" s="1"/>
    </row>
    <row r="305393" spans="1:1" x14ac:dyDescent="0.25">
      <c r="A305393" s="1"/>
    </row>
    <row r="305394" spans="1:1" x14ac:dyDescent="0.25">
      <c r="A305394" s="1"/>
    </row>
    <row r="305395" spans="1:1" x14ac:dyDescent="0.25">
      <c r="A305395" s="1"/>
    </row>
    <row r="305396" spans="1:1" x14ac:dyDescent="0.25">
      <c r="A305396" s="1"/>
    </row>
    <row r="305397" spans="1:1" x14ac:dyDescent="0.25">
      <c r="A305397" s="1"/>
    </row>
    <row r="305398" spans="1:1" x14ac:dyDescent="0.25">
      <c r="A305398" s="1"/>
    </row>
    <row r="305399" spans="1:1" x14ac:dyDescent="0.25">
      <c r="A305399" s="1"/>
    </row>
    <row r="305400" spans="1:1" x14ac:dyDescent="0.25">
      <c r="A305400" s="1"/>
    </row>
    <row r="305401" spans="1:1" x14ac:dyDescent="0.25">
      <c r="A305401" s="1"/>
    </row>
    <row r="305402" spans="1:1" x14ac:dyDescent="0.25">
      <c r="A305402" s="1"/>
    </row>
    <row r="305403" spans="1:1" x14ac:dyDescent="0.25">
      <c r="A305403" s="1"/>
    </row>
    <row r="305404" spans="1:1" x14ac:dyDescent="0.25">
      <c r="A305404" s="1"/>
    </row>
    <row r="305405" spans="1:1" x14ac:dyDescent="0.25">
      <c r="A305405" s="1"/>
    </row>
    <row r="305406" spans="1:1" x14ac:dyDescent="0.25">
      <c r="A305406" s="1"/>
    </row>
    <row r="305407" spans="1:1" x14ac:dyDescent="0.25">
      <c r="A305407" s="1"/>
    </row>
    <row r="305408" spans="1:1" x14ac:dyDescent="0.25">
      <c r="A305408" s="1"/>
    </row>
    <row r="305409" spans="1:1" x14ac:dyDescent="0.25">
      <c r="A305409" s="1"/>
    </row>
    <row r="305410" spans="1:1" x14ac:dyDescent="0.25">
      <c r="A305410" s="1"/>
    </row>
    <row r="305411" spans="1:1" x14ac:dyDescent="0.25">
      <c r="A305411" s="1"/>
    </row>
    <row r="305412" spans="1:1" x14ac:dyDescent="0.25">
      <c r="A305412" s="1"/>
    </row>
    <row r="305413" spans="1:1" x14ac:dyDescent="0.25">
      <c r="A305413" s="1"/>
    </row>
    <row r="305414" spans="1:1" x14ac:dyDescent="0.25">
      <c r="A305414" s="1"/>
    </row>
    <row r="305415" spans="1:1" x14ac:dyDescent="0.25">
      <c r="A305415" s="1"/>
    </row>
    <row r="305416" spans="1:1" x14ac:dyDescent="0.25">
      <c r="A305416" s="1"/>
    </row>
    <row r="305417" spans="1:1" x14ac:dyDescent="0.25">
      <c r="A305417" s="1"/>
    </row>
    <row r="305418" spans="1:1" x14ac:dyDescent="0.25">
      <c r="A305418" s="1"/>
    </row>
    <row r="305419" spans="1:1" x14ac:dyDescent="0.25">
      <c r="A305419" s="1"/>
    </row>
    <row r="305420" spans="1:1" x14ac:dyDescent="0.25">
      <c r="A305420" s="1"/>
    </row>
    <row r="305421" spans="1:1" x14ac:dyDescent="0.25">
      <c r="A305421" s="1"/>
    </row>
    <row r="305422" spans="1:1" x14ac:dyDescent="0.25">
      <c r="A305422" s="1"/>
    </row>
    <row r="305423" spans="1:1" x14ac:dyDescent="0.25">
      <c r="A305423" s="1"/>
    </row>
    <row r="305424" spans="1:1" x14ac:dyDescent="0.25">
      <c r="A305424" s="1"/>
    </row>
    <row r="305425" spans="1:1" x14ac:dyDescent="0.25">
      <c r="A305425" s="1"/>
    </row>
    <row r="305426" spans="1:1" x14ac:dyDescent="0.25">
      <c r="A305426" s="1"/>
    </row>
    <row r="305427" spans="1:1" x14ac:dyDescent="0.25">
      <c r="A305427" s="1"/>
    </row>
    <row r="305428" spans="1:1" x14ac:dyDescent="0.25">
      <c r="A305428" s="1"/>
    </row>
    <row r="305429" spans="1:1" x14ac:dyDescent="0.25">
      <c r="A305429" s="1"/>
    </row>
    <row r="305430" spans="1:1" x14ac:dyDescent="0.25">
      <c r="A305430" s="1"/>
    </row>
    <row r="305431" spans="1:1" x14ac:dyDescent="0.25">
      <c r="A305431" s="1"/>
    </row>
    <row r="305432" spans="1:1" x14ac:dyDescent="0.25">
      <c r="A305432" s="1"/>
    </row>
    <row r="305433" spans="1:1" x14ac:dyDescent="0.25">
      <c r="A305433" s="1"/>
    </row>
    <row r="305434" spans="1:1" x14ac:dyDescent="0.25">
      <c r="A305434" s="1"/>
    </row>
    <row r="305435" spans="1:1" x14ac:dyDescent="0.25">
      <c r="A305435" s="1"/>
    </row>
    <row r="305436" spans="1:1" x14ac:dyDescent="0.25">
      <c r="A305436" s="1"/>
    </row>
    <row r="305437" spans="1:1" x14ac:dyDescent="0.25">
      <c r="A305437" s="1"/>
    </row>
    <row r="305438" spans="1:1" x14ac:dyDescent="0.25">
      <c r="A305438" s="1"/>
    </row>
    <row r="305439" spans="1:1" x14ac:dyDescent="0.25">
      <c r="A305439" s="1"/>
    </row>
    <row r="305440" spans="1:1" x14ac:dyDescent="0.25">
      <c r="A305440" s="1"/>
    </row>
    <row r="305441" spans="1:1" x14ac:dyDescent="0.25">
      <c r="A305441" s="1"/>
    </row>
    <row r="305442" spans="1:1" x14ac:dyDescent="0.25">
      <c r="A305442" s="1"/>
    </row>
    <row r="305443" spans="1:1" x14ac:dyDescent="0.25">
      <c r="A305443" s="1"/>
    </row>
    <row r="305444" spans="1:1" x14ac:dyDescent="0.25">
      <c r="A305444" s="1"/>
    </row>
    <row r="305445" spans="1:1" x14ac:dyDescent="0.25">
      <c r="A305445" s="1"/>
    </row>
    <row r="305446" spans="1:1" x14ac:dyDescent="0.25">
      <c r="A305446" s="1"/>
    </row>
    <row r="305447" spans="1:1" x14ac:dyDescent="0.25">
      <c r="A305447" s="1"/>
    </row>
    <row r="305448" spans="1:1" x14ac:dyDescent="0.25">
      <c r="A305448" s="1"/>
    </row>
    <row r="305449" spans="1:1" x14ac:dyDescent="0.25">
      <c r="A305449" s="1"/>
    </row>
    <row r="305450" spans="1:1" x14ac:dyDescent="0.25">
      <c r="A305450" s="1"/>
    </row>
    <row r="305451" spans="1:1" x14ac:dyDescent="0.25">
      <c r="A305451" s="1"/>
    </row>
    <row r="305452" spans="1:1" x14ac:dyDescent="0.25">
      <c r="A305452" s="1"/>
    </row>
    <row r="305453" spans="1:1" x14ac:dyDescent="0.25">
      <c r="A305453" s="1"/>
    </row>
    <row r="305454" spans="1:1" x14ac:dyDescent="0.25">
      <c r="A305454" s="1"/>
    </row>
    <row r="305455" spans="1:1" x14ac:dyDescent="0.25">
      <c r="A305455" s="1"/>
    </row>
    <row r="305456" spans="1:1" x14ac:dyDescent="0.25">
      <c r="A305456" s="1"/>
    </row>
    <row r="305457" spans="1:1" x14ac:dyDescent="0.25">
      <c r="A305457" s="1"/>
    </row>
    <row r="305458" spans="1:1" x14ac:dyDescent="0.25">
      <c r="A305458" s="1"/>
    </row>
    <row r="305459" spans="1:1" x14ac:dyDescent="0.25">
      <c r="A305459" s="1"/>
    </row>
    <row r="305460" spans="1:1" x14ac:dyDescent="0.25">
      <c r="A305460" s="1"/>
    </row>
    <row r="305461" spans="1:1" x14ac:dyDescent="0.25">
      <c r="A305461" s="1"/>
    </row>
    <row r="305462" spans="1:1" x14ac:dyDescent="0.25">
      <c r="A305462" s="1"/>
    </row>
    <row r="305463" spans="1:1" x14ac:dyDescent="0.25">
      <c r="A305463" s="1"/>
    </row>
    <row r="305464" spans="1:1" x14ac:dyDescent="0.25">
      <c r="A305464" s="1"/>
    </row>
    <row r="305465" spans="1:1" x14ac:dyDescent="0.25">
      <c r="A305465" s="1"/>
    </row>
    <row r="305466" spans="1:1" x14ac:dyDescent="0.25">
      <c r="A305466" s="1"/>
    </row>
    <row r="305467" spans="1:1" x14ac:dyDescent="0.25">
      <c r="A305467" s="1"/>
    </row>
    <row r="305468" spans="1:1" x14ac:dyDescent="0.25">
      <c r="A305468" s="1"/>
    </row>
    <row r="305469" spans="1:1" x14ac:dyDescent="0.25">
      <c r="A305469" s="1"/>
    </row>
    <row r="305470" spans="1:1" x14ac:dyDescent="0.25">
      <c r="A305470" s="1"/>
    </row>
    <row r="305471" spans="1:1" x14ac:dyDescent="0.25">
      <c r="A305471" s="1"/>
    </row>
    <row r="305472" spans="1:1" x14ac:dyDescent="0.25">
      <c r="A305472" s="1"/>
    </row>
    <row r="305473" spans="1:1" x14ac:dyDescent="0.25">
      <c r="A305473" s="1"/>
    </row>
    <row r="305474" spans="1:1" x14ac:dyDescent="0.25">
      <c r="A305474" s="1"/>
    </row>
    <row r="305475" spans="1:1" x14ac:dyDescent="0.25">
      <c r="A305475" s="1"/>
    </row>
    <row r="305476" spans="1:1" x14ac:dyDescent="0.25">
      <c r="A305476" s="1"/>
    </row>
    <row r="305477" spans="1:1" x14ac:dyDescent="0.25">
      <c r="A305477" s="1"/>
    </row>
    <row r="305478" spans="1:1" x14ac:dyDescent="0.25">
      <c r="A305478" s="1"/>
    </row>
    <row r="305479" spans="1:1" x14ac:dyDescent="0.25">
      <c r="A305479" s="1"/>
    </row>
    <row r="305480" spans="1:1" x14ac:dyDescent="0.25">
      <c r="A305480" s="1"/>
    </row>
    <row r="305481" spans="1:1" x14ac:dyDescent="0.25">
      <c r="A305481" s="1"/>
    </row>
    <row r="305482" spans="1:1" x14ac:dyDescent="0.25">
      <c r="A305482" s="1"/>
    </row>
    <row r="305483" spans="1:1" x14ac:dyDescent="0.25">
      <c r="A305483" s="1"/>
    </row>
    <row r="305484" spans="1:1" x14ac:dyDescent="0.25">
      <c r="A305484" s="1"/>
    </row>
    <row r="305485" spans="1:1" x14ac:dyDescent="0.25">
      <c r="A305485" s="1"/>
    </row>
    <row r="305486" spans="1:1" x14ac:dyDescent="0.25">
      <c r="A305486" s="1"/>
    </row>
    <row r="305487" spans="1:1" x14ac:dyDescent="0.25">
      <c r="A305487" s="1"/>
    </row>
    <row r="305488" spans="1:1" x14ac:dyDescent="0.25">
      <c r="A305488" s="1"/>
    </row>
    <row r="305489" spans="1:1" x14ac:dyDescent="0.25">
      <c r="A305489" s="1"/>
    </row>
    <row r="305490" spans="1:1" x14ac:dyDescent="0.25">
      <c r="A305490" s="1"/>
    </row>
    <row r="305491" spans="1:1" x14ac:dyDescent="0.25">
      <c r="A305491" s="1"/>
    </row>
    <row r="305492" spans="1:1" x14ac:dyDescent="0.25">
      <c r="A305492" s="1"/>
    </row>
    <row r="305493" spans="1:1" x14ac:dyDescent="0.25">
      <c r="A305493" s="1"/>
    </row>
    <row r="305494" spans="1:1" x14ac:dyDescent="0.25">
      <c r="A305494" s="1"/>
    </row>
    <row r="305495" spans="1:1" x14ac:dyDescent="0.25">
      <c r="A305495" s="1"/>
    </row>
    <row r="305496" spans="1:1" x14ac:dyDescent="0.25">
      <c r="A305496" s="1"/>
    </row>
    <row r="305497" spans="1:1" x14ac:dyDescent="0.25">
      <c r="A305497" s="1"/>
    </row>
    <row r="305498" spans="1:1" x14ac:dyDescent="0.25">
      <c r="A305498" s="1"/>
    </row>
    <row r="305499" spans="1:1" x14ac:dyDescent="0.25">
      <c r="A305499" s="1"/>
    </row>
    <row r="305500" spans="1:1" x14ac:dyDescent="0.25">
      <c r="A305500" s="1"/>
    </row>
    <row r="305501" spans="1:1" x14ac:dyDescent="0.25">
      <c r="A305501" s="1"/>
    </row>
    <row r="305502" spans="1:1" x14ac:dyDescent="0.25">
      <c r="A305502" s="1"/>
    </row>
    <row r="305503" spans="1:1" x14ac:dyDescent="0.25">
      <c r="A305503" s="1"/>
    </row>
    <row r="305504" spans="1:1" x14ac:dyDescent="0.25">
      <c r="A305504" s="1"/>
    </row>
    <row r="305505" spans="1:1" x14ac:dyDescent="0.25">
      <c r="A305505" s="1"/>
    </row>
    <row r="305506" spans="1:1" x14ac:dyDescent="0.25">
      <c r="A305506" s="1"/>
    </row>
    <row r="305507" spans="1:1" x14ac:dyDescent="0.25">
      <c r="A305507" s="1"/>
    </row>
    <row r="305508" spans="1:1" x14ac:dyDescent="0.25">
      <c r="A305508" s="1"/>
    </row>
    <row r="305509" spans="1:1" x14ac:dyDescent="0.25">
      <c r="A305509" s="1"/>
    </row>
    <row r="305510" spans="1:1" x14ac:dyDescent="0.25">
      <c r="A305510" s="1"/>
    </row>
    <row r="305511" spans="1:1" x14ac:dyDescent="0.25">
      <c r="A305511" s="1"/>
    </row>
    <row r="305512" spans="1:1" x14ac:dyDescent="0.25">
      <c r="A305512" s="1"/>
    </row>
    <row r="305513" spans="1:1" x14ac:dyDescent="0.25">
      <c r="A305513" s="1"/>
    </row>
    <row r="305514" spans="1:1" x14ac:dyDescent="0.25">
      <c r="A305514" s="1"/>
    </row>
    <row r="305515" spans="1:1" x14ac:dyDescent="0.25">
      <c r="A305515" s="1"/>
    </row>
    <row r="305516" spans="1:1" x14ac:dyDescent="0.25">
      <c r="A305516" s="1"/>
    </row>
    <row r="305517" spans="1:1" x14ac:dyDescent="0.25">
      <c r="A305517" s="1"/>
    </row>
    <row r="305518" spans="1:1" x14ac:dyDescent="0.25">
      <c r="A305518" s="1"/>
    </row>
    <row r="305519" spans="1:1" x14ac:dyDescent="0.25">
      <c r="A305519" s="1"/>
    </row>
    <row r="305520" spans="1:1" x14ac:dyDescent="0.25">
      <c r="A305520" s="1"/>
    </row>
    <row r="305521" spans="1:1" x14ac:dyDescent="0.25">
      <c r="A305521" s="1"/>
    </row>
    <row r="305522" spans="1:1" x14ac:dyDescent="0.25">
      <c r="A305522" s="1"/>
    </row>
    <row r="305523" spans="1:1" x14ac:dyDescent="0.25">
      <c r="A305523" s="1"/>
    </row>
    <row r="305524" spans="1:1" x14ac:dyDescent="0.25">
      <c r="A305524" s="1"/>
    </row>
    <row r="305525" spans="1:1" x14ac:dyDescent="0.25">
      <c r="A305525" s="1"/>
    </row>
    <row r="305526" spans="1:1" x14ac:dyDescent="0.25">
      <c r="A305526" s="1"/>
    </row>
    <row r="305527" spans="1:1" x14ac:dyDescent="0.25">
      <c r="A305527" s="1"/>
    </row>
    <row r="305528" spans="1:1" x14ac:dyDescent="0.25">
      <c r="A305528" s="1"/>
    </row>
    <row r="305529" spans="1:1" x14ac:dyDescent="0.25">
      <c r="A305529" s="1"/>
    </row>
    <row r="305530" spans="1:1" x14ac:dyDescent="0.25">
      <c r="A305530" s="1"/>
    </row>
    <row r="305531" spans="1:1" x14ac:dyDescent="0.25">
      <c r="A305531" s="1"/>
    </row>
    <row r="305532" spans="1:1" x14ac:dyDescent="0.25">
      <c r="A305532" s="1"/>
    </row>
    <row r="305533" spans="1:1" x14ac:dyDescent="0.25">
      <c r="A305533" s="1"/>
    </row>
    <row r="305534" spans="1:1" x14ac:dyDescent="0.25">
      <c r="A305534" s="1"/>
    </row>
    <row r="305535" spans="1:1" x14ac:dyDescent="0.25">
      <c r="A305535" s="1"/>
    </row>
    <row r="305536" spans="1:1" x14ac:dyDescent="0.25">
      <c r="A305536" s="1"/>
    </row>
    <row r="305537" spans="1:1" x14ac:dyDescent="0.25">
      <c r="A305537" s="1"/>
    </row>
    <row r="305538" spans="1:1" x14ac:dyDescent="0.25">
      <c r="A305538" s="1"/>
    </row>
    <row r="305539" spans="1:1" x14ac:dyDescent="0.25">
      <c r="A305539" s="1"/>
    </row>
    <row r="305540" spans="1:1" x14ac:dyDescent="0.25">
      <c r="A305540" s="1"/>
    </row>
    <row r="305541" spans="1:1" x14ac:dyDescent="0.25">
      <c r="A305541" s="1"/>
    </row>
    <row r="305542" spans="1:1" x14ac:dyDescent="0.25">
      <c r="A305542" s="1"/>
    </row>
    <row r="305543" spans="1:1" x14ac:dyDescent="0.25">
      <c r="A305543" s="1"/>
    </row>
    <row r="305544" spans="1:1" x14ac:dyDescent="0.25">
      <c r="A305544" s="1"/>
    </row>
    <row r="305545" spans="1:1" x14ac:dyDescent="0.25">
      <c r="A305545" s="1"/>
    </row>
    <row r="305546" spans="1:1" x14ac:dyDescent="0.25">
      <c r="A305546" s="1"/>
    </row>
    <row r="305547" spans="1:1" x14ac:dyDescent="0.25">
      <c r="A305547" s="1"/>
    </row>
    <row r="305548" spans="1:1" x14ac:dyDescent="0.25">
      <c r="A305548" s="1"/>
    </row>
    <row r="305549" spans="1:1" x14ac:dyDescent="0.25">
      <c r="A305549" s="1"/>
    </row>
    <row r="305550" spans="1:1" x14ac:dyDescent="0.25">
      <c r="A305550" s="1"/>
    </row>
    <row r="305551" spans="1:1" x14ac:dyDescent="0.25">
      <c r="A305551" s="1"/>
    </row>
    <row r="305552" spans="1:1" x14ac:dyDescent="0.25">
      <c r="A305552" s="1"/>
    </row>
    <row r="305553" spans="1:1" x14ac:dyDescent="0.25">
      <c r="A305553" s="1"/>
    </row>
    <row r="305554" spans="1:1" x14ac:dyDescent="0.25">
      <c r="A305554" s="1"/>
    </row>
    <row r="305555" spans="1:1" x14ac:dyDescent="0.25">
      <c r="A305555" s="1"/>
    </row>
    <row r="305556" spans="1:1" x14ac:dyDescent="0.25">
      <c r="A305556" s="1"/>
    </row>
    <row r="305557" spans="1:1" x14ac:dyDescent="0.25">
      <c r="A305557" s="1"/>
    </row>
    <row r="305558" spans="1:1" x14ac:dyDescent="0.25">
      <c r="A305558" s="1"/>
    </row>
    <row r="305559" spans="1:1" x14ac:dyDescent="0.25">
      <c r="A305559" s="1"/>
    </row>
    <row r="305560" spans="1:1" x14ac:dyDescent="0.25">
      <c r="A305560" s="1"/>
    </row>
    <row r="305561" spans="1:1" x14ac:dyDescent="0.25">
      <c r="A305561" s="1"/>
    </row>
    <row r="305562" spans="1:1" x14ac:dyDescent="0.25">
      <c r="A305562" s="1"/>
    </row>
    <row r="305563" spans="1:1" x14ac:dyDescent="0.25">
      <c r="A305563" s="1"/>
    </row>
    <row r="305564" spans="1:1" x14ac:dyDescent="0.25">
      <c r="A305564" s="1"/>
    </row>
    <row r="305565" spans="1:1" x14ac:dyDescent="0.25">
      <c r="A305565" s="1"/>
    </row>
    <row r="305566" spans="1:1" x14ac:dyDescent="0.25">
      <c r="A305566" s="1"/>
    </row>
    <row r="305567" spans="1:1" x14ac:dyDescent="0.25">
      <c r="A305567" s="1"/>
    </row>
    <row r="305568" spans="1:1" x14ac:dyDescent="0.25">
      <c r="A305568" s="1"/>
    </row>
    <row r="305569" spans="1:1" x14ac:dyDescent="0.25">
      <c r="A305569" s="1"/>
    </row>
    <row r="305570" spans="1:1" x14ac:dyDescent="0.25">
      <c r="A305570" s="1"/>
    </row>
    <row r="305571" spans="1:1" x14ac:dyDescent="0.25">
      <c r="A305571" s="1"/>
    </row>
    <row r="305572" spans="1:1" x14ac:dyDescent="0.25">
      <c r="A305572" s="1"/>
    </row>
    <row r="305573" spans="1:1" x14ac:dyDescent="0.25">
      <c r="A305573" s="1"/>
    </row>
    <row r="305574" spans="1:1" x14ac:dyDescent="0.25">
      <c r="A305574" s="1"/>
    </row>
    <row r="305575" spans="1:1" x14ac:dyDescent="0.25">
      <c r="A305575" s="1"/>
    </row>
    <row r="305576" spans="1:1" x14ac:dyDescent="0.25">
      <c r="A305576" s="1"/>
    </row>
    <row r="305577" spans="1:1" x14ac:dyDescent="0.25">
      <c r="A305577" s="1"/>
    </row>
    <row r="305578" spans="1:1" x14ac:dyDescent="0.25">
      <c r="A305578" s="1"/>
    </row>
    <row r="305579" spans="1:1" x14ac:dyDescent="0.25">
      <c r="A305579" s="1"/>
    </row>
    <row r="305580" spans="1:1" x14ac:dyDescent="0.25">
      <c r="A305580" s="1"/>
    </row>
    <row r="305581" spans="1:1" x14ac:dyDescent="0.25">
      <c r="A305581" s="1"/>
    </row>
    <row r="305582" spans="1:1" x14ac:dyDescent="0.25">
      <c r="A305582" s="1"/>
    </row>
    <row r="305583" spans="1:1" x14ac:dyDescent="0.25">
      <c r="A305583" s="1"/>
    </row>
    <row r="305584" spans="1:1" x14ac:dyDescent="0.25">
      <c r="A305584" s="1"/>
    </row>
    <row r="305585" spans="1:1" x14ac:dyDescent="0.25">
      <c r="A305585" s="1"/>
    </row>
    <row r="305586" spans="1:1" x14ac:dyDescent="0.25">
      <c r="A305586" s="1"/>
    </row>
    <row r="305587" spans="1:1" x14ac:dyDescent="0.25">
      <c r="A305587" s="1"/>
    </row>
    <row r="305588" spans="1:1" x14ac:dyDescent="0.25">
      <c r="A305588" s="1"/>
    </row>
    <row r="305589" spans="1:1" x14ac:dyDescent="0.25">
      <c r="A305589" s="1"/>
    </row>
    <row r="305590" spans="1:1" x14ac:dyDescent="0.25">
      <c r="A305590" s="1"/>
    </row>
    <row r="305591" spans="1:1" x14ac:dyDescent="0.25">
      <c r="A305591" s="1"/>
    </row>
    <row r="305592" spans="1:1" x14ac:dyDescent="0.25">
      <c r="A305592" s="1"/>
    </row>
    <row r="305593" spans="1:1" x14ac:dyDescent="0.25">
      <c r="A305593" s="1"/>
    </row>
    <row r="305594" spans="1:1" x14ac:dyDescent="0.25">
      <c r="A305594" s="1"/>
    </row>
    <row r="305595" spans="1:1" x14ac:dyDescent="0.25">
      <c r="A305595" s="1"/>
    </row>
    <row r="305596" spans="1:1" x14ac:dyDescent="0.25">
      <c r="A305596" s="1"/>
    </row>
    <row r="305597" spans="1:1" x14ac:dyDescent="0.25">
      <c r="A305597" s="1"/>
    </row>
    <row r="305598" spans="1:1" x14ac:dyDescent="0.25">
      <c r="A305598" s="1"/>
    </row>
    <row r="305599" spans="1:1" x14ac:dyDescent="0.25">
      <c r="A305599" s="1"/>
    </row>
    <row r="305600" spans="1:1" x14ac:dyDescent="0.25">
      <c r="A305600" s="1"/>
    </row>
    <row r="305601" spans="1:1" x14ac:dyDescent="0.25">
      <c r="A305601" s="1"/>
    </row>
    <row r="305602" spans="1:1" x14ac:dyDescent="0.25">
      <c r="A305602" s="1"/>
    </row>
    <row r="305603" spans="1:1" x14ac:dyDescent="0.25">
      <c r="A305603" s="1"/>
    </row>
    <row r="305604" spans="1:1" x14ac:dyDescent="0.25">
      <c r="A305604" s="1"/>
    </row>
    <row r="305605" spans="1:1" x14ac:dyDescent="0.25">
      <c r="A305605" s="1"/>
    </row>
    <row r="305606" spans="1:1" x14ac:dyDescent="0.25">
      <c r="A305606" s="1"/>
    </row>
    <row r="305607" spans="1:1" x14ac:dyDescent="0.25">
      <c r="A305607" s="1"/>
    </row>
    <row r="305608" spans="1:1" x14ac:dyDescent="0.25">
      <c r="A305608" s="1"/>
    </row>
    <row r="305609" spans="1:1" x14ac:dyDescent="0.25">
      <c r="A305609" s="1"/>
    </row>
    <row r="305610" spans="1:1" x14ac:dyDescent="0.25">
      <c r="A305610" s="1"/>
    </row>
    <row r="305611" spans="1:1" x14ac:dyDescent="0.25">
      <c r="A305611" s="1"/>
    </row>
    <row r="305612" spans="1:1" x14ac:dyDescent="0.25">
      <c r="A305612" s="1"/>
    </row>
    <row r="305613" spans="1:1" x14ac:dyDescent="0.25">
      <c r="A305613" s="1"/>
    </row>
    <row r="305614" spans="1:1" x14ac:dyDescent="0.25">
      <c r="A305614" s="1"/>
    </row>
    <row r="305615" spans="1:1" x14ac:dyDescent="0.25">
      <c r="A305615" s="1"/>
    </row>
    <row r="305616" spans="1:1" x14ac:dyDescent="0.25">
      <c r="A305616" s="1"/>
    </row>
    <row r="305617" spans="1:1" x14ac:dyDescent="0.25">
      <c r="A305617" s="1"/>
    </row>
    <row r="305618" spans="1:1" x14ac:dyDescent="0.25">
      <c r="A305618" s="1"/>
    </row>
    <row r="305619" spans="1:1" x14ac:dyDescent="0.25">
      <c r="A305619" s="1"/>
    </row>
    <row r="305620" spans="1:1" x14ac:dyDescent="0.25">
      <c r="A305620" s="1"/>
    </row>
    <row r="305621" spans="1:1" x14ac:dyDescent="0.25">
      <c r="A305621" s="1"/>
    </row>
    <row r="305622" spans="1:1" x14ac:dyDescent="0.25">
      <c r="A305622" s="1"/>
    </row>
    <row r="305623" spans="1:1" x14ac:dyDescent="0.25">
      <c r="A305623" s="1"/>
    </row>
    <row r="305624" spans="1:1" x14ac:dyDescent="0.25">
      <c r="A305624" s="1"/>
    </row>
    <row r="305625" spans="1:1" x14ac:dyDescent="0.25">
      <c r="A305625" s="1"/>
    </row>
    <row r="305626" spans="1:1" x14ac:dyDescent="0.25">
      <c r="A305626" s="1"/>
    </row>
    <row r="305627" spans="1:1" x14ac:dyDescent="0.25">
      <c r="A305627" s="1"/>
    </row>
    <row r="305628" spans="1:1" x14ac:dyDescent="0.25">
      <c r="A305628" s="1"/>
    </row>
    <row r="305629" spans="1:1" x14ac:dyDescent="0.25">
      <c r="A305629" s="1"/>
    </row>
    <row r="305630" spans="1:1" x14ac:dyDescent="0.25">
      <c r="A305630" s="1"/>
    </row>
    <row r="305631" spans="1:1" x14ac:dyDescent="0.25">
      <c r="A305631" s="1"/>
    </row>
    <row r="305632" spans="1:1" x14ac:dyDescent="0.25">
      <c r="A305632" s="1"/>
    </row>
    <row r="305633" spans="1:1" x14ac:dyDescent="0.25">
      <c r="A305633" s="1"/>
    </row>
    <row r="305634" spans="1:1" x14ac:dyDescent="0.25">
      <c r="A305634" s="1"/>
    </row>
    <row r="305635" spans="1:1" x14ac:dyDescent="0.25">
      <c r="A305635" s="1"/>
    </row>
    <row r="305636" spans="1:1" x14ac:dyDescent="0.25">
      <c r="A305636" s="1"/>
    </row>
    <row r="305637" spans="1:1" x14ac:dyDescent="0.25">
      <c r="A305637" s="1"/>
    </row>
    <row r="305638" spans="1:1" x14ac:dyDescent="0.25">
      <c r="A305638" s="1"/>
    </row>
    <row r="305639" spans="1:1" x14ac:dyDescent="0.25">
      <c r="A305639" s="1"/>
    </row>
    <row r="305640" spans="1:1" x14ac:dyDescent="0.25">
      <c r="A305640" s="1"/>
    </row>
    <row r="305641" spans="1:1" x14ac:dyDescent="0.25">
      <c r="A305641" s="1"/>
    </row>
    <row r="305642" spans="1:1" x14ac:dyDescent="0.25">
      <c r="A305642" s="1"/>
    </row>
    <row r="305643" spans="1:1" x14ac:dyDescent="0.25">
      <c r="A305643" s="1"/>
    </row>
    <row r="305644" spans="1:1" x14ac:dyDescent="0.25">
      <c r="A305644" s="1"/>
    </row>
    <row r="305645" spans="1:1" x14ac:dyDescent="0.25">
      <c r="A305645" s="1"/>
    </row>
    <row r="305646" spans="1:1" x14ac:dyDescent="0.25">
      <c r="A305646" s="1"/>
    </row>
    <row r="305647" spans="1:1" x14ac:dyDescent="0.25">
      <c r="A305647" s="1"/>
    </row>
    <row r="305648" spans="1:1" x14ac:dyDescent="0.25">
      <c r="A305648" s="1"/>
    </row>
    <row r="305649" spans="1:1" x14ac:dyDescent="0.25">
      <c r="A305649" s="1"/>
    </row>
    <row r="305650" spans="1:1" x14ac:dyDescent="0.25">
      <c r="A305650" s="1"/>
    </row>
    <row r="305651" spans="1:1" x14ac:dyDescent="0.25">
      <c r="A305651" s="1"/>
    </row>
    <row r="305652" spans="1:1" x14ac:dyDescent="0.25">
      <c r="A305652" s="1"/>
    </row>
    <row r="305653" spans="1:1" x14ac:dyDescent="0.25">
      <c r="A305653" s="1"/>
    </row>
    <row r="305654" spans="1:1" x14ac:dyDescent="0.25">
      <c r="A305654" s="1"/>
    </row>
    <row r="305655" spans="1:1" x14ac:dyDescent="0.25">
      <c r="A305655" s="1"/>
    </row>
    <row r="305656" spans="1:1" x14ac:dyDescent="0.25">
      <c r="A305656" s="1"/>
    </row>
    <row r="305657" spans="1:1" x14ac:dyDescent="0.25">
      <c r="A305657" s="1"/>
    </row>
    <row r="305658" spans="1:1" x14ac:dyDescent="0.25">
      <c r="A305658" s="1"/>
    </row>
    <row r="305659" spans="1:1" x14ac:dyDescent="0.25">
      <c r="A305659" s="1"/>
    </row>
    <row r="305660" spans="1:1" x14ac:dyDescent="0.25">
      <c r="A305660" s="1"/>
    </row>
    <row r="305661" spans="1:1" x14ac:dyDescent="0.25">
      <c r="A305661" s="1"/>
    </row>
    <row r="305662" spans="1:1" x14ac:dyDescent="0.25">
      <c r="A305662" s="1"/>
    </row>
    <row r="305663" spans="1:1" x14ac:dyDescent="0.25">
      <c r="A305663" s="1"/>
    </row>
    <row r="305664" spans="1:1" x14ac:dyDescent="0.25">
      <c r="A305664" s="1"/>
    </row>
    <row r="305665" spans="1:1" x14ac:dyDescent="0.25">
      <c r="A305665" s="1"/>
    </row>
    <row r="305666" spans="1:1" x14ac:dyDescent="0.25">
      <c r="A305666" s="1"/>
    </row>
    <row r="305667" spans="1:1" x14ac:dyDescent="0.25">
      <c r="A305667" s="1"/>
    </row>
    <row r="305668" spans="1:1" x14ac:dyDescent="0.25">
      <c r="A305668" s="1"/>
    </row>
    <row r="305669" spans="1:1" x14ac:dyDescent="0.25">
      <c r="A305669" s="1"/>
    </row>
    <row r="305670" spans="1:1" x14ac:dyDescent="0.25">
      <c r="A305670" s="1"/>
    </row>
    <row r="305671" spans="1:1" x14ac:dyDescent="0.25">
      <c r="A305671" s="1"/>
    </row>
    <row r="305672" spans="1:1" x14ac:dyDescent="0.25">
      <c r="A305672" s="1"/>
    </row>
    <row r="305673" spans="1:1" x14ac:dyDescent="0.25">
      <c r="A305673" s="1"/>
    </row>
    <row r="305674" spans="1:1" x14ac:dyDescent="0.25">
      <c r="A305674" s="1"/>
    </row>
    <row r="305675" spans="1:1" x14ac:dyDescent="0.25">
      <c r="A305675" s="1"/>
    </row>
    <row r="305676" spans="1:1" x14ac:dyDescent="0.25">
      <c r="A305676" s="1"/>
    </row>
    <row r="305677" spans="1:1" x14ac:dyDescent="0.25">
      <c r="A305677" s="1"/>
    </row>
    <row r="305678" spans="1:1" x14ac:dyDescent="0.25">
      <c r="A305678" s="1"/>
    </row>
    <row r="305679" spans="1:1" x14ac:dyDescent="0.25">
      <c r="A305679" s="1"/>
    </row>
    <row r="305680" spans="1:1" x14ac:dyDescent="0.25">
      <c r="A305680" s="1"/>
    </row>
    <row r="305681" spans="1:1" x14ac:dyDescent="0.25">
      <c r="A305681" s="1"/>
    </row>
    <row r="305682" spans="1:1" x14ac:dyDescent="0.25">
      <c r="A305682" s="1"/>
    </row>
    <row r="305683" spans="1:1" x14ac:dyDescent="0.25">
      <c r="A305683" s="1"/>
    </row>
    <row r="305684" spans="1:1" x14ac:dyDescent="0.25">
      <c r="A305684" s="1"/>
    </row>
    <row r="305685" spans="1:1" x14ac:dyDescent="0.25">
      <c r="A305685" s="1"/>
    </row>
    <row r="305686" spans="1:1" x14ac:dyDescent="0.25">
      <c r="A305686" s="1"/>
    </row>
    <row r="305687" spans="1:1" x14ac:dyDescent="0.25">
      <c r="A305687" s="1"/>
    </row>
    <row r="305688" spans="1:1" x14ac:dyDescent="0.25">
      <c r="A305688" s="1"/>
    </row>
    <row r="305689" spans="1:1" x14ac:dyDescent="0.25">
      <c r="A305689" s="1"/>
    </row>
    <row r="305690" spans="1:1" x14ac:dyDescent="0.25">
      <c r="A305690" s="1"/>
    </row>
    <row r="305691" spans="1:1" x14ac:dyDescent="0.25">
      <c r="A305691" s="1"/>
    </row>
    <row r="305692" spans="1:1" x14ac:dyDescent="0.25">
      <c r="A305692" s="1"/>
    </row>
    <row r="305693" spans="1:1" x14ac:dyDescent="0.25">
      <c r="A305693" s="1"/>
    </row>
    <row r="305694" spans="1:1" x14ac:dyDescent="0.25">
      <c r="A305694" s="1"/>
    </row>
    <row r="305695" spans="1:1" x14ac:dyDescent="0.25">
      <c r="A305695" s="1"/>
    </row>
    <row r="305696" spans="1:1" x14ac:dyDescent="0.25">
      <c r="A305696" s="1"/>
    </row>
    <row r="305697" spans="1:1" x14ac:dyDescent="0.25">
      <c r="A305697" s="1"/>
    </row>
    <row r="305698" spans="1:1" x14ac:dyDescent="0.25">
      <c r="A305698" s="1"/>
    </row>
    <row r="305699" spans="1:1" x14ac:dyDescent="0.25">
      <c r="A305699" s="1"/>
    </row>
    <row r="305700" spans="1:1" x14ac:dyDescent="0.25">
      <c r="A305700" s="1"/>
    </row>
    <row r="305701" spans="1:1" x14ac:dyDescent="0.25">
      <c r="A305701" s="1"/>
    </row>
    <row r="305702" spans="1:1" x14ac:dyDescent="0.25">
      <c r="A305702" s="1"/>
    </row>
    <row r="305703" spans="1:1" x14ac:dyDescent="0.25">
      <c r="A305703" s="1"/>
    </row>
    <row r="305704" spans="1:1" x14ac:dyDescent="0.25">
      <c r="A305704" s="1"/>
    </row>
    <row r="305705" spans="1:1" x14ac:dyDescent="0.25">
      <c r="A305705" s="1"/>
    </row>
    <row r="305706" spans="1:1" x14ac:dyDescent="0.25">
      <c r="A305706" s="1"/>
    </row>
    <row r="305707" spans="1:1" x14ac:dyDescent="0.25">
      <c r="A305707" s="1"/>
    </row>
    <row r="305708" spans="1:1" x14ac:dyDescent="0.25">
      <c r="A305708" s="1"/>
    </row>
    <row r="305709" spans="1:1" x14ac:dyDescent="0.25">
      <c r="A305709" s="1"/>
    </row>
    <row r="305710" spans="1:1" x14ac:dyDescent="0.25">
      <c r="A305710" s="1"/>
    </row>
    <row r="305711" spans="1:1" x14ac:dyDescent="0.25">
      <c r="A305711" s="1"/>
    </row>
    <row r="305712" spans="1:1" x14ac:dyDescent="0.25">
      <c r="A305712" s="1"/>
    </row>
    <row r="305713" spans="1:1" x14ac:dyDescent="0.25">
      <c r="A305713" s="1"/>
    </row>
    <row r="305714" spans="1:1" x14ac:dyDescent="0.25">
      <c r="A305714" s="1"/>
    </row>
    <row r="305715" spans="1:1" x14ac:dyDescent="0.25">
      <c r="A305715" s="1"/>
    </row>
    <row r="305716" spans="1:1" x14ac:dyDescent="0.25">
      <c r="A305716" s="1"/>
    </row>
    <row r="305717" spans="1:1" x14ac:dyDescent="0.25">
      <c r="A305717" s="1"/>
    </row>
    <row r="305718" spans="1:1" x14ac:dyDescent="0.25">
      <c r="A305718" s="1"/>
    </row>
    <row r="305719" spans="1:1" x14ac:dyDescent="0.25">
      <c r="A305719" s="1"/>
    </row>
    <row r="305720" spans="1:1" x14ac:dyDescent="0.25">
      <c r="A305720" s="1"/>
    </row>
    <row r="305721" spans="1:1" x14ac:dyDescent="0.25">
      <c r="A305721" s="1"/>
    </row>
    <row r="305722" spans="1:1" x14ac:dyDescent="0.25">
      <c r="A305722" s="1"/>
    </row>
    <row r="305723" spans="1:1" x14ac:dyDescent="0.25">
      <c r="A305723" s="1"/>
    </row>
    <row r="305724" spans="1:1" x14ac:dyDescent="0.25">
      <c r="A305724" s="1"/>
    </row>
    <row r="305725" spans="1:1" x14ac:dyDescent="0.25">
      <c r="A305725" s="1"/>
    </row>
    <row r="305726" spans="1:1" x14ac:dyDescent="0.25">
      <c r="A305726" s="1"/>
    </row>
    <row r="305727" spans="1:1" x14ac:dyDescent="0.25">
      <c r="A305727" s="1"/>
    </row>
    <row r="305728" spans="1:1" x14ac:dyDescent="0.25">
      <c r="A305728" s="1"/>
    </row>
    <row r="305729" spans="1:1" x14ac:dyDescent="0.25">
      <c r="A305729" s="1"/>
    </row>
    <row r="305730" spans="1:1" x14ac:dyDescent="0.25">
      <c r="A305730" s="1"/>
    </row>
    <row r="305731" spans="1:1" x14ac:dyDescent="0.25">
      <c r="A305731" s="1"/>
    </row>
    <row r="305732" spans="1:1" x14ac:dyDescent="0.25">
      <c r="A305732" s="1"/>
    </row>
    <row r="305733" spans="1:1" x14ac:dyDescent="0.25">
      <c r="A305733" s="1"/>
    </row>
    <row r="305734" spans="1:1" x14ac:dyDescent="0.25">
      <c r="A305734" s="1"/>
    </row>
    <row r="305735" spans="1:1" x14ac:dyDescent="0.25">
      <c r="A305735" s="1"/>
    </row>
    <row r="305736" spans="1:1" x14ac:dyDescent="0.25">
      <c r="A305736" s="1"/>
    </row>
    <row r="305737" spans="1:1" x14ac:dyDescent="0.25">
      <c r="A305737" s="1"/>
    </row>
    <row r="305738" spans="1:1" x14ac:dyDescent="0.25">
      <c r="A305738" s="1"/>
    </row>
    <row r="305739" spans="1:1" x14ac:dyDescent="0.25">
      <c r="A305739" s="1"/>
    </row>
    <row r="305740" spans="1:1" x14ac:dyDescent="0.25">
      <c r="A305740" s="1"/>
    </row>
    <row r="305741" spans="1:1" x14ac:dyDescent="0.25">
      <c r="A305741" s="1"/>
    </row>
    <row r="305742" spans="1:1" x14ac:dyDescent="0.25">
      <c r="A305742" s="1"/>
    </row>
    <row r="305743" spans="1:1" x14ac:dyDescent="0.25">
      <c r="A305743" s="1"/>
    </row>
    <row r="305744" spans="1:1" x14ac:dyDescent="0.25">
      <c r="A305744" s="1"/>
    </row>
    <row r="305745" spans="1:1" x14ac:dyDescent="0.25">
      <c r="A305745" s="1"/>
    </row>
    <row r="305746" spans="1:1" x14ac:dyDescent="0.25">
      <c r="A305746" s="1"/>
    </row>
    <row r="305747" spans="1:1" x14ac:dyDescent="0.25">
      <c r="A305747" s="1"/>
    </row>
    <row r="305748" spans="1:1" x14ac:dyDescent="0.25">
      <c r="A305748" s="1"/>
    </row>
    <row r="305749" spans="1:1" x14ac:dyDescent="0.25">
      <c r="A305749" s="1"/>
    </row>
    <row r="305750" spans="1:1" x14ac:dyDescent="0.25">
      <c r="A305750" s="1"/>
    </row>
    <row r="305751" spans="1:1" x14ac:dyDescent="0.25">
      <c r="A305751" s="1"/>
    </row>
    <row r="305752" spans="1:1" x14ac:dyDescent="0.25">
      <c r="A305752" s="1"/>
    </row>
    <row r="305753" spans="1:1" x14ac:dyDescent="0.25">
      <c r="A305753" s="1"/>
    </row>
    <row r="305754" spans="1:1" x14ac:dyDescent="0.25">
      <c r="A305754" s="1"/>
    </row>
    <row r="305755" spans="1:1" x14ac:dyDescent="0.25">
      <c r="A305755" s="1"/>
    </row>
    <row r="305756" spans="1:1" x14ac:dyDescent="0.25">
      <c r="A305756" s="1"/>
    </row>
    <row r="305757" spans="1:1" x14ac:dyDescent="0.25">
      <c r="A305757" s="1"/>
    </row>
    <row r="305758" spans="1:1" x14ac:dyDescent="0.25">
      <c r="A305758" s="1"/>
    </row>
    <row r="305759" spans="1:1" x14ac:dyDescent="0.25">
      <c r="A305759" s="1"/>
    </row>
    <row r="305760" spans="1:1" x14ac:dyDescent="0.25">
      <c r="A305760" s="1"/>
    </row>
    <row r="305761" spans="1:1" x14ac:dyDescent="0.25">
      <c r="A305761" s="1"/>
    </row>
    <row r="305762" spans="1:1" x14ac:dyDescent="0.25">
      <c r="A305762" s="1"/>
    </row>
    <row r="305763" spans="1:1" x14ac:dyDescent="0.25">
      <c r="A305763" s="1"/>
    </row>
    <row r="305764" spans="1:1" x14ac:dyDescent="0.25">
      <c r="A305764" s="1"/>
    </row>
    <row r="305765" spans="1:1" x14ac:dyDescent="0.25">
      <c r="A305765" s="1"/>
    </row>
    <row r="305766" spans="1:1" x14ac:dyDescent="0.25">
      <c r="A305766" s="1"/>
    </row>
    <row r="305767" spans="1:1" x14ac:dyDescent="0.25">
      <c r="A305767" s="1"/>
    </row>
    <row r="305768" spans="1:1" x14ac:dyDescent="0.25">
      <c r="A305768" s="1"/>
    </row>
    <row r="305769" spans="1:1" x14ac:dyDescent="0.25">
      <c r="A305769" s="1"/>
    </row>
    <row r="305770" spans="1:1" x14ac:dyDescent="0.25">
      <c r="A305770" s="1"/>
    </row>
    <row r="305771" spans="1:1" x14ac:dyDescent="0.25">
      <c r="A305771" s="1"/>
    </row>
    <row r="305772" spans="1:1" x14ac:dyDescent="0.25">
      <c r="A305772" s="1"/>
    </row>
    <row r="305773" spans="1:1" x14ac:dyDescent="0.25">
      <c r="A305773" s="1"/>
    </row>
    <row r="305774" spans="1:1" x14ac:dyDescent="0.25">
      <c r="A305774" s="1"/>
    </row>
    <row r="305775" spans="1:1" x14ac:dyDescent="0.25">
      <c r="A305775" s="1"/>
    </row>
    <row r="305776" spans="1:1" x14ac:dyDescent="0.25">
      <c r="A305776" s="1"/>
    </row>
    <row r="305777" spans="1:1" x14ac:dyDescent="0.25">
      <c r="A305777" s="1"/>
    </row>
    <row r="305778" spans="1:1" x14ac:dyDescent="0.25">
      <c r="A305778" s="1"/>
    </row>
    <row r="305779" spans="1:1" x14ac:dyDescent="0.25">
      <c r="A305779" s="1"/>
    </row>
    <row r="305780" spans="1:1" x14ac:dyDescent="0.25">
      <c r="A305780" s="1"/>
    </row>
    <row r="305781" spans="1:1" x14ac:dyDescent="0.25">
      <c r="A305781" s="1"/>
    </row>
    <row r="305782" spans="1:1" x14ac:dyDescent="0.25">
      <c r="A305782" s="1"/>
    </row>
    <row r="305783" spans="1:1" x14ac:dyDescent="0.25">
      <c r="A305783" s="1"/>
    </row>
    <row r="305784" spans="1:1" x14ac:dyDescent="0.25">
      <c r="A305784" s="1"/>
    </row>
    <row r="305785" spans="1:1" x14ac:dyDescent="0.25">
      <c r="A305785" s="1"/>
    </row>
    <row r="305786" spans="1:1" x14ac:dyDescent="0.25">
      <c r="A305786" s="1"/>
    </row>
    <row r="305787" spans="1:1" x14ac:dyDescent="0.25">
      <c r="A305787" s="1"/>
    </row>
    <row r="305788" spans="1:1" x14ac:dyDescent="0.25">
      <c r="A305788" s="1"/>
    </row>
    <row r="305789" spans="1:1" x14ac:dyDescent="0.25">
      <c r="A305789" s="1"/>
    </row>
    <row r="305790" spans="1:1" x14ac:dyDescent="0.25">
      <c r="A305790" s="1"/>
    </row>
    <row r="305791" spans="1:1" x14ac:dyDescent="0.25">
      <c r="A305791" s="1"/>
    </row>
    <row r="305792" spans="1:1" x14ac:dyDescent="0.25">
      <c r="A305792" s="1"/>
    </row>
    <row r="305793" spans="1:1" x14ac:dyDescent="0.25">
      <c r="A305793" s="1"/>
    </row>
    <row r="305794" spans="1:1" x14ac:dyDescent="0.25">
      <c r="A305794" s="1"/>
    </row>
    <row r="305795" spans="1:1" x14ac:dyDescent="0.25">
      <c r="A305795" s="1"/>
    </row>
    <row r="305796" spans="1:1" x14ac:dyDescent="0.25">
      <c r="A305796" s="1"/>
    </row>
    <row r="305797" spans="1:1" x14ac:dyDescent="0.25">
      <c r="A305797" s="1"/>
    </row>
    <row r="305798" spans="1:1" x14ac:dyDescent="0.25">
      <c r="A305798" s="1"/>
    </row>
    <row r="305799" spans="1:1" x14ac:dyDescent="0.25">
      <c r="A305799" s="1"/>
    </row>
    <row r="305800" spans="1:1" x14ac:dyDescent="0.25">
      <c r="A305800" s="1"/>
    </row>
    <row r="305801" spans="1:1" x14ac:dyDescent="0.25">
      <c r="A305801" s="1"/>
    </row>
    <row r="305802" spans="1:1" x14ac:dyDescent="0.25">
      <c r="A305802" s="1"/>
    </row>
    <row r="305803" spans="1:1" x14ac:dyDescent="0.25">
      <c r="A305803" s="1"/>
    </row>
    <row r="305804" spans="1:1" x14ac:dyDescent="0.25">
      <c r="A305804" s="1"/>
    </row>
    <row r="305805" spans="1:1" x14ac:dyDescent="0.25">
      <c r="A305805" s="1"/>
    </row>
    <row r="305806" spans="1:1" x14ac:dyDescent="0.25">
      <c r="A305806" s="1"/>
    </row>
    <row r="305807" spans="1:1" x14ac:dyDescent="0.25">
      <c r="A305807" s="1"/>
    </row>
    <row r="305808" spans="1:1" x14ac:dyDescent="0.25">
      <c r="A305808" s="1"/>
    </row>
    <row r="305809" spans="1:1" x14ac:dyDescent="0.25">
      <c r="A305809" s="1"/>
    </row>
    <row r="305810" spans="1:1" x14ac:dyDescent="0.25">
      <c r="A305810" s="1"/>
    </row>
    <row r="305811" spans="1:1" x14ac:dyDescent="0.25">
      <c r="A305811" s="1"/>
    </row>
    <row r="305812" spans="1:1" x14ac:dyDescent="0.25">
      <c r="A305812" s="1"/>
    </row>
    <row r="305813" spans="1:1" x14ac:dyDescent="0.25">
      <c r="A305813" s="1"/>
    </row>
    <row r="305814" spans="1:1" x14ac:dyDescent="0.25">
      <c r="A305814" s="1"/>
    </row>
    <row r="305815" spans="1:1" x14ac:dyDescent="0.25">
      <c r="A305815" s="1"/>
    </row>
    <row r="305816" spans="1:1" x14ac:dyDescent="0.25">
      <c r="A305816" s="1"/>
    </row>
    <row r="305817" spans="1:1" x14ac:dyDescent="0.25">
      <c r="A305817" s="1"/>
    </row>
    <row r="305818" spans="1:1" x14ac:dyDescent="0.25">
      <c r="A305818" s="1"/>
    </row>
    <row r="305819" spans="1:1" x14ac:dyDescent="0.25">
      <c r="A305819" s="1"/>
    </row>
    <row r="305820" spans="1:1" x14ac:dyDescent="0.25">
      <c r="A305820" s="1"/>
    </row>
    <row r="305821" spans="1:1" x14ac:dyDescent="0.25">
      <c r="A305821" s="1"/>
    </row>
    <row r="305822" spans="1:1" x14ac:dyDescent="0.25">
      <c r="A305822" s="1"/>
    </row>
    <row r="305823" spans="1:1" x14ac:dyDescent="0.25">
      <c r="A305823" s="1"/>
    </row>
    <row r="305824" spans="1:1" x14ac:dyDescent="0.25">
      <c r="A305824" s="1"/>
    </row>
    <row r="305825" spans="1:1" x14ac:dyDescent="0.25">
      <c r="A305825" s="1"/>
    </row>
    <row r="305826" spans="1:1" x14ac:dyDescent="0.25">
      <c r="A305826" s="1"/>
    </row>
    <row r="305827" spans="1:1" x14ac:dyDescent="0.25">
      <c r="A305827" s="1"/>
    </row>
    <row r="305828" spans="1:1" x14ac:dyDescent="0.25">
      <c r="A305828" s="1"/>
    </row>
    <row r="305829" spans="1:1" x14ac:dyDescent="0.25">
      <c r="A305829" s="1"/>
    </row>
    <row r="305830" spans="1:1" x14ac:dyDescent="0.25">
      <c r="A305830" s="1"/>
    </row>
    <row r="305831" spans="1:1" x14ac:dyDescent="0.25">
      <c r="A305831" s="1"/>
    </row>
    <row r="305832" spans="1:1" x14ac:dyDescent="0.25">
      <c r="A305832" s="1"/>
    </row>
    <row r="305833" spans="1:1" x14ac:dyDescent="0.25">
      <c r="A305833" s="1"/>
    </row>
    <row r="305834" spans="1:1" x14ac:dyDescent="0.25">
      <c r="A305834" s="1"/>
    </row>
    <row r="305835" spans="1:1" x14ac:dyDescent="0.25">
      <c r="A305835" s="1"/>
    </row>
    <row r="305836" spans="1:1" x14ac:dyDescent="0.25">
      <c r="A305836" s="1"/>
    </row>
    <row r="305837" spans="1:1" x14ac:dyDescent="0.25">
      <c r="A305837" s="1"/>
    </row>
    <row r="305838" spans="1:1" x14ac:dyDescent="0.25">
      <c r="A305838" s="1"/>
    </row>
    <row r="305839" spans="1:1" x14ac:dyDescent="0.25">
      <c r="A305839" s="1"/>
    </row>
    <row r="305840" spans="1:1" x14ac:dyDescent="0.25">
      <c r="A305840" s="1"/>
    </row>
    <row r="305841" spans="1:1" x14ac:dyDescent="0.25">
      <c r="A305841" s="1"/>
    </row>
    <row r="305842" spans="1:1" x14ac:dyDescent="0.25">
      <c r="A305842" s="1"/>
    </row>
    <row r="305843" spans="1:1" x14ac:dyDescent="0.25">
      <c r="A305843" s="1"/>
    </row>
    <row r="305844" spans="1:1" x14ac:dyDescent="0.25">
      <c r="A305844" s="1"/>
    </row>
    <row r="305845" spans="1:1" x14ac:dyDescent="0.25">
      <c r="A305845" s="1"/>
    </row>
    <row r="305846" spans="1:1" x14ac:dyDescent="0.25">
      <c r="A305846" s="1"/>
    </row>
    <row r="305847" spans="1:1" x14ac:dyDescent="0.25">
      <c r="A305847" s="1"/>
    </row>
    <row r="305848" spans="1:1" x14ac:dyDescent="0.25">
      <c r="A305848" s="1"/>
    </row>
    <row r="305849" spans="1:1" x14ac:dyDescent="0.25">
      <c r="A305849" s="1"/>
    </row>
    <row r="305850" spans="1:1" x14ac:dyDescent="0.25">
      <c r="A305850" s="1"/>
    </row>
    <row r="305851" spans="1:1" x14ac:dyDescent="0.25">
      <c r="A305851" s="1"/>
    </row>
    <row r="305852" spans="1:1" x14ac:dyDescent="0.25">
      <c r="A305852" s="1"/>
    </row>
    <row r="305853" spans="1:1" x14ac:dyDescent="0.25">
      <c r="A305853" s="1"/>
    </row>
    <row r="305854" spans="1:1" x14ac:dyDescent="0.25">
      <c r="A305854" s="1"/>
    </row>
    <row r="305855" spans="1:1" x14ac:dyDescent="0.25">
      <c r="A305855" s="1"/>
    </row>
    <row r="305856" spans="1:1" x14ac:dyDescent="0.25">
      <c r="A305856" s="1"/>
    </row>
    <row r="305857" spans="1:1" x14ac:dyDescent="0.25">
      <c r="A305857" s="1"/>
    </row>
    <row r="305858" spans="1:1" x14ac:dyDescent="0.25">
      <c r="A305858" s="1"/>
    </row>
    <row r="305859" spans="1:1" x14ac:dyDescent="0.25">
      <c r="A305859" s="1"/>
    </row>
    <row r="305860" spans="1:1" x14ac:dyDescent="0.25">
      <c r="A305860" s="1"/>
    </row>
    <row r="305861" spans="1:1" x14ac:dyDescent="0.25">
      <c r="A305861" s="1"/>
    </row>
    <row r="305862" spans="1:1" x14ac:dyDescent="0.25">
      <c r="A305862" s="1"/>
    </row>
    <row r="305863" spans="1:1" x14ac:dyDescent="0.25">
      <c r="A305863" s="1"/>
    </row>
    <row r="305864" spans="1:1" x14ac:dyDescent="0.25">
      <c r="A305864" s="1"/>
    </row>
    <row r="305865" spans="1:1" x14ac:dyDescent="0.25">
      <c r="A305865" s="1"/>
    </row>
    <row r="305866" spans="1:1" x14ac:dyDescent="0.25">
      <c r="A305866" s="1"/>
    </row>
    <row r="305867" spans="1:1" x14ac:dyDescent="0.25">
      <c r="A305867" s="1"/>
    </row>
    <row r="305868" spans="1:1" x14ac:dyDescent="0.25">
      <c r="A305868" s="1"/>
    </row>
    <row r="305869" spans="1:1" x14ac:dyDescent="0.25">
      <c r="A305869" s="1"/>
    </row>
    <row r="305870" spans="1:1" x14ac:dyDescent="0.25">
      <c r="A305870" s="1"/>
    </row>
    <row r="305871" spans="1:1" x14ac:dyDescent="0.25">
      <c r="A305871" s="1"/>
    </row>
    <row r="305872" spans="1:1" x14ac:dyDescent="0.25">
      <c r="A305872" s="1"/>
    </row>
    <row r="305873" spans="1:1" x14ac:dyDescent="0.25">
      <c r="A305873" s="1"/>
    </row>
    <row r="305874" spans="1:1" x14ac:dyDescent="0.25">
      <c r="A305874" s="1"/>
    </row>
    <row r="305875" spans="1:1" x14ac:dyDescent="0.25">
      <c r="A305875" s="1"/>
    </row>
    <row r="305876" spans="1:1" x14ac:dyDescent="0.25">
      <c r="A305876" s="1"/>
    </row>
    <row r="305877" spans="1:1" x14ac:dyDescent="0.25">
      <c r="A305877" s="1"/>
    </row>
    <row r="305878" spans="1:1" x14ac:dyDescent="0.25">
      <c r="A305878" s="1"/>
    </row>
    <row r="305879" spans="1:1" x14ac:dyDescent="0.25">
      <c r="A305879" s="1"/>
    </row>
    <row r="305880" spans="1:1" x14ac:dyDescent="0.25">
      <c r="A305880" s="1"/>
    </row>
    <row r="305881" spans="1:1" x14ac:dyDescent="0.25">
      <c r="A305881" s="1"/>
    </row>
    <row r="305882" spans="1:1" x14ac:dyDescent="0.25">
      <c r="A305882" s="1"/>
    </row>
    <row r="305883" spans="1:1" x14ac:dyDescent="0.25">
      <c r="A305883" s="1"/>
    </row>
    <row r="305884" spans="1:1" x14ac:dyDescent="0.25">
      <c r="A305884" s="1"/>
    </row>
    <row r="305885" spans="1:1" x14ac:dyDescent="0.25">
      <c r="A305885" s="1"/>
    </row>
    <row r="305886" spans="1:1" x14ac:dyDescent="0.25">
      <c r="A305886" s="1"/>
    </row>
    <row r="305887" spans="1:1" x14ac:dyDescent="0.25">
      <c r="A305887" s="1"/>
    </row>
    <row r="305888" spans="1:1" x14ac:dyDescent="0.25">
      <c r="A305888" s="1"/>
    </row>
    <row r="305889" spans="1:1" x14ac:dyDescent="0.25">
      <c r="A305889" s="1"/>
    </row>
    <row r="305890" spans="1:1" x14ac:dyDescent="0.25">
      <c r="A305890" s="1"/>
    </row>
    <row r="305891" spans="1:1" x14ac:dyDescent="0.25">
      <c r="A305891" s="1"/>
    </row>
    <row r="305892" spans="1:1" x14ac:dyDescent="0.25">
      <c r="A305892" s="1"/>
    </row>
    <row r="305893" spans="1:1" x14ac:dyDescent="0.25">
      <c r="A305893" s="1"/>
    </row>
    <row r="305894" spans="1:1" x14ac:dyDescent="0.25">
      <c r="A305894" s="1"/>
    </row>
    <row r="305895" spans="1:1" x14ac:dyDescent="0.25">
      <c r="A305895" s="1"/>
    </row>
    <row r="305896" spans="1:1" x14ac:dyDescent="0.25">
      <c r="A305896" s="1"/>
    </row>
    <row r="305897" spans="1:1" x14ac:dyDescent="0.25">
      <c r="A305897" s="1"/>
    </row>
    <row r="305898" spans="1:1" x14ac:dyDescent="0.25">
      <c r="A305898" s="1"/>
    </row>
    <row r="305899" spans="1:1" x14ac:dyDescent="0.25">
      <c r="A305899" s="1"/>
    </row>
    <row r="305900" spans="1:1" x14ac:dyDescent="0.25">
      <c r="A305900" s="1"/>
    </row>
    <row r="305901" spans="1:1" x14ac:dyDescent="0.25">
      <c r="A305901" s="1"/>
    </row>
    <row r="305902" spans="1:1" x14ac:dyDescent="0.25">
      <c r="A305902" s="1"/>
    </row>
    <row r="305903" spans="1:1" x14ac:dyDescent="0.25">
      <c r="A305903" s="1"/>
    </row>
    <row r="305904" spans="1:1" x14ac:dyDescent="0.25">
      <c r="A305904" s="1"/>
    </row>
    <row r="305905" spans="1:1" x14ac:dyDescent="0.25">
      <c r="A305905" s="1"/>
    </row>
    <row r="305906" spans="1:1" x14ac:dyDescent="0.25">
      <c r="A305906" s="1"/>
    </row>
    <row r="305907" spans="1:1" x14ac:dyDescent="0.25">
      <c r="A305907" s="1"/>
    </row>
    <row r="305908" spans="1:1" x14ac:dyDescent="0.25">
      <c r="A305908" s="1"/>
    </row>
    <row r="305909" spans="1:1" x14ac:dyDescent="0.25">
      <c r="A305909" s="1"/>
    </row>
    <row r="305910" spans="1:1" x14ac:dyDescent="0.25">
      <c r="A305910" s="1"/>
    </row>
    <row r="305911" spans="1:1" x14ac:dyDescent="0.25">
      <c r="A305911" s="1"/>
    </row>
    <row r="305912" spans="1:1" x14ac:dyDescent="0.25">
      <c r="A305912" s="1"/>
    </row>
    <row r="305913" spans="1:1" x14ac:dyDescent="0.25">
      <c r="A305913" s="1"/>
    </row>
    <row r="305914" spans="1:1" x14ac:dyDescent="0.25">
      <c r="A305914" s="1"/>
    </row>
    <row r="305915" spans="1:1" x14ac:dyDescent="0.25">
      <c r="A305915" s="1"/>
    </row>
    <row r="305916" spans="1:1" x14ac:dyDescent="0.25">
      <c r="A305916" s="1"/>
    </row>
    <row r="305917" spans="1:1" x14ac:dyDescent="0.25">
      <c r="A305917" s="1"/>
    </row>
    <row r="305918" spans="1:1" x14ac:dyDescent="0.25">
      <c r="A305918" s="1"/>
    </row>
    <row r="305919" spans="1:1" x14ac:dyDescent="0.25">
      <c r="A305919" s="1"/>
    </row>
    <row r="305920" spans="1:1" x14ac:dyDescent="0.25">
      <c r="A305920" s="1"/>
    </row>
    <row r="305921" spans="1:1" x14ac:dyDescent="0.25">
      <c r="A305921" s="1"/>
    </row>
    <row r="305922" spans="1:1" x14ac:dyDescent="0.25">
      <c r="A305922" s="1"/>
    </row>
    <row r="305923" spans="1:1" x14ac:dyDescent="0.25">
      <c r="A305923" s="1"/>
    </row>
    <row r="305924" spans="1:1" x14ac:dyDescent="0.25">
      <c r="A305924" s="1"/>
    </row>
    <row r="305925" spans="1:1" x14ac:dyDescent="0.25">
      <c r="A305925" s="1"/>
    </row>
    <row r="305926" spans="1:1" x14ac:dyDescent="0.25">
      <c r="A305926" s="1"/>
    </row>
    <row r="305927" spans="1:1" x14ac:dyDescent="0.25">
      <c r="A305927" s="1"/>
    </row>
    <row r="305928" spans="1:1" x14ac:dyDescent="0.25">
      <c r="A305928" s="1"/>
    </row>
    <row r="305929" spans="1:1" x14ac:dyDescent="0.25">
      <c r="A305929" s="1"/>
    </row>
    <row r="305930" spans="1:1" x14ac:dyDescent="0.25">
      <c r="A305930" s="1"/>
    </row>
    <row r="305931" spans="1:1" x14ac:dyDescent="0.25">
      <c r="A305931" s="1"/>
    </row>
    <row r="305932" spans="1:1" x14ac:dyDescent="0.25">
      <c r="A305932" s="1"/>
    </row>
    <row r="305933" spans="1:1" x14ac:dyDescent="0.25">
      <c r="A305933" s="1"/>
    </row>
    <row r="305934" spans="1:1" x14ac:dyDescent="0.25">
      <c r="A305934" s="1"/>
    </row>
    <row r="305935" spans="1:1" x14ac:dyDescent="0.25">
      <c r="A305935" s="1"/>
    </row>
    <row r="305936" spans="1:1" x14ac:dyDescent="0.25">
      <c r="A305936" s="1"/>
    </row>
    <row r="305937" spans="1:1" x14ac:dyDescent="0.25">
      <c r="A305937" s="1"/>
    </row>
    <row r="305938" spans="1:1" x14ac:dyDescent="0.25">
      <c r="A305938" s="1"/>
    </row>
    <row r="305939" spans="1:1" x14ac:dyDescent="0.25">
      <c r="A305939" s="1"/>
    </row>
    <row r="305940" spans="1:1" x14ac:dyDescent="0.25">
      <c r="A305940" s="1"/>
    </row>
    <row r="305941" spans="1:1" x14ac:dyDescent="0.25">
      <c r="A305941" s="1"/>
    </row>
    <row r="305942" spans="1:1" x14ac:dyDescent="0.25">
      <c r="A305942" s="1"/>
    </row>
    <row r="305943" spans="1:1" x14ac:dyDescent="0.25">
      <c r="A305943" s="1"/>
    </row>
    <row r="305944" spans="1:1" x14ac:dyDescent="0.25">
      <c r="A305944" s="1"/>
    </row>
    <row r="305945" spans="1:1" x14ac:dyDescent="0.25">
      <c r="A305945" s="1"/>
    </row>
    <row r="305946" spans="1:1" x14ac:dyDescent="0.25">
      <c r="A305946" s="1"/>
    </row>
    <row r="305947" spans="1:1" x14ac:dyDescent="0.25">
      <c r="A305947" s="1"/>
    </row>
    <row r="305948" spans="1:1" x14ac:dyDescent="0.25">
      <c r="A305948" s="1"/>
    </row>
    <row r="305949" spans="1:1" x14ac:dyDescent="0.25">
      <c r="A305949" s="1"/>
    </row>
    <row r="305950" spans="1:1" x14ac:dyDescent="0.25">
      <c r="A305950" s="1"/>
    </row>
    <row r="305951" spans="1:1" x14ac:dyDescent="0.25">
      <c r="A305951" s="1"/>
    </row>
    <row r="305952" spans="1:1" x14ac:dyDescent="0.25">
      <c r="A305952" s="1"/>
    </row>
    <row r="305953" spans="1:1" x14ac:dyDescent="0.25">
      <c r="A305953" s="1"/>
    </row>
    <row r="305954" spans="1:1" x14ac:dyDescent="0.25">
      <c r="A305954" s="1"/>
    </row>
    <row r="305955" spans="1:1" x14ac:dyDescent="0.25">
      <c r="A305955" s="1"/>
    </row>
    <row r="305956" spans="1:1" x14ac:dyDescent="0.25">
      <c r="A305956" s="1"/>
    </row>
    <row r="305957" spans="1:1" x14ac:dyDescent="0.25">
      <c r="A305957" s="1"/>
    </row>
    <row r="305958" spans="1:1" x14ac:dyDescent="0.25">
      <c r="A305958" s="1"/>
    </row>
    <row r="305959" spans="1:1" x14ac:dyDescent="0.25">
      <c r="A305959" s="1"/>
    </row>
    <row r="305960" spans="1:1" x14ac:dyDescent="0.25">
      <c r="A305960" s="1"/>
    </row>
    <row r="305961" spans="1:1" x14ac:dyDescent="0.25">
      <c r="A305961" s="1"/>
    </row>
    <row r="305962" spans="1:1" x14ac:dyDescent="0.25">
      <c r="A305962" s="1"/>
    </row>
    <row r="305963" spans="1:1" x14ac:dyDescent="0.25">
      <c r="A305963" s="1"/>
    </row>
    <row r="305964" spans="1:1" x14ac:dyDescent="0.25">
      <c r="A305964" s="1"/>
    </row>
    <row r="305965" spans="1:1" x14ac:dyDescent="0.25">
      <c r="A305965" s="1"/>
    </row>
    <row r="305966" spans="1:1" x14ac:dyDescent="0.25">
      <c r="A305966" s="1"/>
    </row>
    <row r="305967" spans="1:1" x14ac:dyDescent="0.25">
      <c r="A305967" s="1"/>
    </row>
    <row r="305968" spans="1:1" x14ac:dyDescent="0.25">
      <c r="A305968" s="1"/>
    </row>
    <row r="305969" spans="1:1" x14ac:dyDescent="0.25">
      <c r="A305969" s="1"/>
    </row>
    <row r="305970" spans="1:1" x14ac:dyDescent="0.25">
      <c r="A305970" s="1"/>
    </row>
    <row r="305971" spans="1:1" x14ac:dyDescent="0.25">
      <c r="A305971" s="1"/>
    </row>
    <row r="305972" spans="1:1" x14ac:dyDescent="0.25">
      <c r="A305972" s="1"/>
    </row>
    <row r="305973" spans="1:1" x14ac:dyDescent="0.25">
      <c r="A305973" s="1"/>
    </row>
    <row r="305974" spans="1:1" x14ac:dyDescent="0.25">
      <c r="A305974" s="1"/>
    </row>
    <row r="305975" spans="1:1" x14ac:dyDescent="0.25">
      <c r="A305975" s="1"/>
    </row>
    <row r="305976" spans="1:1" x14ac:dyDescent="0.25">
      <c r="A305976" s="1"/>
    </row>
    <row r="305977" spans="1:1" x14ac:dyDescent="0.25">
      <c r="A305977" s="1"/>
    </row>
    <row r="305978" spans="1:1" x14ac:dyDescent="0.25">
      <c r="A305978" s="1"/>
    </row>
    <row r="305979" spans="1:1" x14ac:dyDescent="0.25">
      <c r="A305979" s="1"/>
    </row>
    <row r="305980" spans="1:1" x14ac:dyDescent="0.25">
      <c r="A305980" s="1"/>
    </row>
    <row r="305981" spans="1:1" x14ac:dyDescent="0.25">
      <c r="A305981" s="1"/>
    </row>
    <row r="305982" spans="1:1" x14ac:dyDescent="0.25">
      <c r="A305982" s="1"/>
    </row>
    <row r="305983" spans="1:1" x14ac:dyDescent="0.25">
      <c r="A305983" s="1"/>
    </row>
    <row r="305984" spans="1:1" x14ac:dyDescent="0.25">
      <c r="A305984" s="1"/>
    </row>
    <row r="305985" spans="1:1" x14ac:dyDescent="0.25">
      <c r="A305985" s="1"/>
    </row>
    <row r="305986" spans="1:1" x14ac:dyDescent="0.25">
      <c r="A305986" s="1"/>
    </row>
    <row r="305987" spans="1:1" x14ac:dyDescent="0.25">
      <c r="A305987" s="1"/>
    </row>
    <row r="305988" spans="1:1" x14ac:dyDescent="0.25">
      <c r="A305988" s="1"/>
    </row>
    <row r="305989" spans="1:1" x14ac:dyDescent="0.25">
      <c r="A305989" s="1"/>
    </row>
    <row r="305990" spans="1:1" x14ac:dyDescent="0.25">
      <c r="A305990" s="1"/>
    </row>
    <row r="305991" spans="1:1" x14ac:dyDescent="0.25">
      <c r="A305991" s="1"/>
    </row>
    <row r="305992" spans="1:1" x14ac:dyDescent="0.25">
      <c r="A305992" s="1"/>
    </row>
    <row r="305993" spans="1:1" x14ac:dyDescent="0.25">
      <c r="A305993" s="1"/>
    </row>
    <row r="305994" spans="1:1" x14ac:dyDescent="0.25">
      <c r="A305994" s="1"/>
    </row>
    <row r="305995" spans="1:1" x14ac:dyDescent="0.25">
      <c r="A305995" s="1"/>
    </row>
    <row r="305996" spans="1:1" x14ac:dyDescent="0.25">
      <c r="A305996" s="1"/>
    </row>
    <row r="305997" spans="1:1" x14ac:dyDescent="0.25">
      <c r="A305997" s="1"/>
    </row>
    <row r="305998" spans="1:1" x14ac:dyDescent="0.25">
      <c r="A305998" s="1"/>
    </row>
    <row r="305999" spans="1:1" x14ac:dyDescent="0.25">
      <c r="A305999" s="1"/>
    </row>
    <row r="306000" spans="1:1" x14ac:dyDescent="0.25">
      <c r="A306000" s="1"/>
    </row>
    <row r="306001" spans="1:1" x14ac:dyDescent="0.25">
      <c r="A306001" s="1"/>
    </row>
    <row r="306002" spans="1:1" x14ac:dyDescent="0.25">
      <c r="A306002" s="1"/>
    </row>
    <row r="306003" spans="1:1" x14ac:dyDescent="0.25">
      <c r="A306003" s="1"/>
    </row>
    <row r="306004" spans="1:1" x14ac:dyDescent="0.25">
      <c r="A306004" s="1"/>
    </row>
    <row r="306005" spans="1:1" x14ac:dyDescent="0.25">
      <c r="A306005" s="1"/>
    </row>
    <row r="306006" spans="1:1" x14ac:dyDescent="0.25">
      <c r="A306006" s="1"/>
    </row>
    <row r="306007" spans="1:1" x14ac:dyDescent="0.25">
      <c r="A306007" s="1"/>
    </row>
    <row r="306008" spans="1:1" x14ac:dyDescent="0.25">
      <c r="A306008" s="1"/>
    </row>
    <row r="306009" spans="1:1" x14ac:dyDescent="0.25">
      <c r="A306009" s="1"/>
    </row>
    <row r="306010" spans="1:1" x14ac:dyDescent="0.25">
      <c r="A306010" s="1"/>
    </row>
    <row r="306011" spans="1:1" x14ac:dyDescent="0.25">
      <c r="A306011" s="1"/>
    </row>
    <row r="306012" spans="1:1" x14ac:dyDescent="0.25">
      <c r="A306012" s="1"/>
    </row>
    <row r="306013" spans="1:1" x14ac:dyDescent="0.25">
      <c r="A306013" s="1"/>
    </row>
    <row r="306014" spans="1:1" x14ac:dyDescent="0.25">
      <c r="A306014" s="1"/>
    </row>
    <row r="306015" spans="1:1" x14ac:dyDescent="0.25">
      <c r="A306015" s="1"/>
    </row>
    <row r="306016" spans="1:1" x14ac:dyDescent="0.25">
      <c r="A306016" s="1"/>
    </row>
    <row r="306017" spans="1:1" x14ac:dyDescent="0.25">
      <c r="A306017" s="1"/>
    </row>
    <row r="306018" spans="1:1" x14ac:dyDescent="0.25">
      <c r="A306018" s="1"/>
    </row>
    <row r="306019" spans="1:1" x14ac:dyDescent="0.25">
      <c r="A306019" s="1"/>
    </row>
    <row r="306020" spans="1:1" x14ac:dyDescent="0.25">
      <c r="A306020" s="1"/>
    </row>
    <row r="306021" spans="1:1" x14ac:dyDescent="0.25">
      <c r="A306021" s="1"/>
    </row>
    <row r="306022" spans="1:1" x14ac:dyDescent="0.25">
      <c r="A306022" s="1"/>
    </row>
    <row r="306023" spans="1:1" x14ac:dyDescent="0.25">
      <c r="A306023" s="1"/>
    </row>
    <row r="306024" spans="1:1" x14ac:dyDescent="0.25">
      <c r="A306024" s="1"/>
    </row>
    <row r="306025" spans="1:1" x14ac:dyDescent="0.25">
      <c r="A306025" s="1"/>
    </row>
    <row r="306026" spans="1:1" x14ac:dyDescent="0.25">
      <c r="A306026" s="1"/>
    </row>
    <row r="306027" spans="1:1" x14ac:dyDescent="0.25">
      <c r="A306027" s="1"/>
    </row>
    <row r="306028" spans="1:1" x14ac:dyDescent="0.25">
      <c r="A306028" s="1"/>
    </row>
    <row r="306029" spans="1:1" x14ac:dyDescent="0.25">
      <c r="A306029" s="1"/>
    </row>
    <row r="306030" spans="1:1" x14ac:dyDescent="0.25">
      <c r="A306030" s="1"/>
    </row>
    <row r="306031" spans="1:1" x14ac:dyDescent="0.25">
      <c r="A306031" s="1"/>
    </row>
    <row r="306032" spans="1:1" x14ac:dyDescent="0.25">
      <c r="A306032" s="1"/>
    </row>
    <row r="306033" spans="1:1" x14ac:dyDescent="0.25">
      <c r="A306033" s="1"/>
    </row>
    <row r="306034" spans="1:1" x14ac:dyDescent="0.25">
      <c r="A306034" s="1"/>
    </row>
    <row r="306035" spans="1:1" x14ac:dyDescent="0.25">
      <c r="A306035" s="1"/>
    </row>
    <row r="306036" spans="1:1" x14ac:dyDescent="0.25">
      <c r="A306036" s="1"/>
    </row>
    <row r="306037" spans="1:1" x14ac:dyDescent="0.25">
      <c r="A306037" s="1"/>
    </row>
    <row r="306038" spans="1:1" x14ac:dyDescent="0.25">
      <c r="A306038" s="1"/>
    </row>
    <row r="306039" spans="1:1" x14ac:dyDescent="0.25">
      <c r="A306039" s="1"/>
    </row>
    <row r="306040" spans="1:1" x14ac:dyDescent="0.25">
      <c r="A306040" s="1"/>
    </row>
    <row r="306041" spans="1:1" x14ac:dyDescent="0.25">
      <c r="A306041" s="1"/>
    </row>
    <row r="306042" spans="1:1" x14ac:dyDescent="0.25">
      <c r="A306042" s="1"/>
    </row>
    <row r="306043" spans="1:1" x14ac:dyDescent="0.25">
      <c r="A306043" s="1"/>
    </row>
    <row r="306044" spans="1:1" x14ac:dyDescent="0.25">
      <c r="A306044" s="1"/>
    </row>
    <row r="306045" spans="1:1" x14ac:dyDescent="0.25">
      <c r="A306045" s="1"/>
    </row>
    <row r="306046" spans="1:1" x14ac:dyDescent="0.25">
      <c r="A306046" s="1"/>
    </row>
    <row r="306047" spans="1:1" x14ac:dyDescent="0.25">
      <c r="A306047" s="1"/>
    </row>
    <row r="306048" spans="1:1" x14ac:dyDescent="0.25">
      <c r="A306048" s="1"/>
    </row>
    <row r="306049" spans="1:1" x14ac:dyDescent="0.25">
      <c r="A306049" s="1"/>
    </row>
    <row r="306050" spans="1:1" x14ac:dyDescent="0.25">
      <c r="A306050" s="1"/>
    </row>
    <row r="306051" spans="1:1" x14ac:dyDescent="0.25">
      <c r="A306051" s="1"/>
    </row>
    <row r="306052" spans="1:1" x14ac:dyDescent="0.25">
      <c r="A306052" s="1"/>
    </row>
    <row r="306053" spans="1:1" x14ac:dyDescent="0.25">
      <c r="A306053" s="1"/>
    </row>
    <row r="306054" spans="1:1" x14ac:dyDescent="0.25">
      <c r="A306054" s="1"/>
    </row>
    <row r="306055" spans="1:1" x14ac:dyDescent="0.25">
      <c r="A306055" s="1"/>
    </row>
    <row r="306056" spans="1:1" x14ac:dyDescent="0.25">
      <c r="A306056" s="1"/>
    </row>
    <row r="306057" spans="1:1" x14ac:dyDescent="0.25">
      <c r="A306057" s="1"/>
    </row>
    <row r="306058" spans="1:1" x14ac:dyDescent="0.25">
      <c r="A306058" s="1"/>
    </row>
    <row r="306059" spans="1:1" x14ac:dyDescent="0.25">
      <c r="A306059" s="1"/>
    </row>
    <row r="306060" spans="1:1" x14ac:dyDescent="0.25">
      <c r="A306060" s="1"/>
    </row>
    <row r="306061" spans="1:1" x14ac:dyDescent="0.25">
      <c r="A306061" s="1"/>
    </row>
    <row r="306062" spans="1:1" x14ac:dyDescent="0.25">
      <c r="A306062" s="1"/>
    </row>
    <row r="306063" spans="1:1" x14ac:dyDescent="0.25">
      <c r="A306063" s="1"/>
    </row>
    <row r="306064" spans="1:1" x14ac:dyDescent="0.25">
      <c r="A306064" s="1"/>
    </row>
    <row r="306065" spans="1:1" x14ac:dyDescent="0.25">
      <c r="A306065" s="1"/>
    </row>
    <row r="306066" spans="1:1" x14ac:dyDescent="0.25">
      <c r="A306066" s="1"/>
    </row>
    <row r="306067" spans="1:1" x14ac:dyDescent="0.25">
      <c r="A306067" s="1"/>
    </row>
    <row r="306068" spans="1:1" x14ac:dyDescent="0.25">
      <c r="A306068" s="1"/>
    </row>
    <row r="306069" spans="1:1" x14ac:dyDescent="0.25">
      <c r="A306069" s="1"/>
    </row>
    <row r="306070" spans="1:1" x14ac:dyDescent="0.25">
      <c r="A306070" s="1"/>
    </row>
    <row r="306071" spans="1:1" x14ac:dyDescent="0.25">
      <c r="A306071" s="1"/>
    </row>
    <row r="306072" spans="1:1" x14ac:dyDescent="0.25">
      <c r="A306072" s="1"/>
    </row>
    <row r="306073" spans="1:1" x14ac:dyDescent="0.25">
      <c r="A306073" s="1"/>
    </row>
    <row r="306074" spans="1:1" x14ac:dyDescent="0.25">
      <c r="A306074" s="1"/>
    </row>
    <row r="306075" spans="1:1" x14ac:dyDescent="0.25">
      <c r="A306075" s="1"/>
    </row>
    <row r="306076" spans="1:1" x14ac:dyDescent="0.25">
      <c r="A306076" s="1"/>
    </row>
    <row r="306077" spans="1:1" x14ac:dyDescent="0.25">
      <c r="A306077" s="1"/>
    </row>
    <row r="306078" spans="1:1" x14ac:dyDescent="0.25">
      <c r="A306078" s="1"/>
    </row>
    <row r="306079" spans="1:1" x14ac:dyDescent="0.25">
      <c r="A306079" s="1"/>
    </row>
    <row r="306080" spans="1:1" x14ac:dyDescent="0.25">
      <c r="A306080" s="1"/>
    </row>
    <row r="306081" spans="1:1" x14ac:dyDescent="0.25">
      <c r="A306081" s="1"/>
    </row>
    <row r="306082" spans="1:1" x14ac:dyDescent="0.25">
      <c r="A306082" s="1"/>
    </row>
    <row r="306083" spans="1:1" x14ac:dyDescent="0.25">
      <c r="A306083" s="1"/>
    </row>
    <row r="306084" spans="1:1" x14ac:dyDescent="0.25">
      <c r="A306084" s="1"/>
    </row>
    <row r="306085" spans="1:1" x14ac:dyDescent="0.25">
      <c r="A306085" s="1"/>
    </row>
    <row r="306086" spans="1:1" x14ac:dyDescent="0.25">
      <c r="A306086" s="1"/>
    </row>
    <row r="306087" spans="1:1" x14ac:dyDescent="0.25">
      <c r="A306087" s="1"/>
    </row>
    <row r="306088" spans="1:1" x14ac:dyDescent="0.25">
      <c r="A306088" s="1"/>
    </row>
    <row r="306089" spans="1:1" x14ac:dyDescent="0.25">
      <c r="A306089" s="1"/>
    </row>
    <row r="306090" spans="1:1" x14ac:dyDescent="0.25">
      <c r="A306090" s="1"/>
    </row>
    <row r="306091" spans="1:1" x14ac:dyDescent="0.25">
      <c r="A306091" s="1"/>
    </row>
    <row r="306092" spans="1:1" x14ac:dyDescent="0.25">
      <c r="A306092" s="1"/>
    </row>
    <row r="306093" spans="1:1" x14ac:dyDescent="0.25">
      <c r="A306093" s="1"/>
    </row>
    <row r="306094" spans="1:1" x14ac:dyDescent="0.25">
      <c r="A306094" s="1"/>
    </row>
    <row r="306095" spans="1:1" x14ac:dyDescent="0.25">
      <c r="A306095" s="1"/>
    </row>
    <row r="306096" spans="1:1" x14ac:dyDescent="0.25">
      <c r="A306096" s="1"/>
    </row>
    <row r="306097" spans="1:1" x14ac:dyDescent="0.25">
      <c r="A306097" s="1"/>
    </row>
    <row r="306098" spans="1:1" x14ac:dyDescent="0.25">
      <c r="A306098" s="1"/>
    </row>
    <row r="306099" spans="1:1" x14ac:dyDescent="0.25">
      <c r="A306099" s="1"/>
    </row>
    <row r="306100" spans="1:1" x14ac:dyDescent="0.25">
      <c r="A306100" s="1"/>
    </row>
    <row r="306101" spans="1:1" x14ac:dyDescent="0.25">
      <c r="A306101" s="1"/>
    </row>
    <row r="306102" spans="1:1" x14ac:dyDescent="0.25">
      <c r="A306102" s="1"/>
    </row>
    <row r="306103" spans="1:1" x14ac:dyDescent="0.25">
      <c r="A306103" s="1"/>
    </row>
    <row r="306104" spans="1:1" x14ac:dyDescent="0.25">
      <c r="A306104" s="1"/>
    </row>
    <row r="306105" spans="1:1" x14ac:dyDescent="0.25">
      <c r="A306105" s="1"/>
    </row>
    <row r="306106" spans="1:1" x14ac:dyDescent="0.25">
      <c r="A306106" s="1"/>
    </row>
    <row r="306107" spans="1:1" x14ac:dyDescent="0.25">
      <c r="A306107" s="1"/>
    </row>
    <row r="306108" spans="1:1" x14ac:dyDescent="0.25">
      <c r="A306108" s="1"/>
    </row>
    <row r="306109" spans="1:1" x14ac:dyDescent="0.25">
      <c r="A306109" s="1"/>
    </row>
    <row r="306110" spans="1:1" x14ac:dyDescent="0.25">
      <c r="A306110" s="1"/>
    </row>
    <row r="306111" spans="1:1" x14ac:dyDescent="0.25">
      <c r="A306111" s="1"/>
    </row>
    <row r="306112" spans="1:1" x14ac:dyDescent="0.25">
      <c r="A306112" s="1"/>
    </row>
    <row r="306113" spans="1:1" x14ac:dyDescent="0.25">
      <c r="A306113" s="1"/>
    </row>
    <row r="306114" spans="1:1" x14ac:dyDescent="0.25">
      <c r="A306114" s="1"/>
    </row>
    <row r="306115" spans="1:1" x14ac:dyDescent="0.25">
      <c r="A306115" s="1"/>
    </row>
    <row r="306116" spans="1:1" x14ac:dyDescent="0.25">
      <c r="A306116" s="1"/>
    </row>
    <row r="306117" spans="1:1" x14ac:dyDescent="0.25">
      <c r="A306117" s="1"/>
    </row>
    <row r="306118" spans="1:1" x14ac:dyDescent="0.25">
      <c r="A306118" s="1"/>
    </row>
    <row r="306119" spans="1:1" x14ac:dyDescent="0.25">
      <c r="A306119" s="1"/>
    </row>
    <row r="306120" spans="1:1" x14ac:dyDescent="0.25">
      <c r="A306120" s="1"/>
    </row>
    <row r="306121" spans="1:1" x14ac:dyDescent="0.25">
      <c r="A306121" s="1"/>
    </row>
    <row r="306122" spans="1:1" x14ac:dyDescent="0.25">
      <c r="A306122" s="1"/>
    </row>
    <row r="306123" spans="1:1" x14ac:dyDescent="0.25">
      <c r="A306123" s="1"/>
    </row>
    <row r="306124" spans="1:1" x14ac:dyDescent="0.25">
      <c r="A306124" s="1"/>
    </row>
    <row r="306125" spans="1:1" x14ac:dyDescent="0.25">
      <c r="A306125" s="1"/>
    </row>
    <row r="306126" spans="1:1" x14ac:dyDescent="0.25">
      <c r="A306126" s="1"/>
    </row>
    <row r="306127" spans="1:1" x14ac:dyDescent="0.25">
      <c r="A306127" s="1"/>
    </row>
    <row r="306128" spans="1:1" x14ac:dyDescent="0.25">
      <c r="A306128" s="1"/>
    </row>
    <row r="306129" spans="1:1" x14ac:dyDescent="0.25">
      <c r="A306129" s="1"/>
    </row>
    <row r="306130" spans="1:1" x14ac:dyDescent="0.25">
      <c r="A306130" s="1"/>
    </row>
    <row r="306131" spans="1:1" x14ac:dyDescent="0.25">
      <c r="A306131" s="1"/>
    </row>
    <row r="306132" spans="1:1" x14ac:dyDescent="0.25">
      <c r="A306132" s="1"/>
    </row>
    <row r="306133" spans="1:1" x14ac:dyDescent="0.25">
      <c r="A306133" s="1"/>
    </row>
    <row r="306134" spans="1:1" x14ac:dyDescent="0.25">
      <c r="A306134" s="1"/>
    </row>
    <row r="306135" spans="1:1" x14ac:dyDescent="0.25">
      <c r="A306135" s="1"/>
    </row>
    <row r="306136" spans="1:1" x14ac:dyDescent="0.25">
      <c r="A306136" s="1"/>
    </row>
    <row r="306137" spans="1:1" x14ac:dyDescent="0.25">
      <c r="A306137" s="1"/>
    </row>
    <row r="306138" spans="1:1" x14ac:dyDescent="0.25">
      <c r="A306138" s="1"/>
    </row>
    <row r="306139" spans="1:1" x14ac:dyDescent="0.25">
      <c r="A306139" s="1"/>
    </row>
    <row r="306140" spans="1:1" x14ac:dyDescent="0.25">
      <c r="A306140" s="1"/>
    </row>
    <row r="306141" spans="1:1" x14ac:dyDescent="0.25">
      <c r="A306141" s="1"/>
    </row>
    <row r="306142" spans="1:1" x14ac:dyDescent="0.25">
      <c r="A306142" s="1"/>
    </row>
    <row r="306143" spans="1:1" x14ac:dyDescent="0.25">
      <c r="A306143" s="1"/>
    </row>
    <row r="306144" spans="1:1" x14ac:dyDescent="0.25">
      <c r="A306144" s="1"/>
    </row>
    <row r="306145" spans="1:1" x14ac:dyDescent="0.25">
      <c r="A306145" s="1"/>
    </row>
    <row r="306146" spans="1:1" x14ac:dyDescent="0.25">
      <c r="A306146" s="1"/>
    </row>
    <row r="306147" spans="1:1" x14ac:dyDescent="0.25">
      <c r="A306147" s="1"/>
    </row>
    <row r="306148" spans="1:1" x14ac:dyDescent="0.25">
      <c r="A306148" s="1"/>
    </row>
    <row r="306149" spans="1:1" x14ac:dyDescent="0.25">
      <c r="A306149" s="1"/>
    </row>
    <row r="306150" spans="1:1" x14ac:dyDescent="0.25">
      <c r="A306150" s="1"/>
    </row>
    <row r="306151" spans="1:1" x14ac:dyDescent="0.25">
      <c r="A306151" s="1"/>
    </row>
    <row r="306152" spans="1:1" x14ac:dyDescent="0.25">
      <c r="A306152" s="1"/>
    </row>
    <row r="306153" spans="1:1" x14ac:dyDescent="0.25">
      <c r="A306153" s="1"/>
    </row>
    <row r="306154" spans="1:1" x14ac:dyDescent="0.25">
      <c r="A306154" s="1"/>
    </row>
    <row r="306155" spans="1:1" x14ac:dyDescent="0.25">
      <c r="A306155" s="1"/>
    </row>
    <row r="306156" spans="1:1" x14ac:dyDescent="0.25">
      <c r="A306156" s="1"/>
    </row>
    <row r="306157" spans="1:1" x14ac:dyDescent="0.25">
      <c r="A306157" s="1"/>
    </row>
    <row r="306158" spans="1:1" x14ac:dyDescent="0.25">
      <c r="A306158" s="1"/>
    </row>
    <row r="306159" spans="1:1" x14ac:dyDescent="0.25">
      <c r="A306159" s="1"/>
    </row>
    <row r="306160" spans="1:1" x14ac:dyDescent="0.25">
      <c r="A306160" s="1"/>
    </row>
    <row r="306161" spans="1:1" x14ac:dyDescent="0.25">
      <c r="A306161" s="1"/>
    </row>
    <row r="306162" spans="1:1" x14ac:dyDescent="0.25">
      <c r="A306162" s="1"/>
    </row>
    <row r="306163" spans="1:1" x14ac:dyDescent="0.25">
      <c r="A306163" s="1"/>
    </row>
    <row r="306164" spans="1:1" x14ac:dyDescent="0.25">
      <c r="A306164" s="1"/>
    </row>
    <row r="306165" spans="1:1" x14ac:dyDescent="0.25">
      <c r="A306165" s="1"/>
    </row>
    <row r="306166" spans="1:1" x14ac:dyDescent="0.25">
      <c r="A306166" s="1"/>
    </row>
    <row r="306167" spans="1:1" x14ac:dyDescent="0.25">
      <c r="A306167" s="1"/>
    </row>
    <row r="306168" spans="1:1" x14ac:dyDescent="0.25">
      <c r="A306168" s="1"/>
    </row>
    <row r="306169" spans="1:1" x14ac:dyDescent="0.25">
      <c r="A306169" s="1"/>
    </row>
    <row r="306170" spans="1:1" x14ac:dyDescent="0.25">
      <c r="A306170" s="1"/>
    </row>
    <row r="306171" spans="1:1" x14ac:dyDescent="0.25">
      <c r="A306171" s="1"/>
    </row>
    <row r="306172" spans="1:1" x14ac:dyDescent="0.25">
      <c r="A306172" s="1"/>
    </row>
    <row r="306173" spans="1:1" x14ac:dyDescent="0.25">
      <c r="A306173" s="1"/>
    </row>
    <row r="306174" spans="1:1" x14ac:dyDescent="0.25">
      <c r="A306174" s="1"/>
    </row>
    <row r="306175" spans="1:1" x14ac:dyDescent="0.25">
      <c r="A306175" s="1"/>
    </row>
    <row r="306176" spans="1:1" x14ac:dyDescent="0.25">
      <c r="A306176" s="1"/>
    </row>
    <row r="306177" spans="1:1" x14ac:dyDescent="0.25">
      <c r="A306177" s="1"/>
    </row>
    <row r="306178" spans="1:1" x14ac:dyDescent="0.25">
      <c r="A306178" s="1"/>
    </row>
    <row r="306179" spans="1:1" x14ac:dyDescent="0.25">
      <c r="A306179" s="1"/>
    </row>
    <row r="306180" spans="1:1" x14ac:dyDescent="0.25">
      <c r="A306180" s="1"/>
    </row>
    <row r="306181" spans="1:1" x14ac:dyDescent="0.25">
      <c r="A306181" s="1"/>
    </row>
    <row r="306182" spans="1:1" x14ac:dyDescent="0.25">
      <c r="A306182" s="1"/>
    </row>
    <row r="306183" spans="1:1" x14ac:dyDescent="0.25">
      <c r="A306183" s="1"/>
    </row>
    <row r="306184" spans="1:1" x14ac:dyDescent="0.25">
      <c r="A306184" s="1"/>
    </row>
    <row r="306185" spans="1:1" x14ac:dyDescent="0.25">
      <c r="A306185" s="1"/>
    </row>
    <row r="306186" spans="1:1" x14ac:dyDescent="0.25">
      <c r="A306186" s="1"/>
    </row>
    <row r="306187" spans="1:1" x14ac:dyDescent="0.25">
      <c r="A306187" s="1"/>
    </row>
    <row r="306188" spans="1:1" x14ac:dyDescent="0.25">
      <c r="A306188" s="1"/>
    </row>
    <row r="306189" spans="1:1" x14ac:dyDescent="0.25">
      <c r="A306189" s="1"/>
    </row>
    <row r="306190" spans="1:1" x14ac:dyDescent="0.25">
      <c r="A306190" s="1"/>
    </row>
    <row r="306191" spans="1:1" x14ac:dyDescent="0.25">
      <c r="A306191" s="1"/>
    </row>
    <row r="306192" spans="1:1" x14ac:dyDescent="0.25">
      <c r="A306192" s="1"/>
    </row>
    <row r="306193" spans="1:1" x14ac:dyDescent="0.25">
      <c r="A306193" s="1"/>
    </row>
    <row r="306194" spans="1:1" x14ac:dyDescent="0.25">
      <c r="A306194" s="1"/>
    </row>
    <row r="306195" spans="1:1" x14ac:dyDescent="0.25">
      <c r="A306195" s="1"/>
    </row>
    <row r="306196" spans="1:1" x14ac:dyDescent="0.25">
      <c r="A306196" s="1"/>
    </row>
    <row r="306197" spans="1:1" x14ac:dyDescent="0.25">
      <c r="A306197" s="1"/>
    </row>
    <row r="306198" spans="1:1" x14ac:dyDescent="0.25">
      <c r="A306198" s="1"/>
    </row>
    <row r="306199" spans="1:1" x14ac:dyDescent="0.25">
      <c r="A306199" s="1"/>
    </row>
    <row r="306200" spans="1:1" x14ac:dyDescent="0.25">
      <c r="A306200" s="1"/>
    </row>
    <row r="306201" spans="1:1" x14ac:dyDescent="0.25">
      <c r="A306201" s="1"/>
    </row>
    <row r="306202" spans="1:1" x14ac:dyDescent="0.25">
      <c r="A306202" s="1"/>
    </row>
    <row r="306203" spans="1:1" x14ac:dyDescent="0.25">
      <c r="A306203" s="1"/>
    </row>
    <row r="306204" spans="1:1" x14ac:dyDescent="0.25">
      <c r="A306204" s="1"/>
    </row>
    <row r="306205" spans="1:1" x14ac:dyDescent="0.25">
      <c r="A306205" s="1"/>
    </row>
    <row r="306206" spans="1:1" x14ac:dyDescent="0.25">
      <c r="A306206" s="1"/>
    </row>
    <row r="306207" spans="1:1" x14ac:dyDescent="0.25">
      <c r="A306207" s="1"/>
    </row>
    <row r="306208" spans="1:1" x14ac:dyDescent="0.25">
      <c r="A306208" s="1"/>
    </row>
    <row r="306209" spans="1:1" x14ac:dyDescent="0.25">
      <c r="A306209" s="1"/>
    </row>
    <row r="306210" spans="1:1" x14ac:dyDescent="0.25">
      <c r="A306210" s="1"/>
    </row>
    <row r="306211" spans="1:1" x14ac:dyDescent="0.25">
      <c r="A306211" s="1"/>
    </row>
    <row r="306212" spans="1:1" x14ac:dyDescent="0.25">
      <c r="A306212" s="1"/>
    </row>
    <row r="306213" spans="1:1" x14ac:dyDescent="0.25">
      <c r="A306213" s="1"/>
    </row>
    <row r="306214" spans="1:1" x14ac:dyDescent="0.25">
      <c r="A306214" s="1"/>
    </row>
    <row r="306215" spans="1:1" x14ac:dyDescent="0.25">
      <c r="A306215" s="1"/>
    </row>
    <row r="306216" spans="1:1" x14ac:dyDescent="0.25">
      <c r="A306216" s="1"/>
    </row>
    <row r="306217" spans="1:1" x14ac:dyDescent="0.25">
      <c r="A306217" s="1"/>
    </row>
    <row r="306218" spans="1:1" x14ac:dyDescent="0.25">
      <c r="A306218" s="1"/>
    </row>
    <row r="306219" spans="1:1" x14ac:dyDescent="0.25">
      <c r="A306219" s="1"/>
    </row>
    <row r="306220" spans="1:1" x14ac:dyDescent="0.25">
      <c r="A306220" s="1"/>
    </row>
    <row r="306221" spans="1:1" x14ac:dyDescent="0.25">
      <c r="A306221" s="1"/>
    </row>
    <row r="306222" spans="1:1" x14ac:dyDescent="0.25">
      <c r="A306222" s="1"/>
    </row>
    <row r="306223" spans="1:1" x14ac:dyDescent="0.25">
      <c r="A306223" s="1"/>
    </row>
    <row r="306224" spans="1:1" x14ac:dyDescent="0.25">
      <c r="A306224" s="1"/>
    </row>
    <row r="306225" spans="1:1" x14ac:dyDescent="0.25">
      <c r="A306225" s="1"/>
    </row>
    <row r="306226" spans="1:1" x14ac:dyDescent="0.25">
      <c r="A306226" s="1"/>
    </row>
    <row r="306227" spans="1:1" x14ac:dyDescent="0.25">
      <c r="A306227" s="1"/>
    </row>
    <row r="306228" spans="1:1" x14ac:dyDescent="0.25">
      <c r="A306228" s="1"/>
    </row>
    <row r="306229" spans="1:1" x14ac:dyDescent="0.25">
      <c r="A306229" s="1"/>
    </row>
    <row r="306230" spans="1:1" x14ac:dyDescent="0.25">
      <c r="A306230" s="1"/>
    </row>
    <row r="306231" spans="1:1" x14ac:dyDescent="0.25">
      <c r="A306231" s="1"/>
    </row>
    <row r="306232" spans="1:1" x14ac:dyDescent="0.25">
      <c r="A306232" s="1"/>
    </row>
    <row r="306233" spans="1:1" x14ac:dyDescent="0.25">
      <c r="A306233" s="1"/>
    </row>
    <row r="306234" spans="1:1" x14ac:dyDescent="0.25">
      <c r="A306234" s="1"/>
    </row>
    <row r="306235" spans="1:1" x14ac:dyDescent="0.25">
      <c r="A306235" s="1"/>
    </row>
    <row r="306236" spans="1:1" x14ac:dyDescent="0.25">
      <c r="A306236" s="1"/>
    </row>
    <row r="306237" spans="1:1" x14ac:dyDescent="0.25">
      <c r="A306237" s="1"/>
    </row>
    <row r="306238" spans="1:1" x14ac:dyDescent="0.25">
      <c r="A306238" s="1"/>
    </row>
    <row r="306239" spans="1:1" x14ac:dyDescent="0.25">
      <c r="A306239" s="1"/>
    </row>
    <row r="306240" spans="1:1" x14ac:dyDescent="0.25">
      <c r="A306240" s="1"/>
    </row>
    <row r="306241" spans="1:1" x14ac:dyDescent="0.25">
      <c r="A306241" s="1"/>
    </row>
    <row r="306242" spans="1:1" x14ac:dyDescent="0.25">
      <c r="A306242" s="1"/>
    </row>
    <row r="306243" spans="1:1" x14ac:dyDescent="0.25">
      <c r="A306243" s="1"/>
    </row>
    <row r="306244" spans="1:1" x14ac:dyDescent="0.25">
      <c r="A306244" s="1"/>
    </row>
    <row r="306245" spans="1:1" x14ac:dyDescent="0.25">
      <c r="A306245" s="1"/>
    </row>
    <row r="306246" spans="1:1" x14ac:dyDescent="0.25">
      <c r="A306246" s="1"/>
    </row>
    <row r="306247" spans="1:1" x14ac:dyDescent="0.25">
      <c r="A306247" s="1"/>
    </row>
    <row r="306248" spans="1:1" x14ac:dyDescent="0.25">
      <c r="A306248" s="1"/>
    </row>
    <row r="306249" spans="1:1" x14ac:dyDescent="0.25">
      <c r="A306249" s="1"/>
    </row>
    <row r="306250" spans="1:1" x14ac:dyDescent="0.25">
      <c r="A306250" s="1"/>
    </row>
    <row r="306251" spans="1:1" x14ac:dyDescent="0.25">
      <c r="A306251" s="1"/>
    </row>
    <row r="306252" spans="1:1" x14ac:dyDescent="0.25">
      <c r="A306252" s="1"/>
    </row>
    <row r="306253" spans="1:1" x14ac:dyDescent="0.25">
      <c r="A306253" s="1"/>
    </row>
    <row r="306254" spans="1:1" x14ac:dyDescent="0.25">
      <c r="A306254" s="1"/>
    </row>
    <row r="306255" spans="1:1" x14ac:dyDescent="0.25">
      <c r="A306255" s="1"/>
    </row>
    <row r="306256" spans="1:1" x14ac:dyDescent="0.25">
      <c r="A306256" s="1"/>
    </row>
    <row r="306257" spans="1:1" x14ac:dyDescent="0.25">
      <c r="A306257" s="1"/>
    </row>
    <row r="306258" spans="1:1" x14ac:dyDescent="0.25">
      <c r="A306258" s="1"/>
    </row>
    <row r="306259" spans="1:1" x14ac:dyDescent="0.25">
      <c r="A306259" s="1"/>
    </row>
    <row r="306260" spans="1:1" x14ac:dyDescent="0.25">
      <c r="A306260" s="1"/>
    </row>
    <row r="306261" spans="1:1" x14ac:dyDescent="0.25">
      <c r="A306261" s="1"/>
    </row>
    <row r="306262" spans="1:1" x14ac:dyDescent="0.25">
      <c r="A306262" s="1"/>
    </row>
    <row r="306263" spans="1:1" x14ac:dyDescent="0.25">
      <c r="A306263" s="1"/>
    </row>
    <row r="306264" spans="1:1" x14ac:dyDescent="0.25">
      <c r="A306264" s="1"/>
    </row>
    <row r="306265" spans="1:1" x14ac:dyDescent="0.25">
      <c r="A306265" s="1"/>
    </row>
    <row r="306266" spans="1:1" x14ac:dyDescent="0.25">
      <c r="A306266" s="1"/>
    </row>
    <row r="306267" spans="1:1" x14ac:dyDescent="0.25">
      <c r="A306267" s="1"/>
    </row>
    <row r="306268" spans="1:1" x14ac:dyDescent="0.25">
      <c r="A306268" s="1"/>
    </row>
    <row r="306269" spans="1:1" x14ac:dyDescent="0.25">
      <c r="A306269" s="1"/>
    </row>
    <row r="306270" spans="1:1" x14ac:dyDescent="0.25">
      <c r="A306270" s="1"/>
    </row>
    <row r="306271" spans="1:1" x14ac:dyDescent="0.25">
      <c r="A306271" s="1"/>
    </row>
    <row r="306272" spans="1:1" x14ac:dyDescent="0.25">
      <c r="A306272" s="1"/>
    </row>
    <row r="306273" spans="1:1" x14ac:dyDescent="0.25">
      <c r="A306273" s="1"/>
    </row>
    <row r="306274" spans="1:1" x14ac:dyDescent="0.25">
      <c r="A306274" s="1"/>
    </row>
    <row r="306275" spans="1:1" x14ac:dyDescent="0.25">
      <c r="A306275" s="1"/>
    </row>
    <row r="306276" spans="1:1" x14ac:dyDescent="0.25">
      <c r="A306276" s="1"/>
    </row>
    <row r="306277" spans="1:1" x14ac:dyDescent="0.25">
      <c r="A306277" s="1"/>
    </row>
    <row r="306278" spans="1:1" x14ac:dyDescent="0.25">
      <c r="A306278" s="1"/>
    </row>
    <row r="306279" spans="1:1" x14ac:dyDescent="0.25">
      <c r="A306279" s="1"/>
    </row>
    <row r="306280" spans="1:1" x14ac:dyDescent="0.25">
      <c r="A306280" s="1"/>
    </row>
    <row r="306281" spans="1:1" x14ac:dyDescent="0.25">
      <c r="A306281" s="1"/>
    </row>
    <row r="306282" spans="1:1" x14ac:dyDescent="0.25">
      <c r="A306282" s="1"/>
    </row>
    <row r="306283" spans="1:1" x14ac:dyDescent="0.25">
      <c r="A306283" s="1"/>
    </row>
    <row r="306284" spans="1:1" x14ac:dyDescent="0.25">
      <c r="A306284" s="1"/>
    </row>
    <row r="306285" spans="1:1" x14ac:dyDescent="0.25">
      <c r="A306285" s="1"/>
    </row>
    <row r="306286" spans="1:1" x14ac:dyDescent="0.25">
      <c r="A306286" s="1"/>
    </row>
    <row r="306287" spans="1:1" x14ac:dyDescent="0.25">
      <c r="A306287" s="1"/>
    </row>
    <row r="306288" spans="1:1" x14ac:dyDescent="0.25">
      <c r="A306288" s="1"/>
    </row>
    <row r="306289" spans="1:1" x14ac:dyDescent="0.25">
      <c r="A306289" s="1"/>
    </row>
    <row r="306290" spans="1:1" x14ac:dyDescent="0.25">
      <c r="A306290" s="1"/>
    </row>
    <row r="306291" spans="1:1" x14ac:dyDescent="0.25">
      <c r="A306291" s="1"/>
    </row>
    <row r="306292" spans="1:1" x14ac:dyDescent="0.25">
      <c r="A306292" s="1"/>
    </row>
    <row r="306293" spans="1:1" x14ac:dyDescent="0.25">
      <c r="A306293" s="1"/>
    </row>
    <row r="306294" spans="1:1" x14ac:dyDescent="0.25">
      <c r="A306294" s="1"/>
    </row>
    <row r="306295" spans="1:1" x14ac:dyDescent="0.25">
      <c r="A306295" s="1"/>
    </row>
    <row r="306296" spans="1:1" x14ac:dyDescent="0.25">
      <c r="A306296" s="1"/>
    </row>
    <row r="306297" spans="1:1" x14ac:dyDescent="0.25">
      <c r="A306297" s="1"/>
    </row>
    <row r="306298" spans="1:1" x14ac:dyDescent="0.25">
      <c r="A306298" s="1"/>
    </row>
    <row r="306299" spans="1:1" x14ac:dyDescent="0.25">
      <c r="A306299" s="1"/>
    </row>
    <row r="306300" spans="1:1" x14ac:dyDescent="0.25">
      <c r="A306300" s="1"/>
    </row>
    <row r="306301" spans="1:1" x14ac:dyDescent="0.25">
      <c r="A306301" s="1"/>
    </row>
    <row r="306302" spans="1:1" x14ac:dyDescent="0.25">
      <c r="A306302" s="1"/>
    </row>
    <row r="306303" spans="1:1" x14ac:dyDescent="0.25">
      <c r="A306303" s="1"/>
    </row>
    <row r="306304" spans="1:1" x14ac:dyDescent="0.25">
      <c r="A306304" s="1"/>
    </row>
    <row r="306305" spans="1:1" x14ac:dyDescent="0.25">
      <c r="A306305" s="1"/>
    </row>
    <row r="306306" spans="1:1" x14ac:dyDescent="0.25">
      <c r="A306306" s="1"/>
    </row>
    <row r="306307" spans="1:1" x14ac:dyDescent="0.25">
      <c r="A306307" s="1"/>
    </row>
    <row r="306308" spans="1:1" x14ac:dyDescent="0.25">
      <c r="A306308" s="1"/>
    </row>
    <row r="306309" spans="1:1" x14ac:dyDescent="0.25">
      <c r="A306309" s="1"/>
    </row>
    <row r="306310" spans="1:1" x14ac:dyDescent="0.25">
      <c r="A306310" s="1"/>
    </row>
    <row r="306311" spans="1:1" x14ac:dyDescent="0.25">
      <c r="A306311" s="1"/>
    </row>
    <row r="306312" spans="1:1" x14ac:dyDescent="0.25">
      <c r="A306312" s="1"/>
    </row>
    <row r="306313" spans="1:1" x14ac:dyDescent="0.25">
      <c r="A306313" s="1"/>
    </row>
    <row r="306314" spans="1:1" x14ac:dyDescent="0.25">
      <c r="A306314" s="1"/>
    </row>
    <row r="306315" spans="1:1" x14ac:dyDescent="0.25">
      <c r="A306315" s="1"/>
    </row>
    <row r="306316" spans="1:1" x14ac:dyDescent="0.25">
      <c r="A306316" s="1"/>
    </row>
    <row r="306317" spans="1:1" x14ac:dyDescent="0.25">
      <c r="A306317" s="1"/>
    </row>
    <row r="306318" spans="1:1" x14ac:dyDescent="0.25">
      <c r="A306318" s="1"/>
    </row>
    <row r="306319" spans="1:1" x14ac:dyDescent="0.25">
      <c r="A306319" s="1"/>
    </row>
    <row r="306320" spans="1:1" x14ac:dyDescent="0.25">
      <c r="A306320" s="1"/>
    </row>
    <row r="306321" spans="1:1" x14ac:dyDescent="0.25">
      <c r="A306321" s="1"/>
    </row>
    <row r="306322" spans="1:1" x14ac:dyDescent="0.25">
      <c r="A306322" s="1"/>
    </row>
    <row r="306323" spans="1:1" x14ac:dyDescent="0.25">
      <c r="A306323" s="1"/>
    </row>
    <row r="306324" spans="1:1" x14ac:dyDescent="0.25">
      <c r="A306324" s="1"/>
    </row>
    <row r="306325" spans="1:1" x14ac:dyDescent="0.25">
      <c r="A306325" s="1"/>
    </row>
    <row r="306326" spans="1:1" x14ac:dyDescent="0.25">
      <c r="A306326" s="1"/>
    </row>
    <row r="306327" spans="1:1" x14ac:dyDescent="0.25">
      <c r="A306327" s="1"/>
    </row>
    <row r="306328" spans="1:1" x14ac:dyDescent="0.25">
      <c r="A306328" s="1"/>
    </row>
    <row r="306329" spans="1:1" x14ac:dyDescent="0.25">
      <c r="A306329" s="1"/>
    </row>
    <row r="306330" spans="1:1" x14ac:dyDescent="0.25">
      <c r="A306330" s="1"/>
    </row>
    <row r="306331" spans="1:1" x14ac:dyDescent="0.25">
      <c r="A306331" s="1"/>
    </row>
    <row r="306332" spans="1:1" x14ac:dyDescent="0.25">
      <c r="A306332" s="1"/>
    </row>
    <row r="306333" spans="1:1" x14ac:dyDescent="0.25">
      <c r="A306333" s="1"/>
    </row>
    <row r="306334" spans="1:1" x14ac:dyDescent="0.25">
      <c r="A306334" s="1"/>
    </row>
    <row r="306335" spans="1:1" x14ac:dyDescent="0.25">
      <c r="A306335" s="1"/>
    </row>
    <row r="306336" spans="1:1" x14ac:dyDescent="0.25">
      <c r="A306336" s="1"/>
    </row>
    <row r="306337" spans="1:1" x14ac:dyDescent="0.25">
      <c r="A306337" s="1"/>
    </row>
    <row r="306338" spans="1:1" x14ac:dyDescent="0.25">
      <c r="A306338" s="1"/>
    </row>
    <row r="306339" spans="1:1" x14ac:dyDescent="0.25">
      <c r="A306339" s="1"/>
    </row>
    <row r="306340" spans="1:1" x14ac:dyDescent="0.25">
      <c r="A306340" s="1"/>
    </row>
    <row r="306341" spans="1:1" x14ac:dyDescent="0.25">
      <c r="A306341" s="1"/>
    </row>
    <row r="306342" spans="1:1" x14ac:dyDescent="0.25">
      <c r="A306342" s="1"/>
    </row>
    <row r="306343" spans="1:1" x14ac:dyDescent="0.25">
      <c r="A306343" s="1"/>
    </row>
    <row r="306344" spans="1:1" x14ac:dyDescent="0.25">
      <c r="A306344" s="1"/>
    </row>
    <row r="306345" spans="1:1" x14ac:dyDescent="0.25">
      <c r="A306345" s="1"/>
    </row>
    <row r="306346" spans="1:1" x14ac:dyDescent="0.25">
      <c r="A306346" s="1"/>
    </row>
    <row r="306347" spans="1:1" x14ac:dyDescent="0.25">
      <c r="A306347" s="1"/>
    </row>
    <row r="306348" spans="1:1" x14ac:dyDescent="0.25">
      <c r="A306348" s="1"/>
    </row>
    <row r="306349" spans="1:1" x14ac:dyDescent="0.25">
      <c r="A306349" s="1"/>
    </row>
    <row r="306350" spans="1:1" x14ac:dyDescent="0.25">
      <c r="A306350" s="1"/>
    </row>
    <row r="306351" spans="1:1" x14ac:dyDescent="0.25">
      <c r="A306351" s="1"/>
    </row>
    <row r="306352" spans="1:1" x14ac:dyDescent="0.25">
      <c r="A306352" s="1"/>
    </row>
    <row r="306353" spans="1:1" x14ac:dyDescent="0.25">
      <c r="A306353" s="1"/>
    </row>
    <row r="306354" spans="1:1" x14ac:dyDescent="0.25">
      <c r="A306354" s="1"/>
    </row>
    <row r="306355" spans="1:1" x14ac:dyDescent="0.25">
      <c r="A306355" s="1"/>
    </row>
    <row r="306356" spans="1:1" x14ac:dyDescent="0.25">
      <c r="A306356" s="1"/>
    </row>
    <row r="306357" spans="1:1" x14ac:dyDescent="0.25">
      <c r="A306357" s="1"/>
    </row>
    <row r="306358" spans="1:1" x14ac:dyDescent="0.25">
      <c r="A306358" s="1"/>
    </row>
    <row r="306359" spans="1:1" x14ac:dyDescent="0.25">
      <c r="A306359" s="1"/>
    </row>
    <row r="306360" spans="1:1" x14ac:dyDescent="0.25">
      <c r="A306360" s="1"/>
    </row>
    <row r="306361" spans="1:1" x14ac:dyDescent="0.25">
      <c r="A306361" s="1"/>
    </row>
    <row r="306362" spans="1:1" x14ac:dyDescent="0.25">
      <c r="A306362" s="1"/>
    </row>
    <row r="306363" spans="1:1" x14ac:dyDescent="0.25">
      <c r="A306363" s="1"/>
    </row>
    <row r="306364" spans="1:1" x14ac:dyDescent="0.25">
      <c r="A306364" s="1"/>
    </row>
    <row r="306365" spans="1:1" x14ac:dyDescent="0.25">
      <c r="A306365" s="1"/>
    </row>
    <row r="306366" spans="1:1" x14ac:dyDescent="0.25">
      <c r="A306366" s="1"/>
    </row>
    <row r="306367" spans="1:1" x14ac:dyDescent="0.25">
      <c r="A306367" s="1"/>
    </row>
    <row r="306368" spans="1:1" x14ac:dyDescent="0.25">
      <c r="A306368" s="1"/>
    </row>
    <row r="306369" spans="1:1" x14ac:dyDescent="0.25">
      <c r="A306369" s="1"/>
    </row>
    <row r="306370" spans="1:1" x14ac:dyDescent="0.25">
      <c r="A306370" s="1"/>
    </row>
    <row r="306371" spans="1:1" x14ac:dyDescent="0.25">
      <c r="A306371" s="1"/>
    </row>
    <row r="306372" spans="1:1" x14ac:dyDescent="0.25">
      <c r="A306372" s="1"/>
    </row>
    <row r="306373" spans="1:1" x14ac:dyDescent="0.25">
      <c r="A306373" s="1"/>
    </row>
    <row r="306374" spans="1:1" x14ac:dyDescent="0.25">
      <c r="A306374" s="1"/>
    </row>
    <row r="306375" spans="1:1" x14ac:dyDescent="0.25">
      <c r="A306375" s="1"/>
    </row>
    <row r="306376" spans="1:1" x14ac:dyDescent="0.25">
      <c r="A306376" s="1"/>
    </row>
    <row r="306377" spans="1:1" x14ac:dyDescent="0.25">
      <c r="A306377" s="1"/>
    </row>
    <row r="306378" spans="1:1" x14ac:dyDescent="0.25">
      <c r="A306378" s="1"/>
    </row>
    <row r="306379" spans="1:1" x14ac:dyDescent="0.25">
      <c r="A306379" s="1"/>
    </row>
    <row r="306380" spans="1:1" x14ac:dyDescent="0.25">
      <c r="A306380" s="1"/>
    </row>
    <row r="306381" spans="1:1" x14ac:dyDescent="0.25">
      <c r="A306381" s="1"/>
    </row>
    <row r="306382" spans="1:1" x14ac:dyDescent="0.25">
      <c r="A306382" s="1"/>
    </row>
    <row r="306383" spans="1:1" x14ac:dyDescent="0.25">
      <c r="A306383" s="1"/>
    </row>
    <row r="306384" spans="1:1" x14ac:dyDescent="0.25">
      <c r="A306384" s="1"/>
    </row>
    <row r="306385" spans="1:1" x14ac:dyDescent="0.25">
      <c r="A306385" s="1"/>
    </row>
    <row r="306386" spans="1:1" x14ac:dyDescent="0.25">
      <c r="A306386" s="1"/>
    </row>
    <row r="306387" spans="1:1" x14ac:dyDescent="0.25">
      <c r="A306387" s="1"/>
    </row>
    <row r="306388" spans="1:1" x14ac:dyDescent="0.25">
      <c r="A306388" s="1"/>
    </row>
    <row r="306389" spans="1:1" x14ac:dyDescent="0.25">
      <c r="A306389" s="1"/>
    </row>
    <row r="306390" spans="1:1" x14ac:dyDescent="0.25">
      <c r="A306390" s="1"/>
    </row>
    <row r="306391" spans="1:1" x14ac:dyDescent="0.25">
      <c r="A306391" s="1"/>
    </row>
    <row r="306392" spans="1:1" x14ac:dyDescent="0.25">
      <c r="A306392" s="1"/>
    </row>
    <row r="306393" spans="1:1" x14ac:dyDescent="0.25">
      <c r="A306393" s="1"/>
    </row>
    <row r="306394" spans="1:1" x14ac:dyDescent="0.25">
      <c r="A306394" s="1"/>
    </row>
    <row r="306395" spans="1:1" x14ac:dyDescent="0.25">
      <c r="A306395" s="1"/>
    </row>
    <row r="306396" spans="1:1" x14ac:dyDescent="0.25">
      <c r="A306396" s="1"/>
    </row>
    <row r="306397" spans="1:1" x14ac:dyDescent="0.25">
      <c r="A306397" s="1"/>
    </row>
    <row r="306398" spans="1:1" x14ac:dyDescent="0.25">
      <c r="A306398" s="1"/>
    </row>
    <row r="306399" spans="1:1" x14ac:dyDescent="0.25">
      <c r="A306399" s="1"/>
    </row>
    <row r="306400" spans="1:1" x14ac:dyDescent="0.25">
      <c r="A306400" s="1"/>
    </row>
    <row r="306401" spans="1:1" x14ac:dyDescent="0.25">
      <c r="A306401" s="1"/>
    </row>
    <row r="306402" spans="1:1" x14ac:dyDescent="0.25">
      <c r="A306402" s="1"/>
    </row>
    <row r="306403" spans="1:1" x14ac:dyDescent="0.25">
      <c r="A306403" s="1"/>
    </row>
    <row r="306404" spans="1:1" x14ac:dyDescent="0.25">
      <c r="A306404" s="1"/>
    </row>
    <row r="306405" spans="1:1" x14ac:dyDescent="0.25">
      <c r="A306405" s="1"/>
    </row>
    <row r="306406" spans="1:1" x14ac:dyDescent="0.25">
      <c r="A306406" s="1"/>
    </row>
    <row r="306407" spans="1:1" x14ac:dyDescent="0.25">
      <c r="A306407" s="1"/>
    </row>
    <row r="306408" spans="1:1" x14ac:dyDescent="0.25">
      <c r="A306408" s="1"/>
    </row>
    <row r="306409" spans="1:1" x14ac:dyDescent="0.25">
      <c r="A306409" s="1"/>
    </row>
    <row r="306410" spans="1:1" x14ac:dyDescent="0.25">
      <c r="A306410" s="1"/>
    </row>
    <row r="306411" spans="1:1" x14ac:dyDescent="0.25">
      <c r="A306411" s="1"/>
    </row>
    <row r="306412" spans="1:1" x14ac:dyDescent="0.25">
      <c r="A306412" s="1"/>
    </row>
    <row r="306413" spans="1:1" x14ac:dyDescent="0.25">
      <c r="A306413" s="1"/>
    </row>
    <row r="306414" spans="1:1" x14ac:dyDescent="0.25">
      <c r="A306414" s="1"/>
    </row>
    <row r="306415" spans="1:1" x14ac:dyDescent="0.25">
      <c r="A306415" s="1"/>
    </row>
    <row r="306416" spans="1:1" x14ac:dyDescent="0.25">
      <c r="A306416" s="1"/>
    </row>
    <row r="306417" spans="1:1" x14ac:dyDescent="0.25">
      <c r="A306417" s="1"/>
    </row>
    <row r="306418" spans="1:1" x14ac:dyDescent="0.25">
      <c r="A306418" s="1"/>
    </row>
    <row r="306419" spans="1:1" x14ac:dyDescent="0.25">
      <c r="A306419" s="1"/>
    </row>
    <row r="306420" spans="1:1" x14ac:dyDescent="0.25">
      <c r="A306420" s="1"/>
    </row>
    <row r="306421" spans="1:1" x14ac:dyDescent="0.25">
      <c r="A306421" s="1"/>
    </row>
    <row r="306422" spans="1:1" x14ac:dyDescent="0.25">
      <c r="A306422" s="1"/>
    </row>
    <row r="306423" spans="1:1" x14ac:dyDescent="0.25">
      <c r="A306423" s="1"/>
    </row>
    <row r="306424" spans="1:1" x14ac:dyDescent="0.25">
      <c r="A306424" s="1"/>
    </row>
    <row r="306425" spans="1:1" x14ac:dyDescent="0.25">
      <c r="A306425" s="1"/>
    </row>
    <row r="306426" spans="1:1" x14ac:dyDescent="0.25">
      <c r="A306426" s="1"/>
    </row>
    <row r="306427" spans="1:1" x14ac:dyDescent="0.25">
      <c r="A306427" s="1"/>
    </row>
    <row r="306428" spans="1:1" x14ac:dyDescent="0.25">
      <c r="A306428" s="1"/>
    </row>
    <row r="306429" spans="1:1" x14ac:dyDescent="0.25">
      <c r="A306429" s="1"/>
    </row>
    <row r="306430" spans="1:1" x14ac:dyDescent="0.25">
      <c r="A306430" s="1"/>
    </row>
    <row r="306431" spans="1:1" x14ac:dyDescent="0.25">
      <c r="A306431" s="1"/>
    </row>
    <row r="306432" spans="1:1" x14ac:dyDescent="0.25">
      <c r="A306432" s="1"/>
    </row>
    <row r="306433" spans="1:1" x14ac:dyDescent="0.25">
      <c r="A306433" s="1"/>
    </row>
    <row r="306434" spans="1:1" x14ac:dyDescent="0.25">
      <c r="A306434" s="1"/>
    </row>
    <row r="306435" spans="1:1" x14ac:dyDescent="0.25">
      <c r="A306435" s="1"/>
    </row>
    <row r="306436" spans="1:1" x14ac:dyDescent="0.25">
      <c r="A306436" s="1"/>
    </row>
    <row r="306437" spans="1:1" x14ac:dyDescent="0.25">
      <c r="A306437" s="1"/>
    </row>
    <row r="306438" spans="1:1" x14ac:dyDescent="0.25">
      <c r="A306438" s="1"/>
    </row>
    <row r="306439" spans="1:1" x14ac:dyDescent="0.25">
      <c r="A306439" s="1"/>
    </row>
    <row r="306440" spans="1:1" x14ac:dyDescent="0.25">
      <c r="A306440" s="1"/>
    </row>
    <row r="306441" spans="1:1" x14ac:dyDescent="0.25">
      <c r="A306441" s="1"/>
    </row>
    <row r="306442" spans="1:1" x14ac:dyDescent="0.25">
      <c r="A306442" s="1"/>
    </row>
    <row r="306443" spans="1:1" x14ac:dyDescent="0.25">
      <c r="A306443" s="1"/>
    </row>
    <row r="306444" spans="1:1" x14ac:dyDescent="0.25">
      <c r="A306444" s="1"/>
    </row>
    <row r="306445" spans="1:1" x14ac:dyDescent="0.25">
      <c r="A306445" s="1"/>
    </row>
    <row r="306446" spans="1:1" x14ac:dyDescent="0.25">
      <c r="A306446" s="1"/>
    </row>
    <row r="306447" spans="1:1" x14ac:dyDescent="0.25">
      <c r="A306447" s="1"/>
    </row>
    <row r="306448" spans="1:1" x14ac:dyDescent="0.25">
      <c r="A306448" s="1"/>
    </row>
    <row r="306449" spans="1:1" x14ac:dyDescent="0.25">
      <c r="A306449" s="1"/>
    </row>
    <row r="306450" spans="1:1" x14ac:dyDescent="0.25">
      <c r="A306450" s="1"/>
    </row>
    <row r="306451" spans="1:1" x14ac:dyDescent="0.25">
      <c r="A306451" s="1"/>
    </row>
    <row r="306452" spans="1:1" x14ac:dyDescent="0.25">
      <c r="A306452" s="1"/>
    </row>
    <row r="306453" spans="1:1" x14ac:dyDescent="0.25">
      <c r="A306453" s="1"/>
    </row>
    <row r="306454" spans="1:1" x14ac:dyDescent="0.25">
      <c r="A306454" s="1"/>
    </row>
    <row r="306455" spans="1:1" x14ac:dyDescent="0.25">
      <c r="A306455" s="1"/>
    </row>
    <row r="306456" spans="1:1" x14ac:dyDescent="0.25">
      <c r="A306456" s="1"/>
    </row>
    <row r="306457" spans="1:1" x14ac:dyDescent="0.25">
      <c r="A306457" s="1"/>
    </row>
    <row r="306458" spans="1:1" x14ac:dyDescent="0.25">
      <c r="A306458" s="1"/>
    </row>
    <row r="306459" spans="1:1" x14ac:dyDescent="0.25">
      <c r="A306459" s="1"/>
    </row>
    <row r="306460" spans="1:1" x14ac:dyDescent="0.25">
      <c r="A306460" s="1"/>
    </row>
    <row r="306461" spans="1:1" x14ac:dyDescent="0.25">
      <c r="A306461" s="1"/>
    </row>
    <row r="306462" spans="1:1" x14ac:dyDescent="0.25">
      <c r="A306462" s="1"/>
    </row>
    <row r="306463" spans="1:1" x14ac:dyDescent="0.25">
      <c r="A306463" s="1"/>
    </row>
    <row r="306464" spans="1:1" x14ac:dyDescent="0.25">
      <c r="A306464" s="1"/>
    </row>
    <row r="306465" spans="1:1" x14ac:dyDescent="0.25">
      <c r="A306465" s="1"/>
    </row>
    <row r="306466" spans="1:1" x14ac:dyDescent="0.25">
      <c r="A306466" s="1"/>
    </row>
    <row r="306467" spans="1:1" x14ac:dyDescent="0.25">
      <c r="A306467" s="1"/>
    </row>
    <row r="306468" spans="1:1" x14ac:dyDescent="0.25">
      <c r="A306468" s="1"/>
    </row>
    <row r="306469" spans="1:1" x14ac:dyDescent="0.25">
      <c r="A306469" s="1"/>
    </row>
    <row r="306470" spans="1:1" x14ac:dyDescent="0.25">
      <c r="A306470" s="1"/>
    </row>
    <row r="306471" spans="1:1" x14ac:dyDescent="0.25">
      <c r="A306471" s="1"/>
    </row>
    <row r="306472" spans="1:1" x14ac:dyDescent="0.25">
      <c r="A306472" s="1"/>
    </row>
    <row r="306473" spans="1:1" x14ac:dyDescent="0.25">
      <c r="A306473" s="1"/>
    </row>
    <row r="306474" spans="1:1" x14ac:dyDescent="0.25">
      <c r="A306474" s="1"/>
    </row>
    <row r="306475" spans="1:1" x14ac:dyDescent="0.25">
      <c r="A306475" s="1"/>
    </row>
    <row r="306476" spans="1:1" x14ac:dyDescent="0.25">
      <c r="A306476" s="1"/>
    </row>
    <row r="306477" spans="1:1" x14ac:dyDescent="0.25">
      <c r="A306477" s="1"/>
    </row>
    <row r="306478" spans="1:1" x14ac:dyDescent="0.25">
      <c r="A306478" s="1"/>
    </row>
    <row r="306479" spans="1:1" x14ac:dyDescent="0.25">
      <c r="A306479" s="1"/>
    </row>
    <row r="306480" spans="1:1" x14ac:dyDescent="0.25">
      <c r="A306480" s="1"/>
    </row>
    <row r="306481" spans="1:1" x14ac:dyDescent="0.25">
      <c r="A306481" s="1"/>
    </row>
    <row r="306482" spans="1:1" x14ac:dyDescent="0.25">
      <c r="A306482" s="1"/>
    </row>
    <row r="306483" spans="1:1" x14ac:dyDescent="0.25">
      <c r="A306483" s="1"/>
    </row>
    <row r="306484" spans="1:1" x14ac:dyDescent="0.25">
      <c r="A306484" s="1"/>
    </row>
    <row r="306485" spans="1:1" x14ac:dyDescent="0.25">
      <c r="A306485" s="1"/>
    </row>
    <row r="306486" spans="1:1" x14ac:dyDescent="0.25">
      <c r="A306486" s="1"/>
    </row>
    <row r="306487" spans="1:1" x14ac:dyDescent="0.25">
      <c r="A306487" s="1"/>
    </row>
    <row r="306488" spans="1:1" x14ac:dyDescent="0.25">
      <c r="A306488" s="1"/>
    </row>
    <row r="306489" spans="1:1" x14ac:dyDescent="0.25">
      <c r="A306489" s="1"/>
    </row>
    <row r="306490" spans="1:1" x14ac:dyDescent="0.25">
      <c r="A306490" s="1"/>
    </row>
    <row r="306491" spans="1:1" x14ac:dyDescent="0.25">
      <c r="A306491" s="1"/>
    </row>
    <row r="306492" spans="1:1" x14ac:dyDescent="0.25">
      <c r="A306492" s="1"/>
    </row>
    <row r="306493" spans="1:1" x14ac:dyDescent="0.25">
      <c r="A306493" s="1"/>
    </row>
    <row r="306494" spans="1:1" x14ac:dyDescent="0.25">
      <c r="A306494" s="1"/>
    </row>
    <row r="306495" spans="1:1" x14ac:dyDescent="0.25">
      <c r="A306495" s="1"/>
    </row>
    <row r="306496" spans="1:1" x14ac:dyDescent="0.25">
      <c r="A306496" s="1"/>
    </row>
    <row r="306497" spans="1:1" x14ac:dyDescent="0.25">
      <c r="A306497" s="1"/>
    </row>
    <row r="306498" spans="1:1" x14ac:dyDescent="0.25">
      <c r="A306498" s="1"/>
    </row>
    <row r="306499" spans="1:1" x14ac:dyDescent="0.25">
      <c r="A306499" s="1"/>
    </row>
    <row r="306500" spans="1:1" x14ac:dyDescent="0.25">
      <c r="A306500" s="1"/>
    </row>
    <row r="306501" spans="1:1" x14ac:dyDescent="0.25">
      <c r="A306501" s="1"/>
    </row>
    <row r="306502" spans="1:1" x14ac:dyDescent="0.25">
      <c r="A306502" s="1"/>
    </row>
    <row r="306503" spans="1:1" x14ac:dyDescent="0.25">
      <c r="A306503" s="1"/>
    </row>
    <row r="306504" spans="1:1" x14ac:dyDescent="0.25">
      <c r="A306504" s="1"/>
    </row>
    <row r="306505" spans="1:1" x14ac:dyDescent="0.25">
      <c r="A306505" s="1"/>
    </row>
    <row r="306506" spans="1:1" x14ac:dyDescent="0.25">
      <c r="A306506" s="1"/>
    </row>
    <row r="306507" spans="1:1" x14ac:dyDescent="0.25">
      <c r="A306507" s="1"/>
    </row>
    <row r="306508" spans="1:1" x14ac:dyDescent="0.25">
      <c r="A306508" s="1"/>
    </row>
    <row r="306509" spans="1:1" x14ac:dyDescent="0.25">
      <c r="A306509" s="1"/>
    </row>
    <row r="306510" spans="1:1" x14ac:dyDescent="0.25">
      <c r="A306510" s="1"/>
    </row>
    <row r="306511" spans="1:1" x14ac:dyDescent="0.25">
      <c r="A306511" s="1"/>
    </row>
    <row r="306512" spans="1:1" x14ac:dyDescent="0.25">
      <c r="A306512" s="1"/>
    </row>
    <row r="306513" spans="1:1" x14ac:dyDescent="0.25">
      <c r="A306513" s="1"/>
    </row>
    <row r="306514" spans="1:1" x14ac:dyDescent="0.25">
      <c r="A306514" s="1"/>
    </row>
    <row r="306515" spans="1:1" x14ac:dyDescent="0.25">
      <c r="A306515" s="1"/>
    </row>
    <row r="306516" spans="1:1" x14ac:dyDescent="0.25">
      <c r="A306516" s="1"/>
    </row>
    <row r="306517" spans="1:1" x14ac:dyDescent="0.25">
      <c r="A306517" s="1"/>
    </row>
    <row r="306518" spans="1:1" x14ac:dyDescent="0.25">
      <c r="A306518" s="1"/>
    </row>
    <row r="306519" spans="1:1" x14ac:dyDescent="0.25">
      <c r="A306519" s="1"/>
    </row>
    <row r="306520" spans="1:1" x14ac:dyDescent="0.25">
      <c r="A306520" s="1"/>
    </row>
    <row r="306521" spans="1:1" x14ac:dyDescent="0.25">
      <c r="A306521" s="1"/>
    </row>
    <row r="306522" spans="1:1" x14ac:dyDescent="0.25">
      <c r="A306522" s="1"/>
    </row>
    <row r="306523" spans="1:1" x14ac:dyDescent="0.25">
      <c r="A306523" s="1"/>
    </row>
    <row r="306524" spans="1:1" x14ac:dyDescent="0.25">
      <c r="A306524" s="1"/>
    </row>
    <row r="306525" spans="1:1" x14ac:dyDescent="0.25">
      <c r="A306525" s="1"/>
    </row>
    <row r="306526" spans="1:1" x14ac:dyDescent="0.25">
      <c r="A306526" s="1"/>
    </row>
    <row r="306527" spans="1:1" x14ac:dyDescent="0.25">
      <c r="A306527" s="1"/>
    </row>
    <row r="306528" spans="1:1" x14ac:dyDescent="0.25">
      <c r="A306528" s="1"/>
    </row>
    <row r="306529" spans="1:1" x14ac:dyDescent="0.25">
      <c r="A306529" s="1"/>
    </row>
    <row r="306530" spans="1:1" x14ac:dyDescent="0.25">
      <c r="A306530" s="1"/>
    </row>
    <row r="306531" spans="1:1" x14ac:dyDescent="0.25">
      <c r="A306531" s="1"/>
    </row>
    <row r="306532" spans="1:1" x14ac:dyDescent="0.25">
      <c r="A306532" s="1"/>
    </row>
    <row r="306533" spans="1:1" x14ac:dyDescent="0.25">
      <c r="A306533" s="1"/>
    </row>
    <row r="306534" spans="1:1" x14ac:dyDescent="0.25">
      <c r="A306534" s="1"/>
    </row>
    <row r="306535" spans="1:1" x14ac:dyDescent="0.25">
      <c r="A306535" s="1"/>
    </row>
    <row r="306536" spans="1:1" x14ac:dyDescent="0.25">
      <c r="A306536" s="1"/>
    </row>
    <row r="306537" spans="1:1" x14ac:dyDescent="0.25">
      <c r="A306537" s="1"/>
    </row>
    <row r="306538" spans="1:1" x14ac:dyDescent="0.25">
      <c r="A306538" s="1"/>
    </row>
    <row r="306539" spans="1:1" x14ac:dyDescent="0.25">
      <c r="A306539" s="1"/>
    </row>
    <row r="306540" spans="1:1" x14ac:dyDescent="0.25">
      <c r="A306540" s="1"/>
    </row>
    <row r="306541" spans="1:1" x14ac:dyDescent="0.25">
      <c r="A306541" s="1"/>
    </row>
    <row r="306542" spans="1:1" x14ac:dyDescent="0.25">
      <c r="A306542" s="1"/>
    </row>
    <row r="306543" spans="1:1" x14ac:dyDescent="0.25">
      <c r="A306543" s="1"/>
    </row>
    <row r="306544" spans="1:1" x14ac:dyDescent="0.25">
      <c r="A306544" s="1"/>
    </row>
    <row r="306545" spans="1:1" x14ac:dyDescent="0.25">
      <c r="A306545" s="1"/>
    </row>
    <row r="306546" spans="1:1" x14ac:dyDescent="0.25">
      <c r="A306546" s="1"/>
    </row>
    <row r="306547" spans="1:1" x14ac:dyDescent="0.25">
      <c r="A306547" s="1"/>
    </row>
    <row r="306548" spans="1:1" x14ac:dyDescent="0.25">
      <c r="A306548" s="1"/>
    </row>
    <row r="306549" spans="1:1" x14ac:dyDescent="0.25">
      <c r="A306549" s="1"/>
    </row>
    <row r="306550" spans="1:1" x14ac:dyDescent="0.25">
      <c r="A306550" s="1"/>
    </row>
    <row r="306551" spans="1:1" x14ac:dyDescent="0.25">
      <c r="A306551" s="1"/>
    </row>
    <row r="306552" spans="1:1" x14ac:dyDescent="0.25">
      <c r="A306552" s="1"/>
    </row>
    <row r="306553" spans="1:1" x14ac:dyDescent="0.25">
      <c r="A306553" s="1"/>
    </row>
    <row r="306554" spans="1:1" x14ac:dyDescent="0.25">
      <c r="A306554" s="1"/>
    </row>
    <row r="306555" spans="1:1" x14ac:dyDescent="0.25">
      <c r="A306555" s="1"/>
    </row>
    <row r="306556" spans="1:1" x14ac:dyDescent="0.25">
      <c r="A306556" s="1"/>
    </row>
    <row r="306557" spans="1:1" x14ac:dyDescent="0.25">
      <c r="A306557" s="1"/>
    </row>
    <row r="306558" spans="1:1" x14ac:dyDescent="0.25">
      <c r="A306558" s="1"/>
    </row>
    <row r="306559" spans="1:1" x14ac:dyDescent="0.25">
      <c r="A306559" s="1"/>
    </row>
    <row r="306560" spans="1:1" x14ac:dyDescent="0.25">
      <c r="A306560" s="1"/>
    </row>
    <row r="306561" spans="1:1" x14ac:dyDescent="0.25">
      <c r="A306561" s="1"/>
    </row>
    <row r="306562" spans="1:1" x14ac:dyDescent="0.25">
      <c r="A306562" s="1"/>
    </row>
    <row r="306563" spans="1:1" x14ac:dyDescent="0.25">
      <c r="A306563" s="1"/>
    </row>
    <row r="306564" spans="1:1" x14ac:dyDescent="0.25">
      <c r="A306564" s="1"/>
    </row>
    <row r="306565" spans="1:1" x14ac:dyDescent="0.25">
      <c r="A306565" s="1"/>
    </row>
    <row r="306566" spans="1:1" x14ac:dyDescent="0.25">
      <c r="A306566" s="1"/>
    </row>
    <row r="306567" spans="1:1" x14ac:dyDescent="0.25">
      <c r="A306567" s="1"/>
    </row>
    <row r="306568" spans="1:1" x14ac:dyDescent="0.25">
      <c r="A306568" s="1"/>
    </row>
    <row r="306569" spans="1:1" x14ac:dyDescent="0.25">
      <c r="A306569" s="1"/>
    </row>
    <row r="306570" spans="1:1" x14ac:dyDescent="0.25">
      <c r="A306570" s="1"/>
    </row>
    <row r="306571" spans="1:1" x14ac:dyDescent="0.25">
      <c r="A306571" s="1"/>
    </row>
    <row r="306572" spans="1:1" x14ac:dyDescent="0.25">
      <c r="A306572" s="1"/>
    </row>
    <row r="306573" spans="1:1" x14ac:dyDescent="0.25">
      <c r="A306573" s="1"/>
    </row>
    <row r="306574" spans="1:1" x14ac:dyDescent="0.25">
      <c r="A306574" s="1"/>
    </row>
    <row r="306575" spans="1:1" x14ac:dyDescent="0.25">
      <c r="A306575" s="1"/>
    </row>
    <row r="306576" spans="1:1" x14ac:dyDescent="0.25">
      <c r="A306576" s="1"/>
    </row>
    <row r="306577" spans="1:1" x14ac:dyDescent="0.25">
      <c r="A306577" s="1"/>
    </row>
    <row r="306578" spans="1:1" x14ac:dyDescent="0.25">
      <c r="A306578" s="1"/>
    </row>
    <row r="306579" spans="1:1" x14ac:dyDescent="0.25">
      <c r="A306579" s="1"/>
    </row>
    <row r="306580" spans="1:1" x14ac:dyDescent="0.25">
      <c r="A306580" s="1"/>
    </row>
    <row r="306581" spans="1:1" x14ac:dyDescent="0.25">
      <c r="A306581" s="1"/>
    </row>
    <row r="306582" spans="1:1" x14ac:dyDescent="0.25">
      <c r="A306582" s="1"/>
    </row>
    <row r="306583" spans="1:1" x14ac:dyDescent="0.25">
      <c r="A306583" s="1"/>
    </row>
    <row r="306584" spans="1:1" x14ac:dyDescent="0.25">
      <c r="A306584" s="1"/>
    </row>
    <row r="306585" spans="1:1" x14ac:dyDescent="0.25">
      <c r="A306585" s="1"/>
    </row>
    <row r="306586" spans="1:1" x14ac:dyDescent="0.25">
      <c r="A306586" s="1"/>
    </row>
    <row r="306587" spans="1:1" x14ac:dyDescent="0.25">
      <c r="A306587" s="1"/>
    </row>
    <row r="306588" spans="1:1" x14ac:dyDescent="0.25">
      <c r="A306588" s="1"/>
    </row>
    <row r="306589" spans="1:1" x14ac:dyDescent="0.25">
      <c r="A306589" s="1"/>
    </row>
    <row r="306590" spans="1:1" x14ac:dyDescent="0.25">
      <c r="A306590" s="1"/>
    </row>
    <row r="306591" spans="1:1" x14ac:dyDescent="0.25">
      <c r="A306591" s="1"/>
    </row>
    <row r="306592" spans="1:1" x14ac:dyDescent="0.25">
      <c r="A306592" s="1"/>
    </row>
    <row r="306593" spans="1:1" x14ac:dyDescent="0.25">
      <c r="A306593" s="1"/>
    </row>
    <row r="306594" spans="1:1" x14ac:dyDescent="0.25">
      <c r="A306594" s="1"/>
    </row>
    <row r="306595" spans="1:1" x14ac:dyDescent="0.25">
      <c r="A306595" s="1"/>
    </row>
    <row r="306596" spans="1:1" x14ac:dyDescent="0.25">
      <c r="A306596" s="1"/>
    </row>
    <row r="306597" spans="1:1" x14ac:dyDescent="0.25">
      <c r="A306597" s="1"/>
    </row>
    <row r="306598" spans="1:1" x14ac:dyDescent="0.25">
      <c r="A306598" s="1"/>
    </row>
    <row r="306599" spans="1:1" x14ac:dyDescent="0.25">
      <c r="A306599" s="1"/>
    </row>
    <row r="306600" spans="1:1" x14ac:dyDescent="0.25">
      <c r="A306600" s="1"/>
    </row>
    <row r="306601" spans="1:1" x14ac:dyDescent="0.25">
      <c r="A306601" s="1"/>
    </row>
    <row r="306602" spans="1:1" x14ac:dyDescent="0.25">
      <c r="A306602" s="1"/>
    </row>
    <row r="306603" spans="1:1" x14ac:dyDescent="0.25">
      <c r="A306603" s="1"/>
    </row>
    <row r="306604" spans="1:1" x14ac:dyDescent="0.25">
      <c r="A306604" s="1"/>
    </row>
    <row r="306605" spans="1:1" x14ac:dyDescent="0.25">
      <c r="A306605" s="1"/>
    </row>
    <row r="306606" spans="1:1" x14ac:dyDescent="0.25">
      <c r="A306606" s="1"/>
    </row>
    <row r="306607" spans="1:1" x14ac:dyDescent="0.25">
      <c r="A306607" s="1"/>
    </row>
    <row r="306608" spans="1:1" x14ac:dyDescent="0.25">
      <c r="A306608" s="1"/>
    </row>
    <row r="306609" spans="1:1" x14ac:dyDescent="0.25">
      <c r="A306609" s="1"/>
    </row>
    <row r="306610" spans="1:1" x14ac:dyDescent="0.25">
      <c r="A306610" s="1"/>
    </row>
    <row r="306611" spans="1:1" x14ac:dyDescent="0.25">
      <c r="A306611" s="1"/>
    </row>
    <row r="306612" spans="1:1" x14ac:dyDescent="0.25">
      <c r="A306612" s="1"/>
    </row>
    <row r="306613" spans="1:1" x14ac:dyDescent="0.25">
      <c r="A306613" s="1"/>
    </row>
    <row r="306614" spans="1:1" x14ac:dyDescent="0.25">
      <c r="A306614" s="1"/>
    </row>
    <row r="306615" spans="1:1" x14ac:dyDescent="0.25">
      <c r="A306615" s="1"/>
    </row>
    <row r="306616" spans="1:1" x14ac:dyDescent="0.25">
      <c r="A306616" s="1"/>
    </row>
    <row r="306617" spans="1:1" x14ac:dyDescent="0.25">
      <c r="A306617" s="1"/>
    </row>
    <row r="306618" spans="1:1" x14ac:dyDescent="0.25">
      <c r="A306618" s="1"/>
    </row>
    <row r="306619" spans="1:1" x14ac:dyDescent="0.25">
      <c r="A306619" s="1"/>
    </row>
    <row r="306620" spans="1:1" x14ac:dyDescent="0.25">
      <c r="A306620" s="1"/>
    </row>
    <row r="306621" spans="1:1" x14ac:dyDescent="0.25">
      <c r="A306621" s="1"/>
    </row>
    <row r="306622" spans="1:1" x14ac:dyDescent="0.25">
      <c r="A306622" s="1"/>
    </row>
    <row r="306623" spans="1:1" x14ac:dyDescent="0.25">
      <c r="A306623" s="1"/>
    </row>
    <row r="306624" spans="1:1" x14ac:dyDescent="0.25">
      <c r="A306624" s="1"/>
    </row>
    <row r="306625" spans="1:1" x14ac:dyDescent="0.25">
      <c r="A306625" s="1"/>
    </row>
    <row r="306626" spans="1:1" x14ac:dyDescent="0.25">
      <c r="A306626" s="1"/>
    </row>
    <row r="306627" spans="1:1" x14ac:dyDescent="0.25">
      <c r="A306627" s="1"/>
    </row>
    <row r="306628" spans="1:1" x14ac:dyDescent="0.25">
      <c r="A306628" s="1"/>
    </row>
    <row r="306629" spans="1:1" x14ac:dyDescent="0.25">
      <c r="A306629" s="1"/>
    </row>
    <row r="306630" spans="1:1" x14ac:dyDescent="0.25">
      <c r="A306630" s="1"/>
    </row>
    <row r="306631" spans="1:1" x14ac:dyDescent="0.25">
      <c r="A306631" s="1"/>
    </row>
    <row r="306632" spans="1:1" x14ac:dyDescent="0.25">
      <c r="A306632" s="1"/>
    </row>
    <row r="306633" spans="1:1" x14ac:dyDescent="0.25">
      <c r="A306633" s="1"/>
    </row>
    <row r="306634" spans="1:1" x14ac:dyDescent="0.25">
      <c r="A306634" s="1"/>
    </row>
    <row r="306635" spans="1:1" x14ac:dyDescent="0.25">
      <c r="A306635" s="1"/>
    </row>
    <row r="306636" spans="1:1" x14ac:dyDescent="0.25">
      <c r="A306636" s="1"/>
    </row>
    <row r="306637" spans="1:1" x14ac:dyDescent="0.25">
      <c r="A306637" s="1"/>
    </row>
    <row r="306638" spans="1:1" x14ac:dyDescent="0.25">
      <c r="A306638" s="1"/>
    </row>
    <row r="306639" spans="1:1" x14ac:dyDescent="0.25">
      <c r="A306639" s="1"/>
    </row>
    <row r="306640" spans="1:1" x14ac:dyDescent="0.25">
      <c r="A306640" s="1"/>
    </row>
    <row r="306641" spans="1:1" x14ac:dyDescent="0.25">
      <c r="A306641" s="1"/>
    </row>
    <row r="306642" spans="1:1" x14ac:dyDescent="0.25">
      <c r="A306642" s="1"/>
    </row>
    <row r="306643" spans="1:1" x14ac:dyDescent="0.25">
      <c r="A306643" s="1"/>
    </row>
    <row r="306644" spans="1:1" x14ac:dyDescent="0.25">
      <c r="A306644" s="1"/>
    </row>
    <row r="306645" spans="1:1" x14ac:dyDescent="0.25">
      <c r="A306645" s="1"/>
    </row>
    <row r="306646" spans="1:1" x14ac:dyDescent="0.25">
      <c r="A306646" s="1"/>
    </row>
    <row r="306647" spans="1:1" x14ac:dyDescent="0.25">
      <c r="A306647" s="1"/>
    </row>
    <row r="306648" spans="1:1" x14ac:dyDescent="0.25">
      <c r="A306648" s="1"/>
    </row>
    <row r="306649" spans="1:1" x14ac:dyDescent="0.25">
      <c r="A306649" s="1"/>
    </row>
    <row r="306650" spans="1:1" x14ac:dyDescent="0.25">
      <c r="A306650" s="1"/>
    </row>
    <row r="306651" spans="1:1" x14ac:dyDescent="0.25">
      <c r="A306651" s="1"/>
    </row>
    <row r="306652" spans="1:1" x14ac:dyDescent="0.25">
      <c r="A306652" s="1"/>
    </row>
    <row r="306653" spans="1:1" x14ac:dyDescent="0.25">
      <c r="A306653" s="1"/>
    </row>
    <row r="306654" spans="1:1" x14ac:dyDescent="0.25">
      <c r="A306654" s="1"/>
    </row>
    <row r="306655" spans="1:1" x14ac:dyDescent="0.25">
      <c r="A306655" s="1"/>
    </row>
    <row r="306656" spans="1:1" x14ac:dyDescent="0.25">
      <c r="A306656" s="1"/>
    </row>
    <row r="306657" spans="1:1" x14ac:dyDescent="0.25">
      <c r="A306657" s="1"/>
    </row>
    <row r="306658" spans="1:1" x14ac:dyDescent="0.25">
      <c r="A306658" s="1"/>
    </row>
    <row r="306659" spans="1:1" x14ac:dyDescent="0.25">
      <c r="A306659" s="1"/>
    </row>
    <row r="306660" spans="1:1" x14ac:dyDescent="0.25">
      <c r="A306660" s="1"/>
    </row>
    <row r="306661" spans="1:1" x14ac:dyDescent="0.25">
      <c r="A306661" s="1"/>
    </row>
    <row r="306662" spans="1:1" x14ac:dyDescent="0.25">
      <c r="A306662" s="1"/>
    </row>
    <row r="306663" spans="1:1" x14ac:dyDescent="0.25">
      <c r="A306663" s="1"/>
    </row>
    <row r="306664" spans="1:1" x14ac:dyDescent="0.25">
      <c r="A306664" s="1"/>
    </row>
    <row r="306665" spans="1:1" x14ac:dyDescent="0.25">
      <c r="A306665" s="1"/>
    </row>
    <row r="306666" spans="1:1" x14ac:dyDescent="0.25">
      <c r="A306666" s="1"/>
    </row>
    <row r="306667" spans="1:1" x14ac:dyDescent="0.25">
      <c r="A306667" s="1"/>
    </row>
    <row r="306668" spans="1:1" x14ac:dyDescent="0.25">
      <c r="A306668" s="1"/>
    </row>
    <row r="306669" spans="1:1" x14ac:dyDescent="0.25">
      <c r="A306669" s="1"/>
    </row>
    <row r="306670" spans="1:1" x14ac:dyDescent="0.25">
      <c r="A306670" s="1"/>
    </row>
    <row r="306671" spans="1:1" x14ac:dyDescent="0.25">
      <c r="A306671" s="1"/>
    </row>
    <row r="306672" spans="1:1" x14ac:dyDescent="0.25">
      <c r="A306672" s="1"/>
    </row>
    <row r="306673" spans="1:1" x14ac:dyDescent="0.25">
      <c r="A306673" s="1"/>
    </row>
    <row r="306674" spans="1:1" x14ac:dyDescent="0.25">
      <c r="A306674" s="1"/>
    </row>
    <row r="306675" spans="1:1" x14ac:dyDescent="0.25">
      <c r="A306675" s="1"/>
    </row>
    <row r="306676" spans="1:1" x14ac:dyDescent="0.25">
      <c r="A306676" s="1"/>
    </row>
    <row r="306677" spans="1:1" x14ac:dyDescent="0.25">
      <c r="A306677" s="1"/>
    </row>
    <row r="306678" spans="1:1" x14ac:dyDescent="0.25">
      <c r="A306678" s="1"/>
    </row>
    <row r="306679" spans="1:1" x14ac:dyDescent="0.25">
      <c r="A306679" s="1"/>
    </row>
    <row r="306680" spans="1:1" x14ac:dyDescent="0.25">
      <c r="A306680" s="1"/>
    </row>
    <row r="306681" spans="1:1" x14ac:dyDescent="0.25">
      <c r="A306681" s="1"/>
    </row>
    <row r="306682" spans="1:1" x14ac:dyDescent="0.25">
      <c r="A306682" s="1"/>
    </row>
    <row r="306683" spans="1:1" x14ac:dyDescent="0.25">
      <c r="A306683" s="1"/>
    </row>
    <row r="306684" spans="1:1" x14ac:dyDescent="0.25">
      <c r="A306684" s="1"/>
    </row>
    <row r="306685" spans="1:1" x14ac:dyDescent="0.25">
      <c r="A306685" s="1"/>
    </row>
    <row r="306686" spans="1:1" x14ac:dyDescent="0.25">
      <c r="A306686" s="1"/>
    </row>
    <row r="306687" spans="1:1" x14ac:dyDescent="0.25">
      <c r="A306687" s="1"/>
    </row>
    <row r="306688" spans="1:1" x14ac:dyDescent="0.25">
      <c r="A306688" s="1"/>
    </row>
    <row r="306689" spans="1:1" x14ac:dyDescent="0.25">
      <c r="A306689" s="1"/>
    </row>
    <row r="306690" spans="1:1" x14ac:dyDescent="0.25">
      <c r="A306690" s="1"/>
    </row>
    <row r="306691" spans="1:1" x14ac:dyDescent="0.25">
      <c r="A306691" s="1"/>
    </row>
    <row r="306692" spans="1:1" x14ac:dyDescent="0.25">
      <c r="A306692" s="1"/>
    </row>
    <row r="306693" spans="1:1" x14ac:dyDescent="0.25">
      <c r="A306693" s="1"/>
    </row>
    <row r="306694" spans="1:1" x14ac:dyDescent="0.25">
      <c r="A306694" s="1"/>
    </row>
    <row r="306695" spans="1:1" x14ac:dyDescent="0.25">
      <c r="A306695" s="1"/>
    </row>
    <row r="306696" spans="1:1" x14ac:dyDescent="0.25">
      <c r="A306696" s="1"/>
    </row>
    <row r="306697" spans="1:1" x14ac:dyDescent="0.25">
      <c r="A306697" s="1"/>
    </row>
    <row r="306698" spans="1:1" x14ac:dyDescent="0.25">
      <c r="A306698" s="1"/>
    </row>
    <row r="306699" spans="1:1" x14ac:dyDescent="0.25">
      <c r="A306699" s="1"/>
    </row>
    <row r="306700" spans="1:1" x14ac:dyDescent="0.25">
      <c r="A306700" s="1"/>
    </row>
    <row r="306701" spans="1:1" x14ac:dyDescent="0.25">
      <c r="A306701" s="1"/>
    </row>
    <row r="306702" spans="1:1" x14ac:dyDescent="0.25">
      <c r="A306702" s="1"/>
    </row>
    <row r="306703" spans="1:1" x14ac:dyDescent="0.25">
      <c r="A306703" s="1"/>
    </row>
    <row r="306704" spans="1:1" x14ac:dyDescent="0.25">
      <c r="A306704" s="1"/>
    </row>
    <row r="306705" spans="1:1" x14ac:dyDescent="0.25">
      <c r="A306705" s="1"/>
    </row>
    <row r="306706" spans="1:1" x14ac:dyDescent="0.25">
      <c r="A306706" s="1"/>
    </row>
    <row r="306707" spans="1:1" x14ac:dyDescent="0.25">
      <c r="A306707" s="1"/>
    </row>
    <row r="306708" spans="1:1" x14ac:dyDescent="0.25">
      <c r="A306708" s="1"/>
    </row>
    <row r="306709" spans="1:1" x14ac:dyDescent="0.25">
      <c r="A306709" s="1"/>
    </row>
    <row r="306710" spans="1:1" x14ac:dyDescent="0.25">
      <c r="A306710" s="1"/>
    </row>
    <row r="306711" spans="1:1" x14ac:dyDescent="0.25">
      <c r="A306711" s="1"/>
    </row>
    <row r="306712" spans="1:1" x14ac:dyDescent="0.25">
      <c r="A306712" s="1"/>
    </row>
    <row r="306713" spans="1:1" x14ac:dyDescent="0.25">
      <c r="A306713" s="1"/>
    </row>
    <row r="306714" spans="1:1" x14ac:dyDescent="0.25">
      <c r="A306714" s="1"/>
    </row>
    <row r="306715" spans="1:1" x14ac:dyDescent="0.25">
      <c r="A306715" s="1"/>
    </row>
    <row r="306716" spans="1:1" x14ac:dyDescent="0.25">
      <c r="A306716" s="1"/>
    </row>
    <row r="306717" spans="1:1" x14ac:dyDescent="0.25">
      <c r="A306717" s="1"/>
    </row>
    <row r="306718" spans="1:1" x14ac:dyDescent="0.25">
      <c r="A306718" s="1"/>
    </row>
    <row r="306719" spans="1:1" x14ac:dyDescent="0.25">
      <c r="A306719" s="1"/>
    </row>
    <row r="306720" spans="1:1" x14ac:dyDescent="0.25">
      <c r="A306720" s="1"/>
    </row>
    <row r="306721" spans="1:1" x14ac:dyDescent="0.25">
      <c r="A306721" s="1"/>
    </row>
    <row r="306722" spans="1:1" x14ac:dyDescent="0.25">
      <c r="A306722" s="1"/>
    </row>
    <row r="306723" spans="1:1" x14ac:dyDescent="0.25">
      <c r="A306723" s="1"/>
    </row>
    <row r="306724" spans="1:1" x14ac:dyDescent="0.25">
      <c r="A306724" s="1"/>
    </row>
    <row r="306725" spans="1:1" x14ac:dyDescent="0.25">
      <c r="A306725" s="1"/>
    </row>
    <row r="306726" spans="1:1" x14ac:dyDescent="0.25">
      <c r="A306726" s="1"/>
    </row>
    <row r="306727" spans="1:1" x14ac:dyDescent="0.25">
      <c r="A306727" s="1"/>
    </row>
    <row r="306728" spans="1:1" x14ac:dyDescent="0.25">
      <c r="A306728" s="1"/>
    </row>
    <row r="306729" spans="1:1" x14ac:dyDescent="0.25">
      <c r="A306729" s="1"/>
    </row>
    <row r="306730" spans="1:1" x14ac:dyDescent="0.25">
      <c r="A306730" s="1"/>
    </row>
    <row r="306731" spans="1:1" x14ac:dyDescent="0.25">
      <c r="A306731" s="1"/>
    </row>
    <row r="306732" spans="1:1" x14ac:dyDescent="0.25">
      <c r="A306732" s="1"/>
    </row>
    <row r="306733" spans="1:1" x14ac:dyDescent="0.25">
      <c r="A306733" s="1"/>
    </row>
    <row r="306734" spans="1:1" x14ac:dyDescent="0.25">
      <c r="A306734" s="1"/>
    </row>
    <row r="306735" spans="1:1" x14ac:dyDescent="0.25">
      <c r="A306735" s="1"/>
    </row>
    <row r="306736" spans="1:1" x14ac:dyDescent="0.25">
      <c r="A306736" s="1"/>
    </row>
    <row r="306737" spans="1:1" x14ac:dyDescent="0.25">
      <c r="A306737" s="1"/>
    </row>
    <row r="306738" spans="1:1" x14ac:dyDescent="0.25">
      <c r="A306738" s="1"/>
    </row>
    <row r="306739" spans="1:1" x14ac:dyDescent="0.25">
      <c r="A306739" s="1"/>
    </row>
    <row r="306740" spans="1:1" x14ac:dyDescent="0.25">
      <c r="A306740" s="1"/>
    </row>
    <row r="306741" spans="1:1" x14ac:dyDescent="0.25">
      <c r="A306741" s="1"/>
    </row>
    <row r="306742" spans="1:1" x14ac:dyDescent="0.25">
      <c r="A306742" s="1"/>
    </row>
    <row r="306743" spans="1:1" x14ac:dyDescent="0.25">
      <c r="A306743" s="1"/>
    </row>
    <row r="306744" spans="1:1" x14ac:dyDescent="0.25">
      <c r="A306744" s="1"/>
    </row>
    <row r="306745" spans="1:1" x14ac:dyDescent="0.25">
      <c r="A306745" s="1"/>
    </row>
    <row r="306746" spans="1:1" x14ac:dyDescent="0.25">
      <c r="A306746" s="1"/>
    </row>
    <row r="306747" spans="1:1" x14ac:dyDescent="0.25">
      <c r="A306747" s="1"/>
    </row>
    <row r="306748" spans="1:1" x14ac:dyDescent="0.25">
      <c r="A306748" s="1"/>
    </row>
    <row r="306749" spans="1:1" x14ac:dyDescent="0.25">
      <c r="A306749" s="1"/>
    </row>
    <row r="306750" spans="1:1" x14ac:dyDescent="0.25">
      <c r="A306750" s="1"/>
    </row>
    <row r="306751" spans="1:1" x14ac:dyDescent="0.25">
      <c r="A306751" s="1"/>
    </row>
    <row r="306752" spans="1:1" x14ac:dyDescent="0.25">
      <c r="A306752" s="1"/>
    </row>
    <row r="306753" spans="1:1" x14ac:dyDescent="0.25">
      <c r="A306753" s="1"/>
    </row>
    <row r="306754" spans="1:1" x14ac:dyDescent="0.25">
      <c r="A306754" s="1"/>
    </row>
    <row r="306755" spans="1:1" x14ac:dyDescent="0.25">
      <c r="A306755" s="1"/>
    </row>
    <row r="306756" spans="1:1" x14ac:dyDescent="0.25">
      <c r="A306756" s="1"/>
    </row>
    <row r="306757" spans="1:1" x14ac:dyDescent="0.25">
      <c r="A306757" s="1"/>
    </row>
    <row r="306758" spans="1:1" x14ac:dyDescent="0.25">
      <c r="A306758" s="1"/>
    </row>
    <row r="306759" spans="1:1" x14ac:dyDescent="0.25">
      <c r="A306759" s="1"/>
    </row>
    <row r="306760" spans="1:1" x14ac:dyDescent="0.25">
      <c r="A306760" s="1"/>
    </row>
    <row r="306761" spans="1:1" x14ac:dyDescent="0.25">
      <c r="A306761" s="1"/>
    </row>
    <row r="306762" spans="1:1" x14ac:dyDescent="0.25">
      <c r="A306762" s="1"/>
    </row>
    <row r="306763" spans="1:1" x14ac:dyDescent="0.25">
      <c r="A306763" s="1"/>
    </row>
    <row r="306764" spans="1:1" x14ac:dyDescent="0.25">
      <c r="A306764" s="1"/>
    </row>
    <row r="306765" spans="1:1" x14ac:dyDescent="0.25">
      <c r="A306765" s="1"/>
    </row>
    <row r="306766" spans="1:1" x14ac:dyDescent="0.25">
      <c r="A306766" s="1"/>
    </row>
    <row r="306767" spans="1:1" x14ac:dyDescent="0.25">
      <c r="A306767" s="1"/>
    </row>
    <row r="306768" spans="1:1" x14ac:dyDescent="0.25">
      <c r="A306768" s="1"/>
    </row>
    <row r="306769" spans="1:1" x14ac:dyDescent="0.25">
      <c r="A306769" s="1"/>
    </row>
    <row r="306770" spans="1:1" x14ac:dyDescent="0.25">
      <c r="A306770" s="1"/>
    </row>
    <row r="306771" spans="1:1" x14ac:dyDescent="0.25">
      <c r="A306771" s="1"/>
    </row>
    <row r="306772" spans="1:1" x14ac:dyDescent="0.25">
      <c r="A306772" s="1"/>
    </row>
    <row r="306773" spans="1:1" x14ac:dyDescent="0.25">
      <c r="A306773" s="1"/>
    </row>
    <row r="306774" spans="1:1" x14ac:dyDescent="0.25">
      <c r="A306774" s="1"/>
    </row>
    <row r="306775" spans="1:1" x14ac:dyDescent="0.25">
      <c r="A306775" s="1"/>
    </row>
    <row r="306776" spans="1:1" x14ac:dyDescent="0.25">
      <c r="A306776" s="1"/>
    </row>
    <row r="306777" spans="1:1" x14ac:dyDescent="0.25">
      <c r="A306777" s="1"/>
    </row>
    <row r="306778" spans="1:1" x14ac:dyDescent="0.25">
      <c r="A306778" s="1"/>
    </row>
    <row r="306779" spans="1:1" x14ac:dyDescent="0.25">
      <c r="A306779" s="1"/>
    </row>
    <row r="306780" spans="1:1" x14ac:dyDescent="0.25">
      <c r="A306780" s="1"/>
    </row>
    <row r="306781" spans="1:1" x14ac:dyDescent="0.25">
      <c r="A306781" s="1"/>
    </row>
    <row r="306782" spans="1:1" x14ac:dyDescent="0.25">
      <c r="A306782" s="1"/>
    </row>
    <row r="306783" spans="1:1" x14ac:dyDescent="0.25">
      <c r="A306783" s="1"/>
    </row>
    <row r="306784" spans="1:1" x14ac:dyDescent="0.25">
      <c r="A306784" s="1"/>
    </row>
    <row r="306785" spans="1:1" x14ac:dyDescent="0.25">
      <c r="A306785" s="1"/>
    </row>
    <row r="306786" spans="1:1" x14ac:dyDescent="0.25">
      <c r="A306786" s="1"/>
    </row>
    <row r="306787" spans="1:1" x14ac:dyDescent="0.25">
      <c r="A306787" s="1"/>
    </row>
    <row r="306788" spans="1:1" x14ac:dyDescent="0.25">
      <c r="A306788" s="1"/>
    </row>
    <row r="306789" spans="1:1" x14ac:dyDescent="0.25">
      <c r="A306789" s="1"/>
    </row>
    <row r="306790" spans="1:1" x14ac:dyDescent="0.25">
      <c r="A306790" s="1"/>
    </row>
    <row r="306791" spans="1:1" x14ac:dyDescent="0.25">
      <c r="A306791" s="1"/>
    </row>
    <row r="306792" spans="1:1" x14ac:dyDescent="0.25">
      <c r="A306792" s="1"/>
    </row>
    <row r="306793" spans="1:1" x14ac:dyDescent="0.25">
      <c r="A306793" s="1"/>
    </row>
    <row r="306794" spans="1:1" x14ac:dyDescent="0.25">
      <c r="A306794" s="1"/>
    </row>
    <row r="306795" spans="1:1" x14ac:dyDescent="0.25">
      <c r="A306795" s="1"/>
    </row>
    <row r="306796" spans="1:1" x14ac:dyDescent="0.25">
      <c r="A306796" s="1"/>
    </row>
    <row r="306797" spans="1:1" x14ac:dyDescent="0.25">
      <c r="A306797" s="1"/>
    </row>
    <row r="306798" spans="1:1" x14ac:dyDescent="0.25">
      <c r="A306798" s="1"/>
    </row>
    <row r="306799" spans="1:1" x14ac:dyDescent="0.25">
      <c r="A306799" s="1"/>
    </row>
    <row r="306800" spans="1:1" x14ac:dyDescent="0.25">
      <c r="A306800" s="1"/>
    </row>
    <row r="306801" spans="1:1" x14ac:dyDescent="0.25">
      <c r="A306801" s="1"/>
    </row>
    <row r="306802" spans="1:1" x14ac:dyDescent="0.25">
      <c r="A306802" s="1"/>
    </row>
    <row r="306803" spans="1:1" x14ac:dyDescent="0.25">
      <c r="A306803" s="1"/>
    </row>
    <row r="306804" spans="1:1" x14ac:dyDescent="0.25">
      <c r="A306804" s="1"/>
    </row>
    <row r="306805" spans="1:1" x14ac:dyDescent="0.25">
      <c r="A306805" s="1"/>
    </row>
    <row r="306806" spans="1:1" x14ac:dyDescent="0.25">
      <c r="A306806" s="1"/>
    </row>
    <row r="306807" spans="1:1" x14ac:dyDescent="0.25">
      <c r="A306807" s="1"/>
    </row>
    <row r="306808" spans="1:1" x14ac:dyDescent="0.25">
      <c r="A306808" s="1"/>
    </row>
    <row r="306809" spans="1:1" x14ac:dyDescent="0.25">
      <c r="A306809" s="1"/>
    </row>
    <row r="306810" spans="1:1" x14ac:dyDescent="0.25">
      <c r="A306810" s="1"/>
    </row>
    <row r="306811" spans="1:1" x14ac:dyDescent="0.25">
      <c r="A306811" s="1"/>
    </row>
    <row r="306812" spans="1:1" x14ac:dyDescent="0.25">
      <c r="A306812" s="1"/>
    </row>
    <row r="306813" spans="1:1" x14ac:dyDescent="0.25">
      <c r="A306813" s="1"/>
    </row>
    <row r="306814" spans="1:1" x14ac:dyDescent="0.25">
      <c r="A306814" s="1"/>
    </row>
    <row r="306815" spans="1:1" x14ac:dyDescent="0.25">
      <c r="A306815" s="1"/>
    </row>
    <row r="306816" spans="1:1" x14ac:dyDescent="0.25">
      <c r="A306816" s="1"/>
    </row>
    <row r="306817" spans="1:1" x14ac:dyDescent="0.25">
      <c r="A306817" s="1"/>
    </row>
    <row r="306818" spans="1:1" x14ac:dyDescent="0.25">
      <c r="A306818" s="1"/>
    </row>
    <row r="306819" spans="1:1" x14ac:dyDescent="0.25">
      <c r="A306819" s="1"/>
    </row>
    <row r="306820" spans="1:1" x14ac:dyDescent="0.25">
      <c r="A306820" s="1"/>
    </row>
    <row r="306821" spans="1:1" x14ac:dyDescent="0.25">
      <c r="A306821" s="1"/>
    </row>
    <row r="306822" spans="1:1" x14ac:dyDescent="0.25">
      <c r="A306822" s="1"/>
    </row>
    <row r="306823" spans="1:1" x14ac:dyDescent="0.25">
      <c r="A306823" s="1"/>
    </row>
    <row r="306824" spans="1:1" x14ac:dyDescent="0.25">
      <c r="A306824" s="1"/>
    </row>
    <row r="306825" spans="1:1" x14ac:dyDescent="0.25">
      <c r="A306825" s="1"/>
    </row>
    <row r="306826" spans="1:1" x14ac:dyDescent="0.25">
      <c r="A306826" s="1"/>
    </row>
    <row r="306827" spans="1:1" x14ac:dyDescent="0.25">
      <c r="A306827" s="1"/>
    </row>
    <row r="306828" spans="1:1" x14ac:dyDescent="0.25">
      <c r="A306828" s="1"/>
    </row>
    <row r="306829" spans="1:1" x14ac:dyDescent="0.25">
      <c r="A306829" s="1"/>
    </row>
    <row r="306830" spans="1:1" x14ac:dyDescent="0.25">
      <c r="A306830" s="1"/>
    </row>
    <row r="306831" spans="1:1" x14ac:dyDescent="0.25">
      <c r="A306831" s="1"/>
    </row>
    <row r="306832" spans="1:1" x14ac:dyDescent="0.25">
      <c r="A306832" s="1"/>
    </row>
    <row r="306833" spans="1:1" x14ac:dyDescent="0.25">
      <c r="A306833" s="1"/>
    </row>
    <row r="306834" spans="1:1" x14ac:dyDescent="0.25">
      <c r="A306834" s="1"/>
    </row>
    <row r="306835" spans="1:1" x14ac:dyDescent="0.25">
      <c r="A306835" s="1"/>
    </row>
    <row r="306836" spans="1:1" x14ac:dyDescent="0.25">
      <c r="A306836" s="1"/>
    </row>
    <row r="306837" spans="1:1" x14ac:dyDescent="0.25">
      <c r="A306837" s="1"/>
    </row>
    <row r="306838" spans="1:1" x14ac:dyDescent="0.25">
      <c r="A306838" s="1"/>
    </row>
    <row r="306839" spans="1:1" x14ac:dyDescent="0.25">
      <c r="A306839" s="1"/>
    </row>
    <row r="306840" spans="1:1" x14ac:dyDescent="0.25">
      <c r="A306840" s="1"/>
    </row>
    <row r="306841" spans="1:1" x14ac:dyDescent="0.25">
      <c r="A306841" s="1"/>
    </row>
    <row r="306842" spans="1:1" x14ac:dyDescent="0.25">
      <c r="A306842" s="1"/>
    </row>
    <row r="306843" spans="1:1" x14ac:dyDescent="0.25">
      <c r="A306843" s="1"/>
    </row>
    <row r="306844" spans="1:1" x14ac:dyDescent="0.25">
      <c r="A306844" s="1"/>
    </row>
    <row r="306845" spans="1:1" x14ac:dyDescent="0.25">
      <c r="A306845" s="1"/>
    </row>
    <row r="306846" spans="1:1" x14ac:dyDescent="0.25">
      <c r="A306846" s="1"/>
    </row>
    <row r="306847" spans="1:1" x14ac:dyDescent="0.25">
      <c r="A306847" s="1"/>
    </row>
    <row r="306848" spans="1:1" x14ac:dyDescent="0.25">
      <c r="A306848" s="1"/>
    </row>
    <row r="306849" spans="1:1" x14ac:dyDescent="0.25">
      <c r="A306849" s="1"/>
    </row>
    <row r="306850" spans="1:1" x14ac:dyDescent="0.25">
      <c r="A306850" s="1"/>
    </row>
    <row r="306851" spans="1:1" x14ac:dyDescent="0.25">
      <c r="A306851" s="1"/>
    </row>
    <row r="306852" spans="1:1" x14ac:dyDescent="0.25">
      <c r="A306852" s="1"/>
    </row>
    <row r="306853" spans="1:1" x14ac:dyDescent="0.25">
      <c r="A306853" s="1"/>
    </row>
    <row r="306854" spans="1:1" x14ac:dyDescent="0.25">
      <c r="A306854" s="1"/>
    </row>
    <row r="306855" spans="1:1" x14ac:dyDescent="0.25">
      <c r="A306855" s="1"/>
    </row>
    <row r="306856" spans="1:1" x14ac:dyDescent="0.25">
      <c r="A306856" s="1"/>
    </row>
    <row r="306857" spans="1:1" x14ac:dyDescent="0.25">
      <c r="A306857" s="1"/>
    </row>
    <row r="306858" spans="1:1" x14ac:dyDescent="0.25">
      <c r="A306858" s="1"/>
    </row>
    <row r="306859" spans="1:1" x14ac:dyDescent="0.25">
      <c r="A306859" s="1"/>
    </row>
    <row r="306860" spans="1:1" x14ac:dyDescent="0.25">
      <c r="A306860" s="1"/>
    </row>
    <row r="306861" spans="1:1" x14ac:dyDescent="0.25">
      <c r="A306861" s="1"/>
    </row>
    <row r="306862" spans="1:1" x14ac:dyDescent="0.25">
      <c r="A306862" s="1"/>
    </row>
    <row r="306863" spans="1:1" x14ac:dyDescent="0.25">
      <c r="A306863" s="1"/>
    </row>
    <row r="306864" spans="1:1" x14ac:dyDescent="0.25">
      <c r="A306864" s="1"/>
    </row>
    <row r="306865" spans="1:1" x14ac:dyDescent="0.25">
      <c r="A306865" s="1"/>
    </row>
    <row r="306866" spans="1:1" x14ac:dyDescent="0.25">
      <c r="A306866" s="1"/>
    </row>
    <row r="306867" spans="1:1" x14ac:dyDescent="0.25">
      <c r="A306867" s="1"/>
    </row>
    <row r="306868" spans="1:1" x14ac:dyDescent="0.25">
      <c r="A306868" s="1"/>
    </row>
    <row r="306869" spans="1:1" x14ac:dyDescent="0.25">
      <c r="A306869" s="1"/>
    </row>
    <row r="306870" spans="1:1" x14ac:dyDescent="0.25">
      <c r="A306870" s="1"/>
    </row>
    <row r="306871" spans="1:1" x14ac:dyDescent="0.25">
      <c r="A306871" s="1"/>
    </row>
    <row r="306872" spans="1:1" x14ac:dyDescent="0.25">
      <c r="A306872" s="1"/>
    </row>
    <row r="306873" spans="1:1" x14ac:dyDescent="0.25">
      <c r="A306873" s="1"/>
    </row>
    <row r="306874" spans="1:1" x14ac:dyDescent="0.25">
      <c r="A306874" s="1"/>
    </row>
    <row r="306875" spans="1:1" x14ac:dyDescent="0.25">
      <c r="A306875" s="1"/>
    </row>
    <row r="306876" spans="1:1" x14ac:dyDescent="0.25">
      <c r="A306876" s="1"/>
    </row>
    <row r="306877" spans="1:1" x14ac:dyDescent="0.25">
      <c r="A306877" s="1"/>
    </row>
    <row r="306878" spans="1:1" x14ac:dyDescent="0.25">
      <c r="A306878" s="1"/>
    </row>
    <row r="306879" spans="1:1" x14ac:dyDescent="0.25">
      <c r="A306879" s="1"/>
    </row>
    <row r="306880" spans="1:1" x14ac:dyDescent="0.25">
      <c r="A306880" s="1"/>
    </row>
    <row r="306881" spans="1:1" x14ac:dyDescent="0.25">
      <c r="A306881" s="1"/>
    </row>
    <row r="306882" spans="1:1" x14ac:dyDescent="0.25">
      <c r="A306882" s="1"/>
    </row>
    <row r="306883" spans="1:1" x14ac:dyDescent="0.25">
      <c r="A306883" s="1"/>
    </row>
    <row r="306884" spans="1:1" x14ac:dyDescent="0.25">
      <c r="A306884" s="1"/>
    </row>
    <row r="306885" spans="1:1" x14ac:dyDescent="0.25">
      <c r="A306885" s="1"/>
    </row>
    <row r="306886" spans="1:1" x14ac:dyDescent="0.25">
      <c r="A306886" s="1"/>
    </row>
    <row r="306887" spans="1:1" x14ac:dyDescent="0.25">
      <c r="A306887" s="1"/>
    </row>
    <row r="306888" spans="1:1" x14ac:dyDescent="0.25">
      <c r="A306888" s="1"/>
    </row>
    <row r="306889" spans="1:1" x14ac:dyDescent="0.25">
      <c r="A306889" s="1"/>
    </row>
    <row r="306890" spans="1:1" x14ac:dyDescent="0.25">
      <c r="A306890" s="1"/>
    </row>
    <row r="306891" spans="1:1" x14ac:dyDescent="0.25">
      <c r="A306891" s="1"/>
    </row>
    <row r="306892" spans="1:1" x14ac:dyDescent="0.25">
      <c r="A306892" s="1"/>
    </row>
    <row r="306893" spans="1:1" x14ac:dyDescent="0.25">
      <c r="A306893" s="1"/>
    </row>
    <row r="306894" spans="1:1" x14ac:dyDescent="0.25">
      <c r="A306894" s="1"/>
    </row>
    <row r="306895" spans="1:1" x14ac:dyDescent="0.25">
      <c r="A306895" s="1"/>
    </row>
    <row r="306896" spans="1:1" x14ac:dyDescent="0.25">
      <c r="A306896" s="1"/>
    </row>
    <row r="306897" spans="1:1" x14ac:dyDescent="0.25">
      <c r="A306897" s="1"/>
    </row>
    <row r="306898" spans="1:1" x14ac:dyDescent="0.25">
      <c r="A306898" s="1"/>
    </row>
    <row r="306899" spans="1:1" x14ac:dyDescent="0.25">
      <c r="A306899" s="1"/>
    </row>
    <row r="306900" spans="1:1" x14ac:dyDescent="0.25">
      <c r="A306900" s="1"/>
    </row>
    <row r="306901" spans="1:1" x14ac:dyDescent="0.25">
      <c r="A306901" s="1"/>
    </row>
    <row r="306902" spans="1:1" x14ac:dyDescent="0.25">
      <c r="A306902" s="1"/>
    </row>
    <row r="306903" spans="1:1" x14ac:dyDescent="0.25">
      <c r="A306903" s="1"/>
    </row>
    <row r="306904" spans="1:1" x14ac:dyDescent="0.25">
      <c r="A306904" s="1"/>
    </row>
    <row r="306905" spans="1:1" x14ac:dyDescent="0.25">
      <c r="A306905" s="1"/>
    </row>
    <row r="306906" spans="1:1" x14ac:dyDescent="0.25">
      <c r="A306906" s="1"/>
    </row>
    <row r="306907" spans="1:1" x14ac:dyDescent="0.25">
      <c r="A306907" s="1"/>
    </row>
    <row r="306908" spans="1:1" x14ac:dyDescent="0.25">
      <c r="A306908" s="1"/>
    </row>
    <row r="306909" spans="1:1" x14ac:dyDescent="0.25">
      <c r="A306909" s="1"/>
    </row>
    <row r="306910" spans="1:1" x14ac:dyDescent="0.25">
      <c r="A306910" s="1"/>
    </row>
    <row r="306911" spans="1:1" x14ac:dyDescent="0.25">
      <c r="A306911" s="1"/>
    </row>
    <row r="306912" spans="1:1" x14ac:dyDescent="0.25">
      <c r="A306912" s="1"/>
    </row>
    <row r="306913" spans="1:1" x14ac:dyDescent="0.25">
      <c r="A306913" s="1"/>
    </row>
    <row r="306914" spans="1:1" x14ac:dyDescent="0.25">
      <c r="A306914" s="1"/>
    </row>
    <row r="306915" spans="1:1" x14ac:dyDescent="0.25">
      <c r="A306915" s="1"/>
    </row>
    <row r="306916" spans="1:1" x14ac:dyDescent="0.25">
      <c r="A306916" s="1"/>
    </row>
    <row r="306917" spans="1:1" x14ac:dyDescent="0.25">
      <c r="A306917" s="1"/>
    </row>
    <row r="306918" spans="1:1" x14ac:dyDescent="0.25">
      <c r="A306918" s="1"/>
    </row>
    <row r="306919" spans="1:1" x14ac:dyDescent="0.25">
      <c r="A306919" s="1"/>
    </row>
    <row r="306920" spans="1:1" x14ac:dyDescent="0.25">
      <c r="A306920" s="1"/>
    </row>
    <row r="306921" spans="1:1" x14ac:dyDescent="0.25">
      <c r="A306921" s="1"/>
    </row>
    <row r="306922" spans="1:1" x14ac:dyDescent="0.25">
      <c r="A306922" s="1"/>
    </row>
    <row r="306923" spans="1:1" x14ac:dyDescent="0.25">
      <c r="A306923" s="1"/>
    </row>
    <row r="306924" spans="1:1" x14ac:dyDescent="0.25">
      <c r="A306924" s="1"/>
    </row>
    <row r="306925" spans="1:1" x14ac:dyDescent="0.25">
      <c r="A306925" s="1"/>
    </row>
    <row r="306926" spans="1:1" x14ac:dyDescent="0.25">
      <c r="A306926" s="1"/>
    </row>
    <row r="306927" spans="1:1" x14ac:dyDescent="0.25">
      <c r="A306927" s="1"/>
    </row>
    <row r="306928" spans="1:1" x14ac:dyDescent="0.25">
      <c r="A306928" s="1"/>
    </row>
    <row r="306929" spans="1:1" x14ac:dyDescent="0.25">
      <c r="A306929" s="1"/>
    </row>
    <row r="306930" spans="1:1" x14ac:dyDescent="0.25">
      <c r="A306930" s="1"/>
    </row>
    <row r="306931" spans="1:1" x14ac:dyDescent="0.25">
      <c r="A306931" s="1"/>
    </row>
    <row r="306932" spans="1:1" x14ac:dyDescent="0.25">
      <c r="A306932" s="1"/>
    </row>
    <row r="306933" spans="1:1" x14ac:dyDescent="0.25">
      <c r="A306933" s="1"/>
    </row>
    <row r="306934" spans="1:1" x14ac:dyDescent="0.25">
      <c r="A306934" s="1"/>
    </row>
    <row r="306935" spans="1:1" x14ac:dyDescent="0.25">
      <c r="A306935" s="1"/>
    </row>
    <row r="306936" spans="1:1" x14ac:dyDescent="0.25">
      <c r="A306936" s="1"/>
    </row>
    <row r="306937" spans="1:1" x14ac:dyDescent="0.25">
      <c r="A306937" s="1"/>
    </row>
    <row r="306938" spans="1:1" x14ac:dyDescent="0.25">
      <c r="A306938" s="1"/>
    </row>
    <row r="306939" spans="1:1" x14ac:dyDescent="0.25">
      <c r="A306939" s="1"/>
    </row>
    <row r="306940" spans="1:1" x14ac:dyDescent="0.25">
      <c r="A306940" s="1"/>
    </row>
    <row r="306941" spans="1:1" x14ac:dyDescent="0.25">
      <c r="A306941" s="1"/>
    </row>
    <row r="306942" spans="1:1" x14ac:dyDescent="0.25">
      <c r="A306942" s="1"/>
    </row>
    <row r="306943" spans="1:1" x14ac:dyDescent="0.25">
      <c r="A306943" s="1"/>
    </row>
    <row r="306944" spans="1:1" x14ac:dyDescent="0.25">
      <c r="A306944" s="1"/>
    </row>
    <row r="306945" spans="1:1" x14ac:dyDescent="0.25">
      <c r="A306945" s="1"/>
    </row>
    <row r="306946" spans="1:1" x14ac:dyDescent="0.25">
      <c r="A306946" s="1"/>
    </row>
    <row r="306947" spans="1:1" x14ac:dyDescent="0.25">
      <c r="A306947" s="1"/>
    </row>
    <row r="306948" spans="1:1" x14ac:dyDescent="0.25">
      <c r="A306948" s="1"/>
    </row>
    <row r="306949" spans="1:1" x14ac:dyDescent="0.25">
      <c r="A306949" s="1"/>
    </row>
    <row r="306950" spans="1:1" x14ac:dyDescent="0.25">
      <c r="A306950" s="1"/>
    </row>
    <row r="306951" spans="1:1" x14ac:dyDescent="0.25">
      <c r="A306951" s="1"/>
    </row>
    <row r="306952" spans="1:1" x14ac:dyDescent="0.25">
      <c r="A306952" s="1"/>
    </row>
    <row r="306953" spans="1:1" x14ac:dyDescent="0.25">
      <c r="A306953" s="1"/>
    </row>
    <row r="306954" spans="1:1" x14ac:dyDescent="0.25">
      <c r="A306954" s="1"/>
    </row>
    <row r="306955" spans="1:1" x14ac:dyDescent="0.25">
      <c r="A306955" s="1"/>
    </row>
    <row r="306956" spans="1:1" x14ac:dyDescent="0.25">
      <c r="A306956" s="1"/>
    </row>
    <row r="306957" spans="1:1" x14ac:dyDescent="0.25">
      <c r="A306957" s="1"/>
    </row>
    <row r="306958" spans="1:1" x14ac:dyDescent="0.25">
      <c r="A306958" s="1"/>
    </row>
    <row r="306959" spans="1:1" x14ac:dyDescent="0.25">
      <c r="A306959" s="1"/>
    </row>
    <row r="306960" spans="1:1" x14ac:dyDescent="0.25">
      <c r="A306960" s="1"/>
    </row>
    <row r="306961" spans="1:1" x14ac:dyDescent="0.25">
      <c r="A306961" s="1"/>
    </row>
    <row r="306962" spans="1:1" x14ac:dyDescent="0.25">
      <c r="A306962" s="1"/>
    </row>
    <row r="306963" spans="1:1" x14ac:dyDescent="0.25">
      <c r="A306963" s="1"/>
    </row>
    <row r="306964" spans="1:1" x14ac:dyDescent="0.25">
      <c r="A306964" s="1"/>
    </row>
    <row r="306965" spans="1:1" x14ac:dyDescent="0.25">
      <c r="A306965" s="1"/>
    </row>
    <row r="306966" spans="1:1" x14ac:dyDescent="0.25">
      <c r="A306966" s="1"/>
    </row>
    <row r="306967" spans="1:1" x14ac:dyDescent="0.25">
      <c r="A306967" s="1"/>
    </row>
    <row r="306968" spans="1:1" x14ac:dyDescent="0.25">
      <c r="A306968" s="1"/>
    </row>
    <row r="306969" spans="1:1" x14ac:dyDescent="0.25">
      <c r="A306969" s="1"/>
    </row>
    <row r="306970" spans="1:1" x14ac:dyDescent="0.25">
      <c r="A306970" s="1"/>
    </row>
    <row r="306971" spans="1:1" x14ac:dyDescent="0.25">
      <c r="A306971" s="1"/>
    </row>
    <row r="306972" spans="1:1" x14ac:dyDescent="0.25">
      <c r="A306972" s="1"/>
    </row>
    <row r="306973" spans="1:1" x14ac:dyDescent="0.25">
      <c r="A306973" s="1"/>
    </row>
    <row r="306974" spans="1:1" x14ac:dyDescent="0.25">
      <c r="A306974" s="1"/>
    </row>
    <row r="306975" spans="1:1" x14ac:dyDescent="0.25">
      <c r="A306975" s="1"/>
    </row>
    <row r="306976" spans="1:1" x14ac:dyDescent="0.25">
      <c r="A306976" s="1"/>
    </row>
    <row r="306977" spans="1:1" x14ac:dyDescent="0.25">
      <c r="A306977" s="1"/>
    </row>
    <row r="306978" spans="1:1" x14ac:dyDescent="0.25">
      <c r="A306978" s="1"/>
    </row>
    <row r="306979" spans="1:1" x14ac:dyDescent="0.25">
      <c r="A306979" s="1"/>
    </row>
    <row r="306980" spans="1:1" x14ac:dyDescent="0.25">
      <c r="A306980" s="1"/>
    </row>
    <row r="306981" spans="1:1" x14ac:dyDescent="0.25">
      <c r="A306981" s="1"/>
    </row>
    <row r="306982" spans="1:1" x14ac:dyDescent="0.25">
      <c r="A306982" s="1"/>
    </row>
    <row r="306983" spans="1:1" x14ac:dyDescent="0.25">
      <c r="A306983" s="1"/>
    </row>
    <row r="306984" spans="1:1" x14ac:dyDescent="0.25">
      <c r="A306984" s="1"/>
    </row>
    <row r="306985" spans="1:1" x14ac:dyDescent="0.25">
      <c r="A306985" s="1"/>
    </row>
    <row r="306986" spans="1:1" x14ac:dyDescent="0.25">
      <c r="A306986" s="1"/>
    </row>
    <row r="306987" spans="1:1" x14ac:dyDescent="0.25">
      <c r="A306987" s="1"/>
    </row>
    <row r="306988" spans="1:1" x14ac:dyDescent="0.25">
      <c r="A306988" s="1"/>
    </row>
    <row r="306989" spans="1:1" x14ac:dyDescent="0.25">
      <c r="A306989" s="1"/>
    </row>
    <row r="306990" spans="1:1" x14ac:dyDescent="0.25">
      <c r="A306990" s="1"/>
    </row>
    <row r="306991" spans="1:1" x14ac:dyDescent="0.25">
      <c r="A306991" s="1"/>
    </row>
    <row r="306992" spans="1:1" x14ac:dyDescent="0.25">
      <c r="A306992" s="1"/>
    </row>
    <row r="306993" spans="1:1" x14ac:dyDescent="0.25">
      <c r="A306993" s="1"/>
    </row>
    <row r="306994" spans="1:1" x14ac:dyDescent="0.25">
      <c r="A306994" s="1"/>
    </row>
    <row r="306995" spans="1:1" x14ac:dyDescent="0.25">
      <c r="A306995" s="1"/>
    </row>
    <row r="306996" spans="1:1" x14ac:dyDescent="0.25">
      <c r="A306996" s="1"/>
    </row>
    <row r="306997" spans="1:1" x14ac:dyDescent="0.25">
      <c r="A306997" s="1"/>
    </row>
    <row r="306998" spans="1:1" x14ac:dyDescent="0.25">
      <c r="A306998" s="1"/>
    </row>
    <row r="306999" spans="1:1" x14ac:dyDescent="0.25">
      <c r="A306999" s="1"/>
    </row>
    <row r="307000" spans="1:1" x14ac:dyDescent="0.25">
      <c r="A307000" s="1"/>
    </row>
    <row r="307001" spans="1:1" x14ac:dyDescent="0.25">
      <c r="A307001" s="1"/>
    </row>
    <row r="307002" spans="1:1" x14ac:dyDescent="0.25">
      <c r="A307002" s="1"/>
    </row>
    <row r="307003" spans="1:1" x14ac:dyDescent="0.25">
      <c r="A307003" s="1"/>
    </row>
    <row r="307004" spans="1:1" x14ac:dyDescent="0.25">
      <c r="A307004" s="1"/>
    </row>
    <row r="307005" spans="1:1" x14ac:dyDescent="0.25">
      <c r="A307005" s="1"/>
    </row>
    <row r="307006" spans="1:1" x14ac:dyDescent="0.25">
      <c r="A307006" s="1"/>
    </row>
    <row r="307007" spans="1:1" x14ac:dyDescent="0.25">
      <c r="A307007" s="1"/>
    </row>
    <row r="307008" spans="1:1" x14ac:dyDescent="0.25">
      <c r="A307008" s="1"/>
    </row>
    <row r="307009" spans="1:1" x14ac:dyDescent="0.25">
      <c r="A307009" s="1"/>
    </row>
    <row r="307010" spans="1:1" x14ac:dyDescent="0.25">
      <c r="A307010" s="1"/>
    </row>
    <row r="307011" spans="1:1" x14ac:dyDescent="0.25">
      <c r="A307011" s="1"/>
    </row>
    <row r="307012" spans="1:1" x14ac:dyDescent="0.25">
      <c r="A307012" s="1"/>
    </row>
    <row r="307013" spans="1:1" x14ac:dyDescent="0.25">
      <c r="A307013" s="1"/>
    </row>
    <row r="307014" spans="1:1" x14ac:dyDescent="0.25">
      <c r="A307014" s="1"/>
    </row>
    <row r="307015" spans="1:1" x14ac:dyDescent="0.25">
      <c r="A307015" s="1"/>
    </row>
    <row r="307016" spans="1:1" x14ac:dyDescent="0.25">
      <c r="A307016" s="1"/>
    </row>
    <row r="307017" spans="1:1" x14ac:dyDescent="0.25">
      <c r="A307017" s="1"/>
    </row>
    <row r="307018" spans="1:1" x14ac:dyDescent="0.25">
      <c r="A307018" s="1"/>
    </row>
    <row r="307019" spans="1:1" x14ac:dyDescent="0.25">
      <c r="A307019" s="1"/>
    </row>
    <row r="307020" spans="1:1" x14ac:dyDescent="0.25">
      <c r="A307020" s="1"/>
    </row>
    <row r="307021" spans="1:1" x14ac:dyDescent="0.25">
      <c r="A307021" s="1"/>
    </row>
    <row r="307022" spans="1:1" x14ac:dyDescent="0.25">
      <c r="A307022" s="1"/>
    </row>
    <row r="307023" spans="1:1" x14ac:dyDescent="0.25">
      <c r="A307023" s="1"/>
    </row>
    <row r="307024" spans="1:1" x14ac:dyDescent="0.25">
      <c r="A307024" s="1"/>
    </row>
    <row r="307025" spans="1:1" x14ac:dyDescent="0.25">
      <c r="A307025" s="1"/>
    </row>
    <row r="307026" spans="1:1" x14ac:dyDescent="0.25">
      <c r="A307026" s="1"/>
    </row>
    <row r="307027" spans="1:1" x14ac:dyDescent="0.25">
      <c r="A307027" s="1"/>
    </row>
    <row r="307028" spans="1:1" x14ac:dyDescent="0.25">
      <c r="A307028" s="1"/>
    </row>
    <row r="307029" spans="1:1" x14ac:dyDescent="0.25">
      <c r="A307029" s="1"/>
    </row>
    <row r="307030" spans="1:1" x14ac:dyDescent="0.25">
      <c r="A307030" s="1"/>
    </row>
    <row r="307031" spans="1:1" x14ac:dyDescent="0.25">
      <c r="A307031" s="1"/>
    </row>
    <row r="307032" spans="1:1" x14ac:dyDescent="0.25">
      <c r="A307032" s="1"/>
    </row>
    <row r="307033" spans="1:1" x14ac:dyDescent="0.25">
      <c r="A307033" s="1"/>
    </row>
    <row r="307034" spans="1:1" x14ac:dyDescent="0.25">
      <c r="A307034" s="1"/>
    </row>
    <row r="307035" spans="1:1" x14ac:dyDescent="0.25">
      <c r="A307035" s="1"/>
    </row>
    <row r="307036" spans="1:1" x14ac:dyDescent="0.25">
      <c r="A307036" s="1"/>
    </row>
    <row r="307037" spans="1:1" x14ac:dyDescent="0.25">
      <c r="A307037" s="1"/>
    </row>
    <row r="307038" spans="1:1" x14ac:dyDescent="0.25">
      <c r="A307038" s="1"/>
    </row>
    <row r="307039" spans="1:1" x14ac:dyDescent="0.25">
      <c r="A307039" s="1"/>
    </row>
    <row r="307040" spans="1:1" x14ac:dyDescent="0.25">
      <c r="A307040" s="1"/>
    </row>
    <row r="307041" spans="1:1" x14ac:dyDescent="0.25">
      <c r="A307041" s="1"/>
    </row>
    <row r="307042" spans="1:1" x14ac:dyDescent="0.25">
      <c r="A307042" s="1"/>
    </row>
    <row r="307043" spans="1:1" x14ac:dyDescent="0.25">
      <c r="A307043" s="1"/>
    </row>
    <row r="307044" spans="1:1" x14ac:dyDescent="0.25">
      <c r="A307044" s="1"/>
    </row>
    <row r="307045" spans="1:1" x14ac:dyDescent="0.25">
      <c r="A307045" s="1"/>
    </row>
    <row r="307046" spans="1:1" x14ac:dyDescent="0.25">
      <c r="A307046" s="1"/>
    </row>
    <row r="307047" spans="1:1" x14ac:dyDescent="0.25">
      <c r="A307047" s="1"/>
    </row>
    <row r="307048" spans="1:1" x14ac:dyDescent="0.25">
      <c r="A307048" s="1"/>
    </row>
    <row r="307049" spans="1:1" x14ac:dyDescent="0.25">
      <c r="A307049" s="1"/>
    </row>
    <row r="307050" spans="1:1" x14ac:dyDescent="0.25">
      <c r="A307050" s="1"/>
    </row>
    <row r="307051" spans="1:1" x14ac:dyDescent="0.25">
      <c r="A307051" s="1"/>
    </row>
    <row r="307052" spans="1:1" x14ac:dyDescent="0.25">
      <c r="A307052" s="1"/>
    </row>
    <row r="307053" spans="1:1" x14ac:dyDescent="0.25">
      <c r="A307053" s="1"/>
    </row>
    <row r="307054" spans="1:1" x14ac:dyDescent="0.25">
      <c r="A307054" s="1"/>
    </row>
    <row r="307055" spans="1:1" x14ac:dyDescent="0.25">
      <c r="A307055" s="1"/>
    </row>
    <row r="307056" spans="1:1" x14ac:dyDescent="0.25">
      <c r="A307056" s="1"/>
    </row>
    <row r="307057" spans="1:1" x14ac:dyDescent="0.25">
      <c r="A307057" s="1"/>
    </row>
    <row r="307058" spans="1:1" x14ac:dyDescent="0.25">
      <c r="A307058" s="1"/>
    </row>
    <row r="307059" spans="1:1" x14ac:dyDescent="0.25">
      <c r="A307059" s="1"/>
    </row>
    <row r="307060" spans="1:1" x14ac:dyDescent="0.25">
      <c r="A307060" s="1"/>
    </row>
    <row r="307061" spans="1:1" x14ac:dyDescent="0.25">
      <c r="A307061" s="1"/>
    </row>
    <row r="307062" spans="1:1" x14ac:dyDescent="0.25">
      <c r="A307062" s="1"/>
    </row>
    <row r="307063" spans="1:1" x14ac:dyDescent="0.25">
      <c r="A307063" s="1"/>
    </row>
    <row r="307064" spans="1:1" x14ac:dyDescent="0.25">
      <c r="A307064" s="1"/>
    </row>
    <row r="307065" spans="1:1" x14ac:dyDescent="0.25">
      <c r="A307065" s="1"/>
    </row>
    <row r="307066" spans="1:1" x14ac:dyDescent="0.25">
      <c r="A307066" s="1"/>
    </row>
    <row r="307067" spans="1:1" x14ac:dyDescent="0.25">
      <c r="A307067" s="1"/>
    </row>
    <row r="307068" spans="1:1" x14ac:dyDescent="0.25">
      <c r="A307068" s="1"/>
    </row>
    <row r="307069" spans="1:1" x14ac:dyDescent="0.25">
      <c r="A307069" s="1"/>
    </row>
    <row r="307070" spans="1:1" x14ac:dyDescent="0.25">
      <c r="A307070" s="1"/>
    </row>
    <row r="307071" spans="1:1" x14ac:dyDescent="0.25">
      <c r="A307071" s="1"/>
    </row>
    <row r="307072" spans="1:1" x14ac:dyDescent="0.25">
      <c r="A307072" s="1"/>
    </row>
    <row r="307073" spans="1:1" x14ac:dyDescent="0.25">
      <c r="A307073" s="1"/>
    </row>
    <row r="307074" spans="1:1" x14ac:dyDescent="0.25">
      <c r="A307074" s="1"/>
    </row>
    <row r="307075" spans="1:1" x14ac:dyDescent="0.25">
      <c r="A307075" s="1"/>
    </row>
    <row r="307076" spans="1:1" x14ac:dyDescent="0.25">
      <c r="A307076" s="1"/>
    </row>
    <row r="307077" spans="1:1" x14ac:dyDescent="0.25">
      <c r="A307077" s="1"/>
    </row>
    <row r="307078" spans="1:1" x14ac:dyDescent="0.25">
      <c r="A307078" s="1"/>
    </row>
    <row r="307079" spans="1:1" x14ac:dyDescent="0.25">
      <c r="A307079" s="1"/>
    </row>
    <row r="307080" spans="1:1" x14ac:dyDescent="0.25">
      <c r="A307080" s="1"/>
    </row>
    <row r="307081" spans="1:1" x14ac:dyDescent="0.25">
      <c r="A307081" s="1"/>
    </row>
    <row r="307082" spans="1:1" x14ac:dyDescent="0.25">
      <c r="A307082" s="1"/>
    </row>
    <row r="307083" spans="1:1" x14ac:dyDescent="0.25">
      <c r="A307083" s="1"/>
    </row>
    <row r="307084" spans="1:1" x14ac:dyDescent="0.25">
      <c r="A307084" s="1"/>
    </row>
    <row r="307085" spans="1:1" x14ac:dyDescent="0.25">
      <c r="A307085" s="1"/>
    </row>
    <row r="307086" spans="1:1" x14ac:dyDescent="0.25">
      <c r="A307086" s="1"/>
    </row>
    <row r="307087" spans="1:1" x14ac:dyDescent="0.25">
      <c r="A307087" s="1"/>
    </row>
    <row r="307088" spans="1:1" x14ac:dyDescent="0.25">
      <c r="A307088" s="1"/>
    </row>
    <row r="307089" spans="1:1" x14ac:dyDescent="0.25">
      <c r="A307089" s="1"/>
    </row>
    <row r="307090" spans="1:1" x14ac:dyDescent="0.25">
      <c r="A307090" s="1"/>
    </row>
    <row r="307091" spans="1:1" x14ac:dyDescent="0.25">
      <c r="A307091" s="1"/>
    </row>
    <row r="307092" spans="1:1" x14ac:dyDescent="0.25">
      <c r="A307092" s="1"/>
    </row>
    <row r="307093" spans="1:1" x14ac:dyDescent="0.25">
      <c r="A307093" s="1"/>
    </row>
    <row r="307094" spans="1:1" x14ac:dyDescent="0.25">
      <c r="A307094" s="1"/>
    </row>
    <row r="307095" spans="1:1" x14ac:dyDescent="0.25">
      <c r="A307095" s="1"/>
    </row>
    <row r="307096" spans="1:1" x14ac:dyDescent="0.25">
      <c r="A307096" s="1"/>
    </row>
    <row r="307097" spans="1:1" x14ac:dyDescent="0.25">
      <c r="A307097" s="1"/>
    </row>
    <row r="307098" spans="1:1" x14ac:dyDescent="0.25">
      <c r="A307098" s="1"/>
    </row>
    <row r="307099" spans="1:1" x14ac:dyDescent="0.25">
      <c r="A307099" s="1"/>
    </row>
    <row r="307100" spans="1:1" x14ac:dyDescent="0.25">
      <c r="A307100" s="1"/>
    </row>
    <row r="307101" spans="1:1" x14ac:dyDescent="0.25">
      <c r="A307101" s="1"/>
    </row>
    <row r="307102" spans="1:1" x14ac:dyDescent="0.25">
      <c r="A307102" s="1"/>
    </row>
    <row r="307103" spans="1:1" x14ac:dyDescent="0.25">
      <c r="A307103" s="1"/>
    </row>
    <row r="307104" spans="1:1" x14ac:dyDescent="0.25">
      <c r="A307104" s="1"/>
    </row>
    <row r="307105" spans="1:1" x14ac:dyDescent="0.25">
      <c r="A307105" s="1"/>
    </row>
    <row r="307106" spans="1:1" x14ac:dyDescent="0.25">
      <c r="A307106" s="1"/>
    </row>
    <row r="307107" spans="1:1" x14ac:dyDescent="0.25">
      <c r="A307107" s="1"/>
    </row>
    <row r="307108" spans="1:1" x14ac:dyDescent="0.25">
      <c r="A307108" s="1"/>
    </row>
    <row r="307109" spans="1:1" x14ac:dyDescent="0.25">
      <c r="A307109" s="1"/>
    </row>
    <row r="307110" spans="1:1" x14ac:dyDescent="0.25">
      <c r="A307110" s="1"/>
    </row>
    <row r="307111" spans="1:1" x14ac:dyDescent="0.25">
      <c r="A307111" s="1"/>
    </row>
    <row r="307112" spans="1:1" x14ac:dyDescent="0.25">
      <c r="A307112" s="1"/>
    </row>
    <row r="307113" spans="1:1" x14ac:dyDescent="0.25">
      <c r="A307113" s="1"/>
    </row>
    <row r="307114" spans="1:1" x14ac:dyDescent="0.25">
      <c r="A307114" s="1"/>
    </row>
    <row r="307115" spans="1:1" x14ac:dyDescent="0.25">
      <c r="A307115" s="1"/>
    </row>
    <row r="307116" spans="1:1" x14ac:dyDescent="0.25">
      <c r="A307116" s="1"/>
    </row>
    <row r="307117" spans="1:1" x14ac:dyDescent="0.25">
      <c r="A307117" s="1"/>
    </row>
    <row r="307118" spans="1:1" x14ac:dyDescent="0.25">
      <c r="A307118" s="1"/>
    </row>
    <row r="307119" spans="1:1" x14ac:dyDescent="0.25">
      <c r="A307119" s="1"/>
    </row>
    <row r="307120" spans="1:1" x14ac:dyDescent="0.25">
      <c r="A307120" s="1"/>
    </row>
    <row r="307121" spans="1:1" x14ac:dyDescent="0.25">
      <c r="A307121" s="1"/>
    </row>
    <row r="307122" spans="1:1" x14ac:dyDescent="0.25">
      <c r="A307122" s="1"/>
    </row>
    <row r="307123" spans="1:1" x14ac:dyDescent="0.25">
      <c r="A307123" s="1"/>
    </row>
    <row r="307124" spans="1:1" x14ac:dyDescent="0.25">
      <c r="A307124" s="1"/>
    </row>
    <row r="307125" spans="1:1" x14ac:dyDescent="0.25">
      <c r="A307125" s="1"/>
    </row>
    <row r="307126" spans="1:1" x14ac:dyDescent="0.25">
      <c r="A307126" s="1"/>
    </row>
    <row r="307127" spans="1:1" x14ac:dyDescent="0.25">
      <c r="A307127" s="1"/>
    </row>
    <row r="307128" spans="1:1" x14ac:dyDescent="0.25">
      <c r="A307128" s="1"/>
    </row>
    <row r="307129" spans="1:1" x14ac:dyDescent="0.25">
      <c r="A307129" s="1"/>
    </row>
    <row r="307130" spans="1:1" x14ac:dyDescent="0.25">
      <c r="A307130" s="1"/>
    </row>
    <row r="307131" spans="1:1" x14ac:dyDescent="0.25">
      <c r="A307131" s="1"/>
    </row>
    <row r="307132" spans="1:1" x14ac:dyDescent="0.25">
      <c r="A307132" s="1"/>
    </row>
    <row r="307133" spans="1:1" x14ac:dyDescent="0.25">
      <c r="A307133" s="1"/>
    </row>
    <row r="307134" spans="1:1" x14ac:dyDescent="0.25">
      <c r="A307134" s="1"/>
    </row>
    <row r="307135" spans="1:1" x14ac:dyDescent="0.25">
      <c r="A307135" s="1"/>
    </row>
    <row r="307136" spans="1:1" x14ac:dyDescent="0.25">
      <c r="A307136" s="1"/>
    </row>
    <row r="307137" spans="1:1" x14ac:dyDescent="0.25">
      <c r="A307137" s="1"/>
    </row>
    <row r="307138" spans="1:1" x14ac:dyDescent="0.25">
      <c r="A307138" s="1"/>
    </row>
    <row r="307139" spans="1:1" x14ac:dyDescent="0.25">
      <c r="A307139" s="1"/>
    </row>
    <row r="307140" spans="1:1" x14ac:dyDescent="0.25">
      <c r="A307140" s="1"/>
    </row>
    <row r="307141" spans="1:1" x14ac:dyDescent="0.25">
      <c r="A307141" s="1"/>
    </row>
    <row r="307142" spans="1:1" x14ac:dyDescent="0.25">
      <c r="A307142" s="1"/>
    </row>
    <row r="307143" spans="1:1" x14ac:dyDescent="0.25">
      <c r="A307143" s="1"/>
    </row>
    <row r="307144" spans="1:1" x14ac:dyDescent="0.25">
      <c r="A307144" s="1"/>
    </row>
    <row r="307145" spans="1:1" x14ac:dyDescent="0.25">
      <c r="A307145" s="1"/>
    </row>
    <row r="307146" spans="1:1" x14ac:dyDescent="0.25">
      <c r="A307146" s="1"/>
    </row>
    <row r="307147" spans="1:1" x14ac:dyDescent="0.25">
      <c r="A307147" s="1"/>
    </row>
    <row r="307148" spans="1:1" x14ac:dyDescent="0.25">
      <c r="A307148" s="1"/>
    </row>
    <row r="307149" spans="1:1" x14ac:dyDescent="0.25">
      <c r="A307149" s="1"/>
    </row>
    <row r="307150" spans="1:1" x14ac:dyDescent="0.25">
      <c r="A307150" s="1"/>
    </row>
    <row r="307151" spans="1:1" x14ac:dyDescent="0.25">
      <c r="A307151" s="1"/>
    </row>
    <row r="307152" spans="1:1" x14ac:dyDescent="0.25">
      <c r="A307152" s="1"/>
    </row>
    <row r="307153" spans="1:1" x14ac:dyDescent="0.25">
      <c r="A307153" s="1"/>
    </row>
    <row r="307154" spans="1:1" x14ac:dyDescent="0.25">
      <c r="A307154" s="1"/>
    </row>
    <row r="307155" spans="1:1" x14ac:dyDescent="0.25">
      <c r="A307155" s="1"/>
    </row>
    <row r="307156" spans="1:1" x14ac:dyDescent="0.25">
      <c r="A307156" s="1"/>
    </row>
    <row r="307157" spans="1:1" x14ac:dyDescent="0.25">
      <c r="A307157" s="1"/>
    </row>
    <row r="307158" spans="1:1" x14ac:dyDescent="0.25">
      <c r="A307158" s="1"/>
    </row>
    <row r="307159" spans="1:1" x14ac:dyDescent="0.25">
      <c r="A307159" s="1"/>
    </row>
    <row r="307160" spans="1:1" x14ac:dyDescent="0.25">
      <c r="A307160" s="1"/>
    </row>
    <row r="307161" spans="1:1" x14ac:dyDescent="0.25">
      <c r="A307161" s="1"/>
    </row>
    <row r="307162" spans="1:1" x14ac:dyDescent="0.25">
      <c r="A307162" s="1"/>
    </row>
    <row r="307163" spans="1:1" x14ac:dyDescent="0.25">
      <c r="A307163" s="1"/>
    </row>
    <row r="307164" spans="1:1" x14ac:dyDescent="0.25">
      <c r="A307164" s="1"/>
    </row>
    <row r="307165" spans="1:1" x14ac:dyDescent="0.25">
      <c r="A307165" s="1"/>
    </row>
    <row r="307166" spans="1:1" x14ac:dyDescent="0.25">
      <c r="A307166" s="1"/>
    </row>
    <row r="307167" spans="1:1" x14ac:dyDescent="0.25">
      <c r="A307167" s="1"/>
    </row>
    <row r="307168" spans="1:1" x14ac:dyDescent="0.25">
      <c r="A307168" s="1"/>
    </row>
    <row r="307169" spans="1:1" x14ac:dyDescent="0.25">
      <c r="A307169" s="1"/>
    </row>
    <row r="307170" spans="1:1" x14ac:dyDescent="0.25">
      <c r="A307170" s="1"/>
    </row>
    <row r="307171" spans="1:1" x14ac:dyDescent="0.25">
      <c r="A307171" s="1"/>
    </row>
    <row r="307172" spans="1:1" x14ac:dyDescent="0.25">
      <c r="A307172" s="1"/>
    </row>
    <row r="307173" spans="1:1" x14ac:dyDescent="0.25">
      <c r="A307173" s="1"/>
    </row>
    <row r="307174" spans="1:1" x14ac:dyDescent="0.25">
      <c r="A307174" s="1"/>
    </row>
    <row r="307175" spans="1:1" x14ac:dyDescent="0.25">
      <c r="A307175" s="1"/>
    </row>
    <row r="307176" spans="1:1" x14ac:dyDescent="0.25">
      <c r="A307176" s="1"/>
    </row>
    <row r="307177" spans="1:1" x14ac:dyDescent="0.25">
      <c r="A307177" s="1"/>
    </row>
    <row r="307178" spans="1:1" x14ac:dyDescent="0.25">
      <c r="A307178" s="1"/>
    </row>
    <row r="307179" spans="1:1" x14ac:dyDescent="0.25">
      <c r="A307179" s="1"/>
    </row>
    <row r="307180" spans="1:1" x14ac:dyDescent="0.25">
      <c r="A307180" s="1"/>
    </row>
    <row r="307181" spans="1:1" x14ac:dyDescent="0.25">
      <c r="A307181" s="1"/>
    </row>
    <row r="307182" spans="1:1" x14ac:dyDescent="0.25">
      <c r="A307182" s="1"/>
    </row>
    <row r="307183" spans="1:1" x14ac:dyDescent="0.25">
      <c r="A307183" s="1"/>
    </row>
    <row r="307184" spans="1:1" x14ac:dyDescent="0.25">
      <c r="A307184" s="1"/>
    </row>
    <row r="307185" spans="1:1" x14ac:dyDescent="0.25">
      <c r="A307185" s="1"/>
    </row>
    <row r="307186" spans="1:1" x14ac:dyDescent="0.25">
      <c r="A307186" s="1"/>
    </row>
    <row r="307187" spans="1:1" x14ac:dyDescent="0.25">
      <c r="A307187" s="1"/>
    </row>
    <row r="307188" spans="1:1" x14ac:dyDescent="0.25">
      <c r="A307188" s="1"/>
    </row>
    <row r="307189" spans="1:1" x14ac:dyDescent="0.25">
      <c r="A307189" s="1"/>
    </row>
    <row r="307190" spans="1:1" x14ac:dyDescent="0.25">
      <c r="A307190" s="1"/>
    </row>
    <row r="307191" spans="1:1" x14ac:dyDescent="0.25">
      <c r="A307191" s="1"/>
    </row>
    <row r="307192" spans="1:1" x14ac:dyDescent="0.25">
      <c r="A307192" s="1"/>
    </row>
    <row r="307193" spans="1:1" x14ac:dyDescent="0.25">
      <c r="A307193" s="1"/>
    </row>
    <row r="307194" spans="1:1" x14ac:dyDescent="0.25">
      <c r="A307194" s="1"/>
    </row>
    <row r="307195" spans="1:1" x14ac:dyDescent="0.25">
      <c r="A307195" s="1"/>
    </row>
    <row r="307196" spans="1:1" x14ac:dyDescent="0.25">
      <c r="A307196" s="1"/>
    </row>
    <row r="307197" spans="1:1" x14ac:dyDescent="0.25">
      <c r="A307197" s="1"/>
    </row>
    <row r="307198" spans="1:1" x14ac:dyDescent="0.25">
      <c r="A307198" s="1"/>
    </row>
    <row r="307199" spans="1:1" x14ac:dyDescent="0.25">
      <c r="A307199" s="1"/>
    </row>
    <row r="307200" spans="1:1" x14ac:dyDescent="0.25">
      <c r="A307200" s="1"/>
    </row>
    <row r="307201" spans="1:1" x14ac:dyDescent="0.25">
      <c r="A307201" s="1"/>
    </row>
    <row r="307202" spans="1:1" x14ac:dyDescent="0.25">
      <c r="A307202" s="1"/>
    </row>
    <row r="307203" spans="1:1" x14ac:dyDescent="0.25">
      <c r="A307203" s="1"/>
    </row>
    <row r="307204" spans="1:1" x14ac:dyDescent="0.25">
      <c r="A307204" s="1"/>
    </row>
    <row r="307205" spans="1:1" x14ac:dyDescent="0.25">
      <c r="A307205" s="1"/>
    </row>
    <row r="307206" spans="1:1" x14ac:dyDescent="0.25">
      <c r="A307206" s="1"/>
    </row>
    <row r="307207" spans="1:1" x14ac:dyDescent="0.25">
      <c r="A307207" s="1"/>
    </row>
    <row r="307208" spans="1:1" x14ac:dyDescent="0.25">
      <c r="A307208" s="1"/>
    </row>
    <row r="307209" spans="1:1" x14ac:dyDescent="0.25">
      <c r="A307209" s="1"/>
    </row>
    <row r="307210" spans="1:1" x14ac:dyDescent="0.25">
      <c r="A307210" s="1"/>
    </row>
    <row r="307211" spans="1:1" x14ac:dyDescent="0.25">
      <c r="A307211" s="1"/>
    </row>
    <row r="307212" spans="1:1" x14ac:dyDescent="0.25">
      <c r="A307212" s="1"/>
    </row>
    <row r="307213" spans="1:1" x14ac:dyDescent="0.25">
      <c r="A307213" s="1"/>
    </row>
    <row r="307214" spans="1:1" x14ac:dyDescent="0.25">
      <c r="A307214" s="1"/>
    </row>
    <row r="307215" spans="1:1" x14ac:dyDescent="0.25">
      <c r="A307215" s="1"/>
    </row>
    <row r="307216" spans="1:1" x14ac:dyDescent="0.25">
      <c r="A307216" s="1"/>
    </row>
    <row r="307217" spans="1:1" x14ac:dyDescent="0.25">
      <c r="A307217" s="1"/>
    </row>
    <row r="307218" spans="1:1" x14ac:dyDescent="0.25">
      <c r="A307218" s="1"/>
    </row>
    <row r="307219" spans="1:1" x14ac:dyDescent="0.25">
      <c r="A307219" s="1"/>
    </row>
    <row r="307220" spans="1:1" x14ac:dyDescent="0.25">
      <c r="A307220" s="1"/>
    </row>
    <row r="307221" spans="1:1" x14ac:dyDescent="0.25">
      <c r="A307221" s="1"/>
    </row>
    <row r="307222" spans="1:1" x14ac:dyDescent="0.25">
      <c r="A307222" s="1"/>
    </row>
    <row r="307223" spans="1:1" x14ac:dyDescent="0.25">
      <c r="A307223" s="1"/>
    </row>
    <row r="307224" spans="1:1" x14ac:dyDescent="0.25">
      <c r="A307224" s="1"/>
    </row>
    <row r="307225" spans="1:1" x14ac:dyDescent="0.25">
      <c r="A307225" s="1"/>
    </row>
    <row r="307226" spans="1:1" x14ac:dyDescent="0.25">
      <c r="A307226" s="1"/>
    </row>
    <row r="307227" spans="1:1" x14ac:dyDescent="0.25">
      <c r="A307227" s="1"/>
    </row>
    <row r="307228" spans="1:1" x14ac:dyDescent="0.25">
      <c r="A307228" s="1"/>
    </row>
    <row r="307229" spans="1:1" x14ac:dyDescent="0.25">
      <c r="A307229" s="1"/>
    </row>
    <row r="307230" spans="1:1" x14ac:dyDescent="0.25">
      <c r="A307230" s="1"/>
    </row>
    <row r="307231" spans="1:1" x14ac:dyDescent="0.25">
      <c r="A307231" s="1"/>
    </row>
    <row r="307232" spans="1:1" x14ac:dyDescent="0.25">
      <c r="A307232" s="1"/>
    </row>
    <row r="307233" spans="1:1" x14ac:dyDescent="0.25">
      <c r="A307233" s="1"/>
    </row>
    <row r="307234" spans="1:1" x14ac:dyDescent="0.25">
      <c r="A307234" s="1"/>
    </row>
    <row r="307235" spans="1:1" x14ac:dyDescent="0.25">
      <c r="A307235" s="1"/>
    </row>
    <row r="307236" spans="1:1" x14ac:dyDescent="0.25">
      <c r="A307236" s="1"/>
    </row>
    <row r="307237" spans="1:1" x14ac:dyDescent="0.25">
      <c r="A307237" s="1"/>
    </row>
    <row r="307238" spans="1:1" x14ac:dyDescent="0.25">
      <c r="A307238" s="1"/>
    </row>
    <row r="307239" spans="1:1" x14ac:dyDescent="0.25">
      <c r="A307239" s="1"/>
    </row>
    <row r="307240" spans="1:1" x14ac:dyDescent="0.25">
      <c r="A307240" s="1"/>
    </row>
    <row r="307241" spans="1:1" x14ac:dyDescent="0.25">
      <c r="A307241" s="1"/>
    </row>
    <row r="307242" spans="1:1" x14ac:dyDescent="0.25">
      <c r="A307242" s="1"/>
    </row>
    <row r="307243" spans="1:1" x14ac:dyDescent="0.25">
      <c r="A307243" s="1"/>
    </row>
    <row r="307244" spans="1:1" x14ac:dyDescent="0.25">
      <c r="A307244" s="1"/>
    </row>
    <row r="307245" spans="1:1" x14ac:dyDescent="0.25">
      <c r="A307245" s="1"/>
    </row>
    <row r="307246" spans="1:1" x14ac:dyDescent="0.25">
      <c r="A307246" s="1"/>
    </row>
    <row r="307247" spans="1:1" x14ac:dyDescent="0.25">
      <c r="A307247" s="1"/>
    </row>
    <row r="307248" spans="1:1" x14ac:dyDescent="0.25">
      <c r="A307248" s="1"/>
    </row>
    <row r="307249" spans="1:1" x14ac:dyDescent="0.25">
      <c r="A307249" s="1"/>
    </row>
    <row r="307250" spans="1:1" x14ac:dyDescent="0.25">
      <c r="A307250" s="1"/>
    </row>
    <row r="307251" spans="1:1" x14ac:dyDescent="0.25">
      <c r="A307251" s="1"/>
    </row>
    <row r="307252" spans="1:1" x14ac:dyDescent="0.25">
      <c r="A307252" s="1"/>
    </row>
    <row r="307253" spans="1:1" x14ac:dyDescent="0.25">
      <c r="A307253" s="1"/>
    </row>
    <row r="307254" spans="1:1" x14ac:dyDescent="0.25">
      <c r="A307254" s="1"/>
    </row>
    <row r="307255" spans="1:1" x14ac:dyDescent="0.25">
      <c r="A307255" s="1"/>
    </row>
    <row r="307256" spans="1:1" x14ac:dyDescent="0.25">
      <c r="A307256" s="1"/>
    </row>
    <row r="307257" spans="1:1" x14ac:dyDescent="0.25">
      <c r="A307257" s="1"/>
    </row>
    <row r="307258" spans="1:1" x14ac:dyDescent="0.25">
      <c r="A307258" s="1"/>
    </row>
    <row r="307259" spans="1:1" x14ac:dyDescent="0.25">
      <c r="A307259" s="1"/>
    </row>
    <row r="307260" spans="1:1" x14ac:dyDescent="0.25">
      <c r="A307260" s="1"/>
    </row>
    <row r="307261" spans="1:1" x14ac:dyDescent="0.25">
      <c r="A307261" s="1"/>
    </row>
    <row r="307262" spans="1:1" x14ac:dyDescent="0.25">
      <c r="A307262" s="1"/>
    </row>
    <row r="307263" spans="1:1" x14ac:dyDescent="0.25">
      <c r="A307263" s="1"/>
    </row>
    <row r="307264" spans="1:1" x14ac:dyDescent="0.25">
      <c r="A307264" s="1"/>
    </row>
    <row r="307265" spans="1:1" x14ac:dyDescent="0.25">
      <c r="A307265" s="1"/>
    </row>
    <row r="307266" spans="1:1" x14ac:dyDescent="0.25">
      <c r="A307266" s="1"/>
    </row>
    <row r="307267" spans="1:1" x14ac:dyDescent="0.25">
      <c r="A307267" s="1"/>
    </row>
    <row r="307268" spans="1:1" x14ac:dyDescent="0.25">
      <c r="A307268" s="1"/>
    </row>
    <row r="307269" spans="1:1" x14ac:dyDescent="0.25">
      <c r="A307269" s="1"/>
    </row>
    <row r="307270" spans="1:1" x14ac:dyDescent="0.25">
      <c r="A307270" s="1"/>
    </row>
    <row r="307271" spans="1:1" x14ac:dyDescent="0.25">
      <c r="A307271" s="1"/>
    </row>
    <row r="307272" spans="1:1" x14ac:dyDescent="0.25">
      <c r="A307272" s="1"/>
    </row>
    <row r="307273" spans="1:1" x14ac:dyDescent="0.25">
      <c r="A307273" s="1"/>
    </row>
    <row r="307274" spans="1:1" x14ac:dyDescent="0.25">
      <c r="A307274" s="1"/>
    </row>
    <row r="307275" spans="1:1" x14ac:dyDescent="0.25">
      <c r="A307275" s="1"/>
    </row>
    <row r="307276" spans="1:1" x14ac:dyDescent="0.25">
      <c r="A307276" s="1"/>
    </row>
    <row r="307277" spans="1:1" x14ac:dyDescent="0.25">
      <c r="A307277" s="1"/>
    </row>
    <row r="307278" spans="1:1" x14ac:dyDescent="0.25">
      <c r="A307278" s="1"/>
    </row>
    <row r="307279" spans="1:1" x14ac:dyDescent="0.25">
      <c r="A307279" s="1"/>
    </row>
    <row r="307280" spans="1:1" x14ac:dyDescent="0.25">
      <c r="A307280" s="1"/>
    </row>
    <row r="307281" spans="1:1" x14ac:dyDescent="0.25">
      <c r="A307281" s="1"/>
    </row>
    <row r="307282" spans="1:1" x14ac:dyDescent="0.25">
      <c r="A307282" s="1"/>
    </row>
    <row r="307283" spans="1:1" x14ac:dyDescent="0.25">
      <c r="A307283" s="1"/>
    </row>
    <row r="307284" spans="1:1" x14ac:dyDescent="0.25">
      <c r="A307284" s="1"/>
    </row>
    <row r="307285" spans="1:1" x14ac:dyDescent="0.25">
      <c r="A307285" s="1"/>
    </row>
    <row r="307286" spans="1:1" x14ac:dyDescent="0.25">
      <c r="A307286" s="1"/>
    </row>
    <row r="307287" spans="1:1" x14ac:dyDescent="0.25">
      <c r="A307287" s="1"/>
    </row>
    <row r="307288" spans="1:1" x14ac:dyDescent="0.25">
      <c r="A307288" s="1"/>
    </row>
    <row r="307289" spans="1:1" x14ac:dyDescent="0.25">
      <c r="A307289" s="1"/>
    </row>
    <row r="307290" spans="1:1" x14ac:dyDescent="0.25">
      <c r="A307290" s="1"/>
    </row>
    <row r="307291" spans="1:1" x14ac:dyDescent="0.25">
      <c r="A307291" s="1"/>
    </row>
    <row r="307292" spans="1:1" x14ac:dyDescent="0.25">
      <c r="A307292" s="1"/>
    </row>
    <row r="307293" spans="1:1" x14ac:dyDescent="0.25">
      <c r="A307293" s="1"/>
    </row>
    <row r="307294" spans="1:1" x14ac:dyDescent="0.25">
      <c r="A307294" s="1"/>
    </row>
    <row r="307295" spans="1:1" x14ac:dyDescent="0.25">
      <c r="A307295" s="1"/>
    </row>
    <row r="307296" spans="1:1" x14ac:dyDescent="0.25">
      <c r="A307296" s="1"/>
    </row>
    <row r="307297" spans="1:1" x14ac:dyDescent="0.25">
      <c r="A307297" s="1"/>
    </row>
    <row r="307298" spans="1:1" x14ac:dyDescent="0.25">
      <c r="A307298" s="1"/>
    </row>
    <row r="307299" spans="1:1" x14ac:dyDescent="0.25">
      <c r="A307299" s="1"/>
    </row>
    <row r="307300" spans="1:1" x14ac:dyDescent="0.25">
      <c r="A307300" s="1"/>
    </row>
    <row r="307301" spans="1:1" x14ac:dyDescent="0.25">
      <c r="A307301" s="1"/>
    </row>
    <row r="307302" spans="1:1" x14ac:dyDescent="0.25">
      <c r="A307302" s="1"/>
    </row>
    <row r="307303" spans="1:1" x14ac:dyDescent="0.25">
      <c r="A307303" s="1"/>
    </row>
    <row r="307304" spans="1:1" x14ac:dyDescent="0.25">
      <c r="A307304" s="1"/>
    </row>
    <row r="307305" spans="1:1" x14ac:dyDescent="0.25">
      <c r="A307305" s="1"/>
    </row>
    <row r="307306" spans="1:1" x14ac:dyDescent="0.25">
      <c r="A307306" s="1"/>
    </row>
    <row r="307307" spans="1:1" x14ac:dyDescent="0.25">
      <c r="A307307" s="1"/>
    </row>
    <row r="307308" spans="1:1" x14ac:dyDescent="0.25">
      <c r="A307308" s="1"/>
    </row>
    <row r="307309" spans="1:1" x14ac:dyDescent="0.25">
      <c r="A307309" s="1"/>
    </row>
    <row r="307310" spans="1:1" x14ac:dyDescent="0.25">
      <c r="A307310" s="1"/>
    </row>
    <row r="307311" spans="1:1" x14ac:dyDescent="0.25">
      <c r="A307311" s="1"/>
    </row>
    <row r="307312" spans="1:1" x14ac:dyDescent="0.25">
      <c r="A307312" s="1"/>
    </row>
    <row r="307313" spans="1:1" x14ac:dyDescent="0.25">
      <c r="A307313" s="1"/>
    </row>
    <row r="307314" spans="1:1" x14ac:dyDescent="0.25">
      <c r="A307314" s="1"/>
    </row>
    <row r="307315" spans="1:1" x14ac:dyDescent="0.25">
      <c r="A307315" s="1"/>
    </row>
    <row r="307316" spans="1:1" x14ac:dyDescent="0.25">
      <c r="A307316" s="1"/>
    </row>
    <row r="307317" spans="1:1" x14ac:dyDescent="0.25">
      <c r="A307317" s="1"/>
    </row>
    <row r="307318" spans="1:1" x14ac:dyDescent="0.25">
      <c r="A307318" s="1"/>
    </row>
    <row r="307319" spans="1:1" x14ac:dyDescent="0.25">
      <c r="A307319" s="1"/>
    </row>
    <row r="307320" spans="1:1" x14ac:dyDescent="0.25">
      <c r="A307320" s="1"/>
    </row>
    <row r="307321" spans="1:1" x14ac:dyDescent="0.25">
      <c r="A307321" s="1"/>
    </row>
    <row r="307322" spans="1:1" x14ac:dyDescent="0.25">
      <c r="A307322" s="1"/>
    </row>
    <row r="307323" spans="1:1" x14ac:dyDescent="0.25">
      <c r="A307323" s="1"/>
    </row>
    <row r="307324" spans="1:1" x14ac:dyDescent="0.25">
      <c r="A307324" s="1"/>
    </row>
    <row r="307325" spans="1:1" x14ac:dyDescent="0.25">
      <c r="A307325" s="1"/>
    </row>
    <row r="307326" spans="1:1" x14ac:dyDescent="0.25">
      <c r="A307326" s="1"/>
    </row>
    <row r="307327" spans="1:1" x14ac:dyDescent="0.25">
      <c r="A307327" s="1"/>
    </row>
    <row r="307328" spans="1:1" x14ac:dyDescent="0.25">
      <c r="A307328" s="1"/>
    </row>
    <row r="307329" spans="1:1" x14ac:dyDescent="0.25">
      <c r="A307329" s="1"/>
    </row>
    <row r="307330" spans="1:1" x14ac:dyDescent="0.25">
      <c r="A307330" s="1"/>
    </row>
    <row r="307331" spans="1:1" x14ac:dyDescent="0.25">
      <c r="A307331" s="1"/>
    </row>
    <row r="307332" spans="1:1" x14ac:dyDescent="0.25">
      <c r="A307332" s="1"/>
    </row>
    <row r="307333" spans="1:1" x14ac:dyDescent="0.25">
      <c r="A307333" s="1"/>
    </row>
    <row r="307334" spans="1:1" x14ac:dyDescent="0.25">
      <c r="A307334" s="1"/>
    </row>
    <row r="307335" spans="1:1" x14ac:dyDescent="0.25">
      <c r="A307335" s="1"/>
    </row>
    <row r="307336" spans="1:1" x14ac:dyDescent="0.25">
      <c r="A307336" s="1"/>
    </row>
    <row r="307337" spans="1:1" x14ac:dyDescent="0.25">
      <c r="A307337" s="1"/>
    </row>
    <row r="307338" spans="1:1" x14ac:dyDescent="0.25">
      <c r="A307338" s="1"/>
    </row>
    <row r="307339" spans="1:1" x14ac:dyDescent="0.25">
      <c r="A307339" s="1"/>
    </row>
    <row r="307340" spans="1:1" x14ac:dyDescent="0.25">
      <c r="A307340" s="1"/>
    </row>
    <row r="307341" spans="1:1" x14ac:dyDescent="0.25">
      <c r="A307341" s="1"/>
    </row>
    <row r="307342" spans="1:1" x14ac:dyDescent="0.25">
      <c r="A307342" s="1"/>
    </row>
    <row r="307343" spans="1:1" x14ac:dyDescent="0.25">
      <c r="A307343" s="1"/>
    </row>
    <row r="307344" spans="1:1" x14ac:dyDescent="0.25">
      <c r="A307344" s="1"/>
    </row>
    <row r="307345" spans="1:1" x14ac:dyDescent="0.25">
      <c r="A307345" s="1"/>
    </row>
    <row r="307346" spans="1:1" x14ac:dyDescent="0.25">
      <c r="A307346" s="1"/>
    </row>
    <row r="307347" spans="1:1" x14ac:dyDescent="0.25">
      <c r="A307347" s="1"/>
    </row>
    <row r="307348" spans="1:1" x14ac:dyDescent="0.25">
      <c r="A307348" s="1"/>
    </row>
    <row r="307349" spans="1:1" x14ac:dyDescent="0.25">
      <c r="A307349" s="1"/>
    </row>
    <row r="307350" spans="1:1" x14ac:dyDescent="0.25">
      <c r="A307350" s="1"/>
    </row>
    <row r="307351" spans="1:1" x14ac:dyDescent="0.25">
      <c r="A307351" s="1"/>
    </row>
    <row r="307352" spans="1:1" x14ac:dyDescent="0.25">
      <c r="A307352" s="1"/>
    </row>
    <row r="307353" spans="1:1" x14ac:dyDescent="0.25">
      <c r="A307353" s="1"/>
    </row>
    <row r="307354" spans="1:1" x14ac:dyDescent="0.25">
      <c r="A307354" s="1"/>
    </row>
    <row r="307355" spans="1:1" x14ac:dyDescent="0.25">
      <c r="A307355" s="1"/>
    </row>
    <row r="307356" spans="1:1" x14ac:dyDescent="0.25">
      <c r="A307356" s="1"/>
    </row>
    <row r="307357" spans="1:1" x14ac:dyDescent="0.25">
      <c r="A307357" s="1"/>
    </row>
    <row r="307358" spans="1:1" x14ac:dyDescent="0.25">
      <c r="A307358" s="1"/>
    </row>
    <row r="307359" spans="1:1" x14ac:dyDescent="0.25">
      <c r="A307359" s="1"/>
    </row>
    <row r="307360" spans="1:1" x14ac:dyDescent="0.25">
      <c r="A307360" s="1"/>
    </row>
    <row r="307361" spans="1:1" x14ac:dyDescent="0.25">
      <c r="A307361" s="1"/>
    </row>
    <row r="307362" spans="1:1" x14ac:dyDescent="0.25">
      <c r="A307362" s="1"/>
    </row>
    <row r="307363" spans="1:1" x14ac:dyDescent="0.25">
      <c r="A307363" s="1"/>
    </row>
    <row r="307364" spans="1:1" x14ac:dyDescent="0.25">
      <c r="A307364" s="1"/>
    </row>
    <row r="307365" spans="1:1" x14ac:dyDescent="0.25">
      <c r="A307365" s="1"/>
    </row>
    <row r="307366" spans="1:1" x14ac:dyDescent="0.25">
      <c r="A307366" s="1"/>
    </row>
    <row r="307367" spans="1:1" x14ac:dyDescent="0.25">
      <c r="A307367" s="1"/>
    </row>
    <row r="307368" spans="1:1" x14ac:dyDescent="0.25">
      <c r="A307368" s="1"/>
    </row>
    <row r="307369" spans="1:1" x14ac:dyDescent="0.25">
      <c r="A307369" s="1"/>
    </row>
    <row r="307370" spans="1:1" x14ac:dyDescent="0.25">
      <c r="A307370" s="1"/>
    </row>
    <row r="307371" spans="1:1" x14ac:dyDescent="0.25">
      <c r="A307371" s="1"/>
    </row>
    <row r="307372" spans="1:1" x14ac:dyDescent="0.25">
      <c r="A307372" s="1"/>
    </row>
    <row r="307373" spans="1:1" x14ac:dyDescent="0.25">
      <c r="A307373" s="1"/>
    </row>
    <row r="307374" spans="1:1" x14ac:dyDescent="0.25">
      <c r="A307374" s="1"/>
    </row>
    <row r="307375" spans="1:1" x14ac:dyDescent="0.25">
      <c r="A307375" s="1"/>
    </row>
    <row r="307376" spans="1:1" x14ac:dyDescent="0.25">
      <c r="A307376" s="1"/>
    </row>
    <row r="307377" spans="1:1" x14ac:dyDescent="0.25">
      <c r="A307377" s="1"/>
    </row>
    <row r="307378" spans="1:1" x14ac:dyDescent="0.25">
      <c r="A307378" s="1"/>
    </row>
    <row r="307379" spans="1:1" x14ac:dyDescent="0.25">
      <c r="A307379" s="1"/>
    </row>
    <row r="307380" spans="1:1" x14ac:dyDescent="0.25">
      <c r="A307380" s="1"/>
    </row>
    <row r="307381" spans="1:1" x14ac:dyDescent="0.25">
      <c r="A307381" s="1"/>
    </row>
    <row r="307382" spans="1:1" x14ac:dyDescent="0.25">
      <c r="A307382" s="1"/>
    </row>
    <row r="307383" spans="1:1" x14ac:dyDescent="0.25">
      <c r="A307383" s="1"/>
    </row>
    <row r="307384" spans="1:1" x14ac:dyDescent="0.25">
      <c r="A307384" s="1"/>
    </row>
    <row r="307385" spans="1:1" x14ac:dyDescent="0.25">
      <c r="A307385" s="1"/>
    </row>
    <row r="307386" spans="1:1" x14ac:dyDescent="0.25">
      <c r="A307386" s="1"/>
    </row>
    <row r="307387" spans="1:1" x14ac:dyDescent="0.25">
      <c r="A307387" s="1"/>
    </row>
    <row r="307388" spans="1:1" x14ac:dyDescent="0.25">
      <c r="A307388" s="1"/>
    </row>
    <row r="307389" spans="1:1" x14ac:dyDescent="0.25">
      <c r="A307389" s="1"/>
    </row>
    <row r="307390" spans="1:1" x14ac:dyDescent="0.25">
      <c r="A307390" s="1"/>
    </row>
    <row r="307391" spans="1:1" x14ac:dyDescent="0.25">
      <c r="A307391" s="1"/>
    </row>
    <row r="307392" spans="1:1" x14ac:dyDescent="0.25">
      <c r="A307392" s="1"/>
    </row>
    <row r="307393" spans="1:1" x14ac:dyDescent="0.25">
      <c r="A307393" s="1"/>
    </row>
    <row r="307394" spans="1:1" x14ac:dyDescent="0.25">
      <c r="A307394" s="1"/>
    </row>
    <row r="307395" spans="1:1" x14ac:dyDescent="0.25">
      <c r="A307395" s="1"/>
    </row>
    <row r="307396" spans="1:1" x14ac:dyDescent="0.25">
      <c r="A307396" s="1"/>
    </row>
    <row r="307397" spans="1:1" x14ac:dyDescent="0.25">
      <c r="A307397" s="1"/>
    </row>
    <row r="307398" spans="1:1" x14ac:dyDescent="0.25">
      <c r="A307398" s="1"/>
    </row>
    <row r="307399" spans="1:1" x14ac:dyDescent="0.25">
      <c r="A307399" s="1"/>
    </row>
    <row r="307400" spans="1:1" x14ac:dyDescent="0.25">
      <c r="A307400" s="1"/>
    </row>
    <row r="307401" spans="1:1" x14ac:dyDescent="0.25">
      <c r="A307401" s="1"/>
    </row>
    <row r="307402" spans="1:1" x14ac:dyDescent="0.25">
      <c r="A307402" s="1"/>
    </row>
    <row r="307403" spans="1:1" x14ac:dyDescent="0.25">
      <c r="A307403" s="1"/>
    </row>
    <row r="307404" spans="1:1" x14ac:dyDescent="0.25">
      <c r="A307404" s="1"/>
    </row>
    <row r="307405" spans="1:1" x14ac:dyDescent="0.25">
      <c r="A307405" s="1"/>
    </row>
    <row r="307406" spans="1:1" x14ac:dyDescent="0.25">
      <c r="A307406" s="1"/>
    </row>
    <row r="307407" spans="1:1" x14ac:dyDescent="0.25">
      <c r="A307407" s="1"/>
    </row>
    <row r="307408" spans="1:1" x14ac:dyDescent="0.25">
      <c r="A307408" s="1"/>
    </row>
    <row r="307409" spans="1:1" x14ac:dyDescent="0.25">
      <c r="A307409" s="1"/>
    </row>
    <row r="307410" spans="1:1" x14ac:dyDescent="0.25">
      <c r="A307410" s="1"/>
    </row>
    <row r="307411" spans="1:1" x14ac:dyDescent="0.25">
      <c r="A307411" s="1"/>
    </row>
    <row r="307412" spans="1:1" x14ac:dyDescent="0.25">
      <c r="A307412" s="1"/>
    </row>
    <row r="307413" spans="1:1" x14ac:dyDescent="0.25">
      <c r="A307413" s="1"/>
    </row>
    <row r="307414" spans="1:1" x14ac:dyDescent="0.25">
      <c r="A307414" s="1"/>
    </row>
    <row r="307415" spans="1:1" x14ac:dyDescent="0.25">
      <c r="A307415" s="1"/>
    </row>
    <row r="307416" spans="1:1" x14ac:dyDescent="0.25">
      <c r="A307416" s="1"/>
    </row>
    <row r="307417" spans="1:1" x14ac:dyDescent="0.25">
      <c r="A307417" s="1"/>
    </row>
    <row r="307418" spans="1:1" x14ac:dyDescent="0.25">
      <c r="A307418" s="1"/>
    </row>
    <row r="307419" spans="1:1" x14ac:dyDescent="0.25">
      <c r="A307419" s="1"/>
    </row>
    <row r="307420" spans="1:1" x14ac:dyDescent="0.25">
      <c r="A307420" s="1"/>
    </row>
    <row r="307421" spans="1:1" x14ac:dyDescent="0.25">
      <c r="A307421" s="1"/>
    </row>
    <row r="307422" spans="1:1" x14ac:dyDescent="0.25">
      <c r="A307422" s="1"/>
    </row>
    <row r="307423" spans="1:1" x14ac:dyDescent="0.25">
      <c r="A307423" s="1"/>
    </row>
    <row r="307424" spans="1:1" x14ac:dyDescent="0.25">
      <c r="A307424" s="1"/>
    </row>
    <row r="307425" spans="1:1" x14ac:dyDescent="0.25">
      <c r="A307425" s="1"/>
    </row>
    <row r="307426" spans="1:1" x14ac:dyDescent="0.25">
      <c r="A307426" s="1"/>
    </row>
    <row r="307427" spans="1:1" x14ac:dyDescent="0.25">
      <c r="A307427" s="1"/>
    </row>
    <row r="307428" spans="1:1" x14ac:dyDescent="0.25">
      <c r="A307428" s="1"/>
    </row>
    <row r="307429" spans="1:1" x14ac:dyDescent="0.25">
      <c r="A307429" s="1"/>
    </row>
    <row r="307430" spans="1:1" x14ac:dyDescent="0.25">
      <c r="A307430" s="1"/>
    </row>
    <row r="307431" spans="1:1" x14ac:dyDescent="0.25">
      <c r="A307431" s="1"/>
    </row>
    <row r="307432" spans="1:1" x14ac:dyDescent="0.25">
      <c r="A307432" s="1"/>
    </row>
    <row r="307433" spans="1:1" x14ac:dyDescent="0.25">
      <c r="A307433" s="1"/>
    </row>
    <row r="307434" spans="1:1" x14ac:dyDescent="0.25">
      <c r="A307434" s="1"/>
    </row>
    <row r="307435" spans="1:1" x14ac:dyDescent="0.25">
      <c r="A307435" s="1"/>
    </row>
    <row r="307436" spans="1:1" x14ac:dyDescent="0.25">
      <c r="A307436" s="1"/>
    </row>
    <row r="307437" spans="1:1" x14ac:dyDescent="0.25">
      <c r="A307437" s="1"/>
    </row>
    <row r="307438" spans="1:1" x14ac:dyDescent="0.25">
      <c r="A307438" s="1"/>
    </row>
    <row r="307439" spans="1:1" x14ac:dyDescent="0.25">
      <c r="A307439" s="1"/>
    </row>
    <row r="307440" spans="1:1" x14ac:dyDescent="0.25">
      <c r="A307440" s="1"/>
    </row>
    <row r="307441" spans="1:1" x14ac:dyDescent="0.25">
      <c r="A307441" s="1"/>
    </row>
    <row r="307442" spans="1:1" x14ac:dyDescent="0.25">
      <c r="A307442" s="1"/>
    </row>
    <row r="307443" spans="1:1" x14ac:dyDescent="0.25">
      <c r="A307443" s="1"/>
    </row>
    <row r="307444" spans="1:1" x14ac:dyDescent="0.25">
      <c r="A307444" s="1"/>
    </row>
    <row r="307445" spans="1:1" x14ac:dyDescent="0.25">
      <c r="A307445" s="1"/>
    </row>
    <row r="307446" spans="1:1" x14ac:dyDescent="0.25">
      <c r="A307446" s="1"/>
    </row>
    <row r="307447" spans="1:1" x14ac:dyDescent="0.25">
      <c r="A307447" s="1"/>
    </row>
    <row r="307448" spans="1:1" x14ac:dyDescent="0.25">
      <c r="A307448" s="1"/>
    </row>
    <row r="307449" spans="1:1" x14ac:dyDescent="0.25">
      <c r="A307449" s="1"/>
    </row>
    <row r="307450" spans="1:1" x14ac:dyDescent="0.25">
      <c r="A307450" s="1"/>
    </row>
    <row r="307451" spans="1:1" x14ac:dyDescent="0.25">
      <c r="A307451" s="1"/>
    </row>
    <row r="307452" spans="1:1" x14ac:dyDescent="0.25">
      <c r="A307452" s="1"/>
    </row>
    <row r="307453" spans="1:1" x14ac:dyDescent="0.25">
      <c r="A307453" s="1"/>
    </row>
    <row r="307454" spans="1:1" x14ac:dyDescent="0.25">
      <c r="A307454" s="1"/>
    </row>
    <row r="307455" spans="1:1" x14ac:dyDescent="0.25">
      <c r="A307455" s="1"/>
    </row>
    <row r="307456" spans="1:1" x14ac:dyDescent="0.25">
      <c r="A307456" s="1"/>
    </row>
    <row r="307457" spans="1:1" x14ac:dyDescent="0.25">
      <c r="A307457" s="1"/>
    </row>
    <row r="307458" spans="1:1" x14ac:dyDescent="0.25">
      <c r="A307458" s="1"/>
    </row>
    <row r="307459" spans="1:1" x14ac:dyDescent="0.25">
      <c r="A307459" s="1"/>
    </row>
    <row r="307460" spans="1:1" x14ac:dyDescent="0.25">
      <c r="A307460" s="1"/>
    </row>
    <row r="307461" spans="1:1" x14ac:dyDescent="0.25">
      <c r="A307461" s="1"/>
    </row>
    <row r="307462" spans="1:1" x14ac:dyDescent="0.25">
      <c r="A307462" s="1"/>
    </row>
    <row r="307463" spans="1:1" x14ac:dyDescent="0.25">
      <c r="A307463" s="1"/>
    </row>
    <row r="307464" spans="1:1" x14ac:dyDescent="0.25">
      <c r="A307464" s="1"/>
    </row>
    <row r="307465" spans="1:1" x14ac:dyDescent="0.25">
      <c r="A307465" s="1"/>
    </row>
    <row r="307466" spans="1:1" x14ac:dyDescent="0.25">
      <c r="A307466" s="1"/>
    </row>
    <row r="307467" spans="1:1" x14ac:dyDescent="0.25">
      <c r="A307467" s="1"/>
    </row>
    <row r="307468" spans="1:1" x14ac:dyDescent="0.25">
      <c r="A307468" s="1"/>
    </row>
    <row r="307469" spans="1:1" x14ac:dyDescent="0.25">
      <c r="A307469" s="1"/>
    </row>
    <row r="307470" spans="1:1" x14ac:dyDescent="0.25">
      <c r="A307470" s="1"/>
    </row>
    <row r="307471" spans="1:1" x14ac:dyDescent="0.25">
      <c r="A307471" s="1"/>
    </row>
    <row r="307472" spans="1:1" x14ac:dyDescent="0.25">
      <c r="A307472" s="1"/>
    </row>
    <row r="307473" spans="1:1" x14ac:dyDescent="0.25">
      <c r="A307473" s="1"/>
    </row>
    <row r="307474" spans="1:1" x14ac:dyDescent="0.25">
      <c r="A307474" s="1"/>
    </row>
    <row r="307475" spans="1:1" x14ac:dyDescent="0.25">
      <c r="A307475" s="1"/>
    </row>
    <row r="307476" spans="1:1" x14ac:dyDescent="0.25">
      <c r="A307476" s="1"/>
    </row>
    <row r="307477" spans="1:1" x14ac:dyDescent="0.25">
      <c r="A307477" s="1"/>
    </row>
    <row r="307478" spans="1:1" x14ac:dyDescent="0.25">
      <c r="A307478" s="1"/>
    </row>
    <row r="307479" spans="1:1" x14ac:dyDescent="0.25">
      <c r="A307479" s="1"/>
    </row>
    <row r="307480" spans="1:1" x14ac:dyDescent="0.25">
      <c r="A307480" s="1"/>
    </row>
    <row r="307481" spans="1:1" x14ac:dyDescent="0.25">
      <c r="A307481" s="1"/>
    </row>
    <row r="307482" spans="1:1" x14ac:dyDescent="0.25">
      <c r="A307482" s="1"/>
    </row>
    <row r="307483" spans="1:1" x14ac:dyDescent="0.25">
      <c r="A307483" s="1"/>
    </row>
    <row r="307484" spans="1:1" x14ac:dyDescent="0.25">
      <c r="A307484" s="1"/>
    </row>
    <row r="307485" spans="1:1" x14ac:dyDescent="0.25">
      <c r="A307485" s="1"/>
    </row>
    <row r="307486" spans="1:1" x14ac:dyDescent="0.25">
      <c r="A307486" s="1"/>
    </row>
    <row r="307487" spans="1:1" x14ac:dyDescent="0.25">
      <c r="A307487" s="1"/>
    </row>
    <row r="307488" spans="1:1" x14ac:dyDescent="0.25">
      <c r="A307488" s="1"/>
    </row>
    <row r="307489" spans="1:1" x14ac:dyDescent="0.25">
      <c r="A307489" s="1"/>
    </row>
    <row r="307490" spans="1:1" x14ac:dyDescent="0.25">
      <c r="A307490" s="1"/>
    </row>
    <row r="307491" spans="1:1" x14ac:dyDescent="0.25">
      <c r="A307491" s="1"/>
    </row>
    <row r="307492" spans="1:1" x14ac:dyDescent="0.25">
      <c r="A307492" s="1"/>
    </row>
    <row r="307493" spans="1:1" x14ac:dyDescent="0.25">
      <c r="A307493" s="1"/>
    </row>
    <row r="307494" spans="1:1" x14ac:dyDescent="0.25">
      <c r="A307494" s="1"/>
    </row>
    <row r="307495" spans="1:1" x14ac:dyDescent="0.25">
      <c r="A307495" s="1"/>
    </row>
    <row r="307496" spans="1:1" x14ac:dyDescent="0.25">
      <c r="A307496" s="1"/>
    </row>
    <row r="307497" spans="1:1" x14ac:dyDescent="0.25">
      <c r="A307497" s="1"/>
    </row>
    <row r="307498" spans="1:1" x14ac:dyDescent="0.25">
      <c r="A307498" s="1"/>
    </row>
    <row r="307499" spans="1:1" x14ac:dyDescent="0.25">
      <c r="A307499" s="1"/>
    </row>
    <row r="307500" spans="1:1" x14ac:dyDescent="0.25">
      <c r="A307500" s="1"/>
    </row>
    <row r="307501" spans="1:1" x14ac:dyDescent="0.25">
      <c r="A307501" s="1"/>
    </row>
    <row r="307502" spans="1:1" x14ac:dyDescent="0.25">
      <c r="A307502" s="1"/>
    </row>
    <row r="307503" spans="1:1" x14ac:dyDescent="0.25">
      <c r="A307503" s="1"/>
    </row>
    <row r="307504" spans="1:1" x14ac:dyDescent="0.25">
      <c r="A307504" s="1"/>
    </row>
    <row r="307505" spans="1:1" x14ac:dyDescent="0.25">
      <c r="A307505" s="1"/>
    </row>
    <row r="307506" spans="1:1" x14ac:dyDescent="0.25">
      <c r="A307506" s="1"/>
    </row>
    <row r="307507" spans="1:1" x14ac:dyDescent="0.25">
      <c r="A307507" s="1"/>
    </row>
    <row r="307508" spans="1:1" x14ac:dyDescent="0.25">
      <c r="A307508" s="1"/>
    </row>
    <row r="307509" spans="1:1" x14ac:dyDescent="0.25">
      <c r="A307509" s="1"/>
    </row>
    <row r="307510" spans="1:1" x14ac:dyDescent="0.25">
      <c r="A307510" s="1"/>
    </row>
    <row r="307511" spans="1:1" x14ac:dyDescent="0.25">
      <c r="A307511" s="1"/>
    </row>
    <row r="307512" spans="1:1" x14ac:dyDescent="0.25">
      <c r="A307512" s="1"/>
    </row>
    <row r="307513" spans="1:1" x14ac:dyDescent="0.25">
      <c r="A307513" s="1"/>
    </row>
    <row r="307514" spans="1:1" x14ac:dyDescent="0.25">
      <c r="A307514" s="1"/>
    </row>
    <row r="307515" spans="1:1" x14ac:dyDescent="0.25">
      <c r="A307515" s="1"/>
    </row>
    <row r="307516" spans="1:1" x14ac:dyDescent="0.25">
      <c r="A307516" s="1"/>
    </row>
    <row r="307517" spans="1:1" x14ac:dyDescent="0.25">
      <c r="A307517" s="1"/>
    </row>
    <row r="307518" spans="1:1" x14ac:dyDescent="0.25">
      <c r="A307518" s="1"/>
    </row>
    <row r="307519" spans="1:1" x14ac:dyDescent="0.25">
      <c r="A307519" s="1"/>
    </row>
    <row r="307520" spans="1:1" x14ac:dyDescent="0.25">
      <c r="A307520" s="1"/>
    </row>
    <row r="307521" spans="1:1" x14ac:dyDescent="0.25">
      <c r="A307521" s="1"/>
    </row>
    <row r="307522" spans="1:1" x14ac:dyDescent="0.25">
      <c r="A307522" s="1"/>
    </row>
    <row r="307523" spans="1:1" x14ac:dyDescent="0.25">
      <c r="A307523" s="1"/>
    </row>
    <row r="307524" spans="1:1" x14ac:dyDescent="0.25">
      <c r="A307524" s="1"/>
    </row>
    <row r="307525" spans="1:1" x14ac:dyDescent="0.25">
      <c r="A307525" s="1"/>
    </row>
    <row r="307526" spans="1:1" x14ac:dyDescent="0.25">
      <c r="A307526" s="1"/>
    </row>
    <row r="307527" spans="1:1" x14ac:dyDescent="0.25">
      <c r="A307527" s="1"/>
    </row>
    <row r="307528" spans="1:1" x14ac:dyDescent="0.25">
      <c r="A307528" s="1"/>
    </row>
    <row r="307529" spans="1:1" x14ac:dyDescent="0.25">
      <c r="A307529" s="1"/>
    </row>
    <row r="307530" spans="1:1" x14ac:dyDescent="0.25">
      <c r="A307530" s="1"/>
    </row>
    <row r="307531" spans="1:1" x14ac:dyDescent="0.25">
      <c r="A307531" s="1"/>
    </row>
    <row r="307532" spans="1:1" x14ac:dyDescent="0.25">
      <c r="A307532" s="1"/>
    </row>
    <row r="307533" spans="1:1" x14ac:dyDescent="0.25">
      <c r="A307533" s="1"/>
    </row>
    <row r="307534" spans="1:1" x14ac:dyDescent="0.25">
      <c r="A307534" s="1"/>
    </row>
    <row r="307535" spans="1:1" x14ac:dyDescent="0.25">
      <c r="A307535" s="1"/>
    </row>
    <row r="307536" spans="1:1" x14ac:dyDescent="0.25">
      <c r="A307536" s="1"/>
    </row>
    <row r="307537" spans="1:1" x14ac:dyDescent="0.25">
      <c r="A307537" s="1"/>
    </row>
    <row r="307538" spans="1:1" x14ac:dyDescent="0.25">
      <c r="A307538" s="1"/>
    </row>
    <row r="307539" spans="1:1" x14ac:dyDescent="0.25">
      <c r="A307539" s="1"/>
    </row>
    <row r="307540" spans="1:1" x14ac:dyDescent="0.25">
      <c r="A307540" s="1"/>
    </row>
    <row r="307541" spans="1:1" x14ac:dyDescent="0.25">
      <c r="A307541" s="1"/>
    </row>
    <row r="307542" spans="1:1" x14ac:dyDescent="0.25">
      <c r="A307542" s="1"/>
    </row>
    <row r="307543" spans="1:1" x14ac:dyDescent="0.25">
      <c r="A307543" s="1"/>
    </row>
    <row r="307544" spans="1:1" x14ac:dyDescent="0.25">
      <c r="A307544" s="1"/>
    </row>
    <row r="307545" spans="1:1" x14ac:dyDescent="0.25">
      <c r="A307545" s="1"/>
    </row>
    <row r="307546" spans="1:1" x14ac:dyDescent="0.25">
      <c r="A307546" s="1"/>
    </row>
    <row r="307547" spans="1:1" x14ac:dyDescent="0.25">
      <c r="A307547" s="1"/>
    </row>
    <row r="307548" spans="1:1" x14ac:dyDescent="0.25">
      <c r="A307548" s="1"/>
    </row>
    <row r="307549" spans="1:1" x14ac:dyDescent="0.25">
      <c r="A307549" s="1"/>
    </row>
    <row r="307550" spans="1:1" x14ac:dyDescent="0.25">
      <c r="A307550" s="1"/>
    </row>
    <row r="307551" spans="1:1" x14ac:dyDescent="0.25">
      <c r="A307551" s="1"/>
    </row>
    <row r="307552" spans="1:1" x14ac:dyDescent="0.25">
      <c r="A307552" s="1"/>
    </row>
    <row r="307553" spans="1:1" x14ac:dyDescent="0.25">
      <c r="A307553" s="1"/>
    </row>
    <row r="307554" spans="1:1" x14ac:dyDescent="0.25">
      <c r="A307554" s="1"/>
    </row>
    <row r="307555" spans="1:1" x14ac:dyDescent="0.25">
      <c r="A307555" s="1"/>
    </row>
    <row r="307556" spans="1:1" x14ac:dyDescent="0.25">
      <c r="A307556" s="1"/>
    </row>
    <row r="307557" spans="1:1" x14ac:dyDescent="0.25">
      <c r="A307557" s="1"/>
    </row>
    <row r="307558" spans="1:1" x14ac:dyDescent="0.25">
      <c r="A307558" s="1"/>
    </row>
    <row r="307559" spans="1:1" x14ac:dyDescent="0.25">
      <c r="A307559" s="1"/>
    </row>
    <row r="307560" spans="1:1" x14ac:dyDescent="0.25">
      <c r="A307560" s="1"/>
    </row>
    <row r="307561" spans="1:1" x14ac:dyDescent="0.25">
      <c r="A307561" s="1"/>
    </row>
    <row r="307562" spans="1:1" x14ac:dyDescent="0.25">
      <c r="A307562" s="1"/>
    </row>
    <row r="307563" spans="1:1" x14ac:dyDescent="0.25">
      <c r="A307563" s="1"/>
    </row>
    <row r="307564" spans="1:1" x14ac:dyDescent="0.25">
      <c r="A307564" s="1"/>
    </row>
    <row r="307565" spans="1:1" x14ac:dyDescent="0.25">
      <c r="A307565" s="1"/>
    </row>
    <row r="307566" spans="1:1" x14ac:dyDescent="0.25">
      <c r="A307566" s="1"/>
    </row>
    <row r="307567" spans="1:1" x14ac:dyDescent="0.25">
      <c r="A307567" s="1"/>
    </row>
    <row r="307568" spans="1:1" x14ac:dyDescent="0.25">
      <c r="A307568" s="1"/>
    </row>
    <row r="307569" spans="1:1" x14ac:dyDescent="0.25">
      <c r="A307569" s="1"/>
    </row>
    <row r="307570" spans="1:1" x14ac:dyDescent="0.25">
      <c r="A307570" s="1"/>
    </row>
    <row r="307571" spans="1:1" x14ac:dyDescent="0.25">
      <c r="A307571" s="1"/>
    </row>
    <row r="307572" spans="1:1" x14ac:dyDescent="0.25">
      <c r="A307572" s="1"/>
    </row>
    <row r="307573" spans="1:1" x14ac:dyDescent="0.25">
      <c r="A307573" s="1"/>
    </row>
    <row r="307574" spans="1:1" x14ac:dyDescent="0.25">
      <c r="A307574" s="1"/>
    </row>
    <row r="307575" spans="1:1" x14ac:dyDescent="0.25">
      <c r="A307575" s="1"/>
    </row>
    <row r="307576" spans="1:1" x14ac:dyDescent="0.25">
      <c r="A307576" s="1"/>
    </row>
    <row r="307577" spans="1:1" x14ac:dyDescent="0.25">
      <c r="A307577" s="1"/>
    </row>
    <row r="307578" spans="1:1" x14ac:dyDescent="0.25">
      <c r="A307578" s="1"/>
    </row>
    <row r="307579" spans="1:1" x14ac:dyDescent="0.25">
      <c r="A307579" s="1"/>
    </row>
    <row r="307580" spans="1:1" x14ac:dyDescent="0.25">
      <c r="A307580" s="1"/>
    </row>
    <row r="307581" spans="1:1" x14ac:dyDescent="0.25">
      <c r="A307581" s="1"/>
    </row>
    <row r="307582" spans="1:1" x14ac:dyDescent="0.25">
      <c r="A307582" s="1"/>
    </row>
    <row r="307583" spans="1:1" x14ac:dyDescent="0.25">
      <c r="A307583" s="1"/>
    </row>
    <row r="307584" spans="1:1" x14ac:dyDescent="0.25">
      <c r="A307584" s="1"/>
    </row>
    <row r="307585" spans="1:1" x14ac:dyDescent="0.25">
      <c r="A307585" s="1"/>
    </row>
    <row r="307586" spans="1:1" x14ac:dyDescent="0.25">
      <c r="A307586" s="1"/>
    </row>
    <row r="307587" spans="1:1" x14ac:dyDescent="0.25">
      <c r="A307587" s="1"/>
    </row>
    <row r="307588" spans="1:1" x14ac:dyDescent="0.25">
      <c r="A307588" s="1"/>
    </row>
    <row r="307589" spans="1:1" x14ac:dyDescent="0.25">
      <c r="A307589" s="1"/>
    </row>
    <row r="307590" spans="1:1" x14ac:dyDescent="0.25">
      <c r="A307590" s="1"/>
    </row>
    <row r="307591" spans="1:1" x14ac:dyDescent="0.25">
      <c r="A307591" s="1"/>
    </row>
    <row r="307592" spans="1:1" x14ac:dyDescent="0.25">
      <c r="A307592" s="1"/>
    </row>
    <row r="307593" spans="1:1" x14ac:dyDescent="0.25">
      <c r="A307593" s="1"/>
    </row>
    <row r="307594" spans="1:1" x14ac:dyDescent="0.25">
      <c r="A307594" s="1"/>
    </row>
    <row r="307595" spans="1:1" x14ac:dyDescent="0.25">
      <c r="A307595" s="1"/>
    </row>
    <row r="307596" spans="1:1" x14ac:dyDescent="0.25">
      <c r="A307596" s="1"/>
    </row>
    <row r="307597" spans="1:1" x14ac:dyDescent="0.25">
      <c r="A307597" s="1"/>
    </row>
    <row r="307598" spans="1:1" x14ac:dyDescent="0.25">
      <c r="A307598" s="1"/>
    </row>
    <row r="307599" spans="1:1" x14ac:dyDescent="0.25">
      <c r="A307599" s="1"/>
    </row>
    <row r="307600" spans="1:1" x14ac:dyDescent="0.25">
      <c r="A307600" s="1"/>
    </row>
    <row r="307601" spans="1:1" x14ac:dyDescent="0.25">
      <c r="A307601" s="1"/>
    </row>
    <row r="307602" spans="1:1" x14ac:dyDescent="0.25">
      <c r="A307602" s="1"/>
    </row>
    <row r="307603" spans="1:1" x14ac:dyDescent="0.25">
      <c r="A307603" s="1"/>
    </row>
    <row r="307604" spans="1:1" x14ac:dyDescent="0.25">
      <c r="A307604" s="1"/>
    </row>
    <row r="307605" spans="1:1" x14ac:dyDescent="0.25">
      <c r="A307605" s="1"/>
    </row>
    <row r="307606" spans="1:1" x14ac:dyDescent="0.25">
      <c r="A307606" s="1"/>
    </row>
    <row r="307607" spans="1:1" x14ac:dyDescent="0.25">
      <c r="A307607" s="1"/>
    </row>
    <row r="307608" spans="1:1" x14ac:dyDescent="0.25">
      <c r="A307608" s="1"/>
    </row>
    <row r="307609" spans="1:1" x14ac:dyDescent="0.25">
      <c r="A307609" s="1"/>
    </row>
    <row r="307610" spans="1:1" x14ac:dyDescent="0.25">
      <c r="A307610" s="1"/>
    </row>
    <row r="307611" spans="1:1" x14ac:dyDescent="0.25">
      <c r="A307611" s="1"/>
    </row>
    <row r="307612" spans="1:1" x14ac:dyDescent="0.25">
      <c r="A307612" s="1"/>
    </row>
    <row r="307613" spans="1:1" x14ac:dyDescent="0.25">
      <c r="A307613" s="1"/>
    </row>
    <row r="307614" spans="1:1" x14ac:dyDescent="0.25">
      <c r="A307614" s="1"/>
    </row>
    <row r="307615" spans="1:1" x14ac:dyDescent="0.25">
      <c r="A307615" s="1"/>
    </row>
    <row r="307616" spans="1:1" x14ac:dyDescent="0.25">
      <c r="A307616" s="1"/>
    </row>
    <row r="307617" spans="1:1" x14ac:dyDescent="0.25">
      <c r="A307617" s="1"/>
    </row>
    <row r="307618" spans="1:1" x14ac:dyDescent="0.25">
      <c r="A307618" s="1"/>
    </row>
    <row r="307619" spans="1:1" x14ac:dyDescent="0.25">
      <c r="A307619" s="1"/>
    </row>
    <row r="307620" spans="1:1" x14ac:dyDescent="0.25">
      <c r="A307620" s="1"/>
    </row>
    <row r="307621" spans="1:1" x14ac:dyDescent="0.25">
      <c r="A307621" s="1"/>
    </row>
    <row r="307622" spans="1:1" x14ac:dyDescent="0.25">
      <c r="A307622" s="1"/>
    </row>
    <row r="307623" spans="1:1" x14ac:dyDescent="0.25">
      <c r="A307623" s="1"/>
    </row>
    <row r="307624" spans="1:1" x14ac:dyDescent="0.25">
      <c r="A307624" s="1"/>
    </row>
    <row r="307625" spans="1:1" x14ac:dyDescent="0.25">
      <c r="A307625" s="1"/>
    </row>
    <row r="307626" spans="1:1" x14ac:dyDescent="0.25">
      <c r="A307626" s="1"/>
    </row>
    <row r="307627" spans="1:1" x14ac:dyDescent="0.25">
      <c r="A307627" s="1"/>
    </row>
    <row r="307628" spans="1:1" x14ac:dyDescent="0.25">
      <c r="A307628" s="1"/>
    </row>
    <row r="307629" spans="1:1" x14ac:dyDescent="0.25">
      <c r="A307629" s="1"/>
    </row>
    <row r="307630" spans="1:1" x14ac:dyDescent="0.25">
      <c r="A307630" s="1"/>
    </row>
    <row r="307631" spans="1:1" x14ac:dyDescent="0.25">
      <c r="A307631" s="1"/>
    </row>
    <row r="307632" spans="1:1" x14ac:dyDescent="0.25">
      <c r="A307632" s="1"/>
    </row>
    <row r="307633" spans="1:1" x14ac:dyDescent="0.25">
      <c r="A307633" s="1"/>
    </row>
    <row r="307634" spans="1:1" x14ac:dyDescent="0.25">
      <c r="A307634" s="1"/>
    </row>
    <row r="307635" spans="1:1" x14ac:dyDescent="0.25">
      <c r="A307635" s="1"/>
    </row>
    <row r="307636" spans="1:1" x14ac:dyDescent="0.25">
      <c r="A307636" s="1"/>
    </row>
    <row r="307637" spans="1:1" x14ac:dyDescent="0.25">
      <c r="A307637" s="1"/>
    </row>
    <row r="307638" spans="1:1" x14ac:dyDescent="0.25">
      <c r="A307638" s="1"/>
    </row>
    <row r="307639" spans="1:1" x14ac:dyDescent="0.25">
      <c r="A307639" s="1"/>
    </row>
    <row r="307640" spans="1:1" x14ac:dyDescent="0.25">
      <c r="A307640" s="1"/>
    </row>
    <row r="307641" spans="1:1" x14ac:dyDescent="0.25">
      <c r="A307641" s="1"/>
    </row>
    <row r="307642" spans="1:1" x14ac:dyDescent="0.25">
      <c r="A307642" s="1"/>
    </row>
    <row r="307643" spans="1:1" x14ac:dyDescent="0.25">
      <c r="A307643" s="1"/>
    </row>
    <row r="307644" spans="1:1" x14ac:dyDescent="0.25">
      <c r="A307644" s="1"/>
    </row>
    <row r="307645" spans="1:1" x14ac:dyDescent="0.25">
      <c r="A307645" s="1"/>
    </row>
    <row r="307646" spans="1:1" x14ac:dyDescent="0.25">
      <c r="A307646" s="1"/>
    </row>
    <row r="307647" spans="1:1" x14ac:dyDescent="0.25">
      <c r="A307647" s="1"/>
    </row>
    <row r="307648" spans="1:1" x14ac:dyDescent="0.25">
      <c r="A307648" s="1"/>
    </row>
    <row r="307649" spans="1:1" x14ac:dyDescent="0.25">
      <c r="A307649" s="1"/>
    </row>
    <row r="307650" spans="1:1" x14ac:dyDescent="0.25">
      <c r="A307650" s="1"/>
    </row>
    <row r="307651" spans="1:1" x14ac:dyDescent="0.25">
      <c r="A307651" s="1"/>
    </row>
    <row r="307652" spans="1:1" x14ac:dyDescent="0.25">
      <c r="A307652" s="1"/>
    </row>
    <row r="307653" spans="1:1" x14ac:dyDescent="0.25">
      <c r="A307653" s="1"/>
    </row>
    <row r="307654" spans="1:1" x14ac:dyDescent="0.25">
      <c r="A307654" s="1"/>
    </row>
    <row r="307655" spans="1:1" x14ac:dyDescent="0.25">
      <c r="A307655" s="1"/>
    </row>
    <row r="307656" spans="1:1" x14ac:dyDescent="0.25">
      <c r="A307656" s="1"/>
    </row>
    <row r="307657" spans="1:1" x14ac:dyDescent="0.25">
      <c r="A307657" s="1"/>
    </row>
    <row r="307658" spans="1:1" x14ac:dyDescent="0.25">
      <c r="A307658" s="1"/>
    </row>
    <row r="307659" spans="1:1" x14ac:dyDescent="0.25">
      <c r="A307659" s="1"/>
    </row>
    <row r="307660" spans="1:1" x14ac:dyDescent="0.25">
      <c r="A307660" s="1"/>
    </row>
    <row r="307661" spans="1:1" x14ac:dyDescent="0.25">
      <c r="A307661" s="1"/>
    </row>
    <row r="307662" spans="1:1" x14ac:dyDescent="0.25">
      <c r="A307662" s="1"/>
    </row>
    <row r="307663" spans="1:1" x14ac:dyDescent="0.25">
      <c r="A307663" s="1"/>
    </row>
    <row r="307664" spans="1:1" x14ac:dyDescent="0.25">
      <c r="A307664" s="1"/>
    </row>
    <row r="307665" spans="1:1" x14ac:dyDescent="0.25">
      <c r="A307665" s="1"/>
    </row>
    <row r="307666" spans="1:1" x14ac:dyDescent="0.25">
      <c r="A307666" s="1"/>
    </row>
    <row r="307667" spans="1:1" x14ac:dyDescent="0.25">
      <c r="A307667" s="1"/>
    </row>
    <row r="307668" spans="1:1" x14ac:dyDescent="0.25">
      <c r="A307668" s="1"/>
    </row>
    <row r="307669" spans="1:1" x14ac:dyDescent="0.25">
      <c r="A307669" s="1"/>
    </row>
    <row r="307670" spans="1:1" x14ac:dyDescent="0.25">
      <c r="A307670" s="1"/>
    </row>
    <row r="307671" spans="1:1" x14ac:dyDescent="0.25">
      <c r="A307671" s="1"/>
    </row>
    <row r="307672" spans="1:1" x14ac:dyDescent="0.25">
      <c r="A307672" s="1"/>
    </row>
    <row r="307673" spans="1:1" x14ac:dyDescent="0.25">
      <c r="A307673" s="1"/>
    </row>
    <row r="307674" spans="1:1" x14ac:dyDescent="0.25">
      <c r="A307674" s="1"/>
    </row>
    <row r="307675" spans="1:1" x14ac:dyDescent="0.25">
      <c r="A307675" s="1"/>
    </row>
    <row r="307676" spans="1:1" x14ac:dyDescent="0.25">
      <c r="A307676" s="1"/>
    </row>
    <row r="307677" spans="1:1" x14ac:dyDescent="0.25">
      <c r="A307677" s="1"/>
    </row>
    <row r="307678" spans="1:1" x14ac:dyDescent="0.25">
      <c r="A307678" s="1"/>
    </row>
    <row r="307679" spans="1:1" x14ac:dyDescent="0.25">
      <c r="A307679" s="1"/>
    </row>
    <row r="307680" spans="1:1" x14ac:dyDescent="0.25">
      <c r="A307680" s="1"/>
    </row>
    <row r="307681" spans="1:1" x14ac:dyDescent="0.25">
      <c r="A307681" s="1"/>
    </row>
    <row r="307682" spans="1:1" x14ac:dyDescent="0.25">
      <c r="A307682" s="1"/>
    </row>
    <row r="307683" spans="1:1" x14ac:dyDescent="0.25">
      <c r="A307683" s="1"/>
    </row>
    <row r="307684" spans="1:1" x14ac:dyDescent="0.25">
      <c r="A307684" s="1"/>
    </row>
    <row r="307685" spans="1:1" x14ac:dyDescent="0.25">
      <c r="A307685" s="1"/>
    </row>
    <row r="307686" spans="1:1" x14ac:dyDescent="0.25">
      <c r="A307686" s="1"/>
    </row>
    <row r="307687" spans="1:1" x14ac:dyDescent="0.25">
      <c r="A307687" s="1"/>
    </row>
    <row r="307688" spans="1:1" x14ac:dyDescent="0.25">
      <c r="A307688" s="1"/>
    </row>
    <row r="307689" spans="1:1" x14ac:dyDescent="0.25">
      <c r="A307689" s="1"/>
    </row>
    <row r="307690" spans="1:1" x14ac:dyDescent="0.25">
      <c r="A307690" s="1"/>
    </row>
    <row r="307691" spans="1:1" x14ac:dyDescent="0.25">
      <c r="A307691" s="1"/>
    </row>
    <row r="307692" spans="1:1" x14ac:dyDescent="0.25">
      <c r="A307692" s="1"/>
    </row>
    <row r="307693" spans="1:1" x14ac:dyDescent="0.25">
      <c r="A307693" s="1"/>
    </row>
    <row r="307694" spans="1:1" x14ac:dyDescent="0.25">
      <c r="A307694" s="1"/>
    </row>
    <row r="307695" spans="1:1" x14ac:dyDescent="0.25">
      <c r="A307695" s="1"/>
    </row>
    <row r="307696" spans="1:1" x14ac:dyDescent="0.25">
      <c r="A307696" s="1"/>
    </row>
    <row r="307697" spans="1:1" x14ac:dyDescent="0.25">
      <c r="A307697" s="1"/>
    </row>
    <row r="307698" spans="1:1" x14ac:dyDescent="0.25">
      <c r="A307698" s="1"/>
    </row>
    <row r="307699" spans="1:1" x14ac:dyDescent="0.25">
      <c r="A307699" s="1"/>
    </row>
    <row r="307700" spans="1:1" x14ac:dyDescent="0.25">
      <c r="A307700" s="1"/>
    </row>
    <row r="307701" spans="1:1" x14ac:dyDescent="0.25">
      <c r="A307701" s="1"/>
    </row>
    <row r="307702" spans="1:1" x14ac:dyDescent="0.25">
      <c r="A307702" s="1"/>
    </row>
    <row r="307703" spans="1:1" x14ac:dyDescent="0.25">
      <c r="A307703" s="1"/>
    </row>
    <row r="307704" spans="1:1" x14ac:dyDescent="0.25">
      <c r="A307704" s="1"/>
    </row>
    <row r="307705" spans="1:1" x14ac:dyDescent="0.25">
      <c r="A307705" s="1"/>
    </row>
    <row r="307706" spans="1:1" x14ac:dyDescent="0.25">
      <c r="A307706" s="1"/>
    </row>
    <row r="307707" spans="1:1" x14ac:dyDescent="0.25">
      <c r="A307707" s="1"/>
    </row>
    <row r="307708" spans="1:1" x14ac:dyDescent="0.25">
      <c r="A307708" s="1"/>
    </row>
    <row r="307709" spans="1:1" x14ac:dyDescent="0.25">
      <c r="A307709" s="1"/>
    </row>
    <row r="307710" spans="1:1" x14ac:dyDescent="0.25">
      <c r="A307710" s="1"/>
    </row>
    <row r="307711" spans="1:1" x14ac:dyDescent="0.25">
      <c r="A307711" s="1"/>
    </row>
    <row r="307712" spans="1:1" x14ac:dyDescent="0.25">
      <c r="A307712" s="1"/>
    </row>
    <row r="307713" spans="1:1" x14ac:dyDescent="0.25">
      <c r="A307713" s="1"/>
    </row>
    <row r="307714" spans="1:1" x14ac:dyDescent="0.25">
      <c r="A307714" s="1"/>
    </row>
    <row r="307715" spans="1:1" x14ac:dyDescent="0.25">
      <c r="A307715" s="1"/>
    </row>
    <row r="307716" spans="1:1" x14ac:dyDescent="0.25">
      <c r="A307716" s="1"/>
    </row>
    <row r="307717" spans="1:1" x14ac:dyDescent="0.25">
      <c r="A307717" s="1"/>
    </row>
    <row r="307718" spans="1:1" x14ac:dyDescent="0.25">
      <c r="A307718" s="1"/>
    </row>
    <row r="307719" spans="1:1" x14ac:dyDescent="0.25">
      <c r="A307719" s="1"/>
    </row>
    <row r="307720" spans="1:1" x14ac:dyDescent="0.25">
      <c r="A307720" s="1"/>
    </row>
    <row r="307721" spans="1:1" x14ac:dyDescent="0.25">
      <c r="A307721" s="1"/>
    </row>
    <row r="307722" spans="1:1" x14ac:dyDescent="0.25">
      <c r="A307722" s="1"/>
    </row>
    <row r="307723" spans="1:1" x14ac:dyDescent="0.25">
      <c r="A307723" s="1"/>
    </row>
    <row r="307724" spans="1:1" x14ac:dyDescent="0.25">
      <c r="A307724" s="1"/>
    </row>
    <row r="307725" spans="1:1" x14ac:dyDescent="0.25">
      <c r="A307725" s="1"/>
    </row>
    <row r="307726" spans="1:1" x14ac:dyDescent="0.25">
      <c r="A307726" s="1"/>
    </row>
    <row r="307727" spans="1:1" x14ac:dyDescent="0.25">
      <c r="A307727" s="1"/>
    </row>
    <row r="307728" spans="1:1" x14ac:dyDescent="0.25">
      <c r="A307728" s="1"/>
    </row>
    <row r="307729" spans="1:1" x14ac:dyDescent="0.25">
      <c r="A307729" s="1"/>
    </row>
    <row r="307730" spans="1:1" x14ac:dyDescent="0.25">
      <c r="A307730" s="1"/>
    </row>
    <row r="307731" spans="1:1" x14ac:dyDescent="0.25">
      <c r="A307731" s="1"/>
    </row>
    <row r="307732" spans="1:1" x14ac:dyDescent="0.25">
      <c r="A307732" s="1"/>
    </row>
    <row r="307733" spans="1:1" x14ac:dyDescent="0.25">
      <c r="A307733" s="1"/>
    </row>
    <row r="307734" spans="1:1" x14ac:dyDescent="0.25">
      <c r="A307734" s="1"/>
    </row>
    <row r="307735" spans="1:1" x14ac:dyDescent="0.25">
      <c r="A307735" s="1"/>
    </row>
    <row r="307736" spans="1:1" x14ac:dyDescent="0.25">
      <c r="A307736" s="1"/>
    </row>
    <row r="307737" spans="1:1" x14ac:dyDescent="0.25">
      <c r="A307737" s="1"/>
    </row>
    <row r="307738" spans="1:1" x14ac:dyDescent="0.25">
      <c r="A307738" s="1"/>
    </row>
    <row r="307739" spans="1:1" x14ac:dyDescent="0.25">
      <c r="A307739" s="1"/>
    </row>
    <row r="307740" spans="1:1" x14ac:dyDescent="0.25">
      <c r="A307740" s="1"/>
    </row>
    <row r="307741" spans="1:1" x14ac:dyDescent="0.25">
      <c r="A307741" s="1"/>
    </row>
    <row r="307742" spans="1:1" x14ac:dyDescent="0.25">
      <c r="A307742" s="1"/>
    </row>
    <row r="307743" spans="1:1" x14ac:dyDescent="0.25">
      <c r="A307743" s="1"/>
    </row>
    <row r="307744" spans="1:1" x14ac:dyDescent="0.25">
      <c r="A307744" s="1"/>
    </row>
    <row r="307745" spans="1:1" x14ac:dyDescent="0.25">
      <c r="A307745" s="1"/>
    </row>
    <row r="307746" spans="1:1" x14ac:dyDescent="0.25">
      <c r="A307746" s="1"/>
    </row>
    <row r="307747" spans="1:1" x14ac:dyDescent="0.25">
      <c r="A307747" s="1"/>
    </row>
    <row r="307748" spans="1:1" x14ac:dyDescent="0.25">
      <c r="A307748" s="1"/>
    </row>
    <row r="307749" spans="1:1" x14ac:dyDescent="0.25">
      <c r="A307749" s="1"/>
    </row>
    <row r="307750" spans="1:1" x14ac:dyDescent="0.25">
      <c r="A307750" s="1"/>
    </row>
    <row r="307751" spans="1:1" x14ac:dyDescent="0.25">
      <c r="A307751" s="1"/>
    </row>
    <row r="307752" spans="1:1" x14ac:dyDescent="0.25">
      <c r="A307752" s="1"/>
    </row>
    <row r="307753" spans="1:1" x14ac:dyDescent="0.25">
      <c r="A307753" s="1"/>
    </row>
    <row r="307754" spans="1:1" x14ac:dyDescent="0.25">
      <c r="A307754" s="1"/>
    </row>
    <row r="307755" spans="1:1" x14ac:dyDescent="0.25">
      <c r="A307755" s="1"/>
    </row>
    <row r="307756" spans="1:1" x14ac:dyDescent="0.25">
      <c r="A307756" s="1"/>
    </row>
    <row r="307757" spans="1:1" x14ac:dyDescent="0.25">
      <c r="A307757" s="1"/>
    </row>
    <row r="307758" spans="1:1" x14ac:dyDescent="0.25">
      <c r="A307758" s="1"/>
    </row>
    <row r="307759" spans="1:1" x14ac:dyDescent="0.25">
      <c r="A307759" s="1"/>
    </row>
    <row r="307760" spans="1:1" x14ac:dyDescent="0.25">
      <c r="A307760" s="1"/>
    </row>
    <row r="307761" spans="1:1" x14ac:dyDescent="0.25">
      <c r="A307761" s="1"/>
    </row>
    <row r="307762" spans="1:1" x14ac:dyDescent="0.25">
      <c r="A307762" s="1"/>
    </row>
    <row r="307763" spans="1:1" x14ac:dyDescent="0.25">
      <c r="A307763" s="1"/>
    </row>
    <row r="307764" spans="1:1" x14ac:dyDescent="0.25">
      <c r="A307764" s="1"/>
    </row>
    <row r="307765" spans="1:1" x14ac:dyDescent="0.25">
      <c r="A307765" s="1"/>
    </row>
    <row r="307766" spans="1:1" x14ac:dyDescent="0.25">
      <c r="A307766" s="1"/>
    </row>
    <row r="307767" spans="1:1" x14ac:dyDescent="0.25">
      <c r="A307767" s="1"/>
    </row>
    <row r="307768" spans="1:1" x14ac:dyDescent="0.25">
      <c r="A307768" s="1"/>
    </row>
    <row r="307769" spans="1:1" x14ac:dyDescent="0.25">
      <c r="A307769" s="1"/>
    </row>
    <row r="307770" spans="1:1" x14ac:dyDescent="0.25">
      <c r="A307770" s="1"/>
    </row>
    <row r="307771" spans="1:1" x14ac:dyDescent="0.25">
      <c r="A307771" s="1"/>
    </row>
    <row r="307772" spans="1:1" x14ac:dyDescent="0.25">
      <c r="A307772" s="1"/>
    </row>
    <row r="307773" spans="1:1" x14ac:dyDescent="0.25">
      <c r="A307773" s="1"/>
    </row>
    <row r="307774" spans="1:1" x14ac:dyDescent="0.25">
      <c r="A307774" s="1"/>
    </row>
    <row r="307775" spans="1:1" x14ac:dyDescent="0.25">
      <c r="A307775" s="1"/>
    </row>
    <row r="307776" spans="1:1" x14ac:dyDescent="0.25">
      <c r="A307776" s="1"/>
    </row>
    <row r="307777" spans="1:1" x14ac:dyDescent="0.25">
      <c r="A307777" s="1"/>
    </row>
    <row r="307778" spans="1:1" x14ac:dyDescent="0.25">
      <c r="A307778" s="1"/>
    </row>
    <row r="307779" spans="1:1" x14ac:dyDescent="0.25">
      <c r="A307779" s="1"/>
    </row>
    <row r="307780" spans="1:1" x14ac:dyDescent="0.25">
      <c r="A307780" s="1"/>
    </row>
    <row r="307781" spans="1:1" x14ac:dyDescent="0.25">
      <c r="A307781" s="1"/>
    </row>
    <row r="307782" spans="1:1" x14ac:dyDescent="0.25">
      <c r="A307782" s="1"/>
    </row>
    <row r="307783" spans="1:1" x14ac:dyDescent="0.25">
      <c r="A307783" s="1"/>
    </row>
    <row r="307784" spans="1:1" x14ac:dyDescent="0.25">
      <c r="A307784" s="1"/>
    </row>
    <row r="307785" spans="1:1" x14ac:dyDescent="0.25">
      <c r="A307785" s="1"/>
    </row>
    <row r="307786" spans="1:1" x14ac:dyDescent="0.25">
      <c r="A307786" s="1"/>
    </row>
    <row r="307787" spans="1:1" x14ac:dyDescent="0.25">
      <c r="A307787" s="1"/>
    </row>
    <row r="307788" spans="1:1" x14ac:dyDescent="0.25">
      <c r="A307788" s="1"/>
    </row>
    <row r="307789" spans="1:1" x14ac:dyDescent="0.25">
      <c r="A307789" s="1"/>
    </row>
    <row r="307790" spans="1:1" x14ac:dyDescent="0.25">
      <c r="A307790" s="1"/>
    </row>
    <row r="307791" spans="1:1" x14ac:dyDescent="0.25">
      <c r="A307791" s="1"/>
    </row>
    <row r="307792" spans="1:1" x14ac:dyDescent="0.25">
      <c r="A307792" s="1"/>
    </row>
    <row r="307793" spans="1:1" x14ac:dyDescent="0.25">
      <c r="A307793" s="1"/>
    </row>
    <row r="307794" spans="1:1" x14ac:dyDescent="0.25">
      <c r="A307794" s="1"/>
    </row>
    <row r="307795" spans="1:1" x14ac:dyDescent="0.25">
      <c r="A307795" s="1"/>
    </row>
    <row r="307796" spans="1:1" x14ac:dyDescent="0.25">
      <c r="A307796" s="1"/>
    </row>
    <row r="307797" spans="1:1" x14ac:dyDescent="0.25">
      <c r="A307797" s="1"/>
    </row>
    <row r="307798" spans="1:1" x14ac:dyDescent="0.25">
      <c r="A307798" s="1"/>
    </row>
    <row r="307799" spans="1:1" x14ac:dyDescent="0.25">
      <c r="A307799" s="1"/>
    </row>
    <row r="307800" spans="1:1" x14ac:dyDescent="0.25">
      <c r="A307800" s="1"/>
    </row>
    <row r="307801" spans="1:1" x14ac:dyDescent="0.25">
      <c r="A307801" s="1"/>
    </row>
    <row r="307802" spans="1:1" x14ac:dyDescent="0.25">
      <c r="A307802" s="1"/>
    </row>
    <row r="307803" spans="1:1" x14ac:dyDescent="0.25">
      <c r="A307803" s="1"/>
    </row>
    <row r="307804" spans="1:1" x14ac:dyDescent="0.25">
      <c r="A307804" s="1"/>
    </row>
    <row r="307805" spans="1:1" x14ac:dyDescent="0.25">
      <c r="A307805" s="1"/>
    </row>
    <row r="307806" spans="1:1" x14ac:dyDescent="0.25">
      <c r="A307806" s="1"/>
    </row>
    <row r="307807" spans="1:1" x14ac:dyDescent="0.25">
      <c r="A307807" s="1"/>
    </row>
    <row r="307808" spans="1:1" x14ac:dyDescent="0.25">
      <c r="A307808" s="1"/>
    </row>
    <row r="307809" spans="1:1" x14ac:dyDescent="0.25">
      <c r="A307809" s="1"/>
    </row>
    <row r="307810" spans="1:1" x14ac:dyDescent="0.25">
      <c r="A307810" s="1"/>
    </row>
    <row r="307811" spans="1:1" x14ac:dyDescent="0.25">
      <c r="A307811" s="1"/>
    </row>
    <row r="307812" spans="1:1" x14ac:dyDescent="0.25">
      <c r="A307812" s="1"/>
    </row>
    <row r="307813" spans="1:1" x14ac:dyDescent="0.25">
      <c r="A307813" s="1"/>
    </row>
    <row r="307814" spans="1:1" x14ac:dyDescent="0.25">
      <c r="A307814" s="1"/>
    </row>
    <row r="307815" spans="1:1" x14ac:dyDescent="0.25">
      <c r="A307815" s="1"/>
    </row>
    <row r="307816" spans="1:1" x14ac:dyDescent="0.25">
      <c r="A307816" s="1"/>
    </row>
    <row r="307817" spans="1:1" x14ac:dyDescent="0.25">
      <c r="A307817" s="1"/>
    </row>
    <row r="307818" spans="1:1" x14ac:dyDescent="0.25">
      <c r="A307818" s="1"/>
    </row>
    <row r="307819" spans="1:1" x14ac:dyDescent="0.25">
      <c r="A307819" s="1"/>
    </row>
    <row r="307820" spans="1:1" x14ac:dyDescent="0.25">
      <c r="A307820" s="1"/>
    </row>
    <row r="307821" spans="1:1" x14ac:dyDescent="0.25">
      <c r="A307821" s="1"/>
    </row>
    <row r="307822" spans="1:1" x14ac:dyDescent="0.25">
      <c r="A307822" s="1"/>
    </row>
    <row r="307823" spans="1:1" x14ac:dyDescent="0.25">
      <c r="A307823" s="1"/>
    </row>
    <row r="307824" spans="1:1" x14ac:dyDescent="0.25">
      <c r="A307824" s="1"/>
    </row>
    <row r="307825" spans="1:1" x14ac:dyDescent="0.25">
      <c r="A307825" s="1"/>
    </row>
    <row r="307826" spans="1:1" x14ac:dyDescent="0.25">
      <c r="A307826" s="1"/>
    </row>
    <row r="307827" spans="1:1" x14ac:dyDescent="0.25">
      <c r="A307827" s="1"/>
    </row>
    <row r="307828" spans="1:1" x14ac:dyDescent="0.25">
      <c r="A307828" s="1"/>
    </row>
    <row r="307829" spans="1:1" x14ac:dyDescent="0.25">
      <c r="A307829" s="1"/>
    </row>
    <row r="307830" spans="1:1" x14ac:dyDescent="0.25">
      <c r="A307830" s="1"/>
    </row>
    <row r="307831" spans="1:1" x14ac:dyDescent="0.25">
      <c r="A307831" s="1"/>
    </row>
    <row r="307832" spans="1:1" x14ac:dyDescent="0.25">
      <c r="A307832" s="1"/>
    </row>
    <row r="307833" spans="1:1" x14ac:dyDescent="0.25">
      <c r="A307833" s="1"/>
    </row>
    <row r="307834" spans="1:1" x14ac:dyDescent="0.25">
      <c r="A307834" s="1"/>
    </row>
    <row r="307835" spans="1:1" x14ac:dyDescent="0.25">
      <c r="A307835" s="1"/>
    </row>
    <row r="307836" spans="1:1" x14ac:dyDescent="0.25">
      <c r="A307836" s="1"/>
    </row>
    <row r="307837" spans="1:1" x14ac:dyDescent="0.25">
      <c r="A307837" s="1"/>
    </row>
    <row r="307838" spans="1:1" x14ac:dyDescent="0.25">
      <c r="A307838" s="1"/>
    </row>
    <row r="307839" spans="1:1" x14ac:dyDescent="0.25">
      <c r="A307839" s="1"/>
    </row>
    <row r="307840" spans="1:1" x14ac:dyDescent="0.25">
      <c r="A307840" s="1"/>
    </row>
    <row r="307841" spans="1:1" x14ac:dyDescent="0.25">
      <c r="A307841" s="1"/>
    </row>
    <row r="307842" spans="1:1" x14ac:dyDescent="0.25">
      <c r="A307842" s="1"/>
    </row>
    <row r="307843" spans="1:1" x14ac:dyDescent="0.25">
      <c r="A307843" s="1"/>
    </row>
    <row r="307844" spans="1:1" x14ac:dyDescent="0.25">
      <c r="A307844" s="1"/>
    </row>
    <row r="307845" spans="1:1" x14ac:dyDescent="0.25">
      <c r="A307845" s="1"/>
    </row>
    <row r="307846" spans="1:1" x14ac:dyDescent="0.25">
      <c r="A307846" s="1"/>
    </row>
    <row r="307847" spans="1:1" x14ac:dyDescent="0.25">
      <c r="A307847" s="1"/>
    </row>
    <row r="307848" spans="1:1" x14ac:dyDescent="0.25">
      <c r="A307848" s="1"/>
    </row>
    <row r="307849" spans="1:1" x14ac:dyDescent="0.25">
      <c r="A307849" s="1"/>
    </row>
    <row r="307850" spans="1:1" x14ac:dyDescent="0.25">
      <c r="A307850" s="1"/>
    </row>
    <row r="307851" spans="1:1" x14ac:dyDescent="0.25">
      <c r="A307851" s="1"/>
    </row>
    <row r="307852" spans="1:1" x14ac:dyDescent="0.25">
      <c r="A307852" s="1"/>
    </row>
    <row r="307853" spans="1:1" x14ac:dyDescent="0.25">
      <c r="A307853" s="1"/>
    </row>
    <row r="307854" spans="1:1" x14ac:dyDescent="0.25">
      <c r="A307854" s="1"/>
    </row>
    <row r="307855" spans="1:1" x14ac:dyDescent="0.25">
      <c r="A307855" s="1"/>
    </row>
    <row r="307856" spans="1:1" x14ac:dyDescent="0.25">
      <c r="A307856" s="1"/>
    </row>
    <row r="307857" spans="1:1" x14ac:dyDescent="0.25">
      <c r="A307857" s="1"/>
    </row>
    <row r="307858" spans="1:1" x14ac:dyDescent="0.25">
      <c r="A307858" s="1"/>
    </row>
    <row r="307859" spans="1:1" x14ac:dyDescent="0.25">
      <c r="A307859" s="1"/>
    </row>
    <row r="307860" spans="1:1" x14ac:dyDescent="0.25">
      <c r="A307860" s="1"/>
    </row>
    <row r="307861" spans="1:1" x14ac:dyDescent="0.25">
      <c r="A307861" s="1"/>
    </row>
    <row r="307862" spans="1:1" x14ac:dyDescent="0.25">
      <c r="A307862" s="1"/>
    </row>
    <row r="307863" spans="1:1" x14ac:dyDescent="0.25">
      <c r="A307863" s="1"/>
    </row>
    <row r="307864" spans="1:1" x14ac:dyDescent="0.25">
      <c r="A307864" s="1"/>
    </row>
    <row r="307865" spans="1:1" x14ac:dyDescent="0.25">
      <c r="A307865" s="1"/>
    </row>
    <row r="307866" spans="1:1" x14ac:dyDescent="0.25">
      <c r="A307866" s="1"/>
    </row>
    <row r="307867" spans="1:1" x14ac:dyDescent="0.25">
      <c r="A307867" s="1"/>
    </row>
    <row r="307868" spans="1:1" x14ac:dyDescent="0.25">
      <c r="A307868" s="1"/>
    </row>
    <row r="307869" spans="1:1" x14ac:dyDescent="0.25">
      <c r="A307869" s="1"/>
    </row>
    <row r="307870" spans="1:1" x14ac:dyDescent="0.25">
      <c r="A307870" s="1"/>
    </row>
    <row r="307871" spans="1:1" x14ac:dyDescent="0.25">
      <c r="A307871" s="1"/>
    </row>
    <row r="307872" spans="1:1" x14ac:dyDescent="0.25">
      <c r="A307872" s="1"/>
    </row>
    <row r="307873" spans="1:1" x14ac:dyDescent="0.25">
      <c r="A307873" s="1"/>
    </row>
    <row r="307874" spans="1:1" x14ac:dyDescent="0.25">
      <c r="A307874" s="1"/>
    </row>
    <row r="307875" spans="1:1" x14ac:dyDescent="0.25">
      <c r="A307875" s="1"/>
    </row>
    <row r="307876" spans="1:1" x14ac:dyDescent="0.25">
      <c r="A307876" s="1"/>
    </row>
    <row r="307877" spans="1:1" x14ac:dyDescent="0.25">
      <c r="A307877" s="1"/>
    </row>
    <row r="307878" spans="1:1" x14ac:dyDescent="0.25">
      <c r="A307878" s="1"/>
    </row>
    <row r="307879" spans="1:1" x14ac:dyDescent="0.25">
      <c r="A307879" s="1"/>
    </row>
    <row r="307880" spans="1:1" x14ac:dyDescent="0.25">
      <c r="A307880" s="1"/>
    </row>
    <row r="307881" spans="1:1" x14ac:dyDescent="0.25">
      <c r="A307881" s="1"/>
    </row>
    <row r="307882" spans="1:1" x14ac:dyDescent="0.25">
      <c r="A307882" s="1"/>
    </row>
    <row r="307883" spans="1:1" x14ac:dyDescent="0.25">
      <c r="A307883" s="1"/>
    </row>
    <row r="307884" spans="1:1" x14ac:dyDescent="0.25">
      <c r="A307884" s="1"/>
    </row>
    <row r="307885" spans="1:1" x14ac:dyDescent="0.25">
      <c r="A307885" s="1"/>
    </row>
    <row r="307886" spans="1:1" x14ac:dyDescent="0.25">
      <c r="A307886" s="1"/>
    </row>
    <row r="307887" spans="1:1" x14ac:dyDescent="0.25">
      <c r="A307887" s="1"/>
    </row>
    <row r="307888" spans="1:1" x14ac:dyDescent="0.25">
      <c r="A307888" s="1"/>
    </row>
    <row r="307889" spans="1:1" x14ac:dyDescent="0.25">
      <c r="A307889" s="1"/>
    </row>
    <row r="307890" spans="1:1" x14ac:dyDescent="0.25">
      <c r="A307890" s="1"/>
    </row>
    <row r="307891" spans="1:1" x14ac:dyDescent="0.25">
      <c r="A307891" s="1"/>
    </row>
    <row r="307892" spans="1:1" x14ac:dyDescent="0.25">
      <c r="A307892" s="1"/>
    </row>
    <row r="307893" spans="1:1" x14ac:dyDescent="0.25">
      <c r="A307893" s="1"/>
    </row>
    <row r="307894" spans="1:1" x14ac:dyDescent="0.25">
      <c r="A307894" s="1"/>
    </row>
    <row r="307895" spans="1:1" x14ac:dyDescent="0.25">
      <c r="A307895" s="1"/>
    </row>
    <row r="307896" spans="1:1" x14ac:dyDescent="0.25">
      <c r="A307896" s="1"/>
    </row>
    <row r="307897" spans="1:1" x14ac:dyDescent="0.25">
      <c r="A307897" s="1"/>
    </row>
    <row r="307898" spans="1:1" x14ac:dyDescent="0.25">
      <c r="A307898" s="1"/>
    </row>
    <row r="307899" spans="1:1" x14ac:dyDescent="0.25">
      <c r="A307899" s="1"/>
    </row>
    <row r="307900" spans="1:1" x14ac:dyDescent="0.25">
      <c r="A307900" s="1"/>
    </row>
    <row r="307901" spans="1:1" x14ac:dyDescent="0.25">
      <c r="A307901" s="1"/>
    </row>
    <row r="307902" spans="1:1" x14ac:dyDescent="0.25">
      <c r="A307902" s="1"/>
    </row>
    <row r="307903" spans="1:1" x14ac:dyDescent="0.25">
      <c r="A307903" s="1"/>
    </row>
    <row r="307904" spans="1:1" x14ac:dyDescent="0.25">
      <c r="A307904" s="1"/>
    </row>
    <row r="307905" spans="1:1" x14ac:dyDescent="0.25">
      <c r="A307905" s="1"/>
    </row>
    <row r="307906" spans="1:1" x14ac:dyDescent="0.25">
      <c r="A307906" s="1"/>
    </row>
    <row r="307907" spans="1:1" x14ac:dyDescent="0.25">
      <c r="A307907" s="1"/>
    </row>
    <row r="307908" spans="1:1" x14ac:dyDescent="0.25">
      <c r="A307908" s="1"/>
    </row>
    <row r="307909" spans="1:1" x14ac:dyDescent="0.25">
      <c r="A307909" s="1"/>
    </row>
    <row r="307910" spans="1:1" x14ac:dyDescent="0.25">
      <c r="A307910" s="1"/>
    </row>
    <row r="307911" spans="1:1" x14ac:dyDescent="0.25">
      <c r="A307911" s="1"/>
    </row>
    <row r="307912" spans="1:1" x14ac:dyDescent="0.25">
      <c r="A307912" s="1"/>
    </row>
    <row r="307913" spans="1:1" x14ac:dyDescent="0.25">
      <c r="A307913" s="1"/>
    </row>
    <row r="307914" spans="1:1" x14ac:dyDescent="0.25">
      <c r="A307914" s="1"/>
    </row>
    <row r="307915" spans="1:1" x14ac:dyDescent="0.25">
      <c r="A307915" s="1"/>
    </row>
    <row r="307916" spans="1:1" x14ac:dyDescent="0.25">
      <c r="A307916" s="1"/>
    </row>
    <row r="307917" spans="1:1" x14ac:dyDescent="0.25">
      <c r="A307917" s="1"/>
    </row>
    <row r="307918" spans="1:1" x14ac:dyDescent="0.25">
      <c r="A307918" s="1"/>
    </row>
    <row r="307919" spans="1:1" x14ac:dyDescent="0.25">
      <c r="A307919" s="1"/>
    </row>
    <row r="307920" spans="1:1" x14ac:dyDescent="0.25">
      <c r="A307920" s="1"/>
    </row>
    <row r="307921" spans="1:1" x14ac:dyDescent="0.25">
      <c r="A307921" s="1"/>
    </row>
    <row r="307922" spans="1:1" x14ac:dyDescent="0.25">
      <c r="A307922" s="1"/>
    </row>
    <row r="307923" spans="1:1" x14ac:dyDescent="0.25">
      <c r="A307923" s="1"/>
    </row>
    <row r="307924" spans="1:1" x14ac:dyDescent="0.25">
      <c r="A307924" s="1"/>
    </row>
    <row r="307925" spans="1:1" x14ac:dyDescent="0.25">
      <c r="A307925" s="1"/>
    </row>
    <row r="307926" spans="1:1" x14ac:dyDescent="0.25">
      <c r="A307926" s="1"/>
    </row>
    <row r="307927" spans="1:1" x14ac:dyDescent="0.25">
      <c r="A307927" s="1"/>
    </row>
    <row r="307928" spans="1:1" x14ac:dyDescent="0.25">
      <c r="A307928" s="1"/>
    </row>
    <row r="307929" spans="1:1" x14ac:dyDescent="0.25">
      <c r="A307929" s="1"/>
    </row>
    <row r="307930" spans="1:1" x14ac:dyDescent="0.25">
      <c r="A307930" s="1"/>
    </row>
    <row r="307931" spans="1:1" x14ac:dyDescent="0.25">
      <c r="A307931" s="1"/>
    </row>
    <row r="307932" spans="1:1" x14ac:dyDescent="0.25">
      <c r="A307932" s="1"/>
    </row>
    <row r="307933" spans="1:1" x14ac:dyDescent="0.25">
      <c r="A307933" s="1"/>
    </row>
    <row r="307934" spans="1:1" x14ac:dyDescent="0.25">
      <c r="A307934" s="1"/>
    </row>
    <row r="307935" spans="1:1" x14ac:dyDescent="0.25">
      <c r="A307935" s="1"/>
    </row>
    <row r="307936" spans="1:1" x14ac:dyDescent="0.25">
      <c r="A307936" s="1"/>
    </row>
    <row r="307937" spans="1:1" x14ac:dyDescent="0.25">
      <c r="A307937" s="1"/>
    </row>
    <row r="307938" spans="1:1" x14ac:dyDescent="0.25">
      <c r="A307938" s="1"/>
    </row>
    <row r="307939" spans="1:1" x14ac:dyDescent="0.25">
      <c r="A307939" s="1"/>
    </row>
    <row r="307940" spans="1:1" x14ac:dyDescent="0.25">
      <c r="A307940" s="1"/>
    </row>
    <row r="307941" spans="1:1" x14ac:dyDescent="0.25">
      <c r="A307941" s="1"/>
    </row>
    <row r="307942" spans="1:1" x14ac:dyDescent="0.25">
      <c r="A307942" s="1"/>
    </row>
    <row r="307943" spans="1:1" x14ac:dyDescent="0.25">
      <c r="A307943" s="1"/>
    </row>
    <row r="307944" spans="1:1" x14ac:dyDescent="0.25">
      <c r="A307944" s="1"/>
    </row>
    <row r="307945" spans="1:1" x14ac:dyDescent="0.25">
      <c r="A307945" s="1"/>
    </row>
    <row r="307946" spans="1:1" x14ac:dyDescent="0.25">
      <c r="A307946" s="1"/>
    </row>
    <row r="307947" spans="1:1" x14ac:dyDescent="0.25">
      <c r="A307947" s="1"/>
    </row>
    <row r="307948" spans="1:1" x14ac:dyDescent="0.25">
      <c r="A307948" s="1"/>
    </row>
    <row r="307949" spans="1:1" x14ac:dyDescent="0.25">
      <c r="A307949" s="1"/>
    </row>
    <row r="307950" spans="1:1" x14ac:dyDescent="0.25">
      <c r="A307950" s="1"/>
    </row>
    <row r="307951" spans="1:1" x14ac:dyDescent="0.25">
      <c r="A307951" s="1"/>
    </row>
    <row r="307952" spans="1:1" x14ac:dyDescent="0.25">
      <c r="A307952" s="1"/>
    </row>
    <row r="307953" spans="1:1" x14ac:dyDescent="0.25">
      <c r="A307953" s="1"/>
    </row>
    <row r="307954" spans="1:1" x14ac:dyDescent="0.25">
      <c r="A307954" s="1"/>
    </row>
    <row r="307955" spans="1:1" x14ac:dyDescent="0.25">
      <c r="A307955" s="1"/>
    </row>
    <row r="307956" spans="1:1" x14ac:dyDescent="0.25">
      <c r="A307956" s="1"/>
    </row>
    <row r="307957" spans="1:1" x14ac:dyDescent="0.25">
      <c r="A307957" s="1"/>
    </row>
    <row r="307958" spans="1:1" x14ac:dyDescent="0.25">
      <c r="A307958" s="1"/>
    </row>
    <row r="307959" spans="1:1" x14ac:dyDescent="0.25">
      <c r="A307959" s="1"/>
    </row>
    <row r="307960" spans="1:1" x14ac:dyDescent="0.25">
      <c r="A307960" s="1"/>
    </row>
    <row r="307961" spans="1:1" x14ac:dyDescent="0.25">
      <c r="A307961" s="1"/>
    </row>
    <row r="307962" spans="1:1" x14ac:dyDescent="0.25">
      <c r="A307962" s="1"/>
    </row>
    <row r="307963" spans="1:1" x14ac:dyDescent="0.25">
      <c r="A307963" s="1"/>
    </row>
    <row r="307964" spans="1:1" x14ac:dyDescent="0.25">
      <c r="A307964" s="1"/>
    </row>
    <row r="307965" spans="1:1" x14ac:dyDescent="0.25">
      <c r="A307965" s="1"/>
    </row>
    <row r="307966" spans="1:1" x14ac:dyDescent="0.25">
      <c r="A307966" s="1"/>
    </row>
    <row r="307967" spans="1:1" x14ac:dyDescent="0.25">
      <c r="A307967" s="1"/>
    </row>
    <row r="307968" spans="1:1" x14ac:dyDescent="0.25">
      <c r="A307968" s="1"/>
    </row>
    <row r="307969" spans="1:1" x14ac:dyDescent="0.25">
      <c r="A307969" s="1"/>
    </row>
    <row r="307970" spans="1:1" x14ac:dyDescent="0.25">
      <c r="A307970" s="1"/>
    </row>
    <row r="307971" spans="1:1" x14ac:dyDescent="0.25">
      <c r="A307971" s="1"/>
    </row>
    <row r="307972" spans="1:1" x14ac:dyDescent="0.25">
      <c r="A307972" s="1"/>
    </row>
    <row r="307973" spans="1:1" x14ac:dyDescent="0.25">
      <c r="A307973" s="1"/>
    </row>
    <row r="307974" spans="1:1" x14ac:dyDescent="0.25">
      <c r="A307974" s="1"/>
    </row>
    <row r="307975" spans="1:1" x14ac:dyDescent="0.25">
      <c r="A307975" s="1"/>
    </row>
    <row r="307976" spans="1:1" x14ac:dyDescent="0.25">
      <c r="A307976" s="1"/>
    </row>
    <row r="307977" spans="1:1" x14ac:dyDescent="0.25">
      <c r="A307977" s="1"/>
    </row>
    <row r="307978" spans="1:1" x14ac:dyDescent="0.25">
      <c r="A307978" s="1"/>
    </row>
    <row r="307979" spans="1:1" x14ac:dyDescent="0.25">
      <c r="A307979" s="1"/>
    </row>
    <row r="307980" spans="1:1" x14ac:dyDescent="0.25">
      <c r="A307980" s="1"/>
    </row>
    <row r="307981" spans="1:1" x14ac:dyDescent="0.25">
      <c r="A307981" s="1"/>
    </row>
    <row r="307982" spans="1:1" x14ac:dyDescent="0.25">
      <c r="A307982" s="1"/>
    </row>
    <row r="307983" spans="1:1" x14ac:dyDescent="0.25">
      <c r="A307983" s="1"/>
    </row>
    <row r="307984" spans="1:1" x14ac:dyDescent="0.25">
      <c r="A307984" s="1"/>
    </row>
    <row r="307985" spans="1:1" x14ac:dyDescent="0.25">
      <c r="A307985" s="1"/>
    </row>
    <row r="307986" spans="1:1" x14ac:dyDescent="0.25">
      <c r="A307986" s="1"/>
    </row>
    <row r="307987" spans="1:1" x14ac:dyDescent="0.25">
      <c r="A307987" s="1"/>
    </row>
    <row r="307988" spans="1:1" x14ac:dyDescent="0.25">
      <c r="A307988" s="1"/>
    </row>
    <row r="307989" spans="1:1" x14ac:dyDescent="0.25">
      <c r="A307989" s="1"/>
    </row>
    <row r="307990" spans="1:1" x14ac:dyDescent="0.25">
      <c r="A307990" s="1"/>
    </row>
    <row r="307991" spans="1:1" x14ac:dyDescent="0.25">
      <c r="A307991" s="1"/>
    </row>
    <row r="307992" spans="1:1" x14ac:dyDescent="0.25">
      <c r="A307992" s="1"/>
    </row>
    <row r="307993" spans="1:1" x14ac:dyDescent="0.25">
      <c r="A307993" s="1"/>
    </row>
    <row r="307994" spans="1:1" x14ac:dyDescent="0.25">
      <c r="A307994" s="1"/>
    </row>
    <row r="307995" spans="1:1" x14ac:dyDescent="0.25">
      <c r="A307995" s="1"/>
    </row>
    <row r="307996" spans="1:1" x14ac:dyDescent="0.25">
      <c r="A307996" s="1"/>
    </row>
    <row r="307997" spans="1:1" x14ac:dyDescent="0.25">
      <c r="A307997" s="1"/>
    </row>
    <row r="307998" spans="1:1" x14ac:dyDescent="0.25">
      <c r="A307998" s="1"/>
    </row>
    <row r="307999" spans="1:1" x14ac:dyDescent="0.25">
      <c r="A307999" s="1"/>
    </row>
    <row r="308000" spans="1:1" x14ac:dyDescent="0.25">
      <c r="A308000" s="1"/>
    </row>
    <row r="308001" spans="1:1" x14ac:dyDescent="0.25">
      <c r="A308001" s="1"/>
    </row>
    <row r="308002" spans="1:1" x14ac:dyDescent="0.25">
      <c r="A308002" s="1"/>
    </row>
    <row r="308003" spans="1:1" x14ac:dyDescent="0.25">
      <c r="A308003" s="1"/>
    </row>
    <row r="308004" spans="1:1" x14ac:dyDescent="0.25">
      <c r="A308004" s="1"/>
    </row>
    <row r="308005" spans="1:1" x14ac:dyDescent="0.25">
      <c r="A308005" s="1"/>
    </row>
    <row r="308006" spans="1:1" x14ac:dyDescent="0.25">
      <c r="A308006" s="1"/>
    </row>
    <row r="308007" spans="1:1" x14ac:dyDescent="0.25">
      <c r="A308007" s="1"/>
    </row>
    <row r="308008" spans="1:1" x14ac:dyDescent="0.25">
      <c r="A308008" s="1"/>
    </row>
    <row r="308009" spans="1:1" x14ac:dyDescent="0.25">
      <c r="A308009" s="1"/>
    </row>
    <row r="308010" spans="1:1" x14ac:dyDescent="0.25">
      <c r="A308010" s="1"/>
    </row>
    <row r="308011" spans="1:1" x14ac:dyDescent="0.25">
      <c r="A308011" s="1"/>
    </row>
    <row r="308012" spans="1:1" x14ac:dyDescent="0.25">
      <c r="A308012" s="1"/>
    </row>
    <row r="308013" spans="1:1" x14ac:dyDescent="0.25">
      <c r="A308013" s="1"/>
    </row>
    <row r="308014" spans="1:1" x14ac:dyDescent="0.25">
      <c r="A308014" s="1"/>
    </row>
    <row r="308015" spans="1:1" x14ac:dyDescent="0.25">
      <c r="A308015" s="1"/>
    </row>
    <row r="308016" spans="1:1" x14ac:dyDescent="0.25">
      <c r="A308016" s="1"/>
    </row>
    <row r="308017" spans="1:1" x14ac:dyDescent="0.25">
      <c r="A308017" s="1"/>
    </row>
    <row r="308018" spans="1:1" x14ac:dyDescent="0.25">
      <c r="A308018" s="1"/>
    </row>
    <row r="308019" spans="1:1" x14ac:dyDescent="0.25">
      <c r="A308019" s="1"/>
    </row>
    <row r="308020" spans="1:1" x14ac:dyDescent="0.25">
      <c r="A308020" s="1"/>
    </row>
    <row r="308021" spans="1:1" x14ac:dyDescent="0.25">
      <c r="A308021" s="1"/>
    </row>
    <row r="308022" spans="1:1" x14ac:dyDescent="0.25">
      <c r="A308022" s="1"/>
    </row>
    <row r="308023" spans="1:1" x14ac:dyDescent="0.25">
      <c r="A308023" s="1"/>
    </row>
    <row r="308024" spans="1:1" x14ac:dyDescent="0.25">
      <c r="A308024" s="1"/>
    </row>
    <row r="308025" spans="1:1" x14ac:dyDescent="0.25">
      <c r="A308025" s="1"/>
    </row>
    <row r="308026" spans="1:1" x14ac:dyDescent="0.25">
      <c r="A308026" s="1"/>
    </row>
    <row r="308027" spans="1:1" x14ac:dyDescent="0.25">
      <c r="A308027" s="1"/>
    </row>
    <row r="308028" spans="1:1" x14ac:dyDescent="0.25">
      <c r="A308028" s="1"/>
    </row>
    <row r="308029" spans="1:1" x14ac:dyDescent="0.25">
      <c r="A308029" s="1"/>
    </row>
    <row r="308030" spans="1:1" x14ac:dyDescent="0.25">
      <c r="A308030" s="1"/>
    </row>
    <row r="308031" spans="1:1" x14ac:dyDescent="0.25">
      <c r="A308031" s="1"/>
    </row>
    <row r="308032" spans="1:1" x14ac:dyDescent="0.25">
      <c r="A308032" s="1"/>
    </row>
    <row r="308033" spans="1:1" x14ac:dyDescent="0.25">
      <c r="A308033" s="1"/>
    </row>
    <row r="308034" spans="1:1" x14ac:dyDescent="0.25">
      <c r="A308034" s="1"/>
    </row>
    <row r="308035" spans="1:1" x14ac:dyDescent="0.25">
      <c r="A308035" s="1"/>
    </row>
    <row r="308036" spans="1:1" x14ac:dyDescent="0.25">
      <c r="A308036" s="1"/>
    </row>
    <row r="308037" spans="1:1" x14ac:dyDescent="0.25">
      <c r="A308037" s="1"/>
    </row>
    <row r="308038" spans="1:1" x14ac:dyDescent="0.25">
      <c r="A308038" s="1"/>
    </row>
    <row r="308039" spans="1:1" x14ac:dyDescent="0.25">
      <c r="A308039" s="1"/>
    </row>
    <row r="308040" spans="1:1" x14ac:dyDescent="0.25">
      <c r="A308040" s="1"/>
    </row>
    <row r="308041" spans="1:1" x14ac:dyDescent="0.25">
      <c r="A308041" s="1"/>
    </row>
    <row r="308042" spans="1:1" x14ac:dyDescent="0.25">
      <c r="A308042" s="1"/>
    </row>
    <row r="308043" spans="1:1" x14ac:dyDescent="0.25">
      <c r="A308043" s="1"/>
    </row>
    <row r="308044" spans="1:1" x14ac:dyDescent="0.25">
      <c r="A308044" s="1"/>
    </row>
    <row r="308045" spans="1:1" x14ac:dyDescent="0.25">
      <c r="A308045" s="1"/>
    </row>
    <row r="308046" spans="1:1" x14ac:dyDescent="0.25">
      <c r="A308046" s="1"/>
    </row>
    <row r="308047" spans="1:1" x14ac:dyDescent="0.25">
      <c r="A308047" s="1"/>
    </row>
    <row r="308048" spans="1:1" x14ac:dyDescent="0.25">
      <c r="A308048" s="1"/>
    </row>
    <row r="308049" spans="1:1" x14ac:dyDescent="0.25">
      <c r="A308049" s="1"/>
    </row>
    <row r="308050" spans="1:1" x14ac:dyDescent="0.25">
      <c r="A308050" s="1"/>
    </row>
    <row r="308051" spans="1:1" x14ac:dyDescent="0.25">
      <c r="A308051" s="1"/>
    </row>
    <row r="308052" spans="1:1" x14ac:dyDescent="0.25">
      <c r="A308052" s="1"/>
    </row>
    <row r="308053" spans="1:1" x14ac:dyDescent="0.25">
      <c r="A308053" s="1"/>
    </row>
    <row r="308054" spans="1:1" x14ac:dyDescent="0.25">
      <c r="A308054" s="1"/>
    </row>
    <row r="308055" spans="1:1" x14ac:dyDescent="0.25">
      <c r="A308055" s="1"/>
    </row>
    <row r="308056" spans="1:1" x14ac:dyDescent="0.25">
      <c r="A308056" s="1"/>
    </row>
    <row r="308057" spans="1:1" x14ac:dyDescent="0.25">
      <c r="A308057" s="1"/>
    </row>
    <row r="308058" spans="1:1" x14ac:dyDescent="0.25">
      <c r="A308058" s="1"/>
    </row>
    <row r="308059" spans="1:1" x14ac:dyDescent="0.25">
      <c r="A308059" s="1"/>
    </row>
    <row r="308060" spans="1:1" x14ac:dyDescent="0.25">
      <c r="A308060" s="1"/>
    </row>
    <row r="308061" spans="1:1" x14ac:dyDescent="0.25">
      <c r="A308061" s="1"/>
    </row>
    <row r="308062" spans="1:1" x14ac:dyDescent="0.25">
      <c r="A308062" s="1"/>
    </row>
    <row r="308063" spans="1:1" x14ac:dyDescent="0.25">
      <c r="A308063" s="1"/>
    </row>
    <row r="308064" spans="1:1" x14ac:dyDescent="0.25">
      <c r="A308064" s="1"/>
    </row>
    <row r="308065" spans="1:1" x14ac:dyDescent="0.25">
      <c r="A308065" s="1"/>
    </row>
    <row r="308066" spans="1:1" x14ac:dyDescent="0.25">
      <c r="A308066" s="1"/>
    </row>
    <row r="308067" spans="1:1" x14ac:dyDescent="0.25">
      <c r="A308067" s="1"/>
    </row>
    <row r="308068" spans="1:1" x14ac:dyDescent="0.25">
      <c r="A308068" s="1"/>
    </row>
    <row r="308069" spans="1:1" x14ac:dyDescent="0.25">
      <c r="A308069" s="1"/>
    </row>
    <row r="308070" spans="1:1" x14ac:dyDescent="0.25">
      <c r="A308070" s="1"/>
    </row>
    <row r="308071" spans="1:1" x14ac:dyDescent="0.25">
      <c r="A308071" s="1"/>
    </row>
    <row r="308072" spans="1:1" x14ac:dyDescent="0.25">
      <c r="A308072" s="1"/>
    </row>
    <row r="308073" spans="1:1" x14ac:dyDescent="0.25">
      <c r="A308073" s="1"/>
    </row>
    <row r="308074" spans="1:1" x14ac:dyDescent="0.25">
      <c r="A308074" s="1"/>
    </row>
    <row r="308075" spans="1:1" x14ac:dyDescent="0.25">
      <c r="A308075" s="1"/>
    </row>
    <row r="308076" spans="1:1" x14ac:dyDescent="0.25">
      <c r="A308076" s="1"/>
    </row>
    <row r="308077" spans="1:1" x14ac:dyDescent="0.25">
      <c r="A308077" s="1"/>
    </row>
    <row r="308078" spans="1:1" x14ac:dyDescent="0.25">
      <c r="A308078" s="1"/>
    </row>
    <row r="308079" spans="1:1" x14ac:dyDescent="0.25">
      <c r="A308079" s="1"/>
    </row>
    <row r="308080" spans="1:1" x14ac:dyDescent="0.25">
      <c r="A308080" s="1"/>
    </row>
    <row r="308081" spans="1:1" x14ac:dyDescent="0.25">
      <c r="A308081" s="1"/>
    </row>
    <row r="308082" spans="1:1" x14ac:dyDescent="0.25">
      <c r="A308082" s="1"/>
    </row>
    <row r="308083" spans="1:1" x14ac:dyDescent="0.25">
      <c r="A308083" s="1"/>
    </row>
    <row r="308084" spans="1:1" x14ac:dyDescent="0.25">
      <c r="A308084" s="1"/>
    </row>
    <row r="308085" spans="1:1" x14ac:dyDescent="0.25">
      <c r="A308085" s="1"/>
    </row>
    <row r="308086" spans="1:1" x14ac:dyDescent="0.25">
      <c r="A308086" s="1"/>
    </row>
    <row r="308087" spans="1:1" x14ac:dyDescent="0.25">
      <c r="A308087" s="1"/>
    </row>
    <row r="308088" spans="1:1" x14ac:dyDescent="0.25">
      <c r="A308088" s="1"/>
    </row>
    <row r="308089" spans="1:1" x14ac:dyDescent="0.25">
      <c r="A308089" s="1"/>
    </row>
    <row r="308090" spans="1:1" x14ac:dyDescent="0.25">
      <c r="A308090" s="1"/>
    </row>
    <row r="308091" spans="1:1" x14ac:dyDescent="0.25">
      <c r="A308091" s="1"/>
    </row>
    <row r="308092" spans="1:1" x14ac:dyDescent="0.25">
      <c r="A308092" s="1"/>
    </row>
    <row r="308093" spans="1:1" x14ac:dyDescent="0.25">
      <c r="A308093" s="1"/>
    </row>
    <row r="308094" spans="1:1" x14ac:dyDescent="0.25">
      <c r="A308094" s="1"/>
    </row>
    <row r="308095" spans="1:1" x14ac:dyDescent="0.25">
      <c r="A308095" s="1"/>
    </row>
    <row r="308096" spans="1:1" x14ac:dyDescent="0.25">
      <c r="A308096" s="1"/>
    </row>
    <row r="308097" spans="1:1" x14ac:dyDescent="0.25">
      <c r="A308097" s="1"/>
    </row>
    <row r="308098" spans="1:1" x14ac:dyDescent="0.25">
      <c r="A308098" s="1"/>
    </row>
    <row r="308099" spans="1:1" x14ac:dyDescent="0.25">
      <c r="A308099" s="1"/>
    </row>
    <row r="308100" spans="1:1" x14ac:dyDescent="0.25">
      <c r="A308100" s="1"/>
    </row>
    <row r="308101" spans="1:1" x14ac:dyDescent="0.25">
      <c r="A308101" s="1"/>
    </row>
    <row r="308102" spans="1:1" x14ac:dyDescent="0.25">
      <c r="A308102" s="1"/>
    </row>
    <row r="308103" spans="1:1" x14ac:dyDescent="0.25">
      <c r="A308103" s="1"/>
    </row>
    <row r="308104" spans="1:1" x14ac:dyDescent="0.25">
      <c r="A308104" s="1"/>
    </row>
    <row r="308105" spans="1:1" x14ac:dyDescent="0.25">
      <c r="A308105" s="1"/>
    </row>
    <row r="308106" spans="1:1" x14ac:dyDescent="0.25">
      <c r="A308106" s="1"/>
    </row>
    <row r="308107" spans="1:1" x14ac:dyDescent="0.25">
      <c r="A308107" s="1"/>
    </row>
    <row r="308108" spans="1:1" x14ac:dyDescent="0.25">
      <c r="A308108" s="1"/>
    </row>
    <row r="308109" spans="1:1" x14ac:dyDescent="0.25">
      <c r="A308109" s="1"/>
    </row>
    <row r="308110" spans="1:1" x14ac:dyDescent="0.25">
      <c r="A308110" s="1"/>
    </row>
    <row r="308111" spans="1:1" x14ac:dyDescent="0.25">
      <c r="A308111" s="1"/>
    </row>
    <row r="308112" spans="1:1" x14ac:dyDescent="0.25">
      <c r="A308112" s="1"/>
    </row>
    <row r="308113" spans="1:1" x14ac:dyDescent="0.25">
      <c r="A308113" s="1"/>
    </row>
    <row r="308114" spans="1:1" x14ac:dyDescent="0.25">
      <c r="A308114" s="1"/>
    </row>
    <row r="308115" spans="1:1" x14ac:dyDescent="0.25">
      <c r="A308115" s="1"/>
    </row>
    <row r="308116" spans="1:1" x14ac:dyDescent="0.25">
      <c r="A308116" s="1"/>
    </row>
    <row r="308117" spans="1:1" x14ac:dyDescent="0.25">
      <c r="A308117" s="1"/>
    </row>
    <row r="308118" spans="1:1" x14ac:dyDescent="0.25">
      <c r="A308118" s="1"/>
    </row>
    <row r="308119" spans="1:1" x14ac:dyDescent="0.25">
      <c r="A308119" s="1"/>
    </row>
    <row r="308120" spans="1:1" x14ac:dyDescent="0.25">
      <c r="A308120" s="1"/>
    </row>
    <row r="308121" spans="1:1" x14ac:dyDescent="0.25">
      <c r="A308121" s="1"/>
    </row>
    <row r="308122" spans="1:1" x14ac:dyDescent="0.25">
      <c r="A308122" s="1"/>
    </row>
    <row r="308123" spans="1:1" x14ac:dyDescent="0.25">
      <c r="A308123" s="1"/>
    </row>
    <row r="308124" spans="1:1" x14ac:dyDescent="0.25">
      <c r="A308124" s="1"/>
    </row>
    <row r="308125" spans="1:1" x14ac:dyDescent="0.25">
      <c r="A308125" s="1"/>
    </row>
    <row r="308126" spans="1:1" x14ac:dyDescent="0.25">
      <c r="A308126" s="1"/>
    </row>
    <row r="308127" spans="1:1" x14ac:dyDescent="0.25">
      <c r="A308127" s="1"/>
    </row>
    <row r="308128" spans="1:1" x14ac:dyDescent="0.25">
      <c r="A308128" s="1"/>
    </row>
    <row r="308129" spans="1:1" x14ac:dyDescent="0.25">
      <c r="A308129" s="1"/>
    </row>
    <row r="308130" spans="1:1" x14ac:dyDescent="0.25">
      <c r="A308130" s="1"/>
    </row>
    <row r="308131" spans="1:1" x14ac:dyDescent="0.25">
      <c r="A308131" s="1"/>
    </row>
    <row r="308132" spans="1:1" x14ac:dyDescent="0.25">
      <c r="A308132" s="1"/>
    </row>
    <row r="308133" spans="1:1" x14ac:dyDescent="0.25">
      <c r="A308133" s="1"/>
    </row>
    <row r="308134" spans="1:1" x14ac:dyDescent="0.25">
      <c r="A308134" s="1"/>
    </row>
    <row r="308135" spans="1:1" x14ac:dyDescent="0.25">
      <c r="A308135" s="1"/>
    </row>
    <row r="308136" spans="1:1" x14ac:dyDescent="0.25">
      <c r="A308136" s="1"/>
    </row>
    <row r="308137" spans="1:1" x14ac:dyDescent="0.25">
      <c r="A308137" s="1"/>
    </row>
    <row r="308138" spans="1:1" x14ac:dyDescent="0.25">
      <c r="A308138" s="1"/>
    </row>
    <row r="308139" spans="1:1" x14ac:dyDescent="0.25">
      <c r="A308139" s="1"/>
    </row>
    <row r="308140" spans="1:1" x14ac:dyDescent="0.25">
      <c r="A308140" s="1"/>
    </row>
    <row r="308141" spans="1:1" x14ac:dyDescent="0.25">
      <c r="A308141" s="1"/>
    </row>
    <row r="308142" spans="1:1" x14ac:dyDescent="0.25">
      <c r="A308142" s="1"/>
    </row>
    <row r="308143" spans="1:1" x14ac:dyDescent="0.25">
      <c r="A308143" s="1"/>
    </row>
    <row r="308144" spans="1:1" x14ac:dyDescent="0.25">
      <c r="A308144" s="1"/>
    </row>
    <row r="308145" spans="1:1" x14ac:dyDescent="0.25">
      <c r="A308145" s="1"/>
    </row>
    <row r="308146" spans="1:1" x14ac:dyDescent="0.25">
      <c r="A308146" s="1"/>
    </row>
    <row r="308147" spans="1:1" x14ac:dyDescent="0.25">
      <c r="A308147" s="1"/>
    </row>
    <row r="308148" spans="1:1" x14ac:dyDescent="0.25">
      <c r="A308148" s="1"/>
    </row>
    <row r="308149" spans="1:1" x14ac:dyDescent="0.25">
      <c r="A308149" s="1"/>
    </row>
    <row r="308150" spans="1:1" x14ac:dyDescent="0.25">
      <c r="A308150" s="1"/>
    </row>
    <row r="308151" spans="1:1" x14ac:dyDescent="0.25">
      <c r="A308151" s="1"/>
    </row>
    <row r="308152" spans="1:1" x14ac:dyDescent="0.25">
      <c r="A308152" s="1"/>
    </row>
    <row r="308153" spans="1:1" x14ac:dyDescent="0.25">
      <c r="A308153" s="1"/>
    </row>
    <row r="308154" spans="1:1" x14ac:dyDescent="0.25">
      <c r="A308154" s="1"/>
    </row>
    <row r="308155" spans="1:1" x14ac:dyDescent="0.25">
      <c r="A308155" s="1"/>
    </row>
    <row r="308156" spans="1:1" x14ac:dyDescent="0.25">
      <c r="A308156" s="1"/>
    </row>
    <row r="308157" spans="1:1" x14ac:dyDescent="0.25">
      <c r="A308157" s="1"/>
    </row>
    <row r="308158" spans="1:1" x14ac:dyDescent="0.25">
      <c r="A308158" s="1"/>
    </row>
    <row r="308159" spans="1:1" x14ac:dyDescent="0.25">
      <c r="A308159" s="1"/>
    </row>
    <row r="308160" spans="1:1" x14ac:dyDescent="0.25">
      <c r="A308160" s="1"/>
    </row>
    <row r="308161" spans="1:1" x14ac:dyDescent="0.25">
      <c r="A308161" s="1"/>
    </row>
    <row r="308162" spans="1:1" x14ac:dyDescent="0.25">
      <c r="A308162" s="1"/>
    </row>
    <row r="308163" spans="1:1" x14ac:dyDescent="0.25">
      <c r="A308163" s="1"/>
    </row>
    <row r="308164" spans="1:1" x14ac:dyDescent="0.25">
      <c r="A308164" s="1"/>
    </row>
    <row r="308165" spans="1:1" x14ac:dyDescent="0.25">
      <c r="A308165" s="1"/>
    </row>
    <row r="308166" spans="1:1" x14ac:dyDescent="0.25">
      <c r="A308166" s="1"/>
    </row>
    <row r="308167" spans="1:1" x14ac:dyDescent="0.25">
      <c r="A308167" s="1"/>
    </row>
    <row r="308168" spans="1:1" x14ac:dyDescent="0.25">
      <c r="A308168" s="1"/>
    </row>
    <row r="308169" spans="1:1" x14ac:dyDescent="0.25">
      <c r="A308169" s="1"/>
    </row>
    <row r="308170" spans="1:1" x14ac:dyDescent="0.25">
      <c r="A308170" s="1"/>
    </row>
    <row r="308171" spans="1:1" x14ac:dyDescent="0.25">
      <c r="A308171" s="1"/>
    </row>
    <row r="308172" spans="1:1" x14ac:dyDescent="0.25">
      <c r="A308172" s="1"/>
    </row>
    <row r="308173" spans="1:1" x14ac:dyDescent="0.25">
      <c r="A308173" s="1"/>
    </row>
    <row r="308174" spans="1:1" x14ac:dyDescent="0.25">
      <c r="A308174" s="1"/>
    </row>
    <row r="308175" spans="1:1" x14ac:dyDescent="0.25">
      <c r="A308175" s="1"/>
    </row>
    <row r="308176" spans="1:1" x14ac:dyDescent="0.25">
      <c r="A308176" s="1"/>
    </row>
    <row r="308177" spans="1:1" x14ac:dyDescent="0.25">
      <c r="A308177" s="1"/>
    </row>
    <row r="308178" spans="1:1" x14ac:dyDescent="0.25">
      <c r="A308178" s="1"/>
    </row>
    <row r="308179" spans="1:1" x14ac:dyDescent="0.25">
      <c r="A308179" s="1"/>
    </row>
    <row r="308180" spans="1:1" x14ac:dyDescent="0.25">
      <c r="A308180" s="1"/>
    </row>
    <row r="308181" spans="1:1" x14ac:dyDescent="0.25">
      <c r="A308181" s="1"/>
    </row>
    <row r="308182" spans="1:1" x14ac:dyDescent="0.25">
      <c r="A308182" s="1"/>
    </row>
    <row r="308183" spans="1:1" x14ac:dyDescent="0.25">
      <c r="A308183" s="1"/>
    </row>
    <row r="308184" spans="1:1" x14ac:dyDescent="0.25">
      <c r="A308184" s="1"/>
    </row>
    <row r="308185" spans="1:1" x14ac:dyDescent="0.25">
      <c r="A308185" s="1"/>
    </row>
    <row r="308186" spans="1:1" x14ac:dyDescent="0.25">
      <c r="A308186" s="1"/>
    </row>
    <row r="308187" spans="1:1" x14ac:dyDescent="0.25">
      <c r="A308187" s="1"/>
    </row>
    <row r="308188" spans="1:1" x14ac:dyDescent="0.25">
      <c r="A308188" s="1"/>
    </row>
    <row r="308189" spans="1:1" x14ac:dyDescent="0.25">
      <c r="A308189" s="1"/>
    </row>
    <row r="308190" spans="1:1" x14ac:dyDescent="0.25">
      <c r="A308190" s="1"/>
    </row>
    <row r="308191" spans="1:1" x14ac:dyDescent="0.25">
      <c r="A308191" s="1"/>
    </row>
    <row r="308192" spans="1:1" x14ac:dyDescent="0.25">
      <c r="A308192" s="1"/>
    </row>
    <row r="308193" spans="1:1" x14ac:dyDescent="0.25">
      <c r="A308193" s="1"/>
    </row>
    <row r="308194" spans="1:1" x14ac:dyDescent="0.25">
      <c r="A308194" s="1"/>
    </row>
    <row r="308195" spans="1:1" x14ac:dyDescent="0.25">
      <c r="A308195" s="1"/>
    </row>
    <row r="308196" spans="1:1" x14ac:dyDescent="0.25">
      <c r="A308196" s="1"/>
    </row>
    <row r="308197" spans="1:1" x14ac:dyDescent="0.25">
      <c r="A308197" s="1"/>
    </row>
    <row r="308198" spans="1:1" x14ac:dyDescent="0.25">
      <c r="A308198" s="1"/>
    </row>
    <row r="308199" spans="1:1" x14ac:dyDescent="0.25">
      <c r="A308199" s="1"/>
    </row>
    <row r="308200" spans="1:1" x14ac:dyDescent="0.25">
      <c r="A308200" s="1"/>
    </row>
    <row r="308201" spans="1:1" x14ac:dyDescent="0.25">
      <c r="A308201" s="1"/>
    </row>
    <row r="308202" spans="1:1" x14ac:dyDescent="0.25">
      <c r="A308202" s="1"/>
    </row>
    <row r="308203" spans="1:1" x14ac:dyDescent="0.25">
      <c r="A308203" s="1"/>
    </row>
    <row r="308204" spans="1:1" x14ac:dyDescent="0.25">
      <c r="A308204" s="1"/>
    </row>
    <row r="308205" spans="1:1" x14ac:dyDescent="0.25">
      <c r="A308205" s="1"/>
    </row>
    <row r="308206" spans="1:1" x14ac:dyDescent="0.25">
      <c r="A308206" s="1"/>
    </row>
    <row r="308207" spans="1:1" x14ac:dyDescent="0.25">
      <c r="A308207" s="1"/>
    </row>
    <row r="308208" spans="1:1" x14ac:dyDescent="0.25">
      <c r="A308208" s="1"/>
    </row>
    <row r="308209" spans="1:1" x14ac:dyDescent="0.25">
      <c r="A308209" s="1"/>
    </row>
    <row r="308210" spans="1:1" x14ac:dyDescent="0.25">
      <c r="A308210" s="1"/>
    </row>
    <row r="308211" spans="1:1" x14ac:dyDescent="0.25">
      <c r="A308211" s="1"/>
    </row>
    <row r="308212" spans="1:1" x14ac:dyDescent="0.25">
      <c r="A308212" s="1"/>
    </row>
    <row r="308213" spans="1:1" x14ac:dyDescent="0.25">
      <c r="A308213" s="1"/>
    </row>
    <row r="308214" spans="1:1" x14ac:dyDescent="0.25">
      <c r="A308214" s="1"/>
    </row>
    <row r="308215" spans="1:1" x14ac:dyDescent="0.25">
      <c r="A308215" s="1"/>
    </row>
    <row r="308216" spans="1:1" x14ac:dyDescent="0.25">
      <c r="A308216" s="1"/>
    </row>
    <row r="308217" spans="1:1" x14ac:dyDescent="0.25">
      <c r="A308217" s="1"/>
    </row>
    <row r="308218" spans="1:1" x14ac:dyDescent="0.25">
      <c r="A308218" s="1"/>
    </row>
    <row r="308219" spans="1:1" x14ac:dyDescent="0.25">
      <c r="A308219" s="1"/>
    </row>
    <row r="308220" spans="1:1" x14ac:dyDescent="0.25">
      <c r="A308220" s="1"/>
    </row>
    <row r="308221" spans="1:1" x14ac:dyDescent="0.25">
      <c r="A308221" s="1"/>
    </row>
    <row r="308222" spans="1:1" x14ac:dyDescent="0.25">
      <c r="A308222" s="1"/>
    </row>
    <row r="308223" spans="1:1" x14ac:dyDescent="0.25">
      <c r="A308223" s="1"/>
    </row>
    <row r="308224" spans="1:1" x14ac:dyDescent="0.25">
      <c r="A308224" s="1"/>
    </row>
    <row r="308225" spans="1:1" x14ac:dyDescent="0.25">
      <c r="A308225" s="1"/>
    </row>
    <row r="308226" spans="1:1" x14ac:dyDescent="0.25">
      <c r="A308226" s="1"/>
    </row>
    <row r="308227" spans="1:1" x14ac:dyDescent="0.25">
      <c r="A308227" s="1"/>
    </row>
    <row r="308228" spans="1:1" x14ac:dyDescent="0.25">
      <c r="A308228" s="1"/>
    </row>
    <row r="308229" spans="1:1" x14ac:dyDescent="0.25">
      <c r="A308229" s="1"/>
    </row>
    <row r="308230" spans="1:1" x14ac:dyDescent="0.25">
      <c r="A308230" s="1"/>
    </row>
    <row r="308231" spans="1:1" x14ac:dyDescent="0.25">
      <c r="A308231" s="1"/>
    </row>
    <row r="308232" spans="1:1" x14ac:dyDescent="0.25">
      <c r="A308232" s="1"/>
    </row>
    <row r="308233" spans="1:1" x14ac:dyDescent="0.25">
      <c r="A308233" s="1"/>
    </row>
    <row r="308234" spans="1:1" x14ac:dyDescent="0.25">
      <c r="A308234" s="1"/>
    </row>
    <row r="308235" spans="1:1" x14ac:dyDescent="0.25">
      <c r="A308235" s="1"/>
    </row>
    <row r="308236" spans="1:1" x14ac:dyDescent="0.25">
      <c r="A308236" s="1"/>
    </row>
    <row r="308237" spans="1:1" x14ac:dyDescent="0.25">
      <c r="A308237" s="1"/>
    </row>
    <row r="308238" spans="1:1" x14ac:dyDescent="0.25">
      <c r="A308238" s="1"/>
    </row>
    <row r="308239" spans="1:1" x14ac:dyDescent="0.25">
      <c r="A308239" s="1"/>
    </row>
    <row r="308240" spans="1:1" x14ac:dyDescent="0.25">
      <c r="A308240" s="1"/>
    </row>
    <row r="308241" spans="1:1" x14ac:dyDescent="0.25">
      <c r="A308241" s="1"/>
    </row>
    <row r="308242" spans="1:1" x14ac:dyDescent="0.25">
      <c r="A308242" s="1"/>
    </row>
    <row r="308243" spans="1:1" x14ac:dyDescent="0.25">
      <c r="A308243" s="1"/>
    </row>
    <row r="308244" spans="1:1" x14ac:dyDescent="0.25">
      <c r="A308244" s="1"/>
    </row>
    <row r="308245" spans="1:1" x14ac:dyDescent="0.25">
      <c r="A308245" s="1"/>
    </row>
    <row r="308246" spans="1:1" x14ac:dyDescent="0.25">
      <c r="A308246" s="1"/>
    </row>
    <row r="308247" spans="1:1" x14ac:dyDescent="0.25">
      <c r="A308247" s="1"/>
    </row>
    <row r="308248" spans="1:1" x14ac:dyDescent="0.25">
      <c r="A308248" s="1"/>
    </row>
    <row r="308249" spans="1:1" x14ac:dyDescent="0.25">
      <c r="A308249" s="1"/>
    </row>
    <row r="308250" spans="1:1" x14ac:dyDescent="0.25">
      <c r="A308250" s="1"/>
    </row>
    <row r="308251" spans="1:1" x14ac:dyDescent="0.25">
      <c r="A308251" s="1"/>
    </row>
    <row r="308252" spans="1:1" x14ac:dyDescent="0.25">
      <c r="A308252" s="1"/>
    </row>
    <row r="308253" spans="1:1" x14ac:dyDescent="0.25">
      <c r="A308253" s="1"/>
    </row>
    <row r="308254" spans="1:1" x14ac:dyDescent="0.25">
      <c r="A308254" s="1"/>
    </row>
    <row r="308255" spans="1:1" x14ac:dyDescent="0.25">
      <c r="A308255" s="1"/>
    </row>
    <row r="308256" spans="1:1" x14ac:dyDescent="0.25">
      <c r="A308256" s="1"/>
    </row>
    <row r="308257" spans="1:1" x14ac:dyDescent="0.25">
      <c r="A308257" s="1"/>
    </row>
    <row r="308258" spans="1:1" x14ac:dyDescent="0.25">
      <c r="A308258" s="1"/>
    </row>
    <row r="308259" spans="1:1" x14ac:dyDescent="0.25">
      <c r="A308259" s="1"/>
    </row>
    <row r="308260" spans="1:1" x14ac:dyDescent="0.25">
      <c r="A308260" s="1"/>
    </row>
    <row r="308261" spans="1:1" x14ac:dyDescent="0.25">
      <c r="A308261" s="1"/>
    </row>
    <row r="308262" spans="1:1" x14ac:dyDescent="0.25">
      <c r="A308262" s="1"/>
    </row>
    <row r="308263" spans="1:1" x14ac:dyDescent="0.25">
      <c r="A308263" s="1"/>
    </row>
    <row r="308264" spans="1:1" x14ac:dyDescent="0.25">
      <c r="A308264" s="1"/>
    </row>
    <row r="308265" spans="1:1" x14ac:dyDescent="0.25">
      <c r="A308265" s="1"/>
    </row>
    <row r="308266" spans="1:1" x14ac:dyDescent="0.25">
      <c r="A308266" s="1"/>
    </row>
    <row r="308267" spans="1:1" x14ac:dyDescent="0.25">
      <c r="A308267" s="1"/>
    </row>
    <row r="308268" spans="1:1" x14ac:dyDescent="0.25">
      <c r="A308268" s="1"/>
    </row>
    <row r="308269" spans="1:1" x14ac:dyDescent="0.25">
      <c r="A308269" s="1"/>
    </row>
    <row r="308270" spans="1:1" x14ac:dyDescent="0.25">
      <c r="A308270" s="1"/>
    </row>
    <row r="308271" spans="1:1" x14ac:dyDescent="0.25">
      <c r="A308271" s="1"/>
    </row>
    <row r="308272" spans="1:1" x14ac:dyDescent="0.25">
      <c r="A308272" s="1"/>
    </row>
    <row r="308273" spans="1:1" x14ac:dyDescent="0.25">
      <c r="A308273" s="1"/>
    </row>
    <row r="308274" spans="1:1" x14ac:dyDescent="0.25">
      <c r="A308274" s="1"/>
    </row>
    <row r="308275" spans="1:1" x14ac:dyDescent="0.25">
      <c r="A308275" s="1"/>
    </row>
    <row r="308276" spans="1:1" x14ac:dyDescent="0.25">
      <c r="A308276" s="1"/>
    </row>
    <row r="308277" spans="1:1" x14ac:dyDescent="0.25">
      <c r="A308277" s="1"/>
    </row>
    <row r="308278" spans="1:1" x14ac:dyDescent="0.25">
      <c r="A308278" s="1"/>
    </row>
    <row r="308279" spans="1:1" x14ac:dyDescent="0.25">
      <c r="A308279" s="1"/>
    </row>
    <row r="308280" spans="1:1" x14ac:dyDescent="0.25">
      <c r="A308280" s="1"/>
    </row>
    <row r="308281" spans="1:1" x14ac:dyDescent="0.25">
      <c r="A308281" s="1"/>
    </row>
    <row r="308282" spans="1:1" x14ac:dyDescent="0.25">
      <c r="A308282" s="1"/>
    </row>
    <row r="308283" spans="1:1" x14ac:dyDescent="0.25">
      <c r="A308283" s="1"/>
    </row>
    <row r="308284" spans="1:1" x14ac:dyDescent="0.25">
      <c r="A308284" s="1"/>
    </row>
    <row r="308285" spans="1:1" x14ac:dyDescent="0.25">
      <c r="A308285" s="1"/>
    </row>
    <row r="308286" spans="1:1" x14ac:dyDescent="0.25">
      <c r="A308286" s="1"/>
    </row>
    <row r="308287" spans="1:1" x14ac:dyDescent="0.25">
      <c r="A308287" s="1"/>
    </row>
    <row r="308288" spans="1:1" x14ac:dyDescent="0.25">
      <c r="A308288" s="1"/>
    </row>
    <row r="308289" spans="1:1" x14ac:dyDescent="0.25">
      <c r="A308289" s="1"/>
    </row>
    <row r="308290" spans="1:1" x14ac:dyDescent="0.25">
      <c r="A308290" s="1"/>
    </row>
    <row r="308291" spans="1:1" x14ac:dyDescent="0.25">
      <c r="A308291" s="1"/>
    </row>
    <row r="308292" spans="1:1" x14ac:dyDescent="0.25">
      <c r="A308292" s="1"/>
    </row>
    <row r="308293" spans="1:1" x14ac:dyDescent="0.25">
      <c r="A308293" s="1"/>
    </row>
    <row r="308294" spans="1:1" x14ac:dyDescent="0.25">
      <c r="A308294" s="1"/>
    </row>
    <row r="308295" spans="1:1" x14ac:dyDescent="0.25">
      <c r="A308295" s="1"/>
    </row>
    <row r="308296" spans="1:1" x14ac:dyDescent="0.25">
      <c r="A308296" s="1"/>
    </row>
    <row r="308297" spans="1:1" x14ac:dyDescent="0.25">
      <c r="A308297" s="1"/>
    </row>
    <row r="308298" spans="1:1" x14ac:dyDescent="0.25">
      <c r="A308298" s="1"/>
    </row>
    <row r="308299" spans="1:1" x14ac:dyDescent="0.25">
      <c r="A308299" s="1"/>
    </row>
    <row r="308300" spans="1:1" x14ac:dyDescent="0.25">
      <c r="A308300" s="1"/>
    </row>
    <row r="308301" spans="1:1" x14ac:dyDescent="0.25">
      <c r="A308301" s="1"/>
    </row>
    <row r="308302" spans="1:1" x14ac:dyDescent="0.25">
      <c r="A308302" s="1"/>
    </row>
    <row r="308303" spans="1:1" x14ac:dyDescent="0.25">
      <c r="A308303" s="1"/>
    </row>
    <row r="308304" spans="1:1" x14ac:dyDescent="0.25">
      <c r="A308304" s="1"/>
    </row>
    <row r="308305" spans="1:1" x14ac:dyDescent="0.25">
      <c r="A308305" s="1"/>
    </row>
    <row r="308306" spans="1:1" x14ac:dyDescent="0.25">
      <c r="A308306" s="1"/>
    </row>
    <row r="308307" spans="1:1" x14ac:dyDescent="0.25">
      <c r="A308307" s="1"/>
    </row>
    <row r="308308" spans="1:1" x14ac:dyDescent="0.25">
      <c r="A308308" s="1"/>
    </row>
    <row r="308309" spans="1:1" x14ac:dyDescent="0.25">
      <c r="A308309" s="1"/>
    </row>
    <row r="308310" spans="1:1" x14ac:dyDescent="0.25">
      <c r="A308310" s="1"/>
    </row>
    <row r="308311" spans="1:1" x14ac:dyDescent="0.25">
      <c r="A308311" s="1"/>
    </row>
    <row r="308312" spans="1:1" x14ac:dyDescent="0.25">
      <c r="A308312" s="1"/>
    </row>
    <row r="308313" spans="1:1" x14ac:dyDescent="0.25">
      <c r="A308313" s="1"/>
    </row>
    <row r="308314" spans="1:1" x14ac:dyDescent="0.25">
      <c r="A308314" s="1"/>
    </row>
    <row r="308315" spans="1:1" x14ac:dyDescent="0.25">
      <c r="A308315" s="1"/>
    </row>
    <row r="308316" spans="1:1" x14ac:dyDescent="0.25">
      <c r="A308316" s="1"/>
    </row>
    <row r="308317" spans="1:1" x14ac:dyDescent="0.25">
      <c r="A308317" s="1"/>
    </row>
    <row r="308318" spans="1:1" x14ac:dyDescent="0.25">
      <c r="A308318" s="1"/>
    </row>
    <row r="308319" spans="1:1" x14ac:dyDescent="0.25">
      <c r="A308319" s="1"/>
    </row>
    <row r="308320" spans="1:1" x14ac:dyDescent="0.25">
      <c r="A308320" s="1"/>
    </row>
    <row r="308321" spans="1:1" x14ac:dyDescent="0.25">
      <c r="A308321" s="1"/>
    </row>
    <row r="308322" spans="1:1" x14ac:dyDescent="0.25">
      <c r="A308322" s="1"/>
    </row>
    <row r="308323" spans="1:1" x14ac:dyDescent="0.25">
      <c r="A308323" s="1"/>
    </row>
    <row r="308324" spans="1:1" x14ac:dyDescent="0.25">
      <c r="A308324" s="1"/>
    </row>
    <row r="308325" spans="1:1" x14ac:dyDescent="0.25">
      <c r="A308325" s="1"/>
    </row>
    <row r="308326" spans="1:1" x14ac:dyDescent="0.25">
      <c r="A308326" s="1"/>
    </row>
    <row r="308327" spans="1:1" x14ac:dyDescent="0.25">
      <c r="A308327" s="1"/>
    </row>
    <row r="308328" spans="1:1" x14ac:dyDescent="0.25">
      <c r="A308328" s="1"/>
    </row>
    <row r="308329" spans="1:1" x14ac:dyDescent="0.25">
      <c r="A308329" s="1"/>
    </row>
    <row r="308330" spans="1:1" x14ac:dyDescent="0.25">
      <c r="A308330" s="1"/>
    </row>
    <row r="308331" spans="1:1" x14ac:dyDescent="0.25">
      <c r="A308331" s="1"/>
    </row>
    <row r="308332" spans="1:1" x14ac:dyDescent="0.25">
      <c r="A308332" s="1"/>
    </row>
    <row r="308333" spans="1:1" x14ac:dyDescent="0.25">
      <c r="A308333" s="1"/>
    </row>
    <row r="308334" spans="1:1" x14ac:dyDescent="0.25">
      <c r="A308334" s="1"/>
    </row>
    <row r="308335" spans="1:1" x14ac:dyDescent="0.25">
      <c r="A308335" s="1"/>
    </row>
    <row r="308336" spans="1:1" x14ac:dyDescent="0.25">
      <c r="A308336" s="1"/>
    </row>
    <row r="308337" spans="1:1" x14ac:dyDescent="0.25">
      <c r="A308337" s="1"/>
    </row>
    <row r="308338" spans="1:1" x14ac:dyDescent="0.25">
      <c r="A308338" s="1"/>
    </row>
    <row r="308339" spans="1:1" x14ac:dyDescent="0.25">
      <c r="A308339" s="1"/>
    </row>
    <row r="308340" spans="1:1" x14ac:dyDescent="0.25">
      <c r="A308340" s="1"/>
    </row>
    <row r="308341" spans="1:1" x14ac:dyDescent="0.25">
      <c r="A308341" s="1"/>
    </row>
    <row r="308342" spans="1:1" x14ac:dyDescent="0.25">
      <c r="A308342" s="1"/>
    </row>
    <row r="308343" spans="1:1" x14ac:dyDescent="0.25">
      <c r="A308343" s="1"/>
    </row>
    <row r="308344" spans="1:1" x14ac:dyDescent="0.25">
      <c r="A308344" s="1"/>
    </row>
    <row r="308345" spans="1:1" x14ac:dyDescent="0.25">
      <c r="A308345" s="1"/>
    </row>
    <row r="308346" spans="1:1" x14ac:dyDescent="0.25">
      <c r="A308346" s="1"/>
    </row>
    <row r="308347" spans="1:1" x14ac:dyDescent="0.25">
      <c r="A308347" s="1"/>
    </row>
    <row r="308348" spans="1:1" x14ac:dyDescent="0.25">
      <c r="A308348" s="1"/>
    </row>
    <row r="308349" spans="1:1" x14ac:dyDescent="0.25">
      <c r="A308349" s="1"/>
    </row>
    <row r="308350" spans="1:1" x14ac:dyDescent="0.25">
      <c r="A308350" s="1"/>
    </row>
    <row r="308351" spans="1:1" x14ac:dyDescent="0.25">
      <c r="A308351" s="1"/>
    </row>
    <row r="308352" spans="1:1" x14ac:dyDescent="0.25">
      <c r="A308352" s="1"/>
    </row>
    <row r="308353" spans="1:1" x14ac:dyDescent="0.25">
      <c r="A308353" s="1"/>
    </row>
    <row r="308354" spans="1:1" x14ac:dyDescent="0.25">
      <c r="A308354" s="1"/>
    </row>
    <row r="308355" spans="1:1" x14ac:dyDescent="0.25">
      <c r="A308355" s="1"/>
    </row>
    <row r="308356" spans="1:1" x14ac:dyDescent="0.25">
      <c r="A308356" s="1"/>
    </row>
    <row r="308357" spans="1:1" x14ac:dyDescent="0.25">
      <c r="A308357" s="1"/>
    </row>
    <row r="308358" spans="1:1" x14ac:dyDescent="0.25">
      <c r="A308358" s="1"/>
    </row>
    <row r="308359" spans="1:1" x14ac:dyDescent="0.25">
      <c r="A308359" s="1"/>
    </row>
    <row r="308360" spans="1:1" x14ac:dyDescent="0.25">
      <c r="A308360" s="1"/>
    </row>
    <row r="308361" spans="1:1" x14ac:dyDescent="0.25">
      <c r="A308361" s="1"/>
    </row>
    <row r="308362" spans="1:1" x14ac:dyDescent="0.25">
      <c r="A308362" s="1"/>
    </row>
    <row r="308363" spans="1:1" x14ac:dyDescent="0.25">
      <c r="A308363" s="1"/>
    </row>
    <row r="308364" spans="1:1" x14ac:dyDescent="0.25">
      <c r="A308364" s="1"/>
    </row>
    <row r="308365" spans="1:1" x14ac:dyDescent="0.25">
      <c r="A308365" s="1"/>
    </row>
    <row r="308366" spans="1:1" x14ac:dyDescent="0.25">
      <c r="A308366" s="1"/>
    </row>
    <row r="308367" spans="1:1" x14ac:dyDescent="0.25">
      <c r="A308367" s="1"/>
    </row>
    <row r="308368" spans="1:1" x14ac:dyDescent="0.25">
      <c r="A308368" s="1"/>
    </row>
    <row r="308369" spans="1:1" x14ac:dyDescent="0.25">
      <c r="A308369" s="1"/>
    </row>
    <row r="308370" spans="1:1" x14ac:dyDescent="0.25">
      <c r="A308370" s="1"/>
    </row>
    <row r="308371" spans="1:1" x14ac:dyDescent="0.25">
      <c r="A308371" s="1"/>
    </row>
    <row r="308372" spans="1:1" x14ac:dyDescent="0.25">
      <c r="A308372" s="1"/>
    </row>
    <row r="308373" spans="1:1" x14ac:dyDescent="0.25">
      <c r="A308373" s="1"/>
    </row>
    <row r="308374" spans="1:1" x14ac:dyDescent="0.25">
      <c r="A308374" s="1"/>
    </row>
    <row r="308375" spans="1:1" x14ac:dyDescent="0.25">
      <c r="A308375" s="1"/>
    </row>
    <row r="308376" spans="1:1" x14ac:dyDescent="0.25">
      <c r="A308376" s="1"/>
    </row>
    <row r="308377" spans="1:1" x14ac:dyDescent="0.25">
      <c r="A308377" s="1"/>
    </row>
    <row r="308378" spans="1:1" x14ac:dyDescent="0.25">
      <c r="A308378" s="1"/>
    </row>
    <row r="308379" spans="1:1" x14ac:dyDescent="0.25">
      <c r="A308379" s="1"/>
    </row>
    <row r="308380" spans="1:1" x14ac:dyDescent="0.25">
      <c r="A308380" s="1"/>
    </row>
    <row r="308381" spans="1:1" x14ac:dyDescent="0.25">
      <c r="A308381" s="1"/>
    </row>
    <row r="308382" spans="1:1" x14ac:dyDescent="0.25">
      <c r="A308382" s="1"/>
    </row>
    <row r="308383" spans="1:1" x14ac:dyDescent="0.25">
      <c r="A308383" s="1"/>
    </row>
    <row r="308384" spans="1:1" x14ac:dyDescent="0.25">
      <c r="A308384" s="1"/>
    </row>
    <row r="308385" spans="1:1" x14ac:dyDescent="0.25">
      <c r="A308385" s="1"/>
    </row>
    <row r="308386" spans="1:1" x14ac:dyDescent="0.25">
      <c r="A308386" s="1"/>
    </row>
    <row r="308387" spans="1:1" x14ac:dyDescent="0.25">
      <c r="A308387" s="1"/>
    </row>
    <row r="308388" spans="1:1" x14ac:dyDescent="0.25">
      <c r="A308388" s="1"/>
    </row>
    <row r="308389" spans="1:1" x14ac:dyDescent="0.25">
      <c r="A308389" s="1"/>
    </row>
    <row r="308390" spans="1:1" x14ac:dyDescent="0.25">
      <c r="A308390" s="1"/>
    </row>
    <row r="308391" spans="1:1" x14ac:dyDescent="0.25">
      <c r="A308391" s="1"/>
    </row>
    <row r="308392" spans="1:1" x14ac:dyDescent="0.25">
      <c r="A308392" s="1"/>
    </row>
    <row r="308393" spans="1:1" x14ac:dyDescent="0.25">
      <c r="A308393" s="1"/>
    </row>
    <row r="308394" spans="1:1" x14ac:dyDescent="0.25">
      <c r="A308394" s="1"/>
    </row>
    <row r="308395" spans="1:1" x14ac:dyDescent="0.25">
      <c r="A308395" s="1"/>
    </row>
    <row r="308396" spans="1:1" x14ac:dyDescent="0.25">
      <c r="A308396" s="1"/>
    </row>
    <row r="308397" spans="1:1" x14ac:dyDescent="0.25">
      <c r="A308397" s="1"/>
    </row>
    <row r="308398" spans="1:1" x14ac:dyDescent="0.25">
      <c r="A308398" s="1"/>
    </row>
    <row r="308399" spans="1:1" x14ac:dyDescent="0.25">
      <c r="A308399" s="1"/>
    </row>
    <row r="308400" spans="1:1" x14ac:dyDescent="0.25">
      <c r="A308400" s="1"/>
    </row>
    <row r="308401" spans="1:1" x14ac:dyDescent="0.25">
      <c r="A308401" s="1"/>
    </row>
    <row r="308402" spans="1:1" x14ac:dyDescent="0.25">
      <c r="A308402" s="1"/>
    </row>
    <row r="308403" spans="1:1" x14ac:dyDescent="0.25">
      <c r="A308403" s="1"/>
    </row>
    <row r="308404" spans="1:1" x14ac:dyDescent="0.25">
      <c r="A308404" s="1"/>
    </row>
    <row r="308405" spans="1:1" x14ac:dyDescent="0.25">
      <c r="A308405" s="1"/>
    </row>
    <row r="308406" spans="1:1" x14ac:dyDescent="0.25">
      <c r="A308406" s="1"/>
    </row>
    <row r="308407" spans="1:1" x14ac:dyDescent="0.25">
      <c r="A308407" s="1"/>
    </row>
    <row r="308408" spans="1:1" x14ac:dyDescent="0.25">
      <c r="A308408" s="1"/>
    </row>
    <row r="308409" spans="1:1" x14ac:dyDescent="0.25">
      <c r="A308409" s="1"/>
    </row>
    <row r="308410" spans="1:1" x14ac:dyDescent="0.25">
      <c r="A308410" s="1"/>
    </row>
    <row r="308411" spans="1:1" x14ac:dyDescent="0.25">
      <c r="A308411" s="1"/>
    </row>
    <row r="308412" spans="1:1" x14ac:dyDescent="0.25">
      <c r="A308412" s="1"/>
    </row>
    <row r="308413" spans="1:1" x14ac:dyDescent="0.25">
      <c r="A308413" s="1"/>
    </row>
    <row r="308414" spans="1:1" x14ac:dyDescent="0.25">
      <c r="A308414" s="1"/>
    </row>
    <row r="308415" spans="1:1" x14ac:dyDescent="0.25">
      <c r="A308415" s="1"/>
    </row>
    <row r="308416" spans="1:1" x14ac:dyDescent="0.25">
      <c r="A308416" s="1"/>
    </row>
    <row r="308417" spans="1:1" x14ac:dyDescent="0.25">
      <c r="A308417" s="1"/>
    </row>
    <row r="308418" spans="1:1" x14ac:dyDescent="0.25">
      <c r="A308418" s="1"/>
    </row>
    <row r="308419" spans="1:1" x14ac:dyDescent="0.25">
      <c r="A308419" s="1"/>
    </row>
    <row r="308420" spans="1:1" x14ac:dyDescent="0.25">
      <c r="A308420" s="1"/>
    </row>
    <row r="308421" spans="1:1" x14ac:dyDescent="0.25">
      <c r="A308421" s="1"/>
    </row>
    <row r="308422" spans="1:1" x14ac:dyDescent="0.25">
      <c r="A308422" s="1"/>
    </row>
    <row r="308423" spans="1:1" x14ac:dyDescent="0.25">
      <c r="A308423" s="1"/>
    </row>
    <row r="308424" spans="1:1" x14ac:dyDescent="0.25">
      <c r="A308424" s="1"/>
    </row>
    <row r="308425" spans="1:1" x14ac:dyDescent="0.25">
      <c r="A308425" s="1"/>
    </row>
    <row r="308426" spans="1:1" x14ac:dyDescent="0.25">
      <c r="A308426" s="1"/>
    </row>
    <row r="308427" spans="1:1" x14ac:dyDescent="0.25">
      <c r="A308427" s="1"/>
    </row>
    <row r="308428" spans="1:1" x14ac:dyDescent="0.25">
      <c r="A308428" s="1"/>
    </row>
    <row r="308429" spans="1:1" x14ac:dyDescent="0.25">
      <c r="A308429" s="1"/>
    </row>
    <row r="308430" spans="1:1" x14ac:dyDescent="0.25">
      <c r="A308430" s="1"/>
    </row>
    <row r="308431" spans="1:1" x14ac:dyDescent="0.25">
      <c r="A308431" s="1"/>
    </row>
    <row r="308432" spans="1:1" x14ac:dyDescent="0.25">
      <c r="A308432" s="1"/>
    </row>
    <row r="308433" spans="1:1" x14ac:dyDescent="0.25">
      <c r="A308433" s="1"/>
    </row>
    <row r="308434" spans="1:1" x14ac:dyDescent="0.25">
      <c r="A308434" s="1"/>
    </row>
    <row r="308435" spans="1:1" x14ac:dyDescent="0.25">
      <c r="A308435" s="1"/>
    </row>
    <row r="308436" spans="1:1" x14ac:dyDescent="0.25">
      <c r="A308436" s="1"/>
    </row>
    <row r="308437" spans="1:1" x14ac:dyDescent="0.25">
      <c r="A308437" s="1"/>
    </row>
    <row r="308438" spans="1:1" x14ac:dyDescent="0.25">
      <c r="A308438" s="1"/>
    </row>
    <row r="308439" spans="1:1" x14ac:dyDescent="0.25">
      <c r="A308439" s="1"/>
    </row>
    <row r="308440" spans="1:1" x14ac:dyDescent="0.25">
      <c r="A308440" s="1"/>
    </row>
    <row r="308441" spans="1:1" x14ac:dyDescent="0.25">
      <c r="A308441" s="1"/>
    </row>
    <row r="308442" spans="1:1" x14ac:dyDescent="0.25">
      <c r="A308442" s="1"/>
    </row>
    <row r="308443" spans="1:1" x14ac:dyDescent="0.25">
      <c r="A308443" s="1"/>
    </row>
    <row r="308444" spans="1:1" x14ac:dyDescent="0.25">
      <c r="A308444" s="1"/>
    </row>
    <row r="308445" spans="1:1" x14ac:dyDescent="0.25">
      <c r="A308445" s="1"/>
    </row>
    <row r="308446" spans="1:1" x14ac:dyDescent="0.25">
      <c r="A308446" s="1"/>
    </row>
    <row r="308447" spans="1:1" x14ac:dyDescent="0.25">
      <c r="A308447" s="1"/>
    </row>
    <row r="308448" spans="1:1" x14ac:dyDescent="0.25">
      <c r="A308448" s="1"/>
    </row>
    <row r="308449" spans="1:1" x14ac:dyDescent="0.25">
      <c r="A308449" s="1"/>
    </row>
    <row r="308450" spans="1:1" x14ac:dyDescent="0.25">
      <c r="A308450" s="1"/>
    </row>
    <row r="308451" spans="1:1" x14ac:dyDescent="0.25">
      <c r="A308451" s="1"/>
    </row>
    <row r="308452" spans="1:1" x14ac:dyDescent="0.25">
      <c r="A308452" s="1"/>
    </row>
    <row r="308453" spans="1:1" x14ac:dyDescent="0.25">
      <c r="A308453" s="1"/>
    </row>
    <row r="308454" spans="1:1" x14ac:dyDescent="0.25">
      <c r="A308454" s="1"/>
    </row>
    <row r="308455" spans="1:1" x14ac:dyDescent="0.25">
      <c r="A308455" s="1"/>
    </row>
    <row r="308456" spans="1:1" x14ac:dyDescent="0.25">
      <c r="A308456" s="1"/>
    </row>
    <row r="308457" spans="1:1" x14ac:dyDescent="0.25">
      <c r="A308457" s="1"/>
    </row>
    <row r="308458" spans="1:1" x14ac:dyDescent="0.25">
      <c r="A308458" s="1"/>
    </row>
    <row r="308459" spans="1:1" x14ac:dyDescent="0.25">
      <c r="A308459" s="1"/>
    </row>
    <row r="308460" spans="1:1" x14ac:dyDescent="0.25">
      <c r="A308460" s="1"/>
    </row>
    <row r="308461" spans="1:1" x14ac:dyDescent="0.25">
      <c r="A308461" s="1"/>
    </row>
    <row r="308462" spans="1:1" x14ac:dyDescent="0.25">
      <c r="A308462" s="1"/>
    </row>
    <row r="308463" spans="1:1" x14ac:dyDescent="0.25">
      <c r="A308463" s="1"/>
    </row>
    <row r="308464" spans="1:1" x14ac:dyDescent="0.25">
      <c r="A308464" s="1"/>
    </row>
    <row r="308465" spans="1:1" x14ac:dyDescent="0.25">
      <c r="A308465" s="1"/>
    </row>
    <row r="308466" spans="1:1" x14ac:dyDescent="0.25">
      <c r="A308466" s="1"/>
    </row>
    <row r="308467" spans="1:1" x14ac:dyDescent="0.25">
      <c r="A308467" s="1"/>
    </row>
    <row r="308468" spans="1:1" x14ac:dyDescent="0.25">
      <c r="A308468" s="1"/>
    </row>
    <row r="308469" spans="1:1" x14ac:dyDescent="0.25">
      <c r="A308469" s="1"/>
    </row>
    <row r="308470" spans="1:1" x14ac:dyDescent="0.25">
      <c r="A308470" s="1"/>
    </row>
    <row r="308471" spans="1:1" x14ac:dyDescent="0.25">
      <c r="A308471" s="1"/>
    </row>
    <row r="308472" spans="1:1" x14ac:dyDescent="0.25">
      <c r="A308472" s="1"/>
    </row>
    <row r="308473" spans="1:1" x14ac:dyDescent="0.25">
      <c r="A308473" s="1"/>
    </row>
    <row r="308474" spans="1:1" x14ac:dyDescent="0.25">
      <c r="A308474" s="1"/>
    </row>
    <row r="308475" spans="1:1" x14ac:dyDescent="0.25">
      <c r="A308475" s="1"/>
    </row>
    <row r="308476" spans="1:1" x14ac:dyDescent="0.25">
      <c r="A308476" s="1"/>
    </row>
    <row r="308477" spans="1:1" x14ac:dyDescent="0.25">
      <c r="A308477" s="1"/>
    </row>
    <row r="308478" spans="1:1" x14ac:dyDescent="0.25">
      <c r="A308478" s="1"/>
    </row>
    <row r="308479" spans="1:1" x14ac:dyDescent="0.25">
      <c r="A308479" s="1"/>
    </row>
    <row r="308480" spans="1:1" x14ac:dyDescent="0.25">
      <c r="A308480" s="1"/>
    </row>
    <row r="308481" spans="1:1" x14ac:dyDescent="0.25">
      <c r="A308481" s="1"/>
    </row>
    <row r="308482" spans="1:1" x14ac:dyDescent="0.25">
      <c r="A308482" s="1"/>
    </row>
    <row r="308483" spans="1:1" x14ac:dyDescent="0.25">
      <c r="A308483" s="1"/>
    </row>
    <row r="308484" spans="1:1" x14ac:dyDescent="0.25">
      <c r="A308484" s="1"/>
    </row>
    <row r="308485" spans="1:1" x14ac:dyDescent="0.25">
      <c r="A308485" s="1"/>
    </row>
    <row r="308486" spans="1:1" x14ac:dyDescent="0.25">
      <c r="A308486" s="1"/>
    </row>
    <row r="308487" spans="1:1" x14ac:dyDescent="0.25">
      <c r="A308487" s="1"/>
    </row>
    <row r="308488" spans="1:1" x14ac:dyDescent="0.25">
      <c r="A308488" s="1"/>
    </row>
    <row r="308489" spans="1:1" x14ac:dyDescent="0.25">
      <c r="A308489" s="1"/>
    </row>
    <row r="308490" spans="1:1" x14ac:dyDescent="0.25">
      <c r="A308490" s="1"/>
    </row>
    <row r="308491" spans="1:1" x14ac:dyDescent="0.25">
      <c r="A308491" s="1"/>
    </row>
    <row r="308492" spans="1:1" x14ac:dyDescent="0.25">
      <c r="A308492" s="1"/>
    </row>
    <row r="308493" spans="1:1" x14ac:dyDescent="0.25">
      <c r="A308493" s="1"/>
    </row>
    <row r="308494" spans="1:1" x14ac:dyDescent="0.25">
      <c r="A308494" s="1"/>
    </row>
    <row r="308495" spans="1:1" x14ac:dyDescent="0.25">
      <c r="A308495" s="1"/>
    </row>
    <row r="308496" spans="1:1" x14ac:dyDescent="0.25">
      <c r="A308496" s="1"/>
    </row>
    <row r="308497" spans="1:1" x14ac:dyDescent="0.25">
      <c r="A308497" s="1"/>
    </row>
    <row r="308498" spans="1:1" x14ac:dyDescent="0.25">
      <c r="A308498" s="1"/>
    </row>
    <row r="308499" spans="1:1" x14ac:dyDescent="0.25">
      <c r="A308499" s="1"/>
    </row>
    <row r="308500" spans="1:1" x14ac:dyDescent="0.25">
      <c r="A308500" s="1"/>
    </row>
    <row r="308501" spans="1:1" x14ac:dyDescent="0.25">
      <c r="A308501" s="1"/>
    </row>
    <row r="308502" spans="1:1" x14ac:dyDescent="0.25">
      <c r="A308502" s="1"/>
    </row>
    <row r="308503" spans="1:1" x14ac:dyDescent="0.25">
      <c r="A308503" s="1"/>
    </row>
    <row r="308504" spans="1:1" x14ac:dyDescent="0.25">
      <c r="A308504" s="1"/>
    </row>
    <row r="308505" spans="1:1" x14ac:dyDescent="0.25">
      <c r="A308505" s="1"/>
    </row>
    <row r="308506" spans="1:1" x14ac:dyDescent="0.25">
      <c r="A308506" s="1"/>
    </row>
    <row r="308507" spans="1:1" x14ac:dyDescent="0.25">
      <c r="A308507" s="1"/>
    </row>
    <row r="308508" spans="1:1" x14ac:dyDescent="0.25">
      <c r="A308508" s="1"/>
    </row>
    <row r="308509" spans="1:1" x14ac:dyDescent="0.25">
      <c r="A308509" s="1"/>
    </row>
    <row r="308510" spans="1:1" x14ac:dyDescent="0.25">
      <c r="A308510" s="1"/>
    </row>
    <row r="308511" spans="1:1" x14ac:dyDescent="0.25">
      <c r="A308511" s="1"/>
    </row>
    <row r="308512" spans="1:1" x14ac:dyDescent="0.25">
      <c r="A308512" s="1"/>
    </row>
    <row r="308513" spans="1:1" x14ac:dyDescent="0.25">
      <c r="A308513" s="1"/>
    </row>
    <row r="308514" spans="1:1" x14ac:dyDescent="0.25">
      <c r="A308514" s="1"/>
    </row>
    <row r="308515" spans="1:1" x14ac:dyDescent="0.25">
      <c r="A308515" s="1"/>
    </row>
    <row r="308516" spans="1:1" x14ac:dyDescent="0.25">
      <c r="A308516" s="1"/>
    </row>
    <row r="308517" spans="1:1" x14ac:dyDescent="0.25">
      <c r="A308517" s="1"/>
    </row>
    <row r="308518" spans="1:1" x14ac:dyDescent="0.25">
      <c r="A308518" s="1"/>
    </row>
    <row r="308519" spans="1:1" x14ac:dyDescent="0.25">
      <c r="A308519" s="1"/>
    </row>
    <row r="308520" spans="1:1" x14ac:dyDescent="0.25">
      <c r="A308520" s="1"/>
    </row>
    <row r="308521" spans="1:1" x14ac:dyDescent="0.25">
      <c r="A308521" s="1"/>
    </row>
    <row r="308522" spans="1:1" x14ac:dyDescent="0.25">
      <c r="A308522" s="1"/>
    </row>
    <row r="308523" spans="1:1" x14ac:dyDescent="0.25">
      <c r="A308523" s="1"/>
    </row>
    <row r="308524" spans="1:1" x14ac:dyDescent="0.25">
      <c r="A308524" s="1"/>
    </row>
    <row r="308525" spans="1:1" x14ac:dyDescent="0.25">
      <c r="A308525" s="1"/>
    </row>
    <row r="308526" spans="1:1" x14ac:dyDescent="0.25">
      <c r="A308526" s="1"/>
    </row>
    <row r="308527" spans="1:1" x14ac:dyDescent="0.25">
      <c r="A308527" s="1"/>
    </row>
    <row r="308528" spans="1:1" x14ac:dyDescent="0.25">
      <c r="A308528" s="1"/>
    </row>
    <row r="308529" spans="1:1" x14ac:dyDescent="0.25">
      <c r="A308529" s="1"/>
    </row>
    <row r="308530" spans="1:1" x14ac:dyDescent="0.25">
      <c r="A308530" s="1"/>
    </row>
    <row r="308531" spans="1:1" x14ac:dyDescent="0.25">
      <c r="A308531" s="1"/>
    </row>
    <row r="308532" spans="1:1" x14ac:dyDescent="0.25">
      <c r="A308532" s="1"/>
    </row>
    <row r="308533" spans="1:1" x14ac:dyDescent="0.25">
      <c r="A308533" s="1"/>
    </row>
    <row r="308534" spans="1:1" x14ac:dyDescent="0.25">
      <c r="A308534" s="1"/>
    </row>
    <row r="308535" spans="1:1" x14ac:dyDescent="0.25">
      <c r="A308535" s="1"/>
    </row>
    <row r="308536" spans="1:1" x14ac:dyDescent="0.25">
      <c r="A308536" s="1"/>
    </row>
    <row r="308537" spans="1:1" x14ac:dyDescent="0.25">
      <c r="A308537" s="1"/>
    </row>
    <row r="308538" spans="1:1" x14ac:dyDescent="0.25">
      <c r="A308538" s="1"/>
    </row>
    <row r="308539" spans="1:1" x14ac:dyDescent="0.25">
      <c r="A308539" s="1"/>
    </row>
    <row r="308540" spans="1:1" x14ac:dyDescent="0.25">
      <c r="A308540" s="1"/>
    </row>
    <row r="308541" spans="1:1" x14ac:dyDescent="0.25">
      <c r="A308541" s="1"/>
    </row>
    <row r="308542" spans="1:1" x14ac:dyDescent="0.25">
      <c r="A308542" s="1"/>
    </row>
    <row r="308543" spans="1:1" x14ac:dyDescent="0.25">
      <c r="A308543" s="1"/>
    </row>
    <row r="308544" spans="1:1" x14ac:dyDescent="0.25">
      <c r="A308544" s="1"/>
    </row>
    <row r="308545" spans="1:1" x14ac:dyDescent="0.25">
      <c r="A308545" s="1"/>
    </row>
    <row r="308546" spans="1:1" x14ac:dyDescent="0.25">
      <c r="A308546" s="1"/>
    </row>
    <row r="308547" spans="1:1" x14ac:dyDescent="0.25">
      <c r="A308547" s="1"/>
    </row>
    <row r="308548" spans="1:1" x14ac:dyDescent="0.25">
      <c r="A308548" s="1"/>
    </row>
    <row r="308549" spans="1:1" x14ac:dyDescent="0.25">
      <c r="A308549" s="1"/>
    </row>
    <row r="308550" spans="1:1" x14ac:dyDescent="0.25">
      <c r="A308550" s="1"/>
    </row>
    <row r="308551" spans="1:1" x14ac:dyDescent="0.25">
      <c r="A308551" s="1"/>
    </row>
    <row r="308552" spans="1:1" x14ac:dyDescent="0.25">
      <c r="A308552" s="1"/>
    </row>
    <row r="308553" spans="1:1" x14ac:dyDescent="0.25">
      <c r="A308553" s="1"/>
    </row>
    <row r="308554" spans="1:1" x14ac:dyDescent="0.25">
      <c r="A308554" s="1"/>
    </row>
    <row r="308555" spans="1:1" x14ac:dyDescent="0.25">
      <c r="A308555" s="1"/>
    </row>
    <row r="308556" spans="1:1" x14ac:dyDescent="0.25">
      <c r="A308556" s="1"/>
    </row>
    <row r="308557" spans="1:1" x14ac:dyDescent="0.25">
      <c r="A308557" s="1"/>
    </row>
    <row r="308558" spans="1:1" x14ac:dyDescent="0.25">
      <c r="A308558" s="1"/>
    </row>
    <row r="308559" spans="1:1" x14ac:dyDescent="0.25">
      <c r="A308559" s="1"/>
    </row>
    <row r="308560" spans="1:1" x14ac:dyDescent="0.25">
      <c r="A308560" s="1"/>
    </row>
    <row r="308561" spans="1:1" x14ac:dyDescent="0.25">
      <c r="A308561" s="1"/>
    </row>
    <row r="308562" spans="1:1" x14ac:dyDescent="0.25">
      <c r="A308562" s="1"/>
    </row>
    <row r="308563" spans="1:1" x14ac:dyDescent="0.25">
      <c r="A308563" s="1"/>
    </row>
    <row r="308564" spans="1:1" x14ac:dyDescent="0.25">
      <c r="A308564" s="1"/>
    </row>
    <row r="308565" spans="1:1" x14ac:dyDescent="0.25">
      <c r="A308565" s="1"/>
    </row>
    <row r="308566" spans="1:1" x14ac:dyDescent="0.25">
      <c r="A308566" s="1"/>
    </row>
    <row r="308567" spans="1:1" x14ac:dyDescent="0.25">
      <c r="A308567" s="1"/>
    </row>
    <row r="308568" spans="1:1" x14ac:dyDescent="0.25">
      <c r="A308568" s="1"/>
    </row>
    <row r="308569" spans="1:1" x14ac:dyDescent="0.25">
      <c r="A308569" s="1"/>
    </row>
    <row r="308570" spans="1:1" x14ac:dyDescent="0.25">
      <c r="A308570" s="1"/>
    </row>
    <row r="308571" spans="1:1" x14ac:dyDescent="0.25">
      <c r="A308571" s="1"/>
    </row>
    <row r="308572" spans="1:1" x14ac:dyDescent="0.25">
      <c r="A308572" s="1"/>
    </row>
    <row r="308573" spans="1:1" x14ac:dyDescent="0.25">
      <c r="A308573" s="1"/>
    </row>
    <row r="308574" spans="1:1" x14ac:dyDescent="0.25">
      <c r="A308574" s="1"/>
    </row>
    <row r="308575" spans="1:1" x14ac:dyDescent="0.25">
      <c r="A308575" s="1"/>
    </row>
    <row r="308576" spans="1:1" x14ac:dyDescent="0.25">
      <c r="A308576" s="1"/>
    </row>
    <row r="308577" spans="1:1" x14ac:dyDescent="0.25">
      <c r="A308577" s="1"/>
    </row>
    <row r="308578" spans="1:1" x14ac:dyDescent="0.25">
      <c r="A308578" s="1"/>
    </row>
    <row r="308579" spans="1:1" x14ac:dyDescent="0.25">
      <c r="A308579" s="1"/>
    </row>
    <row r="308580" spans="1:1" x14ac:dyDescent="0.25">
      <c r="A308580" s="1"/>
    </row>
    <row r="308581" spans="1:1" x14ac:dyDescent="0.25">
      <c r="A308581" s="1"/>
    </row>
    <row r="308582" spans="1:1" x14ac:dyDescent="0.25">
      <c r="A308582" s="1"/>
    </row>
    <row r="308583" spans="1:1" x14ac:dyDescent="0.25">
      <c r="A308583" s="1"/>
    </row>
    <row r="308584" spans="1:1" x14ac:dyDescent="0.25">
      <c r="A308584" s="1"/>
    </row>
    <row r="308585" spans="1:1" x14ac:dyDescent="0.25">
      <c r="A308585" s="1"/>
    </row>
    <row r="308586" spans="1:1" x14ac:dyDescent="0.25">
      <c r="A308586" s="1"/>
    </row>
    <row r="308587" spans="1:1" x14ac:dyDescent="0.25">
      <c r="A308587" s="1"/>
    </row>
    <row r="308588" spans="1:1" x14ac:dyDescent="0.25">
      <c r="A308588" s="1"/>
    </row>
    <row r="308589" spans="1:1" x14ac:dyDescent="0.25">
      <c r="A308589" s="1"/>
    </row>
    <row r="308590" spans="1:1" x14ac:dyDescent="0.25">
      <c r="A308590" s="1"/>
    </row>
    <row r="308591" spans="1:1" x14ac:dyDescent="0.25">
      <c r="A308591" s="1"/>
    </row>
    <row r="308592" spans="1:1" x14ac:dyDescent="0.25">
      <c r="A308592" s="1"/>
    </row>
    <row r="308593" spans="1:1" x14ac:dyDescent="0.25">
      <c r="A308593" s="1"/>
    </row>
    <row r="308594" spans="1:1" x14ac:dyDescent="0.25">
      <c r="A308594" s="1"/>
    </row>
    <row r="308595" spans="1:1" x14ac:dyDescent="0.25">
      <c r="A308595" s="1"/>
    </row>
    <row r="308596" spans="1:1" x14ac:dyDescent="0.25">
      <c r="A308596" s="1"/>
    </row>
    <row r="308597" spans="1:1" x14ac:dyDescent="0.25">
      <c r="A308597" s="1"/>
    </row>
    <row r="308598" spans="1:1" x14ac:dyDescent="0.25">
      <c r="A308598" s="1"/>
    </row>
    <row r="308599" spans="1:1" x14ac:dyDescent="0.25">
      <c r="A308599" s="1"/>
    </row>
    <row r="308600" spans="1:1" x14ac:dyDescent="0.25">
      <c r="A308600" s="1"/>
    </row>
    <row r="308601" spans="1:1" x14ac:dyDescent="0.25">
      <c r="A308601" s="1"/>
    </row>
    <row r="308602" spans="1:1" x14ac:dyDescent="0.25">
      <c r="A308602" s="1"/>
    </row>
    <row r="308603" spans="1:1" x14ac:dyDescent="0.25">
      <c r="A308603" s="1"/>
    </row>
    <row r="308604" spans="1:1" x14ac:dyDescent="0.25">
      <c r="A308604" s="1"/>
    </row>
    <row r="308605" spans="1:1" x14ac:dyDescent="0.25">
      <c r="A308605" s="1"/>
    </row>
    <row r="308606" spans="1:1" x14ac:dyDescent="0.25">
      <c r="A308606" s="1"/>
    </row>
    <row r="308607" spans="1:1" x14ac:dyDescent="0.25">
      <c r="A308607" s="1"/>
    </row>
    <row r="308608" spans="1:1" x14ac:dyDescent="0.25">
      <c r="A308608" s="1"/>
    </row>
    <row r="308609" spans="1:1" x14ac:dyDescent="0.25">
      <c r="A308609" s="1"/>
    </row>
    <row r="308610" spans="1:1" x14ac:dyDescent="0.25">
      <c r="A308610" s="1"/>
    </row>
    <row r="308611" spans="1:1" x14ac:dyDescent="0.25">
      <c r="A308611" s="1"/>
    </row>
    <row r="308612" spans="1:1" x14ac:dyDescent="0.25">
      <c r="A308612" s="1"/>
    </row>
    <row r="308613" spans="1:1" x14ac:dyDescent="0.25">
      <c r="A308613" s="1"/>
    </row>
    <row r="308614" spans="1:1" x14ac:dyDescent="0.25">
      <c r="A308614" s="1"/>
    </row>
    <row r="308615" spans="1:1" x14ac:dyDescent="0.25">
      <c r="A308615" s="1"/>
    </row>
    <row r="308616" spans="1:1" x14ac:dyDescent="0.25">
      <c r="A308616" s="1"/>
    </row>
    <row r="308617" spans="1:1" x14ac:dyDescent="0.25">
      <c r="A308617" s="1"/>
    </row>
    <row r="308618" spans="1:1" x14ac:dyDescent="0.25">
      <c r="A308618" s="1"/>
    </row>
    <row r="308619" spans="1:1" x14ac:dyDescent="0.25">
      <c r="A308619" s="1"/>
    </row>
    <row r="308620" spans="1:1" x14ac:dyDescent="0.25">
      <c r="A308620" s="1"/>
    </row>
    <row r="308621" spans="1:1" x14ac:dyDescent="0.25">
      <c r="A308621" s="1"/>
    </row>
    <row r="308622" spans="1:1" x14ac:dyDescent="0.25">
      <c r="A308622" s="1"/>
    </row>
    <row r="308623" spans="1:1" x14ac:dyDescent="0.25">
      <c r="A308623" s="1"/>
    </row>
    <row r="308624" spans="1:1" x14ac:dyDescent="0.25">
      <c r="A308624" s="1"/>
    </row>
    <row r="308625" spans="1:1" x14ac:dyDescent="0.25">
      <c r="A308625" s="1"/>
    </row>
    <row r="308626" spans="1:1" x14ac:dyDescent="0.25">
      <c r="A308626" s="1"/>
    </row>
    <row r="308627" spans="1:1" x14ac:dyDescent="0.25">
      <c r="A308627" s="1"/>
    </row>
    <row r="308628" spans="1:1" x14ac:dyDescent="0.25">
      <c r="A308628" s="1"/>
    </row>
    <row r="308629" spans="1:1" x14ac:dyDescent="0.25">
      <c r="A308629" s="1"/>
    </row>
    <row r="308630" spans="1:1" x14ac:dyDescent="0.25">
      <c r="A308630" s="1"/>
    </row>
    <row r="308631" spans="1:1" x14ac:dyDescent="0.25">
      <c r="A308631" s="1"/>
    </row>
    <row r="308632" spans="1:1" x14ac:dyDescent="0.25">
      <c r="A308632" s="1"/>
    </row>
    <row r="308633" spans="1:1" x14ac:dyDescent="0.25">
      <c r="A308633" s="1"/>
    </row>
    <row r="308634" spans="1:1" x14ac:dyDescent="0.25">
      <c r="A308634" s="1"/>
    </row>
    <row r="308635" spans="1:1" x14ac:dyDescent="0.25">
      <c r="A308635" s="1"/>
    </row>
    <row r="308636" spans="1:1" x14ac:dyDescent="0.25">
      <c r="A308636" s="1"/>
    </row>
    <row r="308637" spans="1:1" x14ac:dyDescent="0.25">
      <c r="A308637" s="1"/>
    </row>
    <row r="308638" spans="1:1" x14ac:dyDescent="0.25">
      <c r="A308638" s="1"/>
    </row>
    <row r="308639" spans="1:1" x14ac:dyDescent="0.25">
      <c r="A308639" s="1"/>
    </row>
    <row r="308640" spans="1:1" x14ac:dyDescent="0.25">
      <c r="A308640" s="1"/>
    </row>
    <row r="308641" spans="1:1" x14ac:dyDescent="0.25">
      <c r="A308641" s="1"/>
    </row>
    <row r="308642" spans="1:1" x14ac:dyDescent="0.25">
      <c r="A308642" s="1"/>
    </row>
    <row r="308643" spans="1:1" x14ac:dyDescent="0.25">
      <c r="A308643" s="1"/>
    </row>
    <row r="308644" spans="1:1" x14ac:dyDescent="0.25">
      <c r="A308644" s="1"/>
    </row>
    <row r="308645" spans="1:1" x14ac:dyDescent="0.25">
      <c r="A308645" s="1"/>
    </row>
    <row r="308646" spans="1:1" x14ac:dyDescent="0.25">
      <c r="A308646" s="1"/>
    </row>
    <row r="308647" spans="1:1" x14ac:dyDescent="0.25">
      <c r="A308647" s="1"/>
    </row>
    <row r="308648" spans="1:1" x14ac:dyDescent="0.25">
      <c r="A308648" s="1"/>
    </row>
    <row r="308649" spans="1:1" x14ac:dyDescent="0.25">
      <c r="A308649" s="1"/>
    </row>
    <row r="308650" spans="1:1" x14ac:dyDescent="0.25">
      <c r="A308650" s="1"/>
    </row>
    <row r="308651" spans="1:1" x14ac:dyDescent="0.25">
      <c r="A308651" s="1"/>
    </row>
    <row r="308652" spans="1:1" x14ac:dyDescent="0.25">
      <c r="A308652" s="1"/>
    </row>
    <row r="308653" spans="1:1" x14ac:dyDescent="0.25">
      <c r="A308653" s="1"/>
    </row>
    <row r="308654" spans="1:1" x14ac:dyDescent="0.25">
      <c r="A308654" s="1"/>
    </row>
    <row r="308655" spans="1:1" x14ac:dyDescent="0.25">
      <c r="A308655" s="1"/>
    </row>
    <row r="308656" spans="1:1" x14ac:dyDescent="0.25">
      <c r="A308656" s="1"/>
    </row>
    <row r="308657" spans="1:1" x14ac:dyDescent="0.25">
      <c r="A308657" s="1"/>
    </row>
    <row r="308658" spans="1:1" x14ac:dyDescent="0.25">
      <c r="A308658" s="1"/>
    </row>
    <row r="308659" spans="1:1" x14ac:dyDescent="0.25">
      <c r="A308659" s="1"/>
    </row>
    <row r="308660" spans="1:1" x14ac:dyDescent="0.25">
      <c r="A308660" s="1"/>
    </row>
    <row r="308661" spans="1:1" x14ac:dyDescent="0.25">
      <c r="A308661" s="1"/>
    </row>
    <row r="308662" spans="1:1" x14ac:dyDescent="0.25">
      <c r="A308662" s="1"/>
    </row>
    <row r="308663" spans="1:1" x14ac:dyDescent="0.25">
      <c r="A308663" s="1"/>
    </row>
    <row r="308664" spans="1:1" x14ac:dyDescent="0.25">
      <c r="A308664" s="1"/>
    </row>
    <row r="308665" spans="1:1" x14ac:dyDescent="0.25">
      <c r="A308665" s="1"/>
    </row>
    <row r="308666" spans="1:1" x14ac:dyDescent="0.25">
      <c r="A308666" s="1"/>
    </row>
    <row r="308667" spans="1:1" x14ac:dyDescent="0.25">
      <c r="A308667" s="1"/>
    </row>
    <row r="308668" spans="1:1" x14ac:dyDescent="0.25">
      <c r="A308668" s="1"/>
    </row>
    <row r="308669" spans="1:1" x14ac:dyDescent="0.25">
      <c r="A308669" s="1"/>
    </row>
    <row r="308670" spans="1:1" x14ac:dyDescent="0.25">
      <c r="A308670" s="1"/>
    </row>
    <row r="308671" spans="1:1" x14ac:dyDescent="0.25">
      <c r="A308671" s="1"/>
    </row>
    <row r="308672" spans="1:1" x14ac:dyDescent="0.25">
      <c r="A308672" s="1"/>
    </row>
    <row r="308673" spans="1:1" x14ac:dyDescent="0.25">
      <c r="A308673" s="1"/>
    </row>
    <row r="308674" spans="1:1" x14ac:dyDescent="0.25">
      <c r="A308674" s="1"/>
    </row>
    <row r="308675" spans="1:1" x14ac:dyDescent="0.25">
      <c r="A308675" s="1"/>
    </row>
    <row r="308676" spans="1:1" x14ac:dyDescent="0.25">
      <c r="A308676" s="1"/>
    </row>
    <row r="308677" spans="1:1" x14ac:dyDescent="0.25">
      <c r="A308677" s="1"/>
    </row>
    <row r="308678" spans="1:1" x14ac:dyDescent="0.25">
      <c r="A308678" s="1"/>
    </row>
    <row r="308679" spans="1:1" x14ac:dyDescent="0.25">
      <c r="A308679" s="1"/>
    </row>
    <row r="308680" spans="1:1" x14ac:dyDescent="0.25">
      <c r="A308680" s="1"/>
    </row>
    <row r="308681" spans="1:1" x14ac:dyDescent="0.25">
      <c r="A308681" s="1"/>
    </row>
    <row r="308682" spans="1:1" x14ac:dyDescent="0.25">
      <c r="A308682" s="1"/>
    </row>
    <row r="308683" spans="1:1" x14ac:dyDescent="0.25">
      <c r="A308683" s="1"/>
    </row>
    <row r="308684" spans="1:1" x14ac:dyDescent="0.25">
      <c r="A308684" s="1"/>
    </row>
    <row r="308685" spans="1:1" x14ac:dyDescent="0.25">
      <c r="A308685" s="1"/>
    </row>
    <row r="308686" spans="1:1" x14ac:dyDescent="0.25">
      <c r="A308686" s="1"/>
    </row>
    <row r="308687" spans="1:1" x14ac:dyDescent="0.25">
      <c r="A308687" s="1"/>
    </row>
    <row r="308688" spans="1:1" x14ac:dyDescent="0.25">
      <c r="A308688" s="1"/>
    </row>
    <row r="308689" spans="1:1" x14ac:dyDescent="0.25">
      <c r="A308689" s="1"/>
    </row>
    <row r="308690" spans="1:1" x14ac:dyDescent="0.25">
      <c r="A308690" s="1"/>
    </row>
    <row r="308691" spans="1:1" x14ac:dyDescent="0.25">
      <c r="A308691" s="1"/>
    </row>
    <row r="308692" spans="1:1" x14ac:dyDescent="0.25">
      <c r="A308692" s="1"/>
    </row>
    <row r="308693" spans="1:1" x14ac:dyDescent="0.25">
      <c r="A308693" s="1"/>
    </row>
    <row r="308694" spans="1:1" x14ac:dyDescent="0.25">
      <c r="A308694" s="1"/>
    </row>
    <row r="308695" spans="1:1" x14ac:dyDescent="0.25">
      <c r="A308695" s="1"/>
    </row>
    <row r="308696" spans="1:1" x14ac:dyDescent="0.25">
      <c r="A308696" s="1"/>
    </row>
    <row r="308697" spans="1:1" x14ac:dyDescent="0.25">
      <c r="A308697" s="1"/>
    </row>
    <row r="308698" spans="1:1" x14ac:dyDescent="0.25">
      <c r="A308698" s="1"/>
    </row>
    <row r="308699" spans="1:1" x14ac:dyDescent="0.25">
      <c r="A308699" s="1"/>
    </row>
    <row r="308700" spans="1:1" x14ac:dyDescent="0.25">
      <c r="A308700" s="1"/>
    </row>
    <row r="308701" spans="1:1" x14ac:dyDescent="0.25">
      <c r="A308701" s="1"/>
    </row>
    <row r="308702" spans="1:1" x14ac:dyDescent="0.25">
      <c r="A308702" s="1"/>
    </row>
    <row r="308703" spans="1:1" x14ac:dyDescent="0.25">
      <c r="A308703" s="1"/>
    </row>
    <row r="308704" spans="1:1" x14ac:dyDescent="0.25">
      <c r="A308704" s="1"/>
    </row>
    <row r="308705" spans="1:1" x14ac:dyDescent="0.25">
      <c r="A308705" s="1"/>
    </row>
    <row r="308706" spans="1:1" x14ac:dyDescent="0.25">
      <c r="A308706" s="1"/>
    </row>
    <row r="308707" spans="1:1" x14ac:dyDescent="0.25">
      <c r="A308707" s="1"/>
    </row>
    <row r="308708" spans="1:1" x14ac:dyDescent="0.25">
      <c r="A308708" s="1"/>
    </row>
    <row r="308709" spans="1:1" x14ac:dyDescent="0.25">
      <c r="A308709" s="1"/>
    </row>
    <row r="308710" spans="1:1" x14ac:dyDescent="0.25">
      <c r="A308710" s="1"/>
    </row>
    <row r="308711" spans="1:1" x14ac:dyDescent="0.25">
      <c r="A308711" s="1"/>
    </row>
    <row r="308712" spans="1:1" x14ac:dyDescent="0.25">
      <c r="A308712" s="1"/>
    </row>
    <row r="308713" spans="1:1" x14ac:dyDescent="0.25">
      <c r="A308713" s="1"/>
    </row>
    <row r="308714" spans="1:1" x14ac:dyDescent="0.25">
      <c r="A308714" s="1"/>
    </row>
    <row r="308715" spans="1:1" x14ac:dyDescent="0.25">
      <c r="A308715" s="1"/>
    </row>
    <row r="308716" spans="1:1" x14ac:dyDescent="0.25">
      <c r="A308716" s="1"/>
    </row>
    <row r="308717" spans="1:1" x14ac:dyDescent="0.25">
      <c r="A308717" s="1"/>
    </row>
    <row r="308718" spans="1:1" x14ac:dyDescent="0.25">
      <c r="A308718" s="1"/>
    </row>
    <row r="308719" spans="1:1" x14ac:dyDescent="0.25">
      <c r="A308719" s="1"/>
    </row>
    <row r="308720" spans="1:1" x14ac:dyDescent="0.25">
      <c r="A308720" s="1"/>
    </row>
    <row r="308721" spans="1:1" x14ac:dyDescent="0.25">
      <c r="A308721" s="1"/>
    </row>
    <row r="308722" spans="1:1" x14ac:dyDescent="0.25">
      <c r="A308722" s="1"/>
    </row>
    <row r="308723" spans="1:1" x14ac:dyDescent="0.25">
      <c r="A308723" s="1"/>
    </row>
    <row r="308724" spans="1:1" x14ac:dyDescent="0.25">
      <c r="A308724" s="1"/>
    </row>
    <row r="308725" spans="1:1" x14ac:dyDescent="0.25">
      <c r="A308725" s="1"/>
    </row>
    <row r="308726" spans="1:1" x14ac:dyDescent="0.25">
      <c r="A308726" s="1"/>
    </row>
    <row r="308727" spans="1:1" x14ac:dyDescent="0.25">
      <c r="A308727" s="1"/>
    </row>
    <row r="308728" spans="1:1" x14ac:dyDescent="0.25">
      <c r="A308728" s="1"/>
    </row>
    <row r="308729" spans="1:1" x14ac:dyDescent="0.25">
      <c r="A308729" s="1"/>
    </row>
    <row r="308730" spans="1:1" x14ac:dyDescent="0.25">
      <c r="A308730" s="1"/>
    </row>
    <row r="308731" spans="1:1" x14ac:dyDescent="0.25">
      <c r="A308731" s="1"/>
    </row>
    <row r="308732" spans="1:1" x14ac:dyDescent="0.25">
      <c r="A308732" s="1"/>
    </row>
    <row r="308733" spans="1:1" x14ac:dyDescent="0.25">
      <c r="A308733" s="1"/>
    </row>
    <row r="308734" spans="1:1" x14ac:dyDescent="0.25">
      <c r="A308734" s="1"/>
    </row>
    <row r="308735" spans="1:1" x14ac:dyDescent="0.25">
      <c r="A308735" s="1"/>
    </row>
    <row r="308736" spans="1:1" x14ac:dyDescent="0.25">
      <c r="A308736" s="1"/>
    </row>
    <row r="308737" spans="1:1" x14ac:dyDescent="0.25">
      <c r="A308737" s="1"/>
    </row>
    <row r="308738" spans="1:1" x14ac:dyDescent="0.25">
      <c r="A308738" s="1"/>
    </row>
    <row r="308739" spans="1:1" x14ac:dyDescent="0.25">
      <c r="A308739" s="1"/>
    </row>
    <row r="308740" spans="1:1" x14ac:dyDescent="0.25">
      <c r="A308740" s="1"/>
    </row>
    <row r="308741" spans="1:1" x14ac:dyDescent="0.25">
      <c r="A308741" s="1"/>
    </row>
    <row r="308742" spans="1:1" x14ac:dyDescent="0.25">
      <c r="A308742" s="1"/>
    </row>
    <row r="308743" spans="1:1" x14ac:dyDescent="0.25">
      <c r="A308743" s="1"/>
    </row>
    <row r="308744" spans="1:1" x14ac:dyDescent="0.25">
      <c r="A308744" s="1"/>
    </row>
    <row r="308745" spans="1:1" x14ac:dyDescent="0.25">
      <c r="A308745" s="1"/>
    </row>
    <row r="308746" spans="1:1" x14ac:dyDescent="0.25">
      <c r="A308746" s="1"/>
    </row>
    <row r="308747" spans="1:1" x14ac:dyDescent="0.25">
      <c r="A308747" s="1"/>
    </row>
    <row r="308748" spans="1:1" x14ac:dyDescent="0.25">
      <c r="A308748" s="1"/>
    </row>
    <row r="308749" spans="1:1" x14ac:dyDescent="0.25">
      <c r="A308749" s="1"/>
    </row>
    <row r="308750" spans="1:1" x14ac:dyDescent="0.25">
      <c r="A308750" s="1"/>
    </row>
    <row r="308751" spans="1:1" x14ac:dyDescent="0.25">
      <c r="A308751" s="1"/>
    </row>
    <row r="308752" spans="1:1" x14ac:dyDescent="0.25">
      <c r="A308752" s="1"/>
    </row>
    <row r="308753" spans="1:1" x14ac:dyDescent="0.25">
      <c r="A308753" s="1"/>
    </row>
    <row r="308754" spans="1:1" x14ac:dyDescent="0.25">
      <c r="A308754" s="1"/>
    </row>
    <row r="308755" spans="1:1" x14ac:dyDescent="0.25">
      <c r="A308755" s="1"/>
    </row>
    <row r="308756" spans="1:1" x14ac:dyDescent="0.25">
      <c r="A308756" s="1"/>
    </row>
    <row r="308757" spans="1:1" x14ac:dyDescent="0.25">
      <c r="A308757" s="1"/>
    </row>
    <row r="308758" spans="1:1" x14ac:dyDescent="0.25">
      <c r="A308758" s="1"/>
    </row>
    <row r="308759" spans="1:1" x14ac:dyDescent="0.25">
      <c r="A308759" s="1"/>
    </row>
    <row r="308760" spans="1:1" x14ac:dyDescent="0.25">
      <c r="A308760" s="1"/>
    </row>
    <row r="308761" spans="1:1" x14ac:dyDescent="0.25">
      <c r="A308761" s="1"/>
    </row>
    <row r="308762" spans="1:1" x14ac:dyDescent="0.25">
      <c r="A308762" s="1"/>
    </row>
    <row r="308763" spans="1:1" x14ac:dyDescent="0.25">
      <c r="A308763" s="1"/>
    </row>
    <row r="308764" spans="1:1" x14ac:dyDescent="0.25">
      <c r="A308764" s="1"/>
    </row>
    <row r="308765" spans="1:1" x14ac:dyDescent="0.25">
      <c r="A308765" s="1"/>
    </row>
    <row r="308766" spans="1:1" x14ac:dyDescent="0.25">
      <c r="A308766" s="1"/>
    </row>
    <row r="308767" spans="1:1" x14ac:dyDescent="0.25">
      <c r="A308767" s="1"/>
    </row>
    <row r="308768" spans="1:1" x14ac:dyDescent="0.25">
      <c r="A308768" s="1"/>
    </row>
    <row r="308769" spans="1:1" x14ac:dyDescent="0.25">
      <c r="A308769" s="1"/>
    </row>
    <row r="308770" spans="1:1" x14ac:dyDescent="0.25">
      <c r="A308770" s="1"/>
    </row>
    <row r="308771" spans="1:1" x14ac:dyDescent="0.25">
      <c r="A308771" s="1"/>
    </row>
    <row r="308772" spans="1:1" x14ac:dyDescent="0.25">
      <c r="A308772" s="1"/>
    </row>
    <row r="308773" spans="1:1" x14ac:dyDescent="0.25">
      <c r="A308773" s="1"/>
    </row>
    <row r="308774" spans="1:1" x14ac:dyDescent="0.25">
      <c r="A308774" s="1"/>
    </row>
    <row r="308775" spans="1:1" x14ac:dyDescent="0.25">
      <c r="A308775" s="1"/>
    </row>
    <row r="308776" spans="1:1" x14ac:dyDescent="0.25">
      <c r="A308776" s="1"/>
    </row>
    <row r="308777" spans="1:1" x14ac:dyDescent="0.25">
      <c r="A308777" s="1"/>
    </row>
    <row r="308778" spans="1:1" x14ac:dyDescent="0.25">
      <c r="A308778" s="1"/>
    </row>
    <row r="308779" spans="1:1" x14ac:dyDescent="0.25">
      <c r="A308779" s="1"/>
    </row>
    <row r="308780" spans="1:1" x14ac:dyDescent="0.25">
      <c r="A308780" s="1"/>
    </row>
    <row r="308781" spans="1:1" x14ac:dyDescent="0.25">
      <c r="A308781" s="1"/>
    </row>
    <row r="308782" spans="1:1" x14ac:dyDescent="0.25">
      <c r="A308782" s="1"/>
    </row>
    <row r="308783" spans="1:1" x14ac:dyDescent="0.25">
      <c r="A308783" s="1"/>
    </row>
    <row r="308784" spans="1:1" x14ac:dyDescent="0.25">
      <c r="A308784" s="1"/>
    </row>
    <row r="308785" spans="1:1" x14ac:dyDescent="0.25">
      <c r="A308785" s="1"/>
    </row>
    <row r="308786" spans="1:1" x14ac:dyDescent="0.25">
      <c r="A308786" s="1"/>
    </row>
    <row r="308787" spans="1:1" x14ac:dyDescent="0.25">
      <c r="A308787" s="1"/>
    </row>
    <row r="308788" spans="1:1" x14ac:dyDescent="0.25">
      <c r="A308788" s="1"/>
    </row>
    <row r="308789" spans="1:1" x14ac:dyDescent="0.25">
      <c r="A308789" s="1"/>
    </row>
    <row r="308790" spans="1:1" x14ac:dyDescent="0.25">
      <c r="A308790" s="1"/>
    </row>
    <row r="308791" spans="1:1" x14ac:dyDescent="0.25">
      <c r="A308791" s="1"/>
    </row>
    <row r="308792" spans="1:1" x14ac:dyDescent="0.25">
      <c r="A308792" s="1"/>
    </row>
    <row r="308793" spans="1:1" x14ac:dyDescent="0.25">
      <c r="A308793" s="1"/>
    </row>
    <row r="308794" spans="1:1" x14ac:dyDescent="0.25">
      <c r="A308794" s="1"/>
    </row>
    <row r="308795" spans="1:1" x14ac:dyDescent="0.25">
      <c r="A308795" s="1"/>
    </row>
    <row r="308796" spans="1:1" x14ac:dyDescent="0.25">
      <c r="A308796" s="1"/>
    </row>
    <row r="308797" spans="1:1" x14ac:dyDescent="0.25">
      <c r="A308797" s="1"/>
    </row>
    <row r="308798" spans="1:1" x14ac:dyDescent="0.25">
      <c r="A308798" s="1"/>
    </row>
    <row r="308799" spans="1:1" x14ac:dyDescent="0.25">
      <c r="A308799" s="1"/>
    </row>
    <row r="308800" spans="1:1" x14ac:dyDescent="0.25">
      <c r="A308800" s="1"/>
    </row>
    <row r="308801" spans="1:1" x14ac:dyDescent="0.25">
      <c r="A308801" s="1"/>
    </row>
    <row r="308802" spans="1:1" x14ac:dyDescent="0.25">
      <c r="A308802" s="1"/>
    </row>
    <row r="308803" spans="1:1" x14ac:dyDescent="0.25">
      <c r="A308803" s="1"/>
    </row>
    <row r="308804" spans="1:1" x14ac:dyDescent="0.25">
      <c r="A308804" s="1"/>
    </row>
    <row r="308805" spans="1:1" x14ac:dyDescent="0.25">
      <c r="A308805" s="1"/>
    </row>
    <row r="308806" spans="1:1" x14ac:dyDescent="0.25">
      <c r="A308806" s="1"/>
    </row>
    <row r="308807" spans="1:1" x14ac:dyDescent="0.25">
      <c r="A308807" s="1"/>
    </row>
    <row r="308808" spans="1:1" x14ac:dyDescent="0.25">
      <c r="A308808" s="1"/>
    </row>
    <row r="308809" spans="1:1" x14ac:dyDescent="0.25">
      <c r="A308809" s="1"/>
    </row>
    <row r="308810" spans="1:1" x14ac:dyDescent="0.25">
      <c r="A308810" s="1"/>
    </row>
    <row r="308811" spans="1:1" x14ac:dyDescent="0.25">
      <c r="A308811" s="1"/>
    </row>
    <row r="308812" spans="1:1" x14ac:dyDescent="0.25">
      <c r="A308812" s="1"/>
    </row>
    <row r="308813" spans="1:1" x14ac:dyDescent="0.25">
      <c r="A308813" s="1"/>
    </row>
    <row r="308814" spans="1:1" x14ac:dyDescent="0.25">
      <c r="A308814" s="1"/>
    </row>
    <row r="308815" spans="1:1" x14ac:dyDescent="0.25">
      <c r="A308815" s="1"/>
    </row>
    <row r="308816" spans="1:1" x14ac:dyDescent="0.25">
      <c r="A308816" s="1"/>
    </row>
    <row r="308817" spans="1:1" x14ac:dyDescent="0.25">
      <c r="A308817" s="1"/>
    </row>
    <row r="308818" spans="1:1" x14ac:dyDescent="0.25">
      <c r="A308818" s="1"/>
    </row>
    <row r="308819" spans="1:1" x14ac:dyDescent="0.25">
      <c r="A308819" s="1"/>
    </row>
    <row r="308820" spans="1:1" x14ac:dyDescent="0.25">
      <c r="A308820" s="1"/>
    </row>
    <row r="308821" spans="1:1" x14ac:dyDescent="0.25">
      <c r="A308821" s="1"/>
    </row>
    <row r="308822" spans="1:1" x14ac:dyDescent="0.25">
      <c r="A308822" s="1"/>
    </row>
    <row r="308823" spans="1:1" x14ac:dyDescent="0.25">
      <c r="A308823" s="1"/>
    </row>
    <row r="308824" spans="1:1" x14ac:dyDescent="0.25">
      <c r="A308824" s="1"/>
    </row>
    <row r="308825" spans="1:1" x14ac:dyDescent="0.25">
      <c r="A308825" s="1"/>
    </row>
    <row r="308826" spans="1:1" x14ac:dyDescent="0.25">
      <c r="A308826" s="1"/>
    </row>
    <row r="308827" spans="1:1" x14ac:dyDescent="0.25">
      <c r="A308827" s="1"/>
    </row>
    <row r="308828" spans="1:1" x14ac:dyDescent="0.25">
      <c r="A308828" s="1"/>
    </row>
    <row r="308829" spans="1:1" x14ac:dyDescent="0.25">
      <c r="A308829" s="1"/>
    </row>
    <row r="308830" spans="1:1" x14ac:dyDescent="0.25">
      <c r="A308830" s="1"/>
    </row>
    <row r="308831" spans="1:1" x14ac:dyDescent="0.25">
      <c r="A308831" s="1"/>
    </row>
    <row r="308832" spans="1:1" x14ac:dyDescent="0.25">
      <c r="A308832" s="1"/>
    </row>
    <row r="308833" spans="1:1" x14ac:dyDescent="0.25">
      <c r="A308833" s="1"/>
    </row>
    <row r="308834" spans="1:1" x14ac:dyDescent="0.25">
      <c r="A308834" s="1"/>
    </row>
    <row r="308835" spans="1:1" x14ac:dyDescent="0.25">
      <c r="A308835" s="1"/>
    </row>
    <row r="308836" spans="1:1" x14ac:dyDescent="0.25">
      <c r="A308836" s="1"/>
    </row>
    <row r="308837" spans="1:1" x14ac:dyDescent="0.25">
      <c r="A308837" s="1"/>
    </row>
    <row r="308838" spans="1:1" x14ac:dyDescent="0.25">
      <c r="A308838" s="1"/>
    </row>
    <row r="308839" spans="1:1" x14ac:dyDescent="0.25">
      <c r="A308839" s="1"/>
    </row>
    <row r="308840" spans="1:1" x14ac:dyDescent="0.25">
      <c r="A308840" s="1"/>
    </row>
    <row r="308841" spans="1:1" x14ac:dyDescent="0.25">
      <c r="A308841" s="1"/>
    </row>
    <row r="308842" spans="1:1" x14ac:dyDescent="0.25">
      <c r="A308842" s="1"/>
    </row>
    <row r="308843" spans="1:1" x14ac:dyDescent="0.25">
      <c r="A308843" s="1"/>
    </row>
    <row r="308844" spans="1:1" x14ac:dyDescent="0.25">
      <c r="A308844" s="1"/>
    </row>
    <row r="308845" spans="1:1" x14ac:dyDescent="0.25">
      <c r="A308845" s="1"/>
    </row>
    <row r="308846" spans="1:1" x14ac:dyDescent="0.25">
      <c r="A308846" s="1"/>
    </row>
    <row r="308847" spans="1:1" x14ac:dyDescent="0.25">
      <c r="A308847" s="1"/>
    </row>
    <row r="308848" spans="1:1" x14ac:dyDescent="0.25">
      <c r="A308848" s="1"/>
    </row>
    <row r="308849" spans="1:1" x14ac:dyDescent="0.25">
      <c r="A308849" s="1"/>
    </row>
    <row r="308850" spans="1:1" x14ac:dyDescent="0.25">
      <c r="A308850" s="1"/>
    </row>
    <row r="308851" spans="1:1" x14ac:dyDescent="0.25">
      <c r="A308851" s="1"/>
    </row>
    <row r="308852" spans="1:1" x14ac:dyDescent="0.25">
      <c r="A308852" s="1"/>
    </row>
    <row r="308853" spans="1:1" x14ac:dyDescent="0.25">
      <c r="A308853" s="1"/>
    </row>
    <row r="308854" spans="1:1" x14ac:dyDescent="0.25">
      <c r="A308854" s="1"/>
    </row>
    <row r="308855" spans="1:1" x14ac:dyDescent="0.25">
      <c r="A308855" s="1"/>
    </row>
    <row r="308856" spans="1:1" x14ac:dyDescent="0.25">
      <c r="A308856" s="1"/>
    </row>
    <row r="308857" spans="1:1" x14ac:dyDescent="0.25">
      <c r="A308857" s="1"/>
    </row>
    <row r="308858" spans="1:1" x14ac:dyDescent="0.25">
      <c r="A308858" s="1"/>
    </row>
    <row r="308859" spans="1:1" x14ac:dyDescent="0.25">
      <c r="A308859" s="1"/>
    </row>
    <row r="308860" spans="1:1" x14ac:dyDescent="0.25">
      <c r="A308860" s="1"/>
    </row>
    <row r="308861" spans="1:1" x14ac:dyDescent="0.25">
      <c r="A308861" s="1"/>
    </row>
    <row r="308862" spans="1:1" x14ac:dyDescent="0.25">
      <c r="A308862" s="1"/>
    </row>
    <row r="308863" spans="1:1" x14ac:dyDescent="0.25">
      <c r="A308863" s="1"/>
    </row>
    <row r="308864" spans="1:1" x14ac:dyDescent="0.25">
      <c r="A308864" s="1"/>
    </row>
    <row r="308865" spans="1:1" x14ac:dyDescent="0.25">
      <c r="A308865" s="1"/>
    </row>
    <row r="308866" spans="1:1" x14ac:dyDescent="0.25">
      <c r="A308866" s="1"/>
    </row>
    <row r="308867" spans="1:1" x14ac:dyDescent="0.25">
      <c r="A308867" s="1"/>
    </row>
    <row r="308868" spans="1:1" x14ac:dyDescent="0.25">
      <c r="A308868" s="1"/>
    </row>
    <row r="308869" spans="1:1" x14ac:dyDescent="0.25">
      <c r="A308869" s="1"/>
    </row>
    <row r="308870" spans="1:1" x14ac:dyDescent="0.25">
      <c r="A308870" s="1"/>
    </row>
    <row r="308871" spans="1:1" x14ac:dyDescent="0.25">
      <c r="A308871" s="1"/>
    </row>
    <row r="308872" spans="1:1" x14ac:dyDescent="0.25">
      <c r="A308872" s="1"/>
    </row>
    <row r="308873" spans="1:1" x14ac:dyDescent="0.25">
      <c r="A308873" s="1"/>
    </row>
    <row r="308874" spans="1:1" x14ac:dyDescent="0.25">
      <c r="A308874" s="1"/>
    </row>
    <row r="308875" spans="1:1" x14ac:dyDescent="0.25">
      <c r="A308875" s="1"/>
    </row>
    <row r="308876" spans="1:1" x14ac:dyDescent="0.25">
      <c r="A308876" s="1"/>
    </row>
    <row r="308877" spans="1:1" x14ac:dyDescent="0.25">
      <c r="A308877" s="1"/>
    </row>
    <row r="308878" spans="1:1" x14ac:dyDescent="0.25">
      <c r="A308878" s="1"/>
    </row>
    <row r="308879" spans="1:1" x14ac:dyDescent="0.25">
      <c r="A308879" s="1"/>
    </row>
    <row r="308880" spans="1:1" x14ac:dyDescent="0.25">
      <c r="A308880" s="1"/>
    </row>
    <row r="308881" spans="1:1" x14ac:dyDescent="0.25">
      <c r="A308881" s="1"/>
    </row>
    <row r="308882" spans="1:1" x14ac:dyDescent="0.25">
      <c r="A308882" s="1"/>
    </row>
    <row r="308883" spans="1:1" x14ac:dyDescent="0.25">
      <c r="A308883" s="1"/>
    </row>
    <row r="308884" spans="1:1" x14ac:dyDescent="0.25">
      <c r="A308884" s="1"/>
    </row>
    <row r="308885" spans="1:1" x14ac:dyDescent="0.25">
      <c r="A308885" s="1"/>
    </row>
    <row r="308886" spans="1:1" x14ac:dyDescent="0.25">
      <c r="A308886" s="1"/>
    </row>
    <row r="308887" spans="1:1" x14ac:dyDescent="0.25">
      <c r="A308887" s="1"/>
    </row>
    <row r="308888" spans="1:1" x14ac:dyDescent="0.25">
      <c r="A308888" s="1"/>
    </row>
    <row r="308889" spans="1:1" x14ac:dyDescent="0.25">
      <c r="A308889" s="1"/>
    </row>
    <row r="308890" spans="1:1" x14ac:dyDescent="0.25">
      <c r="A308890" s="1"/>
    </row>
    <row r="308891" spans="1:1" x14ac:dyDescent="0.25">
      <c r="A308891" s="1"/>
    </row>
    <row r="308892" spans="1:1" x14ac:dyDescent="0.25">
      <c r="A308892" s="1"/>
    </row>
    <row r="308893" spans="1:1" x14ac:dyDescent="0.25">
      <c r="A308893" s="1"/>
    </row>
    <row r="308894" spans="1:1" x14ac:dyDescent="0.25">
      <c r="A308894" s="1"/>
    </row>
    <row r="308895" spans="1:1" x14ac:dyDescent="0.25">
      <c r="A308895" s="1"/>
    </row>
    <row r="308896" spans="1:1" x14ac:dyDescent="0.25">
      <c r="A308896" s="1"/>
    </row>
    <row r="308897" spans="1:1" x14ac:dyDescent="0.25">
      <c r="A308897" s="1"/>
    </row>
    <row r="308898" spans="1:1" x14ac:dyDescent="0.25">
      <c r="A308898" s="1"/>
    </row>
    <row r="308899" spans="1:1" x14ac:dyDescent="0.25">
      <c r="A308899" s="1"/>
    </row>
    <row r="308900" spans="1:1" x14ac:dyDescent="0.25">
      <c r="A308900" s="1"/>
    </row>
    <row r="308901" spans="1:1" x14ac:dyDescent="0.25">
      <c r="A308901" s="1"/>
    </row>
    <row r="308902" spans="1:1" x14ac:dyDescent="0.25">
      <c r="A308902" s="1"/>
    </row>
    <row r="308903" spans="1:1" x14ac:dyDescent="0.25">
      <c r="A308903" s="1"/>
    </row>
    <row r="308904" spans="1:1" x14ac:dyDescent="0.25">
      <c r="A308904" s="1"/>
    </row>
    <row r="308905" spans="1:1" x14ac:dyDescent="0.25">
      <c r="A308905" s="1"/>
    </row>
    <row r="308906" spans="1:1" x14ac:dyDescent="0.25">
      <c r="A308906" s="1"/>
    </row>
    <row r="308907" spans="1:1" x14ac:dyDescent="0.25">
      <c r="A308907" s="1"/>
    </row>
    <row r="308908" spans="1:1" x14ac:dyDescent="0.25">
      <c r="A308908" s="1"/>
    </row>
    <row r="308909" spans="1:1" x14ac:dyDescent="0.25">
      <c r="A308909" s="1"/>
    </row>
    <row r="308910" spans="1:1" x14ac:dyDescent="0.25">
      <c r="A308910" s="1"/>
    </row>
    <row r="308911" spans="1:1" x14ac:dyDescent="0.25">
      <c r="A308911" s="1"/>
    </row>
    <row r="308912" spans="1:1" x14ac:dyDescent="0.25">
      <c r="A308912" s="1"/>
    </row>
    <row r="308913" spans="1:1" x14ac:dyDescent="0.25">
      <c r="A308913" s="1"/>
    </row>
    <row r="308914" spans="1:1" x14ac:dyDescent="0.25">
      <c r="A308914" s="1"/>
    </row>
    <row r="308915" spans="1:1" x14ac:dyDescent="0.25">
      <c r="A308915" s="1"/>
    </row>
    <row r="308916" spans="1:1" x14ac:dyDescent="0.25">
      <c r="A308916" s="1"/>
    </row>
    <row r="308917" spans="1:1" x14ac:dyDescent="0.25">
      <c r="A308917" s="1"/>
    </row>
    <row r="308918" spans="1:1" x14ac:dyDescent="0.25">
      <c r="A308918" s="1"/>
    </row>
    <row r="308919" spans="1:1" x14ac:dyDescent="0.25">
      <c r="A308919" s="1"/>
    </row>
    <row r="308920" spans="1:1" x14ac:dyDescent="0.25">
      <c r="A308920" s="1"/>
    </row>
    <row r="308921" spans="1:1" x14ac:dyDescent="0.25">
      <c r="A308921" s="1"/>
    </row>
    <row r="308922" spans="1:1" x14ac:dyDescent="0.25">
      <c r="A308922" s="1"/>
    </row>
    <row r="308923" spans="1:1" x14ac:dyDescent="0.25">
      <c r="A308923" s="1"/>
    </row>
    <row r="308924" spans="1:1" x14ac:dyDescent="0.25">
      <c r="A308924" s="1"/>
    </row>
    <row r="308925" spans="1:1" x14ac:dyDescent="0.25">
      <c r="A308925" s="1"/>
    </row>
    <row r="308926" spans="1:1" x14ac:dyDescent="0.25">
      <c r="A308926" s="1"/>
    </row>
    <row r="308927" spans="1:1" x14ac:dyDescent="0.25">
      <c r="A308927" s="1"/>
    </row>
    <row r="308928" spans="1:1" x14ac:dyDescent="0.25">
      <c r="A308928" s="1"/>
    </row>
    <row r="308929" spans="1:1" x14ac:dyDescent="0.25">
      <c r="A308929" s="1"/>
    </row>
    <row r="308930" spans="1:1" x14ac:dyDescent="0.25">
      <c r="A308930" s="1"/>
    </row>
    <row r="308931" spans="1:1" x14ac:dyDescent="0.25">
      <c r="A308931" s="1"/>
    </row>
    <row r="308932" spans="1:1" x14ac:dyDescent="0.25">
      <c r="A308932" s="1"/>
    </row>
    <row r="308933" spans="1:1" x14ac:dyDescent="0.25">
      <c r="A308933" s="1"/>
    </row>
    <row r="308934" spans="1:1" x14ac:dyDescent="0.25">
      <c r="A308934" s="1"/>
    </row>
    <row r="308935" spans="1:1" x14ac:dyDescent="0.25">
      <c r="A308935" s="1"/>
    </row>
    <row r="308936" spans="1:1" x14ac:dyDescent="0.25">
      <c r="A308936" s="1"/>
    </row>
    <row r="308937" spans="1:1" x14ac:dyDescent="0.25">
      <c r="A308937" s="1"/>
    </row>
    <row r="308938" spans="1:1" x14ac:dyDescent="0.25">
      <c r="A308938" s="1"/>
    </row>
    <row r="308939" spans="1:1" x14ac:dyDescent="0.25">
      <c r="A308939" s="1"/>
    </row>
    <row r="308940" spans="1:1" x14ac:dyDescent="0.25">
      <c r="A308940" s="1"/>
    </row>
    <row r="308941" spans="1:1" x14ac:dyDescent="0.25">
      <c r="A308941" s="1"/>
    </row>
    <row r="308942" spans="1:1" x14ac:dyDescent="0.25">
      <c r="A308942" s="1"/>
    </row>
    <row r="308943" spans="1:1" x14ac:dyDescent="0.25">
      <c r="A308943" s="1"/>
    </row>
    <row r="308944" spans="1:1" x14ac:dyDescent="0.25">
      <c r="A308944" s="1"/>
    </row>
    <row r="308945" spans="1:1" x14ac:dyDescent="0.25">
      <c r="A308945" s="1"/>
    </row>
    <row r="308946" spans="1:1" x14ac:dyDescent="0.25">
      <c r="A308946" s="1"/>
    </row>
    <row r="308947" spans="1:1" x14ac:dyDescent="0.25">
      <c r="A308947" s="1"/>
    </row>
    <row r="308948" spans="1:1" x14ac:dyDescent="0.25">
      <c r="A308948" s="1"/>
    </row>
    <row r="308949" spans="1:1" x14ac:dyDescent="0.25">
      <c r="A308949" s="1"/>
    </row>
    <row r="308950" spans="1:1" x14ac:dyDescent="0.25">
      <c r="A308950" s="1"/>
    </row>
    <row r="308951" spans="1:1" x14ac:dyDescent="0.25">
      <c r="A308951" s="1"/>
    </row>
    <row r="308952" spans="1:1" x14ac:dyDescent="0.25">
      <c r="A308952" s="1"/>
    </row>
    <row r="308953" spans="1:1" x14ac:dyDescent="0.25">
      <c r="A308953" s="1"/>
    </row>
    <row r="308954" spans="1:1" x14ac:dyDescent="0.25">
      <c r="A308954" s="1"/>
    </row>
    <row r="308955" spans="1:1" x14ac:dyDescent="0.25">
      <c r="A308955" s="1"/>
    </row>
    <row r="308956" spans="1:1" x14ac:dyDescent="0.25">
      <c r="A308956" s="1"/>
    </row>
    <row r="308957" spans="1:1" x14ac:dyDescent="0.25">
      <c r="A308957" s="1"/>
    </row>
    <row r="308958" spans="1:1" x14ac:dyDescent="0.25">
      <c r="A308958" s="1"/>
    </row>
    <row r="308959" spans="1:1" x14ac:dyDescent="0.25">
      <c r="A308959" s="1"/>
    </row>
    <row r="308960" spans="1:1" x14ac:dyDescent="0.25">
      <c r="A308960" s="1"/>
    </row>
    <row r="308961" spans="1:1" x14ac:dyDescent="0.25">
      <c r="A308961" s="1"/>
    </row>
    <row r="308962" spans="1:1" x14ac:dyDescent="0.25">
      <c r="A308962" s="1"/>
    </row>
    <row r="308963" spans="1:1" x14ac:dyDescent="0.25">
      <c r="A308963" s="1"/>
    </row>
    <row r="308964" spans="1:1" x14ac:dyDescent="0.25">
      <c r="A308964" s="1"/>
    </row>
    <row r="308965" spans="1:1" x14ac:dyDescent="0.25">
      <c r="A308965" s="1"/>
    </row>
    <row r="308966" spans="1:1" x14ac:dyDescent="0.25">
      <c r="A308966" s="1"/>
    </row>
    <row r="308967" spans="1:1" x14ac:dyDescent="0.25">
      <c r="A308967" s="1"/>
    </row>
    <row r="308968" spans="1:1" x14ac:dyDescent="0.25">
      <c r="A308968" s="1"/>
    </row>
    <row r="308969" spans="1:1" x14ac:dyDescent="0.25">
      <c r="A308969" s="1"/>
    </row>
    <row r="308970" spans="1:1" x14ac:dyDescent="0.25">
      <c r="A308970" s="1"/>
    </row>
    <row r="308971" spans="1:1" x14ac:dyDescent="0.25">
      <c r="A308971" s="1"/>
    </row>
    <row r="308972" spans="1:1" x14ac:dyDescent="0.25">
      <c r="A308972" s="1"/>
    </row>
    <row r="308973" spans="1:1" x14ac:dyDescent="0.25">
      <c r="A308973" s="1"/>
    </row>
    <row r="308974" spans="1:1" x14ac:dyDescent="0.25">
      <c r="A308974" s="1"/>
    </row>
    <row r="308975" spans="1:1" x14ac:dyDescent="0.25">
      <c r="A308975" s="1"/>
    </row>
    <row r="308976" spans="1:1" x14ac:dyDescent="0.25">
      <c r="A308976" s="1"/>
    </row>
    <row r="308977" spans="1:1" x14ac:dyDescent="0.25">
      <c r="A308977" s="1"/>
    </row>
    <row r="308978" spans="1:1" x14ac:dyDescent="0.25">
      <c r="A308978" s="1"/>
    </row>
    <row r="308979" spans="1:1" x14ac:dyDescent="0.25">
      <c r="A308979" s="1"/>
    </row>
    <row r="308980" spans="1:1" x14ac:dyDescent="0.25">
      <c r="A308980" s="1"/>
    </row>
    <row r="308981" spans="1:1" x14ac:dyDescent="0.25">
      <c r="A308981" s="1"/>
    </row>
    <row r="308982" spans="1:1" x14ac:dyDescent="0.25">
      <c r="A308982" s="1"/>
    </row>
    <row r="308983" spans="1:1" x14ac:dyDescent="0.25">
      <c r="A308983" s="1"/>
    </row>
    <row r="308984" spans="1:1" x14ac:dyDescent="0.25">
      <c r="A308984" s="1"/>
    </row>
    <row r="308985" spans="1:1" x14ac:dyDescent="0.25">
      <c r="A308985" s="1"/>
    </row>
    <row r="308986" spans="1:1" x14ac:dyDescent="0.25">
      <c r="A308986" s="1"/>
    </row>
    <row r="308987" spans="1:1" x14ac:dyDescent="0.25">
      <c r="A308987" s="1"/>
    </row>
    <row r="308988" spans="1:1" x14ac:dyDescent="0.25">
      <c r="A308988" s="1"/>
    </row>
    <row r="308989" spans="1:1" x14ac:dyDescent="0.25">
      <c r="A308989" s="1"/>
    </row>
    <row r="308990" spans="1:1" x14ac:dyDescent="0.25">
      <c r="A308990" s="1"/>
    </row>
    <row r="308991" spans="1:1" x14ac:dyDescent="0.25">
      <c r="A308991" s="1"/>
    </row>
    <row r="308992" spans="1:1" x14ac:dyDescent="0.25">
      <c r="A308992" s="1"/>
    </row>
    <row r="308993" spans="1:1" x14ac:dyDescent="0.25">
      <c r="A308993" s="1"/>
    </row>
    <row r="308994" spans="1:1" x14ac:dyDescent="0.25">
      <c r="A308994" s="1"/>
    </row>
    <row r="308995" spans="1:1" x14ac:dyDescent="0.25">
      <c r="A308995" s="1"/>
    </row>
    <row r="308996" spans="1:1" x14ac:dyDescent="0.25">
      <c r="A308996" s="1"/>
    </row>
    <row r="308997" spans="1:1" x14ac:dyDescent="0.25">
      <c r="A308997" s="1"/>
    </row>
    <row r="308998" spans="1:1" x14ac:dyDescent="0.25">
      <c r="A308998" s="1"/>
    </row>
    <row r="308999" spans="1:1" x14ac:dyDescent="0.25">
      <c r="A308999" s="1"/>
    </row>
    <row r="309000" spans="1:1" x14ac:dyDescent="0.25">
      <c r="A309000" s="1"/>
    </row>
    <row r="309001" spans="1:1" x14ac:dyDescent="0.25">
      <c r="A309001" s="1"/>
    </row>
    <row r="309002" spans="1:1" x14ac:dyDescent="0.25">
      <c r="A309002" s="1"/>
    </row>
    <row r="309003" spans="1:1" x14ac:dyDescent="0.25">
      <c r="A309003" s="1"/>
    </row>
    <row r="309004" spans="1:1" x14ac:dyDescent="0.25">
      <c r="A309004" s="1"/>
    </row>
    <row r="309005" spans="1:1" x14ac:dyDescent="0.25">
      <c r="A309005" s="1"/>
    </row>
    <row r="309006" spans="1:1" x14ac:dyDescent="0.25">
      <c r="A309006" s="1"/>
    </row>
    <row r="309007" spans="1:1" x14ac:dyDescent="0.25">
      <c r="A309007" s="1"/>
    </row>
    <row r="309008" spans="1:1" x14ac:dyDescent="0.25">
      <c r="A309008" s="1"/>
    </row>
    <row r="309009" spans="1:1" x14ac:dyDescent="0.25">
      <c r="A309009" s="1"/>
    </row>
    <row r="309010" spans="1:1" x14ac:dyDescent="0.25">
      <c r="A309010" s="1"/>
    </row>
    <row r="309011" spans="1:1" x14ac:dyDescent="0.25">
      <c r="A309011" s="1"/>
    </row>
    <row r="309012" spans="1:1" x14ac:dyDescent="0.25">
      <c r="A309012" s="1"/>
    </row>
    <row r="309013" spans="1:1" x14ac:dyDescent="0.25">
      <c r="A309013" s="1"/>
    </row>
    <row r="309014" spans="1:1" x14ac:dyDescent="0.25">
      <c r="A309014" s="1"/>
    </row>
    <row r="309015" spans="1:1" x14ac:dyDescent="0.25">
      <c r="A309015" s="1"/>
    </row>
    <row r="309016" spans="1:1" x14ac:dyDescent="0.25">
      <c r="A309016" s="1"/>
    </row>
    <row r="309017" spans="1:1" x14ac:dyDescent="0.25">
      <c r="A309017" s="1"/>
    </row>
    <row r="309018" spans="1:1" x14ac:dyDescent="0.25">
      <c r="A309018" s="1"/>
    </row>
    <row r="309019" spans="1:1" x14ac:dyDescent="0.25">
      <c r="A309019" s="1"/>
    </row>
    <row r="309020" spans="1:1" x14ac:dyDescent="0.25">
      <c r="A309020" s="1"/>
    </row>
    <row r="309021" spans="1:1" x14ac:dyDescent="0.25">
      <c r="A309021" s="1"/>
    </row>
    <row r="309022" spans="1:1" x14ac:dyDescent="0.25">
      <c r="A309022" s="1"/>
    </row>
    <row r="309023" spans="1:1" x14ac:dyDescent="0.25">
      <c r="A309023" s="1"/>
    </row>
    <row r="309024" spans="1:1" x14ac:dyDescent="0.25">
      <c r="A309024" s="1"/>
    </row>
    <row r="309025" spans="1:1" x14ac:dyDescent="0.25">
      <c r="A309025" s="1"/>
    </row>
    <row r="309026" spans="1:1" x14ac:dyDescent="0.25">
      <c r="A309026" s="1"/>
    </row>
    <row r="309027" spans="1:1" x14ac:dyDescent="0.25">
      <c r="A309027" s="1"/>
    </row>
    <row r="309028" spans="1:1" x14ac:dyDescent="0.25">
      <c r="A309028" s="1"/>
    </row>
    <row r="309029" spans="1:1" x14ac:dyDescent="0.25">
      <c r="A309029" s="1"/>
    </row>
    <row r="309030" spans="1:1" x14ac:dyDescent="0.25">
      <c r="A309030" s="1"/>
    </row>
    <row r="309031" spans="1:1" x14ac:dyDescent="0.25">
      <c r="A309031" s="1"/>
    </row>
    <row r="309032" spans="1:1" x14ac:dyDescent="0.25">
      <c r="A309032" s="1"/>
    </row>
    <row r="309033" spans="1:1" x14ac:dyDescent="0.25">
      <c r="A309033" s="1"/>
    </row>
    <row r="309034" spans="1:1" x14ac:dyDescent="0.25">
      <c r="A309034" s="1"/>
    </row>
    <row r="309035" spans="1:1" x14ac:dyDescent="0.25">
      <c r="A309035" s="1"/>
    </row>
    <row r="309036" spans="1:1" x14ac:dyDescent="0.25">
      <c r="A309036" s="1"/>
    </row>
    <row r="309037" spans="1:1" x14ac:dyDescent="0.25">
      <c r="A309037" s="1"/>
    </row>
    <row r="309038" spans="1:1" x14ac:dyDescent="0.25">
      <c r="A309038" s="1"/>
    </row>
    <row r="309039" spans="1:1" x14ac:dyDescent="0.25">
      <c r="A309039" s="1"/>
    </row>
    <row r="309040" spans="1:1" x14ac:dyDescent="0.25">
      <c r="A309040" s="1"/>
    </row>
    <row r="309041" spans="1:1" x14ac:dyDescent="0.25">
      <c r="A309041" s="1"/>
    </row>
    <row r="309042" spans="1:1" x14ac:dyDescent="0.25">
      <c r="A309042" s="1"/>
    </row>
    <row r="309043" spans="1:1" x14ac:dyDescent="0.25">
      <c r="A309043" s="1"/>
    </row>
    <row r="309044" spans="1:1" x14ac:dyDescent="0.25">
      <c r="A309044" s="1"/>
    </row>
    <row r="309045" spans="1:1" x14ac:dyDescent="0.25">
      <c r="A309045" s="1"/>
    </row>
    <row r="309046" spans="1:1" x14ac:dyDescent="0.25">
      <c r="A309046" s="1"/>
    </row>
    <row r="309047" spans="1:1" x14ac:dyDescent="0.25">
      <c r="A309047" s="1"/>
    </row>
    <row r="309048" spans="1:1" x14ac:dyDescent="0.25">
      <c r="A309048" s="1"/>
    </row>
    <row r="309049" spans="1:1" x14ac:dyDescent="0.25">
      <c r="A309049" s="1"/>
    </row>
    <row r="309050" spans="1:1" x14ac:dyDescent="0.25">
      <c r="A309050" s="1"/>
    </row>
    <row r="309051" spans="1:1" x14ac:dyDescent="0.25">
      <c r="A309051" s="1"/>
    </row>
    <row r="309052" spans="1:1" x14ac:dyDescent="0.25">
      <c r="A309052" s="1"/>
    </row>
    <row r="309053" spans="1:1" x14ac:dyDescent="0.25">
      <c r="A309053" s="1"/>
    </row>
    <row r="309054" spans="1:1" x14ac:dyDescent="0.25">
      <c r="A309054" s="1"/>
    </row>
    <row r="309055" spans="1:1" x14ac:dyDescent="0.25">
      <c r="A309055" s="1"/>
    </row>
    <row r="309056" spans="1:1" x14ac:dyDescent="0.25">
      <c r="A309056" s="1"/>
    </row>
    <row r="309057" spans="1:1" x14ac:dyDescent="0.25">
      <c r="A309057" s="1"/>
    </row>
    <row r="309058" spans="1:1" x14ac:dyDescent="0.25">
      <c r="A309058" s="1"/>
    </row>
    <row r="309059" spans="1:1" x14ac:dyDescent="0.25">
      <c r="A309059" s="1"/>
    </row>
    <row r="309060" spans="1:1" x14ac:dyDescent="0.25">
      <c r="A309060" s="1"/>
    </row>
    <row r="309061" spans="1:1" x14ac:dyDescent="0.25">
      <c r="A309061" s="1"/>
    </row>
    <row r="309062" spans="1:1" x14ac:dyDescent="0.25">
      <c r="A309062" s="1"/>
    </row>
    <row r="309063" spans="1:1" x14ac:dyDescent="0.25">
      <c r="A309063" s="1"/>
    </row>
    <row r="309064" spans="1:1" x14ac:dyDescent="0.25">
      <c r="A309064" s="1"/>
    </row>
    <row r="309065" spans="1:1" x14ac:dyDescent="0.25">
      <c r="A309065" s="1"/>
    </row>
    <row r="309066" spans="1:1" x14ac:dyDescent="0.25">
      <c r="A309066" s="1"/>
    </row>
    <row r="309067" spans="1:1" x14ac:dyDescent="0.25">
      <c r="A309067" s="1"/>
    </row>
    <row r="309068" spans="1:1" x14ac:dyDescent="0.25">
      <c r="A309068" s="1"/>
    </row>
    <row r="309069" spans="1:1" x14ac:dyDescent="0.25">
      <c r="A309069" s="1"/>
    </row>
    <row r="309070" spans="1:1" x14ac:dyDescent="0.25">
      <c r="A309070" s="1"/>
    </row>
    <row r="309071" spans="1:1" x14ac:dyDescent="0.25">
      <c r="A309071" s="1"/>
    </row>
    <row r="309072" spans="1:1" x14ac:dyDescent="0.25">
      <c r="A309072" s="1"/>
    </row>
    <row r="309073" spans="1:1" x14ac:dyDescent="0.25">
      <c r="A309073" s="1"/>
    </row>
    <row r="309074" spans="1:1" x14ac:dyDescent="0.25">
      <c r="A309074" s="1"/>
    </row>
    <row r="309075" spans="1:1" x14ac:dyDescent="0.25">
      <c r="A309075" s="1"/>
    </row>
    <row r="309076" spans="1:1" x14ac:dyDescent="0.25">
      <c r="A309076" s="1"/>
    </row>
    <row r="309077" spans="1:1" x14ac:dyDescent="0.25">
      <c r="A309077" s="1"/>
    </row>
    <row r="309078" spans="1:1" x14ac:dyDescent="0.25">
      <c r="A309078" s="1"/>
    </row>
    <row r="309079" spans="1:1" x14ac:dyDescent="0.25">
      <c r="A309079" s="1"/>
    </row>
    <row r="309080" spans="1:1" x14ac:dyDescent="0.25">
      <c r="A309080" s="1"/>
    </row>
    <row r="309081" spans="1:1" x14ac:dyDescent="0.25">
      <c r="A309081" s="1"/>
    </row>
    <row r="309082" spans="1:1" x14ac:dyDescent="0.25">
      <c r="A309082" s="1"/>
    </row>
    <row r="309083" spans="1:1" x14ac:dyDescent="0.25">
      <c r="A309083" s="1"/>
    </row>
    <row r="309084" spans="1:1" x14ac:dyDescent="0.25">
      <c r="A309084" s="1"/>
    </row>
    <row r="309085" spans="1:1" x14ac:dyDescent="0.25">
      <c r="A309085" s="1"/>
    </row>
    <row r="309086" spans="1:1" x14ac:dyDescent="0.25">
      <c r="A309086" s="1"/>
    </row>
    <row r="309087" spans="1:1" x14ac:dyDescent="0.25">
      <c r="A309087" s="1"/>
    </row>
    <row r="309088" spans="1:1" x14ac:dyDescent="0.25">
      <c r="A309088" s="1"/>
    </row>
    <row r="309089" spans="1:1" x14ac:dyDescent="0.25">
      <c r="A309089" s="1"/>
    </row>
    <row r="309090" spans="1:1" x14ac:dyDescent="0.25">
      <c r="A309090" s="1"/>
    </row>
    <row r="309091" spans="1:1" x14ac:dyDescent="0.25">
      <c r="A309091" s="1"/>
    </row>
    <row r="309092" spans="1:1" x14ac:dyDescent="0.25">
      <c r="A309092" s="1"/>
    </row>
    <row r="309093" spans="1:1" x14ac:dyDescent="0.25">
      <c r="A309093" s="1"/>
    </row>
    <row r="309094" spans="1:1" x14ac:dyDescent="0.25">
      <c r="A309094" s="1"/>
    </row>
    <row r="309095" spans="1:1" x14ac:dyDescent="0.25">
      <c r="A309095" s="1"/>
    </row>
    <row r="309096" spans="1:1" x14ac:dyDescent="0.25">
      <c r="A309096" s="1"/>
    </row>
    <row r="309097" spans="1:1" x14ac:dyDescent="0.25">
      <c r="A309097" s="1"/>
    </row>
    <row r="309098" spans="1:1" x14ac:dyDescent="0.25">
      <c r="A309098" s="1"/>
    </row>
    <row r="309099" spans="1:1" x14ac:dyDescent="0.25">
      <c r="A309099" s="1"/>
    </row>
    <row r="309100" spans="1:1" x14ac:dyDescent="0.25">
      <c r="A309100" s="1"/>
    </row>
    <row r="309101" spans="1:1" x14ac:dyDescent="0.25">
      <c r="A309101" s="1"/>
    </row>
    <row r="309102" spans="1:1" x14ac:dyDescent="0.25">
      <c r="A309102" s="1"/>
    </row>
    <row r="309103" spans="1:1" x14ac:dyDescent="0.25">
      <c r="A309103" s="1"/>
    </row>
    <row r="309104" spans="1:1" x14ac:dyDescent="0.25">
      <c r="A309104" s="1"/>
    </row>
    <row r="309105" spans="1:1" x14ac:dyDescent="0.25">
      <c r="A309105" s="1"/>
    </row>
    <row r="309106" spans="1:1" x14ac:dyDescent="0.25">
      <c r="A309106" s="1"/>
    </row>
    <row r="309107" spans="1:1" x14ac:dyDescent="0.25">
      <c r="A309107" s="1"/>
    </row>
    <row r="309108" spans="1:1" x14ac:dyDescent="0.25">
      <c r="A309108" s="1"/>
    </row>
    <row r="309109" spans="1:1" x14ac:dyDescent="0.25">
      <c r="A309109" s="1"/>
    </row>
    <row r="309110" spans="1:1" x14ac:dyDescent="0.25">
      <c r="A309110" s="1"/>
    </row>
    <row r="309111" spans="1:1" x14ac:dyDescent="0.25">
      <c r="A309111" s="1"/>
    </row>
    <row r="309112" spans="1:1" x14ac:dyDescent="0.25">
      <c r="A309112" s="1"/>
    </row>
    <row r="309113" spans="1:1" x14ac:dyDescent="0.25">
      <c r="A309113" s="1"/>
    </row>
    <row r="309114" spans="1:1" x14ac:dyDescent="0.25">
      <c r="A309114" s="1"/>
    </row>
    <row r="309115" spans="1:1" x14ac:dyDescent="0.25">
      <c r="A309115" s="1"/>
    </row>
    <row r="309116" spans="1:1" x14ac:dyDescent="0.25">
      <c r="A309116" s="1"/>
    </row>
    <row r="309117" spans="1:1" x14ac:dyDescent="0.25">
      <c r="A309117" s="1"/>
    </row>
    <row r="309118" spans="1:1" x14ac:dyDescent="0.25">
      <c r="A309118" s="1"/>
    </row>
    <row r="309119" spans="1:1" x14ac:dyDescent="0.25">
      <c r="A309119" s="1"/>
    </row>
    <row r="309120" spans="1:1" x14ac:dyDescent="0.25">
      <c r="A309120" s="1"/>
    </row>
    <row r="309121" spans="1:1" x14ac:dyDescent="0.25">
      <c r="A309121" s="1"/>
    </row>
    <row r="309122" spans="1:1" x14ac:dyDescent="0.25">
      <c r="A309122" s="1"/>
    </row>
    <row r="309123" spans="1:1" x14ac:dyDescent="0.25">
      <c r="A309123" s="1"/>
    </row>
    <row r="309124" spans="1:1" x14ac:dyDescent="0.25">
      <c r="A309124" s="1"/>
    </row>
    <row r="309125" spans="1:1" x14ac:dyDescent="0.25">
      <c r="A309125" s="1"/>
    </row>
    <row r="309126" spans="1:1" x14ac:dyDescent="0.25">
      <c r="A309126" s="1"/>
    </row>
    <row r="309127" spans="1:1" x14ac:dyDescent="0.25">
      <c r="A309127" s="1"/>
    </row>
    <row r="309128" spans="1:1" x14ac:dyDescent="0.25">
      <c r="A309128" s="1"/>
    </row>
    <row r="309129" spans="1:1" x14ac:dyDescent="0.25">
      <c r="A309129" s="1"/>
    </row>
    <row r="309130" spans="1:1" x14ac:dyDescent="0.25">
      <c r="A309130" s="1"/>
    </row>
    <row r="309131" spans="1:1" x14ac:dyDescent="0.25">
      <c r="A309131" s="1"/>
    </row>
    <row r="309132" spans="1:1" x14ac:dyDescent="0.25">
      <c r="A309132" s="1"/>
    </row>
    <row r="309133" spans="1:1" x14ac:dyDescent="0.25">
      <c r="A309133" s="1"/>
    </row>
    <row r="309134" spans="1:1" x14ac:dyDescent="0.25">
      <c r="A309134" s="1"/>
    </row>
    <row r="309135" spans="1:1" x14ac:dyDescent="0.25">
      <c r="A309135" s="1"/>
    </row>
    <row r="309136" spans="1:1" x14ac:dyDescent="0.25">
      <c r="A309136" s="1"/>
    </row>
    <row r="309137" spans="1:1" x14ac:dyDescent="0.25">
      <c r="A309137" s="1"/>
    </row>
    <row r="309138" spans="1:1" x14ac:dyDescent="0.25">
      <c r="A309138" s="1"/>
    </row>
    <row r="309139" spans="1:1" x14ac:dyDescent="0.25">
      <c r="A309139" s="1"/>
    </row>
    <row r="309140" spans="1:1" x14ac:dyDescent="0.25">
      <c r="A309140" s="1"/>
    </row>
    <row r="309141" spans="1:1" x14ac:dyDescent="0.25">
      <c r="A309141" s="1"/>
    </row>
    <row r="309142" spans="1:1" x14ac:dyDescent="0.25">
      <c r="A309142" s="1"/>
    </row>
    <row r="309143" spans="1:1" x14ac:dyDescent="0.25">
      <c r="A309143" s="1"/>
    </row>
    <row r="309144" spans="1:1" x14ac:dyDescent="0.25">
      <c r="A309144" s="1"/>
    </row>
    <row r="309145" spans="1:1" x14ac:dyDescent="0.25">
      <c r="A309145" s="1"/>
    </row>
    <row r="309146" spans="1:1" x14ac:dyDescent="0.25">
      <c r="A309146" s="1"/>
    </row>
    <row r="309147" spans="1:1" x14ac:dyDescent="0.25">
      <c r="A309147" s="1"/>
    </row>
    <row r="309148" spans="1:1" x14ac:dyDescent="0.25">
      <c r="A309148" s="1"/>
    </row>
    <row r="309149" spans="1:1" x14ac:dyDescent="0.25">
      <c r="A309149" s="1"/>
    </row>
    <row r="309150" spans="1:1" x14ac:dyDescent="0.25">
      <c r="A309150" s="1"/>
    </row>
    <row r="309151" spans="1:1" x14ac:dyDescent="0.25">
      <c r="A309151" s="1"/>
    </row>
    <row r="309152" spans="1:1" x14ac:dyDescent="0.25">
      <c r="A309152" s="1"/>
    </row>
    <row r="309153" spans="1:1" x14ac:dyDescent="0.25">
      <c r="A309153" s="1"/>
    </row>
    <row r="309154" spans="1:1" x14ac:dyDescent="0.25">
      <c r="A309154" s="1"/>
    </row>
    <row r="309155" spans="1:1" x14ac:dyDescent="0.25">
      <c r="A309155" s="1"/>
    </row>
    <row r="309156" spans="1:1" x14ac:dyDescent="0.25">
      <c r="A309156" s="1"/>
    </row>
    <row r="309157" spans="1:1" x14ac:dyDescent="0.25">
      <c r="A309157" s="1"/>
    </row>
    <row r="309158" spans="1:1" x14ac:dyDescent="0.25">
      <c r="A309158" s="1"/>
    </row>
    <row r="309159" spans="1:1" x14ac:dyDescent="0.25">
      <c r="A309159" s="1"/>
    </row>
    <row r="309160" spans="1:1" x14ac:dyDescent="0.25">
      <c r="A309160" s="1"/>
    </row>
    <row r="309161" spans="1:1" x14ac:dyDescent="0.25">
      <c r="A309161" s="1"/>
    </row>
    <row r="309162" spans="1:1" x14ac:dyDescent="0.25">
      <c r="A309162" s="1"/>
    </row>
    <row r="309163" spans="1:1" x14ac:dyDescent="0.25">
      <c r="A309163" s="1"/>
    </row>
    <row r="309164" spans="1:1" x14ac:dyDescent="0.25">
      <c r="A309164" s="1"/>
    </row>
    <row r="309165" spans="1:1" x14ac:dyDescent="0.25">
      <c r="A309165" s="1"/>
    </row>
    <row r="309166" spans="1:1" x14ac:dyDescent="0.25">
      <c r="A309166" s="1"/>
    </row>
    <row r="309167" spans="1:1" x14ac:dyDescent="0.25">
      <c r="A309167" s="1"/>
    </row>
    <row r="309168" spans="1:1" x14ac:dyDescent="0.25">
      <c r="A309168" s="1"/>
    </row>
    <row r="309169" spans="1:1" x14ac:dyDescent="0.25">
      <c r="A309169" s="1"/>
    </row>
    <row r="309170" spans="1:1" x14ac:dyDescent="0.25">
      <c r="A309170" s="1"/>
    </row>
    <row r="309171" spans="1:1" x14ac:dyDescent="0.25">
      <c r="A309171" s="1"/>
    </row>
    <row r="309172" spans="1:1" x14ac:dyDescent="0.25">
      <c r="A309172" s="1"/>
    </row>
    <row r="309173" spans="1:1" x14ac:dyDescent="0.25">
      <c r="A309173" s="1"/>
    </row>
    <row r="309174" spans="1:1" x14ac:dyDescent="0.25">
      <c r="A309174" s="1"/>
    </row>
    <row r="309175" spans="1:1" x14ac:dyDescent="0.25">
      <c r="A309175" s="1"/>
    </row>
    <row r="309176" spans="1:1" x14ac:dyDescent="0.25">
      <c r="A309176" s="1"/>
    </row>
    <row r="309177" spans="1:1" x14ac:dyDescent="0.25">
      <c r="A309177" s="1"/>
    </row>
    <row r="309178" spans="1:1" x14ac:dyDescent="0.25">
      <c r="A309178" s="1"/>
    </row>
    <row r="309179" spans="1:1" x14ac:dyDescent="0.25">
      <c r="A309179" s="1"/>
    </row>
    <row r="309180" spans="1:1" x14ac:dyDescent="0.25">
      <c r="A309180" s="1"/>
    </row>
    <row r="309181" spans="1:1" x14ac:dyDescent="0.25">
      <c r="A309181" s="1"/>
    </row>
    <row r="309182" spans="1:1" x14ac:dyDescent="0.25">
      <c r="A309182" s="1"/>
    </row>
    <row r="309183" spans="1:1" x14ac:dyDescent="0.25">
      <c r="A309183" s="1"/>
    </row>
    <row r="309184" spans="1:1" x14ac:dyDescent="0.25">
      <c r="A309184" s="1"/>
    </row>
    <row r="309185" spans="1:1" x14ac:dyDescent="0.25">
      <c r="A309185" s="1"/>
    </row>
    <row r="309186" spans="1:1" x14ac:dyDescent="0.25">
      <c r="A309186" s="1"/>
    </row>
    <row r="309187" spans="1:1" x14ac:dyDescent="0.25">
      <c r="A309187" s="1"/>
    </row>
    <row r="309188" spans="1:1" x14ac:dyDescent="0.25">
      <c r="A309188" s="1"/>
    </row>
    <row r="309189" spans="1:1" x14ac:dyDescent="0.25">
      <c r="A309189" s="1"/>
    </row>
    <row r="309190" spans="1:1" x14ac:dyDescent="0.25">
      <c r="A309190" s="1"/>
    </row>
    <row r="309191" spans="1:1" x14ac:dyDescent="0.25">
      <c r="A309191" s="1"/>
    </row>
    <row r="309192" spans="1:1" x14ac:dyDescent="0.25">
      <c r="A309192" s="1"/>
    </row>
    <row r="309193" spans="1:1" x14ac:dyDescent="0.25">
      <c r="A309193" s="1"/>
    </row>
    <row r="309194" spans="1:1" x14ac:dyDescent="0.25">
      <c r="A309194" s="1"/>
    </row>
    <row r="309195" spans="1:1" x14ac:dyDescent="0.25">
      <c r="A309195" s="1"/>
    </row>
    <row r="309196" spans="1:1" x14ac:dyDescent="0.25">
      <c r="A309196" s="1"/>
    </row>
    <row r="309197" spans="1:1" x14ac:dyDescent="0.25">
      <c r="A309197" s="1"/>
    </row>
    <row r="309198" spans="1:1" x14ac:dyDescent="0.25">
      <c r="A309198" s="1"/>
    </row>
    <row r="309199" spans="1:1" x14ac:dyDescent="0.25">
      <c r="A309199" s="1"/>
    </row>
    <row r="309200" spans="1:1" x14ac:dyDescent="0.25">
      <c r="A309200" s="1"/>
    </row>
    <row r="309201" spans="1:1" x14ac:dyDescent="0.25">
      <c r="A309201" s="1"/>
    </row>
    <row r="309202" spans="1:1" x14ac:dyDescent="0.25">
      <c r="A309202" s="1"/>
    </row>
    <row r="309203" spans="1:1" x14ac:dyDescent="0.25">
      <c r="A309203" s="1"/>
    </row>
    <row r="309204" spans="1:1" x14ac:dyDescent="0.25">
      <c r="A309204" s="1"/>
    </row>
    <row r="309205" spans="1:1" x14ac:dyDescent="0.25">
      <c r="A309205" s="1"/>
    </row>
    <row r="309206" spans="1:1" x14ac:dyDescent="0.25">
      <c r="A309206" s="1"/>
    </row>
    <row r="309207" spans="1:1" x14ac:dyDescent="0.25">
      <c r="A309207" s="1"/>
    </row>
    <row r="309208" spans="1:1" x14ac:dyDescent="0.25">
      <c r="A309208" s="1"/>
    </row>
    <row r="309209" spans="1:1" x14ac:dyDescent="0.25">
      <c r="A309209" s="1"/>
    </row>
    <row r="309210" spans="1:1" x14ac:dyDescent="0.25">
      <c r="A309210" s="1"/>
    </row>
    <row r="309211" spans="1:1" x14ac:dyDescent="0.25">
      <c r="A309211" s="1"/>
    </row>
    <row r="309212" spans="1:1" x14ac:dyDescent="0.25">
      <c r="A309212" s="1"/>
    </row>
    <row r="309213" spans="1:1" x14ac:dyDescent="0.25">
      <c r="A309213" s="1"/>
    </row>
    <row r="309214" spans="1:1" x14ac:dyDescent="0.25">
      <c r="A309214" s="1"/>
    </row>
    <row r="309215" spans="1:1" x14ac:dyDescent="0.25">
      <c r="A309215" s="1"/>
    </row>
    <row r="309216" spans="1:1" x14ac:dyDescent="0.25">
      <c r="A309216" s="1"/>
    </row>
    <row r="309217" spans="1:1" x14ac:dyDescent="0.25">
      <c r="A309217" s="1"/>
    </row>
    <row r="309218" spans="1:1" x14ac:dyDescent="0.25">
      <c r="A309218" s="1"/>
    </row>
    <row r="309219" spans="1:1" x14ac:dyDescent="0.25">
      <c r="A309219" s="1"/>
    </row>
    <row r="309220" spans="1:1" x14ac:dyDescent="0.25">
      <c r="A309220" s="1"/>
    </row>
    <row r="309221" spans="1:1" x14ac:dyDescent="0.25">
      <c r="A309221" s="1"/>
    </row>
    <row r="309222" spans="1:1" x14ac:dyDescent="0.25">
      <c r="A309222" s="1"/>
    </row>
    <row r="309223" spans="1:1" x14ac:dyDescent="0.25">
      <c r="A309223" s="1"/>
    </row>
    <row r="309224" spans="1:1" x14ac:dyDescent="0.25">
      <c r="A309224" s="1"/>
    </row>
    <row r="309225" spans="1:1" x14ac:dyDescent="0.25">
      <c r="A309225" s="1"/>
    </row>
    <row r="309226" spans="1:1" x14ac:dyDescent="0.25">
      <c r="A309226" s="1"/>
    </row>
    <row r="309227" spans="1:1" x14ac:dyDescent="0.25">
      <c r="A309227" s="1"/>
    </row>
    <row r="309228" spans="1:1" x14ac:dyDescent="0.25">
      <c r="A309228" s="1"/>
    </row>
    <row r="309229" spans="1:1" x14ac:dyDescent="0.25">
      <c r="A309229" s="1"/>
    </row>
    <row r="309230" spans="1:1" x14ac:dyDescent="0.25">
      <c r="A309230" s="1"/>
    </row>
    <row r="309231" spans="1:1" x14ac:dyDescent="0.25">
      <c r="A309231" s="1"/>
    </row>
    <row r="309232" spans="1:1" x14ac:dyDescent="0.25">
      <c r="A309232" s="1"/>
    </row>
    <row r="309233" spans="1:1" x14ac:dyDescent="0.25">
      <c r="A309233" s="1"/>
    </row>
    <row r="309234" spans="1:1" x14ac:dyDescent="0.25">
      <c r="A309234" s="1"/>
    </row>
    <row r="309235" spans="1:1" x14ac:dyDescent="0.25">
      <c r="A309235" s="1"/>
    </row>
    <row r="309236" spans="1:1" x14ac:dyDescent="0.25">
      <c r="A309236" s="1"/>
    </row>
    <row r="309237" spans="1:1" x14ac:dyDescent="0.25">
      <c r="A309237" s="1"/>
    </row>
    <row r="309238" spans="1:1" x14ac:dyDescent="0.25">
      <c r="A309238" s="1"/>
    </row>
    <row r="309239" spans="1:1" x14ac:dyDescent="0.25">
      <c r="A309239" s="1"/>
    </row>
    <row r="309240" spans="1:1" x14ac:dyDescent="0.25">
      <c r="A309240" s="1"/>
    </row>
    <row r="309241" spans="1:1" x14ac:dyDescent="0.25">
      <c r="A309241" s="1"/>
    </row>
    <row r="309242" spans="1:1" x14ac:dyDescent="0.25">
      <c r="A309242" s="1"/>
    </row>
    <row r="309243" spans="1:1" x14ac:dyDescent="0.25">
      <c r="A309243" s="1"/>
    </row>
    <row r="309244" spans="1:1" x14ac:dyDescent="0.25">
      <c r="A309244" s="1"/>
    </row>
    <row r="309245" spans="1:1" x14ac:dyDescent="0.25">
      <c r="A309245" s="1"/>
    </row>
    <row r="309246" spans="1:1" x14ac:dyDescent="0.25">
      <c r="A309246" s="1"/>
    </row>
    <row r="309247" spans="1:1" x14ac:dyDescent="0.25">
      <c r="A309247" s="1"/>
    </row>
    <row r="309248" spans="1:1" x14ac:dyDescent="0.25">
      <c r="A309248" s="1"/>
    </row>
    <row r="309249" spans="1:1" x14ac:dyDescent="0.25">
      <c r="A309249" s="1"/>
    </row>
    <row r="309250" spans="1:1" x14ac:dyDescent="0.25">
      <c r="A309250" s="1"/>
    </row>
    <row r="309251" spans="1:1" x14ac:dyDescent="0.25">
      <c r="A309251" s="1"/>
    </row>
    <row r="309252" spans="1:1" x14ac:dyDescent="0.25">
      <c r="A309252" s="1"/>
    </row>
    <row r="309253" spans="1:1" x14ac:dyDescent="0.25">
      <c r="A309253" s="1"/>
    </row>
    <row r="309254" spans="1:1" x14ac:dyDescent="0.25">
      <c r="A309254" s="1"/>
    </row>
    <row r="309255" spans="1:1" x14ac:dyDescent="0.25">
      <c r="A309255" s="1"/>
    </row>
    <row r="309256" spans="1:1" x14ac:dyDescent="0.25">
      <c r="A309256" s="1"/>
    </row>
    <row r="309257" spans="1:1" x14ac:dyDescent="0.25">
      <c r="A309257" s="1"/>
    </row>
    <row r="309258" spans="1:1" x14ac:dyDescent="0.25">
      <c r="A309258" s="1"/>
    </row>
    <row r="309259" spans="1:1" x14ac:dyDescent="0.25">
      <c r="A309259" s="1"/>
    </row>
    <row r="309260" spans="1:1" x14ac:dyDescent="0.25">
      <c r="A309260" s="1"/>
    </row>
    <row r="309261" spans="1:1" x14ac:dyDescent="0.25">
      <c r="A309261" s="1"/>
    </row>
    <row r="309262" spans="1:1" x14ac:dyDescent="0.25">
      <c r="A309262" s="1"/>
    </row>
    <row r="309263" spans="1:1" x14ac:dyDescent="0.25">
      <c r="A309263" s="1"/>
    </row>
    <row r="309264" spans="1:1" x14ac:dyDescent="0.25">
      <c r="A309264" s="1"/>
    </row>
    <row r="309265" spans="1:1" x14ac:dyDescent="0.25">
      <c r="A309265" s="1"/>
    </row>
    <row r="309266" spans="1:1" x14ac:dyDescent="0.25">
      <c r="A309266" s="1"/>
    </row>
    <row r="309267" spans="1:1" x14ac:dyDescent="0.25">
      <c r="A309267" s="1"/>
    </row>
    <row r="309268" spans="1:1" x14ac:dyDescent="0.25">
      <c r="A309268" s="1"/>
    </row>
    <row r="309269" spans="1:1" x14ac:dyDescent="0.25">
      <c r="A309269" s="1"/>
    </row>
    <row r="309270" spans="1:1" x14ac:dyDescent="0.25">
      <c r="A309270" s="1"/>
    </row>
    <row r="309271" spans="1:1" x14ac:dyDescent="0.25">
      <c r="A309271" s="1"/>
    </row>
    <row r="309272" spans="1:1" x14ac:dyDescent="0.25">
      <c r="A309272" s="1"/>
    </row>
    <row r="309273" spans="1:1" x14ac:dyDescent="0.25">
      <c r="A309273" s="1"/>
    </row>
    <row r="309274" spans="1:1" x14ac:dyDescent="0.25">
      <c r="A309274" s="1"/>
    </row>
    <row r="309275" spans="1:1" x14ac:dyDescent="0.25">
      <c r="A309275" s="1"/>
    </row>
    <row r="309276" spans="1:1" x14ac:dyDescent="0.25">
      <c r="A309276" s="1"/>
    </row>
    <row r="309277" spans="1:1" x14ac:dyDescent="0.25">
      <c r="A309277" s="1"/>
    </row>
    <row r="309278" spans="1:1" x14ac:dyDescent="0.25">
      <c r="A309278" s="1"/>
    </row>
    <row r="309279" spans="1:1" x14ac:dyDescent="0.25">
      <c r="A309279" s="1"/>
    </row>
    <row r="309280" spans="1:1" x14ac:dyDescent="0.25">
      <c r="A309280" s="1"/>
    </row>
    <row r="309281" spans="1:1" x14ac:dyDescent="0.25">
      <c r="A309281" s="1"/>
    </row>
    <row r="309282" spans="1:1" x14ac:dyDescent="0.25">
      <c r="A309282" s="1"/>
    </row>
    <row r="309283" spans="1:1" x14ac:dyDescent="0.25">
      <c r="A309283" s="1"/>
    </row>
    <row r="309284" spans="1:1" x14ac:dyDescent="0.25">
      <c r="A309284" s="1"/>
    </row>
    <row r="309285" spans="1:1" x14ac:dyDescent="0.25">
      <c r="A309285" s="1"/>
    </row>
    <row r="309286" spans="1:1" x14ac:dyDescent="0.25">
      <c r="A309286" s="1"/>
    </row>
    <row r="309287" spans="1:1" x14ac:dyDescent="0.25">
      <c r="A309287" s="1"/>
    </row>
    <row r="309288" spans="1:1" x14ac:dyDescent="0.25">
      <c r="A309288" s="1"/>
    </row>
    <row r="309289" spans="1:1" x14ac:dyDescent="0.25">
      <c r="A309289" s="1"/>
    </row>
    <row r="309290" spans="1:1" x14ac:dyDescent="0.25">
      <c r="A309290" s="1"/>
    </row>
    <row r="309291" spans="1:1" x14ac:dyDescent="0.25">
      <c r="A309291" s="1"/>
    </row>
    <row r="309292" spans="1:1" x14ac:dyDescent="0.25">
      <c r="A309292" s="1"/>
    </row>
    <row r="309293" spans="1:1" x14ac:dyDescent="0.25">
      <c r="A309293" s="1"/>
    </row>
    <row r="309294" spans="1:1" x14ac:dyDescent="0.25">
      <c r="A309294" s="1"/>
    </row>
    <row r="309295" spans="1:1" x14ac:dyDescent="0.25">
      <c r="A309295" s="1"/>
    </row>
    <row r="309296" spans="1:1" x14ac:dyDescent="0.25">
      <c r="A309296" s="1"/>
    </row>
    <row r="309297" spans="1:1" x14ac:dyDescent="0.25">
      <c r="A309297" s="1"/>
    </row>
    <row r="309298" spans="1:1" x14ac:dyDescent="0.25">
      <c r="A309298" s="1"/>
    </row>
    <row r="309299" spans="1:1" x14ac:dyDescent="0.25">
      <c r="A309299" s="1"/>
    </row>
    <row r="309300" spans="1:1" x14ac:dyDescent="0.25">
      <c r="A309300" s="1"/>
    </row>
    <row r="309301" spans="1:1" x14ac:dyDescent="0.25">
      <c r="A309301" s="1"/>
    </row>
    <row r="309302" spans="1:1" x14ac:dyDescent="0.25">
      <c r="A309302" s="1"/>
    </row>
    <row r="309303" spans="1:1" x14ac:dyDescent="0.25">
      <c r="A309303" s="1"/>
    </row>
    <row r="309304" spans="1:1" x14ac:dyDescent="0.25">
      <c r="A309304" s="1"/>
    </row>
    <row r="309305" spans="1:1" x14ac:dyDescent="0.25">
      <c r="A309305" s="1"/>
    </row>
    <row r="309306" spans="1:1" x14ac:dyDescent="0.25">
      <c r="A309306" s="1"/>
    </row>
    <row r="309307" spans="1:1" x14ac:dyDescent="0.25">
      <c r="A309307" s="1"/>
    </row>
    <row r="309308" spans="1:1" x14ac:dyDescent="0.25">
      <c r="A309308" s="1"/>
    </row>
    <row r="309309" spans="1:1" x14ac:dyDescent="0.25">
      <c r="A309309" s="1"/>
    </row>
    <row r="309310" spans="1:1" x14ac:dyDescent="0.25">
      <c r="A309310" s="1"/>
    </row>
    <row r="309311" spans="1:1" x14ac:dyDescent="0.25">
      <c r="A309311" s="1"/>
    </row>
    <row r="309312" spans="1:1" x14ac:dyDescent="0.25">
      <c r="A309312" s="1"/>
    </row>
    <row r="309313" spans="1:1" x14ac:dyDescent="0.25">
      <c r="A309313" s="1"/>
    </row>
    <row r="309314" spans="1:1" x14ac:dyDescent="0.25">
      <c r="A309314" s="1"/>
    </row>
    <row r="309315" spans="1:1" x14ac:dyDescent="0.25">
      <c r="A309315" s="1"/>
    </row>
    <row r="309316" spans="1:1" x14ac:dyDescent="0.25">
      <c r="A309316" s="1"/>
    </row>
    <row r="309317" spans="1:1" x14ac:dyDescent="0.25">
      <c r="A309317" s="1"/>
    </row>
    <row r="309318" spans="1:1" x14ac:dyDescent="0.25">
      <c r="A309318" s="1"/>
    </row>
    <row r="309319" spans="1:1" x14ac:dyDescent="0.25">
      <c r="A309319" s="1"/>
    </row>
    <row r="309320" spans="1:1" x14ac:dyDescent="0.25">
      <c r="A309320" s="1"/>
    </row>
    <row r="309321" spans="1:1" x14ac:dyDescent="0.25">
      <c r="A309321" s="1"/>
    </row>
    <row r="309322" spans="1:1" x14ac:dyDescent="0.25">
      <c r="A309322" s="1"/>
    </row>
    <row r="309323" spans="1:1" x14ac:dyDescent="0.25">
      <c r="A309323" s="1"/>
    </row>
    <row r="309324" spans="1:1" x14ac:dyDescent="0.25">
      <c r="A309324" s="1"/>
    </row>
    <row r="309325" spans="1:1" x14ac:dyDescent="0.25">
      <c r="A309325" s="1"/>
    </row>
    <row r="309326" spans="1:1" x14ac:dyDescent="0.25">
      <c r="A309326" s="1"/>
    </row>
    <row r="309327" spans="1:1" x14ac:dyDescent="0.25">
      <c r="A309327" s="1"/>
    </row>
    <row r="309328" spans="1:1" x14ac:dyDescent="0.25">
      <c r="A309328" s="1"/>
    </row>
    <row r="309329" spans="1:1" x14ac:dyDescent="0.25">
      <c r="A309329" s="1"/>
    </row>
    <row r="309330" spans="1:1" x14ac:dyDescent="0.25">
      <c r="A309330" s="1"/>
    </row>
    <row r="309331" spans="1:1" x14ac:dyDescent="0.25">
      <c r="A309331" s="1"/>
    </row>
    <row r="309332" spans="1:1" x14ac:dyDescent="0.25">
      <c r="A309332" s="1"/>
    </row>
    <row r="309333" spans="1:1" x14ac:dyDescent="0.25">
      <c r="A309333" s="1"/>
    </row>
    <row r="309334" spans="1:1" x14ac:dyDescent="0.25">
      <c r="A309334" s="1"/>
    </row>
    <row r="309335" spans="1:1" x14ac:dyDescent="0.25">
      <c r="A309335" s="1"/>
    </row>
    <row r="309336" spans="1:1" x14ac:dyDescent="0.25">
      <c r="A309336" s="1"/>
    </row>
    <row r="309337" spans="1:1" x14ac:dyDescent="0.25">
      <c r="A309337" s="1"/>
    </row>
    <row r="309338" spans="1:1" x14ac:dyDescent="0.25">
      <c r="A309338" s="1"/>
    </row>
    <row r="309339" spans="1:1" x14ac:dyDescent="0.25">
      <c r="A309339" s="1"/>
    </row>
    <row r="309340" spans="1:1" x14ac:dyDescent="0.25">
      <c r="A309340" s="1"/>
    </row>
    <row r="309341" spans="1:1" x14ac:dyDescent="0.25">
      <c r="A309341" s="1"/>
    </row>
    <row r="309342" spans="1:1" x14ac:dyDescent="0.25">
      <c r="A309342" s="1"/>
    </row>
    <row r="309343" spans="1:1" x14ac:dyDescent="0.25">
      <c r="A309343" s="1"/>
    </row>
    <row r="309344" spans="1:1" x14ac:dyDescent="0.25">
      <c r="A309344" s="1"/>
    </row>
    <row r="309345" spans="1:1" x14ac:dyDescent="0.25">
      <c r="A309345" s="1"/>
    </row>
    <row r="309346" spans="1:1" x14ac:dyDescent="0.25">
      <c r="A309346" s="1"/>
    </row>
    <row r="309347" spans="1:1" x14ac:dyDescent="0.25">
      <c r="A309347" s="1"/>
    </row>
    <row r="309348" spans="1:1" x14ac:dyDescent="0.25">
      <c r="A309348" s="1"/>
    </row>
    <row r="309349" spans="1:1" x14ac:dyDescent="0.25">
      <c r="A309349" s="1"/>
    </row>
    <row r="309350" spans="1:1" x14ac:dyDescent="0.25">
      <c r="A309350" s="1"/>
    </row>
    <row r="309351" spans="1:1" x14ac:dyDescent="0.25">
      <c r="A309351" s="1"/>
    </row>
    <row r="309352" spans="1:1" x14ac:dyDescent="0.25">
      <c r="A309352" s="1"/>
    </row>
    <row r="309353" spans="1:1" x14ac:dyDescent="0.25">
      <c r="A309353" s="1"/>
    </row>
    <row r="309354" spans="1:1" x14ac:dyDescent="0.25">
      <c r="A309354" s="1"/>
    </row>
    <row r="309355" spans="1:1" x14ac:dyDescent="0.25">
      <c r="A309355" s="1"/>
    </row>
    <row r="309356" spans="1:1" x14ac:dyDescent="0.25">
      <c r="A309356" s="1"/>
    </row>
    <row r="309357" spans="1:1" x14ac:dyDescent="0.25">
      <c r="A309357" s="1"/>
    </row>
    <row r="309358" spans="1:1" x14ac:dyDescent="0.25">
      <c r="A309358" s="1"/>
    </row>
    <row r="309359" spans="1:1" x14ac:dyDescent="0.25">
      <c r="A309359" s="1"/>
    </row>
    <row r="309360" spans="1:1" x14ac:dyDescent="0.25">
      <c r="A309360" s="1"/>
    </row>
    <row r="309361" spans="1:1" x14ac:dyDescent="0.25">
      <c r="A309361" s="1"/>
    </row>
    <row r="309362" spans="1:1" x14ac:dyDescent="0.25">
      <c r="A309362" s="1"/>
    </row>
    <row r="309363" spans="1:1" x14ac:dyDescent="0.25">
      <c r="A309363" s="1"/>
    </row>
    <row r="309364" spans="1:1" x14ac:dyDescent="0.25">
      <c r="A309364" s="1"/>
    </row>
    <row r="309365" spans="1:1" x14ac:dyDescent="0.25">
      <c r="A309365" s="1"/>
    </row>
    <row r="309366" spans="1:1" x14ac:dyDescent="0.25">
      <c r="A309366" s="1"/>
    </row>
    <row r="309367" spans="1:1" x14ac:dyDescent="0.25">
      <c r="A309367" s="1"/>
    </row>
    <row r="309368" spans="1:1" x14ac:dyDescent="0.25">
      <c r="A309368" s="1"/>
    </row>
    <row r="309369" spans="1:1" x14ac:dyDescent="0.25">
      <c r="A309369" s="1"/>
    </row>
    <row r="309370" spans="1:1" x14ac:dyDescent="0.25">
      <c r="A309370" s="1"/>
    </row>
    <row r="309371" spans="1:1" x14ac:dyDescent="0.25">
      <c r="A309371" s="1"/>
    </row>
    <row r="309372" spans="1:1" x14ac:dyDescent="0.25">
      <c r="A309372" s="1"/>
    </row>
    <row r="309373" spans="1:1" x14ac:dyDescent="0.25">
      <c r="A309373" s="1"/>
    </row>
    <row r="309374" spans="1:1" x14ac:dyDescent="0.25">
      <c r="A309374" s="1"/>
    </row>
    <row r="309375" spans="1:1" x14ac:dyDescent="0.25">
      <c r="A309375" s="1"/>
    </row>
    <row r="309376" spans="1:1" x14ac:dyDescent="0.25">
      <c r="A309376" s="1"/>
    </row>
    <row r="309377" spans="1:1" x14ac:dyDescent="0.25">
      <c r="A309377" s="1"/>
    </row>
    <row r="309378" spans="1:1" x14ac:dyDescent="0.25">
      <c r="A309378" s="1"/>
    </row>
    <row r="309379" spans="1:1" x14ac:dyDescent="0.25">
      <c r="A309379" s="1"/>
    </row>
    <row r="309380" spans="1:1" x14ac:dyDescent="0.25">
      <c r="A309380" s="1"/>
    </row>
    <row r="309381" spans="1:1" x14ac:dyDescent="0.25">
      <c r="A309381" s="1"/>
    </row>
    <row r="309382" spans="1:1" x14ac:dyDescent="0.25">
      <c r="A309382" s="1"/>
    </row>
    <row r="309383" spans="1:1" x14ac:dyDescent="0.25">
      <c r="A309383" s="1"/>
    </row>
    <row r="309384" spans="1:1" x14ac:dyDescent="0.25">
      <c r="A309384" s="1"/>
    </row>
    <row r="309385" spans="1:1" x14ac:dyDescent="0.25">
      <c r="A309385" s="1"/>
    </row>
    <row r="309386" spans="1:1" x14ac:dyDescent="0.25">
      <c r="A309386" s="1"/>
    </row>
    <row r="309387" spans="1:1" x14ac:dyDescent="0.25">
      <c r="A309387" s="1"/>
    </row>
    <row r="309388" spans="1:1" x14ac:dyDescent="0.25">
      <c r="A309388" s="1"/>
    </row>
    <row r="309389" spans="1:1" x14ac:dyDescent="0.25">
      <c r="A309389" s="1"/>
    </row>
    <row r="309390" spans="1:1" x14ac:dyDescent="0.25">
      <c r="A309390" s="1"/>
    </row>
    <row r="309391" spans="1:1" x14ac:dyDescent="0.25">
      <c r="A309391" s="1"/>
    </row>
    <row r="309392" spans="1:1" x14ac:dyDescent="0.25">
      <c r="A309392" s="1"/>
    </row>
    <row r="309393" spans="1:1" x14ac:dyDescent="0.25">
      <c r="A309393" s="1"/>
    </row>
    <row r="309394" spans="1:1" x14ac:dyDescent="0.25">
      <c r="A309394" s="1"/>
    </row>
    <row r="309395" spans="1:1" x14ac:dyDescent="0.25">
      <c r="A309395" s="1"/>
    </row>
    <row r="309396" spans="1:1" x14ac:dyDescent="0.25">
      <c r="A309396" s="1"/>
    </row>
    <row r="309397" spans="1:1" x14ac:dyDescent="0.25">
      <c r="A309397" s="1"/>
    </row>
    <row r="309398" spans="1:1" x14ac:dyDescent="0.25">
      <c r="A309398" s="1"/>
    </row>
    <row r="309399" spans="1:1" x14ac:dyDescent="0.25">
      <c r="A309399" s="1"/>
    </row>
    <row r="309400" spans="1:1" x14ac:dyDescent="0.25">
      <c r="A309400" s="1"/>
    </row>
    <row r="309401" spans="1:1" x14ac:dyDescent="0.25">
      <c r="A309401" s="1"/>
    </row>
    <row r="309402" spans="1:1" x14ac:dyDescent="0.25">
      <c r="A309402" s="1"/>
    </row>
    <row r="309403" spans="1:1" x14ac:dyDescent="0.25">
      <c r="A309403" s="1"/>
    </row>
    <row r="309404" spans="1:1" x14ac:dyDescent="0.25">
      <c r="A309404" s="1"/>
    </row>
    <row r="309405" spans="1:1" x14ac:dyDescent="0.25">
      <c r="A309405" s="1"/>
    </row>
    <row r="309406" spans="1:1" x14ac:dyDescent="0.25">
      <c r="A309406" s="1"/>
    </row>
    <row r="309407" spans="1:1" x14ac:dyDescent="0.25">
      <c r="A309407" s="1"/>
    </row>
    <row r="309408" spans="1:1" x14ac:dyDescent="0.25">
      <c r="A309408" s="1"/>
    </row>
    <row r="309409" spans="1:1" x14ac:dyDescent="0.25">
      <c r="A309409" s="1"/>
    </row>
    <row r="309410" spans="1:1" x14ac:dyDescent="0.25">
      <c r="A309410" s="1"/>
    </row>
    <row r="309411" spans="1:1" x14ac:dyDescent="0.25">
      <c r="A309411" s="1"/>
    </row>
    <row r="309412" spans="1:1" x14ac:dyDescent="0.25">
      <c r="A309412" s="1"/>
    </row>
    <row r="309413" spans="1:1" x14ac:dyDescent="0.25">
      <c r="A309413" s="1"/>
    </row>
    <row r="309414" spans="1:1" x14ac:dyDescent="0.25">
      <c r="A309414" s="1"/>
    </row>
    <row r="309415" spans="1:1" x14ac:dyDescent="0.25">
      <c r="A309415" s="1"/>
    </row>
    <row r="309416" spans="1:1" x14ac:dyDescent="0.25">
      <c r="A309416" s="1"/>
    </row>
    <row r="309417" spans="1:1" x14ac:dyDescent="0.25">
      <c r="A309417" s="1"/>
    </row>
    <row r="309418" spans="1:1" x14ac:dyDescent="0.25">
      <c r="A309418" s="1"/>
    </row>
    <row r="309419" spans="1:1" x14ac:dyDescent="0.25">
      <c r="A309419" s="1"/>
    </row>
    <row r="309420" spans="1:1" x14ac:dyDescent="0.25">
      <c r="A309420" s="1"/>
    </row>
    <row r="309421" spans="1:1" x14ac:dyDescent="0.25">
      <c r="A309421" s="1"/>
    </row>
    <row r="309422" spans="1:1" x14ac:dyDescent="0.25">
      <c r="A309422" s="1"/>
    </row>
    <row r="309423" spans="1:1" x14ac:dyDescent="0.25">
      <c r="A309423" s="1"/>
    </row>
    <row r="309424" spans="1:1" x14ac:dyDescent="0.25">
      <c r="A309424" s="1"/>
    </row>
    <row r="309425" spans="1:1" x14ac:dyDescent="0.25">
      <c r="A309425" s="1"/>
    </row>
    <row r="309426" spans="1:1" x14ac:dyDescent="0.25">
      <c r="A309426" s="1"/>
    </row>
    <row r="309427" spans="1:1" x14ac:dyDescent="0.25">
      <c r="A309427" s="1"/>
    </row>
    <row r="309428" spans="1:1" x14ac:dyDescent="0.25">
      <c r="A309428" s="1"/>
    </row>
    <row r="309429" spans="1:1" x14ac:dyDescent="0.25">
      <c r="A309429" s="1"/>
    </row>
    <row r="309430" spans="1:1" x14ac:dyDescent="0.25">
      <c r="A309430" s="1"/>
    </row>
    <row r="309431" spans="1:1" x14ac:dyDescent="0.25">
      <c r="A309431" s="1"/>
    </row>
    <row r="309432" spans="1:1" x14ac:dyDescent="0.25">
      <c r="A309432" s="1"/>
    </row>
    <row r="309433" spans="1:1" x14ac:dyDescent="0.25">
      <c r="A309433" s="1"/>
    </row>
    <row r="309434" spans="1:1" x14ac:dyDescent="0.25">
      <c r="A309434" s="1"/>
    </row>
    <row r="309435" spans="1:1" x14ac:dyDescent="0.25">
      <c r="A309435" s="1"/>
    </row>
    <row r="309436" spans="1:1" x14ac:dyDescent="0.25">
      <c r="A309436" s="1"/>
    </row>
    <row r="309437" spans="1:1" x14ac:dyDescent="0.25">
      <c r="A309437" s="1"/>
    </row>
    <row r="309438" spans="1:1" x14ac:dyDescent="0.25">
      <c r="A309438" s="1"/>
    </row>
    <row r="309439" spans="1:1" x14ac:dyDescent="0.25">
      <c r="A309439" s="1"/>
    </row>
    <row r="309440" spans="1:1" x14ac:dyDescent="0.25">
      <c r="A309440" s="1"/>
    </row>
    <row r="309441" spans="1:1" x14ac:dyDescent="0.25">
      <c r="A309441" s="1"/>
    </row>
    <row r="309442" spans="1:1" x14ac:dyDescent="0.25">
      <c r="A309442" s="1"/>
    </row>
    <row r="309443" spans="1:1" x14ac:dyDescent="0.25">
      <c r="A309443" s="1"/>
    </row>
    <row r="309444" spans="1:1" x14ac:dyDescent="0.25">
      <c r="A309444" s="1"/>
    </row>
    <row r="309445" spans="1:1" x14ac:dyDescent="0.25">
      <c r="A309445" s="1"/>
    </row>
    <row r="309446" spans="1:1" x14ac:dyDescent="0.25">
      <c r="A309446" s="1"/>
    </row>
    <row r="309447" spans="1:1" x14ac:dyDescent="0.25">
      <c r="A309447" s="1"/>
    </row>
    <row r="309448" spans="1:1" x14ac:dyDescent="0.25">
      <c r="A309448" s="1"/>
    </row>
    <row r="309449" spans="1:1" x14ac:dyDescent="0.25">
      <c r="A309449" s="1"/>
    </row>
    <row r="309450" spans="1:1" x14ac:dyDescent="0.25">
      <c r="A309450" s="1"/>
    </row>
    <row r="309451" spans="1:1" x14ac:dyDescent="0.25">
      <c r="A309451" s="1"/>
    </row>
    <row r="309452" spans="1:1" x14ac:dyDescent="0.25">
      <c r="A309452" s="1"/>
    </row>
    <row r="309453" spans="1:1" x14ac:dyDescent="0.25">
      <c r="A309453" s="1"/>
    </row>
    <row r="309454" spans="1:1" x14ac:dyDescent="0.25">
      <c r="A309454" s="1"/>
    </row>
    <row r="309455" spans="1:1" x14ac:dyDescent="0.25">
      <c r="A309455" s="1"/>
    </row>
    <row r="309456" spans="1:1" x14ac:dyDescent="0.25">
      <c r="A309456" s="1"/>
    </row>
    <row r="309457" spans="1:1" x14ac:dyDescent="0.25">
      <c r="A309457" s="1"/>
    </row>
    <row r="309458" spans="1:1" x14ac:dyDescent="0.25">
      <c r="A309458" s="1"/>
    </row>
    <row r="309459" spans="1:1" x14ac:dyDescent="0.25">
      <c r="A309459" s="1"/>
    </row>
    <row r="309460" spans="1:1" x14ac:dyDescent="0.25">
      <c r="A309460" s="1"/>
    </row>
    <row r="309461" spans="1:1" x14ac:dyDescent="0.25">
      <c r="A309461" s="1"/>
    </row>
    <row r="309462" spans="1:1" x14ac:dyDescent="0.25">
      <c r="A309462" s="1"/>
    </row>
    <row r="309463" spans="1:1" x14ac:dyDescent="0.25">
      <c r="A309463" s="1"/>
    </row>
    <row r="309464" spans="1:1" x14ac:dyDescent="0.25">
      <c r="A309464" s="1"/>
    </row>
    <row r="309465" spans="1:1" x14ac:dyDescent="0.25">
      <c r="A309465" s="1"/>
    </row>
    <row r="309466" spans="1:1" x14ac:dyDescent="0.25">
      <c r="A309466" s="1"/>
    </row>
    <row r="309467" spans="1:1" x14ac:dyDescent="0.25">
      <c r="A309467" s="1"/>
    </row>
    <row r="309468" spans="1:1" x14ac:dyDescent="0.25">
      <c r="A309468" s="1"/>
    </row>
    <row r="309469" spans="1:1" x14ac:dyDescent="0.25">
      <c r="A309469" s="1"/>
    </row>
    <row r="309470" spans="1:1" x14ac:dyDescent="0.25">
      <c r="A309470" s="1"/>
    </row>
    <row r="309471" spans="1:1" x14ac:dyDescent="0.25">
      <c r="A309471" s="1"/>
    </row>
    <row r="309472" spans="1:1" x14ac:dyDescent="0.25">
      <c r="A309472" s="1"/>
    </row>
    <row r="309473" spans="1:1" x14ac:dyDescent="0.25">
      <c r="A309473" s="1"/>
    </row>
    <row r="309474" spans="1:1" x14ac:dyDescent="0.25">
      <c r="A309474" s="1"/>
    </row>
    <row r="309475" spans="1:1" x14ac:dyDescent="0.25">
      <c r="A309475" s="1"/>
    </row>
    <row r="309476" spans="1:1" x14ac:dyDescent="0.25">
      <c r="A309476" s="1"/>
    </row>
    <row r="309477" spans="1:1" x14ac:dyDescent="0.25">
      <c r="A309477" s="1"/>
    </row>
    <row r="309478" spans="1:1" x14ac:dyDescent="0.25">
      <c r="A309478" s="1"/>
    </row>
    <row r="309479" spans="1:1" x14ac:dyDescent="0.25">
      <c r="A309479" s="1"/>
    </row>
    <row r="309480" spans="1:1" x14ac:dyDescent="0.25">
      <c r="A309480" s="1"/>
    </row>
    <row r="309481" spans="1:1" x14ac:dyDescent="0.25">
      <c r="A309481" s="1"/>
    </row>
    <row r="309482" spans="1:1" x14ac:dyDescent="0.25">
      <c r="A309482" s="1"/>
    </row>
    <row r="309483" spans="1:1" x14ac:dyDescent="0.25">
      <c r="A309483" s="1"/>
    </row>
    <row r="309484" spans="1:1" x14ac:dyDescent="0.25">
      <c r="A309484" s="1"/>
    </row>
    <row r="309485" spans="1:1" x14ac:dyDescent="0.25">
      <c r="A309485" s="1"/>
    </row>
    <row r="309486" spans="1:1" x14ac:dyDescent="0.25">
      <c r="A309486" s="1"/>
    </row>
    <row r="309487" spans="1:1" x14ac:dyDescent="0.25">
      <c r="A309487" s="1"/>
    </row>
    <row r="309488" spans="1:1" x14ac:dyDescent="0.25">
      <c r="A309488" s="1"/>
    </row>
    <row r="309489" spans="1:1" x14ac:dyDescent="0.25">
      <c r="A309489" s="1"/>
    </row>
    <row r="309490" spans="1:1" x14ac:dyDescent="0.25">
      <c r="A309490" s="1"/>
    </row>
    <row r="309491" spans="1:1" x14ac:dyDescent="0.25">
      <c r="A309491" s="1"/>
    </row>
    <row r="309492" spans="1:1" x14ac:dyDescent="0.25">
      <c r="A309492" s="1"/>
    </row>
    <row r="309493" spans="1:1" x14ac:dyDescent="0.25">
      <c r="A309493" s="1"/>
    </row>
    <row r="309494" spans="1:1" x14ac:dyDescent="0.25">
      <c r="A309494" s="1"/>
    </row>
    <row r="309495" spans="1:1" x14ac:dyDescent="0.25">
      <c r="A309495" s="1"/>
    </row>
    <row r="309496" spans="1:1" x14ac:dyDescent="0.25">
      <c r="A309496" s="1"/>
    </row>
    <row r="309497" spans="1:1" x14ac:dyDescent="0.25">
      <c r="A309497" s="1"/>
    </row>
    <row r="309498" spans="1:1" x14ac:dyDescent="0.25">
      <c r="A309498" s="1"/>
    </row>
    <row r="309499" spans="1:1" x14ac:dyDescent="0.25">
      <c r="A309499" s="1"/>
    </row>
    <row r="309500" spans="1:1" x14ac:dyDescent="0.25">
      <c r="A309500" s="1"/>
    </row>
    <row r="309501" spans="1:1" x14ac:dyDescent="0.25">
      <c r="A309501" s="1"/>
    </row>
    <row r="309502" spans="1:1" x14ac:dyDescent="0.25">
      <c r="A309502" s="1"/>
    </row>
    <row r="309503" spans="1:1" x14ac:dyDescent="0.25">
      <c r="A309503" s="1"/>
    </row>
    <row r="309504" spans="1:1" x14ac:dyDescent="0.25">
      <c r="A309504" s="1"/>
    </row>
    <row r="309505" spans="1:1" x14ac:dyDescent="0.25">
      <c r="A309505" s="1"/>
    </row>
    <row r="309506" spans="1:1" x14ac:dyDescent="0.25">
      <c r="A309506" s="1"/>
    </row>
    <row r="309507" spans="1:1" x14ac:dyDescent="0.25">
      <c r="A309507" s="1"/>
    </row>
    <row r="309508" spans="1:1" x14ac:dyDescent="0.25">
      <c r="A309508" s="1"/>
    </row>
    <row r="309509" spans="1:1" x14ac:dyDescent="0.25">
      <c r="A309509" s="1"/>
    </row>
    <row r="309510" spans="1:1" x14ac:dyDescent="0.25">
      <c r="A309510" s="1"/>
    </row>
    <row r="309511" spans="1:1" x14ac:dyDescent="0.25">
      <c r="A309511" s="1"/>
    </row>
    <row r="309512" spans="1:1" x14ac:dyDescent="0.25">
      <c r="A309512" s="1"/>
    </row>
    <row r="309513" spans="1:1" x14ac:dyDescent="0.25">
      <c r="A309513" s="1"/>
    </row>
    <row r="309514" spans="1:1" x14ac:dyDescent="0.25">
      <c r="A309514" s="1"/>
    </row>
    <row r="309515" spans="1:1" x14ac:dyDescent="0.25">
      <c r="A309515" s="1"/>
    </row>
    <row r="309516" spans="1:1" x14ac:dyDescent="0.25">
      <c r="A309516" s="1"/>
    </row>
    <row r="309517" spans="1:1" x14ac:dyDescent="0.25">
      <c r="A309517" s="1"/>
    </row>
    <row r="309518" spans="1:1" x14ac:dyDescent="0.25">
      <c r="A309518" s="1"/>
    </row>
    <row r="309519" spans="1:1" x14ac:dyDescent="0.25">
      <c r="A309519" s="1"/>
    </row>
    <row r="309520" spans="1:1" x14ac:dyDescent="0.25">
      <c r="A309520" s="1"/>
    </row>
    <row r="309521" spans="1:1" x14ac:dyDescent="0.25">
      <c r="A309521" s="1"/>
    </row>
    <row r="309522" spans="1:1" x14ac:dyDescent="0.25">
      <c r="A309522" s="1"/>
    </row>
    <row r="309523" spans="1:1" x14ac:dyDescent="0.25">
      <c r="A309523" s="1"/>
    </row>
    <row r="309524" spans="1:1" x14ac:dyDescent="0.25">
      <c r="A309524" s="1"/>
    </row>
    <row r="309525" spans="1:1" x14ac:dyDescent="0.25">
      <c r="A309525" s="1"/>
    </row>
    <row r="309526" spans="1:1" x14ac:dyDescent="0.25">
      <c r="A309526" s="1"/>
    </row>
    <row r="309527" spans="1:1" x14ac:dyDescent="0.25">
      <c r="A309527" s="1"/>
    </row>
    <row r="309528" spans="1:1" x14ac:dyDescent="0.25">
      <c r="A309528" s="1"/>
    </row>
    <row r="309529" spans="1:1" x14ac:dyDescent="0.25">
      <c r="A309529" s="1"/>
    </row>
    <row r="309530" spans="1:1" x14ac:dyDescent="0.25">
      <c r="A309530" s="1"/>
    </row>
    <row r="309531" spans="1:1" x14ac:dyDescent="0.25">
      <c r="A309531" s="1"/>
    </row>
    <row r="309532" spans="1:1" x14ac:dyDescent="0.25">
      <c r="A309532" s="1"/>
    </row>
    <row r="309533" spans="1:1" x14ac:dyDescent="0.25">
      <c r="A309533" s="1"/>
    </row>
    <row r="309534" spans="1:1" x14ac:dyDescent="0.25">
      <c r="A309534" s="1"/>
    </row>
    <row r="309535" spans="1:1" x14ac:dyDescent="0.25">
      <c r="A309535" s="1"/>
    </row>
    <row r="309536" spans="1:1" x14ac:dyDescent="0.25">
      <c r="A309536" s="1"/>
    </row>
    <row r="309537" spans="1:1" x14ac:dyDescent="0.25">
      <c r="A309537" s="1"/>
    </row>
    <row r="309538" spans="1:1" x14ac:dyDescent="0.25">
      <c r="A309538" s="1"/>
    </row>
    <row r="309539" spans="1:1" x14ac:dyDescent="0.25">
      <c r="A309539" s="1"/>
    </row>
    <row r="309540" spans="1:1" x14ac:dyDescent="0.25">
      <c r="A309540" s="1"/>
    </row>
    <row r="309541" spans="1:1" x14ac:dyDescent="0.25">
      <c r="A309541" s="1"/>
    </row>
    <row r="309542" spans="1:1" x14ac:dyDescent="0.25">
      <c r="A309542" s="1"/>
    </row>
    <row r="309543" spans="1:1" x14ac:dyDescent="0.25">
      <c r="A309543" s="1"/>
    </row>
    <row r="309544" spans="1:1" x14ac:dyDescent="0.25">
      <c r="A309544" s="1"/>
    </row>
    <row r="309545" spans="1:1" x14ac:dyDescent="0.25">
      <c r="A309545" s="1"/>
    </row>
    <row r="309546" spans="1:1" x14ac:dyDescent="0.25">
      <c r="A309546" s="1"/>
    </row>
    <row r="309547" spans="1:1" x14ac:dyDescent="0.25">
      <c r="A309547" s="1"/>
    </row>
    <row r="309548" spans="1:1" x14ac:dyDescent="0.25">
      <c r="A309548" s="1"/>
    </row>
    <row r="309549" spans="1:1" x14ac:dyDescent="0.25">
      <c r="A309549" s="1"/>
    </row>
    <row r="309550" spans="1:1" x14ac:dyDescent="0.25">
      <c r="A309550" s="1"/>
    </row>
    <row r="309551" spans="1:1" x14ac:dyDescent="0.25">
      <c r="A309551" s="1"/>
    </row>
    <row r="309552" spans="1:1" x14ac:dyDescent="0.25">
      <c r="A309552" s="1"/>
    </row>
    <row r="309553" spans="1:1" x14ac:dyDescent="0.25">
      <c r="A309553" s="1"/>
    </row>
    <row r="309554" spans="1:1" x14ac:dyDescent="0.25">
      <c r="A309554" s="1"/>
    </row>
    <row r="309555" spans="1:1" x14ac:dyDescent="0.25">
      <c r="A309555" s="1"/>
    </row>
    <row r="309556" spans="1:1" x14ac:dyDescent="0.25">
      <c r="A309556" s="1"/>
    </row>
    <row r="309557" spans="1:1" x14ac:dyDescent="0.25">
      <c r="A309557" s="1"/>
    </row>
    <row r="309558" spans="1:1" x14ac:dyDescent="0.25">
      <c r="A309558" s="1"/>
    </row>
    <row r="309559" spans="1:1" x14ac:dyDescent="0.25">
      <c r="A309559" s="1"/>
    </row>
    <row r="309560" spans="1:1" x14ac:dyDescent="0.25">
      <c r="A309560" s="1"/>
    </row>
    <row r="309561" spans="1:1" x14ac:dyDescent="0.25">
      <c r="A309561" s="1"/>
    </row>
    <row r="309562" spans="1:1" x14ac:dyDescent="0.25">
      <c r="A309562" s="1"/>
    </row>
    <row r="309563" spans="1:1" x14ac:dyDescent="0.25">
      <c r="A309563" s="1"/>
    </row>
    <row r="309564" spans="1:1" x14ac:dyDescent="0.25">
      <c r="A309564" s="1"/>
    </row>
    <row r="309565" spans="1:1" x14ac:dyDescent="0.25">
      <c r="A309565" s="1"/>
    </row>
    <row r="309566" spans="1:1" x14ac:dyDescent="0.25">
      <c r="A309566" s="1"/>
    </row>
    <row r="309567" spans="1:1" x14ac:dyDescent="0.25">
      <c r="A309567" s="1"/>
    </row>
    <row r="309568" spans="1:1" x14ac:dyDescent="0.25">
      <c r="A309568" s="1"/>
    </row>
    <row r="309569" spans="1:1" x14ac:dyDescent="0.25">
      <c r="A309569" s="1"/>
    </row>
    <row r="309570" spans="1:1" x14ac:dyDescent="0.25">
      <c r="A309570" s="1"/>
    </row>
    <row r="309571" spans="1:1" x14ac:dyDescent="0.25">
      <c r="A309571" s="1"/>
    </row>
    <row r="309572" spans="1:1" x14ac:dyDescent="0.25">
      <c r="A309572" s="1"/>
    </row>
    <row r="309573" spans="1:1" x14ac:dyDescent="0.25">
      <c r="A309573" s="1"/>
    </row>
    <row r="309574" spans="1:1" x14ac:dyDescent="0.25">
      <c r="A309574" s="1"/>
    </row>
    <row r="309575" spans="1:1" x14ac:dyDescent="0.25">
      <c r="A309575" s="1"/>
    </row>
    <row r="309576" spans="1:1" x14ac:dyDescent="0.25">
      <c r="A309576" s="1"/>
    </row>
    <row r="309577" spans="1:1" x14ac:dyDescent="0.25">
      <c r="A309577" s="1"/>
    </row>
    <row r="309578" spans="1:1" x14ac:dyDescent="0.25">
      <c r="A309578" s="1"/>
    </row>
    <row r="309579" spans="1:1" x14ac:dyDescent="0.25">
      <c r="A309579" s="1"/>
    </row>
    <row r="309580" spans="1:1" x14ac:dyDescent="0.25">
      <c r="A309580" s="1"/>
    </row>
    <row r="309581" spans="1:1" x14ac:dyDescent="0.25">
      <c r="A309581" s="1"/>
    </row>
    <row r="309582" spans="1:1" x14ac:dyDescent="0.25">
      <c r="A309582" s="1"/>
    </row>
    <row r="309583" spans="1:1" x14ac:dyDescent="0.25">
      <c r="A309583" s="1"/>
    </row>
    <row r="309584" spans="1:1" x14ac:dyDescent="0.25">
      <c r="A309584" s="1"/>
    </row>
    <row r="309585" spans="1:1" x14ac:dyDescent="0.25">
      <c r="A309585" s="1"/>
    </row>
    <row r="309586" spans="1:1" x14ac:dyDescent="0.25">
      <c r="A309586" s="1"/>
    </row>
    <row r="309587" spans="1:1" x14ac:dyDescent="0.25">
      <c r="A309587" s="1"/>
    </row>
    <row r="309588" spans="1:1" x14ac:dyDescent="0.25">
      <c r="A309588" s="1"/>
    </row>
    <row r="309589" spans="1:1" x14ac:dyDescent="0.25">
      <c r="A309589" s="1"/>
    </row>
    <row r="309590" spans="1:1" x14ac:dyDescent="0.25">
      <c r="A309590" s="1"/>
    </row>
    <row r="309591" spans="1:1" x14ac:dyDescent="0.25">
      <c r="A309591" s="1"/>
    </row>
    <row r="309592" spans="1:1" x14ac:dyDescent="0.25">
      <c r="A309592" s="1"/>
    </row>
    <row r="309593" spans="1:1" x14ac:dyDescent="0.25">
      <c r="A309593" s="1"/>
    </row>
    <row r="309594" spans="1:1" x14ac:dyDescent="0.25">
      <c r="A309594" s="1"/>
    </row>
    <row r="309595" spans="1:1" x14ac:dyDescent="0.25">
      <c r="A309595" s="1"/>
    </row>
    <row r="309596" spans="1:1" x14ac:dyDescent="0.25">
      <c r="A309596" s="1"/>
    </row>
    <row r="309597" spans="1:1" x14ac:dyDescent="0.25">
      <c r="A309597" s="1"/>
    </row>
    <row r="309598" spans="1:1" x14ac:dyDescent="0.25">
      <c r="A309598" s="1"/>
    </row>
    <row r="309599" spans="1:1" x14ac:dyDescent="0.25">
      <c r="A309599" s="1"/>
    </row>
    <row r="309600" spans="1:1" x14ac:dyDescent="0.25">
      <c r="A309600" s="1"/>
    </row>
    <row r="309601" spans="1:1" x14ac:dyDescent="0.25">
      <c r="A309601" s="1"/>
    </row>
    <row r="309602" spans="1:1" x14ac:dyDescent="0.25">
      <c r="A309602" s="1"/>
    </row>
    <row r="309603" spans="1:1" x14ac:dyDescent="0.25">
      <c r="A309603" s="1"/>
    </row>
    <row r="309604" spans="1:1" x14ac:dyDescent="0.25">
      <c r="A309604" s="1"/>
    </row>
    <row r="309605" spans="1:1" x14ac:dyDescent="0.25">
      <c r="A309605" s="1"/>
    </row>
    <row r="309606" spans="1:1" x14ac:dyDescent="0.25">
      <c r="A309606" s="1"/>
    </row>
    <row r="309607" spans="1:1" x14ac:dyDescent="0.25">
      <c r="A309607" s="1"/>
    </row>
    <row r="309608" spans="1:1" x14ac:dyDescent="0.25">
      <c r="A309608" s="1"/>
    </row>
    <row r="309609" spans="1:1" x14ac:dyDescent="0.25">
      <c r="A309609" s="1"/>
    </row>
    <row r="309610" spans="1:1" x14ac:dyDescent="0.25">
      <c r="A309610" s="1"/>
    </row>
    <row r="309611" spans="1:1" x14ac:dyDescent="0.25">
      <c r="A309611" s="1"/>
    </row>
    <row r="309612" spans="1:1" x14ac:dyDescent="0.25">
      <c r="A309612" s="1"/>
    </row>
    <row r="309613" spans="1:1" x14ac:dyDescent="0.25">
      <c r="A309613" s="1"/>
    </row>
    <row r="309614" spans="1:1" x14ac:dyDescent="0.25">
      <c r="A309614" s="1"/>
    </row>
    <row r="309615" spans="1:1" x14ac:dyDescent="0.25">
      <c r="A309615" s="1"/>
    </row>
    <row r="309616" spans="1:1" x14ac:dyDescent="0.25">
      <c r="A309616" s="1"/>
    </row>
    <row r="309617" spans="1:1" x14ac:dyDescent="0.25">
      <c r="A309617" s="1"/>
    </row>
    <row r="309618" spans="1:1" x14ac:dyDescent="0.25">
      <c r="A309618" s="1"/>
    </row>
    <row r="309619" spans="1:1" x14ac:dyDescent="0.25">
      <c r="A309619" s="1"/>
    </row>
    <row r="309620" spans="1:1" x14ac:dyDescent="0.25">
      <c r="A309620" s="1"/>
    </row>
    <row r="309621" spans="1:1" x14ac:dyDescent="0.25">
      <c r="A309621" s="1"/>
    </row>
    <row r="309622" spans="1:1" x14ac:dyDescent="0.25">
      <c r="A309622" s="1"/>
    </row>
    <row r="309623" spans="1:1" x14ac:dyDescent="0.25">
      <c r="A309623" s="1"/>
    </row>
    <row r="309624" spans="1:1" x14ac:dyDescent="0.25">
      <c r="A309624" s="1"/>
    </row>
    <row r="309625" spans="1:1" x14ac:dyDescent="0.25">
      <c r="A309625" s="1"/>
    </row>
    <row r="309626" spans="1:1" x14ac:dyDescent="0.25">
      <c r="A309626" s="1"/>
    </row>
    <row r="309627" spans="1:1" x14ac:dyDescent="0.25">
      <c r="A309627" s="1"/>
    </row>
    <row r="309628" spans="1:1" x14ac:dyDescent="0.25">
      <c r="A309628" s="1"/>
    </row>
    <row r="309629" spans="1:1" x14ac:dyDescent="0.25">
      <c r="A309629" s="1"/>
    </row>
    <row r="309630" spans="1:1" x14ac:dyDescent="0.25">
      <c r="A309630" s="1"/>
    </row>
    <row r="309631" spans="1:1" x14ac:dyDescent="0.25">
      <c r="A309631" s="1"/>
    </row>
    <row r="309632" spans="1:1" x14ac:dyDescent="0.25">
      <c r="A309632" s="1"/>
    </row>
    <row r="309633" spans="1:1" x14ac:dyDescent="0.25">
      <c r="A309633" s="1"/>
    </row>
    <row r="309634" spans="1:1" x14ac:dyDescent="0.25">
      <c r="A309634" s="1"/>
    </row>
    <row r="309635" spans="1:1" x14ac:dyDescent="0.25">
      <c r="A309635" s="1"/>
    </row>
    <row r="309636" spans="1:1" x14ac:dyDescent="0.25">
      <c r="A309636" s="1"/>
    </row>
    <row r="309637" spans="1:1" x14ac:dyDescent="0.25">
      <c r="A309637" s="1"/>
    </row>
    <row r="309638" spans="1:1" x14ac:dyDescent="0.25">
      <c r="A309638" s="1"/>
    </row>
    <row r="309639" spans="1:1" x14ac:dyDescent="0.25">
      <c r="A309639" s="1"/>
    </row>
    <row r="309640" spans="1:1" x14ac:dyDescent="0.25">
      <c r="A309640" s="1"/>
    </row>
    <row r="309641" spans="1:1" x14ac:dyDescent="0.25">
      <c r="A309641" s="1"/>
    </row>
    <row r="309642" spans="1:1" x14ac:dyDescent="0.25">
      <c r="A309642" s="1"/>
    </row>
    <row r="309643" spans="1:1" x14ac:dyDescent="0.25">
      <c r="A309643" s="1"/>
    </row>
    <row r="309644" spans="1:1" x14ac:dyDescent="0.25">
      <c r="A309644" s="1"/>
    </row>
    <row r="309645" spans="1:1" x14ac:dyDescent="0.25">
      <c r="A309645" s="1"/>
    </row>
    <row r="309646" spans="1:1" x14ac:dyDescent="0.25">
      <c r="A309646" s="1"/>
    </row>
    <row r="309647" spans="1:1" x14ac:dyDescent="0.25">
      <c r="A309647" s="1"/>
    </row>
    <row r="309648" spans="1:1" x14ac:dyDescent="0.25">
      <c r="A309648" s="1"/>
    </row>
    <row r="309649" spans="1:1" x14ac:dyDescent="0.25">
      <c r="A309649" s="1"/>
    </row>
    <row r="309650" spans="1:1" x14ac:dyDescent="0.25">
      <c r="A309650" s="1"/>
    </row>
    <row r="309651" spans="1:1" x14ac:dyDescent="0.25">
      <c r="A309651" s="1"/>
    </row>
    <row r="309652" spans="1:1" x14ac:dyDescent="0.25">
      <c r="A309652" s="1"/>
    </row>
    <row r="309653" spans="1:1" x14ac:dyDescent="0.25">
      <c r="A309653" s="1"/>
    </row>
    <row r="309654" spans="1:1" x14ac:dyDescent="0.25">
      <c r="A309654" s="1"/>
    </row>
    <row r="309655" spans="1:1" x14ac:dyDescent="0.25">
      <c r="A309655" s="1"/>
    </row>
    <row r="309656" spans="1:1" x14ac:dyDescent="0.25">
      <c r="A309656" s="1"/>
    </row>
    <row r="309657" spans="1:1" x14ac:dyDescent="0.25">
      <c r="A309657" s="1"/>
    </row>
    <row r="309658" spans="1:1" x14ac:dyDescent="0.25">
      <c r="A309658" s="1"/>
    </row>
    <row r="309659" spans="1:1" x14ac:dyDescent="0.25">
      <c r="A309659" s="1"/>
    </row>
    <row r="309660" spans="1:1" x14ac:dyDescent="0.25">
      <c r="A309660" s="1"/>
    </row>
    <row r="309661" spans="1:1" x14ac:dyDescent="0.25">
      <c r="A309661" s="1"/>
    </row>
    <row r="309662" spans="1:1" x14ac:dyDescent="0.25">
      <c r="A309662" s="1"/>
    </row>
    <row r="309663" spans="1:1" x14ac:dyDescent="0.25">
      <c r="A309663" s="1"/>
    </row>
    <row r="309664" spans="1:1" x14ac:dyDescent="0.25">
      <c r="A309664" s="1"/>
    </row>
    <row r="309665" spans="1:1" x14ac:dyDescent="0.25">
      <c r="A309665" s="1"/>
    </row>
    <row r="309666" spans="1:1" x14ac:dyDescent="0.25">
      <c r="A309666" s="1"/>
    </row>
    <row r="309667" spans="1:1" x14ac:dyDescent="0.25">
      <c r="A309667" s="1"/>
    </row>
    <row r="309668" spans="1:1" x14ac:dyDescent="0.25">
      <c r="A309668" s="1"/>
    </row>
    <row r="309669" spans="1:1" x14ac:dyDescent="0.25">
      <c r="A309669" s="1"/>
    </row>
    <row r="309670" spans="1:1" x14ac:dyDescent="0.25">
      <c r="A309670" s="1"/>
    </row>
    <row r="309671" spans="1:1" x14ac:dyDescent="0.25">
      <c r="A309671" s="1"/>
    </row>
    <row r="309672" spans="1:1" x14ac:dyDescent="0.25">
      <c r="A309672" s="1"/>
    </row>
    <row r="309673" spans="1:1" x14ac:dyDescent="0.25">
      <c r="A309673" s="1"/>
    </row>
    <row r="309674" spans="1:1" x14ac:dyDescent="0.25">
      <c r="A309674" s="1"/>
    </row>
    <row r="309675" spans="1:1" x14ac:dyDescent="0.25">
      <c r="A309675" s="1"/>
    </row>
    <row r="309676" spans="1:1" x14ac:dyDescent="0.25">
      <c r="A309676" s="1"/>
    </row>
    <row r="309677" spans="1:1" x14ac:dyDescent="0.25">
      <c r="A309677" s="1"/>
    </row>
    <row r="309678" spans="1:1" x14ac:dyDescent="0.25">
      <c r="A309678" s="1"/>
    </row>
    <row r="309679" spans="1:1" x14ac:dyDescent="0.25">
      <c r="A309679" s="1"/>
    </row>
    <row r="309680" spans="1:1" x14ac:dyDescent="0.25">
      <c r="A309680" s="1"/>
    </row>
    <row r="309681" spans="1:1" x14ac:dyDescent="0.25">
      <c r="A309681" s="1"/>
    </row>
    <row r="309682" spans="1:1" x14ac:dyDescent="0.25">
      <c r="A309682" s="1"/>
    </row>
    <row r="309683" spans="1:1" x14ac:dyDescent="0.25">
      <c r="A309683" s="1"/>
    </row>
    <row r="309684" spans="1:1" x14ac:dyDescent="0.25">
      <c r="A309684" s="1"/>
    </row>
    <row r="309685" spans="1:1" x14ac:dyDescent="0.25">
      <c r="A309685" s="1"/>
    </row>
    <row r="309686" spans="1:1" x14ac:dyDescent="0.25">
      <c r="A309686" s="1"/>
    </row>
    <row r="309687" spans="1:1" x14ac:dyDescent="0.25">
      <c r="A309687" s="1"/>
    </row>
    <row r="309688" spans="1:1" x14ac:dyDescent="0.25">
      <c r="A309688" s="1"/>
    </row>
    <row r="309689" spans="1:1" x14ac:dyDescent="0.25">
      <c r="A309689" s="1"/>
    </row>
    <row r="309690" spans="1:1" x14ac:dyDescent="0.25">
      <c r="A309690" s="1"/>
    </row>
    <row r="309691" spans="1:1" x14ac:dyDescent="0.25">
      <c r="A309691" s="1"/>
    </row>
    <row r="309692" spans="1:1" x14ac:dyDescent="0.25">
      <c r="A309692" s="1"/>
    </row>
    <row r="309693" spans="1:1" x14ac:dyDescent="0.25">
      <c r="A309693" s="1"/>
    </row>
    <row r="309694" spans="1:1" x14ac:dyDescent="0.25">
      <c r="A309694" s="1"/>
    </row>
    <row r="309695" spans="1:1" x14ac:dyDescent="0.25">
      <c r="A309695" s="1"/>
    </row>
    <row r="309696" spans="1:1" x14ac:dyDescent="0.25">
      <c r="A309696" s="1"/>
    </row>
    <row r="309697" spans="1:1" x14ac:dyDescent="0.25">
      <c r="A309697" s="1"/>
    </row>
    <row r="309698" spans="1:1" x14ac:dyDescent="0.25">
      <c r="A309698" s="1"/>
    </row>
    <row r="309699" spans="1:1" x14ac:dyDescent="0.25">
      <c r="A309699" s="1"/>
    </row>
    <row r="309700" spans="1:1" x14ac:dyDescent="0.25">
      <c r="A309700" s="1"/>
    </row>
    <row r="309701" spans="1:1" x14ac:dyDescent="0.25">
      <c r="A309701" s="1"/>
    </row>
    <row r="309702" spans="1:1" x14ac:dyDescent="0.25">
      <c r="A309702" s="1"/>
    </row>
    <row r="309703" spans="1:1" x14ac:dyDescent="0.25">
      <c r="A309703" s="1"/>
    </row>
    <row r="309704" spans="1:1" x14ac:dyDescent="0.25">
      <c r="A309704" s="1"/>
    </row>
    <row r="309705" spans="1:1" x14ac:dyDescent="0.25">
      <c r="A309705" s="1"/>
    </row>
    <row r="309706" spans="1:1" x14ac:dyDescent="0.25">
      <c r="A309706" s="1"/>
    </row>
    <row r="309707" spans="1:1" x14ac:dyDescent="0.25">
      <c r="A309707" s="1"/>
    </row>
    <row r="309708" spans="1:1" x14ac:dyDescent="0.25">
      <c r="A309708" s="1"/>
    </row>
    <row r="309709" spans="1:1" x14ac:dyDescent="0.25">
      <c r="A309709" s="1"/>
    </row>
    <row r="309710" spans="1:1" x14ac:dyDescent="0.25">
      <c r="A309710" s="1"/>
    </row>
    <row r="309711" spans="1:1" x14ac:dyDescent="0.25">
      <c r="A309711" s="1"/>
    </row>
    <row r="309712" spans="1:1" x14ac:dyDescent="0.25">
      <c r="A309712" s="1"/>
    </row>
    <row r="309713" spans="1:1" x14ac:dyDescent="0.25">
      <c r="A309713" s="1"/>
    </row>
    <row r="309714" spans="1:1" x14ac:dyDescent="0.25">
      <c r="A309714" s="1"/>
    </row>
    <row r="309715" spans="1:1" x14ac:dyDescent="0.25">
      <c r="A309715" s="1"/>
    </row>
    <row r="309716" spans="1:1" x14ac:dyDescent="0.25">
      <c r="A309716" s="1"/>
    </row>
    <row r="309717" spans="1:1" x14ac:dyDescent="0.25">
      <c r="A309717" s="1"/>
    </row>
    <row r="309718" spans="1:1" x14ac:dyDescent="0.25">
      <c r="A309718" s="1"/>
    </row>
    <row r="309719" spans="1:1" x14ac:dyDescent="0.25">
      <c r="A309719" s="1"/>
    </row>
    <row r="309720" spans="1:1" x14ac:dyDescent="0.25">
      <c r="A309720" s="1"/>
    </row>
    <row r="309721" spans="1:1" x14ac:dyDescent="0.25">
      <c r="A309721" s="1"/>
    </row>
    <row r="309722" spans="1:1" x14ac:dyDescent="0.25">
      <c r="A309722" s="1"/>
    </row>
    <row r="309723" spans="1:1" x14ac:dyDescent="0.25">
      <c r="A309723" s="1"/>
    </row>
    <row r="309724" spans="1:1" x14ac:dyDescent="0.25">
      <c r="A309724" s="1"/>
    </row>
    <row r="309725" spans="1:1" x14ac:dyDescent="0.25">
      <c r="A309725" s="1"/>
    </row>
    <row r="309726" spans="1:1" x14ac:dyDescent="0.25">
      <c r="A309726" s="1"/>
    </row>
    <row r="309727" spans="1:1" x14ac:dyDescent="0.25">
      <c r="A309727" s="1"/>
    </row>
    <row r="309728" spans="1:1" x14ac:dyDescent="0.25">
      <c r="A309728" s="1"/>
    </row>
    <row r="309729" spans="1:1" x14ac:dyDescent="0.25">
      <c r="A309729" s="1"/>
    </row>
    <row r="309730" spans="1:1" x14ac:dyDescent="0.25">
      <c r="A309730" s="1"/>
    </row>
    <row r="309731" spans="1:1" x14ac:dyDescent="0.25">
      <c r="A309731" s="1"/>
    </row>
    <row r="309732" spans="1:1" x14ac:dyDescent="0.25">
      <c r="A309732" s="1"/>
    </row>
    <row r="309733" spans="1:1" x14ac:dyDescent="0.25">
      <c r="A309733" s="1"/>
    </row>
    <row r="309734" spans="1:1" x14ac:dyDescent="0.25">
      <c r="A309734" s="1"/>
    </row>
    <row r="309735" spans="1:1" x14ac:dyDescent="0.25">
      <c r="A309735" s="1"/>
    </row>
    <row r="309736" spans="1:1" x14ac:dyDescent="0.25">
      <c r="A309736" s="1"/>
    </row>
    <row r="309737" spans="1:1" x14ac:dyDescent="0.25">
      <c r="A309737" s="1"/>
    </row>
    <row r="309738" spans="1:1" x14ac:dyDescent="0.25">
      <c r="A309738" s="1"/>
    </row>
    <row r="309739" spans="1:1" x14ac:dyDescent="0.25">
      <c r="A309739" s="1"/>
    </row>
    <row r="309740" spans="1:1" x14ac:dyDescent="0.25">
      <c r="A309740" s="1"/>
    </row>
    <row r="309741" spans="1:1" x14ac:dyDescent="0.25">
      <c r="A309741" s="1"/>
    </row>
    <row r="309742" spans="1:1" x14ac:dyDescent="0.25">
      <c r="A309742" s="1"/>
    </row>
    <row r="309743" spans="1:1" x14ac:dyDescent="0.25">
      <c r="A309743" s="1"/>
    </row>
    <row r="309744" spans="1:1" x14ac:dyDescent="0.25">
      <c r="A309744" s="1"/>
    </row>
    <row r="309745" spans="1:1" x14ac:dyDescent="0.25">
      <c r="A309745" s="1"/>
    </row>
    <row r="309746" spans="1:1" x14ac:dyDescent="0.25">
      <c r="A309746" s="1"/>
    </row>
    <row r="309747" spans="1:1" x14ac:dyDescent="0.25">
      <c r="A309747" s="1"/>
    </row>
    <row r="309748" spans="1:1" x14ac:dyDescent="0.25">
      <c r="A309748" s="1"/>
    </row>
    <row r="309749" spans="1:1" x14ac:dyDescent="0.25">
      <c r="A309749" s="1"/>
    </row>
    <row r="309750" spans="1:1" x14ac:dyDescent="0.25">
      <c r="A309750" s="1"/>
    </row>
    <row r="309751" spans="1:1" x14ac:dyDescent="0.25">
      <c r="A309751" s="1"/>
    </row>
    <row r="309752" spans="1:1" x14ac:dyDescent="0.25">
      <c r="A309752" s="1"/>
    </row>
    <row r="309753" spans="1:1" x14ac:dyDescent="0.25">
      <c r="A309753" s="1"/>
    </row>
    <row r="309754" spans="1:1" x14ac:dyDescent="0.25">
      <c r="A309754" s="1"/>
    </row>
    <row r="309755" spans="1:1" x14ac:dyDescent="0.25">
      <c r="A309755" s="1"/>
    </row>
    <row r="309756" spans="1:1" x14ac:dyDescent="0.25">
      <c r="A309756" s="1"/>
    </row>
    <row r="309757" spans="1:1" x14ac:dyDescent="0.25">
      <c r="A309757" s="1"/>
    </row>
    <row r="309758" spans="1:1" x14ac:dyDescent="0.25">
      <c r="A309758" s="1"/>
    </row>
    <row r="309759" spans="1:1" x14ac:dyDescent="0.25">
      <c r="A309759" s="1"/>
    </row>
    <row r="309760" spans="1:1" x14ac:dyDescent="0.25">
      <c r="A309760" s="1"/>
    </row>
    <row r="309761" spans="1:1" x14ac:dyDescent="0.25">
      <c r="A309761" s="1"/>
    </row>
    <row r="309762" spans="1:1" x14ac:dyDescent="0.25">
      <c r="A309762" s="1"/>
    </row>
    <row r="309763" spans="1:1" x14ac:dyDescent="0.25">
      <c r="A309763" s="1"/>
    </row>
    <row r="309764" spans="1:1" x14ac:dyDescent="0.25">
      <c r="A309764" s="1"/>
    </row>
    <row r="309765" spans="1:1" x14ac:dyDescent="0.25">
      <c r="A309765" s="1"/>
    </row>
    <row r="309766" spans="1:1" x14ac:dyDescent="0.25">
      <c r="A309766" s="1"/>
    </row>
    <row r="309767" spans="1:1" x14ac:dyDescent="0.25">
      <c r="A309767" s="1"/>
    </row>
    <row r="309768" spans="1:1" x14ac:dyDescent="0.25">
      <c r="A309768" s="1"/>
    </row>
    <row r="309769" spans="1:1" x14ac:dyDescent="0.25">
      <c r="A309769" s="1"/>
    </row>
    <row r="309770" spans="1:1" x14ac:dyDescent="0.25">
      <c r="A309770" s="1"/>
    </row>
    <row r="309771" spans="1:1" x14ac:dyDescent="0.25">
      <c r="A309771" s="1"/>
    </row>
    <row r="309772" spans="1:1" x14ac:dyDescent="0.25">
      <c r="A309772" s="1"/>
    </row>
    <row r="309773" spans="1:1" x14ac:dyDescent="0.25">
      <c r="A309773" s="1"/>
    </row>
    <row r="309774" spans="1:1" x14ac:dyDescent="0.25">
      <c r="A309774" s="1"/>
    </row>
    <row r="309775" spans="1:1" x14ac:dyDescent="0.25">
      <c r="A309775" s="1"/>
    </row>
    <row r="309776" spans="1:1" x14ac:dyDescent="0.25">
      <c r="A309776" s="1"/>
    </row>
    <row r="309777" spans="1:1" x14ac:dyDescent="0.25">
      <c r="A309777" s="1"/>
    </row>
    <row r="309778" spans="1:1" x14ac:dyDescent="0.25">
      <c r="A309778" s="1"/>
    </row>
    <row r="309779" spans="1:1" x14ac:dyDescent="0.25">
      <c r="A309779" s="1"/>
    </row>
    <row r="309780" spans="1:1" x14ac:dyDescent="0.25">
      <c r="A309780" s="1"/>
    </row>
    <row r="309781" spans="1:1" x14ac:dyDescent="0.25">
      <c r="A309781" s="1"/>
    </row>
    <row r="309782" spans="1:1" x14ac:dyDescent="0.25">
      <c r="A309782" s="1"/>
    </row>
    <row r="309783" spans="1:1" x14ac:dyDescent="0.25">
      <c r="A309783" s="1"/>
    </row>
    <row r="309784" spans="1:1" x14ac:dyDescent="0.25">
      <c r="A309784" s="1"/>
    </row>
    <row r="309785" spans="1:1" x14ac:dyDescent="0.25">
      <c r="A309785" s="1"/>
    </row>
    <row r="309786" spans="1:1" x14ac:dyDescent="0.25">
      <c r="A309786" s="1"/>
    </row>
    <row r="309787" spans="1:1" x14ac:dyDescent="0.25">
      <c r="A309787" s="1"/>
    </row>
    <row r="309788" spans="1:1" x14ac:dyDescent="0.25">
      <c r="A309788" s="1"/>
    </row>
    <row r="309789" spans="1:1" x14ac:dyDescent="0.25">
      <c r="A309789" s="1"/>
    </row>
    <row r="309790" spans="1:1" x14ac:dyDescent="0.25">
      <c r="A309790" s="1"/>
    </row>
    <row r="309791" spans="1:1" x14ac:dyDescent="0.25">
      <c r="A309791" s="1"/>
    </row>
    <row r="309792" spans="1:1" x14ac:dyDescent="0.25">
      <c r="A309792" s="1"/>
    </row>
    <row r="309793" spans="1:1" x14ac:dyDescent="0.25">
      <c r="A309793" s="1"/>
    </row>
    <row r="309794" spans="1:1" x14ac:dyDescent="0.25">
      <c r="A309794" s="1"/>
    </row>
    <row r="309795" spans="1:1" x14ac:dyDescent="0.25">
      <c r="A309795" s="1"/>
    </row>
    <row r="309796" spans="1:1" x14ac:dyDescent="0.25">
      <c r="A309796" s="1"/>
    </row>
    <row r="309797" spans="1:1" x14ac:dyDescent="0.25">
      <c r="A309797" s="1"/>
    </row>
    <row r="309798" spans="1:1" x14ac:dyDescent="0.25">
      <c r="A309798" s="1"/>
    </row>
    <row r="309799" spans="1:1" x14ac:dyDescent="0.25">
      <c r="A309799" s="1"/>
    </row>
    <row r="309800" spans="1:1" x14ac:dyDescent="0.25">
      <c r="A309800" s="1"/>
    </row>
    <row r="309801" spans="1:1" x14ac:dyDescent="0.25">
      <c r="A309801" s="1"/>
    </row>
    <row r="309802" spans="1:1" x14ac:dyDescent="0.25">
      <c r="A309802" s="1"/>
    </row>
    <row r="309803" spans="1:1" x14ac:dyDescent="0.25">
      <c r="A309803" s="1"/>
    </row>
    <row r="309804" spans="1:1" x14ac:dyDescent="0.25">
      <c r="A309804" s="1"/>
    </row>
    <row r="309805" spans="1:1" x14ac:dyDescent="0.25">
      <c r="A309805" s="1"/>
    </row>
    <row r="309806" spans="1:1" x14ac:dyDescent="0.25">
      <c r="A309806" s="1"/>
    </row>
    <row r="309807" spans="1:1" x14ac:dyDescent="0.25">
      <c r="A309807" s="1"/>
    </row>
    <row r="309808" spans="1:1" x14ac:dyDescent="0.25">
      <c r="A309808" s="1"/>
    </row>
    <row r="309809" spans="1:1" x14ac:dyDescent="0.25">
      <c r="A309809" s="1"/>
    </row>
    <row r="309810" spans="1:1" x14ac:dyDescent="0.25">
      <c r="A309810" s="1"/>
    </row>
    <row r="309811" spans="1:1" x14ac:dyDescent="0.25">
      <c r="A309811" s="1"/>
    </row>
    <row r="309812" spans="1:1" x14ac:dyDescent="0.25">
      <c r="A309812" s="1"/>
    </row>
    <row r="309813" spans="1:1" x14ac:dyDescent="0.25">
      <c r="A309813" s="1"/>
    </row>
    <row r="309814" spans="1:1" x14ac:dyDescent="0.25">
      <c r="A309814" s="1"/>
    </row>
    <row r="309815" spans="1:1" x14ac:dyDescent="0.25">
      <c r="A309815" s="1"/>
    </row>
    <row r="309816" spans="1:1" x14ac:dyDescent="0.25">
      <c r="A309816" s="1"/>
    </row>
    <row r="309817" spans="1:1" x14ac:dyDescent="0.25">
      <c r="A309817" s="1"/>
    </row>
    <row r="309818" spans="1:1" x14ac:dyDescent="0.25">
      <c r="A309818" s="1"/>
    </row>
    <row r="309819" spans="1:1" x14ac:dyDescent="0.25">
      <c r="A309819" s="1"/>
    </row>
    <row r="309820" spans="1:1" x14ac:dyDescent="0.25">
      <c r="A309820" s="1"/>
    </row>
    <row r="309821" spans="1:1" x14ac:dyDescent="0.25">
      <c r="A309821" s="1"/>
    </row>
    <row r="309822" spans="1:1" x14ac:dyDescent="0.25">
      <c r="A309822" s="1"/>
    </row>
    <row r="309823" spans="1:1" x14ac:dyDescent="0.25">
      <c r="A309823" s="1"/>
    </row>
    <row r="309824" spans="1:1" x14ac:dyDescent="0.25">
      <c r="A309824" s="1"/>
    </row>
    <row r="309825" spans="1:1" x14ac:dyDescent="0.25">
      <c r="A309825" s="1"/>
    </row>
    <row r="309826" spans="1:1" x14ac:dyDescent="0.25">
      <c r="A309826" s="1"/>
    </row>
    <row r="309827" spans="1:1" x14ac:dyDescent="0.25">
      <c r="A309827" s="1"/>
    </row>
    <row r="309828" spans="1:1" x14ac:dyDescent="0.25">
      <c r="A309828" s="1"/>
    </row>
    <row r="309829" spans="1:1" x14ac:dyDescent="0.25">
      <c r="A309829" s="1"/>
    </row>
    <row r="309830" spans="1:1" x14ac:dyDescent="0.25">
      <c r="A309830" s="1"/>
    </row>
    <row r="309831" spans="1:1" x14ac:dyDescent="0.25">
      <c r="A309831" s="1"/>
    </row>
    <row r="309832" spans="1:1" x14ac:dyDescent="0.25">
      <c r="A309832" s="1"/>
    </row>
    <row r="309833" spans="1:1" x14ac:dyDescent="0.25">
      <c r="A309833" s="1"/>
    </row>
    <row r="309834" spans="1:1" x14ac:dyDescent="0.25">
      <c r="A309834" s="1"/>
    </row>
    <row r="309835" spans="1:1" x14ac:dyDescent="0.25">
      <c r="A309835" s="1"/>
    </row>
    <row r="309836" spans="1:1" x14ac:dyDescent="0.25">
      <c r="A309836" s="1"/>
    </row>
    <row r="309837" spans="1:1" x14ac:dyDescent="0.25">
      <c r="A309837" s="1"/>
    </row>
    <row r="309838" spans="1:1" x14ac:dyDescent="0.25">
      <c r="A309838" s="1"/>
    </row>
    <row r="309839" spans="1:1" x14ac:dyDescent="0.25">
      <c r="A309839" s="1"/>
    </row>
    <row r="309840" spans="1:1" x14ac:dyDescent="0.25">
      <c r="A309840" s="1"/>
    </row>
    <row r="309841" spans="1:1" x14ac:dyDescent="0.25">
      <c r="A309841" s="1"/>
    </row>
    <row r="309842" spans="1:1" x14ac:dyDescent="0.25">
      <c r="A309842" s="1"/>
    </row>
    <row r="309843" spans="1:1" x14ac:dyDescent="0.25">
      <c r="A309843" s="1"/>
    </row>
    <row r="309844" spans="1:1" x14ac:dyDescent="0.25">
      <c r="A309844" s="1"/>
    </row>
    <row r="309845" spans="1:1" x14ac:dyDescent="0.25">
      <c r="A309845" s="1"/>
    </row>
    <row r="309846" spans="1:1" x14ac:dyDescent="0.25">
      <c r="A309846" s="1"/>
    </row>
    <row r="309847" spans="1:1" x14ac:dyDescent="0.25">
      <c r="A309847" s="1"/>
    </row>
    <row r="309848" spans="1:1" x14ac:dyDescent="0.25">
      <c r="A309848" s="1"/>
    </row>
    <row r="309849" spans="1:1" x14ac:dyDescent="0.25">
      <c r="A309849" s="1"/>
    </row>
    <row r="309850" spans="1:1" x14ac:dyDescent="0.25">
      <c r="A309850" s="1"/>
    </row>
    <row r="309851" spans="1:1" x14ac:dyDescent="0.25">
      <c r="A309851" s="1"/>
    </row>
    <row r="309852" spans="1:1" x14ac:dyDescent="0.25">
      <c r="A309852" s="1"/>
    </row>
    <row r="309853" spans="1:1" x14ac:dyDescent="0.25">
      <c r="A309853" s="1"/>
    </row>
    <row r="309854" spans="1:1" x14ac:dyDescent="0.25">
      <c r="A309854" s="1"/>
    </row>
    <row r="309855" spans="1:1" x14ac:dyDescent="0.25">
      <c r="A309855" s="1"/>
    </row>
    <row r="309856" spans="1:1" x14ac:dyDescent="0.25">
      <c r="A309856" s="1"/>
    </row>
    <row r="309857" spans="1:1" x14ac:dyDescent="0.25">
      <c r="A309857" s="1"/>
    </row>
    <row r="309858" spans="1:1" x14ac:dyDescent="0.25">
      <c r="A309858" s="1"/>
    </row>
    <row r="309859" spans="1:1" x14ac:dyDescent="0.25">
      <c r="A309859" s="1"/>
    </row>
    <row r="309860" spans="1:1" x14ac:dyDescent="0.25">
      <c r="A309860" s="1"/>
    </row>
    <row r="309861" spans="1:1" x14ac:dyDescent="0.25">
      <c r="A309861" s="1"/>
    </row>
    <row r="309862" spans="1:1" x14ac:dyDescent="0.25">
      <c r="A309862" s="1"/>
    </row>
    <row r="309863" spans="1:1" x14ac:dyDescent="0.25">
      <c r="A309863" s="1"/>
    </row>
    <row r="309864" spans="1:1" x14ac:dyDescent="0.25">
      <c r="A309864" s="1"/>
    </row>
    <row r="309865" spans="1:1" x14ac:dyDescent="0.25">
      <c r="A309865" s="1"/>
    </row>
    <row r="309866" spans="1:1" x14ac:dyDescent="0.25">
      <c r="A309866" s="1"/>
    </row>
    <row r="309867" spans="1:1" x14ac:dyDescent="0.25">
      <c r="A309867" s="1"/>
    </row>
    <row r="309868" spans="1:1" x14ac:dyDescent="0.25">
      <c r="A309868" s="1"/>
    </row>
    <row r="309869" spans="1:1" x14ac:dyDescent="0.25">
      <c r="A309869" s="1"/>
    </row>
    <row r="309870" spans="1:1" x14ac:dyDescent="0.25">
      <c r="A309870" s="1"/>
    </row>
    <row r="309871" spans="1:1" x14ac:dyDescent="0.25">
      <c r="A309871" s="1"/>
    </row>
    <row r="309872" spans="1:1" x14ac:dyDescent="0.25">
      <c r="A309872" s="1"/>
    </row>
    <row r="309873" spans="1:1" x14ac:dyDescent="0.25">
      <c r="A309873" s="1"/>
    </row>
    <row r="309874" spans="1:1" x14ac:dyDescent="0.25">
      <c r="A309874" s="1"/>
    </row>
    <row r="309875" spans="1:1" x14ac:dyDescent="0.25">
      <c r="A309875" s="1"/>
    </row>
    <row r="309876" spans="1:1" x14ac:dyDescent="0.25">
      <c r="A309876" s="1"/>
    </row>
    <row r="309877" spans="1:1" x14ac:dyDescent="0.25">
      <c r="A309877" s="1"/>
    </row>
    <row r="309878" spans="1:1" x14ac:dyDescent="0.25">
      <c r="A309878" s="1"/>
    </row>
    <row r="309879" spans="1:1" x14ac:dyDescent="0.25">
      <c r="A309879" s="1"/>
    </row>
    <row r="309880" spans="1:1" x14ac:dyDescent="0.25">
      <c r="A309880" s="1"/>
    </row>
    <row r="309881" spans="1:1" x14ac:dyDescent="0.25">
      <c r="A309881" s="1"/>
    </row>
    <row r="309882" spans="1:1" x14ac:dyDescent="0.25">
      <c r="A309882" s="1"/>
    </row>
    <row r="309883" spans="1:1" x14ac:dyDescent="0.25">
      <c r="A309883" s="1"/>
    </row>
    <row r="309884" spans="1:1" x14ac:dyDescent="0.25">
      <c r="A309884" s="1"/>
    </row>
    <row r="309885" spans="1:1" x14ac:dyDescent="0.25">
      <c r="A309885" s="1"/>
    </row>
    <row r="309886" spans="1:1" x14ac:dyDescent="0.25">
      <c r="A309886" s="1"/>
    </row>
    <row r="309887" spans="1:1" x14ac:dyDescent="0.25">
      <c r="A309887" s="1"/>
    </row>
    <row r="309888" spans="1:1" x14ac:dyDescent="0.25">
      <c r="A309888" s="1"/>
    </row>
    <row r="309889" spans="1:1" x14ac:dyDescent="0.25">
      <c r="A309889" s="1"/>
    </row>
    <row r="309890" spans="1:1" x14ac:dyDescent="0.25">
      <c r="A309890" s="1"/>
    </row>
    <row r="309891" spans="1:1" x14ac:dyDescent="0.25">
      <c r="A309891" s="1"/>
    </row>
    <row r="309892" spans="1:1" x14ac:dyDescent="0.25">
      <c r="A309892" s="1"/>
    </row>
    <row r="309893" spans="1:1" x14ac:dyDescent="0.25">
      <c r="A309893" s="1"/>
    </row>
    <row r="309894" spans="1:1" x14ac:dyDescent="0.25">
      <c r="A309894" s="1"/>
    </row>
    <row r="309895" spans="1:1" x14ac:dyDescent="0.25">
      <c r="A309895" s="1"/>
    </row>
    <row r="309896" spans="1:1" x14ac:dyDescent="0.25">
      <c r="A309896" s="1"/>
    </row>
    <row r="309897" spans="1:1" x14ac:dyDescent="0.25">
      <c r="A309897" s="1"/>
    </row>
    <row r="309898" spans="1:1" x14ac:dyDescent="0.25">
      <c r="A309898" s="1"/>
    </row>
    <row r="309899" spans="1:1" x14ac:dyDescent="0.25">
      <c r="A309899" s="1"/>
    </row>
    <row r="309900" spans="1:1" x14ac:dyDescent="0.25">
      <c r="A309900" s="1"/>
    </row>
    <row r="309901" spans="1:1" x14ac:dyDescent="0.25">
      <c r="A309901" s="1"/>
    </row>
    <row r="309902" spans="1:1" x14ac:dyDescent="0.25">
      <c r="A309902" s="1"/>
    </row>
    <row r="309903" spans="1:1" x14ac:dyDescent="0.25">
      <c r="A309903" s="1"/>
    </row>
    <row r="309904" spans="1:1" x14ac:dyDescent="0.25">
      <c r="A309904" s="1"/>
    </row>
    <row r="309905" spans="1:1" x14ac:dyDescent="0.25">
      <c r="A309905" s="1"/>
    </row>
    <row r="309906" spans="1:1" x14ac:dyDescent="0.25">
      <c r="A309906" s="1"/>
    </row>
    <row r="309907" spans="1:1" x14ac:dyDescent="0.25">
      <c r="A309907" s="1"/>
    </row>
    <row r="309908" spans="1:1" x14ac:dyDescent="0.25">
      <c r="A309908" s="1"/>
    </row>
    <row r="309909" spans="1:1" x14ac:dyDescent="0.25">
      <c r="A309909" s="1"/>
    </row>
    <row r="309910" spans="1:1" x14ac:dyDescent="0.25">
      <c r="A309910" s="1"/>
    </row>
    <row r="309911" spans="1:1" x14ac:dyDescent="0.25">
      <c r="A309911" s="1"/>
    </row>
    <row r="309912" spans="1:1" x14ac:dyDescent="0.25">
      <c r="A309912" s="1"/>
    </row>
    <row r="309913" spans="1:1" x14ac:dyDescent="0.25">
      <c r="A309913" s="1"/>
    </row>
    <row r="309914" spans="1:1" x14ac:dyDescent="0.25">
      <c r="A309914" s="1"/>
    </row>
    <row r="309915" spans="1:1" x14ac:dyDescent="0.25">
      <c r="A309915" s="1"/>
    </row>
    <row r="309916" spans="1:1" x14ac:dyDescent="0.25">
      <c r="A309916" s="1"/>
    </row>
    <row r="309917" spans="1:1" x14ac:dyDescent="0.25">
      <c r="A309917" s="1"/>
    </row>
    <row r="309918" spans="1:1" x14ac:dyDescent="0.25">
      <c r="A309918" s="1"/>
    </row>
    <row r="309919" spans="1:1" x14ac:dyDescent="0.25">
      <c r="A309919" s="1"/>
    </row>
    <row r="309920" spans="1:1" x14ac:dyDescent="0.25">
      <c r="A309920" s="1"/>
    </row>
    <row r="309921" spans="1:1" x14ac:dyDescent="0.25">
      <c r="A309921" s="1"/>
    </row>
    <row r="309922" spans="1:1" x14ac:dyDescent="0.25">
      <c r="A309922" s="1"/>
    </row>
    <row r="309923" spans="1:1" x14ac:dyDescent="0.25">
      <c r="A309923" s="1"/>
    </row>
    <row r="309924" spans="1:1" x14ac:dyDescent="0.25">
      <c r="A309924" s="1"/>
    </row>
    <row r="309925" spans="1:1" x14ac:dyDescent="0.25">
      <c r="A309925" s="1"/>
    </row>
    <row r="309926" spans="1:1" x14ac:dyDescent="0.25">
      <c r="A309926" s="1"/>
    </row>
    <row r="309927" spans="1:1" x14ac:dyDescent="0.25">
      <c r="A309927" s="1"/>
    </row>
    <row r="309928" spans="1:1" x14ac:dyDescent="0.25">
      <c r="A309928" s="1"/>
    </row>
    <row r="309929" spans="1:1" x14ac:dyDescent="0.25">
      <c r="A309929" s="1"/>
    </row>
    <row r="309930" spans="1:1" x14ac:dyDescent="0.25">
      <c r="A309930" s="1"/>
    </row>
    <row r="309931" spans="1:1" x14ac:dyDescent="0.25">
      <c r="A309931" s="1"/>
    </row>
    <row r="309932" spans="1:1" x14ac:dyDescent="0.25">
      <c r="A309932" s="1"/>
    </row>
    <row r="309933" spans="1:1" x14ac:dyDescent="0.25">
      <c r="A309933" s="1"/>
    </row>
    <row r="309934" spans="1:1" x14ac:dyDescent="0.25">
      <c r="A309934" s="1"/>
    </row>
    <row r="309935" spans="1:1" x14ac:dyDescent="0.25">
      <c r="A309935" s="1"/>
    </row>
    <row r="309936" spans="1:1" x14ac:dyDescent="0.25">
      <c r="A309936" s="1"/>
    </row>
    <row r="309937" spans="1:1" x14ac:dyDescent="0.25">
      <c r="A309937" s="1"/>
    </row>
    <row r="309938" spans="1:1" x14ac:dyDescent="0.25">
      <c r="A309938" s="1"/>
    </row>
    <row r="309939" spans="1:1" x14ac:dyDescent="0.25">
      <c r="A309939" s="1"/>
    </row>
    <row r="309940" spans="1:1" x14ac:dyDescent="0.25">
      <c r="A309940" s="1"/>
    </row>
    <row r="309941" spans="1:1" x14ac:dyDescent="0.25">
      <c r="A309941" s="1"/>
    </row>
    <row r="309942" spans="1:1" x14ac:dyDescent="0.25">
      <c r="A309942" s="1"/>
    </row>
    <row r="309943" spans="1:1" x14ac:dyDescent="0.25">
      <c r="A309943" s="1"/>
    </row>
    <row r="309944" spans="1:1" x14ac:dyDescent="0.25">
      <c r="A309944" s="1"/>
    </row>
    <row r="309945" spans="1:1" x14ac:dyDescent="0.25">
      <c r="A309945" s="1"/>
    </row>
    <row r="309946" spans="1:1" x14ac:dyDescent="0.25">
      <c r="A309946" s="1"/>
    </row>
    <row r="309947" spans="1:1" x14ac:dyDescent="0.25">
      <c r="A309947" s="1"/>
    </row>
    <row r="309948" spans="1:1" x14ac:dyDescent="0.25">
      <c r="A309948" s="1"/>
    </row>
    <row r="309949" spans="1:1" x14ac:dyDescent="0.25">
      <c r="A309949" s="1"/>
    </row>
    <row r="309950" spans="1:1" x14ac:dyDescent="0.25">
      <c r="A309950" s="1"/>
    </row>
    <row r="309951" spans="1:1" x14ac:dyDescent="0.25">
      <c r="A309951" s="1"/>
    </row>
    <row r="309952" spans="1:1" x14ac:dyDescent="0.25">
      <c r="A309952" s="1"/>
    </row>
    <row r="309953" spans="1:1" x14ac:dyDescent="0.25">
      <c r="A309953" s="1"/>
    </row>
    <row r="309954" spans="1:1" x14ac:dyDescent="0.25">
      <c r="A309954" s="1"/>
    </row>
    <row r="309955" spans="1:1" x14ac:dyDescent="0.25">
      <c r="A309955" s="1"/>
    </row>
    <row r="309956" spans="1:1" x14ac:dyDescent="0.25">
      <c r="A309956" s="1"/>
    </row>
    <row r="309957" spans="1:1" x14ac:dyDescent="0.25">
      <c r="A309957" s="1"/>
    </row>
    <row r="309958" spans="1:1" x14ac:dyDescent="0.25">
      <c r="A309958" s="1"/>
    </row>
    <row r="309959" spans="1:1" x14ac:dyDescent="0.25">
      <c r="A309959" s="1"/>
    </row>
    <row r="309960" spans="1:1" x14ac:dyDescent="0.25">
      <c r="A309960" s="1"/>
    </row>
    <row r="309961" spans="1:1" x14ac:dyDescent="0.25">
      <c r="A309961" s="1"/>
    </row>
    <row r="309962" spans="1:1" x14ac:dyDescent="0.25">
      <c r="A309962" s="1"/>
    </row>
    <row r="309963" spans="1:1" x14ac:dyDescent="0.25">
      <c r="A309963" s="1"/>
    </row>
    <row r="309964" spans="1:1" x14ac:dyDescent="0.25">
      <c r="A309964" s="1"/>
    </row>
    <row r="309965" spans="1:1" x14ac:dyDescent="0.25">
      <c r="A309965" s="1"/>
    </row>
    <row r="309966" spans="1:1" x14ac:dyDescent="0.25">
      <c r="A309966" s="1"/>
    </row>
    <row r="309967" spans="1:1" x14ac:dyDescent="0.25">
      <c r="A309967" s="1"/>
    </row>
    <row r="309968" spans="1:1" x14ac:dyDescent="0.25">
      <c r="A309968" s="1"/>
    </row>
    <row r="309969" spans="1:1" x14ac:dyDescent="0.25">
      <c r="A309969" s="1"/>
    </row>
    <row r="309970" spans="1:1" x14ac:dyDescent="0.25">
      <c r="A309970" s="1"/>
    </row>
    <row r="309971" spans="1:1" x14ac:dyDescent="0.25">
      <c r="A309971" s="1"/>
    </row>
    <row r="309972" spans="1:1" x14ac:dyDescent="0.25">
      <c r="A309972" s="1"/>
    </row>
    <row r="309973" spans="1:1" x14ac:dyDescent="0.25">
      <c r="A309973" s="1"/>
    </row>
    <row r="309974" spans="1:1" x14ac:dyDescent="0.25">
      <c r="A309974" s="1"/>
    </row>
    <row r="309975" spans="1:1" x14ac:dyDescent="0.25">
      <c r="A309975" s="1"/>
    </row>
    <row r="309976" spans="1:1" x14ac:dyDescent="0.25">
      <c r="A309976" s="1"/>
    </row>
    <row r="309977" spans="1:1" x14ac:dyDescent="0.25">
      <c r="A309977" s="1"/>
    </row>
    <row r="309978" spans="1:1" x14ac:dyDescent="0.25">
      <c r="A309978" s="1"/>
    </row>
    <row r="309979" spans="1:1" x14ac:dyDescent="0.25">
      <c r="A309979" s="1"/>
    </row>
    <row r="309980" spans="1:1" x14ac:dyDescent="0.25">
      <c r="A309980" s="1"/>
    </row>
    <row r="309981" spans="1:1" x14ac:dyDescent="0.25">
      <c r="A309981" s="1"/>
    </row>
    <row r="309982" spans="1:1" x14ac:dyDescent="0.25">
      <c r="A309982" s="1"/>
    </row>
    <row r="309983" spans="1:1" x14ac:dyDescent="0.25">
      <c r="A309983" s="1"/>
    </row>
    <row r="309984" spans="1:1" x14ac:dyDescent="0.25">
      <c r="A309984" s="1"/>
    </row>
    <row r="309985" spans="1:1" x14ac:dyDescent="0.25">
      <c r="A309985" s="1"/>
    </row>
    <row r="309986" spans="1:1" x14ac:dyDescent="0.25">
      <c r="A309986" s="1"/>
    </row>
    <row r="309987" spans="1:1" x14ac:dyDescent="0.25">
      <c r="A309987" s="1"/>
    </row>
    <row r="309988" spans="1:1" x14ac:dyDescent="0.25">
      <c r="A309988" s="1"/>
    </row>
    <row r="309989" spans="1:1" x14ac:dyDescent="0.25">
      <c r="A309989" s="1"/>
    </row>
    <row r="309990" spans="1:1" x14ac:dyDescent="0.25">
      <c r="A309990" s="1"/>
    </row>
    <row r="309991" spans="1:1" x14ac:dyDescent="0.25">
      <c r="A309991" s="1"/>
    </row>
    <row r="309992" spans="1:1" x14ac:dyDescent="0.25">
      <c r="A309992" s="1"/>
    </row>
    <row r="309993" spans="1:1" x14ac:dyDescent="0.25">
      <c r="A309993" s="1"/>
    </row>
    <row r="309994" spans="1:1" x14ac:dyDescent="0.25">
      <c r="A309994" s="1"/>
    </row>
    <row r="309995" spans="1:1" x14ac:dyDescent="0.25">
      <c r="A309995" s="1"/>
    </row>
    <row r="309996" spans="1:1" x14ac:dyDescent="0.25">
      <c r="A309996" s="1"/>
    </row>
    <row r="309997" spans="1:1" x14ac:dyDescent="0.25">
      <c r="A309997" s="1"/>
    </row>
    <row r="309998" spans="1:1" x14ac:dyDescent="0.25">
      <c r="A309998" s="1"/>
    </row>
    <row r="309999" spans="1:1" x14ac:dyDescent="0.25">
      <c r="A309999" s="1"/>
    </row>
    <row r="310000" spans="1:1" x14ac:dyDescent="0.25">
      <c r="A310000" s="1"/>
    </row>
    <row r="310001" spans="1:1" x14ac:dyDescent="0.25">
      <c r="A310001" s="1"/>
    </row>
    <row r="310002" spans="1:1" x14ac:dyDescent="0.25">
      <c r="A310002" s="1"/>
    </row>
    <row r="310003" spans="1:1" x14ac:dyDescent="0.25">
      <c r="A310003" s="1"/>
    </row>
    <row r="310004" spans="1:1" x14ac:dyDescent="0.25">
      <c r="A310004" s="1"/>
    </row>
    <row r="310005" spans="1:1" x14ac:dyDescent="0.25">
      <c r="A310005" s="1"/>
    </row>
    <row r="310006" spans="1:1" x14ac:dyDescent="0.25">
      <c r="A310006" s="1"/>
    </row>
    <row r="310007" spans="1:1" x14ac:dyDescent="0.25">
      <c r="A310007" s="1"/>
    </row>
    <row r="310008" spans="1:1" x14ac:dyDescent="0.25">
      <c r="A310008" s="1"/>
    </row>
    <row r="310009" spans="1:1" x14ac:dyDescent="0.25">
      <c r="A310009" s="1"/>
    </row>
    <row r="310010" spans="1:1" x14ac:dyDescent="0.25">
      <c r="A310010" s="1"/>
    </row>
    <row r="310011" spans="1:1" x14ac:dyDescent="0.25">
      <c r="A310011" s="1"/>
    </row>
    <row r="310012" spans="1:1" x14ac:dyDescent="0.25">
      <c r="A310012" s="1"/>
    </row>
    <row r="310013" spans="1:1" x14ac:dyDescent="0.25">
      <c r="A310013" s="1"/>
    </row>
    <row r="310014" spans="1:1" x14ac:dyDescent="0.25">
      <c r="A310014" s="1"/>
    </row>
    <row r="310015" spans="1:1" x14ac:dyDescent="0.25">
      <c r="A310015" s="1"/>
    </row>
    <row r="310016" spans="1:1" x14ac:dyDescent="0.25">
      <c r="A310016" s="1"/>
    </row>
    <row r="310017" spans="1:1" x14ac:dyDescent="0.25">
      <c r="A310017" s="1"/>
    </row>
    <row r="310018" spans="1:1" x14ac:dyDescent="0.25">
      <c r="A310018" s="1"/>
    </row>
    <row r="310019" spans="1:1" x14ac:dyDescent="0.25">
      <c r="A310019" s="1"/>
    </row>
    <row r="310020" spans="1:1" x14ac:dyDescent="0.25">
      <c r="A310020" s="1"/>
    </row>
    <row r="310021" spans="1:1" x14ac:dyDescent="0.25">
      <c r="A310021" s="1"/>
    </row>
    <row r="310022" spans="1:1" x14ac:dyDescent="0.25">
      <c r="A310022" s="1"/>
    </row>
    <row r="310023" spans="1:1" x14ac:dyDescent="0.25">
      <c r="A310023" s="1"/>
    </row>
    <row r="310024" spans="1:1" x14ac:dyDescent="0.25">
      <c r="A310024" s="1"/>
    </row>
    <row r="310025" spans="1:1" x14ac:dyDescent="0.25">
      <c r="A310025" s="1"/>
    </row>
    <row r="310026" spans="1:1" x14ac:dyDescent="0.25">
      <c r="A310026" s="1"/>
    </row>
    <row r="310027" spans="1:1" x14ac:dyDescent="0.25">
      <c r="A310027" s="1"/>
    </row>
    <row r="310028" spans="1:1" x14ac:dyDescent="0.25">
      <c r="A310028" s="1"/>
    </row>
    <row r="310029" spans="1:1" x14ac:dyDescent="0.25">
      <c r="A310029" s="1"/>
    </row>
    <row r="310030" spans="1:1" x14ac:dyDescent="0.25">
      <c r="A310030" s="1"/>
    </row>
    <row r="310031" spans="1:1" x14ac:dyDescent="0.25">
      <c r="A310031" s="1"/>
    </row>
    <row r="310032" spans="1:1" x14ac:dyDescent="0.25">
      <c r="A310032" s="1"/>
    </row>
    <row r="310033" spans="1:1" x14ac:dyDescent="0.25">
      <c r="A310033" s="1"/>
    </row>
    <row r="310034" spans="1:1" x14ac:dyDescent="0.25">
      <c r="A310034" s="1"/>
    </row>
    <row r="310035" spans="1:1" x14ac:dyDescent="0.25">
      <c r="A310035" s="1"/>
    </row>
    <row r="310036" spans="1:1" x14ac:dyDescent="0.25">
      <c r="A310036" s="1"/>
    </row>
    <row r="310037" spans="1:1" x14ac:dyDescent="0.25">
      <c r="A310037" s="1"/>
    </row>
    <row r="310038" spans="1:1" x14ac:dyDescent="0.25">
      <c r="A310038" s="1"/>
    </row>
    <row r="310039" spans="1:1" x14ac:dyDescent="0.25">
      <c r="A310039" s="1"/>
    </row>
    <row r="310040" spans="1:1" x14ac:dyDescent="0.25">
      <c r="A310040" s="1"/>
    </row>
    <row r="310041" spans="1:1" x14ac:dyDescent="0.25">
      <c r="A310041" s="1"/>
    </row>
    <row r="310042" spans="1:1" x14ac:dyDescent="0.25">
      <c r="A310042" s="1"/>
    </row>
    <row r="310043" spans="1:1" x14ac:dyDescent="0.25">
      <c r="A310043" s="1"/>
    </row>
    <row r="310044" spans="1:1" x14ac:dyDescent="0.25">
      <c r="A310044" s="1"/>
    </row>
    <row r="310045" spans="1:1" x14ac:dyDescent="0.25">
      <c r="A310045" s="1"/>
    </row>
    <row r="310046" spans="1:1" x14ac:dyDescent="0.25">
      <c r="A310046" s="1"/>
    </row>
    <row r="310047" spans="1:1" x14ac:dyDescent="0.25">
      <c r="A310047" s="1"/>
    </row>
    <row r="310048" spans="1:1" x14ac:dyDescent="0.25">
      <c r="A310048" s="1"/>
    </row>
    <row r="310049" spans="1:1" x14ac:dyDescent="0.25">
      <c r="A310049" s="1"/>
    </row>
    <row r="310050" spans="1:1" x14ac:dyDescent="0.25">
      <c r="A310050" s="1"/>
    </row>
    <row r="310051" spans="1:1" x14ac:dyDescent="0.25">
      <c r="A310051" s="1"/>
    </row>
    <row r="310052" spans="1:1" x14ac:dyDescent="0.25">
      <c r="A310052" s="1"/>
    </row>
    <row r="310053" spans="1:1" x14ac:dyDescent="0.25">
      <c r="A310053" s="1"/>
    </row>
    <row r="310054" spans="1:1" x14ac:dyDescent="0.25">
      <c r="A310054" s="1"/>
    </row>
    <row r="310055" spans="1:1" x14ac:dyDescent="0.25">
      <c r="A310055" s="1"/>
    </row>
    <row r="310056" spans="1:1" x14ac:dyDescent="0.25">
      <c r="A310056" s="1"/>
    </row>
    <row r="310057" spans="1:1" x14ac:dyDescent="0.25">
      <c r="A310057" s="1"/>
    </row>
    <row r="310058" spans="1:1" x14ac:dyDescent="0.25">
      <c r="A310058" s="1"/>
    </row>
    <row r="310059" spans="1:1" x14ac:dyDescent="0.25">
      <c r="A310059" s="1"/>
    </row>
    <row r="310060" spans="1:1" x14ac:dyDescent="0.25">
      <c r="A310060" s="1"/>
    </row>
    <row r="310061" spans="1:1" x14ac:dyDescent="0.25">
      <c r="A310061" s="1"/>
    </row>
    <row r="310062" spans="1:1" x14ac:dyDescent="0.25">
      <c r="A310062" s="1"/>
    </row>
    <row r="310063" spans="1:1" x14ac:dyDescent="0.25">
      <c r="A310063" s="1"/>
    </row>
    <row r="310064" spans="1:1" x14ac:dyDescent="0.25">
      <c r="A310064" s="1"/>
    </row>
    <row r="310065" spans="1:1" x14ac:dyDescent="0.25">
      <c r="A310065" s="1"/>
    </row>
    <row r="310066" spans="1:1" x14ac:dyDescent="0.25">
      <c r="A310066" s="1"/>
    </row>
    <row r="310067" spans="1:1" x14ac:dyDescent="0.25">
      <c r="A310067" s="1"/>
    </row>
    <row r="310068" spans="1:1" x14ac:dyDescent="0.25">
      <c r="A310068" s="1"/>
    </row>
    <row r="310069" spans="1:1" x14ac:dyDescent="0.25">
      <c r="A310069" s="1"/>
    </row>
    <row r="310070" spans="1:1" x14ac:dyDescent="0.25">
      <c r="A310070" s="1"/>
    </row>
    <row r="310071" spans="1:1" x14ac:dyDescent="0.25">
      <c r="A310071" s="1"/>
    </row>
    <row r="310072" spans="1:1" x14ac:dyDescent="0.25">
      <c r="A310072" s="1"/>
    </row>
    <row r="310073" spans="1:1" x14ac:dyDescent="0.25">
      <c r="A310073" s="1"/>
    </row>
    <row r="310074" spans="1:1" x14ac:dyDescent="0.25">
      <c r="A310074" s="1"/>
    </row>
    <row r="310075" spans="1:1" x14ac:dyDescent="0.25">
      <c r="A310075" s="1"/>
    </row>
    <row r="310076" spans="1:1" x14ac:dyDescent="0.25">
      <c r="A310076" s="1"/>
    </row>
    <row r="310077" spans="1:1" x14ac:dyDescent="0.25">
      <c r="A310077" s="1"/>
    </row>
    <row r="310078" spans="1:1" x14ac:dyDescent="0.25">
      <c r="A310078" s="1"/>
    </row>
    <row r="310079" spans="1:1" x14ac:dyDescent="0.25">
      <c r="A310079" s="1"/>
    </row>
    <row r="310080" spans="1:1" x14ac:dyDescent="0.25">
      <c r="A310080" s="1"/>
    </row>
    <row r="310081" spans="1:1" x14ac:dyDescent="0.25">
      <c r="A310081" s="1"/>
    </row>
    <row r="310082" spans="1:1" x14ac:dyDescent="0.25">
      <c r="A310082" s="1"/>
    </row>
    <row r="310083" spans="1:1" x14ac:dyDescent="0.25">
      <c r="A310083" s="1"/>
    </row>
    <row r="310084" spans="1:1" x14ac:dyDescent="0.25">
      <c r="A310084" s="1"/>
    </row>
    <row r="310085" spans="1:1" x14ac:dyDescent="0.25">
      <c r="A310085" s="1"/>
    </row>
    <row r="310086" spans="1:1" x14ac:dyDescent="0.25">
      <c r="A310086" s="1"/>
    </row>
    <row r="310087" spans="1:1" x14ac:dyDescent="0.25">
      <c r="A310087" s="1"/>
    </row>
    <row r="310088" spans="1:1" x14ac:dyDescent="0.25">
      <c r="A310088" s="1"/>
    </row>
    <row r="310089" spans="1:1" x14ac:dyDescent="0.25">
      <c r="A310089" s="1"/>
    </row>
    <row r="310090" spans="1:1" x14ac:dyDescent="0.25">
      <c r="A310090" s="1"/>
    </row>
    <row r="310091" spans="1:1" x14ac:dyDescent="0.25">
      <c r="A310091" s="1"/>
    </row>
    <row r="310092" spans="1:1" x14ac:dyDescent="0.25">
      <c r="A310092" s="1"/>
    </row>
    <row r="310093" spans="1:1" x14ac:dyDescent="0.25">
      <c r="A310093" s="1"/>
    </row>
    <row r="310094" spans="1:1" x14ac:dyDescent="0.25">
      <c r="A310094" s="1"/>
    </row>
    <row r="310095" spans="1:1" x14ac:dyDescent="0.25">
      <c r="A310095" s="1"/>
    </row>
    <row r="310096" spans="1:1" x14ac:dyDescent="0.25">
      <c r="A310096" s="1"/>
    </row>
    <row r="310097" spans="1:1" x14ac:dyDescent="0.25">
      <c r="A310097" s="1"/>
    </row>
    <row r="310098" spans="1:1" x14ac:dyDescent="0.25">
      <c r="A310098" s="1"/>
    </row>
    <row r="310099" spans="1:1" x14ac:dyDescent="0.25">
      <c r="A310099" s="1"/>
    </row>
    <row r="310100" spans="1:1" x14ac:dyDescent="0.25">
      <c r="A310100" s="1"/>
    </row>
    <row r="310101" spans="1:1" x14ac:dyDescent="0.25">
      <c r="A310101" s="1"/>
    </row>
    <row r="310102" spans="1:1" x14ac:dyDescent="0.25">
      <c r="A310102" s="1"/>
    </row>
    <row r="310103" spans="1:1" x14ac:dyDescent="0.25">
      <c r="A310103" s="1"/>
    </row>
    <row r="310104" spans="1:1" x14ac:dyDescent="0.25">
      <c r="A310104" s="1"/>
    </row>
    <row r="310105" spans="1:1" x14ac:dyDescent="0.25">
      <c r="A310105" s="1"/>
    </row>
    <row r="310106" spans="1:1" x14ac:dyDescent="0.25">
      <c r="A310106" s="1"/>
    </row>
    <row r="310107" spans="1:1" x14ac:dyDescent="0.25">
      <c r="A310107" s="1"/>
    </row>
    <row r="310108" spans="1:1" x14ac:dyDescent="0.25">
      <c r="A310108" s="1"/>
    </row>
    <row r="310109" spans="1:1" x14ac:dyDescent="0.25">
      <c r="A310109" s="1"/>
    </row>
    <row r="310110" spans="1:1" x14ac:dyDescent="0.25">
      <c r="A310110" s="1"/>
    </row>
    <row r="310111" spans="1:1" x14ac:dyDescent="0.25">
      <c r="A310111" s="1"/>
    </row>
    <row r="310112" spans="1:1" x14ac:dyDescent="0.25">
      <c r="A310112" s="1"/>
    </row>
    <row r="310113" spans="1:1" x14ac:dyDescent="0.25">
      <c r="A310113" s="1"/>
    </row>
    <row r="310114" spans="1:1" x14ac:dyDescent="0.25">
      <c r="A310114" s="1"/>
    </row>
    <row r="310115" spans="1:1" x14ac:dyDescent="0.25">
      <c r="A310115" s="1"/>
    </row>
    <row r="310116" spans="1:1" x14ac:dyDescent="0.25">
      <c r="A310116" s="1"/>
    </row>
    <row r="310117" spans="1:1" x14ac:dyDescent="0.25">
      <c r="A310117" s="1"/>
    </row>
    <row r="310118" spans="1:1" x14ac:dyDescent="0.25">
      <c r="A310118" s="1"/>
    </row>
    <row r="310119" spans="1:1" x14ac:dyDescent="0.25">
      <c r="A310119" s="1"/>
    </row>
    <row r="310120" spans="1:1" x14ac:dyDescent="0.25">
      <c r="A310120" s="1"/>
    </row>
    <row r="310121" spans="1:1" x14ac:dyDescent="0.25">
      <c r="A310121" s="1"/>
    </row>
    <row r="310122" spans="1:1" x14ac:dyDescent="0.25">
      <c r="A310122" s="1"/>
    </row>
    <row r="310123" spans="1:1" x14ac:dyDescent="0.25">
      <c r="A310123" s="1"/>
    </row>
    <row r="310124" spans="1:1" x14ac:dyDescent="0.25">
      <c r="A310124" s="1"/>
    </row>
    <row r="310125" spans="1:1" x14ac:dyDescent="0.25">
      <c r="A310125" s="1"/>
    </row>
    <row r="310126" spans="1:1" x14ac:dyDescent="0.25">
      <c r="A310126" s="1"/>
    </row>
    <row r="310127" spans="1:1" x14ac:dyDescent="0.25">
      <c r="A310127" s="1"/>
    </row>
    <row r="310128" spans="1:1" x14ac:dyDescent="0.25">
      <c r="A310128" s="1"/>
    </row>
    <row r="310129" spans="1:1" x14ac:dyDescent="0.25">
      <c r="A310129" s="1"/>
    </row>
    <row r="310130" spans="1:1" x14ac:dyDescent="0.25">
      <c r="A310130" s="1"/>
    </row>
    <row r="310131" spans="1:1" x14ac:dyDescent="0.25">
      <c r="A310131" s="1"/>
    </row>
    <row r="310132" spans="1:1" x14ac:dyDescent="0.25">
      <c r="A310132" s="1"/>
    </row>
    <row r="310133" spans="1:1" x14ac:dyDescent="0.25">
      <c r="A310133" s="1"/>
    </row>
    <row r="310134" spans="1:1" x14ac:dyDescent="0.25">
      <c r="A310134" s="1"/>
    </row>
    <row r="310135" spans="1:1" x14ac:dyDescent="0.25">
      <c r="A310135" s="1"/>
    </row>
    <row r="310136" spans="1:1" x14ac:dyDescent="0.25">
      <c r="A310136" s="1"/>
    </row>
    <row r="310137" spans="1:1" x14ac:dyDescent="0.25">
      <c r="A310137" s="1"/>
    </row>
    <row r="310138" spans="1:1" x14ac:dyDescent="0.25">
      <c r="A310138" s="1"/>
    </row>
    <row r="310139" spans="1:1" x14ac:dyDescent="0.25">
      <c r="A310139" s="1"/>
    </row>
    <row r="310140" spans="1:1" x14ac:dyDescent="0.25">
      <c r="A310140" s="1"/>
    </row>
    <row r="310141" spans="1:1" x14ac:dyDescent="0.25">
      <c r="A310141" s="1"/>
    </row>
    <row r="310142" spans="1:1" x14ac:dyDescent="0.25">
      <c r="A310142" s="1"/>
    </row>
    <row r="310143" spans="1:1" x14ac:dyDescent="0.25">
      <c r="A310143" s="1"/>
    </row>
    <row r="310144" spans="1:1" x14ac:dyDescent="0.25">
      <c r="A310144" s="1"/>
    </row>
    <row r="310145" spans="1:1" x14ac:dyDescent="0.25">
      <c r="A310145" s="1"/>
    </row>
    <row r="310146" spans="1:1" x14ac:dyDescent="0.25">
      <c r="A310146" s="1"/>
    </row>
    <row r="310147" spans="1:1" x14ac:dyDescent="0.25">
      <c r="A310147" s="1"/>
    </row>
    <row r="310148" spans="1:1" x14ac:dyDescent="0.25">
      <c r="A310148" s="1"/>
    </row>
    <row r="310149" spans="1:1" x14ac:dyDescent="0.25">
      <c r="A310149" s="1"/>
    </row>
    <row r="310150" spans="1:1" x14ac:dyDescent="0.25">
      <c r="A310150" s="1"/>
    </row>
    <row r="310151" spans="1:1" x14ac:dyDescent="0.25">
      <c r="A310151" s="1"/>
    </row>
    <row r="310152" spans="1:1" x14ac:dyDescent="0.25">
      <c r="A310152" s="1"/>
    </row>
    <row r="310153" spans="1:1" x14ac:dyDescent="0.25">
      <c r="A310153" s="1"/>
    </row>
    <row r="310154" spans="1:1" x14ac:dyDescent="0.25">
      <c r="A310154" s="1"/>
    </row>
    <row r="310155" spans="1:1" x14ac:dyDescent="0.25">
      <c r="A310155" s="1"/>
    </row>
    <row r="310156" spans="1:1" x14ac:dyDescent="0.25">
      <c r="A310156" s="1"/>
    </row>
    <row r="310157" spans="1:1" x14ac:dyDescent="0.25">
      <c r="A310157" s="1"/>
    </row>
    <row r="310158" spans="1:1" x14ac:dyDescent="0.25">
      <c r="A310158" s="1"/>
    </row>
    <row r="310159" spans="1:1" x14ac:dyDescent="0.25">
      <c r="A310159" s="1"/>
    </row>
    <row r="310160" spans="1:1" x14ac:dyDescent="0.25">
      <c r="A310160" s="1"/>
    </row>
    <row r="310161" spans="1:1" x14ac:dyDescent="0.25">
      <c r="A310161" s="1"/>
    </row>
    <row r="310162" spans="1:1" x14ac:dyDescent="0.25">
      <c r="A310162" s="1"/>
    </row>
    <row r="310163" spans="1:1" x14ac:dyDescent="0.25">
      <c r="A310163" s="1"/>
    </row>
    <row r="310164" spans="1:1" x14ac:dyDescent="0.25">
      <c r="A310164" s="1"/>
    </row>
    <row r="310165" spans="1:1" x14ac:dyDescent="0.25">
      <c r="A310165" s="1"/>
    </row>
    <row r="310166" spans="1:1" x14ac:dyDescent="0.25">
      <c r="A310166" s="1"/>
    </row>
    <row r="310167" spans="1:1" x14ac:dyDescent="0.25">
      <c r="A310167" s="1"/>
    </row>
    <row r="310168" spans="1:1" x14ac:dyDescent="0.25">
      <c r="A310168" s="1"/>
    </row>
    <row r="310169" spans="1:1" x14ac:dyDescent="0.25">
      <c r="A310169" s="1"/>
    </row>
    <row r="310170" spans="1:1" x14ac:dyDescent="0.25">
      <c r="A310170" s="1"/>
    </row>
    <row r="310171" spans="1:1" x14ac:dyDescent="0.25">
      <c r="A310171" s="1"/>
    </row>
    <row r="310172" spans="1:1" x14ac:dyDescent="0.25">
      <c r="A310172" s="1"/>
    </row>
    <row r="310173" spans="1:1" x14ac:dyDescent="0.25">
      <c r="A310173" s="1"/>
    </row>
    <row r="310174" spans="1:1" x14ac:dyDescent="0.25">
      <c r="A310174" s="1"/>
    </row>
    <row r="310175" spans="1:1" x14ac:dyDescent="0.25">
      <c r="A310175" s="1"/>
    </row>
    <row r="310176" spans="1:1" x14ac:dyDescent="0.25">
      <c r="A310176" s="1"/>
    </row>
    <row r="310177" spans="1:1" x14ac:dyDescent="0.25">
      <c r="A310177" s="1"/>
    </row>
    <row r="310178" spans="1:1" x14ac:dyDescent="0.25">
      <c r="A310178" s="1"/>
    </row>
    <row r="310179" spans="1:1" x14ac:dyDescent="0.25">
      <c r="A310179" s="1"/>
    </row>
    <row r="310180" spans="1:1" x14ac:dyDescent="0.25">
      <c r="A310180" s="1"/>
    </row>
    <row r="310181" spans="1:1" x14ac:dyDescent="0.25">
      <c r="A310181" s="1"/>
    </row>
    <row r="310182" spans="1:1" x14ac:dyDescent="0.25">
      <c r="A310182" s="1"/>
    </row>
    <row r="310183" spans="1:1" x14ac:dyDescent="0.25">
      <c r="A310183" s="1"/>
    </row>
    <row r="310184" spans="1:1" x14ac:dyDescent="0.25">
      <c r="A310184" s="1"/>
    </row>
    <row r="310185" spans="1:1" x14ac:dyDescent="0.25">
      <c r="A310185" s="1"/>
    </row>
    <row r="310186" spans="1:1" x14ac:dyDescent="0.25">
      <c r="A310186" s="1"/>
    </row>
    <row r="310187" spans="1:1" x14ac:dyDescent="0.25">
      <c r="A310187" s="1"/>
    </row>
    <row r="310188" spans="1:1" x14ac:dyDescent="0.25">
      <c r="A310188" s="1"/>
    </row>
    <row r="310189" spans="1:1" x14ac:dyDescent="0.25">
      <c r="A310189" s="1"/>
    </row>
    <row r="310190" spans="1:1" x14ac:dyDescent="0.25">
      <c r="A310190" s="1"/>
    </row>
    <row r="310191" spans="1:1" x14ac:dyDescent="0.25">
      <c r="A310191" s="1"/>
    </row>
    <row r="310192" spans="1:1" x14ac:dyDescent="0.25">
      <c r="A310192" s="1"/>
    </row>
    <row r="310193" spans="1:1" x14ac:dyDescent="0.25">
      <c r="A310193" s="1"/>
    </row>
    <row r="310194" spans="1:1" x14ac:dyDescent="0.25">
      <c r="A310194" s="1"/>
    </row>
    <row r="310195" spans="1:1" x14ac:dyDescent="0.25">
      <c r="A310195" s="1"/>
    </row>
    <row r="310196" spans="1:1" x14ac:dyDescent="0.25">
      <c r="A310196" s="1"/>
    </row>
    <row r="310197" spans="1:1" x14ac:dyDescent="0.25">
      <c r="A310197" s="1"/>
    </row>
    <row r="310198" spans="1:1" x14ac:dyDescent="0.25">
      <c r="A310198" s="1"/>
    </row>
    <row r="310199" spans="1:1" x14ac:dyDescent="0.25">
      <c r="A310199" s="1"/>
    </row>
    <row r="310200" spans="1:1" x14ac:dyDescent="0.25">
      <c r="A310200" s="1"/>
    </row>
    <row r="310201" spans="1:1" x14ac:dyDescent="0.25">
      <c r="A310201" s="1"/>
    </row>
    <row r="310202" spans="1:1" x14ac:dyDescent="0.25">
      <c r="A310202" s="1"/>
    </row>
    <row r="310203" spans="1:1" x14ac:dyDescent="0.25">
      <c r="A310203" s="1"/>
    </row>
    <row r="310204" spans="1:1" x14ac:dyDescent="0.25">
      <c r="A310204" s="1"/>
    </row>
    <row r="310205" spans="1:1" x14ac:dyDescent="0.25">
      <c r="A310205" s="1"/>
    </row>
    <row r="310206" spans="1:1" x14ac:dyDescent="0.25">
      <c r="A310206" s="1"/>
    </row>
    <row r="310207" spans="1:1" x14ac:dyDescent="0.25">
      <c r="A310207" s="1"/>
    </row>
    <row r="310208" spans="1:1" x14ac:dyDescent="0.25">
      <c r="A310208" s="1"/>
    </row>
    <row r="310209" spans="1:1" x14ac:dyDescent="0.25">
      <c r="A310209" s="1"/>
    </row>
    <row r="310210" spans="1:1" x14ac:dyDescent="0.25">
      <c r="A310210" s="1"/>
    </row>
    <row r="310211" spans="1:1" x14ac:dyDescent="0.25">
      <c r="A310211" s="1"/>
    </row>
    <row r="310212" spans="1:1" x14ac:dyDescent="0.25">
      <c r="A310212" s="1"/>
    </row>
    <row r="310213" spans="1:1" x14ac:dyDescent="0.25">
      <c r="A310213" s="1"/>
    </row>
    <row r="310214" spans="1:1" x14ac:dyDescent="0.25">
      <c r="A310214" s="1"/>
    </row>
    <row r="310215" spans="1:1" x14ac:dyDescent="0.25">
      <c r="A310215" s="1"/>
    </row>
    <row r="310216" spans="1:1" x14ac:dyDescent="0.25">
      <c r="A310216" s="1"/>
    </row>
    <row r="310217" spans="1:1" x14ac:dyDescent="0.25">
      <c r="A310217" s="1"/>
    </row>
    <row r="310218" spans="1:1" x14ac:dyDescent="0.25">
      <c r="A310218" s="1"/>
    </row>
    <row r="310219" spans="1:1" x14ac:dyDescent="0.25">
      <c r="A310219" s="1"/>
    </row>
    <row r="310220" spans="1:1" x14ac:dyDescent="0.25">
      <c r="A310220" s="1"/>
    </row>
    <row r="310221" spans="1:1" x14ac:dyDescent="0.25">
      <c r="A310221" s="1"/>
    </row>
    <row r="310222" spans="1:1" x14ac:dyDescent="0.25">
      <c r="A310222" s="1"/>
    </row>
    <row r="310223" spans="1:1" x14ac:dyDescent="0.25">
      <c r="A310223" s="1"/>
    </row>
    <row r="310224" spans="1:1" x14ac:dyDescent="0.25">
      <c r="A310224" s="1"/>
    </row>
    <row r="310225" spans="1:1" x14ac:dyDescent="0.25">
      <c r="A310225" s="1"/>
    </row>
    <row r="310226" spans="1:1" x14ac:dyDescent="0.25">
      <c r="A310226" s="1"/>
    </row>
    <row r="310227" spans="1:1" x14ac:dyDescent="0.25">
      <c r="A310227" s="1"/>
    </row>
    <row r="310228" spans="1:1" x14ac:dyDescent="0.25">
      <c r="A310228" s="1"/>
    </row>
    <row r="310229" spans="1:1" x14ac:dyDescent="0.25">
      <c r="A310229" s="1"/>
    </row>
    <row r="310230" spans="1:1" x14ac:dyDescent="0.25">
      <c r="A310230" s="1"/>
    </row>
    <row r="310231" spans="1:1" x14ac:dyDescent="0.25">
      <c r="A310231" s="1"/>
    </row>
    <row r="310232" spans="1:1" x14ac:dyDescent="0.25">
      <c r="A310232" s="1"/>
    </row>
    <row r="310233" spans="1:1" x14ac:dyDescent="0.25">
      <c r="A310233" s="1"/>
    </row>
    <row r="310234" spans="1:1" x14ac:dyDescent="0.25">
      <c r="A310234" s="1"/>
    </row>
    <row r="310235" spans="1:1" x14ac:dyDescent="0.25">
      <c r="A310235" s="1"/>
    </row>
    <row r="310236" spans="1:1" x14ac:dyDescent="0.25">
      <c r="A310236" s="1"/>
    </row>
    <row r="310237" spans="1:1" x14ac:dyDescent="0.25">
      <c r="A310237" s="1"/>
    </row>
    <row r="310238" spans="1:1" x14ac:dyDescent="0.25">
      <c r="A310238" s="1"/>
    </row>
    <row r="310239" spans="1:1" x14ac:dyDescent="0.25">
      <c r="A310239" s="1"/>
    </row>
    <row r="310240" spans="1:1" x14ac:dyDescent="0.25">
      <c r="A310240" s="1"/>
    </row>
    <row r="310241" spans="1:1" x14ac:dyDescent="0.25">
      <c r="A310241" s="1"/>
    </row>
    <row r="310242" spans="1:1" x14ac:dyDescent="0.25">
      <c r="A310242" s="1"/>
    </row>
    <row r="310243" spans="1:1" x14ac:dyDescent="0.25">
      <c r="A310243" s="1"/>
    </row>
    <row r="310244" spans="1:1" x14ac:dyDescent="0.25">
      <c r="A310244" s="1"/>
    </row>
    <row r="310245" spans="1:1" x14ac:dyDescent="0.25">
      <c r="A310245" s="1"/>
    </row>
    <row r="310246" spans="1:1" x14ac:dyDescent="0.25">
      <c r="A310246" s="1"/>
    </row>
    <row r="310247" spans="1:1" x14ac:dyDescent="0.25">
      <c r="A310247" s="1"/>
    </row>
    <row r="310248" spans="1:1" x14ac:dyDescent="0.25">
      <c r="A310248" s="1"/>
    </row>
    <row r="310249" spans="1:1" x14ac:dyDescent="0.25">
      <c r="A310249" s="1"/>
    </row>
    <row r="310250" spans="1:1" x14ac:dyDescent="0.25">
      <c r="A310250" s="1"/>
    </row>
    <row r="310251" spans="1:1" x14ac:dyDescent="0.25">
      <c r="A310251" s="1"/>
    </row>
    <row r="310252" spans="1:1" x14ac:dyDescent="0.25">
      <c r="A310252" s="1"/>
    </row>
    <row r="310253" spans="1:1" x14ac:dyDescent="0.25">
      <c r="A310253" s="1"/>
    </row>
    <row r="310254" spans="1:1" x14ac:dyDescent="0.25">
      <c r="A310254" s="1"/>
    </row>
    <row r="310255" spans="1:1" x14ac:dyDescent="0.25">
      <c r="A310255" s="1"/>
    </row>
    <row r="310256" spans="1:1" x14ac:dyDescent="0.25">
      <c r="A310256" s="1"/>
    </row>
    <row r="310257" spans="1:1" x14ac:dyDescent="0.25">
      <c r="A310257" s="1"/>
    </row>
    <row r="310258" spans="1:1" x14ac:dyDescent="0.25">
      <c r="A310258" s="1"/>
    </row>
    <row r="310259" spans="1:1" x14ac:dyDescent="0.25">
      <c r="A310259" s="1"/>
    </row>
    <row r="310260" spans="1:1" x14ac:dyDescent="0.25">
      <c r="A310260" s="1"/>
    </row>
    <row r="310261" spans="1:1" x14ac:dyDescent="0.25">
      <c r="A310261" s="1"/>
    </row>
    <row r="310262" spans="1:1" x14ac:dyDescent="0.25">
      <c r="A310262" s="1"/>
    </row>
    <row r="310263" spans="1:1" x14ac:dyDescent="0.25">
      <c r="A310263" s="1"/>
    </row>
    <row r="310264" spans="1:1" x14ac:dyDescent="0.25">
      <c r="A310264" s="1"/>
    </row>
    <row r="310265" spans="1:1" x14ac:dyDescent="0.25">
      <c r="A310265" s="1"/>
    </row>
    <row r="310266" spans="1:1" x14ac:dyDescent="0.25">
      <c r="A310266" s="1"/>
    </row>
    <row r="310267" spans="1:1" x14ac:dyDescent="0.25">
      <c r="A310267" s="1"/>
    </row>
    <row r="310268" spans="1:1" x14ac:dyDescent="0.25">
      <c r="A310268" s="1"/>
    </row>
    <row r="310269" spans="1:1" x14ac:dyDescent="0.25">
      <c r="A310269" s="1"/>
    </row>
    <row r="310270" spans="1:1" x14ac:dyDescent="0.25">
      <c r="A310270" s="1"/>
    </row>
    <row r="310271" spans="1:1" x14ac:dyDescent="0.25">
      <c r="A310271" s="1"/>
    </row>
    <row r="310272" spans="1:1" x14ac:dyDescent="0.25">
      <c r="A310272" s="1"/>
    </row>
    <row r="310273" spans="1:1" x14ac:dyDescent="0.25">
      <c r="A310273" s="1"/>
    </row>
    <row r="310274" spans="1:1" x14ac:dyDescent="0.25">
      <c r="A310274" s="1"/>
    </row>
    <row r="310275" spans="1:1" x14ac:dyDescent="0.25">
      <c r="A310275" s="1"/>
    </row>
    <row r="310276" spans="1:1" x14ac:dyDescent="0.25">
      <c r="A310276" s="1"/>
    </row>
    <row r="310277" spans="1:1" x14ac:dyDescent="0.25">
      <c r="A310277" s="1"/>
    </row>
    <row r="310278" spans="1:1" x14ac:dyDescent="0.25">
      <c r="A310278" s="1"/>
    </row>
    <row r="310279" spans="1:1" x14ac:dyDescent="0.25">
      <c r="A310279" s="1"/>
    </row>
    <row r="310280" spans="1:1" x14ac:dyDescent="0.25">
      <c r="A310280" s="1"/>
    </row>
    <row r="310281" spans="1:1" x14ac:dyDescent="0.25">
      <c r="A310281" s="1"/>
    </row>
    <row r="310282" spans="1:1" x14ac:dyDescent="0.25">
      <c r="A310282" s="1"/>
    </row>
    <row r="310283" spans="1:1" x14ac:dyDescent="0.25">
      <c r="A310283" s="1"/>
    </row>
    <row r="310284" spans="1:1" x14ac:dyDescent="0.25">
      <c r="A310284" s="1"/>
    </row>
    <row r="310285" spans="1:1" x14ac:dyDescent="0.25">
      <c r="A310285" s="1"/>
    </row>
    <row r="310286" spans="1:1" x14ac:dyDescent="0.25">
      <c r="A310286" s="1"/>
    </row>
    <row r="310287" spans="1:1" x14ac:dyDescent="0.25">
      <c r="A310287" s="1"/>
    </row>
    <row r="310288" spans="1:1" x14ac:dyDescent="0.25">
      <c r="A310288" s="1"/>
    </row>
    <row r="310289" spans="1:1" x14ac:dyDescent="0.25">
      <c r="A310289" s="1"/>
    </row>
    <row r="310290" spans="1:1" x14ac:dyDescent="0.25">
      <c r="A310290" s="1"/>
    </row>
    <row r="310291" spans="1:1" x14ac:dyDescent="0.25">
      <c r="A310291" s="1"/>
    </row>
    <row r="310292" spans="1:1" x14ac:dyDescent="0.25">
      <c r="A310292" s="1"/>
    </row>
    <row r="310293" spans="1:1" x14ac:dyDescent="0.25">
      <c r="A310293" s="1"/>
    </row>
    <row r="310294" spans="1:1" x14ac:dyDescent="0.25">
      <c r="A310294" s="1"/>
    </row>
    <row r="310295" spans="1:1" x14ac:dyDescent="0.25">
      <c r="A310295" s="1"/>
    </row>
    <row r="310296" spans="1:1" x14ac:dyDescent="0.25">
      <c r="A310296" s="1"/>
    </row>
    <row r="310297" spans="1:1" x14ac:dyDescent="0.25">
      <c r="A310297" s="1"/>
    </row>
    <row r="310298" spans="1:1" x14ac:dyDescent="0.25">
      <c r="A310298" s="1"/>
    </row>
    <row r="310299" spans="1:1" x14ac:dyDescent="0.25">
      <c r="A310299" s="1"/>
    </row>
    <row r="310300" spans="1:1" x14ac:dyDescent="0.25">
      <c r="A310300" s="1"/>
    </row>
    <row r="310301" spans="1:1" x14ac:dyDescent="0.25">
      <c r="A310301" s="1"/>
    </row>
    <row r="310302" spans="1:1" x14ac:dyDescent="0.25">
      <c r="A310302" s="1"/>
    </row>
    <row r="310303" spans="1:1" x14ac:dyDescent="0.25">
      <c r="A310303" s="1"/>
    </row>
    <row r="310304" spans="1:1" x14ac:dyDescent="0.25">
      <c r="A310304" s="1"/>
    </row>
    <row r="310305" spans="1:1" x14ac:dyDescent="0.25">
      <c r="A310305" s="1"/>
    </row>
    <row r="310306" spans="1:1" x14ac:dyDescent="0.25">
      <c r="A310306" s="1"/>
    </row>
    <row r="310307" spans="1:1" x14ac:dyDescent="0.25">
      <c r="A310307" s="1"/>
    </row>
    <row r="310308" spans="1:1" x14ac:dyDescent="0.25">
      <c r="A310308" s="1"/>
    </row>
    <row r="310309" spans="1:1" x14ac:dyDescent="0.25">
      <c r="A310309" s="1"/>
    </row>
    <row r="310310" spans="1:1" x14ac:dyDescent="0.25">
      <c r="A310310" s="1"/>
    </row>
    <row r="310311" spans="1:1" x14ac:dyDescent="0.25">
      <c r="A310311" s="1"/>
    </row>
    <row r="310312" spans="1:1" x14ac:dyDescent="0.25">
      <c r="A310312" s="1"/>
    </row>
    <row r="310313" spans="1:1" x14ac:dyDescent="0.25">
      <c r="A310313" s="1"/>
    </row>
    <row r="310314" spans="1:1" x14ac:dyDescent="0.25">
      <c r="A310314" s="1"/>
    </row>
    <row r="310315" spans="1:1" x14ac:dyDescent="0.25">
      <c r="A310315" s="1"/>
    </row>
    <row r="310316" spans="1:1" x14ac:dyDescent="0.25">
      <c r="A310316" s="1"/>
    </row>
    <row r="310317" spans="1:1" x14ac:dyDescent="0.25">
      <c r="A310317" s="1"/>
    </row>
    <row r="310318" spans="1:1" x14ac:dyDescent="0.25">
      <c r="A310318" s="1"/>
    </row>
    <row r="310319" spans="1:1" x14ac:dyDescent="0.25">
      <c r="A310319" s="1"/>
    </row>
    <row r="310320" spans="1:1" x14ac:dyDescent="0.25">
      <c r="A310320" s="1"/>
    </row>
    <row r="310321" spans="1:1" x14ac:dyDescent="0.25">
      <c r="A310321" s="1"/>
    </row>
    <row r="310322" spans="1:1" x14ac:dyDescent="0.25">
      <c r="A310322" s="1"/>
    </row>
    <row r="310323" spans="1:1" x14ac:dyDescent="0.25">
      <c r="A310323" s="1"/>
    </row>
    <row r="310324" spans="1:1" x14ac:dyDescent="0.25">
      <c r="A310324" s="1"/>
    </row>
    <row r="310325" spans="1:1" x14ac:dyDescent="0.25">
      <c r="A310325" s="1"/>
    </row>
    <row r="310326" spans="1:1" x14ac:dyDescent="0.25">
      <c r="A310326" s="1"/>
    </row>
    <row r="310327" spans="1:1" x14ac:dyDescent="0.25">
      <c r="A310327" s="1"/>
    </row>
    <row r="310328" spans="1:1" x14ac:dyDescent="0.25">
      <c r="A310328" s="1"/>
    </row>
    <row r="310329" spans="1:1" x14ac:dyDescent="0.25">
      <c r="A310329" s="1"/>
    </row>
    <row r="310330" spans="1:1" x14ac:dyDescent="0.25">
      <c r="A310330" s="1"/>
    </row>
    <row r="310331" spans="1:1" x14ac:dyDescent="0.25">
      <c r="A310331" s="1"/>
    </row>
    <row r="310332" spans="1:1" x14ac:dyDescent="0.25">
      <c r="A310332" s="1"/>
    </row>
    <row r="310333" spans="1:1" x14ac:dyDescent="0.25">
      <c r="A310333" s="1"/>
    </row>
    <row r="310334" spans="1:1" x14ac:dyDescent="0.25">
      <c r="A310334" s="1"/>
    </row>
    <row r="310335" spans="1:1" x14ac:dyDescent="0.25">
      <c r="A310335" s="1"/>
    </row>
    <row r="310336" spans="1:1" x14ac:dyDescent="0.25">
      <c r="A310336" s="1"/>
    </row>
    <row r="310337" spans="1:1" x14ac:dyDescent="0.25">
      <c r="A310337" s="1"/>
    </row>
    <row r="310338" spans="1:1" x14ac:dyDescent="0.25">
      <c r="A310338" s="1"/>
    </row>
    <row r="310339" spans="1:1" x14ac:dyDescent="0.25">
      <c r="A310339" s="1"/>
    </row>
    <row r="310340" spans="1:1" x14ac:dyDescent="0.25">
      <c r="A310340" s="1"/>
    </row>
    <row r="310341" spans="1:1" x14ac:dyDescent="0.25">
      <c r="A310341" s="1"/>
    </row>
    <row r="310342" spans="1:1" x14ac:dyDescent="0.25">
      <c r="A310342" s="1"/>
    </row>
    <row r="310343" spans="1:1" x14ac:dyDescent="0.25">
      <c r="A310343" s="1"/>
    </row>
    <row r="310344" spans="1:1" x14ac:dyDescent="0.25">
      <c r="A310344" s="1"/>
    </row>
    <row r="310345" spans="1:1" x14ac:dyDescent="0.25">
      <c r="A310345" s="1"/>
    </row>
    <row r="310346" spans="1:1" x14ac:dyDescent="0.25">
      <c r="A310346" s="1"/>
    </row>
    <row r="310347" spans="1:1" x14ac:dyDescent="0.25">
      <c r="A310347" s="1"/>
    </row>
    <row r="310348" spans="1:1" x14ac:dyDescent="0.25">
      <c r="A310348" s="1"/>
    </row>
    <row r="310349" spans="1:1" x14ac:dyDescent="0.25">
      <c r="A310349" s="1"/>
    </row>
    <row r="310350" spans="1:1" x14ac:dyDescent="0.25">
      <c r="A310350" s="1"/>
    </row>
    <row r="310351" spans="1:1" x14ac:dyDescent="0.25">
      <c r="A310351" s="1"/>
    </row>
    <row r="310352" spans="1:1" x14ac:dyDescent="0.25">
      <c r="A310352" s="1"/>
    </row>
    <row r="310353" spans="1:1" x14ac:dyDescent="0.25">
      <c r="A310353" s="1"/>
    </row>
    <row r="310354" spans="1:1" x14ac:dyDescent="0.25">
      <c r="A310354" s="1"/>
    </row>
    <row r="310355" spans="1:1" x14ac:dyDescent="0.25">
      <c r="A310355" s="1"/>
    </row>
    <row r="310356" spans="1:1" x14ac:dyDescent="0.25">
      <c r="A310356" s="1"/>
    </row>
    <row r="310357" spans="1:1" x14ac:dyDescent="0.25">
      <c r="A310357" s="1"/>
    </row>
    <row r="310358" spans="1:1" x14ac:dyDescent="0.25">
      <c r="A310358" s="1"/>
    </row>
    <row r="310359" spans="1:1" x14ac:dyDescent="0.25">
      <c r="A310359" s="1"/>
    </row>
    <row r="310360" spans="1:1" x14ac:dyDescent="0.25">
      <c r="A310360" s="1"/>
    </row>
    <row r="310361" spans="1:1" x14ac:dyDescent="0.25">
      <c r="A310361" s="1"/>
    </row>
    <row r="310362" spans="1:1" x14ac:dyDescent="0.25">
      <c r="A310362" s="1"/>
    </row>
    <row r="310363" spans="1:1" x14ac:dyDescent="0.25">
      <c r="A310363" s="1"/>
    </row>
    <row r="310364" spans="1:1" x14ac:dyDescent="0.25">
      <c r="A310364" s="1"/>
    </row>
    <row r="310365" spans="1:1" x14ac:dyDescent="0.25">
      <c r="A310365" s="1"/>
    </row>
    <row r="310366" spans="1:1" x14ac:dyDescent="0.25">
      <c r="A310366" s="1"/>
    </row>
    <row r="310367" spans="1:1" x14ac:dyDescent="0.25">
      <c r="A310367" s="1"/>
    </row>
    <row r="310368" spans="1:1" x14ac:dyDescent="0.25">
      <c r="A310368" s="1"/>
    </row>
    <row r="310369" spans="1:1" x14ac:dyDescent="0.25">
      <c r="A310369" s="1"/>
    </row>
    <row r="310370" spans="1:1" x14ac:dyDescent="0.25">
      <c r="A310370" s="1"/>
    </row>
    <row r="310371" spans="1:1" x14ac:dyDescent="0.25">
      <c r="A310371" s="1"/>
    </row>
    <row r="310372" spans="1:1" x14ac:dyDescent="0.25">
      <c r="A310372" s="1"/>
    </row>
    <row r="310373" spans="1:1" x14ac:dyDescent="0.25">
      <c r="A310373" s="1"/>
    </row>
    <row r="310374" spans="1:1" x14ac:dyDescent="0.25">
      <c r="A310374" s="1"/>
    </row>
    <row r="310375" spans="1:1" x14ac:dyDescent="0.25">
      <c r="A310375" s="1"/>
    </row>
    <row r="310376" spans="1:1" x14ac:dyDescent="0.25">
      <c r="A310376" s="1"/>
    </row>
    <row r="310377" spans="1:1" x14ac:dyDescent="0.25">
      <c r="A310377" s="1"/>
    </row>
    <row r="310378" spans="1:1" x14ac:dyDescent="0.25">
      <c r="A310378" s="1"/>
    </row>
    <row r="310379" spans="1:1" x14ac:dyDescent="0.25">
      <c r="A310379" s="1"/>
    </row>
    <row r="310380" spans="1:1" x14ac:dyDescent="0.25">
      <c r="A310380" s="1"/>
    </row>
    <row r="310381" spans="1:1" x14ac:dyDescent="0.25">
      <c r="A310381" s="1"/>
    </row>
    <row r="310382" spans="1:1" x14ac:dyDescent="0.25">
      <c r="A310382" s="1"/>
    </row>
    <row r="310383" spans="1:1" x14ac:dyDescent="0.25">
      <c r="A310383" s="1"/>
    </row>
    <row r="310384" spans="1:1" x14ac:dyDescent="0.25">
      <c r="A310384" s="1"/>
    </row>
    <row r="310385" spans="1:1" x14ac:dyDescent="0.25">
      <c r="A310385" s="1"/>
    </row>
    <row r="310386" spans="1:1" x14ac:dyDescent="0.25">
      <c r="A310386" s="1"/>
    </row>
    <row r="310387" spans="1:1" x14ac:dyDescent="0.25">
      <c r="A310387" s="1"/>
    </row>
    <row r="310388" spans="1:1" x14ac:dyDescent="0.25">
      <c r="A310388" s="1"/>
    </row>
    <row r="310389" spans="1:1" x14ac:dyDescent="0.25">
      <c r="A310389" s="1"/>
    </row>
    <row r="310390" spans="1:1" x14ac:dyDescent="0.25">
      <c r="A310390" s="1"/>
    </row>
    <row r="310391" spans="1:1" x14ac:dyDescent="0.25">
      <c r="A310391" s="1"/>
    </row>
    <row r="310392" spans="1:1" x14ac:dyDescent="0.25">
      <c r="A310392" s="1"/>
    </row>
    <row r="310393" spans="1:1" x14ac:dyDescent="0.25">
      <c r="A310393" s="1"/>
    </row>
    <row r="310394" spans="1:1" x14ac:dyDescent="0.25">
      <c r="A310394" s="1"/>
    </row>
    <row r="310395" spans="1:1" x14ac:dyDescent="0.25">
      <c r="A310395" s="1"/>
    </row>
    <row r="310396" spans="1:1" x14ac:dyDescent="0.25">
      <c r="A310396" s="1"/>
    </row>
    <row r="310397" spans="1:1" x14ac:dyDescent="0.25">
      <c r="A310397" s="1"/>
    </row>
    <row r="310398" spans="1:1" x14ac:dyDescent="0.25">
      <c r="A310398" s="1"/>
    </row>
    <row r="310399" spans="1:1" x14ac:dyDescent="0.25">
      <c r="A310399" s="1"/>
    </row>
    <row r="310400" spans="1:1" x14ac:dyDescent="0.25">
      <c r="A310400" s="1"/>
    </row>
    <row r="310401" spans="1:1" x14ac:dyDescent="0.25">
      <c r="A310401" s="1"/>
    </row>
    <row r="310402" spans="1:1" x14ac:dyDescent="0.25">
      <c r="A310402" s="1"/>
    </row>
    <row r="310403" spans="1:1" x14ac:dyDescent="0.25">
      <c r="A310403" s="1"/>
    </row>
    <row r="310404" spans="1:1" x14ac:dyDescent="0.25">
      <c r="A310404" s="1"/>
    </row>
    <row r="310405" spans="1:1" x14ac:dyDescent="0.25">
      <c r="A310405" s="1"/>
    </row>
    <row r="310406" spans="1:1" x14ac:dyDescent="0.25">
      <c r="A310406" s="1"/>
    </row>
    <row r="310407" spans="1:1" x14ac:dyDescent="0.25">
      <c r="A310407" s="1"/>
    </row>
    <row r="310408" spans="1:1" x14ac:dyDescent="0.25">
      <c r="A310408" s="1"/>
    </row>
    <row r="310409" spans="1:1" x14ac:dyDescent="0.25">
      <c r="A310409" s="1"/>
    </row>
    <row r="310410" spans="1:1" x14ac:dyDescent="0.25">
      <c r="A310410" s="1"/>
    </row>
    <row r="310411" spans="1:1" x14ac:dyDescent="0.25">
      <c r="A310411" s="1"/>
    </row>
    <row r="310412" spans="1:1" x14ac:dyDescent="0.25">
      <c r="A310412" s="1"/>
    </row>
    <row r="310413" spans="1:1" x14ac:dyDescent="0.25">
      <c r="A310413" s="1"/>
    </row>
    <row r="310414" spans="1:1" x14ac:dyDescent="0.25">
      <c r="A310414" s="1"/>
    </row>
    <row r="310415" spans="1:1" x14ac:dyDescent="0.25">
      <c r="A310415" s="1"/>
    </row>
    <row r="310416" spans="1:1" x14ac:dyDescent="0.25">
      <c r="A310416" s="1"/>
    </row>
    <row r="310417" spans="1:1" x14ac:dyDescent="0.25">
      <c r="A310417" s="1"/>
    </row>
    <row r="310418" spans="1:1" x14ac:dyDescent="0.25">
      <c r="A310418" s="1"/>
    </row>
    <row r="310419" spans="1:1" x14ac:dyDescent="0.25">
      <c r="A310419" s="1"/>
    </row>
    <row r="310420" spans="1:1" x14ac:dyDescent="0.25">
      <c r="A310420" s="1"/>
    </row>
    <row r="310421" spans="1:1" x14ac:dyDescent="0.25">
      <c r="A310421" s="1"/>
    </row>
    <row r="310422" spans="1:1" x14ac:dyDescent="0.25">
      <c r="A310422" s="1"/>
    </row>
    <row r="310423" spans="1:1" x14ac:dyDescent="0.25">
      <c r="A310423" s="1"/>
    </row>
    <row r="310424" spans="1:1" x14ac:dyDescent="0.25">
      <c r="A310424" s="1"/>
    </row>
    <row r="310425" spans="1:1" x14ac:dyDescent="0.25">
      <c r="A310425" s="1"/>
    </row>
    <row r="310426" spans="1:1" x14ac:dyDescent="0.25">
      <c r="A310426" s="1"/>
    </row>
    <row r="310427" spans="1:1" x14ac:dyDescent="0.25">
      <c r="A310427" s="1"/>
    </row>
    <row r="310428" spans="1:1" x14ac:dyDescent="0.25">
      <c r="A310428" s="1"/>
    </row>
    <row r="310429" spans="1:1" x14ac:dyDescent="0.25">
      <c r="A310429" s="1"/>
    </row>
    <row r="310430" spans="1:1" x14ac:dyDescent="0.25">
      <c r="A310430" s="1"/>
    </row>
    <row r="310431" spans="1:1" x14ac:dyDescent="0.25">
      <c r="A310431" s="1"/>
    </row>
    <row r="310432" spans="1:1" x14ac:dyDescent="0.25">
      <c r="A310432" s="1"/>
    </row>
    <row r="310433" spans="1:1" x14ac:dyDescent="0.25">
      <c r="A310433" s="1"/>
    </row>
    <row r="310434" spans="1:1" x14ac:dyDescent="0.25">
      <c r="A310434" s="1"/>
    </row>
    <row r="310435" spans="1:1" x14ac:dyDescent="0.25">
      <c r="A310435" s="1"/>
    </row>
    <row r="310436" spans="1:1" x14ac:dyDescent="0.25">
      <c r="A310436" s="1"/>
    </row>
    <row r="310437" spans="1:1" x14ac:dyDescent="0.25">
      <c r="A310437" s="1"/>
    </row>
    <row r="310438" spans="1:1" x14ac:dyDescent="0.25">
      <c r="A310438" s="1"/>
    </row>
    <row r="310439" spans="1:1" x14ac:dyDescent="0.25">
      <c r="A310439" s="1"/>
    </row>
    <row r="310440" spans="1:1" x14ac:dyDescent="0.25">
      <c r="A310440" s="1"/>
    </row>
    <row r="310441" spans="1:1" x14ac:dyDescent="0.25">
      <c r="A310441" s="1"/>
    </row>
    <row r="310442" spans="1:1" x14ac:dyDescent="0.25">
      <c r="A310442" s="1"/>
    </row>
    <row r="310443" spans="1:1" x14ac:dyDescent="0.25">
      <c r="A310443" s="1"/>
    </row>
    <row r="310444" spans="1:1" x14ac:dyDescent="0.25">
      <c r="A310444" s="1"/>
    </row>
    <row r="310445" spans="1:1" x14ac:dyDescent="0.25">
      <c r="A310445" s="1"/>
    </row>
    <row r="310446" spans="1:1" x14ac:dyDescent="0.25">
      <c r="A310446" s="1"/>
    </row>
    <row r="310447" spans="1:1" x14ac:dyDescent="0.25">
      <c r="A310447" s="1"/>
    </row>
    <row r="310448" spans="1:1" x14ac:dyDescent="0.25">
      <c r="A310448" s="1"/>
    </row>
    <row r="310449" spans="1:1" x14ac:dyDescent="0.25">
      <c r="A310449" s="1"/>
    </row>
    <row r="310450" spans="1:1" x14ac:dyDescent="0.25">
      <c r="A310450" s="1"/>
    </row>
    <row r="310451" spans="1:1" x14ac:dyDescent="0.25">
      <c r="A310451" s="1"/>
    </row>
    <row r="310452" spans="1:1" x14ac:dyDescent="0.25">
      <c r="A310452" s="1"/>
    </row>
    <row r="310453" spans="1:1" x14ac:dyDescent="0.25">
      <c r="A310453" s="1"/>
    </row>
    <row r="310454" spans="1:1" x14ac:dyDescent="0.25">
      <c r="A310454" s="1"/>
    </row>
    <row r="310455" spans="1:1" x14ac:dyDescent="0.25">
      <c r="A310455" s="1"/>
    </row>
    <row r="310456" spans="1:1" x14ac:dyDescent="0.25">
      <c r="A310456" s="1"/>
    </row>
    <row r="310457" spans="1:1" x14ac:dyDescent="0.25">
      <c r="A310457" s="1"/>
    </row>
    <row r="310458" spans="1:1" x14ac:dyDescent="0.25">
      <c r="A310458" s="1"/>
    </row>
    <row r="310459" spans="1:1" x14ac:dyDescent="0.25">
      <c r="A310459" s="1"/>
    </row>
    <row r="310460" spans="1:1" x14ac:dyDescent="0.25">
      <c r="A310460" s="1"/>
    </row>
    <row r="310461" spans="1:1" x14ac:dyDescent="0.25">
      <c r="A310461" s="1"/>
    </row>
    <row r="310462" spans="1:1" x14ac:dyDescent="0.25">
      <c r="A310462" s="1"/>
    </row>
    <row r="310463" spans="1:1" x14ac:dyDescent="0.25">
      <c r="A310463" s="1"/>
    </row>
    <row r="310464" spans="1:1" x14ac:dyDescent="0.25">
      <c r="A310464" s="1"/>
    </row>
    <row r="310465" spans="1:1" x14ac:dyDescent="0.25">
      <c r="A310465" s="1"/>
    </row>
    <row r="310466" spans="1:1" x14ac:dyDescent="0.25">
      <c r="A310466" s="1"/>
    </row>
    <row r="310467" spans="1:1" x14ac:dyDescent="0.25">
      <c r="A310467" s="1"/>
    </row>
    <row r="310468" spans="1:1" x14ac:dyDescent="0.25">
      <c r="A310468" s="1"/>
    </row>
    <row r="310469" spans="1:1" x14ac:dyDescent="0.25">
      <c r="A310469" s="1"/>
    </row>
    <row r="310470" spans="1:1" x14ac:dyDescent="0.25">
      <c r="A310470" s="1"/>
    </row>
    <row r="310471" spans="1:1" x14ac:dyDescent="0.25">
      <c r="A310471" s="1"/>
    </row>
    <row r="310472" spans="1:1" x14ac:dyDescent="0.25">
      <c r="A310472" s="1"/>
    </row>
    <row r="310473" spans="1:1" x14ac:dyDescent="0.25">
      <c r="A310473" s="1"/>
    </row>
    <row r="310474" spans="1:1" x14ac:dyDescent="0.25">
      <c r="A310474" s="1"/>
    </row>
    <row r="310475" spans="1:1" x14ac:dyDescent="0.25">
      <c r="A310475" s="1"/>
    </row>
    <row r="310476" spans="1:1" x14ac:dyDescent="0.25">
      <c r="A310476" s="1"/>
    </row>
    <row r="310477" spans="1:1" x14ac:dyDescent="0.25">
      <c r="A310477" s="1"/>
    </row>
    <row r="310478" spans="1:1" x14ac:dyDescent="0.25">
      <c r="A310478" s="1"/>
    </row>
    <row r="310479" spans="1:1" x14ac:dyDescent="0.25">
      <c r="A310479" s="1"/>
    </row>
    <row r="310480" spans="1:1" x14ac:dyDescent="0.25">
      <c r="A310480" s="1"/>
    </row>
    <row r="310481" spans="1:1" x14ac:dyDescent="0.25">
      <c r="A310481" s="1"/>
    </row>
    <row r="310482" spans="1:1" x14ac:dyDescent="0.25">
      <c r="A310482" s="1"/>
    </row>
    <row r="310483" spans="1:1" x14ac:dyDescent="0.25">
      <c r="A310483" s="1"/>
    </row>
    <row r="310484" spans="1:1" x14ac:dyDescent="0.25">
      <c r="A310484" s="1"/>
    </row>
    <row r="310485" spans="1:1" x14ac:dyDescent="0.25">
      <c r="A310485" s="1"/>
    </row>
    <row r="310486" spans="1:1" x14ac:dyDescent="0.25">
      <c r="A310486" s="1"/>
    </row>
    <row r="310487" spans="1:1" x14ac:dyDescent="0.25">
      <c r="A310487" s="1"/>
    </row>
    <row r="310488" spans="1:1" x14ac:dyDescent="0.25">
      <c r="A310488" s="1"/>
    </row>
    <row r="310489" spans="1:1" x14ac:dyDescent="0.25">
      <c r="A310489" s="1"/>
    </row>
    <row r="310490" spans="1:1" x14ac:dyDescent="0.25">
      <c r="A310490" s="1"/>
    </row>
    <row r="310491" spans="1:1" x14ac:dyDescent="0.25">
      <c r="A310491" s="1"/>
    </row>
    <row r="310492" spans="1:1" x14ac:dyDescent="0.25">
      <c r="A310492" s="1"/>
    </row>
    <row r="310493" spans="1:1" x14ac:dyDescent="0.25">
      <c r="A310493" s="1"/>
    </row>
    <row r="310494" spans="1:1" x14ac:dyDescent="0.25">
      <c r="A310494" s="1"/>
    </row>
    <row r="310495" spans="1:1" x14ac:dyDescent="0.25">
      <c r="A310495" s="1"/>
    </row>
    <row r="310496" spans="1:1" x14ac:dyDescent="0.25">
      <c r="A310496" s="1"/>
    </row>
    <row r="310497" spans="1:1" x14ac:dyDescent="0.25">
      <c r="A310497" s="1"/>
    </row>
    <row r="310498" spans="1:1" x14ac:dyDescent="0.25">
      <c r="A310498" s="1"/>
    </row>
    <row r="310499" spans="1:1" x14ac:dyDescent="0.25">
      <c r="A310499" s="1"/>
    </row>
    <row r="310500" spans="1:1" x14ac:dyDescent="0.25">
      <c r="A310500" s="1"/>
    </row>
    <row r="310501" spans="1:1" x14ac:dyDescent="0.25">
      <c r="A310501" s="1"/>
    </row>
    <row r="310502" spans="1:1" x14ac:dyDescent="0.25">
      <c r="A310502" s="1"/>
    </row>
    <row r="310503" spans="1:1" x14ac:dyDescent="0.25">
      <c r="A310503" s="1"/>
    </row>
    <row r="310504" spans="1:1" x14ac:dyDescent="0.25">
      <c r="A310504" s="1"/>
    </row>
    <row r="310505" spans="1:1" x14ac:dyDescent="0.25">
      <c r="A310505" s="1"/>
    </row>
    <row r="310506" spans="1:1" x14ac:dyDescent="0.25">
      <c r="A310506" s="1"/>
    </row>
    <row r="310507" spans="1:1" x14ac:dyDescent="0.25">
      <c r="A310507" s="1"/>
    </row>
    <row r="310508" spans="1:1" x14ac:dyDescent="0.25">
      <c r="A310508" s="1"/>
    </row>
    <row r="310509" spans="1:1" x14ac:dyDescent="0.25">
      <c r="A310509" s="1"/>
    </row>
    <row r="310510" spans="1:1" x14ac:dyDescent="0.25">
      <c r="A310510" s="1"/>
    </row>
    <row r="310511" spans="1:1" x14ac:dyDescent="0.25">
      <c r="A310511" s="1"/>
    </row>
    <row r="310512" spans="1:1" x14ac:dyDescent="0.25">
      <c r="A310512" s="1"/>
    </row>
    <row r="310513" spans="1:1" x14ac:dyDescent="0.25">
      <c r="A310513" s="1"/>
    </row>
    <row r="310514" spans="1:1" x14ac:dyDescent="0.25">
      <c r="A310514" s="1"/>
    </row>
    <row r="310515" spans="1:1" x14ac:dyDescent="0.25">
      <c r="A310515" s="1"/>
    </row>
    <row r="310516" spans="1:1" x14ac:dyDescent="0.25">
      <c r="A310516" s="1"/>
    </row>
    <row r="310517" spans="1:1" x14ac:dyDescent="0.25">
      <c r="A310517" s="1"/>
    </row>
    <row r="310518" spans="1:1" x14ac:dyDescent="0.25">
      <c r="A310518" s="1"/>
    </row>
    <row r="310519" spans="1:1" x14ac:dyDescent="0.25">
      <c r="A310519" s="1"/>
    </row>
    <row r="310520" spans="1:1" x14ac:dyDescent="0.25">
      <c r="A310520" s="1"/>
    </row>
    <row r="310521" spans="1:1" x14ac:dyDescent="0.25">
      <c r="A310521" s="1"/>
    </row>
    <row r="310522" spans="1:1" x14ac:dyDescent="0.25">
      <c r="A310522" s="1"/>
    </row>
    <row r="310523" spans="1:1" x14ac:dyDescent="0.25">
      <c r="A310523" s="1"/>
    </row>
    <row r="310524" spans="1:1" x14ac:dyDescent="0.25">
      <c r="A310524" s="1"/>
    </row>
    <row r="310525" spans="1:1" x14ac:dyDescent="0.25">
      <c r="A310525" s="1"/>
    </row>
    <row r="310526" spans="1:1" x14ac:dyDescent="0.25">
      <c r="A310526" s="1"/>
    </row>
    <row r="310527" spans="1:1" x14ac:dyDescent="0.25">
      <c r="A310527" s="1"/>
    </row>
    <row r="310528" spans="1:1" x14ac:dyDescent="0.25">
      <c r="A310528" s="1"/>
    </row>
    <row r="310529" spans="1:1" x14ac:dyDescent="0.25">
      <c r="A310529" s="1"/>
    </row>
    <row r="310530" spans="1:1" x14ac:dyDescent="0.25">
      <c r="A310530" s="1"/>
    </row>
    <row r="310531" spans="1:1" x14ac:dyDescent="0.25">
      <c r="A310531" s="1"/>
    </row>
    <row r="310532" spans="1:1" x14ac:dyDescent="0.25">
      <c r="A310532" s="1"/>
    </row>
    <row r="310533" spans="1:1" x14ac:dyDescent="0.25">
      <c r="A310533" s="1"/>
    </row>
    <row r="310534" spans="1:1" x14ac:dyDescent="0.25">
      <c r="A310534" s="1"/>
    </row>
    <row r="310535" spans="1:1" x14ac:dyDescent="0.25">
      <c r="A310535" s="1"/>
    </row>
    <row r="310536" spans="1:1" x14ac:dyDescent="0.25">
      <c r="A310536" s="1"/>
    </row>
    <row r="310537" spans="1:1" x14ac:dyDescent="0.25">
      <c r="A310537" s="1"/>
    </row>
    <row r="310538" spans="1:1" x14ac:dyDescent="0.25">
      <c r="A310538" s="1"/>
    </row>
    <row r="310539" spans="1:1" x14ac:dyDescent="0.25">
      <c r="A310539" s="1"/>
    </row>
    <row r="310540" spans="1:1" x14ac:dyDescent="0.25">
      <c r="A310540" s="1"/>
    </row>
    <row r="310541" spans="1:1" x14ac:dyDescent="0.25">
      <c r="A310541" s="1"/>
    </row>
    <row r="310542" spans="1:1" x14ac:dyDescent="0.25">
      <c r="A310542" s="1"/>
    </row>
    <row r="310543" spans="1:1" x14ac:dyDescent="0.25">
      <c r="A310543" s="1"/>
    </row>
    <row r="310544" spans="1:1" x14ac:dyDescent="0.25">
      <c r="A310544" s="1"/>
    </row>
    <row r="310545" spans="1:1" x14ac:dyDescent="0.25">
      <c r="A310545" s="1"/>
    </row>
    <row r="310546" spans="1:1" x14ac:dyDescent="0.25">
      <c r="A310546" s="1"/>
    </row>
    <row r="310547" spans="1:1" x14ac:dyDescent="0.25">
      <c r="A310547" s="1"/>
    </row>
    <row r="310548" spans="1:1" x14ac:dyDescent="0.25">
      <c r="A310548" s="1"/>
    </row>
    <row r="310549" spans="1:1" x14ac:dyDescent="0.25">
      <c r="A310549" s="1"/>
    </row>
    <row r="310550" spans="1:1" x14ac:dyDescent="0.25">
      <c r="A310550" s="1"/>
    </row>
    <row r="310551" spans="1:1" x14ac:dyDescent="0.25">
      <c r="A310551" s="1"/>
    </row>
    <row r="310552" spans="1:1" x14ac:dyDescent="0.25">
      <c r="A310552" s="1"/>
    </row>
    <row r="310553" spans="1:1" x14ac:dyDescent="0.25">
      <c r="A310553" s="1"/>
    </row>
    <row r="310554" spans="1:1" x14ac:dyDescent="0.25">
      <c r="A310554" s="1"/>
    </row>
    <row r="310555" spans="1:1" x14ac:dyDescent="0.25">
      <c r="A310555" s="1"/>
    </row>
    <row r="310556" spans="1:1" x14ac:dyDescent="0.25">
      <c r="A310556" s="1"/>
    </row>
    <row r="310557" spans="1:1" x14ac:dyDescent="0.25">
      <c r="A310557" s="1"/>
    </row>
    <row r="310558" spans="1:1" x14ac:dyDescent="0.25">
      <c r="A310558" s="1"/>
    </row>
    <row r="310559" spans="1:1" x14ac:dyDescent="0.25">
      <c r="A310559" s="1"/>
    </row>
    <row r="310560" spans="1:1" x14ac:dyDescent="0.25">
      <c r="A310560" s="1"/>
    </row>
    <row r="310561" spans="1:1" x14ac:dyDescent="0.25">
      <c r="A310561" s="1"/>
    </row>
    <row r="310562" spans="1:1" x14ac:dyDescent="0.25">
      <c r="A310562" s="1"/>
    </row>
    <row r="310563" spans="1:1" x14ac:dyDescent="0.25">
      <c r="A310563" s="1"/>
    </row>
    <row r="310564" spans="1:1" x14ac:dyDescent="0.25">
      <c r="A310564" s="1"/>
    </row>
    <row r="310565" spans="1:1" x14ac:dyDescent="0.25">
      <c r="A310565" s="1"/>
    </row>
    <row r="310566" spans="1:1" x14ac:dyDescent="0.25">
      <c r="A310566" s="1"/>
    </row>
    <row r="310567" spans="1:1" x14ac:dyDescent="0.25">
      <c r="A310567" s="1"/>
    </row>
    <row r="310568" spans="1:1" x14ac:dyDescent="0.25">
      <c r="A310568" s="1"/>
    </row>
    <row r="310569" spans="1:1" x14ac:dyDescent="0.25">
      <c r="A310569" s="1"/>
    </row>
    <row r="310570" spans="1:1" x14ac:dyDescent="0.25">
      <c r="A310570" s="1"/>
    </row>
    <row r="310571" spans="1:1" x14ac:dyDescent="0.25">
      <c r="A310571" s="1"/>
    </row>
    <row r="310572" spans="1:1" x14ac:dyDescent="0.25">
      <c r="A310572" s="1"/>
    </row>
    <row r="310573" spans="1:1" x14ac:dyDescent="0.25">
      <c r="A310573" s="1"/>
    </row>
    <row r="310574" spans="1:1" x14ac:dyDescent="0.25">
      <c r="A310574" s="1"/>
    </row>
    <row r="310575" spans="1:1" x14ac:dyDescent="0.25">
      <c r="A310575" s="1"/>
    </row>
    <row r="310576" spans="1:1" x14ac:dyDescent="0.25">
      <c r="A310576" s="1"/>
    </row>
    <row r="310577" spans="1:1" x14ac:dyDescent="0.25">
      <c r="A310577" s="1"/>
    </row>
    <row r="310578" spans="1:1" x14ac:dyDescent="0.25">
      <c r="A310578" s="1"/>
    </row>
    <row r="310579" spans="1:1" x14ac:dyDescent="0.25">
      <c r="A310579" s="1"/>
    </row>
    <row r="310580" spans="1:1" x14ac:dyDescent="0.25">
      <c r="A310580" s="1"/>
    </row>
    <row r="310581" spans="1:1" x14ac:dyDescent="0.25">
      <c r="A310581" s="1"/>
    </row>
    <row r="310582" spans="1:1" x14ac:dyDescent="0.25">
      <c r="A310582" s="1"/>
    </row>
    <row r="310583" spans="1:1" x14ac:dyDescent="0.25">
      <c r="A310583" s="1"/>
    </row>
    <row r="310584" spans="1:1" x14ac:dyDescent="0.25">
      <c r="A310584" s="1"/>
    </row>
    <row r="310585" spans="1:1" x14ac:dyDescent="0.25">
      <c r="A310585" s="1"/>
    </row>
    <row r="310586" spans="1:1" x14ac:dyDescent="0.25">
      <c r="A310586" s="1"/>
    </row>
    <row r="310587" spans="1:1" x14ac:dyDescent="0.25">
      <c r="A310587" s="1"/>
    </row>
    <row r="310588" spans="1:1" x14ac:dyDescent="0.25">
      <c r="A310588" s="1"/>
    </row>
    <row r="310589" spans="1:1" x14ac:dyDescent="0.25">
      <c r="A310589" s="1"/>
    </row>
    <row r="310590" spans="1:1" x14ac:dyDescent="0.25">
      <c r="A310590" s="1"/>
    </row>
    <row r="310591" spans="1:1" x14ac:dyDescent="0.25">
      <c r="A310591" s="1"/>
    </row>
    <row r="310592" spans="1:1" x14ac:dyDescent="0.25">
      <c r="A310592" s="1"/>
    </row>
    <row r="310593" spans="1:1" x14ac:dyDescent="0.25">
      <c r="A310593" s="1"/>
    </row>
    <row r="310594" spans="1:1" x14ac:dyDescent="0.25">
      <c r="A310594" s="1"/>
    </row>
    <row r="310595" spans="1:1" x14ac:dyDescent="0.25">
      <c r="A310595" s="1"/>
    </row>
    <row r="310596" spans="1:1" x14ac:dyDescent="0.25">
      <c r="A310596" s="1"/>
    </row>
    <row r="310597" spans="1:1" x14ac:dyDescent="0.25">
      <c r="A310597" s="1"/>
    </row>
    <row r="310598" spans="1:1" x14ac:dyDescent="0.25">
      <c r="A310598" s="1"/>
    </row>
    <row r="310599" spans="1:1" x14ac:dyDescent="0.25">
      <c r="A310599" s="1"/>
    </row>
    <row r="310600" spans="1:1" x14ac:dyDescent="0.25">
      <c r="A310600" s="1"/>
    </row>
    <row r="310601" spans="1:1" x14ac:dyDescent="0.25">
      <c r="A310601" s="1"/>
    </row>
    <row r="310602" spans="1:1" x14ac:dyDescent="0.25">
      <c r="A310602" s="1"/>
    </row>
    <row r="310603" spans="1:1" x14ac:dyDescent="0.25">
      <c r="A310603" s="1"/>
    </row>
    <row r="310604" spans="1:1" x14ac:dyDescent="0.25">
      <c r="A310604" s="1"/>
    </row>
    <row r="310605" spans="1:1" x14ac:dyDescent="0.25">
      <c r="A310605" s="1"/>
    </row>
    <row r="310606" spans="1:1" x14ac:dyDescent="0.25">
      <c r="A310606" s="1"/>
    </row>
    <row r="310607" spans="1:1" x14ac:dyDescent="0.25">
      <c r="A310607" s="1"/>
    </row>
    <row r="310608" spans="1:1" x14ac:dyDescent="0.25">
      <c r="A310608" s="1"/>
    </row>
    <row r="310609" spans="1:1" x14ac:dyDescent="0.25">
      <c r="A310609" s="1"/>
    </row>
    <row r="310610" spans="1:1" x14ac:dyDescent="0.25">
      <c r="A310610" s="1"/>
    </row>
    <row r="310611" spans="1:1" x14ac:dyDescent="0.25">
      <c r="A310611" s="1"/>
    </row>
    <row r="310612" spans="1:1" x14ac:dyDescent="0.25">
      <c r="A310612" s="1"/>
    </row>
    <row r="310613" spans="1:1" x14ac:dyDescent="0.25">
      <c r="A310613" s="1"/>
    </row>
    <row r="310614" spans="1:1" x14ac:dyDescent="0.25">
      <c r="A310614" s="1"/>
    </row>
    <row r="310615" spans="1:1" x14ac:dyDescent="0.25">
      <c r="A310615" s="1"/>
    </row>
    <row r="310616" spans="1:1" x14ac:dyDescent="0.25">
      <c r="A310616" s="1"/>
    </row>
    <row r="310617" spans="1:1" x14ac:dyDescent="0.25">
      <c r="A310617" s="1"/>
    </row>
    <row r="310618" spans="1:1" x14ac:dyDescent="0.25">
      <c r="A310618" s="1"/>
    </row>
    <row r="310619" spans="1:1" x14ac:dyDescent="0.25">
      <c r="A310619" s="1"/>
    </row>
    <row r="310620" spans="1:1" x14ac:dyDescent="0.25">
      <c r="A310620" s="1"/>
    </row>
    <row r="310621" spans="1:1" x14ac:dyDescent="0.25">
      <c r="A310621" s="1"/>
    </row>
    <row r="310622" spans="1:1" x14ac:dyDescent="0.25">
      <c r="A310622" s="1"/>
    </row>
    <row r="310623" spans="1:1" x14ac:dyDescent="0.25">
      <c r="A310623" s="1"/>
    </row>
    <row r="310624" spans="1:1" x14ac:dyDescent="0.25">
      <c r="A310624" s="1"/>
    </row>
    <row r="310625" spans="1:1" x14ac:dyDescent="0.25">
      <c r="A310625" s="1"/>
    </row>
    <row r="310626" spans="1:1" x14ac:dyDescent="0.25">
      <c r="A310626" s="1"/>
    </row>
    <row r="310627" spans="1:1" x14ac:dyDescent="0.25">
      <c r="A310627" s="1"/>
    </row>
    <row r="310628" spans="1:1" x14ac:dyDescent="0.25">
      <c r="A310628" s="1"/>
    </row>
    <row r="310629" spans="1:1" x14ac:dyDescent="0.25">
      <c r="A310629" s="1"/>
    </row>
    <row r="310630" spans="1:1" x14ac:dyDescent="0.25">
      <c r="A310630" s="1"/>
    </row>
    <row r="310631" spans="1:1" x14ac:dyDescent="0.25">
      <c r="A310631" s="1"/>
    </row>
    <row r="310632" spans="1:1" x14ac:dyDescent="0.25">
      <c r="A310632" s="1"/>
    </row>
    <row r="310633" spans="1:1" x14ac:dyDescent="0.25">
      <c r="A310633" s="1"/>
    </row>
    <row r="310634" spans="1:1" x14ac:dyDescent="0.25">
      <c r="A310634" s="1"/>
    </row>
    <row r="310635" spans="1:1" x14ac:dyDescent="0.25">
      <c r="A310635" s="1"/>
    </row>
    <row r="310636" spans="1:1" x14ac:dyDescent="0.25">
      <c r="A310636" s="1"/>
    </row>
    <row r="310637" spans="1:1" x14ac:dyDescent="0.25">
      <c r="A310637" s="1"/>
    </row>
    <row r="310638" spans="1:1" x14ac:dyDescent="0.25">
      <c r="A310638" s="1"/>
    </row>
    <row r="310639" spans="1:1" x14ac:dyDescent="0.25">
      <c r="A310639" s="1"/>
    </row>
    <row r="310640" spans="1:1" x14ac:dyDescent="0.25">
      <c r="A310640" s="1"/>
    </row>
    <row r="310641" spans="1:1" x14ac:dyDescent="0.25">
      <c r="A310641" s="1"/>
    </row>
    <row r="310642" spans="1:1" x14ac:dyDescent="0.25">
      <c r="A310642" s="1"/>
    </row>
    <row r="310643" spans="1:1" x14ac:dyDescent="0.25">
      <c r="A310643" s="1"/>
    </row>
    <row r="310644" spans="1:1" x14ac:dyDescent="0.25">
      <c r="A310644" s="1"/>
    </row>
    <row r="310645" spans="1:1" x14ac:dyDescent="0.25">
      <c r="A310645" s="1"/>
    </row>
    <row r="310646" spans="1:1" x14ac:dyDescent="0.25">
      <c r="A310646" s="1"/>
    </row>
    <row r="310647" spans="1:1" x14ac:dyDescent="0.25">
      <c r="A310647" s="1"/>
    </row>
    <row r="310648" spans="1:1" x14ac:dyDescent="0.25">
      <c r="A310648" s="1"/>
    </row>
    <row r="310649" spans="1:1" x14ac:dyDescent="0.25">
      <c r="A310649" s="1"/>
    </row>
    <row r="310650" spans="1:1" x14ac:dyDescent="0.25">
      <c r="A310650" s="1"/>
    </row>
    <row r="310651" spans="1:1" x14ac:dyDescent="0.25">
      <c r="A310651" s="1"/>
    </row>
    <row r="310652" spans="1:1" x14ac:dyDescent="0.25">
      <c r="A310652" s="1"/>
    </row>
    <row r="310653" spans="1:1" x14ac:dyDescent="0.25">
      <c r="A310653" s="1"/>
    </row>
    <row r="310654" spans="1:1" x14ac:dyDescent="0.25">
      <c r="A310654" s="1"/>
    </row>
    <row r="310655" spans="1:1" x14ac:dyDescent="0.25">
      <c r="A310655" s="1"/>
    </row>
    <row r="310656" spans="1:1" x14ac:dyDescent="0.25">
      <c r="A310656" s="1"/>
    </row>
    <row r="310657" spans="1:1" x14ac:dyDescent="0.25">
      <c r="A310657" s="1"/>
    </row>
    <row r="310658" spans="1:1" x14ac:dyDescent="0.25">
      <c r="A310658" s="1"/>
    </row>
    <row r="310659" spans="1:1" x14ac:dyDescent="0.25">
      <c r="A310659" s="1"/>
    </row>
    <row r="310660" spans="1:1" x14ac:dyDescent="0.25">
      <c r="A310660" s="1"/>
    </row>
    <row r="310661" spans="1:1" x14ac:dyDescent="0.25">
      <c r="A310661" s="1"/>
    </row>
    <row r="310662" spans="1:1" x14ac:dyDescent="0.25">
      <c r="A310662" s="1"/>
    </row>
    <row r="310663" spans="1:1" x14ac:dyDescent="0.25">
      <c r="A310663" s="1"/>
    </row>
    <row r="310664" spans="1:1" x14ac:dyDescent="0.25">
      <c r="A310664" s="1"/>
    </row>
    <row r="310665" spans="1:1" x14ac:dyDescent="0.25">
      <c r="A310665" s="1"/>
    </row>
    <row r="310666" spans="1:1" x14ac:dyDescent="0.25">
      <c r="A310666" s="1"/>
    </row>
    <row r="310667" spans="1:1" x14ac:dyDescent="0.25">
      <c r="A310667" s="1"/>
    </row>
    <row r="310668" spans="1:1" x14ac:dyDescent="0.25">
      <c r="A310668" s="1"/>
    </row>
    <row r="310669" spans="1:1" x14ac:dyDescent="0.25">
      <c r="A310669" s="1"/>
    </row>
    <row r="310670" spans="1:1" x14ac:dyDescent="0.25">
      <c r="A310670" s="1"/>
    </row>
    <row r="310671" spans="1:1" x14ac:dyDescent="0.25">
      <c r="A310671" s="1"/>
    </row>
    <row r="310672" spans="1:1" x14ac:dyDescent="0.25">
      <c r="A310672" s="1"/>
    </row>
    <row r="310673" spans="1:1" x14ac:dyDescent="0.25">
      <c r="A310673" s="1"/>
    </row>
    <row r="310674" spans="1:1" x14ac:dyDescent="0.25">
      <c r="A310674" s="1"/>
    </row>
    <row r="310675" spans="1:1" x14ac:dyDescent="0.25">
      <c r="A310675" s="1"/>
    </row>
    <row r="310676" spans="1:1" x14ac:dyDescent="0.25">
      <c r="A310676" s="1"/>
    </row>
    <row r="310677" spans="1:1" x14ac:dyDescent="0.25">
      <c r="A310677" s="1"/>
    </row>
    <row r="310678" spans="1:1" x14ac:dyDescent="0.25">
      <c r="A310678" s="1"/>
    </row>
    <row r="310679" spans="1:1" x14ac:dyDescent="0.25">
      <c r="A310679" s="1"/>
    </row>
    <row r="310680" spans="1:1" x14ac:dyDescent="0.25">
      <c r="A310680" s="1"/>
    </row>
    <row r="310681" spans="1:1" x14ac:dyDescent="0.25">
      <c r="A310681" s="1"/>
    </row>
    <row r="310682" spans="1:1" x14ac:dyDescent="0.25">
      <c r="A310682" s="1"/>
    </row>
    <row r="310683" spans="1:1" x14ac:dyDescent="0.25">
      <c r="A310683" s="1"/>
    </row>
    <row r="310684" spans="1:1" x14ac:dyDescent="0.25">
      <c r="A310684" s="1"/>
    </row>
    <row r="310685" spans="1:1" x14ac:dyDescent="0.25">
      <c r="A310685" s="1"/>
    </row>
    <row r="310686" spans="1:1" x14ac:dyDescent="0.25">
      <c r="A310686" s="1"/>
    </row>
    <row r="310687" spans="1:1" x14ac:dyDescent="0.25">
      <c r="A310687" s="1"/>
    </row>
    <row r="310688" spans="1:1" x14ac:dyDescent="0.25">
      <c r="A310688" s="1"/>
    </row>
    <row r="310689" spans="1:1" x14ac:dyDescent="0.25">
      <c r="A310689" s="1"/>
    </row>
    <row r="310690" spans="1:1" x14ac:dyDescent="0.25">
      <c r="A310690" s="1"/>
    </row>
    <row r="310691" spans="1:1" x14ac:dyDescent="0.25">
      <c r="A310691" s="1"/>
    </row>
    <row r="310692" spans="1:1" x14ac:dyDescent="0.25">
      <c r="A310692" s="1"/>
    </row>
    <row r="310693" spans="1:1" x14ac:dyDescent="0.25">
      <c r="A310693" s="1"/>
    </row>
    <row r="310694" spans="1:1" x14ac:dyDescent="0.25">
      <c r="A310694" s="1"/>
    </row>
    <row r="310695" spans="1:1" x14ac:dyDescent="0.25">
      <c r="A310695" s="1"/>
    </row>
    <row r="310696" spans="1:1" x14ac:dyDescent="0.25">
      <c r="A310696" s="1"/>
    </row>
    <row r="310697" spans="1:1" x14ac:dyDescent="0.25">
      <c r="A310697" s="1"/>
    </row>
    <row r="310698" spans="1:1" x14ac:dyDescent="0.25">
      <c r="A310698" s="1"/>
    </row>
    <row r="310699" spans="1:1" x14ac:dyDescent="0.25">
      <c r="A310699" s="1"/>
    </row>
    <row r="310700" spans="1:1" x14ac:dyDescent="0.25">
      <c r="A310700" s="1"/>
    </row>
    <row r="310701" spans="1:1" x14ac:dyDescent="0.25">
      <c r="A310701" s="1"/>
    </row>
    <row r="310702" spans="1:1" x14ac:dyDescent="0.25">
      <c r="A310702" s="1"/>
    </row>
    <row r="310703" spans="1:1" x14ac:dyDescent="0.25">
      <c r="A310703" s="1"/>
    </row>
    <row r="310704" spans="1:1" x14ac:dyDescent="0.25">
      <c r="A310704" s="1"/>
    </row>
    <row r="310705" spans="1:1" x14ac:dyDescent="0.25">
      <c r="A310705" s="1"/>
    </row>
    <row r="310706" spans="1:1" x14ac:dyDescent="0.25">
      <c r="A310706" s="1"/>
    </row>
    <row r="310707" spans="1:1" x14ac:dyDescent="0.25">
      <c r="A310707" s="1"/>
    </row>
    <row r="310708" spans="1:1" x14ac:dyDescent="0.25">
      <c r="A310708" s="1"/>
    </row>
    <row r="310709" spans="1:1" x14ac:dyDescent="0.25">
      <c r="A310709" s="1"/>
    </row>
    <row r="310710" spans="1:1" x14ac:dyDescent="0.25">
      <c r="A310710" s="1"/>
    </row>
    <row r="310711" spans="1:1" x14ac:dyDescent="0.25">
      <c r="A310711" s="1"/>
    </row>
    <row r="310712" spans="1:1" x14ac:dyDescent="0.25">
      <c r="A310712" s="1"/>
    </row>
    <row r="310713" spans="1:1" x14ac:dyDescent="0.25">
      <c r="A310713" s="1"/>
    </row>
    <row r="310714" spans="1:1" x14ac:dyDescent="0.25">
      <c r="A310714" s="1"/>
    </row>
    <row r="310715" spans="1:1" x14ac:dyDescent="0.25">
      <c r="A310715" s="1"/>
    </row>
    <row r="310716" spans="1:1" x14ac:dyDescent="0.25">
      <c r="A310716" s="1"/>
    </row>
    <row r="310717" spans="1:1" x14ac:dyDescent="0.25">
      <c r="A310717" s="1"/>
    </row>
    <row r="310718" spans="1:1" x14ac:dyDescent="0.25">
      <c r="A310718" s="1"/>
    </row>
    <row r="310719" spans="1:1" x14ac:dyDescent="0.25">
      <c r="A310719" s="1"/>
    </row>
    <row r="310720" spans="1:1" x14ac:dyDescent="0.25">
      <c r="A310720" s="1"/>
    </row>
    <row r="310721" spans="1:1" x14ac:dyDescent="0.25">
      <c r="A310721" s="1"/>
    </row>
    <row r="310722" spans="1:1" x14ac:dyDescent="0.25">
      <c r="A310722" s="1"/>
    </row>
    <row r="310723" spans="1:1" x14ac:dyDescent="0.25">
      <c r="A310723" s="1"/>
    </row>
    <row r="310724" spans="1:1" x14ac:dyDescent="0.25">
      <c r="A310724" s="1"/>
    </row>
    <row r="310725" spans="1:1" x14ac:dyDescent="0.25">
      <c r="A310725" s="1"/>
    </row>
    <row r="310726" spans="1:1" x14ac:dyDescent="0.25">
      <c r="A310726" s="1"/>
    </row>
    <row r="310727" spans="1:1" x14ac:dyDescent="0.25">
      <c r="A310727" s="1"/>
    </row>
    <row r="310728" spans="1:1" x14ac:dyDescent="0.25">
      <c r="A310728" s="1"/>
    </row>
    <row r="310729" spans="1:1" x14ac:dyDescent="0.25">
      <c r="A310729" s="1"/>
    </row>
    <row r="310730" spans="1:1" x14ac:dyDescent="0.25">
      <c r="A310730" s="1"/>
    </row>
    <row r="310731" spans="1:1" x14ac:dyDescent="0.25">
      <c r="A310731" s="1"/>
    </row>
    <row r="310732" spans="1:1" x14ac:dyDescent="0.25">
      <c r="A310732" s="1"/>
    </row>
    <row r="310733" spans="1:1" x14ac:dyDescent="0.25">
      <c r="A310733" s="1"/>
    </row>
    <row r="310734" spans="1:1" x14ac:dyDescent="0.25">
      <c r="A310734" s="1"/>
    </row>
    <row r="310735" spans="1:1" x14ac:dyDescent="0.25">
      <c r="A310735" s="1"/>
    </row>
    <row r="310736" spans="1:1" x14ac:dyDescent="0.25">
      <c r="A310736" s="1"/>
    </row>
    <row r="310737" spans="1:1" x14ac:dyDescent="0.25">
      <c r="A310737" s="1"/>
    </row>
    <row r="310738" spans="1:1" x14ac:dyDescent="0.25">
      <c r="A310738" s="1"/>
    </row>
    <row r="310739" spans="1:1" x14ac:dyDescent="0.25">
      <c r="A310739" s="1"/>
    </row>
    <row r="310740" spans="1:1" x14ac:dyDescent="0.25">
      <c r="A310740" s="1"/>
    </row>
    <row r="310741" spans="1:1" x14ac:dyDescent="0.25">
      <c r="A310741" s="1"/>
    </row>
    <row r="310742" spans="1:1" x14ac:dyDescent="0.25">
      <c r="A310742" s="1"/>
    </row>
    <row r="310743" spans="1:1" x14ac:dyDescent="0.25">
      <c r="A310743" s="1"/>
    </row>
    <row r="310744" spans="1:1" x14ac:dyDescent="0.25">
      <c r="A310744" s="1"/>
    </row>
    <row r="310745" spans="1:1" x14ac:dyDescent="0.25">
      <c r="A310745" s="1"/>
    </row>
    <row r="310746" spans="1:1" x14ac:dyDescent="0.25">
      <c r="A310746" s="1"/>
    </row>
    <row r="310747" spans="1:1" x14ac:dyDescent="0.25">
      <c r="A310747" s="1"/>
    </row>
    <row r="310748" spans="1:1" x14ac:dyDescent="0.25">
      <c r="A310748" s="1"/>
    </row>
    <row r="310749" spans="1:1" x14ac:dyDescent="0.25">
      <c r="A310749" s="1"/>
    </row>
    <row r="310750" spans="1:1" x14ac:dyDescent="0.25">
      <c r="A310750" s="1"/>
    </row>
    <row r="310751" spans="1:1" x14ac:dyDescent="0.25">
      <c r="A310751" s="1"/>
    </row>
    <row r="310752" spans="1:1" x14ac:dyDescent="0.25">
      <c r="A310752" s="1"/>
    </row>
    <row r="310753" spans="1:1" x14ac:dyDescent="0.25">
      <c r="A310753" s="1"/>
    </row>
    <row r="310754" spans="1:1" x14ac:dyDescent="0.25">
      <c r="A310754" s="1"/>
    </row>
    <row r="310755" spans="1:1" x14ac:dyDescent="0.25">
      <c r="A310755" s="1"/>
    </row>
    <row r="310756" spans="1:1" x14ac:dyDescent="0.25">
      <c r="A310756" s="1"/>
    </row>
    <row r="310757" spans="1:1" x14ac:dyDescent="0.25">
      <c r="A310757" s="1"/>
    </row>
    <row r="310758" spans="1:1" x14ac:dyDescent="0.25">
      <c r="A310758" s="1"/>
    </row>
    <row r="310759" spans="1:1" x14ac:dyDescent="0.25">
      <c r="A310759" s="1"/>
    </row>
    <row r="310760" spans="1:1" x14ac:dyDescent="0.25">
      <c r="A310760" s="1"/>
    </row>
    <row r="310761" spans="1:1" x14ac:dyDescent="0.25">
      <c r="A310761" s="1"/>
    </row>
    <row r="310762" spans="1:1" x14ac:dyDescent="0.25">
      <c r="A310762" s="1"/>
    </row>
    <row r="310763" spans="1:1" x14ac:dyDescent="0.25">
      <c r="A310763" s="1"/>
    </row>
    <row r="310764" spans="1:1" x14ac:dyDescent="0.25">
      <c r="A310764" s="1"/>
    </row>
    <row r="310765" spans="1:1" x14ac:dyDescent="0.25">
      <c r="A310765" s="1"/>
    </row>
    <row r="310766" spans="1:1" x14ac:dyDescent="0.25">
      <c r="A310766" s="1"/>
    </row>
    <row r="310767" spans="1:1" x14ac:dyDescent="0.25">
      <c r="A310767" s="1"/>
    </row>
    <row r="310768" spans="1:1" x14ac:dyDescent="0.25">
      <c r="A310768" s="1"/>
    </row>
    <row r="310769" spans="1:1" x14ac:dyDescent="0.25">
      <c r="A310769" s="1"/>
    </row>
    <row r="310770" spans="1:1" x14ac:dyDescent="0.25">
      <c r="A310770" s="1"/>
    </row>
    <row r="310771" spans="1:1" x14ac:dyDescent="0.25">
      <c r="A310771" s="1"/>
    </row>
    <row r="310772" spans="1:1" x14ac:dyDescent="0.25">
      <c r="A310772" s="1"/>
    </row>
    <row r="310773" spans="1:1" x14ac:dyDescent="0.25">
      <c r="A310773" s="1"/>
    </row>
    <row r="310774" spans="1:1" x14ac:dyDescent="0.25">
      <c r="A310774" s="1"/>
    </row>
    <row r="310775" spans="1:1" x14ac:dyDescent="0.25">
      <c r="A310775" s="1"/>
    </row>
    <row r="310776" spans="1:1" x14ac:dyDescent="0.25">
      <c r="A310776" s="1"/>
    </row>
    <row r="310777" spans="1:1" x14ac:dyDescent="0.25">
      <c r="A310777" s="1"/>
    </row>
    <row r="310778" spans="1:1" x14ac:dyDescent="0.25">
      <c r="A310778" s="1"/>
    </row>
    <row r="310779" spans="1:1" x14ac:dyDescent="0.25">
      <c r="A310779" s="1"/>
    </row>
    <row r="310780" spans="1:1" x14ac:dyDescent="0.25">
      <c r="A310780" s="1"/>
    </row>
    <row r="310781" spans="1:1" x14ac:dyDescent="0.25">
      <c r="A310781" s="1"/>
    </row>
    <row r="310782" spans="1:1" x14ac:dyDescent="0.25">
      <c r="A310782" s="1"/>
    </row>
    <row r="310783" spans="1:1" x14ac:dyDescent="0.25">
      <c r="A310783" s="1"/>
    </row>
    <row r="310784" spans="1:1" x14ac:dyDescent="0.25">
      <c r="A310784" s="1"/>
    </row>
    <row r="310785" spans="1:1" x14ac:dyDescent="0.25">
      <c r="A310785" s="1"/>
    </row>
    <row r="310786" spans="1:1" x14ac:dyDescent="0.25">
      <c r="A310786" s="1"/>
    </row>
    <row r="310787" spans="1:1" x14ac:dyDescent="0.25">
      <c r="A310787" s="1"/>
    </row>
    <row r="310788" spans="1:1" x14ac:dyDescent="0.25">
      <c r="A310788" s="1"/>
    </row>
    <row r="310789" spans="1:1" x14ac:dyDescent="0.25">
      <c r="A310789" s="1"/>
    </row>
    <row r="310790" spans="1:1" x14ac:dyDescent="0.25">
      <c r="A310790" s="1"/>
    </row>
    <row r="310791" spans="1:1" x14ac:dyDescent="0.25">
      <c r="A310791" s="1"/>
    </row>
    <row r="310792" spans="1:1" x14ac:dyDescent="0.25">
      <c r="A310792" s="1"/>
    </row>
    <row r="310793" spans="1:1" x14ac:dyDescent="0.25">
      <c r="A310793" s="1"/>
    </row>
    <row r="310794" spans="1:1" x14ac:dyDescent="0.25">
      <c r="A310794" s="1"/>
    </row>
    <row r="310795" spans="1:1" x14ac:dyDescent="0.25">
      <c r="A310795" s="1"/>
    </row>
    <row r="310796" spans="1:1" x14ac:dyDescent="0.25">
      <c r="A310796" s="1"/>
    </row>
    <row r="310797" spans="1:1" x14ac:dyDescent="0.25">
      <c r="A310797" s="1"/>
    </row>
    <row r="310798" spans="1:1" x14ac:dyDescent="0.25">
      <c r="A310798" s="1"/>
    </row>
    <row r="310799" spans="1:1" x14ac:dyDescent="0.25">
      <c r="A310799" s="1"/>
    </row>
    <row r="310800" spans="1:1" x14ac:dyDescent="0.25">
      <c r="A310800" s="1"/>
    </row>
    <row r="310801" spans="1:1" x14ac:dyDescent="0.25">
      <c r="A310801" s="1"/>
    </row>
    <row r="310802" spans="1:1" x14ac:dyDescent="0.25">
      <c r="A310802" s="1"/>
    </row>
    <row r="310803" spans="1:1" x14ac:dyDescent="0.25">
      <c r="A310803" s="1"/>
    </row>
    <row r="310804" spans="1:1" x14ac:dyDescent="0.25">
      <c r="A310804" s="1"/>
    </row>
    <row r="310805" spans="1:1" x14ac:dyDescent="0.25">
      <c r="A310805" s="1"/>
    </row>
    <row r="310806" spans="1:1" x14ac:dyDescent="0.25">
      <c r="A310806" s="1"/>
    </row>
    <row r="310807" spans="1:1" x14ac:dyDescent="0.25">
      <c r="A310807" s="1"/>
    </row>
    <row r="310808" spans="1:1" x14ac:dyDescent="0.25">
      <c r="A310808" s="1"/>
    </row>
    <row r="310809" spans="1:1" x14ac:dyDescent="0.25">
      <c r="A310809" s="1"/>
    </row>
    <row r="310810" spans="1:1" x14ac:dyDescent="0.25">
      <c r="A310810" s="1"/>
    </row>
    <row r="310811" spans="1:1" x14ac:dyDescent="0.25">
      <c r="A310811" s="1"/>
    </row>
    <row r="310812" spans="1:1" x14ac:dyDescent="0.25">
      <c r="A310812" s="1"/>
    </row>
    <row r="310813" spans="1:1" x14ac:dyDescent="0.25">
      <c r="A310813" s="1"/>
    </row>
    <row r="310814" spans="1:1" x14ac:dyDescent="0.25">
      <c r="A310814" s="1"/>
    </row>
    <row r="310815" spans="1:1" x14ac:dyDescent="0.25">
      <c r="A310815" s="1"/>
    </row>
    <row r="310816" spans="1:1" x14ac:dyDescent="0.25">
      <c r="A310816" s="1"/>
    </row>
    <row r="310817" spans="1:1" x14ac:dyDescent="0.25">
      <c r="A310817" s="1"/>
    </row>
    <row r="310818" spans="1:1" x14ac:dyDescent="0.25">
      <c r="A310818" s="1"/>
    </row>
    <row r="310819" spans="1:1" x14ac:dyDescent="0.25">
      <c r="A310819" s="1"/>
    </row>
    <row r="310820" spans="1:1" x14ac:dyDescent="0.25">
      <c r="A310820" s="1"/>
    </row>
    <row r="310821" spans="1:1" x14ac:dyDescent="0.25">
      <c r="A310821" s="1"/>
    </row>
    <row r="310822" spans="1:1" x14ac:dyDescent="0.25">
      <c r="A310822" s="1"/>
    </row>
    <row r="310823" spans="1:1" x14ac:dyDescent="0.25">
      <c r="A310823" s="1"/>
    </row>
    <row r="310824" spans="1:1" x14ac:dyDescent="0.25">
      <c r="A310824" s="1"/>
    </row>
    <row r="310825" spans="1:1" x14ac:dyDescent="0.25">
      <c r="A310825" s="1"/>
    </row>
    <row r="310826" spans="1:1" x14ac:dyDescent="0.25">
      <c r="A310826" s="1"/>
    </row>
    <row r="310827" spans="1:1" x14ac:dyDescent="0.25">
      <c r="A310827" s="1"/>
    </row>
    <row r="310828" spans="1:1" x14ac:dyDescent="0.25">
      <c r="A310828" s="1"/>
    </row>
    <row r="310829" spans="1:1" x14ac:dyDescent="0.25">
      <c r="A310829" s="1"/>
    </row>
    <row r="310830" spans="1:1" x14ac:dyDescent="0.25">
      <c r="A310830" s="1"/>
    </row>
    <row r="310831" spans="1:1" x14ac:dyDescent="0.25">
      <c r="A310831" s="1"/>
    </row>
    <row r="310832" spans="1:1" x14ac:dyDescent="0.25">
      <c r="A310832" s="1"/>
    </row>
    <row r="310833" spans="1:1" x14ac:dyDescent="0.25">
      <c r="A310833" s="1"/>
    </row>
    <row r="310834" spans="1:1" x14ac:dyDescent="0.25">
      <c r="A310834" s="1"/>
    </row>
    <row r="310835" spans="1:1" x14ac:dyDescent="0.25">
      <c r="A310835" s="1"/>
    </row>
    <row r="310836" spans="1:1" x14ac:dyDescent="0.25">
      <c r="A310836" s="1"/>
    </row>
    <row r="310837" spans="1:1" x14ac:dyDescent="0.25">
      <c r="A310837" s="1"/>
    </row>
    <row r="310838" spans="1:1" x14ac:dyDescent="0.25">
      <c r="A310838" s="1"/>
    </row>
    <row r="310839" spans="1:1" x14ac:dyDescent="0.25">
      <c r="A310839" s="1"/>
    </row>
    <row r="310840" spans="1:1" x14ac:dyDescent="0.25">
      <c r="A310840" s="1"/>
    </row>
    <row r="310841" spans="1:1" x14ac:dyDescent="0.25">
      <c r="A310841" s="1"/>
    </row>
    <row r="310842" spans="1:1" x14ac:dyDescent="0.25">
      <c r="A310842" s="1"/>
    </row>
    <row r="310843" spans="1:1" x14ac:dyDescent="0.25">
      <c r="A310843" s="1"/>
    </row>
    <row r="310844" spans="1:1" x14ac:dyDescent="0.25">
      <c r="A310844" s="1"/>
    </row>
    <row r="310845" spans="1:1" x14ac:dyDescent="0.25">
      <c r="A310845" s="1"/>
    </row>
    <row r="310846" spans="1:1" x14ac:dyDescent="0.25">
      <c r="A310846" s="1"/>
    </row>
    <row r="310847" spans="1:1" x14ac:dyDescent="0.25">
      <c r="A310847" s="1"/>
    </row>
    <row r="310848" spans="1:1" x14ac:dyDescent="0.25">
      <c r="A310848" s="1"/>
    </row>
    <row r="310849" spans="1:1" x14ac:dyDescent="0.25">
      <c r="A310849" s="1"/>
    </row>
    <row r="310850" spans="1:1" x14ac:dyDescent="0.25">
      <c r="A310850" s="1"/>
    </row>
    <row r="310851" spans="1:1" x14ac:dyDescent="0.25">
      <c r="A310851" s="1"/>
    </row>
    <row r="310852" spans="1:1" x14ac:dyDescent="0.25">
      <c r="A310852" s="1"/>
    </row>
    <row r="310853" spans="1:1" x14ac:dyDescent="0.25">
      <c r="A310853" s="1"/>
    </row>
    <row r="310854" spans="1:1" x14ac:dyDescent="0.25">
      <c r="A310854" s="1"/>
    </row>
    <row r="310855" spans="1:1" x14ac:dyDescent="0.25">
      <c r="A310855" s="1"/>
    </row>
    <row r="310856" spans="1:1" x14ac:dyDescent="0.25">
      <c r="A310856" s="1"/>
    </row>
    <row r="310857" spans="1:1" x14ac:dyDescent="0.25">
      <c r="A310857" s="1"/>
    </row>
    <row r="310858" spans="1:1" x14ac:dyDescent="0.25">
      <c r="A310858" s="1"/>
    </row>
    <row r="310859" spans="1:1" x14ac:dyDescent="0.25">
      <c r="A310859" s="1"/>
    </row>
    <row r="310860" spans="1:1" x14ac:dyDescent="0.25">
      <c r="A310860" s="1"/>
    </row>
    <row r="310861" spans="1:1" x14ac:dyDescent="0.25">
      <c r="A310861" s="1"/>
    </row>
    <row r="310862" spans="1:1" x14ac:dyDescent="0.25">
      <c r="A310862" s="1"/>
    </row>
    <row r="310863" spans="1:1" x14ac:dyDescent="0.25">
      <c r="A310863" s="1"/>
    </row>
    <row r="310864" spans="1:1" x14ac:dyDescent="0.25">
      <c r="A310864" s="1"/>
    </row>
    <row r="310865" spans="1:1" x14ac:dyDescent="0.25">
      <c r="A310865" s="1"/>
    </row>
    <row r="310866" spans="1:1" x14ac:dyDescent="0.25">
      <c r="A310866" s="1"/>
    </row>
    <row r="310867" spans="1:1" x14ac:dyDescent="0.25">
      <c r="A310867" s="1"/>
    </row>
    <row r="310868" spans="1:1" x14ac:dyDescent="0.25">
      <c r="A310868" s="1"/>
    </row>
    <row r="310869" spans="1:1" x14ac:dyDescent="0.25">
      <c r="A310869" s="1"/>
    </row>
    <row r="310870" spans="1:1" x14ac:dyDescent="0.25">
      <c r="A310870" s="1"/>
    </row>
    <row r="310871" spans="1:1" x14ac:dyDescent="0.25">
      <c r="A310871" s="1"/>
    </row>
    <row r="310872" spans="1:1" x14ac:dyDescent="0.25">
      <c r="A310872" s="1"/>
    </row>
    <row r="310873" spans="1:1" x14ac:dyDescent="0.25">
      <c r="A310873" s="1"/>
    </row>
    <row r="310874" spans="1:1" x14ac:dyDescent="0.25">
      <c r="A310874" s="1"/>
    </row>
    <row r="310875" spans="1:1" x14ac:dyDescent="0.25">
      <c r="A310875" s="1"/>
    </row>
    <row r="310876" spans="1:1" x14ac:dyDescent="0.25">
      <c r="A310876" s="1"/>
    </row>
    <row r="310877" spans="1:1" x14ac:dyDescent="0.25">
      <c r="A310877" s="1"/>
    </row>
    <row r="310878" spans="1:1" x14ac:dyDescent="0.25">
      <c r="A310878" s="1"/>
    </row>
    <row r="310879" spans="1:1" x14ac:dyDescent="0.25">
      <c r="A310879" s="1"/>
    </row>
    <row r="310880" spans="1:1" x14ac:dyDescent="0.25">
      <c r="A310880" s="1"/>
    </row>
    <row r="310881" spans="1:1" x14ac:dyDescent="0.25">
      <c r="A310881" s="1"/>
    </row>
    <row r="310882" spans="1:1" x14ac:dyDescent="0.25">
      <c r="A310882" s="1"/>
    </row>
    <row r="310883" spans="1:1" x14ac:dyDescent="0.25">
      <c r="A310883" s="1"/>
    </row>
    <row r="310884" spans="1:1" x14ac:dyDescent="0.25">
      <c r="A310884" s="1"/>
    </row>
    <row r="310885" spans="1:1" x14ac:dyDescent="0.25">
      <c r="A310885" s="1"/>
    </row>
    <row r="310886" spans="1:1" x14ac:dyDescent="0.25">
      <c r="A310886" s="1"/>
    </row>
    <row r="310887" spans="1:1" x14ac:dyDescent="0.25">
      <c r="A310887" s="1"/>
    </row>
    <row r="310888" spans="1:1" x14ac:dyDescent="0.25">
      <c r="A310888" s="1"/>
    </row>
    <row r="310889" spans="1:1" x14ac:dyDescent="0.25">
      <c r="A310889" s="1"/>
    </row>
    <row r="310890" spans="1:1" x14ac:dyDescent="0.25">
      <c r="A310890" s="1"/>
    </row>
    <row r="310891" spans="1:1" x14ac:dyDescent="0.25">
      <c r="A310891" s="1"/>
    </row>
    <row r="310892" spans="1:1" x14ac:dyDescent="0.25">
      <c r="A310892" s="1"/>
    </row>
    <row r="310893" spans="1:1" x14ac:dyDescent="0.25">
      <c r="A310893" s="1"/>
    </row>
    <row r="310894" spans="1:1" x14ac:dyDescent="0.25">
      <c r="A310894" s="1"/>
    </row>
    <row r="310895" spans="1:1" x14ac:dyDescent="0.25">
      <c r="A310895" s="1"/>
    </row>
    <row r="310896" spans="1:1" x14ac:dyDescent="0.25">
      <c r="A310896" s="1"/>
    </row>
    <row r="310897" spans="1:1" x14ac:dyDescent="0.25">
      <c r="A310897" s="1"/>
    </row>
    <row r="310898" spans="1:1" x14ac:dyDescent="0.25">
      <c r="A310898" s="1"/>
    </row>
    <row r="310899" spans="1:1" x14ac:dyDescent="0.25">
      <c r="A310899" s="1"/>
    </row>
    <row r="310900" spans="1:1" x14ac:dyDescent="0.25">
      <c r="A310900" s="1"/>
    </row>
    <row r="310901" spans="1:1" x14ac:dyDescent="0.25">
      <c r="A310901" s="1"/>
    </row>
    <row r="310902" spans="1:1" x14ac:dyDescent="0.25">
      <c r="A310902" s="1"/>
    </row>
    <row r="310903" spans="1:1" x14ac:dyDescent="0.25">
      <c r="A310903" s="1"/>
    </row>
    <row r="310904" spans="1:1" x14ac:dyDescent="0.25">
      <c r="A310904" s="1"/>
    </row>
    <row r="310905" spans="1:1" x14ac:dyDescent="0.25">
      <c r="A310905" s="1"/>
    </row>
    <row r="310906" spans="1:1" x14ac:dyDescent="0.25">
      <c r="A310906" s="1"/>
    </row>
    <row r="310907" spans="1:1" x14ac:dyDescent="0.25">
      <c r="A310907" s="1"/>
    </row>
    <row r="310908" spans="1:1" x14ac:dyDescent="0.25">
      <c r="A310908" s="1"/>
    </row>
    <row r="310909" spans="1:1" x14ac:dyDescent="0.25">
      <c r="A310909" s="1"/>
    </row>
    <row r="310910" spans="1:1" x14ac:dyDescent="0.25">
      <c r="A310910" s="1"/>
    </row>
    <row r="310911" spans="1:1" x14ac:dyDescent="0.25">
      <c r="A310911" s="1"/>
    </row>
    <row r="310912" spans="1:1" x14ac:dyDescent="0.25">
      <c r="A310912" s="1"/>
    </row>
    <row r="310913" spans="1:1" x14ac:dyDescent="0.25">
      <c r="A310913" s="1"/>
    </row>
    <row r="310914" spans="1:1" x14ac:dyDescent="0.25">
      <c r="A310914" s="1"/>
    </row>
    <row r="310915" spans="1:1" x14ac:dyDescent="0.25">
      <c r="A310915" s="1"/>
    </row>
    <row r="310916" spans="1:1" x14ac:dyDescent="0.25">
      <c r="A310916" s="1"/>
    </row>
    <row r="310917" spans="1:1" x14ac:dyDescent="0.25">
      <c r="A310917" s="1"/>
    </row>
    <row r="310918" spans="1:1" x14ac:dyDescent="0.25">
      <c r="A310918" s="1"/>
    </row>
    <row r="310919" spans="1:1" x14ac:dyDescent="0.25">
      <c r="A310919" s="1"/>
    </row>
    <row r="310920" spans="1:1" x14ac:dyDescent="0.25">
      <c r="A310920" s="1"/>
    </row>
    <row r="310921" spans="1:1" x14ac:dyDescent="0.25">
      <c r="A310921" s="1"/>
    </row>
    <row r="310922" spans="1:1" x14ac:dyDescent="0.25">
      <c r="A310922" s="1"/>
    </row>
    <row r="310923" spans="1:1" x14ac:dyDescent="0.25">
      <c r="A310923" s="1"/>
    </row>
    <row r="310924" spans="1:1" x14ac:dyDescent="0.25">
      <c r="A310924" s="1"/>
    </row>
    <row r="310925" spans="1:1" x14ac:dyDescent="0.25">
      <c r="A310925" s="1"/>
    </row>
    <row r="310926" spans="1:1" x14ac:dyDescent="0.25">
      <c r="A310926" s="1"/>
    </row>
    <row r="310927" spans="1:1" x14ac:dyDescent="0.25">
      <c r="A310927" s="1"/>
    </row>
    <row r="310928" spans="1:1" x14ac:dyDescent="0.25">
      <c r="A310928" s="1"/>
    </row>
    <row r="310929" spans="1:1" x14ac:dyDescent="0.25">
      <c r="A310929" s="1"/>
    </row>
    <row r="310930" spans="1:1" x14ac:dyDescent="0.25">
      <c r="A310930" s="1"/>
    </row>
    <row r="310931" spans="1:1" x14ac:dyDescent="0.25">
      <c r="A310931" s="1"/>
    </row>
    <row r="310932" spans="1:1" x14ac:dyDescent="0.25">
      <c r="A310932" s="1"/>
    </row>
    <row r="310933" spans="1:1" x14ac:dyDescent="0.25">
      <c r="A310933" s="1"/>
    </row>
    <row r="310934" spans="1:1" x14ac:dyDescent="0.25">
      <c r="A310934" s="1"/>
    </row>
    <row r="310935" spans="1:1" x14ac:dyDescent="0.25">
      <c r="A310935" s="1"/>
    </row>
    <row r="310936" spans="1:1" x14ac:dyDescent="0.25">
      <c r="A310936" s="1"/>
    </row>
    <row r="310937" spans="1:1" x14ac:dyDescent="0.25">
      <c r="A310937" s="1"/>
    </row>
    <row r="310938" spans="1:1" x14ac:dyDescent="0.25">
      <c r="A310938" s="1"/>
    </row>
    <row r="310939" spans="1:1" x14ac:dyDescent="0.25">
      <c r="A310939" s="1"/>
    </row>
    <row r="310940" spans="1:1" x14ac:dyDescent="0.25">
      <c r="A310940" s="1"/>
    </row>
    <row r="310941" spans="1:1" x14ac:dyDescent="0.25">
      <c r="A310941" s="1"/>
    </row>
    <row r="310942" spans="1:1" x14ac:dyDescent="0.25">
      <c r="A310942" s="1"/>
    </row>
    <row r="310943" spans="1:1" x14ac:dyDescent="0.25">
      <c r="A310943" s="1"/>
    </row>
    <row r="310944" spans="1:1" x14ac:dyDescent="0.25">
      <c r="A310944" s="1"/>
    </row>
    <row r="310945" spans="1:1" x14ac:dyDescent="0.25">
      <c r="A310945" s="1"/>
    </row>
    <row r="310946" spans="1:1" x14ac:dyDescent="0.25">
      <c r="A310946" s="1"/>
    </row>
    <row r="310947" spans="1:1" x14ac:dyDescent="0.25">
      <c r="A310947" s="1"/>
    </row>
    <row r="310948" spans="1:1" x14ac:dyDescent="0.25">
      <c r="A310948" s="1"/>
    </row>
    <row r="310949" spans="1:1" x14ac:dyDescent="0.25">
      <c r="A310949" s="1"/>
    </row>
    <row r="310950" spans="1:1" x14ac:dyDescent="0.25">
      <c r="A310950" s="1"/>
    </row>
    <row r="310951" spans="1:1" x14ac:dyDescent="0.25">
      <c r="A310951" s="1"/>
    </row>
    <row r="310952" spans="1:1" x14ac:dyDescent="0.25">
      <c r="A310952" s="1"/>
    </row>
    <row r="310953" spans="1:1" x14ac:dyDescent="0.25">
      <c r="A310953" s="1"/>
    </row>
    <row r="310954" spans="1:1" x14ac:dyDescent="0.25">
      <c r="A310954" s="1"/>
    </row>
    <row r="310955" spans="1:1" x14ac:dyDescent="0.25">
      <c r="A310955" s="1"/>
    </row>
    <row r="310956" spans="1:1" x14ac:dyDescent="0.25">
      <c r="A310956" s="1"/>
    </row>
    <row r="310957" spans="1:1" x14ac:dyDescent="0.25">
      <c r="A310957" s="1"/>
    </row>
    <row r="310958" spans="1:1" x14ac:dyDescent="0.25">
      <c r="A310958" s="1"/>
    </row>
    <row r="310959" spans="1:1" x14ac:dyDescent="0.25">
      <c r="A310959" s="1"/>
    </row>
    <row r="310960" spans="1:1" x14ac:dyDescent="0.25">
      <c r="A310960" s="1"/>
    </row>
    <row r="310961" spans="1:1" x14ac:dyDescent="0.25">
      <c r="A310961" s="1"/>
    </row>
    <row r="310962" spans="1:1" x14ac:dyDescent="0.25">
      <c r="A310962" s="1"/>
    </row>
    <row r="310963" spans="1:1" x14ac:dyDescent="0.25">
      <c r="A310963" s="1"/>
    </row>
    <row r="310964" spans="1:1" x14ac:dyDescent="0.25">
      <c r="A310964" s="1"/>
    </row>
    <row r="310965" spans="1:1" x14ac:dyDescent="0.25">
      <c r="A310965" s="1"/>
    </row>
    <row r="310966" spans="1:1" x14ac:dyDescent="0.25">
      <c r="A310966" s="1"/>
    </row>
    <row r="310967" spans="1:1" x14ac:dyDescent="0.25">
      <c r="A310967" s="1"/>
    </row>
    <row r="310968" spans="1:1" x14ac:dyDescent="0.25">
      <c r="A310968" s="1"/>
    </row>
    <row r="310969" spans="1:1" x14ac:dyDescent="0.25">
      <c r="A310969" s="1"/>
    </row>
    <row r="310970" spans="1:1" x14ac:dyDescent="0.25">
      <c r="A310970" s="1"/>
    </row>
    <row r="310971" spans="1:1" x14ac:dyDescent="0.25">
      <c r="A310971" s="1"/>
    </row>
    <row r="310972" spans="1:1" x14ac:dyDescent="0.25">
      <c r="A310972" s="1"/>
    </row>
    <row r="310973" spans="1:1" x14ac:dyDescent="0.25">
      <c r="A310973" s="1"/>
    </row>
    <row r="310974" spans="1:1" x14ac:dyDescent="0.25">
      <c r="A310974" s="1"/>
    </row>
    <row r="310975" spans="1:1" x14ac:dyDescent="0.25">
      <c r="A310975" s="1"/>
    </row>
    <row r="310976" spans="1:1" x14ac:dyDescent="0.25">
      <c r="A310976" s="1"/>
    </row>
    <row r="310977" spans="1:1" x14ac:dyDescent="0.25">
      <c r="A310977" s="1"/>
    </row>
    <row r="310978" spans="1:1" x14ac:dyDescent="0.25">
      <c r="A310978" s="1"/>
    </row>
    <row r="310979" spans="1:1" x14ac:dyDescent="0.25">
      <c r="A310979" s="1"/>
    </row>
    <row r="310980" spans="1:1" x14ac:dyDescent="0.25">
      <c r="A310980" s="1"/>
    </row>
    <row r="310981" spans="1:1" x14ac:dyDescent="0.25">
      <c r="A310981" s="1"/>
    </row>
    <row r="310982" spans="1:1" x14ac:dyDescent="0.25">
      <c r="A310982" s="1"/>
    </row>
    <row r="310983" spans="1:1" x14ac:dyDescent="0.25">
      <c r="A310983" s="1"/>
    </row>
    <row r="310984" spans="1:1" x14ac:dyDescent="0.25">
      <c r="A310984" s="1"/>
    </row>
    <row r="310985" spans="1:1" x14ac:dyDescent="0.25">
      <c r="A310985" s="1"/>
    </row>
    <row r="310986" spans="1:1" x14ac:dyDescent="0.25">
      <c r="A310986" s="1"/>
    </row>
    <row r="310987" spans="1:1" x14ac:dyDescent="0.25">
      <c r="A310987" s="1"/>
    </row>
    <row r="310988" spans="1:1" x14ac:dyDescent="0.25">
      <c r="A310988" s="1"/>
    </row>
    <row r="310989" spans="1:1" x14ac:dyDescent="0.25">
      <c r="A310989" s="1"/>
    </row>
    <row r="310990" spans="1:1" x14ac:dyDescent="0.25">
      <c r="A310990" s="1"/>
    </row>
    <row r="310991" spans="1:1" x14ac:dyDescent="0.25">
      <c r="A310991" s="1"/>
    </row>
    <row r="310992" spans="1:1" x14ac:dyDescent="0.25">
      <c r="A310992" s="1"/>
    </row>
    <row r="310993" spans="1:1" x14ac:dyDescent="0.25">
      <c r="A310993" s="1"/>
    </row>
    <row r="310994" spans="1:1" x14ac:dyDescent="0.25">
      <c r="A310994" s="1"/>
    </row>
    <row r="310995" spans="1:1" x14ac:dyDescent="0.25">
      <c r="A310995" s="1"/>
    </row>
    <row r="310996" spans="1:1" x14ac:dyDescent="0.25">
      <c r="A310996" s="1"/>
    </row>
    <row r="310997" spans="1:1" x14ac:dyDescent="0.25">
      <c r="A310997" s="1"/>
    </row>
    <row r="310998" spans="1:1" x14ac:dyDescent="0.25">
      <c r="A310998" s="1"/>
    </row>
    <row r="310999" spans="1:1" x14ac:dyDescent="0.25">
      <c r="A310999" s="1"/>
    </row>
    <row r="311000" spans="1:1" x14ac:dyDescent="0.25">
      <c r="A311000" s="1"/>
    </row>
    <row r="311001" spans="1:1" x14ac:dyDescent="0.25">
      <c r="A311001" s="1"/>
    </row>
    <row r="311002" spans="1:1" x14ac:dyDescent="0.25">
      <c r="A311002" s="1"/>
    </row>
    <row r="311003" spans="1:1" x14ac:dyDescent="0.25">
      <c r="A311003" s="1"/>
    </row>
    <row r="311004" spans="1:1" x14ac:dyDescent="0.25">
      <c r="A311004" s="1"/>
    </row>
    <row r="311005" spans="1:1" x14ac:dyDescent="0.25">
      <c r="A311005" s="1"/>
    </row>
    <row r="311006" spans="1:1" x14ac:dyDescent="0.25">
      <c r="A311006" s="1"/>
    </row>
    <row r="311007" spans="1:1" x14ac:dyDescent="0.25">
      <c r="A311007" s="1"/>
    </row>
    <row r="311008" spans="1:1" x14ac:dyDescent="0.25">
      <c r="A311008" s="1"/>
    </row>
    <row r="311009" spans="1:1" x14ac:dyDescent="0.25">
      <c r="A311009" s="1"/>
    </row>
    <row r="311010" spans="1:1" x14ac:dyDescent="0.25">
      <c r="A311010" s="1"/>
    </row>
    <row r="311011" spans="1:1" x14ac:dyDescent="0.25">
      <c r="A311011" s="1"/>
    </row>
    <row r="311012" spans="1:1" x14ac:dyDescent="0.25">
      <c r="A311012" s="1"/>
    </row>
    <row r="311013" spans="1:1" x14ac:dyDescent="0.25">
      <c r="A311013" s="1"/>
    </row>
    <row r="311014" spans="1:1" x14ac:dyDescent="0.25">
      <c r="A311014" s="1"/>
    </row>
    <row r="311015" spans="1:1" x14ac:dyDescent="0.25">
      <c r="A311015" s="1"/>
    </row>
    <row r="311016" spans="1:1" x14ac:dyDescent="0.25">
      <c r="A311016" s="1"/>
    </row>
    <row r="311017" spans="1:1" x14ac:dyDescent="0.25">
      <c r="A311017" s="1"/>
    </row>
    <row r="311018" spans="1:1" x14ac:dyDescent="0.25">
      <c r="A311018" s="1"/>
    </row>
    <row r="311019" spans="1:1" x14ac:dyDescent="0.25">
      <c r="A311019" s="1"/>
    </row>
    <row r="311020" spans="1:1" x14ac:dyDescent="0.25">
      <c r="A311020" s="1"/>
    </row>
    <row r="311021" spans="1:1" x14ac:dyDescent="0.25">
      <c r="A311021" s="1"/>
    </row>
    <row r="311022" spans="1:1" x14ac:dyDescent="0.25">
      <c r="A311022" s="1"/>
    </row>
    <row r="311023" spans="1:1" x14ac:dyDescent="0.25">
      <c r="A311023" s="1"/>
    </row>
    <row r="311024" spans="1:1" x14ac:dyDescent="0.25">
      <c r="A311024" s="1"/>
    </row>
    <row r="311025" spans="1:1" x14ac:dyDescent="0.25">
      <c r="A311025" s="1"/>
    </row>
    <row r="311026" spans="1:1" x14ac:dyDescent="0.25">
      <c r="A311026" s="1"/>
    </row>
    <row r="311027" spans="1:1" x14ac:dyDescent="0.25">
      <c r="A311027" s="1"/>
    </row>
    <row r="311028" spans="1:1" x14ac:dyDescent="0.25">
      <c r="A311028" s="1"/>
    </row>
    <row r="311029" spans="1:1" x14ac:dyDescent="0.25">
      <c r="A311029" s="1"/>
    </row>
    <row r="311030" spans="1:1" x14ac:dyDescent="0.25">
      <c r="A311030" s="1"/>
    </row>
    <row r="311031" spans="1:1" x14ac:dyDescent="0.25">
      <c r="A311031" s="1"/>
    </row>
    <row r="311032" spans="1:1" x14ac:dyDescent="0.25">
      <c r="A311032" s="1"/>
    </row>
    <row r="311033" spans="1:1" x14ac:dyDescent="0.25">
      <c r="A311033" s="1"/>
    </row>
    <row r="311034" spans="1:1" x14ac:dyDescent="0.25">
      <c r="A311034" s="1"/>
    </row>
    <row r="311035" spans="1:1" x14ac:dyDescent="0.25">
      <c r="A311035" s="1"/>
    </row>
    <row r="311036" spans="1:1" x14ac:dyDescent="0.25">
      <c r="A311036" s="1"/>
    </row>
    <row r="311037" spans="1:1" x14ac:dyDescent="0.25">
      <c r="A311037" s="1"/>
    </row>
    <row r="311038" spans="1:1" x14ac:dyDescent="0.25">
      <c r="A311038" s="1"/>
    </row>
    <row r="311039" spans="1:1" x14ac:dyDescent="0.25">
      <c r="A311039" s="1"/>
    </row>
    <row r="311040" spans="1:1" x14ac:dyDescent="0.25">
      <c r="A311040" s="1"/>
    </row>
    <row r="311041" spans="1:1" x14ac:dyDescent="0.25">
      <c r="A311041" s="1"/>
    </row>
    <row r="311042" spans="1:1" x14ac:dyDescent="0.25">
      <c r="A311042" s="1"/>
    </row>
    <row r="311043" spans="1:1" x14ac:dyDescent="0.25">
      <c r="A311043" s="1"/>
    </row>
    <row r="311044" spans="1:1" x14ac:dyDescent="0.25">
      <c r="A311044" s="1"/>
    </row>
    <row r="311045" spans="1:1" x14ac:dyDescent="0.25">
      <c r="A311045" s="1"/>
    </row>
    <row r="311046" spans="1:1" x14ac:dyDescent="0.25">
      <c r="A311046" s="1"/>
    </row>
    <row r="311047" spans="1:1" x14ac:dyDescent="0.25">
      <c r="A311047" s="1"/>
    </row>
    <row r="311048" spans="1:1" x14ac:dyDescent="0.25">
      <c r="A311048" s="1"/>
    </row>
    <row r="311049" spans="1:1" x14ac:dyDescent="0.25">
      <c r="A311049" s="1"/>
    </row>
    <row r="311050" spans="1:1" x14ac:dyDescent="0.25">
      <c r="A311050" s="1"/>
    </row>
    <row r="311051" spans="1:1" x14ac:dyDescent="0.25">
      <c r="A311051" s="1"/>
    </row>
    <row r="311052" spans="1:1" x14ac:dyDescent="0.25">
      <c r="A311052" s="1"/>
    </row>
    <row r="311053" spans="1:1" x14ac:dyDescent="0.25">
      <c r="A311053" s="1"/>
    </row>
    <row r="311054" spans="1:1" x14ac:dyDescent="0.25">
      <c r="A311054" s="1"/>
    </row>
    <row r="311055" spans="1:1" x14ac:dyDescent="0.25">
      <c r="A311055" s="1"/>
    </row>
    <row r="311056" spans="1:1" x14ac:dyDescent="0.25">
      <c r="A311056" s="1"/>
    </row>
    <row r="311057" spans="1:1" x14ac:dyDescent="0.25">
      <c r="A311057" s="1"/>
    </row>
    <row r="311058" spans="1:1" x14ac:dyDescent="0.25">
      <c r="A311058" s="1"/>
    </row>
    <row r="311059" spans="1:1" x14ac:dyDescent="0.25">
      <c r="A311059" s="1"/>
    </row>
    <row r="311060" spans="1:1" x14ac:dyDescent="0.25">
      <c r="A311060" s="1"/>
    </row>
    <row r="311061" spans="1:1" x14ac:dyDescent="0.25">
      <c r="A311061" s="1"/>
    </row>
    <row r="311062" spans="1:1" x14ac:dyDescent="0.25">
      <c r="A311062" s="1"/>
    </row>
    <row r="311063" spans="1:1" x14ac:dyDescent="0.25">
      <c r="A311063" s="1"/>
    </row>
    <row r="311064" spans="1:1" x14ac:dyDescent="0.25">
      <c r="A311064" s="1"/>
    </row>
    <row r="311065" spans="1:1" x14ac:dyDescent="0.25">
      <c r="A311065" s="1"/>
    </row>
    <row r="311066" spans="1:1" x14ac:dyDescent="0.25">
      <c r="A311066" s="1"/>
    </row>
    <row r="311067" spans="1:1" x14ac:dyDescent="0.25">
      <c r="A311067" s="1"/>
    </row>
    <row r="311068" spans="1:1" x14ac:dyDescent="0.25">
      <c r="A311068" s="1"/>
    </row>
    <row r="311069" spans="1:1" x14ac:dyDescent="0.25">
      <c r="A311069" s="1"/>
    </row>
    <row r="311070" spans="1:1" x14ac:dyDescent="0.25">
      <c r="A311070" s="1"/>
    </row>
    <row r="311071" spans="1:1" x14ac:dyDescent="0.25">
      <c r="A311071" s="1"/>
    </row>
    <row r="311072" spans="1:1" x14ac:dyDescent="0.25">
      <c r="A311072" s="1"/>
    </row>
    <row r="311073" spans="1:1" x14ac:dyDescent="0.25">
      <c r="A311073" s="1"/>
    </row>
    <row r="311074" spans="1:1" x14ac:dyDescent="0.25">
      <c r="A311074" s="1"/>
    </row>
    <row r="311075" spans="1:1" x14ac:dyDescent="0.25">
      <c r="A311075" s="1"/>
    </row>
    <row r="311076" spans="1:1" x14ac:dyDescent="0.25">
      <c r="A311076" s="1"/>
    </row>
    <row r="311077" spans="1:1" x14ac:dyDescent="0.25">
      <c r="A311077" s="1"/>
    </row>
    <row r="311078" spans="1:1" x14ac:dyDescent="0.25">
      <c r="A311078" s="1"/>
    </row>
    <row r="311079" spans="1:1" x14ac:dyDescent="0.25">
      <c r="A311079" s="1"/>
    </row>
    <row r="311080" spans="1:1" x14ac:dyDescent="0.25">
      <c r="A311080" s="1"/>
    </row>
    <row r="311081" spans="1:1" x14ac:dyDescent="0.25">
      <c r="A311081" s="1"/>
    </row>
    <row r="311082" spans="1:1" x14ac:dyDescent="0.25">
      <c r="A311082" s="1"/>
    </row>
    <row r="311083" spans="1:1" x14ac:dyDescent="0.25">
      <c r="A311083" s="1"/>
    </row>
    <row r="311084" spans="1:1" x14ac:dyDescent="0.25">
      <c r="A311084" s="1"/>
    </row>
    <row r="311085" spans="1:1" x14ac:dyDescent="0.25">
      <c r="A311085" s="1"/>
    </row>
    <row r="311086" spans="1:1" x14ac:dyDescent="0.25">
      <c r="A311086" s="1"/>
    </row>
    <row r="311087" spans="1:1" x14ac:dyDescent="0.25">
      <c r="A311087" s="1"/>
    </row>
    <row r="311088" spans="1:1" x14ac:dyDescent="0.25">
      <c r="A311088" s="1"/>
    </row>
    <row r="311089" spans="1:1" x14ac:dyDescent="0.25">
      <c r="A311089" s="1"/>
    </row>
    <row r="311090" spans="1:1" x14ac:dyDescent="0.25">
      <c r="A311090" s="1"/>
    </row>
    <row r="311091" spans="1:1" x14ac:dyDescent="0.25">
      <c r="A311091" s="1"/>
    </row>
    <row r="311092" spans="1:1" x14ac:dyDescent="0.25">
      <c r="A311092" s="1"/>
    </row>
    <row r="311093" spans="1:1" x14ac:dyDescent="0.25">
      <c r="A311093" s="1"/>
    </row>
    <row r="311094" spans="1:1" x14ac:dyDescent="0.25">
      <c r="A311094" s="1"/>
    </row>
    <row r="311095" spans="1:1" x14ac:dyDescent="0.25">
      <c r="A311095" s="1"/>
    </row>
    <row r="311096" spans="1:1" x14ac:dyDescent="0.25">
      <c r="A311096" s="1"/>
    </row>
    <row r="311097" spans="1:1" x14ac:dyDescent="0.25">
      <c r="A311097" s="1"/>
    </row>
    <row r="311098" spans="1:1" x14ac:dyDescent="0.25">
      <c r="A311098" s="1"/>
    </row>
    <row r="311099" spans="1:1" x14ac:dyDescent="0.25">
      <c r="A311099" s="1"/>
    </row>
    <row r="311100" spans="1:1" x14ac:dyDescent="0.25">
      <c r="A311100" s="1"/>
    </row>
    <row r="311101" spans="1:1" x14ac:dyDescent="0.25">
      <c r="A311101" s="1"/>
    </row>
    <row r="311102" spans="1:1" x14ac:dyDescent="0.25">
      <c r="A311102" s="1"/>
    </row>
    <row r="311103" spans="1:1" x14ac:dyDescent="0.25">
      <c r="A311103" s="1"/>
    </row>
    <row r="311104" spans="1:1" x14ac:dyDescent="0.25">
      <c r="A311104" s="1"/>
    </row>
    <row r="311105" spans="1:1" x14ac:dyDescent="0.25">
      <c r="A311105" s="1"/>
    </row>
    <row r="311106" spans="1:1" x14ac:dyDescent="0.25">
      <c r="A311106" s="1"/>
    </row>
    <row r="311107" spans="1:1" x14ac:dyDescent="0.25">
      <c r="A311107" s="1"/>
    </row>
    <row r="311108" spans="1:1" x14ac:dyDescent="0.25">
      <c r="A311108" s="1"/>
    </row>
    <row r="311109" spans="1:1" x14ac:dyDescent="0.25">
      <c r="A311109" s="1"/>
    </row>
    <row r="311110" spans="1:1" x14ac:dyDescent="0.25">
      <c r="A311110" s="1"/>
    </row>
    <row r="311111" spans="1:1" x14ac:dyDescent="0.25">
      <c r="A311111" s="1"/>
    </row>
    <row r="311112" spans="1:1" x14ac:dyDescent="0.25">
      <c r="A311112" s="1"/>
    </row>
    <row r="311113" spans="1:1" x14ac:dyDescent="0.25">
      <c r="A311113" s="1"/>
    </row>
    <row r="311114" spans="1:1" x14ac:dyDescent="0.25">
      <c r="A311114" s="1"/>
    </row>
    <row r="311115" spans="1:1" x14ac:dyDescent="0.25">
      <c r="A311115" s="1"/>
    </row>
    <row r="311116" spans="1:1" x14ac:dyDescent="0.25">
      <c r="A311116" s="1"/>
    </row>
    <row r="311117" spans="1:1" x14ac:dyDescent="0.25">
      <c r="A311117" s="1"/>
    </row>
    <row r="311118" spans="1:1" x14ac:dyDescent="0.25">
      <c r="A311118" s="1"/>
    </row>
    <row r="311119" spans="1:1" x14ac:dyDescent="0.25">
      <c r="A311119" s="1"/>
    </row>
    <row r="311120" spans="1:1" x14ac:dyDescent="0.25">
      <c r="A311120" s="1"/>
    </row>
    <row r="311121" spans="1:1" x14ac:dyDescent="0.25">
      <c r="A311121" s="1"/>
    </row>
    <row r="311122" spans="1:1" x14ac:dyDescent="0.25">
      <c r="A311122" s="1"/>
    </row>
    <row r="311123" spans="1:1" x14ac:dyDescent="0.25">
      <c r="A311123" s="1"/>
    </row>
    <row r="311124" spans="1:1" x14ac:dyDescent="0.25">
      <c r="A311124" s="1"/>
    </row>
    <row r="311125" spans="1:1" x14ac:dyDescent="0.25">
      <c r="A311125" s="1"/>
    </row>
    <row r="311126" spans="1:1" x14ac:dyDescent="0.25">
      <c r="A311126" s="1"/>
    </row>
    <row r="311127" spans="1:1" x14ac:dyDescent="0.25">
      <c r="A311127" s="1"/>
    </row>
    <row r="311128" spans="1:1" x14ac:dyDescent="0.25">
      <c r="A311128" s="1"/>
    </row>
    <row r="311129" spans="1:1" x14ac:dyDescent="0.25">
      <c r="A311129" s="1"/>
    </row>
    <row r="311130" spans="1:1" x14ac:dyDescent="0.25">
      <c r="A311130" s="1"/>
    </row>
    <row r="311131" spans="1:1" x14ac:dyDescent="0.25">
      <c r="A311131" s="1"/>
    </row>
    <row r="311132" spans="1:1" x14ac:dyDescent="0.25">
      <c r="A311132" s="1"/>
    </row>
    <row r="311133" spans="1:1" x14ac:dyDescent="0.25">
      <c r="A311133" s="1"/>
    </row>
    <row r="311134" spans="1:1" x14ac:dyDescent="0.25">
      <c r="A311134" s="1"/>
    </row>
    <row r="311135" spans="1:1" x14ac:dyDescent="0.25">
      <c r="A311135" s="1"/>
    </row>
    <row r="311136" spans="1:1" x14ac:dyDescent="0.25">
      <c r="A311136" s="1"/>
    </row>
    <row r="311137" spans="1:1" x14ac:dyDescent="0.25">
      <c r="A311137" s="1"/>
    </row>
    <row r="311138" spans="1:1" x14ac:dyDescent="0.25">
      <c r="A311138" s="1"/>
    </row>
    <row r="311139" spans="1:1" x14ac:dyDescent="0.25">
      <c r="A311139" s="1"/>
    </row>
    <row r="311140" spans="1:1" x14ac:dyDescent="0.25">
      <c r="A311140" s="1"/>
    </row>
    <row r="311141" spans="1:1" x14ac:dyDescent="0.25">
      <c r="A311141" s="1"/>
    </row>
    <row r="311142" spans="1:1" x14ac:dyDescent="0.25">
      <c r="A311142" s="1"/>
    </row>
    <row r="311143" spans="1:1" x14ac:dyDescent="0.25">
      <c r="A311143" s="1"/>
    </row>
    <row r="311144" spans="1:1" x14ac:dyDescent="0.25">
      <c r="A311144" s="1"/>
    </row>
    <row r="311145" spans="1:1" x14ac:dyDescent="0.25">
      <c r="A311145" s="1"/>
    </row>
    <row r="311146" spans="1:1" x14ac:dyDescent="0.25">
      <c r="A311146" s="1"/>
    </row>
    <row r="311147" spans="1:1" x14ac:dyDescent="0.25">
      <c r="A311147" s="1"/>
    </row>
    <row r="311148" spans="1:1" x14ac:dyDescent="0.25">
      <c r="A311148" s="1"/>
    </row>
    <row r="311149" spans="1:1" x14ac:dyDescent="0.25">
      <c r="A311149" s="1"/>
    </row>
    <row r="311150" spans="1:1" x14ac:dyDescent="0.25">
      <c r="A311150" s="1"/>
    </row>
    <row r="311151" spans="1:1" x14ac:dyDescent="0.25">
      <c r="A311151" s="1"/>
    </row>
    <row r="311152" spans="1:1" x14ac:dyDescent="0.25">
      <c r="A311152" s="1"/>
    </row>
    <row r="311153" spans="1:1" x14ac:dyDescent="0.25">
      <c r="A311153" s="1"/>
    </row>
    <row r="311154" spans="1:1" x14ac:dyDescent="0.25">
      <c r="A311154" s="1"/>
    </row>
    <row r="311155" spans="1:1" x14ac:dyDescent="0.25">
      <c r="A311155" s="1"/>
    </row>
    <row r="311156" spans="1:1" x14ac:dyDescent="0.25">
      <c r="A311156" s="1"/>
    </row>
    <row r="311157" spans="1:1" x14ac:dyDescent="0.25">
      <c r="A311157" s="1"/>
    </row>
    <row r="311158" spans="1:1" x14ac:dyDescent="0.25">
      <c r="A311158" s="1"/>
    </row>
    <row r="311159" spans="1:1" x14ac:dyDescent="0.25">
      <c r="A311159" s="1"/>
    </row>
    <row r="311160" spans="1:1" x14ac:dyDescent="0.25">
      <c r="A311160" s="1"/>
    </row>
    <row r="311161" spans="1:1" x14ac:dyDescent="0.25">
      <c r="A311161" s="1"/>
    </row>
    <row r="311162" spans="1:1" x14ac:dyDescent="0.25">
      <c r="A311162" s="1"/>
    </row>
    <row r="311163" spans="1:1" x14ac:dyDescent="0.25">
      <c r="A311163" s="1"/>
    </row>
    <row r="311164" spans="1:1" x14ac:dyDescent="0.25">
      <c r="A311164" s="1"/>
    </row>
    <row r="311165" spans="1:1" x14ac:dyDescent="0.25">
      <c r="A311165" s="1"/>
    </row>
    <row r="311166" spans="1:1" x14ac:dyDescent="0.25">
      <c r="A311166" s="1"/>
    </row>
    <row r="311167" spans="1:1" x14ac:dyDescent="0.25">
      <c r="A311167" s="1"/>
    </row>
    <row r="311168" spans="1:1" x14ac:dyDescent="0.25">
      <c r="A311168" s="1"/>
    </row>
    <row r="311169" spans="1:1" x14ac:dyDescent="0.25">
      <c r="A311169" s="1"/>
    </row>
    <row r="311170" spans="1:1" x14ac:dyDescent="0.25">
      <c r="A311170" s="1"/>
    </row>
    <row r="311171" spans="1:1" x14ac:dyDescent="0.25">
      <c r="A311171" s="1"/>
    </row>
    <row r="311172" spans="1:1" x14ac:dyDescent="0.25">
      <c r="A311172" s="1"/>
    </row>
    <row r="311173" spans="1:1" x14ac:dyDescent="0.25">
      <c r="A311173" s="1"/>
    </row>
    <row r="311174" spans="1:1" x14ac:dyDescent="0.25">
      <c r="A311174" s="1"/>
    </row>
    <row r="311175" spans="1:1" x14ac:dyDescent="0.25">
      <c r="A311175" s="1"/>
    </row>
    <row r="311176" spans="1:1" x14ac:dyDescent="0.25">
      <c r="A311176" s="1"/>
    </row>
    <row r="311177" spans="1:1" x14ac:dyDescent="0.25">
      <c r="A311177" s="1"/>
    </row>
    <row r="311178" spans="1:1" x14ac:dyDescent="0.25">
      <c r="A311178" s="1"/>
    </row>
    <row r="311179" spans="1:1" x14ac:dyDescent="0.25">
      <c r="A311179" s="1"/>
    </row>
    <row r="311180" spans="1:1" x14ac:dyDescent="0.25">
      <c r="A311180" s="1"/>
    </row>
    <row r="311181" spans="1:1" x14ac:dyDescent="0.25">
      <c r="A311181" s="1"/>
    </row>
    <row r="311182" spans="1:1" x14ac:dyDescent="0.25">
      <c r="A311182" s="1"/>
    </row>
    <row r="311183" spans="1:1" x14ac:dyDescent="0.25">
      <c r="A311183" s="1"/>
    </row>
    <row r="311184" spans="1:1" x14ac:dyDescent="0.25">
      <c r="A311184" s="1"/>
    </row>
    <row r="311185" spans="1:1" x14ac:dyDescent="0.25">
      <c r="A311185" s="1"/>
    </row>
    <row r="311186" spans="1:1" x14ac:dyDescent="0.25">
      <c r="A311186" s="1"/>
    </row>
    <row r="311187" spans="1:1" x14ac:dyDescent="0.25">
      <c r="A311187" s="1"/>
    </row>
    <row r="311188" spans="1:1" x14ac:dyDescent="0.25">
      <c r="A311188" s="1"/>
    </row>
    <row r="311189" spans="1:1" x14ac:dyDescent="0.25">
      <c r="A311189" s="1"/>
    </row>
    <row r="311190" spans="1:1" x14ac:dyDescent="0.25">
      <c r="A311190" s="1"/>
    </row>
    <row r="311191" spans="1:1" x14ac:dyDescent="0.25">
      <c r="A311191" s="1"/>
    </row>
    <row r="311192" spans="1:1" x14ac:dyDescent="0.25">
      <c r="A311192" s="1"/>
    </row>
    <row r="311193" spans="1:1" x14ac:dyDescent="0.25">
      <c r="A311193" s="1"/>
    </row>
    <row r="311194" spans="1:1" x14ac:dyDescent="0.25">
      <c r="A311194" s="1"/>
    </row>
    <row r="311195" spans="1:1" x14ac:dyDescent="0.25">
      <c r="A311195" s="1"/>
    </row>
    <row r="311196" spans="1:1" x14ac:dyDescent="0.25">
      <c r="A311196" s="1"/>
    </row>
    <row r="311197" spans="1:1" x14ac:dyDescent="0.25">
      <c r="A311197" s="1"/>
    </row>
    <row r="311198" spans="1:1" x14ac:dyDescent="0.25">
      <c r="A311198" s="1"/>
    </row>
    <row r="311199" spans="1:1" x14ac:dyDescent="0.25">
      <c r="A311199" s="1"/>
    </row>
    <row r="311200" spans="1:1" x14ac:dyDescent="0.25">
      <c r="A311200" s="1"/>
    </row>
    <row r="311201" spans="1:1" x14ac:dyDescent="0.25">
      <c r="A311201" s="1"/>
    </row>
    <row r="311202" spans="1:1" x14ac:dyDescent="0.25">
      <c r="A311202" s="1"/>
    </row>
    <row r="311203" spans="1:1" x14ac:dyDescent="0.25">
      <c r="A311203" s="1"/>
    </row>
    <row r="311204" spans="1:1" x14ac:dyDescent="0.25">
      <c r="A311204" s="1"/>
    </row>
    <row r="311205" spans="1:1" x14ac:dyDescent="0.25">
      <c r="A311205" s="1"/>
    </row>
    <row r="311206" spans="1:1" x14ac:dyDescent="0.25">
      <c r="A311206" s="1"/>
    </row>
    <row r="311207" spans="1:1" x14ac:dyDescent="0.25">
      <c r="A311207" s="1"/>
    </row>
    <row r="311208" spans="1:1" x14ac:dyDescent="0.25">
      <c r="A311208" s="1"/>
    </row>
    <row r="311209" spans="1:1" x14ac:dyDescent="0.25">
      <c r="A311209" s="1"/>
    </row>
    <row r="311210" spans="1:1" x14ac:dyDescent="0.25">
      <c r="A311210" s="1"/>
    </row>
    <row r="311211" spans="1:1" x14ac:dyDescent="0.25">
      <c r="A311211" s="1"/>
    </row>
    <row r="311212" spans="1:1" x14ac:dyDescent="0.25">
      <c r="A311212" s="1"/>
    </row>
    <row r="311213" spans="1:1" x14ac:dyDescent="0.25">
      <c r="A311213" s="1"/>
    </row>
    <row r="311214" spans="1:1" x14ac:dyDescent="0.25">
      <c r="A311214" s="1"/>
    </row>
    <row r="311215" spans="1:1" x14ac:dyDescent="0.25">
      <c r="A311215" s="1"/>
    </row>
    <row r="311216" spans="1:1" x14ac:dyDescent="0.25">
      <c r="A311216" s="1"/>
    </row>
    <row r="311217" spans="1:1" x14ac:dyDescent="0.25">
      <c r="A311217" s="1"/>
    </row>
    <row r="311218" spans="1:1" x14ac:dyDescent="0.25">
      <c r="A311218" s="1"/>
    </row>
    <row r="311219" spans="1:1" x14ac:dyDescent="0.25">
      <c r="A311219" s="1"/>
    </row>
    <row r="311220" spans="1:1" x14ac:dyDescent="0.25">
      <c r="A311220" s="1"/>
    </row>
    <row r="311221" spans="1:1" x14ac:dyDescent="0.25">
      <c r="A311221" s="1"/>
    </row>
    <row r="311222" spans="1:1" x14ac:dyDescent="0.25">
      <c r="A311222" s="1"/>
    </row>
    <row r="311223" spans="1:1" x14ac:dyDescent="0.25">
      <c r="A311223" s="1"/>
    </row>
    <row r="311224" spans="1:1" x14ac:dyDescent="0.25">
      <c r="A311224" s="1"/>
    </row>
    <row r="311225" spans="1:1" x14ac:dyDescent="0.25">
      <c r="A311225" s="1"/>
    </row>
    <row r="311226" spans="1:1" x14ac:dyDescent="0.25">
      <c r="A311226" s="1"/>
    </row>
    <row r="311227" spans="1:1" x14ac:dyDescent="0.25">
      <c r="A311227" s="1"/>
    </row>
    <row r="311228" spans="1:1" x14ac:dyDescent="0.25">
      <c r="A311228" s="1"/>
    </row>
    <row r="311229" spans="1:1" x14ac:dyDescent="0.25">
      <c r="A311229" s="1"/>
    </row>
    <row r="311230" spans="1:1" x14ac:dyDescent="0.25">
      <c r="A311230" s="1"/>
    </row>
    <row r="311231" spans="1:1" x14ac:dyDescent="0.25">
      <c r="A311231" s="1"/>
    </row>
    <row r="311232" spans="1:1" x14ac:dyDescent="0.25">
      <c r="A311232" s="1"/>
    </row>
    <row r="311233" spans="1:1" x14ac:dyDescent="0.25">
      <c r="A311233" s="1"/>
    </row>
    <row r="311234" spans="1:1" x14ac:dyDescent="0.25">
      <c r="A311234" s="1"/>
    </row>
    <row r="311235" spans="1:1" x14ac:dyDescent="0.25">
      <c r="A311235" s="1"/>
    </row>
    <row r="311236" spans="1:1" x14ac:dyDescent="0.25">
      <c r="A311236" s="1"/>
    </row>
    <row r="311237" spans="1:1" x14ac:dyDescent="0.25">
      <c r="A311237" s="1"/>
    </row>
    <row r="311238" spans="1:1" x14ac:dyDescent="0.25">
      <c r="A311238" s="1"/>
    </row>
    <row r="311239" spans="1:1" x14ac:dyDescent="0.25">
      <c r="A311239" s="1"/>
    </row>
    <row r="311240" spans="1:1" x14ac:dyDescent="0.25">
      <c r="A311240" s="1"/>
    </row>
    <row r="311241" spans="1:1" x14ac:dyDescent="0.25">
      <c r="A311241" s="1"/>
    </row>
    <row r="311242" spans="1:1" x14ac:dyDescent="0.25">
      <c r="A311242" s="1"/>
    </row>
    <row r="311243" spans="1:1" x14ac:dyDescent="0.25">
      <c r="A311243" s="1"/>
    </row>
    <row r="311244" spans="1:1" x14ac:dyDescent="0.25">
      <c r="A311244" s="1"/>
    </row>
    <row r="311245" spans="1:1" x14ac:dyDescent="0.25">
      <c r="A311245" s="1"/>
    </row>
    <row r="311246" spans="1:1" x14ac:dyDescent="0.25">
      <c r="A311246" s="1"/>
    </row>
    <row r="311247" spans="1:1" x14ac:dyDescent="0.25">
      <c r="A311247" s="1"/>
    </row>
    <row r="311248" spans="1:1" x14ac:dyDescent="0.25">
      <c r="A311248" s="1"/>
    </row>
    <row r="311249" spans="1:1" x14ac:dyDescent="0.25">
      <c r="A311249" s="1"/>
    </row>
    <row r="311250" spans="1:1" x14ac:dyDescent="0.25">
      <c r="A311250" s="1"/>
    </row>
    <row r="311251" spans="1:1" x14ac:dyDescent="0.25">
      <c r="A311251" s="1"/>
    </row>
    <row r="311252" spans="1:1" x14ac:dyDescent="0.25">
      <c r="A311252" s="1"/>
    </row>
    <row r="311253" spans="1:1" x14ac:dyDescent="0.25">
      <c r="A311253" s="1"/>
    </row>
    <row r="311254" spans="1:1" x14ac:dyDescent="0.25">
      <c r="A311254" s="1"/>
    </row>
    <row r="311255" spans="1:1" x14ac:dyDescent="0.25">
      <c r="A311255" s="1"/>
    </row>
    <row r="311256" spans="1:1" x14ac:dyDescent="0.25">
      <c r="A311256" s="1"/>
    </row>
    <row r="311257" spans="1:1" x14ac:dyDescent="0.25">
      <c r="A311257" s="1"/>
    </row>
    <row r="311258" spans="1:1" x14ac:dyDescent="0.25">
      <c r="A311258" s="1"/>
    </row>
    <row r="311259" spans="1:1" x14ac:dyDescent="0.25">
      <c r="A311259" s="1"/>
    </row>
    <row r="311260" spans="1:1" x14ac:dyDescent="0.25">
      <c r="A311260" s="1"/>
    </row>
    <row r="311261" spans="1:1" x14ac:dyDescent="0.25">
      <c r="A311261" s="1"/>
    </row>
    <row r="311262" spans="1:1" x14ac:dyDescent="0.25">
      <c r="A311262" s="1"/>
    </row>
    <row r="311263" spans="1:1" x14ac:dyDescent="0.25">
      <c r="A311263" s="1"/>
    </row>
    <row r="311264" spans="1:1" x14ac:dyDescent="0.25">
      <c r="A311264" s="1"/>
    </row>
    <row r="311265" spans="1:1" x14ac:dyDescent="0.25">
      <c r="A311265" s="1"/>
    </row>
    <row r="311266" spans="1:1" x14ac:dyDescent="0.25">
      <c r="A311266" s="1"/>
    </row>
    <row r="311267" spans="1:1" x14ac:dyDescent="0.25">
      <c r="A311267" s="1"/>
    </row>
    <row r="311268" spans="1:1" x14ac:dyDescent="0.25">
      <c r="A311268" s="1"/>
    </row>
    <row r="311269" spans="1:1" x14ac:dyDescent="0.25">
      <c r="A311269" s="1"/>
    </row>
    <row r="311270" spans="1:1" x14ac:dyDescent="0.25">
      <c r="A311270" s="1"/>
    </row>
    <row r="311271" spans="1:1" x14ac:dyDescent="0.25">
      <c r="A311271" s="1"/>
    </row>
    <row r="311272" spans="1:1" x14ac:dyDescent="0.25">
      <c r="A311272" s="1"/>
    </row>
    <row r="311273" spans="1:1" x14ac:dyDescent="0.25">
      <c r="A311273" s="1"/>
    </row>
    <row r="311274" spans="1:1" x14ac:dyDescent="0.25">
      <c r="A311274" s="1"/>
    </row>
    <row r="311275" spans="1:1" x14ac:dyDescent="0.25">
      <c r="A311275" s="1"/>
    </row>
    <row r="311276" spans="1:1" x14ac:dyDescent="0.25">
      <c r="A311276" s="1"/>
    </row>
    <row r="311277" spans="1:1" x14ac:dyDescent="0.25">
      <c r="A311277" s="1"/>
    </row>
    <row r="311278" spans="1:1" x14ac:dyDescent="0.25">
      <c r="A311278" s="1"/>
    </row>
    <row r="311279" spans="1:1" x14ac:dyDescent="0.25">
      <c r="A311279" s="1"/>
    </row>
    <row r="311280" spans="1:1" x14ac:dyDescent="0.25">
      <c r="A311280" s="1"/>
    </row>
    <row r="311281" spans="1:1" x14ac:dyDescent="0.25">
      <c r="A311281" s="1"/>
    </row>
    <row r="311282" spans="1:1" x14ac:dyDescent="0.25">
      <c r="A311282" s="1"/>
    </row>
    <row r="311283" spans="1:1" x14ac:dyDescent="0.25">
      <c r="A311283" s="1"/>
    </row>
    <row r="311284" spans="1:1" x14ac:dyDescent="0.25">
      <c r="A311284" s="1"/>
    </row>
    <row r="311285" spans="1:1" x14ac:dyDescent="0.25">
      <c r="A311285" s="1"/>
    </row>
    <row r="311286" spans="1:1" x14ac:dyDescent="0.25">
      <c r="A311286" s="1"/>
    </row>
    <row r="311287" spans="1:1" x14ac:dyDescent="0.25">
      <c r="A311287" s="1"/>
    </row>
    <row r="311288" spans="1:1" x14ac:dyDescent="0.25">
      <c r="A311288" s="1"/>
    </row>
    <row r="311289" spans="1:1" x14ac:dyDescent="0.25">
      <c r="A311289" s="1"/>
    </row>
    <row r="311290" spans="1:1" x14ac:dyDescent="0.25">
      <c r="A311290" s="1"/>
    </row>
    <row r="311291" spans="1:1" x14ac:dyDescent="0.25">
      <c r="A311291" s="1"/>
    </row>
    <row r="311292" spans="1:1" x14ac:dyDescent="0.25">
      <c r="A311292" s="1"/>
    </row>
    <row r="311293" spans="1:1" x14ac:dyDescent="0.25">
      <c r="A311293" s="1"/>
    </row>
    <row r="311294" spans="1:1" x14ac:dyDescent="0.25">
      <c r="A311294" s="1"/>
    </row>
    <row r="311295" spans="1:1" x14ac:dyDescent="0.25">
      <c r="A311295" s="1"/>
    </row>
    <row r="311296" spans="1:1" x14ac:dyDescent="0.25">
      <c r="A311296" s="1"/>
    </row>
    <row r="311297" spans="1:1" x14ac:dyDescent="0.25">
      <c r="A311297" s="1"/>
    </row>
    <row r="311298" spans="1:1" x14ac:dyDescent="0.25">
      <c r="A311298" s="1"/>
    </row>
    <row r="311299" spans="1:1" x14ac:dyDescent="0.25">
      <c r="A311299" s="1"/>
    </row>
    <row r="311300" spans="1:1" x14ac:dyDescent="0.25">
      <c r="A311300" s="1"/>
    </row>
    <row r="311301" spans="1:1" x14ac:dyDescent="0.25">
      <c r="A311301" s="1"/>
    </row>
    <row r="311302" spans="1:1" x14ac:dyDescent="0.25">
      <c r="A311302" s="1"/>
    </row>
    <row r="311303" spans="1:1" x14ac:dyDescent="0.25">
      <c r="A311303" s="1"/>
    </row>
    <row r="311304" spans="1:1" x14ac:dyDescent="0.25">
      <c r="A311304" s="1"/>
    </row>
    <row r="311305" spans="1:1" x14ac:dyDescent="0.25">
      <c r="A311305" s="1"/>
    </row>
    <row r="311306" spans="1:1" x14ac:dyDescent="0.25">
      <c r="A311306" s="1"/>
    </row>
    <row r="311307" spans="1:1" x14ac:dyDescent="0.25">
      <c r="A311307" s="1"/>
    </row>
    <row r="311308" spans="1:1" x14ac:dyDescent="0.25">
      <c r="A311308" s="1"/>
    </row>
    <row r="311309" spans="1:1" x14ac:dyDescent="0.25">
      <c r="A311309" s="1"/>
    </row>
    <row r="311310" spans="1:1" x14ac:dyDescent="0.25">
      <c r="A311310" s="1"/>
    </row>
    <row r="311311" spans="1:1" x14ac:dyDescent="0.25">
      <c r="A311311" s="1"/>
    </row>
    <row r="311312" spans="1:1" x14ac:dyDescent="0.25">
      <c r="A311312" s="1"/>
    </row>
    <row r="311313" spans="1:1" x14ac:dyDescent="0.25">
      <c r="A311313" s="1"/>
    </row>
    <row r="311314" spans="1:1" x14ac:dyDescent="0.25">
      <c r="A311314" s="1"/>
    </row>
    <row r="311315" spans="1:1" x14ac:dyDescent="0.25">
      <c r="A311315" s="1"/>
    </row>
    <row r="311316" spans="1:1" x14ac:dyDescent="0.25">
      <c r="A311316" s="1"/>
    </row>
    <row r="311317" spans="1:1" x14ac:dyDescent="0.25">
      <c r="A311317" s="1"/>
    </row>
    <row r="311318" spans="1:1" x14ac:dyDescent="0.25">
      <c r="A311318" s="1"/>
    </row>
    <row r="311319" spans="1:1" x14ac:dyDescent="0.25">
      <c r="A311319" s="1"/>
    </row>
    <row r="311320" spans="1:1" x14ac:dyDescent="0.25">
      <c r="A311320" s="1"/>
    </row>
    <row r="311321" spans="1:1" x14ac:dyDescent="0.25">
      <c r="A311321" s="1"/>
    </row>
    <row r="311322" spans="1:1" x14ac:dyDescent="0.25">
      <c r="A311322" s="1"/>
    </row>
    <row r="311323" spans="1:1" x14ac:dyDescent="0.25">
      <c r="A311323" s="1"/>
    </row>
    <row r="311324" spans="1:1" x14ac:dyDescent="0.25">
      <c r="A311324" s="1"/>
    </row>
    <row r="311325" spans="1:1" x14ac:dyDescent="0.25">
      <c r="A311325" s="1"/>
    </row>
    <row r="311326" spans="1:1" x14ac:dyDescent="0.25">
      <c r="A311326" s="1"/>
    </row>
    <row r="311327" spans="1:1" x14ac:dyDescent="0.25">
      <c r="A311327" s="1"/>
    </row>
    <row r="311328" spans="1:1" x14ac:dyDescent="0.25">
      <c r="A311328" s="1"/>
    </row>
    <row r="311329" spans="1:1" x14ac:dyDescent="0.25">
      <c r="A311329" s="1"/>
    </row>
    <row r="311330" spans="1:1" x14ac:dyDescent="0.25">
      <c r="A311330" s="1"/>
    </row>
    <row r="311331" spans="1:1" x14ac:dyDescent="0.25">
      <c r="A311331" s="1"/>
    </row>
    <row r="311332" spans="1:1" x14ac:dyDescent="0.25">
      <c r="A311332" s="1"/>
    </row>
    <row r="311333" spans="1:1" x14ac:dyDescent="0.25">
      <c r="A311333" s="1"/>
    </row>
    <row r="311334" spans="1:1" x14ac:dyDescent="0.25">
      <c r="A311334" s="1"/>
    </row>
    <row r="311335" spans="1:1" x14ac:dyDescent="0.25">
      <c r="A311335" s="1"/>
    </row>
    <row r="311336" spans="1:1" x14ac:dyDescent="0.25">
      <c r="A311336" s="1"/>
    </row>
    <row r="311337" spans="1:1" x14ac:dyDescent="0.25">
      <c r="A311337" s="1"/>
    </row>
    <row r="311338" spans="1:1" x14ac:dyDescent="0.25">
      <c r="A311338" s="1"/>
    </row>
    <row r="311339" spans="1:1" x14ac:dyDescent="0.25">
      <c r="A311339" s="1"/>
    </row>
    <row r="311340" spans="1:1" x14ac:dyDescent="0.25">
      <c r="A311340" s="1"/>
    </row>
    <row r="311341" spans="1:1" x14ac:dyDescent="0.25">
      <c r="A311341" s="1"/>
    </row>
    <row r="311342" spans="1:1" x14ac:dyDescent="0.25">
      <c r="A311342" s="1"/>
    </row>
    <row r="311343" spans="1:1" x14ac:dyDescent="0.25">
      <c r="A311343" s="1"/>
    </row>
    <row r="311344" spans="1:1" x14ac:dyDescent="0.25">
      <c r="A311344" s="1"/>
    </row>
    <row r="311345" spans="1:1" x14ac:dyDescent="0.25">
      <c r="A311345" s="1"/>
    </row>
    <row r="311346" spans="1:1" x14ac:dyDescent="0.25">
      <c r="A311346" s="1"/>
    </row>
    <row r="311347" spans="1:1" x14ac:dyDescent="0.25">
      <c r="A311347" s="1"/>
    </row>
    <row r="311348" spans="1:1" x14ac:dyDescent="0.25">
      <c r="A311348" s="1"/>
    </row>
    <row r="311349" spans="1:1" x14ac:dyDescent="0.25">
      <c r="A311349" s="1"/>
    </row>
    <row r="311350" spans="1:1" x14ac:dyDescent="0.25">
      <c r="A311350" s="1"/>
    </row>
    <row r="311351" spans="1:1" x14ac:dyDescent="0.25">
      <c r="A311351" s="1"/>
    </row>
    <row r="311352" spans="1:1" x14ac:dyDescent="0.25">
      <c r="A311352" s="1"/>
    </row>
    <row r="311353" spans="1:1" x14ac:dyDescent="0.25">
      <c r="A311353" s="1"/>
    </row>
    <row r="311354" spans="1:1" x14ac:dyDescent="0.25">
      <c r="A311354" s="1"/>
    </row>
    <row r="311355" spans="1:1" x14ac:dyDescent="0.25">
      <c r="A311355" s="1"/>
    </row>
    <row r="311356" spans="1:1" x14ac:dyDescent="0.25">
      <c r="A311356" s="1"/>
    </row>
    <row r="311357" spans="1:1" x14ac:dyDescent="0.25">
      <c r="A311357" s="1"/>
    </row>
    <row r="311358" spans="1:1" x14ac:dyDescent="0.25">
      <c r="A311358" s="1"/>
    </row>
    <row r="311359" spans="1:1" x14ac:dyDescent="0.25">
      <c r="A311359" s="1"/>
    </row>
    <row r="311360" spans="1:1" x14ac:dyDescent="0.25">
      <c r="A311360" s="1"/>
    </row>
    <row r="311361" spans="1:1" x14ac:dyDescent="0.25">
      <c r="A311361" s="1"/>
    </row>
    <row r="311362" spans="1:1" x14ac:dyDescent="0.25">
      <c r="A311362" s="1"/>
    </row>
    <row r="311363" spans="1:1" x14ac:dyDescent="0.25">
      <c r="A311363" s="1"/>
    </row>
    <row r="311364" spans="1:1" x14ac:dyDescent="0.25">
      <c r="A311364" s="1"/>
    </row>
    <row r="311365" spans="1:1" x14ac:dyDescent="0.25">
      <c r="A311365" s="1"/>
    </row>
    <row r="311366" spans="1:1" x14ac:dyDescent="0.25">
      <c r="A311366" s="1"/>
    </row>
    <row r="311367" spans="1:1" x14ac:dyDescent="0.25">
      <c r="A311367" s="1"/>
    </row>
    <row r="311368" spans="1:1" x14ac:dyDescent="0.25">
      <c r="A311368" s="1"/>
    </row>
    <row r="311369" spans="1:1" x14ac:dyDescent="0.25">
      <c r="A311369" s="1"/>
    </row>
    <row r="311370" spans="1:1" x14ac:dyDescent="0.25">
      <c r="A311370" s="1"/>
    </row>
    <row r="311371" spans="1:1" x14ac:dyDescent="0.25">
      <c r="A311371" s="1"/>
    </row>
    <row r="311372" spans="1:1" x14ac:dyDescent="0.25">
      <c r="A311372" s="1"/>
    </row>
    <row r="311373" spans="1:1" x14ac:dyDescent="0.25">
      <c r="A311373" s="1"/>
    </row>
    <row r="311374" spans="1:1" x14ac:dyDescent="0.25">
      <c r="A311374" s="1"/>
    </row>
    <row r="311375" spans="1:1" x14ac:dyDescent="0.25">
      <c r="A311375" s="1"/>
    </row>
    <row r="311376" spans="1:1" x14ac:dyDescent="0.25">
      <c r="A311376" s="1"/>
    </row>
    <row r="311377" spans="1:1" x14ac:dyDescent="0.25">
      <c r="A311377" s="1"/>
    </row>
    <row r="311378" spans="1:1" x14ac:dyDescent="0.25">
      <c r="A311378" s="1"/>
    </row>
    <row r="311379" spans="1:1" x14ac:dyDescent="0.25">
      <c r="A311379" s="1"/>
    </row>
    <row r="311380" spans="1:1" x14ac:dyDescent="0.25">
      <c r="A311380" s="1"/>
    </row>
    <row r="311381" spans="1:1" x14ac:dyDescent="0.25">
      <c r="A311381" s="1"/>
    </row>
    <row r="311382" spans="1:1" x14ac:dyDescent="0.25">
      <c r="A311382" s="1"/>
    </row>
    <row r="311383" spans="1:1" x14ac:dyDescent="0.25">
      <c r="A311383" s="1"/>
    </row>
    <row r="311384" spans="1:1" x14ac:dyDescent="0.25">
      <c r="A311384" s="1"/>
    </row>
    <row r="311385" spans="1:1" x14ac:dyDescent="0.25">
      <c r="A311385" s="1"/>
    </row>
    <row r="311386" spans="1:1" x14ac:dyDescent="0.25">
      <c r="A311386" s="1"/>
    </row>
    <row r="311387" spans="1:1" x14ac:dyDescent="0.25">
      <c r="A311387" s="1"/>
    </row>
    <row r="311388" spans="1:1" x14ac:dyDescent="0.25">
      <c r="A311388" s="1"/>
    </row>
    <row r="311389" spans="1:1" x14ac:dyDescent="0.25">
      <c r="A311389" s="1"/>
    </row>
    <row r="311390" spans="1:1" x14ac:dyDescent="0.25">
      <c r="A311390" s="1"/>
    </row>
    <row r="311391" spans="1:1" x14ac:dyDescent="0.25">
      <c r="A311391" s="1"/>
    </row>
    <row r="311392" spans="1:1" x14ac:dyDescent="0.25">
      <c r="A311392" s="1"/>
    </row>
    <row r="311393" spans="1:1" x14ac:dyDescent="0.25">
      <c r="A311393" s="1"/>
    </row>
    <row r="311394" spans="1:1" x14ac:dyDescent="0.25">
      <c r="A311394" s="1"/>
    </row>
    <row r="311395" spans="1:1" x14ac:dyDescent="0.25">
      <c r="A311395" s="1"/>
    </row>
    <row r="311396" spans="1:1" x14ac:dyDescent="0.25">
      <c r="A311396" s="1"/>
    </row>
    <row r="311397" spans="1:1" x14ac:dyDescent="0.25">
      <c r="A311397" s="1"/>
    </row>
    <row r="311398" spans="1:1" x14ac:dyDescent="0.25">
      <c r="A311398" s="1"/>
    </row>
    <row r="311399" spans="1:1" x14ac:dyDescent="0.25">
      <c r="A311399" s="1"/>
    </row>
    <row r="311400" spans="1:1" x14ac:dyDescent="0.25">
      <c r="A311400" s="1"/>
    </row>
    <row r="311401" spans="1:1" x14ac:dyDescent="0.25">
      <c r="A311401" s="1"/>
    </row>
    <row r="311402" spans="1:1" x14ac:dyDescent="0.25">
      <c r="A311402" s="1"/>
    </row>
    <row r="311403" spans="1:1" x14ac:dyDescent="0.25">
      <c r="A311403" s="1"/>
    </row>
    <row r="311404" spans="1:1" x14ac:dyDescent="0.25">
      <c r="A311404" s="1"/>
    </row>
    <row r="311405" spans="1:1" x14ac:dyDescent="0.25">
      <c r="A311405" s="1"/>
    </row>
    <row r="311406" spans="1:1" x14ac:dyDescent="0.25">
      <c r="A311406" s="1"/>
    </row>
    <row r="311407" spans="1:1" x14ac:dyDescent="0.25">
      <c r="A311407" s="1"/>
    </row>
    <row r="311408" spans="1:1" x14ac:dyDescent="0.25">
      <c r="A311408" s="1"/>
    </row>
    <row r="311409" spans="1:1" x14ac:dyDescent="0.25">
      <c r="A311409" s="1"/>
    </row>
    <row r="311410" spans="1:1" x14ac:dyDescent="0.25">
      <c r="A311410" s="1"/>
    </row>
    <row r="311411" spans="1:1" x14ac:dyDescent="0.25">
      <c r="A311411" s="1"/>
    </row>
    <row r="311412" spans="1:1" x14ac:dyDescent="0.25">
      <c r="A311412" s="1"/>
    </row>
    <row r="311413" spans="1:1" x14ac:dyDescent="0.25">
      <c r="A311413" s="1"/>
    </row>
    <row r="311414" spans="1:1" x14ac:dyDescent="0.25">
      <c r="A311414" s="1"/>
    </row>
    <row r="311415" spans="1:1" x14ac:dyDescent="0.25">
      <c r="A311415" s="1"/>
    </row>
    <row r="311416" spans="1:1" x14ac:dyDescent="0.25">
      <c r="A311416" s="1"/>
    </row>
    <row r="311417" spans="1:1" x14ac:dyDescent="0.25">
      <c r="A311417" s="1"/>
    </row>
    <row r="311418" spans="1:1" x14ac:dyDescent="0.25">
      <c r="A311418" s="1"/>
    </row>
    <row r="311419" spans="1:1" x14ac:dyDescent="0.25">
      <c r="A311419" s="1"/>
    </row>
    <row r="311420" spans="1:1" x14ac:dyDescent="0.25">
      <c r="A311420" s="1"/>
    </row>
    <row r="311421" spans="1:1" x14ac:dyDescent="0.25">
      <c r="A311421" s="1"/>
    </row>
    <row r="311422" spans="1:1" x14ac:dyDescent="0.25">
      <c r="A311422" s="1"/>
    </row>
    <row r="311423" spans="1:1" x14ac:dyDescent="0.25">
      <c r="A311423" s="1"/>
    </row>
    <row r="311424" spans="1:1" x14ac:dyDescent="0.25">
      <c r="A311424" s="1"/>
    </row>
    <row r="311425" spans="1:1" x14ac:dyDescent="0.25">
      <c r="A311425" s="1"/>
    </row>
    <row r="311426" spans="1:1" x14ac:dyDescent="0.25">
      <c r="A311426" s="1"/>
    </row>
    <row r="311427" spans="1:1" x14ac:dyDescent="0.25">
      <c r="A311427" s="1"/>
    </row>
    <row r="311428" spans="1:1" x14ac:dyDescent="0.25">
      <c r="A311428" s="1"/>
    </row>
    <row r="311429" spans="1:1" x14ac:dyDescent="0.25">
      <c r="A311429" s="1"/>
    </row>
    <row r="311430" spans="1:1" x14ac:dyDescent="0.25">
      <c r="A311430" s="1"/>
    </row>
    <row r="311431" spans="1:1" x14ac:dyDescent="0.25">
      <c r="A311431" s="1"/>
    </row>
    <row r="311432" spans="1:1" x14ac:dyDescent="0.25">
      <c r="A311432" s="1"/>
    </row>
    <row r="311433" spans="1:1" x14ac:dyDescent="0.25">
      <c r="A311433" s="1"/>
    </row>
    <row r="311434" spans="1:1" x14ac:dyDescent="0.25">
      <c r="A311434" s="1"/>
    </row>
    <row r="311435" spans="1:1" x14ac:dyDescent="0.25">
      <c r="A311435" s="1"/>
    </row>
    <row r="311436" spans="1:1" x14ac:dyDescent="0.25">
      <c r="A311436" s="1"/>
    </row>
    <row r="311437" spans="1:1" x14ac:dyDescent="0.25">
      <c r="A311437" s="1"/>
    </row>
    <row r="311438" spans="1:1" x14ac:dyDescent="0.25">
      <c r="A311438" s="1"/>
    </row>
    <row r="311439" spans="1:1" x14ac:dyDescent="0.25">
      <c r="A311439" s="1"/>
    </row>
    <row r="311440" spans="1:1" x14ac:dyDescent="0.25">
      <c r="A311440" s="1"/>
    </row>
    <row r="311441" spans="1:1" x14ac:dyDescent="0.25">
      <c r="A311441" s="1"/>
    </row>
    <row r="311442" spans="1:1" x14ac:dyDescent="0.25">
      <c r="A311442" s="1"/>
    </row>
    <row r="311443" spans="1:1" x14ac:dyDescent="0.25">
      <c r="A311443" s="1"/>
    </row>
    <row r="311444" spans="1:1" x14ac:dyDescent="0.25">
      <c r="A311444" s="1"/>
    </row>
    <row r="311445" spans="1:1" x14ac:dyDescent="0.25">
      <c r="A311445" s="1"/>
    </row>
    <row r="311446" spans="1:1" x14ac:dyDescent="0.25">
      <c r="A311446" s="1"/>
    </row>
    <row r="311447" spans="1:1" x14ac:dyDescent="0.25">
      <c r="A311447" s="1"/>
    </row>
    <row r="311448" spans="1:1" x14ac:dyDescent="0.25">
      <c r="A311448" s="1"/>
    </row>
    <row r="311449" spans="1:1" x14ac:dyDescent="0.25">
      <c r="A311449" s="1"/>
    </row>
    <row r="311450" spans="1:1" x14ac:dyDescent="0.25">
      <c r="A311450" s="1"/>
    </row>
    <row r="311451" spans="1:1" x14ac:dyDescent="0.25">
      <c r="A311451" s="1"/>
    </row>
    <row r="311452" spans="1:1" x14ac:dyDescent="0.25">
      <c r="A311452" s="1"/>
    </row>
    <row r="311453" spans="1:1" x14ac:dyDescent="0.25">
      <c r="A311453" s="1"/>
    </row>
    <row r="311454" spans="1:1" x14ac:dyDescent="0.25">
      <c r="A311454" s="1"/>
    </row>
    <row r="311455" spans="1:1" x14ac:dyDescent="0.25">
      <c r="A311455" s="1"/>
    </row>
    <row r="311456" spans="1:1" x14ac:dyDescent="0.25">
      <c r="A311456" s="1"/>
    </row>
    <row r="311457" spans="1:1" x14ac:dyDescent="0.25">
      <c r="A311457" s="1"/>
    </row>
    <row r="311458" spans="1:1" x14ac:dyDescent="0.25">
      <c r="A311458" s="1"/>
    </row>
    <row r="311459" spans="1:1" x14ac:dyDescent="0.25">
      <c r="A311459" s="1"/>
    </row>
    <row r="311460" spans="1:1" x14ac:dyDescent="0.25">
      <c r="A311460" s="1"/>
    </row>
    <row r="311461" spans="1:1" x14ac:dyDescent="0.25">
      <c r="A311461" s="1"/>
    </row>
    <row r="311462" spans="1:1" x14ac:dyDescent="0.25">
      <c r="A311462" s="1"/>
    </row>
    <row r="311463" spans="1:1" x14ac:dyDescent="0.25">
      <c r="A311463" s="1"/>
    </row>
    <row r="311464" spans="1:1" x14ac:dyDescent="0.25">
      <c r="A311464" s="1"/>
    </row>
    <row r="311465" spans="1:1" x14ac:dyDescent="0.25">
      <c r="A311465" s="1"/>
    </row>
    <row r="311466" spans="1:1" x14ac:dyDescent="0.25">
      <c r="A311466" s="1"/>
    </row>
    <row r="311467" spans="1:1" x14ac:dyDescent="0.25">
      <c r="A311467" s="1"/>
    </row>
    <row r="311468" spans="1:1" x14ac:dyDescent="0.25">
      <c r="A311468" s="1"/>
    </row>
    <row r="311469" spans="1:1" x14ac:dyDescent="0.25">
      <c r="A311469" s="1"/>
    </row>
    <row r="311470" spans="1:1" x14ac:dyDescent="0.25">
      <c r="A311470" s="1"/>
    </row>
    <row r="311471" spans="1:1" x14ac:dyDescent="0.25">
      <c r="A311471" s="1"/>
    </row>
    <row r="311472" spans="1:1" x14ac:dyDescent="0.25">
      <c r="A311472" s="1"/>
    </row>
    <row r="311473" spans="1:1" x14ac:dyDescent="0.25">
      <c r="A311473" s="1"/>
    </row>
    <row r="311474" spans="1:1" x14ac:dyDescent="0.25">
      <c r="A311474" s="1"/>
    </row>
    <row r="311475" spans="1:1" x14ac:dyDescent="0.25">
      <c r="A311475" s="1"/>
    </row>
    <row r="311476" spans="1:1" x14ac:dyDescent="0.25">
      <c r="A311476" s="1"/>
    </row>
    <row r="311477" spans="1:1" x14ac:dyDescent="0.25">
      <c r="A311477" s="1"/>
    </row>
    <row r="311478" spans="1:1" x14ac:dyDescent="0.25">
      <c r="A311478" s="1"/>
    </row>
    <row r="311479" spans="1:1" x14ac:dyDescent="0.25">
      <c r="A311479" s="1"/>
    </row>
    <row r="311480" spans="1:1" x14ac:dyDescent="0.25">
      <c r="A311480" s="1"/>
    </row>
    <row r="311481" spans="1:1" x14ac:dyDescent="0.25">
      <c r="A311481" s="1"/>
    </row>
    <row r="311482" spans="1:1" x14ac:dyDescent="0.25">
      <c r="A311482" s="1"/>
    </row>
    <row r="311483" spans="1:1" x14ac:dyDescent="0.25">
      <c r="A311483" s="1"/>
    </row>
    <row r="311484" spans="1:1" x14ac:dyDescent="0.25">
      <c r="A311484" s="1"/>
    </row>
    <row r="311485" spans="1:1" x14ac:dyDescent="0.25">
      <c r="A311485" s="1"/>
    </row>
    <row r="311486" spans="1:1" x14ac:dyDescent="0.25">
      <c r="A311486" s="1"/>
    </row>
    <row r="311487" spans="1:1" x14ac:dyDescent="0.25">
      <c r="A311487" s="1"/>
    </row>
    <row r="311488" spans="1:1" x14ac:dyDescent="0.25">
      <c r="A311488" s="1"/>
    </row>
    <row r="311489" spans="1:1" x14ac:dyDescent="0.25">
      <c r="A311489" s="1"/>
    </row>
    <row r="311490" spans="1:1" x14ac:dyDescent="0.25">
      <c r="A311490" s="1"/>
    </row>
    <row r="311491" spans="1:1" x14ac:dyDescent="0.25">
      <c r="A311491" s="1"/>
    </row>
    <row r="311492" spans="1:1" x14ac:dyDescent="0.25">
      <c r="A311492" s="1"/>
    </row>
    <row r="311493" spans="1:1" x14ac:dyDescent="0.25">
      <c r="A311493" s="1"/>
    </row>
    <row r="311494" spans="1:1" x14ac:dyDescent="0.25">
      <c r="A311494" s="1"/>
    </row>
    <row r="311495" spans="1:1" x14ac:dyDescent="0.25">
      <c r="A311495" s="1"/>
    </row>
    <row r="311496" spans="1:1" x14ac:dyDescent="0.25">
      <c r="A311496" s="1"/>
    </row>
    <row r="311497" spans="1:1" x14ac:dyDescent="0.25">
      <c r="A311497" s="1"/>
    </row>
    <row r="311498" spans="1:1" x14ac:dyDescent="0.25">
      <c r="A311498" s="1"/>
    </row>
    <row r="311499" spans="1:1" x14ac:dyDescent="0.25">
      <c r="A311499" s="1"/>
    </row>
    <row r="311500" spans="1:1" x14ac:dyDescent="0.25">
      <c r="A311500" s="1"/>
    </row>
    <row r="311501" spans="1:1" x14ac:dyDescent="0.25">
      <c r="A311501" s="1"/>
    </row>
    <row r="311502" spans="1:1" x14ac:dyDescent="0.25">
      <c r="A311502" s="1"/>
    </row>
    <row r="311503" spans="1:1" x14ac:dyDescent="0.25">
      <c r="A311503" s="1"/>
    </row>
    <row r="311504" spans="1:1" x14ac:dyDescent="0.25">
      <c r="A311504" s="1"/>
    </row>
    <row r="311505" spans="1:1" x14ac:dyDescent="0.25">
      <c r="A311505" s="1"/>
    </row>
    <row r="311506" spans="1:1" x14ac:dyDescent="0.25">
      <c r="A311506" s="1"/>
    </row>
    <row r="311507" spans="1:1" x14ac:dyDescent="0.25">
      <c r="A311507" s="1"/>
    </row>
    <row r="311508" spans="1:1" x14ac:dyDescent="0.25">
      <c r="A311508" s="1"/>
    </row>
    <row r="311509" spans="1:1" x14ac:dyDescent="0.25">
      <c r="A311509" s="1"/>
    </row>
    <row r="311510" spans="1:1" x14ac:dyDescent="0.25">
      <c r="A311510" s="1"/>
    </row>
    <row r="311511" spans="1:1" x14ac:dyDescent="0.25">
      <c r="A311511" s="1"/>
    </row>
    <row r="311512" spans="1:1" x14ac:dyDescent="0.25">
      <c r="A311512" s="1"/>
    </row>
    <row r="311513" spans="1:1" x14ac:dyDescent="0.25">
      <c r="A311513" s="1"/>
    </row>
    <row r="311514" spans="1:1" x14ac:dyDescent="0.25">
      <c r="A311514" s="1"/>
    </row>
    <row r="311515" spans="1:1" x14ac:dyDescent="0.25">
      <c r="A311515" s="1"/>
    </row>
    <row r="311516" spans="1:1" x14ac:dyDescent="0.25">
      <c r="A311516" s="1"/>
    </row>
    <row r="311517" spans="1:1" x14ac:dyDescent="0.25">
      <c r="A311517" s="1"/>
    </row>
    <row r="311518" spans="1:1" x14ac:dyDescent="0.25">
      <c r="A311518" s="1"/>
    </row>
    <row r="311519" spans="1:1" x14ac:dyDescent="0.25">
      <c r="A311519" s="1"/>
    </row>
    <row r="311520" spans="1:1" x14ac:dyDescent="0.25">
      <c r="A311520" s="1"/>
    </row>
    <row r="311521" spans="1:1" x14ac:dyDescent="0.25">
      <c r="A311521" s="1"/>
    </row>
    <row r="311522" spans="1:1" x14ac:dyDescent="0.25">
      <c r="A311522" s="1"/>
    </row>
    <row r="311523" spans="1:1" x14ac:dyDescent="0.25">
      <c r="A311523" s="1"/>
    </row>
    <row r="311524" spans="1:1" x14ac:dyDescent="0.25">
      <c r="A311524" s="1"/>
    </row>
    <row r="311525" spans="1:1" x14ac:dyDescent="0.25">
      <c r="A311525" s="1"/>
    </row>
    <row r="311526" spans="1:1" x14ac:dyDescent="0.25">
      <c r="A311526" s="1"/>
    </row>
    <row r="311527" spans="1:1" x14ac:dyDescent="0.25">
      <c r="A311527" s="1"/>
    </row>
    <row r="311528" spans="1:1" x14ac:dyDescent="0.25">
      <c r="A311528" s="1"/>
    </row>
    <row r="311529" spans="1:1" x14ac:dyDescent="0.25">
      <c r="A311529" s="1"/>
    </row>
    <row r="311530" spans="1:1" x14ac:dyDescent="0.25">
      <c r="A311530" s="1"/>
    </row>
    <row r="311531" spans="1:1" x14ac:dyDescent="0.25">
      <c r="A311531" s="1"/>
    </row>
    <row r="311532" spans="1:1" x14ac:dyDescent="0.25">
      <c r="A311532" s="1"/>
    </row>
    <row r="311533" spans="1:1" x14ac:dyDescent="0.25">
      <c r="A311533" s="1"/>
    </row>
    <row r="311534" spans="1:1" x14ac:dyDescent="0.25">
      <c r="A311534" s="1"/>
    </row>
    <row r="311535" spans="1:1" x14ac:dyDescent="0.25">
      <c r="A311535" s="1"/>
    </row>
    <row r="311536" spans="1:1" x14ac:dyDescent="0.25">
      <c r="A311536" s="1"/>
    </row>
    <row r="311537" spans="1:1" x14ac:dyDescent="0.25">
      <c r="A311537" s="1"/>
    </row>
    <row r="311538" spans="1:1" x14ac:dyDescent="0.25">
      <c r="A311538" s="1"/>
    </row>
    <row r="311539" spans="1:1" x14ac:dyDescent="0.25">
      <c r="A311539" s="1"/>
    </row>
    <row r="311540" spans="1:1" x14ac:dyDescent="0.25">
      <c r="A311540" s="1"/>
    </row>
    <row r="311541" spans="1:1" x14ac:dyDescent="0.25">
      <c r="A311541" s="1"/>
    </row>
    <row r="311542" spans="1:1" x14ac:dyDescent="0.25">
      <c r="A311542" s="1"/>
    </row>
    <row r="311543" spans="1:1" x14ac:dyDescent="0.25">
      <c r="A311543" s="1"/>
    </row>
    <row r="311544" spans="1:1" x14ac:dyDescent="0.25">
      <c r="A311544" s="1"/>
    </row>
    <row r="311545" spans="1:1" x14ac:dyDescent="0.25">
      <c r="A311545" s="1"/>
    </row>
    <row r="311546" spans="1:1" x14ac:dyDescent="0.25">
      <c r="A311546" s="1"/>
    </row>
    <row r="311547" spans="1:1" x14ac:dyDescent="0.25">
      <c r="A311547" s="1"/>
    </row>
    <row r="311548" spans="1:1" x14ac:dyDescent="0.25">
      <c r="A311548" s="1"/>
    </row>
    <row r="311549" spans="1:1" x14ac:dyDescent="0.25">
      <c r="A311549" s="1"/>
    </row>
    <row r="311550" spans="1:1" x14ac:dyDescent="0.25">
      <c r="A311550" s="1"/>
    </row>
    <row r="311551" spans="1:1" x14ac:dyDescent="0.25">
      <c r="A311551" s="1"/>
    </row>
    <row r="311552" spans="1:1" x14ac:dyDescent="0.25">
      <c r="A311552" s="1"/>
    </row>
    <row r="311553" spans="1:1" x14ac:dyDescent="0.25">
      <c r="A311553" s="1"/>
    </row>
    <row r="311554" spans="1:1" x14ac:dyDescent="0.25">
      <c r="A311554" s="1"/>
    </row>
    <row r="311555" spans="1:1" x14ac:dyDescent="0.25">
      <c r="A311555" s="1"/>
    </row>
    <row r="311556" spans="1:1" x14ac:dyDescent="0.25">
      <c r="A311556" s="1"/>
    </row>
    <row r="311557" spans="1:1" x14ac:dyDescent="0.25">
      <c r="A311557" s="1"/>
    </row>
    <row r="311558" spans="1:1" x14ac:dyDescent="0.25">
      <c r="A311558" s="1"/>
    </row>
    <row r="311559" spans="1:1" x14ac:dyDescent="0.25">
      <c r="A311559" s="1"/>
    </row>
    <row r="311560" spans="1:1" x14ac:dyDescent="0.25">
      <c r="A311560" s="1"/>
    </row>
    <row r="311561" spans="1:1" x14ac:dyDescent="0.25">
      <c r="A311561" s="1"/>
    </row>
    <row r="311562" spans="1:1" x14ac:dyDescent="0.25">
      <c r="A311562" s="1"/>
    </row>
    <row r="311563" spans="1:1" x14ac:dyDescent="0.25">
      <c r="A311563" s="1"/>
    </row>
    <row r="311564" spans="1:1" x14ac:dyDescent="0.25">
      <c r="A311564" s="1"/>
    </row>
    <row r="311565" spans="1:1" x14ac:dyDescent="0.25">
      <c r="A311565" s="1"/>
    </row>
    <row r="311566" spans="1:1" x14ac:dyDescent="0.25">
      <c r="A311566" s="1"/>
    </row>
    <row r="311567" spans="1:1" x14ac:dyDescent="0.25">
      <c r="A311567" s="1"/>
    </row>
    <row r="311568" spans="1:1" x14ac:dyDescent="0.25">
      <c r="A311568" s="1"/>
    </row>
    <row r="311569" spans="1:1" x14ac:dyDescent="0.25">
      <c r="A311569" s="1"/>
    </row>
    <row r="311570" spans="1:1" x14ac:dyDescent="0.25">
      <c r="A311570" s="1"/>
    </row>
    <row r="311571" spans="1:1" x14ac:dyDescent="0.25">
      <c r="A311571" s="1"/>
    </row>
    <row r="311572" spans="1:1" x14ac:dyDescent="0.25">
      <c r="A311572" s="1"/>
    </row>
    <row r="311573" spans="1:1" x14ac:dyDescent="0.25">
      <c r="A311573" s="1"/>
    </row>
    <row r="311574" spans="1:1" x14ac:dyDescent="0.25">
      <c r="A311574" s="1"/>
    </row>
    <row r="311575" spans="1:1" x14ac:dyDescent="0.25">
      <c r="A311575" s="1"/>
    </row>
    <row r="311576" spans="1:1" x14ac:dyDescent="0.25">
      <c r="A311576" s="1"/>
    </row>
    <row r="311577" spans="1:1" x14ac:dyDescent="0.25">
      <c r="A311577" s="1"/>
    </row>
    <row r="311578" spans="1:1" x14ac:dyDescent="0.25">
      <c r="A311578" s="1"/>
    </row>
    <row r="311579" spans="1:1" x14ac:dyDescent="0.25">
      <c r="A311579" s="1"/>
    </row>
    <row r="311580" spans="1:1" x14ac:dyDescent="0.25">
      <c r="A311580" s="1"/>
    </row>
    <row r="311581" spans="1:1" x14ac:dyDescent="0.25">
      <c r="A311581" s="1"/>
    </row>
    <row r="311582" spans="1:1" x14ac:dyDescent="0.25">
      <c r="A311582" s="1"/>
    </row>
    <row r="311583" spans="1:1" x14ac:dyDescent="0.25">
      <c r="A311583" s="1"/>
    </row>
    <row r="311584" spans="1:1" x14ac:dyDescent="0.25">
      <c r="A311584" s="1"/>
    </row>
    <row r="311585" spans="1:1" x14ac:dyDescent="0.25">
      <c r="A311585" s="1"/>
    </row>
    <row r="311586" spans="1:1" x14ac:dyDescent="0.25">
      <c r="A311586" s="1"/>
    </row>
    <row r="311587" spans="1:1" x14ac:dyDescent="0.25">
      <c r="A311587" s="1"/>
    </row>
    <row r="311588" spans="1:1" x14ac:dyDescent="0.25">
      <c r="A311588" s="1"/>
    </row>
    <row r="311589" spans="1:1" x14ac:dyDescent="0.25">
      <c r="A311589" s="1"/>
    </row>
    <row r="311590" spans="1:1" x14ac:dyDescent="0.25">
      <c r="A311590" s="1"/>
    </row>
    <row r="311591" spans="1:1" x14ac:dyDescent="0.25">
      <c r="A311591" s="1"/>
    </row>
    <row r="311592" spans="1:1" x14ac:dyDescent="0.25">
      <c r="A311592" s="1"/>
    </row>
    <row r="311593" spans="1:1" x14ac:dyDescent="0.25">
      <c r="A311593" s="1"/>
    </row>
    <row r="311594" spans="1:1" x14ac:dyDescent="0.25">
      <c r="A311594" s="1"/>
    </row>
    <row r="311595" spans="1:1" x14ac:dyDescent="0.25">
      <c r="A311595" s="1"/>
    </row>
    <row r="311596" spans="1:1" x14ac:dyDescent="0.25">
      <c r="A311596" s="1"/>
    </row>
    <row r="311597" spans="1:1" x14ac:dyDescent="0.25">
      <c r="A311597" s="1"/>
    </row>
    <row r="311598" spans="1:1" x14ac:dyDescent="0.25">
      <c r="A311598" s="1"/>
    </row>
    <row r="311599" spans="1:1" x14ac:dyDescent="0.25">
      <c r="A311599" s="1"/>
    </row>
    <row r="311600" spans="1:1" x14ac:dyDescent="0.25">
      <c r="A311600" s="1"/>
    </row>
    <row r="311601" spans="1:1" x14ac:dyDescent="0.25">
      <c r="A311601" s="1"/>
    </row>
    <row r="311602" spans="1:1" x14ac:dyDescent="0.25">
      <c r="A311602" s="1"/>
    </row>
    <row r="311603" spans="1:1" x14ac:dyDescent="0.25">
      <c r="A311603" s="1"/>
    </row>
    <row r="311604" spans="1:1" x14ac:dyDescent="0.25">
      <c r="A311604" s="1"/>
    </row>
    <row r="311605" spans="1:1" x14ac:dyDescent="0.25">
      <c r="A311605" s="1"/>
    </row>
    <row r="311606" spans="1:1" x14ac:dyDescent="0.25">
      <c r="A311606" s="1"/>
    </row>
    <row r="311607" spans="1:1" x14ac:dyDescent="0.25">
      <c r="A311607" s="1"/>
    </row>
    <row r="311608" spans="1:1" x14ac:dyDescent="0.25">
      <c r="A311608" s="1"/>
    </row>
    <row r="311609" spans="1:1" x14ac:dyDescent="0.25">
      <c r="A311609" s="1"/>
    </row>
    <row r="311610" spans="1:1" x14ac:dyDescent="0.25">
      <c r="A311610" s="1"/>
    </row>
    <row r="311611" spans="1:1" x14ac:dyDescent="0.25">
      <c r="A311611" s="1"/>
    </row>
    <row r="311612" spans="1:1" x14ac:dyDescent="0.25">
      <c r="A311612" s="1"/>
    </row>
    <row r="311613" spans="1:1" x14ac:dyDescent="0.25">
      <c r="A311613" s="1"/>
    </row>
    <row r="311614" spans="1:1" x14ac:dyDescent="0.25">
      <c r="A311614" s="1"/>
    </row>
    <row r="311615" spans="1:1" x14ac:dyDescent="0.25">
      <c r="A311615" s="1"/>
    </row>
    <row r="311616" spans="1:1" x14ac:dyDescent="0.25">
      <c r="A311616" s="1"/>
    </row>
    <row r="311617" spans="1:1" x14ac:dyDescent="0.25">
      <c r="A311617" s="1"/>
    </row>
    <row r="311618" spans="1:1" x14ac:dyDescent="0.25">
      <c r="A311618" s="1"/>
    </row>
    <row r="311619" spans="1:1" x14ac:dyDescent="0.25">
      <c r="A311619" s="1"/>
    </row>
    <row r="311620" spans="1:1" x14ac:dyDescent="0.25">
      <c r="A311620" s="1"/>
    </row>
    <row r="311621" spans="1:1" x14ac:dyDescent="0.25">
      <c r="A311621" s="1"/>
    </row>
    <row r="311622" spans="1:1" x14ac:dyDescent="0.25">
      <c r="A311622" s="1"/>
    </row>
    <row r="311623" spans="1:1" x14ac:dyDescent="0.25">
      <c r="A311623" s="1"/>
    </row>
    <row r="311624" spans="1:1" x14ac:dyDescent="0.25">
      <c r="A311624" s="1"/>
    </row>
    <row r="311625" spans="1:1" x14ac:dyDescent="0.25">
      <c r="A311625" s="1"/>
    </row>
    <row r="311626" spans="1:1" x14ac:dyDescent="0.25">
      <c r="A311626" s="1"/>
    </row>
    <row r="311627" spans="1:1" x14ac:dyDescent="0.25">
      <c r="A311627" s="1"/>
    </row>
    <row r="311628" spans="1:1" x14ac:dyDescent="0.25">
      <c r="A311628" s="1"/>
    </row>
    <row r="311629" spans="1:1" x14ac:dyDescent="0.25">
      <c r="A311629" s="1"/>
    </row>
    <row r="311630" spans="1:1" x14ac:dyDescent="0.25">
      <c r="A311630" s="1"/>
    </row>
    <row r="311631" spans="1:1" x14ac:dyDescent="0.25">
      <c r="A311631" s="1"/>
    </row>
    <row r="311632" spans="1:1" x14ac:dyDescent="0.25">
      <c r="A311632" s="1"/>
    </row>
    <row r="311633" spans="1:1" x14ac:dyDescent="0.25">
      <c r="A311633" s="1"/>
    </row>
    <row r="311634" spans="1:1" x14ac:dyDescent="0.25">
      <c r="A311634" s="1"/>
    </row>
    <row r="311635" spans="1:1" x14ac:dyDescent="0.25">
      <c r="A311635" s="1"/>
    </row>
    <row r="311636" spans="1:1" x14ac:dyDescent="0.25">
      <c r="A311636" s="1"/>
    </row>
    <row r="311637" spans="1:1" x14ac:dyDescent="0.25">
      <c r="A311637" s="1"/>
    </row>
    <row r="311638" spans="1:1" x14ac:dyDescent="0.25">
      <c r="A311638" s="1"/>
    </row>
    <row r="311639" spans="1:1" x14ac:dyDescent="0.25">
      <c r="A311639" s="1"/>
    </row>
    <row r="311640" spans="1:1" x14ac:dyDescent="0.25">
      <c r="A311640" s="1"/>
    </row>
    <row r="311641" spans="1:1" x14ac:dyDescent="0.25">
      <c r="A311641" s="1"/>
    </row>
    <row r="311642" spans="1:1" x14ac:dyDescent="0.25">
      <c r="A311642" s="1"/>
    </row>
    <row r="311643" spans="1:1" x14ac:dyDescent="0.25">
      <c r="A311643" s="1"/>
    </row>
    <row r="311644" spans="1:1" x14ac:dyDescent="0.25">
      <c r="A311644" s="1"/>
    </row>
    <row r="311645" spans="1:1" x14ac:dyDescent="0.25">
      <c r="A311645" s="1"/>
    </row>
    <row r="311646" spans="1:1" x14ac:dyDescent="0.25">
      <c r="A311646" s="1"/>
    </row>
    <row r="311647" spans="1:1" x14ac:dyDescent="0.25">
      <c r="A311647" s="1"/>
    </row>
    <row r="311648" spans="1:1" x14ac:dyDescent="0.25">
      <c r="A311648" s="1"/>
    </row>
    <row r="311649" spans="1:1" x14ac:dyDescent="0.25">
      <c r="A311649" s="1"/>
    </row>
    <row r="311650" spans="1:1" x14ac:dyDescent="0.25">
      <c r="A311650" s="1"/>
    </row>
    <row r="311651" spans="1:1" x14ac:dyDescent="0.25">
      <c r="A311651" s="1"/>
    </row>
    <row r="311652" spans="1:1" x14ac:dyDescent="0.25">
      <c r="A311652" s="1"/>
    </row>
    <row r="311653" spans="1:1" x14ac:dyDescent="0.25">
      <c r="A311653" s="1"/>
    </row>
    <row r="311654" spans="1:1" x14ac:dyDescent="0.25">
      <c r="A311654" s="1"/>
    </row>
    <row r="311655" spans="1:1" x14ac:dyDescent="0.25">
      <c r="A311655" s="1"/>
    </row>
    <row r="311656" spans="1:1" x14ac:dyDescent="0.25">
      <c r="A311656" s="1"/>
    </row>
    <row r="311657" spans="1:1" x14ac:dyDescent="0.25">
      <c r="A311657" s="1"/>
    </row>
    <row r="311658" spans="1:1" x14ac:dyDescent="0.25">
      <c r="A311658" s="1"/>
    </row>
    <row r="311659" spans="1:1" x14ac:dyDescent="0.25">
      <c r="A311659" s="1"/>
    </row>
    <row r="311660" spans="1:1" x14ac:dyDescent="0.25">
      <c r="A311660" s="1"/>
    </row>
    <row r="311661" spans="1:1" x14ac:dyDescent="0.25">
      <c r="A311661" s="1"/>
    </row>
    <row r="311662" spans="1:1" x14ac:dyDescent="0.25">
      <c r="A311662" s="1"/>
    </row>
    <row r="311663" spans="1:1" x14ac:dyDescent="0.25">
      <c r="A311663" s="1"/>
    </row>
    <row r="311664" spans="1:1" x14ac:dyDescent="0.25">
      <c r="A311664" s="1"/>
    </row>
    <row r="311665" spans="1:1" x14ac:dyDescent="0.25">
      <c r="A311665" s="1"/>
    </row>
    <row r="311666" spans="1:1" x14ac:dyDescent="0.25">
      <c r="A311666" s="1"/>
    </row>
    <row r="311667" spans="1:1" x14ac:dyDescent="0.25">
      <c r="A311667" s="1"/>
    </row>
    <row r="311668" spans="1:1" x14ac:dyDescent="0.25">
      <c r="A311668" s="1"/>
    </row>
    <row r="311669" spans="1:1" x14ac:dyDescent="0.25">
      <c r="A311669" s="1"/>
    </row>
    <row r="311670" spans="1:1" x14ac:dyDescent="0.25">
      <c r="A311670" s="1"/>
    </row>
    <row r="311671" spans="1:1" x14ac:dyDescent="0.25">
      <c r="A311671" s="1"/>
    </row>
    <row r="311672" spans="1:1" x14ac:dyDescent="0.25">
      <c r="A311672" s="1"/>
    </row>
    <row r="311673" spans="1:1" x14ac:dyDescent="0.25">
      <c r="A311673" s="1"/>
    </row>
    <row r="311674" spans="1:1" x14ac:dyDescent="0.25">
      <c r="A311674" s="1"/>
    </row>
    <row r="311675" spans="1:1" x14ac:dyDescent="0.25">
      <c r="A311675" s="1"/>
    </row>
    <row r="311676" spans="1:1" x14ac:dyDescent="0.25">
      <c r="A311676" s="1"/>
    </row>
    <row r="311677" spans="1:1" x14ac:dyDescent="0.25">
      <c r="A311677" s="1"/>
    </row>
    <row r="311678" spans="1:1" x14ac:dyDescent="0.25">
      <c r="A311678" s="1"/>
    </row>
    <row r="311679" spans="1:1" x14ac:dyDescent="0.25">
      <c r="A311679" s="1"/>
    </row>
    <row r="311680" spans="1:1" x14ac:dyDescent="0.25">
      <c r="A311680" s="1"/>
    </row>
    <row r="311681" spans="1:1" x14ac:dyDescent="0.25">
      <c r="A311681" s="1"/>
    </row>
    <row r="311682" spans="1:1" x14ac:dyDescent="0.25">
      <c r="A311682" s="1"/>
    </row>
    <row r="311683" spans="1:1" x14ac:dyDescent="0.25">
      <c r="A311683" s="1"/>
    </row>
    <row r="311684" spans="1:1" x14ac:dyDescent="0.25">
      <c r="A311684" s="1"/>
    </row>
    <row r="311685" spans="1:1" x14ac:dyDescent="0.25">
      <c r="A311685" s="1"/>
    </row>
    <row r="311686" spans="1:1" x14ac:dyDescent="0.25">
      <c r="A311686" s="1"/>
    </row>
    <row r="311687" spans="1:1" x14ac:dyDescent="0.25">
      <c r="A311687" s="1"/>
    </row>
    <row r="311688" spans="1:1" x14ac:dyDescent="0.25">
      <c r="A311688" s="1"/>
    </row>
    <row r="311689" spans="1:1" x14ac:dyDescent="0.25">
      <c r="A311689" s="1"/>
    </row>
    <row r="311690" spans="1:1" x14ac:dyDescent="0.25">
      <c r="A311690" s="1"/>
    </row>
    <row r="311691" spans="1:1" x14ac:dyDescent="0.25">
      <c r="A311691" s="1"/>
    </row>
    <row r="311692" spans="1:1" x14ac:dyDescent="0.25">
      <c r="A311692" s="1"/>
    </row>
    <row r="311693" spans="1:1" x14ac:dyDescent="0.25">
      <c r="A311693" s="1"/>
    </row>
    <row r="311694" spans="1:1" x14ac:dyDescent="0.25">
      <c r="A311694" s="1"/>
    </row>
    <row r="311695" spans="1:1" x14ac:dyDescent="0.25">
      <c r="A311695" s="1"/>
    </row>
    <row r="311696" spans="1:1" x14ac:dyDescent="0.25">
      <c r="A311696" s="1"/>
    </row>
    <row r="311697" spans="1:1" x14ac:dyDescent="0.25">
      <c r="A311697" s="1"/>
    </row>
    <row r="311698" spans="1:1" x14ac:dyDescent="0.25">
      <c r="A311698" s="1"/>
    </row>
    <row r="311699" spans="1:1" x14ac:dyDescent="0.25">
      <c r="A311699" s="1"/>
    </row>
    <row r="311700" spans="1:1" x14ac:dyDescent="0.25">
      <c r="A311700" s="1"/>
    </row>
    <row r="311701" spans="1:1" x14ac:dyDescent="0.25">
      <c r="A311701" s="1"/>
    </row>
    <row r="311702" spans="1:1" x14ac:dyDescent="0.25">
      <c r="A311702" s="1"/>
    </row>
    <row r="311703" spans="1:1" x14ac:dyDescent="0.25">
      <c r="A311703" s="1"/>
    </row>
    <row r="311704" spans="1:1" x14ac:dyDescent="0.25">
      <c r="A311704" s="1"/>
    </row>
    <row r="311705" spans="1:1" x14ac:dyDescent="0.25">
      <c r="A311705" s="1"/>
    </row>
    <row r="311706" spans="1:1" x14ac:dyDescent="0.25">
      <c r="A311706" s="1"/>
    </row>
    <row r="311707" spans="1:1" x14ac:dyDescent="0.25">
      <c r="A311707" s="1"/>
    </row>
    <row r="311708" spans="1:1" x14ac:dyDescent="0.25">
      <c r="A311708" s="1"/>
    </row>
    <row r="311709" spans="1:1" x14ac:dyDescent="0.25">
      <c r="A311709" s="1"/>
    </row>
    <row r="311710" spans="1:1" x14ac:dyDescent="0.25">
      <c r="A311710" s="1"/>
    </row>
    <row r="311711" spans="1:1" x14ac:dyDescent="0.25">
      <c r="A311711" s="1"/>
    </row>
    <row r="311712" spans="1:1" x14ac:dyDescent="0.25">
      <c r="A311712" s="1"/>
    </row>
    <row r="311713" spans="1:1" x14ac:dyDescent="0.25">
      <c r="A311713" s="1"/>
    </row>
    <row r="311714" spans="1:1" x14ac:dyDescent="0.25">
      <c r="A311714" s="1"/>
    </row>
    <row r="311715" spans="1:1" x14ac:dyDescent="0.25">
      <c r="A311715" s="1"/>
    </row>
    <row r="311716" spans="1:1" x14ac:dyDescent="0.25">
      <c r="A311716" s="1"/>
    </row>
    <row r="311717" spans="1:1" x14ac:dyDescent="0.25">
      <c r="A311717" s="1"/>
    </row>
    <row r="311718" spans="1:1" x14ac:dyDescent="0.25">
      <c r="A311718" s="1"/>
    </row>
    <row r="311719" spans="1:1" x14ac:dyDescent="0.25">
      <c r="A311719" s="1"/>
    </row>
    <row r="311720" spans="1:1" x14ac:dyDescent="0.25">
      <c r="A311720" s="1"/>
    </row>
    <row r="311721" spans="1:1" x14ac:dyDescent="0.25">
      <c r="A311721" s="1"/>
    </row>
    <row r="311722" spans="1:1" x14ac:dyDescent="0.25">
      <c r="A311722" s="1"/>
    </row>
    <row r="311723" spans="1:1" x14ac:dyDescent="0.25">
      <c r="A311723" s="1"/>
    </row>
    <row r="311724" spans="1:1" x14ac:dyDescent="0.25">
      <c r="A311724" s="1"/>
    </row>
    <row r="311725" spans="1:1" x14ac:dyDescent="0.25">
      <c r="A311725" s="1"/>
    </row>
    <row r="311726" spans="1:1" x14ac:dyDescent="0.25">
      <c r="A311726" s="1"/>
    </row>
    <row r="311727" spans="1:1" x14ac:dyDescent="0.25">
      <c r="A311727" s="1"/>
    </row>
    <row r="311728" spans="1:1" x14ac:dyDescent="0.25">
      <c r="A311728" s="1"/>
    </row>
    <row r="311729" spans="1:1" x14ac:dyDescent="0.25">
      <c r="A311729" s="1"/>
    </row>
    <row r="311730" spans="1:1" x14ac:dyDescent="0.25">
      <c r="A311730" s="1"/>
    </row>
    <row r="311731" spans="1:1" x14ac:dyDescent="0.25">
      <c r="A311731" s="1"/>
    </row>
    <row r="311732" spans="1:1" x14ac:dyDescent="0.25">
      <c r="A311732" s="1"/>
    </row>
    <row r="311733" spans="1:1" x14ac:dyDescent="0.25">
      <c r="A311733" s="1"/>
    </row>
    <row r="311734" spans="1:1" x14ac:dyDescent="0.25">
      <c r="A311734" s="1"/>
    </row>
    <row r="311735" spans="1:1" x14ac:dyDescent="0.25">
      <c r="A311735" s="1"/>
    </row>
    <row r="311736" spans="1:1" x14ac:dyDescent="0.25">
      <c r="A311736" s="1"/>
    </row>
    <row r="311737" spans="1:1" x14ac:dyDescent="0.25">
      <c r="A311737" s="1"/>
    </row>
    <row r="311738" spans="1:1" x14ac:dyDescent="0.25">
      <c r="A311738" s="1"/>
    </row>
    <row r="311739" spans="1:1" x14ac:dyDescent="0.25">
      <c r="A311739" s="1"/>
    </row>
    <row r="311740" spans="1:1" x14ac:dyDescent="0.25">
      <c r="A311740" s="1"/>
    </row>
    <row r="311741" spans="1:1" x14ac:dyDescent="0.25">
      <c r="A311741" s="1"/>
    </row>
    <row r="311742" spans="1:1" x14ac:dyDescent="0.25">
      <c r="A311742" s="1"/>
    </row>
    <row r="311743" spans="1:1" x14ac:dyDescent="0.25">
      <c r="A311743" s="1"/>
    </row>
    <row r="311744" spans="1:1" x14ac:dyDescent="0.25">
      <c r="A311744" s="1"/>
    </row>
    <row r="311745" spans="1:1" x14ac:dyDescent="0.25">
      <c r="A311745" s="1"/>
    </row>
    <row r="311746" spans="1:1" x14ac:dyDescent="0.25">
      <c r="A311746" s="1"/>
    </row>
    <row r="311747" spans="1:1" x14ac:dyDescent="0.25">
      <c r="A311747" s="1"/>
    </row>
    <row r="311748" spans="1:1" x14ac:dyDescent="0.25">
      <c r="A311748" s="1"/>
    </row>
    <row r="311749" spans="1:1" x14ac:dyDescent="0.25">
      <c r="A311749" s="1"/>
    </row>
    <row r="311750" spans="1:1" x14ac:dyDescent="0.25">
      <c r="A311750" s="1"/>
    </row>
    <row r="311751" spans="1:1" x14ac:dyDescent="0.25">
      <c r="A311751" s="1"/>
    </row>
    <row r="311752" spans="1:1" x14ac:dyDescent="0.25">
      <c r="A311752" s="1"/>
    </row>
    <row r="311753" spans="1:1" x14ac:dyDescent="0.25">
      <c r="A311753" s="1"/>
    </row>
    <row r="311754" spans="1:1" x14ac:dyDescent="0.25">
      <c r="A311754" s="1"/>
    </row>
    <row r="311755" spans="1:1" x14ac:dyDescent="0.25">
      <c r="A311755" s="1"/>
    </row>
    <row r="311756" spans="1:1" x14ac:dyDescent="0.25">
      <c r="A311756" s="1"/>
    </row>
    <row r="311757" spans="1:1" x14ac:dyDescent="0.25">
      <c r="A311757" s="1"/>
    </row>
    <row r="311758" spans="1:1" x14ac:dyDescent="0.25">
      <c r="A311758" s="1"/>
    </row>
    <row r="311759" spans="1:1" x14ac:dyDescent="0.25">
      <c r="A311759" s="1"/>
    </row>
    <row r="311760" spans="1:1" x14ac:dyDescent="0.25">
      <c r="A311760" s="1"/>
    </row>
    <row r="311761" spans="1:1" x14ac:dyDescent="0.25">
      <c r="A311761" s="1"/>
    </row>
    <row r="311762" spans="1:1" x14ac:dyDescent="0.25">
      <c r="A311762" s="1"/>
    </row>
    <row r="311763" spans="1:1" x14ac:dyDescent="0.25">
      <c r="A311763" s="1"/>
    </row>
    <row r="311764" spans="1:1" x14ac:dyDescent="0.25">
      <c r="A311764" s="1"/>
    </row>
    <row r="311765" spans="1:1" x14ac:dyDescent="0.25">
      <c r="A311765" s="1"/>
    </row>
    <row r="311766" spans="1:1" x14ac:dyDescent="0.25">
      <c r="A311766" s="1"/>
    </row>
    <row r="311767" spans="1:1" x14ac:dyDescent="0.25">
      <c r="A311767" s="1"/>
    </row>
    <row r="311768" spans="1:1" x14ac:dyDescent="0.25">
      <c r="A311768" s="1"/>
    </row>
    <row r="311769" spans="1:1" x14ac:dyDescent="0.25">
      <c r="A311769" s="1"/>
    </row>
    <row r="311770" spans="1:1" x14ac:dyDescent="0.25">
      <c r="A311770" s="1"/>
    </row>
    <row r="311771" spans="1:1" x14ac:dyDescent="0.25">
      <c r="A311771" s="1"/>
    </row>
    <row r="311772" spans="1:1" x14ac:dyDescent="0.25">
      <c r="A311772" s="1"/>
    </row>
    <row r="311773" spans="1:1" x14ac:dyDescent="0.25">
      <c r="A311773" s="1"/>
    </row>
    <row r="311774" spans="1:1" x14ac:dyDescent="0.25">
      <c r="A311774" s="1"/>
    </row>
    <row r="311775" spans="1:1" x14ac:dyDescent="0.25">
      <c r="A311775" s="1"/>
    </row>
    <row r="311776" spans="1:1" x14ac:dyDescent="0.25">
      <c r="A311776" s="1"/>
    </row>
    <row r="311777" spans="1:1" x14ac:dyDescent="0.25">
      <c r="A311777" s="1"/>
    </row>
    <row r="311778" spans="1:1" x14ac:dyDescent="0.25">
      <c r="A311778" s="1"/>
    </row>
    <row r="311779" spans="1:1" x14ac:dyDescent="0.25">
      <c r="A311779" s="1"/>
    </row>
    <row r="311780" spans="1:1" x14ac:dyDescent="0.25">
      <c r="A311780" s="1"/>
    </row>
    <row r="311781" spans="1:1" x14ac:dyDescent="0.25">
      <c r="A311781" s="1"/>
    </row>
    <row r="311782" spans="1:1" x14ac:dyDescent="0.25">
      <c r="A311782" s="1"/>
    </row>
    <row r="311783" spans="1:1" x14ac:dyDescent="0.25">
      <c r="A311783" s="1"/>
    </row>
    <row r="311784" spans="1:1" x14ac:dyDescent="0.25">
      <c r="A311784" s="1"/>
    </row>
    <row r="311785" spans="1:1" x14ac:dyDescent="0.25">
      <c r="A311785" s="1"/>
    </row>
    <row r="311786" spans="1:1" x14ac:dyDescent="0.25">
      <c r="A311786" s="1"/>
    </row>
    <row r="311787" spans="1:1" x14ac:dyDescent="0.25">
      <c r="A311787" s="1"/>
    </row>
    <row r="311788" spans="1:1" x14ac:dyDescent="0.25">
      <c r="A311788" s="1"/>
    </row>
    <row r="311789" spans="1:1" x14ac:dyDescent="0.25">
      <c r="A311789" s="1"/>
    </row>
    <row r="311790" spans="1:1" x14ac:dyDescent="0.25">
      <c r="A311790" s="1"/>
    </row>
    <row r="311791" spans="1:1" x14ac:dyDescent="0.25">
      <c r="A311791" s="1"/>
    </row>
    <row r="311792" spans="1:1" x14ac:dyDescent="0.25">
      <c r="A311792" s="1"/>
    </row>
    <row r="311793" spans="1:1" x14ac:dyDescent="0.25">
      <c r="A311793" s="1"/>
    </row>
    <row r="311794" spans="1:1" x14ac:dyDescent="0.25">
      <c r="A311794" s="1"/>
    </row>
    <row r="311795" spans="1:1" x14ac:dyDescent="0.25">
      <c r="A311795" s="1"/>
    </row>
    <row r="311796" spans="1:1" x14ac:dyDescent="0.25">
      <c r="A311796" s="1"/>
    </row>
    <row r="311797" spans="1:1" x14ac:dyDescent="0.25">
      <c r="A311797" s="1"/>
    </row>
    <row r="311798" spans="1:1" x14ac:dyDescent="0.25">
      <c r="A311798" s="1"/>
    </row>
    <row r="311799" spans="1:1" x14ac:dyDescent="0.25">
      <c r="A311799" s="1"/>
    </row>
    <row r="311800" spans="1:1" x14ac:dyDescent="0.25">
      <c r="A311800" s="1"/>
    </row>
    <row r="311801" spans="1:1" x14ac:dyDescent="0.25">
      <c r="A311801" s="1"/>
    </row>
    <row r="311802" spans="1:1" x14ac:dyDescent="0.25">
      <c r="A311802" s="1"/>
    </row>
    <row r="311803" spans="1:1" x14ac:dyDescent="0.25">
      <c r="A311803" s="1"/>
    </row>
    <row r="311804" spans="1:1" x14ac:dyDescent="0.25">
      <c r="A311804" s="1"/>
    </row>
    <row r="311805" spans="1:1" x14ac:dyDescent="0.25">
      <c r="A311805" s="1"/>
    </row>
    <row r="311806" spans="1:1" x14ac:dyDescent="0.25">
      <c r="A311806" s="1"/>
    </row>
    <row r="311807" spans="1:1" x14ac:dyDescent="0.25">
      <c r="A311807" s="1"/>
    </row>
    <row r="311808" spans="1:1" x14ac:dyDescent="0.25">
      <c r="A311808" s="1"/>
    </row>
    <row r="311809" spans="1:1" x14ac:dyDescent="0.25">
      <c r="A311809" s="1"/>
    </row>
    <row r="311810" spans="1:1" x14ac:dyDescent="0.25">
      <c r="A311810" s="1"/>
    </row>
    <row r="311811" spans="1:1" x14ac:dyDescent="0.25">
      <c r="A311811" s="1"/>
    </row>
    <row r="311812" spans="1:1" x14ac:dyDescent="0.25">
      <c r="A311812" s="1"/>
    </row>
    <row r="311813" spans="1:1" x14ac:dyDescent="0.25">
      <c r="A311813" s="1"/>
    </row>
    <row r="311814" spans="1:1" x14ac:dyDescent="0.25">
      <c r="A311814" s="1"/>
    </row>
    <row r="311815" spans="1:1" x14ac:dyDescent="0.25">
      <c r="A311815" s="1"/>
    </row>
    <row r="311816" spans="1:1" x14ac:dyDescent="0.25">
      <c r="A311816" s="1"/>
    </row>
    <row r="311817" spans="1:1" x14ac:dyDescent="0.25">
      <c r="A311817" s="1"/>
    </row>
    <row r="311818" spans="1:1" x14ac:dyDescent="0.25">
      <c r="A311818" s="1"/>
    </row>
    <row r="311819" spans="1:1" x14ac:dyDescent="0.25">
      <c r="A311819" s="1"/>
    </row>
    <row r="311820" spans="1:1" x14ac:dyDescent="0.25">
      <c r="A311820" s="1"/>
    </row>
    <row r="311821" spans="1:1" x14ac:dyDescent="0.25">
      <c r="A311821" s="1"/>
    </row>
    <row r="311822" spans="1:1" x14ac:dyDescent="0.25">
      <c r="A311822" s="1"/>
    </row>
    <row r="311823" spans="1:1" x14ac:dyDescent="0.25">
      <c r="A311823" s="1"/>
    </row>
    <row r="311824" spans="1:1" x14ac:dyDescent="0.25">
      <c r="A311824" s="1"/>
    </row>
    <row r="311825" spans="1:1" x14ac:dyDescent="0.25">
      <c r="A311825" s="1"/>
    </row>
    <row r="311826" spans="1:1" x14ac:dyDescent="0.25">
      <c r="A311826" s="1"/>
    </row>
    <row r="311827" spans="1:1" x14ac:dyDescent="0.25">
      <c r="A311827" s="1"/>
    </row>
    <row r="311828" spans="1:1" x14ac:dyDescent="0.25">
      <c r="A311828" s="1"/>
    </row>
    <row r="311829" spans="1:1" x14ac:dyDescent="0.25">
      <c r="A311829" s="1"/>
    </row>
    <row r="311830" spans="1:1" x14ac:dyDescent="0.25">
      <c r="A311830" s="1"/>
    </row>
    <row r="311831" spans="1:1" x14ac:dyDescent="0.25">
      <c r="A311831" s="1"/>
    </row>
    <row r="311832" spans="1:1" x14ac:dyDescent="0.25">
      <c r="A311832" s="1"/>
    </row>
    <row r="311833" spans="1:1" x14ac:dyDescent="0.25">
      <c r="A311833" s="1"/>
    </row>
    <row r="311834" spans="1:1" x14ac:dyDescent="0.25">
      <c r="A311834" s="1"/>
    </row>
    <row r="311835" spans="1:1" x14ac:dyDescent="0.25">
      <c r="A311835" s="1"/>
    </row>
    <row r="311836" spans="1:1" x14ac:dyDescent="0.25">
      <c r="A311836" s="1"/>
    </row>
    <row r="311837" spans="1:1" x14ac:dyDescent="0.25">
      <c r="A311837" s="1"/>
    </row>
    <row r="311838" spans="1:1" x14ac:dyDescent="0.25">
      <c r="A311838" s="1"/>
    </row>
    <row r="311839" spans="1:1" x14ac:dyDescent="0.25">
      <c r="A311839" s="1"/>
    </row>
    <row r="311840" spans="1:1" x14ac:dyDescent="0.25">
      <c r="A311840" s="1"/>
    </row>
    <row r="311841" spans="1:1" x14ac:dyDescent="0.25">
      <c r="A311841" s="1"/>
    </row>
    <row r="311842" spans="1:1" x14ac:dyDescent="0.25">
      <c r="A311842" s="1"/>
    </row>
    <row r="311843" spans="1:1" x14ac:dyDescent="0.25">
      <c r="A311843" s="1"/>
    </row>
    <row r="311844" spans="1:1" x14ac:dyDescent="0.25">
      <c r="A311844" s="1"/>
    </row>
    <row r="311845" spans="1:1" x14ac:dyDescent="0.25">
      <c r="A311845" s="1"/>
    </row>
    <row r="311846" spans="1:1" x14ac:dyDescent="0.25">
      <c r="A311846" s="1"/>
    </row>
    <row r="311847" spans="1:1" x14ac:dyDescent="0.25">
      <c r="A311847" s="1"/>
    </row>
    <row r="311848" spans="1:1" x14ac:dyDescent="0.25">
      <c r="A311848" s="1"/>
    </row>
    <row r="311849" spans="1:1" x14ac:dyDescent="0.25">
      <c r="A311849" s="1"/>
    </row>
    <row r="311850" spans="1:1" x14ac:dyDescent="0.25">
      <c r="A311850" s="1"/>
    </row>
    <row r="311851" spans="1:1" x14ac:dyDescent="0.25">
      <c r="A311851" s="1"/>
    </row>
    <row r="311852" spans="1:1" x14ac:dyDescent="0.25">
      <c r="A311852" s="1"/>
    </row>
    <row r="311853" spans="1:1" x14ac:dyDescent="0.25">
      <c r="A311853" s="1"/>
    </row>
    <row r="311854" spans="1:1" x14ac:dyDescent="0.25">
      <c r="A311854" s="1"/>
    </row>
    <row r="311855" spans="1:1" x14ac:dyDescent="0.25">
      <c r="A311855" s="1"/>
    </row>
    <row r="311856" spans="1:1" x14ac:dyDescent="0.25">
      <c r="A311856" s="1"/>
    </row>
    <row r="311857" spans="1:1" x14ac:dyDescent="0.25">
      <c r="A311857" s="1"/>
    </row>
    <row r="311858" spans="1:1" x14ac:dyDescent="0.25">
      <c r="A311858" s="1"/>
    </row>
    <row r="311859" spans="1:1" x14ac:dyDescent="0.25">
      <c r="A311859" s="1"/>
    </row>
    <row r="311860" spans="1:1" x14ac:dyDescent="0.25">
      <c r="A311860" s="1"/>
    </row>
    <row r="311861" spans="1:1" x14ac:dyDescent="0.25">
      <c r="A311861" s="1"/>
    </row>
    <row r="311862" spans="1:1" x14ac:dyDescent="0.25">
      <c r="A311862" s="1"/>
    </row>
    <row r="311863" spans="1:1" x14ac:dyDescent="0.25">
      <c r="A311863" s="1"/>
    </row>
    <row r="311864" spans="1:1" x14ac:dyDescent="0.25">
      <c r="A311864" s="1"/>
    </row>
    <row r="311865" spans="1:1" x14ac:dyDescent="0.25">
      <c r="A311865" s="1"/>
    </row>
    <row r="311866" spans="1:1" x14ac:dyDescent="0.25">
      <c r="A311866" s="1"/>
    </row>
    <row r="311867" spans="1:1" x14ac:dyDescent="0.25">
      <c r="A311867" s="1"/>
    </row>
    <row r="311868" spans="1:1" x14ac:dyDescent="0.25">
      <c r="A311868" s="1"/>
    </row>
    <row r="311869" spans="1:1" x14ac:dyDescent="0.25">
      <c r="A311869" s="1"/>
    </row>
    <row r="311870" spans="1:1" x14ac:dyDescent="0.25">
      <c r="A311870" s="1"/>
    </row>
    <row r="311871" spans="1:1" x14ac:dyDescent="0.25">
      <c r="A311871" s="1"/>
    </row>
    <row r="311872" spans="1:1" x14ac:dyDescent="0.25">
      <c r="A311872" s="1"/>
    </row>
    <row r="311873" spans="1:1" x14ac:dyDescent="0.25">
      <c r="A311873" s="1"/>
    </row>
    <row r="311874" spans="1:1" x14ac:dyDescent="0.25">
      <c r="A311874" s="1"/>
    </row>
    <row r="311875" spans="1:1" x14ac:dyDescent="0.25">
      <c r="A311875" s="1"/>
    </row>
    <row r="311876" spans="1:1" x14ac:dyDescent="0.25">
      <c r="A311876" s="1"/>
    </row>
    <row r="311877" spans="1:1" x14ac:dyDescent="0.25">
      <c r="A311877" s="1"/>
    </row>
    <row r="311878" spans="1:1" x14ac:dyDescent="0.25">
      <c r="A311878" s="1"/>
    </row>
    <row r="311879" spans="1:1" x14ac:dyDescent="0.25">
      <c r="A311879" s="1"/>
    </row>
    <row r="311880" spans="1:1" x14ac:dyDescent="0.25">
      <c r="A311880" s="1"/>
    </row>
    <row r="311881" spans="1:1" x14ac:dyDescent="0.25">
      <c r="A311881" s="1"/>
    </row>
    <row r="311882" spans="1:1" x14ac:dyDescent="0.25">
      <c r="A311882" s="1"/>
    </row>
    <row r="311883" spans="1:1" x14ac:dyDescent="0.25">
      <c r="A311883" s="1"/>
    </row>
    <row r="311884" spans="1:1" x14ac:dyDescent="0.25">
      <c r="A311884" s="1"/>
    </row>
    <row r="311885" spans="1:1" x14ac:dyDescent="0.25">
      <c r="A311885" s="1"/>
    </row>
    <row r="311886" spans="1:1" x14ac:dyDescent="0.25">
      <c r="A311886" s="1"/>
    </row>
    <row r="311887" spans="1:1" x14ac:dyDescent="0.25">
      <c r="A311887" s="1"/>
    </row>
    <row r="311888" spans="1:1" x14ac:dyDescent="0.25">
      <c r="A311888" s="1"/>
    </row>
    <row r="311889" spans="1:1" x14ac:dyDescent="0.25">
      <c r="A311889" s="1"/>
    </row>
    <row r="311890" spans="1:1" x14ac:dyDescent="0.25">
      <c r="A311890" s="1"/>
    </row>
    <row r="311891" spans="1:1" x14ac:dyDescent="0.25">
      <c r="A311891" s="1"/>
    </row>
    <row r="311892" spans="1:1" x14ac:dyDescent="0.25">
      <c r="A311892" s="1"/>
    </row>
    <row r="311893" spans="1:1" x14ac:dyDescent="0.25">
      <c r="A311893" s="1"/>
    </row>
    <row r="311894" spans="1:1" x14ac:dyDescent="0.25">
      <c r="A311894" s="1"/>
    </row>
    <row r="311895" spans="1:1" x14ac:dyDescent="0.25">
      <c r="A311895" s="1"/>
    </row>
    <row r="311896" spans="1:1" x14ac:dyDescent="0.25">
      <c r="A311896" s="1"/>
    </row>
    <row r="311897" spans="1:1" x14ac:dyDescent="0.25">
      <c r="A311897" s="1"/>
    </row>
    <row r="311898" spans="1:1" x14ac:dyDescent="0.25">
      <c r="A311898" s="1"/>
    </row>
    <row r="311899" spans="1:1" x14ac:dyDescent="0.25">
      <c r="A311899" s="1"/>
    </row>
    <row r="311900" spans="1:1" x14ac:dyDescent="0.25">
      <c r="A311900" s="1"/>
    </row>
    <row r="311901" spans="1:1" x14ac:dyDescent="0.25">
      <c r="A311901" s="1"/>
    </row>
    <row r="311902" spans="1:1" x14ac:dyDescent="0.25">
      <c r="A311902" s="1"/>
    </row>
    <row r="311903" spans="1:1" x14ac:dyDescent="0.25">
      <c r="A311903" s="1"/>
    </row>
    <row r="311904" spans="1:1" x14ac:dyDescent="0.25">
      <c r="A311904" s="1"/>
    </row>
    <row r="311905" spans="1:1" x14ac:dyDescent="0.25">
      <c r="A311905" s="1"/>
    </row>
    <row r="311906" spans="1:1" x14ac:dyDescent="0.25">
      <c r="A311906" s="1"/>
    </row>
    <row r="311907" spans="1:1" x14ac:dyDescent="0.25">
      <c r="A311907" s="1"/>
    </row>
    <row r="311908" spans="1:1" x14ac:dyDescent="0.25">
      <c r="A311908" s="1"/>
    </row>
    <row r="311909" spans="1:1" x14ac:dyDescent="0.25">
      <c r="A311909" s="1"/>
    </row>
    <row r="311910" spans="1:1" x14ac:dyDescent="0.25">
      <c r="A311910" s="1"/>
    </row>
    <row r="311911" spans="1:1" x14ac:dyDescent="0.25">
      <c r="A311911" s="1"/>
    </row>
    <row r="311912" spans="1:1" x14ac:dyDescent="0.25">
      <c r="A311912" s="1"/>
    </row>
    <row r="311913" spans="1:1" x14ac:dyDescent="0.25">
      <c r="A311913" s="1"/>
    </row>
    <row r="311914" spans="1:1" x14ac:dyDescent="0.25">
      <c r="A311914" s="1"/>
    </row>
    <row r="311915" spans="1:1" x14ac:dyDescent="0.25">
      <c r="A311915" s="1"/>
    </row>
    <row r="311916" spans="1:1" x14ac:dyDescent="0.25">
      <c r="A311916" s="1"/>
    </row>
    <row r="311917" spans="1:1" x14ac:dyDescent="0.25">
      <c r="A311917" s="1"/>
    </row>
    <row r="311918" spans="1:1" x14ac:dyDescent="0.25">
      <c r="A311918" s="1"/>
    </row>
    <row r="311919" spans="1:1" x14ac:dyDescent="0.25">
      <c r="A311919" s="1"/>
    </row>
    <row r="311920" spans="1:1" x14ac:dyDescent="0.25">
      <c r="A311920" s="1"/>
    </row>
    <row r="311921" spans="1:1" x14ac:dyDescent="0.25">
      <c r="A311921" s="1"/>
    </row>
    <row r="311922" spans="1:1" x14ac:dyDescent="0.25">
      <c r="A311922" s="1"/>
    </row>
    <row r="311923" spans="1:1" x14ac:dyDescent="0.25">
      <c r="A311923" s="1"/>
    </row>
    <row r="311924" spans="1:1" x14ac:dyDescent="0.25">
      <c r="A311924" s="1"/>
    </row>
    <row r="311925" spans="1:1" x14ac:dyDescent="0.25">
      <c r="A311925" s="1"/>
    </row>
    <row r="311926" spans="1:1" x14ac:dyDescent="0.25">
      <c r="A311926" s="1"/>
    </row>
    <row r="311927" spans="1:1" x14ac:dyDescent="0.25">
      <c r="A311927" s="1"/>
    </row>
    <row r="311928" spans="1:1" x14ac:dyDescent="0.25">
      <c r="A311928" s="1"/>
    </row>
    <row r="311929" spans="1:1" x14ac:dyDescent="0.25">
      <c r="A311929" s="1"/>
    </row>
    <row r="311930" spans="1:1" x14ac:dyDescent="0.25">
      <c r="A311930" s="1"/>
    </row>
    <row r="311931" spans="1:1" x14ac:dyDescent="0.25">
      <c r="A311931" s="1"/>
    </row>
    <row r="311932" spans="1:1" x14ac:dyDescent="0.25">
      <c r="A311932" s="1"/>
    </row>
    <row r="311933" spans="1:1" x14ac:dyDescent="0.25">
      <c r="A311933" s="1"/>
    </row>
    <row r="311934" spans="1:1" x14ac:dyDescent="0.25">
      <c r="A311934" s="1"/>
    </row>
    <row r="311935" spans="1:1" x14ac:dyDescent="0.25">
      <c r="A311935" s="1"/>
    </row>
    <row r="311936" spans="1:1" x14ac:dyDescent="0.25">
      <c r="A311936" s="1"/>
    </row>
    <row r="311937" spans="1:1" x14ac:dyDescent="0.25">
      <c r="A311937" s="1"/>
    </row>
    <row r="311938" spans="1:1" x14ac:dyDescent="0.25">
      <c r="A311938" s="1"/>
    </row>
    <row r="311939" spans="1:1" x14ac:dyDescent="0.25">
      <c r="A311939" s="1"/>
    </row>
    <row r="311940" spans="1:1" x14ac:dyDescent="0.25">
      <c r="A311940" s="1"/>
    </row>
    <row r="311941" spans="1:1" x14ac:dyDescent="0.25">
      <c r="A311941" s="1"/>
    </row>
    <row r="311942" spans="1:1" x14ac:dyDescent="0.25">
      <c r="A311942" s="1"/>
    </row>
    <row r="311943" spans="1:1" x14ac:dyDescent="0.25">
      <c r="A311943" s="1"/>
    </row>
    <row r="311944" spans="1:1" x14ac:dyDescent="0.25">
      <c r="A311944" s="1"/>
    </row>
    <row r="311945" spans="1:1" x14ac:dyDescent="0.25">
      <c r="A311945" s="1"/>
    </row>
    <row r="311946" spans="1:1" x14ac:dyDescent="0.25">
      <c r="A311946" s="1"/>
    </row>
    <row r="311947" spans="1:1" x14ac:dyDescent="0.25">
      <c r="A311947" s="1"/>
    </row>
    <row r="311948" spans="1:1" x14ac:dyDescent="0.25">
      <c r="A311948" s="1"/>
    </row>
    <row r="311949" spans="1:1" x14ac:dyDescent="0.25">
      <c r="A311949" s="1"/>
    </row>
    <row r="311950" spans="1:1" x14ac:dyDescent="0.25">
      <c r="A311950" s="1"/>
    </row>
    <row r="311951" spans="1:1" x14ac:dyDescent="0.25">
      <c r="A311951" s="1"/>
    </row>
    <row r="311952" spans="1:1" x14ac:dyDescent="0.25">
      <c r="A311952" s="1"/>
    </row>
    <row r="311953" spans="1:1" x14ac:dyDescent="0.25">
      <c r="A311953" s="1"/>
    </row>
    <row r="311954" spans="1:1" x14ac:dyDescent="0.25">
      <c r="A311954" s="1"/>
    </row>
    <row r="311955" spans="1:1" x14ac:dyDescent="0.25">
      <c r="A311955" s="1"/>
    </row>
    <row r="311956" spans="1:1" x14ac:dyDescent="0.25">
      <c r="A311956" s="1"/>
    </row>
    <row r="311957" spans="1:1" x14ac:dyDescent="0.25">
      <c r="A311957" s="1"/>
    </row>
    <row r="311958" spans="1:1" x14ac:dyDescent="0.25">
      <c r="A311958" s="1"/>
    </row>
    <row r="311959" spans="1:1" x14ac:dyDescent="0.25">
      <c r="A311959" s="1"/>
    </row>
    <row r="311960" spans="1:1" x14ac:dyDescent="0.25">
      <c r="A311960" s="1"/>
    </row>
    <row r="311961" spans="1:1" x14ac:dyDescent="0.25">
      <c r="A311961" s="1"/>
    </row>
    <row r="311962" spans="1:1" x14ac:dyDescent="0.25">
      <c r="A311962" s="1"/>
    </row>
    <row r="311963" spans="1:1" x14ac:dyDescent="0.25">
      <c r="A311963" s="1"/>
    </row>
    <row r="311964" spans="1:1" x14ac:dyDescent="0.25">
      <c r="A311964" s="1"/>
    </row>
    <row r="311965" spans="1:1" x14ac:dyDescent="0.25">
      <c r="A311965" s="1"/>
    </row>
    <row r="311966" spans="1:1" x14ac:dyDescent="0.25">
      <c r="A311966" s="1"/>
    </row>
    <row r="311967" spans="1:1" x14ac:dyDescent="0.25">
      <c r="A311967" s="1"/>
    </row>
    <row r="311968" spans="1:1" x14ac:dyDescent="0.25">
      <c r="A311968" s="1"/>
    </row>
    <row r="311969" spans="1:1" x14ac:dyDescent="0.25">
      <c r="A311969" s="1"/>
    </row>
    <row r="311970" spans="1:1" x14ac:dyDescent="0.25">
      <c r="A311970" s="1"/>
    </row>
    <row r="311971" spans="1:1" x14ac:dyDescent="0.25">
      <c r="A311971" s="1"/>
    </row>
    <row r="311972" spans="1:1" x14ac:dyDescent="0.25">
      <c r="A311972" s="1"/>
    </row>
    <row r="311973" spans="1:1" x14ac:dyDescent="0.25">
      <c r="A311973" s="1"/>
    </row>
    <row r="311974" spans="1:1" x14ac:dyDescent="0.25">
      <c r="A311974" s="1"/>
    </row>
    <row r="311975" spans="1:1" x14ac:dyDescent="0.25">
      <c r="A311975" s="1"/>
    </row>
    <row r="311976" spans="1:1" x14ac:dyDescent="0.25">
      <c r="A311976" s="1"/>
    </row>
    <row r="311977" spans="1:1" x14ac:dyDescent="0.25">
      <c r="A311977" s="1"/>
    </row>
    <row r="311978" spans="1:1" x14ac:dyDescent="0.25">
      <c r="A311978" s="1"/>
    </row>
    <row r="311979" spans="1:1" x14ac:dyDescent="0.25">
      <c r="A311979" s="1"/>
    </row>
    <row r="311980" spans="1:1" x14ac:dyDescent="0.25">
      <c r="A311980" s="1"/>
    </row>
    <row r="311981" spans="1:1" x14ac:dyDescent="0.25">
      <c r="A311981" s="1"/>
    </row>
    <row r="311982" spans="1:1" x14ac:dyDescent="0.25">
      <c r="A311982" s="1"/>
    </row>
    <row r="311983" spans="1:1" x14ac:dyDescent="0.25">
      <c r="A311983" s="1"/>
    </row>
    <row r="311984" spans="1:1" x14ac:dyDescent="0.25">
      <c r="A311984" s="1"/>
    </row>
    <row r="311985" spans="1:1" x14ac:dyDescent="0.25">
      <c r="A311985" s="1"/>
    </row>
    <row r="311986" spans="1:1" x14ac:dyDescent="0.25">
      <c r="A311986" s="1"/>
    </row>
    <row r="311987" spans="1:1" x14ac:dyDescent="0.25">
      <c r="A311987" s="1"/>
    </row>
    <row r="311988" spans="1:1" x14ac:dyDescent="0.25">
      <c r="A311988" s="1"/>
    </row>
    <row r="311989" spans="1:1" x14ac:dyDescent="0.25">
      <c r="A311989" s="1"/>
    </row>
    <row r="311990" spans="1:1" x14ac:dyDescent="0.25">
      <c r="A311990" s="1"/>
    </row>
    <row r="311991" spans="1:1" x14ac:dyDescent="0.25">
      <c r="A311991" s="1"/>
    </row>
    <row r="311992" spans="1:1" x14ac:dyDescent="0.25">
      <c r="A311992" s="1"/>
    </row>
    <row r="311993" spans="1:1" x14ac:dyDescent="0.25">
      <c r="A311993" s="1"/>
    </row>
    <row r="311994" spans="1:1" x14ac:dyDescent="0.25">
      <c r="A311994" s="1"/>
    </row>
    <row r="311995" spans="1:1" x14ac:dyDescent="0.25">
      <c r="A311995" s="1"/>
    </row>
    <row r="311996" spans="1:1" x14ac:dyDescent="0.25">
      <c r="A311996" s="1"/>
    </row>
    <row r="311997" spans="1:1" x14ac:dyDescent="0.25">
      <c r="A311997" s="1"/>
    </row>
    <row r="311998" spans="1:1" x14ac:dyDescent="0.25">
      <c r="A311998" s="1"/>
    </row>
    <row r="311999" spans="1:1" x14ac:dyDescent="0.25">
      <c r="A311999" s="1"/>
    </row>
    <row r="312000" spans="1:1" x14ac:dyDescent="0.25">
      <c r="A312000" s="1"/>
    </row>
    <row r="312001" spans="1:1" x14ac:dyDescent="0.25">
      <c r="A312001" s="1"/>
    </row>
    <row r="312002" spans="1:1" x14ac:dyDescent="0.25">
      <c r="A312002" s="1"/>
    </row>
    <row r="312003" spans="1:1" x14ac:dyDescent="0.25">
      <c r="A312003" s="1"/>
    </row>
    <row r="312004" spans="1:1" x14ac:dyDescent="0.25">
      <c r="A312004" s="1"/>
    </row>
    <row r="312005" spans="1:1" x14ac:dyDescent="0.25">
      <c r="A312005" s="1"/>
    </row>
    <row r="312006" spans="1:1" x14ac:dyDescent="0.25">
      <c r="A312006" s="1"/>
    </row>
    <row r="312007" spans="1:1" x14ac:dyDescent="0.25">
      <c r="A312007" s="1"/>
    </row>
    <row r="312008" spans="1:1" x14ac:dyDescent="0.25">
      <c r="A312008" s="1"/>
    </row>
    <row r="312009" spans="1:1" x14ac:dyDescent="0.25">
      <c r="A312009" s="1"/>
    </row>
    <row r="312010" spans="1:1" x14ac:dyDescent="0.25">
      <c r="A312010" s="1"/>
    </row>
    <row r="312011" spans="1:1" x14ac:dyDescent="0.25">
      <c r="A312011" s="1"/>
    </row>
    <row r="312012" spans="1:1" x14ac:dyDescent="0.25">
      <c r="A312012" s="1"/>
    </row>
    <row r="312013" spans="1:1" x14ac:dyDescent="0.25">
      <c r="A312013" s="1"/>
    </row>
    <row r="312014" spans="1:1" x14ac:dyDescent="0.25">
      <c r="A312014" s="1"/>
    </row>
    <row r="312015" spans="1:1" x14ac:dyDescent="0.25">
      <c r="A312015" s="1"/>
    </row>
    <row r="312016" spans="1:1" x14ac:dyDescent="0.25">
      <c r="A312016" s="1"/>
    </row>
    <row r="312017" spans="1:1" x14ac:dyDescent="0.25">
      <c r="A312017" s="1"/>
    </row>
    <row r="312018" spans="1:1" x14ac:dyDescent="0.25">
      <c r="A312018" s="1"/>
    </row>
    <row r="312019" spans="1:1" x14ac:dyDescent="0.25">
      <c r="A312019" s="1"/>
    </row>
    <row r="312020" spans="1:1" x14ac:dyDescent="0.25">
      <c r="A312020" s="1"/>
    </row>
    <row r="312021" spans="1:1" x14ac:dyDescent="0.25">
      <c r="A312021" s="1"/>
    </row>
    <row r="312022" spans="1:1" x14ac:dyDescent="0.25">
      <c r="A312022" s="1"/>
    </row>
    <row r="312023" spans="1:1" x14ac:dyDescent="0.25">
      <c r="A312023" s="1"/>
    </row>
    <row r="312024" spans="1:1" x14ac:dyDescent="0.25">
      <c r="A312024" s="1"/>
    </row>
    <row r="312025" spans="1:1" x14ac:dyDescent="0.25">
      <c r="A312025" s="1"/>
    </row>
    <row r="312026" spans="1:1" x14ac:dyDescent="0.25">
      <c r="A312026" s="1"/>
    </row>
    <row r="312027" spans="1:1" x14ac:dyDescent="0.25">
      <c r="A312027" s="1"/>
    </row>
    <row r="312028" spans="1:1" x14ac:dyDescent="0.25">
      <c r="A312028" s="1"/>
    </row>
    <row r="312029" spans="1:1" x14ac:dyDescent="0.25">
      <c r="A312029" s="1"/>
    </row>
    <row r="312030" spans="1:1" x14ac:dyDescent="0.25">
      <c r="A312030" s="1"/>
    </row>
    <row r="312031" spans="1:1" x14ac:dyDescent="0.25">
      <c r="A312031" s="1"/>
    </row>
    <row r="312032" spans="1:1" x14ac:dyDescent="0.25">
      <c r="A312032" s="1"/>
    </row>
    <row r="312033" spans="1:1" x14ac:dyDescent="0.25">
      <c r="A312033" s="1"/>
    </row>
    <row r="312034" spans="1:1" x14ac:dyDescent="0.25">
      <c r="A312034" s="1"/>
    </row>
    <row r="312035" spans="1:1" x14ac:dyDescent="0.25">
      <c r="A312035" s="1"/>
    </row>
    <row r="312036" spans="1:1" x14ac:dyDescent="0.25">
      <c r="A312036" s="1"/>
    </row>
    <row r="312037" spans="1:1" x14ac:dyDescent="0.25">
      <c r="A312037" s="1"/>
    </row>
    <row r="312038" spans="1:1" x14ac:dyDescent="0.25">
      <c r="A312038" s="1"/>
    </row>
    <row r="312039" spans="1:1" x14ac:dyDescent="0.25">
      <c r="A312039" s="1"/>
    </row>
    <row r="312040" spans="1:1" x14ac:dyDescent="0.25">
      <c r="A312040" s="1"/>
    </row>
    <row r="312041" spans="1:1" x14ac:dyDescent="0.25">
      <c r="A312041" s="1"/>
    </row>
    <row r="312042" spans="1:1" x14ac:dyDescent="0.25">
      <c r="A312042" s="1"/>
    </row>
    <row r="312043" spans="1:1" x14ac:dyDescent="0.25">
      <c r="A312043" s="1"/>
    </row>
    <row r="312044" spans="1:1" x14ac:dyDescent="0.25">
      <c r="A312044" s="1"/>
    </row>
    <row r="312045" spans="1:1" x14ac:dyDescent="0.25">
      <c r="A312045" s="1"/>
    </row>
    <row r="312046" spans="1:1" x14ac:dyDescent="0.25">
      <c r="A312046" s="1"/>
    </row>
    <row r="312047" spans="1:1" x14ac:dyDescent="0.25">
      <c r="A312047" s="1"/>
    </row>
    <row r="312048" spans="1:1" x14ac:dyDescent="0.25">
      <c r="A312048" s="1"/>
    </row>
    <row r="312049" spans="1:1" x14ac:dyDescent="0.25">
      <c r="A312049" s="1"/>
    </row>
    <row r="312050" spans="1:1" x14ac:dyDescent="0.25">
      <c r="A312050" s="1"/>
    </row>
    <row r="312051" spans="1:1" x14ac:dyDescent="0.25">
      <c r="A312051" s="1"/>
    </row>
    <row r="312052" spans="1:1" x14ac:dyDescent="0.25">
      <c r="A312052" s="1"/>
    </row>
    <row r="312053" spans="1:1" x14ac:dyDescent="0.25">
      <c r="A312053" s="1"/>
    </row>
    <row r="312054" spans="1:1" x14ac:dyDescent="0.25">
      <c r="A312054" s="1"/>
    </row>
    <row r="312055" spans="1:1" x14ac:dyDescent="0.25">
      <c r="A312055" s="1"/>
    </row>
    <row r="312056" spans="1:1" x14ac:dyDescent="0.25">
      <c r="A312056" s="1"/>
    </row>
    <row r="312057" spans="1:1" x14ac:dyDescent="0.25">
      <c r="A312057" s="1"/>
    </row>
    <row r="312058" spans="1:1" x14ac:dyDescent="0.25">
      <c r="A312058" s="1"/>
    </row>
    <row r="312059" spans="1:1" x14ac:dyDescent="0.25">
      <c r="A312059" s="1"/>
    </row>
    <row r="312060" spans="1:1" x14ac:dyDescent="0.25">
      <c r="A312060" s="1"/>
    </row>
    <row r="312061" spans="1:1" x14ac:dyDescent="0.25">
      <c r="A312061" s="1"/>
    </row>
    <row r="312062" spans="1:1" x14ac:dyDescent="0.25">
      <c r="A312062" s="1"/>
    </row>
    <row r="312063" spans="1:1" x14ac:dyDescent="0.25">
      <c r="A312063" s="1"/>
    </row>
    <row r="312064" spans="1:1" x14ac:dyDescent="0.25">
      <c r="A312064" s="1"/>
    </row>
    <row r="312065" spans="1:1" x14ac:dyDescent="0.25">
      <c r="A312065" s="1"/>
    </row>
    <row r="312066" spans="1:1" x14ac:dyDescent="0.25">
      <c r="A312066" s="1"/>
    </row>
    <row r="312067" spans="1:1" x14ac:dyDescent="0.25">
      <c r="A312067" s="1"/>
    </row>
    <row r="312068" spans="1:1" x14ac:dyDescent="0.25">
      <c r="A312068" s="1"/>
    </row>
    <row r="312069" spans="1:1" x14ac:dyDescent="0.25">
      <c r="A312069" s="1"/>
    </row>
    <row r="312070" spans="1:1" x14ac:dyDescent="0.25">
      <c r="A312070" s="1"/>
    </row>
    <row r="312071" spans="1:1" x14ac:dyDescent="0.25">
      <c r="A312071" s="1"/>
    </row>
    <row r="312072" spans="1:1" x14ac:dyDescent="0.25">
      <c r="A312072" s="1"/>
    </row>
    <row r="312073" spans="1:1" x14ac:dyDescent="0.25">
      <c r="A312073" s="1"/>
    </row>
    <row r="312074" spans="1:1" x14ac:dyDescent="0.25">
      <c r="A312074" s="1"/>
    </row>
    <row r="312075" spans="1:1" x14ac:dyDescent="0.25">
      <c r="A312075" s="1"/>
    </row>
    <row r="312076" spans="1:1" x14ac:dyDescent="0.25">
      <c r="A312076" s="1"/>
    </row>
    <row r="312077" spans="1:1" x14ac:dyDescent="0.25">
      <c r="A312077" s="1"/>
    </row>
    <row r="312078" spans="1:1" x14ac:dyDescent="0.25">
      <c r="A312078" s="1"/>
    </row>
    <row r="312079" spans="1:1" x14ac:dyDescent="0.25">
      <c r="A312079" s="1"/>
    </row>
    <row r="312080" spans="1:1" x14ac:dyDescent="0.25">
      <c r="A312080" s="1"/>
    </row>
    <row r="312081" spans="1:1" x14ac:dyDescent="0.25">
      <c r="A312081" s="1"/>
    </row>
    <row r="312082" spans="1:1" x14ac:dyDescent="0.25">
      <c r="A312082" s="1"/>
    </row>
    <row r="312083" spans="1:1" x14ac:dyDescent="0.25">
      <c r="A312083" s="1"/>
    </row>
    <row r="312084" spans="1:1" x14ac:dyDescent="0.25">
      <c r="A312084" s="1"/>
    </row>
    <row r="312085" spans="1:1" x14ac:dyDescent="0.25">
      <c r="A312085" s="1"/>
    </row>
    <row r="312086" spans="1:1" x14ac:dyDescent="0.25">
      <c r="A312086" s="1"/>
    </row>
    <row r="312087" spans="1:1" x14ac:dyDescent="0.25">
      <c r="A312087" s="1"/>
    </row>
    <row r="312088" spans="1:1" x14ac:dyDescent="0.25">
      <c r="A312088" s="1"/>
    </row>
    <row r="312089" spans="1:1" x14ac:dyDescent="0.25">
      <c r="A312089" s="1"/>
    </row>
    <row r="312090" spans="1:1" x14ac:dyDescent="0.25">
      <c r="A312090" s="1"/>
    </row>
    <row r="312091" spans="1:1" x14ac:dyDescent="0.25">
      <c r="A312091" s="1"/>
    </row>
    <row r="312092" spans="1:1" x14ac:dyDescent="0.25">
      <c r="A312092" s="1"/>
    </row>
    <row r="312093" spans="1:1" x14ac:dyDescent="0.25">
      <c r="A312093" s="1"/>
    </row>
    <row r="312094" spans="1:1" x14ac:dyDescent="0.25">
      <c r="A312094" s="1"/>
    </row>
    <row r="312095" spans="1:1" x14ac:dyDescent="0.25">
      <c r="A312095" s="1"/>
    </row>
    <row r="312096" spans="1:1" x14ac:dyDescent="0.25">
      <c r="A312096" s="1"/>
    </row>
    <row r="312097" spans="1:1" x14ac:dyDescent="0.25">
      <c r="A312097" s="1"/>
    </row>
    <row r="312098" spans="1:1" x14ac:dyDescent="0.25">
      <c r="A312098" s="1"/>
    </row>
    <row r="312099" spans="1:1" x14ac:dyDescent="0.25">
      <c r="A312099" s="1"/>
    </row>
    <row r="312100" spans="1:1" x14ac:dyDescent="0.25">
      <c r="A312100" s="1"/>
    </row>
    <row r="312101" spans="1:1" x14ac:dyDescent="0.25">
      <c r="A312101" s="1"/>
    </row>
    <row r="312102" spans="1:1" x14ac:dyDescent="0.25">
      <c r="A312102" s="1"/>
    </row>
    <row r="312103" spans="1:1" x14ac:dyDescent="0.25">
      <c r="A312103" s="1"/>
    </row>
    <row r="312104" spans="1:1" x14ac:dyDescent="0.25">
      <c r="A312104" s="1"/>
    </row>
    <row r="312105" spans="1:1" x14ac:dyDescent="0.25">
      <c r="A312105" s="1"/>
    </row>
    <row r="312106" spans="1:1" x14ac:dyDescent="0.25">
      <c r="A312106" s="1"/>
    </row>
    <row r="312107" spans="1:1" x14ac:dyDescent="0.25">
      <c r="A312107" s="1"/>
    </row>
    <row r="312108" spans="1:1" x14ac:dyDescent="0.25">
      <c r="A312108" s="1"/>
    </row>
    <row r="312109" spans="1:1" x14ac:dyDescent="0.25">
      <c r="A312109" s="1"/>
    </row>
    <row r="312110" spans="1:1" x14ac:dyDescent="0.25">
      <c r="A312110" s="1"/>
    </row>
    <row r="312111" spans="1:1" x14ac:dyDescent="0.25">
      <c r="A312111" s="1"/>
    </row>
    <row r="312112" spans="1:1" x14ac:dyDescent="0.25">
      <c r="A312112" s="1"/>
    </row>
    <row r="312113" spans="1:1" x14ac:dyDescent="0.25">
      <c r="A312113" s="1"/>
    </row>
    <row r="312114" spans="1:1" x14ac:dyDescent="0.25">
      <c r="A312114" s="1"/>
    </row>
    <row r="312115" spans="1:1" x14ac:dyDescent="0.25">
      <c r="A312115" s="1"/>
    </row>
    <row r="312116" spans="1:1" x14ac:dyDescent="0.25">
      <c r="A312116" s="1"/>
    </row>
    <row r="312117" spans="1:1" x14ac:dyDescent="0.25">
      <c r="A312117" s="1"/>
    </row>
    <row r="312118" spans="1:1" x14ac:dyDescent="0.25">
      <c r="A312118" s="1"/>
    </row>
    <row r="312119" spans="1:1" x14ac:dyDescent="0.25">
      <c r="A312119" s="1"/>
    </row>
    <row r="312120" spans="1:1" x14ac:dyDescent="0.25">
      <c r="A312120" s="1"/>
    </row>
    <row r="312121" spans="1:1" x14ac:dyDescent="0.25">
      <c r="A312121" s="1"/>
    </row>
    <row r="312122" spans="1:1" x14ac:dyDescent="0.25">
      <c r="A312122" s="1"/>
    </row>
    <row r="312123" spans="1:1" x14ac:dyDescent="0.25">
      <c r="A312123" s="1"/>
    </row>
    <row r="312124" spans="1:1" x14ac:dyDescent="0.25">
      <c r="A312124" s="1"/>
    </row>
    <row r="312125" spans="1:1" x14ac:dyDescent="0.25">
      <c r="A312125" s="1"/>
    </row>
    <row r="312126" spans="1:1" x14ac:dyDescent="0.25">
      <c r="A312126" s="1"/>
    </row>
    <row r="312127" spans="1:1" x14ac:dyDescent="0.25">
      <c r="A312127" s="1"/>
    </row>
    <row r="312128" spans="1:1" x14ac:dyDescent="0.25">
      <c r="A312128" s="1"/>
    </row>
    <row r="312129" spans="1:1" x14ac:dyDescent="0.25">
      <c r="A312129" s="1"/>
    </row>
    <row r="312130" spans="1:1" x14ac:dyDescent="0.25">
      <c r="A312130" s="1"/>
    </row>
    <row r="312131" spans="1:1" x14ac:dyDescent="0.25">
      <c r="A312131" s="1"/>
    </row>
    <row r="312132" spans="1:1" x14ac:dyDescent="0.25">
      <c r="A312132" s="1"/>
    </row>
    <row r="312133" spans="1:1" x14ac:dyDescent="0.25">
      <c r="A312133" s="1"/>
    </row>
    <row r="312134" spans="1:1" x14ac:dyDescent="0.25">
      <c r="A312134" s="1"/>
    </row>
    <row r="312135" spans="1:1" x14ac:dyDescent="0.25">
      <c r="A312135" s="1"/>
    </row>
    <row r="312136" spans="1:1" x14ac:dyDescent="0.25">
      <c r="A312136" s="1"/>
    </row>
    <row r="312137" spans="1:1" x14ac:dyDescent="0.25">
      <c r="A312137" s="1"/>
    </row>
    <row r="312138" spans="1:1" x14ac:dyDescent="0.25">
      <c r="A312138" s="1"/>
    </row>
    <row r="312139" spans="1:1" x14ac:dyDescent="0.25">
      <c r="A312139" s="1"/>
    </row>
    <row r="312140" spans="1:1" x14ac:dyDescent="0.25">
      <c r="A312140" s="1"/>
    </row>
    <row r="312141" spans="1:1" x14ac:dyDescent="0.25">
      <c r="A312141" s="1"/>
    </row>
    <row r="312142" spans="1:1" x14ac:dyDescent="0.25">
      <c r="A312142" s="1"/>
    </row>
    <row r="312143" spans="1:1" x14ac:dyDescent="0.25">
      <c r="A312143" s="1"/>
    </row>
    <row r="312144" spans="1:1" x14ac:dyDescent="0.25">
      <c r="A312144" s="1"/>
    </row>
    <row r="312145" spans="1:1" x14ac:dyDescent="0.25">
      <c r="A312145" s="1"/>
    </row>
    <row r="312146" spans="1:1" x14ac:dyDescent="0.25">
      <c r="A312146" s="1"/>
    </row>
    <row r="312147" spans="1:1" x14ac:dyDescent="0.25">
      <c r="A312147" s="1"/>
    </row>
    <row r="312148" spans="1:1" x14ac:dyDescent="0.25">
      <c r="A312148" s="1"/>
    </row>
    <row r="312149" spans="1:1" x14ac:dyDescent="0.25">
      <c r="A312149" s="1"/>
    </row>
    <row r="312150" spans="1:1" x14ac:dyDescent="0.25">
      <c r="A312150" s="1"/>
    </row>
    <row r="312151" spans="1:1" x14ac:dyDescent="0.25">
      <c r="A312151" s="1"/>
    </row>
    <row r="312152" spans="1:1" x14ac:dyDescent="0.25">
      <c r="A312152" s="1"/>
    </row>
    <row r="312153" spans="1:1" x14ac:dyDescent="0.25">
      <c r="A312153" s="1"/>
    </row>
    <row r="312154" spans="1:1" x14ac:dyDescent="0.25">
      <c r="A312154" s="1"/>
    </row>
    <row r="312155" spans="1:1" x14ac:dyDescent="0.25">
      <c r="A312155" s="1"/>
    </row>
    <row r="312156" spans="1:1" x14ac:dyDescent="0.25">
      <c r="A312156" s="1"/>
    </row>
    <row r="312157" spans="1:1" x14ac:dyDescent="0.25">
      <c r="A312157" s="1"/>
    </row>
    <row r="312158" spans="1:1" x14ac:dyDescent="0.25">
      <c r="A312158" s="1"/>
    </row>
    <row r="312159" spans="1:1" x14ac:dyDescent="0.25">
      <c r="A312159" s="1"/>
    </row>
    <row r="312160" spans="1:1" x14ac:dyDescent="0.25">
      <c r="A312160" s="1"/>
    </row>
    <row r="312161" spans="1:1" x14ac:dyDescent="0.25">
      <c r="A312161" s="1"/>
    </row>
    <row r="312162" spans="1:1" x14ac:dyDescent="0.25">
      <c r="A312162" s="1"/>
    </row>
    <row r="312163" spans="1:1" x14ac:dyDescent="0.25">
      <c r="A312163" s="1"/>
    </row>
    <row r="312164" spans="1:1" x14ac:dyDescent="0.25">
      <c r="A312164" s="1"/>
    </row>
    <row r="312165" spans="1:1" x14ac:dyDescent="0.25">
      <c r="A312165" s="1"/>
    </row>
    <row r="312166" spans="1:1" x14ac:dyDescent="0.25">
      <c r="A312166" s="1"/>
    </row>
    <row r="312167" spans="1:1" x14ac:dyDescent="0.25">
      <c r="A312167" s="1"/>
    </row>
    <row r="312168" spans="1:1" x14ac:dyDescent="0.25">
      <c r="A312168" s="1"/>
    </row>
    <row r="312169" spans="1:1" x14ac:dyDescent="0.25">
      <c r="A312169" s="1"/>
    </row>
    <row r="312170" spans="1:1" x14ac:dyDescent="0.25">
      <c r="A312170" s="1"/>
    </row>
    <row r="312171" spans="1:1" x14ac:dyDescent="0.25">
      <c r="A312171" s="1"/>
    </row>
    <row r="312172" spans="1:1" x14ac:dyDescent="0.25">
      <c r="A312172" s="1"/>
    </row>
    <row r="312173" spans="1:1" x14ac:dyDescent="0.25">
      <c r="A312173" s="1"/>
    </row>
    <row r="312174" spans="1:1" x14ac:dyDescent="0.25">
      <c r="A312174" s="1"/>
    </row>
    <row r="312175" spans="1:1" x14ac:dyDescent="0.25">
      <c r="A312175" s="1"/>
    </row>
    <row r="312176" spans="1:1" x14ac:dyDescent="0.25">
      <c r="A312176" s="1"/>
    </row>
    <row r="312177" spans="1:1" x14ac:dyDescent="0.25">
      <c r="A312177" s="1"/>
    </row>
    <row r="312178" spans="1:1" x14ac:dyDescent="0.25">
      <c r="A312178" s="1"/>
    </row>
    <row r="312179" spans="1:1" x14ac:dyDescent="0.25">
      <c r="A312179" s="1"/>
    </row>
    <row r="312180" spans="1:1" x14ac:dyDescent="0.25">
      <c r="A312180" s="1"/>
    </row>
    <row r="312181" spans="1:1" x14ac:dyDescent="0.25">
      <c r="A312181" s="1"/>
    </row>
    <row r="312182" spans="1:1" x14ac:dyDescent="0.25">
      <c r="A312182" s="1"/>
    </row>
    <row r="312183" spans="1:1" x14ac:dyDescent="0.25">
      <c r="A312183" s="1"/>
    </row>
    <row r="312184" spans="1:1" x14ac:dyDescent="0.25">
      <c r="A312184" s="1"/>
    </row>
    <row r="312185" spans="1:1" x14ac:dyDescent="0.25">
      <c r="A312185" s="1"/>
    </row>
    <row r="312186" spans="1:1" x14ac:dyDescent="0.25">
      <c r="A312186" s="1"/>
    </row>
    <row r="312187" spans="1:1" x14ac:dyDescent="0.25">
      <c r="A312187" s="1"/>
    </row>
    <row r="312188" spans="1:1" x14ac:dyDescent="0.25">
      <c r="A312188" s="1"/>
    </row>
    <row r="312189" spans="1:1" x14ac:dyDescent="0.25">
      <c r="A312189" s="1"/>
    </row>
    <row r="312190" spans="1:1" x14ac:dyDescent="0.25">
      <c r="A312190" s="1"/>
    </row>
    <row r="312191" spans="1:1" x14ac:dyDescent="0.25">
      <c r="A312191" s="1"/>
    </row>
    <row r="312192" spans="1:1" x14ac:dyDescent="0.25">
      <c r="A312192" s="1"/>
    </row>
    <row r="312193" spans="1:1" x14ac:dyDescent="0.25">
      <c r="A312193" s="1"/>
    </row>
    <row r="312194" spans="1:1" x14ac:dyDescent="0.25">
      <c r="A312194" s="1"/>
    </row>
    <row r="312195" spans="1:1" x14ac:dyDescent="0.25">
      <c r="A312195" s="1"/>
    </row>
    <row r="312196" spans="1:1" x14ac:dyDescent="0.25">
      <c r="A312196" s="1"/>
    </row>
    <row r="312197" spans="1:1" x14ac:dyDescent="0.25">
      <c r="A312197" s="1"/>
    </row>
    <row r="312198" spans="1:1" x14ac:dyDescent="0.25">
      <c r="A312198" s="1"/>
    </row>
    <row r="312199" spans="1:1" x14ac:dyDescent="0.25">
      <c r="A312199" s="1"/>
    </row>
    <row r="312200" spans="1:1" x14ac:dyDescent="0.25">
      <c r="A312200" s="1"/>
    </row>
    <row r="312201" spans="1:1" x14ac:dyDescent="0.25">
      <c r="A312201" s="1"/>
    </row>
    <row r="312202" spans="1:1" x14ac:dyDescent="0.25">
      <c r="A312202" s="1"/>
    </row>
    <row r="312203" spans="1:1" x14ac:dyDescent="0.25">
      <c r="A312203" s="1"/>
    </row>
    <row r="312204" spans="1:1" x14ac:dyDescent="0.25">
      <c r="A312204" s="1"/>
    </row>
    <row r="312205" spans="1:1" x14ac:dyDescent="0.25">
      <c r="A312205" s="1"/>
    </row>
    <row r="312206" spans="1:1" x14ac:dyDescent="0.25">
      <c r="A312206" s="1"/>
    </row>
    <row r="312207" spans="1:1" x14ac:dyDescent="0.25">
      <c r="A312207" s="1"/>
    </row>
    <row r="312208" spans="1:1" x14ac:dyDescent="0.25">
      <c r="A312208" s="1"/>
    </row>
    <row r="312209" spans="1:1" x14ac:dyDescent="0.25">
      <c r="A312209" s="1"/>
    </row>
    <row r="312210" spans="1:1" x14ac:dyDescent="0.25">
      <c r="A312210" s="1"/>
    </row>
    <row r="312211" spans="1:1" x14ac:dyDescent="0.25">
      <c r="A312211" s="1"/>
    </row>
    <row r="312212" spans="1:1" x14ac:dyDescent="0.25">
      <c r="A312212" s="1"/>
    </row>
    <row r="312213" spans="1:1" x14ac:dyDescent="0.25">
      <c r="A312213" s="1"/>
    </row>
    <row r="312214" spans="1:1" x14ac:dyDescent="0.25">
      <c r="A312214" s="1"/>
    </row>
    <row r="312215" spans="1:1" x14ac:dyDescent="0.25">
      <c r="A312215" s="1"/>
    </row>
    <row r="312216" spans="1:1" x14ac:dyDescent="0.25">
      <c r="A312216" s="1"/>
    </row>
    <row r="312217" spans="1:1" x14ac:dyDescent="0.25">
      <c r="A312217" s="1"/>
    </row>
    <row r="312218" spans="1:1" x14ac:dyDescent="0.25">
      <c r="A312218" s="1"/>
    </row>
    <row r="312219" spans="1:1" x14ac:dyDescent="0.25">
      <c r="A312219" s="1"/>
    </row>
    <row r="312220" spans="1:1" x14ac:dyDescent="0.25">
      <c r="A312220" s="1"/>
    </row>
    <row r="312221" spans="1:1" x14ac:dyDescent="0.25">
      <c r="A312221" s="1"/>
    </row>
    <row r="312222" spans="1:1" x14ac:dyDescent="0.25">
      <c r="A312222" s="1"/>
    </row>
    <row r="312223" spans="1:1" x14ac:dyDescent="0.25">
      <c r="A312223" s="1"/>
    </row>
    <row r="312224" spans="1:1" x14ac:dyDescent="0.25">
      <c r="A312224" s="1"/>
    </row>
    <row r="312225" spans="1:1" x14ac:dyDescent="0.25">
      <c r="A312225" s="1"/>
    </row>
    <row r="312226" spans="1:1" x14ac:dyDescent="0.25">
      <c r="A312226" s="1"/>
    </row>
    <row r="312227" spans="1:1" x14ac:dyDescent="0.25">
      <c r="A312227" s="1"/>
    </row>
    <row r="312228" spans="1:1" x14ac:dyDescent="0.25">
      <c r="A312228" s="1"/>
    </row>
    <row r="312229" spans="1:1" x14ac:dyDescent="0.25">
      <c r="A312229" s="1"/>
    </row>
    <row r="312230" spans="1:1" x14ac:dyDescent="0.25">
      <c r="A312230" s="1"/>
    </row>
    <row r="312231" spans="1:1" x14ac:dyDescent="0.25">
      <c r="A312231" s="1"/>
    </row>
    <row r="312232" spans="1:1" x14ac:dyDescent="0.25">
      <c r="A312232" s="1"/>
    </row>
    <row r="312233" spans="1:1" x14ac:dyDescent="0.25">
      <c r="A312233" s="1"/>
    </row>
    <row r="312234" spans="1:1" x14ac:dyDescent="0.25">
      <c r="A312234" s="1"/>
    </row>
    <row r="312235" spans="1:1" x14ac:dyDescent="0.25">
      <c r="A312235" s="1"/>
    </row>
    <row r="312236" spans="1:1" x14ac:dyDescent="0.25">
      <c r="A312236" s="1"/>
    </row>
    <row r="312237" spans="1:1" x14ac:dyDescent="0.25">
      <c r="A312237" s="1"/>
    </row>
    <row r="312238" spans="1:1" x14ac:dyDescent="0.25">
      <c r="A312238" s="1"/>
    </row>
    <row r="312239" spans="1:1" x14ac:dyDescent="0.25">
      <c r="A312239" s="1"/>
    </row>
    <row r="312240" spans="1:1" x14ac:dyDescent="0.25">
      <c r="A312240" s="1"/>
    </row>
    <row r="312241" spans="1:1" x14ac:dyDescent="0.25">
      <c r="A312241" s="1"/>
    </row>
    <row r="312242" spans="1:1" x14ac:dyDescent="0.25">
      <c r="A312242" s="1"/>
    </row>
    <row r="312243" spans="1:1" x14ac:dyDescent="0.25">
      <c r="A312243" s="1"/>
    </row>
    <row r="312244" spans="1:1" x14ac:dyDescent="0.25">
      <c r="A312244" s="1"/>
    </row>
    <row r="312245" spans="1:1" x14ac:dyDescent="0.25">
      <c r="A312245" s="1"/>
    </row>
    <row r="312246" spans="1:1" x14ac:dyDescent="0.25">
      <c r="A312246" s="1"/>
    </row>
    <row r="312247" spans="1:1" x14ac:dyDescent="0.25">
      <c r="A312247" s="1"/>
    </row>
    <row r="312248" spans="1:1" x14ac:dyDescent="0.25">
      <c r="A312248" s="1"/>
    </row>
    <row r="312249" spans="1:1" x14ac:dyDescent="0.25">
      <c r="A312249" s="1"/>
    </row>
    <row r="312250" spans="1:1" x14ac:dyDescent="0.25">
      <c r="A312250" s="1"/>
    </row>
    <row r="312251" spans="1:1" x14ac:dyDescent="0.25">
      <c r="A312251" s="1"/>
    </row>
    <row r="312252" spans="1:1" x14ac:dyDescent="0.25">
      <c r="A312252" s="1"/>
    </row>
    <row r="312253" spans="1:1" x14ac:dyDescent="0.25">
      <c r="A312253" s="1"/>
    </row>
    <row r="312254" spans="1:1" x14ac:dyDescent="0.25">
      <c r="A312254" s="1"/>
    </row>
    <row r="312255" spans="1:1" x14ac:dyDescent="0.25">
      <c r="A312255" s="1"/>
    </row>
    <row r="312256" spans="1:1" x14ac:dyDescent="0.25">
      <c r="A312256" s="1"/>
    </row>
    <row r="312257" spans="1:1" x14ac:dyDescent="0.25">
      <c r="A312257" s="1"/>
    </row>
    <row r="312258" spans="1:1" x14ac:dyDescent="0.25">
      <c r="A312258" s="1"/>
    </row>
    <row r="312259" spans="1:1" x14ac:dyDescent="0.25">
      <c r="A312259" s="1"/>
    </row>
    <row r="312260" spans="1:1" x14ac:dyDescent="0.25">
      <c r="A312260" s="1"/>
    </row>
    <row r="312261" spans="1:1" x14ac:dyDescent="0.25">
      <c r="A312261" s="1"/>
    </row>
    <row r="312262" spans="1:1" x14ac:dyDescent="0.25">
      <c r="A312262" s="1"/>
    </row>
    <row r="312263" spans="1:1" x14ac:dyDescent="0.25">
      <c r="A312263" s="1"/>
    </row>
    <row r="312264" spans="1:1" x14ac:dyDescent="0.25">
      <c r="A312264" s="1"/>
    </row>
    <row r="312265" spans="1:1" x14ac:dyDescent="0.25">
      <c r="A312265" s="1"/>
    </row>
    <row r="312266" spans="1:1" x14ac:dyDescent="0.25">
      <c r="A312266" s="1"/>
    </row>
    <row r="312267" spans="1:1" x14ac:dyDescent="0.25">
      <c r="A312267" s="1"/>
    </row>
    <row r="312268" spans="1:1" x14ac:dyDescent="0.25">
      <c r="A312268" s="1"/>
    </row>
    <row r="312269" spans="1:1" x14ac:dyDescent="0.25">
      <c r="A312269" s="1"/>
    </row>
    <row r="312270" spans="1:1" x14ac:dyDescent="0.25">
      <c r="A312270" s="1"/>
    </row>
    <row r="312271" spans="1:1" x14ac:dyDescent="0.25">
      <c r="A312271" s="1"/>
    </row>
    <row r="312272" spans="1:1" x14ac:dyDescent="0.25">
      <c r="A312272" s="1"/>
    </row>
    <row r="312273" spans="1:1" x14ac:dyDescent="0.25">
      <c r="A312273" s="1"/>
    </row>
    <row r="312274" spans="1:1" x14ac:dyDescent="0.25">
      <c r="A312274" s="1"/>
    </row>
    <row r="312275" spans="1:1" x14ac:dyDescent="0.25">
      <c r="A312275" s="1"/>
    </row>
    <row r="312276" spans="1:1" x14ac:dyDescent="0.25">
      <c r="A312276" s="1"/>
    </row>
    <row r="312277" spans="1:1" x14ac:dyDescent="0.25">
      <c r="A312277" s="1"/>
    </row>
    <row r="312278" spans="1:1" x14ac:dyDescent="0.25">
      <c r="A312278" s="1"/>
    </row>
    <row r="312279" spans="1:1" x14ac:dyDescent="0.25">
      <c r="A312279" s="1"/>
    </row>
    <row r="312280" spans="1:1" x14ac:dyDescent="0.25">
      <c r="A312280" s="1"/>
    </row>
    <row r="312281" spans="1:1" x14ac:dyDescent="0.25">
      <c r="A312281" s="1"/>
    </row>
    <row r="312282" spans="1:1" x14ac:dyDescent="0.25">
      <c r="A312282" s="1"/>
    </row>
    <row r="312283" spans="1:1" x14ac:dyDescent="0.25">
      <c r="A312283" s="1"/>
    </row>
    <row r="312284" spans="1:1" x14ac:dyDescent="0.25">
      <c r="A312284" s="1"/>
    </row>
    <row r="312285" spans="1:1" x14ac:dyDescent="0.25">
      <c r="A312285" s="1"/>
    </row>
    <row r="312286" spans="1:1" x14ac:dyDescent="0.25">
      <c r="A312286" s="1"/>
    </row>
    <row r="312287" spans="1:1" x14ac:dyDescent="0.25">
      <c r="A312287" s="1"/>
    </row>
    <row r="312288" spans="1:1" x14ac:dyDescent="0.25">
      <c r="A312288" s="1"/>
    </row>
    <row r="312289" spans="1:1" x14ac:dyDescent="0.25">
      <c r="A312289" s="1"/>
    </row>
    <row r="312290" spans="1:1" x14ac:dyDescent="0.25">
      <c r="A312290" s="1"/>
    </row>
    <row r="312291" spans="1:1" x14ac:dyDescent="0.25">
      <c r="A312291" s="1"/>
    </row>
    <row r="312292" spans="1:1" x14ac:dyDescent="0.25">
      <c r="A312292" s="1"/>
    </row>
    <row r="312293" spans="1:1" x14ac:dyDescent="0.25">
      <c r="A312293" s="1"/>
    </row>
    <row r="312294" spans="1:1" x14ac:dyDescent="0.25">
      <c r="A312294" s="1"/>
    </row>
    <row r="312295" spans="1:1" x14ac:dyDescent="0.25">
      <c r="A312295" s="1"/>
    </row>
    <row r="312296" spans="1:1" x14ac:dyDescent="0.25">
      <c r="A312296" s="1"/>
    </row>
    <row r="312297" spans="1:1" x14ac:dyDescent="0.25">
      <c r="A312297" s="1"/>
    </row>
    <row r="312298" spans="1:1" x14ac:dyDescent="0.25">
      <c r="A312298" s="1"/>
    </row>
    <row r="312299" spans="1:1" x14ac:dyDescent="0.25">
      <c r="A312299" s="1"/>
    </row>
    <row r="312300" spans="1:1" x14ac:dyDescent="0.25">
      <c r="A312300" s="1"/>
    </row>
    <row r="312301" spans="1:1" x14ac:dyDescent="0.25">
      <c r="A312301" s="1"/>
    </row>
    <row r="312302" spans="1:1" x14ac:dyDescent="0.25">
      <c r="A312302" s="1"/>
    </row>
    <row r="312303" spans="1:1" x14ac:dyDescent="0.25">
      <c r="A312303" s="1"/>
    </row>
    <row r="312304" spans="1:1" x14ac:dyDescent="0.25">
      <c r="A312304" s="1"/>
    </row>
    <row r="312305" spans="1:1" x14ac:dyDescent="0.25">
      <c r="A312305" s="1"/>
    </row>
    <row r="312306" spans="1:1" x14ac:dyDescent="0.25">
      <c r="A312306" s="1"/>
    </row>
    <row r="312307" spans="1:1" x14ac:dyDescent="0.25">
      <c r="A312307" s="1"/>
    </row>
    <row r="312308" spans="1:1" x14ac:dyDescent="0.25">
      <c r="A312308" s="1"/>
    </row>
    <row r="312309" spans="1:1" x14ac:dyDescent="0.25">
      <c r="A312309" s="1"/>
    </row>
    <row r="312310" spans="1:1" x14ac:dyDescent="0.25">
      <c r="A312310" s="1"/>
    </row>
    <row r="312311" spans="1:1" x14ac:dyDescent="0.25">
      <c r="A312311" s="1"/>
    </row>
    <row r="312312" spans="1:1" x14ac:dyDescent="0.25">
      <c r="A312312" s="1"/>
    </row>
    <row r="312313" spans="1:1" x14ac:dyDescent="0.25">
      <c r="A312313" s="1"/>
    </row>
    <row r="312314" spans="1:1" x14ac:dyDescent="0.25">
      <c r="A312314" s="1"/>
    </row>
    <row r="312315" spans="1:1" x14ac:dyDescent="0.25">
      <c r="A312315" s="1"/>
    </row>
    <row r="312316" spans="1:1" x14ac:dyDescent="0.25">
      <c r="A312316" s="1"/>
    </row>
    <row r="312317" spans="1:1" x14ac:dyDescent="0.25">
      <c r="A312317" s="1"/>
    </row>
    <row r="312318" spans="1:1" x14ac:dyDescent="0.25">
      <c r="A312318" s="1"/>
    </row>
    <row r="312319" spans="1:1" x14ac:dyDescent="0.25">
      <c r="A312319" s="1"/>
    </row>
    <row r="312320" spans="1:1" x14ac:dyDescent="0.25">
      <c r="A312320" s="1"/>
    </row>
    <row r="312321" spans="1:1" x14ac:dyDescent="0.25">
      <c r="A312321" s="1"/>
    </row>
    <row r="312322" spans="1:1" x14ac:dyDescent="0.25">
      <c r="A312322" s="1"/>
    </row>
    <row r="312323" spans="1:1" x14ac:dyDescent="0.25">
      <c r="A312323" s="1"/>
    </row>
    <row r="312324" spans="1:1" x14ac:dyDescent="0.25">
      <c r="A312324" s="1"/>
    </row>
    <row r="312325" spans="1:1" x14ac:dyDescent="0.25">
      <c r="A312325" s="1"/>
    </row>
    <row r="312326" spans="1:1" x14ac:dyDescent="0.25">
      <c r="A312326" s="1"/>
    </row>
    <row r="312327" spans="1:1" x14ac:dyDescent="0.25">
      <c r="A312327" s="1"/>
    </row>
    <row r="312328" spans="1:1" x14ac:dyDescent="0.25">
      <c r="A312328" s="1"/>
    </row>
    <row r="312329" spans="1:1" x14ac:dyDescent="0.25">
      <c r="A312329" s="1"/>
    </row>
    <row r="312330" spans="1:1" x14ac:dyDescent="0.25">
      <c r="A312330" s="1"/>
    </row>
    <row r="312331" spans="1:1" x14ac:dyDescent="0.25">
      <c r="A312331" s="1"/>
    </row>
    <row r="312332" spans="1:1" x14ac:dyDescent="0.25">
      <c r="A312332" s="1"/>
    </row>
    <row r="312333" spans="1:1" x14ac:dyDescent="0.25">
      <c r="A312333" s="1"/>
    </row>
    <row r="312334" spans="1:1" x14ac:dyDescent="0.25">
      <c r="A312334" s="1"/>
    </row>
    <row r="312335" spans="1:1" x14ac:dyDescent="0.25">
      <c r="A312335" s="1"/>
    </row>
    <row r="312336" spans="1:1" x14ac:dyDescent="0.25">
      <c r="A312336" s="1"/>
    </row>
    <row r="312337" spans="1:1" x14ac:dyDescent="0.25">
      <c r="A312337" s="1"/>
    </row>
    <row r="312338" spans="1:1" x14ac:dyDescent="0.25">
      <c r="A312338" s="1"/>
    </row>
    <row r="312339" spans="1:1" x14ac:dyDescent="0.25">
      <c r="A312339" s="1"/>
    </row>
    <row r="312340" spans="1:1" x14ac:dyDescent="0.25">
      <c r="A312340" s="1"/>
    </row>
    <row r="312341" spans="1:1" x14ac:dyDescent="0.25">
      <c r="A312341" s="1"/>
    </row>
    <row r="312342" spans="1:1" x14ac:dyDescent="0.25">
      <c r="A312342" s="1"/>
    </row>
    <row r="312343" spans="1:1" x14ac:dyDescent="0.25">
      <c r="A312343" s="1"/>
    </row>
    <row r="312344" spans="1:1" x14ac:dyDescent="0.25">
      <c r="A312344" s="1"/>
    </row>
    <row r="312345" spans="1:1" x14ac:dyDescent="0.25">
      <c r="A312345" s="1"/>
    </row>
    <row r="312346" spans="1:1" x14ac:dyDescent="0.25">
      <c r="A312346" s="1"/>
    </row>
    <row r="312347" spans="1:1" x14ac:dyDescent="0.25">
      <c r="A312347" s="1"/>
    </row>
    <row r="312348" spans="1:1" x14ac:dyDescent="0.25">
      <c r="A312348" s="1"/>
    </row>
    <row r="312349" spans="1:1" x14ac:dyDescent="0.25">
      <c r="A312349" s="1"/>
    </row>
    <row r="312350" spans="1:1" x14ac:dyDescent="0.25">
      <c r="A312350" s="1"/>
    </row>
    <row r="312351" spans="1:1" x14ac:dyDescent="0.25">
      <c r="A312351" s="1"/>
    </row>
    <row r="312352" spans="1:1" x14ac:dyDescent="0.25">
      <c r="A312352" s="1"/>
    </row>
    <row r="312353" spans="1:1" x14ac:dyDescent="0.25">
      <c r="A312353" s="1"/>
    </row>
    <row r="312354" spans="1:1" x14ac:dyDescent="0.25">
      <c r="A312354" s="1"/>
    </row>
    <row r="312355" spans="1:1" x14ac:dyDescent="0.25">
      <c r="A312355" s="1"/>
    </row>
    <row r="312356" spans="1:1" x14ac:dyDescent="0.25">
      <c r="A312356" s="1"/>
    </row>
    <row r="312357" spans="1:1" x14ac:dyDescent="0.25">
      <c r="A312357" s="1"/>
    </row>
    <row r="312358" spans="1:1" x14ac:dyDescent="0.25">
      <c r="A312358" s="1"/>
    </row>
    <row r="312359" spans="1:1" x14ac:dyDescent="0.25">
      <c r="A312359" s="1"/>
    </row>
    <row r="312360" spans="1:1" x14ac:dyDescent="0.25">
      <c r="A312360" s="1"/>
    </row>
    <row r="312361" spans="1:1" x14ac:dyDescent="0.25">
      <c r="A312361" s="1"/>
    </row>
    <row r="312362" spans="1:1" x14ac:dyDescent="0.25">
      <c r="A312362" s="1"/>
    </row>
    <row r="312363" spans="1:1" x14ac:dyDescent="0.25">
      <c r="A312363" s="1"/>
    </row>
    <row r="312364" spans="1:1" x14ac:dyDescent="0.25">
      <c r="A312364" s="1"/>
    </row>
    <row r="312365" spans="1:1" x14ac:dyDescent="0.25">
      <c r="A312365" s="1"/>
    </row>
    <row r="312366" spans="1:1" x14ac:dyDescent="0.25">
      <c r="A312366" s="1"/>
    </row>
    <row r="312367" spans="1:1" x14ac:dyDescent="0.25">
      <c r="A312367" s="1"/>
    </row>
    <row r="312368" spans="1:1" x14ac:dyDescent="0.25">
      <c r="A312368" s="1"/>
    </row>
    <row r="312369" spans="1:1" x14ac:dyDescent="0.25">
      <c r="A312369" s="1"/>
    </row>
    <row r="312370" spans="1:1" x14ac:dyDescent="0.25">
      <c r="A312370" s="1"/>
    </row>
    <row r="312371" spans="1:1" x14ac:dyDescent="0.25">
      <c r="A312371" s="1"/>
    </row>
    <row r="312372" spans="1:1" x14ac:dyDescent="0.25">
      <c r="A312372" s="1"/>
    </row>
    <row r="312373" spans="1:1" x14ac:dyDescent="0.25">
      <c r="A312373" s="1"/>
    </row>
    <row r="312374" spans="1:1" x14ac:dyDescent="0.25">
      <c r="A312374" s="1"/>
    </row>
    <row r="312375" spans="1:1" x14ac:dyDescent="0.25">
      <c r="A312375" s="1"/>
    </row>
    <row r="312376" spans="1:1" x14ac:dyDescent="0.25">
      <c r="A312376" s="1"/>
    </row>
    <row r="312377" spans="1:1" x14ac:dyDescent="0.25">
      <c r="A312377" s="1"/>
    </row>
    <row r="312378" spans="1:1" x14ac:dyDescent="0.25">
      <c r="A312378" s="1"/>
    </row>
    <row r="312379" spans="1:1" x14ac:dyDescent="0.25">
      <c r="A312379" s="1"/>
    </row>
    <row r="312380" spans="1:1" x14ac:dyDescent="0.25">
      <c r="A312380" s="1"/>
    </row>
    <row r="312381" spans="1:1" x14ac:dyDescent="0.25">
      <c r="A312381" s="1"/>
    </row>
    <row r="312382" spans="1:1" x14ac:dyDescent="0.25">
      <c r="A312382" s="1"/>
    </row>
    <row r="312383" spans="1:1" x14ac:dyDescent="0.25">
      <c r="A312383" s="1"/>
    </row>
    <row r="312384" spans="1:1" x14ac:dyDescent="0.25">
      <c r="A312384" s="1"/>
    </row>
    <row r="312385" spans="1:1" x14ac:dyDescent="0.25">
      <c r="A312385" s="1"/>
    </row>
    <row r="312386" spans="1:1" x14ac:dyDescent="0.25">
      <c r="A312386" s="1"/>
    </row>
    <row r="312387" spans="1:1" x14ac:dyDescent="0.25">
      <c r="A312387" s="1"/>
    </row>
    <row r="312388" spans="1:1" x14ac:dyDescent="0.25">
      <c r="A312388" s="1"/>
    </row>
    <row r="312389" spans="1:1" x14ac:dyDescent="0.25">
      <c r="A312389" s="1"/>
    </row>
    <row r="312390" spans="1:1" x14ac:dyDescent="0.25">
      <c r="A312390" s="1"/>
    </row>
    <row r="312391" spans="1:1" x14ac:dyDescent="0.25">
      <c r="A312391" s="1"/>
    </row>
    <row r="312392" spans="1:1" x14ac:dyDescent="0.25">
      <c r="A312392" s="1"/>
    </row>
    <row r="312393" spans="1:1" x14ac:dyDescent="0.25">
      <c r="A312393" s="1"/>
    </row>
    <row r="312394" spans="1:1" x14ac:dyDescent="0.25">
      <c r="A312394" s="1"/>
    </row>
    <row r="312395" spans="1:1" x14ac:dyDescent="0.25">
      <c r="A312395" s="1"/>
    </row>
    <row r="312396" spans="1:1" x14ac:dyDescent="0.25">
      <c r="A312396" s="1"/>
    </row>
    <row r="312397" spans="1:1" x14ac:dyDescent="0.25">
      <c r="A312397" s="1"/>
    </row>
    <row r="312398" spans="1:1" x14ac:dyDescent="0.25">
      <c r="A312398" s="1"/>
    </row>
    <row r="312399" spans="1:1" x14ac:dyDescent="0.25">
      <c r="A312399" s="1"/>
    </row>
    <row r="312400" spans="1:1" x14ac:dyDescent="0.25">
      <c r="A312400" s="1"/>
    </row>
    <row r="312401" spans="1:1" x14ac:dyDescent="0.25">
      <c r="A312401" s="1"/>
    </row>
    <row r="312402" spans="1:1" x14ac:dyDescent="0.25">
      <c r="A312402" s="1"/>
    </row>
    <row r="312403" spans="1:1" x14ac:dyDescent="0.25">
      <c r="A312403" s="1"/>
    </row>
    <row r="312404" spans="1:1" x14ac:dyDescent="0.25">
      <c r="A312404" s="1"/>
    </row>
    <row r="312405" spans="1:1" x14ac:dyDescent="0.25">
      <c r="A312405" s="1"/>
    </row>
    <row r="312406" spans="1:1" x14ac:dyDescent="0.25">
      <c r="A312406" s="1"/>
    </row>
    <row r="312407" spans="1:1" x14ac:dyDescent="0.25">
      <c r="A312407" s="1"/>
    </row>
    <row r="312408" spans="1:1" x14ac:dyDescent="0.25">
      <c r="A312408" s="1"/>
    </row>
    <row r="312409" spans="1:1" x14ac:dyDescent="0.25">
      <c r="A312409" s="1"/>
    </row>
    <row r="312410" spans="1:1" x14ac:dyDescent="0.25">
      <c r="A312410" s="1"/>
    </row>
    <row r="312411" spans="1:1" x14ac:dyDescent="0.25">
      <c r="A312411" s="1"/>
    </row>
    <row r="312412" spans="1:1" x14ac:dyDescent="0.25">
      <c r="A312412" s="1"/>
    </row>
    <row r="312413" spans="1:1" x14ac:dyDescent="0.25">
      <c r="A312413" s="1"/>
    </row>
    <row r="312414" spans="1:1" x14ac:dyDescent="0.25">
      <c r="A312414" s="1"/>
    </row>
    <row r="312415" spans="1:1" x14ac:dyDescent="0.25">
      <c r="A312415" s="1"/>
    </row>
    <row r="312416" spans="1:1" x14ac:dyDescent="0.25">
      <c r="A312416" s="1"/>
    </row>
    <row r="312417" spans="1:1" x14ac:dyDescent="0.25">
      <c r="A312417" s="1"/>
    </row>
    <row r="312418" spans="1:1" x14ac:dyDescent="0.25">
      <c r="A312418" s="1"/>
    </row>
    <row r="312419" spans="1:1" x14ac:dyDescent="0.25">
      <c r="A312419" s="1"/>
    </row>
    <row r="312420" spans="1:1" x14ac:dyDescent="0.25">
      <c r="A312420" s="1"/>
    </row>
    <row r="312421" spans="1:1" x14ac:dyDescent="0.25">
      <c r="A312421" s="1"/>
    </row>
    <row r="312422" spans="1:1" x14ac:dyDescent="0.25">
      <c r="A312422" s="1"/>
    </row>
    <row r="312423" spans="1:1" x14ac:dyDescent="0.25">
      <c r="A312423" s="1"/>
    </row>
    <row r="312424" spans="1:1" x14ac:dyDescent="0.25">
      <c r="A312424" s="1"/>
    </row>
    <row r="312425" spans="1:1" x14ac:dyDescent="0.25">
      <c r="A312425" s="1"/>
    </row>
    <row r="312426" spans="1:1" x14ac:dyDescent="0.25">
      <c r="A312426" s="1"/>
    </row>
    <row r="312427" spans="1:1" x14ac:dyDescent="0.25">
      <c r="A312427" s="1"/>
    </row>
    <row r="312428" spans="1:1" x14ac:dyDescent="0.25">
      <c r="A312428" s="1"/>
    </row>
    <row r="312429" spans="1:1" x14ac:dyDescent="0.25">
      <c r="A312429" s="1"/>
    </row>
    <row r="312430" spans="1:1" x14ac:dyDescent="0.25">
      <c r="A312430" s="1"/>
    </row>
    <row r="312431" spans="1:1" x14ac:dyDescent="0.25">
      <c r="A312431" s="1"/>
    </row>
    <row r="312432" spans="1:1" x14ac:dyDescent="0.25">
      <c r="A312432" s="1"/>
    </row>
    <row r="312433" spans="1:1" x14ac:dyDescent="0.25">
      <c r="A312433" s="1"/>
    </row>
    <row r="312434" spans="1:1" x14ac:dyDescent="0.25">
      <c r="A312434" s="1"/>
    </row>
    <row r="312435" spans="1:1" x14ac:dyDescent="0.25">
      <c r="A312435" s="1"/>
    </row>
    <row r="312436" spans="1:1" x14ac:dyDescent="0.25">
      <c r="A312436" s="1"/>
    </row>
    <row r="312437" spans="1:1" x14ac:dyDescent="0.25">
      <c r="A312437" s="1"/>
    </row>
    <row r="312438" spans="1:1" x14ac:dyDescent="0.25">
      <c r="A312438" s="1"/>
    </row>
    <row r="312439" spans="1:1" x14ac:dyDescent="0.25">
      <c r="A312439" s="1"/>
    </row>
    <row r="312440" spans="1:1" x14ac:dyDescent="0.25">
      <c r="A312440" s="1"/>
    </row>
    <row r="312441" spans="1:1" x14ac:dyDescent="0.25">
      <c r="A312441" s="1"/>
    </row>
    <row r="312442" spans="1:1" x14ac:dyDescent="0.25">
      <c r="A312442" s="1"/>
    </row>
    <row r="312443" spans="1:1" x14ac:dyDescent="0.25">
      <c r="A312443" s="1"/>
    </row>
    <row r="312444" spans="1:1" x14ac:dyDescent="0.25">
      <c r="A312444" s="1"/>
    </row>
    <row r="312445" spans="1:1" x14ac:dyDescent="0.25">
      <c r="A312445" s="1"/>
    </row>
    <row r="312446" spans="1:1" x14ac:dyDescent="0.25">
      <c r="A312446" s="1"/>
    </row>
    <row r="312447" spans="1:1" x14ac:dyDescent="0.25">
      <c r="A312447" s="1"/>
    </row>
    <row r="312448" spans="1:1" x14ac:dyDescent="0.25">
      <c r="A312448" s="1"/>
    </row>
    <row r="312449" spans="1:1" x14ac:dyDescent="0.25">
      <c r="A312449" s="1"/>
    </row>
    <row r="312450" spans="1:1" x14ac:dyDescent="0.25">
      <c r="A312450" s="1"/>
    </row>
    <row r="312451" spans="1:1" x14ac:dyDescent="0.25">
      <c r="A312451" s="1"/>
    </row>
    <row r="312452" spans="1:1" x14ac:dyDescent="0.25">
      <c r="A312452" s="1"/>
    </row>
    <row r="312453" spans="1:1" x14ac:dyDescent="0.25">
      <c r="A312453" s="1"/>
    </row>
    <row r="312454" spans="1:1" x14ac:dyDescent="0.25">
      <c r="A312454" s="1"/>
    </row>
    <row r="312455" spans="1:1" x14ac:dyDescent="0.25">
      <c r="A312455" s="1"/>
    </row>
    <row r="312456" spans="1:1" x14ac:dyDescent="0.25">
      <c r="A312456" s="1"/>
    </row>
    <row r="312457" spans="1:1" x14ac:dyDescent="0.25">
      <c r="A312457" s="1"/>
    </row>
    <row r="312458" spans="1:1" x14ac:dyDescent="0.25">
      <c r="A312458" s="1"/>
    </row>
    <row r="312459" spans="1:1" x14ac:dyDescent="0.25">
      <c r="A312459" s="1"/>
    </row>
    <row r="312460" spans="1:1" x14ac:dyDescent="0.25">
      <c r="A312460" s="1"/>
    </row>
    <row r="312461" spans="1:1" x14ac:dyDescent="0.25">
      <c r="A312461" s="1"/>
    </row>
    <row r="312462" spans="1:1" x14ac:dyDescent="0.25">
      <c r="A312462" s="1"/>
    </row>
    <row r="312463" spans="1:1" x14ac:dyDescent="0.25">
      <c r="A312463" s="1"/>
    </row>
    <row r="312464" spans="1:1" x14ac:dyDescent="0.25">
      <c r="A312464" s="1"/>
    </row>
    <row r="312465" spans="1:1" x14ac:dyDescent="0.25">
      <c r="A312465" s="1"/>
    </row>
    <row r="312466" spans="1:1" x14ac:dyDescent="0.25">
      <c r="A312466" s="1"/>
    </row>
    <row r="312467" spans="1:1" x14ac:dyDescent="0.25">
      <c r="A312467" s="1"/>
    </row>
    <row r="312468" spans="1:1" x14ac:dyDescent="0.25">
      <c r="A312468" s="1"/>
    </row>
    <row r="312469" spans="1:1" x14ac:dyDescent="0.25">
      <c r="A312469" s="1"/>
    </row>
    <row r="312470" spans="1:1" x14ac:dyDescent="0.25">
      <c r="A312470" s="1"/>
    </row>
    <row r="312471" spans="1:1" x14ac:dyDescent="0.25">
      <c r="A312471" s="1"/>
    </row>
    <row r="312472" spans="1:1" x14ac:dyDescent="0.25">
      <c r="A312472" s="1"/>
    </row>
    <row r="312473" spans="1:1" x14ac:dyDescent="0.25">
      <c r="A312473" s="1"/>
    </row>
    <row r="312474" spans="1:1" x14ac:dyDescent="0.25">
      <c r="A312474" s="1"/>
    </row>
    <row r="312475" spans="1:1" x14ac:dyDescent="0.25">
      <c r="A312475" s="1"/>
    </row>
    <row r="312476" spans="1:1" x14ac:dyDescent="0.25">
      <c r="A312476" s="1"/>
    </row>
    <row r="312477" spans="1:1" x14ac:dyDescent="0.25">
      <c r="A312477" s="1"/>
    </row>
    <row r="312478" spans="1:1" x14ac:dyDescent="0.25">
      <c r="A312478" s="1"/>
    </row>
    <row r="312479" spans="1:1" x14ac:dyDescent="0.25">
      <c r="A312479" s="1"/>
    </row>
    <row r="312480" spans="1:1" x14ac:dyDescent="0.25">
      <c r="A312480" s="1"/>
    </row>
    <row r="312481" spans="1:1" x14ac:dyDescent="0.25">
      <c r="A312481" s="1"/>
    </row>
    <row r="312482" spans="1:1" x14ac:dyDescent="0.25">
      <c r="A312482" s="1"/>
    </row>
    <row r="312483" spans="1:1" x14ac:dyDescent="0.25">
      <c r="A312483" s="1"/>
    </row>
    <row r="312484" spans="1:1" x14ac:dyDescent="0.25">
      <c r="A312484" s="1"/>
    </row>
    <row r="312485" spans="1:1" x14ac:dyDescent="0.25">
      <c r="A312485" s="1"/>
    </row>
    <row r="312486" spans="1:1" x14ac:dyDescent="0.25">
      <c r="A312486" s="1"/>
    </row>
    <row r="312487" spans="1:1" x14ac:dyDescent="0.25">
      <c r="A312487" s="1"/>
    </row>
    <row r="312488" spans="1:1" x14ac:dyDescent="0.25">
      <c r="A312488" s="1"/>
    </row>
    <row r="312489" spans="1:1" x14ac:dyDescent="0.25">
      <c r="A312489" s="1"/>
    </row>
    <row r="312490" spans="1:1" x14ac:dyDescent="0.25">
      <c r="A312490" s="1"/>
    </row>
    <row r="312491" spans="1:1" x14ac:dyDescent="0.25">
      <c r="A312491" s="1"/>
    </row>
    <row r="312492" spans="1:1" x14ac:dyDescent="0.25">
      <c r="A312492" s="1"/>
    </row>
    <row r="312493" spans="1:1" x14ac:dyDescent="0.25">
      <c r="A312493" s="1"/>
    </row>
    <row r="312494" spans="1:1" x14ac:dyDescent="0.25">
      <c r="A312494" s="1"/>
    </row>
    <row r="312495" spans="1:1" x14ac:dyDescent="0.25">
      <c r="A312495" s="1"/>
    </row>
    <row r="312496" spans="1:1" x14ac:dyDescent="0.25">
      <c r="A312496" s="1"/>
    </row>
    <row r="312497" spans="1:1" x14ac:dyDescent="0.25">
      <c r="A312497" s="1"/>
    </row>
    <row r="312498" spans="1:1" x14ac:dyDescent="0.25">
      <c r="A312498" s="1"/>
    </row>
    <row r="312499" spans="1:1" x14ac:dyDescent="0.25">
      <c r="A312499" s="1"/>
    </row>
    <row r="312500" spans="1:1" x14ac:dyDescent="0.25">
      <c r="A312500" s="1"/>
    </row>
    <row r="312501" spans="1:1" x14ac:dyDescent="0.25">
      <c r="A312501" s="1"/>
    </row>
    <row r="312502" spans="1:1" x14ac:dyDescent="0.25">
      <c r="A312502" s="1"/>
    </row>
    <row r="312503" spans="1:1" x14ac:dyDescent="0.25">
      <c r="A312503" s="1"/>
    </row>
    <row r="312504" spans="1:1" x14ac:dyDescent="0.25">
      <c r="A312504" s="1"/>
    </row>
    <row r="312505" spans="1:1" x14ac:dyDescent="0.25">
      <c r="A312505" s="1"/>
    </row>
    <row r="312506" spans="1:1" x14ac:dyDescent="0.25">
      <c r="A312506" s="1"/>
    </row>
    <row r="312507" spans="1:1" x14ac:dyDescent="0.25">
      <c r="A312507" s="1"/>
    </row>
    <row r="312508" spans="1:1" x14ac:dyDescent="0.25">
      <c r="A312508" s="1"/>
    </row>
    <row r="312509" spans="1:1" x14ac:dyDescent="0.25">
      <c r="A312509" s="1"/>
    </row>
    <row r="312510" spans="1:1" x14ac:dyDescent="0.25">
      <c r="A312510" s="1"/>
    </row>
    <row r="312511" spans="1:1" x14ac:dyDescent="0.25">
      <c r="A312511" s="1"/>
    </row>
    <row r="312512" spans="1:1" x14ac:dyDescent="0.25">
      <c r="A312512" s="1"/>
    </row>
    <row r="312513" spans="1:1" x14ac:dyDescent="0.25">
      <c r="A312513" s="1"/>
    </row>
    <row r="312514" spans="1:1" x14ac:dyDescent="0.25">
      <c r="A312514" s="1"/>
    </row>
    <row r="312515" spans="1:1" x14ac:dyDescent="0.25">
      <c r="A312515" s="1"/>
    </row>
    <row r="312516" spans="1:1" x14ac:dyDescent="0.25">
      <c r="A312516" s="1"/>
    </row>
    <row r="312517" spans="1:1" x14ac:dyDescent="0.25">
      <c r="A312517" s="1"/>
    </row>
    <row r="312518" spans="1:1" x14ac:dyDescent="0.25">
      <c r="A312518" s="1"/>
    </row>
    <row r="312519" spans="1:1" x14ac:dyDescent="0.25">
      <c r="A312519" s="1"/>
    </row>
    <row r="312520" spans="1:1" x14ac:dyDescent="0.25">
      <c r="A312520" s="1"/>
    </row>
    <row r="312521" spans="1:1" x14ac:dyDescent="0.25">
      <c r="A312521" s="1"/>
    </row>
    <row r="312522" spans="1:1" x14ac:dyDescent="0.25">
      <c r="A312522" s="1"/>
    </row>
    <row r="312523" spans="1:1" x14ac:dyDescent="0.25">
      <c r="A312523" s="1"/>
    </row>
    <row r="312524" spans="1:1" x14ac:dyDescent="0.25">
      <c r="A312524" s="1"/>
    </row>
    <row r="312525" spans="1:1" x14ac:dyDescent="0.25">
      <c r="A312525" s="1"/>
    </row>
    <row r="312526" spans="1:1" x14ac:dyDescent="0.25">
      <c r="A312526" s="1"/>
    </row>
    <row r="312527" spans="1:1" x14ac:dyDescent="0.25">
      <c r="A312527" s="1"/>
    </row>
    <row r="312528" spans="1:1" x14ac:dyDescent="0.25">
      <c r="A312528" s="1"/>
    </row>
    <row r="312529" spans="1:1" x14ac:dyDescent="0.25">
      <c r="A312529" s="1"/>
    </row>
    <row r="312530" spans="1:1" x14ac:dyDescent="0.25">
      <c r="A312530" s="1"/>
    </row>
    <row r="312531" spans="1:1" x14ac:dyDescent="0.25">
      <c r="A312531" s="1"/>
    </row>
    <row r="312532" spans="1:1" x14ac:dyDescent="0.25">
      <c r="A312532" s="1"/>
    </row>
    <row r="312533" spans="1:1" x14ac:dyDescent="0.25">
      <c r="A312533" s="1"/>
    </row>
    <row r="312534" spans="1:1" x14ac:dyDescent="0.25">
      <c r="A312534" s="1"/>
    </row>
    <row r="312535" spans="1:1" x14ac:dyDescent="0.25">
      <c r="A312535" s="1"/>
    </row>
    <row r="312536" spans="1:1" x14ac:dyDescent="0.25">
      <c r="A312536" s="1"/>
    </row>
    <row r="312537" spans="1:1" x14ac:dyDescent="0.25">
      <c r="A312537" s="1"/>
    </row>
    <row r="312538" spans="1:1" x14ac:dyDescent="0.25">
      <c r="A312538" s="1"/>
    </row>
    <row r="312539" spans="1:1" x14ac:dyDescent="0.25">
      <c r="A312539" s="1"/>
    </row>
    <row r="312540" spans="1:1" x14ac:dyDescent="0.25">
      <c r="A312540" s="1"/>
    </row>
    <row r="312541" spans="1:1" x14ac:dyDescent="0.25">
      <c r="A312541" s="1"/>
    </row>
    <row r="312542" spans="1:1" x14ac:dyDescent="0.25">
      <c r="A312542" s="1"/>
    </row>
    <row r="312543" spans="1:1" x14ac:dyDescent="0.25">
      <c r="A312543" s="1"/>
    </row>
    <row r="312544" spans="1:1" x14ac:dyDescent="0.25">
      <c r="A312544" s="1"/>
    </row>
    <row r="312545" spans="1:1" x14ac:dyDescent="0.25">
      <c r="A312545" s="1"/>
    </row>
    <row r="312546" spans="1:1" x14ac:dyDescent="0.25">
      <c r="A312546" s="1"/>
    </row>
    <row r="312547" spans="1:1" x14ac:dyDescent="0.25">
      <c r="A312547" s="1"/>
    </row>
    <row r="312548" spans="1:1" x14ac:dyDescent="0.25">
      <c r="A312548" s="1"/>
    </row>
    <row r="312549" spans="1:1" x14ac:dyDescent="0.25">
      <c r="A312549" s="1"/>
    </row>
    <row r="312550" spans="1:1" x14ac:dyDescent="0.25">
      <c r="A312550" s="1"/>
    </row>
    <row r="312551" spans="1:1" x14ac:dyDescent="0.25">
      <c r="A312551" s="1"/>
    </row>
    <row r="312552" spans="1:1" x14ac:dyDescent="0.25">
      <c r="A312552" s="1"/>
    </row>
    <row r="312553" spans="1:1" x14ac:dyDescent="0.25">
      <c r="A312553" s="1"/>
    </row>
    <row r="312554" spans="1:1" x14ac:dyDescent="0.25">
      <c r="A312554" s="1"/>
    </row>
    <row r="312555" spans="1:1" x14ac:dyDescent="0.25">
      <c r="A312555" s="1"/>
    </row>
    <row r="312556" spans="1:1" x14ac:dyDescent="0.25">
      <c r="A312556" s="1"/>
    </row>
    <row r="312557" spans="1:1" x14ac:dyDescent="0.25">
      <c r="A312557" s="1"/>
    </row>
    <row r="312558" spans="1:1" x14ac:dyDescent="0.25">
      <c r="A312558" s="1"/>
    </row>
    <row r="312559" spans="1:1" x14ac:dyDescent="0.25">
      <c r="A312559" s="1"/>
    </row>
    <row r="312560" spans="1:1" x14ac:dyDescent="0.25">
      <c r="A312560" s="1"/>
    </row>
    <row r="312561" spans="1:1" x14ac:dyDescent="0.25">
      <c r="A312561" s="1"/>
    </row>
    <row r="312562" spans="1:1" x14ac:dyDescent="0.25">
      <c r="A312562" s="1"/>
    </row>
    <row r="312563" spans="1:1" x14ac:dyDescent="0.25">
      <c r="A312563" s="1"/>
    </row>
    <row r="312564" spans="1:1" x14ac:dyDescent="0.25">
      <c r="A312564" s="1"/>
    </row>
    <row r="312565" spans="1:1" x14ac:dyDescent="0.25">
      <c r="A312565" s="1"/>
    </row>
    <row r="312566" spans="1:1" x14ac:dyDescent="0.25">
      <c r="A312566" s="1"/>
    </row>
    <row r="312567" spans="1:1" x14ac:dyDescent="0.25">
      <c r="A312567" s="1"/>
    </row>
    <row r="312568" spans="1:1" x14ac:dyDescent="0.25">
      <c r="A312568" s="1"/>
    </row>
    <row r="312569" spans="1:1" x14ac:dyDescent="0.25">
      <c r="A312569" s="1"/>
    </row>
    <row r="312570" spans="1:1" x14ac:dyDescent="0.25">
      <c r="A312570" s="1"/>
    </row>
    <row r="312571" spans="1:1" x14ac:dyDescent="0.25">
      <c r="A312571" s="1"/>
    </row>
    <row r="312572" spans="1:1" x14ac:dyDescent="0.25">
      <c r="A312572" s="1"/>
    </row>
    <row r="312573" spans="1:1" x14ac:dyDescent="0.25">
      <c r="A312573" s="1"/>
    </row>
    <row r="312574" spans="1:1" x14ac:dyDescent="0.25">
      <c r="A312574" s="1"/>
    </row>
    <row r="312575" spans="1:1" x14ac:dyDescent="0.25">
      <c r="A312575" s="1"/>
    </row>
    <row r="312576" spans="1:1" x14ac:dyDescent="0.25">
      <c r="A312576" s="1"/>
    </row>
    <row r="312577" spans="1:1" x14ac:dyDescent="0.25">
      <c r="A312577" s="1"/>
    </row>
    <row r="312578" spans="1:1" x14ac:dyDescent="0.25">
      <c r="A312578" s="1"/>
    </row>
    <row r="312579" spans="1:1" x14ac:dyDescent="0.25">
      <c r="A312579" s="1"/>
    </row>
    <row r="312580" spans="1:1" x14ac:dyDescent="0.25">
      <c r="A312580" s="1"/>
    </row>
    <row r="312581" spans="1:1" x14ac:dyDescent="0.25">
      <c r="A312581" s="1"/>
    </row>
    <row r="312582" spans="1:1" x14ac:dyDescent="0.25">
      <c r="A312582" s="1"/>
    </row>
    <row r="312583" spans="1:1" x14ac:dyDescent="0.25">
      <c r="A312583" s="1"/>
    </row>
    <row r="312584" spans="1:1" x14ac:dyDescent="0.25">
      <c r="A312584" s="1"/>
    </row>
    <row r="312585" spans="1:1" x14ac:dyDescent="0.25">
      <c r="A312585" s="1"/>
    </row>
    <row r="312586" spans="1:1" x14ac:dyDescent="0.25">
      <c r="A312586" s="1"/>
    </row>
    <row r="312587" spans="1:1" x14ac:dyDescent="0.25">
      <c r="A312587" s="1"/>
    </row>
    <row r="312588" spans="1:1" x14ac:dyDescent="0.25">
      <c r="A312588" s="1"/>
    </row>
    <row r="312589" spans="1:1" x14ac:dyDescent="0.25">
      <c r="A312589" s="1"/>
    </row>
    <row r="312590" spans="1:1" x14ac:dyDescent="0.25">
      <c r="A312590" s="1"/>
    </row>
    <row r="312591" spans="1:1" x14ac:dyDescent="0.25">
      <c r="A312591" s="1"/>
    </row>
    <row r="312592" spans="1:1" x14ac:dyDescent="0.25">
      <c r="A312592" s="1"/>
    </row>
    <row r="312593" spans="1:1" x14ac:dyDescent="0.25">
      <c r="A312593" s="1"/>
    </row>
    <row r="312594" spans="1:1" x14ac:dyDescent="0.25">
      <c r="A312594" s="1"/>
    </row>
    <row r="312595" spans="1:1" x14ac:dyDescent="0.25">
      <c r="A312595" s="1"/>
    </row>
    <row r="312596" spans="1:1" x14ac:dyDescent="0.25">
      <c r="A312596" s="1"/>
    </row>
    <row r="312597" spans="1:1" x14ac:dyDescent="0.25">
      <c r="A312597" s="1"/>
    </row>
    <row r="312598" spans="1:1" x14ac:dyDescent="0.25">
      <c r="A312598" s="1"/>
    </row>
    <row r="312599" spans="1:1" x14ac:dyDescent="0.25">
      <c r="A312599" s="1"/>
    </row>
    <row r="312600" spans="1:1" x14ac:dyDescent="0.25">
      <c r="A312600" s="1"/>
    </row>
    <row r="312601" spans="1:1" x14ac:dyDescent="0.25">
      <c r="A312601" s="1"/>
    </row>
    <row r="312602" spans="1:1" x14ac:dyDescent="0.25">
      <c r="A312602" s="1"/>
    </row>
    <row r="312603" spans="1:1" x14ac:dyDescent="0.25">
      <c r="A312603" s="1"/>
    </row>
    <row r="312604" spans="1:1" x14ac:dyDescent="0.25">
      <c r="A312604" s="1"/>
    </row>
    <row r="312605" spans="1:1" x14ac:dyDescent="0.25">
      <c r="A312605" s="1"/>
    </row>
    <row r="312606" spans="1:1" x14ac:dyDescent="0.25">
      <c r="A312606" s="1"/>
    </row>
    <row r="312607" spans="1:1" x14ac:dyDescent="0.25">
      <c r="A312607" s="1"/>
    </row>
    <row r="312608" spans="1:1" x14ac:dyDescent="0.25">
      <c r="A312608" s="1"/>
    </row>
    <row r="312609" spans="1:1" x14ac:dyDescent="0.25">
      <c r="A312609" s="1"/>
    </row>
    <row r="312610" spans="1:1" x14ac:dyDescent="0.25">
      <c r="A312610" s="1"/>
    </row>
    <row r="312611" spans="1:1" x14ac:dyDescent="0.25">
      <c r="A312611" s="1"/>
    </row>
    <row r="312612" spans="1:1" x14ac:dyDescent="0.25">
      <c r="A312612" s="1"/>
    </row>
    <row r="312613" spans="1:1" x14ac:dyDescent="0.25">
      <c r="A312613" s="1"/>
    </row>
    <row r="312614" spans="1:1" x14ac:dyDescent="0.25">
      <c r="A312614" s="1"/>
    </row>
    <row r="312615" spans="1:1" x14ac:dyDescent="0.25">
      <c r="A312615" s="1"/>
    </row>
    <row r="312616" spans="1:1" x14ac:dyDescent="0.25">
      <c r="A312616" s="1"/>
    </row>
    <row r="312617" spans="1:1" x14ac:dyDescent="0.25">
      <c r="A312617" s="1"/>
    </row>
    <row r="312618" spans="1:1" x14ac:dyDescent="0.25">
      <c r="A312618" s="1"/>
    </row>
    <row r="312619" spans="1:1" x14ac:dyDescent="0.25">
      <c r="A312619" s="1"/>
    </row>
    <row r="312620" spans="1:1" x14ac:dyDescent="0.25">
      <c r="A312620" s="1"/>
    </row>
    <row r="312621" spans="1:1" x14ac:dyDescent="0.25">
      <c r="A312621" s="1"/>
    </row>
    <row r="312622" spans="1:1" x14ac:dyDescent="0.25">
      <c r="A312622" s="1"/>
    </row>
    <row r="312623" spans="1:1" x14ac:dyDescent="0.25">
      <c r="A312623" s="1"/>
    </row>
    <row r="312624" spans="1:1" x14ac:dyDescent="0.25">
      <c r="A312624" s="1"/>
    </row>
    <row r="312625" spans="1:1" x14ac:dyDescent="0.25">
      <c r="A312625" s="1"/>
    </row>
    <row r="312626" spans="1:1" x14ac:dyDescent="0.25">
      <c r="A312626" s="1"/>
    </row>
    <row r="312627" spans="1:1" x14ac:dyDescent="0.25">
      <c r="A312627" s="1"/>
    </row>
    <row r="312628" spans="1:1" x14ac:dyDescent="0.25">
      <c r="A312628" s="1"/>
    </row>
    <row r="312629" spans="1:1" x14ac:dyDescent="0.25">
      <c r="A312629" s="1"/>
    </row>
    <row r="312630" spans="1:1" x14ac:dyDescent="0.25">
      <c r="A312630" s="1"/>
    </row>
    <row r="312631" spans="1:1" x14ac:dyDescent="0.25">
      <c r="A312631" s="1"/>
    </row>
    <row r="312632" spans="1:1" x14ac:dyDescent="0.25">
      <c r="A312632" s="1"/>
    </row>
    <row r="312633" spans="1:1" x14ac:dyDescent="0.25">
      <c r="A312633" s="1"/>
    </row>
    <row r="312634" spans="1:1" x14ac:dyDescent="0.25">
      <c r="A312634" s="1"/>
    </row>
    <row r="312635" spans="1:1" x14ac:dyDescent="0.25">
      <c r="A312635" s="1"/>
    </row>
    <row r="312636" spans="1:1" x14ac:dyDescent="0.25">
      <c r="A312636" s="1"/>
    </row>
    <row r="312637" spans="1:1" x14ac:dyDescent="0.25">
      <c r="A312637" s="1"/>
    </row>
    <row r="312638" spans="1:1" x14ac:dyDescent="0.25">
      <c r="A312638" s="1"/>
    </row>
    <row r="312639" spans="1:1" x14ac:dyDescent="0.25">
      <c r="A312639" s="1"/>
    </row>
    <row r="312640" spans="1:1" x14ac:dyDescent="0.25">
      <c r="A312640" s="1"/>
    </row>
    <row r="312641" spans="1:1" x14ac:dyDescent="0.25">
      <c r="A312641" s="1"/>
    </row>
    <row r="312642" spans="1:1" x14ac:dyDescent="0.25">
      <c r="A312642" s="1"/>
    </row>
    <row r="312643" spans="1:1" x14ac:dyDescent="0.25">
      <c r="A312643" s="1"/>
    </row>
    <row r="312644" spans="1:1" x14ac:dyDescent="0.25">
      <c r="A312644" s="1"/>
    </row>
    <row r="312645" spans="1:1" x14ac:dyDescent="0.25">
      <c r="A312645" s="1"/>
    </row>
    <row r="312646" spans="1:1" x14ac:dyDescent="0.25">
      <c r="A312646" s="1"/>
    </row>
    <row r="312647" spans="1:1" x14ac:dyDescent="0.25">
      <c r="A312647" s="1"/>
    </row>
    <row r="312648" spans="1:1" x14ac:dyDescent="0.25">
      <c r="A312648" s="1"/>
    </row>
    <row r="312649" spans="1:1" x14ac:dyDescent="0.25">
      <c r="A312649" s="1"/>
    </row>
    <row r="312650" spans="1:1" x14ac:dyDescent="0.25">
      <c r="A312650" s="1"/>
    </row>
    <row r="312651" spans="1:1" x14ac:dyDescent="0.25">
      <c r="A312651" s="1"/>
    </row>
    <row r="312652" spans="1:1" x14ac:dyDescent="0.25">
      <c r="A312652" s="1"/>
    </row>
    <row r="312653" spans="1:1" x14ac:dyDescent="0.25">
      <c r="A312653" s="1"/>
    </row>
    <row r="312654" spans="1:1" x14ac:dyDescent="0.25">
      <c r="A312654" s="1"/>
    </row>
    <row r="312655" spans="1:1" x14ac:dyDescent="0.25">
      <c r="A312655" s="1"/>
    </row>
    <row r="312656" spans="1:1" x14ac:dyDescent="0.25">
      <c r="A312656" s="1"/>
    </row>
    <row r="312657" spans="1:1" x14ac:dyDescent="0.25">
      <c r="A312657" s="1"/>
    </row>
    <row r="312658" spans="1:1" x14ac:dyDescent="0.25">
      <c r="A312658" s="1"/>
    </row>
    <row r="312659" spans="1:1" x14ac:dyDescent="0.25">
      <c r="A312659" s="1"/>
    </row>
    <row r="312660" spans="1:1" x14ac:dyDescent="0.25">
      <c r="A312660" s="1"/>
    </row>
    <row r="312661" spans="1:1" x14ac:dyDescent="0.25">
      <c r="A312661" s="1"/>
    </row>
    <row r="312662" spans="1:1" x14ac:dyDescent="0.25">
      <c r="A312662" s="1"/>
    </row>
    <row r="312663" spans="1:1" x14ac:dyDescent="0.25">
      <c r="A312663" s="1"/>
    </row>
    <row r="312664" spans="1:1" x14ac:dyDescent="0.25">
      <c r="A312664" s="1"/>
    </row>
    <row r="312665" spans="1:1" x14ac:dyDescent="0.25">
      <c r="A312665" s="1"/>
    </row>
    <row r="312666" spans="1:1" x14ac:dyDescent="0.25">
      <c r="A312666" s="1"/>
    </row>
    <row r="312667" spans="1:1" x14ac:dyDescent="0.25">
      <c r="A312667" s="1"/>
    </row>
    <row r="312668" spans="1:1" x14ac:dyDescent="0.25">
      <c r="A312668" s="1"/>
    </row>
    <row r="312669" spans="1:1" x14ac:dyDescent="0.25">
      <c r="A312669" s="1"/>
    </row>
    <row r="312670" spans="1:1" x14ac:dyDescent="0.25">
      <c r="A312670" s="1"/>
    </row>
    <row r="312671" spans="1:1" x14ac:dyDescent="0.25">
      <c r="A312671" s="1"/>
    </row>
    <row r="312672" spans="1:1" x14ac:dyDescent="0.25">
      <c r="A312672" s="1"/>
    </row>
    <row r="312673" spans="1:1" x14ac:dyDescent="0.25">
      <c r="A312673" s="1"/>
    </row>
    <row r="312674" spans="1:1" x14ac:dyDescent="0.25">
      <c r="A312674" s="1"/>
    </row>
    <row r="312675" spans="1:1" x14ac:dyDescent="0.25">
      <c r="A312675" s="1"/>
    </row>
    <row r="312676" spans="1:1" x14ac:dyDescent="0.25">
      <c r="A312676" s="1"/>
    </row>
    <row r="312677" spans="1:1" x14ac:dyDescent="0.25">
      <c r="A312677" s="1"/>
    </row>
    <row r="312678" spans="1:1" x14ac:dyDescent="0.25">
      <c r="A312678" s="1"/>
    </row>
    <row r="312679" spans="1:1" x14ac:dyDescent="0.25">
      <c r="A312679" s="1"/>
    </row>
    <row r="312680" spans="1:1" x14ac:dyDescent="0.25">
      <c r="A312680" s="1"/>
    </row>
    <row r="312681" spans="1:1" x14ac:dyDescent="0.25">
      <c r="A312681" s="1"/>
    </row>
    <row r="312682" spans="1:1" x14ac:dyDescent="0.25">
      <c r="A312682" s="1"/>
    </row>
    <row r="312683" spans="1:1" x14ac:dyDescent="0.25">
      <c r="A312683" s="1"/>
    </row>
    <row r="312684" spans="1:1" x14ac:dyDescent="0.25">
      <c r="A312684" s="1"/>
    </row>
    <row r="312685" spans="1:1" x14ac:dyDescent="0.25">
      <c r="A312685" s="1"/>
    </row>
    <row r="312686" spans="1:1" x14ac:dyDescent="0.25">
      <c r="A312686" s="1"/>
    </row>
    <row r="312687" spans="1:1" x14ac:dyDescent="0.25">
      <c r="A312687" s="1"/>
    </row>
    <row r="312688" spans="1:1" x14ac:dyDescent="0.25">
      <c r="A312688" s="1"/>
    </row>
    <row r="312689" spans="1:1" x14ac:dyDescent="0.25">
      <c r="A312689" s="1"/>
    </row>
    <row r="312690" spans="1:1" x14ac:dyDescent="0.25">
      <c r="A312690" s="1"/>
    </row>
    <row r="312691" spans="1:1" x14ac:dyDescent="0.25">
      <c r="A312691" s="1"/>
    </row>
    <row r="312692" spans="1:1" x14ac:dyDescent="0.25">
      <c r="A312692" s="1"/>
    </row>
    <row r="312693" spans="1:1" x14ac:dyDescent="0.25">
      <c r="A312693" s="1"/>
    </row>
    <row r="312694" spans="1:1" x14ac:dyDescent="0.25">
      <c r="A312694" s="1"/>
    </row>
    <row r="312695" spans="1:1" x14ac:dyDescent="0.25">
      <c r="A312695" s="1"/>
    </row>
    <row r="312696" spans="1:1" x14ac:dyDescent="0.25">
      <c r="A312696" s="1"/>
    </row>
    <row r="312697" spans="1:1" x14ac:dyDescent="0.25">
      <c r="A312697" s="1"/>
    </row>
    <row r="312698" spans="1:1" x14ac:dyDescent="0.25">
      <c r="A312698" s="1"/>
    </row>
    <row r="312699" spans="1:1" x14ac:dyDescent="0.25">
      <c r="A312699" s="1"/>
    </row>
    <row r="312700" spans="1:1" x14ac:dyDescent="0.25">
      <c r="A312700" s="1"/>
    </row>
    <row r="312701" spans="1:1" x14ac:dyDescent="0.25">
      <c r="A312701" s="1"/>
    </row>
    <row r="312702" spans="1:1" x14ac:dyDescent="0.25">
      <c r="A312702" s="1"/>
    </row>
    <row r="312703" spans="1:1" x14ac:dyDescent="0.25">
      <c r="A312703" s="1"/>
    </row>
    <row r="312704" spans="1:1" x14ac:dyDescent="0.25">
      <c r="A312704" s="1"/>
    </row>
    <row r="312705" spans="1:1" x14ac:dyDescent="0.25">
      <c r="A312705" s="1"/>
    </row>
    <row r="312706" spans="1:1" x14ac:dyDescent="0.25">
      <c r="A312706" s="1"/>
    </row>
    <row r="312707" spans="1:1" x14ac:dyDescent="0.25">
      <c r="A312707" s="1"/>
    </row>
    <row r="312708" spans="1:1" x14ac:dyDescent="0.25">
      <c r="A312708" s="1"/>
    </row>
    <row r="312709" spans="1:1" x14ac:dyDescent="0.25">
      <c r="A312709" s="1"/>
    </row>
    <row r="312710" spans="1:1" x14ac:dyDescent="0.25">
      <c r="A312710" s="1"/>
    </row>
    <row r="312711" spans="1:1" x14ac:dyDescent="0.25">
      <c r="A312711" s="1"/>
    </row>
    <row r="312712" spans="1:1" x14ac:dyDescent="0.25">
      <c r="A312712" s="1"/>
    </row>
    <row r="312713" spans="1:1" x14ac:dyDescent="0.25">
      <c r="A312713" s="1"/>
    </row>
    <row r="312714" spans="1:1" x14ac:dyDescent="0.25">
      <c r="A312714" s="1"/>
    </row>
    <row r="312715" spans="1:1" x14ac:dyDescent="0.25">
      <c r="A312715" s="1"/>
    </row>
    <row r="312716" spans="1:1" x14ac:dyDescent="0.25">
      <c r="A312716" s="1"/>
    </row>
    <row r="312717" spans="1:1" x14ac:dyDescent="0.25">
      <c r="A312717" s="1"/>
    </row>
    <row r="312718" spans="1:1" x14ac:dyDescent="0.25">
      <c r="A312718" s="1"/>
    </row>
    <row r="312719" spans="1:1" x14ac:dyDescent="0.25">
      <c r="A312719" s="1"/>
    </row>
    <row r="312720" spans="1:1" x14ac:dyDescent="0.25">
      <c r="A312720" s="1"/>
    </row>
    <row r="312721" spans="1:1" x14ac:dyDescent="0.25">
      <c r="A312721" s="1"/>
    </row>
    <row r="312722" spans="1:1" x14ac:dyDescent="0.25">
      <c r="A312722" s="1"/>
    </row>
    <row r="312723" spans="1:1" x14ac:dyDescent="0.25">
      <c r="A312723" s="1"/>
    </row>
    <row r="312724" spans="1:1" x14ac:dyDescent="0.25">
      <c r="A312724" s="1"/>
    </row>
    <row r="312725" spans="1:1" x14ac:dyDescent="0.25">
      <c r="A312725" s="1"/>
    </row>
    <row r="312726" spans="1:1" x14ac:dyDescent="0.25">
      <c r="A312726" s="1"/>
    </row>
    <row r="312727" spans="1:1" x14ac:dyDescent="0.25">
      <c r="A312727" s="1"/>
    </row>
    <row r="312728" spans="1:1" x14ac:dyDescent="0.25">
      <c r="A312728" s="1"/>
    </row>
    <row r="312729" spans="1:1" x14ac:dyDescent="0.25">
      <c r="A312729" s="1"/>
    </row>
    <row r="312730" spans="1:1" x14ac:dyDescent="0.25">
      <c r="A312730" s="1"/>
    </row>
    <row r="312731" spans="1:1" x14ac:dyDescent="0.25">
      <c r="A312731" s="1"/>
    </row>
    <row r="312732" spans="1:1" x14ac:dyDescent="0.25">
      <c r="A312732" s="1"/>
    </row>
    <row r="312733" spans="1:1" x14ac:dyDescent="0.25">
      <c r="A312733" s="1"/>
    </row>
    <row r="312734" spans="1:1" x14ac:dyDescent="0.25">
      <c r="A312734" s="1"/>
    </row>
    <row r="312735" spans="1:1" x14ac:dyDescent="0.25">
      <c r="A312735" s="1"/>
    </row>
    <row r="312736" spans="1:1" x14ac:dyDescent="0.25">
      <c r="A312736" s="1"/>
    </row>
    <row r="312737" spans="1:1" x14ac:dyDescent="0.25">
      <c r="A312737" s="1"/>
    </row>
    <row r="312738" spans="1:1" x14ac:dyDescent="0.25">
      <c r="A312738" s="1"/>
    </row>
    <row r="312739" spans="1:1" x14ac:dyDescent="0.25">
      <c r="A312739" s="1"/>
    </row>
    <row r="312740" spans="1:1" x14ac:dyDescent="0.25">
      <c r="A312740" s="1"/>
    </row>
    <row r="312741" spans="1:1" x14ac:dyDescent="0.25">
      <c r="A312741" s="1"/>
    </row>
    <row r="312742" spans="1:1" x14ac:dyDescent="0.25">
      <c r="A312742" s="1"/>
    </row>
    <row r="312743" spans="1:1" x14ac:dyDescent="0.25">
      <c r="A312743" s="1"/>
    </row>
    <row r="312744" spans="1:1" x14ac:dyDescent="0.25">
      <c r="A312744" s="1"/>
    </row>
    <row r="312745" spans="1:1" x14ac:dyDescent="0.25">
      <c r="A312745" s="1"/>
    </row>
    <row r="312746" spans="1:1" x14ac:dyDescent="0.25">
      <c r="A312746" s="1"/>
    </row>
    <row r="312747" spans="1:1" x14ac:dyDescent="0.25">
      <c r="A312747" s="1"/>
    </row>
    <row r="312748" spans="1:1" x14ac:dyDescent="0.25">
      <c r="A312748" s="1"/>
    </row>
    <row r="312749" spans="1:1" x14ac:dyDescent="0.25">
      <c r="A312749" s="1"/>
    </row>
    <row r="312750" spans="1:1" x14ac:dyDescent="0.25">
      <c r="A312750" s="1"/>
    </row>
    <row r="312751" spans="1:1" x14ac:dyDescent="0.25">
      <c r="A312751" s="1"/>
    </row>
    <row r="312752" spans="1:1" x14ac:dyDescent="0.25">
      <c r="A312752" s="1"/>
    </row>
    <row r="312753" spans="1:1" x14ac:dyDescent="0.25">
      <c r="A312753" s="1"/>
    </row>
    <row r="312754" spans="1:1" x14ac:dyDescent="0.25">
      <c r="A312754" s="1"/>
    </row>
    <row r="312755" spans="1:1" x14ac:dyDescent="0.25">
      <c r="A312755" s="1"/>
    </row>
    <row r="312756" spans="1:1" x14ac:dyDescent="0.25">
      <c r="A312756" s="1"/>
    </row>
    <row r="312757" spans="1:1" x14ac:dyDescent="0.25">
      <c r="A312757" s="1"/>
    </row>
    <row r="312758" spans="1:1" x14ac:dyDescent="0.25">
      <c r="A312758" s="1"/>
    </row>
    <row r="312759" spans="1:1" x14ac:dyDescent="0.25">
      <c r="A312759" s="1"/>
    </row>
    <row r="312760" spans="1:1" x14ac:dyDescent="0.25">
      <c r="A312760" s="1"/>
    </row>
    <row r="312761" spans="1:1" x14ac:dyDescent="0.25">
      <c r="A312761" s="1"/>
    </row>
    <row r="312762" spans="1:1" x14ac:dyDescent="0.25">
      <c r="A312762" s="1"/>
    </row>
    <row r="312763" spans="1:1" x14ac:dyDescent="0.25">
      <c r="A312763" s="1"/>
    </row>
    <row r="312764" spans="1:1" x14ac:dyDescent="0.25">
      <c r="A312764" s="1"/>
    </row>
    <row r="312765" spans="1:1" x14ac:dyDescent="0.25">
      <c r="A312765" s="1"/>
    </row>
    <row r="312766" spans="1:1" x14ac:dyDescent="0.25">
      <c r="A312766" s="1"/>
    </row>
    <row r="312767" spans="1:1" x14ac:dyDescent="0.25">
      <c r="A312767" s="1"/>
    </row>
    <row r="312768" spans="1:1" x14ac:dyDescent="0.25">
      <c r="A312768" s="1"/>
    </row>
    <row r="312769" spans="1:1" x14ac:dyDescent="0.25">
      <c r="A312769" s="1"/>
    </row>
    <row r="312770" spans="1:1" x14ac:dyDescent="0.25">
      <c r="A312770" s="1"/>
    </row>
    <row r="312771" spans="1:1" x14ac:dyDescent="0.25">
      <c r="A312771" s="1"/>
    </row>
    <row r="312772" spans="1:1" x14ac:dyDescent="0.25">
      <c r="A312772" s="1"/>
    </row>
    <row r="312773" spans="1:1" x14ac:dyDescent="0.25">
      <c r="A312773" s="1"/>
    </row>
    <row r="312774" spans="1:1" x14ac:dyDescent="0.25">
      <c r="A312774" s="1"/>
    </row>
    <row r="312775" spans="1:1" x14ac:dyDescent="0.25">
      <c r="A312775" s="1"/>
    </row>
    <row r="312776" spans="1:1" x14ac:dyDescent="0.25">
      <c r="A312776" s="1"/>
    </row>
    <row r="312777" spans="1:1" x14ac:dyDescent="0.25">
      <c r="A312777" s="1"/>
    </row>
    <row r="312778" spans="1:1" x14ac:dyDescent="0.25">
      <c r="A312778" s="1"/>
    </row>
    <row r="312779" spans="1:1" x14ac:dyDescent="0.25">
      <c r="A312779" s="1"/>
    </row>
    <row r="312780" spans="1:1" x14ac:dyDescent="0.25">
      <c r="A312780" s="1"/>
    </row>
    <row r="312781" spans="1:1" x14ac:dyDescent="0.25">
      <c r="A312781" s="1"/>
    </row>
    <row r="312782" spans="1:1" x14ac:dyDescent="0.25">
      <c r="A312782" s="1"/>
    </row>
    <row r="312783" spans="1:1" x14ac:dyDescent="0.25">
      <c r="A312783" s="1"/>
    </row>
    <row r="312784" spans="1:1" x14ac:dyDescent="0.25">
      <c r="A312784" s="1"/>
    </row>
    <row r="312785" spans="1:1" x14ac:dyDescent="0.25">
      <c r="A312785" s="1"/>
    </row>
    <row r="312786" spans="1:1" x14ac:dyDescent="0.25">
      <c r="A312786" s="1"/>
    </row>
    <row r="312787" spans="1:1" x14ac:dyDescent="0.25">
      <c r="A312787" s="1"/>
    </row>
    <row r="312788" spans="1:1" x14ac:dyDescent="0.25">
      <c r="A312788" s="1"/>
    </row>
    <row r="312789" spans="1:1" x14ac:dyDescent="0.25">
      <c r="A312789" s="1"/>
    </row>
    <row r="312790" spans="1:1" x14ac:dyDescent="0.25">
      <c r="A312790" s="1"/>
    </row>
    <row r="312791" spans="1:1" x14ac:dyDescent="0.25">
      <c r="A312791" s="1"/>
    </row>
    <row r="312792" spans="1:1" x14ac:dyDescent="0.25">
      <c r="A312792" s="1"/>
    </row>
    <row r="312793" spans="1:1" x14ac:dyDescent="0.25">
      <c r="A312793" s="1"/>
    </row>
    <row r="312794" spans="1:1" x14ac:dyDescent="0.25">
      <c r="A312794" s="1"/>
    </row>
    <row r="312795" spans="1:1" x14ac:dyDescent="0.25">
      <c r="A312795" s="1"/>
    </row>
    <row r="312796" spans="1:1" x14ac:dyDescent="0.25">
      <c r="A312796" s="1"/>
    </row>
    <row r="312797" spans="1:1" x14ac:dyDescent="0.25">
      <c r="A312797" s="1"/>
    </row>
    <row r="312798" spans="1:1" x14ac:dyDescent="0.25">
      <c r="A312798" s="1"/>
    </row>
    <row r="312799" spans="1:1" x14ac:dyDescent="0.25">
      <c r="A312799" s="1"/>
    </row>
    <row r="312800" spans="1:1" x14ac:dyDescent="0.25">
      <c r="A312800" s="1"/>
    </row>
    <row r="312801" spans="1:1" x14ac:dyDescent="0.25">
      <c r="A312801" s="1"/>
    </row>
    <row r="312802" spans="1:1" x14ac:dyDescent="0.25">
      <c r="A312802" s="1"/>
    </row>
    <row r="312803" spans="1:1" x14ac:dyDescent="0.25">
      <c r="A312803" s="1"/>
    </row>
    <row r="312804" spans="1:1" x14ac:dyDescent="0.25">
      <c r="A312804" s="1"/>
    </row>
    <row r="312805" spans="1:1" x14ac:dyDescent="0.25">
      <c r="A312805" s="1"/>
    </row>
    <row r="312806" spans="1:1" x14ac:dyDescent="0.25">
      <c r="A312806" s="1"/>
    </row>
    <row r="312807" spans="1:1" x14ac:dyDescent="0.25">
      <c r="A312807" s="1"/>
    </row>
    <row r="312808" spans="1:1" x14ac:dyDescent="0.25">
      <c r="A312808" s="1"/>
    </row>
    <row r="312809" spans="1:1" x14ac:dyDescent="0.25">
      <c r="A312809" s="1"/>
    </row>
    <row r="312810" spans="1:1" x14ac:dyDescent="0.25">
      <c r="A312810" s="1"/>
    </row>
    <row r="312811" spans="1:1" x14ac:dyDescent="0.25">
      <c r="A312811" s="1"/>
    </row>
    <row r="312812" spans="1:1" x14ac:dyDescent="0.25">
      <c r="A312812" s="1"/>
    </row>
    <row r="312813" spans="1:1" x14ac:dyDescent="0.25">
      <c r="A312813" s="1"/>
    </row>
    <row r="312814" spans="1:1" x14ac:dyDescent="0.25">
      <c r="A312814" s="1"/>
    </row>
    <row r="312815" spans="1:1" x14ac:dyDescent="0.25">
      <c r="A312815" s="1"/>
    </row>
    <row r="312816" spans="1:1" x14ac:dyDescent="0.25">
      <c r="A312816" s="1"/>
    </row>
    <row r="312817" spans="1:1" x14ac:dyDescent="0.25">
      <c r="A312817" s="1"/>
    </row>
    <row r="312818" spans="1:1" x14ac:dyDescent="0.25">
      <c r="A312818" s="1"/>
    </row>
    <row r="312819" spans="1:1" x14ac:dyDescent="0.25">
      <c r="A312819" s="1"/>
    </row>
    <row r="312820" spans="1:1" x14ac:dyDescent="0.25">
      <c r="A312820" s="1"/>
    </row>
    <row r="312821" spans="1:1" x14ac:dyDescent="0.25">
      <c r="A312821" s="1"/>
    </row>
    <row r="312822" spans="1:1" x14ac:dyDescent="0.25">
      <c r="A312822" s="1"/>
    </row>
    <row r="312823" spans="1:1" x14ac:dyDescent="0.25">
      <c r="A312823" s="1"/>
    </row>
    <row r="312824" spans="1:1" x14ac:dyDescent="0.25">
      <c r="A312824" s="1"/>
    </row>
    <row r="312825" spans="1:1" x14ac:dyDescent="0.25">
      <c r="A312825" s="1"/>
    </row>
    <row r="312826" spans="1:1" x14ac:dyDescent="0.25">
      <c r="A312826" s="1"/>
    </row>
    <row r="312827" spans="1:1" x14ac:dyDescent="0.25">
      <c r="A312827" s="1"/>
    </row>
    <row r="312828" spans="1:1" x14ac:dyDescent="0.25">
      <c r="A312828" s="1"/>
    </row>
    <row r="312829" spans="1:1" x14ac:dyDescent="0.25">
      <c r="A312829" s="1"/>
    </row>
    <row r="312830" spans="1:1" x14ac:dyDescent="0.25">
      <c r="A312830" s="1"/>
    </row>
    <row r="312831" spans="1:1" x14ac:dyDescent="0.25">
      <c r="A312831" s="1"/>
    </row>
    <row r="312832" spans="1:1" x14ac:dyDescent="0.25">
      <c r="A312832" s="1"/>
    </row>
    <row r="312833" spans="1:1" x14ac:dyDescent="0.25">
      <c r="A312833" s="1"/>
    </row>
    <row r="312834" spans="1:1" x14ac:dyDescent="0.25">
      <c r="A312834" s="1"/>
    </row>
    <row r="312835" spans="1:1" x14ac:dyDescent="0.25">
      <c r="A312835" s="1"/>
    </row>
    <row r="312836" spans="1:1" x14ac:dyDescent="0.25">
      <c r="A312836" s="1"/>
    </row>
    <row r="312837" spans="1:1" x14ac:dyDescent="0.25">
      <c r="A312837" s="1"/>
    </row>
    <row r="312838" spans="1:1" x14ac:dyDescent="0.25">
      <c r="A312838" s="1"/>
    </row>
    <row r="312839" spans="1:1" x14ac:dyDescent="0.25">
      <c r="A312839" s="1"/>
    </row>
    <row r="312840" spans="1:1" x14ac:dyDescent="0.25">
      <c r="A312840" s="1"/>
    </row>
    <row r="312841" spans="1:1" x14ac:dyDescent="0.25">
      <c r="A312841" s="1"/>
    </row>
    <row r="312842" spans="1:1" x14ac:dyDescent="0.25">
      <c r="A312842" s="1"/>
    </row>
    <row r="312843" spans="1:1" x14ac:dyDescent="0.25">
      <c r="A312843" s="1"/>
    </row>
    <row r="312844" spans="1:1" x14ac:dyDescent="0.25">
      <c r="A312844" s="1"/>
    </row>
    <row r="312845" spans="1:1" x14ac:dyDescent="0.25">
      <c r="A312845" s="1"/>
    </row>
    <row r="312846" spans="1:1" x14ac:dyDescent="0.25">
      <c r="A312846" s="1"/>
    </row>
    <row r="312847" spans="1:1" x14ac:dyDescent="0.25">
      <c r="A312847" s="1"/>
    </row>
    <row r="312848" spans="1:1" x14ac:dyDescent="0.25">
      <c r="A312848" s="1"/>
    </row>
    <row r="312849" spans="1:1" x14ac:dyDescent="0.25">
      <c r="A312849" s="1"/>
    </row>
    <row r="312850" spans="1:1" x14ac:dyDescent="0.25">
      <c r="A312850" s="1"/>
    </row>
    <row r="312851" spans="1:1" x14ac:dyDescent="0.25">
      <c r="A312851" s="1"/>
    </row>
    <row r="312852" spans="1:1" x14ac:dyDescent="0.25">
      <c r="A312852" s="1"/>
    </row>
    <row r="312853" spans="1:1" x14ac:dyDescent="0.25">
      <c r="A312853" s="1"/>
    </row>
    <row r="312854" spans="1:1" x14ac:dyDescent="0.25">
      <c r="A312854" s="1"/>
    </row>
    <row r="312855" spans="1:1" x14ac:dyDescent="0.25">
      <c r="A312855" s="1"/>
    </row>
    <row r="312856" spans="1:1" x14ac:dyDescent="0.25">
      <c r="A312856" s="1"/>
    </row>
    <row r="312857" spans="1:1" x14ac:dyDescent="0.25">
      <c r="A312857" s="1"/>
    </row>
    <row r="312858" spans="1:1" x14ac:dyDescent="0.25">
      <c r="A312858" s="1"/>
    </row>
    <row r="312859" spans="1:1" x14ac:dyDescent="0.25">
      <c r="A312859" s="1"/>
    </row>
    <row r="312860" spans="1:1" x14ac:dyDescent="0.25">
      <c r="A312860" s="1"/>
    </row>
    <row r="312861" spans="1:1" x14ac:dyDescent="0.25">
      <c r="A312861" s="1"/>
    </row>
    <row r="312862" spans="1:1" x14ac:dyDescent="0.25">
      <c r="A312862" s="1"/>
    </row>
    <row r="312863" spans="1:1" x14ac:dyDescent="0.25">
      <c r="A312863" s="1"/>
    </row>
    <row r="312864" spans="1:1" x14ac:dyDescent="0.25">
      <c r="A312864" s="1"/>
    </row>
    <row r="312865" spans="1:1" x14ac:dyDescent="0.25">
      <c r="A312865" s="1"/>
    </row>
    <row r="312866" spans="1:1" x14ac:dyDescent="0.25">
      <c r="A312866" s="1"/>
    </row>
    <row r="312867" spans="1:1" x14ac:dyDescent="0.25">
      <c r="A312867" s="1"/>
    </row>
    <row r="312868" spans="1:1" x14ac:dyDescent="0.25">
      <c r="A312868" s="1"/>
    </row>
    <row r="312869" spans="1:1" x14ac:dyDescent="0.25">
      <c r="A312869" s="1"/>
    </row>
    <row r="312870" spans="1:1" x14ac:dyDescent="0.25">
      <c r="A312870" s="1"/>
    </row>
    <row r="312871" spans="1:1" x14ac:dyDescent="0.25">
      <c r="A312871" s="1"/>
    </row>
    <row r="312872" spans="1:1" x14ac:dyDescent="0.25">
      <c r="A312872" s="1"/>
    </row>
    <row r="312873" spans="1:1" x14ac:dyDescent="0.25">
      <c r="A312873" s="1"/>
    </row>
    <row r="312874" spans="1:1" x14ac:dyDescent="0.25">
      <c r="A312874" s="1"/>
    </row>
    <row r="312875" spans="1:1" x14ac:dyDescent="0.25">
      <c r="A312875" s="1"/>
    </row>
    <row r="312876" spans="1:1" x14ac:dyDescent="0.25">
      <c r="A312876" s="1"/>
    </row>
    <row r="312877" spans="1:1" x14ac:dyDescent="0.25">
      <c r="A312877" s="1"/>
    </row>
    <row r="312878" spans="1:1" x14ac:dyDescent="0.25">
      <c r="A312878" s="1"/>
    </row>
    <row r="312879" spans="1:1" x14ac:dyDescent="0.25">
      <c r="A312879" s="1"/>
    </row>
    <row r="312880" spans="1:1" x14ac:dyDescent="0.25">
      <c r="A312880" s="1"/>
    </row>
    <row r="312881" spans="1:1" x14ac:dyDescent="0.25">
      <c r="A312881" s="1"/>
    </row>
    <row r="312882" spans="1:1" x14ac:dyDescent="0.25">
      <c r="A312882" s="1"/>
    </row>
    <row r="312883" spans="1:1" x14ac:dyDescent="0.25">
      <c r="A312883" s="1"/>
    </row>
    <row r="312884" spans="1:1" x14ac:dyDescent="0.25">
      <c r="A312884" s="1"/>
    </row>
    <row r="312885" spans="1:1" x14ac:dyDescent="0.25">
      <c r="A312885" s="1"/>
    </row>
    <row r="312886" spans="1:1" x14ac:dyDescent="0.25">
      <c r="A312886" s="1"/>
    </row>
    <row r="312887" spans="1:1" x14ac:dyDescent="0.25">
      <c r="A312887" s="1"/>
    </row>
    <row r="312888" spans="1:1" x14ac:dyDescent="0.25">
      <c r="A312888" s="1"/>
    </row>
    <row r="312889" spans="1:1" x14ac:dyDescent="0.25">
      <c r="A312889" s="1"/>
    </row>
    <row r="312890" spans="1:1" x14ac:dyDescent="0.25">
      <c r="A312890" s="1"/>
    </row>
    <row r="312891" spans="1:1" x14ac:dyDescent="0.25">
      <c r="A312891" s="1"/>
    </row>
    <row r="312892" spans="1:1" x14ac:dyDescent="0.25">
      <c r="A312892" s="1"/>
    </row>
    <row r="312893" spans="1:1" x14ac:dyDescent="0.25">
      <c r="A312893" s="1"/>
    </row>
    <row r="312894" spans="1:1" x14ac:dyDescent="0.25">
      <c r="A312894" s="1"/>
    </row>
    <row r="312895" spans="1:1" x14ac:dyDescent="0.25">
      <c r="A312895" s="1"/>
    </row>
    <row r="312896" spans="1:1" x14ac:dyDescent="0.25">
      <c r="A312896" s="1"/>
    </row>
    <row r="312897" spans="1:1" x14ac:dyDescent="0.25">
      <c r="A312897" s="1"/>
    </row>
    <row r="312898" spans="1:1" x14ac:dyDescent="0.25">
      <c r="A312898" s="1"/>
    </row>
    <row r="312899" spans="1:1" x14ac:dyDescent="0.25">
      <c r="A312899" s="1"/>
    </row>
    <row r="312900" spans="1:1" x14ac:dyDescent="0.25">
      <c r="A312900" s="1"/>
    </row>
    <row r="312901" spans="1:1" x14ac:dyDescent="0.25">
      <c r="A312901" s="1"/>
    </row>
    <row r="312902" spans="1:1" x14ac:dyDescent="0.25">
      <c r="A312902" s="1"/>
    </row>
    <row r="312903" spans="1:1" x14ac:dyDescent="0.25">
      <c r="A312903" s="1"/>
    </row>
    <row r="312904" spans="1:1" x14ac:dyDescent="0.25">
      <c r="A312904" s="1"/>
    </row>
    <row r="312905" spans="1:1" x14ac:dyDescent="0.25">
      <c r="A312905" s="1"/>
    </row>
    <row r="312906" spans="1:1" x14ac:dyDescent="0.25">
      <c r="A312906" s="1"/>
    </row>
    <row r="312907" spans="1:1" x14ac:dyDescent="0.25">
      <c r="A312907" s="1"/>
    </row>
    <row r="312908" spans="1:1" x14ac:dyDescent="0.25">
      <c r="A312908" s="1"/>
    </row>
    <row r="312909" spans="1:1" x14ac:dyDescent="0.25">
      <c r="A312909" s="1"/>
    </row>
    <row r="312910" spans="1:1" x14ac:dyDescent="0.25">
      <c r="A312910" s="1"/>
    </row>
    <row r="312911" spans="1:1" x14ac:dyDescent="0.25">
      <c r="A312911" s="1"/>
    </row>
    <row r="312912" spans="1:1" x14ac:dyDescent="0.25">
      <c r="A312912" s="1"/>
    </row>
    <row r="312913" spans="1:1" x14ac:dyDescent="0.25">
      <c r="A312913" s="1"/>
    </row>
    <row r="312914" spans="1:1" x14ac:dyDescent="0.25">
      <c r="A312914" s="1"/>
    </row>
    <row r="312915" spans="1:1" x14ac:dyDescent="0.25">
      <c r="A312915" s="1"/>
    </row>
    <row r="312916" spans="1:1" x14ac:dyDescent="0.25">
      <c r="A312916" s="1"/>
    </row>
    <row r="312917" spans="1:1" x14ac:dyDescent="0.25">
      <c r="A312917" s="1"/>
    </row>
    <row r="312918" spans="1:1" x14ac:dyDescent="0.25">
      <c r="A312918" s="1"/>
    </row>
    <row r="312919" spans="1:1" x14ac:dyDescent="0.25">
      <c r="A312919" s="1"/>
    </row>
    <row r="312920" spans="1:1" x14ac:dyDescent="0.25">
      <c r="A312920" s="1"/>
    </row>
    <row r="312921" spans="1:1" x14ac:dyDescent="0.25">
      <c r="A312921" s="1"/>
    </row>
    <row r="312922" spans="1:1" x14ac:dyDescent="0.25">
      <c r="A312922" s="1"/>
    </row>
    <row r="312923" spans="1:1" x14ac:dyDescent="0.25">
      <c r="A312923" s="1"/>
    </row>
    <row r="312924" spans="1:1" x14ac:dyDescent="0.25">
      <c r="A312924" s="1"/>
    </row>
    <row r="312925" spans="1:1" x14ac:dyDescent="0.25">
      <c r="A312925" s="1"/>
    </row>
    <row r="312926" spans="1:1" x14ac:dyDescent="0.25">
      <c r="A312926" s="1"/>
    </row>
    <row r="312927" spans="1:1" x14ac:dyDescent="0.25">
      <c r="A312927" s="1"/>
    </row>
    <row r="312928" spans="1:1" x14ac:dyDescent="0.25">
      <c r="A312928" s="1"/>
    </row>
    <row r="312929" spans="1:1" x14ac:dyDescent="0.25">
      <c r="A312929" s="1"/>
    </row>
    <row r="312930" spans="1:1" x14ac:dyDescent="0.25">
      <c r="A312930" s="1"/>
    </row>
    <row r="312931" spans="1:1" x14ac:dyDescent="0.25">
      <c r="A312931" s="1"/>
    </row>
    <row r="312932" spans="1:1" x14ac:dyDescent="0.25">
      <c r="A312932" s="1"/>
    </row>
    <row r="312933" spans="1:1" x14ac:dyDescent="0.25">
      <c r="A312933" s="1"/>
    </row>
    <row r="312934" spans="1:1" x14ac:dyDescent="0.25">
      <c r="A312934" s="1"/>
    </row>
    <row r="312935" spans="1:1" x14ac:dyDescent="0.25">
      <c r="A312935" s="1"/>
    </row>
    <row r="312936" spans="1:1" x14ac:dyDescent="0.25">
      <c r="A312936" s="1"/>
    </row>
    <row r="312937" spans="1:1" x14ac:dyDescent="0.25">
      <c r="A312937" s="1"/>
    </row>
    <row r="312938" spans="1:1" x14ac:dyDescent="0.25">
      <c r="A312938" s="1"/>
    </row>
    <row r="312939" spans="1:1" x14ac:dyDescent="0.25">
      <c r="A312939" s="1"/>
    </row>
    <row r="312940" spans="1:1" x14ac:dyDescent="0.25">
      <c r="A312940" s="1"/>
    </row>
    <row r="312941" spans="1:1" x14ac:dyDescent="0.25">
      <c r="A312941" s="1"/>
    </row>
    <row r="312942" spans="1:1" x14ac:dyDescent="0.25">
      <c r="A312942" s="1"/>
    </row>
    <row r="312943" spans="1:1" x14ac:dyDescent="0.25">
      <c r="A312943" s="1"/>
    </row>
    <row r="312944" spans="1:1" x14ac:dyDescent="0.25">
      <c r="A312944" s="1"/>
    </row>
    <row r="312945" spans="1:1" x14ac:dyDescent="0.25">
      <c r="A312945" s="1"/>
    </row>
    <row r="312946" spans="1:1" x14ac:dyDescent="0.25">
      <c r="A312946" s="1"/>
    </row>
    <row r="312947" spans="1:1" x14ac:dyDescent="0.25">
      <c r="A312947" s="1"/>
    </row>
    <row r="312948" spans="1:1" x14ac:dyDescent="0.25">
      <c r="A312948" s="1"/>
    </row>
    <row r="312949" spans="1:1" x14ac:dyDescent="0.25">
      <c r="A312949" s="1"/>
    </row>
    <row r="312950" spans="1:1" x14ac:dyDescent="0.25">
      <c r="A312950" s="1"/>
    </row>
    <row r="312951" spans="1:1" x14ac:dyDescent="0.25">
      <c r="A312951" s="1"/>
    </row>
    <row r="312952" spans="1:1" x14ac:dyDescent="0.25">
      <c r="A312952" s="1"/>
    </row>
    <row r="312953" spans="1:1" x14ac:dyDescent="0.25">
      <c r="A312953" s="1"/>
    </row>
    <row r="312954" spans="1:1" x14ac:dyDescent="0.25">
      <c r="A312954" s="1"/>
    </row>
    <row r="312955" spans="1:1" x14ac:dyDescent="0.25">
      <c r="A312955" s="1"/>
    </row>
    <row r="312956" spans="1:1" x14ac:dyDescent="0.25">
      <c r="A312956" s="1"/>
    </row>
    <row r="312957" spans="1:1" x14ac:dyDescent="0.25">
      <c r="A312957" s="1"/>
    </row>
    <row r="312958" spans="1:1" x14ac:dyDescent="0.25">
      <c r="A312958" s="1"/>
    </row>
    <row r="312959" spans="1:1" x14ac:dyDescent="0.25">
      <c r="A312959" s="1"/>
    </row>
    <row r="312960" spans="1:1" x14ac:dyDescent="0.25">
      <c r="A312960" s="1"/>
    </row>
    <row r="312961" spans="1:1" x14ac:dyDescent="0.25">
      <c r="A312961" s="1"/>
    </row>
    <row r="312962" spans="1:1" x14ac:dyDescent="0.25">
      <c r="A312962" s="1"/>
    </row>
    <row r="312963" spans="1:1" x14ac:dyDescent="0.25">
      <c r="A312963" s="1"/>
    </row>
    <row r="312964" spans="1:1" x14ac:dyDescent="0.25">
      <c r="A312964" s="1"/>
    </row>
    <row r="312965" spans="1:1" x14ac:dyDescent="0.25">
      <c r="A312965" s="1"/>
    </row>
    <row r="312966" spans="1:1" x14ac:dyDescent="0.25">
      <c r="A312966" s="1"/>
    </row>
    <row r="312967" spans="1:1" x14ac:dyDescent="0.25">
      <c r="A312967" s="1"/>
    </row>
    <row r="312968" spans="1:1" x14ac:dyDescent="0.25">
      <c r="A312968" s="1"/>
    </row>
    <row r="312969" spans="1:1" x14ac:dyDescent="0.25">
      <c r="A312969" s="1"/>
    </row>
    <row r="312970" spans="1:1" x14ac:dyDescent="0.25">
      <c r="A312970" s="1"/>
    </row>
    <row r="312971" spans="1:1" x14ac:dyDescent="0.25">
      <c r="A312971" s="1"/>
    </row>
    <row r="312972" spans="1:1" x14ac:dyDescent="0.25">
      <c r="A312972" s="1"/>
    </row>
    <row r="312973" spans="1:1" x14ac:dyDescent="0.25">
      <c r="A312973" s="1"/>
    </row>
    <row r="312974" spans="1:1" x14ac:dyDescent="0.25">
      <c r="A312974" s="1"/>
    </row>
    <row r="312975" spans="1:1" x14ac:dyDescent="0.25">
      <c r="A312975" s="1"/>
    </row>
    <row r="312976" spans="1:1" x14ac:dyDescent="0.25">
      <c r="A312976" s="1"/>
    </row>
    <row r="312977" spans="1:1" x14ac:dyDescent="0.25">
      <c r="A312977" s="1"/>
    </row>
    <row r="312978" spans="1:1" x14ac:dyDescent="0.25">
      <c r="A312978" s="1"/>
    </row>
    <row r="312979" spans="1:1" x14ac:dyDescent="0.25">
      <c r="A312979" s="1"/>
    </row>
    <row r="312980" spans="1:1" x14ac:dyDescent="0.25">
      <c r="A312980" s="1"/>
    </row>
    <row r="312981" spans="1:1" x14ac:dyDescent="0.25">
      <c r="A312981" s="1"/>
    </row>
    <row r="312982" spans="1:1" x14ac:dyDescent="0.25">
      <c r="A312982" s="1"/>
    </row>
    <row r="312983" spans="1:1" x14ac:dyDescent="0.25">
      <c r="A312983" s="1"/>
    </row>
    <row r="312984" spans="1:1" x14ac:dyDescent="0.25">
      <c r="A312984" s="1"/>
    </row>
    <row r="312985" spans="1:1" x14ac:dyDescent="0.25">
      <c r="A312985" s="1"/>
    </row>
    <row r="312986" spans="1:1" x14ac:dyDescent="0.25">
      <c r="A312986" s="1"/>
    </row>
    <row r="312987" spans="1:1" x14ac:dyDescent="0.25">
      <c r="A312987" s="1"/>
    </row>
    <row r="312988" spans="1:1" x14ac:dyDescent="0.25">
      <c r="A312988" s="1"/>
    </row>
    <row r="312989" spans="1:1" x14ac:dyDescent="0.25">
      <c r="A312989" s="1"/>
    </row>
    <row r="312990" spans="1:1" x14ac:dyDescent="0.25">
      <c r="A312990" s="1"/>
    </row>
    <row r="312991" spans="1:1" x14ac:dyDescent="0.25">
      <c r="A312991" s="1"/>
    </row>
    <row r="312992" spans="1:1" x14ac:dyDescent="0.25">
      <c r="A312992" s="1"/>
    </row>
    <row r="312993" spans="1:1" x14ac:dyDescent="0.25">
      <c r="A312993" s="1"/>
    </row>
    <row r="312994" spans="1:1" x14ac:dyDescent="0.25">
      <c r="A312994" s="1"/>
    </row>
    <row r="312995" spans="1:1" x14ac:dyDescent="0.25">
      <c r="A312995" s="1"/>
    </row>
    <row r="312996" spans="1:1" x14ac:dyDescent="0.25">
      <c r="A312996" s="1"/>
    </row>
    <row r="312997" spans="1:1" x14ac:dyDescent="0.25">
      <c r="A312997" s="1"/>
    </row>
    <row r="312998" spans="1:1" x14ac:dyDescent="0.25">
      <c r="A312998" s="1"/>
    </row>
    <row r="312999" spans="1:1" x14ac:dyDescent="0.25">
      <c r="A312999" s="1"/>
    </row>
    <row r="313000" spans="1:1" x14ac:dyDescent="0.25">
      <c r="A313000" s="1"/>
    </row>
    <row r="313001" spans="1:1" x14ac:dyDescent="0.25">
      <c r="A313001" s="1"/>
    </row>
    <row r="313002" spans="1:1" x14ac:dyDescent="0.25">
      <c r="A313002" s="1"/>
    </row>
    <row r="313003" spans="1:1" x14ac:dyDescent="0.25">
      <c r="A313003" s="1"/>
    </row>
    <row r="313004" spans="1:1" x14ac:dyDescent="0.25">
      <c r="A313004" s="1"/>
    </row>
    <row r="313005" spans="1:1" x14ac:dyDescent="0.25">
      <c r="A313005" s="1"/>
    </row>
    <row r="313006" spans="1:1" x14ac:dyDescent="0.25">
      <c r="A313006" s="1"/>
    </row>
    <row r="313007" spans="1:1" x14ac:dyDescent="0.25">
      <c r="A313007" s="1"/>
    </row>
    <row r="313008" spans="1:1" x14ac:dyDescent="0.25">
      <c r="A313008" s="1"/>
    </row>
    <row r="313009" spans="1:1" x14ac:dyDescent="0.25">
      <c r="A313009" s="1"/>
    </row>
    <row r="313010" spans="1:1" x14ac:dyDescent="0.25">
      <c r="A313010" s="1"/>
    </row>
    <row r="313011" spans="1:1" x14ac:dyDescent="0.25">
      <c r="A313011" s="1"/>
    </row>
    <row r="313012" spans="1:1" x14ac:dyDescent="0.25">
      <c r="A313012" s="1"/>
    </row>
    <row r="313013" spans="1:1" x14ac:dyDescent="0.25">
      <c r="A313013" s="1"/>
    </row>
    <row r="313014" spans="1:1" x14ac:dyDescent="0.25">
      <c r="A313014" s="1"/>
    </row>
    <row r="313015" spans="1:1" x14ac:dyDescent="0.25">
      <c r="A313015" s="1"/>
    </row>
    <row r="313016" spans="1:1" x14ac:dyDescent="0.25">
      <c r="A313016" s="1"/>
    </row>
    <row r="313017" spans="1:1" x14ac:dyDescent="0.25">
      <c r="A313017" s="1"/>
    </row>
    <row r="313018" spans="1:1" x14ac:dyDescent="0.25">
      <c r="A313018" s="1"/>
    </row>
    <row r="313019" spans="1:1" x14ac:dyDescent="0.25">
      <c r="A313019" s="1"/>
    </row>
    <row r="313020" spans="1:1" x14ac:dyDescent="0.25">
      <c r="A313020" s="1"/>
    </row>
    <row r="313021" spans="1:1" x14ac:dyDescent="0.25">
      <c r="A313021" s="1"/>
    </row>
    <row r="313022" spans="1:1" x14ac:dyDescent="0.25">
      <c r="A313022" s="1"/>
    </row>
    <row r="313023" spans="1:1" x14ac:dyDescent="0.25">
      <c r="A313023" s="1"/>
    </row>
    <row r="313024" spans="1:1" x14ac:dyDescent="0.25">
      <c r="A313024" s="1"/>
    </row>
    <row r="313025" spans="1:1" x14ac:dyDescent="0.25">
      <c r="A313025" s="1"/>
    </row>
    <row r="313026" spans="1:1" x14ac:dyDescent="0.25">
      <c r="A313026" s="1"/>
    </row>
    <row r="313027" spans="1:1" x14ac:dyDescent="0.25">
      <c r="A313027" s="1"/>
    </row>
    <row r="313028" spans="1:1" x14ac:dyDescent="0.25">
      <c r="A313028" s="1"/>
    </row>
    <row r="313029" spans="1:1" x14ac:dyDescent="0.25">
      <c r="A313029" s="1"/>
    </row>
    <row r="313030" spans="1:1" x14ac:dyDescent="0.25">
      <c r="A313030" s="1"/>
    </row>
    <row r="313031" spans="1:1" x14ac:dyDescent="0.25">
      <c r="A313031" s="1"/>
    </row>
    <row r="313032" spans="1:1" x14ac:dyDescent="0.25">
      <c r="A313032" s="1"/>
    </row>
    <row r="313033" spans="1:1" x14ac:dyDescent="0.25">
      <c r="A313033" s="1"/>
    </row>
    <row r="313034" spans="1:1" x14ac:dyDescent="0.25">
      <c r="A313034" s="1"/>
    </row>
    <row r="313035" spans="1:1" x14ac:dyDescent="0.25">
      <c r="A313035" s="1"/>
    </row>
    <row r="313036" spans="1:1" x14ac:dyDescent="0.25">
      <c r="A313036" s="1"/>
    </row>
    <row r="313037" spans="1:1" x14ac:dyDescent="0.25">
      <c r="A313037" s="1"/>
    </row>
    <row r="313038" spans="1:1" x14ac:dyDescent="0.25">
      <c r="A313038" s="1"/>
    </row>
    <row r="313039" spans="1:1" x14ac:dyDescent="0.25">
      <c r="A313039" s="1"/>
    </row>
    <row r="313040" spans="1:1" x14ac:dyDescent="0.25">
      <c r="A313040" s="1"/>
    </row>
    <row r="313041" spans="1:1" x14ac:dyDescent="0.25">
      <c r="A313041" s="1"/>
    </row>
    <row r="313042" spans="1:1" x14ac:dyDescent="0.25">
      <c r="A313042" s="1"/>
    </row>
    <row r="313043" spans="1:1" x14ac:dyDescent="0.25">
      <c r="A313043" s="1"/>
    </row>
    <row r="313044" spans="1:1" x14ac:dyDescent="0.25">
      <c r="A313044" s="1"/>
    </row>
    <row r="313045" spans="1:1" x14ac:dyDescent="0.25">
      <c r="A313045" s="1"/>
    </row>
    <row r="313046" spans="1:1" x14ac:dyDescent="0.25">
      <c r="A313046" s="1"/>
    </row>
    <row r="313047" spans="1:1" x14ac:dyDescent="0.25">
      <c r="A313047" s="1"/>
    </row>
    <row r="313048" spans="1:1" x14ac:dyDescent="0.25">
      <c r="A313048" s="1"/>
    </row>
    <row r="313049" spans="1:1" x14ac:dyDescent="0.25">
      <c r="A313049" s="1"/>
    </row>
    <row r="313050" spans="1:1" x14ac:dyDescent="0.25">
      <c r="A313050" s="1"/>
    </row>
    <row r="313051" spans="1:1" x14ac:dyDescent="0.25">
      <c r="A313051" s="1"/>
    </row>
    <row r="313052" spans="1:1" x14ac:dyDescent="0.25">
      <c r="A313052" s="1"/>
    </row>
    <row r="313053" spans="1:1" x14ac:dyDescent="0.25">
      <c r="A313053" s="1"/>
    </row>
    <row r="313054" spans="1:1" x14ac:dyDescent="0.25">
      <c r="A313054" s="1"/>
    </row>
    <row r="313055" spans="1:1" x14ac:dyDescent="0.25">
      <c r="A313055" s="1"/>
    </row>
    <row r="313056" spans="1:1" x14ac:dyDescent="0.25">
      <c r="A313056" s="1"/>
    </row>
    <row r="313057" spans="1:1" x14ac:dyDescent="0.25">
      <c r="A313057" s="1"/>
    </row>
    <row r="313058" spans="1:1" x14ac:dyDescent="0.25">
      <c r="A313058" s="1"/>
    </row>
    <row r="313059" spans="1:1" x14ac:dyDescent="0.25">
      <c r="A313059" s="1"/>
    </row>
    <row r="313060" spans="1:1" x14ac:dyDescent="0.25">
      <c r="A313060" s="1"/>
    </row>
    <row r="313061" spans="1:1" x14ac:dyDescent="0.25">
      <c r="A313061" s="1"/>
    </row>
    <row r="313062" spans="1:1" x14ac:dyDescent="0.25">
      <c r="A313062" s="1"/>
    </row>
    <row r="313063" spans="1:1" x14ac:dyDescent="0.25">
      <c r="A313063" s="1"/>
    </row>
    <row r="313064" spans="1:1" x14ac:dyDescent="0.25">
      <c r="A313064" s="1"/>
    </row>
    <row r="313065" spans="1:1" x14ac:dyDescent="0.25">
      <c r="A313065" s="1"/>
    </row>
    <row r="313066" spans="1:1" x14ac:dyDescent="0.25">
      <c r="A313066" s="1"/>
    </row>
    <row r="313067" spans="1:1" x14ac:dyDescent="0.25">
      <c r="A313067" s="1"/>
    </row>
    <row r="313068" spans="1:1" x14ac:dyDescent="0.25">
      <c r="A313068" s="1"/>
    </row>
    <row r="313069" spans="1:1" x14ac:dyDescent="0.25">
      <c r="A313069" s="1"/>
    </row>
    <row r="313070" spans="1:1" x14ac:dyDescent="0.25">
      <c r="A313070" s="1"/>
    </row>
    <row r="313071" spans="1:1" x14ac:dyDescent="0.25">
      <c r="A313071" s="1"/>
    </row>
    <row r="313072" spans="1:1" x14ac:dyDescent="0.25">
      <c r="A313072" s="1"/>
    </row>
    <row r="313073" spans="1:1" x14ac:dyDescent="0.25">
      <c r="A313073" s="1"/>
    </row>
    <row r="313074" spans="1:1" x14ac:dyDescent="0.25">
      <c r="A313074" s="1"/>
    </row>
    <row r="313075" spans="1:1" x14ac:dyDescent="0.25">
      <c r="A313075" s="1"/>
    </row>
    <row r="313076" spans="1:1" x14ac:dyDescent="0.25">
      <c r="A313076" s="1"/>
    </row>
    <row r="313077" spans="1:1" x14ac:dyDescent="0.25">
      <c r="A313077" s="1"/>
    </row>
    <row r="313078" spans="1:1" x14ac:dyDescent="0.25">
      <c r="A313078" s="1"/>
    </row>
    <row r="313079" spans="1:1" x14ac:dyDescent="0.25">
      <c r="A313079" s="1"/>
    </row>
    <row r="313080" spans="1:1" x14ac:dyDescent="0.25">
      <c r="A313080" s="1"/>
    </row>
    <row r="313081" spans="1:1" x14ac:dyDescent="0.25">
      <c r="A313081" s="1"/>
    </row>
    <row r="313082" spans="1:1" x14ac:dyDescent="0.25">
      <c r="A313082" s="1"/>
    </row>
    <row r="313083" spans="1:1" x14ac:dyDescent="0.25">
      <c r="A313083" s="1"/>
    </row>
    <row r="313084" spans="1:1" x14ac:dyDescent="0.25">
      <c r="A313084" s="1"/>
    </row>
    <row r="313085" spans="1:1" x14ac:dyDescent="0.25">
      <c r="A313085" s="1"/>
    </row>
    <row r="313086" spans="1:1" x14ac:dyDescent="0.25">
      <c r="A313086" s="1"/>
    </row>
    <row r="313087" spans="1:1" x14ac:dyDescent="0.25">
      <c r="A313087" s="1"/>
    </row>
    <row r="313088" spans="1:1" x14ac:dyDescent="0.25">
      <c r="A313088" s="1"/>
    </row>
    <row r="313089" spans="1:1" x14ac:dyDescent="0.25">
      <c r="A313089" s="1"/>
    </row>
    <row r="313090" spans="1:1" x14ac:dyDescent="0.25">
      <c r="A313090" s="1"/>
    </row>
    <row r="313091" spans="1:1" x14ac:dyDescent="0.25">
      <c r="A313091" s="1"/>
    </row>
    <row r="313092" spans="1:1" x14ac:dyDescent="0.25">
      <c r="A313092" s="1"/>
    </row>
    <row r="313093" spans="1:1" x14ac:dyDescent="0.25">
      <c r="A313093" s="1"/>
    </row>
    <row r="313094" spans="1:1" x14ac:dyDescent="0.25">
      <c r="A313094" s="1"/>
    </row>
    <row r="313095" spans="1:1" x14ac:dyDescent="0.25">
      <c r="A313095" s="1"/>
    </row>
    <row r="313096" spans="1:1" x14ac:dyDescent="0.25">
      <c r="A313096" s="1"/>
    </row>
    <row r="313097" spans="1:1" x14ac:dyDescent="0.25">
      <c r="A313097" s="1"/>
    </row>
    <row r="313098" spans="1:1" x14ac:dyDescent="0.25">
      <c r="A313098" s="1"/>
    </row>
    <row r="313099" spans="1:1" x14ac:dyDescent="0.25">
      <c r="A313099" s="1"/>
    </row>
    <row r="313100" spans="1:1" x14ac:dyDescent="0.25">
      <c r="A313100" s="1"/>
    </row>
    <row r="313101" spans="1:1" x14ac:dyDescent="0.25">
      <c r="A313101" s="1"/>
    </row>
    <row r="313102" spans="1:1" x14ac:dyDescent="0.25">
      <c r="A313102" s="1"/>
    </row>
    <row r="313103" spans="1:1" x14ac:dyDescent="0.25">
      <c r="A313103" s="1"/>
    </row>
    <row r="313104" spans="1:1" x14ac:dyDescent="0.25">
      <c r="A313104" s="1"/>
    </row>
    <row r="313105" spans="1:1" x14ac:dyDescent="0.25">
      <c r="A313105" s="1"/>
    </row>
    <row r="313106" spans="1:1" x14ac:dyDescent="0.25">
      <c r="A313106" s="1"/>
    </row>
    <row r="313107" spans="1:1" x14ac:dyDescent="0.25">
      <c r="A313107" s="1"/>
    </row>
    <row r="313108" spans="1:1" x14ac:dyDescent="0.25">
      <c r="A313108" s="1"/>
    </row>
    <row r="313109" spans="1:1" x14ac:dyDescent="0.25">
      <c r="A313109" s="1"/>
    </row>
    <row r="313110" spans="1:1" x14ac:dyDescent="0.25">
      <c r="A313110" s="1"/>
    </row>
    <row r="313111" spans="1:1" x14ac:dyDescent="0.25">
      <c r="A313111" s="1"/>
    </row>
    <row r="313112" spans="1:1" x14ac:dyDescent="0.25">
      <c r="A313112" s="1"/>
    </row>
    <row r="313113" spans="1:1" x14ac:dyDescent="0.25">
      <c r="A313113" s="1"/>
    </row>
    <row r="313114" spans="1:1" x14ac:dyDescent="0.25">
      <c r="A313114" s="1"/>
    </row>
    <row r="313115" spans="1:1" x14ac:dyDescent="0.25">
      <c r="A313115" s="1"/>
    </row>
    <row r="313116" spans="1:1" x14ac:dyDescent="0.25">
      <c r="A313116" s="1"/>
    </row>
    <row r="313117" spans="1:1" x14ac:dyDescent="0.25">
      <c r="A313117" s="1"/>
    </row>
    <row r="313118" spans="1:1" x14ac:dyDescent="0.25">
      <c r="A313118" s="1"/>
    </row>
    <row r="313119" spans="1:1" x14ac:dyDescent="0.25">
      <c r="A313119" s="1"/>
    </row>
    <row r="313120" spans="1:1" x14ac:dyDescent="0.25">
      <c r="A313120" s="1"/>
    </row>
    <row r="313121" spans="1:1" x14ac:dyDescent="0.25">
      <c r="A313121" s="1"/>
    </row>
    <row r="313122" spans="1:1" x14ac:dyDescent="0.25">
      <c r="A313122" s="1"/>
    </row>
    <row r="313123" spans="1:1" x14ac:dyDescent="0.25">
      <c r="A313123" s="1"/>
    </row>
    <row r="313124" spans="1:1" x14ac:dyDescent="0.25">
      <c r="A313124" s="1"/>
    </row>
    <row r="313125" spans="1:1" x14ac:dyDescent="0.25">
      <c r="A313125" s="1"/>
    </row>
    <row r="313126" spans="1:1" x14ac:dyDescent="0.25">
      <c r="A313126" s="1"/>
    </row>
    <row r="313127" spans="1:1" x14ac:dyDescent="0.25">
      <c r="A313127" s="1"/>
    </row>
    <row r="313128" spans="1:1" x14ac:dyDescent="0.25">
      <c r="A313128" s="1"/>
    </row>
    <row r="313129" spans="1:1" x14ac:dyDescent="0.25">
      <c r="A313129" s="1"/>
    </row>
    <row r="313130" spans="1:1" x14ac:dyDescent="0.25">
      <c r="A313130" s="1"/>
    </row>
    <row r="313131" spans="1:1" x14ac:dyDescent="0.25">
      <c r="A313131" s="1"/>
    </row>
    <row r="313132" spans="1:1" x14ac:dyDescent="0.25">
      <c r="A313132" s="1"/>
    </row>
    <row r="313133" spans="1:1" x14ac:dyDescent="0.25">
      <c r="A313133" s="1"/>
    </row>
    <row r="313134" spans="1:1" x14ac:dyDescent="0.25">
      <c r="A313134" s="1"/>
    </row>
    <row r="313135" spans="1:1" x14ac:dyDescent="0.25">
      <c r="A313135" s="1"/>
    </row>
    <row r="313136" spans="1:1" x14ac:dyDescent="0.25">
      <c r="A313136" s="1"/>
    </row>
    <row r="313137" spans="1:1" x14ac:dyDescent="0.25">
      <c r="A313137" s="1"/>
    </row>
    <row r="313138" spans="1:1" x14ac:dyDescent="0.25">
      <c r="A313138" s="1"/>
    </row>
    <row r="313139" spans="1:1" x14ac:dyDescent="0.25">
      <c r="A313139" s="1"/>
    </row>
    <row r="313140" spans="1:1" x14ac:dyDescent="0.25">
      <c r="A313140" s="1"/>
    </row>
    <row r="313141" spans="1:1" x14ac:dyDescent="0.25">
      <c r="A313141" s="1"/>
    </row>
    <row r="313142" spans="1:1" x14ac:dyDescent="0.25">
      <c r="A313142" s="1"/>
    </row>
    <row r="313143" spans="1:1" x14ac:dyDescent="0.25">
      <c r="A313143" s="1"/>
    </row>
    <row r="313144" spans="1:1" x14ac:dyDescent="0.25">
      <c r="A313144" s="1"/>
    </row>
    <row r="313145" spans="1:1" x14ac:dyDescent="0.25">
      <c r="A313145" s="1"/>
    </row>
    <row r="313146" spans="1:1" x14ac:dyDescent="0.25">
      <c r="A313146" s="1"/>
    </row>
    <row r="313147" spans="1:1" x14ac:dyDescent="0.25">
      <c r="A313147" s="1"/>
    </row>
    <row r="313148" spans="1:1" x14ac:dyDescent="0.25">
      <c r="A313148" s="1"/>
    </row>
    <row r="313149" spans="1:1" x14ac:dyDescent="0.25">
      <c r="A313149" s="1"/>
    </row>
    <row r="313150" spans="1:1" x14ac:dyDescent="0.25">
      <c r="A313150" s="1"/>
    </row>
    <row r="313151" spans="1:1" x14ac:dyDescent="0.25">
      <c r="A313151" s="1"/>
    </row>
    <row r="313152" spans="1:1" x14ac:dyDescent="0.25">
      <c r="A313152" s="1"/>
    </row>
    <row r="313153" spans="1:1" x14ac:dyDescent="0.25">
      <c r="A313153" s="1"/>
    </row>
    <row r="313154" spans="1:1" x14ac:dyDescent="0.25">
      <c r="A313154" s="1"/>
    </row>
    <row r="313155" spans="1:1" x14ac:dyDescent="0.25">
      <c r="A313155" s="1"/>
    </row>
    <row r="313156" spans="1:1" x14ac:dyDescent="0.25">
      <c r="A313156" s="1"/>
    </row>
    <row r="313157" spans="1:1" x14ac:dyDescent="0.25">
      <c r="A313157" s="1"/>
    </row>
    <row r="313158" spans="1:1" x14ac:dyDescent="0.25">
      <c r="A313158" s="1"/>
    </row>
    <row r="313159" spans="1:1" x14ac:dyDescent="0.25">
      <c r="A313159" s="1"/>
    </row>
    <row r="313160" spans="1:1" x14ac:dyDescent="0.25">
      <c r="A313160" s="1"/>
    </row>
    <row r="313161" spans="1:1" x14ac:dyDescent="0.25">
      <c r="A313161" s="1"/>
    </row>
    <row r="313162" spans="1:1" x14ac:dyDescent="0.25">
      <c r="A313162" s="1"/>
    </row>
    <row r="313163" spans="1:1" x14ac:dyDescent="0.25">
      <c r="A313163" s="1"/>
    </row>
    <row r="313164" spans="1:1" x14ac:dyDescent="0.25">
      <c r="A313164" s="1"/>
    </row>
    <row r="313165" spans="1:1" x14ac:dyDescent="0.25">
      <c r="A313165" s="1"/>
    </row>
    <row r="313166" spans="1:1" x14ac:dyDescent="0.25">
      <c r="A313166" s="1"/>
    </row>
    <row r="313167" spans="1:1" x14ac:dyDescent="0.25">
      <c r="A313167" s="1"/>
    </row>
    <row r="313168" spans="1:1" x14ac:dyDescent="0.25">
      <c r="A313168" s="1"/>
    </row>
    <row r="313169" spans="1:1" x14ac:dyDescent="0.25">
      <c r="A313169" s="1"/>
    </row>
    <row r="313170" spans="1:1" x14ac:dyDescent="0.25">
      <c r="A313170" s="1"/>
    </row>
    <row r="313171" spans="1:1" x14ac:dyDescent="0.25">
      <c r="A313171" s="1"/>
    </row>
    <row r="313172" spans="1:1" x14ac:dyDescent="0.25">
      <c r="A313172" s="1"/>
    </row>
    <row r="313173" spans="1:1" x14ac:dyDescent="0.25">
      <c r="A313173" s="1"/>
    </row>
    <row r="313174" spans="1:1" x14ac:dyDescent="0.25">
      <c r="A313174" s="1"/>
    </row>
    <row r="313175" spans="1:1" x14ac:dyDescent="0.25">
      <c r="A313175" s="1"/>
    </row>
    <row r="313176" spans="1:1" x14ac:dyDescent="0.25">
      <c r="A313176" s="1"/>
    </row>
    <row r="313177" spans="1:1" x14ac:dyDescent="0.25">
      <c r="A313177" s="1"/>
    </row>
    <row r="313178" spans="1:1" x14ac:dyDescent="0.25">
      <c r="A313178" s="1"/>
    </row>
    <row r="313179" spans="1:1" x14ac:dyDescent="0.25">
      <c r="A313179" s="1"/>
    </row>
    <row r="313180" spans="1:1" x14ac:dyDescent="0.25">
      <c r="A313180" s="1"/>
    </row>
    <row r="313181" spans="1:1" x14ac:dyDescent="0.25">
      <c r="A313181" s="1"/>
    </row>
    <row r="313182" spans="1:1" x14ac:dyDescent="0.25">
      <c r="A313182" s="1"/>
    </row>
    <row r="313183" spans="1:1" x14ac:dyDescent="0.25">
      <c r="A313183" s="1"/>
    </row>
    <row r="313184" spans="1:1" x14ac:dyDescent="0.25">
      <c r="A313184" s="1"/>
    </row>
    <row r="313185" spans="1:1" x14ac:dyDescent="0.25">
      <c r="A313185" s="1"/>
    </row>
    <row r="313186" spans="1:1" x14ac:dyDescent="0.25">
      <c r="A313186" s="1"/>
    </row>
    <row r="313187" spans="1:1" x14ac:dyDescent="0.25">
      <c r="A313187" s="1"/>
    </row>
    <row r="313188" spans="1:1" x14ac:dyDescent="0.25">
      <c r="A313188" s="1"/>
    </row>
    <row r="313189" spans="1:1" x14ac:dyDescent="0.25">
      <c r="A313189" s="1"/>
    </row>
    <row r="313190" spans="1:1" x14ac:dyDescent="0.25">
      <c r="A313190" s="1"/>
    </row>
    <row r="313191" spans="1:1" x14ac:dyDescent="0.25">
      <c r="A313191" s="1"/>
    </row>
    <row r="313192" spans="1:1" x14ac:dyDescent="0.25">
      <c r="A313192" s="1"/>
    </row>
    <row r="313193" spans="1:1" x14ac:dyDescent="0.25">
      <c r="A313193" s="1"/>
    </row>
    <row r="313194" spans="1:1" x14ac:dyDescent="0.25">
      <c r="A313194" s="1"/>
    </row>
    <row r="313195" spans="1:1" x14ac:dyDescent="0.25">
      <c r="A313195" s="1"/>
    </row>
    <row r="313196" spans="1:1" x14ac:dyDescent="0.25">
      <c r="A313196" s="1"/>
    </row>
    <row r="313197" spans="1:1" x14ac:dyDescent="0.25">
      <c r="A313197" s="1"/>
    </row>
    <row r="313198" spans="1:1" x14ac:dyDescent="0.25">
      <c r="A313198" s="1"/>
    </row>
    <row r="313199" spans="1:1" x14ac:dyDescent="0.25">
      <c r="A313199" s="1"/>
    </row>
    <row r="313200" spans="1:1" x14ac:dyDescent="0.25">
      <c r="A313200" s="1"/>
    </row>
    <row r="313201" spans="1:1" x14ac:dyDescent="0.25">
      <c r="A313201" s="1"/>
    </row>
    <row r="313202" spans="1:1" x14ac:dyDescent="0.25">
      <c r="A313202" s="1"/>
    </row>
    <row r="313203" spans="1:1" x14ac:dyDescent="0.25">
      <c r="A313203" s="1"/>
    </row>
    <row r="313204" spans="1:1" x14ac:dyDescent="0.25">
      <c r="A313204" s="1"/>
    </row>
    <row r="313205" spans="1:1" x14ac:dyDescent="0.25">
      <c r="A313205" s="1"/>
    </row>
    <row r="313206" spans="1:1" x14ac:dyDescent="0.25">
      <c r="A313206" s="1"/>
    </row>
    <row r="313207" spans="1:1" x14ac:dyDescent="0.25">
      <c r="A313207" s="1"/>
    </row>
    <row r="313208" spans="1:1" x14ac:dyDescent="0.25">
      <c r="A313208" s="1"/>
    </row>
    <row r="313209" spans="1:1" x14ac:dyDescent="0.25">
      <c r="A313209" s="1"/>
    </row>
    <row r="313210" spans="1:1" x14ac:dyDescent="0.25">
      <c r="A313210" s="1"/>
    </row>
    <row r="313211" spans="1:1" x14ac:dyDescent="0.25">
      <c r="A313211" s="1"/>
    </row>
    <row r="313212" spans="1:1" x14ac:dyDescent="0.25">
      <c r="A313212" s="1"/>
    </row>
    <row r="313213" spans="1:1" x14ac:dyDescent="0.25">
      <c r="A313213" s="1"/>
    </row>
    <row r="313214" spans="1:1" x14ac:dyDescent="0.25">
      <c r="A313214" s="1"/>
    </row>
    <row r="313215" spans="1:1" x14ac:dyDescent="0.25">
      <c r="A313215" s="1"/>
    </row>
    <row r="313216" spans="1:1" x14ac:dyDescent="0.25">
      <c r="A313216" s="1"/>
    </row>
    <row r="313217" spans="1:1" x14ac:dyDescent="0.25">
      <c r="A313217" s="1"/>
    </row>
    <row r="313218" spans="1:1" x14ac:dyDescent="0.25">
      <c r="A313218" s="1"/>
    </row>
    <row r="313219" spans="1:1" x14ac:dyDescent="0.25">
      <c r="A313219" s="1"/>
    </row>
    <row r="313220" spans="1:1" x14ac:dyDescent="0.25">
      <c r="A313220" s="1"/>
    </row>
    <row r="313221" spans="1:1" x14ac:dyDescent="0.25">
      <c r="A313221" s="1"/>
    </row>
    <row r="313222" spans="1:1" x14ac:dyDescent="0.25">
      <c r="A313222" s="1"/>
    </row>
    <row r="313223" spans="1:1" x14ac:dyDescent="0.25">
      <c r="A313223" s="1"/>
    </row>
    <row r="313224" spans="1:1" x14ac:dyDescent="0.25">
      <c r="A313224" s="1"/>
    </row>
    <row r="313225" spans="1:1" x14ac:dyDescent="0.25">
      <c r="A313225" s="1"/>
    </row>
    <row r="313226" spans="1:1" x14ac:dyDescent="0.25">
      <c r="A313226" s="1"/>
    </row>
    <row r="313227" spans="1:1" x14ac:dyDescent="0.25">
      <c r="A313227" s="1"/>
    </row>
    <row r="313228" spans="1:1" x14ac:dyDescent="0.25">
      <c r="A313228" s="1"/>
    </row>
    <row r="313229" spans="1:1" x14ac:dyDescent="0.25">
      <c r="A313229" s="1"/>
    </row>
    <row r="313230" spans="1:1" x14ac:dyDescent="0.25">
      <c r="A313230" s="1"/>
    </row>
    <row r="313231" spans="1:1" x14ac:dyDescent="0.25">
      <c r="A313231" s="1"/>
    </row>
    <row r="313232" spans="1:1" x14ac:dyDescent="0.25">
      <c r="A313232" s="1"/>
    </row>
    <row r="313233" spans="1:1" x14ac:dyDescent="0.25">
      <c r="A313233" s="1"/>
    </row>
    <row r="313234" spans="1:1" x14ac:dyDescent="0.25">
      <c r="A313234" s="1"/>
    </row>
    <row r="313235" spans="1:1" x14ac:dyDescent="0.25">
      <c r="A313235" s="1"/>
    </row>
    <row r="313236" spans="1:1" x14ac:dyDescent="0.25">
      <c r="A313236" s="1"/>
    </row>
    <row r="313237" spans="1:1" x14ac:dyDescent="0.25">
      <c r="A313237" s="1"/>
    </row>
    <row r="313238" spans="1:1" x14ac:dyDescent="0.25">
      <c r="A313238" s="1"/>
    </row>
    <row r="313239" spans="1:1" x14ac:dyDescent="0.25">
      <c r="A313239" s="1"/>
    </row>
    <row r="313240" spans="1:1" x14ac:dyDescent="0.25">
      <c r="A313240" s="1"/>
    </row>
    <row r="313241" spans="1:1" x14ac:dyDescent="0.25">
      <c r="A313241" s="1"/>
    </row>
    <row r="313242" spans="1:1" x14ac:dyDescent="0.25">
      <c r="A313242" s="1"/>
    </row>
    <row r="313243" spans="1:1" x14ac:dyDescent="0.25">
      <c r="A313243" s="1"/>
    </row>
    <row r="313244" spans="1:1" x14ac:dyDescent="0.25">
      <c r="A313244" s="1"/>
    </row>
    <row r="313245" spans="1:1" x14ac:dyDescent="0.25">
      <c r="A313245" s="1"/>
    </row>
    <row r="313246" spans="1:1" x14ac:dyDescent="0.25">
      <c r="A313246" s="1"/>
    </row>
    <row r="313247" spans="1:1" x14ac:dyDescent="0.25">
      <c r="A313247" s="1"/>
    </row>
    <row r="313248" spans="1:1" x14ac:dyDescent="0.25">
      <c r="A313248" s="1"/>
    </row>
    <row r="313249" spans="1:1" x14ac:dyDescent="0.25">
      <c r="A313249" s="1"/>
    </row>
    <row r="313250" spans="1:1" x14ac:dyDescent="0.25">
      <c r="A313250" s="1"/>
    </row>
    <row r="313251" spans="1:1" x14ac:dyDescent="0.25">
      <c r="A313251" s="1"/>
    </row>
    <row r="313252" spans="1:1" x14ac:dyDescent="0.25">
      <c r="A313252" s="1"/>
    </row>
    <row r="313253" spans="1:1" x14ac:dyDescent="0.25">
      <c r="A313253" s="1"/>
    </row>
    <row r="313254" spans="1:1" x14ac:dyDescent="0.25">
      <c r="A313254" s="1"/>
    </row>
    <row r="313255" spans="1:1" x14ac:dyDescent="0.25">
      <c r="A313255" s="1"/>
    </row>
    <row r="313256" spans="1:1" x14ac:dyDescent="0.25">
      <c r="A313256" s="1"/>
    </row>
    <row r="313257" spans="1:1" x14ac:dyDescent="0.25">
      <c r="A313257" s="1"/>
    </row>
    <row r="313258" spans="1:1" x14ac:dyDescent="0.25">
      <c r="A313258" s="1"/>
    </row>
    <row r="313259" spans="1:1" x14ac:dyDescent="0.25">
      <c r="A313259" s="1"/>
    </row>
    <row r="313260" spans="1:1" x14ac:dyDescent="0.25">
      <c r="A313260" s="1"/>
    </row>
    <row r="313261" spans="1:1" x14ac:dyDescent="0.25">
      <c r="A313261" s="1"/>
    </row>
    <row r="313262" spans="1:1" x14ac:dyDescent="0.25">
      <c r="A313262" s="1"/>
    </row>
    <row r="313263" spans="1:1" x14ac:dyDescent="0.25">
      <c r="A313263" s="1"/>
    </row>
    <row r="313264" spans="1:1" x14ac:dyDescent="0.25">
      <c r="A313264" s="1"/>
    </row>
    <row r="313265" spans="1:1" x14ac:dyDescent="0.25">
      <c r="A313265" s="1"/>
    </row>
    <row r="313266" spans="1:1" x14ac:dyDescent="0.25">
      <c r="A313266" s="1"/>
    </row>
    <row r="313267" spans="1:1" x14ac:dyDescent="0.25">
      <c r="A313267" s="1"/>
    </row>
    <row r="313268" spans="1:1" x14ac:dyDescent="0.25">
      <c r="A313268" s="1"/>
    </row>
    <row r="313269" spans="1:1" x14ac:dyDescent="0.25">
      <c r="A313269" s="1"/>
    </row>
    <row r="313270" spans="1:1" x14ac:dyDescent="0.25">
      <c r="A313270" s="1"/>
    </row>
    <row r="313271" spans="1:1" x14ac:dyDescent="0.25">
      <c r="A313271" s="1"/>
    </row>
    <row r="313272" spans="1:1" x14ac:dyDescent="0.25">
      <c r="A313272" s="1"/>
    </row>
    <row r="313273" spans="1:1" x14ac:dyDescent="0.25">
      <c r="A313273" s="1"/>
    </row>
    <row r="313274" spans="1:1" x14ac:dyDescent="0.25">
      <c r="A313274" s="1"/>
    </row>
    <row r="313275" spans="1:1" x14ac:dyDescent="0.25">
      <c r="A313275" s="1"/>
    </row>
    <row r="313276" spans="1:1" x14ac:dyDescent="0.25">
      <c r="A313276" s="1"/>
    </row>
    <row r="313277" spans="1:1" x14ac:dyDescent="0.25">
      <c r="A313277" s="1"/>
    </row>
    <row r="313278" spans="1:1" x14ac:dyDescent="0.25">
      <c r="A313278" s="1"/>
    </row>
    <row r="313279" spans="1:1" x14ac:dyDescent="0.25">
      <c r="A313279" s="1"/>
    </row>
    <row r="313280" spans="1:1" x14ac:dyDescent="0.25">
      <c r="A313280" s="1"/>
    </row>
    <row r="313281" spans="1:1" x14ac:dyDescent="0.25">
      <c r="A313281" s="1"/>
    </row>
    <row r="313282" spans="1:1" x14ac:dyDescent="0.25">
      <c r="A313282" s="1"/>
    </row>
    <row r="313283" spans="1:1" x14ac:dyDescent="0.25">
      <c r="A313283" s="1"/>
    </row>
    <row r="313284" spans="1:1" x14ac:dyDescent="0.25">
      <c r="A313284" s="1"/>
    </row>
    <row r="313285" spans="1:1" x14ac:dyDescent="0.25">
      <c r="A313285" s="1"/>
    </row>
    <row r="313286" spans="1:1" x14ac:dyDescent="0.25">
      <c r="A313286" s="1"/>
    </row>
    <row r="313287" spans="1:1" x14ac:dyDescent="0.25">
      <c r="A313287" s="1"/>
    </row>
    <row r="313288" spans="1:1" x14ac:dyDescent="0.25">
      <c r="A313288" s="1"/>
    </row>
    <row r="313289" spans="1:1" x14ac:dyDescent="0.25">
      <c r="A313289" s="1"/>
    </row>
    <row r="313290" spans="1:1" x14ac:dyDescent="0.25">
      <c r="A313290" s="1"/>
    </row>
    <row r="313291" spans="1:1" x14ac:dyDescent="0.25">
      <c r="A313291" s="1"/>
    </row>
    <row r="313292" spans="1:1" x14ac:dyDescent="0.25">
      <c r="A313292" s="1"/>
    </row>
    <row r="313293" spans="1:1" x14ac:dyDescent="0.25">
      <c r="A313293" s="1"/>
    </row>
    <row r="313294" spans="1:1" x14ac:dyDescent="0.25">
      <c r="A313294" s="1"/>
    </row>
    <row r="313295" spans="1:1" x14ac:dyDescent="0.25">
      <c r="A313295" s="1"/>
    </row>
    <row r="313296" spans="1:1" x14ac:dyDescent="0.25">
      <c r="A313296" s="1"/>
    </row>
    <row r="313297" spans="1:1" x14ac:dyDescent="0.25">
      <c r="A313297" s="1"/>
    </row>
    <row r="313298" spans="1:1" x14ac:dyDescent="0.25">
      <c r="A313298" s="1"/>
    </row>
    <row r="313299" spans="1:1" x14ac:dyDescent="0.25">
      <c r="A313299" s="1"/>
    </row>
    <row r="313300" spans="1:1" x14ac:dyDescent="0.25">
      <c r="A313300" s="1"/>
    </row>
    <row r="313301" spans="1:1" x14ac:dyDescent="0.25">
      <c r="A313301" s="1"/>
    </row>
    <row r="313302" spans="1:1" x14ac:dyDescent="0.25">
      <c r="A313302" s="1"/>
    </row>
    <row r="313303" spans="1:1" x14ac:dyDescent="0.25">
      <c r="A313303" s="1"/>
    </row>
    <row r="313304" spans="1:1" x14ac:dyDescent="0.25">
      <c r="A313304" s="1"/>
    </row>
    <row r="313305" spans="1:1" x14ac:dyDescent="0.25">
      <c r="A313305" s="1"/>
    </row>
    <row r="313306" spans="1:1" x14ac:dyDescent="0.25">
      <c r="A313306" s="1"/>
    </row>
    <row r="313307" spans="1:1" x14ac:dyDescent="0.25">
      <c r="A313307" s="1"/>
    </row>
    <row r="313308" spans="1:1" x14ac:dyDescent="0.25">
      <c r="A313308" s="1"/>
    </row>
    <row r="313309" spans="1:1" x14ac:dyDescent="0.25">
      <c r="A313309" s="1"/>
    </row>
    <row r="313310" spans="1:1" x14ac:dyDescent="0.25">
      <c r="A313310" s="1"/>
    </row>
    <row r="313311" spans="1:1" x14ac:dyDescent="0.25">
      <c r="A313311" s="1"/>
    </row>
    <row r="313312" spans="1:1" x14ac:dyDescent="0.25">
      <c r="A313312" s="1"/>
    </row>
    <row r="313313" spans="1:1" x14ac:dyDescent="0.25">
      <c r="A313313" s="1"/>
    </row>
    <row r="313314" spans="1:1" x14ac:dyDescent="0.25">
      <c r="A313314" s="1"/>
    </row>
    <row r="313315" spans="1:1" x14ac:dyDescent="0.25">
      <c r="A313315" s="1"/>
    </row>
    <row r="313316" spans="1:1" x14ac:dyDescent="0.25">
      <c r="A313316" s="1"/>
    </row>
    <row r="313317" spans="1:1" x14ac:dyDescent="0.25">
      <c r="A313317" s="1"/>
    </row>
    <row r="313318" spans="1:1" x14ac:dyDescent="0.25">
      <c r="A313318" s="1"/>
    </row>
    <row r="313319" spans="1:1" x14ac:dyDescent="0.25">
      <c r="A313319" s="1"/>
    </row>
    <row r="313320" spans="1:1" x14ac:dyDescent="0.25">
      <c r="A313320" s="1"/>
    </row>
    <row r="313321" spans="1:1" x14ac:dyDescent="0.25">
      <c r="A313321" s="1"/>
    </row>
    <row r="313322" spans="1:1" x14ac:dyDescent="0.25">
      <c r="A313322" s="1"/>
    </row>
    <row r="313323" spans="1:1" x14ac:dyDescent="0.25">
      <c r="A313323" s="1"/>
    </row>
    <row r="313324" spans="1:1" x14ac:dyDescent="0.25">
      <c r="A313324" s="1"/>
    </row>
    <row r="313325" spans="1:1" x14ac:dyDescent="0.25">
      <c r="A313325" s="1"/>
    </row>
    <row r="313326" spans="1:1" x14ac:dyDescent="0.25">
      <c r="A313326" s="1"/>
    </row>
    <row r="313327" spans="1:1" x14ac:dyDescent="0.25">
      <c r="A313327" s="1"/>
    </row>
    <row r="313328" spans="1:1" x14ac:dyDescent="0.25">
      <c r="A313328" s="1"/>
    </row>
    <row r="313329" spans="1:1" x14ac:dyDescent="0.25">
      <c r="A313329" s="1"/>
    </row>
    <row r="313330" spans="1:1" x14ac:dyDescent="0.25">
      <c r="A313330" s="1"/>
    </row>
    <row r="313331" spans="1:1" x14ac:dyDescent="0.25">
      <c r="A313331" s="1"/>
    </row>
    <row r="313332" spans="1:1" x14ac:dyDescent="0.25">
      <c r="A313332" s="1"/>
    </row>
    <row r="313333" spans="1:1" x14ac:dyDescent="0.25">
      <c r="A313333" s="1"/>
    </row>
    <row r="313334" spans="1:1" x14ac:dyDescent="0.25">
      <c r="A313334" s="1"/>
    </row>
    <row r="313335" spans="1:1" x14ac:dyDescent="0.25">
      <c r="A313335" s="1"/>
    </row>
    <row r="313336" spans="1:1" x14ac:dyDescent="0.25">
      <c r="A313336" s="1"/>
    </row>
    <row r="313337" spans="1:1" x14ac:dyDescent="0.25">
      <c r="A313337" s="1"/>
    </row>
    <row r="313338" spans="1:1" x14ac:dyDescent="0.25">
      <c r="A313338" s="1"/>
    </row>
    <row r="313339" spans="1:1" x14ac:dyDescent="0.25">
      <c r="A313339" s="1"/>
    </row>
    <row r="313340" spans="1:1" x14ac:dyDescent="0.25">
      <c r="A313340" s="1"/>
    </row>
    <row r="313341" spans="1:1" x14ac:dyDescent="0.25">
      <c r="A313341" s="1"/>
    </row>
    <row r="313342" spans="1:1" x14ac:dyDescent="0.25">
      <c r="A313342" s="1"/>
    </row>
    <row r="313343" spans="1:1" x14ac:dyDescent="0.25">
      <c r="A313343" s="1"/>
    </row>
    <row r="313344" spans="1:1" x14ac:dyDescent="0.25">
      <c r="A313344" s="1"/>
    </row>
    <row r="313345" spans="1:1" x14ac:dyDescent="0.25">
      <c r="A313345" s="1"/>
    </row>
    <row r="313346" spans="1:1" x14ac:dyDescent="0.25">
      <c r="A313346" s="1"/>
    </row>
    <row r="313347" spans="1:1" x14ac:dyDescent="0.25">
      <c r="A313347" s="1"/>
    </row>
    <row r="313348" spans="1:1" x14ac:dyDescent="0.25">
      <c r="A313348" s="1"/>
    </row>
    <row r="313349" spans="1:1" x14ac:dyDescent="0.25">
      <c r="A313349" s="1"/>
    </row>
    <row r="313350" spans="1:1" x14ac:dyDescent="0.25">
      <c r="A313350" s="1"/>
    </row>
    <row r="313351" spans="1:1" x14ac:dyDescent="0.25">
      <c r="A313351" s="1"/>
    </row>
    <row r="313352" spans="1:1" x14ac:dyDescent="0.25">
      <c r="A313352" s="1"/>
    </row>
    <row r="313353" spans="1:1" x14ac:dyDescent="0.25">
      <c r="A313353" s="1"/>
    </row>
    <row r="313354" spans="1:1" x14ac:dyDescent="0.25">
      <c r="A313354" s="1"/>
    </row>
    <row r="313355" spans="1:1" x14ac:dyDescent="0.25">
      <c r="A313355" s="1"/>
    </row>
    <row r="313356" spans="1:1" x14ac:dyDescent="0.25">
      <c r="A313356" s="1"/>
    </row>
    <row r="313357" spans="1:1" x14ac:dyDescent="0.25">
      <c r="A313357" s="1"/>
    </row>
    <row r="313358" spans="1:1" x14ac:dyDescent="0.25">
      <c r="A313358" s="1"/>
    </row>
    <row r="313359" spans="1:1" x14ac:dyDescent="0.25">
      <c r="A313359" s="1"/>
    </row>
    <row r="313360" spans="1:1" x14ac:dyDescent="0.25">
      <c r="A313360" s="1"/>
    </row>
    <row r="313361" spans="1:1" x14ac:dyDescent="0.25">
      <c r="A313361" s="1"/>
    </row>
    <row r="313362" spans="1:1" x14ac:dyDescent="0.25">
      <c r="A313362" s="1"/>
    </row>
    <row r="313363" spans="1:1" x14ac:dyDescent="0.25">
      <c r="A313363" s="1"/>
    </row>
    <row r="313364" spans="1:1" x14ac:dyDescent="0.25">
      <c r="A313364" s="1"/>
    </row>
    <row r="313365" spans="1:1" x14ac:dyDescent="0.25">
      <c r="A313365" s="1"/>
    </row>
    <row r="313366" spans="1:1" x14ac:dyDescent="0.25">
      <c r="A313366" s="1"/>
    </row>
    <row r="313367" spans="1:1" x14ac:dyDescent="0.25">
      <c r="A313367" s="1"/>
    </row>
    <row r="313368" spans="1:1" x14ac:dyDescent="0.25">
      <c r="A313368" s="1"/>
    </row>
    <row r="313369" spans="1:1" x14ac:dyDescent="0.25">
      <c r="A313369" s="1"/>
    </row>
    <row r="313370" spans="1:1" x14ac:dyDescent="0.25">
      <c r="A313370" s="1"/>
    </row>
    <row r="313371" spans="1:1" x14ac:dyDescent="0.25">
      <c r="A313371" s="1"/>
    </row>
    <row r="313372" spans="1:1" x14ac:dyDescent="0.25">
      <c r="A313372" s="1"/>
    </row>
    <row r="313373" spans="1:1" x14ac:dyDescent="0.25">
      <c r="A313373" s="1"/>
    </row>
    <row r="313374" spans="1:1" x14ac:dyDescent="0.25">
      <c r="A313374" s="1"/>
    </row>
    <row r="313375" spans="1:1" x14ac:dyDescent="0.25">
      <c r="A313375" s="1"/>
    </row>
    <row r="313376" spans="1:1" x14ac:dyDescent="0.25">
      <c r="A313376" s="1"/>
    </row>
    <row r="313377" spans="1:1" x14ac:dyDescent="0.25">
      <c r="A313377" s="1"/>
    </row>
    <row r="313378" spans="1:1" x14ac:dyDescent="0.25">
      <c r="A313378" s="1"/>
    </row>
    <row r="313379" spans="1:1" x14ac:dyDescent="0.25">
      <c r="A313379" s="1"/>
    </row>
    <row r="313380" spans="1:1" x14ac:dyDescent="0.25">
      <c r="A313380" s="1"/>
    </row>
    <row r="313381" spans="1:1" x14ac:dyDescent="0.25">
      <c r="A313381" s="1"/>
    </row>
    <row r="313382" spans="1:1" x14ac:dyDescent="0.25">
      <c r="A313382" s="1"/>
    </row>
    <row r="313383" spans="1:1" x14ac:dyDescent="0.25">
      <c r="A313383" s="1"/>
    </row>
    <row r="313384" spans="1:1" x14ac:dyDescent="0.25">
      <c r="A313384" s="1"/>
    </row>
    <row r="313385" spans="1:1" x14ac:dyDescent="0.25">
      <c r="A313385" s="1"/>
    </row>
    <row r="313386" spans="1:1" x14ac:dyDescent="0.25">
      <c r="A313386" s="1"/>
    </row>
    <row r="313387" spans="1:1" x14ac:dyDescent="0.25">
      <c r="A313387" s="1"/>
    </row>
    <row r="313388" spans="1:1" x14ac:dyDescent="0.25">
      <c r="A313388" s="1"/>
    </row>
    <row r="313389" spans="1:1" x14ac:dyDescent="0.25">
      <c r="A313389" s="1"/>
    </row>
    <row r="313390" spans="1:1" x14ac:dyDescent="0.25">
      <c r="A313390" s="1"/>
    </row>
    <row r="313391" spans="1:1" x14ac:dyDescent="0.25">
      <c r="A313391" s="1"/>
    </row>
    <row r="313392" spans="1:1" x14ac:dyDescent="0.25">
      <c r="A313392" s="1"/>
    </row>
    <row r="313393" spans="1:1" x14ac:dyDescent="0.25">
      <c r="A313393" s="1"/>
    </row>
    <row r="313394" spans="1:1" x14ac:dyDescent="0.25">
      <c r="A313394" s="1"/>
    </row>
    <row r="313395" spans="1:1" x14ac:dyDescent="0.25">
      <c r="A313395" s="1"/>
    </row>
    <row r="313396" spans="1:1" x14ac:dyDescent="0.25">
      <c r="A313396" s="1"/>
    </row>
    <row r="313397" spans="1:1" x14ac:dyDescent="0.25">
      <c r="A313397" s="1"/>
    </row>
    <row r="313398" spans="1:1" x14ac:dyDescent="0.25">
      <c r="A313398" s="1"/>
    </row>
    <row r="313399" spans="1:1" x14ac:dyDescent="0.25">
      <c r="A313399" s="1"/>
    </row>
    <row r="313400" spans="1:1" x14ac:dyDescent="0.25">
      <c r="A313400" s="1"/>
    </row>
    <row r="313401" spans="1:1" x14ac:dyDescent="0.25">
      <c r="A313401" s="1"/>
    </row>
    <row r="313402" spans="1:1" x14ac:dyDescent="0.25">
      <c r="A313402" s="1"/>
    </row>
    <row r="313403" spans="1:1" x14ac:dyDescent="0.25">
      <c r="A313403" s="1"/>
    </row>
    <row r="313404" spans="1:1" x14ac:dyDescent="0.25">
      <c r="A313404" s="1"/>
    </row>
    <row r="313405" spans="1:1" x14ac:dyDescent="0.25">
      <c r="A313405" s="1"/>
    </row>
    <row r="313406" spans="1:1" x14ac:dyDescent="0.25">
      <c r="A313406" s="1"/>
    </row>
    <row r="313407" spans="1:1" x14ac:dyDescent="0.25">
      <c r="A313407" s="1"/>
    </row>
    <row r="313408" spans="1:1" x14ac:dyDescent="0.25">
      <c r="A313408" s="1"/>
    </row>
    <row r="313409" spans="1:1" x14ac:dyDescent="0.25">
      <c r="A313409" s="1"/>
    </row>
    <row r="313410" spans="1:1" x14ac:dyDescent="0.25">
      <c r="A313410" s="1"/>
    </row>
    <row r="313411" spans="1:1" x14ac:dyDescent="0.25">
      <c r="A313411" s="1"/>
    </row>
    <row r="313412" spans="1:1" x14ac:dyDescent="0.25">
      <c r="A313412" s="1"/>
    </row>
    <row r="313413" spans="1:1" x14ac:dyDescent="0.25">
      <c r="A313413" s="1"/>
    </row>
    <row r="313414" spans="1:1" x14ac:dyDescent="0.25">
      <c r="A313414" s="1"/>
    </row>
    <row r="313415" spans="1:1" x14ac:dyDescent="0.25">
      <c r="A313415" s="1"/>
    </row>
    <row r="313416" spans="1:1" x14ac:dyDescent="0.25">
      <c r="A313416" s="1"/>
    </row>
    <row r="313417" spans="1:1" x14ac:dyDescent="0.25">
      <c r="A313417" s="1"/>
    </row>
    <row r="313418" spans="1:1" x14ac:dyDescent="0.25">
      <c r="A313418" s="1"/>
    </row>
    <row r="313419" spans="1:1" x14ac:dyDescent="0.25">
      <c r="A313419" s="1"/>
    </row>
    <row r="313420" spans="1:1" x14ac:dyDescent="0.25">
      <c r="A313420" s="1"/>
    </row>
    <row r="313421" spans="1:1" x14ac:dyDescent="0.25">
      <c r="A313421" s="1"/>
    </row>
    <row r="313422" spans="1:1" x14ac:dyDescent="0.25">
      <c r="A313422" s="1"/>
    </row>
    <row r="313423" spans="1:1" x14ac:dyDescent="0.25">
      <c r="A313423" s="1"/>
    </row>
    <row r="313424" spans="1:1" x14ac:dyDescent="0.25">
      <c r="A313424" s="1"/>
    </row>
    <row r="313425" spans="1:1" x14ac:dyDescent="0.25">
      <c r="A313425" s="1"/>
    </row>
    <row r="313426" spans="1:1" x14ac:dyDescent="0.25">
      <c r="A313426" s="1"/>
    </row>
    <row r="313427" spans="1:1" x14ac:dyDescent="0.25">
      <c r="A313427" s="1"/>
    </row>
    <row r="313428" spans="1:1" x14ac:dyDescent="0.25">
      <c r="A313428" s="1"/>
    </row>
    <row r="313429" spans="1:1" x14ac:dyDescent="0.25">
      <c r="A313429" s="1"/>
    </row>
    <row r="313430" spans="1:1" x14ac:dyDescent="0.25">
      <c r="A313430" s="1"/>
    </row>
    <row r="313431" spans="1:1" x14ac:dyDescent="0.25">
      <c r="A313431" s="1"/>
    </row>
    <row r="313432" spans="1:1" x14ac:dyDescent="0.25">
      <c r="A313432" s="1"/>
    </row>
    <row r="313433" spans="1:1" x14ac:dyDescent="0.25">
      <c r="A313433" s="1"/>
    </row>
    <row r="313434" spans="1:1" x14ac:dyDescent="0.25">
      <c r="A313434" s="1"/>
    </row>
    <row r="313435" spans="1:1" x14ac:dyDescent="0.25">
      <c r="A313435" s="1"/>
    </row>
    <row r="313436" spans="1:1" x14ac:dyDescent="0.25">
      <c r="A313436" s="1"/>
    </row>
    <row r="313437" spans="1:1" x14ac:dyDescent="0.25">
      <c r="A313437" s="1"/>
    </row>
    <row r="313438" spans="1:1" x14ac:dyDescent="0.25">
      <c r="A313438" s="1"/>
    </row>
    <row r="313439" spans="1:1" x14ac:dyDescent="0.25">
      <c r="A313439" s="1"/>
    </row>
    <row r="313440" spans="1:1" x14ac:dyDescent="0.25">
      <c r="A313440" s="1"/>
    </row>
    <row r="313441" spans="1:1" x14ac:dyDescent="0.25">
      <c r="A313441" s="1"/>
    </row>
    <row r="313442" spans="1:1" x14ac:dyDescent="0.25">
      <c r="A313442" s="1"/>
    </row>
    <row r="313443" spans="1:1" x14ac:dyDescent="0.25">
      <c r="A313443" s="1"/>
    </row>
    <row r="313444" spans="1:1" x14ac:dyDescent="0.25">
      <c r="A313444" s="1"/>
    </row>
    <row r="313445" spans="1:1" x14ac:dyDescent="0.25">
      <c r="A313445" s="1"/>
    </row>
    <row r="313446" spans="1:1" x14ac:dyDescent="0.25">
      <c r="A313446" s="1"/>
    </row>
    <row r="313447" spans="1:1" x14ac:dyDescent="0.25">
      <c r="A313447" s="1"/>
    </row>
    <row r="313448" spans="1:1" x14ac:dyDescent="0.25">
      <c r="A313448" s="1"/>
    </row>
    <row r="313449" spans="1:1" x14ac:dyDescent="0.25">
      <c r="A313449" s="1"/>
    </row>
    <row r="313450" spans="1:1" x14ac:dyDescent="0.25">
      <c r="A313450" s="1"/>
    </row>
    <row r="313451" spans="1:1" x14ac:dyDescent="0.25">
      <c r="A313451" s="1"/>
    </row>
    <row r="313452" spans="1:1" x14ac:dyDescent="0.25">
      <c r="A313452" s="1"/>
    </row>
    <row r="313453" spans="1:1" x14ac:dyDescent="0.25">
      <c r="A313453" s="1"/>
    </row>
    <row r="313454" spans="1:1" x14ac:dyDescent="0.25">
      <c r="A313454" s="1"/>
    </row>
    <row r="313455" spans="1:1" x14ac:dyDescent="0.25">
      <c r="A313455" s="1"/>
    </row>
    <row r="313456" spans="1:1" x14ac:dyDescent="0.25">
      <c r="A313456" s="1"/>
    </row>
    <row r="313457" spans="1:1" x14ac:dyDescent="0.25">
      <c r="A313457" s="1"/>
    </row>
    <row r="313458" spans="1:1" x14ac:dyDescent="0.25">
      <c r="A313458" s="1"/>
    </row>
    <row r="313459" spans="1:1" x14ac:dyDescent="0.25">
      <c r="A313459" s="1"/>
    </row>
    <row r="313460" spans="1:1" x14ac:dyDescent="0.25">
      <c r="A313460" s="1"/>
    </row>
    <row r="313461" spans="1:1" x14ac:dyDescent="0.25">
      <c r="A313461" s="1"/>
    </row>
    <row r="313462" spans="1:1" x14ac:dyDescent="0.25">
      <c r="A313462" s="1"/>
    </row>
    <row r="313463" spans="1:1" x14ac:dyDescent="0.25">
      <c r="A313463" s="1"/>
    </row>
    <row r="313464" spans="1:1" x14ac:dyDescent="0.25">
      <c r="A313464" s="1"/>
    </row>
    <row r="313465" spans="1:1" x14ac:dyDescent="0.25">
      <c r="A313465" s="1"/>
    </row>
    <row r="313466" spans="1:1" x14ac:dyDescent="0.25">
      <c r="A313466" s="1"/>
    </row>
    <row r="313467" spans="1:1" x14ac:dyDescent="0.25">
      <c r="A313467" s="1"/>
    </row>
    <row r="313468" spans="1:1" x14ac:dyDescent="0.25">
      <c r="A313468" s="1"/>
    </row>
    <row r="313469" spans="1:1" x14ac:dyDescent="0.25">
      <c r="A313469" s="1"/>
    </row>
    <row r="313470" spans="1:1" x14ac:dyDescent="0.25">
      <c r="A313470" s="1"/>
    </row>
    <row r="313471" spans="1:1" x14ac:dyDescent="0.25">
      <c r="A313471" s="1"/>
    </row>
    <row r="313472" spans="1:1" x14ac:dyDescent="0.25">
      <c r="A313472" s="1"/>
    </row>
    <row r="313473" spans="1:1" x14ac:dyDescent="0.25">
      <c r="A313473" s="1"/>
    </row>
    <row r="313474" spans="1:1" x14ac:dyDescent="0.25">
      <c r="A313474" s="1"/>
    </row>
    <row r="313475" spans="1:1" x14ac:dyDescent="0.25">
      <c r="A313475" s="1"/>
    </row>
    <row r="313476" spans="1:1" x14ac:dyDescent="0.25">
      <c r="A313476" s="1"/>
    </row>
    <row r="313477" spans="1:1" x14ac:dyDescent="0.25">
      <c r="A313477" s="1"/>
    </row>
    <row r="313478" spans="1:1" x14ac:dyDescent="0.25">
      <c r="A313478" s="1"/>
    </row>
    <row r="313479" spans="1:1" x14ac:dyDescent="0.25">
      <c r="A313479" s="1"/>
    </row>
    <row r="313480" spans="1:1" x14ac:dyDescent="0.25">
      <c r="A313480" s="1"/>
    </row>
    <row r="313481" spans="1:1" x14ac:dyDescent="0.25">
      <c r="A313481" s="1"/>
    </row>
    <row r="313482" spans="1:1" x14ac:dyDescent="0.25">
      <c r="A313482" s="1"/>
    </row>
    <row r="313483" spans="1:1" x14ac:dyDescent="0.25">
      <c r="A313483" s="1"/>
    </row>
    <row r="313484" spans="1:1" x14ac:dyDescent="0.25">
      <c r="A313484" s="1"/>
    </row>
    <row r="313485" spans="1:1" x14ac:dyDescent="0.25">
      <c r="A313485" s="1"/>
    </row>
    <row r="313486" spans="1:1" x14ac:dyDescent="0.25">
      <c r="A313486" s="1"/>
    </row>
    <row r="313487" spans="1:1" x14ac:dyDescent="0.25">
      <c r="A313487" s="1"/>
    </row>
    <row r="313488" spans="1:1" x14ac:dyDescent="0.25">
      <c r="A313488" s="1"/>
    </row>
    <row r="313489" spans="1:1" x14ac:dyDescent="0.25">
      <c r="A313489" s="1"/>
    </row>
    <row r="313490" spans="1:1" x14ac:dyDescent="0.25">
      <c r="A313490" s="1"/>
    </row>
    <row r="313491" spans="1:1" x14ac:dyDescent="0.25">
      <c r="A313491" s="1"/>
    </row>
    <row r="313492" spans="1:1" x14ac:dyDescent="0.25">
      <c r="A313492" s="1"/>
    </row>
    <row r="313493" spans="1:1" x14ac:dyDescent="0.25">
      <c r="A313493" s="1"/>
    </row>
    <row r="313494" spans="1:1" x14ac:dyDescent="0.25">
      <c r="A313494" s="1"/>
    </row>
    <row r="313495" spans="1:1" x14ac:dyDescent="0.25">
      <c r="A313495" s="1"/>
    </row>
    <row r="313496" spans="1:1" x14ac:dyDescent="0.25">
      <c r="A313496" s="1"/>
    </row>
    <row r="313497" spans="1:1" x14ac:dyDescent="0.25">
      <c r="A313497" s="1"/>
    </row>
    <row r="313498" spans="1:1" x14ac:dyDescent="0.25">
      <c r="A313498" s="1"/>
    </row>
    <row r="313499" spans="1:1" x14ac:dyDescent="0.25">
      <c r="A313499" s="1"/>
    </row>
    <row r="313500" spans="1:1" x14ac:dyDescent="0.25">
      <c r="A313500" s="1"/>
    </row>
    <row r="313501" spans="1:1" x14ac:dyDescent="0.25">
      <c r="A313501" s="1"/>
    </row>
    <row r="313502" spans="1:1" x14ac:dyDescent="0.25">
      <c r="A313502" s="1"/>
    </row>
    <row r="313503" spans="1:1" x14ac:dyDescent="0.25">
      <c r="A313503" s="1"/>
    </row>
    <row r="313504" spans="1:1" x14ac:dyDescent="0.25">
      <c r="A313504" s="1"/>
    </row>
    <row r="313505" spans="1:1" x14ac:dyDescent="0.25">
      <c r="A313505" s="1"/>
    </row>
    <row r="313506" spans="1:1" x14ac:dyDescent="0.25">
      <c r="A313506" s="1"/>
    </row>
    <row r="313507" spans="1:1" x14ac:dyDescent="0.25">
      <c r="A313507" s="1"/>
    </row>
    <row r="313508" spans="1:1" x14ac:dyDescent="0.25">
      <c r="A313508" s="1"/>
    </row>
    <row r="313509" spans="1:1" x14ac:dyDescent="0.25">
      <c r="A313509" s="1"/>
    </row>
    <row r="313510" spans="1:1" x14ac:dyDescent="0.25">
      <c r="A313510" s="1"/>
    </row>
    <row r="313511" spans="1:1" x14ac:dyDescent="0.25">
      <c r="A313511" s="1"/>
    </row>
    <row r="313512" spans="1:1" x14ac:dyDescent="0.25">
      <c r="A313512" s="1"/>
    </row>
    <row r="313513" spans="1:1" x14ac:dyDescent="0.25">
      <c r="A313513" s="1"/>
    </row>
    <row r="313514" spans="1:1" x14ac:dyDescent="0.25">
      <c r="A313514" s="1"/>
    </row>
    <row r="313515" spans="1:1" x14ac:dyDescent="0.25">
      <c r="A313515" s="1"/>
    </row>
    <row r="313516" spans="1:1" x14ac:dyDescent="0.25">
      <c r="A313516" s="1"/>
    </row>
    <row r="313517" spans="1:1" x14ac:dyDescent="0.25">
      <c r="A313517" s="1"/>
    </row>
    <row r="313518" spans="1:1" x14ac:dyDescent="0.25">
      <c r="A313518" s="1"/>
    </row>
    <row r="313519" spans="1:1" x14ac:dyDescent="0.25">
      <c r="A313519" s="1"/>
    </row>
    <row r="313520" spans="1:1" x14ac:dyDescent="0.25">
      <c r="A313520" s="1"/>
    </row>
    <row r="313521" spans="1:1" x14ac:dyDescent="0.25">
      <c r="A313521" s="1"/>
    </row>
    <row r="313522" spans="1:1" x14ac:dyDescent="0.25">
      <c r="A313522" s="1"/>
    </row>
    <row r="313523" spans="1:1" x14ac:dyDescent="0.25">
      <c r="A313523" s="1"/>
    </row>
    <row r="313524" spans="1:1" x14ac:dyDescent="0.25">
      <c r="A313524" s="1"/>
    </row>
    <row r="313525" spans="1:1" x14ac:dyDescent="0.25">
      <c r="A313525" s="1"/>
    </row>
    <row r="313526" spans="1:1" x14ac:dyDescent="0.25">
      <c r="A313526" s="1"/>
    </row>
    <row r="313527" spans="1:1" x14ac:dyDescent="0.25">
      <c r="A313527" s="1"/>
    </row>
    <row r="313528" spans="1:1" x14ac:dyDescent="0.25">
      <c r="A313528" s="1"/>
    </row>
    <row r="313529" spans="1:1" x14ac:dyDescent="0.25">
      <c r="A313529" s="1"/>
    </row>
    <row r="313530" spans="1:1" x14ac:dyDescent="0.25">
      <c r="A313530" s="1"/>
    </row>
    <row r="313531" spans="1:1" x14ac:dyDescent="0.25">
      <c r="A313531" s="1"/>
    </row>
    <row r="313532" spans="1:1" x14ac:dyDescent="0.25">
      <c r="A313532" s="1"/>
    </row>
    <row r="313533" spans="1:1" x14ac:dyDescent="0.25">
      <c r="A313533" s="1"/>
    </row>
    <row r="313534" spans="1:1" x14ac:dyDescent="0.25">
      <c r="A313534" s="1"/>
    </row>
    <row r="313535" spans="1:1" x14ac:dyDescent="0.25">
      <c r="A313535" s="1"/>
    </row>
    <row r="313536" spans="1:1" x14ac:dyDescent="0.25">
      <c r="A313536" s="1"/>
    </row>
    <row r="313537" spans="1:1" x14ac:dyDescent="0.25">
      <c r="A313537" s="1"/>
    </row>
    <row r="313538" spans="1:1" x14ac:dyDescent="0.25">
      <c r="A313538" s="1"/>
    </row>
    <row r="313539" spans="1:1" x14ac:dyDescent="0.25">
      <c r="A313539" s="1"/>
    </row>
    <row r="313540" spans="1:1" x14ac:dyDescent="0.25">
      <c r="A313540" s="1"/>
    </row>
    <row r="313541" spans="1:1" x14ac:dyDescent="0.25">
      <c r="A313541" s="1"/>
    </row>
    <row r="313542" spans="1:1" x14ac:dyDescent="0.25">
      <c r="A313542" s="1"/>
    </row>
    <row r="313543" spans="1:1" x14ac:dyDescent="0.25">
      <c r="A313543" s="1"/>
    </row>
    <row r="313544" spans="1:1" x14ac:dyDescent="0.25">
      <c r="A313544" s="1"/>
    </row>
    <row r="313545" spans="1:1" x14ac:dyDescent="0.25">
      <c r="A313545" s="1"/>
    </row>
    <row r="313546" spans="1:1" x14ac:dyDescent="0.25">
      <c r="A313546" s="1"/>
    </row>
    <row r="313547" spans="1:1" x14ac:dyDescent="0.25">
      <c r="A313547" s="1"/>
    </row>
    <row r="313548" spans="1:1" x14ac:dyDescent="0.25">
      <c r="A313548" s="1"/>
    </row>
    <row r="313549" spans="1:1" x14ac:dyDescent="0.25">
      <c r="A313549" s="1"/>
    </row>
    <row r="313550" spans="1:1" x14ac:dyDescent="0.25">
      <c r="A313550" s="1"/>
    </row>
    <row r="313551" spans="1:1" x14ac:dyDescent="0.25">
      <c r="A313551" s="1"/>
    </row>
    <row r="313552" spans="1:1" x14ac:dyDescent="0.25">
      <c r="A313552" s="1"/>
    </row>
    <row r="313553" spans="1:1" x14ac:dyDescent="0.25">
      <c r="A313553" s="1"/>
    </row>
    <row r="313554" spans="1:1" x14ac:dyDescent="0.25">
      <c r="A313554" s="1"/>
    </row>
    <row r="313555" spans="1:1" x14ac:dyDescent="0.25">
      <c r="A313555" s="1"/>
    </row>
    <row r="313556" spans="1:1" x14ac:dyDescent="0.25">
      <c r="A313556" s="1"/>
    </row>
    <row r="313557" spans="1:1" x14ac:dyDescent="0.25">
      <c r="A313557" s="1"/>
    </row>
    <row r="313558" spans="1:1" x14ac:dyDescent="0.25">
      <c r="A313558" s="1"/>
    </row>
    <row r="313559" spans="1:1" x14ac:dyDescent="0.25">
      <c r="A313559" s="1"/>
    </row>
    <row r="313560" spans="1:1" x14ac:dyDescent="0.25">
      <c r="A313560" s="1"/>
    </row>
    <row r="313561" spans="1:1" x14ac:dyDescent="0.25">
      <c r="A313561" s="1"/>
    </row>
    <row r="313562" spans="1:1" x14ac:dyDescent="0.25">
      <c r="A313562" s="1"/>
    </row>
    <row r="313563" spans="1:1" x14ac:dyDescent="0.25">
      <c r="A313563" s="1"/>
    </row>
    <row r="313564" spans="1:1" x14ac:dyDescent="0.25">
      <c r="A313564" s="1"/>
    </row>
    <row r="313565" spans="1:1" x14ac:dyDescent="0.25">
      <c r="A313565" s="1"/>
    </row>
    <row r="313566" spans="1:1" x14ac:dyDescent="0.25">
      <c r="A313566" s="1"/>
    </row>
    <row r="313567" spans="1:1" x14ac:dyDescent="0.25">
      <c r="A313567" s="1"/>
    </row>
    <row r="313568" spans="1:1" x14ac:dyDescent="0.25">
      <c r="A313568" s="1"/>
    </row>
    <row r="313569" spans="1:1" x14ac:dyDescent="0.25">
      <c r="A313569" s="1"/>
    </row>
    <row r="313570" spans="1:1" x14ac:dyDescent="0.25">
      <c r="A313570" s="1"/>
    </row>
    <row r="313571" spans="1:1" x14ac:dyDescent="0.25">
      <c r="A313571" s="1"/>
    </row>
    <row r="313572" spans="1:1" x14ac:dyDescent="0.25">
      <c r="A313572" s="1"/>
    </row>
    <row r="313573" spans="1:1" x14ac:dyDescent="0.25">
      <c r="A313573" s="1"/>
    </row>
    <row r="313574" spans="1:1" x14ac:dyDescent="0.25">
      <c r="A313574" s="1"/>
    </row>
    <row r="313575" spans="1:1" x14ac:dyDescent="0.25">
      <c r="A313575" s="1"/>
    </row>
    <row r="313576" spans="1:1" x14ac:dyDescent="0.25">
      <c r="A313576" s="1"/>
    </row>
    <row r="313577" spans="1:1" x14ac:dyDescent="0.25">
      <c r="A313577" s="1"/>
    </row>
    <row r="313578" spans="1:1" x14ac:dyDescent="0.25">
      <c r="A313578" s="1"/>
    </row>
    <row r="313579" spans="1:1" x14ac:dyDescent="0.25">
      <c r="A313579" s="1"/>
    </row>
    <row r="313580" spans="1:1" x14ac:dyDescent="0.25">
      <c r="A313580" s="1"/>
    </row>
    <row r="313581" spans="1:1" x14ac:dyDescent="0.25">
      <c r="A313581" s="1"/>
    </row>
    <row r="313582" spans="1:1" x14ac:dyDescent="0.25">
      <c r="A313582" s="1"/>
    </row>
    <row r="313583" spans="1:1" x14ac:dyDescent="0.25">
      <c r="A313583" s="1"/>
    </row>
    <row r="313584" spans="1:1" x14ac:dyDescent="0.25">
      <c r="A313584" s="1"/>
    </row>
    <row r="313585" spans="1:1" x14ac:dyDescent="0.25">
      <c r="A313585" s="1"/>
    </row>
    <row r="313586" spans="1:1" x14ac:dyDescent="0.25">
      <c r="A313586" s="1"/>
    </row>
    <row r="313587" spans="1:1" x14ac:dyDescent="0.25">
      <c r="A313587" s="1"/>
    </row>
    <row r="313588" spans="1:1" x14ac:dyDescent="0.25">
      <c r="A313588" s="1"/>
    </row>
    <row r="313589" spans="1:1" x14ac:dyDescent="0.25">
      <c r="A313589" s="1"/>
    </row>
    <row r="313590" spans="1:1" x14ac:dyDescent="0.25">
      <c r="A313590" s="1"/>
    </row>
    <row r="313591" spans="1:1" x14ac:dyDescent="0.25">
      <c r="A313591" s="1"/>
    </row>
    <row r="313592" spans="1:1" x14ac:dyDescent="0.25">
      <c r="A313592" s="1"/>
    </row>
    <row r="313593" spans="1:1" x14ac:dyDescent="0.25">
      <c r="A313593" s="1"/>
    </row>
    <row r="313594" spans="1:1" x14ac:dyDescent="0.25">
      <c r="A313594" s="1"/>
    </row>
    <row r="313595" spans="1:1" x14ac:dyDescent="0.25">
      <c r="A313595" s="1"/>
    </row>
    <row r="313596" spans="1:1" x14ac:dyDescent="0.25">
      <c r="A313596" s="1"/>
    </row>
    <row r="313597" spans="1:1" x14ac:dyDescent="0.25">
      <c r="A313597" s="1"/>
    </row>
    <row r="313598" spans="1:1" x14ac:dyDescent="0.25">
      <c r="A313598" s="1"/>
    </row>
    <row r="313599" spans="1:1" x14ac:dyDescent="0.25">
      <c r="A313599" s="1"/>
    </row>
    <row r="313600" spans="1:1" x14ac:dyDescent="0.25">
      <c r="A313600" s="1"/>
    </row>
    <row r="313601" spans="1:1" x14ac:dyDescent="0.25">
      <c r="A313601" s="1"/>
    </row>
    <row r="313602" spans="1:1" x14ac:dyDescent="0.25">
      <c r="A313602" s="1"/>
    </row>
    <row r="313603" spans="1:1" x14ac:dyDescent="0.25">
      <c r="A313603" s="1"/>
    </row>
    <row r="313604" spans="1:1" x14ac:dyDescent="0.25">
      <c r="A313604" s="1"/>
    </row>
    <row r="313605" spans="1:1" x14ac:dyDescent="0.25">
      <c r="A313605" s="1"/>
    </row>
    <row r="313606" spans="1:1" x14ac:dyDescent="0.25">
      <c r="A313606" s="1"/>
    </row>
    <row r="313607" spans="1:1" x14ac:dyDescent="0.25">
      <c r="A313607" s="1"/>
    </row>
    <row r="313608" spans="1:1" x14ac:dyDescent="0.25">
      <c r="A313608" s="1"/>
    </row>
    <row r="313609" spans="1:1" x14ac:dyDescent="0.25">
      <c r="A313609" s="1"/>
    </row>
    <row r="313610" spans="1:1" x14ac:dyDescent="0.25">
      <c r="A313610" s="1"/>
    </row>
    <row r="313611" spans="1:1" x14ac:dyDescent="0.25">
      <c r="A313611" s="1"/>
    </row>
    <row r="313612" spans="1:1" x14ac:dyDescent="0.25">
      <c r="A313612" s="1"/>
    </row>
    <row r="313613" spans="1:1" x14ac:dyDescent="0.25">
      <c r="A313613" s="1"/>
    </row>
    <row r="313614" spans="1:1" x14ac:dyDescent="0.25">
      <c r="A313614" s="1"/>
    </row>
    <row r="313615" spans="1:1" x14ac:dyDescent="0.25">
      <c r="A313615" s="1"/>
    </row>
    <row r="313616" spans="1:1" x14ac:dyDescent="0.25">
      <c r="A313616" s="1"/>
    </row>
    <row r="313617" spans="1:1" x14ac:dyDescent="0.25">
      <c r="A313617" s="1"/>
    </row>
    <row r="313618" spans="1:1" x14ac:dyDescent="0.25">
      <c r="A313618" s="1"/>
    </row>
    <row r="313619" spans="1:1" x14ac:dyDescent="0.25">
      <c r="A313619" s="1"/>
    </row>
    <row r="313620" spans="1:1" x14ac:dyDescent="0.25">
      <c r="A313620" s="1"/>
    </row>
    <row r="313621" spans="1:1" x14ac:dyDescent="0.25">
      <c r="A313621" s="1"/>
    </row>
    <row r="313622" spans="1:1" x14ac:dyDescent="0.25">
      <c r="A313622" s="1"/>
    </row>
    <row r="313623" spans="1:1" x14ac:dyDescent="0.25">
      <c r="A313623" s="1"/>
    </row>
    <row r="313624" spans="1:1" x14ac:dyDescent="0.25">
      <c r="A313624" s="1"/>
    </row>
    <row r="313625" spans="1:1" x14ac:dyDescent="0.25">
      <c r="A313625" s="1"/>
    </row>
    <row r="313626" spans="1:1" x14ac:dyDescent="0.25">
      <c r="A313626" s="1"/>
    </row>
    <row r="313627" spans="1:1" x14ac:dyDescent="0.25">
      <c r="A313627" s="1"/>
    </row>
    <row r="313628" spans="1:1" x14ac:dyDescent="0.25">
      <c r="A313628" s="1"/>
    </row>
    <row r="313629" spans="1:1" x14ac:dyDescent="0.25">
      <c r="A313629" s="1"/>
    </row>
    <row r="313630" spans="1:1" x14ac:dyDescent="0.25">
      <c r="A313630" s="1"/>
    </row>
    <row r="313631" spans="1:1" x14ac:dyDescent="0.25">
      <c r="A313631" s="1"/>
    </row>
    <row r="313632" spans="1:1" x14ac:dyDescent="0.25">
      <c r="A313632" s="1"/>
    </row>
    <row r="313633" spans="1:1" x14ac:dyDescent="0.25">
      <c r="A313633" s="1"/>
    </row>
    <row r="313634" spans="1:1" x14ac:dyDescent="0.25">
      <c r="A313634" s="1"/>
    </row>
    <row r="313635" spans="1:1" x14ac:dyDescent="0.25">
      <c r="A313635" s="1"/>
    </row>
    <row r="313636" spans="1:1" x14ac:dyDescent="0.25">
      <c r="A313636" s="1"/>
    </row>
    <row r="313637" spans="1:1" x14ac:dyDescent="0.25">
      <c r="A313637" s="1"/>
    </row>
    <row r="313638" spans="1:1" x14ac:dyDescent="0.25">
      <c r="A313638" s="1"/>
    </row>
    <row r="313639" spans="1:1" x14ac:dyDescent="0.25">
      <c r="A313639" s="1"/>
    </row>
    <row r="313640" spans="1:1" x14ac:dyDescent="0.25">
      <c r="A313640" s="1"/>
    </row>
    <row r="313641" spans="1:1" x14ac:dyDescent="0.25">
      <c r="A313641" s="1"/>
    </row>
    <row r="313642" spans="1:1" x14ac:dyDescent="0.25">
      <c r="A313642" s="1"/>
    </row>
    <row r="313643" spans="1:1" x14ac:dyDescent="0.25">
      <c r="A313643" s="1"/>
    </row>
    <row r="313644" spans="1:1" x14ac:dyDescent="0.25">
      <c r="A313644" s="1"/>
    </row>
    <row r="313645" spans="1:1" x14ac:dyDescent="0.25">
      <c r="A313645" s="1"/>
    </row>
    <row r="313646" spans="1:1" x14ac:dyDescent="0.25">
      <c r="A313646" s="1"/>
    </row>
    <row r="313647" spans="1:1" x14ac:dyDescent="0.25">
      <c r="A313647" s="1"/>
    </row>
    <row r="313648" spans="1:1" x14ac:dyDescent="0.25">
      <c r="A313648" s="1"/>
    </row>
    <row r="313649" spans="1:1" x14ac:dyDescent="0.25">
      <c r="A313649" s="1"/>
    </row>
    <row r="313650" spans="1:1" x14ac:dyDescent="0.25">
      <c r="A313650" s="1"/>
    </row>
    <row r="313651" spans="1:1" x14ac:dyDescent="0.25">
      <c r="A313651" s="1"/>
    </row>
    <row r="313652" spans="1:1" x14ac:dyDescent="0.25">
      <c r="A313652" s="1"/>
    </row>
    <row r="313653" spans="1:1" x14ac:dyDescent="0.25">
      <c r="A313653" s="1"/>
    </row>
    <row r="313654" spans="1:1" x14ac:dyDescent="0.25">
      <c r="A313654" s="1"/>
    </row>
    <row r="313655" spans="1:1" x14ac:dyDescent="0.25">
      <c r="A313655" s="1"/>
    </row>
    <row r="313656" spans="1:1" x14ac:dyDescent="0.25">
      <c r="A313656" s="1"/>
    </row>
    <row r="313657" spans="1:1" x14ac:dyDescent="0.25">
      <c r="A313657" s="1"/>
    </row>
    <row r="313658" spans="1:1" x14ac:dyDescent="0.25">
      <c r="A313658" s="1"/>
    </row>
    <row r="313659" spans="1:1" x14ac:dyDescent="0.25">
      <c r="A313659" s="1"/>
    </row>
    <row r="313660" spans="1:1" x14ac:dyDescent="0.25">
      <c r="A313660" s="1"/>
    </row>
    <row r="313661" spans="1:1" x14ac:dyDescent="0.25">
      <c r="A313661" s="1"/>
    </row>
    <row r="313662" spans="1:1" x14ac:dyDescent="0.25">
      <c r="A313662" s="1"/>
    </row>
    <row r="313663" spans="1:1" x14ac:dyDescent="0.25">
      <c r="A313663" s="1"/>
    </row>
    <row r="313664" spans="1:1" x14ac:dyDescent="0.25">
      <c r="A313664" s="1"/>
    </row>
    <row r="313665" spans="1:1" x14ac:dyDescent="0.25">
      <c r="A313665" s="1"/>
    </row>
    <row r="313666" spans="1:1" x14ac:dyDescent="0.25">
      <c r="A313666" s="1"/>
    </row>
    <row r="313667" spans="1:1" x14ac:dyDescent="0.25">
      <c r="A313667" s="1"/>
    </row>
    <row r="313668" spans="1:1" x14ac:dyDescent="0.25">
      <c r="A313668" s="1"/>
    </row>
    <row r="313669" spans="1:1" x14ac:dyDescent="0.25">
      <c r="A313669" s="1"/>
    </row>
    <row r="313670" spans="1:1" x14ac:dyDescent="0.25">
      <c r="A313670" s="1"/>
    </row>
    <row r="313671" spans="1:1" x14ac:dyDescent="0.25">
      <c r="A313671" s="1"/>
    </row>
    <row r="313672" spans="1:1" x14ac:dyDescent="0.25">
      <c r="A313672" s="1"/>
    </row>
    <row r="313673" spans="1:1" x14ac:dyDescent="0.25">
      <c r="A313673" s="1"/>
    </row>
    <row r="313674" spans="1:1" x14ac:dyDescent="0.25">
      <c r="A313674" s="1"/>
    </row>
    <row r="313675" spans="1:1" x14ac:dyDescent="0.25">
      <c r="A313675" s="1"/>
    </row>
    <row r="313676" spans="1:1" x14ac:dyDescent="0.25">
      <c r="A313676" s="1"/>
    </row>
    <row r="313677" spans="1:1" x14ac:dyDescent="0.25">
      <c r="A313677" s="1"/>
    </row>
    <row r="313678" spans="1:1" x14ac:dyDescent="0.25">
      <c r="A313678" s="1"/>
    </row>
    <row r="313679" spans="1:1" x14ac:dyDescent="0.25">
      <c r="A313679" s="1"/>
    </row>
    <row r="313680" spans="1:1" x14ac:dyDescent="0.25">
      <c r="A313680" s="1"/>
    </row>
    <row r="313681" spans="1:1" x14ac:dyDescent="0.25">
      <c r="A313681" s="1"/>
    </row>
    <row r="313682" spans="1:1" x14ac:dyDescent="0.25">
      <c r="A313682" s="1"/>
    </row>
    <row r="313683" spans="1:1" x14ac:dyDescent="0.25">
      <c r="A313683" s="1"/>
    </row>
    <row r="313684" spans="1:1" x14ac:dyDescent="0.25">
      <c r="A313684" s="1"/>
    </row>
    <row r="313685" spans="1:1" x14ac:dyDescent="0.25">
      <c r="A313685" s="1"/>
    </row>
    <row r="313686" spans="1:1" x14ac:dyDescent="0.25">
      <c r="A313686" s="1"/>
    </row>
    <row r="313687" spans="1:1" x14ac:dyDescent="0.25">
      <c r="A313687" s="1"/>
    </row>
    <row r="313688" spans="1:1" x14ac:dyDescent="0.25">
      <c r="A313688" s="1"/>
    </row>
    <row r="313689" spans="1:1" x14ac:dyDescent="0.25">
      <c r="A313689" s="1"/>
    </row>
    <row r="313690" spans="1:1" x14ac:dyDescent="0.25">
      <c r="A313690" s="1"/>
    </row>
    <row r="313691" spans="1:1" x14ac:dyDescent="0.25">
      <c r="A313691" s="1"/>
    </row>
    <row r="313692" spans="1:1" x14ac:dyDescent="0.25">
      <c r="A313692" s="1"/>
    </row>
    <row r="313693" spans="1:1" x14ac:dyDescent="0.25">
      <c r="A313693" s="1"/>
    </row>
    <row r="313694" spans="1:1" x14ac:dyDescent="0.25">
      <c r="A313694" s="1"/>
    </row>
    <row r="313695" spans="1:1" x14ac:dyDescent="0.25">
      <c r="A313695" s="1"/>
    </row>
    <row r="313696" spans="1:1" x14ac:dyDescent="0.25">
      <c r="A313696" s="1"/>
    </row>
    <row r="313697" spans="1:1" x14ac:dyDescent="0.25">
      <c r="A313697" s="1"/>
    </row>
    <row r="313698" spans="1:1" x14ac:dyDescent="0.25">
      <c r="A313698" s="1"/>
    </row>
    <row r="313699" spans="1:1" x14ac:dyDescent="0.25">
      <c r="A313699" s="1"/>
    </row>
    <row r="313700" spans="1:1" x14ac:dyDescent="0.25">
      <c r="A313700" s="1"/>
    </row>
    <row r="313701" spans="1:1" x14ac:dyDescent="0.25">
      <c r="A313701" s="1"/>
    </row>
    <row r="313702" spans="1:1" x14ac:dyDescent="0.25">
      <c r="A313702" s="1"/>
    </row>
    <row r="313703" spans="1:1" x14ac:dyDescent="0.25">
      <c r="A313703" s="1"/>
    </row>
    <row r="313704" spans="1:1" x14ac:dyDescent="0.25">
      <c r="A313704" s="1"/>
    </row>
    <row r="313705" spans="1:1" x14ac:dyDescent="0.25">
      <c r="A313705" s="1"/>
    </row>
    <row r="313706" spans="1:1" x14ac:dyDescent="0.25">
      <c r="A313706" s="1"/>
    </row>
    <row r="313707" spans="1:1" x14ac:dyDescent="0.25">
      <c r="A313707" s="1"/>
    </row>
    <row r="313708" spans="1:1" x14ac:dyDescent="0.25">
      <c r="A313708" s="1"/>
    </row>
    <row r="313709" spans="1:1" x14ac:dyDescent="0.25">
      <c r="A313709" s="1"/>
    </row>
    <row r="313710" spans="1:1" x14ac:dyDescent="0.25">
      <c r="A313710" s="1"/>
    </row>
    <row r="313711" spans="1:1" x14ac:dyDescent="0.25">
      <c r="A313711" s="1"/>
    </row>
    <row r="313712" spans="1:1" x14ac:dyDescent="0.25">
      <c r="A313712" s="1"/>
    </row>
    <row r="313713" spans="1:1" x14ac:dyDescent="0.25">
      <c r="A313713" s="1"/>
    </row>
    <row r="313714" spans="1:1" x14ac:dyDescent="0.25">
      <c r="A313714" s="1"/>
    </row>
    <row r="313715" spans="1:1" x14ac:dyDescent="0.25">
      <c r="A313715" s="1"/>
    </row>
    <row r="313716" spans="1:1" x14ac:dyDescent="0.25">
      <c r="A313716" s="1"/>
    </row>
    <row r="313717" spans="1:1" x14ac:dyDescent="0.25">
      <c r="A313717" s="1"/>
    </row>
    <row r="313718" spans="1:1" x14ac:dyDescent="0.25">
      <c r="A313718" s="1"/>
    </row>
    <row r="313719" spans="1:1" x14ac:dyDescent="0.25">
      <c r="A313719" s="1"/>
    </row>
    <row r="313720" spans="1:1" x14ac:dyDescent="0.25">
      <c r="A313720" s="1"/>
    </row>
    <row r="313721" spans="1:1" x14ac:dyDescent="0.25">
      <c r="A313721" s="1"/>
    </row>
    <row r="313722" spans="1:1" x14ac:dyDescent="0.25">
      <c r="A313722" s="1"/>
    </row>
    <row r="313723" spans="1:1" x14ac:dyDescent="0.25">
      <c r="A313723" s="1"/>
    </row>
    <row r="313724" spans="1:1" x14ac:dyDescent="0.25">
      <c r="A313724" s="1"/>
    </row>
    <row r="313725" spans="1:1" x14ac:dyDescent="0.25">
      <c r="A313725" s="1"/>
    </row>
    <row r="313726" spans="1:1" x14ac:dyDescent="0.25">
      <c r="A313726" s="1"/>
    </row>
    <row r="313727" spans="1:1" x14ac:dyDescent="0.25">
      <c r="A313727" s="1"/>
    </row>
    <row r="313728" spans="1:1" x14ac:dyDescent="0.25">
      <c r="A313728" s="1"/>
    </row>
    <row r="313729" spans="1:1" x14ac:dyDescent="0.25">
      <c r="A313729" s="1"/>
    </row>
    <row r="313730" spans="1:1" x14ac:dyDescent="0.25">
      <c r="A313730" s="1"/>
    </row>
    <row r="313731" spans="1:1" x14ac:dyDescent="0.25">
      <c r="A313731" s="1"/>
    </row>
    <row r="313732" spans="1:1" x14ac:dyDescent="0.25">
      <c r="A313732" s="1"/>
    </row>
    <row r="313733" spans="1:1" x14ac:dyDescent="0.25">
      <c r="A313733" s="1"/>
    </row>
    <row r="313734" spans="1:1" x14ac:dyDescent="0.25">
      <c r="A313734" s="1"/>
    </row>
    <row r="313735" spans="1:1" x14ac:dyDescent="0.25">
      <c r="A313735" s="1"/>
    </row>
    <row r="313736" spans="1:1" x14ac:dyDescent="0.25">
      <c r="A313736" s="1"/>
    </row>
    <row r="313737" spans="1:1" x14ac:dyDescent="0.25">
      <c r="A313737" s="1"/>
    </row>
    <row r="313738" spans="1:1" x14ac:dyDescent="0.25">
      <c r="A313738" s="1"/>
    </row>
    <row r="313739" spans="1:1" x14ac:dyDescent="0.25">
      <c r="A313739" s="1"/>
    </row>
    <row r="313740" spans="1:1" x14ac:dyDescent="0.25">
      <c r="A313740" s="1"/>
    </row>
    <row r="313741" spans="1:1" x14ac:dyDescent="0.25">
      <c r="A313741" s="1"/>
    </row>
    <row r="313742" spans="1:1" x14ac:dyDescent="0.25">
      <c r="A313742" s="1"/>
    </row>
    <row r="313743" spans="1:1" x14ac:dyDescent="0.25">
      <c r="A313743" s="1"/>
    </row>
    <row r="313744" spans="1:1" x14ac:dyDescent="0.25">
      <c r="A313744" s="1"/>
    </row>
    <row r="313745" spans="1:1" x14ac:dyDescent="0.25">
      <c r="A313745" s="1"/>
    </row>
    <row r="313746" spans="1:1" x14ac:dyDescent="0.25">
      <c r="A313746" s="1"/>
    </row>
    <row r="313747" spans="1:1" x14ac:dyDescent="0.25">
      <c r="A313747" s="1"/>
    </row>
    <row r="313748" spans="1:1" x14ac:dyDescent="0.25">
      <c r="A313748" s="1"/>
    </row>
    <row r="313749" spans="1:1" x14ac:dyDescent="0.25">
      <c r="A313749" s="1"/>
    </row>
    <row r="313750" spans="1:1" x14ac:dyDescent="0.25">
      <c r="A313750" s="1"/>
    </row>
    <row r="313751" spans="1:1" x14ac:dyDescent="0.25">
      <c r="A313751" s="1"/>
    </row>
    <row r="313752" spans="1:1" x14ac:dyDescent="0.25">
      <c r="A313752" s="1"/>
    </row>
    <row r="313753" spans="1:1" x14ac:dyDescent="0.25">
      <c r="A313753" s="1"/>
    </row>
    <row r="313754" spans="1:1" x14ac:dyDescent="0.25">
      <c r="A313754" s="1"/>
    </row>
    <row r="313755" spans="1:1" x14ac:dyDescent="0.25">
      <c r="A313755" s="1"/>
    </row>
    <row r="313756" spans="1:1" x14ac:dyDescent="0.25">
      <c r="A313756" s="1"/>
    </row>
    <row r="313757" spans="1:1" x14ac:dyDescent="0.25">
      <c r="A313757" s="1"/>
    </row>
    <row r="313758" spans="1:1" x14ac:dyDescent="0.25">
      <c r="A313758" s="1"/>
    </row>
    <row r="313759" spans="1:1" x14ac:dyDescent="0.25">
      <c r="A313759" s="1"/>
    </row>
    <row r="313760" spans="1:1" x14ac:dyDescent="0.25">
      <c r="A313760" s="1"/>
    </row>
    <row r="313761" spans="1:1" x14ac:dyDescent="0.25">
      <c r="A313761" s="1"/>
    </row>
    <row r="313762" spans="1:1" x14ac:dyDescent="0.25">
      <c r="A313762" s="1"/>
    </row>
    <row r="313763" spans="1:1" x14ac:dyDescent="0.25">
      <c r="A313763" s="1"/>
    </row>
    <row r="313764" spans="1:1" x14ac:dyDescent="0.25">
      <c r="A313764" s="1"/>
    </row>
    <row r="313765" spans="1:1" x14ac:dyDescent="0.25">
      <c r="A313765" s="1"/>
    </row>
    <row r="313766" spans="1:1" x14ac:dyDescent="0.25">
      <c r="A313766" s="1"/>
    </row>
    <row r="313767" spans="1:1" x14ac:dyDescent="0.25">
      <c r="A313767" s="1"/>
    </row>
    <row r="313768" spans="1:1" x14ac:dyDescent="0.25">
      <c r="A313768" s="1"/>
    </row>
    <row r="313769" spans="1:1" x14ac:dyDescent="0.25">
      <c r="A313769" s="1"/>
    </row>
    <row r="313770" spans="1:1" x14ac:dyDescent="0.25">
      <c r="A313770" s="1"/>
    </row>
    <row r="313771" spans="1:1" x14ac:dyDescent="0.25">
      <c r="A313771" s="1"/>
    </row>
    <row r="313772" spans="1:1" x14ac:dyDescent="0.25">
      <c r="A313772" s="1"/>
    </row>
    <row r="313773" spans="1:1" x14ac:dyDescent="0.25">
      <c r="A313773" s="1"/>
    </row>
    <row r="313774" spans="1:1" x14ac:dyDescent="0.25">
      <c r="A313774" s="1"/>
    </row>
    <row r="313775" spans="1:1" x14ac:dyDescent="0.25">
      <c r="A313775" s="1"/>
    </row>
    <row r="313776" spans="1:1" x14ac:dyDescent="0.25">
      <c r="A313776" s="1"/>
    </row>
    <row r="313777" spans="1:1" x14ac:dyDescent="0.25">
      <c r="A313777" s="1"/>
    </row>
    <row r="313778" spans="1:1" x14ac:dyDescent="0.25">
      <c r="A313778" s="1"/>
    </row>
    <row r="313779" spans="1:1" x14ac:dyDescent="0.25">
      <c r="A313779" s="1"/>
    </row>
    <row r="313780" spans="1:1" x14ac:dyDescent="0.25">
      <c r="A313780" s="1"/>
    </row>
    <row r="313781" spans="1:1" x14ac:dyDescent="0.25">
      <c r="A313781" s="1"/>
    </row>
    <row r="313782" spans="1:1" x14ac:dyDescent="0.25">
      <c r="A313782" s="1"/>
    </row>
    <row r="313783" spans="1:1" x14ac:dyDescent="0.25">
      <c r="A313783" s="1"/>
    </row>
    <row r="313784" spans="1:1" x14ac:dyDescent="0.25">
      <c r="A313784" s="1"/>
    </row>
    <row r="313785" spans="1:1" x14ac:dyDescent="0.25">
      <c r="A313785" s="1"/>
    </row>
    <row r="313786" spans="1:1" x14ac:dyDescent="0.25">
      <c r="A313786" s="1"/>
    </row>
    <row r="313787" spans="1:1" x14ac:dyDescent="0.25">
      <c r="A313787" s="1"/>
    </row>
    <row r="313788" spans="1:1" x14ac:dyDescent="0.25">
      <c r="A313788" s="1"/>
    </row>
    <row r="313789" spans="1:1" x14ac:dyDescent="0.25">
      <c r="A313789" s="1"/>
    </row>
    <row r="313790" spans="1:1" x14ac:dyDescent="0.25">
      <c r="A313790" s="1"/>
    </row>
    <row r="313791" spans="1:1" x14ac:dyDescent="0.25">
      <c r="A313791" s="1"/>
    </row>
    <row r="313792" spans="1:1" x14ac:dyDescent="0.25">
      <c r="A313792" s="1"/>
    </row>
    <row r="313793" spans="1:1" x14ac:dyDescent="0.25">
      <c r="A313793" s="1"/>
    </row>
    <row r="313794" spans="1:1" x14ac:dyDescent="0.25">
      <c r="A313794" s="1"/>
    </row>
    <row r="313795" spans="1:1" x14ac:dyDescent="0.25">
      <c r="A313795" s="1"/>
    </row>
    <row r="313796" spans="1:1" x14ac:dyDescent="0.25">
      <c r="A313796" s="1"/>
    </row>
    <row r="313797" spans="1:1" x14ac:dyDescent="0.25">
      <c r="A313797" s="1"/>
    </row>
    <row r="313798" spans="1:1" x14ac:dyDescent="0.25">
      <c r="A313798" s="1"/>
    </row>
    <row r="313799" spans="1:1" x14ac:dyDescent="0.25">
      <c r="A313799" s="1"/>
    </row>
    <row r="313800" spans="1:1" x14ac:dyDescent="0.25">
      <c r="A313800" s="1"/>
    </row>
    <row r="313801" spans="1:1" x14ac:dyDescent="0.25">
      <c r="A313801" s="1"/>
    </row>
    <row r="313802" spans="1:1" x14ac:dyDescent="0.25">
      <c r="A313802" s="1"/>
    </row>
    <row r="313803" spans="1:1" x14ac:dyDescent="0.25">
      <c r="A313803" s="1"/>
    </row>
    <row r="313804" spans="1:1" x14ac:dyDescent="0.25">
      <c r="A313804" s="1"/>
    </row>
    <row r="313805" spans="1:1" x14ac:dyDescent="0.25">
      <c r="A313805" s="1"/>
    </row>
    <row r="313806" spans="1:1" x14ac:dyDescent="0.25">
      <c r="A313806" s="1"/>
    </row>
    <row r="313807" spans="1:1" x14ac:dyDescent="0.25">
      <c r="A313807" s="1"/>
    </row>
    <row r="313808" spans="1:1" x14ac:dyDescent="0.25">
      <c r="A313808" s="1"/>
    </row>
    <row r="313809" spans="1:1" x14ac:dyDescent="0.25">
      <c r="A313809" s="1"/>
    </row>
    <row r="313810" spans="1:1" x14ac:dyDescent="0.25">
      <c r="A313810" s="1"/>
    </row>
    <row r="313811" spans="1:1" x14ac:dyDescent="0.25">
      <c r="A313811" s="1"/>
    </row>
    <row r="313812" spans="1:1" x14ac:dyDescent="0.25">
      <c r="A313812" s="1"/>
    </row>
    <row r="313813" spans="1:1" x14ac:dyDescent="0.25">
      <c r="A313813" s="1"/>
    </row>
    <row r="313814" spans="1:1" x14ac:dyDescent="0.25">
      <c r="A313814" s="1"/>
    </row>
    <row r="313815" spans="1:1" x14ac:dyDescent="0.25">
      <c r="A313815" s="1"/>
    </row>
    <row r="313816" spans="1:1" x14ac:dyDescent="0.25">
      <c r="A313816" s="1"/>
    </row>
    <row r="313817" spans="1:1" x14ac:dyDescent="0.25">
      <c r="A313817" s="1"/>
    </row>
    <row r="313818" spans="1:1" x14ac:dyDescent="0.25">
      <c r="A313818" s="1"/>
    </row>
    <row r="313819" spans="1:1" x14ac:dyDescent="0.25">
      <c r="A313819" s="1"/>
    </row>
    <row r="313820" spans="1:1" x14ac:dyDescent="0.25">
      <c r="A313820" s="1"/>
    </row>
    <row r="313821" spans="1:1" x14ac:dyDescent="0.25">
      <c r="A313821" s="1"/>
    </row>
    <row r="313822" spans="1:1" x14ac:dyDescent="0.25">
      <c r="A313822" s="1"/>
    </row>
    <row r="313823" spans="1:1" x14ac:dyDescent="0.25">
      <c r="A313823" s="1"/>
    </row>
    <row r="313824" spans="1:1" x14ac:dyDescent="0.25">
      <c r="A313824" s="1"/>
    </row>
    <row r="313825" spans="1:1" x14ac:dyDescent="0.25">
      <c r="A313825" s="1"/>
    </row>
    <row r="313826" spans="1:1" x14ac:dyDescent="0.25">
      <c r="A313826" s="1"/>
    </row>
    <row r="313827" spans="1:1" x14ac:dyDescent="0.25">
      <c r="A313827" s="1"/>
    </row>
    <row r="313828" spans="1:1" x14ac:dyDescent="0.25">
      <c r="A313828" s="1"/>
    </row>
    <row r="313829" spans="1:1" x14ac:dyDescent="0.25">
      <c r="A313829" s="1"/>
    </row>
    <row r="313830" spans="1:1" x14ac:dyDescent="0.25">
      <c r="A313830" s="1"/>
    </row>
    <row r="313831" spans="1:1" x14ac:dyDescent="0.25">
      <c r="A313831" s="1"/>
    </row>
    <row r="313832" spans="1:1" x14ac:dyDescent="0.25">
      <c r="A313832" s="1"/>
    </row>
    <row r="313833" spans="1:1" x14ac:dyDescent="0.25">
      <c r="A313833" s="1"/>
    </row>
    <row r="313834" spans="1:1" x14ac:dyDescent="0.25">
      <c r="A313834" s="1"/>
    </row>
    <row r="313835" spans="1:1" x14ac:dyDescent="0.25">
      <c r="A313835" s="1"/>
    </row>
    <row r="313836" spans="1:1" x14ac:dyDescent="0.25">
      <c r="A313836" s="1"/>
    </row>
    <row r="313837" spans="1:1" x14ac:dyDescent="0.25">
      <c r="A313837" s="1"/>
    </row>
    <row r="313838" spans="1:1" x14ac:dyDescent="0.25">
      <c r="A313838" s="1"/>
    </row>
    <row r="313839" spans="1:1" x14ac:dyDescent="0.25">
      <c r="A313839" s="1"/>
    </row>
    <row r="313840" spans="1:1" x14ac:dyDescent="0.25">
      <c r="A313840" s="1"/>
    </row>
    <row r="313841" spans="1:1" x14ac:dyDescent="0.25">
      <c r="A313841" s="1"/>
    </row>
    <row r="313842" spans="1:1" x14ac:dyDescent="0.25">
      <c r="A313842" s="1"/>
    </row>
    <row r="313843" spans="1:1" x14ac:dyDescent="0.25">
      <c r="A313843" s="1"/>
    </row>
    <row r="313844" spans="1:1" x14ac:dyDescent="0.25">
      <c r="A313844" s="1"/>
    </row>
    <row r="313845" spans="1:1" x14ac:dyDescent="0.25">
      <c r="A313845" s="1"/>
    </row>
    <row r="313846" spans="1:1" x14ac:dyDescent="0.25">
      <c r="A313846" s="1"/>
    </row>
    <row r="313847" spans="1:1" x14ac:dyDescent="0.25">
      <c r="A313847" s="1"/>
    </row>
    <row r="313848" spans="1:1" x14ac:dyDescent="0.25">
      <c r="A313848" s="1"/>
    </row>
    <row r="313849" spans="1:1" x14ac:dyDescent="0.25">
      <c r="A313849" s="1"/>
    </row>
    <row r="313850" spans="1:1" x14ac:dyDescent="0.25">
      <c r="A313850" s="1"/>
    </row>
    <row r="313851" spans="1:1" x14ac:dyDescent="0.25">
      <c r="A313851" s="1"/>
    </row>
    <row r="313852" spans="1:1" x14ac:dyDescent="0.25">
      <c r="A313852" s="1"/>
    </row>
    <row r="313853" spans="1:1" x14ac:dyDescent="0.25">
      <c r="A313853" s="1"/>
    </row>
    <row r="313854" spans="1:1" x14ac:dyDescent="0.25">
      <c r="A313854" s="1"/>
    </row>
    <row r="313855" spans="1:1" x14ac:dyDescent="0.25">
      <c r="A313855" s="1"/>
    </row>
    <row r="313856" spans="1:1" x14ac:dyDescent="0.25">
      <c r="A313856" s="1"/>
    </row>
    <row r="313857" spans="1:1" x14ac:dyDescent="0.25">
      <c r="A313857" s="1"/>
    </row>
    <row r="313858" spans="1:1" x14ac:dyDescent="0.25">
      <c r="A313858" s="1"/>
    </row>
    <row r="313859" spans="1:1" x14ac:dyDescent="0.25">
      <c r="A313859" s="1"/>
    </row>
    <row r="313860" spans="1:1" x14ac:dyDescent="0.25">
      <c r="A313860" s="1"/>
    </row>
    <row r="313861" spans="1:1" x14ac:dyDescent="0.25">
      <c r="A313861" s="1"/>
    </row>
    <row r="313862" spans="1:1" x14ac:dyDescent="0.25">
      <c r="A313862" s="1"/>
    </row>
    <row r="313863" spans="1:1" x14ac:dyDescent="0.25">
      <c r="A313863" s="1"/>
    </row>
    <row r="313864" spans="1:1" x14ac:dyDescent="0.25">
      <c r="A313864" s="1"/>
    </row>
    <row r="313865" spans="1:1" x14ac:dyDescent="0.25">
      <c r="A313865" s="1"/>
    </row>
    <row r="313866" spans="1:1" x14ac:dyDescent="0.25">
      <c r="A313866" s="1"/>
    </row>
    <row r="313867" spans="1:1" x14ac:dyDescent="0.25">
      <c r="A313867" s="1"/>
    </row>
    <row r="313868" spans="1:1" x14ac:dyDescent="0.25">
      <c r="A313868" s="1"/>
    </row>
    <row r="313869" spans="1:1" x14ac:dyDescent="0.25">
      <c r="A313869" s="1"/>
    </row>
    <row r="313870" spans="1:1" x14ac:dyDescent="0.25">
      <c r="A313870" s="1"/>
    </row>
    <row r="313871" spans="1:1" x14ac:dyDescent="0.25">
      <c r="A313871" s="1"/>
    </row>
    <row r="313872" spans="1:1" x14ac:dyDescent="0.25">
      <c r="A313872" s="1"/>
    </row>
    <row r="313873" spans="1:1" x14ac:dyDescent="0.25">
      <c r="A313873" s="1"/>
    </row>
    <row r="313874" spans="1:1" x14ac:dyDescent="0.25">
      <c r="A313874" s="1"/>
    </row>
    <row r="313875" spans="1:1" x14ac:dyDescent="0.25">
      <c r="A313875" s="1"/>
    </row>
    <row r="313876" spans="1:1" x14ac:dyDescent="0.25">
      <c r="A313876" s="1"/>
    </row>
    <row r="313877" spans="1:1" x14ac:dyDescent="0.25">
      <c r="A313877" s="1"/>
    </row>
    <row r="313878" spans="1:1" x14ac:dyDescent="0.25">
      <c r="A313878" s="1"/>
    </row>
    <row r="313879" spans="1:1" x14ac:dyDescent="0.25">
      <c r="A313879" s="1"/>
    </row>
    <row r="313880" spans="1:1" x14ac:dyDescent="0.25">
      <c r="A313880" s="1"/>
    </row>
    <row r="313881" spans="1:1" x14ac:dyDescent="0.25">
      <c r="A313881" s="1"/>
    </row>
    <row r="313882" spans="1:1" x14ac:dyDescent="0.25">
      <c r="A313882" s="1"/>
    </row>
    <row r="313883" spans="1:1" x14ac:dyDescent="0.25">
      <c r="A313883" s="1"/>
    </row>
    <row r="313884" spans="1:1" x14ac:dyDescent="0.25">
      <c r="A313884" s="1"/>
    </row>
    <row r="313885" spans="1:1" x14ac:dyDescent="0.25">
      <c r="A313885" s="1"/>
    </row>
    <row r="313886" spans="1:1" x14ac:dyDescent="0.25">
      <c r="A313886" s="1"/>
    </row>
    <row r="313887" spans="1:1" x14ac:dyDescent="0.25">
      <c r="A313887" s="1"/>
    </row>
    <row r="313888" spans="1:1" x14ac:dyDescent="0.25">
      <c r="A313888" s="1"/>
    </row>
    <row r="313889" spans="1:1" x14ac:dyDescent="0.25">
      <c r="A313889" s="1"/>
    </row>
    <row r="313890" spans="1:1" x14ac:dyDescent="0.25">
      <c r="A313890" s="1"/>
    </row>
    <row r="313891" spans="1:1" x14ac:dyDescent="0.25">
      <c r="A313891" s="1"/>
    </row>
    <row r="313892" spans="1:1" x14ac:dyDescent="0.25">
      <c r="A313892" s="1"/>
    </row>
    <row r="313893" spans="1:1" x14ac:dyDescent="0.25">
      <c r="A313893" s="1"/>
    </row>
    <row r="313894" spans="1:1" x14ac:dyDescent="0.25">
      <c r="A313894" s="1"/>
    </row>
    <row r="313895" spans="1:1" x14ac:dyDescent="0.25">
      <c r="A313895" s="1"/>
    </row>
    <row r="313896" spans="1:1" x14ac:dyDescent="0.25">
      <c r="A313896" s="1"/>
    </row>
    <row r="313897" spans="1:1" x14ac:dyDescent="0.25">
      <c r="A313897" s="1"/>
    </row>
    <row r="313898" spans="1:1" x14ac:dyDescent="0.25">
      <c r="A313898" s="1"/>
    </row>
    <row r="313899" spans="1:1" x14ac:dyDescent="0.25">
      <c r="A313899" s="1"/>
    </row>
    <row r="313900" spans="1:1" x14ac:dyDescent="0.25">
      <c r="A313900" s="1"/>
    </row>
    <row r="313901" spans="1:1" x14ac:dyDescent="0.25">
      <c r="A313901" s="1"/>
    </row>
    <row r="313902" spans="1:1" x14ac:dyDescent="0.25">
      <c r="A313902" s="1"/>
    </row>
    <row r="313903" spans="1:1" x14ac:dyDescent="0.25">
      <c r="A313903" s="1"/>
    </row>
    <row r="313904" spans="1:1" x14ac:dyDescent="0.25">
      <c r="A313904" s="1"/>
    </row>
    <row r="313905" spans="1:1" x14ac:dyDescent="0.25">
      <c r="A313905" s="1"/>
    </row>
    <row r="313906" spans="1:1" x14ac:dyDescent="0.25">
      <c r="A313906" s="1"/>
    </row>
    <row r="313907" spans="1:1" x14ac:dyDescent="0.25">
      <c r="A313907" s="1"/>
    </row>
    <row r="313908" spans="1:1" x14ac:dyDescent="0.25">
      <c r="A313908" s="1"/>
    </row>
    <row r="313909" spans="1:1" x14ac:dyDescent="0.25">
      <c r="A313909" s="1"/>
    </row>
    <row r="313910" spans="1:1" x14ac:dyDescent="0.25">
      <c r="A313910" s="1"/>
    </row>
    <row r="313911" spans="1:1" x14ac:dyDescent="0.25">
      <c r="A313911" s="1"/>
    </row>
    <row r="313912" spans="1:1" x14ac:dyDescent="0.25">
      <c r="A313912" s="1"/>
    </row>
    <row r="313913" spans="1:1" x14ac:dyDescent="0.25">
      <c r="A313913" s="1"/>
    </row>
    <row r="313914" spans="1:1" x14ac:dyDescent="0.25">
      <c r="A313914" s="1"/>
    </row>
    <row r="313915" spans="1:1" x14ac:dyDescent="0.25">
      <c r="A313915" s="1"/>
    </row>
    <row r="313916" spans="1:1" x14ac:dyDescent="0.25">
      <c r="A313916" s="1"/>
    </row>
    <row r="313917" spans="1:1" x14ac:dyDescent="0.25">
      <c r="A313917" s="1"/>
    </row>
    <row r="313918" spans="1:1" x14ac:dyDescent="0.25">
      <c r="A313918" s="1"/>
    </row>
    <row r="313919" spans="1:1" x14ac:dyDescent="0.25">
      <c r="A313919" s="1"/>
    </row>
    <row r="313920" spans="1:1" x14ac:dyDescent="0.25">
      <c r="A313920" s="1"/>
    </row>
    <row r="313921" spans="1:1" x14ac:dyDescent="0.25">
      <c r="A313921" s="1"/>
    </row>
    <row r="313922" spans="1:1" x14ac:dyDescent="0.25">
      <c r="A313922" s="1"/>
    </row>
    <row r="313923" spans="1:1" x14ac:dyDescent="0.25">
      <c r="A313923" s="1"/>
    </row>
    <row r="313924" spans="1:1" x14ac:dyDescent="0.25">
      <c r="A313924" s="1"/>
    </row>
    <row r="313925" spans="1:1" x14ac:dyDescent="0.25">
      <c r="A313925" s="1"/>
    </row>
    <row r="313926" spans="1:1" x14ac:dyDescent="0.25">
      <c r="A313926" s="1"/>
    </row>
    <row r="313927" spans="1:1" x14ac:dyDescent="0.25">
      <c r="A313927" s="1"/>
    </row>
    <row r="313928" spans="1:1" x14ac:dyDescent="0.25">
      <c r="A313928" s="1"/>
    </row>
    <row r="313929" spans="1:1" x14ac:dyDescent="0.25">
      <c r="A313929" s="1"/>
    </row>
    <row r="313930" spans="1:1" x14ac:dyDescent="0.25">
      <c r="A313930" s="1"/>
    </row>
    <row r="313931" spans="1:1" x14ac:dyDescent="0.25">
      <c r="A313931" s="1"/>
    </row>
    <row r="313932" spans="1:1" x14ac:dyDescent="0.25">
      <c r="A313932" s="1"/>
    </row>
    <row r="313933" spans="1:1" x14ac:dyDescent="0.25">
      <c r="A313933" s="1"/>
    </row>
    <row r="313934" spans="1:1" x14ac:dyDescent="0.25">
      <c r="A313934" s="1"/>
    </row>
    <row r="313935" spans="1:1" x14ac:dyDescent="0.25">
      <c r="A313935" s="1"/>
    </row>
    <row r="313936" spans="1:1" x14ac:dyDescent="0.25">
      <c r="A313936" s="1"/>
    </row>
    <row r="313937" spans="1:1" x14ac:dyDescent="0.25">
      <c r="A313937" s="1"/>
    </row>
    <row r="313938" spans="1:1" x14ac:dyDescent="0.25">
      <c r="A313938" s="1"/>
    </row>
    <row r="313939" spans="1:1" x14ac:dyDescent="0.25">
      <c r="A313939" s="1"/>
    </row>
    <row r="313940" spans="1:1" x14ac:dyDescent="0.25">
      <c r="A313940" s="1"/>
    </row>
    <row r="313941" spans="1:1" x14ac:dyDescent="0.25">
      <c r="A313941" s="1"/>
    </row>
    <row r="313942" spans="1:1" x14ac:dyDescent="0.25">
      <c r="A313942" s="1"/>
    </row>
    <row r="313943" spans="1:1" x14ac:dyDescent="0.25">
      <c r="A313943" s="1"/>
    </row>
    <row r="313944" spans="1:1" x14ac:dyDescent="0.25">
      <c r="A313944" s="1"/>
    </row>
    <row r="313945" spans="1:1" x14ac:dyDescent="0.25">
      <c r="A313945" s="1"/>
    </row>
    <row r="313946" spans="1:1" x14ac:dyDescent="0.25">
      <c r="A313946" s="1"/>
    </row>
    <row r="313947" spans="1:1" x14ac:dyDescent="0.25">
      <c r="A313947" s="1"/>
    </row>
    <row r="313948" spans="1:1" x14ac:dyDescent="0.25">
      <c r="A313948" s="1"/>
    </row>
    <row r="313949" spans="1:1" x14ac:dyDescent="0.25">
      <c r="A313949" s="1"/>
    </row>
    <row r="313950" spans="1:1" x14ac:dyDescent="0.25">
      <c r="A313950" s="1"/>
    </row>
    <row r="313951" spans="1:1" x14ac:dyDescent="0.25">
      <c r="A313951" s="1"/>
    </row>
    <row r="313952" spans="1:1" x14ac:dyDescent="0.25">
      <c r="A313952" s="1"/>
    </row>
    <row r="313953" spans="1:1" x14ac:dyDescent="0.25">
      <c r="A313953" s="1"/>
    </row>
    <row r="313954" spans="1:1" x14ac:dyDescent="0.25">
      <c r="A313954" s="1"/>
    </row>
    <row r="313955" spans="1:1" x14ac:dyDescent="0.25">
      <c r="A313955" s="1"/>
    </row>
    <row r="313956" spans="1:1" x14ac:dyDescent="0.25">
      <c r="A313956" s="1"/>
    </row>
    <row r="313957" spans="1:1" x14ac:dyDescent="0.25">
      <c r="A313957" s="1"/>
    </row>
    <row r="313958" spans="1:1" x14ac:dyDescent="0.25">
      <c r="A313958" s="1"/>
    </row>
    <row r="313959" spans="1:1" x14ac:dyDescent="0.25">
      <c r="A313959" s="1"/>
    </row>
    <row r="313960" spans="1:1" x14ac:dyDescent="0.25">
      <c r="A313960" s="1"/>
    </row>
    <row r="313961" spans="1:1" x14ac:dyDescent="0.25">
      <c r="A313961" s="1"/>
    </row>
    <row r="313962" spans="1:1" x14ac:dyDescent="0.25">
      <c r="A313962" s="1"/>
    </row>
    <row r="313963" spans="1:1" x14ac:dyDescent="0.25">
      <c r="A313963" s="1"/>
    </row>
    <row r="313964" spans="1:1" x14ac:dyDescent="0.25">
      <c r="A313964" s="1"/>
    </row>
    <row r="313965" spans="1:1" x14ac:dyDescent="0.25">
      <c r="A313965" s="1"/>
    </row>
    <row r="313966" spans="1:1" x14ac:dyDescent="0.25">
      <c r="A313966" s="1"/>
    </row>
    <row r="313967" spans="1:1" x14ac:dyDescent="0.25">
      <c r="A313967" s="1"/>
    </row>
    <row r="313968" spans="1:1" x14ac:dyDescent="0.25">
      <c r="A313968" s="1"/>
    </row>
    <row r="313969" spans="1:1" x14ac:dyDescent="0.25">
      <c r="A313969" s="1"/>
    </row>
    <row r="313970" spans="1:1" x14ac:dyDescent="0.25">
      <c r="A313970" s="1"/>
    </row>
    <row r="313971" spans="1:1" x14ac:dyDescent="0.25">
      <c r="A313971" s="1"/>
    </row>
    <row r="313972" spans="1:1" x14ac:dyDescent="0.25">
      <c r="A313972" s="1"/>
    </row>
    <row r="313973" spans="1:1" x14ac:dyDescent="0.25">
      <c r="A313973" s="1"/>
    </row>
    <row r="313974" spans="1:1" x14ac:dyDescent="0.25">
      <c r="A313974" s="1"/>
    </row>
    <row r="313975" spans="1:1" x14ac:dyDescent="0.25">
      <c r="A313975" s="1"/>
    </row>
    <row r="313976" spans="1:1" x14ac:dyDescent="0.25">
      <c r="A313976" s="1"/>
    </row>
    <row r="313977" spans="1:1" x14ac:dyDescent="0.25">
      <c r="A313977" s="1"/>
    </row>
    <row r="313978" spans="1:1" x14ac:dyDescent="0.25">
      <c r="A313978" s="1"/>
    </row>
    <row r="313979" spans="1:1" x14ac:dyDescent="0.25">
      <c r="A313979" s="1"/>
    </row>
    <row r="313980" spans="1:1" x14ac:dyDescent="0.25">
      <c r="A313980" s="1"/>
    </row>
    <row r="313981" spans="1:1" x14ac:dyDescent="0.25">
      <c r="A313981" s="1"/>
    </row>
    <row r="313982" spans="1:1" x14ac:dyDescent="0.25">
      <c r="A313982" s="1"/>
    </row>
    <row r="313983" spans="1:1" x14ac:dyDescent="0.25">
      <c r="A313983" s="1"/>
    </row>
    <row r="313984" spans="1:1" x14ac:dyDescent="0.25">
      <c r="A313984" s="1"/>
    </row>
    <row r="313985" spans="1:1" x14ac:dyDescent="0.25">
      <c r="A313985" s="1"/>
    </row>
    <row r="313986" spans="1:1" x14ac:dyDescent="0.25">
      <c r="A313986" s="1"/>
    </row>
    <row r="313987" spans="1:1" x14ac:dyDescent="0.25">
      <c r="A313987" s="1"/>
    </row>
    <row r="313988" spans="1:1" x14ac:dyDescent="0.25">
      <c r="A313988" s="1"/>
    </row>
    <row r="313989" spans="1:1" x14ac:dyDescent="0.25">
      <c r="A313989" s="1"/>
    </row>
    <row r="313990" spans="1:1" x14ac:dyDescent="0.25">
      <c r="A313990" s="1"/>
    </row>
    <row r="313991" spans="1:1" x14ac:dyDescent="0.25">
      <c r="A313991" s="1"/>
    </row>
    <row r="313992" spans="1:1" x14ac:dyDescent="0.25">
      <c r="A313992" s="1"/>
    </row>
    <row r="313993" spans="1:1" x14ac:dyDescent="0.25">
      <c r="A313993" s="1"/>
    </row>
    <row r="313994" spans="1:1" x14ac:dyDescent="0.25">
      <c r="A313994" s="1"/>
    </row>
    <row r="313995" spans="1:1" x14ac:dyDescent="0.25">
      <c r="A313995" s="1"/>
    </row>
    <row r="313996" spans="1:1" x14ac:dyDescent="0.25">
      <c r="A313996" s="1"/>
    </row>
    <row r="313997" spans="1:1" x14ac:dyDescent="0.25">
      <c r="A313997" s="1"/>
    </row>
    <row r="313998" spans="1:1" x14ac:dyDescent="0.25">
      <c r="A313998" s="1"/>
    </row>
    <row r="313999" spans="1:1" x14ac:dyDescent="0.25">
      <c r="A313999" s="1"/>
    </row>
    <row r="314000" spans="1:1" x14ac:dyDescent="0.25">
      <c r="A314000" s="1"/>
    </row>
    <row r="314001" spans="1:1" x14ac:dyDescent="0.25">
      <c r="A314001" s="1"/>
    </row>
    <row r="314002" spans="1:1" x14ac:dyDescent="0.25">
      <c r="A314002" s="1"/>
    </row>
    <row r="314003" spans="1:1" x14ac:dyDescent="0.25">
      <c r="A314003" s="1"/>
    </row>
    <row r="314004" spans="1:1" x14ac:dyDescent="0.25">
      <c r="A314004" s="1"/>
    </row>
    <row r="314005" spans="1:1" x14ac:dyDescent="0.25">
      <c r="A314005" s="1"/>
    </row>
    <row r="314006" spans="1:1" x14ac:dyDescent="0.25">
      <c r="A314006" s="1"/>
    </row>
    <row r="314007" spans="1:1" x14ac:dyDescent="0.25">
      <c r="A314007" s="1"/>
    </row>
    <row r="314008" spans="1:1" x14ac:dyDescent="0.25">
      <c r="A314008" s="1"/>
    </row>
    <row r="314009" spans="1:1" x14ac:dyDescent="0.25">
      <c r="A314009" s="1"/>
    </row>
    <row r="314010" spans="1:1" x14ac:dyDescent="0.25">
      <c r="A314010" s="1"/>
    </row>
    <row r="314011" spans="1:1" x14ac:dyDescent="0.25">
      <c r="A314011" s="1"/>
    </row>
    <row r="314012" spans="1:1" x14ac:dyDescent="0.25">
      <c r="A314012" s="1"/>
    </row>
    <row r="314013" spans="1:1" x14ac:dyDescent="0.25">
      <c r="A314013" s="1"/>
    </row>
    <row r="314014" spans="1:1" x14ac:dyDescent="0.25">
      <c r="A314014" s="1"/>
    </row>
    <row r="314015" spans="1:1" x14ac:dyDescent="0.25">
      <c r="A314015" s="1"/>
    </row>
    <row r="314016" spans="1:1" x14ac:dyDescent="0.25">
      <c r="A314016" s="1"/>
    </row>
    <row r="314017" spans="1:1" x14ac:dyDescent="0.25">
      <c r="A314017" s="1"/>
    </row>
    <row r="314018" spans="1:1" x14ac:dyDescent="0.25">
      <c r="A314018" s="1"/>
    </row>
    <row r="314019" spans="1:1" x14ac:dyDescent="0.25">
      <c r="A314019" s="1"/>
    </row>
    <row r="314020" spans="1:1" x14ac:dyDescent="0.25">
      <c r="A314020" s="1"/>
    </row>
    <row r="314021" spans="1:1" x14ac:dyDescent="0.25">
      <c r="A314021" s="1"/>
    </row>
    <row r="314022" spans="1:1" x14ac:dyDescent="0.25">
      <c r="A314022" s="1"/>
    </row>
    <row r="314023" spans="1:1" x14ac:dyDescent="0.25">
      <c r="A314023" s="1"/>
    </row>
    <row r="314024" spans="1:1" x14ac:dyDescent="0.25">
      <c r="A314024" s="1"/>
    </row>
    <row r="314025" spans="1:1" x14ac:dyDescent="0.25">
      <c r="A314025" s="1"/>
    </row>
    <row r="314026" spans="1:1" x14ac:dyDescent="0.25">
      <c r="A314026" s="1"/>
    </row>
    <row r="314027" spans="1:1" x14ac:dyDescent="0.25">
      <c r="A314027" s="1"/>
    </row>
    <row r="314028" spans="1:1" x14ac:dyDescent="0.25">
      <c r="A314028" s="1"/>
    </row>
    <row r="314029" spans="1:1" x14ac:dyDescent="0.25">
      <c r="A314029" s="1"/>
    </row>
    <row r="314030" spans="1:1" x14ac:dyDescent="0.25">
      <c r="A314030" s="1"/>
    </row>
    <row r="314031" spans="1:1" x14ac:dyDescent="0.25">
      <c r="A314031" s="1"/>
    </row>
    <row r="314032" spans="1:1" x14ac:dyDescent="0.25">
      <c r="A314032" s="1"/>
    </row>
    <row r="314033" spans="1:1" x14ac:dyDescent="0.25">
      <c r="A314033" s="1"/>
    </row>
    <row r="314034" spans="1:1" x14ac:dyDescent="0.25">
      <c r="A314034" s="1"/>
    </row>
    <row r="314035" spans="1:1" x14ac:dyDescent="0.25">
      <c r="A314035" s="1"/>
    </row>
    <row r="314036" spans="1:1" x14ac:dyDescent="0.25">
      <c r="A314036" s="1"/>
    </row>
    <row r="314037" spans="1:1" x14ac:dyDescent="0.25">
      <c r="A314037" s="1"/>
    </row>
    <row r="314038" spans="1:1" x14ac:dyDescent="0.25">
      <c r="A314038" s="1"/>
    </row>
    <row r="314039" spans="1:1" x14ac:dyDescent="0.25">
      <c r="A314039" s="1"/>
    </row>
    <row r="314040" spans="1:1" x14ac:dyDescent="0.25">
      <c r="A314040" s="1"/>
    </row>
    <row r="314041" spans="1:1" x14ac:dyDescent="0.25">
      <c r="A314041" s="1"/>
    </row>
    <row r="314042" spans="1:1" x14ac:dyDescent="0.25">
      <c r="A314042" s="1"/>
    </row>
    <row r="314043" spans="1:1" x14ac:dyDescent="0.25">
      <c r="A314043" s="1"/>
    </row>
    <row r="314044" spans="1:1" x14ac:dyDescent="0.25">
      <c r="A314044" s="1"/>
    </row>
    <row r="314045" spans="1:1" x14ac:dyDescent="0.25">
      <c r="A314045" s="1"/>
    </row>
    <row r="314046" spans="1:1" x14ac:dyDescent="0.25">
      <c r="A314046" s="1"/>
    </row>
    <row r="314047" spans="1:1" x14ac:dyDescent="0.25">
      <c r="A314047" s="1"/>
    </row>
    <row r="314048" spans="1:1" x14ac:dyDescent="0.25">
      <c r="A314048" s="1"/>
    </row>
    <row r="314049" spans="1:1" x14ac:dyDescent="0.25">
      <c r="A314049" s="1"/>
    </row>
    <row r="314050" spans="1:1" x14ac:dyDescent="0.25">
      <c r="A314050" s="1"/>
    </row>
    <row r="314051" spans="1:1" x14ac:dyDescent="0.25">
      <c r="A314051" s="1"/>
    </row>
    <row r="314052" spans="1:1" x14ac:dyDescent="0.25">
      <c r="A314052" s="1"/>
    </row>
    <row r="314053" spans="1:1" x14ac:dyDescent="0.25">
      <c r="A314053" s="1"/>
    </row>
    <row r="314054" spans="1:1" x14ac:dyDescent="0.25">
      <c r="A314054" s="1"/>
    </row>
    <row r="314055" spans="1:1" x14ac:dyDescent="0.25">
      <c r="A314055" s="1"/>
    </row>
    <row r="314056" spans="1:1" x14ac:dyDescent="0.25">
      <c r="A314056" s="1"/>
    </row>
    <row r="314057" spans="1:1" x14ac:dyDescent="0.25">
      <c r="A314057" s="1"/>
    </row>
    <row r="314058" spans="1:1" x14ac:dyDescent="0.25">
      <c r="A314058" s="1"/>
    </row>
    <row r="314059" spans="1:1" x14ac:dyDescent="0.25">
      <c r="A314059" s="1"/>
    </row>
    <row r="314060" spans="1:1" x14ac:dyDescent="0.25">
      <c r="A314060" s="1"/>
    </row>
    <row r="314061" spans="1:1" x14ac:dyDescent="0.25">
      <c r="A314061" s="1"/>
    </row>
    <row r="314062" spans="1:1" x14ac:dyDescent="0.25">
      <c r="A314062" s="1"/>
    </row>
    <row r="314063" spans="1:1" x14ac:dyDescent="0.25">
      <c r="A314063" s="1"/>
    </row>
    <row r="314064" spans="1:1" x14ac:dyDescent="0.25">
      <c r="A314064" s="1"/>
    </row>
    <row r="314065" spans="1:1" x14ac:dyDescent="0.25">
      <c r="A314065" s="1"/>
    </row>
    <row r="314066" spans="1:1" x14ac:dyDescent="0.25">
      <c r="A314066" s="1"/>
    </row>
    <row r="314067" spans="1:1" x14ac:dyDescent="0.25">
      <c r="A314067" s="1"/>
    </row>
    <row r="314068" spans="1:1" x14ac:dyDescent="0.25">
      <c r="A314068" s="1"/>
    </row>
    <row r="314069" spans="1:1" x14ac:dyDescent="0.25">
      <c r="A314069" s="1"/>
    </row>
    <row r="314070" spans="1:1" x14ac:dyDescent="0.25">
      <c r="A314070" s="1"/>
    </row>
    <row r="314071" spans="1:1" x14ac:dyDescent="0.25">
      <c r="A314071" s="1"/>
    </row>
    <row r="314072" spans="1:1" x14ac:dyDescent="0.25">
      <c r="A314072" s="1"/>
    </row>
    <row r="314073" spans="1:1" x14ac:dyDescent="0.25">
      <c r="A314073" s="1"/>
    </row>
    <row r="314074" spans="1:1" x14ac:dyDescent="0.25">
      <c r="A314074" s="1"/>
    </row>
    <row r="314075" spans="1:1" x14ac:dyDescent="0.25">
      <c r="A314075" s="1"/>
    </row>
    <row r="314076" spans="1:1" x14ac:dyDescent="0.25">
      <c r="A314076" s="1"/>
    </row>
    <row r="314077" spans="1:1" x14ac:dyDescent="0.25">
      <c r="A314077" s="1"/>
    </row>
    <row r="314078" spans="1:1" x14ac:dyDescent="0.25">
      <c r="A314078" s="1"/>
    </row>
    <row r="314079" spans="1:1" x14ac:dyDescent="0.25">
      <c r="A314079" s="1"/>
    </row>
    <row r="314080" spans="1:1" x14ac:dyDescent="0.25">
      <c r="A314080" s="1"/>
    </row>
    <row r="314081" spans="1:1" x14ac:dyDescent="0.25">
      <c r="A314081" s="1"/>
    </row>
    <row r="314082" spans="1:1" x14ac:dyDescent="0.25">
      <c r="A314082" s="1"/>
    </row>
    <row r="314083" spans="1:1" x14ac:dyDescent="0.25">
      <c r="A314083" s="1"/>
    </row>
    <row r="314084" spans="1:1" x14ac:dyDescent="0.25">
      <c r="A314084" s="1"/>
    </row>
    <row r="314085" spans="1:1" x14ac:dyDescent="0.25">
      <c r="A314085" s="1"/>
    </row>
    <row r="314086" spans="1:1" x14ac:dyDescent="0.25">
      <c r="A314086" s="1"/>
    </row>
    <row r="314087" spans="1:1" x14ac:dyDescent="0.25">
      <c r="A314087" s="1"/>
    </row>
    <row r="314088" spans="1:1" x14ac:dyDescent="0.25">
      <c r="A314088" s="1"/>
    </row>
    <row r="314089" spans="1:1" x14ac:dyDescent="0.25">
      <c r="A314089" s="1"/>
    </row>
    <row r="314090" spans="1:1" x14ac:dyDescent="0.25">
      <c r="A314090" s="1"/>
    </row>
    <row r="314091" spans="1:1" x14ac:dyDescent="0.25">
      <c r="A314091" s="1"/>
    </row>
    <row r="314092" spans="1:1" x14ac:dyDescent="0.25">
      <c r="A314092" s="1"/>
    </row>
    <row r="314093" spans="1:1" x14ac:dyDescent="0.25">
      <c r="A314093" s="1"/>
    </row>
    <row r="314094" spans="1:1" x14ac:dyDescent="0.25">
      <c r="A314094" s="1"/>
    </row>
    <row r="314095" spans="1:1" x14ac:dyDescent="0.25">
      <c r="A314095" s="1"/>
    </row>
    <row r="314096" spans="1:1" x14ac:dyDescent="0.25">
      <c r="A314096" s="1"/>
    </row>
    <row r="314097" spans="1:1" x14ac:dyDescent="0.25">
      <c r="A314097" s="1"/>
    </row>
    <row r="314098" spans="1:1" x14ac:dyDescent="0.25">
      <c r="A314098" s="1"/>
    </row>
    <row r="314099" spans="1:1" x14ac:dyDescent="0.25">
      <c r="A314099" s="1"/>
    </row>
    <row r="314100" spans="1:1" x14ac:dyDescent="0.25">
      <c r="A314100" s="1"/>
    </row>
    <row r="314101" spans="1:1" x14ac:dyDescent="0.25">
      <c r="A314101" s="1"/>
    </row>
    <row r="314102" spans="1:1" x14ac:dyDescent="0.25">
      <c r="A314102" s="1"/>
    </row>
    <row r="314103" spans="1:1" x14ac:dyDescent="0.25">
      <c r="A314103" s="1"/>
    </row>
    <row r="314104" spans="1:1" x14ac:dyDescent="0.25">
      <c r="A314104" s="1"/>
    </row>
    <row r="314105" spans="1:1" x14ac:dyDescent="0.25">
      <c r="A314105" s="1"/>
    </row>
    <row r="314106" spans="1:1" x14ac:dyDescent="0.25">
      <c r="A314106" s="1"/>
    </row>
    <row r="314107" spans="1:1" x14ac:dyDescent="0.25">
      <c r="A314107" s="1"/>
    </row>
    <row r="314108" spans="1:1" x14ac:dyDescent="0.25">
      <c r="A314108" s="1"/>
    </row>
    <row r="314109" spans="1:1" x14ac:dyDescent="0.25">
      <c r="A314109" s="1"/>
    </row>
    <row r="314110" spans="1:1" x14ac:dyDescent="0.25">
      <c r="A314110" s="1"/>
    </row>
    <row r="314111" spans="1:1" x14ac:dyDescent="0.25">
      <c r="A314111" s="1"/>
    </row>
    <row r="314112" spans="1:1" x14ac:dyDescent="0.25">
      <c r="A314112" s="1"/>
    </row>
    <row r="314113" spans="1:1" x14ac:dyDescent="0.25">
      <c r="A314113" s="1"/>
    </row>
    <row r="314114" spans="1:1" x14ac:dyDescent="0.25">
      <c r="A314114" s="1"/>
    </row>
    <row r="314115" spans="1:1" x14ac:dyDescent="0.25">
      <c r="A314115" s="1"/>
    </row>
    <row r="314116" spans="1:1" x14ac:dyDescent="0.25">
      <c r="A314116" s="1"/>
    </row>
    <row r="314117" spans="1:1" x14ac:dyDescent="0.25">
      <c r="A314117" s="1"/>
    </row>
    <row r="314118" spans="1:1" x14ac:dyDescent="0.25">
      <c r="A314118" s="1"/>
    </row>
    <row r="314119" spans="1:1" x14ac:dyDescent="0.25">
      <c r="A314119" s="1"/>
    </row>
    <row r="314120" spans="1:1" x14ac:dyDescent="0.25">
      <c r="A314120" s="1"/>
    </row>
    <row r="314121" spans="1:1" x14ac:dyDescent="0.25">
      <c r="A314121" s="1"/>
    </row>
    <row r="314122" spans="1:1" x14ac:dyDescent="0.25">
      <c r="A314122" s="1"/>
    </row>
    <row r="314123" spans="1:1" x14ac:dyDescent="0.25">
      <c r="A314123" s="1"/>
    </row>
    <row r="314124" spans="1:1" x14ac:dyDescent="0.25">
      <c r="A314124" s="1"/>
    </row>
    <row r="314125" spans="1:1" x14ac:dyDescent="0.25">
      <c r="A314125" s="1"/>
    </row>
    <row r="314126" spans="1:1" x14ac:dyDescent="0.25">
      <c r="A314126" s="1"/>
    </row>
    <row r="314127" spans="1:1" x14ac:dyDescent="0.25">
      <c r="A314127" s="1"/>
    </row>
    <row r="314128" spans="1:1" x14ac:dyDescent="0.25">
      <c r="A314128" s="1"/>
    </row>
    <row r="314129" spans="1:1" x14ac:dyDescent="0.25">
      <c r="A314129" s="1"/>
    </row>
    <row r="314130" spans="1:1" x14ac:dyDescent="0.25">
      <c r="A314130" s="1"/>
    </row>
    <row r="314131" spans="1:1" x14ac:dyDescent="0.25">
      <c r="A314131" s="1"/>
    </row>
    <row r="314132" spans="1:1" x14ac:dyDescent="0.25">
      <c r="A314132" s="1"/>
    </row>
    <row r="314133" spans="1:1" x14ac:dyDescent="0.25">
      <c r="A314133" s="1"/>
    </row>
    <row r="314134" spans="1:1" x14ac:dyDescent="0.25">
      <c r="A314134" s="1"/>
    </row>
    <row r="314135" spans="1:1" x14ac:dyDescent="0.25">
      <c r="A314135" s="1"/>
    </row>
    <row r="314136" spans="1:1" x14ac:dyDescent="0.25">
      <c r="A314136" s="1"/>
    </row>
    <row r="314137" spans="1:1" x14ac:dyDescent="0.25">
      <c r="A314137" s="1"/>
    </row>
    <row r="314138" spans="1:1" x14ac:dyDescent="0.25">
      <c r="A314138" s="1"/>
    </row>
    <row r="314139" spans="1:1" x14ac:dyDescent="0.25">
      <c r="A314139" s="1"/>
    </row>
    <row r="314140" spans="1:1" x14ac:dyDescent="0.25">
      <c r="A314140" s="1"/>
    </row>
    <row r="314141" spans="1:1" x14ac:dyDescent="0.25">
      <c r="A314141" s="1"/>
    </row>
    <row r="314142" spans="1:1" x14ac:dyDescent="0.25">
      <c r="A314142" s="1"/>
    </row>
    <row r="314143" spans="1:1" x14ac:dyDescent="0.25">
      <c r="A314143" s="1"/>
    </row>
    <row r="314144" spans="1:1" x14ac:dyDescent="0.25">
      <c r="A314144" s="1"/>
    </row>
    <row r="314145" spans="1:1" x14ac:dyDescent="0.25">
      <c r="A314145" s="1"/>
    </row>
    <row r="314146" spans="1:1" x14ac:dyDescent="0.25">
      <c r="A314146" s="1"/>
    </row>
    <row r="314147" spans="1:1" x14ac:dyDescent="0.25">
      <c r="A314147" s="1"/>
    </row>
    <row r="314148" spans="1:1" x14ac:dyDescent="0.25">
      <c r="A314148" s="1"/>
    </row>
    <row r="314149" spans="1:1" x14ac:dyDescent="0.25">
      <c r="A314149" s="1"/>
    </row>
    <row r="314150" spans="1:1" x14ac:dyDescent="0.25">
      <c r="A314150" s="1"/>
    </row>
    <row r="314151" spans="1:1" x14ac:dyDescent="0.25">
      <c r="A314151" s="1"/>
    </row>
    <row r="314152" spans="1:1" x14ac:dyDescent="0.25">
      <c r="A314152" s="1"/>
    </row>
    <row r="314153" spans="1:1" x14ac:dyDescent="0.25">
      <c r="A314153" s="1"/>
    </row>
    <row r="314154" spans="1:1" x14ac:dyDescent="0.25">
      <c r="A314154" s="1"/>
    </row>
    <row r="314155" spans="1:1" x14ac:dyDescent="0.25">
      <c r="A314155" s="1"/>
    </row>
    <row r="314156" spans="1:1" x14ac:dyDescent="0.25">
      <c r="A314156" s="1"/>
    </row>
    <row r="314157" spans="1:1" x14ac:dyDescent="0.25">
      <c r="A314157" s="1"/>
    </row>
    <row r="314158" spans="1:1" x14ac:dyDescent="0.25">
      <c r="A314158" s="1"/>
    </row>
    <row r="314159" spans="1:1" x14ac:dyDescent="0.25">
      <c r="A314159" s="1"/>
    </row>
    <row r="314160" spans="1:1" x14ac:dyDescent="0.25">
      <c r="A314160" s="1"/>
    </row>
    <row r="314161" spans="1:1" x14ac:dyDescent="0.25">
      <c r="A314161" s="1"/>
    </row>
    <row r="314162" spans="1:1" x14ac:dyDescent="0.25">
      <c r="A314162" s="1"/>
    </row>
    <row r="314163" spans="1:1" x14ac:dyDescent="0.25">
      <c r="A314163" s="1"/>
    </row>
    <row r="314164" spans="1:1" x14ac:dyDescent="0.25">
      <c r="A314164" s="1"/>
    </row>
    <row r="314165" spans="1:1" x14ac:dyDescent="0.25">
      <c r="A314165" s="1"/>
    </row>
    <row r="314166" spans="1:1" x14ac:dyDescent="0.25">
      <c r="A314166" s="1"/>
    </row>
    <row r="314167" spans="1:1" x14ac:dyDescent="0.25">
      <c r="A314167" s="1"/>
    </row>
    <row r="314168" spans="1:1" x14ac:dyDescent="0.25">
      <c r="A314168" s="1"/>
    </row>
    <row r="314169" spans="1:1" x14ac:dyDescent="0.25">
      <c r="A314169" s="1"/>
    </row>
    <row r="314170" spans="1:1" x14ac:dyDescent="0.25">
      <c r="A314170" s="1"/>
    </row>
    <row r="314171" spans="1:1" x14ac:dyDescent="0.25">
      <c r="A314171" s="1"/>
    </row>
    <row r="314172" spans="1:1" x14ac:dyDescent="0.25">
      <c r="A314172" s="1"/>
    </row>
    <row r="314173" spans="1:1" x14ac:dyDescent="0.25">
      <c r="A314173" s="1"/>
    </row>
    <row r="314174" spans="1:1" x14ac:dyDescent="0.25">
      <c r="A314174" s="1"/>
    </row>
    <row r="314175" spans="1:1" x14ac:dyDescent="0.25">
      <c r="A314175" s="1"/>
    </row>
    <row r="314176" spans="1:1" x14ac:dyDescent="0.25">
      <c r="A314176" s="1"/>
    </row>
    <row r="314177" spans="1:1" x14ac:dyDescent="0.25">
      <c r="A314177" s="1"/>
    </row>
    <row r="314178" spans="1:1" x14ac:dyDescent="0.25">
      <c r="A314178" s="1"/>
    </row>
    <row r="314179" spans="1:1" x14ac:dyDescent="0.25">
      <c r="A314179" s="1"/>
    </row>
    <row r="314180" spans="1:1" x14ac:dyDescent="0.25">
      <c r="A314180" s="1"/>
    </row>
    <row r="314181" spans="1:1" x14ac:dyDescent="0.25">
      <c r="A314181" s="1"/>
    </row>
    <row r="314182" spans="1:1" x14ac:dyDescent="0.25">
      <c r="A314182" s="1"/>
    </row>
    <row r="314183" spans="1:1" x14ac:dyDescent="0.25">
      <c r="A314183" s="1"/>
    </row>
    <row r="314184" spans="1:1" x14ac:dyDescent="0.25">
      <c r="A314184" s="1"/>
    </row>
    <row r="314185" spans="1:1" x14ac:dyDescent="0.25">
      <c r="A314185" s="1"/>
    </row>
    <row r="314186" spans="1:1" x14ac:dyDescent="0.25">
      <c r="A314186" s="1"/>
    </row>
    <row r="314187" spans="1:1" x14ac:dyDescent="0.25">
      <c r="A314187" s="1"/>
    </row>
    <row r="314188" spans="1:1" x14ac:dyDescent="0.25">
      <c r="A314188" s="1"/>
    </row>
    <row r="314189" spans="1:1" x14ac:dyDescent="0.25">
      <c r="A314189" s="1"/>
    </row>
    <row r="314190" spans="1:1" x14ac:dyDescent="0.25">
      <c r="A314190" s="1"/>
    </row>
    <row r="314191" spans="1:1" x14ac:dyDescent="0.25">
      <c r="A314191" s="1"/>
    </row>
    <row r="314192" spans="1:1" x14ac:dyDescent="0.25">
      <c r="A314192" s="1"/>
    </row>
    <row r="314193" spans="1:1" x14ac:dyDescent="0.25">
      <c r="A314193" s="1"/>
    </row>
    <row r="314194" spans="1:1" x14ac:dyDescent="0.25">
      <c r="A314194" s="1"/>
    </row>
    <row r="314195" spans="1:1" x14ac:dyDescent="0.25">
      <c r="A314195" s="1"/>
    </row>
    <row r="314196" spans="1:1" x14ac:dyDescent="0.25">
      <c r="A314196" s="1"/>
    </row>
    <row r="314197" spans="1:1" x14ac:dyDescent="0.25">
      <c r="A314197" s="1"/>
    </row>
    <row r="314198" spans="1:1" x14ac:dyDescent="0.25">
      <c r="A314198" s="1"/>
    </row>
    <row r="314199" spans="1:1" x14ac:dyDescent="0.25">
      <c r="A314199" s="1"/>
    </row>
    <row r="314200" spans="1:1" x14ac:dyDescent="0.25">
      <c r="A314200" s="1"/>
    </row>
    <row r="314201" spans="1:1" x14ac:dyDescent="0.25">
      <c r="A314201" s="1"/>
    </row>
    <row r="314202" spans="1:1" x14ac:dyDescent="0.25">
      <c r="A314202" s="1"/>
    </row>
    <row r="314203" spans="1:1" x14ac:dyDescent="0.25">
      <c r="A314203" s="1"/>
    </row>
    <row r="314204" spans="1:1" x14ac:dyDescent="0.25">
      <c r="A314204" s="1"/>
    </row>
    <row r="314205" spans="1:1" x14ac:dyDescent="0.25">
      <c r="A314205" s="1"/>
    </row>
    <row r="314206" spans="1:1" x14ac:dyDescent="0.25">
      <c r="A314206" s="1"/>
    </row>
    <row r="314207" spans="1:1" x14ac:dyDescent="0.25">
      <c r="A314207" s="1"/>
    </row>
    <row r="314208" spans="1:1" x14ac:dyDescent="0.25">
      <c r="A314208" s="1"/>
    </row>
    <row r="314209" spans="1:1" x14ac:dyDescent="0.25">
      <c r="A314209" s="1"/>
    </row>
    <row r="314210" spans="1:1" x14ac:dyDescent="0.25">
      <c r="A314210" s="1"/>
    </row>
    <row r="314211" spans="1:1" x14ac:dyDescent="0.25">
      <c r="A314211" s="1"/>
    </row>
    <row r="314212" spans="1:1" x14ac:dyDescent="0.25">
      <c r="A314212" s="1"/>
    </row>
    <row r="314213" spans="1:1" x14ac:dyDescent="0.25">
      <c r="A314213" s="1"/>
    </row>
    <row r="314214" spans="1:1" x14ac:dyDescent="0.25">
      <c r="A314214" s="1"/>
    </row>
    <row r="314215" spans="1:1" x14ac:dyDescent="0.25">
      <c r="A314215" s="1"/>
    </row>
    <row r="314216" spans="1:1" x14ac:dyDescent="0.25">
      <c r="A314216" s="1"/>
    </row>
    <row r="314217" spans="1:1" x14ac:dyDescent="0.25">
      <c r="A314217" s="1"/>
    </row>
    <row r="314218" spans="1:1" x14ac:dyDescent="0.25">
      <c r="A314218" s="1"/>
    </row>
    <row r="314219" spans="1:1" x14ac:dyDescent="0.25">
      <c r="A314219" s="1"/>
    </row>
    <row r="314220" spans="1:1" x14ac:dyDescent="0.25">
      <c r="A314220" s="1"/>
    </row>
    <row r="314221" spans="1:1" x14ac:dyDescent="0.25">
      <c r="A314221" s="1"/>
    </row>
    <row r="314222" spans="1:1" x14ac:dyDescent="0.25">
      <c r="A314222" s="1"/>
    </row>
    <row r="314223" spans="1:1" x14ac:dyDescent="0.25">
      <c r="A314223" s="1"/>
    </row>
    <row r="314224" spans="1:1" x14ac:dyDescent="0.25">
      <c r="A314224" s="1"/>
    </row>
    <row r="314225" spans="1:1" x14ac:dyDescent="0.25">
      <c r="A314225" s="1"/>
    </row>
    <row r="314226" spans="1:1" x14ac:dyDescent="0.25">
      <c r="A314226" s="1"/>
    </row>
    <row r="314227" spans="1:1" x14ac:dyDescent="0.25">
      <c r="A314227" s="1"/>
    </row>
    <row r="314228" spans="1:1" x14ac:dyDescent="0.25">
      <c r="A314228" s="1"/>
    </row>
    <row r="314229" spans="1:1" x14ac:dyDescent="0.25">
      <c r="A314229" s="1"/>
    </row>
    <row r="314230" spans="1:1" x14ac:dyDescent="0.25">
      <c r="A314230" s="1"/>
    </row>
    <row r="314231" spans="1:1" x14ac:dyDescent="0.25">
      <c r="A314231" s="1"/>
    </row>
    <row r="314232" spans="1:1" x14ac:dyDescent="0.25">
      <c r="A314232" s="1"/>
    </row>
    <row r="314233" spans="1:1" x14ac:dyDescent="0.25">
      <c r="A314233" s="1"/>
    </row>
    <row r="314234" spans="1:1" x14ac:dyDescent="0.25">
      <c r="A314234" s="1"/>
    </row>
    <row r="314235" spans="1:1" x14ac:dyDescent="0.25">
      <c r="A314235" s="1"/>
    </row>
    <row r="314236" spans="1:1" x14ac:dyDescent="0.25">
      <c r="A314236" s="1"/>
    </row>
    <row r="314237" spans="1:1" x14ac:dyDescent="0.25">
      <c r="A314237" s="1"/>
    </row>
    <row r="314238" spans="1:1" x14ac:dyDescent="0.25">
      <c r="A314238" s="1"/>
    </row>
    <row r="314239" spans="1:1" x14ac:dyDescent="0.25">
      <c r="A314239" s="1"/>
    </row>
    <row r="314240" spans="1:1" x14ac:dyDescent="0.25">
      <c r="A314240" s="1"/>
    </row>
    <row r="314241" spans="1:1" x14ac:dyDescent="0.25">
      <c r="A314241" s="1"/>
    </row>
    <row r="314242" spans="1:1" x14ac:dyDescent="0.25">
      <c r="A314242" s="1"/>
    </row>
    <row r="314243" spans="1:1" x14ac:dyDescent="0.25">
      <c r="A314243" s="1"/>
    </row>
    <row r="314244" spans="1:1" x14ac:dyDescent="0.25">
      <c r="A314244" s="1"/>
    </row>
    <row r="314245" spans="1:1" x14ac:dyDescent="0.25">
      <c r="A314245" s="1"/>
    </row>
    <row r="314246" spans="1:1" x14ac:dyDescent="0.25">
      <c r="A314246" s="1"/>
    </row>
    <row r="314247" spans="1:1" x14ac:dyDescent="0.25">
      <c r="A314247" s="1"/>
    </row>
    <row r="314248" spans="1:1" x14ac:dyDescent="0.25">
      <c r="A314248" s="1"/>
    </row>
    <row r="314249" spans="1:1" x14ac:dyDescent="0.25">
      <c r="A314249" s="1"/>
    </row>
    <row r="314250" spans="1:1" x14ac:dyDescent="0.25">
      <c r="A314250" s="1"/>
    </row>
    <row r="314251" spans="1:1" x14ac:dyDescent="0.25">
      <c r="A314251" s="1"/>
    </row>
    <row r="314252" spans="1:1" x14ac:dyDescent="0.25">
      <c r="A314252" s="1"/>
    </row>
    <row r="314253" spans="1:1" x14ac:dyDescent="0.25">
      <c r="A314253" s="1"/>
    </row>
    <row r="314254" spans="1:1" x14ac:dyDescent="0.25">
      <c r="A314254" s="1"/>
    </row>
    <row r="314255" spans="1:1" x14ac:dyDescent="0.25">
      <c r="A314255" s="1"/>
    </row>
    <row r="314256" spans="1:1" x14ac:dyDescent="0.25">
      <c r="A314256" s="1"/>
    </row>
    <row r="314257" spans="1:1" x14ac:dyDescent="0.25">
      <c r="A314257" s="1"/>
    </row>
    <row r="314258" spans="1:1" x14ac:dyDescent="0.25">
      <c r="A314258" s="1"/>
    </row>
    <row r="314259" spans="1:1" x14ac:dyDescent="0.25">
      <c r="A314259" s="1"/>
    </row>
    <row r="314260" spans="1:1" x14ac:dyDescent="0.25">
      <c r="A314260" s="1"/>
    </row>
    <row r="314261" spans="1:1" x14ac:dyDescent="0.25">
      <c r="A314261" s="1"/>
    </row>
    <row r="314262" spans="1:1" x14ac:dyDescent="0.25">
      <c r="A314262" s="1"/>
    </row>
    <row r="314263" spans="1:1" x14ac:dyDescent="0.25">
      <c r="A314263" s="1"/>
    </row>
    <row r="314264" spans="1:1" x14ac:dyDescent="0.25">
      <c r="A314264" s="1"/>
    </row>
    <row r="314265" spans="1:1" x14ac:dyDescent="0.25">
      <c r="A314265" s="1"/>
    </row>
    <row r="314266" spans="1:1" x14ac:dyDescent="0.25">
      <c r="A314266" s="1"/>
    </row>
    <row r="314267" spans="1:1" x14ac:dyDescent="0.25">
      <c r="A314267" s="1"/>
    </row>
    <row r="314268" spans="1:1" x14ac:dyDescent="0.25">
      <c r="A314268" s="1"/>
    </row>
    <row r="314269" spans="1:1" x14ac:dyDescent="0.25">
      <c r="A314269" s="1"/>
    </row>
    <row r="314270" spans="1:1" x14ac:dyDescent="0.25">
      <c r="A314270" s="1"/>
    </row>
    <row r="314271" spans="1:1" x14ac:dyDescent="0.25">
      <c r="A314271" s="1"/>
    </row>
    <row r="314272" spans="1:1" x14ac:dyDescent="0.25">
      <c r="A314272" s="1"/>
    </row>
    <row r="314273" spans="1:1" x14ac:dyDescent="0.25">
      <c r="A314273" s="1"/>
    </row>
    <row r="314274" spans="1:1" x14ac:dyDescent="0.25">
      <c r="A314274" s="1"/>
    </row>
    <row r="314275" spans="1:1" x14ac:dyDescent="0.25">
      <c r="A314275" s="1"/>
    </row>
    <row r="314276" spans="1:1" x14ac:dyDescent="0.25">
      <c r="A314276" s="1"/>
    </row>
    <row r="314277" spans="1:1" x14ac:dyDescent="0.25">
      <c r="A314277" s="1"/>
    </row>
    <row r="314278" spans="1:1" x14ac:dyDescent="0.25">
      <c r="A314278" s="1"/>
    </row>
    <row r="314279" spans="1:1" x14ac:dyDescent="0.25">
      <c r="A314279" s="1"/>
    </row>
    <row r="314280" spans="1:1" x14ac:dyDescent="0.25">
      <c r="A314280" s="1"/>
    </row>
    <row r="314281" spans="1:1" x14ac:dyDescent="0.25">
      <c r="A314281" s="1"/>
    </row>
    <row r="314282" spans="1:1" x14ac:dyDescent="0.25">
      <c r="A314282" s="1"/>
    </row>
    <row r="314283" spans="1:1" x14ac:dyDescent="0.25">
      <c r="A314283" s="1"/>
    </row>
    <row r="314284" spans="1:1" x14ac:dyDescent="0.25">
      <c r="A314284" s="1"/>
    </row>
    <row r="314285" spans="1:1" x14ac:dyDescent="0.25">
      <c r="A314285" s="1"/>
    </row>
    <row r="314286" spans="1:1" x14ac:dyDescent="0.25">
      <c r="A314286" s="1"/>
    </row>
    <row r="314287" spans="1:1" x14ac:dyDescent="0.25">
      <c r="A314287" s="1"/>
    </row>
    <row r="314288" spans="1:1" x14ac:dyDescent="0.25">
      <c r="A314288" s="1"/>
    </row>
    <row r="314289" spans="1:1" x14ac:dyDescent="0.25">
      <c r="A314289" s="1"/>
    </row>
    <row r="314290" spans="1:1" x14ac:dyDescent="0.25">
      <c r="A314290" s="1"/>
    </row>
    <row r="314291" spans="1:1" x14ac:dyDescent="0.25">
      <c r="A314291" s="1"/>
    </row>
    <row r="314292" spans="1:1" x14ac:dyDescent="0.25">
      <c r="A314292" s="1"/>
    </row>
    <row r="314293" spans="1:1" x14ac:dyDescent="0.25">
      <c r="A314293" s="1"/>
    </row>
    <row r="314294" spans="1:1" x14ac:dyDescent="0.25">
      <c r="A314294" s="1"/>
    </row>
    <row r="314295" spans="1:1" x14ac:dyDescent="0.25">
      <c r="A314295" s="1"/>
    </row>
    <row r="314296" spans="1:1" x14ac:dyDescent="0.25">
      <c r="A314296" s="1"/>
    </row>
    <row r="314297" spans="1:1" x14ac:dyDescent="0.25">
      <c r="A314297" s="1"/>
    </row>
    <row r="314298" spans="1:1" x14ac:dyDescent="0.25">
      <c r="A314298" s="1"/>
    </row>
    <row r="314299" spans="1:1" x14ac:dyDescent="0.25">
      <c r="A314299" s="1"/>
    </row>
    <row r="314300" spans="1:1" x14ac:dyDescent="0.25">
      <c r="A314300" s="1"/>
    </row>
    <row r="314301" spans="1:1" x14ac:dyDescent="0.25">
      <c r="A314301" s="1"/>
    </row>
    <row r="314302" spans="1:1" x14ac:dyDescent="0.25">
      <c r="A314302" s="1"/>
    </row>
    <row r="314303" spans="1:1" x14ac:dyDescent="0.25">
      <c r="A314303" s="1"/>
    </row>
    <row r="314304" spans="1:1" x14ac:dyDescent="0.25">
      <c r="A314304" s="1"/>
    </row>
    <row r="314305" spans="1:1" x14ac:dyDescent="0.25">
      <c r="A314305" s="1"/>
    </row>
    <row r="314306" spans="1:1" x14ac:dyDescent="0.25">
      <c r="A314306" s="1"/>
    </row>
    <row r="314307" spans="1:1" x14ac:dyDescent="0.25">
      <c r="A314307" s="1"/>
    </row>
    <row r="314308" spans="1:1" x14ac:dyDescent="0.25">
      <c r="A314308" s="1"/>
    </row>
    <row r="314309" spans="1:1" x14ac:dyDescent="0.25">
      <c r="A314309" s="1"/>
    </row>
    <row r="314310" spans="1:1" x14ac:dyDescent="0.25">
      <c r="A314310" s="1"/>
    </row>
    <row r="314311" spans="1:1" x14ac:dyDescent="0.25">
      <c r="A314311" s="1"/>
    </row>
    <row r="314312" spans="1:1" x14ac:dyDescent="0.25">
      <c r="A314312" s="1"/>
    </row>
    <row r="314313" spans="1:1" x14ac:dyDescent="0.25">
      <c r="A314313" s="1"/>
    </row>
    <row r="314314" spans="1:1" x14ac:dyDescent="0.25">
      <c r="A314314" s="1"/>
    </row>
    <row r="314315" spans="1:1" x14ac:dyDescent="0.25">
      <c r="A314315" s="1"/>
    </row>
    <row r="314316" spans="1:1" x14ac:dyDescent="0.25">
      <c r="A314316" s="1"/>
    </row>
    <row r="314317" spans="1:1" x14ac:dyDescent="0.25">
      <c r="A314317" s="1"/>
    </row>
    <row r="314318" spans="1:1" x14ac:dyDescent="0.25">
      <c r="A314318" s="1"/>
    </row>
    <row r="314319" spans="1:1" x14ac:dyDescent="0.25">
      <c r="A314319" s="1"/>
    </row>
    <row r="314320" spans="1:1" x14ac:dyDescent="0.25">
      <c r="A314320" s="1"/>
    </row>
    <row r="314321" spans="1:1" x14ac:dyDescent="0.25">
      <c r="A314321" s="1"/>
    </row>
    <row r="314322" spans="1:1" x14ac:dyDescent="0.25">
      <c r="A314322" s="1"/>
    </row>
    <row r="314323" spans="1:1" x14ac:dyDescent="0.25">
      <c r="A314323" s="1"/>
    </row>
    <row r="314324" spans="1:1" x14ac:dyDescent="0.25">
      <c r="A314324" s="1"/>
    </row>
    <row r="314325" spans="1:1" x14ac:dyDescent="0.25">
      <c r="A314325" s="1"/>
    </row>
    <row r="314326" spans="1:1" x14ac:dyDescent="0.25">
      <c r="A314326" s="1"/>
    </row>
    <row r="314327" spans="1:1" x14ac:dyDescent="0.25">
      <c r="A314327" s="1"/>
    </row>
    <row r="314328" spans="1:1" x14ac:dyDescent="0.25">
      <c r="A314328" s="1"/>
    </row>
    <row r="314329" spans="1:1" x14ac:dyDescent="0.25">
      <c r="A314329" s="1"/>
    </row>
    <row r="314330" spans="1:1" x14ac:dyDescent="0.25">
      <c r="A314330" s="1"/>
    </row>
    <row r="314331" spans="1:1" x14ac:dyDescent="0.25">
      <c r="A314331" s="1"/>
    </row>
    <row r="314332" spans="1:1" x14ac:dyDescent="0.25">
      <c r="A314332" s="1"/>
    </row>
    <row r="314333" spans="1:1" x14ac:dyDescent="0.25">
      <c r="A314333" s="1"/>
    </row>
    <row r="314334" spans="1:1" x14ac:dyDescent="0.25">
      <c r="A314334" s="1"/>
    </row>
    <row r="314335" spans="1:1" x14ac:dyDescent="0.25">
      <c r="A314335" s="1"/>
    </row>
    <row r="314336" spans="1:1" x14ac:dyDescent="0.25">
      <c r="A314336" s="1"/>
    </row>
    <row r="314337" spans="1:1" x14ac:dyDescent="0.25">
      <c r="A314337" s="1"/>
    </row>
    <row r="314338" spans="1:1" x14ac:dyDescent="0.25">
      <c r="A314338" s="1"/>
    </row>
    <row r="314339" spans="1:1" x14ac:dyDescent="0.25">
      <c r="A314339" s="1"/>
    </row>
    <row r="314340" spans="1:1" x14ac:dyDescent="0.25">
      <c r="A314340" s="1"/>
    </row>
    <row r="314341" spans="1:1" x14ac:dyDescent="0.25">
      <c r="A314341" s="1"/>
    </row>
    <row r="314342" spans="1:1" x14ac:dyDescent="0.25">
      <c r="A314342" s="1"/>
    </row>
    <row r="314343" spans="1:1" x14ac:dyDescent="0.25">
      <c r="A314343" s="1"/>
    </row>
    <row r="314344" spans="1:1" x14ac:dyDescent="0.25">
      <c r="A314344" s="1"/>
    </row>
    <row r="314345" spans="1:1" x14ac:dyDescent="0.25">
      <c r="A314345" s="1"/>
    </row>
    <row r="314346" spans="1:1" x14ac:dyDescent="0.25">
      <c r="A314346" s="1"/>
    </row>
    <row r="314347" spans="1:1" x14ac:dyDescent="0.25">
      <c r="A314347" s="1"/>
    </row>
    <row r="314348" spans="1:1" x14ac:dyDescent="0.25">
      <c r="A314348" s="1"/>
    </row>
    <row r="314349" spans="1:1" x14ac:dyDescent="0.25">
      <c r="A314349" s="1"/>
    </row>
    <row r="314350" spans="1:1" x14ac:dyDescent="0.25">
      <c r="A314350" s="1"/>
    </row>
    <row r="314351" spans="1:1" x14ac:dyDescent="0.25">
      <c r="A314351" s="1"/>
    </row>
    <row r="314352" spans="1:1" x14ac:dyDescent="0.25">
      <c r="A314352" s="1"/>
    </row>
    <row r="314353" spans="1:1" x14ac:dyDescent="0.25">
      <c r="A314353" s="1"/>
    </row>
    <row r="314354" spans="1:1" x14ac:dyDescent="0.25">
      <c r="A314354" s="1"/>
    </row>
    <row r="314355" spans="1:1" x14ac:dyDescent="0.25">
      <c r="A314355" s="1"/>
    </row>
    <row r="314356" spans="1:1" x14ac:dyDescent="0.25">
      <c r="A314356" s="1"/>
    </row>
    <row r="314357" spans="1:1" x14ac:dyDescent="0.25">
      <c r="A314357" s="1"/>
    </row>
    <row r="314358" spans="1:1" x14ac:dyDescent="0.25">
      <c r="A314358" s="1"/>
    </row>
    <row r="314359" spans="1:1" x14ac:dyDescent="0.25">
      <c r="A314359" s="1"/>
    </row>
    <row r="314360" spans="1:1" x14ac:dyDescent="0.25">
      <c r="A314360" s="1"/>
    </row>
    <row r="314361" spans="1:1" x14ac:dyDescent="0.25">
      <c r="A314361" s="1"/>
    </row>
    <row r="314362" spans="1:1" x14ac:dyDescent="0.25">
      <c r="A314362" s="1"/>
    </row>
    <row r="314363" spans="1:1" x14ac:dyDescent="0.25">
      <c r="A314363" s="1"/>
    </row>
    <row r="314364" spans="1:1" x14ac:dyDescent="0.25">
      <c r="A314364" s="1"/>
    </row>
    <row r="314365" spans="1:1" x14ac:dyDescent="0.25">
      <c r="A314365" s="1"/>
    </row>
    <row r="314366" spans="1:1" x14ac:dyDescent="0.25">
      <c r="A314366" s="1"/>
    </row>
    <row r="314367" spans="1:1" x14ac:dyDescent="0.25">
      <c r="A314367" s="1"/>
    </row>
    <row r="314368" spans="1:1" x14ac:dyDescent="0.25">
      <c r="A314368" s="1"/>
    </row>
    <row r="314369" spans="1:1" x14ac:dyDescent="0.25">
      <c r="A314369" s="1"/>
    </row>
    <row r="314370" spans="1:1" x14ac:dyDescent="0.25">
      <c r="A314370" s="1"/>
    </row>
    <row r="314371" spans="1:1" x14ac:dyDescent="0.25">
      <c r="A314371" s="1"/>
    </row>
    <row r="314372" spans="1:1" x14ac:dyDescent="0.25">
      <c r="A314372" s="1"/>
    </row>
    <row r="314373" spans="1:1" x14ac:dyDescent="0.25">
      <c r="A314373" s="1"/>
    </row>
    <row r="314374" spans="1:1" x14ac:dyDescent="0.25">
      <c r="A314374" s="1"/>
    </row>
    <row r="314375" spans="1:1" x14ac:dyDescent="0.25">
      <c r="A314375" s="1"/>
    </row>
    <row r="314376" spans="1:1" x14ac:dyDescent="0.25">
      <c r="A314376" s="1"/>
    </row>
    <row r="314377" spans="1:1" x14ac:dyDescent="0.25">
      <c r="A314377" s="1"/>
    </row>
    <row r="314378" spans="1:1" x14ac:dyDescent="0.25">
      <c r="A314378" s="1"/>
    </row>
    <row r="314379" spans="1:1" x14ac:dyDescent="0.25">
      <c r="A314379" s="1"/>
    </row>
    <row r="314380" spans="1:1" x14ac:dyDescent="0.25">
      <c r="A314380" s="1"/>
    </row>
    <row r="314381" spans="1:1" x14ac:dyDescent="0.25">
      <c r="A314381" s="1"/>
    </row>
    <row r="314382" spans="1:1" x14ac:dyDescent="0.25">
      <c r="A314382" s="1"/>
    </row>
    <row r="314383" spans="1:1" x14ac:dyDescent="0.25">
      <c r="A314383" s="1"/>
    </row>
    <row r="314384" spans="1:1" x14ac:dyDescent="0.25">
      <c r="A314384" s="1"/>
    </row>
    <row r="314385" spans="1:1" x14ac:dyDescent="0.25">
      <c r="A314385" s="1"/>
    </row>
    <row r="314386" spans="1:1" x14ac:dyDescent="0.25">
      <c r="A314386" s="1"/>
    </row>
    <row r="314387" spans="1:1" x14ac:dyDescent="0.25">
      <c r="A314387" s="1"/>
    </row>
    <row r="314388" spans="1:1" x14ac:dyDescent="0.25">
      <c r="A314388" s="1"/>
    </row>
    <row r="314389" spans="1:1" x14ac:dyDescent="0.25">
      <c r="A314389" s="1"/>
    </row>
    <row r="314390" spans="1:1" x14ac:dyDescent="0.25">
      <c r="A314390" s="1"/>
    </row>
    <row r="314391" spans="1:1" x14ac:dyDescent="0.25">
      <c r="A314391" s="1"/>
    </row>
    <row r="314392" spans="1:1" x14ac:dyDescent="0.25">
      <c r="A314392" s="1"/>
    </row>
    <row r="314393" spans="1:1" x14ac:dyDescent="0.25">
      <c r="A314393" s="1"/>
    </row>
    <row r="314394" spans="1:1" x14ac:dyDescent="0.25">
      <c r="A314394" s="1"/>
    </row>
    <row r="314395" spans="1:1" x14ac:dyDescent="0.25">
      <c r="A314395" s="1"/>
    </row>
    <row r="314396" spans="1:1" x14ac:dyDescent="0.25">
      <c r="A314396" s="1"/>
    </row>
    <row r="314397" spans="1:1" x14ac:dyDescent="0.25">
      <c r="A314397" s="1"/>
    </row>
    <row r="314398" spans="1:1" x14ac:dyDescent="0.25">
      <c r="A314398" s="1"/>
    </row>
    <row r="314399" spans="1:1" x14ac:dyDescent="0.25">
      <c r="A314399" s="1"/>
    </row>
    <row r="314400" spans="1:1" x14ac:dyDescent="0.25">
      <c r="A314400" s="1"/>
    </row>
    <row r="314401" spans="1:1" x14ac:dyDescent="0.25">
      <c r="A314401" s="1"/>
    </row>
    <row r="314402" spans="1:1" x14ac:dyDescent="0.25">
      <c r="A314402" s="1"/>
    </row>
    <row r="314403" spans="1:1" x14ac:dyDescent="0.25">
      <c r="A314403" s="1"/>
    </row>
    <row r="314404" spans="1:1" x14ac:dyDescent="0.25">
      <c r="A314404" s="1"/>
    </row>
    <row r="314405" spans="1:1" x14ac:dyDescent="0.25">
      <c r="A314405" s="1"/>
    </row>
    <row r="314406" spans="1:1" x14ac:dyDescent="0.25">
      <c r="A314406" s="1"/>
    </row>
    <row r="314407" spans="1:1" x14ac:dyDescent="0.25">
      <c r="A314407" s="1"/>
    </row>
    <row r="314408" spans="1:1" x14ac:dyDescent="0.25">
      <c r="A314408" s="1"/>
    </row>
    <row r="314409" spans="1:1" x14ac:dyDescent="0.25">
      <c r="A314409" s="1"/>
    </row>
    <row r="314410" spans="1:1" x14ac:dyDescent="0.25">
      <c r="A314410" s="1"/>
    </row>
    <row r="314411" spans="1:1" x14ac:dyDescent="0.25">
      <c r="A314411" s="1"/>
    </row>
    <row r="314412" spans="1:1" x14ac:dyDescent="0.25">
      <c r="A314412" s="1"/>
    </row>
    <row r="314413" spans="1:1" x14ac:dyDescent="0.25">
      <c r="A314413" s="1"/>
    </row>
    <row r="314414" spans="1:1" x14ac:dyDescent="0.25">
      <c r="A314414" s="1"/>
    </row>
    <row r="314415" spans="1:1" x14ac:dyDescent="0.25">
      <c r="A314415" s="1"/>
    </row>
    <row r="314416" spans="1:1" x14ac:dyDescent="0.25">
      <c r="A314416" s="1"/>
    </row>
    <row r="314417" spans="1:1" x14ac:dyDescent="0.25">
      <c r="A314417" s="1"/>
    </row>
    <row r="314418" spans="1:1" x14ac:dyDescent="0.25">
      <c r="A314418" s="1"/>
    </row>
    <row r="314419" spans="1:1" x14ac:dyDescent="0.25">
      <c r="A314419" s="1"/>
    </row>
    <row r="314420" spans="1:1" x14ac:dyDescent="0.25">
      <c r="A314420" s="1"/>
    </row>
    <row r="314421" spans="1:1" x14ac:dyDescent="0.25">
      <c r="A314421" s="1"/>
    </row>
    <row r="314422" spans="1:1" x14ac:dyDescent="0.25">
      <c r="A314422" s="1"/>
    </row>
    <row r="314423" spans="1:1" x14ac:dyDescent="0.25">
      <c r="A314423" s="1"/>
    </row>
    <row r="314424" spans="1:1" x14ac:dyDescent="0.25">
      <c r="A314424" s="1"/>
    </row>
    <row r="314425" spans="1:1" x14ac:dyDescent="0.25">
      <c r="A314425" s="1"/>
    </row>
    <row r="314426" spans="1:1" x14ac:dyDescent="0.25">
      <c r="A314426" s="1"/>
    </row>
    <row r="314427" spans="1:1" x14ac:dyDescent="0.25">
      <c r="A314427" s="1"/>
    </row>
    <row r="314428" spans="1:1" x14ac:dyDescent="0.25">
      <c r="A314428" s="1"/>
    </row>
    <row r="314429" spans="1:1" x14ac:dyDescent="0.25">
      <c r="A314429" s="1"/>
    </row>
    <row r="314430" spans="1:1" x14ac:dyDescent="0.25">
      <c r="A314430" s="1"/>
    </row>
    <row r="314431" spans="1:1" x14ac:dyDescent="0.25">
      <c r="A314431" s="1"/>
    </row>
    <row r="314432" spans="1:1" x14ac:dyDescent="0.25">
      <c r="A314432" s="1"/>
    </row>
    <row r="314433" spans="1:1" x14ac:dyDescent="0.25">
      <c r="A314433" s="1"/>
    </row>
    <row r="314434" spans="1:1" x14ac:dyDescent="0.25">
      <c r="A314434" s="1"/>
    </row>
    <row r="314435" spans="1:1" x14ac:dyDescent="0.25">
      <c r="A314435" s="1"/>
    </row>
    <row r="314436" spans="1:1" x14ac:dyDescent="0.25">
      <c r="A314436" s="1"/>
    </row>
    <row r="314437" spans="1:1" x14ac:dyDescent="0.25">
      <c r="A314437" s="1"/>
    </row>
    <row r="314438" spans="1:1" x14ac:dyDescent="0.25">
      <c r="A314438" s="1"/>
    </row>
    <row r="314439" spans="1:1" x14ac:dyDescent="0.25">
      <c r="A314439" s="1"/>
    </row>
    <row r="314440" spans="1:1" x14ac:dyDescent="0.25">
      <c r="A314440" s="1"/>
    </row>
    <row r="314441" spans="1:1" x14ac:dyDescent="0.25">
      <c r="A314441" s="1"/>
    </row>
    <row r="314442" spans="1:1" x14ac:dyDescent="0.25">
      <c r="A314442" s="1"/>
    </row>
    <row r="314443" spans="1:1" x14ac:dyDescent="0.25">
      <c r="A314443" s="1"/>
    </row>
    <row r="314444" spans="1:1" x14ac:dyDescent="0.25">
      <c r="A314444" s="1"/>
    </row>
    <row r="314445" spans="1:1" x14ac:dyDescent="0.25">
      <c r="A314445" s="1"/>
    </row>
    <row r="314446" spans="1:1" x14ac:dyDescent="0.25">
      <c r="A314446" s="1"/>
    </row>
    <row r="314447" spans="1:1" x14ac:dyDescent="0.25">
      <c r="A314447" s="1"/>
    </row>
    <row r="314448" spans="1:1" x14ac:dyDescent="0.25">
      <c r="A314448" s="1"/>
    </row>
    <row r="314449" spans="1:1" x14ac:dyDescent="0.25">
      <c r="A314449" s="1"/>
    </row>
    <row r="314450" spans="1:1" x14ac:dyDescent="0.25">
      <c r="A314450" s="1"/>
    </row>
    <row r="314451" spans="1:1" x14ac:dyDescent="0.25">
      <c r="A314451" s="1"/>
    </row>
    <row r="314452" spans="1:1" x14ac:dyDescent="0.25">
      <c r="A314452" s="1"/>
    </row>
    <row r="314453" spans="1:1" x14ac:dyDescent="0.25">
      <c r="A314453" s="1"/>
    </row>
    <row r="314454" spans="1:1" x14ac:dyDescent="0.25">
      <c r="A314454" s="1"/>
    </row>
    <row r="314455" spans="1:1" x14ac:dyDescent="0.25">
      <c r="A314455" s="1"/>
    </row>
    <row r="314456" spans="1:1" x14ac:dyDescent="0.25">
      <c r="A314456" s="1"/>
    </row>
    <row r="314457" spans="1:1" x14ac:dyDescent="0.25">
      <c r="A314457" s="1"/>
    </row>
    <row r="314458" spans="1:1" x14ac:dyDescent="0.25">
      <c r="A314458" s="1"/>
    </row>
    <row r="314459" spans="1:1" x14ac:dyDescent="0.25">
      <c r="A314459" s="1"/>
    </row>
    <row r="314460" spans="1:1" x14ac:dyDescent="0.25">
      <c r="A314460" s="1"/>
    </row>
    <row r="314461" spans="1:1" x14ac:dyDescent="0.25">
      <c r="A314461" s="1"/>
    </row>
    <row r="314462" spans="1:1" x14ac:dyDescent="0.25">
      <c r="A314462" s="1"/>
    </row>
    <row r="314463" spans="1:1" x14ac:dyDescent="0.25">
      <c r="A314463" s="1"/>
    </row>
    <row r="314464" spans="1:1" x14ac:dyDescent="0.25">
      <c r="A314464" s="1"/>
    </row>
    <row r="314465" spans="1:1" x14ac:dyDescent="0.25">
      <c r="A314465" s="1"/>
    </row>
    <row r="314466" spans="1:1" x14ac:dyDescent="0.25">
      <c r="A314466" s="1"/>
    </row>
    <row r="314467" spans="1:1" x14ac:dyDescent="0.25">
      <c r="A314467" s="1"/>
    </row>
    <row r="314468" spans="1:1" x14ac:dyDescent="0.25">
      <c r="A314468" s="1"/>
    </row>
    <row r="314469" spans="1:1" x14ac:dyDescent="0.25">
      <c r="A314469" s="1"/>
    </row>
    <row r="314470" spans="1:1" x14ac:dyDescent="0.25">
      <c r="A314470" s="1"/>
    </row>
    <row r="314471" spans="1:1" x14ac:dyDescent="0.25">
      <c r="A314471" s="1"/>
    </row>
    <row r="314472" spans="1:1" x14ac:dyDescent="0.25">
      <c r="A314472" s="1"/>
    </row>
    <row r="314473" spans="1:1" x14ac:dyDescent="0.25">
      <c r="A314473" s="1"/>
    </row>
    <row r="314474" spans="1:1" x14ac:dyDescent="0.25">
      <c r="A314474" s="1"/>
    </row>
    <row r="314475" spans="1:1" x14ac:dyDescent="0.25">
      <c r="A314475" s="1"/>
    </row>
    <row r="314476" spans="1:1" x14ac:dyDescent="0.25">
      <c r="A314476" s="1"/>
    </row>
    <row r="314477" spans="1:1" x14ac:dyDescent="0.25">
      <c r="A314477" s="1"/>
    </row>
    <row r="314478" spans="1:1" x14ac:dyDescent="0.25">
      <c r="A314478" s="1"/>
    </row>
    <row r="314479" spans="1:1" x14ac:dyDescent="0.25">
      <c r="A314479" s="1"/>
    </row>
    <row r="314480" spans="1:1" x14ac:dyDescent="0.25">
      <c r="A314480" s="1"/>
    </row>
    <row r="314481" spans="1:1" x14ac:dyDescent="0.25">
      <c r="A314481" s="1"/>
    </row>
    <row r="314482" spans="1:1" x14ac:dyDescent="0.25">
      <c r="A314482" s="1"/>
    </row>
    <row r="314483" spans="1:1" x14ac:dyDescent="0.25">
      <c r="A314483" s="1"/>
    </row>
    <row r="314484" spans="1:1" x14ac:dyDescent="0.25">
      <c r="A314484" s="1"/>
    </row>
    <row r="314485" spans="1:1" x14ac:dyDescent="0.25">
      <c r="A314485" s="1"/>
    </row>
    <row r="314486" spans="1:1" x14ac:dyDescent="0.25">
      <c r="A314486" s="1"/>
    </row>
    <row r="314487" spans="1:1" x14ac:dyDescent="0.25">
      <c r="A314487" s="1"/>
    </row>
    <row r="314488" spans="1:1" x14ac:dyDescent="0.25">
      <c r="A314488" s="1"/>
    </row>
    <row r="314489" spans="1:1" x14ac:dyDescent="0.25">
      <c r="A314489" s="1"/>
    </row>
    <row r="314490" spans="1:1" x14ac:dyDescent="0.25">
      <c r="A314490" s="1"/>
    </row>
    <row r="314491" spans="1:1" x14ac:dyDescent="0.25">
      <c r="A314491" s="1"/>
    </row>
    <row r="314492" spans="1:1" x14ac:dyDescent="0.25">
      <c r="A314492" s="1"/>
    </row>
    <row r="314493" spans="1:1" x14ac:dyDescent="0.25">
      <c r="A314493" s="1"/>
    </row>
    <row r="314494" spans="1:1" x14ac:dyDescent="0.25">
      <c r="A314494" s="1"/>
    </row>
    <row r="314495" spans="1:1" x14ac:dyDescent="0.25">
      <c r="A314495" s="1"/>
    </row>
    <row r="314496" spans="1:1" x14ac:dyDescent="0.25">
      <c r="A314496" s="1"/>
    </row>
    <row r="314497" spans="1:1" x14ac:dyDescent="0.25">
      <c r="A314497" s="1"/>
    </row>
    <row r="314498" spans="1:1" x14ac:dyDescent="0.25">
      <c r="A314498" s="1"/>
    </row>
    <row r="314499" spans="1:1" x14ac:dyDescent="0.25">
      <c r="A314499" s="1"/>
    </row>
    <row r="314500" spans="1:1" x14ac:dyDescent="0.25">
      <c r="A314500" s="1"/>
    </row>
    <row r="314501" spans="1:1" x14ac:dyDescent="0.25">
      <c r="A314501" s="1"/>
    </row>
    <row r="314502" spans="1:1" x14ac:dyDescent="0.25">
      <c r="A314502" s="1"/>
    </row>
    <row r="314503" spans="1:1" x14ac:dyDescent="0.25">
      <c r="A314503" s="1"/>
    </row>
    <row r="314504" spans="1:1" x14ac:dyDescent="0.25">
      <c r="A314504" s="1"/>
    </row>
    <row r="314505" spans="1:1" x14ac:dyDescent="0.25">
      <c r="A314505" s="1"/>
    </row>
    <row r="314506" spans="1:1" x14ac:dyDescent="0.25">
      <c r="A314506" s="1"/>
    </row>
    <row r="314507" spans="1:1" x14ac:dyDescent="0.25">
      <c r="A314507" s="1"/>
    </row>
    <row r="314508" spans="1:1" x14ac:dyDescent="0.25">
      <c r="A314508" s="1"/>
    </row>
    <row r="314509" spans="1:1" x14ac:dyDescent="0.25">
      <c r="A314509" s="1"/>
    </row>
    <row r="314510" spans="1:1" x14ac:dyDescent="0.25">
      <c r="A314510" s="1"/>
    </row>
    <row r="314511" spans="1:1" x14ac:dyDescent="0.25">
      <c r="A314511" s="1"/>
    </row>
    <row r="314512" spans="1:1" x14ac:dyDescent="0.25">
      <c r="A314512" s="1"/>
    </row>
    <row r="314513" spans="1:1" x14ac:dyDescent="0.25">
      <c r="A314513" s="1"/>
    </row>
    <row r="314514" spans="1:1" x14ac:dyDescent="0.25">
      <c r="A314514" s="1"/>
    </row>
    <row r="314515" spans="1:1" x14ac:dyDescent="0.25">
      <c r="A314515" s="1"/>
    </row>
    <row r="314516" spans="1:1" x14ac:dyDescent="0.25">
      <c r="A314516" s="1"/>
    </row>
    <row r="314517" spans="1:1" x14ac:dyDescent="0.25">
      <c r="A314517" s="1"/>
    </row>
    <row r="314518" spans="1:1" x14ac:dyDescent="0.25">
      <c r="A314518" s="1"/>
    </row>
    <row r="314519" spans="1:1" x14ac:dyDescent="0.25">
      <c r="A314519" s="1"/>
    </row>
    <row r="314520" spans="1:1" x14ac:dyDescent="0.25">
      <c r="A314520" s="1"/>
    </row>
    <row r="314521" spans="1:1" x14ac:dyDescent="0.25">
      <c r="A314521" s="1"/>
    </row>
    <row r="314522" spans="1:1" x14ac:dyDescent="0.25">
      <c r="A314522" s="1"/>
    </row>
    <row r="314523" spans="1:1" x14ac:dyDescent="0.25">
      <c r="A314523" s="1"/>
    </row>
    <row r="314524" spans="1:1" x14ac:dyDescent="0.25">
      <c r="A314524" s="1"/>
    </row>
    <row r="314525" spans="1:1" x14ac:dyDescent="0.25">
      <c r="A314525" s="1"/>
    </row>
    <row r="314526" spans="1:1" x14ac:dyDescent="0.25">
      <c r="A314526" s="1"/>
    </row>
    <row r="314527" spans="1:1" x14ac:dyDescent="0.25">
      <c r="A314527" s="1"/>
    </row>
    <row r="314528" spans="1:1" x14ac:dyDescent="0.25">
      <c r="A314528" s="1"/>
    </row>
    <row r="314529" spans="1:1" x14ac:dyDescent="0.25">
      <c r="A314529" s="1"/>
    </row>
    <row r="314530" spans="1:1" x14ac:dyDescent="0.25">
      <c r="A314530" s="1"/>
    </row>
    <row r="314531" spans="1:1" x14ac:dyDescent="0.25">
      <c r="A314531" s="1"/>
    </row>
    <row r="314532" spans="1:1" x14ac:dyDescent="0.25">
      <c r="A314532" s="1"/>
    </row>
    <row r="314533" spans="1:1" x14ac:dyDescent="0.25">
      <c r="A314533" s="1"/>
    </row>
    <row r="314534" spans="1:1" x14ac:dyDescent="0.25">
      <c r="A314534" s="1"/>
    </row>
    <row r="314535" spans="1:1" x14ac:dyDescent="0.25">
      <c r="A314535" s="1"/>
    </row>
    <row r="314536" spans="1:1" x14ac:dyDescent="0.25">
      <c r="A314536" s="1"/>
    </row>
    <row r="314537" spans="1:1" x14ac:dyDescent="0.25">
      <c r="A314537" s="1"/>
    </row>
    <row r="314538" spans="1:1" x14ac:dyDescent="0.25">
      <c r="A314538" s="1"/>
    </row>
    <row r="314539" spans="1:1" x14ac:dyDescent="0.25">
      <c r="A314539" s="1"/>
    </row>
    <row r="314540" spans="1:1" x14ac:dyDescent="0.25">
      <c r="A314540" s="1"/>
    </row>
    <row r="314541" spans="1:1" x14ac:dyDescent="0.25">
      <c r="A314541" s="1"/>
    </row>
    <row r="314542" spans="1:1" x14ac:dyDescent="0.25">
      <c r="A314542" s="1"/>
    </row>
    <row r="314543" spans="1:1" x14ac:dyDescent="0.25">
      <c r="A314543" s="1"/>
    </row>
    <row r="314544" spans="1:1" x14ac:dyDescent="0.25">
      <c r="A314544" s="1"/>
    </row>
    <row r="314545" spans="1:1" x14ac:dyDescent="0.25">
      <c r="A314545" s="1"/>
    </row>
    <row r="314546" spans="1:1" x14ac:dyDescent="0.25">
      <c r="A314546" s="1"/>
    </row>
    <row r="314547" spans="1:1" x14ac:dyDescent="0.25">
      <c r="A314547" s="1"/>
    </row>
    <row r="314548" spans="1:1" x14ac:dyDescent="0.25">
      <c r="A314548" s="1"/>
    </row>
    <row r="314549" spans="1:1" x14ac:dyDescent="0.25">
      <c r="A314549" s="1"/>
    </row>
    <row r="314550" spans="1:1" x14ac:dyDescent="0.25">
      <c r="A314550" s="1"/>
    </row>
    <row r="314551" spans="1:1" x14ac:dyDescent="0.25">
      <c r="A314551" s="1"/>
    </row>
    <row r="314552" spans="1:1" x14ac:dyDescent="0.25">
      <c r="A314552" s="1"/>
    </row>
    <row r="314553" spans="1:1" x14ac:dyDescent="0.25">
      <c r="A314553" s="1"/>
    </row>
    <row r="314554" spans="1:1" x14ac:dyDescent="0.25">
      <c r="A314554" s="1"/>
    </row>
    <row r="314555" spans="1:1" x14ac:dyDescent="0.25">
      <c r="A314555" s="1"/>
    </row>
    <row r="314556" spans="1:1" x14ac:dyDescent="0.25">
      <c r="A314556" s="1"/>
    </row>
    <row r="314557" spans="1:1" x14ac:dyDescent="0.25">
      <c r="A314557" s="1"/>
    </row>
    <row r="314558" spans="1:1" x14ac:dyDescent="0.25">
      <c r="A314558" s="1"/>
    </row>
    <row r="314559" spans="1:1" x14ac:dyDescent="0.25">
      <c r="A314559" s="1"/>
    </row>
    <row r="314560" spans="1:1" x14ac:dyDescent="0.25">
      <c r="A314560" s="1"/>
    </row>
    <row r="314561" spans="1:1" x14ac:dyDescent="0.25">
      <c r="A314561" s="1"/>
    </row>
    <row r="314562" spans="1:1" x14ac:dyDescent="0.25">
      <c r="A314562" s="1"/>
    </row>
    <row r="314563" spans="1:1" x14ac:dyDescent="0.25">
      <c r="A314563" s="1"/>
    </row>
    <row r="314564" spans="1:1" x14ac:dyDescent="0.25">
      <c r="A314564" s="1"/>
    </row>
    <row r="314565" spans="1:1" x14ac:dyDescent="0.25">
      <c r="A314565" s="1"/>
    </row>
    <row r="314566" spans="1:1" x14ac:dyDescent="0.25">
      <c r="A314566" s="1"/>
    </row>
    <row r="314567" spans="1:1" x14ac:dyDescent="0.25">
      <c r="A314567" s="1"/>
    </row>
    <row r="314568" spans="1:1" x14ac:dyDescent="0.25">
      <c r="A314568" s="1"/>
    </row>
    <row r="314569" spans="1:1" x14ac:dyDescent="0.25">
      <c r="A314569" s="1"/>
    </row>
    <row r="314570" spans="1:1" x14ac:dyDescent="0.25">
      <c r="A314570" s="1"/>
    </row>
    <row r="314571" spans="1:1" x14ac:dyDescent="0.25">
      <c r="A314571" s="1"/>
    </row>
    <row r="314572" spans="1:1" x14ac:dyDescent="0.25">
      <c r="A314572" s="1"/>
    </row>
    <row r="314573" spans="1:1" x14ac:dyDescent="0.25">
      <c r="A314573" s="1"/>
    </row>
    <row r="314574" spans="1:1" x14ac:dyDescent="0.25">
      <c r="A314574" s="1"/>
    </row>
    <row r="314575" spans="1:1" x14ac:dyDescent="0.25">
      <c r="A314575" s="1"/>
    </row>
    <row r="314576" spans="1:1" x14ac:dyDescent="0.25">
      <c r="A314576" s="1"/>
    </row>
    <row r="314577" spans="1:1" x14ac:dyDescent="0.25">
      <c r="A314577" s="1"/>
    </row>
    <row r="314578" spans="1:1" x14ac:dyDescent="0.25">
      <c r="A314578" s="1"/>
    </row>
    <row r="314579" spans="1:1" x14ac:dyDescent="0.25">
      <c r="A314579" s="1"/>
    </row>
    <row r="314580" spans="1:1" x14ac:dyDescent="0.25">
      <c r="A314580" s="1"/>
    </row>
    <row r="314581" spans="1:1" x14ac:dyDescent="0.25">
      <c r="A314581" s="1"/>
    </row>
    <row r="314582" spans="1:1" x14ac:dyDescent="0.25">
      <c r="A314582" s="1"/>
    </row>
    <row r="314583" spans="1:1" x14ac:dyDescent="0.25">
      <c r="A314583" s="1"/>
    </row>
    <row r="314584" spans="1:1" x14ac:dyDescent="0.25">
      <c r="A314584" s="1"/>
    </row>
    <row r="314585" spans="1:1" x14ac:dyDescent="0.25">
      <c r="A314585" s="1"/>
    </row>
    <row r="314586" spans="1:1" x14ac:dyDescent="0.25">
      <c r="A314586" s="1"/>
    </row>
    <row r="314587" spans="1:1" x14ac:dyDescent="0.25">
      <c r="A314587" s="1"/>
    </row>
    <row r="314588" spans="1:1" x14ac:dyDescent="0.25">
      <c r="A314588" s="1"/>
    </row>
    <row r="314589" spans="1:1" x14ac:dyDescent="0.25">
      <c r="A314589" s="1"/>
    </row>
    <row r="314590" spans="1:1" x14ac:dyDescent="0.25">
      <c r="A314590" s="1"/>
    </row>
    <row r="314591" spans="1:1" x14ac:dyDescent="0.25">
      <c r="A314591" s="1"/>
    </row>
    <row r="314592" spans="1:1" x14ac:dyDescent="0.25">
      <c r="A314592" s="1"/>
    </row>
    <row r="314593" spans="1:1" x14ac:dyDescent="0.25">
      <c r="A314593" s="1"/>
    </row>
    <row r="314594" spans="1:1" x14ac:dyDescent="0.25">
      <c r="A314594" s="1"/>
    </row>
    <row r="314595" spans="1:1" x14ac:dyDescent="0.25">
      <c r="A314595" s="1"/>
    </row>
    <row r="314596" spans="1:1" x14ac:dyDescent="0.25">
      <c r="A314596" s="1"/>
    </row>
    <row r="314597" spans="1:1" x14ac:dyDescent="0.25">
      <c r="A314597" s="1"/>
    </row>
    <row r="314598" spans="1:1" x14ac:dyDescent="0.25">
      <c r="A314598" s="1"/>
    </row>
    <row r="314599" spans="1:1" x14ac:dyDescent="0.25">
      <c r="A314599" s="1"/>
    </row>
    <row r="314600" spans="1:1" x14ac:dyDescent="0.25">
      <c r="A314600" s="1"/>
    </row>
    <row r="314601" spans="1:1" x14ac:dyDescent="0.25">
      <c r="A314601" s="1"/>
    </row>
    <row r="314602" spans="1:1" x14ac:dyDescent="0.25">
      <c r="A314602" s="1"/>
    </row>
    <row r="314603" spans="1:1" x14ac:dyDescent="0.25">
      <c r="A314603" s="1"/>
    </row>
    <row r="314604" spans="1:1" x14ac:dyDescent="0.25">
      <c r="A314604" s="1"/>
    </row>
    <row r="314605" spans="1:1" x14ac:dyDescent="0.25">
      <c r="A314605" s="1"/>
    </row>
    <row r="314606" spans="1:1" x14ac:dyDescent="0.25">
      <c r="A314606" s="1"/>
    </row>
    <row r="314607" spans="1:1" x14ac:dyDescent="0.25">
      <c r="A314607" s="1"/>
    </row>
    <row r="314608" spans="1:1" x14ac:dyDescent="0.25">
      <c r="A314608" s="1"/>
    </row>
    <row r="314609" spans="1:1" x14ac:dyDescent="0.25">
      <c r="A314609" s="1"/>
    </row>
    <row r="314610" spans="1:1" x14ac:dyDescent="0.25">
      <c r="A314610" s="1"/>
    </row>
    <row r="314611" spans="1:1" x14ac:dyDescent="0.25">
      <c r="A314611" s="1"/>
    </row>
    <row r="314612" spans="1:1" x14ac:dyDescent="0.25">
      <c r="A314612" s="1"/>
    </row>
    <row r="314613" spans="1:1" x14ac:dyDescent="0.25">
      <c r="A314613" s="1"/>
    </row>
    <row r="314614" spans="1:1" x14ac:dyDescent="0.25">
      <c r="A314614" s="1"/>
    </row>
    <row r="314615" spans="1:1" x14ac:dyDescent="0.25">
      <c r="A314615" s="1"/>
    </row>
    <row r="314616" spans="1:1" x14ac:dyDescent="0.25">
      <c r="A314616" s="1"/>
    </row>
    <row r="314617" spans="1:1" x14ac:dyDescent="0.25">
      <c r="A314617" s="1"/>
    </row>
    <row r="314618" spans="1:1" x14ac:dyDescent="0.25">
      <c r="A314618" s="1"/>
    </row>
    <row r="314619" spans="1:1" x14ac:dyDescent="0.25">
      <c r="A314619" s="1"/>
    </row>
    <row r="314620" spans="1:1" x14ac:dyDescent="0.25">
      <c r="A314620" s="1"/>
    </row>
    <row r="314621" spans="1:1" x14ac:dyDescent="0.25">
      <c r="A314621" s="1"/>
    </row>
    <row r="314622" spans="1:1" x14ac:dyDescent="0.25">
      <c r="A314622" s="1"/>
    </row>
    <row r="314623" spans="1:1" x14ac:dyDescent="0.25">
      <c r="A314623" s="1"/>
    </row>
    <row r="314624" spans="1:1" x14ac:dyDescent="0.25">
      <c r="A314624" s="1"/>
    </row>
    <row r="314625" spans="1:1" x14ac:dyDescent="0.25">
      <c r="A314625" s="1"/>
    </row>
    <row r="314626" spans="1:1" x14ac:dyDescent="0.25">
      <c r="A314626" s="1"/>
    </row>
    <row r="314627" spans="1:1" x14ac:dyDescent="0.25">
      <c r="A314627" s="1"/>
    </row>
    <row r="314628" spans="1:1" x14ac:dyDescent="0.25">
      <c r="A314628" s="1"/>
    </row>
    <row r="314629" spans="1:1" x14ac:dyDescent="0.25">
      <c r="A314629" s="1"/>
    </row>
    <row r="314630" spans="1:1" x14ac:dyDescent="0.25">
      <c r="A314630" s="1"/>
    </row>
    <row r="314631" spans="1:1" x14ac:dyDescent="0.25">
      <c r="A314631" s="1"/>
    </row>
    <row r="314632" spans="1:1" x14ac:dyDescent="0.25">
      <c r="A314632" s="1"/>
    </row>
    <row r="314633" spans="1:1" x14ac:dyDescent="0.25">
      <c r="A314633" s="1"/>
    </row>
    <row r="314634" spans="1:1" x14ac:dyDescent="0.25">
      <c r="A314634" s="1"/>
    </row>
    <row r="314635" spans="1:1" x14ac:dyDescent="0.25">
      <c r="A314635" s="1"/>
    </row>
    <row r="314636" spans="1:1" x14ac:dyDescent="0.25">
      <c r="A314636" s="1"/>
    </row>
    <row r="314637" spans="1:1" x14ac:dyDescent="0.25">
      <c r="A314637" s="1"/>
    </row>
    <row r="314638" spans="1:1" x14ac:dyDescent="0.25">
      <c r="A314638" s="1"/>
    </row>
    <row r="314639" spans="1:1" x14ac:dyDescent="0.25">
      <c r="A314639" s="1"/>
    </row>
    <row r="314640" spans="1:1" x14ac:dyDescent="0.25">
      <c r="A314640" s="1"/>
    </row>
    <row r="314641" spans="1:1" x14ac:dyDescent="0.25">
      <c r="A314641" s="1"/>
    </row>
    <row r="314642" spans="1:1" x14ac:dyDescent="0.25">
      <c r="A314642" s="1"/>
    </row>
    <row r="314643" spans="1:1" x14ac:dyDescent="0.25">
      <c r="A314643" s="1"/>
    </row>
    <row r="314644" spans="1:1" x14ac:dyDescent="0.25">
      <c r="A314644" s="1"/>
    </row>
    <row r="314645" spans="1:1" x14ac:dyDescent="0.25">
      <c r="A314645" s="1"/>
    </row>
    <row r="314646" spans="1:1" x14ac:dyDescent="0.25">
      <c r="A314646" s="1"/>
    </row>
    <row r="314647" spans="1:1" x14ac:dyDescent="0.25">
      <c r="A314647" s="1"/>
    </row>
    <row r="314648" spans="1:1" x14ac:dyDescent="0.25">
      <c r="A314648" s="1"/>
    </row>
    <row r="314649" spans="1:1" x14ac:dyDescent="0.25">
      <c r="A314649" s="1"/>
    </row>
    <row r="314650" spans="1:1" x14ac:dyDescent="0.25">
      <c r="A314650" s="1"/>
    </row>
    <row r="314651" spans="1:1" x14ac:dyDescent="0.25">
      <c r="A314651" s="1"/>
    </row>
    <row r="314652" spans="1:1" x14ac:dyDescent="0.25">
      <c r="A314652" s="1"/>
    </row>
    <row r="314653" spans="1:1" x14ac:dyDescent="0.25">
      <c r="A314653" s="1"/>
    </row>
    <row r="314654" spans="1:1" x14ac:dyDescent="0.25">
      <c r="A314654" s="1"/>
    </row>
    <row r="314655" spans="1:1" x14ac:dyDescent="0.25">
      <c r="A314655" s="1"/>
    </row>
    <row r="314656" spans="1:1" x14ac:dyDescent="0.25">
      <c r="A314656" s="1"/>
    </row>
    <row r="314657" spans="1:1" x14ac:dyDescent="0.25">
      <c r="A314657" s="1"/>
    </row>
    <row r="314658" spans="1:1" x14ac:dyDescent="0.25">
      <c r="A314658" s="1"/>
    </row>
    <row r="314659" spans="1:1" x14ac:dyDescent="0.25">
      <c r="A314659" s="1"/>
    </row>
    <row r="314660" spans="1:1" x14ac:dyDescent="0.25">
      <c r="A314660" s="1"/>
    </row>
    <row r="314661" spans="1:1" x14ac:dyDescent="0.25">
      <c r="A314661" s="1"/>
    </row>
    <row r="314662" spans="1:1" x14ac:dyDescent="0.25">
      <c r="A314662" s="1"/>
    </row>
    <row r="314663" spans="1:1" x14ac:dyDescent="0.25">
      <c r="A314663" s="1"/>
    </row>
    <row r="314664" spans="1:1" x14ac:dyDescent="0.25">
      <c r="A314664" s="1"/>
    </row>
    <row r="314665" spans="1:1" x14ac:dyDescent="0.25">
      <c r="A314665" s="1"/>
    </row>
    <row r="314666" spans="1:1" x14ac:dyDescent="0.25">
      <c r="A314666" s="1"/>
    </row>
    <row r="314667" spans="1:1" x14ac:dyDescent="0.25">
      <c r="A314667" s="1"/>
    </row>
    <row r="314668" spans="1:1" x14ac:dyDescent="0.25">
      <c r="A314668" s="1"/>
    </row>
    <row r="314669" spans="1:1" x14ac:dyDescent="0.25">
      <c r="A314669" s="1"/>
    </row>
    <row r="314670" spans="1:1" x14ac:dyDescent="0.25">
      <c r="A314670" s="1"/>
    </row>
    <row r="314671" spans="1:1" x14ac:dyDescent="0.25">
      <c r="A314671" s="1"/>
    </row>
    <row r="314672" spans="1:1" x14ac:dyDescent="0.25">
      <c r="A314672" s="1"/>
    </row>
    <row r="314673" spans="1:1" x14ac:dyDescent="0.25">
      <c r="A314673" s="1"/>
    </row>
    <row r="314674" spans="1:1" x14ac:dyDescent="0.25">
      <c r="A314674" s="1"/>
    </row>
    <row r="314675" spans="1:1" x14ac:dyDescent="0.25">
      <c r="A314675" s="1"/>
    </row>
    <row r="314676" spans="1:1" x14ac:dyDescent="0.25">
      <c r="A314676" s="1"/>
    </row>
    <row r="314677" spans="1:1" x14ac:dyDescent="0.25">
      <c r="A314677" s="1"/>
    </row>
    <row r="314678" spans="1:1" x14ac:dyDescent="0.25">
      <c r="A314678" s="1"/>
    </row>
    <row r="314679" spans="1:1" x14ac:dyDescent="0.25">
      <c r="A314679" s="1"/>
    </row>
    <row r="314680" spans="1:1" x14ac:dyDescent="0.25">
      <c r="A314680" s="1"/>
    </row>
    <row r="314681" spans="1:1" x14ac:dyDescent="0.25">
      <c r="A314681" s="1"/>
    </row>
    <row r="314682" spans="1:1" x14ac:dyDescent="0.25">
      <c r="A314682" s="1"/>
    </row>
    <row r="314683" spans="1:1" x14ac:dyDescent="0.25">
      <c r="A314683" s="1"/>
    </row>
    <row r="314684" spans="1:1" x14ac:dyDescent="0.25">
      <c r="A314684" s="1"/>
    </row>
    <row r="314685" spans="1:1" x14ac:dyDescent="0.25">
      <c r="A314685" s="1"/>
    </row>
    <row r="314686" spans="1:1" x14ac:dyDescent="0.25">
      <c r="A314686" s="1"/>
    </row>
    <row r="314687" spans="1:1" x14ac:dyDescent="0.25">
      <c r="A314687" s="1"/>
    </row>
    <row r="314688" spans="1:1" x14ac:dyDescent="0.25">
      <c r="A314688" s="1"/>
    </row>
    <row r="314689" spans="1:1" x14ac:dyDescent="0.25">
      <c r="A314689" s="1"/>
    </row>
    <row r="314690" spans="1:1" x14ac:dyDescent="0.25">
      <c r="A314690" s="1"/>
    </row>
    <row r="314691" spans="1:1" x14ac:dyDescent="0.25">
      <c r="A314691" s="1"/>
    </row>
    <row r="314692" spans="1:1" x14ac:dyDescent="0.25">
      <c r="A314692" s="1"/>
    </row>
    <row r="314693" spans="1:1" x14ac:dyDescent="0.25">
      <c r="A314693" s="1"/>
    </row>
    <row r="314694" spans="1:1" x14ac:dyDescent="0.25">
      <c r="A314694" s="1"/>
    </row>
    <row r="314695" spans="1:1" x14ac:dyDescent="0.25">
      <c r="A314695" s="1"/>
    </row>
    <row r="314696" spans="1:1" x14ac:dyDescent="0.25">
      <c r="A314696" s="1"/>
    </row>
    <row r="314697" spans="1:1" x14ac:dyDescent="0.25">
      <c r="A314697" s="1"/>
    </row>
    <row r="314698" spans="1:1" x14ac:dyDescent="0.25">
      <c r="A314698" s="1"/>
    </row>
    <row r="314699" spans="1:1" x14ac:dyDescent="0.25">
      <c r="A314699" s="1"/>
    </row>
    <row r="314700" spans="1:1" x14ac:dyDescent="0.25">
      <c r="A314700" s="1"/>
    </row>
    <row r="314701" spans="1:1" x14ac:dyDescent="0.25">
      <c r="A314701" s="1"/>
    </row>
    <row r="314702" spans="1:1" x14ac:dyDescent="0.25">
      <c r="A314702" s="1"/>
    </row>
    <row r="314703" spans="1:1" x14ac:dyDescent="0.25">
      <c r="A314703" s="1"/>
    </row>
    <row r="314704" spans="1:1" x14ac:dyDescent="0.25">
      <c r="A314704" s="1"/>
    </row>
    <row r="314705" spans="1:1" x14ac:dyDescent="0.25">
      <c r="A314705" s="1"/>
    </row>
    <row r="314706" spans="1:1" x14ac:dyDescent="0.25">
      <c r="A314706" s="1"/>
    </row>
    <row r="314707" spans="1:1" x14ac:dyDescent="0.25">
      <c r="A314707" s="1"/>
    </row>
    <row r="314708" spans="1:1" x14ac:dyDescent="0.25">
      <c r="A314708" s="1"/>
    </row>
    <row r="314709" spans="1:1" x14ac:dyDescent="0.25">
      <c r="A314709" s="1"/>
    </row>
    <row r="314710" spans="1:1" x14ac:dyDescent="0.25">
      <c r="A314710" s="1"/>
    </row>
    <row r="314711" spans="1:1" x14ac:dyDescent="0.25">
      <c r="A314711" s="1"/>
    </row>
    <row r="314712" spans="1:1" x14ac:dyDescent="0.25">
      <c r="A314712" s="1"/>
    </row>
    <row r="314713" spans="1:1" x14ac:dyDescent="0.25">
      <c r="A314713" s="1"/>
    </row>
    <row r="314714" spans="1:1" x14ac:dyDescent="0.25">
      <c r="A314714" s="1"/>
    </row>
    <row r="314715" spans="1:1" x14ac:dyDescent="0.25">
      <c r="A314715" s="1"/>
    </row>
    <row r="314716" spans="1:1" x14ac:dyDescent="0.25">
      <c r="A314716" s="1"/>
    </row>
    <row r="314717" spans="1:1" x14ac:dyDescent="0.25">
      <c r="A314717" s="1"/>
    </row>
    <row r="314718" spans="1:1" x14ac:dyDescent="0.25">
      <c r="A314718" s="1"/>
    </row>
    <row r="314719" spans="1:1" x14ac:dyDescent="0.25">
      <c r="A314719" s="1"/>
    </row>
    <row r="314720" spans="1:1" x14ac:dyDescent="0.25">
      <c r="A314720" s="1"/>
    </row>
    <row r="314721" spans="1:1" x14ac:dyDescent="0.25">
      <c r="A314721" s="1"/>
    </row>
    <row r="314722" spans="1:1" x14ac:dyDescent="0.25">
      <c r="A314722" s="1"/>
    </row>
    <row r="314723" spans="1:1" x14ac:dyDescent="0.25">
      <c r="A314723" s="1"/>
    </row>
    <row r="314724" spans="1:1" x14ac:dyDescent="0.25">
      <c r="A314724" s="1"/>
    </row>
    <row r="314725" spans="1:1" x14ac:dyDescent="0.25">
      <c r="A314725" s="1"/>
    </row>
    <row r="314726" spans="1:1" x14ac:dyDescent="0.25">
      <c r="A314726" s="1"/>
    </row>
    <row r="314727" spans="1:1" x14ac:dyDescent="0.25">
      <c r="A314727" s="1"/>
    </row>
    <row r="314728" spans="1:1" x14ac:dyDescent="0.25">
      <c r="A314728" s="1"/>
    </row>
    <row r="314729" spans="1:1" x14ac:dyDescent="0.25">
      <c r="A314729" s="1"/>
    </row>
    <row r="314730" spans="1:1" x14ac:dyDescent="0.25">
      <c r="A314730" s="1"/>
    </row>
    <row r="314731" spans="1:1" x14ac:dyDescent="0.25">
      <c r="A314731" s="1"/>
    </row>
    <row r="314732" spans="1:1" x14ac:dyDescent="0.25">
      <c r="A314732" s="1"/>
    </row>
    <row r="314733" spans="1:1" x14ac:dyDescent="0.25">
      <c r="A314733" s="1"/>
    </row>
    <row r="314734" spans="1:1" x14ac:dyDescent="0.25">
      <c r="A314734" s="1"/>
    </row>
    <row r="314735" spans="1:1" x14ac:dyDescent="0.25">
      <c r="A314735" s="1"/>
    </row>
    <row r="314736" spans="1:1" x14ac:dyDescent="0.25">
      <c r="A314736" s="1"/>
    </row>
    <row r="314737" spans="1:1" x14ac:dyDescent="0.25">
      <c r="A314737" s="1"/>
    </row>
    <row r="314738" spans="1:1" x14ac:dyDescent="0.25">
      <c r="A314738" s="1"/>
    </row>
    <row r="314739" spans="1:1" x14ac:dyDescent="0.25">
      <c r="A314739" s="1"/>
    </row>
    <row r="314740" spans="1:1" x14ac:dyDescent="0.25">
      <c r="A314740" s="1"/>
    </row>
    <row r="314741" spans="1:1" x14ac:dyDescent="0.25">
      <c r="A314741" s="1"/>
    </row>
    <row r="314742" spans="1:1" x14ac:dyDescent="0.25">
      <c r="A314742" s="1"/>
    </row>
    <row r="314743" spans="1:1" x14ac:dyDescent="0.25">
      <c r="A314743" s="1"/>
    </row>
    <row r="314744" spans="1:1" x14ac:dyDescent="0.25">
      <c r="A314744" s="1"/>
    </row>
    <row r="314745" spans="1:1" x14ac:dyDescent="0.25">
      <c r="A314745" s="1"/>
    </row>
    <row r="314746" spans="1:1" x14ac:dyDescent="0.25">
      <c r="A314746" s="1"/>
    </row>
    <row r="314747" spans="1:1" x14ac:dyDescent="0.25">
      <c r="A314747" s="1"/>
    </row>
    <row r="314748" spans="1:1" x14ac:dyDescent="0.25">
      <c r="A314748" s="1"/>
    </row>
    <row r="314749" spans="1:1" x14ac:dyDescent="0.25">
      <c r="A314749" s="1"/>
    </row>
    <row r="314750" spans="1:1" x14ac:dyDescent="0.25">
      <c r="A314750" s="1"/>
    </row>
    <row r="314751" spans="1:1" x14ac:dyDescent="0.25">
      <c r="A314751" s="1"/>
    </row>
    <row r="314752" spans="1:1" x14ac:dyDescent="0.25">
      <c r="A314752" s="1"/>
    </row>
    <row r="314753" spans="1:1" x14ac:dyDescent="0.25">
      <c r="A314753" s="1"/>
    </row>
    <row r="314754" spans="1:1" x14ac:dyDescent="0.25">
      <c r="A314754" s="1"/>
    </row>
    <row r="314755" spans="1:1" x14ac:dyDescent="0.25">
      <c r="A314755" s="1"/>
    </row>
    <row r="314756" spans="1:1" x14ac:dyDescent="0.25">
      <c r="A314756" s="1"/>
    </row>
    <row r="314757" spans="1:1" x14ac:dyDescent="0.25">
      <c r="A314757" s="1"/>
    </row>
    <row r="314758" spans="1:1" x14ac:dyDescent="0.25">
      <c r="A314758" s="1"/>
    </row>
    <row r="314759" spans="1:1" x14ac:dyDescent="0.25">
      <c r="A314759" s="1"/>
    </row>
    <row r="314760" spans="1:1" x14ac:dyDescent="0.25">
      <c r="A314760" s="1"/>
    </row>
    <row r="314761" spans="1:1" x14ac:dyDescent="0.25">
      <c r="A314761" s="1"/>
    </row>
    <row r="314762" spans="1:1" x14ac:dyDescent="0.25">
      <c r="A314762" s="1"/>
    </row>
    <row r="314763" spans="1:1" x14ac:dyDescent="0.25">
      <c r="A314763" s="1"/>
    </row>
    <row r="314764" spans="1:1" x14ac:dyDescent="0.25">
      <c r="A314764" s="1"/>
    </row>
    <row r="314765" spans="1:1" x14ac:dyDescent="0.25">
      <c r="A314765" s="1"/>
    </row>
    <row r="314766" spans="1:1" x14ac:dyDescent="0.25">
      <c r="A314766" s="1"/>
    </row>
    <row r="314767" spans="1:1" x14ac:dyDescent="0.25">
      <c r="A314767" s="1"/>
    </row>
    <row r="314768" spans="1:1" x14ac:dyDescent="0.25">
      <c r="A314768" s="1"/>
    </row>
    <row r="314769" spans="1:1" x14ac:dyDescent="0.25">
      <c r="A314769" s="1"/>
    </row>
    <row r="314770" spans="1:1" x14ac:dyDescent="0.25">
      <c r="A314770" s="1"/>
    </row>
    <row r="314771" spans="1:1" x14ac:dyDescent="0.25">
      <c r="A314771" s="1"/>
    </row>
    <row r="314772" spans="1:1" x14ac:dyDescent="0.25">
      <c r="A314772" s="1"/>
    </row>
    <row r="314773" spans="1:1" x14ac:dyDescent="0.25">
      <c r="A314773" s="1"/>
    </row>
    <row r="314774" spans="1:1" x14ac:dyDescent="0.25">
      <c r="A314774" s="1"/>
    </row>
    <row r="314775" spans="1:1" x14ac:dyDescent="0.25">
      <c r="A314775" s="1"/>
    </row>
    <row r="314776" spans="1:1" x14ac:dyDescent="0.25">
      <c r="A314776" s="1"/>
    </row>
    <row r="314777" spans="1:1" x14ac:dyDescent="0.25">
      <c r="A314777" s="1"/>
    </row>
    <row r="314778" spans="1:1" x14ac:dyDescent="0.25">
      <c r="A314778" s="1"/>
    </row>
    <row r="314779" spans="1:1" x14ac:dyDescent="0.25">
      <c r="A314779" s="1"/>
    </row>
    <row r="314780" spans="1:1" x14ac:dyDescent="0.25">
      <c r="A314780" s="1"/>
    </row>
    <row r="314781" spans="1:1" x14ac:dyDescent="0.25">
      <c r="A314781" s="1"/>
    </row>
    <row r="314782" spans="1:1" x14ac:dyDescent="0.25">
      <c r="A314782" s="1"/>
    </row>
    <row r="314783" spans="1:1" x14ac:dyDescent="0.25">
      <c r="A314783" s="1"/>
    </row>
    <row r="314784" spans="1:1" x14ac:dyDescent="0.25">
      <c r="A314784" s="1"/>
    </row>
    <row r="314785" spans="1:1" x14ac:dyDescent="0.25">
      <c r="A314785" s="1"/>
    </row>
    <row r="314786" spans="1:1" x14ac:dyDescent="0.25">
      <c r="A314786" s="1"/>
    </row>
    <row r="314787" spans="1:1" x14ac:dyDescent="0.25">
      <c r="A314787" s="1"/>
    </row>
    <row r="314788" spans="1:1" x14ac:dyDescent="0.25">
      <c r="A314788" s="1"/>
    </row>
    <row r="314789" spans="1:1" x14ac:dyDescent="0.25">
      <c r="A314789" s="1"/>
    </row>
    <row r="314790" spans="1:1" x14ac:dyDescent="0.25">
      <c r="A314790" s="1"/>
    </row>
    <row r="314791" spans="1:1" x14ac:dyDescent="0.25">
      <c r="A314791" s="1"/>
    </row>
    <row r="314792" spans="1:1" x14ac:dyDescent="0.25">
      <c r="A314792" s="1"/>
    </row>
    <row r="314793" spans="1:1" x14ac:dyDescent="0.25">
      <c r="A314793" s="1"/>
    </row>
    <row r="314794" spans="1:1" x14ac:dyDescent="0.25">
      <c r="A314794" s="1"/>
    </row>
    <row r="314795" spans="1:1" x14ac:dyDescent="0.25">
      <c r="A314795" s="1"/>
    </row>
    <row r="314796" spans="1:1" x14ac:dyDescent="0.25">
      <c r="A314796" s="1"/>
    </row>
    <row r="314797" spans="1:1" x14ac:dyDescent="0.25">
      <c r="A314797" s="1"/>
    </row>
    <row r="314798" spans="1:1" x14ac:dyDescent="0.25">
      <c r="A314798" s="1"/>
    </row>
    <row r="314799" spans="1:1" x14ac:dyDescent="0.25">
      <c r="A314799" s="1"/>
    </row>
    <row r="314800" spans="1:1" x14ac:dyDescent="0.25">
      <c r="A314800" s="1"/>
    </row>
    <row r="314801" spans="1:1" x14ac:dyDescent="0.25">
      <c r="A314801" s="1"/>
    </row>
    <row r="314802" spans="1:1" x14ac:dyDescent="0.25">
      <c r="A314802" s="1"/>
    </row>
    <row r="314803" spans="1:1" x14ac:dyDescent="0.25">
      <c r="A314803" s="1"/>
    </row>
    <row r="314804" spans="1:1" x14ac:dyDescent="0.25">
      <c r="A314804" s="1"/>
    </row>
    <row r="314805" spans="1:1" x14ac:dyDescent="0.25">
      <c r="A314805" s="1"/>
    </row>
    <row r="314806" spans="1:1" x14ac:dyDescent="0.25">
      <c r="A314806" s="1"/>
    </row>
    <row r="314807" spans="1:1" x14ac:dyDescent="0.25">
      <c r="A314807" s="1"/>
    </row>
    <row r="314808" spans="1:1" x14ac:dyDescent="0.25">
      <c r="A314808" s="1"/>
    </row>
    <row r="314809" spans="1:1" x14ac:dyDescent="0.25">
      <c r="A314809" s="1"/>
    </row>
    <row r="314810" spans="1:1" x14ac:dyDescent="0.25">
      <c r="A314810" s="1"/>
    </row>
    <row r="314811" spans="1:1" x14ac:dyDescent="0.25">
      <c r="A314811" s="1"/>
    </row>
    <row r="314812" spans="1:1" x14ac:dyDescent="0.25">
      <c r="A314812" s="1"/>
    </row>
    <row r="314813" spans="1:1" x14ac:dyDescent="0.25">
      <c r="A314813" s="1"/>
    </row>
    <row r="314814" spans="1:1" x14ac:dyDescent="0.25">
      <c r="A314814" s="1"/>
    </row>
    <row r="314815" spans="1:1" x14ac:dyDescent="0.25">
      <c r="A314815" s="1"/>
    </row>
    <row r="314816" spans="1:1" x14ac:dyDescent="0.25">
      <c r="A314816" s="1"/>
    </row>
    <row r="314817" spans="1:1" x14ac:dyDescent="0.25">
      <c r="A314817" s="1"/>
    </row>
    <row r="314818" spans="1:1" x14ac:dyDescent="0.25">
      <c r="A314818" s="1"/>
    </row>
    <row r="314819" spans="1:1" x14ac:dyDescent="0.25">
      <c r="A314819" s="1"/>
    </row>
    <row r="314820" spans="1:1" x14ac:dyDescent="0.25">
      <c r="A314820" s="1"/>
    </row>
    <row r="314821" spans="1:1" x14ac:dyDescent="0.25">
      <c r="A314821" s="1"/>
    </row>
    <row r="314822" spans="1:1" x14ac:dyDescent="0.25">
      <c r="A314822" s="1"/>
    </row>
    <row r="314823" spans="1:1" x14ac:dyDescent="0.25">
      <c r="A314823" s="1"/>
    </row>
    <row r="314824" spans="1:1" x14ac:dyDescent="0.25">
      <c r="A314824" s="1"/>
    </row>
    <row r="314825" spans="1:1" x14ac:dyDescent="0.25">
      <c r="A314825" s="1"/>
    </row>
    <row r="314826" spans="1:1" x14ac:dyDescent="0.25">
      <c r="A314826" s="1"/>
    </row>
    <row r="314827" spans="1:1" x14ac:dyDescent="0.25">
      <c r="A314827" s="1"/>
    </row>
    <row r="314828" spans="1:1" x14ac:dyDescent="0.25">
      <c r="A314828" s="1"/>
    </row>
    <row r="314829" spans="1:1" x14ac:dyDescent="0.25">
      <c r="A314829" s="1"/>
    </row>
    <row r="314830" spans="1:1" x14ac:dyDescent="0.25">
      <c r="A314830" s="1"/>
    </row>
    <row r="314831" spans="1:1" x14ac:dyDescent="0.25">
      <c r="A314831" s="1"/>
    </row>
    <row r="314832" spans="1:1" x14ac:dyDescent="0.25">
      <c r="A314832" s="1"/>
    </row>
    <row r="314833" spans="1:1" x14ac:dyDescent="0.25">
      <c r="A314833" s="1"/>
    </row>
    <row r="314834" spans="1:1" x14ac:dyDescent="0.25">
      <c r="A314834" s="1"/>
    </row>
    <row r="314835" spans="1:1" x14ac:dyDescent="0.25">
      <c r="A314835" s="1"/>
    </row>
    <row r="314836" spans="1:1" x14ac:dyDescent="0.25">
      <c r="A314836" s="1"/>
    </row>
    <row r="314837" spans="1:1" x14ac:dyDescent="0.25">
      <c r="A314837" s="1"/>
    </row>
    <row r="314838" spans="1:1" x14ac:dyDescent="0.25">
      <c r="A314838" s="1"/>
    </row>
    <row r="314839" spans="1:1" x14ac:dyDescent="0.25">
      <c r="A314839" s="1"/>
    </row>
    <row r="314840" spans="1:1" x14ac:dyDescent="0.25">
      <c r="A314840" s="1"/>
    </row>
    <row r="314841" spans="1:1" x14ac:dyDescent="0.25">
      <c r="A314841" s="1"/>
    </row>
    <row r="314842" spans="1:1" x14ac:dyDescent="0.25">
      <c r="A314842" s="1"/>
    </row>
    <row r="314843" spans="1:1" x14ac:dyDescent="0.25">
      <c r="A314843" s="1"/>
    </row>
    <row r="314844" spans="1:1" x14ac:dyDescent="0.25">
      <c r="A314844" s="1"/>
    </row>
    <row r="314845" spans="1:1" x14ac:dyDescent="0.25">
      <c r="A314845" s="1"/>
    </row>
    <row r="314846" spans="1:1" x14ac:dyDescent="0.25">
      <c r="A314846" s="1"/>
    </row>
    <row r="314847" spans="1:1" x14ac:dyDescent="0.25">
      <c r="A314847" s="1"/>
    </row>
    <row r="314848" spans="1:1" x14ac:dyDescent="0.25">
      <c r="A314848" s="1"/>
    </row>
    <row r="314849" spans="1:1" x14ac:dyDescent="0.25">
      <c r="A314849" s="1"/>
    </row>
    <row r="314850" spans="1:1" x14ac:dyDescent="0.25">
      <c r="A314850" s="1"/>
    </row>
    <row r="314851" spans="1:1" x14ac:dyDescent="0.25">
      <c r="A314851" s="1"/>
    </row>
    <row r="314852" spans="1:1" x14ac:dyDescent="0.25">
      <c r="A314852" s="1"/>
    </row>
    <row r="314853" spans="1:1" x14ac:dyDescent="0.25">
      <c r="A314853" s="1"/>
    </row>
    <row r="314854" spans="1:1" x14ac:dyDescent="0.25">
      <c r="A314854" s="1"/>
    </row>
    <row r="314855" spans="1:1" x14ac:dyDescent="0.25">
      <c r="A314855" s="1"/>
    </row>
    <row r="314856" spans="1:1" x14ac:dyDescent="0.25">
      <c r="A314856" s="1"/>
    </row>
    <row r="314857" spans="1:1" x14ac:dyDescent="0.25">
      <c r="A314857" s="1"/>
    </row>
    <row r="314858" spans="1:1" x14ac:dyDescent="0.25">
      <c r="A314858" s="1"/>
    </row>
    <row r="314859" spans="1:1" x14ac:dyDescent="0.25">
      <c r="A314859" s="1"/>
    </row>
    <row r="314860" spans="1:1" x14ac:dyDescent="0.25">
      <c r="A314860" s="1"/>
    </row>
    <row r="314861" spans="1:1" x14ac:dyDescent="0.25">
      <c r="A314861" s="1"/>
    </row>
    <row r="314862" spans="1:1" x14ac:dyDescent="0.25">
      <c r="A314862" s="1"/>
    </row>
    <row r="314863" spans="1:1" x14ac:dyDescent="0.25">
      <c r="A314863" s="1"/>
    </row>
    <row r="314864" spans="1:1" x14ac:dyDescent="0.25">
      <c r="A314864" s="1"/>
    </row>
    <row r="314865" spans="1:1" x14ac:dyDescent="0.25">
      <c r="A314865" s="1"/>
    </row>
    <row r="314866" spans="1:1" x14ac:dyDescent="0.25">
      <c r="A314866" s="1"/>
    </row>
    <row r="314867" spans="1:1" x14ac:dyDescent="0.25">
      <c r="A314867" s="1"/>
    </row>
    <row r="314868" spans="1:1" x14ac:dyDescent="0.25">
      <c r="A314868" s="1"/>
    </row>
    <row r="314869" spans="1:1" x14ac:dyDescent="0.25">
      <c r="A314869" s="1"/>
    </row>
    <row r="314870" spans="1:1" x14ac:dyDescent="0.25">
      <c r="A314870" s="1"/>
    </row>
    <row r="314871" spans="1:1" x14ac:dyDescent="0.25">
      <c r="A314871" s="1"/>
    </row>
    <row r="314872" spans="1:1" x14ac:dyDescent="0.25">
      <c r="A314872" s="1"/>
    </row>
    <row r="314873" spans="1:1" x14ac:dyDescent="0.25">
      <c r="A314873" s="1"/>
    </row>
    <row r="314874" spans="1:1" x14ac:dyDescent="0.25">
      <c r="A314874" s="1"/>
    </row>
    <row r="314875" spans="1:1" x14ac:dyDescent="0.25">
      <c r="A314875" s="1"/>
    </row>
    <row r="314876" spans="1:1" x14ac:dyDescent="0.25">
      <c r="A314876" s="1"/>
    </row>
    <row r="314877" spans="1:1" x14ac:dyDescent="0.25">
      <c r="A314877" s="1"/>
    </row>
    <row r="314878" spans="1:1" x14ac:dyDescent="0.25">
      <c r="A314878" s="1"/>
    </row>
    <row r="314879" spans="1:1" x14ac:dyDescent="0.25">
      <c r="A314879" s="1"/>
    </row>
    <row r="314880" spans="1:1" x14ac:dyDescent="0.25">
      <c r="A314880" s="1"/>
    </row>
    <row r="314881" spans="1:1" x14ac:dyDescent="0.25">
      <c r="A314881" s="1"/>
    </row>
    <row r="314882" spans="1:1" x14ac:dyDescent="0.25">
      <c r="A314882" s="1"/>
    </row>
    <row r="314883" spans="1:1" x14ac:dyDescent="0.25">
      <c r="A314883" s="1"/>
    </row>
    <row r="314884" spans="1:1" x14ac:dyDescent="0.25">
      <c r="A314884" s="1"/>
    </row>
    <row r="314885" spans="1:1" x14ac:dyDescent="0.25">
      <c r="A314885" s="1"/>
    </row>
    <row r="314886" spans="1:1" x14ac:dyDescent="0.25">
      <c r="A314886" s="1"/>
    </row>
    <row r="314887" spans="1:1" x14ac:dyDescent="0.25">
      <c r="A314887" s="1"/>
    </row>
    <row r="314888" spans="1:1" x14ac:dyDescent="0.25">
      <c r="A314888" s="1"/>
    </row>
    <row r="314889" spans="1:1" x14ac:dyDescent="0.25">
      <c r="A314889" s="1"/>
    </row>
    <row r="314890" spans="1:1" x14ac:dyDescent="0.25">
      <c r="A314890" s="1"/>
    </row>
    <row r="314891" spans="1:1" x14ac:dyDescent="0.25">
      <c r="A314891" s="1"/>
    </row>
    <row r="314892" spans="1:1" x14ac:dyDescent="0.25">
      <c r="A314892" s="1"/>
    </row>
    <row r="314893" spans="1:1" x14ac:dyDescent="0.25">
      <c r="A314893" s="1"/>
    </row>
    <row r="314894" spans="1:1" x14ac:dyDescent="0.25">
      <c r="A314894" s="1"/>
    </row>
    <row r="314895" spans="1:1" x14ac:dyDescent="0.25">
      <c r="A314895" s="1"/>
    </row>
    <row r="314896" spans="1:1" x14ac:dyDescent="0.25">
      <c r="A314896" s="1"/>
    </row>
    <row r="314897" spans="1:1" x14ac:dyDescent="0.25">
      <c r="A314897" s="1"/>
    </row>
    <row r="314898" spans="1:1" x14ac:dyDescent="0.25">
      <c r="A314898" s="1"/>
    </row>
    <row r="314899" spans="1:1" x14ac:dyDescent="0.25">
      <c r="A314899" s="1"/>
    </row>
    <row r="314900" spans="1:1" x14ac:dyDescent="0.25">
      <c r="A314900" s="1"/>
    </row>
    <row r="314901" spans="1:1" x14ac:dyDescent="0.25">
      <c r="A314901" s="1"/>
    </row>
    <row r="314902" spans="1:1" x14ac:dyDescent="0.25">
      <c r="A314902" s="1"/>
    </row>
    <row r="314903" spans="1:1" x14ac:dyDescent="0.25">
      <c r="A314903" s="1"/>
    </row>
    <row r="314904" spans="1:1" x14ac:dyDescent="0.25">
      <c r="A314904" s="1"/>
    </row>
    <row r="314905" spans="1:1" x14ac:dyDescent="0.25">
      <c r="A314905" s="1"/>
    </row>
    <row r="314906" spans="1:1" x14ac:dyDescent="0.25">
      <c r="A314906" s="1"/>
    </row>
    <row r="314907" spans="1:1" x14ac:dyDescent="0.25">
      <c r="A314907" s="1"/>
    </row>
    <row r="314908" spans="1:1" x14ac:dyDescent="0.25">
      <c r="A314908" s="1"/>
    </row>
    <row r="314909" spans="1:1" x14ac:dyDescent="0.25">
      <c r="A314909" s="1"/>
    </row>
    <row r="314910" spans="1:1" x14ac:dyDescent="0.25">
      <c r="A314910" s="1"/>
    </row>
    <row r="314911" spans="1:1" x14ac:dyDescent="0.25">
      <c r="A314911" s="1"/>
    </row>
    <row r="314912" spans="1:1" x14ac:dyDescent="0.25">
      <c r="A314912" s="1"/>
    </row>
    <row r="314913" spans="1:1" x14ac:dyDescent="0.25">
      <c r="A314913" s="1"/>
    </row>
    <row r="314914" spans="1:1" x14ac:dyDescent="0.25">
      <c r="A314914" s="1"/>
    </row>
    <row r="314915" spans="1:1" x14ac:dyDescent="0.25">
      <c r="A314915" s="1"/>
    </row>
    <row r="314916" spans="1:1" x14ac:dyDescent="0.25">
      <c r="A314916" s="1"/>
    </row>
    <row r="314917" spans="1:1" x14ac:dyDescent="0.25">
      <c r="A314917" s="1"/>
    </row>
    <row r="314918" spans="1:1" x14ac:dyDescent="0.25">
      <c r="A314918" s="1"/>
    </row>
    <row r="314919" spans="1:1" x14ac:dyDescent="0.25">
      <c r="A314919" s="1"/>
    </row>
    <row r="314920" spans="1:1" x14ac:dyDescent="0.25">
      <c r="A314920" s="1"/>
    </row>
    <row r="314921" spans="1:1" x14ac:dyDescent="0.25">
      <c r="A314921" s="1"/>
    </row>
    <row r="314922" spans="1:1" x14ac:dyDescent="0.25">
      <c r="A314922" s="1"/>
    </row>
    <row r="314923" spans="1:1" x14ac:dyDescent="0.25">
      <c r="A314923" s="1"/>
    </row>
    <row r="314924" spans="1:1" x14ac:dyDescent="0.25">
      <c r="A314924" s="1"/>
    </row>
    <row r="314925" spans="1:1" x14ac:dyDescent="0.25">
      <c r="A314925" s="1"/>
    </row>
    <row r="314926" spans="1:1" x14ac:dyDescent="0.25">
      <c r="A314926" s="1"/>
    </row>
    <row r="314927" spans="1:1" x14ac:dyDescent="0.25">
      <c r="A314927" s="1"/>
    </row>
    <row r="314928" spans="1:1" x14ac:dyDescent="0.25">
      <c r="A314928" s="1"/>
    </row>
    <row r="314929" spans="1:1" x14ac:dyDescent="0.25">
      <c r="A314929" s="1"/>
    </row>
    <row r="314930" spans="1:1" x14ac:dyDescent="0.25">
      <c r="A314930" s="1"/>
    </row>
    <row r="314931" spans="1:1" x14ac:dyDescent="0.25">
      <c r="A314931" s="1"/>
    </row>
    <row r="314932" spans="1:1" x14ac:dyDescent="0.25">
      <c r="A314932" s="1"/>
    </row>
    <row r="314933" spans="1:1" x14ac:dyDescent="0.25">
      <c r="A314933" s="1"/>
    </row>
    <row r="314934" spans="1:1" x14ac:dyDescent="0.25">
      <c r="A314934" s="1"/>
    </row>
    <row r="314935" spans="1:1" x14ac:dyDescent="0.25">
      <c r="A314935" s="1"/>
    </row>
    <row r="314936" spans="1:1" x14ac:dyDescent="0.25">
      <c r="A314936" s="1"/>
    </row>
    <row r="314937" spans="1:1" x14ac:dyDescent="0.25">
      <c r="A314937" s="1"/>
    </row>
    <row r="314938" spans="1:1" x14ac:dyDescent="0.25">
      <c r="A314938" s="1"/>
    </row>
    <row r="314939" spans="1:1" x14ac:dyDescent="0.25">
      <c r="A314939" s="1"/>
    </row>
    <row r="314940" spans="1:1" x14ac:dyDescent="0.25">
      <c r="A314940" s="1"/>
    </row>
    <row r="314941" spans="1:1" x14ac:dyDescent="0.25">
      <c r="A314941" s="1"/>
    </row>
    <row r="314942" spans="1:1" x14ac:dyDescent="0.25">
      <c r="A314942" s="1"/>
    </row>
    <row r="314943" spans="1:1" x14ac:dyDescent="0.25">
      <c r="A314943" s="1"/>
    </row>
    <row r="314944" spans="1:1" x14ac:dyDescent="0.25">
      <c r="A314944" s="1"/>
    </row>
    <row r="314945" spans="1:1" x14ac:dyDescent="0.25">
      <c r="A314945" s="1"/>
    </row>
    <row r="314946" spans="1:1" x14ac:dyDescent="0.25">
      <c r="A314946" s="1"/>
    </row>
    <row r="314947" spans="1:1" x14ac:dyDescent="0.25">
      <c r="A314947" s="1"/>
    </row>
    <row r="314948" spans="1:1" x14ac:dyDescent="0.25">
      <c r="A314948" s="1"/>
    </row>
    <row r="314949" spans="1:1" x14ac:dyDescent="0.25">
      <c r="A314949" s="1"/>
    </row>
    <row r="314950" spans="1:1" x14ac:dyDescent="0.25">
      <c r="A314950" s="1"/>
    </row>
    <row r="314951" spans="1:1" x14ac:dyDescent="0.25">
      <c r="A314951" s="1"/>
    </row>
    <row r="314952" spans="1:1" x14ac:dyDescent="0.25">
      <c r="A314952" s="1"/>
    </row>
    <row r="314953" spans="1:1" x14ac:dyDescent="0.25">
      <c r="A314953" s="1"/>
    </row>
    <row r="314954" spans="1:1" x14ac:dyDescent="0.25">
      <c r="A314954" s="1"/>
    </row>
    <row r="314955" spans="1:1" x14ac:dyDescent="0.25">
      <c r="A314955" s="1"/>
    </row>
    <row r="314956" spans="1:1" x14ac:dyDescent="0.25">
      <c r="A314956" s="1"/>
    </row>
    <row r="314957" spans="1:1" x14ac:dyDescent="0.25">
      <c r="A314957" s="1"/>
    </row>
    <row r="314958" spans="1:1" x14ac:dyDescent="0.25">
      <c r="A314958" s="1"/>
    </row>
    <row r="314959" spans="1:1" x14ac:dyDescent="0.25">
      <c r="A314959" s="1"/>
    </row>
    <row r="314960" spans="1:1" x14ac:dyDescent="0.25">
      <c r="A314960" s="1"/>
    </row>
    <row r="314961" spans="1:1" x14ac:dyDescent="0.25">
      <c r="A314961" s="1"/>
    </row>
    <row r="314962" spans="1:1" x14ac:dyDescent="0.25">
      <c r="A314962" s="1"/>
    </row>
    <row r="314963" spans="1:1" x14ac:dyDescent="0.25">
      <c r="A314963" s="1"/>
    </row>
    <row r="314964" spans="1:1" x14ac:dyDescent="0.25">
      <c r="A314964" s="1"/>
    </row>
    <row r="314965" spans="1:1" x14ac:dyDescent="0.25">
      <c r="A314965" s="1"/>
    </row>
    <row r="314966" spans="1:1" x14ac:dyDescent="0.25">
      <c r="A314966" s="1"/>
    </row>
    <row r="314967" spans="1:1" x14ac:dyDescent="0.25">
      <c r="A314967" s="1"/>
    </row>
    <row r="314968" spans="1:1" x14ac:dyDescent="0.25">
      <c r="A314968" s="1"/>
    </row>
    <row r="314969" spans="1:1" x14ac:dyDescent="0.25">
      <c r="A314969" s="1"/>
    </row>
    <row r="314970" spans="1:1" x14ac:dyDescent="0.25">
      <c r="A314970" s="1"/>
    </row>
    <row r="314971" spans="1:1" x14ac:dyDescent="0.25">
      <c r="A314971" s="1"/>
    </row>
    <row r="314972" spans="1:1" x14ac:dyDescent="0.25">
      <c r="A314972" s="1"/>
    </row>
    <row r="314973" spans="1:1" x14ac:dyDescent="0.25">
      <c r="A314973" s="1"/>
    </row>
    <row r="314974" spans="1:1" x14ac:dyDescent="0.25">
      <c r="A314974" s="1"/>
    </row>
    <row r="314975" spans="1:1" x14ac:dyDescent="0.25">
      <c r="A314975" s="1"/>
    </row>
    <row r="314976" spans="1:1" x14ac:dyDescent="0.25">
      <c r="A314976" s="1"/>
    </row>
    <row r="314977" spans="1:1" x14ac:dyDescent="0.25">
      <c r="A314977" s="1"/>
    </row>
    <row r="314978" spans="1:1" x14ac:dyDescent="0.25">
      <c r="A314978" s="1"/>
    </row>
    <row r="314979" spans="1:1" x14ac:dyDescent="0.25">
      <c r="A314979" s="1"/>
    </row>
    <row r="314980" spans="1:1" x14ac:dyDescent="0.25">
      <c r="A314980" s="1"/>
    </row>
    <row r="314981" spans="1:1" x14ac:dyDescent="0.25">
      <c r="A314981" s="1"/>
    </row>
    <row r="314982" spans="1:1" x14ac:dyDescent="0.25">
      <c r="A314982" s="1"/>
    </row>
    <row r="314983" spans="1:1" x14ac:dyDescent="0.25">
      <c r="A314983" s="1"/>
    </row>
    <row r="314984" spans="1:1" x14ac:dyDescent="0.25">
      <c r="A314984" s="1"/>
    </row>
    <row r="314985" spans="1:1" x14ac:dyDescent="0.25">
      <c r="A314985" s="1"/>
    </row>
    <row r="314986" spans="1:1" x14ac:dyDescent="0.25">
      <c r="A314986" s="1"/>
    </row>
    <row r="314987" spans="1:1" x14ac:dyDescent="0.25">
      <c r="A314987" s="1"/>
    </row>
    <row r="314988" spans="1:1" x14ac:dyDescent="0.25">
      <c r="A314988" s="1"/>
    </row>
    <row r="314989" spans="1:1" x14ac:dyDescent="0.25">
      <c r="A314989" s="1"/>
    </row>
    <row r="314990" spans="1:1" x14ac:dyDescent="0.25">
      <c r="A314990" s="1"/>
    </row>
    <row r="314991" spans="1:1" x14ac:dyDescent="0.25">
      <c r="A314991" s="1"/>
    </row>
    <row r="314992" spans="1:1" x14ac:dyDescent="0.25">
      <c r="A314992" s="1"/>
    </row>
    <row r="314993" spans="1:1" x14ac:dyDescent="0.25">
      <c r="A314993" s="1"/>
    </row>
    <row r="314994" spans="1:1" x14ac:dyDescent="0.25">
      <c r="A314994" s="1"/>
    </row>
    <row r="314995" spans="1:1" x14ac:dyDescent="0.25">
      <c r="A314995" s="1"/>
    </row>
    <row r="314996" spans="1:1" x14ac:dyDescent="0.25">
      <c r="A314996" s="1"/>
    </row>
    <row r="314997" spans="1:1" x14ac:dyDescent="0.25">
      <c r="A314997" s="1"/>
    </row>
    <row r="314998" spans="1:1" x14ac:dyDescent="0.25">
      <c r="A314998" s="1"/>
    </row>
    <row r="314999" spans="1:1" x14ac:dyDescent="0.25">
      <c r="A314999" s="1"/>
    </row>
    <row r="315000" spans="1:1" x14ac:dyDescent="0.25">
      <c r="A315000" s="1"/>
    </row>
    <row r="315001" spans="1:1" x14ac:dyDescent="0.25">
      <c r="A315001" s="1"/>
    </row>
    <row r="315002" spans="1:1" x14ac:dyDescent="0.25">
      <c r="A315002" s="1"/>
    </row>
    <row r="315003" spans="1:1" x14ac:dyDescent="0.25">
      <c r="A315003" s="1"/>
    </row>
    <row r="315004" spans="1:1" x14ac:dyDescent="0.25">
      <c r="A315004" s="1"/>
    </row>
    <row r="315005" spans="1:1" x14ac:dyDescent="0.25">
      <c r="A315005" s="1"/>
    </row>
    <row r="315006" spans="1:1" x14ac:dyDescent="0.25">
      <c r="A315006" s="1"/>
    </row>
    <row r="315007" spans="1:1" x14ac:dyDescent="0.25">
      <c r="A315007" s="1"/>
    </row>
    <row r="315008" spans="1:1" x14ac:dyDescent="0.25">
      <c r="A315008" s="1"/>
    </row>
    <row r="315009" spans="1:1" x14ac:dyDescent="0.25">
      <c r="A315009" s="1"/>
    </row>
    <row r="315010" spans="1:1" x14ac:dyDescent="0.25">
      <c r="A315010" s="1"/>
    </row>
    <row r="315011" spans="1:1" x14ac:dyDescent="0.25">
      <c r="A315011" s="1"/>
    </row>
    <row r="315012" spans="1:1" x14ac:dyDescent="0.25">
      <c r="A315012" s="1"/>
    </row>
    <row r="315013" spans="1:1" x14ac:dyDescent="0.25">
      <c r="A315013" s="1"/>
    </row>
    <row r="315014" spans="1:1" x14ac:dyDescent="0.25">
      <c r="A315014" s="1"/>
    </row>
    <row r="315015" spans="1:1" x14ac:dyDescent="0.25">
      <c r="A315015" s="1"/>
    </row>
    <row r="315016" spans="1:1" x14ac:dyDescent="0.25">
      <c r="A315016" s="1"/>
    </row>
    <row r="315017" spans="1:1" x14ac:dyDescent="0.25">
      <c r="A315017" s="1"/>
    </row>
    <row r="315018" spans="1:1" x14ac:dyDescent="0.25">
      <c r="A315018" s="1"/>
    </row>
    <row r="315019" spans="1:1" x14ac:dyDescent="0.25">
      <c r="A315019" s="1"/>
    </row>
    <row r="315020" spans="1:1" x14ac:dyDescent="0.25">
      <c r="A315020" s="1"/>
    </row>
    <row r="315021" spans="1:1" x14ac:dyDescent="0.25">
      <c r="A315021" s="1"/>
    </row>
    <row r="315022" spans="1:1" x14ac:dyDescent="0.25">
      <c r="A315022" s="1"/>
    </row>
    <row r="315023" spans="1:1" x14ac:dyDescent="0.25">
      <c r="A315023" s="1"/>
    </row>
    <row r="315024" spans="1:1" x14ac:dyDescent="0.25">
      <c r="A315024" s="1"/>
    </row>
    <row r="315025" spans="1:1" x14ac:dyDescent="0.25">
      <c r="A315025" s="1"/>
    </row>
    <row r="315026" spans="1:1" x14ac:dyDescent="0.25">
      <c r="A315026" s="1"/>
    </row>
    <row r="315027" spans="1:1" x14ac:dyDescent="0.25">
      <c r="A315027" s="1"/>
    </row>
    <row r="315028" spans="1:1" x14ac:dyDescent="0.25">
      <c r="A315028" s="1"/>
    </row>
    <row r="315029" spans="1:1" x14ac:dyDescent="0.25">
      <c r="A315029" s="1"/>
    </row>
    <row r="315030" spans="1:1" x14ac:dyDescent="0.25">
      <c r="A315030" s="1"/>
    </row>
    <row r="315031" spans="1:1" x14ac:dyDescent="0.25">
      <c r="A315031" s="1"/>
    </row>
    <row r="315032" spans="1:1" x14ac:dyDescent="0.25">
      <c r="A315032" s="1"/>
    </row>
    <row r="315033" spans="1:1" x14ac:dyDescent="0.25">
      <c r="A315033" s="1"/>
    </row>
    <row r="315034" spans="1:1" x14ac:dyDescent="0.25">
      <c r="A315034" s="1"/>
    </row>
    <row r="315035" spans="1:1" x14ac:dyDescent="0.25">
      <c r="A315035" s="1"/>
    </row>
    <row r="315036" spans="1:1" x14ac:dyDescent="0.25">
      <c r="A315036" s="1"/>
    </row>
    <row r="315037" spans="1:1" x14ac:dyDescent="0.25">
      <c r="A315037" s="1"/>
    </row>
    <row r="315038" spans="1:1" x14ac:dyDescent="0.25">
      <c r="A315038" s="1"/>
    </row>
    <row r="315039" spans="1:1" x14ac:dyDescent="0.25">
      <c r="A315039" s="1"/>
    </row>
    <row r="315040" spans="1:1" x14ac:dyDescent="0.25">
      <c r="A315040" s="1"/>
    </row>
    <row r="315041" spans="1:1" x14ac:dyDescent="0.25">
      <c r="A315041" s="1"/>
    </row>
    <row r="315042" spans="1:1" x14ac:dyDescent="0.25">
      <c r="A315042" s="1"/>
    </row>
    <row r="315043" spans="1:1" x14ac:dyDescent="0.25">
      <c r="A315043" s="1"/>
    </row>
    <row r="315044" spans="1:1" x14ac:dyDescent="0.25">
      <c r="A315044" s="1"/>
    </row>
    <row r="315045" spans="1:1" x14ac:dyDescent="0.25">
      <c r="A315045" s="1"/>
    </row>
    <row r="315046" spans="1:1" x14ac:dyDescent="0.25">
      <c r="A315046" s="1"/>
    </row>
    <row r="315047" spans="1:1" x14ac:dyDescent="0.25">
      <c r="A315047" s="1"/>
    </row>
    <row r="315048" spans="1:1" x14ac:dyDescent="0.25">
      <c r="A315048" s="1"/>
    </row>
    <row r="315049" spans="1:1" x14ac:dyDescent="0.25">
      <c r="A315049" s="1"/>
    </row>
    <row r="315050" spans="1:1" x14ac:dyDescent="0.25">
      <c r="A315050" s="1"/>
    </row>
    <row r="315051" spans="1:1" x14ac:dyDescent="0.25">
      <c r="A315051" s="1"/>
    </row>
    <row r="315052" spans="1:1" x14ac:dyDescent="0.25">
      <c r="A315052" s="1"/>
    </row>
    <row r="315053" spans="1:1" x14ac:dyDescent="0.25">
      <c r="A315053" s="1"/>
    </row>
    <row r="315054" spans="1:1" x14ac:dyDescent="0.25">
      <c r="A315054" s="1"/>
    </row>
    <row r="315055" spans="1:1" x14ac:dyDescent="0.25">
      <c r="A315055" s="1"/>
    </row>
    <row r="315056" spans="1:1" x14ac:dyDescent="0.25">
      <c r="A315056" s="1"/>
    </row>
    <row r="315057" spans="1:1" x14ac:dyDescent="0.25">
      <c r="A315057" s="1"/>
    </row>
    <row r="315058" spans="1:1" x14ac:dyDescent="0.25">
      <c r="A315058" s="1"/>
    </row>
    <row r="315059" spans="1:1" x14ac:dyDescent="0.25">
      <c r="A315059" s="1"/>
    </row>
    <row r="315060" spans="1:1" x14ac:dyDescent="0.25">
      <c r="A315060" s="1"/>
    </row>
    <row r="315061" spans="1:1" x14ac:dyDescent="0.25">
      <c r="A315061" s="1"/>
    </row>
    <row r="315062" spans="1:1" x14ac:dyDescent="0.25">
      <c r="A315062" s="1"/>
    </row>
    <row r="315063" spans="1:1" x14ac:dyDescent="0.25">
      <c r="A315063" s="1"/>
    </row>
    <row r="315064" spans="1:1" x14ac:dyDescent="0.25">
      <c r="A315064" s="1"/>
    </row>
    <row r="315065" spans="1:1" x14ac:dyDescent="0.25">
      <c r="A315065" s="1"/>
    </row>
    <row r="315066" spans="1:1" x14ac:dyDescent="0.25">
      <c r="A315066" s="1"/>
    </row>
    <row r="315067" spans="1:1" x14ac:dyDescent="0.25">
      <c r="A315067" s="1"/>
    </row>
    <row r="315068" spans="1:1" x14ac:dyDescent="0.25">
      <c r="A315068" s="1"/>
    </row>
    <row r="315069" spans="1:1" x14ac:dyDescent="0.25">
      <c r="A315069" s="1"/>
    </row>
    <row r="315070" spans="1:1" x14ac:dyDescent="0.25">
      <c r="A315070" s="1"/>
    </row>
    <row r="315071" spans="1:1" x14ac:dyDescent="0.25">
      <c r="A315071" s="1"/>
    </row>
    <row r="315072" spans="1:1" x14ac:dyDescent="0.25">
      <c r="A315072" s="1"/>
    </row>
    <row r="315073" spans="1:1" x14ac:dyDescent="0.25">
      <c r="A315073" s="1"/>
    </row>
    <row r="315074" spans="1:1" x14ac:dyDescent="0.25">
      <c r="A315074" s="1"/>
    </row>
    <row r="315075" spans="1:1" x14ac:dyDescent="0.25">
      <c r="A315075" s="1"/>
    </row>
    <row r="315076" spans="1:1" x14ac:dyDescent="0.25">
      <c r="A315076" s="1"/>
    </row>
    <row r="315077" spans="1:1" x14ac:dyDescent="0.25">
      <c r="A315077" s="1"/>
    </row>
    <row r="315078" spans="1:1" x14ac:dyDescent="0.25">
      <c r="A315078" s="1"/>
    </row>
    <row r="315079" spans="1:1" x14ac:dyDescent="0.25">
      <c r="A315079" s="1"/>
    </row>
    <row r="315080" spans="1:1" x14ac:dyDescent="0.25">
      <c r="A315080" s="1"/>
    </row>
    <row r="315081" spans="1:1" x14ac:dyDescent="0.25">
      <c r="A315081" s="1"/>
    </row>
    <row r="315082" spans="1:1" x14ac:dyDescent="0.25">
      <c r="A315082" s="1"/>
    </row>
    <row r="315083" spans="1:1" x14ac:dyDescent="0.25">
      <c r="A315083" s="1"/>
    </row>
    <row r="315084" spans="1:1" x14ac:dyDescent="0.25">
      <c r="A315084" s="1"/>
    </row>
    <row r="315085" spans="1:1" x14ac:dyDescent="0.25">
      <c r="A315085" s="1"/>
    </row>
    <row r="315086" spans="1:1" x14ac:dyDescent="0.25">
      <c r="A315086" s="1"/>
    </row>
    <row r="315087" spans="1:1" x14ac:dyDescent="0.25">
      <c r="A315087" s="1"/>
    </row>
    <row r="315088" spans="1:1" x14ac:dyDescent="0.25">
      <c r="A315088" s="1"/>
    </row>
    <row r="315089" spans="1:1" x14ac:dyDescent="0.25">
      <c r="A315089" s="1"/>
    </row>
    <row r="315090" spans="1:1" x14ac:dyDescent="0.25">
      <c r="A315090" s="1"/>
    </row>
    <row r="315091" spans="1:1" x14ac:dyDescent="0.25">
      <c r="A315091" s="1"/>
    </row>
    <row r="315092" spans="1:1" x14ac:dyDescent="0.25">
      <c r="A315092" s="1"/>
    </row>
    <row r="315093" spans="1:1" x14ac:dyDescent="0.25">
      <c r="A315093" s="1"/>
    </row>
    <row r="315094" spans="1:1" x14ac:dyDescent="0.25">
      <c r="A315094" s="1"/>
    </row>
    <row r="315095" spans="1:1" x14ac:dyDescent="0.25">
      <c r="A315095" s="1"/>
    </row>
    <row r="315096" spans="1:1" x14ac:dyDescent="0.25">
      <c r="A315096" s="1"/>
    </row>
    <row r="315097" spans="1:1" x14ac:dyDescent="0.25">
      <c r="A315097" s="1"/>
    </row>
    <row r="315098" spans="1:1" x14ac:dyDescent="0.25">
      <c r="A315098" s="1"/>
    </row>
    <row r="315099" spans="1:1" x14ac:dyDescent="0.25">
      <c r="A315099" s="1"/>
    </row>
    <row r="315100" spans="1:1" x14ac:dyDescent="0.25">
      <c r="A315100" s="1"/>
    </row>
    <row r="315101" spans="1:1" x14ac:dyDescent="0.25">
      <c r="A315101" s="1"/>
    </row>
    <row r="315102" spans="1:1" x14ac:dyDescent="0.25">
      <c r="A315102" s="1"/>
    </row>
    <row r="315103" spans="1:1" x14ac:dyDescent="0.25">
      <c r="A315103" s="1"/>
    </row>
    <row r="315104" spans="1:1" x14ac:dyDescent="0.25">
      <c r="A315104" s="1"/>
    </row>
    <row r="315105" spans="1:1" x14ac:dyDescent="0.25">
      <c r="A315105" s="1"/>
    </row>
    <row r="315106" spans="1:1" x14ac:dyDescent="0.25">
      <c r="A315106" s="1"/>
    </row>
    <row r="315107" spans="1:1" x14ac:dyDescent="0.25">
      <c r="A315107" s="1"/>
    </row>
    <row r="315108" spans="1:1" x14ac:dyDescent="0.25">
      <c r="A315108" s="1"/>
    </row>
    <row r="315109" spans="1:1" x14ac:dyDescent="0.25">
      <c r="A315109" s="1"/>
    </row>
    <row r="315110" spans="1:1" x14ac:dyDescent="0.25">
      <c r="A315110" s="1"/>
    </row>
    <row r="315111" spans="1:1" x14ac:dyDescent="0.25">
      <c r="A315111" s="1"/>
    </row>
    <row r="315112" spans="1:1" x14ac:dyDescent="0.25">
      <c r="A315112" s="1"/>
    </row>
    <row r="315113" spans="1:1" x14ac:dyDescent="0.25">
      <c r="A315113" s="1"/>
    </row>
    <row r="315114" spans="1:1" x14ac:dyDescent="0.25">
      <c r="A315114" s="1"/>
    </row>
    <row r="315115" spans="1:1" x14ac:dyDescent="0.25">
      <c r="A315115" s="1"/>
    </row>
    <row r="315116" spans="1:1" x14ac:dyDescent="0.25">
      <c r="A315116" s="1"/>
    </row>
    <row r="315117" spans="1:1" x14ac:dyDescent="0.25">
      <c r="A315117" s="1"/>
    </row>
    <row r="315118" spans="1:1" x14ac:dyDescent="0.25">
      <c r="A315118" s="1"/>
    </row>
    <row r="315119" spans="1:1" x14ac:dyDescent="0.25">
      <c r="A315119" s="1"/>
    </row>
    <row r="315120" spans="1:1" x14ac:dyDescent="0.25">
      <c r="A315120" s="1"/>
    </row>
    <row r="315121" spans="1:1" x14ac:dyDescent="0.25">
      <c r="A315121" s="1"/>
    </row>
    <row r="315122" spans="1:1" x14ac:dyDescent="0.25">
      <c r="A315122" s="1"/>
    </row>
    <row r="315123" spans="1:1" x14ac:dyDescent="0.25">
      <c r="A315123" s="1"/>
    </row>
    <row r="315124" spans="1:1" x14ac:dyDescent="0.25">
      <c r="A315124" s="1"/>
    </row>
    <row r="315125" spans="1:1" x14ac:dyDescent="0.25">
      <c r="A315125" s="1"/>
    </row>
    <row r="315126" spans="1:1" x14ac:dyDescent="0.25">
      <c r="A315126" s="1"/>
    </row>
    <row r="315127" spans="1:1" x14ac:dyDescent="0.25">
      <c r="A315127" s="1"/>
    </row>
    <row r="315128" spans="1:1" x14ac:dyDescent="0.25">
      <c r="A315128" s="1"/>
    </row>
    <row r="315129" spans="1:1" x14ac:dyDescent="0.25">
      <c r="A315129" s="1"/>
    </row>
    <row r="315130" spans="1:1" x14ac:dyDescent="0.25">
      <c r="A315130" s="1"/>
    </row>
    <row r="315131" spans="1:1" x14ac:dyDescent="0.25">
      <c r="A315131" s="1"/>
    </row>
    <row r="315132" spans="1:1" x14ac:dyDescent="0.25">
      <c r="A315132" s="1"/>
    </row>
    <row r="315133" spans="1:1" x14ac:dyDescent="0.25">
      <c r="A315133" s="1"/>
    </row>
    <row r="315134" spans="1:1" x14ac:dyDescent="0.25">
      <c r="A315134" s="1"/>
    </row>
    <row r="315135" spans="1:1" x14ac:dyDescent="0.25">
      <c r="A315135" s="1"/>
    </row>
    <row r="315136" spans="1:1" x14ac:dyDescent="0.25">
      <c r="A315136" s="1"/>
    </row>
    <row r="315137" spans="1:1" x14ac:dyDescent="0.25">
      <c r="A315137" s="1"/>
    </row>
    <row r="315138" spans="1:1" x14ac:dyDescent="0.25">
      <c r="A315138" s="1"/>
    </row>
    <row r="315139" spans="1:1" x14ac:dyDescent="0.25">
      <c r="A315139" s="1"/>
    </row>
    <row r="315140" spans="1:1" x14ac:dyDescent="0.25">
      <c r="A315140" s="1"/>
    </row>
    <row r="315141" spans="1:1" x14ac:dyDescent="0.25">
      <c r="A315141" s="1"/>
    </row>
    <row r="315142" spans="1:1" x14ac:dyDescent="0.25">
      <c r="A315142" s="1"/>
    </row>
    <row r="315143" spans="1:1" x14ac:dyDescent="0.25">
      <c r="A315143" s="1"/>
    </row>
    <row r="315144" spans="1:1" x14ac:dyDescent="0.25">
      <c r="A315144" s="1"/>
    </row>
    <row r="315145" spans="1:1" x14ac:dyDescent="0.25">
      <c r="A315145" s="1"/>
    </row>
    <row r="315146" spans="1:1" x14ac:dyDescent="0.25">
      <c r="A315146" s="1"/>
    </row>
    <row r="315147" spans="1:1" x14ac:dyDescent="0.25">
      <c r="A315147" s="1"/>
    </row>
    <row r="315148" spans="1:1" x14ac:dyDescent="0.25">
      <c r="A315148" s="1"/>
    </row>
    <row r="315149" spans="1:1" x14ac:dyDescent="0.25">
      <c r="A315149" s="1"/>
    </row>
    <row r="315150" spans="1:1" x14ac:dyDescent="0.25">
      <c r="A315150" s="1"/>
    </row>
    <row r="315151" spans="1:1" x14ac:dyDescent="0.25">
      <c r="A315151" s="1"/>
    </row>
    <row r="315152" spans="1:1" x14ac:dyDescent="0.25">
      <c r="A315152" s="1"/>
    </row>
    <row r="315153" spans="1:1" x14ac:dyDescent="0.25">
      <c r="A315153" s="1"/>
    </row>
    <row r="315154" spans="1:1" x14ac:dyDescent="0.25">
      <c r="A315154" s="1"/>
    </row>
    <row r="315155" spans="1:1" x14ac:dyDescent="0.25">
      <c r="A315155" s="1"/>
    </row>
    <row r="315156" spans="1:1" x14ac:dyDescent="0.25">
      <c r="A315156" s="1"/>
    </row>
    <row r="315157" spans="1:1" x14ac:dyDescent="0.25">
      <c r="A315157" s="1"/>
    </row>
    <row r="315158" spans="1:1" x14ac:dyDescent="0.25">
      <c r="A315158" s="1"/>
    </row>
    <row r="315159" spans="1:1" x14ac:dyDescent="0.25">
      <c r="A315159" s="1"/>
    </row>
    <row r="315160" spans="1:1" x14ac:dyDescent="0.25">
      <c r="A315160" s="1"/>
    </row>
    <row r="315161" spans="1:1" x14ac:dyDescent="0.25">
      <c r="A315161" s="1"/>
    </row>
    <row r="315162" spans="1:1" x14ac:dyDescent="0.25">
      <c r="A315162" s="1"/>
    </row>
    <row r="315163" spans="1:1" x14ac:dyDescent="0.25">
      <c r="A315163" s="1"/>
    </row>
    <row r="315164" spans="1:1" x14ac:dyDescent="0.25">
      <c r="A315164" s="1"/>
    </row>
    <row r="315165" spans="1:1" x14ac:dyDescent="0.25">
      <c r="A315165" s="1"/>
    </row>
    <row r="315166" spans="1:1" x14ac:dyDescent="0.25">
      <c r="A315166" s="1"/>
    </row>
    <row r="315167" spans="1:1" x14ac:dyDescent="0.25">
      <c r="A315167" s="1"/>
    </row>
    <row r="315168" spans="1:1" x14ac:dyDescent="0.25">
      <c r="A315168" s="1"/>
    </row>
    <row r="315169" spans="1:1" x14ac:dyDescent="0.25">
      <c r="A315169" s="1"/>
    </row>
    <row r="315170" spans="1:1" x14ac:dyDescent="0.25">
      <c r="A315170" s="1"/>
    </row>
    <row r="315171" spans="1:1" x14ac:dyDescent="0.25">
      <c r="A315171" s="1"/>
    </row>
    <row r="315172" spans="1:1" x14ac:dyDescent="0.25">
      <c r="A315172" s="1"/>
    </row>
    <row r="315173" spans="1:1" x14ac:dyDescent="0.25">
      <c r="A315173" s="1"/>
    </row>
    <row r="315174" spans="1:1" x14ac:dyDescent="0.25">
      <c r="A315174" s="1"/>
    </row>
    <row r="315175" spans="1:1" x14ac:dyDescent="0.25">
      <c r="A315175" s="1"/>
    </row>
    <row r="315176" spans="1:1" x14ac:dyDescent="0.25">
      <c r="A315176" s="1"/>
    </row>
    <row r="315177" spans="1:1" x14ac:dyDescent="0.25">
      <c r="A315177" s="1"/>
    </row>
    <row r="315178" spans="1:1" x14ac:dyDescent="0.25">
      <c r="A315178" s="1"/>
    </row>
    <row r="315179" spans="1:1" x14ac:dyDescent="0.25">
      <c r="A315179" s="1"/>
    </row>
    <row r="315180" spans="1:1" x14ac:dyDescent="0.25">
      <c r="A315180" s="1"/>
    </row>
    <row r="315181" spans="1:1" x14ac:dyDescent="0.25">
      <c r="A315181" s="1"/>
    </row>
    <row r="315182" spans="1:1" x14ac:dyDescent="0.25">
      <c r="A315182" s="1"/>
    </row>
    <row r="315183" spans="1:1" x14ac:dyDescent="0.25">
      <c r="A315183" s="1"/>
    </row>
    <row r="315184" spans="1:1" x14ac:dyDescent="0.25">
      <c r="A315184" s="1"/>
    </row>
    <row r="315185" spans="1:1" x14ac:dyDescent="0.25">
      <c r="A315185" s="1"/>
    </row>
    <row r="315186" spans="1:1" x14ac:dyDescent="0.25">
      <c r="A315186" s="1"/>
    </row>
    <row r="315187" spans="1:1" x14ac:dyDescent="0.25">
      <c r="A315187" s="1"/>
    </row>
    <row r="315188" spans="1:1" x14ac:dyDescent="0.25">
      <c r="A315188" s="1"/>
    </row>
    <row r="315189" spans="1:1" x14ac:dyDescent="0.25">
      <c r="A315189" s="1"/>
    </row>
    <row r="315190" spans="1:1" x14ac:dyDescent="0.25">
      <c r="A315190" s="1"/>
    </row>
    <row r="315191" spans="1:1" x14ac:dyDescent="0.25">
      <c r="A315191" s="1"/>
    </row>
    <row r="315192" spans="1:1" x14ac:dyDescent="0.25">
      <c r="A315192" s="1"/>
    </row>
    <row r="315193" spans="1:1" x14ac:dyDescent="0.25">
      <c r="A315193" s="1"/>
    </row>
    <row r="315194" spans="1:1" x14ac:dyDescent="0.25">
      <c r="A315194" s="1"/>
    </row>
    <row r="315195" spans="1:1" x14ac:dyDescent="0.25">
      <c r="A315195" s="1"/>
    </row>
    <row r="315196" spans="1:1" x14ac:dyDescent="0.25">
      <c r="A315196" s="1"/>
    </row>
    <row r="315197" spans="1:1" x14ac:dyDescent="0.25">
      <c r="A315197" s="1"/>
    </row>
    <row r="315198" spans="1:1" x14ac:dyDescent="0.25">
      <c r="A315198" s="1"/>
    </row>
    <row r="315199" spans="1:1" x14ac:dyDescent="0.25">
      <c r="A315199" s="1"/>
    </row>
    <row r="315200" spans="1:1" x14ac:dyDescent="0.25">
      <c r="A315200" s="1"/>
    </row>
    <row r="315201" spans="1:1" x14ac:dyDescent="0.25">
      <c r="A315201" s="1"/>
    </row>
    <row r="315202" spans="1:1" x14ac:dyDescent="0.25">
      <c r="A315202" s="1"/>
    </row>
    <row r="315203" spans="1:1" x14ac:dyDescent="0.25">
      <c r="A315203" s="1"/>
    </row>
    <row r="315204" spans="1:1" x14ac:dyDescent="0.25">
      <c r="A315204" s="1"/>
    </row>
    <row r="315205" spans="1:1" x14ac:dyDescent="0.25">
      <c r="A315205" s="1"/>
    </row>
    <row r="315206" spans="1:1" x14ac:dyDescent="0.25">
      <c r="A315206" s="1"/>
    </row>
    <row r="315207" spans="1:1" x14ac:dyDescent="0.25">
      <c r="A315207" s="1"/>
    </row>
    <row r="315208" spans="1:1" x14ac:dyDescent="0.25">
      <c r="A315208" s="1"/>
    </row>
    <row r="315209" spans="1:1" x14ac:dyDescent="0.25">
      <c r="A315209" s="1"/>
    </row>
    <row r="315210" spans="1:1" x14ac:dyDescent="0.25">
      <c r="A315210" s="1"/>
    </row>
    <row r="315211" spans="1:1" x14ac:dyDescent="0.25">
      <c r="A315211" s="1"/>
    </row>
    <row r="315212" spans="1:1" x14ac:dyDescent="0.25">
      <c r="A315212" s="1"/>
    </row>
    <row r="315213" spans="1:1" x14ac:dyDescent="0.25">
      <c r="A315213" s="1"/>
    </row>
    <row r="315214" spans="1:1" x14ac:dyDescent="0.25">
      <c r="A315214" s="1"/>
    </row>
    <row r="315215" spans="1:1" x14ac:dyDescent="0.25">
      <c r="A315215" s="1"/>
    </row>
    <row r="315216" spans="1:1" x14ac:dyDescent="0.25">
      <c r="A315216" s="1"/>
    </row>
    <row r="315217" spans="1:1" x14ac:dyDescent="0.25">
      <c r="A315217" s="1"/>
    </row>
    <row r="315218" spans="1:1" x14ac:dyDescent="0.25">
      <c r="A315218" s="1"/>
    </row>
    <row r="315219" spans="1:1" x14ac:dyDescent="0.25">
      <c r="A315219" s="1"/>
    </row>
    <row r="315220" spans="1:1" x14ac:dyDescent="0.25">
      <c r="A315220" s="1"/>
    </row>
    <row r="315221" spans="1:1" x14ac:dyDescent="0.25">
      <c r="A315221" s="1"/>
    </row>
    <row r="315222" spans="1:1" x14ac:dyDescent="0.25">
      <c r="A315222" s="1"/>
    </row>
    <row r="315223" spans="1:1" x14ac:dyDescent="0.25">
      <c r="A315223" s="1"/>
    </row>
    <row r="315224" spans="1:1" x14ac:dyDescent="0.25">
      <c r="A315224" s="1"/>
    </row>
    <row r="315225" spans="1:1" x14ac:dyDescent="0.25">
      <c r="A315225" s="1"/>
    </row>
    <row r="315226" spans="1:1" x14ac:dyDescent="0.25">
      <c r="A315226" s="1"/>
    </row>
    <row r="315227" spans="1:1" x14ac:dyDescent="0.25">
      <c r="A315227" s="1"/>
    </row>
    <row r="315228" spans="1:1" x14ac:dyDescent="0.25">
      <c r="A315228" s="1"/>
    </row>
    <row r="315229" spans="1:1" x14ac:dyDescent="0.25">
      <c r="A315229" s="1"/>
    </row>
    <row r="315230" spans="1:1" x14ac:dyDescent="0.25">
      <c r="A315230" s="1"/>
    </row>
    <row r="315231" spans="1:1" x14ac:dyDescent="0.25">
      <c r="A315231" s="1"/>
    </row>
    <row r="315232" spans="1:1" x14ac:dyDescent="0.25">
      <c r="A315232" s="1"/>
    </row>
    <row r="315233" spans="1:1" x14ac:dyDescent="0.25">
      <c r="A315233" s="1"/>
    </row>
    <row r="315234" spans="1:1" x14ac:dyDescent="0.25">
      <c r="A315234" s="1"/>
    </row>
    <row r="315235" spans="1:1" x14ac:dyDescent="0.25">
      <c r="A315235" s="1"/>
    </row>
    <row r="315236" spans="1:1" x14ac:dyDescent="0.25">
      <c r="A315236" s="1"/>
    </row>
    <row r="315237" spans="1:1" x14ac:dyDescent="0.25">
      <c r="A315237" s="1"/>
    </row>
    <row r="315238" spans="1:1" x14ac:dyDescent="0.25">
      <c r="A315238" s="1"/>
    </row>
    <row r="315239" spans="1:1" x14ac:dyDescent="0.25">
      <c r="A315239" s="1"/>
    </row>
    <row r="315240" spans="1:1" x14ac:dyDescent="0.25">
      <c r="A315240" s="1"/>
    </row>
    <row r="315241" spans="1:1" x14ac:dyDescent="0.25">
      <c r="A315241" s="1"/>
    </row>
    <row r="315242" spans="1:1" x14ac:dyDescent="0.25">
      <c r="A315242" s="1"/>
    </row>
    <row r="315243" spans="1:1" x14ac:dyDescent="0.25">
      <c r="A315243" s="1"/>
    </row>
    <row r="315244" spans="1:1" x14ac:dyDescent="0.25">
      <c r="A315244" s="1"/>
    </row>
    <row r="315245" spans="1:1" x14ac:dyDescent="0.25">
      <c r="A315245" s="1"/>
    </row>
    <row r="315246" spans="1:1" x14ac:dyDescent="0.25">
      <c r="A315246" s="1"/>
    </row>
    <row r="315247" spans="1:1" x14ac:dyDescent="0.25">
      <c r="A315247" s="1"/>
    </row>
    <row r="315248" spans="1:1" x14ac:dyDescent="0.25">
      <c r="A315248" s="1"/>
    </row>
    <row r="315249" spans="1:1" x14ac:dyDescent="0.25">
      <c r="A315249" s="1"/>
    </row>
    <row r="315250" spans="1:1" x14ac:dyDescent="0.25">
      <c r="A315250" s="1"/>
    </row>
    <row r="315251" spans="1:1" x14ac:dyDescent="0.25">
      <c r="A315251" s="1"/>
    </row>
    <row r="315252" spans="1:1" x14ac:dyDescent="0.25">
      <c r="A315252" s="1"/>
    </row>
    <row r="315253" spans="1:1" x14ac:dyDescent="0.25">
      <c r="A315253" s="1"/>
    </row>
    <row r="315254" spans="1:1" x14ac:dyDescent="0.25">
      <c r="A315254" s="1"/>
    </row>
    <row r="315255" spans="1:1" x14ac:dyDescent="0.25">
      <c r="A315255" s="1"/>
    </row>
    <row r="315256" spans="1:1" x14ac:dyDescent="0.25">
      <c r="A315256" s="1"/>
    </row>
    <row r="315257" spans="1:1" x14ac:dyDescent="0.25">
      <c r="A315257" s="1"/>
    </row>
    <row r="315258" spans="1:1" x14ac:dyDescent="0.25">
      <c r="A315258" s="1"/>
    </row>
    <row r="315259" spans="1:1" x14ac:dyDescent="0.25">
      <c r="A315259" s="1"/>
    </row>
    <row r="315260" spans="1:1" x14ac:dyDescent="0.25">
      <c r="A315260" s="1"/>
    </row>
    <row r="315261" spans="1:1" x14ac:dyDescent="0.25">
      <c r="A315261" s="1"/>
    </row>
    <row r="315262" spans="1:1" x14ac:dyDescent="0.25">
      <c r="A315262" s="1"/>
    </row>
    <row r="315263" spans="1:1" x14ac:dyDescent="0.25">
      <c r="A315263" s="1"/>
    </row>
    <row r="315264" spans="1:1" x14ac:dyDescent="0.25">
      <c r="A315264" s="1"/>
    </row>
    <row r="315265" spans="1:1" x14ac:dyDescent="0.25">
      <c r="A315265" s="1"/>
    </row>
    <row r="315266" spans="1:1" x14ac:dyDescent="0.25">
      <c r="A315266" s="1"/>
    </row>
    <row r="315267" spans="1:1" x14ac:dyDescent="0.25">
      <c r="A315267" s="1"/>
    </row>
    <row r="315268" spans="1:1" x14ac:dyDescent="0.25">
      <c r="A315268" s="1"/>
    </row>
    <row r="315269" spans="1:1" x14ac:dyDescent="0.25">
      <c r="A315269" s="1"/>
    </row>
    <row r="315270" spans="1:1" x14ac:dyDescent="0.25">
      <c r="A315270" s="1"/>
    </row>
    <row r="315271" spans="1:1" x14ac:dyDescent="0.25">
      <c r="A315271" s="1"/>
    </row>
    <row r="315272" spans="1:1" x14ac:dyDescent="0.25">
      <c r="A315272" s="1"/>
    </row>
    <row r="315273" spans="1:1" x14ac:dyDescent="0.25">
      <c r="A315273" s="1"/>
    </row>
    <row r="315274" spans="1:1" x14ac:dyDescent="0.25">
      <c r="A315274" s="1"/>
    </row>
    <row r="315275" spans="1:1" x14ac:dyDescent="0.25">
      <c r="A315275" s="1"/>
    </row>
    <row r="315276" spans="1:1" x14ac:dyDescent="0.25">
      <c r="A315276" s="1"/>
    </row>
    <row r="315277" spans="1:1" x14ac:dyDescent="0.25">
      <c r="A315277" s="1"/>
    </row>
    <row r="315278" spans="1:1" x14ac:dyDescent="0.25">
      <c r="A315278" s="1"/>
    </row>
    <row r="315279" spans="1:1" x14ac:dyDescent="0.25">
      <c r="A315279" s="1"/>
    </row>
    <row r="315280" spans="1:1" x14ac:dyDescent="0.25">
      <c r="A315280" s="1"/>
    </row>
    <row r="315281" spans="1:1" x14ac:dyDescent="0.25">
      <c r="A315281" s="1"/>
    </row>
    <row r="315282" spans="1:1" x14ac:dyDescent="0.25">
      <c r="A315282" s="1"/>
    </row>
    <row r="315283" spans="1:1" x14ac:dyDescent="0.25">
      <c r="A315283" s="1"/>
    </row>
    <row r="315284" spans="1:1" x14ac:dyDescent="0.25">
      <c r="A315284" s="1"/>
    </row>
    <row r="315285" spans="1:1" x14ac:dyDescent="0.25">
      <c r="A315285" s="1"/>
    </row>
    <row r="315286" spans="1:1" x14ac:dyDescent="0.25">
      <c r="A315286" s="1"/>
    </row>
    <row r="315287" spans="1:1" x14ac:dyDescent="0.25">
      <c r="A315287" s="1"/>
    </row>
    <row r="315288" spans="1:1" x14ac:dyDescent="0.25">
      <c r="A315288" s="1"/>
    </row>
    <row r="315289" spans="1:1" x14ac:dyDescent="0.25">
      <c r="A315289" s="1"/>
    </row>
    <row r="315290" spans="1:1" x14ac:dyDescent="0.25">
      <c r="A315290" s="1"/>
    </row>
    <row r="315291" spans="1:1" x14ac:dyDescent="0.25">
      <c r="A315291" s="1"/>
    </row>
    <row r="315292" spans="1:1" x14ac:dyDescent="0.25">
      <c r="A315292" s="1"/>
    </row>
    <row r="315293" spans="1:1" x14ac:dyDescent="0.25">
      <c r="A315293" s="1"/>
    </row>
    <row r="315294" spans="1:1" x14ac:dyDescent="0.25">
      <c r="A315294" s="1"/>
    </row>
    <row r="315295" spans="1:1" x14ac:dyDescent="0.25">
      <c r="A315295" s="1"/>
    </row>
    <row r="315296" spans="1:1" x14ac:dyDescent="0.25">
      <c r="A315296" s="1"/>
    </row>
    <row r="315297" spans="1:1" x14ac:dyDescent="0.25">
      <c r="A315297" s="1"/>
    </row>
    <row r="315298" spans="1:1" x14ac:dyDescent="0.25">
      <c r="A315298" s="1"/>
    </row>
    <row r="315299" spans="1:1" x14ac:dyDescent="0.25">
      <c r="A315299" s="1"/>
    </row>
    <row r="315300" spans="1:1" x14ac:dyDescent="0.25">
      <c r="A315300" s="1"/>
    </row>
    <row r="315301" spans="1:1" x14ac:dyDescent="0.25">
      <c r="A315301" s="1"/>
    </row>
    <row r="315302" spans="1:1" x14ac:dyDescent="0.25">
      <c r="A315302" s="1"/>
    </row>
    <row r="315303" spans="1:1" x14ac:dyDescent="0.25">
      <c r="A315303" s="1"/>
    </row>
    <row r="315304" spans="1:1" x14ac:dyDescent="0.25">
      <c r="A315304" s="1"/>
    </row>
    <row r="315305" spans="1:1" x14ac:dyDescent="0.25">
      <c r="A315305" s="1"/>
    </row>
    <row r="315306" spans="1:1" x14ac:dyDescent="0.25">
      <c r="A315306" s="1"/>
    </row>
    <row r="315307" spans="1:1" x14ac:dyDescent="0.25">
      <c r="A315307" s="1"/>
    </row>
    <row r="315308" spans="1:1" x14ac:dyDescent="0.25">
      <c r="A315308" s="1"/>
    </row>
    <row r="315309" spans="1:1" x14ac:dyDescent="0.25">
      <c r="A315309" s="1"/>
    </row>
    <row r="315310" spans="1:1" x14ac:dyDescent="0.25">
      <c r="A315310" s="1"/>
    </row>
    <row r="315311" spans="1:1" x14ac:dyDescent="0.25">
      <c r="A315311" s="1"/>
    </row>
    <row r="315312" spans="1:1" x14ac:dyDescent="0.25">
      <c r="A315312" s="1"/>
    </row>
    <row r="315313" spans="1:1" x14ac:dyDescent="0.25">
      <c r="A315313" s="1"/>
    </row>
    <row r="315314" spans="1:1" x14ac:dyDescent="0.25">
      <c r="A315314" s="1"/>
    </row>
    <row r="315315" spans="1:1" x14ac:dyDescent="0.25">
      <c r="A315315" s="1"/>
    </row>
    <row r="315316" spans="1:1" x14ac:dyDescent="0.25">
      <c r="A315316" s="1"/>
    </row>
    <row r="315317" spans="1:1" x14ac:dyDescent="0.25">
      <c r="A315317" s="1"/>
    </row>
    <row r="315318" spans="1:1" x14ac:dyDescent="0.25">
      <c r="A315318" s="1"/>
    </row>
    <row r="315319" spans="1:1" x14ac:dyDescent="0.25">
      <c r="A315319" s="1"/>
    </row>
    <row r="315320" spans="1:1" x14ac:dyDescent="0.25">
      <c r="A315320" s="1"/>
    </row>
    <row r="315321" spans="1:1" x14ac:dyDescent="0.25">
      <c r="A315321" s="1"/>
    </row>
    <row r="315322" spans="1:1" x14ac:dyDescent="0.25">
      <c r="A315322" s="1"/>
    </row>
    <row r="315323" spans="1:1" x14ac:dyDescent="0.25">
      <c r="A315323" s="1"/>
    </row>
    <row r="315324" spans="1:1" x14ac:dyDescent="0.25">
      <c r="A315324" s="1"/>
    </row>
    <row r="315325" spans="1:1" x14ac:dyDescent="0.25">
      <c r="A315325" s="1"/>
    </row>
    <row r="315326" spans="1:1" x14ac:dyDescent="0.25">
      <c r="A315326" s="1"/>
    </row>
    <row r="315327" spans="1:1" x14ac:dyDescent="0.25">
      <c r="A315327" s="1"/>
    </row>
    <row r="315328" spans="1:1" x14ac:dyDescent="0.25">
      <c r="A315328" s="1"/>
    </row>
    <row r="315329" spans="1:1" x14ac:dyDescent="0.25">
      <c r="A315329" s="1"/>
    </row>
    <row r="315330" spans="1:1" x14ac:dyDescent="0.25">
      <c r="A315330" s="1"/>
    </row>
    <row r="315331" spans="1:1" x14ac:dyDescent="0.25">
      <c r="A315331" s="1"/>
    </row>
    <row r="315332" spans="1:1" x14ac:dyDescent="0.25">
      <c r="A315332" s="1"/>
    </row>
    <row r="315333" spans="1:1" x14ac:dyDescent="0.25">
      <c r="A315333" s="1"/>
    </row>
    <row r="315334" spans="1:1" x14ac:dyDescent="0.25">
      <c r="A315334" s="1"/>
    </row>
    <row r="315335" spans="1:1" x14ac:dyDescent="0.25">
      <c r="A315335" s="1"/>
    </row>
    <row r="315336" spans="1:1" x14ac:dyDescent="0.25">
      <c r="A315336" s="1"/>
    </row>
    <row r="315337" spans="1:1" x14ac:dyDescent="0.25">
      <c r="A315337" s="1"/>
    </row>
    <row r="315338" spans="1:1" x14ac:dyDescent="0.25">
      <c r="A315338" s="1"/>
    </row>
    <row r="315339" spans="1:1" x14ac:dyDescent="0.25">
      <c r="A315339" s="1"/>
    </row>
    <row r="315340" spans="1:1" x14ac:dyDescent="0.25">
      <c r="A315340" s="1"/>
    </row>
    <row r="315341" spans="1:1" x14ac:dyDescent="0.25">
      <c r="A315341" s="1"/>
    </row>
    <row r="315342" spans="1:1" x14ac:dyDescent="0.25">
      <c r="A315342" s="1"/>
    </row>
    <row r="315343" spans="1:1" x14ac:dyDescent="0.25">
      <c r="A315343" s="1"/>
    </row>
    <row r="315344" spans="1:1" x14ac:dyDescent="0.25">
      <c r="A315344" s="1"/>
    </row>
    <row r="315345" spans="1:1" x14ac:dyDescent="0.25">
      <c r="A315345" s="1"/>
    </row>
    <row r="315346" spans="1:1" x14ac:dyDescent="0.25">
      <c r="A315346" s="1"/>
    </row>
    <row r="315347" spans="1:1" x14ac:dyDescent="0.25">
      <c r="A315347" s="1"/>
    </row>
    <row r="315348" spans="1:1" x14ac:dyDescent="0.25">
      <c r="A315348" s="1"/>
    </row>
    <row r="315349" spans="1:1" x14ac:dyDescent="0.25">
      <c r="A315349" s="1"/>
    </row>
    <row r="315350" spans="1:1" x14ac:dyDescent="0.25">
      <c r="A315350" s="1"/>
    </row>
    <row r="315351" spans="1:1" x14ac:dyDescent="0.25">
      <c r="A315351" s="1"/>
    </row>
    <row r="315352" spans="1:1" x14ac:dyDescent="0.25">
      <c r="A315352" s="1"/>
    </row>
    <row r="315353" spans="1:1" x14ac:dyDescent="0.25">
      <c r="A315353" s="1"/>
    </row>
    <row r="315354" spans="1:1" x14ac:dyDescent="0.25">
      <c r="A315354" s="1"/>
    </row>
    <row r="315355" spans="1:1" x14ac:dyDescent="0.25">
      <c r="A315355" s="1"/>
    </row>
    <row r="315356" spans="1:1" x14ac:dyDescent="0.25">
      <c r="A315356" s="1"/>
    </row>
    <row r="315357" spans="1:1" x14ac:dyDescent="0.25">
      <c r="A315357" s="1"/>
    </row>
    <row r="315358" spans="1:1" x14ac:dyDescent="0.25">
      <c r="A315358" s="1"/>
    </row>
    <row r="315359" spans="1:1" x14ac:dyDescent="0.25">
      <c r="A315359" s="1"/>
    </row>
    <row r="315360" spans="1:1" x14ac:dyDescent="0.25">
      <c r="A315360" s="1"/>
    </row>
    <row r="315361" spans="1:1" x14ac:dyDescent="0.25">
      <c r="A315361" s="1"/>
    </row>
    <row r="315362" spans="1:1" x14ac:dyDescent="0.25">
      <c r="A315362" s="1"/>
    </row>
    <row r="315363" spans="1:1" x14ac:dyDescent="0.25">
      <c r="A315363" s="1"/>
    </row>
    <row r="315364" spans="1:1" x14ac:dyDescent="0.25">
      <c r="A315364" s="1"/>
    </row>
    <row r="315365" spans="1:1" x14ac:dyDescent="0.25">
      <c r="A315365" s="1"/>
    </row>
    <row r="315366" spans="1:1" x14ac:dyDescent="0.25">
      <c r="A315366" s="1"/>
    </row>
    <row r="315367" spans="1:1" x14ac:dyDescent="0.25">
      <c r="A315367" s="1"/>
    </row>
    <row r="315368" spans="1:1" x14ac:dyDescent="0.25">
      <c r="A315368" s="1"/>
    </row>
    <row r="315369" spans="1:1" x14ac:dyDescent="0.25">
      <c r="A315369" s="1"/>
    </row>
    <row r="315370" spans="1:1" x14ac:dyDescent="0.25">
      <c r="A315370" s="1"/>
    </row>
    <row r="315371" spans="1:1" x14ac:dyDescent="0.25">
      <c r="A315371" s="1"/>
    </row>
    <row r="315372" spans="1:1" x14ac:dyDescent="0.25">
      <c r="A315372" s="1"/>
    </row>
    <row r="315373" spans="1:1" x14ac:dyDescent="0.25">
      <c r="A315373" s="1"/>
    </row>
    <row r="315374" spans="1:1" x14ac:dyDescent="0.25">
      <c r="A315374" s="1"/>
    </row>
    <row r="315375" spans="1:1" x14ac:dyDescent="0.25">
      <c r="A315375" s="1"/>
    </row>
    <row r="315376" spans="1:1" x14ac:dyDescent="0.25">
      <c r="A315376" s="1"/>
    </row>
    <row r="315377" spans="1:1" x14ac:dyDescent="0.25">
      <c r="A315377" s="1"/>
    </row>
    <row r="315378" spans="1:1" x14ac:dyDescent="0.25">
      <c r="A315378" s="1"/>
    </row>
    <row r="315379" spans="1:1" x14ac:dyDescent="0.25">
      <c r="A315379" s="1"/>
    </row>
    <row r="315380" spans="1:1" x14ac:dyDescent="0.25">
      <c r="A315380" s="1"/>
    </row>
    <row r="315381" spans="1:1" x14ac:dyDescent="0.25">
      <c r="A315381" s="1"/>
    </row>
    <row r="315382" spans="1:1" x14ac:dyDescent="0.25">
      <c r="A315382" s="1"/>
    </row>
    <row r="315383" spans="1:1" x14ac:dyDescent="0.25">
      <c r="A315383" s="1"/>
    </row>
    <row r="315384" spans="1:1" x14ac:dyDescent="0.25">
      <c r="A315384" s="1"/>
    </row>
    <row r="315385" spans="1:1" x14ac:dyDescent="0.25">
      <c r="A315385" s="1"/>
    </row>
    <row r="315386" spans="1:1" x14ac:dyDescent="0.25">
      <c r="A315386" s="1"/>
    </row>
    <row r="315387" spans="1:1" x14ac:dyDescent="0.25">
      <c r="A315387" s="1"/>
    </row>
    <row r="315388" spans="1:1" x14ac:dyDescent="0.25">
      <c r="A315388" s="1"/>
    </row>
    <row r="315389" spans="1:1" x14ac:dyDescent="0.25">
      <c r="A315389" s="1"/>
    </row>
    <row r="315390" spans="1:1" x14ac:dyDescent="0.25">
      <c r="A315390" s="1"/>
    </row>
    <row r="315391" spans="1:1" x14ac:dyDescent="0.25">
      <c r="A315391" s="1"/>
    </row>
    <row r="315392" spans="1:1" x14ac:dyDescent="0.25">
      <c r="A315392" s="1"/>
    </row>
    <row r="315393" spans="1:1" x14ac:dyDescent="0.25">
      <c r="A315393" s="1"/>
    </row>
    <row r="315394" spans="1:1" x14ac:dyDescent="0.25">
      <c r="A315394" s="1"/>
    </row>
    <row r="315395" spans="1:1" x14ac:dyDescent="0.25">
      <c r="A315395" s="1"/>
    </row>
    <row r="315396" spans="1:1" x14ac:dyDescent="0.25">
      <c r="A315396" s="1"/>
    </row>
    <row r="315397" spans="1:1" x14ac:dyDescent="0.25">
      <c r="A315397" s="1"/>
    </row>
    <row r="315398" spans="1:1" x14ac:dyDescent="0.25">
      <c r="A315398" s="1"/>
    </row>
    <row r="315399" spans="1:1" x14ac:dyDescent="0.25">
      <c r="A315399" s="1"/>
    </row>
    <row r="315400" spans="1:1" x14ac:dyDescent="0.25">
      <c r="A315400" s="1"/>
    </row>
    <row r="315401" spans="1:1" x14ac:dyDescent="0.25">
      <c r="A315401" s="1"/>
    </row>
    <row r="315402" spans="1:1" x14ac:dyDescent="0.25">
      <c r="A315402" s="1"/>
    </row>
    <row r="315403" spans="1:1" x14ac:dyDescent="0.25">
      <c r="A315403" s="1"/>
    </row>
    <row r="315404" spans="1:1" x14ac:dyDescent="0.25">
      <c r="A315404" s="1"/>
    </row>
    <row r="315405" spans="1:1" x14ac:dyDescent="0.25">
      <c r="A315405" s="1"/>
    </row>
    <row r="315406" spans="1:1" x14ac:dyDescent="0.25">
      <c r="A315406" s="1"/>
    </row>
    <row r="315407" spans="1:1" x14ac:dyDescent="0.25">
      <c r="A315407" s="1"/>
    </row>
    <row r="315408" spans="1:1" x14ac:dyDescent="0.25">
      <c r="A315408" s="1"/>
    </row>
    <row r="315409" spans="1:1" x14ac:dyDescent="0.25">
      <c r="A315409" s="1"/>
    </row>
    <row r="315410" spans="1:1" x14ac:dyDescent="0.25">
      <c r="A315410" s="1"/>
    </row>
    <row r="315411" spans="1:1" x14ac:dyDescent="0.25">
      <c r="A315411" s="1"/>
    </row>
    <row r="315412" spans="1:1" x14ac:dyDescent="0.25">
      <c r="A315412" s="1"/>
    </row>
    <row r="315413" spans="1:1" x14ac:dyDescent="0.25">
      <c r="A315413" s="1"/>
    </row>
    <row r="315414" spans="1:1" x14ac:dyDescent="0.25">
      <c r="A315414" s="1"/>
    </row>
    <row r="315415" spans="1:1" x14ac:dyDescent="0.25">
      <c r="A315415" s="1"/>
    </row>
    <row r="315416" spans="1:1" x14ac:dyDescent="0.25">
      <c r="A315416" s="1"/>
    </row>
    <row r="315417" spans="1:1" x14ac:dyDescent="0.25">
      <c r="A315417" s="1"/>
    </row>
    <row r="315418" spans="1:1" x14ac:dyDescent="0.25">
      <c r="A315418" s="1"/>
    </row>
    <row r="315419" spans="1:1" x14ac:dyDescent="0.25">
      <c r="A315419" s="1"/>
    </row>
    <row r="315420" spans="1:1" x14ac:dyDescent="0.25">
      <c r="A315420" s="1"/>
    </row>
    <row r="315421" spans="1:1" x14ac:dyDescent="0.25">
      <c r="A315421" s="1"/>
    </row>
    <row r="315422" spans="1:1" x14ac:dyDescent="0.25">
      <c r="A315422" s="1"/>
    </row>
    <row r="315423" spans="1:1" x14ac:dyDescent="0.25">
      <c r="A315423" s="1"/>
    </row>
    <row r="315424" spans="1:1" x14ac:dyDescent="0.25">
      <c r="A315424" s="1"/>
    </row>
    <row r="315425" spans="1:1" x14ac:dyDescent="0.25">
      <c r="A315425" s="1"/>
    </row>
    <row r="315426" spans="1:1" x14ac:dyDescent="0.25">
      <c r="A315426" s="1"/>
    </row>
    <row r="315427" spans="1:1" x14ac:dyDescent="0.25">
      <c r="A315427" s="1"/>
    </row>
    <row r="315428" spans="1:1" x14ac:dyDescent="0.25">
      <c r="A315428" s="1"/>
    </row>
    <row r="315429" spans="1:1" x14ac:dyDescent="0.25">
      <c r="A315429" s="1"/>
    </row>
    <row r="315430" spans="1:1" x14ac:dyDescent="0.25">
      <c r="A315430" s="1"/>
    </row>
    <row r="315431" spans="1:1" x14ac:dyDescent="0.25">
      <c r="A315431" s="1"/>
    </row>
    <row r="315432" spans="1:1" x14ac:dyDescent="0.25">
      <c r="A315432" s="1"/>
    </row>
    <row r="315433" spans="1:1" x14ac:dyDescent="0.25">
      <c r="A315433" s="1"/>
    </row>
    <row r="315434" spans="1:1" x14ac:dyDescent="0.25">
      <c r="A315434" s="1"/>
    </row>
    <row r="315435" spans="1:1" x14ac:dyDescent="0.25">
      <c r="A315435" s="1"/>
    </row>
    <row r="315436" spans="1:1" x14ac:dyDescent="0.25">
      <c r="A315436" s="1"/>
    </row>
    <row r="315437" spans="1:1" x14ac:dyDescent="0.25">
      <c r="A315437" s="1"/>
    </row>
    <row r="315438" spans="1:1" x14ac:dyDescent="0.25">
      <c r="A315438" s="1"/>
    </row>
    <row r="315439" spans="1:1" x14ac:dyDescent="0.25">
      <c r="A315439" s="1"/>
    </row>
    <row r="315440" spans="1:1" x14ac:dyDescent="0.25">
      <c r="A315440" s="1"/>
    </row>
    <row r="315441" spans="1:1" x14ac:dyDescent="0.25">
      <c r="A315441" s="1"/>
    </row>
    <row r="315442" spans="1:1" x14ac:dyDescent="0.25">
      <c r="A315442" s="1"/>
    </row>
    <row r="315443" spans="1:1" x14ac:dyDescent="0.25">
      <c r="A315443" s="1"/>
    </row>
    <row r="315444" spans="1:1" x14ac:dyDescent="0.25">
      <c r="A315444" s="1"/>
    </row>
    <row r="315445" spans="1:1" x14ac:dyDescent="0.25">
      <c r="A315445" s="1"/>
    </row>
    <row r="315446" spans="1:1" x14ac:dyDescent="0.25">
      <c r="A315446" s="1"/>
    </row>
    <row r="315447" spans="1:1" x14ac:dyDescent="0.25">
      <c r="A315447" s="1"/>
    </row>
    <row r="315448" spans="1:1" x14ac:dyDescent="0.25">
      <c r="A315448" s="1"/>
    </row>
    <row r="315449" spans="1:1" x14ac:dyDescent="0.25">
      <c r="A315449" s="1"/>
    </row>
    <row r="315450" spans="1:1" x14ac:dyDescent="0.25">
      <c r="A315450" s="1"/>
    </row>
    <row r="315451" spans="1:1" x14ac:dyDescent="0.25">
      <c r="A315451" s="1"/>
    </row>
    <row r="315452" spans="1:1" x14ac:dyDescent="0.25">
      <c r="A315452" s="1"/>
    </row>
    <row r="315453" spans="1:1" x14ac:dyDescent="0.25">
      <c r="A315453" s="1"/>
    </row>
    <row r="315454" spans="1:1" x14ac:dyDescent="0.25">
      <c r="A315454" s="1"/>
    </row>
    <row r="315455" spans="1:1" x14ac:dyDescent="0.25">
      <c r="A315455" s="1"/>
    </row>
    <row r="315456" spans="1:1" x14ac:dyDescent="0.25">
      <c r="A315456" s="1"/>
    </row>
    <row r="315457" spans="1:1" x14ac:dyDescent="0.25">
      <c r="A315457" s="1"/>
    </row>
    <row r="315458" spans="1:1" x14ac:dyDescent="0.25">
      <c r="A315458" s="1"/>
    </row>
    <row r="315459" spans="1:1" x14ac:dyDescent="0.25">
      <c r="A315459" s="1"/>
    </row>
    <row r="315460" spans="1:1" x14ac:dyDescent="0.25">
      <c r="A315460" s="1"/>
    </row>
    <row r="315461" spans="1:1" x14ac:dyDescent="0.25">
      <c r="A315461" s="1"/>
    </row>
    <row r="315462" spans="1:1" x14ac:dyDescent="0.25">
      <c r="A315462" s="1"/>
    </row>
    <row r="315463" spans="1:1" x14ac:dyDescent="0.25">
      <c r="A315463" s="1"/>
    </row>
    <row r="315464" spans="1:1" x14ac:dyDescent="0.25">
      <c r="A315464" s="1"/>
    </row>
    <row r="315465" spans="1:1" x14ac:dyDescent="0.25">
      <c r="A315465" s="1"/>
    </row>
    <row r="315466" spans="1:1" x14ac:dyDescent="0.25">
      <c r="A315466" s="1"/>
    </row>
    <row r="315467" spans="1:1" x14ac:dyDescent="0.25">
      <c r="A315467" s="1"/>
    </row>
    <row r="315468" spans="1:1" x14ac:dyDescent="0.25">
      <c r="A315468" s="1"/>
    </row>
    <row r="315469" spans="1:1" x14ac:dyDescent="0.25">
      <c r="A315469" s="1"/>
    </row>
    <row r="315470" spans="1:1" x14ac:dyDescent="0.25">
      <c r="A315470" s="1"/>
    </row>
    <row r="315471" spans="1:1" x14ac:dyDescent="0.25">
      <c r="A315471" s="1"/>
    </row>
    <row r="315472" spans="1:1" x14ac:dyDescent="0.25">
      <c r="A315472" s="1"/>
    </row>
    <row r="315473" spans="1:1" x14ac:dyDescent="0.25">
      <c r="A315473" s="1"/>
    </row>
    <row r="315474" spans="1:1" x14ac:dyDescent="0.25">
      <c r="A315474" s="1"/>
    </row>
    <row r="315475" spans="1:1" x14ac:dyDescent="0.25">
      <c r="A315475" s="1"/>
    </row>
    <row r="315476" spans="1:1" x14ac:dyDescent="0.25">
      <c r="A315476" s="1"/>
    </row>
    <row r="315477" spans="1:1" x14ac:dyDescent="0.25">
      <c r="A315477" s="1"/>
    </row>
    <row r="315478" spans="1:1" x14ac:dyDescent="0.25">
      <c r="A315478" s="1"/>
    </row>
    <row r="315479" spans="1:1" x14ac:dyDescent="0.25">
      <c r="A315479" s="1"/>
    </row>
    <row r="315480" spans="1:1" x14ac:dyDescent="0.25">
      <c r="A315480" s="1"/>
    </row>
    <row r="315481" spans="1:1" x14ac:dyDescent="0.25">
      <c r="A315481" s="1"/>
    </row>
    <row r="315482" spans="1:1" x14ac:dyDescent="0.25">
      <c r="A315482" s="1"/>
    </row>
    <row r="315483" spans="1:1" x14ac:dyDescent="0.25">
      <c r="A315483" s="1"/>
    </row>
    <row r="315484" spans="1:1" x14ac:dyDescent="0.25">
      <c r="A315484" s="1"/>
    </row>
    <row r="315485" spans="1:1" x14ac:dyDescent="0.25">
      <c r="A315485" s="1"/>
    </row>
    <row r="315486" spans="1:1" x14ac:dyDescent="0.25">
      <c r="A315486" s="1"/>
    </row>
    <row r="315487" spans="1:1" x14ac:dyDescent="0.25">
      <c r="A315487" s="1"/>
    </row>
    <row r="315488" spans="1:1" x14ac:dyDescent="0.25">
      <c r="A315488" s="1"/>
    </row>
    <row r="315489" spans="1:1" x14ac:dyDescent="0.25">
      <c r="A315489" s="1"/>
    </row>
    <row r="315490" spans="1:1" x14ac:dyDescent="0.25">
      <c r="A315490" s="1"/>
    </row>
    <row r="315491" spans="1:1" x14ac:dyDescent="0.25">
      <c r="A315491" s="1"/>
    </row>
    <row r="315492" spans="1:1" x14ac:dyDescent="0.25">
      <c r="A315492" s="1"/>
    </row>
    <row r="315493" spans="1:1" x14ac:dyDescent="0.25">
      <c r="A315493" s="1"/>
    </row>
    <row r="315494" spans="1:1" x14ac:dyDescent="0.25">
      <c r="A315494" s="1"/>
    </row>
    <row r="315495" spans="1:1" x14ac:dyDescent="0.25">
      <c r="A315495" s="1"/>
    </row>
    <row r="315496" spans="1:1" x14ac:dyDescent="0.25">
      <c r="A315496" s="1"/>
    </row>
    <row r="315497" spans="1:1" x14ac:dyDescent="0.25">
      <c r="A315497" s="1"/>
    </row>
    <row r="315498" spans="1:1" x14ac:dyDescent="0.25">
      <c r="A315498" s="1"/>
    </row>
    <row r="315499" spans="1:1" x14ac:dyDescent="0.25">
      <c r="A315499" s="1"/>
    </row>
    <row r="315500" spans="1:1" x14ac:dyDescent="0.25">
      <c r="A315500" s="1"/>
    </row>
    <row r="315501" spans="1:1" x14ac:dyDescent="0.25">
      <c r="A315501" s="1"/>
    </row>
    <row r="315502" spans="1:1" x14ac:dyDescent="0.25">
      <c r="A315502" s="1"/>
    </row>
    <row r="315503" spans="1:1" x14ac:dyDescent="0.25">
      <c r="A315503" s="1"/>
    </row>
    <row r="315504" spans="1:1" x14ac:dyDescent="0.25">
      <c r="A315504" s="1"/>
    </row>
    <row r="315505" spans="1:1" x14ac:dyDescent="0.25">
      <c r="A315505" s="1"/>
    </row>
    <row r="315506" spans="1:1" x14ac:dyDescent="0.25">
      <c r="A315506" s="1"/>
    </row>
    <row r="315507" spans="1:1" x14ac:dyDescent="0.25">
      <c r="A315507" s="1"/>
    </row>
    <row r="315508" spans="1:1" x14ac:dyDescent="0.25">
      <c r="A315508" s="1"/>
    </row>
    <row r="315509" spans="1:1" x14ac:dyDescent="0.25">
      <c r="A315509" s="1"/>
    </row>
    <row r="315510" spans="1:1" x14ac:dyDescent="0.25">
      <c r="A315510" s="1"/>
    </row>
    <row r="315511" spans="1:1" x14ac:dyDescent="0.25">
      <c r="A315511" s="1"/>
    </row>
    <row r="315512" spans="1:1" x14ac:dyDescent="0.25">
      <c r="A315512" s="1"/>
    </row>
    <row r="315513" spans="1:1" x14ac:dyDescent="0.25">
      <c r="A315513" s="1"/>
    </row>
    <row r="315514" spans="1:1" x14ac:dyDescent="0.25">
      <c r="A315514" s="1"/>
    </row>
    <row r="315515" spans="1:1" x14ac:dyDescent="0.25">
      <c r="A315515" s="1"/>
    </row>
    <row r="315516" spans="1:1" x14ac:dyDescent="0.25">
      <c r="A315516" s="1"/>
    </row>
    <row r="315517" spans="1:1" x14ac:dyDescent="0.25">
      <c r="A315517" s="1"/>
    </row>
    <row r="315518" spans="1:1" x14ac:dyDescent="0.25">
      <c r="A315518" s="1"/>
    </row>
    <row r="315519" spans="1:1" x14ac:dyDescent="0.25">
      <c r="A315519" s="1"/>
    </row>
    <row r="315520" spans="1:1" x14ac:dyDescent="0.25">
      <c r="A315520" s="1"/>
    </row>
    <row r="315521" spans="1:1" x14ac:dyDescent="0.25">
      <c r="A315521" s="1"/>
    </row>
    <row r="315522" spans="1:1" x14ac:dyDescent="0.25">
      <c r="A315522" s="1"/>
    </row>
    <row r="315523" spans="1:1" x14ac:dyDescent="0.25">
      <c r="A315523" s="1"/>
    </row>
    <row r="315524" spans="1:1" x14ac:dyDescent="0.25">
      <c r="A315524" s="1"/>
    </row>
    <row r="315525" spans="1:1" x14ac:dyDescent="0.25">
      <c r="A315525" s="1"/>
    </row>
    <row r="315526" spans="1:1" x14ac:dyDescent="0.25">
      <c r="A315526" s="1"/>
    </row>
    <row r="315527" spans="1:1" x14ac:dyDescent="0.25">
      <c r="A315527" s="1"/>
    </row>
    <row r="315528" spans="1:1" x14ac:dyDescent="0.25">
      <c r="A315528" s="1"/>
    </row>
    <row r="315529" spans="1:1" x14ac:dyDescent="0.25">
      <c r="A315529" s="1"/>
    </row>
    <row r="315530" spans="1:1" x14ac:dyDescent="0.25">
      <c r="A315530" s="1"/>
    </row>
    <row r="315531" spans="1:1" x14ac:dyDescent="0.25">
      <c r="A315531" s="1"/>
    </row>
    <row r="315532" spans="1:1" x14ac:dyDescent="0.25">
      <c r="A315532" s="1"/>
    </row>
    <row r="315533" spans="1:1" x14ac:dyDescent="0.25">
      <c r="A315533" s="1"/>
    </row>
    <row r="315534" spans="1:1" x14ac:dyDescent="0.25">
      <c r="A315534" s="1"/>
    </row>
    <row r="315535" spans="1:1" x14ac:dyDescent="0.25">
      <c r="A315535" s="1"/>
    </row>
    <row r="315536" spans="1:1" x14ac:dyDescent="0.25">
      <c r="A315536" s="1"/>
    </row>
    <row r="315537" spans="1:1" x14ac:dyDescent="0.25">
      <c r="A315537" s="1"/>
    </row>
    <row r="315538" spans="1:1" x14ac:dyDescent="0.25">
      <c r="A315538" s="1"/>
    </row>
    <row r="315539" spans="1:1" x14ac:dyDescent="0.25">
      <c r="A315539" s="1"/>
    </row>
    <row r="315540" spans="1:1" x14ac:dyDescent="0.25">
      <c r="A315540" s="1"/>
    </row>
    <row r="315541" spans="1:1" x14ac:dyDescent="0.25">
      <c r="A315541" s="1"/>
    </row>
    <row r="315542" spans="1:1" x14ac:dyDescent="0.25">
      <c r="A315542" s="1"/>
    </row>
    <row r="315543" spans="1:1" x14ac:dyDescent="0.25">
      <c r="A315543" s="1"/>
    </row>
    <row r="315544" spans="1:1" x14ac:dyDescent="0.25">
      <c r="A315544" s="1"/>
    </row>
    <row r="315545" spans="1:1" x14ac:dyDescent="0.25">
      <c r="A315545" s="1"/>
    </row>
    <row r="315546" spans="1:1" x14ac:dyDescent="0.25">
      <c r="A315546" s="1"/>
    </row>
    <row r="315547" spans="1:1" x14ac:dyDescent="0.25">
      <c r="A315547" s="1"/>
    </row>
    <row r="315548" spans="1:1" x14ac:dyDescent="0.25">
      <c r="A315548" s="1"/>
    </row>
    <row r="315549" spans="1:1" x14ac:dyDescent="0.25">
      <c r="A315549" s="1"/>
    </row>
    <row r="315550" spans="1:1" x14ac:dyDescent="0.25">
      <c r="A315550" s="1"/>
    </row>
    <row r="315551" spans="1:1" x14ac:dyDescent="0.25">
      <c r="A315551" s="1"/>
    </row>
    <row r="315552" spans="1:1" x14ac:dyDescent="0.25">
      <c r="A315552" s="1"/>
    </row>
    <row r="315553" spans="1:1" x14ac:dyDescent="0.25">
      <c r="A315553" s="1"/>
    </row>
    <row r="315554" spans="1:1" x14ac:dyDescent="0.25">
      <c r="A315554" s="1"/>
    </row>
    <row r="315555" spans="1:1" x14ac:dyDescent="0.25">
      <c r="A315555" s="1"/>
    </row>
    <row r="315556" spans="1:1" x14ac:dyDescent="0.25">
      <c r="A315556" s="1"/>
    </row>
    <row r="315557" spans="1:1" x14ac:dyDescent="0.25">
      <c r="A315557" s="1"/>
    </row>
    <row r="315558" spans="1:1" x14ac:dyDescent="0.25">
      <c r="A315558" s="1"/>
    </row>
    <row r="315559" spans="1:1" x14ac:dyDescent="0.25">
      <c r="A315559" s="1"/>
    </row>
    <row r="315560" spans="1:1" x14ac:dyDescent="0.25">
      <c r="A315560" s="1"/>
    </row>
    <row r="315561" spans="1:1" x14ac:dyDescent="0.25">
      <c r="A315561" s="1"/>
    </row>
    <row r="315562" spans="1:1" x14ac:dyDescent="0.25">
      <c r="A315562" s="1"/>
    </row>
    <row r="315563" spans="1:1" x14ac:dyDescent="0.25">
      <c r="A315563" s="1"/>
    </row>
    <row r="315564" spans="1:1" x14ac:dyDescent="0.25">
      <c r="A315564" s="1"/>
    </row>
    <row r="315565" spans="1:1" x14ac:dyDescent="0.25">
      <c r="A315565" s="1"/>
    </row>
    <row r="315566" spans="1:1" x14ac:dyDescent="0.25">
      <c r="A315566" s="1"/>
    </row>
    <row r="315567" spans="1:1" x14ac:dyDescent="0.25">
      <c r="A315567" s="1"/>
    </row>
    <row r="315568" spans="1:1" x14ac:dyDescent="0.25">
      <c r="A315568" s="1"/>
    </row>
    <row r="315569" spans="1:1" x14ac:dyDescent="0.25">
      <c r="A315569" s="1"/>
    </row>
    <row r="315570" spans="1:1" x14ac:dyDescent="0.25">
      <c r="A315570" s="1"/>
    </row>
    <row r="315571" spans="1:1" x14ac:dyDescent="0.25">
      <c r="A315571" s="1"/>
    </row>
    <row r="315572" spans="1:1" x14ac:dyDescent="0.25">
      <c r="A315572" s="1"/>
    </row>
    <row r="315573" spans="1:1" x14ac:dyDescent="0.25">
      <c r="A315573" s="1"/>
    </row>
    <row r="315574" spans="1:1" x14ac:dyDescent="0.25">
      <c r="A315574" s="1"/>
    </row>
    <row r="315575" spans="1:1" x14ac:dyDescent="0.25">
      <c r="A315575" s="1"/>
    </row>
    <row r="315576" spans="1:1" x14ac:dyDescent="0.25">
      <c r="A315576" s="1"/>
    </row>
    <row r="315577" spans="1:1" x14ac:dyDescent="0.25">
      <c r="A315577" s="1"/>
    </row>
    <row r="315578" spans="1:1" x14ac:dyDescent="0.25">
      <c r="A315578" s="1"/>
    </row>
    <row r="315579" spans="1:1" x14ac:dyDescent="0.25">
      <c r="A315579" s="1"/>
    </row>
    <row r="315580" spans="1:1" x14ac:dyDescent="0.25">
      <c r="A315580" s="1"/>
    </row>
    <row r="315581" spans="1:1" x14ac:dyDescent="0.25">
      <c r="A315581" s="1"/>
    </row>
    <row r="315582" spans="1:1" x14ac:dyDescent="0.25">
      <c r="A315582" s="1"/>
    </row>
    <row r="315583" spans="1:1" x14ac:dyDescent="0.25">
      <c r="A315583" s="1"/>
    </row>
    <row r="315584" spans="1:1" x14ac:dyDescent="0.25">
      <c r="A315584" s="1"/>
    </row>
    <row r="315585" spans="1:1" x14ac:dyDescent="0.25">
      <c r="A315585" s="1"/>
    </row>
    <row r="315586" spans="1:1" x14ac:dyDescent="0.25">
      <c r="A315586" s="1"/>
    </row>
    <row r="315587" spans="1:1" x14ac:dyDescent="0.25">
      <c r="A315587" s="1"/>
    </row>
    <row r="315588" spans="1:1" x14ac:dyDescent="0.25">
      <c r="A315588" s="1"/>
    </row>
    <row r="315589" spans="1:1" x14ac:dyDescent="0.25">
      <c r="A315589" s="1"/>
    </row>
    <row r="315590" spans="1:1" x14ac:dyDescent="0.25">
      <c r="A315590" s="1"/>
    </row>
    <row r="315591" spans="1:1" x14ac:dyDescent="0.25">
      <c r="A315591" s="1"/>
    </row>
    <row r="315592" spans="1:1" x14ac:dyDescent="0.25">
      <c r="A315592" s="1"/>
    </row>
    <row r="315593" spans="1:1" x14ac:dyDescent="0.25">
      <c r="A315593" s="1"/>
    </row>
    <row r="315594" spans="1:1" x14ac:dyDescent="0.25">
      <c r="A315594" s="1"/>
    </row>
    <row r="315595" spans="1:1" x14ac:dyDescent="0.25">
      <c r="A315595" s="1"/>
    </row>
    <row r="315596" spans="1:1" x14ac:dyDescent="0.25">
      <c r="A315596" s="1"/>
    </row>
    <row r="315597" spans="1:1" x14ac:dyDescent="0.25">
      <c r="A315597" s="1"/>
    </row>
    <row r="315598" spans="1:1" x14ac:dyDescent="0.25">
      <c r="A315598" s="1"/>
    </row>
    <row r="315599" spans="1:1" x14ac:dyDescent="0.25">
      <c r="A315599" s="1"/>
    </row>
    <row r="315600" spans="1:1" x14ac:dyDescent="0.25">
      <c r="A315600" s="1"/>
    </row>
    <row r="315601" spans="1:1" x14ac:dyDescent="0.25">
      <c r="A315601" s="1"/>
    </row>
    <row r="315602" spans="1:1" x14ac:dyDescent="0.25">
      <c r="A315602" s="1"/>
    </row>
    <row r="315603" spans="1:1" x14ac:dyDescent="0.25">
      <c r="A315603" s="1"/>
    </row>
    <row r="315604" spans="1:1" x14ac:dyDescent="0.25">
      <c r="A315604" s="1"/>
    </row>
    <row r="315605" spans="1:1" x14ac:dyDescent="0.25">
      <c r="A315605" s="1"/>
    </row>
    <row r="315606" spans="1:1" x14ac:dyDescent="0.25">
      <c r="A315606" s="1"/>
    </row>
    <row r="315607" spans="1:1" x14ac:dyDescent="0.25">
      <c r="A315607" s="1"/>
    </row>
    <row r="315608" spans="1:1" x14ac:dyDescent="0.25">
      <c r="A315608" s="1"/>
    </row>
    <row r="315609" spans="1:1" x14ac:dyDescent="0.25">
      <c r="A315609" s="1"/>
    </row>
    <row r="315610" spans="1:1" x14ac:dyDescent="0.25">
      <c r="A315610" s="1"/>
    </row>
    <row r="315611" spans="1:1" x14ac:dyDescent="0.25">
      <c r="A315611" s="1"/>
    </row>
    <row r="315612" spans="1:1" x14ac:dyDescent="0.25">
      <c r="A315612" s="1"/>
    </row>
    <row r="315613" spans="1:1" x14ac:dyDescent="0.25">
      <c r="A315613" s="1"/>
    </row>
    <row r="315614" spans="1:1" x14ac:dyDescent="0.25">
      <c r="A315614" s="1"/>
    </row>
    <row r="315615" spans="1:1" x14ac:dyDescent="0.25">
      <c r="A315615" s="1"/>
    </row>
    <row r="315616" spans="1:1" x14ac:dyDescent="0.25">
      <c r="A315616" s="1"/>
    </row>
    <row r="315617" spans="1:1" x14ac:dyDescent="0.25">
      <c r="A315617" s="1"/>
    </row>
    <row r="315618" spans="1:1" x14ac:dyDescent="0.25">
      <c r="A315618" s="1"/>
    </row>
    <row r="315619" spans="1:1" x14ac:dyDescent="0.25">
      <c r="A315619" s="1"/>
    </row>
    <row r="315620" spans="1:1" x14ac:dyDescent="0.25">
      <c r="A315620" s="1"/>
    </row>
    <row r="315621" spans="1:1" x14ac:dyDescent="0.25">
      <c r="A315621" s="1"/>
    </row>
    <row r="315622" spans="1:1" x14ac:dyDescent="0.25">
      <c r="A315622" s="1"/>
    </row>
    <row r="315623" spans="1:1" x14ac:dyDescent="0.25">
      <c r="A315623" s="1"/>
    </row>
    <row r="315624" spans="1:1" x14ac:dyDescent="0.25">
      <c r="A315624" s="1"/>
    </row>
    <row r="315625" spans="1:1" x14ac:dyDescent="0.25">
      <c r="A315625" s="1"/>
    </row>
    <row r="315626" spans="1:1" x14ac:dyDescent="0.25">
      <c r="A315626" s="1"/>
    </row>
    <row r="315627" spans="1:1" x14ac:dyDescent="0.25">
      <c r="A315627" s="1"/>
    </row>
    <row r="315628" spans="1:1" x14ac:dyDescent="0.25">
      <c r="A315628" s="1"/>
    </row>
    <row r="315629" spans="1:1" x14ac:dyDescent="0.25">
      <c r="A315629" s="1"/>
    </row>
    <row r="315630" spans="1:1" x14ac:dyDescent="0.25">
      <c r="A315630" s="1"/>
    </row>
    <row r="315631" spans="1:1" x14ac:dyDescent="0.25">
      <c r="A315631" s="1"/>
    </row>
    <row r="315632" spans="1:1" x14ac:dyDescent="0.25">
      <c r="A315632" s="1"/>
    </row>
    <row r="315633" spans="1:1" x14ac:dyDescent="0.25">
      <c r="A315633" s="1"/>
    </row>
    <row r="315634" spans="1:1" x14ac:dyDescent="0.25">
      <c r="A315634" s="1"/>
    </row>
    <row r="315635" spans="1:1" x14ac:dyDescent="0.25">
      <c r="A315635" s="1"/>
    </row>
    <row r="315636" spans="1:1" x14ac:dyDescent="0.25">
      <c r="A315636" s="1"/>
    </row>
    <row r="315637" spans="1:1" x14ac:dyDescent="0.25">
      <c r="A315637" s="1"/>
    </row>
    <row r="315638" spans="1:1" x14ac:dyDescent="0.25">
      <c r="A315638" s="1"/>
    </row>
    <row r="315639" spans="1:1" x14ac:dyDescent="0.25">
      <c r="A315639" s="1"/>
    </row>
    <row r="315640" spans="1:1" x14ac:dyDescent="0.25">
      <c r="A315640" s="1"/>
    </row>
    <row r="315641" spans="1:1" x14ac:dyDescent="0.25">
      <c r="A315641" s="1"/>
    </row>
    <row r="315642" spans="1:1" x14ac:dyDescent="0.25">
      <c r="A315642" s="1"/>
    </row>
    <row r="315643" spans="1:1" x14ac:dyDescent="0.25">
      <c r="A315643" s="1"/>
    </row>
    <row r="315644" spans="1:1" x14ac:dyDescent="0.25">
      <c r="A315644" s="1"/>
    </row>
    <row r="315645" spans="1:1" x14ac:dyDescent="0.25">
      <c r="A315645" s="1"/>
    </row>
    <row r="315646" spans="1:1" x14ac:dyDescent="0.25">
      <c r="A315646" s="1"/>
    </row>
    <row r="315647" spans="1:1" x14ac:dyDescent="0.25">
      <c r="A315647" s="1"/>
    </row>
    <row r="315648" spans="1:1" x14ac:dyDescent="0.25">
      <c r="A315648" s="1"/>
    </row>
    <row r="315649" spans="1:1" x14ac:dyDescent="0.25">
      <c r="A315649" s="1"/>
    </row>
    <row r="315650" spans="1:1" x14ac:dyDescent="0.25">
      <c r="A315650" s="1"/>
    </row>
    <row r="315651" spans="1:1" x14ac:dyDescent="0.25">
      <c r="A315651" s="1"/>
    </row>
    <row r="315652" spans="1:1" x14ac:dyDescent="0.25">
      <c r="A315652" s="1"/>
    </row>
    <row r="315653" spans="1:1" x14ac:dyDescent="0.25">
      <c r="A315653" s="1"/>
    </row>
    <row r="315654" spans="1:1" x14ac:dyDescent="0.25">
      <c r="A315654" s="1"/>
    </row>
    <row r="315655" spans="1:1" x14ac:dyDescent="0.25">
      <c r="A315655" s="1"/>
    </row>
    <row r="315656" spans="1:1" x14ac:dyDescent="0.25">
      <c r="A315656" s="1"/>
    </row>
    <row r="315657" spans="1:1" x14ac:dyDescent="0.25">
      <c r="A315657" s="1"/>
    </row>
    <row r="315658" spans="1:1" x14ac:dyDescent="0.25">
      <c r="A315658" s="1"/>
    </row>
    <row r="315659" spans="1:1" x14ac:dyDescent="0.25">
      <c r="A315659" s="1"/>
    </row>
    <row r="315660" spans="1:1" x14ac:dyDescent="0.25">
      <c r="A315660" s="1"/>
    </row>
    <row r="315661" spans="1:1" x14ac:dyDescent="0.25">
      <c r="A315661" s="1"/>
    </row>
    <row r="315662" spans="1:1" x14ac:dyDescent="0.25">
      <c r="A315662" s="1"/>
    </row>
    <row r="315663" spans="1:1" x14ac:dyDescent="0.25">
      <c r="A315663" s="1"/>
    </row>
    <row r="315664" spans="1:1" x14ac:dyDescent="0.25">
      <c r="A315664" s="1"/>
    </row>
    <row r="315665" spans="1:1" x14ac:dyDescent="0.25">
      <c r="A315665" s="1"/>
    </row>
    <row r="315666" spans="1:1" x14ac:dyDescent="0.25">
      <c r="A315666" s="1"/>
    </row>
    <row r="315667" spans="1:1" x14ac:dyDescent="0.25">
      <c r="A315667" s="1"/>
    </row>
    <row r="315668" spans="1:1" x14ac:dyDescent="0.25">
      <c r="A315668" s="1"/>
    </row>
    <row r="315669" spans="1:1" x14ac:dyDescent="0.25">
      <c r="A315669" s="1"/>
    </row>
    <row r="315670" spans="1:1" x14ac:dyDescent="0.25">
      <c r="A315670" s="1"/>
    </row>
    <row r="315671" spans="1:1" x14ac:dyDescent="0.25">
      <c r="A315671" s="1"/>
    </row>
    <row r="315672" spans="1:1" x14ac:dyDescent="0.25">
      <c r="A315672" s="1"/>
    </row>
    <row r="315673" spans="1:1" x14ac:dyDescent="0.25">
      <c r="A315673" s="1"/>
    </row>
    <row r="315674" spans="1:1" x14ac:dyDescent="0.25">
      <c r="A315674" s="1"/>
    </row>
    <row r="315675" spans="1:1" x14ac:dyDescent="0.25">
      <c r="A315675" s="1"/>
    </row>
    <row r="315676" spans="1:1" x14ac:dyDescent="0.25">
      <c r="A315676" s="1"/>
    </row>
    <row r="315677" spans="1:1" x14ac:dyDescent="0.25">
      <c r="A315677" s="1"/>
    </row>
    <row r="315678" spans="1:1" x14ac:dyDescent="0.25">
      <c r="A315678" s="1"/>
    </row>
    <row r="315679" spans="1:1" x14ac:dyDescent="0.25">
      <c r="A315679" s="1"/>
    </row>
    <row r="315680" spans="1:1" x14ac:dyDescent="0.25">
      <c r="A315680" s="1"/>
    </row>
    <row r="315681" spans="1:1" x14ac:dyDescent="0.25">
      <c r="A315681" s="1"/>
    </row>
    <row r="315682" spans="1:1" x14ac:dyDescent="0.25">
      <c r="A315682" s="1"/>
    </row>
    <row r="315683" spans="1:1" x14ac:dyDescent="0.25">
      <c r="A315683" s="1"/>
    </row>
    <row r="315684" spans="1:1" x14ac:dyDescent="0.25">
      <c r="A315684" s="1"/>
    </row>
    <row r="315685" spans="1:1" x14ac:dyDescent="0.25">
      <c r="A315685" s="1"/>
    </row>
    <row r="315686" spans="1:1" x14ac:dyDescent="0.25">
      <c r="A315686" s="1"/>
    </row>
    <row r="315687" spans="1:1" x14ac:dyDescent="0.25">
      <c r="A315687" s="1"/>
    </row>
    <row r="315688" spans="1:1" x14ac:dyDescent="0.25">
      <c r="A315688" s="1"/>
    </row>
    <row r="315689" spans="1:1" x14ac:dyDescent="0.25">
      <c r="A315689" s="1"/>
    </row>
    <row r="315690" spans="1:1" x14ac:dyDescent="0.25">
      <c r="A315690" s="1"/>
    </row>
    <row r="315691" spans="1:1" x14ac:dyDescent="0.25">
      <c r="A315691" s="1"/>
    </row>
    <row r="315692" spans="1:1" x14ac:dyDescent="0.25">
      <c r="A315692" s="1"/>
    </row>
    <row r="315693" spans="1:1" x14ac:dyDescent="0.25">
      <c r="A315693" s="1"/>
    </row>
    <row r="315694" spans="1:1" x14ac:dyDescent="0.25">
      <c r="A315694" s="1"/>
    </row>
    <row r="315695" spans="1:1" x14ac:dyDescent="0.25">
      <c r="A315695" s="1"/>
    </row>
    <row r="315696" spans="1:1" x14ac:dyDescent="0.25">
      <c r="A315696" s="1"/>
    </row>
    <row r="315697" spans="1:1" x14ac:dyDescent="0.25">
      <c r="A315697" s="1"/>
    </row>
    <row r="315698" spans="1:1" x14ac:dyDescent="0.25">
      <c r="A315698" s="1"/>
    </row>
    <row r="315699" spans="1:1" x14ac:dyDescent="0.25">
      <c r="A315699" s="1"/>
    </row>
    <row r="315700" spans="1:1" x14ac:dyDescent="0.25">
      <c r="A315700" s="1"/>
    </row>
    <row r="315701" spans="1:1" x14ac:dyDescent="0.25">
      <c r="A315701" s="1"/>
    </row>
    <row r="315702" spans="1:1" x14ac:dyDescent="0.25">
      <c r="A315702" s="1"/>
    </row>
    <row r="315703" spans="1:1" x14ac:dyDescent="0.25">
      <c r="A315703" s="1"/>
    </row>
    <row r="315704" spans="1:1" x14ac:dyDescent="0.25">
      <c r="A315704" s="1"/>
    </row>
    <row r="315705" spans="1:1" x14ac:dyDescent="0.25">
      <c r="A315705" s="1"/>
    </row>
    <row r="315706" spans="1:1" x14ac:dyDescent="0.25">
      <c r="A315706" s="1"/>
    </row>
    <row r="315707" spans="1:1" x14ac:dyDescent="0.25">
      <c r="A315707" s="1"/>
    </row>
    <row r="315708" spans="1:1" x14ac:dyDescent="0.25">
      <c r="A315708" s="1"/>
    </row>
    <row r="315709" spans="1:1" x14ac:dyDescent="0.25">
      <c r="A315709" s="1"/>
    </row>
    <row r="315710" spans="1:1" x14ac:dyDescent="0.25">
      <c r="A315710" s="1"/>
    </row>
    <row r="315711" spans="1:1" x14ac:dyDescent="0.25">
      <c r="A315711" s="1"/>
    </row>
    <row r="315712" spans="1:1" x14ac:dyDescent="0.25">
      <c r="A315712" s="1"/>
    </row>
    <row r="315713" spans="1:1" x14ac:dyDescent="0.25">
      <c r="A315713" s="1"/>
    </row>
    <row r="315714" spans="1:1" x14ac:dyDescent="0.25">
      <c r="A315714" s="1"/>
    </row>
    <row r="315715" spans="1:1" x14ac:dyDescent="0.25">
      <c r="A315715" s="1"/>
    </row>
    <row r="315716" spans="1:1" x14ac:dyDescent="0.25">
      <c r="A315716" s="1"/>
    </row>
    <row r="315717" spans="1:1" x14ac:dyDescent="0.25">
      <c r="A315717" s="1"/>
    </row>
    <row r="315718" spans="1:1" x14ac:dyDescent="0.25">
      <c r="A315718" s="1"/>
    </row>
    <row r="315719" spans="1:1" x14ac:dyDescent="0.25">
      <c r="A315719" s="1"/>
    </row>
    <row r="315720" spans="1:1" x14ac:dyDescent="0.25">
      <c r="A315720" s="1"/>
    </row>
    <row r="315721" spans="1:1" x14ac:dyDescent="0.25">
      <c r="A315721" s="1"/>
    </row>
    <row r="315722" spans="1:1" x14ac:dyDescent="0.25">
      <c r="A315722" s="1"/>
    </row>
    <row r="315723" spans="1:1" x14ac:dyDescent="0.25">
      <c r="A315723" s="1"/>
    </row>
    <row r="315724" spans="1:1" x14ac:dyDescent="0.25">
      <c r="A315724" s="1"/>
    </row>
    <row r="315725" spans="1:1" x14ac:dyDescent="0.25">
      <c r="A315725" s="1"/>
    </row>
    <row r="315726" spans="1:1" x14ac:dyDescent="0.25">
      <c r="A315726" s="1"/>
    </row>
    <row r="315727" spans="1:1" x14ac:dyDescent="0.25">
      <c r="A315727" s="1"/>
    </row>
    <row r="315728" spans="1:1" x14ac:dyDescent="0.25">
      <c r="A315728" s="1"/>
    </row>
    <row r="315729" spans="1:1" x14ac:dyDescent="0.25">
      <c r="A315729" s="1"/>
    </row>
    <row r="315730" spans="1:1" x14ac:dyDescent="0.25">
      <c r="A315730" s="1"/>
    </row>
    <row r="315731" spans="1:1" x14ac:dyDescent="0.25">
      <c r="A315731" s="1"/>
    </row>
    <row r="315732" spans="1:1" x14ac:dyDescent="0.25">
      <c r="A315732" s="1"/>
    </row>
    <row r="315733" spans="1:1" x14ac:dyDescent="0.25">
      <c r="A315733" s="1"/>
    </row>
    <row r="315734" spans="1:1" x14ac:dyDescent="0.25">
      <c r="A315734" s="1"/>
    </row>
    <row r="315735" spans="1:1" x14ac:dyDescent="0.25">
      <c r="A315735" s="1"/>
    </row>
    <row r="315736" spans="1:1" x14ac:dyDescent="0.25">
      <c r="A315736" s="1"/>
    </row>
    <row r="315737" spans="1:1" x14ac:dyDescent="0.25">
      <c r="A315737" s="1"/>
    </row>
    <row r="315738" spans="1:1" x14ac:dyDescent="0.25">
      <c r="A315738" s="1"/>
    </row>
    <row r="315739" spans="1:1" x14ac:dyDescent="0.25">
      <c r="A315739" s="1"/>
    </row>
    <row r="315740" spans="1:1" x14ac:dyDescent="0.25">
      <c r="A315740" s="1"/>
    </row>
    <row r="315741" spans="1:1" x14ac:dyDescent="0.25">
      <c r="A315741" s="1"/>
    </row>
    <row r="315742" spans="1:1" x14ac:dyDescent="0.25">
      <c r="A315742" s="1"/>
    </row>
    <row r="315743" spans="1:1" x14ac:dyDescent="0.25">
      <c r="A315743" s="1"/>
    </row>
    <row r="315744" spans="1:1" x14ac:dyDescent="0.25">
      <c r="A315744" s="1"/>
    </row>
    <row r="315745" spans="1:1" x14ac:dyDescent="0.25">
      <c r="A315745" s="1"/>
    </row>
    <row r="315746" spans="1:1" x14ac:dyDescent="0.25">
      <c r="A315746" s="1"/>
    </row>
    <row r="315747" spans="1:1" x14ac:dyDescent="0.25">
      <c r="A315747" s="1"/>
    </row>
    <row r="315748" spans="1:1" x14ac:dyDescent="0.25">
      <c r="A315748" s="1"/>
    </row>
    <row r="315749" spans="1:1" x14ac:dyDescent="0.25">
      <c r="A315749" s="1"/>
    </row>
    <row r="315750" spans="1:1" x14ac:dyDescent="0.25">
      <c r="A315750" s="1"/>
    </row>
    <row r="315751" spans="1:1" x14ac:dyDescent="0.25">
      <c r="A315751" s="1"/>
    </row>
    <row r="315752" spans="1:1" x14ac:dyDescent="0.25">
      <c r="A315752" s="1"/>
    </row>
    <row r="315753" spans="1:1" x14ac:dyDescent="0.25">
      <c r="A315753" s="1"/>
    </row>
    <row r="315754" spans="1:1" x14ac:dyDescent="0.25">
      <c r="A315754" s="1"/>
    </row>
    <row r="315755" spans="1:1" x14ac:dyDescent="0.25">
      <c r="A315755" s="1"/>
    </row>
    <row r="315756" spans="1:1" x14ac:dyDescent="0.25">
      <c r="A315756" s="1"/>
    </row>
    <row r="315757" spans="1:1" x14ac:dyDescent="0.25">
      <c r="A315757" s="1"/>
    </row>
    <row r="315758" spans="1:1" x14ac:dyDescent="0.25">
      <c r="A315758" s="1"/>
    </row>
    <row r="315759" spans="1:1" x14ac:dyDescent="0.25">
      <c r="A315759" s="1"/>
    </row>
    <row r="315760" spans="1:1" x14ac:dyDescent="0.25">
      <c r="A315760" s="1"/>
    </row>
    <row r="315761" spans="1:1" x14ac:dyDescent="0.25">
      <c r="A315761" s="1"/>
    </row>
    <row r="315762" spans="1:1" x14ac:dyDescent="0.25">
      <c r="A315762" s="1"/>
    </row>
    <row r="315763" spans="1:1" x14ac:dyDescent="0.25">
      <c r="A315763" s="1"/>
    </row>
    <row r="315764" spans="1:1" x14ac:dyDescent="0.25">
      <c r="A315764" s="1"/>
    </row>
    <row r="315765" spans="1:1" x14ac:dyDescent="0.25">
      <c r="A315765" s="1"/>
    </row>
    <row r="315766" spans="1:1" x14ac:dyDescent="0.25">
      <c r="A315766" s="1"/>
    </row>
    <row r="315767" spans="1:1" x14ac:dyDescent="0.25">
      <c r="A315767" s="1"/>
    </row>
    <row r="315768" spans="1:1" x14ac:dyDescent="0.25">
      <c r="A315768" s="1"/>
    </row>
    <row r="315769" spans="1:1" x14ac:dyDescent="0.25">
      <c r="A315769" s="1"/>
    </row>
    <row r="315770" spans="1:1" x14ac:dyDescent="0.25">
      <c r="A315770" s="1"/>
    </row>
    <row r="315771" spans="1:1" x14ac:dyDescent="0.25">
      <c r="A315771" s="1"/>
    </row>
    <row r="315772" spans="1:1" x14ac:dyDescent="0.25">
      <c r="A315772" s="1"/>
    </row>
    <row r="315773" spans="1:1" x14ac:dyDescent="0.25">
      <c r="A315773" s="1"/>
    </row>
    <row r="315774" spans="1:1" x14ac:dyDescent="0.25">
      <c r="A315774" s="1"/>
    </row>
    <row r="315775" spans="1:1" x14ac:dyDescent="0.25">
      <c r="A315775" s="1"/>
    </row>
    <row r="315776" spans="1:1" x14ac:dyDescent="0.25">
      <c r="A315776" s="1"/>
    </row>
    <row r="315777" spans="1:1" x14ac:dyDescent="0.25">
      <c r="A315777" s="1"/>
    </row>
    <row r="315778" spans="1:1" x14ac:dyDescent="0.25">
      <c r="A315778" s="1"/>
    </row>
    <row r="315779" spans="1:1" x14ac:dyDescent="0.25">
      <c r="A315779" s="1"/>
    </row>
    <row r="315780" spans="1:1" x14ac:dyDescent="0.25">
      <c r="A315780" s="1"/>
    </row>
    <row r="315781" spans="1:1" x14ac:dyDescent="0.25">
      <c r="A315781" s="1"/>
    </row>
    <row r="315782" spans="1:1" x14ac:dyDescent="0.25">
      <c r="A315782" s="1"/>
    </row>
    <row r="315783" spans="1:1" x14ac:dyDescent="0.25">
      <c r="A315783" s="1"/>
    </row>
    <row r="315784" spans="1:1" x14ac:dyDescent="0.25">
      <c r="A315784" s="1"/>
    </row>
    <row r="315785" spans="1:1" x14ac:dyDescent="0.25">
      <c r="A315785" s="1"/>
    </row>
    <row r="315786" spans="1:1" x14ac:dyDescent="0.25">
      <c r="A315786" s="1"/>
    </row>
    <row r="315787" spans="1:1" x14ac:dyDescent="0.25">
      <c r="A315787" s="1"/>
    </row>
    <row r="315788" spans="1:1" x14ac:dyDescent="0.25">
      <c r="A315788" s="1"/>
    </row>
    <row r="315789" spans="1:1" x14ac:dyDescent="0.25">
      <c r="A315789" s="1"/>
    </row>
    <row r="315790" spans="1:1" x14ac:dyDescent="0.25">
      <c r="A315790" s="1"/>
    </row>
    <row r="315791" spans="1:1" x14ac:dyDescent="0.25">
      <c r="A315791" s="1"/>
    </row>
    <row r="315792" spans="1:1" x14ac:dyDescent="0.25">
      <c r="A315792" s="1"/>
    </row>
    <row r="315793" spans="1:1" x14ac:dyDescent="0.25">
      <c r="A315793" s="1"/>
    </row>
    <row r="315794" spans="1:1" x14ac:dyDescent="0.25">
      <c r="A315794" s="1"/>
    </row>
    <row r="315795" spans="1:1" x14ac:dyDescent="0.25">
      <c r="A315795" s="1"/>
    </row>
    <row r="315796" spans="1:1" x14ac:dyDescent="0.25">
      <c r="A315796" s="1"/>
    </row>
    <row r="315797" spans="1:1" x14ac:dyDescent="0.25">
      <c r="A315797" s="1"/>
    </row>
    <row r="315798" spans="1:1" x14ac:dyDescent="0.25">
      <c r="A315798" s="1"/>
    </row>
    <row r="315799" spans="1:1" x14ac:dyDescent="0.25">
      <c r="A315799" s="1"/>
    </row>
    <row r="315800" spans="1:1" x14ac:dyDescent="0.25">
      <c r="A315800" s="1"/>
    </row>
    <row r="315801" spans="1:1" x14ac:dyDescent="0.25">
      <c r="A315801" s="1"/>
    </row>
    <row r="315802" spans="1:1" x14ac:dyDescent="0.25">
      <c r="A315802" s="1"/>
    </row>
    <row r="315803" spans="1:1" x14ac:dyDescent="0.25">
      <c r="A315803" s="1"/>
    </row>
    <row r="315804" spans="1:1" x14ac:dyDescent="0.25">
      <c r="A315804" s="1"/>
    </row>
    <row r="315805" spans="1:1" x14ac:dyDescent="0.25">
      <c r="A315805" s="1"/>
    </row>
    <row r="315806" spans="1:1" x14ac:dyDescent="0.25">
      <c r="A315806" s="1"/>
    </row>
    <row r="315807" spans="1:1" x14ac:dyDescent="0.25">
      <c r="A315807" s="1"/>
    </row>
    <row r="315808" spans="1:1" x14ac:dyDescent="0.25">
      <c r="A315808" s="1"/>
    </row>
    <row r="315809" spans="1:1" x14ac:dyDescent="0.25">
      <c r="A315809" s="1"/>
    </row>
    <row r="315810" spans="1:1" x14ac:dyDescent="0.25">
      <c r="A315810" s="1"/>
    </row>
    <row r="315811" spans="1:1" x14ac:dyDescent="0.25">
      <c r="A315811" s="1"/>
    </row>
    <row r="315812" spans="1:1" x14ac:dyDescent="0.25">
      <c r="A315812" s="1"/>
    </row>
    <row r="315813" spans="1:1" x14ac:dyDescent="0.25">
      <c r="A315813" s="1"/>
    </row>
    <row r="315814" spans="1:1" x14ac:dyDescent="0.25">
      <c r="A315814" s="1"/>
    </row>
    <row r="315815" spans="1:1" x14ac:dyDescent="0.25">
      <c r="A315815" s="1"/>
    </row>
    <row r="315816" spans="1:1" x14ac:dyDescent="0.25">
      <c r="A315816" s="1"/>
    </row>
    <row r="315817" spans="1:1" x14ac:dyDescent="0.25">
      <c r="A315817" s="1"/>
    </row>
    <row r="315818" spans="1:1" x14ac:dyDescent="0.25">
      <c r="A315818" s="1"/>
    </row>
    <row r="315819" spans="1:1" x14ac:dyDescent="0.25">
      <c r="A315819" s="1"/>
    </row>
    <row r="315820" spans="1:1" x14ac:dyDescent="0.25">
      <c r="A315820" s="1"/>
    </row>
    <row r="315821" spans="1:1" x14ac:dyDescent="0.25">
      <c r="A315821" s="1"/>
    </row>
    <row r="315822" spans="1:1" x14ac:dyDescent="0.25">
      <c r="A315822" s="1"/>
    </row>
    <row r="315823" spans="1:1" x14ac:dyDescent="0.25">
      <c r="A315823" s="1"/>
    </row>
    <row r="315824" spans="1:1" x14ac:dyDescent="0.25">
      <c r="A315824" s="1"/>
    </row>
    <row r="315825" spans="1:1" x14ac:dyDescent="0.25">
      <c r="A315825" s="1"/>
    </row>
    <row r="315826" spans="1:1" x14ac:dyDescent="0.25">
      <c r="A315826" s="1"/>
    </row>
    <row r="315827" spans="1:1" x14ac:dyDescent="0.25">
      <c r="A315827" s="1"/>
    </row>
    <row r="315828" spans="1:1" x14ac:dyDescent="0.25">
      <c r="A315828" s="1"/>
    </row>
    <row r="315829" spans="1:1" x14ac:dyDescent="0.25">
      <c r="A315829" s="1"/>
    </row>
    <row r="315830" spans="1:1" x14ac:dyDescent="0.25">
      <c r="A315830" s="1"/>
    </row>
    <row r="315831" spans="1:1" x14ac:dyDescent="0.25">
      <c r="A315831" s="1"/>
    </row>
    <row r="315832" spans="1:1" x14ac:dyDescent="0.25">
      <c r="A315832" s="1"/>
    </row>
    <row r="315833" spans="1:1" x14ac:dyDescent="0.25">
      <c r="A315833" s="1"/>
    </row>
    <row r="315834" spans="1:1" x14ac:dyDescent="0.25">
      <c r="A315834" s="1"/>
    </row>
    <row r="315835" spans="1:1" x14ac:dyDescent="0.25">
      <c r="A315835" s="1"/>
    </row>
    <row r="315836" spans="1:1" x14ac:dyDescent="0.25">
      <c r="A315836" s="1"/>
    </row>
    <row r="315837" spans="1:1" x14ac:dyDescent="0.25">
      <c r="A315837" s="1"/>
    </row>
    <row r="315838" spans="1:1" x14ac:dyDescent="0.25">
      <c r="A315838" s="1"/>
    </row>
    <row r="315839" spans="1:1" x14ac:dyDescent="0.25">
      <c r="A315839" s="1"/>
    </row>
    <row r="315840" spans="1:1" x14ac:dyDescent="0.25">
      <c r="A315840" s="1"/>
    </row>
    <row r="315841" spans="1:1" x14ac:dyDescent="0.25">
      <c r="A315841" s="1"/>
    </row>
    <row r="315842" spans="1:1" x14ac:dyDescent="0.25">
      <c r="A315842" s="1"/>
    </row>
    <row r="315843" spans="1:1" x14ac:dyDescent="0.25">
      <c r="A315843" s="1"/>
    </row>
    <row r="315844" spans="1:1" x14ac:dyDescent="0.25">
      <c r="A315844" s="1"/>
    </row>
    <row r="315845" spans="1:1" x14ac:dyDescent="0.25">
      <c r="A315845" s="1"/>
    </row>
    <row r="315846" spans="1:1" x14ac:dyDescent="0.25">
      <c r="A315846" s="1"/>
    </row>
    <row r="315847" spans="1:1" x14ac:dyDescent="0.25">
      <c r="A315847" s="1"/>
    </row>
    <row r="315848" spans="1:1" x14ac:dyDescent="0.25">
      <c r="A315848" s="1"/>
    </row>
    <row r="315849" spans="1:1" x14ac:dyDescent="0.25">
      <c r="A315849" s="1"/>
    </row>
    <row r="315850" spans="1:1" x14ac:dyDescent="0.25">
      <c r="A315850" s="1"/>
    </row>
    <row r="315851" spans="1:1" x14ac:dyDescent="0.25">
      <c r="A315851" s="1"/>
    </row>
    <row r="315852" spans="1:1" x14ac:dyDescent="0.25">
      <c r="A315852" s="1"/>
    </row>
    <row r="315853" spans="1:1" x14ac:dyDescent="0.25">
      <c r="A315853" s="1"/>
    </row>
    <row r="315854" spans="1:1" x14ac:dyDescent="0.25">
      <c r="A315854" s="1"/>
    </row>
    <row r="315855" spans="1:1" x14ac:dyDescent="0.25">
      <c r="A315855" s="1"/>
    </row>
    <row r="315856" spans="1:1" x14ac:dyDescent="0.25">
      <c r="A315856" s="1"/>
    </row>
    <row r="315857" spans="1:1" x14ac:dyDescent="0.25">
      <c r="A315857" s="1"/>
    </row>
    <row r="315858" spans="1:1" x14ac:dyDescent="0.25">
      <c r="A315858" s="1"/>
    </row>
    <row r="315859" spans="1:1" x14ac:dyDescent="0.25">
      <c r="A315859" s="1"/>
    </row>
    <row r="315860" spans="1:1" x14ac:dyDescent="0.25">
      <c r="A315860" s="1"/>
    </row>
    <row r="315861" spans="1:1" x14ac:dyDescent="0.25">
      <c r="A315861" s="1"/>
    </row>
    <row r="315862" spans="1:1" x14ac:dyDescent="0.25">
      <c r="A315862" s="1"/>
    </row>
    <row r="315863" spans="1:1" x14ac:dyDescent="0.25">
      <c r="A315863" s="1"/>
    </row>
    <row r="315864" spans="1:1" x14ac:dyDescent="0.25">
      <c r="A315864" s="1"/>
    </row>
    <row r="315865" spans="1:1" x14ac:dyDescent="0.25">
      <c r="A315865" s="1"/>
    </row>
    <row r="315866" spans="1:1" x14ac:dyDescent="0.25">
      <c r="A315866" s="1"/>
    </row>
    <row r="315867" spans="1:1" x14ac:dyDescent="0.25">
      <c r="A315867" s="1"/>
    </row>
    <row r="315868" spans="1:1" x14ac:dyDescent="0.25">
      <c r="A315868" s="1"/>
    </row>
    <row r="315869" spans="1:1" x14ac:dyDescent="0.25">
      <c r="A315869" s="1"/>
    </row>
    <row r="315870" spans="1:1" x14ac:dyDescent="0.25">
      <c r="A315870" s="1"/>
    </row>
    <row r="315871" spans="1:1" x14ac:dyDescent="0.25">
      <c r="A315871" s="1"/>
    </row>
    <row r="315872" spans="1:1" x14ac:dyDescent="0.25">
      <c r="A315872" s="1"/>
    </row>
    <row r="315873" spans="1:1" x14ac:dyDescent="0.25">
      <c r="A315873" s="1"/>
    </row>
    <row r="315874" spans="1:1" x14ac:dyDescent="0.25">
      <c r="A315874" s="1"/>
    </row>
    <row r="315875" spans="1:1" x14ac:dyDescent="0.25">
      <c r="A315875" s="1"/>
    </row>
    <row r="315876" spans="1:1" x14ac:dyDescent="0.25">
      <c r="A315876" s="1"/>
    </row>
    <row r="315877" spans="1:1" x14ac:dyDescent="0.25">
      <c r="A315877" s="1"/>
    </row>
    <row r="315878" spans="1:1" x14ac:dyDescent="0.25">
      <c r="A315878" s="1"/>
    </row>
    <row r="315879" spans="1:1" x14ac:dyDescent="0.25">
      <c r="A315879" s="1"/>
    </row>
    <row r="315880" spans="1:1" x14ac:dyDescent="0.25">
      <c r="A315880" s="1"/>
    </row>
    <row r="315881" spans="1:1" x14ac:dyDescent="0.25">
      <c r="A315881" s="1"/>
    </row>
    <row r="315882" spans="1:1" x14ac:dyDescent="0.25">
      <c r="A315882" s="1"/>
    </row>
    <row r="315883" spans="1:1" x14ac:dyDescent="0.25">
      <c r="A315883" s="1"/>
    </row>
    <row r="315884" spans="1:1" x14ac:dyDescent="0.25">
      <c r="A315884" s="1"/>
    </row>
    <row r="315885" spans="1:1" x14ac:dyDescent="0.25">
      <c r="A315885" s="1"/>
    </row>
    <row r="315886" spans="1:1" x14ac:dyDescent="0.25">
      <c r="A315886" s="1"/>
    </row>
    <row r="315887" spans="1:1" x14ac:dyDescent="0.25">
      <c r="A315887" s="1"/>
    </row>
    <row r="315888" spans="1:1" x14ac:dyDescent="0.25">
      <c r="A315888" s="1"/>
    </row>
    <row r="315889" spans="1:1" x14ac:dyDescent="0.25">
      <c r="A315889" s="1"/>
    </row>
    <row r="315890" spans="1:1" x14ac:dyDescent="0.25">
      <c r="A315890" s="1"/>
    </row>
    <row r="315891" spans="1:1" x14ac:dyDescent="0.25">
      <c r="A315891" s="1"/>
    </row>
    <row r="315892" spans="1:1" x14ac:dyDescent="0.25">
      <c r="A315892" s="1"/>
    </row>
    <row r="315893" spans="1:1" x14ac:dyDescent="0.25">
      <c r="A315893" s="1"/>
    </row>
    <row r="315894" spans="1:1" x14ac:dyDescent="0.25">
      <c r="A315894" s="1"/>
    </row>
    <row r="315895" spans="1:1" x14ac:dyDescent="0.25">
      <c r="A315895" s="1"/>
    </row>
    <row r="315896" spans="1:1" x14ac:dyDescent="0.25">
      <c r="A315896" s="1"/>
    </row>
    <row r="315897" spans="1:1" x14ac:dyDescent="0.25">
      <c r="A315897" s="1"/>
    </row>
    <row r="315898" spans="1:1" x14ac:dyDescent="0.25">
      <c r="A315898" s="1"/>
    </row>
    <row r="315899" spans="1:1" x14ac:dyDescent="0.25">
      <c r="A315899" s="1"/>
    </row>
    <row r="315900" spans="1:1" x14ac:dyDescent="0.25">
      <c r="A315900" s="1"/>
    </row>
    <row r="315901" spans="1:1" x14ac:dyDescent="0.25">
      <c r="A315901" s="1"/>
    </row>
    <row r="315902" spans="1:1" x14ac:dyDescent="0.25">
      <c r="A315902" s="1"/>
    </row>
    <row r="315903" spans="1:1" x14ac:dyDescent="0.25">
      <c r="A315903" s="1"/>
    </row>
    <row r="315904" spans="1:1" x14ac:dyDescent="0.25">
      <c r="A315904" s="1"/>
    </row>
    <row r="315905" spans="1:1" x14ac:dyDescent="0.25">
      <c r="A315905" s="1"/>
    </row>
    <row r="315906" spans="1:1" x14ac:dyDescent="0.25">
      <c r="A315906" s="1"/>
    </row>
    <row r="315907" spans="1:1" x14ac:dyDescent="0.25">
      <c r="A315907" s="1"/>
    </row>
    <row r="315908" spans="1:1" x14ac:dyDescent="0.25">
      <c r="A315908" s="1"/>
    </row>
    <row r="315909" spans="1:1" x14ac:dyDescent="0.25">
      <c r="A315909" s="1"/>
    </row>
    <row r="315910" spans="1:1" x14ac:dyDescent="0.25">
      <c r="A315910" s="1"/>
    </row>
    <row r="315911" spans="1:1" x14ac:dyDescent="0.25">
      <c r="A315911" s="1"/>
    </row>
    <row r="315912" spans="1:1" x14ac:dyDescent="0.25">
      <c r="A315912" s="1"/>
    </row>
    <row r="315913" spans="1:1" x14ac:dyDescent="0.25">
      <c r="A315913" s="1"/>
    </row>
    <row r="315914" spans="1:1" x14ac:dyDescent="0.25">
      <c r="A315914" s="1"/>
    </row>
    <row r="315915" spans="1:1" x14ac:dyDescent="0.25">
      <c r="A315915" s="1"/>
    </row>
    <row r="315916" spans="1:1" x14ac:dyDescent="0.25">
      <c r="A315916" s="1"/>
    </row>
    <row r="315917" spans="1:1" x14ac:dyDescent="0.25">
      <c r="A315917" s="1"/>
    </row>
    <row r="315918" spans="1:1" x14ac:dyDescent="0.25">
      <c r="A315918" s="1"/>
    </row>
    <row r="315919" spans="1:1" x14ac:dyDescent="0.25">
      <c r="A315919" s="1"/>
    </row>
    <row r="315920" spans="1:1" x14ac:dyDescent="0.25">
      <c r="A315920" s="1"/>
    </row>
    <row r="315921" spans="1:1" x14ac:dyDescent="0.25">
      <c r="A315921" s="1"/>
    </row>
    <row r="315922" spans="1:1" x14ac:dyDescent="0.25">
      <c r="A315922" s="1"/>
    </row>
    <row r="315923" spans="1:1" x14ac:dyDescent="0.25">
      <c r="A315923" s="1"/>
    </row>
    <row r="315924" spans="1:1" x14ac:dyDescent="0.25">
      <c r="A315924" s="1"/>
    </row>
    <row r="315925" spans="1:1" x14ac:dyDescent="0.25">
      <c r="A315925" s="1"/>
    </row>
    <row r="315926" spans="1:1" x14ac:dyDescent="0.25">
      <c r="A315926" s="1"/>
    </row>
    <row r="315927" spans="1:1" x14ac:dyDescent="0.25">
      <c r="A315927" s="1"/>
    </row>
    <row r="315928" spans="1:1" x14ac:dyDescent="0.25">
      <c r="A315928" s="1"/>
    </row>
    <row r="315929" spans="1:1" x14ac:dyDescent="0.25">
      <c r="A315929" s="1"/>
    </row>
    <row r="315930" spans="1:1" x14ac:dyDescent="0.25">
      <c r="A315930" s="1"/>
    </row>
    <row r="315931" spans="1:1" x14ac:dyDescent="0.25">
      <c r="A315931" s="1"/>
    </row>
    <row r="315932" spans="1:1" x14ac:dyDescent="0.25">
      <c r="A315932" s="1"/>
    </row>
    <row r="315933" spans="1:1" x14ac:dyDescent="0.25">
      <c r="A315933" s="1"/>
    </row>
    <row r="315934" spans="1:1" x14ac:dyDescent="0.25">
      <c r="A315934" s="1"/>
    </row>
    <row r="315935" spans="1:1" x14ac:dyDescent="0.25">
      <c r="A315935" s="1"/>
    </row>
    <row r="315936" spans="1:1" x14ac:dyDescent="0.25">
      <c r="A315936" s="1"/>
    </row>
    <row r="315937" spans="1:1" x14ac:dyDescent="0.25">
      <c r="A315937" s="1"/>
    </row>
    <row r="315938" spans="1:1" x14ac:dyDescent="0.25">
      <c r="A315938" s="1"/>
    </row>
    <row r="315939" spans="1:1" x14ac:dyDescent="0.25">
      <c r="A315939" s="1"/>
    </row>
    <row r="315940" spans="1:1" x14ac:dyDescent="0.25">
      <c r="A315940" s="1"/>
    </row>
    <row r="315941" spans="1:1" x14ac:dyDescent="0.25">
      <c r="A315941" s="1"/>
    </row>
    <row r="315942" spans="1:1" x14ac:dyDescent="0.25">
      <c r="A315942" s="1"/>
    </row>
    <row r="315943" spans="1:1" x14ac:dyDescent="0.25">
      <c r="A315943" s="1"/>
    </row>
    <row r="315944" spans="1:1" x14ac:dyDescent="0.25">
      <c r="A315944" s="1"/>
    </row>
    <row r="315945" spans="1:1" x14ac:dyDescent="0.25">
      <c r="A315945" s="1"/>
    </row>
    <row r="315946" spans="1:1" x14ac:dyDescent="0.25">
      <c r="A315946" s="1"/>
    </row>
    <row r="315947" spans="1:1" x14ac:dyDescent="0.25">
      <c r="A315947" s="1"/>
    </row>
    <row r="315948" spans="1:1" x14ac:dyDescent="0.25">
      <c r="A315948" s="1"/>
    </row>
    <row r="315949" spans="1:1" x14ac:dyDescent="0.25">
      <c r="A315949" s="1"/>
    </row>
    <row r="315950" spans="1:1" x14ac:dyDescent="0.25">
      <c r="A315950" s="1"/>
    </row>
    <row r="315951" spans="1:1" x14ac:dyDescent="0.25">
      <c r="A315951" s="1"/>
    </row>
    <row r="315952" spans="1:1" x14ac:dyDescent="0.25">
      <c r="A315952" s="1"/>
    </row>
    <row r="315953" spans="1:1" x14ac:dyDescent="0.25">
      <c r="A315953" s="1"/>
    </row>
    <row r="315954" spans="1:1" x14ac:dyDescent="0.25">
      <c r="A315954" s="1"/>
    </row>
    <row r="315955" spans="1:1" x14ac:dyDescent="0.25">
      <c r="A315955" s="1"/>
    </row>
    <row r="315956" spans="1:1" x14ac:dyDescent="0.25">
      <c r="A315956" s="1"/>
    </row>
    <row r="315957" spans="1:1" x14ac:dyDescent="0.25">
      <c r="A315957" s="1"/>
    </row>
    <row r="315958" spans="1:1" x14ac:dyDescent="0.25">
      <c r="A315958" s="1"/>
    </row>
    <row r="315959" spans="1:1" x14ac:dyDescent="0.25">
      <c r="A315959" s="1"/>
    </row>
    <row r="315960" spans="1:1" x14ac:dyDescent="0.25">
      <c r="A315960" s="1"/>
    </row>
    <row r="315961" spans="1:1" x14ac:dyDescent="0.25">
      <c r="A315961" s="1"/>
    </row>
    <row r="315962" spans="1:1" x14ac:dyDescent="0.25">
      <c r="A315962" s="1"/>
    </row>
    <row r="315963" spans="1:1" x14ac:dyDescent="0.25">
      <c r="A315963" s="1"/>
    </row>
    <row r="315964" spans="1:1" x14ac:dyDescent="0.25">
      <c r="A315964" s="1"/>
    </row>
    <row r="315965" spans="1:1" x14ac:dyDescent="0.25">
      <c r="A315965" s="1"/>
    </row>
    <row r="315966" spans="1:1" x14ac:dyDescent="0.25">
      <c r="A315966" s="1"/>
    </row>
    <row r="315967" spans="1:1" x14ac:dyDescent="0.25">
      <c r="A315967" s="1"/>
    </row>
    <row r="315968" spans="1:1" x14ac:dyDescent="0.25">
      <c r="A315968" s="1"/>
    </row>
    <row r="315969" spans="1:1" x14ac:dyDescent="0.25">
      <c r="A315969" s="1"/>
    </row>
    <row r="315970" spans="1:1" x14ac:dyDescent="0.25">
      <c r="A315970" s="1"/>
    </row>
    <row r="315971" spans="1:1" x14ac:dyDescent="0.25">
      <c r="A315971" s="1"/>
    </row>
    <row r="315972" spans="1:1" x14ac:dyDescent="0.25">
      <c r="A315972" s="1"/>
    </row>
    <row r="315973" spans="1:1" x14ac:dyDescent="0.25">
      <c r="A315973" s="1"/>
    </row>
    <row r="315974" spans="1:1" x14ac:dyDescent="0.25">
      <c r="A315974" s="1"/>
    </row>
    <row r="315975" spans="1:1" x14ac:dyDescent="0.25">
      <c r="A315975" s="1"/>
    </row>
    <row r="315976" spans="1:1" x14ac:dyDescent="0.25">
      <c r="A315976" s="1"/>
    </row>
    <row r="315977" spans="1:1" x14ac:dyDescent="0.25">
      <c r="A315977" s="1"/>
    </row>
    <row r="315978" spans="1:1" x14ac:dyDescent="0.25">
      <c r="A315978" s="1"/>
    </row>
    <row r="315979" spans="1:1" x14ac:dyDescent="0.25">
      <c r="A315979" s="1"/>
    </row>
    <row r="315980" spans="1:1" x14ac:dyDescent="0.25">
      <c r="A315980" s="1"/>
    </row>
    <row r="315981" spans="1:1" x14ac:dyDescent="0.25">
      <c r="A315981" s="1"/>
    </row>
    <row r="315982" spans="1:1" x14ac:dyDescent="0.25">
      <c r="A315982" s="1"/>
    </row>
    <row r="315983" spans="1:1" x14ac:dyDescent="0.25">
      <c r="A315983" s="1"/>
    </row>
    <row r="315984" spans="1:1" x14ac:dyDescent="0.25">
      <c r="A315984" s="1"/>
    </row>
    <row r="315985" spans="1:1" x14ac:dyDescent="0.25">
      <c r="A315985" s="1"/>
    </row>
    <row r="315986" spans="1:1" x14ac:dyDescent="0.25">
      <c r="A315986" s="1"/>
    </row>
    <row r="315987" spans="1:1" x14ac:dyDescent="0.25">
      <c r="A315987" s="1"/>
    </row>
    <row r="315988" spans="1:1" x14ac:dyDescent="0.25">
      <c r="A315988" s="1"/>
    </row>
    <row r="315989" spans="1:1" x14ac:dyDescent="0.25">
      <c r="A315989" s="1"/>
    </row>
    <row r="315990" spans="1:1" x14ac:dyDescent="0.25">
      <c r="A315990" s="1"/>
    </row>
    <row r="315991" spans="1:1" x14ac:dyDescent="0.25">
      <c r="A315991" s="1"/>
    </row>
    <row r="315992" spans="1:1" x14ac:dyDescent="0.25">
      <c r="A315992" s="1"/>
    </row>
    <row r="315993" spans="1:1" x14ac:dyDescent="0.25">
      <c r="A315993" s="1"/>
    </row>
    <row r="315994" spans="1:1" x14ac:dyDescent="0.25">
      <c r="A315994" s="1"/>
    </row>
    <row r="315995" spans="1:1" x14ac:dyDescent="0.25">
      <c r="A315995" s="1"/>
    </row>
    <row r="315996" spans="1:1" x14ac:dyDescent="0.25">
      <c r="A315996" s="1"/>
    </row>
    <row r="315997" spans="1:1" x14ac:dyDescent="0.25">
      <c r="A315997" s="1"/>
    </row>
    <row r="315998" spans="1:1" x14ac:dyDescent="0.25">
      <c r="A315998" s="1"/>
    </row>
    <row r="315999" spans="1:1" x14ac:dyDescent="0.25">
      <c r="A315999" s="1"/>
    </row>
    <row r="316000" spans="1:1" x14ac:dyDescent="0.25">
      <c r="A316000" s="1"/>
    </row>
    <row r="316001" spans="1:1" x14ac:dyDescent="0.25">
      <c r="A316001" s="1"/>
    </row>
    <row r="316002" spans="1:1" x14ac:dyDescent="0.25">
      <c r="A316002" s="1"/>
    </row>
    <row r="316003" spans="1:1" x14ac:dyDescent="0.25">
      <c r="A316003" s="1"/>
    </row>
    <row r="316004" spans="1:1" x14ac:dyDescent="0.25">
      <c r="A316004" s="1"/>
    </row>
    <row r="316005" spans="1:1" x14ac:dyDescent="0.25">
      <c r="A316005" s="1"/>
    </row>
    <row r="316006" spans="1:1" x14ac:dyDescent="0.25">
      <c r="A316006" s="1"/>
    </row>
    <row r="316007" spans="1:1" x14ac:dyDescent="0.25">
      <c r="A316007" s="1"/>
    </row>
    <row r="316008" spans="1:1" x14ac:dyDescent="0.25">
      <c r="A316008" s="1"/>
    </row>
    <row r="316009" spans="1:1" x14ac:dyDescent="0.25">
      <c r="A316009" s="1"/>
    </row>
    <row r="316010" spans="1:1" x14ac:dyDescent="0.25">
      <c r="A316010" s="1"/>
    </row>
    <row r="316011" spans="1:1" x14ac:dyDescent="0.25">
      <c r="A316011" s="1"/>
    </row>
    <row r="316012" spans="1:1" x14ac:dyDescent="0.25">
      <c r="A316012" s="1"/>
    </row>
    <row r="316013" spans="1:1" x14ac:dyDescent="0.25">
      <c r="A316013" s="1"/>
    </row>
    <row r="316014" spans="1:1" x14ac:dyDescent="0.25">
      <c r="A316014" s="1"/>
    </row>
    <row r="316015" spans="1:1" x14ac:dyDescent="0.25">
      <c r="A316015" s="1"/>
    </row>
    <row r="316016" spans="1:1" x14ac:dyDescent="0.25">
      <c r="A316016" s="1"/>
    </row>
    <row r="316017" spans="1:1" x14ac:dyDescent="0.25">
      <c r="A316017" s="1"/>
    </row>
    <row r="316018" spans="1:1" x14ac:dyDescent="0.25">
      <c r="A316018" s="1"/>
    </row>
    <row r="316019" spans="1:1" x14ac:dyDescent="0.25">
      <c r="A316019" s="1"/>
    </row>
    <row r="316020" spans="1:1" x14ac:dyDescent="0.25">
      <c r="A316020" s="1"/>
    </row>
    <row r="316021" spans="1:1" x14ac:dyDescent="0.25">
      <c r="A316021" s="1"/>
    </row>
    <row r="316022" spans="1:1" x14ac:dyDescent="0.25">
      <c r="A316022" s="1"/>
    </row>
    <row r="316023" spans="1:1" x14ac:dyDescent="0.25">
      <c r="A316023" s="1"/>
    </row>
    <row r="316024" spans="1:1" x14ac:dyDescent="0.25">
      <c r="A316024" s="1"/>
    </row>
    <row r="316025" spans="1:1" x14ac:dyDescent="0.25">
      <c r="A316025" s="1"/>
    </row>
    <row r="316026" spans="1:1" x14ac:dyDescent="0.25">
      <c r="A316026" s="1"/>
    </row>
    <row r="316027" spans="1:1" x14ac:dyDescent="0.25">
      <c r="A316027" s="1"/>
    </row>
    <row r="316028" spans="1:1" x14ac:dyDescent="0.25">
      <c r="A316028" s="1"/>
    </row>
    <row r="316029" spans="1:1" x14ac:dyDescent="0.25">
      <c r="A316029" s="1"/>
    </row>
    <row r="316030" spans="1:1" x14ac:dyDescent="0.25">
      <c r="A316030" s="1"/>
    </row>
    <row r="316031" spans="1:1" x14ac:dyDescent="0.25">
      <c r="A316031" s="1"/>
    </row>
    <row r="316032" spans="1:1" x14ac:dyDescent="0.25">
      <c r="A316032" s="1"/>
    </row>
    <row r="316033" spans="1:1" x14ac:dyDescent="0.25">
      <c r="A316033" s="1"/>
    </row>
    <row r="316034" spans="1:1" x14ac:dyDescent="0.25">
      <c r="A316034" s="1"/>
    </row>
    <row r="316035" spans="1:1" x14ac:dyDescent="0.25">
      <c r="A316035" s="1"/>
    </row>
    <row r="316036" spans="1:1" x14ac:dyDescent="0.25">
      <c r="A316036" s="1"/>
    </row>
    <row r="316037" spans="1:1" x14ac:dyDescent="0.25">
      <c r="A316037" s="1"/>
    </row>
    <row r="316038" spans="1:1" x14ac:dyDescent="0.25">
      <c r="A316038" s="1"/>
    </row>
    <row r="316039" spans="1:1" x14ac:dyDescent="0.25">
      <c r="A316039" s="1"/>
    </row>
    <row r="316040" spans="1:1" x14ac:dyDescent="0.25">
      <c r="A316040" s="1"/>
    </row>
    <row r="316041" spans="1:1" x14ac:dyDescent="0.25">
      <c r="A316041" s="1"/>
    </row>
    <row r="316042" spans="1:1" x14ac:dyDescent="0.25">
      <c r="A316042" s="1"/>
    </row>
    <row r="316043" spans="1:1" x14ac:dyDescent="0.25">
      <c r="A316043" s="1"/>
    </row>
    <row r="316044" spans="1:1" x14ac:dyDescent="0.25">
      <c r="A316044" s="1"/>
    </row>
    <row r="316045" spans="1:1" x14ac:dyDescent="0.25">
      <c r="A316045" s="1"/>
    </row>
    <row r="316046" spans="1:1" x14ac:dyDescent="0.25">
      <c r="A316046" s="1"/>
    </row>
    <row r="316047" spans="1:1" x14ac:dyDescent="0.25">
      <c r="A316047" s="1"/>
    </row>
    <row r="316048" spans="1:1" x14ac:dyDescent="0.25">
      <c r="A316048" s="1"/>
    </row>
    <row r="316049" spans="1:1" x14ac:dyDescent="0.25">
      <c r="A316049" s="1"/>
    </row>
    <row r="316050" spans="1:1" x14ac:dyDescent="0.25">
      <c r="A316050" s="1"/>
    </row>
    <row r="316051" spans="1:1" x14ac:dyDescent="0.25">
      <c r="A316051" s="1"/>
    </row>
    <row r="316052" spans="1:1" x14ac:dyDescent="0.25">
      <c r="A316052" s="1"/>
    </row>
    <row r="316053" spans="1:1" x14ac:dyDescent="0.25">
      <c r="A316053" s="1"/>
    </row>
    <row r="316054" spans="1:1" x14ac:dyDescent="0.25">
      <c r="A316054" s="1"/>
    </row>
    <row r="316055" spans="1:1" x14ac:dyDescent="0.25">
      <c r="A316055" s="1"/>
    </row>
    <row r="316056" spans="1:1" x14ac:dyDescent="0.25">
      <c r="A316056" s="1"/>
    </row>
    <row r="316057" spans="1:1" x14ac:dyDescent="0.25">
      <c r="A316057" s="1"/>
    </row>
    <row r="316058" spans="1:1" x14ac:dyDescent="0.25">
      <c r="A316058" s="1"/>
    </row>
    <row r="316059" spans="1:1" x14ac:dyDescent="0.25">
      <c r="A316059" s="1"/>
    </row>
    <row r="316060" spans="1:1" x14ac:dyDescent="0.25">
      <c r="A316060" s="1"/>
    </row>
    <row r="316061" spans="1:1" x14ac:dyDescent="0.25">
      <c r="A316061" s="1"/>
    </row>
    <row r="316062" spans="1:1" x14ac:dyDescent="0.25">
      <c r="A316062" s="1"/>
    </row>
    <row r="316063" spans="1:1" x14ac:dyDescent="0.25">
      <c r="A316063" s="1"/>
    </row>
    <row r="316064" spans="1:1" x14ac:dyDescent="0.25">
      <c r="A316064" s="1"/>
    </row>
    <row r="316065" spans="1:1" x14ac:dyDescent="0.25">
      <c r="A316065" s="1"/>
    </row>
    <row r="316066" spans="1:1" x14ac:dyDescent="0.25">
      <c r="A316066" s="1"/>
    </row>
    <row r="316067" spans="1:1" x14ac:dyDescent="0.25">
      <c r="A316067" s="1"/>
    </row>
    <row r="316068" spans="1:1" x14ac:dyDescent="0.25">
      <c r="A316068" s="1"/>
    </row>
    <row r="316069" spans="1:1" x14ac:dyDescent="0.25">
      <c r="A316069" s="1"/>
    </row>
    <row r="316070" spans="1:1" x14ac:dyDescent="0.25">
      <c r="A316070" s="1"/>
    </row>
    <row r="316071" spans="1:1" x14ac:dyDescent="0.25">
      <c r="A316071" s="1"/>
    </row>
    <row r="316072" spans="1:1" x14ac:dyDescent="0.25">
      <c r="A316072" s="1"/>
    </row>
    <row r="316073" spans="1:1" x14ac:dyDescent="0.25">
      <c r="A316073" s="1"/>
    </row>
    <row r="316074" spans="1:1" x14ac:dyDescent="0.25">
      <c r="A316074" s="1"/>
    </row>
    <row r="316075" spans="1:1" x14ac:dyDescent="0.25">
      <c r="A316075" s="1"/>
    </row>
    <row r="316076" spans="1:1" x14ac:dyDescent="0.25">
      <c r="A316076" s="1"/>
    </row>
    <row r="316077" spans="1:1" x14ac:dyDescent="0.25">
      <c r="A316077" s="1"/>
    </row>
    <row r="316078" spans="1:1" x14ac:dyDescent="0.25">
      <c r="A316078" s="1"/>
    </row>
    <row r="316079" spans="1:1" x14ac:dyDescent="0.25">
      <c r="A316079" s="1"/>
    </row>
    <row r="316080" spans="1:1" x14ac:dyDescent="0.25">
      <c r="A316080" s="1"/>
    </row>
    <row r="316081" spans="1:1" x14ac:dyDescent="0.25">
      <c r="A316081" s="1"/>
    </row>
    <row r="316082" spans="1:1" x14ac:dyDescent="0.25">
      <c r="A316082" s="1"/>
    </row>
    <row r="316083" spans="1:1" x14ac:dyDescent="0.25">
      <c r="A316083" s="1"/>
    </row>
    <row r="316084" spans="1:1" x14ac:dyDescent="0.25">
      <c r="A316084" s="1"/>
    </row>
    <row r="316085" spans="1:1" x14ac:dyDescent="0.25">
      <c r="A316085" s="1"/>
    </row>
    <row r="316086" spans="1:1" x14ac:dyDescent="0.25">
      <c r="A316086" s="1"/>
    </row>
    <row r="316087" spans="1:1" x14ac:dyDescent="0.25">
      <c r="A316087" s="1"/>
    </row>
    <row r="316088" spans="1:1" x14ac:dyDescent="0.25">
      <c r="A316088" s="1"/>
    </row>
    <row r="316089" spans="1:1" x14ac:dyDescent="0.25">
      <c r="A316089" s="1"/>
    </row>
    <row r="316090" spans="1:1" x14ac:dyDescent="0.25">
      <c r="A316090" s="1"/>
    </row>
    <row r="316091" spans="1:1" x14ac:dyDescent="0.25">
      <c r="A316091" s="1"/>
    </row>
    <row r="316092" spans="1:1" x14ac:dyDescent="0.25">
      <c r="A316092" s="1"/>
    </row>
    <row r="316093" spans="1:1" x14ac:dyDescent="0.25">
      <c r="A316093" s="1"/>
    </row>
    <row r="316094" spans="1:1" x14ac:dyDescent="0.25">
      <c r="A316094" s="1"/>
    </row>
    <row r="316095" spans="1:1" x14ac:dyDescent="0.25">
      <c r="A316095" s="1"/>
    </row>
    <row r="316096" spans="1:1" x14ac:dyDescent="0.25">
      <c r="A316096" s="1"/>
    </row>
    <row r="316097" spans="1:1" x14ac:dyDescent="0.25">
      <c r="A316097" s="1"/>
    </row>
    <row r="316098" spans="1:1" x14ac:dyDescent="0.25">
      <c r="A316098" s="1"/>
    </row>
    <row r="316099" spans="1:1" x14ac:dyDescent="0.25">
      <c r="A316099" s="1"/>
    </row>
    <row r="316100" spans="1:1" x14ac:dyDescent="0.25">
      <c r="A316100" s="1"/>
    </row>
    <row r="316101" spans="1:1" x14ac:dyDescent="0.25">
      <c r="A316101" s="1"/>
    </row>
    <row r="316102" spans="1:1" x14ac:dyDescent="0.25">
      <c r="A316102" s="1"/>
    </row>
    <row r="316103" spans="1:1" x14ac:dyDescent="0.25">
      <c r="A316103" s="1"/>
    </row>
    <row r="316104" spans="1:1" x14ac:dyDescent="0.25">
      <c r="A316104" s="1"/>
    </row>
    <row r="316105" spans="1:1" x14ac:dyDescent="0.25">
      <c r="A316105" s="1"/>
    </row>
    <row r="316106" spans="1:1" x14ac:dyDescent="0.25">
      <c r="A316106" s="1"/>
    </row>
    <row r="316107" spans="1:1" x14ac:dyDescent="0.25">
      <c r="A316107" s="1"/>
    </row>
    <row r="316108" spans="1:1" x14ac:dyDescent="0.25">
      <c r="A316108" s="1"/>
    </row>
    <row r="316109" spans="1:1" x14ac:dyDescent="0.25">
      <c r="A316109" s="1"/>
    </row>
    <row r="316110" spans="1:1" x14ac:dyDescent="0.25">
      <c r="A316110" s="1"/>
    </row>
    <row r="316111" spans="1:1" x14ac:dyDescent="0.25">
      <c r="A316111" s="1"/>
    </row>
    <row r="316112" spans="1:1" x14ac:dyDescent="0.25">
      <c r="A316112" s="1"/>
    </row>
    <row r="316113" spans="1:1" x14ac:dyDescent="0.25">
      <c r="A316113" s="1"/>
    </row>
    <row r="316114" spans="1:1" x14ac:dyDescent="0.25">
      <c r="A316114" s="1"/>
    </row>
    <row r="316115" spans="1:1" x14ac:dyDescent="0.25">
      <c r="A316115" s="1"/>
    </row>
    <row r="316116" spans="1:1" x14ac:dyDescent="0.25">
      <c r="A316116" s="1"/>
    </row>
    <row r="316117" spans="1:1" x14ac:dyDescent="0.25">
      <c r="A316117" s="1"/>
    </row>
    <row r="316118" spans="1:1" x14ac:dyDescent="0.25">
      <c r="A316118" s="1"/>
    </row>
    <row r="316119" spans="1:1" x14ac:dyDescent="0.25">
      <c r="A316119" s="1"/>
    </row>
    <row r="316120" spans="1:1" x14ac:dyDescent="0.25">
      <c r="A316120" s="1"/>
    </row>
    <row r="316121" spans="1:1" x14ac:dyDescent="0.25">
      <c r="A316121" s="1"/>
    </row>
    <row r="316122" spans="1:1" x14ac:dyDescent="0.25">
      <c r="A316122" s="1"/>
    </row>
    <row r="316123" spans="1:1" x14ac:dyDescent="0.25">
      <c r="A316123" s="1"/>
    </row>
    <row r="316124" spans="1:1" x14ac:dyDescent="0.25">
      <c r="A316124" s="1"/>
    </row>
    <row r="316125" spans="1:1" x14ac:dyDescent="0.25">
      <c r="A316125" s="1"/>
    </row>
    <row r="316126" spans="1:1" x14ac:dyDescent="0.25">
      <c r="A316126" s="1"/>
    </row>
    <row r="316127" spans="1:1" x14ac:dyDescent="0.25">
      <c r="A316127" s="1"/>
    </row>
    <row r="316128" spans="1:1" x14ac:dyDescent="0.25">
      <c r="A316128" s="1"/>
    </row>
    <row r="316129" spans="1:1" x14ac:dyDescent="0.25">
      <c r="A316129" s="1"/>
    </row>
    <row r="316130" spans="1:1" x14ac:dyDescent="0.25">
      <c r="A316130" s="1"/>
    </row>
    <row r="316131" spans="1:1" x14ac:dyDescent="0.25">
      <c r="A316131" s="1"/>
    </row>
    <row r="316132" spans="1:1" x14ac:dyDescent="0.25">
      <c r="A316132" s="1"/>
    </row>
    <row r="316133" spans="1:1" x14ac:dyDescent="0.25">
      <c r="A316133" s="1"/>
    </row>
    <row r="316134" spans="1:1" x14ac:dyDescent="0.25">
      <c r="A316134" s="1"/>
    </row>
    <row r="316135" spans="1:1" x14ac:dyDescent="0.25">
      <c r="A316135" s="1"/>
    </row>
    <row r="316136" spans="1:1" x14ac:dyDescent="0.25">
      <c r="A316136" s="1"/>
    </row>
    <row r="316137" spans="1:1" x14ac:dyDescent="0.25">
      <c r="A316137" s="1"/>
    </row>
    <row r="316138" spans="1:1" x14ac:dyDescent="0.25">
      <c r="A316138" s="1"/>
    </row>
    <row r="316139" spans="1:1" x14ac:dyDescent="0.25">
      <c r="A316139" s="1"/>
    </row>
    <row r="316140" spans="1:1" x14ac:dyDescent="0.25">
      <c r="A316140" s="1"/>
    </row>
    <row r="316141" spans="1:1" x14ac:dyDescent="0.25">
      <c r="A316141" s="1"/>
    </row>
    <row r="316142" spans="1:1" x14ac:dyDescent="0.25">
      <c r="A316142" s="1"/>
    </row>
    <row r="316143" spans="1:1" x14ac:dyDescent="0.25">
      <c r="A316143" s="1"/>
    </row>
    <row r="316144" spans="1:1" x14ac:dyDescent="0.25">
      <c r="A316144" s="1"/>
    </row>
    <row r="316145" spans="1:1" x14ac:dyDescent="0.25">
      <c r="A316145" s="1"/>
    </row>
    <row r="316146" spans="1:1" x14ac:dyDescent="0.25">
      <c r="A316146" s="1"/>
    </row>
    <row r="316147" spans="1:1" x14ac:dyDescent="0.25">
      <c r="A316147" s="1"/>
    </row>
    <row r="316148" spans="1:1" x14ac:dyDescent="0.25">
      <c r="A316148" s="1"/>
    </row>
    <row r="316149" spans="1:1" x14ac:dyDescent="0.25">
      <c r="A316149" s="1"/>
    </row>
    <row r="316150" spans="1:1" x14ac:dyDescent="0.25">
      <c r="A316150" s="1"/>
    </row>
    <row r="316151" spans="1:1" x14ac:dyDescent="0.25">
      <c r="A316151" s="1"/>
    </row>
    <row r="316152" spans="1:1" x14ac:dyDescent="0.25">
      <c r="A316152" s="1"/>
    </row>
    <row r="316153" spans="1:1" x14ac:dyDescent="0.25">
      <c r="A316153" s="1"/>
    </row>
    <row r="316154" spans="1:1" x14ac:dyDescent="0.25">
      <c r="A316154" s="1"/>
    </row>
    <row r="316155" spans="1:1" x14ac:dyDescent="0.25">
      <c r="A316155" s="1"/>
    </row>
    <row r="316156" spans="1:1" x14ac:dyDescent="0.25">
      <c r="A316156" s="1"/>
    </row>
    <row r="316157" spans="1:1" x14ac:dyDescent="0.25">
      <c r="A316157" s="1"/>
    </row>
    <row r="316158" spans="1:1" x14ac:dyDescent="0.25">
      <c r="A316158" s="1"/>
    </row>
    <row r="316159" spans="1:1" x14ac:dyDescent="0.25">
      <c r="A316159" s="1"/>
    </row>
    <row r="316160" spans="1:1" x14ac:dyDescent="0.25">
      <c r="A316160" s="1"/>
    </row>
    <row r="316161" spans="1:1" x14ac:dyDescent="0.25">
      <c r="A316161" s="1"/>
    </row>
    <row r="316162" spans="1:1" x14ac:dyDescent="0.25">
      <c r="A316162" s="1"/>
    </row>
    <row r="316163" spans="1:1" x14ac:dyDescent="0.25">
      <c r="A316163" s="1"/>
    </row>
    <row r="316164" spans="1:1" x14ac:dyDescent="0.25">
      <c r="A316164" s="1"/>
    </row>
    <row r="316165" spans="1:1" x14ac:dyDescent="0.25">
      <c r="A316165" s="1"/>
    </row>
    <row r="316166" spans="1:1" x14ac:dyDescent="0.25">
      <c r="A316166" s="1"/>
    </row>
    <row r="316167" spans="1:1" x14ac:dyDescent="0.25">
      <c r="A316167" s="1"/>
    </row>
    <row r="316168" spans="1:1" x14ac:dyDescent="0.25">
      <c r="A316168" s="1"/>
    </row>
    <row r="316169" spans="1:1" x14ac:dyDescent="0.25">
      <c r="A316169" s="1"/>
    </row>
    <row r="316170" spans="1:1" x14ac:dyDescent="0.25">
      <c r="A316170" s="1"/>
    </row>
    <row r="316171" spans="1:1" x14ac:dyDescent="0.25">
      <c r="A316171" s="1"/>
    </row>
    <row r="316172" spans="1:1" x14ac:dyDescent="0.25">
      <c r="A316172" s="1"/>
    </row>
    <row r="316173" spans="1:1" x14ac:dyDescent="0.25">
      <c r="A316173" s="1"/>
    </row>
    <row r="316174" spans="1:1" x14ac:dyDescent="0.25">
      <c r="A316174" s="1"/>
    </row>
    <row r="316175" spans="1:1" x14ac:dyDescent="0.25">
      <c r="A316175" s="1"/>
    </row>
    <row r="316176" spans="1:1" x14ac:dyDescent="0.25">
      <c r="A316176" s="1"/>
    </row>
    <row r="316177" spans="1:1" x14ac:dyDescent="0.25">
      <c r="A316177" s="1"/>
    </row>
    <row r="316178" spans="1:1" x14ac:dyDescent="0.25">
      <c r="A316178" s="1"/>
    </row>
    <row r="316179" spans="1:1" x14ac:dyDescent="0.25">
      <c r="A316179" s="1"/>
    </row>
    <row r="316180" spans="1:1" x14ac:dyDescent="0.25">
      <c r="A316180" s="1"/>
    </row>
    <row r="316181" spans="1:1" x14ac:dyDescent="0.25">
      <c r="A316181" s="1"/>
    </row>
    <row r="316182" spans="1:1" x14ac:dyDescent="0.25">
      <c r="A316182" s="1"/>
    </row>
    <row r="316183" spans="1:1" x14ac:dyDescent="0.25">
      <c r="A316183" s="1"/>
    </row>
    <row r="316184" spans="1:1" x14ac:dyDescent="0.25">
      <c r="A316184" s="1"/>
    </row>
    <row r="316185" spans="1:1" x14ac:dyDescent="0.25">
      <c r="A316185" s="1"/>
    </row>
    <row r="316186" spans="1:1" x14ac:dyDescent="0.25">
      <c r="A316186" s="1"/>
    </row>
    <row r="316187" spans="1:1" x14ac:dyDescent="0.25">
      <c r="A316187" s="1"/>
    </row>
    <row r="316188" spans="1:1" x14ac:dyDescent="0.25">
      <c r="A316188" s="1"/>
    </row>
    <row r="316189" spans="1:1" x14ac:dyDescent="0.25">
      <c r="A316189" s="1"/>
    </row>
    <row r="316190" spans="1:1" x14ac:dyDescent="0.25">
      <c r="A316190" s="1"/>
    </row>
    <row r="316191" spans="1:1" x14ac:dyDescent="0.25">
      <c r="A316191" s="1"/>
    </row>
    <row r="316192" spans="1:1" x14ac:dyDescent="0.25">
      <c r="A316192" s="1"/>
    </row>
    <row r="316193" spans="1:1" x14ac:dyDescent="0.25">
      <c r="A316193" s="1"/>
    </row>
    <row r="316194" spans="1:1" x14ac:dyDescent="0.25">
      <c r="A316194" s="1"/>
    </row>
    <row r="316195" spans="1:1" x14ac:dyDescent="0.25">
      <c r="A316195" s="1"/>
    </row>
    <row r="316196" spans="1:1" x14ac:dyDescent="0.25">
      <c r="A316196" s="1"/>
    </row>
    <row r="316197" spans="1:1" x14ac:dyDescent="0.25">
      <c r="A316197" s="1"/>
    </row>
    <row r="316198" spans="1:1" x14ac:dyDescent="0.25">
      <c r="A316198" s="1"/>
    </row>
    <row r="316199" spans="1:1" x14ac:dyDescent="0.25">
      <c r="A316199" s="1"/>
    </row>
    <row r="316200" spans="1:1" x14ac:dyDescent="0.25">
      <c r="A316200" s="1"/>
    </row>
    <row r="316201" spans="1:1" x14ac:dyDescent="0.25">
      <c r="A316201" s="1"/>
    </row>
    <row r="316202" spans="1:1" x14ac:dyDescent="0.25">
      <c r="A316202" s="1"/>
    </row>
    <row r="316203" spans="1:1" x14ac:dyDescent="0.25">
      <c r="A316203" s="1"/>
    </row>
    <row r="316204" spans="1:1" x14ac:dyDescent="0.25">
      <c r="A316204" s="1"/>
    </row>
    <row r="316205" spans="1:1" x14ac:dyDescent="0.25">
      <c r="A316205" s="1"/>
    </row>
    <row r="316206" spans="1:1" x14ac:dyDescent="0.25">
      <c r="A316206" s="1"/>
    </row>
    <row r="316207" spans="1:1" x14ac:dyDescent="0.25">
      <c r="A316207" s="1"/>
    </row>
    <row r="316208" spans="1:1" x14ac:dyDescent="0.25">
      <c r="A316208" s="1"/>
    </row>
    <row r="316209" spans="1:1" x14ac:dyDescent="0.25">
      <c r="A316209" s="1"/>
    </row>
    <row r="316210" spans="1:1" x14ac:dyDescent="0.25">
      <c r="A316210" s="1"/>
    </row>
    <row r="316211" spans="1:1" x14ac:dyDescent="0.25">
      <c r="A316211" s="1"/>
    </row>
    <row r="316212" spans="1:1" x14ac:dyDescent="0.25">
      <c r="A316212" s="1"/>
    </row>
    <row r="316213" spans="1:1" x14ac:dyDescent="0.25">
      <c r="A316213" s="1"/>
    </row>
    <row r="316214" spans="1:1" x14ac:dyDescent="0.25">
      <c r="A316214" s="1"/>
    </row>
    <row r="316215" spans="1:1" x14ac:dyDescent="0.25">
      <c r="A316215" s="1"/>
    </row>
    <row r="316216" spans="1:1" x14ac:dyDescent="0.25">
      <c r="A316216" s="1"/>
    </row>
    <row r="316217" spans="1:1" x14ac:dyDescent="0.25">
      <c r="A316217" s="1"/>
    </row>
    <row r="316218" spans="1:1" x14ac:dyDescent="0.25">
      <c r="A316218" s="1"/>
    </row>
    <row r="316219" spans="1:1" x14ac:dyDescent="0.25">
      <c r="A316219" s="1"/>
    </row>
    <row r="316220" spans="1:1" x14ac:dyDescent="0.25">
      <c r="A316220" s="1"/>
    </row>
    <row r="316221" spans="1:1" x14ac:dyDescent="0.25">
      <c r="A316221" s="1"/>
    </row>
    <row r="316222" spans="1:1" x14ac:dyDescent="0.25">
      <c r="A316222" s="1"/>
    </row>
    <row r="316223" spans="1:1" x14ac:dyDescent="0.25">
      <c r="A316223" s="1"/>
    </row>
    <row r="316224" spans="1:1" x14ac:dyDescent="0.25">
      <c r="A316224" s="1"/>
    </row>
    <row r="316225" spans="1:1" x14ac:dyDescent="0.25">
      <c r="A316225" s="1"/>
    </row>
    <row r="316226" spans="1:1" x14ac:dyDescent="0.25">
      <c r="A316226" s="1"/>
    </row>
    <row r="316227" spans="1:1" x14ac:dyDescent="0.25">
      <c r="A316227" s="1"/>
    </row>
    <row r="316228" spans="1:1" x14ac:dyDescent="0.25">
      <c r="A316228" s="1"/>
    </row>
    <row r="316229" spans="1:1" x14ac:dyDescent="0.25">
      <c r="A316229" s="1"/>
    </row>
    <row r="316230" spans="1:1" x14ac:dyDescent="0.25">
      <c r="A316230" s="1"/>
    </row>
    <row r="316231" spans="1:1" x14ac:dyDescent="0.25">
      <c r="A316231" s="1"/>
    </row>
    <row r="316232" spans="1:1" x14ac:dyDescent="0.25">
      <c r="A316232" s="1"/>
    </row>
    <row r="316233" spans="1:1" x14ac:dyDescent="0.25">
      <c r="A316233" s="1"/>
    </row>
    <row r="316234" spans="1:1" x14ac:dyDescent="0.25">
      <c r="A316234" s="1"/>
    </row>
    <row r="316235" spans="1:1" x14ac:dyDescent="0.25">
      <c r="A316235" s="1"/>
    </row>
    <row r="316236" spans="1:1" x14ac:dyDescent="0.25">
      <c r="A316236" s="1"/>
    </row>
    <row r="316237" spans="1:1" x14ac:dyDescent="0.25">
      <c r="A316237" s="1"/>
    </row>
    <row r="316238" spans="1:1" x14ac:dyDescent="0.25">
      <c r="A316238" s="1"/>
    </row>
    <row r="316239" spans="1:1" x14ac:dyDescent="0.25">
      <c r="A316239" s="1"/>
    </row>
    <row r="316240" spans="1:1" x14ac:dyDescent="0.25">
      <c r="A316240" s="1"/>
    </row>
    <row r="316241" spans="1:1" x14ac:dyDescent="0.25">
      <c r="A316241" s="1"/>
    </row>
    <row r="316242" spans="1:1" x14ac:dyDescent="0.25">
      <c r="A316242" s="1"/>
    </row>
    <row r="316243" spans="1:1" x14ac:dyDescent="0.25">
      <c r="A316243" s="1"/>
    </row>
    <row r="316244" spans="1:1" x14ac:dyDescent="0.25">
      <c r="A316244" s="1"/>
    </row>
    <row r="316245" spans="1:1" x14ac:dyDescent="0.25">
      <c r="A316245" s="1"/>
    </row>
    <row r="316246" spans="1:1" x14ac:dyDescent="0.25">
      <c r="A316246" s="1"/>
    </row>
    <row r="316247" spans="1:1" x14ac:dyDescent="0.25">
      <c r="A316247" s="1"/>
    </row>
    <row r="316248" spans="1:1" x14ac:dyDescent="0.25">
      <c r="A316248" s="1"/>
    </row>
    <row r="316249" spans="1:1" x14ac:dyDescent="0.25">
      <c r="A316249" s="1"/>
    </row>
    <row r="316250" spans="1:1" x14ac:dyDescent="0.25">
      <c r="A316250" s="1"/>
    </row>
    <row r="316251" spans="1:1" x14ac:dyDescent="0.25">
      <c r="A316251" s="1"/>
    </row>
    <row r="316252" spans="1:1" x14ac:dyDescent="0.25">
      <c r="A316252" s="1"/>
    </row>
    <row r="316253" spans="1:1" x14ac:dyDescent="0.25">
      <c r="A316253" s="1"/>
    </row>
    <row r="316254" spans="1:1" x14ac:dyDescent="0.25">
      <c r="A316254" s="1"/>
    </row>
    <row r="316255" spans="1:1" x14ac:dyDescent="0.25">
      <c r="A316255" s="1"/>
    </row>
    <row r="316256" spans="1:1" x14ac:dyDescent="0.25">
      <c r="A316256" s="1"/>
    </row>
    <row r="316257" spans="1:1" x14ac:dyDescent="0.25">
      <c r="A316257" s="1"/>
    </row>
    <row r="316258" spans="1:1" x14ac:dyDescent="0.25">
      <c r="A316258" s="1"/>
    </row>
    <row r="316259" spans="1:1" x14ac:dyDescent="0.25">
      <c r="A316259" s="1"/>
    </row>
    <row r="316260" spans="1:1" x14ac:dyDescent="0.25">
      <c r="A316260" s="1"/>
    </row>
    <row r="316261" spans="1:1" x14ac:dyDescent="0.25">
      <c r="A316261" s="1"/>
    </row>
    <row r="316262" spans="1:1" x14ac:dyDescent="0.25">
      <c r="A316262" s="1"/>
    </row>
    <row r="316263" spans="1:1" x14ac:dyDescent="0.25">
      <c r="A316263" s="1"/>
    </row>
    <row r="316264" spans="1:1" x14ac:dyDescent="0.25">
      <c r="A316264" s="1"/>
    </row>
    <row r="316265" spans="1:1" x14ac:dyDescent="0.25">
      <c r="A316265" s="1"/>
    </row>
    <row r="316266" spans="1:1" x14ac:dyDescent="0.25">
      <c r="A316266" s="1"/>
    </row>
    <row r="316267" spans="1:1" x14ac:dyDescent="0.25">
      <c r="A316267" s="1"/>
    </row>
    <row r="316268" spans="1:1" x14ac:dyDescent="0.25">
      <c r="A316268" s="1"/>
    </row>
    <row r="316269" spans="1:1" x14ac:dyDescent="0.25">
      <c r="A316269" s="1"/>
    </row>
    <row r="316270" spans="1:1" x14ac:dyDescent="0.25">
      <c r="A316270" s="1"/>
    </row>
    <row r="316271" spans="1:1" x14ac:dyDescent="0.25">
      <c r="A316271" s="1"/>
    </row>
    <row r="316272" spans="1:1" x14ac:dyDescent="0.25">
      <c r="A316272" s="1"/>
    </row>
    <row r="316273" spans="1:1" x14ac:dyDescent="0.25">
      <c r="A316273" s="1"/>
    </row>
    <row r="316274" spans="1:1" x14ac:dyDescent="0.25">
      <c r="A316274" s="1"/>
    </row>
    <row r="316275" spans="1:1" x14ac:dyDescent="0.25">
      <c r="A316275" s="1"/>
    </row>
    <row r="316276" spans="1:1" x14ac:dyDescent="0.25">
      <c r="A316276" s="1"/>
    </row>
    <row r="316277" spans="1:1" x14ac:dyDescent="0.25">
      <c r="A316277" s="1"/>
    </row>
    <row r="316278" spans="1:1" x14ac:dyDescent="0.25">
      <c r="A316278" s="1"/>
    </row>
    <row r="316279" spans="1:1" x14ac:dyDescent="0.25">
      <c r="A316279" s="1"/>
    </row>
    <row r="316280" spans="1:1" x14ac:dyDescent="0.25">
      <c r="A316280" s="1"/>
    </row>
    <row r="316281" spans="1:1" x14ac:dyDescent="0.25">
      <c r="A316281" s="1"/>
    </row>
    <row r="316282" spans="1:1" x14ac:dyDescent="0.25">
      <c r="A316282" s="1"/>
    </row>
    <row r="316283" spans="1:1" x14ac:dyDescent="0.25">
      <c r="A316283" s="1"/>
    </row>
    <row r="316284" spans="1:1" x14ac:dyDescent="0.25">
      <c r="A316284" s="1"/>
    </row>
    <row r="316285" spans="1:1" x14ac:dyDescent="0.25">
      <c r="A316285" s="1"/>
    </row>
    <row r="316286" spans="1:1" x14ac:dyDescent="0.25">
      <c r="A316286" s="1"/>
    </row>
    <row r="316287" spans="1:1" x14ac:dyDescent="0.25">
      <c r="A316287" s="1"/>
    </row>
    <row r="316288" spans="1:1" x14ac:dyDescent="0.25">
      <c r="A316288" s="1"/>
    </row>
    <row r="316289" spans="1:1" x14ac:dyDescent="0.25">
      <c r="A316289" s="1"/>
    </row>
    <row r="316290" spans="1:1" x14ac:dyDescent="0.25">
      <c r="A316290" s="1"/>
    </row>
    <row r="316291" spans="1:1" x14ac:dyDescent="0.25">
      <c r="A316291" s="1"/>
    </row>
    <row r="316292" spans="1:1" x14ac:dyDescent="0.25">
      <c r="A316292" s="1"/>
    </row>
    <row r="316293" spans="1:1" x14ac:dyDescent="0.25">
      <c r="A316293" s="1"/>
    </row>
    <row r="316294" spans="1:1" x14ac:dyDescent="0.25">
      <c r="A316294" s="1"/>
    </row>
    <row r="316295" spans="1:1" x14ac:dyDescent="0.25">
      <c r="A316295" s="1"/>
    </row>
    <row r="316296" spans="1:1" x14ac:dyDescent="0.25">
      <c r="A316296" s="1"/>
    </row>
    <row r="316297" spans="1:1" x14ac:dyDescent="0.25">
      <c r="A316297" s="1"/>
    </row>
    <row r="316298" spans="1:1" x14ac:dyDescent="0.25">
      <c r="A316298" s="1"/>
    </row>
    <row r="316299" spans="1:1" x14ac:dyDescent="0.25">
      <c r="A316299" s="1"/>
    </row>
    <row r="316300" spans="1:1" x14ac:dyDescent="0.25">
      <c r="A316300" s="1"/>
    </row>
    <row r="316301" spans="1:1" x14ac:dyDescent="0.25">
      <c r="A316301" s="1"/>
    </row>
    <row r="316302" spans="1:1" x14ac:dyDescent="0.25">
      <c r="A316302" s="1"/>
    </row>
    <row r="316303" spans="1:1" x14ac:dyDescent="0.25">
      <c r="A316303" s="1"/>
    </row>
    <row r="316304" spans="1:1" x14ac:dyDescent="0.25">
      <c r="A316304" s="1"/>
    </row>
    <row r="316305" spans="1:1" x14ac:dyDescent="0.25">
      <c r="A316305" s="1"/>
    </row>
    <row r="316306" spans="1:1" x14ac:dyDescent="0.25">
      <c r="A316306" s="1"/>
    </row>
    <row r="316307" spans="1:1" x14ac:dyDescent="0.25">
      <c r="A316307" s="1"/>
    </row>
    <row r="316308" spans="1:1" x14ac:dyDescent="0.25">
      <c r="A316308" s="1"/>
    </row>
    <row r="316309" spans="1:1" x14ac:dyDescent="0.25">
      <c r="A316309" s="1"/>
    </row>
    <row r="316310" spans="1:1" x14ac:dyDescent="0.25">
      <c r="A316310" s="1"/>
    </row>
    <row r="316311" spans="1:1" x14ac:dyDescent="0.25">
      <c r="A316311" s="1"/>
    </row>
    <row r="316312" spans="1:1" x14ac:dyDescent="0.25">
      <c r="A316312" s="1"/>
    </row>
    <row r="316313" spans="1:1" x14ac:dyDescent="0.25">
      <c r="A316313" s="1"/>
    </row>
    <row r="316314" spans="1:1" x14ac:dyDescent="0.25">
      <c r="A316314" s="1"/>
    </row>
    <row r="316315" spans="1:1" x14ac:dyDescent="0.25">
      <c r="A316315" s="1"/>
    </row>
    <row r="316316" spans="1:1" x14ac:dyDescent="0.25">
      <c r="A316316" s="1"/>
    </row>
    <row r="316317" spans="1:1" x14ac:dyDescent="0.25">
      <c r="A316317" s="1"/>
    </row>
    <row r="316318" spans="1:1" x14ac:dyDescent="0.25">
      <c r="A316318" s="1"/>
    </row>
    <row r="316319" spans="1:1" x14ac:dyDescent="0.25">
      <c r="A316319" s="1"/>
    </row>
    <row r="316320" spans="1:1" x14ac:dyDescent="0.25">
      <c r="A316320" s="1"/>
    </row>
    <row r="316321" spans="1:1" x14ac:dyDescent="0.25">
      <c r="A316321" s="1"/>
    </row>
    <row r="316322" spans="1:1" x14ac:dyDescent="0.25">
      <c r="A316322" s="1"/>
    </row>
    <row r="316323" spans="1:1" x14ac:dyDescent="0.25">
      <c r="A316323" s="1"/>
    </row>
    <row r="316324" spans="1:1" x14ac:dyDescent="0.25">
      <c r="A316324" s="1"/>
    </row>
    <row r="316325" spans="1:1" x14ac:dyDescent="0.25">
      <c r="A316325" s="1"/>
    </row>
    <row r="316326" spans="1:1" x14ac:dyDescent="0.25">
      <c r="A316326" s="1"/>
    </row>
    <row r="316327" spans="1:1" x14ac:dyDescent="0.25">
      <c r="A316327" s="1"/>
    </row>
    <row r="316328" spans="1:1" x14ac:dyDescent="0.25">
      <c r="A316328" s="1"/>
    </row>
    <row r="316329" spans="1:1" x14ac:dyDescent="0.25">
      <c r="A316329" s="1"/>
    </row>
    <row r="316330" spans="1:1" x14ac:dyDescent="0.25">
      <c r="A316330" s="1"/>
    </row>
    <row r="316331" spans="1:1" x14ac:dyDescent="0.25">
      <c r="A316331" s="1"/>
    </row>
    <row r="316332" spans="1:1" x14ac:dyDescent="0.25">
      <c r="A316332" s="1"/>
    </row>
    <row r="316333" spans="1:1" x14ac:dyDescent="0.25">
      <c r="A316333" s="1"/>
    </row>
    <row r="316334" spans="1:1" x14ac:dyDescent="0.25">
      <c r="A316334" s="1"/>
    </row>
    <row r="316335" spans="1:1" x14ac:dyDescent="0.25">
      <c r="A316335" s="1"/>
    </row>
    <row r="316336" spans="1:1" x14ac:dyDescent="0.25">
      <c r="A316336" s="1"/>
    </row>
    <row r="316337" spans="1:1" x14ac:dyDescent="0.25">
      <c r="A316337" s="1"/>
    </row>
    <row r="316338" spans="1:1" x14ac:dyDescent="0.25">
      <c r="A316338" s="1"/>
    </row>
    <row r="316339" spans="1:1" x14ac:dyDescent="0.25">
      <c r="A316339" s="1"/>
    </row>
    <row r="316340" spans="1:1" x14ac:dyDescent="0.25">
      <c r="A316340" s="1"/>
    </row>
    <row r="316341" spans="1:1" x14ac:dyDescent="0.25">
      <c r="A316341" s="1"/>
    </row>
    <row r="316342" spans="1:1" x14ac:dyDescent="0.25">
      <c r="A316342" s="1"/>
    </row>
    <row r="316343" spans="1:1" x14ac:dyDescent="0.25">
      <c r="A316343" s="1"/>
    </row>
    <row r="316344" spans="1:1" x14ac:dyDescent="0.25">
      <c r="A316344" s="1"/>
    </row>
    <row r="316345" spans="1:1" x14ac:dyDescent="0.25">
      <c r="A316345" s="1"/>
    </row>
    <row r="316346" spans="1:1" x14ac:dyDescent="0.25">
      <c r="A316346" s="1"/>
    </row>
    <row r="316347" spans="1:1" x14ac:dyDescent="0.25">
      <c r="A316347" s="1"/>
    </row>
    <row r="316348" spans="1:1" x14ac:dyDescent="0.25">
      <c r="A316348" s="1"/>
    </row>
    <row r="316349" spans="1:1" x14ac:dyDescent="0.25">
      <c r="A316349" s="1"/>
    </row>
    <row r="316350" spans="1:1" x14ac:dyDescent="0.25">
      <c r="A316350" s="1"/>
    </row>
    <row r="316351" spans="1:1" x14ac:dyDescent="0.25">
      <c r="A316351" s="1"/>
    </row>
    <row r="316352" spans="1:1" x14ac:dyDescent="0.25">
      <c r="A316352" s="1"/>
    </row>
    <row r="316353" spans="1:1" x14ac:dyDescent="0.25">
      <c r="A316353" s="1"/>
    </row>
    <row r="316354" spans="1:1" x14ac:dyDescent="0.25">
      <c r="A316354" s="1"/>
    </row>
    <row r="316355" spans="1:1" x14ac:dyDescent="0.25">
      <c r="A316355" s="1"/>
    </row>
    <row r="316356" spans="1:1" x14ac:dyDescent="0.25">
      <c r="A316356" s="1"/>
    </row>
    <row r="316357" spans="1:1" x14ac:dyDescent="0.25">
      <c r="A316357" s="1"/>
    </row>
    <row r="316358" spans="1:1" x14ac:dyDescent="0.25">
      <c r="A316358" s="1"/>
    </row>
    <row r="316359" spans="1:1" x14ac:dyDescent="0.25">
      <c r="A316359" s="1"/>
    </row>
    <row r="316360" spans="1:1" x14ac:dyDescent="0.25">
      <c r="A316360" s="1"/>
    </row>
    <row r="316361" spans="1:1" x14ac:dyDescent="0.25">
      <c r="A316361" s="1"/>
    </row>
    <row r="316362" spans="1:1" x14ac:dyDescent="0.25">
      <c r="A316362" s="1"/>
    </row>
    <row r="316363" spans="1:1" x14ac:dyDescent="0.25">
      <c r="A316363" s="1"/>
    </row>
    <row r="316364" spans="1:1" x14ac:dyDescent="0.25">
      <c r="A316364" s="1"/>
    </row>
    <row r="316365" spans="1:1" x14ac:dyDescent="0.25">
      <c r="A316365" s="1"/>
    </row>
    <row r="316366" spans="1:1" x14ac:dyDescent="0.25">
      <c r="A316366" s="1"/>
    </row>
    <row r="316367" spans="1:1" x14ac:dyDescent="0.25">
      <c r="A316367" s="1"/>
    </row>
    <row r="316368" spans="1:1" x14ac:dyDescent="0.25">
      <c r="A316368" s="1"/>
    </row>
    <row r="316369" spans="1:1" x14ac:dyDescent="0.25">
      <c r="A316369" s="1"/>
    </row>
    <row r="316370" spans="1:1" x14ac:dyDescent="0.25">
      <c r="A316370" s="1"/>
    </row>
    <row r="316371" spans="1:1" x14ac:dyDescent="0.25">
      <c r="A316371" s="1"/>
    </row>
    <row r="316372" spans="1:1" x14ac:dyDescent="0.25">
      <c r="A316372" s="1"/>
    </row>
    <row r="316373" spans="1:1" x14ac:dyDescent="0.25">
      <c r="A316373" s="1"/>
    </row>
    <row r="316374" spans="1:1" x14ac:dyDescent="0.25">
      <c r="A316374" s="1"/>
    </row>
    <row r="316375" spans="1:1" x14ac:dyDescent="0.25">
      <c r="A316375" s="1"/>
    </row>
    <row r="316376" spans="1:1" x14ac:dyDescent="0.25">
      <c r="A316376" s="1"/>
    </row>
    <row r="316377" spans="1:1" x14ac:dyDescent="0.25">
      <c r="A316377" s="1"/>
    </row>
    <row r="316378" spans="1:1" x14ac:dyDescent="0.25">
      <c r="A316378" s="1"/>
    </row>
    <row r="316379" spans="1:1" x14ac:dyDescent="0.25">
      <c r="A316379" s="1"/>
    </row>
    <row r="316380" spans="1:1" x14ac:dyDescent="0.25">
      <c r="A316380" s="1"/>
    </row>
    <row r="316381" spans="1:1" x14ac:dyDescent="0.25">
      <c r="A316381" s="1"/>
    </row>
    <row r="316382" spans="1:1" x14ac:dyDescent="0.25">
      <c r="A316382" s="1"/>
    </row>
    <row r="316383" spans="1:1" x14ac:dyDescent="0.25">
      <c r="A316383" s="1"/>
    </row>
    <row r="316384" spans="1:1" x14ac:dyDescent="0.25">
      <c r="A316384" s="1"/>
    </row>
    <row r="316385" spans="1:1" x14ac:dyDescent="0.25">
      <c r="A316385" s="1"/>
    </row>
    <row r="316386" spans="1:1" x14ac:dyDescent="0.25">
      <c r="A316386" s="1"/>
    </row>
    <row r="316387" spans="1:1" x14ac:dyDescent="0.25">
      <c r="A316387" s="1"/>
    </row>
    <row r="316388" spans="1:1" x14ac:dyDescent="0.25">
      <c r="A316388" s="1"/>
    </row>
    <row r="316389" spans="1:1" x14ac:dyDescent="0.25">
      <c r="A316389" s="1"/>
    </row>
    <row r="316390" spans="1:1" x14ac:dyDescent="0.25">
      <c r="A316390" s="1"/>
    </row>
    <row r="316391" spans="1:1" x14ac:dyDescent="0.25">
      <c r="A316391" s="1"/>
    </row>
    <row r="316392" spans="1:1" x14ac:dyDescent="0.25">
      <c r="A316392" s="1"/>
    </row>
    <row r="316393" spans="1:1" x14ac:dyDescent="0.25">
      <c r="A316393" s="1"/>
    </row>
    <row r="316394" spans="1:1" x14ac:dyDescent="0.25">
      <c r="A316394" s="1"/>
    </row>
    <row r="316395" spans="1:1" x14ac:dyDescent="0.25">
      <c r="A316395" s="1"/>
    </row>
    <row r="316396" spans="1:1" x14ac:dyDescent="0.25">
      <c r="A316396" s="1"/>
    </row>
    <row r="316397" spans="1:1" x14ac:dyDescent="0.25">
      <c r="A316397" s="1"/>
    </row>
    <row r="316398" spans="1:1" x14ac:dyDescent="0.25">
      <c r="A316398" s="1"/>
    </row>
    <row r="316399" spans="1:1" x14ac:dyDescent="0.25">
      <c r="A316399" s="1"/>
    </row>
    <row r="316400" spans="1:1" x14ac:dyDescent="0.25">
      <c r="A316400" s="1"/>
    </row>
    <row r="316401" spans="1:1" x14ac:dyDescent="0.25">
      <c r="A316401" s="1"/>
    </row>
    <row r="316402" spans="1:1" x14ac:dyDescent="0.25">
      <c r="A316402" s="1"/>
    </row>
    <row r="316403" spans="1:1" x14ac:dyDescent="0.25">
      <c r="A316403" s="1"/>
    </row>
    <row r="316404" spans="1:1" x14ac:dyDescent="0.25">
      <c r="A316404" s="1"/>
    </row>
    <row r="316405" spans="1:1" x14ac:dyDescent="0.25">
      <c r="A316405" s="1"/>
    </row>
    <row r="316406" spans="1:1" x14ac:dyDescent="0.25">
      <c r="A316406" s="1"/>
    </row>
    <row r="316407" spans="1:1" x14ac:dyDescent="0.25">
      <c r="A316407" s="1"/>
    </row>
    <row r="316408" spans="1:1" x14ac:dyDescent="0.25">
      <c r="A316408" s="1"/>
    </row>
    <row r="316409" spans="1:1" x14ac:dyDescent="0.25">
      <c r="A316409" s="1"/>
    </row>
    <row r="316410" spans="1:1" x14ac:dyDescent="0.25">
      <c r="A316410" s="1"/>
    </row>
    <row r="316411" spans="1:1" x14ac:dyDescent="0.25">
      <c r="A316411" s="1"/>
    </row>
    <row r="316412" spans="1:1" x14ac:dyDescent="0.25">
      <c r="A316412" s="1"/>
    </row>
    <row r="316413" spans="1:1" x14ac:dyDescent="0.25">
      <c r="A316413" s="1"/>
    </row>
    <row r="316414" spans="1:1" x14ac:dyDescent="0.25">
      <c r="A316414" s="1"/>
    </row>
    <row r="316415" spans="1:1" x14ac:dyDescent="0.25">
      <c r="A316415" s="1"/>
    </row>
    <row r="316416" spans="1:1" x14ac:dyDescent="0.25">
      <c r="A316416" s="1"/>
    </row>
    <row r="316417" spans="1:1" x14ac:dyDescent="0.25">
      <c r="A316417" s="1"/>
    </row>
    <row r="316418" spans="1:1" x14ac:dyDescent="0.25">
      <c r="A316418" s="1"/>
    </row>
    <row r="316419" spans="1:1" x14ac:dyDescent="0.25">
      <c r="A316419" s="1"/>
    </row>
    <row r="316420" spans="1:1" x14ac:dyDescent="0.25">
      <c r="A316420" s="1"/>
    </row>
    <row r="316421" spans="1:1" x14ac:dyDescent="0.25">
      <c r="A316421" s="1"/>
    </row>
    <row r="316422" spans="1:1" x14ac:dyDescent="0.25">
      <c r="A316422" s="1"/>
    </row>
    <row r="316423" spans="1:1" x14ac:dyDescent="0.25">
      <c r="A316423" s="1"/>
    </row>
    <row r="316424" spans="1:1" x14ac:dyDescent="0.25">
      <c r="A316424" s="1"/>
    </row>
    <row r="316425" spans="1:1" x14ac:dyDescent="0.25">
      <c r="A316425" s="1"/>
    </row>
    <row r="316426" spans="1:1" x14ac:dyDescent="0.25">
      <c r="A316426" s="1"/>
    </row>
    <row r="316427" spans="1:1" x14ac:dyDescent="0.25">
      <c r="A316427" s="1"/>
    </row>
    <row r="316428" spans="1:1" x14ac:dyDescent="0.25">
      <c r="A316428" s="1"/>
    </row>
    <row r="316429" spans="1:1" x14ac:dyDescent="0.25">
      <c r="A316429" s="1"/>
    </row>
    <row r="316430" spans="1:1" x14ac:dyDescent="0.25">
      <c r="A316430" s="1"/>
    </row>
    <row r="316431" spans="1:1" x14ac:dyDescent="0.25">
      <c r="A316431" s="1"/>
    </row>
    <row r="316432" spans="1:1" x14ac:dyDescent="0.25">
      <c r="A316432" s="1"/>
    </row>
    <row r="316433" spans="1:1" x14ac:dyDescent="0.25">
      <c r="A316433" s="1"/>
    </row>
    <row r="316434" spans="1:1" x14ac:dyDescent="0.25">
      <c r="A316434" s="1"/>
    </row>
    <row r="316435" spans="1:1" x14ac:dyDescent="0.25">
      <c r="A316435" s="1"/>
    </row>
    <row r="316436" spans="1:1" x14ac:dyDescent="0.25">
      <c r="A316436" s="1"/>
    </row>
    <row r="316437" spans="1:1" x14ac:dyDescent="0.25">
      <c r="A316437" s="1"/>
    </row>
    <row r="316438" spans="1:1" x14ac:dyDescent="0.25">
      <c r="A316438" s="1"/>
    </row>
    <row r="316439" spans="1:1" x14ac:dyDescent="0.25">
      <c r="A316439" s="1"/>
    </row>
    <row r="316440" spans="1:1" x14ac:dyDescent="0.25">
      <c r="A316440" s="1"/>
    </row>
    <row r="316441" spans="1:1" x14ac:dyDescent="0.25">
      <c r="A316441" s="1"/>
    </row>
    <row r="316442" spans="1:1" x14ac:dyDescent="0.25">
      <c r="A316442" s="1"/>
    </row>
    <row r="316443" spans="1:1" x14ac:dyDescent="0.25">
      <c r="A316443" s="1"/>
    </row>
    <row r="316444" spans="1:1" x14ac:dyDescent="0.25">
      <c r="A316444" s="1"/>
    </row>
    <row r="316445" spans="1:1" x14ac:dyDescent="0.25">
      <c r="A316445" s="1"/>
    </row>
    <row r="316446" spans="1:1" x14ac:dyDescent="0.25">
      <c r="A316446" s="1"/>
    </row>
    <row r="316447" spans="1:1" x14ac:dyDescent="0.25">
      <c r="A316447" s="1"/>
    </row>
    <row r="316448" spans="1:1" x14ac:dyDescent="0.25">
      <c r="A316448" s="1"/>
    </row>
    <row r="316449" spans="1:1" x14ac:dyDescent="0.25">
      <c r="A316449" s="1"/>
    </row>
    <row r="316450" spans="1:1" x14ac:dyDescent="0.25">
      <c r="A316450" s="1"/>
    </row>
    <row r="316451" spans="1:1" x14ac:dyDescent="0.25">
      <c r="A316451" s="1"/>
    </row>
    <row r="316452" spans="1:1" x14ac:dyDescent="0.25">
      <c r="A316452" s="1"/>
    </row>
    <row r="316453" spans="1:1" x14ac:dyDescent="0.25">
      <c r="A316453" s="1"/>
    </row>
    <row r="316454" spans="1:1" x14ac:dyDescent="0.25">
      <c r="A316454" s="1"/>
    </row>
    <row r="316455" spans="1:1" x14ac:dyDescent="0.25">
      <c r="A316455" s="1"/>
    </row>
    <row r="316456" spans="1:1" x14ac:dyDescent="0.25">
      <c r="A316456" s="1"/>
    </row>
    <row r="316457" spans="1:1" x14ac:dyDescent="0.25">
      <c r="A316457" s="1"/>
    </row>
    <row r="316458" spans="1:1" x14ac:dyDescent="0.25">
      <c r="A316458" s="1"/>
    </row>
    <row r="316459" spans="1:1" x14ac:dyDescent="0.25">
      <c r="A316459" s="1"/>
    </row>
    <row r="316460" spans="1:1" x14ac:dyDescent="0.25">
      <c r="A316460" s="1"/>
    </row>
    <row r="316461" spans="1:1" x14ac:dyDescent="0.25">
      <c r="A316461" s="1"/>
    </row>
    <row r="316462" spans="1:1" x14ac:dyDescent="0.25">
      <c r="A316462" s="1"/>
    </row>
    <row r="316463" spans="1:1" x14ac:dyDescent="0.25">
      <c r="A316463" s="1"/>
    </row>
    <row r="316464" spans="1:1" x14ac:dyDescent="0.25">
      <c r="A316464" s="1"/>
    </row>
    <row r="316465" spans="1:1" x14ac:dyDescent="0.25">
      <c r="A316465" s="1"/>
    </row>
    <row r="316466" spans="1:1" x14ac:dyDescent="0.25">
      <c r="A316466" s="1"/>
    </row>
    <row r="316467" spans="1:1" x14ac:dyDescent="0.25">
      <c r="A316467" s="1"/>
    </row>
    <row r="316468" spans="1:1" x14ac:dyDescent="0.25">
      <c r="A316468" s="1"/>
    </row>
    <row r="316469" spans="1:1" x14ac:dyDescent="0.25">
      <c r="A316469" s="1"/>
    </row>
    <row r="316470" spans="1:1" x14ac:dyDescent="0.25">
      <c r="A316470" s="1"/>
    </row>
    <row r="316471" spans="1:1" x14ac:dyDescent="0.25">
      <c r="A316471" s="1"/>
    </row>
    <row r="316472" spans="1:1" x14ac:dyDescent="0.25">
      <c r="A316472" s="1"/>
    </row>
    <row r="316473" spans="1:1" x14ac:dyDescent="0.25">
      <c r="A316473" s="1"/>
    </row>
    <row r="316474" spans="1:1" x14ac:dyDescent="0.25">
      <c r="A316474" s="1"/>
    </row>
    <row r="316475" spans="1:1" x14ac:dyDescent="0.25">
      <c r="A316475" s="1"/>
    </row>
    <row r="316476" spans="1:1" x14ac:dyDescent="0.25">
      <c r="A316476" s="1"/>
    </row>
    <row r="316477" spans="1:1" x14ac:dyDescent="0.25">
      <c r="A316477" s="1"/>
    </row>
    <row r="316478" spans="1:1" x14ac:dyDescent="0.25">
      <c r="A316478" s="1"/>
    </row>
    <row r="316479" spans="1:1" x14ac:dyDescent="0.25">
      <c r="A316479" s="1"/>
    </row>
    <row r="316480" spans="1:1" x14ac:dyDescent="0.25">
      <c r="A316480" s="1"/>
    </row>
    <row r="316481" spans="1:1" x14ac:dyDescent="0.25">
      <c r="A316481" s="1"/>
    </row>
    <row r="316482" spans="1:1" x14ac:dyDescent="0.25">
      <c r="A316482" s="1"/>
    </row>
    <row r="316483" spans="1:1" x14ac:dyDescent="0.25">
      <c r="A316483" s="1"/>
    </row>
    <row r="316484" spans="1:1" x14ac:dyDescent="0.25">
      <c r="A316484" s="1"/>
    </row>
    <row r="316485" spans="1:1" x14ac:dyDescent="0.25">
      <c r="A316485" s="1"/>
    </row>
    <row r="316486" spans="1:1" x14ac:dyDescent="0.25">
      <c r="A316486" s="1"/>
    </row>
    <row r="316487" spans="1:1" x14ac:dyDescent="0.25">
      <c r="A316487" s="1"/>
    </row>
    <row r="316488" spans="1:1" x14ac:dyDescent="0.25">
      <c r="A316488" s="1"/>
    </row>
    <row r="316489" spans="1:1" x14ac:dyDescent="0.25">
      <c r="A316489" s="1"/>
    </row>
    <row r="316490" spans="1:1" x14ac:dyDescent="0.25">
      <c r="A316490" s="1"/>
    </row>
    <row r="316491" spans="1:1" x14ac:dyDescent="0.25">
      <c r="A316491" s="1"/>
    </row>
    <row r="316492" spans="1:1" x14ac:dyDescent="0.25">
      <c r="A316492" s="1"/>
    </row>
    <row r="316493" spans="1:1" x14ac:dyDescent="0.25">
      <c r="A316493" s="1"/>
    </row>
    <row r="316494" spans="1:1" x14ac:dyDescent="0.25">
      <c r="A316494" s="1"/>
    </row>
    <row r="316495" spans="1:1" x14ac:dyDescent="0.25">
      <c r="A316495" s="1"/>
    </row>
    <row r="316496" spans="1:1" x14ac:dyDescent="0.25">
      <c r="A316496" s="1"/>
    </row>
    <row r="316497" spans="1:1" x14ac:dyDescent="0.25">
      <c r="A316497" s="1"/>
    </row>
    <row r="316498" spans="1:1" x14ac:dyDescent="0.25">
      <c r="A316498" s="1"/>
    </row>
    <row r="316499" spans="1:1" x14ac:dyDescent="0.25">
      <c r="A316499" s="1"/>
    </row>
    <row r="316500" spans="1:1" x14ac:dyDescent="0.25">
      <c r="A316500" s="1"/>
    </row>
    <row r="316501" spans="1:1" x14ac:dyDescent="0.25">
      <c r="A316501" s="1"/>
    </row>
    <row r="316502" spans="1:1" x14ac:dyDescent="0.25">
      <c r="A316502" s="1"/>
    </row>
    <row r="316503" spans="1:1" x14ac:dyDescent="0.25">
      <c r="A316503" s="1"/>
    </row>
    <row r="316504" spans="1:1" x14ac:dyDescent="0.25">
      <c r="A316504" s="1"/>
    </row>
    <row r="316505" spans="1:1" x14ac:dyDescent="0.25">
      <c r="A316505" s="1"/>
    </row>
    <row r="316506" spans="1:1" x14ac:dyDescent="0.25">
      <c r="A316506" s="1"/>
    </row>
    <row r="316507" spans="1:1" x14ac:dyDescent="0.25">
      <c r="A316507" s="1"/>
    </row>
    <row r="316508" spans="1:1" x14ac:dyDescent="0.25">
      <c r="A316508" s="1"/>
    </row>
    <row r="316509" spans="1:1" x14ac:dyDescent="0.25">
      <c r="A316509" s="1"/>
    </row>
    <row r="316510" spans="1:1" x14ac:dyDescent="0.25">
      <c r="A316510" s="1"/>
    </row>
    <row r="316511" spans="1:1" x14ac:dyDescent="0.25">
      <c r="A316511" s="1"/>
    </row>
    <row r="316512" spans="1:1" x14ac:dyDescent="0.25">
      <c r="A316512" s="1"/>
    </row>
    <row r="316513" spans="1:1" x14ac:dyDescent="0.25">
      <c r="A316513" s="1"/>
    </row>
    <row r="316514" spans="1:1" x14ac:dyDescent="0.25">
      <c r="A316514" s="1"/>
    </row>
    <row r="316515" spans="1:1" x14ac:dyDescent="0.25">
      <c r="A316515" s="1"/>
    </row>
    <row r="316516" spans="1:1" x14ac:dyDescent="0.25">
      <c r="A316516" s="1"/>
    </row>
    <row r="316517" spans="1:1" x14ac:dyDescent="0.25">
      <c r="A316517" s="1"/>
    </row>
    <row r="316518" spans="1:1" x14ac:dyDescent="0.25">
      <c r="A316518" s="1"/>
    </row>
    <row r="316519" spans="1:1" x14ac:dyDescent="0.25">
      <c r="A316519" s="1"/>
    </row>
    <row r="316520" spans="1:1" x14ac:dyDescent="0.25">
      <c r="A316520" s="1"/>
    </row>
    <row r="316521" spans="1:1" x14ac:dyDescent="0.25">
      <c r="A316521" s="1"/>
    </row>
    <row r="316522" spans="1:1" x14ac:dyDescent="0.25">
      <c r="A316522" s="1"/>
    </row>
    <row r="316523" spans="1:1" x14ac:dyDescent="0.25">
      <c r="A316523" s="1"/>
    </row>
    <row r="316524" spans="1:1" x14ac:dyDescent="0.25">
      <c r="A316524" s="1"/>
    </row>
    <row r="316525" spans="1:1" x14ac:dyDescent="0.25">
      <c r="A316525" s="1"/>
    </row>
    <row r="316526" spans="1:1" x14ac:dyDescent="0.25">
      <c r="A316526" s="1"/>
    </row>
    <row r="316527" spans="1:1" x14ac:dyDescent="0.25">
      <c r="A316527" s="1"/>
    </row>
    <row r="316528" spans="1:1" x14ac:dyDescent="0.25">
      <c r="A316528" s="1"/>
    </row>
    <row r="316529" spans="1:1" x14ac:dyDescent="0.25">
      <c r="A316529" s="1"/>
    </row>
    <row r="316530" spans="1:1" x14ac:dyDescent="0.25">
      <c r="A316530" s="1"/>
    </row>
    <row r="316531" spans="1:1" x14ac:dyDescent="0.25">
      <c r="A316531" s="1"/>
    </row>
    <row r="316532" spans="1:1" x14ac:dyDescent="0.25">
      <c r="A316532" s="1"/>
    </row>
    <row r="316533" spans="1:1" x14ac:dyDescent="0.25">
      <c r="A316533" s="1"/>
    </row>
    <row r="316534" spans="1:1" x14ac:dyDescent="0.25">
      <c r="A316534" s="1"/>
    </row>
    <row r="316535" spans="1:1" x14ac:dyDescent="0.25">
      <c r="A316535" s="1"/>
    </row>
    <row r="316536" spans="1:1" x14ac:dyDescent="0.25">
      <c r="A316536" s="1"/>
    </row>
    <row r="316537" spans="1:1" x14ac:dyDescent="0.25">
      <c r="A316537" s="1"/>
    </row>
    <row r="316538" spans="1:1" x14ac:dyDescent="0.25">
      <c r="A316538" s="1"/>
    </row>
    <row r="316539" spans="1:1" x14ac:dyDescent="0.25">
      <c r="A316539" s="1"/>
    </row>
    <row r="316540" spans="1:1" x14ac:dyDescent="0.25">
      <c r="A316540" s="1"/>
    </row>
    <row r="316541" spans="1:1" x14ac:dyDescent="0.25">
      <c r="A316541" s="1"/>
    </row>
    <row r="316542" spans="1:1" x14ac:dyDescent="0.25">
      <c r="A316542" s="1"/>
    </row>
    <row r="316543" spans="1:1" x14ac:dyDescent="0.25">
      <c r="A316543" s="1"/>
    </row>
    <row r="316544" spans="1:1" x14ac:dyDescent="0.25">
      <c r="A316544" s="1"/>
    </row>
    <row r="316545" spans="1:1" x14ac:dyDescent="0.25">
      <c r="A316545" s="1"/>
    </row>
    <row r="316546" spans="1:1" x14ac:dyDescent="0.25">
      <c r="A316546" s="1"/>
    </row>
    <row r="316547" spans="1:1" x14ac:dyDescent="0.25">
      <c r="A316547" s="1"/>
    </row>
    <row r="316548" spans="1:1" x14ac:dyDescent="0.25">
      <c r="A316548" s="1"/>
    </row>
    <row r="316549" spans="1:1" x14ac:dyDescent="0.25">
      <c r="A316549" s="1"/>
    </row>
    <row r="316550" spans="1:1" x14ac:dyDescent="0.25">
      <c r="A316550" s="1"/>
    </row>
    <row r="316551" spans="1:1" x14ac:dyDescent="0.25">
      <c r="A316551" s="1"/>
    </row>
    <row r="316552" spans="1:1" x14ac:dyDescent="0.25">
      <c r="A316552" s="1"/>
    </row>
    <row r="316553" spans="1:1" x14ac:dyDescent="0.25">
      <c r="A316553" s="1"/>
    </row>
    <row r="316554" spans="1:1" x14ac:dyDescent="0.25">
      <c r="A316554" s="1"/>
    </row>
    <row r="316555" spans="1:1" x14ac:dyDescent="0.25">
      <c r="A316555" s="1"/>
    </row>
    <row r="316556" spans="1:1" x14ac:dyDescent="0.25">
      <c r="A316556" s="1"/>
    </row>
    <row r="316557" spans="1:1" x14ac:dyDescent="0.25">
      <c r="A316557" s="1"/>
    </row>
    <row r="316558" spans="1:1" x14ac:dyDescent="0.25">
      <c r="A316558" s="1"/>
    </row>
    <row r="316559" spans="1:1" x14ac:dyDescent="0.25">
      <c r="A316559" s="1"/>
    </row>
    <row r="316560" spans="1:1" x14ac:dyDescent="0.25">
      <c r="A316560" s="1"/>
    </row>
    <row r="316561" spans="1:1" x14ac:dyDescent="0.25">
      <c r="A316561" s="1"/>
    </row>
    <row r="316562" spans="1:1" x14ac:dyDescent="0.25">
      <c r="A316562" s="1"/>
    </row>
    <row r="316563" spans="1:1" x14ac:dyDescent="0.25">
      <c r="A316563" s="1"/>
    </row>
    <row r="316564" spans="1:1" x14ac:dyDescent="0.25">
      <c r="A316564" s="1"/>
    </row>
    <row r="316565" spans="1:1" x14ac:dyDescent="0.25">
      <c r="A316565" s="1"/>
    </row>
    <row r="316566" spans="1:1" x14ac:dyDescent="0.25">
      <c r="A316566" s="1"/>
    </row>
    <row r="316567" spans="1:1" x14ac:dyDescent="0.25">
      <c r="A316567" s="1"/>
    </row>
    <row r="316568" spans="1:1" x14ac:dyDescent="0.25">
      <c r="A316568" s="1"/>
    </row>
    <row r="316569" spans="1:1" x14ac:dyDescent="0.25">
      <c r="A316569" s="1"/>
    </row>
    <row r="316570" spans="1:1" x14ac:dyDescent="0.25">
      <c r="A316570" s="1"/>
    </row>
    <row r="316571" spans="1:1" x14ac:dyDescent="0.25">
      <c r="A316571" s="1"/>
    </row>
    <row r="316572" spans="1:1" x14ac:dyDescent="0.25">
      <c r="A316572" s="1"/>
    </row>
    <row r="316573" spans="1:1" x14ac:dyDescent="0.25">
      <c r="A316573" s="1"/>
    </row>
    <row r="316574" spans="1:1" x14ac:dyDescent="0.25">
      <c r="A316574" s="1"/>
    </row>
    <row r="316575" spans="1:1" x14ac:dyDescent="0.25">
      <c r="A316575" s="1"/>
    </row>
    <row r="316576" spans="1:1" x14ac:dyDescent="0.25">
      <c r="A316576" s="1"/>
    </row>
    <row r="316577" spans="1:1" x14ac:dyDescent="0.25">
      <c r="A316577" s="1"/>
    </row>
    <row r="316578" spans="1:1" x14ac:dyDescent="0.25">
      <c r="A316578" s="1"/>
    </row>
    <row r="316579" spans="1:1" x14ac:dyDescent="0.25">
      <c r="A316579" s="1"/>
    </row>
    <row r="316580" spans="1:1" x14ac:dyDescent="0.25">
      <c r="A316580" s="1"/>
    </row>
    <row r="316581" spans="1:1" x14ac:dyDescent="0.25">
      <c r="A316581" s="1"/>
    </row>
    <row r="316582" spans="1:1" x14ac:dyDescent="0.25">
      <c r="A316582" s="1"/>
    </row>
    <row r="316583" spans="1:1" x14ac:dyDescent="0.25">
      <c r="A316583" s="1"/>
    </row>
    <row r="316584" spans="1:1" x14ac:dyDescent="0.25">
      <c r="A316584" s="1"/>
    </row>
    <row r="316585" spans="1:1" x14ac:dyDescent="0.25">
      <c r="A316585" s="1"/>
    </row>
    <row r="316586" spans="1:1" x14ac:dyDescent="0.25">
      <c r="A316586" s="1"/>
    </row>
    <row r="316587" spans="1:1" x14ac:dyDescent="0.25">
      <c r="A316587" s="1"/>
    </row>
    <row r="316588" spans="1:1" x14ac:dyDescent="0.25">
      <c r="A316588" s="1"/>
    </row>
    <row r="316589" spans="1:1" x14ac:dyDescent="0.25">
      <c r="A316589" s="1"/>
    </row>
    <row r="316590" spans="1:1" x14ac:dyDescent="0.25">
      <c r="A316590" s="1"/>
    </row>
    <row r="316591" spans="1:1" x14ac:dyDescent="0.25">
      <c r="A316591" s="1"/>
    </row>
    <row r="316592" spans="1:1" x14ac:dyDescent="0.25">
      <c r="A316592" s="1"/>
    </row>
    <row r="316593" spans="1:1" x14ac:dyDescent="0.25">
      <c r="A316593" s="1"/>
    </row>
    <row r="316594" spans="1:1" x14ac:dyDescent="0.25">
      <c r="A316594" s="1"/>
    </row>
    <row r="316595" spans="1:1" x14ac:dyDescent="0.25">
      <c r="A316595" s="1"/>
    </row>
    <row r="316596" spans="1:1" x14ac:dyDescent="0.25">
      <c r="A316596" s="1"/>
    </row>
    <row r="316597" spans="1:1" x14ac:dyDescent="0.25">
      <c r="A316597" s="1"/>
    </row>
    <row r="316598" spans="1:1" x14ac:dyDescent="0.25">
      <c r="A316598" s="1"/>
    </row>
    <row r="316599" spans="1:1" x14ac:dyDescent="0.25">
      <c r="A316599" s="1"/>
    </row>
    <row r="316600" spans="1:1" x14ac:dyDescent="0.25">
      <c r="A316600" s="1"/>
    </row>
    <row r="316601" spans="1:1" x14ac:dyDescent="0.25">
      <c r="A316601" s="1"/>
    </row>
    <row r="316602" spans="1:1" x14ac:dyDescent="0.25">
      <c r="A316602" s="1"/>
    </row>
    <row r="316603" spans="1:1" x14ac:dyDescent="0.25">
      <c r="A316603" s="1"/>
    </row>
    <row r="316604" spans="1:1" x14ac:dyDescent="0.25">
      <c r="A316604" s="1"/>
    </row>
    <row r="316605" spans="1:1" x14ac:dyDescent="0.25">
      <c r="A316605" s="1"/>
    </row>
    <row r="316606" spans="1:1" x14ac:dyDescent="0.25">
      <c r="A316606" s="1"/>
    </row>
    <row r="316607" spans="1:1" x14ac:dyDescent="0.25">
      <c r="A316607" s="1"/>
    </row>
    <row r="316608" spans="1:1" x14ac:dyDescent="0.25">
      <c r="A316608" s="1"/>
    </row>
    <row r="316609" spans="1:1" x14ac:dyDescent="0.25">
      <c r="A316609" s="1"/>
    </row>
    <row r="316610" spans="1:1" x14ac:dyDescent="0.25">
      <c r="A316610" s="1"/>
    </row>
    <row r="316611" spans="1:1" x14ac:dyDescent="0.25">
      <c r="A316611" s="1"/>
    </row>
    <row r="316612" spans="1:1" x14ac:dyDescent="0.25">
      <c r="A316612" s="1"/>
    </row>
    <row r="316613" spans="1:1" x14ac:dyDescent="0.25">
      <c r="A316613" s="1"/>
    </row>
    <row r="316614" spans="1:1" x14ac:dyDescent="0.25">
      <c r="A316614" s="1"/>
    </row>
    <row r="316615" spans="1:1" x14ac:dyDescent="0.25">
      <c r="A316615" s="1"/>
    </row>
    <row r="316616" spans="1:1" x14ac:dyDescent="0.25">
      <c r="A316616" s="1"/>
    </row>
    <row r="316617" spans="1:1" x14ac:dyDescent="0.25">
      <c r="A316617" s="1"/>
    </row>
    <row r="316618" spans="1:1" x14ac:dyDescent="0.25">
      <c r="A316618" s="1"/>
    </row>
    <row r="316619" spans="1:1" x14ac:dyDescent="0.25">
      <c r="A316619" s="1"/>
    </row>
    <row r="316620" spans="1:1" x14ac:dyDescent="0.25">
      <c r="A316620" s="1"/>
    </row>
    <row r="316621" spans="1:1" x14ac:dyDescent="0.25">
      <c r="A316621" s="1"/>
    </row>
    <row r="316622" spans="1:1" x14ac:dyDescent="0.25">
      <c r="A316622" s="1"/>
    </row>
    <row r="316623" spans="1:1" x14ac:dyDescent="0.25">
      <c r="A316623" s="1"/>
    </row>
    <row r="316624" spans="1:1" x14ac:dyDescent="0.25">
      <c r="A316624" s="1"/>
    </row>
    <row r="316625" spans="1:1" x14ac:dyDescent="0.25">
      <c r="A316625" s="1"/>
    </row>
    <row r="316626" spans="1:1" x14ac:dyDescent="0.25">
      <c r="A316626" s="1"/>
    </row>
    <row r="316627" spans="1:1" x14ac:dyDescent="0.25">
      <c r="A316627" s="1"/>
    </row>
    <row r="316628" spans="1:1" x14ac:dyDescent="0.25">
      <c r="A316628" s="1"/>
    </row>
    <row r="316629" spans="1:1" x14ac:dyDescent="0.25">
      <c r="A316629" s="1"/>
    </row>
    <row r="316630" spans="1:1" x14ac:dyDescent="0.25">
      <c r="A316630" s="1"/>
    </row>
    <row r="316631" spans="1:1" x14ac:dyDescent="0.25">
      <c r="A316631" s="1"/>
    </row>
    <row r="316632" spans="1:1" x14ac:dyDescent="0.25">
      <c r="A316632" s="1"/>
    </row>
    <row r="316633" spans="1:1" x14ac:dyDescent="0.25">
      <c r="A316633" s="1"/>
    </row>
    <row r="316634" spans="1:1" x14ac:dyDescent="0.25">
      <c r="A316634" s="1"/>
    </row>
    <row r="316635" spans="1:1" x14ac:dyDescent="0.25">
      <c r="A316635" s="1"/>
    </row>
    <row r="316636" spans="1:1" x14ac:dyDescent="0.25">
      <c r="A316636" s="1"/>
    </row>
    <row r="316637" spans="1:1" x14ac:dyDescent="0.25">
      <c r="A316637" s="1"/>
    </row>
    <row r="316638" spans="1:1" x14ac:dyDescent="0.25">
      <c r="A316638" s="1"/>
    </row>
    <row r="316639" spans="1:1" x14ac:dyDescent="0.25">
      <c r="A316639" s="1"/>
    </row>
    <row r="316640" spans="1:1" x14ac:dyDescent="0.25">
      <c r="A316640" s="1"/>
    </row>
    <row r="316641" spans="1:1" x14ac:dyDescent="0.25">
      <c r="A316641" s="1"/>
    </row>
    <row r="316642" spans="1:1" x14ac:dyDescent="0.25">
      <c r="A316642" s="1"/>
    </row>
    <row r="316643" spans="1:1" x14ac:dyDescent="0.25">
      <c r="A316643" s="1"/>
    </row>
    <row r="316644" spans="1:1" x14ac:dyDescent="0.25">
      <c r="A316644" s="1"/>
    </row>
    <row r="316645" spans="1:1" x14ac:dyDescent="0.25">
      <c r="A316645" s="1"/>
    </row>
    <row r="316646" spans="1:1" x14ac:dyDescent="0.25">
      <c r="A316646" s="1"/>
    </row>
    <row r="316647" spans="1:1" x14ac:dyDescent="0.25">
      <c r="A316647" s="1"/>
    </row>
    <row r="316648" spans="1:1" x14ac:dyDescent="0.25">
      <c r="A316648" s="1"/>
    </row>
    <row r="316649" spans="1:1" x14ac:dyDescent="0.25">
      <c r="A316649" s="1"/>
    </row>
    <row r="316650" spans="1:1" x14ac:dyDescent="0.25">
      <c r="A316650" s="1"/>
    </row>
    <row r="316651" spans="1:1" x14ac:dyDescent="0.25">
      <c r="A316651" s="1"/>
    </row>
    <row r="316652" spans="1:1" x14ac:dyDescent="0.25">
      <c r="A316652" s="1"/>
    </row>
    <row r="316653" spans="1:1" x14ac:dyDescent="0.25">
      <c r="A316653" s="1"/>
    </row>
    <row r="316654" spans="1:1" x14ac:dyDescent="0.25">
      <c r="A316654" s="1"/>
    </row>
    <row r="316655" spans="1:1" x14ac:dyDescent="0.25">
      <c r="A316655" s="1"/>
    </row>
    <row r="316656" spans="1:1" x14ac:dyDescent="0.25">
      <c r="A316656" s="1"/>
    </row>
    <row r="316657" spans="1:1" x14ac:dyDescent="0.25">
      <c r="A316657" s="1"/>
    </row>
    <row r="316658" spans="1:1" x14ac:dyDescent="0.25">
      <c r="A316658" s="1"/>
    </row>
    <row r="316659" spans="1:1" x14ac:dyDescent="0.25">
      <c r="A316659" s="1"/>
    </row>
    <row r="316660" spans="1:1" x14ac:dyDescent="0.25">
      <c r="A316660" s="1"/>
    </row>
    <row r="316661" spans="1:1" x14ac:dyDescent="0.25">
      <c r="A316661" s="1"/>
    </row>
    <row r="316662" spans="1:1" x14ac:dyDescent="0.25">
      <c r="A316662" s="1"/>
    </row>
    <row r="316663" spans="1:1" x14ac:dyDescent="0.25">
      <c r="A316663" s="1"/>
    </row>
    <row r="316664" spans="1:1" x14ac:dyDescent="0.25">
      <c r="A316664" s="1"/>
    </row>
    <row r="316665" spans="1:1" x14ac:dyDescent="0.25">
      <c r="A316665" s="1"/>
    </row>
    <row r="316666" spans="1:1" x14ac:dyDescent="0.25">
      <c r="A316666" s="1"/>
    </row>
    <row r="316667" spans="1:1" x14ac:dyDescent="0.25">
      <c r="A316667" s="1"/>
    </row>
    <row r="316668" spans="1:1" x14ac:dyDescent="0.25">
      <c r="A316668" s="1"/>
    </row>
    <row r="316669" spans="1:1" x14ac:dyDescent="0.25">
      <c r="A316669" s="1"/>
    </row>
    <row r="316670" spans="1:1" x14ac:dyDescent="0.25">
      <c r="A316670" s="1"/>
    </row>
    <row r="316671" spans="1:1" x14ac:dyDescent="0.25">
      <c r="A316671" s="1"/>
    </row>
    <row r="316672" spans="1:1" x14ac:dyDescent="0.25">
      <c r="A316672" s="1"/>
    </row>
    <row r="316673" spans="1:1" x14ac:dyDescent="0.25">
      <c r="A316673" s="1"/>
    </row>
    <row r="316674" spans="1:1" x14ac:dyDescent="0.25">
      <c r="A316674" s="1"/>
    </row>
    <row r="316675" spans="1:1" x14ac:dyDescent="0.25">
      <c r="A316675" s="1"/>
    </row>
    <row r="316676" spans="1:1" x14ac:dyDescent="0.25">
      <c r="A316676" s="1"/>
    </row>
    <row r="316677" spans="1:1" x14ac:dyDescent="0.25">
      <c r="A316677" s="1"/>
    </row>
    <row r="316678" spans="1:1" x14ac:dyDescent="0.25">
      <c r="A316678" s="1"/>
    </row>
    <row r="316679" spans="1:1" x14ac:dyDescent="0.25">
      <c r="A316679" s="1"/>
    </row>
    <row r="316680" spans="1:1" x14ac:dyDescent="0.25">
      <c r="A316680" s="1"/>
    </row>
    <row r="316681" spans="1:1" x14ac:dyDescent="0.25">
      <c r="A316681" s="1"/>
    </row>
    <row r="316682" spans="1:1" x14ac:dyDescent="0.25">
      <c r="A316682" s="1"/>
    </row>
    <row r="316683" spans="1:1" x14ac:dyDescent="0.25">
      <c r="A316683" s="1"/>
    </row>
    <row r="316684" spans="1:1" x14ac:dyDescent="0.25">
      <c r="A316684" s="1"/>
    </row>
    <row r="316685" spans="1:1" x14ac:dyDescent="0.25">
      <c r="A316685" s="1"/>
    </row>
    <row r="316686" spans="1:1" x14ac:dyDescent="0.25">
      <c r="A316686" s="1"/>
    </row>
    <row r="316687" spans="1:1" x14ac:dyDescent="0.25">
      <c r="A316687" s="1"/>
    </row>
    <row r="316688" spans="1:1" x14ac:dyDescent="0.25">
      <c r="A316688" s="1"/>
    </row>
    <row r="316689" spans="1:1" x14ac:dyDescent="0.25">
      <c r="A316689" s="1"/>
    </row>
    <row r="316690" spans="1:1" x14ac:dyDescent="0.25">
      <c r="A316690" s="1"/>
    </row>
    <row r="316691" spans="1:1" x14ac:dyDescent="0.25">
      <c r="A316691" s="1"/>
    </row>
    <row r="316692" spans="1:1" x14ac:dyDescent="0.25">
      <c r="A316692" s="1"/>
    </row>
    <row r="316693" spans="1:1" x14ac:dyDescent="0.25">
      <c r="A316693" s="1"/>
    </row>
    <row r="316694" spans="1:1" x14ac:dyDescent="0.25">
      <c r="A316694" s="1"/>
    </row>
    <row r="316695" spans="1:1" x14ac:dyDescent="0.25">
      <c r="A316695" s="1"/>
    </row>
    <row r="316696" spans="1:1" x14ac:dyDescent="0.25">
      <c r="A316696" s="1"/>
    </row>
    <row r="316697" spans="1:1" x14ac:dyDescent="0.25">
      <c r="A316697" s="1"/>
    </row>
    <row r="316698" spans="1:1" x14ac:dyDescent="0.25">
      <c r="A316698" s="1"/>
    </row>
    <row r="316699" spans="1:1" x14ac:dyDescent="0.25">
      <c r="A316699" s="1"/>
    </row>
    <row r="316700" spans="1:1" x14ac:dyDescent="0.25">
      <c r="A316700" s="1"/>
    </row>
    <row r="316701" spans="1:1" x14ac:dyDescent="0.25">
      <c r="A316701" s="1"/>
    </row>
    <row r="316702" spans="1:1" x14ac:dyDescent="0.25">
      <c r="A316702" s="1"/>
    </row>
    <row r="316703" spans="1:1" x14ac:dyDescent="0.25">
      <c r="A316703" s="1"/>
    </row>
    <row r="316704" spans="1:1" x14ac:dyDescent="0.25">
      <c r="A316704" s="1"/>
    </row>
    <row r="316705" spans="1:1" x14ac:dyDescent="0.25">
      <c r="A316705" s="1"/>
    </row>
    <row r="316706" spans="1:1" x14ac:dyDescent="0.25">
      <c r="A316706" s="1"/>
    </row>
    <row r="316707" spans="1:1" x14ac:dyDescent="0.25">
      <c r="A316707" s="1"/>
    </row>
    <row r="316708" spans="1:1" x14ac:dyDescent="0.25">
      <c r="A316708" s="1"/>
    </row>
    <row r="316709" spans="1:1" x14ac:dyDescent="0.25">
      <c r="A316709" s="1"/>
    </row>
    <row r="316710" spans="1:1" x14ac:dyDescent="0.25">
      <c r="A316710" s="1"/>
    </row>
    <row r="316711" spans="1:1" x14ac:dyDescent="0.25">
      <c r="A316711" s="1"/>
    </row>
    <row r="316712" spans="1:1" x14ac:dyDescent="0.25">
      <c r="A316712" s="1"/>
    </row>
    <row r="316713" spans="1:1" x14ac:dyDescent="0.25">
      <c r="A316713" s="1"/>
    </row>
    <row r="316714" spans="1:1" x14ac:dyDescent="0.25">
      <c r="A316714" s="1"/>
    </row>
    <row r="316715" spans="1:1" x14ac:dyDescent="0.25">
      <c r="A316715" s="1"/>
    </row>
    <row r="316716" spans="1:1" x14ac:dyDescent="0.25">
      <c r="A316716" s="1"/>
    </row>
    <row r="316717" spans="1:1" x14ac:dyDescent="0.25">
      <c r="A316717" s="1"/>
    </row>
    <row r="316718" spans="1:1" x14ac:dyDescent="0.25">
      <c r="A316718" s="1"/>
    </row>
    <row r="316719" spans="1:1" x14ac:dyDescent="0.25">
      <c r="A316719" s="1"/>
    </row>
    <row r="316720" spans="1:1" x14ac:dyDescent="0.25">
      <c r="A316720" s="1"/>
    </row>
    <row r="316721" spans="1:1" x14ac:dyDescent="0.25">
      <c r="A316721" s="1"/>
    </row>
    <row r="316722" spans="1:1" x14ac:dyDescent="0.25">
      <c r="A316722" s="1"/>
    </row>
    <row r="316723" spans="1:1" x14ac:dyDescent="0.25">
      <c r="A316723" s="1"/>
    </row>
    <row r="316724" spans="1:1" x14ac:dyDescent="0.25">
      <c r="A316724" s="1"/>
    </row>
    <row r="316725" spans="1:1" x14ac:dyDescent="0.25">
      <c r="A316725" s="1"/>
    </row>
    <row r="316726" spans="1:1" x14ac:dyDescent="0.25">
      <c r="A316726" s="1"/>
    </row>
    <row r="316727" spans="1:1" x14ac:dyDescent="0.25">
      <c r="A316727" s="1"/>
    </row>
    <row r="316728" spans="1:1" x14ac:dyDescent="0.25">
      <c r="A316728" s="1"/>
    </row>
    <row r="316729" spans="1:1" x14ac:dyDescent="0.25">
      <c r="A316729" s="1"/>
    </row>
    <row r="316730" spans="1:1" x14ac:dyDescent="0.25">
      <c r="A316730" s="1"/>
    </row>
    <row r="316731" spans="1:1" x14ac:dyDescent="0.25">
      <c r="A316731" s="1"/>
    </row>
    <row r="316732" spans="1:1" x14ac:dyDescent="0.25">
      <c r="A316732" s="1"/>
    </row>
    <row r="316733" spans="1:1" x14ac:dyDescent="0.25">
      <c r="A316733" s="1"/>
    </row>
    <row r="316734" spans="1:1" x14ac:dyDescent="0.25">
      <c r="A316734" s="1"/>
    </row>
    <row r="316735" spans="1:1" x14ac:dyDescent="0.25">
      <c r="A316735" s="1"/>
    </row>
    <row r="316736" spans="1:1" x14ac:dyDescent="0.25">
      <c r="A316736" s="1"/>
    </row>
    <row r="316737" spans="1:1" x14ac:dyDescent="0.25">
      <c r="A316737" s="1"/>
    </row>
    <row r="316738" spans="1:1" x14ac:dyDescent="0.25">
      <c r="A316738" s="1"/>
    </row>
    <row r="316739" spans="1:1" x14ac:dyDescent="0.25">
      <c r="A316739" s="1"/>
    </row>
    <row r="316740" spans="1:1" x14ac:dyDescent="0.25">
      <c r="A316740" s="1"/>
    </row>
    <row r="316741" spans="1:1" x14ac:dyDescent="0.25">
      <c r="A316741" s="1"/>
    </row>
    <row r="316742" spans="1:1" x14ac:dyDescent="0.25">
      <c r="A316742" s="1"/>
    </row>
    <row r="316743" spans="1:1" x14ac:dyDescent="0.25">
      <c r="A316743" s="1"/>
    </row>
    <row r="316744" spans="1:1" x14ac:dyDescent="0.25">
      <c r="A316744" s="1"/>
    </row>
    <row r="316745" spans="1:1" x14ac:dyDescent="0.25">
      <c r="A316745" s="1"/>
    </row>
    <row r="316746" spans="1:1" x14ac:dyDescent="0.25">
      <c r="A316746" s="1"/>
    </row>
    <row r="316747" spans="1:1" x14ac:dyDescent="0.25">
      <c r="A316747" s="1"/>
    </row>
    <row r="316748" spans="1:1" x14ac:dyDescent="0.25">
      <c r="A316748" s="1"/>
    </row>
    <row r="316749" spans="1:1" x14ac:dyDescent="0.25">
      <c r="A316749" s="1"/>
    </row>
    <row r="316750" spans="1:1" x14ac:dyDescent="0.25">
      <c r="A316750" s="1"/>
    </row>
    <row r="316751" spans="1:1" x14ac:dyDescent="0.25">
      <c r="A316751" s="1"/>
    </row>
    <row r="316752" spans="1:1" x14ac:dyDescent="0.25">
      <c r="A316752" s="1"/>
    </row>
    <row r="316753" spans="1:1" x14ac:dyDescent="0.25">
      <c r="A316753" s="1"/>
    </row>
    <row r="316754" spans="1:1" x14ac:dyDescent="0.25">
      <c r="A316754" s="1"/>
    </row>
    <row r="316755" spans="1:1" x14ac:dyDescent="0.25">
      <c r="A316755" s="1"/>
    </row>
    <row r="316756" spans="1:1" x14ac:dyDescent="0.25">
      <c r="A316756" s="1"/>
    </row>
    <row r="316757" spans="1:1" x14ac:dyDescent="0.25">
      <c r="A316757" s="1"/>
    </row>
    <row r="316758" spans="1:1" x14ac:dyDescent="0.25">
      <c r="A316758" s="1"/>
    </row>
    <row r="316759" spans="1:1" x14ac:dyDescent="0.25">
      <c r="A316759" s="1"/>
    </row>
    <row r="316760" spans="1:1" x14ac:dyDescent="0.25">
      <c r="A316760" s="1"/>
    </row>
    <row r="316761" spans="1:1" x14ac:dyDescent="0.25">
      <c r="A316761" s="1"/>
    </row>
    <row r="316762" spans="1:1" x14ac:dyDescent="0.25">
      <c r="A316762" s="1"/>
    </row>
    <row r="316763" spans="1:1" x14ac:dyDescent="0.25">
      <c r="A316763" s="1"/>
    </row>
    <row r="316764" spans="1:1" x14ac:dyDescent="0.25">
      <c r="A316764" s="1"/>
    </row>
    <row r="316765" spans="1:1" x14ac:dyDescent="0.25">
      <c r="A316765" s="1"/>
    </row>
    <row r="316766" spans="1:1" x14ac:dyDescent="0.25">
      <c r="A316766" s="1"/>
    </row>
    <row r="316767" spans="1:1" x14ac:dyDescent="0.25">
      <c r="A316767" s="1"/>
    </row>
    <row r="316768" spans="1:1" x14ac:dyDescent="0.25">
      <c r="A316768" s="1"/>
    </row>
    <row r="316769" spans="1:1" x14ac:dyDescent="0.25">
      <c r="A316769" s="1"/>
    </row>
    <row r="316770" spans="1:1" x14ac:dyDescent="0.25">
      <c r="A316770" s="1"/>
    </row>
    <row r="316771" spans="1:1" x14ac:dyDescent="0.25">
      <c r="A316771" s="1"/>
    </row>
    <row r="316772" spans="1:1" x14ac:dyDescent="0.25">
      <c r="A316772" s="1"/>
    </row>
    <row r="316773" spans="1:1" x14ac:dyDescent="0.25">
      <c r="A316773" s="1"/>
    </row>
    <row r="316774" spans="1:1" x14ac:dyDescent="0.25">
      <c r="A316774" s="1"/>
    </row>
    <row r="316775" spans="1:1" x14ac:dyDescent="0.25">
      <c r="A316775" s="1"/>
    </row>
    <row r="316776" spans="1:1" x14ac:dyDescent="0.25">
      <c r="A316776" s="1"/>
    </row>
    <row r="316777" spans="1:1" x14ac:dyDescent="0.25">
      <c r="A316777" s="1"/>
    </row>
    <row r="316778" spans="1:1" x14ac:dyDescent="0.25">
      <c r="A316778" s="1"/>
    </row>
    <row r="316779" spans="1:1" x14ac:dyDescent="0.25">
      <c r="A316779" s="1"/>
    </row>
    <row r="316780" spans="1:1" x14ac:dyDescent="0.25">
      <c r="A316780" s="1"/>
    </row>
    <row r="316781" spans="1:1" x14ac:dyDescent="0.25">
      <c r="A316781" s="1"/>
    </row>
    <row r="316782" spans="1:1" x14ac:dyDescent="0.25">
      <c r="A316782" s="1"/>
    </row>
    <row r="316783" spans="1:1" x14ac:dyDescent="0.25">
      <c r="A316783" s="1"/>
    </row>
    <row r="316784" spans="1:1" x14ac:dyDescent="0.25">
      <c r="A316784" s="1"/>
    </row>
    <row r="316785" spans="1:1" x14ac:dyDescent="0.25">
      <c r="A316785" s="1"/>
    </row>
    <row r="316786" spans="1:1" x14ac:dyDescent="0.25">
      <c r="A316786" s="1"/>
    </row>
    <row r="316787" spans="1:1" x14ac:dyDescent="0.25">
      <c r="A316787" s="1"/>
    </row>
    <row r="316788" spans="1:1" x14ac:dyDescent="0.25">
      <c r="A316788" s="1"/>
    </row>
    <row r="316789" spans="1:1" x14ac:dyDescent="0.25">
      <c r="A316789" s="1"/>
    </row>
    <row r="316790" spans="1:1" x14ac:dyDescent="0.25">
      <c r="A316790" s="1"/>
    </row>
    <row r="316791" spans="1:1" x14ac:dyDescent="0.25">
      <c r="A316791" s="1"/>
    </row>
    <row r="316792" spans="1:1" x14ac:dyDescent="0.25">
      <c r="A316792" s="1"/>
    </row>
    <row r="316793" spans="1:1" x14ac:dyDescent="0.25">
      <c r="A316793" s="1"/>
    </row>
    <row r="316794" spans="1:1" x14ac:dyDescent="0.25">
      <c r="A316794" s="1"/>
    </row>
    <row r="316795" spans="1:1" x14ac:dyDescent="0.25">
      <c r="A316795" s="1"/>
    </row>
    <row r="316796" spans="1:1" x14ac:dyDescent="0.25">
      <c r="A316796" s="1"/>
    </row>
    <row r="316797" spans="1:1" x14ac:dyDescent="0.25">
      <c r="A316797" s="1"/>
    </row>
    <row r="316798" spans="1:1" x14ac:dyDescent="0.25">
      <c r="A316798" s="1"/>
    </row>
    <row r="316799" spans="1:1" x14ac:dyDescent="0.25">
      <c r="A316799" s="1"/>
    </row>
    <row r="316800" spans="1:1" x14ac:dyDescent="0.25">
      <c r="A316800" s="1"/>
    </row>
    <row r="316801" spans="1:1" x14ac:dyDescent="0.25">
      <c r="A316801" s="1"/>
    </row>
    <row r="316802" spans="1:1" x14ac:dyDescent="0.25">
      <c r="A316802" s="1"/>
    </row>
    <row r="316803" spans="1:1" x14ac:dyDescent="0.25">
      <c r="A316803" s="1"/>
    </row>
    <row r="316804" spans="1:1" x14ac:dyDescent="0.25">
      <c r="A316804" s="1"/>
    </row>
    <row r="316805" spans="1:1" x14ac:dyDescent="0.25">
      <c r="A316805" s="1"/>
    </row>
    <row r="316806" spans="1:1" x14ac:dyDescent="0.25">
      <c r="A316806" s="1"/>
    </row>
    <row r="316807" spans="1:1" x14ac:dyDescent="0.25">
      <c r="A316807" s="1"/>
    </row>
    <row r="316808" spans="1:1" x14ac:dyDescent="0.25">
      <c r="A316808" s="1"/>
    </row>
    <row r="316809" spans="1:1" x14ac:dyDescent="0.25">
      <c r="A316809" s="1"/>
    </row>
    <row r="316810" spans="1:1" x14ac:dyDescent="0.25">
      <c r="A316810" s="1"/>
    </row>
    <row r="316811" spans="1:1" x14ac:dyDescent="0.25">
      <c r="A316811" s="1"/>
    </row>
    <row r="316812" spans="1:1" x14ac:dyDescent="0.25">
      <c r="A316812" s="1"/>
    </row>
    <row r="316813" spans="1:1" x14ac:dyDescent="0.25">
      <c r="A316813" s="1"/>
    </row>
    <row r="316814" spans="1:1" x14ac:dyDescent="0.25">
      <c r="A316814" s="1"/>
    </row>
    <row r="316815" spans="1:1" x14ac:dyDescent="0.25">
      <c r="A316815" s="1"/>
    </row>
    <row r="316816" spans="1:1" x14ac:dyDescent="0.25">
      <c r="A316816" s="1"/>
    </row>
    <row r="316817" spans="1:1" x14ac:dyDescent="0.25">
      <c r="A316817" s="1"/>
    </row>
    <row r="316818" spans="1:1" x14ac:dyDescent="0.25">
      <c r="A316818" s="1"/>
    </row>
    <row r="316819" spans="1:1" x14ac:dyDescent="0.25">
      <c r="A316819" s="1"/>
    </row>
    <row r="316820" spans="1:1" x14ac:dyDescent="0.25">
      <c r="A316820" s="1"/>
    </row>
    <row r="316821" spans="1:1" x14ac:dyDescent="0.25">
      <c r="A316821" s="1"/>
    </row>
    <row r="316822" spans="1:1" x14ac:dyDescent="0.25">
      <c r="A316822" s="1"/>
    </row>
    <row r="316823" spans="1:1" x14ac:dyDescent="0.25">
      <c r="A316823" s="1"/>
    </row>
    <row r="316824" spans="1:1" x14ac:dyDescent="0.25">
      <c r="A316824" s="1"/>
    </row>
    <row r="316825" spans="1:1" x14ac:dyDescent="0.25">
      <c r="A316825" s="1"/>
    </row>
    <row r="316826" spans="1:1" x14ac:dyDescent="0.25">
      <c r="A316826" s="1"/>
    </row>
    <row r="316827" spans="1:1" x14ac:dyDescent="0.25">
      <c r="A316827" s="1"/>
    </row>
    <row r="316828" spans="1:1" x14ac:dyDescent="0.25">
      <c r="A316828" s="1"/>
    </row>
    <row r="316829" spans="1:1" x14ac:dyDescent="0.25">
      <c r="A316829" s="1"/>
    </row>
    <row r="316830" spans="1:1" x14ac:dyDescent="0.25">
      <c r="A316830" s="1"/>
    </row>
    <row r="316831" spans="1:1" x14ac:dyDescent="0.25">
      <c r="A316831" s="1"/>
    </row>
    <row r="316832" spans="1:1" x14ac:dyDescent="0.25">
      <c r="A316832" s="1"/>
    </row>
    <row r="316833" spans="1:1" x14ac:dyDescent="0.25">
      <c r="A316833" s="1"/>
    </row>
    <row r="316834" spans="1:1" x14ac:dyDescent="0.25">
      <c r="A316834" s="1"/>
    </row>
    <row r="316835" spans="1:1" x14ac:dyDescent="0.25">
      <c r="A316835" s="1"/>
    </row>
    <row r="316836" spans="1:1" x14ac:dyDescent="0.25">
      <c r="A316836" s="1"/>
    </row>
    <row r="316837" spans="1:1" x14ac:dyDescent="0.25">
      <c r="A316837" s="1"/>
    </row>
    <row r="316838" spans="1:1" x14ac:dyDescent="0.25">
      <c r="A316838" s="1"/>
    </row>
    <row r="316839" spans="1:1" x14ac:dyDescent="0.25">
      <c r="A316839" s="1"/>
    </row>
    <row r="316840" spans="1:1" x14ac:dyDescent="0.25">
      <c r="A316840" s="1"/>
    </row>
    <row r="316841" spans="1:1" x14ac:dyDescent="0.25">
      <c r="A316841" s="1"/>
    </row>
    <row r="316842" spans="1:1" x14ac:dyDescent="0.25">
      <c r="A316842" s="1"/>
    </row>
    <row r="316843" spans="1:1" x14ac:dyDescent="0.25">
      <c r="A316843" s="1"/>
    </row>
    <row r="316844" spans="1:1" x14ac:dyDescent="0.25">
      <c r="A316844" s="1"/>
    </row>
    <row r="316845" spans="1:1" x14ac:dyDescent="0.25">
      <c r="A316845" s="1"/>
    </row>
    <row r="316846" spans="1:1" x14ac:dyDescent="0.25">
      <c r="A316846" s="1"/>
    </row>
    <row r="316847" spans="1:1" x14ac:dyDescent="0.25">
      <c r="A316847" s="1"/>
    </row>
    <row r="316848" spans="1:1" x14ac:dyDescent="0.25">
      <c r="A316848" s="1"/>
    </row>
    <row r="316849" spans="1:1" x14ac:dyDescent="0.25">
      <c r="A316849" s="1"/>
    </row>
    <row r="316850" spans="1:1" x14ac:dyDescent="0.25">
      <c r="A316850" s="1"/>
    </row>
    <row r="316851" spans="1:1" x14ac:dyDescent="0.25">
      <c r="A316851" s="1"/>
    </row>
    <row r="316852" spans="1:1" x14ac:dyDescent="0.25">
      <c r="A316852" s="1"/>
    </row>
    <row r="316853" spans="1:1" x14ac:dyDescent="0.25">
      <c r="A316853" s="1"/>
    </row>
    <row r="316854" spans="1:1" x14ac:dyDescent="0.25">
      <c r="A316854" s="1"/>
    </row>
    <row r="316855" spans="1:1" x14ac:dyDescent="0.25">
      <c r="A316855" s="1"/>
    </row>
    <row r="316856" spans="1:1" x14ac:dyDescent="0.25">
      <c r="A316856" s="1"/>
    </row>
    <row r="316857" spans="1:1" x14ac:dyDescent="0.25">
      <c r="A316857" s="1"/>
    </row>
    <row r="316858" spans="1:1" x14ac:dyDescent="0.25">
      <c r="A316858" s="1"/>
    </row>
    <row r="316859" spans="1:1" x14ac:dyDescent="0.25">
      <c r="A316859" s="1"/>
    </row>
    <row r="316860" spans="1:1" x14ac:dyDescent="0.25">
      <c r="A316860" s="1"/>
    </row>
    <row r="316861" spans="1:1" x14ac:dyDescent="0.25">
      <c r="A316861" s="1"/>
    </row>
    <row r="316862" spans="1:1" x14ac:dyDescent="0.25">
      <c r="A316862" s="1"/>
    </row>
    <row r="316863" spans="1:1" x14ac:dyDescent="0.25">
      <c r="A316863" s="1"/>
    </row>
    <row r="316864" spans="1:1" x14ac:dyDescent="0.25">
      <c r="A316864" s="1"/>
    </row>
    <row r="316865" spans="1:1" x14ac:dyDescent="0.25">
      <c r="A316865" s="1"/>
    </row>
    <row r="316866" spans="1:1" x14ac:dyDescent="0.25">
      <c r="A316866" s="1"/>
    </row>
    <row r="316867" spans="1:1" x14ac:dyDescent="0.25">
      <c r="A316867" s="1"/>
    </row>
    <row r="316868" spans="1:1" x14ac:dyDescent="0.25">
      <c r="A316868" s="1"/>
    </row>
    <row r="316869" spans="1:1" x14ac:dyDescent="0.25">
      <c r="A316869" s="1"/>
    </row>
    <row r="316870" spans="1:1" x14ac:dyDescent="0.25">
      <c r="A316870" s="1"/>
    </row>
    <row r="316871" spans="1:1" x14ac:dyDescent="0.25">
      <c r="A316871" s="1"/>
    </row>
    <row r="316872" spans="1:1" x14ac:dyDescent="0.25">
      <c r="A316872" s="1"/>
    </row>
    <row r="316873" spans="1:1" x14ac:dyDescent="0.25">
      <c r="A316873" s="1"/>
    </row>
    <row r="316874" spans="1:1" x14ac:dyDescent="0.25">
      <c r="A316874" s="1"/>
    </row>
    <row r="316875" spans="1:1" x14ac:dyDescent="0.25">
      <c r="A316875" s="1"/>
    </row>
    <row r="316876" spans="1:1" x14ac:dyDescent="0.25">
      <c r="A316876" s="1"/>
    </row>
    <row r="316877" spans="1:1" x14ac:dyDescent="0.25">
      <c r="A316877" s="1"/>
    </row>
    <row r="316878" spans="1:1" x14ac:dyDescent="0.25">
      <c r="A316878" s="1"/>
    </row>
    <row r="316879" spans="1:1" x14ac:dyDescent="0.25">
      <c r="A316879" s="1"/>
    </row>
    <row r="316880" spans="1:1" x14ac:dyDescent="0.25">
      <c r="A316880" s="1"/>
    </row>
    <row r="316881" spans="1:1" x14ac:dyDescent="0.25">
      <c r="A316881" s="1"/>
    </row>
    <row r="316882" spans="1:1" x14ac:dyDescent="0.25">
      <c r="A316882" s="1"/>
    </row>
    <row r="316883" spans="1:1" x14ac:dyDescent="0.25">
      <c r="A316883" s="1"/>
    </row>
    <row r="316884" spans="1:1" x14ac:dyDescent="0.25">
      <c r="A316884" s="1"/>
    </row>
    <row r="316885" spans="1:1" x14ac:dyDescent="0.25">
      <c r="A316885" s="1"/>
    </row>
    <row r="316886" spans="1:1" x14ac:dyDescent="0.25">
      <c r="A316886" s="1"/>
    </row>
    <row r="316887" spans="1:1" x14ac:dyDescent="0.25">
      <c r="A316887" s="1"/>
    </row>
    <row r="316888" spans="1:1" x14ac:dyDescent="0.25">
      <c r="A316888" s="1"/>
    </row>
    <row r="316889" spans="1:1" x14ac:dyDescent="0.25">
      <c r="A316889" s="1"/>
    </row>
    <row r="316890" spans="1:1" x14ac:dyDescent="0.25">
      <c r="A316890" s="1"/>
    </row>
    <row r="316891" spans="1:1" x14ac:dyDescent="0.25">
      <c r="A316891" s="1"/>
    </row>
    <row r="316892" spans="1:1" x14ac:dyDescent="0.25">
      <c r="A316892" s="1"/>
    </row>
    <row r="316893" spans="1:1" x14ac:dyDescent="0.25">
      <c r="A316893" s="1"/>
    </row>
    <row r="316894" spans="1:1" x14ac:dyDescent="0.25">
      <c r="A316894" s="1"/>
    </row>
    <row r="316895" spans="1:1" x14ac:dyDescent="0.25">
      <c r="A316895" s="1"/>
    </row>
    <row r="316896" spans="1:1" x14ac:dyDescent="0.25">
      <c r="A316896" s="1"/>
    </row>
    <row r="316897" spans="1:1" x14ac:dyDescent="0.25">
      <c r="A316897" s="1"/>
    </row>
    <row r="316898" spans="1:1" x14ac:dyDescent="0.25">
      <c r="A316898" s="1"/>
    </row>
    <row r="316899" spans="1:1" x14ac:dyDescent="0.25">
      <c r="A316899" s="1"/>
    </row>
    <row r="316900" spans="1:1" x14ac:dyDescent="0.25">
      <c r="A316900" s="1"/>
    </row>
    <row r="316901" spans="1:1" x14ac:dyDescent="0.25">
      <c r="A316901" s="1"/>
    </row>
    <row r="316902" spans="1:1" x14ac:dyDescent="0.25">
      <c r="A316902" s="1"/>
    </row>
    <row r="316903" spans="1:1" x14ac:dyDescent="0.25">
      <c r="A316903" s="1"/>
    </row>
    <row r="316904" spans="1:1" x14ac:dyDescent="0.25">
      <c r="A316904" s="1"/>
    </row>
    <row r="316905" spans="1:1" x14ac:dyDescent="0.25">
      <c r="A316905" s="1"/>
    </row>
    <row r="316906" spans="1:1" x14ac:dyDescent="0.25">
      <c r="A316906" s="1"/>
    </row>
    <row r="316907" spans="1:1" x14ac:dyDescent="0.25">
      <c r="A316907" s="1"/>
    </row>
    <row r="316908" spans="1:1" x14ac:dyDescent="0.25">
      <c r="A316908" s="1"/>
    </row>
    <row r="316909" spans="1:1" x14ac:dyDescent="0.25">
      <c r="A316909" s="1"/>
    </row>
    <row r="316910" spans="1:1" x14ac:dyDescent="0.25">
      <c r="A316910" s="1"/>
    </row>
    <row r="316911" spans="1:1" x14ac:dyDescent="0.25">
      <c r="A316911" s="1"/>
    </row>
    <row r="316912" spans="1:1" x14ac:dyDescent="0.25">
      <c r="A316912" s="1"/>
    </row>
    <row r="316913" spans="1:1" x14ac:dyDescent="0.25">
      <c r="A316913" s="1"/>
    </row>
    <row r="316914" spans="1:1" x14ac:dyDescent="0.25">
      <c r="A316914" s="1"/>
    </row>
    <row r="316915" spans="1:1" x14ac:dyDescent="0.25">
      <c r="A316915" s="1"/>
    </row>
    <row r="316916" spans="1:1" x14ac:dyDescent="0.25">
      <c r="A316916" s="1"/>
    </row>
    <row r="316917" spans="1:1" x14ac:dyDescent="0.25">
      <c r="A316917" s="1"/>
    </row>
    <row r="316918" spans="1:1" x14ac:dyDescent="0.25">
      <c r="A316918" s="1"/>
    </row>
    <row r="316919" spans="1:1" x14ac:dyDescent="0.25">
      <c r="A316919" s="1"/>
    </row>
    <row r="316920" spans="1:1" x14ac:dyDescent="0.25">
      <c r="A316920" s="1"/>
    </row>
    <row r="316921" spans="1:1" x14ac:dyDescent="0.25">
      <c r="A316921" s="1"/>
    </row>
    <row r="316922" spans="1:1" x14ac:dyDescent="0.25">
      <c r="A316922" s="1"/>
    </row>
    <row r="316923" spans="1:1" x14ac:dyDescent="0.25">
      <c r="A316923" s="1"/>
    </row>
    <row r="316924" spans="1:1" x14ac:dyDescent="0.25">
      <c r="A316924" s="1"/>
    </row>
    <row r="316925" spans="1:1" x14ac:dyDescent="0.25">
      <c r="A316925" s="1"/>
    </row>
    <row r="316926" spans="1:1" x14ac:dyDescent="0.25">
      <c r="A316926" s="1"/>
    </row>
    <row r="316927" spans="1:1" x14ac:dyDescent="0.25">
      <c r="A316927" s="1"/>
    </row>
    <row r="316928" spans="1:1" x14ac:dyDescent="0.25">
      <c r="A316928" s="1"/>
    </row>
    <row r="316929" spans="1:1" x14ac:dyDescent="0.25">
      <c r="A316929" s="1"/>
    </row>
    <row r="316930" spans="1:1" x14ac:dyDescent="0.25">
      <c r="A316930" s="1"/>
    </row>
    <row r="316931" spans="1:1" x14ac:dyDescent="0.25">
      <c r="A316931" s="1"/>
    </row>
    <row r="316932" spans="1:1" x14ac:dyDescent="0.25">
      <c r="A316932" s="1"/>
    </row>
    <row r="316933" spans="1:1" x14ac:dyDescent="0.25">
      <c r="A316933" s="1"/>
    </row>
    <row r="316934" spans="1:1" x14ac:dyDescent="0.25">
      <c r="A316934" s="1"/>
    </row>
    <row r="316935" spans="1:1" x14ac:dyDescent="0.25">
      <c r="A316935" s="1"/>
    </row>
    <row r="316936" spans="1:1" x14ac:dyDescent="0.25">
      <c r="A316936" s="1"/>
    </row>
    <row r="316937" spans="1:1" x14ac:dyDescent="0.25">
      <c r="A316937" s="1"/>
    </row>
    <row r="316938" spans="1:1" x14ac:dyDescent="0.25">
      <c r="A316938" s="1"/>
    </row>
    <row r="316939" spans="1:1" x14ac:dyDescent="0.25">
      <c r="A316939" s="1"/>
    </row>
    <row r="316940" spans="1:1" x14ac:dyDescent="0.25">
      <c r="A316940" s="1"/>
    </row>
    <row r="316941" spans="1:1" x14ac:dyDescent="0.25">
      <c r="A316941" s="1"/>
    </row>
    <row r="316942" spans="1:1" x14ac:dyDescent="0.25">
      <c r="A316942" s="1"/>
    </row>
    <row r="316943" spans="1:1" x14ac:dyDescent="0.25">
      <c r="A316943" s="1"/>
    </row>
    <row r="316944" spans="1:1" x14ac:dyDescent="0.25">
      <c r="A316944" s="1"/>
    </row>
    <row r="316945" spans="1:1" x14ac:dyDescent="0.25">
      <c r="A316945" s="1"/>
    </row>
    <row r="316946" spans="1:1" x14ac:dyDescent="0.25">
      <c r="A316946" s="1"/>
    </row>
    <row r="316947" spans="1:1" x14ac:dyDescent="0.25">
      <c r="A316947" s="1"/>
    </row>
    <row r="316948" spans="1:1" x14ac:dyDescent="0.25">
      <c r="A316948" s="1"/>
    </row>
    <row r="316949" spans="1:1" x14ac:dyDescent="0.25">
      <c r="A316949" s="1"/>
    </row>
    <row r="316950" spans="1:1" x14ac:dyDescent="0.25">
      <c r="A316950" s="1"/>
    </row>
    <row r="316951" spans="1:1" x14ac:dyDescent="0.25">
      <c r="A316951" s="1"/>
    </row>
    <row r="316952" spans="1:1" x14ac:dyDescent="0.25">
      <c r="A316952" s="1"/>
    </row>
    <row r="316953" spans="1:1" x14ac:dyDescent="0.25">
      <c r="A316953" s="1"/>
    </row>
    <row r="316954" spans="1:1" x14ac:dyDescent="0.25">
      <c r="A316954" s="1"/>
    </row>
    <row r="316955" spans="1:1" x14ac:dyDescent="0.25">
      <c r="A316955" s="1"/>
    </row>
    <row r="316956" spans="1:1" x14ac:dyDescent="0.25">
      <c r="A316956" s="1"/>
    </row>
    <row r="316957" spans="1:1" x14ac:dyDescent="0.25">
      <c r="A316957" s="1"/>
    </row>
    <row r="316958" spans="1:1" x14ac:dyDescent="0.25">
      <c r="A316958" s="1"/>
    </row>
    <row r="316959" spans="1:1" x14ac:dyDescent="0.25">
      <c r="A316959" s="1"/>
    </row>
    <row r="316960" spans="1:1" x14ac:dyDescent="0.25">
      <c r="A316960" s="1"/>
    </row>
    <row r="316961" spans="1:1" x14ac:dyDescent="0.25">
      <c r="A316961" s="1"/>
    </row>
    <row r="316962" spans="1:1" x14ac:dyDescent="0.25">
      <c r="A316962" s="1"/>
    </row>
    <row r="316963" spans="1:1" x14ac:dyDescent="0.25">
      <c r="A316963" s="1"/>
    </row>
    <row r="316964" spans="1:1" x14ac:dyDescent="0.25">
      <c r="A316964" s="1"/>
    </row>
    <row r="316965" spans="1:1" x14ac:dyDescent="0.25">
      <c r="A316965" s="1"/>
    </row>
    <row r="316966" spans="1:1" x14ac:dyDescent="0.25">
      <c r="A316966" s="1"/>
    </row>
    <row r="316967" spans="1:1" x14ac:dyDescent="0.25">
      <c r="A316967" s="1"/>
    </row>
    <row r="316968" spans="1:1" x14ac:dyDescent="0.25">
      <c r="A316968" s="1"/>
    </row>
    <row r="316969" spans="1:1" x14ac:dyDescent="0.25">
      <c r="A316969" s="1"/>
    </row>
    <row r="316970" spans="1:1" x14ac:dyDescent="0.25">
      <c r="A316970" s="1"/>
    </row>
    <row r="316971" spans="1:1" x14ac:dyDescent="0.25">
      <c r="A316971" s="1"/>
    </row>
    <row r="316972" spans="1:1" x14ac:dyDescent="0.25">
      <c r="A316972" s="1"/>
    </row>
    <row r="316973" spans="1:1" x14ac:dyDescent="0.25">
      <c r="A316973" s="1"/>
    </row>
    <row r="316974" spans="1:1" x14ac:dyDescent="0.25">
      <c r="A316974" s="1"/>
    </row>
    <row r="316975" spans="1:1" x14ac:dyDescent="0.25">
      <c r="A316975" s="1"/>
    </row>
    <row r="316976" spans="1:1" x14ac:dyDescent="0.25">
      <c r="A316976" s="1"/>
    </row>
    <row r="316977" spans="1:1" x14ac:dyDescent="0.25">
      <c r="A316977" s="1"/>
    </row>
    <row r="316978" spans="1:1" x14ac:dyDescent="0.25">
      <c r="A316978" s="1"/>
    </row>
    <row r="316979" spans="1:1" x14ac:dyDescent="0.25">
      <c r="A316979" s="1"/>
    </row>
    <row r="316980" spans="1:1" x14ac:dyDescent="0.25">
      <c r="A316980" s="1"/>
    </row>
    <row r="316981" spans="1:1" x14ac:dyDescent="0.25">
      <c r="A316981" s="1"/>
    </row>
    <row r="316982" spans="1:1" x14ac:dyDescent="0.25">
      <c r="A316982" s="1"/>
    </row>
    <row r="316983" spans="1:1" x14ac:dyDescent="0.25">
      <c r="A316983" s="1"/>
    </row>
    <row r="316984" spans="1:1" x14ac:dyDescent="0.25">
      <c r="A316984" s="1"/>
    </row>
    <row r="316985" spans="1:1" x14ac:dyDescent="0.25">
      <c r="A316985" s="1"/>
    </row>
    <row r="316986" spans="1:1" x14ac:dyDescent="0.25">
      <c r="A316986" s="1"/>
    </row>
    <row r="316987" spans="1:1" x14ac:dyDescent="0.25">
      <c r="A316987" s="1"/>
    </row>
    <row r="316988" spans="1:1" x14ac:dyDescent="0.25">
      <c r="A316988" s="1"/>
    </row>
    <row r="316989" spans="1:1" x14ac:dyDescent="0.25">
      <c r="A316989" s="1"/>
    </row>
    <row r="316990" spans="1:1" x14ac:dyDescent="0.25">
      <c r="A316990" s="1"/>
    </row>
    <row r="316991" spans="1:1" x14ac:dyDescent="0.25">
      <c r="A316991" s="1"/>
    </row>
    <row r="316992" spans="1:1" x14ac:dyDescent="0.25">
      <c r="A316992" s="1"/>
    </row>
    <row r="316993" spans="1:1" x14ac:dyDescent="0.25">
      <c r="A316993" s="1"/>
    </row>
    <row r="316994" spans="1:1" x14ac:dyDescent="0.25">
      <c r="A316994" s="1"/>
    </row>
    <row r="316995" spans="1:1" x14ac:dyDescent="0.25">
      <c r="A316995" s="1"/>
    </row>
    <row r="316996" spans="1:1" x14ac:dyDescent="0.25">
      <c r="A316996" s="1"/>
    </row>
    <row r="316997" spans="1:1" x14ac:dyDescent="0.25">
      <c r="A316997" s="1"/>
    </row>
    <row r="316998" spans="1:1" x14ac:dyDescent="0.25">
      <c r="A316998" s="1"/>
    </row>
    <row r="316999" spans="1:1" x14ac:dyDescent="0.25">
      <c r="A316999" s="1"/>
    </row>
    <row r="317000" spans="1:1" x14ac:dyDescent="0.25">
      <c r="A317000" s="1"/>
    </row>
    <row r="317001" spans="1:1" x14ac:dyDescent="0.25">
      <c r="A317001" s="1"/>
    </row>
    <row r="317002" spans="1:1" x14ac:dyDescent="0.25">
      <c r="A317002" s="1"/>
    </row>
    <row r="317003" spans="1:1" x14ac:dyDescent="0.25">
      <c r="A317003" s="1"/>
    </row>
    <row r="317004" spans="1:1" x14ac:dyDescent="0.25">
      <c r="A317004" s="1"/>
    </row>
    <row r="317005" spans="1:1" x14ac:dyDescent="0.25">
      <c r="A317005" s="1"/>
    </row>
    <row r="317006" spans="1:1" x14ac:dyDescent="0.25">
      <c r="A317006" s="1"/>
    </row>
    <row r="317007" spans="1:1" x14ac:dyDescent="0.25">
      <c r="A317007" s="1"/>
    </row>
    <row r="317008" spans="1:1" x14ac:dyDescent="0.25">
      <c r="A317008" s="1"/>
    </row>
    <row r="317009" spans="1:1" x14ac:dyDescent="0.25">
      <c r="A317009" s="1"/>
    </row>
    <row r="317010" spans="1:1" x14ac:dyDescent="0.25">
      <c r="A317010" s="1"/>
    </row>
    <row r="317011" spans="1:1" x14ac:dyDescent="0.25">
      <c r="A317011" s="1"/>
    </row>
    <row r="317012" spans="1:1" x14ac:dyDescent="0.25">
      <c r="A317012" s="1"/>
    </row>
    <row r="317013" spans="1:1" x14ac:dyDescent="0.25">
      <c r="A317013" s="1"/>
    </row>
    <row r="317014" spans="1:1" x14ac:dyDescent="0.25">
      <c r="A317014" s="1"/>
    </row>
    <row r="317015" spans="1:1" x14ac:dyDescent="0.25">
      <c r="A317015" s="1"/>
    </row>
    <row r="317016" spans="1:1" x14ac:dyDescent="0.25">
      <c r="A317016" s="1"/>
    </row>
    <row r="317017" spans="1:1" x14ac:dyDescent="0.25">
      <c r="A317017" s="1"/>
    </row>
    <row r="317018" spans="1:1" x14ac:dyDescent="0.25">
      <c r="A317018" s="1"/>
    </row>
    <row r="317019" spans="1:1" x14ac:dyDescent="0.25">
      <c r="A317019" s="1"/>
    </row>
    <row r="317020" spans="1:1" x14ac:dyDescent="0.25">
      <c r="A317020" s="1"/>
    </row>
    <row r="317021" spans="1:1" x14ac:dyDescent="0.25">
      <c r="A317021" s="1"/>
    </row>
    <row r="317022" spans="1:1" x14ac:dyDescent="0.25">
      <c r="A317022" s="1"/>
    </row>
    <row r="317023" spans="1:1" x14ac:dyDescent="0.25">
      <c r="A317023" s="1"/>
    </row>
    <row r="317024" spans="1:1" x14ac:dyDescent="0.25">
      <c r="A317024" s="1"/>
    </row>
    <row r="317025" spans="1:1" x14ac:dyDescent="0.25">
      <c r="A317025" s="1"/>
    </row>
    <row r="317026" spans="1:1" x14ac:dyDescent="0.25">
      <c r="A317026" s="1"/>
    </row>
    <row r="317027" spans="1:1" x14ac:dyDescent="0.25">
      <c r="A317027" s="1"/>
    </row>
    <row r="317028" spans="1:1" x14ac:dyDescent="0.25">
      <c r="A317028" s="1"/>
    </row>
    <row r="317029" spans="1:1" x14ac:dyDescent="0.25">
      <c r="A317029" s="1"/>
    </row>
    <row r="317030" spans="1:1" x14ac:dyDescent="0.25">
      <c r="A317030" s="1"/>
    </row>
    <row r="317031" spans="1:1" x14ac:dyDescent="0.25">
      <c r="A317031" s="1"/>
    </row>
    <row r="317032" spans="1:1" x14ac:dyDescent="0.25">
      <c r="A317032" s="1"/>
    </row>
    <row r="317033" spans="1:1" x14ac:dyDescent="0.25">
      <c r="A317033" s="1"/>
    </row>
    <row r="317034" spans="1:1" x14ac:dyDescent="0.25">
      <c r="A317034" s="1"/>
    </row>
    <row r="317035" spans="1:1" x14ac:dyDescent="0.25">
      <c r="A317035" s="1"/>
    </row>
    <row r="317036" spans="1:1" x14ac:dyDescent="0.25">
      <c r="A317036" s="1"/>
    </row>
    <row r="317037" spans="1:1" x14ac:dyDescent="0.25">
      <c r="A317037" s="1"/>
    </row>
    <row r="317038" spans="1:1" x14ac:dyDescent="0.25">
      <c r="A317038" s="1"/>
    </row>
    <row r="317039" spans="1:1" x14ac:dyDescent="0.25">
      <c r="A317039" s="1"/>
    </row>
    <row r="317040" spans="1:1" x14ac:dyDescent="0.25">
      <c r="A317040" s="1"/>
    </row>
    <row r="317041" spans="1:1" x14ac:dyDescent="0.25">
      <c r="A317041" s="1"/>
    </row>
    <row r="317042" spans="1:1" x14ac:dyDescent="0.25">
      <c r="A317042" s="1"/>
    </row>
    <row r="317043" spans="1:1" x14ac:dyDescent="0.25">
      <c r="A317043" s="1"/>
    </row>
    <row r="317044" spans="1:1" x14ac:dyDescent="0.25">
      <c r="A317044" s="1"/>
    </row>
    <row r="317045" spans="1:1" x14ac:dyDescent="0.25">
      <c r="A317045" s="1"/>
    </row>
    <row r="317046" spans="1:1" x14ac:dyDescent="0.25">
      <c r="A317046" s="1"/>
    </row>
    <row r="317047" spans="1:1" x14ac:dyDescent="0.25">
      <c r="A317047" s="1"/>
    </row>
    <row r="317048" spans="1:1" x14ac:dyDescent="0.25">
      <c r="A317048" s="1"/>
    </row>
    <row r="317049" spans="1:1" x14ac:dyDescent="0.25">
      <c r="A317049" s="1"/>
    </row>
    <row r="317050" spans="1:1" x14ac:dyDescent="0.25">
      <c r="A317050" s="1"/>
    </row>
    <row r="317051" spans="1:1" x14ac:dyDescent="0.25">
      <c r="A317051" s="1"/>
    </row>
    <row r="317052" spans="1:1" x14ac:dyDescent="0.25">
      <c r="A317052" s="1"/>
    </row>
    <row r="317053" spans="1:1" x14ac:dyDescent="0.25">
      <c r="A317053" s="1"/>
    </row>
    <row r="317054" spans="1:1" x14ac:dyDescent="0.25">
      <c r="A317054" s="1"/>
    </row>
    <row r="317055" spans="1:1" x14ac:dyDescent="0.25">
      <c r="A317055" s="1"/>
    </row>
    <row r="317056" spans="1:1" x14ac:dyDescent="0.25">
      <c r="A317056" s="1"/>
    </row>
    <row r="317057" spans="1:1" x14ac:dyDescent="0.25">
      <c r="A317057" s="1"/>
    </row>
    <row r="317058" spans="1:1" x14ac:dyDescent="0.25">
      <c r="A317058" s="1"/>
    </row>
    <row r="317059" spans="1:1" x14ac:dyDescent="0.25">
      <c r="A317059" s="1"/>
    </row>
    <row r="317060" spans="1:1" x14ac:dyDescent="0.25">
      <c r="A317060" s="1"/>
    </row>
    <row r="317061" spans="1:1" x14ac:dyDescent="0.25">
      <c r="A317061" s="1"/>
    </row>
    <row r="317062" spans="1:1" x14ac:dyDescent="0.25">
      <c r="A317062" s="1"/>
    </row>
    <row r="317063" spans="1:1" x14ac:dyDescent="0.25">
      <c r="A317063" s="1"/>
    </row>
    <row r="317064" spans="1:1" x14ac:dyDescent="0.25">
      <c r="A317064" s="1"/>
    </row>
    <row r="317065" spans="1:1" x14ac:dyDescent="0.25">
      <c r="A317065" s="1"/>
    </row>
    <row r="317066" spans="1:1" x14ac:dyDescent="0.25">
      <c r="A317066" s="1"/>
    </row>
    <row r="317067" spans="1:1" x14ac:dyDescent="0.25">
      <c r="A317067" s="1"/>
    </row>
    <row r="317068" spans="1:1" x14ac:dyDescent="0.25">
      <c r="A317068" s="1"/>
    </row>
    <row r="317069" spans="1:1" x14ac:dyDescent="0.25">
      <c r="A317069" s="1"/>
    </row>
    <row r="317070" spans="1:1" x14ac:dyDescent="0.25">
      <c r="A317070" s="1"/>
    </row>
    <row r="317071" spans="1:1" x14ac:dyDescent="0.25">
      <c r="A317071" s="1"/>
    </row>
    <row r="317072" spans="1:1" x14ac:dyDescent="0.25">
      <c r="A317072" s="1"/>
    </row>
    <row r="317073" spans="1:1" x14ac:dyDescent="0.25">
      <c r="A317073" s="1"/>
    </row>
    <row r="317074" spans="1:1" x14ac:dyDescent="0.25">
      <c r="A317074" s="1"/>
    </row>
    <row r="317075" spans="1:1" x14ac:dyDescent="0.25">
      <c r="A317075" s="1"/>
    </row>
    <row r="317076" spans="1:1" x14ac:dyDescent="0.25">
      <c r="A317076" s="1"/>
    </row>
    <row r="317077" spans="1:1" x14ac:dyDescent="0.25">
      <c r="A317077" s="1"/>
    </row>
    <row r="317078" spans="1:1" x14ac:dyDescent="0.25">
      <c r="A317078" s="1"/>
    </row>
    <row r="317079" spans="1:1" x14ac:dyDescent="0.25">
      <c r="A317079" s="1"/>
    </row>
    <row r="317080" spans="1:1" x14ac:dyDescent="0.25">
      <c r="A317080" s="1"/>
    </row>
    <row r="317081" spans="1:1" x14ac:dyDescent="0.25">
      <c r="A317081" s="1"/>
    </row>
    <row r="317082" spans="1:1" x14ac:dyDescent="0.25">
      <c r="A317082" s="1"/>
    </row>
    <row r="317083" spans="1:1" x14ac:dyDescent="0.25">
      <c r="A317083" s="1"/>
    </row>
    <row r="317084" spans="1:1" x14ac:dyDescent="0.25">
      <c r="A317084" s="1"/>
    </row>
    <row r="317085" spans="1:1" x14ac:dyDescent="0.25">
      <c r="A317085" s="1"/>
    </row>
    <row r="317086" spans="1:1" x14ac:dyDescent="0.25">
      <c r="A317086" s="1"/>
    </row>
    <row r="317087" spans="1:1" x14ac:dyDescent="0.25">
      <c r="A317087" s="1"/>
    </row>
    <row r="317088" spans="1:1" x14ac:dyDescent="0.25">
      <c r="A317088" s="1"/>
    </row>
    <row r="317089" spans="1:1" x14ac:dyDescent="0.25">
      <c r="A317089" s="1"/>
    </row>
    <row r="317090" spans="1:1" x14ac:dyDescent="0.25">
      <c r="A317090" s="1"/>
    </row>
    <row r="317091" spans="1:1" x14ac:dyDescent="0.25">
      <c r="A317091" s="1"/>
    </row>
    <row r="317092" spans="1:1" x14ac:dyDescent="0.25">
      <c r="A317092" s="1"/>
    </row>
    <row r="317093" spans="1:1" x14ac:dyDescent="0.25">
      <c r="A317093" s="1"/>
    </row>
    <row r="317094" spans="1:1" x14ac:dyDescent="0.25">
      <c r="A317094" s="1"/>
    </row>
    <row r="317095" spans="1:1" x14ac:dyDescent="0.25">
      <c r="A317095" s="1"/>
    </row>
    <row r="317096" spans="1:1" x14ac:dyDescent="0.25">
      <c r="A317096" s="1"/>
    </row>
    <row r="317097" spans="1:1" x14ac:dyDescent="0.25">
      <c r="A317097" s="1"/>
    </row>
    <row r="317098" spans="1:1" x14ac:dyDescent="0.25">
      <c r="A317098" s="1"/>
    </row>
    <row r="317099" spans="1:1" x14ac:dyDescent="0.25">
      <c r="A317099" s="1"/>
    </row>
    <row r="317100" spans="1:1" x14ac:dyDescent="0.25">
      <c r="A317100" s="1"/>
    </row>
    <row r="317101" spans="1:1" x14ac:dyDescent="0.25">
      <c r="A317101" s="1"/>
    </row>
    <row r="317102" spans="1:1" x14ac:dyDescent="0.25">
      <c r="A317102" s="1"/>
    </row>
    <row r="317103" spans="1:1" x14ac:dyDescent="0.25">
      <c r="A317103" s="1"/>
    </row>
    <row r="317104" spans="1:1" x14ac:dyDescent="0.25">
      <c r="A317104" s="1"/>
    </row>
    <row r="317105" spans="1:1" x14ac:dyDescent="0.25">
      <c r="A317105" s="1"/>
    </row>
    <row r="317106" spans="1:1" x14ac:dyDescent="0.25">
      <c r="A317106" s="1"/>
    </row>
    <row r="317107" spans="1:1" x14ac:dyDescent="0.25">
      <c r="A317107" s="1"/>
    </row>
    <row r="317108" spans="1:1" x14ac:dyDescent="0.25">
      <c r="A317108" s="1"/>
    </row>
    <row r="317109" spans="1:1" x14ac:dyDescent="0.25">
      <c r="A317109" s="1"/>
    </row>
    <row r="317110" spans="1:1" x14ac:dyDescent="0.25">
      <c r="A317110" s="1"/>
    </row>
    <row r="317111" spans="1:1" x14ac:dyDescent="0.25">
      <c r="A317111" s="1"/>
    </row>
    <row r="317112" spans="1:1" x14ac:dyDescent="0.25">
      <c r="A317112" s="1"/>
    </row>
    <row r="317113" spans="1:1" x14ac:dyDescent="0.25">
      <c r="A317113" s="1"/>
    </row>
    <row r="317114" spans="1:1" x14ac:dyDescent="0.25">
      <c r="A317114" s="1"/>
    </row>
    <row r="317115" spans="1:1" x14ac:dyDescent="0.25">
      <c r="A317115" s="1"/>
    </row>
    <row r="317116" spans="1:1" x14ac:dyDescent="0.25">
      <c r="A317116" s="1"/>
    </row>
    <row r="317117" spans="1:1" x14ac:dyDescent="0.25">
      <c r="A317117" s="1"/>
    </row>
    <row r="317118" spans="1:1" x14ac:dyDescent="0.25">
      <c r="A317118" s="1"/>
    </row>
    <row r="317119" spans="1:1" x14ac:dyDescent="0.25">
      <c r="A317119" s="1"/>
    </row>
    <row r="317120" spans="1:1" x14ac:dyDescent="0.25">
      <c r="A317120" s="1"/>
    </row>
    <row r="317121" spans="1:1" x14ac:dyDescent="0.25">
      <c r="A317121" s="1"/>
    </row>
    <row r="317122" spans="1:1" x14ac:dyDescent="0.25">
      <c r="A317122" s="1"/>
    </row>
    <row r="317123" spans="1:1" x14ac:dyDescent="0.25">
      <c r="A317123" s="1"/>
    </row>
    <row r="317124" spans="1:1" x14ac:dyDescent="0.25">
      <c r="A317124" s="1"/>
    </row>
    <row r="317125" spans="1:1" x14ac:dyDescent="0.25">
      <c r="A317125" s="1"/>
    </row>
    <row r="317126" spans="1:1" x14ac:dyDescent="0.25">
      <c r="A317126" s="1"/>
    </row>
    <row r="317127" spans="1:1" x14ac:dyDescent="0.25">
      <c r="A317127" s="1"/>
    </row>
    <row r="317128" spans="1:1" x14ac:dyDescent="0.25">
      <c r="A317128" s="1"/>
    </row>
    <row r="317129" spans="1:1" x14ac:dyDescent="0.25">
      <c r="A317129" s="1"/>
    </row>
    <row r="317130" spans="1:1" x14ac:dyDescent="0.25">
      <c r="A317130" s="1"/>
    </row>
    <row r="317131" spans="1:1" x14ac:dyDescent="0.25">
      <c r="A317131" s="1"/>
    </row>
    <row r="317132" spans="1:1" x14ac:dyDescent="0.25">
      <c r="A317132" s="1"/>
    </row>
    <row r="317133" spans="1:1" x14ac:dyDescent="0.25">
      <c r="A317133" s="1"/>
    </row>
    <row r="317134" spans="1:1" x14ac:dyDescent="0.25">
      <c r="A317134" s="1"/>
    </row>
    <row r="317135" spans="1:1" x14ac:dyDescent="0.25">
      <c r="A317135" s="1"/>
    </row>
    <row r="317136" spans="1:1" x14ac:dyDescent="0.25">
      <c r="A317136" s="1"/>
    </row>
    <row r="317137" spans="1:1" x14ac:dyDescent="0.25">
      <c r="A317137" s="1"/>
    </row>
    <row r="317138" spans="1:1" x14ac:dyDescent="0.25">
      <c r="A317138" s="1"/>
    </row>
    <row r="317139" spans="1:1" x14ac:dyDescent="0.25">
      <c r="A317139" s="1"/>
    </row>
    <row r="317140" spans="1:1" x14ac:dyDescent="0.25">
      <c r="A317140" s="1"/>
    </row>
    <row r="317141" spans="1:1" x14ac:dyDescent="0.25">
      <c r="A317141" s="1"/>
    </row>
    <row r="317142" spans="1:1" x14ac:dyDescent="0.25">
      <c r="A317142" s="1"/>
    </row>
    <row r="317143" spans="1:1" x14ac:dyDescent="0.25">
      <c r="A317143" s="1"/>
    </row>
    <row r="317144" spans="1:1" x14ac:dyDescent="0.25">
      <c r="A317144" s="1"/>
    </row>
    <row r="317145" spans="1:1" x14ac:dyDescent="0.25">
      <c r="A317145" s="1"/>
    </row>
    <row r="317146" spans="1:1" x14ac:dyDescent="0.25">
      <c r="A317146" s="1"/>
    </row>
    <row r="317147" spans="1:1" x14ac:dyDescent="0.25">
      <c r="A317147" s="1"/>
    </row>
    <row r="317148" spans="1:1" x14ac:dyDescent="0.25">
      <c r="A317148" s="1"/>
    </row>
    <row r="317149" spans="1:1" x14ac:dyDescent="0.25">
      <c r="A317149" s="1"/>
    </row>
    <row r="317150" spans="1:1" x14ac:dyDescent="0.25">
      <c r="A317150" s="1"/>
    </row>
    <row r="317151" spans="1:1" x14ac:dyDescent="0.25">
      <c r="A317151" s="1"/>
    </row>
    <row r="317152" spans="1:1" x14ac:dyDescent="0.25">
      <c r="A317152" s="1"/>
    </row>
    <row r="317153" spans="1:1" x14ac:dyDescent="0.25">
      <c r="A317153" s="1"/>
    </row>
    <row r="317154" spans="1:1" x14ac:dyDescent="0.25">
      <c r="A317154" s="1"/>
    </row>
    <row r="317155" spans="1:1" x14ac:dyDescent="0.25">
      <c r="A317155" s="1"/>
    </row>
    <row r="317156" spans="1:1" x14ac:dyDescent="0.25">
      <c r="A317156" s="1"/>
    </row>
    <row r="317157" spans="1:1" x14ac:dyDescent="0.25">
      <c r="A317157" s="1"/>
    </row>
    <row r="317158" spans="1:1" x14ac:dyDescent="0.25">
      <c r="A317158" s="1"/>
    </row>
    <row r="317159" spans="1:1" x14ac:dyDescent="0.25">
      <c r="A317159" s="1"/>
    </row>
    <row r="317160" spans="1:1" x14ac:dyDescent="0.25">
      <c r="A317160" s="1"/>
    </row>
    <row r="317161" spans="1:1" x14ac:dyDescent="0.25">
      <c r="A317161" s="1"/>
    </row>
    <row r="317162" spans="1:1" x14ac:dyDescent="0.25">
      <c r="A317162" s="1"/>
    </row>
    <row r="317163" spans="1:1" x14ac:dyDescent="0.25">
      <c r="A317163" s="1"/>
    </row>
    <row r="317164" spans="1:1" x14ac:dyDescent="0.25">
      <c r="A317164" s="1"/>
    </row>
    <row r="317165" spans="1:1" x14ac:dyDescent="0.25">
      <c r="A317165" s="1"/>
    </row>
    <row r="317166" spans="1:1" x14ac:dyDescent="0.25">
      <c r="A317166" s="1"/>
    </row>
    <row r="317167" spans="1:1" x14ac:dyDescent="0.25">
      <c r="A317167" s="1"/>
    </row>
    <row r="317168" spans="1:1" x14ac:dyDescent="0.25">
      <c r="A317168" s="1"/>
    </row>
    <row r="317169" spans="1:1" x14ac:dyDescent="0.25">
      <c r="A317169" s="1"/>
    </row>
    <row r="317170" spans="1:1" x14ac:dyDescent="0.25">
      <c r="A317170" s="1"/>
    </row>
    <row r="317171" spans="1:1" x14ac:dyDescent="0.25">
      <c r="A317171" s="1"/>
    </row>
    <row r="317172" spans="1:1" x14ac:dyDescent="0.25">
      <c r="A317172" s="1"/>
    </row>
    <row r="317173" spans="1:1" x14ac:dyDescent="0.25">
      <c r="A317173" s="1"/>
    </row>
    <row r="317174" spans="1:1" x14ac:dyDescent="0.25">
      <c r="A317174" s="1"/>
    </row>
    <row r="317175" spans="1:1" x14ac:dyDescent="0.25">
      <c r="A317175" s="1"/>
    </row>
    <row r="317176" spans="1:1" x14ac:dyDescent="0.25">
      <c r="A317176" s="1"/>
    </row>
    <row r="317177" spans="1:1" x14ac:dyDescent="0.25">
      <c r="A317177" s="1"/>
    </row>
    <row r="317178" spans="1:1" x14ac:dyDescent="0.25">
      <c r="A317178" s="1"/>
    </row>
    <row r="317179" spans="1:1" x14ac:dyDescent="0.25">
      <c r="A317179" s="1"/>
    </row>
    <row r="317180" spans="1:1" x14ac:dyDescent="0.25">
      <c r="A317180" s="1"/>
    </row>
    <row r="317181" spans="1:1" x14ac:dyDescent="0.25">
      <c r="A317181" s="1"/>
    </row>
    <row r="317182" spans="1:1" x14ac:dyDescent="0.25">
      <c r="A317182" s="1"/>
    </row>
    <row r="317183" spans="1:1" x14ac:dyDescent="0.25">
      <c r="A317183" s="1"/>
    </row>
    <row r="317184" spans="1:1" x14ac:dyDescent="0.25">
      <c r="A317184" s="1"/>
    </row>
    <row r="317185" spans="1:1" x14ac:dyDescent="0.25">
      <c r="A317185" s="1"/>
    </row>
    <row r="317186" spans="1:1" x14ac:dyDescent="0.25">
      <c r="A317186" s="1"/>
    </row>
    <row r="317187" spans="1:1" x14ac:dyDescent="0.25">
      <c r="A317187" s="1"/>
    </row>
    <row r="317188" spans="1:1" x14ac:dyDescent="0.25">
      <c r="A317188" s="1"/>
    </row>
    <row r="317189" spans="1:1" x14ac:dyDescent="0.25">
      <c r="A317189" s="1"/>
    </row>
    <row r="317190" spans="1:1" x14ac:dyDescent="0.25">
      <c r="A317190" s="1"/>
    </row>
    <row r="317191" spans="1:1" x14ac:dyDescent="0.25">
      <c r="A317191" s="1"/>
    </row>
    <row r="317192" spans="1:1" x14ac:dyDescent="0.25">
      <c r="A317192" s="1"/>
    </row>
    <row r="317193" spans="1:1" x14ac:dyDescent="0.25">
      <c r="A317193" s="1"/>
    </row>
    <row r="317194" spans="1:1" x14ac:dyDescent="0.25">
      <c r="A317194" s="1"/>
    </row>
    <row r="317195" spans="1:1" x14ac:dyDescent="0.25">
      <c r="A317195" s="1"/>
    </row>
    <row r="317196" spans="1:1" x14ac:dyDescent="0.25">
      <c r="A317196" s="1"/>
    </row>
    <row r="317197" spans="1:1" x14ac:dyDescent="0.25">
      <c r="A317197" s="1"/>
    </row>
    <row r="317198" spans="1:1" x14ac:dyDescent="0.25">
      <c r="A317198" s="1"/>
    </row>
    <row r="317199" spans="1:1" x14ac:dyDescent="0.25">
      <c r="A317199" s="1"/>
    </row>
    <row r="317200" spans="1:1" x14ac:dyDescent="0.25">
      <c r="A317200" s="1"/>
    </row>
    <row r="317201" spans="1:1" x14ac:dyDescent="0.25">
      <c r="A317201" s="1"/>
    </row>
    <row r="317202" spans="1:1" x14ac:dyDescent="0.25">
      <c r="A317202" s="1"/>
    </row>
    <row r="317203" spans="1:1" x14ac:dyDescent="0.25">
      <c r="A317203" s="1"/>
    </row>
    <row r="317204" spans="1:1" x14ac:dyDescent="0.25">
      <c r="A317204" s="1"/>
    </row>
    <row r="317205" spans="1:1" x14ac:dyDescent="0.25">
      <c r="A317205" s="1"/>
    </row>
    <row r="317206" spans="1:1" x14ac:dyDescent="0.25">
      <c r="A317206" s="1"/>
    </row>
    <row r="317207" spans="1:1" x14ac:dyDescent="0.25">
      <c r="A317207" s="1"/>
    </row>
    <row r="317208" spans="1:1" x14ac:dyDescent="0.25">
      <c r="A317208" s="1"/>
    </row>
    <row r="317209" spans="1:1" x14ac:dyDescent="0.25">
      <c r="A317209" s="1"/>
    </row>
    <row r="317210" spans="1:1" x14ac:dyDescent="0.25">
      <c r="A317210" s="1"/>
    </row>
    <row r="317211" spans="1:1" x14ac:dyDescent="0.25">
      <c r="A317211" s="1"/>
    </row>
    <row r="317212" spans="1:1" x14ac:dyDescent="0.25">
      <c r="A317212" s="1"/>
    </row>
    <row r="317213" spans="1:1" x14ac:dyDescent="0.25">
      <c r="A317213" s="1"/>
    </row>
    <row r="317214" spans="1:1" x14ac:dyDescent="0.25">
      <c r="A317214" s="1"/>
    </row>
    <row r="317215" spans="1:1" x14ac:dyDescent="0.25">
      <c r="A317215" s="1"/>
    </row>
    <row r="317216" spans="1:1" x14ac:dyDescent="0.25">
      <c r="A317216" s="1"/>
    </row>
    <row r="317217" spans="1:1" x14ac:dyDescent="0.25">
      <c r="A317217" s="1"/>
    </row>
    <row r="317218" spans="1:1" x14ac:dyDescent="0.25">
      <c r="A317218" s="1"/>
    </row>
    <row r="317219" spans="1:1" x14ac:dyDescent="0.25">
      <c r="A317219" s="1"/>
    </row>
    <row r="317220" spans="1:1" x14ac:dyDescent="0.25">
      <c r="A317220" s="1"/>
    </row>
    <row r="317221" spans="1:1" x14ac:dyDescent="0.25">
      <c r="A317221" s="1"/>
    </row>
    <row r="317222" spans="1:1" x14ac:dyDescent="0.25">
      <c r="A317222" s="1"/>
    </row>
    <row r="317223" spans="1:1" x14ac:dyDescent="0.25">
      <c r="A317223" s="1"/>
    </row>
    <row r="317224" spans="1:1" x14ac:dyDescent="0.25">
      <c r="A317224" s="1"/>
    </row>
    <row r="317225" spans="1:1" x14ac:dyDescent="0.25">
      <c r="A317225" s="1"/>
    </row>
    <row r="317226" spans="1:1" x14ac:dyDescent="0.25">
      <c r="A317226" s="1"/>
    </row>
    <row r="317227" spans="1:1" x14ac:dyDescent="0.25">
      <c r="A317227" s="1"/>
    </row>
    <row r="317228" spans="1:1" x14ac:dyDescent="0.25">
      <c r="A317228" s="1"/>
    </row>
    <row r="317229" spans="1:1" x14ac:dyDescent="0.25">
      <c r="A317229" s="1"/>
    </row>
    <row r="317230" spans="1:1" x14ac:dyDescent="0.25">
      <c r="A317230" s="1"/>
    </row>
    <row r="317231" spans="1:1" x14ac:dyDescent="0.25">
      <c r="A317231" s="1"/>
    </row>
    <row r="317232" spans="1:1" x14ac:dyDescent="0.25">
      <c r="A317232" s="1"/>
    </row>
    <row r="317233" spans="1:1" x14ac:dyDescent="0.25">
      <c r="A317233" s="1"/>
    </row>
    <row r="317234" spans="1:1" x14ac:dyDescent="0.25">
      <c r="A317234" s="1"/>
    </row>
    <row r="317235" spans="1:1" x14ac:dyDescent="0.25">
      <c r="A317235" s="1"/>
    </row>
    <row r="317236" spans="1:1" x14ac:dyDescent="0.25">
      <c r="A317236" s="1"/>
    </row>
    <row r="317237" spans="1:1" x14ac:dyDescent="0.25">
      <c r="A317237" s="1"/>
    </row>
    <row r="317238" spans="1:1" x14ac:dyDescent="0.25">
      <c r="A317238" s="1"/>
    </row>
    <row r="317239" spans="1:1" x14ac:dyDescent="0.25">
      <c r="A317239" s="1"/>
    </row>
    <row r="317240" spans="1:1" x14ac:dyDescent="0.25">
      <c r="A317240" s="1"/>
    </row>
    <row r="317241" spans="1:1" x14ac:dyDescent="0.25">
      <c r="A317241" s="1"/>
    </row>
    <row r="317242" spans="1:1" x14ac:dyDescent="0.25">
      <c r="A317242" s="1"/>
    </row>
    <row r="317243" spans="1:1" x14ac:dyDescent="0.25">
      <c r="A317243" s="1"/>
    </row>
    <row r="317244" spans="1:1" x14ac:dyDescent="0.25">
      <c r="A317244" s="1"/>
    </row>
    <row r="317245" spans="1:1" x14ac:dyDescent="0.25">
      <c r="A317245" s="1"/>
    </row>
    <row r="317246" spans="1:1" x14ac:dyDescent="0.25">
      <c r="A317246" s="1"/>
    </row>
    <row r="317247" spans="1:1" x14ac:dyDescent="0.25">
      <c r="A317247" s="1"/>
    </row>
    <row r="317248" spans="1:1" x14ac:dyDescent="0.25">
      <c r="A317248" s="1"/>
    </row>
    <row r="317249" spans="1:1" x14ac:dyDescent="0.25">
      <c r="A317249" s="1"/>
    </row>
    <row r="317250" spans="1:1" x14ac:dyDescent="0.25">
      <c r="A317250" s="1"/>
    </row>
    <row r="317251" spans="1:1" x14ac:dyDescent="0.25">
      <c r="A317251" s="1"/>
    </row>
    <row r="317252" spans="1:1" x14ac:dyDescent="0.25">
      <c r="A317252" s="1"/>
    </row>
    <row r="317253" spans="1:1" x14ac:dyDescent="0.25">
      <c r="A317253" s="1"/>
    </row>
    <row r="317254" spans="1:1" x14ac:dyDescent="0.25">
      <c r="A317254" s="1"/>
    </row>
    <row r="317255" spans="1:1" x14ac:dyDescent="0.25">
      <c r="A317255" s="1"/>
    </row>
    <row r="317256" spans="1:1" x14ac:dyDescent="0.25">
      <c r="A317256" s="1"/>
    </row>
    <row r="317257" spans="1:1" x14ac:dyDescent="0.25">
      <c r="A317257" s="1"/>
    </row>
    <row r="317258" spans="1:1" x14ac:dyDescent="0.25">
      <c r="A317258" s="1"/>
    </row>
    <row r="317259" spans="1:1" x14ac:dyDescent="0.25">
      <c r="A317259" s="1"/>
    </row>
    <row r="317260" spans="1:1" x14ac:dyDescent="0.25">
      <c r="A317260" s="1"/>
    </row>
    <row r="317261" spans="1:1" x14ac:dyDescent="0.25">
      <c r="A317261" s="1"/>
    </row>
    <row r="317262" spans="1:1" x14ac:dyDescent="0.25">
      <c r="A317262" s="1"/>
    </row>
    <row r="317263" spans="1:1" x14ac:dyDescent="0.25">
      <c r="A317263" s="1"/>
    </row>
    <row r="317264" spans="1:1" x14ac:dyDescent="0.25">
      <c r="A317264" s="1"/>
    </row>
    <row r="317265" spans="1:1" x14ac:dyDescent="0.25">
      <c r="A317265" s="1"/>
    </row>
    <row r="317266" spans="1:1" x14ac:dyDescent="0.25">
      <c r="A317266" s="1"/>
    </row>
    <row r="317267" spans="1:1" x14ac:dyDescent="0.25">
      <c r="A317267" s="1"/>
    </row>
    <row r="317268" spans="1:1" x14ac:dyDescent="0.25">
      <c r="A317268" s="1"/>
    </row>
    <row r="317269" spans="1:1" x14ac:dyDescent="0.25">
      <c r="A317269" s="1"/>
    </row>
    <row r="317270" spans="1:1" x14ac:dyDescent="0.25">
      <c r="A317270" s="1"/>
    </row>
    <row r="317271" spans="1:1" x14ac:dyDescent="0.25">
      <c r="A317271" s="1"/>
    </row>
    <row r="317272" spans="1:1" x14ac:dyDescent="0.25">
      <c r="A317272" s="1"/>
    </row>
    <row r="317273" spans="1:1" x14ac:dyDescent="0.25">
      <c r="A317273" s="1"/>
    </row>
    <row r="317274" spans="1:1" x14ac:dyDescent="0.25">
      <c r="A317274" s="1"/>
    </row>
    <row r="317275" spans="1:1" x14ac:dyDescent="0.25">
      <c r="A317275" s="1"/>
    </row>
    <row r="317276" spans="1:1" x14ac:dyDescent="0.25">
      <c r="A317276" s="1"/>
    </row>
    <row r="317277" spans="1:1" x14ac:dyDescent="0.25">
      <c r="A317277" s="1"/>
    </row>
    <row r="317278" spans="1:1" x14ac:dyDescent="0.25">
      <c r="A317278" s="1"/>
    </row>
    <row r="317279" spans="1:1" x14ac:dyDescent="0.25">
      <c r="A317279" s="1"/>
    </row>
    <row r="317280" spans="1:1" x14ac:dyDescent="0.25">
      <c r="A317280" s="1"/>
    </row>
    <row r="317281" spans="1:1" x14ac:dyDescent="0.25">
      <c r="A317281" s="1"/>
    </row>
    <row r="317282" spans="1:1" x14ac:dyDescent="0.25">
      <c r="A317282" s="1"/>
    </row>
    <row r="317283" spans="1:1" x14ac:dyDescent="0.25">
      <c r="A317283" s="1"/>
    </row>
    <row r="317284" spans="1:1" x14ac:dyDescent="0.25">
      <c r="A317284" s="1"/>
    </row>
    <row r="317285" spans="1:1" x14ac:dyDescent="0.25">
      <c r="A317285" s="1"/>
    </row>
    <row r="317286" spans="1:1" x14ac:dyDescent="0.25">
      <c r="A317286" s="1"/>
    </row>
    <row r="317287" spans="1:1" x14ac:dyDescent="0.25">
      <c r="A317287" s="1"/>
    </row>
    <row r="317288" spans="1:1" x14ac:dyDescent="0.25">
      <c r="A317288" s="1"/>
    </row>
    <row r="317289" spans="1:1" x14ac:dyDescent="0.25">
      <c r="A317289" s="1"/>
    </row>
    <row r="317290" spans="1:1" x14ac:dyDescent="0.25">
      <c r="A317290" s="1"/>
    </row>
    <row r="317291" spans="1:1" x14ac:dyDescent="0.25">
      <c r="A317291" s="1"/>
    </row>
    <row r="317292" spans="1:1" x14ac:dyDescent="0.25">
      <c r="A317292" s="1"/>
    </row>
    <row r="317293" spans="1:1" x14ac:dyDescent="0.25">
      <c r="A317293" s="1"/>
    </row>
    <row r="317294" spans="1:1" x14ac:dyDescent="0.25">
      <c r="A317294" s="1"/>
    </row>
    <row r="317295" spans="1:1" x14ac:dyDescent="0.25">
      <c r="A317295" s="1"/>
    </row>
    <row r="317296" spans="1:1" x14ac:dyDescent="0.25">
      <c r="A317296" s="1"/>
    </row>
    <row r="317297" spans="1:1" x14ac:dyDescent="0.25">
      <c r="A317297" s="1"/>
    </row>
    <row r="317298" spans="1:1" x14ac:dyDescent="0.25">
      <c r="A317298" s="1"/>
    </row>
    <row r="317299" spans="1:1" x14ac:dyDescent="0.25">
      <c r="A317299" s="1"/>
    </row>
    <row r="317300" spans="1:1" x14ac:dyDescent="0.25">
      <c r="A317300" s="1"/>
    </row>
    <row r="317301" spans="1:1" x14ac:dyDescent="0.25">
      <c r="A317301" s="1"/>
    </row>
    <row r="317302" spans="1:1" x14ac:dyDescent="0.25">
      <c r="A317302" s="1"/>
    </row>
    <row r="317303" spans="1:1" x14ac:dyDescent="0.25">
      <c r="A317303" s="1"/>
    </row>
    <row r="317304" spans="1:1" x14ac:dyDescent="0.25">
      <c r="A317304" s="1"/>
    </row>
    <row r="317305" spans="1:1" x14ac:dyDescent="0.25">
      <c r="A317305" s="1"/>
    </row>
    <row r="317306" spans="1:1" x14ac:dyDescent="0.25">
      <c r="A317306" s="1"/>
    </row>
    <row r="317307" spans="1:1" x14ac:dyDescent="0.25">
      <c r="A317307" s="1"/>
    </row>
    <row r="317308" spans="1:1" x14ac:dyDescent="0.25">
      <c r="A317308" s="1"/>
    </row>
    <row r="317309" spans="1:1" x14ac:dyDescent="0.25">
      <c r="A317309" s="1"/>
    </row>
    <row r="317310" spans="1:1" x14ac:dyDescent="0.25">
      <c r="A317310" s="1"/>
    </row>
    <row r="317311" spans="1:1" x14ac:dyDescent="0.25">
      <c r="A317311" s="1"/>
    </row>
    <row r="317312" spans="1:1" x14ac:dyDescent="0.25">
      <c r="A317312" s="1"/>
    </row>
    <row r="317313" spans="1:1" x14ac:dyDescent="0.25">
      <c r="A317313" s="1"/>
    </row>
    <row r="317314" spans="1:1" x14ac:dyDescent="0.25">
      <c r="A317314" s="1"/>
    </row>
    <row r="317315" spans="1:1" x14ac:dyDescent="0.25">
      <c r="A317315" s="1"/>
    </row>
    <row r="317316" spans="1:1" x14ac:dyDescent="0.25">
      <c r="A317316" s="1"/>
    </row>
    <row r="317317" spans="1:1" x14ac:dyDescent="0.25">
      <c r="A317317" s="1"/>
    </row>
    <row r="317318" spans="1:1" x14ac:dyDescent="0.25">
      <c r="A317318" s="1"/>
    </row>
    <row r="317319" spans="1:1" x14ac:dyDescent="0.25">
      <c r="A317319" s="1"/>
    </row>
    <row r="317320" spans="1:1" x14ac:dyDescent="0.25">
      <c r="A317320" s="1"/>
    </row>
    <row r="317321" spans="1:1" x14ac:dyDescent="0.25">
      <c r="A317321" s="1"/>
    </row>
    <row r="317322" spans="1:1" x14ac:dyDescent="0.25">
      <c r="A317322" s="1"/>
    </row>
    <row r="317323" spans="1:1" x14ac:dyDescent="0.25">
      <c r="A317323" s="1"/>
    </row>
    <row r="317324" spans="1:1" x14ac:dyDescent="0.25">
      <c r="A317324" s="1"/>
    </row>
    <row r="317325" spans="1:1" x14ac:dyDescent="0.25">
      <c r="A317325" s="1"/>
    </row>
    <row r="317326" spans="1:1" x14ac:dyDescent="0.25">
      <c r="A317326" s="1"/>
    </row>
    <row r="317327" spans="1:1" x14ac:dyDescent="0.25">
      <c r="A317327" s="1"/>
    </row>
    <row r="317328" spans="1:1" x14ac:dyDescent="0.25">
      <c r="A317328" s="1"/>
    </row>
    <row r="317329" spans="1:1" x14ac:dyDescent="0.25">
      <c r="A317329" s="1"/>
    </row>
    <row r="317330" spans="1:1" x14ac:dyDescent="0.25">
      <c r="A317330" s="1"/>
    </row>
    <row r="317331" spans="1:1" x14ac:dyDescent="0.25">
      <c r="A317331" s="1"/>
    </row>
    <row r="317332" spans="1:1" x14ac:dyDescent="0.25">
      <c r="A317332" s="1"/>
    </row>
    <row r="317333" spans="1:1" x14ac:dyDescent="0.25">
      <c r="A317333" s="1"/>
    </row>
    <row r="317334" spans="1:1" x14ac:dyDescent="0.25">
      <c r="A317334" s="1"/>
    </row>
    <row r="317335" spans="1:1" x14ac:dyDescent="0.25">
      <c r="A317335" s="1"/>
    </row>
    <row r="317336" spans="1:1" x14ac:dyDescent="0.25">
      <c r="A317336" s="1"/>
    </row>
    <row r="317337" spans="1:1" x14ac:dyDescent="0.25">
      <c r="A317337" s="1"/>
    </row>
    <row r="317338" spans="1:1" x14ac:dyDescent="0.25">
      <c r="A317338" s="1"/>
    </row>
    <row r="317339" spans="1:1" x14ac:dyDescent="0.25">
      <c r="A317339" s="1"/>
    </row>
    <row r="317340" spans="1:1" x14ac:dyDescent="0.25">
      <c r="A317340" s="1"/>
    </row>
    <row r="317341" spans="1:1" x14ac:dyDescent="0.25">
      <c r="A317341" s="1"/>
    </row>
    <row r="317342" spans="1:1" x14ac:dyDescent="0.25">
      <c r="A317342" s="1"/>
    </row>
    <row r="317343" spans="1:1" x14ac:dyDescent="0.25">
      <c r="A317343" s="1"/>
    </row>
    <row r="317344" spans="1:1" x14ac:dyDescent="0.25">
      <c r="A317344" s="1"/>
    </row>
    <row r="317345" spans="1:1" x14ac:dyDescent="0.25">
      <c r="A317345" s="1"/>
    </row>
    <row r="317346" spans="1:1" x14ac:dyDescent="0.25">
      <c r="A317346" s="1"/>
    </row>
    <row r="317347" spans="1:1" x14ac:dyDescent="0.25">
      <c r="A317347" s="1"/>
    </row>
    <row r="317348" spans="1:1" x14ac:dyDescent="0.25">
      <c r="A317348" s="1"/>
    </row>
    <row r="317349" spans="1:1" x14ac:dyDescent="0.25">
      <c r="A317349" s="1"/>
    </row>
    <row r="317350" spans="1:1" x14ac:dyDescent="0.25">
      <c r="A317350" s="1"/>
    </row>
    <row r="317351" spans="1:1" x14ac:dyDescent="0.25">
      <c r="A317351" s="1"/>
    </row>
    <row r="317352" spans="1:1" x14ac:dyDescent="0.25">
      <c r="A317352" s="1"/>
    </row>
    <row r="317353" spans="1:1" x14ac:dyDescent="0.25">
      <c r="A317353" s="1"/>
    </row>
    <row r="317354" spans="1:1" x14ac:dyDescent="0.25">
      <c r="A317354" s="1"/>
    </row>
    <row r="317355" spans="1:1" x14ac:dyDescent="0.25">
      <c r="A317355" s="1"/>
    </row>
    <row r="317356" spans="1:1" x14ac:dyDescent="0.25">
      <c r="A317356" s="1"/>
    </row>
    <row r="317357" spans="1:1" x14ac:dyDescent="0.25">
      <c r="A317357" s="1"/>
    </row>
    <row r="317358" spans="1:1" x14ac:dyDescent="0.25">
      <c r="A317358" s="1"/>
    </row>
    <row r="317359" spans="1:1" x14ac:dyDescent="0.25">
      <c r="A317359" s="1"/>
    </row>
    <row r="317360" spans="1:1" x14ac:dyDescent="0.25">
      <c r="A317360" s="1"/>
    </row>
    <row r="317361" spans="1:1" x14ac:dyDescent="0.25">
      <c r="A317361" s="1"/>
    </row>
    <row r="317362" spans="1:1" x14ac:dyDescent="0.25">
      <c r="A317362" s="1"/>
    </row>
    <row r="317363" spans="1:1" x14ac:dyDescent="0.25">
      <c r="A317363" s="1"/>
    </row>
    <row r="317364" spans="1:1" x14ac:dyDescent="0.25">
      <c r="A317364" s="1"/>
    </row>
    <row r="317365" spans="1:1" x14ac:dyDescent="0.25">
      <c r="A317365" s="1"/>
    </row>
    <row r="317366" spans="1:1" x14ac:dyDescent="0.25">
      <c r="A317366" s="1"/>
    </row>
    <row r="317367" spans="1:1" x14ac:dyDescent="0.25">
      <c r="A317367" s="1"/>
    </row>
    <row r="317368" spans="1:1" x14ac:dyDescent="0.25">
      <c r="A317368" s="1"/>
    </row>
    <row r="317369" spans="1:1" x14ac:dyDescent="0.25">
      <c r="A317369" s="1"/>
    </row>
    <row r="317370" spans="1:1" x14ac:dyDescent="0.25">
      <c r="A317370" s="1"/>
    </row>
    <row r="317371" spans="1:1" x14ac:dyDescent="0.25">
      <c r="A317371" s="1"/>
    </row>
    <row r="317372" spans="1:1" x14ac:dyDescent="0.25">
      <c r="A317372" s="1"/>
    </row>
    <row r="317373" spans="1:1" x14ac:dyDescent="0.25">
      <c r="A317373" s="1"/>
    </row>
    <row r="317374" spans="1:1" x14ac:dyDescent="0.25">
      <c r="A317374" s="1"/>
    </row>
    <row r="317375" spans="1:1" x14ac:dyDescent="0.25">
      <c r="A317375" s="1"/>
    </row>
    <row r="317376" spans="1:1" x14ac:dyDescent="0.25">
      <c r="A317376" s="1"/>
    </row>
    <row r="317377" spans="1:1" x14ac:dyDescent="0.25">
      <c r="A317377" s="1"/>
    </row>
    <row r="317378" spans="1:1" x14ac:dyDescent="0.25">
      <c r="A317378" s="1"/>
    </row>
    <row r="317379" spans="1:1" x14ac:dyDescent="0.25">
      <c r="A317379" s="1"/>
    </row>
    <row r="317380" spans="1:1" x14ac:dyDescent="0.25">
      <c r="A317380" s="1"/>
    </row>
    <row r="317381" spans="1:1" x14ac:dyDescent="0.25">
      <c r="A317381" s="1"/>
    </row>
    <row r="317382" spans="1:1" x14ac:dyDescent="0.25">
      <c r="A317382" s="1"/>
    </row>
    <row r="317383" spans="1:1" x14ac:dyDescent="0.25">
      <c r="A317383" s="1"/>
    </row>
    <row r="317384" spans="1:1" x14ac:dyDescent="0.25">
      <c r="A317384" s="1"/>
    </row>
    <row r="317385" spans="1:1" x14ac:dyDescent="0.25">
      <c r="A317385" s="1"/>
    </row>
    <row r="317386" spans="1:1" x14ac:dyDescent="0.25">
      <c r="A317386" s="1"/>
    </row>
    <row r="317387" spans="1:1" x14ac:dyDescent="0.25">
      <c r="A317387" s="1"/>
    </row>
    <row r="317388" spans="1:1" x14ac:dyDescent="0.25">
      <c r="A317388" s="1"/>
    </row>
    <row r="317389" spans="1:1" x14ac:dyDescent="0.25">
      <c r="A317389" s="1"/>
    </row>
    <row r="317390" spans="1:1" x14ac:dyDescent="0.25">
      <c r="A317390" s="1"/>
    </row>
    <row r="317391" spans="1:1" x14ac:dyDescent="0.25">
      <c r="A317391" s="1"/>
    </row>
    <row r="317392" spans="1:1" x14ac:dyDescent="0.25">
      <c r="A317392" s="1"/>
    </row>
    <row r="317393" spans="1:1" x14ac:dyDescent="0.25">
      <c r="A317393" s="1"/>
    </row>
    <row r="317394" spans="1:1" x14ac:dyDescent="0.25">
      <c r="A317394" s="1"/>
    </row>
    <row r="317395" spans="1:1" x14ac:dyDescent="0.25">
      <c r="A317395" s="1"/>
    </row>
    <row r="317396" spans="1:1" x14ac:dyDescent="0.25">
      <c r="A317396" s="1"/>
    </row>
    <row r="317397" spans="1:1" x14ac:dyDescent="0.25">
      <c r="A317397" s="1"/>
    </row>
    <row r="317398" spans="1:1" x14ac:dyDescent="0.25">
      <c r="A317398" s="1"/>
    </row>
    <row r="317399" spans="1:1" x14ac:dyDescent="0.25">
      <c r="A317399" s="1"/>
    </row>
    <row r="317400" spans="1:1" x14ac:dyDescent="0.25">
      <c r="A317400" s="1"/>
    </row>
    <row r="317401" spans="1:1" x14ac:dyDescent="0.25">
      <c r="A317401" s="1"/>
    </row>
    <row r="317402" spans="1:1" x14ac:dyDescent="0.25">
      <c r="A317402" s="1"/>
    </row>
    <row r="317403" spans="1:1" x14ac:dyDescent="0.25">
      <c r="A317403" s="1"/>
    </row>
    <row r="317404" spans="1:1" x14ac:dyDescent="0.25">
      <c r="A317404" s="1"/>
    </row>
    <row r="317405" spans="1:1" x14ac:dyDescent="0.25">
      <c r="A317405" s="1"/>
    </row>
    <row r="317406" spans="1:1" x14ac:dyDescent="0.25">
      <c r="A317406" s="1"/>
    </row>
    <row r="317407" spans="1:1" x14ac:dyDescent="0.25">
      <c r="A317407" s="1"/>
    </row>
    <row r="317408" spans="1:1" x14ac:dyDescent="0.25">
      <c r="A317408" s="1"/>
    </row>
    <row r="317409" spans="1:1" x14ac:dyDescent="0.25">
      <c r="A317409" s="1"/>
    </row>
    <row r="317410" spans="1:1" x14ac:dyDescent="0.25">
      <c r="A317410" s="1"/>
    </row>
    <row r="317411" spans="1:1" x14ac:dyDescent="0.25">
      <c r="A317411" s="1"/>
    </row>
    <row r="317412" spans="1:1" x14ac:dyDescent="0.25">
      <c r="A317412" s="1"/>
    </row>
    <row r="317413" spans="1:1" x14ac:dyDescent="0.25">
      <c r="A317413" s="1"/>
    </row>
    <row r="317414" spans="1:1" x14ac:dyDescent="0.25">
      <c r="A317414" s="1"/>
    </row>
    <row r="317415" spans="1:1" x14ac:dyDescent="0.25">
      <c r="A317415" s="1"/>
    </row>
    <row r="317416" spans="1:1" x14ac:dyDescent="0.25">
      <c r="A317416" s="1"/>
    </row>
    <row r="317417" spans="1:1" x14ac:dyDescent="0.25">
      <c r="A317417" s="1"/>
    </row>
    <row r="317418" spans="1:1" x14ac:dyDescent="0.25">
      <c r="A317418" s="1"/>
    </row>
    <row r="317419" spans="1:1" x14ac:dyDescent="0.25">
      <c r="A317419" s="1"/>
    </row>
    <row r="317420" spans="1:1" x14ac:dyDescent="0.25">
      <c r="A317420" s="1"/>
    </row>
    <row r="317421" spans="1:1" x14ac:dyDescent="0.25">
      <c r="A317421" s="1"/>
    </row>
    <row r="317422" spans="1:1" x14ac:dyDescent="0.25">
      <c r="A317422" s="1"/>
    </row>
    <row r="317423" spans="1:1" x14ac:dyDescent="0.25">
      <c r="A317423" s="1"/>
    </row>
    <row r="317424" spans="1:1" x14ac:dyDescent="0.25">
      <c r="A317424" s="1"/>
    </row>
    <row r="317425" spans="1:1" x14ac:dyDescent="0.25">
      <c r="A317425" s="1"/>
    </row>
    <row r="317426" spans="1:1" x14ac:dyDescent="0.25">
      <c r="A317426" s="1"/>
    </row>
    <row r="317427" spans="1:1" x14ac:dyDescent="0.25">
      <c r="A317427" s="1"/>
    </row>
    <row r="317428" spans="1:1" x14ac:dyDescent="0.25">
      <c r="A317428" s="1"/>
    </row>
    <row r="317429" spans="1:1" x14ac:dyDescent="0.25">
      <c r="A317429" s="1"/>
    </row>
    <row r="317430" spans="1:1" x14ac:dyDescent="0.25">
      <c r="A317430" s="1"/>
    </row>
    <row r="317431" spans="1:1" x14ac:dyDescent="0.25">
      <c r="A317431" s="1"/>
    </row>
    <row r="317432" spans="1:1" x14ac:dyDescent="0.25">
      <c r="A317432" s="1"/>
    </row>
    <row r="317433" spans="1:1" x14ac:dyDescent="0.25">
      <c r="A317433" s="1"/>
    </row>
    <row r="317434" spans="1:1" x14ac:dyDescent="0.25">
      <c r="A317434" s="1"/>
    </row>
    <row r="317435" spans="1:1" x14ac:dyDescent="0.25">
      <c r="A317435" s="1"/>
    </row>
    <row r="317436" spans="1:1" x14ac:dyDescent="0.25">
      <c r="A317436" s="1"/>
    </row>
    <row r="317437" spans="1:1" x14ac:dyDescent="0.25">
      <c r="A317437" s="1"/>
    </row>
    <row r="317438" spans="1:1" x14ac:dyDescent="0.25">
      <c r="A317438" s="1"/>
    </row>
    <row r="317439" spans="1:1" x14ac:dyDescent="0.25">
      <c r="A317439" s="1"/>
    </row>
    <row r="317440" spans="1:1" x14ac:dyDescent="0.25">
      <c r="A317440" s="1"/>
    </row>
    <row r="317441" spans="1:1" x14ac:dyDescent="0.25">
      <c r="A317441" s="1"/>
    </row>
    <row r="317442" spans="1:1" x14ac:dyDescent="0.25">
      <c r="A317442" s="1"/>
    </row>
    <row r="317443" spans="1:1" x14ac:dyDescent="0.25">
      <c r="A317443" s="1"/>
    </row>
    <row r="317444" spans="1:1" x14ac:dyDescent="0.25">
      <c r="A317444" s="1"/>
    </row>
    <row r="317445" spans="1:1" x14ac:dyDescent="0.25">
      <c r="A317445" s="1"/>
    </row>
    <row r="317446" spans="1:1" x14ac:dyDescent="0.25">
      <c r="A317446" s="1"/>
    </row>
    <row r="317447" spans="1:1" x14ac:dyDescent="0.25">
      <c r="A317447" s="1"/>
    </row>
    <row r="317448" spans="1:1" x14ac:dyDescent="0.25">
      <c r="A317448" s="1"/>
    </row>
    <row r="317449" spans="1:1" x14ac:dyDescent="0.25">
      <c r="A317449" s="1"/>
    </row>
    <row r="317450" spans="1:1" x14ac:dyDescent="0.25">
      <c r="A317450" s="1"/>
    </row>
    <row r="317451" spans="1:1" x14ac:dyDescent="0.25">
      <c r="A317451" s="1"/>
    </row>
    <row r="317452" spans="1:1" x14ac:dyDescent="0.25">
      <c r="A317452" s="1"/>
    </row>
    <row r="317453" spans="1:1" x14ac:dyDescent="0.25">
      <c r="A317453" s="1"/>
    </row>
    <row r="317454" spans="1:1" x14ac:dyDescent="0.25">
      <c r="A317454" s="1"/>
    </row>
    <row r="317455" spans="1:1" x14ac:dyDescent="0.25">
      <c r="A317455" s="1"/>
    </row>
    <row r="317456" spans="1:1" x14ac:dyDescent="0.25">
      <c r="A317456" s="1"/>
    </row>
    <row r="317457" spans="1:1" x14ac:dyDescent="0.25">
      <c r="A317457" s="1"/>
    </row>
    <row r="317458" spans="1:1" x14ac:dyDescent="0.25">
      <c r="A317458" s="1"/>
    </row>
    <row r="317459" spans="1:1" x14ac:dyDescent="0.25">
      <c r="A317459" s="1"/>
    </row>
    <row r="317460" spans="1:1" x14ac:dyDescent="0.25">
      <c r="A317460" s="1"/>
    </row>
    <row r="317461" spans="1:1" x14ac:dyDescent="0.25">
      <c r="A317461" s="1"/>
    </row>
    <row r="317462" spans="1:1" x14ac:dyDescent="0.25">
      <c r="A317462" s="1"/>
    </row>
    <row r="317463" spans="1:1" x14ac:dyDescent="0.25">
      <c r="A317463" s="1"/>
    </row>
    <row r="317464" spans="1:1" x14ac:dyDescent="0.25">
      <c r="A317464" s="1"/>
    </row>
    <row r="317465" spans="1:1" x14ac:dyDescent="0.25">
      <c r="A317465" s="1"/>
    </row>
    <row r="317466" spans="1:1" x14ac:dyDescent="0.25">
      <c r="A317466" s="1"/>
    </row>
    <row r="317467" spans="1:1" x14ac:dyDescent="0.25">
      <c r="A317467" s="1"/>
    </row>
    <row r="317468" spans="1:1" x14ac:dyDescent="0.25">
      <c r="A317468" s="1"/>
    </row>
    <row r="317469" spans="1:1" x14ac:dyDescent="0.25">
      <c r="A317469" s="1"/>
    </row>
    <row r="317470" spans="1:1" x14ac:dyDescent="0.25">
      <c r="A317470" s="1"/>
    </row>
    <row r="317471" spans="1:1" x14ac:dyDescent="0.25">
      <c r="A317471" s="1"/>
    </row>
    <row r="317472" spans="1:1" x14ac:dyDescent="0.25">
      <c r="A317472" s="1"/>
    </row>
    <row r="317473" spans="1:1" x14ac:dyDescent="0.25">
      <c r="A317473" s="1"/>
    </row>
    <row r="317474" spans="1:1" x14ac:dyDescent="0.25">
      <c r="A317474" s="1"/>
    </row>
    <row r="317475" spans="1:1" x14ac:dyDescent="0.25">
      <c r="A317475" s="1"/>
    </row>
    <row r="317476" spans="1:1" x14ac:dyDescent="0.25">
      <c r="A317476" s="1"/>
    </row>
    <row r="317477" spans="1:1" x14ac:dyDescent="0.25">
      <c r="A317477" s="1"/>
    </row>
    <row r="317478" spans="1:1" x14ac:dyDescent="0.25">
      <c r="A317478" s="1"/>
    </row>
    <row r="317479" spans="1:1" x14ac:dyDescent="0.25">
      <c r="A317479" s="1"/>
    </row>
    <row r="317480" spans="1:1" x14ac:dyDescent="0.25">
      <c r="A317480" s="1"/>
    </row>
    <row r="317481" spans="1:1" x14ac:dyDescent="0.25">
      <c r="A317481" s="1"/>
    </row>
    <row r="317482" spans="1:1" x14ac:dyDescent="0.25">
      <c r="A317482" s="1"/>
    </row>
    <row r="317483" spans="1:1" x14ac:dyDescent="0.25">
      <c r="A317483" s="1"/>
    </row>
    <row r="317484" spans="1:1" x14ac:dyDescent="0.25">
      <c r="A317484" s="1"/>
    </row>
    <row r="317485" spans="1:1" x14ac:dyDescent="0.25">
      <c r="A317485" s="1"/>
    </row>
    <row r="317486" spans="1:1" x14ac:dyDescent="0.25">
      <c r="A317486" s="1"/>
    </row>
    <row r="317487" spans="1:1" x14ac:dyDescent="0.25">
      <c r="A317487" s="1"/>
    </row>
    <row r="317488" spans="1:1" x14ac:dyDescent="0.25">
      <c r="A317488" s="1"/>
    </row>
    <row r="317489" spans="1:1" x14ac:dyDescent="0.25">
      <c r="A317489" s="1"/>
    </row>
    <row r="317490" spans="1:1" x14ac:dyDescent="0.25">
      <c r="A317490" s="1"/>
    </row>
    <row r="317491" spans="1:1" x14ac:dyDescent="0.25">
      <c r="A317491" s="1"/>
    </row>
    <row r="317492" spans="1:1" x14ac:dyDescent="0.25">
      <c r="A317492" s="1"/>
    </row>
    <row r="317493" spans="1:1" x14ac:dyDescent="0.25">
      <c r="A317493" s="1"/>
    </row>
    <row r="317494" spans="1:1" x14ac:dyDescent="0.25">
      <c r="A317494" s="1"/>
    </row>
    <row r="317495" spans="1:1" x14ac:dyDescent="0.25">
      <c r="A317495" s="1"/>
    </row>
    <row r="317496" spans="1:1" x14ac:dyDescent="0.25">
      <c r="A317496" s="1"/>
    </row>
    <row r="317497" spans="1:1" x14ac:dyDescent="0.25">
      <c r="A317497" s="1"/>
    </row>
    <row r="317498" spans="1:1" x14ac:dyDescent="0.25">
      <c r="A317498" s="1"/>
    </row>
    <row r="317499" spans="1:1" x14ac:dyDescent="0.25">
      <c r="A317499" s="1"/>
    </row>
    <row r="317500" spans="1:1" x14ac:dyDescent="0.25">
      <c r="A317500" s="1"/>
    </row>
    <row r="317501" spans="1:1" x14ac:dyDescent="0.25">
      <c r="A317501" s="1"/>
    </row>
    <row r="317502" spans="1:1" x14ac:dyDescent="0.25">
      <c r="A317502" s="1"/>
    </row>
    <row r="317503" spans="1:1" x14ac:dyDescent="0.25">
      <c r="A317503" s="1"/>
    </row>
    <row r="317504" spans="1:1" x14ac:dyDescent="0.25">
      <c r="A317504" s="1"/>
    </row>
    <row r="317505" spans="1:1" x14ac:dyDescent="0.25">
      <c r="A317505" s="1"/>
    </row>
    <row r="317506" spans="1:1" x14ac:dyDescent="0.25">
      <c r="A317506" s="1"/>
    </row>
    <row r="317507" spans="1:1" x14ac:dyDescent="0.25">
      <c r="A317507" s="1"/>
    </row>
    <row r="317508" spans="1:1" x14ac:dyDescent="0.25">
      <c r="A317508" s="1"/>
    </row>
    <row r="317509" spans="1:1" x14ac:dyDescent="0.25">
      <c r="A317509" s="1"/>
    </row>
    <row r="317510" spans="1:1" x14ac:dyDescent="0.25">
      <c r="A317510" s="1"/>
    </row>
    <row r="317511" spans="1:1" x14ac:dyDescent="0.25">
      <c r="A317511" s="1"/>
    </row>
    <row r="317512" spans="1:1" x14ac:dyDescent="0.25">
      <c r="A317512" s="1"/>
    </row>
    <row r="317513" spans="1:1" x14ac:dyDescent="0.25">
      <c r="A317513" s="1"/>
    </row>
    <row r="317514" spans="1:1" x14ac:dyDescent="0.25">
      <c r="A317514" s="1"/>
    </row>
    <row r="317515" spans="1:1" x14ac:dyDescent="0.25">
      <c r="A317515" s="1"/>
    </row>
    <row r="317516" spans="1:1" x14ac:dyDescent="0.25">
      <c r="A317516" s="1"/>
    </row>
    <row r="317517" spans="1:1" x14ac:dyDescent="0.25">
      <c r="A317517" s="1"/>
    </row>
    <row r="317518" spans="1:1" x14ac:dyDescent="0.25">
      <c r="A317518" s="1"/>
    </row>
    <row r="317519" spans="1:1" x14ac:dyDescent="0.25">
      <c r="A317519" s="1"/>
    </row>
    <row r="317520" spans="1:1" x14ac:dyDescent="0.25">
      <c r="A317520" s="1"/>
    </row>
    <row r="317521" spans="1:1" x14ac:dyDescent="0.25">
      <c r="A317521" s="1"/>
    </row>
    <row r="317522" spans="1:1" x14ac:dyDescent="0.25">
      <c r="A317522" s="1"/>
    </row>
    <row r="317523" spans="1:1" x14ac:dyDescent="0.25">
      <c r="A317523" s="1"/>
    </row>
    <row r="317524" spans="1:1" x14ac:dyDescent="0.25">
      <c r="A317524" s="1"/>
    </row>
    <row r="317525" spans="1:1" x14ac:dyDescent="0.25">
      <c r="A317525" s="1"/>
    </row>
    <row r="317526" spans="1:1" x14ac:dyDescent="0.25">
      <c r="A317526" s="1"/>
    </row>
    <row r="317527" spans="1:1" x14ac:dyDescent="0.25">
      <c r="A317527" s="1"/>
    </row>
    <row r="317528" spans="1:1" x14ac:dyDescent="0.25">
      <c r="A317528" s="1"/>
    </row>
    <row r="317529" spans="1:1" x14ac:dyDescent="0.25">
      <c r="A317529" s="1"/>
    </row>
    <row r="317530" spans="1:1" x14ac:dyDescent="0.25">
      <c r="A317530" s="1"/>
    </row>
    <row r="317531" spans="1:1" x14ac:dyDescent="0.25">
      <c r="A317531" s="1"/>
    </row>
    <row r="317532" spans="1:1" x14ac:dyDescent="0.25">
      <c r="A317532" s="1"/>
    </row>
    <row r="317533" spans="1:1" x14ac:dyDescent="0.25">
      <c r="A317533" s="1"/>
    </row>
    <row r="317534" spans="1:1" x14ac:dyDescent="0.25">
      <c r="A317534" s="1"/>
    </row>
    <row r="317535" spans="1:1" x14ac:dyDescent="0.25">
      <c r="A317535" s="1"/>
    </row>
    <row r="317536" spans="1:1" x14ac:dyDescent="0.25">
      <c r="A317536" s="1"/>
    </row>
    <row r="317537" spans="1:1" x14ac:dyDescent="0.25">
      <c r="A317537" s="1"/>
    </row>
    <row r="317538" spans="1:1" x14ac:dyDescent="0.25">
      <c r="A317538" s="1"/>
    </row>
    <row r="317539" spans="1:1" x14ac:dyDescent="0.25">
      <c r="A317539" s="1"/>
    </row>
    <row r="317540" spans="1:1" x14ac:dyDescent="0.25">
      <c r="A317540" s="1"/>
    </row>
    <row r="317541" spans="1:1" x14ac:dyDescent="0.25">
      <c r="A317541" s="1"/>
    </row>
    <row r="317542" spans="1:1" x14ac:dyDescent="0.25">
      <c r="A317542" s="1"/>
    </row>
    <row r="317543" spans="1:1" x14ac:dyDescent="0.25">
      <c r="A317543" s="1"/>
    </row>
    <row r="317544" spans="1:1" x14ac:dyDescent="0.25">
      <c r="A317544" s="1"/>
    </row>
    <row r="317545" spans="1:1" x14ac:dyDescent="0.25">
      <c r="A317545" s="1"/>
    </row>
    <row r="317546" spans="1:1" x14ac:dyDescent="0.25">
      <c r="A317546" s="1"/>
    </row>
    <row r="317547" spans="1:1" x14ac:dyDescent="0.25">
      <c r="A317547" s="1"/>
    </row>
    <row r="317548" spans="1:1" x14ac:dyDescent="0.25">
      <c r="A317548" s="1"/>
    </row>
    <row r="317549" spans="1:1" x14ac:dyDescent="0.25">
      <c r="A317549" s="1"/>
    </row>
    <row r="317550" spans="1:1" x14ac:dyDescent="0.25">
      <c r="A317550" s="1"/>
    </row>
    <row r="317551" spans="1:1" x14ac:dyDescent="0.25">
      <c r="A317551" s="1"/>
    </row>
    <row r="317552" spans="1:1" x14ac:dyDescent="0.25">
      <c r="A317552" s="1"/>
    </row>
    <row r="317553" spans="1:1" x14ac:dyDescent="0.25">
      <c r="A317553" s="1"/>
    </row>
    <row r="317554" spans="1:1" x14ac:dyDescent="0.25">
      <c r="A317554" s="1"/>
    </row>
    <row r="317555" spans="1:1" x14ac:dyDescent="0.25">
      <c r="A317555" s="1"/>
    </row>
    <row r="317556" spans="1:1" x14ac:dyDescent="0.25">
      <c r="A317556" s="1"/>
    </row>
    <row r="317557" spans="1:1" x14ac:dyDescent="0.25">
      <c r="A317557" s="1"/>
    </row>
    <row r="317558" spans="1:1" x14ac:dyDescent="0.25">
      <c r="A317558" s="1"/>
    </row>
    <row r="317559" spans="1:1" x14ac:dyDescent="0.25">
      <c r="A317559" s="1"/>
    </row>
    <row r="317560" spans="1:1" x14ac:dyDescent="0.25">
      <c r="A317560" s="1"/>
    </row>
    <row r="317561" spans="1:1" x14ac:dyDescent="0.25">
      <c r="A317561" s="1"/>
    </row>
    <row r="317562" spans="1:1" x14ac:dyDescent="0.25">
      <c r="A317562" s="1"/>
    </row>
    <row r="317563" spans="1:1" x14ac:dyDescent="0.25">
      <c r="A317563" s="1"/>
    </row>
    <row r="317564" spans="1:1" x14ac:dyDescent="0.25">
      <c r="A317564" s="1"/>
    </row>
    <row r="317565" spans="1:1" x14ac:dyDescent="0.25">
      <c r="A317565" s="1"/>
    </row>
    <row r="317566" spans="1:1" x14ac:dyDescent="0.25">
      <c r="A317566" s="1"/>
    </row>
    <row r="317567" spans="1:1" x14ac:dyDescent="0.25">
      <c r="A317567" s="1"/>
    </row>
    <row r="317568" spans="1:1" x14ac:dyDescent="0.25">
      <c r="A317568" s="1"/>
    </row>
    <row r="317569" spans="1:1" x14ac:dyDescent="0.25">
      <c r="A317569" s="1"/>
    </row>
    <row r="317570" spans="1:1" x14ac:dyDescent="0.25">
      <c r="A317570" s="1"/>
    </row>
    <row r="317571" spans="1:1" x14ac:dyDescent="0.25">
      <c r="A317571" s="1"/>
    </row>
    <row r="317572" spans="1:1" x14ac:dyDescent="0.25">
      <c r="A317572" s="1"/>
    </row>
    <row r="317573" spans="1:1" x14ac:dyDescent="0.25">
      <c r="A317573" s="1"/>
    </row>
    <row r="317574" spans="1:1" x14ac:dyDescent="0.25">
      <c r="A317574" s="1"/>
    </row>
    <row r="317575" spans="1:1" x14ac:dyDescent="0.25">
      <c r="A317575" s="1"/>
    </row>
    <row r="317576" spans="1:1" x14ac:dyDescent="0.25">
      <c r="A317576" s="1"/>
    </row>
    <row r="317577" spans="1:1" x14ac:dyDescent="0.25">
      <c r="A317577" s="1"/>
    </row>
    <row r="317578" spans="1:1" x14ac:dyDescent="0.25">
      <c r="A317578" s="1"/>
    </row>
    <row r="317579" spans="1:1" x14ac:dyDescent="0.25">
      <c r="A317579" s="1"/>
    </row>
    <row r="317580" spans="1:1" x14ac:dyDescent="0.25">
      <c r="A317580" s="1"/>
    </row>
    <row r="317581" spans="1:1" x14ac:dyDescent="0.25">
      <c r="A317581" s="1"/>
    </row>
    <row r="317582" spans="1:1" x14ac:dyDescent="0.25">
      <c r="A317582" s="1"/>
    </row>
    <row r="317583" spans="1:1" x14ac:dyDescent="0.25">
      <c r="A317583" s="1"/>
    </row>
    <row r="317584" spans="1:1" x14ac:dyDescent="0.25">
      <c r="A317584" s="1"/>
    </row>
    <row r="317585" spans="1:1" x14ac:dyDescent="0.25">
      <c r="A317585" s="1"/>
    </row>
    <row r="317586" spans="1:1" x14ac:dyDescent="0.25">
      <c r="A317586" s="1"/>
    </row>
    <row r="317587" spans="1:1" x14ac:dyDescent="0.25">
      <c r="A317587" s="1"/>
    </row>
    <row r="317588" spans="1:1" x14ac:dyDescent="0.25">
      <c r="A317588" s="1"/>
    </row>
    <row r="317589" spans="1:1" x14ac:dyDescent="0.25">
      <c r="A317589" s="1"/>
    </row>
    <row r="317590" spans="1:1" x14ac:dyDescent="0.25">
      <c r="A317590" s="1"/>
    </row>
    <row r="317591" spans="1:1" x14ac:dyDescent="0.25">
      <c r="A317591" s="1"/>
    </row>
    <row r="317592" spans="1:1" x14ac:dyDescent="0.25">
      <c r="A317592" s="1"/>
    </row>
    <row r="317593" spans="1:1" x14ac:dyDescent="0.25">
      <c r="A317593" s="1"/>
    </row>
    <row r="317594" spans="1:1" x14ac:dyDescent="0.25">
      <c r="A317594" s="1"/>
    </row>
    <row r="317595" spans="1:1" x14ac:dyDescent="0.25">
      <c r="A317595" s="1"/>
    </row>
    <row r="317596" spans="1:1" x14ac:dyDescent="0.25">
      <c r="A317596" s="1"/>
    </row>
    <row r="317597" spans="1:1" x14ac:dyDescent="0.25">
      <c r="A317597" s="1"/>
    </row>
    <row r="317598" spans="1:1" x14ac:dyDescent="0.25">
      <c r="A317598" s="1"/>
    </row>
    <row r="317599" spans="1:1" x14ac:dyDescent="0.25">
      <c r="A317599" s="1"/>
    </row>
    <row r="317600" spans="1:1" x14ac:dyDescent="0.25">
      <c r="A317600" s="1"/>
    </row>
    <row r="317601" spans="1:1" x14ac:dyDescent="0.25">
      <c r="A317601" s="1"/>
    </row>
    <row r="317602" spans="1:1" x14ac:dyDescent="0.25">
      <c r="A317602" s="1"/>
    </row>
    <row r="317603" spans="1:1" x14ac:dyDescent="0.25">
      <c r="A317603" s="1"/>
    </row>
    <row r="317604" spans="1:1" x14ac:dyDescent="0.25">
      <c r="A317604" s="1"/>
    </row>
    <row r="317605" spans="1:1" x14ac:dyDescent="0.25">
      <c r="A317605" s="1"/>
    </row>
    <row r="317606" spans="1:1" x14ac:dyDescent="0.25">
      <c r="A317606" s="1"/>
    </row>
    <row r="317607" spans="1:1" x14ac:dyDescent="0.25">
      <c r="A317607" s="1"/>
    </row>
    <row r="317608" spans="1:1" x14ac:dyDescent="0.25">
      <c r="A317608" s="1"/>
    </row>
    <row r="317609" spans="1:1" x14ac:dyDescent="0.25">
      <c r="A317609" s="1"/>
    </row>
    <row r="317610" spans="1:1" x14ac:dyDescent="0.25">
      <c r="A317610" s="1"/>
    </row>
    <row r="317611" spans="1:1" x14ac:dyDescent="0.25">
      <c r="A317611" s="1"/>
    </row>
    <row r="317612" spans="1:1" x14ac:dyDescent="0.25">
      <c r="A317612" s="1"/>
    </row>
    <row r="317613" spans="1:1" x14ac:dyDescent="0.25">
      <c r="A317613" s="1"/>
    </row>
    <row r="317614" spans="1:1" x14ac:dyDescent="0.25">
      <c r="A317614" s="1"/>
    </row>
    <row r="317615" spans="1:1" x14ac:dyDescent="0.25">
      <c r="A317615" s="1"/>
    </row>
    <row r="317616" spans="1:1" x14ac:dyDescent="0.25">
      <c r="A317616" s="1"/>
    </row>
    <row r="317617" spans="1:1" x14ac:dyDescent="0.25">
      <c r="A317617" s="1"/>
    </row>
    <row r="317618" spans="1:1" x14ac:dyDescent="0.25">
      <c r="A317618" s="1"/>
    </row>
    <row r="317619" spans="1:1" x14ac:dyDescent="0.25">
      <c r="A317619" s="1"/>
    </row>
    <row r="317620" spans="1:1" x14ac:dyDescent="0.25">
      <c r="A317620" s="1"/>
    </row>
    <row r="317621" spans="1:1" x14ac:dyDescent="0.25">
      <c r="A317621" s="1"/>
    </row>
    <row r="317622" spans="1:1" x14ac:dyDescent="0.25">
      <c r="A317622" s="1"/>
    </row>
    <row r="317623" spans="1:1" x14ac:dyDescent="0.25">
      <c r="A317623" s="1"/>
    </row>
    <row r="317624" spans="1:1" x14ac:dyDescent="0.25">
      <c r="A317624" s="1"/>
    </row>
    <row r="317625" spans="1:1" x14ac:dyDescent="0.25">
      <c r="A317625" s="1"/>
    </row>
    <row r="317626" spans="1:1" x14ac:dyDescent="0.25">
      <c r="A317626" s="1"/>
    </row>
    <row r="317627" spans="1:1" x14ac:dyDescent="0.25">
      <c r="A317627" s="1"/>
    </row>
    <row r="317628" spans="1:1" x14ac:dyDescent="0.25">
      <c r="A317628" s="1"/>
    </row>
    <row r="317629" spans="1:1" x14ac:dyDescent="0.25">
      <c r="A317629" s="1"/>
    </row>
    <row r="317630" spans="1:1" x14ac:dyDescent="0.25">
      <c r="A317630" s="1"/>
    </row>
    <row r="317631" spans="1:1" x14ac:dyDescent="0.25">
      <c r="A317631" s="1"/>
    </row>
    <row r="317632" spans="1:1" x14ac:dyDescent="0.25">
      <c r="A317632" s="1"/>
    </row>
    <row r="317633" spans="1:1" x14ac:dyDescent="0.25">
      <c r="A317633" s="1"/>
    </row>
    <row r="317634" spans="1:1" x14ac:dyDescent="0.25">
      <c r="A317634" s="1"/>
    </row>
    <row r="317635" spans="1:1" x14ac:dyDescent="0.25">
      <c r="A317635" s="1"/>
    </row>
    <row r="317636" spans="1:1" x14ac:dyDescent="0.25">
      <c r="A317636" s="1"/>
    </row>
    <row r="317637" spans="1:1" x14ac:dyDescent="0.25">
      <c r="A317637" s="1"/>
    </row>
    <row r="317638" spans="1:1" x14ac:dyDescent="0.25">
      <c r="A317638" s="1"/>
    </row>
    <row r="317639" spans="1:1" x14ac:dyDescent="0.25">
      <c r="A317639" s="1"/>
    </row>
    <row r="317640" spans="1:1" x14ac:dyDescent="0.25">
      <c r="A317640" s="1"/>
    </row>
    <row r="317641" spans="1:1" x14ac:dyDescent="0.25">
      <c r="A317641" s="1"/>
    </row>
    <row r="317642" spans="1:1" x14ac:dyDescent="0.25">
      <c r="A317642" s="1"/>
    </row>
    <row r="317643" spans="1:1" x14ac:dyDescent="0.25">
      <c r="A317643" s="1"/>
    </row>
    <row r="317644" spans="1:1" x14ac:dyDescent="0.25">
      <c r="A317644" s="1"/>
    </row>
    <row r="317645" spans="1:1" x14ac:dyDescent="0.25">
      <c r="A317645" s="1"/>
    </row>
    <row r="317646" spans="1:1" x14ac:dyDescent="0.25">
      <c r="A317646" s="1"/>
    </row>
    <row r="317647" spans="1:1" x14ac:dyDescent="0.25">
      <c r="A317647" s="1"/>
    </row>
    <row r="317648" spans="1:1" x14ac:dyDescent="0.25">
      <c r="A317648" s="1"/>
    </row>
    <row r="317649" spans="1:1" x14ac:dyDescent="0.25">
      <c r="A317649" s="1"/>
    </row>
    <row r="317650" spans="1:1" x14ac:dyDescent="0.25">
      <c r="A317650" s="1"/>
    </row>
    <row r="317651" spans="1:1" x14ac:dyDescent="0.25">
      <c r="A317651" s="1"/>
    </row>
    <row r="317652" spans="1:1" x14ac:dyDescent="0.25">
      <c r="A317652" s="1"/>
    </row>
    <row r="317653" spans="1:1" x14ac:dyDescent="0.25">
      <c r="A317653" s="1"/>
    </row>
    <row r="317654" spans="1:1" x14ac:dyDescent="0.25">
      <c r="A317654" s="1"/>
    </row>
    <row r="317655" spans="1:1" x14ac:dyDescent="0.25">
      <c r="A317655" s="1"/>
    </row>
    <row r="317656" spans="1:1" x14ac:dyDescent="0.25">
      <c r="A317656" s="1"/>
    </row>
    <row r="317657" spans="1:1" x14ac:dyDescent="0.25">
      <c r="A317657" s="1"/>
    </row>
    <row r="317658" spans="1:1" x14ac:dyDescent="0.25">
      <c r="A317658" s="1"/>
    </row>
    <row r="317659" spans="1:1" x14ac:dyDescent="0.25">
      <c r="A317659" s="1"/>
    </row>
    <row r="317660" spans="1:1" x14ac:dyDescent="0.25">
      <c r="A317660" s="1"/>
    </row>
    <row r="317661" spans="1:1" x14ac:dyDescent="0.25">
      <c r="A317661" s="1"/>
    </row>
    <row r="317662" spans="1:1" x14ac:dyDescent="0.25">
      <c r="A317662" s="1"/>
    </row>
    <row r="317663" spans="1:1" x14ac:dyDescent="0.25">
      <c r="A317663" s="1"/>
    </row>
    <row r="317664" spans="1:1" x14ac:dyDescent="0.25">
      <c r="A317664" s="1"/>
    </row>
    <row r="317665" spans="1:1" x14ac:dyDescent="0.25">
      <c r="A317665" s="1"/>
    </row>
    <row r="317666" spans="1:1" x14ac:dyDescent="0.25">
      <c r="A317666" s="1"/>
    </row>
    <row r="317667" spans="1:1" x14ac:dyDescent="0.25">
      <c r="A317667" s="1"/>
    </row>
    <row r="317668" spans="1:1" x14ac:dyDescent="0.25">
      <c r="A317668" s="1"/>
    </row>
    <row r="317669" spans="1:1" x14ac:dyDescent="0.25">
      <c r="A317669" s="1"/>
    </row>
    <row r="317670" spans="1:1" x14ac:dyDescent="0.25">
      <c r="A317670" s="1"/>
    </row>
    <row r="317671" spans="1:1" x14ac:dyDescent="0.25">
      <c r="A317671" s="1"/>
    </row>
    <row r="317672" spans="1:1" x14ac:dyDescent="0.25">
      <c r="A317672" s="1"/>
    </row>
    <row r="317673" spans="1:1" x14ac:dyDescent="0.25">
      <c r="A317673" s="1"/>
    </row>
    <row r="317674" spans="1:1" x14ac:dyDescent="0.25">
      <c r="A317674" s="1"/>
    </row>
    <row r="317675" spans="1:1" x14ac:dyDescent="0.25">
      <c r="A317675" s="1"/>
    </row>
    <row r="317676" spans="1:1" x14ac:dyDescent="0.25">
      <c r="A317676" s="1"/>
    </row>
    <row r="317677" spans="1:1" x14ac:dyDescent="0.25">
      <c r="A317677" s="1"/>
    </row>
    <row r="317678" spans="1:1" x14ac:dyDescent="0.25">
      <c r="A317678" s="1"/>
    </row>
    <row r="317679" spans="1:1" x14ac:dyDescent="0.25">
      <c r="A317679" s="1"/>
    </row>
    <row r="317680" spans="1:1" x14ac:dyDescent="0.25">
      <c r="A317680" s="1"/>
    </row>
    <row r="317681" spans="1:1" x14ac:dyDescent="0.25">
      <c r="A317681" s="1"/>
    </row>
    <row r="317682" spans="1:1" x14ac:dyDescent="0.25">
      <c r="A317682" s="1"/>
    </row>
    <row r="317683" spans="1:1" x14ac:dyDescent="0.25">
      <c r="A317683" s="1"/>
    </row>
    <row r="317684" spans="1:1" x14ac:dyDescent="0.25">
      <c r="A317684" s="1"/>
    </row>
    <row r="317685" spans="1:1" x14ac:dyDescent="0.25">
      <c r="A317685" s="1"/>
    </row>
    <row r="317686" spans="1:1" x14ac:dyDescent="0.25">
      <c r="A317686" s="1"/>
    </row>
    <row r="317687" spans="1:1" x14ac:dyDescent="0.25">
      <c r="A317687" s="1"/>
    </row>
    <row r="317688" spans="1:1" x14ac:dyDescent="0.25">
      <c r="A317688" s="1"/>
    </row>
    <row r="317689" spans="1:1" x14ac:dyDescent="0.25">
      <c r="A317689" s="1"/>
    </row>
    <row r="317690" spans="1:1" x14ac:dyDescent="0.25">
      <c r="A317690" s="1"/>
    </row>
    <row r="317691" spans="1:1" x14ac:dyDescent="0.25">
      <c r="A317691" s="1"/>
    </row>
    <row r="317692" spans="1:1" x14ac:dyDescent="0.25">
      <c r="A317692" s="1"/>
    </row>
    <row r="317693" spans="1:1" x14ac:dyDescent="0.25">
      <c r="A317693" s="1"/>
    </row>
    <row r="317694" spans="1:1" x14ac:dyDescent="0.25">
      <c r="A317694" s="1"/>
    </row>
    <row r="317695" spans="1:1" x14ac:dyDescent="0.25">
      <c r="A317695" s="1"/>
    </row>
    <row r="317696" spans="1:1" x14ac:dyDescent="0.25">
      <c r="A317696" s="1"/>
    </row>
    <row r="317697" spans="1:1" x14ac:dyDescent="0.25">
      <c r="A317697" s="1"/>
    </row>
    <row r="317698" spans="1:1" x14ac:dyDescent="0.25">
      <c r="A317698" s="1"/>
    </row>
    <row r="317699" spans="1:1" x14ac:dyDescent="0.25">
      <c r="A317699" s="1"/>
    </row>
    <row r="317700" spans="1:1" x14ac:dyDescent="0.25">
      <c r="A317700" s="1"/>
    </row>
    <row r="317701" spans="1:1" x14ac:dyDescent="0.25">
      <c r="A317701" s="1"/>
    </row>
    <row r="317702" spans="1:1" x14ac:dyDescent="0.25">
      <c r="A317702" s="1"/>
    </row>
    <row r="317703" spans="1:1" x14ac:dyDescent="0.25">
      <c r="A317703" s="1"/>
    </row>
    <row r="317704" spans="1:1" x14ac:dyDescent="0.25">
      <c r="A317704" s="1"/>
    </row>
    <row r="317705" spans="1:1" x14ac:dyDescent="0.25">
      <c r="A317705" s="1"/>
    </row>
    <row r="317706" spans="1:1" x14ac:dyDescent="0.25">
      <c r="A317706" s="1"/>
    </row>
    <row r="317707" spans="1:1" x14ac:dyDescent="0.25">
      <c r="A317707" s="1"/>
    </row>
    <row r="317708" spans="1:1" x14ac:dyDescent="0.25">
      <c r="A317708" s="1"/>
    </row>
    <row r="317709" spans="1:1" x14ac:dyDescent="0.25">
      <c r="A317709" s="1"/>
    </row>
    <row r="317710" spans="1:1" x14ac:dyDescent="0.25">
      <c r="A317710" s="1"/>
    </row>
    <row r="317711" spans="1:1" x14ac:dyDescent="0.25">
      <c r="A317711" s="1"/>
    </row>
    <row r="317712" spans="1:1" x14ac:dyDescent="0.25">
      <c r="A317712" s="1"/>
    </row>
    <row r="317713" spans="1:1" x14ac:dyDescent="0.25">
      <c r="A317713" s="1"/>
    </row>
    <row r="317714" spans="1:1" x14ac:dyDescent="0.25">
      <c r="A317714" s="1"/>
    </row>
    <row r="317715" spans="1:1" x14ac:dyDescent="0.25">
      <c r="A317715" s="1"/>
    </row>
    <row r="317716" spans="1:1" x14ac:dyDescent="0.25">
      <c r="A317716" s="1"/>
    </row>
    <row r="317717" spans="1:1" x14ac:dyDescent="0.25">
      <c r="A317717" s="1"/>
    </row>
    <row r="317718" spans="1:1" x14ac:dyDescent="0.25">
      <c r="A317718" s="1"/>
    </row>
    <row r="317719" spans="1:1" x14ac:dyDescent="0.25">
      <c r="A317719" s="1"/>
    </row>
    <row r="317720" spans="1:1" x14ac:dyDescent="0.25">
      <c r="A317720" s="1"/>
    </row>
    <row r="317721" spans="1:1" x14ac:dyDescent="0.25">
      <c r="A317721" s="1"/>
    </row>
    <row r="317722" spans="1:1" x14ac:dyDescent="0.25">
      <c r="A317722" s="1"/>
    </row>
    <row r="317723" spans="1:1" x14ac:dyDescent="0.25">
      <c r="A317723" s="1"/>
    </row>
    <row r="317724" spans="1:1" x14ac:dyDescent="0.25">
      <c r="A317724" s="1"/>
    </row>
    <row r="317725" spans="1:1" x14ac:dyDescent="0.25">
      <c r="A317725" s="1"/>
    </row>
    <row r="317726" spans="1:1" x14ac:dyDescent="0.25">
      <c r="A317726" s="1"/>
    </row>
    <row r="317727" spans="1:1" x14ac:dyDescent="0.25">
      <c r="A317727" s="1"/>
    </row>
    <row r="317728" spans="1:1" x14ac:dyDescent="0.25">
      <c r="A317728" s="1"/>
    </row>
    <row r="317729" spans="1:1" x14ac:dyDescent="0.25">
      <c r="A317729" s="1"/>
    </row>
    <row r="317730" spans="1:1" x14ac:dyDescent="0.25">
      <c r="A317730" s="1"/>
    </row>
    <row r="317731" spans="1:1" x14ac:dyDescent="0.25">
      <c r="A317731" s="1"/>
    </row>
    <row r="317732" spans="1:1" x14ac:dyDescent="0.25">
      <c r="A317732" s="1"/>
    </row>
    <row r="317733" spans="1:1" x14ac:dyDescent="0.25">
      <c r="A317733" s="1"/>
    </row>
    <row r="317734" spans="1:1" x14ac:dyDescent="0.25">
      <c r="A317734" s="1"/>
    </row>
    <row r="317735" spans="1:1" x14ac:dyDescent="0.25">
      <c r="A317735" s="1"/>
    </row>
    <row r="317736" spans="1:1" x14ac:dyDescent="0.25">
      <c r="A317736" s="1"/>
    </row>
    <row r="317737" spans="1:1" x14ac:dyDescent="0.25">
      <c r="A317737" s="1"/>
    </row>
    <row r="317738" spans="1:1" x14ac:dyDescent="0.25">
      <c r="A317738" s="1"/>
    </row>
    <row r="317739" spans="1:1" x14ac:dyDescent="0.25">
      <c r="A317739" s="1"/>
    </row>
    <row r="317740" spans="1:1" x14ac:dyDescent="0.25">
      <c r="A317740" s="1"/>
    </row>
    <row r="317741" spans="1:1" x14ac:dyDescent="0.25">
      <c r="A317741" s="1"/>
    </row>
    <row r="317742" spans="1:1" x14ac:dyDescent="0.25">
      <c r="A317742" s="1"/>
    </row>
    <row r="317743" spans="1:1" x14ac:dyDescent="0.25">
      <c r="A317743" s="1"/>
    </row>
    <row r="317744" spans="1:1" x14ac:dyDescent="0.25">
      <c r="A317744" s="1"/>
    </row>
    <row r="317745" spans="1:1" x14ac:dyDescent="0.25">
      <c r="A317745" s="1"/>
    </row>
    <row r="317746" spans="1:1" x14ac:dyDescent="0.25">
      <c r="A317746" s="1"/>
    </row>
    <row r="317747" spans="1:1" x14ac:dyDescent="0.25">
      <c r="A317747" s="1"/>
    </row>
    <row r="317748" spans="1:1" x14ac:dyDescent="0.25">
      <c r="A317748" s="1"/>
    </row>
    <row r="317749" spans="1:1" x14ac:dyDescent="0.25">
      <c r="A317749" s="1"/>
    </row>
    <row r="317750" spans="1:1" x14ac:dyDescent="0.25">
      <c r="A317750" s="1"/>
    </row>
    <row r="317751" spans="1:1" x14ac:dyDescent="0.25">
      <c r="A317751" s="1"/>
    </row>
    <row r="317752" spans="1:1" x14ac:dyDescent="0.25">
      <c r="A317752" s="1"/>
    </row>
    <row r="317753" spans="1:1" x14ac:dyDescent="0.25">
      <c r="A317753" s="1"/>
    </row>
    <row r="317754" spans="1:1" x14ac:dyDescent="0.25">
      <c r="A317754" s="1"/>
    </row>
    <row r="317755" spans="1:1" x14ac:dyDescent="0.25">
      <c r="A317755" s="1"/>
    </row>
    <row r="317756" spans="1:1" x14ac:dyDescent="0.25">
      <c r="A317756" s="1"/>
    </row>
    <row r="317757" spans="1:1" x14ac:dyDescent="0.25">
      <c r="A317757" s="1"/>
    </row>
    <row r="317758" spans="1:1" x14ac:dyDescent="0.25">
      <c r="A317758" s="1"/>
    </row>
    <row r="317759" spans="1:1" x14ac:dyDescent="0.25">
      <c r="A317759" s="1"/>
    </row>
    <row r="317760" spans="1:1" x14ac:dyDescent="0.25">
      <c r="A317760" s="1"/>
    </row>
    <row r="317761" spans="1:1" x14ac:dyDescent="0.25">
      <c r="A317761" s="1"/>
    </row>
    <row r="317762" spans="1:1" x14ac:dyDescent="0.25">
      <c r="A317762" s="1"/>
    </row>
    <row r="317763" spans="1:1" x14ac:dyDescent="0.25">
      <c r="A317763" s="1"/>
    </row>
    <row r="317764" spans="1:1" x14ac:dyDescent="0.25">
      <c r="A317764" s="1"/>
    </row>
    <row r="317765" spans="1:1" x14ac:dyDescent="0.25">
      <c r="A317765" s="1"/>
    </row>
    <row r="317766" spans="1:1" x14ac:dyDescent="0.25">
      <c r="A317766" s="1"/>
    </row>
    <row r="317767" spans="1:1" x14ac:dyDescent="0.25">
      <c r="A317767" s="1"/>
    </row>
    <row r="317768" spans="1:1" x14ac:dyDescent="0.25">
      <c r="A317768" s="1"/>
    </row>
    <row r="317769" spans="1:1" x14ac:dyDescent="0.25">
      <c r="A317769" s="1"/>
    </row>
    <row r="317770" spans="1:1" x14ac:dyDescent="0.25">
      <c r="A317770" s="1"/>
    </row>
    <row r="317771" spans="1:1" x14ac:dyDescent="0.25">
      <c r="A317771" s="1"/>
    </row>
    <row r="317772" spans="1:1" x14ac:dyDescent="0.25">
      <c r="A317772" s="1"/>
    </row>
    <row r="317773" spans="1:1" x14ac:dyDescent="0.25">
      <c r="A317773" s="1"/>
    </row>
    <row r="317774" spans="1:1" x14ac:dyDescent="0.25">
      <c r="A317774" s="1"/>
    </row>
    <row r="317775" spans="1:1" x14ac:dyDescent="0.25">
      <c r="A317775" s="1"/>
    </row>
    <row r="317776" spans="1:1" x14ac:dyDescent="0.25">
      <c r="A317776" s="1"/>
    </row>
    <row r="317777" spans="1:1" x14ac:dyDescent="0.25">
      <c r="A317777" s="1"/>
    </row>
    <row r="317778" spans="1:1" x14ac:dyDescent="0.25">
      <c r="A317778" s="1"/>
    </row>
    <row r="317779" spans="1:1" x14ac:dyDescent="0.25">
      <c r="A317779" s="1"/>
    </row>
    <row r="317780" spans="1:1" x14ac:dyDescent="0.25">
      <c r="A317780" s="1"/>
    </row>
    <row r="317781" spans="1:1" x14ac:dyDescent="0.25">
      <c r="A317781" s="1"/>
    </row>
    <row r="317782" spans="1:1" x14ac:dyDescent="0.25">
      <c r="A317782" s="1"/>
    </row>
    <row r="317783" spans="1:1" x14ac:dyDescent="0.25">
      <c r="A317783" s="1"/>
    </row>
    <row r="317784" spans="1:1" x14ac:dyDescent="0.25">
      <c r="A317784" s="1"/>
    </row>
    <row r="317785" spans="1:1" x14ac:dyDescent="0.25">
      <c r="A317785" s="1"/>
    </row>
    <row r="317786" spans="1:1" x14ac:dyDescent="0.25">
      <c r="A317786" s="1"/>
    </row>
    <row r="317787" spans="1:1" x14ac:dyDescent="0.25">
      <c r="A317787" s="1"/>
    </row>
    <row r="317788" spans="1:1" x14ac:dyDescent="0.25">
      <c r="A317788" s="1"/>
    </row>
    <row r="317789" spans="1:1" x14ac:dyDescent="0.25">
      <c r="A317789" s="1"/>
    </row>
    <row r="317790" spans="1:1" x14ac:dyDescent="0.25">
      <c r="A317790" s="1"/>
    </row>
    <row r="317791" spans="1:1" x14ac:dyDescent="0.25">
      <c r="A317791" s="1"/>
    </row>
    <row r="317792" spans="1:1" x14ac:dyDescent="0.25">
      <c r="A317792" s="1"/>
    </row>
    <row r="317793" spans="1:1" x14ac:dyDescent="0.25">
      <c r="A317793" s="1"/>
    </row>
    <row r="317794" spans="1:1" x14ac:dyDescent="0.25">
      <c r="A317794" s="1"/>
    </row>
    <row r="317795" spans="1:1" x14ac:dyDescent="0.25">
      <c r="A317795" s="1"/>
    </row>
    <row r="317796" spans="1:1" x14ac:dyDescent="0.25">
      <c r="A317796" s="1"/>
    </row>
    <row r="317797" spans="1:1" x14ac:dyDescent="0.25">
      <c r="A317797" s="1"/>
    </row>
    <row r="317798" spans="1:1" x14ac:dyDescent="0.25">
      <c r="A317798" s="1"/>
    </row>
    <row r="317799" spans="1:1" x14ac:dyDescent="0.25">
      <c r="A317799" s="1"/>
    </row>
    <row r="317800" spans="1:1" x14ac:dyDescent="0.25">
      <c r="A317800" s="1"/>
    </row>
    <row r="317801" spans="1:1" x14ac:dyDescent="0.25">
      <c r="A317801" s="1"/>
    </row>
    <row r="317802" spans="1:1" x14ac:dyDescent="0.25">
      <c r="A317802" s="1"/>
    </row>
    <row r="317803" spans="1:1" x14ac:dyDescent="0.25">
      <c r="A317803" s="1"/>
    </row>
    <row r="317804" spans="1:1" x14ac:dyDescent="0.25">
      <c r="A317804" s="1"/>
    </row>
    <row r="317805" spans="1:1" x14ac:dyDescent="0.25">
      <c r="A317805" s="1"/>
    </row>
    <row r="317806" spans="1:1" x14ac:dyDescent="0.25">
      <c r="A317806" s="1"/>
    </row>
    <row r="317807" spans="1:1" x14ac:dyDescent="0.25">
      <c r="A317807" s="1"/>
    </row>
    <row r="317808" spans="1:1" x14ac:dyDescent="0.25">
      <c r="A317808" s="1"/>
    </row>
    <row r="317809" spans="1:1" x14ac:dyDescent="0.25">
      <c r="A317809" s="1"/>
    </row>
    <row r="317810" spans="1:1" x14ac:dyDescent="0.25">
      <c r="A317810" s="1"/>
    </row>
    <row r="317811" spans="1:1" x14ac:dyDescent="0.25">
      <c r="A317811" s="1"/>
    </row>
    <row r="317812" spans="1:1" x14ac:dyDescent="0.25">
      <c r="A317812" s="1"/>
    </row>
    <row r="317813" spans="1:1" x14ac:dyDescent="0.25">
      <c r="A317813" s="1"/>
    </row>
    <row r="317814" spans="1:1" x14ac:dyDescent="0.25">
      <c r="A317814" s="1"/>
    </row>
    <row r="317815" spans="1:1" x14ac:dyDescent="0.25">
      <c r="A317815" s="1"/>
    </row>
    <row r="317816" spans="1:1" x14ac:dyDescent="0.25">
      <c r="A317816" s="1"/>
    </row>
    <row r="317817" spans="1:1" x14ac:dyDescent="0.25">
      <c r="A317817" s="1"/>
    </row>
    <row r="317818" spans="1:1" x14ac:dyDescent="0.25">
      <c r="A317818" s="1"/>
    </row>
    <row r="317819" spans="1:1" x14ac:dyDescent="0.25">
      <c r="A317819" s="1"/>
    </row>
    <row r="317820" spans="1:1" x14ac:dyDescent="0.25">
      <c r="A317820" s="1"/>
    </row>
    <row r="317821" spans="1:1" x14ac:dyDescent="0.25">
      <c r="A317821" s="1"/>
    </row>
    <row r="317822" spans="1:1" x14ac:dyDescent="0.25">
      <c r="A317822" s="1"/>
    </row>
    <row r="317823" spans="1:1" x14ac:dyDescent="0.25">
      <c r="A317823" s="1"/>
    </row>
    <row r="317824" spans="1:1" x14ac:dyDescent="0.25">
      <c r="A317824" s="1"/>
    </row>
    <row r="317825" spans="1:1" x14ac:dyDescent="0.25">
      <c r="A317825" s="1"/>
    </row>
    <row r="317826" spans="1:1" x14ac:dyDescent="0.25">
      <c r="A317826" s="1"/>
    </row>
    <row r="317827" spans="1:1" x14ac:dyDescent="0.25">
      <c r="A317827" s="1"/>
    </row>
    <row r="317828" spans="1:1" x14ac:dyDescent="0.25">
      <c r="A317828" s="1"/>
    </row>
    <row r="317829" spans="1:1" x14ac:dyDescent="0.25">
      <c r="A317829" s="1"/>
    </row>
    <row r="317830" spans="1:1" x14ac:dyDescent="0.25">
      <c r="A317830" s="1"/>
    </row>
    <row r="317831" spans="1:1" x14ac:dyDescent="0.25">
      <c r="A317831" s="1"/>
    </row>
    <row r="317832" spans="1:1" x14ac:dyDescent="0.25">
      <c r="A317832" s="1"/>
    </row>
    <row r="317833" spans="1:1" x14ac:dyDescent="0.25">
      <c r="A317833" s="1"/>
    </row>
    <row r="317834" spans="1:1" x14ac:dyDescent="0.25">
      <c r="A317834" s="1"/>
    </row>
    <row r="317835" spans="1:1" x14ac:dyDescent="0.25">
      <c r="A317835" s="1"/>
    </row>
    <row r="317836" spans="1:1" x14ac:dyDescent="0.25">
      <c r="A317836" s="1"/>
    </row>
    <row r="317837" spans="1:1" x14ac:dyDescent="0.25">
      <c r="A317837" s="1"/>
    </row>
    <row r="317838" spans="1:1" x14ac:dyDescent="0.25">
      <c r="A317838" s="1"/>
    </row>
    <row r="317839" spans="1:1" x14ac:dyDescent="0.25">
      <c r="A317839" s="1"/>
    </row>
    <row r="317840" spans="1:1" x14ac:dyDescent="0.25">
      <c r="A317840" s="1"/>
    </row>
    <row r="317841" spans="1:1" x14ac:dyDescent="0.25">
      <c r="A317841" s="1"/>
    </row>
    <row r="317842" spans="1:1" x14ac:dyDescent="0.25">
      <c r="A317842" s="1"/>
    </row>
    <row r="317843" spans="1:1" x14ac:dyDescent="0.25">
      <c r="A317843" s="1"/>
    </row>
    <row r="317844" spans="1:1" x14ac:dyDescent="0.25">
      <c r="A317844" s="1"/>
    </row>
    <row r="317845" spans="1:1" x14ac:dyDescent="0.25">
      <c r="A317845" s="1"/>
    </row>
    <row r="317846" spans="1:1" x14ac:dyDescent="0.25">
      <c r="A317846" s="1"/>
    </row>
    <row r="317847" spans="1:1" x14ac:dyDescent="0.25">
      <c r="A317847" s="1"/>
    </row>
    <row r="317848" spans="1:1" x14ac:dyDescent="0.25">
      <c r="A317848" s="1"/>
    </row>
    <row r="317849" spans="1:1" x14ac:dyDescent="0.25">
      <c r="A317849" s="1"/>
    </row>
    <row r="317850" spans="1:1" x14ac:dyDescent="0.25">
      <c r="A317850" s="1"/>
    </row>
    <row r="317851" spans="1:1" x14ac:dyDescent="0.25">
      <c r="A317851" s="1"/>
    </row>
    <row r="317852" spans="1:1" x14ac:dyDescent="0.25">
      <c r="A317852" s="1"/>
    </row>
    <row r="317853" spans="1:1" x14ac:dyDescent="0.25">
      <c r="A317853" s="1"/>
    </row>
    <row r="317854" spans="1:1" x14ac:dyDescent="0.25">
      <c r="A317854" s="1"/>
    </row>
    <row r="317855" spans="1:1" x14ac:dyDescent="0.25">
      <c r="A317855" s="1"/>
    </row>
    <row r="317856" spans="1:1" x14ac:dyDescent="0.25">
      <c r="A317856" s="1"/>
    </row>
    <row r="317857" spans="1:1" x14ac:dyDescent="0.25">
      <c r="A317857" s="1"/>
    </row>
    <row r="317858" spans="1:1" x14ac:dyDescent="0.25">
      <c r="A317858" s="1"/>
    </row>
    <row r="317859" spans="1:1" x14ac:dyDescent="0.25">
      <c r="A317859" s="1"/>
    </row>
    <row r="317860" spans="1:1" x14ac:dyDescent="0.25">
      <c r="A317860" s="1"/>
    </row>
    <row r="317861" spans="1:1" x14ac:dyDescent="0.25">
      <c r="A317861" s="1"/>
    </row>
    <row r="317862" spans="1:1" x14ac:dyDescent="0.25">
      <c r="A317862" s="1"/>
    </row>
    <row r="317863" spans="1:1" x14ac:dyDescent="0.25">
      <c r="A317863" s="1"/>
    </row>
    <row r="317864" spans="1:1" x14ac:dyDescent="0.25">
      <c r="A317864" s="1"/>
    </row>
    <row r="317865" spans="1:1" x14ac:dyDescent="0.25">
      <c r="A317865" s="1"/>
    </row>
    <row r="317866" spans="1:1" x14ac:dyDescent="0.25">
      <c r="A317866" s="1"/>
    </row>
    <row r="317867" spans="1:1" x14ac:dyDescent="0.25">
      <c r="A317867" s="1"/>
    </row>
    <row r="317868" spans="1:1" x14ac:dyDescent="0.25">
      <c r="A317868" s="1"/>
    </row>
    <row r="317869" spans="1:1" x14ac:dyDescent="0.25">
      <c r="A317869" s="1"/>
    </row>
    <row r="317870" spans="1:1" x14ac:dyDescent="0.25">
      <c r="A317870" s="1"/>
    </row>
    <row r="317871" spans="1:1" x14ac:dyDescent="0.25">
      <c r="A317871" s="1"/>
    </row>
    <row r="317872" spans="1:1" x14ac:dyDescent="0.25">
      <c r="A317872" s="1"/>
    </row>
    <row r="317873" spans="1:1" x14ac:dyDescent="0.25">
      <c r="A317873" s="1"/>
    </row>
    <row r="317874" spans="1:1" x14ac:dyDescent="0.25">
      <c r="A317874" s="1"/>
    </row>
    <row r="317875" spans="1:1" x14ac:dyDescent="0.25">
      <c r="A317875" s="1"/>
    </row>
    <row r="317876" spans="1:1" x14ac:dyDescent="0.25">
      <c r="A317876" s="1"/>
    </row>
    <row r="317877" spans="1:1" x14ac:dyDescent="0.25">
      <c r="A317877" s="1"/>
    </row>
    <row r="317878" spans="1:1" x14ac:dyDescent="0.25">
      <c r="A317878" s="1"/>
    </row>
    <row r="317879" spans="1:1" x14ac:dyDescent="0.25">
      <c r="A317879" s="1"/>
    </row>
    <row r="317880" spans="1:1" x14ac:dyDescent="0.25">
      <c r="A317880" s="1"/>
    </row>
    <row r="317881" spans="1:1" x14ac:dyDescent="0.25">
      <c r="A317881" s="1"/>
    </row>
    <row r="317882" spans="1:1" x14ac:dyDescent="0.25">
      <c r="A317882" s="1"/>
    </row>
    <row r="317883" spans="1:1" x14ac:dyDescent="0.25">
      <c r="A317883" s="1"/>
    </row>
    <row r="317884" spans="1:1" x14ac:dyDescent="0.25">
      <c r="A317884" s="1"/>
    </row>
    <row r="317885" spans="1:1" x14ac:dyDescent="0.25">
      <c r="A317885" s="1"/>
    </row>
    <row r="317886" spans="1:1" x14ac:dyDescent="0.25">
      <c r="A317886" s="1"/>
    </row>
    <row r="317887" spans="1:1" x14ac:dyDescent="0.25">
      <c r="A317887" s="1"/>
    </row>
    <row r="317888" spans="1:1" x14ac:dyDescent="0.25">
      <c r="A317888" s="1"/>
    </row>
    <row r="317889" spans="1:1" x14ac:dyDescent="0.25">
      <c r="A317889" s="1"/>
    </row>
    <row r="317890" spans="1:1" x14ac:dyDescent="0.25">
      <c r="A317890" s="1"/>
    </row>
    <row r="317891" spans="1:1" x14ac:dyDescent="0.25">
      <c r="A317891" s="1"/>
    </row>
    <row r="317892" spans="1:1" x14ac:dyDescent="0.25">
      <c r="A317892" s="1"/>
    </row>
    <row r="317893" spans="1:1" x14ac:dyDescent="0.25">
      <c r="A317893" s="1"/>
    </row>
    <row r="317894" spans="1:1" x14ac:dyDescent="0.25">
      <c r="A317894" s="1"/>
    </row>
    <row r="317895" spans="1:1" x14ac:dyDescent="0.25">
      <c r="A317895" s="1"/>
    </row>
    <row r="317896" spans="1:1" x14ac:dyDescent="0.25">
      <c r="A317896" s="1"/>
    </row>
    <row r="317897" spans="1:1" x14ac:dyDescent="0.25">
      <c r="A317897" s="1"/>
    </row>
    <row r="317898" spans="1:1" x14ac:dyDescent="0.25">
      <c r="A317898" s="1"/>
    </row>
    <row r="317899" spans="1:1" x14ac:dyDescent="0.25">
      <c r="A317899" s="1"/>
    </row>
    <row r="317900" spans="1:1" x14ac:dyDescent="0.25">
      <c r="A317900" s="1"/>
    </row>
    <row r="317901" spans="1:1" x14ac:dyDescent="0.25">
      <c r="A317901" s="1"/>
    </row>
    <row r="317902" spans="1:1" x14ac:dyDescent="0.25">
      <c r="A317902" s="1"/>
    </row>
    <row r="317903" spans="1:1" x14ac:dyDescent="0.25">
      <c r="A317903" s="1"/>
    </row>
    <row r="317904" spans="1:1" x14ac:dyDescent="0.25">
      <c r="A317904" s="1"/>
    </row>
    <row r="317905" spans="1:1" x14ac:dyDescent="0.25">
      <c r="A317905" s="1"/>
    </row>
    <row r="317906" spans="1:1" x14ac:dyDescent="0.25">
      <c r="A317906" s="1"/>
    </row>
    <row r="317907" spans="1:1" x14ac:dyDescent="0.25">
      <c r="A317907" s="1"/>
    </row>
    <row r="317908" spans="1:1" x14ac:dyDescent="0.25">
      <c r="A317908" s="1"/>
    </row>
    <row r="317909" spans="1:1" x14ac:dyDescent="0.25">
      <c r="A317909" s="1"/>
    </row>
    <row r="317910" spans="1:1" x14ac:dyDescent="0.25">
      <c r="A317910" s="1"/>
    </row>
    <row r="317911" spans="1:1" x14ac:dyDescent="0.25">
      <c r="A317911" s="1"/>
    </row>
    <row r="317912" spans="1:1" x14ac:dyDescent="0.25">
      <c r="A317912" s="1"/>
    </row>
    <row r="317913" spans="1:1" x14ac:dyDescent="0.25">
      <c r="A317913" s="1"/>
    </row>
    <row r="317914" spans="1:1" x14ac:dyDescent="0.25">
      <c r="A317914" s="1"/>
    </row>
    <row r="317915" spans="1:1" x14ac:dyDescent="0.25">
      <c r="A317915" s="1"/>
    </row>
    <row r="317916" spans="1:1" x14ac:dyDescent="0.25">
      <c r="A317916" s="1"/>
    </row>
    <row r="317917" spans="1:1" x14ac:dyDescent="0.25">
      <c r="A317917" s="1"/>
    </row>
    <row r="317918" spans="1:1" x14ac:dyDescent="0.25">
      <c r="A317918" s="1"/>
    </row>
    <row r="317919" spans="1:1" x14ac:dyDescent="0.25">
      <c r="A317919" s="1"/>
    </row>
    <row r="317920" spans="1:1" x14ac:dyDescent="0.25">
      <c r="A317920" s="1"/>
    </row>
    <row r="317921" spans="1:1" x14ac:dyDescent="0.25">
      <c r="A317921" s="1"/>
    </row>
    <row r="317922" spans="1:1" x14ac:dyDescent="0.25">
      <c r="A317922" s="1"/>
    </row>
    <row r="317923" spans="1:1" x14ac:dyDescent="0.25">
      <c r="A317923" s="1"/>
    </row>
    <row r="317924" spans="1:1" x14ac:dyDescent="0.25">
      <c r="A317924" s="1"/>
    </row>
    <row r="317925" spans="1:1" x14ac:dyDescent="0.25">
      <c r="A317925" s="1"/>
    </row>
    <row r="317926" spans="1:1" x14ac:dyDescent="0.25">
      <c r="A317926" s="1"/>
    </row>
    <row r="317927" spans="1:1" x14ac:dyDescent="0.25">
      <c r="A317927" s="1"/>
    </row>
    <row r="317928" spans="1:1" x14ac:dyDescent="0.25">
      <c r="A317928" s="1"/>
    </row>
    <row r="317929" spans="1:1" x14ac:dyDescent="0.25">
      <c r="A317929" s="1"/>
    </row>
    <row r="317930" spans="1:1" x14ac:dyDescent="0.25">
      <c r="A317930" s="1"/>
    </row>
    <row r="317931" spans="1:1" x14ac:dyDescent="0.25">
      <c r="A317931" s="1"/>
    </row>
    <row r="317932" spans="1:1" x14ac:dyDescent="0.25">
      <c r="A317932" s="1"/>
    </row>
    <row r="317933" spans="1:1" x14ac:dyDescent="0.25">
      <c r="A317933" s="1"/>
    </row>
    <row r="317934" spans="1:1" x14ac:dyDescent="0.25">
      <c r="A317934" s="1"/>
    </row>
    <row r="317935" spans="1:1" x14ac:dyDescent="0.25">
      <c r="A317935" s="1"/>
    </row>
    <row r="317936" spans="1:1" x14ac:dyDescent="0.25">
      <c r="A317936" s="1"/>
    </row>
    <row r="317937" spans="1:1" x14ac:dyDescent="0.25">
      <c r="A317937" s="1"/>
    </row>
    <row r="317938" spans="1:1" x14ac:dyDescent="0.25">
      <c r="A317938" s="1"/>
    </row>
    <row r="317939" spans="1:1" x14ac:dyDescent="0.25">
      <c r="A317939" s="1"/>
    </row>
    <row r="317940" spans="1:1" x14ac:dyDescent="0.25">
      <c r="A317940" s="1"/>
    </row>
    <row r="317941" spans="1:1" x14ac:dyDescent="0.25">
      <c r="A317941" s="1"/>
    </row>
    <row r="317942" spans="1:1" x14ac:dyDescent="0.25">
      <c r="A317942" s="1"/>
    </row>
    <row r="317943" spans="1:1" x14ac:dyDescent="0.25">
      <c r="A317943" s="1"/>
    </row>
    <row r="317944" spans="1:1" x14ac:dyDescent="0.25">
      <c r="A317944" s="1"/>
    </row>
    <row r="317945" spans="1:1" x14ac:dyDescent="0.25">
      <c r="A317945" s="1"/>
    </row>
    <row r="317946" spans="1:1" x14ac:dyDescent="0.25">
      <c r="A317946" s="1"/>
    </row>
    <row r="317947" spans="1:1" x14ac:dyDescent="0.25">
      <c r="A317947" s="1"/>
    </row>
    <row r="317948" spans="1:1" x14ac:dyDescent="0.25">
      <c r="A317948" s="1"/>
    </row>
    <row r="317949" spans="1:1" x14ac:dyDescent="0.25">
      <c r="A317949" s="1"/>
    </row>
    <row r="317950" spans="1:1" x14ac:dyDescent="0.25">
      <c r="A317950" s="1"/>
    </row>
    <row r="317951" spans="1:1" x14ac:dyDescent="0.25">
      <c r="A317951" s="1"/>
    </row>
    <row r="317952" spans="1:1" x14ac:dyDescent="0.25">
      <c r="A317952" s="1"/>
    </row>
    <row r="317953" spans="1:1" x14ac:dyDescent="0.25">
      <c r="A317953" s="1"/>
    </row>
    <row r="317954" spans="1:1" x14ac:dyDescent="0.25">
      <c r="A317954" s="1"/>
    </row>
    <row r="317955" spans="1:1" x14ac:dyDescent="0.25">
      <c r="A317955" s="1"/>
    </row>
    <row r="317956" spans="1:1" x14ac:dyDescent="0.25">
      <c r="A317956" s="1"/>
    </row>
    <row r="317957" spans="1:1" x14ac:dyDescent="0.25">
      <c r="A317957" s="1"/>
    </row>
    <row r="317958" spans="1:1" x14ac:dyDescent="0.25">
      <c r="A317958" s="1"/>
    </row>
    <row r="317959" spans="1:1" x14ac:dyDescent="0.25">
      <c r="A317959" s="1"/>
    </row>
    <row r="317960" spans="1:1" x14ac:dyDescent="0.25">
      <c r="A317960" s="1"/>
    </row>
    <row r="317961" spans="1:1" x14ac:dyDescent="0.25">
      <c r="A317961" s="1"/>
    </row>
    <row r="317962" spans="1:1" x14ac:dyDescent="0.25">
      <c r="A317962" s="1"/>
    </row>
    <row r="317963" spans="1:1" x14ac:dyDescent="0.25">
      <c r="A317963" s="1"/>
    </row>
    <row r="317964" spans="1:1" x14ac:dyDescent="0.25">
      <c r="A317964" s="1"/>
    </row>
    <row r="317965" spans="1:1" x14ac:dyDescent="0.25">
      <c r="A317965" s="1"/>
    </row>
    <row r="317966" spans="1:1" x14ac:dyDescent="0.25">
      <c r="A317966" s="1"/>
    </row>
    <row r="317967" spans="1:1" x14ac:dyDescent="0.25">
      <c r="A317967" s="1"/>
    </row>
    <row r="317968" spans="1:1" x14ac:dyDescent="0.25">
      <c r="A317968" s="1"/>
    </row>
    <row r="317969" spans="1:1" x14ac:dyDescent="0.25">
      <c r="A317969" s="1"/>
    </row>
    <row r="317970" spans="1:1" x14ac:dyDescent="0.25">
      <c r="A317970" s="1"/>
    </row>
    <row r="317971" spans="1:1" x14ac:dyDescent="0.25">
      <c r="A317971" s="1"/>
    </row>
    <row r="317972" spans="1:1" x14ac:dyDescent="0.25">
      <c r="A317972" s="1"/>
    </row>
    <row r="317973" spans="1:1" x14ac:dyDescent="0.25">
      <c r="A317973" s="1"/>
    </row>
    <row r="317974" spans="1:1" x14ac:dyDescent="0.25">
      <c r="A317974" s="1"/>
    </row>
    <row r="317975" spans="1:1" x14ac:dyDescent="0.25">
      <c r="A317975" s="1"/>
    </row>
    <row r="317976" spans="1:1" x14ac:dyDescent="0.25">
      <c r="A317976" s="1"/>
    </row>
    <row r="317977" spans="1:1" x14ac:dyDescent="0.25">
      <c r="A317977" s="1"/>
    </row>
    <row r="317978" spans="1:1" x14ac:dyDescent="0.25">
      <c r="A317978" s="1"/>
    </row>
    <row r="317979" spans="1:1" x14ac:dyDescent="0.25">
      <c r="A317979" s="1"/>
    </row>
    <row r="317980" spans="1:1" x14ac:dyDescent="0.25">
      <c r="A317980" s="1"/>
    </row>
    <row r="317981" spans="1:1" x14ac:dyDescent="0.25">
      <c r="A317981" s="1"/>
    </row>
    <row r="317982" spans="1:1" x14ac:dyDescent="0.25">
      <c r="A317982" s="1"/>
    </row>
    <row r="317983" spans="1:1" x14ac:dyDescent="0.25">
      <c r="A317983" s="1"/>
    </row>
    <row r="317984" spans="1:1" x14ac:dyDescent="0.25">
      <c r="A317984" s="1"/>
    </row>
    <row r="317985" spans="1:1" x14ac:dyDescent="0.25">
      <c r="A317985" s="1"/>
    </row>
    <row r="317986" spans="1:1" x14ac:dyDescent="0.25">
      <c r="A317986" s="1"/>
    </row>
    <row r="317987" spans="1:1" x14ac:dyDescent="0.25">
      <c r="A317987" s="1"/>
    </row>
    <row r="317988" spans="1:1" x14ac:dyDescent="0.25">
      <c r="A317988" s="1"/>
    </row>
    <row r="317989" spans="1:1" x14ac:dyDescent="0.25">
      <c r="A317989" s="1"/>
    </row>
    <row r="317990" spans="1:1" x14ac:dyDescent="0.25">
      <c r="A317990" s="1"/>
    </row>
    <row r="317991" spans="1:1" x14ac:dyDescent="0.25">
      <c r="A317991" s="1"/>
    </row>
    <row r="317992" spans="1:1" x14ac:dyDescent="0.25">
      <c r="A317992" s="1"/>
    </row>
    <row r="317993" spans="1:1" x14ac:dyDescent="0.25">
      <c r="A317993" s="1"/>
    </row>
    <row r="317994" spans="1:1" x14ac:dyDescent="0.25">
      <c r="A317994" s="1"/>
    </row>
    <row r="317995" spans="1:1" x14ac:dyDescent="0.25">
      <c r="A317995" s="1"/>
    </row>
    <row r="317996" spans="1:1" x14ac:dyDescent="0.25">
      <c r="A317996" s="1"/>
    </row>
    <row r="317997" spans="1:1" x14ac:dyDescent="0.25">
      <c r="A317997" s="1"/>
    </row>
    <row r="317998" spans="1:1" x14ac:dyDescent="0.25">
      <c r="A317998" s="1"/>
    </row>
    <row r="317999" spans="1:1" x14ac:dyDescent="0.25">
      <c r="A317999" s="1"/>
    </row>
    <row r="318000" spans="1:1" x14ac:dyDescent="0.25">
      <c r="A318000" s="1"/>
    </row>
    <row r="318001" spans="1:1" x14ac:dyDescent="0.25">
      <c r="A318001" s="1"/>
    </row>
    <row r="318002" spans="1:1" x14ac:dyDescent="0.25">
      <c r="A318002" s="1"/>
    </row>
    <row r="318003" spans="1:1" x14ac:dyDescent="0.25">
      <c r="A318003" s="1"/>
    </row>
    <row r="318004" spans="1:1" x14ac:dyDescent="0.25">
      <c r="A318004" s="1"/>
    </row>
    <row r="318005" spans="1:1" x14ac:dyDescent="0.25">
      <c r="A318005" s="1"/>
    </row>
    <row r="318006" spans="1:1" x14ac:dyDescent="0.25">
      <c r="A318006" s="1"/>
    </row>
    <row r="318007" spans="1:1" x14ac:dyDescent="0.25">
      <c r="A318007" s="1"/>
    </row>
    <row r="318008" spans="1:1" x14ac:dyDescent="0.25">
      <c r="A318008" s="1"/>
    </row>
    <row r="318009" spans="1:1" x14ac:dyDescent="0.25">
      <c r="A318009" s="1"/>
    </row>
    <row r="318010" spans="1:1" x14ac:dyDescent="0.25">
      <c r="A318010" s="1"/>
    </row>
    <row r="318011" spans="1:1" x14ac:dyDescent="0.25">
      <c r="A318011" s="1"/>
    </row>
    <row r="318012" spans="1:1" x14ac:dyDescent="0.25">
      <c r="A318012" s="1"/>
    </row>
    <row r="318013" spans="1:1" x14ac:dyDescent="0.25">
      <c r="A318013" s="1"/>
    </row>
    <row r="318014" spans="1:1" x14ac:dyDescent="0.25">
      <c r="A318014" s="1"/>
    </row>
    <row r="318015" spans="1:1" x14ac:dyDescent="0.25">
      <c r="A318015" s="1"/>
    </row>
    <row r="318016" spans="1:1" x14ac:dyDescent="0.25">
      <c r="A318016" s="1"/>
    </row>
    <row r="318017" spans="1:1" x14ac:dyDescent="0.25">
      <c r="A318017" s="1"/>
    </row>
    <row r="318018" spans="1:1" x14ac:dyDescent="0.25">
      <c r="A318018" s="1"/>
    </row>
    <row r="318019" spans="1:1" x14ac:dyDescent="0.25">
      <c r="A318019" s="1"/>
    </row>
    <row r="318020" spans="1:1" x14ac:dyDescent="0.25">
      <c r="A318020" s="1"/>
    </row>
    <row r="318021" spans="1:1" x14ac:dyDescent="0.25">
      <c r="A318021" s="1"/>
    </row>
    <row r="318022" spans="1:1" x14ac:dyDescent="0.25">
      <c r="A318022" s="1"/>
    </row>
    <row r="318023" spans="1:1" x14ac:dyDescent="0.25">
      <c r="A318023" s="1"/>
    </row>
    <row r="318024" spans="1:1" x14ac:dyDescent="0.25">
      <c r="A318024" s="1"/>
    </row>
    <row r="318025" spans="1:1" x14ac:dyDescent="0.25">
      <c r="A318025" s="1"/>
    </row>
    <row r="318026" spans="1:1" x14ac:dyDescent="0.25">
      <c r="A318026" s="1"/>
    </row>
    <row r="318027" spans="1:1" x14ac:dyDescent="0.25">
      <c r="A318027" s="1"/>
    </row>
    <row r="318028" spans="1:1" x14ac:dyDescent="0.25">
      <c r="A318028" s="1"/>
    </row>
    <row r="318029" spans="1:1" x14ac:dyDescent="0.25">
      <c r="A318029" s="1"/>
    </row>
    <row r="318030" spans="1:1" x14ac:dyDescent="0.25">
      <c r="A318030" s="1"/>
    </row>
    <row r="318031" spans="1:1" x14ac:dyDescent="0.25">
      <c r="A318031" s="1"/>
    </row>
    <row r="318032" spans="1:1" x14ac:dyDescent="0.25">
      <c r="A318032" s="1"/>
    </row>
    <row r="318033" spans="1:1" x14ac:dyDescent="0.25">
      <c r="A318033" s="1"/>
    </row>
    <row r="318034" spans="1:1" x14ac:dyDescent="0.25">
      <c r="A318034" s="1"/>
    </row>
    <row r="318035" spans="1:1" x14ac:dyDescent="0.25">
      <c r="A318035" s="1"/>
    </row>
    <row r="318036" spans="1:1" x14ac:dyDescent="0.25">
      <c r="A318036" s="1"/>
    </row>
    <row r="318037" spans="1:1" x14ac:dyDescent="0.25">
      <c r="A318037" s="1"/>
    </row>
    <row r="318038" spans="1:1" x14ac:dyDescent="0.25">
      <c r="A318038" s="1"/>
    </row>
    <row r="318039" spans="1:1" x14ac:dyDescent="0.25">
      <c r="A318039" s="1"/>
    </row>
    <row r="318040" spans="1:1" x14ac:dyDescent="0.25">
      <c r="A318040" s="1"/>
    </row>
    <row r="318041" spans="1:1" x14ac:dyDescent="0.25">
      <c r="A318041" s="1"/>
    </row>
    <row r="318042" spans="1:1" x14ac:dyDescent="0.25">
      <c r="A318042" s="1"/>
    </row>
    <row r="318043" spans="1:1" x14ac:dyDescent="0.25">
      <c r="A318043" s="1"/>
    </row>
    <row r="318044" spans="1:1" x14ac:dyDescent="0.25">
      <c r="A318044" s="1"/>
    </row>
    <row r="318045" spans="1:1" x14ac:dyDescent="0.25">
      <c r="A318045" s="1"/>
    </row>
    <row r="318046" spans="1:1" x14ac:dyDescent="0.25">
      <c r="A318046" s="1"/>
    </row>
    <row r="318047" spans="1:1" x14ac:dyDescent="0.25">
      <c r="A318047" s="1"/>
    </row>
    <row r="318048" spans="1:1" x14ac:dyDescent="0.25">
      <c r="A318048" s="1"/>
    </row>
    <row r="318049" spans="1:1" x14ac:dyDescent="0.25">
      <c r="A318049" s="1"/>
    </row>
    <row r="318050" spans="1:1" x14ac:dyDescent="0.25">
      <c r="A318050" s="1"/>
    </row>
    <row r="318051" spans="1:1" x14ac:dyDescent="0.25">
      <c r="A318051" s="1"/>
    </row>
    <row r="318052" spans="1:1" x14ac:dyDescent="0.25">
      <c r="A318052" s="1"/>
    </row>
    <row r="318053" spans="1:1" x14ac:dyDescent="0.25">
      <c r="A318053" s="1"/>
    </row>
    <row r="318054" spans="1:1" x14ac:dyDescent="0.25">
      <c r="A318054" s="1"/>
    </row>
    <row r="318055" spans="1:1" x14ac:dyDescent="0.25">
      <c r="A318055" s="1"/>
    </row>
    <row r="318056" spans="1:1" x14ac:dyDescent="0.25">
      <c r="A318056" s="1"/>
    </row>
    <row r="318057" spans="1:1" x14ac:dyDescent="0.25">
      <c r="A318057" s="1"/>
    </row>
    <row r="318058" spans="1:1" x14ac:dyDescent="0.25">
      <c r="A318058" s="1"/>
    </row>
    <row r="318059" spans="1:1" x14ac:dyDescent="0.25">
      <c r="A318059" s="1"/>
    </row>
    <row r="318060" spans="1:1" x14ac:dyDescent="0.25">
      <c r="A318060" s="1"/>
    </row>
    <row r="318061" spans="1:1" x14ac:dyDescent="0.25">
      <c r="A318061" s="1"/>
    </row>
    <row r="318062" spans="1:1" x14ac:dyDescent="0.25">
      <c r="A318062" s="1"/>
    </row>
    <row r="318063" spans="1:1" x14ac:dyDescent="0.25">
      <c r="A318063" s="1"/>
    </row>
    <row r="318064" spans="1:1" x14ac:dyDescent="0.25">
      <c r="A318064" s="1"/>
    </row>
    <row r="318065" spans="1:1" x14ac:dyDescent="0.25">
      <c r="A318065" s="1"/>
    </row>
    <row r="318066" spans="1:1" x14ac:dyDescent="0.25">
      <c r="A318066" s="1"/>
    </row>
    <row r="318067" spans="1:1" x14ac:dyDescent="0.25">
      <c r="A318067" s="1"/>
    </row>
    <row r="318068" spans="1:1" x14ac:dyDescent="0.25">
      <c r="A318068" s="1"/>
    </row>
    <row r="318069" spans="1:1" x14ac:dyDescent="0.25">
      <c r="A318069" s="1"/>
    </row>
    <row r="318070" spans="1:1" x14ac:dyDescent="0.25">
      <c r="A318070" s="1"/>
    </row>
    <row r="318071" spans="1:1" x14ac:dyDescent="0.25">
      <c r="A318071" s="1"/>
    </row>
    <row r="318072" spans="1:1" x14ac:dyDescent="0.25">
      <c r="A318072" s="1"/>
    </row>
    <row r="318073" spans="1:1" x14ac:dyDescent="0.25">
      <c r="A318073" s="1"/>
    </row>
    <row r="318074" spans="1:1" x14ac:dyDescent="0.25">
      <c r="A318074" s="1"/>
    </row>
    <row r="318075" spans="1:1" x14ac:dyDescent="0.25">
      <c r="A318075" s="1"/>
    </row>
    <row r="318076" spans="1:1" x14ac:dyDescent="0.25">
      <c r="A318076" s="1"/>
    </row>
    <row r="318077" spans="1:1" x14ac:dyDescent="0.25">
      <c r="A318077" s="1"/>
    </row>
    <row r="318078" spans="1:1" x14ac:dyDescent="0.25">
      <c r="A318078" s="1"/>
    </row>
    <row r="318079" spans="1:1" x14ac:dyDescent="0.25">
      <c r="A318079" s="1"/>
    </row>
    <row r="318080" spans="1:1" x14ac:dyDescent="0.25">
      <c r="A318080" s="1"/>
    </row>
    <row r="318081" spans="1:1" x14ac:dyDescent="0.25">
      <c r="A318081" s="1"/>
    </row>
    <row r="318082" spans="1:1" x14ac:dyDescent="0.25">
      <c r="A318082" s="1"/>
    </row>
    <row r="318083" spans="1:1" x14ac:dyDescent="0.25">
      <c r="A318083" s="1"/>
    </row>
    <row r="318084" spans="1:1" x14ac:dyDescent="0.25">
      <c r="A318084" s="1"/>
    </row>
    <row r="318085" spans="1:1" x14ac:dyDescent="0.25">
      <c r="A318085" s="1"/>
    </row>
    <row r="318086" spans="1:1" x14ac:dyDescent="0.25">
      <c r="A318086" s="1"/>
    </row>
    <row r="318087" spans="1:1" x14ac:dyDescent="0.25">
      <c r="A318087" s="1"/>
    </row>
    <row r="318088" spans="1:1" x14ac:dyDescent="0.25">
      <c r="A318088" s="1"/>
    </row>
    <row r="318089" spans="1:1" x14ac:dyDescent="0.25">
      <c r="A318089" s="1"/>
    </row>
    <row r="318090" spans="1:1" x14ac:dyDescent="0.25">
      <c r="A318090" s="1"/>
    </row>
    <row r="318091" spans="1:1" x14ac:dyDescent="0.25">
      <c r="A318091" s="1"/>
    </row>
    <row r="318092" spans="1:1" x14ac:dyDescent="0.25">
      <c r="A318092" s="1"/>
    </row>
    <row r="318093" spans="1:1" x14ac:dyDescent="0.25">
      <c r="A318093" s="1"/>
    </row>
    <row r="318094" spans="1:1" x14ac:dyDescent="0.25">
      <c r="A318094" s="1"/>
    </row>
    <row r="318095" spans="1:1" x14ac:dyDescent="0.25">
      <c r="A318095" s="1"/>
    </row>
    <row r="318096" spans="1:1" x14ac:dyDescent="0.25">
      <c r="A318096" s="1"/>
    </row>
    <row r="318097" spans="1:1" x14ac:dyDescent="0.25">
      <c r="A318097" s="1"/>
    </row>
    <row r="318098" spans="1:1" x14ac:dyDescent="0.25">
      <c r="A318098" s="1"/>
    </row>
    <row r="318099" spans="1:1" x14ac:dyDescent="0.25">
      <c r="A318099" s="1"/>
    </row>
    <row r="318100" spans="1:1" x14ac:dyDescent="0.25">
      <c r="A318100" s="1"/>
    </row>
    <row r="318101" spans="1:1" x14ac:dyDescent="0.25">
      <c r="A318101" s="1"/>
    </row>
    <row r="318102" spans="1:1" x14ac:dyDescent="0.25">
      <c r="A318102" s="1"/>
    </row>
    <row r="318103" spans="1:1" x14ac:dyDescent="0.25">
      <c r="A318103" s="1"/>
    </row>
    <row r="318104" spans="1:1" x14ac:dyDescent="0.25">
      <c r="A318104" s="1"/>
    </row>
    <row r="318105" spans="1:1" x14ac:dyDescent="0.25">
      <c r="A318105" s="1"/>
    </row>
    <row r="318106" spans="1:1" x14ac:dyDescent="0.25">
      <c r="A318106" s="1"/>
    </row>
    <row r="318107" spans="1:1" x14ac:dyDescent="0.25">
      <c r="A318107" s="1"/>
    </row>
    <row r="318108" spans="1:1" x14ac:dyDescent="0.25">
      <c r="A318108" s="1"/>
    </row>
    <row r="318109" spans="1:1" x14ac:dyDescent="0.25">
      <c r="A318109" s="1"/>
    </row>
    <row r="318110" spans="1:1" x14ac:dyDescent="0.25">
      <c r="A318110" s="1"/>
    </row>
    <row r="318111" spans="1:1" x14ac:dyDescent="0.25">
      <c r="A318111" s="1"/>
    </row>
    <row r="318112" spans="1:1" x14ac:dyDescent="0.25">
      <c r="A318112" s="1"/>
    </row>
    <row r="318113" spans="1:1" x14ac:dyDescent="0.25">
      <c r="A318113" s="1"/>
    </row>
    <row r="318114" spans="1:1" x14ac:dyDescent="0.25">
      <c r="A318114" s="1"/>
    </row>
    <row r="318115" spans="1:1" x14ac:dyDescent="0.25">
      <c r="A318115" s="1"/>
    </row>
    <row r="318116" spans="1:1" x14ac:dyDescent="0.25">
      <c r="A318116" s="1"/>
    </row>
    <row r="318117" spans="1:1" x14ac:dyDescent="0.25">
      <c r="A318117" s="1"/>
    </row>
    <row r="318118" spans="1:1" x14ac:dyDescent="0.25">
      <c r="A318118" s="1"/>
    </row>
    <row r="318119" spans="1:1" x14ac:dyDescent="0.25">
      <c r="A318119" s="1"/>
    </row>
    <row r="318120" spans="1:1" x14ac:dyDescent="0.25">
      <c r="A318120" s="1"/>
    </row>
    <row r="318121" spans="1:1" x14ac:dyDescent="0.25">
      <c r="A318121" s="1"/>
    </row>
    <row r="318122" spans="1:1" x14ac:dyDescent="0.25">
      <c r="A318122" s="1"/>
    </row>
    <row r="318123" spans="1:1" x14ac:dyDescent="0.25">
      <c r="A318123" s="1"/>
    </row>
    <row r="318124" spans="1:1" x14ac:dyDescent="0.25">
      <c r="A318124" s="1"/>
    </row>
    <row r="318125" spans="1:1" x14ac:dyDescent="0.25">
      <c r="A318125" s="1"/>
    </row>
    <row r="318126" spans="1:1" x14ac:dyDescent="0.25">
      <c r="A318126" s="1"/>
    </row>
    <row r="318127" spans="1:1" x14ac:dyDescent="0.25">
      <c r="A318127" s="1"/>
    </row>
    <row r="318128" spans="1:1" x14ac:dyDescent="0.25">
      <c r="A318128" s="1"/>
    </row>
    <row r="318129" spans="1:1" x14ac:dyDescent="0.25">
      <c r="A318129" s="1"/>
    </row>
    <row r="318130" spans="1:1" x14ac:dyDescent="0.25">
      <c r="A318130" s="1"/>
    </row>
    <row r="318131" spans="1:1" x14ac:dyDescent="0.25">
      <c r="A318131" s="1"/>
    </row>
    <row r="318132" spans="1:1" x14ac:dyDescent="0.25">
      <c r="A318132" s="1"/>
    </row>
    <row r="318133" spans="1:1" x14ac:dyDescent="0.25">
      <c r="A318133" s="1"/>
    </row>
    <row r="318134" spans="1:1" x14ac:dyDescent="0.25">
      <c r="A318134" s="1"/>
    </row>
    <row r="318135" spans="1:1" x14ac:dyDescent="0.25">
      <c r="A318135" s="1"/>
    </row>
    <row r="318136" spans="1:1" x14ac:dyDescent="0.25">
      <c r="A318136" s="1"/>
    </row>
    <row r="318137" spans="1:1" x14ac:dyDescent="0.25">
      <c r="A318137" s="1"/>
    </row>
    <row r="318138" spans="1:1" x14ac:dyDescent="0.25">
      <c r="A318138" s="1"/>
    </row>
    <row r="318139" spans="1:1" x14ac:dyDescent="0.25">
      <c r="A318139" s="1"/>
    </row>
    <row r="318140" spans="1:1" x14ac:dyDescent="0.25">
      <c r="A318140" s="1"/>
    </row>
    <row r="318141" spans="1:1" x14ac:dyDescent="0.25">
      <c r="A318141" s="1"/>
    </row>
    <row r="318142" spans="1:1" x14ac:dyDescent="0.25">
      <c r="A318142" s="1"/>
    </row>
    <row r="318143" spans="1:1" x14ac:dyDescent="0.25">
      <c r="A318143" s="1"/>
    </row>
    <row r="318144" spans="1:1" x14ac:dyDescent="0.25">
      <c r="A318144" s="1"/>
    </row>
    <row r="318145" spans="1:1" x14ac:dyDescent="0.25">
      <c r="A318145" s="1"/>
    </row>
    <row r="318146" spans="1:1" x14ac:dyDescent="0.25">
      <c r="A318146" s="1"/>
    </row>
    <row r="318147" spans="1:1" x14ac:dyDescent="0.25">
      <c r="A318147" s="1"/>
    </row>
    <row r="318148" spans="1:1" x14ac:dyDescent="0.25">
      <c r="A318148" s="1"/>
    </row>
    <row r="318149" spans="1:1" x14ac:dyDescent="0.25">
      <c r="A318149" s="1"/>
    </row>
    <row r="318150" spans="1:1" x14ac:dyDescent="0.25">
      <c r="A318150" s="1"/>
    </row>
    <row r="318151" spans="1:1" x14ac:dyDescent="0.25">
      <c r="A318151" s="1"/>
    </row>
    <row r="318152" spans="1:1" x14ac:dyDescent="0.25">
      <c r="A318152" s="1"/>
    </row>
    <row r="318153" spans="1:1" x14ac:dyDescent="0.25">
      <c r="A318153" s="1"/>
    </row>
    <row r="318154" spans="1:1" x14ac:dyDescent="0.25">
      <c r="A318154" s="1"/>
    </row>
    <row r="318155" spans="1:1" x14ac:dyDescent="0.25">
      <c r="A318155" s="1"/>
    </row>
    <row r="318156" spans="1:1" x14ac:dyDescent="0.25">
      <c r="A318156" s="1"/>
    </row>
    <row r="318157" spans="1:1" x14ac:dyDescent="0.25">
      <c r="A318157" s="1"/>
    </row>
    <row r="318158" spans="1:1" x14ac:dyDescent="0.25">
      <c r="A318158" s="1"/>
    </row>
    <row r="318159" spans="1:1" x14ac:dyDescent="0.25">
      <c r="A318159" s="1"/>
    </row>
    <row r="318160" spans="1:1" x14ac:dyDescent="0.25">
      <c r="A318160" s="1"/>
    </row>
    <row r="318161" spans="1:1" x14ac:dyDescent="0.25">
      <c r="A318161" s="1"/>
    </row>
    <row r="318162" spans="1:1" x14ac:dyDescent="0.25">
      <c r="A318162" s="1"/>
    </row>
    <row r="318163" spans="1:1" x14ac:dyDescent="0.25">
      <c r="A318163" s="1"/>
    </row>
    <row r="318164" spans="1:1" x14ac:dyDescent="0.25">
      <c r="A318164" s="1"/>
    </row>
    <row r="318165" spans="1:1" x14ac:dyDescent="0.25">
      <c r="A318165" s="1"/>
    </row>
    <row r="318166" spans="1:1" x14ac:dyDescent="0.25">
      <c r="A318166" s="1"/>
    </row>
    <row r="318167" spans="1:1" x14ac:dyDescent="0.25">
      <c r="A318167" s="1"/>
    </row>
    <row r="318168" spans="1:1" x14ac:dyDescent="0.25">
      <c r="A318168" s="1"/>
    </row>
    <row r="318169" spans="1:1" x14ac:dyDescent="0.25">
      <c r="A318169" s="1"/>
    </row>
    <row r="318170" spans="1:1" x14ac:dyDescent="0.25">
      <c r="A318170" s="1"/>
    </row>
    <row r="318171" spans="1:1" x14ac:dyDescent="0.25">
      <c r="A318171" s="1"/>
    </row>
    <row r="318172" spans="1:1" x14ac:dyDescent="0.25">
      <c r="A318172" s="1"/>
    </row>
    <row r="318173" spans="1:1" x14ac:dyDescent="0.25">
      <c r="A318173" s="1"/>
    </row>
    <row r="318174" spans="1:1" x14ac:dyDescent="0.25">
      <c r="A318174" s="1"/>
    </row>
    <row r="318175" spans="1:1" x14ac:dyDescent="0.25">
      <c r="A318175" s="1"/>
    </row>
    <row r="318176" spans="1:1" x14ac:dyDescent="0.25">
      <c r="A318176" s="1"/>
    </row>
    <row r="318177" spans="1:1" x14ac:dyDescent="0.25">
      <c r="A318177" s="1"/>
    </row>
    <row r="318178" spans="1:1" x14ac:dyDescent="0.25">
      <c r="A318178" s="1"/>
    </row>
    <row r="318179" spans="1:1" x14ac:dyDescent="0.25">
      <c r="A318179" s="1"/>
    </row>
    <row r="318180" spans="1:1" x14ac:dyDescent="0.25">
      <c r="A318180" s="1"/>
    </row>
    <row r="318181" spans="1:1" x14ac:dyDescent="0.25">
      <c r="A318181" s="1"/>
    </row>
    <row r="318182" spans="1:1" x14ac:dyDescent="0.25">
      <c r="A318182" s="1"/>
    </row>
    <row r="318183" spans="1:1" x14ac:dyDescent="0.25">
      <c r="A318183" s="1"/>
    </row>
    <row r="318184" spans="1:1" x14ac:dyDescent="0.25">
      <c r="A318184" s="1"/>
    </row>
    <row r="318185" spans="1:1" x14ac:dyDescent="0.25">
      <c r="A318185" s="1"/>
    </row>
    <row r="318186" spans="1:1" x14ac:dyDescent="0.25">
      <c r="A318186" s="1"/>
    </row>
    <row r="318187" spans="1:1" x14ac:dyDescent="0.25">
      <c r="A318187" s="1"/>
    </row>
    <row r="318188" spans="1:1" x14ac:dyDescent="0.25">
      <c r="A318188" s="1"/>
    </row>
    <row r="318189" spans="1:1" x14ac:dyDescent="0.25">
      <c r="A318189" s="1"/>
    </row>
    <row r="318190" spans="1:1" x14ac:dyDescent="0.25">
      <c r="A318190" s="1"/>
    </row>
    <row r="318191" spans="1:1" x14ac:dyDescent="0.25">
      <c r="A318191" s="1"/>
    </row>
    <row r="318192" spans="1:1" x14ac:dyDescent="0.25">
      <c r="A318192" s="1"/>
    </row>
    <row r="318193" spans="1:1" x14ac:dyDescent="0.25">
      <c r="A318193" s="1"/>
    </row>
    <row r="318194" spans="1:1" x14ac:dyDescent="0.25">
      <c r="A318194" s="1"/>
    </row>
    <row r="318195" spans="1:1" x14ac:dyDescent="0.25">
      <c r="A318195" s="1"/>
    </row>
    <row r="318196" spans="1:1" x14ac:dyDescent="0.25">
      <c r="A318196" s="1"/>
    </row>
    <row r="318197" spans="1:1" x14ac:dyDescent="0.25">
      <c r="A318197" s="1"/>
    </row>
    <row r="318198" spans="1:1" x14ac:dyDescent="0.25">
      <c r="A318198" s="1"/>
    </row>
    <row r="318199" spans="1:1" x14ac:dyDescent="0.25">
      <c r="A318199" s="1"/>
    </row>
    <row r="318200" spans="1:1" x14ac:dyDescent="0.25">
      <c r="A318200" s="1"/>
    </row>
    <row r="318201" spans="1:1" x14ac:dyDescent="0.25">
      <c r="A318201" s="1"/>
    </row>
    <row r="318202" spans="1:1" x14ac:dyDescent="0.25">
      <c r="A318202" s="1"/>
    </row>
    <row r="318203" spans="1:1" x14ac:dyDescent="0.25">
      <c r="A318203" s="1"/>
    </row>
    <row r="318204" spans="1:1" x14ac:dyDescent="0.25">
      <c r="A318204" s="1"/>
    </row>
    <row r="318205" spans="1:1" x14ac:dyDescent="0.25">
      <c r="A318205" s="1"/>
    </row>
    <row r="318206" spans="1:1" x14ac:dyDescent="0.25">
      <c r="A318206" s="1"/>
    </row>
    <row r="318207" spans="1:1" x14ac:dyDescent="0.25">
      <c r="A318207" s="1"/>
    </row>
    <row r="318208" spans="1:1" x14ac:dyDescent="0.25">
      <c r="A318208" s="1"/>
    </row>
    <row r="318209" spans="1:1" x14ac:dyDescent="0.25">
      <c r="A318209" s="1"/>
    </row>
    <row r="318210" spans="1:1" x14ac:dyDescent="0.25">
      <c r="A318210" s="1"/>
    </row>
    <row r="318211" spans="1:1" x14ac:dyDescent="0.25">
      <c r="A318211" s="1"/>
    </row>
    <row r="318212" spans="1:1" x14ac:dyDescent="0.25">
      <c r="A318212" s="1"/>
    </row>
    <row r="318213" spans="1:1" x14ac:dyDescent="0.25">
      <c r="A318213" s="1"/>
    </row>
    <row r="318214" spans="1:1" x14ac:dyDescent="0.25">
      <c r="A318214" s="1"/>
    </row>
    <row r="318215" spans="1:1" x14ac:dyDescent="0.25">
      <c r="A318215" s="1"/>
    </row>
    <row r="318216" spans="1:1" x14ac:dyDescent="0.25">
      <c r="A318216" s="1"/>
    </row>
    <row r="318217" spans="1:1" x14ac:dyDescent="0.25">
      <c r="A318217" s="1"/>
    </row>
    <row r="318218" spans="1:1" x14ac:dyDescent="0.25">
      <c r="A318218" s="1"/>
    </row>
    <row r="318219" spans="1:1" x14ac:dyDescent="0.25">
      <c r="A318219" s="1"/>
    </row>
    <row r="318220" spans="1:1" x14ac:dyDescent="0.25">
      <c r="A318220" s="1"/>
    </row>
    <row r="318221" spans="1:1" x14ac:dyDescent="0.25">
      <c r="A318221" s="1"/>
    </row>
    <row r="318222" spans="1:1" x14ac:dyDescent="0.25">
      <c r="A318222" s="1"/>
    </row>
    <row r="318223" spans="1:1" x14ac:dyDescent="0.25">
      <c r="A318223" s="1"/>
    </row>
    <row r="318224" spans="1:1" x14ac:dyDescent="0.25">
      <c r="A318224" s="1"/>
    </row>
    <row r="318225" spans="1:1" x14ac:dyDescent="0.25">
      <c r="A318225" s="1"/>
    </row>
    <row r="318226" spans="1:1" x14ac:dyDescent="0.25">
      <c r="A318226" s="1"/>
    </row>
    <row r="318227" spans="1:1" x14ac:dyDescent="0.25">
      <c r="A318227" s="1"/>
    </row>
    <row r="318228" spans="1:1" x14ac:dyDescent="0.25">
      <c r="A318228" s="1"/>
    </row>
    <row r="318229" spans="1:1" x14ac:dyDescent="0.25">
      <c r="A318229" s="1"/>
    </row>
    <row r="318230" spans="1:1" x14ac:dyDescent="0.25">
      <c r="A318230" s="1"/>
    </row>
    <row r="318231" spans="1:1" x14ac:dyDescent="0.25">
      <c r="A318231" s="1"/>
    </row>
    <row r="318232" spans="1:1" x14ac:dyDescent="0.25">
      <c r="A318232" s="1"/>
    </row>
    <row r="318233" spans="1:1" x14ac:dyDescent="0.25">
      <c r="A318233" s="1"/>
    </row>
    <row r="318234" spans="1:1" x14ac:dyDescent="0.25">
      <c r="A318234" s="1"/>
    </row>
    <row r="318235" spans="1:1" x14ac:dyDescent="0.25">
      <c r="A318235" s="1"/>
    </row>
    <row r="318236" spans="1:1" x14ac:dyDescent="0.25">
      <c r="A318236" s="1"/>
    </row>
    <row r="318237" spans="1:1" x14ac:dyDescent="0.25">
      <c r="A318237" s="1"/>
    </row>
    <row r="318238" spans="1:1" x14ac:dyDescent="0.25">
      <c r="A318238" s="1"/>
    </row>
    <row r="318239" spans="1:1" x14ac:dyDescent="0.25">
      <c r="A318239" s="1"/>
    </row>
    <row r="318240" spans="1:1" x14ac:dyDescent="0.25">
      <c r="A318240" s="1"/>
    </row>
    <row r="318241" spans="1:1" x14ac:dyDescent="0.25">
      <c r="A318241" s="1"/>
    </row>
    <row r="318242" spans="1:1" x14ac:dyDescent="0.25">
      <c r="A318242" s="1"/>
    </row>
    <row r="318243" spans="1:1" x14ac:dyDescent="0.25">
      <c r="A318243" s="1"/>
    </row>
    <row r="318244" spans="1:1" x14ac:dyDescent="0.25">
      <c r="A318244" s="1"/>
    </row>
    <row r="318245" spans="1:1" x14ac:dyDescent="0.25">
      <c r="A318245" s="1"/>
    </row>
    <row r="318246" spans="1:1" x14ac:dyDescent="0.25">
      <c r="A318246" s="1"/>
    </row>
    <row r="318247" spans="1:1" x14ac:dyDescent="0.25">
      <c r="A318247" s="1"/>
    </row>
    <row r="318248" spans="1:1" x14ac:dyDescent="0.25">
      <c r="A318248" s="1"/>
    </row>
    <row r="318249" spans="1:1" x14ac:dyDescent="0.25">
      <c r="A318249" s="1"/>
    </row>
    <row r="318250" spans="1:1" x14ac:dyDescent="0.25">
      <c r="A318250" s="1"/>
    </row>
    <row r="318251" spans="1:1" x14ac:dyDescent="0.25">
      <c r="A318251" s="1"/>
    </row>
    <row r="318252" spans="1:1" x14ac:dyDescent="0.25">
      <c r="A318252" s="1"/>
    </row>
    <row r="318253" spans="1:1" x14ac:dyDescent="0.25">
      <c r="A318253" s="1"/>
    </row>
    <row r="318254" spans="1:1" x14ac:dyDescent="0.25">
      <c r="A318254" s="1"/>
    </row>
    <row r="318255" spans="1:1" x14ac:dyDescent="0.25">
      <c r="A318255" s="1"/>
    </row>
    <row r="318256" spans="1:1" x14ac:dyDescent="0.25">
      <c r="A318256" s="1"/>
    </row>
    <row r="318257" spans="1:1" x14ac:dyDescent="0.25">
      <c r="A318257" s="1"/>
    </row>
    <row r="318258" spans="1:1" x14ac:dyDescent="0.25">
      <c r="A318258" s="1"/>
    </row>
    <row r="318259" spans="1:1" x14ac:dyDescent="0.25">
      <c r="A318259" s="1"/>
    </row>
    <row r="318260" spans="1:1" x14ac:dyDescent="0.25">
      <c r="A318260" s="1"/>
    </row>
    <row r="318261" spans="1:1" x14ac:dyDescent="0.25">
      <c r="A318261" s="1"/>
    </row>
    <row r="318262" spans="1:1" x14ac:dyDescent="0.25">
      <c r="A318262" s="1"/>
    </row>
    <row r="318263" spans="1:1" x14ac:dyDescent="0.25">
      <c r="A318263" s="1"/>
    </row>
    <row r="318264" spans="1:1" x14ac:dyDescent="0.25">
      <c r="A318264" s="1"/>
    </row>
    <row r="318265" spans="1:1" x14ac:dyDescent="0.25">
      <c r="A318265" s="1"/>
    </row>
    <row r="318266" spans="1:1" x14ac:dyDescent="0.25">
      <c r="A318266" s="1"/>
    </row>
    <row r="318267" spans="1:1" x14ac:dyDescent="0.25">
      <c r="A318267" s="1"/>
    </row>
    <row r="318268" spans="1:1" x14ac:dyDescent="0.25">
      <c r="A318268" s="1"/>
    </row>
    <row r="318269" spans="1:1" x14ac:dyDescent="0.25">
      <c r="A318269" s="1"/>
    </row>
    <row r="318270" spans="1:1" x14ac:dyDescent="0.25">
      <c r="A318270" s="1"/>
    </row>
    <row r="318271" spans="1:1" x14ac:dyDescent="0.25">
      <c r="A318271" s="1"/>
    </row>
    <row r="318272" spans="1:1" x14ac:dyDescent="0.25">
      <c r="A318272" s="1"/>
    </row>
    <row r="318273" spans="1:1" x14ac:dyDescent="0.25">
      <c r="A318273" s="1"/>
    </row>
    <row r="318274" spans="1:1" x14ac:dyDescent="0.25">
      <c r="A318274" s="1"/>
    </row>
    <row r="318275" spans="1:1" x14ac:dyDescent="0.25">
      <c r="A318275" s="1"/>
    </row>
    <row r="318276" spans="1:1" x14ac:dyDescent="0.25">
      <c r="A318276" s="1"/>
    </row>
    <row r="318277" spans="1:1" x14ac:dyDescent="0.25">
      <c r="A318277" s="1"/>
    </row>
    <row r="318278" spans="1:1" x14ac:dyDescent="0.25">
      <c r="A318278" s="1"/>
    </row>
    <row r="318279" spans="1:1" x14ac:dyDescent="0.25">
      <c r="A318279" s="1"/>
    </row>
    <row r="318280" spans="1:1" x14ac:dyDescent="0.25">
      <c r="A318280" s="1"/>
    </row>
    <row r="318281" spans="1:1" x14ac:dyDescent="0.25">
      <c r="A318281" s="1"/>
    </row>
    <row r="318282" spans="1:1" x14ac:dyDescent="0.25">
      <c r="A318282" s="1"/>
    </row>
    <row r="318283" spans="1:1" x14ac:dyDescent="0.25">
      <c r="A318283" s="1"/>
    </row>
    <row r="318284" spans="1:1" x14ac:dyDescent="0.25">
      <c r="A318284" s="1"/>
    </row>
    <row r="318285" spans="1:1" x14ac:dyDescent="0.25">
      <c r="A318285" s="1"/>
    </row>
    <row r="318286" spans="1:1" x14ac:dyDescent="0.25">
      <c r="A318286" s="1"/>
    </row>
    <row r="318287" spans="1:1" x14ac:dyDescent="0.25">
      <c r="A318287" s="1"/>
    </row>
    <row r="318288" spans="1:1" x14ac:dyDescent="0.25">
      <c r="A318288" s="1"/>
    </row>
    <row r="318289" spans="1:1" x14ac:dyDescent="0.25">
      <c r="A318289" s="1"/>
    </row>
    <row r="318290" spans="1:1" x14ac:dyDescent="0.25">
      <c r="A318290" s="1"/>
    </row>
    <row r="318291" spans="1:1" x14ac:dyDescent="0.25">
      <c r="A318291" s="1"/>
    </row>
    <row r="318292" spans="1:1" x14ac:dyDescent="0.25">
      <c r="A318292" s="1"/>
    </row>
    <row r="318293" spans="1:1" x14ac:dyDescent="0.25">
      <c r="A318293" s="1"/>
    </row>
    <row r="318294" spans="1:1" x14ac:dyDescent="0.25">
      <c r="A318294" s="1"/>
    </row>
    <row r="318295" spans="1:1" x14ac:dyDescent="0.25">
      <c r="A318295" s="1"/>
    </row>
    <row r="318296" spans="1:1" x14ac:dyDescent="0.25">
      <c r="A318296" s="1"/>
    </row>
    <row r="318297" spans="1:1" x14ac:dyDescent="0.25">
      <c r="A318297" s="1"/>
    </row>
    <row r="318298" spans="1:1" x14ac:dyDescent="0.25">
      <c r="A318298" s="1"/>
    </row>
    <row r="318299" spans="1:1" x14ac:dyDescent="0.25">
      <c r="A318299" s="1"/>
    </row>
    <row r="318300" spans="1:1" x14ac:dyDescent="0.25">
      <c r="A318300" s="1"/>
    </row>
    <row r="318301" spans="1:1" x14ac:dyDescent="0.25">
      <c r="A318301" s="1"/>
    </row>
    <row r="318302" spans="1:1" x14ac:dyDescent="0.25">
      <c r="A318302" s="1"/>
    </row>
    <row r="318303" spans="1:1" x14ac:dyDescent="0.25">
      <c r="A318303" s="1"/>
    </row>
    <row r="318304" spans="1:1" x14ac:dyDescent="0.25">
      <c r="A318304" s="1"/>
    </row>
    <row r="318305" spans="1:1" x14ac:dyDescent="0.25">
      <c r="A318305" s="1"/>
    </row>
    <row r="318306" spans="1:1" x14ac:dyDescent="0.25">
      <c r="A318306" s="1"/>
    </row>
    <row r="318307" spans="1:1" x14ac:dyDescent="0.25">
      <c r="A318307" s="1"/>
    </row>
    <row r="318308" spans="1:1" x14ac:dyDescent="0.25">
      <c r="A318308" s="1"/>
    </row>
    <row r="318309" spans="1:1" x14ac:dyDescent="0.25">
      <c r="A318309" s="1"/>
    </row>
    <row r="318310" spans="1:1" x14ac:dyDescent="0.25">
      <c r="A318310" s="1"/>
    </row>
    <row r="318311" spans="1:1" x14ac:dyDescent="0.25">
      <c r="A318311" s="1"/>
    </row>
    <row r="318312" spans="1:1" x14ac:dyDescent="0.25">
      <c r="A318312" s="1"/>
    </row>
    <row r="318313" spans="1:1" x14ac:dyDescent="0.25">
      <c r="A318313" s="1"/>
    </row>
    <row r="318314" spans="1:1" x14ac:dyDescent="0.25">
      <c r="A318314" s="1"/>
    </row>
    <row r="318315" spans="1:1" x14ac:dyDescent="0.25">
      <c r="A318315" s="1"/>
    </row>
    <row r="318316" spans="1:1" x14ac:dyDescent="0.25">
      <c r="A318316" s="1"/>
    </row>
    <row r="318317" spans="1:1" x14ac:dyDescent="0.25">
      <c r="A318317" s="1"/>
    </row>
    <row r="318318" spans="1:1" x14ac:dyDescent="0.25">
      <c r="A318318" s="1"/>
    </row>
    <row r="318319" spans="1:1" x14ac:dyDescent="0.25">
      <c r="A318319" s="1"/>
    </row>
    <row r="318320" spans="1:1" x14ac:dyDescent="0.25">
      <c r="A318320" s="1"/>
    </row>
    <row r="318321" spans="1:1" x14ac:dyDescent="0.25">
      <c r="A318321" s="1"/>
    </row>
    <row r="318322" spans="1:1" x14ac:dyDescent="0.25">
      <c r="A318322" s="1"/>
    </row>
    <row r="318323" spans="1:1" x14ac:dyDescent="0.25">
      <c r="A318323" s="1"/>
    </row>
    <row r="318324" spans="1:1" x14ac:dyDescent="0.25">
      <c r="A318324" s="1"/>
    </row>
    <row r="318325" spans="1:1" x14ac:dyDescent="0.25">
      <c r="A318325" s="1"/>
    </row>
    <row r="318326" spans="1:1" x14ac:dyDescent="0.25">
      <c r="A318326" s="1"/>
    </row>
    <row r="318327" spans="1:1" x14ac:dyDescent="0.25">
      <c r="A318327" s="1"/>
    </row>
    <row r="318328" spans="1:1" x14ac:dyDescent="0.25">
      <c r="A318328" s="1"/>
    </row>
    <row r="318329" spans="1:1" x14ac:dyDescent="0.25">
      <c r="A318329" s="1"/>
    </row>
    <row r="318330" spans="1:1" x14ac:dyDescent="0.25">
      <c r="A318330" s="1"/>
    </row>
    <row r="318331" spans="1:1" x14ac:dyDescent="0.25">
      <c r="A318331" s="1"/>
    </row>
    <row r="318332" spans="1:1" x14ac:dyDescent="0.25">
      <c r="A318332" s="1"/>
    </row>
    <row r="318333" spans="1:1" x14ac:dyDescent="0.25">
      <c r="A318333" s="1"/>
    </row>
    <row r="318334" spans="1:1" x14ac:dyDescent="0.25">
      <c r="A318334" s="1"/>
    </row>
    <row r="318335" spans="1:1" x14ac:dyDescent="0.25">
      <c r="A318335" s="1"/>
    </row>
    <row r="318336" spans="1:1" x14ac:dyDescent="0.25">
      <c r="A318336" s="1"/>
    </row>
    <row r="318337" spans="1:1" x14ac:dyDescent="0.25">
      <c r="A318337" s="1"/>
    </row>
    <row r="318338" spans="1:1" x14ac:dyDescent="0.25">
      <c r="A318338" s="1"/>
    </row>
    <row r="318339" spans="1:1" x14ac:dyDescent="0.25">
      <c r="A318339" s="1"/>
    </row>
    <row r="318340" spans="1:1" x14ac:dyDescent="0.25">
      <c r="A318340" s="1"/>
    </row>
    <row r="318341" spans="1:1" x14ac:dyDescent="0.25">
      <c r="A318341" s="1"/>
    </row>
    <row r="318342" spans="1:1" x14ac:dyDescent="0.25">
      <c r="A318342" s="1"/>
    </row>
    <row r="318343" spans="1:1" x14ac:dyDescent="0.25">
      <c r="A318343" s="1"/>
    </row>
    <row r="318344" spans="1:1" x14ac:dyDescent="0.25">
      <c r="A318344" s="1"/>
    </row>
    <row r="318345" spans="1:1" x14ac:dyDescent="0.25">
      <c r="A318345" s="1"/>
    </row>
    <row r="318346" spans="1:1" x14ac:dyDescent="0.25">
      <c r="A318346" s="1"/>
    </row>
    <row r="318347" spans="1:1" x14ac:dyDescent="0.25">
      <c r="A318347" s="1"/>
    </row>
    <row r="318348" spans="1:1" x14ac:dyDescent="0.25">
      <c r="A318348" s="1"/>
    </row>
    <row r="318349" spans="1:1" x14ac:dyDescent="0.25">
      <c r="A318349" s="1"/>
    </row>
    <row r="318350" spans="1:1" x14ac:dyDescent="0.25">
      <c r="A318350" s="1"/>
    </row>
    <row r="318351" spans="1:1" x14ac:dyDescent="0.25">
      <c r="A318351" s="1"/>
    </row>
    <row r="318352" spans="1:1" x14ac:dyDescent="0.25">
      <c r="A318352" s="1"/>
    </row>
    <row r="318353" spans="1:1" x14ac:dyDescent="0.25">
      <c r="A318353" s="1"/>
    </row>
    <row r="318354" spans="1:1" x14ac:dyDescent="0.25">
      <c r="A318354" s="1"/>
    </row>
    <row r="318355" spans="1:1" x14ac:dyDescent="0.25">
      <c r="A318355" s="1"/>
    </row>
    <row r="318356" spans="1:1" x14ac:dyDescent="0.25">
      <c r="A318356" s="1"/>
    </row>
    <row r="318357" spans="1:1" x14ac:dyDescent="0.25">
      <c r="A318357" s="1"/>
    </row>
    <row r="318358" spans="1:1" x14ac:dyDescent="0.25">
      <c r="A318358" s="1"/>
    </row>
    <row r="318359" spans="1:1" x14ac:dyDescent="0.25">
      <c r="A318359" s="1"/>
    </row>
    <row r="318360" spans="1:1" x14ac:dyDescent="0.25">
      <c r="A318360" s="1"/>
    </row>
    <row r="318361" spans="1:1" x14ac:dyDescent="0.25">
      <c r="A318361" s="1"/>
    </row>
    <row r="318362" spans="1:1" x14ac:dyDescent="0.25">
      <c r="A318362" s="1"/>
    </row>
    <row r="318363" spans="1:1" x14ac:dyDescent="0.25">
      <c r="A318363" s="1"/>
    </row>
    <row r="318364" spans="1:1" x14ac:dyDescent="0.25">
      <c r="A318364" s="1"/>
    </row>
    <row r="318365" spans="1:1" x14ac:dyDescent="0.25">
      <c r="A318365" s="1"/>
    </row>
    <row r="318366" spans="1:1" x14ac:dyDescent="0.25">
      <c r="A318366" s="1"/>
    </row>
    <row r="318367" spans="1:1" x14ac:dyDescent="0.25">
      <c r="A318367" s="1"/>
    </row>
    <row r="318368" spans="1:1" x14ac:dyDescent="0.25">
      <c r="A318368" s="1"/>
    </row>
    <row r="318369" spans="1:1" x14ac:dyDescent="0.25">
      <c r="A318369" s="1"/>
    </row>
    <row r="318370" spans="1:1" x14ac:dyDescent="0.25">
      <c r="A318370" s="1"/>
    </row>
    <row r="318371" spans="1:1" x14ac:dyDescent="0.25">
      <c r="A318371" s="1"/>
    </row>
    <row r="318372" spans="1:1" x14ac:dyDescent="0.25">
      <c r="A318372" s="1"/>
    </row>
    <row r="318373" spans="1:1" x14ac:dyDescent="0.25">
      <c r="A318373" s="1"/>
    </row>
    <row r="318374" spans="1:1" x14ac:dyDescent="0.25">
      <c r="A318374" s="1"/>
    </row>
    <row r="318375" spans="1:1" x14ac:dyDescent="0.25">
      <c r="A318375" s="1"/>
    </row>
    <row r="318376" spans="1:1" x14ac:dyDescent="0.25">
      <c r="A318376" s="1"/>
    </row>
    <row r="318377" spans="1:1" x14ac:dyDescent="0.25">
      <c r="A318377" s="1"/>
    </row>
    <row r="318378" spans="1:1" x14ac:dyDescent="0.25">
      <c r="A318378" s="1"/>
    </row>
    <row r="318379" spans="1:1" x14ac:dyDescent="0.25">
      <c r="A318379" s="1"/>
    </row>
    <row r="318380" spans="1:1" x14ac:dyDescent="0.25">
      <c r="A318380" s="1"/>
    </row>
    <row r="318381" spans="1:1" x14ac:dyDescent="0.25">
      <c r="A318381" s="1"/>
    </row>
    <row r="318382" spans="1:1" x14ac:dyDescent="0.25">
      <c r="A318382" s="1"/>
    </row>
    <row r="318383" spans="1:1" x14ac:dyDescent="0.25">
      <c r="A318383" s="1"/>
    </row>
    <row r="318384" spans="1:1" x14ac:dyDescent="0.25">
      <c r="A318384" s="1"/>
    </row>
    <row r="318385" spans="1:1" x14ac:dyDescent="0.25">
      <c r="A318385" s="1"/>
    </row>
    <row r="318386" spans="1:1" x14ac:dyDescent="0.25">
      <c r="A318386" s="1"/>
    </row>
    <row r="318387" spans="1:1" x14ac:dyDescent="0.25">
      <c r="A318387" s="1"/>
    </row>
    <row r="318388" spans="1:1" x14ac:dyDescent="0.25">
      <c r="A318388" s="1"/>
    </row>
    <row r="318389" spans="1:1" x14ac:dyDescent="0.25">
      <c r="A318389" s="1"/>
    </row>
    <row r="318390" spans="1:1" x14ac:dyDescent="0.25">
      <c r="A318390" s="1"/>
    </row>
    <row r="318391" spans="1:1" x14ac:dyDescent="0.25">
      <c r="A318391" s="1"/>
    </row>
    <row r="318392" spans="1:1" x14ac:dyDescent="0.25">
      <c r="A318392" s="1"/>
    </row>
    <row r="318393" spans="1:1" x14ac:dyDescent="0.25">
      <c r="A318393" s="1"/>
    </row>
    <row r="318394" spans="1:1" x14ac:dyDescent="0.25">
      <c r="A318394" s="1"/>
    </row>
    <row r="318395" spans="1:1" x14ac:dyDescent="0.25">
      <c r="A318395" s="1"/>
    </row>
    <row r="318396" spans="1:1" x14ac:dyDescent="0.25">
      <c r="A318396" s="1"/>
    </row>
    <row r="318397" spans="1:1" x14ac:dyDescent="0.25">
      <c r="A318397" s="1"/>
    </row>
    <row r="318398" spans="1:1" x14ac:dyDescent="0.25">
      <c r="A318398" s="1"/>
    </row>
    <row r="318399" spans="1:1" x14ac:dyDescent="0.25">
      <c r="A318399" s="1"/>
    </row>
    <row r="318400" spans="1:1" x14ac:dyDescent="0.25">
      <c r="A318400" s="1"/>
    </row>
    <row r="318401" spans="1:1" x14ac:dyDescent="0.25">
      <c r="A318401" s="1"/>
    </row>
    <row r="318402" spans="1:1" x14ac:dyDescent="0.25">
      <c r="A318402" s="1"/>
    </row>
    <row r="318403" spans="1:1" x14ac:dyDescent="0.25">
      <c r="A318403" s="1"/>
    </row>
    <row r="318404" spans="1:1" x14ac:dyDescent="0.25">
      <c r="A318404" s="1"/>
    </row>
    <row r="318405" spans="1:1" x14ac:dyDescent="0.25">
      <c r="A318405" s="1"/>
    </row>
    <row r="318406" spans="1:1" x14ac:dyDescent="0.25">
      <c r="A318406" s="1"/>
    </row>
    <row r="318407" spans="1:1" x14ac:dyDescent="0.25">
      <c r="A318407" s="1"/>
    </row>
    <row r="318408" spans="1:1" x14ac:dyDescent="0.25">
      <c r="A318408" s="1"/>
    </row>
    <row r="318409" spans="1:1" x14ac:dyDescent="0.25">
      <c r="A318409" s="1"/>
    </row>
    <row r="318410" spans="1:1" x14ac:dyDescent="0.25">
      <c r="A318410" s="1"/>
    </row>
    <row r="318411" spans="1:1" x14ac:dyDescent="0.25">
      <c r="A318411" s="1"/>
    </row>
    <row r="318412" spans="1:1" x14ac:dyDescent="0.25">
      <c r="A318412" s="1"/>
    </row>
    <row r="318413" spans="1:1" x14ac:dyDescent="0.25">
      <c r="A318413" s="1"/>
    </row>
    <row r="318414" spans="1:1" x14ac:dyDescent="0.25">
      <c r="A318414" s="1"/>
    </row>
    <row r="318415" spans="1:1" x14ac:dyDescent="0.25">
      <c r="A318415" s="1"/>
    </row>
    <row r="318416" spans="1:1" x14ac:dyDescent="0.25">
      <c r="A318416" s="1"/>
    </row>
    <row r="318417" spans="1:1" x14ac:dyDescent="0.25">
      <c r="A318417" s="1"/>
    </row>
    <row r="318418" spans="1:1" x14ac:dyDescent="0.25">
      <c r="A318418" s="1"/>
    </row>
    <row r="318419" spans="1:1" x14ac:dyDescent="0.25">
      <c r="A318419" s="1"/>
    </row>
    <row r="318420" spans="1:1" x14ac:dyDescent="0.25">
      <c r="A318420" s="1"/>
    </row>
    <row r="318421" spans="1:1" x14ac:dyDescent="0.25">
      <c r="A318421" s="1"/>
    </row>
    <row r="318422" spans="1:1" x14ac:dyDescent="0.25">
      <c r="A318422" s="1"/>
    </row>
    <row r="318423" spans="1:1" x14ac:dyDescent="0.25">
      <c r="A318423" s="1"/>
    </row>
    <row r="318424" spans="1:1" x14ac:dyDescent="0.25">
      <c r="A318424" s="1"/>
    </row>
    <row r="318425" spans="1:1" x14ac:dyDescent="0.25">
      <c r="A318425" s="1"/>
    </row>
    <row r="318426" spans="1:1" x14ac:dyDescent="0.25">
      <c r="A318426" s="1"/>
    </row>
    <row r="318427" spans="1:1" x14ac:dyDescent="0.25">
      <c r="A318427" s="1"/>
    </row>
    <row r="318428" spans="1:1" x14ac:dyDescent="0.25">
      <c r="A318428" s="1"/>
    </row>
    <row r="318429" spans="1:1" x14ac:dyDescent="0.25">
      <c r="A318429" s="1"/>
    </row>
    <row r="318430" spans="1:1" x14ac:dyDescent="0.25">
      <c r="A318430" s="1"/>
    </row>
    <row r="318431" spans="1:1" x14ac:dyDescent="0.25">
      <c r="A318431" s="1"/>
    </row>
    <row r="318432" spans="1:1" x14ac:dyDescent="0.25">
      <c r="A318432" s="1"/>
    </row>
    <row r="318433" spans="1:1" x14ac:dyDescent="0.25">
      <c r="A318433" s="1"/>
    </row>
    <row r="318434" spans="1:1" x14ac:dyDescent="0.25">
      <c r="A318434" s="1"/>
    </row>
    <row r="318435" spans="1:1" x14ac:dyDescent="0.25">
      <c r="A318435" s="1"/>
    </row>
    <row r="318436" spans="1:1" x14ac:dyDescent="0.25">
      <c r="A318436" s="1"/>
    </row>
    <row r="318437" spans="1:1" x14ac:dyDescent="0.25">
      <c r="A318437" s="1"/>
    </row>
    <row r="318438" spans="1:1" x14ac:dyDescent="0.25">
      <c r="A318438" s="1"/>
    </row>
    <row r="318439" spans="1:1" x14ac:dyDescent="0.25">
      <c r="A318439" s="1"/>
    </row>
    <row r="318440" spans="1:1" x14ac:dyDescent="0.25">
      <c r="A318440" s="1"/>
    </row>
    <row r="318441" spans="1:1" x14ac:dyDescent="0.25">
      <c r="A318441" s="1"/>
    </row>
    <row r="318442" spans="1:1" x14ac:dyDescent="0.25">
      <c r="A318442" s="1"/>
    </row>
    <row r="318443" spans="1:1" x14ac:dyDescent="0.25">
      <c r="A318443" s="1"/>
    </row>
    <row r="318444" spans="1:1" x14ac:dyDescent="0.25">
      <c r="A318444" s="1"/>
    </row>
    <row r="318445" spans="1:1" x14ac:dyDescent="0.25">
      <c r="A318445" s="1"/>
    </row>
    <row r="318446" spans="1:1" x14ac:dyDescent="0.25">
      <c r="A318446" s="1"/>
    </row>
    <row r="318447" spans="1:1" x14ac:dyDescent="0.25">
      <c r="A318447" s="1"/>
    </row>
    <row r="318448" spans="1:1" x14ac:dyDescent="0.25">
      <c r="A318448" s="1"/>
    </row>
    <row r="318449" spans="1:1" x14ac:dyDescent="0.25">
      <c r="A318449" s="1"/>
    </row>
    <row r="318450" spans="1:1" x14ac:dyDescent="0.25">
      <c r="A318450" s="1"/>
    </row>
    <row r="318451" spans="1:1" x14ac:dyDescent="0.25">
      <c r="A318451" s="1"/>
    </row>
    <row r="318452" spans="1:1" x14ac:dyDescent="0.25">
      <c r="A318452" s="1"/>
    </row>
    <row r="318453" spans="1:1" x14ac:dyDescent="0.25">
      <c r="A318453" s="1"/>
    </row>
    <row r="318454" spans="1:1" x14ac:dyDescent="0.25">
      <c r="A318454" s="1"/>
    </row>
    <row r="318455" spans="1:1" x14ac:dyDescent="0.25">
      <c r="A318455" s="1"/>
    </row>
    <row r="318456" spans="1:1" x14ac:dyDescent="0.25">
      <c r="A318456" s="1"/>
    </row>
    <row r="318457" spans="1:1" x14ac:dyDescent="0.25">
      <c r="A318457" s="1"/>
    </row>
    <row r="318458" spans="1:1" x14ac:dyDescent="0.25">
      <c r="A318458" s="1"/>
    </row>
    <row r="318459" spans="1:1" x14ac:dyDescent="0.25">
      <c r="A318459" s="1"/>
    </row>
    <row r="318460" spans="1:1" x14ac:dyDescent="0.25">
      <c r="A318460" s="1"/>
    </row>
    <row r="318461" spans="1:1" x14ac:dyDescent="0.25">
      <c r="A318461" s="1"/>
    </row>
    <row r="318462" spans="1:1" x14ac:dyDescent="0.25">
      <c r="A318462" s="1"/>
    </row>
    <row r="318463" spans="1:1" x14ac:dyDescent="0.25">
      <c r="A318463" s="1"/>
    </row>
    <row r="318464" spans="1:1" x14ac:dyDescent="0.25">
      <c r="A318464" s="1"/>
    </row>
    <row r="318465" spans="1:1" x14ac:dyDescent="0.25">
      <c r="A318465" s="1"/>
    </row>
    <row r="318466" spans="1:1" x14ac:dyDescent="0.25">
      <c r="A318466" s="1"/>
    </row>
    <row r="318467" spans="1:1" x14ac:dyDescent="0.25">
      <c r="A318467" s="1"/>
    </row>
    <row r="318468" spans="1:1" x14ac:dyDescent="0.25">
      <c r="A318468" s="1"/>
    </row>
    <row r="318469" spans="1:1" x14ac:dyDescent="0.25">
      <c r="A318469" s="1"/>
    </row>
    <row r="318470" spans="1:1" x14ac:dyDescent="0.25">
      <c r="A318470" s="1"/>
    </row>
    <row r="318471" spans="1:1" x14ac:dyDescent="0.25">
      <c r="A318471" s="1"/>
    </row>
    <row r="318472" spans="1:1" x14ac:dyDescent="0.25">
      <c r="A318472" s="1"/>
    </row>
    <row r="318473" spans="1:1" x14ac:dyDescent="0.25">
      <c r="A318473" s="1"/>
    </row>
    <row r="318474" spans="1:1" x14ac:dyDescent="0.25">
      <c r="A318474" s="1"/>
    </row>
    <row r="318475" spans="1:1" x14ac:dyDescent="0.25">
      <c r="A318475" s="1"/>
    </row>
    <row r="318476" spans="1:1" x14ac:dyDescent="0.25">
      <c r="A318476" s="1"/>
    </row>
    <row r="318477" spans="1:1" x14ac:dyDescent="0.25">
      <c r="A318477" s="1"/>
    </row>
    <row r="318478" spans="1:1" x14ac:dyDescent="0.25">
      <c r="A318478" s="1"/>
    </row>
    <row r="318479" spans="1:1" x14ac:dyDescent="0.25">
      <c r="A318479" s="1"/>
    </row>
    <row r="318480" spans="1:1" x14ac:dyDescent="0.25">
      <c r="A318480" s="1"/>
    </row>
    <row r="318481" spans="1:1" x14ac:dyDescent="0.25">
      <c r="A318481" s="1"/>
    </row>
    <row r="318482" spans="1:1" x14ac:dyDescent="0.25">
      <c r="A318482" s="1"/>
    </row>
    <row r="318483" spans="1:1" x14ac:dyDescent="0.25">
      <c r="A318483" s="1"/>
    </row>
    <row r="318484" spans="1:1" x14ac:dyDescent="0.25">
      <c r="A318484" s="1"/>
    </row>
    <row r="318485" spans="1:1" x14ac:dyDescent="0.25">
      <c r="A318485" s="1"/>
    </row>
    <row r="318486" spans="1:1" x14ac:dyDescent="0.25">
      <c r="A318486" s="1"/>
    </row>
    <row r="318487" spans="1:1" x14ac:dyDescent="0.25">
      <c r="A318487" s="1"/>
    </row>
    <row r="318488" spans="1:1" x14ac:dyDescent="0.25">
      <c r="A318488" s="1"/>
    </row>
    <row r="318489" spans="1:1" x14ac:dyDescent="0.25">
      <c r="A318489" s="1"/>
    </row>
    <row r="318490" spans="1:1" x14ac:dyDescent="0.25">
      <c r="A318490" s="1"/>
    </row>
    <row r="318491" spans="1:1" x14ac:dyDescent="0.25">
      <c r="A318491" s="1"/>
    </row>
    <row r="318492" spans="1:1" x14ac:dyDescent="0.25">
      <c r="A318492" s="1"/>
    </row>
    <row r="318493" spans="1:1" x14ac:dyDescent="0.25">
      <c r="A318493" s="1"/>
    </row>
    <row r="318494" spans="1:1" x14ac:dyDescent="0.25">
      <c r="A318494" s="1"/>
    </row>
    <row r="318495" spans="1:1" x14ac:dyDescent="0.25">
      <c r="A318495" s="1"/>
    </row>
    <row r="318496" spans="1:1" x14ac:dyDescent="0.25">
      <c r="A318496" s="1"/>
    </row>
    <row r="318497" spans="1:1" x14ac:dyDescent="0.25">
      <c r="A318497" s="1"/>
    </row>
    <row r="318498" spans="1:1" x14ac:dyDescent="0.25">
      <c r="A318498" s="1"/>
    </row>
    <row r="318499" spans="1:1" x14ac:dyDescent="0.25">
      <c r="A318499" s="1"/>
    </row>
    <row r="318500" spans="1:1" x14ac:dyDescent="0.25">
      <c r="A318500" s="1"/>
    </row>
    <row r="318501" spans="1:1" x14ac:dyDescent="0.25">
      <c r="A318501" s="1"/>
    </row>
    <row r="318502" spans="1:1" x14ac:dyDescent="0.25">
      <c r="A318502" s="1"/>
    </row>
    <row r="318503" spans="1:1" x14ac:dyDescent="0.25">
      <c r="A318503" s="1"/>
    </row>
    <row r="318504" spans="1:1" x14ac:dyDescent="0.25">
      <c r="A318504" s="1"/>
    </row>
    <row r="318505" spans="1:1" x14ac:dyDescent="0.25">
      <c r="A318505" s="1"/>
    </row>
    <row r="318506" spans="1:1" x14ac:dyDescent="0.25">
      <c r="A318506" s="1"/>
    </row>
    <row r="318507" spans="1:1" x14ac:dyDescent="0.25">
      <c r="A318507" s="1"/>
    </row>
    <row r="318508" spans="1:1" x14ac:dyDescent="0.25">
      <c r="A318508" s="1"/>
    </row>
    <row r="318509" spans="1:1" x14ac:dyDescent="0.25">
      <c r="A318509" s="1"/>
    </row>
    <row r="318510" spans="1:1" x14ac:dyDescent="0.25">
      <c r="A318510" s="1"/>
    </row>
    <row r="318511" spans="1:1" x14ac:dyDescent="0.25">
      <c r="A318511" s="1"/>
    </row>
    <row r="318512" spans="1:1" x14ac:dyDescent="0.25">
      <c r="A318512" s="1"/>
    </row>
    <row r="318513" spans="1:1" x14ac:dyDescent="0.25">
      <c r="A318513" s="1"/>
    </row>
    <row r="318514" spans="1:1" x14ac:dyDescent="0.25">
      <c r="A318514" s="1"/>
    </row>
    <row r="318515" spans="1:1" x14ac:dyDescent="0.25">
      <c r="A318515" s="1"/>
    </row>
    <row r="318516" spans="1:1" x14ac:dyDescent="0.25">
      <c r="A318516" s="1"/>
    </row>
    <row r="318517" spans="1:1" x14ac:dyDescent="0.25">
      <c r="A318517" s="1"/>
    </row>
    <row r="318518" spans="1:1" x14ac:dyDescent="0.25">
      <c r="A318518" s="1"/>
    </row>
    <row r="318519" spans="1:1" x14ac:dyDescent="0.25">
      <c r="A318519" s="1"/>
    </row>
    <row r="318520" spans="1:1" x14ac:dyDescent="0.25">
      <c r="A318520" s="1"/>
    </row>
    <row r="318521" spans="1:1" x14ac:dyDescent="0.25">
      <c r="A318521" s="1"/>
    </row>
    <row r="318522" spans="1:1" x14ac:dyDescent="0.25">
      <c r="A318522" s="1"/>
    </row>
    <row r="318523" spans="1:1" x14ac:dyDescent="0.25">
      <c r="A318523" s="1"/>
    </row>
    <row r="318524" spans="1:1" x14ac:dyDescent="0.25">
      <c r="A318524" s="1"/>
    </row>
    <row r="318525" spans="1:1" x14ac:dyDescent="0.25">
      <c r="A318525" s="1"/>
    </row>
    <row r="318526" spans="1:1" x14ac:dyDescent="0.25">
      <c r="A318526" s="1"/>
    </row>
    <row r="318527" spans="1:1" x14ac:dyDescent="0.25">
      <c r="A318527" s="1"/>
    </row>
    <row r="318528" spans="1:1" x14ac:dyDescent="0.25">
      <c r="A318528" s="1"/>
    </row>
    <row r="318529" spans="1:1" x14ac:dyDescent="0.25">
      <c r="A318529" s="1"/>
    </row>
    <row r="318530" spans="1:1" x14ac:dyDescent="0.25">
      <c r="A318530" s="1"/>
    </row>
    <row r="318531" spans="1:1" x14ac:dyDescent="0.25">
      <c r="A318531" s="1"/>
    </row>
    <row r="318532" spans="1:1" x14ac:dyDescent="0.25">
      <c r="A318532" s="1"/>
    </row>
    <row r="318533" spans="1:1" x14ac:dyDescent="0.25">
      <c r="A318533" s="1"/>
    </row>
    <row r="318534" spans="1:1" x14ac:dyDescent="0.25">
      <c r="A318534" s="1"/>
    </row>
    <row r="318535" spans="1:1" x14ac:dyDescent="0.25">
      <c r="A318535" s="1"/>
    </row>
    <row r="318536" spans="1:1" x14ac:dyDescent="0.25">
      <c r="A318536" s="1"/>
    </row>
    <row r="318537" spans="1:1" x14ac:dyDescent="0.25">
      <c r="A318537" s="1"/>
    </row>
    <row r="318538" spans="1:1" x14ac:dyDescent="0.25">
      <c r="A318538" s="1"/>
    </row>
    <row r="318539" spans="1:1" x14ac:dyDescent="0.25">
      <c r="A318539" s="1"/>
    </row>
    <row r="318540" spans="1:1" x14ac:dyDescent="0.25">
      <c r="A318540" s="1"/>
    </row>
    <row r="318541" spans="1:1" x14ac:dyDescent="0.25">
      <c r="A318541" s="1"/>
    </row>
    <row r="318542" spans="1:1" x14ac:dyDescent="0.25">
      <c r="A318542" s="1"/>
    </row>
    <row r="318543" spans="1:1" x14ac:dyDescent="0.25">
      <c r="A318543" s="1"/>
    </row>
    <row r="318544" spans="1:1" x14ac:dyDescent="0.25">
      <c r="A318544" s="1"/>
    </row>
    <row r="318545" spans="1:1" x14ac:dyDescent="0.25">
      <c r="A318545" s="1"/>
    </row>
    <row r="318546" spans="1:1" x14ac:dyDescent="0.25">
      <c r="A318546" s="1"/>
    </row>
    <row r="318547" spans="1:1" x14ac:dyDescent="0.25">
      <c r="A318547" s="1"/>
    </row>
    <row r="318548" spans="1:1" x14ac:dyDescent="0.25">
      <c r="A318548" s="1"/>
    </row>
    <row r="318549" spans="1:1" x14ac:dyDescent="0.25">
      <c r="A318549" s="1"/>
    </row>
    <row r="318550" spans="1:1" x14ac:dyDescent="0.25">
      <c r="A318550" s="1"/>
    </row>
    <row r="318551" spans="1:1" x14ac:dyDescent="0.25">
      <c r="A318551" s="1"/>
    </row>
    <row r="318552" spans="1:1" x14ac:dyDescent="0.25">
      <c r="A318552" s="1"/>
    </row>
    <row r="318553" spans="1:1" x14ac:dyDescent="0.25">
      <c r="A318553" s="1"/>
    </row>
    <row r="318554" spans="1:1" x14ac:dyDescent="0.25">
      <c r="A318554" s="1"/>
    </row>
    <row r="318555" spans="1:1" x14ac:dyDescent="0.25">
      <c r="A318555" s="1"/>
    </row>
    <row r="318556" spans="1:1" x14ac:dyDescent="0.25">
      <c r="A318556" s="1"/>
    </row>
    <row r="318557" spans="1:1" x14ac:dyDescent="0.25">
      <c r="A318557" s="1"/>
    </row>
    <row r="318558" spans="1:1" x14ac:dyDescent="0.25">
      <c r="A318558" s="1"/>
    </row>
    <row r="318559" spans="1:1" x14ac:dyDescent="0.25">
      <c r="A318559" s="1"/>
    </row>
    <row r="318560" spans="1:1" x14ac:dyDescent="0.25">
      <c r="A318560" s="1"/>
    </row>
    <row r="318561" spans="1:1" x14ac:dyDescent="0.25">
      <c r="A318561" s="1"/>
    </row>
    <row r="318562" spans="1:1" x14ac:dyDescent="0.25">
      <c r="A318562" s="1"/>
    </row>
    <row r="318563" spans="1:1" x14ac:dyDescent="0.25">
      <c r="A318563" s="1"/>
    </row>
    <row r="318564" spans="1:1" x14ac:dyDescent="0.25">
      <c r="A318564" s="1"/>
    </row>
    <row r="318565" spans="1:1" x14ac:dyDescent="0.25">
      <c r="A318565" s="1"/>
    </row>
    <row r="318566" spans="1:1" x14ac:dyDescent="0.25">
      <c r="A318566" s="1"/>
    </row>
    <row r="318567" spans="1:1" x14ac:dyDescent="0.25">
      <c r="A318567" s="1"/>
    </row>
    <row r="318568" spans="1:1" x14ac:dyDescent="0.25">
      <c r="A318568" s="1"/>
    </row>
    <row r="318569" spans="1:1" x14ac:dyDescent="0.25">
      <c r="A318569" s="1"/>
    </row>
    <row r="318570" spans="1:1" x14ac:dyDescent="0.25">
      <c r="A318570" s="1"/>
    </row>
    <row r="318571" spans="1:1" x14ac:dyDescent="0.25">
      <c r="A318571" s="1"/>
    </row>
    <row r="318572" spans="1:1" x14ac:dyDescent="0.25">
      <c r="A318572" s="1"/>
    </row>
    <row r="318573" spans="1:1" x14ac:dyDescent="0.25">
      <c r="A318573" s="1"/>
    </row>
    <row r="318574" spans="1:1" x14ac:dyDescent="0.25">
      <c r="A318574" s="1"/>
    </row>
    <row r="318575" spans="1:1" x14ac:dyDescent="0.25">
      <c r="A318575" s="1"/>
    </row>
    <row r="318576" spans="1:1" x14ac:dyDescent="0.25">
      <c r="A318576" s="1"/>
    </row>
    <row r="318577" spans="1:1" x14ac:dyDescent="0.25">
      <c r="A318577" s="1"/>
    </row>
    <row r="318578" spans="1:1" x14ac:dyDescent="0.25">
      <c r="A318578" s="1"/>
    </row>
    <row r="318579" spans="1:1" x14ac:dyDescent="0.25">
      <c r="A318579" s="1"/>
    </row>
    <row r="318580" spans="1:1" x14ac:dyDescent="0.25">
      <c r="A318580" s="1"/>
    </row>
    <row r="318581" spans="1:1" x14ac:dyDescent="0.25">
      <c r="A318581" s="1"/>
    </row>
    <row r="318582" spans="1:1" x14ac:dyDescent="0.25">
      <c r="A318582" s="1"/>
    </row>
    <row r="318583" spans="1:1" x14ac:dyDescent="0.25">
      <c r="A318583" s="1"/>
    </row>
    <row r="318584" spans="1:1" x14ac:dyDescent="0.25">
      <c r="A318584" s="1"/>
    </row>
    <row r="318585" spans="1:1" x14ac:dyDescent="0.25">
      <c r="A318585" s="1"/>
    </row>
    <row r="318586" spans="1:1" x14ac:dyDescent="0.25">
      <c r="A318586" s="1"/>
    </row>
    <row r="318587" spans="1:1" x14ac:dyDescent="0.25">
      <c r="A318587" s="1"/>
    </row>
    <row r="318588" spans="1:1" x14ac:dyDescent="0.25">
      <c r="A318588" s="1"/>
    </row>
    <row r="318589" spans="1:1" x14ac:dyDescent="0.25">
      <c r="A318589" s="1"/>
    </row>
    <row r="318590" spans="1:1" x14ac:dyDescent="0.25">
      <c r="A318590" s="1"/>
    </row>
    <row r="318591" spans="1:1" x14ac:dyDescent="0.25">
      <c r="A318591" s="1"/>
    </row>
    <row r="318592" spans="1:1" x14ac:dyDescent="0.25">
      <c r="A318592" s="1"/>
    </row>
    <row r="318593" spans="1:1" x14ac:dyDescent="0.25">
      <c r="A318593" s="1"/>
    </row>
    <row r="318594" spans="1:1" x14ac:dyDescent="0.25">
      <c r="A318594" s="1"/>
    </row>
    <row r="318595" spans="1:1" x14ac:dyDescent="0.25">
      <c r="A318595" s="1"/>
    </row>
    <row r="318596" spans="1:1" x14ac:dyDescent="0.25">
      <c r="A318596" s="1"/>
    </row>
    <row r="318597" spans="1:1" x14ac:dyDescent="0.25">
      <c r="A318597" s="1"/>
    </row>
    <row r="318598" spans="1:1" x14ac:dyDescent="0.25">
      <c r="A318598" s="1"/>
    </row>
    <row r="318599" spans="1:1" x14ac:dyDescent="0.25">
      <c r="A318599" s="1"/>
    </row>
    <row r="318600" spans="1:1" x14ac:dyDescent="0.25">
      <c r="A318600" s="1"/>
    </row>
    <row r="318601" spans="1:1" x14ac:dyDescent="0.25">
      <c r="A318601" s="1"/>
    </row>
    <row r="318602" spans="1:1" x14ac:dyDescent="0.25">
      <c r="A318602" s="1"/>
    </row>
    <row r="318603" spans="1:1" x14ac:dyDescent="0.25">
      <c r="A318603" s="1"/>
    </row>
    <row r="318604" spans="1:1" x14ac:dyDescent="0.25">
      <c r="A318604" s="1"/>
    </row>
    <row r="318605" spans="1:1" x14ac:dyDescent="0.25">
      <c r="A318605" s="1"/>
    </row>
    <row r="318606" spans="1:1" x14ac:dyDescent="0.25">
      <c r="A318606" s="1"/>
    </row>
    <row r="318607" spans="1:1" x14ac:dyDescent="0.25">
      <c r="A318607" s="1"/>
    </row>
    <row r="318608" spans="1:1" x14ac:dyDescent="0.25">
      <c r="A318608" s="1"/>
    </row>
    <row r="318609" spans="1:1" x14ac:dyDescent="0.25">
      <c r="A318609" s="1"/>
    </row>
    <row r="318610" spans="1:1" x14ac:dyDescent="0.25">
      <c r="A318610" s="1"/>
    </row>
    <row r="318611" spans="1:1" x14ac:dyDescent="0.25">
      <c r="A318611" s="1"/>
    </row>
    <row r="318612" spans="1:1" x14ac:dyDescent="0.25">
      <c r="A318612" s="1"/>
    </row>
    <row r="318613" spans="1:1" x14ac:dyDescent="0.25">
      <c r="A318613" s="1"/>
    </row>
    <row r="318614" spans="1:1" x14ac:dyDescent="0.25">
      <c r="A318614" s="1"/>
    </row>
    <row r="318615" spans="1:1" x14ac:dyDescent="0.25">
      <c r="A318615" s="1"/>
    </row>
    <row r="318616" spans="1:1" x14ac:dyDescent="0.25">
      <c r="A318616" s="1"/>
    </row>
    <row r="318617" spans="1:1" x14ac:dyDescent="0.25">
      <c r="A318617" s="1"/>
    </row>
    <row r="318618" spans="1:1" x14ac:dyDescent="0.25">
      <c r="A318618" s="1"/>
    </row>
    <row r="318619" spans="1:1" x14ac:dyDescent="0.25">
      <c r="A318619" s="1"/>
    </row>
    <row r="318620" spans="1:1" x14ac:dyDescent="0.25">
      <c r="A318620" s="1"/>
    </row>
    <row r="318621" spans="1:1" x14ac:dyDescent="0.25">
      <c r="A318621" s="1"/>
    </row>
    <row r="318622" spans="1:1" x14ac:dyDescent="0.25">
      <c r="A318622" s="1"/>
    </row>
    <row r="318623" spans="1:1" x14ac:dyDescent="0.25">
      <c r="A318623" s="1"/>
    </row>
    <row r="318624" spans="1:1" x14ac:dyDescent="0.25">
      <c r="A318624" s="1"/>
    </row>
    <row r="318625" spans="1:1" x14ac:dyDescent="0.25">
      <c r="A318625" s="1"/>
    </row>
    <row r="318626" spans="1:1" x14ac:dyDescent="0.25">
      <c r="A318626" s="1"/>
    </row>
    <row r="318627" spans="1:1" x14ac:dyDescent="0.25">
      <c r="A318627" s="1"/>
    </row>
    <row r="318628" spans="1:1" x14ac:dyDescent="0.25">
      <c r="A318628" s="1"/>
    </row>
    <row r="318629" spans="1:1" x14ac:dyDescent="0.25">
      <c r="A318629" s="1"/>
    </row>
    <row r="318630" spans="1:1" x14ac:dyDescent="0.25">
      <c r="A318630" s="1"/>
    </row>
    <row r="318631" spans="1:1" x14ac:dyDescent="0.25">
      <c r="A318631" s="1"/>
    </row>
    <row r="318632" spans="1:1" x14ac:dyDescent="0.25">
      <c r="A318632" s="1"/>
    </row>
    <row r="318633" spans="1:1" x14ac:dyDescent="0.25">
      <c r="A318633" s="1"/>
    </row>
    <row r="318634" spans="1:1" x14ac:dyDescent="0.25">
      <c r="A318634" s="1"/>
    </row>
    <row r="318635" spans="1:1" x14ac:dyDescent="0.25">
      <c r="A318635" s="1"/>
    </row>
    <row r="318636" spans="1:1" x14ac:dyDescent="0.25">
      <c r="A318636" s="1"/>
    </row>
    <row r="318637" spans="1:1" x14ac:dyDescent="0.25">
      <c r="A318637" s="1"/>
    </row>
    <row r="318638" spans="1:1" x14ac:dyDescent="0.25">
      <c r="A318638" s="1"/>
    </row>
    <row r="318639" spans="1:1" x14ac:dyDescent="0.25">
      <c r="A318639" s="1"/>
    </row>
    <row r="318640" spans="1:1" x14ac:dyDescent="0.25">
      <c r="A318640" s="1"/>
    </row>
    <row r="318641" spans="1:1" x14ac:dyDescent="0.25">
      <c r="A318641" s="1"/>
    </row>
    <row r="318642" spans="1:1" x14ac:dyDescent="0.25">
      <c r="A318642" s="1"/>
    </row>
    <row r="318643" spans="1:1" x14ac:dyDescent="0.25">
      <c r="A318643" s="1"/>
    </row>
    <row r="318644" spans="1:1" x14ac:dyDescent="0.25">
      <c r="A318644" s="1"/>
    </row>
    <row r="318645" spans="1:1" x14ac:dyDescent="0.25">
      <c r="A318645" s="1"/>
    </row>
    <row r="318646" spans="1:1" x14ac:dyDescent="0.25">
      <c r="A318646" s="1"/>
    </row>
    <row r="318647" spans="1:1" x14ac:dyDescent="0.25">
      <c r="A318647" s="1"/>
    </row>
    <row r="318648" spans="1:1" x14ac:dyDescent="0.25">
      <c r="A318648" s="1"/>
    </row>
    <row r="318649" spans="1:1" x14ac:dyDescent="0.25">
      <c r="A318649" s="1"/>
    </row>
    <row r="318650" spans="1:1" x14ac:dyDescent="0.25">
      <c r="A318650" s="1"/>
    </row>
    <row r="318651" spans="1:1" x14ac:dyDescent="0.25">
      <c r="A318651" s="1"/>
    </row>
    <row r="318652" spans="1:1" x14ac:dyDescent="0.25">
      <c r="A318652" s="1"/>
    </row>
    <row r="318653" spans="1:1" x14ac:dyDescent="0.25">
      <c r="A318653" s="1"/>
    </row>
    <row r="318654" spans="1:1" x14ac:dyDescent="0.25">
      <c r="A318654" s="1"/>
    </row>
    <row r="318655" spans="1:1" x14ac:dyDescent="0.25">
      <c r="A318655" s="1"/>
    </row>
    <row r="318656" spans="1:1" x14ac:dyDescent="0.25">
      <c r="A318656" s="1"/>
    </row>
    <row r="318657" spans="1:1" x14ac:dyDescent="0.25">
      <c r="A318657" s="1"/>
    </row>
    <row r="318658" spans="1:1" x14ac:dyDescent="0.25">
      <c r="A318658" s="1"/>
    </row>
    <row r="318659" spans="1:1" x14ac:dyDescent="0.25">
      <c r="A318659" s="1"/>
    </row>
    <row r="318660" spans="1:1" x14ac:dyDescent="0.25">
      <c r="A318660" s="1"/>
    </row>
    <row r="318661" spans="1:1" x14ac:dyDescent="0.25">
      <c r="A318661" s="1"/>
    </row>
    <row r="318662" spans="1:1" x14ac:dyDescent="0.25">
      <c r="A318662" s="1"/>
    </row>
    <row r="318663" spans="1:1" x14ac:dyDescent="0.25">
      <c r="A318663" s="1"/>
    </row>
    <row r="318664" spans="1:1" x14ac:dyDescent="0.25">
      <c r="A318664" s="1"/>
    </row>
    <row r="318665" spans="1:1" x14ac:dyDescent="0.25">
      <c r="A318665" s="1"/>
    </row>
    <row r="318666" spans="1:1" x14ac:dyDescent="0.25">
      <c r="A318666" s="1"/>
    </row>
    <row r="318667" spans="1:1" x14ac:dyDescent="0.25">
      <c r="A318667" s="1"/>
    </row>
    <row r="318668" spans="1:1" x14ac:dyDescent="0.25">
      <c r="A318668" s="1"/>
    </row>
    <row r="318669" spans="1:1" x14ac:dyDescent="0.25">
      <c r="A318669" s="1"/>
    </row>
    <row r="318670" spans="1:1" x14ac:dyDescent="0.25">
      <c r="A318670" s="1"/>
    </row>
    <row r="318671" spans="1:1" x14ac:dyDescent="0.25">
      <c r="A318671" s="1"/>
    </row>
    <row r="318672" spans="1:1" x14ac:dyDescent="0.25">
      <c r="A318672" s="1"/>
    </row>
    <row r="318673" spans="1:1" x14ac:dyDescent="0.25">
      <c r="A318673" s="1"/>
    </row>
    <row r="318674" spans="1:1" x14ac:dyDescent="0.25">
      <c r="A318674" s="1"/>
    </row>
    <row r="318675" spans="1:1" x14ac:dyDescent="0.25">
      <c r="A318675" s="1"/>
    </row>
    <row r="318676" spans="1:1" x14ac:dyDescent="0.25">
      <c r="A318676" s="1"/>
    </row>
    <row r="318677" spans="1:1" x14ac:dyDescent="0.25">
      <c r="A318677" s="1"/>
    </row>
    <row r="318678" spans="1:1" x14ac:dyDescent="0.25">
      <c r="A318678" s="1"/>
    </row>
    <row r="318679" spans="1:1" x14ac:dyDescent="0.25">
      <c r="A318679" s="1"/>
    </row>
    <row r="318680" spans="1:1" x14ac:dyDescent="0.25">
      <c r="A318680" s="1"/>
    </row>
    <row r="318681" spans="1:1" x14ac:dyDescent="0.25">
      <c r="A318681" s="1"/>
    </row>
    <row r="318682" spans="1:1" x14ac:dyDescent="0.25">
      <c r="A318682" s="1"/>
    </row>
    <row r="318683" spans="1:1" x14ac:dyDescent="0.25">
      <c r="A318683" s="1"/>
    </row>
    <row r="318684" spans="1:1" x14ac:dyDescent="0.25">
      <c r="A318684" s="1"/>
    </row>
    <row r="318685" spans="1:1" x14ac:dyDescent="0.25">
      <c r="A318685" s="1"/>
    </row>
    <row r="318686" spans="1:1" x14ac:dyDescent="0.25">
      <c r="A318686" s="1"/>
    </row>
    <row r="318687" spans="1:1" x14ac:dyDescent="0.25">
      <c r="A318687" s="1"/>
    </row>
    <row r="318688" spans="1:1" x14ac:dyDescent="0.25">
      <c r="A318688" s="1"/>
    </row>
    <row r="318689" spans="1:1" x14ac:dyDescent="0.25">
      <c r="A318689" s="1"/>
    </row>
    <row r="318690" spans="1:1" x14ac:dyDescent="0.25">
      <c r="A318690" s="1"/>
    </row>
    <row r="318691" spans="1:1" x14ac:dyDescent="0.25">
      <c r="A318691" s="1"/>
    </row>
    <row r="318692" spans="1:1" x14ac:dyDescent="0.25">
      <c r="A318692" s="1"/>
    </row>
    <row r="318693" spans="1:1" x14ac:dyDescent="0.25">
      <c r="A318693" s="1"/>
    </row>
    <row r="318694" spans="1:1" x14ac:dyDescent="0.25">
      <c r="A318694" s="1"/>
    </row>
    <row r="318695" spans="1:1" x14ac:dyDescent="0.25">
      <c r="A318695" s="1"/>
    </row>
    <row r="318696" spans="1:1" x14ac:dyDescent="0.25">
      <c r="A318696" s="1"/>
    </row>
    <row r="318697" spans="1:1" x14ac:dyDescent="0.25">
      <c r="A318697" s="1"/>
    </row>
    <row r="318698" spans="1:1" x14ac:dyDescent="0.25">
      <c r="A318698" s="1"/>
    </row>
    <row r="318699" spans="1:1" x14ac:dyDescent="0.25">
      <c r="A318699" s="1"/>
    </row>
    <row r="318700" spans="1:1" x14ac:dyDescent="0.25">
      <c r="A318700" s="1"/>
    </row>
    <row r="318701" spans="1:1" x14ac:dyDescent="0.25">
      <c r="A318701" s="1"/>
    </row>
    <row r="318702" spans="1:1" x14ac:dyDescent="0.25">
      <c r="A318702" s="1"/>
    </row>
    <row r="318703" spans="1:1" x14ac:dyDescent="0.25">
      <c r="A318703" s="1"/>
    </row>
    <row r="318704" spans="1:1" x14ac:dyDescent="0.25">
      <c r="A318704" s="1"/>
    </row>
    <row r="318705" spans="1:1" x14ac:dyDescent="0.25">
      <c r="A318705" s="1"/>
    </row>
    <row r="318706" spans="1:1" x14ac:dyDescent="0.25">
      <c r="A318706" s="1"/>
    </row>
    <row r="318707" spans="1:1" x14ac:dyDescent="0.25">
      <c r="A318707" s="1"/>
    </row>
    <row r="318708" spans="1:1" x14ac:dyDescent="0.25">
      <c r="A318708" s="1"/>
    </row>
    <row r="318709" spans="1:1" x14ac:dyDescent="0.25">
      <c r="A318709" s="1"/>
    </row>
    <row r="318710" spans="1:1" x14ac:dyDescent="0.25">
      <c r="A318710" s="1"/>
    </row>
    <row r="318711" spans="1:1" x14ac:dyDescent="0.25">
      <c r="A318711" s="1"/>
    </row>
    <row r="318712" spans="1:1" x14ac:dyDescent="0.25">
      <c r="A318712" s="1"/>
    </row>
    <row r="318713" spans="1:1" x14ac:dyDescent="0.25">
      <c r="A318713" s="1"/>
    </row>
    <row r="318714" spans="1:1" x14ac:dyDescent="0.25">
      <c r="A318714" s="1"/>
    </row>
    <row r="318715" spans="1:1" x14ac:dyDescent="0.25">
      <c r="A318715" s="1"/>
    </row>
    <row r="318716" spans="1:1" x14ac:dyDescent="0.25">
      <c r="A318716" s="1"/>
    </row>
    <row r="318717" spans="1:1" x14ac:dyDescent="0.25">
      <c r="A318717" s="1"/>
    </row>
    <row r="318718" spans="1:1" x14ac:dyDescent="0.25">
      <c r="A318718" s="1"/>
    </row>
    <row r="318719" spans="1:1" x14ac:dyDescent="0.25">
      <c r="A318719" s="1"/>
    </row>
    <row r="318720" spans="1:1" x14ac:dyDescent="0.25">
      <c r="A318720" s="1"/>
    </row>
    <row r="318721" spans="1:1" x14ac:dyDescent="0.25">
      <c r="A318721" s="1"/>
    </row>
    <row r="318722" spans="1:1" x14ac:dyDescent="0.25">
      <c r="A318722" s="1"/>
    </row>
    <row r="318723" spans="1:1" x14ac:dyDescent="0.25">
      <c r="A318723" s="1"/>
    </row>
    <row r="318724" spans="1:1" x14ac:dyDescent="0.25">
      <c r="A318724" s="1"/>
    </row>
    <row r="318725" spans="1:1" x14ac:dyDescent="0.25">
      <c r="A318725" s="1"/>
    </row>
    <row r="318726" spans="1:1" x14ac:dyDescent="0.25">
      <c r="A318726" s="1"/>
    </row>
    <row r="318727" spans="1:1" x14ac:dyDescent="0.25">
      <c r="A318727" s="1"/>
    </row>
    <row r="318728" spans="1:1" x14ac:dyDescent="0.25">
      <c r="A318728" s="1"/>
    </row>
    <row r="318729" spans="1:1" x14ac:dyDescent="0.25">
      <c r="A318729" s="1"/>
    </row>
    <row r="318730" spans="1:1" x14ac:dyDescent="0.25">
      <c r="A318730" s="1"/>
    </row>
    <row r="318731" spans="1:1" x14ac:dyDescent="0.25">
      <c r="A318731" s="1"/>
    </row>
    <row r="318732" spans="1:1" x14ac:dyDescent="0.25">
      <c r="A318732" s="1"/>
    </row>
    <row r="318733" spans="1:1" x14ac:dyDescent="0.25">
      <c r="A318733" s="1"/>
    </row>
    <row r="318734" spans="1:1" x14ac:dyDescent="0.25">
      <c r="A318734" s="1"/>
    </row>
    <row r="318735" spans="1:1" x14ac:dyDescent="0.25">
      <c r="A318735" s="1"/>
    </row>
    <row r="318736" spans="1:1" x14ac:dyDescent="0.25">
      <c r="A318736" s="1"/>
    </row>
    <row r="318737" spans="1:1" x14ac:dyDescent="0.25">
      <c r="A318737" s="1"/>
    </row>
    <row r="318738" spans="1:1" x14ac:dyDescent="0.25">
      <c r="A318738" s="1"/>
    </row>
    <row r="318739" spans="1:1" x14ac:dyDescent="0.25">
      <c r="A318739" s="1"/>
    </row>
    <row r="318740" spans="1:1" x14ac:dyDescent="0.25">
      <c r="A318740" s="1"/>
    </row>
    <row r="318741" spans="1:1" x14ac:dyDescent="0.25">
      <c r="A318741" s="1"/>
    </row>
    <row r="318742" spans="1:1" x14ac:dyDescent="0.25">
      <c r="A318742" s="1"/>
    </row>
    <row r="318743" spans="1:1" x14ac:dyDescent="0.25">
      <c r="A318743" s="1"/>
    </row>
    <row r="318744" spans="1:1" x14ac:dyDescent="0.25">
      <c r="A318744" s="1"/>
    </row>
    <row r="318745" spans="1:1" x14ac:dyDescent="0.25">
      <c r="A318745" s="1"/>
    </row>
    <row r="318746" spans="1:1" x14ac:dyDescent="0.25">
      <c r="A318746" s="1"/>
    </row>
    <row r="318747" spans="1:1" x14ac:dyDescent="0.25">
      <c r="A318747" s="1"/>
    </row>
    <row r="318748" spans="1:1" x14ac:dyDescent="0.25">
      <c r="A318748" s="1"/>
    </row>
    <row r="318749" spans="1:1" x14ac:dyDescent="0.25">
      <c r="A318749" s="1"/>
    </row>
    <row r="318750" spans="1:1" x14ac:dyDescent="0.25">
      <c r="A318750" s="1"/>
    </row>
    <row r="318751" spans="1:1" x14ac:dyDescent="0.25">
      <c r="A318751" s="1"/>
    </row>
    <row r="318752" spans="1:1" x14ac:dyDescent="0.25">
      <c r="A318752" s="1"/>
    </row>
    <row r="318753" spans="1:1" x14ac:dyDescent="0.25">
      <c r="A318753" s="1"/>
    </row>
    <row r="318754" spans="1:1" x14ac:dyDescent="0.25">
      <c r="A318754" s="1"/>
    </row>
    <row r="318755" spans="1:1" x14ac:dyDescent="0.25">
      <c r="A318755" s="1"/>
    </row>
    <row r="318756" spans="1:1" x14ac:dyDescent="0.25">
      <c r="A318756" s="1"/>
    </row>
    <row r="318757" spans="1:1" x14ac:dyDescent="0.25">
      <c r="A318757" s="1"/>
    </row>
    <row r="318758" spans="1:1" x14ac:dyDescent="0.25">
      <c r="A318758" s="1"/>
    </row>
    <row r="318759" spans="1:1" x14ac:dyDescent="0.25">
      <c r="A318759" s="1"/>
    </row>
    <row r="318760" spans="1:1" x14ac:dyDescent="0.25">
      <c r="A318760" s="1"/>
    </row>
    <row r="318761" spans="1:1" x14ac:dyDescent="0.25">
      <c r="A318761" s="1"/>
    </row>
    <row r="318762" spans="1:1" x14ac:dyDescent="0.25">
      <c r="A318762" s="1"/>
    </row>
    <row r="318763" spans="1:1" x14ac:dyDescent="0.25">
      <c r="A318763" s="1"/>
    </row>
    <row r="318764" spans="1:1" x14ac:dyDescent="0.25">
      <c r="A318764" s="1"/>
    </row>
    <row r="318765" spans="1:1" x14ac:dyDescent="0.25">
      <c r="A318765" s="1"/>
    </row>
    <row r="318766" spans="1:1" x14ac:dyDescent="0.25">
      <c r="A318766" s="1"/>
    </row>
    <row r="318767" spans="1:1" x14ac:dyDescent="0.25">
      <c r="A318767" s="1"/>
    </row>
    <row r="318768" spans="1:1" x14ac:dyDescent="0.25">
      <c r="A318768" s="1"/>
    </row>
    <row r="318769" spans="1:1" x14ac:dyDescent="0.25">
      <c r="A318769" s="1"/>
    </row>
    <row r="318770" spans="1:1" x14ac:dyDescent="0.25">
      <c r="A318770" s="1"/>
    </row>
    <row r="318771" spans="1:1" x14ac:dyDescent="0.25">
      <c r="A318771" s="1"/>
    </row>
    <row r="318772" spans="1:1" x14ac:dyDescent="0.25">
      <c r="A318772" s="1"/>
    </row>
    <row r="318773" spans="1:1" x14ac:dyDescent="0.25">
      <c r="A318773" s="1"/>
    </row>
    <row r="318774" spans="1:1" x14ac:dyDescent="0.25">
      <c r="A318774" s="1"/>
    </row>
    <row r="318775" spans="1:1" x14ac:dyDescent="0.25">
      <c r="A318775" s="1"/>
    </row>
    <row r="318776" spans="1:1" x14ac:dyDescent="0.25">
      <c r="A318776" s="1"/>
    </row>
    <row r="318777" spans="1:1" x14ac:dyDescent="0.25">
      <c r="A318777" s="1"/>
    </row>
    <row r="318778" spans="1:1" x14ac:dyDescent="0.25">
      <c r="A318778" s="1"/>
    </row>
    <row r="318779" spans="1:1" x14ac:dyDescent="0.25">
      <c r="A318779" s="1"/>
    </row>
    <row r="318780" spans="1:1" x14ac:dyDescent="0.25">
      <c r="A318780" s="1"/>
    </row>
    <row r="318781" spans="1:1" x14ac:dyDescent="0.25">
      <c r="A318781" s="1"/>
    </row>
    <row r="318782" spans="1:1" x14ac:dyDescent="0.25">
      <c r="A318782" s="1"/>
    </row>
    <row r="318783" spans="1:1" x14ac:dyDescent="0.25">
      <c r="A318783" s="1"/>
    </row>
    <row r="318784" spans="1:1" x14ac:dyDescent="0.25">
      <c r="A318784" s="1"/>
    </row>
    <row r="318785" spans="1:1" x14ac:dyDescent="0.25">
      <c r="A318785" s="1"/>
    </row>
    <row r="318786" spans="1:1" x14ac:dyDescent="0.25">
      <c r="A318786" s="1"/>
    </row>
    <row r="318787" spans="1:1" x14ac:dyDescent="0.25">
      <c r="A318787" s="1"/>
    </row>
    <row r="318788" spans="1:1" x14ac:dyDescent="0.25">
      <c r="A318788" s="1"/>
    </row>
    <row r="318789" spans="1:1" x14ac:dyDescent="0.25">
      <c r="A318789" s="1"/>
    </row>
    <row r="318790" spans="1:1" x14ac:dyDescent="0.25">
      <c r="A318790" s="1"/>
    </row>
    <row r="318791" spans="1:1" x14ac:dyDescent="0.25">
      <c r="A318791" s="1"/>
    </row>
    <row r="318792" spans="1:1" x14ac:dyDescent="0.25">
      <c r="A318792" s="1"/>
    </row>
    <row r="318793" spans="1:1" x14ac:dyDescent="0.25">
      <c r="A318793" s="1"/>
    </row>
    <row r="318794" spans="1:1" x14ac:dyDescent="0.25">
      <c r="A318794" s="1"/>
    </row>
    <row r="318795" spans="1:1" x14ac:dyDescent="0.25">
      <c r="A318795" s="1"/>
    </row>
    <row r="318796" spans="1:1" x14ac:dyDescent="0.25">
      <c r="A318796" s="1"/>
    </row>
    <row r="318797" spans="1:1" x14ac:dyDescent="0.25">
      <c r="A318797" s="1"/>
    </row>
    <row r="318798" spans="1:1" x14ac:dyDescent="0.25">
      <c r="A318798" s="1"/>
    </row>
    <row r="318799" spans="1:1" x14ac:dyDescent="0.25">
      <c r="A318799" s="1"/>
    </row>
    <row r="318800" spans="1:1" x14ac:dyDescent="0.25">
      <c r="A318800" s="1"/>
    </row>
    <row r="318801" spans="1:1" x14ac:dyDescent="0.25">
      <c r="A318801" s="1"/>
    </row>
    <row r="318802" spans="1:1" x14ac:dyDescent="0.25">
      <c r="A318802" s="1"/>
    </row>
    <row r="318803" spans="1:1" x14ac:dyDescent="0.25">
      <c r="A318803" s="1"/>
    </row>
    <row r="318804" spans="1:1" x14ac:dyDescent="0.25">
      <c r="A318804" s="1"/>
    </row>
    <row r="318805" spans="1:1" x14ac:dyDescent="0.25">
      <c r="A318805" s="1"/>
    </row>
    <row r="318806" spans="1:1" x14ac:dyDescent="0.25">
      <c r="A318806" s="1"/>
    </row>
    <row r="318807" spans="1:1" x14ac:dyDescent="0.25">
      <c r="A318807" s="1"/>
    </row>
    <row r="318808" spans="1:1" x14ac:dyDescent="0.25">
      <c r="A318808" s="1"/>
    </row>
    <row r="318809" spans="1:1" x14ac:dyDescent="0.25">
      <c r="A318809" s="1"/>
    </row>
    <row r="318810" spans="1:1" x14ac:dyDescent="0.25">
      <c r="A318810" s="1"/>
    </row>
    <row r="318811" spans="1:1" x14ac:dyDescent="0.25">
      <c r="A318811" s="1"/>
    </row>
    <row r="318812" spans="1:1" x14ac:dyDescent="0.25">
      <c r="A318812" s="1"/>
    </row>
    <row r="318813" spans="1:1" x14ac:dyDescent="0.25">
      <c r="A318813" s="1"/>
    </row>
    <row r="318814" spans="1:1" x14ac:dyDescent="0.25">
      <c r="A318814" s="1"/>
    </row>
    <row r="318815" spans="1:1" x14ac:dyDescent="0.25">
      <c r="A318815" s="1"/>
    </row>
    <row r="318816" spans="1:1" x14ac:dyDescent="0.25">
      <c r="A318816" s="1"/>
    </row>
    <row r="318817" spans="1:1" x14ac:dyDescent="0.25">
      <c r="A318817" s="1"/>
    </row>
    <row r="318818" spans="1:1" x14ac:dyDescent="0.25">
      <c r="A318818" s="1"/>
    </row>
    <row r="318819" spans="1:1" x14ac:dyDescent="0.25">
      <c r="A318819" s="1"/>
    </row>
    <row r="318820" spans="1:1" x14ac:dyDescent="0.25">
      <c r="A318820" s="1"/>
    </row>
    <row r="318821" spans="1:1" x14ac:dyDescent="0.25">
      <c r="A318821" s="1"/>
    </row>
    <row r="318822" spans="1:1" x14ac:dyDescent="0.25">
      <c r="A318822" s="1"/>
    </row>
    <row r="318823" spans="1:1" x14ac:dyDescent="0.25">
      <c r="A318823" s="1"/>
    </row>
    <row r="318824" spans="1:1" x14ac:dyDescent="0.25">
      <c r="A318824" s="1"/>
    </row>
    <row r="318825" spans="1:1" x14ac:dyDescent="0.25">
      <c r="A318825" s="1"/>
    </row>
    <row r="318826" spans="1:1" x14ac:dyDescent="0.25">
      <c r="A318826" s="1"/>
    </row>
    <row r="318827" spans="1:1" x14ac:dyDescent="0.25">
      <c r="A318827" s="1"/>
    </row>
    <row r="318828" spans="1:1" x14ac:dyDescent="0.25">
      <c r="A318828" s="1"/>
    </row>
    <row r="318829" spans="1:1" x14ac:dyDescent="0.25">
      <c r="A318829" s="1"/>
    </row>
    <row r="318830" spans="1:1" x14ac:dyDescent="0.25">
      <c r="A318830" s="1"/>
    </row>
    <row r="318831" spans="1:1" x14ac:dyDescent="0.25">
      <c r="A318831" s="1"/>
    </row>
    <row r="318832" spans="1:1" x14ac:dyDescent="0.25">
      <c r="A318832" s="1"/>
    </row>
    <row r="318833" spans="1:1" x14ac:dyDescent="0.25">
      <c r="A318833" s="1"/>
    </row>
    <row r="318834" spans="1:1" x14ac:dyDescent="0.25">
      <c r="A318834" s="1"/>
    </row>
    <row r="318835" spans="1:1" x14ac:dyDescent="0.25">
      <c r="A318835" s="1"/>
    </row>
    <row r="318836" spans="1:1" x14ac:dyDescent="0.25">
      <c r="A318836" s="1"/>
    </row>
    <row r="318837" spans="1:1" x14ac:dyDescent="0.25">
      <c r="A318837" s="1"/>
    </row>
    <row r="318838" spans="1:1" x14ac:dyDescent="0.25">
      <c r="A318838" s="1"/>
    </row>
    <row r="318839" spans="1:1" x14ac:dyDescent="0.25">
      <c r="A318839" s="1"/>
    </row>
    <row r="318840" spans="1:1" x14ac:dyDescent="0.25">
      <c r="A318840" s="1"/>
    </row>
    <row r="318841" spans="1:1" x14ac:dyDescent="0.25">
      <c r="A318841" s="1"/>
    </row>
    <row r="318842" spans="1:1" x14ac:dyDescent="0.25">
      <c r="A318842" s="1"/>
    </row>
    <row r="318843" spans="1:1" x14ac:dyDescent="0.25">
      <c r="A318843" s="1"/>
    </row>
    <row r="318844" spans="1:1" x14ac:dyDescent="0.25">
      <c r="A318844" s="1"/>
    </row>
    <row r="318845" spans="1:1" x14ac:dyDescent="0.25">
      <c r="A318845" s="1"/>
    </row>
    <row r="318846" spans="1:1" x14ac:dyDescent="0.25">
      <c r="A318846" s="1"/>
    </row>
    <row r="318847" spans="1:1" x14ac:dyDescent="0.25">
      <c r="A318847" s="1"/>
    </row>
    <row r="318848" spans="1:1" x14ac:dyDescent="0.25">
      <c r="A318848" s="1"/>
    </row>
    <row r="318849" spans="1:1" x14ac:dyDescent="0.25">
      <c r="A318849" s="1"/>
    </row>
    <row r="318850" spans="1:1" x14ac:dyDescent="0.25">
      <c r="A318850" s="1"/>
    </row>
    <row r="318851" spans="1:1" x14ac:dyDescent="0.25">
      <c r="A318851" s="1"/>
    </row>
    <row r="318852" spans="1:1" x14ac:dyDescent="0.25">
      <c r="A318852" s="1"/>
    </row>
    <row r="318853" spans="1:1" x14ac:dyDescent="0.25">
      <c r="A318853" s="1"/>
    </row>
    <row r="318854" spans="1:1" x14ac:dyDescent="0.25">
      <c r="A318854" s="1"/>
    </row>
    <row r="318855" spans="1:1" x14ac:dyDescent="0.25">
      <c r="A318855" s="1"/>
    </row>
    <row r="318856" spans="1:1" x14ac:dyDescent="0.25">
      <c r="A318856" s="1"/>
    </row>
    <row r="318857" spans="1:1" x14ac:dyDescent="0.25">
      <c r="A318857" s="1"/>
    </row>
    <row r="318858" spans="1:1" x14ac:dyDescent="0.25">
      <c r="A318858" s="1"/>
    </row>
    <row r="318859" spans="1:1" x14ac:dyDescent="0.25">
      <c r="A318859" s="1"/>
    </row>
    <row r="318860" spans="1:1" x14ac:dyDescent="0.25">
      <c r="A318860" s="1"/>
    </row>
    <row r="318861" spans="1:1" x14ac:dyDescent="0.25">
      <c r="A318861" s="1"/>
    </row>
    <row r="318862" spans="1:1" x14ac:dyDescent="0.25">
      <c r="A318862" s="1"/>
    </row>
    <row r="318863" spans="1:1" x14ac:dyDescent="0.25">
      <c r="A318863" s="1"/>
    </row>
    <row r="318864" spans="1:1" x14ac:dyDescent="0.25">
      <c r="A318864" s="1"/>
    </row>
    <row r="318865" spans="1:1" x14ac:dyDescent="0.25">
      <c r="A318865" s="1"/>
    </row>
    <row r="318866" spans="1:1" x14ac:dyDescent="0.25">
      <c r="A318866" s="1"/>
    </row>
    <row r="318867" spans="1:1" x14ac:dyDescent="0.25">
      <c r="A318867" s="1"/>
    </row>
    <row r="318868" spans="1:1" x14ac:dyDescent="0.25">
      <c r="A318868" s="1"/>
    </row>
    <row r="318869" spans="1:1" x14ac:dyDescent="0.25">
      <c r="A318869" s="1"/>
    </row>
    <row r="318870" spans="1:1" x14ac:dyDescent="0.25">
      <c r="A318870" s="1"/>
    </row>
    <row r="318871" spans="1:1" x14ac:dyDescent="0.25">
      <c r="A318871" s="1"/>
    </row>
    <row r="318872" spans="1:1" x14ac:dyDescent="0.25">
      <c r="A318872" s="1"/>
    </row>
    <row r="318873" spans="1:1" x14ac:dyDescent="0.25">
      <c r="A318873" s="1"/>
    </row>
    <row r="318874" spans="1:1" x14ac:dyDescent="0.25">
      <c r="A318874" s="1"/>
    </row>
    <row r="318875" spans="1:1" x14ac:dyDescent="0.25">
      <c r="A318875" s="1"/>
    </row>
    <row r="318876" spans="1:1" x14ac:dyDescent="0.25">
      <c r="A318876" s="1"/>
    </row>
    <row r="318877" spans="1:1" x14ac:dyDescent="0.25">
      <c r="A318877" s="1"/>
    </row>
    <row r="318878" spans="1:1" x14ac:dyDescent="0.25">
      <c r="A318878" s="1"/>
    </row>
    <row r="318879" spans="1:1" x14ac:dyDescent="0.25">
      <c r="A318879" s="1"/>
    </row>
    <row r="318880" spans="1:1" x14ac:dyDescent="0.25">
      <c r="A318880" s="1"/>
    </row>
    <row r="318881" spans="1:1" x14ac:dyDescent="0.25">
      <c r="A318881" s="1"/>
    </row>
    <row r="318882" spans="1:1" x14ac:dyDescent="0.25">
      <c r="A318882" s="1"/>
    </row>
    <row r="318883" spans="1:1" x14ac:dyDescent="0.25">
      <c r="A318883" s="1"/>
    </row>
    <row r="318884" spans="1:1" x14ac:dyDescent="0.25">
      <c r="A318884" s="1"/>
    </row>
    <row r="318885" spans="1:1" x14ac:dyDescent="0.25">
      <c r="A318885" s="1"/>
    </row>
    <row r="318886" spans="1:1" x14ac:dyDescent="0.25">
      <c r="A318886" s="1"/>
    </row>
    <row r="318887" spans="1:1" x14ac:dyDescent="0.25">
      <c r="A318887" s="1"/>
    </row>
    <row r="318888" spans="1:1" x14ac:dyDescent="0.25">
      <c r="A318888" s="1"/>
    </row>
    <row r="318889" spans="1:1" x14ac:dyDescent="0.25">
      <c r="A318889" s="1"/>
    </row>
    <row r="318890" spans="1:1" x14ac:dyDescent="0.25">
      <c r="A318890" s="1"/>
    </row>
    <row r="318891" spans="1:1" x14ac:dyDescent="0.25">
      <c r="A318891" s="1"/>
    </row>
    <row r="318892" spans="1:1" x14ac:dyDescent="0.25">
      <c r="A318892" s="1"/>
    </row>
    <row r="318893" spans="1:1" x14ac:dyDescent="0.25">
      <c r="A318893" s="1"/>
    </row>
    <row r="318894" spans="1:1" x14ac:dyDescent="0.25">
      <c r="A318894" s="1"/>
    </row>
    <row r="318895" spans="1:1" x14ac:dyDescent="0.25">
      <c r="A318895" s="1"/>
    </row>
    <row r="318896" spans="1:1" x14ac:dyDescent="0.25">
      <c r="A318896" s="1"/>
    </row>
    <row r="318897" spans="1:1" x14ac:dyDescent="0.25">
      <c r="A318897" s="1"/>
    </row>
    <row r="318898" spans="1:1" x14ac:dyDescent="0.25">
      <c r="A318898" s="1"/>
    </row>
    <row r="318899" spans="1:1" x14ac:dyDescent="0.25">
      <c r="A318899" s="1"/>
    </row>
    <row r="318900" spans="1:1" x14ac:dyDescent="0.25">
      <c r="A318900" s="1"/>
    </row>
    <row r="318901" spans="1:1" x14ac:dyDescent="0.25">
      <c r="A318901" s="1"/>
    </row>
    <row r="318902" spans="1:1" x14ac:dyDescent="0.25">
      <c r="A318902" s="1"/>
    </row>
    <row r="318903" spans="1:1" x14ac:dyDescent="0.25">
      <c r="A318903" s="1"/>
    </row>
    <row r="318904" spans="1:1" x14ac:dyDescent="0.25">
      <c r="A318904" s="1"/>
    </row>
    <row r="318905" spans="1:1" x14ac:dyDescent="0.25">
      <c r="A318905" s="1"/>
    </row>
    <row r="318906" spans="1:1" x14ac:dyDescent="0.25">
      <c r="A318906" s="1"/>
    </row>
    <row r="318907" spans="1:1" x14ac:dyDescent="0.25">
      <c r="A318907" s="1"/>
    </row>
    <row r="318908" spans="1:1" x14ac:dyDescent="0.25">
      <c r="A318908" s="1"/>
    </row>
    <row r="318909" spans="1:1" x14ac:dyDescent="0.25">
      <c r="A318909" s="1"/>
    </row>
    <row r="318910" spans="1:1" x14ac:dyDescent="0.25">
      <c r="A318910" s="1"/>
    </row>
    <row r="318911" spans="1:1" x14ac:dyDescent="0.25">
      <c r="A318911" s="1"/>
    </row>
    <row r="318912" spans="1:1" x14ac:dyDescent="0.25">
      <c r="A318912" s="1"/>
    </row>
    <row r="318913" spans="1:1" x14ac:dyDescent="0.25">
      <c r="A318913" s="1"/>
    </row>
    <row r="318914" spans="1:1" x14ac:dyDescent="0.25">
      <c r="A318914" s="1"/>
    </row>
    <row r="318915" spans="1:1" x14ac:dyDescent="0.25">
      <c r="A318915" s="1"/>
    </row>
    <row r="318916" spans="1:1" x14ac:dyDescent="0.25">
      <c r="A318916" s="1"/>
    </row>
    <row r="318917" spans="1:1" x14ac:dyDescent="0.25">
      <c r="A318917" s="1"/>
    </row>
    <row r="318918" spans="1:1" x14ac:dyDescent="0.25">
      <c r="A318918" s="1"/>
    </row>
    <row r="318919" spans="1:1" x14ac:dyDescent="0.25">
      <c r="A318919" s="1"/>
    </row>
    <row r="318920" spans="1:1" x14ac:dyDescent="0.25">
      <c r="A318920" s="1"/>
    </row>
    <row r="318921" spans="1:1" x14ac:dyDescent="0.25">
      <c r="A318921" s="1"/>
    </row>
    <row r="318922" spans="1:1" x14ac:dyDescent="0.25">
      <c r="A318922" s="1"/>
    </row>
    <row r="318923" spans="1:1" x14ac:dyDescent="0.25">
      <c r="A318923" s="1"/>
    </row>
    <row r="318924" spans="1:1" x14ac:dyDescent="0.25">
      <c r="A318924" s="1"/>
    </row>
    <row r="318925" spans="1:1" x14ac:dyDescent="0.25">
      <c r="A318925" s="1"/>
    </row>
    <row r="318926" spans="1:1" x14ac:dyDescent="0.25">
      <c r="A318926" s="1"/>
    </row>
    <row r="318927" spans="1:1" x14ac:dyDescent="0.25">
      <c r="A318927" s="1"/>
    </row>
    <row r="318928" spans="1:1" x14ac:dyDescent="0.25">
      <c r="A318928" s="1"/>
    </row>
    <row r="318929" spans="1:1" x14ac:dyDescent="0.25">
      <c r="A318929" s="1"/>
    </row>
    <row r="318930" spans="1:1" x14ac:dyDescent="0.25">
      <c r="A318930" s="1"/>
    </row>
    <row r="318931" spans="1:1" x14ac:dyDescent="0.25">
      <c r="A318931" s="1"/>
    </row>
    <row r="318932" spans="1:1" x14ac:dyDescent="0.25">
      <c r="A318932" s="1"/>
    </row>
    <row r="318933" spans="1:1" x14ac:dyDescent="0.25">
      <c r="A318933" s="1"/>
    </row>
    <row r="318934" spans="1:1" x14ac:dyDescent="0.25">
      <c r="A318934" s="1"/>
    </row>
    <row r="318935" spans="1:1" x14ac:dyDescent="0.25">
      <c r="A318935" s="1"/>
    </row>
    <row r="318936" spans="1:1" x14ac:dyDescent="0.25">
      <c r="A318936" s="1"/>
    </row>
    <row r="318937" spans="1:1" x14ac:dyDescent="0.25">
      <c r="A318937" s="1"/>
    </row>
    <row r="318938" spans="1:1" x14ac:dyDescent="0.25">
      <c r="A318938" s="1"/>
    </row>
    <row r="318939" spans="1:1" x14ac:dyDescent="0.25">
      <c r="A318939" s="1"/>
    </row>
    <row r="318940" spans="1:1" x14ac:dyDescent="0.25">
      <c r="A318940" s="1"/>
    </row>
    <row r="318941" spans="1:1" x14ac:dyDescent="0.25">
      <c r="A318941" s="1"/>
    </row>
    <row r="318942" spans="1:1" x14ac:dyDescent="0.25">
      <c r="A318942" s="1"/>
    </row>
    <row r="318943" spans="1:1" x14ac:dyDescent="0.25">
      <c r="A318943" s="1"/>
    </row>
    <row r="318944" spans="1:1" x14ac:dyDescent="0.25">
      <c r="A318944" s="1"/>
    </row>
    <row r="318945" spans="1:1" x14ac:dyDescent="0.25">
      <c r="A318945" s="1"/>
    </row>
    <row r="318946" spans="1:1" x14ac:dyDescent="0.25">
      <c r="A318946" s="1"/>
    </row>
    <row r="318947" spans="1:1" x14ac:dyDescent="0.25">
      <c r="A318947" s="1"/>
    </row>
    <row r="318948" spans="1:1" x14ac:dyDescent="0.25">
      <c r="A318948" s="1"/>
    </row>
    <row r="318949" spans="1:1" x14ac:dyDescent="0.25">
      <c r="A318949" s="1"/>
    </row>
    <row r="318950" spans="1:1" x14ac:dyDescent="0.25">
      <c r="A318950" s="1"/>
    </row>
    <row r="318951" spans="1:1" x14ac:dyDescent="0.25">
      <c r="A318951" s="1"/>
    </row>
    <row r="318952" spans="1:1" x14ac:dyDescent="0.25">
      <c r="A318952" s="1"/>
    </row>
    <row r="318953" spans="1:1" x14ac:dyDescent="0.25">
      <c r="A318953" s="1"/>
    </row>
    <row r="318954" spans="1:1" x14ac:dyDescent="0.25">
      <c r="A318954" s="1"/>
    </row>
    <row r="318955" spans="1:1" x14ac:dyDescent="0.25">
      <c r="A318955" s="1"/>
    </row>
    <row r="318956" spans="1:1" x14ac:dyDescent="0.25">
      <c r="A318956" s="1"/>
    </row>
    <row r="318957" spans="1:1" x14ac:dyDescent="0.25">
      <c r="A318957" s="1"/>
    </row>
    <row r="318958" spans="1:1" x14ac:dyDescent="0.25">
      <c r="A318958" s="1"/>
    </row>
    <row r="318959" spans="1:1" x14ac:dyDescent="0.25">
      <c r="A318959" s="1"/>
    </row>
    <row r="318960" spans="1:1" x14ac:dyDescent="0.25">
      <c r="A318960" s="1"/>
    </row>
    <row r="318961" spans="1:1" x14ac:dyDescent="0.25">
      <c r="A318961" s="1"/>
    </row>
    <row r="318962" spans="1:1" x14ac:dyDescent="0.25">
      <c r="A318962" s="1"/>
    </row>
    <row r="318963" spans="1:1" x14ac:dyDescent="0.25">
      <c r="A318963" s="1"/>
    </row>
    <row r="318964" spans="1:1" x14ac:dyDescent="0.25">
      <c r="A318964" s="1"/>
    </row>
    <row r="318965" spans="1:1" x14ac:dyDescent="0.25">
      <c r="A318965" s="1"/>
    </row>
    <row r="318966" spans="1:1" x14ac:dyDescent="0.25">
      <c r="A318966" s="1"/>
    </row>
    <row r="318967" spans="1:1" x14ac:dyDescent="0.25">
      <c r="A318967" s="1"/>
    </row>
    <row r="318968" spans="1:1" x14ac:dyDescent="0.25">
      <c r="A318968" s="1"/>
    </row>
    <row r="318969" spans="1:1" x14ac:dyDescent="0.25">
      <c r="A318969" s="1"/>
    </row>
    <row r="318970" spans="1:1" x14ac:dyDescent="0.25">
      <c r="A318970" s="1"/>
    </row>
    <row r="318971" spans="1:1" x14ac:dyDescent="0.25">
      <c r="A318971" s="1"/>
    </row>
    <row r="318972" spans="1:1" x14ac:dyDescent="0.25">
      <c r="A318972" s="1"/>
    </row>
    <row r="318973" spans="1:1" x14ac:dyDescent="0.25">
      <c r="A318973" s="1"/>
    </row>
    <row r="318974" spans="1:1" x14ac:dyDescent="0.25">
      <c r="A318974" s="1"/>
    </row>
    <row r="318975" spans="1:1" x14ac:dyDescent="0.25">
      <c r="A318975" s="1"/>
    </row>
    <row r="318976" spans="1:1" x14ac:dyDescent="0.25">
      <c r="A318976" s="1"/>
    </row>
    <row r="318977" spans="1:1" x14ac:dyDescent="0.25">
      <c r="A318977" s="1"/>
    </row>
    <row r="318978" spans="1:1" x14ac:dyDescent="0.25">
      <c r="A318978" s="1"/>
    </row>
    <row r="318979" spans="1:1" x14ac:dyDescent="0.25">
      <c r="A318979" s="1"/>
    </row>
    <row r="318980" spans="1:1" x14ac:dyDescent="0.25">
      <c r="A318980" s="1"/>
    </row>
    <row r="318981" spans="1:1" x14ac:dyDescent="0.25">
      <c r="A318981" s="1"/>
    </row>
    <row r="318982" spans="1:1" x14ac:dyDescent="0.25">
      <c r="A318982" s="1"/>
    </row>
    <row r="318983" spans="1:1" x14ac:dyDescent="0.25">
      <c r="A318983" s="1"/>
    </row>
    <row r="318984" spans="1:1" x14ac:dyDescent="0.25">
      <c r="A318984" s="1"/>
    </row>
    <row r="318985" spans="1:1" x14ac:dyDescent="0.25">
      <c r="A318985" s="1"/>
    </row>
    <row r="318986" spans="1:1" x14ac:dyDescent="0.25">
      <c r="A318986" s="1"/>
    </row>
    <row r="318987" spans="1:1" x14ac:dyDescent="0.25">
      <c r="A318987" s="1"/>
    </row>
    <row r="318988" spans="1:1" x14ac:dyDescent="0.25">
      <c r="A318988" s="1"/>
    </row>
    <row r="318989" spans="1:1" x14ac:dyDescent="0.25">
      <c r="A318989" s="1"/>
    </row>
    <row r="318990" spans="1:1" x14ac:dyDescent="0.25">
      <c r="A318990" s="1"/>
    </row>
    <row r="318991" spans="1:1" x14ac:dyDescent="0.25">
      <c r="A318991" s="1"/>
    </row>
    <row r="318992" spans="1:1" x14ac:dyDescent="0.25">
      <c r="A318992" s="1"/>
    </row>
    <row r="318993" spans="1:1" x14ac:dyDescent="0.25">
      <c r="A318993" s="1"/>
    </row>
    <row r="318994" spans="1:1" x14ac:dyDescent="0.25">
      <c r="A318994" s="1"/>
    </row>
    <row r="318995" spans="1:1" x14ac:dyDescent="0.25">
      <c r="A318995" s="1"/>
    </row>
    <row r="318996" spans="1:1" x14ac:dyDescent="0.25">
      <c r="A318996" s="1"/>
    </row>
    <row r="318997" spans="1:1" x14ac:dyDescent="0.25">
      <c r="A318997" s="1"/>
    </row>
    <row r="318998" spans="1:1" x14ac:dyDescent="0.25">
      <c r="A318998" s="1"/>
    </row>
    <row r="318999" spans="1:1" x14ac:dyDescent="0.25">
      <c r="A318999" s="1"/>
    </row>
    <row r="319000" spans="1:1" x14ac:dyDescent="0.25">
      <c r="A319000" s="1"/>
    </row>
    <row r="319001" spans="1:1" x14ac:dyDescent="0.25">
      <c r="A319001" s="1"/>
    </row>
    <row r="319002" spans="1:1" x14ac:dyDescent="0.25">
      <c r="A319002" s="1"/>
    </row>
    <row r="319003" spans="1:1" x14ac:dyDescent="0.25">
      <c r="A319003" s="1"/>
    </row>
    <row r="319004" spans="1:1" x14ac:dyDescent="0.25">
      <c r="A319004" s="1"/>
    </row>
    <row r="319005" spans="1:1" x14ac:dyDescent="0.25">
      <c r="A319005" s="1"/>
    </row>
    <row r="319006" spans="1:1" x14ac:dyDescent="0.25">
      <c r="A319006" s="1"/>
    </row>
    <row r="319007" spans="1:1" x14ac:dyDescent="0.25">
      <c r="A319007" s="1"/>
    </row>
    <row r="319008" spans="1:1" x14ac:dyDescent="0.25">
      <c r="A319008" s="1"/>
    </row>
    <row r="319009" spans="1:1" x14ac:dyDescent="0.25">
      <c r="A319009" s="1"/>
    </row>
    <row r="319010" spans="1:1" x14ac:dyDescent="0.25">
      <c r="A319010" s="1"/>
    </row>
    <row r="319011" spans="1:1" x14ac:dyDescent="0.25">
      <c r="A319011" s="1"/>
    </row>
    <row r="319012" spans="1:1" x14ac:dyDescent="0.25">
      <c r="A319012" s="1"/>
    </row>
    <row r="319013" spans="1:1" x14ac:dyDescent="0.25">
      <c r="A319013" s="1"/>
    </row>
    <row r="319014" spans="1:1" x14ac:dyDescent="0.25">
      <c r="A319014" s="1"/>
    </row>
    <row r="319015" spans="1:1" x14ac:dyDescent="0.25">
      <c r="A319015" s="1"/>
    </row>
    <row r="319016" spans="1:1" x14ac:dyDescent="0.25">
      <c r="A319016" s="1"/>
    </row>
    <row r="319017" spans="1:1" x14ac:dyDescent="0.25">
      <c r="A319017" s="1"/>
    </row>
    <row r="319018" spans="1:1" x14ac:dyDescent="0.25">
      <c r="A319018" s="1"/>
    </row>
    <row r="319019" spans="1:1" x14ac:dyDescent="0.25">
      <c r="A319019" s="1"/>
    </row>
    <row r="319020" spans="1:1" x14ac:dyDescent="0.25">
      <c r="A319020" s="1"/>
    </row>
    <row r="319021" spans="1:1" x14ac:dyDescent="0.25">
      <c r="A319021" s="1"/>
    </row>
    <row r="319022" spans="1:1" x14ac:dyDescent="0.25">
      <c r="A319022" s="1"/>
    </row>
    <row r="319023" spans="1:1" x14ac:dyDescent="0.25">
      <c r="A319023" s="1"/>
    </row>
    <row r="319024" spans="1:1" x14ac:dyDescent="0.25">
      <c r="A319024" s="1"/>
    </row>
    <row r="319025" spans="1:1" x14ac:dyDescent="0.25">
      <c r="A319025" s="1"/>
    </row>
    <row r="319026" spans="1:1" x14ac:dyDescent="0.25">
      <c r="A319026" s="1"/>
    </row>
    <row r="319027" spans="1:1" x14ac:dyDescent="0.25">
      <c r="A319027" s="1"/>
    </row>
    <row r="319028" spans="1:1" x14ac:dyDescent="0.25">
      <c r="A319028" s="1"/>
    </row>
    <row r="319029" spans="1:1" x14ac:dyDescent="0.25">
      <c r="A319029" s="1"/>
    </row>
    <row r="319030" spans="1:1" x14ac:dyDescent="0.25">
      <c r="A319030" s="1"/>
    </row>
    <row r="319031" spans="1:1" x14ac:dyDescent="0.25">
      <c r="A319031" s="1"/>
    </row>
    <row r="319032" spans="1:1" x14ac:dyDescent="0.25">
      <c r="A319032" s="1"/>
    </row>
    <row r="319033" spans="1:1" x14ac:dyDescent="0.25">
      <c r="A319033" s="1"/>
    </row>
    <row r="319034" spans="1:1" x14ac:dyDescent="0.25">
      <c r="A319034" s="1"/>
    </row>
    <row r="319035" spans="1:1" x14ac:dyDescent="0.25">
      <c r="A319035" s="1"/>
    </row>
    <row r="319036" spans="1:1" x14ac:dyDescent="0.25">
      <c r="A319036" s="1"/>
    </row>
    <row r="319037" spans="1:1" x14ac:dyDescent="0.25">
      <c r="A319037" s="1"/>
    </row>
    <row r="319038" spans="1:1" x14ac:dyDescent="0.25">
      <c r="A319038" s="1"/>
    </row>
    <row r="319039" spans="1:1" x14ac:dyDescent="0.25">
      <c r="A319039" s="1"/>
    </row>
    <row r="319040" spans="1:1" x14ac:dyDescent="0.25">
      <c r="A319040" s="1"/>
    </row>
    <row r="319041" spans="1:1" x14ac:dyDescent="0.25">
      <c r="A319041" s="1"/>
    </row>
    <row r="319042" spans="1:1" x14ac:dyDescent="0.25">
      <c r="A319042" s="1"/>
    </row>
    <row r="319043" spans="1:1" x14ac:dyDescent="0.25">
      <c r="A319043" s="1"/>
    </row>
    <row r="319044" spans="1:1" x14ac:dyDescent="0.25">
      <c r="A319044" s="1"/>
    </row>
    <row r="319045" spans="1:1" x14ac:dyDescent="0.25">
      <c r="A319045" s="1"/>
    </row>
    <row r="319046" spans="1:1" x14ac:dyDescent="0.25">
      <c r="A319046" s="1"/>
    </row>
    <row r="319047" spans="1:1" x14ac:dyDescent="0.25">
      <c r="A319047" s="1"/>
    </row>
    <row r="319048" spans="1:1" x14ac:dyDescent="0.25">
      <c r="A319048" s="1"/>
    </row>
    <row r="319049" spans="1:1" x14ac:dyDescent="0.25">
      <c r="A319049" s="1"/>
    </row>
    <row r="319050" spans="1:1" x14ac:dyDescent="0.25">
      <c r="A319050" s="1"/>
    </row>
    <row r="319051" spans="1:1" x14ac:dyDescent="0.25">
      <c r="A319051" s="1"/>
    </row>
    <row r="319052" spans="1:1" x14ac:dyDescent="0.25">
      <c r="A319052" s="1"/>
    </row>
    <row r="319053" spans="1:1" x14ac:dyDescent="0.25">
      <c r="A319053" s="1"/>
    </row>
    <row r="319054" spans="1:1" x14ac:dyDescent="0.25">
      <c r="A319054" s="1"/>
    </row>
    <row r="319055" spans="1:1" x14ac:dyDescent="0.25">
      <c r="A319055" s="1"/>
    </row>
    <row r="319056" spans="1:1" x14ac:dyDescent="0.25">
      <c r="A319056" s="1"/>
    </row>
    <row r="319057" spans="1:1" x14ac:dyDescent="0.25">
      <c r="A319057" s="1"/>
    </row>
    <row r="319058" spans="1:1" x14ac:dyDescent="0.25">
      <c r="A319058" s="1"/>
    </row>
    <row r="319059" spans="1:1" x14ac:dyDescent="0.25">
      <c r="A319059" s="1"/>
    </row>
    <row r="319060" spans="1:1" x14ac:dyDescent="0.25">
      <c r="A319060" s="1"/>
    </row>
    <row r="319061" spans="1:1" x14ac:dyDescent="0.25">
      <c r="A319061" s="1"/>
    </row>
    <row r="319062" spans="1:1" x14ac:dyDescent="0.25">
      <c r="A319062" s="1"/>
    </row>
    <row r="319063" spans="1:1" x14ac:dyDescent="0.25">
      <c r="A319063" s="1"/>
    </row>
    <row r="319064" spans="1:1" x14ac:dyDescent="0.25">
      <c r="A319064" s="1"/>
    </row>
    <row r="319065" spans="1:1" x14ac:dyDescent="0.25">
      <c r="A319065" s="1"/>
    </row>
    <row r="319066" spans="1:1" x14ac:dyDescent="0.25">
      <c r="A319066" s="1"/>
    </row>
    <row r="319067" spans="1:1" x14ac:dyDescent="0.25">
      <c r="A319067" s="1"/>
    </row>
    <row r="319068" spans="1:1" x14ac:dyDescent="0.25">
      <c r="A319068" s="1"/>
    </row>
    <row r="319069" spans="1:1" x14ac:dyDescent="0.25">
      <c r="A319069" s="1"/>
    </row>
    <row r="319070" spans="1:1" x14ac:dyDescent="0.25">
      <c r="A319070" s="1"/>
    </row>
    <row r="319071" spans="1:1" x14ac:dyDescent="0.25">
      <c r="A319071" s="1"/>
    </row>
    <row r="319072" spans="1:1" x14ac:dyDescent="0.25">
      <c r="A319072" s="1"/>
    </row>
    <row r="319073" spans="1:1" x14ac:dyDescent="0.25">
      <c r="A319073" s="1"/>
    </row>
    <row r="319074" spans="1:1" x14ac:dyDescent="0.25">
      <c r="A319074" s="1"/>
    </row>
    <row r="319075" spans="1:1" x14ac:dyDescent="0.25">
      <c r="A319075" s="1"/>
    </row>
    <row r="319076" spans="1:1" x14ac:dyDescent="0.25">
      <c r="A319076" s="1"/>
    </row>
    <row r="319077" spans="1:1" x14ac:dyDescent="0.25">
      <c r="A319077" s="1"/>
    </row>
    <row r="319078" spans="1:1" x14ac:dyDescent="0.25">
      <c r="A319078" s="1"/>
    </row>
    <row r="319079" spans="1:1" x14ac:dyDescent="0.25">
      <c r="A319079" s="1"/>
    </row>
    <row r="319080" spans="1:1" x14ac:dyDescent="0.25">
      <c r="A319080" s="1"/>
    </row>
    <row r="319081" spans="1:1" x14ac:dyDescent="0.25">
      <c r="A319081" s="1"/>
    </row>
    <row r="319082" spans="1:1" x14ac:dyDescent="0.25">
      <c r="A319082" s="1"/>
    </row>
    <row r="319083" spans="1:1" x14ac:dyDescent="0.25">
      <c r="A319083" s="1"/>
    </row>
    <row r="319084" spans="1:1" x14ac:dyDescent="0.25">
      <c r="A319084" s="1"/>
    </row>
    <row r="319085" spans="1:1" x14ac:dyDescent="0.25">
      <c r="A319085" s="1"/>
    </row>
    <row r="319086" spans="1:1" x14ac:dyDescent="0.25">
      <c r="A319086" s="1"/>
    </row>
    <row r="319087" spans="1:1" x14ac:dyDescent="0.25">
      <c r="A319087" s="1"/>
    </row>
    <row r="319088" spans="1:1" x14ac:dyDescent="0.25">
      <c r="A319088" s="1"/>
    </row>
    <row r="319089" spans="1:1" x14ac:dyDescent="0.25">
      <c r="A319089" s="1"/>
    </row>
    <row r="319090" spans="1:1" x14ac:dyDescent="0.25">
      <c r="A319090" s="1"/>
    </row>
    <row r="319091" spans="1:1" x14ac:dyDescent="0.25">
      <c r="A319091" s="1"/>
    </row>
    <row r="319092" spans="1:1" x14ac:dyDescent="0.25">
      <c r="A319092" s="1"/>
    </row>
    <row r="319093" spans="1:1" x14ac:dyDescent="0.25">
      <c r="A319093" s="1"/>
    </row>
    <row r="319094" spans="1:1" x14ac:dyDescent="0.25">
      <c r="A319094" s="1"/>
    </row>
    <row r="319095" spans="1:1" x14ac:dyDescent="0.25">
      <c r="A319095" s="1"/>
    </row>
    <row r="319096" spans="1:1" x14ac:dyDescent="0.25">
      <c r="A319096" s="1"/>
    </row>
    <row r="319097" spans="1:1" x14ac:dyDescent="0.25">
      <c r="A319097" s="1"/>
    </row>
    <row r="319098" spans="1:1" x14ac:dyDescent="0.25">
      <c r="A319098" s="1"/>
    </row>
    <row r="319099" spans="1:1" x14ac:dyDescent="0.25">
      <c r="A319099" s="1"/>
    </row>
    <row r="319100" spans="1:1" x14ac:dyDescent="0.25">
      <c r="A319100" s="1"/>
    </row>
    <row r="319101" spans="1:1" x14ac:dyDescent="0.25">
      <c r="A319101" s="1"/>
    </row>
    <row r="319102" spans="1:1" x14ac:dyDescent="0.25">
      <c r="A319102" s="1"/>
    </row>
    <row r="319103" spans="1:1" x14ac:dyDescent="0.25">
      <c r="A319103" s="1"/>
    </row>
    <row r="319104" spans="1:1" x14ac:dyDescent="0.25">
      <c r="A319104" s="1"/>
    </row>
    <row r="319105" spans="1:1" x14ac:dyDescent="0.25">
      <c r="A319105" s="1"/>
    </row>
    <row r="319106" spans="1:1" x14ac:dyDescent="0.25">
      <c r="A319106" s="1"/>
    </row>
    <row r="319107" spans="1:1" x14ac:dyDescent="0.25">
      <c r="A319107" s="1"/>
    </row>
    <row r="319108" spans="1:1" x14ac:dyDescent="0.25">
      <c r="A319108" s="1"/>
    </row>
    <row r="319109" spans="1:1" x14ac:dyDescent="0.25">
      <c r="A319109" s="1"/>
    </row>
    <row r="319110" spans="1:1" x14ac:dyDescent="0.25">
      <c r="A319110" s="1"/>
    </row>
    <row r="319111" spans="1:1" x14ac:dyDescent="0.25">
      <c r="A319111" s="1"/>
    </row>
    <row r="319112" spans="1:1" x14ac:dyDescent="0.25">
      <c r="A319112" s="1"/>
    </row>
    <row r="319113" spans="1:1" x14ac:dyDescent="0.25">
      <c r="A319113" s="1"/>
    </row>
    <row r="319114" spans="1:1" x14ac:dyDescent="0.25">
      <c r="A319114" s="1"/>
    </row>
    <row r="319115" spans="1:1" x14ac:dyDescent="0.25">
      <c r="A319115" s="1"/>
    </row>
    <row r="319116" spans="1:1" x14ac:dyDescent="0.25">
      <c r="A319116" s="1"/>
    </row>
    <row r="319117" spans="1:1" x14ac:dyDescent="0.25">
      <c r="A319117" s="1"/>
    </row>
    <row r="319118" spans="1:1" x14ac:dyDescent="0.25">
      <c r="A319118" s="1"/>
    </row>
    <row r="319119" spans="1:1" x14ac:dyDescent="0.25">
      <c r="A319119" s="1"/>
    </row>
    <row r="319120" spans="1:1" x14ac:dyDescent="0.25">
      <c r="A319120" s="1"/>
    </row>
    <row r="319121" spans="1:1" x14ac:dyDescent="0.25">
      <c r="A319121" s="1"/>
    </row>
    <row r="319122" spans="1:1" x14ac:dyDescent="0.25">
      <c r="A319122" s="1"/>
    </row>
    <row r="319123" spans="1:1" x14ac:dyDescent="0.25">
      <c r="A319123" s="1"/>
    </row>
    <row r="319124" spans="1:1" x14ac:dyDescent="0.25">
      <c r="A319124" s="1"/>
    </row>
    <row r="319125" spans="1:1" x14ac:dyDescent="0.25">
      <c r="A319125" s="1"/>
    </row>
    <row r="319126" spans="1:1" x14ac:dyDescent="0.25">
      <c r="A319126" s="1"/>
    </row>
    <row r="319127" spans="1:1" x14ac:dyDescent="0.25">
      <c r="A319127" s="1"/>
    </row>
    <row r="319128" spans="1:1" x14ac:dyDescent="0.25">
      <c r="A319128" s="1"/>
    </row>
    <row r="319129" spans="1:1" x14ac:dyDescent="0.25">
      <c r="A319129" s="1"/>
    </row>
    <row r="319130" spans="1:1" x14ac:dyDescent="0.25">
      <c r="A319130" s="1"/>
    </row>
    <row r="319131" spans="1:1" x14ac:dyDescent="0.25">
      <c r="A319131" s="1"/>
    </row>
    <row r="319132" spans="1:1" x14ac:dyDescent="0.25">
      <c r="A319132" s="1"/>
    </row>
    <row r="319133" spans="1:1" x14ac:dyDescent="0.25">
      <c r="A319133" s="1"/>
    </row>
    <row r="319134" spans="1:1" x14ac:dyDescent="0.25">
      <c r="A319134" s="1"/>
    </row>
    <row r="319135" spans="1:1" x14ac:dyDescent="0.25">
      <c r="A319135" s="1"/>
    </row>
    <row r="319136" spans="1:1" x14ac:dyDescent="0.25">
      <c r="A319136" s="1"/>
    </row>
    <row r="319137" spans="1:1" x14ac:dyDescent="0.25">
      <c r="A319137" s="1"/>
    </row>
    <row r="319138" spans="1:1" x14ac:dyDescent="0.25">
      <c r="A319138" s="1"/>
    </row>
    <row r="319139" spans="1:1" x14ac:dyDescent="0.25">
      <c r="A319139" s="1"/>
    </row>
    <row r="319140" spans="1:1" x14ac:dyDescent="0.25">
      <c r="A319140" s="1"/>
    </row>
    <row r="319141" spans="1:1" x14ac:dyDescent="0.25">
      <c r="A319141" s="1"/>
    </row>
    <row r="319142" spans="1:1" x14ac:dyDescent="0.25">
      <c r="A319142" s="1"/>
    </row>
    <row r="319143" spans="1:1" x14ac:dyDescent="0.25">
      <c r="A319143" s="1"/>
    </row>
    <row r="319144" spans="1:1" x14ac:dyDescent="0.25">
      <c r="A319144" s="1"/>
    </row>
    <row r="319145" spans="1:1" x14ac:dyDescent="0.25">
      <c r="A319145" s="1"/>
    </row>
    <row r="319146" spans="1:1" x14ac:dyDescent="0.25">
      <c r="A319146" s="1"/>
    </row>
    <row r="319147" spans="1:1" x14ac:dyDescent="0.25">
      <c r="A319147" s="1"/>
    </row>
    <row r="319148" spans="1:1" x14ac:dyDescent="0.25">
      <c r="A319148" s="1"/>
    </row>
    <row r="319149" spans="1:1" x14ac:dyDescent="0.25">
      <c r="A319149" s="1"/>
    </row>
    <row r="319150" spans="1:1" x14ac:dyDescent="0.25">
      <c r="A319150" s="1"/>
    </row>
    <row r="319151" spans="1:1" x14ac:dyDescent="0.25">
      <c r="A319151" s="1"/>
    </row>
    <row r="319152" spans="1:1" x14ac:dyDescent="0.25">
      <c r="A319152" s="1"/>
    </row>
    <row r="319153" spans="1:1" x14ac:dyDescent="0.25">
      <c r="A319153" s="1"/>
    </row>
    <row r="319154" spans="1:1" x14ac:dyDescent="0.25">
      <c r="A319154" s="1"/>
    </row>
    <row r="319155" spans="1:1" x14ac:dyDescent="0.25">
      <c r="A319155" s="1"/>
    </row>
    <row r="319156" spans="1:1" x14ac:dyDescent="0.25">
      <c r="A319156" s="1"/>
    </row>
    <row r="319157" spans="1:1" x14ac:dyDescent="0.25">
      <c r="A319157" s="1"/>
    </row>
    <row r="319158" spans="1:1" x14ac:dyDescent="0.25">
      <c r="A319158" s="1"/>
    </row>
    <row r="319159" spans="1:1" x14ac:dyDescent="0.25">
      <c r="A319159" s="1"/>
    </row>
    <row r="319160" spans="1:1" x14ac:dyDescent="0.25">
      <c r="A319160" s="1"/>
    </row>
    <row r="319161" spans="1:1" x14ac:dyDescent="0.25">
      <c r="A319161" s="1"/>
    </row>
    <row r="319162" spans="1:1" x14ac:dyDescent="0.25">
      <c r="A319162" s="1"/>
    </row>
    <row r="319163" spans="1:1" x14ac:dyDescent="0.25">
      <c r="A319163" s="1"/>
    </row>
    <row r="319164" spans="1:1" x14ac:dyDescent="0.25">
      <c r="A319164" s="1"/>
    </row>
    <row r="319165" spans="1:1" x14ac:dyDescent="0.25">
      <c r="A319165" s="1"/>
    </row>
    <row r="319166" spans="1:1" x14ac:dyDescent="0.25">
      <c r="A319166" s="1"/>
    </row>
    <row r="319167" spans="1:1" x14ac:dyDescent="0.25">
      <c r="A319167" s="1"/>
    </row>
    <row r="319168" spans="1:1" x14ac:dyDescent="0.25">
      <c r="A319168" s="1"/>
    </row>
    <row r="319169" spans="1:1" x14ac:dyDescent="0.25">
      <c r="A319169" s="1"/>
    </row>
    <row r="319170" spans="1:1" x14ac:dyDescent="0.25">
      <c r="A319170" s="1"/>
    </row>
    <row r="319171" spans="1:1" x14ac:dyDescent="0.25">
      <c r="A319171" s="1"/>
    </row>
    <row r="319172" spans="1:1" x14ac:dyDescent="0.25">
      <c r="A319172" s="1"/>
    </row>
    <row r="319173" spans="1:1" x14ac:dyDescent="0.25">
      <c r="A319173" s="1"/>
    </row>
    <row r="319174" spans="1:1" x14ac:dyDescent="0.25">
      <c r="A319174" s="1"/>
    </row>
    <row r="319175" spans="1:1" x14ac:dyDescent="0.25">
      <c r="A319175" s="1"/>
    </row>
    <row r="319176" spans="1:1" x14ac:dyDescent="0.25">
      <c r="A319176" s="1"/>
    </row>
    <row r="319177" spans="1:1" x14ac:dyDescent="0.25">
      <c r="A319177" s="1"/>
    </row>
    <row r="319178" spans="1:1" x14ac:dyDescent="0.25">
      <c r="A319178" s="1"/>
    </row>
    <row r="319179" spans="1:1" x14ac:dyDescent="0.25">
      <c r="A319179" s="1"/>
    </row>
    <row r="319180" spans="1:1" x14ac:dyDescent="0.25">
      <c r="A319180" s="1"/>
    </row>
    <row r="319181" spans="1:1" x14ac:dyDescent="0.25">
      <c r="A319181" s="1"/>
    </row>
    <row r="319182" spans="1:1" x14ac:dyDescent="0.25">
      <c r="A319182" s="1"/>
    </row>
    <row r="319183" spans="1:1" x14ac:dyDescent="0.25">
      <c r="A319183" s="1"/>
    </row>
    <row r="319184" spans="1:1" x14ac:dyDescent="0.25">
      <c r="A319184" s="1"/>
    </row>
    <row r="319185" spans="1:1" x14ac:dyDescent="0.25">
      <c r="A319185" s="1"/>
    </row>
    <row r="319186" spans="1:1" x14ac:dyDescent="0.25">
      <c r="A319186" s="1"/>
    </row>
    <row r="319187" spans="1:1" x14ac:dyDescent="0.25">
      <c r="A319187" s="1"/>
    </row>
    <row r="319188" spans="1:1" x14ac:dyDescent="0.25">
      <c r="A319188" s="1"/>
    </row>
    <row r="319189" spans="1:1" x14ac:dyDescent="0.25">
      <c r="A319189" s="1"/>
    </row>
    <row r="319190" spans="1:1" x14ac:dyDescent="0.25">
      <c r="A319190" s="1"/>
    </row>
    <row r="319191" spans="1:1" x14ac:dyDescent="0.25">
      <c r="A319191" s="1"/>
    </row>
    <row r="319192" spans="1:1" x14ac:dyDescent="0.25">
      <c r="A319192" s="1"/>
    </row>
    <row r="319193" spans="1:1" x14ac:dyDescent="0.25">
      <c r="A319193" s="1"/>
    </row>
    <row r="319194" spans="1:1" x14ac:dyDescent="0.25">
      <c r="A319194" s="1"/>
    </row>
    <row r="319195" spans="1:1" x14ac:dyDescent="0.25">
      <c r="A319195" s="1"/>
    </row>
    <row r="319196" spans="1:1" x14ac:dyDescent="0.25">
      <c r="A319196" s="1"/>
    </row>
    <row r="319197" spans="1:1" x14ac:dyDescent="0.25">
      <c r="A319197" s="1"/>
    </row>
    <row r="319198" spans="1:1" x14ac:dyDescent="0.25">
      <c r="A319198" s="1"/>
    </row>
    <row r="319199" spans="1:1" x14ac:dyDescent="0.25">
      <c r="A319199" s="1"/>
    </row>
    <row r="319200" spans="1:1" x14ac:dyDescent="0.25">
      <c r="A319200" s="1"/>
    </row>
    <row r="319201" spans="1:1" x14ac:dyDescent="0.25">
      <c r="A319201" s="1"/>
    </row>
    <row r="319202" spans="1:1" x14ac:dyDescent="0.25">
      <c r="A319202" s="1"/>
    </row>
    <row r="319203" spans="1:1" x14ac:dyDescent="0.25">
      <c r="A319203" s="1"/>
    </row>
    <row r="319204" spans="1:1" x14ac:dyDescent="0.25">
      <c r="A319204" s="1"/>
    </row>
    <row r="319205" spans="1:1" x14ac:dyDescent="0.25">
      <c r="A319205" s="1"/>
    </row>
    <row r="319206" spans="1:1" x14ac:dyDescent="0.25">
      <c r="A319206" s="1"/>
    </row>
    <row r="319207" spans="1:1" x14ac:dyDescent="0.25">
      <c r="A319207" s="1"/>
    </row>
    <row r="319208" spans="1:1" x14ac:dyDescent="0.25">
      <c r="A319208" s="1"/>
    </row>
    <row r="319209" spans="1:1" x14ac:dyDescent="0.25">
      <c r="A319209" s="1"/>
    </row>
    <row r="319210" spans="1:1" x14ac:dyDescent="0.25">
      <c r="A319210" s="1"/>
    </row>
    <row r="319211" spans="1:1" x14ac:dyDescent="0.25">
      <c r="A319211" s="1"/>
    </row>
    <row r="319212" spans="1:1" x14ac:dyDescent="0.25">
      <c r="A319212" s="1"/>
    </row>
    <row r="319213" spans="1:1" x14ac:dyDescent="0.25">
      <c r="A319213" s="1"/>
    </row>
    <row r="319214" spans="1:1" x14ac:dyDescent="0.25">
      <c r="A319214" s="1"/>
    </row>
    <row r="319215" spans="1:1" x14ac:dyDescent="0.25">
      <c r="A319215" s="1"/>
    </row>
    <row r="319216" spans="1:1" x14ac:dyDescent="0.25">
      <c r="A319216" s="1"/>
    </row>
    <row r="319217" spans="1:1" x14ac:dyDescent="0.25">
      <c r="A319217" s="1"/>
    </row>
    <row r="319218" spans="1:1" x14ac:dyDescent="0.25">
      <c r="A319218" s="1"/>
    </row>
    <row r="319219" spans="1:1" x14ac:dyDescent="0.25">
      <c r="A319219" s="1"/>
    </row>
    <row r="319220" spans="1:1" x14ac:dyDescent="0.25">
      <c r="A319220" s="1"/>
    </row>
    <row r="319221" spans="1:1" x14ac:dyDescent="0.25">
      <c r="A319221" s="1"/>
    </row>
    <row r="319222" spans="1:1" x14ac:dyDescent="0.25">
      <c r="A319222" s="1"/>
    </row>
    <row r="319223" spans="1:1" x14ac:dyDescent="0.25">
      <c r="A319223" s="1"/>
    </row>
    <row r="319224" spans="1:1" x14ac:dyDescent="0.25">
      <c r="A319224" s="1"/>
    </row>
    <row r="319225" spans="1:1" x14ac:dyDescent="0.25">
      <c r="A319225" s="1"/>
    </row>
    <row r="319226" spans="1:1" x14ac:dyDescent="0.25">
      <c r="A319226" s="1"/>
    </row>
    <row r="319227" spans="1:1" x14ac:dyDescent="0.25">
      <c r="A319227" s="1"/>
    </row>
    <row r="319228" spans="1:1" x14ac:dyDescent="0.25">
      <c r="A319228" s="1"/>
    </row>
    <row r="319229" spans="1:1" x14ac:dyDescent="0.25">
      <c r="A319229" s="1"/>
    </row>
    <row r="319230" spans="1:1" x14ac:dyDescent="0.25">
      <c r="A319230" s="1"/>
    </row>
    <row r="319231" spans="1:1" x14ac:dyDescent="0.25">
      <c r="A319231" s="1"/>
    </row>
    <row r="319232" spans="1:1" x14ac:dyDescent="0.25">
      <c r="A319232" s="1"/>
    </row>
    <row r="319233" spans="1:1" x14ac:dyDescent="0.25">
      <c r="A319233" s="1"/>
    </row>
    <row r="319234" spans="1:1" x14ac:dyDescent="0.25">
      <c r="A319234" s="1"/>
    </row>
    <row r="319235" spans="1:1" x14ac:dyDescent="0.25">
      <c r="A319235" s="1"/>
    </row>
    <row r="319236" spans="1:1" x14ac:dyDescent="0.25">
      <c r="A319236" s="1"/>
    </row>
    <row r="319237" spans="1:1" x14ac:dyDescent="0.25">
      <c r="A319237" s="1"/>
    </row>
    <row r="319238" spans="1:1" x14ac:dyDescent="0.25">
      <c r="A319238" s="1"/>
    </row>
    <row r="319239" spans="1:1" x14ac:dyDescent="0.25">
      <c r="A319239" s="1"/>
    </row>
    <row r="319240" spans="1:1" x14ac:dyDescent="0.25">
      <c r="A319240" s="1"/>
    </row>
    <row r="319241" spans="1:1" x14ac:dyDescent="0.25">
      <c r="A319241" s="1"/>
    </row>
    <row r="319242" spans="1:1" x14ac:dyDescent="0.25">
      <c r="A319242" s="1"/>
    </row>
    <row r="319243" spans="1:1" x14ac:dyDescent="0.25">
      <c r="A319243" s="1"/>
    </row>
    <row r="319244" spans="1:1" x14ac:dyDescent="0.25">
      <c r="A319244" s="1"/>
    </row>
    <row r="319245" spans="1:1" x14ac:dyDescent="0.25">
      <c r="A319245" s="1"/>
    </row>
    <row r="319246" spans="1:1" x14ac:dyDescent="0.25">
      <c r="A319246" s="1"/>
    </row>
    <row r="319247" spans="1:1" x14ac:dyDescent="0.25">
      <c r="A319247" s="1"/>
    </row>
    <row r="319248" spans="1:1" x14ac:dyDescent="0.25">
      <c r="A319248" s="1"/>
    </row>
    <row r="319249" spans="1:1" x14ac:dyDescent="0.25">
      <c r="A319249" s="1"/>
    </row>
    <row r="319250" spans="1:1" x14ac:dyDescent="0.25">
      <c r="A319250" s="1"/>
    </row>
    <row r="319251" spans="1:1" x14ac:dyDescent="0.25">
      <c r="A319251" s="1"/>
    </row>
    <row r="319252" spans="1:1" x14ac:dyDescent="0.25">
      <c r="A319252" s="1"/>
    </row>
    <row r="319253" spans="1:1" x14ac:dyDescent="0.25">
      <c r="A319253" s="1"/>
    </row>
    <row r="319254" spans="1:1" x14ac:dyDescent="0.25">
      <c r="A319254" s="1"/>
    </row>
    <row r="319255" spans="1:1" x14ac:dyDescent="0.25">
      <c r="A319255" s="1"/>
    </row>
    <row r="319256" spans="1:1" x14ac:dyDescent="0.25">
      <c r="A319256" s="1"/>
    </row>
    <row r="319257" spans="1:1" x14ac:dyDescent="0.25">
      <c r="A319257" s="1"/>
    </row>
    <row r="319258" spans="1:1" x14ac:dyDescent="0.25">
      <c r="A319258" s="1"/>
    </row>
    <row r="319259" spans="1:1" x14ac:dyDescent="0.25">
      <c r="A319259" s="1"/>
    </row>
    <row r="319260" spans="1:1" x14ac:dyDescent="0.25">
      <c r="A319260" s="1"/>
    </row>
    <row r="319261" spans="1:1" x14ac:dyDescent="0.25">
      <c r="A319261" s="1"/>
    </row>
    <row r="319262" spans="1:1" x14ac:dyDescent="0.25">
      <c r="A319262" s="1"/>
    </row>
    <row r="319263" spans="1:1" x14ac:dyDescent="0.25">
      <c r="A319263" s="1"/>
    </row>
    <row r="319264" spans="1:1" x14ac:dyDescent="0.25">
      <c r="A319264" s="1"/>
    </row>
    <row r="319265" spans="1:1" x14ac:dyDescent="0.25">
      <c r="A319265" s="1"/>
    </row>
    <row r="319266" spans="1:1" x14ac:dyDescent="0.25">
      <c r="A319266" s="1"/>
    </row>
    <row r="319267" spans="1:1" x14ac:dyDescent="0.25">
      <c r="A319267" s="1"/>
    </row>
    <row r="319268" spans="1:1" x14ac:dyDescent="0.25">
      <c r="A319268" s="1"/>
    </row>
    <row r="319269" spans="1:1" x14ac:dyDescent="0.25">
      <c r="A319269" s="1"/>
    </row>
    <row r="319270" spans="1:1" x14ac:dyDescent="0.25">
      <c r="A319270" s="1"/>
    </row>
    <row r="319271" spans="1:1" x14ac:dyDescent="0.25">
      <c r="A319271" s="1"/>
    </row>
    <row r="319272" spans="1:1" x14ac:dyDescent="0.25">
      <c r="A319272" s="1"/>
    </row>
    <row r="319273" spans="1:1" x14ac:dyDescent="0.25">
      <c r="A319273" s="1"/>
    </row>
    <row r="319274" spans="1:1" x14ac:dyDescent="0.25">
      <c r="A319274" s="1"/>
    </row>
    <row r="319275" spans="1:1" x14ac:dyDescent="0.25">
      <c r="A319275" s="1"/>
    </row>
    <row r="319276" spans="1:1" x14ac:dyDescent="0.25">
      <c r="A319276" s="1"/>
    </row>
    <row r="319277" spans="1:1" x14ac:dyDescent="0.25">
      <c r="A319277" s="1"/>
    </row>
    <row r="319278" spans="1:1" x14ac:dyDescent="0.25">
      <c r="A319278" s="1"/>
    </row>
    <row r="319279" spans="1:1" x14ac:dyDescent="0.25">
      <c r="A319279" s="1"/>
    </row>
    <row r="319280" spans="1:1" x14ac:dyDescent="0.25">
      <c r="A319280" s="1"/>
    </row>
    <row r="319281" spans="1:1" x14ac:dyDescent="0.25">
      <c r="A319281" s="1"/>
    </row>
    <row r="319282" spans="1:1" x14ac:dyDescent="0.25">
      <c r="A319282" s="1"/>
    </row>
    <row r="319283" spans="1:1" x14ac:dyDescent="0.25">
      <c r="A319283" s="1"/>
    </row>
    <row r="319284" spans="1:1" x14ac:dyDescent="0.25">
      <c r="A319284" s="1"/>
    </row>
    <row r="319285" spans="1:1" x14ac:dyDescent="0.25">
      <c r="A319285" s="1"/>
    </row>
    <row r="319286" spans="1:1" x14ac:dyDescent="0.25">
      <c r="A319286" s="1"/>
    </row>
    <row r="319287" spans="1:1" x14ac:dyDescent="0.25">
      <c r="A319287" s="1"/>
    </row>
    <row r="319288" spans="1:1" x14ac:dyDescent="0.25">
      <c r="A319288" s="1"/>
    </row>
    <row r="319289" spans="1:1" x14ac:dyDescent="0.25">
      <c r="A319289" s="1"/>
    </row>
    <row r="319290" spans="1:1" x14ac:dyDescent="0.25">
      <c r="A319290" s="1"/>
    </row>
    <row r="319291" spans="1:1" x14ac:dyDescent="0.25">
      <c r="A319291" s="1"/>
    </row>
    <row r="319292" spans="1:1" x14ac:dyDescent="0.25">
      <c r="A319292" s="1"/>
    </row>
    <row r="319293" spans="1:1" x14ac:dyDescent="0.25">
      <c r="A319293" s="1"/>
    </row>
    <row r="319294" spans="1:1" x14ac:dyDescent="0.25">
      <c r="A319294" s="1"/>
    </row>
    <row r="319295" spans="1:1" x14ac:dyDescent="0.25">
      <c r="A319295" s="1"/>
    </row>
    <row r="319296" spans="1:1" x14ac:dyDescent="0.25">
      <c r="A319296" s="1"/>
    </row>
    <row r="319297" spans="1:1" x14ac:dyDescent="0.25">
      <c r="A319297" s="1"/>
    </row>
    <row r="319298" spans="1:1" x14ac:dyDescent="0.25">
      <c r="A319298" s="1"/>
    </row>
    <row r="319299" spans="1:1" x14ac:dyDescent="0.25">
      <c r="A319299" s="1"/>
    </row>
    <row r="319300" spans="1:1" x14ac:dyDescent="0.25">
      <c r="A319300" s="1"/>
    </row>
    <row r="319301" spans="1:1" x14ac:dyDescent="0.25">
      <c r="A319301" s="1"/>
    </row>
    <row r="319302" spans="1:1" x14ac:dyDescent="0.25">
      <c r="A319302" s="1"/>
    </row>
    <row r="319303" spans="1:1" x14ac:dyDescent="0.25">
      <c r="A319303" s="1"/>
    </row>
    <row r="319304" spans="1:1" x14ac:dyDescent="0.25">
      <c r="A319304" s="1"/>
    </row>
    <row r="319305" spans="1:1" x14ac:dyDescent="0.25">
      <c r="A319305" s="1"/>
    </row>
    <row r="319306" spans="1:1" x14ac:dyDescent="0.25">
      <c r="A319306" s="1"/>
    </row>
    <row r="319307" spans="1:1" x14ac:dyDescent="0.25">
      <c r="A319307" s="1"/>
    </row>
    <row r="319308" spans="1:1" x14ac:dyDescent="0.25">
      <c r="A319308" s="1"/>
    </row>
    <row r="319309" spans="1:1" x14ac:dyDescent="0.25">
      <c r="A319309" s="1"/>
    </row>
    <row r="319310" spans="1:1" x14ac:dyDescent="0.25">
      <c r="A319310" s="1"/>
    </row>
    <row r="319311" spans="1:1" x14ac:dyDescent="0.25">
      <c r="A319311" s="1"/>
    </row>
    <row r="319312" spans="1:1" x14ac:dyDescent="0.25">
      <c r="A319312" s="1"/>
    </row>
    <row r="319313" spans="1:1" x14ac:dyDescent="0.25">
      <c r="A319313" s="1"/>
    </row>
    <row r="319314" spans="1:1" x14ac:dyDescent="0.25">
      <c r="A319314" s="1"/>
    </row>
    <row r="319315" spans="1:1" x14ac:dyDescent="0.25">
      <c r="A319315" s="1"/>
    </row>
    <row r="319316" spans="1:1" x14ac:dyDescent="0.25">
      <c r="A319316" s="1"/>
    </row>
    <row r="319317" spans="1:1" x14ac:dyDescent="0.25">
      <c r="A319317" s="1"/>
    </row>
    <row r="319318" spans="1:1" x14ac:dyDescent="0.25">
      <c r="A319318" s="1"/>
    </row>
    <row r="319319" spans="1:1" x14ac:dyDescent="0.25">
      <c r="A319319" s="1"/>
    </row>
    <row r="319320" spans="1:1" x14ac:dyDescent="0.25">
      <c r="A319320" s="1"/>
    </row>
    <row r="319321" spans="1:1" x14ac:dyDescent="0.25">
      <c r="A319321" s="1"/>
    </row>
    <row r="319322" spans="1:1" x14ac:dyDescent="0.25">
      <c r="A319322" s="1"/>
    </row>
    <row r="319323" spans="1:1" x14ac:dyDescent="0.25">
      <c r="A319323" s="1"/>
    </row>
    <row r="319324" spans="1:1" x14ac:dyDescent="0.25">
      <c r="A319324" s="1"/>
    </row>
    <row r="319325" spans="1:1" x14ac:dyDescent="0.25">
      <c r="A319325" s="1"/>
    </row>
    <row r="319326" spans="1:1" x14ac:dyDescent="0.25">
      <c r="A319326" s="1"/>
    </row>
    <row r="319327" spans="1:1" x14ac:dyDescent="0.25">
      <c r="A319327" s="1"/>
    </row>
    <row r="319328" spans="1:1" x14ac:dyDescent="0.25">
      <c r="A319328" s="1"/>
    </row>
    <row r="319329" spans="1:1" x14ac:dyDescent="0.25">
      <c r="A319329" s="1"/>
    </row>
    <row r="319330" spans="1:1" x14ac:dyDescent="0.25">
      <c r="A319330" s="1"/>
    </row>
    <row r="319331" spans="1:1" x14ac:dyDescent="0.25">
      <c r="A319331" s="1"/>
    </row>
    <row r="319332" spans="1:1" x14ac:dyDescent="0.25">
      <c r="A319332" s="1"/>
    </row>
    <row r="319333" spans="1:1" x14ac:dyDescent="0.25">
      <c r="A319333" s="1"/>
    </row>
    <row r="319334" spans="1:1" x14ac:dyDescent="0.25">
      <c r="A319334" s="1"/>
    </row>
    <row r="319335" spans="1:1" x14ac:dyDescent="0.25">
      <c r="A319335" s="1"/>
    </row>
    <row r="319336" spans="1:1" x14ac:dyDescent="0.25">
      <c r="A319336" s="1"/>
    </row>
    <row r="319337" spans="1:1" x14ac:dyDescent="0.25">
      <c r="A319337" s="1"/>
    </row>
    <row r="319338" spans="1:1" x14ac:dyDescent="0.25">
      <c r="A319338" s="1"/>
    </row>
    <row r="319339" spans="1:1" x14ac:dyDescent="0.25">
      <c r="A319339" s="1"/>
    </row>
    <row r="319340" spans="1:1" x14ac:dyDescent="0.25">
      <c r="A319340" s="1"/>
    </row>
    <row r="319341" spans="1:1" x14ac:dyDescent="0.25">
      <c r="A319341" s="1"/>
    </row>
    <row r="319342" spans="1:1" x14ac:dyDescent="0.25">
      <c r="A319342" s="1"/>
    </row>
    <row r="319343" spans="1:1" x14ac:dyDescent="0.25">
      <c r="A319343" s="1"/>
    </row>
    <row r="319344" spans="1:1" x14ac:dyDescent="0.25">
      <c r="A319344" s="1"/>
    </row>
    <row r="319345" spans="1:1" x14ac:dyDescent="0.25">
      <c r="A319345" s="1"/>
    </row>
    <row r="319346" spans="1:1" x14ac:dyDescent="0.25">
      <c r="A319346" s="1"/>
    </row>
    <row r="319347" spans="1:1" x14ac:dyDescent="0.25">
      <c r="A319347" s="1"/>
    </row>
    <row r="319348" spans="1:1" x14ac:dyDescent="0.25">
      <c r="A319348" s="1"/>
    </row>
    <row r="319349" spans="1:1" x14ac:dyDescent="0.25">
      <c r="A319349" s="1"/>
    </row>
    <row r="319350" spans="1:1" x14ac:dyDescent="0.25">
      <c r="A319350" s="1"/>
    </row>
    <row r="319351" spans="1:1" x14ac:dyDescent="0.25">
      <c r="A319351" s="1"/>
    </row>
    <row r="319352" spans="1:1" x14ac:dyDescent="0.25">
      <c r="A319352" s="1"/>
    </row>
    <row r="319353" spans="1:1" x14ac:dyDescent="0.25">
      <c r="A319353" s="1"/>
    </row>
    <row r="319354" spans="1:1" x14ac:dyDescent="0.25">
      <c r="A319354" s="1"/>
    </row>
    <row r="319355" spans="1:1" x14ac:dyDescent="0.25">
      <c r="A319355" s="1"/>
    </row>
    <row r="319356" spans="1:1" x14ac:dyDescent="0.25">
      <c r="A319356" s="1"/>
    </row>
    <row r="319357" spans="1:1" x14ac:dyDescent="0.25">
      <c r="A319357" s="1"/>
    </row>
    <row r="319358" spans="1:1" x14ac:dyDescent="0.25">
      <c r="A319358" s="1"/>
    </row>
    <row r="319359" spans="1:1" x14ac:dyDescent="0.25">
      <c r="A319359" s="1"/>
    </row>
    <row r="319360" spans="1:1" x14ac:dyDescent="0.25">
      <c r="A319360" s="1"/>
    </row>
    <row r="319361" spans="1:1" x14ac:dyDescent="0.25">
      <c r="A319361" s="1"/>
    </row>
    <row r="319362" spans="1:1" x14ac:dyDescent="0.25">
      <c r="A319362" s="1"/>
    </row>
    <row r="319363" spans="1:1" x14ac:dyDescent="0.25">
      <c r="A319363" s="1"/>
    </row>
    <row r="319364" spans="1:1" x14ac:dyDescent="0.25">
      <c r="A319364" s="1"/>
    </row>
    <row r="319365" spans="1:1" x14ac:dyDescent="0.25">
      <c r="A319365" s="1"/>
    </row>
    <row r="319366" spans="1:1" x14ac:dyDescent="0.25">
      <c r="A319366" s="1"/>
    </row>
    <row r="319367" spans="1:1" x14ac:dyDescent="0.25">
      <c r="A319367" s="1"/>
    </row>
    <row r="319368" spans="1:1" x14ac:dyDescent="0.25">
      <c r="A319368" s="1"/>
    </row>
    <row r="319369" spans="1:1" x14ac:dyDescent="0.25">
      <c r="A319369" s="1"/>
    </row>
    <row r="319370" spans="1:1" x14ac:dyDescent="0.25">
      <c r="A319370" s="1"/>
    </row>
    <row r="319371" spans="1:1" x14ac:dyDescent="0.25">
      <c r="A319371" s="1"/>
    </row>
    <row r="319372" spans="1:1" x14ac:dyDescent="0.25">
      <c r="A319372" s="1"/>
    </row>
    <row r="319373" spans="1:1" x14ac:dyDescent="0.25">
      <c r="A319373" s="1"/>
    </row>
    <row r="319374" spans="1:1" x14ac:dyDescent="0.25">
      <c r="A319374" s="1"/>
    </row>
    <row r="319375" spans="1:1" x14ac:dyDescent="0.25">
      <c r="A319375" s="1"/>
    </row>
    <row r="319376" spans="1:1" x14ac:dyDescent="0.25">
      <c r="A319376" s="1"/>
    </row>
    <row r="319377" spans="1:1" x14ac:dyDescent="0.25">
      <c r="A319377" s="1"/>
    </row>
    <row r="319378" spans="1:1" x14ac:dyDescent="0.25">
      <c r="A319378" s="1"/>
    </row>
    <row r="319379" spans="1:1" x14ac:dyDescent="0.25">
      <c r="A319379" s="1"/>
    </row>
    <row r="319380" spans="1:1" x14ac:dyDescent="0.25">
      <c r="A319380" s="1"/>
    </row>
    <row r="319381" spans="1:1" x14ac:dyDescent="0.25">
      <c r="A319381" s="1"/>
    </row>
    <row r="319382" spans="1:1" x14ac:dyDescent="0.25">
      <c r="A319382" s="1"/>
    </row>
    <row r="319383" spans="1:1" x14ac:dyDescent="0.25">
      <c r="A319383" s="1"/>
    </row>
    <row r="319384" spans="1:1" x14ac:dyDescent="0.25">
      <c r="A319384" s="1"/>
    </row>
    <row r="319385" spans="1:1" x14ac:dyDescent="0.25">
      <c r="A319385" s="1"/>
    </row>
    <row r="319386" spans="1:1" x14ac:dyDescent="0.25">
      <c r="A319386" s="1"/>
    </row>
    <row r="319387" spans="1:1" x14ac:dyDescent="0.25">
      <c r="A319387" s="1"/>
    </row>
    <row r="319388" spans="1:1" x14ac:dyDescent="0.25">
      <c r="A319388" s="1"/>
    </row>
    <row r="319389" spans="1:1" x14ac:dyDescent="0.25">
      <c r="A319389" s="1"/>
    </row>
    <row r="319390" spans="1:1" x14ac:dyDescent="0.25">
      <c r="A319390" s="1"/>
    </row>
    <row r="319391" spans="1:1" x14ac:dyDescent="0.25">
      <c r="A319391" s="1"/>
    </row>
    <row r="319392" spans="1:1" x14ac:dyDescent="0.25">
      <c r="A319392" s="1"/>
    </row>
    <row r="319393" spans="1:1" x14ac:dyDescent="0.25">
      <c r="A319393" s="1"/>
    </row>
    <row r="319394" spans="1:1" x14ac:dyDescent="0.25">
      <c r="A319394" s="1"/>
    </row>
    <row r="319395" spans="1:1" x14ac:dyDescent="0.25">
      <c r="A319395" s="1"/>
    </row>
    <row r="319396" spans="1:1" x14ac:dyDescent="0.25">
      <c r="A319396" s="1"/>
    </row>
    <row r="319397" spans="1:1" x14ac:dyDescent="0.25">
      <c r="A319397" s="1"/>
    </row>
    <row r="319398" spans="1:1" x14ac:dyDescent="0.25">
      <c r="A319398" s="1"/>
    </row>
    <row r="319399" spans="1:1" x14ac:dyDescent="0.25">
      <c r="A319399" s="1"/>
    </row>
    <row r="319400" spans="1:1" x14ac:dyDescent="0.25">
      <c r="A319400" s="1"/>
    </row>
    <row r="319401" spans="1:1" x14ac:dyDescent="0.25">
      <c r="A319401" s="1"/>
    </row>
    <row r="319402" spans="1:1" x14ac:dyDescent="0.25">
      <c r="A319402" s="1"/>
    </row>
    <row r="319403" spans="1:1" x14ac:dyDescent="0.25">
      <c r="A319403" s="1"/>
    </row>
    <row r="319404" spans="1:1" x14ac:dyDescent="0.25">
      <c r="A319404" s="1"/>
    </row>
    <row r="319405" spans="1:1" x14ac:dyDescent="0.25">
      <c r="A319405" s="1"/>
    </row>
    <row r="319406" spans="1:1" x14ac:dyDescent="0.25">
      <c r="A319406" s="1"/>
    </row>
    <row r="319407" spans="1:1" x14ac:dyDescent="0.25">
      <c r="A319407" s="1"/>
    </row>
    <row r="319408" spans="1:1" x14ac:dyDescent="0.25">
      <c r="A319408" s="1"/>
    </row>
    <row r="319409" spans="1:1" x14ac:dyDescent="0.25">
      <c r="A319409" s="1"/>
    </row>
    <row r="319410" spans="1:1" x14ac:dyDescent="0.25">
      <c r="A319410" s="1"/>
    </row>
    <row r="319411" spans="1:1" x14ac:dyDescent="0.25">
      <c r="A319411" s="1"/>
    </row>
    <row r="319412" spans="1:1" x14ac:dyDescent="0.25">
      <c r="A319412" s="1"/>
    </row>
    <row r="319413" spans="1:1" x14ac:dyDescent="0.25">
      <c r="A319413" s="1"/>
    </row>
    <row r="319414" spans="1:1" x14ac:dyDescent="0.25">
      <c r="A319414" s="1"/>
    </row>
    <row r="319415" spans="1:1" x14ac:dyDescent="0.25">
      <c r="A319415" s="1"/>
    </row>
    <row r="319416" spans="1:1" x14ac:dyDescent="0.25">
      <c r="A319416" s="1"/>
    </row>
    <row r="319417" spans="1:1" x14ac:dyDescent="0.25">
      <c r="A319417" s="1"/>
    </row>
    <row r="319418" spans="1:1" x14ac:dyDescent="0.25">
      <c r="A319418" s="1"/>
    </row>
    <row r="319419" spans="1:1" x14ac:dyDescent="0.25">
      <c r="A319419" s="1"/>
    </row>
    <row r="319420" spans="1:1" x14ac:dyDescent="0.25">
      <c r="A319420" s="1"/>
    </row>
    <row r="319421" spans="1:1" x14ac:dyDescent="0.25">
      <c r="A319421" s="1"/>
    </row>
    <row r="319422" spans="1:1" x14ac:dyDescent="0.25">
      <c r="A319422" s="1"/>
    </row>
    <row r="319423" spans="1:1" x14ac:dyDescent="0.25">
      <c r="A319423" s="1"/>
    </row>
    <row r="319424" spans="1:1" x14ac:dyDescent="0.25">
      <c r="A319424" s="1"/>
    </row>
    <row r="319425" spans="1:1" x14ac:dyDescent="0.25">
      <c r="A319425" s="1"/>
    </row>
    <row r="319426" spans="1:1" x14ac:dyDescent="0.25">
      <c r="A319426" s="1"/>
    </row>
    <row r="319427" spans="1:1" x14ac:dyDescent="0.25">
      <c r="A319427" s="1"/>
    </row>
    <row r="319428" spans="1:1" x14ac:dyDescent="0.25">
      <c r="A319428" s="1"/>
    </row>
    <row r="319429" spans="1:1" x14ac:dyDescent="0.25">
      <c r="A319429" s="1"/>
    </row>
    <row r="319430" spans="1:1" x14ac:dyDescent="0.25">
      <c r="A319430" s="1"/>
    </row>
    <row r="319431" spans="1:1" x14ac:dyDescent="0.25">
      <c r="A319431" s="1"/>
    </row>
    <row r="319432" spans="1:1" x14ac:dyDescent="0.25">
      <c r="A319432" s="1"/>
    </row>
    <row r="319433" spans="1:1" x14ac:dyDescent="0.25">
      <c r="A319433" s="1"/>
    </row>
    <row r="319434" spans="1:1" x14ac:dyDescent="0.25">
      <c r="A319434" s="1"/>
    </row>
    <row r="319435" spans="1:1" x14ac:dyDescent="0.25">
      <c r="A319435" s="1"/>
    </row>
    <row r="319436" spans="1:1" x14ac:dyDescent="0.25">
      <c r="A319436" s="1"/>
    </row>
    <row r="319437" spans="1:1" x14ac:dyDescent="0.25">
      <c r="A319437" s="1"/>
    </row>
    <row r="319438" spans="1:1" x14ac:dyDescent="0.25">
      <c r="A319438" s="1"/>
    </row>
    <row r="319439" spans="1:1" x14ac:dyDescent="0.25">
      <c r="A319439" s="1"/>
    </row>
    <row r="319440" spans="1:1" x14ac:dyDescent="0.25">
      <c r="A319440" s="1"/>
    </row>
    <row r="319441" spans="1:1" x14ac:dyDescent="0.25">
      <c r="A319441" s="1"/>
    </row>
    <row r="319442" spans="1:1" x14ac:dyDescent="0.25">
      <c r="A319442" s="1"/>
    </row>
    <row r="319443" spans="1:1" x14ac:dyDescent="0.25">
      <c r="A319443" s="1"/>
    </row>
    <row r="319444" spans="1:1" x14ac:dyDescent="0.25">
      <c r="A319444" s="1"/>
    </row>
    <row r="319445" spans="1:1" x14ac:dyDescent="0.25">
      <c r="A319445" s="1"/>
    </row>
    <row r="319446" spans="1:1" x14ac:dyDescent="0.25">
      <c r="A319446" s="1"/>
    </row>
    <row r="319447" spans="1:1" x14ac:dyDescent="0.25">
      <c r="A319447" s="1"/>
    </row>
    <row r="319448" spans="1:1" x14ac:dyDescent="0.25">
      <c r="A319448" s="1"/>
    </row>
    <row r="319449" spans="1:1" x14ac:dyDescent="0.25">
      <c r="A319449" s="1"/>
    </row>
    <row r="319450" spans="1:1" x14ac:dyDescent="0.25">
      <c r="A319450" s="1"/>
    </row>
    <row r="319451" spans="1:1" x14ac:dyDescent="0.25">
      <c r="A319451" s="1"/>
    </row>
    <row r="319452" spans="1:1" x14ac:dyDescent="0.25">
      <c r="A319452" s="1"/>
    </row>
    <row r="319453" spans="1:1" x14ac:dyDescent="0.25">
      <c r="A319453" s="1"/>
    </row>
    <row r="319454" spans="1:1" x14ac:dyDescent="0.25">
      <c r="A319454" s="1"/>
    </row>
    <row r="319455" spans="1:1" x14ac:dyDescent="0.25">
      <c r="A319455" s="1"/>
    </row>
    <row r="319456" spans="1:1" x14ac:dyDescent="0.25">
      <c r="A319456" s="1"/>
    </row>
    <row r="319457" spans="1:1" x14ac:dyDescent="0.25">
      <c r="A319457" s="1"/>
    </row>
    <row r="319458" spans="1:1" x14ac:dyDescent="0.25">
      <c r="A319458" s="1"/>
    </row>
    <row r="319459" spans="1:1" x14ac:dyDescent="0.25">
      <c r="A319459" s="1"/>
    </row>
    <row r="319460" spans="1:1" x14ac:dyDescent="0.25">
      <c r="A319460" s="1"/>
    </row>
    <row r="319461" spans="1:1" x14ac:dyDescent="0.25">
      <c r="A319461" s="1"/>
    </row>
    <row r="319462" spans="1:1" x14ac:dyDescent="0.25">
      <c r="A319462" s="1"/>
    </row>
    <row r="319463" spans="1:1" x14ac:dyDescent="0.25">
      <c r="A319463" s="1"/>
    </row>
    <row r="319464" spans="1:1" x14ac:dyDescent="0.25">
      <c r="A319464" s="1"/>
    </row>
    <row r="319465" spans="1:1" x14ac:dyDescent="0.25">
      <c r="A319465" s="1"/>
    </row>
    <row r="319466" spans="1:1" x14ac:dyDescent="0.25">
      <c r="A319466" s="1"/>
    </row>
    <row r="319467" spans="1:1" x14ac:dyDescent="0.25">
      <c r="A319467" s="1"/>
    </row>
    <row r="319468" spans="1:1" x14ac:dyDescent="0.25">
      <c r="A319468" s="1"/>
    </row>
    <row r="319469" spans="1:1" x14ac:dyDescent="0.25">
      <c r="A319469" s="1"/>
    </row>
    <row r="319470" spans="1:1" x14ac:dyDescent="0.25">
      <c r="A319470" s="1"/>
    </row>
    <row r="319471" spans="1:1" x14ac:dyDescent="0.25">
      <c r="A319471" s="1"/>
    </row>
    <row r="319472" spans="1:1" x14ac:dyDescent="0.25">
      <c r="A319472" s="1"/>
    </row>
    <row r="319473" spans="1:1" x14ac:dyDescent="0.25">
      <c r="A319473" s="1"/>
    </row>
    <row r="319474" spans="1:1" x14ac:dyDescent="0.25">
      <c r="A319474" s="1"/>
    </row>
    <row r="319475" spans="1:1" x14ac:dyDescent="0.25">
      <c r="A319475" s="1"/>
    </row>
    <row r="319476" spans="1:1" x14ac:dyDescent="0.25">
      <c r="A319476" s="1"/>
    </row>
    <row r="319477" spans="1:1" x14ac:dyDescent="0.25">
      <c r="A319477" s="1"/>
    </row>
    <row r="319478" spans="1:1" x14ac:dyDescent="0.25">
      <c r="A319478" s="1"/>
    </row>
    <row r="319479" spans="1:1" x14ac:dyDescent="0.25">
      <c r="A319479" s="1"/>
    </row>
    <row r="319480" spans="1:1" x14ac:dyDescent="0.25">
      <c r="A319480" s="1"/>
    </row>
    <row r="319481" spans="1:1" x14ac:dyDescent="0.25">
      <c r="A319481" s="1"/>
    </row>
    <row r="319482" spans="1:1" x14ac:dyDescent="0.25">
      <c r="A319482" s="1"/>
    </row>
    <row r="319483" spans="1:1" x14ac:dyDescent="0.25">
      <c r="A319483" s="1"/>
    </row>
    <row r="319484" spans="1:1" x14ac:dyDescent="0.25">
      <c r="A319484" s="1"/>
    </row>
    <row r="319485" spans="1:1" x14ac:dyDescent="0.25">
      <c r="A319485" s="1"/>
    </row>
    <row r="319486" spans="1:1" x14ac:dyDescent="0.25">
      <c r="A319486" s="1"/>
    </row>
    <row r="319487" spans="1:1" x14ac:dyDescent="0.25">
      <c r="A319487" s="1"/>
    </row>
    <row r="319488" spans="1:1" x14ac:dyDescent="0.25">
      <c r="A319488" s="1"/>
    </row>
    <row r="319489" spans="1:1" x14ac:dyDescent="0.25">
      <c r="A319489" s="1"/>
    </row>
    <row r="319490" spans="1:1" x14ac:dyDescent="0.25">
      <c r="A319490" s="1"/>
    </row>
    <row r="319491" spans="1:1" x14ac:dyDescent="0.25">
      <c r="A319491" s="1"/>
    </row>
    <row r="319492" spans="1:1" x14ac:dyDescent="0.25">
      <c r="A319492" s="1"/>
    </row>
    <row r="319493" spans="1:1" x14ac:dyDescent="0.25">
      <c r="A319493" s="1"/>
    </row>
    <row r="319494" spans="1:1" x14ac:dyDescent="0.25">
      <c r="A319494" s="1"/>
    </row>
    <row r="319495" spans="1:1" x14ac:dyDescent="0.25">
      <c r="A319495" s="1"/>
    </row>
    <row r="319496" spans="1:1" x14ac:dyDescent="0.25">
      <c r="A319496" s="1"/>
    </row>
    <row r="319497" spans="1:1" x14ac:dyDescent="0.25">
      <c r="A319497" s="1"/>
    </row>
    <row r="319498" spans="1:1" x14ac:dyDescent="0.25">
      <c r="A319498" s="1"/>
    </row>
    <row r="319499" spans="1:1" x14ac:dyDescent="0.25">
      <c r="A319499" s="1"/>
    </row>
    <row r="319500" spans="1:1" x14ac:dyDescent="0.25">
      <c r="A319500" s="1"/>
    </row>
    <row r="319501" spans="1:1" x14ac:dyDescent="0.25">
      <c r="A319501" s="1"/>
    </row>
    <row r="319502" spans="1:1" x14ac:dyDescent="0.25">
      <c r="A319502" s="1"/>
    </row>
    <row r="319503" spans="1:1" x14ac:dyDescent="0.25">
      <c r="A319503" s="1"/>
    </row>
    <row r="319504" spans="1:1" x14ac:dyDescent="0.25">
      <c r="A319504" s="1"/>
    </row>
    <row r="319505" spans="1:1" x14ac:dyDescent="0.25">
      <c r="A319505" s="1"/>
    </row>
    <row r="319506" spans="1:1" x14ac:dyDescent="0.25">
      <c r="A319506" s="1"/>
    </row>
    <row r="319507" spans="1:1" x14ac:dyDescent="0.25">
      <c r="A319507" s="1"/>
    </row>
    <row r="319508" spans="1:1" x14ac:dyDescent="0.25">
      <c r="A319508" s="1"/>
    </row>
    <row r="319509" spans="1:1" x14ac:dyDescent="0.25">
      <c r="A319509" s="1"/>
    </row>
    <row r="319510" spans="1:1" x14ac:dyDescent="0.25">
      <c r="A319510" s="1"/>
    </row>
    <row r="319511" spans="1:1" x14ac:dyDescent="0.25">
      <c r="A319511" s="1"/>
    </row>
    <row r="319512" spans="1:1" x14ac:dyDescent="0.25">
      <c r="A319512" s="1"/>
    </row>
    <row r="319513" spans="1:1" x14ac:dyDescent="0.25">
      <c r="A319513" s="1"/>
    </row>
    <row r="319514" spans="1:1" x14ac:dyDescent="0.25">
      <c r="A319514" s="1"/>
    </row>
    <row r="319515" spans="1:1" x14ac:dyDescent="0.25">
      <c r="A319515" s="1"/>
    </row>
    <row r="319516" spans="1:1" x14ac:dyDescent="0.25">
      <c r="A319516" s="1"/>
    </row>
    <row r="319517" spans="1:1" x14ac:dyDescent="0.25">
      <c r="A319517" s="1"/>
    </row>
    <row r="319518" spans="1:1" x14ac:dyDescent="0.25">
      <c r="A319518" s="1"/>
    </row>
    <row r="319519" spans="1:1" x14ac:dyDescent="0.25">
      <c r="A319519" s="1"/>
    </row>
    <row r="319520" spans="1:1" x14ac:dyDescent="0.25">
      <c r="A319520" s="1"/>
    </row>
    <row r="319521" spans="1:1" x14ac:dyDescent="0.25">
      <c r="A319521" s="1"/>
    </row>
    <row r="319522" spans="1:1" x14ac:dyDescent="0.25">
      <c r="A319522" s="1"/>
    </row>
    <row r="319523" spans="1:1" x14ac:dyDescent="0.25">
      <c r="A319523" s="1"/>
    </row>
    <row r="319524" spans="1:1" x14ac:dyDescent="0.25">
      <c r="A319524" s="1"/>
    </row>
    <row r="319525" spans="1:1" x14ac:dyDescent="0.25">
      <c r="A319525" s="1"/>
    </row>
    <row r="319526" spans="1:1" x14ac:dyDescent="0.25">
      <c r="A319526" s="1"/>
    </row>
    <row r="319527" spans="1:1" x14ac:dyDescent="0.25">
      <c r="A319527" s="1"/>
    </row>
    <row r="319528" spans="1:1" x14ac:dyDescent="0.25">
      <c r="A319528" s="1"/>
    </row>
    <row r="319529" spans="1:1" x14ac:dyDescent="0.25">
      <c r="A319529" s="1"/>
    </row>
    <row r="319530" spans="1:1" x14ac:dyDescent="0.25">
      <c r="A319530" s="1"/>
    </row>
    <row r="319531" spans="1:1" x14ac:dyDescent="0.25">
      <c r="A319531" s="1"/>
    </row>
    <row r="319532" spans="1:1" x14ac:dyDescent="0.25">
      <c r="A319532" s="1"/>
    </row>
    <row r="319533" spans="1:1" x14ac:dyDescent="0.25">
      <c r="A319533" s="1"/>
    </row>
    <row r="319534" spans="1:1" x14ac:dyDescent="0.25">
      <c r="A319534" s="1"/>
    </row>
    <row r="319535" spans="1:1" x14ac:dyDescent="0.25">
      <c r="A319535" s="1"/>
    </row>
    <row r="319536" spans="1:1" x14ac:dyDescent="0.25">
      <c r="A319536" s="1"/>
    </row>
    <row r="319537" spans="1:1" x14ac:dyDescent="0.25">
      <c r="A319537" s="1"/>
    </row>
    <row r="319538" spans="1:1" x14ac:dyDescent="0.25">
      <c r="A319538" s="1"/>
    </row>
    <row r="319539" spans="1:1" x14ac:dyDescent="0.25">
      <c r="A319539" s="1"/>
    </row>
    <row r="319540" spans="1:1" x14ac:dyDescent="0.25">
      <c r="A319540" s="1"/>
    </row>
    <row r="319541" spans="1:1" x14ac:dyDescent="0.25">
      <c r="A319541" s="1"/>
    </row>
    <row r="319542" spans="1:1" x14ac:dyDescent="0.25">
      <c r="A319542" s="1"/>
    </row>
    <row r="319543" spans="1:1" x14ac:dyDescent="0.25">
      <c r="A319543" s="1"/>
    </row>
    <row r="319544" spans="1:1" x14ac:dyDescent="0.25">
      <c r="A319544" s="1"/>
    </row>
    <row r="319545" spans="1:1" x14ac:dyDescent="0.25">
      <c r="A319545" s="1"/>
    </row>
    <row r="319546" spans="1:1" x14ac:dyDescent="0.25">
      <c r="A319546" s="1"/>
    </row>
    <row r="319547" spans="1:1" x14ac:dyDescent="0.25">
      <c r="A319547" s="1"/>
    </row>
    <row r="319548" spans="1:1" x14ac:dyDescent="0.25">
      <c r="A319548" s="1"/>
    </row>
    <row r="319549" spans="1:1" x14ac:dyDescent="0.25">
      <c r="A319549" s="1"/>
    </row>
    <row r="319550" spans="1:1" x14ac:dyDescent="0.25">
      <c r="A319550" s="1"/>
    </row>
    <row r="319551" spans="1:1" x14ac:dyDescent="0.25">
      <c r="A319551" s="1"/>
    </row>
    <row r="319552" spans="1:1" x14ac:dyDescent="0.25">
      <c r="A319552" s="1"/>
    </row>
    <row r="319553" spans="1:1" x14ac:dyDescent="0.25">
      <c r="A319553" s="1"/>
    </row>
    <row r="319554" spans="1:1" x14ac:dyDescent="0.25">
      <c r="A319554" s="1"/>
    </row>
    <row r="319555" spans="1:1" x14ac:dyDescent="0.25">
      <c r="A319555" s="1"/>
    </row>
    <row r="319556" spans="1:1" x14ac:dyDescent="0.25">
      <c r="A319556" s="1"/>
    </row>
    <row r="319557" spans="1:1" x14ac:dyDescent="0.25">
      <c r="A319557" s="1"/>
    </row>
    <row r="319558" spans="1:1" x14ac:dyDescent="0.25">
      <c r="A319558" s="1"/>
    </row>
    <row r="319559" spans="1:1" x14ac:dyDescent="0.25">
      <c r="A319559" s="1"/>
    </row>
    <row r="319560" spans="1:1" x14ac:dyDescent="0.25">
      <c r="A319560" s="1"/>
    </row>
    <row r="319561" spans="1:1" x14ac:dyDescent="0.25">
      <c r="A319561" s="1"/>
    </row>
    <row r="319562" spans="1:1" x14ac:dyDescent="0.25">
      <c r="A319562" s="1"/>
    </row>
    <row r="319563" spans="1:1" x14ac:dyDescent="0.25">
      <c r="A319563" s="1"/>
    </row>
    <row r="319564" spans="1:1" x14ac:dyDescent="0.25">
      <c r="A319564" s="1"/>
    </row>
    <row r="319565" spans="1:1" x14ac:dyDescent="0.25">
      <c r="A319565" s="1"/>
    </row>
    <row r="319566" spans="1:1" x14ac:dyDescent="0.25">
      <c r="A319566" s="1"/>
    </row>
    <row r="319567" spans="1:1" x14ac:dyDescent="0.25">
      <c r="A319567" s="1"/>
    </row>
    <row r="319568" spans="1:1" x14ac:dyDescent="0.25">
      <c r="A319568" s="1"/>
    </row>
    <row r="319569" spans="1:1" x14ac:dyDescent="0.25">
      <c r="A319569" s="1"/>
    </row>
    <row r="319570" spans="1:1" x14ac:dyDescent="0.25">
      <c r="A319570" s="1"/>
    </row>
    <row r="319571" spans="1:1" x14ac:dyDescent="0.25">
      <c r="A319571" s="1"/>
    </row>
    <row r="319572" spans="1:1" x14ac:dyDescent="0.25">
      <c r="A319572" s="1"/>
    </row>
    <row r="319573" spans="1:1" x14ac:dyDescent="0.25">
      <c r="A319573" s="1"/>
    </row>
    <row r="319574" spans="1:1" x14ac:dyDescent="0.25">
      <c r="A319574" s="1"/>
    </row>
    <row r="319575" spans="1:1" x14ac:dyDescent="0.25">
      <c r="A319575" s="1"/>
    </row>
    <row r="319576" spans="1:1" x14ac:dyDescent="0.25">
      <c r="A319576" s="1"/>
    </row>
    <row r="319577" spans="1:1" x14ac:dyDescent="0.25">
      <c r="A319577" s="1"/>
    </row>
    <row r="319578" spans="1:1" x14ac:dyDescent="0.25">
      <c r="A319578" s="1"/>
    </row>
    <row r="319579" spans="1:1" x14ac:dyDescent="0.25">
      <c r="A319579" s="1"/>
    </row>
    <row r="319580" spans="1:1" x14ac:dyDescent="0.25">
      <c r="A319580" s="1"/>
    </row>
    <row r="319581" spans="1:1" x14ac:dyDescent="0.25">
      <c r="A319581" s="1"/>
    </row>
    <row r="319582" spans="1:1" x14ac:dyDescent="0.25">
      <c r="A319582" s="1"/>
    </row>
    <row r="319583" spans="1:1" x14ac:dyDescent="0.25">
      <c r="A319583" s="1"/>
    </row>
    <row r="319584" spans="1:1" x14ac:dyDescent="0.25">
      <c r="A319584" s="1"/>
    </row>
    <row r="319585" spans="1:1" x14ac:dyDescent="0.25">
      <c r="A319585" s="1"/>
    </row>
    <row r="319586" spans="1:1" x14ac:dyDescent="0.25">
      <c r="A319586" s="1"/>
    </row>
    <row r="319587" spans="1:1" x14ac:dyDescent="0.25">
      <c r="A319587" s="1"/>
    </row>
    <row r="319588" spans="1:1" x14ac:dyDescent="0.25">
      <c r="A319588" s="1"/>
    </row>
    <row r="319589" spans="1:1" x14ac:dyDescent="0.25">
      <c r="A319589" s="1"/>
    </row>
    <row r="319590" spans="1:1" x14ac:dyDescent="0.25">
      <c r="A319590" s="1"/>
    </row>
    <row r="319591" spans="1:1" x14ac:dyDescent="0.25">
      <c r="A319591" s="1"/>
    </row>
    <row r="319592" spans="1:1" x14ac:dyDescent="0.25">
      <c r="A319592" s="1"/>
    </row>
    <row r="319593" spans="1:1" x14ac:dyDescent="0.25">
      <c r="A319593" s="1"/>
    </row>
    <row r="319594" spans="1:1" x14ac:dyDescent="0.25">
      <c r="A319594" s="1"/>
    </row>
    <row r="319595" spans="1:1" x14ac:dyDescent="0.25">
      <c r="A319595" s="1"/>
    </row>
    <row r="319596" spans="1:1" x14ac:dyDescent="0.25">
      <c r="A319596" s="1"/>
    </row>
    <row r="319597" spans="1:1" x14ac:dyDescent="0.25">
      <c r="A319597" s="1"/>
    </row>
    <row r="319598" spans="1:1" x14ac:dyDescent="0.25">
      <c r="A319598" s="1"/>
    </row>
    <row r="319599" spans="1:1" x14ac:dyDescent="0.25">
      <c r="A319599" s="1"/>
    </row>
    <row r="319600" spans="1:1" x14ac:dyDescent="0.25">
      <c r="A319600" s="1"/>
    </row>
    <row r="319601" spans="1:1" x14ac:dyDescent="0.25">
      <c r="A319601" s="1"/>
    </row>
    <row r="319602" spans="1:1" x14ac:dyDescent="0.25">
      <c r="A319602" s="1"/>
    </row>
    <row r="319603" spans="1:1" x14ac:dyDescent="0.25">
      <c r="A319603" s="1"/>
    </row>
    <row r="319604" spans="1:1" x14ac:dyDescent="0.25">
      <c r="A319604" s="1"/>
    </row>
    <row r="319605" spans="1:1" x14ac:dyDescent="0.25">
      <c r="A319605" s="1"/>
    </row>
    <row r="319606" spans="1:1" x14ac:dyDescent="0.25">
      <c r="A319606" s="1"/>
    </row>
    <row r="319607" spans="1:1" x14ac:dyDescent="0.25">
      <c r="A319607" s="1"/>
    </row>
    <row r="319608" spans="1:1" x14ac:dyDescent="0.25">
      <c r="A319608" s="1"/>
    </row>
    <row r="319609" spans="1:1" x14ac:dyDescent="0.25">
      <c r="A319609" s="1"/>
    </row>
    <row r="319610" spans="1:1" x14ac:dyDescent="0.25">
      <c r="A319610" s="1"/>
    </row>
    <row r="319611" spans="1:1" x14ac:dyDescent="0.25">
      <c r="A319611" s="1"/>
    </row>
    <row r="319612" spans="1:1" x14ac:dyDescent="0.25">
      <c r="A319612" s="1"/>
    </row>
    <row r="319613" spans="1:1" x14ac:dyDescent="0.25">
      <c r="A319613" s="1"/>
    </row>
    <row r="319614" spans="1:1" x14ac:dyDescent="0.25">
      <c r="A319614" s="1"/>
    </row>
    <row r="319615" spans="1:1" x14ac:dyDescent="0.25">
      <c r="A319615" s="1"/>
    </row>
    <row r="319616" spans="1:1" x14ac:dyDescent="0.25">
      <c r="A319616" s="1"/>
    </row>
    <row r="319617" spans="1:1" x14ac:dyDescent="0.25">
      <c r="A319617" s="1"/>
    </row>
    <row r="319618" spans="1:1" x14ac:dyDescent="0.25">
      <c r="A319618" s="1"/>
    </row>
    <row r="319619" spans="1:1" x14ac:dyDescent="0.25">
      <c r="A319619" s="1"/>
    </row>
    <row r="319620" spans="1:1" x14ac:dyDescent="0.25">
      <c r="A319620" s="1"/>
    </row>
    <row r="319621" spans="1:1" x14ac:dyDescent="0.25">
      <c r="A319621" s="1"/>
    </row>
    <row r="319622" spans="1:1" x14ac:dyDescent="0.25">
      <c r="A319622" s="1"/>
    </row>
    <row r="319623" spans="1:1" x14ac:dyDescent="0.25">
      <c r="A319623" s="1"/>
    </row>
    <row r="319624" spans="1:1" x14ac:dyDescent="0.25">
      <c r="A319624" s="1"/>
    </row>
    <row r="319625" spans="1:1" x14ac:dyDescent="0.25">
      <c r="A319625" s="1"/>
    </row>
    <row r="319626" spans="1:1" x14ac:dyDescent="0.25">
      <c r="A319626" s="1"/>
    </row>
    <row r="319627" spans="1:1" x14ac:dyDescent="0.25">
      <c r="A319627" s="1"/>
    </row>
    <row r="319628" spans="1:1" x14ac:dyDescent="0.25">
      <c r="A319628" s="1"/>
    </row>
    <row r="319629" spans="1:1" x14ac:dyDescent="0.25">
      <c r="A319629" s="1"/>
    </row>
    <row r="319630" spans="1:1" x14ac:dyDescent="0.25">
      <c r="A319630" s="1"/>
    </row>
    <row r="319631" spans="1:1" x14ac:dyDescent="0.25">
      <c r="A319631" s="1"/>
    </row>
    <row r="319632" spans="1:1" x14ac:dyDescent="0.25">
      <c r="A319632" s="1"/>
    </row>
    <row r="319633" spans="1:1" x14ac:dyDescent="0.25">
      <c r="A319633" s="1"/>
    </row>
    <row r="319634" spans="1:1" x14ac:dyDescent="0.25">
      <c r="A319634" s="1"/>
    </row>
    <row r="319635" spans="1:1" x14ac:dyDescent="0.25">
      <c r="A319635" s="1"/>
    </row>
    <row r="319636" spans="1:1" x14ac:dyDescent="0.25">
      <c r="A319636" s="1"/>
    </row>
    <row r="319637" spans="1:1" x14ac:dyDescent="0.25">
      <c r="A319637" s="1"/>
    </row>
    <row r="319638" spans="1:1" x14ac:dyDescent="0.25">
      <c r="A319638" s="1"/>
    </row>
    <row r="319639" spans="1:1" x14ac:dyDescent="0.25">
      <c r="A319639" s="1"/>
    </row>
    <row r="319640" spans="1:1" x14ac:dyDescent="0.25">
      <c r="A319640" s="1"/>
    </row>
    <row r="319641" spans="1:1" x14ac:dyDescent="0.25">
      <c r="A319641" s="1"/>
    </row>
    <row r="319642" spans="1:1" x14ac:dyDescent="0.25">
      <c r="A319642" s="1"/>
    </row>
    <row r="319643" spans="1:1" x14ac:dyDescent="0.25">
      <c r="A319643" s="1"/>
    </row>
    <row r="319644" spans="1:1" x14ac:dyDescent="0.25">
      <c r="A319644" s="1"/>
    </row>
    <row r="319645" spans="1:1" x14ac:dyDescent="0.25">
      <c r="A319645" s="1"/>
    </row>
    <row r="319646" spans="1:1" x14ac:dyDescent="0.25">
      <c r="A319646" s="1"/>
    </row>
    <row r="319647" spans="1:1" x14ac:dyDescent="0.25">
      <c r="A319647" s="1"/>
    </row>
    <row r="319648" spans="1:1" x14ac:dyDescent="0.25">
      <c r="A319648" s="1"/>
    </row>
    <row r="319649" spans="1:1" x14ac:dyDescent="0.25">
      <c r="A319649" s="1"/>
    </row>
    <row r="319650" spans="1:1" x14ac:dyDescent="0.25">
      <c r="A319650" s="1"/>
    </row>
    <row r="319651" spans="1:1" x14ac:dyDescent="0.25">
      <c r="A319651" s="1"/>
    </row>
    <row r="319652" spans="1:1" x14ac:dyDescent="0.25">
      <c r="A319652" s="1"/>
    </row>
    <row r="319653" spans="1:1" x14ac:dyDescent="0.25">
      <c r="A319653" s="1"/>
    </row>
    <row r="319654" spans="1:1" x14ac:dyDescent="0.25">
      <c r="A319654" s="1"/>
    </row>
    <row r="319655" spans="1:1" x14ac:dyDescent="0.25">
      <c r="A319655" s="1"/>
    </row>
    <row r="319656" spans="1:1" x14ac:dyDescent="0.25">
      <c r="A319656" s="1"/>
    </row>
    <row r="319657" spans="1:1" x14ac:dyDescent="0.25">
      <c r="A319657" s="1"/>
    </row>
    <row r="319658" spans="1:1" x14ac:dyDescent="0.25">
      <c r="A319658" s="1"/>
    </row>
    <row r="319659" spans="1:1" x14ac:dyDescent="0.25">
      <c r="A319659" s="1"/>
    </row>
    <row r="319660" spans="1:1" x14ac:dyDescent="0.25">
      <c r="A319660" s="1"/>
    </row>
    <row r="319661" spans="1:1" x14ac:dyDescent="0.25">
      <c r="A319661" s="1"/>
    </row>
    <row r="319662" spans="1:1" x14ac:dyDescent="0.25">
      <c r="A319662" s="1"/>
    </row>
    <row r="319663" spans="1:1" x14ac:dyDescent="0.25">
      <c r="A319663" s="1"/>
    </row>
    <row r="319664" spans="1:1" x14ac:dyDescent="0.25">
      <c r="A319664" s="1"/>
    </row>
    <row r="319665" spans="1:1" x14ac:dyDescent="0.25">
      <c r="A319665" s="1"/>
    </row>
    <row r="319666" spans="1:1" x14ac:dyDescent="0.25">
      <c r="A319666" s="1"/>
    </row>
    <row r="319667" spans="1:1" x14ac:dyDescent="0.25">
      <c r="A319667" s="1"/>
    </row>
    <row r="319668" spans="1:1" x14ac:dyDescent="0.25">
      <c r="A319668" s="1"/>
    </row>
    <row r="319669" spans="1:1" x14ac:dyDescent="0.25">
      <c r="A319669" s="1"/>
    </row>
    <row r="319670" spans="1:1" x14ac:dyDescent="0.25">
      <c r="A319670" s="1"/>
    </row>
    <row r="319671" spans="1:1" x14ac:dyDescent="0.25">
      <c r="A319671" s="1"/>
    </row>
    <row r="319672" spans="1:1" x14ac:dyDescent="0.25">
      <c r="A319672" s="1"/>
    </row>
    <row r="319673" spans="1:1" x14ac:dyDescent="0.25">
      <c r="A319673" s="1"/>
    </row>
    <row r="319674" spans="1:1" x14ac:dyDescent="0.25">
      <c r="A319674" s="1"/>
    </row>
    <row r="319675" spans="1:1" x14ac:dyDescent="0.25">
      <c r="A319675" s="1"/>
    </row>
    <row r="319676" spans="1:1" x14ac:dyDescent="0.25">
      <c r="A319676" s="1"/>
    </row>
    <row r="319677" spans="1:1" x14ac:dyDescent="0.25">
      <c r="A319677" s="1"/>
    </row>
    <row r="319678" spans="1:1" x14ac:dyDescent="0.25">
      <c r="A319678" s="1"/>
    </row>
    <row r="319679" spans="1:1" x14ac:dyDescent="0.25">
      <c r="A319679" s="1"/>
    </row>
    <row r="319680" spans="1:1" x14ac:dyDescent="0.25">
      <c r="A319680" s="1"/>
    </row>
    <row r="319681" spans="1:1" x14ac:dyDescent="0.25">
      <c r="A319681" s="1"/>
    </row>
    <row r="319682" spans="1:1" x14ac:dyDescent="0.25">
      <c r="A319682" s="1"/>
    </row>
    <row r="319683" spans="1:1" x14ac:dyDescent="0.25">
      <c r="A319683" s="1"/>
    </row>
    <row r="319684" spans="1:1" x14ac:dyDescent="0.25">
      <c r="A319684" s="1"/>
    </row>
    <row r="319685" spans="1:1" x14ac:dyDescent="0.25">
      <c r="A319685" s="1"/>
    </row>
    <row r="319686" spans="1:1" x14ac:dyDescent="0.25">
      <c r="A319686" s="1"/>
    </row>
    <row r="319687" spans="1:1" x14ac:dyDescent="0.25">
      <c r="A319687" s="1"/>
    </row>
    <row r="319688" spans="1:1" x14ac:dyDescent="0.25">
      <c r="A319688" s="1"/>
    </row>
    <row r="319689" spans="1:1" x14ac:dyDescent="0.25">
      <c r="A319689" s="1"/>
    </row>
    <row r="319690" spans="1:1" x14ac:dyDescent="0.25">
      <c r="A319690" s="1"/>
    </row>
    <row r="319691" spans="1:1" x14ac:dyDescent="0.25">
      <c r="A319691" s="1"/>
    </row>
    <row r="319692" spans="1:1" x14ac:dyDescent="0.25">
      <c r="A319692" s="1"/>
    </row>
    <row r="319693" spans="1:1" x14ac:dyDescent="0.25">
      <c r="A319693" s="1"/>
    </row>
    <row r="319694" spans="1:1" x14ac:dyDescent="0.25">
      <c r="A319694" s="1"/>
    </row>
    <row r="319695" spans="1:1" x14ac:dyDescent="0.25">
      <c r="A319695" s="1"/>
    </row>
    <row r="319696" spans="1:1" x14ac:dyDescent="0.25">
      <c r="A319696" s="1"/>
    </row>
    <row r="319697" spans="1:1" x14ac:dyDescent="0.25">
      <c r="A319697" s="1"/>
    </row>
    <row r="319698" spans="1:1" x14ac:dyDescent="0.25">
      <c r="A319698" s="1"/>
    </row>
    <row r="319699" spans="1:1" x14ac:dyDescent="0.25">
      <c r="A319699" s="1"/>
    </row>
    <row r="319700" spans="1:1" x14ac:dyDescent="0.25">
      <c r="A319700" s="1"/>
    </row>
    <row r="319701" spans="1:1" x14ac:dyDescent="0.25">
      <c r="A319701" s="1"/>
    </row>
    <row r="319702" spans="1:1" x14ac:dyDescent="0.25">
      <c r="A319702" s="1"/>
    </row>
    <row r="319703" spans="1:1" x14ac:dyDescent="0.25">
      <c r="A319703" s="1"/>
    </row>
    <row r="319704" spans="1:1" x14ac:dyDescent="0.25">
      <c r="A319704" s="1"/>
    </row>
    <row r="319705" spans="1:1" x14ac:dyDescent="0.25">
      <c r="A319705" s="1"/>
    </row>
    <row r="319706" spans="1:1" x14ac:dyDescent="0.25">
      <c r="A319706" s="1"/>
    </row>
    <row r="319707" spans="1:1" x14ac:dyDescent="0.25">
      <c r="A319707" s="1"/>
    </row>
    <row r="319708" spans="1:1" x14ac:dyDescent="0.25">
      <c r="A319708" s="1"/>
    </row>
    <row r="319709" spans="1:1" x14ac:dyDescent="0.25">
      <c r="A319709" s="1"/>
    </row>
    <row r="319710" spans="1:1" x14ac:dyDescent="0.25">
      <c r="A319710" s="1"/>
    </row>
    <row r="319711" spans="1:1" x14ac:dyDescent="0.25">
      <c r="A319711" s="1"/>
    </row>
    <row r="319712" spans="1:1" x14ac:dyDescent="0.25">
      <c r="A319712" s="1"/>
    </row>
    <row r="319713" spans="1:1" x14ac:dyDescent="0.25">
      <c r="A319713" s="1"/>
    </row>
    <row r="319714" spans="1:1" x14ac:dyDescent="0.25">
      <c r="A319714" s="1"/>
    </row>
    <row r="319715" spans="1:1" x14ac:dyDescent="0.25">
      <c r="A319715" s="1"/>
    </row>
    <row r="319716" spans="1:1" x14ac:dyDescent="0.25">
      <c r="A319716" s="1"/>
    </row>
    <row r="319717" spans="1:1" x14ac:dyDescent="0.25">
      <c r="A319717" s="1"/>
    </row>
    <row r="319718" spans="1:1" x14ac:dyDescent="0.25">
      <c r="A319718" s="1"/>
    </row>
    <row r="319719" spans="1:1" x14ac:dyDescent="0.25">
      <c r="A319719" s="1"/>
    </row>
    <row r="319720" spans="1:1" x14ac:dyDescent="0.25">
      <c r="A319720" s="1"/>
    </row>
    <row r="319721" spans="1:1" x14ac:dyDescent="0.25">
      <c r="A319721" s="1"/>
    </row>
    <row r="319722" spans="1:1" x14ac:dyDescent="0.25">
      <c r="A319722" s="1"/>
    </row>
    <row r="319723" spans="1:1" x14ac:dyDescent="0.25">
      <c r="A319723" s="1"/>
    </row>
    <row r="319724" spans="1:1" x14ac:dyDescent="0.25">
      <c r="A319724" s="1"/>
    </row>
    <row r="319725" spans="1:1" x14ac:dyDescent="0.25">
      <c r="A319725" s="1"/>
    </row>
    <row r="319726" spans="1:1" x14ac:dyDescent="0.25">
      <c r="A319726" s="1"/>
    </row>
    <row r="319727" spans="1:1" x14ac:dyDescent="0.25">
      <c r="A319727" s="1"/>
    </row>
    <row r="319728" spans="1:1" x14ac:dyDescent="0.25">
      <c r="A319728" s="1"/>
    </row>
    <row r="319729" spans="1:1" x14ac:dyDescent="0.25">
      <c r="A319729" s="1"/>
    </row>
    <row r="319730" spans="1:1" x14ac:dyDescent="0.25">
      <c r="A319730" s="1"/>
    </row>
    <row r="319731" spans="1:1" x14ac:dyDescent="0.25">
      <c r="A319731" s="1"/>
    </row>
    <row r="319732" spans="1:1" x14ac:dyDescent="0.25">
      <c r="A319732" s="1"/>
    </row>
    <row r="319733" spans="1:1" x14ac:dyDescent="0.25">
      <c r="A319733" s="1"/>
    </row>
    <row r="319734" spans="1:1" x14ac:dyDescent="0.25">
      <c r="A319734" s="1"/>
    </row>
    <row r="319735" spans="1:1" x14ac:dyDescent="0.25">
      <c r="A319735" s="1"/>
    </row>
    <row r="319736" spans="1:1" x14ac:dyDescent="0.25">
      <c r="A319736" s="1"/>
    </row>
    <row r="319737" spans="1:1" x14ac:dyDescent="0.25">
      <c r="A319737" s="1"/>
    </row>
    <row r="319738" spans="1:1" x14ac:dyDescent="0.25">
      <c r="A319738" s="1"/>
    </row>
    <row r="319739" spans="1:1" x14ac:dyDescent="0.25">
      <c r="A319739" s="1"/>
    </row>
    <row r="319740" spans="1:1" x14ac:dyDescent="0.25">
      <c r="A319740" s="1"/>
    </row>
    <row r="319741" spans="1:1" x14ac:dyDescent="0.25">
      <c r="A319741" s="1"/>
    </row>
    <row r="319742" spans="1:1" x14ac:dyDescent="0.25">
      <c r="A319742" s="1"/>
    </row>
    <row r="319743" spans="1:1" x14ac:dyDescent="0.25">
      <c r="A319743" s="1"/>
    </row>
    <row r="319744" spans="1:1" x14ac:dyDescent="0.25">
      <c r="A319744" s="1"/>
    </row>
    <row r="319745" spans="1:1" x14ac:dyDescent="0.25">
      <c r="A319745" s="1"/>
    </row>
    <row r="319746" spans="1:1" x14ac:dyDescent="0.25">
      <c r="A319746" s="1"/>
    </row>
    <row r="319747" spans="1:1" x14ac:dyDescent="0.25">
      <c r="A319747" s="1"/>
    </row>
    <row r="319748" spans="1:1" x14ac:dyDescent="0.25">
      <c r="A319748" s="1"/>
    </row>
    <row r="319749" spans="1:1" x14ac:dyDescent="0.25">
      <c r="A319749" s="1"/>
    </row>
    <row r="319750" spans="1:1" x14ac:dyDescent="0.25">
      <c r="A319750" s="1"/>
    </row>
    <row r="319751" spans="1:1" x14ac:dyDescent="0.25">
      <c r="A319751" s="1"/>
    </row>
    <row r="319752" spans="1:1" x14ac:dyDescent="0.25">
      <c r="A319752" s="1"/>
    </row>
    <row r="319753" spans="1:1" x14ac:dyDescent="0.25">
      <c r="A319753" s="1"/>
    </row>
    <row r="319754" spans="1:1" x14ac:dyDescent="0.25">
      <c r="A319754" s="1"/>
    </row>
    <row r="319755" spans="1:1" x14ac:dyDescent="0.25">
      <c r="A319755" s="1"/>
    </row>
    <row r="319756" spans="1:1" x14ac:dyDescent="0.25">
      <c r="A319756" s="1"/>
    </row>
    <row r="319757" spans="1:1" x14ac:dyDescent="0.25">
      <c r="A319757" s="1"/>
    </row>
    <row r="319758" spans="1:1" x14ac:dyDescent="0.25">
      <c r="A319758" s="1"/>
    </row>
    <row r="319759" spans="1:1" x14ac:dyDescent="0.25">
      <c r="A319759" s="1"/>
    </row>
    <row r="319760" spans="1:1" x14ac:dyDescent="0.25">
      <c r="A319760" s="1"/>
    </row>
    <row r="319761" spans="1:1" x14ac:dyDescent="0.25">
      <c r="A319761" s="1"/>
    </row>
    <row r="319762" spans="1:1" x14ac:dyDescent="0.25">
      <c r="A319762" s="1"/>
    </row>
    <row r="319763" spans="1:1" x14ac:dyDescent="0.25">
      <c r="A319763" s="1"/>
    </row>
    <row r="319764" spans="1:1" x14ac:dyDescent="0.25">
      <c r="A319764" s="1"/>
    </row>
    <row r="319765" spans="1:1" x14ac:dyDescent="0.25">
      <c r="A319765" s="1"/>
    </row>
    <row r="319766" spans="1:1" x14ac:dyDescent="0.25">
      <c r="A319766" s="1"/>
    </row>
    <row r="319767" spans="1:1" x14ac:dyDescent="0.25">
      <c r="A319767" s="1"/>
    </row>
    <row r="319768" spans="1:1" x14ac:dyDescent="0.25">
      <c r="A319768" s="1"/>
    </row>
    <row r="319769" spans="1:1" x14ac:dyDescent="0.25">
      <c r="A319769" s="1"/>
    </row>
    <row r="319770" spans="1:1" x14ac:dyDescent="0.25">
      <c r="A319770" s="1"/>
    </row>
    <row r="319771" spans="1:1" x14ac:dyDescent="0.25">
      <c r="A319771" s="1"/>
    </row>
    <row r="319772" spans="1:1" x14ac:dyDescent="0.25">
      <c r="A319772" s="1"/>
    </row>
    <row r="319773" spans="1:1" x14ac:dyDescent="0.25">
      <c r="A319773" s="1"/>
    </row>
    <row r="319774" spans="1:1" x14ac:dyDescent="0.25">
      <c r="A319774" s="1"/>
    </row>
    <row r="319775" spans="1:1" x14ac:dyDescent="0.25">
      <c r="A319775" s="1"/>
    </row>
    <row r="319776" spans="1:1" x14ac:dyDescent="0.25">
      <c r="A319776" s="1"/>
    </row>
    <row r="319777" spans="1:1" x14ac:dyDescent="0.25">
      <c r="A319777" s="1"/>
    </row>
    <row r="319778" spans="1:1" x14ac:dyDescent="0.25">
      <c r="A319778" s="1"/>
    </row>
    <row r="319779" spans="1:1" x14ac:dyDescent="0.25">
      <c r="A319779" s="1"/>
    </row>
    <row r="319780" spans="1:1" x14ac:dyDescent="0.25">
      <c r="A319780" s="1"/>
    </row>
    <row r="319781" spans="1:1" x14ac:dyDescent="0.25">
      <c r="A319781" s="1"/>
    </row>
    <row r="319782" spans="1:1" x14ac:dyDescent="0.25">
      <c r="A319782" s="1"/>
    </row>
    <row r="319783" spans="1:1" x14ac:dyDescent="0.25">
      <c r="A319783" s="1"/>
    </row>
    <row r="319784" spans="1:1" x14ac:dyDescent="0.25">
      <c r="A319784" s="1"/>
    </row>
    <row r="319785" spans="1:1" x14ac:dyDescent="0.25">
      <c r="A319785" s="1"/>
    </row>
    <row r="319786" spans="1:1" x14ac:dyDescent="0.25">
      <c r="A319786" s="1"/>
    </row>
    <row r="319787" spans="1:1" x14ac:dyDescent="0.25">
      <c r="A319787" s="1"/>
    </row>
    <row r="319788" spans="1:1" x14ac:dyDescent="0.25">
      <c r="A319788" s="1"/>
    </row>
    <row r="319789" spans="1:1" x14ac:dyDescent="0.25">
      <c r="A319789" s="1"/>
    </row>
    <row r="319790" spans="1:1" x14ac:dyDescent="0.25">
      <c r="A319790" s="1"/>
    </row>
    <row r="319791" spans="1:1" x14ac:dyDescent="0.25">
      <c r="A319791" s="1"/>
    </row>
    <row r="319792" spans="1:1" x14ac:dyDescent="0.25">
      <c r="A319792" s="1"/>
    </row>
    <row r="319793" spans="1:1" x14ac:dyDescent="0.25">
      <c r="A319793" s="1"/>
    </row>
    <row r="319794" spans="1:1" x14ac:dyDescent="0.25">
      <c r="A319794" s="1"/>
    </row>
    <row r="319795" spans="1:1" x14ac:dyDescent="0.25">
      <c r="A319795" s="1"/>
    </row>
    <row r="319796" spans="1:1" x14ac:dyDescent="0.25">
      <c r="A319796" s="1"/>
    </row>
    <row r="319797" spans="1:1" x14ac:dyDescent="0.25">
      <c r="A319797" s="1"/>
    </row>
    <row r="319798" spans="1:1" x14ac:dyDescent="0.25">
      <c r="A319798" s="1"/>
    </row>
    <row r="319799" spans="1:1" x14ac:dyDescent="0.25">
      <c r="A319799" s="1"/>
    </row>
    <row r="319800" spans="1:1" x14ac:dyDescent="0.25">
      <c r="A319800" s="1"/>
    </row>
    <row r="319801" spans="1:1" x14ac:dyDescent="0.25">
      <c r="A319801" s="1"/>
    </row>
    <row r="319802" spans="1:1" x14ac:dyDescent="0.25">
      <c r="A319802" s="1"/>
    </row>
    <row r="319803" spans="1:1" x14ac:dyDescent="0.25">
      <c r="A319803" s="1"/>
    </row>
    <row r="319804" spans="1:1" x14ac:dyDescent="0.25">
      <c r="A319804" s="1"/>
    </row>
    <row r="319805" spans="1:1" x14ac:dyDescent="0.25">
      <c r="A319805" s="1"/>
    </row>
    <row r="319806" spans="1:1" x14ac:dyDescent="0.25">
      <c r="A319806" s="1"/>
    </row>
    <row r="319807" spans="1:1" x14ac:dyDescent="0.25">
      <c r="A319807" s="1"/>
    </row>
    <row r="319808" spans="1:1" x14ac:dyDescent="0.25">
      <c r="A319808" s="1"/>
    </row>
    <row r="319809" spans="1:1" x14ac:dyDescent="0.25">
      <c r="A319809" s="1"/>
    </row>
    <row r="319810" spans="1:1" x14ac:dyDescent="0.25">
      <c r="A319810" s="1"/>
    </row>
    <row r="319811" spans="1:1" x14ac:dyDescent="0.25">
      <c r="A319811" s="1"/>
    </row>
    <row r="319812" spans="1:1" x14ac:dyDescent="0.25">
      <c r="A319812" s="1"/>
    </row>
    <row r="319813" spans="1:1" x14ac:dyDescent="0.25">
      <c r="A319813" s="1"/>
    </row>
    <row r="319814" spans="1:1" x14ac:dyDescent="0.25">
      <c r="A319814" s="1"/>
    </row>
    <row r="319815" spans="1:1" x14ac:dyDescent="0.25">
      <c r="A319815" s="1"/>
    </row>
    <row r="319816" spans="1:1" x14ac:dyDescent="0.25">
      <c r="A319816" s="1"/>
    </row>
    <row r="319817" spans="1:1" x14ac:dyDescent="0.25">
      <c r="A319817" s="1"/>
    </row>
    <row r="319818" spans="1:1" x14ac:dyDescent="0.25">
      <c r="A319818" s="1"/>
    </row>
    <row r="319819" spans="1:1" x14ac:dyDescent="0.25">
      <c r="A319819" s="1"/>
    </row>
    <row r="319820" spans="1:1" x14ac:dyDescent="0.25">
      <c r="A319820" s="1"/>
    </row>
    <row r="319821" spans="1:1" x14ac:dyDescent="0.25">
      <c r="A319821" s="1"/>
    </row>
    <row r="319822" spans="1:1" x14ac:dyDescent="0.25">
      <c r="A319822" s="1"/>
    </row>
    <row r="319823" spans="1:1" x14ac:dyDescent="0.25">
      <c r="A319823" s="1"/>
    </row>
    <row r="319824" spans="1:1" x14ac:dyDescent="0.25">
      <c r="A319824" s="1"/>
    </row>
    <row r="319825" spans="1:1" x14ac:dyDescent="0.25">
      <c r="A319825" s="1"/>
    </row>
    <row r="319826" spans="1:1" x14ac:dyDescent="0.25">
      <c r="A319826" s="1"/>
    </row>
    <row r="319827" spans="1:1" x14ac:dyDescent="0.25">
      <c r="A319827" s="1"/>
    </row>
    <row r="319828" spans="1:1" x14ac:dyDescent="0.25">
      <c r="A319828" s="1"/>
    </row>
    <row r="319829" spans="1:1" x14ac:dyDescent="0.25">
      <c r="A319829" s="1"/>
    </row>
    <row r="319830" spans="1:1" x14ac:dyDescent="0.25">
      <c r="A319830" s="1"/>
    </row>
    <row r="319831" spans="1:1" x14ac:dyDescent="0.25">
      <c r="A319831" s="1"/>
    </row>
    <row r="319832" spans="1:1" x14ac:dyDescent="0.25">
      <c r="A319832" s="1"/>
    </row>
    <row r="319833" spans="1:1" x14ac:dyDescent="0.25">
      <c r="A319833" s="1"/>
    </row>
    <row r="319834" spans="1:1" x14ac:dyDescent="0.25">
      <c r="A319834" s="1"/>
    </row>
    <row r="319835" spans="1:1" x14ac:dyDescent="0.25">
      <c r="A319835" s="1"/>
    </row>
    <row r="319836" spans="1:1" x14ac:dyDescent="0.25">
      <c r="A319836" s="1"/>
    </row>
    <row r="319837" spans="1:1" x14ac:dyDescent="0.25">
      <c r="A319837" s="1"/>
    </row>
    <row r="319838" spans="1:1" x14ac:dyDescent="0.25">
      <c r="A319838" s="1"/>
    </row>
    <row r="319839" spans="1:1" x14ac:dyDescent="0.25">
      <c r="A319839" s="1"/>
    </row>
    <row r="319840" spans="1:1" x14ac:dyDescent="0.25">
      <c r="A319840" s="1"/>
    </row>
    <row r="319841" spans="1:1" x14ac:dyDescent="0.25">
      <c r="A319841" s="1"/>
    </row>
    <row r="319842" spans="1:1" x14ac:dyDescent="0.25">
      <c r="A319842" s="1"/>
    </row>
    <row r="319843" spans="1:1" x14ac:dyDescent="0.25">
      <c r="A319843" s="1"/>
    </row>
    <row r="319844" spans="1:1" x14ac:dyDescent="0.25">
      <c r="A319844" s="1"/>
    </row>
    <row r="319845" spans="1:1" x14ac:dyDescent="0.25">
      <c r="A319845" s="1"/>
    </row>
    <row r="319846" spans="1:1" x14ac:dyDescent="0.25">
      <c r="A319846" s="1"/>
    </row>
    <row r="319847" spans="1:1" x14ac:dyDescent="0.25">
      <c r="A319847" s="1"/>
    </row>
    <row r="319848" spans="1:1" x14ac:dyDescent="0.25">
      <c r="A319848" s="1"/>
    </row>
    <row r="319849" spans="1:1" x14ac:dyDescent="0.25">
      <c r="A319849" s="1"/>
    </row>
    <row r="319850" spans="1:1" x14ac:dyDescent="0.25">
      <c r="A319850" s="1"/>
    </row>
    <row r="319851" spans="1:1" x14ac:dyDescent="0.25">
      <c r="A319851" s="1"/>
    </row>
    <row r="319852" spans="1:1" x14ac:dyDescent="0.25">
      <c r="A319852" s="1"/>
    </row>
    <row r="319853" spans="1:1" x14ac:dyDescent="0.25">
      <c r="A319853" s="1"/>
    </row>
    <row r="319854" spans="1:1" x14ac:dyDescent="0.25">
      <c r="A319854" s="1"/>
    </row>
    <row r="319855" spans="1:1" x14ac:dyDescent="0.25">
      <c r="A319855" s="1"/>
    </row>
    <row r="319856" spans="1:1" x14ac:dyDescent="0.25">
      <c r="A319856" s="1"/>
    </row>
    <row r="319857" spans="1:1" x14ac:dyDescent="0.25">
      <c r="A319857" s="1"/>
    </row>
    <row r="319858" spans="1:1" x14ac:dyDescent="0.25">
      <c r="A319858" s="1"/>
    </row>
    <row r="319859" spans="1:1" x14ac:dyDescent="0.25">
      <c r="A319859" s="1"/>
    </row>
    <row r="319860" spans="1:1" x14ac:dyDescent="0.25">
      <c r="A319860" s="1"/>
    </row>
    <row r="319861" spans="1:1" x14ac:dyDescent="0.25">
      <c r="A319861" s="1"/>
    </row>
    <row r="319862" spans="1:1" x14ac:dyDescent="0.25">
      <c r="A319862" s="1"/>
    </row>
    <row r="319863" spans="1:1" x14ac:dyDescent="0.25">
      <c r="A319863" s="1"/>
    </row>
    <row r="319864" spans="1:1" x14ac:dyDescent="0.25">
      <c r="A319864" s="1"/>
    </row>
    <row r="319865" spans="1:1" x14ac:dyDescent="0.25">
      <c r="A319865" s="1"/>
    </row>
    <row r="319866" spans="1:1" x14ac:dyDescent="0.25">
      <c r="A319866" s="1"/>
    </row>
    <row r="319867" spans="1:1" x14ac:dyDescent="0.25">
      <c r="A319867" s="1"/>
    </row>
    <row r="319868" spans="1:1" x14ac:dyDescent="0.25">
      <c r="A319868" s="1"/>
    </row>
    <row r="319869" spans="1:1" x14ac:dyDescent="0.25">
      <c r="A319869" s="1"/>
    </row>
    <row r="319870" spans="1:1" x14ac:dyDescent="0.25">
      <c r="A319870" s="1"/>
    </row>
    <row r="319871" spans="1:1" x14ac:dyDescent="0.25">
      <c r="A319871" s="1"/>
    </row>
    <row r="319872" spans="1:1" x14ac:dyDescent="0.25">
      <c r="A319872" s="1"/>
    </row>
    <row r="319873" spans="1:1" x14ac:dyDescent="0.25">
      <c r="A319873" s="1"/>
    </row>
    <row r="319874" spans="1:1" x14ac:dyDescent="0.25">
      <c r="A319874" s="1"/>
    </row>
    <row r="319875" spans="1:1" x14ac:dyDescent="0.25">
      <c r="A319875" s="1"/>
    </row>
    <row r="319876" spans="1:1" x14ac:dyDescent="0.25">
      <c r="A319876" s="1"/>
    </row>
    <row r="319877" spans="1:1" x14ac:dyDescent="0.25">
      <c r="A319877" s="1"/>
    </row>
    <row r="319878" spans="1:1" x14ac:dyDescent="0.25">
      <c r="A319878" s="1"/>
    </row>
    <row r="319879" spans="1:1" x14ac:dyDescent="0.25">
      <c r="A319879" s="1"/>
    </row>
    <row r="319880" spans="1:1" x14ac:dyDescent="0.25">
      <c r="A319880" s="1"/>
    </row>
    <row r="319881" spans="1:1" x14ac:dyDescent="0.25">
      <c r="A319881" s="1"/>
    </row>
    <row r="319882" spans="1:1" x14ac:dyDescent="0.25">
      <c r="A319882" s="1"/>
    </row>
    <row r="319883" spans="1:1" x14ac:dyDescent="0.25">
      <c r="A319883" s="1"/>
    </row>
    <row r="319884" spans="1:1" x14ac:dyDescent="0.25">
      <c r="A319884" s="1"/>
    </row>
    <row r="319885" spans="1:1" x14ac:dyDescent="0.25">
      <c r="A319885" s="1"/>
    </row>
    <row r="319886" spans="1:1" x14ac:dyDescent="0.25">
      <c r="A319886" s="1"/>
    </row>
    <row r="319887" spans="1:1" x14ac:dyDescent="0.25">
      <c r="A319887" s="1"/>
    </row>
    <row r="319888" spans="1:1" x14ac:dyDescent="0.25">
      <c r="A319888" s="1"/>
    </row>
    <row r="319889" spans="1:1" x14ac:dyDescent="0.25">
      <c r="A319889" s="1"/>
    </row>
    <row r="319890" spans="1:1" x14ac:dyDescent="0.25">
      <c r="A319890" s="1"/>
    </row>
    <row r="319891" spans="1:1" x14ac:dyDescent="0.25">
      <c r="A319891" s="1"/>
    </row>
    <row r="319892" spans="1:1" x14ac:dyDescent="0.25">
      <c r="A319892" s="1"/>
    </row>
    <row r="319893" spans="1:1" x14ac:dyDescent="0.25">
      <c r="A319893" s="1"/>
    </row>
    <row r="319894" spans="1:1" x14ac:dyDescent="0.25">
      <c r="A319894" s="1"/>
    </row>
    <row r="319895" spans="1:1" x14ac:dyDescent="0.25">
      <c r="A319895" s="1"/>
    </row>
    <row r="319896" spans="1:1" x14ac:dyDescent="0.25">
      <c r="A319896" s="1"/>
    </row>
    <row r="319897" spans="1:1" x14ac:dyDescent="0.25">
      <c r="A319897" s="1"/>
    </row>
    <row r="319898" spans="1:1" x14ac:dyDescent="0.25">
      <c r="A319898" s="1"/>
    </row>
    <row r="319899" spans="1:1" x14ac:dyDescent="0.25">
      <c r="A319899" s="1"/>
    </row>
    <row r="319900" spans="1:1" x14ac:dyDescent="0.25">
      <c r="A319900" s="1"/>
    </row>
    <row r="319901" spans="1:1" x14ac:dyDescent="0.25">
      <c r="A319901" s="1"/>
    </row>
    <row r="319902" spans="1:1" x14ac:dyDescent="0.25">
      <c r="A319902" s="1"/>
    </row>
    <row r="319903" spans="1:1" x14ac:dyDescent="0.25">
      <c r="A319903" s="1"/>
    </row>
    <row r="319904" spans="1:1" x14ac:dyDescent="0.25">
      <c r="A319904" s="1"/>
    </row>
    <row r="319905" spans="1:1" x14ac:dyDescent="0.25">
      <c r="A319905" s="1"/>
    </row>
    <row r="319906" spans="1:1" x14ac:dyDescent="0.25">
      <c r="A319906" s="1"/>
    </row>
    <row r="319907" spans="1:1" x14ac:dyDescent="0.25">
      <c r="A319907" s="1"/>
    </row>
    <row r="319908" spans="1:1" x14ac:dyDescent="0.25">
      <c r="A319908" s="1"/>
    </row>
    <row r="319909" spans="1:1" x14ac:dyDescent="0.25">
      <c r="A319909" s="1"/>
    </row>
    <row r="319910" spans="1:1" x14ac:dyDescent="0.25">
      <c r="A319910" s="1"/>
    </row>
    <row r="319911" spans="1:1" x14ac:dyDescent="0.25">
      <c r="A319911" s="1"/>
    </row>
    <row r="319912" spans="1:1" x14ac:dyDescent="0.25">
      <c r="A319912" s="1"/>
    </row>
    <row r="319913" spans="1:1" x14ac:dyDescent="0.25">
      <c r="A319913" s="1"/>
    </row>
    <row r="319914" spans="1:1" x14ac:dyDescent="0.25">
      <c r="A319914" s="1"/>
    </row>
    <row r="319915" spans="1:1" x14ac:dyDescent="0.25">
      <c r="A319915" s="1"/>
    </row>
    <row r="319916" spans="1:1" x14ac:dyDescent="0.25">
      <c r="A319916" s="1"/>
    </row>
    <row r="319917" spans="1:1" x14ac:dyDescent="0.25">
      <c r="A319917" s="1"/>
    </row>
    <row r="319918" spans="1:1" x14ac:dyDescent="0.25">
      <c r="A319918" s="1"/>
    </row>
    <row r="319919" spans="1:1" x14ac:dyDescent="0.25">
      <c r="A319919" s="1"/>
    </row>
    <row r="319920" spans="1:1" x14ac:dyDescent="0.25">
      <c r="A319920" s="1"/>
    </row>
    <row r="319921" spans="1:1" x14ac:dyDescent="0.25">
      <c r="A319921" s="1"/>
    </row>
    <row r="319922" spans="1:1" x14ac:dyDescent="0.25">
      <c r="A319922" s="1"/>
    </row>
    <row r="319923" spans="1:1" x14ac:dyDescent="0.25">
      <c r="A319923" s="1"/>
    </row>
    <row r="319924" spans="1:1" x14ac:dyDescent="0.25">
      <c r="A319924" s="1"/>
    </row>
    <row r="319925" spans="1:1" x14ac:dyDescent="0.25">
      <c r="A319925" s="1"/>
    </row>
    <row r="319926" spans="1:1" x14ac:dyDescent="0.25">
      <c r="A319926" s="1"/>
    </row>
    <row r="319927" spans="1:1" x14ac:dyDescent="0.25">
      <c r="A319927" s="1"/>
    </row>
    <row r="319928" spans="1:1" x14ac:dyDescent="0.25">
      <c r="A319928" s="1"/>
    </row>
    <row r="319929" spans="1:1" x14ac:dyDescent="0.25">
      <c r="A319929" s="1"/>
    </row>
    <row r="319930" spans="1:1" x14ac:dyDescent="0.25">
      <c r="A319930" s="1"/>
    </row>
    <row r="319931" spans="1:1" x14ac:dyDescent="0.25">
      <c r="A319931" s="1"/>
    </row>
    <row r="319932" spans="1:1" x14ac:dyDescent="0.25">
      <c r="A319932" s="1"/>
    </row>
    <row r="319933" spans="1:1" x14ac:dyDescent="0.25">
      <c r="A319933" s="1"/>
    </row>
    <row r="319934" spans="1:1" x14ac:dyDescent="0.25">
      <c r="A319934" s="1"/>
    </row>
    <row r="319935" spans="1:1" x14ac:dyDescent="0.25">
      <c r="A319935" s="1"/>
    </row>
    <row r="319936" spans="1:1" x14ac:dyDescent="0.25">
      <c r="A319936" s="1"/>
    </row>
    <row r="319937" spans="1:1" x14ac:dyDescent="0.25">
      <c r="A319937" s="1"/>
    </row>
    <row r="319938" spans="1:1" x14ac:dyDescent="0.25">
      <c r="A319938" s="1"/>
    </row>
    <row r="319939" spans="1:1" x14ac:dyDescent="0.25">
      <c r="A319939" s="1"/>
    </row>
    <row r="319940" spans="1:1" x14ac:dyDescent="0.25">
      <c r="A319940" s="1"/>
    </row>
    <row r="319941" spans="1:1" x14ac:dyDescent="0.25">
      <c r="A319941" s="1"/>
    </row>
    <row r="319942" spans="1:1" x14ac:dyDescent="0.25">
      <c r="A319942" s="1"/>
    </row>
    <row r="319943" spans="1:1" x14ac:dyDescent="0.25">
      <c r="A319943" s="1"/>
    </row>
    <row r="319944" spans="1:1" x14ac:dyDescent="0.25">
      <c r="A319944" s="1"/>
    </row>
    <row r="319945" spans="1:1" x14ac:dyDescent="0.25">
      <c r="A319945" s="1"/>
    </row>
    <row r="319946" spans="1:1" x14ac:dyDescent="0.25">
      <c r="A319946" s="1"/>
    </row>
    <row r="319947" spans="1:1" x14ac:dyDescent="0.25">
      <c r="A319947" s="1"/>
    </row>
    <row r="319948" spans="1:1" x14ac:dyDescent="0.25">
      <c r="A319948" s="1"/>
    </row>
    <row r="319949" spans="1:1" x14ac:dyDescent="0.25">
      <c r="A319949" s="1"/>
    </row>
    <row r="319950" spans="1:1" x14ac:dyDescent="0.25">
      <c r="A319950" s="1"/>
    </row>
    <row r="319951" spans="1:1" x14ac:dyDescent="0.25">
      <c r="A319951" s="1"/>
    </row>
    <row r="319952" spans="1:1" x14ac:dyDescent="0.25">
      <c r="A319952" s="1"/>
    </row>
    <row r="319953" spans="1:1" x14ac:dyDescent="0.25">
      <c r="A319953" s="1"/>
    </row>
    <row r="319954" spans="1:1" x14ac:dyDescent="0.25">
      <c r="A319954" s="1"/>
    </row>
    <row r="319955" spans="1:1" x14ac:dyDescent="0.25">
      <c r="A319955" s="1"/>
    </row>
    <row r="319956" spans="1:1" x14ac:dyDescent="0.25">
      <c r="A319956" s="1"/>
    </row>
    <row r="319957" spans="1:1" x14ac:dyDescent="0.25">
      <c r="A319957" s="1"/>
    </row>
    <row r="319958" spans="1:1" x14ac:dyDescent="0.25">
      <c r="A319958" s="1"/>
    </row>
    <row r="319959" spans="1:1" x14ac:dyDescent="0.25">
      <c r="A319959" s="1"/>
    </row>
    <row r="319960" spans="1:1" x14ac:dyDescent="0.25">
      <c r="A319960" s="1"/>
    </row>
    <row r="319961" spans="1:1" x14ac:dyDescent="0.25">
      <c r="A319961" s="1"/>
    </row>
    <row r="319962" spans="1:1" x14ac:dyDescent="0.25">
      <c r="A319962" s="1"/>
    </row>
    <row r="319963" spans="1:1" x14ac:dyDescent="0.25">
      <c r="A319963" s="1"/>
    </row>
    <row r="319964" spans="1:1" x14ac:dyDescent="0.25">
      <c r="A319964" s="1"/>
    </row>
    <row r="319965" spans="1:1" x14ac:dyDescent="0.25">
      <c r="A319965" s="1"/>
    </row>
    <row r="319966" spans="1:1" x14ac:dyDescent="0.25">
      <c r="A319966" s="1"/>
    </row>
    <row r="319967" spans="1:1" x14ac:dyDescent="0.25">
      <c r="A319967" s="1"/>
    </row>
    <row r="319968" spans="1:1" x14ac:dyDescent="0.25">
      <c r="A319968" s="1"/>
    </row>
    <row r="319969" spans="1:1" x14ac:dyDescent="0.25">
      <c r="A319969" s="1"/>
    </row>
    <row r="319970" spans="1:1" x14ac:dyDescent="0.25">
      <c r="A319970" s="1"/>
    </row>
    <row r="319971" spans="1:1" x14ac:dyDescent="0.25">
      <c r="A319971" s="1"/>
    </row>
    <row r="319972" spans="1:1" x14ac:dyDescent="0.25">
      <c r="A319972" s="1"/>
    </row>
    <row r="319973" spans="1:1" x14ac:dyDescent="0.25">
      <c r="A319973" s="1"/>
    </row>
    <row r="319974" spans="1:1" x14ac:dyDescent="0.25">
      <c r="A319974" s="1"/>
    </row>
    <row r="319975" spans="1:1" x14ac:dyDescent="0.25">
      <c r="A319975" s="1"/>
    </row>
    <row r="319976" spans="1:1" x14ac:dyDescent="0.25">
      <c r="A319976" s="1"/>
    </row>
    <row r="319977" spans="1:1" x14ac:dyDescent="0.25">
      <c r="A319977" s="1"/>
    </row>
    <row r="319978" spans="1:1" x14ac:dyDescent="0.25">
      <c r="A319978" s="1"/>
    </row>
    <row r="319979" spans="1:1" x14ac:dyDescent="0.25">
      <c r="A319979" s="1"/>
    </row>
    <row r="319980" spans="1:1" x14ac:dyDescent="0.25">
      <c r="A319980" s="1"/>
    </row>
    <row r="319981" spans="1:1" x14ac:dyDescent="0.25">
      <c r="A319981" s="1"/>
    </row>
    <row r="319982" spans="1:1" x14ac:dyDescent="0.25">
      <c r="A319982" s="1"/>
    </row>
    <row r="319983" spans="1:1" x14ac:dyDescent="0.25">
      <c r="A319983" s="1"/>
    </row>
    <row r="319984" spans="1:1" x14ac:dyDescent="0.25">
      <c r="A319984" s="1"/>
    </row>
    <row r="319985" spans="1:1" x14ac:dyDescent="0.25">
      <c r="A319985" s="1"/>
    </row>
    <row r="319986" spans="1:1" x14ac:dyDescent="0.25">
      <c r="A319986" s="1"/>
    </row>
    <row r="319987" spans="1:1" x14ac:dyDescent="0.25">
      <c r="A319987" s="1"/>
    </row>
    <row r="319988" spans="1:1" x14ac:dyDescent="0.25">
      <c r="A319988" s="1"/>
    </row>
    <row r="319989" spans="1:1" x14ac:dyDescent="0.25">
      <c r="A319989" s="1"/>
    </row>
    <row r="319990" spans="1:1" x14ac:dyDescent="0.25">
      <c r="A319990" s="1"/>
    </row>
    <row r="319991" spans="1:1" x14ac:dyDescent="0.25">
      <c r="A319991" s="1"/>
    </row>
    <row r="319992" spans="1:1" x14ac:dyDescent="0.25">
      <c r="A319992" s="1"/>
    </row>
    <row r="319993" spans="1:1" x14ac:dyDescent="0.25">
      <c r="A319993" s="1"/>
    </row>
    <row r="319994" spans="1:1" x14ac:dyDescent="0.25">
      <c r="A319994" s="1"/>
    </row>
    <row r="319995" spans="1:1" x14ac:dyDescent="0.25">
      <c r="A319995" s="1"/>
    </row>
    <row r="319996" spans="1:1" x14ac:dyDescent="0.25">
      <c r="A319996" s="1"/>
    </row>
    <row r="319997" spans="1:1" x14ac:dyDescent="0.25">
      <c r="A319997" s="1"/>
    </row>
    <row r="319998" spans="1:1" x14ac:dyDescent="0.25">
      <c r="A319998" s="1"/>
    </row>
    <row r="319999" spans="1:1" x14ac:dyDescent="0.25">
      <c r="A319999" s="1"/>
    </row>
    <row r="320000" spans="1:1" x14ac:dyDescent="0.25">
      <c r="A320000" s="1"/>
    </row>
    <row r="320001" spans="1:1" x14ac:dyDescent="0.25">
      <c r="A320001" s="1"/>
    </row>
    <row r="320002" spans="1:1" x14ac:dyDescent="0.25">
      <c r="A320002" s="1"/>
    </row>
    <row r="320003" spans="1:1" x14ac:dyDescent="0.25">
      <c r="A320003" s="1"/>
    </row>
    <row r="320004" spans="1:1" x14ac:dyDescent="0.25">
      <c r="A320004" s="1"/>
    </row>
    <row r="320005" spans="1:1" x14ac:dyDescent="0.25">
      <c r="A320005" s="1"/>
    </row>
    <row r="320006" spans="1:1" x14ac:dyDescent="0.25">
      <c r="A320006" s="1"/>
    </row>
    <row r="320007" spans="1:1" x14ac:dyDescent="0.25">
      <c r="A320007" s="1"/>
    </row>
    <row r="320008" spans="1:1" x14ac:dyDescent="0.25">
      <c r="A320008" s="1"/>
    </row>
    <row r="320009" spans="1:1" x14ac:dyDescent="0.25">
      <c r="A320009" s="1"/>
    </row>
    <row r="320010" spans="1:1" x14ac:dyDescent="0.25">
      <c r="A320010" s="1"/>
    </row>
    <row r="320011" spans="1:1" x14ac:dyDescent="0.25">
      <c r="A320011" s="1"/>
    </row>
    <row r="320012" spans="1:1" x14ac:dyDescent="0.25">
      <c r="A320012" s="1"/>
    </row>
    <row r="320013" spans="1:1" x14ac:dyDescent="0.25">
      <c r="A320013" s="1"/>
    </row>
    <row r="320014" spans="1:1" x14ac:dyDescent="0.25">
      <c r="A320014" s="1"/>
    </row>
    <row r="320015" spans="1:1" x14ac:dyDescent="0.25">
      <c r="A320015" s="1"/>
    </row>
    <row r="320016" spans="1:1" x14ac:dyDescent="0.25">
      <c r="A320016" s="1"/>
    </row>
    <row r="320017" spans="1:1" x14ac:dyDescent="0.25">
      <c r="A320017" s="1"/>
    </row>
    <row r="320018" spans="1:1" x14ac:dyDescent="0.25">
      <c r="A320018" s="1"/>
    </row>
    <row r="320019" spans="1:1" x14ac:dyDescent="0.25">
      <c r="A320019" s="1"/>
    </row>
    <row r="320020" spans="1:1" x14ac:dyDescent="0.25">
      <c r="A320020" s="1"/>
    </row>
    <row r="320021" spans="1:1" x14ac:dyDescent="0.25">
      <c r="A320021" s="1"/>
    </row>
    <row r="320022" spans="1:1" x14ac:dyDescent="0.25">
      <c r="A320022" s="1"/>
    </row>
    <row r="320023" spans="1:1" x14ac:dyDescent="0.25">
      <c r="A320023" s="1"/>
    </row>
    <row r="320024" spans="1:1" x14ac:dyDescent="0.25">
      <c r="A320024" s="1"/>
    </row>
    <row r="320025" spans="1:1" x14ac:dyDescent="0.25">
      <c r="A320025" s="1"/>
    </row>
    <row r="320026" spans="1:1" x14ac:dyDescent="0.25">
      <c r="A320026" s="1"/>
    </row>
    <row r="320027" spans="1:1" x14ac:dyDescent="0.25">
      <c r="A320027" s="1"/>
    </row>
    <row r="320028" spans="1:1" x14ac:dyDescent="0.25">
      <c r="A320028" s="1"/>
    </row>
    <row r="320029" spans="1:1" x14ac:dyDescent="0.25">
      <c r="A320029" s="1"/>
    </row>
    <row r="320030" spans="1:1" x14ac:dyDescent="0.25">
      <c r="A320030" s="1"/>
    </row>
    <row r="320031" spans="1:1" x14ac:dyDescent="0.25">
      <c r="A320031" s="1"/>
    </row>
    <row r="320032" spans="1:1" x14ac:dyDescent="0.25">
      <c r="A320032" s="1"/>
    </row>
    <row r="320033" spans="1:1" x14ac:dyDescent="0.25">
      <c r="A320033" s="1"/>
    </row>
    <row r="320034" spans="1:1" x14ac:dyDescent="0.25">
      <c r="A320034" s="1"/>
    </row>
    <row r="320035" spans="1:1" x14ac:dyDescent="0.25">
      <c r="A320035" s="1"/>
    </row>
    <row r="320036" spans="1:1" x14ac:dyDescent="0.25">
      <c r="A320036" s="1"/>
    </row>
    <row r="320037" spans="1:1" x14ac:dyDescent="0.25">
      <c r="A320037" s="1"/>
    </row>
    <row r="320038" spans="1:1" x14ac:dyDescent="0.25">
      <c r="A320038" s="1"/>
    </row>
    <row r="320039" spans="1:1" x14ac:dyDescent="0.25">
      <c r="A320039" s="1"/>
    </row>
    <row r="320040" spans="1:1" x14ac:dyDescent="0.25">
      <c r="A320040" s="1"/>
    </row>
    <row r="320041" spans="1:1" x14ac:dyDescent="0.25">
      <c r="A320041" s="1"/>
    </row>
    <row r="320042" spans="1:1" x14ac:dyDescent="0.25">
      <c r="A320042" s="1"/>
    </row>
    <row r="320043" spans="1:1" x14ac:dyDescent="0.25">
      <c r="A320043" s="1"/>
    </row>
    <row r="320044" spans="1:1" x14ac:dyDescent="0.25">
      <c r="A320044" s="1"/>
    </row>
    <row r="320045" spans="1:1" x14ac:dyDescent="0.25">
      <c r="A320045" s="1"/>
    </row>
    <row r="320046" spans="1:1" x14ac:dyDescent="0.25">
      <c r="A320046" s="1"/>
    </row>
    <row r="320047" spans="1:1" x14ac:dyDescent="0.25">
      <c r="A320047" s="1"/>
    </row>
    <row r="320048" spans="1:1" x14ac:dyDescent="0.25">
      <c r="A320048" s="1"/>
    </row>
    <row r="320049" spans="1:1" x14ac:dyDescent="0.25">
      <c r="A320049" s="1"/>
    </row>
    <row r="320050" spans="1:1" x14ac:dyDescent="0.25">
      <c r="A320050" s="1"/>
    </row>
    <row r="320051" spans="1:1" x14ac:dyDescent="0.25">
      <c r="A320051" s="1"/>
    </row>
    <row r="320052" spans="1:1" x14ac:dyDescent="0.25">
      <c r="A320052" s="1"/>
    </row>
    <row r="320053" spans="1:1" x14ac:dyDescent="0.25">
      <c r="A320053" s="1"/>
    </row>
    <row r="320054" spans="1:1" x14ac:dyDescent="0.25">
      <c r="A320054" s="1"/>
    </row>
    <row r="320055" spans="1:1" x14ac:dyDescent="0.25">
      <c r="A320055" s="1"/>
    </row>
    <row r="320056" spans="1:1" x14ac:dyDescent="0.25">
      <c r="A320056" s="1"/>
    </row>
    <row r="320057" spans="1:1" x14ac:dyDescent="0.25">
      <c r="A320057" s="1"/>
    </row>
    <row r="320058" spans="1:1" x14ac:dyDescent="0.25">
      <c r="A320058" s="1"/>
    </row>
    <row r="320059" spans="1:1" x14ac:dyDescent="0.25">
      <c r="A320059" s="1"/>
    </row>
    <row r="320060" spans="1:1" x14ac:dyDescent="0.25">
      <c r="A320060" s="1"/>
    </row>
    <row r="320061" spans="1:1" x14ac:dyDescent="0.25">
      <c r="A320061" s="1"/>
    </row>
    <row r="320062" spans="1:1" x14ac:dyDescent="0.25">
      <c r="A320062" s="1"/>
    </row>
    <row r="320063" spans="1:1" x14ac:dyDescent="0.25">
      <c r="A320063" s="1"/>
    </row>
    <row r="320064" spans="1:1" x14ac:dyDescent="0.25">
      <c r="A320064" s="1"/>
    </row>
    <row r="320065" spans="1:1" x14ac:dyDescent="0.25">
      <c r="A320065" s="1"/>
    </row>
    <row r="320066" spans="1:1" x14ac:dyDescent="0.25">
      <c r="A320066" s="1"/>
    </row>
    <row r="320067" spans="1:1" x14ac:dyDescent="0.25">
      <c r="A320067" s="1"/>
    </row>
    <row r="320068" spans="1:1" x14ac:dyDescent="0.25">
      <c r="A320068" s="1"/>
    </row>
    <row r="320069" spans="1:1" x14ac:dyDescent="0.25">
      <c r="A320069" s="1"/>
    </row>
    <row r="320070" spans="1:1" x14ac:dyDescent="0.25">
      <c r="A320070" s="1"/>
    </row>
    <row r="320071" spans="1:1" x14ac:dyDescent="0.25">
      <c r="A320071" s="1"/>
    </row>
    <row r="320072" spans="1:1" x14ac:dyDescent="0.25">
      <c r="A320072" s="1"/>
    </row>
    <row r="320073" spans="1:1" x14ac:dyDescent="0.25">
      <c r="A320073" s="1"/>
    </row>
    <row r="320074" spans="1:1" x14ac:dyDescent="0.25">
      <c r="A320074" s="1"/>
    </row>
    <row r="320075" spans="1:1" x14ac:dyDescent="0.25">
      <c r="A320075" s="1"/>
    </row>
    <row r="320076" spans="1:1" x14ac:dyDescent="0.25">
      <c r="A320076" s="1"/>
    </row>
    <row r="320077" spans="1:1" x14ac:dyDescent="0.25">
      <c r="A320077" s="1"/>
    </row>
    <row r="320078" spans="1:1" x14ac:dyDescent="0.25">
      <c r="A320078" s="1"/>
    </row>
    <row r="320079" spans="1:1" x14ac:dyDescent="0.25">
      <c r="A320079" s="1"/>
    </row>
    <row r="320080" spans="1:1" x14ac:dyDescent="0.25">
      <c r="A320080" s="1"/>
    </row>
    <row r="320081" spans="1:1" x14ac:dyDescent="0.25">
      <c r="A320081" s="1"/>
    </row>
    <row r="320082" spans="1:1" x14ac:dyDescent="0.25">
      <c r="A320082" s="1"/>
    </row>
    <row r="320083" spans="1:1" x14ac:dyDescent="0.25">
      <c r="A320083" s="1"/>
    </row>
    <row r="320084" spans="1:1" x14ac:dyDescent="0.25">
      <c r="A320084" s="1"/>
    </row>
    <row r="320085" spans="1:1" x14ac:dyDescent="0.25">
      <c r="A320085" s="1"/>
    </row>
    <row r="320086" spans="1:1" x14ac:dyDescent="0.25">
      <c r="A320086" s="1"/>
    </row>
    <row r="320087" spans="1:1" x14ac:dyDescent="0.25">
      <c r="A320087" s="1"/>
    </row>
    <row r="320088" spans="1:1" x14ac:dyDescent="0.25">
      <c r="A320088" s="1"/>
    </row>
    <row r="320089" spans="1:1" x14ac:dyDescent="0.25">
      <c r="A320089" s="1"/>
    </row>
    <row r="320090" spans="1:1" x14ac:dyDescent="0.25">
      <c r="A320090" s="1"/>
    </row>
    <row r="320091" spans="1:1" x14ac:dyDescent="0.25">
      <c r="A320091" s="1"/>
    </row>
    <row r="320092" spans="1:1" x14ac:dyDescent="0.25">
      <c r="A320092" s="1"/>
    </row>
    <row r="320093" spans="1:1" x14ac:dyDescent="0.25">
      <c r="A320093" s="1"/>
    </row>
    <row r="320094" spans="1:1" x14ac:dyDescent="0.25">
      <c r="A320094" s="1"/>
    </row>
    <row r="320095" spans="1:1" x14ac:dyDescent="0.25">
      <c r="A320095" s="1"/>
    </row>
    <row r="320096" spans="1:1" x14ac:dyDescent="0.25">
      <c r="A320096" s="1"/>
    </row>
    <row r="320097" spans="1:1" x14ac:dyDescent="0.25">
      <c r="A320097" s="1"/>
    </row>
    <row r="320098" spans="1:1" x14ac:dyDescent="0.25">
      <c r="A320098" s="1"/>
    </row>
    <row r="320099" spans="1:1" x14ac:dyDescent="0.25">
      <c r="A320099" s="1"/>
    </row>
    <row r="320100" spans="1:1" x14ac:dyDescent="0.25">
      <c r="A320100" s="1"/>
    </row>
    <row r="320101" spans="1:1" x14ac:dyDescent="0.25">
      <c r="A320101" s="1"/>
    </row>
    <row r="320102" spans="1:1" x14ac:dyDescent="0.25">
      <c r="A320102" s="1"/>
    </row>
    <row r="320103" spans="1:1" x14ac:dyDescent="0.25">
      <c r="A320103" s="1"/>
    </row>
    <row r="320104" spans="1:1" x14ac:dyDescent="0.25">
      <c r="A320104" s="1"/>
    </row>
    <row r="320105" spans="1:1" x14ac:dyDescent="0.25">
      <c r="A320105" s="1"/>
    </row>
    <row r="320106" spans="1:1" x14ac:dyDescent="0.25">
      <c r="A320106" s="1"/>
    </row>
    <row r="320107" spans="1:1" x14ac:dyDescent="0.25">
      <c r="A320107" s="1"/>
    </row>
    <row r="320108" spans="1:1" x14ac:dyDescent="0.25">
      <c r="A320108" s="1"/>
    </row>
    <row r="320109" spans="1:1" x14ac:dyDescent="0.25">
      <c r="A320109" s="1"/>
    </row>
    <row r="320110" spans="1:1" x14ac:dyDescent="0.25">
      <c r="A320110" s="1"/>
    </row>
    <row r="320111" spans="1:1" x14ac:dyDescent="0.25">
      <c r="A320111" s="1"/>
    </row>
    <row r="320112" spans="1:1" x14ac:dyDescent="0.25">
      <c r="A320112" s="1"/>
    </row>
    <row r="320113" spans="1:1" x14ac:dyDescent="0.25">
      <c r="A320113" s="1"/>
    </row>
    <row r="320114" spans="1:1" x14ac:dyDescent="0.25">
      <c r="A320114" s="1"/>
    </row>
    <row r="320115" spans="1:1" x14ac:dyDescent="0.25">
      <c r="A320115" s="1"/>
    </row>
    <row r="320116" spans="1:1" x14ac:dyDescent="0.25">
      <c r="A320116" s="1"/>
    </row>
    <row r="320117" spans="1:1" x14ac:dyDescent="0.25">
      <c r="A320117" s="1"/>
    </row>
    <row r="320118" spans="1:1" x14ac:dyDescent="0.25">
      <c r="A320118" s="1"/>
    </row>
    <row r="320119" spans="1:1" x14ac:dyDescent="0.25">
      <c r="A320119" s="1"/>
    </row>
    <row r="320120" spans="1:1" x14ac:dyDescent="0.25">
      <c r="A320120" s="1"/>
    </row>
    <row r="320121" spans="1:1" x14ac:dyDescent="0.25">
      <c r="A320121" s="1"/>
    </row>
    <row r="320122" spans="1:1" x14ac:dyDescent="0.25">
      <c r="A320122" s="1"/>
    </row>
    <row r="320123" spans="1:1" x14ac:dyDescent="0.25">
      <c r="A320123" s="1"/>
    </row>
    <row r="320124" spans="1:1" x14ac:dyDescent="0.25">
      <c r="A320124" s="1"/>
    </row>
    <row r="320125" spans="1:1" x14ac:dyDescent="0.25">
      <c r="A320125" s="1"/>
    </row>
    <row r="320126" spans="1:1" x14ac:dyDescent="0.25">
      <c r="A320126" s="1"/>
    </row>
    <row r="320127" spans="1:1" x14ac:dyDescent="0.25">
      <c r="A320127" s="1"/>
    </row>
    <row r="320128" spans="1:1" x14ac:dyDescent="0.25">
      <c r="A320128" s="1"/>
    </row>
    <row r="320129" spans="1:1" x14ac:dyDescent="0.25">
      <c r="A320129" s="1"/>
    </row>
    <row r="320130" spans="1:1" x14ac:dyDescent="0.25">
      <c r="A320130" s="1"/>
    </row>
    <row r="320131" spans="1:1" x14ac:dyDescent="0.25">
      <c r="A320131" s="1"/>
    </row>
    <row r="320132" spans="1:1" x14ac:dyDescent="0.25">
      <c r="A320132" s="1"/>
    </row>
    <row r="320133" spans="1:1" x14ac:dyDescent="0.25">
      <c r="A320133" s="1"/>
    </row>
    <row r="320134" spans="1:1" x14ac:dyDescent="0.25">
      <c r="A320134" s="1"/>
    </row>
    <row r="320135" spans="1:1" x14ac:dyDescent="0.25">
      <c r="A320135" s="1"/>
    </row>
    <row r="320136" spans="1:1" x14ac:dyDescent="0.25">
      <c r="A320136" s="1"/>
    </row>
    <row r="320137" spans="1:1" x14ac:dyDescent="0.25">
      <c r="A320137" s="1"/>
    </row>
    <row r="320138" spans="1:1" x14ac:dyDescent="0.25">
      <c r="A320138" s="1"/>
    </row>
    <row r="320139" spans="1:1" x14ac:dyDescent="0.25">
      <c r="A320139" s="1"/>
    </row>
    <row r="320140" spans="1:1" x14ac:dyDescent="0.25">
      <c r="A320140" s="1"/>
    </row>
    <row r="320141" spans="1:1" x14ac:dyDescent="0.25">
      <c r="A320141" s="1"/>
    </row>
    <row r="320142" spans="1:1" x14ac:dyDescent="0.25">
      <c r="A320142" s="1"/>
    </row>
    <row r="320143" spans="1:1" x14ac:dyDescent="0.25">
      <c r="A320143" s="1"/>
    </row>
    <row r="320144" spans="1:1" x14ac:dyDescent="0.25">
      <c r="A320144" s="1"/>
    </row>
    <row r="320145" spans="1:1" x14ac:dyDescent="0.25">
      <c r="A320145" s="1"/>
    </row>
    <row r="320146" spans="1:1" x14ac:dyDescent="0.25">
      <c r="A320146" s="1"/>
    </row>
    <row r="320147" spans="1:1" x14ac:dyDescent="0.25">
      <c r="A320147" s="1"/>
    </row>
    <row r="320148" spans="1:1" x14ac:dyDescent="0.25">
      <c r="A320148" s="1"/>
    </row>
    <row r="320149" spans="1:1" x14ac:dyDescent="0.25">
      <c r="A320149" s="1"/>
    </row>
    <row r="320150" spans="1:1" x14ac:dyDescent="0.25">
      <c r="A320150" s="1"/>
    </row>
    <row r="320151" spans="1:1" x14ac:dyDescent="0.25">
      <c r="A320151" s="1"/>
    </row>
    <row r="320152" spans="1:1" x14ac:dyDescent="0.25">
      <c r="A320152" s="1"/>
    </row>
    <row r="320153" spans="1:1" x14ac:dyDescent="0.25">
      <c r="A320153" s="1"/>
    </row>
    <row r="320154" spans="1:1" x14ac:dyDescent="0.25">
      <c r="A320154" s="1"/>
    </row>
    <row r="320155" spans="1:1" x14ac:dyDescent="0.25">
      <c r="A320155" s="1"/>
    </row>
    <row r="320156" spans="1:1" x14ac:dyDescent="0.25">
      <c r="A320156" s="1"/>
    </row>
    <row r="320157" spans="1:1" x14ac:dyDescent="0.25">
      <c r="A320157" s="1"/>
    </row>
    <row r="320158" spans="1:1" x14ac:dyDescent="0.25">
      <c r="A320158" s="1"/>
    </row>
    <row r="320159" spans="1:1" x14ac:dyDescent="0.25">
      <c r="A320159" s="1"/>
    </row>
    <row r="320160" spans="1:1" x14ac:dyDescent="0.25">
      <c r="A320160" s="1"/>
    </row>
    <row r="320161" spans="1:1" x14ac:dyDescent="0.25">
      <c r="A320161" s="1"/>
    </row>
    <row r="320162" spans="1:1" x14ac:dyDescent="0.25">
      <c r="A320162" s="1"/>
    </row>
    <row r="320163" spans="1:1" x14ac:dyDescent="0.25">
      <c r="A320163" s="1"/>
    </row>
    <row r="320164" spans="1:1" x14ac:dyDescent="0.25">
      <c r="A320164" s="1"/>
    </row>
    <row r="320165" spans="1:1" x14ac:dyDescent="0.25">
      <c r="A320165" s="1"/>
    </row>
    <row r="320166" spans="1:1" x14ac:dyDescent="0.25">
      <c r="A320166" s="1"/>
    </row>
    <row r="320167" spans="1:1" x14ac:dyDescent="0.25">
      <c r="A320167" s="1"/>
    </row>
    <row r="320168" spans="1:1" x14ac:dyDescent="0.25">
      <c r="A320168" s="1"/>
    </row>
    <row r="320169" spans="1:1" x14ac:dyDescent="0.25">
      <c r="A320169" s="1"/>
    </row>
    <row r="320170" spans="1:1" x14ac:dyDescent="0.25">
      <c r="A320170" s="1"/>
    </row>
    <row r="320171" spans="1:1" x14ac:dyDescent="0.25">
      <c r="A320171" s="1"/>
    </row>
    <row r="320172" spans="1:1" x14ac:dyDescent="0.25">
      <c r="A320172" s="1"/>
    </row>
    <row r="320173" spans="1:1" x14ac:dyDescent="0.25">
      <c r="A320173" s="1"/>
    </row>
    <row r="320174" spans="1:1" x14ac:dyDescent="0.25">
      <c r="A320174" s="1"/>
    </row>
    <row r="320175" spans="1:1" x14ac:dyDescent="0.25">
      <c r="A320175" s="1"/>
    </row>
    <row r="320176" spans="1:1" x14ac:dyDescent="0.25">
      <c r="A320176" s="1"/>
    </row>
    <row r="320177" spans="1:1" x14ac:dyDescent="0.25">
      <c r="A320177" s="1"/>
    </row>
    <row r="320178" spans="1:1" x14ac:dyDescent="0.25">
      <c r="A320178" s="1"/>
    </row>
    <row r="320179" spans="1:1" x14ac:dyDescent="0.25">
      <c r="A320179" s="1"/>
    </row>
    <row r="320180" spans="1:1" x14ac:dyDescent="0.25">
      <c r="A320180" s="1"/>
    </row>
    <row r="320181" spans="1:1" x14ac:dyDescent="0.25">
      <c r="A320181" s="1"/>
    </row>
    <row r="320182" spans="1:1" x14ac:dyDescent="0.25">
      <c r="A320182" s="1"/>
    </row>
    <row r="320183" spans="1:1" x14ac:dyDescent="0.25">
      <c r="A320183" s="1"/>
    </row>
    <row r="320184" spans="1:1" x14ac:dyDescent="0.25">
      <c r="A320184" s="1"/>
    </row>
    <row r="320185" spans="1:1" x14ac:dyDescent="0.25">
      <c r="A320185" s="1"/>
    </row>
    <row r="320186" spans="1:1" x14ac:dyDescent="0.25">
      <c r="A320186" s="1"/>
    </row>
    <row r="320187" spans="1:1" x14ac:dyDescent="0.25">
      <c r="A320187" s="1"/>
    </row>
    <row r="320188" spans="1:1" x14ac:dyDescent="0.25">
      <c r="A320188" s="1"/>
    </row>
    <row r="320189" spans="1:1" x14ac:dyDescent="0.25">
      <c r="A320189" s="1"/>
    </row>
    <row r="320190" spans="1:1" x14ac:dyDescent="0.25">
      <c r="A320190" s="1"/>
    </row>
    <row r="320191" spans="1:1" x14ac:dyDescent="0.25">
      <c r="A320191" s="1"/>
    </row>
    <row r="320192" spans="1:1" x14ac:dyDescent="0.25">
      <c r="A320192" s="1"/>
    </row>
    <row r="320193" spans="1:1" x14ac:dyDescent="0.25">
      <c r="A320193" s="1"/>
    </row>
    <row r="320194" spans="1:1" x14ac:dyDescent="0.25">
      <c r="A320194" s="1"/>
    </row>
    <row r="320195" spans="1:1" x14ac:dyDescent="0.25">
      <c r="A320195" s="1"/>
    </row>
    <row r="320196" spans="1:1" x14ac:dyDescent="0.25">
      <c r="A320196" s="1"/>
    </row>
    <row r="320197" spans="1:1" x14ac:dyDescent="0.25">
      <c r="A320197" s="1"/>
    </row>
    <row r="320198" spans="1:1" x14ac:dyDescent="0.25">
      <c r="A320198" s="1"/>
    </row>
    <row r="320199" spans="1:1" x14ac:dyDescent="0.25">
      <c r="A320199" s="1"/>
    </row>
    <row r="320200" spans="1:1" x14ac:dyDescent="0.25">
      <c r="A320200" s="1"/>
    </row>
    <row r="320201" spans="1:1" x14ac:dyDescent="0.25">
      <c r="A320201" s="1"/>
    </row>
    <row r="320202" spans="1:1" x14ac:dyDescent="0.25">
      <c r="A320202" s="1"/>
    </row>
    <row r="320203" spans="1:1" x14ac:dyDescent="0.25">
      <c r="A320203" s="1"/>
    </row>
    <row r="320204" spans="1:1" x14ac:dyDescent="0.25">
      <c r="A320204" s="1"/>
    </row>
    <row r="320205" spans="1:1" x14ac:dyDescent="0.25">
      <c r="A320205" s="1"/>
    </row>
    <row r="320206" spans="1:1" x14ac:dyDescent="0.25">
      <c r="A320206" s="1"/>
    </row>
    <row r="320207" spans="1:1" x14ac:dyDescent="0.25">
      <c r="A320207" s="1"/>
    </row>
    <row r="320208" spans="1:1" x14ac:dyDescent="0.25">
      <c r="A320208" s="1"/>
    </row>
    <row r="320209" spans="1:1" x14ac:dyDescent="0.25">
      <c r="A320209" s="1"/>
    </row>
    <row r="320210" spans="1:1" x14ac:dyDescent="0.25">
      <c r="A320210" s="1"/>
    </row>
    <row r="320211" spans="1:1" x14ac:dyDescent="0.25">
      <c r="A320211" s="1"/>
    </row>
    <row r="320212" spans="1:1" x14ac:dyDescent="0.25">
      <c r="A320212" s="1"/>
    </row>
    <row r="320213" spans="1:1" x14ac:dyDescent="0.25">
      <c r="A320213" s="1"/>
    </row>
    <row r="320214" spans="1:1" x14ac:dyDescent="0.25">
      <c r="A320214" s="1"/>
    </row>
    <row r="320215" spans="1:1" x14ac:dyDescent="0.25">
      <c r="A320215" s="1"/>
    </row>
    <row r="320216" spans="1:1" x14ac:dyDescent="0.25">
      <c r="A320216" s="1"/>
    </row>
    <row r="320217" spans="1:1" x14ac:dyDescent="0.25">
      <c r="A320217" s="1"/>
    </row>
    <row r="320218" spans="1:1" x14ac:dyDescent="0.25">
      <c r="A320218" s="1"/>
    </row>
    <row r="320219" spans="1:1" x14ac:dyDescent="0.25">
      <c r="A320219" s="1"/>
    </row>
    <row r="320220" spans="1:1" x14ac:dyDescent="0.25">
      <c r="A320220" s="1"/>
    </row>
    <row r="320221" spans="1:1" x14ac:dyDescent="0.25">
      <c r="A320221" s="1"/>
    </row>
    <row r="320222" spans="1:1" x14ac:dyDescent="0.25">
      <c r="A320222" s="1"/>
    </row>
    <row r="320223" spans="1:1" x14ac:dyDescent="0.25">
      <c r="A320223" s="1"/>
    </row>
    <row r="320224" spans="1:1" x14ac:dyDescent="0.25">
      <c r="A320224" s="1"/>
    </row>
    <row r="320225" spans="1:1" x14ac:dyDescent="0.25">
      <c r="A320225" s="1"/>
    </row>
    <row r="320226" spans="1:1" x14ac:dyDescent="0.25">
      <c r="A320226" s="1"/>
    </row>
    <row r="320227" spans="1:1" x14ac:dyDescent="0.25">
      <c r="A320227" s="1"/>
    </row>
    <row r="320228" spans="1:1" x14ac:dyDescent="0.25">
      <c r="A320228" s="1"/>
    </row>
    <row r="320229" spans="1:1" x14ac:dyDescent="0.25">
      <c r="A320229" s="1"/>
    </row>
    <row r="320230" spans="1:1" x14ac:dyDescent="0.25">
      <c r="A320230" s="1"/>
    </row>
    <row r="320231" spans="1:1" x14ac:dyDescent="0.25">
      <c r="A320231" s="1"/>
    </row>
    <row r="320232" spans="1:1" x14ac:dyDescent="0.25">
      <c r="A320232" s="1"/>
    </row>
    <row r="320233" spans="1:1" x14ac:dyDescent="0.25">
      <c r="A320233" s="1"/>
    </row>
    <row r="320234" spans="1:1" x14ac:dyDescent="0.25">
      <c r="A320234" s="1"/>
    </row>
    <row r="320235" spans="1:1" x14ac:dyDescent="0.25">
      <c r="A320235" s="1"/>
    </row>
    <row r="320236" spans="1:1" x14ac:dyDescent="0.25">
      <c r="A320236" s="1"/>
    </row>
    <row r="320237" spans="1:1" x14ac:dyDescent="0.25">
      <c r="A320237" s="1"/>
    </row>
    <row r="320238" spans="1:1" x14ac:dyDescent="0.25">
      <c r="A320238" s="1"/>
    </row>
    <row r="320239" spans="1:1" x14ac:dyDescent="0.25">
      <c r="A320239" s="1"/>
    </row>
    <row r="320240" spans="1:1" x14ac:dyDescent="0.25">
      <c r="A320240" s="1"/>
    </row>
    <row r="320241" spans="1:1" x14ac:dyDescent="0.25">
      <c r="A320241" s="1"/>
    </row>
    <row r="320242" spans="1:1" x14ac:dyDescent="0.25">
      <c r="A320242" s="1"/>
    </row>
    <row r="320243" spans="1:1" x14ac:dyDescent="0.25">
      <c r="A320243" s="1"/>
    </row>
    <row r="320244" spans="1:1" x14ac:dyDescent="0.25">
      <c r="A320244" s="1"/>
    </row>
    <row r="320245" spans="1:1" x14ac:dyDescent="0.25">
      <c r="A320245" s="1"/>
    </row>
    <row r="320246" spans="1:1" x14ac:dyDescent="0.25">
      <c r="A320246" s="1"/>
    </row>
    <row r="320247" spans="1:1" x14ac:dyDescent="0.25">
      <c r="A320247" s="1"/>
    </row>
    <row r="320248" spans="1:1" x14ac:dyDescent="0.25">
      <c r="A320248" s="1"/>
    </row>
    <row r="320249" spans="1:1" x14ac:dyDescent="0.25">
      <c r="A320249" s="1"/>
    </row>
    <row r="320250" spans="1:1" x14ac:dyDescent="0.25">
      <c r="A320250" s="1"/>
    </row>
    <row r="320251" spans="1:1" x14ac:dyDescent="0.25">
      <c r="A320251" s="1"/>
    </row>
    <row r="320252" spans="1:1" x14ac:dyDescent="0.25">
      <c r="A320252" s="1"/>
    </row>
    <row r="320253" spans="1:1" x14ac:dyDescent="0.25">
      <c r="A320253" s="1"/>
    </row>
    <row r="320254" spans="1:1" x14ac:dyDescent="0.25">
      <c r="A320254" s="1"/>
    </row>
    <row r="320255" spans="1:1" x14ac:dyDescent="0.25">
      <c r="A320255" s="1"/>
    </row>
    <row r="320256" spans="1:1" x14ac:dyDescent="0.25">
      <c r="A320256" s="1"/>
    </row>
    <row r="320257" spans="1:1" x14ac:dyDescent="0.25">
      <c r="A320257" s="1"/>
    </row>
    <row r="320258" spans="1:1" x14ac:dyDescent="0.25">
      <c r="A320258" s="1"/>
    </row>
    <row r="320259" spans="1:1" x14ac:dyDescent="0.25">
      <c r="A320259" s="1"/>
    </row>
    <row r="320260" spans="1:1" x14ac:dyDescent="0.25">
      <c r="A320260" s="1"/>
    </row>
    <row r="320261" spans="1:1" x14ac:dyDescent="0.25">
      <c r="A320261" s="1"/>
    </row>
    <row r="320262" spans="1:1" x14ac:dyDescent="0.25">
      <c r="A320262" s="1"/>
    </row>
    <row r="320263" spans="1:1" x14ac:dyDescent="0.25">
      <c r="A320263" s="1"/>
    </row>
    <row r="320264" spans="1:1" x14ac:dyDescent="0.25">
      <c r="A320264" s="1"/>
    </row>
    <row r="320265" spans="1:1" x14ac:dyDescent="0.25">
      <c r="A320265" s="1"/>
    </row>
    <row r="320266" spans="1:1" x14ac:dyDescent="0.25">
      <c r="A320266" s="1"/>
    </row>
    <row r="320267" spans="1:1" x14ac:dyDescent="0.25">
      <c r="A320267" s="1"/>
    </row>
    <row r="320268" spans="1:1" x14ac:dyDescent="0.25">
      <c r="A320268" s="1"/>
    </row>
    <row r="320269" spans="1:1" x14ac:dyDescent="0.25">
      <c r="A320269" s="1"/>
    </row>
    <row r="320270" spans="1:1" x14ac:dyDescent="0.25">
      <c r="A320270" s="1"/>
    </row>
    <row r="320271" spans="1:1" x14ac:dyDescent="0.25">
      <c r="A320271" s="1"/>
    </row>
    <row r="320272" spans="1:1" x14ac:dyDescent="0.25">
      <c r="A320272" s="1"/>
    </row>
    <row r="320273" spans="1:1" x14ac:dyDescent="0.25">
      <c r="A320273" s="1"/>
    </row>
    <row r="320274" spans="1:1" x14ac:dyDescent="0.25">
      <c r="A320274" s="1"/>
    </row>
    <row r="320275" spans="1:1" x14ac:dyDescent="0.25">
      <c r="A320275" s="1"/>
    </row>
    <row r="320276" spans="1:1" x14ac:dyDescent="0.25">
      <c r="A320276" s="1"/>
    </row>
    <row r="320277" spans="1:1" x14ac:dyDescent="0.25">
      <c r="A320277" s="1"/>
    </row>
    <row r="320278" spans="1:1" x14ac:dyDescent="0.25">
      <c r="A320278" s="1"/>
    </row>
    <row r="320279" spans="1:1" x14ac:dyDescent="0.25">
      <c r="A320279" s="1"/>
    </row>
    <row r="320280" spans="1:1" x14ac:dyDescent="0.25">
      <c r="A320280" s="1"/>
    </row>
    <row r="320281" spans="1:1" x14ac:dyDescent="0.25">
      <c r="A320281" s="1"/>
    </row>
    <row r="320282" spans="1:1" x14ac:dyDescent="0.25">
      <c r="A320282" s="1"/>
    </row>
    <row r="320283" spans="1:1" x14ac:dyDescent="0.25">
      <c r="A320283" s="1"/>
    </row>
    <row r="320284" spans="1:1" x14ac:dyDescent="0.25">
      <c r="A320284" s="1"/>
    </row>
    <row r="320285" spans="1:1" x14ac:dyDescent="0.25">
      <c r="A320285" s="1"/>
    </row>
    <row r="320286" spans="1:1" x14ac:dyDescent="0.25">
      <c r="A320286" s="1"/>
    </row>
    <row r="320287" spans="1:1" x14ac:dyDescent="0.25">
      <c r="A320287" s="1"/>
    </row>
    <row r="320288" spans="1:1" x14ac:dyDescent="0.25">
      <c r="A320288" s="1"/>
    </row>
    <row r="320289" spans="1:1" x14ac:dyDescent="0.25">
      <c r="A320289" s="1"/>
    </row>
    <row r="320290" spans="1:1" x14ac:dyDescent="0.25">
      <c r="A320290" s="1"/>
    </row>
    <row r="320291" spans="1:1" x14ac:dyDescent="0.25">
      <c r="A320291" s="1"/>
    </row>
    <row r="320292" spans="1:1" x14ac:dyDescent="0.25">
      <c r="A320292" s="1"/>
    </row>
    <row r="320293" spans="1:1" x14ac:dyDescent="0.25">
      <c r="A320293" s="1"/>
    </row>
    <row r="320294" spans="1:1" x14ac:dyDescent="0.25">
      <c r="A320294" s="1"/>
    </row>
    <row r="320295" spans="1:1" x14ac:dyDescent="0.25">
      <c r="A320295" s="1"/>
    </row>
    <row r="320296" spans="1:1" x14ac:dyDescent="0.25">
      <c r="A320296" s="1"/>
    </row>
    <row r="320297" spans="1:1" x14ac:dyDescent="0.25">
      <c r="A320297" s="1"/>
    </row>
    <row r="320298" spans="1:1" x14ac:dyDescent="0.25">
      <c r="A320298" s="1"/>
    </row>
    <row r="320299" spans="1:1" x14ac:dyDescent="0.25">
      <c r="A320299" s="1"/>
    </row>
    <row r="320300" spans="1:1" x14ac:dyDescent="0.25">
      <c r="A320300" s="1"/>
    </row>
    <row r="320301" spans="1:1" x14ac:dyDescent="0.25">
      <c r="A320301" s="1"/>
    </row>
    <row r="320302" spans="1:1" x14ac:dyDescent="0.25">
      <c r="A320302" s="1"/>
    </row>
    <row r="320303" spans="1:1" x14ac:dyDescent="0.25">
      <c r="A320303" s="1"/>
    </row>
    <row r="320304" spans="1:1" x14ac:dyDescent="0.25">
      <c r="A320304" s="1"/>
    </row>
    <row r="320305" spans="1:1" x14ac:dyDescent="0.25">
      <c r="A320305" s="1"/>
    </row>
    <row r="320306" spans="1:1" x14ac:dyDescent="0.25">
      <c r="A320306" s="1"/>
    </row>
    <row r="320307" spans="1:1" x14ac:dyDescent="0.25">
      <c r="A320307" s="1"/>
    </row>
    <row r="320308" spans="1:1" x14ac:dyDescent="0.25">
      <c r="A320308" s="1"/>
    </row>
    <row r="320309" spans="1:1" x14ac:dyDescent="0.25">
      <c r="A320309" s="1"/>
    </row>
    <row r="320310" spans="1:1" x14ac:dyDescent="0.25">
      <c r="A320310" s="1"/>
    </row>
    <row r="320311" spans="1:1" x14ac:dyDescent="0.25">
      <c r="A320311" s="1"/>
    </row>
    <row r="320312" spans="1:1" x14ac:dyDescent="0.25">
      <c r="A320312" s="1"/>
    </row>
    <row r="320313" spans="1:1" x14ac:dyDescent="0.25">
      <c r="A320313" s="1"/>
    </row>
    <row r="320314" spans="1:1" x14ac:dyDescent="0.25">
      <c r="A320314" s="1"/>
    </row>
    <row r="320315" spans="1:1" x14ac:dyDescent="0.25">
      <c r="A320315" s="1"/>
    </row>
    <row r="320316" spans="1:1" x14ac:dyDescent="0.25">
      <c r="A320316" s="1"/>
    </row>
    <row r="320317" spans="1:1" x14ac:dyDescent="0.25">
      <c r="A320317" s="1"/>
    </row>
    <row r="320318" spans="1:1" x14ac:dyDescent="0.25">
      <c r="A320318" s="1"/>
    </row>
    <row r="320319" spans="1:1" x14ac:dyDescent="0.25">
      <c r="A320319" s="1"/>
    </row>
    <row r="320320" spans="1:1" x14ac:dyDescent="0.25">
      <c r="A320320" s="1"/>
    </row>
    <row r="320321" spans="1:1" x14ac:dyDescent="0.25">
      <c r="A320321" s="1"/>
    </row>
    <row r="320322" spans="1:1" x14ac:dyDescent="0.25">
      <c r="A320322" s="1"/>
    </row>
    <row r="320323" spans="1:1" x14ac:dyDescent="0.25">
      <c r="A320323" s="1"/>
    </row>
    <row r="320324" spans="1:1" x14ac:dyDescent="0.25">
      <c r="A320324" s="1"/>
    </row>
    <row r="320325" spans="1:1" x14ac:dyDescent="0.25">
      <c r="A320325" s="1"/>
    </row>
    <row r="320326" spans="1:1" x14ac:dyDescent="0.25">
      <c r="A320326" s="1"/>
    </row>
    <row r="320327" spans="1:1" x14ac:dyDescent="0.25">
      <c r="A320327" s="1"/>
    </row>
    <row r="320328" spans="1:1" x14ac:dyDescent="0.25">
      <c r="A320328" s="1"/>
    </row>
    <row r="320329" spans="1:1" x14ac:dyDescent="0.25">
      <c r="A320329" s="1"/>
    </row>
    <row r="320330" spans="1:1" x14ac:dyDescent="0.25">
      <c r="A320330" s="1"/>
    </row>
    <row r="320331" spans="1:1" x14ac:dyDescent="0.25">
      <c r="A320331" s="1"/>
    </row>
    <row r="320332" spans="1:1" x14ac:dyDescent="0.25">
      <c r="A320332" s="1"/>
    </row>
    <row r="320333" spans="1:1" x14ac:dyDescent="0.25">
      <c r="A320333" s="1"/>
    </row>
    <row r="320334" spans="1:1" x14ac:dyDescent="0.25">
      <c r="A320334" s="1"/>
    </row>
    <row r="320335" spans="1:1" x14ac:dyDescent="0.25">
      <c r="A320335" s="1"/>
    </row>
    <row r="320336" spans="1:1" x14ac:dyDescent="0.25">
      <c r="A320336" s="1"/>
    </row>
    <row r="320337" spans="1:1" x14ac:dyDescent="0.25">
      <c r="A320337" s="1"/>
    </row>
    <row r="320338" spans="1:1" x14ac:dyDescent="0.25">
      <c r="A320338" s="1"/>
    </row>
    <row r="320339" spans="1:1" x14ac:dyDescent="0.25">
      <c r="A320339" s="1"/>
    </row>
    <row r="320340" spans="1:1" x14ac:dyDescent="0.25">
      <c r="A320340" s="1"/>
    </row>
    <row r="320341" spans="1:1" x14ac:dyDescent="0.25">
      <c r="A320341" s="1"/>
    </row>
    <row r="320342" spans="1:1" x14ac:dyDescent="0.25">
      <c r="A320342" s="1"/>
    </row>
    <row r="320343" spans="1:1" x14ac:dyDescent="0.25">
      <c r="A320343" s="1"/>
    </row>
    <row r="320344" spans="1:1" x14ac:dyDescent="0.25">
      <c r="A320344" s="1"/>
    </row>
    <row r="320345" spans="1:1" x14ac:dyDescent="0.25">
      <c r="A320345" s="1"/>
    </row>
    <row r="320346" spans="1:1" x14ac:dyDescent="0.25">
      <c r="A320346" s="1"/>
    </row>
    <row r="320347" spans="1:1" x14ac:dyDescent="0.25">
      <c r="A320347" s="1"/>
    </row>
    <row r="320348" spans="1:1" x14ac:dyDescent="0.25">
      <c r="A320348" s="1"/>
    </row>
    <row r="320349" spans="1:1" x14ac:dyDescent="0.25">
      <c r="A320349" s="1"/>
    </row>
    <row r="320350" spans="1:1" x14ac:dyDescent="0.25">
      <c r="A320350" s="1"/>
    </row>
    <row r="320351" spans="1:1" x14ac:dyDescent="0.25">
      <c r="A320351" s="1"/>
    </row>
    <row r="320352" spans="1:1" x14ac:dyDescent="0.25">
      <c r="A320352" s="1"/>
    </row>
    <row r="320353" spans="1:1" x14ac:dyDescent="0.25">
      <c r="A320353" s="1"/>
    </row>
    <row r="320354" spans="1:1" x14ac:dyDescent="0.25">
      <c r="A320354" s="1"/>
    </row>
    <row r="320355" spans="1:1" x14ac:dyDescent="0.25">
      <c r="A320355" s="1"/>
    </row>
    <row r="320356" spans="1:1" x14ac:dyDescent="0.25">
      <c r="A320356" s="1"/>
    </row>
    <row r="320357" spans="1:1" x14ac:dyDescent="0.25">
      <c r="A320357" s="1"/>
    </row>
    <row r="320358" spans="1:1" x14ac:dyDescent="0.25">
      <c r="A320358" s="1"/>
    </row>
    <row r="320359" spans="1:1" x14ac:dyDescent="0.25">
      <c r="A320359" s="1"/>
    </row>
    <row r="320360" spans="1:1" x14ac:dyDescent="0.25">
      <c r="A320360" s="1"/>
    </row>
    <row r="320361" spans="1:1" x14ac:dyDescent="0.25">
      <c r="A320361" s="1"/>
    </row>
    <row r="320362" spans="1:1" x14ac:dyDescent="0.25">
      <c r="A320362" s="1"/>
    </row>
    <row r="320363" spans="1:1" x14ac:dyDescent="0.25">
      <c r="A320363" s="1"/>
    </row>
    <row r="320364" spans="1:1" x14ac:dyDescent="0.25">
      <c r="A320364" s="1"/>
    </row>
    <row r="320365" spans="1:1" x14ac:dyDescent="0.25">
      <c r="A320365" s="1"/>
    </row>
    <row r="320366" spans="1:1" x14ac:dyDescent="0.25">
      <c r="A320366" s="1"/>
    </row>
    <row r="320367" spans="1:1" x14ac:dyDescent="0.25">
      <c r="A320367" s="1"/>
    </row>
    <row r="320368" spans="1:1" x14ac:dyDescent="0.25">
      <c r="A320368" s="1"/>
    </row>
    <row r="320369" spans="1:1" x14ac:dyDescent="0.25">
      <c r="A320369" s="1"/>
    </row>
    <row r="320370" spans="1:1" x14ac:dyDescent="0.25">
      <c r="A320370" s="1"/>
    </row>
    <row r="320371" spans="1:1" x14ac:dyDescent="0.25">
      <c r="A320371" s="1"/>
    </row>
    <row r="320372" spans="1:1" x14ac:dyDescent="0.25">
      <c r="A320372" s="1"/>
    </row>
    <row r="320373" spans="1:1" x14ac:dyDescent="0.25">
      <c r="A320373" s="1"/>
    </row>
    <row r="320374" spans="1:1" x14ac:dyDescent="0.25">
      <c r="A320374" s="1"/>
    </row>
    <row r="320375" spans="1:1" x14ac:dyDescent="0.25">
      <c r="A320375" s="1"/>
    </row>
    <row r="320376" spans="1:1" x14ac:dyDescent="0.25">
      <c r="A320376" s="1"/>
    </row>
    <row r="320377" spans="1:1" x14ac:dyDescent="0.25">
      <c r="A320377" s="1"/>
    </row>
    <row r="320378" spans="1:1" x14ac:dyDescent="0.25">
      <c r="A320378" s="1"/>
    </row>
    <row r="320379" spans="1:1" x14ac:dyDescent="0.25">
      <c r="A320379" s="1"/>
    </row>
    <row r="320380" spans="1:1" x14ac:dyDescent="0.25">
      <c r="A320380" s="1"/>
    </row>
    <row r="320381" spans="1:1" x14ac:dyDescent="0.25">
      <c r="A320381" s="1"/>
    </row>
    <row r="320382" spans="1:1" x14ac:dyDescent="0.25">
      <c r="A320382" s="1"/>
    </row>
    <row r="320383" spans="1:1" x14ac:dyDescent="0.25">
      <c r="A320383" s="1"/>
    </row>
    <row r="320384" spans="1:1" x14ac:dyDescent="0.25">
      <c r="A320384" s="1"/>
    </row>
    <row r="320385" spans="1:1" x14ac:dyDescent="0.25">
      <c r="A320385" s="1"/>
    </row>
    <row r="320386" spans="1:1" x14ac:dyDescent="0.25">
      <c r="A320386" s="1"/>
    </row>
    <row r="320387" spans="1:1" x14ac:dyDescent="0.25">
      <c r="A320387" s="1"/>
    </row>
    <row r="320388" spans="1:1" x14ac:dyDescent="0.25">
      <c r="A320388" s="1"/>
    </row>
    <row r="320389" spans="1:1" x14ac:dyDescent="0.25">
      <c r="A320389" s="1"/>
    </row>
    <row r="320390" spans="1:1" x14ac:dyDescent="0.25">
      <c r="A320390" s="1"/>
    </row>
    <row r="320391" spans="1:1" x14ac:dyDescent="0.25">
      <c r="A320391" s="1"/>
    </row>
    <row r="320392" spans="1:1" x14ac:dyDescent="0.25">
      <c r="A320392" s="1"/>
    </row>
    <row r="320393" spans="1:1" x14ac:dyDescent="0.25">
      <c r="A320393" s="1"/>
    </row>
    <row r="320394" spans="1:1" x14ac:dyDescent="0.25">
      <c r="A320394" s="1"/>
    </row>
    <row r="320395" spans="1:1" x14ac:dyDescent="0.25">
      <c r="A320395" s="1"/>
    </row>
    <row r="320396" spans="1:1" x14ac:dyDescent="0.25">
      <c r="A320396" s="1"/>
    </row>
    <row r="320397" spans="1:1" x14ac:dyDescent="0.25">
      <c r="A320397" s="1"/>
    </row>
    <row r="320398" spans="1:1" x14ac:dyDescent="0.25">
      <c r="A320398" s="1"/>
    </row>
    <row r="320399" spans="1:1" x14ac:dyDescent="0.25">
      <c r="A320399" s="1"/>
    </row>
    <row r="320400" spans="1:1" x14ac:dyDescent="0.25">
      <c r="A320400" s="1"/>
    </row>
    <row r="320401" spans="1:1" x14ac:dyDescent="0.25">
      <c r="A320401" s="1"/>
    </row>
    <row r="320402" spans="1:1" x14ac:dyDescent="0.25">
      <c r="A320402" s="1"/>
    </row>
    <row r="320403" spans="1:1" x14ac:dyDescent="0.25">
      <c r="A320403" s="1"/>
    </row>
    <row r="320404" spans="1:1" x14ac:dyDescent="0.25">
      <c r="A320404" s="1"/>
    </row>
    <row r="320405" spans="1:1" x14ac:dyDescent="0.25">
      <c r="A320405" s="1"/>
    </row>
    <row r="320406" spans="1:1" x14ac:dyDescent="0.25">
      <c r="A320406" s="1"/>
    </row>
    <row r="320407" spans="1:1" x14ac:dyDescent="0.25">
      <c r="A320407" s="1"/>
    </row>
    <row r="320408" spans="1:1" x14ac:dyDescent="0.25">
      <c r="A320408" s="1"/>
    </row>
    <row r="320409" spans="1:1" x14ac:dyDescent="0.25">
      <c r="A320409" s="1"/>
    </row>
    <row r="320410" spans="1:1" x14ac:dyDescent="0.25">
      <c r="A320410" s="1"/>
    </row>
    <row r="320411" spans="1:1" x14ac:dyDescent="0.25">
      <c r="A320411" s="1"/>
    </row>
    <row r="320412" spans="1:1" x14ac:dyDescent="0.25">
      <c r="A320412" s="1"/>
    </row>
    <row r="320413" spans="1:1" x14ac:dyDescent="0.25">
      <c r="A320413" s="1"/>
    </row>
    <row r="320414" spans="1:1" x14ac:dyDescent="0.25">
      <c r="A320414" s="1"/>
    </row>
    <row r="320415" spans="1:1" x14ac:dyDescent="0.25">
      <c r="A320415" s="1"/>
    </row>
    <row r="320416" spans="1:1" x14ac:dyDescent="0.25">
      <c r="A320416" s="1"/>
    </row>
    <row r="320417" spans="1:1" x14ac:dyDescent="0.25">
      <c r="A320417" s="1"/>
    </row>
    <row r="320418" spans="1:1" x14ac:dyDescent="0.25">
      <c r="A320418" s="1"/>
    </row>
    <row r="320419" spans="1:1" x14ac:dyDescent="0.25">
      <c r="A320419" s="1"/>
    </row>
    <row r="320420" spans="1:1" x14ac:dyDescent="0.25">
      <c r="A320420" s="1"/>
    </row>
    <row r="320421" spans="1:1" x14ac:dyDescent="0.25">
      <c r="A320421" s="1"/>
    </row>
    <row r="320422" spans="1:1" x14ac:dyDescent="0.25">
      <c r="A320422" s="1"/>
    </row>
    <row r="320423" spans="1:1" x14ac:dyDescent="0.25">
      <c r="A320423" s="1"/>
    </row>
    <row r="320424" spans="1:1" x14ac:dyDescent="0.25">
      <c r="A320424" s="1"/>
    </row>
    <row r="320425" spans="1:1" x14ac:dyDescent="0.25">
      <c r="A320425" s="1"/>
    </row>
    <row r="320426" spans="1:1" x14ac:dyDescent="0.25">
      <c r="A320426" s="1"/>
    </row>
    <row r="320427" spans="1:1" x14ac:dyDescent="0.25">
      <c r="A320427" s="1"/>
    </row>
    <row r="320428" spans="1:1" x14ac:dyDescent="0.25">
      <c r="A320428" s="1"/>
    </row>
    <row r="320429" spans="1:1" x14ac:dyDescent="0.25">
      <c r="A320429" s="1"/>
    </row>
    <row r="320430" spans="1:1" x14ac:dyDescent="0.25">
      <c r="A320430" s="1"/>
    </row>
    <row r="320431" spans="1:1" x14ac:dyDescent="0.25">
      <c r="A320431" s="1"/>
    </row>
    <row r="320432" spans="1:1" x14ac:dyDescent="0.25">
      <c r="A320432" s="1"/>
    </row>
    <row r="320433" spans="1:1" x14ac:dyDescent="0.25">
      <c r="A320433" s="1"/>
    </row>
    <row r="320434" spans="1:1" x14ac:dyDescent="0.25">
      <c r="A320434" s="1"/>
    </row>
    <row r="320435" spans="1:1" x14ac:dyDescent="0.25">
      <c r="A320435" s="1"/>
    </row>
    <row r="320436" spans="1:1" x14ac:dyDescent="0.25">
      <c r="A320436" s="1"/>
    </row>
    <row r="320437" spans="1:1" x14ac:dyDescent="0.25">
      <c r="A320437" s="1"/>
    </row>
    <row r="320438" spans="1:1" x14ac:dyDescent="0.25">
      <c r="A320438" s="1"/>
    </row>
    <row r="320439" spans="1:1" x14ac:dyDescent="0.25">
      <c r="A320439" s="1"/>
    </row>
    <row r="320440" spans="1:1" x14ac:dyDescent="0.25">
      <c r="A320440" s="1"/>
    </row>
    <row r="320441" spans="1:1" x14ac:dyDescent="0.25">
      <c r="A320441" s="1"/>
    </row>
    <row r="320442" spans="1:1" x14ac:dyDescent="0.25">
      <c r="A320442" s="1"/>
    </row>
    <row r="320443" spans="1:1" x14ac:dyDescent="0.25">
      <c r="A320443" s="1"/>
    </row>
    <row r="320444" spans="1:1" x14ac:dyDescent="0.25">
      <c r="A320444" s="1"/>
    </row>
    <row r="320445" spans="1:1" x14ac:dyDescent="0.25">
      <c r="A320445" s="1"/>
    </row>
    <row r="320446" spans="1:1" x14ac:dyDescent="0.25">
      <c r="A320446" s="1"/>
    </row>
    <row r="320447" spans="1:1" x14ac:dyDescent="0.25">
      <c r="A320447" s="1"/>
    </row>
    <row r="320448" spans="1:1" x14ac:dyDescent="0.25">
      <c r="A320448" s="1"/>
    </row>
    <row r="320449" spans="1:1" x14ac:dyDescent="0.25">
      <c r="A320449" s="1"/>
    </row>
    <row r="320450" spans="1:1" x14ac:dyDescent="0.25">
      <c r="A320450" s="1"/>
    </row>
    <row r="320451" spans="1:1" x14ac:dyDescent="0.25">
      <c r="A320451" s="1"/>
    </row>
    <row r="320452" spans="1:1" x14ac:dyDescent="0.25">
      <c r="A320452" s="1"/>
    </row>
    <row r="320453" spans="1:1" x14ac:dyDescent="0.25">
      <c r="A320453" s="1"/>
    </row>
    <row r="320454" spans="1:1" x14ac:dyDescent="0.25">
      <c r="A320454" s="1"/>
    </row>
    <row r="320455" spans="1:1" x14ac:dyDescent="0.25">
      <c r="A320455" s="1"/>
    </row>
    <row r="320456" spans="1:1" x14ac:dyDescent="0.25">
      <c r="A320456" s="1"/>
    </row>
    <row r="320457" spans="1:1" x14ac:dyDescent="0.25">
      <c r="A320457" s="1"/>
    </row>
    <row r="320458" spans="1:1" x14ac:dyDescent="0.25">
      <c r="A320458" s="1"/>
    </row>
    <row r="320459" spans="1:1" x14ac:dyDescent="0.25">
      <c r="A320459" s="1"/>
    </row>
    <row r="320460" spans="1:1" x14ac:dyDescent="0.25">
      <c r="A320460" s="1"/>
    </row>
    <row r="320461" spans="1:1" x14ac:dyDescent="0.25">
      <c r="A320461" s="1"/>
    </row>
    <row r="320462" spans="1:1" x14ac:dyDescent="0.25">
      <c r="A320462" s="1"/>
    </row>
    <row r="320463" spans="1:1" x14ac:dyDescent="0.25">
      <c r="A320463" s="1"/>
    </row>
    <row r="320464" spans="1:1" x14ac:dyDescent="0.25">
      <c r="A320464" s="1"/>
    </row>
    <row r="320465" spans="1:1" x14ac:dyDescent="0.25">
      <c r="A320465" s="1"/>
    </row>
    <row r="320466" spans="1:1" x14ac:dyDescent="0.25">
      <c r="A320466" s="1"/>
    </row>
    <row r="320467" spans="1:1" x14ac:dyDescent="0.25">
      <c r="A320467" s="1"/>
    </row>
    <row r="320468" spans="1:1" x14ac:dyDescent="0.25">
      <c r="A320468" s="1"/>
    </row>
    <row r="320469" spans="1:1" x14ac:dyDescent="0.25">
      <c r="A320469" s="1"/>
    </row>
    <row r="320470" spans="1:1" x14ac:dyDescent="0.25">
      <c r="A320470" s="1"/>
    </row>
    <row r="320471" spans="1:1" x14ac:dyDescent="0.25">
      <c r="A320471" s="1"/>
    </row>
    <row r="320472" spans="1:1" x14ac:dyDescent="0.25">
      <c r="A320472" s="1"/>
    </row>
    <row r="320473" spans="1:1" x14ac:dyDescent="0.25">
      <c r="A320473" s="1"/>
    </row>
    <row r="320474" spans="1:1" x14ac:dyDescent="0.25">
      <c r="A320474" s="1"/>
    </row>
    <row r="320475" spans="1:1" x14ac:dyDescent="0.25">
      <c r="A320475" s="1"/>
    </row>
    <row r="320476" spans="1:1" x14ac:dyDescent="0.25">
      <c r="A320476" s="1"/>
    </row>
    <row r="320477" spans="1:1" x14ac:dyDescent="0.25">
      <c r="A320477" s="1"/>
    </row>
    <row r="320478" spans="1:1" x14ac:dyDescent="0.25">
      <c r="A320478" s="1"/>
    </row>
    <row r="320479" spans="1:1" x14ac:dyDescent="0.25">
      <c r="A320479" s="1"/>
    </row>
    <row r="320480" spans="1:1" x14ac:dyDescent="0.25">
      <c r="A320480" s="1"/>
    </row>
    <row r="320481" spans="1:1" x14ac:dyDescent="0.25">
      <c r="A320481" s="1"/>
    </row>
    <row r="320482" spans="1:1" x14ac:dyDescent="0.25">
      <c r="A320482" s="1"/>
    </row>
    <row r="320483" spans="1:1" x14ac:dyDescent="0.25">
      <c r="A320483" s="1"/>
    </row>
    <row r="320484" spans="1:1" x14ac:dyDescent="0.25">
      <c r="A320484" s="1"/>
    </row>
    <row r="320485" spans="1:1" x14ac:dyDescent="0.25">
      <c r="A320485" s="1"/>
    </row>
    <row r="320486" spans="1:1" x14ac:dyDescent="0.25">
      <c r="A320486" s="1"/>
    </row>
    <row r="320487" spans="1:1" x14ac:dyDescent="0.25">
      <c r="A320487" s="1"/>
    </row>
    <row r="320488" spans="1:1" x14ac:dyDescent="0.25">
      <c r="A320488" s="1"/>
    </row>
    <row r="320489" spans="1:1" x14ac:dyDescent="0.25">
      <c r="A320489" s="1"/>
    </row>
    <row r="320490" spans="1:1" x14ac:dyDescent="0.25">
      <c r="A320490" s="1"/>
    </row>
    <row r="320491" spans="1:1" x14ac:dyDescent="0.25">
      <c r="A320491" s="1"/>
    </row>
    <row r="320492" spans="1:1" x14ac:dyDescent="0.25">
      <c r="A320492" s="1"/>
    </row>
    <row r="320493" spans="1:1" x14ac:dyDescent="0.25">
      <c r="A320493" s="1"/>
    </row>
    <row r="320494" spans="1:1" x14ac:dyDescent="0.25">
      <c r="A320494" s="1"/>
    </row>
    <row r="320495" spans="1:1" x14ac:dyDescent="0.25">
      <c r="A320495" s="1"/>
    </row>
    <row r="320496" spans="1:1" x14ac:dyDescent="0.25">
      <c r="A320496" s="1"/>
    </row>
    <row r="320497" spans="1:1" x14ac:dyDescent="0.25">
      <c r="A320497" s="1"/>
    </row>
    <row r="320498" spans="1:1" x14ac:dyDescent="0.25">
      <c r="A320498" s="1"/>
    </row>
    <row r="320499" spans="1:1" x14ac:dyDescent="0.25">
      <c r="A320499" s="1"/>
    </row>
    <row r="320500" spans="1:1" x14ac:dyDescent="0.25">
      <c r="A320500" s="1"/>
    </row>
    <row r="320501" spans="1:1" x14ac:dyDescent="0.25">
      <c r="A320501" s="1"/>
    </row>
    <row r="320502" spans="1:1" x14ac:dyDescent="0.25">
      <c r="A320502" s="1"/>
    </row>
    <row r="320503" spans="1:1" x14ac:dyDescent="0.25">
      <c r="A320503" s="1"/>
    </row>
    <row r="320504" spans="1:1" x14ac:dyDescent="0.25">
      <c r="A320504" s="1"/>
    </row>
    <row r="320505" spans="1:1" x14ac:dyDescent="0.25">
      <c r="A320505" s="1"/>
    </row>
    <row r="320506" spans="1:1" x14ac:dyDescent="0.25">
      <c r="A320506" s="1"/>
    </row>
    <row r="320507" spans="1:1" x14ac:dyDescent="0.25">
      <c r="A320507" s="1"/>
    </row>
    <row r="320508" spans="1:1" x14ac:dyDescent="0.25">
      <c r="A320508" s="1"/>
    </row>
    <row r="320509" spans="1:1" x14ac:dyDescent="0.25">
      <c r="A320509" s="1"/>
    </row>
    <row r="320510" spans="1:1" x14ac:dyDescent="0.25">
      <c r="A320510" s="1"/>
    </row>
    <row r="320511" spans="1:1" x14ac:dyDescent="0.25">
      <c r="A320511" s="1"/>
    </row>
    <row r="320512" spans="1:1" x14ac:dyDescent="0.25">
      <c r="A320512" s="1"/>
    </row>
    <row r="320513" spans="1:1" x14ac:dyDescent="0.25">
      <c r="A320513" s="1"/>
    </row>
    <row r="320514" spans="1:1" x14ac:dyDescent="0.25">
      <c r="A320514" s="1"/>
    </row>
    <row r="320515" spans="1:1" x14ac:dyDescent="0.25">
      <c r="A320515" s="1"/>
    </row>
    <row r="320516" spans="1:1" x14ac:dyDescent="0.25">
      <c r="A320516" s="1"/>
    </row>
    <row r="320517" spans="1:1" x14ac:dyDescent="0.25">
      <c r="A320517" s="1"/>
    </row>
    <row r="320518" spans="1:1" x14ac:dyDescent="0.25">
      <c r="A320518" s="1"/>
    </row>
    <row r="320519" spans="1:1" x14ac:dyDescent="0.25">
      <c r="A320519" s="1"/>
    </row>
    <row r="320520" spans="1:1" x14ac:dyDescent="0.25">
      <c r="A320520" s="1"/>
    </row>
    <row r="320521" spans="1:1" x14ac:dyDescent="0.25">
      <c r="A320521" s="1"/>
    </row>
    <row r="320522" spans="1:1" x14ac:dyDescent="0.25">
      <c r="A320522" s="1"/>
    </row>
    <row r="320523" spans="1:1" x14ac:dyDescent="0.25">
      <c r="A320523" s="1"/>
    </row>
    <row r="320524" spans="1:1" x14ac:dyDescent="0.25">
      <c r="A320524" s="1"/>
    </row>
    <row r="320525" spans="1:1" x14ac:dyDescent="0.25">
      <c r="A320525" s="1"/>
    </row>
    <row r="320526" spans="1:1" x14ac:dyDescent="0.25">
      <c r="A320526" s="1"/>
    </row>
    <row r="320527" spans="1:1" x14ac:dyDescent="0.25">
      <c r="A320527" s="1"/>
    </row>
    <row r="320528" spans="1:1" x14ac:dyDescent="0.25">
      <c r="A320528" s="1"/>
    </row>
    <row r="320529" spans="1:1" x14ac:dyDescent="0.25">
      <c r="A320529" s="1"/>
    </row>
    <row r="320530" spans="1:1" x14ac:dyDescent="0.25">
      <c r="A320530" s="1"/>
    </row>
    <row r="320531" spans="1:1" x14ac:dyDescent="0.25">
      <c r="A320531" s="1"/>
    </row>
    <row r="320532" spans="1:1" x14ac:dyDescent="0.25">
      <c r="A320532" s="1"/>
    </row>
    <row r="320533" spans="1:1" x14ac:dyDescent="0.25">
      <c r="A320533" s="1"/>
    </row>
    <row r="320534" spans="1:1" x14ac:dyDescent="0.25">
      <c r="A320534" s="1"/>
    </row>
    <row r="320535" spans="1:1" x14ac:dyDescent="0.25">
      <c r="A320535" s="1"/>
    </row>
    <row r="320536" spans="1:1" x14ac:dyDescent="0.25">
      <c r="A320536" s="1"/>
    </row>
    <row r="320537" spans="1:1" x14ac:dyDescent="0.25">
      <c r="A320537" s="1"/>
    </row>
    <row r="320538" spans="1:1" x14ac:dyDescent="0.25">
      <c r="A320538" s="1"/>
    </row>
    <row r="320539" spans="1:1" x14ac:dyDescent="0.25">
      <c r="A320539" s="1"/>
    </row>
    <row r="320540" spans="1:1" x14ac:dyDescent="0.25">
      <c r="A320540" s="1"/>
    </row>
    <row r="320541" spans="1:1" x14ac:dyDescent="0.25">
      <c r="A320541" s="1"/>
    </row>
    <row r="320542" spans="1:1" x14ac:dyDescent="0.25">
      <c r="A320542" s="1"/>
    </row>
    <row r="320543" spans="1:1" x14ac:dyDescent="0.25">
      <c r="A320543" s="1"/>
    </row>
    <row r="320544" spans="1:1" x14ac:dyDescent="0.25">
      <c r="A320544" s="1"/>
    </row>
    <row r="320545" spans="1:1" x14ac:dyDescent="0.25">
      <c r="A320545" s="1"/>
    </row>
    <row r="320546" spans="1:1" x14ac:dyDescent="0.25">
      <c r="A320546" s="1"/>
    </row>
    <row r="320547" spans="1:1" x14ac:dyDescent="0.25">
      <c r="A320547" s="1"/>
    </row>
    <row r="320548" spans="1:1" x14ac:dyDescent="0.25">
      <c r="A320548" s="1"/>
    </row>
    <row r="320549" spans="1:1" x14ac:dyDescent="0.25">
      <c r="A320549" s="1"/>
    </row>
    <row r="320550" spans="1:1" x14ac:dyDescent="0.25">
      <c r="A320550" s="1"/>
    </row>
    <row r="320551" spans="1:1" x14ac:dyDescent="0.25">
      <c r="A320551" s="1"/>
    </row>
    <row r="320552" spans="1:1" x14ac:dyDescent="0.25">
      <c r="A320552" s="1"/>
    </row>
    <row r="320553" spans="1:1" x14ac:dyDescent="0.25">
      <c r="A320553" s="1"/>
    </row>
    <row r="320554" spans="1:1" x14ac:dyDescent="0.25">
      <c r="A320554" s="1"/>
    </row>
    <row r="320555" spans="1:1" x14ac:dyDescent="0.25">
      <c r="A320555" s="1"/>
    </row>
    <row r="320556" spans="1:1" x14ac:dyDescent="0.25">
      <c r="A320556" s="1"/>
    </row>
    <row r="320557" spans="1:1" x14ac:dyDescent="0.25">
      <c r="A320557" s="1"/>
    </row>
    <row r="320558" spans="1:1" x14ac:dyDescent="0.25">
      <c r="A320558" s="1"/>
    </row>
    <row r="320559" spans="1:1" x14ac:dyDescent="0.25">
      <c r="A320559" s="1"/>
    </row>
    <row r="320560" spans="1:1" x14ac:dyDescent="0.25">
      <c r="A320560" s="1"/>
    </row>
    <row r="320561" spans="1:1" x14ac:dyDescent="0.25">
      <c r="A320561" s="1"/>
    </row>
    <row r="320562" spans="1:1" x14ac:dyDescent="0.25">
      <c r="A320562" s="1"/>
    </row>
    <row r="320563" spans="1:1" x14ac:dyDescent="0.25">
      <c r="A320563" s="1"/>
    </row>
    <row r="320564" spans="1:1" x14ac:dyDescent="0.25">
      <c r="A320564" s="1"/>
    </row>
    <row r="320565" spans="1:1" x14ac:dyDescent="0.25">
      <c r="A320565" s="1"/>
    </row>
    <row r="320566" spans="1:1" x14ac:dyDescent="0.25">
      <c r="A320566" s="1"/>
    </row>
    <row r="320567" spans="1:1" x14ac:dyDescent="0.25">
      <c r="A320567" s="1"/>
    </row>
    <row r="320568" spans="1:1" x14ac:dyDescent="0.25">
      <c r="A320568" s="1"/>
    </row>
    <row r="320569" spans="1:1" x14ac:dyDescent="0.25">
      <c r="A320569" s="1"/>
    </row>
    <row r="320570" spans="1:1" x14ac:dyDescent="0.25">
      <c r="A320570" s="1"/>
    </row>
    <row r="320571" spans="1:1" x14ac:dyDescent="0.25">
      <c r="A320571" s="1"/>
    </row>
    <row r="320572" spans="1:1" x14ac:dyDescent="0.25">
      <c r="A320572" s="1"/>
    </row>
    <row r="320573" spans="1:1" x14ac:dyDescent="0.25">
      <c r="A320573" s="1"/>
    </row>
    <row r="320574" spans="1:1" x14ac:dyDescent="0.25">
      <c r="A320574" s="1"/>
    </row>
    <row r="320575" spans="1:1" x14ac:dyDescent="0.25">
      <c r="A320575" s="1"/>
    </row>
    <row r="320576" spans="1:1" x14ac:dyDescent="0.25">
      <c r="A320576" s="1"/>
    </row>
    <row r="320577" spans="1:1" x14ac:dyDescent="0.25">
      <c r="A320577" s="1"/>
    </row>
    <row r="320578" spans="1:1" x14ac:dyDescent="0.25">
      <c r="A320578" s="1"/>
    </row>
    <row r="320579" spans="1:1" x14ac:dyDescent="0.25">
      <c r="A320579" s="1"/>
    </row>
    <row r="320580" spans="1:1" x14ac:dyDescent="0.25">
      <c r="A320580" s="1"/>
    </row>
    <row r="320581" spans="1:1" x14ac:dyDescent="0.25">
      <c r="A320581" s="1"/>
    </row>
    <row r="320582" spans="1:1" x14ac:dyDescent="0.25">
      <c r="A320582" s="1"/>
    </row>
    <row r="320583" spans="1:1" x14ac:dyDescent="0.25">
      <c r="A320583" s="1"/>
    </row>
    <row r="320584" spans="1:1" x14ac:dyDescent="0.25">
      <c r="A320584" s="1"/>
    </row>
    <row r="320585" spans="1:1" x14ac:dyDescent="0.25">
      <c r="A320585" s="1"/>
    </row>
    <row r="320586" spans="1:1" x14ac:dyDescent="0.25">
      <c r="A320586" s="1"/>
    </row>
    <row r="320587" spans="1:1" x14ac:dyDescent="0.25">
      <c r="A320587" s="1"/>
    </row>
    <row r="320588" spans="1:1" x14ac:dyDescent="0.25">
      <c r="A320588" s="1"/>
    </row>
    <row r="320589" spans="1:1" x14ac:dyDescent="0.25">
      <c r="A320589" s="1"/>
    </row>
    <row r="320590" spans="1:1" x14ac:dyDescent="0.25">
      <c r="A320590" s="1"/>
    </row>
    <row r="320591" spans="1:1" x14ac:dyDescent="0.25">
      <c r="A320591" s="1"/>
    </row>
    <row r="320592" spans="1:1" x14ac:dyDescent="0.25">
      <c r="A320592" s="1"/>
    </row>
    <row r="320593" spans="1:1" x14ac:dyDescent="0.25">
      <c r="A320593" s="1"/>
    </row>
    <row r="320594" spans="1:1" x14ac:dyDescent="0.25">
      <c r="A320594" s="1"/>
    </row>
    <row r="320595" spans="1:1" x14ac:dyDescent="0.25">
      <c r="A320595" s="1"/>
    </row>
    <row r="320596" spans="1:1" x14ac:dyDescent="0.25">
      <c r="A320596" s="1"/>
    </row>
    <row r="320597" spans="1:1" x14ac:dyDescent="0.25">
      <c r="A320597" s="1"/>
    </row>
    <row r="320598" spans="1:1" x14ac:dyDescent="0.25">
      <c r="A320598" s="1"/>
    </row>
    <row r="320599" spans="1:1" x14ac:dyDescent="0.25">
      <c r="A320599" s="1"/>
    </row>
    <row r="320600" spans="1:1" x14ac:dyDescent="0.25">
      <c r="A320600" s="1"/>
    </row>
    <row r="320601" spans="1:1" x14ac:dyDescent="0.25">
      <c r="A320601" s="1"/>
    </row>
    <row r="320602" spans="1:1" x14ac:dyDescent="0.25">
      <c r="A320602" s="1"/>
    </row>
    <row r="320603" spans="1:1" x14ac:dyDescent="0.25">
      <c r="A320603" s="1"/>
    </row>
    <row r="320604" spans="1:1" x14ac:dyDescent="0.25">
      <c r="A320604" s="1"/>
    </row>
    <row r="320605" spans="1:1" x14ac:dyDescent="0.25">
      <c r="A320605" s="1"/>
    </row>
    <row r="320606" spans="1:1" x14ac:dyDescent="0.25">
      <c r="A320606" s="1"/>
    </row>
    <row r="320607" spans="1:1" x14ac:dyDescent="0.25">
      <c r="A320607" s="1"/>
    </row>
    <row r="320608" spans="1:1" x14ac:dyDescent="0.25">
      <c r="A320608" s="1"/>
    </row>
    <row r="320609" spans="1:1" x14ac:dyDescent="0.25">
      <c r="A320609" s="1"/>
    </row>
    <row r="320610" spans="1:1" x14ac:dyDescent="0.25">
      <c r="A320610" s="1"/>
    </row>
    <row r="320611" spans="1:1" x14ac:dyDescent="0.25">
      <c r="A320611" s="1"/>
    </row>
    <row r="320612" spans="1:1" x14ac:dyDescent="0.25">
      <c r="A320612" s="1"/>
    </row>
    <row r="320613" spans="1:1" x14ac:dyDescent="0.25">
      <c r="A320613" s="1"/>
    </row>
    <row r="320614" spans="1:1" x14ac:dyDescent="0.25">
      <c r="A320614" s="1"/>
    </row>
    <row r="320615" spans="1:1" x14ac:dyDescent="0.25">
      <c r="A320615" s="1"/>
    </row>
    <row r="320616" spans="1:1" x14ac:dyDescent="0.25">
      <c r="A320616" s="1"/>
    </row>
    <row r="320617" spans="1:1" x14ac:dyDescent="0.25">
      <c r="A320617" s="1"/>
    </row>
    <row r="320618" spans="1:1" x14ac:dyDescent="0.25">
      <c r="A320618" s="1"/>
    </row>
    <row r="320619" spans="1:1" x14ac:dyDescent="0.25">
      <c r="A320619" s="1"/>
    </row>
    <row r="320620" spans="1:1" x14ac:dyDescent="0.25">
      <c r="A320620" s="1"/>
    </row>
    <row r="320621" spans="1:1" x14ac:dyDescent="0.25">
      <c r="A320621" s="1"/>
    </row>
    <row r="320622" spans="1:1" x14ac:dyDescent="0.25">
      <c r="A320622" s="1"/>
    </row>
    <row r="320623" spans="1:1" x14ac:dyDescent="0.25">
      <c r="A320623" s="1"/>
    </row>
    <row r="320624" spans="1:1" x14ac:dyDescent="0.25">
      <c r="A320624" s="1"/>
    </row>
    <row r="320625" spans="1:1" x14ac:dyDescent="0.25">
      <c r="A320625" s="1"/>
    </row>
    <row r="320626" spans="1:1" x14ac:dyDescent="0.25">
      <c r="A320626" s="1"/>
    </row>
    <row r="320627" spans="1:1" x14ac:dyDescent="0.25">
      <c r="A320627" s="1"/>
    </row>
    <row r="320628" spans="1:1" x14ac:dyDescent="0.25">
      <c r="A320628" s="1"/>
    </row>
    <row r="320629" spans="1:1" x14ac:dyDescent="0.25">
      <c r="A320629" s="1"/>
    </row>
    <row r="320630" spans="1:1" x14ac:dyDescent="0.25">
      <c r="A320630" s="1"/>
    </row>
    <row r="320631" spans="1:1" x14ac:dyDescent="0.25">
      <c r="A320631" s="1"/>
    </row>
    <row r="320632" spans="1:1" x14ac:dyDescent="0.25">
      <c r="A320632" s="1"/>
    </row>
    <row r="320633" spans="1:1" x14ac:dyDescent="0.25">
      <c r="A320633" s="1"/>
    </row>
    <row r="320634" spans="1:1" x14ac:dyDescent="0.25">
      <c r="A320634" s="1"/>
    </row>
    <row r="320635" spans="1:1" x14ac:dyDescent="0.25">
      <c r="A320635" s="1"/>
    </row>
    <row r="320636" spans="1:1" x14ac:dyDescent="0.25">
      <c r="A320636" s="1"/>
    </row>
    <row r="320637" spans="1:1" x14ac:dyDescent="0.25">
      <c r="A320637" s="1"/>
    </row>
    <row r="320638" spans="1:1" x14ac:dyDescent="0.25">
      <c r="A320638" s="1"/>
    </row>
    <row r="320639" spans="1:1" x14ac:dyDescent="0.25">
      <c r="A320639" s="1"/>
    </row>
    <row r="320640" spans="1:1" x14ac:dyDescent="0.25">
      <c r="A320640" s="1"/>
    </row>
    <row r="320641" spans="1:1" x14ac:dyDescent="0.25">
      <c r="A320641" s="1"/>
    </row>
    <row r="320642" spans="1:1" x14ac:dyDescent="0.25">
      <c r="A320642" s="1"/>
    </row>
    <row r="320643" spans="1:1" x14ac:dyDescent="0.25">
      <c r="A320643" s="1"/>
    </row>
    <row r="320644" spans="1:1" x14ac:dyDescent="0.25">
      <c r="A320644" s="1"/>
    </row>
    <row r="320645" spans="1:1" x14ac:dyDescent="0.25">
      <c r="A320645" s="1"/>
    </row>
    <row r="320646" spans="1:1" x14ac:dyDescent="0.25">
      <c r="A320646" s="1"/>
    </row>
    <row r="320647" spans="1:1" x14ac:dyDescent="0.25">
      <c r="A320647" s="1"/>
    </row>
    <row r="320648" spans="1:1" x14ac:dyDescent="0.25">
      <c r="A320648" s="1"/>
    </row>
    <row r="320649" spans="1:1" x14ac:dyDescent="0.25">
      <c r="A320649" s="1"/>
    </row>
    <row r="320650" spans="1:1" x14ac:dyDescent="0.25">
      <c r="A320650" s="1"/>
    </row>
    <row r="320651" spans="1:1" x14ac:dyDescent="0.25">
      <c r="A320651" s="1"/>
    </row>
    <row r="320652" spans="1:1" x14ac:dyDescent="0.25">
      <c r="A320652" s="1"/>
    </row>
    <row r="320653" spans="1:1" x14ac:dyDescent="0.25">
      <c r="A320653" s="1"/>
    </row>
    <row r="320654" spans="1:1" x14ac:dyDescent="0.25">
      <c r="A320654" s="1"/>
    </row>
    <row r="320655" spans="1:1" x14ac:dyDescent="0.25">
      <c r="A320655" s="1"/>
    </row>
    <row r="320656" spans="1:1" x14ac:dyDescent="0.25">
      <c r="A320656" s="1"/>
    </row>
    <row r="320657" spans="1:1" x14ac:dyDescent="0.25">
      <c r="A320657" s="1"/>
    </row>
    <row r="320658" spans="1:1" x14ac:dyDescent="0.25">
      <c r="A320658" s="1"/>
    </row>
    <row r="320659" spans="1:1" x14ac:dyDescent="0.25">
      <c r="A320659" s="1"/>
    </row>
    <row r="320660" spans="1:1" x14ac:dyDescent="0.25">
      <c r="A320660" s="1"/>
    </row>
    <row r="320661" spans="1:1" x14ac:dyDescent="0.25">
      <c r="A320661" s="1"/>
    </row>
    <row r="320662" spans="1:1" x14ac:dyDescent="0.25">
      <c r="A320662" s="1"/>
    </row>
    <row r="320663" spans="1:1" x14ac:dyDescent="0.25">
      <c r="A320663" s="1"/>
    </row>
    <row r="320664" spans="1:1" x14ac:dyDescent="0.25">
      <c r="A320664" s="1"/>
    </row>
    <row r="320665" spans="1:1" x14ac:dyDescent="0.25">
      <c r="A320665" s="1"/>
    </row>
    <row r="320666" spans="1:1" x14ac:dyDescent="0.25">
      <c r="A320666" s="1"/>
    </row>
    <row r="320667" spans="1:1" x14ac:dyDescent="0.25">
      <c r="A320667" s="1"/>
    </row>
    <row r="320668" spans="1:1" x14ac:dyDescent="0.25">
      <c r="A320668" s="1"/>
    </row>
    <row r="320669" spans="1:1" x14ac:dyDescent="0.25">
      <c r="A320669" s="1"/>
    </row>
    <row r="320670" spans="1:1" x14ac:dyDescent="0.25">
      <c r="A320670" s="1"/>
    </row>
    <row r="320671" spans="1:1" x14ac:dyDescent="0.25">
      <c r="A320671" s="1"/>
    </row>
    <row r="320672" spans="1:1" x14ac:dyDescent="0.25">
      <c r="A320672" s="1"/>
    </row>
    <row r="320673" spans="1:1" x14ac:dyDescent="0.25">
      <c r="A320673" s="1"/>
    </row>
    <row r="320674" spans="1:1" x14ac:dyDescent="0.25">
      <c r="A320674" s="1"/>
    </row>
    <row r="320675" spans="1:1" x14ac:dyDescent="0.25">
      <c r="A320675" s="1"/>
    </row>
    <row r="320676" spans="1:1" x14ac:dyDescent="0.25">
      <c r="A320676" s="1"/>
    </row>
    <row r="320677" spans="1:1" x14ac:dyDescent="0.25">
      <c r="A320677" s="1"/>
    </row>
    <row r="320678" spans="1:1" x14ac:dyDescent="0.25">
      <c r="A320678" s="1"/>
    </row>
    <row r="320679" spans="1:1" x14ac:dyDescent="0.25">
      <c r="A320679" s="1"/>
    </row>
    <row r="320680" spans="1:1" x14ac:dyDescent="0.25">
      <c r="A320680" s="1"/>
    </row>
    <row r="320681" spans="1:1" x14ac:dyDescent="0.25">
      <c r="A320681" s="1"/>
    </row>
    <row r="320682" spans="1:1" x14ac:dyDescent="0.25">
      <c r="A320682" s="1"/>
    </row>
    <row r="320683" spans="1:1" x14ac:dyDescent="0.25">
      <c r="A320683" s="1"/>
    </row>
    <row r="320684" spans="1:1" x14ac:dyDescent="0.25">
      <c r="A320684" s="1"/>
    </row>
    <row r="320685" spans="1:1" x14ac:dyDescent="0.25">
      <c r="A320685" s="1"/>
    </row>
    <row r="320686" spans="1:1" x14ac:dyDescent="0.25">
      <c r="A320686" s="1"/>
    </row>
    <row r="320687" spans="1:1" x14ac:dyDescent="0.25">
      <c r="A320687" s="1"/>
    </row>
    <row r="320688" spans="1:1" x14ac:dyDescent="0.25">
      <c r="A320688" s="1"/>
    </row>
    <row r="320689" spans="1:1" x14ac:dyDescent="0.25">
      <c r="A320689" s="1"/>
    </row>
    <row r="320690" spans="1:1" x14ac:dyDescent="0.25">
      <c r="A320690" s="1"/>
    </row>
    <row r="320691" spans="1:1" x14ac:dyDescent="0.25">
      <c r="A320691" s="1"/>
    </row>
    <row r="320692" spans="1:1" x14ac:dyDescent="0.25">
      <c r="A320692" s="1"/>
    </row>
    <row r="320693" spans="1:1" x14ac:dyDescent="0.25">
      <c r="A320693" s="1"/>
    </row>
    <row r="320694" spans="1:1" x14ac:dyDescent="0.25">
      <c r="A320694" s="1"/>
    </row>
    <row r="320695" spans="1:1" x14ac:dyDescent="0.25">
      <c r="A320695" s="1"/>
    </row>
    <row r="320696" spans="1:1" x14ac:dyDescent="0.25">
      <c r="A320696" s="1"/>
    </row>
    <row r="320697" spans="1:1" x14ac:dyDescent="0.25">
      <c r="A320697" s="1"/>
    </row>
    <row r="320698" spans="1:1" x14ac:dyDescent="0.25">
      <c r="A320698" s="1"/>
    </row>
    <row r="320699" spans="1:1" x14ac:dyDescent="0.25">
      <c r="A320699" s="1"/>
    </row>
    <row r="320700" spans="1:1" x14ac:dyDescent="0.25">
      <c r="A320700" s="1"/>
    </row>
    <row r="320701" spans="1:1" x14ac:dyDescent="0.25">
      <c r="A320701" s="1"/>
    </row>
    <row r="320702" spans="1:1" x14ac:dyDescent="0.25">
      <c r="A320702" s="1"/>
    </row>
    <row r="320703" spans="1:1" x14ac:dyDescent="0.25">
      <c r="A320703" s="1"/>
    </row>
    <row r="320704" spans="1:1" x14ac:dyDescent="0.25">
      <c r="A320704" s="1"/>
    </row>
    <row r="320705" spans="1:1" x14ac:dyDescent="0.25">
      <c r="A320705" s="1"/>
    </row>
    <row r="320706" spans="1:1" x14ac:dyDescent="0.25">
      <c r="A320706" s="1"/>
    </row>
    <row r="320707" spans="1:1" x14ac:dyDescent="0.25">
      <c r="A320707" s="1"/>
    </row>
    <row r="320708" spans="1:1" x14ac:dyDescent="0.25">
      <c r="A320708" s="1"/>
    </row>
    <row r="320709" spans="1:1" x14ac:dyDescent="0.25">
      <c r="A320709" s="1"/>
    </row>
    <row r="320710" spans="1:1" x14ac:dyDescent="0.25">
      <c r="A320710" s="1"/>
    </row>
    <row r="320711" spans="1:1" x14ac:dyDescent="0.25">
      <c r="A320711" s="1"/>
    </row>
    <row r="320712" spans="1:1" x14ac:dyDescent="0.25">
      <c r="A320712" s="1"/>
    </row>
    <row r="320713" spans="1:1" x14ac:dyDescent="0.25">
      <c r="A320713" s="1"/>
    </row>
    <row r="320714" spans="1:1" x14ac:dyDescent="0.25">
      <c r="A320714" s="1"/>
    </row>
    <row r="320715" spans="1:1" x14ac:dyDescent="0.25">
      <c r="A320715" s="1"/>
    </row>
    <row r="320716" spans="1:1" x14ac:dyDescent="0.25">
      <c r="A320716" s="1"/>
    </row>
    <row r="320717" spans="1:1" x14ac:dyDescent="0.25">
      <c r="A320717" s="1"/>
    </row>
    <row r="320718" spans="1:1" x14ac:dyDescent="0.25">
      <c r="A320718" s="1"/>
    </row>
    <row r="320719" spans="1:1" x14ac:dyDescent="0.25">
      <c r="A320719" s="1"/>
    </row>
    <row r="320720" spans="1:1" x14ac:dyDescent="0.25">
      <c r="A320720" s="1"/>
    </row>
    <row r="320721" spans="1:1" x14ac:dyDescent="0.25">
      <c r="A320721" s="1"/>
    </row>
    <row r="320722" spans="1:1" x14ac:dyDescent="0.25">
      <c r="A320722" s="1"/>
    </row>
    <row r="320723" spans="1:1" x14ac:dyDescent="0.25">
      <c r="A320723" s="1"/>
    </row>
    <row r="320724" spans="1:1" x14ac:dyDescent="0.25">
      <c r="A320724" s="1"/>
    </row>
    <row r="320725" spans="1:1" x14ac:dyDescent="0.25">
      <c r="A320725" s="1"/>
    </row>
    <row r="320726" spans="1:1" x14ac:dyDescent="0.25">
      <c r="A320726" s="1"/>
    </row>
    <row r="320727" spans="1:1" x14ac:dyDescent="0.25">
      <c r="A320727" s="1"/>
    </row>
    <row r="320728" spans="1:1" x14ac:dyDescent="0.25">
      <c r="A320728" s="1"/>
    </row>
    <row r="320729" spans="1:1" x14ac:dyDescent="0.25">
      <c r="A320729" s="1"/>
    </row>
    <row r="320730" spans="1:1" x14ac:dyDescent="0.25">
      <c r="A320730" s="1"/>
    </row>
    <row r="320731" spans="1:1" x14ac:dyDescent="0.25">
      <c r="A320731" s="1"/>
    </row>
    <row r="320732" spans="1:1" x14ac:dyDescent="0.25">
      <c r="A320732" s="1"/>
    </row>
    <row r="320733" spans="1:1" x14ac:dyDescent="0.25">
      <c r="A320733" s="1"/>
    </row>
    <row r="320734" spans="1:1" x14ac:dyDescent="0.25">
      <c r="A320734" s="1"/>
    </row>
    <row r="320735" spans="1:1" x14ac:dyDescent="0.25">
      <c r="A320735" s="1"/>
    </row>
    <row r="320736" spans="1:1" x14ac:dyDescent="0.25">
      <c r="A320736" s="1"/>
    </row>
    <row r="320737" spans="1:1" x14ac:dyDescent="0.25">
      <c r="A320737" s="1"/>
    </row>
    <row r="320738" spans="1:1" x14ac:dyDescent="0.25">
      <c r="A320738" s="1"/>
    </row>
    <row r="320739" spans="1:1" x14ac:dyDescent="0.25">
      <c r="A320739" s="1"/>
    </row>
    <row r="320740" spans="1:1" x14ac:dyDescent="0.25">
      <c r="A320740" s="1"/>
    </row>
    <row r="320741" spans="1:1" x14ac:dyDescent="0.25">
      <c r="A320741" s="1"/>
    </row>
    <row r="320742" spans="1:1" x14ac:dyDescent="0.25">
      <c r="A320742" s="1"/>
    </row>
    <row r="320743" spans="1:1" x14ac:dyDescent="0.25">
      <c r="A320743" s="1"/>
    </row>
    <row r="320744" spans="1:1" x14ac:dyDescent="0.25">
      <c r="A320744" s="1"/>
    </row>
    <row r="320745" spans="1:1" x14ac:dyDescent="0.25">
      <c r="A320745" s="1"/>
    </row>
    <row r="320746" spans="1:1" x14ac:dyDescent="0.25">
      <c r="A320746" s="1"/>
    </row>
    <row r="320747" spans="1:1" x14ac:dyDescent="0.25">
      <c r="A320747" s="1"/>
    </row>
    <row r="320748" spans="1:1" x14ac:dyDescent="0.25">
      <c r="A320748" s="1"/>
    </row>
    <row r="320749" spans="1:1" x14ac:dyDescent="0.25">
      <c r="A320749" s="1"/>
    </row>
    <row r="320750" spans="1:1" x14ac:dyDescent="0.25">
      <c r="A320750" s="1"/>
    </row>
    <row r="320751" spans="1:1" x14ac:dyDescent="0.25">
      <c r="A320751" s="1"/>
    </row>
    <row r="320752" spans="1:1" x14ac:dyDescent="0.25">
      <c r="A320752" s="1"/>
    </row>
    <row r="320753" spans="1:1" x14ac:dyDescent="0.25">
      <c r="A320753" s="1"/>
    </row>
    <row r="320754" spans="1:1" x14ac:dyDescent="0.25">
      <c r="A320754" s="1"/>
    </row>
    <row r="320755" spans="1:1" x14ac:dyDescent="0.25">
      <c r="A320755" s="1"/>
    </row>
    <row r="320756" spans="1:1" x14ac:dyDescent="0.25">
      <c r="A320756" s="1"/>
    </row>
    <row r="320757" spans="1:1" x14ac:dyDescent="0.25">
      <c r="A320757" s="1"/>
    </row>
    <row r="320758" spans="1:1" x14ac:dyDescent="0.25">
      <c r="A320758" s="1"/>
    </row>
    <row r="320759" spans="1:1" x14ac:dyDescent="0.25">
      <c r="A320759" s="1"/>
    </row>
    <row r="320760" spans="1:1" x14ac:dyDescent="0.25">
      <c r="A320760" s="1"/>
    </row>
    <row r="320761" spans="1:1" x14ac:dyDescent="0.25">
      <c r="A320761" s="1"/>
    </row>
    <row r="320762" spans="1:1" x14ac:dyDescent="0.25">
      <c r="A320762" s="1"/>
    </row>
    <row r="320763" spans="1:1" x14ac:dyDescent="0.25">
      <c r="A320763" s="1"/>
    </row>
    <row r="320764" spans="1:1" x14ac:dyDescent="0.25">
      <c r="A320764" s="1"/>
    </row>
    <row r="320765" spans="1:1" x14ac:dyDescent="0.25">
      <c r="A320765" s="1"/>
    </row>
    <row r="320766" spans="1:1" x14ac:dyDescent="0.25">
      <c r="A320766" s="1"/>
    </row>
    <row r="320767" spans="1:1" x14ac:dyDescent="0.25">
      <c r="A320767" s="1"/>
    </row>
    <row r="320768" spans="1:1" x14ac:dyDescent="0.25">
      <c r="A320768" s="1"/>
    </row>
    <row r="320769" spans="1:1" x14ac:dyDescent="0.25">
      <c r="A320769" s="1"/>
    </row>
    <row r="320770" spans="1:1" x14ac:dyDescent="0.25">
      <c r="A320770" s="1"/>
    </row>
    <row r="320771" spans="1:1" x14ac:dyDescent="0.25">
      <c r="A320771" s="1"/>
    </row>
    <row r="320772" spans="1:1" x14ac:dyDescent="0.25">
      <c r="A320772" s="1"/>
    </row>
    <row r="320773" spans="1:1" x14ac:dyDescent="0.25">
      <c r="A320773" s="1"/>
    </row>
    <row r="320774" spans="1:1" x14ac:dyDescent="0.25">
      <c r="A320774" s="1"/>
    </row>
    <row r="320775" spans="1:1" x14ac:dyDescent="0.25">
      <c r="A320775" s="1"/>
    </row>
    <row r="320776" spans="1:1" x14ac:dyDescent="0.25">
      <c r="A320776" s="1"/>
    </row>
    <row r="320777" spans="1:1" x14ac:dyDescent="0.25">
      <c r="A320777" s="1"/>
    </row>
    <row r="320778" spans="1:1" x14ac:dyDescent="0.25">
      <c r="A320778" s="1"/>
    </row>
    <row r="320779" spans="1:1" x14ac:dyDescent="0.25">
      <c r="A320779" s="1"/>
    </row>
    <row r="320780" spans="1:1" x14ac:dyDescent="0.25">
      <c r="A320780" s="1"/>
    </row>
    <row r="320781" spans="1:1" x14ac:dyDescent="0.25">
      <c r="A320781" s="1"/>
    </row>
    <row r="320782" spans="1:1" x14ac:dyDescent="0.25">
      <c r="A320782" s="1"/>
    </row>
    <row r="320783" spans="1:1" x14ac:dyDescent="0.25">
      <c r="A320783" s="1"/>
    </row>
    <row r="320784" spans="1:1" x14ac:dyDescent="0.25">
      <c r="A320784" s="1"/>
    </row>
    <row r="320785" spans="1:1" x14ac:dyDescent="0.25">
      <c r="A320785" s="1"/>
    </row>
    <row r="320786" spans="1:1" x14ac:dyDescent="0.25">
      <c r="A320786" s="1"/>
    </row>
    <row r="320787" spans="1:1" x14ac:dyDescent="0.25">
      <c r="A320787" s="1"/>
    </row>
    <row r="320788" spans="1:1" x14ac:dyDescent="0.25">
      <c r="A320788" s="1"/>
    </row>
    <row r="320789" spans="1:1" x14ac:dyDescent="0.25">
      <c r="A320789" s="1"/>
    </row>
    <row r="320790" spans="1:1" x14ac:dyDescent="0.25">
      <c r="A320790" s="1"/>
    </row>
    <row r="320791" spans="1:1" x14ac:dyDescent="0.25">
      <c r="A320791" s="1"/>
    </row>
    <row r="320792" spans="1:1" x14ac:dyDescent="0.25">
      <c r="A320792" s="1"/>
    </row>
    <row r="320793" spans="1:1" x14ac:dyDescent="0.25">
      <c r="A320793" s="1"/>
    </row>
    <row r="320794" spans="1:1" x14ac:dyDescent="0.25">
      <c r="A320794" s="1"/>
    </row>
    <row r="320795" spans="1:1" x14ac:dyDescent="0.25">
      <c r="A320795" s="1"/>
    </row>
    <row r="320796" spans="1:1" x14ac:dyDescent="0.25">
      <c r="A320796" s="1"/>
    </row>
    <row r="320797" spans="1:1" x14ac:dyDescent="0.25">
      <c r="A320797" s="1"/>
    </row>
    <row r="320798" spans="1:1" x14ac:dyDescent="0.25">
      <c r="A320798" s="1"/>
    </row>
    <row r="320799" spans="1:1" x14ac:dyDescent="0.25">
      <c r="A320799" s="1"/>
    </row>
    <row r="320800" spans="1:1" x14ac:dyDescent="0.25">
      <c r="A320800" s="1"/>
    </row>
    <row r="320801" spans="1:1" x14ac:dyDescent="0.25">
      <c r="A320801" s="1"/>
    </row>
    <row r="320802" spans="1:1" x14ac:dyDescent="0.25">
      <c r="A320802" s="1"/>
    </row>
    <row r="320803" spans="1:1" x14ac:dyDescent="0.25">
      <c r="A320803" s="1"/>
    </row>
    <row r="320804" spans="1:1" x14ac:dyDescent="0.25">
      <c r="A320804" s="1"/>
    </row>
    <row r="320805" spans="1:1" x14ac:dyDescent="0.25">
      <c r="A320805" s="1"/>
    </row>
    <row r="320806" spans="1:1" x14ac:dyDescent="0.25">
      <c r="A320806" s="1"/>
    </row>
    <row r="320807" spans="1:1" x14ac:dyDescent="0.25">
      <c r="A320807" s="1"/>
    </row>
    <row r="320808" spans="1:1" x14ac:dyDescent="0.25">
      <c r="A320808" s="1"/>
    </row>
    <row r="320809" spans="1:1" x14ac:dyDescent="0.25">
      <c r="A320809" s="1"/>
    </row>
    <row r="320810" spans="1:1" x14ac:dyDescent="0.25">
      <c r="A320810" s="1"/>
    </row>
    <row r="320811" spans="1:1" x14ac:dyDescent="0.25">
      <c r="A320811" s="1"/>
    </row>
    <row r="320812" spans="1:1" x14ac:dyDescent="0.25">
      <c r="A320812" s="1"/>
    </row>
    <row r="320813" spans="1:1" x14ac:dyDescent="0.25">
      <c r="A320813" s="1"/>
    </row>
    <row r="320814" spans="1:1" x14ac:dyDescent="0.25">
      <c r="A320814" s="1"/>
    </row>
    <row r="320815" spans="1:1" x14ac:dyDescent="0.25">
      <c r="A320815" s="1"/>
    </row>
    <row r="320816" spans="1:1" x14ac:dyDescent="0.25">
      <c r="A320816" s="1"/>
    </row>
    <row r="320817" spans="1:1" x14ac:dyDescent="0.25">
      <c r="A320817" s="1"/>
    </row>
    <row r="320818" spans="1:1" x14ac:dyDescent="0.25">
      <c r="A320818" s="1"/>
    </row>
    <row r="320819" spans="1:1" x14ac:dyDescent="0.25">
      <c r="A320819" s="1"/>
    </row>
    <row r="320820" spans="1:1" x14ac:dyDescent="0.25">
      <c r="A320820" s="1"/>
    </row>
    <row r="320821" spans="1:1" x14ac:dyDescent="0.25">
      <c r="A320821" s="1"/>
    </row>
    <row r="320822" spans="1:1" x14ac:dyDescent="0.25">
      <c r="A320822" s="1"/>
    </row>
    <row r="320823" spans="1:1" x14ac:dyDescent="0.25">
      <c r="A320823" s="1"/>
    </row>
    <row r="320824" spans="1:1" x14ac:dyDescent="0.25">
      <c r="A320824" s="1"/>
    </row>
    <row r="320825" spans="1:1" x14ac:dyDescent="0.25">
      <c r="A320825" s="1"/>
    </row>
    <row r="320826" spans="1:1" x14ac:dyDescent="0.25">
      <c r="A320826" s="1"/>
    </row>
    <row r="320827" spans="1:1" x14ac:dyDescent="0.25">
      <c r="A320827" s="1"/>
    </row>
    <row r="320828" spans="1:1" x14ac:dyDescent="0.25">
      <c r="A320828" s="1"/>
    </row>
    <row r="320829" spans="1:1" x14ac:dyDescent="0.25">
      <c r="A320829" s="1"/>
    </row>
    <row r="320830" spans="1:1" x14ac:dyDescent="0.25">
      <c r="A320830" s="1"/>
    </row>
    <row r="320831" spans="1:1" x14ac:dyDescent="0.25">
      <c r="A320831" s="1"/>
    </row>
    <row r="320832" spans="1:1" x14ac:dyDescent="0.25">
      <c r="A320832" s="1"/>
    </row>
    <row r="320833" spans="1:1" x14ac:dyDescent="0.25">
      <c r="A320833" s="1"/>
    </row>
    <row r="320834" spans="1:1" x14ac:dyDescent="0.25">
      <c r="A320834" s="1"/>
    </row>
    <row r="320835" spans="1:1" x14ac:dyDescent="0.25">
      <c r="A320835" s="1"/>
    </row>
    <row r="320836" spans="1:1" x14ac:dyDescent="0.25">
      <c r="A320836" s="1"/>
    </row>
    <row r="320837" spans="1:1" x14ac:dyDescent="0.25">
      <c r="A320837" s="1"/>
    </row>
    <row r="320838" spans="1:1" x14ac:dyDescent="0.25">
      <c r="A320838" s="1"/>
    </row>
    <row r="320839" spans="1:1" x14ac:dyDescent="0.25">
      <c r="A320839" s="1"/>
    </row>
    <row r="320840" spans="1:1" x14ac:dyDescent="0.25">
      <c r="A320840" s="1"/>
    </row>
    <row r="320841" spans="1:1" x14ac:dyDescent="0.25">
      <c r="A320841" s="1"/>
    </row>
    <row r="320842" spans="1:1" x14ac:dyDescent="0.25">
      <c r="A320842" s="1"/>
    </row>
    <row r="320843" spans="1:1" x14ac:dyDescent="0.25">
      <c r="A320843" s="1"/>
    </row>
    <row r="320844" spans="1:1" x14ac:dyDescent="0.25">
      <c r="A320844" s="1"/>
    </row>
    <row r="320845" spans="1:1" x14ac:dyDescent="0.25">
      <c r="A320845" s="1"/>
    </row>
    <row r="320846" spans="1:1" x14ac:dyDescent="0.25">
      <c r="A320846" s="1"/>
    </row>
    <row r="320847" spans="1:1" x14ac:dyDescent="0.25">
      <c r="A320847" s="1"/>
    </row>
    <row r="320848" spans="1:1" x14ac:dyDescent="0.25">
      <c r="A320848" s="1"/>
    </row>
    <row r="320849" spans="1:1" x14ac:dyDescent="0.25">
      <c r="A320849" s="1"/>
    </row>
    <row r="320850" spans="1:1" x14ac:dyDescent="0.25">
      <c r="A320850" s="1"/>
    </row>
    <row r="320851" spans="1:1" x14ac:dyDescent="0.25">
      <c r="A320851" s="1"/>
    </row>
    <row r="320852" spans="1:1" x14ac:dyDescent="0.25">
      <c r="A320852" s="1"/>
    </row>
    <row r="320853" spans="1:1" x14ac:dyDescent="0.25">
      <c r="A320853" s="1"/>
    </row>
    <row r="320854" spans="1:1" x14ac:dyDescent="0.25">
      <c r="A320854" s="1"/>
    </row>
    <row r="320855" spans="1:1" x14ac:dyDescent="0.25">
      <c r="A320855" s="1"/>
    </row>
    <row r="320856" spans="1:1" x14ac:dyDescent="0.25">
      <c r="A320856" s="1"/>
    </row>
    <row r="320857" spans="1:1" x14ac:dyDescent="0.25">
      <c r="A320857" s="1"/>
    </row>
    <row r="320858" spans="1:1" x14ac:dyDescent="0.25">
      <c r="A320858" s="1"/>
    </row>
    <row r="320859" spans="1:1" x14ac:dyDescent="0.25">
      <c r="A320859" s="1"/>
    </row>
    <row r="320860" spans="1:1" x14ac:dyDescent="0.25">
      <c r="A320860" s="1"/>
    </row>
    <row r="320861" spans="1:1" x14ac:dyDescent="0.25">
      <c r="A320861" s="1"/>
    </row>
    <row r="320862" spans="1:1" x14ac:dyDescent="0.25">
      <c r="A320862" s="1"/>
    </row>
    <row r="320863" spans="1:1" x14ac:dyDescent="0.25">
      <c r="A320863" s="1"/>
    </row>
    <row r="320864" spans="1:1" x14ac:dyDescent="0.25">
      <c r="A320864" s="1"/>
    </row>
    <row r="320865" spans="1:1" x14ac:dyDescent="0.25">
      <c r="A320865" s="1"/>
    </row>
    <row r="320866" spans="1:1" x14ac:dyDescent="0.25">
      <c r="A320866" s="1"/>
    </row>
    <row r="320867" spans="1:1" x14ac:dyDescent="0.25">
      <c r="A320867" s="1"/>
    </row>
    <row r="320868" spans="1:1" x14ac:dyDescent="0.25">
      <c r="A320868" s="1"/>
    </row>
    <row r="320869" spans="1:1" x14ac:dyDescent="0.25">
      <c r="A320869" s="1"/>
    </row>
    <row r="320870" spans="1:1" x14ac:dyDescent="0.25">
      <c r="A320870" s="1"/>
    </row>
    <row r="320871" spans="1:1" x14ac:dyDescent="0.25">
      <c r="A320871" s="1"/>
    </row>
    <row r="320872" spans="1:1" x14ac:dyDescent="0.25">
      <c r="A320872" s="1"/>
    </row>
    <row r="320873" spans="1:1" x14ac:dyDescent="0.25">
      <c r="A320873" s="1"/>
    </row>
    <row r="320874" spans="1:1" x14ac:dyDescent="0.25">
      <c r="A320874" s="1"/>
    </row>
    <row r="320875" spans="1:1" x14ac:dyDescent="0.25">
      <c r="A320875" s="1"/>
    </row>
    <row r="320876" spans="1:1" x14ac:dyDescent="0.25">
      <c r="A320876" s="1"/>
    </row>
    <row r="320877" spans="1:1" x14ac:dyDescent="0.25">
      <c r="A320877" s="1"/>
    </row>
    <row r="320878" spans="1:1" x14ac:dyDescent="0.25">
      <c r="A320878" s="1"/>
    </row>
    <row r="320879" spans="1:1" x14ac:dyDescent="0.25">
      <c r="A320879" s="1"/>
    </row>
    <row r="320880" spans="1:1" x14ac:dyDescent="0.25">
      <c r="A320880" s="1"/>
    </row>
    <row r="320881" spans="1:1" x14ac:dyDescent="0.25">
      <c r="A320881" s="1"/>
    </row>
    <row r="320882" spans="1:1" x14ac:dyDescent="0.25">
      <c r="A320882" s="1"/>
    </row>
    <row r="320883" spans="1:1" x14ac:dyDescent="0.25">
      <c r="A320883" s="1"/>
    </row>
    <row r="320884" spans="1:1" x14ac:dyDescent="0.25">
      <c r="A320884" s="1"/>
    </row>
    <row r="320885" spans="1:1" x14ac:dyDescent="0.25">
      <c r="A320885" s="1"/>
    </row>
    <row r="320886" spans="1:1" x14ac:dyDescent="0.25">
      <c r="A320886" s="1"/>
    </row>
    <row r="320887" spans="1:1" x14ac:dyDescent="0.25">
      <c r="A320887" s="1"/>
    </row>
    <row r="320888" spans="1:1" x14ac:dyDescent="0.25">
      <c r="A320888" s="1"/>
    </row>
    <row r="320889" spans="1:1" x14ac:dyDescent="0.25">
      <c r="A320889" s="1"/>
    </row>
    <row r="320890" spans="1:1" x14ac:dyDescent="0.25">
      <c r="A320890" s="1"/>
    </row>
    <row r="320891" spans="1:1" x14ac:dyDescent="0.25">
      <c r="A320891" s="1"/>
    </row>
    <row r="320892" spans="1:1" x14ac:dyDescent="0.25">
      <c r="A320892" s="1"/>
    </row>
    <row r="320893" spans="1:1" x14ac:dyDescent="0.25">
      <c r="A320893" s="1"/>
    </row>
    <row r="320894" spans="1:1" x14ac:dyDescent="0.25">
      <c r="A320894" s="1"/>
    </row>
    <row r="320895" spans="1:1" x14ac:dyDescent="0.25">
      <c r="A320895" s="1"/>
    </row>
    <row r="320896" spans="1:1" x14ac:dyDescent="0.25">
      <c r="A320896" s="1"/>
    </row>
    <row r="320897" spans="1:1" x14ac:dyDescent="0.25">
      <c r="A320897" s="1"/>
    </row>
    <row r="320898" spans="1:1" x14ac:dyDescent="0.25">
      <c r="A320898" s="1"/>
    </row>
    <row r="320899" spans="1:1" x14ac:dyDescent="0.25">
      <c r="A320899" s="1"/>
    </row>
    <row r="320900" spans="1:1" x14ac:dyDescent="0.25">
      <c r="A320900" s="1"/>
    </row>
    <row r="320901" spans="1:1" x14ac:dyDescent="0.25">
      <c r="A320901" s="1"/>
    </row>
    <row r="320902" spans="1:1" x14ac:dyDescent="0.25">
      <c r="A320902" s="1"/>
    </row>
    <row r="320903" spans="1:1" x14ac:dyDescent="0.25">
      <c r="A320903" s="1"/>
    </row>
    <row r="320904" spans="1:1" x14ac:dyDescent="0.25">
      <c r="A320904" s="1"/>
    </row>
    <row r="320905" spans="1:1" x14ac:dyDescent="0.25">
      <c r="A320905" s="1"/>
    </row>
    <row r="320906" spans="1:1" x14ac:dyDescent="0.25">
      <c r="A320906" s="1"/>
    </row>
    <row r="320907" spans="1:1" x14ac:dyDescent="0.25">
      <c r="A320907" s="1"/>
    </row>
    <row r="320908" spans="1:1" x14ac:dyDescent="0.25">
      <c r="A320908" s="1"/>
    </row>
    <row r="320909" spans="1:1" x14ac:dyDescent="0.25">
      <c r="A320909" s="1"/>
    </row>
    <row r="320910" spans="1:1" x14ac:dyDescent="0.25">
      <c r="A320910" s="1"/>
    </row>
    <row r="320911" spans="1:1" x14ac:dyDescent="0.25">
      <c r="A320911" s="1"/>
    </row>
    <row r="320912" spans="1:1" x14ac:dyDescent="0.25">
      <c r="A320912" s="1"/>
    </row>
    <row r="320913" spans="1:1" x14ac:dyDescent="0.25">
      <c r="A320913" s="1"/>
    </row>
    <row r="320914" spans="1:1" x14ac:dyDescent="0.25">
      <c r="A320914" s="1"/>
    </row>
    <row r="320915" spans="1:1" x14ac:dyDescent="0.25">
      <c r="A320915" s="1"/>
    </row>
    <row r="320916" spans="1:1" x14ac:dyDescent="0.25">
      <c r="A320916" s="1"/>
    </row>
    <row r="320917" spans="1:1" x14ac:dyDescent="0.25">
      <c r="A320917" s="1"/>
    </row>
    <row r="320918" spans="1:1" x14ac:dyDescent="0.25">
      <c r="A320918" s="1"/>
    </row>
    <row r="320919" spans="1:1" x14ac:dyDescent="0.25">
      <c r="A320919" s="1"/>
    </row>
    <row r="320920" spans="1:1" x14ac:dyDescent="0.25">
      <c r="A320920" s="1"/>
    </row>
    <row r="320921" spans="1:1" x14ac:dyDescent="0.25">
      <c r="A320921" s="1"/>
    </row>
    <row r="320922" spans="1:1" x14ac:dyDescent="0.25">
      <c r="A320922" s="1"/>
    </row>
    <row r="320923" spans="1:1" x14ac:dyDescent="0.25">
      <c r="A320923" s="1"/>
    </row>
    <row r="320924" spans="1:1" x14ac:dyDescent="0.25">
      <c r="A320924" s="1"/>
    </row>
    <row r="320925" spans="1:1" x14ac:dyDescent="0.25">
      <c r="A320925" s="1"/>
    </row>
    <row r="320926" spans="1:1" x14ac:dyDescent="0.25">
      <c r="A320926" s="1"/>
    </row>
    <row r="320927" spans="1:1" x14ac:dyDescent="0.25">
      <c r="A320927" s="1"/>
    </row>
    <row r="320928" spans="1:1" x14ac:dyDescent="0.25">
      <c r="A320928" s="1"/>
    </row>
    <row r="320929" spans="1:1" x14ac:dyDescent="0.25">
      <c r="A320929" s="1"/>
    </row>
    <row r="320930" spans="1:1" x14ac:dyDescent="0.25">
      <c r="A320930" s="1"/>
    </row>
    <row r="320931" spans="1:1" x14ac:dyDescent="0.25">
      <c r="A320931" s="1"/>
    </row>
    <row r="320932" spans="1:1" x14ac:dyDescent="0.25">
      <c r="A320932" s="1"/>
    </row>
    <row r="320933" spans="1:1" x14ac:dyDescent="0.25">
      <c r="A320933" s="1"/>
    </row>
    <row r="320934" spans="1:1" x14ac:dyDescent="0.25">
      <c r="A320934" s="1"/>
    </row>
    <row r="320935" spans="1:1" x14ac:dyDescent="0.25">
      <c r="A320935" s="1"/>
    </row>
    <row r="320936" spans="1:1" x14ac:dyDescent="0.25">
      <c r="A320936" s="1"/>
    </row>
    <row r="320937" spans="1:1" x14ac:dyDescent="0.25">
      <c r="A320937" s="1"/>
    </row>
    <row r="320938" spans="1:1" x14ac:dyDescent="0.25">
      <c r="A320938" s="1"/>
    </row>
    <row r="320939" spans="1:1" x14ac:dyDescent="0.25">
      <c r="A320939" s="1"/>
    </row>
    <row r="320940" spans="1:1" x14ac:dyDescent="0.25">
      <c r="A320940" s="1"/>
    </row>
    <row r="320941" spans="1:1" x14ac:dyDescent="0.25">
      <c r="A320941" s="1"/>
    </row>
    <row r="320942" spans="1:1" x14ac:dyDescent="0.25">
      <c r="A320942" s="1"/>
    </row>
    <row r="320943" spans="1:1" x14ac:dyDescent="0.25">
      <c r="A320943" s="1"/>
    </row>
    <row r="320944" spans="1:1" x14ac:dyDescent="0.25">
      <c r="A320944" s="1"/>
    </row>
    <row r="320945" spans="1:1" x14ac:dyDescent="0.25">
      <c r="A320945" s="1"/>
    </row>
    <row r="320946" spans="1:1" x14ac:dyDescent="0.25">
      <c r="A320946" s="1"/>
    </row>
    <row r="320947" spans="1:1" x14ac:dyDescent="0.25">
      <c r="A320947" s="1"/>
    </row>
    <row r="320948" spans="1:1" x14ac:dyDescent="0.25">
      <c r="A320948" s="1"/>
    </row>
    <row r="320949" spans="1:1" x14ac:dyDescent="0.25">
      <c r="A320949" s="1"/>
    </row>
    <row r="320950" spans="1:1" x14ac:dyDescent="0.25">
      <c r="A320950" s="1"/>
    </row>
    <row r="320951" spans="1:1" x14ac:dyDescent="0.25">
      <c r="A320951" s="1"/>
    </row>
    <row r="320952" spans="1:1" x14ac:dyDescent="0.25">
      <c r="A320952" s="1"/>
    </row>
    <row r="320953" spans="1:1" x14ac:dyDescent="0.25">
      <c r="A320953" s="1"/>
    </row>
    <row r="320954" spans="1:1" x14ac:dyDescent="0.25">
      <c r="A320954" s="1"/>
    </row>
    <row r="320955" spans="1:1" x14ac:dyDescent="0.25">
      <c r="A320955" s="1"/>
    </row>
    <row r="320956" spans="1:1" x14ac:dyDescent="0.25">
      <c r="A320956" s="1"/>
    </row>
    <row r="320957" spans="1:1" x14ac:dyDescent="0.25">
      <c r="A320957" s="1"/>
    </row>
    <row r="320958" spans="1:1" x14ac:dyDescent="0.25">
      <c r="A320958" s="1"/>
    </row>
    <row r="320959" spans="1:1" x14ac:dyDescent="0.25">
      <c r="A320959" s="1"/>
    </row>
    <row r="320960" spans="1:1" x14ac:dyDescent="0.25">
      <c r="A320960" s="1"/>
    </row>
    <row r="320961" spans="1:1" x14ac:dyDescent="0.25">
      <c r="A320961" s="1"/>
    </row>
    <row r="320962" spans="1:1" x14ac:dyDescent="0.25">
      <c r="A320962" s="1"/>
    </row>
    <row r="320963" spans="1:1" x14ac:dyDescent="0.25">
      <c r="A320963" s="1"/>
    </row>
    <row r="320964" spans="1:1" x14ac:dyDescent="0.25">
      <c r="A320964" s="1"/>
    </row>
    <row r="320965" spans="1:1" x14ac:dyDescent="0.25">
      <c r="A320965" s="1"/>
    </row>
    <row r="320966" spans="1:1" x14ac:dyDescent="0.25">
      <c r="A320966" s="1"/>
    </row>
    <row r="320967" spans="1:1" x14ac:dyDescent="0.25">
      <c r="A320967" s="1"/>
    </row>
    <row r="320968" spans="1:1" x14ac:dyDescent="0.25">
      <c r="A320968" s="1"/>
    </row>
    <row r="320969" spans="1:1" x14ac:dyDescent="0.25">
      <c r="A320969" s="1"/>
    </row>
    <row r="320970" spans="1:1" x14ac:dyDescent="0.25">
      <c r="A320970" s="1"/>
    </row>
    <row r="320971" spans="1:1" x14ac:dyDescent="0.25">
      <c r="A320971" s="1"/>
    </row>
    <row r="320972" spans="1:1" x14ac:dyDescent="0.25">
      <c r="A320972" s="1"/>
    </row>
    <row r="320973" spans="1:1" x14ac:dyDescent="0.25">
      <c r="A320973" s="1"/>
    </row>
    <row r="320974" spans="1:1" x14ac:dyDescent="0.25">
      <c r="A320974" s="1"/>
    </row>
    <row r="320975" spans="1:1" x14ac:dyDescent="0.25">
      <c r="A320975" s="1"/>
    </row>
    <row r="320976" spans="1:1" x14ac:dyDescent="0.25">
      <c r="A320976" s="1"/>
    </row>
    <row r="320977" spans="1:1" x14ac:dyDescent="0.25">
      <c r="A320977" s="1"/>
    </row>
    <row r="320978" spans="1:1" x14ac:dyDescent="0.25">
      <c r="A320978" s="1"/>
    </row>
    <row r="320979" spans="1:1" x14ac:dyDescent="0.25">
      <c r="A320979" s="1"/>
    </row>
    <row r="320980" spans="1:1" x14ac:dyDescent="0.25">
      <c r="A320980" s="1"/>
    </row>
    <row r="320981" spans="1:1" x14ac:dyDescent="0.25">
      <c r="A320981" s="1"/>
    </row>
    <row r="320982" spans="1:1" x14ac:dyDescent="0.25">
      <c r="A320982" s="1"/>
    </row>
    <row r="320983" spans="1:1" x14ac:dyDescent="0.25">
      <c r="A320983" s="1"/>
    </row>
    <row r="320984" spans="1:1" x14ac:dyDescent="0.25">
      <c r="A320984" s="1"/>
    </row>
    <row r="320985" spans="1:1" x14ac:dyDescent="0.25">
      <c r="A320985" s="1"/>
    </row>
    <row r="320986" spans="1:1" x14ac:dyDescent="0.25">
      <c r="A320986" s="1"/>
    </row>
    <row r="320987" spans="1:1" x14ac:dyDescent="0.25">
      <c r="A320987" s="1"/>
    </row>
    <row r="320988" spans="1:1" x14ac:dyDescent="0.25">
      <c r="A320988" s="1"/>
    </row>
    <row r="320989" spans="1:1" x14ac:dyDescent="0.25">
      <c r="A320989" s="1"/>
    </row>
    <row r="320990" spans="1:1" x14ac:dyDescent="0.25">
      <c r="A320990" s="1"/>
    </row>
    <row r="320991" spans="1:1" x14ac:dyDescent="0.25">
      <c r="A320991" s="1"/>
    </row>
    <row r="320992" spans="1:1" x14ac:dyDescent="0.25">
      <c r="A320992" s="1"/>
    </row>
    <row r="320993" spans="1:1" x14ac:dyDescent="0.25">
      <c r="A320993" s="1"/>
    </row>
    <row r="320994" spans="1:1" x14ac:dyDescent="0.25">
      <c r="A320994" s="1"/>
    </row>
    <row r="320995" spans="1:1" x14ac:dyDescent="0.25">
      <c r="A320995" s="1"/>
    </row>
    <row r="320996" spans="1:1" x14ac:dyDescent="0.25">
      <c r="A320996" s="1"/>
    </row>
    <row r="320997" spans="1:1" x14ac:dyDescent="0.25">
      <c r="A320997" s="1"/>
    </row>
    <row r="320998" spans="1:1" x14ac:dyDescent="0.25">
      <c r="A320998" s="1"/>
    </row>
    <row r="320999" spans="1:1" x14ac:dyDescent="0.25">
      <c r="A320999" s="1"/>
    </row>
    <row r="321000" spans="1:1" x14ac:dyDescent="0.25">
      <c r="A321000" s="1"/>
    </row>
    <row r="321001" spans="1:1" x14ac:dyDescent="0.25">
      <c r="A321001" s="1"/>
    </row>
    <row r="321002" spans="1:1" x14ac:dyDescent="0.25">
      <c r="A321002" s="1"/>
    </row>
    <row r="321003" spans="1:1" x14ac:dyDescent="0.25">
      <c r="A321003" s="1"/>
    </row>
    <row r="321004" spans="1:1" x14ac:dyDescent="0.25">
      <c r="A321004" s="1"/>
    </row>
    <row r="321005" spans="1:1" x14ac:dyDescent="0.25">
      <c r="A321005" s="1"/>
    </row>
    <row r="321006" spans="1:1" x14ac:dyDescent="0.25">
      <c r="A321006" s="1"/>
    </row>
    <row r="321007" spans="1:1" x14ac:dyDescent="0.25">
      <c r="A321007" s="1"/>
    </row>
    <row r="321008" spans="1:1" x14ac:dyDescent="0.25">
      <c r="A321008" s="1"/>
    </row>
    <row r="321009" spans="1:1" x14ac:dyDescent="0.25">
      <c r="A321009" s="1"/>
    </row>
    <row r="321010" spans="1:1" x14ac:dyDescent="0.25">
      <c r="A321010" s="1"/>
    </row>
    <row r="321011" spans="1:1" x14ac:dyDescent="0.25">
      <c r="A321011" s="1"/>
    </row>
    <row r="321012" spans="1:1" x14ac:dyDescent="0.25">
      <c r="A321012" s="1"/>
    </row>
    <row r="321013" spans="1:1" x14ac:dyDescent="0.25">
      <c r="A321013" s="1"/>
    </row>
    <row r="321014" spans="1:1" x14ac:dyDescent="0.25">
      <c r="A321014" s="1"/>
    </row>
    <row r="321015" spans="1:1" x14ac:dyDescent="0.25">
      <c r="A321015" s="1"/>
    </row>
    <row r="321016" spans="1:1" x14ac:dyDescent="0.25">
      <c r="A321016" s="1"/>
    </row>
    <row r="321017" spans="1:1" x14ac:dyDescent="0.25">
      <c r="A321017" s="1"/>
    </row>
    <row r="321018" spans="1:1" x14ac:dyDescent="0.25">
      <c r="A321018" s="1"/>
    </row>
    <row r="321019" spans="1:1" x14ac:dyDescent="0.25">
      <c r="A321019" s="1"/>
    </row>
    <row r="321020" spans="1:1" x14ac:dyDescent="0.25">
      <c r="A321020" s="1"/>
    </row>
    <row r="321021" spans="1:1" x14ac:dyDescent="0.25">
      <c r="A321021" s="1"/>
    </row>
    <row r="321022" spans="1:1" x14ac:dyDescent="0.25">
      <c r="A321022" s="1"/>
    </row>
    <row r="321023" spans="1:1" x14ac:dyDescent="0.25">
      <c r="A321023" s="1"/>
    </row>
    <row r="321024" spans="1:1" x14ac:dyDescent="0.25">
      <c r="A321024" s="1"/>
    </row>
    <row r="321025" spans="1:1" x14ac:dyDescent="0.25">
      <c r="A321025" s="1"/>
    </row>
    <row r="321026" spans="1:1" x14ac:dyDescent="0.25">
      <c r="A321026" s="1"/>
    </row>
    <row r="321027" spans="1:1" x14ac:dyDescent="0.25">
      <c r="A321027" s="1"/>
    </row>
    <row r="321028" spans="1:1" x14ac:dyDescent="0.25">
      <c r="A321028" s="1"/>
    </row>
    <row r="321029" spans="1:1" x14ac:dyDescent="0.25">
      <c r="A321029" s="1"/>
    </row>
    <row r="321030" spans="1:1" x14ac:dyDescent="0.25">
      <c r="A321030" s="1"/>
    </row>
    <row r="321031" spans="1:1" x14ac:dyDescent="0.25">
      <c r="A321031" s="1"/>
    </row>
    <row r="321032" spans="1:1" x14ac:dyDescent="0.25">
      <c r="A321032" s="1"/>
    </row>
    <row r="321033" spans="1:1" x14ac:dyDescent="0.25">
      <c r="A321033" s="1"/>
    </row>
    <row r="321034" spans="1:1" x14ac:dyDescent="0.25">
      <c r="A321034" s="1"/>
    </row>
    <row r="321035" spans="1:1" x14ac:dyDescent="0.25">
      <c r="A321035" s="1"/>
    </row>
    <row r="321036" spans="1:1" x14ac:dyDescent="0.25">
      <c r="A321036" s="1"/>
    </row>
    <row r="321037" spans="1:1" x14ac:dyDescent="0.25">
      <c r="A321037" s="1"/>
    </row>
    <row r="321038" spans="1:1" x14ac:dyDescent="0.25">
      <c r="A321038" s="1"/>
    </row>
    <row r="321039" spans="1:1" x14ac:dyDescent="0.25">
      <c r="A321039" s="1"/>
    </row>
    <row r="321040" spans="1:1" x14ac:dyDescent="0.25">
      <c r="A321040" s="1"/>
    </row>
    <row r="321041" spans="1:1" x14ac:dyDescent="0.25">
      <c r="A321041" s="1"/>
    </row>
    <row r="321042" spans="1:1" x14ac:dyDescent="0.25">
      <c r="A321042" s="1"/>
    </row>
    <row r="321043" spans="1:1" x14ac:dyDescent="0.25">
      <c r="A321043" s="1"/>
    </row>
    <row r="321044" spans="1:1" x14ac:dyDescent="0.25">
      <c r="A321044" s="1"/>
    </row>
    <row r="321045" spans="1:1" x14ac:dyDescent="0.25">
      <c r="A321045" s="1"/>
    </row>
    <row r="321046" spans="1:1" x14ac:dyDescent="0.25">
      <c r="A321046" s="1"/>
    </row>
    <row r="321047" spans="1:1" x14ac:dyDescent="0.25">
      <c r="A321047" s="1"/>
    </row>
    <row r="321048" spans="1:1" x14ac:dyDescent="0.25">
      <c r="A321048" s="1"/>
    </row>
    <row r="321049" spans="1:1" x14ac:dyDescent="0.25">
      <c r="A321049" s="1"/>
    </row>
    <row r="321050" spans="1:1" x14ac:dyDescent="0.25">
      <c r="A321050" s="1"/>
    </row>
    <row r="321051" spans="1:1" x14ac:dyDescent="0.25">
      <c r="A321051" s="1"/>
    </row>
    <row r="321052" spans="1:1" x14ac:dyDescent="0.25">
      <c r="A321052" s="1"/>
    </row>
    <row r="321053" spans="1:1" x14ac:dyDescent="0.25">
      <c r="A321053" s="1"/>
    </row>
    <row r="321054" spans="1:1" x14ac:dyDescent="0.25">
      <c r="A321054" s="1"/>
    </row>
    <row r="321055" spans="1:1" x14ac:dyDescent="0.25">
      <c r="A321055" s="1"/>
    </row>
    <row r="321056" spans="1:1" x14ac:dyDescent="0.25">
      <c r="A321056" s="1"/>
    </row>
    <row r="321057" spans="1:1" x14ac:dyDescent="0.25">
      <c r="A321057" s="1"/>
    </row>
    <row r="321058" spans="1:1" x14ac:dyDescent="0.25">
      <c r="A321058" s="1"/>
    </row>
    <row r="321059" spans="1:1" x14ac:dyDescent="0.25">
      <c r="A321059" s="1"/>
    </row>
    <row r="321060" spans="1:1" x14ac:dyDescent="0.25">
      <c r="A321060" s="1"/>
    </row>
    <row r="321061" spans="1:1" x14ac:dyDescent="0.25">
      <c r="A321061" s="1"/>
    </row>
    <row r="321062" spans="1:1" x14ac:dyDescent="0.25">
      <c r="A321062" s="1"/>
    </row>
    <row r="321063" spans="1:1" x14ac:dyDescent="0.25">
      <c r="A321063" s="1"/>
    </row>
    <row r="321064" spans="1:1" x14ac:dyDescent="0.25">
      <c r="A321064" s="1"/>
    </row>
    <row r="321065" spans="1:1" x14ac:dyDescent="0.25">
      <c r="A321065" s="1"/>
    </row>
    <row r="321066" spans="1:1" x14ac:dyDescent="0.25">
      <c r="A321066" s="1"/>
    </row>
    <row r="321067" spans="1:1" x14ac:dyDescent="0.25">
      <c r="A321067" s="1"/>
    </row>
    <row r="321068" spans="1:1" x14ac:dyDescent="0.25">
      <c r="A321068" s="1"/>
    </row>
    <row r="321069" spans="1:1" x14ac:dyDescent="0.25">
      <c r="A321069" s="1"/>
    </row>
    <row r="321070" spans="1:1" x14ac:dyDescent="0.25">
      <c r="A321070" s="1"/>
    </row>
    <row r="321071" spans="1:1" x14ac:dyDescent="0.25">
      <c r="A321071" s="1"/>
    </row>
    <row r="321072" spans="1:1" x14ac:dyDescent="0.25">
      <c r="A321072" s="1"/>
    </row>
    <row r="321073" spans="1:1" x14ac:dyDescent="0.25">
      <c r="A321073" s="1"/>
    </row>
    <row r="321074" spans="1:1" x14ac:dyDescent="0.25">
      <c r="A321074" s="1"/>
    </row>
    <row r="321075" spans="1:1" x14ac:dyDescent="0.25">
      <c r="A321075" s="1"/>
    </row>
    <row r="321076" spans="1:1" x14ac:dyDescent="0.25">
      <c r="A321076" s="1"/>
    </row>
    <row r="321077" spans="1:1" x14ac:dyDescent="0.25">
      <c r="A321077" s="1"/>
    </row>
    <row r="321078" spans="1:1" x14ac:dyDescent="0.25">
      <c r="A321078" s="1"/>
    </row>
    <row r="321079" spans="1:1" x14ac:dyDescent="0.25">
      <c r="A321079" s="1"/>
    </row>
    <row r="321080" spans="1:1" x14ac:dyDescent="0.25">
      <c r="A321080" s="1"/>
    </row>
    <row r="321081" spans="1:1" x14ac:dyDescent="0.25">
      <c r="A321081" s="1"/>
    </row>
    <row r="321082" spans="1:1" x14ac:dyDescent="0.25">
      <c r="A321082" s="1"/>
    </row>
    <row r="321083" spans="1:1" x14ac:dyDescent="0.25">
      <c r="A321083" s="1"/>
    </row>
    <row r="321084" spans="1:1" x14ac:dyDescent="0.25">
      <c r="A321084" s="1"/>
    </row>
    <row r="321085" spans="1:1" x14ac:dyDescent="0.25">
      <c r="A321085" s="1"/>
    </row>
    <row r="321086" spans="1:1" x14ac:dyDescent="0.25">
      <c r="A321086" s="1"/>
    </row>
    <row r="321087" spans="1:1" x14ac:dyDescent="0.25">
      <c r="A321087" s="1"/>
    </row>
    <row r="321088" spans="1:1" x14ac:dyDescent="0.25">
      <c r="A321088" s="1"/>
    </row>
    <row r="321089" spans="1:1" x14ac:dyDescent="0.25">
      <c r="A321089" s="1"/>
    </row>
    <row r="321090" spans="1:1" x14ac:dyDescent="0.25">
      <c r="A321090" s="1"/>
    </row>
    <row r="321091" spans="1:1" x14ac:dyDescent="0.25">
      <c r="A321091" s="1"/>
    </row>
    <row r="321092" spans="1:1" x14ac:dyDescent="0.25">
      <c r="A321092" s="1"/>
    </row>
    <row r="321093" spans="1:1" x14ac:dyDescent="0.25">
      <c r="A321093" s="1"/>
    </row>
    <row r="321094" spans="1:1" x14ac:dyDescent="0.25">
      <c r="A321094" s="1"/>
    </row>
    <row r="321095" spans="1:1" x14ac:dyDescent="0.25">
      <c r="A321095" s="1"/>
    </row>
    <row r="321096" spans="1:1" x14ac:dyDescent="0.25">
      <c r="A321096" s="1"/>
    </row>
    <row r="321097" spans="1:1" x14ac:dyDescent="0.25">
      <c r="A321097" s="1"/>
    </row>
    <row r="321098" spans="1:1" x14ac:dyDescent="0.25">
      <c r="A321098" s="1"/>
    </row>
    <row r="321099" spans="1:1" x14ac:dyDescent="0.25">
      <c r="A321099" s="1"/>
    </row>
    <row r="321100" spans="1:1" x14ac:dyDescent="0.25">
      <c r="A321100" s="1"/>
    </row>
    <row r="321101" spans="1:1" x14ac:dyDescent="0.25">
      <c r="A321101" s="1"/>
    </row>
    <row r="321102" spans="1:1" x14ac:dyDescent="0.25">
      <c r="A321102" s="1"/>
    </row>
    <row r="321103" spans="1:1" x14ac:dyDescent="0.25">
      <c r="A321103" s="1"/>
    </row>
    <row r="321104" spans="1:1" x14ac:dyDescent="0.25">
      <c r="A321104" s="1"/>
    </row>
    <row r="321105" spans="1:1" x14ac:dyDescent="0.25">
      <c r="A321105" s="1"/>
    </row>
    <row r="321106" spans="1:1" x14ac:dyDescent="0.25">
      <c r="A321106" s="1"/>
    </row>
    <row r="321107" spans="1:1" x14ac:dyDescent="0.25">
      <c r="A321107" s="1"/>
    </row>
    <row r="321108" spans="1:1" x14ac:dyDescent="0.25">
      <c r="A321108" s="1"/>
    </row>
    <row r="321109" spans="1:1" x14ac:dyDescent="0.25">
      <c r="A321109" s="1"/>
    </row>
    <row r="321110" spans="1:1" x14ac:dyDescent="0.25">
      <c r="A321110" s="1"/>
    </row>
    <row r="321111" spans="1:1" x14ac:dyDescent="0.25">
      <c r="A321111" s="1"/>
    </row>
    <row r="321112" spans="1:1" x14ac:dyDescent="0.25">
      <c r="A321112" s="1"/>
    </row>
    <row r="321113" spans="1:1" x14ac:dyDescent="0.25">
      <c r="A321113" s="1"/>
    </row>
    <row r="321114" spans="1:1" x14ac:dyDescent="0.25">
      <c r="A321114" s="1"/>
    </row>
    <row r="321115" spans="1:1" x14ac:dyDescent="0.25">
      <c r="A321115" s="1"/>
    </row>
    <row r="321116" spans="1:1" x14ac:dyDescent="0.25">
      <c r="A321116" s="1"/>
    </row>
    <row r="321117" spans="1:1" x14ac:dyDescent="0.25">
      <c r="A321117" s="1"/>
    </row>
    <row r="321118" spans="1:1" x14ac:dyDescent="0.25">
      <c r="A321118" s="1"/>
    </row>
    <row r="321119" spans="1:1" x14ac:dyDescent="0.25">
      <c r="A321119" s="1"/>
    </row>
    <row r="321120" spans="1:1" x14ac:dyDescent="0.25">
      <c r="A321120" s="1"/>
    </row>
    <row r="321121" spans="1:1" x14ac:dyDescent="0.25">
      <c r="A321121" s="1"/>
    </row>
    <row r="321122" spans="1:1" x14ac:dyDescent="0.25">
      <c r="A321122" s="1"/>
    </row>
    <row r="321123" spans="1:1" x14ac:dyDescent="0.25">
      <c r="A321123" s="1"/>
    </row>
    <row r="321124" spans="1:1" x14ac:dyDescent="0.25">
      <c r="A321124" s="1"/>
    </row>
    <row r="321125" spans="1:1" x14ac:dyDescent="0.25">
      <c r="A321125" s="1"/>
    </row>
    <row r="321126" spans="1:1" x14ac:dyDescent="0.25">
      <c r="A321126" s="1"/>
    </row>
    <row r="321127" spans="1:1" x14ac:dyDescent="0.25">
      <c r="A321127" s="1"/>
    </row>
    <row r="321128" spans="1:1" x14ac:dyDescent="0.25">
      <c r="A321128" s="1"/>
    </row>
    <row r="321129" spans="1:1" x14ac:dyDescent="0.25">
      <c r="A321129" s="1"/>
    </row>
    <row r="321130" spans="1:1" x14ac:dyDescent="0.25">
      <c r="A321130" s="1"/>
    </row>
    <row r="321131" spans="1:1" x14ac:dyDescent="0.25">
      <c r="A321131" s="1"/>
    </row>
    <row r="321132" spans="1:1" x14ac:dyDescent="0.25">
      <c r="A321132" s="1"/>
    </row>
    <row r="321133" spans="1:1" x14ac:dyDescent="0.25">
      <c r="A321133" s="1"/>
    </row>
    <row r="321134" spans="1:1" x14ac:dyDescent="0.25">
      <c r="A321134" s="1"/>
    </row>
    <row r="321135" spans="1:1" x14ac:dyDescent="0.25">
      <c r="A321135" s="1"/>
    </row>
    <row r="321136" spans="1:1" x14ac:dyDescent="0.25">
      <c r="A321136" s="1"/>
    </row>
    <row r="321137" spans="1:1" x14ac:dyDescent="0.25">
      <c r="A321137" s="1"/>
    </row>
    <row r="321138" spans="1:1" x14ac:dyDescent="0.25">
      <c r="A321138" s="1"/>
    </row>
    <row r="321139" spans="1:1" x14ac:dyDescent="0.25">
      <c r="A321139" s="1"/>
    </row>
    <row r="321140" spans="1:1" x14ac:dyDescent="0.25">
      <c r="A321140" s="1"/>
    </row>
    <row r="321141" spans="1:1" x14ac:dyDescent="0.25">
      <c r="A321141" s="1"/>
    </row>
    <row r="321142" spans="1:1" x14ac:dyDescent="0.25">
      <c r="A321142" s="1"/>
    </row>
    <row r="321143" spans="1:1" x14ac:dyDescent="0.25">
      <c r="A321143" s="1"/>
    </row>
    <row r="321144" spans="1:1" x14ac:dyDescent="0.25">
      <c r="A321144" s="1"/>
    </row>
    <row r="321145" spans="1:1" x14ac:dyDescent="0.25">
      <c r="A321145" s="1"/>
    </row>
    <row r="321146" spans="1:1" x14ac:dyDescent="0.25">
      <c r="A321146" s="1"/>
    </row>
    <row r="321147" spans="1:1" x14ac:dyDescent="0.25">
      <c r="A321147" s="1"/>
    </row>
    <row r="321148" spans="1:1" x14ac:dyDescent="0.25">
      <c r="A321148" s="1"/>
    </row>
    <row r="321149" spans="1:1" x14ac:dyDescent="0.25">
      <c r="A321149" s="1"/>
    </row>
    <row r="321150" spans="1:1" x14ac:dyDescent="0.25">
      <c r="A321150" s="1"/>
    </row>
    <row r="321151" spans="1:1" x14ac:dyDescent="0.25">
      <c r="A321151" s="1"/>
    </row>
    <row r="321152" spans="1:1" x14ac:dyDescent="0.25">
      <c r="A321152" s="1"/>
    </row>
    <row r="321153" spans="1:1" x14ac:dyDescent="0.25">
      <c r="A321153" s="1"/>
    </row>
    <row r="321154" spans="1:1" x14ac:dyDescent="0.25">
      <c r="A321154" s="1"/>
    </row>
    <row r="321155" spans="1:1" x14ac:dyDescent="0.25">
      <c r="A321155" s="1"/>
    </row>
    <row r="321156" spans="1:1" x14ac:dyDescent="0.25">
      <c r="A321156" s="1"/>
    </row>
    <row r="321157" spans="1:1" x14ac:dyDescent="0.25">
      <c r="A321157" s="1"/>
    </row>
    <row r="321158" spans="1:1" x14ac:dyDescent="0.25">
      <c r="A321158" s="1"/>
    </row>
    <row r="321159" spans="1:1" x14ac:dyDescent="0.25">
      <c r="A321159" s="1"/>
    </row>
    <row r="321160" spans="1:1" x14ac:dyDescent="0.25">
      <c r="A321160" s="1"/>
    </row>
    <row r="321161" spans="1:1" x14ac:dyDescent="0.25">
      <c r="A321161" s="1"/>
    </row>
    <row r="321162" spans="1:1" x14ac:dyDescent="0.25">
      <c r="A321162" s="1"/>
    </row>
    <row r="321163" spans="1:1" x14ac:dyDescent="0.25">
      <c r="A321163" s="1"/>
    </row>
    <row r="321164" spans="1:1" x14ac:dyDescent="0.25">
      <c r="A321164" s="1"/>
    </row>
    <row r="321165" spans="1:1" x14ac:dyDescent="0.25">
      <c r="A321165" s="1"/>
    </row>
    <row r="321166" spans="1:1" x14ac:dyDescent="0.25">
      <c r="A321166" s="1"/>
    </row>
    <row r="321167" spans="1:1" x14ac:dyDescent="0.25">
      <c r="A321167" s="1"/>
    </row>
    <row r="321168" spans="1:1" x14ac:dyDescent="0.25">
      <c r="A321168" s="1"/>
    </row>
    <row r="321169" spans="1:1" x14ac:dyDescent="0.25">
      <c r="A321169" s="1"/>
    </row>
    <row r="321170" spans="1:1" x14ac:dyDescent="0.25">
      <c r="A321170" s="1"/>
    </row>
    <row r="321171" spans="1:1" x14ac:dyDescent="0.25">
      <c r="A321171" s="1"/>
    </row>
    <row r="321172" spans="1:1" x14ac:dyDescent="0.25">
      <c r="A321172" s="1"/>
    </row>
    <row r="321173" spans="1:1" x14ac:dyDescent="0.25">
      <c r="A321173" s="1"/>
    </row>
    <row r="321174" spans="1:1" x14ac:dyDescent="0.25">
      <c r="A321174" s="1"/>
    </row>
    <row r="321175" spans="1:1" x14ac:dyDescent="0.25">
      <c r="A321175" s="1"/>
    </row>
    <row r="321176" spans="1:1" x14ac:dyDescent="0.25">
      <c r="A321176" s="1"/>
    </row>
    <row r="321177" spans="1:1" x14ac:dyDescent="0.25">
      <c r="A321177" s="1"/>
    </row>
    <row r="321178" spans="1:1" x14ac:dyDescent="0.25">
      <c r="A321178" s="1"/>
    </row>
    <row r="321179" spans="1:1" x14ac:dyDescent="0.25">
      <c r="A321179" s="1"/>
    </row>
    <row r="321180" spans="1:1" x14ac:dyDescent="0.25">
      <c r="A321180" s="1"/>
    </row>
    <row r="321181" spans="1:1" x14ac:dyDescent="0.25">
      <c r="A321181" s="1"/>
    </row>
    <row r="321182" spans="1:1" x14ac:dyDescent="0.25">
      <c r="A321182" s="1"/>
    </row>
    <row r="321183" spans="1:1" x14ac:dyDescent="0.25">
      <c r="A321183" s="1"/>
    </row>
    <row r="321184" spans="1:1" x14ac:dyDescent="0.25">
      <c r="A321184" s="1"/>
    </row>
    <row r="321185" spans="1:1" x14ac:dyDescent="0.25">
      <c r="A321185" s="1"/>
    </row>
    <row r="321186" spans="1:1" x14ac:dyDescent="0.25">
      <c r="A321186" s="1"/>
    </row>
    <row r="321187" spans="1:1" x14ac:dyDescent="0.25">
      <c r="A321187" s="1"/>
    </row>
    <row r="321188" spans="1:1" x14ac:dyDescent="0.25">
      <c r="A321188" s="1"/>
    </row>
    <row r="321189" spans="1:1" x14ac:dyDescent="0.25">
      <c r="A321189" s="1"/>
    </row>
    <row r="321190" spans="1:1" x14ac:dyDescent="0.25">
      <c r="A321190" s="1"/>
    </row>
    <row r="321191" spans="1:1" x14ac:dyDescent="0.25">
      <c r="A321191" s="1"/>
    </row>
    <row r="321192" spans="1:1" x14ac:dyDescent="0.25">
      <c r="A321192" s="1"/>
    </row>
    <row r="321193" spans="1:1" x14ac:dyDescent="0.25">
      <c r="A321193" s="1"/>
    </row>
    <row r="321194" spans="1:1" x14ac:dyDescent="0.25">
      <c r="A321194" s="1"/>
    </row>
    <row r="321195" spans="1:1" x14ac:dyDescent="0.25">
      <c r="A321195" s="1"/>
    </row>
    <row r="321196" spans="1:1" x14ac:dyDescent="0.25">
      <c r="A321196" s="1"/>
    </row>
    <row r="321197" spans="1:1" x14ac:dyDescent="0.25">
      <c r="A321197" s="1"/>
    </row>
    <row r="321198" spans="1:1" x14ac:dyDescent="0.25">
      <c r="A321198" s="1"/>
    </row>
    <row r="321199" spans="1:1" x14ac:dyDescent="0.25">
      <c r="A321199" s="1"/>
    </row>
    <row r="321200" spans="1:1" x14ac:dyDescent="0.25">
      <c r="A321200" s="1"/>
    </row>
    <row r="321201" spans="1:1" x14ac:dyDescent="0.25">
      <c r="A321201" s="1"/>
    </row>
    <row r="321202" spans="1:1" x14ac:dyDescent="0.25">
      <c r="A321202" s="1"/>
    </row>
    <row r="321203" spans="1:1" x14ac:dyDescent="0.25">
      <c r="A321203" s="1"/>
    </row>
    <row r="321204" spans="1:1" x14ac:dyDescent="0.25">
      <c r="A321204" s="1"/>
    </row>
    <row r="321205" spans="1:1" x14ac:dyDescent="0.25">
      <c r="A321205" s="1"/>
    </row>
    <row r="321206" spans="1:1" x14ac:dyDescent="0.25">
      <c r="A321206" s="1"/>
    </row>
    <row r="321207" spans="1:1" x14ac:dyDescent="0.25">
      <c r="A321207" s="1"/>
    </row>
    <row r="321208" spans="1:1" x14ac:dyDescent="0.25">
      <c r="A321208" s="1"/>
    </row>
    <row r="321209" spans="1:1" x14ac:dyDescent="0.25">
      <c r="A321209" s="1"/>
    </row>
    <row r="321210" spans="1:1" x14ac:dyDescent="0.25">
      <c r="A321210" s="1"/>
    </row>
    <row r="321211" spans="1:1" x14ac:dyDescent="0.25">
      <c r="A321211" s="1"/>
    </row>
    <row r="321212" spans="1:1" x14ac:dyDescent="0.25">
      <c r="A321212" s="1"/>
    </row>
    <row r="321213" spans="1:1" x14ac:dyDescent="0.25">
      <c r="A321213" s="1"/>
    </row>
    <row r="321214" spans="1:1" x14ac:dyDescent="0.25">
      <c r="A321214" s="1"/>
    </row>
    <row r="321215" spans="1:1" x14ac:dyDescent="0.25">
      <c r="A321215" s="1"/>
    </row>
    <row r="321216" spans="1:1" x14ac:dyDescent="0.25">
      <c r="A321216" s="1"/>
    </row>
    <row r="321217" spans="1:1" x14ac:dyDescent="0.25">
      <c r="A321217" s="1"/>
    </row>
    <row r="321218" spans="1:1" x14ac:dyDescent="0.25">
      <c r="A321218" s="1"/>
    </row>
    <row r="321219" spans="1:1" x14ac:dyDescent="0.25">
      <c r="A321219" s="1"/>
    </row>
    <row r="321220" spans="1:1" x14ac:dyDescent="0.25">
      <c r="A321220" s="1"/>
    </row>
    <row r="321221" spans="1:1" x14ac:dyDescent="0.25">
      <c r="A321221" s="1"/>
    </row>
    <row r="321222" spans="1:1" x14ac:dyDescent="0.25">
      <c r="A321222" s="1"/>
    </row>
    <row r="321223" spans="1:1" x14ac:dyDescent="0.25">
      <c r="A321223" s="1"/>
    </row>
    <row r="321224" spans="1:1" x14ac:dyDescent="0.25">
      <c r="A321224" s="1"/>
    </row>
    <row r="321225" spans="1:1" x14ac:dyDescent="0.25">
      <c r="A321225" s="1"/>
    </row>
    <row r="321226" spans="1:1" x14ac:dyDescent="0.25">
      <c r="A321226" s="1"/>
    </row>
    <row r="321227" spans="1:1" x14ac:dyDescent="0.25">
      <c r="A321227" s="1"/>
    </row>
    <row r="321228" spans="1:1" x14ac:dyDescent="0.25">
      <c r="A321228" s="1"/>
    </row>
    <row r="321229" spans="1:1" x14ac:dyDescent="0.25">
      <c r="A321229" s="1"/>
    </row>
    <row r="321230" spans="1:1" x14ac:dyDescent="0.25">
      <c r="A321230" s="1"/>
    </row>
    <row r="321231" spans="1:1" x14ac:dyDescent="0.25">
      <c r="A321231" s="1"/>
    </row>
    <row r="321232" spans="1:1" x14ac:dyDescent="0.25">
      <c r="A321232" s="1"/>
    </row>
    <row r="321233" spans="1:1" x14ac:dyDescent="0.25">
      <c r="A321233" s="1"/>
    </row>
    <row r="321234" spans="1:1" x14ac:dyDescent="0.25">
      <c r="A321234" s="1"/>
    </row>
    <row r="321235" spans="1:1" x14ac:dyDescent="0.25">
      <c r="A321235" s="1"/>
    </row>
    <row r="321236" spans="1:1" x14ac:dyDescent="0.25">
      <c r="A321236" s="1"/>
    </row>
    <row r="321237" spans="1:1" x14ac:dyDescent="0.25">
      <c r="A321237" s="1"/>
    </row>
    <row r="321238" spans="1:1" x14ac:dyDescent="0.25">
      <c r="A321238" s="1"/>
    </row>
    <row r="321239" spans="1:1" x14ac:dyDescent="0.25">
      <c r="A321239" s="1"/>
    </row>
    <row r="321240" spans="1:1" x14ac:dyDescent="0.25">
      <c r="A321240" s="1"/>
    </row>
    <row r="321241" spans="1:1" x14ac:dyDescent="0.25">
      <c r="A321241" s="1"/>
    </row>
    <row r="321242" spans="1:1" x14ac:dyDescent="0.25">
      <c r="A321242" s="1"/>
    </row>
    <row r="321243" spans="1:1" x14ac:dyDescent="0.25">
      <c r="A321243" s="1"/>
    </row>
    <row r="321244" spans="1:1" x14ac:dyDescent="0.25">
      <c r="A321244" s="1"/>
    </row>
    <row r="321245" spans="1:1" x14ac:dyDescent="0.25">
      <c r="A321245" s="1"/>
    </row>
    <row r="321246" spans="1:1" x14ac:dyDescent="0.25">
      <c r="A321246" s="1"/>
    </row>
    <row r="321247" spans="1:1" x14ac:dyDescent="0.25">
      <c r="A321247" s="1"/>
    </row>
    <row r="321248" spans="1:1" x14ac:dyDescent="0.25">
      <c r="A321248" s="1"/>
    </row>
    <row r="321249" spans="1:1" x14ac:dyDescent="0.25">
      <c r="A321249" s="1"/>
    </row>
    <row r="321250" spans="1:1" x14ac:dyDescent="0.25">
      <c r="A321250" s="1"/>
    </row>
    <row r="321251" spans="1:1" x14ac:dyDescent="0.25">
      <c r="A321251" s="1"/>
    </row>
    <row r="321252" spans="1:1" x14ac:dyDescent="0.25">
      <c r="A321252" s="1"/>
    </row>
    <row r="321253" spans="1:1" x14ac:dyDescent="0.25">
      <c r="A321253" s="1"/>
    </row>
    <row r="321254" spans="1:1" x14ac:dyDescent="0.25">
      <c r="A321254" s="1"/>
    </row>
    <row r="321255" spans="1:1" x14ac:dyDescent="0.25">
      <c r="A321255" s="1"/>
    </row>
    <row r="321256" spans="1:1" x14ac:dyDescent="0.25">
      <c r="A321256" s="1"/>
    </row>
    <row r="321257" spans="1:1" x14ac:dyDescent="0.25">
      <c r="A321257" s="1"/>
    </row>
    <row r="321258" spans="1:1" x14ac:dyDescent="0.25">
      <c r="A321258" s="1"/>
    </row>
    <row r="321259" spans="1:1" x14ac:dyDescent="0.25">
      <c r="A321259" s="1"/>
    </row>
    <row r="321260" spans="1:1" x14ac:dyDescent="0.25">
      <c r="A321260" s="1"/>
    </row>
    <row r="321261" spans="1:1" x14ac:dyDescent="0.25">
      <c r="A321261" s="1"/>
    </row>
    <row r="321262" spans="1:1" x14ac:dyDescent="0.25">
      <c r="A321262" s="1"/>
    </row>
    <row r="321263" spans="1:1" x14ac:dyDescent="0.25">
      <c r="A321263" s="1"/>
    </row>
    <row r="321264" spans="1:1" x14ac:dyDescent="0.25">
      <c r="A321264" s="1"/>
    </row>
    <row r="321265" spans="1:1" x14ac:dyDescent="0.25">
      <c r="A321265" s="1"/>
    </row>
    <row r="321266" spans="1:1" x14ac:dyDescent="0.25">
      <c r="A321266" s="1"/>
    </row>
    <row r="321267" spans="1:1" x14ac:dyDescent="0.25">
      <c r="A321267" s="1"/>
    </row>
    <row r="321268" spans="1:1" x14ac:dyDescent="0.25">
      <c r="A321268" s="1"/>
    </row>
    <row r="321269" spans="1:1" x14ac:dyDescent="0.25">
      <c r="A321269" s="1"/>
    </row>
    <row r="321270" spans="1:1" x14ac:dyDescent="0.25">
      <c r="A321270" s="1"/>
    </row>
    <row r="321271" spans="1:1" x14ac:dyDescent="0.25">
      <c r="A321271" s="1"/>
    </row>
    <row r="321272" spans="1:1" x14ac:dyDescent="0.25">
      <c r="A321272" s="1"/>
    </row>
    <row r="321273" spans="1:1" x14ac:dyDescent="0.25">
      <c r="A321273" s="1"/>
    </row>
    <row r="321274" spans="1:1" x14ac:dyDescent="0.25">
      <c r="A321274" s="1"/>
    </row>
    <row r="321275" spans="1:1" x14ac:dyDescent="0.25">
      <c r="A321275" s="1"/>
    </row>
    <row r="321276" spans="1:1" x14ac:dyDescent="0.25">
      <c r="A321276" s="1"/>
    </row>
    <row r="321277" spans="1:1" x14ac:dyDescent="0.25">
      <c r="A321277" s="1"/>
    </row>
    <row r="321278" spans="1:1" x14ac:dyDescent="0.25">
      <c r="A321278" s="1"/>
    </row>
    <row r="321279" spans="1:1" x14ac:dyDescent="0.25">
      <c r="A321279" s="1"/>
    </row>
    <row r="321280" spans="1:1" x14ac:dyDescent="0.25">
      <c r="A321280" s="1"/>
    </row>
    <row r="321281" spans="1:1" x14ac:dyDescent="0.25">
      <c r="A321281" s="1"/>
    </row>
    <row r="321282" spans="1:1" x14ac:dyDescent="0.25">
      <c r="A321282" s="1"/>
    </row>
    <row r="321283" spans="1:1" x14ac:dyDescent="0.25">
      <c r="A321283" s="1"/>
    </row>
    <row r="321284" spans="1:1" x14ac:dyDescent="0.25">
      <c r="A321284" s="1"/>
    </row>
    <row r="321285" spans="1:1" x14ac:dyDescent="0.25">
      <c r="A321285" s="1"/>
    </row>
    <row r="321286" spans="1:1" x14ac:dyDescent="0.25">
      <c r="A321286" s="1"/>
    </row>
    <row r="321287" spans="1:1" x14ac:dyDescent="0.25">
      <c r="A321287" s="1"/>
    </row>
    <row r="321288" spans="1:1" x14ac:dyDescent="0.25">
      <c r="A321288" s="1"/>
    </row>
    <row r="321289" spans="1:1" x14ac:dyDescent="0.25">
      <c r="A321289" s="1"/>
    </row>
    <row r="321290" spans="1:1" x14ac:dyDescent="0.25">
      <c r="A321290" s="1"/>
    </row>
    <row r="321291" spans="1:1" x14ac:dyDescent="0.25">
      <c r="A321291" s="1"/>
    </row>
    <row r="321292" spans="1:1" x14ac:dyDescent="0.25">
      <c r="A321292" s="1"/>
    </row>
    <row r="321293" spans="1:1" x14ac:dyDescent="0.25">
      <c r="A321293" s="1"/>
    </row>
    <row r="321294" spans="1:1" x14ac:dyDescent="0.25">
      <c r="A321294" s="1"/>
    </row>
    <row r="321295" spans="1:1" x14ac:dyDescent="0.25">
      <c r="A321295" s="1"/>
    </row>
    <row r="321296" spans="1:1" x14ac:dyDescent="0.25">
      <c r="A321296" s="1"/>
    </row>
    <row r="321297" spans="1:1" x14ac:dyDescent="0.25">
      <c r="A321297" s="1"/>
    </row>
    <row r="321298" spans="1:1" x14ac:dyDescent="0.25">
      <c r="A321298" s="1"/>
    </row>
    <row r="321299" spans="1:1" x14ac:dyDescent="0.25">
      <c r="A321299" s="1"/>
    </row>
    <row r="321300" spans="1:1" x14ac:dyDescent="0.25">
      <c r="A321300" s="1"/>
    </row>
    <row r="321301" spans="1:1" x14ac:dyDescent="0.25">
      <c r="A321301" s="1"/>
    </row>
    <row r="321302" spans="1:1" x14ac:dyDescent="0.25">
      <c r="A321302" s="1"/>
    </row>
    <row r="321303" spans="1:1" x14ac:dyDescent="0.25">
      <c r="A321303" s="1"/>
    </row>
    <row r="321304" spans="1:1" x14ac:dyDescent="0.25">
      <c r="A321304" s="1"/>
    </row>
    <row r="321305" spans="1:1" x14ac:dyDescent="0.25">
      <c r="A321305" s="1"/>
    </row>
    <row r="321306" spans="1:1" x14ac:dyDescent="0.25">
      <c r="A321306" s="1"/>
    </row>
    <row r="321307" spans="1:1" x14ac:dyDescent="0.25">
      <c r="A321307" s="1"/>
    </row>
    <row r="321308" spans="1:1" x14ac:dyDescent="0.25">
      <c r="A321308" s="1"/>
    </row>
    <row r="321309" spans="1:1" x14ac:dyDescent="0.25">
      <c r="A321309" s="1"/>
    </row>
    <row r="321310" spans="1:1" x14ac:dyDescent="0.25">
      <c r="A321310" s="1"/>
    </row>
    <row r="321311" spans="1:1" x14ac:dyDescent="0.25">
      <c r="A321311" s="1"/>
    </row>
    <row r="321312" spans="1:1" x14ac:dyDescent="0.25">
      <c r="A321312" s="1"/>
    </row>
    <row r="321313" spans="1:1" x14ac:dyDescent="0.25">
      <c r="A321313" s="1"/>
    </row>
    <row r="321314" spans="1:1" x14ac:dyDescent="0.25">
      <c r="A321314" s="1"/>
    </row>
    <row r="321315" spans="1:1" x14ac:dyDescent="0.25">
      <c r="A321315" s="1"/>
    </row>
    <row r="321316" spans="1:1" x14ac:dyDescent="0.25">
      <c r="A321316" s="1"/>
    </row>
    <row r="321317" spans="1:1" x14ac:dyDescent="0.25">
      <c r="A321317" s="1"/>
    </row>
    <row r="321318" spans="1:1" x14ac:dyDescent="0.25">
      <c r="A321318" s="1"/>
    </row>
    <row r="321319" spans="1:1" x14ac:dyDescent="0.25">
      <c r="A321319" s="1"/>
    </row>
    <row r="321320" spans="1:1" x14ac:dyDescent="0.25">
      <c r="A321320" s="1"/>
    </row>
    <row r="321321" spans="1:1" x14ac:dyDescent="0.25">
      <c r="A321321" s="1"/>
    </row>
    <row r="321322" spans="1:1" x14ac:dyDescent="0.25">
      <c r="A321322" s="1"/>
    </row>
    <row r="321323" spans="1:1" x14ac:dyDescent="0.25">
      <c r="A321323" s="1"/>
    </row>
    <row r="321324" spans="1:1" x14ac:dyDescent="0.25">
      <c r="A321324" s="1"/>
    </row>
    <row r="321325" spans="1:1" x14ac:dyDescent="0.25">
      <c r="A321325" s="1"/>
    </row>
    <row r="321326" spans="1:1" x14ac:dyDescent="0.25">
      <c r="A321326" s="1"/>
    </row>
    <row r="321327" spans="1:1" x14ac:dyDescent="0.25">
      <c r="A321327" s="1"/>
    </row>
    <row r="321328" spans="1:1" x14ac:dyDescent="0.25">
      <c r="A321328" s="1"/>
    </row>
    <row r="321329" spans="1:1" x14ac:dyDescent="0.25">
      <c r="A321329" s="1"/>
    </row>
    <row r="321330" spans="1:1" x14ac:dyDescent="0.25">
      <c r="A321330" s="1"/>
    </row>
    <row r="321331" spans="1:1" x14ac:dyDescent="0.25">
      <c r="A321331" s="1"/>
    </row>
    <row r="321332" spans="1:1" x14ac:dyDescent="0.25">
      <c r="A321332" s="1"/>
    </row>
    <row r="321333" spans="1:1" x14ac:dyDescent="0.25">
      <c r="A321333" s="1"/>
    </row>
    <row r="321334" spans="1:1" x14ac:dyDescent="0.25">
      <c r="A321334" s="1"/>
    </row>
    <row r="321335" spans="1:1" x14ac:dyDescent="0.25">
      <c r="A321335" s="1"/>
    </row>
    <row r="321336" spans="1:1" x14ac:dyDescent="0.25">
      <c r="A321336" s="1"/>
    </row>
    <row r="321337" spans="1:1" x14ac:dyDescent="0.25">
      <c r="A321337" s="1"/>
    </row>
    <row r="321338" spans="1:1" x14ac:dyDescent="0.25">
      <c r="A321338" s="1"/>
    </row>
    <row r="321339" spans="1:1" x14ac:dyDescent="0.25">
      <c r="A321339" s="1"/>
    </row>
    <row r="321340" spans="1:1" x14ac:dyDescent="0.25">
      <c r="A321340" s="1"/>
    </row>
    <row r="321341" spans="1:1" x14ac:dyDescent="0.25">
      <c r="A321341" s="1"/>
    </row>
    <row r="321342" spans="1:1" x14ac:dyDescent="0.25">
      <c r="A321342" s="1"/>
    </row>
    <row r="321343" spans="1:1" x14ac:dyDescent="0.25">
      <c r="A321343" s="1"/>
    </row>
    <row r="321344" spans="1:1" x14ac:dyDescent="0.25">
      <c r="A321344" s="1"/>
    </row>
    <row r="321345" spans="1:1" x14ac:dyDescent="0.25">
      <c r="A321345" s="1"/>
    </row>
    <row r="321346" spans="1:1" x14ac:dyDescent="0.25">
      <c r="A321346" s="1"/>
    </row>
    <row r="321347" spans="1:1" x14ac:dyDescent="0.25">
      <c r="A321347" s="1"/>
    </row>
    <row r="321348" spans="1:1" x14ac:dyDescent="0.25">
      <c r="A321348" s="1"/>
    </row>
    <row r="321349" spans="1:1" x14ac:dyDescent="0.25">
      <c r="A321349" s="1"/>
    </row>
    <row r="321350" spans="1:1" x14ac:dyDescent="0.25">
      <c r="A321350" s="1"/>
    </row>
    <row r="321351" spans="1:1" x14ac:dyDescent="0.25">
      <c r="A321351" s="1"/>
    </row>
    <row r="321352" spans="1:1" x14ac:dyDescent="0.25">
      <c r="A321352" s="1"/>
    </row>
    <row r="321353" spans="1:1" x14ac:dyDescent="0.25">
      <c r="A321353" s="1"/>
    </row>
    <row r="321354" spans="1:1" x14ac:dyDescent="0.25">
      <c r="A321354" s="1"/>
    </row>
    <row r="321355" spans="1:1" x14ac:dyDescent="0.25">
      <c r="A321355" s="1"/>
    </row>
    <row r="321356" spans="1:1" x14ac:dyDescent="0.25">
      <c r="A321356" s="1"/>
    </row>
    <row r="321357" spans="1:1" x14ac:dyDescent="0.25">
      <c r="A321357" s="1"/>
    </row>
    <row r="321358" spans="1:1" x14ac:dyDescent="0.25">
      <c r="A321358" s="1"/>
    </row>
    <row r="321359" spans="1:1" x14ac:dyDescent="0.25">
      <c r="A321359" s="1"/>
    </row>
    <row r="321360" spans="1:1" x14ac:dyDescent="0.25">
      <c r="A321360" s="1"/>
    </row>
    <row r="321361" spans="1:1" x14ac:dyDescent="0.25">
      <c r="A321361" s="1"/>
    </row>
    <row r="321362" spans="1:1" x14ac:dyDescent="0.25">
      <c r="A321362" s="1"/>
    </row>
    <row r="321363" spans="1:1" x14ac:dyDescent="0.25">
      <c r="A321363" s="1"/>
    </row>
    <row r="321364" spans="1:1" x14ac:dyDescent="0.25">
      <c r="A321364" s="1"/>
    </row>
    <row r="321365" spans="1:1" x14ac:dyDescent="0.25">
      <c r="A321365" s="1"/>
    </row>
    <row r="321366" spans="1:1" x14ac:dyDescent="0.25">
      <c r="A321366" s="1"/>
    </row>
    <row r="321367" spans="1:1" x14ac:dyDescent="0.25">
      <c r="A321367" s="1"/>
    </row>
    <row r="321368" spans="1:1" x14ac:dyDescent="0.25">
      <c r="A321368" s="1"/>
    </row>
    <row r="321369" spans="1:1" x14ac:dyDescent="0.25">
      <c r="A321369" s="1"/>
    </row>
    <row r="321370" spans="1:1" x14ac:dyDescent="0.25">
      <c r="A321370" s="1"/>
    </row>
    <row r="321371" spans="1:1" x14ac:dyDescent="0.25">
      <c r="A321371" s="1"/>
    </row>
    <row r="321372" spans="1:1" x14ac:dyDescent="0.25">
      <c r="A321372" s="1"/>
    </row>
    <row r="321373" spans="1:1" x14ac:dyDescent="0.25">
      <c r="A321373" s="1"/>
    </row>
    <row r="321374" spans="1:1" x14ac:dyDescent="0.25">
      <c r="A321374" s="1"/>
    </row>
    <row r="321375" spans="1:1" x14ac:dyDescent="0.25">
      <c r="A321375" s="1"/>
    </row>
    <row r="321376" spans="1:1" x14ac:dyDescent="0.25">
      <c r="A321376" s="1"/>
    </row>
    <row r="321377" spans="1:1" x14ac:dyDescent="0.25">
      <c r="A321377" s="1"/>
    </row>
    <row r="321378" spans="1:1" x14ac:dyDescent="0.25">
      <c r="A321378" s="1"/>
    </row>
    <row r="321379" spans="1:1" x14ac:dyDescent="0.25">
      <c r="A321379" s="1"/>
    </row>
    <row r="321380" spans="1:1" x14ac:dyDescent="0.25">
      <c r="A321380" s="1"/>
    </row>
    <row r="321381" spans="1:1" x14ac:dyDescent="0.25">
      <c r="A321381" s="1"/>
    </row>
    <row r="321382" spans="1:1" x14ac:dyDescent="0.25">
      <c r="A321382" s="1"/>
    </row>
    <row r="321383" spans="1:1" x14ac:dyDescent="0.25">
      <c r="A321383" s="1"/>
    </row>
    <row r="321384" spans="1:1" x14ac:dyDescent="0.25">
      <c r="A321384" s="1"/>
    </row>
    <row r="321385" spans="1:1" x14ac:dyDescent="0.25">
      <c r="A321385" s="1"/>
    </row>
    <row r="321386" spans="1:1" x14ac:dyDescent="0.25">
      <c r="A321386" s="1"/>
    </row>
    <row r="321387" spans="1:1" x14ac:dyDescent="0.25">
      <c r="A321387" s="1"/>
    </row>
    <row r="321388" spans="1:1" x14ac:dyDescent="0.25">
      <c r="A321388" s="1"/>
    </row>
    <row r="321389" spans="1:1" x14ac:dyDescent="0.25">
      <c r="A321389" s="1"/>
    </row>
    <row r="321390" spans="1:1" x14ac:dyDescent="0.25">
      <c r="A321390" s="1"/>
    </row>
    <row r="321391" spans="1:1" x14ac:dyDescent="0.25">
      <c r="A321391" s="1"/>
    </row>
    <row r="321392" spans="1:1" x14ac:dyDescent="0.25">
      <c r="A321392" s="1"/>
    </row>
    <row r="321393" spans="1:1" x14ac:dyDescent="0.25">
      <c r="A321393" s="1"/>
    </row>
    <row r="321394" spans="1:1" x14ac:dyDescent="0.25">
      <c r="A321394" s="1"/>
    </row>
    <row r="321395" spans="1:1" x14ac:dyDescent="0.25">
      <c r="A321395" s="1"/>
    </row>
    <row r="321396" spans="1:1" x14ac:dyDescent="0.25">
      <c r="A321396" s="1"/>
    </row>
    <row r="321397" spans="1:1" x14ac:dyDescent="0.25">
      <c r="A321397" s="1"/>
    </row>
    <row r="321398" spans="1:1" x14ac:dyDescent="0.25">
      <c r="A321398" s="1"/>
    </row>
    <row r="321399" spans="1:1" x14ac:dyDescent="0.25">
      <c r="A321399" s="1"/>
    </row>
    <row r="321400" spans="1:1" x14ac:dyDescent="0.25">
      <c r="A321400" s="1"/>
    </row>
    <row r="321401" spans="1:1" x14ac:dyDescent="0.25">
      <c r="A321401" s="1"/>
    </row>
    <row r="321402" spans="1:1" x14ac:dyDescent="0.25">
      <c r="A321402" s="1"/>
    </row>
    <row r="321403" spans="1:1" x14ac:dyDescent="0.25">
      <c r="A321403" s="1"/>
    </row>
    <row r="321404" spans="1:1" x14ac:dyDescent="0.25">
      <c r="A321404" s="1"/>
    </row>
    <row r="321405" spans="1:1" x14ac:dyDescent="0.25">
      <c r="A321405" s="1"/>
    </row>
    <row r="321406" spans="1:1" x14ac:dyDescent="0.25">
      <c r="A321406" s="1"/>
    </row>
    <row r="321407" spans="1:1" x14ac:dyDescent="0.25">
      <c r="A321407" s="1"/>
    </row>
    <row r="321408" spans="1:1" x14ac:dyDescent="0.25">
      <c r="A321408" s="1"/>
    </row>
    <row r="321409" spans="1:1" x14ac:dyDescent="0.25">
      <c r="A321409" s="1"/>
    </row>
    <row r="321410" spans="1:1" x14ac:dyDescent="0.25">
      <c r="A321410" s="1"/>
    </row>
    <row r="321411" spans="1:1" x14ac:dyDescent="0.25">
      <c r="A321411" s="1"/>
    </row>
    <row r="321412" spans="1:1" x14ac:dyDescent="0.25">
      <c r="A321412" s="1"/>
    </row>
    <row r="321413" spans="1:1" x14ac:dyDescent="0.25">
      <c r="A321413" s="1"/>
    </row>
    <row r="321414" spans="1:1" x14ac:dyDescent="0.25">
      <c r="A321414" s="1"/>
    </row>
    <row r="321415" spans="1:1" x14ac:dyDescent="0.25">
      <c r="A321415" s="1"/>
    </row>
    <row r="321416" spans="1:1" x14ac:dyDescent="0.25">
      <c r="A321416" s="1"/>
    </row>
    <row r="321417" spans="1:1" x14ac:dyDescent="0.25">
      <c r="A321417" s="1"/>
    </row>
    <row r="321418" spans="1:1" x14ac:dyDescent="0.25">
      <c r="A321418" s="1"/>
    </row>
    <row r="321419" spans="1:1" x14ac:dyDescent="0.25">
      <c r="A321419" s="1"/>
    </row>
    <row r="321420" spans="1:1" x14ac:dyDescent="0.25">
      <c r="A321420" s="1"/>
    </row>
    <row r="321421" spans="1:1" x14ac:dyDescent="0.25">
      <c r="A321421" s="1"/>
    </row>
    <row r="321422" spans="1:1" x14ac:dyDescent="0.25">
      <c r="A321422" s="1"/>
    </row>
    <row r="321423" spans="1:1" x14ac:dyDescent="0.25">
      <c r="A321423" s="1"/>
    </row>
    <row r="321424" spans="1:1" x14ac:dyDescent="0.25">
      <c r="A321424" s="1"/>
    </row>
    <row r="321425" spans="1:1" x14ac:dyDescent="0.25">
      <c r="A321425" s="1"/>
    </row>
    <row r="321426" spans="1:1" x14ac:dyDescent="0.25">
      <c r="A321426" s="1"/>
    </row>
    <row r="321427" spans="1:1" x14ac:dyDescent="0.25">
      <c r="A321427" s="1"/>
    </row>
    <row r="321428" spans="1:1" x14ac:dyDescent="0.25">
      <c r="A321428" s="1"/>
    </row>
    <row r="321429" spans="1:1" x14ac:dyDescent="0.25">
      <c r="A321429" s="1"/>
    </row>
    <row r="321430" spans="1:1" x14ac:dyDescent="0.25">
      <c r="A321430" s="1"/>
    </row>
    <row r="321431" spans="1:1" x14ac:dyDescent="0.25">
      <c r="A321431" s="1"/>
    </row>
    <row r="321432" spans="1:1" x14ac:dyDescent="0.25">
      <c r="A321432" s="1"/>
    </row>
    <row r="321433" spans="1:1" x14ac:dyDescent="0.25">
      <c r="A321433" s="1"/>
    </row>
    <row r="321434" spans="1:1" x14ac:dyDescent="0.25">
      <c r="A321434" s="1"/>
    </row>
    <row r="321435" spans="1:1" x14ac:dyDescent="0.25">
      <c r="A321435" s="1"/>
    </row>
    <row r="321436" spans="1:1" x14ac:dyDescent="0.25">
      <c r="A321436" s="1"/>
    </row>
    <row r="321437" spans="1:1" x14ac:dyDescent="0.25">
      <c r="A321437" s="1"/>
    </row>
    <row r="321438" spans="1:1" x14ac:dyDescent="0.25">
      <c r="A321438" s="1"/>
    </row>
    <row r="321439" spans="1:1" x14ac:dyDescent="0.25">
      <c r="A321439" s="1"/>
    </row>
    <row r="321440" spans="1:1" x14ac:dyDescent="0.25">
      <c r="A321440" s="1"/>
    </row>
    <row r="321441" spans="1:1" x14ac:dyDescent="0.25">
      <c r="A321441" s="1"/>
    </row>
    <row r="321442" spans="1:1" x14ac:dyDescent="0.25">
      <c r="A321442" s="1"/>
    </row>
    <row r="321443" spans="1:1" x14ac:dyDescent="0.25">
      <c r="A321443" s="1"/>
    </row>
    <row r="321444" spans="1:1" x14ac:dyDescent="0.25">
      <c r="A321444" s="1"/>
    </row>
    <row r="321445" spans="1:1" x14ac:dyDescent="0.25">
      <c r="A321445" s="1"/>
    </row>
    <row r="321446" spans="1:1" x14ac:dyDescent="0.25">
      <c r="A321446" s="1"/>
    </row>
    <row r="321447" spans="1:1" x14ac:dyDescent="0.25">
      <c r="A321447" s="1"/>
    </row>
    <row r="321448" spans="1:1" x14ac:dyDescent="0.25">
      <c r="A321448" s="1"/>
    </row>
    <row r="321449" spans="1:1" x14ac:dyDescent="0.25">
      <c r="A321449" s="1"/>
    </row>
    <row r="321450" spans="1:1" x14ac:dyDescent="0.25">
      <c r="A321450" s="1"/>
    </row>
    <row r="321451" spans="1:1" x14ac:dyDescent="0.25">
      <c r="A321451" s="1"/>
    </row>
    <row r="321452" spans="1:1" x14ac:dyDescent="0.25">
      <c r="A321452" s="1"/>
    </row>
    <row r="321453" spans="1:1" x14ac:dyDescent="0.25">
      <c r="A321453" s="1"/>
    </row>
    <row r="321454" spans="1:1" x14ac:dyDescent="0.25">
      <c r="A321454" s="1"/>
    </row>
    <row r="321455" spans="1:1" x14ac:dyDescent="0.25">
      <c r="A321455" s="1"/>
    </row>
    <row r="321456" spans="1:1" x14ac:dyDescent="0.25">
      <c r="A321456" s="1"/>
    </row>
    <row r="321457" spans="1:1" x14ac:dyDescent="0.25">
      <c r="A321457" s="1"/>
    </row>
    <row r="321458" spans="1:1" x14ac:dyDescent="0.25">
      <c r="A321458" s="1"/>
    </row>
    <row r="321459" spans="1:1" x14ac:dyDescent="0.25">
      <c r="A321459" s="1"/>
    </row>
    <row r="321460" spans="1:1" x14ac:dyDescent="0.25">
      <c r="A321460" s="1"/>
    </row>
    <row r="321461" spans="1:1" x14ac:dyDescent="0.25">
      <c r="A321461" s="1"/>
    </row>
    <row r="321462" spans="1:1" x14ac:dyDescent="0.25">
      <c r="A321462" s="1"/>
    </row>
    <row r="321463" spans="1:1" x14ac:dyDescent="0.25">
      <c r="A321463" s="1"/>
    </row>
    <row r="321464" spans="1:1" x14ac:dyDescent="0.25">
      <c r="A321464" s="1"/>
    </row>
    <row r="321465" spans="1:1" x14ac:dyDescent="0.25">
      <c r="A321465" s="1"/>
    </row>
    <row r="321466" spans="1:1" x14ac:dyDescent="0.25">
      <c r="A321466" s="1"/>
    </row>
    <row r="321467" spans="1:1" x14ac:dyDescent="0.25">
      <c r="A321467" s="1"/>
    </row>
    <row r="321468" spans="1:1" x14ac:dyDescent="0.25">
      <c r="A321468" s="1"/>
    </row>
    <row r="321469" spans="1:1" x14ac:dyDescent="0.25">
      <c r="A321469" s="1"/>
    </row>
    <row r="321470" spans="1:1" x14ac:dyDescent="0.25">
      <c r="A321470" s="1"/>
    </row>
    <row r="321471" spans="1:1" x14ac:dyDescent="0.25">
      <c r="A321471" s="1"/>
    </row>
    <row r="321472" spans="1:1" x14ac:dyDescent="0.25">
      <c r="A321472" s="1"/>
    </row>
    <row r="321473" spans="1:1" x14ac:dyDescent="0.25">
      <c r="A321473" s="1"/>
    </row>
    <row r="321474" spans="1:1" x14ac:dyDescent="0.25">
      <c r="A321474" s="1"/>
    </row>
    <row r="321475" spans="1:1" x14ac:dyDescent="0.25">
      <c r="A321475" s="1"/>
    </row>
    <row r="321476" spans="1:1" x14ac:dyDescent="0.25">
      <c r="A321476" s="1"/>
    </row>
    <row r="321477" spans="1:1" x14ac:dyDescent="0.25">
      <c r="A321477" s="1"/>
    </row>
    <row r="321478" spans="1:1" x14ac:dyDescent="0.25">
      <c r="A321478" s="1"/>
    </row>
    <row r="321479" spans="1:1" x14ac:dyDescent="0.25">
      <c r="A321479" s="1"/>
    </row>
    <row r="321480" spans="1:1" x14ac:dyDescent="0.25">
      <c r="A321480" s="1"/>
    </row>
    <row r="321481" spans="1:1" x14ac:dyDescent="0.25">
      <c r="A321481" s="1"/>
    </row>
    <row r="321482" spans="1:1" x14ac:dyDescent="0.25">
      <c r="A321482" s="1"/>
    </row>
    <row r="321483" spans="1:1" x14ac:dyDescent="0.25">
      <c r="A321483" s="1"/>
    </row>
    <row r="321484" spans="1:1" x14ac:dyDescent="0.25">
      <c r="A321484" s="1"/>
    </row>
    <row r="321485" spans="1:1" x14ac:dyDescent="0.25">
      <c r="A321485" s="1"/>
    </row>
    <row r="321486" spans="1:1" x14ac:dyDescent="0.25">
      <c r="A321486" s="1"/>
    </row>
    <row r="321487" spans="1:1" x14ac:dyDescent="0.25">
      <c r="A321487" s="1"/>
    </row>
    <row r="321488" spans="1:1" x14ac:dyDescent="0.25">
      <c r="A321488" s="1"/>
    </row>
    <row r="321489" spans="1:1" x14ac:dyDescent="0.25">
      <c r="A321489" s="1"/>
    </row>
    <row r="321490" spans="1:1" x14ac:dyDescent="0.25">
      <c r="A321490" s="1"/>
    </row>
    <row r="321491" spans="1:1" x14ac:dyDescent="0.25">
      <c r="A321491" s="1"/>
    </row>
    <row r="321492" spans="1:1" x14ac:dyDescent="0.25">
      <c r="A321492" s="1"/>
    </row>
    <row r="321493" spans="1:1" x14ac:dyDescent="0.25">
      <c r="A321493" s="1"/>
    </row>
    <row r="321494" spans="1:1" x14ac:dyDescent="0.25">
      <c r="A321494" s="1"/>
    </row>
    <row r="321495" spans="1:1" x14ac:dyDescent="0.25">
      <c r="A321495" s="1"/>
    </row>
    <row r="321496" spans="1:1" x14ac:dyDescent="0.25">
      <c r="A321496" s="1"/>
    </row>
    <row r="321497" spans="1:1" x14ac:dyDescent="0.25">
      <c r="A321497" s="1"/>
    </row>
    <row r="321498" spans="1:1" x14ac:dyDescent="0.25">
      <c r="A321498" s="1"/>
    </row>
    <row r="321499" spans="1:1" x14ac:dyDescent="0.25">
      <c r="A321499" s="1"/>
    </row>
    <row r="321500" spans="1:1" x14ac:dyDescent="0.25">
      <c r="A321500" s="1"/>
    </row>
    <row r="321501" spans="1:1" x14ac:dyDescent="0.25">
      <c r="A321501" s="1"/>
    </row>
    <row r="321502" spans="1:1" x14ac:dyDescent="0.25">
      <c r="A321502" s="1"/>
    </row>
    <row r="321503" spans="1:1" x14ac:dyDescent="0.25">
      <c r="A321503" s="1"/>
    </row>
    <row r="321504" spans="1:1" x14ac:dyDescent="0.25">
      <c r="A321504" s="1"/>
    </row>
    <row r="321505" spans="1:1" x14ac:dyDescent="0.25">
      <c r="A321505" s="1"/>
    </row>
    <row r="321506" spans="1:1" x14ac:dyDescent="0.25">
      <c r="A321506" s="1"/>
    </row>
    <row r="321507" spans="1:1" x14ac:dyDescent="0.25">
      <c r="A321507" s="1"/>
    </row>
    <row r="321508" spans="1:1" x14ac:dyDescent="0.25">
      <c r="A321508" s="1"/>
    </row>
    <row r="321509" spans="1:1" x14ac:dyDescent="0.25">
      <c r="A321509" s="1"/>
    </row>
    <row r="321510" spans="1:1" x14ac:dyDescent="0.25">
      <c r="A321510" s="1"/>
    </row>
    <row r="321511" spans="1:1" x14ac:dyDescent="0.25">
      <c r="A321511" s="1"/>
    </row>
    <row r="321512" spans="1:1" x14ac:dyDescent="0.25">
      <c r="A321512" s="1"/>
    </row>
    <row r="321513" spans="1:1" x14ac:dyDescent="0.25">
      <c r="A321513" s="1"/>
    </row>
    <row r="321514" spans="1:1" x14ac:dyDescent="0.25">
      <c r="A321514" s="1"/>
    </row>
    <row r="321515" spans="1:1" x14ac:dyDescent="0.25">
      <c r="A321515" s="1"/>
    </row>
    <row r="321516" spans="1:1" x14ac:dyDescent="0.25">
      <c r="A321516" s="1"/>
    </row>
    <row r="321517" spans="1:1" x14ac:dyDescent="0.25">
      <c r="A321517" s="1"/>
    </row>
    <row r="321518" spans="1:1" x14ac:dyDescent="0.25">
      <c r="A321518" s="1"/>
    </row>
    <row r="321519" spans="1:1" x14ac:dyDescent="0.25">
      <c r="A321519" s="1"/>
    </row>
    <row r="321520" spans="1:1" x14ac:dyDescent="0.25">
      <c r="A321520" s="1"/>
    </row>
    <row r="321521" spans="1:1" x14ac:dyDescent="0.25">
      <c r="A321521" s="1"/>
    </row>
    <row r="321522" spans="1:1" x14ac:dyDescent="0.25">
      <c r="A321522" s="1"/>
    </row>
    <row r="321523" spans="1:1" x14ac:dyDescent="0.25">
      <c r="A321523" s="1"/>
    </row>
    <row r="321524" spans="1:1" x14ac:dyDescent="0.25">
      <c r="A321524" s="1"/>
    </row>
    <row r="321525" spans="1:1" x14ac:dyDescent="0.25">
      <c r="A321525" s="1"/>
    </row>
    <row r="321526" spans="1:1" x14ac:dyDescent="0.25">
      <c r="A321526" s="1"/>
    </row>
    <row r="321527" spans="1:1" x14ac:dyDescent="0.25">
      <c r="A321527" s="1"/>
    </row>
    <row r="321528" spans="1:1" x14ac:dyDescent="0.25">
      <c r="A321528" s="1"/>
    </row>
    <row r="321529" spans="1:1" x14ac:dyDescent="0.25">
      <c r="A321529" s="1"/>
    </row>
    <row r="321530" spans="1:1" x14ac:dyDescent="0.25">
      <c r="A321530" s="1"/>
    </row>
    <row r="321531" spans="1:1" x14ac:dyDescent="0.25">
      <c r="A321531" s="1"/>
    </row>
    <row r="321532" spans="1:1" x14ac:dyDescent="0.25">
      <c r="A321532" s="1"/>
    </row>
    <row r="321533" spans="1:1" x14ac:dyDescent="0.25">
      <c r="A321533" s="1"/>
    </row>
    <row r="321534" spans="1:1" x14ac:dyDescent="0.25">
      <c r="A321534" s="1"/>
    </row>
    <row r="321535" spans="1:1" x14ac:dyDescent="0.25">
      <c r="A321535" s="1"/>
    </row>
    <row r="321536" spans="1:1" x14ac:dyDescent="0.25">
      <c r="A321536" s="1"/>
    </row>
    <row r="321537" spans="1:1" x14ac:dyDescent="0.25">
      <c r="A321537" s="1"/>
    </row>
    <row r="321538" spans="1:1" x14ac:dyDescent="0.25">
      <c r="A321538" s="1"/>
    </row>
    <row r="321539" spans="1:1" x14ac:dyDescent="0.25">
      <c r="A321539" s="1"/>
    </row>
    <row r="321540" spans="1:1" x14ac:dyDescent="0.25">
      <c r="A321540" s="1"/>
    </row>
    <row r="321541" spans="1:1" x14ac:dyDescent="0.25">
      <c r="A321541" s="1"/>
    </row>
    <row r="321542" spans="1:1" x14ac:dyDescent="0.25">
      <c r="A321542" s="1"/>
    </row>
    <row r="321543" spans="1:1" x14ac:dyDescent="0.25">
      <c r="A321543" s="1"/>
    </row>
    <row r="321544" spans="1:1" x14ac:dyDescent="0.25">
      <c r="A321544" s="1"/>
    </row>
    <row r="321545" spans="1:1" x14ac:dyDescent="0.25">
      <c r="A321545" s="1"/>
    </row>
    <row r="321546" spans="1:1" x14ac:dyDescent="0.25">
      <c r="A321546" s="1"/>
    </row>
    <row r="321547" spans="1:1" x14ac:dyDescent="0.25">
      <c r="A321547" s="1"/>
    </row>
    <row r="321548" spans="1:1" x14ac:dyDescent="0.25">
      <c r="A321548" s="1"/>
    </row>
    <row r="321549" spans="1:1" x14ac:dyDescent="0.25">
      <c r="A321549" s="1"/>
    </row>
    <row r="321550" spans="1:1" x14ac:dyDescent="0.25">
      <c r="A321550" s="1"/>
    </row>
    <row r="321551" spans="1:1" x14ac:dyDescent="0.25">
      <c r="A321551" s="1"/>
    </row>
    <row r="321552" spans="1:1" x14ac:dyDescent="0.25">
      <c r="A321552" s="1"/>
    </row>
    <row r="321553" spans="1:1" x14ac:dyDescent="0.25">
      <c r="A321553" s="1"/>
    </row>
    <row r="321554" spans="1:1" x14ac:dyDescent="0.25">
      <c r="A321554" s="1"/>
    </row>
    <row r="321555" spans="1:1" x14ac:dyDescent="0.25">
      <c r="A321555" s="1"/>
    </row>
    <row r="321556" spans="1:1" x14ac:dyDescent="0.25">
      <c r="A321556" s="1"/>
    </row>
    <row r="321557" spans="1:1" x14ac:dyDescent="0.25">
      <c r="A321557" s="1"/>
    </row>
    <row r="321558" spans="1:1" x14ac:dyDescent="0.25">
      <c r="A321558" s="1"/>
    </row>
    <row r="321559" spans="1:1" x14ac:dyDescent="0.25">
      <c r="A321559" s="1"/>
    </row>
    <row r="321560" spans="1:1" x14ac:dyDescent="0.25">
      <c r="A321560" s="1"/>
    </row>
    <row r="321561" spans="1:1" x14ac:dyDescent="0.25">
      <c r="A321561" s="1"/>
    </row>
    <row r="321562" spans="1:1" x14ac:dyDescent="0.25">
      <c r="A321562" s="1"/>
    </row>
    <row r="321563" spans="1:1" x14ac:dyDescent="0.25">
      <c r="A321563" s="1"/>
    </row>
    <row r="321564" spans="1:1" x14ac:dyDescent="0.25">
      <c r="A321564" s="1"/>
    </row>
    <row r="321565" spans="1:1" x14ac:dyDescent="0.25">
      <c r="A321565" s="1"/>
    </row>
    <row r="321566" spans="1:1" x14ac:dyDescent="0.25">
      <c r="A321566" s="1"/>
    </row>
    <row r="321567" spans="1:1" x14ac:dyDescent="0.25">
      <c r="A321567" s="1"/>
    </row>
    <row r="321568" spans="1:1" x14ac:dyDescent="0.25">
      <c r="A321568" s="1"/>
    </row>
    <row r="321569" spans="1:1" x14ac:dyDescent="0.25">
      <c r="A321569" s="1"/>
    </row>
    <row r="321570" spans="1:1" x14ac:dyDescent="0.25">
      <c r="A321570" s="1"/>
    </row>
    <row r="321571" spans="1:1" x14ac:dyDescent="0.25">
      <c r="A321571" s="1"/>
    </row>
    <row r="321572" spans="1:1" x14ac:dyDescent="0.25">
      <c r="A321572" s="1"/>
    </row>
    <row r="321573" spans="1:1" x14ac:dyDescent="0.25">
      <c r="A321573" s="1"/>
    </row>
    <row r="321574" spans="1:1" x14ac:dyDescent="0.25">
      <c r="A321574" s="1"/>
    </row>
    <row r="321575" spans="1:1" x14ac:dyDescent="0.25">
      <c r="A321575" s="1"/>
    </row>
    <row r="321576" spans="1:1" x14ac:dyDescent="0.25">
      <c r="A321576" s="1"/>
    </row>
    <row r="321577" spans="1:1" x14ac:dyDescent="0.25">
      <c r="A321577" s="1"/>
    </row>
    <row r="321578" spans="1:1" x14ac:dyDescent="0.25">
      <c r="A321578" s="1"/>
    </row>
    <row r="321579" spans="1:1" x14ac:dyDescent="0.25">
      <c r="A321579" s="1"/>
    </row>
    <row r="321580" spans="1:1" x14ac:dyDescent="0.25">
      <c r="A321580" s="1"/>
    </row>
    <row r="321581" spans="1:1" x14ac:dyDescent="0.25">
      <c r="A321581" s="1"/>
    </row>
    <row r="321582" spans="1:1" x14ac:dyDescent="0.25">
      <c r="A321582" s="1"/>
    </row>
    <row r="321583" spans="1:1" x14ac:dyDescent="0.25">
      <c r="A321583" s="1"/>
    </row>
    <row r="321584" spans="1:1" x14ac:dyDescent="0.25">
      <c r="A321584" s="1"/>
    </row>
    <row r="321585" spans="1:1" x14ac:dyDescent="0.25">
      <c r="A321585" s="1"/>
    </row>
    <row r="321586" spans="1:1" x14ac:dyDescent="0.25">
      <c r="A321586" s="1"/>
    </row>
    <row r="321587" spans="1:1" x14ac:dyDescent="0.25">
      <c r="A321587" s="1"/>
    </row>
    <row r="321588" spans="1:1" x14ac:dyDescent="0.25">
      <c r="A321588" s="1"/>
    </row>
    <row r="321589" spans="1:1" x14ac:dyDescent="0.25">
      <c r="A321589" s="1"/>
    </row>
    <row r="321590" spans="1:1" x14ac:dyDescent="0.25">
      <c r="A321590" s="1"/>
    </row>
    <row r="321591" spans="1:1" x14ac:dyDescent="0.25">
      <c r="A321591" s="1"/>
    </row>
    <row r="321592" spans="1:1" x14ac:dyDescent="0.25">
      <c r="A321592" s="1"/>
    </row>
    <row r="321593" spans="1:1" x14ac:dyDescent="0.25">
      <c r="A321593" s="1"/>
    </row>
    <row r="321594" spans="1:1" x14ac:dyDescent="0.25">
      <c r="A321594" s="1"/>
    </row>
    <row r="321595" spans="1:1" x14ac:dyDescent="0.25">
      <c r="A321595" s="1"/>
    </row>
    <row r="321596" spans="1:1" x14ac:dyDescent="0.25">
      <c r="A321596" s="1"/>
    </row>
    <row r="321597" spans="1:1" x14ac:dyDescent="0.25">
      <c r="A321597" s="1"/>
    </row>
    <row r="321598" spans="1:1" x14ac:dyDescent="0.25">
      <c r="A321598" s="1"/>
    </row>
    <row r="321599" spans="1:1" x14ac:dyDescent="0.25">
      <c r="A321599" s="1"/>
    </row>
    <row r="321600" spans="1:1" x14ac:dyDescent="0.25">
      <c r="A321600" s="1"/>
    </row>
    <row r="321601" spans="1:1" x14ac:dyDescent="0.25">
      <c r="A321601" s="1"/>
    </row>
    <row r="321602" spans="1:1" x14ac:dyDescent="0.25">
      <c r="A321602" s="1"/>
    </row>
    <row r="321603" spans="1:1" x14ac:dyDescent="0.25">
      <c r="A321603" s="1"/>
    </row>
    <row r="321604" spans="1:1" x14ac:dyDescent="0.25">
      <c r="A321604" s="1"/>
    </row>
    <row r="321605" spans="1:1" x14ac:dyDescent="0.25">
      <c r="A321605" s="1"/>
    </row>
    <row r="321606" spans="1:1" x14ac:dyDescent="0.25">
      <c r="A321606" s="1"/>
    </row>
    <row r="321607" spans="1:1" x14ac:dyDescent="0.25">
      <c r="A321607" s="1"/>
    </row>
    <row r="321608" spans="1:1" x14ac:dyDescent="0.25">
      <c r="A321608" s="1"/>
    </row>
    <row r="321609" spans="1:1" x14ac:dyDescent="0.25">
      <c r="A321609" s="1"/>
    </row>
    <row r="321610" spans="1:1" x14ac:dyDescent="0.25">
      <c r="A321610" s="1"/>
    </row>
    <row r="321611" spans="1:1" x14ac:dyDescent="0.25">
      <c r="A321611" s="1"/>
    </row>
    <row r="321612" spans="1:1" x14ac:dyDescent="0.25">
      <c r="A321612" s="1"/>
    </row>
    <row r="321613" spans="1:1" x14ac:dyDescent="0.25">
      <c r="A321613" s="1"/>
    </row>
    <row r="321614" spans="1:1" x14ac:dyDescent="0.25">
      <c r="A321614" s="1"/>
    </row>
    <row r="321615" spans="1:1" x14ac:dyDescent="0.25">
      <c r="A321615" s="1"/>
    </row>
    <row r="321616" spans="1:1" x14ac:dyDescent="0.25">
      <c r="A321616" s="1"/>
    </row>
    <row r="321617" spans="1:1" x14ac:dyDescent="0.25">
      <c r="A321617" s="1"/>
    </row>
    <row r="321618" spans="1:1" x14ac:dyDescent="0.25">
      <c r="A321618" s="1"/>
    </row>
    <row r="321619" spans="1:1" x14ac:dyDescent="0.25">
      <c r="A321619" s="1"/>
    </row>
    <row r="321620" spans="1:1" x14ac:dyDescent="0.25">
      <c r="A321620" s="1"/>
    </row>
    <row r="321621" spans="1:1" x14ac:dyDescent="0.25">
      <c r="A321621" s="1"/>
    </row>
    <row r="321622" spans="1:1" x14ac:dyDescent="0.25">
      <c r="A321622" s="1"/>
    </row>
    <row r="321623" spans="1:1" x14ac:dyDescent="0.25">
      <c r="A321623" s="1"/>
    </row>
    <row r="321624" spans="1:1" x14ac:dyDescent="0.25">
      <c r="A321624" s="1"/>
    </row>
    <row r="321625" spans="1:1" x14ac:dyDescent="0.25">
      <c r="A321625" s="1"/>
    </row>
    <row r="321626" spans="1:1" x14ac:dyDescent="0.25">
      <c r="A321626" s="1"/>
    </row>
    <row r="321627" spans="1:1" x14ac:dyDescent="0.25">
      <c r="A321627" s="1"/>
    </row>
    <row r="321628" spans="1:1" x14ac:dyDescent="0.25">
      <c r="A321628" s="1"/>
    </row>
    <row r="321629" spans="1:1" x14ac:dyDescent="0.25">
      <c r="A321629" s="1"/>
    </row>
    <row r="321630" spans="1:1" x14ac:dyDescent="0.25">
      <c r="A321630" s="1"/>
    </row>
    <row r="321631" spans="1:1" x14ac:dyDescent="0.25">
      <c r="A321631" s="1"/>
    </row>
    <row r="321632" spans="1:1" x14ac:dyDescent="0.25">
      <c r="A321632" s="1"/>
    </row>
    <row r="321633" spans="1:1" x14ac:dyDescent="0.25">
      <c r="A321633" s="1"/>
    </row>
    <row r="321634" spans="1:1" x14ac:dyDescent="0.25">
      <c r="A321634" s="1"/>
    </row>
    <row r="321635" spans="1:1" x14ac:dyDescent="0.25">
      <c r="A321635" s="1"/>
    </row>
    <row r="321636" spans="1:1" x14ac:dyDescent="0.25">
      <c r="A321636" s="1"/>
    </row>
    <row r="321637" spans="1:1" x14ac:dyDescent="0.25">
      <c r="A321637" s="1"/>
    </row>
    <row r="321638" spans="1:1" x14ac:dyDescent="0.25">
      <c r="A321638" s="1"/>
    </row>
    <row r="321639" spans="1:1" x14ac:dyDescent="0.25">
      <c r="A321639" s="1"/>
    </row>
    <row r="321640" spans="1:1" x14ac:dyDescent="0.25">
      <c r="A321640" s="1"/>
    </row>
    <row r="321641" spans="1:1" x14ac:dyDescent="0.25">
      <c r="A321641" s="1"/>
    </row>
    <row r="321642" spans="1:1" x14ac:dyDescent="0.25">
      <c r="A321642" s="1"/>
    </row>
    <row r="321643" spans="1:1" x14ac:dyDescent="0.25">
      <c r="A321643" s="1"/>
    </row>
    <row r="321644" spans="1:1" x14ac:dyDescent="0.25">
      <c r="A321644" s="1"/>
    </row>
    <row r="321645" spans="1:1" x14ac:dyDescent="0.25">
      <c r="A321645" s="1"/>
    </row>
    <row r="321646" spans="1:1" x14ac:dyDescent="0.25">
      <c r="A321646" s="1"/>
    </row>
    <row r="321647" spans="1:1" x14ac:dyDescent="0.25">
      <c r="A321647" s="1"/>
    </row>
    <row r="321648" spans="1:1" x14ac:dyDescent="0.25">
      <c r="A321648" s="1"/>
    </row>
    <row r="321649" spans="1:1" x14ac:dyDescent="0.25">
      <c r="A321649" s="1"/>
    </row>
    <row r="321650" spans="1:1" x14ac:dyDescent="0.25">
      <c r="A321650" s="1"/>
    </row>
    <row r="321651" spans="1:1" x14ac:dyDescent="0.25">
      <c r="A321651" s="1"/>
    </row>
    <row r="321652" spans="1:1" x14ac:dyDescent="0.25">
      <c r="A321652" s="1"/>
    </row>
    <row r="321653" spans="1:1" x14ac:dyDescent="0.25">
      <c r="A321653" s="1"/>
    </row>
    <row r="321654" spans="1:1" x14ac:dyDescent="0.25">
      <c r="A321654" s="1"/>
    </row>
    <row r="321655" spans="1:1" x14ac:dyDescent="0.25">
      <c r="A321655" s="1"/>
    </row>
    <row r="321656" spans="1:1" x14ac:dyDescent="0.25">
      <c r="A321656" s="1"/>
    </row>
    <row r="321657" spans="1:1" x14ac:dyDescent="0.25">
      <c r="A321657" s="1"/>
    </row>
    <row r="321658" spans="1:1" x14ac:dyDescent="0.25">
      <c r="A321658" s="1"/>
    </row>
    <row r="321659" spans="1:1" x14ac:dyDescent="0.25">
      <c r="A321659" s="1"/>
    </row>
    <row r="321660" spans="1:1" x14ac:dyDescent="0.25">
      <c r="A321660" s="1"/>
    </row>
    <row r="321661" spans="1:1" x14ac:dyDescent="0.25">
      <c r="A321661" s="1"/>
    </row>
    <row r="321662" spans="1:1" x14ac:dyDescent="0.25">
      <c r="A321662" s="1"/>
    </row>
    <row r="321663" spans="1:1" x14ac:dyDescent="0.25">
      <c r="A321663" s="1"/>
    </row>
    <row r="321664" spans="1:1" x14ac:dyDescent="0.25">
      <c r="A321664" s="1"/>
    </row>
    <row r="321665" spans="1:1" x14ac:dyDescent="0.25">
      <c r="A321665" s="1"/>
    </row>
    <row r="321666" spans="1:1" x14ac:dyDescent="0.25">
      <c r="A321666" s="1"/>
    </row>
    <row r="321667" spans="1:1" x14ac:dyDescent="0.25">
      <c r="A321667" s="1"/>
    </row>
    <row r="321668" spans="1:1" x14ac:dyDescent="0.25">
      <c r="A321668" s="1"/>
    </row>
    <row r="321669" spans="1:1" x14ac:dyDescent="0.25">
      <c r="A321669" s="1"/>
    </row>
    <row r="321670" spans="1:1" x14ac:dyDescent="0.25">
      <c r="A321670" s="1"/>
    </row>
    <row r="321671" spans="1:1" x14ac:dyDescent="0.25">
      <c r="A321671" s="1"/>
    </row>
    <row r="321672" spans="1:1" x14ac:dyDescent="0.25">
      <c r="A321672" s="1"/>
    </row>
    <row r="321673" spans="1:1" x14ac:dyDescent="0.25">
      <c r="A321673" s="1"/>
    </row>
    <row r="321674" spans="1:1" x14ac:dyDescent="0.25">
      <c r="A321674" s="1"/>
    </row>
    <row r="321675" spans="1:1" x14ac:dyDescent="0.25">
      <c r="A321675" s="1"/>
    </row>
    <row r="321676" spans="1:1" x14ac:dyDescent="0.25">
      <c r="A321676" s="1"/>
    </row>
    <row r="321677" spans="1:1" x14ac:dyDescent="0.25">
      <c r="A321677" s="1"/>
    </row>
    <row r="321678" spans="1:1" x14ac:dyDescent="0.25">
      <c r="A321678" s="1"/>
    </row>
    <row r="321679" spans="1:1" x14ac:dyDescent="0.25">
      <c r="A321679" s="1"/>
    </row>
    <row r="321680" spans="1:1" x14ac:dyDescent="0.25">
      <c r="A321680" s="1"/>
    </row>
    <row r="321681" spans="1:1" x14ac:dyDescent="0.25">
      <c r="A321681" s="1"/>
    </row>
    <row r="321682" spans="1:1" x14ac:dyDescent="0.25">
      <c r="A321682" s="1"/>
    </row>
    <row r="321683" spans="1:1" x14ac:dyDescent="0.25">
      <c r="A321683" s="1"/>
    </row>
    <row r="321684" spans="1:1" x14ac:dyDescent="0.25">
      <c r="A321684" s="1"/>
    </row>
    <row r="321685" spans="1:1" x14ac:dyDescent="0.25">
      <c r="A321685" s="1"/>
    </row>
    <row r="321686" spans="1:1" x14ac:dyDescent="0.25">
      <c r="A321686" s="1"/>
    </row>
    <row r="321687" spans="1:1" x14ac:dyDescent="0.25">
      <c r="A321687" s="1"/>
    </row>
    <row r="321688" spans="1:1" x14ac:dyDescent="0.25">
      <c r="A321688" s="1"/>
    </row>
    <row r="321689" spans="1:1" x14ac:dyDescent="0.25">
      <c r="A321689" s="1"/>
    </row>
    <row r="321690" spans="1:1" x14ac:dyDescent="0.25">
      <c r="A321690" s="1"/>
    </row>
    <row r="321691" spans="1:1" x14ac:dyDescent="0.25">
      <c r="A321691" s="1"/>
    </row>
    <row r="321692" spans="1:1" x14ac:dyDescent="0.25">
      <c r="A321692" s="1"/>
    </row>
    <row r="321693" spans="1:1" x14ac:dyDescent="0.25">
      <c r="A321693" s="1"/>
    </row>
    <row r="321694" spans="1:1" x14ac:dyDescent="0.25">
      <c r="A321694" s="1"/>
    </row>
    <row r="321695" spans="1:1" x14ac:dyDescent="0.25">
      <c r="A321695" s="1"/>
    </row>
    <row r="321696" spans="1:1" x14ac:dyDescent="0.25">
      <c r="A321696" s="1"/>
    </row>
    <row r="321697" spans="1:1" x14ac:dyDescent="0.25">
      <c r="A321697" s="1"/>
    </row>
    <row r="321698" spans="1:1" x14ac:dyDescent="0.25">
      <c r="A321698" s="1"/>
    </row>
    <row r="321699" spans="1:1" x14ac:dyDescent="0.25">
      <c r="A321699" s="1"/>
    </row>
    <row r="321700" spans="1:1" x14ac:dyDescent="0.25">
      <c r="A321700" s="1"/>
    </row>
    <row r="321701" spans="1:1" x14ac:dyDescent="0.25">
      <c r="A321701" s="1"/>
    </row>
    <row r="321702" spans="1:1" x14ac:dyDescent="0.25">
      <c r="A321702" s="1"/>
    </row>
    <row r="321703" spans="1:1" x14ac:dyDescent="0.25">
      <c r="A321703" s="1"/>
    </row>
    <row r="321704" spans="1:1" x14ac:dyDescent="0.25">
      <c r="A321704" s="1"/>
    </row>
    <row r="321705" spans="1:1" x14ac:dyDescent="0.25">
      <c r="A321705" s="1"/>
    </row>
    <row r="321706" spans="1:1" x14ac:dyDescent="0.25">
      <c r="A321706" s="1"/>
    </row>
    <row r="321707" spans="1:1" x14ac:dyDescent="0.25">
      <c r="A321707" s="1"/>
    </row>
    <row r="321708" spans="1:1" x14ac:dyDescent="0.25">
      <c r="A321708" s="1"/>
    </row>
    <row r="321709" spans="1:1" x14ac:dyDescent="0.25">
      <c r="A321709" s="1"/>
    </row>
    <row r="321710" spans="1:1" x14ac:dyDescent="0.25">
      <c r="A321710" s="1"/>
    </row>
    <row r="321711" spans="1:1" x14ac:dyDescent="0.25">
      <c r="A321711" s="1"/>
    </row>
    <row r="321712" spans="1:1" x14ac:dyDescent="0.25">
      <c r="A321712" s="1"/>
    </row>
    <row r="321713" spans="1:1" x14ac:dyDescent="0.25">
      <c r="A321713" s="1"/>
    </row>
    <row r="321714" spans="1:1" x14ac:dyDescent="0.25">
      <c r="A321714" s="1"/>
    </row>
    <row r="321715" spans="1:1" x14ac:dyDescent="0.25">
      <c r="A321715" s="1"/>
    </row>
    <row r="321716" spans="1:1" x14ac:dyDescent="0.25">
      <c r="A321716" s="1"/>
    </row>
    <row r="321717" spans="1:1" x14ac:dyDescent="0.25">
      <c r="A321717" s="1"/>
    </row>
    <row r="321718" spans="1:1" x14ac:dyDescent="0.25">
      <c r="A321718" s="1"/>
    </row>
    <row r="321719" spans="1:1" x14ac:dyDescent="0.25">
      <c r="A321719" s="1"/>
    </row>
    <row r="321720" spans="1:1" x14ac:dyDescent="0.25">
      <c r="A321720" s="1"/>
    </row>
    <row r="321721" spans="1:1" x14ac:dyDescent="0.25">
      <c r="A321721" s="1"/>
    </row>
    <row r="321722" spans="1:1" x14ac:dyDescent="0.25">
      <c r="A321722" s="1"/>
    </row>
    <row r="321723" spans="1:1" x14ac:dyDescent="0.25">
      <c r="A321723" s="1"/>
    </row>
    <row r="321724" spans="1:1" x14ac:dyDescent="0.25">
      <c r="A321724" s="1"/>
    </row>
    <row r="321725" spans="1:1" x14ac:dyDescent="0.25">
      <c r="A321725" s="1"/>
    </row>
    <row r="321726" spans="1:1" x14ac:dyDescent="0.25">
      <c r="A321726" s="1"/>
    </row>
    <row r="321727" spans="1:1" x14ac:dyDescent="0.25">
      <c r="A321727" s="1"/>
    </row>
    <row r="321728" spans="1:1" x14ac:dyDescent="0.25">
      <c r="A321728" s="1"/>
    </row>
    <row r="321729" spans="1:1" x14ac:dyDescent="0.25">
      <c r="A321729" s="1"/>
    </row>
    <row r="321730" spans="1:1" x14ac:dyDescent="0.25">
      <c r="A321730" s="1"/>
    </row>
    <row r="321731" spans="1:1" x14ac:dyDescent="0.25">
      <c r="A321731" s="1"/>
    </row>
    <row r="321732" spans="1:1" x14ac:dyDescent="0.25">
      <c r="A321732" s="1"/>
    </row>
    <row r="321733" spans="1:1" x14ac:dyDescent="0.25">
      <c r="A321733" s="1"/>
    </row>
    <row r="321734" spans="1:1" x14ac:dyDescent="0.25">
      <c r="A321734" s="1"/>
    </row>
    <row r="321735" spans="1:1" x14ac:dyDescent="0.25">
      <c r="A321735" s="1"/>
    </row>
    <row r="321736" spans="1:1" x14ac:dyDescent="0.25">
      <c r="A321736" s="1"/>
    </row>
    <row r="321737" spans="1:1" x14ac:dyDescent="0.25">
      <c r="A321737" s="1"/>
    </row>
    <row r="321738" spans="1:1" x14ac:dyDescent="0.25">
      <c r="A321738" s="1"/>
    </row>
    <row r="321739" spans="1:1" x14ac:dyDescent="0.25">
      <c r="A321739" s="1"/>
    </row>
    <row r="321740" spans="1:1" x14ac:dyDescent="0.25">
      <c r="A321740" s="1"/>
    </row>
    <row r="321741" spans="1:1" x14ac:dyDescent="0.25">
      <c r="A321741" s="1"/>
    </row>
    <row r="321742" spans="1:1" x14ac:dyDescent="0.25">
      <c r="A321742" s="1"/>
    </row>
    <row r="321743" spans="1:1" x14ac:dyDescent="0.25">
      <c r="A321743" s="1"/>
    </row>
    <row r="321744" spans="1:1" x14ac:dyDescent="0.25">
      <c r="A321744" s="1"/>
    </row>
    <row r="321745" spans="1:1" x14ac:dyDescent="0.25">
      <c r="A321745" s="1"/>
    </row>
    <row r="321746" spans="1:1" x14ac:dyDescent="0.25">
      <c r="A321746" s="1"/>
    </row>
    <row r="321747" spans="1:1" x14ac:dyDescent="0.25">
      <c r="A321747" s="1"/>
    </row>
    <row r="321748" spans="1:1" x14ac:dyDescent="0.25">
      <c r="A321748" s="1"/>
    </row>
    <row r="321749" spans="1:1" x14ac:dyDescent="0.25">
      <c r="A321749" s="1"/>
    </row>
    <row r="321750" spans="1:1" x14ac:dyDescent="0.25">
      <c r="A321750" s="1"/>
    </row>
    <row r="321751" spans="1:1" x14ac:dyDescent="0.25">
      <c r="A321751" s="1"/>
    </row>
    <row r="321752" spans="1:1" x14ac:dyDescent="0.25">
      <c r="A321752" s="1"/>
    </row>
    <row r="321753" spans="1:1" x14ac:dyDescent="0.25">
      <c r="A321753" s="1"/>
    </row>
    <row r="321754" spans="1:1" x14ac:dyDescent="0.25">
      <c r="A321754" s="1"/>
    </row>
    <row r="321755" spans="1:1" x14ac:dyDescent="0.25">
      <c r="A321755" s="1"/>
    </row>
    <row r="321756" spans="1:1" x14ac:dyDescent="0.25">
      <c r="A321756" s="1"/>
    </row>
    <row r="321757" spans="1:1" x14ac:dyDescent="0.25">
      <c r="A321757" s="1"/>
    </row>
    <row r="321758" spans="1:1" x14ac:dyDescent="0.25">
      <c r="A321758" s="1"/>
    </row>
    <row r="321759" spans="1:1" x14ac:dyDescent="0.25">
      <c r="A321759" s="1"/>
    </row>
    <row r="321760" spans="1:1" x14ac:dyDescent="0.25">
      <c r="A321760" s="1"/>
    </row>
    <row r="321761" spans="1:1" x14ac:dyDescent="0.25">
      <c r="A321761" s="1"/>
    </row>
    <row r="321762" spans="1:1" x14ac:dyDescent="0.25">
      <c r="A321762" s="1"/>
    </row>
    <row r="321763" spans="1:1" x14ac:dyDescent="0.25">
      <c r="A321763" s="1"/>
    </row>
    <row r="321764" spans="1:1" x14ac:dyDescent="0.25">
      <c r="A321764" s="1"/>
    </row>
    <row r="321765" spans="1:1" x14ac:dyDescent="0.25">
      <c r="A321765" s="1"/>
    </row>
    <row r="321766" spans="1:1" x14ac:dyDescent="0.25">
      <c r="A321766" s="1"/>
    </row>
    <row r="321767" spans="1:1" x14ac:dyDescent="0.25">
      <c r="A321767" s="1"/>
    </row>
    <row r="321768" spans="1:1" x14ac:dyDescent="0.25">
      <c r="A321768" s="1"/>
    </row>
    <row r="321769" spans="1:1" x14ac:dyDescent="0.25">
      <c r="A321769" s="1"/>
    </row>
    <row r="321770" spans="1:1" x14ac:dyDescent="0.25">
      <c r="A321770" s="1"/>
    </row>
    <row r="321771" spans="1:1" x14ac:dyDescent="0.25">
      <c r="A321771" s="1"/>
    </row>
    <row r="321772" spans="1:1" x14ac:dyDescent="0.25">
      <c r="A321772" s="1"/>
    </row>
    <row r="321773" spans="1:1" x14ac:dyDescent="0.25">
      <c r="A321773" s="1"/>
    </row>
    <row r="321774" spans="1:1" x14ac:dyDescent="0.25">
      <c r="A321774" s="1"/>
    </row>
    <row r="321775" spans="1:1" x14ac:dyDescent="0.25">
      <c r="A321775" s="1"/>
    </row>
    <row r="321776" spans="1:1" x14ac:dyDescent="0.25">
      <c r="A321776" s="1"/>
    </row>
    <row r="321777" spans="1:1" x14ac:dyDescent="0.25">
      <c r="A321777" s="1"/>
    </row>
    <row r="321778" spans="1:1" x14ac:dyDescent="0.25">
      <c r="A321778" s="1"/>
    </row>
    <row r="321779" spans="1:1" x14ac:dyDescent="0.25">
      <c r="A321779" s="1"/>
    </row>
    <row r="321780" spans="1:1" x14ac:dyDescent="0.25">
      <c r="A321780" s="1"/>
    </row>
    <row r="321781" spans="1:1" x14ac:dyDescent="0.25">
      <c r="A321781" s="1"/>
    </row>
    <row r="321782" spans="1:1" x14ac:dyDescent="0.25">
      <c r="A321782" s="1"/>
    </row>
    <row r="321783" spans="1:1" x14ac:dyDescent="0.25">
      <c r="A321783" s="1"/>
    </row>
    <row r="321784" spans="1:1" x14ac:dyDescent="0.25">
      <c r="A321784" s="1"/>
    </row>
    <row r="321785" spans="1:1" x14ac:dyDescent="0.25">
      <c r="A321785" s="1"/>
    </row>
    <row r="321786" spans="1:1" x14ac:dyDescent="0.25">
      <c r="A321786" s="1"/>
    </row>
    <row r="321787" spans="1:1" x14ac:dyDescent="0.25">
      <c r="A321787" s="1"/>
    </row>
    <row r="321788" spans="1:1" x14ac:dyDescent="0.25">
      <c r="A321788" s="1"/>
    </row>
    <row r="321789" spans="1:1" x14ac:dyDescent="0.25">
      <c r="A321789" s="1"/>
    </row>
    <row r="321790" spans="1:1" x14ac:dyDescent="0.25">
      <c r="A321790" s="1"/>
    </row>
    <row r="321791" spans="1:1" x14ac:dyDescent="0.25">
      <c r="A321791" s="1"/>
    </row>
    <row r="321792" spans="1:1" x14ac:dyDescent="0.25">
      <c r="A321792" s="1"/>
    </row>
    <row r="321793" spans="1:1" x14ac:dyDescent="0.25">
      <c r="A321793" s="1"/>
    </row>
    <row r="321794" spans="1:1" x14ac:dyDescent="0.25">
      <c r="A321794" s="1"/>
    </row>
    <row r="321795" spans="1:1" x14ac:dyDescent="0.25">
      <c r="A321795" s="1"/>
    </row>
    <row r="321796" spans="1:1" x14ac:dyDescent="0.25">
      <c r="A321796" s="1"/>
    </row>
    <row r="321797" spans="1:1" x14ac:dyDescent="0.25">
      <c r="A321797" s="1"/>
    </row>
    <row r="321798" spans="1:1" x14ac:dyDescent="0.25">
      <c r="A321798" s="1"/>
    </row>
    <row r="321799" spans="1:1" x14ac:dyDescent="0.25">
      <c r="A321799" s="1"/>
    </row>
    <row r="321800" spans="1:1" x14ac:dyDescent="0.25">
      <c r="A321800" s="1"/>
    </row>
    <row r="321801" spans="1:1" x14ac:dyDescent="0.25">
      <c r="A321801" s="1"/>
    </row>
    <row r="321802" spans="1:1" x14ac:dyDescent="0.25">
      <c r="A321802" s="1"/>
    </row>
    <row r="321803" spans="1:1" x14ac:dyDescent="0.25">
      <c r="A321803" s="1"/>
    </row>
    <row r="321804" spans="1:1" x14ac:dyDescent="0.25">
      <c r="A321804" s="1"/>
    </row>
    <row r="321805" spans="1:1" x14ac:dyDescent="0.25">
      <c r="A321805" s="1"/>
    </row>
    <row r="321806" spans="1:1" x14ac:dyDescent="0.25">
      <c r="A321806" s="1"/>
    </row>
    <row r="321807" spans="1:1" x14ac:dyDescent="0.25">
      <c r="A321807" s="1"/>
    </row>
    <row r="321808" spans="1:1" x14ac:dyDescent="0.25">
      <c r="A321808" s="1"/>
    </row>
    <row r="321809" spans="1:1" x14ac:dyDescent="0.25">
      <c r="A321809" s="1"/>
    </row>
    <row r="321810" spans="1:1" x14ac:dyDescent="0.25">
      <c r="A321810" s="1"/>
    </row>
    <row r="321811" spans="1:1" x14ac:dyDescent="0.25">
      <c r="A321811" s="1"/>
    </row>
    <row r="321812" spans="1:1" x14ac:dyDescent="0.25">
      <c r="A321812" s="1"/>
    </row>
    <row r="321813" spans="1:1" x14ac:dyDescent="0.25">
      <c r="A321813" s="1"/>
    </row>
    <row r="321814" spans="1:1" x14ac:dyDescent="0.25">
      <c r="A321814" s="1"/>
    </row>
    <row r="321815" spans="1:1" x14ac:dyDescent="0.25">
      <c r="A321815" s="1"/>
    </row>
    <row r="321816" spans="1:1" x14ac:dyDescent="0.25">
      <c r="A321816" s="1"/>
    </row>
    <row r="321817" spans="1:1" x14ac:dyDescent="0.25">
      <c r="A321817" s="1"/>
    </row>
    <row r="321818" spans="1:1" x14ac:dyDescent="0.25">
      <c r="A321818" s="1"/>
    </row>
    <row r="321819" spans="1:1" x14ac:dyDescent="0.25">
      <c r="A321819" s="1"/>
    </row>
    <row r="321820" spans="1:1" x14ac:dyDescent="0.25">
      <c r="A321820" s="1"/>
    </row>
    <row r="321821" spans="1:1" x14ac:dyDescent="0.25">
      <c r="A321821" s="1"/>
    </row>
    <row r="321822" spans="1:1" x14ac:dyDescent="0.25">
      <c r="A321822" s="1"/>
    </row>
    <row r="321823" spans="1:1" x14ac:dyDescent="0.25">
      <c r="A321823" s="1"/>
    </row>
    <row r="321824" spans="1:1" x14ac:dyDescent="0.25">
      <c r="A321824" s="1"/>
    </row>
    <row r="321825" spans="1:1" x14ac:dyDescent="0.25">
      <c r="A321825" s="1"/>
    </row>
    <row r="321826" spans="1:1" x14ac:dyDescent="0.25">
      <c r="A321826" s="1"/>
    </row>
    <row r="321827" spans="1:1" x14ac:dyDescent="0.25">
      <c r="A321827" s="1"/>
    </row>
    <row r="321828" spans="1:1" x14ac:dyDescent="0.25">
      <c r="A321828" s="1"/>
    </row>
    <row r="321829" spans="1:1" x14ac:dyDescent="0.25">
      <c r="A321829" s="1"/>
    </row>
    <row r="321830" spans="1:1" x14ac:dyDescent="0.25">
      <c r="A321830" s="1"/>
    </row>
    <row r="321831" spans="1:1" x14ac:dyDescent="0.25">
      <c r="A321831" s="1"/>
    </row>
    <row r="321832" spans="1:1" x14ac:dyDescent="0.25">
      <c r="A321832" s="1"/>
    </row>
    <row r="321833" spans="1:1" x14ac:dyDescent="0.25">
      <c r="A321833" s="1"/>
    </row>
    <row r="321834" spans="1:1" x14ac:dyDescent="0.25">
      <c r="A321834" s="1"/>
    </row>
    <row r="321835" spans="1:1" x14ac:dyDescent="0.25">
      <c r="A321835" s="1"/>
    </row>
    <row r="321836" spans="1:1" x14ac:dyDescent="0.25">
      <c r="A321836" s="1"/>
    </row>
    <row r="321837" spans="1:1" x14ac:dyDescent="0.25">
      <c r="A321837" s="1"/>
    </row>
    <row r="321838" spans="1:1" x14ac:dyDescent="0.25">
      <c r="A321838" s="1"/>
    </row>
    <row r="321839" spans="1:1" x14ac:dyDescent="0.25">
      <c r="A321839" s="1"/>
    </row>
    <row r="321840" spans="1:1" x14ac:dyDescent="0.25">
      <c r="A321840" s="1"/>
    </row>
    <row r="321841" spans="1:1" x14ac:dyDescent="0.25">
      <c r="A321841" s="1"/>
    </row>
    <row r="321842" spans="1:1" x14ac:dyDescent="0.25">
      <c r="A321842" s="1"/>
    </row>
    <row r="321843" spans="1:1" x14ac:dyDescent="0.25">
      <c r="A321843" s="1"/>
    </row>
    <row r="321844" spans="1:1" x14ac:dyDescent="0.25">
      <c r="A321844" s="1"/>
    </row>
    <row r="321845" spans="1:1" x14ac:dyDescent="0.25">
      <c r="A321845" s="1"/>
    </row>
    <row r="321846" spans="1:1" x14ac:dyDescent="0.25">
      <c r="A321846" s="1"/>
    </row>
    <row r="321847" spans="1:1" x14ac:dyDescent="0.25">
      <c r="A321847" s="1"/>
    </row>
    <row r="321848" spans="1:1" x14ac:dyDescent="0.25">
      <c r="A321848" s="1"/>
    </row>
    <row r="321849" spans="1:1" x14ac:dyDescent="0.25">
      <c r="A321849" s="1"/>
    </row>
    <row r="321850" spans="1:1" x14ac:dyDescent="0.25">
      <c r="A321850" s="1"/>
    </row>
    <row r="321851" spans="1:1" x14ac:dyDescent="0.25">
      <c r="A321851" s="1"/>
    </row>
    <row r="321852" spans="1:1" x14ac:dyDescent="0.25">
      <c r="A321852" s="1"/>
    </row>
    <row r="321853" spans="1:1" x14ac:dyDescent="0.25">
      <c r="A321853" s="1"/>
    </row>
    <row r="321854" spans="1:1" x14ac:dyDescent="0.25">
      <c r="A321854" s="1"/>
    </row>
    <row r="321855" spans="1:1" x14ac:dyDescent="0.25">
      <c r="A321855" s="1"/>
    </row>
    <row r="321856" spans="1:1" x14ac:dyDescent="0.25">
      <c r="A321856" s="1"/>
    </row>
    <row r="321857" spans="1:1" x14ac:dyDescent="0.25">
      <c r="A321857" s="1"/>
    </row>
    <row r="321858" spans="1:1" x14ac:dyDescent="0.25">
      <c r="A321858" s="1"/>
    </row>
    <row r="321859" spans="1:1" x14ac:dyDescent="0.25">
      <c r="A321859" s="1"/>
    </row>
    <row r="321860" spans="1:1" x14ac:dyDescent="0.25">
      <c r="A321860" s="1"/>
    </row>
    <row r="321861" spans="1:1" x14ac:dyDescent="0.25">
      <c r="A321861" s="1"/>
    </row>
    <row r="321862" spans="1:1" x14ac:dyDescent="0.25">
      <c r="A321862" s="1"/>
    </row>
    <row r="321863" spans="1:1" x14ac:dyDescent="0.25">
      <c r="A321863" s="1"/>
    </row>
    <row r="321864" spans="1:1" x14ac:dyDescent="0.25">
      <c r="A321864" s="1"/>
    </row>
    <row r="321865" spans="1:1" x14ac:dyDescent="0.25">
      <c r="A321865" s="1"/>
    </row>
    <row r="321866" spans="1:1" x14ac:dyDescent="0.25">
      <c r="A321866" s="1"/>
    </row>
    <row r="321867" spans="1:1" x14ac:dyDescent="0.25">
      <c r="A321867" s="1"/>
    </row>
    <row r="321868" spans="1:1" x14ac:dyDescent="0.25">
      <c r="A321868" s="1"/>
    </row>
    <row r="321869" spans="1:1" x14ac:dyDescent="0.25">
      <c r="A321869" s="1"/>
    </row>
    <row r="321870" spans="1:1" x14ac:dyDescent="0.25">
      <c r="A321870" s="1"/>
    </row>
    <row r="321871" spans="1:1" x14ac:dyDescent="0.25">
      <c r="A321871" s="1"/>
    </row>
    <row r="321872" spans="1:1" x14ac:dyDescent="0.25">
      <c r="A321872" s="1"/>
    </row>
    <row r="321873" spans="1:1" x14ac:dyDescent="0.25">
      <c r="A321873" s="1"/>
    </row>
    <row r="321874" spans="1:1" x14ac:dyDescent="0.25">
      <c r="A321874" s="1"/>
    </row>
    <row r="321875" spans="1:1" x14ac:dyDescent="0.25">
      <c r="A321875" s="1"/>
    </row>
    <row r="321876" spans="1:1" x14ac:dyDescent="0.25">
      <c r="A321876" s="1"/>
    </row>
    <row r="321877" spans="1:1" x14ac:dyDescent="0.25">
      <c r="A321877" s="1"/>
    </row>
    <row r="321878" spans="1:1" x14ac:dyDescent="0.25">
      <c r="A321878" s="1"/>
    </row>
    <row r="321879" spans="1:1" x14ac:dyDescent="0.25">
      <c r="A321879" s="1"/>
    </row>
    <row r="321880" spans="1:1" x14ac:dyDescent="0.25">
      <c r="A321880" s="1"/>
    </row>
    <row r="321881" spans="1:1" x14ac:dyDescent="0.25">
      <c r="A321881" s="1"/>
    </row>
    <row r="321882" spans="1:1" x14ac:dyDescent="0.25">
      <c r="A321882" s="1"/>
    </row>
    <row r="321883" spans="1:1" x14ac:dyDescent="0.25">
      <c r="A321883" s="1"/>
    </row>
    <row r="321884" spans="1:1" x14ac:dyDescent="0.25">
      <c r="A321884" s="1"/>
    </row>
    <row r="321885" spans="1:1" x14ac:dyDescent="0.25">
      <c r="A321885" s="1"/>
    </row>
    <row r="321886" spans="1:1" x14ac:dyDescent="0.25">
      <c r="A321886" s="1"/>
    </row>
    <row r="321887" spans="1:1" x14ac:dyDescent="0.25">
      <c r="A321887" s="1"/>
    </row>
    <row r="321888" spans="1:1" x14ac:dyDescent="0.25">
      <c r="A321888" s="1"/>
    </row>
    <row r="321889" spans="1:1" x14ac:dyDescent="0.25">
      <c r="A321889" s="1"/>
    </row>
    <row r="321890" spans="1:1" x14ac:dyDescent="0.25">
      <c r="A321890" s="1"/>
    </row>
    <row r="321891" spans="1:1" x14ac:dyDescent="0.25">
      <c r="A321891" s="1"/>
    </row>
    <row r="321892" spans="1:1" x14ac:dyDescent="0.25">
      <c r="A321892" s="1"/>
    </row>
    <row r="321893" spans="1:1" x14ac:dyDescent="0.25">
      <c r="A321893" s="1"/>
    </row>
    <row r="321894" spans="1:1" x14ac:dyDescent="0.25">
      <c r="A321894" s="1"/>
    </row>
    <row r="321895" spans="1:1" x14ac:dyDescent="0.25">
      <c r="A321895" s="1"/>
    </row>
    <row r="321896" spans="1:1" x14ac:dyDescent="0.25">
      <c r="A321896" s="1"/>
    </row>
    <row r="321897" spans="1:1" x14ac:dyDescent="0.25">
      <c r="A321897" s="1"/>
    </row>
    <row r="321898" spans="1:1" x14ac:dyDescent="0.25">
      <c r="A321898" s="1"/>
    </row>
    <row r="321899" spans="1:1" x14ac:dyDescent="0.25">
      <c r="A321899" s="1"/>
    </row>
    <row r="321900" spans="1:1" x14ac:dyDescent="0.25">
      <c r="A321900" s="1"/>
    </row>
    <row r="321901" spans="1:1" x14ac:dyDescent="0.25">
      <c r="A321901" s="1"/>
    </row>
    <row r="321902" spans="1:1" x14ac:dyDescent="0.25">
      <c r="A321902" s="1"/>
    </row>
    <row r="321903" spans="1:1" x14ac:dyDescent="0.25">
      <c r="A321903" s="1"/>
    </row>
    <row r="321904" spans="1:1" x14ac:dyDescent="0.25">
      <c r="A321904" s="1"/>
    </row>
    <row r="321905" spans="1:1" x14ac:dyDescent="0.25">
      <c r="A321905" s="1"/>
    </row>
    <row r="321906" spans="1:1" x14ac:dyDescent="0.25">
      <c r="A321906" s="1"/>
    </row>
    <row r="321907" spans="1:1" x14ac:dyDescent="0.25">
      <c r="A321907" s="1"/>
    </row>
    <row r="321908" spans="1:1" x14ac:dyDescent="0.25">
      <c r="A321908" s="1"/>
    </row>
    <row r="321909" spans="1:1" x14ac:dyDescent="0.25">
      <c r="A321909" s="1"/>
    </row>
    <row r="321910" spans="1:1" x14ac:dyDescent="0.25">
      <c r="A321910" s="1"/>
    </row>
    <row r="321911" spans="1:1" x14ac:dyDescent="0.25">
      <c r="A321911" s="1"/>
    </row>
    <row r="321912" spans="1:1" x14ac:dyDescent="0.25">
      <c r="A321912" s="1"/>
    </row>
    <row r="321913" spans="1:1" x14ac:dyDescent="0.25">
      <c r="A321913" s="1"/>
    </row>
    <row r="321914" spans="1:1" x14ac:dyDescent="0.25">
      <c r="A321914" s="1"/>
    </row>
    <row r="321915" spans="1:1" x14ac:dyDescent="0.25">
      <c r="A321915" s="1"/>
    </row>
    <row r="321916" spans="1:1" x14ac:dyDescent="0.25">
      <c r="A321916" s="1"/>
    </row>
    <row r="321917" spans="1:1" x14ac:dyDescent="0.25">
      <c r="A321917" s="1"/>
    </row>
    <row r="321918" spans="1:1" x14ac:dyDescent="0.25">
      <c r="A321918" s="1"/>
    </row>
    <row r="321919" spans="1:1" x14ac:dyDescent="0.25">
      <c r="A321919" s="1"/>
    </row>
    <row r="321920" spans="1:1" x14ac:dyDescent="0.25">
      <c r="A321920" s="1"/>
    </row>
    <row r="321921" spans="1:1" x14ac:dyDescent="0.25">
      <c r="A321921" s="1"/>
    </row>
    <row r="321922" spans="1:1" x14ac:dyDescent="0.25">
      <c r="A321922" s="1"/>
    </row>
    <row r="321923" spans="1:1" x14ac:dyDescent="0.25">
      <c r="A321923" s="1"/>
    </row>
    <row r="321924" spans="1:1" x14ac:dyDescent="0.25">
      <c r="A321924" s="1"/>
    </row>
    <row r="321925" spans="1:1" x14ac:dyDescent="0.25">
      <c r="A321925" s="1"/>
    </row>
    <row r="321926" spans="1:1" x14ac:dyDescent="0.25">
      <c r="A321926" s="1"/>
    </row>
    <row r="321927" spans="1:1" x14ac:dyDescent="0.25">
      <c r="A321927" s="1"/>
    </row>
    <row r="321928" spans="1:1" x14ac:dyDescent="0.25">
      <c r="A321928" s="1"/>
    </row>
    <row r="321929" spans="1:1" x14ac:dyDescent="0.25">
      <c r="A321929" s="1"/>
    </row>
    <row r="321930" spans="1:1" x14ac:dyDescent="0.25">
      <c r="A321930" s="1"/>
    </row>
    <row r="321931" spans="1:1" x14ac:dyDescent="0.25">
      <c r="A321931" s="1"/>
    </row>
    <row r="321932" spans="1:1" x14ac:dyDescent="0.25">
      <c r="A321932" s="1"/>
    </row>
    <row r="321933" spans="1:1" x14ac:dyDescent="0.25">
      <c r="A321933" s="1"/>
    </row>
    <row r="321934" spans="1:1" x14ac:dyDescent="0.25">
      <c r="A321934" s="1"/>
    </row>
    <row r="321935" spans="1:1" x14ac:dyDescent="0.25">
      <c r="A321935" s="1"/>
    </row>
    <row r="321936" spans="1:1" x14ac:dyDescent="0.25">
      <c r="A321936" s="1"/>
    </row>
    <row r="321937" spans="1:1" x14ac:dyDescent="0.25">
      <c r="A321937" s="1"/>
    </row>
    <row r="321938" spans="1:1" x14ac:dyDescent="0.25">
      <c r="A321938" s="1"/>
    </row>
    <row r="321939" spans="1:1" x14ac:dyDescent="0.25">
      <c r="A321939" s="1"/>
    </row>
    <row r="321940" spans="1:1" x14ac:dyDescent="0.25">
      <c r="A321940" s="1"/>
    </row>
    <row r="321941" spans="1:1" x14ac:dyDescent="0.25">
      <c r="A321941" s="1"/>
    </row>
    <row r="321942" spans="1:1" x14ac:dyDescent="0.25">
      <c r="A321942" s="1"/>
    </row>
    <row r="321943" spans="1:1" x14ac:dyDescent="0.25">
      <c r="A321943" s="1"/>
    </row>
    <row r="321944" spans="1:1" x14ac:dyDescent="0.25">
      <c r="A321944" s="1"/>
    </row>
    <row r="321945" spans="1:1" x14ac:dyDescent="0.25">
      <c r="A321945" s="1"/>
    </row>
    <row r="321946" spans="1:1" x14ac:dyDescent="0.25">
      <c r="A321946" s="1"/>
    </row>
    <row r="321947" spans="1:1" x14ac:dyDescent="0.25">
      <c r="A321947" s="1"/>
    </row>
    <row r="321948" spans="1:1" x14ac:dyDescent="0.25">
      <c r="A321948" s="1"/>
    </row>
    <row r="321949" spans="1:1" x14ac:dyDescent="0.25">
      <c r="A321949" s="1"/>
    </row>
    <row r="321950" spans="1:1" x14ac:dyDescent="0.25">
      <c r="A321950" s="1"/>
    </row>
    <row r="321951" spans="1:1" x14ac:dyDescent="0.25">
      <c r="A321951" s="1"/>
    </row>
    <row r="321952" spans="1:1" x14ac:dyDescent="0.25">
      <c r="A321952" s="1"/>
    </row>
    <row r="321953" spans="1:1" x14ac:dyDescent="0.25">
      <c r="A321953" s="1"/>
    </row>
    <row r="321954" spans="1:1" x14ac:dyDescent="0.25">
      <c r="A321954" s="1"/>
    </row>
    <row r="321955" spans="1:1" x14ac:dyDescent="0.25">
      <c r="A321955" s="1"/>
    </row>
    <row r="321956" spans="1:1" x14ac:dyDescent="0.25">
      <c r="A321956" s="1"/>
    </row>
    <row r="321957" spans="1:1" x14ac:dyDescent="0.25">
      <c r="A321957" s="1"/>
    </row>
    <row r="321958" spans="1:1" x14ac:dyDescent="0.25">
      <c r="A321958" s="1"/>
    </row>
    <row r="321959" spans="1:1" x14ac:dyDescent="0.25">
      <c r="A321959" s="1"/>
    </row>
    <row r="321960" spans="1:1" x14ac:dyDescent="0.25">
      <c r="A321960" s="1"/>
    </row>
    <row r="321961" spans="1:1" x14ac:dyDescent="0.25">
      <c r="A321961" s="1"/>
    </row>
    <row r="321962" spans="1:1" x14ac:dyDescent="0.25">
      <c r="A321962" s="1"/>
    </row>
    <row r="321963" spans="1:1" x14ac:dyDescent="0.25">
      <c r="A321963" s="1"/>
    </row>
    <row r="321964" spans="1:1" x14ac:dyDescent="0.25">
      <c r="A321964" s="1"/>
    </row>
    <row r="321965" spans="1:1" x14ac:dyDescent="0.25">
      <c r="A321965" s="1"/>
    </row>
    <row r="321966" spans="1:1" x14ac:dyDescent="0.25">
      <c r="A321966" s="1"/>
    </row>
    <row r="321967" spans="1:1" x14ac:dyDescent="0.25">
      <c r="A321967" s="1"/>
    </row>
    <row r="321968" spans="1:1" x14ac:dyDescent="0.25">
      <c r="A321968" s="1"/>
    </row>
    <row r="321969" spans="1:1" x14ac:dyDescent="0.25">
      <c r="A321969" s="1"/>
    </row>
    <row r="321970" spans="1:1" x14ac:dyDescent="0.25">
      <c r="A321970" s="1"/>
    </row>
    <row r="321971" spans="1:1" x14ac:dyDescent="0.25">
      <c r="A321971" s="1"/>
    </row>
    <row r="321972" spans="1:1" x14ac:dyDescent="0.25">
      <c r="A321972" s="1"/>
    </row>
    <row r="321973" spans="1:1" x14ac:dyDescent="0.25">
      <c r="A321973" s="1"/>
    </row>
    <row r="321974" spans="1:1" x14ac:dyDescent="0.25">
      <c r="A321974" s="1"/>
    </row>
    <row r="321975" spans="1:1" x14ac:dyDescent="0.25">
      <c r="A321975" s="1"/>
    </row>
    <row r="321976" spans="1:1" x14ac:dyDescent="0.25">
      <c r="A321976" s="1"/>
    </row>
    <row r="321977" spans="1:1" x14ac:dyDescent="0.25">
      <c r="A321977" s="1"/>
    </row>
    <row r="321978" spans="1:1" x14ac:dyDescent="0.25">
      <c r="A321978" s="1"/>
    </row>
    <row r="321979" spans="1:1" x14ac:dyDescent="0.25">
      <c r="A321979" s="1"/>
    </row>
    <row r="321980" spans="1:1" x14ac:dyDescent="0.25">
      <c r="A321980" s="1"/>
    </row>
    <row r="321981" spans="1:1" x14ac:dyDescent="0.25">
      <c r="A321981" s="1"/>
    </row>
    <row r="321982" spans="1:1" x14ac:dyDescent="0.25">
      <c r="A321982" s="1"/>
    </row>
    <row r="321983" spans="1:1" x14ac:dyDescent="0.25">
      <c r="A321983" s="1"/>
    </row>
    <row r="321984" spans="1:1" x14ac:dyDescent="0.25">
      <c r="A321984" s="1"/>
    </row>
    <row r="321985" spans="1:1" x14ac:dyDescent="0.25">
      <c r="A321985" s="1"/>
    </row>
    <row r="321986" spans="1:1" x14ac:dyDescent="0.25">
      <c r="A321986" s="1"/>
    </row>
    <row r="321987" spans="1:1" x14ac:dyDescent="0.25">
      <c r="A321987" s="1"/>
    </row>
    <row r="321988" spans="1:1" x14ac:dyDescent="0.25">
      <c r="A321988" s="1"/>
    </row>
    <row r="321989" spans="1:1" x14ac:dyDescent="0.25">
      <c r="A321989" s="1"/>
    </row>
    <row r="321990" spans="1:1" x14ac:dyDescent="0.25">
      <c r="A321990" s="1"/>
    </row>
    <row r="321991" spans="1:1" x14ac:dyDescent="0.25">
      <c r="A321991" s="1"/>
    </row>
    <row r="321992" spans="1:1" x14ac:dyDescent="0.25">
      <c r="A321992" s="1"/>
    </row>
    <row r="321993" spans="1:1" x14ac:dyDescent="0.25">
      <c r="A321993" s="1"/>
    </row>
    <row r="321994" spans="1:1" x14ac:dyDescent="0.25">
      <c r="A321994" s="1"/>
    </row>
    <row r="321995" spans="1:1" x14ac:dyDescent="0.25">
      <c r="A321995" s="1"/>
    </row>
    <row r="321996" spans="1:1" x14ac:dyDescent="0.25">
      <c r="A321996" s="1"/>
    </row>
    <row r="321997" spans="1:1" x14ac:dyDescent="0.25">
      <c r="A321997" s="1"/>
    </row>
    <row r="321998" spans="1:1" x14ac:dyDescent="0.25">
      <c r="A321998" s="1"/>
    </row>
    <row r="321999" spans="1:1" x14ac:dyDescent="0.25">
      <c r="A321999" s="1"/>
    </row>
    <row r="322000" spans="1:1" x14ac:dyDescent="0.25">
      <c r="A322000" s="1"/>
    </row>
    <row r="322001" spans="1:1" x14ac:dyDescent="0.25">
      <c r="A322001" s="1"/>
    </row>
    <row r="322002" spans="1:1" x14ac:dyDescent="0.25">
      <c r="A322002" s="1"/>
    </row>
    <row r="322003" spans="1:1" x14ac:dyDescent="0.25">
      <c r="A322003" s="1"/>
    </row>
    <row r="322004" spans="1:1" x14ac:dyDescent="0.25">
      <c r="A322004" s="1"/>
    </row>
    <row r="322005" spans="1:1" x14ac:dyDescent="0.25">
      <c r="A322005" s="1"/>
    </row>
    <row r="322006" spans="1:1" x14ac:dyDescent="0.25">
      <c r="A322006" s="1"/>
    </row>
    <row r="322007" spans="1:1" x14ac:dyDescent="0.25">
      <c r="A322007" s="1"/>
    </row>
    <row r="322008" spans="1:1" x14ac:dyDescent="0.25">
      <c r="A322008" s="1"/>
    </row>
    <row r="322009" spans="1:1" x14ac:dyDescent="0.25">
      <c r="A322009" s="1"/>
    </row>
    <row r="322010" spans="1:1" x14ac:dyDescent="0.25">
      <c r="A322010" s="1"/>
    </row>
    <row r="322011" spans="1:1" x14ac:dyDescent="0.25">
      <c r="A322011" s="1"/>
    </row>
    <row r="322012" spans="1:1" x14ac:dyDescent="0.25">
      <c r="A322012" s="1"/>
    </row>
    <row r="322013" spans="1:1" x14ac:dyDescent="0.25">
      <c r="A322013" s="1"/>
    </row>
    <row r="322014" spans="1:1" x14ac:dyDescent="0.25">
      <c r="A322014" s="1"/>
    </row>
    <row r="322015" spans="1:1" x14ac:dyDescent="0.25">
      <c r="A322015" s="1"/>
    </row>
    <row r="322016" spans="1:1" x14ac:dyDescent="0.25">
      <c r="A322016" s="1"/>
    </row>
    <row r="322017" spans="1:1" x14ac:dyDescent="0.25">
      <c r="A322017" s="1"/>
    </row>
    <row r="322018" spans="1:1" x14ac:dyDescent="0.25">
      <c r="A322018" s="1"/>
    </row>
    <row r="322019" spans="1:1" x14ac:dyDescent="0.25">
      <c r="A322019" s="1"/>
    </row>
    <row r="322020" spans="1:1" x14ac:dyDescent="0.25">
      <c r="A322020" s="1"/>
    </row>
    <row r="322021" spans="1:1" x14ac:dyDescent="0.25">
      <c r="A322021" s="1"/>
    </row>
    <row r="322022" spans="1:1" x14ac:dyDescent="0.25">
      <c r="A322022" s="1"/>
    </row>
    <row r="322023" spans="1:1" x14ac:dyDescent="0.25">
      <c r="A322023" s="1"/>
    </row>
    <row r="322024" spans="1:1" x14ac:dyDescent="0.25">
      <c r="A322024" s="1"/>
    </row>
    <row r="322025" spans="1:1" x14ac:dyDescent="0.25">
      <c r="A322025" s="1"/>
    </row>
    <row r="322026" spans="1:1" x14ac:dyDescent="0.25">
      <c r="A322026" s="1"/>
    </row>
    <row r="322027" spans="1:1" x14ac:dyDescent="0.25">
      <c r="A322027" s="1"/>
    </row>
    <row r="322028" spans="1:1" x14ac:dyDescent="0.25">
      <c r="A322028" s="1"/>
    </row>
    <row r="322029" spans="1:1" x14ac:dyDescent="0.25">
      <c r="A322029" s="1"/>
    </row>
    <row r="322030" spans="1:1" x14ac:dyDescent="0.25">
      <c r="A322030" s="1"/>
    </row>
    <row r="322031" spans="1:1" x14ac:dyDescent="0.25">
      <c r="A322031" s="1"/>
    </row>
    <row r="322032" spans="1:1" x14ac:dyDescent="0.25">
      <c r="A322032" s="1"/>
    </row>
    <row r="322033" spans="1:1" x14ac:dyDescent="0.25">
      <c r="A322033" s="1"/>
    </row>
    <row r="322034" spans="1:1" x14ac:dyDescent="0.25">
      <c r="A322034" s="1"/>
    </row>
    <row r="322035" spans="1:1" x14ac:dyDescent="0.25">
      <c r="A322035" s="1"/>
    </row>
    <row r="322036" spans="1:1" x14ac:dyDescent="0.25">
      <c r="A322036" s="1"/>
    </row>
    <row r="322037" spans="1:1" x14ac:dyDescent="0.25">
      <c r="A322037" s="1"/>
    </row>
    <row r="322038" spans="1:1" x14ac:dyDescent="0.25">
      <c r="A322038" s="1"/>
    </row>
    <row r="322039" spans="1:1" x14ac:dyDescent="0.25">
      <c r="A322039" s="1"/>
    </row>
    <row r="322040" spans="1:1" x14ac:dyDescent="0.25">
      <c r="A322040" s="1"/>
    </row>
    <row r="322041" spans="1:1" x14ac:dyDescent="0.25">
      <c r="A322041" s="1"/>
    </row>
    <row r="322042" spans="1:1" x14ac:dyDescent="0.25">
      <c r="A322042" s="1"/>
    </row>
    <row r="322043" spans="1:1" x14ac:dyDescent="0.25">
      <c r="A322043" s="1"/>
    </row>
    <row r="322044" spans="1:1" x14ac:dyDescent="0.25">
      <c r="A322044" s="1"/>
    </row>
    <row r="322045" spans="1:1" x14ac:dyDescent="0.25">
      <c r="A322045" s="1"/>
    </row>
    <row r="322046" spans="1:1" x14ac:dyDescent="0.25">
      <c r="A322046" s="1"/>
    </row>
    <row r="322047" spans="1:1" x14ac:dyDescent="0.25">
      <c r="A322047" s="1"/>
    </row>
    <row r="322048" spans="1:1" x14ac:dyDescent="0.25">
      <c r="A322048" s="1"/>
    </row>
    <row r="322049" spans="1:1" x14ac:dyDescent="0.25">
      <c r="A322049" s="1"/>
    </row>
    <row r="322050" spans="1:1" x14ac:dyDescent="0.25">
      <c r="A322050" s="1"/>
    </row>
    <row r="322051" spans="1:1" x14ac:dyDescent="0.25">
      <c r="A322051" s="1"/>
    </row>
    <row r="322052" spans="1:1" x14ac:dyDescent="0.25">
      <c r="A322052" s="1"/>
    </row>
    <row r="322053" spans="1:1" x14ac:dyDescent="0.25">
      <c r="A322053" s="1"/>
    </row>
    <row r="322054" spans="1:1" x14ac:dyDescent="0.25">
      <c r="A322054" s="1"/>
    </row>
    <row r="322055" spans="1:1" x14ac:dyDescent="0.25">
      <c r="A322055" s="1"/>
    </row>
    <row r="322056" spans="1:1" x14ac:dyDescent="0.25">
      <c r="A322056" s="1"/>
    </row>
    <row r="322057" spans="1:1" x14ac:dyDescent="0.25">
      <c r="A322057" s="1"/>
    </row>
    <row r="322058" spans="1:1" x14ac:dyDescent="0.25">
      <c r="A322058" s="1"/>
    </row>
    <row r="322059" spans="1:1" x14ac:dyDescent="0.25">
      <c r="A322059" s="1"/>
    </row>
    <row r="322060" spans="1:1" x14ac:dyDescent="0.25">
      <c r="A322060" s="1"/>
    </row>
    <row r="322061" spans="1:1" x14ac:dyDescent="0.25">
      <c r="A322061" s="1"/>
    </row>
    <row r="322062" spans="1:1" x14ac:dyDescent="0.25">
      <c r="A322062" s="1"/>
    </row>
    <row r="322063" spans="1:1" x14ac:dyDescent="0.25">
      <c r="A322063" s="1"/>
    </row>
    <row r="322064" spans="1:1" x14ac:dyDescent="0.25">
      <c r="A322064" s="1"/>
    </row>
    <row r="322065" spans="1:1" x14ac:dyDescent="0.25">
      <c r="A322065" s="1"/>
    </row>
    <row r="322066" spans="1:1" x14ac:dyDescent="0.25">
      <c r="A322066" s="1"/>
    </row>
    <row r="322067" spans="1:1" x14ac:dyDescent="0.25">
      <c r="A322067" s="1"/>
    </row>
    <row r="322068" spans="1:1" x14ac:dyDescent="0.25">
      <c r="A322068" s="1"/>
    </row>
    <row r="322069" spans="1:1" x14ac:dyDescent="0.25">
      <c r="A322069" s="1"/>
    </row>
    <row r="322070" spans="1:1" x14ac:dyDescent="0.25">
      <c r="A322070" s="1"/>
    </row>
    <row r="322071" spans="1:1" x14ac:dyDescent="0.25">
      <c r="A322071" s="1"/>
    </row>
    <row r="322072" spans="1:1" x14ac:dyDescent="0.25">
      <c r="A322072" s="1"/>
    </row>
    <row r="322073" spans="1:1" x14ac:dyDescent="0.25">
      <c r="A322073" s="1"/>
    </row>
    <row r="322074" spans="1:1" x14ac:dyDescent="0.25">
      <c r="A322074" s="1"/>
    </row>
    <row r="322075" spans="1:1" x14ac:dyDescent="0.25">
      <c r="A322075" s="1"/>
    </row>
    <row r="322076" spans="1:1" x14ac:dyDescent="0.25">
      <c r="A322076" s="1"/>
    </row>
    <row r="322077" spans="1:1" x14ac:dyDescent="0.25">
      <c r="A322077" s="1"/>
    </row>
    <row r="322078" spans="1:1" x14ac:dyDescent="0.25">
      <c r="A322078" s="1"/>
    </row>
    <row r="322079" spans="1:1" x14ac:dyDescent="0.25">
      <c r="A322079" s="1"/>
    </row>
    <row r="322080" spans="1:1" x14ac:dyDescent="0.25">
      <c r="A322080" s="1"/>
    </row>
    <row r="322081" spans="1:1" x14ac:dyDescent="0.25">
      <c r="A322081" s="1"/>
    </row>
    <row r="322082" spans="1:1" x14ac:dyDescent="0.25">
      <c r="A322082" s="1"/>
    </row>
    <row r="322083" spans="1:1" x14ac:dyDescent="0.25">
      <c r="A322083" s="1"/>
    </row>
    <row r="322084" spans="1:1" x14ac:dyDescent="0.25">
      <c r="A322084" s="1"/>
    </row>
    <row r="322085" spans="1:1" x14ac:dyDescent="0.25">
      <c r="A322085" s="1"/>
    </row>
    <row r="322086" spans="1:1" x14ac:dyDescent="0.25">
      <c r="A322086" s="1"/>
    </row>
    <row r="322087" spans="1:1" x14ac:dyDescent="0.25">
      <c r="A322087" s="1"/>
    </row>
    <row r="322088" spans="1:1" x14ac:dyDescent="0.25">
      <c r="A322088" s="1"/>
    </row>
    <row r="322089" spans="1:1" x14ac:dyDescent="0.25">
      <c r="A322089" s="1"/>
    </row>
    <row r="322090" spans="1:1" x14ac:dyDescent="0.25">
      <c r="A322090" s="1"/>
    </row>
    <row r="322091" spans="1:1" x14ac:dyDescent="0.25">
      <c r="A322091" s="1"/>
    </row>
    <row r="322092" spans="1:1" x14ac:dyDescent="0.25">
      <c r="A322092" s="1"/>
    </row>
    <row r="322093" spans="1:1" x14ac:dyDescent="0.25">
      <c r="A322093" s="1"/>
    </row>
    <row r="322094" spans="1:1" x14ac:dyDescent="0.25">
      <c r="A322094" s="1"/>
    </row>
    <row r="322095" spans="1:1" x14ac:dyDescent="0.25">
      <c r="A322095" s="1"/>
    </row>
    <row r="322096" spans="1:1" x14ac:dyDescent="0.25">
      <c r="A322096" s="1"/>
    </row>
    <row r="322097" spans="1:1" x14ac:dyDescent="0.25">
      <c r="A322097" s="1"/>
    </row>
    <row r="322098" spans="1:1" x14ac:dyDescent="0.25">
      <c r="A322098" s="1"/>
    </row>
    <row r="322099" spans="1:1" x14ac:dyDescent="0.25">
      <c r="A322099" s="1"/>
    </row>
    <row r="322100" spans="1:1" x14ac:dyDescent="0.25">
      <c r="A322100" s="1"/>
    </row>
    <row r="322101" spans="1:1" x14ac:dyDescent="0.25">
      <c r="A322101" s="1"/>
    </row>
    <row r="322102" spans="1:1" x14ac:dyDescent="0.25">
      <c r="A322102" s="1"/>
    </row>
    <row r="322103" spans="1:1" x14ac:dyDescent="0.25">
      <c r="A322103" s="1"/>
    </row>
    <row r="322104" spans="1:1" x14ac:dyDescent="0.25">
      <c r="A322104" s="1"/>
    </row>
    <row r="322105" spans="1:1" x14ac:dyDescent="0.25">
      <c r="A322105" s="1"/>
    </row>
    <row r="322106" spans="1:1" x14ac:dyDescent="0.25">
      <c r="A322106" s="1"/>
    </row>
    <row r="322107" spans="1:1" x14ac:dyDescent="0.25">
      <c r="A322107" s="1"/>
    </row>
    <row r="322108" spans="1:1" x14ac:dyDescent="0.25">
      <c r="A322108" s="1"/>
    </row>
    <row r="322109" spans="1:1" x14ac:dyDescent="0.25">
      <c r="A322109" s="1"/>
    </row>
    <row r="322110" spans="1:1" x14ac:dyDescent="0.25">
      <c r="A322110" s="1"/>
    </row>
    <row r="322111" spans="1:1" x14ac:dyDescent="0.25">
      <c r="A322111" s="1"/>
    </row>
    <row r="322112" spans="1:1" x14ac:dyDescent="0.25">
      <c r="A322112" s="1"/>
    </row>
    <row r="322113" spans="1:1" x14ac:dyDescent="0.25">
      <c r="A322113" s="1"/>
    </row>
    <row r="322114" spans="1:1" x14ac:dyDescent="0.25">
      <c r="A322114" s="1"/>
    </row>
    <row r="322115" spans="1:1" x14ac:dyDescent="0.25">
      <c r="A322115" s="1"/>
    </row>
    <row r="322116" spans="1:1" x14ac:dyDescent="0.25">
      <c r="A322116" s="1"/>
    </row>
    <row r="322117" spans="1:1" x14ac:dyDescent="0.25">
      <c r="A322117" s="1"/>
    </row>
    <row r="322118" spans="1:1" x14ac:dyDescent="0.25">
      <c r="A322118" s="1"/>
    </row>
    <row r="322119" spans="1:1" x14ac:dyDescent="0.25">
      <c r="A322119" s="1"/>
    </row>
    <row r="322120" spans="1:1" x14ac:dyDescent="0.25">
      <c r="A322120" s="1"/>
    </row>
    <row r="322121" spans="1:1" x14ac:dyDescent="0.25">
      <c r="A322121" s="1"/>
    </row>
    <row r="322122" spans="1:1" x14ac:dyDescent="0.25">
      <c r="A322122" s="1"/>
    </row>
    <row r="322123" spans="1:1" x14ac:dyDescent="0.25">
      <c r="A322123" s="1"/>
    </row>
    <row r="322124" spans="1:1" x14ac:dyDescent="0.25">
      <c r="A322124" s="1"/>
    </row>
    <row r="322125" spans="1:1" x14ac:dyDescent="0.25">
      <c r="A322125" s="1"/>
    </row>
    <row r="322126" spans="1:1" x14ac:dyDescent="0.25">
      <c r="A322126" s="1"/>
    </row>
    <row r="322127" spans="1:1" x14ac:dyDescent="0.25">
      <c r="A322127" s="1"/>
    </row>
    <row r="322128" spans="1:1" x14ac:dyDescent="0.25">
      <c r="A322128" s="1"/>
    </row>
    <row r="322129" spans="1:1" x14ac:dyDescent="0.25">
      <c r="A322129" s="1"/>
    </row>
    <row r="322130" spans="1:1" x14ac:dyDescent="0.25">
      <c r="A322130" s="1"/>
    </row>
    <row r="322131" spans="1:1" x14ac:dyDescent="0.25">
      <c r="A322131" s="1"/>
    </row>
    <row r="322132" spans="1:1" x14ac:dyDescent="0.25">
      <c r="A322132" s="1"/>
    </row>
    <row r="322133" spans="1:1" x14ac:dyDescent="0.25">
      <c r="A322133" s="1"/>
    </row>
    <row r="322134" spans="1:1" x14ac:dyDescent="0.25">
      <c r="A322134" s="1"/>
    </row>
    <row r="322135" spans="1:1" x14ac:dyDescent="0.25">
      <c r="A322135" s="1"/>
    </row>
    <row r="322136" spans="1:1" x14ac:dyDescent="0.25">
      <c r="A322136" s="1"/>
    </row>
    <row r="322137" spans="1:1" x14ac:dyDescent="0.25">
      <c r="A322137" s="1"/>
    </row>
    <row r="322138" spans="1:1" x14ac:dyDescent="0.25">
      <c r="A322138" s="1"/>
    </row>
    <row r="322139" spans="1:1" x14ac:dyDescent="0.25">
      <c r="A322139" s="1"/>
    </row>
    <row r="322140" spans="1:1" x14ac:dyDescent="0.25">
      <c r="A322140" s="1"/>
    </row>
    <row r="322141" spans="1:1" x14ac:dyDescent="0.25">
      <c r="A322141" s="1"/>
    </row>
    <row r="322142" spans="1:1" x14ac:dyDescent="0.25">
      <c r="A322142" s="1"/>
    </row>
    <row r="322143" spans="1:1" x14ac:dyDescent="0.25">
      <c r="A322143" s="1"/>
    </row>
    <row r="322144" spans="1:1" x14ac:dyDescent="0.25">
      <c r="A322144" s="1"/>
    </row>
    <row r="322145" spans="1:1" x14ac:dyDescent="0.25">
      <c r="A322145" s="1"/>
    </row>
    <row r="322146" spans="1:1" x14ac:dyDescent="0.25">
      <c r="A322146" s="1"/>
    </row>
    <row r="322147" spans="1:1" x14ac:dyDescent="0.25">
      <c r="A322147" s="1"/>
    </row>
    <row r="322148" spans="1:1" x14ac:dyDescent="0.25">
      <c r="A322148" s="1"/>
    </row>
    <row r="322149" spans="1:1" x14ac:dyDescent="0.25">
      <c r="A322149" s="1"/>
    </row>
    <row r="322150" spans="1:1" x14ac:dyDescent="0.25">
      <c r="A322150" s="1"/>
    </row>
    <row r="322151" spans="1:1" x14ac:dyDescent="0.25">
      <c r="A322151" s="1"/>
    </row>
    <row r="322152" spans="1:1" x14ac:dyDescent="0.25">
      <c r="A322152" s="1"/>
    </row>
    <row r="322153" spans="1:1" x14ac:dyDescent="0.25">
      <c r="A322153" s="1"/>
    </row>
    <row r="322154" spans="1:1" x14ac:dyDescent="0.25">
      <c r="A322154" s="1"/>
    </row>
    <row r="322155" spans="1:1" x14ac:dyDescent="0.25">
      <c r="A322155" s="1"/>
    </row>
    <row r="322156" spans="1:1" x14ac:dyDescent="0.25">
      <c r="A322156" s="1"/>
    </row>
    <row r="322157" spans="1:1" x14ac:dyDescent="0.25">
      <c r="A322157" s="1"/>
    </row>
    <row r="322158" spans="1:1" x14ac:dyDescent="0.25">
      <c r="A322158" s="1"/>
    </row>
    <row r="322159" spans="1:1" x14ac:dyDescent="0.25">
      <c r="A322159" s="1"/>
    </row>
    <row r="322160" spans="1:1" x14ac:dyDescent="0.25">
      <c r="A322160" s="1"/>
    </row>
    <row r="322161" spans="1:1" x14ac:dyDescent="0.25">
      <c r="A322161" s="1"/>
    </row>
    <row r="322162" spans="1:1" x14ac:dyDescent="0.25">
      <c r="A322162" s="1"/>
    </row>
    <row r="322163" spans="1:1" x14ac:dyDescent="0.25">
      <c r="A322163" s="1"/>
    </row>
    <row r="322164" spans="1:1" x14ac:dyDescent="0.25">
      <c r="A322164" s="1"/>
    </row>
    <row r="322165" spans="1:1" x14ac:dyDescent="0.25">
      <c r="A322165" s="1"/>
    </row>
    <row r="322166" spans="1:1" x14ac:dyDescent="0.25">
      <c r="A322166" s="1"/>
    </row>
    <row r="322167" spans="1:1" x14ac:dyDescent="0.25">
      <c r="A322167" s="1"/>
    </row>
    <row r="322168" spans="1:1" x14ac:dyDescent="0.25">
      <c r="A322168" s="1"/>
    </row>
    <row r="322169" spans="1:1" x14ac:dyDescent="0.25">
      <c r="A322169" s="1"/>
    </row>
    <row r="322170" spans="1:1" x14ac:dyDescent="0.25">
      <c r="A322170" s="1"/>
    </row>
    <row r="322171" spans="1:1" x14ac:dyDescent="0.25">
      <c r="A322171" s="1"/>
    </row>
    <row r="322172" spans="1:1" x14ac:dyDescent="0.25">
      <c r="A322172" s="1"/>
    </row>
    <row r="322173" spans="1:1" x14ac:dyDescent="0.25">
      <c r="A322173" s="1"/>
    </row>
    <row r="322174" spans="1:1" x14ac:dyDescent="0.25">
      <c r="A322174" s="1"/>
    </row>
    <row r="322175" spans="1:1" x14ac:dyDescent="0.25">
      <c r="A322175" s="1"/>
    </row>
    <row r="322176" spans="1:1" x14ac:dyDescent="0.25">
      <c r="A322176" s="1"/>
    </row>
    <row r="322177" spans="1:1" x14ac:dyDescent="0.25">
      <c r="A322177" s="1"/>
    </row>
    <row r="322178" spans="1:1" x14ac:dyDescent="0.25">
      <c r="A322178" s="1"/>
    </row>
    <row r="322179" spans="1:1" x14ac:dyDescent="0.25">
      <c r="A322179" s="1"/>
    </row>
    <row r="322180" spans="1:1" x14ac:dyDescent="0.25">
      <c r="A322180" s="1"/>
    </row>
    <row r="322181" spans="1:1" x14ac:dyDescent="0.25">
      <c r="A322181" s="1"/>
    </row>
    <row r="322182" spans="1:1" x14ac:dyDescent="0.25">
      <c r="A322182" s="1"/>
    </row>
    <row r="322183" spans="1:1" x14ac:dyDescent="0.25">
      <c r="A322183" s="1"/>
    </row>
    <row r="322184" spans="1:1" x14ac:dyDescent="0.25">
      <c r="A322184" s="1"/>
    </row>
    <row r="322185" spans="1:1" x14ac:dyDescent="0.25">
      <c r="A322185" s="1"/>
    </row>
    <row r="322186" spans="1:1" x14ac:dyDescent="0.25">
      <c r="A322186" s="1"/>
    </row>
    <row r="322187" spans="1:1" x14ac:dyDescent="0.25">
      <c r="A322187" s="1"/>
    </row>
    <row r="322188" spans="1:1" x14ac:dyDescent="0.25">
      <c r="A322188" s="1"/>
    </row>
    <row r="322189" spans="1:1" x14ac:dyDescent="0.25">
      <c r="A322189" s="1"/>
    </row>
    <row r="322190" spans="1:1" x14ac:dyDescent="0.25">
      <c r="A322190" s="1"/>
    </row>
    <row r="322191" spans="1:1" x14ac:dyDescent="0.25">
      <c r="A322191" s="1"/>
    </row>
    <row r="322192" spans="1:1" x14ac:dyDescent="0.25">
      <c r="A322192" s="1"/>
    </row>
    <row r="322193" spans="1:1" x14ac:dyDescent="0.25">
      <c r="A322193" s="1"/>
    </row>
    <row r="322194" spans="1:1" x14ac:dyDescent="0.25">
      <c r="A322194" s="1"/>
    </row>
    <row r="322195" spans="1:1" x14ac:dyDescent="0.25">
      <c r="A322195" s="1"/>
    </row>
    <row r="322196" spans="1:1" x14ac:dyDescent="0.25">
      <c r="A322196" s="1"/>
    </row>
    <row r="322197" spans="1:1" x14ac:dyDescent="0.25">
      <c r="A322197" s="1"/>
    </row>
    <row r="322198" spans="1:1" x14ac:dyDescent="0.25">
      <c r="A322198" s="1"/>
    </row>
    <row r="322199" spans="1:1" x14ac:dyDescent="0.25">
      <c r="A322199" s="1"/>
    </row>
    <row r="322200" spans="1:1" x14ac:dyDescent="0.25">
      <c r="A322200" s="1"/>
    </row>
    <row r="322201" spans="1:1" x14ac:dyDescent="0.25">
      <c r="A322201" s="1"/>
    </row>
    <row r="322202" spans="1:1" x14ac:dyDescent="0.25">
      <c r="A322202" s="1"/>
    </row>
    <row r="322203" spans="1:1" x14ac:dyDescent="0.25">
      <c r="A322203" s="1"/>
    </row>
    <row r="322204" spans="1:1" x14ac:dyDescent="0.25">
      <c r="A322204" s="1"/>
    </row>
    <row r="322205" spans="1:1" x14ac:dyDescent="0.25">
      <c r="A322205" s="1"/>
    </row>
    <row r="322206" spans="1:1" x14ac:dyDescent="0.25">
      <c r="A322206" s="1"/>
    </row>
    <row r="322207" spans="1:1" x14ac:dyDescent="0.25">
      <c r="A322207" s="1"/>
    </row>
    <row r="322208" spans="1:1" x14ac:dyDescent="0.25">
      <c r="A322208" s="1"/>
    </row>
    <row r="322209" spans="1:1" x14ac:dyDescent="0.25">
      <c r="A322209" s="1"/>
    </row>
    <row r="322210" spans="1:1" x14ac:dyDescent="0.25">
      <c r="A322210" s="1"/>
    </row>
    <row r="322211" spans="1:1" x14ac:dyDescent="0.25">
      <c r="A322211" s="1"/>
    </row>
    <row r="322212" spans="1:1" x14ac:dyDescent="0.25">
      <c r="A322212" s="1"/>
    </row>
    <row r="322213" spans="1:1" x14ac:dyDescent="0.25">
      <c r="A322213" s="1"/>
    </row>
    <row r="322214" spans="1:1" x14ac:dyDescent="0.25">
      <c r="A322214" s="1"/>
    </row>
    <row r="322215" spans="1:1" x14ac:dyDescent="0.25">
      <c r="A322215" s="1"/>
    </row>
    <row r="322216" spans="1:1" x14ac:dyDescent="0.25">
      <c r="A322216" s="1"/>
    </row>
    <row r="322217" spans="1:1" x14ac:dyDescent="0.25">
      <c r="A322217" s="1"/>
    </row>
    <row r="322218" spans="1:1" x14ac:dyDescent="0.25">
      <c r="A322218" s="1"/>
    </row>
    <row r="322219" spans="1:1" x14ac:dyDescent="0.25">
      <c r="A322219" s="1"/>
    </row>
    <row r="322220" spans="1:1" x14ac:dyDescent="0.25">
      <c r="A322220" s="1"/>
    </row>
    <row r="322221" spans="1:1" x14ac:dyDescent="0.25">
      <c r="A322221" s="1"/>
    </row>
    <row r="322222" spans="1:1" x14ac:dyDescent="0.25">
      <c r="A322222" s="1"/>
    </row>
    <row r="322223" spans="1:1" x14ac:dyDescent="0.25">
      <c r="A322223" s="1"/>
    </row>
    <row r="322224" spans="1:1" x14ac:dyDescent="0.25">
      <c r="A322224" s="1"/>
    </row>
    <row r="322225" spans="1:1" x14ac:dyDescent="0.25">
      <c r="A322225" s="1"/>
    </row>
    <row r="322226" spans="1:1" x14ac:dyDescent="0.25">
      <c r="A322226" s="1"/>
    </row>
    <row r="322227" spans="1:1" x14ac:dyDescent="0.25">
      <c r="A322227" s="1"/>
    </row>
    <row r="322228" spans="1:1" x14ac:dyDescent="0.25">
      <c r="A322228" s="1"/>
    </row>
    <row r="322229" spans="1:1" x14ac:dyDescent="0.25">
      <c r="A322229" s="1"/>
    </row>
    <row r="322230" spans="1:1" x14ac:dyDescent="0.25">
      <c r="A322230" s="1"/>
    </row>
    <row r="322231" spans="1:1" x14ac:dyDescent="0.25">
      <c r="A322231" s="1"/>
    </row>
    <row r="322232" spans="1:1" x14ac:dyDescent="0.25">
      <c r="A322232" s="1"/>
    </row>
    <row r="322233" spans="1:1" x14ac:dyDescent="0.25">
      <c r="A322233" s="1"/>
    </row>
    <row r="322234" spans="1:1" x14ac:dyDescent="0.25">
      <c r="A322234" s="1"/>
    </row>
    <row r="322235" spans="1:1" x14ac:dyDescent="0.25">
      <c r="A322235" s="1"/>
    </row>
    <row r="322236" spans="1:1" x14ac:dyDescent="0.25">
      <c r="A322236" s="1"/>
    </row>
    <row r="322237" spans="1:1" x14ac:dyDescent="0.25">
      <c r="A322237" s="1"/>
    </row>
    <row r="322238" spans="1:1" x14ac:dyDescent="0.25">
      <c r="A322238" s="1"/>
    </row>
    <row r="322239" spans="1:1" x14ac:dyDescent="0.25">
      <c r="A322239" s="1"/>
    </row>
    <row r="322240" spans="1:1" x14ac:dyDescent="0.25">
      <c r="A322240" s="1"/>
    </row>
    <row r="322241" spans="1:1" x14ac:dyDescent="0.25">
      <c r="A322241" s="1"/>
    </row>
    <row r="322242" spans="1:1" x14ac:dyDescent="0.25">
      <c r="A322242" s="1"/>
    </row>
    <row r="322243" spans="1:1" x14ac:dyDescent="0.25">
      <c r="A322243" s="1"/>
    </row>
    <row r="322244" spans="1:1" x14ac:dyDescent="0.25">
      <c r="A322244" s="1"/>
    </row>
    <row r="322245" spans="1:1" x14ac:dyDescent="0.25">
      <c r="A322245" s="1"/>
    </row>
    <row r="322246" spans="1:1" x14ac:dyDescent="0.25">
      <c r="A322246" s="1"/>
    </row>
    <row r="322247" spans="1:1" x14ac:dyDescent="0.25">
      <c r="A322247" s="1"/>
    </row>
    <row r="322248" spans="1:1" x14ac:dyDescent="0.25">
      <c r="A322248" s="1"/>
    </row>
    <row r="322249" spans="1:1" x14ac:dyDescent="0.25">
      <c r="A322249" s="1"/>
    </row>
    <row r="322250" spans="1:1" x14ac:dyDescent="0.25">
      <c r="A322250" s="1"/>
    </row>
    <row r="322251" spans="1:1" x14ac:dyDescent="0.25">
      <c r="A322251" s="1"/>
    </row>
    <row r="322252" spans="1:1" x14ac:dyDescent="0.25">
      <c r="A322252" s="1"/>
    </row>
    <row r="322253" spans="1:1" x14ac:dyDescent="0.25">
      <c r="A322253" s="1"/>
    </row>
    <row r="322254" spans="1:1" x14ac:dyDescent="0.25">
      <c r="A322254" s="1"/>
    </row>
    <row r="322255" spans="1:1" x14ac:dyDescent="0.25">
      <c r="A322255" s="1"/>
    </row>
    <row r="322256" spans="1:1" x14ac:dyDescent="0.25">
      <c r="A322256" s="1"/>
    </row>
    <row r="322257" spans="1:1" x14ac:dyDescent="0.25">
      <c r="A322257" s="1"/>
    </row>
    <row r="322258" spans="1:1" x14ac:dyDescent="0.25">
      <c r="A322258" s="1"/>
    </row>
    <row r="322259" spans="1:1" x14ac:dyDescent="0.25">
      <c r="A322259" s="1"/>
    </row>
    <row r="322260" spans="1:1" x14ac:dyDescent="0.25">
      <c r="A322260" s="1"/>
    </row>
    <row r="322261" spans="1:1" x14ac:dyDescent="0.25">
      <c r="A322261" s="1"/>
    </row>
    <row r="322262" spans="1:1" x14ac:dyDescent="0.25">
      <c r="A322262" s="1"/>
    </row>
    <row r="322263" spans="1:1" x14ac:dyDescent="0.25">
      <c r="A322263" s="1"/>
    </row>
    <row r="322264" spans="1:1" x14ac:dyDescent="0.25">
      <c r="A322264" s="1"/>
    </row>
    <row r="322265" spans="1:1" x14ac:dyDescent="0.25">
      <c r="A322265" s="1"/>
    </row>
    <row r="322266" spans="1:1" x14ac:dyDescent="0.25">
      <c r="A322266" s="1"/>
    </row>
    <row r="322267" spans="1:1" x14ac:dyDescent="0.25">
      <c r="A322267" s="1"/>
    </row>
    <row r="322268" spans="1:1" x14ac:dyDescent="0.25">
      <c r="A322268" s="1"/>
    </row>
    <row r="322269" spans="1:1" x14ac:dyDescent="0.25">
      <c r="A322269" s="1"/>
    </row>
    <row r="322270" spans="1:1" x14ac:dyDescent="0.25">
      <c r="A322270" s="1"/>
    </row>
    <row r="322271" spans="1:1" x14ac:dyDescent="0.25">
      <c r="A322271" s="1"/>
    </row>
    <row r="322272" spans="1:1" x14ac:dyDescent="0.25">
      <c r="A322272" s="1"/>
    </row>
    <row r="322273" spans="1:1" x14ac:dyDescent="0.25">
      <c r="A322273" s="1"/>
    </row>
    <row r="322274" spans="1:1" x14ac:dyDescent="0.25">
      <c r="A322274" s="1"/>
    </row>
    <row r="322275" spans="1:1" x14ac:dyDescent="0.25">
      <c r="A322275" s="1"/>
    </row>
    <row r="322276" spans="1:1" x14ac:dyDescent="0.25">
      <c r="A322276" s="1"/>
    </row>
    <row r="322277" spans="1:1" x14ac:dyDescent="0.25">
      <c r="A322277" s="1"/>
    </row>
    <row r="322278" spans="1:1" x14ac:dyDescent="0.25">
      <c r="A322278" s="1"/>
    </row>
    <row r="322279" spans="1:1" x14ac:dyDescent="0.25">
      <c r="A322279" s="1"/>
    </row>
    <row r="322280" spans="1:1" x14ac:dyDescent="0.25">
      <c r="A322280" s="1"/>
    </row>
    <row r="322281" spans="1:1" x14ac:dyDescent="0.25">
      <c r="A322281" s="1"/>
    </row>
    <row r="322282" spans="1:1" x14ac:dyDescent="0.25">
      <c r="A322282" s="1"/>
    </row>
    <row r="322283" spans="1:1" x14ac:dyDescent="0.25">
      <c r="A322283" s="1"/>
    </row>
    <row r="322284" spans="1:1" x14ac:dyDescent="0.25">
      <c r="A322284" s="1"/>
    </row>
    <row r="322285" spans="1:1" x14ac:dyDescent="0.25">
      <c r="A322285" s="1"/>
    </row>
    <row r="322286" spans="1:1" x14ac:dyDescent="0.25">
      <c r="A322286" s="1"/>
    </row>
    <row r="322287" spans="1:1" x14ac:dyDescent="0.25">
      <c r="A322287" s="1"/>
    </row>
    <row r="322288" spans="1:1" x14ac:dyDescent="0.25">
      <c r="A322288" s="1"/>
    </row>
    <row r="322289" spans="1:1" x14ac:dyDescent="0.25">
      <c r="A322289" s="1"/>
    </row>
    <row r="322290" spans="1:1" x14ac:dyDescent="0.25">
      <c r="A322290" s="1"/>
    </row>
    <row r="322291" spans="1:1" x14ac:dyDescent="0.25">
      <c r="A322291" s="1"/>
    </row>
    <row r="322292" spans="1:1" x14ac:dyDescent="0.25">
      <c r="A322292" s="1"/>
    </row>
    <row r="322293" spans="1:1" x14ac:dyDescent="0.25">
      <c r="A322293" s="1"/>
    </row>
    <row r="322294" spans="1:1" x14ac:dyDescent="0.25">
      <c r="A322294" s="1"/>
    </row>
    <row r="322295" spans="1:1" x14ac:dyDescent="0.25">
      <c r="A322295" s="1"/>
    </row>
    <row r="322296" spans="1:1" x14ac:dyDescent="0.25">
      <c r="A322296" s="1"/>
    </row>
    <row r="322297" spans="1:1" x14ac:dyDescent="0.25">
      <c r="A322297" s="1"/>
    </row>
    <row r="322298" spans="1:1" x14ac:dyDescent="0.25">
      <c r="A322298" s="1"/>
    </row>
    <row r="322299" spans="1:1" x14ac:dyDescent="0.25">
      <c r="A322299" s="1"/>
    </row>
    <row r="322300" spans="1:1" x14ac:dyDescent="0.25">
      <c r="A322300" s="1"/>
    </row>
    <row r="322301" spans="1:1" x14ac:dyDescent="0.25">
      <c r="A322301" s="1"/>
    </row>
    <row r="322302" spans="1:1" x14ac:dyDescent="0.25">
      <c r="A322302" s="1"/>
    </row>
    <row r="322303" spans="1:1" x14ac:dyDescent="0.25">
      <c r="A322303" s="1"/>
    </row>
    <row r="322304" spans="1:1" x14ac:dyDescent="0.25">
      <c r="A322304" s="1"/>
    </row>
    <row r="322305" spans="1:1" x14ac:dyDescent="0.25">
      <c r="A322305" s="1"/>
    </row>
    <row r="322306" spans="1:1" x14ac:dyDescent="0.25">
      <c r="A322306" s="1"/>
    </row>
    <row r="322307" spans="1:1" x14ac:dyDescent="0.25">
      <c r="A322307" s="1"/>
    </row>
    <row r="322308" spans="1:1" x14ac:dyDescent="0.25">
      <c r="A322308" s="1"/>
    </row>
    <row r="322309" spans="1:1" x14ac:dyDescent="0.25">
      <c r="A322309" s="1"/>
    </row>
    <row r="322310" spans="1:1" x14ac:dyDescent="0.25">
      <c r="A322310" s="1"/>
    </row>
    <row r="322311" spans="1:1" x14ac:dyDescent="0.25">
      <c r="A322311" s="1"/>
    </row>
    <row r="322312" spans="1:1" x14ac:dyDescent="0.25">
      <c r="A322312" s="1"/>
    </row>
    <row r="322313" spans="1:1" x14ac:dyDescent="0.25">
      <c r="A322313" s="1"/>
    </row>
    <row r="322314" spans="1:1" x14ac:dyDescent="0.25">
      <c r="A322314" s="1"/>
    </row>
    <row r="322315" spans="1:1" x14ac:dyDescent="0.25">
      <c r="A322315" s="1"/>
    </row>
    <row r="322316" spans="1:1" x14ac:dyDescent="0.25">
      <c r="A322316" s="1"/>
    </row>
    <row r="322317" spans="1:1" x14ac:dyDescent="0.25">
      <c r="A322317" s="1"/>
    </row>
    <row r="322318" spans="1:1" x14ac:dyDescent="0.25">
      <c r="A322318" s="1"/>
    </row>
    <row r="322319" spans="1:1" x14ac:dyDescent="0.25">
      <c r="A322319" s="1"/>
    </row>
    <row r="322320" spans="1:1" x14ac:dyDescent="0.25">
      <c r="A322320" s="1"/>
    </row>
    <row r="322321" spans="1:1" x14ac:dyDescent="0.25">
      <c r="A322321" s="1"/>
    </row>
    <row r="322322" spans="1:1" x14ac:dyDescent="0.25">
      <c r="A322322" s="1"/>
    </row>
    <row r="322323" spans="1:1" x14ac:dyDescent="0.25">
      <c r="A322323" s="1"/>
    </row>
    <row r="322324" spans="1:1" x14ac:dyDescent="0.25">
      <c r="A322324" s="1"/>
    </row>
    <row r="322325" spans="1:1" x14ac:dyDescent="0.25">
      <c r="A322325" s="1"/>
    </row>
    <row r="322326" spans="1:1" x14ac:dyDescent="0.25">
      <c r="A322326" s="1"/>
    </row>
    <row r="322327" spans="1:1" x14ac:dyDescent="0.25">
      <c r="A322327" s="1"/>
    </row>
    <row r="322328" spans="1:1" x14ac:dyDescent="0.25">
      <c r="A322328" s="1"/>
    </row>
    <row r="322329" spans="1:1" x14ac:dyDescent="0.25">
      <c r="A322329" s="1"/>
    </row>
    <row r="322330" spans="1:1" x14ac:dyDescent="0.25">
      <c r="A322330" s="1"/>
    </row>
    <row r="322331" spans="1:1" x14ac:dyDescent="0.25">
      <c r="A322331" s="1"/>
    </row>
    <row r="322332" spans="1:1" x14ac:dyDescent="0.25">
      <c r="A322332" s="1"/>
    </row>
    <row r="322333" spans="1:1" x14ac:dyDescent="0.25">
      <c r="A322333" s="1"/>
    </row>
    <row r="322334" spans="1:1" x14ac:dyDescent="0.25">
      <c r="A322334" s="1"/>
    </row>
    <row r="322335" spans="1:1" x14ac:dyDescent="0.25">
      <c r="A322335" s="1"/>
    </row>
    <row r="322336" spans="1:1" x14ac:dyDescent="0.25">
      <c r="A322336" s="1"/>
    </row>
    <row r="322337" spans="1:1" x14ac:dyDescent="0.25">
      <c r="A322337" s="1"/>
    </row>
    <row r="322338" spans="1:1" x14ac:dyDescent="0.25">
      <c r="A322338" s="1"/>
    </row>
    <row r="322339" spans="1:1" x14ac:dyDescent="0.25">
      <c r="A322339" s="1"/>
    </row>
    <row r="322340" spans="1:1" x14ac:dyDescent="0.25">
      <c r="A322340" s="1"/>
    </row>
    <row r="322341" spans="1:1" x14ac:dyDescent="0.25">
      <c r="A322341" s="1"/>
    </row>
    <row r="322342" spans="1:1" x14ac:dyDescent="0.25">
      <c r="A322342" s="1"/>
    </row>
    <row r="322343" spans="1:1" x14ac:dyDescent="0.25">
      <c r="A322343" s="1"/>
    </row>
    <row r="322344" spans="1:1" x14ac:dyDescent="0.25">
      <c r="A322344" s="1"/>
    </row>
    <row r="322345" spans="1:1" x14ac:dyDescent="0.25">
      <c r="A322345" s="1"/>
    </row>
    <row r="322346" spans="1:1" x14ac:dyDescent="0.25">
      <c r="A322346" s="1"/>
    </row>
    <row r="322347" spans="1:1" x14ac:dyDescent="0.25">
      <c r="A322347" s="1"/>
    </row>
    <row r="322348" spans="1:1" x14ac:dyDescent="0.25">
      <c r="A322348" s="1"/>
    </row>
    <row r="322349" spans="1:1" x14ac:dyDescent="0.25">
      <c r="A322349" s="1"/>
    </row>
    <row r="322350" spans="1:1" x14ac:dyDescent="0.25">
      <c r="A322350" s="1"/>
    </row>
    <row r="322351" spans="1:1" x14ac:dyDescent="0.25">
      <c r="A322351" s="1"/>
    </row>
    <row r="322352" spans="1:1" x14ac:dyDescent="0.25">
      <c r="A322352" s="1"/>
    </row>
    <row r="322353" spans="1:1" x14ac:dyDescent="0.25">
      <c r="A322353" s="1"/>
    </row>
    <row r="322354" spans="1:1" x14ac:dyDescent="0.25">
      <c r="A322354" s="1"/>
    </row>
    <row r="322355" spans="1:1" x14ac:dyDescent="0.25">
      <c r="A322355" s="1"/>
    </row>
    <row r="322356" spans="1:1" x14ac:dyDescent="0.25">
      <c r="A322356" s="1"/>
    </row>
    <row r="322357" spans="1:1" x14ac:dyDescent="0.25">
      <c r="A322357" s="1"/>
    </row>
    <row r="322358" spans="1:1" x14ac:dyDescent="0.25">
      <c r="A322358" s="1"/>
    </row>
    <row r="322359" spans="1:1" x14ac:dyDescent="0.25">
      <c r="A322359" s="1"/>
    </row>
    <row r="322360" spans="1:1" x14ac:dyDescent="0.25">
      <c r="A322360" s="1"/>
    </row>
    <row r="322361" spans="1:1" x14ac:dyDescent="0.25">
      <c r="A322361" s="1"/>
    </row>
    <row r="322362" spans="1:1" x14ac:dyDescent="0.25">
      <c r="A322362" s="1"/>
    </row>
    <row r="322363" spans="1:1" x14ac:dyDescent="0.25">
      <c r="A322363" s="1"/>
    </row>
    <row r="322364" spans="1:1" x14ac:dyDescent="0.25">
      <c r="A322364" s="1"/>
    </row>
    <row r="322365" spans="1:1" x14ac:dyDescent="0.25">
      <c r="A322365" s="1"/>
    </row>
    <row r="322366" spans="1:1" x14ac:dyDescent="0.25">
      <c r="A322366" s="1"/>
    </row>
    <row r="322367" spans="1:1" x14ac:dyDescent="0.25">
      <c r="A322367" s="1"/>
    </row>
    <row r="322368" spans="1:1" x14ac:dyDescent="0.25">
      <c r="A322368" s="1"/>
    </row>
    <row r="322369" spans="1:1" x14ac:dyDescent="0.25">
      <c r="A322369" s="1"/>
    </row>
    <row r="322370" spans="1:1" x14ac:dyDescent="0.25">
      <c r="A322370" s="1"/>
    </row>
    <row r="322371" spans="1:1" x14ac:dyDescent="0.25">
      <c r="A322371" s="1"/>
    </row>
    <row r="322372" spans="1:1" x14ac:dyDescent="0.25">
      <c r="A322372" s="1"/>
    </row>
    <row r="322373" spans="1:1" x14ac:dyDescent="0.25">
      <c r="A322373" s="1"/>
    </row>
    <row r="322374" spans="1:1" x14ac:dyDescent="0.25">
      <c r="A322374" s="1"/>
    </row>
    <row r="322375" spans="1:1" x14ac:dyDescent="0.25">
      <c r="A322375" s="1"/>
    </row>
    <row r="322376" spans="1:1" x14ac:dyDescent="0.25">
      <c r="A322376" s="1"/>
    </row>
    <row r="322377" spans="1:1" x14ac:dyDescent="0.25">
      <c r="A322377" s="1"/>
    </row>
    <row r="322378" spans="1:1" x14ac:dyDescent="0.25">
      <c r="A322378" s="1"/>
    </row>
    <row r="322379" spans="1:1" x14ac:dyDescent="0.25">
      <c r="A322379" s="1"/>
    </row>
    <row r="322380" spans="1:1" x14ac:dyDescent="0.25">
      <c r="A322380" s="1"/>
    </row>
    <row r="322381" spans="1:1" x14ac:dyDescent="0.25">
      <c r="A322381" s="1"/>
    </row>
    <row r="322382" spans="1:1" x14ac:dyDescent="0.25">
      <c r="A322382" s="1"/>
    </row>
    <row r="322383" spans="1:1" x14ac:dyDescent="0.25">
      <c r="A322383" s="1"/>
    </row>
    <row r="322384" spans="1:1" x14ac:dyDescent="0.25">
      <c r="A322384" s="1"/>
    </row>
    <row r="322385" spans="1:1" x14ac:dyDescent="0.25">
      <c r="A322385" s="1"/>
    </row>
    <row r="322386" spans="1:1" x14ac:dyDescent="0.25">
      <c r="A322386" s="1"/>
    </row>
    <row r="322387" spans="1:1" x14ac:dyDescent="0.25">
      <c r="A322387" s="1"/>
    </row>
    <row r="322388" spans="1:1" x14ac:dyDescent="0.25">
      <c r="A322388" s="1"/>
    </row>
    <row r="322389" spans="1:1" x14ac:dyDescent="0.25">
      <c r="A322389" s="1"/>
    </row>
    <row r="322390" spans="1:1" x14ac:dyDescent="0.25">
      <c r="A322390" s="1"/>
    </row>
    <row r="322391" spans="1:1" x14ac:dyDescent="0.25">
      <c r="A322391" s="1"/>
    </row>
    <row r="322392" spans="1:1" x14ac:dyDescent="0.25">
      <c r="A322392" s="1"/>
    </row>
    <row r="322393" spans="1:1" x14ac:dyDescent="0.25">
      <c r="A322393" s="1"/>
    </row>
    <row r="322394" spans="1:1" x14ac:dyDescent="0.25">
      <c r="A322394" s="1"/>
    </row>
    <row r="322395" spans="1:1" x14ac:dyDescent="0.25">
      <c r="A322395" s="1"/>
    </row>
    <row r="322396" spans="1:1" x14ac:dyDescent="0.25">
      <c r="A322396" s="1"/>
    </row>
    <row r="322397" spans="1:1" x14ac:dyDescent="0.25">
      <c r="A322397" s="1"/>
    </row>
    <row r="322398" spans="1:1" x14ac:dyDescent="0.25">
      <c r="A322398" s="1"/>
    </row>
    <row r="322399" spans="1:1" x14ac:dyDescent="0.25">
      <c r="A322399" s="1"/>
    </row>
    <row r="322400" spans="1:1" x14ac:dyDescent="0.25">
      <c r="A322400" s="1"/>
    </row>
    <row r="322401" spans="1:1" x14ac:dyDescent="0.25">
      <c r="A322401" s="1"/>
    </row>
    <row r="322402" spans="1:1" x14ac:dyDescent="0.25">
      <c r="A322402" s="1"/>
    </row>
    <row r="322403" spans="1:1" x14ac:dyDescent="0.25">
      <c r="A322403" s="1"/>
    </row>
    <row r="322404" spans="1:1" x14ac:dyDescent="0.25">
      <c r="A322404" s="1"/>
    </row>
    <row r="322405" spans="1:1" x14ac:dyDescent="0.25">
      <c r="A322405" s="1"/>
    </row>
    <row r="322406" spans="1:1" x14ac:dyDescent="0.25">
      <c r="A322406" s="1"/>
    </row>
    <row r="322407" spans="1:1" x14ac:dyDescent="0.25">
      <c r="A322407" s="1"/>
    </row>
    <row r="322408" spans="1:1" x14ac:dyDescent="0.25">
      <c r="A322408" s="1"/>
    </row>
    <row r="322409" spans="1:1" x14ac:dyDescent="0.25">
      <c r="A322409" s="1"/>
    </row>
    <row r="322410" spans="1:1" x14ac:dyDescent="0.25">
      <c r="A322410" s="1"/>
    </row>
    <row r="322411" spans="1:1" x14ac:dyDescent="0.25">
      <c r="A322411" s="1"/>
    </row>
    <row r="322412" spans="1:1" x14ac:dyDescent="0.25">
      <c r="A322412" s="1"/>
    </row>
    <row r="322413" spans="1:1" x14ac:dyDescent="0.25">
      <c r="A322413" s="1"/>
    </row>
    <row r="322414" spans="1:1" x14ac:dyDescent="0.25">
      <c r="A322414" s="1"/>
    </row>
    <row r="322415" spans="1:1" x14ac:dyDescent="0.25">
      <c r="A322415" s="1"/>
    </row>
    <row r="322416" spans="1:1" x14ac:dyDescent="0.25">
      <c r="A322416" s="1"/>
    </row>
    <row r="322417" spans="1:1" x14ac:dyDescent="0.25">
      <c r="A322417" s="1"/>
    </row>
    <row r="322418" spans="1:1" x14ac:dyDescent="0.25">
      <c r="A322418" s="1"/>
    </row>
    <row r="322419" spans="1:1" x14ac:dyDescent="0.25">
      <c r="A322419" s="1"/>
    </row>
    <row r="322420" spans="1:1" x14ac:dyDescent="0.25">
      <c r="A322420" s="1"/>
    </row>
    <row r="322421" spans="1:1" x14ac:dyDescent="0.25">
      <c r="A322421" s="1"/>
    </row>
    <row r="322422" spans="1:1" x14ac:dyDescent="0.25">
      <c r="A322422" s="1"/>
    </row>
    <row r="322423" spans="1:1" x14ac:dyDescent="0.25">
      <c r="A322423" s="1"/>
    </row>
    <row r="322424" spans="1:1" x14ac:dyDescent="0.25">
      <c r="A322424" s="1"/>
    </row>
    <row r="322425" spans="1:1" x14ac:dyDescent="0.25">
      <c r="A322425" s="1"/>
    </row>
    <row r="322426" spans="1:1" x14ac:dyDescent="0.25">
      <c r="A322426" s="1"/>
    </row>
    <row r="322427" spans="1:1" x14ac:dyDescent="0.25">
      <c r="A322427" s="1"/>
    </row>
    <row r="322428" spans="1:1" x14ac:dyDescent="0.25">
      <c r="A322428" s="1"/>
    </row>
    <row r="322429" spans="1:1" x14ac:dyDescent="0.25">
      <c r="A322429" s="1"/>
    </row>
    <row r="322430" spans="1:1" x14ac:dyDescent="0.25">
      <c r="A322430" s="1"/>
    </row>
    <row r="322431" spans="1:1" x14ac:dyDescent="0.25">
      <c r="A322431" s="1"/>
    </row>
    <row r="322432" spans="1:1" x14ac:dyDescent="0.25">
      <c r="A322432" s="1"/>
    </row>
    <row r="322433" spans="1:1" x14ac:dyDescent="0.25">
      <c r="A322433" s="1"/>
    </row>
    <row r="322434" spans="1:1" x14ac:dyDescent="0.25">
      <c r="A322434" s="1"/>
    </row>
    <row r="322435" spans="1:1" x14ac:dyDescent="0.25">
      <c r="A322435" s="1"/>
    </row>
    <row r="322436" spans="1:1" x14ac:dyDescent="0.25">
      <c r="A322436" s="1"/>
    </row>
    <row r="322437" spans="1:1" x14ac:dyDescent="0.25">
      <c r="A322437" s="1"/>
    </row>
    <row r="322438" spans="1:1" x14ac:dyDescent="0.25">
      <c r="A322438" s="1"/>
    </row>
    <row r="322439" spans="1:1" x14ac:dyDescent="0.25">
      <c r="A322439" s="1"/>
    </row>
    <row r="322440" spans="1:1" x14ac:dyDescent="0.25">
      <c r="A322440" s="1"/>
    </row>
    <row r="322441" spans="1:1" x14ac:dyDescent="0.25">
      <c r="A322441" s="1"/>
    </row>
    <row r="322442" spans="1:1" x14ac:dyDescent="0.25">
      <c r="A322442" s="1"/>
    </row>
    <row r="322443" spans="1:1" x14ac:dyDescent="0.25">
      <c r="A322443" s="1"/>
    </row>
    <row r="322444" spans="1:1" x14ac:dyDescent="0.25">
      <c r="A322444" s="1"/>
    </row>
    <row r="322445" spans="1:1" x14ac:dyDescent="0.25">
      <c r="A322445" s="1"/>
    </row>
    <row r="322446" spans="1:1" x14ac:dyDescent="0.25">
      <c r="A322446" s="1"/>
    </row>
    <row r="322447" spans="1:1" x14ac:dyDescent="0.25">
      <c r="A322447" s="1"/>
    </row>
    <row r="322448" spans="1:1" x14ac:dyDescent="0.25">
      <c r="A322448" s="1"/>
    </row>
    <row r="322449" spans="1:1" x14ac:dyDescent="0.25">
      <c r="A322449" s="1"/>
    </row>
    <row r="322450" spans="1:1" x14ac:dyDescent="0.25">
      <c r="A322450" s="1"/>
    </row>
    <row r="322451" spans="1:1" x14ac:dyDescent="0.25">
      <c r="A322451" s="1"/>
    </row>
    <row r="322452" spans="1:1" x14ac:dyDescent="0.25">
      <c r="A322452" s="1"/>
    </row>
    <row r="322453" spans="1:1" x14ac:dyDescent="0.25">
      <c r="A322453" s="1"/>
    </row>
    <row r="322454" spans="1:1" x14ac:dyDescent="0.25">
      <c r="A322454" s="1"/>
    </row>
    <row r="322455" spans="1:1" x14ac:dyDescent="0.25">
      <c r="A322455" s="1"/>
    </row>
    <row r="322456" spans="1:1" x14ac:dyDescent="0.25">
      <c r="A322456" s="1"/>
    </row>
    <row r="322457" spans="1:1" x14ac:dyDescent="0.25">
      <c r="A322457" s="1"/>
    </row>
    <row r="322458" spans="1:1" x14ac:dyDescent="0.25">
      <c r="A322458" s="1"/>
    </row>
    <row r="322459" spans="1:1" x14ac:dyDescent="0.25">
      <c r="A322459" s="1"/>
    </row>
    <row r="322460" spans="1:1" x14ac:dyDescent="0.25">
      <c r="A322460" s="1"/>
    </row>
    <row r="322461" spans="1:1" x14ac:dyDescent="0.25">
      <c r="A322461" s="1"/>
    </row>
    <row r="322462" spans="1:1" x14ac:dyDescent="0.25">
      <c r="A322462" s="1"/>
    </row>
    <row r="322463" spans="1:1" x14ac:dyDescent="0.25">
      <c r="A322463" s="1"/>
    </row>
    <row r="322464" spans="1:1" x14ac:dyDescent="0.25">
      <c r="A322464" s="1"/>
    </row>
    <row r="322465" spans="1:1" x14ac:dyDescent="0.25">
      <c r="A322465" s="1"/>
    </row>
    <row r="322466" spans="1:1" x14ac:dyDescent="0.25">
      <c r="A322466" s="1"/>
    </row>
    <row r="322467" spans="1:1" x14ac:dyDescent="0.25">
      <c r="A322467" s="1"/>
    </row>
    <row r="322468" spans="1:1" x14ac:dyDescent="0.25">
      <c r="A322468" s="1"/>
    </row>
    <row r="322469" spans="1:1" x14ac:dyDescent="0.25">
      <c r="A322469" s="1"/>
    </row>
    <row r="322470" spans="1:1" x14ac:dyDescent="0.25">
      <c r="A322470" s="1"/>
    </row>
    <row r="322471" spans="1:1" x14ac:dyDescent="0.25">
      <c r="A322471" s="1"/>
    </row>
    <row r="322472" spans="1:1" x14ac:dyDescent="0.25">
      <c r="A322472" s="1"/>
    </row>
    <row r="322473" spans="1:1" x14ac:dyDescent="0.25">
      <c r="A322473" s="1"/>
    </row>
    <row r="322474" spans="1:1" x14ac:dyDescent="0.25">
      <c r="A322474" s="1"/>
    </row>
    <row r="322475" spans="1:1" x14ac:dyDescent="0.25">
      <c r="A322475" s="1"/>
    </row>
    <row r="322476" spans="1:1" x14ac:dyDescent="0.25">
      <c r="A322476" s="1"/>
    </row>
    <row r="322477" spans="1:1" x14ac:dyDescent="0.25">
      <c r="A322477" s="1"/>
    </row>
    <row r="322478" spans="1:1" x14ac:dyDescent="0.25">
      <c r="A322478" s="1"/>
    </row>
    <row r="322479" spans="1:1" x14ac:dyDescent="0.25">
      <c r="A322479" s="1"/>
    </row>
    <row r="322480" spans="1:1" x14ac:dyDescent="0.25">
      <c r="A322480" s="1"/>
    </row>
    <row r="322481" spans="1:1" x14ac:dyDescent="0.25">
      <c r="A322481" s="1"/>
    </row>
    <row r="322482" spans="1:1" x14ac:dyDescent="0.25">
      <c r="A322482" s="1"/>
    </row>
    <row r="322483" spans="1:1" x14ac:dyDescent="0.25">
      <c r="A322483" s="1"/>
    </row>
    <row r="322484" spans="1:1" x14ac:dyDescent="0.25">
      <c r="A322484" s="1"/>
    </row>
    <row r="322485" spans="1:1" x14ac:dyDescent="0.25">
      <c r="A322485" s="1"/>
    </row>
    <row r="322486" spans="1:1" x14ac:dyDescent="0.25">
      <c r="A322486" s="1"/>
    </row>
    <row r="322487" spans="1:1" x14ac:dyDescent="0.25">
      <c r="A322487" s="1"/>
    </row>
    <row r="322488" spans="1:1" x14ac:dyDescent="0.25">
      <c r="A322488" s="1"/>
    </row>
    <row r="322489" spans="1:1" x14ac:dyDescent="0.25">
      <c r="A322489" s="1"/>
    </row>
    <row r="322490" spans="1:1" x14ac:dyDescent="0.25">
      <c r="A322490" s="1"/>
    </row>
    <row r="322491" spans="1:1" x14ac:dyDescent="0.25">
      <c r="A322491" s="1"/>
    </row>
    <row r="322492" spans="1:1" x14ac:dyDescent="0.25">
      <c r="A322492" s="1"/>
    </row>
    <row r="322493" spans="1:1" x14ac:dyDescent="0.25">
      <c r="A322493" s="1"/>
    </row>
    <row r="322494" spans="1:1" x14ac:dyDescent="0.25">
      <c r="A322494" s="1"/>
    </row>
    <row r="322495" spans="1:1" x14ac:dyDescent="0.25">
      <c r="A322495" s="1"/>
    </row>
    <row r="322496" spans="1:1" x14ac:dyDescent="0.25">
      <c r="A322496" s="1"/>
    </row>
    <row r="322497" spans="1:1" x14ac:dyDescent="0.25">
      <c r="A322497" s="1"/>
    </row>
    <row r="322498" spans="1:1" x14ac:dyDescent="0.25">
      <c r="A322498" s="1"/>
    </row>
    <row r="322499" spans="1:1" x14ac:dyDescent="0.25">
      <c r="A322499" s="1"/>
    </row>
    <row r="322500" spans="1:1" x14ac:dyDescent="0.25">
      <c r="A322500" s="1"/>
    </row>
    <row r="322501" spans="1:1" x14ac:dyDescent="0.25">
      <c r="A322501" s="1"/>
    </row>
    <row r="322502" spans="1:1" x14ac:dyDescent="0.25">
      <c r="A322502" s="1"/>
    </row>
    <row r="322503" spans="1:1" x14ac:dyDescent="0.25">
      <c r="A322503" s="1"/>
    </row>
    <row r="322504" spans="1:1" x14ac:dyDescent="0.25">
      <c r="A322504" s="1"/>
    </row>
    <row r="322505" spans="1:1" x14ac:dyDescent="0.25">
      <c r="A322505" s="1"/>
    </row>
    <row r="322506" spans="1:1" x14ac:dyDescent="0.25">
      <c r="A322506" s="1"/>
    </row>
    <row r="322507" spans="1:1" x14ac:dyDescent="0.25">
      <c r="A322507" s="1"/>
    </row>
    <row r="322508" spans="1:1" x14ac:dyDescent="0.25">
      <c r="A322508" s="1"/>
    </row>
    <row r="322509" spans="1:1" x14ac:dyDescent="0.25">
      <c r="A322509" s="1"/>
    </row>
    <row r="322510" spans="1:1" x14ac:dyDescent="0.25">
      <c r="A322510" s="1"/>
    </row>
    <row r="322511" spans="1:1" x14ac:dyDescent="0.25">
      <c r="A322511" s="1"/>
    </row>
    <row r="322512" spans="1:1" x14ac:dyDescent="0.25">
      <c r="A322512" s="1"/>
    </row>
    <row r="322513" spans="1:1" x14ac:dyDescent="0.25">
      <c r="A322513" s="1"/>
    </row>
    <row r="322514" spans="1:1" x14ac:dyDescent="0.25">
      <c r="A322514" s="1"/>
    </row>
    <row r="322515" spans="1:1" x14ac:dyDescent="0.25">
      <c r="A322515" s="1"/>
    </row>
    <row r="322516" spans="1:1" x14ac:dyDescent="0.25">
      <c r="A322516" s="1"/>
    </row>
    <row r="322517" spans="1:1" x14ac:dyDescent="0.25">
      <c r="A322517" s="1"/>
    </row>
    <row r="322518" spans="1:1" x14ac:dyDescent="0.25">
      <c r="A322518" s="1"/>
    </row>
    <row r="322519" spans="1:1" x14ac:dyDescent="0.25">
      <c r="A322519" s="1"/>
    </row>
    <row r="322520" spans="1:1" x14ac:dyDescent="0.25">
      <c r="A322520" s="1"/>
    </row>
    <row r="322521" spans="1:1" x14ac:dyDescent="0.25">
      <c r="A322521" s="1"/>
    </row>
    <row r="322522" spans="1:1" x14ac:dyDescent="0.25">
      <c r="A322522" s="1"/>
    </row>
    <row r="322523" spans="1:1" x14ac:dyDescent="0.25">
      <c r="A322523" s="1"/>
    </row>
    <row r="322524" spans="1:1" x14ac:dyDescent="0.25">
      <c r="A322524" s="1"/>
    </row>
    <row r="322525" spans="1:1" x14ac:dyDescent="0.25">
      <c r="A322525" s="1"/>
    </row>
    <row r="322526" spans="1:1" x14ac:dyDescent="0.25">
      <c r="A322526" s="1"/>
    </row>
    <row r="322527" spans="1:1" x14ac:dyDescent="0.25">
      <c r="A322527" s="1"/>
    </row>
    <row r="322528" spans="1:1" x14ac:dyDescent="0.25">
      <c r="A322528" s="1"/>
    </row>
    <row r="322529" spans="1:1" x14ac:dyDescent="0.25">
      <c r="A322529" s="1"/>
    </row>
    <row r="322530" spans="1:1" x14ac:dyDescent="0.25">
      <c r="A322530" s="1"/>
    </row>
    <row r="322531" spans="1:1" x14ac:dyDescent="0.25">
      <c r="A322531" s="1"/>
    </row>
    <row r="322532" spans="1:1" x14ac:dyDescent="0.25">
      <c r="A322532" s="1"/>
    </row>
    <row r="322533" spans="1:1" x14ac:dyDescent="0.25">
      <c r="A322533" s="1"/>
    </row>
    <row r="322534" spans="1:1" x14ac:dyDescent="0.25">
      <c r="A322534" s="1"/>
    </row>
    <row r="322535" spans="1:1" x14ac:dyDescent="0.25">
      <c r="A322535" s="1"/>
    </row>
    <row r="322536" spans="1:1" x14ac:dyDescent="0.25">
      <c r="A322536" s="1"/>
    </row>
    <row r="322537" spans="1:1" x14ac:dyDescent="0.25">
      <c r="A322537" s="1"/>
    </row>
    <row r="322538" spans="1:1" x14ac:dyDescent="0.25">
      <c r="A322538" s="1"/>
    </row>
    <row r="322539" spans="1:1" x14ac:dyDescent="0.25">
      <c r="A322539" s="1"/>
    </row>
    <row r="322540" spans="1:1" x14ac:dyDescent="0.25">
      <c r="A322540" s="1"/>
    </row>
    <row r="322541" spans="1:1" x14ac:dyDescent="0.25">
      <c r="A322541" s="1"/>
    </row>
    <row r="322542" spans="1:1" x14ac:dyDescent="0.25">
      <c r="A322542" s="1"/>
    </row>
    <row r="322543" spans="1:1" x14ac:dyDescent="0.25">
      <c r="A322543" s="1"/>
    </row>
    <row r="322544" spans="1:1" x14ac:dyDescent="0.25">
      <c r="A322544" s="1"/>
    </row>
    <row r="322545" spans="1:1" x14ac:dyDescent="0.25">
      <c r="A322545" s="1"/>
    </row>
    <row r="322546" spans="1:1" x14ac:dyDescent="0.25">
      <c r="A322546" s="1"/>
    </row>
    <row r="322547" spans="1:1" x14ac:dyDescent="0.25">
      <c r="A322547" s="1"/>
    </row>
    <row r="322548" spans="1:1" x14ac:dyDescent="0.25">
      <c r="A322548" s="1"/>
    </row>
    <row r="322549" spans="1:1" x14ac:dyDescent="0.25">
      <c r="A322549" s="1"/>
    </row>
    <row r="322550" spans="1:1" x14ac:dyDescent="0.25">
      <c r="A322550" s="1"/>
    </row>
    <row r="322551" spans="1:1" x14ac:dyDescent="0.25">
      <c r="A322551" s="1"/>
    </row>
    <row r="322552" spans="1:1" x14ac:dyDescent="0.25">
      <c r="A322552" s="1"/>
    </row>
    <row r="322553" spans="1:1" x14ac:dyDescent="0.25">
      <c r="A322553" s="1"/>
    </row>
    <row r="322554" spans="1:1" x14ac:dyDescent="0.25">
      <c r="A322554" s="1"/>
    </row>
    <row r="322555" spans="1:1" x14ac:dyDescent="0.25">
      <c r="A322555" s="1"/>
    </row>
    <row r="322556" spans="1:1" x14ac:dyDescent="0.25">
      <c r="A322556" s="1"/>
    </row>
    <row r="322557" spans="1:1" x14ac:dyDescent="0.25">
      <c r="A322557" s="1"/>
    </row>
    <row r="322558" spans="1:1" x14ac:dyDescent="0.25">
      <c r="A322558" s="1"/>
    </row>
    <row r="322559" spans="1:1" x14ac:dyDescent="0.25">
      <c r="A322559" s="1"/>
    </row>
    <row r="322560" spans="1:1" x14ac:dyDescent="0.25">
      <c r="A322560" s="1"/>
    </row>
    <row r="322561" spans="1:1" x14ac:dyDescent="0.25">
      <c r="A322561" s="1"/>
    </row>
    <row r="322562" spans="1:1" x14ac:dyDescent="0.25">
      <c r="A322562" s="1"/>
    </row>
    <row r="322563" spans="1:1" x14ac:dyDescent="0.25">
      <c r="A322563" s="1"/>
    </row>
    <row r="322564" spans="1:1" x14ac:dyDescent="0.25">
      <c r="A322564" s="1"/>
    </row>
    <row r="322565" spans="1:1" x14ac:dyDescent="0.25">
      <c r="A322565" s="1"/>
    </row>
    <row r="322566" spans="1:1" x14ac:dyDescent="0.25">
      <c r="A322566" s="1"/>
    </row>
    <row r="322567" spans="1:1" x14ac:dyDescent="0.25">
      <c r="A322567" s="1"/>
    </row>
    <row r="322568" spans="1:1" x14ac:dyDescent="0.25">
      <c r="A322568" s="1"/>
    </row>
    <row r="322569" spans="1:1" x14ac:dyDescent="0.25">
      <c r="A322569" s="1"/>
    </row>
    <row r="322570" spans="1:1" x14ac:dyDescent="0.25">
      <c r="A322570" s="1"/>
    </row>
    <row r="322571" spans="1:1" x14ac:dyDescent="0.25">
      <c r="A322571" s="1"/>
    </row>
    <row r="322572" spans="1:1" x14ac:dyDescent="0.25">
      <c r="A322572" s="1"/>
    </row>
    <row r="322573" spans="1:1" x14ac:dyDescent="0.25">
      <c r="A322573" s="1"/>
    </row>
    <row r="322574" spans="1:1" x14ac:dyDescent="0.25">
      <c r="A322574" s="1"/>
    </row>
    <row r="322575" spans="1:1" x14ac:dyDescent="0.25">
      <c r="A322575" s="1"/>
    </row>
    <row r="322576" spans="1:1" x14ac:dyDescent="0.25">
      <c r="A322576" s="1"/>
    </row>
    <row r="322577" spans="1:1" x14ac:dyDescent="0.25">
      <c r="A322577" s="1"/>
    </row>
    <row r="322578" spans="1:1" x14ac:dyDescent="0.25">
      <c r="A322578" s="1"/>
    </row>
    <row r="322579" spans="1:1" x14ac:dyDescent="0.25">
      <c r="A322579" s="1"/>
    </row>
    <row r="322580" spans="1:1" x14ac:dyDescent="0.25">
      <c r="A322580" s="1"/>
    </row>
    <row r="322581" spans="1:1" x14ac:dyDescent="0.25">
      <c r="A322581" s="1"/>
    </row>
    <row r="322582" spans="1:1" x14ac:dyDescent="0.25">
      <c r="A322582" s="1"/>
    </row>
    <row r="322583" spans="1:1" x14ac:dyDescent="0.25">
      <c r="A322583" s="1"/>
    </row>
    <row r="322584" spans="1:1" x14ac:dyDescent="0.25">
      <c r="A322584" s="1"/>
    </row>
    <row r="322585" spans="1:1" x14ac:dyDescent="0.25">
      <c r="A322585" s="1"/>
    </row>
    <row r="322586" spans="1:1" x14ac:dyDescent="0.25">
      <c r="A322586" s="1"/>
    </row>
    <row r="322587" spans="1:1" x14ac:dyDescent="0.25">
      <c r="A322587" s="1"/>
    </row>
    <row r="322588" spans="1:1" x14ac:dyDescent="0.25">
      <c r="A322588" s="1"/>
    </row>
    <row r="322589" spans="1:1" x14ac:dyDescent="0.25">
      <c r="A322589" s="1"/>
    </row>
    <row r="322590" spans="1:1" x14ac:dyDescent="0.25">
      <c r="A322590" s="1"/>
    </row>
    <row r="322591" spans="1:1" x14ac:dyDescent="0.25">
      <c r="A322591" s="1"/>
    </row>
    <row r="322592" spans="1:1" x14ac:dyDescent="0.25">
      <c r="A322592" s="1"/>
    </row>
    <row r="322593" spans="1:1" x14ac:dyDescent="0.25">
      <c r="A322593" s="1"/>
    </row>
    <row r="322594" spans="1:1" x14ac:dyDescent="0.25">
      <c r="A322594" s="1"/>
    </row>
    <row r="322595" spans="1:1" x14ac:dyDescent="0.25">
      <c r="A322595" s="1"/>
    </row>
    <row r="322596" spans="1:1" x14ac:dyDescent="0.25">
      <c r="A322596" s="1"/>
    </row>
    <row r="322597" spans="1:1" x14ac:dyDescent="0.25">
      <c r="A322597" s="1"/>
    </row>
    <row r="322598" spans="1:1" x14ac:dyDescent="0.25">
      <c r="A322598" s="1"/>
    </row>
    <row r="322599" spans="1:1" x14ac:dyDescent="0.25">
      <c r="A322599" s="1"/>
    </row>
    <row r="322600" spans="1:1" x14ac:dyDescent="0.25">
      <c r="A322600" s="1"/>
    </row>
    <row r="322601" spans="1:1" x14ac:dyDescent="0.25">
      <c r="A322601" s="1"/>
    </row>
    <row r="322602" spans="1:1" x14ac:dyDescent="0.25">
      <c r="A322602" s="1"/>
    </row>
    <row r="322603" spans="1:1" x14ac:dyDescent="0.25">
      <c r="A322603" s="1"/>
    </row>
    <row r="322604" spans="1:1" x14ac:dyDescent="0.25">
      <c r="A322604" s="1"/>
    </row>
    <row r="322605" spans="1:1" x14ac:dyDescent="0.25">
      <c r="A322605" s="1"/>
    </row>
    <row r="322606" spans="1:1" x14ac:dyDescent="0.25">
      <c r="A322606" s="1"/>
    </row>
    <row r="322607" spans="1:1" x14ac:dyDescent="0.25">
      <c r="A322607" s="1"/>
    </row>
    <row r="322608" spans="1:1" x14ac:dyDescent="0.25">
      <c r="A322608" s="1"/>
    </row>
    <row r="322609" spans="1:1" x14ac:dyDescent="0.25">
      <c r="A322609" s="1"/>
    </row>
    <row r="322610" spans="1:1" x14ac:dyDescent="0.25">
      <c r="A322610" s="1"/>
    </row>
    <row r="322611" spans="1:1" x14ac:dyDescent="0.25">
      <c r="A322611" s="1"/>
    </row>
    <row r="322612" spans="1:1" x14ac:dyDescent="0.25">
      <c r="A322612" s="1"/>
    </row>
    <row r="322613" spans="1:1" x14ac:dyDescent="0.25">
      <c r="A322613" s="1"/>
    </row>
    <row r="322614" spans="1:1" x14ac:dyDescent="0.25">
      <c r="A322614" s="1"/>
    </row>
    <row r="322615" spans="1:1" x14ac:dyDescent="0.25">
      <c r="A322615" s="1"/>
    </row>
    <row r="322616" spans="1:1" x14ac:dyDescent="0.25">
      <c r="A322616" s="1"/>
    </row>
    <row r="322617" spans="1:1" x14ac:dyDescent="0.25">
      <c r="A322617" s="1"/>
    </row>
    <row r="322618" spans="1:1" x14ac:dyDescent="0.25">
      <c r="A322618" s="1"/>
    </row>
    <row r="322619" spans="1:1" x14ac:dyDescent="0.25">
      <c r="A322619" s="1"/>
    </row>
    <row r="322620" spans="1:1" x14ac:dyDescent="0.25">
      <c r="A322620" s="1"/>
    </row>
    <row r="322621" spans="1:1" x14ac:dyDescent="0.25">
      <c r="A322621" s="1"/>
    </row>
    <row r="322622" spans="1:1" x14ac:dyDescent="0.25">
      <c r="A322622" s="1"/>
    </row>
    <row r="322623" spans="1:1" x14ac:dyDescent="0.25">
      <c r="A322623" s="1"/>
    </row>
    <row r="322624" spans="1:1" x14ac:dyDescent="0.25">
      <c r="A322624" s="1"/>
    </row>
    <row r="322625" spans="1:1" x14ac:dyDescent="0.25">
      <c r="A322625" s="1"/>
    </row>
    <row r="322626" spans="1:1" x14ac:dyDescent="0.25">
      <c r="A322626" s="1"/>
    </row>
    <row r="322627" spans="1:1" x14ac:dyDescent="0.25">
      <c r="A322627" s="1"/>
    </row>
    <row r="322628" spans="1:1" x14ac:dyDescent="0.25">
      <c r="A322628" s="1"/>
    </row>
    <row r="322629" spans="1:1" x14ac:dyDescent="0.25">
      <c r="A322629" s="1"/>
    </row>
    <row r="322630" spans="1:1" x14ac:dyDescent="0.25">
      <c r="A322630" s="1"/>
    </row>
    <row r="322631" spans="1:1" x14ac:dyDescent="0.25">
      <c r="A322631" s="1"/>
    </row>
    <row r="322632" spans="1:1" x14ac:dyDescent="0.25">
      <c r="A322632" s="1"/>
    </row>
    <row r="322633" spans="1:1" x14ac:dyDescent="0.25">
      <c r="A322633" s="1"/>
    </row>
    <row r="322634" spans="1:1" x14ac:dyDescent="0.25">
      <c r="A322634" s="1"/>
    </row>
    <row r="322635" spans="1:1" x14ac:dyDescent="0.25">
      <c r="A322635" s="1"/>
    </row>
    <row r="322636" spans="1:1" x14ac:dyDescent="0.25">
      <c r="A322636" s="1"/>
    </row>
    <row r="322637" spans="1:1" x14ac:dyDescent="0.25">
      <c r="A322637" s="1"/>
    </row>
    <row r="322638" spans="1:1" x14ac:dyDescent="0.25">
      <c r="A322638" s="1"/>
    </row>
    <row r="322639" spans="1:1" x14ac:dyDescent="0.25">
      <c r="A322639" s="1"/>
    </row>
    <row r="322640" spans="1:1" x14ac:dyDescent="0.25">
      <c r="A322640" s="1"/>
    </row>
    <row r="322641" spans="1:1" x14ac:dyDescent="0.25">
      <c r="A322641" s="1"/>
    </row>
    <row r="322642" spans="1:1" x14ac:dyDescent="0.25">
      <c r="A322642" s="1"/>
    </row>
    <row r="322643" spans="1:1" x14ac:dyDescent="0.25">
      <c r="A322643" s="1"/>
    </row>
    <row r="322644" spans="1:1" x14ac:dyDescent="0.25">
      <c r="A322644" s="1"/>
    </row>
    <row r="322645" spans="1:1" x14ac:dyDescent="0.25">
      <c r="A322645" s="1"/>
    </row>
    <row r="322646" spans="1:1" x14ac:dyDescent="0.25">
      <c r="A322646" s="1"/>
    </row>
    <row r="322647" spans="1:1" x14ac:dyDescent="0.25">
      <c r="A322647" s="1"/>
    </row>
    <row r="322648" spans="1:1" x14ac:dyDescent="0.25">
      <c r="A322648" s="1"/>
    </row>
    <row r="322649" spans="1:1" x14ac:dyDescent="0.25">
      <c r="A322649" s="1"/>
    </row>
    <row r="322650" spans="1:1" x14ac:dyDescent="0.25">
      <c r="A322650" s="1"/>
    </row>
    <row r="322651" spans="1:1" x14ac:dyDescent="0.25">
      <c r="A322651" s="1"/>
    </row>
    <row r="322652" spans="1:1" x14ac:dyDescent="0.25">
      <c r="A322652" s="1"/>
    </row>
    <row r="322653" spans="1:1" x14ac:dyDescent="0.25">
      <c r="A322653" s="1"/>
    </row>
    <row r="322654" spans="1:1" x14ac:dyDescent="0.25">
      <c r="A322654" s="1"/>
    </row>
    <row r="322655" spans="1:1" x14ac:dyDescent="0.25">
      <c r="A322655" s="1"/>
    </row>
    <row r="322656" spans="1:1" x14ac:dyDescent="0.25">
      <c r="A322656" s="1"/>
    </row>
    <row r="322657" spans="1:1" x14ac:dyDescent="0.25">
      <c r="A322657" s="1"/>
    </row>
    <row r="322658" spans="1:1" x14ac:dyDescent="0.25">
      <c r="A322658" s="1"/>
    </row>
    <row r="322659" spans="1:1" x14ac:dyDescent="0.25">
      <c r="A322659" s="1"/>
    </row>
    <row r="322660" spans="1:1" x14ac:dyDescent="0.25">
      <c r="A322660" s="1"/>
    </row>
    <row r="322661" spans="1:1" x14ac:dyDescent="0.25">
      <c r="A322661" s="1"/>
    </row>
    <row r="322662" spans="1:1" x14ac:dyDescent="0.25">
      <c r="A322662" s="1"/>
    </row>
    <row r="322663" spans="1:1" x14ac:dyDescent="0.25">
      <c r="A322663" s="1"/>
    </row>
    <row r="322664" spans="1:1" x14ac:dyDescent="0.25">
      <c r="A322664" s="1"/>
    </row>
    <row r="322665" spans="1:1" x14ac:dyDescent="0.25">
      <c r="A322665" s="1"/>
    </row>
    <row r="322666" spans="1:1" x14ac:dyDescent="0.25">
      <c r="A322666" s="1"/>
    </row>
    <row r="322667" spans="1:1" x14ac:dyDescent="0.25">
      <c r="A322667" s="1"/>
    </row>
    <row r="322668" spans="1:1" x14ac:dyDescent="0.25">
      <c r="A322668" s="1"/>
    </row>
    <row r="322669" spans="1:1" x14ac:dyDescent="0.25">
      <c r="A322669" s="1"/>
    </row>
    <row r="322670" spans="1:1" x14ac:dyDescent="0.25">
      <c r="A322670" s="1"/>
    </row>
    <row r="322671" spans="1:1" x14ac:dyDescent="0.25">
      <c r="A322671" s="1"/>
    </row>
    <row r="322672" spans="1:1" x14ac:dyDescent="0.25">
      <c r="A322672" s="1"/>
    </row>
    <row r="322673" spans="1:1" x14ac:dyDescent="0.25">
      <c r="A322673" s="1"/>
    </row>
    <row r="322674" spans="1:1" x14ac:dyDescent="0.25">
      <c r="A322674" s="1"/>
    </row>
    <row r="322675" spans="1:1" x14ac:dyDescent="0.25">
      <c r="A322675" s="1"/>
    </row>
    <row r="322676" spans="1:1" x14ac:dyDescent="0.25">
      <c r="A322676" s="1"/>
    </row>
    <row r="322677" spans="1:1" x14ac:dyDescent="0.25">
      <c r="A322677" s="1"/>
    </row>
    <row r="322678" spans="1:1" x14ac:dyDescent="0.25">
      <c r="A322678" s="1"/>
    </row>
    <row r="322679" spans="1:1" x14ac:dyDescent="0.25">
      <c r="A322679" s="1"/>
    </row>
    <row r="322680" spans="1:1" x14ac:dyDescent="0.25">
      <c r="A322680" s="1"/>
    </row>
    <row r="322681" spans="1:1" x14ac:dyDescent="0.25">
      <c r="A322681" s="1"/>
    </row>
    <row r="322682" spans="1:1" x14ac:dyDescent="0.25">
      <c r="A322682" s="1"/>
    </row>
    <row r="322683" spans="1:1" x14ac:dyDescent="0.25">
      <c r="A322683" s="1"/>
    </row>
    <row r="322684" spans="1:1" x14ac:dyDescent="0.25">
      <c r="A322684" s="1"/>
    </row>
    <row r="322685" spans="1:1" x14ac:dyDescent="0.25">
      <c r="A322685" s="1"/>
    </row>
    <row r="322686" spans="1:1" x14ac:dyDescent="0.25">
      <c r="A322686" s="1"/>
    </row>
    <row r="322687" spans="1:1" x14ac:dyDescent="0.25">
      <c r="A322687" s="1"/>
    </row>
    <row r="322688" spans="1:1" x14ac:dyDescent="0.25">
      <c r="A322688" s="1"/>
    </row>
    <row r="322689" spans="1:1" x14ac:dyDescent="0.25">
      <c r="A322689" s="1"/>
    </row>
    <row r="322690" spans="1:1" x14ac:dyDescent="0.25">
      <c r="A322690" s="1"/>
    </row>
    <row r="322691" spans="1:1" x14ac:dyDescent="0.25">
      <c r="A322691" s="1"/>
    </row>
    <row r="322692" spans="1:1" x14ac:dyDescent="0.25">
      <c r="A322692" s="1"/>
    </row>
    <row r="322693" spans="1:1" x14ac:dyDescent="0.25">
      <c r="A322693" s="1"/>
    </row>
    <row r="322694" spans="1:1" x14ac:dyDescent="0.25">
      <c r="A322694" s="1"/>
    </row>
    <row r="322695" spans="1:1" x14ac:dyDescent="0.25">
      <c r="A322695" s="1"/>
    </row>
    <row r="322696" spans="1:1" x14ac:dyDescent="0.25">
      <c r="A322696" s="1"/>
    </row>
    <row r="322697" spans="1:1" x14ac:dyDescent="0.25">
      <c r="A322697" s="1"/>
    </row>
    <row r="322698" spans="1:1" x14ac:dyDescent="0.25">
      <c r="A322698" s="1"/>
    </row>
    <row r="322699" spans="1:1" x14ac:dyDescent="0.25">
      <c r="A322699" s="1"/>
    </row>
    <row r="322700" spans="1:1" x14ac:dyDescent="0.25">
      <c r="A322700" s="1"/>
    </row>
    <row r="322701" spans="1:1" x14ac:dyDescent="0.25">
      <c r="A322701" s="1"/>
    </row>
    <row r="322702" spans="1:1" x14ac:dyDescent="0.25">
      <c r="A322702" s="1"/>
    </row>
    <row r="322703" spans="1:1" x14ac:dyDescent="0.25">
      <c r="A322703" s="1"/>
    </row>
    <row r="322704" spans="1:1" x14ac:dyDescent="0.25">
      <c r="A322704" s="1"/>
    </row>
    <row r="322705" spans="1:1" x14ac:dyDescent="0.25">
      <c r="A322705" s="1"/>
    </row>
    <row r="322706" spans="1:1" x14ac:dyDescent="0.25">
      <c r="A322706" s="1"/>
    </row>
    <row r="322707" spans="1:1" x14ac:dyDescent="0.25">
      <c r="A322707" s="1"/>
    </row>
    <row r="322708" spans="1:1" x14ac:dyDescent="0.25">
      <c r="A322708" s="1"/>
    </row>
    <row r="322709" spans="1:1" x14ac:dyDescent="0.25">
      <c r="A322709" s="1"/>
    </row>
    <row r="322710" spans="1:1" x14ac:dyDescent="0.25">
      <c r="A322710" s="1"/>
    </row>
    <row r="322711" spans="1:1" x14ac:dyDescent="0.25">
      <c r="A322711" s="1"/>
    </row>
    <row r="322712" spans="1:1" x14ac:dyDescent="0.25">
      <c r="A322712" s="1"/>
    </row>
    <row r="322713" spans="1:1" x14ac:dyDescent="0.25">
      <c r="A322713" s="1"/>
    </row>
    <row r="322714" spans="1:1" x14ac:dyDescent="0.25">
      <c r="A322714" s="1"/>
    </row>
    <row r="322715" spans="1:1" x14ac:dyDescent="0.25">
      <c r="A322715" s="1"/>
    </row>
    <row r="322716" spans="1:1" x14ac:dyDescent="0.25">
      <c r="A322716" s="1"/>
    </row>
    <row r="322717" spans="1:1" x14ac:dyDescent="0.25">
      <c r="A322717" s="1"/>
    </row>
    <row r="322718" spans="1:1" x14ac:dyDescent="0.25">
      <c r="A322718" s="1"/>
    </row>
    <row r="322719" spans="1:1" x14ac:dyDescent="0.25">
      <c r="A322719" s="1"/>
    </row>
    <row r="322720" spans="1:1" x14ac:dyDescent="0.25">
      <c r="A322720" s="1"/>
    </row>
    <row r="322721" spans="1:1" x14ac:dyDescent="0.25">
      <c r="A322721" s="1"/>
    </row>
    <row r="322722" spans="1:1" x14ac:dyDescent="0.25">
      <c r="A322722" s="1"/>
    </row>
    <row r="322723" spans="1:1" x14ac:dyDescent="0.25">
      <c r="A322723" s="1"/>
    </row>
    <row r="322724" spans="1:1" x14ac:dyDescent="0.25">
      <c r="A322724" s="1"/>
    </row>
    <row r="322725" spans="1:1" x14ac:dyDescent="0.25">
      <c r="A322725" s="1"/>
    </row>
    <row r="322726" spans="1:1" x14ac:dyDescent="0.25">
      <c r="A322726" s="1"/>
    </row>
    <row r="322727" spans="1:1" x14ac:dyDescent="0.25">
      <c r="A322727" s="1"/>
    </row>
    <row r="322728" spans="1:1" x14ac:dyDescent="0.25">
      <c r="A322728" s="1"/>
    </row>
    <row r="322729" spans="1:1" x14ac:dyDescent="0.25">
      <c r="A322729" s="1"/>
    </row>
    <row r="322730" spans="1:1" x14ac:dyDescent="0.25">
      <c r="A322730" s="1"/>
    </row>
    <row r="322731" spans="1:1" x14ac:dyDescent="0.25">
      <c r="A322731" s="1"/>
    </row>
    <row r="322732" spans="1:1" x14ac:dyDescent="0.25">
      <c r="A322732" s="1"/>
    </row>
    <row r="322733" spans="1:1" x14ac:dyDescent="0.25">
      <c r="A322733" s="1"/>
    </row>
    <row r="322734" spans="1:1" x14ac:dyDescent="0.25">
      <c r="A322734" s="1"/>
    </row>
    <row r="322735" spans="1:1" x14ac:dyDescent="0.25">
      <c r="A322735" s="1"/>
    </row>
    <row r="322736" spans="1:1" x14ac:dyDescent="0.25">
      <c r="A322736" s="1"/>
    </row>
    <row r="322737" spans="1:1" x14ac:dyDescent="0.25">
      <c r="A322737" s="1"/>
    </row>
    <row r="322738" spans="1:1" x14ac:dyDescent="0.25">
      <c r="A322738" s="1"/>
    </row>
    <row r="322739" spans="1:1" x14ac:dyDescent="0.25">
      <c r="A322739" s="1"/>
    </row>
    <row r="322740" spans="1:1" x14ac:dyDescent="0.25">
      <c r="A322740" s="1"/>
    </row>
    <row r="322741" spans="1:1" x14ac:dyDescent="0.25">
      <c r="A322741" s="1"/>
    </row>
    <row r="322742" spans="1:1" x14ac:dyDescent="0.25">
      <c r="A322742" s="1"/>
    </row>
    <row r="322743" spans="1:1" x14ac:dyDescent="0.25">
      <c r="A322743" s="1"/>
    </row>
    <row r="322744" spans="1:1" x14ac:dyDescent="0.25">
      <c r="A322744" s="1"/>
    </row>
    <row r="322745" spans="1:1" x14ac:dyDescent="0.25">
      <c r="A322745" s="1"/>
    </row>
    <row r="322746" spans="1:1" x14ac:dyDescent="0.25">
      <c r="A322746" s="1"/>
    </row>
    <row r="322747" spans="1:1" x14ac:dyDescent="0.25">
      <c r="A322747" s="1"/>
    </row>
    <row r="322748" spans="1:1" x14ac:dyDescent="0.25">
      <c r="A322748" s="1"/>
    </row>
    <row r="322749" spans="1:1" x14ac:dyDescent="0.25">
      <c r="A322749" s="1"/>
    </row>
    <row r="322750" spans="1:1" x14ac:dyDescent="0.25">
      <c r="A322750" s="1"/>
    </row>
    <row r="322751" spans="1:1" x14ac:dyDescent="0.25">
      <c r="A322751" s="1"/>
    </row>
    <row r="322752" spans="1:1" x14ac:dyDescent="0.25">
      <c r="A322752" s="1"/>
    </row>
    <row r="322753" spans="1:1" x14ac:dyDescent="0.25">
      <c r="A322753" s="1"/>
    </row>
    <row r="322754" spans="1:1" x14ac:dyDescent="0.25">
      <c r="A322754" s="1"/>
    </row>
    <row r="322755" spans="1:1" x14ac:dyDescent="0.25">
      <c r="A322755" s="1"/>
    </row>
    <row r="322756" spans="1:1" x14ac:dyDescent="0.25">
      <c r="A322756" s="1"/>
    </row>
    <row r="322757" spans="1:1" x14ac:dyDescent="0.25">
      <c r="A322757" s="1"/>
    </row>
    <row r="322758" spans="1:1" x14ac:dyDescent="0.25">
      <c r="A322758" s="1"/>
    </row>
    <row r="322759" spans="1:1" x14ac:dyDescent="0.25">
      <c r="A322759" s="1"/>
    </row>
    <row r="322760" spans="1:1" x14ac:dyDescent="0.25">
      <c r="A322760" s="1"/>
    </row>
    <row r="322761" spans="1:1" x14ac:dyDescent="0.25">
      <c r="A322761" s="1"/>
    </row>
    <row r="322762" spans="1:1" x14ac:dyDescent="0.25">
      <c r="A322762" s="1"/>
    </row>
    <row r="322763" spans="1:1" x14ac:dyDescent="0.25">
      <c r="A322763" s="1"/>
    </row>
    <row r="322764" spans="1:1" x14ac:dyDescent="0.25">
      <c r="A322764" s="1"/>
    </row>
    <row r="322765" spans="1:1" x14ac:dyDescent="0.25">
      <c r="A322765" s="1"/>
    </row>
    <row r="322766" spans="1:1" x14ac:dyDescent="0.25">
      <c r="A322766" s="1"/>
    </row>
    <row r="322767" spans="1:1" x14ac:dyDescent="0.25">
      <c r="A322767" s="1"/>
    </row>
    <row r="322768" spans="1:1" x14ac:dyDescent="0.25">
      <c r="A322768" s="1"/>
    </row>
    <row r="322769" spans="1:1" x14ac:dyDescent="0.25">
      <c r="A322769" s="1"/>
    </row>
    <row r="322770" spans="1:1" x14ac:dyDescent="0.25">
      <c r="A322770" s="1"/>
    </row>
    <row r="322771" spans="1:1" x14ac:dyDescent="0.25">
      <c r="A322771" s="1"/>
    </row>
    <row r="322772" spans="1:1" x14ac:dyDescent="0.25">
      <c r="A322772" s="1"/>
    </row>
    <row r="322773" spans="1:1" x14ac:dyDescent="0.25">
      <c r="A322773" s="1"/>
    </row>
    <row r="322774" spans="1:1" x14ac:dyDescent="0.25">
      <c r="A322774" s="1"/>
    </row>
    <row r="322775" spans="1:1" x14ac:dyDescent="0.25">
      <c r="A322775" s="1"/>
    </row>
    <row r="322776" spans="1:1" x14ac:dyDescent="0.25">
      <c r="A322776" s="1"/>
    </row>
    <row r="322777" spans="1:1" x14ac:dyDescent="0.25">
      <c r="A322777" s="1"/>
    </row>
    <row r="322778" spans="1:1" x14ac:dyDescent="0.25">
      <c r="A322778" s="1"/>
    </row>
    <row r="322779" spans="1:1" x14ac:dyDescent="0.25">
      <c r="A322779" s="1"/>
    </row>
    <row r="322780" spans="1:1" x14ac:dyDescent="0.25">
      <c r="A322780" s="1"/>
    </row>
    <row r="322781" spans="1:1" x14ac:dyDescent="0.25">
      <c r="A322781" s="1"/>
    </row>
    <row r="322782" spans="1:1" x14ac:dyDescent="0.25">
      <c r="A322782" s="1"/>
    </row>
    <row r="322783" spans="1:1" x14ac:dyDescent="0.25">
      <c r="A322783" s="1"/>
    </row>
    <row r="322784" spans="1:1" x14ac:dyDescent="0.25">
      <c r="A322784" s="1"/>
    </row>
    <row r="322785" spans="1:1" x14ac:dyDescent="0.25">
      <c r="A322785" s="1"/>
    </row>
    <row r="322786" spans="1:1" x14ac:dyDescent="0.25">
      <c r="A322786" s="1"/>
    </row>
    <row r="322787" spans="1:1" x14ac:dyDescent="0.25">
      <c r="A322787" s="1"/>
    </row>
    <row r="322788" spans="1:1" x14ac:dyDescent="0.25">
      <c r="A322788" s="1"/>
    </row>
    <row r="322789" spans="1:1" x14ac:dyDescent="0.25">
      <c r="A322789" s="1"/>
    </row>
    <row r="322790" spans="1:1" x14ac:dyDescent="0.25">
      <c r="A322790" s="1"/>
    </row>
    <row r="322791" spans="1:1" x14ac:dyDescent="0.25">
      <c r="A322791" s="1"/>
    </row>
    <row r="322792" spans="1:1" x14ac:dyDescent="0.25">
      <c r="A322792" s="1"/>
    </row>
    <row r="322793" spans="1:1" x14ac:dyDescent="0.25">
      <c r="A322793" s="1"/>
    </row>
    <row r="322794" spans="1:1" x14ac:dyDescent="0.25">
      <c r="A322794" s="1"/>
    </row>
    <row r="322795" spans="1:1" x14ac:dyDescent="0.25">
      <c r="A322795" s="1"/>
    </row>
    <row r="322796" spans="1:1" x14ac:dyDescent="0.25">
      <c r="A322796" s="1"/>
    </row>
    <row r="322797" spans="1:1" x14ac:dyDescent="0.25">
      <c r="A322797" s="1"/>
    </row>
    <row r="322798" spans="1:1" x14ac:dyDescent="0.25">
      <c r="A322798" s="1"/>
    </row>
    <row r="322799" spans="1:1" x14ac:dyDescent="0.25">
      <c r="A322799" s="1"/>
    </row>
    <row r="322800" spans="1:1" x14ac:dyDescent="0.25">
      <c r="A322800" s="1"/>
    </row>
    <row r="322801" spans="1:1" x14ac:dyDescent="0.25">
      <c r="A322801" s="1"/>
    </row>
    <row r="322802" spans="1:1" x14ac:dyDescent="0.25">
      <c r="A322802" s="1"/>
    </row>
    <row r="322803" spans="1:1" x14ac:dyDescent="0.25">
      <c r="A322803" s="1"/>
    </row>
    <row r="322804" spans="1:1" x14ac:dyDescent="0.25">
      <c r="A322804" s="1"/>
    </row>
    <row r="322805" spans="1:1" x14ac:dyDescent="0.25">
      <c r="A322805" s="1"/>
    </row>
    <row r="322806" spans="1:1" x14ac:dyDescent="0.25">
      <c r="A322806" s="1"/>
    </row>
    <row r="322807" spans="1:1" x14ac:dyDescent="0.25">
      <c r="A322807" s="1"/>
    </row>
    <row r="322808" spans="1:1" x14ac:dyDescent="0.25">
      <c r="A322808" s="1"/>
    </row>
    <row r="322809" spans="1:1" x14ac:dyDescent="0.25">
      <c r="A322809" s="1"/>
    </row>
    <row r="322810" spans="1:1" x14ac:dyDescent="0.25">
      <c r="A322810" s="1"/>
    </row>
    <row r="322811" spans="1:1" x14ac:dyDescent="0.25">
      <c r="A322811" s="1"/>
    </row>
    <row r="322812" spans="1:1" x14ac:dyDescent="0.25">
      <c r="A322812" s="1"/>
    </row>
    <row r="322813" spans="1:1" x14ac:dyDescent="0.25">
      <c r="A322813" s="1"/>
    </row>
    <row r="322814" spans="1:1" x14ac:dyDescent="0.25">
      <c r="A322814" s="1"/>
    </row>
    <row r="322815" spans="1:1" x14ac:dyDescent="0.25">
      <c r="A322815" s="1"/>
    </row>
    <row r="322816" spans="1:1" x14ac:dyDescent="0.25">
      <c r="A322816" s="1"/>
    </row>
    <row r="322817" spans="1:1" x14ac:dyDescent="0.25">
      <c r="A322817" s="1"/>
    </row>
    <row r="322818" spans="1:1" x14ac:dyDescent="0.25">
      <c r="A322818" s="1"/>
    </row>
    <row r="322819" spans="1:1" x14ac:dyDescent="0.25">
      <c r="A322819" s="1"/>
    </row>
    <row r="322820" spans="1:1" x14ac:dyDescent="0.25">
      <c r="A322820" s="1"/>
    </row>
    <row r="322821" spans="1:1" x14ac:dyDescent="0.25">
      <c r="A322821" s="1"/>
    </row>
    <row r="322822" spans="1:1" x14ac:dyDescent="0.25">
      <c r="A322822" s="1"/>
    </row>
    <row r="322823" spans="1:1" x14ac:dyDescent="0.25">
      <c r="A322823" s="1"/>
    </row>
    <row r="322824" spans="1:1" x14ac:dyDescent="0.25">
      <c r="A322824" s="1"/>
    </row>
    <row r="322825" spans="1:1" x14ac:dyDescent="0.25">
      <c r="A322825" s="1"/>
    </row>
    <row r="322826" spans="1:1" x14ac:dyDescent="0.25">
      <c r="A322826" s="1"/>
    </row>
    <row r="322827" spans="1:1" x14ac:dyDescent="0.25">
      <c r="A322827" s="1"/>
    </row>
    <row r="322828" spans="1:1" x14ac:dyDescent="0.25">
      <c r="A322828" s="1"/>
    </row>
    <row r="322829" spans="1:1" x14ac:dyDescent="0.25">
      <c r="A322829" s="1"/>
    </row>
    <row r="322830" spans="1:1" x14ac:dyDescent="0.25">
      <c r="A322830" s="1"/>
    </row>
    <row r="322831" spans="1:1" x14ac:dyDescent="0.25">
      <c r="A322831" s="1"/>
    </row>
    <row r="322832" spans="1:1" x14ac:dyDescent="0.25">
      <c r="A322832" s="1"/>
    </row>
    <row r="322833" spans="1:1" x14ac:dyDescent="0.25">
      <c r="A322833" s="1"/>
    </row>
    <row r="322834" spans="1:1" x14ac:dyDescent="0.25">
      <c r="A322834" s="1"/>
    </row>
    <row r="322835" spans="1:1" x14ac:dyDescent="0.25">
      <c r="A322835" s="1"/>
    </row>
    <row r="322836" spans="1:1" x14ac:dyDescent="0.25">
      <c r="A322836" s="1"/>
    </row>
    <row r="322837" spans="1:1" x14ac:dyDescent="0.25">
      <c r="A322837" s="1"/>
    </row>
    <row r="322838" spans="1:1" x14ac:dyDescent="0.25">
      <c r="A322838" s="1"/>
    </row>
    <row r="322839" spans="1:1" x14ac:dyDescent="0.25">
      <c r="A322839" s="1"/>
    </row>
    <row r="322840" spans="1:1" x14ac:dyDescent="0.25">
      <c r="A322840" s="1"/>
    </row>
    <row r="322841" spans="1:1" x14ac:dyDescent="0.25">
      <c r="A322841" s="1"/>
    </row>
    <row r="322842" spans="1:1" x14ac:dyDescent="0.25">
      <c r="A322842" s="1"/>
    </row>
    <row r="322843" spans="1:1" x14ac:dyDescent="0.25">
      <c r="A322843" s="1"/>
    </row>
    <row r="322844" spans="1:1" x14ac:dyDescent="0.25">
      <c r="A322844" s="1"/>
    </row>
    <row r="322845" spans="1:1" x14ac:dyDescent="0.25">
      <c r="A322845" s="1"/>
    </row>
    <row r="322846" spans="1:1" x14ac:dyDescent="0.25">
      <c r="A322846" s="1"/>
    </row>
    <row r="322847" spans="1:1" x14ac:dyDescent="0.25">
      <c r="A322847" s="1"/>
    </row>
    <row r="322848" spans="1:1" x14ac:dyDescent="0.25">
      <c r="A322848" s="1"/>
    </row>
    <row r="322849" spans="1:1" x14ac:dyDescent="0.25">
      <c r="A322849" s="1"/>
    </row>
    <row r="322850" spans="1:1" x14ac:dyDescent="0.25">
      <c r="A322850" s="1"/>
    </row>
    <row r="322851" spans="1:1" x14ac:dyDescent="0.25">
      <c r="A322851" s="1"/>
    </row>
    <row r="322852" spans="1:1" x14ac:dyDescent="0.25">
      <c r="A322852" s="1"/>
    </row>
    <row r="322853" spans="1:1" x14ac:dyDescent="0.25">
      <c r="A322853" s="1"/>
    </row>
    <row r="322854" spans="1:1" x14ac:dyDescent="0.25">
      <c r="A322854" s="1"/>
    </row>
    <row r="322855" spans="1:1" x14ac:dyDescent="0.25">
      <c r="A322855" s="1"/>
    </row>
    <row r="322856" spans="1:1" x14ac:dyDescent="0.25">
      <c r="A322856" s="1"/>
    </row>
    <row r="322857" spans="1:1" x14ac:dyDescent="0.25">
      <c r="A322857" s="1"/>
    </row>
    <row r="322858" spans="1:1" x14ac:dyDescent="0.25">
      <c r="A322858" s="1"/>
    </row>
    <row r="322859" spans="1:1" x14ac:dyDescent="0.25">
      <c r="A322859" s="1"/>
    </row>
    <row r="322860" spans="1:1" x14ac:dyDescent="0.25">
      <c r="A322860" s="1"/>
    </row>
    <row r="322861" spans="1:1" x14ac:dyDescent="0.25">
      <c r="A322861" s="1"/>
    </row>
    <row r="322862" spans="1:1" x14ac:dyDescent="0.25">
      <c r="A322862" s="1"/>
    </row>
    <row r="322863" spans="1:1" x14ac:dyDescent="0.25">
      <c r="A322863" s="1"/>
    </row>
    <row r="322864" spans="1:1" x14ac:dyDescent="0.25">
      <c r="A322864" s="1"/>
    </row>
    <row r="322865" spans="1:1" x14ac:dyDescent="0.25">
      <c r="A322865" s="1"/>
    </row>
    <row r="322866" spans="1:1" x14ac:dyDescent="0.25">
      <c r="A322866" s="1"/>
    </row>
    <row r="322867" spans="1:1" x14ac:dyDescent="0.25">
      <c r="A322867" s="1"/>
    </row>
    <row r="322868" spans="1:1" x14ac:dyDescent="0.25">
      <c r="A322868" s="1"/>
    </row>
    <row r="322869" spans="1:1" x14ac:dyDescent="0.25">
      <c r="A322869" s="1"/>
    </row>
    <row r="322870" spans="1:1" x14ac:dyDescent="0.25">
      <c r="A322870" s="1"/>
    </row>
    <row r="322871" spans="1:1" x14ac:dyDescent="0.25">
      <c r="A322871" s="1"/>
    </row>
    <row r="322872" spans="1:1" x14ac:dyDescent="0.25">
      <c r="A322872" s="1"/>
    </row>
    <row r="322873" spans="1:1" x14ac:dyDescent="0.25">
      <c r="A322873" s="1"/>
    </row>
    <row r="322874" spans="1:1" x14ac:dyDescent="0.25">
      <c r="A322874" s="1"/>
    </row>
    <row r="322875" spans="1:1" x14ac:dyDescent="0.25">
      <c r="A322875" s="1"/>
    </row>
    <row r="322876" spans="1:1" x14ac:dyDescent="0.25">
      <c r="A322876" s="1"/>
    </row>
    <row r="322877" spans="1:1" x14ac:dyDescent="0.25">
      <c r="A322877" s="1"/>
    </row>
    <row r="322878" spans="1:1" x14ac:dyDescent="0.25">
      <c r="A322878" s="1"/>
    </row>
    <row r="322879" spans="1:1" x14ac:dyDescent="0.25">
      <c r="A322879" s="1"/>
    </row>
    <row r="322880" spans="1:1" x14ac:dyDescent="0.25">
      <c r="A322880" s="1"/>
    </row>
    <row r="322881" spans="1:1" x14ac:dyDescent="0.25">
      <c r="A322881" s="1"/>
    </row>
    <row r="322882" spans="1:1" x14ac:dyDescent="0.25">
      <c r="A322882" s="1"/>
    </row>
    <row r="322883" spans="1:1" x14ac:dyDescent="0.25">
      <c r="A322883" s="1"/>
    </row>
    <row r="322884" spans="1:1" x14ac:dyDescent="0.25">
      <c r="A322884" s="1"/>
    </row>
    <row r="322885" spans="1:1" x14ac:dyDescent="0.25">
      <c r="A322885" s="1"/>
    </row>
    <row r="322886" spans="1:1" x14ac:dyDescent="0.25">
      <c r="A322886" s="1"/>
    </row>
    <row r="322887" spans="1:1" x14ac:dyDescent="0.25">
      <c r="A322887" s="1"/>
    </row>
    <row r="322888" spans="1:1" x14ac:dyDescent="0.25">
      <c r="A322888" s="1"/>
    </row>
    <row r="322889" spans="1:1" x14ac:dyDescent="0.25">
      <c r="A322889" s="1"/>
    </row>
    <row r="322890" spans="1:1" x14ac:dyDescent="0.25">
      <c r="A322890" s="1"/>
    </row>
    <row r="322891" spans="1:1" x14ac:dyDescent="0.25">
      <c r="A322891" s="1"/>
    </row>
    <row r="322892" spans="1:1" x14ac:dyDescent="0.25">
      <c r="A322892" s="1"/>
    </row>
    <row r="322893" spans="1:1" x14ac:dyDescent="0.25">
      <c r="A322893" s="1"/>
    </row>
    <row r="322894" spans="1:1" x14ac:dyDescent="0.25">
      <c r="A322894" s="1"/>
    </row>
    <row r="322895" spans="1:1" x14ac:dyDescent="0.25">
      <c r="A322895" s="1"/>
    </row>
    <row r="322896" spans="1:1" x14ac:dyDescent="0.25">
      <c r="A322896" s="1"/>
    </row>
    <row r="322897" spans="1:1" x14ac:dyDescent="0.25">
      <c r="A322897" s="1"/>
    </row>
    <row r="322898" spans="1:1" x14ac:dyDescent="0.25">
      <c r="A322898" s="1"/>
    </row>
    <row r="322899" spans="1:1" x14ac:dyDescent="0.25">
      <c r="A322899" s="1"/>
    </row>
    <row r="322900" spans="1:1" x14ac:dyDescent="0.25">
      <c r="A322900" s="1"/>
    </row>
    <row r="322901" spans="1:1" x14ac:dyDescent="0.25">
      <c r="A322901" s="1"/>
    </row>
    <row r="322902" spans="1:1" x14ac:dyDescent="0.25">
      <c r="A322902" s="1"/>
    </row>
    <row r="322903" spans="1:1" x14ac:dyDescent="0.25">
      <c r="A322903" s="1"/>
    </row>
    <row r="322904" spans="1:1" x14ac:dyDescent="0.25">
      <c r="A322904" s="1"/>
    </row>
    <row r="322905" spans="1:1" x14ac:dyDescent="0.25">
      <c r="A322905" s="1"/>
    </row>
    <row r="322906" spans="1:1" x14ac:dyDescent="0.25">
      <c r="A322906" s="1"/>
    </row>
    <row r="322907" spans="1:1" x14ac:dyDescent="0.25">
      <c r="A322907" s="1"/>
    </row>
    <row r="322908" spans="1:1" x14ac:dyDescent="0.25">
      <c r="A322908" s="1"/>
    </row>
    <row r="322909" spans="1:1" x14ac:dyDescent="0.25">
      <c r="A322909" s="1"/>
    </row>
    <row r="322910" spans="1:1" x14ac:dyDescent="0.25">
      <c r="A322910" s="1"/>
    </row>
    <row r="322911" spans="1:1" x14ac:dyDescent="0.25">
      <c r="A322911" s="1"/>
    </row>
    <row r="322912" spans="1:1" x14ac:dyDescent="0.25">
      <c r="A322912" s="1"/>
    </row>
    <row r="322913" spans="1:1" x14ac:dyDescent="0.25">
      <c r="A322913" s="1"/>
    </row>
    <row r="322914" spans="1:1" x14ac:dyDescent="0.25">
      <c r="A322914" s="1"/>
    </row>
    <row r="322915" spans="1:1" x14ac:dyDescent="0.25">
      <c r="A322915" s="1"/>
    </row>
    <row r="322916" spans="1:1" x14ac:dyDescent="0.25">
      <c r="A322916" s="1"/>
    </row>
    <row r="322917" spans="1:1" x14ac:dyDescent="0.25">
      <c r="A322917" s="1"/>
    </row>
    <row r="322918" spans="1:1" x14ac:dyDescent="0.25">
      <c r="A322918" s="1"/>
    </row>
    <row r="322919" spans="1:1" x14ac:dyDescent="0.25">
      <c r="A322919" s="1"/>
    </row>
    <row r="322920" spans="1:1" x14ac:dyDescent="0.25">
      <c r="A322920" s="1"/>
    </row>
    <row r="322921" spans="1:1" x14ac:dyDescent="0.25">
      <c r="A322921" s="1"/>
    </row>
    <row r="322922" spans="1:1" x14ac:dyDescent="0.25">
      <c r="A322922" s="1"/>
    </row>
    <row r="322923" spans="1:1" x14ac:dyDescent="0.25">
      <c r="A322923" s="1"/>
    </row>
    <row r="322924" spans="1:1" x14ac:dyDescent="0.25">
      <c r="A322924" s="1"/>
    </row>
    <row r="322925" spans="1:1" x14ac:dyDescent="0.25">
      <c r="A322925" s="1"/>
    </row>
    <row r="322926" spans="1:1" x14ac:dyDescent="0.25">
      <c r="A322926" s="1"/>
    </row>
    <row r="322927" spans="1:1" x14ac:dyDescent="0.25">
      <c r="A322927" s="1"/>
    </row>
    <row r="322928" spans="1:1" x14ac:dyDescent="0.25">
      <c r="A322928" s="1"/>
    </row>
    <row r="322929" spans="1:1" x14ac:dyDescent="0.25">
      <c r="A322929" s="1"/>
    </row>
    <row r="322930" spans="1:1" x14ac:dyDescent="0.25">
      <c r="A322930" s="1"/>
    </row>
    <row r="322931" spans="1:1" x14ac:dyDescent="0.25">
      <c r="A322931" s="1"/>
    </row>
    <row r="322932" spans="1:1" x14ac:dyDescent="0.25">
      <c r="A322932" s="1"/>
    </row>
    <row r="322933" spans="1:1" x14ac:dyDescent="0.25">
      <c r="A322933" s="1"/>
    </row>
    <row r="322934" spans="1:1" x14ac:dyDescent="0.25">
      <c r="A322934" s="1"/>
    </row>
    <row r="322935" spans="1:1" x14ac:dyDescent="0.25">
      <c r="A322935" s="1"/>
    </row>
    <row r="322936" spans="1:1" x14ac:dyDescent="0.25">
      <c r="A322936" s="1"/>
    </row>
    <row r="322937" spans="1:1" x14ac:dyDescent="0.25">
      <c r="A322937" s="1"/>
    </row>
    <row r="322938" spans="1:1" x14ac:dyDescent="0.25">
      <c r="A322938" s="1"/>
    </row>
    <row r="322939" spans="1:1" x14ac:dyDescent="0.25">
      <c r="A322939" s="1"/>
    </row>
    <row r="322940" spans="1:1" x14ac:dyDescent="0.25">
      <c r="A322940" s="1"/>
    </row>
    <row r="322941" spans="1:1" x14ac:dyDescent="0.25">
      <c r="A322941" s="1"/>
    </row>
    <row r="322942" spans="1:1" x14ac:dyDescent="0.25">
      <c r="A322942" s="1"/>
    </row>
    <row r="322943" spans="1:1" x14ac:dyDescent="0.25">
      <c r="A322943" s="1"/>
    </row>
    <row r="322944" spans="1:1" x14ac:dyDescent="0.25">
      <c r="A322944" s="1"/>
    </row>
    <row r="322945" spans="1:1" x14ac:dyDescent="0.25">
      <c r="A322945" s="1"/>
    </row>
    <row r="322946" spans="1:1" x14ac:dyDescent="0.25">
      <c r="A322946" s="1"/>
    </row>
    <row r="322947" spans="1:1" x14ac:dyDescent="0.25">
      <c r="A322947" s="1"/>
    </row>
    <row r="322948" spans="1:1" x14ac:dyDescent="0.25">
      <c r="A322948" s="1"/>
    </row>
    <row r="322949" spans="1:1" x14ac:dyDescent="0.25">
      <c r="A322949" s="1"/>
    </row>
    <row r="322950" spans="1:1" x14ac:dyDescent="0.25">
      <c r="A322950" s="1"/>
    </row>
    <row r="322951" spans="1:1" x14ac:dyDescent="0.25">
      <c r="A322951" s="1"/>
    </row>
    <row r="322952" spans="1:1" x14ac:dyDescent="0.25">
      <c r="A322952" s="1"/>
    </row>
    <row r="322953" spans="1:1" x14ac:dyDescent="0.25">
      <c r="A322953" s="1"/>
    </row>
    <row r="322954" spans="1:1" x14ac:dyDescent="0.25">
      <c r="A322954" s="1"/>
    </row>
    <row r="322955" spans="1:1" x14ac:dyDescent="0.25">
      <c r="A322955" s="1"/>
    </row>
    <row r="322956" spans="1:1" x14ac:dyDescent="0.25">
      <c r="A322956" s="1"/>
    </row>
    <row r="322957" spans="1:1" x14ac:dyDescent="0.25">
      <c r="A322957" s="1"/>
    </row>
    <row r="322958" spans="1:1" x14ac:dyDescent="0.25">
      <c r="A322958" s="1"/>
    </row>
    <row r="322959" spans="1:1" x14ac:dyDescent="0.25">
      <c r="A322959" s="1"/>
    </row>
    <row r="322960" spans="1:1" x14ac:dyDescent="0.25">
      <c r="A322960" s="1"/>
    </row>
    <row r="322961" spans="1:1" x14ac:dyDescent="0.25">
      <c r="A322961" s="1"/>
    </row>
    <row r="322962" spans="1:1" x14ac:dyDescent="0.25">
      <c r="A322962" s="1"/>
    </row>
    <row r="322963" spans="1:1" x14ac:dyDescent="0.25">
      <c r="A322963" s="1"/>
    </row>
    <row r="322964" spans="1:1" x14ac:dyDescent="0.25">
      <c r="A322964" s="1"/>
    </row>
    <row r="322965" spans="1:1" x14ac:dyDescent="0.25">
      <c r="A322965" s="1"/>
    </row>
    <row r="322966" spans="1:1" x14ac:dyDescent="0.25">
      <c r="A322966" s="1"/>
    </row>
    <row r="322967" spans="1:1" x14ac:dyDescent="0.25">
      <c r="A322967" s="1"/>
    </row>
    <row r="322968" spans="1:1" x14ac:dyDescent="0.25">
      <c r="A322968" s="1"/>
    </row>
    <row r="322969" spans="1:1" x14ac:dyDescent="0.25">
      <c r="A322969" s="1"/>
    </row>
    <row r="322970" spans="1:1" x14ac:dyDescent="0.25">
      <c r="A322970" s="1"/>
    </row>
    <row r="322971" spans="1:1" x14ac:dyDescent="0.25">
      <c r="A322971" s="1"/>
    </row>
    <row r="322972" spans="1:1" x14ac:dyDescent="0.25">
      <c r="A322972" s="1"/>
    </row>
    <row r="322973" spans="1:1" x14ac:dyDescent="0.25">
      <c r="A322973" s="1"/>
    </row>
    <row r="322974" spans="1:1" x14ac:dyDescent="0.25">
      <c r="A322974" s="1"/>
    </row>
    <row r="322975" spans="1:1" x14ac:dyDescent="0.25">
      <c r="A322975" s="1"/>
    </row>
    <row r="322976" spans="1:1" x14ac:dyDescent="0.25">
      <c r="A322976" s="1"/>
    </row>
    <row r="322977" spans="1:1" x14ac:dyDescent="0.25">
      <c r="A322977" s="1"/>
    </row>
    <row r="322978" spans="1:1" x14ac:dyDescent="0.25">
      <c r="A322978" s="1"/>
    </row>
    <row r="322979" spans="1:1" x14ac:dyDescent="0.25">
      <c r="A322979" s="1"/>
    </row>
    <row r="322980" spans="1:1" x14ac:dyDescent="0.25">
      <c r="A322980" s="1"/>
    </row>
    <row r="322981" spans="1:1" x14ac:dyDescent="0.25">
      <c r="A322981" s="1"/>
    </row>
    <row r="322982" spans="1:1" x14ac:dyDescent="0.25">
      <c r="A322982" s="1"/>
    </row>
    <row r="322983" spans="1:1" x14ac:dyDescent="0.25">
      <c r="A322983" s="1"/>
    </row>
    <row r="322984" spans="1:1" x14ac:dyDescent="0.25">
      <c r="A322984" s="1"/>
    </row>
    <row r="322985" spans="1:1" x14ac:dyDescent="0.25">
      <c r="A322985" s="1"/>
    </row>
    <row r="322986" spans="1:1" x14ac:dyDescent="0.25">
      <c r="A322986" s="1"/>
    </row>
    <row r="322987" spans="1:1" x14ac:dyDescent="0.25">
      <c r="A322987" s="1"/>
    </row>
    <row r="322988" spans="1:1" x14ac:dyDescent="0.25">
      <c r="A322988" s="1"/>
    </row>
    <row r="322989" spans="1:1" x14ac:dyDescent="0.25">
      <c r="A322989" s="1"/>
    </row>
    <row r="322990" spans="1:1" x14ac:dyDescent="0.25">
      <c r="A322990" s="1"/>
    </row>
    <row r="322991" spans="1:1" x14ac:dyDescent="0.25">
      <c r="A322991" s="1"/>
    </row>
    <row r="322992" spans="1:1" x14ac:dyDescent="0.25">
      <c r="A322992" s="1"/>
    </row>
    <row r="322993" spans="1:1" x14ac:dyDescent="0.25">
      <c r="A322993" s="1"/>
    </row>
    <row r="322994" spans="1:1" x14ac:dyDescent="0.25">
      <c r="A322994" s="1"/>
    </row>
    <row r="322995" spans="1:1" x14ac:dyDescent="0.25">
      <c r="A322995" s="1"/>
    </row>
    <row r="322996" spans="1:1" x14ac:dyDescent="0.25">
      <c r="A322996" s="1"/>
    </row>
    <row r="322997" spans="1:1" x14ac:dyDescent="0.25">
      <c r="A322997" s="1"/>
    </row>
    <row r="322998" spans="1:1" x14ac:dyDescent="0.25">
      <c r="A322998" s="1"/>
    </row>
    <row r="322999" spans="1:1" x14ac:dyDescent="0.25">
      <c r="A322999" s="1"/>
    </row>
    <row r="323000" spans="1:1" x14ac:dyDescent="0.25">
      <c r="A323000" s="1"/>
    </row>
    <row r="323001" spans="1:1" x14ac:dyDescent="0.25">
      <c r="A323001" s="1"/>
    </row>
    <row r="323002" spans="1:1" x14ac:dyDescent="0.25">
      <c r="A323002" s="1"/>
    </row>
    <row r="323003" spans="1:1" x14ac:dyDescent="0.25">
      <c r="A323003" s="1"/>
    </row>
    <row r="323004" spans="1:1" x14ac:dyDescent="0.25">
      <c r="A323004" s="1"/>
    </row>
    <row r="323005" spans="1:1" x14ac:dyDescent="0.25">
      <c r="A323005" s="1"/>
    </row>
    <row r="323006" spans="1:1" x14ac:dyDescent="0.25">
      <c r="A323006" s="1"/>
    </row>
    <row r="323007" spans="1:1" x14ac:dyDescent="0.25">
      <c r="A323007" s="1"/>
    </row>
    <row r="323008" spans="1:1" x14ac:dyDescent="0.25">
      <c r="A323008" s="1"/>
    </row>
    <row r="323009" spans="1:1" x14ac:dyDescent="0.25">
      <c r="A323009" s="1"/>
    </row>
    <row r="323010" spans="1:1" x14ac:dyDescent="0.25">
      <c r="A323010" s="1"/>
    </row>
    <row r="323011" spans="1:1" x14ac:dyDescent="0.25">
      <c r="A323011" s="1"/>
    </row>
    <row r="323012" spans="1:1" x14ac:dyDescent="0.25">
      <c r="A323012" s="1"/>
    </row>
    <row r="323013" spans="1:1" x14ac:dyDescent="0.25">
      <c r="A323013" s="1"/>
    </row>
    <row r="323014" spans="1:1" x14ac:dyDescent="0.25">
      <c r="A323014" s="1"/>
    </row>
    <row r="323015" spans="1:1" x14ac:dyDescent="0.25">
      <c r="A323015" s="1"/>
    </row>
    <row r="323016" spans="1:1" x14ac:dyDescent="0.25">
      <c r="A323016" s="1"/>
    </row>
    <row r="323017" spans="1:1" x14ac:dyDescent="0.25">
      <c r="A323017" s="1"/>
    </row>
    <row r="323018" spans="1:1" x14ac:dyDescent="0.25">
      <c r="A323018" s="1"/>
    </row>
    <row r="323019" spans="1:1" x14ac:dyDescent="0.25">
      <c r="A323019" s="1"/>
    </row>
    <row r="323020" spans="1:1" x14ac:dyDescent="0.25">
      <c r="A323020" s="1"/>
    </row>
    <row r="323021" spans="1:1" x14ac:dyDescent="0.25">
      <c r="A323021" s="1"/>
    </row>
    <row r="323022" spans="1:1" x14ac:dyDescent="0.25">
      <c r="A323022" s="1"/>
    </row>
    <row r="323023" spans="1:1" x14ac:dyDescent="0.25">
      <c r="A323023" s="1"/>
    </row>
    <row r="323024" spans="1:1" x14ac:dyDescent="0.25">
      <c r="A323024" s="1"/>
    </row>
    <row r="323025" spans="1:1" x14ac:dyDescent="0.25">
      <c r="A323025" s="1"/>
    </row>
    <row r="323026" spans="1:1" x14ac:dyDescent="0.25">
      <c r="A323026" s="1"/>
    </row>
    <row r="323027" spans="1:1" x14ac:dyDescent="0.25">
      <c r="A323027" s="1"/>
    </row>
    <row r="323028" spans="1:1" x14ac:dyDescent="0.25">
      <c r="A323028" s="1"/>
    </row>
    <row r="323029" spans="1:1" x14ac:dyDescent="0.25">
      <c r="A323029" s="1"/>
    </row>
    <row r="323030" spans="1:1" x14ac:dyDescent="0.25">
      <c r="A323030" s="1"/>
    </row>
    <row r="323031" spans="1:1" x14ac:dyDescent="0.25">
      <c r="A323031" s="1"/>
    </row>
    <row r="323032" spans="1:1" x14ac:dyDescent="0.25">
      <c r="A323032" s="1"/>
    </row>
    <row r="323033" spans="1:1" x14ac:dyDescent="0.25">
      <c r="A323033" s="1"/>
    </row>
    <row r="323034" spans="1:1" x14ac:dyDescent="0.25">
      <c r="A323034" s="1"/>
    </row>
    <row r="323035" spans="1:1" x14ac:dyDescent="0.25">
      <c r="A323035" s="1"/>
    </row>
    <row r="323036" spans="1:1" x14ac:dyDescent="0.25">
      <c r="A323036" s="1"/>
    </row>
    <row r="323037" spans="1:1" x14ac:dyDescent="0.25">
      <c r="A323037" s="1"/>
    </row>
    <row r="323038" spans="1:1" x14ac:dyDescent="0.25">
      <c r="A323038" s="1"/>
    </row>
    <row r="323039" spans="1:1" x14ac:dyDescent="0.25">
      <c r="A323039" s="1"/>
    </row>
    <row r="323040" spans="1:1" x14ac:dyDescent="0.25">
      <c r="A323040" s="1"/>
    </row>
    <row r="323041" spans="1:1" x14ac:dyDescent="0.25">
      <c r="A323041" s="1"/>
    </row>
    <row r="323042" spans="1:1" x14ac:dyDescent="0.25">
      <c r="A323042" s="1"/>
    </row>
    <row r="323043" spans="1:1" x14ac:dyDescent="0.25">
      <c r="A323043" s="1"/>
    </row>
    <row r="323044" spans="1:1" x14ac:dyDescent="0.25">
      <c r="A323044" s="1"/>
    </row>
    <row r="323045" spans="1:1" x14ac:dyDescent="0.25">
      <c r="A323045" s="1"/>
    </row>
    <row r="323046" spans="1:1" x14ac:dyDescent="0.25">
      <c r="A323046" s="1"/>
    </row>
    <row r="323047" spans="1:1" x14ac:dyDescent="0.25">
      <c r="A323047" s="1"/>
    </row>
    <row r="323048" spans="1:1" x14ac:dyDescent="0.25">
      <c r="A323048" s="1"/>
    </row>
    <row r="323049" spans="1:1" x14ac:dyDescent="0.25">
      <c r="A323049" s="1"/>
    </row>
    <row r="323050" spans="1:1" x14ac:dyDescent="0.25">
      <c r="A323050" s="1"/>
    </row>
    <row r="323051" spans="1:1" x14ac:dyDescent="0.25">
      <c r="A323051" s="1"/>
    </row>
    <row r="323052" spans="1:1" x14ac:dyDescent="0.25">
      <c r="A323052" s="1"/>
    </row>
    <row r="323053" spans="1:1" x14ac:dyDescent="0.25">
      <c r="A323053" s="1"/>
    </row>
    <row r="323054" spans="1:1" x14ac:dyDescent="0.25">
      <c r="A323054" s="1"/>
    </row>
    <row r="323055" spans="1:1" x14ac:dyDescent="0.25">
      <c r="A323055" s="1"/>
    </row>
    <row r="323056" spans="1:1" x14ac:dyDescent="0.25">
      <c r="A323056" s="1"/>
    </row>
    <row r="323057" spans="1:1" x14ac:dyDescent="0.25">
      <c r="A323057" s="1"/>
    </row>
    <row r="323058" spans="1:1" x14ac:dyDescent="0.25">
      <c r="A323058" s="1"/>
    </row>
    <row r="323059" spans="1:1" x14ac:dyDescent="0.25">
      <c r="A323059" s="1"/>
    </row>
    <row r="323060" spans="1:1" x14ac:dyDescent="0.25">
      <c r="A323060" s="1"/>
    </row>
    <row r="323061" spans="1:1" x14ac:dyDescent="0.25">
      <c r="A323061" s="1"/>
    </row>
    <row r="323062" spans="1:1" x14ac:dyDescent="0.25">
      <c r="A323062" s="1"/>
    </row>
    <row r="323063" spans="1:1" x14ac:dyDescent="0.25">
      <c r="A323063" s="1"/>
    </row>
    <row r="323064" spans="1:1" x14ac:dyDescent="0.25">
      <c r="A323064" s="1"/>
    </row>
    <row r="323065" spans="1:1" x14ac:dyDescent="0.25">
      <c r="A323065" s="1"/>
    </row>
    <row r="323066" spans="1:1" x14ac:dyDescent="0.25">
      <c r="A323066" s="1"/>
    </row>
    <row r="323067" spans="1:1" x14ac:dyDescent="0.25">
      <c r="A323067" s="1"/>
    </row>
    <row r="323068" spans="1:1" x14ac:dyDescent="0.25">
      <c r="A323068" s="1"/>
    </row>
    <row r="323069" spans="1:1" x14ac:dyDescent="0.25">
      <c r="A323069" s="1"/>
    </row>
    <row r="323070" spans="1:1" x14ac:dyDescent="0.25">
      <c r="A323070" s="1"/>
    </row>
    <row r="323071" spans="1:1" x14ac:dyDescent="0.25">
      <c r="A323071" s="1"/>
    </row>
    <row r="323072" spans="1:1" x14ac:dyDescent="0.25">
      <c r="A323072" s="1"/>
    </row>
    <row r="323073" spans="1:1" x14ac:dyDescent="0.25">
      <c r="A323073" s="1"/>
    </row>
    <row r="323074" spans="1:1" x14ac:dyDescent="0.25">
      <c r="A323074" s="1"/>
    </row>
    <row r="323075" spans="1:1" x14ac:dyDescent="0.25">
      <c r="A323075" s="1"/>
    </row>
    <row r="323076" spans="1:1" x14ac:dyDescent="0.25">
      <c r="A323076" s="1"/>
    </row>
    <row r="323077" spans="1:1" x14ac:dyDescent="0.25">
      <c r="A323077" s="1"/>
    </row>
    <row r="323078" spans="1:1" x14ac:dyDescent="0.25">
      <c r="A323078" s="1"/>
    </row>
    <row r="323079" spans="1:1" x14ac:dyDescent="0.25">
      <c r="A323079" s="1"/>
    </row>
    <row r="323080" spans="1:1" x14ac:dyDescent="0.25">
      <c r="A323080" s="1"/>
    </row>
    <row r="323081" spans="1:1" x14ac:dyDescent="0.25">
      <c r="A323081" s="1"/>
    </row>
    <row r="323082" spans="1:1" x14ac:dyDescent="0.25">
      <c r="A323082" s="1"/>
    </row>
    <row r="323083" spans="1:1" x14ac:dyDescent="0.25">
      <c r="A323083" s="1"/>
    </row>
    <row r="323084" spans="1:1" x14ac:dyDescent="0.25">
      <c r="A323084" s="1"/>
    </row>
    <row r="323085" spans="1:1" x14ac:dyDescent="0.25">
      <c r="A323085" s="1"/>
    </row>
    <row r="323086" spans="1:1" x14ac:dyDescent="0.25">
      <c r="A323086" s="1"/>
    </row>
    <row r="323087" spans="1:1" x14ac:dyDescent="0.25">
      <c r="A323087" s="1"/>
    </row>
    <row r="323088" spans="1:1" x14ac:dyDescent="0.25">
      <c r="A323088" s="1"/>
    </row>
    <row r="323089" spans="1:1" x14ac:dyDescent="0.25">
      <c r="A323089" s="1"/>
    </row>
    <row r="323090" spans="1:1" x14ac:dyDescent="0.25">
      <c r="A323090" s="1"/>
    </row>
    <row r="323091" spans="1:1" x14ac:dyDescent="0.25">
      <c r="A323091" s="1"/>
    </row>
    <row r="323092" spans="1:1" x14ac:dyDescent="0.25">
      <c r="A323092" s="1"/>
    </row>
    <row r="323093" spans="1:1" x14ac:dyDescent="0.25">
      <c r="A323093" s="1"/>
    </row>
    <row r="323094" spans="1:1" x14ac:dyDescent="0.25">
      <c r="A323094" s="1"/>
    </row>
    <row r="323095" spans="1:1" x14ac:dyDescent="0.25">
      <c r="A323095" s="1"/>
    </row>
    <row r="323096" spans="1:1" x14ac:dyDescent="0.25">
      <c r="A323096" s="1"/>
    </row>
    <row r="323097" spans="1:1" x14ac:dyDescent="0.25">
      <c r="A323097" s="1"/>
    </row>
    <row r="323098" spans="1:1" x14ac:dyDescent="0.25">
      <c r="A323098" s="1"/>
    </row>
    <row r="323099" spans="1:1" x14ac:dyDescent="0.25">
      <c r="A323099" s="1"/>
    </row>
    <row r="323100" spans="1:1" x14ac:dyDescent="0.25">
      <c r="A323100" s="1"/>
    </row>
    <row r="323101" spans="1:1" x14ac:dyDescent="0.25">
      <c r="A323101" s="1"/>
    </row>
    <row r="323102" spans="1:1" x14ac:dyDescent="0.25">
      <c r="A323102" s="1"/>
    </row>
    <row r="323103" spans="1:1" x14ac:dyDescent="0.25">
      <c r="A323103" s="1"/>
    </row>
    <row r="323104" spans="1:1" x14ac:dyDescent="0.25">
      <c r="A323104" s="1"/>
    </row>
    <row r="323105" spans="1:1" x14ac:dyDescent="0.25">
      <c r="A323105" s="1"/>
    </row>
    <row r="323106" spans="1:1" x14ac:dyDescent="0.25">
      <c r="A323106" s="1"/>
    </row>
    <row r="323107" spans="1:1" x14ac:dyDescent="0.25">
      <c r="A323107" s="1"/>
    </row>
    <row r="323108" spans="1:1" x14ac:dyDescent="0.25">
      <c r="A323108" s="1"/>
    </row>
    <row r="323109" spans="1:1" x14ac:dyDescent="0.25">
      <c r="A323109" s="1"/>
    </row>
    <row r="323110" spans="1:1" x14ac:dyDescent="0.25">
      <c r="A323110" s="1"/>
    </row>
    <row r="323111" spans="1:1" x14ac:dyDescent="0.25">
      <c r="A323111" s="1"/>
    </row>
    <row r="323112" spans="1:1" x14ac:dyDescent="0.25">
      <c r="A323112" s="1"/>
    </row>
    <row r="323113" spans="1:1" x14ac:dyDescent="0.25">
      <c r="A323113" s="1"/>
    </row>
    <row r="323114" spans="1:1" x14ac:dyDescent="0.25">
      <c r="A323114" s="1"/>
    </row>
    <row r="323115" spans="1:1" x14ac:dyDescent="0.25">
      <c r="A323115" s="1"/>
    </row>
    <row r="323116" spans="1:1" x14ac:dyDescent="0.25">
      <c r="A323116" s="1"/>
    </row>
    <row r="323117" spans="1:1" x14ac:dyDescent="0.25">
      <c r="A323117" s="1"/>
    </row>
    <row r="323118" spans="1:1" x14ac:dyDescent="0.25">
      <c r="A323118" s="1"/>
    </row>
    <row r="323119" spans="1:1" x14ac:dyDescent="0.25">
      <c r="A323119" s="1"/>
    </row>
    <row r="323120" spans="1:1" x14ac:dyDescent="0.25">
      <c r="A323120" s="1"/>
    </row>
    <row r="323121" spans="1:1" x14ac:dyDescent="0.25">
      <c r="A323121" s="1"/>
    </row>
    <row r="323122" spans="1:1" x14ac:dyDescent="0.25">
      <c r="A323122" s="1"/>
    </row>
    <row r="323123" spans="1:1" x14ac:dyDescent="0.25">
      <c r="A323123" s="1"/>
    </row>
    <row r="323124" spans="1:1" x14ac:dyDescent="0.25">
      <c r="A323124" s="1"/>
    </row>
    <row r="323125" spans="1:1" x14ac:dyDescent="0.25">
      <c r="A323125" s="1"/>
    </row>
    <row r="323126" spans="1:1" x14ac:dyDescent="0.25">
      <c r="A323126" s="1"/>
    </row>
    <row r="323127" spans="1:1" x14ac:dyDescent="0.25">
      <c r="A323127" s="1"/>
    </row>
    <row r="323128" spans="1:1" x14ac:dyDescent="0.25">
      <c r="A323128" s="1"/>
    </row>
    <row r="323129" spans="1:1" x14ac:dyDescent="0.25">
      <c r="A323129" s="1"/>
    </row>
    <row r="323130" spans="1:1" x14ac:dyDescent="0.25">
      <c r="A323130" s="1"/>
    </row>
    <row r="323131" spans="1:1" x14ac:dyDescent="0.25">
      <c r="A323131" s="1"/>
    </row>
    <row r="323132" spans="1:1" x14ac:dyDescent="0.25">
      <c r="A323132" s="1"/>
    </row>
    <row r="323133" spans="1:1" x14ac:dyDescent="0.25">
      <c r="A323133" s="1"/>
    </row>
    <row r="323134" spans="1:1" x14ac:dyDescent="0.25">
      <c r="A323134" s="1"/>
    </row>
    <row r="323135" spans="1:1" x14ac:dyDescent="0.25">
      <c r="A323135" s="1"/>
    </row>
    <row r="323136" spans="1:1" x14ac:dyDescent="0.25">
      <c r="A323136" s="1"/>
    </row>
    <row r="323137" spans="1:1" x14ac:dyDescent="0.25">
      <c r="A323137" s="1"/>
    </row>
    <row r="323138" spans="1:1" x14ac:dyDescent="0.25">
      <c r="A323138" s="1"/>
    </row>
    <row r="323139" spans="1:1" x14ac:dyDescent="0.25">
      <c r="A323139" s="1"/>
    </row>
    <row r="323140" spans="1:1" x14ac:dyDescent="0.25">
      <c r="A323140" s="1"/>
    </row>
    <row r="323141" spans="1:1" x14ac:dyDescent="0.25">
      <c r="A323141" s="1"/>
    </row>
    <row r="323142" spans="1:1" x14ac:dyDescent="0.25">
      <c r="A323142" s="1"/>
    </row>
    <row r="323143" spans="1:1" x14ac:dyDescent="0.25">
      <c r="A323143" s="1"/>
    </row>
    <row r="323144" spans="1:1" x14ac:dyDescent="0.25">
      <c r="A323144" s="1"/>
    </row>
    <row r="323145" spans="1:1" x14ac:dyDescent="0.25">
      <c r="A323145" s="1"/>
    </row>
    <row r="323146" spans="1:1" x14ac:dyDescent="0.25">
      <c r="A323146" s="1"/>
    </row>
    <row r="323147" spans="1:1" x14ac:dyDescent="0.25">
      <c r="A323147" s="1"/>
    </row>
    <row r="323148" spans="1:1" x14ac:dyDescent="0.25">
      <c r="A323148" s="1"/>
    </row>
    <row r="323149" spans="1:1" x14ac:dyDescent="0.25">
      <c r="A323149" s="1"/>
    </row>
    <row r="323150" spans="1:1" x14ac:dyDescent="0.25">
      <c r="A323150" s="1"/>
    </row>
    <row r="323151" spans="1:1" x14ac:dyDescent="0.25">
      <c r="A323151" s="1"/>
    </row>
    <row r="323152" spans="1:1" x14ac:dyDescent="0.25">
      <c r="A323152" s="1"/>
    </row>
    <row r="323153" spans="1:1" x14ac:dyDescent="0.25">
      <c r="A323153" s="1"/>
    </row>
    <row r="323154" spans="1:1" x14ac:dyDescent="0.25">
      <c r="A323154" s="1"/>
    </row>
    <row r="323155" spans="1:1" x14ac:dyDescent="0.25">
      <c r="A323155" s="1"/>
    </row>
    <row r="323156" spans="1:1" x14ac:dyDescent="0.25">
      <c r="A323156" s="1"/>
    </row>
    <row r="323157" spans="1:1" x14ac:dyDescent="0.25">
      <c r="A323157" s="1"/>
    </row>
    <row r="323158" spans="1:1" x14ac:dyDescent="0.25">
      <c r="A323158" s="1"/>
    </row>
    <row r="323159" spans="1:1" x14ac:dyDescent="0.25">
      <c r="A323159" s="1"/>
    </row>
    <row r="323160" spans="1:1" x14ac:dyDescent="0.25">
      <c r="A323160" s="1"/>
    </row>
    <row r="323161" spans="1:1" x14ac:dyDescent="0.25">
      <c r="A323161" s="1"/>
    </row>
    <row r="323162" spans="1:1" x14ac:dyDescent="0.25">
      <c r="A323162" s="1"/>
    </row>
    <row r="323163" spans="1:1" x14ac:dyDescent="0.25">
      <c r="A323163" s="1"/>
    </row>
    <row r="323164" spans="1:1" x14ac:dyDescent="0.25">
      <c r="A323164" s="1"/>
    </row>
    <row r="323165" spans="1:1" x14ac:dyDescent="0.25">
      <c r="A323165" s="1"/>
    </row>
    <row r="323166" spans="1:1" x14ac:dyDescent="0.25">
      <c r="A323166" s="1"/>
    </row>
    <row r="323167" spans="1:1" x14ac:dyDescent="0.25">
      <c r="A323167" s="1"/>
    </row>
    <row r="323168" spans="1:1" x14ac:dyDescent="0.25">
      <c r="A323168" s="1"/>
    </row>
    <row r="323169" spans="1:1" x14ac:dyDescent="0.25">
      <c r="A323169" s="1"/>
    </row>
    <row r="323170" spans="1:1" x14ac:dyDescent="0.25">
      <c r="A323170" s="1"/>
    </row>
    <row r="323171" spans="1:1" x14ac:dyDescent="0.25">
      <c r="A323171" s="1"/>
    </row>
    <row r="323172" spans="1:1" x14ac:dyDescent="0.25">
      <c r="A323172" s="1"/>
    </row>
    <row r="323173" spans="1:1" x14ac:dyDescent="0.25">
      <c r="A323173" s="1"/>
    </row>
    <row r="323174" spans="1:1" x14ac:dyDescent="0.25">
      <c r="A323174" s="1"/>
    </row>
    <row r="323175" spans="1:1" x14ac:dyDescent="0.25">
      <c r="A323175" s="1"/>
    </row>
    <row r="323176" spans="1:1" x14ac:dyDescent="0.25">
      <c r="A323176" s="1"/>
    </row>
    <row r="323177" spans="1:1" x14ac:dyDescent="0.25">
      <c r="A323177" s="1"/>
    </row>
    <row r="323178" spans="1:1" x14ac:dyDescent="0.25">
      <c r="A323178" s="1"/>
    </row>
    <row r="323179" spans="1:1" x14ac:dyDescent="0.25">
      <c r="A323179" s="1"/>
    </row>
    <row r="323180" spans="1:1" x14ac:dyDescent="0.25">
      <c r="A323180" s="1"/>
    </row>
    <row r="323181" spans="1:1" x14ac:dyDescent="0.25">
      <c r="A323181" s="1"/>
    </row>
    <row r="323182" spans="1:1" x14ac:dyDescent="0.25">
      <c r="A323182" s="1"/>
    </row>
    <row r="323183" spans="1:1" x14ac:dyDescent="0.25">
      <c r="A323183" s="1"/>
    </row>
    <row r="323184" spans="1:1" x14ac:dyDescent="0.25">
      <c r="A323184" s="1"/>
    </row>
    <row r="323185" spans="1:1" x14ac:dyDescent="0.25">
      <c r="A323185" s="1"/>
    </row>
    <row r="323186" spans="1:1" x14ac:dyDescent="0.25">
      <c r="A323186" s="1"/>
    </row>
    <row r="323187" spans="1:1" x14ac:dyDescent="0.25">
      <c r="A323187" s="1"/>
    </row>
    <row r="323188" spans="1:1" x14ac:dyDescent="0.25">
      <c r="A323188" s="1"/>
    </row>
    <row r="323189" spans="1:1" x14ac:dyDescent="0.25">
      <c r="A323189" s="1"/>
    </row>
    <row r="323190" spans="1:1" x14ac:dyDescent="0.25">
      <c r="A323190" s="1"/>
    </row>
    <row r="323191" spans="1:1" x14ac:dyDescent="0.25">
      <c r="A323191" s="1"/>
    </row>
    <row r="323192" spans="1:1" x14ac:dyDescent="0.25">
      <c r="A323192" s="1"/>
    </row>
    <row r="323193" spans="1:1" x14ac:dyDescent="0.25">
      <c r="A323193" s="1"/>
    </row>
    <row r="323194" spans="1:1" x14ac:dyDescent="0.25">
      <c r="A323194" s="1"/>
    </row>
    <row r="323195" spans="1:1" x14ac:dyDescent="0.25">
      <c r="A323195" s="1"/>
    </row>
    <row r="323196" spans="1:1" x14ac:dyDescent="0.25">
      <c r="A323196" s="1"/>
    </row>
    <row r="323197" spans="1:1" x14ac:dyDescent="0.25">
      <c r="A323197" s="1"/>
    </row>
    <row r="323198" spans="1:1" x14ac:dyDescent="0.25">
      <c r="A323198" s="1"/>
    </row>
    <row r="323199" spans="1:1" x14ac:dyDescent="0.25">
      <c r="A323199" s="1"/>
    </row>
    <row r="323200" spans="1:1" x14ac:dyDescent="0.25">
      <c r="A323200" s="1"/>
    </row>
    <row r="323201" spans="1:1" x14ac:dyDescent="0.25">
      <c r="A323201" s="1"/>
    </row>
    <row r="323202" spans="1:1" x14ac:dyDescent="0.25">
      <c r="A323202" s="1"/>
    </row>
    <row r="323203" spans="1:1" x14ac:dyDescent="0.25">
      <c r="A323203" s="1"/>
    </row>
    <row r="323204" spans="1:1" x14ac:dyDescent="0.25">
      <c r="A323204" s="1"/>
    </row>
    <row r="323205" spans="1:1" x14ac:dyDescent="0.25">
      <c r="A323205" s="1"/>
    </row>
    <row r="323206" spans="1:1" x14ac:dyDescent="0.25">
      <c r="A323206" s="1"/>
    </row>
    <row r="323207" spans="1:1" x14ac:dyDescent="0.25">
      <c r="A323207" s="1"/>
    </row>
    <row r="323208" spans="1:1" x14ac:dyDescent="0.25">
      <c r="A323208" s="1"/>
    </row>
    <row r="323209" spans="1:1" x14ac:dyDescent="0.25">
      <c r="A323209" s="1"/>
    </row>
    <row r="323210" spans="1:1" x14ac:dyDescent="0.25">
      <c r="A323210" s="1"/>
    </row>
    <row r="323211" spans="1:1" x14ac:dyDescent="0.25">
      <c r="A323211" s="1"/>
    </row>
    <row r="323212" spans="1:1" x14ac:dyDescent="0.25">
      <c r="A323212" s="1"/>
    </row>
    <row r="323213" spans="1:1" x14ac:dyDescent="0.25">
      <c r="A323213" s="1"/>
    </row>
    <row r="323214" spans="1:1" x14ac:dyDescent="0.25">
      <c r="A323214" s="1"/>
    </row>
    <row r="323215" spans="1:1" x14ac:dyDescent="0.25">
      <c r="A323215" s="1"/>
    </row>
    <row r="323216" spans="1:1" x14ac:dyDescent="0.25">
      <c r="A323216" s="1"/>
    </row>
    <row r="323217" spans="1:1" x14ac:dyDescent="0.25">
      <c r="A323217" s="1"/>
    </row>
    <row r="323218" spans="1:1" x14ac:dyDescent="0.25">
      <c r="A323218" s="1"/>
    </row>
    <row r="323219" spans="1:1" x14ac:dyDescent="0.25">
      <c r="A323219" s="1"/>
    </row>
    <row r="323220" spans="1:1" x14ac:dyDescent="0.25">
      <c r="A323220" s="1"/>
    </row>
    <row r="323221" spans="1:1" x14ac:dyDescent="0.25">
      <c r="A323221" s="1"/>
    </row>
    <row r="323222" spans="1:1" x14ac:dyDescent="0.25">
      <c r="A323222" s="1"/>
    </row>
    <row r="323223" spans="1:1" x14ac:dyDescent="0.25">
      <c r="A323223" s="1"/>
    </row>
    <row r="323224" spans="1:1" x14ac:dyDescent="0.25">
      <c r="A323224" s="1"/>
    </row>
    <row r="323225" spans="1:1" x14ac:dyDescent="0.25">
      <c r="A323225" s="1"/>
    </row>
    <row r="323226" spans="1:1" x14ac:dyDescent="0.25">
      <c r="A323226" s="1"/>
    </row>
    <row r="323227" spans="1:1" x14ac:dyDescent="0.25">
      <c r="A323227" s="1"/>
    </row>
    <row r="323228" spans="1:1" x14ac:dyDescent="0.25">
      <c r="A323228" s="1"/>
    </row>
    <row r="323229" spans="1:1" x14ac:dyDescent="0.25">
      <c r="A323229" s="1"/>
    </row>
    <row r="323230" spans="1:1" x14ac:dyDescent="0.25">
      <c r="A323230" s="1"/>
    </row>
    <row r="323231" spans="1:1" x14ac:dyDescent="0.25">
      <c r="A323231" s="1"/>
    </row>
    <row r="323232" spans="1:1" x14ac:dyDescent="0.25">
      <c r="A323232" s="1"/>
    </row>
    <row r="323233" spans="1:1" x14ac:dyDescent="0.25">
      <c r="A323233" s="1"/>
    </row>
    <row r="323234" spans="1:1" x14ac:dyDescent="0.25">
      <c r="A323234" s="1"/>
    </row>
    <row r="323235" spans="1:1" x14ac:dyDescent="0.25">
      <c r="A323235" s="1"/>
    </row>
    <row r="323236" spans="1:1" x14ac:dyDescent="0.25">
      <c r="A323236" s="1"/>
    </row>
    <row r="323237" spans="1:1" x14ac:dyDescent="0.25">
      <c r="A323237" s="1"/>
    </row>
    <row r="323238" spans="1:1" x14ac:dyDescent="0.25">
      <c r="A323238" s="1"/>
    </row>
    <row r="323239" spans="1:1" x14ac:dyDescent="0.25">
      <c r="A323239" s="1"/>
    </row>
    <row r="323240" spans="1:1" x14ac:dyDescent="0.25">
      <c r="A323240" s="1"/>
    </row>
    <row r="323241" spans="1:1" x14ac:dyDescent="0.25">
      <c r="A323241" s="1"/>
    </row>
    <row r="323242" spans="1:1" x14ac:dyDescent="0.25">
      <c r="A323242" s="1"/>
    </row>
    <row r="323243" spans="1:1" x14ac:dyDescent="0.25">
      <c r="A323243" s="1"/>
    </row>
    <row r="323244" spans="1:1" x14ac:dyDescent="0.25">
      <c r="A323244" s="1"/>
    </row>
    <row r="323245" spans="1:1" x14ac:dyDescent="0.25">
      <c r="A323245" s="1"/>
    </row>
    <row r="323246" spans="1:1" x14ac:dyDescent="0.25">
      <c r="A323246" s="1"/>
    </row>
    <row r="323247" spans="1:1" x14ac:dyDescent="0.25">
      <c r="A323247" s="1"/>
    </row>
    <row r="323248" spans="1:1" x14ac:dyDescent="0.25">
      <c r="A323248" s="1"/>
    </row>
    <row r="323249" spans="1:1" x14ac:dyDescent="0.25">
      <c r="A323249" s="1"/>
    </row>
    <row r="323250" spans="1:1" x14ac:dyDescent="0.25">
      <c r="A323250" s="1"/>
    </row>
    <row r="323251" spans="1:1" x14ac:dyDescent="0.25">
      <c r="A323251" s="1"/>
    </row>
    <row r="323252" spans="1:1" x14ac:dyDescent="0.25">
      <c r="A323252" s="1"/>
    </row>
    <row r="323253" spans="1:1" x14ac:dyDescent="0.25">
      <c r="A323253" s="1"/>
    </row>
    <row r="323254" spans="1:1" x14ac:dyDescent="0.25">
      <c r="A323254" s="1"/>
    </row>
    <row r="323255" spans="1:1" x14ac:dyDescent="0.25">
      <c r="A323255" s="1"/>
    </row>
    <row r="323256" spans="1:1" x14ac:dyDescent="0.25">
      <c r="A323256" s="1"/>
    </row>
    <row r="323257" spans="1:1" x14ac:dyDescent="0.25">
      <c r="A323257" s="1"/>
    </row>
    <row r="323258" spans="1:1" x14ac:dyDescent="0.25">
      <c r="A323258" s="1"/>
    </row>
    <row r="323259" spans="1:1" x14ac:dyDescent="0.25">
      <c r="A323259" s="1"/>
    </row>
    <row r="323260" spans="1:1" x14ac:dyDescent="0.25">
      <c r="A323260" s="1"/>
    </row>
    <row r="323261" spans="1:1" x14ac:dyDescent="0.25">
      <c r="A323261" s="1"/>
    </row>
    <row r="323262" spans="1:1" x14ac:dyDescent="0.25">
      <c r="A323262" s="1"/>
    </row>
    <row r="323263" spans="1:1" x14ac:dyDescent="0.25">
      <c r="A323263" s="1"/>
    </row>
    <row r="323264" spans="1:1" x14ac:dyDescent="0.25">
      <c r="A323264" s="1"/>
    </row>
    <row r="323265" spans="1:1" x14ac:dyDescent="0.25">
      <c r="A323265" s="1"/>
    </row>
    <row r="323266" spans="1:1" x14ac:dyDescent="0.25">
      <c r="A323266" s="1"/>
    </row>
    <row r="323267" spans="1:1" x14ac:dyDescent="0.25">
      <c r="A323267" s="1"/>
    </row>
    <row r="323268" spans="1:1" x14ac:dyDescent="0.25">
      <c r="A323268" s="1"/>
    </row>
    <row r="323269" spans="1:1" x14ac:dyDescent="0.25">
      <c r="A323269" s="1"/>
    </row>
    <row r="323270" spans="1:1" x14ac:dyDescent="0.25">
      <c r="A323270" s="1"/>
    </row>
    <row r="323271" spans="1:1" x14ac:dyDescent="0.25">
      <c r="A323271" s="1"/>
    </row>
    <row r="323272" spans="1:1" x14ac:dyDescent="0.25">
      <c r="A323272" s="1"/>
    </row>
    <row r="323273" spans="1:1" x14ac:dyDescent="0.25">
      <c r="A323273" s="1"/>
    </row>
    <row r="323274" spans="1:1" x14ac:dyDescent="0.25">
      <c r="A323274" s="1"/>
    </row>
    <row r="323275" spans="1:1" x14ac:dyDescent="0.25">
      <c r="A323275" s="1"/>
    </row>
    <row r="323276" spans="1:1" x14ac:dyDescent="0.25">
      <c r="A323276" s="1"/>
    </row>
    <row r="323277" spans="1:1" x14ac:dyDescent="0.25">
      <c r="A323277" s="1"/>
    </row>
    <row r="323278" spans="1:1" x14ac:dyDescent="0.25">
      <c r="A323278" s="1"/>
    </row>
    <row r="323279" spans="1:1" x14ac:dyDescent="0.25">
      <c r="A323279" s="1"/>
    </row>
    <row r="323280" spans="1:1" x14ac:dyDescent="0.25">
      <c r="A323280" s="1"/>
    </row>
    <row r="323281" spans="1:1" x14ac:dyDescent="0.25">
      <c r="A323281" s="1"/>
    </row>
    <row r="323282" spans="1:1" x14ac:dyDescent="0.25">
      <c r="A323282" s="1"/>
    </row>
    <row r="323283" spans="1:1" x14ac:dyDescent="0.25">
      <c r="A323283" s="1"/>
    </row>
    <row r="323284" spans="1:1" x14ac:dyDescent="0.25">
      <c r="A323284" s="1"/>
    </row>
    <row r="323285" spans="1:1" x14ac:dyDescent="0.25">
      <c r="A323285" s="1"/>
    </row>
    <row r="323286" spans="1:1" x14ac:dyDescent="0.25">
      <c r="A323286" s="1"/>
    </row>
    <row r="323287" spans="1:1" x14ac:dyDescent="0.25">
      <c r="A323287" s="1"/>
    </row>
    <row r="323288" spans="1:1" x14ac:dyDescent="0.25">
      <c r="A323288" s="1"/>
    </row>
    <row r="323289" spans="1:1" x14ac:dyDescent="0.25">
      <c r="A323289" s="1"/>
    </row>
    <row r="323290" spans="1:1" x14ac:dyDescent="0.25">
      <c r="A323290" s="1"/>
    </row>
    <row r="323291" spans="1:1" x14ac:dyDescent="0.25">
      <c r="A323291" s="1"/>
    </row>
    <row r="323292" spans="1:1" x14ac:dyDescent="0.25">
      <c r="A323292" s="1"/>
    </row>
    <row r="323293" spans="1:1" x14ac:dyDescent="0.25">
      <c r="A323293" s="1"/>
    </row>
    <row r="323294" spans="1:1" x14ac:dyDescent="0.25">
      <c r="A323294" s="1"/>
    </row>
    <row r="323295" spans="1:1" x14ac:dyDescent="0.25">
      <c r="A323295" s="1"/>
    </row>
    <row r="323296" spans="1:1" x14ac:dyDescent="0.25">
      <c r="A323296" s="1"/>
    </row>
    <row r="323297" spans="1:1" x14ac:dyDescent="0.25">
      <c r="A323297" s="1"/>
    </row>
    <row r="323298" spans="1:1" x14ac:dyDescent="0.25">
      <c r="A323298" s="1"/>
    </row>
    <row r="323299" spans="1:1" x14ac:dyDescent="0.25">
      <c r="A323299" s="1"/>
    </row>
    <row r="323300" spans="1:1" x14ac:dyDescent="0.25">
      <c r="A323300" s="1"/>
    </row>
    <row r="323301" spans="1:1" x14ac:dyDescent="0.25">
      <c r="A323301" s="1"/>
    </row>
    <row r="323302" spans="1:1" x14ac:dyDescent="0.25">
      <c r="A323302" s="1"/>
    </row>
    <row r="323303" spans="1:1" x14ac:dyDescent="0.25">
      <c r="A323303" s="1"/>
    </row>
    <row r="323304" spans="1:1" x14ac:dyDescent="0.25">
      <c r="A323304" s="1"/>
    </row>
    <row r="323305" spans="1:1" x14ac:dyDescent="0.25">
      <c r="A323305" s="1"/>
    </row>
    <row r="323306" spans="1:1" x14ac:dyDescent="0.25">
      <c r="A323306" s="1"/>
    </row>
    <row r="323307" spans="1:1" x14ac:dyDescent="0.25">
      <c r="A323307" s="1"/>
    </row>
    <row r="323308" spans="1:1" x14ac:dyDescent="0.25">
      <c r="A323308" s="1"/>
    </row>
    <row r="323309" spans="1:1" x14ac:dyDescent="0.25">
      <c r="A323309" s="1"/>
    </row>
    <row r="323310" spans="1:1" x14ac:dyDescent="0.25">
      <c r="A323310" s="1"/>
    </row>
    <row r="323311" spans="1:1" x14ac:dyDescent="0.25">
      <c r="A323311" s="1"/>
    </row>
    <row r="323312" spans="1:1" x14ac:dyDescent="0.25">
      <c r="A323312" s="1"/>
    </row>
    <row r="323313" spans="1:1" x14ac:dyDescent="0.25">
      <c r="A323313" s="1"/>
    </row>
    <row r="323314" spans="1:1" x14ac:dyDescent="0.25">
      <c r="A323314" s="1"/>
    </row>
    <row r="323315" spans="1:1" x14ac:dyDescent="0.25">
      <c r="A323315" s="1"/>
    </row>
    <row r="323316" spans="1:1" x14ac:dyDescent="0.25">
      <c r="A323316" s="1"/>
    </row>
    <row r="323317" spans="1:1" x14ac:dyDescent="0.25">
      <c r="A323317" s="1"/>
    </row>
    <row r="323318" spans="1:1" x14ac:dyDescent="0.25">
      <c r="A323318" s="1"/>
    </row>
    <row r="323319" spans="1:1" x14ac:dyDescent="0.25">
      <c r="A323319" s="1"/>
    </row>
    <row r="323320" spans="1:1" x14ac:dyDescent="0.25">
      <c r="A323320" s="1"/>
    </row>
    <row r="323321" spans="1:1" x14ac:dyDescent="0.25">
      <c r="A323321" s="1"/>
    </row>
    <row r="323322" spans="1:1" x14ac:dyDescent="0.25">
      <c r="A323322" s="1"/>
    </row>
    <row r="323323" spans="1:1" x14ac:dyDescent="0.25">
      <c r="A323323" s="1"/>
    </row>
    <row r="323324" spans="1:1" x14ac:dyDescent="0.25">
      <c r="A323324" s="1"/>
    </row>
    <row r="323325" spans="1:1" x14ac:dyDescent="0.25">
      <c r="A323325" s="1"/>
    </row>
    <row r="323326" spans="1:1" x14ac:dyDescent="0.25">
      <c r="A323326" s="1"/>
    </row>
    <row r="323327" spans="1:1" x14ac:dyDescent="0.25">
      <c r="A323327" s="1"/>
    </row>
    <row r="323328" spans="1:1" x14ac:dyDescent="0.25">
      <c r="A323328" s="1"/>
    </row>
    <row r="323329" spans="1:1" x14ac:dyDescent="0.25">
      <c r="A323329" s="1"/>
    </row>
    <row r="323330" spans="1:1" x14ac:dyDescent="0.25">
      <c r="A323330" s="1"/>
    </row>
    <row r="323331" spans="1:1" x14ac:dyDescent="0.25">
      <c r="A323331" s="1"/>
    </row>
    <row r="323332" spans="1:1" x14ac:dyDescent="0.25">
      <c r="A323332" s="1"/>
    </row>
    <row r="323333" spans="1:1" x14ac:dyDescent="0.25">
      <c r="A323333" s="1"/>
    </row>
    <row r="323334" spans="1:1" x14ac:dyDescent="0.25">
      <c r="A323334" s="1"/>
    </row>
    <row r="323335" spans="1:1" x14ac:dyDescent="0.25">
      <c r="A323335" s="1"/>
    </row>
    <row r="323336" spans="1:1" x14ac:dyDescent="0.25">
      <c r="A323336" s="1"/>
    </row>
    <row r="323337" spans="1:1" x14ac:dyDescent="0.25">
      <c r="A323337" s="1"/>
    </row>
    <row r="323338" spans="1:1" x14ac:dyDescent="0.25">
      <c r="A323338" s="1"/>
    </row>
    <row r="323339" spans="1:1" x14ac:dyDescent="0.25">
      <c r="A323339" s="1"/>
    </row>
    <row r="323340" spans="1:1" x14ac:dyDescent="0.25">
      <c r="A323340" s="1"/>
    </row>
    <row r="323341" spans="1:1" x14ac:dyDescent="0.25">
      <c r="A323341" s="1"/>
    </row>
    <row r="323342" spans="1:1" x14ac:dyDescent="0.25">
      <c r="A323342" s="1"/>
    </row>
    <row r="323343" spans="1:1" x14ac:dyDescent="0.25">
      <c r="A323343" s="1"/>
    </row>
    <row r="323344" spans="1:1" x14ac:dyDescent="0.25">
      <c r="A323344" s="1"/>
    </row>
    <row r="323345" spans="1:1" x14ac:dyDescent="0.25">
      <c r="A323345" s="1"/>
    </row>
    <row r="323346" spans="1:1" x14ac:dyDescent="0.25">
      <c r="A323346" s="1"/>
    </row>
    <row r="323347" spans="1:1" x14ac:dyDescent="0.25">
      <c r="A323347" s="1"/>
    </row>
    <row r="323348" spans="1:1" x14ac:dyDescent="0.25">
      <c r="A323348" s="1"/>
    </row>
    <row r="323349" spans="1:1" x14ac:dyDescent="0.25">
      <c r="A323349" s="1"/>
    </row>
    <row r="323350" spans="1:1" x14ac:dyDescent="0.25">
      <c r="A323350" s="1"/>
    </row>
    <row r="323351" spans="1:1" x14ac:dyDescent="0.25">
      <c r="A323351" s="1"/>
    </row>
    <row r="323352" spans="1:1" x14ac:dyDescent="0.25">
      <c r="A323352" s="1"/>
    </row>
    <row r="323353" spans="1:1" x14ac:dyDescent="0.25">
      <c r="A323353" s="1"/>
    </row>
    <row r="323354" spans="1:1" x14ac:dyDescent="0.25">
      <c r="A323354" s="1"/>
    </row>
    <row r="323355" spans="1:1" x14ac:dyDescent="0.25">
      <c r="A323355" s="1"/>
    </row>
    <row r="323356" spans="1:1" x14ac:dyDescent="0.25">
      <c r="A323356" s="1"/>
    </row>
    <row r="323357" spans="1:1" x14ac:dyDescent="0.25">
      <c r="A323357" s="1"/>
    </row>
    <row r="323358" spans="1:1" x14ac:dyDescent="0.25">
      <c r="A323358" s="1"/>
    </row>
    <row r="323359" spans="1:1" x14ac:dyDescent="0.25">
      <c r="A323359" s="1"/>
    </row>
    <row r="323360" spans="1:1" x14ac:dyDescent="0.25">
      <c r="A323360" s="1"/>
    </row>
    <row r="323361" spans="1:1" x14ac:dyDescent="0.25">
      <c r="A323361" s="1"/>
    </row>
    <row r="323362" spans="1:1" x14ac:dyDescent="0.25">
      <c r="A323362" s="1"/>
    </row>
    <row r="323363" spans="1:1" x14ac:dyDescent="0.25">
      <c r="A323363" s="1"/>
    </row>
    <row r="323364" spans="1:1" x14ac:dyDescent="0.25">
      <c r="A323364" s="1"/>
    </row>
    <row r="323365" spans="1:1" x14ac:dyDescent="0.25">
      <c r="A323365" s="1"/>
    </row>
    <row r="323366" spans="1:1" x14ac:dyDescent="0.25">
      <c r="A323366" s="1"/>
    </row>
    <row r="323367" spans="1:1" x14ac:dyDescent="0.25">
      <c r="A323367" s="1"/>
    </row>
    <row r="323368" spans="1:1" x14ac:dyDescent="0.25">
      <c r="A323368" s="1"/>
    </row>
    <row r="323369" spans="1:1" x14ac:dyDescent="0.25">
      <c r="A323369" s="1"/>
    </row>
    <row r="323370" spans="1:1" x14ac:dyDescent="0.25">
      <c r="A323370" s="1"/>
    </row>
    <row r="323371" spans="1:1" x14ac:dyDescent="0.25">
      <c r="A323371" s="1"/>
    </row>
    <row r="323372" spans="1:1" x14ac:dyDescent="0.25">
      <c r="A323372" s="1"/>
    </row>
    <row r="323373" spans="1:1" x14ac:dyDescent="0.25">
      <c r="A323373" s="1"/>
    </row>
    <row r="323374" spans="1:1" x14ac:dyDescent="0.25">
      <c r="A323374" s="1"/>
    </row>
    <row r="323375" spans="1:1" x14ac:dyDescent="0.25">
      <c r="A323375" s="1"/>
    </row>
    <row r="323376" spans="1:1" x14ac:dyDescent="0.25">
      <c r="A323376" s="1"/>
    </row>
    <row r="323377" spans="1:1" x14ac:dyDescent="0.25">
      <c r="A323377" s="1"/>
    </row>
    <row r="323378" spans="1:1" x14ac:dyDescent="0.25">
      <c r="A323378" s="1"/>
    </row>
    <row r="323379" spans="1:1" x14ac:dyDescent="0.25">
      <c r="A323379" s="1"/>
    </row>
    <row r="323380" spans="1:1" x14ac:dyDescent="0.25">
      <c r="A323380" s="1"/>
    </row>
    <row r="323381" spans="1:1" x14ac:dyDescent="0.25">
      <c r="A323381" s="1"/>
    </row>
    <row r="323382" spans="1:1" x14ac:dyDescent="0.25">
      <c r="A323382" s="1"/>
    </row>
    <row r="323383" spans="1:1" x14ac:dyDescent="0.25">
      <c r="A323383" s="1"/>
    </row>
    <row r="323384" spans="1:1" x14ac:dyDescent="0.25">
      <c r="A323384" s="1"/>
    </row>
    <row r="323385" spans="1:1" x14ac:dyDescent="0.25">
      <c r="A323385" s="1"/>
    </row>
    <row r="323386" spans="1:1" x14ac:dyDescent="0.25">
      <c r="A323386" s="1"/>
    </row>
    <row r="323387" spans="1:1" x14ac:dyDescent="0.25">
      <c r="A323387" s="1"/>
    </row>
    <row r="323388" spans="1:1" x14ac:dyDescent="0.25">
      <c r="A323388" s="1"/>
    </row>
    <row r="323389" spans="1:1" x14ac:dyDescent="0.25">
      <c r="A323389" s="1"/>
    </row>
    <row r="323390" spans="1:1" x14ac:dyDescent="0.25">
      <c r="A323390" s="1"/>
    </row>
    <row r="323391" spans="1:1" x14ac:dyDescent="0.25">
      <c r="A323391" s="1"/>
    </row>
    <row r="323392" spans="1:1" x14ac:dyDescent="0.25">
      <c r="A323392" s="1"/>
    </row>
    <row r="323393" spans="1:1" x14ac:dyDescent="0.25">
      <c r="A323393" s="1"/>
    </row>
    <row r="323394" spans="1:1" x14ac:dyDescent="0.25">
      <c r="A323394" s="1"/>
    </row>
    <row r="323395" spans="1:1" x14ac:dyDescent="0.25">
      <c r="A323395" s="1"/>
    </row>
    <row r="323396" spans="1:1" x14ac:dyDescent="0.25">
      <c r="A323396" s="1"/>
    </row>
    <row r="323397" spans="1:1" x14ac:dyDescent="0.25">
      <c r="A323397" s="1"/>
    </row>
    <row r="323398" spans="1:1" x14ac:dyDescent="0.25">
      <c r="A323398" s="1"/>
    </row>
    <row r="323399" spans="1:1" x14ac:dyDescent="0.25">
      <c r="A323399" s="1"/>
    </row>
    <row r="323400" spans="1:1" x14ac:dyDescent="0.25">
      <c r="A323400" s="1"/>
    </row>
    <row r="323401" spans="1:1" x14ac:dyDescent="0.25">
      <c r="A323401" s="1"/>
    </row>
    <row r="323402" spans="1:1" x14ac:dyDescent="0.25">
      <c r="A323402" s="1"/>
    </row>
    <row r="323403" spans="1:1" x14ac:dyDescent="0.25">
      <c r="A323403" s="1"/>
    </row>
    <row r="323404" spans="1:1" x14ac:dyDescent="0.25">
      <c r="A323404" s="1"/>
    </row>
    <row r="323405" spans="1:1" x14ac:dyDescent="0.25">
      <c r="A323405" s="1"/>
    </row>
    <row r="323406" spans="1:1" x14ac:dyDescent="0.25">
      <c r="A323406" s="1"/>
    </row>
    <row r="323407" spans="1:1" x14ac:dyDescent="0.25">
      <c r="A323407" s="1"/>
    </row>
    <row r="323408" spans="1:1" x14ac:dyDescent="0.25">
      <c r="A323408" s="1"/>
    </row>
    <row r="323409" spans="1:1" x14ac:dyDescent="0.25">
      <c r="A323409" s="1"/>
    </row>
    <row r="323410" spans="1:1" x14ac:dyDescent="0.25">
      <c r="A323410" s="1"/>
    </row>
    <row r="323411" spans="1:1" x14ac:dyDescent="0.25">
      <c r="A323411" s="1"/>
    </row>
    <row r="323412" spans="1:1" x14ac:dyDescent="0.25">
      <c r="A323412" s="1"/>
    </row>
    <row r="323413" spans="1:1" x14ac:dyDescent="0.25">
      <c r="A323413" s="1"/>
    </row>
    <row r="323414" spans="1:1" x14ac:dyDescent="0.25">
      <c r="A323414" s="1"/>
    </row>
    <row r="323415" spans="1:1" x14ac:dyDescent="0.25">
      <c r="A323415" s="1"/>
    </row>
    <row r="323416" spans="1:1" x14ac:dyDescent="0.25">
      <c r="A323416" s="1"/>
    </row>
    <row r="323417" spans="1:1" x14ac:dyDescent="0.25">
      <c r="A323417" s="1"/>
    </row>
    <row r="323418" spans="1:1" x14ac:dyDescent="0.25">
      <c r="A323418" s="1"/>
    </row>
    <row r="323419" spans="1:1" x14ac:dyDescent="0.25">
      <c r="A323419" s="1"/>
    </row>
    <row r="323420" spans="1:1" x14ac:dyDescent="0.25">
      <c r="A323420" s="1"/>
    </row>
    <row r="323421" spans="1:1" x14ac:dyDescent="0.25">
      <c r="A323421" s="1"/>
    </row>
    <row r="323422" spans="1:1" x14ac:dyDescent="0.25">
      <c r="A323422" s="1"/>
    </row>
    <row r="323423" spans="1:1" x14ac:dyDescent="0.25">
      <c r="A323423" s="1"/>
    </row>
    <row r="323424" spans="1:1" x14ac:dyDescent="0.25">
      <c r="A323424" s="1"/>
    </row>
    <row r="323425" spans="1:1" x14ac:dyDescent="0.25">
      <c r="A323425" s="1"/>
    </row>
    <row r="323426" spans="1:1" x14ac:dyDescent="0.25">
      <c r="A323426" s="1"/>
    </row>
    <row r="323427" spans="1:1" x14ac:dyDescent="0.25">
      <c r="A323427" s="1"/>
    </row>
    <row r="323428" spans="1:1" x14ac:dyDescent="0.25">
      <c r="A323428" s="1"/>
    </row>
    <row r="323429" spans="1:1" x14ac:dyDescent="0.25">
      <c r="A323429" s="1"/>
    </row>
    <row r="323430" spans="1:1" x14ac:dyDescent="0.25">
      <c r="A323430" s="1"/>
    </row>
    <row r="323431" spans="1:1" x14ac:dyDescent="0.25">
      <c r="A323431" s="1"/>
    </row>
    <row r="323432" spans="1:1" x14ac:dyDescent="0.25">
      <c r="A323432" s="1"/>
    </row>
    <row r="323433" spans="1:1" x14ac:dyDescent="0.25">
      <c r="A323433" s="1"/>
    </row>
    <row r="323434" spans="1:1" x14ac:dyDescent="0.25">
      <c r="A323434" s="1"/>
    </row>
    <row r="323435" spans="1:1" x14ac:dyDescent="0.25">
      <c r="A323435" s="1"/>
    </row>
    <row r="323436" spans="1:1" x14ac:dyDescent="0.25">
      <c r="A323436" s="1"/>
    </row>
    <row r="323437" spans="1:1" x14ac:dyDescent="0.25">
      <c r="A323437" s="1"/>
    </row>
    <row r="323438" spans="1:1" x14ac:dyDescent="0.25">
      <c r="A323438" s="1"/>
    </row>
    <row r="323439" spans="1:1" x14ac:dyDescent="0.25">
      <c r="A323439" s="1"/>
    </row>
    <row r="323440" spans="1:1" x14ac:dyDescent="0.25">
      <c r="A323440" s="1"/>
    </row>
    <row r="323441" spans="1:1" x14ac:dyDescent="0.25">
      <c r="A323441" s="1"/>
    </row>
    <row r="323442" spans="1:1" x14ac:dyDescent="0.25">
      <c r="A323442" s="1"/>
    </row>
    <row r="323443" spans="1:1" x14ac:dyDescent="0.25">
      <c r="A323443" s="1"/>
    </row>
    <row r="323444" spans="1:1" x14ac:dyDescent="0.25">
      <c r="A323444" s="1"/>
    </row>
    <row r="323445" spans="1:1" x14ac:dyDescent="0.25">
      <c r="A323445" s="1"/>
    </row>
    <row r="323446" spans="1:1" x14ac:dyDescent="0.25">
      <c r="A323446" s="1"/>
    </row>
    <row r="323447" spans="1:1" x14ac:dyDescent="0.25">
      <c r="A323447" s="1"/>
    </row>
    <row r="323448" spans="1:1" x14ac:dyDescent="0.25">
      <c r="A323448" s="1"/>
    </row>
    <row r="323449" spans="1:1" x14ac:dyDescent="0.25">
      <c r="A323449" s="1"/>
    </row>
    <row r="323450" spans="1:1" x14ac:dyDescent="0.25">
      <c r="A323450" s="1"/>
    </row>
    <row r="323451" spans="1:1" x14ac:dyDescent="0.25">
      <c r="A323451" s="1"/>
    </row>
    <row r="323452" spans="1:1" x14ac:dyDescent="0.25">
      <c r="A323452" s="1"/>
    </row>
    <row r="323453" spans="1:1" x14ac:dyDescent="0.25">
      <c r="A323453" s="1"/>
    </row>
    <row r="323454" spans="1:1" x14ac:dyDescent="0.25">
      <c r="A323454" s="1"/>
    </row>
    <row r="323455" spans="1:1" x14ac:dyDescent="0.25">
      <c r="A323455" s="1"/>
    </row>
    <row r="323456" spans="1:1" x14ac:dyDescent="0.25">
      <c r="A323456" s="1"/>
    </row>
    <row r="323457" spans="1:1" x14ac:dyDescent="0.25">
      <c r="A323457" s="1"/>
    </row>
    <row r="323458" spans="1:1" x14ac:dyDescent="0.25">
      <c r="A323458" s="1"/>
    </row>
    <row r="323459" spans="1:1" x14ac:dyDescent="0.25">
      <c r="A323459" s="1"/>
    </row>
    <row r="323460" spans="1:1" x14ac:dyDescent="0.25">
      <c r="A323460" s="1"/>
    </row>
    <row r="323461" spans="1:1" x14ac:dyDescent="0.25">
      <c r="A323461" s="1"/>
    </row>
    <row r="323462" spans="1:1" x14ac:dyDescent="0.25">
      <c r="A323462" s="1"/>
    </row>
    <row r="323463" spans="1:1" x14ac:dyDescent="0.25">
      <c r="A323463" s="1"/>
    </row>
    <row r="323464" spans="1:1" x14ac:dyDescent="0.25">
      <c r="A323464" s="1"/>
    </row>
    <row r="323465" spans="1:1" x14ac:dyDescent="0.25">
      <c r="A323465" s="1"/>
    </row>
    <row r="323466" spans="1:1" x14ac:dyDescent="0.25">
      <c r="A323466" s="1"/>
    </row>
    <row r="323467" spans="1:1" x14ac:dyDescent="0.25">
      <c r="A323467" s="1"/>
    </row>
    <row r="323468" spans="1:1" x14ac:dyDescent="0.25">
      <c r="A323468" s="1"/>
    </row>
    <row r="323469" spans="1:1" x14ac:dyDescent="0.25">
      <c r="A323469" s="1"/>
    </row>
    <row r="323470" spans="1:1" x14ac:dyDescent="0.25">
      <c r="A323470" s="1"/>
    </row>
    <row r="323471" spans="1:1" x14ac:dyDescent="0.25">
      <c r="A323471" s="1"/>
    </row>
    <row r="323472" spans="1:1" x14ac:dyDescent="0.25">
      <c r="A323472" s="1"/>
    </row>
    <row r="323473" spans="1:1" x14ac:dyDescent="0.25">
      <c r="A323473" s="1"/>
    </row>
    <row r="323474" spans="1:1" x14ac:dyDescent="0.25">
      <c r="A323474" s="1"/>
    </row>
    <row r="323475" spans="1:1" x14ac:dyDescent="0.25">
      <c r="A323475" s="1"/>
    </row>
    <row r="323476" spans="1:1" x14ac:dyDescent="0.25">
      <c r="A323476" s="1"/>
    </row>
    <row r="323477" spans="1:1" x14ac:dyDescent="0.25">
      <c r="A323477" s="1"/>
    </row>
    <row r="323478" spans="1:1" x14ac:dyDescent="0.25">
      <c r="A323478" s="1"/>
    </row>
    <row r="323479" spans="1:1" x14ac:dyDescent="0.25">
      <c r="A323479" s="1"/>
    </row>
    <row r="323480" spans="1:1" x14ac:dyDescent="0.25">
      <c r="A323480" s="1"/>
    </row>
    <row r="323481" spans="1:1" x14ac:dyDescent="0.25">
      <c r="A323481" s="1"/>
    </row>
    <row r="323482" spans="1:1" x14ac:dyDescent="0.25">
      <c r="A323482" s="1"/>
    </row>
    <row r="323483" spans="1:1" x14ac:dyDescent="0.25">
      <c r="A323483" s="1"/>
    </row>
    <row r="323484" spans="1:1" x14ac:dyDescent="0.25">
      <c r="A323484" s="1"/>
    </row>
    <row r="323485" spans="1:1" x14ac:dyDescent="0.25">
      <c r="A323485" s="1"/>
    </row>
    <row r="323486" spans="1:1" x14ac:dyDescent="0.25">
      <c r="A323486" s="1"/>
    </row>
    <row r="323487" spans="1:1" x14ac:dyDescent="0.25">
      <c r="A323487" s="1"/>
    </row>
    <row r="323488" spans="1:1" x14ac:dyDescent="0.25">
      <c r="A323488" s="1"/>
    </row>
    <row r="323489" spans="1:1" x14ac:dyDescent="0.25">
      <c r="A323489" s="1"/>
    </row>
    <row r="323490" spans="1:1" x14ac:dyDescent="0.25">
      <c r="A323490" s="1"/>
    </row>
    <row r="323491" spans="1:1" x14ac:dyDescent="0.25">
      <c r="A323491" s="1"/>
    </row>
    <row r="323492" spans="1:1" x14ac:dyDescent="0.25">
      <c r="A323492" s="1"/>
    </row>
    <row r="323493" spans="1:1" x14ac:dyDescent="0.25">
      <c r="A323493" s="1"/>
    </row>
    <row r="323494" spans="1:1" x14ac:dyDescent="0.25">
      <c r="A323494" s="1"/>
    </row>
    <row r="323495" spans="1:1" x14ac:dyDescent="0.25">
      <c r="A323495" s="1"/>
    </row>
    <row r="323496" spans="1:1" x14ac:dyDescent="0.25">
      <c r="A323496" s="1"/>
    </row>
    <row r="323497" spans="1:1" x14ac:dyDescent="0.25">
      <c r="A323497" s="1"/>
    </row>
    <row r="323498" spans="1:1" x14ac:dyDescent="0.25">
      <c r="A323498" s="1"/>
    </row>
    <row r="323499" spans="1:1" x14ac:dyDescent="0.25">
      <c r="A323499" s="1"/>
    </row>
    <row r="323500" spans="1:1" x14ac:dyDescent="0.25">
      <c r="A323500" s="1"/>
    </row>
    <row r="323501" spans="1:1" x14ac:dyDescent="0.25">
      <c r="A323501" s="1"/>
    </row>
    <row r="323502" spans="1:1" x14ac:dyDescent="0.25">
      <c r="A323502" s="1"/>
    </row>
    <row r="323503" spans="1:1" x14ac:dyDescent="0.25">
      <c r="A323503" s="1"/>
    </row>
    <row r="323504" spans="1:1" x14ac:dyDescent="0.25">
      <c r="A323504" s="1"/>
    </row>
    <row r="323505" spans="1:1" x14ac:dyDescent="0.25">
      <c r="A323505" s="1"/>
    </row>
    <row r="323506" spans="1:1" x14ac:dyDescent="0.25">
      <c r="A323506" s="1"/>
    </row>
    <row r="323507" spans="1:1" x14ac:dyDescent="0.25">
      <c r="A323507" s="1"/>
    </row>
    <row r="323508" spans="1:1" x14ac:dyDescent="0.25">
      <c r="A323508" s="1"/>
    </row>
    <row r="323509" spans="1:1" x14ac:dyDescent="0.25">
      <c r="A323509" s="1"/>
    </row>
    <row r="323510" spans="1:1" x14ac:dyDescent="0.25">
      <c r="A323510" s="1"/>
    </row>
    <row r="323511" spans="1:1" x14ac:dyDescent="0.25">
      <c r="A323511" s="1"/>
    </row>
    <row r="323512" spans="1:1" x14ac:dyDescent="0.25">
      <c r="A323512" s="1"/>
    </row>
    <row r="323513" spans="1:1" x14ac:dyDescent="0.25">
      <c r="A323513" s="1"/>
    </row>
    <row r="323514" spans="1:1" x14ac:dyDescent="0.25">
      <c r="A323514" s="1"/>
    </row>
    <row r="323515" spans="1:1" x14ac:dyDescent="0.25">
      <c r="A323515" s="1"/>
    </row>
    <row r="323516" spans="1:1" x14ac:dyDescent="0.25">
      <c r="A323516" s="1"/>
    </row>
    <row r="323517" spans="1:1" x14ac:dyDescent="0.25">
      <c r="A323517" s="1"/>
    </row>
    <row r="323518" spans="1:1" x14ac:dyDescent="0.25">
      <c r="A323518" s="1"/>
    </row>
    <row r="323519" spans="1:1" x14ac:dyDescent="0.25">
      <c r="A323519" s="1"/>
    </row>
    <row r="323520" spans="1:1" x14ac:dyDescent="0.25">
      <c r="A323520" s="1"/>
    </row>
    <row r="323521" spans="1:1" x14ac:dyDescent="0.25">
      <c r="A323521" s="1"/>
    </row>
    <row r="323522" spans="1:1" x14ac:dyDescent="0.25">
      <c r="A323522" s="1"/>
    </row>
    <row r="323523" spans="1:1" x14ac:dyDescent="0.25">
      <c r="A323523" s="1"/>
    </row>
    <row r="323524" spans="1:1" x14ac:dyDescent="0.25">
      <c r="A323524" s="1"/>
    </row>
    <row r="323525" spans="1:1" x14ac:dyDescent="0.25">
      <c r="A323525" s="1"/>
    </row>
    <row r="323526" spans="1:1" x14ac:dyDescent="0.25">
      <c r="A323526" s="1"/>
    </row>
    <row r="323527" spans="1:1" x14ac:dyDescent="0.25">
      <c r="A323527" s="1"/>
    </row>
    <row r="323528" spans="1:1" x14ac:dyDescent="0.25">
      <c r="A323528" s="1"/>
    </row>
    <row r="323529" spans="1:1" x14ac:dyDescent="0.25">
      <c r="A323529" s="1"/>
    </row>
    <row r="323530" spans="1:1" x14ac:dyDescent="0.25">
      <c r="A323530" s="1"/>
    </row>
    <row r="323531" spans="1:1" x14ac:dyDescent="0.25">
      <c r="A323531" s="1"/>
    </row>
    <row r="323532" spans="1:1" x14ac:dyDescent="0.25">
      <c r="A323532" s="1"/>
    </row>
    <row r="323533" spans="1:1" x14ac:dyDescent="0.25">
      <c r="A323533" s="1"/>
    </row>
    <row r="323534" spans="1:1" x14ac:dyDescent="0.25">
      <c r="A323534" s="1"/>
    </row>
    <row r="323535" spans="1:1" x14ac:dyDescent="0.25">
      <c r="A323535" s="1"/>
    </row>
    <row r="323536" spans="1:1" x14ac:dyDescent="0.25">
      <c r="A323536" s="1"/>
    </row>
    <row r="323537" spans="1:1" x14ac:dyDescent="0.25">
      <c r="A323537" s="1"/>
    </row>
    <row r="323538" spans="1:1" x14ac:dyDescent="0.25">
      <c r="A323538" s="1"/>
    </row>
    <row r="323539" spans="1:1" x14ac:dyDescent="0.25">
      <c r="A323539" s="1"/>
    </row>
    <row r="323540" spans="1:1" x14ac:dyDescent="0.25">
      <c r="A323540" s="1"/>
    </row>
    <row r="323541" spans="1:1" x14ac:dyDescent="0.25">
      <c r="A323541" s="1"/>
    </row>
    <row r="323542" spans="1:1" x14ac:dyDescent="0.25">
      <c r="A323542" s="1"/>
    </row>
    <row r="323543" spans="1:1" x14ac:dyDescent="0.25">
      <c r="A323543" s="1"/>
    </row>
    <row r="323544" spans="1:1" x14ac:dyDescent="0.25">
      <c r="A323544" s="1"/>
    </row>
    <row r="323545" spans="1:1" x14ac:dyDescent="0.25">
      <c r="A323545" s="1"/>
    </row>
    <row r="323546" spans="1:1" x14ac:dyDescent="0.25">
      <c r="A323546" s="1"/>
    </row>
    <row r="323547" spans="1:1" x14ac:dyDescent="0.25">
      <c r="A323547" s="1"/>
    </row>
    <row r="323548" spans="1:1" x14ac:dyDescent="0.25">
      <c r="A323548" s="1"/>
    </row>
    <row r="323549" spans="1:1" x14ac:dyDescent="0.25">
      <c r="A323549" s="1"/>
    </row>
    <row r="323550" spans="1:1" x14ac:dyDescent="0.25">
      <c r="A323550" s="1"/>
    </row>
    <row r="323551" spans="1:1" x14ac:dyDescent="0.25">
      <c r="A323551" s="1"/>
    </row>
    <row r="323552" spans="1:1" x14ac:dyDescent="0.25">
      <c r="A323552" s="1"/>
    </row>
    <row r="323553" spans="1:1" x14ac:dyDescent="0.25">
      <c r="A323553" s="1"/>
    </row>
    <row r="323554" spans="1:1" x14ac:dyDescent="0.25">
      <c r="A323554" s="1"/>
    </row>
    <row r="323555" spans="1:1" x14ac:dyDescent="0.25">
      <c r="A323555" s="1"/>
    </row>
    <row r="323556" spans="1:1" x14ac:dyDescent="0.25">
      <c r="A323556" s="1"/>
    </row>
    <row r="323557" spans="1:1" x14ac:dyDescent="0.25">
      <c r="A323557" s="1"/>
    </row>
    <row r="323558" spans="1:1" x14ac:dyDescent="0.25">
      <c r="A323558" s="1"/>
    </row>
    <row r="323559" spans="1:1" x14ac:dyDescent="0.25">
      <c r="A323559" s="1"/>
    </row>
    <row r="323560" spans="1:1" x14ac:dyDescent="0.25">
      <c r="A323560" s="1"/>
    </row>
    <row r="323561" spans="1:1" x14ac:dyDescent="0.25">
      <c r="A323561" s="1"/>
    </row>
    <row r="323562" spans="1:1" x14ac:dyDescent="0.25">
      <c r="A323562" s="1"/>
    </row>
    <row r="323563" spans="1:1" x14ac:dyDescent="0.25">
      <c r="A323563" s="1"/>
    </row>
    <row r="323564" spans="1:1" x14ac:dyDescent="0.25">
      <c r="A323564" s="1"/>
    </row>
    <row r="323565" spans="1:1" x14ac:dyDescent="0.25">
      <c r="A323565" s="1"/>
    </row>
    <row r="323566" spans="1:1" x14ac:dyDescent="0.25">
      <c r="A323566" s="1"/>
    </row>
    <row r="323567" spans="1:1" x14ac:dyDescent="0.25">
      <c r="A323567" s="1"/>
    </row>
    <row r="323568" spans="1:1" x14ac:dyDescent="0.25">
      <c r="A323568" s="1"/>
    </row>
    <row r="323569" spans="1:1" x14ac:dyDescent="0.25">
      <c r="A323569" s="1"/>
    </row>
    <row r="323570" spans="1:1" x14ac:dyDescent="0.25">
      <c r="A323570" s="1"/>
    </row>
    <row r="323571" spans="1:1" x14ac:dyDescent="0.25">
      <c r="A323571" s="1"/>
    </row>
    <row r="323572" spans="1:1" x14ac:dyDescent="0.25">
      <c r="A323572" s="1"/>
    </row>
    <row r="323573" spans="1:1" x14ac:dyDescent="0.25">
      <c r="A323573" s="1"/>
    </row>
    <row r="323574" spans="1:1" x14ac:dyDescent="0.25">
      <c r="A323574" s="1"/>
    </row>
    <row r="323575" spans="1:1" x14ac:dyDescent="0.25">
      <c r="A323575" s="1"/>
    </row>
    <row r="323576" spans="1:1" x14ac:dyDescent="0.25">
      <c r="A323576" s="1"/>
    </row>
    <row r="323577" spans="1:1" x14ac:dyDescent="0.25">
      <c r="A323577" s="1"/>
    </row>
    <row r="323578" spans="1:1" x14ac:dyDescent="0.25">
      <c r="A323578" s="1"/>
    </row>
    <row r="323579" spans="1:1" x14ac:dyDescent="0.25">
      <c r="A323579" s="1"/>
    </row>
    <row r="323580" spans="1:1" x14ac:dyDescent="0.25">
      <c r="A323580" s="1"/>
    </row>
    <row r="323581" spans="1:1" x14ac:dyDescent="0.25">
      <c r="A323581" s="1"/>
    </row>
    <row r="323582" spans="1:1" x14ac:dyDescent="0.25">
      <c r="A323582" s="1"/>
    </row>
    <row r="323583" spans="1:1" x14ac:dyDescent="0.25">
      <c r="A323583" s="1"/>
    </row>
    <row r="323584" spans="1:1" x14ac:dyDescent="0.25">
      <c r="A323584" s="1"/>
    </row>
    <row r="323585" spans="1:1" x14ac:dyDescent="0.25">
      <c r="A323585" s="1"/>
    </row>
    <row r="323586" spans="1:1" x14ac:dyDescent="0.25">
      <c r="A323586" s="1"/>
    </row>
    <row r="323587" spans="1:1" x14ac:dyDescent="0.25">
      <c r="A323587" s="1"/>
    </row>
    <row r="323588" spans="1:1" x14ac:dyDescent="0.25">
      <c r="A323588" s="1"/>
    </row>
    <row r="323589" spans="1:1" x14ac:dyDescent="0.25">
      <c r="A323589" s="1"/>
    </row>
    <row r="323590" spans="1:1" x14ac:dyDescent="0.25">
      <c r="A323590" s="1"/>
    </row>
    <row r="323591" spans="1:1" x14ac:dyDescent="0.25">
      <c r="A323591" s="1"/>
    </row>
    <row r="323592" spans="1:1" x14ac:dyDescent="0.25">
      <c r="A323592" s="1"/>
    </row>
    <row r="323593" spans="1:1" x14ac:dyDescent="0.25">
      <c r="A323593" s="1"/>
    </row>
    <row r="323594" spans="1:1" x14ac:dyDescent="0.25">
      <c r="A323594" s="1"/>
    </row>
    <row r="323595" spans="1:1" x14ac:dyDescent="0.25">
      <c r="A323595" s="1"/>
    </row>
    <row r="323596" spans="1:1" x14ac:dyDescent="0.25">
      <c r="A323596" s="1"/>
    </row>
    <row r="323597" spans="1:1" x14ac:dyDescent="0.25">
      <c r="A323597" s="1"/>
    </row>
    <row r="323598" spans="1:1" x14ac:dyDescent="0.25">
      <c r="A323598" s="1"/>
    </row>
    <row r="323599" spans="1:1" x14ac:dyDescent="0.25">
      <c r="A323599" s="1"/>
    </row>
    <row r="323600" spans="1:1" x14ac:dyDescent="0.25">
      <c r="A323600" s="1"/>
    </row>
    <row r="323601" spans="1:1" x14ac:dyDescent="0.25">
      <c r="A323601" s="1"/>
    </row>
    <row r="323602" spans="1:1" x14ac:dyDescent="0.25">
      <c r="A323602" s="1"/>
    </row>
    <row r="323603" spans="1:1" x14ac:dyDescent="0.25">
      <c r="A323603" s="1"/>
    </row>
    <row r="323604" spans="1:1" x14ac:dyDescent="0.25">
      <c r="A323604" s="1"/>
    </row>
    <row r="323605" spans="1:1" x14ac:dyDescent="0.25">
      <c r="A323605" s="1"/>
    </row>
    <row r="323606" spans="1:1" x14ac:dyDescent="0.25">
      <c r="A323606" s="1"/>
    </row>
    <row r="323607" spans="1:1" x14ac:dyDescent="0.25">
      <c r="A323607" s="1"/>
    </row>
    <row r="323608" spans="1:1" x14ac:dyDescent="0.25">
      <c r="A323608" s="1"/>
    </row>
    <row r="323609" spans="1:1" x14ac:dyDescent="0.25">
      <c r="A323609" s="1"/>
    </row>
    <row r="323610" spans="1:1" x14ac:dyDescent="0.25">
      <c r="A323610" s="1"/>
    </row>
    <row r="323611" spans="1:1" x14ac:dyDescent="0.25">
      <c r="A323611" s="1"/>
    </row>
    <row r="323612" spans="1:1" x14ac:dyDescent="0.25">
      <c r="A323612" s="1"/>
    </row>
    <row r="323613" spans="1:1" x14ac:dyDescent="0.25">
      <c r="A323613" s="1"/>
    </row>
    <row r="323614" spans="1:1" x14ac:dyDescent="0.25">
      <c r="A323614" s="1"/>
    </row>
    <row r="323615" spans="1:1" x14ac:dyDescent="0.25">
      <c r="A323615" s="1"/>
    </row>
    <row r="323616" spans="1:1" x14ac:dyDescent="0.25">
      <c r="A323616" s="1"/>
    </row>
    <row r="323617" spans="1:1" x14ac:dyDescent="0.25">
      <c r="A323617" s="1"/>
    </row>
    <row r="323618" spans="1:1" x14ac:dyDescent="0.25">
      <c r="A323618" s="1"/>
    </row>
    <row r="323619" spans="1:1" x14ac:dyDescent="0.25">
      <c r="A323619" s="1"/>
    </row>
    <row r="323620" spans="1:1" x14ac:dyDescent="0.25">
      <c r="A323620" s="1"/>
    </row>
    <row r="323621" spans="1:1" x14ac:dyDescent="0.25">
      <c r="A323621" s="1"/>
    </row>
    <row r="323622" spans="1:1" x14ac:dyDescent="0.25">
      <c r="A323622" s="1"/>
    </row>
    <row r="323623" spans="1:1" x14ac:dyDescent="0.25">
      <c r="A323623" s="1"/>
    </row>
    <row r="323624" spans="1:1" x14ac:dyDescent="0.25">
      <c r="A323624" s="1"/>
    </row>
    <row r="323625" spans="1:1" x14ac:dyDescent="0.25">
      <c r="A323625" s="1"/>
    </row>
    <row r="323626" spans="1:1" x14ac:dyDescent="0.25">
      <c r="A323626" s="1"/>
    </row>
    <row r="323627" spans="1:1" x14ac:dyDescent="0.25">
      <c r="A323627" s="1"/>
    </row>
    <row r="323628" spans="1:1" x14ac:dyDescent="0.25">
      <c r="A323628" s="1"/>
    </row>
    <row r="323629" spans="1:1" x14ac:dyDescent="0.25">
      <c r="A323629" s="1"/>
    </row>
    <row r="323630" spans="1:1" x14ac:dyDescent="0.25">
      <c r="A323630" s="1"/>
    </row>
    <row r="323631" spans="1:1" x14ac:dyDescent="0.25">
      <c r="A323631" s="1"/>
    </row>
    <row r="323632" spans="1:1" x14ac:dyDescent="0.25">
      <c r="A323632" s="1"/>
    </row>
    <row r="323633" spans="1:1" x14ac:dyDescent="0.25">
      <c r="A323633" s="1"/>
    </row>
    <row r="323634" spans="1:1" x14ac:dyDescent="0.25">
      <c r="A323634" s="1"/>
    </row>
    <row r="323635" spans="1:1" x14ac:dyDescent="0.25">
      <c r="A323635" s="1"/>
    </row>
    <row r="323636" spans="1:1" x14ac:dyDescent="0.25">
      <c r="A323636" s="1"/>
    </row>
    <row r="323637" spans="1:1" x14ac:dyDescent="0.25">
      <c r="A323637" s="1"/>
    </row>
    <row r="323638" spans="1:1" x14ac:dyDescent="0.25">
      <c r="A323638" s="1"/>
    </row>
    <row r="323639" spans="1:1" x14ac:dyDescent="0.25">
      <c r="A323639" s="1"/>
    </row>
    <row r="323640" spans="1:1" x14ac:dyDescent="0.25">
      <c r="A323640" s="1"/>
    </row>
    <row r="323641" spans="1:1" x14ac:dyDescent="0.25">
      <c r="A323641" s="1"/>
    </row>
    <row r="323642" spans="1:1" x14ac:dyDescent="0.25">
      <c r="A323642" s="1"/>
    </row>
    <row r="323643" spans="1:1" x14ac:dyDescent="0.25">
      <c r="A323643" s="1"/>
    </row>
    <row r="323644" spans="1:1" x14ac:dyDescent="0.25">
      <c r="A323644" s="1"/>
    </row>
    <row r="323645" spans="1:1" x14ac:dyDescent="0.25">
      <c r="A323645" s="1"/>
    </row>
    <row r="323646" spans="1:1" x14ac:dyDescent="0.25">
      <c r="A323646" s="1"/>
    </row>
    <row r="323647" spans="1:1" x14ac:dyDescent="0.25">
      <c r="A323647" s="1"/>
    </row>
    <row r="323648" spans="1:1" x14ac:dyDescent="0.25">
      <c r="A323648" s="1"/>
    </row>
    <row r="323649" spans="1:1" x14ac:dyDescent="0.25">
      <c r="A323649" s="1"/>
    </row>
    <row r="323650" spans="1:1" x14ac:dyDescent="0.25">
      <c r="A323650" s="1"/>
    </row>
    <row r="323651" spans="1:1" x14ac:dyDescent="0.25">
      <c r="A323651" s="1"/>
    </row>
    <row r="323652" spans="1:1" x14ac:dyDescent="0.25">
      <c r="A323652" s="1"/>
    </row>
    <row r="323653" spans="1:1" x14ac:dyDescent="0.25">
      <c r="A323653" s="1"/>
    </row>
    <row r="323654" spans="1:1" x14ac:dyDescent="0.25">
      <c r="A323654" s="1"/>
    </row>
    <row r="323655" spans="1:1" x14ac:dyDescent="0.25">
      <c r="A323655" s="1"/>
    </row>
    <row r="323656" spans="1:1" x14ac:dyDescent="0.25">
      <c r="A323656" s="1"/>
    </row>
    <row r="323657" spans="1:1" x14ac:dyDescent="0.25">
      <c r="A323657" s="1"/>
    </row>
    <row r="323658" spans="1:1" x14ac:dyDescent="0.25">
      <c r="A323658" s="1"/>
    </row>
    <row r="323659" spans="1:1" x14ac:dyDescent="0.25">
      <c r="A323659" s="1"/>
    </row>
    <row r="323660" spans="1:1" x14ac:dyDescent="0.25">
      <c r="A323660" s="1"/>
    </row>
    <row r="323661" spans="1:1" x14ac:dyDescent="0.25">
      <c r="A323661" s="1"/>
    </row>
    <row r="323662" spans="1:1" x14ac:dyDescent="0.25">
      <c r="A323662" s="1"/>
    </row>
    <row r="323663" spans="1:1" x14ac:dyDescent="0.25">
      <c r="A323663" s="1"/>
    </row>
    <row r="323664" spans="1:1" x14ac:dyDescent="0.25">
      <c r="A323664" s="1"/>
    </row>
    <row r="323665" spans="1:1" x14ac:dyDescent="0.25">
      <c r="A323665" s="1"/>
    </row>
    <row r="323666" spans="1:1" x14ac:dyDescent="0.25">
      <c r="A323666" s="1"/>
    </row>
    <row r="323667" spans="1:1" x14ac:dyDescent="0.25">
      <c r="A323667" s="1"/>
    </row>
    <row r="323668" spans="1:1" x14ac:dyDescent="0.25">
      <c r="A323668" s="1"/>
    </row>
    <row r="323669" spans="1:1" x14ac:dyDescent="0.25">
      <c r="A323669" s="1"/>
    </row>
    <row r="323670" spans="1:1" x14ac:dyDescent="0.25">
      <c r="A323670" s="1"/>
    </row>
    <row r="323671" spans="1:1" x14ac:dyDescent="0.25">
      <c r="A323671" s="1"/>
    </row>
    <row r="323672" spans="1:1" x14ac:dyDescent="0.25">
      <c r="A323672" s="1"/>
    </row>
    <row r="323673" spans="1:1" x14ac:dyDescent="0.25">
      <c r="A323673" s="1"/>
    </row>
    <row r="323674" spans="1:1" x14ac:dyDescent="0.25">
      <c r="A323674" s="1"/>
    </row>
    <row r="323675" spans="1:1" x14ac:dyDescent="0.25">
      <c r="A323675" s="1"/>
    </row>
    <row r="323676" spans="1:1" x14ac:dyDescent="0.25">
      <c r="A323676" s="1"/>
    </row>
    <row r="323677" spans="1:1" x14ac:dyDescent="0.25">
      <c r="A323677" s="1"/>
    </row>
    <row r="323678" spans="1:1" x14ac:dyDescent="0.25">
      <c r="A323678" s="1"/>
    </row>
    <row r="323679" spans="1:1" x14ac:dyDescent="0.25">
      <c r="A323679" s="1"/>
    </row>
    <row r="323680" spans="1:1" x14ac:dyDescent="0.25">
      <c r="A323680" s="1"/>
    </row>
    <row r="323681" spans="1:1" x14ac:dyDescent="0.25">
      <c r="A323681" s="1"/>
    </row>
    <row r="323682" spans="1:1" x14ac:dyDescent="0.25">
      <c r="A323682" s="1"/>
    </row>
    <row r="323683" spans="1:1" x14ac:dyDescent="0.25">
      <c r="A323683" s="1"/>
    </row>
    <row r="323684" spans="1:1" x14ac:dyDescent="0.25">
      <c r="A323684" s="1"/>
    </row>
    <row r="323685" spans="1:1" x14ac:dyDescent="0.25">
      <c r="A323685" s="1"/>
    </row>
    <row r="323686" spans="1:1" x14ac:dyDescent="0.25">
      <c r="A323686" s="1"/>
    </row>
    <row r="323687" spans="1:1" x14ac:dyDescent="0.25">
      <c r="A323687" s="1"/>
    </row>
    <row r="323688" spans="1:1" x14ac:dyDescent="0.25">
      <c r="A323688" s="1"/>
    </row>
    <row r="323689" spans="1:1" x14ac:dyDescent="0.25">
      <c r="A323689" s="1"/>
    </row>
    <row r="323690" spans="1:1" x14ac:dyDescent="0.25">
      <c r="A323690" s="1"/>
    </row>
    <row r="323691" spans="1:1" x14ac:dyDescent="0.25">
      <c r="A323691" s="1"/>
    </row>
    <row r="323692" spans="1:1" x14ac:dyDescent="0.25">
      <c r="A323692" s="1"/>
    </row>
    <row r="323693" spans="1:1" x14ac:dyDescent="0.25">
      <c r="A323693" s="1"/>
    </row>
    <row r="323694" spans="1:1" x14ac:dyDescent="0.25">
      <c r="A323694" s="1"/>
    </row>
    <row r="323695" spans="1:1" x14ac:dyDescent="0.25">
      <c r="A323695" s="1"/>
    </row>
    <row r="323696" spans="1:1" x14ac:dyDescent="0.25">
      <c r="A323696" s="1"/>
    </row>
    <row r="323697" spans="1:1" x14ac:dyDescent="0.25">
      <c r="A323697" s="1"/>
    </row>
    <row r="323698" spans="1:1" x14ac:dyDescent="0.25">
      <c r="A323698" s="1"/>
    </row>
    <row r="323699" spans="1:1" x14ac:dyDescent="0.25">
      <c r="A323699" s="1"/>
    </row>
    <row r="323700" spans="1:1" x14ac:dyDescent="0.25">
      <c r="A323700" s="1"/>
    </row>
    <row r="323701" spans="1:1" x14ac:dyDescent="0.25">
      <c r="A323701" s="1"/>
    </row>
    <row r="323702" spans="1:1" x14ac:dyDescent="0.25">
      <c r="A323702" s="1"/>
    </row>
    <row r="323703" spans="1:1" x14ac:dyDescent="0.25">
      <c r="A323703" s="1"/>
    </row>
    <row r="323704" spans="1:1" x14ac:dyDescent="0.25">
      <c r="A323704" s="1"/>
    </row>
    <row r="323705" spans="1:1" x14ac:dyDescent="0.25">
      <c r="A323705" s="1"/>
    </row>
    <row r="323706" spans="1:1" x14ac:dyDescent="0.25">
      <c r="A323706" s="1"/>
    </row>
    <row r="323707" spans="1:1" x14ac:dyDescent="0.25">
      <c r="A323707" s="1"/>
    </row>
    <row r="323708" spans="1:1" x14ac:dyDescent="0.25">
      <c r="A323708" s="1"/>
    </row>
    <row r="323709" spans="1:1" x14ac:dyDescent="0.25">
      <c r="A323709" s="1"/>
    </row>
    <row r="323710" spans="1:1" x14ac:dyDescent="0.25">
      <c r="A323710" s="1"/>
    </row>
    <row r="323711" spans="1:1" x14ac:dyDescent="0.25">
      <c r="A323711" s="1"/>
    </row>
    <row r="323712" spans="1:1" x14ac:dyDescent="0.25">
      <c r="A323712" s="1"/>
    </row>
    <row r="323713" spans="1:1" x14ac:dyDescent="0.25">
      <c r="A323713" s="1"/>
    </row>
    <row r="323714" spans="1:1" x14ac:dyDescent="0.25">
      <c r="A323714" s="1"/>
    </row>
    <row r="323715" spans="1:1" x14ac:dyDescent="0.25">
      <c r="A323715" s="1"/>
    </row>
    <row r="323716" spans="1:1" x14ac:dyDescent="0.25">
      <c r="A323716" s="1"/>
    </row>
    <row r="323717" spans="1:1" x14ac:dyDescent="0.25">
      <c r="A323717" s="1"/>
    </row>
    <row r="323718" spans="1:1" x14ac:dyDescent="0.25">
      <c r="A323718" s="1"/>
    </row>
    <row r="323719" spans="1:1" x14ac:dyDescent="0.25">
      <c r="A323719" s="1"/>
    </row>
    <row r="323720" spans="1:1" x14ac:dyDescent="0.25">
      <c r="A323720" s="1"/>
    </row>
    <row r="323721" spans="1:1" x14ac:dyDescent="0.25">
      <c r="A323721" s="1"/>
    </row>
    <row r="323722" spans="1:1" x14ac:dyDescent="0.25">
      <c r="A323722" s="1"/>
    </row>
    <row r="323723" spans="1:1" x14ac:dyDescent="0.25">
      <c r="A323723" s="1"/>
    </row>
    <row r="323724" spans="1:1" x14ac:dyDescent="0.25">
      <c r="A323724" s="1"/>
    </row>
    <row r="323725" spans="1:1" x14ac:dyDescent="0.25">
      <c r="A323725" s="1"/>
    </row>
    <row r="323726" spans="1:1" x14ac:dyDescent="0.25">
      <c r="A323726" s="1"/>
    </row>
    <row r="323727" spans="1:1" x14ac:dyDescent="0.25">
      <c r="A323727" s="1"/>
    </row>
    <row r="323728" spans="1:1" x14ac:dyDescent="0.25">
      <c r="A323728" s="1"/>
    </row>
    <row r="323729" spans="1:1" x14ac:dyDescent="0.25">
      <c r="A323729" s="1"/>
    </row>
    <row r="323730" spans="1:1" x14ac:dyDescent="0.25">
      <c r="A323730" s="1"/>
    </row>
    <row r="323731" spans="1:1" x14ac:dyDescent="0.25">
      <c r="A323731" s="1"/>
    </row>
    <row r="323732" spans="1:1" x14ac:dyDescent="0.25">
      <c r="A323732" s="1"/>
    </row>
    <row r="323733" spans="1:1" x14ac:dyDescent="0.25">
      <c r="A323733" s="1"/>
    </row>
    <row r="323734" spans="1:1" x14ac:dyDescent="0.25">
      <c r="A323734" s="1"/>
    </row>
    <row r="323735" spans="1:1" x14ac:dyDescent="0.25">
      <c r="A323735" s="1"/>
    </row>
    <row r="323736" spans="1:1" x14ac:dyDescent="0.25">
      <c r="A323736" s="1"/>
    </row>
    <row r="323737" spans="1:1" x14ac:dyDescent="0.25">
      <c r="A323737" s="1"/>
    </row>
    <row r="323738" spans="1:1" x14ac:dyDescent="0.25">
      <c r="A323738" s="1"/>
    </row>
    <row r="323739" spans="1:1" x14ac:dyDescent="0.25">
      <c r="A323739" s="1"/>
    </row>
    <row r="323740" spans="1:1" x14ac:dyDescent="0.25">
      <c r="A323740" s="1"/>
    </row>
    <row r="323741" spans="1:1" x14ac:dyDescent="0.25">
      <c r="A323741" s="1"/>
    </row>
    <row r="323742" spans="1:1" x14ac:dyDescent="0.25">
      <c r="A323742" s="1"/>
    </row>
    <row r="323743" spans="1:1" x14ac:dyDescent="0.25">
      <c r="A323743" s="1"/>
    </row>
    <row r="323744" spans="1:1" x14ac:dyDescent="0.25">
      <c r="A323744" s="1"/>
    </row>
    <row r="323745" spans="1:1" x14ac:dyDescent="0.25">
      <c r="A323745" s="1"/>
    </row>
    <row r="323746" spans="1:1" x14ac:dyDescent="0.25">
      <c r="A323746" s="1"/>
    </row>
    <row r="323747" spans="1:1" x14ac:dyDescent="0.25">
      <c r="A323747" s="1"/>
    </row>
    <row r="323748" spans="1:1" x14ac:dyDescent="0.25">
      <c r="A323748" s="1"/>
    </row>
    <row r="323749" spans="1:1" x14ac:dyDescent="0.25">
      <c r="A323749" s="1"/>
    </row>
    <row r="323750" spans="1:1" x14ac:dyDescent="0.25">
      <c r="A323750" s="1"/>
    </row>
    <row r="323751" spans="1:1" x14ac:dyDescent="0.25">
      <c r="A323751" s="1"/>
    </row>
    <row r="323752" spans="1:1" x14ac:dyDescent="0.25">
      <c r="A323752" s="1"/>
    </row>
    <row r="323753" spans="1:1" x14ac:dyDescent="0.25">
      <c r="A323753" s="1"/>
    </row>
    <row r="323754" spans="1:1" x14ac:dyDescent="0.25">
      <c r="A323754" s="1"/>
    </row>
    <row r="323755" spans="1:1" x14ac:dyDescent="0.25">
      <c r="A323755" s="1"/>
    </row>
    <row r="323756" spans="1:1" x14ac:dyDescent="0.25">
      <c r="A323756" s="1"/>
    </row>
    <row r="323757" spans="1:1" x14ac:dyDescent="0.25">
      <c r="A323757" s="1"/>
    </row>
    <row r="323758" spans="1:1" x14ac:dyDescent="0.25">
      <c r="A323758" s="1"/>
    </row>
    <row r="323759" spans="1:1" x14ac:dyDescent="0.25">
      <c r="A323759" s="1"/>
    </row>
    <row r="323760" spans="1:1" x14ac:dyDescent="0.25">
      <c r="A323760" s="1"/>
    </row>
    <row r="323761" spans="1:1" x14ac:dyDescent="0.25">
      <c r="A323761" s="1"/>
    </row>
    <row r="323762" spans="1:1" x14ac:dyDescent="0.25">
      <c r="A323762" s="1"/>
    </row>
    <row r="323763" spans="1:1" x14ac:dyDescent="0.25">
      <c r="A323763" s="1"/>
    </row>
    <row r="323764" spans="1:1" x14ac:dyDescent="0.25">
      <c r="A323764" s="1"/>
    </row>
    <row r="323765" spans="1:1" x14ac:dyDescent="0.25">
      <c r="A323765" s="1"/>
    </row>
    <row r="323766" spans="1:1" x14ac:dyDescent="0.25">
      <c r="A323766" s="1"/>
    </row>
    <row r="323767" spans="1:1" x14ac:dyDescent="0.25">
      <c r="A323767" s="1"/>
    </row>
    <row r="323768" spans="1:1" x14ac:dyDescent="0.25">
      <c r="A323768" s="1"/>
    </row>
    <row r="323769" spans="1:1" x14ac:dyDescent="0.25">
      <c r="A323769" s="1"/>
    </row>
    <row r="323770" spans="1:1" x14ac:dyDescent="0.25">
      <c r="A323770" s="1"/>
    </row>
    <row r="323771" spans="1:1" x14ac:dyDescent="0.25">
      <c r="A323771" s="1"/>
    </row>
    <row r="323772" spans="1:1" x14ac:dyDescent="0.25">
      <c r="A323772" s="1"/>
    </row>
    <row r="323773" spans="1:1" x14ac:dyDescent="0.25">
      <c r="A323773" s="1"/>
    </row>
    <row r="323774" spans="1:1" x14ac:dyDescent="0.25">
      <c r="A323774" s="1"/>
    </row>
    <row r="323775" spans="1:1" x14ac:dyDescent="0.25">
      <c r="A323775" s="1"/>
    </row>
    <row r="323776" spans="1:1" x14ac:dyDescent="0.25">
      <c r="A323776" s="1"/>
    </row>
    <row r="323777" spans="1:1" x14ac:dyDescent="0.25">
      <c r="A323777" s="1"/>
    </row>
    <row r="323778" spans="1:1" x14ac:dyDescent="0.25">
      <c r="A323778" s="1"/>
    </row>
    <row r="323779" spans="1:1" x14ac:dyDescent="0.25">
      <c r="A323779" s="1"/>
    </row>
    <row r="323780" spans="1:1" x14ac:dyDescent="0.25">
      <c r="A323780" s="1"/>
    </row>
    <row r="323781" spans="1:1" x14ac:dyDescent="0.25">
      <c r="A323781" s="1"/>
    </row>
    <row r="323782" spans="1:1" x14ac:dyDescent="0.25">
      <c r="A323782" s="1"/>
    </row>
    <row r="323783" spans="1:1" x14ac:dyDescent="0.25">
      <c r="A323783" s="1"/>
    </row>
    <row r="323784" spans="1:1" x14ac:dyDescent="0.25">
      <c r="A323784" s="1"/>
    </row>
    <row r="323785" spans="1:1" x14ac:dyDescent="0.25">
      <c r="A323785" s="1"/>
    </row>
    <row r="323786" spans="1:1" x14ac:dyDescent="0.25">
      <c r="A323786" s="1"/>
    </row>
    <row r="323787" spans="1:1" x14ac:dyDescent="0.25">
      <c r="A323787" s="1"/>
    </row>
    <row r="323788" spans="1:1" x14ac:dyDescent="0.25">
      <c r="A323788" s="1"/>
    </row>
    <row r="323789" spans="1:1" x14ac:dyDescent="0.25">
      <c r="A323789" s="1"/>
    </row>
    <row r="323790" spans="1:1" x14ac:dyDescent="0.25">
      <c r="A323790" s="1"/>
    </row>
    <row r="323791" spans="1:1" x14ac:dyDescent="0.25">
      <c r="A323791" s="1"/>
    </row>
    <row r="323792" spans="1:1" x14ac:dyDescent="0.25">
      <c r="A323792" s="1"/>
    </row>
    <row r="323793" spans="1:1" x14ac:dyDescent="0.25">
      <c r="A323793" s="1"/>
    </row>
    <row r="323794" spans="1:1" x14ac:dyDescent="0.25">
      <c r="A323794" s="1"/>
    </row>
    <row r="323795" spans="1:1" x14ac:dyDescent="0.25">
      <c r="A323795" s="1"/>
    </row>
    <row r="323796" spans="1:1" x14ac:dyDescent="0.25">
      <c r="A323796" s="1"/>
    </row>
    <row r="323797" spans="1:1" x14ac:dyDescent="0.25">
      <c r="A323797" s="1"/>
    </row>
    <row r="323798" spans="1:1" x14ac:dyDescent="0.25">
      <c r="A323798" s="1"/>
    </row>
    <row r="323799" spans="1:1" x14ac:dyDescent="0.25">
      <c r="A323799" s="1"/>
    </row>
    <row r="323800" spans="1:1" x14ac:dyDescent="0.25">
      <c r="A323800" s="1"/>
    </row>
    <row r="323801" spans="1:1" x14ac:dyDescent="0.25">
      <c r="A323801" s="1"/>
    </row>
    <row r="323802" spans="1:1" x14ac:dyDescent="0.25">
      <c r="A323802" s="1"/>
    </row>
    <row r="323803" spans="1:1" x14ac:dyDescent="0.25">
      <c r="A323803" s="1"/>
    </row>
    <row r="323804" spans="1:1" x14ac:dyDescent="0.25">
      <c r="A323804" s="1"/>
    </row>
    <row r="323805" spans="1:1" x14ac:dyDescent="0.25">
      <c r="A323805" s="1"/>
    </row>
    <row r="323806" spans="1:1" x14ac:dyDescent="0.25">
      <c r="A323806" s="1"/>
    </row>
    <row r="323807" spans="1:1" x14ac:dyDescent="0.25">
      <c r="A323807" s="1"/>
    </row>
    <row r="323808" spans="1:1" x14ac:dyDescent="0.25">
      <c r="A323808" s="1"/>
    </row>
    <row r="323809" spans="1:1" x14ac:dyDescent="0.25">
      <c r="A323809" s="1"/>
    </row>
    <row r="323810" spans="1:1" x14ac:dyDescent="0.25">
      <c r="A323810" s="1"/>
    </row>
    <row r="323811" spans="1:1" x14ac:dyDescent="0.25">
      <c r="A323811" s="1"/>
    </row>
    <row r="323812" spans="1:1" x14ac:dyDescent="0.25">
      <c r="A323812" s="1"/>
    </row>
    <row r="323813" spans="1:1" x14ac:dyDescent="0.25">
      <c r="A323813" s="1"/>
    </row>
    <row r="323814" spans="1:1" x14ac:dyDescent="0.25">
      <c r="A323814" s="1"/>
    </row>
    <row r="323815" spans="1:1" x14ac:dyDescent="0.25">
      <c r="A323815" s="1"/>
    </row>
    <row r="323816" spans="1:1" x14ac:dyDescent="0.25">
      <c r="A323816" s="1"/>
    </row>
    <row r="323817" spans="1:1" x14ac:dyDescent="0.25">
      <c r="A323817" s="1"/>
    </row>
    <row r="323818" spans="1:1" x14ac:dyDescent="0.25">
      <c r="A323818" s="1"/>
    </row>
    <row r="323819" spans="1:1" x14ac:dyDescent="0.25">
      <c r="A323819" s="1"/>
    </row>
    <row r="323820" spans="1:1" x14ac:dyDescent="0.25">
      <c r="A323820" s="1"/>
    </row>
    <row r="323821" spans="1:1" x14ac:dyDescent="0.25">
      <c r="A323821" s="1"/>
    </row>
    <row r="323822" spans="1:1" x14ac:dyDescent="0.25">
      <c r="A323822" s="1"/>
    </row>
    <row r="323823" spans="1:1" x14ac:dyDescent="0.25">
      <c r="A323823" s="1"/>
    </row>
    <row r="323824" spans="1:1" x14ac:dyDescent="0.25">
      <c r="A323824" s="1"/>
    </row>
    <row r="323825" spans="1:1" x14ac:dyDescent="0.25">
      <c r="A323825" s="1"/>
    </row>
    <row r="323826" spans="1:1" x14ac:dyDescent="0.25">
      <c r="A323826" s="1"/>
    </row>
    <row r="323827" spans="1:1" x14ac:dyDescent="0.25">
      <c r="A323827" s="1"/>
    </row>
    <row r="323828" spans="1:1" x14ac:dyDescent="0.25">
      <c r="A323828" s="1"/>
    </row>
    <row r="323829" spans="1:1" x14ac:dyDescent="0.25">
      <c r="A323829" s="1"/>
    </row>
    <row r="323830" spans="1:1" x14ac:dyDescent="0.25">
      <c r="A323830" s="1"/>
    </row>
    <row r="323831" spans="1:1" x14ac:dyDescent="0.25">
      <c r="A323831" s="1"/>
    </row>
    <row r="323832" spans="1:1" x14ac:dyDescent="0.25">
      <c r="A323832" s="1"/>
    </row>
    <row r="323833" spans="1:1" x14ac:dyDescent="0.25">
      <c r="A323833" s="1"/>
    </row>
    <row r="323834" spans="1:1" x14ac:dyDescent="0.25">
      <c r="A323834" s="1"/>
    </row>
    <row r="323835" spans="1:1" x14ac:dyDescent="0.25">
      <c r="A323835" s="1"/>
    </row>
    <row r="323836" spans="1:1" x14ac:dyDescent="0.25">
      <c r="A323836" s="1"/>
    </row>
    <row r="323837" spans="1:1" x14ac:dyDescent="0.25">
      <c r="A323837" s="1"/>
    </row>
    <row r="323838" spans="1:1" x14ac:dyDescent="0.25">
      <c r="A323838" s="1"/>
    </row>
    <row r="323839" spans="1:1" x14ac:dyDescent="0.25">
      <c r="A323839" s="1"/>
    </row>
    <row r="323840" spans="1:1" x14ac:dyDescent="0.25">
      <c r="A323840" s="1"/>
    </row>
    <row r="323841" spans="1:1" x14ac:dyDescent="0.25">
      <c r="A323841" s="1"/>
    </row>
    <row r="323842" spans="1:1" x14ac:dyDescent="0.25">
      <c r="A323842" s="1"/>
    </row>
    <row r="323843" spans="1:1" x14ac:dyDescent="0.25">
      <c r="A323843" s="1"/>
    </row>
    <row r="323844" spans="1:1" x14ac:dyDescent="0.25">
      <c r="A323844" s="1"/>
    </row>
    <row r="323845" spans="1:1" x14ac:dyDescent="0.25">
      <c r="A323845" s="1"/>
    </row>
    <row r="323846" spans="1:1" x14ac:dyDescent="0.25">
      <c r="A323846" s="1"/>
    </row>
    <row r="323847" spans="1:1" x14ac:dyDescent="0.25">
      <c r="A323847" s="1"/>
    </row>
    <row r="323848" spans="1:1" x14ac:dyDescent="0.25">
      <c r="A323848" s="1"/>
    </row>
    <row r="323849" spans="1:1" x14ac:dyDescent="0.25">
      <c r="A323849" s="1"/>
    </row>
    <row r="323850" spans="1:1" x14ac:dyDescent="0.25">
      <c r="A323850" s="1"/>
    </row>
    <row r="323851" spans="1:1" x14ac:dyDescent="0.25">
      <c r="A323851" s="1"/>
    </row>
    <row r="323852" spans="1:1" x14ac:dyDescent="0.25">
      <c r="A323852" s="1"/>
    </row>
    <row r="323853" spans="1:1" x14ac:dyDescent="0.25">
      <c r="A323853" s="1"/>
    </row>
    <row r="323854" spans="1:1" x14ac:dyDescent="0.25">
      <c r="A323854" s="1"/>
    </row>
    <row r="323855" spans="1:1" x14ac:dyDescent="0.25">
      <c r="A323855" s="1"/>
    </row>
    <row r="323856" spans="1:1" x14ac:dyDescent="0.25">
      <c r="A323856" s="1"/>
    </row>
    <row r="323857" spans="1:1" x14ac:dyDescent="0.25">
      <c r="A323857" s="1"/>
    </row>
    <row r="323858" spans="1:1" x14ac:dyDescent="0.25">
      <c r="A323858" s="1"/>
    </row>
    <row r="323859" spans="1:1" x14ac:dyDescent="0.25">
      <c r="A323859" s="1"/>
    </row>
    <row r="323860" spans="1:1" x14ac:dyDescent="0.25">
      <c r="A323860" s="1"/>
    </row>
    <row r="323861" spans="1:1" x14ac:dyDescent="0.25">
      <c r="A323861" s="1"/>
    </row>
    <row r="323862" spans="1:1" x14ac:dyDescent="0.25">
      <c r="A323862" s="1"/>
    </row>
    <row r="323863" spans="1:1" x14ac:dyDescent="0.25">
      <c r="A323863" s="1"/>
    </row>
    <row r="323864" spans="1:1" x14ac:dyDescent="0.25">
      <c r="A323864" s="1"/>
    </row>
    <row r="323865" spans="1:1" x14ac:dyDescent="0.25">
      <c r="A323865" s="1"/>
    </row>
    <row r="323866" spans="1:1" x14ac:dyDescent="0.25">
      <c r="A323866" s="1"/>
    </row>
    <row r="323867" spans="1:1" x14ac:dyDescent="0.25">
      <c r="A323867" s="1"/>
    </row>
    <row r="323868" spans="1:1" x14ac:dyDescent="0.25">
      <c r="A323868" s="1"/>
    </row>
    <row r="323869" spans="1:1" x14ac:dyDescent="0.25">
      <c r="A323869" s="1"/>
    </row>
    <row r="323870" spans="1:1" x14ac:dyDescent="0.25">
      <c r="A323870" s="1"/>
    </row>
    <row r="323871" spans="1:1" x14ac:dyDescent="0.25">
      <c r="A323871" s="1"/>
    </row>
    <row r="323872" spans="1:1" x14ac:dyDescent="0.25">
      <c r="A323872" s="1"/>
    </row>
    <row r="323873" spans="1:1" x14ac:dyDescent="0.25">
      <c r="A323873" s="1"/>
    </row>
    <row r="323874" spans="1:1" x14ac:dyDescent="0.25">
      <c r="A323874" s="1"/>
    </row>
    <row r="323875" spans="1:1" x14ac:dyDescent="0.25">
      <c r="A323875" s="1"/>
    </row>
    <row r="323876" spans="1:1" x14ac:dyDescent="0.25">
      <c r="A323876" s="1"/>
    </row>
    <row r="323877" spans="1:1" x14ac:dyDescent="0.25">
      <c r="A323877" s="1"/>
    </row>
    <row r="323878" spans="1:1" x14ac:dyDescent="0.25">
      <c r="A323878" s="1"/>
    </row>
    <row r="323879" spans="1:1" x14ac:dyDescent="0.25">
      <c r="A323879" s="1"/>
    </row>
    <row r="323880" spans="1:1" x14ac:dyDescent="0.25">
      <c r="A323880" s="1"/>
    </row>
    <row r="323881" spans="1:1" x14ac:dyDescent="0.25">
      <c r="A323881" s="1"/>
    </row>
    <row r="323882" spans="1:1" x14ac:dyDescent="0.25">
      <c r="A323882" s="1"/>
    </row>
    <row r="323883" spans="1:1" x14ac:dyDescent="0.25">
      <c r="A323883" s="1"/>
    </row>
    <row r="323884" spans="1:1" x14ac:dyDescent="0.25">
      <c r="A323884" s="1"/>
    </row>
    <row r="323885" spans="1:1" x14ac:dyDescent="0.25">
      <c r="A323885" s="1"/>
    </row>
    <row r="323886" spans="1:1" x14ac:dyDescent="0.25">
      <c r="A323886" s="1"/>
    </row>
    <row r="323887" spans="1:1" x14ac:dyDescent="0.25">
      <c r="A323887" s="1"/>
    </row>
    <row r="323888" spans="1:1" x14ac:dyDescent="0.25">
      <c r="A323888" s="1"/>
    </row>
    <row r="323889" spans="1:1" x14ac:dyDescent="0.25">
      <c r="A323889" s="1"/>
    </row>
    <row r="323890" spans="1:1" x14ac:dyDescent="0.25">
      <c r="A323890" s="1"/>
    </row>
    <row r="323891" spans="1:1" x14ac:dyDescent="0.25">
      <c r="A323891" s="1"/>
    </row>
    <row r="323892" spans="1:1" x14ac:dyDescent="0.25">
      <c r="A323892" s="1"/>
    </row>
    <row r="323893" spans="1:1" x14ac:dyDescent="0.25">
      <c r="A323893" s="1"/>
    </row>
    <row r="323894" spans="1:1" x14ac:dyDescent="0.25">
      <c r="A323894" s="1"/>
    </row>
    <row r="323895" spans="1:1" x14ac:dyDescent="0.25">
      <c r="A323895" s="1"/>
    </row>
    <row r="323896" spans="1:1" x14ac:dyDescent="0.25">
      <c r="A323896" s="1"/>
    </row>
    <row r="323897" spans="1:1" x14ac:dyDescent="0.25">
      <c r="A323897" s="1"/>
    </row>
    <row r="323898" spans="1:1" x14ac:dyDescent="0.25">
      <c r="A323898" s="1"/>
    </row>
    <row r="323899" spans="1:1" x14ac:dyDescent="0.25">
      <c r="A323899" s="1"/>
    </row>
    <row r="323900" spans="1:1" x14ac:dyDescent="0.25">
      <c r="A323900" s="1"/>
    </row>
    <row r="323901" spans="1:1" x14ac:dyDescent="0.25">
      <c r="A323901" s="1"/>
    </row>
    <row r="323902" spans="1:1" x14ac:dyDescent="0.25">
      <c r="A323902" s="1"/>
    </row>
    <row r="323903" spans="1:1" x14ac:dyDescent="0.25">
      <c r="A323903" s="1"/>
    </row>
    <row r="323904" spans="1:1" x14ac:dyDescent="0.25">
      <c r="A323904" s="1"/>
    </row>
    <row r="323905" spans="1:1" x14ac:dyDescent="0.25">
      <c r="A323905" s="1"/>
    </row>
    <row r="323906" spans="1:1" x14ac:dyDescent="0.25">
      <c r="A323906" s="1"/>
    </row>
    <row r="323907" spans="1:1" x14ac:dyDescent="0.25">
      <c r="A323907" s="1"/>
    </row>
    <row r="323908" spans="1:1" x14ac:dyDescent="0.25">
      <c r="A323908" s="1"/>
    </row>
    <row r="323909" spans="1:1" x14ac:dyDescent="0.25">
      <c r="A323909" s="1"/>
    </row>
    <row r="323910" spans="1:1" x14ac:dyDescent="0.25">
      <c r="A323910" s="1"/>
    </row>
    <row r="323911" spans="1:1" x14ac:dyDescent="0.25">
      <c r="A323911" s="1"/>
    </row>
    <row r="323912" spans="1:1" x14ac:dyDescent="0.25">
      <c r="A323912" s="1"/>
    </row>
    <row r="323913" spans="1:1" x14ac:dyDescent="0.25">
      <c r="A323913" s="1"/>
    </row>
    <row r="323914" spans="1:1" x14ac:dyDescent="0.25">
      <c r="A323914" s="1"/>
    </row>
    <row r="323915" spans="1:1" x14ac:dyDescent="0.25">
      <c r="A323915" s="1"/>
    </row>
    <row r="323916" spans="1:1" x14ac:dyDescent="0.25">
      <c r="A323916" s="1"/>
    </row>
    <row r="323917" spans="1:1" x14ac:dyDescent="0.25">
      <c r="A323917" s="1"/>
    </row>
    <row r="323918" spans="1:1" x14ac:dyDescent="0.25">
      <c r="A323918" s="1"/>
    </row>
    <row r="323919" spans="1:1" x14ac:dyDescent="0.25">
      <c r="A323919" s="1"/>
    </row>
    <row r="323920" spans="1:1" x14ac:dyDescent="0.25">
      <c r="A323920" s="1"/>
    </row>
    <row r="323921" spans="1:1" x14ac:dyDescent="0.25">
      <c r="A323921" s="1"/>
    </row>
    <row r="323922" spans="1:1" x14ac:dyDescent="0.25">
      <c r="A323922" s="1"/>
    </row>
    <row r="323923" spans="1:1" x14ac:dyDescent="0.25">
      <c r="A323923" s="1"/>
    </row>
    <row r="323924" spans="1:1" x14ac:dyDescent="0.25">
      <c r="A323924" s="1"/>
    </row>
    <row r="323925" spans="1:1" x14ac:dyDescent="0.25">
      <c r="A323925" s="1"/>
    </row>
    <row r="323926" spans="1:1" x14ac:dyDescent="0.25">
      <c r="A323926" s="1"/>
    </row>
    <row r="323927" spans="1:1" x14ac:dyDescent="0.25">
      <c r="A323927" s="1"/>
    </row>
    <row r="323928" spans="1:1" x14ac:dyDescent="0.25">
      <c r="A323928" s="1"/>
    </row>
    <row r="323929" spans="1:1" x14ac:dyDescent="0.25">
      <c r="A323929" s="1"/>
    </row>
    <row r="323930" spans="1:1" x14ac:dyDescent="0.25">
      <c r="A323930" s="1"/>
    </row>
    <row r="323931" spans="1:1" x14ac:dyDescent="0.25">
      <c r="A323931" s="1"/>
    </row>
    <row r="323932" spans="1:1" x14ac:dyDescent="0.25">
      <c r="A323932" s="1"/>
    </row>
    <row r="323933" spans="1:1" x14ac:dyDescent="0.25">
      <c r="A323933" s="1"/>
    </row>
    <row r="323934" spans="1:1" x14ac:dyDescent="0.25">
      <c r="A323934" s="1"/>
    </row>
    <row r="323935" spans="1:1" x14ac:dyDescent="0.25">
      <c r="A323935" s="1"/>
    </row>
    <row r="323936" spans="1:1" x14ac:dyDescent="0.25">
      <c r="A323936" s="1"/>
    </row>
    <row r="323937" spans="1:1" x14ac:dyDescent="0.25">
      <c r="A323937" s="1"/>
    </row>
    <row r="323938" spans="1:1" x14ac:dyDescent="0.25">
      <c r="A323938" s="1"/>
    </row>
    <row r="323939" spans="1:1" x14ac:dyDescent="0.25">
      <c r="A323939" s="1"/>
    </row>
    <row r="323940" spans="1:1" x14ac:dyDescent="0.25">
      <c r="A323940" s="1"/>
    </row>
    <row r="323941" spans="1:1" x14ac:dyDescent="0.25">
      <c r="A323941" s="1"/>
    </row>
    <row r="323942" spans="1:1" x14ac:dyDescent="0.25">
      <c r="A323942" s="1"/>
    </row>
    <row r="323943" spans="1:1" x14ac:dyDescent="0.25">
      <c r="A323943" s="1"/>
    </row>
    <row r="323944" spans="1:1" x14ac:dyDescent="0.25">
      <c r="A323944" s="1"/>
    </row>
    <row r="323945" spans="1:1" x14ac:dyDescent="0.25">
      <c r="A323945" s="1"/>
    </row>
    <row r="323946" spans="1:1" x14ac:dyDescent="0.25">
      <c r="A323946" s="1"/>
    </row>
    <row r="323947" spans="1:1" x14ac:dyDescent="0.25">
      <c r="A323947" s="1"/>
    </row>
    <row r="323948" spans="1:1" x14ac:dyDescent="0.25">
      <c r="A323948" s="1"/>
    </row>
    <row r="323949" spans="1:1" x14ac:dyDescent="0.25">
      <c r="A323949" s="1"/>
    </row>
    <row r="323950" spans="1:1" x14ac:dyDescent="0.25">
      <c r="A323950" s="1"/>
    </row>
    <row r="323951" spans="1:1" x14ac:dyDescent="0.25">
      <c r="A323951" s="1"/>
    </row>
    <row r="323952" spans="1:1" x14ac:dyDescent="0.25">
      <c r="A323952" s="1"/>
    </row>
    <row r="323953" spans="1:1" x14ac:dyDescent="0.25">
      <c r="A323953" s="1"/>
    </row>
    <row r="323954" spans="1:1" x14ac:dyDescent="0.25">
      <c r="A323954" s="1"/>
    </row>
    <row r="323955" spans="1:1" x14ac:dyDescent="0.25">
      <c r="A323955" s="1"/>
    </row>
    <row r="323956" spans="1:1" x14ac:dyDescent="0.25">
      <c r="A323956" s="1"/>
    </row>
    <row r="323957" spans="1:1" x14ac:dyDescent="0.25">
      <c r="A323957" s="1"/>
    </row>
    <row r="323958" spans="1:1" x14ac:dyDescent="0.25">
      <c r="A323958" s="1"/>
    </row>
    <row r="323959" spans="1:1" x14ac:dyDescent="0.25">
      <c r="A323959" s="1"/>
    </row>
    <row r="323960" spans="1:1" x14ac:dyDescent="0.25">
      <c r="A323960" s="1"/>
    </row>
    <row r="323961" spans="1:1" x14ac:dyDescent="0.25">
      <c r="A323961" s="1"/>
    </row>
    <row r="323962" spans="1:1" x14ac:dyDescent="0.25">
      <c r="A323962" s="1"/>
    </row>
    <row r="323963" spans="1:1" x14ac:dyDescent="0.25">
      <c r="A323963" s="1"/>
    </row>
    <row r="323964" spans="1:1" x14ac:dyDescent="0.25">
      <c r="A323964" s="1"/>
    </row>
    <row r="323965" spans="1:1" x14ac:dyDescent="0.25">
      <c r="A323965" s="1"/>
    </row>
    <row r="323966" spans="1:1" x14ac:dyDescent="0.25">
      <c r="A323966" s="1"/>
    </row>
    <row r="323967" spans="1:1" x14ac:dyDescent="0.25">
      <c r="A323967" s="1"/>
    </row>
    <row r="323968" spans="1:1" x14ac:dyDescent="0.25">
      <c r="A323968" s="1"/>
    </row>
    <row r="323969" spans="1:1" x14ac:dyDescent="0.25">
      <c r="A323969" s="1"/>
    </row>
    <row r="323970" spans="1:1" x14ac:dyDescent="0.25">
      <c r="A323970" s="1"/>
    </row>
    <row r="323971" spans="1:1" x14ac:dyDescent="0.25">
      <c r="A323971" s="1"/>
    </row>
    <row r="323972" spans="1:1" x14ac:dyDescent="0.25">
      <c r="A323972" s="1"/>
    </row>
    <row r="323973" spans="1:1" x14ac:dyDescent="0.25">
      <c r="A323973" s="1"/>
    </row>
    <row r="323974" spans="1:1" x14ac:dyDescent="0.25">
      <c r="A323974" s="1"/>
    </row>
    <row r="323975" spans="1:1" x14ac:dyDescent="0.25">
      <c r="A323975" s="1"/>
    </row>
    <row r="323976" spans="1:1" x14ac:dyDescent="0.25">
      <c r="A323976" s="1"/>
    </row>
    <row r="323977" spans="1:1" x14ac:dyDescent="0.25">
      <c r="A323977" s="1"/>
    </row>
    <row r="323978" spans="1:1" x14ac:dyDescent="0.25">
      <c r="A323978" s="1"/>
    </row>
    <row r="323979" spans="1:1" x14ac:dyDescent="0.25">
      <c r="A323979" s="1"/>
    </row>
    <row r="323980" spans="1:1" x14ac:dyDescent="0.25">
      <c r="A323980" s="1"/>
    </row>
    <row r="323981" spans="1:1" x14ac:dyDescent="0.25">
      <c r="A323981" s="1"/>
    </row>
    <row r="323982" spans="1:1" x14ac:dyDescent="0.25">
      <c r="A323982" s="1"/>
    </row>
    <row r="323983" spans="1:1" x14ac:dyDescent="0.25">
      <c r="A323983" s="1"/>
    </row>
    <row r="323984" spans="1:1" x14ac:dyDescent="0.25">
      <c r="A323984" s="1"/>
    </row>
    <row r="323985" spans="1:1" x14ac:dyDescent="0.25">
      <c r="A323985" s="1"/>
    </row>
    <row r="323986" spans="1:1" x14ac:dyDescent="0.25">
      <c r="A323986" s="1"/>
    </row>
    <row r="323987" spans="1:1" x14ac:dyDescent="0.25">
      <c r="A323987" s="1"/>
    </row>
    <row r="323988" spans="1:1" x14ac:dyDescent="0.25">
      <c r="A323988" s="1"/>
    </row>
    <row r="323989" spans="1:1" x14ac:dyDescent="0.25">
      <c r="A323989" s="1"/>
    </row>
    <row r="323990" spans="1:1" x14ac:dyDescent="0.25">
      <c r="A323990" s="1"/>
    </row>
    <row r="323991" spans="1:1" x14ac:dyDescent="0.25">
      <c r="A323991" s="1"/>
    </row>
    <row r="323992" spans="1:1" x14ac:dyDescent="0.25">
      <c r="A323992" s="1"/>
    </row>
    <row r="323993" spans="1:1" x14ac:dyDescent="0.25">
      <c r="A323993" s="1"/>
    </row>
    <row r="323994" spans="1:1" x14ac:dyDescent="0.25">
      <c r="A323994" s="1"/>
    </row>
    <row r="323995" spans="1:1" x14ac:dyDescent="0.25">
      <c r="A323995" s="1"/>
    </row>
    <row r="323996" spans="1:1" x14ac:dyDescent="0.25">
      <c r="A323996" s="1"/>
    </row>
    <row r="323997" spans="1:1" x14ac:dyDescent="0.25">
      <c r="A323997" s="1"/>
    </row>
    <row r="323998" spans="1:1" x14ac:dyDescent="0.25">
      <c r="A323998" s="1"/>
    </row>
    <row r="323999" spans="1:1" x14ac:dyDescent="0.25">
      <c r="A323999" s="1"/>
    </row>
    <row r="324000" spans="1:1" x14ac:dyDescent="0.25">
      <c r="A324000" s="1"/>
    </row>
    <row r="324001" spans="1:1" x14ac:dyDescent="0.25">
      <c r="A324001" s="1"/>
    </row>
    <row r="324002" spans="1:1" x14ac:dyDescent="0.25">
      <c r="A324002" s="1"/>
    </row>
    <row r="324003" spans="1:1" x14ac:dyDescent="0.25">
      <c r="A324003" s="1"/>
    </row>
    <row r="324004" spans="1:1" x14ac:dyDescent="0.25">
      <c r="A324004" s="1"/>
    </row>
    <row r="324005" spans="1:1" x14ac:dyDescent="0.25">
      <c r="A324005" s="1"/>
    </row>
    <row r="324006" spans="1:1" x14ac:dyDescent="0.25">
      <c r="A324006" s="1"/>
    </row>
    <row r="324007" spans="1:1" x14ac:dyDescent="0.25">
      <c r="A324007" s="1"/>
    </row>
    <row r="324008" spans="1:1" x14ac:dyDescent="0.25">
      <c r="A324008" s="1"/>
    </row>
    <row r="324009" spans="1:1" x14ac:dyDescent="0.25">
      <c r="A324009" s="1"/>
    </row>
    <row r="324010" spans="1:1" x14ac:dyDescent="0.25">
      <c r="A324010" s="1"/>
    </row>
    <row r="324011" spans="1:1" x14ac:dyDescent="0.25">
      <c r="A324011" s="1"/>
    </row>
    <row r="324012" spans="1:1" x14ac:dyDescent="0.25">
      <c r="A324012" s="1"/>
    </row>
    <row r="324013" spans="1:1" x14ac:dyDescent="0.25">
      <c r="A324013" s="1"/>
    </row>
    <row r="324014" spans="1:1" x14ac:dyDescent="0.25">
      <c r="A324014" s="1"/>
    </row>
    <row r="324015" spans="1:1" x14ac:dyDescent="0.25">
      <c r="A324015" s="1"/>
    </row>
    <row r="324016" spans="1:1" x14ac:dyDescent="0.25">
      <c r="A324016" s="1"/>
    </row>
    <row r="324017" spans="1:1" x14ac:dyDescent="0.25">
      <c r="A324017" s="1"/>
    </row>
    <row r="324018" spans="1:1" x14ac:dyDescent="0.25">
      <c r="A324018" s="1"/>
    </row>
    <row r="324019" spans="1:1" x14ac:dyDescent="0.25">
      <c r="A324019" s="1"/>
    </row>
    <row r="324020" spans="1:1" x14ac:dyDescent="0.25">
      <c r="A324020" s="1"/>
    </row>
    <row r="324021" spans="1:1" x14ac:dyDescent="0.25">
      <c r="A324021" s="1"/>
    </row>
    <row r="324022" spans="1:1" x14ac:dyDescent="0.25">
      <c r="A324022" s="1"/>
    </row>
    <row r="324023" spans="1:1" x14ac:dyDescent="0.25">
      <c r="A324023" s="1"/>
    </row>
    <row r="324024" spans="1:1" x14ac:dyDescent="0.25">
      <c r="A324024" s="1"/>
    </row>
    <row r="324025" spans="1:1" x14ac:dyDescent="0.25">
      <c r="A324025" s="1"/>
    </row>
    <row r="324026" spans="1:1" x14ac:dyDescent="0.25">
      <c r="A324026" s="1"/>
    </row>
    <row r="324027" spans="1:1" x14ac:dyDescent="0.25">
      <c r="A324027" s="1"/>
    </row>
    <row r="324028" spans="1:1" x14ac:dyDescent="0.25">
      <c r="A324028" s="1"/>
    </row>
    <row r="324029" spans="1:1" x14ac:dyDescent="0.25">
      <c r="A324029" s="1"/>
    </row>
    <row r="324030" spans="1:1" x14ac:dyDescent="0.25">
      <c r="A324030" s="1"/>
    </row>
    <row r="324031" spans="1:1" x14ac:dyDescent="0.25">
      <c r="A324031" s="1"/>
    </row>
    <row r="324032" spans="1:1" x14ac:dyDescent="0.25">
      <c r="A324032" s="1"/>
    </row>
    <row r="324033" spans="1:1" x14ac:dyDescent="0.25">
      <c r="A324033" s="1"/>
    </row>
    <row r="324034" spans="1:1" x14ac:dyDescent="0.25">
      <c r="A324034" s="1"/>
    </row>
    <row r="324035" spans="1:1" x14ac:dyDescent="0.25">
      <c r="A324035" s="1"/>
    </row>
    <row r="324036" spans="1:1" x14ac:dyDescent="0.25">
      <c r="A324036" s="1"/>
    </row>
    <row r="324037" spans="1:1" x14ac:dyDescent="0.25">
      <c r="A324037" s="1"/>
    </row>
    <row r="324038" spans="1:1" x14ac:dyDescent="0.25">
      <c r="A324038" s="1"/>
    </row>
    <row r="324039" spans="1:1" x14ac:dyDescent="0.25">
      <c r="A324039" s="1"/>
    </row>
    <row r="324040" spans="1:1" x14ac:dyDescent="0.25">
      <c r="A324040" s="1"/>
    </row>
    <row r="324041" spans="1:1" x14ac:dyDescent="0.25">
      <c r="A324041" s="1"/>
    </row>
    <row r="324042" spans="1:1" x14ac:dyDescent="0.25">
      <c r="A324042" s="1"/>
    </row>
    <row r="324043" spans="1:1" x14ac:dyDescent="0.25">
      <c r="A324043" s="1"/>
    </row>
    <row r="324044" spans="1:1" x14ac:dyDescent="0.25">
      <c r="A324044" s="1"/>
    </row>
    <row r="324045" spans="1:1" x14ac:dyDescent="0.25">
      <c r="A324045" s="1"/>
    </row>
    <row r="324046" spans="1:1" x14ac:dyDescent="0.25">
      <c r="A324046" s="1"/>
    </row>
    <row r="324047" spans="1:1" x14ac:dyDescent="0.25">
      <c r="A324047" s="1"/>
    </row>
    <row r="324048" spans="1:1" x14ac:dyDescent="0.25">
      <c r="A324048" s="1"/>
    </row>
    <row r="324049" spans="1:1" x14ac:dyDescent="0.25">
      <c r="A324049" s="1"/>
    </row>
    <row r="324050" spans="1:1" x14ac:dyDescent="0.25">
      <c r="A324050" s="1"/>
    </row>
    <row r="324051" spans="1:1" x14ac:dyDescent="0.25">
      <c r="A324051" s="1"/>
    </row>
    <row r="324052" spans="1:1" x14ac:dyDescent="0.25">
      <c r="A324052" s="1"/>
    </row>
    <row r="324053" spans="1:1" x14ac:dyDescent="0.25">
      <c r="A324053" s="1"/>
    </row>
    <row r="324054" spans="1:1" x14ac:dyDescent="0.25">
      <c r="A324054" s="1"/>
    </row>
    <row r="324055" spans="1:1" x14ac:dyDescent="0.25">
      <c r="A324055" s="1"/>
    </row>
    <row r="324056" spans="1:1" x14ac:dyDescent="0.25">
      <c r="A324056" s="1"/>
    </row>
    <row r="324057" spans="1:1" x14ac:dyDescent="0.25">
      <c r="A324057" s="1"/>
    </row>
    <row r="324058" spans="1:1" x14ac:dyDescent="0.25">
      <c r="A324058" s="1"/>
    </row>
    <row r="324059" spans="1:1" x14ac:dyDescent="0.25">
      <c r="A324059" s="1"/>
    </row>
    <row r="324060" spans="1:1" x14ac:dyDescent="0.25">
      <c r="A324060" s="1"/>
    </row>
    <row r="324061" spans="1:1" x14ac:dyDescent="0.25">
      <c r="A324061" s="1"/>
    </row>
    <row r="324062" spans="1:1" x14ac:dyDescent="0.25">
      <c r="A324062" s="1"/>
    </row>
    <row r="324063" spans="1:1" x14ac:dyDescent="0.25">
      <c r="A324063" s="1"/>
    </row>
    <row r="324064" spans="1:1" x14ac:dyDescent="0.25">
      <c r="A324064" s="1"/>
    </row>
    <row r="324065" spans="1:1" x14ac:dyDescent="0.25">
      <c r="A324065" s="1"/>
    </row>
    <row r="324066" spans="1:1" x14ac:dyDescent="0.25">
      <c r="A324066" s="1"/>
    </row>
    <row r="324067" spans="1:1" x14ac:dyDescent="0.25">
      <c r="A324067" s="1"/>
    </row>
    <row r="324068" spans="1:1" x14ac:dyDescent="0.25">
      <c r="A324068" s="1"/>
    </row>
    <row r="324069" spans="1:1" x14ac:dyDescent="0.25">
      <c r="A324069" s="1"/>
    </row>
    <row r="324070" spans="1:1" x14ac:dyDescent="0.25">
      <c r="A324070" s="1"/>
    </row>
    <row r="324071" spans="1:1" x14ac:dyDescent="0.25">
      <c r="A324071" s="1"/>
    </row>
    <row r="324072" spans="1:1" x14ac:dyDescent="0.25">
      <c r="A324072" s="1"/>
    </row>
    <row r="324073" spans="1:1" x14ac:dyDescent="0.25">
      <c r="A324073" s="1"/>
    </row>
    <row r="324074" spans="1:1" x14ac:dyDescent="0.25">
      <c r="A324074" s="1"/>
    </row>
    <row r="324075" spans="1:1" x14ac:dyDescent="0.25">
      <c r="A324075" s="1"/>
    </row>
    <row r="324076" spans="1:1" x14ac:dyDescent="0.25">
      <c r="A324076" s="1"/>
    </row>
    <row r="324077" spans="1:1" x14ac:dyDescent="0.25">
      <c r="A324077" s="1"/>
    </row>
    <row r="324078" spans="1:1" x14ac:dyDescent="0.25">
      <c r="A324078" s="1"/>
    </row>
    <row r="324079" spans="1:1" x14ac:dyDescent="0.25">
      <c r="A324079" s="1"/>
    </row>
    <row r="324080" spans="1:1" x14ac:dyDescent="0.25">
      <c r="A324080" s="1"/>
    </row>
    <row r="324081" spans="1:1" x14ac:dyDescent="0.25">
      <c r="A324081" s="1"/>
    </row>
    <row r="324082" spans="1:1" x14ac:dyDescent="0.25">
      <c r="A324082" s="1"/>
    </row>
    <row r="324083" spans="1:1" x14ac:dyDescent="0.25">
      <c r="A324083" s="1"/>
    </row>
    <row r="324084" spans="1:1" x14ac:dyDescent="0.25">
      <c r="A324084" s="1"/>
    </row>
    <row r="324085" spans="1:1" x14ac:dyDescent="0.25">
      <c r="A324085" s="1"/>
    </row>
    <row r="324086" spans="1:1" x14ac:dyDescent="0.25">
      <c r="A324086" s="1"/>
    </row>
    <row r="324087" spans="1:1" x14ac:dyDescent="0.25">
      <c r="A324087" s="1"/>
    </row>
    <row r="324088" spans="1:1" x14ac:dyDescent="0.25">
      <c r="A324088" s="1"/>
    </row>
    <row r="324089" spans="1:1" x14ac:dyDescent="0.25">
      <c r="A324089" s="1"/>
    </row>
    <row r="324090" spans="1:1" x14ac:dyDescent="0.25">
      <c r="A324090" s="1"/>
    </row>
    <row r="324091" spans="1:1" x14ac:dyDescent="0.25">
      <c r="A324091" s="1"/>
    </row>
    <row r="324092" spans="1:1" x14ac:dyDescent="0.25">
      <c r="A324092" s="1"/>
    </row>
    <row r="324093" spans="1:1" x14ac:dyDescent="0.25">
      <c r="A324093" s="1"/>
    </row>
    <row r="324094" spans="1:1" x14ac:dyDescent="0.25">
      <c r="A324094" s="1"/>
    </row>
    <row r="324095" spans="1:1" x14ac:dyDescent="0.25">
      <c r="A324095" s="1"/>
    </row>
    <row r="324096" spans="1:1" x14ac:dyDescent="0.25">
      <c r="A324096" s="1"/>
    </row>
    <row r="324097" spans="1:1" x14ac:dyDescent="0.25">
      <c r="A324097" s="1"/>
    </row>
    <row r="324098" spans="1:1" x14ac:dyDescent="0.25">
      <c r="A324098" s="1"/>
    </row>
    <row r="324099" spans="1:1" x14ac:dyDescent="0.25">
      <c r="A324099" s="1"/>
    </row>
    <row r="324100" spans="1:1" x14ac:dyDescent="0.25">
      <c r="A324100" s="1"/>
    </row>
    <row r="324101" spans="1:1" x14ac:dyDescent="0.25">
      <c r="A324101" s="1"/>
    </row>
    <row r="324102" spans="1:1" x14ac:dyDescent="0.25">
      <c r="A324102" s="1"/>
    </row>
    <row r="324103" spans="1:1" x14ac:dyDescent="0.25">
      <c r="A324103" s="1"/>
    </row>
    <row r="324104" spans="1:1" x14ac:dyDescent="0.25">
      <c r="A324104" s="1"/>
    </row>
    <row r="324105" spans="1:1" x14ac:dyDescent="0.25">
      <c r="A324105" s="1"/>
    </row>
    <row r="324106" spans="1:1" x14ac:dyDescent="0.25">
      <c r="A324106" s="1"/>
    </row>
    <row r="324107" spans="1:1" x14ac:dyDescent="0.25">
      <c r="A324107" s="1"/>
    </row>
    <row r="324108" spans="1:1" x14ac:dyDescent="0.25">
      <c r="A324108" s="1"/>
    </row>
    <row r="324109" spans="1:1" x14ac:dyDescent="0.25">
      <c r="A324109" s="1"/>
    </row>
    <row r="324110" spans="1:1" x14ac:dyDescent="0.25">
      <c r="A324110" s="1"/>
    </row>
    <row r="324111" spans="1:1" x14ac:dyDescent="0.25">
      <c r="A324111" s="1"/>
    </row>
    <row r="324112" spans="1:1" x14ac:dyDescent="0.25">
      <c r="A324112" s="1"/>
    </row>
    <row r="324113" spans="1:1" x14ac:dyDescent="0.25">
      <c r="A324113" s="1"/>
    </row>
    <row r="324114" spans="1:1" x14ac:dyDescent="0.25">
      <c r="A324114" s="1"/>
    </row>
    <row r="324115" spans="1:1" x14ac:dyDescent="0.25">
      <c r="A324115" s="1"/>
    </row>
    <row r="324116" spans="1:1" x14ac:dyDescent="0.25">
      <c r="A324116" s="1"/>
    </row>
    <row r="324117" spans="1:1" x14ac:dyDescent="0.25">
      <c r="A324117" s="1"/>
    </row>
    <row r="324118" spans="1:1" x14ac:dyDescent="0.25">
      <c r="A324118" s="1"/>
    </row>
    <row r="324119" spans="1:1" x14ac:dyDescent="0.25">
      <c r="A324119" s="1"/>
    </row>
    <row r="324120" spans="1:1" x14ac:dyDescent="0.25">
      <c r="A324120" s="1"/>
    </row>
    <row r="324121" spans="1:1" x14ac:dyDescent="0.25">
      <c r="A324121" s="1"/>
    </row>
    <row r="324122" spans="1:1" x14ac:dyDescent="0.25">
      <c r="A324122" s="1"/>
    </row>
    <row r="324123" spans="1:1" x14ac:dyDescent="0.25">
      <c r="A324123" s="1"/>
    </row>
    <row r="324124" spans="1:1" x14ac:dyDescent="0.25">
      <c r="A324124" s="1"/>
    </row>
    <row r="324125" spans="1:1" x14ac:dyDescent="0.25">
      <c r="A324125" s="1"/>
    </row>
    <row r="324126" spans="1:1" x14ac:dyDescent="0.25">
      <c r="A324126" s="1"/>
    </row>
    <row r="324127" spans="1:1" x14ac:dyDescent="0.25">
      <c r="A324127" s="1"/>
    </row>
    <row r="324128" spans="1:1" x14ac:dyDescent="0.25">
      <c r="A324128" s="1"/>
    </row>
    <row r="324129" spans="1:1" x14ac:dyDescent="0.25">
      <c r="A324129" s="1"/>
    </row>
    <row r="324130" spans="1:1" x14ac:dyDescent="0.25">
      <c r="A324130" s="1"/>
    </row>
    <row r="324131" spans="1:1" x14ac:dyDescent="0.25">
      <c r="A324131" s="1"/>
    </row>
    <row r="324132" spans="1:1" x14ac:dyDescent="0.25">
      <c r="A324132" s="1"/>
    </row>
    <row r="324133" spans="1:1" x14ac:dyDescent="0.25">
      <c r="A324133" s="1"/>
    </row>
    <row r="324134" spans="1:1" x14ac:dyDescent="0.25">
      <c r="A324134" s="1"/>
    </row>
    <row r="324135" spans="1:1" x14ac:dyDescent="0.25">
      <c r="A324135" s="1"/>
    </row>
    <row r="324136" spans="1:1" x14ac:dyDescent="0.25">
      <c r="A324136" s="1"/>
    </row>
    <row r="324137" spans="1:1" x14ac:dyDescent="0.25">
      <c r="A324137" s="1"/>
    </row>
    <row r="324138" spans="1:1" x14ac:dyDescent="0.25">
      <c r="A324138" s="1"/>
    </row>
    <row r="324139" spans="1:1" x14ac:dyDescent="0.25">
      <c r="A324139" s="1"/>
    </row>
    <row r="324140" spans="1:1" x14ac:dyDescent="0.25">
      <c r="A324140" s="1"/>
    </row>
    <row r="324141" spans="1:1" x14ac:dyDescent="0.25">
      <c r="A324141" s="1"/>
    </row>
    <row r="324142" spans="1:1" x14ac:dyDescent="0.25">
      <c r="A324142" s="1"/>
    </row>
    <row r="324143" spans="1:1" x14ac:dyDescent="0.25">
      <c r="A324143" s="1"/>
    </row>
    <row r="324144" spans="1:1" x14ac:dyDescent="0.25">
      <c r="A324144" s="1"/>
    </row>
    <row r="324145" spans="1:1" x14ac:dyDescent="0.25">
      <c r="A324145" s="1"/>
    </row>
    <row r="324146" spans="1:1" x14ac:dyDescent="0.25">
      <c r="A324146" s="1"/>
    </row>
    <row r="324147" spans="1:1" x14ac:dyDescent="0.25">
      <c r="A324147" s="1"/>
    </row>
    <row r="324148" spans="1:1" x14ac:dyDescent="0.25">
      <c r="A324148" s="1"/>
    </row>
    <row r="324149" spans="1:1" x14ac:dyDescent="0.25">
      <c r="A324149" s="1"/>
    </row>
    <row r="324150" spans="1:1" x14ac:dyDescent="0.25">
      <c r="A324150" s="1"/>
    </row>
    <row r="324151" spans="1:1" x14ac:dyDescent="0.25">
      <c r="A324151" s="1"/>
    </row>
    <row r="324152" spans="1:1" x14ac:dyDescent="0.25">
      <c r="A324152" s="1"/>
    </row>
    <row r="324153" spans="1:1" x14ac:dyDescent="0.25">
      <c r="A324153" s="1"/>
    </row>
    <row r="324154" spans="1:1" x14ac:dyDescent="0.25">
      <c r="A324154" s="1"/>
    </row>
    <row r="324155" spans="1:1" x14ac:dyDescent="0.25">
      <c r="A324155" s="1"/>
    </row>
    <row r="324156" spans="1:1" x14ac:dyDescent="0.25">
      <c r="A324156" s="1"/>
    </row>
    <row r="324157" spans="1:1" x14ac:dyDescent="0.25">
      <c r="A324157" s="1"/>
    </row>
    <row r="324158" spans="1:1" x14ac:dyDescent="0.25">
      <c r="A324158" s="1"/>
    </row>
    <row r="324159" spans="1:1" x14ac:dyDescent="0.25">
      <c r="A324159" s="1"/>
    </row>
    <row r="324160" spans="1:1" x14ac:dyDescent="0.25">
      <c r="A324160" s="1"/>
    </row>
    <row r="324161" spans="1:1" x14ac:dyDescent="0.25">
      <c r="A324161" s="1"/>
    </row>
    <row r="324162" spans="1:1" x14ac:dyDescent="0.25">
      <c r="A324162" s="1"/>
    </row>
    <row r="324163" spans="1:1" x14ac:dyDescent="0.25">
      <c r="A324163" s="1"/>
    </row>
    <row r="324164" spans="1:1" x14ac:dyDescent="0.25">
      <c r="A324164" s="1"/>
    </row>
    <row r="324165" spans="1:1" x14ac:dyDescent="0.25">
      <c r="A324165" s="1"/>
    </row>
    <row r="324166" spans="1:1" x14ac:dyDescent="0.25">
      <c r="A324166" s="1"/>
    </row>
    <row r="324167" spans="1:1" x14ac:dyDescent="0.25">
      <c r="A324167" s="1"/>
    </row>
    <row r="324168" spans="1:1" x14ac:dyDescent="0.25">
      <c r="A324168" s="1"/>
    </row>
    <row r="324169" spans="1:1" x14ac:dyDescent="0.25">
      <c r="A324169" s="1"/>
    </row>
    <row r="324170" spans="1:1" x14ac:dyDescent="0.25">
      <c r="A324170" s="1"/>
    </row>
    <row r="324171" spans="1:1" x14ac:dyDescent="0.25">
      <c r="A324171" s="1"/>
    </row>
    <row r="324172" spans="1:1" x14ac:dyDescent="0.25">
      <c r="A324172" s="1"/>
    </row>
    <row r="324173" spans="1:1" x14ac:dyDescent="0.25">
      <c r="A324173" s="1"/>
    </row>
    <row r="324174" spans="1:1" x14ac:dyDescent="0.25">
      <c r="A324174" s="1"/>
    </row>
    <row r="324175" spans="1:1" x14ac:dyDescent="0.25">
      <c r="A324175" s="1"/>
    </row>
    <row r="324176" spans="1:1" x14ac:dyDescent="0.25">
      <c r="A324176" s="1"/>
    </row>
    <row r="324177" spans="1:1" x14ac:dyDescent="0.25">
      <c r="A324177" s="1"/>
    </row>
    <row r="324178" spans="1:1" x14ac:dyDescent="0.25">
      <c r="A324178" s="1"/>
    </row>
    <row r="324179" spans="1:1" x14ac:dyDescent="0.25">
      <c r="A324179" s="1"/>
    </row>
    <row r="324180" spans="1:1" x14ac:dyDescent="0.25">
      <c r="A324180" s="1"/>
    </row>
    <row r="324181" spans="1:1" x14ac:dyDescent="0.25">
      <c r="A324181" s="1"/>
    </row>
    <row r="324182" spans="1:1" x14ac:dyDescent="0.25">
      <c r="A324182" s="1"/>
    </row>
    <row r="324183" spans="1:1" x14ac:dyDescent="0.25">
      <c r="A324183" s="1"/>
    </row>
    <row r="324184" spans="1:1" x14ac:dyDescent="0.25">
      <c r="A324184" s="1"/>
    </row>
    <row r="324185" spans="1:1" x14ac:dyDescent="0.25">
      <c r="A324185" s="1"/>
    </row>
    <row r="324186" spans="1:1" x14ac:dyDescent="0.25">
      <c r="A324186" s="1"/>
    </row>
    <row r="324187" spans="1:1" x14ac:dyDescent="0.25">
      <c r="A324187" s="1"/>
    </row>
    <row r="324188" spans="1:1" x14ac:dyDescent="0.25">
      <c r="A324188" s="1"/>
    </row>
    <row r="324189" spans="1:1" x14ac:dyDescent="0.25">
      <c r="A324189" s="1"/>
    </row>
    <row r="324190" spans="1:1" x14ac:dyDescent="0.25">
      <c r="A324190" s="1"/>
    </row>
    <row r="324191" spans="1:1" x14ac:dyDescent="0.25">
      <c r="A324191" s="1"/>
    </row>
    <row r="324192" spans="1:1" x14ac:dyDescent="0.25">
      <c r="A324192" s="1"/>
    </row>
    <row r="324193" spans="1:1" x14ac:dyDescent="0.25">
      <c r="A324193" s="1"/>
    </row>
    <row r="324194" spans="1:1" x14ac:dyDescent="0.25">
      <c r="A324194" s="1"/>
    </row>
    <row r="324195" spans="1:1" x14ac:dyDescent="0.25">
      <c r="A324195" s="1"/>
    </row>
    <row r="324196" spans="1:1" x14ac:dyDescent="0.25">
      <c r="A324196" s="1"/>
    </row>
    <row r="324197" spans="1:1" x14ac:dyDescent="0.25">
      <c r="A324197" s="1"/>
    </row>
    <row r="324198" spans="1:1" x14ac:dyDescent="0.25">
      <c r="A324198" s="1"/>
    </row>
    <row r="324199" spans="1:1" x14ac:dyDescent="0.25">
      <c r="A324199" s="1"/>
    </row>
    <row r="324200" spans="1:1" x14ac:dyDescent="0.25">
      <c r="A324200" s="1"/>
    </row>
    <row r="324201" spans="1:1" x14ac:dyDescent="0.25">
      <c r="A324201" s="1"/>
    </row>
    <row r="324202" spans="1:1" x14ac:dyDescent="0.25">
      <c r="A324202" s="1"/>
    </row>
    <row r="324203" spans="1:1" x14ac:dyDescent="0.25">
      <c r="A324203" s="1"/>
    </row>
    <row r="324204" spans="1:1" x14ac:dyDescent="0.25">
      <c r="A324204" s="1"/>
    </row>
    <row r="324205" spans="1:1" x14ac:dyDescent="0.25">
      <c r="A324205" s="1"/>
    </row>
    <row r="324206" spans="1:1" x14ac:dyDescent="0.25">
      <c r="A324206" s="1"/>
    </row>
    <row r="324207" spans="1:1" x14ac:dyDescent="0.25">
      <c r="A324207" s="1"/>
    </row>
    <row r="324208" spans="1:1" x14ac:dyDescent="0.25">
      <c r="A324208" s="1"/>
    </row>
    <row r="324209" spans="1:1" x14ac:dyDescent="0.25">
      <c r="A324209" s="1"/>
    </row>
    <row r="324210" spans="1:1" x14ac:dyDescent="0.25">
      <c r="A324210" s="1"/>
    </row>
    <row r="324211" spans="1:1" x14ac:dyDescent="0.25">
      <c r="A324211" s="1"/>
    </row>
    <row r="324212" spans="1:1" x14ac:dyDescent="0.25">
      <c r="A324212" s="1"/>
    </row>
    <row r="324213" spans="1:1" x14ac:dyDescent="0.25">
      <c r="A324213" s="1"/>
    </row>
    <row r="324214" spans="1:1" x14ac:dyDescent="0.25">
      <c r="A324214" s="1"/>
    </row>
    <row r="324215" spans="1:1" x14ac:dyDescent="0.25">
      <c r="A324215" s="1"/>
    </row>
    <row r="324216" spans="1:1" x14ac:dyDescent="0.25">
      <c r="A324216" s="1"/>
    </row>
    <row r="324217" spans="1:1" x14ac:dyDescent="0.25">
      <c r="A324217" s="1"/>
    </row>
    <row r="324218" spans="1:1" x14ac:dyDescent="0.25">
      <c r="A324218" s="1"/>
    </row>
    <row r="324219" spans="1:1" x14ac:dyDescent="0.25">
      <c r="A324219" s="1"/>
    </row>
    <row r="324220" spans="1:1" x14ac:dyDescent="0.25">
      <c r="A324220" s="1"/>
    </row>
    <row r="324221" spans="1:1" x14ac:dyDescent="0.25">
      <c r="A324221" s="1"/>
    </row>
    <row r="324222" spans="1:1" x14ac:dyDescent="0.25">
      <c r="A324222" s="1"/>
    </row>
    <row r="324223" spans="1:1" x14ac:dyDescent="0.25">
      <c r="A324223" s="1"/>
    </row>
    <row r="324224" spans="1:1" x14ac:dyDescent="0.25">
      <c r="A324224" s="1"/>
    </row>
    <row r="324225" spans="1:1" x14ac:dyDescent="0.25">
      <c r="A324225" s="1"/>
    </row>
    <row r="324226" spans="1:1" x14ac:dyDescent="0.25">
      <c r="A324226" s="1"/>
    </row>
    <row r="324227" spans="1:1" x14ac:dyDescent="0.25">
      <c r="A324227" s="1"/>
    </row>
    <row r="324228" spans="1:1" x14ac:dyDescent="0.25">
      <c r="A324228" s="1"/>
    </row>
    <row r="324229" spans="1:1" x14ac:dyDescent="0.25">
      <c r="A324229" s="1"/>
    </row>
    <row r="324230" spans="1:1" x14ac:dyDescent="0.25">
      <c r="A324230" s="1"/>
    </row>
    <row r="324231" spans="1:1" x14ac:dyDescent="0.25">
      <c r="A324231" s="1"/>
    </row>
    <row r="324232" spans="1:1" x14ac:dyDescent="0.25">
      <c r="A324232" s="1"/>
    </row>
    <row r="324233" spans="1:1" x14ac:dyDescent="0.25">
      <c r="A324233" s="1"/>
    </row>
    <row r="324234" spans="1:1" x14ac:dyDescent="0.25">
      <c r="A324234" s="1"/>
    </row>
    <row r="324235" spans="1:1" x14ac:dyDescent="0.25">
      <c r="A324235" s="1"/>
    </row>
    <row r="324236" spans="1:1" x14ac:dyDescent="0.25">
      <c r="A324236" s="1"/>
    </row>
    <row r="324237" spans="1:1" x14ac:dyDescent="0.25">
      <c r="A324237" s="1"/>
    </row>
    <row r="324238" spans="1:1" x14ac:dyDescent="0.25">
      <c r="A324238" s="1"/>
    </row>
    <row r="324239" spans="1:1" x14ac:dyDescent="0.25">
      <c r="A324239" s="1"/>
    </row>
    <row r="324240" spans="1:1" x14ac:dyDescent="0.25">
      <c r="A324240" s="1"/>
    </row>
    <row r="324241" spans="1:1" x14ac:dyDescent="0.25">
      <c r="A324241" s="1"/>
    </row>
    <row r="324242" spans="1:1" x14ac:dyDescent="0.25">
      <c r="A324242" s="1"/>
    </row>
    <row r="324243" spans="1:1" x14ac:dyDescent="0.25">
      <c r="A324243" s="1"/>
    </row>
    <row r="324244" spans="1:1" x14ac:dyDescent="0.25">
      <c r="A324244" s="1"/>
    </row>
    <row r="324245" spans="1:1" x14ac:dyDescent="0.25">
      <c r="A324245" s="1"/>
    </row>
    <row r="324246" spans="1:1" x14ac:dyDescent="0.25">
      <c r="A324246" s="1"/>
    </row>
    <row r="324247" spans="1:1" x14ac:dyDescent="0.25">
      <c r="A324247" s="1"/>
    </row>
    <row r="324248" spans="1:1" x14ac:dyDescent="0.25">
      <c r="A324248" s="1"/>
    </row>
    <row r="324249" spans="1:1" x14ac:dyDescent="0.25">
      <c r="A324249" s="1"/>
    </row>
    <row r="324250" spans="1:1" x14ac:dyDescent="0.25">
      <c r="A324250" s="1"/>
    </row>
    <row r="324251" spans="1:1" x14ac:dyDescent="0.25">
      <c r="A324251" s="1"/>
    </row>
    <row r="324252" spans="1:1" x14ac:dyDescent="0.25">
      <c r="A324252" s="1"/>
    </row>
    <row r="324253" spans="1:1" x14ac:dyDescent="0.25">
      <c r="A324253" s="1"/>
    </row>
    <row r="324254" spans="1:1" x14ac:dyDescent="0.25">
      <c r="A324254" s="1"/>
    </row>
    <row r="324255" spans="1:1" x14ac:dyDescent="0.25">
      <c r="A324255" s="1"/>
    </row>
    <row r="324256" spans="1:1" x14ac:dyDescent="0.25">
      <c r="A324256" s="1"/>
    </row>
    <row r="324257" spans="1:1" x14ac:dyDescent="0.25">
      <c r="A324257" s="1"/>
    </row>
    <row r="324258" spans="1:1" x14ac:dyDescent="0.25">
      <c r="A324258" s="1"/>
    </row>
    <row r="324259" spans="1:1" x14ac:dyDescent="0.25">
      <c r="A324259" s="1"/>
    </row>
    <row r="324260" spans="1:1" x14ac:dyDescent="0.25">
      <c r="A324260" s="1"/>
    </row>
    <row r="324261" spans="1:1" x14ac:dyDescent="0.25">
      <c r="A324261" s="1"/>
    </row>
    <row r="324262" spans="1:1" x14ac:dyDescent="0.25">
      <c r="A324262" s="1"/>
    </row>
    <row r="324263" spans="1:1" x14ac:dyDescent="0.25">
      <c r="A324263" s="1"/>
    </row>
    <row r="324264" spans="1:1" x14ac:dyDescent="0.25">
      <c r="A324264" s="1"/>
    </row>
    <row r="324265" spans="1:1" x14ac:dyDescent="0.25">
      <c r="A324265" s="1"/>
    </row>
    <row r="324266" spans="1:1" x14ac:dyDescent="0.25">
      <c r="A324266" s="1"/>
    </row>
    <row r="324267" spans="1:1" x14ac:dyDescent="0.25">
      <c r="A324267" s="1"/>
    </row>
    <row r="324268" spans="1:1" x14ac:dyDescent="0.25">
      <c r="A324268" s="1"/>
    </row>
    <row r="324269" spans="1:1" x14ac:dyDescent="0.25">
      <c r="A324269" s="1"/>
    </row>
    <row r="324270" spans="1:1" x14ac:dyDescent="0.25">
      <c r="A324270" s="1"/>
    </row>
    <row r="324271" spans="1:1" x14ac:dyDescent="0.25">
      <c r="A324271" s="1"/>
    </row>
    <row r="324272" spans="1:1" x14ac:dyDescent="0.25">
      <c r="A324272" s="1"/>
    </row>
    <row r="324273" spans="1:1" x14ac:dyDescent="0.25">
      <c r="A324273" s="1"/>
    </row>
    <row r="324274" spans="1:1" x14ac:dyDescent="0.25">
      <c r="A324274" s="1"/>
    </row>
    <row r="324275" spans="1:1" x14ac:dyDescent="0.25">
      <c r="A324275" s="1"/>
    </row>
    <row r="324276" spans="1:1" x14ac:dyDescent="0.25">
      <c r="A324276" s="1"/>
    </row>
    <row r="324277" spans="1:1" x14ac:dyDescent="0.25">
      <c r="A324277" s="1"/>
    </row>
    <row r="324278" spans="1:1" x14ac:dyDescent="0.25">
      <c r="A324278" s="1"/>
    </row>
    <row r="324279" spans="1:1" x14ac:dyDescent="0.25">
      <c r="A324279" s="1"/>
    </row>
    <row r="324280" spans="1:1" x14ac:dyDescent="0.25">
      <c r="A324280" s="1"/>
    </row>
    <row r="324281" spans="1:1" x14ac:dyDescent="0.25">
      <c r="A324281" s="1"/>
    </row>
    <row r="324282" spans="1:1" x14ac:dyDescent="0.25">
      <c r="A324282" s="1"/>
    </row>
    <row r="324283" spans="1:1" x14ac:dyDescent="0.25">
      <c r="A324283" s="1"/>
    </row>
    <row r="324284" spans="1:1" x14ac:dyDescent="0.25">
      <c r="A324284" s="1"/>
    </row>
    <row r="324285" spans="1:1" x14ac:dyDescent="0.25">
      <c r="A324285" s="1"/>
    </row>
    <row r="324286" spans="1:1" x14ac:dyDescent="0.25">
      <c r="A324286" s="1"/>
    </row>
    <row r="324287" spans="1:1" x14ac:dyDescent="0.25">
      <c r="A324287" s="1"/>
    </row>
    <row r="324288" spans="1:1" x14ac:dyDescent="0.25">
      <c r="A324288" s="1"/>
    </row>
    <row r="324289" spans="1:1" x14ac:dyDescent="0.25">
      <c r="A324289" s="1"/>
    </row>
    <row r="324290" spans="1:1" x14ac:dyDescent="0.25">
      <c r="A324290" s="1"/>
    </row>
    <row r="324291" spans="1:1" x14ac:dyDescent="0.25">
      <c r="A324291" s="1"/>
    </row>
    <row r="324292" spans="1:1" x14ac:dyDescent="0.25">
      <c r="A324292" s="1"/>
    </row>
    <row r="324293" spans="1:1" x14ac:dyDescent="0.25">
      <c r="A324293" s="1"/>
    </row>
    <row r="324294" spans="1:1" x14ac:dyDescent="0.25">
      <c r="A324294" s="1"/>
    </row>
    <row r="324295" spans="1:1" x14ac:dyDescent="0.25">
      <c r="A324295" s="1"/>
    </row>
    <row r="324296" spans="1:1" x14ac:dyDescent="0.25">
      <c r="A324296" s="1"/>
    </row>
    <row r="324297" spans="1:1" x14ac:dyDescent="0.25">
      <c r="A324297" s="1"/>
    </row>
    <row r="324298" spans="1:1" x14ac:dyDescent="0.25">
      <c r="A324298" s="1"/>
    </row>
    <row r="324299" spans="1:1" x14ac:dyDescent="0.25">
      <c r="A324299" s="1"/>
    </row>
    <row r="324300" spans="1:1" x14ac:dyDescent="0.25">
      <c r="A324300" s="1"/>
    </row>
    <row r="324301" spans="1:1" x14ac:dyDescent="0.25">
      <c r="A324301" s="1"/>
    </row>
    <row r="324302" spans="1:1" x14ac:dyDescent="0.25">
      <c r="A324302" s="1"/>
    </row>
    <row r="324303" spans="1:1" x14ac:dyDescent="0.25">
      <c r="A324303" s="1"/>
    </row>
    <row r="324304" spans="1:1" x14ac:dyDescent="0.25">
      <c r="A324304" s="1"/>
    </row>
    <row r="324305" spans="1:1" x14ac:dyDescent="0.25">
      <c r="A324305" s="1"/>
    </row>
    <row r="324306" spans="1:1" x14ac:dyDescent="0.25">
      <c r="A324306" s="1"/>
    </row>
    <row r="324307" spans="1:1" x14ac:dyDescent="0.25">
      <c r="A324307" s="1"/>
    </row>
    <row r="324308" spans="1:1" x14ac:dyDescent="0.25">
      <c r="A324308" s="1"/>
    </row>
    <row r="324309" spans="1:1" x14ac:dyDescent="0.25">
      <c r="A324309" s="1"/>
    </row>
    <row r="324310" spans="1:1" x14ac:dyDescent="0.25">
      <c r="A324310" s="1"/>
    </row>
    <row r="324311" spans="1:1" x14ac:dyDescent="0.25">
      <c r="A324311" s="1"/>
    </row>
    <row r="324312" spans="1:1" x14ac:dyDescent="0.25">
      <c r="A324312" s="1"/>
    </row>
    <row r="324313" spans="1:1" x14ac:dyDescent="0.25">
      <c r="A324313" s="1"/>
    </row>
    <row r="324314" spans="1:1" x14ac:dyDescent="0.25">
      <c r="A324314" s="1"/>
    </row>
    <row r="324315" spans="1:1" x14ac:dyDescent="0.25">
      <c r="A324315" s="1"/>
    </row>
    <row r="324316" spans="1:1" x14ac:dyDescent="0.25">
      <c r="A324316" s="1"/>
    </row>
    <row r="324317" spans="1:1" x14ac:dyDescent="0.25">
      <c r="A324317" s="1"/>
    </row>
    <row r="324318" spans="1:1" x14ac:dyDescent="0.25">
      <c r="A324318" s="1"/>
    </row>
    <row r="324319" spans="1:1" x14ac:dyDescent="0.25">
      <c r="A324319" s="1"/>
    </row>
    <row r="324320" spans="1:1" x14ac:dyDescent="0.25">
      <c r="A324320" s="1"/>
    </row>
    <row r="324321" spans="1:1" x14ac:dyDescent="0.25">
      <c r="A324321" s="1"/>
    </row>
    <row r="324322" spans="1:1" x14ac:dyDescent="0.25">
      <c r="A324322" s="1"/>
    </row>
    <row r="324323" spans="1:1" x14ac:dyDescent="0.25">
      <c r="A324323" s="1"/>
    </row>
    <row r="324324" spans="1:1" x14ac:dyDescent="0.25">
      <c r="A324324" s="1"/>
    </row>
    <row r="324325" spans="1:1" x14ac:dyDescent="0.25">
      <c r="A324325" s="1"/>
    </row>
    <row r="324326" spans="1:1" x14ac:dyDescent="0.25">
      <c r="A324326" s="1"/>
    </row>
    <row r="324327" spans="1:1" x14ac:dyDescent="0.25">
      <c r="A324327" s="1"/>
    </row>
    <row r="324328" spans="1:1" x14ac:dyDescent="0.25">
      <c r="A324328" s="1"/>
    </row>
    <row r="324329" spans="1:1" x14ac:dyDescent="0.25">
      <c r="A324329" s="1"/>
    </row>
    <row r="324330" spans="1:1" x14ac:dyDescent="0.25">
      <c r="A324330" s="1"/>
    </row>
    <row r="324331" spans="1:1" x14ac:dyDescent="0.25">
      <c r="A324331" s="1"/>
    </row>
    <row r="324332" spans="1:1" x14ac:dyDescent="0.25">
      <c r="A324332" s="1"/>
    </row>
    <row r="324333" spans="1:1" x14ac:dyDescent="0.25">
      <c r="A324333" s="1"/>
    </row>
    <row r="324334" spans="1:1" x14ac:dyDescent="0.25">
      <c r="A324334" s="1"/>
    </row>
    <row r="324335" spans="1:1" x14ac:dyDescent="0.25">
      <c r="A324335" s="1"/>
    </row>
    <row r="324336" spans="1:1" x14ac:dyDescent="0.25">
      <c r="A324336" s="1"/>
    </row>
    <row r="324337" spans="1:1" x14ac:dyDescent="0.25">
      <c r="A324337" s="1"/>
    </row>
    <row r="324338" spans="1:1" x14ac:dyDescent="0.25">
      <c r="A324338" s="1"/>
    </row>
    <row r="324339" spans="1:1" x14ac:dyDescent="0.25">
      <c r="A324339" s="1"/>
    </row>
    <row r="324340" spans="1:1" x14ac:dyDescent="0.25">
      <c r="A324340" s="1"/>
    </row>
    <row r="324341" spans="1:1" x14ac:dyDescent="0.25">
      <c r="A324341" s="1"/>
    </row>
    <row r="324342" spans="1:1" x14ac:dyDescent="0.25">
      <c r="A324342" s="1"/>
    </row>
    <row r="324343" spans="1:1" x14ac:dyDescent="0.25">
      <c r="A324343" s="1"/>
    </row>
    <row r="324344" spans="1:1" x14ac:dyDescent="0.25">
      <c r="A324344" s="1"/>
    </row>
    <row r="324345" spans="1:1" x14ac:dyDescent="0.25">
      <c r="A324345" s="1"/>
    </row>
    <row r="324346" spans="1:1" x14ac:dyDescent="0.25">
      <c r="A324346" s="1"/>
    </row>
    <row r="324347" spans="1:1" x14ac:dyDescent="0.25">
      <c r="A324347" s="1"/>
    </row>
    <row r="324348" spans="1:1" x14ac:dyDescent="0.25">
      <c r="A324348" s="1"/>
    </row>
    <row r="324349" spans="1:1" x14ac:dyDescent="0.25">
      <c r="A324349" s="1"/>
    </row>
    <row r="324350" spans="1:1" x14ac:dyDescent="0.25">
      <c r="A324350" s="1"/>
    </row>
    <row r="324351" spans="1:1" x14ac:dyDescent="0.25">
      <c r="A324351" s="1"/>
    </row>
    <row r="324352" spans="1:1" x14ac:dyDescent="0.25">
      <c r="A324352" s="1"/>
    </row>
    <row r="324353" spans="1:1" x14ac:dyDescent="0.25">
      <c r="A324353" s="1"/>
    </row>
    <row r="324354" spans="1:1" x14ac:dyDescent="0.25">
      <c r="A324354" s="1"/>
    </row>
    <row r="324355" spans="1:1" x14ac:dyDescent="0.25">
      <c r="A324355" s="1"/>
    </row>
    <row r="324356" spans="1:1" x14ac:dyDescent="0.25">
      <c r="A324356" s="1"/>
    </row>
    <row r="324357" spans="1:1" x14ac:dyDescent="0.25">
      <c r="A324357" s="1"/>
    </row>
    <row r="324358" spans="1:1" x14ac:dyDescent="0.25">
      <c r="A324358" s="1"/>
    </row>
    <row r="324359" spans="1:1" x14ac:dyDescent="0.25">
      <c r="A324359" s="1"/>
    </row>
    <row r="324360" spans="1:1" x14ac:dyDescent="0.25">
      <c r="A324360" s="1"/>
    </row>
    <row r="324361" spans="1:1" x14ac:dyDescent="0.25">
      <c r="A324361" s="1"/>
    </row>
    <row r="324362" spans="1:1" x14ac:dyDescent="0.25">
      <c r="A324362" s="1"/>
    </row>
    <row r="324363" spans="1:1" x14ac:dyDescent="0.25">
      <c r="A324363" s="1"/>
    </row>
    <row r="324364" spans="1:1" x14ac:dyDescent="0.25">
      <c r="A324364" s="1"/>
    </row>
    <row r="324365" spans="1:1" x14ac:dyDescent="0.25">
      <c r="A324365" s="1"/>
    </row>
    <row r="324366" spans="1:1" x14ac:dyDescent="0.25">
      <c r="A324366" s="1"/>
    </row>
    <row r="324367" spans="1:1" x14ac:dyDescent="0.25">
      <c r="A324367" s="1"/>
    </row>
    <row r="324368" spans="1:1" x14ac:dyDescent="0.25">
      <c r="A324368" s="1"/>
    </row>
    <row r="324369" spans="1:1" x14ac:dyDescent="0.25">
      <c r="A324369" s="1"/>
    </row>
    <row r="324370" spans="1:1" x14ac:dyDescent="0.25">
      <c r="A324370" s="1"/>
    </row>
    <row r="324371" spans="1:1" x14ac:dyDescent="0.25">
      <c r="A324371" s="1"/>
    </row>
    <row r="324372" spans="1:1" x14ac:dyDescent="0.25">
      <c r="A324372" s="1"/>
    </row>
    <row r="324373" spans="1:1" x14ac:dyDescent="0.25">
      <c r="A324373" s="1"/>
    </row>
    <row r="324374" spans="1:1" x14ac:dyDescent="0.25">
      <c r="A324374" s="1"/>
    </row>
    <row r="324375" spans="1:1" x14ac:dyDescent="0.25">
      <c r="A324375" s="1"/>
    </row>
    <row r="324376" spans="1:1" x14ac:dyDescent="0.25">
      <c r="A324376" s="1"/>
    </row>
    <row r="324377" spans="1:1" x14ac:dyDescent="0.25">
      <c r="A324377" s="1"/>
    </row>
    <row r="324378" spans="1:1" x14ac:dyDescent="0.25">
      <c r="A324378" s="1"/>
    </row>
    <row r="324379" spans="1:1" x14ac:dyDescent="0.25">
      <c r="A324379" s="1"/>
    </row>
    <row r="324380" spans="1:1" x14ac:dyDescent="0.25">
      <c r="A324380" s="1"/>
    </row>
    <row r="324381" spans="1:1" x14ac:dyDescent="0.25">
      <c r="A324381" s="1"/>
    </row>
    <row r="324382" spans="1:1" x14ac:dyDescent="0.25">
      <c r="A324382" s="1"/>
    </row>
    <row r="324383" spans="1:1" x14ac:dyDescent="0.25">
      <c r="A324383" s="1"/>
    </row>
    <row r="324384" spans="1:1" x14ac:dyDescent="0.25">
      <c r="A324384" s="1"/>
    </row>
    <row r="324385" spans="1:1" x14ac:dyDescent="0.25">
      <c r="A324385" s="1"/>
    </row>
    <row r="324386" spans="1:1" x14ac:dyDescent="0.25">
      <c r="A324386" s="1"/>
    </row>
    <row r="324387" spans="1:1" x14ac:dyDescent="0.25">
      <c r="A324387" s="1"/>
    </row>
    <row r="324388" spans="1:1" x14ac:dyDescent="0.25">
      <c r="A324388" s="1"/>
    </row>
    <row r="324389" spans="1:1" x14ac:dyDescent="0.25">
      <c r="A324389" s="1"/>
    </row>
    <row r="324390" spans="1:1" x14ac:dyDescent="0.25">
      <c r="A324390" s="1"/>
    </row>
    <row r="324391" spans="1:1" x14ac:dyDescent="0.25">
      <c r="A324391" s="1"/>
    </row>
    <row r="324392" spans="1:1" x14ac:dyDescent="0.25">
      <c r="A324392" s="1"/>
    </row>
    <row r="324393" spans="1:1" x14ac:dyDescent="0.25">
      <c r="A324393" s="1"/>
    </row>
    <row r="324394" spans="1:1" x14ac:dyDescent="0.25">
      <c r="A324394" s="1"/>
    </row>
    <row r="324395" spans="1:1" x14ac:dyDescent="0.25">
      <c r="A324395" s="1"/>
    </row>
    <row r="324396" spans="1:1" x14ac:dyDescent="0.25">
      <c r="A324396" s="1"/>
    </row>
    <row r="324397" spans="1:1" x14ac:dyDescent="0.25">
      <c r="A324397" s="1"/>
    </row>
    <row r="324398" spans="1:1" x14ac:dyDescent="0.25">
      <c r="A324398" s="1"/>
    </row>
    <row r="324399" spans="1:1" x14ac:dyDescent="0.25">
      <c r="A324399" s="1"/>
    </row>
    <row r="324400" spans="1:1" x14ac:dyDescent="0.25">
      <c r="A324400" s="1"/>
    </row>
    <row r="324401" spans="1:1" x14ac:dyDescent="0.25">
      <c r="A324401" s="1"/>
    </row>
    <row r="324402" spans="1:1" x14ac:dyDescent="0.25">
      <c r="A324402" s="1"/>
    </row>
    <row r="324403" spans="1:1" x14ac:dyDescent="0.25">
      <c r="A324403" s="1"/>
    </row>
    <row r="324404" spans="1:1" x14ac:dyDescent="0.25">
      <c r="A324404" s="1"/>
    </row>
    <row r="324405" spans="1:1" x14ac:dyDescent="0.25">
      <c r="A324405" s="1"/>
    </row>
    <row r="324406" spans="1:1" x14ac:dyDescent="0.25">
      <c r="A324406" s="1"/>
    </row>
    <row r="324407" spans="1:1" x14ac:dyDescent="0.25">
      <c r="A324407" s="1"/>
    </row>
    <row r="324408" spans="1:1" x14ac:dyDescent="0.25">
      <c r="A324408" s="1"/>
    </row>
    <row r="324409" spans="1:1" x14ac:dyDescent="0.25">
      <c r="A324409" s="1"/>
    </row>
    <row r="324410" spans="1:1" x14ac:dyDescent="0.25">
      <c r="A324410" s="1"/>
    </row>
    <row r="324411" spans="1:1" x14ac:dyDescent="0.25">
      <c r="A324411" s="1"/>
    </row>
    <row r="324412" spans="1:1" x14ac:dyDescent="0.25">
      <c r="A324412" s="1"/>
    </row>
    <row r="324413" spans="1:1" x14ac:dyDescent="0.25">
      <c r="A324413" s="1"/>
    </row>
    <row r="324414" spans="1:1" x14ac:dyDescent="0.25">
      <c r="A324414" s="1"/>
    </row>
    <row r="324415" spans="1:1" x14ac:dyDescent="0.25">
      <c r="A324415" s="1"/>
    </row>
    <row r="324416" spans="1:1" x14ac:dyDescent="0.25">
      <c r="A324416" s="1"/>
    </row>
    <row r="324417" spans="1:1" x14ac:dyDescent="0.25">
      <c r="A324417" s="1"/>
    </row>
    <row r="324418" spans="1:1" x14ac:dyDescent="0.25">
      <c r="A324418" s="1"/>
    </row>
    <row r="324419" spans="1:1" x14ac:dyDescent="0.25">
      <c r="A324419" s="1"/>
    </row>
    <row r="324420" spans="1:1" x14ac:dyDescent="0.25">
      <c r="A324420" s="1"/>
    </row>
    <row r="324421" spans="1:1" x14ac:dyDescent="0.25">
      <c r="A324421" s="1"/>
    </row>
    <row r="324422" spans="1:1" x14ac:dyDescent="0.25">
      <c r="A324422" s="1"/>
    </row>
    <row r="324423" spans="1:1" x14ac:dyDescent="0.25">
      <c r="A324423" s="1"/>
    </row>
    <row r="324424" spans="1:1" x14ac:dyDescent="0.25">
      <c r="A324424" s="1"/>
    </row>
    <row r="324425" spans="1:1" x14ac:dyDescent="0.25">
      <c r="A324425" s="1"/>
    </row>
    <row r="324426" spans="1:1" x14ac:dyDescent="0.25">
      <c r="A324426" s="1"/>
    </row>
    <row r="324427" spans="1:1" x14ac:dyDescent="0.25">
      <c r="A324427" s="1"/>
    </row>
    <row r="324428" spans="1:1" x14ac:dyDescent="0.25">
      <c r="A324428" s="1"/>
    </row>
    <row r="324429" spans="1:1" x14ac:dyDescent="0.25">
      <c r="A324429" s="1"/>
    </row>
    <row r="324430" spans="1:1" x14ac:dyDescent="0.25">
      <c r="A324430" s="1"/>
    </row>
    <row r="324431" spans="1:1" x14ac:dyDescent="0.25">
      <c r="A324431" s="1"/>
    </row>
    <row r="324432" spans="1:1" x14ac:dyDescent="0.25">
      <c r="A324432" s="1"/>
    </row>
    <row r="324433" spans="1:1" x14ac:dyDescent="0.25">
      <c r="A324433" s="1"/>
    </row>
    <row r="324434" spans="1:1" x14ac:dyDescent="0.25">
      <c r="A324434" s="1"/>
    </row>
    <row r="324435" spans="1:1" x14ac:dyDescent="0.25">
      <c r="A324435" s="1"/>
    </row>
    <row r="324436" spans="1:1" x14ac:dyDescent="0.25">
      <c r="A324436" s="1"/>
    </row>
    <row r="324437" spans="1:1" x14ac:dyDescent="0.25">
      <c r="A324437" s="1"/>
    </row>
    <row r="324438" spans="1:1" x14ac:dyDescent="0.25">
      <c r="A324438" s="1"/>
    </row>
    <row r="324439" spans="1:1" x14ac:dyDescent="0.25">
      <c r="A324439" s="1"/>
    </row>
    <row r="324440" spans="1:1" x14ac:dyDescent="0.25">
      <c r="A324440" s="1"/>
    </row>
    <row r="324441" spans="1:1" x14ac:dyDescent="0.25">
      <c r="A324441" s="1"/>
    </row>
    <row r="324442" spans="1:1" x14ac:dyDescent="0.25">
      <c r="A324442" s="1"/>
    </row>
    <row r="324443" spans="1:1" x14ac:dyDescent="0.25">
      <c r="A324443" s="1"/>
    </row>
    <row r="324444" spans="1:1" x14ac:dyDescent="0.25">
      <c r="A324444" s="1"/>
    </row>
    <row r="324445" spans="1:1" x14ac:dyDescent="0.25">
      <c r="A324445" s="1"/>
    </row>
    <row r="324446" spans="1:1" x14ac:dyDescent="0.25">
      <c r="A324446" s="1"/>
    </row>
    <row r="324447" spans="1:1" x14ac:dyDescent="0.25">
      <c r="A324447" s="1"/>
    </row>
    <row r="324448" spans="1:1" x14ac:dyDescent="0.25">
      <c r="A324448" s="1"/>
    </row>
    <row r="324449" spans="1:1" x14ac:dyDescent="0.25">
      <c r="A324449" s="1"/>
    </row>
    <row r="324450" spans="1:1" x14ac:dyDescent="0.25">
      <c r="A324450" s="1"/>
    </row>
    <row r="324451" spans="1:1" x14ac:dyDescent="0.25">
      <c r="A324451" s="1"/>
    </row>
    <row r="324452" spans="1:1" x14ac:dyDescent="0.25">
      <c r="A324452" s="1"/>
    </row>
    <row r="324453" spans="1:1" x14ac:dyDescent="0.25">
      <c r="A324453" s="1"/>
    </row>
    <row r="324454" spans="1:1" x14ac:dyDescent="0.25">
      <c r="A324454" s="1"/>
    </row>
    <row r="324455" spans="1:1" x14ac:dyDescent="0.25">
      <c r="A324455" s="1"/>
    </row>
    <row r="324456" spans="1:1" x14ac:dyDescent="0.25">
      <c r="A324456" s="1"/>
    </row>
    <row r="324457" spans="1:1" x14ac:dyDescent="0.25">
      <c r="A324457" s="1"/>
    </row>
    <row r="324458" spans="1:1" x14ac:dyDescent="0.25">
      <c r="A324458" s="1"/>
    </row>
    <row r="324459" spans="1:1" x14ac:dyDescent="0.25">
      <c r="A324459" s="1"/>
    </row>
    <row r="324460" spans="1:1" x14ac:dyDescent="0.25">
      <c r="A324460" s="1"/>
    </row>
    <row r="324461" spans="1:1" x14ac:dyDescent="0.25">
      <c r="A324461" s="1"/>
    </row>
    <row r="324462" spans="1:1" x14ac:dyDescent="0.25">
      <c r="A324462" s="1"/>
    </row>
    <row r="324463" spans="1:1" x14ac:dyDescent="0.25">
      <c r="A324463" s="1"/>
    </row>
    <row r="324464" spans="1:1" x14ac:dyDescent="0.25">
      <c r="A324464" s="1"/>
    </row>
    <row r="324465" spans="1:1" x14ac:dyDescent="0.25">
      <c r="A324465" s="1"/>
    </row>
    <row r="324466" spans="1:1" x14ac:dyDescent="0.25">
      <c r="A324466" s="1"/>
    </row>
    <row r="324467" spans="1:1" x14ac:dyDescent="0.25">
      <c r="A324467" s="1"/>
    </row>
    <row r="324468" spans="1:1" x14ac:dyDescent="0.25">
      <c r="A324468" s="1"/>
    </row>
    <row r="324469" spans="1:1" x14ac:dyDescent="0.25">
      <c r="A324469" s="1"/>
    </row>
    <row r="324470" spans="1:1" x14ac:dyDescent="0.25">
      <c r="A324470" s="1"/>
    </row>
    <row r="324471" spans="1:1" x14ac:dyDescent="0.25">
      <c r="A324471" s="1"/>
    </row>
    <row r="324472" spans="1:1" x14ac:dyDescent="0.25">
      <c r="A324472" s="1"/>
    </row>
    <row r="324473" spans="1:1" x14ac:dyDescent="0.25">
      <c r="A324473" s="1"/>
    </row>
    <row r="324474" spans="1:1" x14ac:dyDescent="0.25">
      <c r="A324474" s="1"/>
    </row>
    <row r="324475" spans="1:1" x14ac:dyDescent="0.25">
      <c r="A324475" s="1"/>
    </row>
    <row r="324476" spans="1:1" x14ac:dyDescent="0.25">
      <c r="A324476" s="1"/>
    </row>
    <row r="324477" spans="1:1" x14ac:dyDescent="0.25">
      <c r="A324477" s="1"/>
    </row>
    <row r="324478" spans="1:1" x14ac:dyDescent="0.25">
      <c r="A324478" s="1"/>
    </row>
    <row r="324479" spans="1:1" x14ac:dyDescent="0.25">
      <c r="A324479" s="1"/>
    </row>
    <row r="324480" spans="1:1" x14ac:dyDescent="0.25">
      <c r="A324480" s="1"/>
    </row>
    <row r="324481" spans="1:1" x14ac:dyDescent="0.25">
      <c r="A324481" s="1"/>
    </row>
    <row r="324482" spans="1:1" x14ac:dyDescent="0.25">
      <c r="A324482" s="1"/>
    </row>
    <row r="324483" spans="1:1" x14ac:dyDescent="0.25">
      <c r="A324483" s="1"/>
    </row>
    <row r="324484" spans="1:1" x14ac:dyDescent="0.25">
      <c r="A324484" s="1"/>
    </row>
    <row r="324485" spans="1:1" x14ac:dyDescent="0.25">
      <c r="A324485" s="1"/>
    </row>
    <row r="324486" spans="1:1" x14ac:dyDescent="0.25">
      <c r="A324486" s="1"/>
    </row>
    <row r="324487" spans="1:1" x14ac:dyDescent="0.25">
      <c r="A324487" s="1"/>
    </row>
    <row r="324488" spans="1:1" x14ac:dyDescent="0.25">
      <c r="A324488" s="1"/>
    </row>
    <row r="324489" spans="1:1" x14ac:dyDescent="0.25">
      <c r="A324489" s="1"/>
    </row>
    <row r="324490" spans="1:1" x14ac:dyDescent="0.25">
      <c r="A324490" s="1"/>
    </row>
    <row r="324491" spans="1:1" x14ac:dyDescent="0.25">
      <c r="A324491" s="1"/>
    </row>
    <row r="324492" spans="1:1" x14ac:dyDescent="0.25">
      <c r="A324492" s="1"/>
    </row>
    <row r="324493" spans="1:1" x14ac:dyDescent="0.25">
      <c r="A324493" s="1"/>
    </row>
    <row r="324494" spans="1:1" x14ac:dyDescent="0.25">
      <c r="A324494" s="1"/>
    </row>
    <row r="324495" spans="1:1" x14ac:dyDescent="0.25">
      <c r="A324495" s="1"/>
    </row>
    <row r="324496" spans="1:1" x14ac:dyDescent="0.25">
      <c r="A324496" s="1"/>
    </row>
    <row r="324497" spans="1:1" x14ac:dyDescent="0.25">
      <c r="A324497" s="1"/>
    </row>
    <row r="324498" spans="1:1" x14ac:dyDescent="0.25">
      <c r="A324498" s="1"/>
    </row>
    <row r="324499" spans="1:1" x14ac:dyDescent="0.25">
      <c r="A324499" s="1"/>
    </row>
    <row r="324500" spans="1:1" x14ac:dyDescent="0.25">
      <c r="A324500" s="1"/>
    </row>
    <row r="324501" spans="1:1" x14ac:dyDescent="0.25">
      <c r="A324501" s="1"/>
    </row>
    <row r="324502" spans="1:1" x14ac:dyDescent="0.25">
      <c r="A324502" s="1"/>
    </row>
    <row r="324503" spans="1:1" x14ac:dyDescent="0.25">
      <c r="A324503" s="1"/>
    </row>
    <row r="324504" spans="1:1" x14ac:dyDescent="0.25">
      <c r="A324504" s="1"/>
    </row>
    <row r="324505" spans="1:1" x14ac:dyDescent="0.25">
      <c r="A324505" s="1"/>
    </row>
    <row r="324506" spans="1:1" x14ac:dyDescent="0.25">
      <c r="A324506" s="1"/>
    </row>
    <row r="324507" spans="1:1" x14ac:dyDescent="0.25">
      <c r="A324507" s="1"/>
    </row>
    <row r="324508" spans="1:1" x14ac:dyDescent="0.25">
      <c r="A324508" s="1"/>
    </row>
    <row r="324509" spans="1:1" x14ac:dyDescent="0.25">
      <c r="A324509" s="1"/>
    </row>
    <row r="324510" spans="1:1" x14ac:dyDescent="0.25">
      <c r="A324510" s="1"/>
    </row>
    <row r="324511" spans="1:1" x14ac:dyDescent="0.25">
      <c r="A324511" s="1"/>
    </row>
    <row r="324512" spans="1:1" x14ac:dyDescent="0.25">
      <c r="A324512" s="1"/>
    </row>
    <row r="324513" spans="1:1" x14ac:dyDescent="0.25">
      <c r="A324513" s="1"/>
    </row>
    <row r="324514" spans="1:1" x14ac:dyDescent="0.25">
      <c r="A324514" s="1"/>
    </row>
    <row r="324515" spans="1:1" x14ac:dyDescent="0.25">
      <c r="A324515" s="1"/>
    </row>
    <row r="324516" spans="1:1" x14ac:dyDescent="0.25">
      <c r="A324516" s="1"/>
    </row>
    <row r="324517" spans="1:1" x14ac:dyDescent="0.25">
      <c r="A324517" s="1"/>
    </row>
    <row r="324518" spans="1:1" x14ac:dyDescent="0.25">
      <c r="A324518" s="1"/>
    </row>
    <row r="324519" spans="1:1" x14ac:dyDescent="0.25">
      <c r="A324519" s="1"/>
    </row>
    <row r="324520" spans="1:1" x14ac:dyDescent="0.25">
      <c r="A324520" s="1"/>
    </row>
    <row r="324521" spans="1:1" x14ac:dyDescent="0.25">
      <c r="A324521" s="1"/>
    </row>
    <row r="324522" spans="1:1" x14ac:dyDescent="0.25">
      <c r="A324522" s="1"/>
    </row>
    <row r="324523" spans="1:1" x14ac:dyDescent="0.25">
      <c r="A324523" s="1"/>
    </row>
    <row r="324524" spans="1:1" x14ac:dyDescent="0.25">
      <c r="A324524" s="1"/>
    </row>
    <row r="324525" spans="1:1" x14ac:dyDescent="0.25">
      <c r="A324525" s="1"/>
    </row>
    <row r="324526" spans="1:1" x14ac:dyDescent="0.25">
      <c r="A324526" s="1"/>
    </row>
    <row r="324527" spans="1:1" x14ac:dyDescent="0.25">
      <c r="A324527" s="1"/>
    </row>
    <row r="324528" spans="1:1" x14ac:dyDescent="0.25">
      <c r="A324528" s="1"/>
    </row>
    <row r="324529" spans="1:1" x14ac:dyDescent="0.25">
      <c r="A324529" s="1"/>
    </row>
    <row r="324530" spans="1:1" x14ac:dyDescent="0.25">
      <c r="A324530" s="1"/>
    </row>
    <row r="324531" spans="1:1" x14ac:dyDescent="0.25">
      <c r="A324531" s="1"/>
    </row>
    <row r="324532" spans="1:1" x14ac:dyDescent="0.25">
      <c r="A324532" s="1"/>
    </row>
    <row r="324533" spans="1:1" x14ac:dyDescent="0.25">
      <c r="A324533" s="1"/>
    </row>
    <row r="324534" spans="1:1" x14ac:dyDescent="0.25">
      <c r="A324534" s="1"/>
    </row>
    <row r="324535" spans="1:1" x14ac:dyDescent="0.25">
      <c r="A324535" s="1"/>
    </row>
    <row r="324536" spans="1:1" x14ac:dyDescent="0.25">
      <c r="A324536" s="1"/>
    </row>
    <row r="324537" spans="1:1" x14ac:dyDescent="0.25">
      <c r="A324537" s="1"/>
    </row>
    <row r="324538" spans="1:1" x14ac:dyDescent="0.25">
      <c r="A324538" s="1"/>
    </row>
    <row r="324539" spans="1:1" x14ac:dyDescent="0.25">
      <c r="A324539" s="1"/>
    </row>
    <row r="324540" spans="1:1" x14ac:dyDescent="0.25">
      <c r="A324540" s="1"/>
    </row>
    <row r="324541" spans="1:1" x14ac:dyDescent="0.25">
      <c r="A324541" s="1"/>
    </row>
    <row r="324542" spans="1:1" x14ac:dyDescent="0.25">
      <c r="A324542" s="1"/>
    </row>
    <row r="324543" spans="1:1" x14ac:dyDescent="0.25">
      <c r="A324543" s="1"/>
    </row>
    <row r="324544" spans="1:1" x14ac:dyDescent="0.25">
      <c r="A324544" s="1"/>
    </row>
    <row r="324545" spans="1:1" x14ac:dyDescent="0.25">
      <c r="A324545" s="1"/>
    </row>
    <row r="324546" spans="1:1" x14ac:dyDescent="0.25">
      <c r="A324546" s="1"/>
    </row>
    <row r="324547" spans="1:1" x14ac:dyDescent="0.25">
      <c r="A324547" s="1"/>
    </row>
    <row r="324548" spans="1:1" x14ac:dyDescent="0.25">
      <c r="A324548" s="1"/>
    </row>
    <row r="324549" spans="1:1" x14ac:dyDescent="0.25">
      <c r="A324549" s="1"/>
    </row>
    <row r="324550" spans="1:1" x14ac:dyDescent="0.25">
      <c r="A324550" s="1"/>
    </row>
    <row r="324551" spans="1:1" x14ac:dyDescent="0.25">
      <c r="A324551" s="1"/>
    </row>
    <row r="324552" spans="1:1" x14ac:dyDescent="0.25">
      <c r="A324552" s="1"/>
    </row>
    <row r="324553" spans="1:1" x14ac:dyDescent="0.25">
      <c r="A324553" s="1"/>
    </row>
    <row r="324554" spans="1:1" x14ac:dyDescent="0.25">
      <c r="A324554" s="1"/>
    </row>
    <row r="324555" spans="1:1" x14ac:dyDescent="0.25">
      <c r="A324555" s="1"/>
    </row>
    <row r="324556" spans="1:1" x14ac:dyDescent="0.25">
      <c r="A324556" s="1"/>
    </row>
    <row r="324557" spans="1:1" x14ac:dyDescent="0.25">
      <c r="A324557" s="1"/>
    </row>
    <row r="324558" spans="1:1" x14ac:dyDescent="0.25">
      <c r="A324558" s="1"/>
    </row>
    <row r="324559" spans="1:1" x14ac:dyDescent="0.25">
      <c r="A324559" s="1"/>
    </row>
    <row r="324560" spans="1:1" x14ac:dyDescent="0.25">
      <c r="A324560" s="1"/>
    </row>
    <row r="324561" spans="1:1" x14ac:dyDescent="0.25">
      <c r="A324561" s="1"/>
    </row>
    <row r="324562" spans="1:1" x14ac:dyDescent="0.25">
      <c r="A324562" s="1"/>
    </row>
    <row r="324563" spans="1:1" x14ac:dyDescent="0.25">
      <c r="A324563" s="1"/>
    </row>
    <row r="324564" spans="1:1" x14ac:dyDescent="0.25">
      <c r="A324564" s="1"/>
    </row>
    <row r="324565" spans="1:1" x14ac:dyDescent="0.25">
      <c r="A324565" s="1"/>
    </row>
    <row r="324566" spans="1:1" x14ac:dyDescent="0.25">
      <c r="A324566" s="1"/>
    </row>
    <row r="324567" spans="1:1" x14ac:dyDescent="0.25">
      <c r="A324567" s="1"/>
    </row>
    <row r="324568" spans="1:1" x14ac:dyDescent="0.25">
      <c r="A324568" s="1"/>
    </row>
    <row r="324569" spans="1:1" x14ac:dyDescent="0.25">
      <c r="A324569" s="1"/>
    </row>
    <row r="324570" spans="1:1" x14ac:dyDescent="0.25">
      <c r="A324570" s="1"/>
    </row>
    <row r="324571" spans="1:1" x14ac:dyDescent="0.25">
      <c r="A324571" s="1"/>
    </row>
    <row r="324572" spans="1:1" x14ac:dyDescent="0.25">
      <c r="A324572" s="1"/>
    </row>
    <row r="324573" spans="1:1" x14ac:dyDescent="0.25">
      <c r="A324573" s="1"/>
    </row>
    <row r="324574" spans="1:1" x14ac:dyDescent="0.25">
      <c r="A324574" s="1"/>
    </row>
    <row r="324575" spans="1:1" x14ac:dyDescent="0.25">
      <c r="A324575" s="1"/>
    </row>
    <row r="324576" spans="1:1" x14ac:dyDescent="0.25">
      <c r="A324576" s="1"/>
    </row>
    <row r="324577" spans="1:1" x14ac:dyDescent="0.25">
      <c r="A324577" s="1"/>
    </row>
    <row r="324578" spans="1:1" x14ac:dyDescent="0.25">
      <c r="A324578" s="1"/>
    </row>
    <row r="324579" spans="1:1" x14ac:dyDescent="0.25">
      <c r="A324579" s="1"/>
    </row>
    <row r="324580" spans="1:1" x14ac:dyDescent="0.25">
      <c r="A324580" s="1"/>
    </row>
    <row r="324581" spans="1:1" x14ac:dyDescent="0.25">
      <c r="A324581" s="1"/>
    </row>
    <row r="324582" spans="1:1" x14ac:dyDescent="0.25">
      <c r="A324582" s="1"/>
    </row>
    <row r="324583" spans="1:1" x14ac:dyDescent="0.25">
      <c r="A324583" s="1"/>
    </row>
    <row r="324584" spans="1:1" x14ac:dyDescent="0.25">
      <c r="A324584" s="1"/>
    </row>
    <row r="324585" spans="1:1" x14ac:dyDescent="0.25">
      <c r="A324585" s="1"/>
    </row>
    <row r="324586" spans="1:1" x14ac:dyDescent="0.25">
      <c r="A324586" s="1"/>
    </row>
    <row r="324587" spans="1:1" x14ac:dyDescent="0.25">
      <c r="A324587" s="1"/>
    </row>
    <row r="324588" spans="1:1" x14ac:dyDescent="0.25">
      <c r="A324588" s="1"/>
    </row>
    <row r="324589" spans="1:1" x14ac:dyDescent="0.25">
      <c r="A324589" s="1"/>
    </row>
    <row r="324590" spans="1:1" x14ac:dyDescent="0.25">
      <c r="A324590" s="1"/>
    </row>
    <row r="324591" spans="1:1" x14ac:dyDescent="0.25">
      <c r="A324591" s="1"/>
    </row>
    <row r="324592" spans="1:1" x14ac:dyDescent="0.25">
      <c r="A324592" s="1"/>
    </row>
    <row r="324593" spans="1:1" x14ac:dyDescent="0.25">
      <c r="A324593" s="1"/>
    </row>
    <row r="324594" spans="1:1" x14ac:dyDescent="0.25">
      <c r="A324594" s="1"/>
    </row>
    <row r="324595" spans="1:1" x14ac:dyDescent="0.25">
      <c r="A324595" s="1"/>
    </row>
    <row r="324596" spans="1:1" x14ac:dyDescent="0.25">
      <c r="A324596" s="1"/>
    </row>
    <row r="324597" spans="1:1" x14ac:dyDescent="0.25">
      <c r="A324597" s="1"/>
    </row>
    <row r="324598" spans="1:1" x14ac:dyDescent="0.25">
      <c r="A324598" s="1"/>
    </row>
    <row r="324599" spans="1:1" x14ac:dyDescent="0.25">
      <c r="A324599" s="1"/>
    </row>
    <row r="324600" spans="1:1" x14ac:dyDescent="0.25">
      <c r="A324600" s="1"/>
    </row>
    <row r="324601" spans="1:1" x14ac:dyDescent="0.25">
      <c r="A324601" s="1"/>
    </row>
    <row r="324602" spans="1:1" x14ac:dyDescent="0.25">
      <c r="A324602" s="1"/>
    </row>
    <row r="324603" spans="1:1" x14ac:dyDescent="0.25">
      <c r="A324603" s="1"/>
    </row>
    <row r="324604" spans="1:1" x14ac:dyDescent="0.25">
      <c r="A324604" s="1"/>
    </row>
    <row r="324605" spans="1:1" x14ac:dyDescent="0.25">
      <c r="A324605" s="1"/>
    </row>
    <row r="324606" spans="1:1" x14ac:dyDescent="0.25">
      <c r="A324606" s="1"/>
    </row>
    <row r="324607" spans="1:1" x14ac:dyDescent="0.25">
      <c r="A324607" s="1"/>
    </row>
    <row r="324608" spans="1:1" x14ac:dyDescent="0.25">
      <c r="A324608" s="1"/>
    </row>
    <row r="324609" spans="1:1" x14ac:dyDescent="0.25">
      <c r="A324609" s="1"/>
    </row>
    <row r="324610" spans="1:1" x14ac:dyDescent="0.25">
      <c r="A324610" s="1"/>
    </row>
    <row r="324611" spans="1:1" x14ac:dyDescent="0.25">
      <c r="A324611" s="1"/>
    </row>
    <row r="324612" spans="1:1" x14ac:dyDescent="0.25">
      <c r="A324612" s="1"/>
    </row>
    <row r="324613" spans="1:1" x14ac:dyDescent="0.25">
      <c r="A324613" s="1"/>
    </row>
    <row r="324614" spans="1:1" x14ac:dyDescent="0.25">
      <c r="A324614" s="1"/>
    </row>
    <row r="324615" spans="1:1" x14ac:dyDescent="0.25">
      <c r="A324615" s="1"/>
    </row>
    <row r="324616" spans="1:1" x14ac:dyDescent="0.25">
      <c r="A324616" s="1"/>
    </row>
    <row r="324617" spans="1:1" x14ac:dyDescent="0.25">
      <c r="A324617" s="1"/>
    </row>
    <row r="324618" spans="1:1" x14ac:dyDescent="0.25">
      <c r="A324618" s="1"/>
    </row>
    <row r="324619" spans="1:1" x14ac:dyDescent="0.25">
      <c r="A324619" s="1"/>
    </row>
    <row r="324620" spans="1:1" x14ac:dyDescent="0.25">
      <c r="A324620" s="1"/>
    </row>
    <row r="324621" spans="1:1" x14ac:dyDescent="0.25">
      <c r="A324621" s="1"/>
    </row>
    <row r="324622" spans="1:1" x14ac:dyDescent="0.25">
      <c r="A324622" s="1"/>
    </row>
    <row r="324623" spans="1:1" x14ac:dyDescent="0.25">
      <c r="A324623" s="1"/>
    </row>
    <row r="324624" spans="1:1" x14ac:dyDescent="0.25">
      <c r="A324624" s="1"/>
    </row>
    <row r="324625" spans="1:1" x14ac:dyDescent="0.25">
      <c r="A324625" s="1"/>
    </row>
    <row r="324626" spans="1:1" x14ac:dyDescent="0.25">
      <c r="A324626" s="1"/>
    </row>
    <row r="324627" spans="1:1" x14ac:dyDescent="0.25">
      <c r="A324627" s="1"/>
    </row>
    <row r="324628" spans="1:1" x14ac:dyDescent="0.25">
      <c r="A324628" s="1"/>
    </row>
    <row r="324629" spans="1:1" x14ac:dyDescent="0.25">
      <c r="A324629" s="1"/>
    </row>
    <row r="324630" spans="1:1" x14ac:dyDescent="0.25">
      <c r="A324630" s="1"/>
    </row>
    <row r="324631" spans="1:1" x14ac:dyDescent="0.25">
      <c r="A324631" s="1"/>
    </row>
    <row r="324632" spans="1:1" x14ac:dyDescent="0.25">
      <c r="A324632" s="1"/>
    </row>
    <row r="324633" spans="1:1" x14ac:dyDescent="0.25">
      <c r="A324633" s="1"/>
    </row>
    <row r="324634" spans="1:1" x14ac:dyDescent="0.25">
      <c r="A324634" s="1"/>
    </row>
    <row r="324635" spans="1:1" x14ac:dyDescent="0.25">
      <c r="A324635" s="1"/>
    </row>
    <row r="324636" spans="1:1" x14ac:dyDescent="0.25">
      <c r="A324636" s="1"/>
    </row>
    <row r="324637" spans="1:1" x14ac:dyDescent="0.25">
      <c r="A324637" s="1"/>
    </row>
    <row r="324638" spans="1:1" x14ac:dyDescent="0.25">
      <c r="A324638" s="1"/>
    </row>
    <row r="324639" spans="1:1" x14ac:dyDescent="0.25">
      <c r="A324639" s="1"/>
    </row>
    <row r="324640" spans="1:1" x14ac:dyDescent="0.25">
      <c r="A324640" s="1"/>
    </row>
    <row r="324641" spans="1:1" x14ac:dyDescent="0.25">
      <c r="A324641" s="1"/>
    </row>
    <row r="324642" spans="1:1" x14ac:dyDescent="0.25">
      <c r="A324642" s="1"/>
    </row>
    <row r="324643" spans="1:1" x14ac:dyDescent="0.25">
      <c r="A324643" s="1"/>
    </row>
    <row r="324644" spans="1:1" x14ac:dyDescent="0.25">
      <c r="A324644" s="1"/>
    </row>
    <row r="324645" spans="1:1" x14ac:dyDescent="0.25">
      <c r="A324645" s="1"/>
    </row>
    <row r="324646" spans="1:1" x14ac:dyDescent="0.25">
      <c r="A324646" s="1"/>
    </row>
    <row r="324647" spans="1:1" x14ac:dyDescent="0.25">
      <c r="A324647" s="1"/>
    </row>
    <row r="324648" spans="1:1" x14ac:dyDescent="0.25">
      <c r="A324648" s="1"/>
    </row>
    <row r="324649" spans="1:1" x14ac:dyDescent="0.25">
      <c r="A324649" s="1"/>
    </row>
    <row r="324650" spans="1:1" x14ac:dyDescent="0.25">
      <c r="A324650" s="1"/>
    </row>
    <row r="324651" spans="1:1" x14ac:dyDescent="0.25">
      <c r="A324651" s="1"/>
    </row>
    <row r="324652" spans="1:1" x14ac:dyDescent="0.25">
      <c r="A324652" s="1"/>
    </row>
    <row r="324653" spans="1:1" x14ac:dyDescent="0.25">
      <c r="A324653" s="1"/>
    </row>
    <row r="324654" spans="1:1" x14ac:dyDescent="0.25">
      <c r="A324654" s="1"/>
    </row>
    <row r="324655" spans="1:1" x14ac:dyDescent="0.25">
      <c r="A324655" s="1"/>
    </row>
    <row r="324656" spans="1:1" x14ac:dyDescent="0.25">
      <c r="A324656" s="1"/>
    </row>
    <row r="324657" spans="1:1" x14ac:dyDescent="0.25">
      <c r="A324657" s="1"/>
    </row>
    <row r="324658" spans="1:1" x14ac:dyDescent="0.25">
      <c r="A324658" s="1"/>
    </row>
    <row r="324659" spans="1:1" x14ac:dyDescent="0.25">
      <c r="A324659" s="1"/>
    </row>
    <row r="324660" spans="1:1" x14ac:dyDescent="0.25">
      <c r="A324660" s="1"/>
    </row>
    <row r="324661" spans="1:1" x14ac:dyDescent="0.25">
      <c r="A324661" s="1"/>
    </row>
    <row r="324662" spans="1:1" x14ac:dyDescent="0.25">
      <c r="A324662" s="1"/>
    </row>
    <row r="324663" spans="1:1" x14ac:dyDescent="0.25">
      <c r="A324663" s="1"/>
    </row>
    <row r="324664" spans="1:1" x14ac:dyDescent="0.25">
      <c r="A324664" s="1"/>
    </row>
    <row r="324665" spans="1:1" x14ac:dyDescent="0.25">
      <c r="A324665" s="1"/>
    </row>
    <row r="324666" spans="1:1" x14ac:dyDescent="0.25">
      <c r="A324666" s="1"/>
    </row>
    <row r="324667" spans="1:1" x14ac:dyDescent="0.25">
      <c r="A324667" s="1"/>
    </row>
    <row r="324668" spans="1:1" x14ac:dyDescent="0.25">
      <c r="A324668" s="1"/>
    </row>
    <row r="324669" spans="1:1" x14ac:dyDescent="0.25">
      <c r="A324669" s="1"/>
    </row>
    <row r="324670" spans="1:1" x14ac:dyDescent="0.25">
      <c r="A324670" s="1"/>
    </row>
    <row r="324671" spans="1:1" x14ac:dyDescent="0.25">
      <c r="A324671" s="1"/>
    </row>
    <row r="324672" spans="1:1" x14ac:dyDescent="0.25">
      <c r="A324672" s="1"/>
    </row>
    <row r="324673" spans="1:1" x14ac:dyDescent="0.25">
      <c r="A324673" s="1"/>
    </row>
    <row r="324674" spans="1:1" x14ac:dyDescent="0.25">
      <c r="A324674" s="1"/>
    </row>
    <row r="324675" spans="1:1" x14ac:dyDescent="0.25">
      <c r="A324675" s="1"/>
    </row>
    <row r="324676" spans="1:1" x14ac:dyDescent="0.25">
      <c r="A324676" s="1"/>
    </row>
    <row r="324677" spans="1:1" x14ac:dyDescent="0.25">
      <c r="A324677" s="1"/>
    </row>
    <row r="324678" spans="1:1" x14ac:dyDescent="0.25">
      <c r="A324678" s="1"/>
    </row>
    <row r="324679" spans="1:1" x14ac:dyDescent="0.25">
      <c r="A324679" s="1"/>
    </row>
    <row r="324680" spans="1:1" x14ac:dyDescent="0.25">
      <c r="A324680" s="1"/>
    </row>
    <row r="324681" spans="1:1" x14ac:dyDescent="0.25">
      <c r="A324681" s="1"/>
    </row>
    <row r="324682" spans="1:1" x14ac:dyDescent="0.25">
      <c r="A324682" s="1"/>
    </row>
    <row r="324683" spans="1:1" x14ac:dyDescent="0.25">
      <c r="A324683" s="1"/>
    </row>
    <row r="324684" spans="1:1" x14ac:dyDescent="0.25">
      <c r="A324684" s="1"/>
    </row>
    <row r="324685" spans="1:1" x14ac:dyDescent="0.25">
      <c r="A324685" s="1"/>
    </row>
    <row r="324686" spans="1:1" x14ac:dyDescent="0.25">
      <c r="A324686" s="1"/>
    </row>
    <row r="324687" spans="1:1" x14ac:dyDescent="0.25">
      <c r="A324687" s="1"/>
    </row>
    <row r="324688" spans="1:1" x14ac:dyDescent="0.25">
      <c r="A324688" s="1"/>
    </row>
    <row r="324689" spans="1:1" x14ac:dyDescent="0.25">
      <c r="A324689" s="1"/>
    </row>
    <row r="324690" spans="1:1" x14ac:dyDescent="0.25">
      <c r="A324690" s="1"/>
    </row>
    <row r="324691" spans="1:1" x14ac:dyDescent="0.25">
      <c r="A324691" s="1"/>
    </row>
    <row r="324692" spans="1:1" x14ac:dyDescent="0.25">
      <c r="A324692" s="1"/>
    </row>
    <row r="324693" spans="1:1" x14ac:dyDescent="0.25">
      <c r="A324693" s="1"/>
    </row>
    <row r="324694" spans="1:1" x14ac:dyDescent="0.25">
      <c r="A324694" s="1"/>
    </row>
    <row r="324695" spans="1:1" x14ac:dyDescent="0.25">
      <c r="A324695" s="1"/>
    </row>
    <row r="324696" spans="1:1" x14ac:dyDescent="0.25">
      <c r="A324696" s="1"/>
    </row>
    <row r="324697" spans="1:1" x14ac:dyDescent="0.25">
      <c r="A324697" s="1"/>
    </row>
    <row r="324698" spans="1:1" x14ac:dyDescent="0.25">
      <c r="A324698" s="1"/>
    </row>
    <row r="324699" spans="1:1" x14ac:dyDescent="0.25">
      <c r="A324699" s="1"/>
    </row>
    <row r="324700" spans="1:1" x14ac:dyDescent="0.25">
      <c r="A324700" s="1"/>
    </row>
    <row r="324701" spans="1:1" x14ac:dyDescent="0.25">
      <c r="A324701" s="1"/>
    </row>
    <row r="324702" spans="1:1" x14ac:dyDescent="0.25">
      <c r="A324702" s="1"/>
    </row>
    <row r="324703" spans="1:1" x14ac:dyDescent="0.25">
      <c r="A324703" s="1"/>
    </row>
    <row r="324704" spans="1:1" x14ac:dyDescent="0.25">
      <c r="A324704" s="1"/>
    </row>
    <row r="324705" spans="1:1" x14ac:dyDescent="0.25">
      <c r="A324705" s="1"/>
    </row>
    <row r="324706" spans="1:1" x14ac:dyDescent="0.25">
      <c r="A324706" s="1"/>
    </row>
    <row r="324707" spans="1:1" x14ac:dyDescent="0.25">
      <c r="A324707" s="1"/>
    </row>
    <row r="324708" spans="1:1" x14ac:dyDescent="0.25">
      <c r="A324708" s="1"/>
    </row>
    <row r="324709" spans="1:1" x14ac:dyDescent="0.25">
      <c r="A324709" s="1"/>
    </row>
    <row r="324710" spans="1:1" x14ac:dyDescent="0.25">
      <c r="A324710" s="1"/>
    </row>
    <row r="324711" spans="1:1" x14ac:dyDescent="0.25">
      <c r="A324711" s="1"/>
    </row>
    <row r="324712" spans="1:1" x14ac:dyDescent="0.25">
      <c r="A324712" s="1"/>
    </row>
    <row r="324713" spans="1:1" x14ac:dyDescent="0.25">
      <c r="A324713" s="1"/>
    </row>
    <row r="324714" spans="1:1" x14ac:dyDescent="0.25">
      <c r="A324714" s="1"/>
    </row>
    <row r="324715" spans="1:1" x14ac:dyDescent="0.25">
      <c r="A324715" s="1"/>
    </row>
    <row r="324716" spans="1:1" x14ac:dyDescent="0.25">
      <c r="A324716" s="1"/>
    </row>
    <row r="324717" spans="1:1" x14ac:dyDescent="0.25">
      <c r="A324717" s="1"/>
    </row>
    <row r="324718" spans="1:1" x14ac:dyDescent="0.25">
      <c r="A324718" s="1"/>
    </row>
    <row r="324719" spans="1:1" x14ac:dyDescent="0.25">
      <c r="A324719" s="1"/>
    </row>
    <row r="324720" spans="1:1" x14ac:dyDescent="0.25">
      <c r="A324720" s="1"/>
    </row>
    <row r="324721" spans="1:1" x14ac:dyDescent="0.25">
      <c r="A324721" s="1"/>
    </row>
    <row r="324722" spans="1:1" x14ac:dyDescent="0.25">
      <c r="A324722" s="1"/>
    </row>
    <row r="324723" spans="1:1" x14ac:dyDescent="0.25">
      <c r="A324723" s="1"/>
    </row>
    <row r="324724" spans="1:1" x14ac:dyDescent="0.25">
      <c r="A324724" s="1"/>
    </row>
    <row r="324725" spans="1:1" x14ac:dyDescent="0.25">
      <c r="A324725" s="1"/>
    </row>
    <row r="324726" spans="1:1" x14ac:dyDescent="0.25">
      <c r="A324726" s="1"/>
    </row>
    <row r="324727" spans="1:1" x14ac:dyDescent="0.25">
      <c r="A324727" s="1"/>
    </row>
    <row r="324728" spans="1:1" x14ac:dyDescent="0.25">
      <c r="A324728" s="1"/>
    </row>
    <row r="324729" spans="1:1" x14ac:dyDescent="0.25">
      <c r="A324729" s="1"/>
    </row>
    <row r="324730" spans="1:1" x14ac:dyDescent="0.25">
      <c r="A324730" s="1"/>
    </row>
    <row r="324731" spans="1:1" x14ac:dyDescent="0.25">
      <c r="A324731" s="1"/>
    </row>
    <row r="324732" spans="1:1" x14ac:dyDescent="0.25">
      <c r="A324732" s="1"/>
    </row>
    <row r="324733" spans="1:1" x14ac:dyDescent="0.25">
      <c r="A324733" s="1"/>
    </row>
    <row r="324734" spans="1:1" x14ac:dyDescent="0.25">
      <c r="A324734" s="1"/>
    </row>
    <row r="324735" spans="1:1" x14ac:dyDescent="0.25">
      <c r="A324735" s="1"/>
    </row>
    <row r="324736" spans="1:1" x14ac:dyDescent="0.25">
      <c r="A324736" s="1"/>
    </row>
    <row r="324737" spans="1:1" x14ac:dyDescent="0.25">
      <c r="A324737" s="1"/>
    </row>
    <row r="324738" spans="1:1" x14ac:dyDescent="0.25">
      <c r="A324738" s="1"/>
    </row>
    <row r="324739" spans="1:1" x14ac:dyDescent="0.25">
      <c r="A324739" s="1"/>
    </row>
    <row r="324740" spans="1:1" x14ac:dyDescent="0.25">
      <c r="A324740" s="1"/>
    </row>
    <row r="324741" spans="1:1" x14ac:dyDescent="0.25">
      <c r="A324741" s="1"/>
    </row>
    <row r="324742" spans="1:1" x14ac:dyDescent="0.25">
      <c r="A324742" s="1"/>
    </row>
    <row r="324743" spans="1:1" x14ac:dyDescent="0.25">
      <c r="A324743" s="1"/>
    </row>
    <row r="324744" spans="1:1" x14ac:dyDescent="0.25">
      <c r="A324744" s="1"/>
    </row>
    <row r="324745" spans="1:1" x14ac:dyDescent="0.25">
      <c r="A324745" s="1"/>
    </row>
    <row r="324746" spans="1:1" x14ac:dyDescent="0.25">
      <c r="A324746" s="1"/>
    </row>
    <row r="324747" spans="1:1" x14ac:dyDescent="0.25">
      <c r="A324747" s="1"/>
    </row>
    <row r="324748" spans="1:1" x14ac:dyDescent="0.25">
      <c r="A324748" s="1"/>
    </row>
    <row r="324749" spans="1:1" x14ac:dyDescent="0.25">
      <c r="A324749" s="1"/>
    </row>
    <row r="324750" spans="1:1" x14ac:dyDescent="0.25">
      <c r="A324750" s="1"/>
    </row>
    <row r="324751" spans="1:1" x14ac:dyDescent="0.25">
      <c r="A324751" s="1"/>
    </row>
    <row r="324752" spans="1:1" x14ac:dyDescent="0.25">
      <c r="A324752" s="1"/>
    </row>
    <row r="324753" spans="1:1" x14ac:dyDescent="0.25">
      <c r="A324753" s="1"/>
    </row>
    <row r="324754" spans="1:1" x14ac:dyDescent="0.25">
      <c r="A324754" s="1"/>
    </row>
    <row r="324755" spans="1:1" x14ac:dyDescent="0.25">
      <c r="A324755" s="1"/>
    </row>
    <row r="324756" spans="1:1" x14ac:dyDescent="0.25">
      <c r="A324756" s="1"/>
    </row>
    <row r="324757" spans="1:1" x14ac:dyDescent="0.25">
      <c r="A324757" s="1"/>
    </row>
    <row r="324758" spans="1:1" x14ac:dyDescent="0.25">
      <c r="A324758" s="1"/>
    </row>
    <row r="324759" spans="1:1" x14ac:dyDescent="0.25">
      <c r="A324759" s="1"/>
    </row>
    <row r="324760" spans="1:1" x14ac:dyDescent="0.25">
      <c r="A324760" s="1"/>
    </row>
    <row r="324761" spans="1:1" x14ac:dyDescent="0.25">
      <c r="A324761" s="1"/>
    </row>
    <row r="324762" spans="1:1" x14ac:dyDescent="0.25">
      <c r="A324762" s="1"/>
    </row>
    <row r="324763" spans="1:1" x14ac:dyDescent="0.25">
      <c r="A324763" s="1"/>
    </row>
    <row r="324764" spans="1:1" x14ac:dyDescent="0.25">
      <c r="A324764" s="1"/>
    </row>
    <row r="324765" spans="1:1" x14ac:dyDescent="0.25">
      <c r="A324765" s="1"/>
    </row>
    <row r="324766" spans="1:1" x14ac:dyDescent="0.25">
      <c r="A324766" s="1"/>
    </row>
    <row r="324767" spans="1:1" x14ac:dyDescent="0.25">
      <c r="A324767" s="1"/>
    </row>
    <row r="324768" spans="1:1" x14ac:dyDescent="0.25">
      <c r="A324768" s="1"/>
    </row>
    <row r="324769" spans="1:1" x14ac:dyDescent="0.25">
      <c r="A324769" s="1"/>
    </row>
    <row r="324770" spans="1:1" x14ac:dyDescent="0.25">
      <c r="A324770" s="1"/>
    </row>
    <row r="324771" spans="1:1" x14ac:dyDescent="0.25">
      <c r="A324771" s="1"/>
    </row>
    <row r="324772" spans="1:1" x14ac:dyDescent="0.25">
      <c r="A324772" s="1"/>
    </row>
    <row r="324773" spans="1:1" x14ac:dyDescent="0.25">
      <c r="A324773" s="1"/>
    </row>
    <row r="324774" spans="1:1" x14ac:dyDescent="0.25">
      <c r="A324774" s="1"/>
    </row>
    <row r="324775" spans="1:1" x14ac:dyDescent="0.25">
      <c r="A324775" s="1"/>
    </row>
    <row r="324776" spans="1:1" x14ac:dyDescent="0.25">
      <c r="A324776" s="1"/>
    </row>
    <row r="324777" spans="1:1" x14ac:dyDescent="0.25">
      <c r="A324777" s="1"/>
    </row>
    <row r="324778" spans="1:1" x14ac:dyDescent="0.25">
      <c r="A324778" s="1"/>
    </row>
    <row r="324779" spans="1:1" x14ac:dyDescent="0.25">
      <c r="A324779" s="1"/>
    </row>
    <row r="324780" spans="1:1" x14ac:dyDescent="0.25">
      <c r="A324780" s="1"/>
    </row>
    <row r="324781" spans="1:1" x14ac:dyDescent="0.25">
      <c r="A324781" s="1"/>
    </row>
    <row r="324782" spans="1:1" x14ac:dyDescent="0.25">
      <c r="A324782" s="1"/>
    </row>
    <row r="324783" spans="1:1" x14ac:dyDescent="0.25">
      <c r="A324783" s="1"/>
    </row>
    <row r="324784" spans="1:1" x14ac:dyDescent="0.25">
      <c r="A324784" s="1"/>
    </row>
    <row r="324785" spans="1:1" x14ac:dyDescent="0.25">
      <c r="A324785" s="1"/>
    </row>
    <row r="324786" spans="1:1" x14ac:dyDescent="0.25">
      <c r="A324786" s="1"/>
    </row>
    <row r="324787" spans="1:1" x14ac:dyDescent="0.25">
      <c r="A324787" s="1"/>
    </row>
    <row r="324788" spans="1:1" x14ac:dyDescent="0.25">
      <c r="A324788" s="1"/>
    </row>
    <row r="324789" spans="1:1" x14ac:dyDescent="0.25">
      <c r="A324789" s="1"/>
    </row>
    <row r="324790" spans="1:1" x14ac:dyDescent="0.25">
      <c r="A324790" s="1"/>
    </row>
    <row r="324791" spans="1:1" x14ac:dyDescent="0.25">
      <c r="A324791" s="1"/>
    </row>
    <row r="324792" spans="1:1" x14ac:dyDescent="0.25">
      <c r="A324792" s="1"/>
    </row>
    <row r="324793" spans="1:1" x14ac:dyDescent="0.25">
      <c r="A324793" s="1"/>
    </row>
    <row r="324794" spans="1:1" x14ac:dyDescent="0.25">
      <c r="A324794" s="1"/>
    </row>
    <row r="324795" spans="1:1" x14ac:dyDescent="0.25">
      <c r="A324795" s="1"/>
    </row>
    <row r="324796" spans="1:1" x14ac:dyDescent="0.25">
      <c r="A324796" s="1"/>
    </row>
    <row r="324797" spans="1:1" x14ac:dyDescent="0.25">
      <c r="A324797" s="1"/>
    </row>
    <row r="324798" spans="1:1" x14ac:dyDescent="0.25">
      <c r="A324798" s="1"/>
    </row>
    <row r="324799" spans="1:1" x14ac:dyDescent="0.25">
      <c r="A324799" s="1"/>
    </row>
    <row r="324800" spans="1:1" x14ac:dyDescent="0.25">
      <c r="A324800" s="1"/>
    </row>
    <row r="324801" spans="1:1" x14ac:dyDescent="0.25">
      <c r="A324801" s="1"/>
    </row>
    <row r="324802" spans="1:1" x14ac:dyDescent="0.25">
      <c r="A324802" s="1"/>
    </row>
    <row r="324803" spans="1:1" x14ac:dyDescent="0.25">
      <c r="A324803" s="1"/>
    </row>
    <row r="324804" spans="1:1" x14ac:dyDescent="0.25">
      <c r="A324804" s="1"/>
    </row>
    <row r="324805" spans="1:1" x14ac:dyDescent="0.25">
      <c r="A324805" s="1"/>
    </row>
    <row r="324806" spans="1:1" x14ac:dyDescent="0.25">
      <c r="A324806" s="1"/>
    </row>
    <row r="324807" spans="1:1" x14ac:dyDescent="0.25">
      <c r="A324807" s="1"/>
    </row>
    <row r="324808" spans="1:1" x14ac:dyDescent="0.25">
      <c r="A324808" s="1"/>
    </row>
    <row r="324809" spans="1:1" x14ac:dyDescent="0.25">
      <c r="A324809" s="1"/>
    </row>
    <row r="324810" spans="1:1" x14ac:dyDescent="0.25">
      <c r="A324810" s="1"/>
    </row>
    <row r="324811" spans="1:1" x14ac:dyDescent="0.25">
      <c r="A324811" s="1"/>
    </row>
    <row r="324812" spans="1:1" x14ac:dyDescent="0.25">
      <c r="A324812" s="1"/>
    </row>
    <row r="324813" spans="1:1" x14ac:dyDescent="0.25">
      <c r="A324813" s="1"/>
    </row>
    <row r="324814" spans="1:1" x14ac:dyDescent="0.25">
      <c r="A324814" s="1"/>
    </row>
    <row r="324815" spans="1:1" x14ac:dyDescent="0.25">
      <c r="A324815" s="1"/>
    </row>
    <row r="324816" spans="1:1" x14ac:dyDescent="0.25">
      <c r="A324816" s="1"/>
    </row>
    <row r="324817" spans="1:1" x14ac:dyDescent="0.25">
      <c r="A324817" s="1"/>
    </row>
    <row r="324818" spans="1:1" x14ac:dyDescent="0.25">
      <c r="A324818" s="1"/>
    </row>
    <row r="324819" spans="1:1" x14ac:dyDescent="0.25">
      <c r="A324819" s="1"/>
    </row>
    <row r="324820" spans="1:1" x14ac:dyDescent="0.25">
      <c r="A324820" s="1"/>
    </row>
    <row r="324821" spans="1:1" x14ac:dyDescent="0.25">
      <c r="A324821" s="1"/>
    </row>
    <row r="324822" spans="1:1" x14ac:dyDescent="0.25">
      <c r="A324822" s="1"/>
    </row>
    <row r="324823" spans="1:1" x14ac:dyDescent="0.25">
      <c r="A324823" s="1"/>
    </row>
    <row r="324824" spans="1:1" x14ac:dyDescent="0.25">
      <c r="A324824" s="1"/>
    </row>
    <row r="324825" spans="1:1" x14ac:dyDescent="0.25">
      <c r="A324825" s="1"/>
    </row>
    <row r="324826" spans="1:1" x14ac:dyDescent="0.25">
      <c r="A324826" s="1"/>
    </row>
    <row r="324827" spans="1:1" x14ac:dyDescent="0.25">
      <c r="A324827" s="1"/>
    </row>
    <row r="324828" spans="1:1" x14ac:dyDescent="0.25">
      <c r="A324828" s="1"/>
    </row>
    <row r="324829" spans="1:1" x14ac:dyDescent="0.25">
      <c r="A324829" s="1"/>
    </row>
    <row r="324830" spans="1:1" x14ac:dyDescent="0.25">
      <c r="A324830" s="1"/>
    </row>
    <row r="324831" spans="1:1" x14ac:dyDescent="0.25">
      <c r="A324831" s="1"/>
    </row>
    <row r="324832" spans="1:1" x14ac:dyDescent="0.25">
      <c r="A324832" s="1"/>
    </row>
    <row r="324833" spans="1:1" x14ac:dyDescent="0.25">
      <c r="A324833" s="1"/>
    </row>
    <row r="324834" spans="1:1" x14ac:dyDescent="0.25">
      <c r="A324834" s="1"/>
    </row>
    <row r="324835" spans="1:1" x14ac:dyDescent="0.25">
      <c r="A324835" s="1"/>
    </row>
    <row r="324836" spans="1:1" x14ac:dyDescent="0.25">
      <c r="A324836" s="1"/>
    </row>
    <row r="324837" spans="1:1" x14ac:dyDescent="0.25">
      <c r="A324837" s="1"/>
    </row>
    <row r="324838" spans="1:1" x14ac:dyDescent="0.25">
      <c r="A324838" s="1"/>
    </row>
    <row r="324839" spans="1:1" x14ac:dyDescent="0.25">
      <c r="A324839" s="1"/>
    </row>
    <row r="324840" spans="1:1" x14ac:dyDescent="0.25">
      <c r="A324840" s="1"/>
    </row>
    <row r="324841" spans="1:1" x14ac:dyDescent="0.25">
      <c r="A324841" s="1"/>
    </row>
    <row r="324842" spans="1:1" x14ac:dyDescent="0.25">
      <c r="A324842" s="1"/>
    </row>
    <row r="324843" spans="1:1" x14ac:dyDescent="0.25">
      <c r="A324843" s="1"/>
    </row>
    <row r="324844" spans="1:1" x14ac:dyDescent="0.25">
      <c r="A324844" s="1"/>
    </row>
    <row r="324845" spans="1:1" x14ac:dyDescent="0.25">
      <c r="A324845" s="1"/>
    </row>
    <row r="324846" spans="1:1" x14ac:dyDescent="0.25">
      <c r="A324846" s="1"/>
    </row>
    <row r="324847" spans="1:1" x14ac:dyDescent="0.25">
      <c r="A324847" s="1"/>
    </row>
    <row r="324848" spans="1:1" x14ac:dyDescent="0.25">
      <c r="A324848" s="1"/>
    </row>
    <row r="324849" spans="1:1" x14ac:dyDescent="0.25">
      <c r="A324849" s="1"/>
    </row>
    <row r="324850" spans="1:1" x14ac:dyDescent="0.25">
      <c r="A324850" s="1"/>
    </row>
    <row r="324851" spans="1:1" x14ac:dyDescent="0.25">
      <c r="A324851" s="1"/>
    </row>
    <row r="324852" spans="1:1" x14ac:dyDescent="0.25">
      <c r="A324852" s="1"/>
    </row>
    <row r="324853" spans="1:1" x14ac:dyDescent="0.25">
      <c r="A324853" s="1"/>
    </row>
    <row r="324854" spans="1:1" x14ac:dyDescent="0.25">
      <c r="A324854" s="1"/>
    </row>
    <row r="324855" spans="1:1" x14ac:dyDescent="0.25">
      <c r="A324855" s="1"/>
    </row>
    <row r="324856" spans="1:1" x14ac:dyDescent="0.25">
      <c r="A324856" s="1"/>
    </row>
    <row r="324857" spans="1:1" x14ac:dyDescent="0.25">
      <c r="A324857" s="1"/>
    </row>
    <row r="324858" spans="1:1" x14ac:dyDescent="0.25">
      <c r="A324858" s="1"/>
    </row>
    <row r="324859" spans="1:1" x14ac:dyDescent="0.25">
      <c r="A324859" s="1"/>
    </row>
    <row r="324860" spans="1:1" x14ac:dyDescent="0.25">
      <c r="A324860" s="1"/>
    </row>
    <row r="324861" spans="1:1" x14ac:dyDescent="0.25">
      <c r="A324861" s="1"/>
    </row>
    <row r="324862" spans="1:1" x14ac:dyDescent="0.25">
      <c r="A324862" s="1"/>
    </row>
    <row r="324863" spans="1:1" x14ac:dyDescent="0.25">
      <c r="A324863" s="1"/>
    </row>
    <row r="324864" spans="1:1" x14ac:dyDescent="0.25">
      <c r="A324864" s="1"/>
    </row>
    <row r="324865" spans="1:1" x14ac:dyDescent="0.25">
      <c r="A324865" s="1"/>
    </row>
    <row r="324866" spans="1:1" x14ac:dyDescent="0.25">
      <c r="A324866" s="1"/>
    </row>
    <row r="324867" spans="1:1" x14ac:dyDescent="0.25">
      <c r="A324867" s="1"/>
    </row>
    <row r="324868" spans="1:1" x14ac:dyDescent="0.25">
      <c r="A324868" s="1"/>
    </row>
    <row r="324869" spans="1:1" x14ac:dyDescent="0.25">
      <c r="A324869" s="1"/>
    </row>
    <row r="324870" spans="1:1" x14ac:dyDescent="0.25">
      <c r="A324870" s="1"/>
    </row>
    <row r="324871" spans="1:1" x14ac:dyDescent="0.25">
      <c r="A324871" s="1"/>
    </row>
    <row r="324872" spans="1:1" x14ac:dyDescent="0.25">
      <c r="A324872" s="1"/>
    </row>
    <row r="324873" spans="1:1" x14ac:dyDescent="0.25">
      <c r="A324873" s="1"/>
    </row>
    <row r="324874" spans="1:1" x14ac:dyDescent="0.25">
      <c r="A324874" s="1"/>
    </row>
    <row r="324875" spans="1:1" x14ac:dyDescent="0.25">
      <c r="A324875" s="1"/>
    </row>
    <row r="324876" spans="1:1" x14ac:dyDescent="0.25">
      <c r="A324876" s="1"/>
    </row>
    <row r="324877" spans="1:1" x14ac:dyDescent="0.25">
      <c r="A324877" s="1"/>
    </row>
    <row r="324878" spans="1:1" x14ac:dyDescent="0.25">
      <c r="A324878" s="1"/>
    </row>
    <row r="324879" spans="1:1" x14ac:dyDescent="0.25">
      <c r="A324879" s="1"/>
    </row>
    <row r="324880" spans="1:1" x14ac:dyDescent="0.25">
      <c r="A324880" s="1"/>
    </row>
    <row r="324881" spans="1:1" x14ac:dyDescent="0.25">
      <c r="A324881" s="1"/>
    </row>
    <row r="324882" spans="1:1" x14ac:dyDescent="0.25">
      <c r="A324882" s="1"/>
    </row>
    <row r="324883" spans="1:1" x14ac:dyDescent="0.25">
      <c r="A324883" s="1"/>
    </row>
    <row r="324884" spans="1:1" x14ac:dyDescent="0.25">
      <c r="A324884" s="1"/>
    </row>
    <row r="324885" spans="1:1" x14ac:dyDescent="0.25">
      <c r="A324885" s="1"/>
    </row>
    <row r="324886" spans="1:1" x14ac:dyDescent="0.25">
      <c r="A324886" s="1"/>
    </row>
    <row r="324887" spans="1:1" x14ac:dyDescent="0.25">
      <c r="A324887" s="1"/>
    </row>
    <row r="324888" spans="1:1" x14ac:dyDescent="0.25">
      <c r="A324888" s="1"/>
    </row>
    <row r="324889" spans="1:1" x14ac:dyDescent="0.25">
      <c r="A324889" s="1"/>
    </row>
    <row r="324890" spans="1:1" x14ac:dyDescent="0.25">
      <c r="A324890" s="1"/>
    </row>
    <row r="324891" spans="1:1" x14ac:dyDescent="0.25">
      <c r="A324891" s="1"/>
    </row>
    <row r="324892" spans="1:1" x14ac:dyDescent="0.25">
      <c r="A324892" s="1"/>
    </row>
    <row r="324893" spans="1:1" x14ac:dyDescent="0.25">
      <c r="A324893" s="1"/>
    </row>
    <row r="324894" spans="1:1" x14ac:dyDescent="0.25">
      <c r="A324894" s="1"/>
    </row>
    <row r="324895" spans="1:1" x14ac:dyDescent="0.25">
      <c r="A324895" s="1"/>
    </row>
    <row r="324896" spans="1:1" x14ac:dyDescent="0.25">
      <c r="A324896" s="1"/>
    </row>
    <row r="324897" spans="1:1" x14ac:dyDescent="0.25">
      <c r="A324897" s="1"/>
    </row>
    <row r="324898" spans="1:1" x14ac:dyDescent="0.25">
      <c r="A324898" s="1"/>
    </row>
    <row r="324899" spans="1:1" x14ac:dyDescent="0.25">
      <c r="A324899" s="1"/>
    </row>
    <row r="324900" spans="1:1" x14ac:dyDescent="0.25">
      <c r="A324900" s="1"/>
    </row>
    <row r="324901" spans="1:1" x14ac:dyDescent="0.25">
      <c r="A324901" s="1"/>
    </row>
    <row r="324902" spans="1:1" x14ac:dyDescent="0.25">
      <c r="A324902" s="1"/>
    </row>
    <row r="324903" spans="1:1" x14ac:dyDescent="0.25">
      <c r="A324903" s="1"/>
    </row>
    <row r="324904" spans="1:1" x14ac:dyDescent="0.25">
      <c r="A324904" s="1"/>
    </row>
    <row r="324905" spans="1:1" x14ac:dyDescent="0.25">
      <c r="A324905" s="1"/>
    </row>
    <row r="324906" spans="1:1" x14ac:dyDescent="0.25">
      <c r="A324906" s="1"/>
    </row>
    <row r="324907" spans="1:1" x14ac:dyDescent="0.25">
      <c r="A324907" s="1"/>
    </row>
    <row r="324908" spans="1:1" x14ac:dyDescent="0.25">
      <c r="A324908" s="1"/>
    </row>
    <row r="324909" spans="1:1" x14ac:dyDescent="0.25">
      <c r="A324909" s="1"/>
    </row>
    <row r="324910" spans="1:1" x14ac:dyDescent="0.25">
      <c r="A324910" s="1"/>
    </row>
    <row r="324911" spans="1:1" x14ac:dyDescent="0.25">
      <c r="A324911" s="1"/>
    </row>
    <row r="324912" spans="1:1" x14ac:dyDescent="0.25">
      <c r="A324912" s="1"/>
    </row>
    <row r="324913" spans="1:1" x14ac:dyDescent="0.25">
      <c r="A324913" s="1"/>
    </row>
    <row r="324914" spans="1:1" x14ac:dyDescent="0.25">
      <c r="A324914" s="1"/>
    </row>
    <row r="324915" spans="1:1" x14ac:dyDescent="0.25">
      <c r="A324915" s="1"/>
    </row>
    <row r="324916" spans="1:1" x14ac:dyDescent="0.25">
      <c r="A324916" s="1"/>
    </row>
    <row r="324917" spans="1:1" x14ac:dyDescent="0.25">
      <c r="A324917" s="1"/>
    </row>
    <row r="324918" spans="1:1" x14ac:dyDescent="0.25">
      <c r="A324918" s="1"/>
    </row>
    <row r="324919" spans="1:1" x14ac:dyDescent="0.25">
      <c r="A324919" s="1"/>
    </row>
    <row r="324920" spans="1:1" x14ac:dyDescent="0.25">
      <c r="A324920" s="1"/>
    </row>
    <row r="324921" spans="1:1" x14ac:dyDescent="0.25">
      <c r="A324921" s="1"/>
    </row>
    <row r="324922" spans="1:1" x14ac:dyDescent="0.25">
      <c r="A324922" s="1"/>
    </row>
    <row r="324923" spans="1:1" x14ac:dyDescent="0.25">
      <c r="A324923" s="1"/>
    </row>
    <row r="324924" spans="1:1" x14ac:dyDescent="0.25">
      <c r="A324924" s="1"/>
    </row>
    <row r="324925" spans="1:1" x14ac:dyDescent="0.25">
      <c r="A324925" s="1"/>
    </row>
    <row r="324926" spans="1:1" x14ac:dyDescent="0.25">
      <c r="A324926" s="1"/>
    </row>
    <row r="324927" spans="1:1" x14ac:dyDescent="0.25">
      <c r="A324927" s="1"/>
    </row>
    <row r="324928" spans="1:1" x14ac:dyDescent="0.25">
      <c r="A324928" s="1"/>
    </row>
    <row r="324929" spans="1:1" x14ac:dyDescent="0.25">
      <c r="A324929" s="1"/>
    </row>
    <row r="324930" spans="1:1" x14ac:dyDescent="0.25">
      <c r="A324930" s="1"/>
    </row>
    <row r="324931" spans="1:1" x14ac:dyDescent="0.25">
      <c r="A324931" s="1"/>
    </row>
    <row r="324932" spans="1:1" x14ac:dyDescent="0.25">
      <c r="A324932" s="1"/>
    </row>
    <row r="324933" spans="1:1" x14ac:dyDescent="0.25">
      <c r="A324933" s="1"/>
    </row>
    <row r="324934" spans="1:1" x14ac:dyDescent="0.25">
      <c r="A324934" s="1"/>
    </row>
    <row r="324935" spans="1:1" x14ac:dyDescent="0.25">
      <c r="A324935" s="1"/>
    </row>
    <row r="324936" spans="1:1" x14ac:dyDescent="0.25">
      <c r="A324936" s="1"/>
    </row>
    <row r="324937" spans="1:1" x14ac:dyDescent="0.25">
      <c r="A324937" s="1"/>
    </row>
    <row r="324938" spans="1:1" x14ac:dyDescent="0.25">
      <c r="A324938" s="1"/>
    </row>
    <row r="324939" spans="1:1" x14ac:dyDescent="0.25">
      <c r="A324939" s="1"/>
    </row>
    <row r="324940" spans="1:1" x14ac:dyDescent="0.25">
      <c r="A324940" s="1"/>
    </row>
    <row r="324941" spans="1:1" x14ac:dyDescent="0.25">
      <c r="A324941" s="1"/>
    </row>
    <row r="324942" spans="1:1" x14ac:dyDescent="0.25">
      <c r="A324942" s="1"/>
    </row>
    <row r="324943" spans="1:1" x14ac:dyDescent="0.25">
      <c r="A324943" s="1"/>
    </row>
    <row r="324944" spans="1:1" x14ac:dyDescent="0.25">
      <c r="A324944" s="1"/>
    </row>
    <row r="324945" spans="1:1" x14ac:dyDescent="0.25">
      <c r="A324945" s="1"/>
    </row>
    <row r="324946" spans="1:1" x14ac:dyDescent="0.25">
      <c r="A324946" s="1"/>
    </row>
    <row r="324947" spans="1:1" x14ac:dyDescent="0.25">
      <c r="A324947" s="1"/>
    </row>
    <row r="324948" spans="1:1" x14ac:dyDescent="0.25">
      <c r="A324948" s="1"/>
    </row>
    <row r="324949" spans="1:1" x14ac:dyDescent="0.25">
      <c r="A324949" s="1"/>
    </row>
    <row r="324950" spans="1:1" x14ac:dyDescent="0.25">
      <c r="A324950" s="1"/>
    </row>
    <row r="324951" spans="1:1" x14ac:dyDescent="0.25">
      <c r="A324951" s="1"/>
    </row>
    <row r="324952" spans="1:1" x14ac:dyDescent="0.25">
      <c r="A324952" s="1"/>
    </row>
    <row r="324953" spans="1:1" x14ac:dyDescent="0.25">
      <c r="A324953" s="1"/>
    </row>
    <row r="324954" spans="1:1" x14ac:dyDescent="0.25">
      <c r="A324954" s="1"/>
    </row>
    <row r="324955" spans="1:1" x14ac:dyDescent="0.25">
      <c r="A324955" s="1"/>
    </row>
    <row r="324956" spans="1:1" x14ac:dyDescent="0.25">
      <c r="A324956" s="1"/>
    </row>
    <row r="324957" spans="1:1" x14ac:dyDescent="0.25">
      <c r="A324957" s="1"/>
    </row>
    <row r="324958" spans="1:1" x14ac:dyDescent="0.25">
      <c r="A324958" s="1"/>
    </row>
    <row r="324959" spans="1:1" x14ac:dyDescent="0.25">
      <c r="A324959" s="1"/>
    </row>
    <row r="324960" spans="1:1" x14ac:dyDescent="0.25">
      <c r="A324960" s="1"/>
    </row>
    <row r="324961" spans="1:1" x14ac:dyDescent="0.25">
      <c r="A324961" s="1"/>
    </row>
    <row r="324962" spans="1:1" x14ac:dyDescent="0.25">
      <c r="A324962" s="1"/>
    </row>
    <row r="324963" spans="1:1" x14ac:dyDescent="0.25">
      <c r="A324963" s="1"/>
    </row>
    <row r="324964" spans="1:1" x14ac:dyDescent="0.25">
      <c r="A324964" s="1"/>
    </row>
    <row r="324965" spans="1:1" x14ac:dyDescent="0.25">
      <c r="A324965" s="1"/>
    </row>
    <row r="324966" spans="1:1" x14ac:dyDescent="0.25">
      <c r="A324966" s="1"/>
    </row>
    <row r="324967" spans="1:1" x14ac:dyDescent="0.25">
      <c r="A324967" s="1"/>
    </row>
    <row r="324968" spans="1:1" x14ac:dyDescent="0.25">
      <c r="A324968" s="1"/>
    </row>
    <row r="324969" spans="1:1" x14ac:dyDescent="0.25">
      <c r="A324969" s="1"/>
    </row>
    <row r="324970" spans="1:1" x14ac:dyDescent="0.25">
      <c r="A324970" s="1"/>
    </row>
    <row r="324971" spans="1:1" x14ac:dyDescent="0.25">
      <c r="A324971" s="1"/>
    </row>
    <row r="324972" spans="1:1" x14ac:dyDescent="0.25">
      <c r="A324972" s="1"/>
    </row>
    <row r="324973" spans="1:1" x14ac:dyDescent="0.25">
      <c r="A324973" s="1"/>
    </row>
    <row r="324974" spans="1:1" x14ac:dyDescent="0.25">
      <c r="A324974" s="1"/>
    </row>
    <row r="324975" spans="1:1" x14ac:dyDescent="0.25">
      <c r="A324975" s="1"/>
    </row>
    <row r="324976" spans="1:1" x14ac:dyDescent="0.25">
      <c r="A324976" s="1"/>
    </row>
    <row r="324977" spans="1:1" x14ac:dyDescent="0.25">
      <c r="A324977" s="1"/>
    </row>
    <row r="324978" spans="1:1" x14ac:dyDescent="0.25">
      <c r="A324978" s="1"/>
    </row>
    <row r="324979" spans="1:1" x14ac:dyDescent="0.25">
      <c r="A324979" s="1"/>
    </row>
    <row r="324980" spans="1:1" x14ac:dyDescent="0.25">
      <c r="A324980" s="1"/>
    </row>
    <row r="324981" spans="1:1" x14ac:dyDescent="0.25">
      <c r="A324981" s="1"/>
    </row>
    <row r="324982" spans="1:1" x14ac:dyDescent="0.25">
      <c r="A324982" s="1"/>
    </row>
    <row r="324983" spans="1:1" x14ac:dyDescent="0.25">
      <c r="A324983" s="1"/>
    </row>
    <row r="324984" spans="1:1" x14ac:dyDescent="0.25">
      <c r="A324984" s="1"/>
    </row>
    <row r="324985" spans="1:1" x14ac:dyDescent="0.25">
      <c r="A324985" s="1"/>
    </row>
    <row r="324986" spans="1:1" x14ac:dyDescent="0.25">
      <c r="A324986" s="1"/>
    </row>
    <row r="324987" spans="1:1" x14ac:dyDescent="0.25">
      <c r="A324987" s="1"/>
    </row>
    <row r="324988" spans="1:1" x14ac:dyDescent="0.25">
      <c r="A324988" s="1"/>
    </row>
    <row r="324989" spans="1:1" x14ac:dyDescent="0.25">
      <c r="A324989" s="1"/>
    </row>
    <row r="324990" spans="1:1" x14ac:dyDescent="0.25">
      <c r="A324990" s="1"/>
    </row>
    <row r="324991" spans="1:1" x14ac:dyDescent="0.25">
      <c r="A324991" s="1"/>
    </row>
    <row r="324992" spans="1:1" x14ac:dyDescent="0.25">
      <c r="A324992" s="1"/>
    </row>
    <row r="324993" spans="1:1" x14ac:dyDescent="0.25">
      <c r="A324993" s="1"/>
    </row>
    <row r="324994" spans="1:1" x14ac:dyDescent="0.25">
      <c r="A324994" s="1"/>
    </row>
    <row r="324995" spans="1:1" x14ac:dyDescent="0.25">
      <c r="A324995" s="1"/>
    </row>
    <row r="324996" spans="1:1" x14ac:dyDescent="0.25">
      <c r="A324996" s="1"/>
    </row>
    <row r="324997" spans="1:1" x14ac:dyDescent="0.25">
      <c r="A324997" s="1"/>
    </row>
    <row r="324998" spans="1:1" x14ac:dyDescent="0.25">
      <c r="A324998" s="1"/>
    </row>
    <row r="324999" spans="1:1" x14ac:dyDescent="0.25">
      <c r="A324999" s="1"/>
    </row>
    <row r="325000" spans="1:1" x14ac:dyDescent="0.25">
      <c r="A325000" s="1"/>
    </row>
    <row r="325001" spans="1:1" x14ac:dyDescent="0.25">
      <c r="A325001" s="1"/>
    </row>
    <row r="325002" spans="1:1" x14ac:dyDescent="0.25">
      <c r="A325002" s="1"/>
    </row>
    <row r="325003" spans="1:1" x14ac:dyDescent="0.25">
      <c r="A325003" s="1"/>
    </row>
    <row r="325004" spans="1:1" x14ac:dyDescent="0.25">
      <c r="A325004" s="1"/>
    </row>
    <row r="325005" spans="1:1" x14ac:dyDescent="0.25">
      <c r="A325005" s="1"/>
    </row>
    <row r="325006" spans="1:1" x14ac:dyDescent="0.25">
      <c r="A325006" s="1"/>
    </row>
    <row r="325007" spans="1:1" x14ac:dyDescent="0.25">
      <c r="A325007" s="1"/>
    </row>
    <row r="325008" spans="1:1" x14ac:dyDescent="0.25">
      <c r="A325008" s="1"/>
    </row>
    <row r="325009" spans="1:1" x14ac:dyDescent="0.25">
      <c r="A325009" s="1"/>
    </row>
    <row r="325010" spans="1:1" x14ac:dyDescent="0.25">
      <c r="A325010" s="1"/>
    </row>
    <row r="325011" spans="1:1" x14ac:dyDescent="0.25">
      <c r="A325011" s="1"/>
    </row>
    <row r="325012" spans="1:1" x14ac:dyDescent="0.25">
      <c r="A325012" s="1"/>
    </row>
    <row r="325013" spans="1:1" x14ac:dyDescent="0.25">
      <c r="A325013" s="1"/>
    </row>
    <row r="325014" spans="1:1" x14ac:dyDescent="0.25">
      <c r="A325014" s="1"/>
    </row>
    <row r="325015" spans="1:1" x14ac:dyDescent="0.25">
      <c r="A325015" s="1"/>
    </row>
    <row r="325016" spans="1:1" x14ac:dyDescent="0.25">
      <c r="A325016" s="1"/>
    </row>
    <row r="325017" spans="1:1" x14ac:dyDescent="0.25">
      <c r="A325017" s="1"/>
    </row>
    <row r="325018" spans="1:1" x14ac:dyDescent="0.25">
      <c r="A325018" s="1"/>
    </row>
    <row r="325019" spans="1:1" x14ac:dyDescent="0.25">
      <c r="A325019" s="1"/>
    </row>
    <row r="325020" spans="1:1" x14ac:dyDescent="0.25">
      <c r="A325020" s="1"/>
    </row>
    <row r="325021" spans="1:1" x14ac:dyDescent="0.25">
      <c r="A325021" s="1"/>
    </row>
    <row r="325022" spans="1:1" x14ac:dyDescent="0.25">
      <c r="A325022" s="1"/>
    </row>
    <row r="325023" spans="1:1" x14ac:dyDescent="0.25">
      <c r="A325023" s="1"/>
    </row>
    <row r="325024" spans="1:1" x14ac:dyDescent="0.25">
      <c r="A325024" s="1"/>
    </row>
    <row r="325025" spans="1:1" x14ac:dyDescent="0.25">
      <c r="A325025" s="1"/>
    </row>
    <row r="325026" spans="1:1" x14ac:dyDescent="0.25">
      <c r="A325026" s="1"/>
    </row>
    <row r="325027" spans="1:1" x14ac:dyDescent="0.25">
      <c r="A325027" s="1"/>
    </row>
    <row r="325028" spans="1:1" x14ac:dyDescent="0.25">
      <c r="A325028" s="1"/>
    </row>
    <row r="325029" spans="1:1" x14ac:dyDescent="0.25">
      <c r="A325029" s="1"/>
    </row>
    <row r="325030" spans="1:1" x14ac:dyDescent="0.25">
      <c r="A325030" s="1"/>
    </row>
    <row r="325031" spans="1:1" x14ac:dyDescent="0.25">
      <c r="A325031" s="1"/>
    </row>
    <row r="325032" spans="1:1" x14ac:dyDescent="0.25">
      <c r="A325032" s="1"/>
    </row>
    <row r="325033" spans="1:1" x14ac:dyDescent="0.25">
      <c r="A325033" s="1"/>
    </row>
    <row r="325034" spans="1:1" x14ac:dyDescent="0.25">
      <c r="A325034" s="1"/>
    </row>
    <row r="325035" spans="1:1" x14ac:dyDescent="0.25">
      <c r="A325035" s="1"/>
    </row>
    <row r="325036" spans="1:1" x14ac:dyDescent="0.25">
      <c r="A325036" s="1"/>
    </row>
    <row r="325037" spans="1:1" x14ac:dyDescent="0.25">
      <c r="A325037" s="1"/>
    </row>
    <row r="325038" spans="1:1" x14ac:dyDescent="0.25">
      <c r="A325038" s="1"/>
    </row>
    <row r="325039" spans="1:1" x14ac:dyDescent="0.25">
      <c r="A325039" s="1"/>
    </row>
    <row r="325040" spans="1:1" x14ac:dyDescent="0.25">
      <c r="A325040" s="1"/>
    </row>
    <row r="325041" spans="1:1" x14ac:dyDescent="0.25">
      <c r="A325041" s="1"/>
    </row>
    <row r="325042" spans="1:1" x14ac:dyDescent="0.25">
      <c r="A325042" s="1"/>
    </row>
    <row r="325043" spans="1:1" x14ac:dyDescent="0.25">
      <c r="A325043" s="1"/>
    </row>
    <row r="325044" spans="1:1" x14ac:dyDescent="0.25">
      <c r="A325044" s="1"/>
    </row>
    <row r="325045" spans="1:1" x14ac:dyDescent="0.25">
      <c r="A325045" s="1"/>
    </row>
    <row r="325046" spans="1:1" x14ac:dyDescent="0.25">
      <c r="A325046" s="1"/>
    </row>
    <row r="325047" spans="1:1" x14ac:dyDescent="0.25">
      <c r="A325047" s="1"/>
    </row>
    <row r="325048" spans="1:1" x14ac:dyDescent="0.25">
      <c r="A325048" s="1"/>
    </row>
    <row r="325049" spans="1:1" x14ac:dyDescent="0.25">
      <c r="A325049" s="1"/>
    </row>
    <row r="325050" spans="1:1" x14ac:dyDescent="0.25">
      <c r="A325050" s="1"/>
    </row>
    <row r="325051" spans="1:1" x14ac:dyDescent="0.25">
      <c r="A325051" s="1"/>
    </row>
    <row r="325052" spans="1:1" x14ac:dyDescent="0.25">
      <c r="A325052" s="1"/>
    </row>
    <row r="325053" spans="1:1" x14ac:dyDescent="0.25">
      <c r="A325053" s="1"/>
    </row>
    <row r="325054" spans="1:1" x14ac:dyDescent="0.25">
      <c r="A325054" s="1"/>
    </row>
    <row r="325055" spans="1:1" x14ac:dyDescent="0.25">
      <c r="A325055" s="1"/>
    </row>
    <row r="325056" spans="1:1" x14ac:dyDescent="0.25">
      <c r="A325056" s="1"/>
    </row>
    <row r="325057" spans="1:1" x14ac:dyDescent="0.25">
      <c r="A325057" s="1"/>
    </row>
    <row r="325058" spans="1:1" x14ac:dyDescent="0.25">
      <c r="A325058" s="1"/>
    </row>
    <row r="325059" spans="1:1" x14ac:dyDescent="0.25">
      <c r="A325059" s="1"/>
    </row>
    <row r="325060" spans="1:1" x14ac:dyDescent="0.25">
      <c r="A325060" s="1"/>
    </row>
    <row r="325061" spans="1:1" x14ac:dyDescent="0.25">
      <c r="A325061" s="1"/>
    </row>
    <row r="325062" spans="1:1" x14ac:dyDescent="0.25">
      <c r="A325062" s="1"/>
    </row>
    <row r="325063" spans="1:1" x14ac:dyDescent="0.25">
      <c r="A325063" s="1"/>
    </row>
    <row r="325064" spans="1:1" x14ac:dyDescent="0.25">
      <c r="A325064" s="1"/>
    </row>
    <row r="325065" spans="1:1" x14ac:dyDescent="0.25">
      <c r="A325065" s="1"/>
    </row>
    <row r="325066" spans="1:1" x14ac:dyDescent="0.25">
      <c r="A325066" s="1"/>
    </row>
    <row r="325067" spans="1:1" x14ac:dyDescent="0.25">
      <c r="A325067" s="1"/>
    </row>
    <row r="325068" spans="1:1" x14ac:dyDescent="0.25">
      <c r="A325068" s="1"/>
    </row>
    <row r="325069" spans="1:1" x14ac:dyDescent="0.25">
      <c r="A325069" s="1"/>
    </row>
    <row r="325070" spans="1:1" x14ac:dyDescent="0.25">
      <c r="A325070" s="1"/>
    </row>
    <row r="325071" spans="1:1" x14ac:dyDescent="0.25">
      <c r="A325071" s="1"/>
    </row>
    <row r="325072" spans="1:1" x14ac:dyDescent="0.25">
      <c r="A325072" s="1"/>
    </row>
    <row r="325073" spans="1:1" x14ac:dyDescent="0.25">
      <c r="A325073" s="1"/>
    </row>
    <row r="325074" spans="1:1" x14ac:dyDescent="0.25">
      <c r="A325074" s="1"/>
    </row>
    <row r="325075" spans="1:1" x14ac:dyDescent="0.25">
      <c r="A325075" s="1"/>
    </row>
    <row r="325076" spans="1:1" x14ac:dyDescent="0.25">
      <c r="A325076" s="1"/>
    </row>
    <row r="325077" spans="1:1" x14ac:dyDescent="0.25">
      <c r="A325077" s="1"/>
    </row>
    <row r="325078" spans="1:1" x14ac:dyDescent="0.25">
      <c r="A325078" s="1"/>
    </row>
    <row r="325079" spans="1:1" x14ac:dyDescent="0.25">
      <c r="A325079" s="1"/>
    </row>
    <row r="325080" spans="1:1" x14ac:dyDescent="0.25">
      <c r="A325080" s="1"/>
    </row>
    <row r="325081" spans="1:1" x14ac:dyDescent="0.25">
      <c r="A325081" s="1"/>
    </row>
    <row r="325082" spans="1:1" x14ac:dyDescent="0.25">
      <c r="A325082" s="1"/>
    </row>
    <row r="325083" spans="1:1" x14ac:dyDescent="0.25">
      <c r="A325083" s="1"/>
    </row>
    <row r="325084" spans="1:1" x14ac:dyDescent="0.25">
      <c r="A325084" s="1"/>
    </row>
    <row r="325085" spans="1:1" x14ac:dyDescent="0.25">
      <c r="A325085" s="1"/>
    </row>
    <row r="325086" spans="1:1" x14ac:dyDescent="0.25">
      <c r="A325086" s="1"/>
    </row>
    <row r="325087" spans="1:1" x14ac:dyDescent="0.25">
      <c r="A325087" s="1"/>
    </row>
    <row r="325088" spans="1:1" x14ac:dyDescent="0.25">
      <c r="A325088" s="1"/>
    </row>
    <row r="325089" spans="1:1" x14ac:dyDescent="0.25">
      <c r="A325089" s="1"/>
    </row>
    <row r="325090" spans="1:1" x14ac:dyDescent="0.25">
      <c r="A325090" s="1"/>
    </row>
    <row r="325091" spans="1:1" x14ac:dyDescent="0.25">
      <c r="A325091" s="1"/>
    </row>
    <row r="325092" spans="1:1" x14ac:dyDescent="0.25">
      <c r="A325092" s="1"/>
    </row>
    <row r="325093" spans="1:1" x14ac:dyDescent="0.25">
      <c r="A325093" s="1"/>
    </row>
    <row r="325094" spans="1:1" x14ac:dyDescent="0.25">
      <c r="A325094" s="1"/>
    </row>
    <row r="325095" spans="1:1" x14ac:dyDescent="0.25">
      <c r="A325095" s="1"/>
    </row>
    <row r="325096" spans="1:1" x14ac:dyDescent="0.25">
      <c r="A325096" s="1"/>
    </row>
    <row r="325097" spans="1:1" x14ac:dyDescent="0.25">
      <c r="A325097" s="1"/>
    </row>
    <row r="325098" spans="1:1" x14ac:dyDescent="0.25">
      <c r="A325098" s="1"/>
    </row>
    <row r="325099" spans="1:1" x14ac:dyDescent="0.25">
      <c r="A325099" s="1"/>
    </row>
    <row r="325100" spans="1:1" x14ac:dyDescent="0.25">
      <c r="A325100" s="1"/>
    </row>
    <row r="325101" spans="1:1" x14ac:dyDescent="0.25">
      <c r="A325101" s="1"/>
    </row>
    <row r="325102" spans="1:1" x14ac:dyDescent="0.25">
      <c r="A325102" s="1"/>
    </row>
    <row r="325103" spans="1:1" x14ac:dyDescent="0.25">
      <c r="A325103" s="1"/>
    </row>
    <row r="325104" spans="1:1" x14ac:dyDescent="0.25">
      <c r="A325104" s="1"/>
    </row>
    <row r="325105" spans="1:1" x14ac:dyDescent="0.25">
      <c r="A325105" s="1"/>
    </row>
    <row r="325106" spans="1:1" x14ac:dyDescent="0.25">
      <c r="A325106" s="1"/>
    </row>
    <row r="325107" spans="1:1" x14ac:dyDescent="0.25">
      <c r="A325107" s="1"/>
    </row>
    <row r="325108" spans="1:1" x14ac:dyDescent="0.25">
      <c r="A325108" s="1"/>
    </row>
    <row r="325109" spans="1:1" x14ac:dyDescent="0.25">
      <c r="A325109" s="1"/>
    </row>
    <row r="325110" spans="1:1" x14ac:dyDescent="0.25">
      <c r="A325110" s="1"/>
    </row>
    <row r="325111" spans="1:1" x14ac:dyDescent="0.25">
      <c r="A325111" s="1"/>
    </row>
    <row r="325112" spans="1:1" x14ac:dyDescent="0.25">
      <c r="A325112" s="1"/>
    </row>
    <row r="325113" spans="1:1" x14ac:dyDescent="0.25">
      <c r="A325113" s="1"/>
    </row>
    <row r="325114" spans="1:1" x14ac:dyDescent="0.25">
      <c r="A325114" s="1"/>
    </row>
    <row r="325115" spans="1:1" x14ac:dyDescent="0.25">
      <c r="A325115" s="1"/>
    </row>
    <row r="325116" spans="1:1" x14ac:dyDescent="0.25">
      <c r="A325116" s="1"/>
    </row>
    <row r="325117" spans="1:1" x14ac:dyDescent="0.25">
      <c r="A325117" s="1"/>
    </row>
    <row r="325118" spans="1:1" x14ac:dyDescent="0.25">
      <c r="A325118" s="1"/>
    </row>
    <row r="325119" spans="1:1" x14ac:dyDescent="0.25">
      <c r="A325119" s="1"/>
    </row>
    <row r="325120" spans="1:1" x14ac:dyDescent="0.25">
      <c r="A325120" s="1"/>
    </row>
    <row r="325121" spans="1:1" x14ac:dyDescent="0.25">
      <c r="A325121" s="1"/>
    </row>
    <row r="325122" spans="1:1" x14ac:dyDescent="0.25">
      <c r="A325122" s="1"/>
    </row>
    <row r="325123" spans="1:1" x14ac:dyDescent="0.25">
      <c r="A325123" s="1"/>
    </row>
    <row r="325124" spans="1:1" x14ac:dyDescent="0.25">
      <c r="A325124" s="1"/>
    </row>
    <row r="325125" spans="1:1" x14ac:dyDescent="0.25">
      <c r="A325125" s="1"/>
    </row>
    <row r="325126" spans="1:1" x14ac:dyDescent="0.25">
      <c r="A325126" s="1"/>
    </row>
    <row r="325127" spans="1:1" x14ac:dyDescent="0.25">
      <c r="A325127" s="1"/>
    </row>
    <row r="325128" spans="1:1" x14ac:dyDescent="0.25">
      <c r="A325128" s="1"/>
    </row>
    <row r="325129" spans="1:1" x14ac:dyDescent="0.25">
      <c r="A325129" s="1"/>
    </row>
    <row r="325130" spans="1:1" x14ac:dyDescent="0.25">
      <c r="A325130" s="1"/>
    </row>
    <row r="325131" spans="1:1" x14ac:dyDescent="0.25">
      <c r="A325131" s="1"/>
    </row>
    <row r="325132" spans="1:1" x14ac:dyDescent="0.25">
      <c r="A325132" s="1"/>
    </row>
    <row r="325133" spans="1:1" x14ac:dyDescent="0.25">
      <c r="A325133" s="1"/>
    </row>
    <row r="325134" spans="1:1" x14ac:dyDescent="0.25">
      <c r="A325134" s="1"/>
    </row>
    <row r="325135" spans="1:1" x14ac:dyDescent="0.25">
      <c r="A325135" s="1"/>
    </row>
    <row r="325136" spans="1:1" x14ac:dyDescent="0.25">
      <c r="A325136" s="1"/>
    </row>
    <row r="325137" spans="1:1" x14ac:dyDescent="0.25">
      <c r="A325137" s="1"/>
    </row>
    <row r="325138" spans="1:1" x14ac:dyDescent="0.25">
      <c r="A325138" s="1"/>
    </row>
    <row r="325139" spans="1:1" x14ac:dyDescent="0.25">
      <c r="A325139" s="1"/>
    </row>
    <row r="325140" spans="1:1" x14ac:dyDescent="0.25">
      <c r="A325140" s="1"/>
    </row>
    <row r="325141" spans="1:1" x14ac:dyDescent="0.25">
      <c r="A325141" s="1"/>
    </row>
    <row r="325142" spans="1:1" x14ac:dyDescent="0.25">
      <c r="A325142" s="1"/>
    </row>
    <row r="325143" spans="1:1" x14ac:dyDescent="0.25">
      <c r="A325143" s="1"/>
    </row>
    <row r="325144" spans="1:1" x14ac:dyDescent="0.25">
      <c r="A325144" s="1"/>
    </row>
    <row r="325145" spans="1:1" x14ac:dyDescent="0.25">
      <c r="A325145" s="1"/>
    </row>
    <row r="325146" spans="1:1" x14ac:dyDescent="0.25">
      <c r="A325146" s="1"/>
    </row>
    <row r="325147" spans="1:1" x14ac:dyDescent="0.25">
      <c r="A325147" s="1"/>
    </row>
    <row r="325148" spans="1:1" x14ac:dyDescent="0.25">
      <c r="A325148" s="1"/>
    </row>
    <row r="325149" spans="1:1" x14ac:dyDescent="0.25">
      <c r="A325149" s="1"/>
    </row>
    <row r="325150" spans="1:1" x14ac:dyDescent="0.25">
      <c r="A325150" s="1"/>
    </row>
    <row r="325151" spans="1:1" x14ac:dyDescent="0.25">
      <c r="A325151" s="1"/>
    </row>
    <row r="325152" spans="1:1" x14ac:dyDescent="0.25">
      <c r="A325152" s="1"/>
    </row>
    <row r="325153" spans="1:1" x14ac:dyDescent="0.25">
      <c r="A325153" s="1"/>
    </row>
    <row r="325154" spans="1:1" x14ac:dyDescent="0.25">
      <c r="A325154" s="1"/>
    </row>
    <row r="325155" spans="1:1" x14ac:dyDescent="0.25">
      <c r="A325155" s="1"/>
    </row>
    <row r="325156" spans="1:1" x14ac:dyDescent="0.25">
      <c r="A325156" s="1"/>
    </row>
    <row r="325157" spans="1:1" x14ac:dyDescent="0.25">
      <c r="A325157" s="1"/>
    </row>
    <row r="325158" spans="1:1" x14ac:dyDescent="0.25">
      <c r="A325158" s="1"/>
    </row>
    <row r="325159" spans="1:1" x14ac:dyDescent="0.25">
      <c r="A325159" s="1"/>
    </row>
    <row r="325160" spans="1:1" x14ac:dyDescent="0.25">
      <c r="A325160" s="1"/>
    </row>
    <row r="325161" spans="1:1" x14ac:dyDescent="0.25">
      <c r="A325161" s="1"/>
    </row>
    <row r="325162" spans="1:1" x14ac:dyDescent="0.25">
      <c r="A325162" s="1"/>
    </row>
    <row r="325163" spans="1:1" x14ac:dyDescent="0.25">
      <c r="A325163" s="1"/>
    </row>
    <row r="325164" spans="1:1" x14ac:dyDescent="0.25">
      <c r="A325164" s="1"/>
    </row>
    <row r="325165" spans="1:1" x14ac:dyDescent="0.25">
      <c r="A325165" s="1"/>
    </row>
    <row r="325166" spans="1:1" x14ac:dyDescent="0.25">
      <c r="A325166" s="1"/>
    </row>
    <row r="325167" spans="1:1" x14ac:dyDescent="0.25">
      <c r="A325167" s="1"/>
    </row>
    <row r="325168" spans="1:1" x14ac:dyDescent="0.25">
      <c r="A325168" s="1"/>
    </row>
    <row r="325169" spans="1:1" x14ac:dyDescent="0.25">
      <c r="A325169" s="1"/>
    </row>
    <row r="325170" spans="1:1" x14ac:dyDescent="0.25">
      <c r="A325170" s="1"/>
    </row>
    <row r="325171" spans="1:1" x14ac:dyDescent="0.25">
      <c r="A325171" s="1"/>
    </row>
    <row r="325172" spans="1:1" x14ac:dyDescent="0.25">
      <c r="A325172" s="1"/>
    </row>
    <row r="325173" spans="1:1" x14ac:dyDescent="0.25">
      <c r="A325173" s="1"/>
    </row>
    <row r="325174" spans="1:1" x14ac:dyDescent="0.25">
      <c r="A325174" s="1"/>
    </row>
    <row r="325175" spans="1:1" x14ac:dyDescent="0.25">
      <c r="A325175" s="1"/>
    </row>
    <row r="325176" spans="1:1" x14ac:dyDescent="0.25">
      <c r="A325176" s="1"/>
    </row>
    <row r="325177" spans="1:1" x14ac:dyDescent="0.25">
      <c r="A325177" s="1"/>
    </row>
    <row r="325178" spans="1:1" x14ac:dyDescent="0.25">
      <c r="A325178" s="1"/>
    </row>
    <row r="325179" spans="1:1" x14ac:dyDescent="0.25">
      <c r="A325179" s="1"/>
    </row>
    <row r="325180" spans="1:1" x14ac:dyDescent="0.25">
      <c r="A325180" s="1"/>
    </row>
    <row r="325181" spans="1:1" x14ac:dyDescent="0.25">
      <c r="A325181" s="1"/>
    </row>
    <row r="325182" spans="1:1" x14ac:dyDescent="0.25">
      <c r="A325182" s="1"/>
    </row>
    <row r="325183" spans="1:1" x14ac:dyDescent="0.25">
      <c r="A325183" s="1"/>
    </row>
    <row r="325184" spans="1:1" x14ac:dyDescent="0.25">
      <c r="A325184" s="1"/>
    </row>
    <row r="325185" spans="1:1" x14ac:dyDescent="0.25">
      <c r="A325185" s="1"/>
    </row>
    <row r="325186" spans="1:1" x14ac:dyDescent="0.25">
      <c r="A325186" s="1"/>
    </row>
    <row r="325187" spans="1:1" x14ac:dyDescent="0.25">
      <c r="A325187" s="1"/>
    </row>
    <row r="325188" spans="1:1" x14ac:dyDescent="0.25">
      <c r="A325188" s="1"/>
    </row>
    <row r="325189" spans="1:1" x14ac:dyDescent="0.25">
      <c r="A325189" s="1"/>
    </row>
    <row r="325190" spans="1:1" x14ac:dyDescent="0.25">
      <c r="A325190" s="1"/>
    </row>
    <row r="325191" spans="1:1" x14ac:dyDescent="0.25">
      <c r="A325191" s="1"/>
    </row>
    <row r="325192" spans="1:1" x14ac:dyDescent="0.25">
      <c r="A325192" s="1"/>
    </row>
    <row r="325193" spans="1:1" x14ac:dyDescent="0.25">
      <c r="A325193" s="1"/>
    </row>
    <row r="325194" spans="1:1" x14ac:dyDescent="0.25">
      <c r="A325194" s="1"/>
    </row>
    <row r="325195" spans="1:1" x14ac:dyDescent="0.25">
      <c r="A325195" s="1"/>
    </row>
    <row r="325196" spans="1:1" x14ac:dyDescent="0.25">
      <c r="A325196" s="1"/>
    </row>
    <row r="325197" spans="1:1" x14ac:dyDescent="0.25">
      <c r="A325197" s="1"/>
    </row>
    <row r="325198" spans="1:1" x14ac:dyDescent="0.25">
      <c r="A325198" s="1"/>
    </row>
    <row r="325199" spans="1:1" x14ac:dyDescent="0.25">
      <c r="A325199" s="1"/>
    </row>
    <row r="325200" spans="1:1" x14ac:dyDescent="0.25">
      <c r="A325200" s="1"/>
    </row>
    <row r="325201" spans="1:1" x14ac:dyDescent="0.25">
      <c r="A325201" s="1"/>
    </row>
    <row r="325202" spans="1:1" x14ac:dyDescent="0.25">
      <c r="A325202" s="1"/>
    </row>
    <row r="325203" spans="1:1" x14ac:dyDescent="0.25">
      <c r="A325203" s="1"/>
    </row>
    <row r="325204" spans="1:1" x14ac:dyDescent="0.25">
      <c r="A325204" s="1"/>
    </row>
    <row r="325205" spans="1:1" x14ac:dyDescent="0.25">
      <c r="A325205" s="1"/>
    </row>
    <row r="325206" spans="1:1" x14ac:dyDescent="0.25">
      <c r="A325206" s="1"/>
    </row>
    <row r="325207" spans="1:1" x14ac:dyDescent="0.25">
      <c r="A325207" s="1"/>
    </row>
    <row r="325208" spans="1:1" x14ac:dyDescent="0.25">
      <c r="A325208" s="1"/>
    </row>
    <row r="325209" spans="1:1" x14ac:dyDescent="0.25">
      <c r="A325209" s="1"/>
    </row>
    <row r="325210" spans="1:1" x14ac:dyDescent="0.25">
      <c r="A325210" s="1"/>
    </row>
    <row r="325211" spans="1:1" x14ac:dyDescent="0.25">
      <c r="A325211" s="1"/>
    </row>
    <row r="325212" spans="1:1" x14ac:dyDescent="0.25">
      <c r="A325212" s="1"/>
    </row>
    <row r="325213" spans="1:1" x14ac:dyDescent="0.25">
      <c r="A325213" s="1"/>
    </row>
    <row r="325214" spans="1:1" x14ac:dyDescent="0.25">
      <c r="A325214" s="1"/>
    </row>
    <row r="325215" spans="1:1" x14ac:dyDescent="0.25">
      <c r="A325215" s="1"/>
    </row>
    <row r="325216" spans="1:1" x14ac:dyDescent="0.25">
      <c r="A325216" s="1"/>
    </row>
    <row r="325217" spans="1:1" x14ac:dyDescent="0.25">
      <c r="A325217" s="1"/>
    </row>
    <row r="325218" spans="1:1" x14ac:dyDescent="0.25">
      <c r="A325218" s="1"/>
    </row>
    <row r="325219" spans="1:1" x14ac:dyDescent="0.25">
      <c r="A325219" s="1"/>
    </row>
    <row r="325220" spans="1:1" x14ac:dyDescent="0.25">
      <c r="A325220" s="1"/>
    </row>
    <row r="325221" spans="1:1" x14ac:dyDescent="0.25">
      <c r="A325221" s="1"/>
    </row>
    <row r="325222" spans="1:1" x14ac:dyDescent="0.25">
      <c r="A325222" s="1"/>
    </row>
    <row r="325223" spans="1:1" x14ac:dyDescent="0.25">
      <c r="A325223" s="1"/>
    </row>
    <row r="325224" spans="1:1" x14ac:dyDescent="0.25">
      <c r="A325224" s="1"/>
    </row>
    <row r="325225" spans="1:1" x14ac:dyDescent="0.25">
      <c r="A325225" s="1"/>
    </row>
    <row r="325226" spans="1:1" x14ac:dyDescent="0.25">
      <c r="A325226" s="1"/>
    </row>
    <row r="325227" spans="1:1" x14ac:dyDescent="0.25">
      <c r="A325227" s="1"/>
    </row>
    <row r="325228" spans="1:1" x14ac:dyDescent="0.25">
      <c r="A325228" s="1"/>
    </row>
    <row r="325229" spans="1:1" x14ac:dyDescent="0.25">
      <c r="A325229" s="1"/>
    </row>
    <row r="325230" spans="1:1" x14ac:dyDescent="0.25">
      <c r="A325230" s="1"/>
    </row>
    <row r="325231" spans="1:1" x14ac:dyDescent="0.25">
      <c r="A325231" s="1"/>
    </row>
    <row r="325232" spans="1:1" x14ac:dyDescent="0.25">
      <c r="A325232" s="1"/>
    </row>
    <row r="325233" spans="1:1" x14ac:dyDescent="0.25">
      <c r="A325233" s="1"/>
    </row>
    <row r="325234" spans="1:1" x14ac:dyDescent="0.25">
      <c r="A325234" s="1"/>
    </row>
    <row r="325235" spans="1:1" x14ac:dyDescent="0.25">
      <c r="A325235" s="1"/>
    </row>
    <row r="325236" spans="1:1" x14ac:dyDescent="0.25">
      <c r="A325236" s="1"/>
    </row>
    <row r="325237" spans="1:1" x14ac:dyDescent="0.25">
      <c r="A325237" s="1"/>
    </row>
    <row r="325238" spans="1:1" x14ac:dyDescent="0.25">
      <c r="A325238" s="1"/>
    </row>
    <row r="325239" spans="1:1" x14ac:dyDescent="0.25">
      <c r="A325239" s="1"/>
    </row>
    <row r="325240" spans="1:1" x14ac:dyDescent="0.25">
      <c r="A325240" s="1"/>
    </row>
    <row r="325241" spans="1:1" x14ac:dyDescent="0.25">
      <c r="A325241" s="1"/>
    </row>
    <row r="325242" spans="1:1" x14ac:dyDescent="0.25">
      <c r="A325242" s="1"/>
    </row>
    <row r="325243" spans="1:1" x14ac:dyDescent="0.25">
      <c r="A325243" s="1"/>
    </row>
    <row r="325244" spans="1:1" x14ac:dyDescent="0.25">
      <c r="A325244" s="1"/>
    </row>
    <row r="325245" spans="1:1" x14ac:dyDescent="0.25">
      <c r="A325245" s="1"/>
    </row>
    <row r="325246" spans="1:1" x14ac:dyDescent="0.25">
      <c r="A325246" s="1"/>
    </row>
    <row r="325247" spans="1:1" x14ac:dyDescent="0.25">
      <c r="A325247" s="1"/>
    </row>
    <row r="325248" spans="1:1" x14ac:dyDescent="0.25">
      <c r="A325248" s="1"/>
    </row>
    <row r="325249" spans="1:1" x14ac:dyDescent="0.25">
      <c r="A325249" s="1"/>
    </row>
    <row r="325250" spans="1:1" x14ac:dyDescent="0.25">
      <c r="A325250" s="1"/>
    </row>
    <row r="325251" spans="1:1" x14ac:dyDescent="0.25">
      <c r="A325251" s="1"/>
    </row>
    <row r="325252" spans="1:1" x14ac:dyDescent="0.25">
      <c r="A325252" s="1"/>
    </row>
    <row r="325253" spans="1:1" x14ac:dyDescent="0.25">
      <c r="A325253" s="1"/>
    </row>
    <row r="325254" spans="1:1" x14ac:dyDescent="0.25">
      <c r="A325254" s="1"/>
    </row>
    <row r="325255" spans="1:1" x14ac:dyDescent="0.25">
      <c r="A325255" s="1"/>
    </row>
    <row r="325256" spans="1:1" x14ac:dyDescent="0.25">
      <c r="A325256" s="1"/>
    </row>
    <row r="325257" spans="1:1" x14ac:dyDescent="0.25">
      <c r="A325257" s="1"/>
    </row>
    <row r="325258" spans="1:1" x14ac:dyDescent="0.25">
      <c r="A325258" s="1"/>
    </row>
    <row r="325259" spans="1:1" x14ac:dyDescent="0.25">
      <c r="A325259" s="1"/>
    </row>
    <row r="325260" spans="1:1" x14ac:dyDescent="0.25">
      <c r="A325260" s="1"/>
    </row>
    <row r="325261" spans="1:1" x14ac:dyDescent="0.25">
      <c r="A325261" s="1"/>
    </row>
    <row r="325262" spans="1:1" x14ac:dyDescent="0.25">
      <c r="A325262" s="1"/>
    </row>
    <row r="325263" spans="1:1" x14ac:dyDescent="0.25">
      <c r="A325263" s="1"/>
    </row>
    <row r="325264" spans="1:1" x14ac:dyDescent="0.25">
      <c r="A325264" s="1"/>
    </row>
    <row r="325265" spans="1:1" x14ac:dyDescent="0.25">
      <c r="A325265" s="1"/>
    </row>
    <row r="325266" spans="1:1" x14ac:dyDescent="0.25">
      <c r="A325266" s="1"/>
    </row>
    <row r="325267" spans="1:1" x14ac:dyDescent="0.25">
      <c r="A325267" s="1"/>
    </row>
    <row r="325268" spans="1:1" x14ac:dyDescent="0.25">
      <c r="A325268" s="1"/>
    </row>
    <row r="325269" spans="1:1" x14ac:dyDescent="0.25">
      <c r="A325269" s="1"/>
    </row>
    <row r="325270" spans="1:1" x14ac:dyDescent="0.25">
      <c r="A325270" s="1"/>
    </row>
    <row r="325271" spans="1:1" x14ac:dyDescent="0.25">
      <c r="A325271" s="1"/>
    </row>
    <row r="325272" spans="1:1" x14ac:dyDescent="0.25">
      <c r="A325272" s="1"/>
    </row>
    <row r="325273" spans="1:1" x14ac:dyDescent="0.25">
      <c r="A325273" s="1"/>
    </row>
    <row r="325274" spans="1:1" x14ac:dyDescent="0.25">
      <c r="A325274" s="1"/>
    </row>
    <row r="325275" spans="1:1" x14ac:dyDescent="0.25">
      <c r="A325275" s="1"/>
    </row>
    <row r="325276" spans="1:1" x14ac:dyDescent="0.25">
      <c r="A325276" s="1"/>
    </row>
    <row r="325277" spans="1:1" x14ac:dyDescent="0.25">
      <c r="A325277" s="1"/>
    </row>
    <row r="325278" spans="1:1" x14ac:dyDescent="0.25">
      <c r="A325278" s="1"/>
    </row>
    <row r="325279" spans="1:1" x14ac:dyDescent="0.25">
      <c r="A325279" s="1"/>
    </row>
    <row r="325280" spans="1:1" x14ac:dyDescent="0.25">
      <c r="A325280" s="1"/>
    </row>
    <row r="325281" spans="1:1" x14ac:dyDescent="0.25">
      <c r="A325281" s="1"/>
    </row>
    <row r="325282" spans="1:1" x14ac:dyDescent="0.25">
      <c r="A325282" s="1"/>
    </row>
    <row r="325283" spans="1:1" x14ac:dyDescent="0.25">
      <c r="A325283" s="1"/>
    </row>
    <row r="325284" spans="1:1" x14ac:dyDescent="0.25">
      <c r="A325284" s="1"/>
    </row>
    <row r="325285" spans="1:1" x14ac:dyDescent="0.25">
      <c r="A325285" s="1"/>
    </row>
    <row r="325286" spans="1:1" x14ac:dyDescent="0.25">
      <c r="A325286" s="1"/>
    </row>
    <row r="325287" spans="1:1" x14ac:dyDescent="0.25">
      <c r="A325287" s="1"/>
    </row>
    <row r="325288" spans="1:1" x14ac:dyDescent="0.25">
      <c r="A325288" s="1"/>
    </row>
    <row r="325289" spans="1:1" x14ac:dyDescent="0.25">
      <c r="A325289" s="1"/>
    </row>
    <row r="325290" spans="1:1" x14ac:dyDescent="0.25">
      <c r="A325290" s="1"/>
    </row>
    <row r="325291" spans="1:1" x14ac:dyDescent="0.25">
      <c r="A325291" s="1"/>
    </row>
    <row r="325292" spans="1:1" x14ac:dyDescent="0.25">
      <c r="A325292" s="1"/>
    </row>
    <row r="325293" spans="1:1" x14ac:dyDescent="0.25">
      <c r="A325293" s="1"/>
    </row>
    <row r="325294" spans="1:1" x14ac:dyDescent="0.25">
      <c r="A325294" s="1"/>
    </row>
    <row r="325295" spans="1:1" x14ac:dyDescent="0.25">
      <c r="A325295" s="1"/>
    </row>
    <row r="325296" spans="1:1" x14ac:dyDescent="0.25">
      <c r="A325296" s="1"/>
    </row>
    <row r="325297" spans="1:1" x14ac:dyDescent="0.25">
      <c r="A325297" s="1"/>
    </row>
    <row r="325298" spans="1:1" x14ac:dyDescent="0.25">
      <c r="A325298" s="1"/>
    </row>
    <row r="325299" spans="1:1" x14ac:dyDescent="0.25">
      <c r="A325299" s="1"/>
    </row>
    <row r="325300" spans="1:1" x14ac:dyDescent="0.25">
      <c r="A325300" s="1"/>
    </row>
    <row r="325301" spans="1:1" x14ac:dyDescent="0.25">
      <c r="A325301" s="1"/>
    </row>
    <row r="325302" spans="1:1" x14ac:dyDescent="0.25">
      <c r="A325302" s="1"/>
    </row>
    <row r="325303" spans="1:1" x14ac:dyDescent="0.25">
      <c r="A325303" s="1"/>
    </row>
    <row r="325304" spans="1:1" x14ac:dyDescent="0.25">
      <c r="A325304" s="1"/>
    </row>
    <row r="325305" spans="1:1" x14ac:dyDescent="0.25">
      <c r="A325305" s="1"/>
    </row>
    <row r="325306" spans="1:1" x14ac:dyDescent="0.25">
      <c r="A325306" s="1"/>
    </row>
    <row r="325307" spans="1:1" x14ac:dyDescent="0.25">
      <c r="A325307" s="1"/>
    </row>
    <row r="325308" spans="1:1" x14ac:dyDescent="0.25">
      <c r="A325308" s="1"/>
    </row>
    <row r="325309" spans="1:1" x14ac:dyDescent="0.25">
      <c r="A325309" s="1"/>
    </row>
    <row r="325310" spans="1:1" x14ac:dyDescent="0.25">
      <c r="A325310" s="1"/>
    </row>
    <row r="325311" spans="1:1" x14ac:dyDescent="0.25">
      <c r="A325311" s="1"/>
    </row>
    <row r="325312" spans="1:1" x14ac:dyDescent="0.25">
      <c r="A325312" s="1"/>
    </row>
    <row r="325313" spans="1:1" x14ac:dyDescent="0.25">
      <c r="A325313" s="1"/>
    </row>
    <row r="325314" spans="1:1" x14ac:dyDescent="0.25">
      <c r="A325314" s="1"/>
    </row>
    <row r="325315" spans="1:1" x14ac:dyDescent="0.25">
      <c r="A325315" s="1"/>
    </row>
    <row r="325316" spans="1:1" x14ac:dyDescent="0.25">
      <c r="A325316" s="1"/>
    </row>
    <row r="325317" spans="1:1" x14ac:dyDescent="0.25">
      <c r="A325317" s="1"/>
    </row>
    <row r="325318" spans="1:1" x14ac:dyDescent="0.25">
      <c r="A325318" s="1"/>
    </row>
    <row r="325319" spans="1:1" x14ac:dyDescent="0.25">
      <c r="A325319" s="1"/>
    </row>
    <row r="325320" spans="1:1" x14ac:dyDescent="0.25">
      <c r="A325320" s="1"/>
    </row>
    <row r="325321" spans="1:1" x14ac:dyDescent="0.25">
      <c r="A325321" s="1"/>
    </row>
    <row r="325322" spans="1:1" x14ac:dyDescent="0.25">
      <c r="A325322" s="1"/>
    </row>
    <row r="325323" spans="1:1" x14ac:dyDescent="0.25">
      <c r="A325323" s="1"/>
    </row>
    <row r="325324" spans="1:1" x14ac:dyDescent="0.25">
      <c r="A325324" s="1"/>
    </row>
    <row r="325325" spans="1:1" x14ac:dyDescent="0.25">
      <c r="A325325" s="1"/>
    </row>
    <row r="325326" spans="1:1" x14ac:dyDescent="0.25">
      <c r="A325326" s="1"/>
    </row>
    <row r="325327" spans="1:1" x14ac:dyDescent="0.25">
      <c r="A325327" s="1"/>
    </row>
    <row r="325328" spans="1:1" x14ac:dyDescent="0.25">
      <c r="A325328" s="1"/>
    </row>
    <row r="325329" spans="1:1" x14ac:dyDescent="0.25">
      <c r="A325329" s="1"/>
    </row>
    <row r="325330" spans="1:1" x14ac:dyDescent="0.25">
      <c r="A325330" s="1"/>
    </row>
    <row r="325331" spans="1:1" x14ac:dyDescent="0.25">
      <c r="A325331" s="1"/>
    </row>
    <row r="325332" spans="1:1" x14ac:dyDescent="0.25">
      <c r="A325332" s="1"/>
    </row>
    <row r="325333" spans="1:1" x14ac:dyDescent="0.25">
      <c r="A325333" s="1"/>
    </row>
    <row r="325334" spans="1:1" x14ac:dyDescent="0.25">
      <c r="A325334" s="1"/>
    </row>
    <row r="325335" spans="1:1" x14ac:dyDescent="0.25">
      <c r="A325335" s="1"/>
    </row>
    <row r="325336" spans="1:1" x14ac:dyDescent="0.25">
      <c r="A325336" s="1"/>
    </row>
    <row r="325337" spans="1:1" x14ac:dyDescent="0.25">
      <c r="A325337" s="1"/>
    </row>
    <row r="325338" spans="1:1" x14ac:dyDescent="0.25">
      <c r="A325338" s="1"/>
    </row>
    <row r="325339" spans="1:1" x14ac:dyDescent="0.25">
      <c r="A325339" s="1"/>
    </row>
    <row r="325340" spans="1:1" x14ac:dyDescent="0.25">
      <c r="A325340" s="1"/>
    </row>
    <row r="325341" spans="1:1" x14ac:dyDescent="0.25">
      <c r="A325341" s="1"/>
    </row>
    <row r="325342" spans="1:1" x14ac:dyDescent="0.25">
      <c r="A325342" s="1"/>
    </row>
    <row r="325343" spans="1:1" x14ac:dyDescent="0.25">
      <c r="A325343" s="1"/>
    </row>
    <row r="325344" spans="1:1" x14ac:dyDescent="0.25">
      <c r="A325344" s="1"/>
    </row>
    <row r="325345" spans="1:1" x14ac:dyDescent="0.25">
      <c r="A325345" s="1"/>
    </row>
    <row r="325346" spans="1:1" x14ac:dyDescent="0.25">
      <c r="A325346" s="1"/>
    </row>
    <row r="325347" spans="1:1" x14ac:dyDescent="0.25">
      <c r="A325347" s="1"/>
    </row>
    <row r="325348" spans="1:1" x14ac:dyDescent="0.25">
      <c r="A325348" s="1"/>
    </row>
    <row r="325349" spans="1:1" x14ac:dyDescent="0.25">
      <c r="A325349" s="1"/>
    </row>
    <row r="325350" spans="1:1" x14ac:dyDescent="0.25">
      <c r="A325350" s="1"/>
    </row>
    <row r="325351" spans="1:1" x14ac:dyDescent="0.25">
      <c r="A325351" s="1"/>
    </row>
    <row r="325352" spans="1:1" x14ac:dyDescent="0.25">
      <c r="A325352" s="1"/>
    </row>
    <row r="325353" spans="1:1" x14ac:dyDescent="0.25">
      <c r="A325353" s="1"/>
    </row>
    <row r="325354" spans="1:1" x14ac:dyDescent="0.25">
      <c r="A325354" s="1"/>
    </row>
    <row r="325355" spans="1:1" x14ac:dyDescent="0.25">
      <c r="A325355" s="1"/>
    </row>
    <row r="325356" spans="1:1" x14ac:dyDescent="0.25">
      <c r="A325356" s="1"/>
    </row>
    <row r="325357" spans="1:1" x14ac:dyDescent="0.25">
      <c r="A325357" s="1"/>
    </row>
    <row r="325358" spans="1:1" x14ac:dyDescent="0.25">
      <c r="A325358" s="1"/>
    </row>
    <row r="325359" spans="1:1" x14ac:dyDescent="0.25">
      <c r="A325359" s="1"/>
    </row>
    <row r="325360" spans="1:1" x14ac:dyDescent="0.25">
      <c r="A325360" s="1"/>
    </row>
    <row r="325361" spans="1:1" x14ac:dyDescent="0.25">
      <c r="A325361" s="1"/>
    </row>
    <row r="325362" spans="1:1" x14ac:dyDescent="0.25">
      <c r="A325362" s="1"/>
    </row>
    <row r="325363" spans="1:1" x14ac:dyDescent="0.25">
      <c r="A325363" s="1"/>
    </row>
    <row r="325364" spans="1:1" x14ac:dyDescent="0.25">
      <c r="A325364" s="1"/>
    </row>
    <row r="325365" spans="1:1" x14ac:dyDescent="0.25">
      <c r="A325365" s="1"/>
    </row>
    <row r="325366" spans="1:1" x14ac:dyDescent="0.25">
      <c r="A325366" s="1"/>
    </row>
    <row r="325367" spans="1:1" x14ac:dyDescent="0.25">
      <c r="A325367" s="1"/>
    </row>
    <row r="325368" spans="1:1" x14ac:dyDescent="0.25">
      <c r="A325368" s="1"/>
    </row>
    <row r="325369" spans="1:1" x14ac:dyDescent="0.25">
      <c r="A325369" s="1"/>
    </row>
    <row r="325370" spans="1:1" x14ac:dyDescent="0.25">
      <c r="A325370" s="1"/>
    </row>
    <row r="325371" spans="1:1" x14ac:dyDescent="0.25">
      <c r="A325371" s="1"/>
    </row>
    <row r="325372" spans="1:1" x14ac:dyDescent="0.25">
      <c r="A325372" s="1"/>
    </row>
    <row r="325373" spans="1:1" x14ac:dyDescent="0.25">
      <c r="A325373" s="1"/>
    </row>
    <row r="325374" spans="1:1" x14ac:dyDescent="0.25">
      <c r="A325374" s="1"/>
    </row>
    <row r="325375" spans="1:1" x14ac:dyDescent="0.25">
      <c r="A325375" s="1"/>
    </row>
    <row r="325376" spans="1:1" x14ac:dyDescent="0.25">
      <c r="A325376" s="1"/>
    </row>
    <row r="325377" spans="1:1" x14ac:dyDescent="0.25">
      <c r="A325377" s="1"/>
    </row>
    <row r="325378" spans="1:1" x14ac:dyDescent="0.25">
      <c r="A325378" s="1"/>
    </row>
    <row r="325379" spans="1:1" x14ac:dyDescent="0.25">
      <c r="A325379" s="1"/>
    </row>
    <row r="325380" spans="1:1" x14ac:dyDescent="0.25">
      <c r="A325380" s="1"/>
    </row>
    <row r="325381" spans="1:1" x14ac:dyDescent="0.25">
      <c r="A325381" s="1"/>
    </row>
    <row r="325382" spans="1:1" x14ac:dyDescent="0.25">
      <c r="A325382" s="1"/>
    </row>
    <row r="325383" spans="1:1" x14ac:dyDescent="0.25">
      <c r="A325383" s="1"/>
    </row>
    <row r="325384" spans="1:1" x14ac:dyDescent="0.25">
      <c r="A325384" s="1"/>
    </row>
    <row r="325385" spans="1:1" x14ac:dyDescent="0.25">
      <c r="A325385" s="1"/>
    </row>
    <row r="325386" spans="1:1" x14ac:dyDescent="0.25">
      <c r="A325386" s="1"/>
    </row>
    <row r="325387" spans="1:1" x14ac:dyDescent="0.25">
      <c r="A325387" s="1"/>
    </row>
    <row r="325388" spans="1:1" x14ac:dyDescent="0.25">
      <c r="A325388" s="1"/>
    </row>
    <row r="325389" spans="1:1" x14ac:dyDescent="0.25">
      <c r="A325389" s="1"/>
    </row>
    <row r="325390" spans="1:1" x14ac:dyDescent="0.25">
      <c r="A325390" s="1"/>
    </row>
    <row r="325391" spans="1:1" x14ac:dyDescent="0.25">
      <c r="A325391" s="1"/>
    </row>
    <row r="325392" spans="1:1" x14ac:dyDescent="0.25">
      <c r="A325392" s="1"/>
    </row>
    <row r="325393" spans="1:1" x14ac:dyDescent="0.25">
      <c r="A325393" s="1"/>
    </row>
    <row r="325394" spans="1:1" x14ac:dyDescent="0.25">
      <c r="A325394" s="1"/>
    </row>
    <row r="325395" spans="1:1" x14ac:dyDescent="0.25">
      <c r="A325395" s="1"/>
    </row>
    <row r="325396" spans="1:1" x14ac:dyDescent="0.25">
      <c r="A325396" s="1"/>
    </row>
    <row r="325397" spans="1:1" x14ac:dyDescent="0.25">
      <c r="A325397" s="1"/>
    </row>
    <row r="325398" spans="1:1" x14ac:dyDescent="0.25">
      <c r="A325398" s="1"/>
    </row>
    <row r="325399" spans="1:1" x14ac:dyDescent="0.25">
      <c r="A325399" s="1"/>
    </row>
    <row r="325400" spans="1:1" x14ac:dyDescent="0.25">
      <c r="A325400" s="1"/>
    </row>
    <row r="325401" spans="1:1" x14ac:dyDescent="0.25">
      <c r="A325401" s="1"/>
    </row>
    <row r="325402" spans="1:1" x14ac:dyDescent="0.25">
      <c r="A325402" s="1"/>
    </row>
    <row r="325403" spans="1:1" x14ac:dyDescent="0.25">
      <c r="A325403" s="1"/>
    </row>
    <row r="325404" spans="1:1" x14ac:dyDescent="0.25">
      <c r="A325404" s="1"/>
    </row>
    <row r="325405" spans="1:1" x14ac:dyDescent="0.25">
      <c r="A325405" s="1"/>
    </row>
    <row r="325406" spans="1:1" x14ac:dyDescent="0.25">
      <c r="A325406" s="1"/>
    </row>
    <row r="325407" spans="1:1" x14ac:dyDescent="0.25">
      <c r="A325407" s="1"/>
    </row>
    <row r="325408" spans="1:1" x14ac:dyDescent="0.25">
      <c r="A325408" s="1"/>
    </row>
    <row r="325409" spans="1:1" x14ac:dyDescent="0.25">
      <c r="A325409" s="1"/>
    </row>
    <row r="325410" spans="1:1" x14ac:dyDescent="0.25">
      <c r="A325410" s="1"/>
    </row>
    <row r="325411" spans="1:1" x14ac:dyDescent="0.25">
      <c r="A325411" s="1"/>
    </row>
    <row r="325412" spans="1:1" x14ac:dyDescent="0.25">
      <c r="A325412" s="1"/>
    </row>
    <row r="325413" spans="1:1" x14ac:dyDescent="0.25">
      <c r="A325413" s="1"/>
    </row>
    <row r="325414" spans="1:1" x14ac:dyDescent="0.25">
      <c r="A325414" s="1"/>
    </row>
    <row r="325415" spans="1:1" x14ac:dyDescent="0.25">
      <c r="A325415" s="1"/>
    </row>
    <row r="325416" spans="1:1" x14ac:dyDescent="0.25">
      <c r="A325416" s="1"/>
    </row>
    <row r="325417" spans="1:1" x14ac:dyDescent="0.25">
      <c r="A325417" s="1"/>
    </row>
    <row r="325418" spans="1:1" x14ac:dyDescent="0.25">
      <c r="A325418" s="1"/>
    </row>
    <row r="325419" spans="1:1" x14ac:dyDescent="0.25">
      <c r="A325419" s="1"/>
    </row>
    <row r="325420" spans="1:1" x14ac:dyDescent="0.25">
      <c r="A325420" s="1"/>
    </row>
    <row r="325421" spans="1:1" x14ac:dyDescent="0.25">
      <c r="A325421" s="1"/>
    </row>
    <row r="325422" spans="1:1" x14ac:dyDescent="0.25">
      <c r="A325422" s="1"/>
    </row>
    <row r="325423" spans="1:1" x14ac:dyDescent="0.25">
      <c r="A325423" s="1"/>
    </row>
    <row r="325424" spans="1:1" x14ac:dyDescent="0.25">
      <c r="A325424" s="1"/>
    </row>
    <row r="325425" spans="1:1" x14ac:dyDescent="0.25">
      <c r="A325425" s="1"/>
    </row>
    <row r="325426" spans="1:1" x14ac:dyDescent="0.25">
      <c r="A325426" s="1"/>
    </row>
    <row r="325427" spans="1:1" x14ac:dyDescent="0.25">
      <c r="A325427" s="1"/>
    </row>
    <row r="325428" spans="1:1" x14ac:dyDescent="0.25">
      <c r="A325428" s="1"/>
    </row>
    <row r="325429" spans="1:1" x14ac:dyDescent="0.25">
      <c r="A325429" s="1"/>
    </row>
    <row r="325430" spans="1:1" x14ac:dyDescent="0.25">
      <c r="A325430" s="1"/>
    </row>
    <row r="325431" spans="1:1" x14ac:dyDescent="0.25">
      <c r="A325431" s="1"/>
    </row>
    <row r="325432" spans="1:1" x14ac:dyDescent="0.25">
      <c r="A325432" s="1"/>
    </row>
    <row r="325433" spans="1:1" x14ac:dyDescent="0.25">
      <c r="A325433" s="1"/>
    </row>
    <row r="325434" spans="1:1" x14ac:dyDescent="0.25">
      <c r="A325434" s="1"/>
    </row>
    <row r="325435" spans="1:1" x14ac:dyDescent="0.25">
      <c r="A325435" s="1"/>
    </row>
    <row r="325436" spans="1:1" x14ac:dyDescent="0.25">
      <c r="A325436" s="1"/>
    </row>
    <row r="325437" spans="1:1" x14ac:dyDescent="0.25">
      <c r="A325437" s="1"/>
    </row>
    <row r="325438" spans="1:1" x14ac:dyDescent="0.25">
      <c r="A325438" s="1"/>
    </row>
    <row r="325439" spans="1:1" x14ac:dyDescent="0.25">
      <c r="A325439" s="1"/>
    </row>
    <row r="325440" spans="1:1" x14ac:dyDescent="0.25">
      <c r="A325440" s="1"/>
    </row>
    <row r="325441" spans="1:1" x14ac:dyDescent="0.25">
      <c r="A325441" s="1"/>
    </row>
    <row r="325442" spans="1:1" x14ac:dyDescent="0.25">
      <c r="A325442" s="1"/>
    </row>
    <row r="325443" spans="1:1" x14ac:dyDescent="0.25">
      <c r="A325443" s="1"/>
    </row>
    <row r="325444" spans="1:1" x14ac:dyDescent="0.25">
      <c r="A325444" s="1"/>
    </row>
    <row r="325445" spans="1:1" x14ac:dyDescent="0.25">
      <c r="A325445" s="1"/>
    </row>
    <row r="325446" spans="1:1" x14ac:dyDescent="0.25">
      <c r="A325446" s="1"/>
    </row>
    <row r="325447" spans="1:1" x14ac:dyDescent="0.25">
      <c r="A325447" s="1"/>
    </row>
    <row r="325448" spans="1:1" x14ac:dyDescent="0.25">
      <c r="A325448" s="1"/>
    </row>
    <row r="325449" spans="1:1" x14ac:dyDescent="0.25">
      <c r="A325449" s="1"/>
    </row>
    <row r="325450" spans="1:1" x14ac:dyDescent="0.25">
      <c r="A325450" s="1"/>
    </row>
    <row r="325451" spans="1:1" x14ac:dyDescent="0.25">
      <c r="A325451" s="1"/>
    </row>
    <row r="325452" spans="1:1" x14ac:dyDescent="0.25">
      <c r="A325452" s="1"/>
    </row>
    <row r="325453" spans="1:1" x14ac:dyDescent="0.25">
      <c r="A325453" s="1"/>
    </row>
    <row r="325454" spans="1:1" x14ac:dyDescent="0.25">
      <c r="A325454" s="1"/>
    </row>
    <row r="325455" spans="1:1" x14ac:dyDescent="0.25">
      <c r="A325455" s="1"/>
    </row>
    <row r="325456" spans="1:1" x14ac:dyDescent="0.25">
      <c r="A325456" s="1"/>
    </row>
    <row r="325457" spans="1:1" x14ac:dyDescent="0.25">
      <c r="A325457" s="1"/>
    </row>
    <row r="325458" spans="1:1" x14ac:dyDescent="0.25">
      <c r="A325458" s="1"/>
    </row>
    <row r="325459" spans="1:1" x14ac:dyDescent="0.25">
      <c r="A325459" s="1"/>
    </row>
    <row r="325460" spans="1:1" x14ac:dyDescent="0.25">
      <c r="A325460" s="1"/>
    </row>
    <row r="325461" spans="1:1" x14ac:dyDescent="0.25">
      <c r="A325461" s="1"/>
    </row>
    <row r="325462" spans="1:1" x14ac:dyDescent="0.25">
      <c r="A325462" s="1"/>
    </row>
    <row r="325463" spans="1:1" x14ac:dyDescent="0.25">
      <c r="A325463" s="1"/>
    </row>
    <row r="325464" spans="1:1" x14ac:dyDescent="0.25">
      <c r="A325464" s="1"/>
    </row>
    <row r="325465" spans="1:1" x14ac:dyDescent="0.25">
      <c r="A325465" s="1"/>
    </row>
    <row r="325466" spans="1:1" x14ac:dyDescent="0.25">
      <c r="A325466" s="1"/>
    </row>
    <row r="325467" spans="1:1" x14ac:dyDescent="0.25">
      <c r="A325467" s="1"/>
    </row>
    <row r="325468" spans="1:1" x14ac:dyDescent="0.25">
      <c r="A325468" s="1"/>
    </row>
    <row r="325469" spans="1:1" x14ac:dyDescent="0.25">
      <c r="A325469" s="1"/>
    </row>
    <row r="325470" spans="1:1" x14ac:dyDescent="0.25">
      <c r="A325470" s="1"/>
    </row>
    <row r="325471" spans="1:1" x14ac:dyDescent="0.25">
      <c r="A325471" s="1"/>
    </row>
    <row r="325472" spans="1:1" x14ac:dyDescent="0.25">
      <c r="A325472" s="1"/>
    </row>
    <row r="325473" spans="1:1" x14ac:dyDescent="0.25">
      <c r="A325473" s="1"/>
    </row>
    <row r="325474" spans="1:1" x14ac:dyDescent="0.25">
      <c r="A325474" s="1"/>
    </row>
    <row r="325475" spans="1:1" x14ac:dyDescent="0.25">
      <c r="A325475" s="1"/>
    </row>
    <row r="325476" spans="1:1" x14ac:dyDescent="0.25">
      <c r="A325476" s="1"/>
    </row>
    <row r="325477" spans="1:1" x14ac:dyDescent="0.25">
      <c r="A325477" s="1"/>
    </row>
    <row r="325478" spans="1:1" x14ac:dyDescent="0.25">
      <c r="A325478" s="1"/>
    </row>
    <row r="325479" spans="1:1" x14ac:dyDescent="0.25">
      <c r="A325479" s="1"/>
    </row>
    <row r="325480" spans="1:1" x14ac:dyDescent="0.25">
      <c r="A325480" s="1"/>
    </row>
    <row r="325481" spans="1:1" x14ac:dyDescent="0.25">
      <c r="A325481" s="1"/>
    </row>
    <row r="325482" spans="1:1" x14ac:dyDescent="0.25">
      <c r="A325482" s="1"/>
    </row>
    <row r="325483" spans="1:1" x14ac:dyDescent="0.25">
      <c r="A325483" s="1"/>
    </row>
    <row r="325484" spans="1:1" x14ac:dyDescent="0.25">
      <c r="A325484" s="1"/>
    </row>
    <row r="325485" spans="1:1" x14ac:dyDescent="0.25">
      <c r="A325485" s="1"/>
    </row>
    <row r="325486" spans="1:1" x14ac:dyDescent="0.25">
      <c r="A325486" s="1"/>
    </row>
    <row r="325487" spans="1:1" x14ac:dyDescent="0.25">
      <c r="A325487" s="1"/>
    </row>
    <row r="325488" spans="1:1" x14ac:dyDescent="0.25">
      <c r="A325488" s="1"/>
    </row>
    <row r="325489" spans="1:1" x14ac:dyDescent="0.25">
      <c r="A325489" s="1"/>
    </row>
    <row r="325490" spans="1:1" x14ac:dyDescent="0.25">
      <c r="A325490" s="1"/>
    </row>
    <row r="325491" spans="1:1" x14ac:dyDescent="0.25">
      <c r="A325491" s="1"/>
    </row>
    <row r="325492" spans="1:1" x14ac:dyDescent="0.25">
      <c r="A325492" s="1"/>
    </row>
    <row r="325493" spans="1:1" x14ac:dyDescent="0.25">
      <c r="A325493" s="1"/>
    </row>
    <row r="325494" spans="1:1" x14ac:dyDescent="0.25">
      <c r="A325494" s="1"/>
    </row>
    <row r="325495" spans="1:1" x14ac:dyDescent="0.25">
      <c r="A325495" s="1"/>
    </row>
    <row r="325496" spans="1:1" x14ac:dyDescent="0.25">
      <c r="A325496" s="1"/>
    </row>
    <row r="325497" spans="1:1" x14ac:dyDescent="0.25">
      <c r="A325497" s="1"/>
    </row>
    <row r="325498" spans="1:1" x14ac:dyDescent="0.25">
      <c r="A325498" s="1"/>
    </row>
    <row r="325499" spans="1:1" x14ac:dyDescent="0.25">
      <c r="A325499" s="1"/>
    </row>
    <row r="325500" spans="1:1" x14ac:dyDescent="0.25">
      <c r="A325500" s="1"/>
    </row>
    <row r="325501" spans="1:1" x14ac:dyDescent="0.25">
      <c r="A325501" s="1"/>
    </row>
    <row r="325502" spans="1:1" x14ac:dyDescent="0.25">
      <c r="A325502" s="1"/>
    </row>
    <row r="325503" spans="1:1" x14ac:dyDescent="0.25">
      <c r="A325503" s="1"/>
    </row>
    <row r="325504" spans="1:1" x14ac:dyDescent="0.25">
      <c r="A325504" s="1"/>
    </row>
    <row r="325505" spans="1:1" x14ac:dyDescent="0.25">
      <c r="A325505" s="1"/>
    </row>
    <row r="325506" spans="1:1" x14ac:dyDescent="0.25">
      <c r="A325506" s="1"/>
    </row>
    <row r="325507" spans="1:1" x14ac:dyDescent="0.25">
      <c r="A325507" s="1"/>
    </row>
    <row r="325508" spans="1:1" x14ac:dyDescent="0.25">
      <c r="A325508" s="1"/>
    </row>
    <row r="325509" spans="1:1" x14ac:dyDescent="0.25">
      <c r="A325509" s="1"/>
    </row>
    <row r="325510" spans="1:1" x14ac:dyDescent="0.25">
      <c r="A325510" s="1"/>
    </row>
    <row r="325511" spans="1:1" x14ac:dyDescent="0.25">
      <c r="A325511" s="1"/>
    </row>
    <row r="325512" spans="1:1" x14ac:dyDescent="0.25">
      <c r="A325512" s="1"/>
    </row>
    <row r="325513" spans="1:1" x14ac:dyDescent="0.25">
      <c r="A325513" s="1"/>
    </row>
    <row r="325514" spans="1:1" x14ac:dyDescent="0.25">
      <c r="A325514" s="1"/>
    </row>
    <row r="325515" spans="1:1" x14ac:dyDescent="0.25">
      <c r="A325515" s="1"/>
    </row>
    <row r="325516" spans="1:1" x14ac:dyDescent="0.25">
      <c r="A325516" s="1"/>
    </row>
    <row r="325517" spans="1:1" x14ac:dyDescent="0.25">
      <c r="A325517" s="1"/>
    </row>
    <row r="325518" spans="1:1" x14ac:dyDescent="0.25">
      <c r="A325518" s="1"/>
    </row>
    <row r="325519" spans="1:1" x14ac:dyDescent="0.25">
      <c r="A325519" s="1"/>
    </row>
    <row r="325520" spans="1:1" x14ac:dyDescent="0.25">
      <c r="A325520" s="1"/>
    </row>
    <row r="325521" spans="1:1" x14ac:dyDescent="0.25">
      <c r="A325521" s="1"/>
    </row>
    <row r="325522" spans="1:1" x14ac:dyDescent="0.25">
      <c r="A325522" s="1"/>
    </row>
    <row r="325523" spans="1:1" x14ac:dyDescent="0.25">
      <c r="A325523" s="1"/>
    </row>
    <row r="325524" spans="1:1" x14ac:dyDescent="0.25">
      <c r="A325524" s="1"/>
    </row>
    <row r="325525" spans="1:1" x14ac:dyDescent="0.25">
      <c r="A325525" s="1"/>
    </row>
    <row r="325526" spans="1:1" x14ac:dyDescent="0.25">
      <c r="A325526" s="1"/>
    </row>
    <row r="325527" spans="1:1" x14ac:dyDescent="0.25">
      <c r="A325527" s="1"/>
    </row>
    <row r="325528" spans="1:1" x14ac:dyDescent="0.25">
      <c r="A325528" s="1"/>
    </row>
    <row r="325529" spans="1:1" x14ac:dyDescent="0.25">
      <c r="A325529" s="1"/>
    </row>
    <row r="325530" spans="1:1" x14ac:dyDescent="0.25">
      <c r="A325530" s="1"/>
    </row>
    <row r="325531" spans="1:1" x14ac:dyDescent="0.25">
      <c r="A325531" s="1"/>
    </row>
    <row r="325532" spans="1:1" x14ac:dyDescent="0.25">
      <c r="A325532" s="1"/>
    </row>
    <row r="325533" spans="1:1" x14ac:dyDescent="0.25">
      <c r="A325533" s="1"/>
    </row>
    <row r="325534" spans="1:1" x14ac:dyDescent="0.25">
      <c r="A325534" s="1"/>
    </row>
    <row r="325535" spans="1:1" x14ac:dyDescent="0.25">
      <c r="A325535" s="1"/>
    </row>
    <row r="325536" spans="1:1" x14ac:dyDescent="0.25">
      <c r="A325536" s="1"/>
    </row>
    <row r="325537" spans="1:1" x14ac:dyDescent="0.25">
      <c r="A325537" s="1"/>
    </row>
    <row r="325538" spans="1:1" x14ac:dyDescent="0.25">
      <c r="A325538" s="1"/>
    </row>
    <row r="325539" spans="1:1" x14ac:dyDescent="0.25">
      <c r="A325539" s="1"/>
    </row>
    <row r="325540" spans="1:1" x14ac:dyDescent="0.25">
      <c r="A325540" s="1"/>
    </row>
    <row r="325541" spans="1:1" x14ac:dyDescent="0.25">
      <c r="A325541" s="1"/>
    </row>
    <row r="325542" spans="1:1" x14ac:dyDescent="0.25">
      <c r="A325542" s="1"/>
    </row>
    <row r="325543" spans="1:1" x14ac:dyDescent="0.25">
      <c r="A325543" s="1"/>
    </row>
    <row r="325544" spans="1:1" x14ac:dyDescent="0.25">
      <c r="A325544" s="1"/>
    </row>
    <row r="325545" spans="1:1" x14ac:dyDescent="0.25">
      <c r="A325545" s="1"/>
    </row>
    <row r="325546" spans="1:1" x14ac:dyDescent="0.25">
      <c r="A325546" s="1"/>
    </row>
    <row r="325547" spans="1:1" x14ac:dyDescent="0.25">
      <c r="A325547" s="1"/>
    </row>
    <row r="325548" spans="1:1" x14ac:dyDescent="0.25">
      <c r="A325548" s="1"/>
    </row>
    <row r="325549" spans="1:1" x14ac:dyDescent="0.25">
      <c r="A325549" s="1"/>
    </row>
    <row r="325550" spans="1:1" x14ac:dyDescent="0.25">
      <c r="A325550" s="1"/>
    </row>
    <row r="325551" spans="1:1" x14ac:dyDescent="0.25">
      <c r="A325551" s="1"/>
    </row>
    <row r="325552" spans="1:1" x14ac:dyDescent="0.25">
      <c r="A325552" s="1"/>
    </row>
    <row r="325553" spans="1:1" x14ac:dyDescent="0.25">
      <c r="A325553" s="1"/>
    </row>
    <row r="325554" spans="1:1" x14ac:dyDescent="0.25">
      <c r="A325554" s="1"/>
    </row>
    <row r="325555" spans="1:1" x14ac:dyDescent="0.25">
      <c r="A325555" s="1"/>
    </row>
    <row r="325556" spans="1:1" x14ac:dyDescent="0.25">
      <c r="A325556" s="1"/>
    </row>
    <row r="325557" spans="1:1" x14ac:dyDescent="0.25">
      <c r="A325557" s="1"/>
    </row>
    <row r="325558" spans="1:1" x14ac:dyDescent="0.25">
      <c r="A325558" s="1"/>
    </row>
    <row r="325559" spans="1:1" x14ac:dyDescent="0.25">
      <c r="A325559" s="1"/>
    </row>
    <row r="325560" spans="1:1" x14ac:dyDescent="0.25">
      <c r="A325560" s="1"/>
    </row>
    <row r="325561" spans="1:1" x14ac:dyDescent="0.25">
      <c r="A325561" s="1"/>
    </row>
    <row r="325562" spans="1:1" x14ac:dyDescent="0.25">
      <c r="A325562" s="1"/>
    </row>
    <row r="325563" spans="1:1" x14ac:dyDescent="0.25">
      <c r="A325563" s="1"/>
    </row>
    <row r="325564" spans="1:1" x14ac:dyDescent="0.25">
      <c r="A325564" s="1"/>
    </row>
    <row r="325565" spans="1:1" x14ac:dyDescent="0.25">
      <c r="A325565" s="1"/>
    </row>
    <row r="325566" spans="1:1" x14ac:dyDescent="0.25">
      <c r="A325566" s="1"/>
    </row>
    <row r="325567" spans="1:1" x14ac:dyDescent="0.25">
      <c r="A325567" s="1"/>
    </row>
    <row r="325568" spans="1:1" x14ac:dyDescent="0.25">
      <c r="A325568" s="1"/>
    </row>
    <row r="325569" spans="1:1" x14ac:dyDescent="0.25">
      <c r="A325569" s="1"/>
    </row>
    <row r="325570" spans="1:1" x14ac:dyDescent="0.25">
      <c r="A325570" s="1"/>
    </row>
    <row r="325571" spans="1:1" x14ac:dyDescent="0.25">
      <c r="A325571" s="1"/>
    </row>
    <row r="325572" spans="1:1" x14ac:dyDescent="0.25">
      <c r="A325572" s="1"/>
    </row>
    <row r="325573" spans="1:1" x14ac:dyDescent="0.25">
      <c r="A325573" s="1"/>
    </row>
    <row r="325574" spans="1:1" x14ac:dyDescent="0.25">
      <c r="A325574" s="1"/>
    </row>
    <row r="325575" spans="1:1" x14ac:dyDescent="0.25">
      <c r="A325575" s="1"/>
    </row>
    <row r="325576" spans="1:1" x14ac:dyDescent="0.25">
      <c r="A325576" s="1"/>
    </row>
    <row r="325577" spans="1:1" x14ac:dyDescent="0.25">
      <c r="A325577" s="1"/>
    </row>
    <row r="325578" spans="1:1" x14ac:dyDescent="0.25">
      <c r="A325578" s="1"/>
    </row>
    <row r="325579" spans="1:1" x14ac:dyDescent="0.25">
      <c r="A325579" s="1"/>
    </row>
    <row r="325580" spans="1:1" x14ac:dyDescent="0.25">
      <c r="A325580" s="1"/>
    </row>
    <row r="325581" spans="1:1" x14ac:dyDescent="0.25">
      <c r="A325581" s="1"/>
    </row>
    <row r="325582" spans="1:1" x14ac:dyDescent="0.25">
      <c r="A325582" s="1"/>
    </row>
    <row r="325583" spans="1:1" x14ac:dyDescent="0.25">
      <c r="A325583" s="1"/>
    </row>
    <row r="325584" spans="1:1" x14ac:dyDescent="0.25">
      <c r="A325584" s="1"/>
    </row>
    <row r="325585" spans="1:1" x14ac:dyDescent="0.25">
      <c r="A325585" s="1"/>
    </row>
    <row r="325586" spans="1:1" x14ac:dyDescent="0.25">
      <c r="A325586" s="1"/>
    </row>
    <row r="325587" spans="1:1" x14ac:dyDescent="0.25">
      <c r="A325587" s="1"/>
    </row>
    <row r="325588" spans="1:1" x14ac:dyDescent="0.25">
      <c r="A325588" s="1"/>
    </row>
    <row r="325589" spans="1:1" x14ac:dyDescent="0.25">
      <c r="A325589" s="1"/>
    </row>
    <row r="325590" spans="1:1" x14ac:dyDescent="0.25">
      <c r="A325590" s="1"/>
    </row>
    <row r="325591" spans="1:1" x14ac:dyDescent="0.25">
      <c r="A325591" s="1"/>
    </row>
    <row r="325592" spans="1:1" x14ac:dyDescent="0.25">
      <c r="A325592" s="1"/>
    </row>
    <row r="325593" spans="1:1" x14ac:dyDescent="0.25">
      <c r="A325593" s="1"/>
    </row>
    <row r="325594" spans="1:1" x14ac:dyDescent="0.25">
      <c r="A325594" s="1"/>
    </row>
    <row r="325595" spans="1:1" x14ac:dyDescent="0.25">
      <c r="A325595" s="1"/>
    </row>
    <row r="325596" spans="1:1" x14ac:dyDescent="0.25">
      <c r="A325596" s="1"/>
    </row>
    <row r="325597" spans="1:1" x14ac:dyDescent="0.25">
      <c r="A325597" s="1"/>
    </row>
    <row r="325598" spans="1:1" x14ac:dyDescent="0.25">
      <c r="A325598" s="1"/>
    </row>
    <row r="325599" spans="1:1" x14ac:dyDescent="0.25">
      <c r="A325599" s="1"/>
    </row>
    <row r="325600" spans="1:1" x14ac:dyDescent="0.25">
      <c r="A325600" s="1"/>
    </row>
    <row r="325601" spans="1:1" x14ac:dyDescent="0.25">
      <c r="A325601" s="1"/>
    </row>
    <row r="325602" spans="1:1" x14ac:dyDescent="0.25">
      <c r="A325602" s="1"/>
    </row>
    <row r="325603" spans="1:1" x14ac:dyDescent="0.25">
      <c r="A325603" s="1"/>
    </row>
    <row r="325604" spans="1:1" x14ac:dyDescent="0.25">
      <c r="A325604" s="1"/>
    </row>
    <row r="325605" spans="1:1" x14ac:dyDescent="0.25">
      <c r="A325605" s="1"/>
    </row>
    <row r="325606" spans="1:1" x14ac:dyDescent="0.25">
      <c r="A325606" s="1"/>
    </row>
    <row r="325607" spans="1:1" x14ac:dyDescent="0.25">
      <c r="A325607" s="1"/>
    </row>
    <row r="325608" spans="1:1" x14ac:dyDescent="0.25">
      <c r="A325608" s="1"/>
    </row>
    <row r="325609" spans="1:1" x14ac:dyDescent="0.25">
      <c r="A325609" s="1"/>
    </row>
    <row r="325610" spans="1:1" x14ac:dyDescent="0.25">
      <c r="A325610" s="1"/>
    </row>
    <row r="325611" spans="1:1" x14ac:dyDescent="0.25">
      <c r="A325611" s="1"/>
    </row>
    <row r="325612" spans="1:1" x14ac:dyDescent="0.25">
      <c r="A325612" s="1"/>
    </row>
    <row r="325613" spans="1:1" x14ac:dyDescent="0.25">
      <c r="A325613" s="1"/>
    </row>
    <row r="325614" spans="1:1" x14ac:dyDescent="0.25">
      <c r="A325614" s="1"/>
    </row>
    <row r="325615" spans="1:1" x14ac:dyDescent="0.25">
      <c r="A325615" s="1"/>
    </row>
    <row r="325616" spans="1:1" x14ac:dyDescent="0.25">
      <c r="A325616" s="1"/>
    </row>
    <row r="325617" spans="1:1" x14ac:dyDescent="0.25">
      <c r="A325617" s="1"/>
    </row>
    <row r="325618" spans="1:1" x14ac:dyDescent="0.25">
      <c r="A325618" s="1"/>
    </row>
    <row r="325619" spans="1:1" x14ac:dyDescent="0.25">
      <c r="A325619" s="1"/>
    </row>
    <row r="325620" spans="1:1" x14ac:dyDescent="0.25">
      <c r="A325620" s="1"/>
    </row>
    <row r="325621" spans="1:1" x14ac:dyDescent="0.25">
      <c r="A325621" s="1"/>
    </row>
    <row r="325622" spans="1:1" x14ac:dyDescent="0.25">
      <c r="A325622" s="1"/>
    </row>
    <row r="325623" spans="1:1" x14ac:dyDescent="0.25">
      <c r="A325623" s="1"/>
    </row>
    <row r="325624" spans="1:1" x14ac:dyDescent="0.25">
      <c r="A325624" s="1"/>
    </row>
    <row r="325625" spans="1:1" x14ac:dyDescent="0.25">
      <c r="A325625" s="1"/>
    </row>
    <row r="325626" spans="1:1" x14ac:dyDescent="0.25">
      <c r="A325626" s="1"/>
    </row>
    <row r="325627" spans="1:1" x14ac:dyDescent="0.25">
      <c r="A325627" s="1"/>
    </row>
    <row r="325628" spans="1:1" x14ac:dyDescent="0.25">
      <c r="A325628" s="1"/>
    </row>
    <row r="325629" spans="1:1" x14ac:dyDescent="0.25">
      <c r="A325629" s="1"/>
    </row>
    <row r="325630" spans="1:1" x14ac:dyDescent="0.25">
      <c r="A325630" s="1"/>
    </row>
    <row r="325631" spans="1:1" x14ac:dyDescent="0.25">
      <c r="A325631" s="1"/>
    </row>
    <row r="325632" spans="1:1" x14ac:dyDescent="0.25">
      <c r="A325632" s="1"/>
    </row>
    <row r="325633" spans="1:1" x14ac:dyDescent="0.25">
      <c r="A325633" s="1"/>
    </row>
    <row r="325634" spans="1:1" x14ac:dyDescent="0.25">
      <c r="A325634" s="1"/>
    </row>
    <row r="325635" spans="1:1" x14ac:dyDescent="0.25">
      <c r="A325635" s="1"/>
    </row>
    <row r="325636" spans="1:1" x14ac:dyDescent="0.25">
      <c r="A325636" s="1"/>
    </row>
    <row r="325637" spans="1:1" x14ac:dyDescent="0.25">
      <c r="A325637" s="1"/>
    </row>
    <row r="325638" spans="1:1" x14ac:dyDescent="0.25">
      <c r="A325638" s="1"/>
    </row>
    <row r="325639" spans="1:1" x14ac:dyDescent="0.25">
      <c r="A325639" s="1"/>
    </row>
    <row r="325640" spans="1:1" x14ac:dyDescent="0.25">
      <c r="A325640" s="1"/>
    </row>
    <row r="325641" spans="1:1" x14ac:dyDescent="0.25">
      <c r="A325641" s="1"/>
    </row>
    <row r="325642" spans="1:1" x14ac:dyDescent="0.25">
      <c r="A325642" s="1"/>
    </row>
    <row r="325643" spans="1:1" x14ac:dyDescent="0.25">
      <c r="A325643" s="1"/>
    </row>
    <row r="325644" spans="1:1" x14ac:dyDescent="0.25">
      <c r="A325644" s="1"/>
    </row>
    <row r="325645" spans="1:1" x14ac:dyDescent="0.25">
      <c r="A325645" s="1"/>
    </row>
    <row r="325646" spans="1:1" x14ac:dyDescent="0.25">
      <c r="A325646" s="1"/>
    </row>
    <row r="325647" spans="1:1" x14ac:dyDescent="0.25">
      <c r="A325647" s="1"/>
    </row>
    <row r="325648" spans="1:1" x14ac:dyDescent="0.25">
      <c r="A325648" s="1"/>
    </row>
    <row r="325649" spans="1:1" x14ac:dyDescent="0.25">
      <c r="A325649" s="1"/>
    </row>
    <row r="325650" spans="1:1" x14ac:dyDescent="0.25">
      <c r="A325650" s="1"/>
    </row>
    <row r="325651" spans="1:1" x14ac:dyDescent="0.25">
      <c r="A325651" s="1"/>
    </row>
    <row r="325652" spans="1:1" x14ac:dyDescent="0.25">
      <c r="A325652" s="1"/>
    </row>
    <row r="325653" spans="1:1" x14ac:dyDescent="0.25">
      <c r="A325653" s="1"/>
    </row>
    <row r="325654" spans="1:1" x14ac:dyDescent="0.25">
      <c r="A325654" s="1"/>
    </row>
    <row r="325655" spans="1:1" x14ac:dyDescent="0.25">
      <c r="A325655" s="1"/>
    </row>
    <row r="325656" spans="1:1" x14ac:dyDescent="0.25">
      <c r="A325656" s="1"/>
    </row>
    <row r="325657" spans="1:1" x14ac:dyDescent="0.25">
      <c r="A325657" s="1"/>
    </row>
    <row r="325658" spans="1:1" x14ac:dyDescent="0.25">
      <c r="A325658" s="1"/>
    </row>
    <row r="325659" spans="1:1" x14ac:dyDescent="0.25">
      <c r="A325659" s="1"/>
    </row>
    <row r="325660" spans="1:1" x14ac:dyDescent="0.25">
      <c r="A325660" s="1"/>
    </row>
    <row r="325661" spans="1:1" x14ac:dyDescent="0.25">
      <c r="A325661" s="1"/>
    </row>
    <row r="325662" spans="1:1" x14ac:dyDescent="0.25">
      <c r="A325662" s="1"/>
    </row>
    <row r="325663" spans="1:1" x14ac:dyDescent="0.25">
      <c r="A325663" s="1"/>
    </row>
    <row r="325664" spans="1:1" x14ac:dyDescent="0.25">
      <c r="A325664" s="1"/>
    </row>
    <row r="325665" spans="1:1" x14ac:dyDescent="0.25">
      <c r="A325665" s="1"/>
    </row>
    <row r="325666" spans="1:1" x14ac:dyDescent="0.25">
      <c r="A325666" s="1"/>
    </row>
    <row r="325667" spans="1:1" x14ac:dyDescent="0.25">
      <c r="A325667" s="1"/>
    </row>
    <row r="325668" spans="1:1" x14ac:dyDescent="0.25">
      <c r="A325668" s="1"/>
    </row>
    <row r="325669" spans="1:1" x14ac:dyDescent="0.25">
      <c r="A325669" s="1"/>
    </row>
    <row r="325670" spans="1:1" x14ac:dyDescent="0.25">
      <c r="A325670" s="1"/>
    </row>
    <row r="325671" spans="1:1" x14ac:dyDescent="0.25">
      <c r="A325671" s="1"/>
    </row>
    <row r="325672" spans="1:1" x14ac:dyDescent="0.25">
      <c r="A325672" s="1"/>
    </row>
    <row r="325673" spans="1:1" x14ac:dyDescent="0.25">
      <c r="A325673" s="1"/>
    </row>
    <row r="325674" spans="1:1" x14ac:dyDescent="0.25">
      <c r="A325674" s="1"/>
    </row>
    <row r="325675" spans="1:1" x14ac:dyDescent="0.25">
      <c r="A325675" s="1"/>
    </row>
    <row r="325676" spans="1:1" x14ac:dyDescent="0.25">
      <c r="A325676" s="1"/>
    </row>
    <row r="325677" spans="1:1" x14ac:dyDescent="0.25">
      <c r="A325677" s="1"/>
    </row>
    <row r="325678" spans="1:1" x14ac:dyDescent="0.25">
      <c r="A325678" s="1"/>
    </row>
    <row r="325679" spans="1:1" x14ac:dyDescent="0.25">
      <c r="A325679" s="1"/>
    </row>
    <row r="325680" spans="1:1" x14ac:dyDescent="0.25">
      <c r="A325680" s="1"/>
    </row>
    <row r="325681" spans="1:1" x14ac:dyDescent="0.25">
      <c r="A325681" s="1"/>
    </row>
    <row r="325682" spans="1:1" x14ac:dyDescent="0.25">
      <c r="A325682" s="1"/>
    </row>
    <row r="325683" spans="1:1" x14ac:dyDescent="0.25">
      <c r="A325683" s="1"/>
    </row>
    <row r="325684" spans="1:1" x14ac:dyDescent="0.25">
      <c r="A325684" s="1"/>
    </row>
    <row r="325685" spans="1:1" x14ac:dyDescent="0.25">
      <c r="A325685" s="1"/>
    </row>
    <row r="325686" spans="1:1" x14ac:dyDescent="0.25">
      <c r="A325686" s="1"/>
    </row>
    <row r="325687" spans="1:1" x14ac:dyDescent="0.25">
      <c r="A325687" s="1"/>
    </row>
    <row r="325688" spans="1:1" x14ac:dyDescent="0.25">
      <c r="A325688" s="1"/>
    </row>
    <row r="325689" spans="1:1" x14ac:dyDescent="0.25">
      <c r="A325689" s="1"/>
    </row>
    <row r="325690" spans="1:1" x14ac:dyDescent="0.25">
      <c r="A325690" s="1"/>
    </row>
    <row r="325691" spans="1:1" x14ac:dyDescent="0.25">
      <c r="A325691" s="1"/>
    </row>
    <row r="325692" spans="1:1" x14ac:dyDescent="0.25">
      <c r="A325692" s="1"/>
    </row>
    <row r="325693" spans="1:1" x14ac:dyDescent="0.25">
      <c r="A325693" s="1"/>
    </row>
    <row r="325694" spans="1:1" x14ac:dyDescent="0.25">
      <c r="A325694" s="1"/>
    </row>
    <row r="325695" spans="1:1" x14ac:dyDescent="0.25">
      <c r="A325695" s="1"/>
    </row>
    <row r="325696" spans="1:1" x14ac:dyDescent="0.25">
      <c r="A325696" s="1"/>
    </row>
    <row r="325697" spans="1:1" x14ac:dyDescent="0.25">
      <c r="A325697" s="1"/>
    </row>
    <row r="325698" spans="1:1" x14ac:dyDescent="0.25">
      <c r="A325698" s="1"/>
    </row>
    <row r="325699" spans="1:1" x14ac:dyDescent="0.25">
      <c r="A325699" s="1"/>
    </row>
    <row r="325700" spans="1:1" x14ac:dyDescent="0.25">
      <c r="A325700" s="1"/>
    </row>
    <row r="325701" spans="1:1" x14ac:dyDescent="0.25">
      <c r="A325701" s="1"/>
    </row>
    <row r="325702" spans="1:1" x14ac:dyDescent="0.25">
      <c r="A325702" s="1"/>
    </row>
    <row r="325703" spans="1:1" x14ac:dyDescent="0.25">
      <c r="A325703" s="1"/>
    </row>
    <row r="325704" spans="1:1" x14ac:dyDescent="0.25">
      <c r="A325704" s="1"/>
    </row>
    <row r="325705" spans="1:1" x14ac:dyDescent="0.25">
      <c r="A325705" s="1"/>
    </row>
    <row r="325706" spans="1:1" x14ac:dyDescent="0.25">
      <c r="A325706" s="1"/>
    </row>
    <row r="325707" spans="1:1" x14ac:dyDescent="0.25">
      <c r="A325707" s="1"/>
    </row>
    <row r="325708" spans="1:1" x14ac:dyDescent="0.25">
      <c r="A325708" s="1"/>
    </row>
    <row r="325709" spans="1:1" x14ac:dyDescent="0.25">
      <c r="A325709" s="1"/>
    </row>
    <row r="325710" spans="1:1" x14ac:dyDescent="0.25">
      <c r="A325710" s="1"/>
    </row>
    <row r="325711" spans="1:1" x14ac:dyDescent="0.25">
      <c r="A325711" s="1"/>
    </row>
    <row r="325712" spans="1:1" x14ac:dyDescent="0.25">
      <c r="A325712" s="1"/>
    </row>
    <row r="325713" spans="1:1" x14ac:dyDescent="0.25">
      <c r="A325713" s="1"/>
    </row>
    <row r="325714" spans="1:1" x14ac:dyDescent="0.25">
      <c r="A325714" s="1"/>
    </row>
    <row r="325715" spans="1:1" x14ac:dyDescent="0.25">
      <c r="A325715" s="1"/>
    </row>
    <row r="325716" spans="1:1" x14ac:dyDescent="0.25">
      <c r="A325716" s="1"/>
    </row>
    <row r="325717" spans="1:1" x14ac:dyDescent="0.25">
      <c r="A325717" s="1"/>
    </row>
    <row r="325718" spans="1:1" x14ac:dyDescent="0.25">
      <c r="A325718" s="1"/>
    </row>
    <row r="325719" spans="1:1" x14ac:dyDescent="0.25">
      <c r="A325719" s="1"/>
    </row>
    <row r="325720" spans="1:1" x14ac:dyDescent="0.25">
      <c r="A325720" s="1"/>
    </row>
    <row r="325721" spans="1:1" x14ac:dyDescent="0.25">
      <c r="A325721" s="1"/>
    </row>
    <row r="325722" spans="1:1" x14ac:dyDescent="0.25">
      <c r="A325722" s="1"/>
    </row>
    <row r="325723" spans="1:1" x14ac:dyDescent="0.25">
      <c r="A325723" s="1"/>
    </row>
    <row r="325724" spans="1:1" x14ac:dyDescent="0.25">
      <c r="A325724" s="1"/>
    </row>
    <row r="325725" spans="1:1" x14ac:dyDescent="0.25">
      <c r="A325725" s="1"/>
    </row>
    <row r="325726" spans="1:1" x14ac:dyDescent="0.25">
      <c r="A325726" s="1"/>
    </row>
    <row r="325727" spans="1:1" x14ac:dyDescent="0.25">
      <c r="A325727" s="1"/>
    </row>
    <row r="325728" spans="1:1" x14ac:dyDescent="0.25">
      <c r="A325728" s="1"/>
    </row>
    <row r="325729" spans="1:1" x14ac:dyDescent="0.25">
      <c r="A325729" s="1"/>
    </row>
    <row r="325730" spans="1:1" x14ac:dyDescent="0.25">
      <c r="A325730" s="1"/>
    </row>
    <row r="325731" spans="1:1" x14ac:dyDescent="0.25">
      <c r="A325731" s="1"/>
    </row>
    <row r="325732" spans="1:1" x14ac:dyDescent="0.25">
      <c r="A325732" s="1"/>
    </row>
    <row r="325733" spans="1:1" x14ac:dyDescent="0.25">
      <c r="A325733" s="1"/>
    </row>
    <row r="325734" spans="1:1" x14ac:dyDescent="0.25">
      <c r="A325734" s="1"/>
    </row>
    <row r="325735" spans="1:1" x14ac:dyDescent="0.25">
      <c r="A325735" s="1"/>
    </row>
    <row r="325736" spans="1:1" x14ac:dyDescent="0.25">
      <c r="A325736" s="1"/>
    </row>
    <row r="325737" spans="1:1" x14ac:dyDescent="0.25">
      <c r="A325737" s="1"/>
    </row>
    <row r="325738" spans="1:1" x14ac:dyDescent="0.25">
      <c r="A325738" s="1"/>
    </row>
    <row r="325739" spans="1:1" x14ac:dyDescent="0.25">
      <c r="A325739" s="1"/>
    </row>
    <row r="325740" spans="1:1" x14ac:dyDescent="0.25">
      <c r="A325740" s="1"/>
    </row>
    <row r="325741" spans="1:1" x14ac:dyDescent="0.25">
      <c r="A325741" s="1"/>
    </row>
    <row r="325742" spans="1:1" x14ac:dyDescent="0.25">
      <c r="A325742" s="1"/>
    </row>
    <row r="325743" spans="1:1" x14ac:dyDescent="0.25">
      <c r="A325743" s="1"/>
    </row>
    <row r="325744" spans="1:1" x14ac:dyDescent="0.25">
      <c r="A325744" s="1"/>
    </row>
    <row r="325745" spans="1:1" x14ac:dyDescent="0.25">
      <c r="A325745" s="1"/>
    </row>
    <row r="325746" spans="1:1" x14ac:dyDescent="0.25">
      <c r="A325746" s="1"/>
    </row>
    <row r="325747" spans="1:1" x14ac:dyDescent="0.25">
      <c r="A325747" s="1"/>
    </row>
    <row r="325748" spans="1:1" x14ac:dyDescent="0.25">
      <c r="A325748" s="1"/>
    </row>
    <row r="325749" spans="1:1" x14ac:dyDescent="0.25">
      <c r="A325749" s="1"/>
    </row>
    <row r="325750" spans="1:1" x14ac:dyDescent="0.25">
      <c r="A325750" s="1"/>
    </row>
    <row r="325751" spans="1:1" x14ac:dyDescent="0.25">
      <c r="A325751" s="1"/>
    </row>
    <row r="325752" spans="1:1" x14ac:dyDescent="0.25">
      <c r="A325752" s="1"/>
    </row>
    <row r="325753" spans="1:1" x14ac:dyDescent="0.25">
      <c r="A325753" s="1"/>
    </row>
    <row r="325754" spans="1:1" x14ac:dyDescent="0.25">
      <c r="A325754" s="1"/>
    </row>
    <row r="325755" spans="1:1" x14ac:dyDescent="0.25">
      <c r="A325755" s="1"/>
    </row>
    <row r="325756" spans="1:1" x14ac:dyDescent="0.25">
      <c r="A325756" s="1"/>
    </row>
    <row r="325757" spans="1:1" x14ac:dyDescent="0.25">
      <c r="A325757" s="1"/>
    </row>
    <row r="325758" spans="1:1" x14ac:dyDescent="0.25">
      <c r="A325758" s="1"/>
    </row>
    <row r="325759" spans="1:1" x14ac:dyDescent="0.25">
      <c r="A325759" s="1"/>
    </row>
    <row r="325760" spans="1:1" x14ac:dyDescent="0.25">
      <c r="A325760" s="1"/>
    </row>
    <row r="325761" spans="1:1" x14ac:dyDescent="0.25">
      <c r="A325761" s="1"/>
    </row>
    <row r="325762" spans="1:1" x14ac:dyDescent="0.25">
      <c r="A325762" s="1"/>
    </row>
    <row r="325763" spans="1:1" x14ac:dyDescent="0.25">
      <c r="A325763" s="1"/>
    </row>
    <row r="325764" spans="1:1" x14ac:dyDescent="0.25">
      <c r="A325764" s="1"/>
    </row>
    <row r="325765" spans="1:1" x14ac:dyDescent="0.25">
      <c r="A325765" s="1"/>
    </row>
    <row r="325766" spans="1:1" x14ac:dyDescent="0.25">
      <c r="A325766" s="1"/>
    </row>
    <row r="325767" spans="1:1" x14ac:dyDescent="0.25">
      <c r="A325767" s="1"/>
    </row>
    <row r="325768" spans="1:1" x14ac:dyDescent="0.25">
      <c r="A325768" s="1"/>
    </row>
    <row r="325769" spans="1:1" x14ac:dyDescent="0.25">
      <c r="A325769" s="1"/>
    </row>
    <row r="325770" spans="1:1" x14ac:dyDescent="0.25">
      <c r="A325770" s="1"/>
    </row>
    <row r="325771" spans="1:1" x14ac:dyDescent="0.25">
      <c r="A325771" s="1"/>
    </row>
    <row r="325772" spans="1:1" x14ac:dyDescent="0.25">
      <c r="A325772" s="1"/>
    </row>
    <row r="325773" spans="1:1" x14ac:dyDescent="0.25">
      <c r="A325773" s="1"/>
    </row>
    <row r="325774" spans="1:1" x14ac:dyDescent="0.25">
      <c r="A325774" s="1"/>
    </row>
    <row r="325775" spans="1:1" x14ac:dyDescent="0.25">
      <c r="A325775" s="1"/>
    </row>
    <row r="325776" spans="1:1" x14ac:dyDescent="0.25">
      <c r="A325776" s="1"/>
    </row>
    <row r="325777" spans="1:1" x14ac:dyDescent="0.25">
      <c r="A325777" s="1"/>
    </row>
    <row r="325778" spans="1:1" x14ac:dyDescent="0.25">
      <c r="A325778" s="1"/>
    </row>
    <row r="325779" spans="1:1" x14ac:dyDescent="0.25">
      <c r="A325779" s="1"/>
    </row>
    <row r="325780" spans="1:1" x14ac:dyDescent="0.25">
      <c r="A325780" s="1"/>
    </row>
    <row r="325781" spans="1:1" x14ac:dyDescent="0.25">
      <c r="A325781" s="1"/>
    </row>
    <row r="325782" spans="1:1" x14ac:dyDescent="0.25">
      <c r="A325782" s="1"/>
    </row>
    <row r="325783" spans="1:1" x14ac:dyDescent="0.25">
      <c r="A325783" s="1"/>
    </row>
    <row r="325784" spans="1:1" x14ac:dyDescent="0.25">
      <c r="A325784" s="1"/>
    </row>
    <row r="325785" spans="1:1" x14ac:dyDescent="0.25">
      <c r="A325785" s="1"/>
    </row>
    <row r="325786" spans="1:1" x14ac:dyDescent="0.25">
      <c r="A325786" s="1"/>
    </row>
    <row r="325787" spans="1:1" x14ac:dyDescent="0.25">
      <c r="A325787" s="1"/>
    </row>
    <row r="325788" spans="1:1" x14ac:dyDescent="0.25">
      <c r="A325788" s="1"/>
    </row>
    <row r="325789" spans="1:1" x14ac:dyDescent="0.25">
      <c r="A325789" s="1"/>
    </row>
    <row r="325790" spans="1:1" x14ac:dyDescent="0.25">
      <c r="A325790" s="1"/>
    </row>
    <row r="325791" spans="1:1" x14ac:dyDescent="0.25">
      <c r="A325791" s="1"/>
    </row>
    <row r="325792" spans="1:1" x14ac:dyDescent="0.25">
      <c r="A325792" s="1"/>
    </row>
    <row r="325793" spans="1:1" x14ac:dyDescent="0.25">
      <c r="A325793" s="1"/>
    </row>
    <row r="325794" spans="1:1" x14ac:dyDescent="0.25">
      <c r="A325794" s="1"/>
    </row>
    <row r="325795" spans="1:1" x14ac:dyDescent="0.25">
      <c r="A325795" s="1"/>
    </row>
    <row r="325796" spans="1:1" x14ac:dyDescent="0.25">
      <c r="A325796" s="1"/>
    </row>
    <row r="325797" spans="1:1" x14ac:dyDescent="0.25">
      <c r="A325797" s="1"/>
    </row>
    <row r="325798" spans="1:1" x14ac:dyDescent="0.25">
      <c r="A325798" s="1"/>
    </row>
    <row r="325799" spans="1:1" x14ac:dyDescent="0.25">
      <c r="A325799" s="1"/>
    </row>
    <row r="325800" spans="1:1" x14ac:dyDescent="0.25">
      <c r="A325800" s="1"/>
    </row>
    <row r="325801" spans="1:1" x14ac:dyDescent="0.25">
      <c r="A325801" s="1"/>
    </row>
    <row r="325802" spans="1:1" x14ac:dyDescent="0.25">
      <c r="A325802" s="1"/>
    </row>
    <row r="325803" spans="1:1" x14ac:dyDescent="0.25">
      <c r="A325803" s="1"/>
    </row>
    <row r="325804" spans="1:1" x14ac:dyDescent="0.25">
      <c r="A325804" s="1"/>
    </row>
    <row r="325805" spans="1:1" x14ac:dyDescent="0.25">
      <c r="A325805" s="1"/>
    </row>
    <row r="325806" spans="1:1" x14ac:dyDescent="0.25">
      <c r="A325806" s="1"/>
    </row>
    <row r="325807" spans="1:1" x14ac:dyDescent="0.25">
      <c r="A325807" s="1"/>
    </row>
    <row r="325808" spans="1:1" x14ac:dyDescent="0.25">
      <c r="A325808" s="1"/>
    </row>
    <row r="325809" spans="1:1" x14ac:dyDescent="0.25">
      <c r="A325809" s="1"/>
    </row>
    <row r="325810" spans="1:1" x14ac:dyDescent="0.25">
      <c r="A325810" s="1"/>
    </row>
    <row r="325811" spans="1:1" x14ac:dyDescent="0.25">
      <c r="A325811" s="1"/>
    </row>
    <row r="325812" spans="1:1" x14ac:dyDescent="0.25">
      <c r="A325812" s="1"/>
    </row>
    <row r="325813" spans="1:1" x14ac:dyDescent="0.25">
      <c r="A325813" s="1"/>
    </row>
    <row r="325814" spans="1:1" x14ac:dyDescent="0.25">
      <c r="A325814" s="1"/>
    </row>
    <row r="325815" spans="1:1" x14ac:dyDescent="0.25">
      <c r="A325815" s="1"/>
    </row>
    <row r="325816" spans="1:1" x14ac:dyDescent="0.25">
      <c r="A325816" s="1"/>
    </row>
    <row r="325817" spans="1:1" x14ac:dyDescent="0.25">
      <c r="A325817" s="1"/>
    </row>
    <row r="325818" spans="1:1" x14ac:dyDescent="0.25">
      <c r="A325818" s="1"/>
    </row>
    <row r="325819" spans="1:1" x14ac:dyDescent="0.25">
      <c r="A325819" s="1"/>
    </row>
    <row r="325820" spans="1:1" x14ac:dyDescent="0.25">
      <c r="A325820" s="1"/>
    </row>
    <row r="325821" spans="1:1" x14ac:dyDescent="0.25">
      <c r="A325821" s="1"/>
    </row>
    <row r="325822" spans="1:1" x14ac:dyDescent="0.25">
      <c r="A325822" s="1"/>
    </row>
    <row r="325823" spans="1:1" x14ac:dyDescent="0.25">
      <c r="A325823" s="1"/>
    </row>
    <row r="325824" spans="1:1" x14ac:dyDescent="0.25">
      <c r="A325824" s="1"/>
    </row>
    <row r="325825" spans="1:1" x14ac:dyDescent="0.25">
      <c r="A325825" s="1"/>
    </row>
    <row r="325826" spans="1:1" x14ac:dyDescent="0.25">
      <c r="A325826" s="1"/>
    </row>
    <row r="325827" spans="1:1" x14ac:dyDescent="0.25">
      <c r="A325827" s="1"/>
    </row>
    <row r="325828" spans="1:1" x14ac:dyDescent="0.25">
      <c r="A325828" s="1"/>
    </row>
    <row r="325829" spans="1:1" x14ac:dyDescent="0.25">
      <c r="A325829" s="1"/>
    </row>
    <row r="325830" spans="1:1" x14ac:dyDescent="0.25">
      <c r="A325830" s="1"/>
    </row>
    <row r="325831" spans="1:1" x14ac:dyDescent="0.25">
      <c r="A325831" s="1"/>
    </row>
    <row r="325832" spans="1:1" x14ac:dyDescent="0.25">
      <c r="A325832" s="1"/>
    </row>
    <row r="325833" spans="1:1" x14ac:dyDescent="0.25">
      <c r="A325833" s="1"/>
    </row>
    <row r="325834" spans="1:1" x14ac:dyDescent="0.25">
      <c r="A325834" s="1"/>
    </row>
    <row r="325835" spans="1:1" x14ac:dyDescent="0.25">
      <c r="A325835" s="1"/>
    </row>
    <row r="325836" spans="1:1" x14ac:dyDescent="0.25">
      <c r="A325836" s="1"/>
    </row>
    <row r="325837" spans="1:1" x14ac:dyDescent="0.25">
      <c r="A325837" s="1"/>
    </row>
    <row r="325838" spans="1:1" x14ac:dyDescent="0.25">
      <c r="A325838" s="1"/>
    </row>
    <row r="325839" spans="1:1" x14ac:dyDescent="0.25">
      <c r="A325839" s="1"/>
    </row>
    <row r="325840" spans="1:1" x14ac:dyDescent="0.25">
      <c r="A325840" s="1"/>
    </row>
    <row r="325841" spans="1:1" x14ac:dyDescent="0.25">
      <c r="A325841" s="1"/>
    </row>
    <row r="325842" spans="1:1" x14ac:dyDescent="0.25">
      <c r="A325842" s="1"/>
    </row>
    <row r="325843" spans="1:1" x14ac:dyDescent="0.25">
      <c r="A325843" s="1"/>
    </row>
    <row r="325844" spans="1:1" x14ac:dyDescent="0.25">
      <c r="A325844" s="1"/>
    </row>
    <row r="325845" spans="1:1" x14ac:dyDescent="0.25">
      <c r="A325845" s="1"/>
    </row>
    <row r="325846" spans="1:1" x14ac:dyDescent="0.25">
      <c r="A325846" s="1"/>
    </row>
    <row r="325847" spans="1:1" x14ac:dyDescent="0.25">
      <c r="A325847" s="1"/>
    </row>
    <row r="325848" spans="1:1" x14ac:dyDescent="0.25">
      <c r="A325848" s="1"/>
    </row>
    <row r="325849" spans="1:1" x14ac:dyDescent="0.25">
      <c r="A325849" s="1"/>
    </row>
    <row r="325850" spans="1:1" x14ac:dyDescent="0.25">
      <c r="A325850" s="1"/>
    </row>
    <row r="325851" spans="1:1" x14ac:dyDescent="0.25">
      <c r="A325851" s="1"/>
    </row>
    <row r="325852" spans="1:1" x14ac:dyDescent="0.25">
      <c r="A325852" s="1"/>
    </row>
    <row r="325853" spans="1:1" x14ac:dyDescent="0.25">
      <c r="A325853" s="1"/>
    </row>
    <row r="325854" spans="1:1" x14ac:dyDescent="0.25">
      <c r="A325854" s="1"/>
    </row>
    <row r="325855" spans="1:1" x14ac:dyDescent="0.25">
      <c r="A325855" s="1"/>
    </row>
    <row r="325856" spans="1:1" x14ac:dyDescent="0.25">
      <c r="A325856" s="1"/>
    </row>
    <row r="325857" spans="1:1" x14ac:dyDescent="0.25">
      <c r="A325857" s="1"/>
    </row>
    <row r="325858" spans="1:1" x14ac:dyDescent="0.25">
      <c r="A325858" s="1"/>
    </row>
    <row r="325859" spans="1:1" x14ac:dyDescent="0.25">
      <c r="A325859" s="1"/>
    </row>
    <row r="325860" spans="1:1" x14ac:dyDescent="0.25">
      <c r="A325860" s="1"/>
    </row>
    <row r="325861" spans="1:1" x14ac:dyDescent="0.25">
      <c r="A325861" s="1"/>
    </row>
    <row r="325862" spans="1:1" x14ac:dyDescent="0.25">
      <c r="A325862" s="1"/>
    </row>
    <row r="325863" spans="1:1" x14ac:dyDescent="0.25">
      <c r="A325863" s="1"/>
    </row>
    <row r="325864" spans="1:1" x14ac:dyDescent="0.25">
      <c r="A325864" s="1"/>
    </row>
    <row r="325865" spans="1:1" x14ac:dyDescent="0.25">
      <c r="A325865" s="1"/>
    </row>
    <row r="325866" spans="1:1" x14ac:dyDescent="0.25">
      <c r="A325866" s="1"/>
    </row>
    <row r="325867" spans="1:1" x14ac:dyDescent="0.25">
      <c r="A325867" s="1"/>
    </row>
    <row r="325868" spans="1:1" x14ac:dyDescent="0.25">
      <c r="A325868" s="1"/>
    </row>
    <row r="325869" spans="1:1" x14ac:dyDescent="0.25">
      <c r="A325869" s="1"/>
    </row>
    <row r="325870" spans="1:1" x14ac:dyDescent="0.25">
      <c r="A325870" s="1"/>
    </row>
    <row r="325871" spans="1:1" x14ac:dyDescent="0.25">
      <c r="A325871" s="1"/>
    </row>
    <row r="325872" spans="1:1" x14ac:dyDescent="0.25">
      <c r="A325872" s="1"/>
    </row>
    <row r="325873" spans="1:1" x14ac:dyDescent="0.25">
      <c r="A325873" s="1"/>
    </row>
    <row r="325874" spans="1:1" x14ac:dyDescent="0.25">
      <c r="A325874" s="1"/>
    </row>
    <row r="325875" spans="1:1" x14ac:dyDescent="0.25">
      <c r="A325875" s="1"/>
    </row>
    <row r="325876" spans="1:1" x14ac:dyDescent="0.25">
      <c r="A325876" s="1"/>
    </row>
    <row r="325877" spans="1:1" x14ac:dyDescent="0.25">
      <c r="A325877" s="1"/>
    </row>
    <row r="325878" spans="1:1" x14ac:dyDescent="0.25">
      <c r="A325878" s="1"/>
    </row>
    <row r="325879" spans="1:1" x14ac:dyDescent="0.25">
      <c r="A325879" s="1"/>
    </row>
    <row r="325880" spans="1:1" x14ac:dyDescent="0.25">
      <c r="A325880" s="1"/>
    </row>
    <row r="325881" spans="1:1" x14ac:dyDescent="0.25">
      <c r="A325881" s="1"/>
    </row>
    <row r="325882" spans="1:1" x14ac:dyDescent="0.25">
      <c r="A325882" s="1"/>
    </row>
    <row r="325883" spans="1:1" x14ac:dyDescent="0.25">
      <c r="A325883" s="1"/>
    </row>
    <row r="325884" spans="1:1" x14ac:dyDescent="0.25">
      <c r="A325884" s="1"/>
    </row>
    <row r="325885" spans="1:1" x14ac:dyDescent="0.25">
      <c r="A325885" s="1"/>
    </row>
    <row r="325886" spans="1:1" x14ac:dyDescent="0.25">
      <c r="A325886" s="1"/>
    </row>
    <row r="325887" spans="1:1" x14ac:dyDescent="0.25">
      <c r="A325887" s="1"/>
    </row>
    <row r="325888" spans="1:1" x14ac:dyDescent="0.25">
      <c r="A325888" s="1"/>
    </row>
    <row r="325889" spans="1:1" x14ac:dyDescent="0.25">
      <c r="A325889" s="1"/>
    </row>
    <row r="325890" spans="1:1" x14ac:dyDescent="0.25">
      <c r="A325890" s="1"/>
    </row>
    <row r="325891" spans="1:1" x14ac:dyDescent="0.25">
      <c r="A325891" s="1"/>
    </row>
    <row r="325892" spans="1:1" x14ac:dyDescent="0.25">
      <c r="A325892" s="1"/>
    </row>
    <row r="325893" spans="1:1" x14ac:dyDescent="0.25">
      <c r="A325893" s="1"/>
    </row>
    <row r="325894" spans="1:1" x14ac:dyDescent="0.25">
      <c r="A325894" s="1"/>
    </row>
    <row r="325895" spans="1:1" x14ac:dyDescent="0.25">
      <c r="A325895" s="1"/>
    </row>
    <row r="325896" spans="1:1" x14ac:dyDescent="0.25">
      <c r="A325896" s="1"/>
    </row>
    <row r="325897" spans="1:1" x14ac:dyDescent="0.25">
      <c r="A325897" s="1"/>
    </row>
    <row r="325898" spans="1:1" x14ac:dyDescent="0.25">
      <c r="A325898" s="1"/>
    </row>
    <row r="325899" spans="1:1" x14ac:dyDescent="0.25">
      <c r="A325899" s="1"/>
    </row>
    <row r="325900" spans="1:1" x14ac:dyDescent="0.25">
      <c r="A325900" s="1"/>
    </row>
    <row r="325901" spans="1:1" x14ac:dyDescent="0.25">
      <c r="A325901" s="1"/>
    </row>
    <row r="325902" spans="1:1" x14ac:dyDescent="0.25">
      <c r="A325902" s="1"/>
    </row>
    <row r="325903" spans="1:1" x14ac:dyDescent="0.25">
      <c r="A325903" s="1"/>
    </row>
    <row r="325904" spans="1:1" x14ac:dyDescent="0.25">
      <c r="A325904" s="1"/>
    </row>
    <row r="325905" spans="1:1" x14ac:dyDescent="0.25">
      <c r="A325905" s="1"/>
    </row>
    <row r="325906" spans="1:1" x14ac:dyDescent="0.25">
      <c r="A325906" s="1"/>
    </row>
    <row r="325907" spans="1:1" x14ac:dyDescent="0.25">
      <c r="A325907" s="1"/>
    </row>
    <row r="325908" spans="1:1" x14ac:dyDescent="0.25">
      <c r="A325908" s="1"/>
    </row>
    <row r="325909" spans="1:1" x14ac:dyDescent="0.25">
      <c r="A325909" s="1"/>
    </row>
    <row r="325910" spans="1:1" x14ac:dyDescent="0.25">
      <c r="A325910" s="1"/>
    </row>
    <row r="325911" spans="1:1" x14ac:dyDescent="0.25">
      <c r="A325911" s="1"/>
    </row>
    <row r="325912" spans="1:1" x14ac:dyDescent="0.25">
      <c r="A325912" s="1"/>
    </row>
    <row r="325913" spans="1:1" x14ac:dyDescent="0.25">
      <c r="A325913" s="1"/>
    </row>
    <row r="325914" spans="1:1" x14ac:dyDescent="0.25">
      <c r="A325914" s="1"/>
    </row>
    <row r="325915" spans="1:1" x14ac:dyDescent="0.25">
      <c r="A325915" s="1"/>
    </row>
    <row r="325916" spans="1:1" x14ac:dyDescent="0.25">
      <c r="A325916" s="1"/>
    </row>
    <row r="325917" spans="1:1" x14ac:dyDescent="0.25">
      <c r="A325917" s="1"/>
    </row>
    <row r="325918" spans="1:1" x14ac:dyDescent="0.25">
      <c r="A325918" s="1"/>
    </row>
    <row r="325919" spans="1:1" x14ac:dyDescent="0.25">
      <c r="A325919" s="1"/>
    </row>
    <row r="325920" spans="1:1" x14ac:dyDescent="0.25">
      <c r="A325920" s="1"/>
    </row>
    <row r="325921" spans="1:1" x14ac:dyDescent="0.25">
      <c r="A325921" s="1"/>
    </row>
    <row r="325922" spans="1:1" x14ac:dyDescent="0.25">
      <c r="A325922" s="1"/>
    </row>
    <row r="325923" spans="1:1" x14ac:dyDescent="0.25">
      <c r="A325923" s="1"/>
    </row>
    <row r="325924" spans="1:1" x14ac:dyDescent="0.25">
      <c r="A325924" s="1"/>
    </row>
    <row r="325925" spans="1:1" x14ac:dyDescent="0.25">
      <c r="A325925" s="1"/>
    </row>
    <row r="325926" spans="1:1" x14ac:dyDescent="0.25">
      <c r="A325926" s="1"/>
    </row>
    <row r="325927" spans="1:1" x14ac:dyDescent="0.25">
      <c r="A325927" s="1"/>
    </row>
    <row r="325928" spans="1:1" x14ac:dyDescent="0.25">
      <c r="A325928" s="1"/>
    </row>
    <row r="325929" spans="1:1" x14ac:dyDescent="0.25">
      <c r="A325929" s="1"/>
    </row>
    <row r="325930" spans="1:1" x14ac:dyDescent="0.25">
      <c r="A325930" s="1"/>
    </row>
    <row r="325931" spans="1:1" x14ac:dyDescent="0.25">
      <c r="A325931" s="1"/>
    </row>
    <row r="325932" spans="1:1" x14ac:dyDescent="0.25">
      <c r="A325932" s="1"/>
    </row>
    <row r="325933" spans="1:1" x14ac:dyDescent="0.25">
      <c r="A325933" s="1"/>
    </row>
    <row r="325934" spans="1:1" x14ac:dyDescent="0.25">
      <c r="A325934" s="1"/>
    </row>
    <row r="325935" spans="1:1" x14ac:dyDescent="0.25">
      <c r="A325935" s="1"/>
    </row>
    <row r="325936" spans="1:1" x14ac:dyDescent="0.25">
      <c r="A325936" s="1"/>
    </row>
    <row r="325937" spans="1:1" x14ac:dyDescent="0.25">
      <c r="A325937" s="1"/>
    </row>
    <row r="325938" spans="1:1" x14ac:dyDescent="0.25">
      <c r="A325938" s="1"/>
    </row>
    <row r="325939" spans="1:1" x14ac:dyDescent="0.25">
      <c r="A325939" s="1"/>
    </row>
    <row r="325940" spans="1:1" x14ac:dyDescent="0.25">
      <c r="A325940" s="1"/>
    </row>
    <row r="325941" spans="1:1" x14ac:dyDescent="0.25">
      <c r="A325941" s="1"/>
    </row>
    <row r="325942" spans="1:1" x14ac:dyDescent="0.25">
      <c r="A325942" s="1"/>
    </row>
    <row r="325943" spans="1:1" x14ac:dyDescent="0.25">
      <c r="A325943" s="1"/>
    </row>
    <row r="325944" spans="1:1" x14ac:dyDescent="0.25">
      <c r="A325944" s="1"/>
    </row>
    <row r="325945" spans="1:1" x14ac:dyDescent="0.25">
      <c r="A325945" s="1"/>
    </row>
    <row r="325946" spans="1:1" x14ac:dyDescent="0.25">
      <c r="A325946" s="1"/>
    </row>
    <row r="325947" spans="1:1" x14ac:dyDescent="0.25">
      <c r="A325947" s="1"/>
    </row>
    <row r="325948" spans="1:1" x14ac:dyDescent="0.25">
      <c r="A325948" s="1"/>
    </row>
    <row r="325949" spans="1:1" x14ac:dyDescent="0.25">
      <c r="A325949" s="1"/>
    </row>
    <row r="325950" spans="1:1" x14ac:dyDescent="0.25">
      <c r="A325950" s="1"/>
    </row>
    <row r="325951" spans="1:1" x14ac:dyDescent="0.25">
      <c r="A325951" s="1"/>
    </row>
    <row r="325952" spans="1:1" x14ac:dyDescent="0.25">
      <c r="A325952" s="1"/>
    </row>
    <row r="325953" spans="1:1" x14ac:dyDescent="0.25">
      <c r="A325953" s="1"/>
    </row>
    <row r="325954" spans="1:1" x14ac:dyDescent="0.25">
      <c r="A325954" s="1"/>
    </row>
    <row r="325955" spans="1:1" x14ac:dyDescent="0.25">
      <c r="A325955" s="1"/>
    </row>
    <row r="325956" spans="1:1" x14ac:dyDescent="0.25">
      <c r="A325956" s="1"/>
    </row>
    <row r="325957" spans="1:1" x14ac:dyDescent="0.25">
      <c r="A325957" s="1"/>
    </row>
    <row r="325958" spans="1:1" x14ac:dyDescent="0.25">
      <c r="A325958" s="1"/>
    </row>
    <row r="325959" spans="1:1" x14ac:dyDescent="0.25">
      <c r="A325959" s="1"/>
    </row>
    <row r="325960" spans="1:1" x14ac:dyDescent="0.25">
      <c r="A325960" s="1"/>
    </row>
    <row r="325961" spans="1:1" x14ac:dyDescent="0.25">
      <c r="A325961" s="1"/>
    </row>
    <row r="325962" spans="1:1" x14ac:dyDescent="0.25">
      <c r="A325962" s="1"/>
    </row>
    <row r="325963" spans="1:1" x14ac:dyDescent="0.25">
      <c r="A325963" s="1"/>
    </row>
    <row r="325964" spans="1:1" x14ac:dyDescent="0.25">
      <c r="A325964" s="1"/>
    </row>
    <row r="325965" spans="1:1" x14ac:dyDescent="0.25">
      <c r="A325965" s="1"/>
    </row>
    <row r="325966" spans="1:1" x14ac:dyDescent="0.25">
      <c r="A325966" s="1"/>
    </row>
    <row r="325967" spans="1:1" x14ac:dyDescent="0.25">
      <c r="A325967" s="1"/>
    </row>
    <row r="325968" spans="1:1" x14ac:dyDescent="0.25">
      <c r="A325968" s="1"/>
    </row>
    <row r="325969" spans="1:1" x14ac:dyDescent="0.25">
      <c r="A325969" s="1"/>
    </row>
    <row r="325970" spans="1:1" x14ac:dyDescent="0.25">
      <c r="A325970" s="1"/>
    </row>
    <row r="325971" spans="1:1" x14ac:dyDescent="0.25">
      <c r="A325971" s="1"/>
    </row>
    <row r="325972" spans="1:1" x14ac:dyDescent="0.25">
      <c r="A325972" s="1"/>
    </row>
    <row r="325973" spans="1:1" x14ac:dyDescent="0.25">
      <c r="A325973" s="1"/>
    </row>
    <row r="325974" spans="1:1" x14ac:dyDescent="0.25">
      <c r="A325974" s="1"/>
    </row>
    <row r="325975" spans="1:1" x14ac:dyDescent="0.25">
      <c r="A325975" s="1"/>
    </row>
    <row r="325976" spans="1:1" x14ac:dyDescent="0.25">
      <c r="A325976" s="1"/>
    </row>
    <row r="325977" spans="1:1" x14ac:dyDescent="0.25">
      <c r="A325977" s="1"/>
    </row>
    <row r="325978" spans="1:1" x14ac:dyDescent="0.25">
      <c r="A325978" s="1"/>
    </row>
    <row r="325979" spans="1:1" x14ac:dyDescent="0.25">
      <c r="A325979" s="1"/>
    </row>
    <row r="325980" spans="1:1" x14ac:dyDescent="0.25">
      <c r="A325980" s="1"/>
    </row>
    <row r="325981" spans="1:1" x14ac:dyDescent="0.25">
      <c r="A325981" s="1"/>
    </row>
    <row r="325982" spans="1:1" x14ac:dyDescent="0.25">
      <c r="A325982" s="1"/>
    </row>
    <row r="325983" spans="1:1" x14ac:dyDescent="0.25">
      <c r="A325983" s="1"/>
    </row>
    <row r="325984" spans="1:1" x14ac:dyDescent="0.25">
      <c r="A325984" s="1"/>
    </row>
    <row r="325985" spans="1:1" x14ac:dyDescent="0.25">
      <c r="A325985" s="1"/>
    </row>
    <row r="325986" spans="1:1" x14ac:dyDescent="0.25">
      <c r="A325986" s="1"/>
    </row>
    <row r="325987" spans="1:1" x14ac:dyDescent="0.25">
      <c r="A325987" s="1"/>
    </row>
    <row r="325988" spans="1:1" x14ac:dyDescent="0.25">
      <c r="A325988" s="1"/>
    </row>
    <row r="325989" spans="1:1" x14ac:dyDescent="0.25">
      <c r="A325989" s="1"/>
    </row>
    <row r="325990" spans="1:1" x14ac:dyDescent="0.25">
      <c r="A325990" s="1"/>
    </row>
    <row r="325991" spans="1:1" x14ac:dyDescent="0.25">
      <c r="A325991" s="1"/>
    </row>
    <row r="325992" spans="1:1" x14ac:dyDescent="0.25">
      <c r="A325992" s="1"/>
    </row>
    <row r="325993" spans="1:1" x14ac:dyDescent="0.25">
      <c r="A325993" s="1"/>
    </row>
    <row r="325994" spans="1:1" x14ac:dyDescent="0.25">
      <c r="A325994" s="1"/>
    </row>
    <row r="325995" spans="1:1" x14ac:dyDescent="0.25">
      <c r="A325995" s="1"/>
    </row>
    <row r="325996" spans="1:1" x14ac:dyDescent="0.25">
      <c r="A325996" s="1"/>
    </row>
    <row r="325997" spans="1:1" x14ac:dyDescent="0.25">
      <c r="A325997" s="1"/>
    </row>
    <row r="325998" spans="1:1" x14ac:dyDescent="0.25">
      <c r="A325998" s="1"/>
    </row>
    <row r="325999" spans="1:1" x14ac:dyDescent="0.25">
      <c r="A325999" s="1"/>
    </row>
    <row r="326000" spans="1:1" x14ac:dyDescent="0.25">
      <c r="A326000" s="1"/>
    </row>
    <row r="326001" spans="1:1" x14ac:dyDescent="0.25">
      <c r="A326001" s="1"/>
    </row>
    <row r="326002" spans="1:1" x14ac:dyDescent="0.25">
      <c r="A326002" s="1"/>
    </row>
    <row r="326003" spans="1:1" x14ac:dyDescent="0.25">
      <c r="A326003" s="1"/>
    </row>
    <row r="326004" spans="1:1" x14ac:dyDescent="0.25">
      <c r="A326004" s="1"/>
    </row>
    <row r="326005" spans="1:1" x14ac:dyDescent="0.25">
      <c r="A326005" s="1"/>
    </row>
    <row r="326006" spans="1:1" x14ac:dyDescent="0.25">
      <c r="A326006" s="1"/>
    </row>
    <row r="326007" spans="1:1" x14ac:dyDescent="0.25">
      <c r="A326007" s="1"/>
    </row>
    <row r="326008" spans="1:1" x14ac:dyDescent="0.25">
      <c r="A326008" s="1"/>
    </row>
    <row r="326009" spans="1:1" x14ac:dyDescent="0.25">
      <c r="A326009" s="1"/>
    </row>
    <row r="326010" spans="1:1" x14ac:dyDescent="0.25">
      <c r="A326010" s="1"/>
    </row>
    <row r="326011" spans="1:1" x14ac:dyDescent="0.25">
      <c r="A326011" s="1"/>
    </row>
    <row r="326012" spans="1:1" x14ac:dyDescent="0.25">
      <c r="A326012" s="1"/>
    </row>
    <row r="326013" spans="1:1" x14ac:dyDescent="0.25">
      <c r="A326013" s="1"/>
    </row>
    <row r="326014" spans="1:1" x14ac:dyDescent="0.25">
      <c r="A326014" s="1"/>
    </row>
    <row r="326015" spans="1:1" x14ac:dyDescent="0.25">
      <c r="A326015" s="1"/>
    </row>
    <row r="326016" spans="1:1" x14ac:dyDescent="0.25">
      <c r="A326016" s="1"/>
    </row>
    <row r="326017" spans="1:1" x14ac:dyDescent="0.25">
      <c r="A326017" s="1"/>
    </row>
    <row r="326018" spans="1:1" x14ac:dyDescent="0.25">
      <c r="A326018" s="1"/>
    </row>
    <row r="326019" spans="1:1" x14ac:dyDescent="0.25">
      <c r="A326019" s="1"/>
    </row>
    <row r="326020" spans="1:1" x14ac:dyDescent="0.25">
      <c r="A326020" s="1"/>
    </row>
    <row r="326021" spans="1:1" x14ac:dyDescent="0.25">
      <c r="A326021" s="1"/>
    </row>
    <row r="326022" spans="1:1" x14ac:dyDescent="0.25">
      <c r="A326022" s="1"/>
    </row>
    <row r="326023" spans="1:1" x14ac:dyDescent="0.25">
      <c r="A326023" s="1"/>
    </row>
    <row r="326024" spans="1:1" x14ac:dyDescent="0.25">
      <c r="A326024" s="1"/>
    </row>
    <row r="326025" spans="1:1" x14ac:dyDescent="0.25">
      <c r="A326025" s="1"/>
    </row>
    <row r="326026" spans="1:1" x14ac:dyDescent="0.25">
      <c r="A326026" s="1"/>
    </row>
    <row r="326027" spans="1:1" x14ac:dyDescent="0.25">
      <c r="A326027" s="1"/>
    </row>
    <row r="326028" spans="1:1" x14ac:dyDescent="0.25">
      <c r="A326028" s="1"/>
    </row>
    <row r="326029" spans="1:1" x14ac:dyDescent="0.25">
      <c r="A326029" s="1"/>
    </row>
    <row r="326030" spans="1:1" x14ac:dyDescent="0.25">
      <c r="A326030" s="1"/>
    </row>
    <row r="326031" spans="1:1" x14ac:dyDescent="0.25">
      <c r="A326031" s="1"/>
    </row>
    <row r="326032" spans="1:1" x14ac:dyDescent="0.25">
      <c r="A326032" s="1"/>
    </row>
    <row r="326033" spans="1:1" x14ac:dyDescent="0.25">
      <c r="A326033" s="1"/>
    </row>
    <row r="326034" spans="1:1" x14ac:dyDescent="0.25">
      <c r="A326034" s="1"/>
    </row>
    <row r="326035" spans="1:1" x14ac:dyDescent="0.25">
      <c r="A326035" s="1"/>
    </row>
    <row r="326036" spans="1:1" x14ac:dyDescent="0.25">
      <c r="A326036" s="1"/>
    </row>
    <row r="326037" spans="1:1" x14ac:dyDescent="0.25">
      <c r="A326037" s="1"/>
    </row>
    <row r="326038" spans="1:1" x14ac:dyDescent="0.25">
      <c r="A326038" s="1"/>
    </row>
    <row r="326039" spans="1:1" x14ac:dyDescent="0.25">
      <c r="A326039" s="1"/>
    </row>
    <row r="326040" spans="1:1" x14ac:dyDescent="0.25">
      <c r="A326040" s="1"/>
    </row>
    <row r="326041" spans="1:1" x14ac:dyDescent="0.25">
      <c r="A326041" s="1"/>
    </row>
    <row r="326042" spans="1:1" x14ac:dyDescent="0.25">
      <c r="A326042" s="1"/>
    </row>
    <row r="326043" spans="1:1" x14ac:dyDescent="0.25">
      <c r="A326043" s="1"/>
    </row>
    <row r="326044" spans="1:1" x14ac:dyDescent="0.25">
      <c r="A326044" s="1"/>
    </row>
    <row r="326045" spans="1:1" x14ac:dyDescent="0.25">
      <c r="A326045" s="1"/>
    </row>
    <row r="326046" spans="1:1" x14ac:dyDescent="0.25">
      <c r="A326046" s="1"/>
    </row>
    <row r="326047" spans="1:1" x14ac:dyDescent="0.25">
      <c r="A326047" s="1"/>
    </row>
    <row r="326048" spans="1:1" x14ac:dyDescent="0.25">
      <c r="A326048" s="1"/>
    </row>
    <row r="326049" spans="1:1" x14ac:dyDescent="0.25">
      <c r="A326049" s="1"/>
    </row>
    <row r="326050" spans="1:1" x14ac:dyDescent="0.25">
      <c r="A326050" s="1"/>
    </row>
    <row r="326051" spans="1:1" x14ac:dyDescent="0.25">
      <c r="A326051" s="1"/>
    </row>
    <row r="326052" spans="1:1" x14ac:dyDescent="0.25">
      <c r="A326052" s="1"/>
    </row>
    <row r="326053" spans="1:1" x14ac:dyDescent="0.25">
      <c r="A326053" s="1"/>
    </row>
    <row r="326054" spans="1:1" x14ac:dyDescent="0.25">
      <c r="A326054" s="1"/>
    </row>
    <row r="326055" spans="1:1" x14ac:dyDescent="0.25">
      <c r="A326055" s="1"/>
    </row>
    <row r="326056" spans="1:1" x14ac:dyDescent="0.25">
      <c r="A326056" s="1"/>
    </row>
    <row r="326057" spans="1:1" x14ac:dyDescent="0.25">
      <c r="A326057" s="1"/>
    </row>
    <row r="326058" spans="1:1" x14ac:dyDescent="0.25">
      <c r="A326058" s="1"/>
    </row>
    <row r="326059" spans="1:1" x14ac:dyDescent="0.25">
      <c r="A326059" s="1"/>
    </row>
    <row r="326060" spans="1:1" x14ac:dyDescent="0.25">
      <c r="A326060" s="1"/>
    </row>
    <row r="326061" spans="1:1" x14ac:dyDescent="0.25">
      <c r="A326061" s="1"/>
    </row>
    <row r="326062" spans="1:1" x14ac:dyDescent="0.25">
      <c r="A326062" s="1"/>
    </row>
    <row r="326063" spans="1:1" x14ac:dyDescent="0.25">
      <c r="A326063" s="1"/>
    </row>
    <row r="326064" spans="1:1" x14ac:dyDescent="0.25">
      <c r="A326064" s="1"/>
    </row>
    <row r="326065" spans="1:1" x14ac:dyDescent="0.25">
      <c r="A326065" s="1"/>
    </row>
    <row r="326066" spans="1:1" x14ac:dyDescent="0.25">
      <c r="A326066" s="1"/>
    </row>
    <row r="326067" spans="1:1" x14ac:dyDescent="0.25">
      <c r="A326067" s="1"/>
    </row>
    <row r="326068" spans="1:1" x14ac:dyDescent="0.25">
      <c r="A326068" s="1"/>
    </row>
    <row r="326069" spans="1:1" x14ac:dyDescent="0.25">
      <c r="A326069" s="1"/>
    </row>
    <row r="326070" spans="1:1" x14ac:dyDescent="0.25">
      <c r="A326070" s="1"/>
    </row>
    <row r="326071" spans="1:1" x14ac:dyDescent="0.25">
      <c r="A326071" s="1"/>
    </row>
    <row r="326072" spans="1:1" x14ac:dyDescent="0.25">
      <c r="A326072" s="1"/>
    </row>
    <row r="326073" spans="1:1" x14ac:dyDescent="0.25">
      <c r="A326073" s="1"/>
    </row>
    <row r="326074" spans="1:1" x14ac:dyDescent="0.25">
      <c r="A326074" s="1"/>
    </row>
    <row r="326075" spans="1:1" x14ac:dyDescent="0.25">
      <c r="A326075" s="1"/>
    </row>
    <row r="326076" spans="1:1" x14ac:dyDescent="0.25">
      <c r="A326076" s="1"/>
    </row>
    <row r="326077" spans="1:1" x14ac:dyDescent="0.25">
      <c r="A326077" s="1"/>
    </row>
    <row r="326078" spans="1:1" x14ac:dyDescent="0.25">
      <c r="A326078" s="1"/>
    </row>
    <row r="326079" spans="1:1" x14ac:dyDescent="0.25">
      <c r="A326079" s="1"/>
    </row>
    <row r="326080" spans="1:1" x14ac:dyDescent="0.25">
      <c r="A326080" s="1"/>
    </row>
    <row r="326081" spans="1:1" x14ac:dyDescent="0.25">
      <c r="A326081" s="1"/>
    </row>
    <row r="326082" spans="1:1" x14ac:dyDescent="0.25">
      <c r="A326082" s="1"/>
    </row>
    <row r="326083" spans="1:1" x14ac:dyDescent="0.25">
      <c r="A326083" s="1"/>
    </row>
    <row r="326084" spans="1:1" x14ac:dyDescent="0.25">
      <c r="A326084" s="1"/>
    </row>
    <row r="326085" spans="1:1" x14ac:dyDescent="0.25">
      <c r="A326085" s="1"/>
    </row>
    <row r="326086" spans="1:1" x14ac:dyDescent="0.25">
      <c r="A326086" s="1"/>
    </row>
    <row r="326087" spans="1:1" x14ac:dyDescent="0.25">
      <c r="A326087" s="1"/>
    </row>
    <row r="326088" spans="1:1" x14ac:dyDescent="0.25">
      <c r="A326088" s="1"/>
    </row>
    <row r="326089" spans="1:1" x14ac:dyDescent="0.25">
      <c r="A326089" s="1"/>
    </row>
    <row r="326090" spans="1:1" x14ac:dyDescent="0.25">
      <c r="A326090" s="1"/>
    </row>
    <row r="326091" spans="1:1" x14ac:dyDescent="0.25">
      <c r="A326091" s="1"/>
    </row>
    <row r="326092" spans="1:1" x14ac:dyDescent="0.25">
      <c r="A326092" s="1"/>
    </row>
    <row r="326093" spans="1:1" x14ac:dyDescent="0.25">
      <c r="A326093" s="1"/>
    </row>
    <row r="326094" spans="1:1" x14ac:dyDescent="0.25">
      <c r="A326094" s="1"/>
    </row>
    <row r="326095" spans="1:1" x14ac:dyDescent="0.25">
      <c r="A326095" s="1"/>
    </row>
    <row r="326096" spans="1:1" x14ac:dyDescent="0.25">
      <c r="A326096" s="1"/>
    </row>
    <row r="326097" spans="1:1" x14ac:dyDescent="0.25">
      <c r="A326097" s="1"/>
    </row>
    <row r="326098" spans="1:1" x14ac:dyDescent="0.25">
      <c r="A326098" s="1"/>
    </row>
    <row r="326099" spans="1:1" x14ac:dyDescent="0.25">
      <c r="A326099" s="1"/>
    </row>
    <row r="326100" spans="1:1" x14ac:dyDescent="0.25">
      <c r="A326100" s="1"/>
    </row>
    <row r="326101" spans="1:1" x14ac:dyDescent="0.25">
      <c r="A326101" s="1"/>
    </row>
    <row r="326102" spans="1:1" x14ac:dyDescent="0.25">
      <c r="A326102" s="1"/>
    </row>
    <row r="326103" spans="1:1" x14ac:dyDescent="0.25">
      <c r="A326103" s="1"/>
    </row>
    <row r="326104" spans="1:1" x14ac:dyDescent="0.25">
      <c r="A326104" s="1"/>
    </row>
    <row r="326105" spans="1:1" x14ac:dyDescent="0.25">
      <c r="A326105" s="1"/>
    </row>
    <row r="326106" spans="1:1" x14ac:dyDescent="0.25">
      <c r="A326106" s="1"/>
    </row>
    <row r="326107" spans="1:1" x14ac:dyDescent="0.25">
      <c r="A326107" s="1"/>
    </row>
    <row r="326108" spans="1:1" x14ac:dyDescent="0.25">
      <c r="A326108" s="1"/>
    </row>
    <row r="326109" spans="1:1" x14ac:dyDescent="0.25">
      <c r="A326109" s="1"/>
    </row>
    <row r="326110" spans="1:1" x14ac:dyDescent="0.25">
      <c r="A326110" s="1"/>
    </row>
    <row r="326111" spans="1:1" x14ac:dyDescent="0.25">
      <c r="A326111" s="1"/>
    </row>
    <row r="326112" spans="1:1" x14ac:dyDescent="0.25">
      <c r="A326112" s="1"/>
    </row>
    <row r="326113" spans="1:1" x14ac:dyDescent="0.25">
      <c r="A326113" s="1"/>
    </row>
    <row r="326114" spans="1:1" x14ac:dyDescent="0.25">
      <c r="A326114" s="1"/>
    </row>
    <row r="326115" spans="1:1" x14ac:dyDescent="0.25">
      <c r="A326115" s="1"/>
    </row>
    <row r="326116" spans="1:1" x14ac:dyDescent="0.25">
      <c r="A326116" s="1"/>
    </row>
    <row r="326117" spans="1:1" x14ac:dyDescent="0.25">
      <c r="A326117" s="1"/>
    </row>
    <row r="326118" spans="1:1" x14ac:dyDescent="0.25">
      <c r="A326118" s="1"/>
    </row>
    <row r="326119" spans="1:1" x14ac:dyDescent="0.25">
      <c r="A326119" s="1"/>
    </row>
    <row r="326120" spans="1:1" x14ac:dyDescent="0.25">
      <c r="A326120" s="1"/>
    </row>
    <row r="326121" spans="1:1" x14ac:dyDescent="0.25">
      <c r="A326121" s="1"/>
    </row>
    <row r="326122" spans="1:1" x14ac:dyDescent="0.25">
      <c r="A326122" s="1"/>
    </row>
    <row r="326123" spans="1:1" x14ac:dyDescent="0.25">
      <c r="A326123" s="1"/>
    </row>
    <row r="326124" spans="1:1" x14ac:dyDescent="0.25">
      <c r="A326124" s="1"/>
    </row>
    <row r="326125" spans="1:1" x14ac:dyDescent="0.25">
      <c r="A326125" s="1"/>
    </row>
    <row r="326126" spans="1:1" x14ac:dyDescent="0.25">
      <c r="A326126" s="1"/>
    </row>
    <row r="326127" spans="1:1" x14ac:dyDescent="0.25">
      <c r="A326127" s="1"/>
    </row>
    <row r="326128" spans="1:1" x14ac:dyDescent="0.25">
      <c r="A326128" s="1"/>
    </row>
    <row r="326129" spans="1:1" x14ac:dyDescent="0.25">
      <c r="A326129" s="1"/>
    </row>
    <row r="326130" spans="1:1" x14ac:dyDescent="0.25">
      <c r="A326130" s="1"/>
    </row>
    <row r="326131" spans="1:1" x14ac:dyDescent="0.25">
      <c r="A326131" s="1"/>
    </row>
    <row r="326132" spans="1:1" x14ac:dyDescent="0.25">
      <c r="A326132" s="1"/>
    </row>
    <row r="326133" spans="1:1" x14ac:dyDescent="0.25">
      <c r="A326133" s="1"/>
    </row>
    <row r="326134" spans="1:1" x14ac:dyDescent="0.25">
      <c r="A326134" s="1"/>
    </row>
    <row r="326135" spans="1:1" x14ac:dyDescent="0.25">
      <c r="A326135" s="1"/>
    </row>
    <row r="326136" spans="1:1" x14ac:dyDescent="0.25">
      <c r="A326136" s="1"/>
    </row>
    <row r="326137" spans="1:1" x14ac:dyDescent="0.25">
      <c r="A326137" s="1"/>
    </row>
    <row r="326138" spans="1:1" x14ac:dyDescent="0.25">
      <c r="A326138" s="1"/>
    </row>
    <row r="326139" spans="1:1" x14ac:dyDescent="0.25">
      <c r="A326139" s="1"/>
    </row>
    <row r="326140" spans="1:1" x14ac:dyDescent="0.25">
      <c r="A326140" s="1"/>
    </row>
    <row r="326141" spans="1:1" x14ac:dyDescent="0.25">
      <c r="A326141" s="1"/>
    </row>
    <row r="326142" spans="1:1" x14ac:dyDescent="0.25">
      <c r="A326142" s="1"/>
    </row>
    <row r="326143" spans="1:1" x14ac:dyDescent="0.25">
      <c r="A326143" s="1"/>
    </row>
    <row r="326144" spans="1:1" x14ac:dyDescent="0.25">
      <c r="A326144" s="1"/>
    </row>
    <row r="326145" spans="1:1" x14ac:dyDescent="0.25">
      <c r="A326145" s="1"/>
    </row>
    <row r="326146" spans="1:1" x14ac:dyDescent="0.25">
      <c r="A326146" s="1"/>
    </row>
    <row r="326147" spans="1:1" x14ac:dyDescent="0.25">
      <c r="A326147" s="1"/>
    </row>
    <row r="326148" spans="1:1" x14ac:dyDescent="0.25">
      <c r="A326148" s="1"/>
    </row>
    <row r="326149" spans="1:1" x14ac:dyDescent="0.25">
      <c r="A326149" s="1"/>
    </row>
    <row r="326150" spans="1:1" x14ac:dyDescent="0.25">
      <c r="A326150" s="1"/>
    </row>
    <row r="326151" spans="1:1" x14ac:dyDescent="0.25">
      <c r="A326151" s="1"/>
    </row>
    <row r="326152" spans="1:1" x14ac:dyDescent="0.25">
      <c r="A326152" s="1"/>
    </row>
    <row r="326153" spans="1:1" x14ac:dyDescent="0.25">
      <c r="A326153" s="1"/>
    </row>
    <row r="326154" spans="1:1" x14ac:dyDescent="0.25">
      <c r="A326154" s="1"/>
    </row>
    <row r="326155" spans="1:1" x14ac:dyDescent="0.25">
      <c r="A326155" s="1"/>
    </row>
    <row r="326156" spans="1:1" x14ac:dyDescent="0.25">
      <c r="A326156" s="1"/>
    </row>
    <row r="326157" spans="1:1" x14ac:dyDescent="0.25">
      <c r="A326157" s="1"/>
    </row>
    <row r="326158" spans="1:1" x14ac:dyDescent="0.25">
      <c r="A326158" s="1"/>
    </row>
    <row r="326159" spans="1:1" x14ac:dyDescent="0.25">
      <c r="A326159" s="1"/>
    </row>
    <row r="326160" spans="1:1" x14ac:dyDescent="0.25">
      <c r="A326160" s="1"/>
    </row>
    <row r="326161" spans="1:1" x14ac:dyDescent="0.25">
      <c r="A326161" s="1"/>
    </row>
    <row r="326162" spans="1:1" x14ac:dyDescent="0.25">
      <c r="A326162" s="1"/>
    </row>
    <row r="326163" spans="1:1" x14ac:dyDescent="0.25">
      <c r="A326163" s="1"/>
    </row>
    <row r="326164" spans="1:1" x14ac:dyDescent="0.25">
      <c r="A326164" s="1"/>
    </row>
    <row r="326165" spans="1:1" x14ac:dyDescent="0.25">
      <c r="A326165" s="1"/>
    </row>
    <row r="326166" spans="1:1" x14ac:dyDescent="0.25">
      <c r="A326166" s="1"/>
    </row>
    <row r="326167" spans="1:1" x14ac:dyDescent="0.25">
      <c r="A326167" s="1"/>
    </row>
    <row r="326168" spans="1:1" x14ac:dyDescent="0.25">
      <c r="A326168" s="1"/>
    </row>
    <row r="326169" spans="1:1" x14ac:dyDescent="0.25">
      <c r="A326169" s="1"/>
    </row>
    <row r="326170" spans="1:1" x14ac:dyDescent="0.25">
      <c r="A326170" s="1"/>
    </row>
    <row r="326171" spans="1:1" x14ac:dyDescent="0.25">
      <c r="A326171" s="1"/>
    </row>
    <row r="326172" spans="1:1" x14ac:dyDescent="0.25">
      <c r="A326172" s="1"/>
    </row>
    <row r="326173" spans="1:1" x14ac:dyDescent="0.25">
      <c r="A326173" s="1"/>
    </row>
    <row r="326174" spans="1:1" x14ac:dyDescent="0.25">
      <c r="A326174" s="1"/>
    </row>
    <row r="326175" spans="1:1" x14ac:dyDescent="0.25">
      <c r="A326175" s="1"/>
    </row>
    <row r="326176" spans="1:1" x14ac:dyDescent="0.25">
      <c r="A326176" s="1"/>
    </row>
    <row r="326177" spans="1:1" x14ac:dyDescent="0.25">
      <c r="A326177" s="1"/>
    </row>
    <row r="326178" spans="1:1" x14ac:dyDescent="0.25">
      <c r="A326178" s="1"/>
    </row>
    <row r="326179" spans="1:1" x14ac:dyDescent="0.25">
      <c r="A326179" s="1"/>
    </row>
    <row r="326180" spans="1:1" x14ac:dyDescent="0.25">
      <c r="A326180" s="1"/>
    </row>
    <row r="326181" spans="1:1" x14ac:dyDescent="0.25">
      <c r="A326181" s="1"/>
    </row>
    <row r="326182" spans="1:1" x14ac:dyDescent="0.25">
      <c r="A326182" s="1"/>
    </row>
    <row r="326183" spans="1:1" x14ac:dyDescent="0.25">
      <c r="A326183" s="1"/>
    </row>
    <row r="326184" spans="1:1" x14ac:dyDescent="0.25">
      <c r="A326184" s="1"/>
    </row>
    <row r="326185" spans="1:1" x14ac:dyDescent="0.25">
      <c r="A326185" s="1"/>
    </row>
    <row r="326186" spans="1:1" x14ac:dyDescent="0.25">
      <c r="A326186" s="1"/>
    </row>
    <row r="326187" spans="1:1" x14ac:dyDescent="0.25">
      <c r="A326187" s="1"/>
    </row>
    <row r="326188" spans="1:1" x14ac:dyDescent="0.25">
      <c r="A326188" s="1"/>
    </row>
    <row r="326189" spans="1:1" x14ac:dyDescent="0.25">
      <c r="A326189" s="1"/>
    </row>
    <row r="326190" spans="1:1" x14ac:dyDescent="0.25">
      <c r="A326190" s="1"/>
    </row>
    <row r="326191" spans="1:1" x14ac:dyDescent="0.25">
      <c r="A326191" s="1"/>
    </row>
    <row r="326192" spans="1:1" x14ac:dyDescent="0.25">
      <c r="A326192" s="1"/>
    </row>
    <row r="326193" spans="1:1" x14ac:dyDescent="0.25">
      <c r="A326193" s="1"/>
    </row>
    <row r="326194" spans="1:1" x14ac:dyDescent="0.25">
      <c r="A326194" s="1"/>
    </row>
    <row r="326195" spans="1:1" x14ac:dyDescent="0.25">
      <c r="A326195" s="1"/>
    </row>
    <row r="326196" spans="1:1" x14ac:dyDescent="0.25">
      <c r="A326196" s="1"/>
    </row>
    <row r="326197" spans="1:1" x14ac:dyDescent="0.25">
      <c r="A326197" s="1"/>
    </row>
    <row r="326198" spans="1:1" x14ac:dyDescent="0.25">
      <c r="A326198" s="1"/>
    </row>
    <row r="326199" spans="1:1" x14ac:dyDescent="0.25">
      <c r="A326199" s="1"/>
    </row>
    <row r="326200" spans="1:1" x14ac:dyDescent="0.25">
      <c r="A326200" s="1"/>
    </row>
    <row r="326201" spans="1:1" x14ac:dyDescent="0.25">
      <c r="A326201" s="1"/>
    </row>
    <row r="326202" spans="1:1" x14ac:dyDescent="0.25">
      <c r="A326202" s="1"/>
    </row>
    <row r="326203" spans="1:1" x14ac:dyDescent="0.25">
      <c r="A326203" s="1"/>
    </row>
    <row r="326204" spans="1:1" x14ac:dyDescent="0.25">
      <c r="A326204" s="1"/>
    </row>
    <row r="326205" spans="1:1" x14ac:dyDescent="0.25">
      <c r="A326205" s="1"/>
    </row>
    <row r="326206" spans="1:1" x14ac:dyDescent="0.25">
      <c r="A326206" s="1"/>
    </row>
    <row r="326207" spans="1:1" x14ac:dyDescent="0.25">
      <c r="A326207" s="1"/>
    </row>
    <row r="326208" spans="1:1" x14ac:dyDescent="0.25">
      <c r="A326208" s="1"/>
    </row>
    <row r="326209" spans="1:1" x14ac:dyDescent="0.25">
      <c r="A326209" s="1"/>
    </row>
    <row r="326210" spans="1:1" x14ac:dyDescent="0.25">
      <c r="A326210" s="1"/>
    </row>
    <row r="326211" spans="1:1" x14ac:dyDescent="0.25">
      <c r="A326211" s="1"/>
    </row>
    <row r="326212" spans="1:1" x14ac:dyDescent="0.25">
      <c r="A326212" s="1"/>
    </row>
    <row r="326213" spans="1:1" x14ac:dyDescent="0.25">
      <c r="A326213" s="1"/>
    </row>
    <row r="326214" spans="1:1" x14ac:dyDescent="0.25">
      <c r="A326214" s="1"/>
    </row>
    <row r="326215" spans="1:1" x14ac:dyDescent="0.25">
      <c r="A326215" s="1"/>
    </row>
    <row r="326216" spans="1:1" x14ac:dyDescent="0.25">
      <c r="A326216" s="1"/>
    </row>
    <row r="326217" spans="1:1" x14ac:dyDescent="0.25">
      <c r="A326217" s="1"/>
    </row>
    <row r="326218" spans="1:1" x14ac:dyDescent="0.25">
      <c r="A326218" s="1"/>
    </row>
    <row r="326219" spans="1:1" x14ac:dyDescent="0.25">
      <c r="A326219" s="1"/>
    </row>
    <row r="326220" spans="1:1" x14ac:dyDescent="0.25">
      <c r="A326220" s="1"/>
    </row>
    <row r="326221" spans="1:1" x14ac:dyDescent="0.25">
      <c r="A326221" s="1"/>
    </row>
    <row r="326222" spans="1:1" x14ac:dyDescent="0.25">
      <c r="A326222" s="1"/>
    </row>
    <row r="326223" spans="1:1" x14ac:dyDescent="0.25">
      <c r="A326223" s="1"/>
    </row>
    <row r="326224" spans="1:1" x14ac:dyDescent="0.25">
      <c r="A326224" s="1"/>
    </row>
    <row r="326225" spans="1:1" x14ac:dyDescent="0.25">
      <c r="A326225" s="1"/>
    </row>
    <row r="326226" spans="1:1" x14ac:dyDescent="0.25">
      <c r="A326226" s="1"/>
    </row>
    <row r="326227" spans="1:1" x14ac:dyDescent="0.25">
      <c r="A326227" s="1"/>
    </row>
    <row r="326228" spans="1:1" x14ac:dyDescent="0.25">
      <c r="A326228" s="1"/>
    </row>
    <row r="326229" spans="1:1" x14ac:dyDescent="0.25">
      <c r="A326229" s="1"/>
    </row>
    <row r="326230" spans="1:1" x14ac:dyDescent="0.25">
      <c r="A326230" s="1"/>
    </row>
    <row r="326231" spans="1:1" x14ac:dyDescent="0.25">
      <c r="A326231" s="1"/>
    </row>
    <row r="326232" spans="1:1" x14ac:dyDescent="0.25">
      <c r="A326232" s="1"/>
    </row>
    <row r="326233" spans="1:1" x14ac:dyDescent="0.25">
      <c r="A326233" s="1"/>
    </row>
    <row r="326234" spans="1:1" x14ac:dyDescent="0.25">
      <c r="A326234" s="1"/>
    </row>
    <row r="326235" spans="1:1" x14ac:dyDescent="0.25">
      <c r="A326235" s="1"/>
    </row>
    <row r="326236" spans="1:1" x14ac:dyDescent="0.25">
      <c r="A326236" s="1"/>
    </row>
    <row r="326237" spans="1:1" x14ac:dyDescent="0.25">
      <c r="A326237" s="1"/>
    </row>
    <row r="326238" spans="1:1" x14ac:dyDescent="0.25">
      <c r="A326238" s="1"/>
    </row>
    <row r="326239" spans="1:1" x14ac:dyDescent="0.25">
      <c r="A326239" s="1"/>
    </row>
    <row r="326240" spans="1:1" x14ac:dyDescent="0.25">
      <c r="A326240" s="1"/>
    </row>
    <row r="326241" spans="1:1" x14ac:dyDescent="0.25">
      <c r="A326241" s="1"/>
    </row>
    <row r="326242" spans="1:1" x14ac:dyDescent="0.25">
      <c r="A326242" s="1"/>
    </row>
    <row r="326243" spans="1:1" x14ac:dyDescent="0.25">
      <c r="A326243" s="1"/>
    </row>
    <row r="326244" spans="1:1" x14ac:dyDescent="0.25">
      <c r="A326244" s="1"/>
    </row>
    <row r="326245" spans="1:1" x14ac:dyDescent="0.25">
      <c r="A326245" s="1"/>
    </row>
    <row r="326246" spans="1:1" x14ac:dyDescent="0.25">
      <c r="A326246" s="1"/>
    </row>
    <row r="326247" spans="1:1" x14ac:dyDescent="0.25">
      <c r="A326247" s="1"/>
    </row>
    <row r="326248" spans="1:1" x14ac:dyDescent="0.25">
      <c r="A326248" s="1"/>
    </row>
    <row r="326249" spans="1:1" x14ac:dyDescent="0.25">
      <c r="A326249" s="1"/>
    </row>
    <row r="326250" spans="1:1" x14ac:dyDescent="0.25">
      <c r="A326250" s="1"/>
    </row>
    <row r="326251" spans="1:1" x14ac:dyDescent="0.25">
      <c r="A326251" s="1"/>
    </row>
    <row r="326252" spans="1:1" x14ac:dyDescent="0.25">
      <c r="A326252" s="1"/>
    </row>
    <row r="326253" spans="1:1" x14ac:dyDescent="0.25">
      <c r="A326253" s="1"/>
    </row>
    <row r="326254" spans="1:1" x14ac:dyDescent="0.25">
      <c r="A326254" s="1"/>
    </row>
    <row r="326255" spans="1:1" x14ac:dyDescent="0.25">
      <c r="A326255" s="1"/>
    </row>
    <row r="326256" spans="1:1" x14ac:dyDescent="0.25">
      <c r="A326256" s="1"/>
    </row>
    <row r="326257" spans="1:1" x14ac:dyDescent="0.25">
      <c r="A326257" s="1"/>
    </row>
    <row r="326258" spans="1:1" x14ac:dyDescent="0.25">
      <c r="A326258" s="1"/>
    </row>
    <row r="326259" spans="1:1" x14ac:dyDescent="0.25">
      <c r="A326259" s="1"/>
    </row>
    <row r="326260" spans="1:1" x14ac:dyDescent="0.25">
      <c r="A326260" s="1"/>
    </row>
    <row r="326261" spans="1:1" x14ac:dyDescent="0.25">
      <c r="A326261" s="1"/>
    </row>
    <row r="326262" spans="1:1" x14ac:dyDescent="0.25">
      <c r="A326262" s="1"/>
    </row>
    <row r="326263" spans="1:1" x14ac:dyDescent="0.25">
      <c r="A326263" s="1"/>
    </row>
    <row r="326264" spans="1:1" x14ac:dyDescent="0.25">
      <c r="A326264" s="1"/>
    </row>
    <row r="326265" spans="1:1" x14ac:dyDescent="0.25">
      <c r="A326265" s="1"/>
    </row>
    <row r="326266" spans="1:1" x14ac:dyDescent="0.25">
      <c r="A326266" s="1"/>
    </row>
    <row r="326267" spans="1:1" x14ac:dyDescent="0.25">
      <c r="A326267" s="1"/>
    </row>
    <row r="326268" spans="1:1" x14ac:dyDescent="0.25">
      <c r="A326268" s="1"/>
    </row>
    <row r="326269" spans="1:1" x14ac:dyDescent="0.25">
      <c r="A326269" s="1"/>
    </row>
    <row r="326270" spans="1:1" x14ac:dyDescent="0.25">
      <c r="A326270" s="1"/>
    </row>
    <row r="326271" spans="1:1" x14ac:dyDescent="0.25">
      <c r="A326271" s="1"/>
    </row>
    <row r="326272" spans="1:1" x14ac:dyDescent="0.25">
      <c r="A326272" s="1"/>
    </row>
    <row r="326273" spans="1:1" x14ac:dyDescent="0.25">
      <c r="A326273" s="1"/>
    </row>
    <row r="326274" spans="1:1" x14ac:dyDescent="0.25">
      <c r="A326274" s="1"/>
    </row>
    <row r="326275" spans="1:1" x14ac:dyDescent="0.25">
      <c r="A326275" s="1"/>
    </row>
    <row r="326276" spans="1:1" x14ac:dyDescent="0.25">
      <c r="A326276" s="1"/>
    </row>
    <row r="326277" spans="1:1" x14ac:dyDescent="0.25">
      <c r="A326277" s="1"/>
    </row>
    <row r="326278" spans="1:1" x14ac:dyDescent="0.25">
      <c r="A326278" s="1"/>
    </row>
    <row r="326279" spans="1:1" x14ac:dyDescent="0.25">
      <c r="A326279" s="1"/>
    </row>
    <row r="326280" spans="1:1" x14ac:dyDescent="0.25">
      <c r="A326280" s="1"/>
    </row>
    <row r="326281" spans="1:1" x14ac:dyDescent="0.25">
      <c r="A326281" s="1"/>
    </row>
    <row r="326282" spans="1:1" x14ac:dyDescent="0.25">
      <c r="A326282" s="1"/>
    </row>
    <row r="326283" spans="1:1" x14ac:dyDescent="0.25">
      <c r="A326283" s="1"/>
    </row>
    <row r="326284" spans="1:1" x14ac:dyDescent="0.25">
      <c r="A326284" s="1"/>
    </row>
    <row r="326285" spans="1:1" x14ac:dyDescent="0.25">
      <c r="A326285" s="1"/>
    </row>
    <row r="326286" spans="1:1" x14ac:dyDescent="0.25">
      <c r="A326286" s="1"/>
    </row>
    <row r="326287" spans="1:1" x14ac:dyDescent="0.25">
      <c r="A326287" s="1"/>
    </row>
    <row r="326288" spans="1:1" x14ac:dyDescent="0.25">
      <c r="A326288" s="1"/>
    </row>
    <row r="326289" spans="1:1" x14ac:dyDescent="0.25">
      <c r="A326289" s="1"/>
    </row>
    <row r="326290" spans="1:1" x14ac:dyDescent="0.25">
      <c r="A326290" s="1"/>
    </row>
    <row r="326291" spans="1:1" x14ac:dyDescent="0.25">
      <c r="A326291" s="1"/>
    </row>
    <row r="326292" spans="1:1" x14ac:dyDescent="0.25">
      <c r="A326292" s="1"/>
    </row>
    <row r="326293" spans="1:1" x14ac:dyDescent="0.25">
      <c r="A326293" s="1"/>
    </row>
    <row r="326294" spans="1:1" x14ac:dyDescent="0.25">
      <c r="A326294" s="1"/>
    </row>
    <row r="326295" spans="1:1" x14ac:dyDescent="0.25">
      <c r="A326295" s="1"/>
    </row>
    <row r="326296" spans="1:1" x14ac:dyDescent="0.25">
      <c r="A326296" s="1"/>
    </row>
    <row r="326297" spans="1:1" x14ac:dyDescent="0.25">
      <c r="A326297" s="1"/>
    </row>
    <row r="326298" spans="1:1" x14ac:dyDescent="0.25">
      <c r="A326298" s="1"/>
    </row>
    <row r="326299" spans="1:1" x14ac:dyDescent="0.25">
      <c r="A326299" s="1"/>
    </row>
    <row r="326300" spans="1:1" x14ac:dyDescent="0.25">
      <c r="A326300" s="1"/>
    </row>
    <row r="326301" spans="1:1" x14ac:dyDescent="0.25">
      <c r="A326301" s="1"/>
    </row>
    <row r="326302" spans="1:1" x14ac:dyDescent="0.25">
      <c r="A326302" s="1"/>
    </row>
    <row r="326303" spans="1:1" x14ac:dyDescent="0.25">
      <c r="A326303" s="1"/>
    </row>
    <row r="326304" spans="1:1" x14ac:dyDescent="0.25">
      <c r="A326304" s="1"/>
    </row>
    <row r="326305" spans="1:1" x14ac:dyDescent="0.25">
      <c r="A326305" s="1"/>
    </row>
    <row r="326306" spans="1:1" x14ac:dyDescent="0.25">
      <c r="A326306" s="1"/>
    </row>
    <row r="326307" spans="1:1" x14ac:dyDescent="0.25">
      <c r="A326307" s="1"/>
    </row>
    <row r="326308" spans="1:1" x14ac:dyDescent="0.25">
      <c r="A326308" s="1"/>
    </row>
    <row r="326309" spans="1:1" x14ac:dyDescent="0.25">
      <c r="A326309" s="1"/>
    </row>
    <row r="326310" spans="1:1" x14ac:dyDescent="0.25">
      <c r="A326310" s="1"/>
    </row>
    <row r="326311" spans="1:1" x14ac:dyDescent="0.25">
      <c r="A326311" s="1"/>
    </row>
    <row r="326312" spans="1:1" x14ac:dyDescent="0.25">
      <c r="A326312" s="1"/>
    </row>
    <row r="326313" spans="1:1" x14ac:dyDescent="0.25">
      <c r="A326313" s="1"/>
    </row>
    <row r="326314" spans="1:1" x14ac:dyDescent="0.25">
      <c r="A326314" s="1"/>
    </row>
    <row r="326315" spans="1:1" x14ac:dyDescent="0.25">
      <c r="A326315" s="1"/>
    </row>
    <row r="326316" spans="1:1" x14ac:dyDescent="0.25">
      <c r="A326316" s="1"/>
    </row>
    <row r="326317" spans="1:1" x14ac:dyDescent="0.25">
      <c r="A326317" s="1"/>
    </row>
    <row r="326318" spans="1:1" x14ac:dyDescent="0.25">
      <c r="A326318" s="1"/>
    </row>
    <row r="326319" spans="1:1" x14ac:dyDescent="0.25">
      <c r="A326319" s="1"/>
    </row>
    <row r="326320" spans="1:1" x14ac:dyDescent="0.25">
      <c r="A326320" s="1"/>
    </row>
    <row r="326321" spans="1:1" x14ac:dyDescent="0.25">
      <c r="A326321" s="1"/>
    </row>
    <row r="326322" spans="1:1" x14ac:dyDescent="0.25">
      <c r="A326322" s="1"/>
    </row>
    <row r="326323" spans="1:1" x14ac:dyDescent="0.25">
      <c r="A326323" s="1"/>
    </row>
    <row r="326324" spans="1:1" x14ac:dyDescent="0.25">
      <c r="A326324" s="1"/>
    </row>
    <row r="326325" spans="1:1" x14ac:dyDescent="0.25">
      <c r="A326325" s="1"/>
    </row>
    <row r="326326" spans="1:1" x14ac:dyDescent="0.25">
      <c r="A326326" s="1"/>
    </row>
    <row r="326327" spans="1:1" x14ac:dyDescent="0.25">
      <c r="A326327" s="1"/>
    </row>
    <row r="326328" spans="1:1" x14ac:dyDescent="0.25">
      <c r="A326328" s="1"/>
    </row>
    <row r="326329" spans="1:1" x14ac:dyDescent="0.25">
      <c r="A326329" s="1"/>
    </row>
    <row r="326330" spans="1:1" x14ac:dyDescent="0.25">
      <c r="A326330" s="1"/>
    </row>
    <row r="326331" spans="1:1" x14ac:dyDescent="0.25">
      <c r="A326331" s="1"/>
    </row>
    <row r="326332" spans="1:1" x14ac:dyDescent="0.25">
      <c r="A326332" s="1"/>
    </row>
    <row r="326333" spans="1:1" x14ac:dyDescent="0.25">
      <c r="A326333" s="1"/>
    </row>
    <row r="326334" spans="1:1" x14ac:dyDescent="0.25">
      <c r="A326334" s="1"/>
    </row>
    <row r="326335" spans="1:1" x14ac:dyDescent="0.25">
      <c r="A326335" s="1"/>
    </row>
    <row r="326336" spans="1:1" x14ac:dyDescent="0.25">
      <c r="A326336" s="1"/>
    </row>
    <row r="326337" spans="1:1" x14ac:dyDescent="0.25">
      <c r="A326337" s="1"/>
    </row>
    <row r="326338" spans="1:1" x14ac:dyDescent="0.25">
      <c r="A326338" s="1"/>
    </row>
    <row r="326339" spans="1:1" x14ac:dyDescent="0.25">
      <c r="A326339" s="1"/>
    </row>
    <row r="326340" spans="1:1" x14ac:dyDescent="0.25">
      <c r="A326340" s="1"/>
    </row>
    <row r="326341" spans="1:1" x14ac:dyDescent="0.25">
      <c r="A326341" s="1"/>
    </row>
    <row r="326342" spans="1:1" x14ac:dyDescent="0.25">
      <c r="A326342" s="1"/>
    </row>
    <row r="326343" spans="1:1" x14ac:dyDescent="0.25">
      <c r="A326343" s="1"/>
    </row>
    <row r="326344" spans="1:1" x14ac:dyDescent="0.25">
      <c r="A326344" s="1"/>
    </row>
    <row r="326345" spans="1:1" x14ac:dyDescent="0.25">
      <c r="A326345" s="1"/>
    </row>
    <row r="326346" spans="1:1" x14ac:dyDescent="0.25">
      <c r="A326346" s="1"/>
    </row>
    <row r="326347" spans="1:1" x14ac:dyDescent="0.25">
      <c r="A326347" s="1"/>
    </row>
    <row r="326348" spans="1:1" x14ac:dyDescent="0.25">
      <c r="A326348" s="1"/>
    </row>
    <row r="326349" spans="1:1" x14ac:dyDescent="0.25">
      <c r="A326349" s="1"/>
    </row>
    <row r="326350" spans="1:1" x14ac:dyDescent="0.25">
      <c r="A326350" s="1"/>
    </row>
    <row r="326351" spans="1:1" x14ac:dyDescent="0.25">
      <c r="A326351" s="1"/>
    </row>
    <row r="326352" spans="1:1" x14ac:dyDescent="0.25">
      <c r="A326352" s="1"/>
    </row>
    <row r="326353" spans="1:1" x14ac:dyDescent="0.25">
      <c r="A326353" s="1"/>
    </row>
    <row r="326354" spans="1:1" x14ac:dyDescent="0.25">
      <c r="A326354" s="1"/>
    </row>
    <row r="326355" spans="1:1" x14ac:dyDescent="0.25">
      <c r="A326355" s="1"/>
    </row>
    <row r="326356" spans="1:1" x14ac:dyDescent="0.25">
      <c r="A326356" s="1"/>
    </row>
    <row r="326357" spans="1:1" x14ac:dyDescent="0.25">
      <c r="A326357" s="1"/>
    </row>
    <row r="326358" spans="1:1" x14ac:dyDescent="0.25">
      <c r="A326358" s="1"/>
    </row>
    <row r="326359" spans="1:1" x14ac:dyDescent="0.25">
      <c r="A326359" s="1"/>
    </row>
    <row r="326360" spans="1:1" x14ac:dyDescent="0.25">
      <c r="A326360" s="1"/>
    </row>
    <row r="326361" spans="1:1" x14ac:dyDescent="0.25">
      <c r="A326361" s="1"/>
    </row>
    <row r="326362" spans="1:1" x14ac:dyDescent="0.25">
      <c r="A326362" s="1"/>
    </row>
    <row r="326363" spans="1:1" x14ac:dyDescent="0.25">
      <c r="A326363" s="1"/>
    </row>
    <row r="326364" spans="1:1" x14ac:dyDescent="0.25">
      <c r="A326364" s="1"/>
    </row>
    <row r="326365" spans="1:1" x14ac:dyDescent="0.25">
      <c r="A326365" s="1"/>
    </row>
    <row r="326366" spans="1:1" x14ac:dyDescent="0.25">
      <c r="A326366" s="1"/>
    </row>
    <row r="326367" spans="1:1" x14ac:dyDescent="0.25">
      <c r="A326367" s="1"/>
    </row>
    <row r="326368" spans="1:1" x14ac:dyDescent="0.25">
      <c r="A326368" s="1"/>
    </row>
    <row r="326369" spans="1:1" x14ac:dyDescent="0.25">
      <c r="A326369" s="1"/>
    </row>
    <row r="326370" spans="1:1" x14ac:dyDescent="0.25">
      <c r="A326370" s="1"/>
    </row>
    <row r="326371" spans="1:1" x14ac:dyDescent="0.25">
      <c r="A326371" s="1"/>
    </row>
    <row r="326372" spans="1:1" x14ac:dyDescent="0.25">
      <c r="A326372" s="1"/>
    </row>
    <row r="326373" spans="1:1" x14ac:dyDescent="0.25">
      <c r="A326373" s="1"/>
    </row>
    <row r="326374" spans="1:1" x14ac:dyDescent="0.25">
      <c r="A326374" s="1"/>
    </row>
    <row r="326375" spans="1:1" x14ac:dyDescent="0.25">
      <c r="A326375" s="1"/>
    </row>
    <row r="326376" spans="1:1" x14ac:dyDescent="0.25">
      <c r="A326376" s="1"/>
    </row>
    <row r="326377" spans="1:1" x14ac:dyDescent="0.25">
      <c r="A326377" s="1"/>
    </row>
    <row r="326378" spans="1:1" x14ac:dyDescent="0.25">
      <c r="A326378" s="1"/>
    </row>
    <row r="326379" spans="1:1" x14ac:dyDescent="0.25">
      <c r="A326379" s="1"/>
    </row>
    <row r="326380" spans="1:1" x14ac:dyDescent="0.25">
      <c r="A326380" s="1"/>
    </row>
    <row r="326381" spans="1:1" x14ac:dyDescent="0.25">
      <c r="A326381" s="1"/>
    </row>
    <row r="326382" spans="1:1" x14ac:dyDescent="0.25">
      <c r="A326382" s="1"/>
    </row>
    <row r="326383" spans="1:1" x14ac:dyDescent="0.25">
      <c r="A326383" s="1"/>
    </row>
    <row r="326384" spans="1:1" x14ac:dyDescent="0.25">
      <c r="A326384" s="1"/>
    </row>
    <row r="326385" spans="1:1" x14ac:dyDescent="0.25">
      <c r="A326385" s="1"/>
    </row>
    <row r="326386" spans="1:1" x14ac:dyDescent="0.25">
      <c r="A326386" s="1"/>
    </row>
    <row r="326387" spans="1:1" x14ac:dyDescent="0.25">
      <c r="A326387" s="1"/>
    </row>
    <row r="326388" spans="1:1" x14ac:dyDescent="0.25">
      <c r="A326388" s="1"/>
    </row>
    <row r="326389" spans="1:1" x14ac:dyDescent="0.25">
      <c r="A326389" s="1"/>
    </row>
    <row r="326390" spans="1:1" x14ac:dyDescent="0.25">
      <c r="A326390" s="1"/>
    </row>
    <row r="326391" spans="1:1" x14ac:dyDescent="0.25">
      <c r="A326391" s="1"/>
    </row>
    <row r="326392" spans="1:1" x14ac:dyDescent="0.25">
      <c r="A326392" s="1"/>
    </row>
    <row r="326393" spans="1:1" x14ac:dyDescent="0.25">
      <c r="A326393" s="1"/>
    </row>
    <row r="326394" spans="1:1" x14ac:dyDescent="0.25">
      <c r="A326394" s="1"/>
    </row>
    <row r="326395" spans="1:1" x14ac:dyDescent="0.25">
      <c r="A326395" s="1"/>
    </row>
    <row r="326396" spans="1:1" x14ac:dyDescent="0.25">
      <c r="A326396" s="1"/>
    </row>
    <row r="326397" spans="1:1" x14ac:dyDescent="0.25">
      <c r="A326397" s="1"/>
    </row>
    <row r="326398" spans="1:1" x14ac:dyDescent="0.25">
      <c r="A326398" s="1"/>
    </row>
    <row r="326399" spans="1:1" x14ac:dyDescent="0.25">
      <c r="A326399" s="1"/>
    </row>
    <row r="326400" spans="1:1" x14ac:dyDescent="0.25">
      <c r="A326400" s="1"/>
    </row>
    <row r="326401" spans="1:1" x14ac:dyDescent="0.25">
      <c r="A326401" s="1"/>
    </row>
    <row r="326402" spans="1:1" x14ac:dyDescent="0.25">
      <c r="A326402" s="1"/>
    </row>
    <row r="326403" spans="1:1" x14ac:dyDescent="0.25">
      <c r="A326403" s="1"/>
    </row>
    <row r="326404" spans="1:1" x14ac:dyDescent="0.25">
      <c r="A326404" s="1"/>
    </row>
    <row r="326405" spans="1:1" x14ac:dyDescent="0.25">
      <c r="A326405" s="1"/>
    </row>
    <row r="326406" spans="1:1" x14ac:dyDescent="0.25">
      <c r="A326406" s="1"/>
    </row>
    <row r="326407" spans="1:1" x14ac:dyDescent="0.25">
      <c r="A326407" s="1"/>
    </row>
    <row r="326408" spans="1:1" x14ac:dyDescent="0.25">
      <c r="A326408" s="1"/>
    </row>
    <row r="326409" spans="1:1" x14ac:dyDescent="0.25">
      <c r="A326409" s="1"/>
    </row>
    <row r="326410" spans="1:1" x14ac:dyDescent="0.25">
      <c r="A326410" s="1"/>
    </row>
    <row r="326411" spans="1:1" x14ac:dyDescent="0.25">
      <c r="A326411" s="1"/>
    </row>
    <row r="326412" spans="1:1" x14ac:dyDescent="0.25">
      <c r="A326412" s="1"/>
    </row>
    <row r="326413" spans="1:1" x14ac:dyDescent="0.25">
      <c r="A326413" s="1"/>
    </row>
    <row r="326414" spans="1:1" x14ac:dyDescent="0.25">
      <c r="A326414" s="1"/>
    </row>
    <row r="326415" spans="1:1" x14ac:dyDescent="0.25">
      <c r="A326415" s="1"/>
    </row>
    <row r="326416" spans="1:1" x14ac:dyDescent="0.25">
      <c r="A326416" s="1"/>
    </row>
    <row r="326417" spans="1:1" x14ac:dyDescent="0.25">
      <c r="A326417" s="1"/>
    </row>
    <row r="326418" spans="1:1" x14ac:dyDescent="0.25">
      <c r="A326418" s="1"/>
    </row>
    <row r="326419" spans="1:1" x14ac:dyDescent="0.25">
      <c r="A326419" s="1"/>
    </row>
    <row r="326420" spans="1:1" x14ac:dyDescent="0.25">
      <c r="A326420" s="1"/>
    </row>
    <row r="326421" spans="1:1" x14ac:dyDescent="0.25">
      <c r="A326421" s="1"/>
    </row>
    <row r="326422" spans="1:1" x14ac:dyDescent="0.25">
      <c r="A326422" s="1"/>
    </row>
    <row r="326423" spans="1:1" x14ac:dyDescent="0.25">
      <c r="A326423" s="1"/>
    </row>
    <row r="326424" spans="1:1" x14ac:dyDescent="0.25">
      <c r="A326424" s="1"/>
    </row>
    <row r="326425" spans="1:1" x14ac:dyDescent="0.25">
      <c r="A326425" s="1"/>
    </row>
    <row r="326426" spans="1:1" x14ac:dyDescent="0.25">
      <c r="A326426" s="1"/>
    </row>
    <row r="326427" spans="1:1" x14ac:dyDescent="0.25">
      <c r="A326427" s="1"/>
    </row>
    <row r="326428" spans="1:1" x14ac:dyDescent="0.25">
      <c r="A326428" s="1"/>
    </row>
    <row r="326429" spans="1:1" x14ac:dyDescent="0.25">
      <c r="A326429" s="1"/>
    </row>
    <row r="326430" spans="1:1" x14ac:dyDescent="0.25">
      <c r="A326430" s="1"/>
    </row>
    <row r="326431" spans="1:1" x14ac:dyDescent="0.25">
      <c r="A326431" s="1"/>
    </row>
    <row r="326432" spans="1:1" x14ac:dyDescent="0.25">
      <c r="A326432" s="1"/>
    </row>
    <row r="326433" spans="1:1" x14ac:dyDescent="0.25">
      <c r="A326433" s="1"/>
    </row>
    <row r="326434" spans="1:1" x14ac:dyDescent="0.25">
      <c r="A326434" s="1"/>
    </row>
    <row r="326435" spans="1:1" x14ac:dyDescent="0.25">
      <c r="A326435" s="1"/>
    </row>
    <row r="326436" spans="1:1" x14ac:dyDescent="0.25">
      <c r="A326436" s="1"/>
    </row>
    <row r="326437" spans="1:1" x14ac:dyDescent="0.25">
      <c r="A326437" s="1"/>
    </row>
    <row r="326438" spans="1:1" x14ac:dyDescent="0.25">
      <c r="A326438" s="1"/>
    </row>
    <row r="326439" spans="1:1" x14ac:dyDescent="0.25">
      <c r="A326439" s="1"/>
    </row>
    <row r="326440" spans="1:1" x14ac:dyDescent="0.25">
      <c r="A326440" s="1"/>
    </row>
    <row r="326441" spans="1:1" x14ac:dyDescent="0.25">
      <c r="A326441" s="1"/>
    </row>
    <row r="326442" spans="1:1" x14ac:dyDescent="0.25">
      <c r="A326442" s="1"/>
    </row>
    <row r="326443" spans="1:1" x14ac:dyDescent="0.25">
      <c r="A326443" s="1"/>
    </row>
    <row r="326444" spans="1:1" x14ac:dyDescent="0.25">
      <c r="A326444" s="1"/>
    </row>
    <row r="326445" spans="1:1" x14ac:dyDescent="0.25">
      <c r="A326445" s="1"/>
    </row>
    <row r="326446" spans="1:1" x14ac:dyDescent="0.25">
      <c r="A326446" s="1"/>
    </row>
    <row r="326447" spans="1:1" x14ac:dyDescent="0.25">
      <c r="A326447" s="1"/>
    </row>
    <row r="326448" spans="1:1" x14ac:dyDescent="0.25">
      <c r="A326448" s="1"/>
    </row>
    <row r="326449" spans="1:1" x14ac:dyDescent="0.25">
      <c r="A326449" s="1"/>
    </row>
    <row r="326450" spans="1:1" x14ac:dyDescent="0.25">
      <c r="A326450" s="1"/>
    </row>
    <row r="326451" spans="1:1" x14ac:dyDescent="0.25">
      <c r="A326451" s="1"/>
    </row>
    <row r="326452" spans="1:1" x14ac:dyDescent="0.25">
      <c r="A326452" s="1"/>
    </row>
    <row r="326453" spans="1:1" x14ac:dyDescent="0.25">
      <c r="A326453" s="1"/>
    </row>
    <row r="326454" spans="1:1" x14ac:dyDescent="0.25">
      <c r="A326454" s="1"/>
    </row>
    <row r="326455" spans="1:1" x14ac:dyDescent="0.25">
      <c r="A326455" s="1"/>
    </row>
    <row r="326456" spans="1:1" x14ac:dyDescent="0.25">
      <c r="A326456" s="1"/>
    </row>
    <row r="326457" spans="1:1" x14ac:dyDescent="0.25">
      <c r="A326457" s="1"/>
    </row>
    <row r="326458" spans="1:1" x14ac:dyDescent="0.25">
      <c r="A326458" s="1"/>
    </row>
    <row r="326459" spans="1:1" x14ac:dyDescent="0.25">
      <c r="A326459" s="1"/>
    </row>
    <row r="326460" spans="1:1" x14ac:dyDescent="0.25">
      <c r="A326460" s="1"/>
    </row>
    <row r="326461" spans="1:1" x14ac:dyDescent="0.25">
      <c r="A326461" s="1"/>
    </row>
    <row r="326462" spans="1:1" x14ac:dyDescent="0.25">
      <c r="A326462" s="1"/>
    </row>
    <row r="326463" spans="1:1" x14ac:dyDescent="0.25">
      <c r="A326463" s="1"/>
    </row>
    <row r="326464" spans="1:1" x14ac:dyDescent="0.25">
      <c r="A326464" s="1"/>
    </row>
    <row r="326465" spans="1:1" x14ac:dyDescent="0.25">
      <c r="A326465" s="1"/>
    </row>
    <row r="326466" spans="1:1" x14ac:dyDescent="0.25">
      <c r="A326466" s="1"/>
    </row>
    <row r="326467" spans="1:1" x14ac:dyDescent="0.25">
      <c r="A326467" s="1"/>
    </row>
    <row r="326468" spans="1:1" x14ac:dyDescent="0.25">
      <c r="A326468" s="1"/>
    </row>
    <row r="326469" spans="1:1" x14ac:dyDescent="0.25">
      <c r="A326469" s="1"/>
    </row>
    <row r="326470" spans="1:1" x14ac:dyDescent="0.25">
      <c r="A326470" s="1"/>
    </row>
    <row r="326471" spans="1:1" x14ac:dyDescent="0.25">
      <c r="A326471" s="1"/>
    </row>
    <row r="326472" spans="1:1" x14ac:dyDescent="0.25">
      <c r="A326472" s="1"/>
    </row>
    <row r="326473" spans="1:1" x14ac:dyDescent="0.25">
      <c r="A326473" s="1"/>
    </row>
    <row r="326474" spans="1:1" x14ac:dyDescent="0.25">
      <c r="A326474" s="1"/>
    </row>
    <row r="326475" spans="1:1" x14ac:dyDescent="0.25">
      <c r="A326475" s="1"/>
    </row>
    <row r="326476" spans="1:1" x14ac:dyDescent="0.25">
      <c r="A326476" s="1"/>
    </row>
    <row r="326477" spans="1:1" x14ac:dyDescent="0.25">
      <c r="A326477" s="1"/>
    </row>
    <row r="326478" spans="1:1" x14ac:dyDescent="0.25">
      <c r="A326478" s="1"/>
    </row>
    <row r="326479" spans="1:1" x14ac:dyDescent="0.25">
      <c r="A326479" s="1"/>
    </row>
    <row r="326480" spans="1:1" x14ac:dyDescent="0.25">
      <c r="A326480" s="1"/>
    </row>
    <row r="326481" spans="1:1" x14ac:dyDescent="0.25">
      <c r="A326481" s="1"/>
    </row>
    <row r="326482" spans="1:1" x14ac:dyDescent="0.25">
      <c r="A326482" s="1"/>
    </row>
    <row r="326483" spans="1:1" x14ac:dyDescent="0.25">
      <c r="A326483" s="1"/>
    </row>
    <row r="326484" spans="1:1" x14ac:dyDescent="0.25">
      <c r="A326484" s="1"/>
    </row>
    <row r="326485" spans="1:1" x14ac:dyDescent="0.25">
      <c r="A326485" s="1"/>
    </row>
    <row r="326486" spans="1:1" x14ac:dyDescent="0.25">
      <c r="A326486" s="1"/>
    </row>
    <row r="326487" spans="1:1" x14ac:dyDescent="0.25">
      <c r="A326487" s="1"/>
    </row>
    <row r="326488" spans="1:1" x14ac:dyDescent="0.25">
      <c r="A326488" s="1"/>
    </row>
    <row r="326489" spans="1:1" x14ac:dyDescent="0.25">
      <c r="A326489" s="1"/>
    </row>
    <row r="326490" spans="1:1" x14ac:dyDescent="0.25">
      <c r="A326490" s="1"/>
    </row>
    <row r="326491" spans="1:1" x14ac:dyDescent="0.25">
      <c r="A326491" s="1"/>
    </row>
    <row r="326492" spans="1:1" x14ac:dyDescent="0.25">
      <c r="A326492" s="1"/>
    </row>
    <row r="326493" spans="1:1" x14ac:dyDescent="0.25">
      <c r="A326493" s="1"/>
    </row>
    <row r="326494" spans="1:1" x14ac:dyDescent="0.25">
      <c r="A326494" s="1"/>
    </row>
    <row r="326495" spans="1:1" x14ac:dyDescent="0.25">
      <c r="A326495" s="1"/>
    </row>
    <row r="326496" spans="1:1" x14ac:dyDescent="0.25">
      <c r="A326496" s="1"/>
    </row>
    <row r="326497" spans="1:1" x14ac:dyDescent="0.25">
      <c r="A326497" s="1"/>
    </row>
    <row r="326498" spans="1:1" x14ac:dyDescent="0.25">
      <c r="A326498" s="1"/>
    </row>
    <row r="326499" spans="1:1" x14ac:dyDescent="0.25">
      <c r="A326499" s="1"/>
    </row>
    <row r="326500" spans="1:1" x14ac:dyDescent="0.25">
      <c r="A326500" s="1"/>
    </row>
    <row r="326501" spans="1:1" x14ac:dyDescent="0.25">
      <c r="A326501" s="1"/>
    </row>
    <row r="326502" spans="1:1" x14ac:dyDescent="0.25">
      <c r="A326502" s="1"/>
    </row>
    <row r="326503" spans="1:1" x14ac:dyDescent="0.25">
      <c r="A326503" s="1"/>
    </row>
    <row r="326504" spans="1:1" x14ac:dyDescent="0.25">
      <c r="A326504" s="1"/>
    </row>
    <row r="326505" spans="1:1" x14ac:dyDescent="0.25">
      <c r="A326505" s="1"/>
    </row>
    <row r="326506" spans="1:1" x14ac:dyDescent="0.25">
      <c r="A326506" s="1"/>
    </row>
    <row r="326507" spans="1:1" x14ac:dyDescent="0.25">
      <c r="A326507" s="1"/>
    </row>
    <row r="326508" spans="1:1" x14ac:dyDescent="0.25">
      <c r="A326508" s="1"/>
    </row>
    <row r="326509" spans="1:1" x14ac:dyDescent="0.25">
      <c r="A326509" s="1"/>
    </row>
    <row r="326510" spans="1:1" x14ac:dyDescent="0.25">
      <c r="A326510" s="1"/>
    </row>
    <row r="326511" spans="1:1" x14ac:dyDescent="0.25">
      <c r="A326511" s="1"/>
    </row>
    <row r="326512" spans="1:1" x14ac:dyDescent="0.25">
      <c r="A326512" s="1"/>
    </row>
    <row r="326513" spans="1:1" x14ac:dyDescent="0.25">
      <c r="A326513" s="1"/>
    </row>
    <row r="326514" spans="1:1" x14ac:dyDescent="0.25">
      <c r="A326514" s="1"/>
    </row>
    <row r="326515" spans="1:1" x14ac:dyDescent="0.25">
      <c r="A326515" s="1"/>
    </row>
    <row r="326516" spans="1:1" x14ac:dyDescent="0.25">
      <c r="A326516" s="1"/>
    </row>
    <row r="326517" spans="1:1" x14ac:dyDescent="0.25">
      <c r="A326517" s="1"/>
    </row>
    <row r="326518" spans="1:1" x14ac:dyDescent="0.25">
      <c r="A326518" s="1"/>
    </row>
    <row r="326519" spans="1:1" x14ac:dyDescent="0.25">
      <c r="A326519" s="1"/>
    </row>
    <row r="326520" spans="1:1" x14ac:dyDescent="0.25">
      <c r="A326520" s="1"/>
    </row>
    <row r="326521" spans="1:1" x14ac:dyDescent="0.25">
      <c r="A326521" s="1"/>
    </row>
    <row r="326522" spans="1:1" x14ac:dyDescent="0.25">
      <c r="A326522" s="1"/>
    </row>
    <row r="326523" spans="1:1" x14ac:dyDescent="0.25">
      <c r="A326523" s="1"/>
    </row>
    <row r="326524" spans="1:1" x14ac:dyDescent="0.25">
      <c r="A326524" s="1"/>
    </row>
    <row r="326525" spans="1:1" x14ac:dyDescent="0.25">
      <c r="A326525" s="1"/>
    </row>
    <row r="326526" spans="1:1" x14ac:dyDescent="0.25">
      <c r="A326526" s="1"/>
    </row>
    <row r="326527" spans="1:1" x14ac:dyDescent="0.25">
      <c r="A326527" s="1"/>
    </row>
    <row r="326528" spans="1:1" x14ac:dyDescent="0.25">
      <c r="A326528" s="1"/>
    </row>
    <row r="326529" spans="1:1" x14ac:dyDescent="0.25">
      <c r="A326529" s="1"/>
    </row>
    <row r="326530" spans="1:1" x14ac:dyDescent="0.25">
      <c r="A326530" s="1"/>
    </row>
    <row r="326531" spans="1:1" x14ac:dyDescent="0.25">
      <c r="A326531" s="1"/>
    </row>
    <row r="326532" spans="1:1" x14ac:dyDescent="0.25">
      <c r="A326532" s="1"/>
    </row>
    <row r="326533" spans="1:1" x14ac:dyDescent="0.25">
      <c r="A326533" s="1"/>
    </row>
    <row r="326534" spans="1:1" x14ac:dyDescent="0.25">
      <c r="A326534" s="1"/>
    </row>
    <row r="326535" spans="1:1" x14ac:dyDescent="0.25">
      <c r="A326535" s="1"/>
    </row>
    <row r="326536" spans="1:1" x14ac:dyDescent="0.25">
      <c r="A326536" s="1"/>
    </row>
    <row r="326537" spans="1:1" x14ac:dyDescent="0.25">
      <c r="A326537" s="1"/>
    </row>
    <row r="326538" spans="1:1" x14ac:dyDescent="0.25">
      <c r="A326538" s="1"/>
    </row>
    <row r="326539" spans="1:1" x14ac:dyDescent="0.25">
      <c r="A326539" s="1"/>
    </row>
    <row r="326540" spans="1:1" x14ac:dyDescent="0.25">
      <c r="A326540" s="1"/>
    </row>
    <row r="326541" spans="1:1" x14ac:dyDescent="0.25">
      <c r="A326541" s="1"/>
    </row>
    <row r="326542" spans="1:1" x14ac:dyDescent="0.25">
      <c r="A326542" s="1"/>
    </row>
    <row r="326543" spans="1:1" x14ac:dyDescent="0.25">
      <c r="A326543" s="1"/>
    </row>
    <row r="326544" spans="1:1" x14ac:dyDescent="0.25">
      <c r="A326544" s="1"/>
    </row>
    <row r="326545" spans="1:1" x14ac:dyDescent="0.25">
      <c r="A326545" s="1"/>
    </row>
    <row r="326546" spans="1:1" x14ac:dyDescent="0.25">
      <c r="A326546" s="1"/>
    </row>
    <row r="326547" spans="1:1" x14ac:dyDescent="0.25">
      <c r="A326547" s="1"/>
    </row>
    <row r="326548" spans="1:1" x14ac:dyDescent="0.25">
      <c r="A326548" s="1"/>
    </row>
    <row r="326549" spans="1:1" x14ac:dyDescent="0.25">
      <c r="A326549" s="1"/>
    </row>
    <row r="326550" spans="1:1" x14ac:dyDescent="0.25">
      <c r="A326550" s="1"/>
    </row>
    <row r="326551" spans="1:1" x14ac:dyDescent="0.25">
      <c r="A326551" s="1"/>
    </row>
    <row r="326552" spans="1:1" x14ac:dyDescent="0.25">
      <c r="A326552" s="1"/>
    </row>
    <row r="326553" spans="1:1" x14ac:dyDescent="0.25">
      <c r="A326553" s="1"/>
    </row>
    <row r="326554" spans="1:1" x14ac:dyDescent="0.25">
      <c r="A326554" s="1"/>
    </row>
    <row r="326555" spans="1:1" x14ac:dyDescent="0.25">
      <c r="A326555" s="1"/>
    </row>
    <row r="326556" spans="1:1" x14ac:dyDescent="0.25">
      <c r="A326556" s="1"/>
    </row>
    <row r="326557" spans="1:1" x14ac:dyDescent="0.25">
      <c r="A326557" s="1"/>
    </row>
    <row r="326558" spans="1:1" x14ac:dyDescent="0.25">
      <c r="A326558" s="1"/>
    </row>
    <row r="326559" spans="1:1" x14ac:dyDescent="0.25">
      <c r="A326559" s="1"/>
    </row>
    <row r="326560" spans="1:1" x14ac:dyDescent="0.25">
      <c r="A326560" s="1"/>
    </row>
    <row r="326561" spans="1:1" x14ac:dyDescent="0.25">
      <c r="A326561" s="1"/>
    </row>
    <row r="326562" spans="1:1" x14ac:dyDescent="0.25">
      <c r="A326562" s="1"/>
    </row>
    <row r="326563" spans="1:1" x14ac:dyDescent="0.25">
      <c r="A326563" s="1"/>
    </row>
    <row r="326564" spans="1:1" x14ac:dyDescent="0.25">
      <c r="A326564" s="1"/>
    </row>
    <row r="326565" spans="1:1" x14ac:dyDescent="0.25">
      <c r="A326565" s="1"/>
    </row>
    <row r="326566" spans="1:1" x14ac:dyDescent="0.25">
      <c r="A326566" s="1"/>
    </row>
    <row r="326567" spans="1:1" x14ac:dyDescent="0.25">
      <c r="A326567" s="1"/>
    </row>
    <row r="326568" spans="1:1" x14ac:dyDescent="0.25">
      <c r="A326568" s="1"/>
    </row>
    <row r="326569" spans="1:1" x14ac:dyDescent="0.25">
      <c r="A326569" s="1"/>
    </row>
    <row r="326570" spans="1:1" x14ac:dyDescent="0.25">
      <c r="A326570" s="1"/>
    </row>
    <row r="326571" spans="1:1" x14ac:dyDescent="0.25">
      <c r="A326571" s="1"/>
    </row>
    <row r="326572" spans="1:1" x14ac:dyDescent="0.25">
      <c r="A326572" s="1"/>
    </row>
    <row r="326573" spans="1:1" x14ac:dyDescent="0.25">
      <c r="A326573" s="1"/>
    </row>
    <row r="326574" spans="1:1" x14ac:dyDescent="0.25">
      <c r="A326574" s="1"/>
    </row>
    <row r="326575" spans="1:1" x14ac:dyDescent="0.25">
      <c r="A326575" s="1"/>
    </row>
    <row r="326576" spans="1:1" x14ac:dyDescent="0.25">
      <c r="A326576" s="1"/>
    </row>
    <row r="326577" spans="1:1" x14ac:dyDescent="0.25">
      <c r="A326577" s="1"/>
    </row>
    <row r="326578" spans="1:1" x14ac:dyDescent="0.25">
      <c r="A326578" s="1"/>
    </row>
    <row r="326579" spans="1:1" x14ac:dyDescent="0.25">
      <c r="A326579" s="1"/>
    </row>
    <row r="326580" spans="1:1" x14ac:dyDescent="0.25">
      <c r="A326580" s="1"/>
    </row>
    <row r="326581" spans="1:1" x14ac:dyDescent="0.25">
      <c r="A326581" s="1"/>
    </row>
    <row r="326582" spans="1:1" x14ac:dyDescent="0.25">
      <c r="A326582" s="1"/>
    </row>
    <row r="326583" spans="1:1" x14ac:dyDescent="0.25">
      <c r="A326583" s="1"/>
    </row>
    <row r="326584" spans="1:1" x14ac:dyDescent="0.25">
      <c r="A326584" s="1"/>
    </row>
    <row r="326585" spans="1:1" x14ac:dyDescent="0.25">
      <c r="A326585" s="1"/>
    </row>
    <row r="326586" spans="1:1" x14ac:dyDescent="0.25">
      <c r="A326586" s="1"/>
    </row>
    <row r="326587" spans="1:1" x14ac:dyDescent="0.25">
      <c r="A326587" s="1"/>
    </row>
    <row r="326588" spans="1:1" x14ac:dyDescent="0.25">
      <c r="A326588" s="1"/>
    </row>
    <row r="326589" spans="1:1" x14ac:dyDescent="0.25">
      <c r="A326589" s="1"/>
    </row>
    <row r="326590" spans="1:1" x14ac:dyDescent="0.25">
      <c r="A326590" s="1"/>
    </row>
    <row r="326591" spans="1:1" x14ac:dyDescent="0.25">
      <c r="A326591" s="1"/>
    </row>
    <row r="326592" spans="1:1" x14ac:dyDescent="0.25">
      <c r="A326592" s="1"/>
    </row>
    <row r="326593" spans="1:1" x14ac:dyDescent="0.25">
      <c r="A326593" s="1"/>
    </row>
    <row r="326594" spans="1:1" x14ac:dyDescent="0.25">
      <c r="A326594" s="1"/>
    </row>
    <row r="326595" spans="1:1" x14ac:dyDescent="0.25">
      <c r="A326595" s="1"/>
    </row>
    <row r="326596" spans="1:1" x14ac:dyDescent="0.25">
      <c r="A326596" s="1"/>
    </row>
    <row r="326597" spans="1:1" x14ac:dyDescent="0.25">
      <c r="A326597" s="1"/>
    </row>
    <row r="326598" spans="1:1" x14ac:dyDescent="0.25">
      <c r="A326598" s="1"/>
    </row>
    <row r="326599" spans="1:1" x14ac:dyDescent="0.25">
      <c r="A326599" s="1"/>
    </row>
    <row r="326600" spans="1:1" x14ac:dyDescent="0.25">
      <c r="A326600" s="1"/>
    </row>
    <row r="326601" spans="1:1" x14ac:dyDescent="0.25">
      <c r="A326601" s="1"/>
    </row>
    <row r="326602" spans="1:1" x14ac:dyDescent="0.25">
      <c r="A326602" s="1"/>
    </row>
    <row r="326603" spans="1:1" x14ac:dyDescent="0.25">
      <c r="A326603" s="1"/>
    </row>
    <row r="326604" spans="1:1" x14ac:dyDescent="0.25">
      <c r="A326604" s="1"/>
    </row>
    <row r="326605" spans="1:1" x14ac:dyDescent="0.25">
      <c r="A326605" s="1"/>
    </row>
    <row r="326606" spans="1:1" x14ac:dyDescent="0.25">
      <c r="A326606" s="1"/>
    </row>
    <row r="326607" spans="1:1" x14ac:dyDescent="0.25">
      <c r="A326607" s="1"/>
    </row>
    <row r="326608" spans="1:1" x14ac:dyDescent="0.25">
      <c r="A326608" s="1"/>
    </row>
    <row r="326609" spans="1:1" x14ac:dyDescent="0.25">
      <c r="A326609" s="1"/>
    </row>
    <row r="326610" spans="1:1" x14ac:dyDescent="0.25">
      <c r="A326610" s="1"/>
    </row>
    <row r="326611" spans="1:1" x14ac:dyDescent="0.25">
      <c r="A326611" s="1"/>
    </row>
    <row r="326612" spans="1:1" x14ac:dyDescent="0.25">
      <c r="A326612" s="1"/>
    </row>
    <row r="326613" spans="1:1" x14ac:dyDescent="0.25">
      <c r="A326613" s="1"/>
    </row>
    <row r="326614" spans="1:1" x14ac:dyDescent="0.25">
      <c r="A326614" s="1"/>
    </row>
    <row r="326615" spans="1:1" x14ac:dyDescent="0.25">
      <c r="A326615" s="1"/>
    </row>
    <row r="326616" spans="1:1" x14ac:dyDescent="0.25">
      <c r="A326616" s="1"/>
    </row>
    <row r="326617" spans="1:1" x14ac:dyDescent="0.25">
      <c r="A326617" s="1"/>
    </row>
    <row r="326618" spans="1:1" x14ac:dyDescent="0.25">
      <c r="A326618" s="1"/>
    </row>
    <row r="326619" spans="1:1" x14ac:dyDescent="0.25">
      <c r="A326619" s="1"/>
    </row>
    <row r="326620" spans="1:1" x14ac:dyDescent="0.25">
      <c r="A326620" s="1"/>
    </row>
    <row r="326621" spans="1:1" x14ac:dyDescent="0.25">
      <c r="A326621" s="1"/>
    </row>
    <row r="326622" spans="1:1" x14ac:dyDescent="0.25">
      <c r="A326622" s="1"/>
    </row>
    <row r="326623" spans="1:1" x14ac:dyDescent="0.25">
      <c r="A326623" s="1"/>
    </row>
    <row r="326624" spans="1:1" x14ac:dyDescent="0.25">
      <c r="A326624" s="1"/>
    </row>
    <row r="326625" spans="1:1" x14ac:dyDescent="0.25">
      <c r="A326625" s="1"/>
    </row>
    <row r="326626" spans="1:1" x14ac:dyDescent="0.25">
      <c r="A326626" s="1"/>
    </row>
    <row r="326627" spans="1:1" x14ac:dyDescent="0.25">
      <c r="A326627" s="1"/>
    </row>
    <row r="326628" spans="1:1" x14ac:dyDescent="0.25">
      <c r="A326628" s="1"/>
    </row>
    <row r="326629" spans="1:1" x14ac:dyDescent="0.25">
      <c r="A326629" s="1"/>
    </row>
    <row r="326630" spans="1:1" x14ac:dyDescent="0.25">
      <c r="A326630" s="1"/>
    </row>
    <row r="326631" spans="1:1" x14ac:dyDescent="0.25">
      <c r="A326631" s="1"/>
    </row>
    <row r="326632" spans="1:1" x14ac:dyDescent="0.25">
      <c r="A326632" s="1"/>
    </row>
    <row r="326633" spans="1:1" x14ac:dyDescent="0.25">
      <c r="A326633" s="1"/>
    </row>
    <row r="326634" spans="1:1" x14ac:dyDescent="0.25">
      <c r="A326634" s="1"/>
    </row>
    <row r="326635" spans="1:1" x14ac:dyDescent="0.25">
      <c r="A326635" s="1"/>
    </row>
    <row r="326636" spans="1:1" x14ac:dyDescent="0.25">
      <c r="A326636" s="1"/>
    </row>
    <row r="326637" spans="1:1" x14ac:dyDescent="0.25">
      <c r="A326637" s="1"/>
    </row>
    <row r="326638" spans="1:1" x14ac:dyDescent="0.25">
      <c r="A326638" s="1"/>
    </row>
    <row r="326639" spans="1:1" x14ac:dyDescent="0.25">
      <c r="A326639" s="1"/>
    </row>
    <row r="326640" spans="1:1" x14ac:dyDescent="0.25">
      <c r="A326640" s="1"/>
    </row>
    <row r="326641" spans="1:1" x14ac:dyDescent="0.25">
      <c r="A326641" s="1"/>
    </row>
    <row r="326642" spans="1:1" x14ac:dyDescent="0.25">
      <c r="A326642" s="1"/>
    </row>
    <row r="326643" spans="1:1" x14ac:dyDescent="0.25">
      <c r="A326643" s="1"/>
    </row>
    <row r="326644" spans="1:1" x14ac:dyDescent="0.25">
      <c r="A326644" s="1"/>
    </row>
    <row r="326645" spans="1:1" x14ac:dyDescent="0.25">
      <c r="A326645" s="1"/>
    </row>
    <row r="326646" spans="1:1" x14ac:dyDescent="0.25">
      <c r="A326646" s="1"/>
    </row>
    <row r="326647" spans="1:1" x14ac:dyDescent="0.25">
      <c r="A326647" s="1"/>
    </row>
    <row r="326648" spans="1:1" x14ac:dyDescent="0.25">
      <c r="A326648" s="1"/>
    </row>
    <row r="326649" spans="1:1" x14ac:dyDescent="0.25">
      <c r="A326649" s="1"/>
    </row>
    <row r="326650" spans="1:1" x14ac:dyDescent="0.25">
      <c r="A326650" s="1"/>
    </row>
    <row r="326651" spans="1:1" x14ac:dyDescent="0.25">
      <c r="A326651" s="1"/>
    </row>
    <row r="326652" spans="1:1" x14ac:dyDescent="0.25">
      <c r="A326652" s="1"/>
    </row>
    <row r="326653" spans="1:1" x14ac:dyDescent="0.25">
      <c r="A326653" s="1"/>
    </row>
    <row r="326654" spans="1:1" x14ac:dyDescent="0.25">
      <c r="A326654" s="1"/>
    </row>
    <row r="326655" spans="1:1" x14ac:dyDescent="0.25">
      <c r="A326655" s="1"/>
    </row>
    <row r="326656" spans="1:1" x14ac:dyDescent="0.25">
      <c r="A326656" s="1"/>
    </row>
    <row r="326657" spans="1:1" x14ac:dyDescent="0.25">
      <c r="A326657" s="1"/>
    </row>
    <row r="326658" spans="1:1" x14ac:dyDescent="0.25">
      <c r="A326658" s="1"/>
    </row>
    <row r="326659" spans="1:1" x14ac:dyDescent="0.25">
      <c r="A326659" s="1"/>
    </row>
    <row r="326660" spans="1:1" x14ac:dyDescent="0.25">
      <c r="A326660" s="1"/>
    </row>
    <row r="326661" spans="1:1" x14ac:dyDescent="0.25">
      <c r="A326661" s="1"/>
    </row>
    <row r="326662" spans="1:1" x14ac:dyDescent="0.25">
      <c r="A326662" s="1"/>
    </row>
    <row r="326663" spans="1:1" x14ac:dyDescent="0.25">
      <c r="A326663" s="1"/>
    </row>
    <row r="326664" spans="1:1" x14ac:dyDescent="0.25">
      <c r="A326664" s="1"/>
    </row>
    <row r="326665" spans="1:1" x14ac:dyDescent="0.25">
      <c r="A326665" s="1"/>
    </row>
    <row r="326666" spans="1:1" x14ac:dyDescent="0.25">
      <c r="A326666" s="1"/>
    </row>
    <row r="326667" spans="1:1" x14ac:dyDescent="0.25">
      <c r="A326667" s="1"/>
    </row>
    <row r="326668" spans="1:1" x14ac:dyDescent="0.25">
      <c r="A326668" s="1"/>
    </row>
    <row r="326669" spans="1:1" x14ac:dyDescent="0.25">
      <c r="A326669" s="1"/>
    </row>
    <row r="326670" spans="1:1" x14ac:dyDescent="0.25">
      <c r="A326670" s="1"/>
    </row>
    <row r="326671" spans="1:1" x14ac:dyDescent="0.25">
      <c r="A326671" s="1"/>
    </row>
    <row r="326672" spans="1:1" x14ac:dyDescent="0.25">
      <c r="A326672" s="1"/>
    </row>
    <row r="326673" spans="1:1" x14ac:dyDescent="0.25">
      <c r="A326673" s="1"/>
    </row>
    <row r="326674" spans="1:1" x14ac:dyDescent="0.25">
      <c r="A326674" s="1"/>
    </row>
    <row r="326675" spans="1:1" x14ac:dyDescent="0.25">
      <c r="A326675" s="1"/>
    </row>
    <row r="326676" spans="1:1" x14ac:dyDescent="0.25">
      <c r="A326676" s="1"/>
    </row>
    <row r="326677" spans="1:1" x14ac:dyDescent="0.25">
      <c r="A326677" s="1"/>
    </row>
    <row r="326678" spans="1:1" x14ac:dyDescent="0.25">
      <c r="A326678" s="1"/>
    </row>
    <row r="326679" spans="1:1" x14ac:dyDescent="0.25">
      <c r="A326679" s="1"/>
    </row>
    <row r="326680" spans="1:1" x14ac:dyDescent="0.25">
      <c r="A326680" s="1"/>
    </row>
    <row r="326681" spans="1:1" x14ac:dyDescent="0.25">
      <c r="A326681" s="1"/>
    </row>
    <row r="326682" spans="1:1" x14ac:dyDescent="0.25">
      <c r="A326682" s="1"/>
    </row>
    <row r="326683" spans="1:1" x14ac:dyDescent="0.25">
      <c r="A326683" s="1"/>
    </row>
    <row r="326684" spans="1:1" x14ac:dyDescent="0.25">
      <c r="A326684" s="1"/>
    </row>
    <row r="326685" spans="1:1" x14ac:dyDescent="0.25">
      <c r="A326685" s="1"/>
    </row>
    <row r="326686" spans="1:1" x14ac:dyDescent="0.25">
      <c r="A326686" s="1"/>
    </row>
    <row r="326687" spans="1:1" x14ac:dyDescent="0.25">
      <c r="A326687" s="1"/>
    </row>
    <row r="326688" spans="1:1" x14ac:dyDescent="0.25">
      <c r="A326688" s="1"/>
    </row>
    <row r="326689" spans="1:1" x14ac:dyDescent="0.25">
      <c r="A326689" s="1"/>
    </row>
    <row r="326690" spans="1:1" x14ac:dyDescent="0.25">
      <c r="A326690" s="1"/>
    </row>
    <row r="326691" spans="1:1" x14ac:dyDescent="0.25">
      <c r="A326691" s="1"/>
    </row>
    <row r="326692" spans="1:1" x14ac:dyDescent="0.25">
      <c r="A326692" s="1"/>
    </row>
    <row r="326693" spans="1:1" x14ac:dyDescent="0.25">
      <c r="A326693" s="1"/>
    </row>
    <row r="326694" spans="1:1" x14ac:dyDescent="0.25">
      <c r="A326694" s="1"/>
    </row>
    <row r="326695" spans="1:1" x14ac:dyDescent="0.25">
      <c r="A326695" s="1"/>
    </row>
    <row r="326696" spans="1:1" x14ac:dyDescent="0.25">
      <c r="A326696" s="1"/>
    </row>
    <row r="326697" spans="1:1" x14ac:dyDescent="0.25">
      <c r="A326697" s="1"/>
    </row>
    <row r="326698" spans="1:1" x14ac:dyDescent="0.25">
      <c r="A326698" s="1"/>
    </row>
    <row r="326699" spans="1:1" x14ac:dyDescent="0.25">
      <c r="A326699" s="1"/>
    </row>
    <row r="326700" spans="1:1" x14ac:dyDescent="0.25">
      <c r="A326700" s="1"/>
    </row>
    <row r="326701" spans="1:1" x14ac:dyDescent="0.25">
      <c r="A326701" s="1"/>
    </row>
    <row r="326702" spans="1:1" x14ac:dyDescent="0.25">
      <c r="A326702" s="1"/>
    </row>
    <row r="326703" spans="1:1" x14ac:dyDescent="0.25">
      <c r="A326703" s="1"/>
    </row>
    <row r="326704" spans="1:1" x14ac:dyDescent="0.25">
      <c r="A326704" s="1"/>
    </row>
    <row r="326705" spans="1:1" x14ac:dyDescent="0.25">
      <c r="A326705" s="1"/>
    </row>
    <row r="326706" spans="1:1" x14ac:dyDescent="0.25">
      <c r="A326706" s="1"/>
    </row>
    <row r="326707" spans="1:1" x14ac:dyDescent="0.25">
      <c r="A326707" s="1"/>
    </row>
    <row r="326708" spans="1:1" x14ac:dyDescent="0.25">
      <c r="A326708" s="1"/>
    </row>
    <row r="326709" spans="1:1" x14ac:dyDescent="0.25">
      <c r="A326709" s="1"/>
    </row>
    <row r="326710" spans="1:1" x14ac:dyDescent="0.25">
      <c r="A326710" s="1"/>
    </row>
    <row r="326711" spans="1:1" x14ac:dyDescent="0.25">
      <c r="A326711" s="1"/>
    </row>
    <row r="326712" spans="1:1" x14ac:dyDescent="0.25">
      <c r="A326712" s="1"/>
    </row>
    <row r="326713" spans="1:1" x14ac:dyDescent="0.25">
      <c r="A326713" s="1"/>
    </row>
    <row r="326714" spans="1:1" x14ac:dyDescent="0.25">
      <c r="A326714" s="1"/>
    </row>
    <row r="326715" spans="1:1" x14ac:dyDescent="0.25">
      <c r="A326715" s="1"/>
    </row>
    <row r="326716" spans="1:1" x14ac:dyDescent="0.25">
      <c r="A326716" s="1"/>
    </row>
    <row r="326717" spans="1:1" x14ac:dyDescent="0.25">
      <c r="A326717" s="1"/>
    </row>
    <row r="326718" spans="1:1" x14ac:dyDescent="0.25">
      <c r="A326718" s="1"/>
    </row>
    <row r="326719" spans="1:1" x14ac:dyDescent="0.25">
      <c r="A326719" s="1"/>
    </row>
    <row r="326720" spans="1:1" x14ac:dyDescent="0.25">
      <c r="A326720" s="1"/>
    </row>
    <row r="326721" spans="1:1" x14ac:dyDescent="0.25">
      <c r="A326721" s="1"/>
    </row>
    <row r="326722" spans="1:1" x14ac:dyDescent="0.25">
      <c r="A326722" s="1"/>
    </row>
    <row r="326723" spans="1:1" x14ac:dyDescent="0.25">
      <c r="A326723" s="1"/>
    </row>
    <row r="326724" spans="1:1" x14ac:dyDescent="0.25">
      <c r="A326724" s="1"/>
    </row>
    <row r="326725" spans="1:1" x14ac:dyDescent="0.25">
      <c r="A326725" s="1"/>
    </row>
    <row r="326726" spans="1:1" x14ac:dyDescent="0.25">
      <c r="A326726" s="1"/>
    </row>
    <row r="326727" spans="1:1" x14ac:dyDescent="0.25">
      <c r="A326727" s="1"/>
    </row>
    <row r="326728" spans="1:1" x14ac:dyDescent="0.25">
      <c r="A326728" s="1"/>
    </row>
    <row r="326729" spans="1:1" x14ac:dyDescent="0.25">
      <c r="A326729" s="1"/>
    </row>
    <row r="326730" spans="1:1" x14ac:dyDescent="0.25">
      <c r="A326730" s="1"/>
    </row>
    <row r="326731" spans="1:1" x14ac:dyDescent="0.25">
      <c r="A326731" s="1"/>
    </row>
    <row r="326732" spans="1:1" x14ac:dyDescent="0.25">
      <c r="A326732" s="1"/>
    </row>
    <row r="326733" spans="1:1" x14ac:dyDescent="0.25">
      <c r="A326733" s="1"/>
    </row>
    <row r="326734" spans="1:1" x14ac:dyDescent="0.25">
      <c r="A326734" s="1"/>
    </row>
    <row r="326735" spans="1:1" x14ac:dyDescent="0.25">
      <c r="A326735" s="1"/>
    </row>
    <row r="326736" spans="1:1" x14ac:dyDescent="0.25">
      <c r="A326736" s="1"/>
    </row>
    <row r="326737" spans="1:1" x14ac:dyDescent="0.25">
      <c r="A326737" s="1"/>
    </row>
    <row r="326738" spans="1:1" x14ac:dyDescent="0.25">
      <c r="A326738" s="1"/>
    </row>
    <row r="326739" spans="1:1" x14ac:dyDescent="0.25">
      <c r="A326739" s="1"/>
    </row>
    <row r="326740" spans="1:1" x14ac:dyDescent="0.25">
      <c r="A326740" s="1"/>
    </row>
    <row r="326741" spans="1:1" x14ac:dyDescent="0.25">
      <c r="A326741" s="1"/>
    </row>
    <row r="326742" spans="1:1" x14ac:dyDescent="0.25">
      <c r="A326742" s="1"/>
    </row>
    <row r="326743" spans="1:1" x14ac:dyDescent="0.25">
      <c r="A326743" s="1"/>
    </row>
    <row r="326744" spans="1:1" x14ac:dyDescent="0.25">
      <c r="A326744" s="1"/>
    </row>
    <row r="326745" spans="1:1" x14ac:dyDescent="0.25">
      <c r="A326745" s="1"/>
    </row>
    <row r="326746" spans="1:1" x14ac:dyDescent="0.25">
      <c r="A326746" s="1"/>
    </row>
    <row r="326747" spans="1:1" x14ac:dyDescent="0.25">
      <c r="A326747" s="1"/>
    </row>
    <row r="326748" spans="1:1" x14ac:dyDescent="0.25">
      <c r="A326748" s="1"/>
    </row>
    <row r="326749" spans="1:1" x14ac:dyDescent="0.25">
      <c r="A326749" s="1"/>
    </row>
    <row r="326750" spans="1:1" x14ac:dyDescent="0.25">
      <c r="A326750" s="1"/>
    </row>
    <row r="326751" spans="1:1" x14ac:dyDescent="0.25">
      <c r="A326751" s="1"/>
    </row>
    <row r="326752" spans="1:1" x14ac:dyDescent="0.25">
      <c r="A326752" s="1"/>
    </row>
    <row r="326753" spans="1:1" x14ac:dyDescent="0.25">
      <c r="A326753" s="1"/>
    </row>
    <row r="326754" spans="1:1" x14ac:dyDescent="0.25">
      <c r="A326754" s="1"/>
    </row>
    <row r="326755" spans="1:1" x14ac:dyDescent="0.25">
      <c r="A326755" s="1"/>
    </row>
    <row r="326756" spans="1:1" x14ac:dyDescent="0.25">
      <c r="A326756" s="1"/>
    </row>
    <row r="326757" spans="1:1" x14ac:dyDescent="0.25">
      <c r="A326757" s="1"/>
    </row>
    <row r="326758" spans="1:1" x14ac:dyDescent="0.25">
      <c r="A326758" s="1"/>
    </row>
    <row r="326759" spans="1:1" x14ac:dyDescent="0.25">
      <c r="A326759" s="1"/>
    </row>
    <row r="326760" spans="1:1" x14ac:dyDescent="0.25">
      <c r="A326760" s="1"/>
    </row>
    <row r="326761" spans="1:1" x14ac:dyDescent="0.25">
      <c r="A326761" s="1"/>
    </row>
    <row r="326762" spans="1:1" x14ac:dyDescent="0.25">
      <c r="A326762" s="1"/>
    </row>
    <row r="326763" spans="1:1" x14ac:dyDescent="0.25">
      <c r="A326763" s="1"/>
    </row>
    <row r="326764" spans="1:1" x14ac:dyDescent="0.25">
      <c r="A326764" s="1"/>
    </row>
    <row r="326765" spans="1:1" x14ac:dyDescent="0.25">
      <c r="A326765" s="1"/>
    </row>
    <row r="326766" spans="1:1" x14ac:dyDescent="0.25">
      <c r="A326766" s="1"/>
    </row>
    <row r="326767" spans="1:1" x14ac:dyDescent="0.25">
      <c r="A326767" s="1"/>
    </row>
    <row r="326768" spans="1:1" x14ac:dyDescent="0.25">
      <c r="A326768" s="1"/>
    </row>
    <row r="326769" spans="1:1" x14ac:dyDescent="0.25">
      <c r="A326769" s="1"/>
    </row>
    <row r="326770" spans="1:1" x14ac:dyDescent="0.25">
      <c r="A326770" s="1"/>
    </row>
    <row r="326771" spans="1:1" x14ac:dyDescent="0.25">
      <c r="A326771" s="1"/>
    </row>
    <row r="326772" spans="1:1" x14ac:dyDescent="0.25">
      <c r="A326772" s="1"/>
    </row>
    <row r="326773" spans="1:1" x14ac:dyDescent="0.25">
      <c r="A326773" s="1"/>
    </row>
    <row r="326774" spans="1:1" x14ac:dyDescent="0.25">
      <c r="A326774" s="1"/>
    </row>
    <row r="326775" spans="1:1" x14ac:dyDescent="0.25">
      <c r="A326775" s="1"/>
    </row>
    <row r="326776" spans="1:1" x14ac:dyDescent="0.25">
      <c r="A326776" s="1"/>
    </row>
    <row r="326777" spans="1:1" x14ac:dyDescent="0.25">
      <c r="A326777" s="1"/>
    </row>
    <row r="326778" spans="1:1" x14ac:dyDescent="0.25">
      <c r="A326778" s="1"/>
    </row>
    <row r="326779" spans="1:1" x14ac:dyDescent="0.25">
      <c r="A326779" s="1"/>
    </row>
    <row r="326780" spans="1:1" x14ac:dyDescent="0.25">
      <c r="A326780" s="1"/>
    </row>
    <row r="326781" spans="1:1" x14ac:dyDescent="0.25">
      <c r="A326781" s="1"/>
    </row>
    <row r="326782" spans="1:1" x14ac:dyDescent="0.25">
      <c r="A326782" s="1"/>
    </row>
    <row r="326783" spans="1:1" x14ac:dyDescent="0.25">
      <c r="A326783" s="1"/>
    </row>
    <row r="326784" spans="1:1" x14ac:dyDescent="0.25">
      <c r="A326784" s="1"/>
    </row>
    <row r="326785" spans="1:1" x14ac:dyDescent="0.25">
      <c r="A326785" s="1"/>
    </row>
    <row r="326786" spans="1:1" x14ac:dyDescent="0.25">
      <c r="A326786" s="1"/>
    </row>
    <row r="326787" spans="1:1" x14ac:dyDescent="0.25">
      <c r="A326787" s="1"/>
    </row>
    <row r="326788" spans="1:1" x14ac:dyDescent="0.25">
      <c r="A326788" s="1"/>
    </row>
    <row r="326789" spans="1:1" x14ac:dyDescent="0.25">
      <c r="A326789" s="1"/>
    </row>
    <row r="326790" spans="1:1" x14ac:dyDescent="0.25">
      <c r="A326790" s="1"/>
    </row>
    <row r="326791" spans="1:1" x14ac:dyDescent="0.25">
      <c r="A326791" s="1"/>
    </row>
    <row r="326792" spans="1:1" x14ac:dyDescent="0.25">
      <c r="A326792" s="1"/>
    </row>
    <row r="326793" spans="1:1" x14ac:dyDescent="0.25">
      <c r="A326793" s="1"/>
    </row>
    <row r="326794" spans="1:1" x14ac:dyDescent="0.25">
      <c r="A326794" s="1"/>
    </row>
    <row r="326795" spans="1:1" x14ac:dyDescent="0.25">
      <c r="A326795" s="1"/>
    </row>
    <row r="326796" spans="1:1" x14ac:dyDescent="0.25">
      <c r="A326796" s="1"/>
    </row>
    <row r="326797" spans="1:1" x14ac:dyDescent="0.25">
      <c r="A326797" s="1"/>
    </row>
    <row r="326798" spans="1:1" x14ac:dyDescent="0.25">
      <c r="A326798" s="1"/>
    </row>
    <row r="326799" spans="1:1" x14ac:dyDescent="0.25">
      <c r="A326799" s="1"/>
    </row>
    <row r="326800" spans="1:1" x14ac:dyDescent="0.25">
      <c r="A326800" s="1"/>
    </row>
    <row r="326801" spans="1:1" x14ac:dyDescent="0.25">
      <c r="A326801" s="1"/>
    </row>
    <row r="326802" spans="1:1" x14ac:dyDescent="0.25">
      <c r="A326802" s="1"/>
    </row>
    <row r="326803" spans="1:1" x14ac:dyDescent="0.25">
      <c r="A326803" s="1"/>
    </row>
    <row r="326804" spans="1:1" x14ac:dyDescent="0.25">
      <c r="A326804" s="1"/>
    </row>
    <row r="326805" spans="1:1" x14ac:dyDescent="0.25">
      <c r="A326805" s="1"/>
    </row>
    <row r="326806" spans="1:1" x14ac:dyDescent="0.25">
      <c r="A326806" s="1"/>
    </row>
    <row r="326807" spans="1:1" x14ac:dyDescent="0.25">
      <c r="A326807" s="1"/>
    </row>
    <row r="326808" spans="1:1" x14ac:dyDescent="0.25">
      <c r="A326808" s="1"/>
    </row>
    <row r="326809" spans="1:1" x14ac:dyDescent="0.25">
      <c r="A326809" s="1"/>
    </row>
    <row r="326810" spans="1:1" x14ac:dyDescent="0.25">
      <c r="A326810" s="1"/>
    </row>
    <row r="326811" spans="1:1" x14ac:dyDescent="0.25">
      <c r="A326811" s="1"/>
    </row>
    <row r="326812" spans="1:1" x14ac:dyDescent="0.25">
      <c r="A326812" s="1"/>
    </row>
    <row r="326813" spans="1:1" x14ac:dyDescent="0.25">
      <c r="A326813" s="1"/>
    </row>
    <row r="326814" spans="1:1" x14ac:dyDescent="0.25">
      <c r="A326814" s="1"/>
    </row>
    <row r="326815" spans="1:1" x14ac:dyDescent="0.25">
      <c r="A326815" s="1"/>
    </row>
    <row r="326816" spans="1:1" x14ac:dyDescent="0.25">
      <c r="A326816" s="1"/>
    </row>
    <row r="326817" spans="1:1" x14ac:dyDescent="0.25">
      <c r="A326817" s="1"/>
    </row>
    <row r="326818" spans="1:1" x14ac:dyDescent="0.25">
      <c r="A326818" s="1"/>
    </row>
    <row r="326819" spans="1:1" x14ac:dyDescent="0.25">
      <c r="A326819" s="1"/>
    </row>
    <row r="326820" spans="1:1" x14ac:dyDescent="0.25">
      <c r="A326820" s="1"/>
    </row>
    <row r="326821" spans="1:1" x14ac:dyDescent="0.25">
      <c r="A326821" s="1"/>
    </row>
    <row r="326822" spans="1:1" x14ac:dyDescent="0.25">
      <c r="A326822" s="1"/>
    </row>
    <row r="326823" spans="1:1" x14ac:dyDescent="0.25">
      <c r="A326823" s="1"/>
    </row>
    <row r="326824" spans="1:1" x14ac:dyDescent="0.25">
      <c r="A326824" s="1"/>
    </row>
    <row r="326825" spans="1:1" x14ac:dyDescent="0.25">
      <c r="A326825" s="1"/>
    </row>
    <row r="326826" spans="1:1" x14ac:dyDescent="0.25">
      <c r="A326826" s="1"/>
    </row>
    <row r="326827" spans="1:1" x14ac:dyDescent="0.25">
      <c r="A326827" s="1"/>
    </row>
    <row r="326828" spans="1:1" x14ac:dyDescent="0.25">
      <c r="A326828" s="1"/>
    </row>
    <row r="326829" spans="1:1" x14ac:dyDescent="0.25">
      <c r="A326829" s="1"/>
    </row>
    <row r="326830" spans="1:1" x14ac:dyDescent="0.25">
      <c r="A326830" s="1"/>
    </row>
    <row r="326831" spans="1:1" x14ac:dyDescent="0.25">
      <c r="A326831" s="1"/>
    </row>
    <row r="326832" spans="1:1" x14ac:dyDescent="0.25">
      <c r="A326832" s="1"/>
    </row>
    <row r="326833" spans="1:1" x14ac:dyDescent="0.25">
      <c r="A326833" s="1"/>
    </row>
    <row r="326834" spans="1:1" x14ac:dyDescent="0.25">
      <c r="A326834" s="1"/>
    </row>
    <row r="326835" spans="1:1" x14ac:dyDescent="0.25">
      <c r="A326835" s="1"/>
    </row>
    <row r="326836" spans="1:1" x14ac:dyDescent="0.25">
      <c r="A326836" s="1"/>
    </row>
    <row r="326837" spans="1:1" x14ac:dyDescent="0.25">
      <c r="A326837" s="1"/>
    </row>
    <row r="326838" spans="1:1" x14ac:dyDescent="0.25">
      <c r="A326838" s="1"/>
    </row>
    <row r="326839" spans="1:1" x14ac:dyDescent="0.25">
      <c r="A326839" s="1"/>
    </row>
    <row r="326840" spans="1:1" x14ac:dyDescent="0.25">
      <c r="A326840" s="1"/>
    </row>
    <row r="326841" spans="1:1" x14ac:dyDescent="0.25">
      <c r="A326841" s="1"/>
    </row>
    <row r="326842" spans="1:1" x14ac:dyDescent="0.25">
      <c r="A326842" s="1"/>
    </row>
    <row r="326843" spans="1:1" x14ac:dyDescent="0.25">
      <c r="A326843" s="1"/>
    </row>
    <row r="326844" spans="1:1" x14ac:dyDescent="0.25">
      <c r="A326844" s="1"/>
    </row>
    <row r="326845" spans="1:1" x14ac:dyDescent="0.25">
      <c r="A326845" s="1"/>
    </row>
    <row r="326846" spans="1:1" x14ac:dyDescent="0.25">
      <c r="A326846" s="1"/>
    </row>
    <row r="326847" spans="1:1" x14ac:dyDescent="0.25">
      <c r="A326847" s="1"/>
    </row>
    <row r="326848" spans="1:1" x14ac:dyDescent="0.25">
      <c r="A326848" s="1"/>
    </row>
    <row r="326849" spans="1:1" x14ac:dyDescent="0.25">
      <c r="A326849" s="1"/>
    </row>
    <row r="326850" spans="1:1" x14ac:dyDescent="0.25">
      <c r="A326850" s="1"/>
    </row>
    <row r="326851" spans="1:1" x14ac:dyDescent="0.25">
      <c r="A326851" s="1"/>
    </row>
    <row r="326852" spans="1:1" x14ac:dyDescent="0.25">
      <c r="A326852" s="1"/>
    </row>
    <row r="326853" spans="1:1" x14ac:dyDescent="0.25">
      <c r="A326853" s="1"/>
    </row>
    <row r="326854" spans="1:1" x14ac:dyDescent="0.25">
      <c r="A326854" s="1"/>
    </row>
    <row r="326855" spans="1:1" x14ac:dyDescent="0.25">
      <c r="A326855" s="1"/>
    </row>
    <row r="326856" spans="1:1" x14ac:dyDescent="0.25">
      <c r="A326856" s="1"/>
    </row>
    <row r="326857" spans="1:1" x14ac:dyDescent="0.25">
      <c r="A326857" s="1"/>
    </row>
    <row r="326858" spans="1:1" x14ac:dyDescent="0.25">
      <c r="A326858" s="1"/>
    </row>
    <row r="326859" spans="1:1" x14ac:dyDescent="0.25">
      <c r="A326859" s="1"/>
    </row>
    <row r="326860" spans="1:1" x14ac:dyDescent="0.25">
      <c r="A326860" s="1"/>
    </row>
    <row r="326861" spans="1:1" x14ac:dyDescent="0.25">
      <c r="A326861" s="1"/>
    </row>
    <row r="326862" spans="1:1" x14ac:dyDescent="0.25">
      <c r="A326862" s="1"/>
    </row>
    <row r="326863" spans="1:1" x14ac:dyDescent="0.25">
      <c r="A326863" s="1"/>
    </row>
    <row r="326864" spans="1:1" x14ac:dyDescent="0.25">
      <c r="A326864" s="1"/>
    </row>
    <row r="326865" spans="1:1" x14ac:dyDescent="0.25">
      <c r="A326865" s="1"/>
    </row>
    <row r="326866" spans="1:1" x14ac:dyDescent="0.25">
      <c r="A326866" s="1"/>
    </row>
    <row r="326867" spans="1:1" x14ac:dyDescent="0.25">
      <c r="A326867" s="1"/>
    </row>
    <row r="326868" spans="1:1" x14ac:dyDescent="0.25">
      <c r="A326868" s="1"/>
    </row>
    <row r="326869" spans="1:1" x14ac:dyDescent="0.25">
      <c r="A326869" s="1"/>
    </row>
    <row r="326870" spans="1:1" x14ac:dyDescent="0.25">
      <c r="A326870" s="1"/>
    </row>
    <row r="326871" spans="1:1" x14ac:dyDescent="0.25">
      <c r="A326871" s="1"/>
    </row>
    <row r="326872" spans="1:1" x14ac:dyDescent="0.25">
      <c r="A326872" s="1"/>
    </row>
    <row r="326873" spans="1:1" x14ac:dyDescent="0.25">
      <c r="A326873" s="1"/>
    </row>
    <row r="326874" spans="1:1" x14ac:dyDescent="0.25">
      <c r="A326874" s="1"/>
    </row>
    <row r="326875" spans="1:1" x14ac:dyDescent="0.25">
      <c r="A326875" s="1"/>
    </row>
    <row r="326876" spans="1:1" x14ac:dyDescent="0.25">
      <c r="A326876" s="1"/>
    </row>
    <row r="326877" spans="1:1" x14ac:dyDescent="0.25">
      <c r="A326877" s="1"/>
    </row>
    <row r="326878" spans="1:1" x14ac:dyDescent="0.25">
      <c r="A326878" s="1"/>
    </row>
    <row r="326879" spans="1:1" x14ac:dyDescent="0.25">
      <c r="A326879" s="1"/>
    </row>
    <row r="326880" spans="1:1" x14ac:dyDescent="0.25">
      <c r="A326880" s="1"/>
    </row>
    <row r="326881" spans="1:1" x14ac:dyDescent="0.25">
      <c r="A326881" s="1"/>
    </row>
    <row r="326882" spans="1:1" x14ac:dyDescent="0.25">
      <c r="A326882" s="1"/>
    </row>
    <row r="326883" spans="1:1" x14ac:dyDescent="0.25">
      <c r="A326883" s="1"/>
    </row>
    <row r="326884" spans="1:1" x14ac:dyDescent="0.25">
      <c r="A326884" s="1"/>
    </row>
    <row r="326885" spans="1:1" x14ac:dyDescent="0.25">
      <c r="A326885" s="1"/>
    </row>
    <row r="326886" spans="1:1" x14ac:dyDescent="0.25">
      <c r="A326886" s="1"/>
    </row>
    <row r="326887" spans="1:1" x14ac:dyDescent="0.25">
      <c r="A326887" s="1"/>
    </row>
    <row r="326888" spans="1:1" x14ac:dyDescent="0.25">
      <c r="A326888" s="1"/>
    </row>
    <row r="326889" spans="1:1" x14ac:dyDescent="0.25">
      <c r="A326889" s="1"/>
    </row>
    <row r="326890" spans="1:1" x14ac:dyDescent="0.25">
      <c r="A326890" s="1"/>
    </row>
    <row r="326891" spans="1:1" x14ac:dyDescent="0.25">
      <c r="A326891" s="1"/>
    </row>
    <row r="326892" spans="1:1" x14ac:dyDescent="0.25">
      <c r="A326892" s="1"/>
    </row>
    <row r="326893" spans="1:1" x14ac:dyDescent="0.25">
      <c r="A326893" s="1"/>
    </row>
    <row r="326894" spans="1:1" x14ac:dyDescent="0.25">
      <c r="A326894" s="1"/>
    </row>
    <row r="326895" spans="1:1" x14ac:dyDescent="0.25">
      <c r="A326895" s="1"/>
    </row>
    <row r="326896" spans="1:1" x14ac:dyDescent="0.25">
      <c r="A326896" s="1"/>
    </row>
    <row r="326897" spans="1:1" x14ac:dyDescent="0.25">
      <c r="A326897" s="1"/>
    </row>
    <row r="326898" spans="1:1" x14ac:dyDescent="0.25">
      <c r="A326898" s="1"/>
    </row>
    <row r="326899" spans="1:1" x14ac:dyDescent="0.25">
      <c r="A326899" s="1"/>
    </row>
    <row r="326900" spans="1:1" x14ac:dyDescent="0.25">
      <c r="A326900" s="1"/>
    </row>
    <row r="326901" spans="1:1" x14ac:dyDescent="0.25">
      <c r="A326901" s="1"/>
    </row>
    <row r="326902" spans="1:1" x14ac:dyDescent="0.25">
      <c r="A326902" s="1"/>
    </row>
    <row r="326903" spans="1:1" x14ac:dyDescent="0.25">
      <c r="A326903" s="1"/>
    </row>
    <row r="326904" spans="1:1" x14ac:dyDescent="0.25">
      <c r="A326904" s="1"/>
    </row>
    <row r="326905" spans="1:1" x14ac:dyDescent="0.25">
      <c r="A326905" s="1"/>
    </row>
    <row r="326906" spans="1:1" x14ac:dyDescent="0.25">
      <c r="A326906" s="1"/>
    </row>
    <row r="326907" spans="1:1" x14ac:dyDescent="0.25">
      <c r="A326907" s="1"/>
    </row>
    <row r="326908" spans="1:1" x14ac:dyDescent="0.25">
      <c r="A326908" s="1"/>
    </row>
    <row r="326909" spans="1:1" x14ac:dyDescent="0.25">
      <c r="A326909" s="1"/>
    </row>
    <row r="326910" spans="1:1" x14ac:dyDescent="0.25">
      <c r="A326910" s="1"/>
    </row>
    <row r="326911" spans="1:1" x14ac:dyDescent="0.25">
      <c r="A326911" s="1"/>
    </row>
    <row r="326912" spans="1:1" x14ac:dyDescent="0.25">
      <c r="A326912" s="1"/>
    </row>
    <row r="326913" spans="1:1" x14ac:dyDescent="0.25">
      <c r="A326913" s="1"/>
    </row>
    <row r="326914" spans="1:1" x14ac:dyDescent="0.25">
      <c r="A326914" s="1"/>
    </row>
    <row r="326915" spans="1:1" x14ac:dyDescent="0.25">
      <c r="A326915" s="1"/>
    </row>
    <row r="326916" spans="1:1" x14ac:dyDescent="0.25">
      <c r="A326916" s="1"/>
    </row>
    <row r="326917" spans="1:1" x14ac:dyDescent="0.25">
      <c r="A326917" s="1"/>
    </row>
    <row r="326918" spans="1:1" x14ac:dyDescent="0.25">
      <c r="A326918" s="1"/>
    </row>
    <row r="326919" spans="1:1" x14ac:dyDescent="0.25">
      <c r="A326919" s="1"/>
    </row>
    <row r="326920" spans="1:1" x14ac:dyDescent="0.25">
      <c r="A326920" s="1"/>
    </row>
    <row r="326921" spans="1:1" x14ac:dyDescent="0.25">
      <c r="A326921" s="1"/>
    </row>
    <row r="326922" spans="1:1" x14ac:dyDescent="0.25">
      <c r="A326922" s="1"/>
    </row>
    <row r="326923" spans="1:1" x14ac:dyDescent="0.25">
      <c r="A326923" s="1"/>
    </row>
    <row r="326924" spans="1:1" x14ac:dyDescent="0.25">
      <c r="A326924" s="1"/>
    </row>
    <row r="326925" spans="1:1" x14ac:dyDescent="0.25">
      <c r="A326925" s="1"/>
    </row>
    <row r="326926" spans="1:1" x14ac:dyDescent="0.25">
      <c r="A326926" s="1"/>
    </row>
    <row r="326927" spans="1:1" x14ac:dyDescent="0.25">
      <c r="A326927" s="1"/>
    </row>
    <row r="326928" spans="1:1" x14ac:dyDescent="0.25">
      <c r="A326928" s="1"/>
    </row>
    <row r="326929" spans="1:1" x14ac:dyDescent="0.25">
      <c r="A326929" s="1"/>
    </row>
    <row r="326930" spans="1:1" x14ac:dyDescent="0.25">
      <c r="A326930" s="1"/>
    </row>
    <row r="326931" spans="1:1" x14ac:dyDescent="0.25">
      <c r="A326931" s="1"/>
    </row>
    <row r="326932" spans="1:1" x14ac:dyDescent="0.25">
      <c r="A326932" s="1"/>
    </row>
    <row r="326933" spans="1:1" x14ac:dyDescent="0.25">
      <c r="A326933" s="1"/>
    </row>
    <row r="326934" spans="1:1" x14ac:dyDescent="0.25">
      <c r="A326934" s="1"/>
    </row>
    <row r="326935" spans="1:1" x14ac:dyDescent="0.25">
      <c r="A326935" s="1"/>
    </row>
    <row r="326936" spans="1:1" x14ac:dyDescent="0.25">
      <c r="A326936" s="1"/>
    </row>
    <row r="326937" spans="1:1" x14ac:dyDescent="0.25">
      <c r="A326937" s="1"/>
    </row>
    <row r="326938" spans="1:1" x14ac:dyDescent="0.25">
      <c r="A326938" s="1"/>
    </row>
    <row r="326939" spans="1:1" x14ac:dyDescent="0.25">
      <c r="A326939" s="1"/>
    </row>
    <row r="326940" spans="1:1" x14ac:dyDescent="0.25">
      <c r="A326940" s="1"/>
    </row>
    <row r="326941" spans="1:1" x14ac:dyDescent="0.25">
      <c r="A326941" s="1"/>
    </row>
    <row r="326942" spans="1:1" x14ac:dyDescent="0.25">
      <c r="A326942" s="1"/>
    </row>
    <row r="326943" spans="1:1" x14ac:dyDescent="0.25">
      <c r="A326943" s="1"/>
    </row>
    <row r="326944" spans="1:1" x14ac:dyDescent="0.25">
      <c r="A326944" s="1"/>
    </row>
    <row r="326945" spans="1:1" x14ac:dyDescent="0.25">
      <c r="A326945" s="1"/>
    </row>
    <row r="326946" spans="1:1" x14ac:dyDescent="0.25">
      <c r="A326946" s="1"/>
    </row>
    <row r="326947" spans="1:1" x14ac:dyDescent="0.25">
      <c r="A326947" s="1"/>
    </row>
    <row r="326948" spans="1:1" x14ac:dyDescent="0.25">
      <c r="A326948" s="1"/>
    </row>
    <row r="326949" spans="1:1" x14ac:dyDescent="0.25">
      <c r="A326949" s="1"/>
    </row>
    <row r="326950" spans="1:1" x14ac:dyDescent="0.25">
      <c r="A326950" s="1"/>
    </row>
    <row r="326951" spans="1:1" x14ac:dyDescent="0.25">
      <c r="A326951" s="1"/>
    </row>
    <row r="326952" spans="1:1" x14ac:dyDescent="0.25">
      <c r="A326952" s="1"/>
    </row>
    <row r="326953" spans="1:1" x14ac:dyDescent="0.25">
      <c r="A326953" s="1"/>
    </row>
    <row r="326954" spans="1:1" x14ac:dyDescent="0.25">
      <c r="A326954" s="1"/>
    </row>
    <row r="326955" spans="1:1" x14ac:dyDescent="0.25">
      <c r="A326955" s="1"/>
    </row>
    <row r="326956" spans="1:1" x14ac:dyDescent="0.25">
      <c r="A326956" s="1"/>
    </row>
    <row r="326957" spans="1:1" x14ac:dyDescent="0.25">
      <c r="A326957" s="1"/>
    </row>
    <row r="326958" spans="1:1" x14ac:dyDescent="0.25">
      <c r="A326958" s="1"/>
    </row>
    <row r="326959" spans="1:1" x14ac:dyDescent="0.25">
      <c r="A326959" s="1"/>
    </row>
    <row r="326960" spans="1:1" x14ac:dyDescent="0.25">
      <c r="A326960" s="1"/>
    </row>
    <row r="326961" spans="1:1" x14ac:dyDescent="0.25">
      <c r="A326961" s="1"/>
    </row>
    <row r="326962" spans="1:1" x14ac:dyDescent="0.25">
      <c r="A326962" s="1"/>
    </row>
    <row r="326963" spans="1:1" x14ac:dyDescent="0.25">
      <c r="A326963" s="1"/>
    </row>
    <row r="326964" spans="1:1" x14ac:dyDescent="0.25">
      <c r="A326964" s="1"/>
    </row>
    <row r="326965" spans="1:1" x14ac:dyDescent="0.25">
      <c r="A326965" s="1"/>
    </row>
    <row r="326966" spans="1:1" x14ac:dyDescent="0.25">
      <c r="A326966" s="1"/>
    </row>
    <row r="326967" spans="1:1" x14ac:dyDescent="0.25">
      <c r="A326967" s="1"/>
    </row>
    <row r="326968" spans="1:1" x14ac:dyDescent="0.25">
      <c r="A326968" s="1"/>
    </row>
    <row r="326969" spans="1:1" x14ac:dyDescent="0.25">
      <c r="A326969" s="1"/>
    </row>
    <row r="326970" spans="1:1" x14ac:dyDescent="0.25">
      <c r="A326970" s="1"/>
    </row>
    <row r="326971" spans="1:1" x14ac:dyDescent="0.25">
      <c r="A326971" s="1"/>
    </row>
    <row r="326972" spans="1:1" x14ac:dyDescent="0.25">
      <c r="A326972" s="1"/>
    </row>
    <row r="326973" spans="1:1" x14ac:dyDescent="0.25">
      <c r="A326973" s="1"/>
    </row>
    <row r="326974" spans="1:1" x14ac:dyDescent="0.25">
      <c r="A326974" s="1"/>
    </row>
    <row r="326975" spans="1:1" x14ac:dyDescent="0.25">
      <c r="A326975" s="1"/>
    </row>
    <row r="326976" spans="1:1" x14ac:dyDescent="0.25">
      <c r="A326976" s="1"/>
    </row>
    <row r="326977" spans="1:1" x14ac:dyDescent="0.25">
      <c r="A326977" s="1"/>
    </row>
    <row r="326978" spans="1:1" x14ac:dyDescent="0.25">
      <c r="A326978" s="1"/>
    </row>
    <row r="326979" spans="1:1" x14ac:dyDescent="0.25">
      <c r="A326979" s="1"/>
    </row>
    <row r="326980" spans="1:1" x14ac:dyDescent="0.25">
      <c r="A326980" s="1"/>
    </row>
    <row r="326981" spans="1:1" x14ac:dyDescent="0.25">
      <c r="A326981" s="1"/>
    </row>
    <row r="326982" spans="1:1" x14ac:dyDescent="0.25">
      <c r="A326982" s="1"/>
    </row>
    <row r="326983" spans="1:1" x14ac:dyDescent="0.25">
      <c r="A326983" s="1"/>
    </row>
    <row r="326984" spans="1:1" x14ac:dyDescent="0.25">
      <c r="A326984" s="1"/>
    </row>
    <row r="326985" spans="1:1" x14ac:dyDescent="0.25">
      <c r="A326985" s="1"/>
    </row>
    <row r="326986" spans="1:1" x14ac:dyDescent="0.25">
      <c r="A326986" s="1"/>
    </row>
    <row r="326987" spans="1:1" x14ac:dyDescent="0.25">
      <c r="A326987" s="1"/>
    </row>
    <row r="326988" spans="1:1" x14ac:dyDescent="0.25">
      <c r="A326988" s="1"/>
    </row>
    <row r="326989" spans="1:1" x14ac:dyDescent="0.25">
      <c r="A326989" s="1"/>
    </row>
    <row r="326990" spans="1:1" x14ac:dyDescent="0.25">
      <c r="A326990" s="1"/>
    </row>
    <row r="326991" spans="1:1" x14ac:dyDescent="0.25">
      <c r="A326991" s="1"/>
    </row>
    <row r="326992" spans="1:1" x14ac:dyDescent="0.25">
      <c r="A326992" s="1"/>
    </row>
    <row r="326993" spans="1:1" x14ac:dyDescent="0.25">
      <c r="A326993" s="1"/>
    </row>
    <row r="326994" spans="1:1" x14ac:dyDescent="0.25">
      <c r="A326994" s="1"/>
    </row>
    <row r="326995" spans="1:1" x14ac:dyDescent="0.25">
      <c r="A326995" s="1"/>
    </row>
    <row r="326996" spans="1:1" x14ac:dyDescent="0.25">
      <c r="A326996" s="1"/>
    </row>
    <row r="326997" spans="1:1" x14ac:dyDescent="0.25">
      <c r="A326997" s="1"/>
    </row>
    <row r="326998" spans="1:1" x14ac:dyDescent="0.25">
      <c r="A326998" s="1"/>
    </row>
    <row r="326999" spans="1:1" x14ac:dyDescent="0.25">
      <c r="A326999" s="1"/>
    </row>
    <row r="327000" spans="1:1" x14ac:dyDescent="0.25">
      <c r="A327000" s="1"/>
    </row>
    <row r="327001" spans="1:1" x14ac:dyDescent="0.25">
      <c r="A327001" s="1"/>
    </row>
    <row r="327002" spans="1:1" x14ac:dyDescent="0.25">
      <c r="A327002" s="1"/>
    </row>
    <row r="327003" spans="1:1" x14ac:dyDescent="0.25">
      <c r="A327003" s="1"/>
    </row>
    <row r="327004" spans="1:1" x14ac:dyDescent="0.25">
      <c r="A327004" s="1"/>
    </row>
    <row r="327005" spans="1:1" x14ac:dyDescent="0.25">
      <c r="A327005" s="1"/>
    </row>
    <row r="327006" spans="1:1" x14ac:dyDescent="0.25">
      <c r="A327006" s="1"/>
    </row>
    <row r="327007" spans="1:1" x14ac:dyDescent="0.25">
      <c r="A327007" s="1"/>
    </row>
    <row r="327008" spans="1:1" x14ac:dyDescent="0.25">
      <c r="A327008" s="1"/>
    </row>
    <row r="327009" spans="1:1" x14ac:dyDescent="0.25">
      <c r="A327009" s="1"/>
    </row>
    <row r="327010" spans="1:1" x14ac:dyDescent="0.25">
      <c r="A327010" s="1"/>
    </row>
    <row r="327011" spans="1:1" x14ac:dyDescent="0.25">
      <c r="A327011" s="1"/>
    </row>
    <row r="327012" spans="1:1" x14ac:dyDescent="0.25">
      <c r="A327012" s="1"/>
    </row>
    <row r="327013" spans="1:1" x14ac:dyDescent="0.25">
      <c r="A327013" s="1"/>
    </row>
    <row r="327014" spans="1:1" x14ac:dyDescent="0.25">
      <c r="A327014" s="1"/>
    </row>
    <row r="327015" spans="1:1" x14ac:dyDescent="0.25">
      <c r="A327015" s="1"/>
    </row>
    <row r="327016" spans="1:1" x14ac:dyDescent="0.25">
      <c r="A327016" s="1"/>
    </row>
    <row r="327017" spans="1:1" x14ac:dyDescent="0.25">
      <c r="A327017" s="1"/>
    </row>
    <row r="327018" spans="1:1" x14ac:dyDescent="0.25">
      <c r="A327018" s="1"/>
    </row>
    <row r="327019" spans="1:1" x14ac:dyDescent="0.25">
      <c r="A327019" s="1"/>
    </row>
    <row r="327020" spans="1:1" x14ac:dyDescent="0.25">
      <c r="A327020" s="1"/>
    </row>
    <row r="327021" spans="1:1" x14ac:dyDescent="0.25">
      <c r="A327021" s="1"/>
    </row>
    <row r="327022" spans="1:1" x14ac:dyDescent="0.25">
      <c r="A327022" s="1"/>
    </row>
    <row r="327023" spans="1:1" x14ac:dyDescent="0.25">
      <c r="A327023" s="1"/>
    </row>
    <row r="327024" spans="1:1" x14ac:dyDescent="0.25">
      <c r="A327024" s="1"/>
    </row>
    <row r="327025" spans="1:1" x14ac:dyDescent="0.25">
      <c r="A327025" s="1"/>
    </row>
    <row r="327026" spans="1:1" x14ac:dyDescent="0.25">
      <c r="A327026" s="1"/>
    </row>
    <row r="327027" spans="1:1" x14ac:dyDescent="0.25">
      <c r="A327027" s="1"/>
    </row>
    <row r="327028" spans="1:1" x14ac:dyDescent="0.25">
      <c r="A327028" s="1"/>
    </row>
    <row r="327029" spans="1:1" x14ac:dyDescent="0.25">
      <c r="A327029" s="1"/>
    </row>
    <row r="327030" spans="1:1" x14ac:dyDescent="0.25">
      <c r="A327030" s="1"/>
    </row>
    <row r="327031" spans="1:1" x14ac:dyDescent="0.25">
      <c r="A327031" s="1"/>
    </row>
    <row r="327032" spans="1:1" x14ac:dyDescent="0.25">
      <c r="A327032" s="1"/>
    </row>
    <row r="327033" spans="1:1" x14ac:dyDescent="0.25">
      <c r="A327033" s="1"/>
    </row>
    <row r="327034" spans="1:1" x14ac:dyDescent="0.25">
      <c r="A327034" s="1"/>
    </row>
    <row r="327035" spans="1:1" x14ac:dyDescent="0.25">
      <c r="A327035" s="1"/>
    </row>
    <row r="327036" spans="1:1" x14ac:dyDescent="0.25">
      <c r="A327036" s="1"/>
    </row>
    <row r="327037" spans="1:1" x14ac:dyDescent="0.25">
      <c r="A327037" s="1"/>
    </row>
    <row r="327038" spans="1:1" x14ac:dyDescent="0.25">
      <c r="A327038" s="1"/>
    </row>
    <row r="327039" spans="1:1" x14ac:dyDescent="0.25">
      <c r="A327039" s="1"/>
    </row>
    <row r="327040" spans="1:1" x14ac:dyDescent="0.25">
      <c r="A327040" s="1"/>
    </row>
    <row r="327041" spans="1:1" x14ac:dyDescent="0.25">
      <c r="A327041" s="1"/>
    </row>
    <row r="327042" spans="1:1" x14ac:dyDescent="0.25">
      <c r="A327042" s="1"/>
    </row>
    <row r="327043" spans="1:1" x14ac:dyDescent="0.25">
      <c r="A327043" s="1"/>
    </row>
    <row r="327044" spans="1:1" x14ac:dyDescent="0.25">
      <c r="A327044" s="1"/>
    </row>
    <row r="327045" spans="1:1" x14ac:dyDescent="0.25">
      <c r="A327045" s="1"/>
    </row>
    <row r="327046" spans="1:1" x14ac:dyDescent="0.25">
      <c r="A327046" s="1"/>
    </row>
    <row r="327047" spans="1:1" x14ac:dyDescent="0.25">
      <c r="A327047" s="1"/>
    </row>
    <row r="327048" spans="1:1" x14ac:dyDescent="0.25">
      <c r="A327048" s="1"/>
    </row>
    <row r="327049" spans="1:1" x14ac:dyDescent="0.25">
      <c r="A327049" s="1"/>
    </row>
    <row r="327050" spans="1:1" x14ac:dyDescent="0.25">
      <c r="A327050" s="1"/>
    </row>
    <row r="327051" spans="1:1" x14ac:dyDescent="0.25">
      <c r="A327051" s="1"/>
    </row>
    <row r="327052" spans="1:1" x14ac:dyDescent="0.25">
      <c r="A327052" s="1"/>
    </row>
    <row r="327053" spans="1:1" x14ac:dyDescent="0.25">
      <c r="A327053" s="1"/>
    </row>
    <row r="327054" spans="1:1" x14ac:dyDescent="0.25">
      <c r="A327054" s="1"/>
    </row>
    <row r="327055" spans="1:1" x14ac:dyDescent="0.25">
      <c r="A327055" s="1"/>
    </row>
    <row r="327056" spans="1:1" x14ac:dyDescent="0.25">
      <c r="A327056" s="1"/>
    </row>
    <row r="327057" spans="1:1" x14ac:dyDescent="0.25">
      <c r="A327057" s="1"/>
    </row>
    <row r="327058" spans="1:1" x14ac:dyDescent="0.25">
      <c r="A327058" s="1"/>
    </row>
    <row r="327059" spans="1:1" x14ac:dyDescent="0.25">
      <c r="A327059" s="1"/>
    </row>
    <row r="327060" spans="1:1" x14ac:dyDescent="0.25">
      <c r="A327060" s="1"/>
    </row>
    <row r="327061" spans="1:1" x14ac:dyDescent="0.25">
      <c r="A327061" s="1"/>
    </row>
    <row r="327062" spans="1:1" x14ac:dyDescent="0.25">
      <c r="A327062" s="1"/>
    </row>
    <row r="327063" spans="1:1" x14ac:dyDescent="0.25">
      <c r="A327063" s="1"/>
    </row>
    <row r="327064" spans="1:1" x14ac:dyDescent="0.25">
      <c r="A327064" s="1"/>
    </row>
    <row r="327065" spans="1:1" x14ac:dyDescent="0.25">
      <c r="A327065" s="1"/>
    </row>
    <row r="327066" spans="1:1" x14ac:dyDescent="0.25">
      <c r="A327066" s="1"/>
    </row>
    <row r="327067" spans="1:1" x14ac:dyDescent="0.25">
      <c r="A327067" s="1"/>
    </row>
    <row r="327068" spans="1:1" x14ac:dyDescent="0.25">
      <c r="A327068" s="1"/>
    </row>
    <row r="327069" spans="1:1" x14ac:dyDescent="0.25">
      <c r="A327069" s="1"/>
    </row>
    <row r="327070" spans="1:1" x14ac:dyDescent="0.25">
      <c r="A327070" s="1"/>
    </row>
    <row r="327071" spans="1:1" x14ac:dyDescent="0.25">
      <c r="A327071" s="1"/>
    </row>
    <row r="327072" spans="1:1" x14ac:dyDescent="0.25">
      <c r="A327072" s="1"/>
    </row>
    <row r="327073" spans="1:1" x14ac:dyDescent="0.25">
      <c r="A327073" s="1"/>
    </row>
    <row r="327074" spans="1:1" x14ac:dyDescent="0.25">
      <c r="A327074" s="1"/>
    </row>
    <row r="327075" spans="1:1" x14ac:dyDescent="0.25">
      <c r="A327075" s="1"/>
    </row>
    <row r="327076" spans="1:1" x14ac:dyDescent="0.25">
      <c r="A327076" s="1"/>
    </row>
    <row r="327077" spans="1:1" x14ac:dyDescent="0.25">
      <c r="A327077" s="1"/>
    </row>
    <row r="327078" spans="1:1" x14ac:dyDescent="0.25">
      <c r="A327078" s="1"/>
    </row>
    <row r="327079" spans="1:1" x14ac:dyDescent="0.25">
      <c r="A327079" s="1"/>
    </row>
    <row r="327080" spans="1:1" x14ac:dyDescent="0.25">
      <c r="A327080" s="1"/>
    </row>
    <row r="327081" spans="1:1" x14ac:dyDescent="0.25">
      <c r="A327081" s="1"/>
    </row>
    <row r="327082" spans="1:1" x14ac:dyDescent="0.25">
      <c r="A327082" s="1"/>
    </row>
    <row r="327083" spans="1:1" x14ac:dyDescent="0.25">
      <c r="A327083" s="1"/>
    </row>
    <row r="327084" spans="1:1" x14ac:dyDescent="0.25">
      <c r="A327084" s="1"/>
    </row>
    <row r="327085" spans="1:1" x14ac:dyDescent="0.25">
      <c r="A327085" s="1"/>
    </row>
    <row r="327086" spans="1:1" x14ac:dyDescent="0.25">
      <c r="A327086" s="1"/>
    </row>
    <row r="327087" spans="1:1" x14ac:dyDescent="0.25">
      <c r="A327087" s="1"/>
    </row>
    <row r="327088" spans="1:1" x14ac:dyDescent="0.25">
      <c r="A327088" s="1"/>
    </row>
    <row r="327089" spans="1:1" x14ac:dyDescent="0.25">
      <c r="A327089" s="1"/>
    </row>
    <row r="327090" spans="1:1" x14ac:dyDescent="0.25">
      <c r="A327090" s="1"/>
    </row>
    <row r="327091" spans="1:1" x14ac:dyDescent="0.25">
      <c r="A327091" s="1"/>
    </row>
    <row r="327092" spans="1:1" x14ac:dyDescent="0.25">
      <c r="A327092" s="1"/>
    </row>
    <row r="327093" spans="1:1" x14ac:dyDescent="0.25">
      <c r="A327093" s="1"/>
    </row>
    <row r="327094" spans="1:1" x14ac:dyDescent="0.25">
      <c r="A327094" s="1"/>
    </row>
    <row r="327095" spans="1:1" x14ac:dyDescent="0.25">
      <c r="A327095" s="1"/>
    </row>
    <row r="327096" spans="1:1" x14ac:dyDescent="0.25">
      <c r="A327096" s="1"/>
    </row>
    <row r="327097" spans="1:1" x14ac:dyDescent="0.25">
      <c r="A327097" s="1"/>
    </row>
    <row r="327098" spans="1:1" x14ac:dyDescent="0.25">
      <c r="A327098" s="1"/>
    </row>
    <row r="327099" spans="1:1" x14ac:dyDescent="0.25">
      <c r="A327099" s="1"/>
    </row>
    <row r="327100" spans="1:1" x14ac:dyDescent="0.25">
      <c r="A327100" s="1"/>
    </row>
    <row r="327101" spans="1:1" x14ac:dyDescent="0.25">
      <c r="A327101" s="1"/>
    </row>
    <row r="327102" spans="1:1" x14ac:dyDescent="0.25">
      <c r="A327102" s="1"/>
    </row>
    <row r="327103" spans="1:1" x14ac:dyDescent="0.25">
      <c r="A327103" s="1"/>
    </row>
    <row r="327104" spans="1:1" x14ac:dyDescent="0.25">
      <c r="A327104" s="1"/>
    </row>
    <row r="327105" spans="1:1" x14ac:dyDescent="0.25">
      <c r="A327105" s="1"/>
    </row>
    <row r="327106" spans="1:1" x14ac:dyDescent="0.25">
      <c r="A327106" s="1"/>
    </row>
    <row r="327107" spans="1:1" x14ac:dyDescent="0.25">
      <c r="A327107" s="1"/>
    </row>
    <row r="327108" spans="1:1" x14ac:dyDescent="0.25">
      <c r="A327108" s="1"/>
    </row>
    <row r="327109" spans="1:1" x14ac:dyDescent="0.25">
      <c r="A327109" s="1"/>
    </row>
    <row r="327110" spans="1:1" x14ac:dyDescent="0.25">
      <c r="A327110" s="1"/>
    </row>
    <row r="327111" spans="1:1" x14ac:dyDescent="0.25">
      <c r="A327111" s="1"/>
    </row>
    <row r="327112" spans="1:1" x14ac:dyDescent="0.25">
      <c r="A327112" s="1"/>
    </row>
    <row r="327113" spans="1:1" x14ac:dyDescent="0.25">
      <c r="A327113" s="1"/>
    </row>
    <row r="327114" spans="1:1" x14ac:dyDescent="0.25">
      <c r="A327114" s="1"/>
    </row>
    <row r="327115" spans="1:1" x14ac:dyDescent="0.25">
      <c r="A327115" s="1"/>
    </row>
    <row r="327116" spans="1:1" x14ac:dyDescent="0.25">
      <c r="A327116" s="1"/>
    </row>
    <row r="327117" spans="1:1" x14ac:dyDescent="0.25">
      <c r="A327117" s="1"/>
    </row>
    <row r="327118" spans="1:1" x14ac:dyDescent="0.25">
      <c r="A327118" s="1"/>
    </row>
    <row r="327119" spans="1:1" x14ac:dyDescent="0.25">
      <c r="A327119" s="1"/>
    </row>
    <row r="327120" spans="1:1" x14ac:dyDescent="0.25">
      <c r="A327120" s="1"/>
    </row>
    <row r="327121" spans="1:1" x14ac:dyDescent="0.25">
      <c r="A327121" s="1"/>
    </row>
    <row r="327122" spans="1:1" x14ac:dyDescent="0.25">
      <c r="A327122" s="1"/>
    </row>
    <row r="327123" spans="1:1" x14ac:dyDescent="0.25">
      <c r="A327123" s="1"/>
    </row>
    <row r="327124" spans="1:1" x14ac:dyDescent="0.25">
      <c r="A327124" s="1"/>
    </row>
    <row r="327125" spans="1:1" x14ac:dyDescent="0.25">
      <c r="A327125" s="1"/>
    </row>
    <row r="327126" spans="1:1" x14ac:dyDescent="0.25">
      <c r="A327126" s="1"/>
    </row>
    <row r="327127" spans="1:1" x14ac:dyDescent="0.25">
      <c r="A327127" s="1"/>
    </row>
    <row r="327128" spans="1:1" x14ac:dyDescent="0.25">
      <c r="A327128" s="1"/>
    </row>
    <row r="327129" spans="1:1" x14ac:dyDescent="0.25">
      <c r="A327129" s="1"/>
    </row>
    <row r="327130" spans="1:1" x14ac:dyDescent="0.25">
      <c r="A327130" s="1"/>
    </row>
    <row r="327131" spans="1:1" x14ac:dyDescent="0.25">
      <c r="A327131" s="1"/>
    </row>
    <row r="327132" spans="1:1" x14ac:dyDescent="0.25">
      <c r="A327132" s="1"/>
    </row>
    <row r="327133" spans="1:1" x14ac:dyDescent="0.25">
      <c r="A327133" s="1"/>
    </row>
    <row r="327134" spans="1:1" x14ac:dyDescent="0.25">
      <c r="A327134" s="1"/>
    </row>
    <row r="327135" spans="1:1" x14ac:dyDescent="0.25">
      <c r="A327135" s="1"/>
    </row>
    <row r="327136" spans="1:1" x14ac:dyDescent="0.25">
      <c r="A327136" s="1"/>
    </row>
    <row r="327137" spans="1:1" x14ac:dyDescent="0.25">
      <c r="A327137" s="1"/>
    </row>
    <row r="327138" spans="1:1" x14ac:dyDescent="0.25">
      <c r="A327138" s="1"/>
    </row>
    <row r="327139" spans="1:1" x14ac:dyDescent="0.25">
      <c r="A327139" s="1"/>
    </row>
    <row r="327140" spans="1:1" x14ac:dyDescent="0.25">
      <c r="A327140" s="1"/>
    </row>
    <row r="327141" spans="1:1" x14ac:dyDescent="0.25">
      <c r="A327141" s="1"/>
    </row>
    <row r="327142" spans="1:1" x14ac:dyDescent="0.25">
      <c r="A327142" s="1"/>
    </row>
    <row r="327143" spans="1:1" x14ac:dyDescent="0.25">
      <c r="A327143" s="1"/>
    </row>
    <row r="327144" spans="1:1" x14ac:dyDescent="0.25">
      <c r="A327144" s="1"/>
    </row>
    <row r="327145" spans="1:1" x14ac:dyDescent="0.25">
      <c r="A327145" s="1"/>
    </row>
    <row r="327146" spans="1:1" x14ac:dyDescent="0.25">
      <c r="A327146" s="1"/>
    </row>
    <row r="327147" spans="1:1" x14ac:dyDescent="0.25">
      <c r="A327147" s="1"/>
    </row>
    <row r="327148" spans="1:1" x14ac:dyDescent="0.25">
      <c r="A327148" s="1"/>
    </row>
    <row r="327149" spans="1:1" x14ac:dyDescent="0.25">
      <c r="A327149" s="1"/>
    </row>
    <row r="327150" spans="1:1" x14ac:dyDescent="0.25">
      <c r="A327150" s="1"/>
    </row>
    <row r="327151" spans="1:1" x14ac:dyDescent="0.25">
      <c r="A327151" s="1"/>
    </row>
    <row r="327152" spans="1:1" x14ac:dyDescent="0.25">
      <c r="A327152" s="1"/>
    </row>
    <row r="327153" spans="1:1" x14ac:dyDescent="0.25">
      <c r="A327153" s="1"/>
    </row>
    <row r="327154" spans="1:1" x14ac:dyDescent="0.25">
      <c r="A327154" s="1"/>
    </row>
    <row r="327155" spans="1:1" x14ac:dyDescent="0.25">
      <c r="A327155" s="1"/>
    </row>
    <row r="327156" spans="1:1" x14ac:dyDescent="0.25">
      <c r="A327156" s="1"/>
    </row>
    <row r="327157" spans="1:1" x14ac:dyDescent="0.25">
      <c r="A327157" s="1"/>
    </row>
    <row r="327158" spans="1:1" x14ac:dyDescent="0.25">
      <c r="A327158" s="1"/>
    </row>
    <row r="327159" spans="1:1" x14ac:dyDescent="0.25">
      <c r="A327159" s="1"/>
    </row>
    <row r="327160" spans="1:1" x14ac:dyDescent="0.25">
      <c r="A327160" s="1"/>
    </row>
    <row r="327161" spans="1:1" x14ac:dyDescent="0.25">
      <c r="A327161" s="1"/>
    </row>
    <row r="327162" spans="1:1" x14ac:dyDescent="0.25">
      <c r="A327162" s="1"/>
    </row>
    <row r="327163" spans="1:1" x14ac:dyDescent="0.25">
      <c r="A327163" s="1"/>
    </row>
    <row r="327164" spans="1:1" x14ac:dyDescent="0.25">
      <c r="A327164" s="1"/>
    </row>
    <row r="327165" spans="1:1" x14ac:dyDescent="0.25">
      <c r="A327165" s="1"/>
    </row>
    <row r="327166" spans="1:1" x14ac:dyDescent="0.25">
      <c r="A327166" s="1"/>
    </row>
    <row r="327167" spans="1:1" x14ac:dyDescent="0.25">
      <c r="A327167" s="1"/>
    </row>
    <row r="327168" spans="1:1" x14ac:dyDescent="0.25">
      <c r="A327168" s="1"/>
    </row>
    <row r="327169" spans="1:1" x14ac:dyDescent="0.25">
      <c r="A327169" s="1"/>
    </row>
    <row r="327170" spans="1:1" x14ac:dyDescent="0.25">
      <c r="A327170" s="1"/>
    </row>
    <row r="327171" spans="1:1" x14ac:dyDescent="0.25">
      <c r="A327171" s="1"/>
    </row>
    <row r="327172" spans="1:1" x14ac:dyDescent="0.25">
      <c r="A327172" s="1"/>
    </row>
    <row r="327173" spans="1:1" x14ac:dyDescent="0.25">
      <c r="A327173" s="1"/>
    </row>
    <row r="327174" spans="1:1" x14ac:dyDescent="0.25">
      <c r="A327174" s="1"/>
    </row>
    <row r="327175" spans="1:1" x14ac:dyDescent="0.25">
      <c r="A327175" s="1"/>
    </row>
    <row r="327176" spans="1:1" x14ac:dyDescent="0.25">
      <c r="A327176" s="1"/>
    </row>
    <row r="327177" spans="1:1" x14ac:dyDescent="0.25">
      <c r="A327177" s="1"/>
    </row>
    <row r="327178" spans="1:1" x14ac:dyDescent="0.25">
      <c r="A327178" s="1"/>
    </row>
    <row r="327179" spans="1:1" x14ac:dyDescent="0.25">
      <c r="A327179" s="1"/>
    </row>
    <row r="327180" spans="1:1" x14ac:dyDescent="0.25">
      <c r="A327180" s="1"/>
    </row>
    <row r="327181" spans="1:1" x14ac:dyDescent="0.25">
      <c r="A327181" s="1"/>
    </row>
    <row r="327182" spans="1:1" x14ac:dyDescent="0.25">
      <c r="A327182" s="1"/>
    </row>
    <row r="327183" spans="1:1" x14ac:dyDescent="0.25">
      <c r="A327183" s="1"/>
    </row>
    <row r="327184" spans="1:1" x14ac:dyDescent="0.25">
      <c r="A327184" s="1"/>
    </row>
    <row r="327185" spans="1:1" x14ac:dyDescent="0.25">
      <c r="A327185" s="1"/>
    </row>
    <row r="327186" spans="1:1" x14ac:dyDescent="0.25">
      <c r="A327186" s="1"/>
    </row>
    <row r="327187" spans="1:1" x14ac:dyDescent="0.25">
      <c r="A327187" s="1"/>
    </row>
    <row r="327188" spans="1:1" x14ac:dyDescent="0.25">
      <c r="A327188" s="1"/>
    </row>
    <row r="327189" spans="1:1" x14ac:dyDescent="0.25">
      <c r="A327189" s="1"/>
    </row>
    <row r="327190" spans="1:1" x14ac:dyDescent="0.25">
      <c r="A327190" s="1"/>
    </row>
    <row r="327191" spans="1:1" x14ac:dyDescent="0.25">
      <c r="A327191" s="1"/>
    </row>
    <row r="327192" spans="1:1" x14ac:dyDescent="0.25">
      <c r="A327192" s="1"/>
    </row>
    <row r="327193" spans="1:1" x14ac:dyDescent="0.25">
      <c r="A327193" s="1"/>
    </row>
    <row r="327194" spans="1:1" x14ac:dyDescent="0.25">
      <c r="A327194" s="1"/>
    </row>
    <row r="327195" spans="1:1" x14ac:dyDescent="0.25">
      <c r="A327195" s="1"/>
    </row>
    <row r="327196" spans="1:1" x14ac:dyDescent="0.25">
      <c r="A327196" s="1"/>
    </row>
    <row r="327197" spans="1:1" x14ac:dyDescent="0.25">
      <c r="A327197" s="1"/>
    </row>
    <row r="327198" spans="1:1" x14ac:dyDescent="0.25">
      <c r="A327198" s="1"/>
    </row>
    <row r="327199" spans="1:1" x14ac:dyDescent="0.25">
      <c r="A327199" s="1"/>
    </row>
    <row r="327200" spans="1:1" x14ac:dyDescent="0.25">
      <c r="A327200" s="1"/>
    </row>
    <row r="327201" spans="1:1" x14ac:dyDescent="0.25">
      <c r="A327201" s="1"/>
    </row>
    <row r="327202" spans="1:1" x14ac:dyDescent="0.25">
      <c r="A327202" s="1"/>
    </row>
    <row r="327203" spans="1:1" x14ac:dyDescent="0.25">
      <c r="A327203" s="1"/>
    </row>
    <row r="327204" spans="1:1" x14ac:dyDescent="0.25">
      <c r="A327204" s="1"/>
    </row>
    <row r="327205" spans="1:1" x14ac:dyDescent="0.25">
      <c r="A327205" s="1"/>
    </row>
    <row r="327206" spans="1:1" x14ac:dyDescent="0.25">
      <c r="A327206" s="1"/>
    </row>
    <row r="327207" spans="1:1" x14ac:dyDescent="0.25">
      <c r="A327207" s="1"/>
    </row>
    <row r="327208" spans="1:1" x14ac:dyDescent="0.25">
      <c r="A327208" s="1"/>
    </row>
    <row r="327209" spans="1:1" x14ac:dyDescent="0.25">
      <c r="A327209" s="1"/>
    </row>
    <row r="327210" spans="1:1" x14ac:dyDescent="0.25">
      <c r="A327210" s="1"/>
    </row>
    <row r="327211" spans="1:1" x14ac:dyDescent="0.25">
      <c r="A327211" s="1"/>
    </row>
    <row r="327212" spans="1:1" x14ac:dyDescent="0.25">
      <c r="A327212" s="1"/>
    </row>
    <row r="327213" spans="1:1" x14ac:dyDescent="0.25">
      <c r="A327213" s="1"/>
    </row>
    <row r="327214" spans="1:1" x14ac:dyDescent="0.25">
      <c r="A327214" s="1"/>
    </row>
    <row r="327215" spans="1:1" x14ac:dyDescent="0.25">
      <c r="A327215" s="1"/>
    </row>
    <row r="327216" spans="1:1" x14ac:dyDescent="0.25">
      <c r="A327216" s="1"/>
    </row>
    <row r="327217" spans="1:1" x14ac:dyDescent="0.25">
      <c r="A327217" s="1"/>
    </row>
    <row r="327218" spans="1:1" x14ac:dyDescent="0.25">
      <c r="A327218" s="1"/>
    </row>
    <row r="327219" spans="1:1" x14ac:dyDescent="0.25">
      <c r="A327219" s="1"/>
    </row>
    <row r="327220" spans="1:1" x14ac:dyDescent="0.25">
      <c r="A327220" s="1"/>
    </row>
    <row r="327221" spans="1:1" x14ac:dyDescent="0.25">
      <c r="A327221" s="1"/>
    </row>
    <row r="327222" spans="1:1" x14ac:dyDescent="0.25">
      <c r="A327222" s="1"/>
    </row>
    <row r="327223" spans="1:1" x14ac:dyDescent="0.25">
      <c r="A327223" s="1"/>
    </row>
    <row r="327224" spans="1:1" x14ac:dyDescent="0.25">
      <c r="A327224" s="1"/>
    </row>
    <row r="327225" spans="1:1" x14ac:dyDescent="0.25">
      <c r="A327225" s="1"/>
    </row>
    <row r="327226" spans="1:1" x14ac:dyDescent="0.25">
      <c r="A327226" s="1"/>
    </row>
    <row r="327227" spans="1:1" x14ac:dyDescent="0.25">
      <c r="A327227" s="1"/>
    </row>
    <row r="327228" spans="1:1" x14ac:dyDescent="0.25">
      <c r="A327228" s="1"/>
    </row>
    <row r="327229" spans="1:1" x14ac:dyDescent="0.25">
      <c r="A327229" s="1"/>
    </row>
    <row r="327230" spans="1:1" x14ac:dyDescent="0.25">
      <c r="A327230" s="1"/>
    </row>
    <row r="327231" spans="1:1" x14ac:dyDescent="0.25">
      <c r="A327231" s="1"/>
    </row>
    <row r="327232" spans="1:1" x14ac:dyDescent="0.25">
      <c r="A327232" s="1"/>
    </row>
    <row r="327233" spans="1:1" x14ac:dyDescent="0.25">
      <c r="A327233" s="1"/>
    </row>
    <row r="327234" spans="1:1" x14ac:dyDescent="0.25">
      <c r="A327234" s="1"/>
    </row>
    <row r="327235" spans="1:1" x14ac:dyDescent="0.25">
      <c r="A327235" s="1"/>
    </row>
    <row r="327236" spans="1:1" x14ac:dyDescent="0.25">
      <c r="A327236" s="1"/>
    </row>
    <row r="327237" spans="1:1" x14ac:dyDescent="0.25">
      <c r="A327237" s="1"/>
    </row>
    <row r="327238" spans="1:1" x14ac:dyDescent="0.25">
      <c r="A327238" s="1"/>
    </row>
    <row r="327239" spans="1:1" x14ac:dyDescent="0.25">
      <c r="A327239" s="1"/>
    </row>
    <row r="327240" spans="1:1" x14ac:dyDescent="0.25">
      <c r="A327240" s="1"/>
    </row>
    <row r="327241" spans="1:1" x14ac:dyDescent="0.25">
      <c r="A327241" s="1"/>
    </row>
    <row r="327242" spans="1:1" x14ac:dyDescent="0.25">
      <c r="A327242" s="1"/>
    </row>
    <row r="327243" spans="1:1" x14ac:dyDescent="0.25">
      <c r="A327243" s="1"/>
    </row>
    <row r="327244" spans="1:1" x14ac:dyDescent="0.25">
      <c r="A327244" s="1"/>
    </row>
    <row r="327245" spans="1:1" x14ac:dyDescent="0.25">
      <c r="A327245" s="1"/>
    </row>
    <row r="327246" spans="1:1" x14ac:dyDescent="0.25">
      <c r="A327246" s="1"/>
    </row>
    <row r="327247" spans="1:1" x14ac:dyDescent="0.25">
      <c r="A327247" s="1"/>
    </row>
    <row r="327248" spans="1:1" x14ac:dyDescent="0.25">
      <c r="A327248" s="1"/>
    </row>
    <row r="327249" spans="1:1" x14ac:dyDescent="0.25">
      <c r="A327249" s="1"/>
    </row>
    <row r="327250" spans="1:1" x14ac:dyDescent="0.25">
      <c r="A327250" s="1"/>
    </row>
    <row r="327251" spans="1:1" x14ac:dyDescent="0.25">
      <c r="A327251" s="1"/>
    </row>
    <row r="327252" spans="1:1" x14ac:dyDescent="0.25">
      <c r="A327252" s="1"/>
    </row>
    <row r="327253" spans="1:1" x14ac:dyDescent="0.25">
      <c r="A327253" s="1"/>
    </row>
    <row r="327254" spans="1:1" x14ac:dyDescent="0.25">
      <c r="A327254" s="1"/>
    </row>
    <row r="327255" spans="1:1" x14ac:dyDescent="0.25">
      <c r="A327255" s="1"/>
    </row>
    <row r="327256" spans="1:1" x14ac:dyDescent="0.25">
      <c r="A327256" s="1"/>
    </row>
    <row r="327257" spans="1:1" x14ac:dyDescent="0.25">
      <c r="A327257" s="1"/>
    </row>
    <row r="327258" spans="1:1" x14ac:dyDescent="0.25">
      <c r="A327258" s="1"/>
    </row>
    <row r="327259" spans="1:1" x14ac:dyDescent="0.25">
      <c r="A327259" s="1"/>
    </row>
    <row r="327260" spans="1:1" x14ac:dyDescent="0.25">
      <c r="A327260" s="1"/>
    </row>
    <row r="327261" spans="1:1" x14ac:dyDescent="0.25">
      <c r="A327261" s="1"/>
    </row>
    <row r="327262" spans="1:1" x14ac:dyDescent="0.25">
      <c r="A327262" s="1"/>
    </row>
    <row r="327263" spans="1:1" x14ac:dyDescent="0.25">
      <c r="A327263" s="1"/>
    </row>
    <row r="327264" spans="1:1" x14ac:dyDescent="0.25">
      <c r="A327264" s="1"/>
    </row>
    <row r="327265" spans="1:1" x14ac:dyDescent="0.25">
      <c r="A327265" s="1"/>
    </row>
    <row r="327266" spans="1:1" x14ac:dyDescent="0.25">
      <c r="A327266" s="1"/>
    </row>
    <row r="327267" spans="1:1" x14ac:dyDescent="0.25">
      <c r="A327267" s="1"/>
    </row>
    <row r="327268" spans="1:1" x14ac:dyDescent="0.25">
      <c r="A327268" s="1"/>
    </row>
    <row r="327269" spans="1:1" x14ac:dyDescent="0.25">
      <c r="A327269" s="1"/>
    </row>
    <row r="327270" spans="1:1" x14ac:dyDescent="0.25">
      <c r="A327270" s="1"/>
    </row>
    <row r="327271" spans="1:1" x14ac:dyDescent="0.25">
      <c r="A327271" s="1"/>
    </row>
    <row r="327272" spans="1:1" x14ac:dyDescent="0.25">
      <c r="A327272" s="1"/>
    </row>
    <row r="327273" spans="1:1" x14ac:dyDescent="0.25">
      <c r="A327273" s="1"/>
    </row>
    <row r="327274" spans="1:1" x14ac:dyDescent="0.25">
      <c r="A327274" s="1"/>
    </row>
    <row r="327275" spans="1:1" x14ac:dyDescent="0.25">
      <c r="A327275" s="1"/>
    </row>
    <row r="327276" spans="1:1" x14ac:dyDescent="0.25">
      <c r="A327276" s="1"/>
    </row>
    <row r="327277" spans="1:1" x14ac:dyDescent="0.25">
      <c r="A327277" s="1"/>
    </row>
    <row r="327278" spans="1:1" x14ac:dyDescent="0.25">
      <c r="A327278" s="1"/>
    </row>
    <row r="327279" spans="1:1" x14ac:dyDescent="0.25">
      <c r="A327279" s="1"/>
    </row>
    <row r="327280" spans="1:1" x14ac:dyDescent="0.25">
      <c r="A327280" s="1"/>
    </row>
    <row r="327281" spans="1:1" x14ac:dyDescent="0.25">
      <c r="A327281" s="1"/>
    </row>
    <row r="327282" spans="1:1" x14ac:dyDescent="0.25">
      <c r="A327282" s="1"/>
    </row>
    <row r="327283" spans="1:1" x14ac:dyDescent="0.25">
      <c r="A327283" s="1"/>
    </row>
    <row r="327284" spans="1:1" x14ac:dyDescent="0.25">
      <c r="A327284" s="1"/>
    </row>
    <row r="327285" spans="1:1" x14ac:dyDescent="0.25">
      <c r="A327285" s="1"/>
    </row>
    <row r="327286" spans="1:1" x14ac:dyDescent="0.25">
      <c r="A327286" s="1"/>
    </row>
    <row r="327287" spans="1:1" x14ac:dyDescent="0.25">
      <c r="A327287" s="1"/>
    </row>
    <row r="327288" spans="1:1" x14ac:dyDescent="0.25">
      <c r="A327288" s="1"/>
    </row>
    <row r="327289" spans="1:1" x14ac:dyDescent="0.25">
      <c r="A327289" s="1"/>
    </row>
    <row r="327290" spans="1:1" x14ac:dyDescent="0.25">
      <c r="A327290" s="1"/>
    </row>
    <row r="327291" spans="1:1" x14ac:dyDescent="0.25">
      <c r="A327291" s="1"/>
    </row>
    <row r="327292" spans="1:1" x14ac:dyDescent="0.25">
      <c r="A327292" s="1"/>
    </row>
    <row r="327293" spans="1:1" x14ac:dyDescent="0.25">
      <c r="A327293" s="1"/>
    </row>
    <row r="327294" spans="1:1" x14ac:dyDescent="0.25">
      <c r="A327294" s="1"/>
    </row>
    <row r="327295" spans="1:1" x14ac:dyDescent="0.25">
      <c r="A327295" s="1"/>
    </row>
    <row r="327296" spans="1:1" x14ac:dyDescent="0.25">
      <c r="A327296" s="1"/>
    </row>
    <row r="327297" spans="1:1" x14ac:dyDescent="0.25">
      <c r="A327297" s="1"/>
    </row>
    <row r="327298" spans="1:1" x14ac:dyDescent="0.25">
      <c r="A327298" s="1"/>
    </row>
    <row r="327299" spans="1:1" x14ac:dyDescent="0.25">
      <c r="A327299" s="1"/>
    </row>
    <row r="327300" spans="1:1" x14ac:dyDescent="0.25">
      <c r="A327300" s="1"/>
    </row>
    <row r="327301" spans="1:1" x14ac:dyDescent="0.25">
      <c r="A327301" s="1"/>
    </row>
    <row r="327302" spans="1:1" x14ac:dyDescent="0.25">
      <c r="A327302" s="1"/>
    </row>
    <row r="327303" spans="1:1" x14ac:dyDescent="0.25">
      <c r="A327303" s="1"/>
    </row>
    <row r="327304" spans="1:1" x14ac:dyDescent="0.25">
      <c r="A327304" s="1"/>
    </row>
    <row r="327305" spans="1:1" x14ac:dyDescent="0.25">
      <c r="A327305" s="1"/>
    </row>
    <row r="327306" spans="1:1" x14ac:dyDescent="0.25">
      <c r="A327306" s="1"/>
    </row>
    <row r="327307" spans="1:1" x14ac:dyDescent="0.25">
      <c r="A327307" s="1"/>
    </row>
    <row r="327308" spans="1:1" x14ac:dyDescent="0.25">
      <c r="A327308" s="1"/>
    </row>
    <row r="327309" spans="1:1" x14ac:dyDescent="0.25">
      <c r="A327309" s="1"/>
    </row>
    <row r="327310" spans="1:1" x14ac:dyDescent="0.25">
      <c r="A327310" s="1"/>
    </row>
    <row r="327311" spans="1:1" x14ac:dyDescent="0.25">
      <c r="A327311" s="1"/>
    </row>
    <row r="327312" spans="1:1" x14ac:dyDescent="0.25">
      <c r="A327312" s="1"/>
    </row>
    <row r="327313" spans="1:1" x14ac:dyDescent="0.25">
      <c r="A327313" s="1"/>
    </row>
    <row r="327314" spans="1:1" x14ac:dyDescent="0.25">
      <c r="A327314" s="1"/>
    </row>
    <row r="327315" spans="1:1" x14ac:dyDescent="0.25">
      <c r="A327315" s="1"/>
    </row>
    <row r="327316" spans="1:1" x14ac:dyDescent="0.25">
      <c r="A327316" s="1"/>
    </row>
    <row r="327317" spans="1:1" x14ac:dyDescent="0.25">
      <c r="A327317" s="1"/>
    </row>
    <row r="327318" spans="1:1" x14ac:dyDescent="0.25">
      <c r="A327318" s="1"/>
    </row>
    <row r="327319" spans="1:1" x14ac:dyDescent="0.25">
      <c r="A327319" s="1"/>
    </row>
    <row r="327320" spans="1:1" x14ac:dyDescent="0.25">
      <c r="A327320" s="1"/>
    </row>
    <row r="327321" spans="1:1" x14ac:dyDescent="0.25">
      <c r="A327321" s="1"/>
    </row>
    <row r="327322" spans="1:1" x14ac:dyDescent="0.25">
      <c r="A327322" s="1"/>
    </row>
    <row r="327323" spans="1:1" x14ac:dyDescent="0.25">
      <c r="A327323" s="1"/>
    </row>
    <row r="327324" spans="1:1" x14ac:dyDescent="0.25">
      <c r="A327324" s="1"/>
    </row>
    <row r="327325" spans="1:1" x14ac:dyDescent="0.25">
      <c r="A327325" s="1"/>
    </row>
    <row r="327326" spans="1:1" x14ac:dyDescent="0.25">
      <c r="A327326" s="1"/>
    </row>
    <row r="327327" spans="1:1" x14ac:dyDescent="0.25">
      <c r="A327327" s="1"/>
    </row>
    <row r="327328" spans="1:1" x14ac:dyDescent="0.25">
      <c r="A327328" s="1"/>
    </row>
    <row r="327329" spans="1:1" x14ac:dyDescent="0.25">
      <c r="A327329" s="1"/>
    </row>
    <row r="327330" spans="1:1" x14ac:dyDescent="0.25">
      <c r="A327330" s="1"/>
    </row>
    <row r="327331" spans="1:1" x14ac:dyDescent="0.25">
      <c r="A327331" s="1"/>
    </row>
    <row r="327332" spans="1:1" x14ac:dyDescent="0.25">
      <c r="A327332" s="1"/>
    </row>
    <row r="327333" spans="1:1" x14ac:dyDescent="0.25">
      <c r="A327333" s="1"/>
    </row>
    <row r="327334" spans="1:1" x14ac:dyDescent="0.25">
      <c r="A327334" s="1"/>
    </row>
    <row r="327335" spans="1:1" x14ac:dyDescent="0.25">
      <c r="A327335" s="1"/>
    </row>
    <row r="327336" spans="1:1" x14ac:dyDescent="0.25">
      <c r="A327336" s="1"/>
    </row>
    <row r="327337" spans="1:1" x14ac:dyDescent="0.25">
      <c r="A327337" s="1"/>
    </row>
    <row r="327338" spans="1:1" x14ac:dyDescent="0.25">
      <c r="A327338" s="1"/>
    </row>
    <row r="327339" spans="1:1" x14ac:dyDescent="0.25">
      <c r="A327339" s="1"/>
    </row>
    <row r="327340" spans="1:1" x14ac:dyDescent="0.25">
      <c r="A327340" s="1"/>
    </row>
    <row r="327341" spans="1:1" x14ac:dyDescent="0.25">
      <c r="A327341" s="1"/>
    </row>
    <row r="327342" spans="1:1" x14ac:dyDescent="0.25">
      <c r="A327342" s="1"/>
    </row>
    <row r="327343" spans="1:1" x14ac:dyDescent="0.25">
      <c r="A327343" s="1"/>
    </row>
    <row r="327344" spans="1:1" x14ac:dyDescent="0.25">
      <c r="A327344" s="1"/>
    </row>
    <row r="327345" spans="1:1" x14ac:dyDescent="0.25">
      <c r="A327345" s="1"/>
    </row>
    <row r="327346" spans="1:1" x14ac:dyDescent="0.25">
      <c r="A327346" s="1"/>
    </row>
    <row r="327347" spans="1:1" x14ac:dyDescent="0.25">
      <c r="A327347" s="1"/>
    </row>
    <row r="327348" spans="1:1" x14ac:dyDescent="0.25">
      <c r="A327348" s="1"/>
    </row>
    <row r="327349" spans="1:1" x14ac:dyDescent="0.25">
      <c r="A327349" s="1"/>
    </row>
    <row r="327350" spans="1:1" x14ac:dyDescent="0.25">
      <c r="A327350" s="1"/>
    </row>
    <row r="327351" spans="1:1" x14ac:dyDescent="0.25">
      <c r="A327351" s="1"/>
    </row>
    <row r="327352" spans="1:1" x14ac:dyDescent="0.25">
      <c r="A327352" s="1"/>
    </row>
    <row r="327353" spans="1:1" x14ac:dyDescent="0.25">
      <c r="A327353" s="1"/>
    </row>
    <row r="327354" spans="1:1" x14ac:dyDescent="0.25">
      <c r="A327354" s="1"/>
    </row>
    <row r="327355" spans="1:1" x14ac:dyDescent="0.25">
      <c r="A327355" s="1"/>
    </row>
    <row r="327356" spans="1:1" x14ac:dyDescent="0.25">
      <c r="A327356" s="1"/>
    </row>
    <row r="327357" spans="1:1" x14ac:dyDescent="0.25">
      <c r="A327357" s="1"/>
    </row>
    <row r="327358" spans="1:1" x14ac:dyDescent="0.25">
      <c r="A327358" s="1"/>
    </row>
    <row r="327359" spans="1:1" x14ac:dyDescent="0.25">
      <c r="A327359" s="1"/>
    </row>
    <row r="327360" spans="1:1" x14ac:dyDescent="0.25">
      <c r="A327360" s="1"/>
    </row>
    <row r="327361" spans="1:1" x14ac:dyDescent="0.25">
      <c r="A327361" s="1"/>
    </row>
    <row r="327362" spans="1:1" x14ac:dyDescent="0.25">
      <c r="A327362" s="1"/>
    </row>
    <row r="327363" spans="1:1" x14ac:dyDescent="0.25">
      <c r="A327363" s="1"/>
    </row>
    <row r="327364" spans="1:1" x14ac:dyDescent="0.25">
      <c r="A327364" s="1"/>
    </row>
    <row r="327365" spans="1:1" x14ac:dyDescent="0.25">
      <c r="A327365" s="1"/>
    </row>
    <row r="327366" spans="1:1" x14ac:dyDescent="0.25">
      <c r="A327366" s="1"/>
    </row>
    <row r="327367" spans="1:1" x14ac:dyDescent="0.25">
      <c r="A327367" s="1"/>
    </row>
    <row r="327368" spans="1:1" x14ac:dyDescent="0.25">
      <c r="A327368" s="1"/>
    </row>
    <row r="327369" spans="1:1" x14ac:dyDescent="0.25">
      <c r="A327369" s="1"/>
    </row>
    <row r="327370" spans="1:1" x14ac:dyDescent="0.25">
      <c r="A327370" s="1"/>
    </row>
    <row r="327371" spans="1:1" x14ac:dyDescent="0.25">
      <c r="A327371" s="1"/>
    </row>
    <row r="327372" spans="1:1" x14ac:dyDescent="0.25">
      <c r="A327372" s="1"/>
    </row>
    <row r="327373" spans="1:1" x14ac:dyDescent="0.25">
      <c r="A327373" s="1"/>
    </row>
    <row r="327374" spans="1:1" x14ac:dyDescent="0.25">
      <c r="A327374" s="1"/>
    </row>
    <row r="327375" spans="1:1" x14ac:dyDescent="0.25">
      <c r="A327375" s="1"/>
    </row>
    <row r="327376" spans="1:1" x14ac:dyDescent="0.25">
      <c r="A327376" s="1"/>
    </row>
    <row r="327377" spans="1:1" x14ac:dyDescent="0.25">
      <c r="A327377" s="1"/>
    </row>
    <row r="327378" spans="1:1" x14ac:dyDescent="0.25">
      <c r="A327378" s="1"/>
    </row>
    <row r="327379" spans="1:1" x14ac:dyDescent="0.25">
      <c r="A327379" s="1"/>
    </row>
    <row r="327380" spans="1:1" x14ac:dyDescent="0.25">
      <c r="A327380" s="1"/>
    </row>
    <row r="327381" spans="1:1" x14ac:dyDescent="0.25">
      <c r="A327381" s="1"/>
    </row>
    <row r="327382" spans="1:1" x14ac:dyDescent="0.25">
      <c r="A327382" s="1"/>
    </row>
    <row r="327383" spans="1:1" x14ac:dyDescent="0.25">
      <c r="A327383" s="1"/>
    </row>
    <row r="327384" spans="1:1" x14ac:dyDescent="0.25">
      <c r="A327384" s="1"/>
    </row>
    <row r="327385" spans="1:1" x14ac:dyDescent="0.25">
      <c r="A327385" s="1"/>
    </row>
    <row r="327386" spans="1:1" x14ac:dyDescent="0.25">
      <c r="A327386" s="1"/>
    </row>
    <row r="327387" spans="1:1" x14ac:dyDescent="0.25">
      <c r="A327387" s="1"/>
    </row>
    <row r="327388" spans="1:1" x14ac:dyDescent="0.25">
      <c r="A327388" s="1"/>
    </row>
    <row r="327389" spans="1:1" x14ac:dyDescent="0.25">
      <c r="A327389" s="1"/>
    </row>
    <row r="327390" spans="1:1" x14ac:dyDescent="0.25">
      <c r="A327390" s="1"/>
    </row>
    <row r="327391" spans="1:1" x14ac:dyDescent="0.25">
      <c r="A327391" s="1"/>
    </row>
    <row r="327392" spans="1:1" x14ac:dyDescent="0.25">
      <c r="A327392" s="1"/>
    </row>
    <row r="327393" spans="1:1" x14ac:dyDescent="0.25">
      <c r="A327393" s="1"/>
    </row>
    <row r="327394" spans="1:1" x14ac:dyDescent="0.25">
      <c r="A327394" s="1"/>
    </row>
    <row r="327395" spans="1:1" x14ac:dyDescent="0.25">
      <c r="A327395" s="1"/>
    </row>
    <row r="327396" spans="1:1" x14ac:dyDescent="0.25">
      <c r="A327396" s="1"/>
    </row>
    <row r="327397" spans="1:1" x14ac:dyDescent="0.25">
      <c r="A327397" s="1"/>
    </row>
    <row r="327398" spans="1:1" x14ac:dyDescent="0.25">
      <c r="A327398" s="1"/>
    </row>
    <row r="327399" spans="1:1" x14ac:dyDescent="0.25">
      <c r="A327399" s="1"/>
    </row>
    <row r="327400" spans="1:1" x14ac:dyDescent="0.25">
      <c r="A327400" s="1"/>
    </row>
    <row r="327401" spans="1:1" x14ac:dyDescent="0.25">
      <c r="A327401" s="1"/>
    </row>
    <row r="327402" spans="1:1" x14ac:dyDescent="0.25">
      <c r="A327402" s="1"/>
    </row>
    <row r="327403" spans="1:1" x14ac:dyDescent="0.25">
      <c r="A327403" s="1"/>
    </row>
    <row r="327404" spans="1:1" x14ac:dyDescent="0.25">
      <c r="A327404" s="1"/>
    </row>
    <row r="327405" spans="1:1" x14ac:dyDescent="0.25">
      <c r="A327405" s="1"/>
    </row>
    <row r="327406" spans="1:1" x14ac:dyDescent="0.25">
      <c r="A327406" s="1"/>
    </row>
    <row r="327407" spans="1:1" x14ac:dyDescent="0.25">
      <c r="A327407" s="1"/>
    </row>
    <row r="327408" spans="1:1" x14ac:dyDescent="0.25">
      <c r="A327408" s="1"/>
    </row>
    <row r="327409" spans="1:1" x14ac:dyDescent="0.25">
      <c r="A327409" s="1"/>
    </row>
    <row r="327410" spans="1:1" x14ac:dyDescent="0.25">
      <c r="A327410" s="1"/>
    </row>
    <row r="327411" spans="1:1" x14ac:dyDescent="0.25">
      <c r="A327411" s="1"/>
    </row>
    <row r="327412" spans="1:1" x14ac:dyDescent="0.25">
      <c r="A327412" s="1"/>
    </row>
    <row r="327413" spans="1:1" x14ac:dyDescent="0.25">
      <c r="A327413" s="1"/>
    </row>
    <row r="327414" spans="1:1" x14ac:dyDescent="0.25">
      <c r="A327414" s="1"/>
    </row>
    <row r="327415" spans="1:1" x14ac:dyDescent="0.25">
      <c r="A327415" s="1"/>
    </row>
    <row r="327416" spans="1:1" x14ac:dyDescent="0.25">
      <c r="A327416" s="1"/>
    </row>
    <row r="327417" spans="1:1" x14ac:dyDescent="0.25">
      <c r="A327417" s="1"/>
    </row>
    <row r="327418" spans="1:1" x14ac:dyDescent="0.25">
      <c r="A327418" s="1"/>
    </row>
    <row r="327419" spans="1:1" x14ac:dyDescent="0.25">
      <c r="A327419" s="1"/>
    </row>
    <row r="327420" spans="1:1" x14ac:dyDescent="0.25">
      <c r="A327420" s="1"/>
    </row>
    <row r="327421" spans="1:1" x14ac:dyDescent="0.25">
      <c r="A327421" s="1"/>
    </row>
    <row r="327422" spans="1:1" x14ac:dyDescent="0.25">
      <c r="A327422" s="1"/>
    </row>
    <row r="327423" spans="1:1" x14ac:dyDescent="0.25">
      <c r="A327423" s="1"/>
    </row>
    <row r="327424" spans="1:1" x14ac:dyDescent="0.25">
      <c r="A327424" s="1"/>
    </row>
    <row r="327425" spans="1:1" x14ac:dyDescent="0.25">
      <c r="A327425" s="1"/>
    </row>
    <row r="327426" spans="1:1" x14ac:dyDescent="0.25">
      <c r="A327426" s="1"/>
    </row>
    <row r="327427" spans="1:1" x14ac:dyDescent="0.25">
      <c r="A327427" s="1"/>
    </row>
    <row r="327428" spans="1:1" x14ac:dyDescent="0.25">
      <c r="A327428" s="1"/>
    </row>
    <row r="327429" spans="1:1" x14ac:dyDescent="0.25">
      <c r="A327429" s="1"/>
    </row>
    <row r="327430" spans="1:1" x14ac:dyDescent="0.25">
      <c r="A327430" s="1"/>
    </row>
    <row r="327431" spans="1:1" x14ac:dyDescent="0.25">
      <c r="A327431" s="1"/>
    </row>
    <row r="327432" spans="1:1" x14ac:dyDescent="0.25">
      <c r="A327432" s="1"/>
    </row>
    <row r="327433" spans="1:1" x14ac:dyDescent="0.25">
      <c r="A327433" s="1"/>
    </row>
    <row r="327434" spans="1:1" x14ac:dyDescent="0.25">
      <c r="A327434" s="1"/>
    </row>
    <row r="327435" spans="1:1" x14ac:dyDescent="0.25">
      <c r="A327435" s="1"/>
    </row>
    <row r="327436" spans="1:1" x14ac:dyDescent="0.25">
      <c r="A327436" s="1"/>
    </row>
    <row r="327437" spans="1:1" x14ac:dyDescent="0.25">
      <c r="A327437" s="1"/>
    </row>
    <row r="327438" spans="1:1" x14ac:dyDescent="0.25">
      <c r="A327438" s="1"/>
    </row>
    <row r="327439" spans="1:1" x14ac:dyDescent="0.25">
      <c r="A327439" s="1"/>
    </row>
    <row r="327440" spans="1:1" x14ac:dyDescent="0.25">
      <c r="A327440" s="1"/>
    </row>
    <row r="327441" spans="1:1" x14ac:dyDescent="0.25">
      <c r="A327441" s="1"/>
    </row>
    <row r="327442" spans="1:1" x14ac:dyDescent="0.25">
      <c r="A327442" s="1"/>
    </row>
    <row r="327443" spans="1:1" x14ac:dyDescent="0.25">
      <c r="A327443" s="1"/>
    </row>
    <row r="327444" spans="1:1" x14ac:dyDescent="0.25">
      <c r="A327444" s="1"/>
    </row>
    <row r="327445" spans="1:1" x14ac:dyDescent="0.25">
      <c r="A327445" s="1"/>
    </row>
    <row r="327446" spans="1:1" x14ac:dyDescent="0.25">
      <c r="A327446" s="1"/>
    </row>
    <row r="327447" spans="1:1" x14ac:dyDescent="0.25">
      <c r="A327447" s="1"/>
    </row>
    <row r="327448" spans="1:1" x14ac:dyDescent="0.25">
      <c r="A327448" s="1"/>
    </row>
    <row r="327449" spans="1:1" x14ac:dyDescent="0.25">
      <c r="A327449" s="1"/>
    </row>
    <row r="327450" spans="1:1" x14ac:dyDescent="0.25">
      <c r="A327450" s="1"/>
    </row>
    <row r="327451" spans="1:1" x14ac:dyDescent="0.25">
      <c r="A327451" s="1"/>
    </row>
    <row r="327452" spans="1:1" x14ac:dyDescent="0.25">
      <c r="A327452" s="1"/>
    </row>
    <row r="327453" spans="1:1" x14ac:dyDescent="0.25">
      <c r="A327453" s="1"/>
    </row>
    <row r="327454" spans="1:1" x14ac:dyDescent="0.25">
      <c r="A327454" s="1"/>
    </row>
    <row r="327455" spans="1:1" x14ac:dyDescent="0.25">
      <c r="A327455" s="1"/>
    </row>
    <row r="327456" spans="1:1" x14ac:dyDescent="0.25">
      <c r="A327456" s="1"/>
    </row>
    <row r="327457" spans="1:1" x14ac:dyDescent="0.25">
      <c r="A327457" s="1"/>
    </row>
    <row r="327458" spans="1:1" x14ac:dyDescent="0.25">
      <c r="A327458" s="1"/>
    </row>
    <row r="327459" spans="1:1" x14ac:dyDescent="0.25">
      <c r="A327459" s="1"/>
    </row>
    <row r="327460" spans="1:1" x14ac:dyDescent="0.25">
      <c r="A327460" s="1"/>
    </row>
    <row r="327461" spans="1:1" x14ac:dyDescent="0.25">
      <c r="A327461" s="1"/>
    </row>
    <row r="327462" spans="1:1" x14ac:dyDescent="0.25">
      <c r="A327462" s="1"/>
    </row>
    <row r="327463" spans="1:1" x14ac:dyDescent="0.25">
      <c r="A327463" s="1"/>
    </row>
    <row r="327464" spans="1:1" x14ac:dyDescent="0.25">
      <c r="A327464" s="1"/>
    </row>
    <row r="327465" spans="1:1" x14ac:dyDescent="0.25">
      <c r="A327465" s="1"/>
    </row>
    <row r="327466" spans="1:1" x14ac:dyDescent="0.25">
      <c r="A327466" s="1"/>
    </row>
    <row r="327467" spans="1:1" x14ac:dyDescent="0.25">
      <c r="A327467" s="1"/>
    </row>
    <row r="327468" spans="1:1" x14ac:dyDescent="0.25">
      <c r="A327468" s="1"/>
    </row>
    <row r="327469" spans="1:1" x14ac:dyDescent="0.25">
      <c r="A327469" s="1"/>
    </row>
    <row r="327470" spans="1:1" x14ac:dyDescent="0.25">
      <c r="A327470" s="1"/>
    </row>
    <row r="327471" spans="1:1" x14ac:dyDescent="0.25">
      <c r="A327471" s="1"/>
    </row>
    <row r="327472" spans="1:1" x14ac:dyDescent="0.25">
      <c r="A327472" s="1"/>
    </row>
    <row r="327473" spans="1:1" x14ac:dyDescent="0.25">
      <c r="A327473" s="1"/>
    </row>
    <row r="327474" spans="1:1" x14ac:dyDescent="0.25">
      <c r="A327474" s="1"/>
    </row>
    <row r="327475" spans="1:1" x14ac:dyDescent="0.25">
      <c r="A327475" s="1"/>
    </row>
    <row r="327476" spans="1:1" x14ac:dyDescent="0.25">
      <c r="A327476" s="1"/>
    </row>
    <row r="327477" spans="1:1" x14ac:dyDescent="0.25">
      <c r="A327477" s="1"/>
    </row>
    <row r="327478" spans="1:1" x14ac:dyDescent="0.25">
      <c r="A327478" s="1"/>
    </row>
    <row r="327479" spans="1:1" x14ac:dyDescent="0.25">
      <c r="A327479" s="1"/>
    </row>
    <row r="327480" spans="1:1" x14ac:dyDescent="0.25">
      <c r="A327480" s="1"/>
    </row>
    <row r="327481" spans="1:1" x14ac:dyDescent="0.25">
      <c r="A327481" s="1"/>
    </row>
    <row r="327482" spans="1:1" x14ac:dyDescent="0.25">
      <c r="A327482" s="1"/>
    </row>
    <row r="327483" spans="1:1" x14ac:dyDescent="0.25">
      <c r="A327483" s="1"/>
    </row>
    <row r="327484" spans="1:1" x14ac:dyDescent="0.25">
      <c r="A327484" s="1"/>
    </row>
    <row r="327485" spans="1:1" x14ac:dyDescent="0.25">
      <c r="A327485" s="1"/>
    </row>
    <row r="327486" spans="1:1" x14ac:dyDescent="0.25">
      <c r="A327486" s="1"/>
    </row>
    <row r="327487" spans="1:1" x14ac:dyDescent="0.25">
      <c r="A327487" s="1"/>
    </row>
    <row r="327488" spans="1:1" x14ac:dyDescent="0.25">
      <c r="A327488" s="1"/>
    </row>
    <row r="327489" spans="1:1" x14ac:dyDescent="0.25">
      <c r="A327489" s="1"/>
    </row>
    <row r="327490" spans="1:1" x14ac:dyDescent="0.25">
      <c r="A327490" s="1"/>
    </row>
    <row r="327491" spans="1:1" x14ac:dyDescent="0.25">
      <c r="A327491" s="1"/>
    </row>
    <row r="327492" spans="1:1" x14ac:dyDescent="0.25">
      <c r="A327492" s="1"/>
    </row>
    <row r="327493" spans="1:1" x14ac:dyDescent="0.25">
      <c r="A327493" s="1"/>
    </row>
    <row r="327494" spans="1:1" x14ac:dyDescent="0.25">
      <c r="A327494" s="1"/>
    </row>
    <row r="327495" spans="1:1" x14ac:dyDescent="0.25">
      <c r="A327495" s="1"/>
    </row>
    <row r="327496" spans="1:1" x14ac:dyDescent="0.25">
      <c r="A327496" s="1"/>
    </row>
    <row r="327497" spans="1:1" x14ac:dyDescent="0.25">
      <c r="A327497" s="1"/>
    </row>
    <row r="327498" spans="1:1" x14ac:dyDescent="0.25">
      <c r="A327498" s="1"/>
    </row>
    <row r="327499" spans="1:1" x14ac:dyDescent="0.25">
      <c r="A327499" s="1"/>
    </row>
    <row r="327500" spans="1:1" x14ac:dyDescent="0.25">
      <c r="A327500" s="1"/>
    </row>
    <row r="327501" spans="1:1" x14ac:dyDescent="0.25">
      <c r="A327501" s="1"/>
    </row>
    <row r="327502" spans="1:1" x14ac:dyDescent="0.25">
      <c r="A327502" s="1"/>
    </row>
    <row r="327503" spans="1:1" x14ac:dyDescent="0.25">
      <c r="A327503" s="1"/>
    </row>
    <row r="327504" spans="1:1" x14ac:dyDescent="0.25">
      <c r="A327504" s="1"/>
    </row>
    <row r="327505" spans="1:1" x14ac:dyDescent="0.25">
      <c r="A327505" s="1"/>
    </row>
    <row r="327506" spans="1:1" x14ac:dyDescent="0.25">
      <c r="A327506" s="1"/>
    </row>
    <row r="327507" spans="1:1" x14ac:dyDescent="0.25">
      <c r="A327507" s="1"/>
    </row>
    <row r="327508" spans="1:1" x14ac:dyDescent="0.25">
      <c r="A327508" s="1"/>
    </row>
    <row r="327509" spans="1:1" x14ac:dyDescent="0.25">
      <c r="A327509" s="1"/>
    </row>
    <row r="327510" spans="1:1" x14ac:dyDescent="0.25">
      <c r="A327510" s="1"/>
    </row>
    <row r="327511" spans="1:1" x14ac:dyDescent="0.25">
      <c r="A327511" s="1"/>
    </row>
    <row r="327512" spans="1:1" x14ac:dyDescent="0.25">
      <c r="A327512" s="1"/>
    </row>
    <row r="327513" spans="1:1" x14ac:dyDescent="0.25">
      <c r="A327513" s="1"/>
    </row>
    <row r="327514" spans="1:1" x14ac:dyDescent="0.25">
      <c r="A327514" s="1"/>
    </row>
    <row r="327515" spans="1:1" x14ac:dyDescent="0.25">
      <c r="A327515" s="1"/>
    </row>
    <row r="327516" spans="1:1" x14ac:dyDescent="0.25">
      <c r="A327516" s="1"/>
    </row>
    <row r="327517" spans="1:1" x14ac:dyDescent="0.25">
      <c r="A327517" s="1"/>
    </row>
    <row r="327518" spans="1:1" x14ac:dyDescent="0.25">
      <c r="A327518" s="1"/>
    </row>
    <row r="327519" spans="1:1" x14ac:dyDescent="0.25">
      <c r="A327519" s="1"/>
    </row>
    <row r="327520" spans="1:1" x14ac:dyDescent="0.25">
      <c r="A327520" s="1"/>
    </row>
    <row r="327521" spans="1:1" x14ac:dyDescent="0.25">
      <c r="A327521" s="1"/>
    </row>
    <row r="327522" spans="1:1" x14ac:dyDescent="0.25">
      <c r="A327522" s="1"/>
    </row>
    <row r="327523" spans="1:1" x14ac:dyDescent="0.25">
      <c r="A327523" s="1"/>
    </row>
    <row r="327524" spans="1:1" x14ac:dyDescent="0.25">
      <c r="A327524" s="1"/>
    </row>
    <row r="327525" spans="1:1" x14ac:dyDescent="0.25">
      <c r="A327525" s="1"/>
    </row>
    <row r="327526" spans="1:1" x14ac:dyDescent="0.25">
      <c r="A327526" s="1"/>
    </row>
    <row r="327527" spans="1:1" x14ac:dyDescent="0.25">
      <c r="A327527" s="1"/>
    </row>
    <row r="327528" spans="1:1" x14ac:dyDescent="0.25">
      <c r="A327528" s="1"/>
    </row>
    <row r="327529" spans="1:1" x14ac:dyDescent="0.25">
      <c r="A327529" s="1"/>
    </row>
    <row r="327530" spans="1:1" x14ac:dyDescent="0.25">
      <c r="A327530" s="1"/>
    </row>
    <row r="327531" spans="1:1" x14ac:dyDescent="0.25">
      <c r="A327531" s="1"/>
    </row>
    <row r="327532" spans="1:1" x14ac:dyDescent="0.25">
      <c r="A327532" s="1"/>
    </row>
    <row r="327533" spans="1:1" x14ac:dyDescent="0.25">
      <c r="A327533" s="1"/>
    </row>
    <row r="327534" spans="1:1" x14ac:dyDescent="0.25">
      <c r="A327534" s="1"/>
    </row>
    <row r="327535" spans="1:1" x14ac:dyDescent="0.25">
      <c r="A327535" s="1"/>
    </row>
    <row r="327536" spans="1:1" x14ac:dyDescent="0.25">
      <c r="A327536" s="1"/>
    </row>
    <row r="327537" spans="1:1" x14ac:dyDescent="0.25">
      <c r="A327537" s="1"/>
    </row>
    <row r="327538" spans="1:1" x14ac:dyDescent="0.25">
      <c r="A327538" s="1"/>
    </row>
    <row r="327539" spans="1:1" x14ac:dyDescent="0.25">
      <c r="A327539" s="1"/>
    </row>
    <row r="327540" spans="1:1" x14ac:dyDescent="0.25">
      <c r="A327540" s="1"/>
    </row>
    <row r="327541" spans="1:1" x14ac:dyDescent="0.25">
      <c r="A327541" s="1"/>
    </row>
    <row r="327542" spans="1:1" x14ac:dyDescent="0.25">
      <c r="A327542" s="1"/>
    </row>
    <row r="327543" spans="1:1" x14ac:dyDescent="0.25">
      <c r="A327543" s="1"/>
    </row>
    <row r="327544" spans="1:1" x14ac:dyDescent="0.25">
      <c r="A327544" s="1"/>
    </row>
    <row r="327545" spans="1:1" x14ac:dyDescent="0.25">
      <c r="A327545" s="1"/>
    </row>
    <row r="327546" spans="1:1" x14ac:dyDescent="0.25">
      <c r="A327546" s="1"/>
    </row>
    <row r="327547" spans="1:1" x14ac:dyDescent="0.25">
      <c r="A327547" s="1"/>
    </row>
    <row r="327548" spans="1:1" x14ac:dyDescent="0.25">
      <c r="A327548" s="1"/>
    </row>
    <row r="327549" spans="1:1" x14ac:dyDescent="0.25">
      <c r="A327549" s="1"/>
    </row>
    <row r="327550" spans="1:1" x14ac:dyDescent="0.25">
      <c r="A327550" s="1"/>
    </row>
    <row r="327551" spans="1:1" x14ac:dyDescent="0.25">
      <c r="A327551" s="1"/>
    </row>
    <row r="327552" spans="1:1" x14ac:dyDescent="0.25">
      <c r="A327552" s="1"/>
    </row>
    <row r="327553" spans="1:1" x14ac:dyDescent="0.25">
      <c r="A327553" s="1"/>
    </row>
    <row r="327554" spans="1:1" x14ac:dyDescent="0.25">
      <c r="A327554" s="1"/>
    </row>
    <row r="327555" spans="1:1" x14ac:dyDescent="0.25">
      <c r="A327555" s="1"/>
    </row>
    <row r="327556" spans="1:1" x14ac:dyDescent="0.25">
      <c r="A327556" s="1"/>
    </row>
    <row r="327557" spans="1:1" x14ac:dyDescent="0.25">
      <c r="A327557" s="1"/>
    </row>
    <row r="327558" spans="1:1" x14ac:dyDescent="0.25">
      <c r="A327558" s="1"/>
    </row>
    <row r="327559" spans="1:1" x14ac:dyDescent="0.25">
      <c r="A327559" s="1"/>
    </row>
    <row r="327560" spans="1:1" x14ac:dyDescent="0.25">
      <c r="A327560" s="1"/>
    </row>
    <row r="327561" spans="1:1" x14ac:dyDescent="0.25">
      <c r="A327561" s="1"/>
    </row>
    <row r="327562" spans="1:1" x14ac:dyDescent="0.25">
      <c r="A327562" s="1"/>
    </row>
    <row r="327563" spans="1:1" x14ac:dyDescent="0.25">
      <c r="A327563" s="1"/>
    </row>
    <row r="327564" spans="1:1" x14ac:dyDescent="0.25">
      <c r="A327564" s="1"/>
    </row>
    <row r="327565" spans="1:1" x14ac:dyDescent="0.25">
      <c r="A327565" s="1"/>
    </row>
    <row r="327566" spans="1:1" x14ac:dyDescent="0.25">
      <c r="A327566" s="1"/>
    </row>
    <row r="327567" spans="1:1" x14ac:dyDescent="0.25">
      <c r="A327567" s="1"/>
    </row>
    <row r="327568" spans="1:1" x14ac:dyDescent="0.25">
      <c r="A327568" s="1"/>
    </row>
    <row r="327569" spans="1:1" x14ac:dyDescent="0.25">
      <c r="A327569" s="1"/>
    </row>
    <row r="327570" spans="1:1" x14ac:dyDescent="0.25">
      <c r="A327570" s="1"/>
    </row>
    <row r="327571" spans="1:1" x14ac:dyDescent="0.25">
      <c r="A327571" s="1"/>
    </row>
    <row r="327572" spans="1:1" x14ac:dyDescent="0.25">
      <c r="A327572" s="1"/>
    </row>
    <row r="327573" spans="1:1" x14ac:dyDescent="0.25">
      <c r="A327573" s="1"/>
    </row>
    <row r="327574" spans="1:1" x14ac:dyDescent="0.25">
      <c r="A327574" s="1"/>
    </row>
    <row r="327575" spans="1:1" x14ac:dyDescent="0.25">
      <c r="A327575" s="1"/>
    </row>
    <row r="327576" spans="1:1" x14ac:dyDescent="0.25">
      <c r="A327576" s="1"/>
    </row>
    <row r="327577" spans="1:1" x14ac:dyDescent="0.25">
      <c r="A327577" s="1"/>
    </row>
    <row r="327578" spans="1:1" x14ac:dyDescent="0.25">
      <c r="A327578" s="1"/>
    </row>
    <row r="327579" spans="1:1" x14ac:dyDescent="0.25">
      <c r="A327579" s="1"/>
    </row>
    <row r="327580" spans="1:1" x14ac:dyDescent="0.25">
      <c r="A327580" s="1"/>
    </row>
    <row r="327581" spans="1:1" x14ac:dyDescent="0.25">
      <c r="A327581" s="1"/>
    </row>
    <row r="327582" spans="1:1" x14ac:dyDescent="0.25">
      <c r="A327582" s="1"/>
    </row>
    <row r="327583" spans="1:1" x14ac:dyDescent="0.25">
      <c r="A327583" s="1"/>
    </row>
    <row r="327584" spans="1:1" x14ac:dyDescent="0.25">
      <c r="A327584" s="1"/>
    </row>
    <row r="327585" spans="1:1" x14ac:dyDescent="0.25">
      <c r="A327585" s="1"/>
    </row>
    <row r="327586" spans="1:1" x14ac:dyDescent="0.25">
      <c r="A327586" s="1"/>
    </row>
    <row r="327587" spans="1:1" x14ac:dyDescent="0.25">
      <c r="A327587" s="1"/>
    </row>
    <row r="327588" spans="1:1" x14ac:dyDescent="0.25">
      <c r="A327588" s="1"/>
    </row>
    <row r="327589" spans="1:1" x14ac:dyDescent="0.25">
      <c r="A327589" s="1"/>
    </row>
    <row r="327590" spans="1:1" x14ac:dyDescent="0.25">
      <c r="A327590" s="1"/>
    </row>
    <row r="327591" spans="1:1" x14ac:dyDescent="0.25">
      <c r="A327591" s="1"/>
    </row>
    <row r="327592" spans="1:1" x14ac:dyDescent="0.25">
      <c r="A327592" s="1"/>
    </row>
    <row r="327593" spans="1:1" x14ac:dyDescent="0.25">
      <c r="A327593" s="1"/>
    </row>
    <row r="327594" spans="1:1" x14ac:dyDescent="0.25">
      <c r="A327594" s="1"/>
    </row>
    <row r="327595" spans="1:1" x14ac:dyDescent="0.25">
      <c r="A327595" s="1"/>
    </row>
    <row r="327596" spans="1:1" x14ac:dyDescent="0.25">
      <c r="A327596" s="1"/>
    </row>
    <row r="327597" spans="1:1" x14ac:dyDescent="0.25">
      <c r="A327597" s="1"/>
    </row>
    <row r="327598" spans="1:1" x14ac:dyDescent="0.25">
      <c r="A327598" s="1"/>
    </row>
    <row r="327599" spans="1:1" x14ac:dyDescent="0.25">
      <c r="A327599" s="1"/>
    </row>
    <row r="327600" spans="1:1" x14ac:dyDescent="0.25">
      <c r="A327600" s="1"/>
    </row>
    <row r="327601" spans="1:1" x14ac:dyDescent="0.25">
      <c r="A327601" s="1"/>
    </row>
    <row r="327602" spans="1:1" x14ac:dyDescent="0.25">
      <c r="A327602" s="1"/>
    </row>
    <row r="327603" spans="1:1" x14ac:dyDescent="0.25">
      <c r="A327603" s="1"/>
    </row>
    <row r="327604" spans="1:1" x14ac:dyDescent="0.25">
      <c r="A327604" s="1"/>
    </row>
    <row r="327605" spans="1:1" x14ac:dyDescent="0.25">
      <c r="A327605" s="1"/>
    </row>
    <row r="327606" spans="1:1" x14ac:dyDescent="0.25">
      <c r="A327606" s="1"/>
    </row>
    <row r="327607" spans="1:1" x14ac:dyDescent="0.25">
      <c r="A327607" s="1"/>
    </row>
    <row r="327608" spans="1:1" x14ac:dyDescent="0.25">
      <c r="A327608" s="1"/>
    </row>
    <row r="327609" spans="1:1" x14ac:dyDescent="0.25">
      <c r="A327609" s="1"/>
    </row>
    <row r="327610" spans="1:1" x14ac:dyDescent="0.25">
      <c r="A327610" s="1"/>
    </row>
    <row r="327611" spans="1:1" x14ac:dyDescent="0.25">
      <c r="A327611" s="1"/>
    </row>
    <row r="327612" spans="1:1" x14ac:dyDescent="0.25">
      <c r="A327612" s="1"/>
    </row>
    <row r="327613" spans="1:1" x14ac:dyDescent="0.25">
      <c r="A327613" s="1"/>
    </row>
    <row r="327614" spans="1:1" x14ac:dyDescent="0.25">
      <c r="A327614" s="1"/>
    </row>
    <row r="327615" spans="1:1" x14ac:dyDescent="0.25">
      <c r="A327615" s="1"/>
    </row>
    <row r="327616" spans="1:1" x14ac:dyDescent="0.25">
      <c r="A327616" s="1"/>
    </row>
    <row r="327617" spans="1:1" x14ac:dyDescent="0.25">
      <c r="A327617" s="1"/>
    </row>
    <row r="327618" spans="1:1" x14ac:dyDescent="0.25">
      <c r="A327618" s="1"/>
    </row>
    <row r="327619" spans="1:1" x14ac:dyDescent="0.25">
      <c r="A327619" s="1"/>
    </row>
    <row r="327620" spans="1:1" x14ac:dyDescent="0.25">
      <c r="A327620" s="1"/>
    </row>
    <row r="327621" spans="1:1" x14ac:dyDescent="0.25">
      <c r="A327621" s="1"/>
    </row>
    <row r="327622" spans="1:1" x14ac:dyDescent="0.25">
      <c r="A327622" s="1"/>
    </row>
    <row r="327623" spans="1:1" x14ac:dyDescent="0.25">
      <c r="A327623" s="1"/>
    </row>
    <row r="327624" spans="1:1" x14ac:dyDescent="0.25">
      <c r="A327624" s="1"/>
    </row>
    <row r="327625" spans="1:1" x14ac:dyDescent="0.25">
      <c r="A327625" s="1"/>
    </row>
    <row r="327626" spans="1:1" x14ac:dyDescent="0.25">
      <c r="A327626" s="1"/>
    </row>
    <row r="327627" spans="1:1" x14ac:dyDescent="0.25">
      <c r="A327627" s="1"/>
    </row>
    <row r="327628" spans="1:1" x14ac:dyDescent="0.25">
      <c r="A327628" s="1"/>
    </row>
    <row r="327629" spans="1:1" x14ac:dyDescent="0.25">
      <c r="A327629" s="1"/>
    </row>
    <row r="327630" spans="1:1" x14ac:dyDescent="0.25">
      <c r="A327630" s="1"/>
    </row>
    <row r="327631" spans="1:1" x14ac:dyDescent="0.25">
      <c r="A327631" s="1"/>
    </row>
    <row r="327632" spans="1:1" x14ac:dyDescent="0.25">
      <c r="A327632" s="1"/>
    </row>
    <row r="327633" spans="1:1" x14ac:dyDescent="0.25">
      <c r="A327633" s="1"/>
    </row>
    <row r="327634" spans="1:1" x14ac:dyDescent="0.25">
      <c r="A327634" s="1"/>
    </row>
    <row r="327635" spans="1:1" x14ac:dyDescent="0.25">
      <c r="A327635" s="1"/>
    </row>
    <row r="327636" spans="1:1" x14ac:dyDescent="0.25">
      <c r="A327636" s="1"/>
    </row>
    <row r="327637" spans="1:1" x14ac:dyDescent="0.25">
      <c r="A327637" s="1"/>
    </row>
    <row r="327638" spans="1:1" x14ac:dyDescent="0.25">
      <c r="A327638" s="1"/>
    </row>
    <row r="327639" spans="1:1" x14ac:dyDescent="0.25">
      <c r="A327639" s="1"/>
    </row>
    <row r="327640" spans="1:1" x14ac:dyDescent="0.25">
      <c r="A327640" s="1"/>
    </row>
    <row r="327641" spans="1:1" x14ac:dyDescent="0.25">
      <c r="A327641" s="1"/>
    </row>
    <row r="327642" spans="1:1" x14ac:dyDescent="0.25">
      <c r="A327642" s="1"/>
    </row>
    <row r="327643" spans="1:1" x14ac:dyDescent="0.25">
      <c r="A327643" s="1"/>
    </row>
    <row r="327644" spans="1:1" x14ac:dyDescent="0.25">
      <c r="A327644" s="1"/>
    </row>
    <row r="327645" spans="1:1" x14ac:dyDescent="0.25">
      <c r="A327645" s="1"/>
    </row>
    <row r="327646" spans="1:1" x14ac:dyDescent="0.25">
      <c r="A327646" s="1"/>
    </row>
    <row r="327647" spans="1:1" x14ac:dyDescent="0.25">
      <c r="A327647" s="1"/>
    </row>
    <row r="327648" spans="1:1" x14ac:dyDescent="0.25">
      <c r="A327648" s="1"/>
    </row>
    <row r="327649" spans="1:1" x14ac:dyDescent="0.25">
      <c r="A327649" s="1"/>
    </row>
    <row r="327650" spans="1:1" x14ac:dyDescent="0.25">
      <c r="A327650" s="1"/>
    </row>
    <row r="327651" spans="1:1" x14ac:dyDescent="0.25">
      <c r="A327651" s="1"/>
    </row>
    <row r="327652" spans="1:1" x14ac:dyDescent="0.25">
      <c r="A327652" s="1"/>
    </row>
    <row r="327653" spans="1:1" x14ac:dyDescent="0.25">
      <c r="A327653" s="1"/>
    </row>
    <row r="327654" spans="1:1" x14ac:dyDescent="0.25">
      <c r="A327654" s="1"/>
    </row>
    <row r="327655" spans="1:1" x14ac:dyDescent="0.25">
      <c r="A327655" s="1"/>
    </row>
    <row r="327656" spans="1:1" x14ac:dyDescent="0.25">
      <c r="A327656" s="1"/>
    </row>
    <row r="327657" spans="1:1" x14ac:dyDescent="0.25">
      <c r="A327657" s="1"/>
    </row>
    <row r="327658" spans="1:1" x14ac:dyDescent="0.25">
      <c r="A327658" s="1"/>
    </row>
    <row r="327659" spans="1:1" x14ac:dyDescent="0.25">
      <c r="A327659" s="1"/>
    </row>
    <row r="327660" spans="1:1" x14ac:dyDescent="0.25">
      <c r="A327660" s="1"/>
    </row>
    <row r="327661" spans="1:1" x14ac:dyDescent="0.25">
      <c r="A327661" s="1"/>
    </row>
    <row r="327662" spans="1:1" x14ac:dyDescent="0.25">
      <c r="A327662" s="1"/>
    </row>
    <row r="327663" spans="1:1" x14ac:dyDescent="0.25">
      <c r="A327663" s="1"/>
    </row>
    <row r="327664" spans="1:1" x14ac:dyDescent="0.25">
      <c r="A327664" s="1"/>
    </row>
    <row r="327665" spans="1:1" x14ac:dyDescent="0.25">
      <c r="A327665" s="1"/>
    </row>
    <row r="327666" spans="1:1" x14ac:dyDescent="0.25">
      <c r="A327666" s="1"/>
    </row>
    <row r="327667" spans="1:1" x14ac:dyDescent="0.25">
      <c r="A327667" s="1"/>
    </row>
    <row r="327668" spans="1:1" x14ac:dyDescent="0.25">
      <c r="A327668" s="1"/>
    </row>
    <row r="327669" spans="1:1" x14ac:dyDescent="0.25">
      <c r="A327669" s="1"/>
    </row>
    <row r="327670" spans="1:1" x14ac:dyDescent="0.25">
      <c r="A327670" s="1"/>
    </row>
    <row r="327671" spans="1:1" x14ac:dyDescent="0.25">
      <c r="A327671" s="1"/>
    </row>
    <row r="327672" spans="1:1" x14ac:dyDescent="0.25">
      <c r="A327672" s="1"/>
    </row>
    <row r="327673" spans="1:1" x14ac:dyDescent="0.25">
      <c r="A327673" s="1"/>
    </row>
    <row r="327674" spans="1:1" x14ac:dyDescent="0.25">
      <c r="A327674" s="1"/>
    </row>
    <row r="327675" spans="1:1" x14ac:dyDescent="0.25">
      <c r="A327675" s="1"/>
    </row>
    <row r="327676" spans="1:1" x14ac:dyDescent="0.25">
      <c r="A327676" s="1"/>
    </row>
    <row r="327677" spans="1:1" x14ac:dyDescent="0.25">
      <c r="A327677" s="1"/>
    </row>
    <row r="327678" spans="1:1" x14ac:dyDescent="0.25">
      <c r="A327678" s="1"/>
    </row>
    <row r="327679" spans="1:1" x14ac:dyDescent="0.25">
      <c r="A327679" s="1"/>
    </row>
    <row r="327680" spans="1:1" x14ac:dyDescent="0.25">
      <c r="A327680" s="1"/>
    </row>
    <row r="327681" spans="1:1" x14ac:dyDescent="0.25">
      <c r="A327681" s="1"/>
    </row>
    <row r="327682" spans="1:1" x14ac:dyDescent="0.25">
      <c r="A327682" s="1"/>
    </row>
    <row r="327683" spans="1:1" x14ac:dyDescent="0.25">
      <c r="A327683" s="1"/>
    </row>
    <row r="327684" spans="1:1" x14ac:dyDescent="0.25">
      <c r="A327684" s="1"/>
    </row>
    <row r="327685" spans="1:1" x14ac:dyDescent="0.25">
      <c r="A327685" s="1"/>
    </row>
    <row r="327686" spans="1:1" x14ac:dyDescent="0.25">
      <c r="A327686" s="1"/>
    </row>
    <row r="327687" spans="1:1" x14ac:dyDescent="0.25">
      <c r="A327687" s="1"/>
    </row>
    <row r="327688" spans="1:1" x14ac:dyDescent="0.25">
      <c r="A327688" s="1"/>
    </row>
    <row r="327689" spans="1:1" x14ac:dyDescent="0.25">
      <c r="A327689" s="1"/>
    </row>
    <row r="327690" spans="1:1" x14ac:dyDescent="0.25">
      <c r="A327690" s="1"/>
    </row>
    <row r="327691" spans="1:1" x14ac:dyDescent="0.25">
      <c r="A327691" s="1"/>
    </row>
    <row r="327692" spans="1:1" x14ac:dyDescent="0.25">
      <c r="A327692" s="1"/>
    </row>
    <row r="327693" spans="1:1" x14ac:dyDescent="0.25">
      <c r="A327693" s="1"/>
    </row>
    <row r="327694" spans="1:1" x14ac:dyDescent="0.25">
      <c r="A327694" s="1"/>
    </row>
    <row r="327695" spans="1:1" x14ac:dyDescent="0.25">
      <c r="A327695" s="1"/>
    </row>
    <row r="327696" spans="1:1" x14ac:dyDescent="0.25">
      <c r="A327696" s="1"/>
    </row>
    <row r="327697" spans="1:1" x14ac:dyDescent="0.25">
      <c r="A327697" s="1"/>
    </row>
    <row r="327698" spans="1:1" x14ac:dyDescent="0.25">
      <c r="A327698" s="1"/>
    </row>
    <row r="327699" spans="1:1" x14ac:dyDescent="0.25">
      <c r="A327699" s="1"/>
    </row>
    <row r="327700" spans="1:1" x14ac:dyDescent="0.25">
      <c r="A327700" s="1"/>
    </row>
    <row r="327701" spans="1:1" x14ac:dyDescent="0.25">
      <c r="A327701" s="1"/>
    </row>
    <row r="327702" spans="1:1" x14ac:dyDescent="0.25">
      <c r="A327702" s="1"/>
    </row>
    <row r="327703" spans="1:1" x14ac:dyDescent="0.25">
      <c r="A327703" s="1"/>
    </row>
    <row r="327704" spans="1:1" x14ac:dyDescent="0.25">
      <c r="A327704" s="1"/>
    </row>
    <row r="327705" spans="1:1" x14ac:dyDescent="0.25">
      <c r="A327705" s="1"/>
    </row>
    <row r="327706" spans="1:1" x14ac:dyDescent="0.25">
      <c r="A327706" s="1"/>
    </row>
    <row r="327707" spans="1:1" x14ac:dyDescent="0.25">
      <c r="A327707" s="1"/>
    </row>
    <row r="327708" spans="1:1" x14ac:dyDescent="0.25">
      <c r="A327708" s="1"/>
    </row>
    <row r="327709" spans="1:1" x14ac:dyDescent="0.25">
      <c r="A327709" s="1"/>
    </row>
    <row r="327710" spans="1:1" x14ac:dyDescent="0.25">
      <c r="A327710" s="1"/>
    </row>
    <row r="327711" spans="1:1" x14ac:dyDescent="0.25">
      <c r="A327711" s="1"/>
    </row>
    <row r="327712" spans="1:1" x14ac:dyDescent="0.25">
      <c r="A327712" s="1"/>
    </row>
    <row r="327713" spans="1:1" x14ac:dyDescent="0.25">
      <c r="A327713" s="1"/>
    </row>
    <row r="327714" spans="1:1" x14ac:dyDescent="0.25">
      <c r="A327714" s="1"/>
    </row>
    <row r="327715" spans="1:1" x14ac:dyDescent="0.25">
      <c r="A327715" s="1"/>
    </row>
    <row r="327716" spans="1:1" x14ac:dyDescent="0.25">
      <c r="A327716" s="1"/>
    </row>
    <row r="327717" spans="1:1" x14ac:dyDescent="0.25">
      <c r="A327717" s="1"/>
    </row>
    <row r="327718" spans="1:1" x14ac:dyDescent="0.25">
      <c r="A327718" s="1"/>
    </row>
    <row r="327719" spans="1:1" x14ac:dyDescent="0.25">
      <c r="A327719" s="1"/>
    </row>
    <row r="327720" spans="1:1" x14ac:dyDescent="0.25">
      <c r="A327720" s="1"/>
    </row>
    <row r="327721" spans="1:1" x14ac:dyDescent="0.25">
      <c r="A327721" s="1"/>
    </row>
    <row r="327722" spans="1:1" x14ac:dyDescent="0.25">
      <c r="A327722" s="1"/>
    </row>
    <row r="327723" spans="1:1" x14ac:dyDescent="0.25">
      <c r="A327723" s="1"/>
    </row>
    <row r="327724" spans="1:1" x14ac:dyDescent="0.25">
      <c r="A327724" s="1"/>
    </row>
    <row r="327725" spans="1:1" x14ac:dyDescent="0.25">
      <c r="A327725" s="1"/>
    </row>
    <row r="327726" spans="1:1" x14ac:dyDescent="0.25">
      <c r="A327726" s="1"/>
    </row>
    <row r="327727" spans="1:1" x14ac:dyDescent="0.25">
      <c r="A327727" s="1"/>
    </row>
    <row r="327728" spans="1:1" x14ac:dyDescent="0.25">
      <c r="A327728" s="1"/>
    </row>
    <row r="327729" spans="1:1" x14ac:dyDescent="0.25">
      <c r="A327729" s="1"/>
    </row>
    <row r="327730" spans="1:1" x14ac:dyDescent="0.25">
      <c r="A327730" s="1"/>
    </row>
    <row r="327731" spans="1:1" x14ac:dyDescent="0.25">
      <c r="A327731" s="1"/>
    </row>
    <row r="327732" spans="1:1" x14ac:dyDescent="0.25">
      <c r="A327732" s="1"/>
    </row>
    <row r="327733" spans="1:1" x14ac:dyDescent="0.25">
      <c r="A327733" s="1"/>
    </row>
    <row r="327734" spans="1:1" x14ac:dyDescent="0.25">
      <c r="A327734" s="1"/>
    </row>
    <row r="327735" spans="1:1" x14ac:dyDescent="0.25">
      <c r="A327735" s="1"/>
    </row>
    <row r="327736" spans="1:1" x14ac:dyDescent="0.25">
      <c r="A327736" s="1"/>
    </row>
    <row r="327737" spans="1:1" x14ac:dyDescent="0.25">
      <c r="A327737" s="1"/>
    </row>
    <row r="327738" spans="1:1" x14ac:dyDescent="0.25">
      <c r="A327738" s="1"/>
    </row>
    <row r="327739" spans="1:1" x14ac:dyDescent="0.25">
      <c r="A327739" s="1"/>
    </row>
    <row r="327740" spans="1:1" x14ac:dyDescent="0.25">
      <c r="A327740" s="1"/>
    </row>
    <row r="327741" spans="1:1" x14ac:dyDescent="0.25">
      <c r="A327741" s="1"/>
    </row>
    <row r="327742" spans="1:1" x14ac:dyDescent="0.25">
      <c r="A327742" s="1"/>
    </row>
    <row r="327743" spans="1:1" x14ac:dyDescent="0.25">
      <c r="A327743" s="1"/>
    </row>
    <row r="327744" spans="1:1" x14ac:dyDescent="0.25">
      <c r="A327744" s="1"/>
    </row>
    <row r="327745" spans="1:1" x14ac:dyDescent="0.25">
      <c r="A327745" s="1"/>
    </row>
    <row r="327746" spans="1:1" x14ac:dyDescent="0.25">
      <c r="A327746" s="1"/>
    </row>
    <row r="327747" spans="1:1" x14ac:dyDescent="0.25">
      <c r="A327747" s="1"/>
    </row>
    <row r="327748" spans="1:1" x14ac:dyDescent="0.25">
      <c r="A327748" s="1"/>
    </row>
    <row r="327749" spans="1:1" x14ac:dyDescent="0.25">
      <c r="A327749" s="1"/>
    </row>
    <row r="327750" spans="1:1" x14ac:dyDescent="0.25">
      <c r="A327750" s="1"/>
    </row>
    <row r="327751" spans="1:1" x14ac:dyDescent="0.25">
      <c r="A327751" s="1"/>
    </row>
    <row r="327752" spans="1:1" x14ac:dyDescent="0.25">
      <c r="A327752" s="1"/>
    </row>
    <row r="327753" spans="1:1" x14ac:dyDescent="0.25">
      <c r="A327753" s="1"/>
    </row>
    <row r="327754" spans="1:1" x14ac:dyDescent="0.25">
      <c r="A327754" s="1"/>
    </row>
    <row r="327755" spans="1:1" x14ac:dyDescent="0.25">
      <c r="A327755" s="1"/>
    </row>
    <row r="327756" spans="1:1" x14ac:dyDescent="0.25">
      <c r="A327756" s="1"/>
    </row>
    <row r="327757" spans="1:1" x14ac:dyDescent="0.25">
      <c r="A327757" s="1"/>
    </row>
    <row r="327758" spans="1:1" x14ac:dyDescent="0.25">
      <c r="A327758" s="1"/>
    </row>
    <row r="327759" spans="1:1" x14ac:dyDescent="0.25">
      <c r="A327759" s="1"/>
    </row>
    <row r="327760" spans="1:1" x14ac:dyDescent="0.25">
      <c r="A327760" s="1"/>
    </row>
    <row r="327761" spans="1:1" x14ac:dyDescent="0.25">
      <c r="A327761" s="1"/>
    </row>
    <row r="327762" spans="1:1" x14ac:dyDescent="0.25">
      <c r="A327762" s="1"/>
    </row>
    <row r="327763" spans="1:1" x14ac:dyDescent="0.25">
      <c r="A327763" s="1"/>
    </row>
    <row r="327764" spans="1:1" x14ac:dyDescent="0.25">
      <c r="A327764" s="1"/>
    </row>
    <row r="327765" spans="1:1" x14ac:dyDescent="0.25">
      <c r="A327765" s="1"/>
    </row>
    <row r="327766" spans="1:1" x14ac:dyDescent="0.25">
      <c r="A327766" s="1"/>
    </row>
    <row r="327767" spans="1:1" x14ac:dyDescent="0.25">
      <c r="A327767" s="1"/>
    </row>
    <row r="327768" spans="1:1" x14ac:dyDescent="0.25">
      <c r="A327768" s="1"/>
    </row>
    <row r="327769" spans="1:1" x14ac:dyDescent="0.25">
      <c r="A327769" s="1"/>
    </row>
    <row r="327770" spans="1:1" x14ac:dyDescent="0.25">
      <c r="A327770" s="1"/>
    </row>
    <row r="327771" spans="1:1" x14ac:dyDescent="0.25">
      <c r="A327771" s="1"/>
    </row>
    <row r="327772" spans="1:1" x14ac:dyDescent="0.25">
      <c r="A327772" s="1"/>
    </row>
    <row r="327773" spans="1:1" x14ac:dyDescent="0.25">
      <c r="A327773" s="1"/>
    </row>
    <row r="327774" spans="1:1" x14ac:dyDescent="0.25">
      <c r="A327774" s="1"/>
    </row>
    <row r="327775" spans="1:1" x14ac:dyDescent="0.25">
      <c r="A327775" s="1"/>
    </row>
    <row r="327776" spans="1:1" x14ac:dyDescent="0.25">
      <c r="A327776" s="1"/>
    </row>
    <row r="327777" spans="1:1" x14ac:dyDescent="0.25">
      <c r="A327777" s="1"/>
    </row>
    <row r="327778" spans="1:1" x14ac:dyDescent="0.25">
      <c r="A327778" s="1"/>
    </row>
    <row r="327779" spans="1:1" x14ac:dyDescent="0.25">
      <c r="A327779" s="1"/>
    </row>
    <row r="327780" spans="1:1" x14ac:dyDescent="0.25">
      <c r="A327780" s="1"/>
    </row>
    <row r="327781" spans="1:1" x14ac:dyDescent="0.25">
      <c r="A327781" s="1"/>
    </row>
    <row r="327782" spans="1:1" x14ac:dyDescent="0.25">
      <c r="A327782" s="1"/>
    </row>
    <row r="327783" spans="1:1" x14ac:dyDescent="0.25">
      <c r="A327783" s="1"/>
    </row>
    <row r="327784" spans="1:1" x14ac:dyDescent="0.25">
      <c r="A327784" s="1"/>
    </row>
    <row r="327785" spans="1:1" x14ac:dyDescent="0.25">
      <c r="A327785" s="1"/>
    </row>
    <row r="327786" spans="1:1" x14ac:dyDescent="0.25">
      <c r="A327786" s="1"/>
    </row>
    <row r="327787" spans="1:1" x14ac:dyDescent="0.25">
      <c r="A327787" s="1"/>
    </row>
    <row r="327788" spans="1:1" x14ac:dyDescent="0.25">
      <c r="A327788" s="1"/>
    </row>
    <row r="327789" spans="1:1" x14ac:dyDescent="0.25">
      <c r="A327789" s="1"/>
    </row>
    <row r="327790" spans="1:1" x14ac:dyDescent="0.25">
      <c r="A327790" s="1"/>
    </row>
    <row r="327791" spans="1:1" x14ac:dyDescent="0.25">
      <c r="A327791" s="1"/>
    </row>
    <row r="327792" spans="1:1" x14ac:dyDescent="0.25">
      <c r="A327792" s="1"/>
    </row>
    <row r="327793" spans="1:1" x14ac:dyDescent="0.25">
      <c r="A327793" s="1"/>
    </row>
    <row r="327794" spans="1:1" x14ac:dyDescent="0.25">
      <c r="A327794" s="1"/>
    </row>
    <row r="327795" spans="1:1" x14ac:dyDescent="0.25">
      <c r="A327795" s="1"/>
    </row>
    <row r="327796" spans="1:1" x14ac:dyDescent="0.25">
      <c r="A327796" s="1"/>
    </row>
    <row r="327797" spans="1:1" x14ac:dyDescent="0.25">
      <c r="A327797" s="1"/>
    </row>
    <row r="327798" spans="1:1" x14ac:dyDescent="0.25">
      <c r="A327798" s="1"/>
    </row>
    <row r="327799" spans="1:1" x14ac:dyDescent="0.25">
      <c r="A327799" s="1"/>
    </row>
    <row r="327800" spans="1:1" x14ac:dyDescent="0.25">
      <c r="A327800" s="1"/>
    </row>
    <row r="327801" spans="1:1" x14ac:dyDescent="0.25">
      <c r="A327801" s="1"/>
    </row>
    <row r="327802" spans="1:1" x14ac:dyDescent="0.25">
      <c r="A327802" s="1"/>
    </row>
    <row r="327803" spans="1:1" x14ac:dyDescent="0.25">
      <c r="A327803" s="1"/>
    </row>
    <row r="327804" spans="1:1" x14ac:dyDescent="0.25">
      <c r="A327804" s="1"/>
    </row>
    <row r="327805" spans="1:1" x14ac:dyDescent="0.25">
      <c r="A327805" s="1"/>
    </row>
    <row r="327806" spans="1:1" x14ac:dyDescent="0.25">
      <c r="A327806" s="1"/>
    </row>
    <row r="327807" spans="1:1" x14ac:dyDescent="0.25">
      <c r="A327807" s="1"/>
    </row>
    <row r="327808" spans="1:1" x14ac:dyDescent="0.25">
      <c r="A327808" s="1"/>
    </row>
    <row r="327809" spans="1:1" x14ac:dyDescent="0.25">
      <c r="A327809" s="1"/>
    </row>
    <row r="327810" spans="1:1" x14ac:dyDescent="0.25">
      <c r="A327810" s="1"/>
    </row>
    <row r="327811" spans="1:1" x14ac:dyDescent="0.25">
      <c r="A327811" s="1"/>
    </row>
    <row r="327812" spans="1:1" x14ac:dyDescent="0.25">
      <c r="A327812" s="1"/>
    </row>
    <row r="327813" spans="1:1" x14ac:dyDescent="0.25">
      <c r="A327813" s="1"/>
    </row>
    <row r="327814" spans="1:1" x14ac:dyDescent="0.25">
      <c r="A327814" s="1"/>
    </row>
    <row r="327815" spans="1:1" x14ac:dyDescent="0.25">
      <c r="A327815" s="1"/>
    </row>
    <row r="327816" spans="1:1" x14ac:dyDescent="0.25">
      <c r="A327816" s="1"/>
    </row>
    <row r="327817" spans="1:1" x14ac:dyDescent="0.25">
      <c r="A327817" s="1"/>
    </row>
    <row r="327818" spans="1:1" x14ac:dyDescent="0.25">
      <c r="A327818" s="1"/>
    </row>
    <row r="327819" spans="1:1" x14ac:dyDescent="0.25">
      <c r="A327819" s="1"/>
    </row>
    <row r="327820" spans="1:1" x14ac:dyDescent="0.25">
      <c r="A327820" s="1"/>
    </row>
    <row r="327821" spans="1:1" x14ac:dyDescent="0.25">
      <c r="A327821" s="1"/>
    </row>
    <row r="327822" spans="1:1" x14ac:dyDescent="0.25">
      <c r="A327822" s="1"/>
    </row>
    <row r="327823" spans="1:1" x14ac:dyDescent="0.25">
      <c r="A327823" s="1"/>
    </row>
    <row r="327824" spans="1:1" x14ac:dyDescent="0.25">
      <c r="A327824" s="1"/>
    </row>
    <row r="327825" spans="1:1" x14ac:dyDescent="0.25">
      <c r="A327825" s="1"/>
    </row>
    <row r="327826" spans="1:1" x14ac:dyDescent="0.25">
      <c r="A327826" s="1"/>
    </row>
    <row r="327827" spans="1:1" x14ac:dyDescent="0.25">
      <c r="A327827" s="1"/>
    </row>
    <row r="327828" spans="1:1" x14ac:dyDescent="0.25">
      <c r="A327828" s="1"/>
    </row>
    <row r="327829" spans="1:1" x14ac:dyDescent="0.25">
      <c r="A327829" s="1"/>
    </row>
    <row r="327830" spans="1:1" x14ac:dyDescent="0.25">
      <c r="A327830" s="1"/>
    </row>
    <row r="327831" spans="1:1" x14ac:dyDescent="0.25">
      <c r="A327831" s="1"/>
    </row>
    <row r="327832" spans="1:1" x14ac:dyDescent="0.25">
      <c r="A327832" s="1"/>
    </row>
    <row r="327833" spans="1:1" x14ac:dyDescent="0.25">
      <c r="A327833" s="1"/>
    </row>
    <row r="327834" spans="1:1" x14ac:dyDescent="0.25">
      <c r="A327834" s="1"/>
    </row>
    <row r="327835" spans="1:1" x14ac:dyDescent="0.25">
      <c r="A327835" s="1"/>
    </row>
    <row r="327836" spans="1:1" x14ac:dyDescent="0.25">
      <c r="A327836" s="1"/>
    </row>
    <row r="327837" spans="1:1" x14ac:dyDescent="0.25">
      <c r="A327837" s="1"/>
    </row>
    <row r="327838" spans="1:1" x14ac:dyDescent="0.25">
      <c r="A327838" s="1"/>
    </row>
    <row r="327839" spans="1:1" x14ac:dyDescent="0.25">
      <c r="A327839" s="1"/>
    </row>
    <row r="327840" spans="1:1" x14ac:dyDescent="0.25">
      <c r="A327840" s="1"/>
    </row>
    <row r="327841" spans="1:1" x14ac:dyDescent="0.25">
      <c r="A327841" s="1"/>
    </row>
    <row r="327842" spans="1:1" x14ac:dyDescent="0.25">
      <c r="A327842" s="1"/>
    </row>
    <row r="327843" spans="1:1" x14ac:dyDescent="0.25">
      <c r="A327843" s="1"/>
    </row>
    <row r="327844" spans="1:1" x14ac:dyDescent="0.25">
      <c r="A327844" s="1"/>
    </row>
    <row r="327845" spans="1:1" x14ac:dyDescent="0.25">
      <c r="A327845" s="1"/>
    </row>
    <row r="327846" spans="1:1" x14ac:dyDescent="0.25">
      <c r="A327846" s="1"/>
    </row>
    <row r="327847" spans="1:1" x14ac:dyDescent="0.25">
      <c r="A327847" s="1"/>
    </row>
    <row r="327848" spans="1:1" x14ac:dyDescent="0.25">
      <c r="A327848" s="1"/>
    </row>
    <row r="327849" spans="1:1" x14ac:dyDescent="0.25">
      <c r="A327849" s="1"/>
    </row>
    <row r="327850" spans="1:1" x14ac:dyDescent="0.25">
      <c r="A327850" s="1"/>
    </row>
    <row r="327851" spans="1:1" x14ac:dyDescent="0.25">
      <c r="A327851" s="1"/>
    </row>
    <row r="327852" spans="1:1" x14ac:dyDescent="0.25">
      <c r="A327852" s="1"/>
    </row>
    <row r="327853" spans="1:1" x14ac:dyDescent="0.25">
      <c r="A327853" s="1"/>
    </row>
    <row r="327854" spans="1:1" x14ac:dyDescent="0.25">
      <c r="A327854" s="1"/>
    </row>
    <row r="327855" spans="1:1" x14ac:dyDescent="0.25">
      <c r="A327855" s="1"/>
    </row>
    <row r="327856" spans="1:1" x14ac:dyDescent="0.25">
      <c r="A327856" s="1"/>
    </row>
    <row r="327857" spans="1:1" x14ac:dyDescent="0.25">
      <c r="A327857" s="1"/>
    </row>
    <row r="327858" spans="1:1" x14ac:dyDescent="0.25">
      <c r="A327858" s="1"/>
    </row>
    <row r="327859" spans="1:1" x14ac:dyDescent="0.25">
      <c r="A327859" s="1"/>
    </row>
    <row r="327860" spans="1:1" x14ac:dyDescent="0.25">
      <c r="A327860" s="1"/>
    </row>
    <row r="327861" spans="1:1" x14ac:dyDescent="0.25">
      <c r="A327861" s="1"/>
    </row>
    <row r="327862" spans="1:1" x14ac:dyDescent="0.25">
      <c r="A327862" s="1"/>
    </row>
    <row r="327863" spans="1:1" x14ac:dyDescent="0.25">
      <c r="A327863" s="1"/>
    </row>
    <row r="327864" spans="1:1" x14ac:dyDescent="0.25">
      <c r="A327864" s="1"/>
    </row>
    <row r="327865" spans="1:1" x14ac:dyDescent="0.25">
      <c r="A327865" s="1"/>
    </row>
    <row r="327866" spans="1:1" x14ac:dyDescent="0.25">
      <c r="A327866" s="1"/>
    </row>
    <row r="327867" spans="1:1" x14ac:dyDescent="0.25">
      <c r="A327867" s="1"/>
    </row>
    <row r="327868" spans="1:1" x14ac:dyDescent="0.25">
      <c r="A327868" s="1"/>
    </row>
    <row r="327869" spans="1:1" x14ac:dyDescent="0.25">
      <c r="A327869" s="1"/>
    </row>
    <row r="327870" spans="1:1" x14ac:dyDescent="0.25">
      <c r="A327870" s="1"/>
    </row>
    <row r="327871" spans="1:1" x14ac:dyDescent="0.25">
      <c r="A327871" s="1"/>
    </row>
    <row r="327872" spans="1:1" x14ac:dyDescent="0.25">
      <c r="A327872" s="1"/>
    </row>
    <row r="327873" spans="1:1" x14ac:dyDescent="0.25">
      <c r="A327873" s="1"/>
    </row>
    <row r="327874" spans="1:1" x14ac:dyDescent="0.25">
      <c r="A327874" s="1"/>
    </row>
    <row r="327875" spans="1:1" x14ac:dyDescent="0.25">
      <c r="A327875" s="1"/>
    </row>
    <row r="327876" spans="1:1" x14ac:dyDescent="0.25">
      <c r="A327876" s="1"/>
    </row>
    <row r="327877" spans="1:1" x14ac:dyDescent="0.25">
      <c r="A327877" s="1"/>
    </row>
    <row r="327878" spans="1:1" x14ac:dyDescent="0.25">
      <c r="A327878" s="1"/>
    </row>
    <row r="327879" spans="1:1" x14ac:dyDescent="0.25">
      <c r="A327879" s="1"/>
    </row>
    <row r="327880" spans="1:1" x14ac:dyDescent="0.25">
      <c r="A327880" s="1"/>
    </row>
    <row r="327881" spans="1:1" x14ac:dyDescent="0.25">
      <c r="A327881" s="1"/>
    </row>
    <row r="327882" spans="1:1" x14ac:dyDescent="0.25">
      <c r="A327882" s="1"/>
    </row>
    <row r="327883" spans="1:1" x14ac:dyDescent="0.25">
      <c r="A327883" s="1"/>
    </row>
    <row r="327884" spans="1:1" x14ac:dyDescent="0.25">
      <c r="A327884" s="1"/>
    </row>
    <row r="327885" spans="1:1" x14ac:dyDescent="0.25">
      <c r="A327885" s="1"/>
    </row>
    <row r="327886" spans="1:1" x14ac:dyDescent="0.25">
      <c r="A327886" s="1"/>
    </row>
    <row r="327887" spans="1:1" x14ac:dyDescent="0.25">
      <c r="A327887" s="1"/>
    </row>
    <row r="327888" spans="1:1" x14ac:dyDescent="0.25">
      <c r="A327888" s="1"/>
    </row>
    <row r="327889" spans="1:1" x14ac:dyDescent="0.25">
      <c r="A327889" s="1"/>
    </row>
    <row r="327890" spans="1:1" x14ac:dyDescent="0.25">
      <c r="A327890" s="1"/>
    </row>
    <row r="327891" spans="1:1" x14ac:dyDescent="0.25">
      <c r="A327891" s="1"/>
    </row>
    <row r="327892" spans="1:1" x14ac:dyDescent="0.25">
      <c r="A327892" s="1"/>
    </row>
    <row r="327893" spans="1:1" x14ac:dyDescent="0.25">
      <c r="A327893" s="1"/>
    </row>
    <row r="327894" spans="1:1" x14ac:dyDescent="0.25">
      <c r="A327894" s="1"/>
    </row>
    <row r="327895" spans="1:1" x14ac:dyDescent="0.25">
      <c r="A327895" s="1"/>
    </row>
    <row r="327896" spans="1:1" x14ac:dyDescent="0.25">
      <c r="A327896" s="1"/>
    </row>
    <row r="327897" spans="1:1" x14ac:dyDescent="0.25">
      <c r="A327897" s="1"/>
    </row>
    <row r="327898" spans="1:1" x14ac:dyDescent="0.25">
      <c r="A327898" s="1"/>
    </row>
    <row r="327899" spans="1:1" x14ac:dyDescent="0.25">
      <c r="A327899" s="1"/>
    </row>
    <row r="327900" spans="1:1" x14ac:dyDescent="0.25">
      <c r="A327900" s="1"/>
    </row>
    <row r="327901" spans="1:1" x14ac:dyDescent="0.25">
      <c r="A327901" s="1"/>
    </row>
    <row r="327902" spans="1:1" x14ac:dyDescent="0.25">
      <c r="A327902" s="1"/>
    </row>
    <row r="327903" spans="1:1" x14ac:dyDescent="0.25">
      <c r="A327903" s="1"/>
    </row>
    <row r="327904" spans="1:1" x14ac:dyDescent="0.25">
      <c r="A327904" s="1"/>
    </row>
    <row r="327905" spans="1:1" x14ac:dyDescent="0.25">
      <c r="A327905" s="1"/>
    </row>
    <row r="327906" spans="1:1" x14ac:dyDescent="0.25">
      <c r="A327906" s="1"/>
    </row>
    <row r="327907" spans="1:1" x14ac:dyDescent="0.25">
      <c r="A327907" s="1"/>
    </row>
    <row r="327908" spans="1:1" x14ac:dyDescent="0.25">
      <c r="A327908" s="1"/>
    </row>
    <row r="327909" spans="1:1" x14ac:dyDescent="0.25">
      <c r="A327909" s="1"/>
    </row>
    <row r="327910" spans="1:1" x14ac:dyDescent="0.25">
      <c r="A327910" s="1"/>
    </row>
    <row r="327911" spans="1:1" x14ac:dyDescent="0.25">
      <c r="A327911" s="1"/>
    </row>
    <row r="327912" spans="1:1" x14ac:dyDescent="0.25">
      <c r="A327912" s="1"/>
    </row>
    <row r="327913" spans="1:1" x14ac:dyDescent="0.25">
      <c r="A327913" s="1"/>
    </row>
    <row r="327914" spans="1:1" x14ac:dyDescent="0.25">
      <c r="A327914" s="1"/>
    </row>
    <row r="327915" spans="1:1" x14ac:dyDescent="0.25">
      <c r="A327915" s="1"/>
    </row>
    <row r="327916" spans="1:1" x14ac:dyDescent="0.25">
      <c r="A327916" s="1"/>
    </row>
    <row r="327917" spans="1:1" x14ac:dyDescent="0.25">
      <c r="A327917" s="1"/>
    </row>
    <row r="327918" spans="1:1" x14ac:dyDescent="0.25">
      <c r="A327918" s="1"/>
    </row>
    <row r="327919" spans="1:1" x14ac:dyDescent="0.25">
      <c r="A327919" s="1"/>
    </row>
    <row r="327920" spans="1:1" x14ac:dyDescent="0.25">
      <c r="A327920" s="1"/>
    </row>
    <row r="327921" spans="1:1" x14ac:dyDescent="0.25">
      <c r="A327921" s="1"/>
    </row>
    <row r="327922" spans="1:1" x14ac:dyDescent="0.25">
      <c r="A327922" s="1"/>
    </row>
    <row r="327923" spans="1:1" x14ac:dyDescent="0.25">
      <c r="A327923" s="1"/>
    </row>
    <row r="327924" spans="1:1" x14ac:dyDescent="0.25">
      <c r="A327924" s="1"/>
    </row>
    <row r="327925" spans="1:1" x14ac:dyDescent="0.25">
      <c r="A327925" s="1"/>
    </row>
    <row r="327926" spans="1:1" x14ac:dyDescent="0.25">
      <c r="A327926" s="1"/>
    </row>
    <row r="327927" spans="1:1" x14ac:dyDescent="0.25">
      <c r="A327927" s="1"/>
    </row>
    <row r="327928" spans="1:1" x14ac:dyDescent="0.25">
      <c r="A327928" s="1"/>
    </row>
    <row r="327929" spans="1:1" x14ac:dyDescent="0.25">
      <c r="A327929" s="1"/>
    </row>
    <row r="327930" spans="1:1" x14ac:dyDescent="0.25">
      <c r="A327930" s="1"/>
    </row>
    <row r="327931" spans="1:1" x14ac:dyDescent="0.25">
      <c r="A327931" s="1"/>
    </row>
    <row r="327932" spans="1:1" x14ac:dyDescent="0.25">
      <c r="A327932" s="1"/>
    </row>
    <row r="327933" spans="1:1" x14ac:dyDescent="0.25">
      <c r="A327933" s="1"/>
    </row>
    <row r="327934" spans="1:1" x14ac:dyDescent="0.25">
      <c r="A327934" s="1"/>
    </row>
    <row r="327935" spans="1:1" x14ac:dyDescent="0.25">
      <c r="A327935" s="1"/>
    </row>
    <row r="327936" spans="1:1" x14ac:dyDescent="0.25">
      <c r="A327936" s="1"/>
    </row>
    <row r="327937" spans="1:1" x14ac:dyDescent="0.25">
      <c r="A327937" s="1"/>
    </row>
    <row r="327938" spans="1:1" x14ac:dyDescent="0.25">
      <c r="A327938" s="1"/>
    </row>
    <row r="327939" spans="1:1" x14ac:dyDescent="0.25">
      <c r="A327939" s="1"/>
    </row>
    <row r="327940" spans="1:1" x14ac:dyDescent="0.25">
      <c r="A327940" s="1"/>
    </row>
    <row r="327941" spans="1:1" x14ac:dyDescent="0.25">
      <c r="A327941" s="1"/>
    </row>
    <row r="327942" spans="1:1" x14ac:dyDescent="0.25">
      <c r="A327942" s="1"/>
    </row>
    <row r="327943" spans="1:1" x14ac:dyDescent="0.25">
      <c r="A327943" s="1"/>
    </row>
    <row r="327944" spans="1:1" x14ac:dyDescent="0.25">
      <c r="A327944" s="1"/>
    </row>
    <row r="327945" spans="1:1" x14ac:dyDescent="0.25">
      <c r="A327945" s="1"/>
    </row>
    <row r="327946" spans="1:1" x14ac:dyDescent="0.25">
      <c r="A327946" s="1"/>
    </row>
    <row r="327947" spans="1:1" x14ac:dyDescent="0.25">
      <c r="A327947" s="1"/>
    </row>
    <row r="327948" spans="1:1" x14ac:dyDescent="0.25">
      <c r="A327948" s="1"/>
    </row>
    <row r="327949" spans="1:1" x14ac:dyDescent="0.25">
      <c r="A327949" s="1"/>
    </row>
    <row r="327950" spans="1:1" x14ac:dyDescent="0.25">
      <c r="A327950" s="1"/>
    </row>
    <row r="327951" spans="1:1" x14ac:dyDescent="0.25">
      <c r="A327951" s="1"/>
    </row>
    <row r="327952" spans="1:1" x14ac:dyDescent="0.25">
      <c r="A327952" s="1"/>
    </row>
    <row r="327953" spans="1:1" x14ac:dyDescent="0.25">
      <c r="A327953" s="1"/>
    </row>
    <row r="327954" spans="1:1" x14ac:dyDescent="0.25">
      <c r="A327954" s="1"/>
    </row>
    <row r="327955" spans="1:1" x14ac:dyDescent="0.25">
      <c r="A327955" s="1"/>
    </row>
    <row r="327956" spans="1:1" x14ac:dyDescent="0.25">
      <c r="A327956" s="1"/>
    </row>
    <row r="327957" spans="1:1" x14ac:dyDescent="0.25">
      <c r="A327957" s="1"/>
    </row>
    <row r="327958" spans="1:1" x14ac:dyDescent="0.25">
      <c r="A327958" s="1"/>
    </row>
    <row r="327959" spans="1:1" x14ac:dyDescent="0.25">
      <c r="A327959" s="1"/>
    </row>
    <row r="327960" spans="1:1" x14ac:dyDescent="0.25">
      <c r="A327960" s="1"/>
    </row>
    <row r="327961" spans="1:1" x14ac:dyDescent="0.25">
      <c r="A327961" s="1"/>
    </row>
    <row r="327962" spans="1:1" x14ac:dyDescent="0.25">
      <c r="A327962" s="1"/>
    </row>
    <row r="327963" spans="1:1" x14ac:dyDescent="0.25">
      <c r="A327963" s="1"/>
    </row>
    <row r="327964" spans="1:1" x14ac:dyDescent="0.25">
      <c r="A327964" s="1"/>
    </row>
    <row r="327965" spans="1:1" x14ac:dyDescent="0.25">
      <c r="A327965" s="1"/>
    </row>
    <row r="327966" spans="1:1" x14ac:dyDescent="0.25">
      <c r="A327966" s="1"/>
    </row>
    <row r="327967" spans="1:1" x14ac:dyDescent="0.25">
      <c r="A327967" s="1"/>
    </row>
    <row r="327968" spans="1:1" x14ac:dyDescent="0.25">
      <c r="A327968" s="1"/>
    </row>
    <row r="327969" spans="1:1" x14ac:dyDescent="0.25">
      <c r="A327969" s="1"/>
    </row>
    <row r="327970" spans="1:1" x14ac:dyDescent="0.25">
      <c r="A327970" s="1"/>
    </row>
    <row r="327971" spans="1:1" x14ac:dyDescent="0.25">
      <c r="A327971" s="1"/>
    </row>
    <row r="327972" spans="1:1" x14ac:dyDescent="0.25">
      <c r="A327972" s="1"/>
    </row>
    <row r="327973" spans="1:1" x14ac:dyDescent="0.25">
      <c r="A327973" s="1"/>
    </row>
    <row r="327974" spans="1:1" x14ac:dyDescent="0.25">
      <c r="A327974" s="1"/>
    </row>
    <row r="327975" spans="1:1" x14ac:dyDescent="0.25">
      <c r="A327975" s="1"/>
    </row>
    <row r="327976" spans="1:1" x14ac:dyDescent="0.25">
      <c r="A327976" s="1"/>
    </row>
    <row r="327977" spans="1:1" x14ac:dyDescent="0.25">
      <c r="A327977" s="1"/>
    </row>
    <row r="327978" spans="1:1" x14ac:dyDescent="0.25">
      <c r="A327978" s="1"/>
    </row>
    <row r="327979" spans="1:1" x14ac:dyDescent="0.25">
      <c r="A327979" s="1"/>
    </row>
    <row r="327980" spans="1:1" x14ac:dyDescent="0.25">
      <c r="A327980" s="1"/>
    </row>
    <row r="327981" spans="1:1" x14ac:dyDescent="0.25">
      <c r="A327981" s="1"/>
    </row>
    <row r="327982" spans="1:1" x14ac:dyDescent="0.25">
      <c r="A327982" s="1"/>
    </row>
    <row r="327983" spans="1:1" x14ac:dyDescent="0.25">
      <c r="A327983" s="1"/>
    </row>
    <row r="327984" spans="1:1" x14ac:dyDescent="0.25">
      <c r="A327984" s="1"/>
    </row>
    <row r="327985" spans="1:1" x14ac:dyDescent="0.25">
      <c r="A327985" s="1"/>
    </row>
    <row r="327986" spans="1:1" x14ac:dyDescent="0.25">
      <c r="A327986" s="1"/>
    </row>
    <row r="327987" spans="1:1" x14ac:dyDescent="0.25">
      <c r="A327987" s="1"/>
    </row>
    <row r="327988" spans="1:1" x14ac:dyDescent="0.25">
      <c r="A327988" s="1"/>
    </row>
    <row r="327989" spans="1:1" x14ac:dyDescent="0.25">
      <c r="A327989" s="1"/>
    </row>
    <row r="327990" spans="1:1" x14ac:dyDescent="0.25">
      <c r="A327990" s="1"/>
    </row>
    <row r="327991" spans="1:1" x14ac:dyDescent="0.25">
      <c r="A327991" s="1"/>
    </row>
    <row r="327992" spans="1:1" x14ac:dyDescent="0.25">
      <c r="A327992" s="1"/>
    </row>
    <row r="327993" spans="1:1" x14ac:dyDescent="0.25">
      <c r="A327993" s="1"/>
    </row>
    <row r="327994" spans="1:1" x14ac:dyDescent="0.25">
      <c r="A327994" s="1"/>
    </row>
    <row r="327995" spans="1:1" x14ac:dyDescent="0.25">
      <c r="A327995" s="1"/>
    </row>
    <row r="327996" spans="1:1" x14ac:dyDescent="0.25">
      <c r="A327996" s="1"/>
    </row>
    <row r="327997" spans="1:1" x14ac:dyDescent="0.25">
      <c r="A327997" s="1"/>
    </row>
    <row r="327998" spans="1:1" x14ac:dyDescent="0.25">
      <c r="A327998" s="1"/>
    </row>
    <row r="327999" spans="1:1" x14ac:dyDescent="0.25">
      <c r="A327999" s="1"/>
    </row>
    <row r="328000" spans="1:1" x14ac:dyDescent="0.25">
      <c r="A328000" s="1"/>
    </row>
    <row r="328001" spans="1:1" x14ac:dyDescent="0.25">
      <c r="A328001" s="1"/>
    </row>
    <row r="328002" spans="1:1" x14ac:dyDescent="0.25">
      <c r="A328002" s="1"/>
    </row>
    <row r="328003" spans="1:1" x14ac:dyDescent="0.25">
      <c r="A328003" s="1"/>
    </row>
    <row r="328004" spans="1:1" x14ac:dyDescent="0.25">
      <c r="A328004" s="1"/>
    </row>
    <row r="328005" spans="1:1" x14ac:dyDescent="0.25">
      <c r="A328005" s="1"/>
    </row>
    <row r="328006" spans="1:1" x14ac:dyDescent="0.25">
      <c r="A328006" s="1"/>
    </row>
    <row r="328007" spans="1:1" x14ac:dyDescent="0.25">
      <c r="A328007" s="1"/>
    </row>
    <row r="328008" spans="1:1" x14ac:dyDescent="0.25">
      <c r="A328008" s="1"/>
    </row>
    <row r="328009" spans="1:1" x14ac:dyDescent="0.25">
      <c r="A328009" s="1"/>
    </row>
    <row r="328010" spans="1:1" x14ac:dyDescent="0.25">
      <c r="A328010" s="1"/>
    </row>
    <row r="328011" spans="1:1" x14ac:dyDescent="0.25">
      <c r="A328011" s="1"/>
    </row>
    <row r="328012" spans="1:1" x14ac:dyDescent="0.25">
      <c r="A328012" s="1"/>
    </row>
    <row r="328013" spans="1:1" x14ac:dyDescent="0.25">
      <c r="A328013" s="1"/>
    </row>
    <row r="328014" spans="1:1" x14ac:dyDescent="0.25">
      <c r="A328014" s="1"/>
    </row>
    <row r="328015" spans="1:1" x14ac:dyDescent="0.25">
      <c r="A328015" s="1"/>
    </row>
    <row r="328016" spans="1:1" x14ac:dyDescent="0.25">
      <c r="A328016" s="1"/>
    </row>
    <row r="328017" spans="1:1" x14ac:dyDescent="0.25">
      <c r="A328017" s="1"/>
    </row>
    <row r="328018" spans="1:1" x14ac:dyDescent="0.25">
      <c r="A328018" s="1"/>
    </row>
    <row r="328019" spans="1:1" x14ac:dyDescent="0.25">
      <c r="A328019" s="1"/>
    </row>
    <row r="328020" spans="1:1" x14ac:dyDescent="0.25">
      <c r="A328020" s="1"/>
    </row>
    <row r="328021" spans="1:1" x14ac:dyDescent="0.25">
      <c r="A328021" s="1"/>
    </row>
    <row r="328022" spans="1:1" x14ac:dyDescent="0.25">
      <c r="A328022" s="1"/>
    </row>
    <row r="328023" spans="1:1" x14ac:dyDescent="0.25">
      <c r="A328023" s="1"/>
    </row>
    <row r="328024" spans="1:1" x14ac:dyDescent="0.25">
      <c r="A328024" s="1"/>
    </row>
    <row r="328025" spans="1:1" x14ac:dyDescent="0.25">
      <c r="A328025" s="1"/>
    </row>
    <row r="328026" spans="1:1" x14ac:dyDescent="0.25">
      <c r="A328026" s="1"/>
    </row>
    <row r="328027" spans="1:1" x14ac:dyDescent="0.25">
      <c r="A328027" s="1"/>
    </row>
    <row r="328028" spans="1:1" x14ac:dyDescent="0.25">
      <c r="A328028" s="1"/>
    </row>
    <row r="328029" spans="1:1" x14ac:dyDescent="0.25">
      <c r="A328029" s="1"/>
    </row>
    <row r="328030" spans="1:1" x14ac:dyDescent="0.25">
      <c r="A328030" s="1"/>
    </row>
    <row r="328031" spans="1:1" x14ac:dyDescent="0.25">
      <c r="A328031" s="1"/>
    </row>
    <row r="328032" spans="1:1" x14ac:dyDescent="0.25">
      <c r="A328032" s="1"/>
    </row>
    <row r="328033" spans="1:1" x14ac:dyDescent="0.25">
      <c r="A328033" s="1"/>
    </row>
    <row r="328034" spans="1:1" x14ac:dyDescent="0.25">
      <c r="A328034" s="1"/>
    </row>
    <row r="328035" spans="1:1" x14ac:dyDescent="0.25">
      <c r="A328035" s="1"/>
    </row>
    <row r="328036" spans="1:1" x14ac:dyDescent="0.25">
      <c r="A328036" s="1"/>
    </row>
    <row r="328037" spans="1:1" x14ac:dyDescent="0.25">
      <c r="A328037" s="1"/>
    </row>
    <row r="328038" spans="1:1" x14ac:dyDescent="0.25">
      <c r="A328038" s="1"/>
    </row>
    <row r="328039" spans="1:1" x14ac:dyDescent="0.25">
      <c r="A328039" s="1"/>
    </row>
    <row r="328040" spans="1:1" x14ac:dyDescent="0.25">
      <c r="A328040" s="1"/>
    </row>
    <row r="328041" spans="1:1" x14ac:dyDescent="0.25">
      <c r="A328041" s="1"/>
    </row>
    <row r="328042" spans="1:1" x14ac:dyDescent="0.25">
      <c r="A328042" s="1"/>
    </row>
    <row r="328043" spans="1:1" x14ac:dyDescent="0.25">
      <c r="A328043" s="1"/>
    </row>
    <row r="328044" spans="1:1" x14ac:dyDescent="0.25">
      <c r="A328044" s="1"/>
    </row>
    <row r="328045" spans="1:1" x14ac:dyDescent="0.25">
      <c r="A328045" s="1"/>
    </row>
    <row r="328046" spans="1:1" x14ac:dyDescent="0.25">
      <c r="A328046" s="1"/>
    </row>
    <row r="328047" spans="1:1" x14ac:dyDescent="0.25">
      <c r="A328047" s="1"/>
    </row>
    <row r="328048" spans="1:1" x14ac:dyDescent="0.25">
      <c r="A328048" s="1"/>
    </row>
    <row r="328049" spans="1:1" x14ac:dyDescent="0.25">
      <c r="A328049" s="1"/>
    </row>
    <row r="328050" spans="1:1" x14ac:dyDescent="0.25">
      <c r="A328050" s="1"/>
    </row>
    <row r="328051" spans="1:1" x14ac:dyDescent="0.25">
      <c r="A328051" s="1"/>
    </row>
    <row r="328052" spans="1:1" x14ac:dyDescent="0.25">
      <c r="A328052" s="1"/>
    </row>
    <row r="328053" spans="1:1" x14ac:dyDescent="0.25">
      <c r="A328053" s="1"/>
    </row>
    <row r="328054" spans="1:1" x14ac:dyDescent="0.25">
      <c r="A328054" s="1"/>
    </row>
    <row r="328055" spans="1:1" x14ac:dyDescent="0.25">
      <c r="A328055" s="1"/>
    </row>
    <row r="328056" spans="1:1" x14ac:dyDescent="0.25">
      <c r="A328056" s="1"/>
    </row>
    <row r="328057" spans="1:1" x14ac:dyDescent="0.25">
      <c r="A328057" s="1"/>
    </row>
    <row r="328058" spans="1:1" x14ac:dyDescent="0.25">
      <c r="A328058" s="1"/>
    </row>
    <row r="328059" spans="1:1" x14ac:dyDescent="0.25">
      <c r="A328059" s="1"/>
    </row>
    <row r="328060" spans="1:1" x14ac:dyDescent="0.25">
      <c r="A328060" s="1"/>
    </row>
    <row r="328061" spans="1:1" x14ac:dyDescent="0.25">
      <c r="A328061" s="1"/>
    </row>
    <row r="328062" spans="1:1" x14ac:dyDescent="0.25">
      <c r="A328062" s="1"/>
    </row>
    <row r="328063" spans="1:1" x14ac:dyDescent="0.25">
      <c r="A328063" s="1"/>
    </row>
    <row r="328064" spans="1:1" x14ac:dyDescent="0.25">
      <c r="A328064" s="1"/>
    </row>
    <row r="328065" spans="1:1" x14ac:dyDescent="0.25">
      <c r="A328065" s="1"/>
    </row>
    <row r="328066" spans="1:1" x14ac:dyDescent="0.25">
      <c r="A328066" s="1"/>
    </row>
    <row r="328067" spans="1:1" x14ac:dyDescent="0.25">
      <c r="A328067" s="1"/>
    </row>
    <row r="328068" spans="1:1" x14ac:dyDescent="0.25">
      <c r="A328068" s="1"/>
    </row>
    <row r="328069" spans="1:1" x14ac:dyDescent="0.25">
      <c r="A328069" s="1"/>
    </row>
    <row r="328070" spans="1:1" x14ac:dyDescent="0.25">
      <c r="A328070" s="1"/>
    </row>
    <row r="328071" spans="1:1" x14ac:dyDescent="0.25">
      <c r="A328071" s="1"/>
    </row>
    <row r="328072" spans="1:1" x14ac:dyDescent="0.25">
      <c r="A328072" s="1"/>
    </row>
    <row r="328073" spans="1:1" x14ac:dyDescent="0.25">
      <c r="A328073" s="1"/>
    </row>
    <row r="328074" spans="1:1" x14ac:dyDescent="0.25">
      <c r="A328074" s="1"/>
    </row>
    <row r="328075" spans="1:1" x14ac:dyDescent="0.25">
      <c r="A328075" s="1"/>
    </row>
    <row r="328076" spans="1:1" x14ac:dyDescent="0.25">
      <c r="A328076" s="1"/>
    </row>
    <row r="328077" spans="1:1" x14ac:dyDescent="0.25">
      <c r="A328077" s="1"/>
    </row>
    <row r="328078" spans="1:1" x14ac:dyDescent="0.25">
      <c r="A328078" s="1"/>
    </row>
    <row r="328079" spans="1:1" x14ac:dyDescent="0.25">
      <c r="A328079" s="1"/>
    </row>
    <row r="328080" spans="1:1" x14ac:dyDescent="0.25">
      <c r="A328080" s="1"/>
    </row>
    <row r="328081" spans="1:1" x14ac:dyDescent="0.25">
      <c r="A328081" s="1"/>
    </row>
    <row r="328082" spans="1:1" x14ac:dyDescent="0.25">
      <c r="A328082" s="1"/>
    </row>
    <row r="328083" spans="1:1" x14ac:dyDescent="0.25">
      <c r="A328083" s="1"/>
    </row>
    <row r="328084" spans="1:1" x14ac:dyDescent="0.25">
      <c r="A328084" s="1"/>
    </row>
    <row r="328085" spans="1:1" x14ac:dyDescent="0.25">
      <c r="A328085" s="1"/>
    </row>
    <row r="328086" spans="1:1" x14ac:dyDescent="0.25">
      <c r="A328086" s="1"/>
    </row>
    <row r="328087" spans="1:1" x14ac:dyDescent="0.25">
      <c r="A328087" s="1"/>
    </row>
    <row r="328088" spans="1:1" x14ac:dyDescent="0.25">
      <c r="A328088" s="1"/>
    </row>
    <row r="328089" spans="1:1" x14ac:dyDescent="0.25">
      <c r="A328089" s="1"/>
    </row>
    <row r="328090" spans="1:1" x14ac:dyDescent="0.25">
      <c r="A328090" s="1"/>
    </row>
    <row r="328091" spans="1:1" x14ac:dyDescent="0.25">
      <c r="A328091" s="1"/>
    </row>
    <row r="328092" spans="1:1" x14ac:dyDescent="0.25">
      <c r="A328092" s="1"/>
    </row>
    <row r="328093" spans="1:1" x14ac:dyDescent="0.25">
      <c r="A328093" s="1"/>
    </row>
    <row r="328094" spans="1:1" x14ac:dyDescent="0.25">
      <c r="A328094" s="1"/>
    </row>
    <row r="328095" spans="1:1" x14ac:dyDescent="0.25">
      <c r="A328095" s="1"/>
    </row>
    <row r="328096" spans="1:1" x14ac:dyDescent="0.25">
      <c r="A328096" s="1"/>
    </row>
    <row r="328097" spans="1:1" x14ac:dyDescent="0.25">
      <c r="A328097" s="1"/>
    </row>
    <row r="328098" spans="1:1" x14ac:dyDescent="0.25">
      <c r="A328098" s="1"/>
    </row>
    <row r="328099" spans="1:1" x14ac:dyDescent="0.25">
      <c r="A328099" s="1"/>
    </row>
    <row r="328100" spans="1:1" x14ac:dyDescent="0.25">
      <c r="A328100" s="1"/>
    </row>
    <row r="328101" spans="1:1" x14ac:dyDescent="0.25">
      <c r="A328101" s="1"/>
    </row>
    <row r="328102" spans="1:1" x14ac:dyDescent="0.25">
      <c r="A328102" s="1"/>
    </row>
    <row r="328103" spans="1:1" x14ac:dyDescent="0.25">
      <c r="A328103" s="1"/>
    </row>
    <row r="328104" spans="1:1" x14ac:dyDescent="0.25">
      <c r="A328104" s="1"/>
    </row>
    <row r="328105" spans="1:1" x14ac:dyDescent="0.25">
      <c r="A328105" s="1"/>
    </row>
    <row r="328106" spans="1:1" x14ac:dyDescent="0.25">
      <c r="A328106" s="1"/>
    </row>
    <row r="328107" spans="1:1" x14ac:dyDescent="0.25">
      <c r="A328107" s="1"/>
    </row>
    <row r="328108" spans="1:1" x14ac:dyDescent="0.25">
      <c r="A328108" s="1"/>
    </row>
    <row r="328109" spans="1:1" x14ac:dyDescent="0.25">
      <c r="A328109" s="1"/>
    </row>
    <row r="328110" spans="1:1" x14ac:dyDescent="0.25">
      <c r="A328110" s="1"/>
    </row>
    <row r="328111" spans="1:1" x14ac:dyDescent="0.25">
      <c r="A328111" s="1"/>
    </row>
    <row r="328112" spans="1:1" x14ac:dyDescent="0.25">
      <c r="A328112" s="1"/>
    </row>
    <row r="328113" spans="1:1" x14ac:dyDescent="0.25">
      <c r="A328113" s="1"/>
    </row>
    <row r="328114" spans="1:1" x14ac:dyDescent="0.25">
      <c r="A328114" s="1"/>
    </row>
    <row r="328115" spans="1:1" x14ac:dyDescent="0.25">
      <c r="A328115" s="1"/>
    </row>
    <row r="328116" spans="1:1" x14ac:dyDescent="0.25">
      <c r="A328116" s="1"/>
    </row>
    <row r="328117" spans="1:1" x14ac:dyDescent="0.25">
      <c r="A328117" s="1"/>
    </row>
    <row r="328118" spans="1:1" x14ac:dyDescent="0.25">
      <c r="A328118" s="1"/>
    </row>
    <row r="328119" spans="1:1" x14ac:dyDescent="0.25">
      <c r="A328119" s="1"/>
    </row>
    <row r="328120" spans="1:1" x14ac:dyDescent="0.25">
      <c r="A328120" s="1"/>
    </row>
    <row r="328121" spans="1:1" x14ac:dyDescent="0.25">
      <c r="A328121" s="1"/>
    </row>
    <row r="328122" spans="1:1" x14ac:dyDescent="0.25">
      <c r="A328122" s="1"/>
    </row>
    <row r="328123" spans="1:1" x14ac:dyDescent="0.25">
      <c r="A328123" s="1"/>
    </row>
    <row r="328124" spans="1:1" x14ac:dyDescent="0.25">
      <c r="A328124" s="1"/>
    </row>
    <row r="328125" spans="1:1" x14ac:dyDescent="0.25">
      <c r="A328125" s="1"/>
    </row>
    <row r="328126" spans="1:1" x14ac:dyDescent="0.25">
      <c r="A328126" s="1"/>
    </row>
    <row r="328127" spans="1:1" x14ac:dyDescent="0.25">
      <c r="A328127" s="1"/>
    </row>
    <row r="328128" spans="1:1" x14ac:dyDescent="0.25">
      <c r="A328128" s="1"/>
    </row>
    <row r="328129" spans="1:1" x14ac:dyDescent="0.25">
      <c r="A328129" s="1"/>
    </row>
    <row r="328130" spans="1:1" x14ac:dyDescent="0.25">
      <c r="A328130" s="1"/>
    </row>
    <row r="328131" spans="1:1" x14ac:dyDescent="0.25">
      <c r="A328131" s="1"/>
    </row>
    <row r="328132" spans="1:1" x14ac:dyDescent="0.25">
      <c r="A328132" s="1"/>
    </row>
    <row r="328133" spans="1:1" x14ac:dyDescent="0.25">
      <c r="A328133" s="1"/>
    </row>
    <row r="328134" spans="1:1" x14ac:dyDescent="0.25">
      <c r="A328134" s="1"/>
    </row>
    <row r="328135" spans="1:1" x14ac:dyDescent="0.25">
      <c r="A328135" s="1"/>
    </row>
    <row r="328136" spans="1:1" x14ac:dyDescent="0.25">
      <c r="A328136" s="1"/>
    </row>
    <row r="328137" spans="1:1" x14ac:dyDescent="0.25">
      <c r="A328137" s="1"/>
    </row>
    <row r="328138" spans="1:1" x14ac:dyDescent="0.25">
      <c r="A328138" s="1"/>
    </row>
    <row r="328139" spans="1:1" x14ac:dyDescent="0.25">
      <c r="A328139" s="1"/>
    </row>
    <row r="328140" spans="1:1" x14ac:dyDescent="0.25">
      <c r="A328140" s="1"/>
    </row>
    <row r="328141" spans="1:1" x14ac:dyDescent="0.25">
      <c r="A328141" s="1"/>
    </row>
    <row r="328142" spans="1:1" x14ac:dyDescent="0.25">
      <c r="A328142" s="1"/>
    </row>
    <row r="328143" spans="1:1" x14ac:dyDescent="0.25">
      <c r="A328143" s="1"/>
    </row>
    <row r="328144" spans="1:1" x14ac:dyDescent="0.25">
      <c r="A328144" s="1"/>
    </row>
    <row r="328145" spans="1:1" x14ac:dyDescent="0.25">
      <c r="A328145" s="1"/>
    </row>
    <row r="328146" spans="1:1" x14ac:dyDescent="0.25">
      <c r="A328146" s="1"/>
    </row>
    <row r="328147" spans="1:1" x14ac:dyDescent="0.25">
      <c r="A328147" s="1"/>
    </row>
    <row r="328148" spans="1:1" x14ac:dyDescent="0.25">
      <c r="A328148" s="1"/>
    </row>
    <row r="328149" spans="1:1" x14ac:dyDescent="0.25">
      <c r="A328149" s="1"/>
    </row>
    <row r="328150" spans="1:1" x14ac:dyDescent="0.25">
      <c r="A328150" s="1"/>
    </row>
    <row r="328151" spans="1:1" x14ac:dyDescent="0.25">
      <c r="A328151" s="1"/>
    </row>
    <row r="328152" spans="1:1" x14ac:dyDescent="0.25">
      <c r="A328152" s="1"/>
    </row>
    <row r="328153" spans="1:1" x14ac:dyDescent="0.25">
      <c r="A328153" s="1"/>
    </row>
    <row r="328154" spans="1:1" x14ac:dyDescent="0.25">
      <c r="A328154" s="1"/>
    </row>
    <row r="328155" spans="1:1" x14ac:dyDescent="0.25">
      <c r="A328155" s="1"/>
    </row>
    <row r="328156" spans="1:1" x14ac:dyDescent="0.25">
      <c r="A328156" s="1"/>
    </row>
    <row r="328157" spans="1:1" x14ac:dyDescent="0.25">
      <c r="A328157" s="1"/>
    </row>
    <row r="328158" spans="1:1" x14ac:dyDescent="0.25">
      <c r="A328158" s="1"/>
    </row>
    <row r="328159" spans="1:1" x14ac:dyDescent="0.25">
      <c r="A328159" s="1"/>
    </row>
    <row r="328160" spans="1:1" x14ac:dyDescent="0.25">
      <c r="A328160" s="1"/>
    </row>
    <row r="328161" spans="1:1" x14ac:dyDescent="0.25">
      <c r="A328161" s="1"/>
    </row>
    <row r="328162" spans="1:1" x14ac:dyDescent="0.25">
      <c r="A328162" s="1"/>
    </row>
    <row r="328163" spans="1:1" x14ac:dyDescent="0.25">
      <c r="A328163" s="1"/>
    </row>
    <row r="328164" spans="1:1" x14ac:dyDescent="0.25">
      <c r="A328164" s="1"/>
    </row>
    <row r="328165" spans="1:1" x14ac:dyDescent="0.25">
      <c r="A328165" s="1"/>
    </row>
    <row r="328166" spans="1:1" x14ac:dyDescent="0.25">
      <c r="A328166" s="1"/>
    </row>
    <row r="328167" spans="1:1" x14ac:dyDescent="0.25">
      <c r="A328167" s="1"/>
    </row>
    <row r="328168" spans="1:1" x14ac:dyDescent="0.25">
      <c r="A328168" s="1"/>
    </row>
    <row r="328169" spans="1:1" x14ac:dyDescent="0.25">
      <c r="A328169" s="1"/>
    </row>
    <row r="328170" spans="1:1" x14ac:dyDescent="0.25">
      <c r="A328170" s="1"/>
    </row>
    <row r="328171" spans="1:1" x14ac:dyDescent="0.25">
      <c r="A328171" s="1"/>
    </row>
    <row r="328172" spans="1:1" x14ac:dyDescent="0.25">
      <c r="A328172" s="1"/>
    </row>
    <row r="328173" spans="1:1" x14ac:dyDescent="0.25">
      <c r="A328173" s="1"/>
    </row>
    <row r="328174" spans="1:1" x14ac:dyDescent="0.25">
      <c r="A328174" s="1"/>
    </row>
    <row r="328175" spans="1:1" x14ac:dyDescent="0.25">
      <c r="A328175" s="1"/>
    </row>
    <row r="328176" spans="1:1" x14ac:dyDescent="0.25">
      <c r="A328176" s="1"/>
    </row>
    <row r="328177" spans="1:1" x14ac:dyDescent="0.25">
      <c r="A328177" s="1"/>
    </row>
    <row r="328178" spans="1:1" x14ac:dyDescent="0.25">
      <c r="A328178" s="1"/>
    </row>
    <row r="328179" spans="1:1" x14ac:dyDescent="0.25">
      <c r="A328179" s="1"/>
    </row>
    <row r="328180" spans="1:1" x14ac:dyDescent="0.25">
      <c r="A328180" s="1"/>
    </row>
    <row r="328181" spans="1:1" x14ac:dyDescent="0.25">
      <c r="A328181" s="1"/>
    </row>
    <row r="328182" spans="1:1" x14ac:dyDescent="0.25">
      <c r="A328182" s="1"/>
    </row>
    <row r="328183" spans="1:1" x14ac:dyDescent="0.25">
      <c r="A328183" s="1"/>
    </row>
    <row r="328184" spans="1:1" x14ac:dyDescent="0.25">
      <c r="A328184" s="1"/>
    </row>
    <row r="328185" spans="1:1" x14ac:dyDescent="0.25">
      <c r="A328185" s="1"/>
    </row>
    <row r="328186" spans="1:1" x14ac:dyDescent="0.25">
      <c r="A328186" s="1"/>
    </row>
    <row r="328187" spans="1:1" x14ac:dyDescent="0.25">
      <c r="A328187" s="1"/>
    </row>
    <row r="328188" spans="1:1" x14ac:dyDescent="0.25">
      <c r="A328188" s="1"/>
    </row>
    <row r="328189" spans="1:1" x14ac:dyDescent="0.25">
      <c r="A328189" s="1"/>
    </row>
    <row r="328190" spans="1:1" x14ac:dyDescent="0.25">
      <c r="A328190" s="1"/>
    </row>
    <row r="328191" spans="1:1" x14ac:dyDescent="0.25">
      <c r="A328191" s="1"/>
    </row>
    <row r="328192" spans="1:1" x14ac:dyDescent="0.25">
      <c r="A328192" s="1"/>
    </row>
    <row r="328193" spans="1:1" x14ac:dyDescent="0.25">
      <c r="A328193" s="1"/>
    </row>
    <row r="328194" spans="1:1" x14ac:dyDescent="0.25">
      <c r="A328194" s="1"/>
    </row>
    <row r="328195" spans="1:1" x14ac:dyDescent="0.25">
      <c r="A328195" s="1"/>
    </row>
    <row r="328196" spans="1:1" x14ac:dyDescent="0.25">
      <c r="A328196" s="1"/>
    </row>
    <row r="328197" spans="1:1" x14ac:dyDescent="0.25">
      <c r="A328197" s="1"/>
    </row>
    <row r="328198" spans="1:1" x14ac:dyDescent="0.25">
      <c r="A328198" s="1"/>
    </row>
    <row r="328199" spans="1:1" x14ac:dyDescent="0.25">
      <c r="A328199" s="1"/>
    </row>
    <row r="328200" spans="1:1" x14ac:dyDescent="0.25">
      <c r="A328200" s="1"/>
    </row>
    <row r="328201" spans="1:1" x14ac:dyDescent="0.25">
      <c r="A328201" s="1"/>
    </row>
    <row r="328202" spans="1:1" x14ac:dyDescent="0.25">
      <c r="A328202" s="1"/>
    </row>
    <row r="328203" spans="1:1" x14ac:dyDescent="0.25">
      <c r="A328203" s="1"/>
    </row>
    <row r="328204" spans="1:1" x14ac:dyDescent="0.25">
      <c r="A328204" s="1"/>
    </row>
    <row r="328205" spans="1:1" x14ac:dyDescent="0.25">
      <c r="A328205" s="1"/>
    </row>
    <row r="328206" spans="1:1" x14ac:dyDescent="0.25">
      <c r="A328206" s="1"/>
    </row>
    <row r="328207" spans="1:1" x14ac:dyDescent="0.25">
      <c r="A328207" s="1"/>
    </row>
    <row r="328208" spans="1:1" x14ac:dyDescent="0.25">
      <c r="A328208" s="1"/>
    </row>
    <row r="328209" spans="1:1" x14ac:dyDescent="0.25">
      <c r="A328209" s="1"/>
    </row>
    <row r="328210" spans="1:1" x14ac:dyDescent="0.25">
      <c r="A328210" s="1"/>
    </row>
    <row r="328211" spans="1:1" x14ac:dyDescent="0.25">
      <c r="A328211" s="1"/>
    </row>
    <row r="328212" spans="1:1" x14ac:dyDescent="0.25">
      <c r="A328212" s="1"/>
    </row>
    <row r="328213" spans="1:1" x14ac:dyDescent="0.25">
      <c r="A328213" s="1"/>
    </row>
    <row r="328214" spans="1:1" x14ac:dyDescent="0.25">
      <c r="A328214" s="1"/>
    </row>
    <row r="328215" spans="1:1" x14ac:dyDescent="0.25">
      <c r="A328215" s="1"/>
    </row>
    <row r="328216" spans="1:1" x14ac:dyDescent="0.25">
      <c r="A328216" s="1"/>
    </row>
    <row r="328217" spans="1:1" x14ac:dyDescent="0.25">
      <c r="A328217" s="1"/>
    </row>
    <row r="328218" spans="1:1" x14ac:dyDescent="0.25">
      <c r="A328218" s="1"/>
    </row>
    <row r="328219" spans="1:1" x14ac:dyDescent="0.25">
      <c r="A328219" s="1"/>
    </row>
    <row r="328220" spans="1:1" x14ac:dyDescent="0.25">
      <c r="A328220" s="1"/>
    </row>
    <row r="328221" spans="1:1" x14ac:dyDescent="0.25">
      <c r="A328221" s="1"/>
    </row>
    <row r="328222" spans="1:1" x14ac:dyDescent="0.25">
      <c r="A328222" s="1"/>
    </row>
    <row r="328223" spans="1:1" x14ac:dyDescent="0.25">
      <c r="A328223" s="1"/>
    </row>
    <row r="328224" spans="1:1" x14ac:dyDescent="0.25">
      <c r="A328224" s="1"/>
    </row>
    <row r="328225" spans="1:1" x14ac:dyDescent="0.25">
      <c r="A328225" s="1"/>
    </row>
    <row r="328226" spans="1:1" x14ac:dyDescent="0.25">
      <c r="A328226" s="1"/>
    </row>
    <row r="328227" spans="1:1" x14ac:dyDescent="0.25">
      <c r="A328227" s="1"/>
    </row>
    <row r="328228" spans="1:1" x14ac:dyDescent="0.25">
      <c r="A328228" s="1"/>
    </row>
    <row r="328229" spans="1:1" x14ac:dyDescent="0.25">
      <c r="A328229" s="1"/>
    </row>
    <row r="328230" spans="1:1" x14ac:dyDescent="0.25">
      <c r="A328230" s="1"/>
    </row>
    <row r="328231" spans="1:1" x14ac:dyDescent="0.25">
      <c r="A328231" s="1"/>
    </row>
    <row r="328232" spans="1:1" x14ac:dyDescent="0.25">
      <c r="A328232" s="1"/>
    </row>
    <row r="328233" spans="1:1" x14ac:dyDescent="0.25">
      <c r="A328233" s="1"/>
    </row>
    <row r="328234" spans="1:1" x14ac:dyDescent="0.25">
      <c r="A328234" s="1"/>
    </row>
    <row r="328235" spans="1:1" x14ac:dyDescent="0.25">
      <c r="A328235" s="1"/>
    </row>
    <row r="328236" spans="1:1" x14ac:dyDescent="0.25">
      <c r="A328236" s="1"/>
    </row>
    <row r="328237" spans="1:1" x14ac:dyDescent="0.25">
      <c r="A328237" s="1"/>
    </row>
    <row r="328238" spans="1:1" x14ac:dyDescent="0.25">
      <c r="A328238" s="1"/>
    </row>
    <row r="328239" spans="1:1" x14ac:dyDescent="0.25">
      <c r="A328239" s="1"/>
    </row>
    <row r="328240" spans="1:1" x14ac:dyDescent="0.25">
      <c r="A328240" s="1"/>
    </row>
    <row r="328241" spans="1:1" x14ac:dyDescent="0.25">
      <c r="A328241" s="1"/>
    </row>
    <row r="328242" spans="1:1" x14ac:dyDescent="0.25">
      <c r="A328242" s="1"/>
    </row>
    <row r="328243" spans="1:1" x14ac:dyDescent="0.25">
      <c r="A328243" s="1"/>
    </row>
    <row r="328244" spans="1:1" x14ac:dyDescent="0.25">
      <c r="A328244" s="1"/>
    </row>
    <row r="328245" spans="1:1" x14ac:dyDescent="0.25">
      <c r="A328245" s="1"/>
    </row>
    <row r="328246" spans="1:1" x14ac:dyDescent="0.25">
      <c r="A328246" s="1"/>
    </row>
    <row r="328247" spans="1:1" x14ac:dyDescent="0.25">
      <c r="A328247" s="1"/>
    </row>
    <row r="328248" spans="1:1" x14ac:dyDescent="0.25">
      <c r="A328248" s="1"/>
    </row>
    <row r="328249" spans="1:1" x14ac:dyDescent="0.25">
      <c r="A328249" s="1"/>
    </row>
    <row r="328250" spans="1:1" x14ac:dyDescent="0.25">
      <c r="A328250" s="1"/>
    </row>
    <row r="328251" spans="1:1" x14ac:dyDescent="0.25">
      <c r="A328251" s="1"/>
    </row>
    <row r="328252" spans="1:1" x14ac:dyDescent="0.25">
      <c r="A328252" s="1"/>
    </row>
    <row r="328253" spans="1:1" x14ac:dyDescent="0.25">
      <c r="A328253" s="1"/>
    </row>
    <row r="328254" spans="1:1" x14ac:dyDescent="0.25">
      <c r="A328254" s="1"/>
    </row>
    <row r="328255" spans="1:1" x14ac:dyDescent="0.25">
      <c r="A328255" s="1"/>
    </row>
    <row r="328256" spans="1:1" x14ac:dyDescent="0.25">
      <c r="A328256" s="1"/>
    </row>
    <row r="328257" spans="1:1" x14ac:dyDescent="0.25">
      <c r="A328257" s="1"/>
    </row>
    <row r="328258" spans="1:1" x14ac:dyDescent="0.25">
      <c r="A328258" s="1"/>
    </row>
    <row r="328259" spans="1:1" x14ac:dyDescent="0.25">
      <c r="A328259" s="1"/>
    </row>
    <row r="328260" spans="1:1" x14ac:dyDescent="0.25">
      <c r="A328260" s="1"/>
    </row>
    <row r="328261" spans="1:1" x14ac:dyDescent="0.25">
      <c r="A328261" s="1"/>
    </row>
    <row r="328262" spans="1:1" x14ac:dyDescent="0.25">
      <c r="A328262" s="1"/>
    </row>
    <row r="328263" spans="1:1" x14ac:dyDescent="0.25">
      <c r="A328263" s="1"/>
    </row>
    <row r="328264" spans="1:1" x14ac:dyDescent="0.25">
      <c r="A328264" s="1"/>
    </row>
    <row r="328265" spans="1:1" x14ac:dyDescent="0.25">
      <c r="A328265" s="1"/>
    </row>
    <row r="328266" spans="1:1" x14ac:dyDescent="0.25">
      <c r="A328266" s="1"/>
    </row>
    <row r="328267" spans="1:1" x14ac:dyDescent="0.25">
      <c r="A328267" s="1"/>
    </row>
    <row r="328268" spans="1:1" x14ac:dyDescent="0.25">
      <c r="A328268" s="1"/>
    </row>
    <row r="328269" spans="1:1" x14ac:dyDescent="0.25">
      <c r="A328269" s="1"/>
    </row>
    <row r="328270" spans="1:1" x14ac:dyDescent="0.25">
      <c r="A328270" s="1"/>
    </row>
    <row r="328271" spans="1:1" x14ac:dyDescent="0.25">
      <c r="A328271" s="1"/>
    </row>
    <row r="328272" spans="1:1" x14ac:dyDescent="0.25">
      <c r="A328272" s="1"/>
    </row>
    <row r="328273" spans="1:1" x14ac:dyDescent="0.25">
      <c r="A328273" s="1"/>
    </row>
    <row r="328274" spans="1:1" x14ac:dyDescent="0.25">
      <c r="A328274" s="1"/>
    </row>
    <row r="328275" spans="1:1" x14ac:dyDescent="0.25">
      <c r="A328275" s="1"/>
    </row>
    <row r="328276" spans="1:1" x14ac:dyDescent="0.25">
      <c r="A328276" s="1"/>
    </row>
    <row r="328277" spans="1:1" x14ac:dyDescent="0.25">
      <c r="A328277" s="1"/>
    </row>
    <row r="328278" spans="1:1" x14ac:dyDescent="0.25">
      <c r="A328278" s="1"/>
    </row>
    <row r="328279" spans="1:1" x14ac:dyDescent="0.25">
      <c r="A328279" s="1"/>
    </row>
    <row r="328280" spans="1:1" x14ac:dyDescent="0.25">
      <c r="A328280" s="1"/>
    </row>
    <row r="328281" spans="1:1" x14ac:dyDescent="0.25">
      <c r="A328281" s="1"/>
    </row>
    <row r="328282" spans="1:1" x14ac:dyDescent="0.25">
      <c r="A328282" s="1"/>
    </row>
    <row r="328283" spans="1:1" x14ac:dyDescent="0.25">
      <c r="A328283" s="1"/>
    </row>
    <row r="328284" spans="1:1" x14ac:dyDescent="0.25">
      <c r="A328284" s="1"/>
    </row>
    <row r="328285" spans="1:1" x14ac:dyDescent="0.25">
      <c r="A328285" s="1"/>
    </row>
    <row r="328286" spans="1:1" x14ac:dyDescent="0.25">
      <c r="A328286" s="1"/>
    </row>
    <row r="328287" spans="1:1" x14ac:dyDescent="0.25">
      <c r="A328287" s="1"/>
    </row>
    <row r="328288" spans="1:1" x14ac:dyDescent="0.25">
      <c r="A328288" s="1"/>
    </row>
    <row r="328289" spans="1:1" x14ac:dyDescent="0.25">
      <c r="A328289" s="1"/>
    </row>
    <row r="328290" spans="1:1" x14ac:dyDescent="0.25">
      <c r="A328290" s="1"/>
    </row>
    <row r="328291" spans="1:1" x14ac:dyDescent="0.25">
      <c r="A328291" s="1"/>
    </row>
    <row r="328292" spans="1:1" x14ac:dyDescent="0.25">
      <c r="A328292" s="1"/>
    </row>
    <row r="328293" spans="1:1" x14ac:dyDescent="0.25">
      <c r="A328293" s="1"/>
    </row>
    <row r="328294" spans="1:1" x14ac:dyDescent="0.25">
      <c r="A328294" s="1"/>
    </row>
    <row r="328295" spans="1:1" x14ac:dyDescent="0.25">
      <c r="A328295" s="1"/>
    </row>
    <row r="328296" spans="1:1" x14ac:dyDescent="0.25">
      <c r="A328296" s="1"/>
    </row>
    <row r="328297" spans="1:1" x14ac:dyDescent="0.25">
      <c r="A328297" s="1"/>
    </row>
    <row r="328298" spans="1:1" x14ac:dyDescent="0.25">
      <c r="A328298" s="1"/>
    </row>
    <row r="328299" spans="1:1" x14ac:dyDescent="0.25">
      <c r="A328299" s="1"/>
    </row>
    <row r="328300" spans="1:1" x14ac:dyDescent="0.25">
      <c r="A328300" s="1"/>
    </row>
    <row r="328301" spans="1:1" x14ac:dyDescent="0.25">
      <c r="A328301" s="1"/>
    </row>
    <row r="328302" spans="1:1" x14ac:dyDescent="0.25">
      <c r="A328302" s="1"/>
    </row>
    <row r="328303" spans="1:1" x14ac:dyDescent="0.25">
      <c r="A328303" s="1"/>
    </row>
    <row r="328304" spans="1:1" x14ac:dyDescent="0.25">
      <c r="A328304" s="1"/>
    </row>
    <row r="328305" spans="1:1" x14ac:dyDescent="0.25">
      <c r="A328305" s="1"/>
    </row>
    <row r="328306" spans="1:1" x14ac:dyDescent="0.25">
      <c r="A328306" s="1"/>
    </row>
    <row r="328307" spans="1:1" x14ac:dyDescent="0.25">
      <c r="A328307" s="1"/>
    </row>
    <row r="328308" spans="1:1" x14ac:dyDescent="0.25">
      <c r="A328308" s="1"/>
    </row>
    <row r="328309" spans="1:1" x14ac:dyDescent="0.25">
      <c r="A328309" s="1"/>
    </row>
    <row r="328310" spans="1:1" x14ac:dyDescent="0.25">
      <c r="A328310" s="1"/>
    </row>
    <row r="328311" spans="1:1" x14ac:dyDescent="0.25">
      <c r="A328311" s="1"/>
    </row>
    <row r="328312" spans="1:1" x14ac:dyDescent="0.25">
      <c r="A328312" s="1"/>
    </row>
    <row r="328313" spans="1:1" x14ac:dyDescent="0.25">
      <c r="A328313" s="1"/>
    </row>
    <row r="328314" spans="1:1" x14ac:dyDescent="0.25">
      <c r="A328314" s="1"/>
    </row>
    <row r="328315" spans="1:1" x14ac:dyDescent="0.25">
      <c r="A328315" s="1"/>
    </row>
    <row r="328316" spans="1:1" x14ac:dyDescent="0.25">
      <c r="A328316" s="1"/>
    </row>
    <row r="328317" spans="1:1" x14ac:dyDescent="0.25">
      <c r="A328317" s="1"/>
    </row>
    <row r="328318" spans="1:1" x14ac:dyDescent="0.25">
      <c r="A328318" s="1"/>
    </row>
    <row r="328319" spans="1:1" x14ac:dyDescent="0.25">
      <c r="A328319" s="1"/>
    </row>
    <row r="328320" spans="1:1" x14ac:dyDescent="0.25">
      <c r="A328320" s="1"/>
    </row>
    <row r="328321" spans="1:1" x14ac:dyDescent="0.25">
      <c r="A328321" s="1"/>
    </row>
    <row r="328322" spans="1:1" x14ac:dyDescent="0.25">
      <c r="A328322" s="1"/>
    </row>
    <row r="328323" spans="1:1" x14ac:dyDescent="0.25">
      <c r="A328323" s="1"/>
    </row>
    <row r="328324" spans="1:1" x14ac:dyDescent="0.25">
      <c r="A328324" s="1"/>
    </row>
    <row r="328325" spans="1:1" x14ac:dyDescent="0.25">
      <c r="A328325" s="1"/>
    </row>
    <row r="328326" spans="1:1" x14ac:dyDescent="0.25">
      <c r="A328326" s="1"/>
    </row>
    <row r="328327" spans="1:1" x14ac:dyDescent="0.25">
      <c r="A328327" s="1"/>
    </row>
    <row r="328328" spans="1:1" x14ac:dyDescent="0.25">
      <c r="A328328" s="1"/>
    </row>
    <row r="328329" spans="1:1" x14ac:dyDescent="0.25">
      <c r="A328329" s="1"/>
    </row>
    <row r="328330" spans="1:1" x14ac:dyDescent="0.25">
      <c r="A328330" s="1"/>
    </row>
    <row r="328331" spans="1:1" x14ac:dyDescent="0.25">
      <c r="A328331" s="1"/>
    </row>
    <row r="328332" spans="1:1" x14ac:dyDescent="0.25">
      <c r="A328332" s="1"/>
    </row>
    <row r="328333" spans="1:1" x14ac:dyDescent="0.25">
      <c r="A328333" s="1"/>
    </row>
    <row r="328334" spans="1:1" x14ac:dyDescent="0.25">
      <c r="A328334" s="1"/>
    </row>
    <row r="328335" spans="1:1" x14ac:dyDescent="0.25">
      <c r="A328335" s="1"/>
    </row>
    <row r="328336" spans="1:1" x14ac:dyDescent="0.25">
      <c r="A328336" s="1"/>
    </row>
    <row r="328337" spans="1:1" x14ac:dyDescent="0.25">
      <c r="A328337" s="1"/>
    </row>
    <row r="328338" spans="1:1" x14ac:dyDescent="0.25">
      <c r="A328338" s="1"/>
    </row>
    <row r="328339" spans="1:1" x14ac:dyDescent="0.25">
      <c r="A328339" s="1"/>
    </row>
    <row r="328340" spans="1:1" x14ac:dyDescent="0.25">
      <c r="A328340" s="1"/>
    </row>
    <row r="328341" spans="1:1" x14ac:dyDescent="0.25">
      <c r="A328341" s="1"/>
    </row>
    <row r="328342" spans="1:1" x14ac:dyDescent="0.25">
      <c r="A328342" s="1"/>
    </row>
    <row r="328343" spans="1:1" x14ac:dyDescent="0.25">
      <c r="A328343" s="1"/>
    </row>
    <row r="328344" spans="1:1" x14ac:dyDescent="0.25">
      <c r="A328344" s="1"/>
    </row>
    <row r="328345" spans="1:1" x14ac:dyDescent="0.25">
      <c r="A328345" s="1"/>
    </row>
    <row r="328346" spans="1:1" x14ac:dyDescent="0.25">
      <c r="A328346" s="1"/>
    </row>
    <row r="328347" spans="1:1" x14ac:dyDescent="0.25">
      <c r="A328347" s="1"/>
    </row>
    <row r="328348" spans="1:1" x14ac:dyDescent="0.25">
      <c r="A328348" s="1"/>
    </row>
    <row r="328349" spans="1:1" x14ac:dyDescent="0.25">
      <c r="A328349" s="1"/>
    </row>
    <row r="328350" spans="1:1" x14ac:dyDescent="0.25">
      <c r="A328350" s="1"/>
    </row>
    <row r="328351" spans="1:1" x14ac:dyDescent="0.25">
      <c r="A328351" s="1"/>
    </row>
    <row r="328352" spans="1:1" x14ac:dyDescent="0.25">
      <c r="A328352" s="1"/>
    </row>
    <row r="328353" spans="1:1" x14ac:dyDescent="0.25">
      <c r="A328353" s="1"/>
    </row>
    <row r="328354" spans="1:1" x14ac:dyDescent="0.25">
      <c r="A328354" s="1"/>
    </row>
    <row r="328355" spans="1:1" x14ac:dyDescent="0.25">
      <c r="A328355" s="1"/>
    </row>
    <row r="328356" spans="1:1" x14ac:dyDescent="0.25">
      <c r="A328356" s="1"/>
    </row>
    <row r="328357" spans="1:1" x14ac:dyDescent="0.25">
      <c r="A328357" s="1"/>
    </row>
    <row r="328358" spans="1:1" x14ac:dyDescent="0.25">
      <c r="A328358" s="1"/>
    </row>
    <row r="328359" spans="1:1" x14ac:dyDescent="0.25">
      <c r="A328359" s="1"/>
    </row>
    <row r="328360" spans="1:1" x14ac:dyDescent="0.25">
      <c r="A328360" s="1"/>
    </row>
    <row r="328361" spans="1:1" x14ac:dyDescent="0.25">
      <c r="A328361" s="1"/>
    </row>
    <row r="328362" spans="1:1" x14ac:dyDescent="0.25">
      <c r="A328362" s="1"/>
    </row>
    <row r="328363" spans="1:1" x14ac:dyDescent="0.25">
      <c r="A328363" s="1"/>
    </row>
    <row r="328364" spans="1:1" x14ac:dyDescent="0.25">
      <c r="A328364" s="1"/>
    </row>
    <row r="328365" spans="1:1" x14ac:dyDescent="0.25">
      <c r="A328365" s="1"/>
    </row>
    <row r="328366" spans="1:1" x14ac:dyDescent="0.25">
      <c r="A328366" s="1"/>
    </row>
    <row r="328367" spans="1:1" x14ac:dyDescent="0.25">
      <c r="A328367" s="1"/>
    </row>
    <row r="328368" spans="1:1" x14ac:dyDescent="0.25">
      <c r="A328368" s="1"/>
    </row>
    <row r="328369" spans="1:1" x14ac:dyDescent="0.25">
      <c r="A328369" s="1"/>
    </row>
    <row r="328370" spans="1:1" x14ac:dyDescent="0.25">
      <c r="A328370" s="1"/>
    </row>
    <row r="328371" spans="1:1" x14ac:dyDescent="0.25">
      <c r="A328371" s="1"/>
    </row>
    <row r="328372" spans="1:1" x14ac:dyDescent="0.25">
      <c r="A328372" s="1"/>
    </row>
    <row r="328373" spans="1:1" x14ac:dyDescent="0.25">
      <c r="A328373" s="1"/>
    </row>
    <row r="328374" spans="1:1" x14ac:dyDescent="0.25">
      <c r="A328374" s="1"/>
    </row>
    <row r="328375" spans="1:1" x14ac:dyDescent="0.25">
      <c r="A328375" s="1"/>
    </row>
    <row r="328376" spans="1:1" x14ac:dyDescent="0.25">
      <c r="A328376" s="1"/>
    </row>
    <row r="328377" spans="1:1" x14ac:dyDescent="0.25">
      <c r="A328377" s="1"/>
    </row>
    <row r="328378" spans="1:1" x14ac:dyDescent="0.25">
      <c r="A328378" s="1"/>
    </row>
    <row r="328379" spans="1:1" x14ac:dyDescent="0.25">
      <c r="A328379" s="1"/>
    </row>
    <row r="328380" spans="1:1" x14ac:dyDescent="0.25">
      <c r="A328380" s="1"/>
    </row>
    <row r="328381" spans="1:1" x14ac:dyDescent="0.25">
      <c r="A328381" s="1"/>
    </row>
    <row r="328382" spans="1:1" x14ac:dyDescent="0.25">
      <c r="A328382" s="1"/>
    </row>
    <row r="328383" spans="1:1" x14ac:dyDescent="0.25">
      <c r="A328383" s="1"/>
    </row>
    <row r="328384" spans="1:1" x14ac:dyDescent="0.25">
      <c r="A328384" s="1"/>
    </row>
    <row r="328385" spans="1:1" x14ac:dyDescent="0.25">
      <c r="A328385" s="1"/>
    </row>
    <row r="328386" spans="1:1" x14ac:dyDescent="0.25">
      <c r="A328386" s="1"/>
    </row>
    <row r="328387" spans="1:1" x14ac:dyDescent="0.25">
      <c r="A328387" s="1"/>
    </row>
    <row r="328388" spans="1:1" x14ac:dyDescent="0.25">
      <c r="A328388" s="1"/>
    </row>
    <row r="328389" spans="1:1" x14ac:dyDescent="0.25">
      <c r="A328389" s="1"/>
    </row>
    <row r="328390" spans="1:1" x14ac:dyDescent="0.25">
      <c r="A328390" s="1"/>
    </row>
    <row r="328391" spans="1:1" x14ac:dyDescent="0.25">
      <c r="A328391" s="1"/>
    </row>
    <row r="328392" spans="1:1" x14ac:dyDescent="0.25">
      <c r="A328392" s="1"/>
    </row>
    <row r="328393" spans="1:1" x14ac:dyDescent="0.25">
      <c r="A328393" s="1"/>
    </row>
    <row r="328394" spans="1:1" x14ac:dyDescent="0.25">
      <c r="A328394" s="1"/>
    </row>
    <row r="328395" spans="1:1" x14ac:dyDescent="0.25">
      <c r="A328395" s="1"/>
    </row>
    <row r="328396" spans="1:1" x14ac:dyDescent="0.25">
      <c r="A328396" s="1"/>
    </row>
    <row r="328397" spans="1:1" x14ac:dyDescent="0.25">
      <c r="A328397" s="1"/>
    </row>
    <row r="328398" spans="1:1" x14ac:dyDescent="0.25">
      <c r="A328398" s="1"/>
    </row>
    <row r="328399" spans="1:1" x14ac:dyDescent="0.25">
      <c r="A328399" s="1"/>
    </row>
    <row r="328400" spans="1:1" x14ac:dyDescent="0.25">
      <c r="A328400" s="1"/>
    </row>
    <row r="328401" spans="1:1" x14ac:dyDescent="0.25">
      <c r="A328401" s="1"/>
    </row>
    <row r="328402" spans="1:1" x14ac:dyDescent="0.25">
      <c r="A328402" s="1"/>
    </row>
    <row r="328403" spans="1:1" x14ac:dyDescent="0.25">
      <c r="A328403" s="1"/>
    </row>
    <row r="328404" spans="1:1" x14ac:dyDescent="0.25">
      <c r="A328404" s="1"/>
    </row>
    <row r="328405" spans="1:1" x14ac:dyDescent="0.25">
      <c r="A328405" s="1"/>
    </row>
    <row r="328406" spans="1:1" x14ac:dyDescent="0.25">
      <c r="A328406" s="1"/>
    </row>
    <row r="328407" spans="1:1" x14ac:dyDescent="0.25">
      <c r="A328407" s="1"/>
    </row>
    <row r="328408" spans="1:1" x14ac:dyDescent="0.25">
      <c r="A328408" s="1"/>
    </row>
    <row r="328409" spans="1:1" x14ac:dyDescent="0.25">
      <c r="A328409" s="1"/>
    </row>
    <row r="328410" spans="1:1" x14ac:dyDescent="0.25">
      <c r="A328410" s="1"/>
    </row>
    <row r="328411" spans="1:1" x14ac:dyDescent="0.25">
      <c r="A328411" s="1"/>
    </row>
    <row r="328412" spans="1:1" x14ac:dyDescent="0.25">
      <c r="A328412" s="1"/>
    </row>
    <row r="328413" spans="1:1" x14ac:dyDescent="0.25">
      <c r="A328413" s="1"/>
    </row>
    <row r="328414" spans="1:1" x14ac:dyDescent="0.25">
      <c r="A328414" s="1"/>
    </row>
    <row r="328415" spans="1:1" x14ac:dyDescent="0.25">
      <c r="A328415" s="1"/>
    </row>
    <row r="328416" spans="1:1" x14ac:dyDescent="0.25">
      <c r="A328416" s="1"/>
    </row>
    <row r="328417" spans="1:1" x14ac:dyDescent="0.25">
      <c r="A328417" s="1"/>
    </row>
    <row r="328418" spans="1:1" x14ac:dyDescent="0.25">
      <c r="A328418" s="1"/>
    </row>
    <row r="328419" spans="1:1" x14ac:dyDescent="0.25">
      <c r="A328419" s="1"/>
    </row>
    <row r="328420" spans="1:1" x14ac:dyDescent="0.25">
      <c r="A328420" s="1"/>
    </row>
    <row r="328421" spans="1:1" x14ac:dyDescent="0.25">
      <c r="A328421" s="1"/>
    </row>
    <row r="328422" spans="1:1" x14ac:dyDescent="0.25">
      <c r="A328422" s="1"/>
    </row>
    <row r="328423" spans="1:1" x14ac:dyDescent="0.25">
      <c r="A328423" s="1"/>
    </row>
    <row r="328424" spans="1:1" x14ac:dyDescent="0.25">
      <c r="A328424" s="1"/>
    </row>
    <row r="328425" spans="1:1" x14ac:dyDescent="0.25">
      <c r="A328425" s="1"/>
    </row>
    <row r="328426" spans="1:1" x14ac:dyDescent="0.25">
      <c r="A328426" s="1"/>
    </row>
    <row r="328427" spans="1:1" x14ac:dyDescent="0.25">
      <c r="A328427" s="1"/>
    </row>
    <row r="328428" spans="1:1" x14ac:dyDescent="0.25">
      <c r="A328428" s="1"/>
    </row>
    <row r="328429" spans="1:1" x14ac:dyDescent="0.25">
      <c r="A328429" s="1"/>
    </row>
    <row r="328430" spans="1:1" x14ac:dyDescent="0.25">
      <c r="A328430" s="1"/>
    </row>
    <row r="328431" spans="1:1" x14ac:dyDescent="0.25">
      <c r="A328431" s="1"/>
    </row>
    <row r="328432" spans="1:1" x14ac:dyDescent="0.25">
      <c r="A328432" s="1"/>
    </row>
    <row r="328433" spans="1:1" x14ac:dyDescent="0.25">
      <c r="A328433" s="1"/>
    </row>
    <row r="328434" spans="1:1" x14ac:dyDescent="0.25">
      <c r="A328434" s="1"/>
    </row>
    <row r="328435" spans="1:1" x14ac:dyDescent="0.25">
      <c r="A328435" s="1"/>
    </row>
    <row r="328436" spans="1:1" x14ac:dyDescent="0.25">
      <c r="A328436" s="1"/>
    </row>
    <row r="328437" spans="1:1" x14ac:dyDescent="0.25">
      <c r="A328437" s="1"/>
    </row>
    <row r="328438" spans="1:1" x14ac:dyDescent="0.25">
      <c r="A328438" s="1"/>
    </row>
    <row r="328439" spans="1:1" x14ac:dyDescent="0.25">
      <c r="A328439" s="1"/>
    </row>
    <row r="328440" spans="1:1" x14ac:dyDescent="0.25">
      <c r="A328440" s="1"/>
    </row>
    <row r="328441" spans="1:1" x14ac:dyDescent="0.25">
      <c r="A328441" s="1"/>
    </row>
    <row r="328442" spans="1:1" x14ac:dyDescent="0.25">
      <c r="A328442" s="1"/>
    </row>
    <row r="328443" spans="1:1" x14ac:dyDescent="0.25">
      <c r="A328443" s="1"/>
    </row>
    <row r="328444" spans="1:1" x14ac:dyDescent="0.25">
      <c r="A328444" s="1"/>
    </row>
    <row r="328445" spans="1:1" x14ac:dyDescent="0.25">
      <c r="A328445" s="1"/>
    </row>
    <row r="328446" spans="1:1" x14ac:dyDescent="0.25">
      <c r="A328446" s="1"/>
    </row>
    <row r="328447" spans="1:1" x14ac:dyDescent="0.25">
      <c r="A328447" s="1"/>
    </row>
    <row r="328448" spans="1:1" x14ac:dyDescent="0.25">
      <c r="A328448" s="1"/>
    </row>
    <row r="328449" spans="1:1" x14ac:dyDescent="0.25">
      <c r="A328449" s="1"/>
    </row>
    <row r="328450" spans="1:1" x14ac:dyDescent="0.25">
      <c r="A328450" s="1"/>
    </row>
    <row r="328451" spans="1:1" x14ac:dyDescent="0.25">
      <c r="A328451" s="1"/>
    </row>
    <row r="328452" spans="1:1" x14ac:dyDescent="0.25">
      <c r="A328452" s="1"/>
    </row>
    <row r="328453" spans="1:1" x14ac:dyDescent="0.25">
      <c r="A328453" s="1"/>
    </row>
    <row r="328454" spans="1:1" x14ac:dyDescent="0.25">
      <c r="A328454" s="1"/>
    </row>
    <row r="328455" spans="1:1" x14ac:dyDescent="0.25">
      <c r="A328455" s="1"/>
    </row>
    <row r="328456" spans="1:1" x14ac:dyDescent="0.25">
      <c r="A328456" s="1"/>
    </row>
    <row r="328457" spans="1:1" x14ac:dyDescent="0.25">
      <c r="A328457" s="1"/>
    </row>
    <row r="328458" spans="1:1" x14ac:dyDescent="0.25">
      <c r="A328458" s="1"/>
    </row>
    <row r="328459" spans="1:1" x14ac:dyDescent="0.25">
      <c r="A328459" s="1"/>
    </row>
    <row r="328460" spans="1:1" x14ac:dyDescent="0.25">
      <c r="A328460" s="1"/>
    </row>
    <row r="328461" spans="1:1" x14ac:dyDescent="0.25">
      <c r="A328461" s="1"/>
    </row>
    <row r="328462" spans="1:1" x14ac:dyDescent="0.25">
      <c r="A328462" s="1"/>
    </row>
    <row r="328463" spans="1:1" x14ac:dyDescent="0.25">
      <c r="A328463" s="1"/>
    </row>
    <row r="328464" spans="1:1" x14ac:dyDescent="0.25">
      <c r="A328464" s="1"/>
    </row>
    <row r="328465" spans="1:1" x14ac:dyDescent="0.25">
      <c r="A328465" s="1"/>
    </row>
    <row r="328466" spans="1:1" x14ac:dyDescent="0.25">
      <c r="A328466" s="1"/>
    </row>
    <row r="328467" spans="1:1" x14ac:dyDescent="0.25">
      <c r="A328467" s="1"/>
    </row>
    <row r="328468" spans="1:1" x14ac:dyDescent="0.25">
      <c r="A328468" s="1"/>
    </row>
    <row r="328469" spans="1:1" x14ac:dyDescent="0.25">
      <c r="A328469" s="1"/>
    </row>
    <row r="328470" spans="1:1" x14ac:dyDescent="0.25">
      <c r="A328470" s="1"/>
    </row>
    <row r="328471" spans="1:1" x14ac:dyDescent="0.25">
      <c r="A328471" s="1"/>
    </row>
    <row r="328472" spans="1:1" x14ac:dyDescent="0.25">
      <c r="A328472" s="1"/>
    </row>
    <row r="328473" spans="1:1" x14ac:dyDescent="0.25">
      <c r="A328473" s="1"/>
    </row>
    <row r="328474" spans="1:1" x14ac:dyDescent="0.25">
      <c r="A328474" s="1"/>
    </row>
    <row r="328475" spans="1:1" x14ac:dyDescent="0.25">
      <c r="A328475" s="1"/>
    </row>
    <row r="328476" spans="1:1" x14ac:dyDescent="0.25">
      <c r="A328476" s="1"/>
    </row>
    <row r="328477" spans="1:1" x14ac:dyDescent="0.25">
      <c r="A328477" s="1"/>
    </row>
    <row r="328478" spans="1:1" x14ac:dyDescent="0.25">
      <c r="A328478" s="1"/>
    </row>
    <row r="328479" spans="1:1" x14ac:dyDescent="0.25">
      <c r="A328479" s="1"/>
    </row>
    <row r="328480" spans="1:1" x14ac:dyDescent="0.25">
      <c r="A328480" s="1"/>
    </row>
    <row r="328481" spans="1:1" x14ac:dyDescent="0.25">
      <c r="A328481" s="1"/>
    </row>
    <row r="328482" spans="1:1" x14ac:dyDescent="0.25">
      <c r="A328482" s="1"/>
    </row>
    <row r="328483" spans="1:1" x14ac:dyDescent="0.25">
      <c r="A328483" s="1"/>
    </row>
    <row r="328484" spans="1:1" x14ac:dyDescent="0.25">
      <c r="A328484" s="1"/>
    </row>
    <row r="328485" spans="1:1" x14ac:dyDescent="0.25">
      <c r="A328485" s="1"/>
    </row>
    <row r="328486" spans="1:1" x14ac:dyDescent="0.25">
      <c r="A328486" s="1"/>
    </row>
    <row r="328487" spans="1:1" x14ac:dyDescent="0.25">
      <c r="A328487" s="1"/>
    </row>
    <row r="328488" spans="1:1" x14ac:dyDescent="0.25">
      <c r="A328488" s="1"/>
    </row>
    <row r="328489" spans="1:1" x14ac:dyDescent="0.25">
      <c r="A328489" s="1"/>
    </row>
    <row r="328490" spans="1:1" x14ac:dyDescent="0.25">
      <c r="A328490" s="1"/>
    </row>
    <row r="328491" spans="1:1" x14ac:dyDescent="0.25">
      <c r="A328491" s="1"/>
    </row>
    <row r="328492" spans="1:1" x14ac:dyDescent="0.25">
      <c r="A328492" s="1"/>
    </row>
    <row r="328493" spans="1:1" x14ac:dyDescent="0.25">
      <c r="A328493" s="1"/>
    </row>
    <row r="328494" spans="1:1" x14ac:dyDescent="0.25">
      <c r="A328494" s="1"/>
    </row>
    <row r="328495" spans="1:1" x14ac:dyDescent="0.25">
      <c r="A328495" s="1"/>
    </row>
    <row r="328496" spans="1:1" x14ac:dyDescent="0.25">
      <c r="A328496" s="1"/>
    </row>
    <row r="328497" spans="1:1" x14ac:dyDescent="0.25">
      <c r="A328497" s="1"/>
    </row>
    <row r="328498" spans="1:1" x14ac:dyDescent="0.25">
      <c r="A328498" s="1"/>
    </row>
    <row r="328499" spans="1:1" x14ac:dyDescent="0.25">
      <c r="A328499" s="1"/>
    </row>
    <row r="328500" spans="1:1" x14ac:dyDescent="0.25">
      <c r="A328500" s="1"/>
    </row>
    <row r="328501" spans="1:1" x14ac:dyDescent="0.25">
      <c r="A328501" s="1"/>
    </row>
    <row r="328502" spans="1:1" x14ac:dyDescent="0.25">
      <c r="A328502" s="1"/>
    </row>
    <row r="328503" spans="1:1" x14ac:dyDescent="0.25">
      <c r="A328503" s="1"/>
    </row>
    <row r="328504" spans="1:1" x14ac:dyDescent="0.25">
      <c r="A328504" s="1"/>
    </row>
    <row r="328505" spans="1:1" x14ac:dyDescent="0.25">
      <c r="A328505" s="1"/>
    </row>
    <row r="328506" spans="1:1" x14ac:dyDescent="0.25">
      <c r="A328506" s="1"/>
    </row>
    <row r="328507" spans="1:1" x14ac:dyDescent="0.25">
      <c r="A328507" s="1"/>
    </row>
    <row r="328508" spans="1:1" x14ac:dyDescent="0.25">
      <c r="A328508" s="1"/>
    </row>
    <row r="328509" spans="1:1" x14ac:dyDescent="0.25">
      <c r="A328509" s="1"/>
    </row>
    <row r="328510" spans="1:1" x14ac:dyDescent="0.25">
      <c r="A328510" s="1"/>
    </row>
    <row r="328511" spans="1:1" x14ac:dyDescent="0.25">
      <c r="A328511" s="1"/>
    </row>
    <row r="328512" spans="1:1" x14ac:dyDescent="0.25">
      <c r="A328512" s="1"/>
    </row>
    <row r="328513" spans="1:1" x14ac:dyDescent="0.25">
      <c r="A328513" s="1"/>
    </row>
    <row r="328514" spans="1:1" x14ac:dyDescent="0.25">
      <c r="A328514" s="1"/>
    </row>
    <row r="328515" spans="1:1" x14ac:dyDescent="0.25">
      <c r="A328515" s="1"/>
    </row>
    <row r="328516" spans="1:1" x14ac:dyDescent="0.25">
      <c r="A328516" s="1"/>
    </row>
    <row r="328517" spans="1:1" x14ac:dyDescent="0.25">
      <c r="A328517" s="1"/>
    </row>
    <row r="328518" spans="1:1" x14ac:dyDescent="0.25">
      <c r="A328518" s="1"/>
    </row>
    <row r="328519" spans="1:1" x14ac:dyDescent="0.25">
      <c r="A328519" s="1"/>
    </row>
    <row r="328520" spans="1:1" x14ac:dyDescent="0.25">
      <c r="A328520" s="1"/>
    </row>
    <row r="328521" spans="1:1" x14ac:dyDescent="0.25">
      <c r="A328521" s="1"/>
    </row>
    <row r="328522" spans="1:1" x14ac:dyDescent="0.25">
      <c r="A328522" s="1"/>
    </row>
    <row r="328523" spans="1:1" x14ac:dyDescent="0.25">
      <c r="A328523" s="1"/>
    </row>
    <row r="328524" spans="1:1" x14ac:dyDescent="0.25">
      <c r="A328524" s="1"/>
    </row>
    <row r="328525" spans="1:1" x14ac:dyDescent="0.25">
      <c r="A328525" s="1"/>
    </row>
    <row r="328526" spans="1:1" x14ac:dyDescent="0.25">
      <c r="A328526" s="1"/>
    </row>
    <row r="328527" spans="1:1" x14ac:dyDescent="0.25">
      <c r="A328527" s="1"/>
    </row>
    <row r="328528" spans="1:1" x14ac:dyDescent="0.25">
      <c r="A328528" s="1"/>
    </row>
    <row r="328529" spans="1:1" x14ac:dyDescent="0.25">
      <c r="A328529" s="1"/>
    </row>
    <row r="328530" spans="1:1" x14ac:dyDescent="0.25">
      <c r="A328530" s="1"/>
    </row>
    <row r="328531" spans="1:1" x14ac:dyDescent="0.25">
      <c r="A328531" s="1"/>
    </row>
    <row r="328532" spans="1:1" x14ac:dyDescent="0.25">
      <c r="A328532" s="1"/>
    </row>
    <row r="328533" spans="1:1" x14ac:dyDescent="0.25">
      <c r="A328533" s="1"/>
    </row>
    <row r="328534" spans="1:1" x14ac:dyDescent="0.25">
      <c r="A328534" s="1"/>
    </row>
    <row r="328535" spans="1:1" x14ac:dyDescent="0.25">
      <c r="A328535" s="1"/>
    </row>
    <row r="328536" spans="1:1" x14ac:dyDescent="0.25">
      <c r="A328536" s="1"/>
    </row>
    <row r="328537" spans="1:1" x14ac:dyDescent="0.25">
      <c r="A328537" s="1"/>
    </row>
    <row r="328538" spans="1:1" x14ac:dyDescent="0.25">
      <c r="A328538" s="1"/>
    </row>
    <row r="328539" spans="1:1" x14ac:dyDescent="0.25">
      <c r="A328539" s="1"/>
    </row>
    <row r="328540" spans="1:1" x14ac:dyDescent="0.25">
      <c r="A328540" s="1"/>
    </row>
    <row r="328541" spans="1:1" x14ac:dyDescent="0.25">
      <c r="A328541" s="1"/>
    </row>
    <row r="328542" spans="1:1" x14ac:dyDescent="0.25">
      <c r="A328542" s="1"/>
    </row>
    <row r="328543" spans="1:1" x14ac:dyDescent="0.25">
      <c r="A328543" s="1"/>
    </row>
    <row r="328544" spans="1:1" x14ac:dyDescent="0.25">
      <c r="A328544" s="1"/>
    </row>
    <row r="328545" spans="1:1" x14ac:dyDescent="0.25">
      <c r="A328545" s="1"/>
    </row>
    <row r="328546" spans="1:1" x14ac:dyDescent="0.25">
      <c r="A328546" s="1"/>
    </row>
    <row r="328547" spans="1:1" x14ac:dyDescent="0.25">
      <c r="A328547" s="1"/>
    </row>
    <row r="328548" spans="1:1" x14ac:dyDescent="0.25">
      <c r="A328548" s="1"/>
    </row>
    <row r="328549" spans="1:1" x14ac:dyDescent="0.25">
      <c r="A328549" s="1"/>
    </row>
    <row r="328550" spans="1:1" x14ac:dyDescent="0.25">
      <c r="A328550" s="1"/>
    </row>
    <row r="328551" spans="1:1" x14ac:dyDescent="0.25">
      <c r="A328551" s="1"/>
    </row>
    <row r="328552" spans="1:1" x14ac:dyDescent="0.25">
      <c r="A328552" s="1"/>
    </row>
    <row r="328553" spans="1:1" x14ac:dyDescent="0.25">
      <c r="A328553" s="1"/>
    </row>
    <row r="328554" spans="1:1" x14ac:dyDescent="0.25">
      <c r="A328554" s="1"/>
    </row>
    <row r="328555" spans="1:1" x14ac:dyDescent="0.25">
      <c r="A328555" s="1"/>
    </row>
    <row r="328556" spans="1:1" x14ac:dyDescent="0.25">
      <c r="A328556" s="1"/>
    </row>
    <row r="328557" spans="1:1" x14ac:dyDescent="0.25">
      <c r="A328557" s="1"/>
    </row>
    <row r="328558" spans="1:1" x14ac:dyDescent="0.25">
      <c r="A328558" s="1"/>
    </row>
    <row r="328559" spans="1:1" x14ac:dyDescent="0.25">
      <c r="A328559" s="1"/>
    </row>
    <row r="328560" spans="1:1" x14ac:dyDescent="0.25">
      <c r="A328560" s="1"/>
    </row>
    <row r="328561" spans="1:1" x14ac:dyDescent="0.25">
      <c r="A328561" s="1"/>
    </row>
    <row r="328562" spans="1:1" x14ac:dyDescent="0.25">
      <c r="A328562" s="1"/>
    </row>
    <row r="328563" spans="1:1" x14ac:dyDescent="0.25">
      <c r="A328563" s="1"/>
    </row>
    <row r="328564" spans="1:1" x14ac:dyDescent="0.25">
      <c r="A328564" s="1"/>
    </row>
    <row r="328565" spans="1:1" x14ac:dyDescent="0.25">
      <c r="A328565" s="1"/>
    </row>
    <row r="328566" spans="1:1" x14ac:dyDescent="0.25">
      <c r="A328566" s="1"/>
    </row>
    <row r="328567" spans="1:1" x14ac:dyDescent="0.25">
      <c r="A328567" s="1"/>
    </row>
    <row r="328568" spans="1:1" x14ac:dyDescent="0.25">
      <c r="A328568" s="1"/>
    </row>
    <row r="328569" spans="1:1" x14ac:dyDescent="0.25">
      <c r="A328569" s="1"/>
    </row>
    <row r="328570" spans="1:1" x14ac:dyDescent="0.25">
      <c r="A328570" s="1"/>
    </row>
    <row r="328571" spans="1:1" x14ac:dyDescent="0.25">
      <c r="A328571" s="1"/>
    </row>
    <row r="328572" spans="1:1" x14ac:dyDescent="0.25">
      <c r="A328572" s="1"/>
    </row>
    <row r="328573" spans="1:1" x14ac:dyDescent="0.25">
      <c r="A328573" s="1"/>
    </row>
    <row r="328574" spans="1:1" x14ac:dyDescent="0.25">
      <c r="A328574" s="1"/>
    </row>
    <row r="328575" spans="1:1" x14ac:dyDescent="0.25">
      <c r="A328575" s="1"/>
    </row>
    <row r="328576" spans="1:1" x14ac:dyDescent="0.25">
      <c r="A328576" s="1"/>
    </row>
    <row r="328577" spans="1:1" x14ac:dyDescent="0.25">
      <c r="A328577" s="1"/>
    </row>
    <row r="328578" spans="1:1" x14ac:dyDescent="0.25">
      <c r="A328578" s="1"/>
    </row>
    <row r="328579" spans="1:1" x14ac:dyDescent="0.25">
      <c r="A328579" s="1"/>
    </row>
    <row r="328580" spans="1:1" x14ac:dyDescent="0.25">
      <c r="A328580" s="1"/>
    </row>
    <row r="328581" spans="1:1" x14ac:dyDescent="0.25">
      <c r="A328581" s="1"/>
    </row>
    <row r="328582" spans="1:1" x14ac:dyDescent="0.25">
      <c r="A328582" s="1"/>
    </row>
    <row r="328583" spans="1:1" x14ac:dyDescent="0.25">
      <c r="A328583" s="1"/>
    </row>
    <row r="328584" spans="1:1" x14ac:dyDescent="0.25">
      <c r="A328584" s="1"/>
    </row>
    <row r="328585" spans="1:1" x14ac:dyDescent="0.25">
      <c r="A328585" s="1"/>
    </row>
    <row r="328586" spans="1:1" x14ac:dyDescent="0.25">
      <c r="A328586" s="1"/>
    </row>
    <row r="328587" spans="1:1" x14ac:dyDescent="0.25">
      <c r="A328587" s="1"/>
    </row>
    <row r="328588" spans="1:1" x14ac:dyDescent="0.25">
      <c r="A328588" s="1"/>
    </row>
    <row r="328589" spans="1:1" x14ac:dyDescent="0.25">
      <c r="A328589" s="1"/>
    </row>
    <row r="328590" spans="1:1" x14ac:dyDescent="0.25">
      <c r="A328590" s="1"/>
    </row>
    <row r="328591" spans="1:1" x14ac:dyDescent="0.25">
      <c r="A328591" s="1"/>
    </row>
    <row r="328592" spans="1:1" x14ac:dyDescent="0.25">
      <c r="A328592" s="1"/>
    </row>
    <row r="328593" spans="1:1" x14ac:dyDescent="0.25">
      <c r="A328593" s="1"/>
    </row>
    <row r="328594" spans="1:1" x14ac:dyDescent="0.25">
      <c r="A328594" s="1"/>
    </row>
    <row r="328595" spans="1:1" x14ac:dyDescent="0.25">
      <c r="A328595" s="1"/>
    </row>
    <row r="328596" spans="1:1" x14ac:dyDescent="0.25">
      <c r="A328596" s="1"/>
    </row>
    <row r="328597" spans="1:1" x14ac:dyDescent="0.25">
      <c r="A328597" s="1"/>
    </row>
    <row r="328598" spans="1:1" x14ac:dyDescent="0.25">
      <c r="A328598" s="1"/>
    </row>
    <row r="328599" spans="1:1" x14ac:dyDescent="0.25">
      <c r="A328599" s="1"/>
    </row>
    <row r="328600" spans="1:1" x14ac:dyDescent="0.25">
      <c r="A328600" s="1"/>
    </row>
    <row r="328601" spans="1:1" x14ac:dyDescent="0.25">
      <c r="A328601" s="1"/>
    </row>
    <row r="328602" spans="1:1" x14ac:dyDescent="0.25">
      <c r="A328602" s="1"/>
    </row>
    <row r="328603" spans="1:1" x14ac:dyDescent="0.25">
      <c r="A328603" s="1"/>
    </row>
    <row r="328604" spans="1:1" x14ac:dyDescent="0.25">
      <c r="A328604" s="1"/>
    </row>
    <row r="328605" spans="1:1" x14ac:dyDescent="0.25">
      <c r="A328605" s="1"/>
    </row>
    <row r="328606" spans="1:1" x14ac:dyDescent="0.25">
      <c r="A328606" s="1"/>
    </row>
    <row r="328607" spans="1:1" x14ac:dyDescent="0.25">
      <c r="A328607" s="1"/>
    </row>
    <row r="328608" spans="1:1" x14ac:dyDescent="0.25">
      <c r="A328608" s="1"/>
    </row>
    <row r="328609" spans="1:1" x14ac:dyDescent="0.25">
      <c r="A328609" s="1"/>
    </row>
    <row r="328610" spans="1:1" x14ac:dyDescent="0.25">
      <c r="A328610" s="1"/>
    </row>
    <row r="328611" spans="1:1" x14ac:dyDescent="0.25">
      <c r="A328611" s="1"/>
    </row>
    <row r="328612" spans="1:1" x14ac:dyDescent="0.25">
      <c r="A328612" s="1"/>
    </row>
    <row r="328613" spans="1:1" x14ac:dyDescent="0.25">
      <c r="A328613" s="1"/>
    </row>
    <row r="328614" spans="1:1" x14ac:dyDescent="0.25">
      <c r="A328614" s="1"/>
    </row>
    <row r="328615" spans="1:1" x14ac:dyDescent="0.25">
      <c r="A328615" s="1"/>
    </row>
    <row r="328616" spans="1:1" x14ac:dyDescent="0.25">
      <c r="A328616" s="1"/>
    </row>
    <row r="328617" spans="1:1" x14ac:dyDescent="0.25">
      <c r="A328617" s="1"/>
    </row>
    <row r="328618" spans="1:1" x14ac:dyDescent="0.25">
      <c r="A328618" s="1"/>
    </row>
    <row r="328619" spans="1:1" x14ac:dyDescent="0.25">
      <c r="A328619" s="1"/>
    </row>
    <row r="328620" spans="1:1" x14ac:dyDescent="0.25">
      <c r="A328620" s="1"/>
    </row>
    <row r="328621" spans="1:1" x14ac:dyDescent="0.25">
      <c r="A328621" s="1"/>
    </row>
    <row r="328622" spans="1:1" x14ac:dyDescent="0.25">
      <c r="A328622" s="1"/>
    </row>
    <row r="328623" spans="1:1" x14ac:dyDescent="0.25">
      <c r="A328623" s="1"/>
    </row>
    <row r="328624" spans="1:1" x14ac:dyDescent="0.25">
      <c r="A328624" s="1"/>
    </row>
    <row r="328625" spans="1:1" x14ac:dyDescent="0.25">
      <c r="A328625" s="1"/>
    </row>
    <row r="328626" spans="1:1" x14ac:dyDescent="0.25">
      <c r="A328626" s="1"/>
    </row>
    <row r="328627" spans="1:1" x14ac:dyDescent="0.25">
      <c r="A328627" s="1"/>
    </row>
    <row r="328628" spans="1:1" x14ac:dyDescent="0.25">
      <c r="A328628" s="1"/>
    </row>
    <row r="328629" spans="1:1" x14ac:dyDescent="0.25">
      <c r="A328629" s="1"/>
    </row>
    <row r="328630" spans="1:1" x14ac:dyDescent="0.25">
      <c r="A328630" s="1"/>
    </row>
    <row r="328631" spans="1:1" x14ac:dyDescent="0.25">
      <c r="A328631" s="1"/>
    </row>
    <row r="328632" spans="1:1" x14ac:dyDescent="0.25">
      <c r="A328632" s="1"/>
    </row>
    <row r="328633" spans="1:1" x14ac:dyDescent="0.25">
      <c r="A328633" s="1"/>
    </row>
    <row r="328634" spans="1:1" x14ac:dyDescent="0.25">
      <c r="A328634" s="1"/>
    </row>
    <row r="328635" spans="1:1" x14ac:dyDescent="0.25">
      <c r="A328635" s="1"/>
    </row>
    <row r="328636" spans="1:1" x14ac:dyDescent="0.25">
      <c r="A328636" s="1"/>
    </row>
    <row r="328637" spans="1:1" x14ac:dyDescent="0.25">
      <c r="A328637" s="1"/>
    </row>
    <row r="328638" spans="1:1" x14ac:dyDescent="0.25">
      <c r="A328638" s="1"/>
    </row>
    <row r="328639" spans="1:1" x14ac:dyDescent="0.25">
      <c r="A328639" s="1"/>
    </row>
    <row r="328640" spans="1:1" x14ac:dyDescent="0.25">
      <c r="A328640" s="1"/>
    </row>
    <row r="328641" spans="1:1" x14ac:dyDescent="0.25">
      <c r="A328641" s="1"/>
    </row>
    <row r="328642" spans="1:1" x14ac:dyDescent="0.25">
      <c r="A328642" s="1"/>
    </row>
    <row r="328643" spans="1:1" x14ac:dyDescent="0.25">
      <c r="A328643" s="1"/>
    </row>
    <row r="328644" spans="1:1" x14ac:dyDescent="0.25">
      <c r="A328644" s="1"/>
    </row>
    <row r="328645" spans="1:1" x14ac:dyDescent="0.25">
      <c r="A328645" s="1"/>
    </row>
    <row r="328646" spans="1:1" x14ac:dyDescent="0.25">
      <c r="A328646" s="1"/>
    </row>
    <row r="328647" spans="1:1" x14ac:dyDescent="0.25">
      <c r="A328647" s="1"/>
    </row>
    <row r="328648" spans="1:1" x14ac:dyDescent="0.25">
      <c r="A328648" s="1"/>
    </row>
    <row r="328649" spans="1:1" x14ac:dyDescent="0.25">
      <c r="A328649" s="1"/>
    </row>
    <row r="328650" spans="1:1" x14ac:dyDescent="0.25">
      <c r="A328650" s="1"/>
    </row>
    <row r="328651" spans="1:1" x14ac:dyDescent="0.25">
      <c r="A328651" s="1"/>
    </row>
    <row r="328652" spans="1:1" x14ac:dyDescent="0.25">
      <c r="A328652" s="1"/>
    </row>
    <row r="328653" spans="1:1" x14ac:dyDescent="0.25">
      <c r="A328653" s="1"/>
    </row>
    <row r="328654" spans="1:1" x14ac:dyDescent="0.25">
      <c r="A328654" s="1"/>
    </row>
    <row r="328655" spans="1:1" x14ac:dyDescent="0.25">
      <c r="A328655" s="1"/>
    </row>
    <row r="328656" spans="1:1" x14ac:dyDescent="0.25">
      <c r="A328656" s="1"/>
    </row>
    <row r="328657" spans="1:1" x14ac:dyDescent="0.25">
      <c r="A328657" s="1"/>
    </row>
    <row r="328658" spans="1:1" x14ac:dyDescent="0.25">
      <c r="A328658" s="1"/>
    </row>
    <row r="328659" spans="1:1" x14ac:dyDescent="0.25">
      <c r="A328659" s="1"/>
    </row>
    <row r="328660" spans="1:1" x14ac:dyDescent="0.25">
      <c r="A328660" s="1"/>
    </row>
    <row r="328661" spans="1:1" x14ac:dyDescent="0.25">
      <c r="A328661" s="1"/>
    </row>
    <row r="328662" spans="1:1" x14ac:dyDescent="0.25">
      <c r="A328662" s="1"/>
    </row>
    <row r="328663" spans="1:1" x14ac:dyDescent="0.25">
      <c r="A328663" s="1"/>
    </row>
    <row r="328664" spans="1:1" x14ac:dyDescent="0.25">
      <c r="A328664" s="1"/>
    </row>
    <row r="328665" spans="1:1" x14ac:dyDescent="0.25">
      <c r="A328665" s="1"/>
    </row>
    <row r="328666" spans="1:1" x14ac:dyDescent="0.25">
      <c r="A328666" s="1"/>
    </row>
    <row r="328667" spans="1:1" x14ac:dyDescent="0.25">
      <c r="A328667" s="1"/>
    </row>
    <row r="328668" spans="1:1" x14ac:dyDescent="0.25">
      <c r="A328668" s="1"/>
    </row>
    <row r="328669" spans="1:1" x14ac:dyDescent="0.25">
      <c r="A328669" s="1"/>
    </row>
    <row r="328670" spans="1:1" x14ac:dyDescent="0.25">
      <c r="A328670" s="1"/>
    </row>
    <row r="328671" spans="1:1" x14ac:dyDescent="0.25">
      <c r="A328671" s="1"/>
    </row>
    <row r="328672" spans="1:1" x14ac:dyDescent="0.25">
      <c r="A328672" s="1"/>
    </row>
    <row r="328673" spans="1:1" x14ac:dyDescent="0.25">
      <c r="A328673" s="1"/>
    </row>
    <row r="328674" spans="1:1" x14ac:dyDescent="0.25">
      <c r="A328674" s="1"/>
    </row>
    <row r="328675" spans="1:1" x14ac:dyDescent="0.25">
      <c r="A328675" s="1"/>
    </row>
    <row r="328676" spans="1:1" x14ac:dyDescent="0.25">
      <c r="A328676" s="1"/>
    </row>
    <row r="328677" spans="1:1" x14ac:dyDescent="0.25">
      <c r="A328677" s="1"/>
    </row>
    <row r="328678" spans="1:1" x14ac:dyDescent="0.25">
      <c r="A328678" s="1"/>
    </row>
    <row r="328679" spans="1:1" x14ac:dyDescent="0.25">
      <c r="A328679" s="1"/>
    </row>
    <row r="328680" spans="1:1" x14ac:dyDescent="0.25">
      <c r="A328680" s="1"/>
    </row>
    <row r="328681" spans="1:1" x14ac:dyDescent="0.25">
      <c r="A328681" s="1"/>
    </row>
    <row r="328682" spans="1:1" x14ac:dyDescent="0.25">
      <c r="A328682" s="1"/>
    </row>
    <row r="328683" spans="1:1" x14ac:dyDescent="0.25">
      <c r="A328683" s="1"/>
    </row>
    <row r="328684" spans="1:1" x14ac:dyDescent="0.25">
      <c r="A328684" s="1"/>
    </row>
    <row r="328685" spans="1:1" x14ac:dyDescent="0.25">
      <c r="A328685" s="1"/>
    </row>
    <row r="328686" spans="1:1" x14ac:dyDescent="0.25">
      <c r="A328686" s="1"/>
    </row>
    <row r="328687" spans="1:1" x14ac:dyDescent="0.25">
      <c r="A328687" s="1"/>
    </row>
    <row r="328688" spans="1:1" x14ac:dyDescent="0.25">
      <c r="A328688" s="1"/>
    </row>
    <row r="328689" spans="1:1" x14ac:dyDescent="0.25">
      <c r="A328689" s="1"/>
    </row>
    <row r="328690" spans="1:1" x14ac:dyDescent="0.25">
      <c r="A328690" s="1"/>
    </row>
    <row r="328691" spans="1:1" x14ac:dyDescent="0.25">
      <c r="A328691" s="1"/>
    </row>
    <row r="328692" spans="1:1" x14ac:dyDescent="0.25">
      <c r="A328692" s="1"/>
    </row>
    <row r="328693" spans="1:1" x14ac:dyDescent="0.25">
      <c r="A328693" s="1"/>
    </row>
    <row r="328694" spans="1:1" x14ac:dyDescent="0.25">
      <c r="A328694" s="1"/>
    </row>
    <row r="328695" spans="1:1" x14ac:dyDescent="0.25">
      <c r="A328695" s="1"/>
    </row>
    <row r="328696" spans="1:1" x14ac:dyDescent="0.25">
      <c r="A328696" s="1"/>
    </row>
    <row r="328697" spans="1:1" x14ac:dyDescent="0.25">
      <c r="A328697" s="1"/>
    </row>
    <row r="328698" spans="1:1" x14ac:dyDescent="0.25">
      <c r="A328698" s="1"/>
    </row>
    <row r="328699" spans="1:1" x14ac:dyDescent="0.25">
      <c r="A328699" s="1"/>
    </row>
    <row r="328700" spans="1:1" x14ac:dyDescent="0.25">
      <c r="A328700" s="1"/>
    </row>
    <row r="328701" spans="1:1" x14ac:dyDescent="0.25">
      <c r="A328701" s="1"/>
    </row>
    <row r="328702" spans="1:1" x14ac:dyDescent="0.25">
      <c r="A328702" s="1"/>
    </row>
    <row r="328703" spans="1:1" x14ac:dyDescent="0.25">
      <c r="A328703" s="1"/>
    </row>
    <row r="328704" spans="1:1" x14ac:dyDescent="0.25">
      <c r="A328704" s="1"/>
    </row>
    <row r="328705" spans="1:1" x14ac:dyDescent="0.25">
      <c r="A328705" s="1"/>
    </row>
    <row r="328706" spans="1:1" x14ac:dyDescent="0.25">
      <c r="A328706" s="1"/>
    </row>
    <row r="328707" spans="1:1" x14ac:dyDescent="0.25">
      <c r="A328707" s="1"/>
    </row>
    <row r="328708" spans="1:1" x14ac:dyDescent="0.25">
      <c r="A328708" s="1"/>
    </row>
    <row r="328709" spans="1:1" x14ac:dyDescent="0.25">
      <c r="A328709" s="1"/>
    </row>
    <row r="328710" spans="1:1" x14ac:dyDescent="0.25">
      <c r="A328710" s="1"/>
    </row>
    <row r="328711" spans="1:1" x14ac:dyDescent="0.25">
      <c r="A328711" s="1"/>
    </row>
    <row r="328712" spans="1:1" x14ac:dyDescent="0.25">
      <c r="A328712" s="1"/>
    </row>
    <row r="328713" spans="1:1" x14ac:dyDescent="0.25">
      <c r="A328713" s="1"/>
    </row>
    <row r="328714" spans="1:1" x14ac:dyDescent="0.25">
      <c r="A328714" s="1"/>
    </row>
    <row r="328715" spans="1:1" x14ac:dyDescent="0.25">
      <c r="A328715" s="1"/>
    </row>
    <row r="328716" spans="1:1" x14ac:dyDescent="0.25">
      <c r="A328716" s="1"/>
    </row>
    <row r="328717" spans="1:1" x14ac:dyDescent="0.25">
      <c r="A328717" s="1"/>
    </row>
    <row r="328718" spans="1:1" x14ac:dyDescent="0.25">
      <c r="A328718" s="1"/>
    </row>
    <row r="328719" spans="1:1" x14ac:dyDescent="0.25">
      <c r="A328719" s="1"/>
    </row>
    <row r="328720" spans="1:1" x14ac:dyDescent="0.25">
      <c r="A328720" s="1"/>
    </row>
    <row r="328721" spans="1:1" x14ac:dyDescent="0.25">
      <c r="A328721" s="1"/>
    </row>
    <row r="328722" spans="1:1" x14ac:dyDescent="0.25">
      <c r="A328722" s="1"/>
    </row>
    <row r="328723" spans="1:1" x14ac:dyDescent="0.25">
      <c r="A328723" s="1"/>
    </row>
    <row r="328724" spans="1:1" x14ac:dyDescent="0.25">
      <c r="A328724" s="1"/>
    </row>
    <row r="328725" spans="1:1" x14ac:dyDescent="0.25">
      <c r="A328725" s="1"/>
    </row>
    <row r="328726" spans="1:1" x14ac:dyDescent="0.25">
      <c r="A328726" s="1"/>
    </row>
    <row r="328727" spans="1:1" x14ac:dyDescent="0.25">
      <c r="A328727" s="1"/>
    </row>
    <row r="328728" spans="1:1" x14ac:dyDescent="0.25">
      <c r="A328728" s="1"/>
    </row>
    <row r="328729" spans="1:1" x14ac:dyDescent="0.25">
      <c r="A328729" s="1"/>
    </row>
    <row r="328730" spans="1:1" x14ac:dyDescent="0.25">
      <c r="A328730" s="1"/>
    </row>
    <row r="328731" spans="1:1" x14ac:dyDescent="0.25">
      <c r="A328731" s="1"/>
    </row>
    <row r="328732" spans="1:1" x14ac:dyDescent="0.25">
      <c r="A328732" s="1"/>
    </row>
    <row r="328733" spans="1:1" x14ac:dyDescent="0.25">
      <c r="A328733" s="1"/>
    </row>
    <row r="328734" spans="1:1" x14ac:dyDescent="0.25">
      <c r="A328734" s="1"/>
    </row>
    <row r="328735" spans="1:1" x14ac:dyDescent="0.25">
      <c r="A328735" s="1"/>
    </row>
    <row r="328736" spans="1:1" x14ac:dyDescent="0.25">
      <c r="A328736" s="1"/>
    </row>
    <row r="328737" spans="1:1" x14ac:dyDescent="0.25">
      <c r="A328737" s="1"/>
    </row>
    <row r="328738" spans="1:1" x14ac:dyDescent="0.25">
      <c r="A328738" s="1"/>
    </row>
    <row r="328739" spans="1:1" x14ac:dyDescent="0.25">
      <c r="A328739" s="1"/>
    </row>
    <row r="328740" spans="1:1" x14ac:dyDescent="0.25">
      <c r="A328740" s="1"/>
    </row>
    <row r="328741" spans="1:1" x14ac:dyDescent="0.25">
      <c r="A328741" s="1"/>
    </row>
    <row r="328742" spans="1:1" x14ac:dyDescent="0.25">
      <c r="A328742" s="1"/>
    </row>
    <row r="328743" spans="1:1" x14ac:dyDescent="0.25">
      <c r="A328743" s="1"/>
    </row>
    <row r="328744" spans="1:1" x14ac:dyDescent="0.25">
      <c r="A328744" s="1"/>
    </row>
    <row r="328745" spans="1:1" x14ac:dyDescent="0.25">
      <c r="A328745" s="1"/>
    </row>
    <row r="328746" spans="1:1" x14ac:dyDescent="0.25">
      <c r="A328746" s="1"/>
    </row>
    <row r="328747" spans="1:1" x14ac:dyDescent="0.25">
      <c r="A328747" s="1"/>
    </row>
    <row r="328748" spans="1:1" x14ac:dyDescent="0.25">
      <c r="A328748" s="1"/>
    </row>
    <row r="328749" spans="1:1" x14ac:dyDescent="0.25">
      <c r="A328749" s="1"/>
    </row>
    <row r="328750" spans="1:1" x14ac:dyDescent="0.25">
      <c r="A328750" s="1"/>
    </row>
    <row r="328751" spans="1:1" x14ac:dyDescent="0.25">
      <c r="A328751" s="1"/>
    </row>
    <row r="328752" spans="1:1" x14ac:dyDescent="0.25">
      <c r="A328752" s="1"/>
    </row>
    <row r="328753" spans="1:1" x14ac:dyDescent="0.25">
      <c r="A328753" s="1"/>
    </row>
    <row r="328754" spans="1:1" x14ac:dyDescent="0.25">
      <c r="A328754" s="1"/>
    </row>
    <row r="328755" spans="1:1" x14ac:dyDescent="0.25">
      <c r="A328755" s="1"/>
    </row>
    <row r="328756" spans="1:1" x14ac:dyDescent="0.25">
      <c r="A328756" s="1"/>
    </row>
    <row r="328757" spans="1:1" x14ac:dyDescent="0.25">
      <c r="A328757" s="1"/>
    </row>
    <row r="328758" spans="1:1" x14ac:dyDescent="0.25">
      <c r="A328758" s="1"/>
    </row>
    <row r="328759" spans="1:1" x14ac:dyDescent="0.25">
      <c r="A328759" s="1"/>
    </row>
    <row r="328760" spans="1:1" x14ac:dyDescent="0.25">
      <c r="A328760" s="1"/>
    </row>
    <row r="328761" spans="1:1" x14ac:dyDescent="0.25">
      <c r="A328761" s="1"/>
    </row>
    <row r="328762" spans="1:1" x14ac:dyDescent="0.25">
      <c r="A328762" s="1"/>
    </row>
    <row r="328763" spans="1:1" x14ac:dyDescent="0.25">
      <c r="A328763" s="1"/>
    </row>
    <row r="328764" spans="1:1" x14ac:dyDescent="0.25">
      <c r="A328764" s="1"/>
    </row>
    <row r="328765" spans="1:1" x14ac:dyDescent="0.25">
      <c r="A328765" s="1"/>
    </row>
    <row r="328766" spans="1:1" x14ac:dyDescent="0.25">
      <c r="A328766" s="1"/>
    </row>
    <row r="328767" spans="1:1" x14ac:dyDescent="0.25">
      <c r="A328767" s="1"/>
    </row>
    <row r="328768" spans="1:1" x14ac:dyDescent="0.25">
      <c r="A328768" s="1"/>
    </row>
    <row r="328769" spans="1:1" x14ac:dyDescent="0.25">
      <c r="A328769" s="1"/>
    </row>
    <row r="328770" spans="1:1" x14ac:dyDescent="0.25">
      <c r="A328770" s="1"/>
    </row>
    <row r="328771" spans="1:1" x14ac:dyDescent="0.25">
      <c r="A328771" s="1"/>
    </row>
    <row r="328772" spans="1:1" x14ac:dyDescent="0.25">
      <c r="A328772" s="1"/>
    </row>
    <row r="328773" spans="1:1" x14ac:dyDescent="0.25">
      <c r="A328773" s="1"/>
    </row>
    <row r="328774" spans="1:1" x14ac:dyDescent="0.25">
      <c r="A328774" s="1"/>
    </row>
    <row r="328775" spans="1:1" x14ac:dyDescent="0.25">
      <c r="A328775" s="1"/>
    </row>
    <row r="328776" spans="1:1" x14ac:dyDescent="0.25">
      <c r="A328776" s="1"/>
    </row>
    <row r="328777" spans="1:1" x14ac:dyDescent="0.25">
      <c r="A328777" s="1"/>
    </row>
    <row r="328778" spans="1:1" x14ac:dyDescent="0.25">
      <c r="A328778" s="1"/>
    </row>
    <row r="328779" spans="1:1" x14ac:dyDescent="0.25">
      <c r="A328779" s="1"/>
    </row>
    <row r="328780" spans="1:1" x14ac:dyDescent="0.25">
      <c r="A328780" s="1"/>
    </row>
    <row r="328781" spans="1:1" x14ac:dyDescent="0.25">
      <c r="A328781" s="1"/>
    </row>
    <row r="328782" spans="1:1" x14ac:dyDescent="0.25">
      <c r="A328782" s="1"/>
    </row>
    <row r="328783" spans="1:1" x14ac:dyDescent="0.25">
      <c r="A328783" s="1"/>
    </row>
    <row r="328784" spans="1:1" x14ac:dyDescent="0.25">
      <c r="A328784" s="1"/>
    </row>
    <row r="328785" spans="1:1" x14ac:dyDescent="0.25">
      <c r="A328785" s="1"/>
    </row>
    <row r="328786" spans="1:1" x14ac:dyDescent="0.25">
      <c r="A328786" s="1"/>
    </row>
    <row r="328787" spans="1:1" x14ac:dyDescent="0.25">
      <c r="A328787" s="1"/>
    </row>
    <row r="328788" spans="1:1" x14ac:dyDescent="0.25">
      <c r="A328788" s="1"/>
    </row>
    <row r="328789" spans="1:1" x14ac:dyDescent="0.25">
      <c r="A328789" s="1"/>
    </row>
    <row r="328790" spans="1:1" x14ac:dyDescent="0.25">
      <c r="A328790" s="1"/>
    </row>
    <row r="328791" spans="1:1" x14ac:dyDescent="0.25">
      <c r="A328791" s="1"/>
    </row>
    <row r="328792" spans="1:1" x14ac:dyDescent="0.25">
      <c r="A328792" s="1"/>
    </row>
    <row r="328793" spans="1:1" x14ac:dyDescent="0.25">
      <c r="A328793" s="1"/>
    </row>
    <row r="328794" spans="1:1" x14ac:dyDescent="0.25">
      <c r="A328794" s="1"/>
    </row>
    <row r="328795" spans="1:1" x14ac:dyDescent="0.25">
      <c r="A328795" s="1"/>
    </row>
    <row r="328796" spans="1:1" x14ac:dyDescent="0.25">
      <c r="A328796" s="1"/>
    </row>
    <row r="328797" spans="1:1" x14ac:dyDescent="0.25">
      <c r="A328797" s="1"/>
    </row>
    <row r="328798" spans="1:1" x14ac:dyDescent="0.25">
      <c r="A328798" s="1"/>
    </row>
    <row r="328799" spans="1:1" x14ac:dyDescent="0.25">
      <c r="A328799" s="1"/>
    </row>
    <row r="328800" spans="1:1" x14ac:dyDescent="0.25">
      <c r="A328800" s="1"/>
    </row>
    <row r="328801" spans="1:1" x14ac:dyDescent="0.25">
      <c r="A328801" s="1"/>
    </row>
    <row r="328802" spans="1:1" x14ac:dyDescent="0.25">
      <c r="A328802" s="1"/>
    </row>
    <row r="328803" spans="1:1" x14ac:dyDescent="0.25">
      <c r="A328803" s="1"/>
    </row>
    <row r="328804" spans="1:1" x14ac:dyDescent="0.25">
      <c r="A328804" s="1"/>
    </row>
    <row r="328805" spans="1:1" x14ac:dyDescent="0.25">
      <c r="A328805" s="1"/>
    </row>
    <row r="328806" spans="1:1" x14ac:dyDescent="0.25">
      <c r="A328806" s="1"/>
    </row>
    <row r="328807" spans="1:1" x14ac:dyDescent="0.25">
      <c r="A328807" s="1"/>
    </row>
    <row r="328808" spans="1:1" x14ac:dyDescent="0.25">
      <c r="A328808" s="1"/>
    </row>
    <row r="328809" spans="1:1" x14ac:dyDescent="0.25">
      <c r="A328809" s="1"/>
    </row>
    <row r="328810" spans="1:1" x14ac:dyDescent="0.25">
      <c r="A328810" s="1"/>
    </row>
    <row r="328811" spans="1:1" x14ac:dyDescent="0.25">
      <c r="A328811" s="1"/>
    </row>
    <row r="328812" spans="1:1" x14ac:dyDescent="0.25">
      <c r="A328812" s="1"/>
    </row>
    <row r="328813" spans="1:1" x14ac:dyDescent="0.25">
      <c r="A328813" s="1"/>
    </row>
    <row r="328814" spans="1:1" x14ac:dyDescent="0.25">
      <c r="A328814" s="1"/>
    </row>
    <row r="328815" spans="1:1" x14ac:dyDescent="0.25">
      <c r="A328815" s="1"/>
    </row>
    <row r="328816" spans="1:1" x14ac:dyDescent="0.25">
      <c r="A328816" s="1"/>
    </row>
    <row r="328817" spans="1:1" x14ac:dyDescent="0.25">
      <c r="A328817" s="1"/>
    </row>
    <row r="328818" spans="1:1" x14ac:dyDescent="0.25">
      <c r="A328818" s="1"/>
    </row>
    <row r="328819" spans="1:1" x14ac:dyDescent="0.25">
      <c r="A328819" s="1"/>
    </row>
    <row r="328820" spans="1:1" x14ac:dyDescent="0.25">
      <c r="A328820" s="1"/>
    </row>
    <row r="328821" spans="1:1" x14ac:dyDescent="0.25">
      <c r="A328821" s="1"/>
    </row>
    <row r="328822" spans="1:1" x14ac:dyDescent="0.25">
      <c r="A328822" s="1"/>
    </row>
    <row r="328823" spans="1:1" x14ac:dyDescent="0.25">
      <c r="A328823" s="1"/>
    </row>
    <row r="328824" spans="1:1" x14ac:dyDescent="0.25">
      <c r="A328824" s="1"/>
    </row>
    <row r="328825" spans="1:1" x14ac:dyDescent="0.25">
      <c r="A328825" s="1"/>
    </row>
    <row r="328826" spans="1:1" x14ac:dyDescent="0.25">
      <c r="A328826" s="1"/>
    </row>
    <row r="328827" spans="1:1" x14ac:dyDescent="0.25">
      <c r="A328827" s="1"/>
    </row>
    <row r="328828" spans="1:1" x14ac:dyDescent="0.25">
      <c r="A328828" s="1"/>
    </row>
    <row r="328829" spans="1:1" x14ac:dyDescent="0.25">
      <c r="A328829" s="1"/>
    </row>
    <row r="328830" spans="1:1" x14ac:dyDescent="0.25">
      <c r="A328830" s="1"/>
    </row>
    <row r="328831" spans="1:1" x14ac:dyDescent="0.25">
      <c r="A328831" s="1"/>
    </row>
    <row r="328832" spans="1:1" x14ac:dyDescent="0.25">
      <c r="A328832" s="1"/>
    </row>
    <row r="328833" spans="1:1" x14ac:dyDescent="0.25">
      <c r="A328833" s="1"/>
    </row>
    <row r="328834" spans="1:1" x14ac:dyDescent="0.25">
      <c r="A328834" s="1"/>
    </row>
    <row r="328835" spans="1:1" x14ac:dyDescent="0.25">
      <c r="A328835" s="1"/>
    </row>
    <row r="328836" spans="1:1" x14ac:dyDescent="0.25">
      <c r="A328836" s="1"/>
    </row>
    <row r="328837" spans="1:1" x14ac:dyDescent="0.25">
      <c r="A328837" s="1"/>
    </row>
    <row r="328838" spans="1:1" x14ac:dyDescent="0.25">
      <c r="A328838" s="1"/>
    </row>
    <row r="328839" spans="1:1" x14ac:dyDescent="0.25">
      <c r="A328839" s="1"/>
    </row>
    <row r="328840" spans="1:1" x14ac:dyDescent="0.25">
      <c r="A328840" s="1"/>
    </row>
    <row r="328841" spans="1:1" x14ac:dyDescent="0.25">
      <c r="A328841" s="1"/>
    </row>
    <row r="328842" spans="1:1" x14ac:dyDescent="0.25">
      <c r="A328842" s="1"/>
    </row>
    <row r="328843" spans="1:1" x14ac:dyDescent="0.25">
      <c r="A328843" s="1"/>
    </row>
    <row r="328844" spans="1:1" x14ac:dyDescent="0.25">
      <c r="A328844" s="1"/>
    </row>
    <row r="328845" spans="1:1" x14ac:dyDescent="0.25">
      <c r="A328845" s="1"/>
    </row>
    <row r="328846" spans="1:1" x14ac:dyDescent="0.25">
      <c r="A328846" s="1"/>
    </row>
    <row r="328847" spans="1:1" x14ac:dyDescent="0.25">
      <c r="A328847" s="1"/>
    </row>
    <row r="328848" spans="1:1" x14ac:dyDescent="0.25">
      <c r="A328848" s="1"/>
    </row>
    <row r="328849" spans="1:1" x14ac:dyDescent="0.25">
      <c r="A328849" s="1"/>
    </row>
    <row r="328850" spans="1:1" x14ac:dyDescent="0.25">
      <c r="A328850" s="1"/>
    </row>
    <row r="328851" spans="1:1" x14ac:dyDescent="0.25">
      <c r="A328851" s="1"/>
    </row>
    <row r="328852" spans="1:1" x14ac:dyDescent="0.25">
      <c r="A328852" s="1"/>
    </row>
    <row r="328853" spans="1:1" x14ac:dyDescent="0.25">
      <c r="A328853" s="1"/>
    </row>
    <row r="328854" spans="1:1" x14ac:dyDescent="0.25">
      <c r="A328854" s="1"/>
    </row>
    <row r="328855" spans="1:1" x14ac:dyDescent="0.25">
      <c r="A328855" s="1"/>
    </row>
    <row r="328856" spans="1:1" x14ac:dyDescent="0.25">
      <c r="A328856" s="1"/>
    </row>
    <row r="328857" spans="1:1" x14ac:dyDescent="0.25">
      <c r="A328857" s="1"/>
    </row>
    <row r="328858" spans="1:1" x14ac:dyDescent="0.25">
      <c r="A328858" s="1"/>
    </row>
    <row r="328859" spans="1:1" x14ac:dyDescent="0.25">
      <c r="A328859" s="1"/>
    </row>
    <row r="328860" spans="1:1" x14ac:dyDescent="0.25">
      <c r="A328860" s="1"/>
    </row>
    <row r="328861" spans="1:1" x14ac:dyDescent="0.25">
      <c r="A328861" s="1"/>
    </row>
    <row r="328862" spans="1:1" x14ac:dyDescent="0.25">
      <c r="A328862" s="1"/>
    </row>
    <row r="328863" spans="1:1" x14ac:dyDescent="0.25">
      <c r="A328863" s="1"/>
    </row>
    <row r="328864" spans="1:1" x14ac:dyDescent="0.25">
      <c r="A328864" s="1"/>
    </row>
    <row r="328865" spans="1:1" x14ac:dyDescent="0.25">
      <c r="A328865" s="1"/>
    </row>
    <row r="328866" spans="1:1" x14ac:dyDescent="0.25">
      <c r="A328866" s="1"/>
    </row>
    <row r="328867" spans="1:1" x14ac:dyDescent="0.25">
      <c r="A328867" s="1"/>
    </row>
    <row r="328868" spans="1:1" x14ac:dyDescent="0.25">
      <c r="A328868" s="1"/>
    </row>
    <row r="328869" spans="1:1" x14ac:dyDescent="0.25">
      <c r="A328869" s="1"/>
    </row>
    <row r="328870" spans="1:1" x14ac:dyDescent="0.25">
      <c r="A328870" s="1"/>
    </row>
    <row r="328871" spans="1:1" x14ac:dyDescent="0.25">
      <c r="A328871" s="1"/>
    </row>
    <row r="328872" spans="1:1" x14ac:dyDescent="0.25">
      <c r="A328872" s="1"/>
    </row>
    <row r="328873" spans="1:1" x14ac:dyDescent="0.25">
      <c r="A328873" s="1"/>
    </row>
    <row r="328874" spans="1:1" x14ac:dyDescent="0.25">
      <c r="A328874" s="1"/>
    </row>
    <row r="328875" spans="1:1" x14ac:dyDescent="0.25">
      <c r="A328875" s="1"/>
    </row>
    <row r="328876" spans="1:1" x14ac:dyDescent="0.25">
      <c r="A328876" s="1"/>
    </row>
    <row r="328877" spans="1:1" x14ac:dyDescent="0.25">
      <c r="A328877" s="1"/>
    </row>
    <row r="328878" spans="1:1" x14ac:dyDescent="0.25">
      <c r="A328878" s="1"/>
    </row>
    <row r="328879" spans="1:1" x14ac:dyDescent="0.25">
      <c r="A328879" s="1"/>
    </row>
    <row r="328880" spans="1:1" x14ac:dyDescent="0.25">
      <c r="A328880" s="1"/>
    </row>
    <row r="328881" spans="1:1" x14ac:dyDescent="0.25">
      <c r="A328881" s="1"/>
    </row>
    <row r="328882" spans="1:1" x14ac:dyDescent="0.25">
      <c r="A328882" s="1"/>
    </row>
    <row r="328883" spans="1:1" x14ac:dyDescent="0.25">
      <c r="A328883" s="1"/>
    </row>
    <row r="328884" spans="1:1" x14ac:dyDescent="0.25">
      <c r="A328884" s="1"/>
    </row>
    <row r="328885" spans="1:1" x14ac:dyDescent="0.25">
      <c r="A328885" s="1"/>
    </row>
    <row r="328886" spans="1:1" x14ac:dyDescent="0.25">
      <c r="A328886" s="1"/>
    </row>
    <row r="328887" spans="1:1" x14ac:dyDescent="0.25">
      <c r="A328887" s="1"/>
    </row>
    <row r="328888" spans="1:1" x14ac:dyDescent="0.25">
      <c r="A328888" s="1"/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Dados_RTD</vt:lpstr>
      <vt:lpstr>Historico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Escritório do Trader</dc:creator>
  <cp:keywords/>
  <dc:description/>
  <cp:lastModifiedBy>Escritório do Trader</cp:lastModifiedBy>
  <cp:revision/>
  <dcterms:created xsi:type="dcterms:W3CDTF">2026-03-09T22:23:45Z</dcterms:created>
  <dcterms:modified xsi:type="dcterms:W3CDTF">2026-05-06T01:00:19Z</dcterms:modified>
  <cp:category/>
  <cp:contentStatus/>
</cp:coreProperties>
</file>